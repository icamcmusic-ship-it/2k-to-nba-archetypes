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chetype_DB" sheetId="1" r:id="rId5"/>
    <sheet state="hidden" name="Percentiles" sheetId="2" r:id="rId6"/>
    <sheet state="visible" name="Archetype_Finder" sheetId="3" r:id="rId7"/>
    <sheet state="visible" name="How to Use" sheetId="4" r:id="rId8"/>
    <sheet state="hidden" name="Translation_Matrix" sheetId="5" r:id="rId9"/>
    <sheet state="hidden" name="Players" sheetId="6" r:id="rId10"/>
    <sheet state="hidden" name="2K_Ratings" sheetId="7" r:id="rId11"/>
    <sheet state="hidden" name="Weighted_Vectors" sheetId="8" r:id="rId12"/>
    <sheet state="visible" name="Clean_Archetype_DB" sheetId="9" r:id="rId13"/>
  </sheets>
  <definedNames/>
  <calcPr/>
</workbook>
</file>

<file path=xl/sharedStrings.xml><?xml version="1.0" encoding="utf-8"?>
<sst xmlns="http://schemas.openxmlformats.org/spreadsheetml/2006/main" count="16605" uniqueCount="3358">
  <si>
    <t>Build Name ▲</t>
  </si>
  <si>
    <t>Position</t>
  </si>
  <si>
    <t>Height</t>
  </si>
  <si>
    <t>Weight</t>
  </si>
  <si>
    <t>Close Shot</t>
  </si>
  <si>
    <t>Driving Layup</t>
  </si>
  <si>
    <t>Driving Dunk</t>
  </si>
  <si>
    <t>Standing Dunk</t>
  </si>
  <si>
    <t>Post Control</t>
  </si>
  <si>
    <t>Midrange Shot</t>
  </si>
  <si>
    <t>Threepoint Shot</t>
  </si>
  <si>
    <t>Free Throw</t>
  </si>
  <si>
    <t>Pass Accuracy</t>
  </si>
  <si>
    <t>Ball Handle</t>
  </si>
  <si>
    <t>Speed With Ball</t>
  </si>
  <si>
    <t>Interior Defense</t>
  </si>
  <si>
    <t>Perimeter Defense</t>
  </si>
  <si>
    <t>Steal</t>
  </si>
  <si>
    <t>Block</t>
  </si>
  <si>
    <t>Offensive Rebound</t>
  </si>
  <si>
    <t>Defensive Rebound</t>
  </si>
  <si>
    <t>Speed</t>
  </si>
  <si>
    <t>Agility</t>
  </si>
  <si>
    <t>Strength</t>
  </si>
  <si>
    <t>Vertical</t>
  </si>
  <si>
    <t>Season Index</t>
  </si>
  <si>
    <t>2-Way 3-Level Scorer</t>
  </si>
  <si>
    <t>Point Guard</t>
  </si>
  <si>
    <t>6'4" to 6'6"</t>
  </si>
  <si>
    <t>180-214</t>
  </si>
  <si>
    <t>70-77</t>
  </si>
  <si>
    <t>71-80</t>
  </si>
  <si>
    <t>80-95</t>
  </si>
  <si>
    <t>25-57</t>
  </si>
  <si>
    <t>25-38</t>
  </si>
  <si>
    <t>85-92</t>
  </si>
  <si>
    <t>85-95</t>
  </si>
  <si>
    <t>65-99</t>
  </si>
  <si>
    <t>50-80</t>
  </si>
  <si>
    <t>75-83</t>
  </si>
  <si>
    <t>45-70</t>
  </si>
  <si>
    <t>56-91</t>
  </si>
  <si>
    <t>40-74</t>
  </si>
  <si>
    <t>25-66</t>
  </si>
  <si>
    <t>50-55</t>
  </si>
  <si>
    <t>88-93</t>
  </si>
  <si>
    <t>79-90</t>
  </si>
  <si>
    <t>50-67</t>
  </si>
  <si>
    <t>60-80</t>
  </si>
  <si>
    <t>2-Way 3-Level Shot Creator</t>
  </si>
  <si>
    <t>6'2" to 6'7"</t>
  </si>
  <si>
    <t>168-230</t>
  </si>
  <si>
    <t>70-83</t>
  </si>
  <si>
    <t>70-90</t>
  </si>
  <si>
    <t>25-93</t>
  </si>
  <si>
    <t>25-60</t>
  </si>
  <si>
    <t>32-51</t>
  </si>
  <si>
    <t>83-96</t>
  </si>
  <si>
    <t>64-99</t>
  </si>
  <si>
    <t>61-85</t>
  </si>
  <si>
    <t>83-93</t>
  </si>
  <si>
    <t>75-91</t>
  </si>
  <si>
    <t>40-80</t>
  </si>
  <si>
    <t>55-89</t>
  </si>
  <si>
    <t>35-80</t>
  </si>
  <si>
    <t>25-70</t>
  </si>
  <si>
    <t>45-80</t>
  </si>
  <si>
    <t>72-88</t>
  </si>
  <si>
    <t>45-75</t>
  </si>
  <si>
    <t>56-83</t>
  </si>
  <si>
    <t>2-Way 3PT Playmaker</t>
  </si>
  <si>
    <t>178-218</t>
  </si>
  <si>
    <t>64-74</t>
  </si>
  <si>
    <t>26-80</t>
  </si>
  <si>
    <t>25-29</t>
  </si>
  <si>
    <t>28-51</t>
  </si>
  <si>
    <t>79-83</t>
  </si>
  <si>
    <t>66-99</t>
  </si>
  <si>
    <t>87-92</t>
  </si>
  <si>
    <t>82-94</t>
  </si>
  <si>
    <t>82-91</t>
  </si>
  <si>
    <t>44-60</t>
  </si>
  <si>
    <t>85-91</t>
  </si>
  <si>
    <t>56-99</t>
  </si>
  <si>
    <t>35-61</t>
  </si>
  <si>
    <t>45-57</t>
  </si>
  <si>
    <t>77-87</t>
  </si>
  <si>
    <t>50-81</t>
  </si>
  <si>
    <t>56-70</t>
  </si>
  <si>
    <t>2-Way 3PT Shot Hunter</t>
  </si>
  <si>
    <t>168-207</t>
  </si>
  <si>
    <t>63-85</t>
  </si>
  <si>
    <t>25-81</t>
  </si>
  <si>
    <t>25-51</t>
  </si>
  <si>
    <t>32-53</t>
  </si>
  <si>
    <t>77-84</t>
  </si>
  <si>
    <t>85-94</t>
  </si>
  <si>
    <t>60-99</t>
  </si>
  <si>
    <t>60-85</t>
  </si>
  <si>
    <t>75-94</t>
  </si>
  <si>
    <t>35-78</t>
  </si>
  <si>
    <t>55-93</t>
  </si>
  <si>
    <t>25-62</t>
  </si>
  <si>
    <t>76-90</t>
  </si>
  <si>
    <t>45-84</t>
  </si>
  <si>
    <t>60-83</t>
  </si>
  <si>
    <t>2-Way 3PT Slasher</t>
  </si>
  <si>
    <t>6'1" to 6'7"</t>
  </si>
  <si>
    <t>165-230</t>
  </si>
  <si>
    <t>64-83</t>
  </si>
  <si>
    <t>70-85</t>
  </si>
  <si>
    <t>60-94</t>
  </si>
  <si>
    <t>30-60</t>
  </si>
  <si>
    <t>75-84</t>
  </si>
  <si>
    <t>83-94</t>
  </si>
  <si>
    <t>71-94</t>
  </si>
  <si>
    <t>30-82</t>
  </si>
  <si>
    <t>80-93</t>
  </si>
  <si>
    <t>50-93</t>
  </si>
  <si>
    <t>30-78</t>
  </si>
  <si>
    <t>25-75</t>
  </si>
  <si>
    <t>40-78</t>
  </si>
  <si>
    <t>80-94</t>
  </si>
  <si>
    <t>40-81</t>
  </si>
  <si>
    <t>2-Way 3PT Sniper</t>
  </si>
  <si>
    <t>6'1" to 6'6"</t>
  </si>
  <si>
    <t>178-206</t>
  </si>
  <si>
    <t>68-76</t>
  </si>
  <si>
    <t>85-88</t>
  </si>
  <si>
    <t>25-80</t>
  </si>
  <si>
    <t>25-30</t>
  </si>
  <si>
    <t>31-46</t>
  </si>
  <si>
    <t>82-84</t>
  </si>
  <si>
    <t>92-94</t>
  </si>
  <si>
    <t>68-80</t>
  </si>
  <si>
    <t>65-87</t>
  </si>
  <si>
    <t>86-92</t>
  </si>
  <si>
    <t>80-91</t>
  </si>
  <si>
    <t>39-77</t>
  </si>
  <si>
    <t>60-91</t>
  </si>
  <si>
    <t>36-68</t>
  </si>
  <si>
    <t>25-35</t>
  </si>
  <si>
    <t>76-89</t>
  </si>
  <si>
    <t>47-74</t>
  </si>
  <si>
    <t>2-Way 3PT-Creating Cleaner</t>
  </si>
  <si>
    <t>6'6"</t>
  </si>
  <si>
    <t>2-Way 3PT-Sniping High Flyer</t>
  </si>
  <si>
    <t>6'4" to 6'7"</t>
  </si>
  <si>
    <t>190-211</t>
  </si>
  <si>
    <t>65-84</t>
  </si>
  <si>
    <t>62-80</t>
  </si>
  <si>
    <t>82-89</t>
  </si>
  <si>
    <t>33-51</t>
  </si>
  <si>
    <t>27-79</t>
  </si>
  <si>
    <t>86-94</t>
  </si>
  <si>
    <t>62-91</t>
  </si>
  <si>
    <t>53-81</t>
  </si>
  <si>
    <t>70-84</t>
  </si>
  <si>
    <t>73-83</t>
  </si>
  <si>
    <t>46-79</t>
  </si>
  <si>
    <t>63-92</t>
  </si>
  <si>
    <t>41-62</t>
  </si>
  <si>
    <t>26-67</t>
  </si>
  <si>
    <t>50-75</t>
  </si>
  <si>
    <t>83-92</t>
  </si>
  <si>
    <t>51-83</t>
  </si>
  <si>
    <t>75-86</t>
  </si>
  <si>
    <t>2-Way Blow-By Bully</t>
  </si>
  <si>
    <t>6'4"</t>
  </si>
  <si>
    <t>2-Way Blow-By Dual Finisher</t>
  </si>
  <si>
    <t>6'3"</t>
  </si>
  <si>
    <t>2-Way Blow-By High Flyer</t>
  </si>
  <si>
    <t>180-210</t>
  </si>
  <si>
    <t>66-78</t>
  </si>
  <si>
    <t>75-81</t>
  </si>
  <si>
    <t>86-93</t>
  </si>
  <si>
    <t>37-64</t>
  </si>
  <si>
    <t>58-77</t>
  </si>
  <si>
    <t>67-85</t>
  </si>
  <si>
    <t>86-90</t>
  </si>
  <si>
    <t>85-86</t>
  </si>
  <si>
    <t>67-83</t>
  </si>
  <si>
    <t>91-92</t>
  </si>
  <si>
    <t>77-79</t>
  </si>
  <si>
    <t>55-69</t>
  </si>
  <si>
    <t>37-70</t>
  </si>
  <si>
    <t>55-63</t>
  </si>
  <si>
    <t>86-89</t>
  </si>
  <si>
    <t>74-84</t>
  </si>
  <si>
    <t>57-73</t>
  </si>
  <si>
    <t>75-80</t>
  </si>
  <si>
    <t>2-Way Bully Laymaking Cleaner</t>
  </si>
  <si>
    <t>6'7"</t>
  </si>
  <si>
    <t>2-Way Crafty 3-Level Dimer</t>
  </si>
  <si>
    <t>2-Way Crafty Mid-Range Slasher</t>
  </si>
  <si>
    <t>2-Way Disruptive High Flyer</t>
  </si>
  <si>
    <t>2-Way High-Flying Dime Dropper</t>
  </si>
  <si>
    <t>2-Way High-Flying Slasher</t>
  </si>
  <si>
    <t>185-205</t>
  </si>
  <si>
    <t>73-84</t>
  </si>
  <si>
    <t>73-81</t>
  </si>
  <si>
    <t>87-93</t>
  </si>
  <si>
    <t>37-43</t>
  </si>
  <si>
    <t>40-48</t>
  </si>
  <si>
    <t>70-75</t>
  </si>
  <si>
    <t>80-83</t>
  </si>
  <si>
    <t>55-79</t>
  </si>
  <si>
    <t>75-85</t>
  </si>
  <si>
    <t>85-90</t>
  </si>
  <si>
    <t>50-73</t>
  </si>
  <si>
    <t>45-74</t>
  </si>
  <si>
    <t>30-74</t>
  </si>
  <si>
    <t>55-75</t>
  </si>
  <si>
    <t>76-83</t>
  </si>
  <si>
    <t>51-64</t>
  </si>
  <si>
    <t>2-Way Inside-Out Bully Slasher</t>
  </si>
  <si>
    <t>6'5"</t>
  </si>
  <si>
    <t>2-Way Inside-Out Creator</t>
  </si>
  <si>
    <t>6'0" to 6'5"</t>
  </si>
  <si>
    <t>199-205</t>
  </si>
  <si>
    <t>83-89</t>
  </si>
  <si>
    <t>80-84</t>
  </si>
  <si>
    <t>74-89</t>
  </si>
  <si>
    <t>39-85</t>
  </si>
  <si>
    <t>70-78</t>
  </si>
  <si>
    <t>74-85</t>
  </si>
  <si>
    <t>82-92</t>
  </si>
  <si>
    <t>86-91</t>
  </si>
  <si>
    <t>49-50</t>
  </si>
  <si>
    <t>88-92</t>
  </si>
  <si>
    <t>59-85</t>
  </si>
  <si>
    <t>39-42</t>
  </si>
  <si>
    <t>36-62</t>
  </si>
  <si>
    <t>44-52</t>
  </si>
  <si>
    <t>88-91</t>
  </si>
  <si>
    <t>79-80</t>
  </si>
  <si>
    <t>73-75</t>
  </si>
  <si>
    <t>65-73</t>
  </si>
  <si>
    <t>2-Way Inside-Out Dime-Dropper</t>
  </si>
  <si>
    <t>2-Way Inside-Out Playmaker</t>
  </si>
  <si>
    <t>6'2" to 6'6"</t>
  </si>
  <si>
    <t>175-218</t>
  </si>
  <si>
    <t>70-80</t>
  </si>
  <si>
    <t>75-90</t>
  </si>
  <si>
    <t>25-95</t>
  </si>
  <si>
    <t>25-50</t>
  </si>
  <si>
    <t>26-42</t>
  </si>
  <si>
    <t>75-99</t>
  </si>
  <si>
    <t>78-88</t>
  </si>
  <si>
    <t>55-94</t>
  </si>
  <si>
    <t>33-68</t>
  </si>
  <si>
    <t>25-71</t>
  </si>
  <si>
    <t>40-56</t>
  </si>
  <si>
    <t>80-90</t>
  </si>
  <si>
    <t>45-85</t>
  </si>
  <si>
    <t>58-81</t>
  </si>
  <si>
    <t>2-Way Inside-Out Scorer</t>
  </si>
  <si>
    <t>2-Way Inside-Out Slasher</t>
  </si>
  <si>
    <t>6'4" to 6'5"</t>
  </si>
  <si>
    <t>175-203</t>
  </si>
  <si>
    <t>89-96</t>
  </si>
  <si>
    <t>35-45</t>
  </si>
  <si>
    <t>36-43</t>
  </si>
  <si>
    <t>79-82</t>
  </si>
  <si>
    <t>63-88</t>
  </si>
  <si>
    <t>71-85</t>
  </si>
  <si>
    <t>86-88</t>
  </si>
  <si>
    <t>35-51</t>
  </si>
  <si>
    <t>55-73</t>
  </si>
  <si>
    <t>35-50</t>
  </si>
  <si>
    <t>45-50</t>
  </si>
  <si>
    <t>77-83</t>
  </si>
  <si>
    <t>46-73</t>
  </si>
  <si>
    <t>2-Way Iso Sniper</t>
  </si>
  <si>
    <t>168-224</t>
  </si>
  <si>
    <t>25-48</t>
  </si>
  <si>
    <t>25-67</t>
  </si>
  <si>
    <t>87-99</t>
  </si>
  <si>
    <t>81-94</t>
  </si>
  <si>
    <t>82-93</t>
  </si>
  <si>
    <t>55-95</t>
  </si>
  <si>
    <t>32-74</t>
  </si>
  <si>
    <t>25-65</t>
  </si>
  <si>
    <t>40-58</t>
  </si>
  <si>
    <t>42-71</t>
  </si>
  <si>
    <t>55-77</t>
  </si>
  <si>
    <t>2-Way Iso-Sniping Cleaner</t>
  </si>
  <si>
    <t>2-Way Mid-Paint Maestro Bully</t>
  </si>
  <si>
    <t>2-Way Mid-Paint Playmaker</t>
  </si>
  <si>
    <t>2-Way Mid-Post Creator</t>
  </si>
  <si>
    <t>2-Way Mid-Post High Flyer</t>
  </si>
  <si>
    <t>2-Way Mid-Post Playmaker</t>
  </si>
  <si>
    <t>2-Way Mid-Post Scorer</t>
  </si>
  <si>
    <t>2-Way Mid-Range High Flyer</t>
  </si>
  <si>
    <t>6'3" to 6'6"</t>
  </si>
  <si>
    <t>180-225</t>
  </si>
  <si>
    <t>72-78</t>
  </si>
  <si>
    <t>75-93</t>
  </si>
  <si>
    <t>25-40</t>
  </si>
  <si>
    <t>31-80</t>
  </si>
  <si>
    <t>80-85</t>
  </si>
  <si>
    <t>55-85</t>
  </si>
  <si>
    <t>35-74</t>
  </si>
  <si>
    <t>25-77</t>
  </si>
  <si>
    <t>71-87</t>
  </si>
  <si>
    <t>50-87</t>
  </si>
  <si>
    <t>75-87</t>
  </si>
  <si>
    <t>2-Way Mid-Range Menace</t>
  </si>
  <si>
    <t>6'3" to 6'7"</t>
  </si>
  <si>
    <t>195-205</t>
  </si>
  <si>
    <t>75-78</t>
  </si>
  <si>
    <t>73-88</t>
  </si>
  <si>
    <t>54-80</t>
  </si>
  <si>
    <t>35-40</t>
  </si>
  <si>
    <t>39-70</t>
  </si>
  <si>
    <t>64-86</t>
  </si>
  <si>
    <t>71-79</t>
  </si>
  <si>
    <t>47-79</t>
  </si>
  <si>
    <t>73-87</t>
  </si>
  <si>
    <t>63-78</t>
  </si>
  <si>
    <t>33-74</t>
  </si>
  <si>
    <t>45-59</t>
  </si>
  <si>
    <t>85-93</t>
  </si>
  <si>
    <t>77-85</t>
  </si>
  <si>
    <t>58-80</t>
  </si>
  <si>
    <t>60-82</t>
  </si>
  <si>
    <t>2-Way Mid-Range Slasher</t>
  </si>
  <si>
    <t>180-230</t>
  </si>
  <si>
    <t>70-93</t>
  </si>
  <si>
    <t>73-93</t>
  </si>
  <si>
    <t>27-43</t>
  </si>
  <si>
    <t>30-62</t>
  </si>
  <si>
    <t>60-84</t>
  </si>
  <si>
    <t>81-90</t>
  </si>
  <si>
    <t>40-70</t>
  </si>
  <si>
    <t>60-88</t>
  </si>
  <si>
    <t>40-79</t>
  </si>
  <si>
    <t>70-86</t>
  </si>
  <si>
    <t>2-Way Middy Playmaker</t>
  </si>
  <si>
    <t>2-Way Off-Screen Shooter</t>
  </si>
  <si>
    <t>5'10" to 6'7"</t>
  </si>
  <si>
    <t>180-219</t>
  </si>
  <si>
    <t>74-81</t>
  </si>
  <si>
    <t>56-81</t>
  </si>
  <si>
    <t>25-55</t>
  </si>
  <si>
    <t>85-99</t>
  </si>
  <si>
    <t>71-93</t>
  </si>
  <si>
    <t>35-82</t>
  </si>
  <si>
    <t>65-82</t>
  </si>
  <si>
    <t>49-70</t>
  </si>
  <si>
    <t>87-96</t>
  </si>
  <si>
    <t>72-96</t>
  </si>
  <si>
    <t>42-78</t>
  </si>
  <si>
    <t>26-39</t>
  </si>
  <si>
    <t>50-64</t>
  </si>
  <si>
    <t>55-74</t>
  </si>
  <si>
    <t>2-Way Physical Laymaker</t>
  </si>
  <si>
    <t>2-Way Playmaking Bully Creator</t>
  </si>
  <si>
    <t>2-Way Playmaking Creator</t>
  </si>
  <si>
    <t>196-215</t>
  </si>
  <si>
    <t>30-80</t>
  </si>
  <si>
    <t>29-50</t>
  </si>
  <si>
    <t>85-97</t>
  </si>
  <si>
    <t>65-75</t>
  </si>
  <si>
    <t>60-81</t>
  </si>
  <si>
    <t>35-75</t>
  </si>
  <si>
    <t>25-37</t>
  </si>
  <si>
    <t>45-55</t>
  </si>
  <si>
    <t>62-75</t>
  </si>
  <si>
    <t>55-65</t>
  </si>
  <si>
    <t>2-Way Playmaking Slasher</t>
  </si>
  <si>
    <t>2-Way PlaySlash Bully</t>
  </si>
  <si>
    <t>2-Way Sharpshooter</t>
  </si>
  <si>
    <t>41-51</t>
  </si>
  <si>
    <t>47-56</t>
  </si>
  <si>
    <t>67-68</t>
  </si>
  <si>
    <t>2-Way Tempo-Pushing Crasher</t>
  </si>
  <si>
    <t>3 &amp; D Dime Dropper</t>
  </si>
  <si>
    <t>3-Level Scorer</t>
  </si>
  <si>
    <t>192-215</t>
  </si>
  <si>
    <t>74-91</t>
  </si>
  <si>
    <t>43-68</t>
  </si>
  <si>
    <t>25-73</t>
  </si>
  <si>
    <t>70-99</t>
  </si>
  <si>
    <t>75-82</t>
  </si>
  <si>
    <t>29-53</t>
  </si>
  <si>
    <t>40-73</t>
  </si>
  <si>
    <t>31-71</t>
  </si>
  <si>
    <t>26-72</t>
  </si>
  <si>
    <t>37-74</t>
  </si>
  <si>
    <t>84-90</t>
  </si>
  <si>
    <t>74-94</t>
  </si>
  <si>
    <t>3PT High-Flying Ball Hawk</t>
  </si>
  <si>
    <t>198-205</t>
  </si>
  <si>
    <t>74-77</t>
  </si>
  <si>
    <t>31-55</t>
  </si>
  <si>
    <t>89-93</t>
  </si>
  <si>
    <t>81-99</t>
  </si>
  <si>
    <t>65-85</t>
  </si>
  <si>
    <t>52-74</t>
  </si>
  <si>
    <t>81-83</t>
  </si>
  <si>
    <t>85-96</t>
  </si>
  <si>
    <t>60-66</t>
  </si>
  <si>
    <t>51-70</t>
  </si>
  <si>
    <t>77-80</t>
  </si>
  <si>
    <t>71-73</t>
  </si>
  <si>
    <t>77-89</t>
  </si>
  <si>
    <t>3PT Shot Hunter</t>
  </si>
  <si>
    <t>6'2" to 6'4"</t>
  </si>
  <si>
    <t>165-221</t>
  </si>
  <si>
    <t>76-80</t>
  </si>
  <si>
    <t>27-80</t>
  </si>
  <si>
    <t>34-72</t>
  </si>
  <si>
    <t>88-94</t>
  </si>
  <si>
    <t>63-83</t>
  </si>
  <si>
    <t>30-67</t>
  </si>
  <si>
    <t>64-84</t>
  </si>
  <si>
    <t>63-80</t>
  </si>
  <si>
    <t>32-65</t>
  </si>
  <si>
    <t>77-90</t>
  </si>
  <si>
    <t>63-84</t>
  </si>
  <si>
    <t>3PT-Sniping Creator</t>
  </si>
  <si>
    <t>6'1" to 6'5"</t>
  </si>
  <si>
    <t>169-200</t>
  </si>
  <si>
    <t>74-80</t>
  </si>
  <si>
    <t>26-81</t>
  </si>
  <si>
    <t>37-46</t>
  </si>
  <si>
    <t>90-92</t>
  </si>
  <si>
    <t>70-79</t>
  </si>
  <si>
    <t>92-93</t>
  </si>
  <si>
    <t>33-37</t>
  </si>
  <si>
    <t>67-80</t>
  </si>
  <si>
    <t>53-82</t>
  </si>
  <si>
    <t>25-34</t>
  </si>
  <si>
    <t>89-91</t>
  </si>
  <si>
    <t>74-92</t>
  </si>
  <si>
    <t>40-57</t>
  </si>
  <si>
    <t>60-70</t>
  </si>
  <si>
    <t>Aerial Playmaker</t>
  </si>
  <si>
    <t>Ankle Snatcher</t>
  </si>
  <si>
    <t>Ankle Taker</t>
  </si>
  <si>
    <t>5'9" to 6'7"</t>
  </si>
  <si>
    <t>165-220</t>
  </si>
  <si>
    <t>89-99</t>
  </si>
  <si>
    <t>67-99</t>
  </si>
  <si>
    <t>84-95</t>
  </si>
  <si>
    <t>25-76</t>
  </si>
  <si>
    <t>59-82</t>
  </si>
  <si>
    <t>30-79</t>
  </si>
  <si>
    <t>25-53</t>
  </si>
  <si>
    <t>35-62</t>
  </si>
  <si>
    <t>75-89</t>
  </si>
  <si>
    <t>34-76</t>
  </si>
  <si>
    <t>56-76</t>
  </si>
  <si>
    <t>Athletic High Flyer</t>
  </si>
  <si>
    <t>Ball-Hawking 3 &amp; D Point</t>
  </si>
  <si>
    <t>Ball-Hawking 3-Level Creator</t>
  </si>
  <si>
    <t>70-81</t>
  </si>
  <si>
    <t>71-86</t>
  </si>
  <si>
    <t>71-91</t>
  </si>
  <si>
    <t>25-41</t>
  </si>
  <si>
    <t>29-48</t>
  </si>
  <si>
    <t>84-92</t>
  </si>
  <si>
    <t>77-91</t>
  </si>
  <si>
    <t>42-60</t>
  </si>
  <si>
    <t>72-85</t>
  </si>
  <si>
    <t>25-58</t>
  </si>
  <si>
    <t>25-39</t>
  </si>
  <si>
    <t>33-46</t>
  </si>
  <si>
    <t>Ball-Hawking 3-Level Scorer</t>
  </si>
  <si>
    <t>6'2"</t>
  </si>
  <si>
    <t>Ball-Hawking 3PT Shot Hunter</t>
  </si>
  <si>
    <t>160-195</t>
  </si>
  <si>
    <t>69-76</t>
  </si>
  <si>
    <t>25-45</t>
  </si>
  <si>
    <t>32-43</t>
  </si>
  <si>
    <t>81-84</t>
  </si>
  <si>
    <t>90-94</t>
  </si>
  <si>
    <t>66-95</t>
  </si>
  <si>
    <t>69-85</t>
  </si>
  <si>
    <t>88-95</t>
  </si>
  <si>
    <t>40-55</t>
  </si>
  <si>
    <t>25-52</t>
  </si>
  <si>
    <t>25-28</t>
  </si>
  <si>
    <t>35-46</t>
  </si>
  <si>
    <t>90-95</t>
  </si>
  <si>
    <t>30-50</t>
  </si>
  <si>
    <t>61-78</t>
  </si>
  <si>
    <t>Ball-Hawking 3PT Slasher</t>
  </si>
  <si>
    <t>165-209</t>
  </si>
  <si>
    <t>66-80</t>
  </si>
  <si>
    <t>28-60</t>
  </si>
  <si>
    <t>26-79</t>
  </si>
  <si>
    <t>79-85</t>
  </si>
  <si>
    <t>60-96</t>
  </si>
  <si>
    <t>81-93</t>
  </si>
  <si>
    <t>25-64</t>
  </si>
  <si>
    <t>68-90</t>
  </si>
  <si>
    <t>65-89</t>
  </si>
  <si>
    <t>Ball-Hawking 3PT Sniper</t>
  </si>
  <si>
    <t>Ball-Hawking Iso Sniper</t>
  </si>
  <si>
    <t>160-200</t>
  </si>
  <si>
    <t>72-82</t>
  </si>
  <si>
    <t>89-97</t>
  </si>
  <si>
    <t>68-83</t>
  </si>
  <si>
    <t>25-61</t>
  </si>
  <si>
    <t>31-60</t>
  </si>
  <si>
    <t>75-88</t>
  </si>
  <si>
    <t>33-73</t>
  </si>
  <si>
    <t>56-80</t>
  </si>
  <si>
    <t>Ball-Hawking Mid-Range Menace</t>
  </si>
  <si>
    <t>Ball-Hawking Middy High Flyer</t>
  </si>
  <si>
    <t>6'5" to 6'6"</t>
  </si>
  <si>
    <t>190-195</t>
  </si>
  <si>
    <t>72-79</t>
  </si>
  <si>
    <t>38-39</t>
  </si>
  <si>
    <t>38-40</t>
  </si>
  <si>
    <t>87-94</t>
  </si>
  <si>
    <t>62-69</t>
  </si>
  <si>
    <t>60-63</t>
  </si>
  <si>
    <t>84-86</t>
  </si>
  <si>
    <t>45-60</t>
  </si>
  <si>
    <t>40-71</t>
  </si>
  <si>
    <t>29-31</t>
  </si>
  <si>
    <t>46-48</t>
  </si>
  <si>
    <t>78-80</t>
  </si>
  <si>
    <t>50-60</t>
  </si>
  <si>
    <t>Ball-Hawking Middy Slasher</t>
  </si>
  <si>
    <t>Ball-Hawking PlayShot</t>
  </si>
  <si>
    <t>165-203</t>
  </si>
  <si>
    <t>61-80</t>
  </si>
  <si>
    <t>73-85</t>
  </si>
  <si>
    <t>25-79</t>
  </si>
  <si>
    <t>25-27</t>
  </si>
  <si>
    <t>31-40</t>
  </si>
  <si>
    <t>76-91</t>
  </si>
  <si>
    <t>86-96</t>
  </si>
  <si>
    <t>35-64</t>
  </si>
  <si>
    <t>80-99</t>
  </si>
  <si>
    <t>30-40</t>
  </si>
  <si>
    <t>58-61</t>
  </si>
  <si>
    <t>Ball-Hawking PlaySlash</t>
  </si>
  <si>
    <t>Ball-Hawking Sharpshooter</t>
  </si>
  <si>
    <t>Ball-Hawking Slasher</t>
  </si>
  <si>
    <t>Big Glide</t>
  </si>
  <si>
    <t>Blow-By Dual Finisher</t>
  </si>
  <si>
    <t>Blow-By High Flyer</t>
  </si>
  <si>
    <t>180-220</t>
  </si>
  <si>
    <t>80-81</t>
  </si>
  <si>
    <t>88-99</t>
  </si>
  <si>
    <t>38-50</t>
  </si>
  <si>
    <t>40-45</t>
  </si>
  <si>
    <t>78-82</t>
  </si>
  <si>
    <t>85-89</t>
  </si>
  <si>
    <t>46-62</t>
  </si>
  <si>
    <t>42-70</t>
  </si>
  <si>
    <t>48-76</t>
  </si>
  <si>
    <t>Cash Out</t>
  </si>
  <si>
    <t>Catch &amp; Shoot 3PT Sniper</t>
  </si>
  <si>
    <t>Clamp Thief</t>
  </si>
  <si>
    <t>Crafty 3-Level Scorer</t>
  </si>
  <si>
    <t>Crafty Inside-Out Creator</t>
  </si>
  <si>
    <t>Crafty Iso Savant</t>
  </si>
  <si>
    <t>5'9"</t>
  </si>
  <si>
    <t>Crafty Iso Sniper</t>
  </si>
  <si>
    <t>Crafty Offensive Engine</t>
  </si>
  <si>
    <t>190-200</t>
  </si>
  <si>
    <t>93-95</t>
  </si>
  <si>
    <t>70-87</t>
  </si>
  <si>
    <t>26-51</t>
  </si>
  <si>
    <t>94-95</t>
  </si>
  <si>
    <t>89-90</t>
  </si>
  <si>
    <t>54-75</t>
  </si>
  <si>
    <t>29-33</t>
  </si>
  <si>
    <t>36-39</t>
  </si>
  <si>
    <t>33-60</t>
  </si>
  <si>
    <t>69-75</t>
  </si>
  <si>
    <t>49-75</t>
  </si>
  <si>
    <t>51-74</t>
  </si>
  <si>
    <t>Crafty Playmaking Slasher</t>
  </si>
  <si>
    <t>Crafty Post Playmaker</t>
  </si>
  <si>
    <t>200-225</t>
  </si>
  <si>
    <t>80-82</t>
  </si>
  <si>
    <t>76-78</t>
  </si>
  <si>
    <t>76-79</t>
  </si>
  <si>
    <t>Crafty Sharpshooter</t>
  </si>
  <si>
    <t>6'1"</t>
  </si>
  <si>
    <t>Defensive Playmaker</t>
  </si>
  <si>
    <t>6'1" to 6'3"</t>
  </si>
  <si>
    <t>170-185</t>
  </si>
  <si>
    <t>73-78</t>
  </si>
  <si>
    <t>30-34</t>
  </si>
  <si>
    <t>76-77</t>
  </si>
  <si>
    <t>83-85</t>
  </si>
  <si>
    <t>58-65</t>
  </si>
  <si>
    <t>88-90</t>
  </si>
  <si>
    <t>48-57</t>
  </si>
  <si>
    <t>90-93</t>
  </si>
  <si>
    <t>35-41</t>
  </si>
  <si>
    <t>47-65</t>
  </si>
  <si>
    <t>80-89</t>
  </si>
  <si>
    <t>46-47</t>
  </si>
  <si>
    <t>Diming Inside-Out Scorer</t>
  </si>
  <si>
    <t>Diming Sharpshooter</t>
  </si>
  <si>
    <t>Dot Dispenser</t>
  </si>
  <si>
    <t>Edge Enforcer</t>
  </si>
  <si>
    <t>Edge-Enforcing Iso Sniper</t>
  </si>
  <si>
    <t>Explosive 2-Way 3PT Creator</t>
  </si>
  <si>
    <t>Gritty 3PT Slasher</t>
  </si>
  <si>
    <t>Gritty Blow-By High Flyer</t>
  </si>
  <si>
    <t>Gritty Power Slasher</t>
  </si>
  <si>
    <t>High-Flying Mid-Range Slasher</t>
  </si>
  <si>
    <t>6'2" to 6'5"</t>
  </si>
  <si>
    <t>193-230</t>
  </si>
  <si>
    <t>85-87</t>
  </si>
  <si>
    <t>32-35</t>
  </si>
  <si>
    <t>32-39</t>
  </si>
  <si>
    <t>89-92</t>
  </si>
  <si>
    <t>69-79</t>
  </si>
  <si>
    <t>77-81</t>
  </si>
  <si>
    <t>81-85</t>
  </si>
  <si>
    <t>40-59</t>
  </si>
  <si>
    <t>78-85</t>
  </si>
  <si>
    <t>31-36</t>
  </si>
  <si>
    <t>45-48</t>
  </si>
  <si>
    <t>87-88</t>
  </si>
  <si>
    <t>High-Flying Slasher</t>
  </si>
  <si>
    <t>Inside-Out Ball Hawk</t>
  </si>
  <si>
    <t>Inside-Out Crafty Slasher</t>
  </si>
  <si>
    <t>6'6" to 6'7"</t>
  </si>
  <si>
    <t>194-210</t>
  </si>
  <si>
    <t>72-75</t>
  </si>
  <si>
    <t>51-72</t>
  </si>
  <si>
    <t>87-90</t>
  </si>
  <si>
    <t>44-49</t>
  </si>
  <si>
    <t>73-77</t>
  </si>
  <si>
    <t>32-50</t>
  </si>
  <si>
    <t>27-33</t>
  </si>
  <si>
    <t>42-57</t>
  </si>
  <si>
    <t>67-74</t>
  </si>
  <si>
    <t>Inside-Out High-Flying Slasher</t>
  </si>
  <si>
    <t>160-230</t>
  </si>
  <si>
    <t>28-74</t>
  </si>
  <si>
    <t>32-76</t>
  </si>
  <si>
    <t>61-99</t>
  </si>
  <si>
    <t>62-85</t>
  </si>
  <si>
    <t>83-95</t>
  </si>
  <si>
    <t>76-93</t>
  </si>
  <si>
    <t>58-85</t>
  </si>
  <si>
    <t>33-85</t>
  </si>
  <si>
    <t>29-74</t>
  </si>
  <si>
    <t>25-74</t>
  </si>
  <si>
    <t>32-80</t>
  </si>
  <si>
    <t>37-85</t>
  </si>
  <si>
    <t>66-90</t>
  </si>
  <si>
    <t>Inside-Out Playmaker</t>
  </si>
  <si>
    <t>6'1" to 6'4"</t>
  </si>
  <si>
    <t>71-82</t>
  </si>
  <si>
    <t>29-46</t>
  </si>
  <si>
    <t>84-96</t>
  </si>
  <si>
    <t>28-85</t>
  </si>
  <si>
    <t>25-26</t>
  </si>
  <si>
    <t>28-43</t>
  </si>
  <si>
    <t>73-86</t>
  </si>
  <si>
    <t>33-75</t>
  </si>
  <si>
    <t>Inside-Out Slasher</t>
  </si>
  <si>
    <t>175-224</t>
  </si>
  <si>
    <t>32-45</t>
  </si>
  <si>
    <t>34-60</t>
  </si>
  <si>
    <t>61-95</t>
  </si>
  <si>
    <t>64-85</t>
  </si>
  <si>
    <t>84-93</t>
  </si>
  <si>
    <t>76-92</t>
  </si>
  <si>
    <t>31-66</t>
  </si>
  <si>
    <t>38-65</t>
  </si>
  <si>
    <t>73-90</t>
  </si>
  <si>
    <t>46-76</t>
  </si>
  <si>
    <t>Inside-Out-Slashing Cleaner</t>
  </si>
  <si>
    <t>Iso Savant</t>
  </si>
  <si>
    <t>70-88</t>
  </si>
  <si>
    <t>70-96</t>
  </si>
  <si>
    <t>80-96</t>
  </si>
  <si>
    <t>27-65</t>
  </si>
  <si>
    <t>84-98</t>
  </si>
  <si>
    <t>62-99</t>
  </si>
  <si>
    <t>50-85</t>
  </si>
  <si>
    <t>32-85</t>
  </si>
  <si>
    <t>25-54</t>
  </si>
  <si>
    <t>26-70</t>
  </si>
  <si>
    <t>75-95</t>
  </si>
  <si>
    <t>63-94</t>
  </si>
  <si>
    <t>65-88</t>
  </si>
  <si>
    <t>Iso Sniper</t>
  </si>
  <si>
    <t>164-205</t>
  </si>
  <si>
    <t>72-84</t>
  </si>
  <si>
    <t>31-51</t>
  </si>
  <si>
    <t>68-94</t>
  </si>
  <si>
    <t>78-91</t>
  </si>
  <si>
    <t>57-82</t>
  </si>
  <si>
    <t>27-61</t>
  </si>
  <si>
    <t>72-90</t>
  </si>
  <si>
    <t>26-73</t>
  </si>
  <si>
    <t>58-95</t>
  </si>
  <si>
    <t>Mid-Paint Scorer</t>
  </si>
  <si>
    <t>205-206</t>
  </si>
  <si>
    <t>79-88</t>
  </si>
  <si>
    <t>86-87</t>
  </si>
  <si>
    <t>42-44</t>
  </si>
  <si>
    <t>74-76</t>
  </si>
  <si>
    <t>64-78</t>
  </si>
  <si>
    <t>74-79</t>
  </si>
  <si>
    <t>65-71</t>
  </si>
  <si>
    <t>35-55</t>
  </si>
  <si>
    <t>45-53</t>
  </si>
  <si>
    <t>81-82</t>
  </si>
  <si>
    <t>63-72</t>
  </si>
  <si>
    <t>78-84</t>
  </si>
  <si>
    <t>Mid-Range High Flyer</t>
  </si>
  <si>
    <t>165-210</t>
  </si>
  <si>
    <t>32-46</t>
  </si>
  <si>
    <t>26-48</t>
  </si>
  <si>
    <t>39-69</t>
  </si>
  <si>
    <t>43-60</t>
  </si>
  <si>
    <t>71-88</t>
  </si>
  <si>
    <t>69-80</t>
  </si>
  <si>
    <t>Mid-Range Slasher</t>
  </si>
  <si>
    <t>180-216</t>
  </si>
  <si>
    <t>38-55</t>
  </si>
  <si>
    <t>83-84</t>
  </si>
  <si>
    <t>71-76</t>
  </si>
  <si>
    <t>74-75</t>
  </si>
  <si>
    <t>65-80</t>
  </si>
  <si>
    <t>35-52</t>
  </si>
  <si>
    <t>41-44</t>
  </si>
  <si>
    <t>81-87</t>
  </si>
  <si>
    <t>43-75</t>
  </si>
  <si>
    <t>Mid-Range Slashing Cleaner</t>
  </si>
  <si>
    <t>Mr. Two Way</t>
  </si>
  <si>
    <t>Offensive Engine</t>
  </si>
  <si>
    <t>Physical 2-Way 3PT Slasher</t>
  </si>
  <si>
    <t>6'3" to 6'4"</t>
  </si>
  <si>
    <t>217-221</t>
  </si>
  <si>
    <t>69-82</t>
  </si>
  <si>
    <t>29-39</t>
  </si>
  <si>
    <t>30-43</t>
  </si>
  <si>
    <t>62-84</t>
  </si>
  <si>
    <t>42-68</t>
  </si>
  <si>
    <t>83-87</t>
  </si>
  <si>
    <t>Physical 2-Way Iso Sniper</t>
  </si>
  <si>
    <t>6'3" to 6'5"</t>
  </si>
  <si>
    <t>220-225</t>
  </si>
  <si>
    <t>36-40</t>
  </si>
  <si>
    <t>57-60</t>
  </si>
  <si>
    <t>55-60</t>
  </si>
  <si>
    <t>83-88</t>
  </si>
  <si>
    <t>61-65</t>
  </si>
  <si>
    <t>Physical 2-Way Middy Slasher</t>
  </si>
  <si>
    <t>Physical 2-Way Tempo Pusher</t>
  </si>
  <si>
    <t>Physical Inside-Out Creator</t>
  </si>
  <si>
    <t>205-215</t>
  </si>
  <si>
    <t>82-87</t>
  </si>
  <si>
    <t>80-86</t>
  </si>
  <si>
    <t>48-87</t>
  </si>
  <si>
    <t>76-85</t>
  </si>
  <si>
    <t>47-75</t>
  </si>
  <si>
    <t>36-76</t>
  </si>
  <si>
    <t>82-86</t>
  </si>
  <si>
    <t>Physical Inside-Out Slasher</t>
  </si>
  <si>
    <t>Physical Iso Sniper</t>
  </si>
  <si>
    <t>Physical Lockdown Defender</t>
  </si>
  <si>
    <t>Physical Mid-Range High Flyer</t>
  </si>
  <si>
    <t>Physical Mid-Range Menace</t>
  </si>
  <si>
    <t>212-228</t>
  </si>
  <si>
    <t>90-96</t>
  </si>
  <si>
    <t>30-65</t>
  </si>
  <si>
    <t>26-28</t>
  </si>
  <si>
    <t>60-69</t>
  </si>
  <si>
    <t>39-79</t>
  </si>
  <si>
    <t>35-39</t>
  </si>
  <si>
    <t>26-69</t>
  </si>
  <si>
    <t>83-90</t>
  </si>
  <si>
    <t>60-72</t>
  </si>
  <si>
    <t>Physical Offensive Engine</t>
  </si>
  <si>
    <t>Playmaker</t>
  </si>
  <si>
    <t>Playmaking 3-Level Ball Hawk</t>
  </si>
  <si>
    <t>Playmaking 3PT Creator</t>
  </si>
  <si>
    <t>190-230</t>
  </si>
  <si>
    <t>69-78</t>
  </si>
  <si>
    <t>25-36</t>
  </si>
  <si>
    <t>31-79</t>
  </si>
  <si>
    <t>89-94</t>
  </si>
  <si>
    <t>73-99</t>
  </si>
  <si>
    <t>62-82</t>
  </si>
  <si>
    <t>43-78</t>
  </si>
  <si>
    <t>41-61</t>
  </si>
  <si>
    <t>34-73</t>
  </si>
  <si>
    <t>57-80</t>
  </si>
  <si>
    <t>Playmaking 3PT Slasher</t>
  </si>
  <si>
    <t>198-220</t>
  </si>
  <si>
    <t>32-40</t>
  </si>
  <si>
    <t>33-41</t>
  </si>
  <si>
    <t>65-90</t>
  </si>
  <si>
    <t>82-90</t>
  </si>
  <si>
    <t>40-82</t>
  </si>
  <si>
    <t>33-63</t>
  </si>
  <si>
    <t>39-60</t>
  </si>
  <si>
    <t>87-95</t>
  </si>
  <si>
    <t>45-82</t>
  </si>
  <si>
    <t>76-88</t>
  </si>
  <si>
    <t>Playmaking Shot Creator</t>
  </si>
  <si>
    <t>25-32</t>
  </si>
  <si>
    <t>30-45</t>
  </si>
  <si>
    <t>74-99</t>
  </si>
  <si>
    <t>31-38</t>
  </si>
  <si>
    <t>52-76</t>
  </si>
  <si>
    <t>41-45</t>
  </si>
  <si>
    <t>42-65</t>
  </si>
  <si>
    <t>60-62</t>
  </si>
  <si>
    <t>Playmaking Slasher</t>
  </si>
  <si>
    <t>PlaySlash Board Enforcer</t>
  </si>
  <si>
    <t>Post Creator</t>
  </si>
  <si>
    <t>Shot-Erasing 3PT Slasher</t>
  </si>
  <si>
    <t>Shot-Erasing Power Finisher</t>
  </si>
  <si>
    <t>Speedy Offensive Engine</t>
  </si>
  <si>
    <t>184-203</t>
  </si>
  <si>
    <t>71-90</t>
  </si>
  <si>
    <t>28-62</t>
  </si>
  <si>
    <t>74-90</t>
  </si>
  <si>
    <t>55-80</t>
  </si>
  <si>
    <t>30-59</t>
  </si>
  <si>
    <t>35-54</t>
  </si>
  <si>
    <t>The Guard Dog</t>
  </si>
  <si>
    <t>Thieving Inside-Out Creator</t>
  </si>
  <si>
    <t>6'1" to 6'2"</t>
  </si>
  <si>
    <t>165-198</t>
  </si>
  <si>
    <t>77-93</t>
  </si>
  <si>
    <t>70-89</t>
  </si>
  <si>
    <t>31-42</t>
  </si>
  <si>
    <t>70-71</t>
  </si>
  <si>
    <t>69-70</t>
  </si>
  <si>
    <t>90-91</t>
  </si>
  <si>
    <t>33-34</t>
  </si>
  <si>
    <t>43-54</t>
  </si>
  <si>
    <t>77-78</t>
  </si>
  <si>
    <t>48-60</t>
  </si>
  <si>
    <t>Thieving Inside-Out Playmaker</t>
  </si>
  <si>
    <t>180-205</t>
  </si>
  <si>
    <t>71-81</t>
  </si>
  <si>
    <t>45-54</t>
  </si>
  <si>
    <t>35-44</t>
  </si>
  <si>
    <t>84-91</t>
  </si>
  <si>
    <t>40-60</t>
  </si>
  <si>
    <t>Thieving Inside-Out Slasher</t>
  </si>
  <si>
    <t>169-208</t>
  </si>
  <si>
    <t>34-43</t>
  </si>
  <si>
    <t>62-76</t>
  </si>
  <si>
    <t>41-60</t>
  </si>
  <si>
    <t>74-82</t>
  </si>
  <si>
    <t>31-68</t>
  </si>
  <si>
    <t>45-73</t>
  </si>
  <si>
    <t>70-82</t>
  </si>
  <si>
    <t>Versatile Paint Bully</t>
  </si>
  <si>
    <t>206-220</t>
  </si>
  <si>
    <t>70-73</t>
  </si>
  <si>
    <t>70-91</t>
  </si>
  <si>
    <t>33-45</t>
  </si>
  <si>
    <t>33-39</t>
  </si>
  <si>
    <t>95-96</t>
  </si>
  <si>
    <t>59-63</t>
  </si>
  <si>
    <t>32-34</t>
  </si>
  <si>
    <t>42-43</t>
  </si>
  <si>
    <t>71-77</t>
  </si>
  <si>
    <t>68-75</t>
  </si>
  <si>
    <t>Versatile Playmaking Slasher</t>
  </si>
  <si>
    <t>Versatile Scorer</t>
  </si>
  <si>
    <t>Shooting Guard</t>
  </si>
  <si>
    <t>6'7" to 6'8"</t>
  </si>
  <si>
    <t>185-216</t>
  </si>
  <si>
    <t>70-76</t>
  </si>
  <si>
    <t>40-50</t>
  </si>
  <si>
    <t>50-52</t>
  </si>
  <si>
    <t>60-71</t>
  </si>
  <si>
    <t>60-79</t>
  </si>
  <si>
    <t>31-75</t>
  </si>
  <si>
    <t>53-70</t>
  </si>
  <si>
    <t>Rim-Reaping Slasher</t>
  </si>
  <si>
    <t>6'6" to 6'8"</t>
  </si>
  <si>
    <t>200-235</t>
  </si>
  <si>
    <t>43-53</t>
  </si>
  <si>
    <t>46-51</t>
  </si>
  <si>
    <t>78-83</t>
  </si>
  <si>
    <t>59-70</t>
  </si>
  <si>
    <t>61-70</t>
  </si>
  <si>
    <t>70-74</t>
  </si>
  <si>
    <t>52-73</t>
  </si>
  <si>
    <t>55-57</t>
  </si>
  <si>
    <t>6'4" to 6'8"</t>
  </si>
  <si>
    <t>175-213</t>
  </si>
  <si>
    <t>39-82</t>
  </si>
  <si>
    <t>36-60</t>
  </si>
  <si>
    <t>60-75</t>
  </si>
  <si>
    <t>42-76</t>
  </si>
  <si>
    <t>61-91</t>
  </si>
  <si>
    <t>46-80</t>
  </si>
  <si>
    <t>6'3" to 6'8"</t>
  </si>
  <si>
    <t>170-225</t>
  </si>
  <si>
    <t>67-82</t>
  </si>
  <si>
    <t>69-84</t>
  </si>
  <si>
    <t>34-79</t>
  </si>
  <si>
    <t>84-94</t>
  </si>
  <si>
    <t>62-98</t>
  </si>
  <si>
    <t>81-92</t>
  </si>
  <si>
    <t>35-84</t>
  </si>
  <si>
    <t>72-89</t>
  </si>
  <si>
    <t>45-83</t>
  </si>
  <si>
    <t>185-224</t>
  </si>
  <si>
    <t>40-94</t>
  </si>
  <si>
    <t>25-68</t>
  </si>
  <si>
    <t>31-85</t>
  </si>
  <si>
    <t>64-98</t>
  </si>
  <si>
    <t>58-83</t>
  </si>
  <si>
    <t>45-81</t>
  </si>
  <si>
    <t>73-89</t>
  </si>
  <si>
    <t>50-86</t>
  </si>
  <si>
    <t>Physical Mid-Post Creator</t>
  </si>
  <si>
    <t>6'1" to 6'8"</t>
  </si>
  <si>
    <t>185-225</t>
  </si>
  <si>
    <t>73-82</t>
  </si>
  <si>
    <t>36-65</t>
  </si>
  <si>
    <t>76-84</t>
  </si>
  <si>
    <t>50-83</t>
  </si>
  <si>
    <t>30-75</t>
  </si>
  <si>
    <t>36-58</t>
  </si>
  <si>
    <t>42-82</t>
  </si>
  <si>
    <t>2-Way Inside-Out Combo Guard</t>
  </si>
  <si>
    <t>6'2" to 6'8"</t>
  </si>
  <si>
    <t>184-235</t>
  </si>
  <si>
    <t>79-84</t>
  </si>
  <si>
    <t>69-91</t>
  </si>
  <si>
    <t>55-96</t>
  </si>
  <si>
    <t>45-66</t>
  </si>
  <si>
    <t>175-230</t>
  </si>
  <si>
    <t>26-60</t>
  </si>
  <si>
    <t>43-82</t>
  </si>
  <si>
    <t>68-84</t>
  </si>
  <si>
    <t>61-96</t>
  </si>
  <si>
    <t>39-78</t>
  </si>
  <si>
    <t>44-74</t>
  </si>
  <si>
    <t>46-91</t>
  </si>
  <si>
    <t>67-90</t>
  </si>
  <si>
    <t>33-72</t>
  </si>
  <si>
    <t>35-77</t>
  </si>
  <si>
    <t>81-95</t>
  </si>
  <si>
    <t>37-84</t>
  </si>
  <si>
    <t>43-71</t>
  </si>
  <si>
    <t>38-83</t>
  </si>
  <si>
    <t>180-227</t>
  </si>
  <si>
    <t>53-75</t>
  </si>
  <si>
    <t>25-82</t>
  </si>
  <si>
    <t>25-56</t>
  </si>
  <si>
    <t>40-76</t>
  </si>
  <si>
    <t>61-81</t>
  </si>
  <si>
    <t>59-83</t>
  </si>
  <si>
    <t>37-80</t>
  </si>
  <si>
    <t>87-97</t>
  </si>
  <si>
    <t>57-95</t>
  </si>
  <si>
    <t>39-74</t>
  </si>
  <si>
    <t>50-68</t>
  </si>
  <si>
    <t>49-92</t>
  </si>
  <si>
    <t>Board-Hunting High Flyer</t>
  </si>
  <si>
    <t>6'8"</t>
  </si>
  <si>
    <t>6'5" to 6'8"</t>
  </si>
  <si>
    <t>193-215</t>
  </si>
  <si>
    <t>39-50</t>
  </si>
  <si>
    <t>66-75</t>
  </si>
  <si>
    <t>78-86</t>
  </si>
  <si>
    <t>45-69</t>
  </si>
  <si>
    <t>66-84</t>
  </si>
  <si>
    <t>35-68</t>
  </si>
  <si>
    <t>26-61</t>
  </si>
  <si>
    <t>Disruptive Mid-Range Slasher</t>
  </si>
  <si>
    <t>2-Way PlaySlash Cleaner</t>
  </si>
  <si>
    <t>185-210</t>
  </si>
  <si>
    <t>36-70</t>
  </si>
  <si>
    <t>61-82</t>
  </si>
  <si>
    <t>54-72</t>
  </si>
  <si>
    <t>55-91</t>
  </si>
  <si>
    <t>40-85</t>
  </si>
  <si>
    <t>48-79</t>
  </si>
  <si>
    <t>2-Way Mid-Paint Creator</t>
  </si>
  <si>
    <t>185-215</t>
  </si>
  <si>
    <t>72-81</t>
  </si>
  <si>
    <t>30-72</t>
  </si>
  <si>
    <t>36-77</t>
  </si>
  <si>
    <t>60-90</t>
  </si>
  <si>
    <t>60-76</t>
  </si>
  <si>
    <t>81-88</t>
  </si>
  <si>
    <t>43-74</t>
  </si>
  <si>
    <t>55-81</t>
  </si>
  <si>
    <t>41-78</t>
  </si>
  <si>
    <t>27-75</t>
  </si>
  <si>
    <t>48-80</t>
  </si>
  <si>
    <t>186-220</t>
  </si>
  <si>
    <t>32-73</t>
  </si>
  <si>
    <t>65-94</t>
  </si>
  <si>
    <t>66-85</t>
  </si>
  <si>
    <t>55-90</t>
  </si>
  <si>
    <t>27-72</t>
  </si>
  <si>
    <t>50-70</t>
  </si>
  <si>
    <t>67-92</t>
  </si>
  <si>
    <t>165-222</t>
  </si>
  <si>
    <t>70-94</t>
  </si>
  <si>
    <t>32-79</t>
  </si>
  <si>
    <t>64-93</t>
  </si>
  <si>
    <t>72-91</t>
  </si>
  <si>
    <t>25-72</t>
  </si>
  <si>
    <t>56-85</t>
  </si>
  <si>
    <t>41-85</t>
  </si>
  <si>
    <t>26-75</t>
  </si>
  <si>
    <t>78-93</t>
  </si>
  <si>
    <t>67-88</t>
  </si>
  <si>
    <t>2-Way Middy-Slashing Crasher</t>
  </si>
  <si>
    <t>191-227</t>
  </si>
  <si>
    <t>73-76</t>
  </si>
  <si>
    <t>41-53</t>
  </si>
  <si>
    <t>61-84</t>
  </si>
  <si>
    <t>50-71</t>
  </si>
  <si>
    <t>47-80</t>
  </si>
  <si>
    <t>65-79</t>
  </si>
  <si>
    <t>51-73</t>
  </si>
  <si>
    <t>2-Way 3-Level Scoring Bully</t>
  </si>
  <si>
    <t>198-224</t>
  </si>
  <si>
    <t>35-49</t>
  </si>
  <si>
    <t>40-51</t>
  </si>
  <si>
    <t>73-91</t>
  </si>
  <si>
    <t>67-70</t>
  </si>
  <si>
    <t>30-56</t>
  </si>
  <si>
    <t>185-231</t>
  </si>
  <si>
    <t>71-84</t>
  </si>
  <si>
    <t>40-52</t>
  </si>
  <si>
    <t>50-88</t>
  </si>
  <si>
    <t>40-88</t>
  </si>
  <si>
    <t>2-Way Middy-Slashing Cleaner</t>
  </si>
  <si>
    <t>39-75</t>
  </si>
  <si>
    <t>50-78</t>
  </si>
  <si>
    <t>49-77</t>
  </si>
  <si>
    <t>80-88</t>
  </si>
  <si>
    <t>2-Way Mid-Paint Maestro</t>
  </si>
  <si>
    <t>180-208</t>
  </si>
  <si>
    <t>37-47</t>
  </si>
  <si>
    <t>76-99</t>
  </si>
  <si>
    <t>45-52</t>
  </si>
  <si>
    <t>35-47</t>
  </si>
  <si>
    <t>182-210</t>
  </si>
  <si>
    <t>73-80</t>
  </si>
  <si>
    <t>36-45</t>
  </si>
  <si>
    <t>33-54</t>
  </si>
  <si>
    <t>69-81</t>
  </si>
  <si>
    <t>47-76</t>
  </si>
  <si>
    <t>73-94</t>
  </si>
  <si>
    <t>46-70</t>
  </si>
  <si>
    <t>32-77</t>
  </si>
  <si>
    <t>53-62</t>
  </si>
  <si>
    <t>56-75</t>
  </si>
  <si>
    <t>2-Way Combo Guard</t>
  </si>
  <si>
    <t>191-205</t>
  </si>
  <si>
    <t>34-41</t>
  </si>
  <si>
    <t>66-70</t>
  </si>
  <si>
    <t>51-60</t>
  </si>
  <si>
    <t>60-65</t>
  </si>
  <si>
    <t>62-70</t>
  </si>
  <si>
    <t>44-71</t>
  </si>
  <si>
    <t>77-88</t>
  </si>
  <si>
    <t>78-98</t>
  </si>
  <si>
    <t>37-56</t>
  </si>
  <si>
    <t>36-73</t>
  </si>
  <si>
    <t>50-65</t>
  </si>
  <si>
    <t>51-67</t>
  </si>
  <si>
    <t>2-Way Mid-Range Scorer</t>
  </si>
  <si>
    <t>190-208</t>
  </si>
  <si>
    <t>82-83</t>
  </si>
  <si>
    <t>64-65</t>
  </si>
  <si>
    <t>45-68</t>
  </si>
  <si>
    <t>56-60</t>
  </si>
  <si>
    <t>92-96</t>
  </si>
  <si>
    <t>34-48</t>
  </si>
  <si>
    <t>52-70</t>
  </si>
  <si>
    <t>185-193</t>
  </si>
  <si>
    <t>74-78</t>
  </si>
  <si>
    <t>50-53</t>
  </si>
  <si>
    <t>50-51</t>
  </si>
  <si>
    <t>66-72</t>
  </si>
  <si>
    <t>31-73</t>
  </si>
  <si>
    <t>52-69</t>
  </si>
  <si>
    <t>175-215</t>
  </si>
  <si>
    <t>90-99</t>
  </si>
  <si>
    <t>65-95</t>
  </si>
  <si>
    <t>30-71</t>
  </si>
  <si>
    <t>80-92</t>
  </si>
  <si>
    <t>54-81</t>
  </si>
  <si>
    <t>2-Way 3PT Sniping High Flyer</t>
  </si>
  <si>
    <t>Board-Hunting Middy Slasher</t>
  </si>
  <si>
    <t>175-205</t>
  </si>
  <si>
    <t>32-93</t>
  </si>
  <si>
    <t>42-51</t>
  </si>
  <si>
    <t>68-87</t>
  </si>
  <si>
    <t>46-63</t>
  </si>
  <si>
    <t>35-42</t>
  </si>
  <si>
    <t>44-59</t>
  </si>
  <si>
    <t>49-74</t>
  </si>
  <si>
    <t>Edge-Enforcing Middy Slasher</t>
  </si>
  <si>
    <t>188-215</t>
  </si>
  <si>
    <t>60-73</t>
  </si>
  <si>
    <t>51-75</t>
  </si>
  <si>
    <t>2-Way Blow-By Ace</t>
  </si>
  <si>
    <t>180-200</t>
  </si>
  <si>
    <t>71-75</t>
  </si>
  <si>
    <t>30-35</t>
  </si>
  <si>
    <t>44-70</t>
  </si>
  <si>
    <t>27-34</t>
  </si>
  <si>
    <t>52-54</t>
  </si>
  <si>
    <t>84-89</t>
  </si>
  <si>
    <t>59-61</t>
  </si>
  <si>
    <t>62-65</t>
  </si>
  <si>
    <t>180-209</t>
  </si>
  <si>
    <t>41-76</t>
  </si>
  <si>
    <t>45-67</t>
  </si>
  <si>
    <t>60-78</t>
  </si>
  <si>
    <t>184-205</t>
  </si>
  <si>
    <t>26-83</t>
  </si>
  <si>
    <t>65-98</t>
  </si>
  <si>
    <t>35-76</t>
  </si>
  <si>
    <t>38-74</t>
  </si>
  <si>
    <t>47-70</t>
  </si>
  <si>
    <t>56-94</t>
  </si>
  <si>
    <t>2-Way 3-Level Dime Dropper</t>
  </si>
  <si>
    <t>75-76</t>
  </si>
  <si>
    <t>72-74</t>
  </si>
  <si>
    <t>46-49</t>
  </si>
  <si>
    <t>2-Way Slashing Combo Guard</t>
  </si>
  <si>
    <t>185-213</t>
  </si>
  <si>
    <t>54-70</t>
  </si>
  <si>
    <t>55-76</t>
  </si>
  <si>
    <t>55-83</t>
  </si>
  <si>
    <t>50-66</t>
  </si>
  <si>
    <t>73-79</t>
  </si>
  <si>
    <t>78-87</t>
  </si>
  <si>
    <t>78-90</t>
  </si>
  <si>
    <t>Inside-Out High Flyer</t>
  </si>
  <si>
    <t>2-Way Bulldozer</t>
  </si>
  <si>
    <t>210-214</t>
  </si>
  <si>
    <t>65-70</t>
  </si>
  <si>
    <t>66-71</t>
  </si>
  <si>
    <t>35-48</t>
  </si>
  <si>
    <t>61-71</t>
  </si>
  <si>
    <t>75-77</t>
  </si>
  <si>
    <t>60-74</t>
  </si>
  <si>
    <t>49-85</t>
  </si>
  <si>
    <t>31-76</t>
  </si>
  <si>
    <t>56-64</t>
  </si>
  <si>
    <t>80-87</t>
  </si>
  <si>
    <t>Ball-Hawking Mid-Paint Scorer</t>
  </si>
  <si>
    <t>185-212</t>
  </si>
  <si>
    <t>72-93</t>
  </si>
  <si>
    <t>91-93</t>
  </si>
  <si>
    <t>43-51</t>
  </si>
  <si>
    <t>43-76</t>
  </si>
  <si>
    <t>59-67</t>
  </si>
  <si>
    <t>66-82</t>
  </si>
  <si>
    <t>28-72</t>
  </si>
  <si>
    <t>48-69</t>
  </si>
  <si>
    <t>53-84</t>
  </si>
  <si>
    <t>2-Way Combo Guard Creator</t>
  </si>
  <si>
    <t>185-208</t>
  </si>
  <si>
    <t>54-83</t>
  </si>
  <si>
    <t>66-89</t>
  </si>
  <si>
    <t>62-83</t>
  </si>
  <si>
    <t>43-62</t>
  </si>
  <si>
    <t>Physical Edge Enforcer</t>
  </si>
  <si>
    <t>187-215</t>
  </si>
  <si>
    <t>69-88</t>
  </si>
  <si>
    <t>36-83</t>
  </si>
  <si>
    <t>66-91</t>
  </si>
  <si>
    <t>33-70</t>
  </si>
  <si>
    <t>42-73</t>
  </si>
  <si>
    <t>72-87</t>
  </si>
  <si>
    <t>33-40</t>
  </si>
  <si>
    <t>31-45</t>
  </si>
  <si>
    <t>89-95</t>
  </si>
  <si>
    <t>65-77</t>
  </si>
  <si>
    <t>35-65</t>
  </si>
  <si>
    <t>25-31</t>
  </si>
  <si>
    <t>48-75</t>
  </si>
  <si>
    <t>200-221</t>
  </si>
  <si>
    <t>58-73</t>
  </si>
  <si>
    <t>57-70</t>
  </si>
  <si>
    <t>68-78</t>
  </si>
  <si>
    <t>33-43</t>
  </si>
  <si>
    <t>58-67</t>
  </si>
  <si>
    <t>71-83</t>
  </si>
  <si>
    <t>76-81</t>
  </si>
  <si>
    <t>94-97</t>
  </si>
  <si>
    <t>91-95</t>
  </si>
  <si>
    <t>30-55</t>
  </si>
  <si>
    <t>200-208</t>
  </si>
  <si>
    <t>30-47</t>
  </si>
  <si>
    <t>35-70</t>
  </si>
  <si>
    <t>52-79</t>
  </si>
  <si>
    <t>43-73</t>
  </si>
  <si>
    <t>223-227</t>
  </si>
  <si>
    <t>25-43</t>
  </si>
  <si>
    <t>65-66</t>
  </si>
  <si>
    <t>36-80</t>
  </si>
  <si>
    <t>82-85</t>
  </si>
  <si>
    <t>2-Way Mid-Range Bully</t>
  </si>
  <si>
    <t>215-221</t>
  </si>
  <si>
    <t>45-72</t>
  </si>
  <si>
    <t>64-73</t>
  </si>
  <si>
    <t>55-71</t>
  </si>
  <si>
    <t>61-68</t>
  </si>
  <si>
    <t>91-94</t>
  </si>
  <si>
    <t>58-60</t>
  </si>
  <si>
    <t>Rim-Reaping Mid-Range Slasher</t>
  </si>
  <si>
    <t>186-193</t>
  </si>
  <si>
    <t>73-74</t>
  </si>
  <si>
    <t>38-48</t>
  </si>
  <si>
    <t>88-89</t>
  </si>
  <si>
    <t>64-70</t>
  </si>
  <si>
    <t>54-73</t>
  </si>
  <si>
    <t>185-229</t>
  </si>
  <si>
    <t>42-52</t>
  </si>
  <si>
    <t>56-77</t>
  </si>
  <si>
    <t>41-82</t>
  </si>
  <si>
    <t>85-98</t>
  </si>
  <si>
    <t>47-91</t>
  </si>
  <si>
    <t>33-78</t>
  </si>
  <si>
    <t>50-79</t>
  </si>
  <si>
    <t>Lockdown Defender</t>
  </si>
  <si>
    <t>210-224</t>
  </si>
  <si>
    <t>58-70</t>
  </si>
  <si>
    <t>59-75</t>
  </si>
  <si>
    <t>29-54</t>
  </si>
  <si>
    <t>45-62</t>
  </si>
  <si>
    <t>58-62</t>
  </si>
  <si>
    <t>60-68</t>
  </si>
  <si>
    <t>65-72</t>
  </si>
  <si>
    <t>66-73</t>
  </si>
  <si>
    <t>74-83</t>
  </si>
  <si>
    <t>3PT-Sniping Bulldozer</t>
  </si>
  <si>
    <t>Crafty Mid-Range Menace</t>
  </si>
  <si>
    <t>High-Flying 3PT Sniper</t>
  </si>
  <si>
    <t>88-98</t>
  </si>
  <si>
    <t>40-75</t>
  </si>
  <si>
    <t>33-52</t>
  </si>
  <si>
    <t>67-75</t>
  </si>
  <si>
    <t>53-85</t>
  </si>
  <si>
    <t>41-65</t>
  </si>
  <si>
    <t>48-82</t>
  </si>
  <si>
    <t>78-81</t>
  </si>
  <si>
    <t>Ball-Snatching 3-Level Scorer</t>
  </si>
  <si>
    <t>Rim-Reaping Dime Dropper</t>
  </si>
  <si>
    <t>2-Way Mid-Paint Scorer</t>
  </si>
  <si>
    <t>185-220</t>
  </si>
  <si>
    <t>32-75</t>
  </si>
  <si>
    <t>60-93</t>
  </si>
  <si>
    <t>42-84</t>
  </si>
  <si>
    <t>31-78</t>
  </si>
  <si>
    <t>76-86</t>
  </si>
  <si>
    <t>Physical 3 &amp; D Sniper</t>
  </si>
  <si>
    <t>198-231</t>
  </si>
  <si>
    <t>26-45</t>
  </si>
  <si>
    <t>92-97</t>
  </si>
  <si>
    <t>65-78</t>
  </si>
  <si>
    <t>56-62</t>
  </si>
  <si>
    <t>Disruptive Lockdown</t>
  </si>
  <si>
    <t>2-Way Mid-Paint Bully</t>
  </si>
  <si>
    <t>204-234</t>
  </si>
  <si>
    <t>32-63</t>
  </si>
  <si>
    <t>66-83</t>
  </si>
  <si>
    <t>48-78</t>
  </si>
  <si>
    <t>29-70</t>
  </si>
  <si>
    <t>52-75</t>
  </si>
  <si>
    <t>Ball-Hawking 3 &amp; D Two Guard</t>
  </si>
  <si>
    <t>6'5" to 6'7"</t>
  </si>
  <si>
    <t>190-205</t>
  </si>
  <si>
    <t>55-82</t>
  </si>
  <si>
    <t>30-48</t>
  </si>
  <si>
    <t>50-76</t>
  </si>
  <si>
    <t>50-61</t>
  </si>
  <si>
    <t>60-77</t>
  </si>
  <si>
    <t>185-232</t>
  </si>
  <si>
    <t>34-53</t>
  </si>
  <si>
    <t>65-76</t>
  </si>
  <si>
    <t>27-76</t>
  </si>
  <si>
    <t>Shot-Erasing 3-Level Creator</t>
  </si>
  <si>
    <t>185-207</t>
  </si>
  <si>
    <t>87-89</t>
  </si>
  <si>
    <t>47-49</t>
  </si>
  <si>
    <t>36-75</t>
  </si>
  <si>
    <t>59-71</t>
  </si>
  <si>
    <t>77-86</t>
  </si>
  <si>
    <t>2-Way High-Flying Wing Runner</t>
  </si>
  <si>
    <t>185-223</t>
  </si>
  <si>
    <t>57-83</t>
  </si>
  <si>
    <t>28-50</t>
  </si>
  <si>
    <t>2-Way Middy-Creating Riser</t>
  </si>
  <si>
    <t>3PT-Creating Combo Guard</t>
  </si>
  <si>
    <t>216-230</t>
  </si>
  <si>
    <t>40-44</t>
  </si>
  <si>
    <t>60-64</t>
  </si>
  <si>
    <t>40-64</t>
  </si>
  <si>
    <t>Gritty Inside-Out Scorer</t>
  </si>
  <si>
    <t>205-210</t>
  </si>
  <si>
    <t>75-79</t>
  </si>
  <si>
    <t>26-33</t>
  </si>
  <si>
    <t>81-86</t>
  </si>
  <si>
    <t>27-45</t>
  </si>
  <si>
    <t>34-50</t>
  </si>
  <si>
    <t>56-73</t>
  </si>
  <si>
    <t>Disruptive Wing Runner</t>
  </si>
  <si>
    <t>Disruptive Slashing High Flyer</t>
  </si>
  <si>
    <t>From The Logo</t>
  </si>
  <si>
    <t>Shot-Creating Combo Guard</t>
  </si>
  <si>
    <t>28-35</t>
  </si>
  <si>
    <t>Edge-Enforcing Slasher</t>
  </si>
  <si>
    <t>191-193</t>
  </si>
  <si>
    <t>72-80</t>
  </si>
  <si>
    <t>79-89</t>
  </si>
  <si>
    <t>61-83</t>
  </si>
  <si>
    <t>62-73</t>
  </si>
  <si>
    <t>Diming 3-Level Scorer</t>
  </si>
  <si>
    <t>200-211</t>
  </si>
  <si>
    <t>39-45</t>
  </si>
  <si>
    <t>35-72</t>
  </si>
  <si>
    <t>43-55</t>
  </si>
  <si>
    <t>Rim-Reaping Mid-Paint Scorer</t>
  </si>
  <si>
    <t>29-80</t>
  </si>
  <si>
    <t>25-46</t>
  </si>
  <si>
    <t>45-56</t>
  </si>
  <si>
    <t>59-91</t>
  </si>
  <si>
    <t>35-67</t>
  </si>
  <si>
    <t>45-79</t>
  </si>
  <si>
    <t>Shifty King</t>
  </si>
  <si>
    <t>2-Way Slashing Putback Pro</t>
  </si>
  <si>
    <t>3PT Layup Artist</t>
  </si>
  <si>
    <t>89-98</t>
  </si>
  <si>
    <t>87-91</t>
  </si>
  <si>
    <t>62-66</t>
  </si>
  <si>
    <t>33-42</t>
  </si>
  <si>
    <t>32-56</t>
  </si>
  <si>
    <t>2-Way Sharpshooting Cleaner</t>
  </si>
  <si>
    <t>208-235</t>
  </si>
  <si>
    <t>57-69</t>
  </si>
  <si>
    <t>49-84</t>
  </si>
  <si>
    <t>46-57</t>
  </si>
  <si>
    <t>69-93</t>
  </si>
  <si>
    <t>25-49</t>
  </si>
  <si>
    <t>50-72</t>
  </si>
  <si>
    <t>55-62</t>
  </si>
  <si>
    <t>91-97</t>
  </si>
  <si>
    <t>Shot-Erasing 3PT High Flyer</t>
  </si>
  <si>
    <t>Edge-Enforcing Middy Scorer</t>
  </si>
  <si>
    <t>190-232</t>
  </si>
  <si>
    <t>63-77</t>
  </si>
  <si>
    <t>28-70</t>
  </si>
  <si>
    <t>51-80</t>
  </si>
  <si>
    <t>Lock &amp; Board Middy Slasher</t>
  </si>
  <si>
    <t>175-212</t>
  </si>
  <si>
    <t>65-83</t>
  </si>
  <si>
    <t>95-99</t>
  </si>
  <si>
    <t>48-61</t>
  </si>
  <si>
    <t>Crafty 3-Level Dime-Dropper</t>
  </si>
  <si>
    <t>47-67</t>
  </si>
  <si>
    <t>31-74</t>
  </si>
  <si>
    <t>91-98</t>
  </si>
  <si>
    <t>61-77</t>
  </si>
  <si>
    <t>26-68</t>
  </si>
  <si>
    <t>31-70</t>
  </si>
  <si>
    <t>31-63</t>
  </si>
  <si>
    <t>Versatile-Scoring Cleaner</t>
  </si>
  <si>
    <t>Inside-Out Scorer</t>
  </si>
  <si>
    <t>205-222</t>
  </si>
  <si>
    <t>76-82</t>
  </si>
  <si>
    <t>48-90</t>
  </si>
  <si>
    <t>45-61</t>
  </si>
  <si>
    <t>43-50</t>
  </si>
  <si>
    <t>45-51</t>
  </si>
  <si>
    <t>61-72</t>
  </si>
  <si>
    <t>53-60</t>
  </si>
  <si>
    <t>Inside-Out Slashing Eraser</t>
  </si>
  <si>
    <t>190-210</t>
  </si>
  <si>
    <t>40-72</t>
  </si>
  <si>
    <t>45-46</t>
  </si>
  <si>
    <t>92-95</t>
  </si>
  <si>
    <t>63-71</t>
  </si>
  <si>
    <t>42-55</t>
  </si>
  <si>
    <t>67-73</t>
  </si>
  <si>
    <t>43-69</t>
  </si>
  <si>
    <t>26-30</t>
  </si>
  <si>
    <t>47-50</t>
  </si>
  <si>
    <t>2-Way Ball-Hawking High Flyer</t>
  </si>
  <si>
    <t>185-190</t>
  </si>
  <si>
    <t>55-66</t>
  </si>
  <si>
    <t>65-81</t>
  </si>
  <si>
    <t>56-65</t>
  </si>
  <si>
    <t>41-46</t>
  </si>
  <si>
    <t>60-61</t>
  </si>
  <si>
    <t>2-Way Chaos Trigger</t>
  </si>
  <si>
    <t>Inside-Out Combo Guard</t>
  </si>
  <si>
    <t>193-223</t>
  </si>
  <si>
    <t>50-62</t>
  </si>
  <si>
    <t>79-81</t>
  </si>
  <si>
    <t>52-64</t>
  </si>
  <si>
    <t>74-88</t>
  </si>
  <si>
    <t>Inside-Out-Creating Eraser</t>
  </si>
  <si>
    <t>189-213</t>
  </si>
  <si>
    <t>75-92</t>
  </si>
  <si>
    <t>30-90</t>
  </si>
  <si>
    <t>51-62</t>
  </si>
  <si>
    <t>2-Way Mid-Paint Bully Creator</t>
  </si>
  <si>
    <t>Mid-Post High-Flying Ball Hawk</t>
  </si>
  <si>
    <t>2-Way Mid-Paint Combo Guard</t>
  </si>
  <si>
    <t>185-227</t>
  </si>
  <si>
    <t>30-93</t>
  </si>
  <si>
    <t>40-53</t>
  </si>
  <si>
    <t>66-98</t>
  </si>
  <si>
    <t>49-78</t>
  </si>
  <si>
    <t>39-80</t>
  </si>
  <si>
    <t>55-70</t>
  </si>
  <si>
    <t>Inside-Out Slashing Dunker</t>
  </si>
  <si>
    <t>Crafty Inside-Out Scorer</t>
  </si>
  <si>
    <t>Automatic</t>
  </si>
  <si>
    <t>Physical Clamp Thief</t>
  </si>
  <si>
    <t>214-223</t>
  </si>
  <si>
    <t>61-74</t>
  </si>
  <si>
    <t>95-97</t>
  </si>
  <si>
    <t>63-75</t>
  </si>
  <si>
    <t>2-Way Crafty 3-Level Cleaner</t>
  </si>
  <si>
    <t>195-200</t>
  </si>
  <si>
    <t>40-41</t>
  </si>
  <si>
    <t>56-71</t>
  </si>
  <si>
    <t>53-55</t>
  </si>
  <si>
    <t>2-Way Sharpshooting Riser</t>
  </si>
  <si>
    <t>230-235</t>
  </si>
  <si>
    <t>52-53</t>
  </si>
  <si>
    <t>60-67</t>
  </si>
  <si>
    <t>82-88</t>
  </si>
  <si>
    <t>62-77</t>
  </si>
  <si>
    <t>Gritty Mid-Range Menace</t>
  </si>
  <si>
    <t>Ball-Snatching Middy Creator</t>
  </si>
  <si>
    <t>PlaySlash Edge Enforcer</t>
  </si>
  <si>
    <t>Rim-Reaping Mid-Post Creator</t>
  </si>
  <si>
    <t>2-Way High-Flying Post Cleaner</t>
  </si>
  <si>
    <t>Crafty Walking Bucket</t>
  </si>
  <si>
    <t>Gritty Inside-Out Dimer</t>
  </si>
  <si>
    <t>Versatile Slasher</t>
  </si>
  <si>
    <t>Shot-Erasing Mid-Range Slasher</t>
  </si>
  <si>
    <t>191-210</t>
  </si>
  <si>
    <t>51-53</t>
  </si>
  <si>
    <t>61-98</t>
  </si>
  <si>
    <t>61-75</t>
  </si>
  <si>
    <t>2-Way Laymaker</t>
  </si>
  <si>
    <t>Edge-Enforcing 3-Level Scorer</t>
  </si>
  <si>
    <t>224-235</t>
  </si>
  <si>
    <t>39-72</t>
  </si>
  <si>
    <t>47-64</t>
  </si>
  <si>
    <t>48-62</t>
  </si>
  <si>
    <t>Ball-Hawking 3-Level Bully</t>
  </si>
  <si>
    <t>Lock &amp; Board Slasher</t>
  </si>
  <si>
    <t>High-Flying Board Enforcer</t>
  </si>
  <si>
    <t>35-37</t>
  </si>
  <si>
    <t>67-71</t>
  </si>
  <si>
    <t>48-66</t>
  </si>
  <si>
    <t>41-47</t>
  </si>
  <si>
    <t>Slashing Board Enforcer</t>
  </si>
  <si>
    <t>Versatile-Scoring-Cleaner</t>
  </si>
  <si>
    <t>192-210</t>
  </si>
  <si>
    <t>84-85</t>
  </si>
  <si>
    <t>72-73</t>
  </si>
  <si>
    <t>Shot-Erasing Mid-Paint Scorer</t>
  </si>
  <si>
    <t>3 &amp; D Two Guard</t>
  </si>
  <si>
    <t>Gritty High-Flying 3PT Sniper</t>
  </si>
  <si>
    <t>208-210</t>
  </si>
  <si>
    <t>40-46</t>
  </si>
  <si>
    <t>Physical 3-Level Scorer</t>
  </si>
  <si>
    <t>46-87</t>
  </si>
  <si>
    <t>41-74</t>
  </si>
  <si>
    <t>49-51</t>
  </si>
  <si>
    <t>60-86</t>
  </si>
  <si>
    <t>2-Way 3PT-Sniping Layup Artist</t>
  </si>
  <si>
    <t>2-Way High-Flying Post Scorer</t>
  </si>
  <si>
    <t>High-Flying Mid-Post Creator</t>
  </si>
  <si>
    <t>Crafty Mid-Range Slasher</t>
  </si>
  <si>
    <t>6'0"</t>
  </si>
  <si>
    <t>36-50</t>
  </si>
  <si>
    <t>68-81</t>
  </si>
  <si>
    <t>56-78</t>
  </si>
  <si>
    <t>26-50</t>
  </si>
  <si>
    <t>2-Way 3-Level Combo Guard</t>
  </si>
  <si>
    <t>Diming 3-Level Bully</t>
  </si>
  <si>
    <t>Versatile Paint Finisher</t>
  </si>
  <si>
    <t>2-Way Crafty Inside-Out Scorer</t>
  </si>
  <si>
    <t>Floor-Sweeping Slasher</t>
  </si>
  <si>
    <t>2-Way Tempo Pusher</t>
  </si>
  <si>
    <t>Middy-Creating Glass Guardian</t>
  </si>
  <si>
    <t>Disruptive 3PT Rim Wrecker</t>
  </si>
  <si>
    <t>Post Combo Guard</t>
  </si>
  <si>
    <t>Physical Disruptive Lockdown</t>
  </si>
  <si>
    <t>Gritty Slashing Dual Finisher</t>
  </si>
  <si>
    <t>2-Way Middy-Scoring Cleaner</t>
  </si>
  <si>
    <t>192-219</t>
  </si>
  <si>
    <t>51-52</t>
  </si>
  <si>
    <t>65-67</t>
  </si>
  <si>
    <t>64-71</t>
  </si>
  <si>
    <t>Mid-Paint Combo Guard</t>
  </si>
  <si>
    <t>Shot-Erasing Table Setter</t>
  </si>
  <si>
    <t>Shot-Erasing Mid-Range Bully</t>
  </si>
  <si>
    <t>Gritty Iso Savant</t>
  </si>
  <si>
    <t>Inside-Out Break Starter</t>
  </si>
  <si>
    <t>Crafty Mid-Paint Combo Guard</t>
  </si>
  <si>
    <t>Sharpshooting Lob Threat</t>
  </si>
  <si>
    <t>2-Way PlaySlaSh Bully</t>
  </si>
  <si>
    <t>Small Forward</t>
  </si>
  <si>
    <t>68-85</t>
  </si>
  <si>
    <t>61-93</t>
  </si>
  <si>
    <t>56-82</t>
  </si>
  <si>
    <t>43-89</t>
  </si>
  <si>
    <t>55-86</t>
  </si>
  <si>
    <t>35-86</t>
  </si>
  <si>
    <t>28-78</t>
  </si>
  <si>
    <t>6'8" to 6'10"</t>
  </si>
  <si>
    <t>200-220</t>
  </si>
  <si>
    <t>61-73</t>
  </si>
  <si>
    <t>Rim-Reaping Inside-Out Scorer</t>
  </si>
  <si>
    <t>6'9"</t>
  </si>
  <si>
    <t>2-Way Diming Sharpshooter</t>
  </si>
  <si>
    <t>185-186</t>
  </si>
  <si>
    <t>43-84</t>
  </si>
  <si>
    <t>64-88</t>
  </si>
  <si>
    <t>84-88</t>
  </si>
  <si>
    <t>37-72</t>
  </si>
  <si>
    <t>6'7" to 6'10"</t>
  </si>
  <si>
    <t>206-235</t>
  </si>
  <si>
    <t>67-96</t>
  </si>
  <si>
    <t>62-92</t>
  </si>
  <si>
    <t>52-83</t>
  </si>
  <si>
    <t>25-78</t>
  </si>
  <si>
    <t>185-235</t>
  </si>
  <si>
    <t>67-79</t>
  </si>
  <si>
    <t>58-90</t>
  </si>
  <si>
    <t>83-86</t>
  </si>
  <si>
    <t>48-85</t>
  </si>
  <si>
    <t>57-92</t>
  </si>
  <si>
    <t>41-90</t>
  </si>
  <si>
    <t>37-88</t>
  </si>
  <si>
    <t>6'5" to 6'10"</t>
  </si>
  <si>
    <t>65-91</t>
  </si>
  <si>
    <t>40-90</t>
  </si>
  <si>
    <t>25-92</t>
  </si>
  <si>
    <t>63-95</t>
  </si>
  <si>
    <t>58-82</t>
  </si>
  <si>
    <t>55-84</t>
  </si>
  <si>
    <t>41-80</t>
  </si>
  <si>
    <t>67-84</t>
  </si>
  <si>
    <t>185-247</t>
  </si>
  <si>
    <t>47-72</t>
  </si>
  <si>
    <t>61-76</t>
  </si>
  <si>
    <t>30-81</t>
  </si>
  <si>
    <t>180-218</t>
  </si>
  <si>
    <t>64-82</t>
  </si>
  <si>
    <t>41-52</t>
  </si>
  <si>
    <t>50-82</t>
  </si>
  <si>
    <t>32-70</t>
  </si>
  <si>
    <t>Rim-Reaping 3PT High Flyer</t>
  </si>
  <si>
    <t>6'9" to 6'10"</t>
  </si>
  <si>
    <t>200-223</t>
  </si>
  <si>
    <t>47-53</t>
  </si>
  <si>
    <t>50-74</t>
  </si>
  <si>
    <t>2-Way Rim Wrecker</t>
  </si>
  <si>
    <t>6'10"</t>
  </si>
  <si>
    <t>6'4" to 6'10"</t>
  </si>
  <si>
    <t>185-250</t>
  </si>
  <si>
    <t>60-97</t>
  </si>
  <si>
    <t>54-91</t>
  </si>
  <si>
    <t>70-97</t>
  </si>
  <si>
    <t>41-92</t>
  </si>
  <si>
    <t>28-83</t>
  </si>
  <si>
    <t>52-80</t>
  </si>
  <si>
    <t>67-91</t>
  </si>
  <si>
    <t>2-Way Bulldimer</t>
  </si>
  <si>
    <t>6'6" to 6'9"</t>
  </si>
  <si>
    <t>185-230</t>
  </si>
  <si>
    <t>41-96</t>
  </si>
  <si>
    <t>26-65</t>
  </si>
  <si>
    <t>62-81</t>
  </si>
  <si>
    <t>49-89</t>
  </si>
  <si>
    <t>42-88</t>
  </si>
  <si>
    <t>49-81</t>
  </si>
  <si>
    <t>2-Way 3-Level Point Forward</t>
  </si>
  <si>
    <t>64-94</t>
  </si>
  <si>
    <t>47-60</t>
  </si>
  <si>
    <t>27-67</t>
  </si>
  <si>
    <t>51-71</t>
  </si>
  <si>
    <t>59-80</t>
  </si>
  <si>
    <t>Mid-Paint Bully</t>
  </si>
  <si>
    <t>233-241</t>
  </si>
  <si>
    <t>78-94</t>
  </si>
  <si>
    <t>70-72</t>
  </si>
  <si>
    <t>58-72</t>
  </si>
  <si>
    <t>Crafty Inside-Out Shot Eraser</t>
  </si>
  <si>
    <t>205-218</t>
  </si>
  <si>
    <t>47-78</t>
  </si>
  <si>
    <t>6'7" to 6'9"</t>
  </si>
  <si>
    <t>74-86</t>
  </si>
  <si>
    <t>33-57</t>
  </si>
  <si>
    <t>38-69</t>
  </si>
  <si>
    <t>67-81</t>
  </si>
  <si>
    <t>41-72</t>
  </si>
  <si>
    <t>83-91</t>
  </si>
  <si>
    <t>25-84</t>
  </si>
  <si>
    <t>82-95</t>
  </si>
  <si>
    <t>46-88</t>
  </si>
  <si>
    <t>34-80</t>
  </si>
  <si>
    <t>Slashing Dual Finisher</t>
  </si>
  <si>
    <t>193-218</t>
  </si>
  <si>
    <t>96-99</t>
  </si>
  <si>
    <t>56-61</t>
  </si>
  <si>
    <t>71-74</t>
  </si>
  <si>
    <t>55-64</t>
  </si>
  <si>
    <t>49-80</t>
  </si>
  <si>
    <t>59-74</t>
  </si>
  <si>
    <t>211-227</t>
  </si>
  <si>
    <t>59-87</t>
  </si>
  <si>
    <t>68-72</t>
  </si>
  <si>
    <t>72-83</t>
  </si>
  <si>
    <t>69-89</t>
  </si>
  <si>
    <t>43-80</t>
  </si>
  <si>
    <t>51-84</t>
  </si>
  <si>
    <t>74-96</t>
  </si>
  <si>
    <t>34-51</t>
  </si>
  <si>
    <t>66-86</t>
  </si>
  <si>
    <t>64-76</t>
  </si>
  <si>
    <t>37-60</t>
  </si>
  <si>
    <t>56-84</t>
  </si>
  <si>
    <t>44-75</t>
  </si>
  <si>
    <t>34-74</t>
  </si>
  <si>
    <t>42-59</t>
  </si>
  <si>
    <t>55-67</t>
  </si>
  <si>
    <t>183-223</t>
  </si>
  <si>
    <t>58-71</t>
  </si>
  <si>
    <t>34-83</t>
  </si>
  <si>
    <t>26-47</t>
  </si>
  <si>
    <t>56-93</t>
  </si>
  <si>
    <t>57-74</t>
  </si>
  <si>
    <t>94-98</t>
  </si>
  <si>
    <t>91-96</t>
  </si>
  <si>
    <t>Ball-Hawking Lockdown</t>
  </si>
  <si>
    <t>218-242</t>
  </si>
  <si>
    <t>44-55</t>
  </si>
  <si>
    <t>232-250</t>
  </si>
  <si>
    <t>63-67</t>
  </si>
  <si>
    <t>50-59</t>
  </si>
  <si>
    <t>32-55</t>
  </si>
  <si>
    <t>51-59</t>
  </si>
  <si>
    <t>Shot-Erasing High Flyer</t>
  </si>
  <si>
    <t>210-245</t>
  </si>
  <si>
    <t>49-56</t>
  </si>
  <si>
    <t>69-98</t>
  </si>
  <si>
    <t>65-74</t>
  </si>
  <si>
    <t>44-50</t>
  </si>
  <si>
    <t>34-71</t>
  </si>
  <si>
    <t>48-72</t>
  </si>
  <si>
    <t>60-92</t>
  </si>
  <si>
    <t>79-86</t>
  </si>
  <si>
    <t>Rim-Reaping Rim Wrecker</t>
  </si>
  <si>
    <t>Gritty Inside-Out Slasher</t>
  </si>
  <si>
    <t>184-227</t>
  </si>
  <si>
    <t>40-61</t>
  </si>
  <si>
    <t>38-81</t>
  </si>
  <si>
    <t>38-80</t>
  </si>
  <si>
    <t>29-78</t>
  </si>
  <si>
    <t>47-83</t>
  </si>
  <si>
    <t>Mid-Paint-Diming Putback Pro</t>
  </si>
  <si>
    <t>214-215</t>
  </si>
  <si>
    <t>49-79</t>
  </si>
  <si>
    <t>51-54</t>
  </si>
  <si>
    <t>58-74</t>
  </si>
  <si>
    <t>49-76</t>
  </si>
  <si>
    <t>64-77</t>
  </si>
  <si>
    <t>57-89</t>
  </si>
  <si>
    <t>Shot-Erasing Slasher</t>
  </si>
  <si>
    <t>2-Way Slashing Point Forward</t>
  </si>
  <si>
    <t>203-208</t>
  </si>
  <si>
    <t>6'6" to 6'10"</t>
  </si>
  <si>
    <t>215-238</t>
  </si>
  <si>
    <t>67-87</t>
  </si>
  <si>
    <t>37-81</t>
  </si>
  <si>
    <t>48-55</t>
  </si>
  <si>
    <t>55-99</t>
  </si>
  <si>
    <t>38-71</t>
  </si>
  <si>
    <t>67-89</t>
  </si>
  <si>
    <t>62-95</t>
  </si>
  <si>
    <t>57-85</t>
  </si>
  <si>
    <t>69-87</t>
  </si>
  <si>
    <t>215-218</t>
  </si>
  <si>
    <t>45-47</t>
  </si>
  <si>
    <t>55-72</t>
  </si>
  <si>
    <t>Inside-Out-Diming Eraser</t>
  </si>
  <si>
    <t>215-225</t>
  </si>
  <si>
    <t>57-63</t>
  </si>
  <si>
    <t>69-73</t>
  </si>
  <si>
    <t>Shot-Erasing 3-Level Scorer</t>
  </si>
  <si>
    <t>186-225</t>
  </si>
  <si>
    <t>54-86</t>
  </si>
  <si>
    <t>51-88</t>
  </si>
  <si>
    <t>53-83</t>
  </si>
  <si>
    <t>37-79</t>
  </si>
  <si>
    <t>41-84</t>
  </si>
  <si>
    <t>2-Way Power Dunker</t>
  </si>
  <si>
    <t>245-250</t>
  </si>
  <si>
    <t>57-66</t>
  </si>
  <si>
    <t>42-61</t>
  </si>
  <si>
    <t>218-231</t>
  </si>
  <si>
    <t>43-58</t>
  </si>
  <si>
    <t>61-92</t>
  </si>
  <si>
    <t>67-93</t>
  </si>
  <si>
    <t>32-60</t>
  </si>
  <si>
    <t>193-224</t>
  </si>
  <si>
    <t>43-70</t>
  </si>
  <si>
    <t>58-59</t>
  </si>
  <si>
    <t>34-70</t>
  </si>
  <si>
    <t>59-65</t>
  </si>
  <si>
    <t>57-84</t>
  </si>
  <si>
    <t>185-242</t>
  </si>
  <si>
    <t>48-52</t>
  </si>
  <si>
    <t>40-84</t>
  </si>
  <si>
    <t>28-81</t>
  </si>
  <si>
    <t>53-80</t>
  </si>
  <si>
    <t>188-230</t>
  </si>
  <si>
    <t>51-55</t>
  </si>
  <si>
    <t>60-87</t>
  </si>
  <si>
    <t>214-222</t>
  </si>
  <si>
    <t>185-226</t>
  </si>
  <si>
    <t>78-89</t>
  </si>
  <si>
    <t>53-73</t>
  </si>
  <si>
    <t>35-79</t>
  </si>
  <si>
    <t>Gritty 3-Level Scoring Bully</t>
  </si>
  <si>
    <t>210-218</t>
  </si>
  <si>
    <t>63-89</t>
  </si>
  <si>
    <t>56-58</t>
  </si>
  <si>
    <t>62-71</t>
  </si>
  <si>
    <t>71-72</t>
  </si>
  <si>
    <t>53-56</t>
  </si>
  <si>
    <t>68-70</t>
  </si>
  <si>
    <t>6'8" to 6'9"</t>
  </si>
  <si>
    <t>50-58</t>
  </si>
  <si>
    <t>Wing-Running Finisher</t>
  </si>
  <si>
    <t>227-230</t>
  </si>
  <si>
    <t>42-79</t>
  </si>
  <si>
    <t>2-Way Diming Paint Finisher</t>
  </si>
  <si>
    <t>Switch-Defending Cleaner</t>
  </si>
  <si>
    <t>186-242</t>
  </si>
  <si>
    <t>53-71</t>
  </si>
  <si>
    <t>37-50</t>
  </si>
  <si>
    <t>37-55</t>
  </si>
  <si>
    <t>68-71</t>
  </si>
  <si>
    <t>56-79</t>
  </si>
  <si>
    <t>39-76</t>
  </si>
  <si>
    <t>High-Flying Wing Runner</t>
  </si>
  <si>
    <t>207-220</t>
  </si>
  <si>
    <t>55-58</t>
  </si>
  <si>
    <t>2-Way 3-Level Break Starter</t>
  </si>
  <si>
    <t>Gritty 3-Level Scorer</t>
  </si>
  <si>
    <t>190-218</t>
  </si>
  <si>
    <t>54-62</t>
  </si>
  <si>
    <t>63-70</t>
  </si>
  <si>
    <t>77-82</t>
  </si>
  <si>
    <t>Shot-Erasing Sharpshooter</t>
  </si>
  <si>
    <t>213-223</t>
  </si>
  <si>
    <t>51-81</t>
  </si>
  <si>
    <t>Edge-Enforcing High Flyer</t>
  </si>
  <si>
    <t>49-54</t>
  </si>
  <si>
    <t>56-59</t>
  </si>
  <si>
    <t>62-87</t>
  </si>
  <si>
    <t>207-245</t>
  </si>
  <si>
    <t>62-90</t>
  </si>
  <si>
    <t>44-73</t>
  </si>
  <si>
    <t>86-95</t>
  </si>
  <si>
    <t>68-86</t>
  </si>
  <si>
    <t>52-72</t>
  </si>
  <si>
    <t>Rim-Reaping Finisher</t>
  </si>
  <si>
    <t>Gritty Bulldozer</t>
  </si>
  <si>
    <t>200-218</t>
  </si>
  <si>
    <t>49-53</t>
  </si>
  <si>
    <t>57-75</t>
  </si>
  <si>
    <t>Crafty Mid-Paint Shot Eraser</t>
  </si>
  <si>
    <t>188-220</t>
  </si>
  <si>
    <t>73-98</t>
  </si>
  <si>
    <t>42-91</t>
  </si>
  <si>
    <t>185-202</t>
  </si>
  <si>
    <t>46-61</t>
  </si>
  <si>
    <t>48-54</t>
  </si>
  <si>
    <t>192-218</t>
  </si>
  <si>
    <t>48-53</t>
  </si>
  <si>
    <t>47-73</t>
  </si>
  <si>
    <t>32-48</t>
  </si>
  <si>
    <t>27-71</t>
  </si>
  <si>
    <t>Shot-Erasing Mid-Paint Maestro</t>
  </si>
  <si>
    <t>195-215</t>
  </si>
  <si>
    <t>46-72</t>
  </si>
  <si>
    <t>48-70</t>
  </si>
  <si>
    <t>Mid-Paint Playmaking Cleaner</t>
  </si>
  <si>
    <t>215-237</t>
  </si>
  <si>
    <t>78-92</t>
  </si>
  <si>
    <t>36-61</t>
  </si>
  <si>
    <t>50-56</t>
  </si>
  <si>
    <t>55-61</t>
  </si>
  <si>
    <t>78-79</t>
  </si>
  <si>
    <t>201-222</t>
  </si>
  <si>
    <t>46-74</t>
  </si>
  <si>
    <t>63-82</t>
  </si>
  <si>
    <t>64-80</t>
  </si>
  <si>
    <t>79-87</t>
  </si>
  <si>
    <t>2-Way Crafty Mid-Paint Scorer</t>
  </si>
  <si>
    <t>208-227</t>
  </si>
  <si>
    <t>49-72</t>
  </si>
  <si>
    <t>51-61</t>
  </si>
  <si>
    <t>68-88</t>
  </si>
  <si>
    <t>2-Way Mid-Paint Point Forward</t>
  </si>
  <si>
    <t>185-219</t>
  </si>
  <si>
    <t>35-93</t>
  </si>
  <si>
    <t>64-79</t>
  </si>
  <si>
    <t>26-84</t>
  </si>
  <si>
    <t>45-92</t>
  </si>
  <si>
    <t>Ball-Hawking 3 &amp; D Wing</t>
  </si>
  <si>
    <t>195-220</t>
  </si>
  <si>
    <t>69-74</t>
  </si>
  <si>
    <t>54-74</t>
  </si>
  <si>
    <t>90-97</t>
  </si>
  <si>
    <t>29-62</t>
  </si>
  <si>
    <t>2-Way Dunking Middy Maestro</t>
  </si>
  <si>
    <t>67-97</t>
  </si>
  <si>
    <t>66-81</t>
  </si>
  <si>
    <t>52-67</t>
  </si>
  <si>
    <t>2-Way Post Bully</t>
  </si>
  <si>
    <t>44-51</t>
  </si>
  <si>
    <t>35-85</t>
  </si>
  <si>
    <t>46-84</t>
  </si>
  <si>
    <t>Drive &amp; Rise Wing</t>
  </si>
  <si>
    <t>186-223</t>
  </si>
  <si>
    <t>29-52</t>
  </si>
  <si>
    <t>37-51</t>
  </si>
  <si>
    <t>28-65</t>
  </si>
  <si>
    <t>74-87</t>
  </si>
  <si>
    <t>183-233</t>
  </si>
  <si>
    <t>31-77</t>
  </si>
  <si>
    <t>59-81</t>
  </si>
  <si>
    <t>57-88</t>
  </si>
  <si>
    <t>73-97</t>
  </si>
  <si>
    <t>47-88</t>
  </si>
  <si>
    <t>29-82</t>
  </si>
  <si>
    <t>54-93</t>
  </si>
  <si>
    <t>70-92</t>
  </si>
  <si>
    <t>64-90</t>
  </si>
  <si>
    <t>Shot-Erasing Inside-Out Bully</t>
  </si>
  <si>
    <t>Physical 2-Way Sharpshooter</t>
  </si>
  <si>
    <t>206-221</t>
  </si>
  <si>
    <t>46-82</t>
  </si>
  <si>
    <t>36-46</t>
  </si>
  <si>
    <t>45-64</t>
  </si>
  <si>
    <t>44-82</t>
  </si>
  <si>
    <t>2-Way Inside-Out Bully Dimer</t>
  </si>
  <si>
    <t>209-225</t>
  </si>
  <si>
    <t>47-84</t>
  </si>
  <si>
    <t>37-62</t>
  </si>
  <si>
    <t>76-87</t>
  </si>
  <si>
    <t>2-Way Dual Finisher</t>
  </si>
  <si>
    <t>48-64</t>
  </si>
  <si>
    <t>51-95</t>
  </si>
  <si>
    <t>58-75</t>
  </si>
  <si>
    <t>34-61</t>
  </si>
  <si>
    <t>59-76</t>
  </si>
  <si>
    <t>210-215</t>
  </si>
  <si>
    <t>37-53</t>
  </si>
  <si>
    <t>28-44</t>
  </si>
  <si>
    <t>39-65</t>
  </si>
  <si>
    <t>218-225</t>
  </si>
  <si>
    <t>52-61</t>
  </si>
  <si>
    <t>186-230</t>
  </si>
  <si>
    <t>55-92</t>
  </si>
  <si>
    <t>62-94</t>
  </si>
  <si>
    <t>181-230</t>
  </si>
  <si>
    <t>67-78</t>
  </si>
  <si>
    <t>31-54</t>
  </si>
  <si>
    <t>68-79</t>
  </si>
  <si>
    <t>56-89</t>
  </si>
  <si>
    <t>47-94</t>
  </si>
  <si>
    <t>73-92</t>
  </si>
  <si>
    <t>Physical Inside-Out Crasher</t>
  </si>
  <si>
    <t>206-214</t>
  </si>
  <si>
    <t>66-76</t>
  </si>
  <si>
    <t>68-73</t>
  </si>
  <si>
    <t>62-64</t>
  </si>
  <si>
    <t>39-40</t>
  </si>
  <si>
    <t>27-47</t>
  </si>
  <si>
    <t>96-97</t>
  </si>
  <si>
    <t>84-87</t>
  </si>
  <si>
    <t>Crafty 3PT Sniper</t>
  </si>
  <si>
    <t>66-77</t>
  </si>
  <si>
    <t>50-54</t>
  </si>
  <si>
    <t>Shot-Erasing 3-Level Bully</t>
  </si>
  <si>
    <t>211-225</t>
  </si>
  <si>
    <t>54-79</t>
  </si>
  <si>
    <t>52-60</t>
  </si>
  <si>
    <t>59-84</t>
  </si>
  <si>
    <t>49-57</t>
  </si>
  <si>
    <t>63-73</t>
  </si>
  <si>
    <t>2-Way Inside-Out Point Forward</t>
  </si>
  <si>
    <t>192-221</t>
  </si>
  <si>
    <t>51-65</t>
  </si>
  <si>
    <t>67-76</t>
  </si>
  <si>
    <t>214-229</t>
  </si>
  <si>
    <t>52-56</t>
  </si>
  <si>
    <t>65-69</t>
  </si>
  <si>
    <t>59-72</t>
  </si>
  <si>
    <t>63-66</t>
  </si>
  <si>
    <t>63-93</t>
  </si>
  <si>
    <t>67-69</t>
  </si>
  <si>
    <t>37-75</t>
  </si>
  <si>
    <t>Yamming Force of Nature</t>
  </si>
  <si>
    <t>Crafty 3PT-Sniping Creator</t>
  </si>
  <si>
    <t>Rim-Reaping High Flyer</t>
  </si>
  <si>
    <t>69-83</t>
  </si>
  <si>
    <t>48-83</t>
  </si>
  <si>
    <t>198-217</t>
  </si>
  <si>
    <t>58-86</t>
  </si>
  <si>
    <t>63-65</t>
  </si>
  <si>
    <t>45-58</t>
  </si>
  <si>
    <t>56-74</t>
  </si>
  <si>
    <t>200-201</t>
  </si>
  <si>
    <t>59-73</t>
  </si>
  <si>
    <t>49-65</t>
  </si>
  <si>
    <t>31-43</t>
  </si>
  <si>
    <t>61-67</t>
  </si>
  <si>
    <t>50-63</t>
  </si>
  <si>
    <t>57-59</t>
  </si>
  <si>
    <t>79-92</t>
  </si>
  <si>
    <t>64-72</t>
  </si>
  <si>
    <t>2-Way Bulldozing Putback Pro</t>
  </si>
  <si>
    <t>54-55</t>
  </si>
  <si>
    <t>Versatile Post Scorer</t>
  </si>
  <si>
    <t>Physical Perimeter Lock</t>
  </si>
  <si>
    <t>2-Way Versatile Paint Finisher</t>
  </si>
  <si>
    <t>2-Way Shot-Erasing High Flyer</t>
  </si>
  <si>
    <t>Shot-Erasing Putback Dimer</t>
  </si>
  <si>
    <t>Inside-Out Bully</t>
  </si>
  <si>
    <t>215-233</t>
  </si>
  <si>
    <t>49-86</t>
  </si>
  <si>
    <t>61-86</t>
  </si>
  <si>
    <t>Board-Hunting 3-Level Bully</t>
  </si>
  <si>
    <t>3PT-Sniping Rim Wrecker</t>
  </si>
  <si>
    <t>34-77</t>
  </si>
  <si>
    <t>68-74</t>
  </si>
  <si>
    <t>185-209</t>
  </si>
  <si>
    <t>51-85</t>
  </si>
  <si>
    <t>54-59</t>
  </si>
  <si>
    <t>61-64</t>
  </si>
  <si>
    <t>66-69</t>
  </si>
  <si>
    <t>Shot-Erasing 3-Level Crasher</t>
  </si>
  <si>
    <t>Rim-Reaping Diming High Flyer</t>
  </si>
  <si>
    <t>215-224</t>
  </si>
  <si>
    <t>48-58</t>
  </si>
  <si>
    <t>Mid-Paint Point Forward</t>
  </si>
  <si>
    <t>40-47</t>
  </si>
  <si>
    <t>41-87</t>
  </si>
  <si>
    <t>222-238</t>
  </si>
  <si>
    <t>35-81</t>
  </si>
  <si>
    <t>58-76</t>
  </si>
  <si>
    <t>46-71</t>
  </si>
  <si>
    <t>2-Way High Flyer</t>
  </si>
  <si>
    <t>3-Level-Scoring Crasher</t>
  </si>
  <si>
    <t>58-64</t>
  </si>
  <si>
    <t>57-71</t>
  </si>
  <si>
    <t>69-72</t>
  </si>
  <si>
    <t>2-Way Bulldozing Cleaner</t>
  </si>
  <si>
    <t>220-240</t>
  </si>
  <si>
    <t>Edge-Enforcing 3PT Sniper</t>
  </si>
  <si>
    <t>3PT Rim-Wrecking Ball Hawk</t>
  </si>
  <si>
    <t>3-Level-Scoring Cleaner</t>
  </si>
  <si>
    <t>Board-Hunting Lob Threat Bully</t>
  </si>
  <si>
    <t>High-Flying Middy Maestro</t>
  </si>
  <si>
    <t>2-Way 3-Level Cleaner</t>
  </si>
  <si>
    <t>40-83</t>
  </si>
  <si>
    <t>38-90</t>
  </si>
  <si>
    <t>71-98</t>
  </si>
  <si>
    <t>63-79</t>
  </si>
  <si>
    <t>38-70</t>
  </si>
  <si>
    <t>Physical Inside-Out Dimer</t>
  </si>
  <si>
    <t>214-218</t>
  </si>
  <si>
    <t>67-77</t>
  </si>
  <si>
    <t>Laser Beam</t>
  </si>
  <si>
    <t>High-Flying Glass Guardian</t>
  </si>
  <si>
    <t>Edge-Enforcing 3PT Slasher</t>
  </si>
  <si>
    <t>Rim-Reaping Dual Finisher</t>
  </si>
  <si>
    <t>216-250</t>
  </si>
  <si>
    <t>44-65</t>
  </si>
  <si>
    <t>50-77</t>
  </si>
  <si>
    <t>29-60</t>
  </si>
  <si>
    <t>51-58</t>
  </si>
  <si>
    <t>93-97</t>
  </si>
  <si>
    <t>3PT-Snipping Rim Wrecker</t>
  </si>
  <si>
    <t>Eliminator</t>
  </si>
  <si>
    <t>Mid-Paint Board Enforcer</t>
  </si>
  <si>
    <t>Mid-Paint-Scoring Cleaner</t>
  </si>
  <si>
    <t>200-250</t>
  </si>
  <si>
    <t>62-67</t>
  </si>
  <si>
    <t>2-Way 3PT-Sniping Lob Threat</t>
  </si>
  <si>
    <t>Rim-Reaping Mid-Range Bully</t>
  </si>
  <si>
    <t>Shot-Obliterating Rim Wrecker</t>
  </si>
  <si>
    <t>Table-Setting Glass Guardian</t>
  </si>
  <si>
    <t>Board-Hunting 3PT High Flyer</t>
  </si>
  <si>
    <t>46-60</t>
  </si>
  <si>
    <t>63-74</t>
  </si>
  <si>
    <t>46-77</t>
  </si>
  <si>
    <t>2-Way Point Forward Cleaner</t>
  </si>
  <si>
    <t>Inside-Out Shot Eraser</t>
  </si>
  <si>
    <t>Physical Mid-Paint Cleaner</t>
  </si>
  <si>
    <t>Dime-Dropping 3PT Gunner</t>
  </si>
  <si>
    <t>Dime-Dropping Dual Finisher</t>
  </si>
  <si>
    <t>Wing-Running Dynamic Finisher</t>
  </si>
  <si>
    <t>Rim-Wrecking Distributor</t>
  </si>
  <si>
    <t>Shot-Erasing Iso Sniper</t>
  </si>
  <si>
    <t>Physical Board Hunter</t>
  </si>
  <si>
    <t>Rim-Reaping 3-Level Scorer</t>
  </si>
  <si>
    <t>215-223</t>
  </si>
  <si>
    <t>55-68</t>
  </si>
  <si>
    <t>Gritty Sharpshooter</t>
  </si>
  <si>
    <t>Shot-Erasing 3 &amp; D Wing</t>
  </si>
  <si>
    <t>185-218</t>
  </si>
  <si>
    <t>43-63</t>
  </si>
  <si>
    <t>Physical 3 &amp; D Cleaner</t>
  </si>
  <si>
    <t>3PT Edge-Enforcing High Flyer</t>
  </si>
  <si>
    <t>2-Way Slashing Cleaner</t>
  </si>
  <si>
    <t>Paint-Finishing Putback Pro</t>
  </si>
  <si>
    <t>Shot-Erasing Board Enforcer</t>
  </si>
  <si>
    <t>Crafty Mid-Post Scorer</t>
  </si>
  <si>
    <t>2-Way Mid-Paint Cleaner</t>
  </si>
  <si>
    <t>205-220</t>
  </si>
  <si>
    <t>52-93</t>
  </si>
  <si>
    <t>48-67</t>
  </si>
  <si>
    <t>68-89</t>
  </si>
  <si>
    <t>Crafty Mid-Paint Scorer</t>
  </si>
  <si>
    <t>Shot-Erasing Dual Finisher</t>
  </si>
  <si>
    <t>Physical Mid-Paint Shot Eraser</t>
  </si>
  <si>
    <t>216-237</t>
  </si>
  <si>
    <t>93-94</t>
  </si>
  <si>
    <t>71-78</t>
  </si>
  <si>
    <t>Mid-Range Menace</t>
  </si>
  <si>
    <t>2-Way Table Setter</t>
  </si>
  <si>
    <t>Glass Guardian Lob Threat</t>
  </si>
  <si>
    <t>Drive &amp; Rise</t>
  </si>
  <si>
    <t>Bulldozer</t>
  </si>
  <si>
    <t>210-219</t>
  </si>
  <si>
    <t>53-65</t>
  </si>
  <si>
    <t>40-69</t>
  </si>
  <si>
    <t>28-31</t>
  </si>
  <si>
    <t>Shot-Obliterating Lock</t>
  </si>
  <si>
    <t>2-Way Mid-Paint Crasher</t>
  </si>
  <si>
    <t>2-Way 3PT-Sniping Rim Wrecker</t>
  </si>
  <si>
    <t>65-68</t>
  </si>
  <si>
    <t>213-215</t>
  </si>
  <si>
    <t>45-78</t>
  </si>
  <si>
    <t>58-68</t>
  </si>
  <si>
    <t>47-77</t>
  </si>
  <si>
    <t>57-76</t>
  </si>
  <si>
    <t>Slashing Point Forward</t>
  </si>
  <si>
    <t>Ball-Snatching Dual Finisher</t>
  </si>
  <si>
    <t>Versatile Power Finisher</t>
  </si>
  <si>
    <t>Crashing Mid-Paint Eraser</t>
  </si>
  <si>
    <t>Crashing Mid-Paint Scorer</t>
  </si>
  <si>
    <t>Shot-Erasing Sharp Riser</t>
  </si>
  <si>
    <t>210-211</t>
  </si>
  <si>
    <t>Gritty Mid-Paint Scorer</t>
  </si>
  <si>
    <t>High-Flying Mid-Post Eraser</t>
  </si>
  <si>
    <t>Shot-Erasing Bulldozer</t>
  </si>
  <si>
    <t>Shot-Erasing Lockdown</t>
  </si>
  <si>
    <t>208-233</t>
  </si>
  <si>
    <t>59-60</t>
  </si>
  <si>
    <t>Shot-Erasing Wing Runner</t>
  </si>
  <si>
    <t>Physical Shot-Erasing Lockdown</t>
  </si>
  <si>
    <t>Versatile Defender</t>
  </si>
  <si>
    <t>2-Way Crafty Putback Dimer</t>
  </si>
  <si>
    <t>Wing-Running Sharpshooter</t>
  </si>
  <si>
    <t>Shot-Erasing PlaySlash Crasher</t>
  </si>
  <si>
    <t>Shot-Erasing Diming Dunker</t>
  </si>
  <si>
    <t>Ankle-Breaking Bully</t>
  </si>
  <si>
    <t>Board-Hunting 3PT Lob Threat</t>
  </si>
  <si>
    <t>200-219</t>
  </si>
  <si>
    <t>48-65</t>
  </si>
  <si>
    <t>Putback High-Flying Eraser</t>
  </si>
  <si>
    <t>3 &amp; D Wing</t>
  </si>
  <si>
    <t>3PT-Sniping Posterizer</t>
  </si>
  <si>
    <t>Putback Rim-Wrecking Eraser</t>
  </si>
  <si>
    <t>Physical 2-Way 3-Level Cleaner</t>
  </si>
  <si>
    <t>Physical Glass Guardian</t>
  </si>
  <si>
    <t>Physical Ball-Hawking Lockdown</t>
  </si>
  <si>
    <t>Mid-Post Bucket Getter</t>
  </si>
  <si>
    <t>Crafty Mid-Paint Cleaner</t>
  </si>
  <si>
    <t>Power Forward</t>
  </si>
  <si>
    <t>Rim-Reaping Stretch Rim Rocker</t>
  </si>
  <si>
    <t>6'9" to 7'0"</t>
  </si>
  <si>
    <t>228-252</t>
  </si>
  <si>
    <t>70-98</t>
  </si>
  <si>
    <t>37-65</t>
  </si>
  <si>
    <t>83-98</t>
  </si>
  <si>
    <t>6'11"</t>
  </si>
  <si>
    <t>Physical Mid-Slashing Cleaner</t>
  </si>
  <si>
    <t>2-Way Pick &amp; Pop Cleaner</t>
  </si>
  <si>
    <t>230-270</t>
  </si>
  <si>
    <t>45-65</t>
  </si>
  <si>
    <t>Crafty 3-Level-Creating Eraser</t>
  </si>
  <si>
    <t>6'10" to 6'11"</t>
  </si>
  <si>
    <t>210-248</t>
  </si>
  <si>
    <t>66-68</t>
  </si>
  <si>
    <t>43-47</t>
  </si>
  <si>
    <t>6'7" to 7'0"</t>
  </si>
  <si>
    <t>210-268</t>
  </si>
  <si>
    <t>70-95</t>
  </si>
  <si>
    <t>46-98</t>
  </si>
  <si>
    <t>81-91</t>
  </si>
  <si>
    <t>62-93</t>
  </si>
  <si>
    <t>44-92</t>
  </si>
  <si>
    <t>52-68</t>
  </si>
  <si>
    <t>37-73</t>
  </si>
  <si>
    <t>2-Way Skilled Stretch</t>
  </si>
  <si>
    <t>210-260</t>
  </si>
  <si>
    <t>72-97</t>
  </si>
  <si>
    <t>57-87</t>
  </si>
  <si>
    <t>45-88</t>
  </si>
  <si>
    <t>50-98</t>
  </si>
  <si>
    <t>Pick &amp; Pop Board Enforcer</t>
  </si>
  <si>
    <t>6'9" to 6'11"</t>
  </si>
  <si>
    <t>235-275</t>
  </si>
  <si>
    <t>33-66</t>
  </si>
  <si>
    <t>2-Way Middy Point Four</t>
  </si>
  <si>
    <t>219-243</t>
  </si>
  <si>
    <t>44-72</t>
  </si>
  <si>
    <t>87-98</t>
  </si>
  <si>
    <t>69-90</t>
  </si>
  <si>
    <t>49-73</t>
  </si>
  <si>
    <t>Inside-Out Rim-Rocking Slasher</t>
  </si>
  <si>
    <t>220-250</t>
  </si>
  <si>
    <t>64-75</t>
  </si>
  <si>
    <t>45-77</t>
  </si>
  <si>
    <t>Lock &amp; Board Four</t>
  </si>
  <si>
    <t>220-248</t>
  </si>
  <si>
    <t>68-77</t>
  </si>
  <si>
    <t>55-56</t>
  </si>
  <si>
    <t>Rim-Reaping Skilled Popper</t>
  </si>
  <si>
    <t>233-238</t>
  </si>
  <si>
    <t>65-86</t>
  </si>
  <si>
    <t>56-67</t>
  </si>
  <si>
    <t>Shot-Erasing Rim Runner</t>
  </si>
  <si>
    <t>6'10" to 7'0"</t>
  </si>
  <si>
    <t>215-228</t>
  </si>
  <si>
    <t>39-48</t>
  </si>
  <si>
    <t>6'11" to 7'0"</t>
  </si>
  <si>
    <t>210-227</t>
  </si>
  <si>
    <t>65-92</t>
  </si>
  <si>
    <t>56-90</t>
  </si>
  <si>
    <t>48-81</t>
  </si>
  <si>
    <t>Backline Stretch Rim Rocker</t>
  </si>
  <si>
    <t>227-248</t>
  </si>
  <si>
    <t>47-61</t>
  </si>
  <si>
    <t>49-60</t>
  </si>
  <si>
    <t>36-72</t>
  </si>
  <si>
    <t>41-79</t>
  </si>
  <si>
    <t>57-68</t>
  </si>
  <si>
    <t>6'5" to 6'11"</t>
  </si>
  <si>
    <t>41-83</t>
  </si>
  <si>
    <t>54-85</t>
  </si>
  <si>
    <t>67-86</t>
  </si>
  <si>
    <t>35-73</t>
  </si>
  <si>
    <t>31-84</t>
  </si>
  <si>
    <t>33-79</t>
  </si>
  <si>
    <t>2-Way Mid-Paint Point Four</t>
  </si>
  <si>
    <t>240-251</t>
  </si>
  <si>
    <t>210-249</t>
  </si>
  <si>
    <t>74-93</t>
  </si>
  <si>
    <t>81-89</t>
  </si>
  <si>
    <t>65-93</t>
  </si>
  <si>
    <t>50-84</t>
  </si>
  <si>
    <t>53-68</t>
  </si>
  <si>
    <t>Physical 2-Way Stretch Slasher</t>
  </si>
  <si>
    <t>237-262</t>
  </si>
  <si>
    <t>52-65</t>
  </si>
  <si>
    <t>58-69</t>
  </si>
  <si>
    <t>Backline Slasher</t>
  </si>
  <si>
    <t>235-263</t>
  </si>
  <si>
    <t>60-89</t>
  </si>
  <si>
    <t>58-99</t>
  </si>
  <si>
    <t>64-81</t>
  </si>
  <si>
    <t>Backline Bulldimer</t>
  </si>
  <si>
    <t>Shot-Erasing Putback Pro</t>
  </si>
  <si>
    <t>231-232</t>
  </si>
  <si>
    <t>62-78</t>
  </si>
  <si>
    <t>44-64</t>
  </si>
  <si>
    <t>220-244</t>
  </si>
  <si>
    <t>Edge-Enforcing Pick &amp; Popper</t>
  </si>
  <si>
    <t>260-266</t>
  </si>
  <si>
    <t>54-68</t>
  </si>
  <si>
    <t>54-60</t>
  </si>
  <si>
    <t>6'8" to 7'0"</t>
  </si>
  <si>
    <t>212-282</t>
  </si>
  <si>
    <t>59-90</t>
  </si>
  <si>
    <t>47-85</t>
  </si>
  <si>
    <t>72-86</t>
  </si>
  <si>
    <t>217-249</t>
  </si>
  <si>
    <t>39-54</t>
  </si>
  <si>
    <t>Backline 3-Level Scorer</t>
  </si>
  <si>
    <t>225-240</t>
  </si>
  <si>
    <t>54-95</t>
  </si>
  <si>
    <t>Lock &amp; Board Table Setter</t>
  </si>
  <si>
    <t>Bulldozing Board Enforcer</t>
  </si>
  <si>
    <t>248-259</t>
  </si>
  <si>
    <t>53-61</t>
  </si>
  <si>
    <t>49-71</t>
  </si>
  <si>
    <t>44-77</t>
  </si>
  <si>
    <t>215-244</t>
  </si>
  <si>
    <t>Lock &amp; Board Skilled Stretch</t>
  </si>
  <si>
    <t>Rim-Reaping Rim Runner</t>
  </si>
  <si>
    <t>213-232</t>
  </si>
  <si>
    <t>64-68</t>
  </si>
  <si>
    <t>45-71</t>
  </si>
  <si>
    <t>38-73</t>
  </si>
  <si>
    <t>67-72</t>
  </si>
  <si>
    <t>210-243</t>
  </si>
  <si>
    <t>50-94</t>
  </si>
  <si>
    <t>38-96</t>
  </si>
  <si>
    <t>45-87</t>
  </si>
  <si>
    <t>59-88</t>
  </si>
  <si>
    <t>68-82</t>
  </si>
  <si>
    <t>2-Way Stretch Lob Threat</t>
  </si>
  <si>
    <t>214-250</t>
  </si>
  <si>
    <t>39-64</t>
  </si>
  <si>
    <t>42-87</t>
  </si>
  <si>
    <t>Physical Versatile Defender</t>
  </si>
  <si>
    <t>220-253</t>
  </si>
  <si>
    <t>54-56</t>
  </si>
  <si>
    <t>Lock &amp; Board Middy Scorer</t>
  </si>
  <si>
    <t>252-270</t>
  </si>
  <si>
    <t>42-72</t>
  </si>
  <si>
    <t>48-59</t>
  </si>
  <si>
    <t>Lock &amp; Board Rim Runner</t>
  </si>
  <si>
    <t>220-270</t>
  </si>
  <si>
    <t>53-63</t>
  </si>
  <si>
    <t>93-96</t>
  </si>
  <si>
    <t>Stretch Glass Guardian Dunker</t>
  </si>
  <si>
    <t>240-272</t>
  </si>
  <si>
    <t>94-96</t>
  </si>
  <si>
    <t>56-57</t>
  </si>
  <si>
    <t>36-48</t>
  </si>
  <si>
    <t>57-61</t>
  </si>
  <si>
    <t>Backline Stretch Four</t>
  </si>
  <si>
    <t>213-264</t>
  </si>
  <si>
    <t>48-73</t>
  </si>
  <si>
    <t>49-68</t>
  </si>
  <si>
    <t>Lob Threat Glass Visionary</t>
  </si>
  <si>
    <t>235-265</t>
  </si>
  <si>
    <t>28-64</t>
  </si>
  <si>
    <t>31-50</t>
  </si>
  <si>
    <t>2-Way Stretch Slasher</t>
  </si>
  <si>
    <t>6'6" to 6'11"</t>
  </si>
  <si>
    <t>210-250</t>
  </si>
  <si>
    <t>41-75</t>
  </si>
  <si>
    <t>58-91</t>
  </si>
  <si>
    <t>47-92</t>
  </si>
  <si>
    <t>43-85</t>
  </si>
  <si>
    <t>38-85</t>
  </si>
  <si>
    <t>56-92</t>
  </si>
  <si>
    <t>Slashing Glass Guardian</t>
  </si>
  <si>
    <t>243-245</t>
  </si>
  <si>
    <t>53-66</t>
  </si>
  <si>
    <t>214-265</t>
  </si>
  <si>
    <t>38-72</t>
  </si>
  <si>
    <t>61-88</t>
  </si>
  <si>
    <t>61-87</t>
  </si>
  <si>
    <t>6'8" to 6'11"</t>
  </si>
  <si>
    <t>44-85</t>
  </si>
  <si>
    <t>51-82</t>
  </si>
  <si>
    <t>44-61</t>
  </si>
  <si>
    <t>Rim-Reaping Pick &amp; Popper</t>
  </si>
  <si>
    <t>Board-Hunting Stretch Dunker</t>
  </si>
  <si>
    <t>248-275</t>
  </si>
  <si>
    <t>59-64</t>
  </si>
  <si>
    <t>38-77</t>
  </si>
  <si>
    <t>54-76</t>
  </si>
  <si>
    <t>39-71</t>
  </si>
  <si>
    <t>3-Level Scoring Cleaner</t>
  </si>
  <si>
    <t>211-240</t>
  </si>
  <si>
    <t>55-59</t>
  </si>
  <si>
    <t>Post-Scoring Stretch Eraser</t>
  </si>
  <si>
    <t>210-225</t>
  </si>
  <si>
    <t>79-94</t>
  </si>
  <si>
    <t>63-91</t>
  </si>
  <si>
    <t>63-76</t>
  </si>
  <si>
    <t>Walking Bucket</t>
  </si>
  <si>
    <t>66-92</t>
  </si>
  <si>
    <t>48-84</t>
  </si>
  <si>
    <t>69-86</t>
  </si>
  <si>
    <t>2-Way Skilled Pick &amp; Popper</t>
  </si>
  <si>
    <t>230-261</t>
  </si>
  <si>
    <t>48-97</t>
  </si>
  <si>
    <t>53-90</t>
  </si>
  <si>
    <t>44-76</t>
  </si>
  <si>
    <t>77-96</t>
  </si>
  <si>
    <t>Rim-Reaping Mid-Range Scorer</t>
  </si>
  <si>
    <t>Master Of Both Ends</t>
  </si>
  <si>
    <t>Shot-Erasing 3-Level Dimer</t>
  </si>
  <si>
    <t>63-90</t>
  </si>
  <si>
    <t>Edge-Enforcing Stretch Slasher</t>
  </si>
  <si>
    <t>44-84</t>
  </si>
  <si>
    <t>243-270</t>
  </si>
  <si>
    <t>54-58</t>
  </si>
  <si>
    <t>227-228</t>
  </si>
  <si>
    <t>210-241</t>
  </si>
  <si>
    <t>Diming Shot-Erasing Rim Runner</t>
  </si>
  <si>
    <t>7'0"</t>
  </si>
  <si>
    <t>43-46</t>
  </si>
  <si>
    <t>39-44</t>
  </si>
  <si>
    <t>2-Way Point Four Creator</t>
  </si>
  <si>
    <t>214-235</t>
  </si>
  <si>
    <t>53-79</t>
  </si>
  <si>
    <t>57-78</t>
  </si>
  <si>
    <t>Backline Stretch Lob Threat</t>
  </si>
  <si>
    <t>228-251</t>
  </si>
  <si>
    <t>51-79</t>
  </si>
  <si>
    <t>38-60</t>
  </si>
  <si>
    <t>Inside-Out Glass Guardian</t>
  </si>
  <si>
    <t>216-255</t>
  </si>
  <si>
    <t>35-60</t>
  </si>
  <si>
    <t>212-220</t>
  </si>
  <si>
    <t>52-85</t>
  </si>
  <si>
    <t>Backline Stretch Rim Wrecker</t>
  </si>
  <si>
    <t>235-252</t>
  </si>
  <si>
    <t>31-64</t>
  </si>
  <si>
    <t>42-74</t>
  </si>
  <si>
    <t>210-247</t>
  </si>
  <si>
    <t>46-81</t>
  </si>
  <si>
    <t>213-217</t>
  </si>
  <si>
    <t>46-85</t>
  </si>
  <si>
    <t>48-71</t>
  </si>
  <si>
    <t>42-67</t>
  </si>
  <si>
    <t>Backline Stretch Slasher</t>
  </si>
  <si>
    <t>215-275</t>
  </si>
  <si>
    <t>51-66</t>
  </si>
  <si>
    <t>72-77</t>
  </si>
  <si>
    <t>2-Way Mid-Range Rim Rocker</t>
  </si>
  <si>
    <t>210-261</t>
  </si>
  <si>
    <t>62-88</t>
  </si>
  <si>
    <t>Rim-Rocking Stretch Eraser</t>
  </si>
  <si>
    <t>211-246</t>
  </si>
  <si>
    <t>2-Way Faceup Lob Threat</t>
  </si>
  <si>
    <t>Edge-Enforcing Stretch Four</t>
  </si>
  <si>
    <t>231-258</t>
  </si>
  <si>
    <t>63-87</t>
  </si>
  <si>
    <t>Edge-Enforcing Bulldozer</t>
  </si>
  <si>
    <t>247-260</t>
  </si>
  <si>
    <t>39-49</t>
  </si>
  <si>
    <t>Inside-Out Cleaner</t>
  </si>
  <si>
    <t>Triple-Double Threat</t>
  </si>
  <si>
    <t>213-230</t>
  </si>
  <si>
    <t>58-87</t>
  </si>
  <si>
    <t>62-74</t>
  </si>
  <si>
    <t>234-248</t>
  </si>
  <si>
    <t>46-53</t>
  </si>
  <si>
    <t>Physical Lock &amp; Board Four</t>
  </si>
  <si>
    <t>228-270</t>
  </si>
  <si>
    <t>38-62</t>
  </si>
  <si>
    <t>223-240</t>
  </si>
  <si>
    <t>2-Way Rim-Running Putback Pro</t>
  </si>
  <si>
    <t>217-243</t>
  </si>
  <si>
    <t>49-52</t>
  </si>
  <si>
    <t>54-71</t>
  </si>
  <si>
    <t>Post Bully Stretch Eraser</t>
  </si>
  <si>
    <t>237-240</t>
  </si>
  <si>
    <t>52-71</t>
  </si>
  <si>
    <t>59-77</t>
  </si>
  <si>
    <t>54-66</t>
  </si>
  <si>
    <t>43-67</t>
  </si>
  <si>
    <t>58-84</t>
  </si>
  <si>
    <t>2-Way Stretch Dime-Dropper</t>
  </si>
  <si>
    <t>215-250</t>
  </si>
  <si>
    <t>52-57</t>
  </si>
  <si>
    <t>72-92</t>
  </si>
  <si>
    <t>2-Way Rim-Rocking Stretch</t>
  </si>
  <si>
    <t>47-68</t>
  </si>
  <si>
    <t>56-72</t>
  </si>
  <si>
    <t>77-92</t>
  </si>
  <si>
    <t>Rim-Reaping Stretch Riser</t>
  </si>
  <si>
    <t>247-263</t>
  </si>
  <si>
    <t>Shot-Erasing Skilled Stretch</t>
  </si>
  <si>
    <t>Skilled Stretch Board Enforcer</t>
  </si>
  <si>
    <t>Skilled Stretch Four</t>
  </si>
  <si>
    <t>228-247</t>
  </si>
  <si>
    <t>51-56</t>
  </si>
  <si>
    <t>44-80</t>
  </si>
  <si>
    <t>Inside-Out Board Hunter</t>
  </si>
  <si>
    <t>Mid-Paint Glass Guardian Bully</t>
  </si>
  <si>
    <t>Shot-Erasing Stretch Dunker</t>
  </si>
  <si>
    <t>Post-Dimming Board Enforcer</t>
  </si>
  <si>
    <t>2-Way Faceup Rising Cleaner</t>
  </si>
  <si>
    <t>257-265</t>
  </si>
  <si>
    <t>39-83</t>
  </si>
  <si>
    <t>Post-Scoring Stretch Dimer</t>
  </si>
  <si>
    <t>62-68</t>
  </si>
  <si>
    <t>62-72</t>
  </si>
  <si>
    <t>223-250</t>
  </si>
  <si>
    <t>58-63</t>
  </si>
  <si>
    <t>29-55</t>
  </si>
  <si>
    <t>Pick &amp; Pop Cleaner</t>
  </si>
  <si>
    <t>248-255</t>
  </si>
  <si>
    <t>46-65</t>
  </si>
  <si>
    <t>95-98</t>
  </si>
  <si>
    <t>2-Way Stretch Four</t>
  </si>
  <si>
    <t>55-88</t>
  </si>
  <si>
    <t>71-92</t>
  </si>
  <si>
    <t>Stretch Board Enforcer</t>
  </si>
  <si>
    <t>42-77</t>
  </si>
  <si>
    <t>Board-Enforcing Diming Dunker</t>
  </si>
  <si>
    <t>Mid-Paint Edge Enforcer</t>
  </si>
  <si>
    <t>63-96</t>
  </si>
  <si>
    <t>30-84</t>
  </si>
  <si>
    <t>2-Way Tempo-Pushing Cleaner</t>
  </si>
  <si>
    <t>235-262</t>
  </si>
  <si>
    <t>41-49</t>
  </si>
  <si>
    <t>Inside-Out Point Four</t>
  </si>
  <si>
    <t>Shot-Creating Point Four</t>
  </si>
  <si>
    <t>Physical 2-Way Faceup Riser</t>
  </si>
  <si>
    <t>Inside-Out Board Enforcer</t>
  </si>
  <si>
    <t>239-248</t>
  </si>
  <si>
    <t>61-79</t>
  </si>
  <si>
    <t>47-71</t>
  </si>
  <si>
    <t>40-65</t>
  </si>
  <si>
    <t>Edge-Enforcing Rim Runner</t>
  </si>
  <si>
    <t>214-252</t>
  </si>
  <si>
    <t>48-95</t>
  </si>
  <si>
    <t>50-91</t>
  </si>
  <si>
    <t>Rim-Reaping 3-Level Creator</t>
  </si>
  <si>
    <t>225-250</t>
  </si>
  <si>
    <t>39-73</t>
  </si>
  <si>
    <t>2-Way Skilled Stretch Cleaner</t>
  </si>
  <si>
    <t>233-261</t>
  </si>
  <si>
    <t>63-86</t>
  </si>
  <si>
    <t>Shot-Erasing Stretch Riser</t>
  </si>
  <si>
    <t>3-Level Break Starter</t>
  </si>
  <si>
    <t>Drive &amp; Rise Edge Enforcer</t>
  </si>
  <si>
    <t>Shot-Erasing Blow-By Slasher</t>
  </si>
  <si>
    <t>Crashing Mid-Post Scorer</t>
  </si>
  <si>
    <t>Lock &amp; Board Power Dunker</t>
  </si>
  <si>
    <t>2-Way Crafty Versatile Scorer</t>
  </si>
  <si>
    <t>Physical Middy Glass Guardian</t>
  </si>
  <si>
    <t>228-269</t>
  </si>
  <si>
    <t>30-49</t>
  </si>
  <si>
    <t>Backline 3-Level Bully</t>
  </si>
  <si>
    <t>238-248</t>
  </si>
  <si>
    <t>31-62</t>
  </si>
  <si>
    <t>39-43</t>
  </si>
  <si>
    <t>41-43</t>
  </si>
  <si>
    <t>57-62</t>
  </si>
  <si>
    <t>Rim-Rocking Mid-Post Eraser</t>
  </si>
  <si>
    <t>223-233</t>
  </si>
  <si>
    <t>62-63</t>
  </si>
  <si>
    <t>Dunk Tank</t>
  </si>
  <si>
    <t>2-Way Stretch Putback Pro</t>
  </si>
  <si>
    <t>230-253</t>
  </si>
  <si>
    <t>60-95</t>
  </si>
  <si>
    <t>39-67</t>
  </si>
  <si>
    <t>Edge-Enforcing Skilled Stretch</t>
  </si>
  <si>
    <t>233-247</t>
  </si>
  <si>
    <t>42-81</t>
  </si>
  <si>
    <t>61-90</t>
  </si>
  <si>
    <t>2-Way Bulldozer Cleaner</t>
  </si>
  <si>
    <t>219-250</t>
  </si>
  <si>
    <t>2-Way Post-Scoring Stretch</t>
  </si>
  <si>
    <t>2-Way Versatile Bully</t>
  </si>
  <si>
    <t>Rim-Reaping Poster Dunker</t>
  </si>
  <si>
    <t>2-Way Small Ball Four</t>
  </si>
  <si>
    <t>216-235</t>
  </si>
  <si>
    <t>74-97</t>
  </si>
  <si>
    <t>2-Way Stretch Four Cleaner</t>
  </si>
  <si>
    <t>46-75</t>
  </si>
  <si>
    <t>Board-Enforcing Stretch Riser</t>
  </si>
  <si>
    <t>232-270</t>
  </si>
  <si>
    <t>34-82</t>
  </si>
  <si>
    <t>43-66</t>
  </si>
  <si>
    <t>2-Way Slashing Dual Finisher</t>
  </si>
  <si>
    <t>Point Four</t>
  </si>
  <si>
    <t>Physical Board Enforcer</t>
  </si>
  <si>
    <t>52-55</t>
  </si>
  <si>
    <t>38-56</t>
  </si>
  <si>
    <t>86-98</t>
  </si>
  <si>
    <t>53-59</t>
  </si>
  <si>
    <t>91-99</t>
  </si>
  <si>
    <t>3-Level Glass Guardian Dimer</t>
  </si>
  <si>
    <t>248-250</t>
  </si>
  <si>
    <t>29-36</t>
  </si>
  <si>
    <t>33-35</t>
  </si>
  <si>
    <t>Rim-Reaping Tempo Pusher</t>
  </si>
  <si>
    <t>Putback Post Bully Eraser</t>
  </si>
  <si>
    <t>Crafty Inside-Out Rim Reaper</t>
  </si>
  <si>
    <t>225-270</t>
  </si>
  <si>
    <t>53-64</t>
  </si>
  <si>
    <t>49-69</t>
  </si>
  <si>
    <t>2-Way Crafty Mid-Post Crasher</t>
  </si>
  <si>
    <t>Lock &amp; Board Tempo Pusher</t>
  </si>
  <si>
    <t>2-Way Rim-Running Dime Dropper</t>
  </si>
  <si>
    <t>2-Way Stretch Dunking Cleaner</t>
  </si>
  <si>
    <t>230-262</t>
  </si>
  <si>
    <t>30-76</t>
  </si>
  <si>
    <t>51-68</t>
  </si>
  <si>
    <t>Crashing Inside-Out Eraser</t>
  </si>
  <si>
    <t>2-Way Middy-Creating Cleaner</t>
  </si>
  <si>
    <t>Rim-Reaping Stretch Lob Threat</t>
  </si>
  <si>
    <t>247-252</t>
  </si>
  <si>
    <t>51-76</t>
  </si>
  <si>
    <t>Backline Crafty Post Slasher</t>
  </si>
  <si>
    <t>210-233</t>
  </si>
  <si>
    <t>Fluid Four</t>
  </si>
  <si>
    <t>Lock &amp; Board Bulldozer</t>
  </si>
  <si>
    <t>242-268</t>
  </si>
  <si>
    <t>52-81</t>
  </si>
  <si>
    <t>54-57</t>
  </si>
  <si>
    <t>34-75</t>
  </si>
  <si>
    <t>47-59</t>
  </si>
  <si>
    <t>94-99</t>
  </si>
  <si>
    <t>Bodyguard</t>
  </si>
  <si>
    <t>Shot-Erasing Stretch Dimer</t>
  </si>
  <si>
    <t>Versatile-Scoring Crasher</t>
  </si>
  <si>
    <t>Rim-Reaping Inside-Out Pilot</t>
  </si>
  <si>
    <t>Glass Guardian Pick &amp; Popper</t>
  </si>
  <si>
    <t>240-275</t>
  </si>
  <si>
    <t>31-52</t>
  </si>
  <si>
    <t>230-265</t>
  </si>
  <si>
    <t>51-91</t>
  </si>
  <si>
    <t>Backline Pick &amp; Popper</t>
  </si>
  <si>
    <t>2-Way Middy-Scoring Crasher</t>
  </si>
  <si>
    <t>2-Way Blow-By Rim Rocker</t>
  </si>
  <si>
    <t>210-244</t>
  </si>
  <si>
    <t>2-Way 3-Level Crasher</t>
  </si>
  <si>
    <t>213-248</t>
  </si>
  <si>
    <t>71-89</t>
  </si>
  <si>
    <t>Athletic Paint Prodigy</t>
  </si>
  <si>
    <t>Edge-Enforcing 3-Level Scoring</t>
  </si>
  <si>
    <t>Rim-Reaping Stretch Slasher</t>
  </si>
  <si>
    <t>Ball-Snatching Lockdown Bully</t>
  </si>
  <si>
    <t>244-250</t>
  </si>
  <si>
    <t>Shot-Erasing Stretch Slasher</t>
  </si>
  <si>
    <t>Mid-Paint Point Four</t>
  </si>
  <si>
    <t>2-Way Crafty Mid-Post Creator</t>
  </si>
  <si>
    <t>2-Way Power-Dunking Cleaner</t>
  </si>
  <si>
    <t>213-258</t>
  </si>
  <si>
    <t>Lob Threat Board Enforcer</t>
  </si>
  <si>
    <t>2-Way Skilled Stretch Riser</t>
  </si>
  <si>
    <t>Ball-Snatching Middy Bully</t>
  </si>
  <si>
    <t>234-262</t>
  </si>
  <si>
    <t>54-65</t>
  </si>
  <si>
    <t>Board-Enforcing Stretch Dunker</t>
  </si>
  <si>
    <t>225-275</t>
  </si>
  <si>
    <t>54-96</t>
  </si>
  <si>
    <t>38-82</t>
  </si>
  <si>
    <t>32-62</t>
  </si>
  <si>
    <t>53-69</t>
  </si>
  <si>
    <t>Ball-Snatching Mid-Paint Bully</t>
  </si>
  <si>
    <t>2-Way Break-Starting Popper</t>
  </si>
  <si>
    <t>2-Way Skilled Stretch Crasher</t>
  </si>
  <si>
    <t>225-246</t>
  </si>
  <si>
    <t>61-62</t>
  </si>
  <si>
    <t>2-Way Skilled Popping Cleaner</t>
  </si>
  <si>
    <t>252-268</t>
  </si>
  <si>
    <t>232-243</t>
  </si>
  <si>
    <t>2-Way Middy-Creating Crasher</t>
  </si>
  <si>
    <t>236-243</t>
  </si>
  <si>
    <t>53-67</t>
  </si>
  <si>
    <t>59-66</t>
  </si>
  <si>
    <t>Backline Inside-Out Dimer</t>
  </si>
  <si>
    <t>64-66</t>
  </si>
  <si>
    <t>Rim-Reaping Inside-Out Dimer</t>
  </si>
  <si>
    <t>Backline Slashing Rim Rocker</t>
  </si>
  <si>
    <t>2-Way Pick &amp; Popper</t>
  </si>
  <si>
    <t>2-Way Inside-Out</t>
  </si>
  <si>
    <t>Rim-Reaping Mid-Post Riser</t>
  </si>
  <si>
    <t>Lock &amp; Board Stretch Slasher</t>
  </si>
  <si>
    <t>Lock &amp; Board Stretch Dunker</t>
  </si>
  <si>
    <t>240-262</t>
  </si>
  <si>
    <t>33-82</t>
  </si>
  <si>
    <t>52-58</t>
  </si>
  <si>
    <t>57-72</t>
  </si>
  <si>
    <t>Glass Guardian Power Dunker</t>
  </si>
  <si>
    <t>240-243</t>
  </si>
  <si>
    <t>48-50</t>
  </si>
  <si>
    <t>Power-Dunking Board Enforcer</t>
  </si>
  <si>
    <t>250-271</t>
  </si>
  <si>
    <t>32-68</t>
  </si>
  <si>
    <t>2-Way Iso Savant</t>
  </si>
  <si>
    <t>6'7" to 6'11"</t>
  </si>
  <si>
    <t>59-79</t>
  </si>
  <si>
    <t>Ball-Snatching Lockdown</t>
  </si>
  <si>
    <t>48-51</t>
  </si>
  <si>
    <t>2-Way Rim-Running Rim Wrecker</t>
  </si>
  <si>
    <t>2-Way Rim Runner</t>
  </si>
  <si>
    <t>Inside-Out Board-Hunting Bully</t>
  </si>
  <si>
    <t>Lock &amp; Board Stretch Riser</t>
  </si>
  <si>
    <t>69-71</t>
  </si>
  <si>
    <t>Edge-Enforcing Small Ball Four</t>
  </si>
  <si>
    <t>48-56</t>
  </si>
  <si>
    <t>66-74</t>
  </si>
  <si>
    <t>Backline Rim-Running Dunker</t>
  </si>
  <si>
    <t>212-235</t>
  </si>
  <si>
    <t>40-63</t>
  </si>
  <si>
    <t>26-76</t>
  </si>
  <si>
    <t>Backline 3-Level Creator</t>
  </si>
  <si>
    <t>228-233</t>
  </si>
  <si>
    <t>Backline Four</t>
  </si>
  <si>
    <t>Ball-Snatching Skilled Stretch</t>
  </si>
  <si>
    <t>Rim-Reaping 3-Level Dimer</t>
  </si>
  <si>
    <t>213-246</t>
  </si>
  <si>
    <t>2-Way Rim-Wrecking Stretch</t>
  </si>
  <si>
    <t>212-255</t>
  </si>
  <si>
    <t>49-59</t>
  </si>
  <si>
    <t>Edge-Enforcing Middy Playmaker</t>
  </si>
  <si>
    <t>Shot-Erasing Skilled Popper</t>
  </si>
  <si>
    <t>Backline Inside-Out Scorer</t>
  </si>
  <si>
    <t>2-Way Crafty Mid-Paint Phenom</t>
  </si>
  <si>
    <t>Backline Crafty 3-Level Scorer</t>
  </si>
  <si>
    <t>227-239</t>
  </si>
  <si>
    <t>56-87</t>
  </si>
  <si>
    <t>66-96</t>
  </si>
  <si>
    <t>27-77</t>
  </si>
  <si>
    <t>31-65</t>
  </si>
  <si>
    <t>Post-Scoring Cleaner</t>
  </si>
  <si>
    <t>Post-Scoring Stretch</t>
  </si>
  <si>
    <t>2-Way Inside-Out Point Four</t>
  </si>
  <si>
    <t>Board-Hunting 3-Level Creator</t>
  </si>
  <si>
    <t>Physical Disruptive Cleaner</t>
  </si>
  <si>
    <t>Glass Guardian Faceup Riser</t>
  </si>
  <si>
    <t>Board-Hunting PlayShot</t>
  </si>
  <si>
    <t>210-252</t>
  </si>
  <si>
    <t>37-66</t>
  </si>
  <si>
    <t>72-99</t>
  </si>
  <si>
    <t>69-77</t>
  </si>
  <si>
    <t>Pick &amp; Pop Four</t>
  </si>
  <si>
    <t>Pick &amp; Pop Playmaking Eraser</t>
  </si>
  <si>
    <t>Big Range</t>
  </si>
  <si>
    <t>Board-Hunting Stretch Slasher</t>
  </si>
  <si>
    <t>232-259</t>
  </si>
  <si>
    <t>2-Way Paint-Scoring Cleaner</t>
  </si>
  <si>
    <t>Crafty Middy Board Enforcer</t>
  </si>
  <si>
    <t>Backline Tempo Pusher</t>
  </si>
  <si>
    <t>Board-Enforcing 3-Level Scorer</t>
  </si>
  <si>
    <t>225-265</t>
  </si>
  <si>
    <t>238-264</t>
  </si>
  <si>
    <t>52-90</t>
  </si>
  <si>
    <t>47-87</t>
  </si>
  <si>
    <t>25-85</t>
  </si>
  <si>
    <t>2-Way Slashing Rim Rocker</t>
  </si>
  <si>
    <t>Grinder</t>
  </si>
  <si>
    <t>Backline Mid-Range Scorer</t>
  </si>
  <si>
    <t>220-246</t>
  </si>
  <si>
    <t>50-69</t>
  </si>
  <si>
    <t>Bulldozing Glass Guardian</t>
  </si>
  <si>
    <t>245-270</t>
  </si>
  <si>
    <t>57-81</t>
  </si>
  <si>
    <t>43-91</t>
  </si>
  <si>
    <t>54-63</t>
  </si>
  <si>
    <t>Snatch &amp; Slash Rim Rocker</t>
  </si>
  <si>
    <t>Rim-Wrecking Glass Guardian</t>
  </si>
  <si>
    <t>225-248</t>
  </si>
  <si>
    <t>43-56</t>
  </si>
  <si>
    <t>44-62</t>
  </si>
  <si>
    <t>38-66</t>
  </si>
  <si>
    <t>2-Way Blow-By Bulldozer</t>
  </si>
  <si>
    <t>3-Level Glass Guardian</t>
  </si>
  <si>
    <t>55-87</t>
  </si>
  <si>
    <t>39-55</t>
  </si>
  <si>
    <t>38-52</t>
  </si>
  <si>
    <t>68-69</t>
  </si>
  <si>
    <t>Backline Post Bully Riser</t>
  </si>
  <si>
    <t>Glass Guardian Stretch Riser</t>
  </si>
  <si>
    <t>2-Way Post-Scoring Cleaner</t>
  </si>
  <si>
    <t>Crafty Putback Slashing Eraser</t>
  </si>
  <si>
    <t>Rim-Running Putback Eraser</t>
  </si>
  <si>
    <t>235-247</t>
  </si>
  <si>
    <t>Backline Middy Creator</t>
  </si>
  <si>
    <t>220-226</t>
  </si>
  <si>
    <t>230-269</t>
  </si>
  <si>
    <t>47-81</t>
  </si>
  <si>
    <t>59-96</t>
  </si>
  <si>
    <t>Crafty 3-Level-Diming Eraser</t>
  </si>
  <si>
    <t>2-Way Power Finisher</t>
  </si>
  <si>
    <t>Rim-Reaping Skilled Stretch</t>
  </si>
  <si>
    <t>2-Way Post Bully Stretch</t>
  </si>
  <si>
    <t>Board-Hunting Bulldozer</t>
  </si>
  <si>
    <t>3-Level Glass Guardian Bully</t>
  </si>
  <si>
    <t>Edge-Enforcing Stretch Dunker</t>
  </si>
  <si>
    <t>222-242</t>
  </si>
  <si>
    <t>2-Way Mid-Paint Break Starter</t>
  </si>
  <si>
    <t>Backline Middy Slasher</t>
  </si>
  <si>
    <t>2-Way Putback Bullmaker</t>
  </si>
  <si>
    <t>Power-Finishing Cleaner</t>
  </si>
  <si>
    <t>2-Way Inside-Out Crasher</t>
  </si>
  <si>
    <t>Inside-Out Slashing Crasher</t>
  </si>
  <si>
    <t>Crafty 3-Level Board Enforcer</t>
  </si>
  <si>
    <t>Board-Hunting Pick &amp; Popper</t>
  </si>
  <si>
    <t>Rim-Rocking Stretch Crasher</t>
  </si>
  <si>
    <t>Board-Hunting 3-Level Scorer</t>
  </si>
  <si>
    <t>Lock &amp; Board Bulldimer</t>
  </si>
  <si>
    <t>Faceup Board Enforcer</t>
  </si>
  <si>
    <t>2-Way Crafty 3-Level Crasher</t>
  </si>
  <si>
    <t>211-241</t>
  </si>
  <si>
    <t>61-63</t>
  </si>
  <si>
    <t>Lock &amp; Board Middy Creator</t>
  </si>
  <si>
    <t>Lock &amp; Board Diming Riser</t>
  </si>
  <si>
    <t>3-Level Point Four Cleaner</t>
  </si>
  <si>
    <t>Inside-Out Playmaking Eraser</t>
  </si>
  <si>
    <t>2-Way Stretch Lob Threat Dimer</t>
  </si>
  <si>
    <t>2-Way Slashing Power Dunker</t>
  </si>
  <si>
    <t>Backline Mid-Paint Bully</t>
  </si>
  <si>
    <t>Backline Bulldozer</t>
  </si>
  <si>
    <t>2-Way Crafty 3-Level Scorer</t>
  </si>
  <si>
    <t>Crafty 3-Level Glass Guardian</t>
  </si>
  <si>
    <t>Footwork Pharaoh</t>
  </si>
  <si>
    <t>Backline 3-Level Dimer</t>
  </si>
  <si>
    <t>212-225</t>
  </si>
  <si>
    <t>63-68</t>
  </si>
  <si>
    <t>Shot-Erasing Diming Popper</t>
  </si>
  <si>
    <t>Slashing Poster Dunker</t>
  </si>
  <si>
    <t>Ball-Snatching Faceup Riser</t>
  </si>
  <si>
    <t>Rim-Running Board Enforcer</t>
  </si>
  <si>
    <t>234-263</t>
  </si>
  <si>
    <t>34-65</t>
  </si>
  <si>
    <t>Disruptive Stretch Cleaner</t>
  </si>
  <si>
    <t>2-Way Crafty Walking Bucket</t>
  </si>
  <si>
    <t>Backline Power Dunker</t>
  </si>
  <si>
    <t>Rim-Running Glass Guardian</t>
  </si>
  <si>
    <t>Physical Lockdown Crasher</t>
  </si>
  <si>
    <t>Physical Defensive Rebounder</t>
  </si>
  <si>
    <t>Lock &amp; Board Middy Maestro</t>
  </si>
  <si>
    <t>Lock &amp; Board PlaySlash</t>
  </si>
  <si>
    <t>Mid-Range Rim-Rocking Eraser</t>
  </si>
  <si>
    <t>Disruptive Skilled Stretch</t>
  </si>
  <si>
    <t>Lock &amp; Board Stretch Four</t>
  </si>
  <si>
    <t>Stretch Four Cleaner</t>
  </si>
  <si>
    <t>Ball-Snatching Stretch Four</t>
  </si>
  <si>
    <t>2-Way 3-Level Point Four</t>
  </si>
  <si>
    <t>Lock &amp; Board Mid-Paint Scorer</t>
  </si>
  <si>
    <t>Paint-Hawking Middy Scorer</t>
  </si>
  <si>
    <t>Rim-Rocking Post Board Hunter</t>
  </si>
  <si>
    <t>2-Way 3-Level Diming Crasher</t>
  </si>
  <si>
    <t>3-Level Point Four Eraser</t>
  </si>
  <si>
    <t>Board-Enforcing Middy Maestro</t>
  </si>
  <si>
    <t>Rim-Wrecking Board Enforcer</t>
  </si>
  <si>
    <t>Crafty 3-Level-Scoring Cleaner</t>
  </si>
  <si>
    <t>2-Way Rim-Rocking Post Crasher</t>
  </si>
  <si>
    <t>Post-Bullying Stretch Cleaner</t>
  </si>
  <si>
    <t>Board-Hunting Slasher</t>
  </si>
  <si>
    <t>2-Way Slashing Rim Wrecker</t>
  </si>
  <si>
    <t>Inside-Out-Slashing-Cleaner</t>
  </si>
  <si>
    <t>Backline Mid-Paint Scorer</t>
  </si>
  <si>
    <t>Physical Putback Dime-Dropper</t>
  </si>
  <si>
    <t>Center</t>
  </si>
  <si>
    <t>248-263</t>
  </si>
  <si>
    <t>27-29</t>
  </si>
  <si>
    <t>7'1" to 7'4"</t>
  </si>
  <si>
    <t>251-258</t>
  </si>
  <si>
    <t>47-54</t>
  </si>
  <si>
    <t>7'0" to 7'4"</t>
  </si>
  <si>
    <t>235-259</t>
  </si>
  <si>
    <t>26-71</t>
  </si>
  <si>
    <t>25-59</t>
  </si>
  <si>
    <t>39-62</t>
  </si>
  <si>
    <t>88-96</t>
  </si>
  <si>
    <t>42-58</t>
  </si>
  <si>
    <t>7'4"</t>
  </si>
  <si>
    <t>236-256</t>
  </si>
  <si>
    <t>29-76</t>
  </si>
  <si>
    <t>32-38</t>
  </si>
  <si>
    <t>2-Way Paint-Pounding Crasher</t>
  </si>
  <si>
    <t>259-260</t>
  </si>
  <si>
    <t>28-29</t>
  </si>
  <si>
    <t>6'10" to 7'4"</t>
  </si>
  <si>
    <t>235-281</t>
  </si>
  <si>
    <t>2-Way Mid-Paint Phenom</t>
  </si>
  <si>
    <t>Rim-Reaping Crafty Paint Dimer</t>
  </si>
  <si>
    <t>7'3"</t>
  </si>
  <si>
    <t>232-249</t>
  </si>
  <si>
    <t>46-58</t>
  </si>
  <si>
    <t>Glass Guardian Diming Dunker</t>
  </si>
  <si>
    <t>7'0" to 7'1"</t>
  </si>
  <si>
    <t>240-248</t>
  </si>
  <si>
    <t>51-57</t>
  </si>
  <si>
    <t>226-255</t>
  </si>
  <si>
    <t>56-86</t>
  </si>
  <si>
    <t>6'11" to 7'4"</t>
  </si>
  <si>
    <t>230-259</t>
  </si>
  <si>
    <t>58-89</t>
  </si>
  <si>
    <t>25-44</t>
  </si>
  <si>
    <t>76-95</t>
  </si>
  <si>
    <t>Board-Enforcing 3-Level Dimer</t>
  </si>
  <si>
    <t>242-250</t>
  </si>
  <si>
    <t>41-59</t>
  </si>
  <si>
    <t>230-258</t>
  </si>
  <si>
    <t>Rim-Reaping Stretch Dunker</t>
  </si>
  <si>
    <t>36-71</t>
  </si>
  <si>
    <t>37-61</t>
  </si>
  <si>
    <t>2-Way Stretch Rising Cleaner</t>
  </si>
  <si>
    <t>230-260</t>
  </si>
  <si>
    <t>33-65</t>
  </si>
  <si>
    <t>40-66</t>
  </si>
  <si>
    <t>31-58</t>
  </si>
  <si>
    <t>68-91</t>
  </si>
  <si>
    <t>225-260</t>
  </si>
  <si>
    <t>52-89</t>
  </si>
  <si>
    <t>36-74</t>
  </si>
  <si>
    <t>79-91</t>
  </si>
  <si>
    <t>Post-Scoring Glass Guardian</t>
  </si>
  <si>
    <t>2-Way Triple-Double Threat</t>
  </si>
  <si>
    <t>228-236</t>
  </si>
  <si>
    <t>81-96</t>
  </si>
  <si>
    <t>37-48</t>
  </si>
  <si>
    <t>59-95</t>
  </si>
  <si>
    <t>Swats &amp; Shots</t>
  </si>
  <si>
    <t>Crafty 3-Level Scoring Cleaner</t>
  </si>
  <si>
    <t>57-65</t>
  </si>
  <si>
    <t>38-44</t>
  </si>
  <si>
    <t>38-47</t>
  </si>
  <si>
    <t>2-Way Diming Power Finisher</t>
  </si>
  <si>
    <t>230-279</t>
  </si>
  <si>
    <t>79-93</t>
  </si>
  <si>
    <t>64-92</t>
  </si>
  <si>
    <t>229-250</t>
  </si>
  <si>
    <t>53-87</t>
  </si>
  <si>
    <t>45-63</t>
  </si>
  <si>
    <t>30-70</t>
  </si>
  <si>
    <t>38-63</t>
  </si>
  <si>
    <t>2-Way Post Bully Crasher</t>
  </si>
  <si>
    <t>246-252</t>
  </si>
  <si>
    <t>46-50</t>
  </si>
  <si>
    <t>30-36</t>
  </si>
  <si>
    <t>40-43</t>
  </si>
  <si>
    <t>43-44</t>
  </si>
  <si>
    <t>7'0" to 7'2"</t>
  </si>
  <si>
    <t>253-273</t>
  </si>
  <si>
    <t>41-50</t>
  </si>
  <si>
    <t>40-62</t>
  </si>
  <si>
    <t>43-52</t>
  </si>
  <si>
    <t>Glass Visionary Power Dunker</t>
  </si>
  <si>
    <t>240-263</t>
  </si>
  <si>
    <t>37-83</t>
  </si>
  <si>
    <t>27-56</t>
  </si>
  <si>
    <t>50-57</t>
  </si>
  <si>
    <t>220-268</t>
  </si>
  <si>
    <t>42-80</t>
  </si>
  <si>
    <t>26-78</t>
  </si>
  <si>
    <t>25-47</t>
  </si>
  <si>
    <t>73-95</t>
  </si>
  <si>
    <t>63-81</t>
  </si>
  <si>
    <t>227-260</t>
  </si>
  <si>
    <t>35-71</t>
  </si>
  <si>
    <t>38-64</t>
  </si>
  <si>
    <t>Backline Post Bully Stretch</t>
  </si>
  <si>
    <t>7'2" to 7'4"</t>
  </si>
  <si>
    <t>241-252</t>
  </si>
  <si>
    <t>36-59</t>
  </si>
  <si>
    <t>Physical Glass Visionary</t>
  </si>
  <si>
    <t>253-257</t>
  </si>
  <si>
    <t>Backline Pick &amp; Pop Dimer</t>
  </si>
  <si>
    <t>245-260</t>
  </si>
  <si>
    <t>46-69</t>
  </si>
  <si>
    <t>26-41</t>
  </si>
  <si>
    <t>38-59</t>
  </si>
  <si>
    <t>27-57</t>
  </si>
  <si>
    <t>Pick &amp; Pop Glass Visionary</t>
  </si>
  <si>
    <t>249-256</t>
  </si>
  <si>
    <t>245-265</t>
  </si>
  <si>
    <t>Board-Hunting Stretch Riser</t>
  </si>
  <si>
    <t>233-259</t>
  </si>
  <si>
    <t>41-58</t>
  </si>
  <si>
    <t>241-266</t>
  </si>
  <si>
    <t>54-89</t>
  </si>
  <si>
    <t>37-87</t>
  </si>
  <si>
    <t>Board-Enforcing Diming Popper</t>
  </si>
  <si>
    <t>250-256</t>
  </si>
  <si>
    <t>44-48</t>
  </si>
  <si>
    <t>61-69</t>
  </si>
  <si>
    <t>42-56</t>
  </si>
  <si>
    <t>243-246</t>
  </si>
  <si>
    <t>42-50</t>
  </si>
  <si>
    <t>28-33</t>
  </si>
  <si>
    <t>43-48</t>
  </si>
  <si>
    <t>41-70</t>
  </si>
  <si>
    <t>42-63</t>
  </si>
  <si>
    <t>227-244</t>
  </si>
  <si>
    <t>64-91</t>
  </si>
  <si>
    <t>40-67</t>
  </si>
  <si>
    <t>43-65</t>
  </si>
  <si>
    <t>Shot-Erasing Paint Crasher</t>
  </si>
  <si>
    <t>Board-Hunting Bucket Getter</t>
  </si>
  <si>
    <t>230-255</t>
  </si>
  <si>
    <t>72-94</t>
  </si>
  <si>
    <t>232-267</t>
  </si>
  <si>
    <t>27-41</t>
  </si>
  <si>
    <t>219-260</t>
  </si>
  <si>
    <t>57-86</t>
  </si>
  <si>
    <t>230-237</t>
  </si>
  <si>
    <t>44-45</t>
  </si>
  <si>
    <t>47-58</t>
  </si>
  <si>
    <t>52-77</t>
  </si>
  <si>
    <t>59-89</t>
  </si>
  <si>
    <t>86-99</t>
  </si>
  <si>
    <t>Crafty Stretch Lob Threat</t>
  </si>
  <si>
    <t>230-232</t>
  </si>
  <si>
    <t>35-59</t>
  </si>
  <si>
    <t>30-41</t>
  </si>
  <si>
    <t>42-46</t>
  </si>
  <si>
    <t>246-260</t>
  </si>
  <si>
    <t>38-41</t>
  </si>
  <si>
    <t>42-45</t>
  </si>
  <si>
    <t>Diming Inside-Out Crasher</t>
  </si>
  <si>
    <t>253-266</t>
  </si>
  <si>
    <t>47-52</t>
  </si>
  <si>
    <t>36-37</t>
  </si>
  <si>
    <t>56-68</t>
  </si>
  <si>
    <t>6'11" to 7'1"</t>
  </si>
  <si>
    <t>46-68</t>
  </si>
  <si>
    <t>64-89</t>
  </si>
  <si>
    <t>27-44</t>
  </si>
  <si>
    <t>38-53</t>
  </si>
  <si>
    <t>39-47</t>
  </si>
  <si>
    <t>230-257</t>
  </si>
  <si>
    <t>62-79</t>
  </si>
  <si>
    <t>58-79</t>
  </si>
  <si>
    <t>Board-Enforcing Diming Riser</t>
  </si>
  <si>
    <t>232-256</t>
  </si>
  <si>
    <t>37-58</t>
  </si>
  <si>
    <t>38-57</t>
  </si>
  <si>
    <t>Board-Enforcing Crafty Dimer</t>
  </si>
  <si>
    <t>Lockdown Cleaner</t>
  </si>
  <si>
    <t>244-260</t>
  </si>
  <si>
    <t>79-96</t>
  </si>
  <si>
    <t>38-45</t>
  </si>
  <si>
    <t>215-248</t>
  </si>
  <si>
    <t>Rim-Rocking Stretch Slasher</t>
  </si>
  <si>
    <t>46-55</t>
  </si>
  <si>
    <t>Physical 2-Way 3-Level Crasher</t>
  </si>
  <si>
    <t>240-246</t>
  </si>
  <si>
    <t>41-55</t>
  </si>
  <si>
    <t>Physical Backline Lob Threat</t>
  </si>
  <si>
    <t>245-258</t>
  </si>
  <si>
    <t>49-64</t>
  </si>
  <si>
    <t>Post-Scoring Board Enforcer</t>
  </si>
  <si>
    <t>235-253</t>
  </si>
  <si>
    <t>42-53</t>
  </si>
  <si>
    <t>230-246</t>
  </si>
  <si>
    <t>39-52</t>
  </si>
  <si>
    <t>52-63</t>
  </si>
  <si>
    <t>2-Way Pick &amp; Pop Crasher</t>
  </si>
  <si>
    <t>Stretch Lob Threat Crasher</t>
  </si>
  <si>
    <t>261-266</t>
  </si>
  <si>
    <t>92-99</t>
  </si>
  <si>
    <t>58-66</t>
  </si>
  <si>
    <t>242-253</t>
  </si>
  <si>
    <t>Diming Lob Threat Crasher</t>
  </si>
  <si>
    <t>237-258</t>
  </si>
  <si>
    <t>27-78</t>
  </si>
  <si>
    <t>59-62</t>
  </si>
  <si>
    <t>41-48</t>
  </si>
  <si>
    <t>Board-Hunting Mid-Paint Riser</t>
  </si>
  <si>
    <t>232-260</t>
  </si>
  <si>
    <t>36-49</t>
  </si>
  <si>
    <t>86-97</t>
  </si>
  <si>
    <t>42-62</t>
  </si>
  <si>
    <t>Backline Stretch Dimer</t>
  </si>
  <si>
    <t>252-253</t>
  </si>
  <si>
    <t>52-62</t>
  </si>
  <si>
    <t>54-67</t>
  </si>
  <si>
    <t>263-264</t>
  </si>
  <si>
    <t>Stretch Anchor</t>
  </si>
  <si>
    <t>232-255</t>
  </si>
  <si>
    <t>37-71</t>
  </si>
  <si>
    <t>36-55</t>
  </si>
  <si>
    <t>Rising Glass Visionary Popper</t>
  </si>
  <si>
    <t>246-266</t>
  </si>
  <si>
    <t>37-38</t>
  </si>
  <si>
    <t>7'1"</t>
  </si>
  <si>
    <t>44-46</t>
  </si>
  <si>
    <t>Post-Scoring Stretch Cleaner</t>
  </si>
  <si>
    <t>242-259</t>
  </si>
  <si>
    <t>43-79</t>
  </si>
  <si>
    <t>36-64</t>
  </si>
  <si>
    <t>39-57</t>
  </si>
  <si>
    <t>Backline Mid-Post Bully Riser</t>
  </si>
  <si>
    <t>241-253</t>
  </si>
  <si>
    <t>232-257</t>
  </si>
  <si>
    <t>232-269</t>
  </si>
  <si>
    <t>68-92</t>
  </si>
  <si>
    <t>3-Level Glass Visionary</t>
  </si>
  <si>
    <t>232-252</t>
  </si>
  <si>
    <t>39-53</t>
  </si>
  <si>
    <t>54-61</t>
  </si>
  <si>
    <t>6'9" to 7'4"</t>
  </si>
  <si>
    <t>218-255</t>
  </si>
  <si>
    <t>28-67</t>
  </si>
  <si>
    <t>3-Level Point Center Crasher</t>
  </si>
  <si>
    <t>Diming Putback Posterizer</t>
  </si>
  <si>
    <t>39-68</t>
  </si>
  <si>
    <t>27-28</t>
  </si>
  <si>
    <t>Lock &amp; Board Big</t>
  </si>
  <si>
    <t>2-Way Stretch Five Cleaner</t>
  </si>
  <si>
    <t>Glass Guardian Paint Pounder</t>
  </si>
  <si>
    <t>236-240</t>
  </si>
  <si>
    <t>58-78</t>
  </si>
  <si>
    <t>Post-Bullying Stretch Crasher</t>
  </si>
  <si>
    <t>37-39</t>
  </si>
  <si>
    <t>237-253</t>
  </si>
  <si>
    <t>37-59</t>
  </si>
  <si>
    <t>Diming Glass Guardian Riser</t>
  </si>
  <si>
    <t>245-255</t>
  </si>
  <si>
    <t>29-30</t>
  </si>
  <si>
    <t>38-61</t>
  </si>
  <si>
    <t>Dimemashing Board Enforcer</t>
  </si>
  <si>
    <t>7'2"</t>
  </si>
  <si>
    <t>Rim-Reaping Post-Up Stretch</t>
  </si>
  <si>
    <t>7'3" to 7'4"</t>
  </si>
  <si>
    <t>230-231</t>
  </si>
  <si>
    <t>75-98</t>
  </si>
  <si>
    <t>27-54</t>
  </si>
  <si>
    <t>49-67</t>
  </si>
  <si>
    <t>46-54</t>
  </si>
  <si>
    <t>Rim-Reaping Mid-Post Maestro</t>
  </si>
  <si>
    <t>226-230</t>
  </si>
  <si>
    <t>Edge-Enforcing Lob Threat</t>
  </si>
  <si>
    <t>6'11" to 7'2"</t>
  </si>
  <si>
    <t>230-236</t>
  </si>
  <si>
    <t>Rim-Reaping Stretch Five</t>
  </si>
  <si>
    <t>2-Way Crafty Putback Masher</t>
  </si>
  <si>
    <t>Inside-Out Playmaking Cleaner</t>
  </si>
  <si>
    <t>218-230</t>
  </si>
  <si>
    <t>56-63</t>
  </si>
  <si>
    <t>44-58</t>
  </si>
  <si>
    <t>51-69</t>
  </si>
  <si>
    <t>Paint-Finishing Board Enforcer</t>
  </si>
  <si>
    <t>78-95</t>
  </si>
  <si>
    <t>2-Way Lob Threat Crasher</t>
  </si>
  <si>
    <t>240-250</t>
  </si>
  <si>
    <t>32-41</t>
  </si>
  <si>
    <t>Physical Ball Snatcher</t>
  </si>
  <si>
    <t>Break-Starting Stretch Riser</t>
  </si>
  <si>
    <t>230-252</t>
  </si>
  <si>
    <t>37-63</t>
  </si>
  <si>
    <t>Backline Stretch Diming Riser</t>
  </si>
  <si>
    <t>26-44</t>
  </si>
  <si>
    <t>Inside-Out Glass Visionary</t>
  </si>
  <si>
    <t>240-266</t>
  </si>
  <si>
    <t>36-63</t>
  </si>
  <si>
    <t>226-252</t>
  </si>
  <si>
    <t>248-253</t>
  </si>
  <si>
    <t>26-29</t>
  </si>
  <si>
    <t>64-69</t>
  </si>
  <si>
    <t>Post-Up Rim-Rocking Crasher</t>
  </si>
  <si>
    <t>Post Bully Board Enforcer</t>
  </si>
  <si>
    <t>245-253</t>
  </si>
  <si>
    <t>26-31</t>
  </si>
  <si>
    <t>231-244</t>
  </si>
  <si>
    <t>33-36</t>
  </si>
  <si>
    <t>46-67</t>
  </si>
  <si>
    <t>48-49</t>
  </si>
  <si>
    <t>Skilled Stretch Five</t>
  </si>
  <si>
    <t>216-221</t>
  </si>
  <si>
    <t>Physical Inside-Out Rim Reaper</t>
  </si>
  <si>
    <t>Shot-Erasing Post Creator</t>
  </si>
  <si>
    <t>30-63</t>
  </si>
  <si>
    <t>35-53</t>
  </si>
  <si>
    <t>25-69</t>
  </si>
  <si>
    <t>Rim-Reaping 3-Level Bully</t>
  </si>
  <si>
    <t>6'11" to 7'3"</t>
  </si>
  <si>
    <t>239-260</t>
  </si>
  <si>
    <t>33-62</t>
  </si>
  <si>
    <t>39-61</t>
  </si>
  <si>
    <t>Physical Middy Glass Visionary</t>
  </si>
  <si>
    <t>Mid-Range Board Enforcer</t>
  </si>
  <si>
    <t>231-235</t>
  </si>
  <si>
    <t>42-54</t>
  </si>
  <si>
    <t>93-98</t>
  </si>
  <si>
    <t>29-42</t>
  </si>
  <si>
    <t>43-45</t>
  </si>
  <si>
    <t>230-240</t>
  </si>
  <si>
    <t>220-230</t>
  </si>
  <si>
    <t>34-44</t>
  </si>
  <si>
    <t>Backline Diming Lob Threat</t>
  </si>
  <si>
    <t>240-255</t>
  </si>
  <si>
    <t>246-253</t>
  </si>
  <si>
    <t>47-66</t>
  </si>
  <si>
    <t>26-58</t>
  </si>
  <si>
    <t>39-58</t>
  </si>
  <si>
    <t>Rim-Reaping Diming Riser</t>
  </si>
  <si>
    <t>47-51</t>
  </si>
  <si>
    <t>Shot-Erasing Popping Crasher</t>
  </si>
  <si>
    <t>Backline Stretch Post Scorer</t>
  </si>
  <si>
    <t>230-248</t>
  </si>
  <si>
    <t>215-240</t>
  </si>
  <si>
    <t>83-99</t>
  </si>
  <si>
    <t>80-98</t>
  </si>
  <si>
    <t>33-59</t>
  </si>
  <si>
    <t>Board-Enforcing Bullmasher</t>
  </si>
  <si>
    <t>6'10" to 7'1"</t>
  </si>
  <si>
    <t>227-267</t>
  </si>
  <si>
    <t>34-57</t>
  </si>
  <si>
    <t>246-250</t>
  </si>
  <si>
    <t>30-57</t>
  </si>
  <si>
    <t>32-37</t>
  </si>
  <si>
    <t>The Anomaly</t>
  </si>
  <si>
    <t>232-253</t>
  </si>
  <si>
    <t>32-36</t>
  </si>
  <si>
    <t>90-98</t>
  </si>
  <si>
    <t>Post Bully Cleaner</t>
  </si>
  <si>
    <t>Rim-Reaping Post Scorer</t>
  </si>
  <si>
    <t>Backline Inside-Out Creator</t>
  </si>
  <si>
    <t>227-247</t>
  </si>
  <si>
    <t>57-58</t>
  </si>
  <si>
    <t>Rim-Reaping Post-Lob Threat</t>
  </si>
  <si>
    <t>42-47</t>
  </si>
  <si>
    <t>Diming Rim-Wrecking Crasher</t>
  </si>
  <si>
    <t>Board-Hunting Lob Threat</t>
  </si>
  <si>
    <t>220-245</t>
  </si>
  <si>
    <t>2-Way Post Break Starter</t>
  </si>
  <si>
    <t>Rim-Reaping Stretch Dimer</t>
  </si>
  <si>
    <t>Backline Post-Scoring Dimer</t>
  </si>
  <si>
    <t>231-242</t>
  </si>
  <si>
    <t>Drive &amp; Rise Board Enforcer</t>
  </si>
  <si>
    <t>Putback Dimemashing Eraser</t>
  </si>
  <si>
    <t>Backline Post Rim Rocker</t>
  </si>
  <si>
    <t>Paint-Scoring Crasher</t>
  </si>
  <si>
    <t>Diming Glass Guardian Popper</t>
  </si>
  <si>
    <t>253-255</t>
  </si>
  <si>
    <t>27-42</t>
  </si>
  <si>
    <t>43-64</t>
  </si>
  <si>
    <t>2-Way Dime-Popping Crasher</t>
  </si>
  <si>
    <t>255-260</t>
  </si>
  <si>
    <t>37-52</t>
  </si>
  <si>
    <t>Backline Power Finisher</t>
  </si>
  <si>
    <t>238-242</t>
  </si>
  <si>
    <t>30-52</t>
  </si>
  <si>
    <t>45-49</t>
  </si>
  <si>
    <t>Physical Lock &amp; Board</t>
  </si>
  <si>
    <t>38-58</t>
  </si>
  <si>
    <t>2-Way Crafty Stretch Five</t>
  </si>
  <si>
    <t>Board-Hunting Rim Runner</t>
  </si>
  <si>
    <t>2-Way Diming 3-Level Bully</t>
  </si>
  <si>
    <t>Physical Inside-Out Cleaner</t>
  </si>
  <si>
    <t>Physical Shot-Erasing Crasher</t>
  </si>
  <si>
    <t>2-Way Crafty Inside-Out Dimer</t>
  </si>
  <si>
    <t>Rim-Reaping Middy Maestro</t>
  </si>
  <si>
    <t>227-258</t>
  </si>
  <si>
    <t>41-57</t>
  </si>
  <si>
    <t>Rim-Reaping Power Dunker</t>
  </si>
  <si>
    <t>Backline Paint Bully</t>
  </si>
  <si>
    <t>236-246</t>
  </si>
  <si>
    <t>37-40</t>
  </si>
  <si>
    <t>Stretch Glass Guardian</t>
  </si>
  <si>
    <t>Break-Starting Lob Threat</t>
  </si>
  <si>
    <t>227-255</t>
  </si>
  <si>
    <t>40-42</t>
  </si>
  <si>
    <t>Crafty Stretch Board Enforcer</t>
  </si>
  <si>
    <t>Silk Stretch</t>
  </si>
  <si>
    <t>53-74</t>
  </si>
  <si>
    <t>61-89</t>
  </si>
  <si>
    <t>2-Way Paint-Pounding Cleaner</t>
  </si>
  <si>
    <t>252-290</t>
  </si>
  <si>
    <t>43-49</t>
  </si>
  <si>
    <t>37-45</t>
  </si>
  <si>
    <t>Rim-Reaping Table Setter</t>
  </si>
  <si>
    <t>Rim-Rocking Board Enforcer</t>
  </si>
  <si>
    <t>Board-Enforcing Stretch Dimer</t>
  </si>
  <si>
    <t>240-268</t>
  </si>
  <si>
    <t>40-68</t>
  </si>
  <si>
    <t>Crafty Stretch Anchor</t>
  </si>
  <si>
    <t>2-Way Post-Up Stretch Cleaner</t>
  </si>
  <si>
    <t>2-Way Rim-Wrecking Crasher</t>
  </si>
  <si>
    <t>Rim-Reaping Crafty Dimemasher</t>
  </si>
  <si>
    <t>Board-Hunting Mid-Post Bully</t>
  </si>
  <si>
    <t>Rim-Reaping Diming Dunker</t>
  </si>
  <si>
    <t>Board-Hunting Paint Finisher</t>
  </si>
  <si>
    <t>Backline Post Bully</t>
  </si>
  <si>
    <t>Table-Setting Board Enforcer</t>
  </si>
  <si>
    <t>251-260</t>
  </si>
  <si>
    <t>43-88</t>
  </si>
  <si>
    <t>47-63</t>
  </si>
  <si>
    <t>Post-Scoreing Board Enforcer</t>
  </si>
  <si>
    <t>229-255</t>
  </si>
  <si>
    <t>2-Way Putback Pro</t>
  </si>
  <si>
    <t>36-66</t>
  </si>
  <si>
    <t>Power Slasher</t>
  </si>
  <si>
    <t>Shot-Erasing Paint Dimer</t>
  </si>
  <si>
    <t>PlayShot Board Enforcer</t>
  </si>
  <si>
    <t>Shot-Erasing Putback Bully</t>
  </si>
  <si>
    <t>240-261</t>
  </si>
  <si>
    <t>38-46</t>
  </si>
  <si>
    <t>Physical Mid-Paint Rim Reaper</t>
  </si>
  <si>
    <t>250-264</t>
  </si>
  <si>
    <t>Rim-Wrecking Glass Visionary</t>
  </si>
  <si>
    <t>Rim-Reaping Diming Post Bully</t>
  </si>
  <si>
    <t>Backline Poster Dunker</t>
  </si>
  <si>
    <t>Crafty Post-Scoring Cleaner</t>
  </si>
  <si>
    <t>Shot-Erasing Putback Stretch</t>
  </si>
  <si>
    <t>Physical Mid-Post Cleaner</t>
  </si>
  <si>
    <t>Glass Guardian</t>
  </si>
  <si>
    <t>258-259</t>
  </si>
  <si>
    <t>54-64</t>
  </si>
  <si>
    <t>25-33</t>
  </si>
  <si>
    <t>84-99</t>
  </si>
  <si>
    <t>64-95</t>
  </si>
  <si>
    <t>2-Way Inside-Out Cleaner</t>
  </si>
  <si>
    <t>235-255</t>
  </si>
  <si>
    <t>Backline Mid-Post Bully</t>
  </si>
  <si>
    <t>Backline Lob Threat</t>
  </si>
  <si>
    <t>250-266</t>
  </si>
  <si>
    <t>57-79</t>
  </si>
  <si>
    <t>Rim-Rocking Slashing Cleaner</t>
  </si>
  <si>
    <t>233-250</t>
  </si>
  <si>
    <t>Physical Rim Reaper</t>
  </si>
  <si>
    <t>37-77</t>
  </si>
  <si>
    <t>32-49</t>
  </si>
  <si>
    <t>Footer</t>
  </si>
  <si>
    <t>2-Way 3-Level Point Center</t>
  </si>
  <si>
    <t>241-247</t>
  </si>
  <si>
    <t>72-76</t>
  </si>
  <si>
    <t>Physical Middy Board Enforcer</t>
  </si>
  <si>
    <t>237-251</t>
  </si>
  <si>
    <t>Ball-Snatching Popper</t>
  </si>
  <si>
    <t>234-241</t>
  </si>
  <si>
    <t>2-Way Lob Threat Cleaner</t>
  </si>
  <si>
    <t>244-268</t>
  </si>
  <si>
    <t>37-42</t>
  </si>
  <si>
    <t>2-Way PlayShot Crasher</t>
  </si>
  <si>
    <t>7'1" to 7'2"</t>
  </si>
  <si>
    <t>257-260</t>
  </si>
  <si>
    <t>36-42</t>
  </si>
  <si>
    <t>97-99</t>
  </si>
  <si>
    <t>49-61</t>
  </si>
  <si>
    <t>29-47</t>
  </si>
  <si>
    <t>2-Way Post-Up Stretch Crasher</t>
  </si>
  <si>
    <t>Mid-Post Lob Threat Cleaner</t>
  </si>
  <si>
    <t>Board-Hunting Crafty Finisher</t>
  </si>
  <si>
    <t>Stretch Diming Putback Pro</t>
  </si>
  <si>
    <t>239-266</t>
  </si>
  <si>
    <t>Big Smooth</t>
  </si>
  <si>
    <t>30-61</t>
  </si>
  <si>
    <t>243-259</t>
  </si>
  <si>
    <t>43-61</t>
  </si>
  <si>
    <t>39-59</t>
  </si>
  <si>
    <t>2-Way Mid-Post Bully Riser</t>
  </si>
  <si>
    <t>2-Way Post-Diming Crasher</t>
  </si>
  <si>
    <t>Crafty Inside-Out Board Hunter</t>
  </si>
  <si>
    <t>Crafty Paint-Finishing Cleaner</t>
  </si>
  <si>
    <t>Break-Starting Post Bully</t>
  </si>
  <si>
    <t>Mid-Paint Break-Starting Bully</t>
  </si>
  <si>
    <t>Bulldozing Cleaner</t>
  </si>
  <si>
    <t>Backline Masher</t>
  </si>
  <si>
    <t>3-Level Point Center Eraser</t>
  </si>
  <si>
    <t>225-231</t>
  </si>
  <si>
    <t>57-64</t>
  </si>
  <si>
    <t>Backline Rim Runner</t>
  </si>
  <si>
    <t>Board-Hunting Power Dunker</t>
  </si>
  <si>
    <t>Glass Guardian Middy Maestro</t>
  </si>
  <si>
    <t>2-Way Diming Lob Threat</t>
  </si>
  <si>
    <t>Board-Hunting Mid-Paint Bully</t>
  </si>
  <si>
    <t>2-Way Mid-Post-Dimming Crasher</t>
  </si>
  <si>
    <t>Rim-Wrecking Strech</t>
  </si>
  <si>
    <t>Mid-Post Glass Guardian Riser</t>
  </si>
  <si>
    <t>2-Way Putback Power Finisher</t>
  </si>
  <si>
    <t>Rim-Rocking Stretch Ball Hawk</t>
  </si>
  <si>
    <t>Rim-Reaping Post Bully Riser</t>
  </si>
  <si>
    <t>2-Way Middy Point Center Bully</t>
  </si>
  <si>
    <t>Slashing Paint Hawk</t>
  </si>
  <si>
    <t>Steel Curtain</t>
  </si>
  <si>
    <t>2-Way Stretch Five Dimer</t>
  </si>
  <si>
    <t>Post-Scoring Glass Visionary</t>
  </si>
  <si>
    <t>Ball-Hawking Blow-By Slasher</t>
  </si>
  <si>
    <t>Post Bully Glass Visionary</t>
  </si>
  <si>
    <t>2-Way Post Bully Cleaner</t>
  </si>
  <si>
    <t>Board-Hunting Skilled Popper</t>
  </si>
  <si>
    <t>2-Way Mid-Post Cleaner</t>
  </si>
  <si>
    <t>Board-Enforcing 3-Level Bully</t>
  </si>
  <si>
    <t>Paint-Diming Glass Guardian</t>
  </si>
  <si>
    <t>Backline Rim-Running Dimer</t>
  </si>
  <si>
    <t>Crashing Power Dunker</t>
  </si>
  <si>
    <t>Backline Crafty Mid-Post Riser</t>
  </si>
  <si>
    <t>Power-Slashing Board Enforcer</t>
  </si>
  <si>
    <t>Crafty Mid-Post Break Starter</t>
  </si>
  <si>
    <t>Power-Dimming Glass Guardian</t>
  </si>
  <si>
    <t>Stretch Lob Threat Cleaner</t>
  </si>
  <si>
    <t>Ball-Snatching Power Dunker</t>
  </si>
  <si>
    <t>Break-Starting Stretch Five</t>
  </si>
  <si>
    <t>Pick-Diving Cleaner</t>
  </si>
  <si>
    <t>2-Way Crashing Power Dunker</t>
  </si>
  <si>
    <t>Floor-Sweeping Power Dunker</t>
  </si>
  <si>
    <t>Inside-Out-Dimming Eraser</t>
  </si>
  <si>
    <t>2-Way Faceup Putback Pro</t>
  </si>
  <si>
    <t>Inches</t>
  </si>
  <si>
    <t>BBGM Hgt</t>
  </si>
  <si>
    <t>2K Percentiles</t>
  </si>
  <si>
    <t>Stat</t>
  </si>
  <si>
    <t>1st</t>
  </si>
  <si>
    <t>10th</t>
  </si>
  <si>
    <t>25th</t>
  </si>
  <si>
    <t>50th</t>
  </si>
  <si>
    <t>75th</t>
  </si>
  <si>
    <t>90th</t>
  </si>
  <si>
    <t>95th</t>
  </si>
  <si>
    <t>99th</t>
  </si>
  <si>
    <t>OIQ</t>
  </si>
  <si>
    <t>Hgt</t>
  </si>
  <si>
    <t>Stre</t>
  </si>
  <si>
    <t>Spd</t>
  </si>
  <si>
    <t>Jmp</t>
  </si>
  <si>
    <t>Endu</t>
  </si>
  <si>
    <t>Ins</t>
  </si>
  <si>
    <t>Dnk</t>
  </si>
  <si>
    <t>FT</t>
  </si>
  <si>
    <t>Mid</t>
  </si>
  <si>
    <t>TP</t>
  </si>
  <si>
    <t>DIQ</t>
  </si>
  <si>
    <t>Drb</t>
  </si>
  <si>
    <t>Pss</t>
  </si>
  <si>
    <t>Reb</t>
  </si>
  <si>
    <t>Magnitude</t>
  </si>
  <si>
    <t>User Height (Inches)</t>
  </si>
  <si>
    <t>Stat Rank (1=best)</t>
  </si>
  <si>
    <t>Shades of (Reality):</t>
  </si>
  <si>
    <t>Name</t>
  </si>
  <si>
    <t>Match Score</t>
  </si>
  <si>
    <t>Archetype Finder: How to Use &amp; Methodology</t>
  </si>
  <si>
    <t>What does this tool do?</t>
  </si>
  <si>
    <t>This tool bridges the gap between NBA 2K and Basketball GM (BBGM). It allows you to input custom player ratings to discover the closest matching NBA 2K build archetypes and find real NBA players ('Shades Of') who share a similar statistical profile. It uses historical percentiles to accurately translate ratings between the two different game engines.</t>
  </si>
  <si>
    <t>How to Use the Finder</t>
  </si>
  <si>
    <t>1. Navigate to the 'Archetype_Finder' tab.
2. Paste your desired player ratings (1-99) in the top row (Hgt, Stre, Spd, etc.). You can simply highlight the line from Hgt to Reb in a players ratings row.
3. The 'Top 3 Matches' section will automatically update to show the 2K builds that best match your inputs.
4. The 'Shades of' section will display real NBA players with similar statistical profiles.</t>
  </si>
  <si>
    <t>Methodology: Match Score</t>
  </si>
  <si>
    <t>The Match Score calculates the similarity between your inputted ratings and the base ratings of every 2K build using Weighted Cosine Similarity. Instead of just looking at raw numbers, it measures the 'shape' of a player's profile to match playstyles. It features 'Signature Skill' weighting (applying a 1.5x multiplier to stats in the 85th percentile or above) and a strict height filter to prevent cross-positional mismatches. The result is standardized into a clean 0-100 percentage.</t>
  </si>
  <si>
    <t>Methodology: Percentiles &amp; Mapping</t>
  </si>
  <si>
    <t>Because 2K ratings and BBGM scale differently, direct 1-to-1 mapping is inaccurate. I used historical percentiles of every single NBA player to map the ratings. To better differentiate true superstars from role players, an exponential curve is applied to the top 10% of ratings (90th percentile and above). This expands the mathematical gap between 'Great' and 'Elite' stats, ensuring high-end 2K ratings translate properly to BBGM.</t>
  </si>
  <si>
    <t>Methodology: Shades Of (NBA Comparisons)</t>
  </si>
  <si>
    <t>The 'Shades Of' section compares your generated BBGM ratings to real NBA players using the updated Cosine Similarity formula. It heavily weights physicals (Height, Speed, Strength) and primary scoring traits to find players with the most similar statistical distribution and playstyle. It also includes a hard filter to only return viable NBA players with an Overall (OVR) rating of at least 55.</t>
  </si>
  <si>
    <t>Limitations &amp; Feedback</t>
  </si>
  <si>
    <t>Please note that this tool isn't perfect. Converting 2K ratings that have no equivalent to BBGM is hard, and uses arbitrary formulas to simulate what that rating matches to BBGM. For any possible helpful ideas or improvements, please reach out to FryBandit on Discord.</t>
  </si>
  <si>
    <t/>
  </si>
  <si>
    <t>Min Height</t>
  </si>
  <si>
    <t>Max Height</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</si>
</sst>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color rgb="FF1F1F1F"/>
      <name val="&quot;Google Sans Text&quot;"/>
    </font>
    <font>
      <b/>
      <color rgb="FF1F1F1F"/>
      <name val="&quot;Google Sans Text&quot;"/>
    </font>
    <font>
      <b/>
      <sz val="10.0"/>
      <color rgb="FFFFFFFF"/>
      <name val="Montserrat"/>
    </font>
    <font>
      <b/>
      <sz val="14.0"/>
      <color rgb="FF1B1A20"/>
      <name val="Roboto"/>
    </font>
    <font>
      <b/>
      <sz val="16.0"/>
      <color rgb="FF5A5790"/>
      <name val="Montserrat"/>
    </font>
    <font>
      <b/>
      <color rgb="FFFFFFFF"/>
      <name val="Montserrat"/>
    </font>
    <font>
      <color theme="1"/>
      <name val="Roboto"/>
    </font>
    <font>
      <b/>
      <color theme="1"/>
      <name val="Arial"/>
      <scheme val="minor"/>
    </font>
    <font>
      <b/>
      <i/>
      <color theme="1"/>
      <name val="Arial"/>
      <scheme val="minor"/>
    </font>
    <font>
      <b/>
      <sz val="24.0"/>
      <color rgb="FF5A5892"/>
      <name val="Montserrat"/>
    </font>
    <font>
      <b/>
      <sz val="16.0"/>
      <color rgb="FF5A5892"/>
      <name val="Montserrat"/>
    </font>
    <font>
      <sz val="11.0"/>
      <color rgb="FF1B1B21"/>
      <name val="Roboto"/>
    </font>
    <font>
      <b/>
      <sz val="11.0"/>
      <color rgb="FFFFFFFF"/>
      <name val="Montserrat"/>
    </font>
    <font>
      <sz val="10.0"/>
      <color theme="1"/>
      <name val="Roboto"/>
    </font>
  </fonts>
  <fills count="6">
    <fill>
      <patternFill patternType="none"/>
    </fill>
    <fill>
      <patternFill patternType="lightGray"/>
    </fill>
    <fill>
      <patternFill patternType="solid">
        <fgColor rgb="FF5A5790"/>
        <bgColor rgb="FF5A5790"/>
      </patternFill>
    </fill>
    <fill>
      <patternFill patternType="solid">
        <fgColor rgb="FFFBF7FF"/>
        <bgColor rgb="FFFBF7FF"/>
      </patternFill>
    </fill>
    <fill>
      <patternFill patternType="solid">
        <fgColor rgb="FFFFFFFF"/>
        <bgColor rgb="FFFFFFFF"/>
      </patternFill>
    </fill>
    <fill>
      <patternFill patternType="solid">
        <fgColor rgb="FF465D92"/>
        <bgColor rgb="FF465D92"/>
      </patternFill>
    </fill>
  </fills>
  <borders count="3">
    <border/>
    <border>
      <bottom style="thin">
        <color rgb="FF77757F"/>
      </bottom>
    </border>
    <border>
      <bottom style="thin">
        <color rgb="FF78767F"/>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readingOrder="0"/>
    </xf>
    <xf borderId="0" fillId="0" fontId="1" numFmtId="0" xfId="0" applyFont="1"/>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2" fontId="4" numFmtId="0" xfId="0" applyAlignment="1" applyFill="1" applyFont="1">
      <alignment horizontal="center" readingOrder="0" vertical="center"/>
    </xf>
    <xf borderId="1" fillId="3" fontId="5" numFmtId="0" xfId="0" applyAlignment="1" applyBorder="1" applyFill="1" applyFont="1">
      <alignment horizontal="center" readingOrder="0" vertical="center"/>
    </xf>
    <xf borderId="0" fillId="0" fontId="6" numFmtId="0" xfId="0" applyAlignment="1" applyFont="1">
      <alignment readingOrder="0"/>
    </xf>
    <xf borderId="0" fillId="2" fontId="7" numFmtId="0" xfId="0" applyFont="1"/>
    <xf borderId="0" fillId="3" fontId="8" numFmtId="0" xfId="0" applyFont="1"/>
    <xf borderId="0" fillId="4" fontId="8" numFmtId="0" xfId="0" applyFill="1" applyFont="1"/>
    <xf borderId="0" fillId="0" fontId="9" numFmtId="0" xfId="0" applyFont="1"/>
    <xf borderId="0" fillId="2" fontId="7"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0" numFmtId="0" xfId="0" applyFont="1"/>
    <xf borderId="0" fillId="0" fontId="7" numFmtId="0" xfId="0" applyAlignment="1" applyFont="1">
      <alignment readingOrder="0"/>
    </xf>
    <xf borderId="0" fillId="0" fontId="11" numFmtId="0" xfId="0" applyAlignment="1" applyFont="1">
      <alignment readingOrder="0"/>
    </xf>
    <xf borderId="2" fillId="0" fontId="12" numFmtId="0" xfId="0" applyAlignment="1" applyBorder="1" applyFont="1">
      <alignment readingOrder="0" shrinkToFit="0" wrapText="1"/>
    </xf>
    <xf borderId="0" fillId="0" fontId="13" numFmtId="0" xfId="0" applyAlignment="1" applyFont="1">
      <alignment readingOrder="0" shrinkToFit="0" wrapText="1"/>
    </xf>
    <xf borderId="0" fillId="0" fontId="12" numFmtId="0" xfId="0" applyAlignment="1" applyFont="1">
      <alignment readingOrder="0" shrinkToFit="0" wrapText="1"/>
    </xf>
    <xf borderId="0" fillId="0" fontId="13" numFmtId="0" xfId="0" applyAlignment="1" applyFont="1">
      <alignment shrinkToFit="0" wrapText="1"/>
    </xf>
    <xf borderId="2" fillId="4" fontId="12" numFmtId="0" xfId="0" applyAlignment="1" applyBorder="1" applyFont="1">
      <alignment horizontal="left" shrinkToFit="0" vertical="bottom" wrapText="1"/>
    </xf>
    <xf borderId="0" fillId="4" fontId="13" numFmtId="0" xfId="0" applyAlignment="1" applyFont="1">
      <alignment horizontal="left" shrinkToFit="0" vertical="bottom" wrapText="1"/>
    </xf>
    <xf borderId="0" fillId="5" fontId="14" numFmtId="0" xfId="0" applyAlignment="1" applyFill="1" applyFont="1">
      <alignment horizontal="center" readingOrder="0"/>
    </xf>
    <xf borderId="0" fillId="0" fontId="15" numFmtId="0" xfId="0" applyAlignment="1" applyFont="1">
      <alignment horizontal="center"/>
    </xf>
    <xf borderId="0" fillId="0" fontId="1" numFmtId="0" xfId="0" applyFont="1"/>
    <xf borderId="0" fillId="0" fontId="9" numFmtId="0" xfId="0" applyFont="1"/>
    <xf borderId="0" fillId="0" fontId="9" numFmtId="0" xfId="0" applyAlignment="1" applyFont="1">
      <alignment readingOrder="0"/>
    </xf>
  </cellXfs>
  <cellStyles count="1">
    <cellStyle xfId="0" name="Normal" builtinId="0"/>
  </cellStyles>
  <dxfs count="9">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F9F8FF"/>
          <bgColor rgb="FFF9F8FF"/>
        </patternFill>
      </fill>
      <border/>
    </dxf>
    <dxf>
      <font/>
      <fill>
        <patternFill patternType="solid">
          <fgColor rgb="FFF7F9FF"/>
          <bgColor rgb="FFF7F9FF"/>
        </patternFill>
      </fill>
      <border/>
    </dxf>
    <dxf>
      <font/>
      <fill>
        <patternFill patternType="solid">
          <fgColor rgb="FFCCCCCC"/>
          <bgColor rgb="FFCCCCCC"/>
        </patternFill>
      </fill>
      <border/>
    </dxf>
    <dxf>
      <font/>
      <fill>
        <patternFill patternType="solid">
          <fgColor rgb="FFF2F2F2"/>
          <bgColor rgb="FFF2F2F2"/>
        </patternFill>
      </fill>
      <border/>
    </dxf>
  </dxfs>
  <tableStyles count="5">
    <tableStyle count="4" pivot="0" name="Percentiles-style">
      <tableStyleElement dxfId="1" type="headerRow"/>
      <tableStyleElement dxfId="2" type="firstRowStripe"/>
      <tableStyleElement dxfId="3" type="secondRowStripe"/>
      <tableStyleElement dxfId="4" size="0" type="wholeTable"/>
    </tableStyle>
    <tableStyle count="2" pivot="0" name="Players-style">
      <tableStyleElement dxfId="5" type="firstRowStripe"/>
      <tableStyleElement dxfId="2" type="secondRowStripe"/>
    </tableStyle>
    <tableStyle count="2" pivot="0" name="2K_Ratings-style">
      <tableStyleElement dxfId="5" type="firstRowStripe"/>
      <tableStyleElement dxfId="2" type="secondRowStripe"/>
    </tableStyle>
    <tableStyle count="2" pivot="0" name="Weighted_Vectors-style">
      <tableStyleElement dxfId="6" type="firstRowStripe"/>
      <tableStyleElement dxfId="2" type="secondRowStripe"/>
    </tableStyle>
    <tableStyle count="3" pivot="0" name="Clean_Archetype_DB-style">
      <tableStyleElement dxfId="7" type="headerRow"/>
      <tableStyleElement dxfId="2"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4:I59" displayName="bbgm" name="bbgm" id="1">
  <tableColumns count="9">
    <tableColumn name="Stat" id="1"/>
    <tableColumn name="1st" id="2"/>
    <tableColumn name="10th" id="3"/>
    <tableColumn name="25th" id="4"/>
    <tableColumn name="50th" id="5"/>
    <tableColumn name="75th" id="6"/>
    <tableColumn name="90th" id="7"/>
    <tableColumn name="95th" id="8"/>
    <tableColumn name="99th" id="9"/>
  </tableColumns>
  <tableStyleInfo name="Percentiles-style" showColumnStripes="0" showFirstColumn="1" showLastColumn="1" showRowStripes="1"/>
</table>
</file>

<file path=xl/tables/table2.xml><?xml version="1.0" encoding="utf-8"?>
<table xmlns="http://schemas.openxmlformats.org/spreadsheetml/2006/main" headerRowCount="0" ref="A2:P100" displayName="Table_1" name="Table_1" id="2">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Players-style" showColumnStripes="0" showFirstColumn="1" showLastColumn="1" showRowStripes="1"/>
</table>
</file>

<file path=xl/tables/table3.xml><?xml version="1.0" encoding="utf-8"?>
<table xmlns="http://schemas.openxmlformats.org/spreadsheetml/2006/main" headerRowCount="0" ref="A3:W100" displayName="Table_2" name="Table_2" id="3">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2K_Ratings-style" showColumnStripes="0" showFirstColumn="1" showLastColumn="1" showRowStripes="1"/>
</table>
</file>

<file path=xl/tables/table4.xml><?xml version="1.0" encoding="utf-8"?>
<table xmlns="http://schemas.openxmlformats.org/spreadsheetml/2006/main" headerRowCount="0" ref="A3:W1000" displayName="Table_3" name="Table_3" id="4">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Weighted_Vectors-style" showColumnStripes="0" showFirstColumn="1" showLastColumn="1" showRowStripes="1"/>
</table>
</file>

<file path=xl/tables/table5.xml><?xml version="1.0" encoding="utf-8"?>
<table xmlns="http://schemas.openxmlformats.org/spreadsheetml/2006/main" headerRowCount="0" ref="A1:X1758" displayName="Table_4" name="Table_4" id="5">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lean_Archetype_DB-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c r="B2" s="2"/>
      <c r="C2" s="2"/>
      <c r="D2" s="2"/>
      <c r="E2" s="2"/>
      <c r="F2" s="2"/>
      <c r="G2" s="2"/>
      <c r="H2" s="2"/>
      <c r="I2" s="2"/>
      <c r="J2" s="2"/>
      <c r="K2" s="2"/>
      <c r="L2" s="2"/>
      <c r="M2" s="2"/>
      <c r="N2" s="2"/>
      <c r="O2" s="2"/>
      <c r="P2" s="2"/>
    </row>
    <row r="3">
      <c r="A3" s="3" t="s">
        <v>26</v>
      </c>
      <c r="B3" s="2" t="s">
        <v>27</v>
      </c>
      <c r="C3" s="2" t="s">
        <v>28</v>
      </c>
      <c r="D3" s="2" t="s">
        <v>29</v>
      </c>
      <c r="E3" s="2" t="s">
        <v>30</v>
      </c>
      <c r="F3" s="2" t="s">
        <v>31</v>
      </c>
      <c r="G3" s="2" t="s">
        <v>32</v>
      </c>
      <c r="H3" s="2" t="s">
        <v>33</v>
      </c>
      <c r="I3" s="2" t="s">
        <v>34</v>
      </c>
      <c r="J3" s="2" t="s">
        <v>35</v>
      </c>
      <c r="K3" s="2" t="s">
        <v>36</v>
      </c>
      <c r="L3" s="2" t="s">
        <v>37</v>
      </c>
      <c r="M3" s="2" t="s">
        <v>38</v>
      </c>
      <c r="N3" s="2" t="s">
        <v>39</v>
      </c>
      <c r="O3" s="2" t="s">
        <v>39</v>
      </c>
      <c r="P3" s="2" t="s">
        <v>40</v>
      </c>
      <c r="Q3" s="1" t="s">
        <v>36</v>
      </c>
      <c r="R3" s="1" t="s">
        <v>41</v>
      </c>
      <c r="S3" s="1" t="s">
        <v>42</v>
      </c>
      <c r="T3" s="1" t="s">
        <v>43</v>
      </c>
      <c r="U3" s="1" t="s">
        <v>44</v>
      </c>
      <c r="V3" s="1" t="s">
        <v>45</v>
      </c>
      <c r="W3" s="1" t="s">
        <v>46</v>
      </c>
      <c r="X3" s="1" t="s">
        <v>47</v>
      </c>
      <c r="Y3" s="1" t="s">
        <v>48</v>
      </c>
      <c r="Z3" s="1">
        <v>1.0</v>
      </c>
    </row>
    <row r="4">
      <c r="A4" s="3" t="s">
        <v>49</v>
      </c>
      <c r="B4" s="2" t="s">
        <v>27</v>
      </c>
      <c r="C4" s="2" t="s">
        <v>50</v>
      </c>
      <c r="D4" s="2" t="s">
        <v>51</v>
      </c>
      <c r="E4" s="2" t="s">
        <v>52</v>
      </c>
      <c r="F4" s="2" t="s">
        <v>53</v>
      </c>
      <c r="G4" s="2" t="s">
        <v>54</v>
      </c>
      <c r="H4" s="2" t="s">
        <v>55</v>
      </c>
      <c r="I4" s="2" t="s">
        <v>56</v>
      </c>
      <c r="J4" s="2" t="s">
        <v>36</v>
      </c>
      <c r="K4" s="2" t="s">
        <v>57</v>
      </c>
      <c r="L4" s="2" t="s">
        <v>58</v>
      </c>
      <c r="M4" s="2" t="s">
        <v>59</v>
      </c>
      <c r="N4" s="2" t="s">
        <v>60</v>
      </c>
      <c r="O4" s="2" t="s">
        <v>61</v>
      </c>
      <c r="P4" s="2" t="s">
        <v>62</v>
      </c>
      <c r="Q4" s="1" t="s">
        <v>35</v>
      </c>
      <c r="R4" s="1" t="s">
        <v>63</v>
      </c>
      <c r="S4" s="1" t="s">
        <v>64</v>
      </c>
      <c r="T4" s="1" t="s">
        <v>65</v>
      </c>
      <c r="U4" s="1" t="s">
        <v>66</v>
      </c>
      <c r="V4" s="1" t="s">
        <v>61</v>
      </c>
      <c r="W4" s="1" t="s">
        <v>67</v>
      </c>
      <c r="X4" s="1" t="s">
        <v>68</v>
      </c>
      <c r="Y4" s="1" t="s">
        <v>69</v>
      </c>
      <c r="Z4" s="1">
        <v>1.0</v>
      </c>
    </row>
    <row r="5">
      <c r="A5" s="3" t="s">
        <v>70</v>
      </c>
      <c r="B5" s="2" t="s">
        <v>27</v>
      </c>
      <c r="C5" s="2" t="s">
        <v>50</v>
      </c>
      <c r="D5" s="2" t="s">
        <v>71</v>
      </c>
      <c r="E5" s="2" t="s">
        <v>72</v>
      </c>
      <c r="F5" s="2" t="s">
        <v>31</v>
      </c>
      <c r="G5" s="2" t="s">
        <v>73</v>
      </c>
      <c r="H5" s="2" t="s">
        <v>74</v>
      </c>
      <c r="I5" s="2" t="s">
        <v>75</v>
      </c>
      <c r="J5" s="2" t="s">
        <v>76</v>
      </c>
      <c r="K5" s="2" t="s">
        <v>45</v>
      </c>
      <c r="L5" s="2" t="s">
        <v>77</v>
      </c>
      <c r="M5" s="2" t="s">
        <v>78</v>
      </c>
      <c r="N5" s="2" t="s">
        <v>79</v>
      </c>
      <c r="O5" s="2" t="s">
        <v>80</v>
      </c>
      <c r="P5" s="2" t="s">
        <v>81</v>
      </c>
      <c r="Q5" s="1" t="s">
        <v>82</v>
      </c>
      <c r="R5" s="1" t="s">
        <v>83</v>
      </c>
      <c r="S5" s="1" t="s">
        <v>84</v>
      </c>
      <c r="T5" s="1" t="s">
        <v>65</v>
      </c>
      <c r="U5" s="1" t="s">
        <v>85</v>
      </c>
      <c r="V5" s="1" t="s">
        <v>82</v>
      </c>
      <c r="W5" s="1" t="s">
        <v>86</v>
      </c>
      <c r="X5" s="1" t="s">
        <v>87</v>
      </c>
      <c r="Y5" s="1" t="s">
        <v>88</v>
      </c>
      <c r="Z5" s="1">
        <v>1.0</v>
      </c>
    </row>
    <row r="6">
      <c r="A6" s="3" t="s">
        <v>89</v>
      </c>
      <c r="B6" s="2" t="s">
        <v>27</v>
      </c>
      <c r="C6" s="2" t="s">
        <v>50</v>
      </c>
      <c r="D6" s="2" t="s">
        <v>90</v>
      </c>
      <c r="E6" s="2" t="s">
        <v>91</v>
      </c>
      <c r="F6" s="2" t="s">
        <v>52</v>
      </c>
      <c r="G6" s="2" t="s">
        <v>92</v>
      </c>
      <c r="H6" s="2" t="s">
        <v>93</v>
      </c>
      <c r="I6" s="2" t="s">
        <v>94</v>
      </c>
      <c r="J6" s="2" t="s">
        <v>95</v>
      </c>
      <c r="K6" s="2" t="s">
        <v>96</v>
      </c>
      <c r="L6" s="2" t="s">
        <v>97</v>
      </c>
      <c r="M6" s="2" t="s">
        <v>98</v>
      </c>
      <c r="N6" s="2" t="s">
        <v>96</v>
      </c>
      <c r="O6" s="2" t="s">
        <v>99</v>
      </c>
      <c r="P6" s="2" t="s">
        <v>100</v>
      </c>
      <c r="Q6" s="1" t="s">
        <v>96</v>
      </c>
      <c r="R6" s="1" t="s">
        <v>101</v>
      </c>
      <c r="S6" s="1" t="s">
        <v>100</v>
      </c>
      <c r="T6" s="1" t="s">
        <v>102</v>
      </c>
      <c r="U6" s="1" t="s">
        <v>40</v>
      </c>
      <c r="V6" s="1" t="s">
        <v>96</v>
      </c>
      <c r="W6" s="1" t="s">
        <v>103</v>
      </c>
      <c r="X6" s="1" t="s">
        <v>104</v>
      </c>
      <c r="Y6" s="1" t="s">
        <v>105</v>
      </c>
      <c r="Z6" s="1">
        <v>1.0</v>
      </c>
    </row>
    <row r="7">
      <c r="A7" s="3" t="s">
        <v>106</v>
      </c>
      <c r="B7" s="2" t="s">
        <v>27</v>
      </c>
      <c r="C7" s="2" t="s">
        <v>107</v>
      </c>
      <c r="D7" s="2" t="s">
        <v>108</v>
      </c>
      <c r="E7" s="2" t="s">
        <v>109</v>
      </c>
      <c r="F7" s="2" t="s">
        <v>110</v>
      </c>
      <c r="G7" s="2" t="s">
        <v>111</v>
      </c>
      <c r="H7" s="2" t="s">
        <v>55</v>
      </c>
      <c r="I7" s="2" t="s">
        <v>112</v>
      </c>
      <c r="J7" s="2" t="s">
        <v>113</v>
      </c>
      <c r="K7" s="2" t="s">
        <v>114</v>
      </c>
      <c r="L7" s="2" t="s">
        <v>97</v>
      </c>
      <c r="M7" s="2" t="s">
        <v>98</v>
      </c>
      <c r="N7" s="2" t="s">
        <v>114</v>
      </c>
      <c r="O7" s="2" t="s">
        <v>115</v>
      </c>
      <c r="P7" s="2" t="s">
        <v>116</v>
      </c>
      <c r="Q7" s="1" t="s">
        <v>117</v>
      </c>
      <c r="R7" s="1" t="s">
        <v>118</v>
      </c>
      <c r="S7" s="1" t="s">
        <v>119</v>
      </c>
      <c r="T7" s="1" t="s">
        <v>120</v>
      </c>
      <c r="U7" s="1" t="s">
        <v>121</v>
      </c>
      <c r="V7" s="1" t="s">
        <v>122</v>
      </c>
      <c r="W7" s="1" t="s">
        <v>53</v>
      </c>
      <c r="X7" s="1" t="s">
        <v>123</v>
      </c>
      <c r="Y7" s="1" t="s">
        <v>98</v>
      </c>
      <c r="Z7" s="1">
        <v>1.0</v>
      </c>
    </row>
    <row r="8">
      <c r="A8" s="3" t="s">
        <v>124</v>
      </c>
      <c r="B8" s="2" t="s">
        <v>27</v>
      </c>
      <c r="C8" s="2" t="s">
        <v>125</v>
      </c>
      <c r="D8" s="2" t="s">
        <v>126</v>
      </c>
      <c r="E8" s="2" t="s">
        <v>127</v>
      </c>
      <c r="F8" s="2" t="s">
        <v>128</v>
      </c>
      <c r="G8" s="2" t="s">
        <v>129</v>
      </c>
      <c r="H8" s="2" t="s">
        <v>130</v>
      </c>
      <c r="I8" s="2" t="s">
        <v>131</v>
      </c>
      <c r="J8" s="2" t="s">
        <v>132</v>
      </c>
      <c r="K8" s="2" t="s">
        <v>133</v>
      </c>
      <c r="L8" s="2" t="s">
        <v>134</v>
      </c>
      <c r="M8" s="2" t="s">
        <v>135</v>
      </c>
      <c r="N8" s="2" t="s">
        <v>136</v>
      </c>
      <c r="O8" s="2" t="s">
        <v>137</v>
      </c>
      <c r="P8" s="2" t="s">
        <v>138</v>
      </c>
      <c r="Q8" s="1" t="s">
        <v>96</v>
      </c>
      <c r="R8" s="1" t="s">
        <v>139</v>
      </c>
      <c r="S8" s="1" t="s">
        <v>140</v>
      </c>
      <c r="T8" s="1" t="s">
        <v>141</v>
      </c>
      <c r="U8" s="1" t="s">
        <v>85</v>
      </c>
      <c r="V8" s="1" t="s">
        <v>82</v>
      </c>
      <c r="W8" s="1" t="s">
        <v>142</v>
      </c>
      <c r="X8" s="1" t="s">
        <v>143</v>
      </c>
      <c r="Y8" s="1" t="s">
        <v>88</v>
      </c>
      <c r="Z8" s="1">
        <v>1.0</v>
      </c>
    </row>
    <row r="9">
      <c r="A9" s="3" t="s">
        <v>144</v>
      </c>
      <c r="B9" s="2" t="s">
        <v>27</v>
      </c>
      <c r="C9" s="2" t="s">
        <v>145</v>
      </c>
      <c r="D9" s="2">
        <v>215.0</v>
      </c>
      <c r="E9" s="2">
        <v>65.0</v>
      </c>
      <c r="F9" s="2">
        <v>80.0</v>
      </c>
      <c r="G9" s="2">
        <v>80.0</v>
      </c>
      <c r="H9" s="2">
        <v>40.0</v>
      </c>
      <c r="I9" s="2">
        <v>42.0</v>
      </c>
      <c r="J9" s="2">
        <v>79.0</v>
      </c>
      <c r="K9" s="2">
        <v>89.0</v>
      </c>
      <c r="L9" s="2">
        <v>65.0</v>
      </c>
      <c r="M9" s="2">
        <v>77.0</v>
      </c>
      <c r="N9" s="2">
        <v>86.0</v>
      </c>
      <c r="O9" s="2">
        <v>80.0</v>
      </c>
      <c r="P9" s="2">
        <v>78.0</v>
      </c>
      <c r="Q9" s="1">
        <v>92.0</v>
      </c>
      <c r="R9" s="1">
        <v>67.0</v>
      </c>
      <c r="S9" s="1">
        <v>74.0</v>
      </c>
      <c r="T9" s="1">
        <v>74.0</v>
      </c>
      <c r="U9" s="1">
        <v>80.0</v>
      </c>
      <c r="V9" s="1">
        <v>86.0</v>
      </c>
      <c r="W9" s="1">
        <v>80.0</v>
      </c>
      <c r="X9" s="1">
        <v>82.0</v>
      </c>
      <c r="Y9" s="1">
        <v>70.0</v>
      </c>
      <c r="Z9" s="1">
        <v>1.0</v>
      </c>
    </row>
    <row r="10">
      <c r="A10" s="3" t="s">
        <v>146</v>
      </c>
      <c r="B10" s="2" t="s">
        <v>27</v>
      </c>
      <c r="C10" s="2" t="s">
        <v>147</v>
      </c>
      <c r="D10" s="2" t="s">
        <v>148</v>
      </c>
      <c r="E10" s="2" t="s">
        <v>149</v>
      </c>
      <c r="F10" s="2" t="s">
        <v>150</v>
      </c>
      <c r="G10" s="2" t="s">
        <v>151</v>
      </c>
      <c r="H10" s="2" t="s">
        <v>152</v>
      </c>
      <c r="I10" s="2" t="s">
        <v>153</v>
      </c>
      <c r="J10" s="2" t="s">
        <v>95</v>
      </c>
      <c r="K10" s="2" t="s">
        <v>154</v>
      </c>
      <c r="L10" s="2" t="s">
        <v>155</v>
      </c>
      <c r="M10" s="2" t="s">
        <v>156</v>
      </c>
      <c r="N10" s="2" t="s">
        <v>157</v>
      </c>
      <c r="O10" s="2" t="s">
        <v>158</v>
      </c>
      <c r="P10" s="2" t="s">
        <v>159</v>
      </c>
      <c r="Q10" s="1" t="s">
        <v>36</v>
      </c>
      <c r="R10" s="1" t="s">
        <v>160</v>
      </c>
      <c r="S10" s="1" t="s">
        <v>161</v>
      </c>
      <c r="T10" s="1" t="s">
        <v>162</v>
      </c>
      <c r="U10" s="1" t="s">
        <v>163</v>
      </c>
      <c r="V10" s="1" t="s">
        <v>164</v>
      </c>
      <c r="W10" s="1" t="s">
        <v>60</v>
      </c>
      <c r="X10" s="1" t="s">
        <v>165</v>
      </c>
      <c r="Y10" s="1" t="s">
        <v>166</v>
      </c>
      <c r="Z10" s="1">
        <v>1.0</v>
      </c>
    </row>
    <row r="11">
      <c r="A11" s="3" t="s">
        <v>167</v>
      </c>
      <c r="B11" s="2" t="s">
        <v>27</v>
      </c>
      <c r="C11" s="2" t="s">
        <v>168</v>
      </c>
      <c r="D11" s="2">
        <v>214.0</v>
      </c>
      <c r="E11" s="2">
        <v>60.0</v>
      </c>
      <c r="F11" s="2">
        <v>70.0</v>
      </c>
      <c r="G11" s="2">
        <v>75.0</v>
      </c>
      <c r="H11" s="2">
        <v>25.0</v>
      </c>
      <c r="I11" s="2">
        <v>32.0</v>
      </c>
      <c r="J11" s="2">
        <v>73.0</v>
      </c>
      <c r="K11" s="2">
        <v>83.0</v>
      </c>
      <c r="L11" s="2">
        <v>70.0</v>
      </c>
      <c r="M11" s="2">
        <v>82.0</v>
      </c>
      <c r="N11" s="2">
        <v>81.0</v>
      </c>
      <c r="O11" s="2">
        <v>86.0</v>
      </c>
      <c r="P11" s="2">
        <v>53.0</v>
      </c>
      <c r="Q11" s="1">
        <v>96.0</v>
      </c>
      <c r="R11" s="1">
        <v>85.0</v>
      </c>
      <c r="S11" s="1">
        <v>46.0</v>
      </c>
      <c r="T11" s="1">
        <v>35.0</v>
      </c>
      <c r="U11" s="1">
        <v>56.0</v>
      </c>
      <c r="V11" s="1">
        <v>94.0</v>
      </c>
      <c r="W11" s="1">
        <v>90.0</v>
      </c>
      <c r="X11" s="1">
        <v>82.0</v>
      </c>
      <c r="Y11" s="1">
        <v>75.0</v>
      </c>
      <c r="Z11" s="1">
        <v>1.0</v>
      </c>
    </row>
    <row r="12">
      <c r="A12" s="2" t="s">
        <v>169</v>
      </c>
      <c r="B12" s="2" t="s">
        <v>27</v>
      </c>
      <c r="C12" s="2" t="s">
        <v>170</v>
      </c>
      <c r="D12" s="2">
        <v>213.0</v>
      </c>
      <c r="E12" s="2">
        <v>73.0</v>
      </c>
      <c r="F12" s="2">
        <v>88.0</v>
      </c>
      <c r="G12" s="2">
        <v>87.0</v>
      </c>
      <c r="H12" s="2">
        <v>32.0</v>
      </c>
      <c r="I12" s="2">
        <v>34.0</v>
      </c>
      <c r="J12" s="2">
        <v>73.0</v>
      </c>
      <c r="K12" s="2">
        <v>78.0</v>
      </c>
      <c r="L12" s="2">
        <v>77.0</v>
      </c>
      <c r="M12" s="2">
        <v>84.0</v>
      </c>
      <c r="N12" s="2">
        <v>86.0</v>
      </c>
      <c r="O12" s="2">
        <v>91.0</v>
      </c>
      <c r="P12" s="1">
        <v>43.0</v>
      </c>
      <c r="Q12" s="1">
        <v>91.0</v>
      </c>
      <c r="R12" s="1">
        <v>85.0</v>
      </c>
      <c r="S12" s="1">
        <v>41.0</v>
      </c>
      <c r="T12" s="1">
        <v>37.0</v>
      </c>
      <c r="U12" s="1">
        <v>60.0</v>
      </c>
      <c r="V12" s="1">
        <v>91.0</v>
      </c>
      <c r="W12" s="1">
        <v>83.0</v>
      </c>
      <c r="X12" s="1">
        <v>73.0</v>
      </c>
      <c r="Y12" s="1">
        <v>75.0</v>
      </c>
      <c r="Z12" s="1">
        <v>1.0</v>
      </c>
    </row>
    <row r="13">
      <c r="A13" s="3" t="s">
        <v>171</v>
      </c>
      <c r="B13" s="2" t="s">
        <v>27</v>
      </c>
      <c r="C13" s="2" t="s">
        <v>28</v>
      </c>
      <c r="D13" s="2" t="s">
        <v>172</v>
      </c>
      <c r="E13" s="2" t="s">
        <v>173</v>
      </c>
      <c r="F13" s="2" t="s">
        <v>174</v>
      </c>
      <c r="G13" s="2" t="s">
        <v>175</v>
      </c>
      <c r="H13" s="2" t="s">
        <v>176</v>
      </c>
      <c r="I13" s="2" t="s">
        <v>81</v>
      </c>
      <c r="J13" s="2">
        <v>80.0</v>
      </c>
      <c r="K13" s="2" t="s">
        <v>39</v>
      </c>
      <c r="L13" s="2" t="s">
        <v>177</v>
      </c>
      <c r="M13" s="2" t="s">
        <v>178</v>
      </c>
      <c r="N13" s="2" t="s">
        <v>179</v>
      </c>
      <c r="O13" s="2" t="s">
        <v>180</v>
      </c>
      <c r="P13" s="1" t="s">
        <v>181</v>
      </c>
      <c r="Q13" s="1" t="s">
        <v>182</v>
      </c>
      <c r="R13" s="1" t="s">
        <v>183</v>
      </c>
      <c r="S13" s="1" t="s">
        <v>184</v>
      </c>
      <c r="T13" s="1" t="s">
        <v>185</v>
      </c>
      <c r="U13" s="1" t="s">
        <v>186</v>
      </c>
      <c r="V13" s="1" t="s">
        <v>187</v>
      </c>
      <c r="W13" s="1" t="s">
        <v>188</v>
      </c>
      <c r="X13" s="1" t="s">
        <v>189</v>
      </c>
      <c r="Y13" s="1" t="s">
        <v>190</v>
      </c>
      <c r="Z13" s="1">
        <v>1.0</v>
      </c>
    </row>
    <row r="14">
      <c r="A14" s="3" t="s">
        <v>191</v>
      </c>
      <c r="B14" s="2" t="s">
        <v>27</v>
      </c>
      <c r="C14" s="2" t="s">
        <v>192</v>
      </c>
      <c r="D14" s="2">
        <v>230.0</v>
      </c>
      <c r="E14" s="2">
        <v>80.0</v>
      </c>
      <c r="F14" s="2">
        <v>90.0</v>
      </c>
      <c r="G14" s="2">
        <v>47.0</v>
      </c>
      <c r="H14" s="2">
        <v>32.0</v>
      </c>
      <c r="I14" s="2">
        <v>77.0</v>
      </c>
      <c r="J14" s="2">
        <v>68.0</v>
      </c>
      <c r="K14" s="2">
        <v>78.0</v>
      </c>
      <c r="L14" s="2">
        <v>70.0</v>
      </c>
      <c r="M14" s="2">
        <v>85.0</v>
      </c>
      <c r="N14" s="2">
        <v>86.0</v>
      </c>
      <c r="O14" s="2">
        <v>81.0</v>
      </c>
      <c r="P14" s="1">
        <v>60.0</v>
      </c>
      <c r="Q14" s="1">
        <v>85.0</v>
      </c>
      <c r="R14" s="1">
        <v>60.0</v>
      </c>
      <c r="S14" s="1">
        <v>74.0</v>
      </c>
      <c r="T14" s="1">
        <v>55.0</v>
      </c>
      <c r="U14" s="1">
        <v>80.0</v>
      </c>
      <c r="V14" s="1">
        <v>85.0</v>
      </c>
      <c r="W14" s="1">
        <v>83.0</v>
      </c>
      <c r="X14" s="1">
        <v>84.0</v>
      </c>
      <c r="Y14" s="1">
        <v>77.0</v>
      </c>
      <c r="Z14" s="1">
        <v>1.0</v>
      </c>
    </row>
    <row r="15">
      <c r="A15" s="3" t="s">
        <v>193</v>
      </c>
      <c r="B15" s="2" t="s">
        <v>27</v>
      </c>
      <c r="C15" s="2" t="s">
        <v>192</v>
      </c>
      <c r="D15" s="2">
        <v>180.0</v>
      </c>
      <c r="E15" s="2">
        <v>77.0</v>
      </c>
      <c r="F15" s="2">
        <v>85.0</v>
      </c>
      <c r="G15" s="2">
        <v>77.0</v>
      </c>
      <c r="H15" s="2">
        <v>48.0</v>
      </c>
      <c r="I15" s="2">
        <v>80.0</v>
      </c>
      <c r="J15" s="2">
        <v>87.0</v>
      </c>
      <c r="K15" s="2">
        <v>85.0</v>
      </c>
      <c r="L15" s="2">
        <v>78.0</v>
      </c>
      <c r="M15" s="2">
        <v>91.0</v>
      </c>
      <c r="N15" s="2">
        <v>81.0</v>
      </c>
      <c r="O15" s="2">
        <v>80.0</v>
      </c>
      <c r="P15" s="1">
        <v>71.0</v>
      </c>
      <c r="Q15" s="1">
        <v>85.0</v>
      </c>
      <c r="R15" s="1">
        <v>60.0</v>
      </c>
      <c r="S15" s="1">
        <v>45.0</v>
      </c>
      <c r="T15" s="1">
        <v>72.0</v>
      </c>
      <c r="U15" s="1">
        <v>78.0</v>
      </c>
      <c r="V15" s="1">
        <v>80.0</v>
      </c>
      <c r="W15" s="1">
        <v>78.0</v>
      </c>
      <c r="X15" s="1">
        <v>72.0</v>
      </c>
      <c r="Y15" s="1">
        <v>72.0</v>
      </c>
      <c r="Z15" s="1">
        <v>1.0</v>
      </c>
    </row>
    <row r="16">
      <c r="A16" s="3" t="s">
        <v>194</v>
      </c>
      <c r="B16" s="2" t="s">
        <v>27</v>
      </c>
      <c r="C16" s="2" t="s">
        <v>145</v>
      </c>
      <c r="D16" s="2">
        <v>210.0</v>
      </c>
      <c r="E16" s="2">
        <v>77.0</v>
      </c>
      <c r="F16" s="2">
        <v>85.0</v>
      </c>
      <c r="G16" s="2">
        <v>87.0</v>
      </c>
      <c r="H16" s="2">
        <v>37.0</v>
      </c>
      <c r="I16" s="2">
        <v>41.0</v>
      </c>
      <c r="J16" s="2">
        <v>92.0</v>
      </c>
      <c r="K16" s="2">
        <v>80.0</v>
      </c>
      <c r="L16" s="2">
        <v>88.0</v>
      </c>
      <c r="M16" s="2">
        <v>76.0</v>
      </c>
      <c r="N16" s="2">
        <v>86.0</v>
      </c>
      <c r="O16" s="2">
        <v>80.0</v>
      </c>
      <c r="P16" s="1">
        <v>60.0</v>
      </c>
      <c r="Q16" s="1">
        <v>85.0</v>
      </c>
      <c r="R16" s="1">
        <v>73.0</v>
      </c>
      <c r="S16" s="1">
        <v>75.0</v>
      </c>
      <c r="T16" s="1">
        <v>25.0</v>
      </c>
      <c r="U16" s="1">
        <v>50.0</v>
      </c>
      <c r="V16" s="1">
        <v>83.0</v>
      </c>
      <c r="W16" s="1">
        <v>80.0</v>
      </c>
      <c r="X16" s="1">
        <v>71.0</v>
      </c>
      <c r="Y16" s="1">
        <v>75.0</v>
      </c>
      <c r="Z16" s="1">
        <v>1.0</v>
      </c>
    </row>
    <row r="17">
      <c r="A17" s="3" t="s">
        <v>195</v>
      </c>
      <c r="B17" s="2" t="s">
        <v>27</v>
      </c>
      <c r="C17" s="2" t="s">
        <v>192</v>
      </c>
      <c r="D17" s="2">
        <v>203.0</v>
      </c>
      <c r="E17" s="2">
        <v>73.0</v>
      </c>
      <c r="F17" s="2">
        <v>80.0</v>
      </c>
      <c r="G17" s="2">
        <v>89.0</v>
      </c>
      <c r="H17" s="2">
        <v>40.0</v>
      </c>
      <c r="I17" s="2">
        <v>43.0</v>
      </c>
      <c r="J17" s="2">
        <v>71.0</v>
      </c>
      <c r="K17" s="2">
        <v>81.0</v>
      </c>
      <c r="L17" s="2">
        <v>81.0</v>
      </c>
      <c r="M17" s="2">
        <v>39.0</v>
      </c>
      <c r="N17" s="2">
        <v>64.0</v>
      </c>
      <c r="O17" s="2">
        <v>65.0</v>
      </c>
      <c r="P17" s="1">
        <v>80.0</v>
      </c>
      <c r="Q17" s="1">
        <v>92.0</v>
      </c>
      <c r="R17" s="1">
        <v>85.0</v>
      </c>
      <c r="S17" s="1">
        <v>87.0</v>
      </c>
      <c r="T17" s="1">
        <v>37.0</v>
      </c>
      <c r="U17" s="1">
        <v>62.0</v>
      </c>
      <c r="V17" s="1">
        <v>90.0</v>
      </c>
      <c r="W17" s="1">
        <v>88.0</v>
      </c>
      <c r="X17" s="1">
        <v>78.0</v>
      </c>
      <c r="Y17" s="1">
        <v>80.0</v>
      </c>
      <c r="Z17" s="1">
        <v>1.0</v>
      </c>
    </row>
    <row r="18">
      <c r="A18" s="3" t="s">
        <v>196</v>
      </c>
      <c r="B18" s="2" t="s">
        <v>27</v>
      </c>
      <c r="C18" s="2" t="s">
        <v>192</v>
      </c>
      <c r="D18" s="2">
        <v>189.0</v>
      </c>
      <c r="E18" s="2">
        <v>74.0</v>
      </c>
      <c r="F18" s="2">
        <v>75.0</v>
      </c>
      <c r="G18" s="2">
        <v>94.0</v>
      </c>
      <c r="H18" s="2">
        <v>49.0</v>
      </c>
      <c r="I18" s="2">
        <v>52.0</v>
      </c>
      <c r="J18" s="2">
        <v>34.0</v>
      </c>
      <c r="K18" s="2">
        <v>25.0</v>
      </c>
      <c r="L18" s="2">
        <v>45.0</v>
      </c>
      <c r="M18" s="2">
        <v>92.0</v>
      </c>
      <c r="N18" s="2">
        <v>82.0</v>
      </c>
      <c r="O18" s="2">
        <v>83.0</v>
      </c>
      <c r="P18" s="1">
        <v>80.0</v>
      </c>
      <c r="Q18" s="1">
        <v>94.0</v>
      </c>
      <c r="R18" s="1">
        <v>80.0</v>
      </c>
      <c r="S18" s="1">
        <v>84.0</v>
      </c>
      <c r="T18" s="1">
        <v>77.0</v>
      </c>
      <c r="U18" s="1">
        <v>80.0</v>
      </c>
      <c r="V18" s="1">
        <v>83.0</v>
      </c>
      <c r="W18" s="1">
        <v>80.0</v>
      </c>
      <c r="X18" s="1">
        <v>73.0</v>
      </c>
      <c r="Y18" s="1">
        <v>88.0</v>
      </c>
      <c r="Z18" s="1">
        <v>1.0</v>
      </c>
    </row>
    <row r="19">
      <c r="A19" s="3" t="s">
        <v>197</v>
      </c>
      <c r="B19" s="2" t="s">
        <v>27</v>
      </c>
      <c r="C19" s="2" t="s">
        <v>145</v>
      </c>
      <c r="D19" s="2" t="s">
        <v>198</v>
      </c>
      <c r="E19" s="2" t="s">
        <v>199</v>
      </c>
      <c r="F19" s="2" t="s">
        <v>200</v>
      </c>
      <c r="G19" s="2" t="s">
        <v>201</v>
      </c>
      <c r="H19" s="2" t="s">
        <v>202</v>
      </c>
      <c r="I19" s="2" t="s">
        <v>203</v>
      </c>
      <c r="J19" s="2" t="s">
        <v>204</v>
      </c>
      <c r="K19" s="2" t="s">
        <v>205</v>
      </c>
      <c r="L19" s="2" t="s">
        <v>206</v>
      </c>
      <c r="M19" s="2" t="s">
        <v>207</v>
      </c>
      <c r="N19" s="2" t="s">
        <v>208</v>
      </c>
      <c r="O19" s="2" t="s">
        <v>190</v>
      </c>
      <c r="P19" s="1" t="s">
        <v>209</v>
      </c>
      <c r="Q19" s="1" t="s">
        <v>36</v>
      </c>
      <c r="R19" s="1" t="s">
        <v>59</v>
      </c>
      <c r="S19" s="1" t="s">
        <v>210</v>
      </c>
      <c r="T19" s="1" t="s">
        <v>211</v>
      </c>
      <c r="U19" s="1" t="s">
        <v>212</v>
      </c>
      <c r="V19" s="1" t="s">
        <v>137</v>
      </c>
      <c r="W19" s="1" t="s">
        <v>213</v>
      </c>
      <c r="X19" s="1" t="s">
        <v>214</v>
      </c>
      <c r="Y19" s="1" t="s">
        <v>110</v>
      </c>
      <c r="Z19" s="1">
        <v>1.0</v>
      </c>
    </row>
    <row r="20">
      <c r="A20" s="3" t="s">
        <v>215</v>
      </c>
      <c r="B20" s="2" t="s">
        <v>27</v>
      </c>
      <c r="C20" s="2" t="s">
        <v>216</v>
      </c>
      <c r="D20" s="2">
        <v>230.0</v>
      </c>
      <c r="E20" s="2">
        <v>74.0</v>
      </c>
      <c r="F20" s="2">
        <v>85.0</v>
      </c>
      <c r="G20" s="2">
        <v>92.0</v>
      </c>
      <c r="H20" s="2">
        <v>38.0</v>
      </c>
      <c r="I20" s="2">
        <v>40.0</v>
      </c>
      <c r="J20" s="2">
        <v>77.0</v>
      </c>
      <c r="K20" s="2">
        <v>85.0</v>
      </c>
      <c r="L20" s="2">
        <v>89.0</v>
      </c>
      <c r="M20" s="2">
        <v>76.0</v>
      </c>
      <c r="N20" s="2">
        <v>86.0</v>
      </c>
      <c r="O20" s="2">
        <v>86.0</v>
      </c>
      <c r="P20" s="1">
        <v>60.0</v>
      </c>
      <c r="Q20" s="1">
        <v>85.0</v>
      </c>
      <c r="R20" s="1">
        <v>73.0</v>
      </c>
      <c r="S20" s="1">
        <v>68.0</v>
      </c>
      <c r="T20" s="1">
        <v>32.0</v>
      </c>
      <c r="U20" s="1">
        <v>55.0</v>
      </c>
      <c r="V20" s="1">
        <v>86.0</v>
      </c>
      <c r="W20" s="1">
        <v>80.0</v>
      </c>
      <c r="X20" s="1">
        <v>85.0</v>
      </c>
      <c r="Y20" s="1">
        <v>80.0</v>
      </c>
      <c r="Z20" s="1">
        <v>1.0</v>
      </c>
    </row>
    <row r="21">
      <c r="A21" s="3" t="s">
        <v>217</v>
      </c>
      <c r="B21" s="2" t="s">
        <v>27</v>
      </c>
      <c r="C21" s="2" t="s">
        <v>218</v>
      </c>
      <c r="D21" s="2" t="s">
        <v>219</v>
      </c>
      <c r="E21" s="2" t="s">
        <v>220</v>
      </c>
      <c r="F21" s="2" t="s">
        <v>221</v>
      </c>
      <c r="G21" s="2" t="s">
        <v>222</v>
      </c>
      <c r="H21" s="2">
        <v>25.0</v>
      </c>
      <c r="I21" s="2" t="s">
        <v>223</v>
      </c>
      <c r="J21" s="2" t="s">
        <v>205</v>
      </c>
      <c r="K21" s="2" t="s">
        <v>164</v>
      </c>
      <c r="L21" s="2" t="s">
        <v>224</v>
      </c>
      <c r="M21" s="2" t="s">
        <v>225</v>
      </c>
      <c r="N21" s="2" t="s">
        <v>226</v>
      </c>
      <c r="O21" s="2" t="s">
        <v>227</v>
      </c>
      <c r="P21" s="1" t="s">
        <v>228</v>
      </c>
      <c r="Q21" s="1" t="s">
        <v>229</v>
      </c>
      <c r="R21" s="1" t="s">
        <v>230</v>
      </c>
      <c r="S21" s="1" t="s">
        <v>231</v>
      </c>
      <c r="T21" s="1" t="s">
        <v>232</v>
      </c>
      <c r="U21" s="1" t="s">
        <v>233</v>
      </c>
      <c r="V21" s="1" t="s">
        <v>234</v>
      </c>
      <c r="W21" s="1" t="s">
        <v>235</v>
      </c>
      <c r="X21" s="1" t="s">
        <v>236</v>
      </c>
      <c r="Y21" s="1" t="s">
        <v>237</v>
      </c>
      <c r="Z21" s="1">
        <v>1.0</v>
      </c>
    </row>
    <row r="22">
      <c r="A22" s="3" t="s">
        <v>238</v>
      </c>
      <c r="B22" s="2" t="s">
        <v>27</v>
      </c>
      <c r="C22" s="2" t="s">
        <v>145</v>
      </c>
      <c r="D22" s="2">
        <v>225.0</v>
      </c>
      <c r="E22" s="2">
        <v>65.0</v>
      </c>
      <c r="F22" s="2">
        <v>71.0</v>
      </c>
      <c r="G22" s="2">
        <v>83.0</v>
      </c>
      <c r="H22" s="2">
        <v>40.0</v>
      </c>
      <c r="I22" s="2">
        <v>40.0</v>
      </c>
      <c r="J22" s="2">
        <v>80.0</v>
      </c>
      <c r="K22" s="2">
        <v>89.0</v>
      </c>
      <c r="L22" s="2">
        <v>99.0</v>
      </c>
      <c r="M22" s="2">
        <v>90.0</v>
      </c>
      <c r="N22" s="2">
        <v>84.0</v>
      </c>
      <c r="O22" s="2">
        <v>75.0</v>
      </c>
      <c r="P22" s="1">
        <v>49.0</v>
      </c>
      <c r="Q22" s="1">
        <v>90.0</v>
      </c>
      <c r="R22" s="1">
        <v>79.0</v>
      </c>
      <c r="S22" s="1">
        <v>68.0</v>
      </c>
      <c r="T22" s="1">
        <v>44.0</v>
      </c>
      <c r="U22" s="1">
        <v>68.0</v>
      </c>
      <c r="V22" s="1">
        <v>85.0</v>
      </c>
      <c r="W22" s="1">
        <v>83.0</v>
      </c>
      <c r="X22" s="1">
        <v>73.0</v>
      </c>
      <c r="Y22" s="1">
        <v>75.0</v>
      </c>
      <c r="Z22" s="1">
        <v>1.0</v>
      </c>
    </row>
    <row r="23">
      <c r="A23" s="3" t="s">
        <v>239</v>
      </c>
      <c r="B23" s="2" t="s">
        <v>27</v>
      </c>
      <c r="C23" s="2" t="s">
        <v>240</v>
      </c>
      <c r="D23" s="2" t="s">
        <v>241</v>
      </c>
      <c r="E23" s="2" t="s">
        <v>242</v>
      </c>
      <c r="F23" s="2" t="s">
        <v>243</v>
      </c>
      <c r="G23" s="2" t="s">
        <v>244</v>
      </c>
      <c r="H23" s="2" t="s">
        <v>245</v>
      </c>
      <c r="I23" s="2" t="s">
        <v>246</v>
      </c>
      <c r="J23" s="2" t="s">
        <v>207</v>
      </c>
      <c r="K23" s="2" t="s">
        <v>96</v>
      </c>
      <c r="L23" s="2" t="s">
        <v>247</v>
      </c>
      <c r="M23" s="2" t="s">
        <v>154</v>
      </c>
      <c r="N23" s="2" t="s">
        <v>226</v>
      </c>
      <c r="O23" s="2" t="s">
        <v>248</v>
      </c>
      <c r="P23" s="1" t="s">
        <v>84</v>
      </c>
      <c r="Q23" s="1" t="s">
        <v>137</v>
      </c>
      <c r="R23" s="1" t="s">
        <v>249</v>
      </c>
      <c r="S23" s="1" t="s">
        <v>250</v>
      </c>
      <c r="T23" s="1" t="s">
        <v>251</v>
      </c>
      <c r="U23" s="1" t="s">
        <v>252</v>
      </c>
      <c r="V23" s="1" t="s">
        <v>128</v>
      </c>
      <c r="W23" s="1" t="s">
        <v>253</v>
      </c>
      <c r="X23" s="1" t="s">
        <v>254</v>
      </c>
      <c r="Y23" s="1" t="s">
        <v>255</v>
      </c>
      <c r="Z23" s="1">
        <v>1.0</v>
      </c>
    </row>
    <row r="24">
      <c r="A24" s="3" t="s">
        <v>256</v>
      </c>
      <c r="B24" s="2" t="s">
        <v>27</v>
      </c>
      <c r="C24" s="2" t="s">
        <v>192</v>
      </c>
      <c r="D24" s="2">
        <v>205.0</v>
      </c>
      <c r="E24" s="2">
        <v>80.0</v>
      </c>
      <c r="F24" s="2">
        <v>90.0</v>
      </c>
      <c r="G24" s="2">
        <v>90.0</v>
      </c>
      <c r="H24" s="2">
        <v>40.0</v>
      </c>
      <c r="I24" s="2">
        <v>40.0</v>
      </c>
      <c r="J24" s="2">
        <v>75.0</v>
      </c>
      <c r="K24" s="2">
        <v>85.0</v>
      </c>
      <c r="L24" s="2">
        <v>63.0</v>
      </c>
      <c r="M24" s="2">
        <v>77.0</v>
      </c>
      <c r="N24" s="2">
        <v>80.0</v>
      </c>
      <c r="O24" s="2">
        <v>72.0</v>
      </c>
      <c r="P24" s="1">
        <v>80.0</v>
      </c>
      <c r="Q24" s="1">
        <v>85.0</v>
      </c>
      <c r="R24" s="1">
        <v>60.0</v>
      </c>
      <c r="S24" s="1">
        <v>64.0</v>
      </c>
      <c r="T24" s="1">
        <v>47.0</v>
      </c>
      <c r="U24" s="1">
        <v>72.0</v>
      </c>
      <c r="V24" s="1">
        <v>86.0</v>
      </c>
      <c r="W24" s="1">
        <v>80.0</v>
      </c>
      <c r="X24" s="1">
        <v>60.0</v>
      </c>
      <c r="Y24" s="1">
        <v>82.0</v>
      </c>
      <c r="Z24" s="1">
        <v>1.0</v>
      </c>
    </row>
    <row r="25">
      <c r="A25" s="1" t="s">
        <v>257</v>
      </c>
      <c r="B25" s="1" t="s">
        <v>27</v>
      </c>
      <c r="C25" s="1" t="s">
        <v>258</v>
      </c>
      <c r="D25" s="1" t="s">
        <v>259</v>
      </c>
      <c r="E25" s="1" t="s">
        <v>200</v>
      </c>
      <c r="F25" s="1" t="s">
        <v>208</v>
      </c>
      <c r="G25" s="1" t="s">
        <v>260</v>
      </c>
      <c r="H25" s="1" t="s">
        <v>261</v>
      </c>
      <c r="I25" s="1" t="s">
        <v>262</v>
      </c>
      <c r="J25" s="1" t="s">
        <v>263</v>
      </c>
      <c r="K25" s="1" t="s">
        <v>208</v>
      </c>
      <c r="L25" s="1" t="s">
        <v>264</v>
      </c>
      <c r="M25" s="1" t="s">
        <v>265</v>
      </c>
      <c r="N25" s="1" t="s">
        <v>175</v>
      </c>
      <c r="O25" s="1" t="s">
        <v>266</v>
      </c>
      <c r="P25" s="1" t="s">
        <v>267</v>
      </c>
      <c r="Q25" s="1" t="s">
        <v>208</v>
      </c>
      <c r="R25" s="1" t="s">
        <v>268</v>
      </c>
      <c r="S25" s="1" t="s">
        <v>269</v>
      </c>
      <c r="T25" s="1" t="s">
        <v>130</v>
      </c>
      <c r="U25" s="1" t="s">
        <v>270</v>
      </c>
      <c r="V25" s="1" t="s">
        <v>266</v>
      </c>
      <c r="W25" s="1" t="s">
        <v>271</v>
      </c>
      <c r="X25" s="1" t="s">
        <v>272</v>
      </c>
      <c r="Y25" s="1" t="s">
        <v>110</v>
      </c>
      <c r="Z25" s="1">
        <v>1.0</v>
      </c>
    </row>
    <row r="26">
      <c r="A26" s="1" t="s">
        <v>273</v>
      </c>
      <c r="B26" s="1" t="s">
        <v>27</v>
      </c>
      <c r="C26" s="1" t="s">
        <v>107</v>
      </c>
      <c r="D26" s="1" t="s">
        <v>274</v>
      </c>
      <c r="E26" s="1" t="s">
        <v>242</v>
      </c>
      <c r="F26" s="1" t="s">
        <v>110</v>
      </c>
      <c r="G26" s="1" t="s">
        <v>92</v>
      </c>
      <c r="H26" s="1" t="s">
        <v>275</v>
      </c>
      <c r="I26" s="1" t="s">
        <v>276</v>
      </c>
      <c r="J26" s="1" t="s">
        <v>96</v>
      </c>
      <c r="K26" s="1" t="s">
        <v>277</v>
      </c>
      <c r="L26" s="1" t="s">
        <v>37</v>
      </c>
      <c r="M26" s="1" t="s">
        <v>98</v>
      </c>
      <c r="N26" s="1" t="s">
        <v>278</v>
      </c>
      <c r="O26" s="1" t="s">
        <v>137</v>
      </c>
      <c r="P26" s="1" t="s">
        <v>100</v>
      </c>
      <c r="Q26" s="1" t="s">
        <v>279</v>
      </c>
      <c r="R26" s="1" t="s">
        <v>280</v>
      </c>
      <c r="S26" s="1" t="s">
        <v>281</v>
      </c>
      <c r="T26" s="1" t="s">
        <v>282</v>
      </c>
      <c r="U26" s="1" t="s">
        <v>283</v>
      </c>
      <c r="V26" s="1" t="s">
        <v>35</v>
      </c>
      <c r="W26" s="1" t="s">
        <v>103</v>
      </c>
      <c r="X26" s="1" t="s">
        <v>284</v>
      </c>
      <c r="Y26" s="1" t="s">
        <v>285</v>
      </c>
      <c r="Z26" s="1">
        <v>1.0</v>
      </c>
    </row>
    <row r="27">
      <c r="A27" s="1" t="s">
        <v>286</v>
      </c>
      <c r="B27" s="1" t="s">
        <v>27</v>
      </c>
      <c r="C27" s="1" t="s">
        <v>192</v>
      </c>
      <c r="D27" s="1">
        <v>219.0</v>
      </c>
      <c r="E27" s="1">
        <v>76.0</v>
      </c>
      <c r="F27" s="1">
        <v>71.0</v>
      </c>
      <c r="G27" s="1">
        <v>57.0</v>
      </c>
      <c r="H27" s="1">
        <v>31.0</v>
      </c>
      <c r="I27" s="1">
        <v>46.0</v>
      </c>
      <c r="J27" s="1">
        <v>91.0</v>
      </c>
      <c r="K27" s="1">
        <v>89.0</v>
      </c>
      <c r="L27" s="1">
        <v>99.0</v>
      </c>
      <c r="M27" s="1">
        <v>85.0</v>
      </c>
      <c r="N27" s="1">
        <v>86.0</v>
      </c>
      <c r="O27" s="1">
        <v>80.0</v>
      </c>
      <c r="P27" s="1">
        <v>55.0</v>
      </c>
      <c r="Q27" s="1">
        <v>90.0</v>
      </c>
      <c r="R27" s="1">
        <v>61.0</v>
      </c>
      <c r="S27" s="1">
        <v>46.0</v>
      </c>
      <c r="T27" s="1">
        <v>55.0</v>
      </c>
      <c r="U27" s="1">
        <v>80.0</v>
      </c>
      <c r="V27" s="1">
        <v>85.0</v>
      </c>
      <c r="W27" s="1">
        <v>83.0</v>
      </c>
      <c r="X27" s="1">
        <v>73.0</v>
      </c>
      <c r="Y27" s="1">
        <v>75.0</v>
      </c>
      <c r="Z27" s="1">
        <v>1.0</v>
      </c>
    </row>
    <row r="28">
      <c r="A28" s="1" t="s">
        <v>287</v>
      </c>
      <c r="B28" s="1" t="s">
        <v>27</v>
      </c>
      <c r="C28" s="1" t="s">
        <v>192</v>
      </c>
      <c r="D28" s="1">
        <v>215.0</v>
      </c>
      <c r="E28" s="1">
        <v>84.0</v>
      </c>
      <c r="F28" s="1">
        <v>94.0</v>
      </c>
      <c r="G28" s="1">
        <v>73.0</v>
      </c>
      <c r="H28" s="1">
        <v>25.0</v>
      </c>
      <c r="I28" s="1">
        <v>50.0</v>
      </c>
      <c r="J28" s="1">
        <v>87.0</v>
      </c>
      <c r="K28" s="1">
        <v>83.0</v>
      </c>
      <c r="L28" s="1">
        <v>84.0</v>
      </c>
      <c r="M28" s="1">
        <v>91.0</v>
      </c>
      <c r="N28" s="1">
        <v>81.0</v>
      </c>
      <c r="O28" s="1">
        <v>75.0</v>
      </c>
      <c r="P28" s="1">
        <v>60.0</v>
      </c>
      <c r="Q28" s="1">
        <v>85.0</v>
      </c>
      <c r="R28" s="1">
        <v>60.0</v>
      </c>
      <c r="S28" s="1">
        <v>74.0</v>
      </c>
      <c r="T28" s="1">
        <v>25.0</v>
      </c>
      <c r="U28" s="1">
        <v>49.0</v>
      </c>
      <c r="V28" s="1">
        <v>85.0</v>
      </c>
      <c r="W28" s="1">
        <v>77.0</v>
      </c>
      <c r="X28" s="1">
        <v>85.0</v>
      </c>
      <c r="Y28" s="1">
        <v>65.0</v>
      </c>
      <c r="Z28" s="1">
        <v>1.0</v>
      </c>
    </row>
    <row r="29">
      <c r="A29" s="1" t="s">
        <v>288</v>
      </c>
      <c r="B29" s="1" t="s">
        <v>27</v>
      </c>
      <c r="C29" s="1" t="s">
        <v>168</v>
      </c>
      <c r="D29" s="1">
        <v>212.0</v>
      </c>
      <c r="E29" s="1">
        <v>80.0</v>
      </c>
      <c r="F29" s="1">
        <v>91.0</v>
      </c>
      <c r="G29" s="1">
        <v>25.0</v>
      </c>
      <c r="H29" s="1">
        <v>25.0</v>
      </c>
      <c r="I29" s="1">
        <v>80.0</v>
      </c>
      <c r="J29" s="1">
        <v>94.0</v>
      </c>
      <c r="K29" s="1">
        <v>70.0</v>
      </c>
      <c r="L29" s="1">
        <v>76.0</v>
      </c>
      <c r="M29" s="1">
        <v>87.0</v>
      </c>
      <c r="N29" s="1">
        <v>86.0</v>
      </c>
      <c r="O29" s="1">
        <v>86.0</v>
      </c>
      <c r="P29" s="1">
        <v>55.0</v>
      </c>
      <c r="Q29" s="1">
        <v>87.0</v>
      </c>
      <c r="R29" s="1">
        <v>85.0</v>
      </c>
      <c r="S29" s="1">
        <v>37.0</v>
      </c>
      <c r="T29" s="1">
        <v>40.0</v>
      </c>
      <c r="U29" s="1">
        <v>47.0</v>
      </c>
      <c r="V29" s="1">
        <v>86.0</v>
      </c>
      <c r="W29" s="1">
        <v>85.0</v>
      </c>
      <c r="X29" s="1">
        <v>85.0</v>
      </c>
      <c r="Y29" s="1">
        <v>56.0</v>
      </c>
      <c r="Z29" s="1">
        <v>1.0</v>
      </c>
    </row>
    <row r="30">
      <c r="A30" s="1" t="s">
        <v>289</v>
      </c>
      <c r="B30" s="1" t="s">
        <v>27</v>
      </c>
      <c r="C30" s="1" t="s">
        <v>168</v>
      </c>
      <c r="D30" s="1">
        <v>230.0</v>
      </c>
      <c r="E30" s="1">
        <v>82.0</v>
      </c>
      <c r="F30" s="1">
        <v>70.0</v>
      </c>
      <c r="G30" s="1">
        <v>89.0</v>
      </c>
      <c r="H30" s="1">
        <v>65.0</v>
      </c>
      <c r="I30" s="1">
        <v>87.0</v>
      </c>
      <c r="J30" s="1">
        <v>90.0</v>
      </c>
      <c r="K30" s="1">
        <v>85.0</v>
      </c>
      <c r="L30" s="1">
        <v>75.0</v>
      </c>
      <c r="M30" s="1">
        <v>78.0</v>
      </c>
      <c r="N30" s="1">
        <v>85.0</v>
      </c>
      <c r="O30" s="1">
        <v>75.0</v>
      </c>
      <c r="P30" s="1">
        <v>82.0</v>
      </c>
      <c r="Q30" s="1">
        <v>88.0</v>
      </c>
      <c r="R30" s="1">
        <v>80.0</v>
      </c>
      <c r="S30" s="1">
        <v>70.0</v>
      </c>
      <c r="T30" s="1">
        <v>78.0</v>
      </c>
      <c r="U30" s="1">
        <v>82.0</v>
      </c>
      <c r="V30" s="1">
        <v>85.0</v>
      </c>
      <c r="W30" s="1">
        <v>80.0</v>
      </c>
      <c r="X30" s="1">
        <v>85.0</v>
      </c>
      <c r="Y30" s="1">
        <v>82.0</v>
      </c>
      <c r="Z30" s="1">
        <v>1.0</v>
      </c>
    </row>
    <row r="31">
      <c r="A31" s="1" t="s">
        <v>290</v>
      </c>
      <c r="B31" s="1" t="s">
        <v>27</v>
      </c>
      <c r="C31" s="1" t="s">
        <v>145</v>
      </c>
      <c r="D31" s="1">
        <v>230.0</v>
      </c>
      <c r="E31" s="1">
        <v>84.0</v>
      </c>
      <c r="F31" s="1">
        <v>71.0</v>
      </c>
      <c r="G31" s="1">
        <v>91.0</v>
      </c>
      <c r="H31" s="1">
        <v>41.0</v>
      </c>
      <c r="I31" s="1">
        <v>87.0</v>
      </c>
      <c r="J31" s="1">
        <v>90.0</v>
      </c>
      <c r="K31" s="1">
        <v>80.0</v>
      </c>
      <c r="L31" s="1">
        <v>66.0</v>
      </c>
      <c r="M31" s="1">
        <v>55.0</v>
      </c>
      <c r="N31" s="1">
        <v>80.0</v>
      </c>
      <c r="O31" s="1">
        <v>84.0</v>
      </c>
      <c r="P31" s="1">
        <v>77.0</v>
      </c>
      <c r="Q31" s="1">
        <v>85.0</v>
      </c>
      <c r="R31" s="1">
        <v>55.0</v>
      </c>
      <c r="S31" s="1">
        <v>74.0</v>
      </c>
      <c r="T31" s="1">
        <v>47.0</v>
      </c>
      <c r="U31" s="1">
        <v>57.0</v>
      </c>
      <c r="V31" s="1">
        <v>85.0</v>
      </c>
      <c r="W31" s="1">
        <v>86.0</v>
      </c>
      <c r="X31" s="1">
        <v>86.0</v>
      </c>
      <c r="Y31" s="1">
        <v>80.0</v>
      </c>
      <c r="Z31" s="1">
        <v>1.0</v>
      </c>
    </row>
    <row r="32">
      <c r="A32" s="1" t="s">
        <v>291</v>
      </c>
      <c r="B32" s="1" t="s">
        <v>27</v>
      </c>
      <c r="C32" s="1" t="s">
        <v>192</v>
      </c>
      <c r="D32" s="1">
        <v>230.0</v>
      </c>
      <c r="E32" s="1">
        <v>89.0</v>
      </c>
      <c r="F32" s="1">
        <v>73.0</v>
      </c>
      <c r="G32" s="1">
        <v>29.0</v>
      </c>
      <c r="H32" s="1">
        <v>26.0</v>
      </c>
      <c r="I32" s="1">
        <v>92.0</v>
      </c>
      <c r="J32" s="1">
        <v>93.0</v>
      </c>
      <c r="K32" s="1">
        <v>62.0</v>
      </c>
      <c r="L32" s="1">
        <v>82.0</v>
      </c>
      <c r="M32" s="1">
        <v>88.0</v>
      </c>
      <c r="N32" s="1">
        <v>88.0</v>
      </c>
      <c r="O32" s="1">
        <v>81.0</v>
      </c>
      <c r="P32" s="1">
        <v>49.0</v>
      </c>
      <c r="Q32" s="1">
        <v>94.0</v>
      </c>
      <c r="R32" s="1">
        <v>64.0</v>
      </c>
      <c r="S32" s="1">
        <v>49.0</v>
      </c>
      <c r="T32" s="1">
        <v>55.0</v>
      </c>
      <c r="U32" s="1">
        <v>54.0</v>
      </c>
      <c r="V32" s="1">
        <v>85.0</v>
      </c>
      <c r="W32" s="1">
        <v>83.0</v>
      </c>
      <c r="X32" s="1">
        <v>69.0</v>
      </c>
      <c r="Y32" s="1">
        <v>55.0</v>
      </c>
      <c r="Z32" s="1">
        <v>1.0</v>
      </c>
    </row>
    <row r="33">
      <c r="A33" s="1" t="s">
        <v>292</v>
      </c>
      <c r="B33" s="1" t="s">
        <v>27</v>
      </c>
      <c r="C33" s="1" t="s">
        <v>192</v>
      </c>
      <c r="D33" s="1">
        <v>180.0</v>
      </c>
      <c r="E33" s="1">
        <v>90.0</v>
      </c>
      <c r="F33" s="1">
        <v>90.0</v>
      </c>
      <c r="G33" s="1">
        <v>79.0</v>
      </c>
      <c r="H33" s="1">
        <v>75.0</v>
      </c>
      <c r="I33" s="1">
        <v>80.0</v>
      </c>
      <c r="J33" s="1">
        <v>87.0</v>
      </c>
      <c r="K33" s="1">
        <v>81.0</v>
      </c>
      <c r="L33" s="1">
        <v>65.0</v>
      </c>
      <c r="M33" s="1">
        <v>70.0</v>
      </c>
      <c r="N33" s="1">
        <v>70.0</v>
      </c>
      <c r="O33" s="1">
        <v>70.0</v>
      </c>
      <c r="P33" s="1">
        <v>89.0</v>
      </c>
      <c r="Q33" s="1">
        <v>88.0</v>
      </c>
      <c r="R33" s="1">
        <v>70.0</v>
      </c>
      <c r="S33" s="1">
        <v>68.0</v>
      </c>
      <c r="T33" s="1">
        <v>51.0</v>
      </c>
      <c r="U33" s="1">
        <v>69.0</v>
      </c>
      <c r="V33" s="1">
        <v>91.0</v>
      </c>
      <c r="W33" s="1">
        <v>76.0</v>
      </c>
      <c r="X33" s="1">
        <v>69.0</v>
      </c>
      <c r="Y33" s="1">
        <v>61.0</v>
      </c>
      <c r="Z33" s="1">
        <v>1.0</v>
      </c>
    </row>
    <row r="34">
      <c r="A34" s="1" t="s">
        <v>293</v>
      </c>
      <c r="B34" s="1" t="s">
        <v>27</v>
      </c>
      <c r="C34" s="1" t="s">
        <v>294</v>
      </c>
      <c r="D34" s="1" t="s">
        <v>295</v>
      </c>
      <c r="E34" s="1" t="s">
        <v>296</v>
      </c>
      <c r="F34" s="1" t="s">
        <v>31</v>
      </c>
      <c r="G34" s="1" t="s">
        <v>297</v>
      </c>
      <c r="H34" s="1" t="s">
        <v>298</v>
      </c>
      <c r="I34" s="1" t="s">
        <v>299</v>
      </c>
      <c r="J34" s="1" t="s">
        <v>78</v>
      </c>
      <c r="K34" s="1" t="s">
        <v>300</v>
      </c>
      <c r="L34" s="1" t="s">
        <v>58</v>
      </c>
      <c r="M34" s="1" t="s">
        <v>149</v>
      </c>
      <c r="N34" s="1" t="s">
        <v>35</v>
      </c>
      <c r="O34" s="1" t="s">
        <v>82</v>
      </c>
      <c r="P34" s="1" t="s">
        <v>100</v>
      </c>
      <c r="Q34" s="1" t="s">
        <v>35</v>
      </c>
      <c r="R34" s="1" t="s">
        <v>301</v>
      </c>
      <c r="S34" s="1" t="s">
        <v>302</v>
      </c>
      <c r="T34" s="1" t="s">
        <v>303</v>
      </c>
      <c r="U34" s="1" t="s">
        <v>210</v>
      </c>
      <c r="V34" s="1" t="s">
        <v>227</v>
      </c>
      <c r="W34" s="1" t="s">
        <v>304</v>
      </c>
      <c r="X34" s="1" t="s">
        <v>305</v>
      </c>
      <c r="Y34" s="1" t="s">
        <v>306</v>
      </c>
      <c r="Z34" s="1">
        <v>1.0</v>
      </c>
    </row>
    <row r="35">
      <c r="A35" s="1" t="s">
        <v>307</v>
      </c>
      <c r="B35" s="1" t="s">
        <v>27</v>
      </c>
      <c r="C35" s="1" t="s">
        <v>308</v>
      </c>
      <c r="D35" s="1" t="s">
        <v>309</v>
      </c>
      <c r="E35" s="1" t="s">
        <v>310</v>
      </c>
      <c r="F35" s="1" t="s">
        <v>311</v>
      </c>
      <c r="G35" s="1" t="s">
        <v>312</v>
      </c>
      <c r="H35" s="1" t="s">
        <v>313</v>
      </c>
      <c r="I35" s="1" t="s">
        <v>314</v>
      </c>
      <c r="J35" s="1" t="s">
        <v>201</v>
      </c>
      <c r="K35" s="1" t="s">
        <v>205</v>
      </c>
      <c r="L35" s="1" t="s">
        <v>315</v>
      </c>
      <c r="M35" s="1" t="s">
        <v>316</v>
      </c>
      <c r="N35" s="1" t="s">
        <v>266</v>
      </c>
      <c r="O35" s="1" t="s">
        <v>243</v>
      </c>
      <c r="P35" s="1" t="s">
        <v>317</v>
      </c>
      <c r="Q35" s="1" t="s">
        <v>128</v>
      </c>
      <c r="R35" s="1" t="s">
        <v>318</v>
      </c>
      <c r="S35" s="1" t="s">
        <v>319</v>
      </c>
      <c r="T35" s="1" t="s">
        <v>320</v>
      </c>
      <c r="U35" s="1" t="s">
        <v>321</v>
      </c>
      <c r="V35" s="1" t="s">
        <v>322</v>
      </c>
      <c r="W35" s="1" t="s">
        <v>323</v>
      </c>
      <c r="X35" s="1" t="s">
        <v>324</v>
      </c>
      <c r="Y35" s="1" t="s">
        <v>325</v>
      </c>
      <c r="Z35" s="1">
        <v>1.0</v>
      </c>
    </row>
    <row r="36">
      <c r="A36" s="1" t="s">
        <v>326</v>
      </c>
      <c r="B36" s="1" t="s">
        <v>27</v>
      </c>
      <c r="C36" s="1" t="s">
        <v>50</v>
      </c>
      <c r="D36" s="1" t="s">
        <v>327</v>
      </c>
      <c r="E36" s="1" t="s">
        <v>225</v>
      </c>
      <c r="F36" s="1" t="s">
        <v>328</v>
      </c>
      <c r="G36" s="1" t="s">
        <v>329</v>
      </c>
      <c r="H36" s="1" t="s">
        <v>330</v>
      </c>
      <c r="I36" s="1" t="s">
        <v>331</v>
      </c>
      <c r="J36" s="1" t="s">
        <v>36</v>
      </c>
      <c r="K36" s="1" t="s">
        <v>332</v>
      </c>
      <c r="L36" s="1" t="s">
        <v>37</v>
      </c>
      <c r="M36" s="1" t="s">
        <v>59</v>
      </c>
      <c r="N36" s="1" t="s">
        <v>333</v>
      </c>
      <c r="O36" s="1" t="s">
        <v>166</v>
      </c>
      <c r="P36" s="1" t="s">
        <v>334</v>
      </c>
      <c r="Q36" s="1" t="s">
        <v>35</v>
      </c>
      <c r="R36" s="1" t="s">
        <v>335</v>
      </c>
      <c r="S36" s="1" t="s">
        <v>336</v>
      </c>
      <c r="T36" s="1" t="s">
        <v>65</v>
      </c>
      <c r="U36" s="1" t="s">
        <v>163</v>
      </c>
      <c r="V36" s="1" t="s">
        <v>253</v>
      </c>
      <c r="W36" s="1" t="s">
        <v>337</v>
      </c>
      <c r="X36" s="1" t="s">
        <v>163</v>
      </c>
      <c r="Y36" s="1" t="s">
        <v>48</v>
      </c>
      <c r="Z36" s="1">
        <v>1.0</v>
      </c>
    </row>
    <row r="37">
      <c r="A37" s="1" t="s">
        <v>338</v>
      </c>
      <c r="B37" s="1" t="s">
        <v>27</v>
      </c>
      <c r="C37" s="1" t="s">
        <v>192</v>
      </c>
      <c r="D37" s="1">
        <v>205.0</v>
      </c>
      <c r="E37" s="1">
        <v>77.0</v>
      </c>
      <c r="F37" s="1">
        <v>80.0</v>
      </c>
      <c r="G37" s="1">
        <v>80.0</v>
      </c>
      <c r="H37" s="1">
        <v>40.0</v>
      </c>
      <c r="I37" s="1">
        <v>45.0</v>
      </c>
      <c r="J37" s="1">
        <v>86.0</v>
      </c>
      <c r="K37" s="1">
        <v>80.0</v>
      </c>
      <c r="L37" s="1">
        <v>70.0</v>
      </c>
      <c r="M37" s="1">
        <v>95.0</v>
      </c>
      <c r="N37" s="1">
        <v>85.0</v>
      </c>
      <c r="O37" s="1">
        <v>81.0</v>
      </c>
      <c r="P37" s="1">
        <v>72.0</v>
      </c>
      <c r="Q37" s="1">
        <v>86.0</v>
      </c>
      <c r="R37" s="1">
        <v>80.0</v>
      </c>
      <c r="S37" s="1">
        <v>43.0</v>
      </c>
      <c r="T37" s="1">
        <v>36.0</v>
      </c>
      <c r="U37" s="1">
        <v>57.0</v>
      </c>
      <c r="V37" s="1">
        <v>81.0</v>
      </c>
      <c r="W37" s="1">
        <v>82.0</v>
      </c>
      <c r="X37" s="1">
        <v>61.0</v>
      </c>
      <c r="Y37" s="1">
        <v>65.0</v>
      </c>
      <c r="Z37" s="1">
        <v>1.0</v>
      </c>
    </row>
    <row r="38">
      <c r="A38" s="1" t="s">
        <v>339</v>
      </c>
      <c r="B38" s="1" t="s">
        <v>27</v>
      </c>
      <c r="C38" s="1" t="s">
        <v>340</v>
      </c>
      <c r="D38" s="1" t="s">
        <v>341</v>
      </c>
      <c r="E38" s="1" t="s">
        <v>342</v>
      </c>
      <c r="F38" s="1" t="s">
        <v>343</v>
      </c>
      <c r="G38" s="1" t="s">
        <v>65</v>
      </c>
      <c r="H38" s="1" t="s">
        <v>130</v>
      </c>
      <c r="I38" s="1" t="s">
        <v>344</v>
      </c>
      <c r="J38" s="1" t="s">
        <v>260</v>
      </c>
      <c r="K38" s="1" t="s">
        <v>345</v>
      </c>
      <c r="L38" s="1" t="s">
        <v>346</v>
      </c>
      <c r="M38" s="1" t="s">
        <v>347</v>
      </c>
      <c r="N38" s="1" t="s">
        <v>325</v>
      </c>
      <c r="O38" s="1" t="s">
        <v>348</v>
      </c>
      <c r="P38" s="1" t="s">
        <v>349</v>
      </c>
      <c r="Q38" s="1" t="s">
        <v>350</v>
      </c>
      <c r="R38" s="1" t="s">
        <v>351</v>
      </c>
      <c r="S38" s="1" t="s">
        <v>352</v>
      </c>
      <c r="T38" s="1" t="s">
        <v>353</v>
      </c>
      <c r="U38" s="1" t="s">
        <v>354</v>
      </c>
      <c r="V38" s="1" t="s">
        <v>82</v>
      </c>
      <c r="W38" s="1" t="s">
        <v>82</v>
      </c>
      <c r="X38" s="1" t="s">
        <v>98</v>
      </c>
      <c r="Y38" s="1" t="s">
        <v>355</v>
      </c>
      <c r="Z38" s="1">
        <v>1.0</v>
      </c>
    </row>
    <row r="39">
      <c r="A39" s="1" t="s">
        <v>356</v>
      </c>
      <c r="B39" s="1" t="s">
        <v>27</v>
      </c>
      <c r="C39" s="1" t="s">
        <v>192</v>
      </c>
      <c r="D39" s="1">
        <v>207.0</v>
      </c>
      <c r="E39" s="1">
        <v>83.0</v>
      </c>
      <c r="F39" s="1">
        <v>93.0</v>
      </c>
      <c r="G39" s="1">
        <v>70.0</v>
      </c>
      <c r="H39" s="1">
        <v>30.0</v>
      </c>
      <c r="I39" s="1">
        <v>51.0</v>
      </c>
      <c r="J39" s="1">
        <v>66.0</v>
      </c>
      <c r="K39" s="1">
        <v>75.0</v>
      </c>
      <c r="L39" s="1">
        <v>50.0</v>
      </c>
      <c r="M39" s="1">
        <v>82.0</v>
      </c>
      <c r="N39" s="1">
        <v>90.0</v>
      </c>
      <c r="O39" s="1">
        <v>82.0</v>
      </c>
      <c r="P39" s="1">
        <v>60.0</v>
      </c>
      <c r="Q39" s="1">
        <v>90.0</v>
      </c>
      <c r="R39" s="1">
        <v>61.0</v>
      </c>
      <c r="S39" s="1">
        <v>46.0</v>
      </c>
      <c r="T39" s="1">
        <v>27.0</v>
      </c>
      <c r="U39" s="1">
        <v>50.0</v>
      </c>
      <c r="V39" s="1">
        <v>90.0</v>
      </c>
      <c r="W39" s="1">
        <v>79.0</v>
      </c>
      <c r="X39" s="1">
        <v>85.0</v>
      </c>
      <c r="Y39" s="1">
        <v>75.0</v>
      </c>
      <c r="Z39" s="1">
        <v>1.0</v>
      </c>
    </row>
    <row r="40">
      <c r="A40" s="1" t="s">
        <v>357</v>
      </c>
      <c r="B40" s="1" t="s">
        <v>27</v>
      </c>
      <c r="C40" s="1" t="s">
        <v>170</v>
      </c>
      <c r="D40" s="1">
        <v>213.0</v>
      </c>
      <c r="E40" s="1">
        <v>90.0</v>
      </c>
      <c r="F40" s="1">
        <v>80.0</v>
      </c>
      <c r="G40" s="1">
        <v>25.0</v>
      </c>
      <c r="H40" s="1">
        <v>25.0</v>
      </c>
      <c r="I40" s="1">
        <v>32.0</v>
      </c>
      <c r="J40" s="1">
        <v>85.0</v>
      </c>
      <c r="K40" s="1">
        <v>94.0</v>
      </c>
      <c r="L40" s="1">
        <v>75.0</v>
      </c>
      <c r="M40" s="1">
        <v>90.0</v>
      </c>
      <c r="N40" s="1">
        <v>86.0</v>
      </c>
      <c r="O40" s="1">
        <v>80.0</v>
      </c>
      <c r="P40" s="1">
        <v>76.0</v>
      </c>
      <c r="Q40" s="1">
        <v>85.0</v>
      </c>
      <c r="R40" s="1">
        <v>81.0</v>
      </c>
      <c r="S40" s="1">
        <v>47.0</v>
      </c>
      <c r="T40" s="1">
        <v>41.0</v>
      </c>
      <c r="U40" s="1">
        <v>58.0</v>
      </c>
      <c r="V40" s="1">
        <v>85.0</v>
      </c>
      <c r="W40" s="1">
        <v>78.0</v>
      </c>
      <c r="X40" s="1">
        <v>84.0</v>
      </c>
      <c r="Y40" s="1">
        <v>60.0</v>
      </c>
      <c r="Z40" s="1">
        <v>1.0</v>
      </c>
    </row>
    <row r="41">
      <c r="A41" s="1" t="s">
        <v>358</v>
      </c>
      <c r="B41" s="1" t="s">
        <v>27</v>
      </c>
      <c r="C41" s="1" t="s">
        <v>50</v>
      </c>
      <c r="D41" s="1" t="s">
        <v>359</v>
      </c>
      <c r="E41" s="1" t="s">
        <v>190</v>
      </c>
      <c r="F41" s="1" t="s">
        <v>204</v>
      </c>
      <c r="G41" s="1" t="s">
        <v>360</v>
      </c>
      <c r="H41" s="1" t="s">
        <v>130</v>
      </c>
      <c r="I41" s="1" t="s">
        <v>361</v>
      </c>
      <c r="J41" s="1" t="s">
        <v>201</v>
      </c>
      <c r="K41" s="1" t="s">
        <v>362</v>
      </c>
      <c r="L41" s="1" t="s">
        <v>363</v>
      </c>
      <c r="M41" s="1">
        <v>87.0</v>
      </c>
      <c r="N41" s="1" t="s">
        <v>208</v>
      </c>
      <c r="O41" s="1" t="s">
        <v>207</v>
      </c>
      <c r="P41" s="1" t="s">
        <v>40</v>
      </c>
      <c r="Q41" s="1" t="s">
        <v>36</v>
      </c>
      <c r="R41" s="1" t="s">
        <v>364</v>
      </c>
      <c r="S41" s="1" t="s">
        <v>365</v>
      </c>
      <c r="T41" s="1" t="s">
        <v>366</v>
      </c>
      <c r="U41" s="1" t="s">
        <v>367</v>
      </c>
      <c r="V41" s="1" t="s">
        <v>208</v>
      </c>
      <c r="W41" s="1">
        <v>85.0</v>
      </c>
      <c r="X41" s="1" t="s">
        <v>368</v>
      </c>
      <c r="Y41" s="1" t="s">
        <v>369</v>
      </c>
      <c r="Z41" s="1">
        <v>1.0</v>
      </c>
    </row>
    <row r="42">
      <c r="A42" s="1" t="s">
        <v>370</v>
      </c>
      <c r="B42" s="1" t="s">
        <v>27</v>
      </c>
      <c r="C42" s="1" t="s">
        <v>145</v>
      </c>
      <c r="D42" s="1">
        <v>205.0</v>
      </c>
      <c r="E42" s="1">
        <v>84.0</v>
      </c>
      <c r="F42" s="1">
        <v>85.0</v>
      </c>
      <c r="G42" s="1">
        <v>82.0</v>
      </c>
      <c r="H42" s="1">
        <v>52.0</v>
      </c>
      <c r="I42" s="1">
        <v>53.0</v>
      </c>
      <c r="J42" s="1">
        <v>80.0</v>
      </c>
      <c r="K42" s="1">
        <v>80.0</v>
      </c>
      <c r="L42" s="1">
        <v>76.0</v>
      </c>
      <c r="M42" s="1">
        <v>92.0</v>
      </c>
      <c r="N42" s="1">
        <v>90.0</v>
      </c>
      <c r="O42" s="1">
        <v>76.0</v>
      </c>
      <c r="P42" s="1">
        <v>43.0</v>
      </c>
      <c r="Q42" s="1">
        <v>87.0</v>
      </c>
      <c r="R42" s="1">
        <v>73.0</v>
      </c>
      <c r="S42" s="1">
        <v>44.0</v>
      </c>
      <c r="T42" s="1">
        <v>57.0</v>
      </c>
      <c r="U42" s="1">
        <v>57.0</v>
      </c>
      <c r="V42" s="1">
        <v>81.0</v>
      </c>
      <c r="W42" s="1">
        <v>80.0</v>
      </c>
      <c r="X42" s="1">
        <v>68.0</v>
      </c>
      <c r="Y42" s="1">
        <v>71.0</v>
      </c>
      <c r="Z42" s="1">
        <v>1.0</v>
      </c>
    </row>
    <row r="43">
      <c r="A43" s="1" t="s">
        <v>371</v>
      </c>
      <c r="B43" s="1" t="s">
        <v>27</v>
      </c>
      <c r="C43" s="1" t="s">
        <v>168</v>
      </c>
      <c r="D43" s="1">
        <v>230.0</v>
      </c>
      <c r="E43" s="1">
        <v>72.0</v>
      </c>
      <c r="F43" s="1">
        <v>77.0</v>
      </c>
      <c r="G43" s="1">
        <v>87.0</v>
      </c>
      <c r="H43" s="1">
        <v>40.0</v>
      </c>
      <c r="I43" s="1">
        <v>43.0</v>
      </c>
      <c r="J43" s="1">
        <v>80.0</v>
      </c>
      <c r="K43" s="1">
        <v>80.0</v>
      </c>
      <c r="L43" s="1">
        <v>84.0</v>
      </c>
      <c r="M43" s="1">
        <v>87.0</v>
      </c>
      <c r="N43" s="1">
        <v>82.0</v>
      </c>
      <c r="O43" s="1">
        <v>86.0</v>
      </c>
      <c r="P43" s="1">
        <v>56.0</v>
      </c>
      <c r="Q43" s="1">
        <v>91.0</v>
      </c>
      <c r="R43" s="1">
        <v>79.0</v>
      </c>
      <c r="S43" s="1">
        <v>42.0</v>
      </c>
      <c r="T43" s="1">
        <v>34.0</v>
      </c>
      <c r="U43" s="1">
        <v>51.0</v>
      </c>
      <c r="V43" s="1">
        <v>87.0</v>
      </c>
      <c r="W43" s="1">
        <v>87.0</v>
      </c>
      <c r="X43" s="1">
        <v>85.0</v>
      </c>
      <c r="Y43" s="1">
        <v>87.0</v>
      </c>
      <c r="Z43" s="1">
        <v>1.0</v>
      </c>
    </row>
    <row r="44">
      <c r="A44" s="1" t="s">
        <v>372</v>
      </c>
      <c r="B44" s="1" t="s">
        <v>27</v>
      </c>
      <c r="C44" s="1" t="s">
        <v>192</v>
      </c>
      <c r="D44" s="1">
        <v>192.0</v>
      </c>
      <c r="E44" s="1">
        <v>77.0</v>
      </c>
      <c r="F44" s="1">
        <v>66.0</v>
      </c>
      <c r="G44" s="1">
        <v>75.0</v>
      </c>
      <c r="H44" s="1">
        <v>40.0</v>
      </c>
      <c r="I44" s="1" t="s">
        <v>373</v>
      </c>
      <c r="J44" s="1">
        <v>92.0</v>
      </c>
      <c r="K44" s="1">
        <v>90.0</v>
      </c>
      <c r="L44" s="1">
        <v>67.0</v>
      </c>
      <c r="M44" s="1">
        <v>71.0</v>
      </c>
      <c r="N44" s="1">
        <v>81.0</v>
      </c>
      <c r="O44" s="1">
        <v>83.0</v>
      </c>
      <c r="P44" s="1" t="s">
        <v>374</v>
      </c>
      <c r="Q44" s="1" t="s">
        <v>182</v>
      </c>
      <c r="R44" s="1">
        <v>73.0</v>
      </c>
      <c r="S44" s="1">
        <v>47.0</v>
      </c>
      <c r="T44" s="1" t="s">
        <v>375</v>
      </c>
      <c r="U44" s="1">
        <v>57.0</v>
      </c>
      <c r="V44" s="1">
        <v>89.0</v>
      </c>
      <c r="W44" s="1">
        <v>84.0</v>
      </c>
      <c r="X44" s="1">
        <v>72.0</v>
      </c>
      <c r="Y44" s="1">
        <v>60.0</v>
      </c>
      <c r="Z44" s="1">
        <v>1.0</v>
      </c>
    </row>
    <row r="45">
      <c r="A45" s="1" t="s">
        <v>376</v>
      </c>
      <c r="B45" s="1" t="s">
        <v>27</v>
      </c>
      <c r="C45" s="1" t="s">
        <v>192</v>
      </c>
      <c r="D45" s="1">
        <v>222.0</v>
      </c>
      <c r="E45" s="1">
        <v>73.0</v>
      </c>
      <c r="F45" s="1">
        <v>75.0</v>
      </c>
      <c r="G45" s="1">
        <v>80.0</v>
      </c>
      <c r="H45" s="1">
        <v>72.0</v>
      </c>
      <c r="I45" s="1">
        <v>50.0</v>
      </c>
      <c r="J45" s="1">
        <v>75.0</v>
      </c>
      <c r="K45" s="1">
        <v>80.0</v>
      </c>
      <c r="L45" s="1">
        <v>73.0</v>
      </c>
      <c r="M45" s="1">
        <v>84.0</v>
      </c>
      <c r="N45" s="1">
        <v>86.0</v>
      </c>
      <c r="O45" s="1">
        <v>80.0</v>
      </c>
      <c r="P45" s="1">
        <v>82.0</v>
      </c>
      <c r="Q45" s="1">
        <v>85.0</v>
      </c>
      <c r="R45" s="1">
        <v>55.0</v>
      </c>
      <c r="S45" s="1">
        <v>84.0</v>
      </c>
      <c r="T45" s="1">
        <v>80.0</v>
      </c>
      <c r="U45" s="1">
        <v>65.0</v>
      </c>
      <c r="V45" s="1">
        <v>85.0</v>
      </c>
      <c r="W45" s="1">
        <v>85.0</v>
      </c>
      <c r="X45" s="1">
        <v>85.0</v>
      </c>
      <c r="Y45" s="1">
        <v>77.0</v>
      </c>
      <c r="Z45" s="1">
        <v>1.0</v>
      </c>
    </row>
    <row r="46">
      <c r="A46" s="1" t="s">
        <v>377</v>
      </c>
      <c r="B46" s="1" t="s">
        <v>27</v>
      </c>
      <c r="C46" s="1" t="s">
        <v>168</v>
      </c>
      <c r="D46" s="1">
        <v>200.0</v>
      </c>
      <c r="E46" s="1">
        <v>65.0</v>
      </c>
      <c r="F46" s="1">
        <v>75.0</v>
      </c>
      <c r="G46" s="1">
        <v>75.0</v>
      </c>
      <c r="H46" s="1">
        <v>25.0</v>
      </c>
      <c r="I46" s="1">
        <v>40.0</v>
      </c>
      <c r="J46" s="1">
        <v>80.0</v>
      </c>
      <c r="K46" s="1">
        <v>90.0</v>
      </c>
      <c r="L46" s="1">
        <v>67.0</v>
      </c>
      <c r="M46" s="1">
        <v>92.0</v>
      </c>
      <c r="N46" s="1">
        <v>86.0</v>
      </c>
      <c r="O46" s="1">
        <v>86.0</v>
      </c>
      <c r="P46" s="1">
        <v>49.0</v>
      </c>
      <c r="Q46" s="1">
        <v>88.0</v>
      </c>
      <c r="R46" s="1">
        <v>89.0</v>
      </c>
      <c r="S46" s="1">
        <v>38.0</v>
      </c>
      <c r="T46" s="1">
        <v>26.0</v>
      </c>
      <c r="U46" s="1">
        <v>48.0</v>
      </c>
      <c r="V46" s="1">
        <v>90.0</v>
      </c>
      <c r="W46" s="1">
        <v>90.0</v>
      </c>
      <c r="X46" s="1">
        <v>48.0</v>
      </c>
      <c r="Y46" s="1">
        <v>60.0</v>
      </c>
      <c r="Z46" s="1">
        <v>1.0</v>
      </c>
    </row>
    <row r="47">
      <c r="A47" s="1" t="s">
        <v>378</v>
      </c>
      <c r="B47" s="1" t="s">
        <v>27</v>
      </c>
      <c r="C47" s="1" t="s">
        <v>147</v>
      </c>
      <c r="D47" s="1" t="s">
        <v>379</v>
      </c>
      <c r="E47" s="1" t="s">
        <v>380</v>
      </c>
      <c r="F47" s="1" t="s">
        <v>99</v>
      </c>
      <c r="G47" s="1" t="s">
        <v>79</v>
      </c>
      <c r="H47" s="1" t="s">
        <v>381</v>
      </c>
      <c r="I47" s="1" t="s">
        <v>382</v>
      </c>
      <c r="J47" s="1" t="s">
        <v>322</v>
      </c>
      <c r="K47" s="1" t="s">
        <v>201</v>
      </c>
      <c r="L47" s="1" t="s">
        <v>383</v>
      </c>
      <c r="M47" s="1" t="s">
        <v>207</v>
      </c>
      <c r="N47" s="1" t="s">
        <v>39</v>
      </c>
      <c r="O47" s="1" t="s">
        <v>384</v>
      </c>
      <c r="P47" s="1" t="s">
        <v>385</v>
      </c>
      <c r="Q47" s="1" t="s">
        <v>325</v>
      </c>
      <c r="R47" s="1" t="s">
        <v>386</v>
      </c>
      <c r="S47" s="1" t="s">
        <v>387</v>
      </c>
      <c r="T47" s="1" t="s">
        <v>388</v>
      </c>
      <c r="U47" s="1" t="s">
        <v>389</v>
      </c>
      <c r="V47" s="1" t="s">
        <v>390</v>
      </c>
      <c r="W47" s="1" t="s">
        <v>265</v>
      </c>
      <c r="X47" s="1" t="s">
        <v>354</v>
      </c>
      <c r="Y47" s="1" t="s">
        <v>391</v>
      </c>
      <c r="Z47" s="1">
        <v>1.0</v>
      </c>
    </row>
    <row r="48">
      <c r="A48" s="1" t="s">
        <v>392</v>
      </c>
      <c r="B48" s="1" t="s">
        <v>27</v>
      </c>
      <c r="C48" s="1" t="s">
        <v>294</v>
      </c>
      <c r="D48" s="1" t="s">
        <v>393</v>
      </c>
      <c r="E48" s="1" t="s">
        <v>394</v>
      </c>
      <c r="F48" s="1">
        <v>80.0</v>
      </c>
      <c r="G48" s="1" t="s">
        <v>78</v>
      </c>
      <c r="H48" s="1" t="s">
        <v>373</v>
      </c>
      <c r="I48" s="1" t="s">
        <v>395</v>
      </c>
      <c r="J48" s="1" t="s">
        <v>205</v>
      </c>
      <c r="K48" s="1" t="s">
        <v>396</v>
      </c>
      <c r="L48" s="1" t="s">
        <v>397</v>
      </c>
      <c r="M48" s="1" t="s">
        <v>398</v>
      </c>
      <c r="N48" s="1">
        <v>82.0</v>
      </c>
      <c r="O48" s="1" t="s">
        <v>190</v>
      </c>
      <c r="P48" s="1" t="s">
        <v>399</v>
      </c>
      <c r="Q48" s="1" t="s">
        <v>400</v>
      </c>
      <c r="R48" s="1" t="s">
        <v>401</v>
      </c>
      <c r="S48" s="1" t="s">
        <v>367</v>
      </c>
      <c r="T48" s="1" t="s">
        <v>402</v>
      </c>
      <c r="U48" s="1" t="s">
        <v>403</v>
      </c>
      <c r="V48" s="1">
        <v>85.0</v>
      </c>
      <c r="W48" s="1" t="s">
        <v>404</v>
      </c>
      <c r="X48" s="1" t="s">
        <v>405</v>
      </c>
      <c r="Y48" s="1" t="s">
        <v>406</v>
      </c>
      <c r="Z48" s="1">
        <v>1.0</v>
      </c>
    </row>
    <row r="49">
      <c r="A49" s="1" t="s">
        <v>407</v>
      </c>
      <c r="B49" s="1" t="s">
        <v>27</v>
      </c>
      <c r="C49" s="1" t="s">
        <v>408</v>
      </c>
      <c r="D49" s="1" t="s">
        <v>409</v>
      </c>
      <c r="E49" s="1" t="s">
        <v>134</v>
      </c>
      <c r="F49" s="1" t="s">
        <v>410</v>
      </c>
      <c r="G49" s="1" t="s">
        <v>411</v>
      </c>
      <c r="H49" s="1" t="s">
        <v>93</v>
      </c>
      <c r="I49" s="1" t="s">
        <v>412</v>
      </c>
      <c r="J49" s="1" t="s">
        <v>221</v>
      </c>
      <c r="K49" s="1" t="s">
        <v>413</v>
      </c>
      <c r="L49" s="1" t="s">
        <v>414</v>
      </c>
      <c r="M49" s="1" t="s">
        <v>265</v>
      </c>
      <c r="N49" s="1" t="s">
        <v>79</v>
      </c>
      <c r="O49" s="1" t="s">
        <v>201</v>
      </c>
      <c r="P49" s="1" t="s">
        <v>415</v>
      </c>
      <c r="Q49" s="1" t="s">
        <v>416</v>
      </c>
      <c r="R49" s="1" t="s">
        <v>417</v>
      </c>
      <c r="S49" s="1" t="s">
        <v>282</v>
      </c>
      <c r="T49" s="1" t="s">
        <v>102</v>
      </c>
      <c r="U49" s="1" t="s">
        <v>418</v>
      </c>
      <c r="V49" s="1" t="s">
        <v>396</v>
      </c>
      <c r="W49" s="1" t="s">
        <v>419</v>
      </c>
      <c r="X49" s="1" t="s">
        <v>360</v>
      </c>
      <c r="Y49" s="1" t="s">
        <v>420</v>
      </c>
      <c r="Z49" s="1">
        <v>1.0</v>
      </c>
    </row>
    <row r="50">
      <c r="A50" s="1" t="s">
        <v>421</v>
      </c>
      <c r="B50" s="1" t="s">
        <v>27</v>
      </c>
      <c r="C50" s="1" t="s">
        <v>422</v>
      </c>
      <c r="D50" s="1" t="s">
        <v>423</v>
      </c>
      <c r="E50" s="1" t="s">
        <v>424</v>
      </c>
      <c r="F50" s="1" t="s">
        <v>96</v>
      </c>
      <c r="G50" s="1" t="s">
        <v>425</v>
      </c>
      <c r="H50" s="1" t="s">
        <v>130</v>
      </c>
      <c r="I50" s="1" t="s">
        <v>426</v>
      </c>
      <c r="J50" s="1" t="s">
        <v>221</v>
      </c>
      <c r="K50" s="1" t="s">
        <v>427</v>
      </c>
      <c r="L50" s="1" t="s">
        <v>428</v>
      </c>
      <c r="M50" s="1" t="s">
        <v>300</v>
      </c>
      <c r="N50" s="1" t="s">
        <v>429</v>
      </c>
      <c r="O50" s="1" t="s">
        <v>227</v>
      </c>
      <c r="P50" s="1" t="s">
        <v>430</v>
      </c>
      <c r="Q50" s="1" t="s">
        <v>431</v>
      </c>
      <c r="R50" s="1" t="s">
        <v>432</v>
      </c>
      <c r="S50" s="1" t="s">
        <v>130</v>
      </c>
      <c r="T50" s="1" t="s">
        <v>433</v>
      </c>
      <c r="U50" s="1" t="s">
        <v>385</v>
      </c>
      <c r="V50" s="1" t="s">
        <v>434</v>
      </c>
      <c r="W50" s="1" t="s">
        <v>435</v>
      </c>
      <c r="X50" s="1" t="s">
        <v>436</v>
      </c>
      <c r="Y50" s="1" t="s">
        <v>437</v>
      </c>
      <c r="Z50" s="1">
        <v>1.0</v>
      </c>
    </row>
    <row r="51">
      <c r="A51" s="1" t="s">
        <v>438</v>
      </c>
      <c r="B51" s="1" t="s">
        <v>27</v>
      </c>
      <c r="C51" s="1" t="s">
        <v>170</v>
      </c>
      <c r="D51" s="1">
        <v>200.0</v>
      </c>
      <c r="E51" s="1">
        <v>82.0</v>
      </c>
      <c r="F51" s="1">
        <v>80.0</v>
      </c>
      <c r="G51" s="1">
        <v>94.0</v>
      </c>
      <c r="H51" s="1">
        <v>39.0</v>
      </c>
      <c r="I51" s="1">
        <v>31.0</v>
      </c>
      <c r="J51" s="1">
        <v>78.0</v>
      </c>
      <c r="K51" s="1">
        <v>80.0</v>
      </c>
      <c r="L51" s="1">
        <v>55.0</v>
      </c>
      <c r="M51" s="1">
        <v>89.0</v>
      </c>
      <c r="N51" s="1">
        <v>86.0</v>
      </c>
      <c r="O51" s="1">
        <v>89.0</v>
      </c>
      <c r="P51" s="1">
        <v>62.0</v>
      </c>
      <c r="Q51" s="1">
        <v>77.0</v>
      </c>
      <c r="R51" s="1">
        <v>47.0</v>
      </c>
      <c r="S51" s="1">
        <v>41.0</v>
      </c>
      <c r="T51" s="1">
        <v>44.0</v>
      </c>
      <c r="U51" s="1">
        <v>60.0</v>
      </c>
      <c r="V51" s="1">
        <v>93.0</v>
      </c>
      <c r="W51" s="1">
        <v>89.0</v>
      </c>
      <c r="X51" s="1">
        <v>70.0</v>
      </c>
      <c r="Y51" s="1">
        <v>86.0</v>
      </c>
      <c r="Z51" s="1">
        <v>1.0</v>
      </c>
    </row>
    <row r="52">
      <c r="A52" s="1" t="s">
        <v>439</v>
      </c>
      <c r="B52" s="1" t="s">
        <v>27</v>
      </c>
      <c r="C52" s="1" t="s">
        <v>170</v>
      </c>
      <c r="D52" s="1">
        <v>175.0</v>
      </c>
      <c r="E52" s="1">
        <v>72.0</v>
      </c>
      <c r="F52" s="1">
        <v>85.0</v>
      </c>
      <c r="G52" s="1">
        <v>87.0</v>
      </c>
      <c r="H52" s="1">
        <v>32.0</v>
      </c>
      <c r="I52" s="1">
        <v>40.0</v>
      </c>
      <c r="J52" s="1">
        <v>75.0</v>
      </c>
      <c r="K52" s="1">
        <v>85.0</v>
      </c>
      <c r="L52" s="1">
        <v>76.0</v>
      </c>
      <c r="M52" s="1">
        <v>85.0</v>
      </c>
      <c r="N52" s="1">
        <v>95.0</v>
      </c>
      <c r="O52" s="1">
        <v>91.0</v>
      </c>
      <c r="P52" s="1">
        <v>28.0</v>
      </c>
      <c r="Q52" s="1">
        <v>74.0</v>
      </c>
      <c r="R52" s="1">
        <v>73.0</v>
      </c>
      <c r="S52" s="1">
        <v>30.0</v>
      </c>
      <c r="T52" s="1">
        <v>25.0</v>
      </c>
      <c r="U52" s="1">
        <v>36.0</v>
      </c>
      <c r="V52" s="1">
        <v>91.0</v>
      </c>
      <c r="W52" s="1">
        <v>80.0</v>
      </c>
      <c r="X52" s="1">
        <v>37.0</v>
      </c>
      <c r="Y52" s="1">
        <v>75.0</v>
      </c>
      <c r="Z52" s="1">
        <v>1.0</v>
      </c>
    </row>
    <row r="53">
      <c r="A53" s="1" t="s">
        <v>440</v>
      </c>
      <c r="B53" s="1" t="s">
        <v>27</v>
      </c>
      <c r="C53" s="1" t="s">
        <v>441</v>
      </c>
      <c r="D53" s="1" t="s">
        <v>442</v>
      </c>
      <c r="E53" s="1" t="s">
        <v>383</v>
      </c>
      <c r="F53" s="1" t="s">
        <v>345</v>
      </c>
      <c r="G53" s="1" t="s">
        <v>92</v>
      </c>
      <c r="H53" s="1" t="s">
        <v>102</v>
      </c>
      <c r="I53" s="1" t="s">
        <v>112</v>
      </c>
      <c r="J53" s="1" t="s">
        <v>36</v>
      </c>
      <c r="K53" s="1" t="s">
        <v>443</v>
      </c>
      <c r="L53" s="1" t="s">
        <v>444</v>
      </c>
      <c r="M53" s="1" t="s">
        <v>178</v>
      </c>
      <c r="N53" s="1" t="s">
        <v>445</v>
      </c>
      <c r="O53" s="1" t="s">
        <v>122</v>
      </c>
      <c r="P53" s="1" t="s">
        <v>446</v>
      </c>
      <c r="Q53" s="1" t="s">
        <v>447</v>
      </c>
      <c r="R53" s="1" t="s">
        <v>448</v>
      </c>
      <c r="S53" s="1" t="s">
        <v>55</v>
      </c>
      <c r="T53" s="1" t="s">
        <v>449</v>
      </c>
      <c r="U53" s="1" t="s">
        <v>450</v>
      </c>
      <c r="V53" s="1" t="s">
        <v>96</v>
      </c>
      <c r="W53" s="1" t="s">
        <v>451</v>
      </c>
      <c r="X53" s="1" t="s">
        <v>452</v>
      </c>
      <c r="Y53" s="1" t="s">
        <v>453</v>
      </c>
      <c r="Z53" s="1">
        <v>1.0</v>
      </c>
    </row>
    <row r="54">
      <c r="A54" s="1" t="s">
        <v>454</v>
      </c>
      <c r="B54" s="1" t="s">
        <v>27</v>
      </c>
      <c r="C54" s="1" t="s">
        <v>216</v>
      </c>
      <c r="D54" s="1">
        <v>210.0</v>
      </c>
      <c r="E54" s="1">
        <v>71.0</v>
      </c>
      <c r="F54" s="1">
        <v>85.0</v>
      </c>
      <c r="G54" s="1">
        <v>90.0</v>
      </c>
      <c r="H54" s="1">
        <v>36.0</v>
      </c>
      <c r="I54" s="1">
        <v>35.0</v>
      </c>
      <c r="J54" s="1">
        <v>85.0</v>
      </c>
      <c r="K54" s="1">
        <v>85.0</v>
      </c>
      <c r="L54" s="1">
        <v>82.0</v>
      </c>
      <c r="M54" s="1">
        <v>85.0</v>
      </c>
      <c r="N54" s="1">
        <v>85.0</v>
      </c>
      <c r="O54" s="1">
        <v>85.0</v>
      </c>
      <c r="P54" s="1">
        <v>45.0</v>
      </c>
      <c r="Q54" s="1">
        <v>80.0</v>
      </c>
      <c r="R54" s="1">
        <v>50.0</v>
      </c>
      <c r="S54" s="1">
        <v>40.0</v>
      </c>
      <c r="T54" s="1">
        <v>45.0</v>
      </c>
      <c r="U54" s="1">
        <v>70.0</v>
      </c>
      <c r="V54" s="1">
        <v>90.0</v>
      </c>
      <c r="W54" s="1">
        <v>85.0</v>
      </c>
      <c r="X54" s="1">
        <v>50.0</v>
      </c>
      <c r="Y54" s="1">
        <v>85.0</v>
      </c>
      <c r="Z54" s="1">
        <v>1.0</v>
      </c>
    </row>
    <row r="55">
      <c r="A55" s="1" t="s">
        <v>455</v>
      </c>
      <c r="B55" s="1" t="s">
        <v>27</v>
      </c>
      <c r="C55" s="1" t="s">
        <v>145</v>
      </c>
      <c r="D55" s="1">
        <v>188.0</v>
      </c>
      <c r="E55" s="1">
        <v>70.0</v>
      </c>
      <c r="F55" s="1">
        <v>68.0</v>
      </c>
      <c r="G55" s="1">
        <v>81.0</v>
      </c>
      <c r="H55" s="1">
        <v>32.0</v>
      </c>
      <c r="I55" s="1">
        <v>40.0</v>
      </c>
      <c r="J55" s="1">
        <v>83.0</v>
      </c>
      <c r="K55" s="1">
        <v>90.0</v>
      </c>
      <c r="L55" s="1">
        <v>80.0</v>
      </c>
      <c r="M55" s="1">
        <v>84.0</v>
      </c>
      <c r="N55" s="1">
        <v>83.0</v>
      </c>
      <c r="O55" s="1">
        <v>82.0</v>
      </c>
      <c r="P55" s="1">
        <v>62.0</v>
      </c>
      <c r="Q55" s="1">
        <v>92.0</v>
      </c>
      <c r="R55" s="1">
        <v>91.0</v>
      </c>
      <c r="S55" s="1">
        <v>47.0</v>
      </c>
      <c r="T55" s="1">
        <v>32.0</v>
      </c>
      <c r="U55" s="1">
        <v>52.0</v>
      </c>
      <c r="V55" s="1">
        <v>84.0</v>
      </c>
      <c r="W55" s="1">
        <v>81.0</v>
      </c>
      <c r="X55" s="1">
        <v>59.0</v>
      </c>
      <c r="Y55" s="1">
        <v>68.0</v>
      </c>
      <c r="Z55" s="1">
        <v>1.0</v>
      </c>
    </row>
    <row r="56">
      <c r="A56" s="1" t="s">
        <v>456</v>
      </c>
      <c r="B56" s="1" t="s">
        <v>27</v>
      </c>
      <c r="C56" s="1" t="s">
        <v>50</v>
      </c>
      <c r="D56" s="1" t="s">
        <v>423</v>
      </c>
      <c r="E56" s="1" t="s">
        <v>457</v>
      </c>
      <c r="F56" s="1" t="s">
        <v>458</v>
      </c>
      <c r="G56" s="1" t="s">
        <v>459</v>
      </c>
      <c r="H56" s="1" t="s">
        <v>460</v>
      </c>
      <c r="I56" s="1" t="s">
        <v>461</v>
      </c>
      <c r="J56" s="1" t="s">
        <v>401</v>
      </c>
      <c r="K56" s="1" t="s">
        <v>260</v>
      </c>
      <c r="L56" s="1" t="s">
        <v>383</v>
      </c>
      <c r="M56" s="1" t="s">
        <v>98</v>
      </c>
      <c r="N56" s="1" t="s">
        <v>462</v>
      </c>
      <c r="O56" s="1" t="s">
        <v>463</v>
      </c>
      <c r="P56" s="1" t="s">
        <v>464</v>
      </c>
      <c r="Q56" s="1" t="s">
        <v>465</v>
      </c>
      <c r="R56" s="1" t="s">
        <v>96</v>
      </c>
      <c r="S56" s="1" t="s">
        <v>466</v>
      </c>
      <c r="T56" s="1" t="s">
        <v>467</v>
      </c>
      <c r="U56" s="1" t="s">
        <v>468</v>
      </c>
      <c r="V56" s="1" t="s">
        <v>137</v>
      </c>
      <c r="W56" s="1" t="s">
        <v>458</v>
      </c>
      <c r="X56" s="1" t="s">
        <v>121</v>
      </c>
      <c r="Y56" s="1" t="s">
        <v>149</v>
      </c>
      <c r="Z56" s="1">
        <v>1.0</v>
      </c>
    </row>
    <row r="57">
      <c r="A57" s="1" t="s">
        <v>469</v>
      </c>
      <c r="B57" s="1" t="s">
        <v>27</v>
      </c>
      <c r="C57" s="1" t="s">
        <v>470</v>
      </c>
      <c r="D57" s="1">
        <v>175.0</v>
      </c>
      <c r="E57" s="1">
        <v>79.0</v>
      </c>
      <c r="F57" s="1">
        <v>74.0</v>
      </c>
      <c r="G57" s="1">
        <v>84.0</v>
      </c>
      <c r="H57" s="1">
        <v>46.0</v>
      </c>
      <c r="I57" s="1">
        <v>25.0</v>
      </c>
      <c r="J57" s="1">
        <v>89.0</v>
      </c>
      <c r="K57" s="1">
        <v>99.0</v>
      </c>
      <c r="L57" s="1">
        <v>76.0</v>
      </c>
      <c r="M57" s="1">
        <v>82.0</v>
      </c>
      <c r="N57" s="1">
        <v>81.0</v>
      </c>
      <c r="O57" s="1">
        <v>80.0</v>
      </c>
      <c r="P57" s="1">
        <v>49.0</v>
      </c>
      <c r="Q57" s="1">
        <v>70.0</v>
      </c>
      <c r="R57" s="1">
        <v>90.0</v>
      </c>
      <c r="S57" s="1">
        <v>41.0</v>
      </c>
      <c r="T57" s="1">
        <v>25.0</v>
      </c>
      <c r="U57" s="1">
        <v>36.0</v>
      </c>
      <c r="V57" s="1">
        <v>82.0</v>
      </c>
      <c r="W57" s="1">
        <v>75.0</v>
      </c>
      <c r="X57" s="1">
        <v>45.0</v>
      </c>
      <c r="Y57" s="1">
        <v>75.0</v>
      </c>
      <c r="Z57" s="1">
        <v>1.0</v>
      </c>
    </row>
    <row r="58">
      <c r="A58" s="1" t="s">
        <v>471</v>
      </c>
      <c r="B58" s="1" t="s">
        <v>27</v>
      </c>
      <c r="C58" s="1" t="s">
        <v>422</v>
      </c>
      <c r="D58" s="1" t="s">
        <v>472</v>
      </c>
      <c r="E58" s="1" t="s">
        <v>473</v>
      </c>
      <c r="F58" s="1" t="s">
        <v>271</v>
      </c>
      <c r="G58" s="1" t="s">
        <v>129</v>
      </c>
      <c r="H58" s="1" t="s">
        <v>474</v>
      </c>
      <c r="I58" s="1" t="s">
        <v>475</v>
      </c>
      <c r="J58" s="1" t="s">
        <v>476</v>
      </c>
      <c r="K58" s="1" t="s">
        <v>477</v>
      </c>
      <c r="L58" s="1" t="s">
        <v>478</v>
      </c>
      <c r="M58" s="1" t="s">
        <v>479</v>
      </c>
      <c r="N58" s="1" t="s">
        <v>480</v>
      </c>
      <c r="O58" s="1" t="s">
        <v>154</v>
      </c>
      <c r="P58" s="1" t="s">
        <v>481</v>
      </c>
      <c r="Q58" s="1" t="s">
        <v>52</v>
      </c>
      <c r="R58" s="1" t="s">
        <v>82</v>
      </c>
      <c r="S58" s="1" t="s">
        <v>482</v>
      </c>
      <c r="T58" s="1" t="s">
        <v>483</v>
      </c>
      <c r="U58" s="1" t="s">
        <v>484</v>
      </c>
      <c r="V58" s="1" t="s">
        <v>485</v>
      </c>
      <c r="W58" s="1" t="s">
        <v>253</v>
      </c>
      <c r="X58" s="1" t="s">
        <v>486</v>
      </c>
      <c r="Y58" s="1" t="s">
        <v>487</v>
      </c>
      <c r="Z58" s="1">
        <v>1.0</v>
      </c>
    </row>
    <row r="59">
      <c r="A59" s="1" t="s">
        <v>488</v>
      </c>
      <c r="B59" s="1" t="s">
        <v>27</v>
      </c>
      <c r="C59" s="1" t="s">
        <v>50</v>
      </c>
      <c r="D59" s="1" t="s">
        <v>489</v>
      </c>
      <c r="E59" s="1" t="s">
        <v>490</v>
      </c>
      <c r="F59" s="1" t="s">
        <v>157</v>
      </c>
      <c r="G59" s="1" t="s">
        <v>60</v>
      </c>
      <c r="H59" s="1" t="s">
        <v>491</v>
      </c>
      <c r="I59" s="1" t="s">
        <v>492</v>
      </c>
      <c r="J59" s="1" t="s">
        <v>493</v>
      </c>
      <c r="K59" s="1" t="s">
        <v>96</v>
      </c>
      <c r="L59" s="1" t="s">
        <v>494</v>
      </c>
      <c r="M59" s="1" t="s">
        <v>398</v>
      </c>
      <c r="N59" s="1" t="s">
        <v>495</v>
      </c>
      <c r="O59" s="1" t="s">
        <v>122</v>
      </c>
      <c r="P59" s="1" t="s">
        <v>334</v>
      </c>
      <c r="Q59" s="1" t="s">
        <v>91</v>
      </c>
      <c r="R59" s="1" t="s">
        <v>35</v>
      </c>
      <c r="S59" s="1" t="s">
        <v>65</v>
      </c>
      <c r="T59" s="1" t="s">
        <v>496</v>
      </c>
      <c r="U59" s="1" t="s">
        <v>365</v>
      </c>
      <c r="V59" s="1" t="s">
        <v>122</v>
      </c>
      <c r="W59" s="1" t="s">
        <v>497</v>
      </c>
      <c r="X59" s="1" t="s">
        <v>223</v>
      </c>
      <c r="Y59" s="1" t="s">
        <v>498</v>
      </c>
      <c r="Z59" s="1">
        <v>1.0</v>
      </c>
    </row>
    <row r="60">
      <c r="A60" s="1" t="s">
        <v>499</v>
      </c>
      <c r="B60" s="1" t="s">
        <v>27</v>
      </c>
      <c r="C60" s="1" t="s">
        <v>168</v>
      </c>
      <c r="D60" s="1">
        <v>215.0</v>
      </c>
      <c r="E60" s="1">
        <v>80.0</v>
      </c>
      <c r="F60" s="1">
        <v>81.0</v>
      </c>
      <c r="G60" s="1">
        <v>80.0</v>
      </c>
      <c r="H60" s="1">
        <v>62.0</v>
      </c>
      <c r="I60" s="1">
        <v>46.0</v>
      </c>
      <c r="J60" s="1">
        <v>82.0</v>
      </c>
      <c r="K60" s="1">
        <v>85.0</v>
      </c>
      <c r="L60" s="1">
        <v>79.0</v>
      </c>
      <c r="M60" s="1">
        <v>80.0</v>
      </c>
      <c r="N60" s="1">
        <v>82.0</v>
      </c>
      <c r="O60" s="1">
        <v>80.0</v>
      </c>
      <c r="P60" s="1">
        <v>54.0</v>
      </c>
      <c r="Q60" s="1">
        <v>78.0</v>
      </c>
      <c r="R60" s="1">
        <v>91.0</v>
      </c>
      <c r="S60" s="1">
        <v>44.0</v>
      </c>
      <c r="T60" s="1">
        <v>52.0</v>
      </c>
      <c r="U60" s="1">
        <v>60.0</v>
      </c>
      <c r="V60" s="1">
        <v>95.0</v>
      </c>
      <c r="W60" s="1">
        <v>81.0</v>
      </c>
      <c r="X60" s="1">
        <v>80.0</v>
      </c>
      <c r="Y60" s="1">
        <v>80.0</v>
      </c>
      <c r="Z60" s="1">
        <v>1.0</v>
      </c>
    </row>
    <row r="61">
      <c r="A61" s="1" t="s">
        <v>500</v>
      </c>
      <c r="B61" s="1" t="s">
        <v>27</v>
      </c>
      <c r="C61" s="1" t="s">
        <v>125</v>
      </c>
      <c r="D61" s="1" t="s">
        <v>501</v>
      </c>
      <c r="E61" s="1" t="s">
        <v>428</v>
      </c>
      <c r="F61" s="1" t="s">
        <v>502</v>
      </c>
      <c r="G61" s="1" t="s">
        <v>129</v>
      </c>
      <c r="H61" s="1" t="s">
        <v>474</v>
      </c>
      <c r="I61" s="1" t="s">
        <v>474</v>
      </c>
      <c r="J61" s="1" t="s">
        <v>96</v>
      </c>
      <c r="K61" s="1" t="s">
        <v>503</v>
      </c>
      <c r="L61" s="1" t="s">
        <v>444</v>
      </c>
      <c r="M61" s="1" t="s">
        <v>110</v>
      </c>
      <c r="N61" s="1" t="s">
        <v>36</v>
      </c>
      <c r="O61" s="1" t="s">
        <v>82</v>
      </c>
      <c r="P61" s="1" t="s">
        <v>283</v>
      </c>
      <c r="Q61" s="1" t="s">
        <v>504</v>
      </c>
      <c r="R61" s="1" t="s">
        <v>96</v>
      </c>
      <c r="S61" s="1" t="s">
        <v>505</v>
      </c>
      <c r="T61" s="1" t="s">
        <v>141</v>
      </c>
      <c r="U61" s="1" t="s">
        <v>506</v>
      </c>
      <c r="V61" s="1" t="s">
        <v>35</v>
      </c>
      <c r="W61" s="1" t="s">
        <v>507</v>
      </c>
      <c r="X61" s="1" t="s">
        <v>508</v>
      </c>
      <c r="Y61" s="1" t="s">
        <v>509</v>
      </c>
      <c r="Z61" s="1">
        <v>1.0</v>
      </c>
    </row>
    <row r="62">
      <c r="A62" s="1" t="s">
        <v>510</v>
      </c>
      <c r="B62" s="1" t="s">
        <v>27</v>
      </c>
      <c r="C62" s="1" t="s">
        <v>145</v>
      </c>
      <c r="D62" s="1">
        <v>205.0</v>
      </c>
      <c r="E62" s="1">
        <v>75.0</v>
      </c>
      <c r="F62" s="1">
        <v>75.0</v>
      </c>
      <c r="G62" s="1">
        <v>80.0</v>
      </c>
      <c r="H62" s="1">
        <v>35.0</v>
      </c>
      <c r="I62" s="1">
        <v>50.0</v>
      </c>
      <c r="J62" s="1">
        <v>90.0</v>
      </c>
      <c r="K62" s="1">
        <v>83.0</v>
      </c>
      <c r="L62" s="1">
        <v>74.0</v>
      </c>
      <c r="M62" s="1">
        <v>75.0</v>
      </c>
      <c r="N62" s="1">
        <v>90.0</v>
      </c>
      <c r="O62" s="1">
        <v>85.0</v>
      </c>
      <c r="P62" s="1">
        <v>55.0</v>
      </c>
      <c r="Q62" s="1">
        <v>83.0</v>
      </c>
      <c r="R62" s="1">
        <v>90.0</v>
      </c>
      <c r="S62" s="1">
        <v>37.0</v>
      </c>
      <c r="T62" s="1">
        <v>27.0</v>
      </c>
      <c r="U62" s="1">
        <v>43.0</v>
      </c>
      <c r="V62" s="1">
        <v>90.0</v>
      </c>
      <c r="W62" s="1">
        <v>80.0</v>
      </c>
      <c r="X62" s="1">
        <v>50.0</v>
      </c>
      <c r="Y62" s="1">
        <v>60.0</v>
      </c>
      <c r="Z62" s="1">
        <v>1.0</v>
      </c>
    </row>
    <row r="63">
      <c r="A63" s="1" t="s">
        <v>511</v>
      </c>
      <c r="B63" s="1" t="s">
        <v>27</v>
      </c>
      <c r="C63" s="1" t="s">
        <v>512</v>
      </c>
      <c r="D63" s="1" t="s">
        <v>513</v>
      </c>
      <c r="E63" s="1" t="s">
        <v>514</v>
      </c>
      <c r="F63" s="1" t="s">
        <v>190</v>
      </c>
      <c r="G63" s="1" t="s">
        <v>396</v>
      </c>
      <c r="H63" s="1" t="s">
        <v>515</v>
      </c>
      <c r="I63" s="1" t="s">
        <v>516</v>
      </c>
      <c r="J63" s="1" t="s">
        <v>517</v>
      </c>
      <c r="K63" s="1" t="s">
        <v>205</v>
      </c>
      <c r="L63" s="1" t="s">
        <v>518</v>
      </c>
      <c r="M63" s="1" t="s">
        <v>519</v>
      </c>
      <c r="N63" s="1" t="s">
        <v>128</v>
      </c>
      <c r="O63" s="1" t="s">
        <v>520</v>
      </c>
      <c r="P63" s="1" t="s">
        <v>521</v>
      </c>
      <c r="Q63" s="1" t="s">
        <v>205</v>
      </c>
      <c r="R63" s="1" t="s">
        <v>82</v>
      </c>
      <c r="S63" s="1" t="s">
        <v>522</v>
      </c>
      <c r="T63" s="1" t="s">
        <v>523</v>
      </c>
      <c r="U63" s="1" t="s">
        <v>524</v>
      </c>
      <c r="V63" s="1" t="s">
        <v>179</v>
      </c>
      <c r="W63" s="1" t="s">
        <v>525</v>
      </c>
      <c r="X63" s="1" t="s">
        <v>526</v>
      </c>
      <c r="Y63" s="1" t="s">
        <v>300</v>
      </c>
      <c r="Z63" s="1">
        <v>1.0</v>
      </c>
    </row>
    <row r="64">
      <c r="A64" s="1" t="s">
        <v>527</v>
      </c>
      <c r="B64" s="1" t="s">
        <v>27</v>
      </c>
      <c r="C64" s="1" t="s">
        <v>192</v>
      </c>
      <c r="D64" s="1">
        <v>180.0</v>
      </c>
      <c r="E64" s="1">
        <v>77.0</v>
      </c>
      <c r="F64" s="1">
        <v>77.0</v>
      </c>
      <c r="G64" s="1">
        <v>84.0</v>
      </c>
      <c r="H64" s="1">
        <v>34.0</v>
      </c>
      <c r="I64" s="1">
        <v>46.0</v>
      </c>
      <c r="J64" s="1">
        <v>92.0</v>
      </c>
      <c r="K64" s="1">
        <v>83.0</v>
      </c>
      <c r="L64" s="1">
        <v>70.0</v>
      </c>
      <c r="M64" s="1">
        <v>74.0</v>
      </c>
      <c r="N64" s="1">
        <v>86.0</v>
      </c>
      <c r="O64" s="1">
        <v>80.0</v>
      </c>
      <c r="P64" s="1">
        <v>50.0</v>
      </c>
      <c r="Q64" s="1">
        <v>84.0</v>
      </c>
      <c r="R64" s="1">
        <v>85.0</v>
      </c>
      <c r="S64" s="1">
        <v>68.0</v>
      </c>
      <c r="T64" s="1">
        <v>26.0</v>
      </c>
      <c r="U64" s="1">
        <v>46.0</v>
      </c>
      <c r="V64" s="1">
        <v>85.0</v>
      </c>
      <c r="W64" s="1">
        <v>80.0</v>
      </c>
      <c r="X64" s="1">
        <v>50.0</v>
      </c>
      <c r="Y64" s="1">
        <v>77.0</v>
      </c>
      <c r="Z64" s="1">
        <v>1.0</v>
      </c>
    </row>
    <row r="65">
      <c r="A65" s="1" t="s">
        <v>528</v>
      </c>
      <c r="B65" s="1" t="s">
        <v>27</v>
      </c>
      <c r="C65" s="1" t="s">
        <v>408</v>
      </c>
      <c r="D65" s="1" t="s">
        <v>529</v>
      </c>
      <c r="E65" s="1" t="s">
        <v>530</v>
      </c>
      <c r="F65" s="1" t="s">
        <v>531</v>
      </c>
      <c r="G65" s="1" t="s">
        <v>532</v>
      </c>
      <c r="H65" s="1" t="s">
        <v>533</v>
      </c>
      <c r="I65" s="1" t="s">
        <v>534</v>
      </c>
      <c r="J65" s="1" t="s">
        <v>535</v>
      </c>
      <c r="K65" s="1" t="s">
        <v>536</v>
      </c>
      <c r="L65" s="1" t="s">
        <v>77</v>
      </c>
      <c r="M65" s="1" t="s">
        <v>462</v>
      </c>
      <c r="N65" s="1" t="s">
        <v>78</v>
      </c>
      <c r="O65" s="1" t="s">
        <v>187</v>
      </c>
      <c r="P65" s="1" t="s">
        <v>537</v>
      </c>
      <c r="Q65" s="1" t="s">
        <v>465</v>
      </c>
      <c r="R65" s="1" t="s">
        <v>538</v>
      </c>
      <c r="S65" s="1" t="s">
        <v>539</v>
      </c>
      <c r="T65" s="1" t="s">
        <v>467</v>
      </c>
      <c r="U65" s="1" t="s">
        <v>81</v>
      </c>
      <c r="V65" s="1" t="s">
        <v>234</v>
      </c>
      <c r="W65" s="1" t="s">
        <v>435</v>
      </c>
      <c r="X65" s="1" t="s">
        <v>334</v>
      </c>
      <c r="Y65" s="1" t="s">
        <v>540</v>
      </c>
      <c r="Z65" s="1">
        <v>1.0</v>
      </c>
    </row>
    <row r="66">
      <c r="A66" s="1" t="s">
        <v>541</v>
      </c>
      <c r="B66" s="1" t="s">
        <v>27</v>
      </c>
      <c r="C66" s="1" t="s">
        <v>145</v>
      </c>
      <c r="D66" s="1">
        <v>200.0</v>
      </c>
      <c r="E66" s="1">
        <v>72.0</v>
      </c>
      <c r="F66" s="1">
        <v>87.0</v>
      </c>
      <c r="G66" s="1">
        <v>90.0</v>
      </c>
      <c r="H66" s="1">
        <v>40.0</v>
      </c>
      <c r="I66" s="1">
        <v>40.0</v>
      </c>
      <c r="J66" s="1">
        <v>78.0</v>
      </c>
      <c r="K66" s="1">
        <v>83.0</v>
      </c>
      <c r="L66" s="1">
        <v>58.0</v>
      </c>
      <c r="M66" s="1">
        <v>90.0</v>
      </c>
      <c r="N66" s="1">
        <v>85.0</v>
      </c>
      <c r="O66" s="1">
        <v>85.0</v>
      </c>
      <c r="P66" s="1">
        <v>52.0</v>
      </c>
      <c r="Q66" s="1">
        <v>63.0</v>
      </c>
      <c r="R66" s="1">
        <v>87.0</v>
      </c>
      <c r="S66" s="1">
        <v>35.0</v>
      </c>
      <c r="T66" s="1">
        <v>25.0</v>
      </c>
      <c r="U66" s="1">
        <v>45.0</v>
      </c>
      <c r="V66" s="1">
        <v>88.0</v>
      </c>
      <c r="W66" s="1">
        <v>85.0</v>
      </c>
      <c r="X66" s="1">
        <v>52.0</v>
      </c>
      <c r="Y66" s="1">
        <v>80.0</v>
      </c>
      <c r="Z66" s="1">
        <v>1.0</v>
      </c>
    </row>
    <row r="67">
      <c r="A67" s="1" t="s">
        <v>542</v>
      </c>
      <c r="B67" s="1" t="s">
        <v>27</v>
      </c>
      <c r="C67" s="1" t="s">
        <v>470</v>
      </c>
      <c r="D67" s="1">
        <v>193.0</v>
      </c>
      <c r="E67" s="1">
        <v>84.0</v>
      </c>
      <c r="F67" s="1">
        <v>65.0</v>
      </c>
      <c r="G67" s="1">
        <v>48.0</v>
      </c>
      <c r="H67" s="1">
        <v>37.0</v>
      </c>
      <c r="I67" s="1">
        <v>40.0</v>
      </c>
      <c r="J67" s="1">
        <v>99.0</v>
      </c>
      <c r="K67" s="1">
        <v>99.0</v>
      </c>
      <c r="L67" s="1">
        <v>88.0</v>
      </c>
      <c r="M67" s="1">
        <v>60.0</v>
      </c>
      <c r="N67" s="1">
        <v>80.0</v>
      </c>
      <c r="O67" s="1">
        <v>70.0</v>
      </c>
      <c r="P67" s="1">
        <v>66.0</v>
      </c>
      <c r="Q67" s="1">
        <v>73.0</v>
      </c>
      <c r="R67" s="1">
        <v>85.0</v>
      </c>
      <c r="S67" s="1">
        <v>58.0</v>
      </c>
      <c r="T67" s="1">
        <v>30.0</v>
      </c>
      <c r="U67" s="1">
        <v>46.0</v>
      </c>
      <c r="V67" s="1">
        <v>70.0</v>
      </c>
      <c r="W67" s="1">
        <v>63.0</v>
      </c>
      <c r="X67" s="1">
        <v>51.0</v>
      </c>
      <c r="Y67" s="1">
        <v>75.0</v>
      </c>
      <c r="Z67" s="1">
        <v>1.0</v>
      </c>
    </row>
    <row r="68">
      <c r="A68" s="1" t="s">
        <v>543</v>
      </c>
      <c r="B68" s="1" t="s">
        <v>27</v>
      </c>
      <c r="C68" s="1" t="s">
        <v>192</v>
      </c>
      <c r="D68" s="1">
        <v>182.0</v>
      </c>
      <c r="E68" s="1">
        <v>70.0</v>
      </c>
      <c r="F68" s="1">
        <v>72.0</v>
      </c>
      <c r="G68" s="1">
        <v>84.0</v>
      </c>
      <c r="H68" s="1">
        <v>46.0</v>
      </c>
      <c r="I68" s="1">
        <v>47.0</v>
      </c>
      <c r="J68" s="1">
        <v>74.0</v>
      </c>
      <c r="K68" s="1">
        <v>77.0</v>
      </c>
      <c r="L68" s="1">
        <v>73.0</v>
      </c>
      <c r="M68" s="1">
        <v>77.0</v>
      </c>
      <c r="N68" s="1">
        <v>86.0</v>
      </c>
      <c r="O68" s="1">
        <v>70.0</v>
      </c>
      <c r="P68" s="1">
        <v>54.0</v>
      </c>
      <c r="Q68" s="1">
        <v>72.0</v>
      </c>
      <c r="R68" s="1">
        <v>86.0</v>
      </c>
      <c r="S68" s="1">
        <v>74.0</v>
      </c>
      <c r="T68" s="1">
        <v>66.0</v>
      </c>
      <c r="U68" s="1">
        <v>73.0</v>
      </c>
      <c r="V68" s="1">
        <v>91.0</v>
      </c>
      <c r="W68" s="1">
        <v>83.0</v>
      </c>
      <c r="X68" s="1">
        <v>75.0</v>
      </c>
      <c r="Y68" s="1">
        <v>90.0</v>
      </c>
      <c r="Z68" s="1">
        <v>1.0</v>
      </c>
    </row>
    <row r="69">
      <c r="A69" s="1" t="s">
        <v>544</v>
      </c>
      <c r="B69" s="1" t="s">
        <v>27</v>
      </c>
      <c r="C69" s="1" t="s">
        <v>192</v>
      </c>
      <c r="D69" s="1">
        <v>207.0</v>
      </c>
      <c r="E69" s="1">
        <v>75.0</v>
      </c>
      <c r="F69" s="1">
        <v>85.0</v>
      </c>
      <c r="G69" s="1">
        <v>87.0</v>
      </c>
      <c r="H69" s="1">
        <v>85.0</v>
      </c>
      <c r="I69" s="1">
        <v>50.0</v>
      </c>
      <c r="J69" s="1">
        <v>73.0</v>
      </c>
      <c r="K69" s="1">
        <v>83.0</v>
      </c>
      <c r="L69" s="1">
        <v>79.0</v>
      </c>
      <c r="M69" s="1">
        <v>85.0</v>
      </c>
      <c r="N69" s="1">
        <v>90.0</v>
      </c>
      <c r="O69" s="1">
        <v>80.0</v>
      </c>
      <c r="P69" s="1">
        <v>65.0</v>
      </c>
      <c r="Q69" s="1">
        <v>74.0</v>
      </c>
      <c r="R69" s="1">
        <v>73.0</v>
      </c>
      <c r="S69" s="1">
        <v>35.0</v>
      </c>
      <c r="T69" s="1">
        <v>60.0</v>
      </c>
      <c r="U69" s="1">
        <v>60.0</v>
      </c>
      <c r="V69" s="1">
        <v>81.0</v>
      </c>
      <c r="W69" s="1">
        <v>77.0</v>
      </c>
      <c r="X69" s="1">
        <v>73.0</v>
      </c>
      <c r="Y69" s="1">
        <v>75.0</v>
      </c>
      <c r="Z69" s="1">
        <v>1.0</v>
      </c>
    </row>
    <row r="70">
      <c r="A70" s="1" t="s">
        <v>545</v>
      </c>
      <c r="B70" s="1" t="s">
        <v>27</v>
      </c>
      <c r="C70" s="1" t="s">
        <v>168</v>
      </c>
      <c r="D70" s="1">
        <v>215.0</v>
      </c>
      <c r="E70" s="1">
        <v>77.0</v>
      </c>
      <c r="F70" s="1">
        <v>88.0</v>
      </c>
      <c r="G70" s="1">
        <v>91.0</v>
      </c>
      <c r="H70" s="1">
        <v>59.0</v>
      </c>
      <c r="I70" s="1">
        <v>52.0</v>
      </c>
      <c r="J70" s="1">
        <v>73.0</v>
      </c>
      <c r="K70" s="1">
        <v>83.0</v>
      </c>
      <c r="L70" s="1">
        <v>95.0</v>
      </c>
      <c r="M70" s="1">
        <v>82.0</v>
      </c>
      <c r="N70" s="1">
        <v>90.0</v>
      </c>
      <c r="O70" s="1">
        <v>87.0</v>
      </c>
      <c r="P70" s="1">
        <v>50.0</v>
      </c>
      <c r="Q70" s="1">
        <v>65.0</v>
      </c>
      <c r="R70" s="1">
        <v>80.0</v>
      </c>
      <c r="S70" s="1">
        <v>35.0</v>
      </c>
      <c r="T70" s="1">
        <v>31.0</v>
      </c>
      <c r="U70" s="1">
        <v>47.0</v>
      </c>
      <c r="V70" s="1">
        <v>93.0</v>
      </c>
      <c r="W70" s="1">
        <v>80.0</v>
      </c>
      <c r="X70" s="1">
        <v>79.0</v>
      </c>
      <c r="Y70" s="1">
        <v>80.0</v>
      </c>
      <c r="Z70" s="1">
        <v>1.0</v>
      </c>
    </row>
    <row r="71">
      <c r="A71" s="1" t="s">
        <v>546</v>
      </c>
      <c r="B71" s="1" t="s">
        <v>27</v>
      </c>
      <c r="C71" s="1" t="s">
        <v>28</v>
      </c>
      <c r="D71" s="1" t="s">
        <v>547</v>
      </c>
      <c r="E71" s="1" t="s">
        <v>199</v>
      </c>
      <c r="F71" s="1" t="s">
        <v>548</v>
      </c>
      <c r="G71" s="1" t="s">
        <v>549</v>
      </c>
      <c r="H71" s="1" t="s">
        <v>550</v>
      </c>
      <c r="I71" s="1" t="s">
        <v>551</v>
      </c>
      <c r="J71" s="1" t="s">
        <v>552</v>
      </c>
      <c r="K71" s="1" t="s">
        <v>205</v>
      </c>
      <c r="L71" s="1" t="s">
        <v>178</v>
      </c>
      <c r="M71" s="1" t="s">
        <v>490</v>
      </c>
      <c r="N71" s="1" t="s">
        <v>208</v>
      </c>
      <c r="O71" s="1" t="s">
        <v>553</v>
      </c>
      <c r="P71" s="1" t="s">
        <v>554</v>
      </c>
      <c r="Q71" s="1" t="s">
        <v>48</v>
      </c>
      <c r="R71" s="1" t="s">
        <v>64</v>
      </c>
      <c r="S71" s="1" t="s">
        <v>555</v>
      </c>
      <c r="T71" s="1" t="s">
        <v>245</v>
      </c>
      <c r="U71" s="1" t="s">
        <v>40</v>
      </c>
      <c r="V71" s="1" t="s">
        <v>35</v>
      </c>
      <c r="W71" s="1" t="s">
        <v>32</v>
      </c>
      <c r="X71" s="1" t="s">
        <v>556</v>
      </c>
      <c r="Y71" s="1" t="s">
        <v>32</v>
      </c>
      <c r="Z71" s="1">
        <v>1.0</v>
      </c>
    </row>
    <row r="72">
      <c r="A72" s="1" t="s">
        <v>557</v>
      </c>
      <c r="B72" s="1" t="s">
        <v>27</v>
      </c>
      <c r="C72" s="1" t="s">
        <v>470</v>
      </c>
      <c r="D72" s="1">
        <v>175.0</v>
      </c>
      <c r="E72" s="1">
        <v>74.0</v>
      </c>
      <c r="F72" s="1">
        <v>85.0</v>
      </c>
      <c r="G72" s="1">
        <v>25.0</v>
      </c>
      <c r="H72" s="1">
        <v>28.0</v>
      </c>
      <c r="I72" s="1">
        <v>30.0</v>
      </c>
      <c r="J72" s="1">
        <v>89.0</v>
      </c>
      <c r="K72" s="1">
        <v>99.0</v>
      </c>
      <c r="L72" s="1">
        <v>78.0</v>
      </c>
      <c r="M72" s="1">
        <v>76.0</v>
      </c>
      <c r="N72" s="1">
        <v>90.0</v>
      </c>
      <c r="O72" s="1">
        <v>86.0</v>
      </c>
      <c r="P72" s="1">
        <v>25.0</v>
      </c>
      <c r="Q72" s="1">
        <v>74.0</v>
      </c>
      <c r="R72" s="1">
        <v>60.0</v>
      </c>
      <c r="S72" s="1">
        <v>25.0</v>
      </c>
      <c r="T72" s="1">
        <v>25.0</v>
      </c>
      <c r="U72" s="1">
        <v>35.0</v>
      </c>
      <c r="V72" s="1">
        <v>86.0</v>
      </c>
      <c r="W72" s="1">
        <v>76.0</v>
      </c>
      <c r="X72" s="1">
        <v>35.0</v>
      </c>
      <c r="Y72" s="1">
        <v>56.0</v>
      </c>
      <c r="Z72" s="1">
        <v>1.0</v>
      </c>
    </row>
    <row r="73">
      <c r="A73" s="1" t="s">
        <v>558</v>
      </c>
      <c r="B73" s="1" t="s">
        <v>27</v>
      </c>
      <c r="C73" s="1" t="s">
        <v>216</v>
      </c>
      <c r="D73" s="1">
        <v>203.0</v>
      </c>
      <c r="E73" s="1">
        <v>67.0</v>
      </c>
      <c r="F73" s="1">
        <v>75.0</v>
      </c>
      <c r="G73" s="1">
        <v>77.0</v>
      </c>
      <c r="H73" s="1">
        <v>38.0</v>
      </c>
      <c r="I73" s="1">
        <v>30.0</v>
      </c>
      <c r="J73" s="1">
        <v>80.0</v>
      </c>
      <c r="K73" s="1">
        <v>90.0</v>
      </c>
      <c r="L73" s="1">
        <v>81.0</v>
      </c>
      <c r="M73" s="1">
        <v>77.0</v>
      </c>
      <c r="N73" s="1">
        <v>80.0</v>
      </c>
      <c r="O73" s="1">
        <v>81.0</v>
      </c>
      <c r="P73" s="1">
        <v>67.0</v>
      </c>
      <c r="Q73" s="1">
        <v>82.0</v>
      </c>
      <c r="R73" s="1">
        <v>52.0</v>
      </c>
      <c r="S73" s="1">
        <v>43.0</v>
      </c>
      <c r="T73" s="1">
        <v>72.0</v>
      </c>
      <c r="U73" s="1">
        <v>74.0</v>
      </c>
      <c r="V73" s="1">
        <v>96.0</v>
      </c>
      <c r="W73" s="1">
        <v>81.0</v>
      </c>
      <c r="X73" s="1">
        <v>47.0</v>
      </c>
      <c r="Y73" s="1">
        <v>88.0</v>
      </c>
      <c r="Z73" s="1">
        <v>1.0</v>
      </c>
    </row>
    <row r="74">
      <c r="A74" s="1" t="s">
        <v>559</v>
      </c>
      <c r="B74" s="1" t="s">
        <v>27</v>
      </c>
      <c r="C74" s="1" t="s">
        <v>145</v>
      </c>
      <c r="D74" s="1">
        <v>223.0</v>
      </c>
      <c r="E74" s="1">
        <v>72.0</v>
      </c>
      <c r="F74" s="1">
        <v>58.0</v>
      </c>
      <c r="G74" s="1">
        <v>65.0</v>
      </c>
      <c r="H74" s="1">
        <v>50.0</v>
      </c>
      <c r="I74" s="1">
        <v>47.0</v>
      </c>
      <c r="J74" s="1">
        <v>73.0</v>
      </c>
      <c r="K74" s="1">
        <v>83.0</v>
      </c>
      <c r="L74" s="1">
        <v>58.0</v>
      </c>
      <c r="M74" s="1">
        <v>67.0</v>
      </c>
      <c r="N74" s="1">
        <v>72.0</v>
      </c>
      <c r="O74" s="1">
        <v>77.0</v>
      </c>
      <c r="P74" s="1">
        <v>70.0</v>
      </c>
      <c r="Q74" s="1">
        <v>95.0</v>
      </c>
      <c r="R74" s="1">
        <v>91.0</v>
      </c>
      <c r="S74" s="1">
        <v>75.0</v>
      </c>
      <c r="T74" s="1">
        <v>35.0</v>
      </c>
      <c r="U74" s="1">
        <v>60.0</v>
      </c>
      <c r="V74" s="1">
        <v>92.0</v>
      </c>
      <c r="W74" s="1">
        <v>88.0</v>
      </c>
      <c r="X74" s="1">
        <v>80.0</v>
      </c>
      <c r="Y74" s="1">
        <v>77.0</v>
      </c>
      <c r="Z74" s="1">
        <v>1.0</v>
      </c>
    </row>
    <row r="75">
      <c r="A75" s="1" t="s">
        <v>560</v>
      </c>
      <c r="B75" s="1" t="s">
        <v>27</v>
      </c>
      <c r="C75" s="1" t="s">
        <v>168</v>
      </c>
      <c r="D75" s="1">
        <v>200.0</v>
      </c>
      <c r="E75" s="1">
        <v>85.0</v>
      </c>
      <c r="F75" s="1">
        <v>88.0</v>
      </c>
      <c r="G75" s="1">
        <v>70.0</v>
      </c>
      <c r="H75" s="1">
        <v>45.0</v>
      </c>
      <c r="I75" s="1">
        <v>65.0</v>
      </c>
      <c r="J75" s="1">
        <v>90.0</v>
      </c>
      <c r="K75" s="1">
        <v>89.0</v>
      </c>
      <c r="L75" s="1">
        <v>79.0</v>
      </c>
      <c r="M75" s="1">
        <v>83.0</v>
      </c>
      <c r="N75" s="1">
        <v>81.0</v>
      </c>
      <c r="O75" s="1">
        <v>82.0</v>
      </c>
      <c r="P75" s="1">
        <v>61.0</v>
      </c>
      <c r="Q75" s="1">
        <v>81.0</v>
      </c>
      <c r="R75" s="1">
        <v>80.0</v>
      </c>
      <c r="S75" s="1">
        <v>64.0</v>
      </c>
      <c r="T75" s="1">
        <v>66.0</v>
      </c>
      <c r="U75" s="1">
        <v>71.0</v>
      </c>
      <c r="V75" s="1">
        <v>84.0</v>
      </c>
      <c r="W75" s="1">
        <v>81.0</v>
      </c>
      <c r="X75" s="1">
        <v>65.0</v>
      </c>
      <c r="Y75" s="1">
        <v>70.0</v>
      </c>
      <c r="Z75" s="1">
        <v>1.0</v>
      </c>
    </row>
    <row r="76">
      <c r="A76" s="1" t="s">
        <v>561</v>
      </c>
      <c r="B76" s="1" t="s">
        <v>27</v>
      </c>
      <c r="C76" s="1" t="s">
        <v>192</v>
      </c>
      <c r="D76" s="1">
        <v>206.0</v>
      </c>
      <c r="E76" s="1">
        <v>81.0</v>
      </c>
      <c r="F76" s="1">
        <v>88.0</v>
      </c>
      <c r="G76" s="1">
        <v>90.0</v>
      </c>
      <c r="H76" s="1">
        <v>81.0</v>
      </c>
      <c r="I76" s="1">
        <v>46.0</v>
      </c>
      <c r="J76" s="1">
        <v>80.0</v>
      </c>
      <c r="K76" s="1">
        <v>90.0</v>
      </c>
      <c r="L76" s="1">
        <v>75.0</v>
      </c>
      <c r="M76" s="1">
        <v>85.0</v>
      </c>
      <c r="N76" s="1">
        <v>86.0</v>
      </c>
      <c r="O76" s="1">
        <v>81.0</v>
      </c>
      <c r="P76" s="1">
        <v>49.0</v>
      </c>
      <c r="Q76" s="1">
        <v>55.0</v>
      </c>
      <c r="R76" s="1">
        <v>60.0</v>
      </c>
      <c r="S76" s="1">
        <v>68.0</v>
      </c>
      <c r="T76" s="1">
        <v>32.0</v>
      </c>
      <c r="U76" s="1">
        <v>43.0</v>
      </c>
      <c r="V76" s="1">
        <v>84.0</v>
      </c>
      <c r="W76" s="1">
        <v>74.0</v>
      </c>
      <c r="X76" s="1">
        <v>67.0</v>
      </c>
      <c r="Y76" s="1">
        <v>80.0</v>
      </c>
      <c r="Z76" s="1">
        <v>1.0</v>
      </c>
    </row>
    <row r="77">
      <c r="A77" s="1" t="s">
        <v>562</v>
      </c>
      <c r="B77" s="1" t="s">
        <v>27</v>
      </c>
      <c r="C77" s="1" t="s">
        <v>563</v>
      </c>
      <c r="D77" s="1">
        <v>163.0</v>
      </c>
      <c r="E77" s="1">
        <v>89.0</v>
      </c>
      <c r="F77" s="1">
        <v>97.0</v>
      </c>
      <c r="G77" s="1">
        <v>75.0</v>
      </c>
      <c r="H77" s="1">
        <v>25.0</v>
      </c>
      <c r="I77" s="1">
        <v>44.0</v>
      </c>
      <c r="J77" s="1">
        <v>95.0</v>
      </c>
      <c r="K77" s="1">
        <v>99.0</v>
      </c>
      <c r="L77" s="1">
        <v>99.0</v>
      </c>
      <c r="M77" s="1">
        <v>70.0</v>
      </c>
      <c r="N77" s="1">
        <v>92.0</v>
      </c>
      <c r="O77" s="1">
        <v>82.0</v>
      </c>
      <c r="P77" s="1">
        <v>33.0</v>
      </c>
      <c r="Q77" s="1">
        <v>52.0</v>
      </c>
      <c r="R77" s="1">
        <v>48.0</v>
      </c>
      <c r="S77" s="1">
        <v>31.0</v>
      </c>
      <c r="T77" s="1">
        <v>47.0</v>
      </c>
      <c r="U77" s="1">
        <v>58.0</v>
      </c>
      <c r="V77" s="1">
        <v>82.0</v>
      </c>
      <c r="W77" s="1">
        <v>74.0</v>
      </c>
      <c r="X77" s="1">
        <v>55.0</v>
      </c>
      <c r="Y77" s="1">
        <v>65.0</v>
      </c>
      <c r="Z77" s="1">
        <v>1.0</v>
      </c>
    </row>
    <row r="78">
      <c r="A78" s="1" t="s">
        <v>564</v>
      </c>
      <c r="B78" s="1" t="s">
        <v>27</v>
      </c>
      <c r="C78" s="1" t="s">
        <v>170</v>
      </c>
      <c r="D78" s="1">
        <v>209.0</v>
      </c>
      <c r="E78" s="1">
        <v>87.0</v>
      </c>
      <c r="F78" s="1">
        <v>79.0</v>
      </c>
      <c r="G78" s="1">
        <v>80.0</v>
      </c>
      <c r="H78" s="1">
        <v>43.0</v>
      </c>
      <c r="I78" s="1">
        <v>66.0</v>
      </c>
      <c r="J78" s="1">
        <v>90.0</v>
      </c>
      <c r="K78" s="1">
        <v>88.0</v>
      </c>
      <c r="L78" s="1">
        <v>78.0</v>
      </c>
      <c r="M78" s="1">
        <v>82.0</v>
      </c>
      <c r="N78" s="1">
        <v>92.0</v>
      </c>
      <c r="O78" s="1">
        <v>82.0</v>
      </c>
      <c r="P78" s="1">
        <v>61.0</v>
      </c>
      <c r="Q78" s="1">
        <v>74.0</v>
      </c>
      <c r="R78" s="1">
        <v>73.0</v>
      </c>
      <c r="S78" s="1">
        <v>68.0</v>
      </c>
      <c r="T78" s="1">
        <v>72.0</v>
      </c>
      <c r="U78" s="1">
        <v>72.0</v>
      </c>
      <c r="V78" s="1">
        <v>82.0</v>
      </c>
      <c r="W78" s="1">
        <v>73.0</v>
      </c>
      <c r="X78" s="1">
        <v>77.0</v>
      </c>
      <c r="Y78" s="1">
        <v>77.0</v>
      </c>
      <c r="Z78" s="1">
        <v>1.0</v>
      </c>
    </row>
    <row r="79">
      <c r="A79" s="1" t="s">
        <v>565</v>
      </c>
      <c r="B79" s="1" t="s">
        <v>27</v>
      </c>
      <c r="C79" s="1" t="s">
        <v>308</v>
      </c>
      <c r="D79" s="1" t="s">
        <v>566</v>
      </c>
      <c r="E79" s="1" t="s">
        <v>322</v>
      </c>
      <c r="F79" s="1" t="s">
        <v>567</v>
      </c>
      <c r="G79" s="1" t="s">
        <v>568</v>
      </c>
      <c r="H79" s="1" t="s">
        <v>569</v>
      </c>
      <c r="I79" s="1" t="s">
        <v>68</v>
      </c>
      <c r="J79" s="1" t="s">
        <v>45</v>
      </c>
      <c r="K79" s="1" t="s">
        <v>322</v>
      </c>
      <c r="L79" s="1" t="s">
        <v>495</v>
      </c>
      <c r="M79" s="1" t="s">
        <v>570</v>
      </c>
      <c r="N79" s="1" t="s">
        <v>571</v>
      </c>
      <c r="O79" s="1" t="s">
        <v>221</v>
      </c>
      <c r="P79" s="1" t="s">
        <v>245</v>
      </c>
      <c r="Q79" s="1" t="s">
        <v>572</v>
      </c>
      <c r="R79" s="1" t="s">
        <v>245</v>
      </c>
      <c r="S79" s="1" t="s">
        <v>573</v>
      </c>
      <c r="T79" s="1" t="s">
        <v>574</v>
      </c>
      <c r="U79" s="1" t="s">
        <v>575</v>
      </c>
      <c r="V79" s="1" t="s">
        <v>221</v>
      </c>
      <c r="W79" s="1" t="s">
        <v>576</v>
      </c>
      <c r="X79" s="1" t="s">
        <v>577</v>
      </c>
      <c r="Y79" s="1" t="s">
        <v>578</v>
      </c>
      <c r="Z79" s="1">
        <v>1.0</v>
      </c>
    </row>
    <row r="80">
      <c r="A80" s="1" t="s">
        <v>579</v>
      </c>
      <c r="B80" s="1" t="s">
        <v>27</v>
      </c>
      <c r="C80" s="1" t="s">
        <v>192</v>
      </c>
      <c r="D80" s="1">
        <v>205.0</v>
      </c>
      <c r="E80" s="1">
        <v>99.0</v>
      </c>
      <c r="F80" s="1">
        <v>79.0</v>
      </c>
      <c r="G80" s="1">
        <v>98.0</v>
      </c>
      <c r="H80" s="1">
        <v>49.0</v>
      </c>
      <c r="I80" s="1">
        <v>49.0</v>
      </c>
      <c r="J80" s="1">
        <v>72.0</v>
      </c>
      <c r="K80" s="1">
        <v>79.0</v>
      </c>
      <c r="L80" s="1">
        <v>97.0</v>
      </c>
      <c r="M80" s="1">
        <v>99.0</v>
      </c>
      <c r="N80" s="1">
        <v>89.0</v>
      </c>
      <c r="O80" s="1">
        <v>69.0</v>
      </c>
      <c r="P80" s="1">
        <v>29.0</v>
      </c>
      <c r="Q80" s="1">
        <v>41.0</v>
      </c>
      <c r="R80" s="1">
        <v>26.0</v>
      </c>
      <c r="S80" s="1">
        <v>34.0</v>
      </c>
      <c r="T80" s="1">
        <v>56.0</v>
      </c>
      <c r="U80" s="1">
        <v>42.0</v>
      </c>
      <c r="V80" s="1">
        <v>70.0</v>
      </c>
      <c r="W80" s="1">
        <v>57.0</v>
      </c>
      <c r="X80" s="1">
        <v>54.0</v>
      </c>
      <c r="Y80" s="1">
        <v>78.0</v>
      </c>
      <c r="Z80" s="1">
        <v>1.0</v>
      </c>
    </row>
    <row r="81">
      <c r="A81" s="1" t="s">
        <v>580</v>
      </c>
      <c r="B81" s="1" t="s">
        <v>27</v>
      </c>
      <c r="C81" s="1" t="s">
        <v>192</v>
      </c>
      <c r="D81" s="1" t="s">
        <v>581</v>
      </c>
      <c r="E81" s="1">
        <v>84.0</v>
      </c>
      <c r="F81" s="1">
        <v>85.0</v>
      </c>
      <c r="G81" s="1" t="s">
        <v>236</v>
      </c>
      <c r="H81" s="1">
        <v>72.0</v>
      </c>
      <c r="I81" s="1">
        <v>87.0</v>
      </c>
      <c r="J81" s="1">
        <v>80.0</v>
      </c>
      <c r="K81" s="1" t="s">
        <v>582</v>
      </c>
      <c r="L81" s="1" t="s">
        <v>583</v>
      </c>
      <c r="M81" s="1">
        <v>92.0</v>
      </c>
      <c r="N81" s="1">
        <v>86.0</v>
      </c>
      <c r="O81" s="1">
        <v>75.0</v>
      </c>
      <c r="P81" s="1">
        <v>65.0</v>
      </c>
      <c r="Q81" s="1">
        <v>74.0</v>
      </c>
      <c r="R81" s="1">
        <v>73.0</v>
      </c>
      <c r="S81" s="1">
        <v>73.0</v>
      </c>
      <c r="T81" s="1">
        <v>70.0</v>
      </c>
      <c r="U81" s="1">
        <v>60.0</v>
      </c>
      <c r="V81" s="1">
        <v>80.0</v>
      </c>
      <c r="W81" s="1">
        <v>80.0</v>
      </c>
      <c r="X81" s="1" t="s">
        <v>584</v>
      </c>
      <c r="Y81" s="1">
        <v>66.0</v>
      </c>
      <c r="Z81" s="1">
        <v>1.0</v>
      </c>
    </row>
    <row r="82">
      <c r="A82" s="1" t="s">
        <v>585</v>
      </c>
      <c r="B82" s="1" t="s">
        <v>27</v>
      </c>
      <c r="C82" s="1" t="s">
        <v>586</v>
      </c>
      <c r="D82" s="1">
        <v>180.0</v>
      </c>
      <c r="E82" s="1">
        <v>90.0</v>
      </c>
      <c r="F82" s="1">
        <v>69.0</v>
      </c>
      <c r="G82" s="1">
        <v>69.0</v>
      </c>
      <c r="H82" s="1">
        <v>25.0</v>
      </c>
      <c r="I82" s="1">
        <v>63.0</v>
      </c>
      <c r="J82" s="1">
        <v>99.0</v>
      </c>
      <c r="K82" s="1">
        <v>99.0</v>
      </c>
      <c r="L82" s="1">
        <v>76.0</v>
      </c>
      <c r="M82" s="1">
        <v>59.0</v>
      </c>
      <c r="N82" s="1">
        <v>77.0</v>
      </c>
      <c r="O82" s="1">
        <v>82.0</v>
      </c>
      <c r="P82" s="1">
        <v>53.0</v>
      </c>
      <c r="Q82" s="1">
        <v>58.0</v>
      </c>
      <c r="R82" s="1">
        <v>53.0</v>
      </c>
      <c r="S82" s="1">
        <v>56.0</v>
      </c>
      <c r="T82" s="1">
        <v>49.0</v>
      </c>
      <c r="U82" s="1">
        <v>58.0</v>
      </c>
      <c r="V82" s="1">
        <v>82.0</v>
      </c>
      <c r="W82" s="1">
        <v>67.0</v>
      </c>
      <c r="X82" s="1">
        <v>57.0</v>
      </c>
      <c r="Y82" s="1">
        <v>58.0</v>
      </c>
      <c r="Z82" s="1">
        <v>1.0</v>
      </c>
    </row>
    <row r="83">
      <c r="A83" s="1" t="s">
        <v>587</v>
      </c>
      <c r="B83" s="1" t="s">
        <v>27</v>
      </c>
      <c r="C83" s="1" t="s">
        <v>588</v>
      </c>
      <c r="D83" s="1" t="s">
        <v>589</v>
      </c>
      <c r="E83" s="1" t="s">
        <v>590</v>
      </c>
      <c r="F83" s="1" t="s">
        <v>322</v>
      </c>
      <c r="G83" s="1">
        <v>25.0</v>
      </c>
      <c r="H83" s="1">
        <v>25.0</v>
      </c>
      <c r="I83" s="1" t="s">
        <v>591</v>
      </c>
      <c r="J83" s="1" t="s">
        <v>592</v>
      </c>
      <c r="K83" s="1" t="s">
        <v>593</v>
      </c>
      <c r="L83" s="1" t="s">
        <v>594</v>
      </c>
      <c r="M83" s="1" t="s">
        <v>485</v>
      </c>
      <c r="N83" s="1" t="s">
        <v>595</v>
      </c>
      <c r="O83" s="1" t="s">
        <v>434</v>
      </c>
      <c r="P83" s="1" t="s">
        <v>596</v>
      </c>
      <c r="Q83" s="1" t="s">
        <v>82</v>
      </c>
      <c r="R83" s="1" t="s">
        <v>597</v>
      </c>
      <c r="S83" s="1" t="s">
        <v>598</v>
      </c>
      <c r="T83" s="1" t="s">
        <v>298</v>
      </c>
      <c r="U83" s="1" t="s">
        <v>599</v>
      </c>
      <c r="V83" s="1">
        <v>91.0</v>
      </c>
      <c r="W83" s="1" t="s">
        <v>600</v>
      </c>
      <c r="X83" s="1" t="s">
        <v>601</v>
      </c>
      <c r="Y83" s="1">
        <v>61.0</v>
      </c>
      <c r="Z83" s="1">
        <v>1.0</v>
      </c>
    </row>
    <row r="84">
      <c r="A84" s="1" t="s">
        <v>602</v>
      </c>
      <c r="B84" s="1" t="s">
        <v>27</v>
      </c>
      <c r="C84" s="1" t="s">
        <v>145</v>
      </c>
      <c r="D84" s="1">
        <v>184.0</v>
      </c>
      <c r="E84" s="1">
        <v>71.0</v>
      </c>
      <c r="F84" s="1">
        <v>72.0</v>
      </c>
      <c r="G84" s="1">
        <v>85.0</v>
      </c>
      <c r="H84" s="1">
        <v>36.0</v>
      </c>
      <c r="I84" s="1">
        <v>40.0</v>
      </c>
      <c r="J84" s="1">
        <v>85.0</v>
      </c>
      <c r="K84" s="1">
        <v>87.0</v>
      </c>
      <c r="L84" s="1">
        <v>71.0</v>
      </c>
      <c r="M84" s="1">
        <v>88.0</v>
      </c>
      <c r="N84" s="1">
        <v>85.0</v>
      </c>
      <c r="O84" s="1">
        <v>81.0</v>
      </c>
      <c r="P84" s="1">
        <v>50.0</v>
      </c>
      <c r="Q84" s="1">
        <v>85.0</v>
      </c>
      <c r="R84" s="1">
        <v>85.0</v>
      </c>
      <c r="S84" s="1">
        <v>44.0</v>
      </c>
      <c r="T84" s="1">
        <v>31.0</v>
      </c>
      <c r="U84" s="1">
        <v>52.0</v>
      </c>
      <c r="V84" s="1">
        <v>87.0</v>
      </c>
      <c r="W84" s="1">
        <v>81.0</v>
      </c>
      <c r="X84" s="1">
        <v>71.0</v>
      </c>
      <c r="Y84" s="1">
        <v>76.0</v>
      </c>
      <c r="Z84" s="1">
        <v>1.0</v>
      </c>
    </row>
    <row r="85">
      <c r="A85" s="1" t="s">
        <v>603</v>
      </c>
      <c r="B85" s="1" t="s">
        <v>27</v>
      </c>
      <c r="C85" s="1" t="s">
        <v>170</v>
      </c>
      <c r="D85" s="1">
        <v>198.0</v>
      </c>
      <c r="E85" s="1">
        <v>80.0</v>
      </c>
      <c r="F85" s="1">
        <v>80.0</v>
      </c>
      <c r="G85" s="1">
        <v>25.0</v>
      </c>
      <c r="H85" s="1">
        <v>28.0</v>
      </c>
      <c r="I85" s="1">
        <v>45.0</v>
      </c>
      <c r="J85" s="1">
        <v>90.0</v>
      </c>
      <c r="K85" s="1">
        <v>98.0</v>
      </c>
      <c r="L85" s="1">
        <v>74.0</v>
      </c>
      <c r="M85" s="1">
        <v>84.0</v>
      </c>
      <c r="N85" s="1">
        <v>80.0</v>
      </c>
      <c r="O85" s="1">
        <v>80.0</v>
      </c>
      <c r="P85" s="1">
        <v>73.0</v>
      </c>
      <c r="Q85" s="1">
        <v>80.0</v>
      </c>
      <c r="R85" s="1">
        <v>80.0</v>
      </c>
      <c r="S85" s="1">
        <v>59.0</v>
      </c>
      <c r="T85" s="1">
        <v>62.0</v>
      </c>
      <c r="U85" s="1">
        <v>62.0</v>
      </c>
      <c r="V85" s="1">
        <v>84.0</v>
      </c>
      <c r="W85" s="1">
        <v>75.0</v>
      </c>
      <c r="X85" s="1">
        <v>56.0</v>
      </c>
      <c r="Y85" s="1">
        <v>54.0</v>
      </c>
      <c r="Z85" s="1">
        <v>1.0</v>
      </c>
    </row>
    <row r="86">
      <c r="A86" s="1" t="s">
        <v>604</v>
      </c>
      <c r="B86" s="1" t="s">
        <v>27</v>
      </c>
      <c r="C86" s="1" t="s">
        <v>170</v>
      </c>
      <c r="D86" s="1">
        <v>225.0</v>
      </c>
      <c r="E86" s="1">
        <v>72.0</v>
      </c>
      <c r="F86" s="1">
        <v>85.0</v>
      </c>
      <c r="G86" s="1">
        <v>87.0</v>
      </c>
      <c r="H86" s="1">
        <v>33.0</v>
      </c>
      <c r="I86" s="1">
        <v>33.0</v>
      </c>
      <c r="J86" s="1">
        <v>79.0</v>
      </c>
      <c r="K86" s="1">
        <v>89.0</v>
      </c>
      <c r="L86" s="1">
        <v>80.0</v>
      </c>
      <c r="M86" s="1">
        <v>95.0</v>
      </c>
      <c r="N86" s="1">
        <v>86.0</v>
      </c>
      <c r="O86" s="1">
        <v>86.0</v>
      </c>
      <c r="P86" s="1">
        <v>54.0</v>
      </c>
      <c r="Q86" s="1">
        <v>74.0</v>
      </c>
      <c r="R86" s="1">
        <v>73.0</v>
      </c>
      <c r="S86" s="1">
        <v>30.0</v>
      </c>
      <c r="T86" s="1">
        <v>25.0</v>
      </c>
      <c r="U86" s="1">
        <v>35.0</v>
      </c>
      <c r="V86" s="1">
        <v>88.0</v>
      </c>
      <c r="W86" s="1">
        <v>80.0</v>
      </c>
      <c r="X86" s="1">
        <v>84.0</v>
      </c>
      <c r="Y86" s="1">
        <v>75.0</v>
      </c>
      <c r="Z86" s="1">
        <v>1.0</v>
      </c>
    </row>
    <row r="87">
      <c r="A87" s="1" t="s">
        <v>605</v>
      </c>
      <c r="B87" s="1" t="s">
        <v>27</v>
      </c>
      <c r="C87" s="1" t="s">
        <v>192</v>
      </c>
      <c r="D87" s="1">
        <v>190.0</v>
      </c>
      <c r="E87" s="1">
        <v>68.0</v>
      </c>
      <c r="F87" s="1">
        <v>50.0</v>
      </c>
      <c r="G87" s="1">
        <v>57.0</v>
      </c>
      <c r="H87" s="1">
        <v>26.0</v>
      </c>
      <c r="I87" s="1">
        <v>25.0</v>
      </c>
      <c r="J87" s="1">
        <v>81.0</v>
      </c>
      <c r="K87" s="1">
        <v>77.0</v>
      </c>
      <c r="L87" s="1">
        <v>64.0</v>
      </c>
      <c r="M87" s="1">
        <v>70.0</v>
      </c>
      <c r="N87" s="1">
        <v>61.0</v>
      </c>
      <c r="O87" s="1">
        <v>66.0</v>
      </c>
      <c r="P87" s="1">
        <v>73.0</v>
      </c>
      <c r="Q87" s="1">
        <v>95.0</v>
      </c>
      <c r="R87" s="1">
        <v>97.0</v>
      </c>
      <c r="S87" s="1">
        <v>78.0</v>
      </c>
      <c r="T87" s="1">
        <v>70.0</v>
      </c>
      <c r="U87" s="1">
        <v>85.0</v>
      </c>
      <c r="V87" s="1">
        <v>91.0</v>
      </c>
      <c r="W87" s="1">
        <v>81.0</v>
      </c>
      <c r="X87" s="1">
        <v>60.0</v>
      </c>
      <c r="Y87" s="1">
        <v>61.0</v>
      </c>
      <c r="Z87" s="1">
        <v>1.0</v>
      </c>
    </row>
    <row r="88">
      <c r="A88" s="1" t="s">
        <v>606</v>
      </c>
      <c r="B88" s="1" t="s">
        <v>27</v>
      </c>
      <c r="C88" s="1" t="s">
        <v>192</v>
      </c>
      <c r="D88" s="1">
        <v>205.0</v>
      </c>
      <c r="E88" s="1">
        <v>80.0</v>
      </c>
      <c r="F88" s="1">
        <v>75.0</v>
      </c>
      <c r="G88" s="1">
        <v>76.0</v>
      </c>
      <c r="H88" s="1">
        <v>30.0</v>
      </c>
      <c r="I88" s="1">
        <v>50.0</v>
      </c>
      <c r="J88" s="1">
        <v>90.0</v>
      </c>
      <c r="K88" s="1">
        <v>88.0</v>
      </c>
      <c r="L88" s="1">
        <v>68.0</v>
      </c>
      <c r="M88" s="1">
        <v>75.0</v>
      </c>
      <c r="N88" s="1">
        <v>85.0</v>
      </c>
      <c r="O88" s="1">
        <v>75.0</v>
      </c>
      <c r="P88" s="1">
        <v>70.0</v>
      </c>
      <c r="Q88" s="1">
        <v>85.0</v>
      </c>
      <c r="R88" s="1">
        <v>80.0</v>
      </c>
      <c r="S88" s="1">
        <v>78.0</v>
      </c>
      <c r="T88" s="1">
        <v>60.0</v>
      </c>
      <c r="U88" s="1">
        <v>80.0</v>
      </c>
      <c r="V88" s="1">
        <v>82.0</v>
      </c>
      <c r="W88" s="1">
        <v>80.0</v>
      </c>
      <c r="X88" s="1">
        <v>75.0</v>
      </c>
      <c r="Y88" s="1">
        <v>65.0</v>
      </c>
      <c r="Z88" s="1">
        <v>1.0</v>
      </c>
    </row>
    <row r="89">
      <c r="A89" s="1" t="s">
        <v>607</v>
      </c>
      <c r="B89" s="1" t="s">
        <v>27</v>
      </c>
      <c r="C89" s="1" t="s">
        <v>470</v>
      </c>
      <c r="D89" s="1">
        <v>218.0</v>
      </c>
      <c r="E89" s="1">
        <v>65.0</v>
      </c>
      <c r="F89" s="1">
        <v>75.0</v>
      </c>
      <c r="G89" s="1">
        <v>50.0</v>
      </c>
      <c r="H89" s="1">
        <v>36.0</v>
      </c>
      <c r="I89" s="1">
        <v>30.0</v>
      </c>
      <c r="J89" s="1">
        <v>79.0</v>
      </c>
      <c r="K89" s="1">
        <v>89.0</v>
      </c>
      <c r="L89" s="1">
        <v>99.0</v>
      </c>
      <c r="M89" s="1">
        <v>85.0</v>
      </c>
      <c r="N89" s="1">
        <v>85.0</v>
      </c>
      <c r="O89" s="1">
        <v>88.0</v>
      </c>
      <c r="P89" s="1">
        <v>74.0</v>
      </c>
      <c r="Q89" s="1">
        <v>92.0</v>
      </c>
      <c r="R89" s="1">
        <v>85.0</v>
      </c>
      <c r="S89" s="1">
        <v>65.0</v>
      </c>
      <c r="T89" s="1">
        <v>64.0</v>
      </c>
      <c r="U89" s="1">
        <v>63.0</v>
      </c>
      <c r="V89" s="1">
        <v>89.0</v>
      </c>
      <c r="W89" s="1">
        <v>88.0</v>
      </c>
      <c r="X89" s="1">
        <v>85.0</v>
      </c>
      <c r="Y89" s="1">
        <v>85.0</v>
      </c>
      <c r="Z89" s="1">
        <v>1.0</v>
      </c>
    </row>
    <row r="90">
      <c r="A90" s="1" t="s">
        <v>608</v>
      </c>
      <c r="B90" s="1" t="s">
        <v>27</v>
      </c>
      <c r="C90" s="1" t="s">
        <v>145</v>
      </c>
      <c r="D90" s="1">
        <v>195.0</v>
      </c>
      <c r="E90" s="1">
        <v>73.0</v>
      </c>
      <c r="F90" s="1">
        <v>75.0</v>
      </c>
      <c r="G90" s="1">
        <v>93.0</v>
      </c>
      <c r="H90" s="1">
        <v>72.0</v>
      </c>
      <c r="I90" s="1">
        <v>45.0</v>
      </c>
      <c r="J90" s="1">
        <v>75.0</v>
      </c>
      <c r="K90" s="1">
        <v>85.0</v>
      </c>
      <c r="L90" s="1">
        <v>60.0</v>
      </c>
      <c r="M90" s="1">
        <v>65.0</v>
      </c>
      <c r="N90" s="1">
        <v>90.0</v>
      </c>
      <c r="O90" s="1">
        <v>80.0</v>
      </c>
      <c r="P90" s="1">
        <v>81.0</v>
      </c>
      <c r="Q90" s="1">
        <v>80.0</v>
      </c>
      <c r="R90" s="1">
        <v>70.0</v>
      </c>
      <c r="S90" s="1">
        <v>75.0</v>
      </c>
      <c r="T90" s="1">
        <v>74.0</v>
      </c>
      <c r="U90" s="1">
        <v>70.0</v>
      </c>
      <c r="V90" s="1">
        <v>80.0</v>
      </c>
      <c r="W90" s="1">
        <v>81.0</v>
      </c>
      <c r="X90" s="1">
        <v>73.0</v>
      </c>
      <c r="Y90" s="1">
        <v>80.0</v>
      </c>
      <c r="Z90" s="1">
        <v>1.0</v>
      </c>
    </row>
    <row r="91">
      <c r="A91" s="1" t="s">
        <v>609</v>
      </c>
      <c r="B91" s="1" t="s">
        <v>27</v>
      </c>
      <c r="C91" s="1" t="s">
        <v>145</v>
      </c>
      <c r="D91" s="1">
        <v>196.0</v>
      </c>
      <c r="E91" s="1">
        <v>73.0</v>
      </c>
      <c r="F91" s="1">
        <v>78.0</v>
      </c>
      <c r="G91" s="1">
        <v>87.0</v>
      </c>
      <c r="H91" s="1">
        <v>37.0</v>
      </c>
      <c r="I91" s="1">
        <v>41.0</v>
      </c>
      <c r="J91" s="1">
        <v>76.0</v>
      </c>
      <c r="K91" s="1">
        <v>83.0</v>
      </c>
      <c r="L91" s="1">
        <v>58.0</v>
      </c>
      <c r="M91" s="1">
        <v>76.0</v>
      </c>
      <c r="N91" s="1">
        <v>86.0</v>
      </c>
      <c r="O91" s="1">
        <v>85.0</v>
      </c>
      <c r="P91" s="1">
        <v>80.0</v>
      </c>
      <c r="Q91" s="1">
        <v>85.0</v>
      </c>
      <c r="R91" s="1">
        <v>55.0</v>
      </c>
      <c r="S91" s="1">
        <v>80.0</v>
      </c>
      <c r="T91" s="1">
        <v>70.0</v>
      </c>
      <c r="U91" s="1">
        <v>80.0</v>
      </c>
      <c r="V91" s="1">
        <v>87.0</v>
      </c>
      <c r="W91" s="1">
        <v>87.0</v>
      </c>
      <c r="X91" s="1">
        <v>72.0</v>
      </c>
      <c r="Y91" s="1">
        <v>80.0</v>
      </c>
      <c r="Z91" s="1">
        <v>1.0</v>
      </c>
    </row>
    <row r="92">
      <c r="A92" s="1" t="s">
        <v>610</v>
      </c>
      <c r="B92" s="1" t="s">
        <v>27</v>
      </c>
      <c r="C92" s="1" t="s">
        <v>192</v>
      </c>
      <c r="D92" s="1">
        <v>218.0</v>
      </c>
      <c r="E92" s="1">
        <v>80.0</v>
      </c>
      <c r="F92" s="1">
        <v>90.0</v>
      </c>
      <c r="G92" s="1">
        <v>87.0</v>
      </c>
      <c r="H92" s="1">
        <v>37.0</v>
      </c>
      <c r="I92" s="1">
        <v>47.0</v>
      </c>
      <c r="J92" s="1">
        <v>73.0</v>
      </c>
      <c r="K92" s="1">
        <v>81.0</v>
      </c>
      <c r="L92" s="1">
        <v>56.0</v>
      </c>
      <c r="M92" s="1">
        <v>71.0</v>
      </c>
      <c r="N92" s="1">
        <v>87.0</v>
      </c>
      <c r="O92" s="1">
        <v>81.0</v>
      </c>
      <c r="P92" s="1">
        <v>82.0</v>
      </c>
      <c r="Q92" s="1">
        <v>80.0</v>
      </c>
      <c r="R92" s="1">
        <v>73.0</v>
      </c>
      <c r="S92" s="1">
        <v>57.0</v>
      </c>
      <c r="T92" s="1">
        <v>40.0</v>
      </c>
      <c r="U92" s="1">
        <v>62.0</v>
      </c>
      <c r="V92" s="1">
        <v>85.0</v>
      </c>
      <c r="W92" s="1">
        <v>75.0</v>
      </c>
      <c r="X92" s="1">
        <v>82.0</v>
      </c>
      <c r="Y92" s="1">
        <v>75.0</v>
      </c>
      <c r="Z92" s="1">
        <v>1.0</v>
      </c>
    </row>
    <row r="93">
      <c r="A93" s="1" t="s">
        <v>611</v>
      </c>
      <c r="B93" s="1" t="s">
        <v>27</v>
      </c>
      <c r="C93" s="1" t="s">
        <v>612</v>
      </c>
      <c r="D93" s="1" t="s">
        <v>613</v>
      </c>
      <c r="E93" s="1" t="s">
        <v>394</v>
      </c>
      <c r="F93" s="1">
        <v>85.0</v>
      </c>
      <c r="G93" s="1" t="s">
        <v>614</v>
      </c>
      <c r="H93" s="1" t="s">
        <v>615</v>
      </c>
      <c r="I93" s="1" t="s">
        <v>616</v>
      </c>
      <c r="J93" s="1" t="s">
        <v>617</v>
      </c>
      <c r="K93" s="1">
        <v>85.0</v>
      </c>
      <c r="L93" s="1" t="s">
        <v>618</v>
      </c>
      <c r="M93" s="1" t="s">
        <v>619</v>
      </c>
      <c r="N93" s="1" t="s">
        <v>78</v>
      </c>
      <c r="O93" s="1" t="s">
        <v>620</v>
      </c>
      <c r="P93" s="1" t="s">
        <v>621</v>
      </c>
      <c r="Q93" s="1" t="s">
        <v>622</v>
      </c>
      <c r="R93" s="1" t="s">
        <v>98</v>
      </c>
      <c r="S93" s="1" t="s">
        <v>426</v>
      </c>
      <c r="T93" s="1" t="s">
        <v>623</v>
      </c>
      <c r="U93" s="1" t="s">
        <v>624</v>
      </c>
      <c r="V93" s="1" t="s">
        <v>625</v>
      </c>
      <c r="W93" s="1" t="s">
        <v>463</v>
      </c>
      <c r="X93" s="1" t="s">
        <v>157</v>
      </c>
      <c r="Y93" s="1" t="s">
        <v>384</v>
      </c>
      <c r="Z93" s="1">
        <v>1.0</v>
      </c>
    </row>
    <row r="94">
      <c r="A94" s="1" t="s">
        <v>626</v>
      </c>
      <c r="B94" s="1" t="s">
        <v>27</v>
      </c>
      <c r="C94" s="1" t="s">
        <v>168</v>
      </c>
      <c r="D94" s="1">
        <v>203.0</v>
      </c>
      <c r="E94" s="1">
        <v>80.0</v>
      </c>
      <c r="F94" s="1">
        <v>75.0</v>
      </c>
      <c r="G94" s="1">
        <v>95.0</v>
      </c>
      <c r="H94" s="1">
        <v>44.0</v>
      </c>
      <c r="I94" s="1">
        <v>35.0</v>
      </c>
      <c r="J94" s="1">
        <v>70.0</v>
      </c>
      <c r="K94" s="1">
        <v>80.0</v>
      </c>
      <c r="L94" s="1">
        <v>72.0</v>
      </c>
      <c r="M94" s="1">
        <v>60.0</v>
      </c>
      <c r="N94" s="1">
        <v>85.0</v>
      </c>
      <c r="O94" s="1">
        <v>82.0</v>
      </c>
      <c r="P94" s="1">
        <v>35.0</v>
      </c>
      <c r="Q94" s="1">
        <v>67.0</v>
      </c>
      <c r="R94" s="1">
        <v>44.0</v>
      </c>
      <c r="S94" s="1">
        <v>54.0</v>
      </c>
      <c r="T94" s="1">
        <v>44.0</v>
      </c>
      <c r="U94" s="1">
        <v>60.0</v>
      </c>
      <c r="V94" s="1">
        <v>97.0</v>
      </c>
      <c r="W94" s="1">
        <v>89.0</v>
      </c>
      <c r="X94" s="1">
        <v>50.0</v>
      </c>
      <c r="Y94" s="1">
        <v>99.0</v>
      </c>
      <c r="Z94" s="1">
        <v>1.0</v>
      </c>
    </row>
    <row r="95">
      <c r="A95" s="1" t="s">
        <v>627</v>
      </c>
      <c r="B95" s="1" t="s">
        <v>27</v>
      </c>
      <c r="C95" s="1" t="s">
        <v>145</v>
      </c>
      <c r="D95" s="1">
        <v>201.0</v>
      </c>
      <c r="E95" s="1">
        <v>73.0</v>
      </c>
      <c r="F95" s="1">
        <v>88.0</v>
      </c>
      <c r="G95" s="1">
        <v>88.0</v>
      </c>
      <c r="H95" s="1">
        <v>38.0</v>
      </c>
      <c r="I95" s="1">
        <v>35.0</v>
      </c>
      <c r="J95" s="1">
        <v>77.0</v>
      </c>
      <c r="K95" s="1">
        <v>87.0</v>
      </c>
      <c r="L95" s="1">
        <v>63.0</v>
      </c>
      <c r="M95" s="1">
        <v>60.0</v>
      </c>
      <c r="N95" s="1">
        <v>80.0</v>
      </c>
      <c r="O95" s="1">
        <v>80.0</v>
      </c>
      <c r="P95" s="1">
        <v>60.0</v>
      </c>
      <c r="Q95" s="1">
        <v>75.0</v>
      </c>
      <c r="R95" s="1">
        <v>90.0</v>
      </c>
      <c r="S95" s="1">
        <v>70.0</v>
      </c>
      <c r="T95" s="1">
        <v>58.0</v>
      </c>
      <c r="U95" s="1">
        <v>60.0</v>
      </c>
      <c r="V95" s="1">
        <v>90.0</v>
      </c>
      <c r="W95" s="1">
        <v>78.0</v>
      </c>
      <c r="X95" s="1">
        <v>65.0</v>
      </c>
      <c r="Y95" s="1">
        <v>85.0</v>
      </c>
      <c r="Z95" s="1">
        <v>1.0</v>
      </c>
    </row>
    <row r="96">
      <c r="A96" s="1" t="s">
        <v>628</v>
      </c>
      <c r="B96" s="1" t="s">
        <v>27</v>
      </c>
      <c r="C96" s="1" t="s">
        <v>629</v>
      </c>
      <c r="D96" s="1" t="s">
        <v>630</v>
      </c>
      <c r="E96" s="1" t="s">
        <v>631</v>
      </c>
      <c r="F96" s="1" t="s">
        <v>180</v>
      </c>
      <c r="G96" s="1">
        <v>87.0</v>
      </c>
      <c r="H96" s="1" t="s">
        <v>176</v>
      </c>
      <c r="I96" s="1" t="s">
        <v>632</v>
      </c>
      <c r="J96" s="1" t="s">
        <v>582</v>
      </c>
      <c r="K96" s="1">
        <v>90.0</v>
      </c>
      <c r="L96" s="1">
        <v>65.0</v>
      </c>
      <c r="M96" s="1" t="s">
        <v>221</v>
      </c>
      <c r="N96" s="1" t="s">
        <v>633</v>
      </c>
      <c r="O96" s="1" t="s">
        <v>183</v>
      </c>
      <c r="P96" s="1" t="s">
        <v>634</v>
      </c>
      <c r="Q96" s="1" t="s">
        <v>635</v>
      </c>
      <c r="R96" s="1" t="s">
        <v>235</v>
      </c>
      <c r="S96" s="1" t="s">
        <v>636</v>
      </c>
      <c r="T96" s="1" t="s">
        <v>637</v>
      </c>
      <c r="U96" s="1" t="s">
        <v>638</v>
      </c>
      <c r="V96" s="1">
        <v>80.0</v>
      </c>
      <c r="W96" s="1" t="s">
        <v>384</v>
      </c>
      <c r="X96" s="1" t="s">
        <v>639</v>
      </c>
      <c r="Y96" s="1" t="s">
        <v>310</v>
      </c>
      <c r="Z96" s="1">
        <v>1.0</v>
      </c>
    </row>
    <row r="97">
      <c r="A97" s="1" t="s">
        <v>640</v>
      </c>
      <c r="B97" s="1" t="s">
        <v>27</v>
      </c>
      <c r="C97" s="1" t="s">
        <v>107</v>
      </c>
      <c r="D97" s="1" t="s">
        <v>641</v>
      </c>
      <c r="E97" s="1" t="s">
        <v>178</v>
      </c>
      <c r="F97" s="1" t="s">
        <v>337</v>
      </c>
      <c r="G97" s="1" t="s">
        <v>538</v>
      </c>
      <c r="H97" s="1" t="s">
        <v>642</v>
      </c>
      <c r="I97" s="1" t="s">
        <v>643</v>
      </c>
      <c r="J97" s="1" t="s">
        <v>207</v>
      </c>
      <c r="K97" s="1" t="s">
        <v>96</v>
      </c>
      <c r="L97" s="1" t="s">
        <v>644</v>
      </c>
      <c r="M97" s="1" t="s">
        <v>645</v>
      </c>
      <c r="N97" s="1" t="s">
        <v>646</v>
      </c>
      <c r="O97" s="1" t="s">
        <v>647</v>
      </c>
      <c r="P97" s="1" t="s">
        <v>129</v>
      </c>
      <c r="Q97" s="1" t="s">
        <v>648</v>
      </c>
      <c r="R97" s="1" t="s">
        <v>649</v>
      </c>
      <c r="S97" s="1" t="s">
        <v>650</v>
      </c>
      <c r="T97" s="1" t="s">
        <v>651</v>
      </c>
      <c r="U97" s="1" t="s">
        <v>652</v>
      </c>
      <c r="V97" s="1" t="s">
        <v>32</v>
      </c>
      <c r="W97" s="1" t="s">
        <v>346</v>
      </c>
      <c r="X97" s="1" t="s">
        <v>653</v>
      </c>
      <c r="Y97" s="1" t="s">
        <v>654</v>
      </c>
      <c r="Z97" s="1">
        <v>1.0</v>
      </c>
    </row>
    <row r="98">
      <c r="A98" s="1" t="s">
        <v>655</v>
      </c>
      <c r="B98" s="1" t="s">
        <v>27</v>
      </c>
      <c r="C98" s="1" t="s">
        <v>656</v>
      </c>
      <c r="D98" s="1" t="s">
        <v>501</v>
      </c>
      <c r="E98" s="1" t="s">
        <v>657</v>
      </c>
      <c r="F98" s="1" t="s">
        <v>208</v>
      </c>
      <c r="G98" s="1" t="s">
        <v>54</v>
      </c>
      <c r="H98" s="1" t="s">
        <v>34</v>
      </c>
      <c r="I98" s="1" t="s">
        <v>658</v>
      </c>
      <c r="J98" s="1" t="s">
        <v>221</v>
      </c>
      <c r="K98" s="1" t="s">
        <v>154</v>
      </c>
      <c r="L98" s="1" t="s">
        <v>538</v>
      </c>
      <c r="M98" s="1" t="s">
        <v>536</v>
      </c>
      <c r="N98" s="1" t="s">
        <v>659</v>
      </c>
      <c r="O98" s="1" t="s">
        <v>227</v>
      </c>
      <c r="P98" s="1" t="s">
        <v>474</v>
      </c>
      <c r="Q98" s="1" t="s">
        <v>324</v>
      </c>
      <c r="R98" s="1" t="s">
        <v>660</v>
      </c>
      <c r="S98" s="1" t="s">
        <v>275</v>
      </c>
      <c r="T98" s="1" t="s">
        <v>661</v>
      </c>
      <c r="U98" s="1" t="s">
        <v>662</v>
      </c>
      <c r="V98" s="1" t="s">
        <v>227</v>
      </c>
      <c r="W98" s="1" t="s">
        <v>663</v>
      </c>
      <c r="X98" s="1" t="s">
        <v>664</v>
      </c>
      <c r="Y98" s="1" t="s">
        <v>324</v>
      </c>
      <c r="Z98" s="1">
        <v>1.0</v>
      </c>
    </row>
    <row r="99">
      <c r="A99" s="1" t="s">
        <v>665</v>
      </c>
      <c r="B99" s="1" t="s">
        <v>27</v>
      </c>
      <c r="C99" s="1" t="s">
        <v>308</v>
      </c>
      <c r="D99" s="1" t="s">
        <v>666</v>
      </c>
      <c r="E99" s="1" t="s">
        <v>199</v>
      </c>
      <c r="F99" s="1" t="s">
        <v>36</v>
      </c>
      <c r="G99" s="1" t="s">
        <v>277</v>
      </c>
      <c r="H99" s="1" t="s">
        <v>667</v>
      </c>
      <c r="I99" s="1" t="s">
        <v>668</v>
      </c>
      <c r="J99" s="1" t="s">
        <v>95</v>
      </c>
      <c r="K99" s="1" t="s">
        <v>322</v>
      </c>
      <c r="L99" s="1" t="s">
        <v>669</v>
      </c>
      <c r="M99" s="1" t="s">
        <v>670</v>
      </c>
      <c r="N99" s="1" t="s">
        <v>671</v>
      </c>
      <c r="O99" s="1" t="s">
        <v>672</v>
      </c>
      <c r="P99" s="1" t="s">
        <v>55</v>
      </c>
      <c r="Q99" s="1" t="s">
        <v>509</v>
      </c>
      <c r="R99" s="1" t="s">
        <v>64</v>
      </c>
      <c r="S99" s="1" t="s">
        <v>673</v>
      </c>
      <c r="T99" s="1" t="s">
        <v>55</v>
      </c>
      <c r="U99" s="1" t="s">
        <v>674</v>
      </c>
      <c r="V99" s="1" t="s">
        <v>35</v>
      </c>
      <c r="W99" s="1" t="s">
        <v>675</v>
      </c>
      <c r="X99" s="1" t="s">
        <v>676</v>
      </c>
      <c r="Y99" s="1" t="s">
        <v>243</v>
      </c>
      <c r="Z99" s="1">
        <v>1.0</v>
      </c>
    </row>
    <row r="100">
      <c r="A100" s="1" t="s">
        <v>677</v>
      </c>
      <c r="B100" s="1" t="s">
        <v>27</v>
      </c>
      <c r="C100" s="1" t="s">
        <v>192</v>
      </c>
      <c r="D100" s="1">
        <v>205.0</v>
      </c>
      <c r="E100" s="1">
        <v>74.0</v>
      </c>
      <c r="F100" s="1">
        <v>80.0</v>
      </c>
      <c r="G100" s="1">
        <v>90.0</v>
      </c>
      <c r="H100" s="1">
        <v>40.0</v>
      </c>
      <c r="I100" s="1">
        <v>51.0</v>
      </c>
      <c r="J100" s="1">
        <v>77.0</v>
      </c>
      <c r="K100" s="1">
        <v>87.0</v>
      </c>
      <c r="L100" s="1">
        <v>81.0</v>
      </c>
      <c r="M100" s="1">
        <v>66.0</v>
      </c>
      <c r="N100" s="1">
        <v>85.0</v>
      </c>
      <c r="O100" s="1">
        <v>82.0</v>
      </c>
      <c r="P100" s="1">
        <v>70.0</v>
      </c>
      <c r="Q100" s="1">
        <v>80.0</v>
      </c>
      <c r="R100" s="1">
        <v>63.0</v>
      </c>
      <c r="S100" s="1">
        <v>66.0</v>
      </c>
      <c r="T100" s="1">
        <v>74.0</v>
      </c>
      <c r="U100" s="1">
        <v>81.0</v>
      </c>
      <c r="V100" s="1">
        <v>90.0</v>
      </c>
      <c r="W100" s="1">
        <v>78.0</v>
      </c>
      <c r="X100" s="1">
        <v>50.0</v>
      </c>
      <c r="Y100" s="1">
        <v>75.0</v>
      </c>
      <c r="Z100" s="1">
        <v>1.0</v>
      </c>
    </row>
    <row r="101">
      <c r="A101" s="1" t="s">
        <v>678</v>
      </c>
      <c r="B101" s="1" t="s">
        <v>27</v>
      </c>
      <c r="C101" s="1" t="s">
        <v>107</v>
      </c>
      <c r="D101" s="1" t="s">
        <v>442</v>
      </c>
      <c r="E101" s="1" t="s">
        <v>679</v>
      </c>
      <c r="F101" s="1" t="s">
        <v>680</v>
      </c>
      <c r="G101" s="1" t="s">
        <v>681</v>
      </c>
      <c r="H101" s="1" t="s">
        <v>276</v>
      </c>
      <c r="I101" s="1" t="s">
        <v>682</v>
      </c>
      <c r="J101" s="1" t="s">
        <v>683</v>
      </c>
      <c r="K101" s="1" t="s">
        <v>362</v>
      </c>
      <c r="L101" s="1" t="s">
        <v>684</v>
      </c>
      <c r="M101" s="1" t="s">
        <v>98</v>
      </c>
      <c r="N101" s="1" t="s">
        <v>401</v>
      </c>
      <c r="O101" s="1" t="s">
        <v>61</v>
      </c>
      <c r="P101" s="1" t="s">
        <v>120</v>
      </c>
      <c r="Q101" s="1" t="s">
        <v>685</v>
      </c>
      <c r="R101" s="1" t="s">
        <v>686</v>
      </c>
      <c r="S101" s="1" t="s">
        <v>65</v>
      </c>
      <c r="T101" s="1" t="s">
        <v>687</v>
      </c>
      <c r="U101" s="1" t="s">
        <v>688</v>
      </c>
      <c r="V101" s="1" t="s">
        <v>689</v>
      </c>
      <c r="W101" s="1" t="s">
        <v>690</v>
      </c>
      <c r="X101" s="1" t="s">
        <v>365</v>
      </c>
      <c r="Y101" s="1" t="s">
        <v>691</v>
      </c>
      <c r="Z101" s="1">
        <v>1.0</v>
      </c>
    </row>
    <row r="102">
      <c r="A102" s="1" t="s">
        <v>692</v>
      </c>
      <c r="B102" s="1" t="s">
        <v>27</v>
      </c>
      <c r="C102" s="1" t="s">
        <v>107</v>
      </c>
      <c r="D102" s="1" t="s">
        <v>693</v>
      </c>
      <c r="E102" s="1" t="s">
        <v>157</v>
      </c>
      <c r="F102" s="1" t="s">
        <v>694</v>
      </c>
      <c r="G102" s="1" t="s">
        <v>92</v>
      </c>
      <c r="H102" s="1" t="s">
        <v>449</v>
      </c>
      <c r="I102" s="1" t="s">
        <v>695</v>
      </c>
      <c r="J102" s="1" t="s">
        <v>36</v>
      </c>
      <c r="K102" s="1" t="s">
        <v>549</v>
      </c>
      <c r="L102" s="1" t="s">
        <v>696</v>
      </c>
      <c r="M102" s="1" t="s">
        <v>398</v>
      </c>
      <c r="N102" s="1" t="s">
        <v>401</v>
      </c>
      <c r="O102" s="1" t="s">
        <v>697</v>
      </c>
      <c r="P102" s="1" t="s">
        <v>55</v>
      </c>
      <c r="Q102" s="1" t="s">
        <v>698</v>
      </c>
      <c r="R102" s="1" t="s">
        <v>652</v>
      </c>
      <c r="S102" s="1" t="s">
        <v>505</v>
      </c>
      <c r="T102" s="1" t="s">
        <v>55</v>
      </c>
      <c r="U102" s="1" t="s">
        <v>699</v>
      </c>
      <c r="V102" s="1" t="s">
        <v>36</v>
      </c>
      <c r="W102" s="1" t="s">
        <v>700</v>
      </c>
      <c r="X102" s="1" t="s">
        <v>701</v>
      </c>
      <c r="Y102" s="1" t="s">
        <v>702</v>
      </c>
      <c r="Z102" s="1">
        <v>1.0</v>
      </c>
    </row>
    <row r="103">
      <c r="A103" s="1" t="s">
        <v>703</v>
      </c>
      <c r="B103" s="1" t="s">
        <v>27</v>
      </c>
      <c r="C103" s="1" t="s">
        <v>629</v>
      </c>
      <c r="D103" s="1" t="s">
        <v>704</v>
      </c>
      <c r="E103" s="1" t="s">
        <v>705</v>
      </c>
      <c r="F103" s="1" t="s">
        <v>706</v>
      </c>
      <c r="G103" s="1">
        <v>92.0</v>
      </c>
      <c r="H103" s="1" t="s">
        <v>707</v>
      </c>
      <c r="I103" s="1" t="s">
        <v>708</v>
      </c>
      <c r="J103" s="1">
        <v>89.0</v>
      </c>
      <c r="K103" s="1" t="s">
        <v>205</v>
      </c>
      <c r="L103" s="1" t="s">
        <v>709</v>
      </c>
      <c r="M103" s="1" t="s">
        <v>410</v>
      </c>
      <c r="N103" s="1" t="s">
        <v>236</v>
      </c>
      <c r="O103" s="1" t="s">
        <v>310</v>
      </c>
      <c r="P103" s="1" t="s">
        <v>481</v>
      </c>
      <c r="Q103" s="1" t="s">
        <v>710</v>
      </c>
      <c r="R103" s="1" t="s">
        <v>711</v>
      </c>
      <c r="S103" s="1" t="s">
        <v>712</v>
      </c>
      <c r="T103" s="1" t="s">
        <v>713</v>
      </c>
      <c r="U103" s="1" t="s">
        <v>373</v>
      </c>
      <c r="V103" s="1" t="s">
        <v>208</v>
      </c>
      <c r="W103" s="1" t="s">
        <v>714</v>
      </c>
      <c r="X103" s="1" t="s">
        <v>715</v>
      </c>
      <c r="Y103" s="1" t="s">
        <v>716</v>
      </c>
      <c r="Z103" s="1">
        <v>1.0</v>
      </c>
    </row>
    <row r="104">
      <c r="A104" s="1" t="s">
        <v>717</v>
      </c>
      <c r="B104" s="1" t="s">
        <v>27</v>
      </c>
      <c r="C104" s="1" t="s">
        <v>240</v>
      </c>
      <c r="D104" s="1" t="s">
        <v>718</v>
      </c>
      <c r="E104" s="1" t="s">
        <v>635</v>
      </c>
      <c r="F104" s="1" t="s">
        <v>190</v>
      </c>
      <c r="G104" s="1" t="s">
        <v>201</v>
      </c>
      <c r="H104" s="1" t="s">
        <v>719</v>
      </c>
      <c r="I104" s="1" t="s">
        <v>720</v>
      </c>
      <c r="J104" s="1" t="s">
        <v>78</v>
      </c>
      <c r="K104" s="1" t="s">
        <v>300</v>
      </c>
      <c r="L104" s="1" t="s">
        <v>315</v>
      </c>
      <c r="M104" s="1" t="s">
        <v>110</v>
      </c>
      <c r="N104" s="1" t="s">
        <v>175</v>
      </c>
      <c r="O104" s="1" t="s">
        <v>82</v>
      </c>
      <c r="P104" s="1" t="s">
        <v>721</v>
      </c>
      <c r="Q104" s="1" t="s">
        <v>225</v>
      </c>
      <c r="R104" s="1" t="s">
        <v>645</v>
      </c>
      <c r="S104" s="1" t="s">
        <v>302</v>
      </c>
      <c r="T104" s="1" t="s">
        <v>245</v>
      </c>
      <c r="U104" s="1" t="s">
        <v>722</v>
      </c>
      <c r="V104" s="1" t="s">
        <v>82</v>
      </c>
      <c r="W104" s="1" t="s">
        <v>723</v>
      </c>
      <c r="X104" s="1" t="s">
        <v>272</v>
      </c>
      <c r="Y104" s="1" t="s">
        <v>724</v>
      </c>
      <c r="Z104" s="1">
        <v>1.0</v>
      </c>
    </row>
    <row r="105">
      <c r="A105" s="1" t="s">
        <v>725</v>
      </c>
      <c r="B105" s="1" t="s">
        <v>27</v>
      </c>
      <c r="C105" s="1" t="s">
        <v>240</v>
      </c>
      <c r="D105" s="1" t="s">
        <v>726</v>
      </c>
      <c r="E105" s="1" t="s">
        <v>310</v>
      </c>
      <c r="F105" s="1" t="s">
        <v>322</v>
      </c>
      <c r="G105" s="1" t="s">
        <v>396</v>
      </c>
      <c r="H105" s="1" t="s">
        <v>727</v>
      </c>
      <c r="I105" s="1" t="s">
        <v>486</v>
      </c>
      <c r="J105" s="1" t="s">
        <v>617</v>
      </c>
      <c r="K105" s="1" t="s">
        <v>728</v>
      </c>
      <c r="L105" s="1" t="s">
        <v>514</v>
      </c>
      <c r="M105" s="1" t="s">
        <v>729</v>
      </c>
      <c r="N105" s="1" t="s">
        <v>208</v>
      </c>
      <c r="O105" s="1" t="s">
        <v>82</v>
      </c>
      <c r="P105" s="1" t="s">
        <v>245</v>
      </c>
      <c r="Q105" s="1" t="s">
        <v>730</v>
      </c>
      <c r="R105" s="1" t="s">
        <v>731</v>
      </c>
      <c r="S105" s="1" t="s">
        <v>732</v>
      </c>
      <c r="T105" s="1" t="s">
        <v>661</v>
      </c>
      <c r="U105" s="1" t="s">
        <v>733</v>
      </c>
      <c r="V105" s="1" t="s">
        <v>227</v>
      </c>
      <c r="W105" s="1" t="s">
        <v>734</v>
      </c>
      <c r="X105" s="1" t="s">
        <v>735</v>
      </c>
      <c r="Y105" s="1" t="s">
        <v>525</v>
      </c>
      <c r="Z105" s="1">
        <v>1.0</v>
      </c>
    </row>
    <row r="106">
      <c r="A106" s="1" t="s">
        <v>736</v>
      </c>
      <c r="B106" s="1" t="s">
        <v>27</v>
      </c>
      <c r="C106" s="1" t="s">
        <v>168</v>
      </c>
      <c r="D106" s="1">
        <v>220.0</v>
      </c>
      <c r="E106" s="1">
        <v>76.0</v>
      </c>
      <c r="F106" s="1">
        <v>80.0</v>
      </c>
      <c r="G106" s="1">
        <v>91.0</v>
      </c>
      <c r="H106" s="1">
        <v>38.0</v>
      </c>
      <c r="I106" s="1">
        <v>36.0</v>
      </c>
      <c r="J106" s="1">
        <v>89.0</v>
      </c>
      <c r="K106" s="1">
        <v>83.0</v>
      </c>
      <c r="L106" s="1">
        <v>64.0</v>
      </c>
      <c r="M106" s="1">
        <v>84.0</v>
      </c>
      <c r="N106" s="1">
        <v>86.0</v>
      </c>
      <c r="O106" s="1">
        <v>86.0</v>
      </c>
      <c r="P106" s="1">
        <v>65.0</v>
      </c>
      <c r="Q106" s="1">
        <v>82.0</v>
      </c>
      <c r="R106" s="1">
        <v>52.0</v>
      </c>
      <c r="S106" s="1">
        <v>71.0</v>
      </c>
      <c r="T106" s="1">
        <v>76.0</v>
      </c>
      <c r="U106" s="1">
        <v>80.0</v>
      </c>
      <c r="V106" s="1">
        <v>86.0</v>
      </c>
      <c r="W106" s="1">
        <v>75.0</v>
      </c>
      <c r="X106" s="1">
        <v>82.0</v>
      </c>
      <c r="Y106" s="1">
        <v>90.0</v>
      </c>
      <c r="Z106" s="1">
        <v>1.0</v>
      </c>
    </row>
    <row r="107">
      <c r="A107" s="1" t="s">
        <v>737</v>
      </c>
      <c r="B107" s="1" t="s">
        <v>27</v>
      </c>
      <c r="C107" s="1" t="s">
        <v>470</v>
      </c>
      <c r="D107" s="1">
        <v>200.0</v>
      </c>
      <c r="E107" s="1">
        <v>75.0</v>
      </c>
      <c r="F107" s="1">
        <v>85.0</v>
      </c>
      <c r="G107" s="1">
        <v>87.0</v>
      </c>
      <c r="H107" s="1">
        <v>32.0</v>
      </c>
      <c r="I107" s="1">
        <v>26.0</v>
      </c>
      <c r="J107" s="1">
        <v>85.0</v>
      </c>
      <c r="K107" s="1">
        <v>87.0</v>
      </c>
      <c r="L107" s="1">
        <v>80.0</v>
      </c>
      <c r="M107" s="1">
        <v>85.0</v>
      </c>
      <c r="N107" s="1">
        <v>86.0</v>
      </c>
      <c r="O107" s="1">
        <v>91.0</v>
      </c>
      <c r="P107" s="1">
        <v>46.0</v>
      </c>
      <c r="Q107" s="1">
        <v>85.0</v>
      </c>
      <c r="R107" s="1">
        <v>91.0</v>
      </c>
      <c r="S107" s="1">
        <v>35.0</v>
      </c>
      <c r="T107" s="1">
        <v>28.0</v>
      </c>
      <c r="U107" s="1">
        <v>45.0</v>
      </c>
      <c r="V107" s="1">
        <v>91.0</v>
      </c>
      <c r="W107" s="1">
        <v>80.0</v>
      </c>
      <c r="X107" s="1">
        <v>73.0</v>
      </c>
      <c r="Y107" s="1">
        <v>75.0</v>
      </c>
      <c r="Z107" s="1">
        <v>1.0</v>
      </c>
    </row>
    <row r="108">
      <c r="A108" s="1" t="s">
        <v>738</v>
      </c>
      <c r="B108" s="1" t="s">
        <v>27</v>
      </c>
      <c r="C108" s="1" t="s">
        <v>192</v>
      </c>
      <c r="D108" s="1">
        <v>181.0</v>
      </c>
      <c r="E108" s="1">
        <v>77.0</v>
      </c>
      <c r="F108" s="1">
        <v>86.0</v>
      </c>
      <c r="G108" s="1">
        <v>73.0</v>
      </c>
      <c r="H108" s="1">
        <v>40.0</v>
      </c>
      <c r="I108" s="1">
        <v>60.0</v>
      </c>
      <c r="J108" s="1">
        <v>85.0</v>
      </c>
      <c r="K108" s="1">
        <v>92.0</v>
      </c>
      <c r="L108" s="1">
        <v>85.0</v>
      </c>
      <c r="M108" s="1">
        <v>91.0</v>
      </c>
      <c r="N108" s="1">
        <v>90.0</v>
      </c>
      <c r="O108" s="1">
        <v>75.0</v>
      </c>
      <c r="P108" s="1">
        <v>54.0</v>
      </c>
      <c r="Q108" s="1">
        <v>74.0</v>
      </c>
      <c r="R108" s="1">
        <v>67.0</v>
      </c>
      <c r="S108" s="1">
        <v>50.0</v>
      </c>
      <c r="T108" s="1">
        <v>60.0</v>
      </c>
      <c r="U108" s="1">
        <v>73.0</v>
      </c>
      <c r="V108" s="1">
        <v>75.0</v>
      </c>
      <c r="W108" s="1">
        <v>74.0</v>
      </c>
      <c r="X108" s="1">
        <v>51.0</v>
      </c>
      <c r="Y108" s="1">
        <v>83.0</v>
      </c>
      <c r="Z108" s="1">
        <v>1.0</v>
      </c>
    </row>
    <row r="109">
      <c r="A109" s="1" t="s">
        <v>739</v>
      </c>
      <c r="B109" s="1" t="s">
        <v>27</v>
      </c>
      <c r="C109" s="1" t="s">
        <v>740</v>
      </c>
      <c r="D109" s="1" t="s">
        <v>741</v>
      </c>
      <c r="E109" s="1" t="s">
        <v>742</v>
      </c>
      <c r="F109" s="1" t="s">
        <v>424</v>
      </c>
      <c r="G109" s="1" t="s">
        <v>495</v>
      </c>
      <c r="H109" s="1" t="s">
        <v>743</v>
      </c>
      <c r="I109" s="1" t="s">
        <v>744</v>
      </c>
      <c r="J109" s="1" t="s">
        <v>95</v>
      </c>
      <c r="K109" s="1" t="s">
        <v>517</v>
      </c>
      <c r="L109" s="1" t="s">
        <v>745</v>
      </c>
      <c r="M109" s="1" t="s">
        <v>265</v>
      </c>
      <c r="N109" s="1" t="s">
        <v>60</v>
      </c>
      <c r="O109" s="1" t="s">
        <v>180</v>
      </c>
      <c r="P109" s="1" t="s">
        <v>369</v>
      </c>
      <c r="Q109" s="1" t="s">
        <v>35</v>
      </c>
      <c r="R109" s="1" t="s">
        <v>645</v>
      </c>
      <c r="S109" s="1" t="s">
        <v>746</v>
      </c>
      <c r="T109" s="1" t="s">
        <v>699</v>
      </c>
      <c r="U109" s="1" t="s">
        <v>321</v>
      </c>
      <c r="V109" s="1" t="s">
        <v>180</v>
      </c>
      <c r="W109" s="1" t="s">
        <v>142</v>
      </c>
      <c r="X109" s="1" t="s">
        <v>747</v>
      </c>
      <c r="Y109" s="1" t="s">
        <v>498</v>
      </c>
      <c r="Z109" s="1">
        <v>1.0</v>
      </c>
    </row>
    <row r="110">
      <c r="A110" s="1" t="s">
        <v>748</v>
      </c>
      <c r="B110" s="1" t="s">
        <v>27</v>
      </c>
      <c r="C110" s="1" t="s">
        <v>749</v>
      </c>
      <c r="D110" s="1" t="s">
        <v>750</v>
      </c>
      <c r="E110" s="1" t="s">
        <v>204</v>
      </c>
      <c r="F110" s="1" t="s">
        <v>174</v>
      </c>
      <c r="G110" s="1" t="s">
        <v>382</v>
      </c>
      <c r="H110" s="1" t="s">
        <v>661</v>
      </c>
      <c r="I110" s="1" t="s">
        <v>751</v>
      </c>
      <c r="J110" s="1">
        <v>85.0</v>
      </c>
      <c r="K110" s="1">
        <v>95.0</v>
      </c>
      <c r="L110" s="1" t="s">
        <v>52</v>
      </c>
      <c r="M110" s="1" t="s">
        <v>657</v>
      </c>
      <c r="N110" s="1" t="s">
        <v>179</v>
      </c>
      <c r="O110" s="1" t="s">
        <v>463</v>
      </c>
      <c r="P110" s="1" t="s">
        <v>752</v>
      </c>
      <c r="Q110" s="1">
        <v>85.0</v>
      </c>
      <c r="R110" s="1" t="s">
        <v>753</v>
      </c>
      <c r="S110" s="1" t="s">
        <v>751</v>
      </c>
      <c r="T110" s="1">
        <v>25.0</v>
      </c>
      <c r="U110" s="1" t="s">
        <v>270</v>
      </c>
      <c r="V110" s="1" t="s">
        <v>82</v>
      </c>
      <c r="W110" s="1" t="s">
        <v>754</v>
      </c>
      <c r="X110" s="1">
        <v>85.0</v>
      </c>
      <c r="Y110" s="1" t="s">
        <v>755</v>
      </c>
      <c r="Z110" s="1">
        <v>1.0</v>
      </c>
    </row>
    <row r="111">
      <c r="A111" s="1" t="s">
        <v>756</v>
      </c>
      <c r="B111" s="1" t="s">
        <v>27</v>
      </c>
      <c r="C111" s="1" t="s">
        <v>145</v>
      </c>
      <c r="D111" s="1">
        <v>230.0</v>
      </c>
      <c r="E111" s="1">
        <v>78.0</v>
      </c>
      <c r="F111" s="1">
        <v>80.0</v>
      </c>
      <c r="G111" s="1">
        <v>80.0</v>
      </c>
      <c r="H111" s="1">
        <v>37.0</v>
      </c>
      <c r="I111" s="1">
        <v>45.0</v>
      </c>
      <c r="J111" s="1">
        <v>86.0</v>
      </c>
      <c r="K111" s="1">
        <v>77.0</v>
      </c>
      <c r="L111" s="1">
        <v>84.0</v>
      </c>
      <c r="M111" s="1">
        <v>82.0</v>
      </c>
      <c r="N111" s="1">
        <v>86.0</v>
      </c>
      <c r="O111" s="1">
        <v>75.0</v>
      </c>
      <c r="P111" s="1">
        <v>64.0</v>
      </c>
      <c r="Q111" s="1">
        <v>90.0</v>
      </c>
      <c r="R111" s="1">
        <v>85.0</v>
      </c>
      <c r="S111" s="1">
        <v>74.0</v>
      </c>
      <c r="T111" s="1">
        <v>27.0</v>
      </c>
      <c r="U111" s="1">
        <v>50.0</v>
      </c>
      <c r="V111" s="1">
        <v>82.0</v>
      </c>
      <c r="W111" s="1">
        <v>83.0</v>
      </c>
      <c r="X111" s="1">
        <v>85.0</v>
      </c>
      <c r="Y111" s="1">
        <v>70.0</v>
      </c>
      <c r="Z111" s="1">
        <v>1.0</v>
      </c>
    </row>
    <row r="112">
      <c r="A112" s="1" t="s">
        <v>757</v>
      </c>
      <c r="B112" s="1" t="s">
        <v>27</v>
      </c>
      <c r="C112" s="1" t="s">
        <v>145</v>
      </c>
      <c r="D112" s="1">
        <v>212.0</v>
      </c>
      <c r="E112" s="1">
        <v>55.0</v>
      </c>
      <c r="F112" s="1">
        <v>70.0</v>
      </c>
      <c r="G112" s="1">
        <v>75.0</v>
      </c>
      <c r="H112" s="1">
        <v>25.0</v>
      </c>
      <c r="I112" s="1">
        <v>44.0</v>
      </c>
      <c r="J112" s="1">
        <v>70.0</v>
      </c>
      <c r="K112" s="1">
        <v>80.0</v>
      </c>
      <c r="L112" s="1">
        <v>56.0</v>
      </c>
      <c r="M112" s="1">
        <v>60.0</v>
      </c>
      <c r="N112" s="1">
        <v>85.0</v>
      </c>
      <c r="O112" s="1">
        <v>80.0</v>
      </c>
      <c r="P112" s="1">
        <v>60.0</v>
      </c>
      <c r="Q112" s="1">
        <v>96.0</v>
      </c>
      <c r="R112" s="1">
        <v>90.0</v>
      </c>
      <c r="S112" s="1">
        <v>70.0</v>
      </c>
      <c r="T112" s="1">
        <v>38.0</v>
      </c>
      <c r="U112" s="1">
        <v>57.0</v>
      </c>
      <c r="V112" s="1">
        <v>91.0</v>
      </c>
      <c r="W112" s="1">
        <v>90.0</v>
      </c>
      <c r="X112" s="1">
        <v>84.0</v>
      </c>
      <c r="Y112" s="1">
        <v>61.0</v>
      </c>
      <c r="Z112" s="1">
        <v>1.0</v>
      </c>
    </row>
    <row r="113">
      <c r="A113" s="1" t="s">
        <v>758</v>
      </c>
      <c r="B113" s="1" t="s">
        <v>27</v>
      </c>
      <c r="C113" s="1" t="s">
        <v>629</v>
      </c>
      <c r="D113" s="1" t="s">
        <v>759</v>
      </c>
      <c r="E113" s="1" t="s">
        <v>760</v>
      </c>
      <c r="F113" s="1" t="s">
        <v>761</v>
      </c>
      <c r="G113" s="1">
        <v>87.0</v>
      </c>
      <c r="H113" s="1">
        <v>37.0</v>
      </c>
      <c r="I113" s="1" t="s">
        <v>762</v>
      </c>
      <c r="J113" s="1">
        <v>80.0</v>
      </c>
      <c r="K113" s="1" t="s">
        <v>625</v>
      </c>
      <c r="L113" s="1" t="s">
        <v>763</v>
      </c>
      <c r="M113" s="1" t="s">
        <v>410</v>
      </c>
      <c r="N113" s="1" t="s">
        <v>706</v>
      </c>
      <c r="O113" s="1" t="s">
        <v>548</v>
      </c>
      <c r="P113" s="1">
        <v>59.0</v>
      </c>
      <c r="Q113" s="1">
        <v>77.0</v>
      </c>
      <c r="R113" s="1" t="s">
        <v>764</v>
      </c>
      <c r="S113" s="1" t="s">
        <v>765</v>
      </c>
      <c r="T113" s="1" t="s">
        <v>361</v>
      </c>
      <c r="U113" s="1" t="s">
        <v>81</v>
      </c>
      <c r="V113" s="1" t="s">
        <v>766</v>
      </c>
      <c r="W113" s="1" t="s">
        <v>235</v>
      </c>
      <c r="X113" s="1" t="s">
        <v>728</v>
      </c>
      <c r="Y113" s="1" t="s">
        <v>174</v>
      </c>
      <c r="Z113" s="1">
        <v>1.0</v>
      </c>
    </row>
    <row r="114">
      <c r="A114" s="1" t="s">
        <v>767</v>
      </c>
      <c r="B114" s="1" t="s">
        <v>27</v>
      </c>
      <c r="C114" s="1" t="s">
        <v>216</v>
      </c>
      <c r="D114" s="1">
        <v>215.0</v>
      </c>
      <c r="E114" s="1">
        <v>75.0</v>
      </c>
      <c r="F114" s="1">
        <v>85.0</v>
      </c>
      <c r="G114" s="1">
        <v>60.0</v>
      </c>
      <c r="H114" s="1">
        <v>45.0</v>
      </c>
      <c r="I114" s="1">
        <v>40.0</v>
      </c>
      <c r="J114" s="1">
        <v>83.0</v>
      </c>
      <c r="K114" s="1">
        <v>93.0</v>
      </c>
      <c r="L114" s="1">
        <v>86.0</v>
      </c>
      <c r="M114" s="1">
        <v>82.0</v>
      </c>
      <c r="N114" s="1">
        <v>86.0</v>
      </c>
      <c r="O114" s="1">
        <v>86.0</v>
      </c>
      <c r="P114" s="1">
        <v>60.0</v>
      </c>
      <c r="Q114" s="1">
        <v>74.0</v>
      </c>
      <c r="R114" s="1">
        <v>60.0</v>
      </c>
      <c r="S114" s="1">
        <v>40.0</v>
      </c>
      <c r="T114" s="1">
        <v>50.0</v>
      </c>
      <c r="U114" s="1">
        <v>60.0</v>
      </c>
      <c r="V114" s="1">
        <v>86.0</v>
      </c>
      <c r="W114" s="1">
        <v>79.0</v>
      </c>
      <c r="X114" s="1">
        <v>85.0</v>
      </c>
      <c r="Y114" s="1">
        <v>75.0</v>
      </c>
      <c r="Z114" s="1">
        <v>1.0</v>
      </c>
    </row>
    <row r="115">
      <c r="A115" s="1" t="s">
        <v>768</v>
      </c>
      <c r="B115" s="1" t="s">
        <v>27</v>
      </c>
      <c r="C115" s="1" t="s">
        <v>192</v>
      </c>
      <c r="D115" s="1">
        <v>205.0</v>
      </c>
      <c r="E115" s="1">
        <v>75.0</v>
      </c>
      <c r="F115" s="1">
        <v>76.0</v>
      </c>
      <c r="G115" s="1">
        <v>70.0</v>
      </c>
      <c r="H115" s="1">
        <v>27.0</v>
      </c>
      <c r="I115" s="1">
        <v>54.0</v>
      </c>
      <c r="J115" s="1">
        <v>90.0</v>
      </c>
      <c r="K115" s="1">
        <v>92.0</v>
      </c>
      <c r="L115" s="1">
        <v>70.0</v>
      </c>
      <c r="M115" s="1">
        <v>76.0</v>
      </c>
      <c r="N115" s="1">
        <v>91.0</v>
      </c>
      <c r="O115" s="1">
        <v>71.0</v>
      </c>
      <c r="P115" s="1">
        <v>64.0</v>
      </c>
      <c r="Q115" s="1">
        <v>75.0</v>
      </c>
      <c r="R115" s="1">
        <v>79.0</v>
      </c>
      <c r="S115" s="1">
        <v>36.0</v>
      </c>
      <c r="T115" s="1">
        <v>55.0</v>
      </c>
      <c r="U115" s="1">
        <v>56.0</v>
      </c>
      <c r="V115" s="1">
        <v>90.0</v>
      </c>
      <c r="W115" s="1">
        <v>75.0</v>
      </c>
      <c r="X115" s="1">
        <v>88.0</v>
      </c>
      <c r="Y115" s="1">
        <v>62.0</v>
      </c>
      <c r="Z115" s="1">
        <v>1.0</v>
      </c>
    </row>
    <row r="116">
      <c r="A116" s="1" t="s">
        <v>769</v>
      </c>
      <c r="B116" s="1" t="s">
        <v>27</v>
      </c>
      <c r="C116" s="1" t="s">
        <v>192</v>
      </c>
      <c r="D116" s="1">
        <v>207.0</v>
      </c>
      <c r="E116" s="1">
        <v>58.0</v>
      </c>
      <c r="F116" s="1">
        <v>55.0</v>
      </c>
      <c r="G116" s="1">
        <v>75.0</v>
      </c>
      <c r="H116" s="1">
        <v>30.0</v>
      </c>
      <c r="I116" s="1">
        <v>47.0</v>
      </c>
      <c r="J116" s="1">
        <v>73.0</v>
      </c>
      <c r="K116" s="1">
        <v>83.0</v>
      </c>
      <c r="L116" s="1">
        <v>65.0</v>
      </c>
      <c r="M116" s="1">
        <v>60.0</v>
      </c>
      <c r="N116" s="1">
        <v>60.0</v>
      </c>
      <c r="O116" s="1">
        <v>65.0</v>
      </c>
      <c r="P116" s="1">
        <v>82.0</v>
      </c>
      <c r="Q116" s="1">
        <v>94.0</v>
      </c>
      <c r="R116" s="1">
        <v>94.0</v>
      </c>
      <c r="S116" s="1">
        <v>84.0</v>
      </c>
      <c r="T116" s="1">
        <v>37.0</v>
      </c>
      <c r="U116" s="1">
        <v>62.0</v>
      </c>
      <c r="V116" s="1">
        <v>90.0</v>
      </c>
      <c r="W116" s="1">
        <v>87.0</v>
      </c>
      <c r="X116" s="1">
        <v>82.0</v>
      </c>
      <c r="Y116" s="1">
        <v>75.0</v>
      </c>
      <c r="Z116" s="1">
        <v>1.0</v>
      </c>
    </row>
    <row r="117">
      <c r="A117" s="1" t="s">
        <v>770</v>
      </c>
      <c r="B117" s="1" t="s">
        <v>27</v>
      </c>
      <c r="C117" s="1" t="s">
        <v>168</v>
      </c>
      <c r="D117" s="1">
        <v>220.0</v>
      </c>
      <c r="E117" s="1">
        <v>84.0</v>
      </c>
      <c r="F117" s="1">
        <v>77.0</v>
      </c>
      <c r="G117" s="1">
        <v>89.0</v>
      </c>
      <c r="H117" s="1">
        <v>63.0</v>
      </c>
      <c r="I117" s="1">
        <v>43.0</v>
      </c>
      <c r="J117" s="1">
        <v>92.0</v>
      </c>
      <c r="K117" s="1">
        <v>83.0</v>
      </c>
      <c r="L117" s="1">
        <v>97.0</v>
      </c>
      <c r="M117" s="1">
        <v>84.0</v>
      </c>
      <c r="N117" s="1">
        <v>90.0</v>
      </c>
      <c r="O117" s="1">
        <v>86.0</v>
      </c>
      <c r="P117" s="1">
        <v>54.0</v>
      </c>
      <c r="Q117" s="1">
        <v>74.0</v>
      </c>
      <c r="R117" s="1">
        <v>60.0</v>
      </c>
      <c r="S117" s="1">
        <v>36.0</v>
      </c>
      <c r="T117" s="1">
        <v>25.0</v>
      </c>
      <c r="U117" s="1">
        <v>43.0</v>
      </c>
      <c r="V117" s="1">
        <v>86.0</v>
      </c>
      <c r="W117" s="1">
        <v>80.0</v>
      </c>
      <c r="X117" s="1">
        <v>83.0</v>
      </c>
      <c r="Y117" s="1">
        <v>77.0</v>
      </c>
      <c r="Z117" s="1">
        <v>1.0</v>
      </c>
    </row>
    <row r="118">
      <c r="A118" s="1" t="s">
        <v>771</v>
      </c>
      <c r="B118" s="1" t="s">
        <v>27</v>
      </c>
      <c r="C118" s="1" t="s">
        <v>147</v>
      </c>
      <c r="D118" s="1" t="s">
        <v>772</v>
      </c>
      <c r="E118" s="1">
        <v>84.0</v>
      </c>
      <c r="F118" s="1" t="s">
        <v>773</v>
      </c>
      <c r="G118" s="1" t="s">
        <v>774</v>
      </c>
      <c r="H118" s="1" t="s">
        <v>775</v>
      </c>
      <c r="I118" s="1">
        <v>53.0</v>
      </c>
      <c r="J118" s="1" t="s">
        <v>201</v>
      </c>
      <c r="K118" s="1" t="s">
        <v>205</v>
      </c>
      <c r="L118" s="1" t="s">
        <v>417</v>
      </c>
      <c r="M118" s="1" t="s">
        <v>205</v>
      </c>
      <c r="N118" s="1" t="s">
        <v>179</v>
      </c>
      <c r="O118" s="1" t="s">
        <v>400</v>
      </c>
      <c r="P118" s="1" t="s">
        <v>776</v>
      </c>
      <c r="Q118" s="1" t="s">
        <v>134</v>
      </c>
      <c r="R118" s="1" t="s">
        <v>777</v>
      </c>
      <c r="S118" s="1" t="s">
        <v>778</v>
      </c>
      <c r="T118" s="1" t="s">
        <v>779</v>
      </c>
      <c r="U118" s="1" t="s">
        <v>522</v>
      </c>
      <c r="V118" s="1" t="s">
        <v>780</v>
      </c>
      <c r="W118" s="1">
        <v>80.0</v>
      </c>
      <c r="X118" s="1" t="s">
        <v>671</v>
      </c>
      <c r="Y118" s="1" t="s">
        <v>781</v>
      </c>
      <c r="Z118" s="1">
        <v>1.0</v>
      </c>
    </row>
    <row r="119">
      <c r="A119" s="1" t="s">
        <v>782</v>
      </c>
      <c r="B119" s="1" t="s">
        <v>27</v>
      </c>
      <c r="C119" s="1" t="s">
        <v>192</v>
      </c>
      <c r="D119" s="1">
        <v>205.0</v>
      </c>
      <c r="E119" s="1">
        <v>80.0</v>
      </c>
      <c r="F119" s="1">
        <v>90.0</v>
      </c>
      <c r="G119" s="1">
        <v>40.0</v>
      </c>
      <c r="H119" s="1">
        <v>26.0</v>
      </c>
      <c r="I119" s="1">
        <v>79.0</v>
      </c>
      <c r="J119" s="1">
        <v>93.0</v>
      </c>
      <c r="K119" s="1">
        <v>90.0</v>
      </c>
      <c r="L119" s="1">
        <v>91.0</v>
      </c>
      <c r="M119" s="1">
        <v>92.0</v>
      </c>
      <c r="N119" s="1">
        <v>86.0</v>
      </c>
      <c r="O119" s="1">
        <v>80.0</v>
      </c>
      <c r="P119" s="1">
        <v>59.0</v>
      </c>
      <c r="Q119" s="1">
        <v>74.0</v>
      </c>
      <c r="R119" s="1">
        <v>44.0</v>
      </c>
      <c r="S119" s="1">
        <v>29.0</v>
      </c>
      <c r="T119" s="1">
        <v>39.0</v>
      </c>
      <c r="U119" s="1">
        <v>60.0</v>
      </c>
      <c r="V119" s="1">
        <v>80.0</v>
      </c>
      <c r="W119" s="1">
        <v>80.0</v>
      </c>
      <c r="X119" s="1">
        <v>84.0</v>
      </c>
      <c r="Y119" s="1">
        <v>70.0</v>
      </c>
      <c r="Z119" s="1">
        <v>1.0</v>
      </c>
    </row>
    <row r="120">
      <c r="A120" s="1" t="s">
        <v>783</v>
      </c>
      <c r="B120" s="1" t="s">
        <v>27</v>
      </c>
      <c r="C120" s="1" t="s">
        <v>145</v>
      </c>
      <c r="D120" s="1">
        <v>195.0</v>
      </c>
      <c r="E120" s="1">
        <v>76.0</v>
      </c>
      <c r="F120" s="1">
        <v>90.0</v>
      </c>
      <c r="G120" s="1">
        <v>75.0</v>
      </c>
      <c r="H120" s="1">
        <v>26.0</v>
      </c>
      <c r="I120" s="1">
        <v>44.0</v>
      </c>
      <c r="J120" s="1">
        <v>71.0</v>
      </c>
      <c r="K120" s="1">
        <v>81.0</v>
      </c>
      <c r="L120" s="1">
        <v>75.0</v>
      </c>
      <c r="M120" s="1">
        <v>95.0</v>
      </c>
      <c r="N120" s="1">
        <v>87.0</v>
      </c>
      <c r="O120" s="1">
        <v>86.0</v>
      </c>
      <c r="P120" s="1">
        <v>57.0</v>
      </c>
      <c r="Q120" s="1">
        <v>80.0</v>
      </c>
      <c r="R120" s="1">
        <v>73.0</v>
      </c>
      <c r="S120" s="1">
        <v>31.0</v>
      </c>
      <c r="T120" s="1">
        <v>33.0</v>
      </c>
      <c r="U120" s="1">
        <v>46.0</v>
      </c>
      <c r="V120" s="1">
        <v>86.0</v>
      </c>
      <c r="W120" s="1">
        <v>84.0</v>
      </c>
      <c r="X120" s="1">
        <v>75.0</v>
      </c>
      <c r="Y120" s="1">
        <v>65.0</v>
      </c>
      <c r="Z120" s="1">
        <v>1.0</v>
      </c>
    </row>
    <row r="121">
      <c r="A121" s="1" t="s">
        <v>784</v>
      </c>
      <c r="B121" s="1" t="s">
        <v>27</v>
      </c>
      <c r="C121" s="1" t="s">
        <v>168</v>
      </c>
      <c r="D121" s="1">
        <v>200.0</v>
      </c>
      <c r="E121" s="1">
        <v>72.0</v>
      </c>
      <c r="F121" s="1">
        <v>85.0</v>
      </c>
      <c r="G121" s="1">
        <v>87.0</v>
      </c>
      <c r="H121" s="1">
        <v>34.0</v>
      </c>
      <c r="I121" s="1">
        <v>40.0</v>
      </c>
      <c r="J121" s="1">
        <v>85.0</v>
      </c>
      <c r="K121" s="1">
        <v>87.0</v>
      </c>
      <c r="L121" s="1">
        <v>83.0</v>
      </c>
      <c r="M121" s="1">
        <v>91.0</v>
      </c>
      <c r="N121" s="1">
        <v>90.0</v>
      </c>
      <c r="O121" s="1">
        <v>80.0</v>
      </c>
      <c r="P121" s="1">
        <v>49.0</v>
      </c>
      <c r="Q121" s="1">
        <v>84.0</v>
      </c>
      <c r="R121" s="1">
        <v>89.0</v>
      </c>
      <c r="S121" s="1">
        <v>34.0</v>
      </c>
      <c r="T121" s="1">
        <v>25.0</v>
      </c>
      <c r="U121" s="1">
        <v>45.0</v>
      </c>
      <c r="V121" s="1">
        <v>84.0</v>
      </c>
      <c r="W121" s="1">
        <v>82.0</v>
      </c>
      <c r="X121" s="1">
        <v>50.0</v>
      </c>
      <c r="Y121" s="1">
        <v>75.0</v>
      </c>
      <c r="Z121" s="1">
        <v>1.0</v>
      </c>
    </row>
    <row r="122">
      <c r="A122" s="1" t="s">
        <v>785</v>
      </c>
      <c r="B122" s="1" t="s">
        <v>27</v>
      </c>
      <c r="C122" s="1" t="s">
        <v>308</v>
      </c>
      <c r="D122" s="1" t="s">
        <v>786</v>
      </c>
      <c r="E122" s="1" t="s">
        <v>787</v>
      </c>
      <c r="F122" s="1" t="s">
        <v>31</v>
      </c>
      <c r="G122" s="1" t="s">
        <v>48</v>
      </c>
      <c r="H122" s="1" t="s">
        <v>788</v>
      </c>
      <c r="I122" s="1" t="s">
        <v>789</v>
      </c>
      <c r="J122" s="1" t="s">
        <v>221</v>
      </c>
      <c r="K122" s="1" t="s">
        <v>790</v>
      </c>
      <c r="L122" s="1" t="s">
        <v>791</v>
      </c>
      <c r="M122" s="1" t="s">
        <v>154</v>
      </c>
      <c r="N122" s="1" t="s">
        <v>79</v>
      </c>
      <c r="O122" s="1" t="s">
        <v>137</v>
      </c>
      <c r="P122" s="1" t="s">
        <v>245</v>
      </c>
      <c r="Q122" s="1" t="s">
        <v>792</v>
      </c>
      <c r="R122" s="1" t="s">
        <v>793</v>
      </c>
      <c r="S122" s="1" t="s">
        <v>344</v>
      </c>
      <c r="T122" s="1" t="s">
        <v>65</v>
      </c>
      <c r="U122" s="1" t="s">
        <v>794</v>
      </c>
      <c r="V122" s="1" t="s">
        <v>35</v>
      </c>
      <c r="W122" s="1" t="s">
        <v>723</v>
      </c>
      <c r="X122" s="1" t="s">
        <v>795</v>
      </c>
      <c r="Y122" s="1" t="s">
        <v>796</v>
      </c>
      <c r="Z122" s="1">
        <v>1.0</v>
      </c>
    </row>
    <row r="123">
      <c r="A123" s="1" t="s">
        <v>797</v>
      </c>
      <c r="B123" s="1" t="s">
        <v>27</v>
      </c>
      <c r="C123" s="1" t="s">
        <v>749</v>
      </c>
      <c r="D123" s="1" t="s">
        <v>798</v>
      </c>
      <c r="E123" s="1" t="s">
        <v>242</v>
      </c>
      <c r="F123" s="1" t="s">
        <v>110</v>
      </c>
      <c r="G123" s="1" t="s">
        <v>322</v>
      </c>
      <c r="H123" s="1" t="s">
        <v>799</v>
      </c>
      <c r="I123" s="1" t="s">
        <v>800</v>
      </c>
      <c r="J123" s="1" t="s">
        <v>716</v>
      </c>
      <c r="K123" s="1" t="s">
        <v>96</v>
      </c>
      <c r="L123" s="1" t="s">
        <v>801</v>
      </c>
      <c r="M123" s="1" t="s">
        <v>179</v>
      </c>
      <c r="N123" s="1" t="s">
        <v>208</v>
      </c>
      <c r="O123" s="1" t="s">
        <v>802</v>
      </c>
      <c r="P123" s="1" t="s">
        <v>112</v>
      </c>
      <c r="Q123" s="1" t="s">
        <v>670</v>
      </c>
      <c r="R123" s="1" t="s">
        <v>803</v>
      </c>
      <c r="S123" s="1" t="s">
        <v>804</v>
      </c>
      <c r="T123" s="1" t="s">
        <v>55</v>
      </c>
      <c r="U123" s="1" t="s">
        <v>805</v>
      </c>
      <c r="V123" s="1" t="s">
        <v>806</v>
      </c>
      <c r="W123" s="1" t="s">
        <v>253</v>
      </c>
      <c r="X123" s="1" t="s">
        <v>807</v>
      </c>
      <c r="Y123" s="1" t="s">
        <v>808</v>
      </c>
      <c r="Z123" s="1">
        <v>1.0</v>
      </c>
    </row>
    <row r="124">
      <c r="A124" s="1" t="s">
        <v>809</v>
      </c>
      <c r="B124" s="1" t="s">
        <v>27</v>
      </c>
      <c r="C124" s="1" t="s">
        <v>612</v>
      </c>
      <c r="D124" s="1" t="s">
        <v>529</v>
      </c>
      <c r="E124" s="1" t="s">
        <v>428</v>
      </c>
      <c r="F124" s="1" t="s">
        <v>207</v>
      </c>
      <c r="G124" s="1" t="s">
        <v>129</v>
      </c>
      <c r="H124" s="1" t="s">
        <v>810</v>
      </c>
      <c r="I124" s="1" t="s">
        <v>811</v>
      </c>
      <c r="J124" s="1" t="s">
        <v>96</v>
      </c>
      <c r="K124" s="1" t="s">
        <v>477</v>
      </c>
      <c r="L124" s="1" t="s">
        <v>812</v>
      </c>
      <c r="M124" s="1" t="s">
        <v>229</v>
      </c>
      <c r="N124" s="1" t="s">
        <v>617</v>
      </c>
      <c r="O124" s="1" t="s">
        <v>234</v>
      </c>
      <c r="P124" s="1" t="s">
        <v>813</v>
      </c>
      <c r="Q124" s="1" t="s">
        <v>384</v>
      </c>
      <c r="R124" s="1" t="s">
        <v>814</v>
      </c>
      <c r="S124" s="1" t="s">
        <v>615</v>
      </c>
      <c r="T124" s="1" t="s">
        <v>74</v>
      </c>
      <c r="U124" s="1" t="s">
        <v>815</v>
      </c>
      <c r="V124" s="1" t="s">
        <v>434</v>
      </c>
      <c r="W124" s="1" t="s">
        <v>174</v>
      </c>
      <c r="X124" s="1" t="s">
        <v>816</v>
      </c>
      <c r="Y124" s="1" t="s">
        <v>817</v>
      </c>
      <c r="Z124" s="1">
        <v>1.0</v>
      </c>
    </row>
    <row r="125">
      <c r="A125" s="1" t="s">
        <v>818</v>
      </c>
      <c r="B125" s="1" t="s">
        <v>27</v>
      </c>
      <c r="C125" s="1" t="s">
        <v>168</v>
      </c>
      <c r="D125" s="1">
        <v>205.0</v>
      </c>
      <c r="E125" s="1">
        <v>81.0</v>
      </c>
      <c r="F125" s="1">
        <v>83.0</v>
      </c>
      <c r="G125" s="1">
        <v>84.0</v>
      </c>
      <c r="H125" s="1">
        <v>62.0</v>
      </c>
      <c r="I125" s="1">
        <v>41.0</v>
      </c>
      <c r="J125" s="1">
        <v>84.0</v>
      </c>
      <c r="K125" s="1">
        <v>83.0</v>
      </c>
      <c r="L125" s="1">
        <v>96.0</v>
      </c>
      <c r="M125" s="1">
        <v>86.0</v>
      </c>
      <c r="N125" s="1">
        <v>91.0</v>
      </c>
      <c r="O125" s="1">
        <v>84.0</v>
      </c>
      <c r="P125" s="1">
        <v>36.0</v>
      </c>
      <c r="Q125" s="1">
        <v>81.0</v>
      </c>
      <c r="R125" s="1">
        <v>51.0</v>
      </c>
      <c r="S125" s="1">
        <v>35.0</v>
      </c>
      <c r="T125" s="1">
        <v>25.0</v>
      </c>
      <c r="U125" s="1">
        <v>41.0</v>
      </c>
      <c r="V125" s="1">
        <v>94.0</v>
      </c>
      <c r="W125" s="1">
        <v>79.0</v>
      </c>
      <c r="X125" s="1">
        <v>66.0</v>
      </c>
      <c r="Y125" s="1">
        <v>80.0</v>
      </c>
      <c r="Z125" s="1">
        <v>1.0</v>
      </c>
    </row>
    <row r="126">
      <c r="A126" s="1" t="s">
        <v>819</v>
      </c>
      <c r="B126" s="1" t="s">
        <v>27</v>
      </c>
      <c r="C126" s="1" t="s">
        <v>192</v>
      </c>
      <c r="D126" s="1">
        <v>230.0</v>
      </c>
      <c r="E126" s="1">
        <v>80.0</v>
      </c>
      <c r="F126" s="1">
        <v>80.0</v>
      </c>
      <c r="G126" s="1">
        <v>87.0</v>
      </c>
      <c r="H126" s="1">
        <v>37.0</v>
      </c>
      <c r="I126" s="1">
        <v>45.0</v>
      </c>
      <c r="J126" s="1">
        <v>70.0</v>
      </c>
      <c r="K126" s="1">
        <v>78.0</v>
      </c>
      <c r="L126" s="1">
        <v>84.0</v>
      </c>
      <c r="M126" s="1">
        <v>90.0</v>
      </c>
      <c r="N126" s="1">
        <v>85.0</v>
      </c>
      <c r="O126" s="1">
        <v>75.0</v>
      </c>
      <c r="P126" s="1">
        <v>80.0</v>
      </c>
      <c r="Q126" s="1">
        <v>74.0</v>
      </c>
      <c r="R126" s="1">
        <v>73.0</v>
      </c>
      <c r="S126" s="1">
        <v>78.0</v>
      </c>
      <c r="T126" s="1">
        <v>81.0</v>
      </c>
      <c r="U126" s="1">
        <v>85.0</v>
      </c>
      <c r="V126" s="1">
        <v>85.0</v>
      </c>
      <c r="W126" s="1">
        <v>83.0</v>
      </c>
      <c r="X126" s="1">
        <v>71.0</v>
      </c>
      <c r="Y126" s="1">
        <v>74.0</v>
      </c>
      <c r="Z126" s="1">
        <v>1.0</v>
      </c>
    </row>
    <row r="127">
      <c r="A127" s="1" t="s">
        <v>820</v>
      </c>
      <c r="B127" s="1" t="s">
        <v>27</v>
      </c>
      <c r="C127" s="1" t="s">
        <v>170</v>
      </c>
      <c r="D127" s="1">
        <v>198.0</v>
      </c>
      <c r="E127" s="1">
        <v>86.0</v>
      </c>
      <c r="F127" s="1">
        <v>96.0</v>
      </c>
      <c r="G127" s="1">
        <v>94.0</v>
      </c>
      <c r="H127" s="1">
        <v>51.0</v>
      </c>
      <c r="I127" s="1">
        <v>80.0</v>
      </c>
      <c r="J127" s="1">
        <v>63.0</v>
      </c>
      <c r="K127" s="1">
        <v>73.0</v>
      </c>
      <c r="L127" s="1">
        <v>72.0</v>
      </c>
      <c r="M127" s="1">
        <v>65.0</v>
      </c>
      <c r="N127" s="1">
        <v>90.0</v>
      </c>
      <c r="O127" s="1">
        <v>87.0</v>
      </c>
      <c r="P127" s="1">
        <v>57.0</v>
      </c>
      <c r="Q127" s="1">
        <v>67.0</v>
      </c>
      <c r="R127" s="1">
        <v>55.0</v>
      </c>
      <c r="S127" s="1">
        <v>51.0</v>
      </c>
      <c r="T127" s="1">
        <v>53.0</v>
      </c>
      <c r="U127" s="1">
        <v>43.0</v>
      </c>
      <c r="V127" s="1">
        <v>97.0</v>
      </c>
      <c r="W127" s="1">
        <v>82.0</v>
      </c>
      <c r="X127" s="1">
        <v>70.0</v>
      </c>
      <c r="Y127" s="1">
        <v>79.0</v>
      </c>
      <c r="Z127" s="1">
        <v>1.0</v>
      </c>
    </row>
    <row r="128">
      <c r="A128" s="1" t="s">
        <v>821</v>
      </c>
      <c r="B128" s="1" t="s">
        <v>27</v>
      </c>
      <c r="C128" s="1" t="s">
        <v>145</v>
      </c>
      <c r="D128" s="1">
        <v>195.0</v>
      </c>
      <c r="E128" s="1">
        <v>74.0</v>
      </c>
      <c r="F128" s="1">
        <v>80.0</v>
      </c>
      <c r="G128" s="1">
        <v>94.0</v>
      </c>
      <c r="H128" s="1">
        <v>44.0</v>
      </c>
      <c r="I128" s="1">
        <v>43.0</v>
      </c>
      <c r="J128" s="1">
        <v>75.0</v>
      </c>
      <c r="K128" s="1">
        <v>85.0</v>
      </c>
      <c r="L128" s="1">
        <v>60.0</v>
      </c>
      <c r="M128" s="1">
        <v>77.0</v>
      </c>
      <c r="N128" s="1">
        <v>88.0</v>
      </c>
      <c r="O128" s="1">
        <v>86.0</v>
      </c>
      <c r="P128" s="1">
        <v>60.0</v>
      </c>
      <c r="Q128" s="1">
        <v>82.0</v>
      </c>
      <c r="R128" s="1">
        <v>52.0</v>
      </c>
      <c r="S128" s="1">
        <v>78.0</v>
      </c>
      <c r="T128" s="1">
        <v>28.0</v>
      </c>
      <c r="U128" s="1">
        <v>53.0</v>
      </c>
      <c r="V128" s="1">
        <v>86.0</v>
      </c>
      <c r="W128" s="1">
        <v>77.0</v>
      </c>
      <c r="X128" s="1">
        <v>65.0</v>
      </c>
      <c r="Y128" s="1">
        <v>80.0</v>
      </c>
      <c r="Z128" s="1">
        <v>1.0</v>
      </c>
    </row>
    <row r="129">
      <c r="A129" s="1" t="s">
        <v>822</v>
      </c>
      <c r="B129" s="1" t="s">
        <v>27</v>
      </c>
      <c r="C129" s="1" t="s">
        <v>145</v>
      </c>
      <c r="D129" s="1">
        <v>220.0</v>
      </c>
      <c r="E129" s="1">
        <v>74.0</v>
      </c>
      <c r="F129" s="1">
        <v>85.0</v>
      </c>
      <c r="G129" s="1">
        <v>75.0</v>
      </c>
      <c r="H129" s="1">
        <v>75.0</v>
      </c>
      <c r="I129" s="1">
        <v>45.0</v>
      </c>
      <c r="J129" s="1">
        <v>80.0</v>
      </c>
      <c r="K129" s="1">
        <v>83.0</v>
      </c>
      <c r="L129" s="1">
        <v>75.0</v>
      </c>
      <c r="M129" s="1">
        <v>85.0</v>
      </c>
      <c r="N129" s="1">
        <v>81.0</v>
      </c>
      <c r="O129" s="1">
        <v>80.0</v>
      </c>
      <c r="P129" s="1">
        <v>74.0</v>
      </c>
      <c r="Q129" s="1">
        <v>80.0</v>
      </c>
      <c r="R129" s="1">
        <v>79.0</v>
      </c>
      <c r="S129" s="1">
        <v>78.0</v>
      </c>
      <c r="T129" s="1">
        <v>75.0</v>
      </c>
      <c r="U129" s="1">
        <v>65.0</v>
      </c>
      <c r="V129" s="1">
        <v>85.0</v>
      </c>
      <c r="W129" s="1">
        <v>85.0</v>
      </c>
      <c r="X129" s="1">
        <v>84.0</v>
      </c>
      <c r="Y129" s="1">
        <v>75.0</v>
      </c>
      <c r="Z129" s="1">
        <v>1.0</v>
      </c>
    </row>
    <row r="130">
      <c r="A130" s="1" t="s">
        <v>823</v>
      </c>
      <c r="B130" s="1" t="s">
        <v>27</v>
      </c>
      <c r="C130" s="1" t="s">
        <v>50</v>
      </c>
      <c r="D130" s="1" t="s">
        <v>824</v>
      </c>
      <c r="E130" s="1" t="s">
        <v>52</v>
      </c>
      <c r="F130" s="1" t="s">
        <v>825</v>
      </c>
      <c r="G130" s="1" t="s">
        <v>419</v>
      </c>
      <c r="H130" s="1" t="s">
        <v>826</v>
      </c>
      <c r="I130" s="1" t="s">
        <v>281</v>
      </c>
      <c r="J130" s="1" t="s">
        <v>553</v>
      </c>
      <c r="K130" s="1" t="s">
        <v>480</v>
      </c>
      <c r="L130" s="1" t="s">
        <v>383</v>
      </c>
      <c r="M130" s="1" t="s">
        <v>154</v>
      </c>
      <c r="N130" s="1" t="s">
        <v>175</v>
      </c>
      <c r="O130" s="1" t="s">
        <v>827</v>
      </c>
      <c r="P130" s="1" t="s">
        <v>642</v>
      </c>
      <c r="Q130" s="1" t="s">
        <v>828</v>
      </c>
      <c r="R130" s="1" t="s">
        <v>42</v>
      </c>
      <c r="S130" s="1" t="s">
        <v>829</v>
      </c>
      <c r="T130" s="1" t="s">
        <v>482</v>
      </c>
      <c r="U130" s="1" t="s">
        <v>830</v>
      </c>
      <c r="V130" s="1" t="s">
        <v>82</v>
      </c>
      <c r="W130" s="1" t="s">
        <v>95</v>
      </c>
      <c r="X130" s="1" t="s">
        <v>334</v>
      </c>
      <c r="Y130" s="1" t="s">
        <v>731</v>
      </c>
      <c r="Z130" s="1">
        <v>1.0</v>
      </c>
    </row>
    <row r="131">
      <c r="A131" s="1" t="s">
        <v>831</v>
      </c>
      <c r="B131" s="1" t="s">
        <v>27</v>
      </c>
      <c r="C131" s="1" t="s">
        <v>192</v>
      </c>
      <c r="D131" s="1">
        <v>214.0</v>
      </c>
      <c r="E131" s="1">
        <v>70.0</v>
      </c>
      <c r="F131" s="1">
        <v>80.0</v>
      </c>
      <c r="G131" s="1">
        <v>80.0</v>
      </c>
      <c r="H131" s="1">
        <v>45.0</v>
      </c>
      <c r="I131" s="1">
        <v>50.0</v>
      </c>
      <c r="J131" s="1">
        <v>73.0</v>
      </c>
      <c r="K131" s="1">
        <v>83.0</v>
      </c>
      <c r="L131" s="1">
        <v>67.0</v>
      </c>
      <c r="M131" s="1">
        <v>71.0</v>
      </c>
      <c r="N131" s="1">
        <v>86.0</v>
      </c>
      <c r="O131" s="1">
        <v>75.0</v>
      </c>
      <c r="P131" s="1">
        <v>70.0</v>
      </c>
      <c r="Q131" s="1">
        <v>92.0</v>
      </c>
      <c r="R131" s="1">
        <v>91.0</v>
      </c>
      <c r="S131" s="1">
        <v>74.0</v>
      </c>
      <c r="T131" s="1">
        <v>60.0</v>
      </c>
      <c r="U131" s="1">
        <v>60.0</v>
      </c>
      <c r="V131" s="1">
        <v>82.0</v>
      </c>
      <c r="W131" s="1">
        <v>80.0</v>
      </c>
      <c r="X131" s="1">
        <v>85.0</v>
      </c>
      <c r="Y131" s="1">
        <v>65.0</v>
      </c>
      <c r="Z131" s="1">
        <v>1.0</v>
      </c>
    </row>
    <row r="132">
      <c r="A132" s="1" t="s">
        <v>832</v>
      </c>
      <c r="B132" s="1" t="s">
        <v>27</v>
      </c>
      <c r="C132" s="1" t="s">
        <v>833</v>
      </c>
      <c r="D132" s="1" t="s">
        <v>834</v>
      </c>
      <c r="E132" s="1" t="s">
        <v>835</v>
      </c>
      <c r="F132" s="1" t="s">
        <v>322</v>
      </c>
      <c r="G132" s="1" t="s">
        <v>836</v>
      </c>
      <c r="H132" s="1" t="s">
        <v>837</v>
      </c>
      <c r="I132" s="1" t="s">
        <v>430</v>
      </c>
      <c r="J132" s="1">
        <v>84.0</v>
      </c>
      <c r="K132" s="1">
        <v>94.0</v>
      </c>
      <c r="L132" s="1" t="s">
        <v>838</v>
      </c>
      <c r="M132" s="1" t="s">
        <v>839</v>
      </c>
      <c r="N132" s="1" t="s">
        <v>133</v>
      </c>
      <c r="O132" s="1">
        <v>86.0</v>
      </c>
      <c r="P132" s="1" t="s">
        <v>85</v>
      </c>
      <c r="Q132" s="1" t="s">
        <v>242</v>
      </c>
      <c r="R132" s="1" t="s">
        <v>840</v>
      </c>
      <c r="S132" s="1" t="s">
        <v>550</v>
      </c>
      <c r="T132" s="1" t="s">
        <v>841</v>
      </c>
      <c r="U132" s="1" t="s">
        <v>842</v>
      </c>
      <c r="V132" s="1" t="s">
        <v>595</v>
      </c>
      <c r="W132" s="1" t="s">
        <v>843</v>
      </c>
      <c r="X132" s="1" t="s">
        <v>844</v>
      </c>
      <c r="Y132" s="1" t="s">
        <v>204</v>
      </c>
      <c r="Z132" s="1">
        <v>1.0</v>
      </c>
    </row>
    <row r="133">
      <c r="A133" s="1" t="s">
        <v>845</v>
      </c>
      <c r="B133" s="1" t="s">
        <v>27</v>
      </c>
      <c r="C133" s="1" t="s">
        <v>408</v>
      </c>
      <c r="D133" s="1" t="s">
        <v>846</v>
      </c>
      <c r="E133" s="1" t="s">
        <v>847</v>
      </c>
      <c r="F133" s="1" t="s">
        <v>297</v>
      </c>
      <c r="G133" s="1" t="s">
        <v>54</v>
      </c>
      <c r="H133" s="1" t="s">
        <v>460</v>
      </c>
      <c r="I133" s="1" t="s">
        <v>744</v>
      </c>
      <c r="J133" s="1" t="s">
        <v>113</v>
      </c>
      <c r="K133" s="1" t="s">
        <v>322</v>
      </c>
      <c r="L133" s="1" t="s">
        <v>37</v>
      </c>
      <c r="M133" s="1" t="s">
        <v>32</v>
      </c>
      <c r="N133" s="1" t="s">
        <v>136</v>
      </c>
      <c r="O133" s="1" t="s">
        <v>137</v>
      </c>
      <c r="P133" s="1" t="s">
        <v>848</v>
      </c>
      <c r="Q133" s="1" t="s">
        <v>188</v>
      </c>
      <c r="R133" s="1" t="s">
        <v>96</v>
      </c>
      <c r="S133" s="1" t="s">
        <v>43</v>
      </c>
      <c r="T133" s="1" t="s">
        <v>788</v>
      </c>
      <c r="U133" s="1" t="s">
        <v>849</v>
      </c>
      <c r="V133" s="1" t="s">
        <v>850</v>
      </c>
      <c r="W133" s="1" t="s">
        <v>110</v>
      </c>
      <c r="X133" s="1" t="s">
        <v>851</v>
      </c>
      <c r="Y133" s="1" t="s">
        <v>509</v>
      </c>
      <c r="Z133" s="1">
        <v>1.0</v>
      </c>
    </row>
    <row r="134">
      <c r="A134" s="1" t="s">
        <v>852</v>
      </c>
      <c r="B134" s="1" t="s">
        <v>27</v>
      </c>
      <c r="C134" s="1" t="s">
        <v>612</v>
      </c>
      <c r="D134" s="1" t="s">
        <v>853</v>
      </c>
      <c r="E134" s="1" t="s">
        <v>337</v>
      </c>
      <c r="F134" s="1" t="s">
        <v>614</v>
      </c>
      <c r="G134" s="1" t="s">
        <v>350</v>
      </c>
      <c r="H134" s="1" t="s">
        <v>668</v>
      </c>
      <c r="I134" s="1" t="s">
        <v>854</v>
      </c>
      <c r="J134" s="1" t="s">
        <v>271</v>
      </c>
      <c r="K134" s="1" t="s">
        <v>201</v>
      </c>
      <c r="L134" s="1" t="s">
        <v>855</v>
      </c>
      <c r="M134" s="1" t="s">
        <v>98</v>
      </c>
      <c r="N134" s="1" t="s">
        <v>96</v>
      </c>
      <c r="O134" s="1" t="s">
        <v>734</v>
      </c>
      <c r="P134" s="1" t="s">
        <v>856</v>
      </c>
      <c r="Q134" s="1" t="s">
        <v>857</v>
      </c>
      <c r="R134" s="1" t="s">
        <v>35</v>
      </c>
      <c r="S134" s="1" t="s">
        <v>858</v>
      </c>
      <c r="T134" s="1" t="s">
        <v>460</v>
      </c>
      <c r="U134" s="1" t="s">
        <v>261</v>
      </c>
      <c r="V134" s="1" t="s">
        <v>208</v>
      </c>
      <c r="W134" s="1" t="s">
        <v>502</v>
      </c>
      <c r="X134" s="1" t="s">
        <v>859</v>
      </c>
      <c r="Y134" s="1" t="s">
        <v>860</v>
      </c>
      <c r="Z134" s="1">
        <v>1.0</v>
      </c>
    </row>
    <row r="135">
      <c r="A135" s="1" t="s">
        <v>861</v>
      </c>
      <c r="B135" s="1" t="s">
        <v>27</v>
      </c>
      <c r="C135" s="1" t="s">
        <v>612</v>
      </c>
      <c r="D135" s="1" t="s">
        <v>862</v>
      </c>
      <c r="E135" s="1" t="s">
        <v>863</v>
      </c>
      <c r="F135" s="1" t="s">
        <v>864</v>
      </c>
      <c r="G135" s="1" t="s">
        <v>625</v>
      </c>
      <c r="H135" s="1" t="s">
        <v>865</v>
      </c>
      <c r="I135" s="1" t="s">
        <v>866</v>
      </c>
      <c r="J135" s="1" t="s">
        <v>180</v>
      </c>
      <c r="K135" s="1" t="s">
        <v>867</v>
      </c>
      <c r="L135" s="1" t="s">
        <v>180</v>
      </c>
      <c r="M135" s="1" t="s">
        <v>860</v>
      </c>
      <c r="N135" s="1" t="s">
        <v>462</v>
      </c>
      <c r="O135" s="1">
        <v>86.0</v>
      </c>
      <c r="P135" s="1" t="s">
        <v>868</v>
      </c>
      <c r="Q135" s="1" t="s">
        <v>582</v>
      </c>
      <c r="R135" s="1" t="s">
        <v>209</v>
      </c>
      <c r="S135" s="1" t="s">
        <v>869</v>
      </c>
      <c r="T135" s="1" t="s">
        <v>661</v>
      </c>
      <c r="U135" s="1" t="s">
        <v>870</v>
      </c>
      <c r="V135" s="1">
        <v>86.0</v>
      </c>
      <c r="W135" s="1" t="s">
        <v>871</v>
      </c>
      <c r="X135" s="1" t="s">
        <v>671</v>
      </c>
      <c r="Y135" s="1" t="s">
        <v>872</v>
      </c>
      <c r="Z135" s="1">
        <v>1.0</v>
      </c>
    </row>
    <row r="136">
      <c r="A136" s="1" t="s">
        <v>873</v>
      </c>
      <c r="B136" s="1" t="s">
        <v>27</v>
      </c>
      <c r="C136" s="1" t="s">
        <v>192</v>
      </c>
      <c r="D136" s="1">
        <v>208.0</v>
      </c>
      <c r="E136" s="1">
        <v>89.0</v>
      </c>
      <c r="F136" s="1">
        <v>99.0</v>
      </c>
      <c r="G136" s="1">
        <v>87.0</v>
      </c>
      <c r="H136" s="1">
        <v>37.0</v>
      </c>
      <c r="I136" s="1">
        <v>51.0</v>
      </c>
      <c r="J136" s="1">
        <v>76.0</v>
      </c>
      <c r="K136" s="1">
        <v>41.0</v>
      </c>
      <c r="L136" s="1">
        <v>51.0</v>
      </c>
      <c r="M136" s="1">
        <v>99.0</v>
      </c>
      <c r="N136" s="1">
        <v>91.0</v>
      </c>
      <c r="O136" s="1">
        <v>71.0</v>
      </c>
      <c r="P136" s="1">
        <v>39.0</v>
      </c>
      <c r="Q136" s="1">
        <v>72.0</v>
      </c>
      <c r="R136" s="1">
        <v>60.0</v>
      </c>
      <c r="S136" s="1">
        <v>31.0</v>
      </c>
      <c r="T136" s="1">
        <v>30.0</v>
      </c>
      <c r="U136" s="1">
        <v>38.0</v>
      </c>
      <c r="V136" s="1">
        <v>80.0</v>
      </c>
      <c r="W136" s="1">
        <v>65.0</v>
      </c>
      <c r="X136" s="1">
        <v>64.0</v>
      </c>
      <c r="Y136" s="1">
        <v>75.0</v>
      </c>
      <c r="Z136" s="1">
        <v>1.0</v>
      </c>
    </row>
    <row r="137">
      <c r="A137" s="1" t="s">
        <v>874</v>
      </c>
      <c r="B137" s="1" t="s">
        <v>27</v>
      </c>
      <c r="C137" s="1" t="s">
        <v>192</v>
      </c>
      <c r="D137" s="1">
        <v>211.0</v>
      </c>
      <c r="E137" s="1">
        <v>85.0</v>
      </c>
      <c r="F137" s="1">
        <v>77.0</v>
      </c>
      <c r="G137" s="1">
        <v>90.0</v>
      </c>
      <c r="H137" s="1">
        <v>91.0</v>
      </c>
      <c r="I137" s="1">
        <v>48.0</v>
      </c>
      <c r="J137" s="1">
        <v>87.0</v>
      </c>
      <c r="K137" s="1">
        <v>90.0</v>
      </c>
      <c r="L137" s="1">
        <v>65.0</v>
      </c>
      <c r="M137" s="1">
        <v>84.0</v>
      </c>
      <c r="N137" s="1">
        <v>87.0</v>
      </c>
      <c r="O137" s="1">
        <v>80.0</v>
      </c>
      <c r="P137" s="1">
        <v>25.0</v>
      </c>
      <c r="Q137" s="1">
        <v>60.0</v>
      </c>
      <c r="R137" s="1">
        <v>41.0</v>
      </c>
      <c r="S137" s="1">
        <v>42.0</v>
      </c>
      <c r="T137" s="1">
        <v>26.0</v>
      </c>
      <c r="U137" s="1">
        <v>49.0</v>
      </c>
      <c r="V137" s="1">
        <v>90.0</v>
      </c>
      <c r="W137" s="1">
        <v>86.0</v>
      </c>
      <c r="X137" s="1">
        <v>47.0</v>
      </c>
      <c r="Y137" s="1">
        <v>81.0</v>
      </c>
      <c r="Z137" s="1">
        <v>1.0</v>
      </c>
    </row>
    <row r="138">
      <c r="A138" s="1" t="s">
        <v>821</v>
      </c>
      <c r="B138" s="1" t="s">
        <v>875</v>
      </c>
      <c r="C138" s="1" t="s">
        <v>876</v>
      </c>
      <c r="D138" s="1" t="s">
        <v>877</v>
      </c>
      <c r="E138" s="1" t="s">
        <v>742</v>
      </c>
      <c r="F138" s="1" t="s">
        <v>878</v>
      </c>
      <c r="G138" s="1" t="s">
        <v>806</v>
      </c>
      <c r="H138" s="1" t="s">
        <v>879</v>
      </c>
      <c r="I138" s="1" t="s">
        <v>880</v>
      </c>
      <c r="J138" s="1" t="s">
        <v>190</v>
      </c>
      <c r="K138" s="1" t="s">
        <v>208</v>
      </c>
      <c r="L138" s="1" t="s">
        <v>776</v>
      </c>
      <c r="M138" s="1" t="s">
        <v>878</v>
      </c>
      <c r="N138" s="1" t="s">
        <v>82</v>
      </c>
      <c r="O138" s="1" t="s">
        <v>552</v>
      </c>
      <c r="P138" s="1" t="s">
        <v>881</v>
      </c>
      <c r="Q138" s="1" t="s">
        <v>332</v>
      </c>
      <c r="R138" s="1" t="s">
        <v>882</v>
      </c>
      <c r="S138" s="1" t="s">
        <v>525</v>
      </c>
      <c r="T138" s="1" t="s">
        <v>883</v>
      </c>
      <c r="U138" s="1" t="s">
        <v>884</v>
      </c>
      <c r="V138" s="1" t="s">
        <v>208</v>
      </c>
      <c r="W138" s="1" t="s">
        <v>306</v>
      </c>
      <c r="X138" s="1" t="s">
        <v>209</v>
      </c>
      <c r="Y138" s="1" t="s">
        <v>39</v>
      </c>
      <c r="Z138" s="1">
        <v>1.0</v>
      </c>
    </row>
    <row r="139">
      <c r="A139" s="1" t="s">
        <v>885</v>
      </c>
      <c r="B139" s="1" t="s">
        <v>875</v>
      </c>
      <c r="C139" s="1" t="s">
        <v>886</v>
      </c>
      <c r="D139" s="1" t="s">
        <v>887</v>
      </c>
      <c r="E139" s="1" t="s">
        <v>424</v>
      </c>
      <c r="F139" s="1" t="s">
        <v>190</v>
      </c>
      <c r="G139" s="1">
        <v>93.0</v>
      </c>
      <c r="H139" s="1" t="s">
        <v>888</v>
      </c>
      <c r="I139" s="1" t="s">
        <v>889</v>
      </c>
      <c r="J139" s="1" t="s">
        <v>204</v>
      </c>
      <c r="K139" s="1" t="s">
        <v>890</v>
      </c>
      <c r="L139" s="1" t="s">
        <v>891</v>
      </c>
      <c r="M139" s="1" t="s">
        <v>892</v>
      </c>
      <c r="N139" s="1" t="s">
        <v>179</v>
      </c>
      <c r="O139" s="1" t="s">
        <v>190</v>
      </c>
      <c r="P139" s="1" t="s">
        <v>893</v>
      </c>
      <c r="Q139" s="1" t="s">
        <v>857</v>
      </c>
      <c r="R139" s="1" t="s">
        <v>894</v>
      </c>
      <c r="S139" s="1" t="s">
        <v>622</v>
      </c>
      <c r="T139" s="1" t="s">
        <v>895</v>
      </c>
      <c r="U139" s="1">
        <v>80.0</v>
      </c>
      <c r="V139" s="1" t="s">
        <v>266</v>
      </c>
      <c r="W139" s="1" t="s">
        <v>593</v>
      </c>
      <c r="X139" s="1" t="s">
        <v>838</v>
      </c>
      <c r="Y139" s="1" t="s">
        <v>300</v>
      </c>
      <c r="Z139" s="1">
        <v>1.0</v>
      </c>
    </row>
    <row r="140">
      <c r="A140" s="1" t="s">
        <v>89</v>
      </c>
      <c r="B140" s="1" t="s">
        <v>875</v>
      </c>
      <c r="C140" s="1" t="s">
        <v>896</v>
      </c>
      <c r="D140" s="1" t="s">
        <v>897</v>
      </c>
      <c r="E140" s="1" t="s">
        <v>417</v>
      </c>
      <c r="F140" s="1" t="s">
        <v>242</v>
      </c>
      <c r="G140" s="1" t="s">
        <v>898</v>
      </c>
      <c r="H140" s="1" t="s">
        <v>245</v>
      </c>
      <c r="I140" s="1" t="s">
        <v>899</v>
      </c>
      <c r="J140" s="1" t="s">
        <v>716</v>
      </c>
      <c r="K140" s="1" t="s">
        <v>96</v>
      </c>
      <c r="L140" s="1" t="s">
        <v>335</v>
      </c>
      <c r="M140" s="1" t="s">
        <v>900</v>
      </c>
      <c r="N140" s="1" t="s">
        <v>35</v>
      </c>
      <c r="O140" s="1" t="s">
        <v>137</v>
      </c>
      <c r="P140" s="1" t="s">
        <v>901</v>
      </c>
      <c r="Q140" s="1" t="s">
        <v>36</v>
      </c>
      <c r="R140" s="1" t="s">
        <v>902</v>
      </c>
      <c r="S140" s="1" t="s">
        <v>302</v>
      </c>
      <c r="T140" s="1" t="s">
        <v>251</v>
      </c>
      <c r="U140" s="1" t="s">
        <v>40</v>
      </c>
      <c r="V140" s="1" t="s">
        <v>82</v>
      </c>
      <c r="W140" s="1" t="s">
        <v>243</v>
      </c>
      <c r="X140" s="1" t="s">
        <v>903</v>
      </c>
      <c r="Y140" s="1" t="s">
        <v>48</v>
      </c>
      <c r="Z140" s="1">
        <v>1.0</v>
      </c>
    </row>
    <row r="141">
      <c r="A141" s="1" t="s">
        <v>106</v>
      </c>
      <c r="B141" s="1" t="s">
        <v>875</v>
      </c>
      <c r="C141" s="1" t="s">
        <v>904</v>
      </c>
      <c r="D141" s="1" t="s">
        <v>905</v>
      </c>
      <c r="E141" s="1" t="s">
        <v>906</v>
      </c>
      <c r="F141" s="1" t="s">
        <v>907</v>
      </c>
      <c r="G141" s="1" t="s">
        <v>350</v>
      </c>
      <c r="H141" s="1" t="s">
        <v>412</v>
      </c>
      <c r="I141" s="1" t="s">
        <v>908</v>
      </c>
      <c r="J141" s="1" t="s">
        <v>188</v>
      </c>
      <c r="K141" s="1" t="s">
        <v>909</v>
      </c>
      <c r="L141" s="1" t="s">
        <v>910</v>
      </c>
      <c r="M141" s="1" t="s">
        <v>332</v>
      </c>
      <c r="N141" s="1" t="s">
        <v>911</v>
      </c>
      <c r="O141" s="1" t="s">
        <v>61</v>
      </c>
      <c r="P141" s="1" t="s">
        <v>347</v>
      </c>
      <c r="Q141" s="1" t="s">
        <v>646</v>
      </c>
      <c r="R141" s="1" t="s">
        <v>249</v>
      </c>
      <c r="S141" s="1" t="s">
        <v>912</v>
      </c>
      <c r="T141" s="1" t="s">
        <v>120</v>
      </c>
      <c r="U141" s="1" t="s">
        <v>66</v>
      </c>
      <c r="V141" s="1" t="s">
        <v>117</v>
      </c>
      <c r="W141" s="1" t="s">
        <v>913</v>
      </c>
      <c r="X141" s="1" t="s">
        <v>914</v>
      </c>
      <c r="Y141" s="1" t="s">
        <v>679</v>
      </c>
      <c r="Z141" s="1">
        <v>1.0</v>
      </c>
    </row>
    <row r="142">
      <c r="A142" s="1" t="s">
        <v>49</v>
      </c>
      <c r="B142" s="1" t="s">
        <v>875</v>
      </c>
      <c r="C142" s="1" t="s">
        <v>896</v>
      </c>
      <c r="D142" s="1" t="s">
        <v>915</v>
      </c>
      <c r="E142" s="1" t="s">
        <v>337</v>
      </c>
      <c r="F142" s="1" t="s">
        <v>53</v>
      </c>
      <c r="G142" s="1" t="s">
        <v>916</v>
      </c>
      <c r="H142" s="1" t="s">
        <v>917</v>
      </c>
      <c r="I142" s="1" t="s">
        <v>918</v>
      </c>
      <c r="J142" s="1" t="s">
        <v>36</v>
      </c>
      <c r="K142" s="1" t="s">
        <v>646</v>
      </c>
      <c r="L142" s="1" t="s">
        <v>919</v>
      </c>
      <c r="M142" s="1" t="s">
        <v>920</v>
      </c>
      <c r="N142" s="1" t="s">
        <v>911</v>
      </c>
      <c r="O142" s="1" t="s">
        <v>166</v>
      </c>
      <c r="P142" s="1" t="s">
        <v>62</v>
      </c>
      <c r="Q142" s="1" t="s">
        <v>279</v>
      </c>
      <c r="R142" s="1" t="s">
        <v>301</v>
      </c>
      <c r="S142" s="1" t="s">
        <v>100</v>
      </c>
      <c r="T142" s="1" t="s">
        <v>120</v>
      </c>
      <c r="U142" s="1" t="s">
        <v>921</v>
      </c>
      <c r="V142" s="1" t="s">
        <v>600</v>
      </c>
      <c r="W142" s="1" t="s">
        <v>922</v>
      </c>
      <c r="X142" s="1" t="s">
        <v>923</v>
      </c>
      <c r="Y142" s="1" t="s">
        <v>691</v>
      </c>
      <c r="Z142" s="1">
        <v>1.0</v>
      </c>
    </row>
    <row r="143">
      <c r="A143" s="1" t="s">
        <v>924</v>
      </c>
      <c r="B143" s="1" t="s">
        <v>875</v>
      </c>
      <c r="C143" s="1" t="s">
        <v>192</v>
      </c>
      <c r="D143" s="1">
        <v>224.0</v>
      </c>
      <c r="E143" s="1">
        <v>82.0</v>
      </c>
      <c r="F143" s="1">
        <v>91.0</v>
      </c>
      <c r="G143" s="1">
        <v>73.0</v>
      </c>
      <c r="H143" s="1">
        <v>81.0</v>
      </c>
      <c r="I143" s="1">
        <v>87.0</v>
      </c>
      <c r="J143" s="1">
        <v>90.0</v>
      </c>
      <c r="K143" s="1">
        <v>83.0</v>
      </c>
      <c r="L143" s="1">
        <v>65.0</v>
      </c>
      <c r="M143" s="1">
        <v>75.0</v>
      </c>
      <c r="N143" s="1">
        <v>85.0</v>
      </c>
      <c r="O143" s="1">
        <v>75.0</v>
      </c>
      <c r="P143" s="1">
        <v>61.0</v>
      </c>
      <c r="Q143" s="1">
        <v>74.0</v>
      </c>
      <c r="R143" s="1">
        <v>60.0</v>
      </c>
      <c r="S143" s="1">
        <v>74.0</v>
      </c>
      <c r="T143" s="1">
        <v>61.0</v>
      </c>
      <c r="U143" s="1">
        <v>49.0</v>
      </c>
      <c r="V143" s="1">
        <v>80.0</v>
      </c>
      <c r="W143" s="1">
        <v>78.0</v>
      </c>
      <c r="X143" s="1">
        <v>86.0</v>
      </c>
      <c r="Y143" s="1">
        <v>65.0</v>
      </c>
      <c r="Z143" s="1">
        <v>1.0</v>
      </c>
    </row>
    <row r="144">
      <c r="A144" s="1" t="s">
        <v>665</v>
      </c>
      <c r="B144" s="1" t="s">
        <v>875</v>
      </c>
      <c r="C144" s="1" t="s">
        <v>925</v>
      </c>
      <c r="D144" s="1" t="s">
        <v>926</v>
      </c>
      <c r="E144" s="1" t="s">
        <v>927</v>
      </c>
      <c r="F144" s="1" t="s">
        <v>322</v>
      </c>
      <c r="G144" s="1" t="s">
        <v>536</v>
      </c>
      <c r="H144" s="1" t="s">
        <v>418</v>
      </c>
      <c r="I144" s="1" t="s">
        <v>928</v>
      </c>
      <c r="J144" s="1" t="s">
        <v>929</v>
      </c>
      <c r="K144" s="1" t="s">
        <v>322</v>
      </c>
      <c r="L144" s="1" t="s">
        <v>530</v>
      </c>
      <c r="M144" s="1" t="s">
        <v>48</v>
      </c>
      <c r="N144" s="1" t="s">
        <v>445</v>
      </c>
      <c r="O144" s="1" t="s">
        <v>328</v>
      </c>
      <c r="P144" s="1" t="s">
        <v>446</v>
      </c>
      <c r="Q144" s="1" t="s">
        <v>745</v>
      </c>
      <c r="R144" s="1" t="s">
        <v>930</v>
      </c>
      <c r="S144" s="1" t="s">
        <v>931</v>
      </c>
      <c r="T144" s="1" t="s">
        <v>344</v>
      </c>
      <c r="U144" s="1" t="s">
        <v>932</v>
      </c>
      <c r="V144" s="1" t="s">
        <v>671</v>
      </c>
      <c r="W144" s="1" t="s">
        <v>142</v>
      </c>
      <c r="X144" s="1" t="s">
        <v>933</v>
      </c>
      <c r="Y144" s="1" t="s">
        <v>318</v>
      </c>
      <c r="Z144" s="1">
        <v>1.0</v>
      </c>
    </row>
    <row r="145">
      <c r="A145" s="1" t="s">
        <v>934</v>
      </c>
      <c r="B145" s="1" t="s">
        <v>875</v>
      </c>
      <c r="C145" s="1" t="s">
        <v>935</v>
      </c>
      <c r="D145" s="1" t="s">
        <v>936</v>
      </c>
      <c r="E145" s="1" t="s">
        <v>224</v>
      </c>
      <c r="F145" s="1" t="s">
        <v>679</v>
      </c>
      <c r="G145" s="1" t="s">
        <v>835</v>
      </c>
      <c r="H145" s="1" t="s">
        <v>449</v>
      </c>
      <c r="I145" s="1" t="s">
        <v>448</v>
      </c>
      <c r="J145" s="1" t="s">
        <v>937</v>
      </c>
      <c r="K145" s="1" t="s">
        <v>790</v>
      </c>
      <c r="L145" s="1" t="s">
        <v>938</v>
      </c>
      <c r="M145" s="1" t="s">
        <v>96</v>
      </c>
      <c r="N145" s="1" t="s">
        <v>780</v>
      </c>
      <c r="O145" s="1" t="s">
        <v>61</v>
      </c>
      <c r="P145" s="1" t="s">
        <v>365</v>
      </c>
      <c r="Q145" s="1" t="s">
        <v>35</v>
      </c>
      <c r="R145" s="1" t="s">
        <v>939</v>
      </c>
      <c r="S145" s="1" t="s">
        <v>100</v>
      </c>
      <c r="T145" s="1" t="s">
        <v>65</v>
      </c>
      <c r="U145" s="1" t="s">
        <v>940</v>
      </c>
      <c r="V145" s="1" t="s">
        <v>137</v>
      </c>
      <c r="W145" s="1" t="s">
        <v>763</v>
      </c>
      <c r="X145" s="1" t="s">
        <v>914</v>
      </c>
      <c r="Y145" s="1" t="s">
        <v>731</v>
      </c>
      <c r="Z145" s="1">
        <v>1.0</v>
      </c>
    </row>
    <row r="146">
      <c r="A146" s="1" t="s">
        <v>146</v>
      </c>
      <c r="B146" s="1" t="s">
        <v>875</v>
      </c>
      <c r="C146" s="1" t="s">
        <v>896</v>
      </c>
      <c r="D146" s="1" t="s">
        <v>941</v>
      </c>
      <c r="E146" s="1" t="s">
        <v>731</v>
      </c>
      <c r="F146" s="1" t="s">
        <v>105</v>
      </c>
      <c r="G146" s="1" t="s">
        <v>681</v>
      </c>
      <c r="H146" s="1" t="s">
        <v>651</v>
      </c>
      <c r="I146" s="1" t="s">
        <v>942</v>
      </c>
      <c r="J146" s="1" t="s">
        <v>166</v>
      </c>
      <c r="K146" s="1" t="s">
        <v>401</v>
      </c>
      <c r="L146" s="1" t="s">
        <v>111</v>
      </c>
      <c r="M146" s="1" t="s">
        <v>943</v>
      </c>
      <c r="N146" s="1" t="s">
        <v>944</v>
      </c>
      <c r="O146" s="1" t="s">
        <v>504</v>
      </c>
      <c r="P146" s="1" t="s">
        <v>903</v>
      </c>
      <c r="Q146" s="1" t="s">
        <v>445</v>
      </c>
      <c r="R146" s="1" t="s">
        <v>945</v>
      </c>
      <c r="S146" s="1" t="s">
        <v>946</v>
      </c>
      <c r="T146" s="1" t="s">
        <v>65</v>
      </c>
      <c r="U146" s="1" t="s">
        <v>947</v>
      </c>
      <c r="V146" s="1" t="s">
        <v>122</v>
      </c>
      <c r="W146" s="1" t="s">
        <v>672</v>
      </c>
      <c r="X146" s="1" t="s">
        <v>948</v>
      </c>
      <c r="Y146" s="1" t="s">
        <v>949</v>
      </c>
      <c r="Z146" s="1">
        <v>1.0</v>
      </c>
    </row>
    <row r="147">
      <c r="A147" s="1" t="s">
        <v>640</v>
      </c>
      <c r="B147" s="1" t="s">
        <v>875</v>
      </c>
      <c r="C147" s="1" t="s">
        <v>935</v>
      </c>
      <c r="D147" s="1" t="s">
        <v>327</v>
      </c>
      <c r="E147" s="1" t="s">
        <v>134</v>
      </c>
      <c r="F147" s="1" t="s">
        <v>110</v>
      </c>
      <c r="G147" s="1" t="s">
        <v>401</v>
      </c>
      <c r="H147" s="1" t="s">
        <v>950</v>
      </c>
      <c r="I147" s="1" t="s">
        <v>951</v>
      </c>
      <c r="J147" s="1" t="s">
        <v>716</v>
      </c>
      <c r="K147" s="1" t="s">
        <v>154</v>
      </c>
      <c r="L147" s="1" t="s">
        <v>414</v>
      </c>
      <c r="M147" s="1" t="s">
        <v>48</v>
      </c>
      <c r="N147" s="1" t="s">
        <v>952</v>
      </c>
      <c r="O147" s="1" t="s">
        <v>61</v>
      </c>
      <c r="P147" s="1" t="s">
        <v>129</v>
      </c>
      <c r="Q147" s="1" t="s">
        <v>332</v>
      </c>
      <c r="R147" s="1" t="s">
        <v>953</v>
      </c>
      <c r="S147" s="1" t="s">
        <v>211</v>
      </c>
      <c r="T147" s="1" t="s">
        <v>532</v>
      </c>
      <c r="U147" s="1" t="s">
        <v>954</v>
      </c>
      <c r="V147" s="1" t="s">
        <v>122</v>
      </c>
      <c r="W147" s="1" t="s">
        <v>53</v>
      </c>
      <c r="X147" s="1" t="s">
        <v>955</v>
      </c>
      <c r="Y147" s="1" t="s">
        <v>328</v>
      </c>
      <c r="Z147" s="1">
        <v>1.0</v>
      </c>
    </row>
    <row r="148">
      <c r="A148" s="1" t="s">
        <v>339</v>
      </c>
      <c r="B148" s="1" t="s">
        <v>875</v>
      </c>
      <c r="C148" s="1" t="s">
        <v>896</v>
      </c>
      <c r="D148" s="1" t="s">
        <v>956</v>
      </c>
      <c r="E148" s="1" t="s">
        <v>157</v>
      </c>
      <c r="F148" s="1" t="s">
        <v>957</v>
      </c>
      <c r="G148" s="1" t="s">
        <v>958</v>
      </c>
      <c r="H148" s="1" t="s">
        <v>282</v>
      </c>
      <c r="I148" s="1" t="s">
        <v>959</v>
      </c>
      <c r="J148" s="1" t="s">
        <v>96</v>
      </c>
      <c r="K148" s="1" t="s">
        <v>345</v>
      </c>
      <c r="L148" s="1" t="s">
        <v>37</v>
      </c>
      <c r="M148" s="1" t="s">
        <v>960</v>
      </c>
      <c r="N148" s="1" t="s">
        <v>961</v>
      </c>
      <c r="O148" s="1" t="s">
        <v>962</v>
      </c>
      <c r="P148" s="1" t="s">
        <v>963</v>
      </c>
      <c r="Q148" s="1" t="s">
        <v>964</v>
      </c>
      <c r="R148" s="1" t="s">
        <v>965</v>
      </c>
      <c r="S148" s="1" t="s">
        <v>966</v>
      </c>
      <c r="T148" s="1" t="s">
        <v>245</v>
      </c>
      <c r="U148" s="1" t="s">
        <v>967</v>
      </c>
      <c r="V148" s="1" t="s">
        <v>322</v>
      </c>
      <c r="W148" s="1" t="s">
        <v>322</v>
      </c>
      <c r="X148" s="1" t="s">
        <v>968</v>
      </c>
      <c r="Y148" s="1" t="s">
        <v>48</v>
      </c>
      <c r="Z148" s="1">
        <v>1.0</v>
      </c>
    </row>
    <row r="149">
      <c r="A149" s="1" t="s">
        <v>969</v>
      </c>
      <c r="B149" s="1" t="s">
        <v>875</v>
      </c>
      <c r="C149" s="1" t="s">
        <v>970</v>
      </c>
      <c r="D149" s="1">
        <v>217.0</v>
      </c>
      <c r="E149" s="1">
        <v>80.0</v>
      </c>
      <c r="F149" s="1">
        <v>80.0</v>
      </c>
      <c r="G149" s="1">
        <v>85.0</v>
      </c>
      <c r="H149" s="1">
        <v>59.0</v>
      </c>
      <c r="I149" s="1">
        <v>45.0</v>
      </c>
      <c r="J149" s="1">
        <v>75.0</v>
      </c>
      <c r="K149" s="1">
        <v>83.0</v>
      </c>
      <c r="L149" s="1">
        <v>76.0</v>
      </c>
      <c r="M149" s="1">
        <v>79.0</v>
      </c>
      <c r="N149" s="1">
        <v>80.0</v>
      </c>
      <c r="O149" s="1">
        <v>75.0</v>
      </c>
      <c r="P149" s="1">
        <v>80.0</v>
      </c>
      <c r="Q149" s="1">
        <v>80.0</v>
      </c>
      <c r="R149" s="1">
        <v>75.0</v>
      </c>
      <c r="S149" s="1">
        <v>75.0</v>
      </c>
      <c r="T149" s="1">
        <v>80.0</v>
      </c>
      <c r="U149" s="1">
        <v>80.0</v>
      </c>
      <c r="V149" s="1">
        <v>80.0</v>
      </c>
      <c r="W149" s="1">
        <v>78.0</v>
      </c>
      <c r="X149" s="1">
        <v>80.0</v>
      </c>
      <c r="Y149" s="1">
        <v>80.0</v>
      </c>
      <c r="Z149" s="1">
        <v>1.0</v>
      </c>
    </row>
    <row r="150">
      <c r="A150" s="1" t="s">
        <v>488</v>
      </c>
      <c r="B150" s="1" t="s">
        <v>875</v>
      </c>
      <c r="C150" s="1" t="s">
        <v>971</v>
      </c>
      <c r="D150" s="1" t="s">
        <v>972</v>
      </c>
      <c r="E150" s="1" t="s">
        <v>787</v>
      </c>
      <c r="F150" s="1" t="s">
        <v>871</v>
      </c>
      <c r="G150" s="1" t="s">
        <v>227</v>
      </c>
      <c r="H150" s="1" t="s">
        <v>973</v>
      </c>
      <c r="I150" s="1" t="s">
        <v>373</v>
      </c>
      <c r="J150" s="1" t="s">
        <v>890</v>
      </c>
      <c r="K150" s="1" t="s">
        <v>322</v>
      </c>
      <c r="L150" s="1" t="s">
        <v>479</v>
      </c>
      <c r="M150" s="1" t="s">
        <v>974</v>
      </c>
      <c r="N150" s="1" t="s">
        <v>208</v>
      </c>
      <c r="O150" s="1" t="s">
        <v>975</v>
      </c>
      <c r="P150" s="1" t="s">
        <v>976</v>
      </c>
      <c r="Q150" s="1" t="s">
        <v>977</v>
      </c>
      <c r="R150" s="1" t="s">
        <v>82</v>
      </c>
      <c r="S150" s="1" t="s">
        <v>978</v>
      </c>
      <c r="T150" s="1" t="s">
        <v>979</v>
      </c>
      <c r="U150" s="1" t="s">
        <v>722</v>
      </c>
      <c r="V150" s="1" t="s">
        <v>96</v>
      </c>
      <c r="W150" s="1" t="s">
        <v>323</v>
      </c>
      <c r="X150" s="1" t="s">
        <v>577</v>
      </c>
      <c r="Y150" s="1" t="s">
        <v>190</v>
      </c>
      <c r="Z150" s="1">
        <v>1.0</v>
      </c>
    </row>
    <row r="151">
      <c r="A151" s="1" t="s">
        <v>980</v>
      </c>
      <c r="B151" s="1" t="s">
        <v>875</v>
      </c>
      <c r="C151" s="1" t="s">
        <v>145</v>
      </c>
      <c r="D151" s="1">
        <v>232.0</v>
      </c>
      <c r="E151" s="1">
        <v>74.0</v>
      </c>
      <c r="F151" s="1">
        <v>74.0</v>
      </c>
      <c r="G151" s="1">
        <v>94.0</v>
      </c>
      <c r="H151" s="1">
        <v>45.0</v>
      </c>
      <c r="I151" s="1">
        <v>40.0</v>
      </c>
      <c r="J151" s="1">
        <v>85.0</v>
      </c>
      <c r="K151" s="1">
        <v>83.0</v>
      </c>
      <c r="L151" s="1">
        <v>80.0</v>
      </c>
      <c r="M151" s="1">
        <v>61.0</v>
      </c>
      <c r="N151" s="1">
        <v>85.0</v>
      </c>
      <c r="O151" s="1">
        <v>75.0</v>
      </c>
      <c r="P151" s="1">
        <v>60.0</v>
      </c>
      <c r="Q151" s="1">
        <v>75.0</v>
      </c>
      <c r="R151" s="1">
        <v>91.0</v>
      </c>
      <c r="S151" s="1">
        <v>76.0</v>
      </c>
      <c r="T151" s="1">
        <v>75.0</v>
      </c>
      <c r="U151" s="1">
        <v>60.0</v>
      </c>
      <c r="V151" s="1">
        <v>85.0</v>
      </c>
      <c r="W151" s="1">
        <v>80.0</v>
      </c>
      <c r="X151" s="1">
        <v>60.0</v>
      </c>
      <c r="Y151" s="1">
        <v>82.0</v>
      </c>
      <c r="Z151" s="1">
        <v>1.0</v>
      </c>
    </row>
    <row r="152">
      <c r="A152" s="1" t="s">
        <v>981</v>
      </c>
      <c r="B152" s="1" t="s">
        <v>875</v>
      </c>
      <c r="C152" s="1" t="s">
        <v>970</v>
      </c>
      <c r="D152" s="1">
        <v>202.0</v>
      </c>
      <c r="E152" s="1">
        <v>80.0</v>
      </c>
      <c r="F152" s="1">
        <v>85.0</v>
      </c>
      <c r="G152" s="1">
        <v>85.0</v>
      </c>
      <c r="H152" s="1">
        <v>47.0</v>
      </c>
      <c r="I152" s="1">
        <v>51.0</v>
      </c>
      <c r="J152" s="1">
        <v>73.0</v>
      </c>
      <c r="K152" s="1">
        <v>83.0</v>
      </c>
      <c r="L152" s="1">
        <v>82.0</v>
      </c>
      <c r="M152" s="1">
        <v>87.0</v>
      </c>
      <c r="N152" s="1">
        <v>85.0</v>
      </c>
      <c r="O152" s="1">
        <v>78.0</v>
      </c>
      <c r="P152" s="1">
        <v>60.0</v>
      </c>
      <c r="Q152" s="1">
        <v>88.0</v>
      </c>
      <c r="R152" s="1">
        <v>60.0</v>
      </c>
      <c r="S152" s="1">
        <v>58.0</v>
      </c>
      <c r="T152" s="1">
        <v>70.0</v>
      </c>
      <c r="U152" s="1">
        <v>85.0</v>
      </c>
      <c r="V152" s="1">
        <v>86.0</v>
      </c>
      <c r="W152" s="1">
        <v>85.0</v>
      </c>
      <c r="X152" s="1">
        <v>75.0</v>
      </c>
      <c r="Y152" s="1">
        <v>70.0</v>
      </c>
      <c r="Z152" s="1">
        <v>1.0</v>
      </c>
    </row>
    <row r="153">
      <c r="A153" s="1" t="s">
        <v>326</v>
      </c>
      <c r="B153" s="1" t="s">
        <v>875</v>
      </c>
      <c r="C153" s="1" t="s">
        <v>971</v>
      </c>
      <c r="D153" s="1" t="s">
        <v>982</v>
      </c>
      <c r="E153" s="1" t="s">
        <v>465</v>
      </c>
      <c r="F153" s="1" t="s">
        <v>53</v>
      </c>
      <c r="G153" s="1" t="s">
        <v>401</v>
      </c>
      <c r="H153" s="1" t="s">
        <v>921</v>
      </c>
      <c r="I153" s="1" t="s">
        <v>983</v>
      </c>
      <c r="J153" s="1" t="s">
        <v>322</v>
      </c>
      <c r="K153" s="1" t="s">
        <v>95</v>
      </c>
      <c r="L153" s="1" t="s">
        <v>139</v>
      </c>
      <c r="M153" s="1" t="s">
        <v>984</v>
      </c>
      <c r="N153" s="1" t="s">
        <v>766</v>
      </c>
      <c r="O153" s="1" t="s">
        <v>190</v>
      </c>
      <c r="P153" s="1" t="s">
        <v>985</v>
      </c>
      <c r="Q153" s="1" t="s">
        <v>35</v>
      </c>
      <c r="R153" s="1" t="s">
        <v>986</v>
      </c>
      <c r="S153" s="1" t="s">
        <v>987</v>
      </c>
      <c r="T153" s="1" t="s">
        <v>360</v>
      </c>
      <c r="U153" s="1" t="s">
        <v>988</v>
      </c>
      <c r="V153" s="1" t="s">
        <v>253</v>
      </c>
      <c r="W153" s="1" t="s">
        <v>67</v>
      </c>
      <c r="X153" s="1" t="s">
        <v>163</v>
      </c>
      <c r="Y153" s="1" t="s">
        <v>110</v>
      </c>
      <c r="Z153" s="1">
        <v>1.0</v>
      </c>
    </row>
    <row r="154">
      <c r="A154" s="1" t="s">
        <v>767</v>
      </c>
      <c r="B154" s="1" t="s">
        <v>875</v>
      </c>
      <c r="C154" s="1" t="s">
        <v>168</v>
      </c>
      <c r="D154" s="1">
        <v>221.0</v>
      </c>
      <c r="E154" s="1">
        <v>75.0</v>
      </c>
      <c r="F154" s="1">
        <v>90.0</v>
      </c>
      <c r="G154" s="1">
        <v>87.0</v>
      </c>
      <c r="H154" s="1">
        <v>33.0</v>
      </c>
      <c r="I154" s="1">
        <v>80.0</v>
      </c>
      <c r="J154" s="1">
        <v>80.0</v>
      </c>
      <c r="K154" s="1">
        <v>89.0</v>
      </c>
      <c r="L154" s="1">
        <v>85.0</v>
      </c>
      <c r="M154" s="1">
        <v>71.0</v>
      </c>
      <c r="N154" s="1">
        <v>92.0</v>
      </c>
      <c r="O154" s="1">
        <v>86.0</v>
      </c>
      <c r="P154" s="1">
        <v>55.0</v>
      </c>
      <c r="Q154" s="1">
        <v>72.0</v>
      </c>
      <c r="R154" s="1">
        <v>60.0</v>
      </c>
      <c r="S154" s="1">
        <v>62.0</v>
      </c>
      <c r="T154" s="1">
        <v>42.0</v>
      </c>
      <c r="U154" s="1">
        <v>42.0</v>
      </c>
      <c r="V154" s="1">
        <v>87.0</v>
      </c>
      <c r="W154" s="1">
        <v>80.0</v>
      </c>
      <c r="X154" s="1">
        <v>85.0</v>
      </c>
      <c r="Y154" s="1">
        <v>81.0</v>
      </c>
      <c r="Z154" s="1">
        <v>1.0</v>
      </c>
    </row>
    <row r="155">
      <c r="A155" s="1" t="s">
        <v>989</v>
      </c>
      <c r="B155" s="1" t="s">
        <v>875</v>
      </c>
      <c r="C155" s="1" t="s">
        <v>896</v>
      </c>
      <c r="D155" s="1" t="s">
        <v>990</v>
      </c>
      <c r="E155" s="1" t="s">
        <v>991</v>
      </c>
      <c r="F155" s="1" t="s">
        <v>52</v>
      </c>
      <c r="G155" s="1" t="s">
        <v>681</v>
      </c>
      <c r="H155" s="1" t="s">
        <v>992</v>
      </c>
      <c r="I155" s="1" t="s">
        <v>993</v>
      </c>
      <c r="J155" s="1" t="s">
        <v>401</v>
      </c>
      <c r="K155" s="1" t="s">
        <v>113</v>
      </c>
      <c r="L155" s="1" t="s">
        <v>994</v>
      </c>
      <c r="M155" s="1" t="s">
        <v>995</v>
      </c>
      <c r="N155" s="1" t="s">
        <v>996</v>
      </c>
      <c r="O155" s="1" t="s">
        <v>166</v>
      </c>
      <c r="P155" s="1" t="s">
        <v>997</v>
      </c>
      <c r="Q155" s="1" t="s">
        <v>36</v>
      </c>
      <c r="R155" s="1" t="s">
        <v>998</v>
      </c>
      <c r="S155" s="1" t="s">
        <v>999</v>
      </c>
      <c r="T155" s="1" t="s">
        <v>1000</v>
      </c>
      <c r="U155" s="1" t="s">
        <v>1001</v>
      </c>
      <c r="V155" s="1" t="s">
        <v>226</v>
      </c>
      <c r="W155" s="1" t="s">
        <v>507</v>
      </c>
      <c r="X155" s="1" t="s">
        <v>163</v>
      </c>
      <c r="Y155" s="1" t="s">
        <v>801</v>
      </c>
      <c r="Z155" s="1">
        <v>1.0</v>
      </c>
    </row>
    <row r="156">
      <c r="A156" s="1" t="s">
        <v>26</v>
      </c>
      <c r="B156" s="1" t="s">
        <v>875</v>
      </c>
      <c r="C156" s="1" t="s">
        <v>971</v>
      </c>
      <c r="D156" s="1" t="s">
        <v>1002</v>
      </c>
      <c r="E156" s="1" t="s">
        <v>157</v>
      </c>
      <c r="F156" s="1" t="s">
        <v>906</v>
      </c>
      <c r="G156" s="1" t="s">
        <v>201</v>
      </c>
      <c r="H156" s="1" t="s">
        <v>1003</v>
      </c>
      <c r="I156" s="1" t="s">
        <v>486</v>
      </c>
      <c r="J156" s="1" t="s">
        <v>401</v>
      </c>
      <c r="K156" s="1" t="s">
        <v>401</v>
      </c>
      <c r="L156" s="1" t="s">
        <v>1004</v>
      </c>
      <c r="M156" s="1" t="s">
        <v>504</v>
      </c>
      <c r="N156" s="1" t="s">
        <v>1005</v>
      </c>
      <c r="O156" s="1" t="s">
        <v>1005</v>
      </c>
      <c r="P156" s="1" t="s">
        <v>947</v>
      </c>
      <c r="Q156" s="1" t="s">
        <v>96</v>
      </c>
      <c r="R156" s="1" t="s">
        <v>1006</v>
      </c>
      <c r="S156" s="1" t="s">
        <v>336</v>
      </c>
      <c r="T156" s="1" t="s">
        <v>1007</v>
      </c>
      <c r="U156" s="1" t="s">
        <v>1008</v>
      </c>
      <c r="V156" s="1" t="s">
        <v>675</v>
      </c>
      <c r="W156" s="1" t="s">
        <v>723</v>
      </c>
      <c r="X156" s="1" t="s">
        <v>38</v>
      </c>
      <c r="Y156" s="1" t="s">
        <v>1009</v>
      </c>
      <c r="Z156" s="1">
        <v>1.0</v>
      </c>
    </row>
    <row r="157">
      <c r="A157" s="1" t="s">
        <v>678</v>
      </c>
      <c r="B157" s="1" t="s">
        <v>875</v>
      </c>
      <c r="C157" s="1" t="s">
        <v>935</v>
      </c>
      <c r="D157" s="1" t="s">
        <v>1010</v>
      </c>
      <c r="E157" s="1" t="s">
        <v>1011</v>
      </c>
      <c r="F157" s="1" t="s">
        <v>328</v>
      </c>
      <c r="G157" s="1" t="s">
        <v>401</v>
      </c>
      <c r="H157" s="1" t="s">
        <v>652</v>
      </c>
      <c r="I157" s="1" t="s">
        <v>1012</v>
      </c>
      <c r="J157" s="1" t="s">
        <v>322</v>
      </c>
      <c r="K157" s="1" t="s">
        <v>401</v>
      </c>
      <c r="L157" s="1" t="s">
        <v>1013</v>
      </c>
      <c r="M157" s="1" t="s">
        <v>984</v>
      </c>
      <c r="N157" s="1" t="s">
        <v>122</v>
      </c>
      <c r="O157" s="1" t="s">
        <v>1014</v>
      </c>
      <c r="P157" s="1" t="s">
        <v>1015</v>
      </c>
      <c r="Q157" s="1" t="s">
        <v>1016</v>
      </c>
      <c r="R157" s="1" t="s">
        <v>1017</v>
      </c>
      <c r="S157" s="1" t="s">
        <v>1018</v>
      </c>
      <c r="T157" s="1" t="s">
        <v>651</v>
      </c>
      <c r="U157" s="1" t="s">
        <v>138</v>
      </c>
      <c r="V157" s="1" t="s">
        <v>1019</v>
      </c>
      <c r="W157" s="1" t="s">
        <v>1020</v>
      </c>
      <c r="X157" s="1" t="s">
        <v>803</v>
      </c>
      <c r="Y157" s="1" t="s">
        <v>110</v>
      </c>
      <c r="Z157" s="1">
        <v>1.0</v>
      </c>
    </row>
    <row r="158">
      <c r="A158" s="1" t="s">
        <v>1021</v>
      </c>
      <c r="B158" s="1" t="s">
        <v>875</v>
      </c>
      <c r="C158" s="1" t="s">
        <v>876</v>
      </c>
      <c r="D158" s="1" t="s">
        <v>1022</v>
      </c>
      <c r="E158" s="1" t="s">
        <v>1023</v>
      </c>
      <c r="F158" s="1" t="s">
        <v>157</v>
      </c>
      <c r="G158" s="1" t="s">
        <v>396</v>
      </c>
      <c r="H158" s="1" t="s">
        <v>1024</v>
      </c>
      <c r="I158" s="1" t="s">
        <v>967</v>
      </c>
      <c r="J158" s="1" t="s">
        <v>553</v>
      </c>
      <c r="K158" s="1" t="s">
        <v>890</v>
      </c>
      <c r="L158" s="1" t="s">
        <v>910</v>
      </c>
      <c r="M158" s="1" t="s">
        <v>1025</v>
      </c>
      <c r="N158" s="1" t="s">
        <v>208</v>
      </c>
      <c r="O158" s="1" t="s">
        <v>190</v>
      </c>
      <c r="P158" s="1" t="s">
        <v>1026</v>
      </c>
      <c r="Q158" s="1" t="s">
        <v>82</v>
      </c>
      <c r="R158" s="1" t="s">
        <v>998</v>
      </c>
      <c r="S158" s="1" t="s">
        <v>1027</v>
      </c>
      <c r="T158" s="1" t="s">
        <v>548</v>
      </c>
      <c r="U158" s="1" t="s">
        <v>1028</v>
      </c>
      <c r="V158" s="1" t="s">
        <v>248</v>
      </c>
      <c r="W158" s="1" t="s">
        <v>507</v>
      </c>
      <c r="X158" s="1" t="s">
        <v>1029</v>
      </c>
      <c r="Y158" s="1" t="s">
        <v>552</v>
      </c>
      <c r="Z158" s="1">
        <v>1.0</v>
      </c>
    </row>
    <row r="159">
      <c r="A159" s="1" t="s">
        <v>1030</v>
      </c>
      <c r="B159" s="1" t="s">
        <v>875</v>
      </c>
      <c r="C159" s="1" t="s">
        <v>971</v>
      </c>
      <c r="D159" s="1" t="s">
        <v>1031</v>
      </c>
      <c r="E159" s="1" t="s">
        <v>310</v>
      </c>
      <c r="F159" s="1">
        <v>70.0</v>
      </c>
      <c r="G159" s="1" t="s">
        <v>571</v>
      </c>
      <c r="H159" s="1" t="s">
        <v>1032</v>
      </c>
      <c r="I159" s="1" t="s">
        <v>1033</v>
      </c>
      <c r="J159" s="1" t="s">
        <v>78</v>
      </c>
      <c r="K159" s="1" t="s">
        <v>553</v>
      </c>
      <c r="L159" s="1" t="s">
        <v>237</v>
      </c>
      <c r="M159" s="1" t="s">
        <v>838</v>
      </c>
      <c r="N159" s="1" t="s">
        <v>363</v>
      </c>
      <c r="O159" s="1" t="s">
        <v>204</v>
      </c>
      <c r="P159" s="1" t="s">
        <v>755</v>
      </c>
      <c r="Q159" s="1" t="s">
        <v>790</v>
      </c>
      <c r="R159" s="1" t="s">
        <v>1034</v>
      </c>
      <c r="S159" s="1" t="s">
        <v>1035</v>
      </c>
      <c r="T159" s="1" t="s">
        <v>1036</v>
      </c>
      <c r="U159" s="1" t="s">
        <v>753</v>
      </c>
      <c r="V159" s="1" t="s">
        <v>208</v>
      </c>
      <c r="W159" s="1" t="s">
        <v>205</v>
      </c>
      <c r="X159" s="1">
        <v>85.0</v>
      </c>
      <c r="Y159" s="1" t="s">
        <v>242</v>
      </c>
      <c r="Z159" s="1">
        <v>1.0</v>
      </c>
    </row>
    <row r="160">
      <c r="A160" s="1" t="s">
        <v>307</v>
      </c>
      <c r="B160" s="1" t="s">
        <v>875</v>
      </c>
      <c r="C160" s="1" t="s">
        <v>971</v>
      </c>
      <c r="D160" s="1" t="s">
        <v>1037</v>
      </c>
      <c r="E160" s="1" t="s">
        <v>1038</v>
      </c>
      <c r="F160" s="1" t="s">
        <v>328</v>
      </c>
      <c r="G160" s="1" t="s">
        <v>104</v>
      </c>
      <c r="H160" s="1" t="s">
        <v>1015</v>
      </c>
      <c r="I160" s="1" t="s">
        <v>1039</v>
      </c>
      <c r="J160" s="1" t="s">
        <v>909</v>
      </c>
      <c r="K160" s="1" t="s">
        <v>213</v>
      </c>
      <c r="L160" s="1" t="s">
        <v>48</v>
      </c>
      <c r="M160" s="1" t="s">
        <v>995</v>
      </c>
      <c r="N160" s="1" t="s">
        <v>208</v>
      </c>
      <c r="O160" s="1" t="s">
        <v>166</v>
      </c>
      <c r="P160" s="1" t="s">
        <v>1040</v>
      </c>
      <c r="Q160" s="1" t="s">
        <v>96</v>
      </c>
      <c r="R160" s="1" t="s">
        <v>111</v>
      </c>
      <c r="S160" s="1" t="s">
        <v>1041</v>
      </c>
      <c r="T160" s="1" t="s">
        <v>651</v>
      </c>
      <c r="U160" s="1" t="s">
        <v>1008</v>
      </c>
      <c r="V160" s="1" t="s">
        <v>802</v>
      </c>
      <c r="W160" s="1" t="s">
        <v>253</v>
      </c>
      <c r="X160" s="1" t="s">
        <v>301</v>
      </c>
      <c r="Y160" s="1" t="s">
        <v>69</v>
      </c>
      <c r="Z160" s="1">
        <v>1.0</v>
      </c>
    </row>
    <row r="161">
      <c r="A161" s="1" t="s">
        <v>1042</v>
      </c>
      <c r="B161" s="1" t="s">
        <v>875</v>
      </c>
      <c r="C161" s="1" t="s">
        <v>886</v>
      </c>
      <c r="D161" s="1" t="s">
        <v>379</v>
      </c>
      <c r="E161" s="1" t="s">
        <v>590</v>
      </c>
      <c r="F161" s="1" t="s">
        <v>110</v>
      </c>
      <c r="G161" s="1" t="s">
        <v>117</v>
      </c>
      <c r="H161" s="1" t="s">
        <v>1043</v>
      </c>
      <c r="I161" s="1" t="s">
        <v>1044</v>
      </c>
      <c r="J161" s="1" t="s">
        <v>175</v>
      </c>
      <c r="K161" s="1" t="s">
        <v>221</v>
      </c>
      <c r="L161" s="1" t="s">
        <v>398</v>
      </c>
      <c r="M161" s="1" t="s">
        <v>855</v>
      </c>
      <c r="N161" s="1" t="s">
        <v>180</v>
      </c>
      <c r="O161" s="1" t="s">
        <v>190</v>
      </c>
      <c r="P161" s="1" t="s">
        <v>828</v>
      </c>
      <c r="Q161" s="1" t="s">
        <v>35</v>
      </c>
      <c r="R161" s="1" t="s">
        <v>355</v>
      </c>
      <c r="S161" s="1" t="s">
        <v>1045</v>
      </c>
      <c r="T161" s="1" t="s">
        <v>285</v>
      </c>
      <c r="U161" s="1" t="s">
        <v>300</v>
      </c>
      <c r="V161" s="1" t="s">
        <v>1046</v>
      </c>
      <c r="W161" s="1" t="s">
        <v>207</v>
      </c>
      <c r="X161" s="1" t="s">
        <v>685</v>
      </c>
      <c r="Y161" s="1" t="s">
        <v>190</v>
      </c>
      <c r="Z161" s="1">
        <v>1.0</v>
      </c>
    </row>
    <row r="162">
      <c r="A162" s="1" t="s">
        <v>1047</v>
      </c>
      <c r="B162" s="1" t="s">
        <v>875</v>
      </c>
      <c r="C162" s="1" t="s">
        <v>970</v>
      </c>
      <c r="D162" s="1">
        <v>210.0</v>
      </c>
      <c r="E162" s="1">
        <v>75.0</v>
      </c>
      <c r="F162" s="1">
        <v>78.0</v>
      </c>
      <c r="G162" s="1">
        <v>87.0</v>
      </c>
      <c r="H162" s="1">
        <v>49.0</v>
      </c>
      <c r="I162" s="1">
        <v>41.0</v>
      </c>
      <c r="J162" s="1">
        <v>86.0</v>
      </c>
      <c r="K162" s="1">
        <v>81.0</v>
      </c>
      <c r="L162" s="1">
        <v>98.0</v>
      </c>
      <c r="M162" s="1">
        <v>85.0</v>
      </c>
      <c r="N162" s="1">
        <v>75.0</v>
      </c>
      <c r="O162" s="1">
        <v>75.0</v>
      </c>
      <c r="P162" s="1">
        <v>75.0</v>
      </c>
      <c r="Q162" s="1">
        <v>92.0</v>
      </c>
      <c r="R162" s="1">
        <v>65.0</v>
      </c>
      <c r="S162" s="1">
        <v>70.0</v>
      </c>
      <c r="T162" s="1">
        <v>71.0</v>
      </c>
      <c r="U162" s="1">
        <v>70.0</v>
      </c>
      <c r="V162" s="1">
        <v>86.0</v>
      </c>
      <c r="W162" s="1">
        <v>80.0</v>
      </c>
      <c r="X162" s="1">
        <v>65.0</v>
      </c>
      <c r="Y162" s="1">
        <v>80.0</v>
      </c>
      <c r="Z162" s="1">
        <v>1.0</v>
      </c>
    </row>
    <row r="163">
      <c r="A163" s="1" t="s">
        <v>500</v>
      </c>
      <c r="B163" s="1" t="s">
        <v>875</v>
      </c>
      <c r="C163" s="1" t="s">
        <v>512</v>
      </c>
      <c r="D163" s="1" t="s">
        <v>1048</v>
      </c>
      <c r="E163" s="1" t="s">
        <v>30</v>
      </c>
      <c r="F163" s="1" t="s">
        <v>635</v>
      </c>
      <c r="G163" s="1" t="s">
        <v>410</v>
      </c>
      <c r="H163" s="1" t="s">
        <v>112</v>
      </c>
      <c r="I163" s="1" t="s">
        <v>1049</v>
      </c>
      <c r="J163" s="1" t="s">
        <v>82</v>
      </c>
      <c r="K163" s="1" t="s">
        <v>350</v>
      </c>
      <c r="L163" s="1" t="s">
        <v>1050</v>
      </c>
      <c r="M163" s="1" t="s">
        <v>31</v>
      </c>
      <c r="N163" s="1" t="s">
        <v>462</v>
      </c>
      <c r="O163" s="1" t="s">
        <v>180</v>
      </c>
      <c r="P163" s="1" t="s">
        <v>1051</v>
      </c>
      <c r="Q163" s="1" t="s">
        <v>657</v>
      </c>
      <c r="R163" s="1" t="s">
        <v>614</v>
      </c>
      <c r="S163" s="1" t="s">
        <v>245</v>
      </c>
      <c r="T163" s="1" t="s">
        <v>130</v>
      </c>
      <c r="U163" s="1" t="s">
        <v>203</v>
      </c>
      <c r="V163" s="1" t="s">
        <v>180</v>
      </c>
      <c r="W163" s="1" t="s">
        <v>300</v>
      </c>
      <c r="X163" s="1" t="s">
        <v>1052</v>
      </c>
      <c r="Y163" s="1" t="s">
        <v>48</v>
      </c>
      <c r="Z163" s="1">
        <v>1.0</v>
      </c>
    </row>
    <row r="164">
      <c r="A164" s="1" t="s">
        <v>372</v>
      </c>
      <c r="B164" s="1" t="s">
        <v>875</v>
      </c>
      <c r="C164" s="1" t="s">
        <v>971</v>
      </c>
      <c r="D164" s="1" t="s">
        <v>1053</v>
      </c>
      <c r="E164" s="1" t="s">
        <v>1054</v>
      </c>
      <c r="F164" s="1" t="s">
        <v>490</v>
      </c>
      <c r="G164" s="1" t="s">
        <v>190</v>
      </c>
      <c r="H164" s="1" t="s">
        <v>1055</v>
      </c>
      <c r="I164" s="1" t="s">
        <v>1056</v>
      </c>
      <c r="J164" s="1" t="s">
        <v>136</v>
      </c>
      <c r="K164" s="1" t="s">
        <v>362</v>
      </c>
      <c r="L164" s="1" t="s">
        <v>431</v>
      </c>
      <c r="M164" s="1" t="s">
        <v>316</v>
      </c>
      <c r="N164" s="1" t="s">
        <v>1057</v>
      </c>
      <c r="O164" s="1" t="s">
        <v>181</v>
      </c>
      <c r="P164" s="1" t="s">
        <v>1058</v>
      </c>
      <c r="Q164" s="1" t="s">
        <v>96</v>
      </c>
      <c r="R164" s="1" t="s">
        <v>1059</v>
      </c>
      <c r="S164" s="1" t="s">
        <v>1060</v>
      </c>
      <c r="T164" s="1" t="s">
        <v>1061</v>
      </c>
      <c r="U164" s="1" t="s">
        <v>1062</v>
      </c>
      <c r="V164" s="1" t="s">
        <v>243</v>
      </c>
      <c r="W164" s="1" t="s">
        <v>132</v>
      </c>
      <c r="X164" s="1" t="s">
        <v>1063</v>
      </c>
      <c r="Y164" s="1" t="s">
        <v>48</v>
      </c>
      <c r="Z164" s="1">
        <v>1.0</v>
      </c>
    </row>
    <row r="165">
      <c r="A165" s="1" t="s">
        <v>1064</v>
      </c>
      <c r="B165" s="1" t="s">
        <v>875</v>
      </c>
      <c r="C165" s="1" t="s">
        <v>216</v>
      </c>
      <c r="D165" s="1">
        <v>205.0</v>
      </c>
      <c r="E165" s="1">
        <v>73.0</v>
      </c>
      <c r="F165" s="1">
        <v>85.0</v>
      </c>
      <c r="G165" s="1">
        <v>80.0</v>
      </c>
      <c r="H165" s="1">
        <v>45.0</v>
      </c>
      <c r="I165" s="1">
        <v>41.0</v>
      </c>
      <c r="J165" s="1">
        <v>80.0</v>
      </c>
      <c r="K165" s="1">
        <v>80.0</v>
      </c>
      <c r="L165" s="1">
        <v>99.0</v>
      </c>
      <c r="M165" s="1">
        <v>91.0</v>
      </c>
      <c r="N165" s="1">
        <v>85.0</v>
      </c>
      <c r="O165" s="1">
        <v>86.0</v>
      </c>
      <c r="P165" s="1">
        <v>60.0</v>
      </c>
      <c r="Q165" s="1">
        <v>85.0</v>
      </c>
      <c r="R165" s="1">
        <v>79.0</v>
      </c>
      <c r="S165" s="1">
        <v>68.0</v>
      </c>
      <c r="T165" s="1">
        <v>25.0</v>
      </c>
      <c r="U165" s="1">
        <v>45.0</v>
      </c>
      <c r="V165" s="1">
        <v>86.0</v>
      </c>
      <c r="W165" s="1">
        <v>80.0</v>
      </c>
      <c r="X165" s="1">
        <v>73.0</v>
      </c>
      <c r="Y165" s="1">
        <v>78.0</v>
      </c>
      <c r="Z165" s="1">
        <v>1.0</v>
      </c>
    </row>
    <row r="166">
      <c r="A166" s="1" t="s">
        <v>558</v>
      </c>
      <c r="B166" s="1" t="s">
        <v>875</v>
      </c>
      <c r="C166" s="1" t="s">
        <v>971</v>
      </c>
      <c r="D166" s="1" t="s">
        <v>1065</v>
      </c>
      <c r="E166" s="1" t="s">
        <v>424</v>
      </c>
      <c r="F166" s="1" t="s">
        <v>490</v>
      </c>
      <c r="G166" s="1">
        <v>80.0</v>
      </c>
      <c r="H166" s="1" t="s">
        <v>1001</v>
      </c>
      <c r="I166" s="1" t="s">
        <v>1066</v>
      </c>
      <c r="J166" s="1" t="s">
        <v>714</v>
      </c>
      <c r="K166" s="1">
        <v>90.0</v>
      </c>
      <c r="L166" s="1" t="s">
        <v>1067</v>
      </c>
      <c r="M166" s="1">
        <v>80.0</v>
      </c>
      <c r="N166" s="1" t="s">
        <v>190</v>
      </c>
      <c r="O166" s="1">
        <v>80.0</v>
      </c>
      <c r="P166" s="1" t="s">
        <v>1068</v>
      </c>
      <c r="Q166" s="1" t="s">
        <v>1069</v>
      </c>
      <c r="R166" s="1">
        <v>80.0</v>
      </c>
      <c r="S166" s="1" t="s">
        <v>1070</v>
      </c>
      <c r="T166" s="1" t="s">
        <v>1071</v>
      </c>
      <c r="U166" s="1" t="s">
        <v>892</v>
      </c>
      <c r="V166" s="1" t="s">
        <v>229</v>
      </c>
      <c r="W166" s="1" t="s">
        <v>1072</v>
      </c>
      <c r="X166" s="1" t="s">
        <v>708</v>
      </c>
      <c r="Y166" s="1" t="s">
        <v>1073</v>
      </c>
      <c r="Z166" s="1">
        <v>1.0</v>
      </c>
    </row>
    <row r="167">
      <c r="A167" s="1" t="s">
        <v>257</v>
      </c>
      <c r="B167" s="1" t="s">
        <v>875</v>
      </c>
      <c r="C167" s="1" t="s">
        <v>971</v>
      </c>
      <c r="D167" s="1" t="s">
        <v>198</v>
      </c>
      <c r="E167" s="1" t="s">
        <v>878</v>
      </c>
      <c r="F167" s="1" t="s">
        <v>128</v>
      </c>
      <c r="G167" s="1" t="s">
        <v>201</v>
      </c>
      <c r="H167" s="1" t="s">
        <v>1074</v>
      </c>
      <c r="I167" s="1" t="s">
        <v>373</v>
      </c>
      <c r="J167" s="1" t="s">
        <v>113</v>
      </c>
      <c r="K167" s="1" t="s">
        <v>35</v>
      </c>
      <c r="L167" s="1" t="s">
        <v>781</v>
      </c>
      <c r="M167" s="1" t="s">
        <v>242</v>
      </c>
      <c r="N167" s="1" t="s">
        <v>322</v>
      </c>
      <c r="O167" s="1" t="s">
        <v>39</v>
      </c>
      <c r="P167" s="1" t="s">
        <v>851</v>
      </c>
      <c r="Q167" s="1" t="s">
        <v>208</v>
      </c>
      <c r="R167" s="1" t="s">
        <v>828</v>
      </c>
      <c r="S167" s="1" t="s">
        <v>1075</v>
      </c>
      <c r="T167" s="1" t="s">
        <v>55</v>
      </c>
      <c r="U167" s="1" t="s">
        <v>1076</v>
      </c>
      <c r="V167" s="1" t="s">
        <v>390</v>
      </c>
      <c r="W167" s="1" t="s">
        <v>243</v>
      </c>
      <c r="X167" s="1" t="s">
        <v>1077</v>
      </c>
      <c r="Y167" s="1" t="s">
        <v>459</v>
      </c>
      <c r="Z167" s="1">
        <v>1.0</v>
      </c>
    </row>
    <row r="168">
      <c r="A168" s="1" t="s">
        <v>1078</v>
      </c>
      <c r="B168" s="1" t="s">
        <v>875</v>
      </c>
      <c r="C168" s="1" t="s">
        <v>629</v>
      </c>
      <c r="D168" s="1" t="s">
        <v>1079</v>
      </c>
      <c r="E168" s="1">
        <v>74.0</v>
      </c>
      <c r="F168" s="1" t="s">
        <v>828</v>
      </c>
      <c r="G168" s="1" t="s">
        <v>190</v>
      </c>
      <c r="H168" s="1" t="s">
        <v>130</v>
      </c>
      <c r="I168" s="1">
        <v>35.0</v>
      </c>
      <c r="J168" s="1">
        <v>89.0</v>
      </c>
      <c r="K168" s="1" t="s">
        <v>1080</v>
      </c>
      <c r="L168" s="1" t="s">
        <v>1081</v>
      </c>
      <c r="M168" s="1" t="s">
        <v>1082</v>
      </c>
      <c r="N168" s="1" t="s">
        <v>530</v>
      </c>
      <c r="O168" s="1" t="s">
        <v>490</v>
      </c>
      <c r="P168" s="1" t="s">
        <v>1083</v>
      </c>
      <c r="Q168" s="1" t="s">
        <v>1084</v>
      </c>
      <c r="R168" s="1" t="s">
        <v>82</v>
      </c>
      <c r="S168" s="1" t="s">
        <v>893</v>
      </c>
      <c r="T168" s="1" t="s">
        <v>1085</v>
      </c>
      <c r="U168" s="1" t="s">
        <v>1086</v>
      </c>
      <c r="V168" s="1" t="s">
        <v>840</v>
      </c>
      <c r="W168" s="1" t="s">
        <v>208</v>
      </c>
      <c r="X168" s="1" t="s">
        <v>863</v>
      </c>
      <c r="Y168" s="1" t="s">
        <v>838</v>
      </c>
      <c r="Z168" s="1">
        <v>1.0</v>
      </c>
    </row>
    <row r="169">
      <c r="A169" s="1" t="s">
        <v>527</v>
      </c>
      <c r="B169" s="1" t="s">
        <v>875</v>
      </c>
      <c r="C169" s="1" t="s">
        <v>970</v>
      </c>
      <c r="D169" s="1" t="s">
        <v>1087</v>
      </c>
      <c r="E169" s="1" t="s">
        <v>1088</v>
      </c>
      <c r="F169" s="1" t="s">
        <v>863</v>
      </c>
      <c r="G169" s="1" t="s">
        <v>427</v>
      </c>
      <c r="H169" s="1" t="s">
        <v>1089</v>
      </c>
      <c r="I169" s="1" t="s">
        <v>1090</v>
      </c>
      <c r="J169" s="1" t="s">
        <v>201</v>
      </c>
      <c r="K169" s="1" t="s">
        <v>205</v>
      </c>
      <c r="L169" s="1" t="s">
        <v>1091</v>
      </c>
      <c r="M169" s="1" t="s">
        <v>1038</v>
      </c>
      <c r="N169" s="1" t="s">
        <v>180</v>
      </c>
      <c r="O169" s="1" t="s">
        <v>190</v>
      </c>
      <c r="P169" s="1" t="s">
        <v>781</v>
      </c>
      <c r="Q169" s="1" t="s">
        <v>132</v>
      </c>
      <c r="R169" s="1" t="s">
        <v>82</v>
      </c>
      <c r="S169" s="1" t="s">
        <v>389</v>
      </c>
      <c r="T169" s="1" t="s">
        <v>1092</v>
      </c>
      <c r="U169" s="1" t="s">
        <v>1093</v>
      </c>
      <c r="V169" s="1" t="s">
        <v>1046</v>
      </c>
      <c r="W169" s="1" t="s">
        <v>763</v>
      </c>
      <c r="X169" s="1" t="s">
        <v>209</v>
      </c>
      <c r="Y169" s="1">
        <v>80.0</v>
      </c>
      <c r="Z169" s="1">
        <v>1.0</v>
      </c>
    </row>
    <row r="170">
      <c r="A170" s="1" t="s">
        <v>692</v>
      </c>
      <c r="B170" s="1" t="s">
        <v>875</v>
      </c>
      <c r="C170" s="1" t="s">
        <v>935</v>
      </c>
      <c r="D170" s="1" t="s">
        <v>1094</v>
      </c>
      <c r="E170" s="1" t="s">
        <v>222</v>
      </c>
      <c r="F170" s="1" t="s">
        <v>110</v>
      </c>
      <c r="G170" s="1" t="s">
        <v>92</v>
      </c>
      <c r="H170" s="1" t="s">
        <v>282</v>
      </c>
      <c r="I170" s="1" t="s">
        <v>1018</v>
      </c>
      <c r="J170" s="1" t="s">
        <v>36</v>
      </c>
      <c r="K170" s="1" t="s">
        <v>1095</v>
      </c>
      <c r="L170" s="1" t="s">
        <v>1096</v>
      </c>
      <c r="M170" s="1" t="s">
        <v>398</v>
      </c>
      <c r="N170" s="1" t="s">
        <v>278</v>
      </c>
      <c r="O170" s="1" t="s">
        <v>463</v>
      </c>
      <c r="P170" s="1" t="s">
        <v>120</v>
      </c>
      <c r="Q170" s="1" t="s">
        <v>998</v>
      </c>
      <c r="R170" s="1" t="s">
        <v>912</v>
      </c>
      <c r="S170" s="1" t="s">
        <v>446</v>
      </c>
      <c r="T170" s="1" t="s">
        <v>382</v>
      </c>
      <c r="U170" s="1" t="s">
        <v>1097</v>
      </c>
      <c r="V170" s="1" t="s">
        <v>1098</v>
      </c>
      <c r="W170" s="1" t="s">
        <v>498</v>
      </c>
      <c r="X170" s="1" t="s">
        <v>62</v>
      </c>
      <c r="Y170" s="1" t="s">
        <v>1099</v>
      </c>
      <c r="Z170" s="1">
        <v>1.0</v>
      </c>
    </row>
    <row r="171">
      <c r="A171" s="1" t="s">
        <v>1100</v>
      </c>
      <c r="B171" s="1" t="s">
        <v>875</v>
      </c>
      <c r="C171" s="1" t="s">
        <v>970</v>
      </c>
      <c r="D171" s="1">
        <v>185.0</v>
      </c>
      <c r="E171" s="1">
        <v>73.0</v>
      </c>
      <c r="F171" s="1">
        <v>80.0</v>
      </c>
      <c r="G171" s="1">
        <v>93.0</v>
      </c>
      <c r="H171" s="1">
        <v>53.0</v>
      </c>
      <c r="I171" s="1">
        <v>45.0</v>
      </c>
      <c r="J171" s="1">
        <v>82.0</v>
      </c>
      <c r="K171" s="1">
        <v>92.0</v>
      </c>
      <c r="L171" s="1">
        <v>67.0</v>
      </c>
      <c r="M171" s="1">
        <v>60.0</v>
      </c>
      <c r="N171" s="1">
        <v>75.0</v>
      </c>
      <c r="O171" s="1">
        <v>75.0</v>
      </c>
      <c r="P171" s="1">
        <v>80.0</v>
      </c>
      <c r="Q171" s="1">
        <v>93.0</v>
      </c>
      <c r="R171" s="1">
        <v>73.0</v>
      </c>
      <c r="S171" s="1">
        <v>58.0</v>
      </c>
      <c r="T171" s="1">
        <v>57.0</v>
      </c>
      <c r="U171" s="1">
        <v>70.0</v>
      </c>
      <c r="V171" s="1">
        <v>75.0</v>
      </c>
      <c r="W171" s="1">
        <v>76.0</v>
      </c>
      <c r="X171" s="1">
        <v>73.0</v>
      </c>
      <c r="Y171" s="1">
        <v>80.0</v>
      </c>
      <c r="Z171" s="1">
        <v>1.0</v>
      </c>
    </row>
    <row r="172">
      <c r="A172" s="1" t="s">
        <v>1101</v>
      </c>
      <c r="B172" s="1" t="s">
        <v>875</v>
      </c>
      <c r="C172" s="1" t="s">
        <v>145</v>
      </c>
      <c r="D172" s="1">
        <v>222.0</v>
      </c>
      <c r="E172" s="1">
        <v>79.0</v>
      </c>
      <c r="F172" s="1">
        <v>90.0</v>
      </c>
      <c r="G172" s="1">
        <v>90.0</v>
      </c>
      <c r="H172" s="1">
        <v>51.0</v>
      </c>
      <c r="I172" s="1">
        <v>54.0</v>
      </c>
      <c r="J172" s="1">
        <v>88.0</v>
      </c>
      <c r="K172" s="1">
        <v>83.0</v>
      </c>
      <c r="L172" s="1">
        <v>65.0</v>
      </c>
      <c r="M172" s="1">
        <v>65.0</v>
      </c>
      <c r="N172" s="1">
        <v>90.0</v>
      </c>
      <c r="O172" s="1">
        <v>84.0</v>
      </c>
      <c r="P172" s="1">
        <v>61.0</v>
      </c>
      <c r="Q172" s="1">
        <v>54.0</v>
      </c>
      <c r="R172" s="1">
        <v>38.0</v>
      </c>
      <c r="S172" s="1">
        <v>44.0</v>
      </c>
      <c r="T172" s="1">
        <v>80.0</v>
      </c>
      <c r="U172" s="1">
        <v>84.0</v>
      </c>
      <c r="V172" s="1">
        <v>84.0</v>
      </c>
      <c r="W172" s="1">
        <v>83.0</v>
      </c>
      <c r="X172" s="1">
        <v>80.0</v>
      </c>
      <c r="Y172" s="1">
        <v>75.0</v>
      </c>
      <c r="Z172" s="1">
        <v>1.0</v>
      </c>
    </row>
    <row r="173">
      <c r="A173" s="1" t="s">
        <v>456</v>
      </c>
      <c r="B173" s="1" t="s">
        <v>875</v>
      </c>
      <c r="C173" s="1" t="s">
        <v>896</v>
      </c>
      <c r="D173" s="1" t="s">
        <v>1102</v>
      </c>
      <c r="E173" s="1" t="s">
        <v>323</v>
      </c>
      <c r="F173" s="1" t="s">
        <v>265</v>
      </c>
      <c r="G173" s="1" t="s">
        <v>1103</v>
      </c>
      <c r="H173" s="1" t="s">
        <v>449</v>
      </c>
      <c r="I173" s="1" t="s">
        <v>1104</v>
      </c>
      <c r="J173" s="1" t="s">
        <v>597</v>
      </c>
      <c r="K173" s="1" t="s">
        <v>35</v>
      </c>
      <c r="L173" s="1" t="s">
        <v>1105</v>
      </c>
      <c r="M173" s="1" t="s">
        <v>431</v>
      </c>
      <c r="N173" s="1" t="s">
        <v>35</v>
      </c>
      <c r="O173" s="1" t="s">
        <v>39</v>
      </c>
      <c r="P173" s="1" t="s">
        <v>1106</v>
      </c>
      <c r="Q173" s="1" t="s">
        <v>263</v>
      </c>
      <c r="R173" s="1" t="s">
        <v>180</v>
      </c>
      <c r="S173" s="1" t="s">
        <v>1107</v>
      </c>
      <c r="T173" s="1" t="s">
        <v>1015</v>
      </c>
      <c r="U173" s="1" t="s">
        <v>1108</v>
      </c>
      <c r="V173" s="1" t="s">
        <v>253</v>
      </c>
      <c r="W173" s="1" t="s">
        <v>265</v>
      </c>
      <c r="X173" s="1" t="s">
        <v>1109</v>
      </c>
      <c r="Y173" s="1" t="s">
        <v>48</v>
      </c>
      <c r="Z173" s="1">
        <v>1.0</v>
      </c>
    </row>
    <row r="174">
      <c r="A174" s="1" t="s">
        <v>608</v>
      </c>
      <c r="B174" s="1" t="s">
        <v>875</v>
      </c>
      <c r="C174" s="1" t="s">
        <v>192</v>
      </c>
      <c r="D174" s="1">
        <v>200.0</v>
      </c>
      <c r="E174" s="1">
        <v>70.0</v>
      </c>
      <c r="F174" s="1">
        <v>75.0</v>
      </c>
      <c r="G174" s="1">
        <v>85.0</v>
      </c>
      <c r="H174" s="1">
        <v>38.0</v>
      </c>
      <c r="I174" s="1">
        <v>49.0</v>
      </c>
      <c r="J174" s="1">
        <v>80.0</v>
      </c>
      <c r="K174" s="1">
        <v>85.0</v>
      </c>
      <c r="L174" s="1">
        <v>71.0</v>
      </c>
      <c r="M174" s="1">
        <v>75.0</v>
      </c>
      <c r="N174" s="1">
        <v>86.0</v>
      </c>
      <c r="O174" s="1">
        <v>75.0</v>
      </c>
      <c r="P174" s="1">
        <v>82.0</v>
      </c>
      <c r="Q174" s="1">
        <v>80.0</v>
      </c>
      <c r="R174" s="1">
        <v>75.0</v>
      </c>
      <c r="S174" s="1">
        <v>72.0</v>
      </c>
      <c r="T174" s="1">
        <v>76.0</v>
      </c>
      <c r="U174" s="1">
        <v>76.0</v>
      </c>
      <c r="V174" s="1">
        <v>85.0</v>
      </c>
      <c r="W174" s="1">
        <v>82.0</v>
      </c>
      <c r="X174" s="1">
        <v>77.0</v>
      </c>
      <c r="Y174" s="1">
        <v>80.0</v>
      </c>
      <c r="Z174" s="1">
        <v>1.0</v>
      </c>
    </row>
    <row r="175">
      <c r="A175" s="1" t="s">
        <v>1110</v>
      </c>
      <c r="B175" s="1" t="s">
        <v>875</v>
      </c>
      <c r="C175" s="1" t="s">
        <v>970</v>
      </c>
      <c r="D175" s="1" t="s">
        <v>1111</v>
      </c>
      <c r="E175" s="1" t="s">
        <v>878</v>
      </c>
      <c r="F175" s="1" t="s">
        <v>110</v>
      </c>
      <c r="G175" s="1" t="s">
        <v>78</v>
      </c>
      <c r="H175" s="1" t="s">
        <v>577</v>
      </c>
      <c r="I175" s="1" t="s">
        <v>38</v>
      </c>
      <c r="J175" s="1" t="s">
        <v>82</v>
      </c>
      <c r="K175" s="1" t="s">
        <v>39</v>
      </c>
      <c r="L175" s="1" t="s">
        <v>325</v>
      </c>
      <c r="M175" s="1" t="s">
        <v>881</v>
      </c>
      <c r="N175" s="1" t="s">
        <v>180</v>
      </c>
      <c r="O175" s="1" t="s">
        <v>190</v>
      </c>
      <c r="P175" s="1" t="s">
        <v>48</v>
      </c>
      <c r="Q175" s="1" t="s">
        <v>35</v>
      </c>
      <c r="R175" s="1" t="s">
        <v>1112</v>
      </c>
      <c r="S175" s="1" t="s">
        <v>622</v>
      </c>
      <c r="T175" s="1" t="s">
        <v>242</v>
      </c>
      <c r="U175" s="1" t="s">
        <v>731</v>
      </c>
      <c r="V175" s="1" t="s">
        <v>166</v>
      </c>
      <c r="W175" s="1" t="s">
        <v>166</v>
      </c>
      <c r="X175" s="1" t="s">
        <v>1113</v>
      </c>
      <c r="Y175" s="1" t="s">
        <v>39</v>
      </c>
      <c r="Z175" s="1">
        <v>1.0</v>
      </c>
    </row>
    <row r="176">
      <c r="A176" s="1" t="s">
        <v>1114</v>
      </c>
      <c r="B176" s="1" t="s">
        <v>875</v>
      </c>
      <c r="C176" s="1" t="s">
        <v>145</v>
      </c>
      <c r="D176" s="1" t="s">
        <v>1115</v>
      </c>
      <c r="E176" s="1">
        <v>65.0</v>
      </c>
      <c r="F176" s="1" t="s">
        <v>1116</v>
      </c>
      <c r="G176" s="1">
        <v>80.0</v>
      </c>
      <c r="H176" s="1" t="s">
        <v>1117</v>
      </c>
      <c r="I176" s="1" t="s">
        <v>815</v>
      </c>
      <c r="J176" s="1" t="s">
        <v>1054</v>
      </c>
      <c r="K176" s="1">
        <v>83.0</v>
      </c>
      <c r="L176" s="1" t="s">
        <v>434</v>
      </c>
      <c r="M176" s="1" t="s">
        <v>755</v>
      </c>
      <c r="N176" s="1" t="s">
        <v>179</v>
      </c>
      <c r="O176" s="1" t="s">
        <v>180</v>
      </c>
      <c r="P176" s="1" t="s">
        <v>88</v>
      </c>
      <c r="Q176" s="1" t="s">
        <v>182</v>
      </c>
      <c r="R176" s="1">
        <v>91.0</v>
      </c>
      <c r="S176" s="1" t="s">
        <v>1118</v>
      </c>
      <c r="T176" s="1" t="s">
        <v>1119</v>
      </c>
      <c r="U176" s="1" t="s">
        <v>1120</v>
      </c>
      <c r="V176" s="1" t="s">
        <v>477</v>
      </c>
      <c r="W176" s="1" t="s">
        <v>1121</v>
      </c>
      <c r="X176" s="1" t="s">
        <v>1122</v>
      </c>
      <c r="Y176" s="1" t="s">
        <v>1123</v>
      </c>
      <c r="Z176" s="1">
        <v>1.0</v>
      </c>
    </row>
    <row r="177">
      <c r="A177" s="1" t="s">
        <v>70</v>
      </c>
      <c r="B177" s="1" t="s">
        <v>875</v>
      </c>
      <c r="C177" s="1" t="s">
        <v>629</v>
      </c>
      <c r="D177" s="1" t="s">
        <v>1124</v>
      </c>
      <c r="E177" s="1" t="s">
        <v>398</v>
      </c>
      <c r="F177" s="1" t="s">
        <v>31</v>
      </c>
      <c r="G177" s="1" t="s">
        <v>1125</v>
      </c>
      <c r="H177" s="1" t="s">
        <v>298</v>
      </c>
      <c r="I177" s="1" t="s">
        <v>1126</v>
      </c>
      <c r="J177" s="1" t="s">
        <v>582</v>
      </c>
      <c r="K177" s="1" t="s">
        <v>229</v>
      </c>
      <c r="L177" s="1" t="s">
        <v>188</v>
      </c>
      <c r="M177" s="1">
        <v>85.0</v>
      </c>
      <c r="N177" s="1" t="s">
        <v>333</v>
      </c>
      <c r="O177" s="1" t="s">
        <v>761</v>
      </c>
      <c r="P177" s="1" t="s">
        <v>526</v>
      </c>
      <c r="Q177" s="1" t="s">
        <v>208</v>
      </c>
      <c r="R177" s="1" t="s">
        <v>531</v>
      </c>
      <c r="S177" s="1" t="s">
        <v>872</v>
      </c>
      <c r="T177" s="1" t="s">
        <v>298</v>
      </c>
      <c r="U177" s="1" t="s">
        <v>521</v>
      </c>
      <c r="V177" s="1" t="s">
        <v>761</v>
      </c>
      <c r="W177" s="1" t="s">
        <v>593</v>
      </c>
      <c r="X177" s="1" t="s">
        <v>828</v>
      </c>
      <c r="Y177" s="1" t="s">
        <v>1127</v>
      </c>
      <c r="Z177" s="1">
        <v>1.0</v>
      </c>
    </row>
    <row r="178">
      <c r="A178" s="1" t="s">
        <v>273</v>
      </c>
      <c r="B178" s="1" t="s">
        <v>875</v>
      </c>
      <c r="C178" s="1" t="s">
        <v>925</v>
      </c>
      <c r="D178" s="1" t="s">
        <v>1128</v>
      </c>
      <c r="E178" s="1" t="s">
        <v>457</v>
      </c>
      <c r="F178" s="1" t="s">
        <v>242</v>
      </c>
      <c r="G178" s="1" t="s">
        <v>1129</v>
      </c>
      <c r="H178" s="1" t="s">
        <v>687</v>
      </c>
      <c r="I178" s="1" t="s">
        <v>56</v>
      </c>
      <c r="J178" s="1" t="s">
        <v>401</v>
      </c>
      <c r="K178" s="1" t="s">
        <v>350</v>
      </c>
      <c r="L178" s="1" t="s">
        <v>1130</v>
      </c>
      <c r="M178" s="1" t="s">
        <v>962</v>
      </c>
      <c r="N178" s="1" t="s">
        <v>495</v>
      </c>
      <c r="O178" s="1" t="s">
        <v>253</v>
      </c>
      <c r="P178" s="1" t="s">
        <v>1131</v>
      </c>
      <c r="Q178" s="1" t="s">
        <v>36</v>
      </c>
      <c r="R178" s="1" t="s">
        <v>939</v>
      </c>
      <c r="S178" s="1" t="s">
        <v>1132</v>
      </c>
      <c r="T178" s="1" t="s">
        <v>251</v>
      </c>
      <c r="U178" s="1" t="s">
        <v>1133</v>
      </c>
      <c r="V178" s="1" t="s">
        <v>780</v>
      </c>
      <c r="W178" s="1" t="s">
        <v>142</v>
      </c>
      <c r="X178" s="1" t="s">
        <v>859</v>
      </c>
      <c r="Y178" s="1" t="s">
        <v>1134</v>
      </c>
      <c r="Z178" s="1">
        <v>1.0</v>
      </c>
    </row>
    <row r="179">
      <c r="A179" s="1" t="s">
        <v>1135</v>
      </c>
      <c r="B179" s="1" t="s">
        <v>875</v>
      </c>
      <c r="C179" s="1" t="s">
        <v>970</v>
      </c>
      <c r="D179" s="1">
        <v>200.0</v>
      </c>
      <c r="E179" s="1" t="s">
        <v>730</v>
      </c>
      <c r="F179" s="1">
        <v>70.0</v>
      </c>
      <c r="G179" s="1">
        <v>88.0</v>
      </c>
      <c r="H179" s="1">
        <v>48.0</v>
      </c>
      <c r="I179" s="1" t="s">
        <v>183</v>
      </c>
      <c r="J179" s="1">
        <v>85.0</v>
      </c>
      <c r="K179" s="1" t="s">
        <v>571</v>
      </c>
      <c r="L179" s="1">
        <v>79.0</v>
      </c>
      <c r="M179" s="1">
        <v>85.0</v>
      </c>
      <c r="N179" s="1">
        <v>84.0</v>
      </c>
      <c r="O179" s="1" t="s">
        <v>1136</v>
      </c>
      <c r="P179" s="1">
        <v>60.0</v>
      </c>
      <c r="Q179" s="1">
        <v>85.0</v>
      </c>
      <c r="R179" s="1">
        <v>79.0</v>
      </c>
      <c r="S179" s="1" t="s">
        <v>1137</v>
      </c>
      <c r="T179" s="1" t="s">
        <v>1138</v>
      </c>
      <c r="U179" s="1">
        <v>55.0</v>
      </c>
      <c r="V179" s="1">
        <v>83.0</v>
      </c>
      <c r="W179" s="1">
        <v>76.0</v>
      </c>
      <c r="X179" s="1">
        <v>67.0</v>
      </c>
      <c r="Y179" s="1">
        <v>78.0</v>
      </c>
      <c r="Z179" s="1">
        <v>1.0</v>
      </c>
    </row>
    <row r="180">
      <c r="A180" s="1" t="s">
        <v>1139</v>
      </c>
      <c r="B180" s="1" t="s">
        <v>875</v>
      </c>
      <c r="C180" s="1" t="s">
        <v>886</v>
      </c>
      <c r="D180" s="1" t="s">
        <v>1140</v>
      </c>
      <c r="E180" s="1" t="s">
        <v>204</v>
      </c>
      <c r="F180" s="1" t="s">
        <v>265</v>
      </c>
      <c r="G180" s="1" t="s">
        <v>396</v>
      </c>
      <c r="H180" s="1" t="s">
        <v>526</v>
      </c>
      <c r="I180" s="1" t="s">
        <v>1141</v>
      </c>
      <c r="J180" s="1" t="s">
        <v>1142</v>
      </c>
      <c r="K180" s="1" t="s">
        <v>1143</v>
      </c>
      <c r="L180" s="1" t="s">
        <v>1144</v>
      </c>
      <c r="M180" s="1" t="s">
        <v>734</v>
      </c>
      <c r="N180" s="1">
        <v>86.0</v>
      </c>
      <c r="O180" s="1" t="s">
        <v>174</v>
      </c>
      <c r="P180" s="1">
        <v>60.0</v>
      </c>
      <c r="Q180" s="1" t="s">
        <v>36</v>
      </c>
      <c r="R180" s="1" t="s">
        <v>1145</v>
      </c>
      <c r="S180" s="1" t="s">
        <v>100</v>
      </c>
      <c r="T180" s="1" t="s">
        <v>569</v>
      </c>
      <c r="U180" s="1" t="s">
        <v>40</v>
      </c>
      <c r="V180" s="1" t="s">
        <v>614</v>
      </c>
      <c r="W180" s="1" t="s">
        <v>1146</v>
      </c>
      <c r="X180" s="1" t="s">
        <v>48</v>
      </c>
      <c r="Y180" s="1" t="s">
        <v>1147</v>
      </c>
      <c r="Z180" s="1">
        <v>1.0</v>
      </c>
    </row>
    <row r="181">
      <c r="A181" s="1" t="s">
        <v>1148</v>
      </c>
      <c r="B181" s="1" t="s">
        <v>875</v>
      </c>
      <c r="C181" s="1" t="s">
        <v>216</v>
      </c>
      <c r="D181" s="1">
        <v>205.0</v>
      </c>
      <c r="E181" s="1">
        <v>92.0</v>
      </c>
      <c r="F181" s="1">
        <v>82.0</v>
      </c>
      <c r="G181" s="1">
        <v>97.0</v>
      </c>
      <c r="H181" s="1">
        <v>50.0</v>
      </c>
      <c r="I181" s="1">
        <v>39.0</v>
      </c>
      <c r="J181" s="1">
        <v>83.0</v>
      </c>
      <c r="K181" s="1">
        <v>90.0</v>
      </c>
      <c r="L181" s="1">
        <v>78.0</v>
      </c>
      <c r="M181" s="1">
        <v>70.0</v>
      </c>
      <c r="N181" s="1">
        <v>82.0</v>
      </c>
      <c r="O181" s="1">
        <v>70.0</v>
      </c>
      <c r="P181" s="1">
        <v>79.0</v>
      </c>
      <c r="Q181" s="1">
        <v>79.0</v>
      </c>
      <c r="R181" s="1">
        <v>49.0</v>
      </c>
      <c r="S181" s="1">
        <v>62.0</v>
      </c>
      <c r="T181" s="1">
        <v>45.0</v>
      </c>
      <c r="U181" s="1">
        <v>70.0</v>
      </c>
      <c r="V181" s="1">
        <v>85.0</v>
      </c>
      <c r="W181" s="1">
        <v>75.0</v>
      </c>
      <c r="X181" s="1">
        <v>77.0</v>
      </c>
      <c r="Y181" s="1">
        <v>85.0</v>
      </c>
      <c r="Z181" s="1">
        <v>1.0</v>
      </c>
    </row>
    <row r="182">
      <c r="A182" s="1" t="s">
        <v>1149</v>
      </c>
      <c r="B182" s="1" t="s">
        <v>875</v>
      </c>
      <c r="C182" s="1" t="s">
        <v>876</v>
      </c>
      <c r="D182" s="1" t="s">
        <v>1150</v>
      </c>
      <c r="E182" s="1" t="s">
        <v>1151</v>
      </c>
      <c r="F182" s="1" t="s">
        <v>1152</v>
      </c>
      <c r="G182" s="1" t="s">
        <v>614</v>
      </c>
      <c r="H182" s="1" t="s">
        <v>1153</v>
      </c>
      <c r="I182" s="1" t="s">
        <v>1089</v>
      </c>
      <c r="J182" s="1" t="s">
        <v>635</v>
      </c>
      <c r="K182" s="1" t="s">
        <v>205</v>
      </c>
      <c r="L182" s="1" t="s">
        <v>230</v>
      </c>
      <c r="M182" s="1" t="s">
        <v>1154</v>
      </c>
      <c r="N182" s="1" t="s">
        <v>620</v>
      </c>
      <c r="O182" s="1" t="s">
        <v>1155</v>
      </c>
      <c r="P182" s="1" t="s">
        <v>1156</v>
      </c>
      <c r="Q182" s="1" t="s">
        <v>1084</v>
      </c>
      <c r="R182" s="1" t="s">
        <v>208</v>
      </c>
      <c r="S182" s="1" t="s">
        <v>1157</v>
      </c>
      <c r="T182" s="1" t="s">
        <v>1158</v>
      </c>
      <c r="U182" s="1" t="s">
        <v>1159</v>
      </c>
      <c r="V182" s="1" t="s">
        <v>1160</v>
      </c>
      <c r="W182" s="1" t="s">
        <v>761</v>
      </c>
      <c r="X182" s="1">
        <v>85.0</v>
      </c>
      <c r="Y182" s="1" t="s">
        <v>363</v>
      </c>
      <c r="Z182" s="1">
        <v>1.0</v>
      </c>
    </row>
    <row r="183">
      <c r="A183" s="1" t="s">
        <v>1161</v>
      </c>
      <c r="B183" s="1" t="s">
        <v>875</v>
      </c>
      <c r="C183" s="1" t="s">
        <v>886</v>
      </c>
      <c r="D183" s="1" t="s">
        <v>1162</v>
      </c>
      <c r="E183" s="1" t="s">
        <v>95</v>
      </c>
      <c r="F183" s="1" t="s">
        <v>1163</v>
      </c>
      <c r="G183" s="1" t="s">
        <v>1164</v>
      </c>
      <c r="H183" s="1" t="s">
        <v>1165</v>
      </c>
      <c r="I183" s="1" t="s">
        <v>269</v>
      </c>
      <c r="J183" s="1" t="s">
        <v>429</v>
      </c>
      <c r="K183" s="1" t="s">
        <v>205</v>
      </c>
      <c r="L183" s="1" t="s">
        <v>504</v>
      </c>
      <c r="M183" s="1" t="s">
        <v>1166</v>
      </c>
      <c r="N183" s="1" t="s">
        <v>504</v>
      </c>
      <c r="O183" s="1" t="s">
        <v>900</v>
      </c>
      <c r="P183" s="1" t="s">
        <v>1167</v>
      </c>
      <c r="Q183" s="1" t="s">
        <v>1168</v>
      </c>
      <c r="R183" s="1" t="s">
        <v>82</v>
      </c>
      <c r="S183" s="1" t="s">
        <v>966</v>
      </c>
      <c r="T183" s="1" t="s">
        <v>1169</v>
      </c>
      <c r="U183" s="1" t="s">
        <v>1170</v>
      </c>
      <c r="V183" s="1">
        <v>85.0</v>
      </c>
      <c r="W183" s="1" t="s">
        <v>265</v>
      </c>
      <c r="X183" s="1" t="s">
        <v>1171</v>
      </c>
      <c r="Y183" s="1" t="s">
        <v>300</v>
      </c>
      <c r="Z183" s="1">
        <v>1.0</v>
      </c>
    </row>
    <row r="184">
      <c r="A184" s="1" t="s">
        <v>1172</v>
      </c>
      <c r="B184" s="1" t="s">
        <v>875</v>
      </c>
      <c r="C184" s="1" t="s">
        <v>886</v>
      </c>
      <c r="D184" s="1" t="s">
        <v>1173</v>
      </c>
      <c r="E184" s="1" t="s">
        <v>242</v>
      </c>
      <c r="F184" s="1" t="s">
        <v>1174</v>
      </c>
      <c r="G184" s="1" t="s">
        <v>149</v>
      </c>
      <c r="H184" s="1" t="s">
        <v>481</v>
      </c>
      <c r="I184" s="1" t="s">
        <v>889</v>
      </c>
      <c r="J184" s="1" t="s">
        <v>96</v>
      </c>
      <c r="K184" s="1" t="s">
        <v>396</v>
      </c>
      <c r="L184" s="1" t="s">
        <v>1073</v>
      </c>
      <c r="M184" s="1" t="s">
        <v>180</v>
      </c>
      <c r="N184" s="1" t="s">
        <v>1175</v>
      </c>
      <c r="O184" s="1" t="s">
        <v>242</v>
      </c>
      <c r="P184" s="1" t="s">
        <v>1076</v>
      </c>
      <c r="Q184" s="1" t="s">
        <v>164</v>
      </c>
      <c r="R184" s="1" t="s">
        <v>1176</v>
      </c>
      <c r="S184" s="1" t="s">
        <v>999</v>
      </c>
      <c r="T184" s="1" t="s">
        <v>813</v>
      </c>
      <c r="U184" s="1" t="s">
        <v>1177</v>
      </c>
      <c r="V184" s="1" t="s">
        <v>734</v>
      </c>
      <c r="W184" s="1" t="s">
        <v>318</v>
      </c>
      <c r="X184" s="1" t="s">
        <v>265</v>
      </c>
      <c r="Y184" s="1" t="s">
        <v>431</v>
      </c>
      <c r="Z184" s="1">
        <v>1.0</v>
      </c>
    </row>
    <row r="185">
      <c r="A185" s="1" t="s">
        <v>1178</v>
      </c>
      <c r="B185" s="1" t="s">
        <v>875</v>
      </c>
      <c r="C185" s="1" t="s">
        <v>970</v>
      </c>
      <c r="D185" s="1">
        <v>227.0</v>
      </c>
      <c r="E185" s="1">
        <v>73.0</v>
      </c>
      <c r="F185" s="1">
        <v>80.0</v>
      </c>
      <c r="G185" s="1">
        <v>73.0</v>
      </c>
      <c r="H185" s="1">
        <v>48.0</v>
      </c>
      <c r="I185" s="1">
        <v>75.0</v>
      </c>
      <c r="J185" s="1">
        <v>73.0</v>
      </c>
      <c r="K185" s="1">
        <v>28.0</v>
      </c>
      <c r="L185" s="1">
        <v>49.0</v>
      </c>
      <c r="M185" s="1">
        <v>76.0</v>
      </c>
      <c r="N185" s="1">
        <v>73.0</v>
      </c>
      <c r="O185" s="1">
        <v>75.0</v>
      </c>
      <c r="P185" s="1">
        <v>77.0</v>
      </c>
      <c r="Q185" s="1">
        <v>92.0</v>
      </c>
      <c r="R185" s="1">
        <v>85.0</v>
      </c>
      <c r="S185" s="1">
        <v>93.0</v>
      </c>
      <c r="T185" s="1">
        <v>85.0</v>
      </c>
      <c r="U185" s="1">
        <v>70.0</v>
      </c>
      <c r="V185" s="1">
        <v>84.0</v>
      </c>
      <c r="W185" s="1">
        <v>82.0</v>
      </c>
      <c r="X185" s="1">
        <v>85.0</v>
      </c>
      <c r="Y185" s="1">
        <v>83.0</v>
      </c>
      <c r="Z185" s="1">
        <v>1.0</v>
      </c>
    </row>
    <row r="186">
      <c r="A186" s="1" t="s">
        <v>378</v>
      </c>
      <c r="B186" s="1" t="s">
        <v>875</v>
      </c>
      <c r="C186" s="1" t="s">
        <v>971</v>
      </c>
      <c r="D186" s="1" t="s">
        <v>1179</v>
      </c>
      <c r="E186" s="1" t="s">
        <v>199</v>
      </c>
      <c r="F186" s="1" t="s">
        <v>1180</v>
      </c>
      <c r="G186" s="1" t="s">
        <v>175</v>
      </c>
      <c r="H186" s="1" t="s">
        <v>1181</v>
      </c>
      <c r="I186" s="1" t="s">
        <v>299</v>
      </c>
      <c r="J186" s="1" t="s">
        <v>322</v>
      </c>
      <c r="K186" s="1" t="s">
        <v>345</v>
      </c>
      <c r="L186" s="1" t="s">
        <v>1182</v>
      </c>
      <c r="M186" s="1" t="s">
        <v>860</v>
      </c>
      <c r="N186" s="1" t="s">
        <v>113</v>
      </c>
      <c r="O186" s="1" t="s">
        <v>860</v>
      </c>
      <c r="P186" s="1" t="s">
        <v>1183</v>
      </c>
      <c r="Q186" s="1" t="s">
        <v>414</v>
      </c>
      <c r="R186" s="1" t="s">
        <v>150</v>
      </c>
      <c r="S186" s="1" t="s">
        <v>931</v>
      </c>
      <c r="T186" s="1" t="s">
        <v>482</v>
      </c>
      <c r="U186" s="1" t="s">
        <v>805</v>
      </c>
      <c r="V186" s="1" t="s">
        <v>253</v>
      </c>
      <c r="W186" s="1" t="s">
        <v>457</v>
      </c>
      <c r="X186" s="1" t="s">
        <v>1184</v>
      </c>
      <c r="Y186" s="1" t="s">
        <v>1185</v>
      </c>
      <c r="Z186" s="1">
        <v>1.0</v>
      </c>
    </row>
    <row r="187">
      <c r="A187" s="1" t="s">
        <v>293</v>
      </c>
      <c r="B187" s="1" t="s">
        <v>875</v>
      </c>
      <c r="C187" s="1" t="s">
        <v>294</v>
      </c>
      <c r="D187" s="1" t="s">
        <v>295</v>
      </c>
      <c r="E187" s="1" t="s">
        <v>424</v>
      </c>
      <c r="F187" s="1" t="s">
        <v>207</v>
      </c>
      <c r="G187" s="1" t="s">
        <v>201</v>
      </c>
      <c r="H187" s="1" t="s">
        <v>1186</v>
      </c>
      <c r="I187" s="1" t="s">
        <v>1187</v>
      </c>
      <c r="J187" s="1" t="s">
        <v>1188</v>
      </c>
      <c r="K187" s="1" t="s">
        <v>890</v>
      </c>
      <c r="L187" s="1" t="s">
        <v>1189</v>
      </c>
      <c r="M187" s="1" t="s">
        <v>398</v>
      </c>
      <c r="N187" s="1" t="s">
        <v>179</v>
      </c>
      <c r="O187" s="1" t="s">
        <v>180</v>
      </c>
      <c r="P187" s="1" t="s">
        <v>1190</v>
      </c>
      <c r="Q187" s="1" t="s">
        <v>35</v>
      </c>
      <c r="R187" s="1">
        <v>73.0</v>
      </c>
      <c r="S187" s="1" t="s">
        <v>978</v>
      </c>
      <c r="T187" s="1" t="s">
        <v>1191</v>
      </c>
      <c r="U187" s="1" t="s">
        <v>713</v>
      </c>
      <c r="V187" s="1" t="s">
        <v>266</v>
      </c>
      <c r="W187" s="1" t="s">
        <v>300</v>
      </c>
      <c r="X187" s="1" t="s">
        <v>1192</v>
      </c>
      <c r="Y187" s="1" t="s">
        <v>190</v>
      </c>
      <c r="Z187" s="1">
        <v>1.0</v>
      </c>
    </row>
    <row r="188">
      <c r="A188" s="1" t="s">
        <v>559</v>
      </c>
      <c r="B188" s="1" t="s">
        <v>875</v>
      </c>
      <c r="C188" s="1" t="s">
        <v>145</v>
      </c>
      <c r="D188" s="1" t="s">
        <v>1193</v>
      </c>
      <c r="E188" s="1" t="s">
        <v>1194</v>
      </c>
      <c r="F188" s="1" t="s">
        <v>1195</v>
      </c>
      <c r="G188" s="1" t="s">
        <v>1196</v>
      </c>
      <c r="H188" s="1" t="s">
        <v>344</v>
      </c>
      <c r="I188" s="1" t="s">
        <v>1197</v>
      </c>
      <c r="J188" s="1" t="s">
        <v>1054</v>
      </c>
      <c r="K188" s="1">
        <v>83.0</v>
      </c>
      <c r="L188" s="1" t="s">
        <v>1198</v>
      </c>
      <c r="M188" s="1" t="s">
        <v>1060</v>
      </c>
      <c r="N188" s="1" t="s">
        <v>1199</v>
      </c>
      <c r="O188" s="1" t="s">
        <v>1200</v>
      </c>
      <c r="P188" s="1" t="s">
        <v>817</v>
      </c>
      <c r="Q188" s="1" t="s">
        <v>1201</v>
      </c>
      <c r="R188" s="1" t="s">
        <v>1202</v>
      </c>
      <c r="S188" s="1" t="s">
        <v>708</v>
      </c>
      <c r="T188" s="1" t="s">
        <v>1203</v>
      </c>
      <c r="U188" s="1" t="s">
        <v>206</v>
      </c>
      <c r="V188" s="1" t="s">
        <v>78</v>
      </c>
      <c r="W188" s="1" t="s">
        <v>78</v>
      </c>
      <c r="X188" s="1" t="s">
        <v>927</v>
      </c>
      <c r="Y188" s="1" t="s">
        <v>1151</v>
      </c>
      <c r="Z188" s="1">
        <v>1.0</v>
      </c>
    </row>
    <row r="189">
      <c r="A189" s="1" t="s">
        <v>823</v>
      </c>
      <c r="B189" s="1" t="s">
        <v>875</v>
      </c>
      <c r="C189" s="1" t="s">
        <v>971</v>
      </c>
      <c r="D189" s="1" t="s">
        <v>1204</v>
      </c>
      <c r="E189" s="1" t="s">
        <v>428</v>
      </c>
      <c r="F189" s="1" t="s">
        <v>761</v>
      </c>
      <c r="G189" s="1" t="s">
        <v>128</v>
      </c>
      <c r="H189" s="1" t="s">
        <v>1205</v>
      </c>
      <c r="I189" s="1" t="s">
        <v>1033</v>
      </c>
      <c r="J189" s="1">
        <v>85.0</v>
      </c>
      <c r="K189" s="1" t="s">
        <v>429</v>
      </c>
      <c r="L189" s="1" t="s">
        <v>1054</v>
      </c>
      <c r="M189" s="1" t="s">
        <v>614</v>
      </c>
      <c r="N189" s="1" t="s">
        <v>208</v>
      </c>
      <c r="O189" s="1" t="s">
        <v>207</v>
      </c>
      <c r="P189" s="1" t="s">
        <v>1206</v>
      </c>
      <c r="Q189" s="1" t="s">
        <v>132</v>
      </c>
      <c r="R189" s="1" t="s">
        <v>1207</v>
      </c>
      <c r="S189" s="1" t="s">
        <v>804</v>
      </c>
      <c r="T189" s="1" t="s">
        <v>34</v>
      </c>
      <c r="U189" s="1" t="s">
        <v>464</v>
      </c>
      <c r="V189" s="1" t="s">
        <v>614</v>
      </c>
      <c r="W189" s="1" t="s">
        <v>242</v>
      </c>
      <c r="X189" s="1" t="s">
        <v>1208</v>
      </c>
      <c r="Y189" s="1" t="s">
        <v>490</v>
      </c>
      <c r="Z189" s="1">
        <v>1.0</v>
      </c>
    </row>
    <row r="190">
      <c r="A190" s="1" t="s">
        <v>756</v>
      </c>
      <c r="B190" s="1" t="s">
        <v>875</v>
      </c>
      <c r="C190" s="1" t="s">
        <v>145</v>
      </c>
      <c r="D190" s="1" t="s">
        <v>1209</v>
      </c>
      <c r="E190" s="1" t="s">
        <v>514</v>
      </c>
      <c r="F190" s="1" t="s">
        <v>825</v>
      </c>
      <c r="G190" s="1" t="s">
        <v>306</v>
      </c>
      <c r="H190" s="1" t="s">
        <v>1210</v>
      </c>
      <c r="I190" s="1">
        <v>45.0</v>
      </c>
      <c r="J190" s="1" t="s">
        <v>154</v>
      </c>
      <c r="K190" s="1">
        <v>83.0</v>
      </c>
      <c r="L190" s="1" t="s">
        <v>502</v>
      </c>
      <c r="M190" s="1" t="s">
        <v>1116</v>
      </c>
      <c r="N190" s="1" t="s">
        <v>180</v>
      </c>
      <c r="O190" s="1">
        <v>75.0</v>
      </c>
      <c r="P190" s="1" t="s">
        <v>1211</v>
      </c>
      <c r="Q190" s="1" t="s">
        <v>128</v>
      </c>
      <c r="R190" s="1">
        <v>85.0</v>
      </c>
      <c r="S190" s="1" t="s">
        <v>1212</v>
      </c>
      <c r="T190" s="1" t="s">
        <v>468</v>
      </c>
      <c r="U190" s="1" t="s">
        <v>40</v>
      </c>
      <c r="V190" s="1" t="s">
        <v>1213</v>
      </c>
      <c r="W190" s="1" t="s">
        <v>404</v>
      </c>
      <c r="X190" s="1">
        <v>85.0</v>
      </c>
      <c r="Y190" s="1" t="s">
        <v>1189</v>
      </c>
      <c r="Z190" s="1">
        <v>1.0</v>
      </c>
    </row>
    <row r="191">
      <c r="A191" s="1" t="s">
        <v>1214</v>
      </c>
      <c r="B191" s="1" t="s">
        <v>875</v>
      </c>
      <c r="C191" s="1" t="s">
        <v>629</v>
      </c>
      <c r="D191" s="1" t="s">
        <v>1215</v>
      </c>
      <c r="E191" s="1" t="s">
        <v>893</v>
      </c>
      <c r="F191" s="1" t="s">
        <v>349</v>
      </c>
      <c r="G191" s="1" t="s">
        <v>368</v>
      </c>
      <c r="H191" s="1" t="s">
        <v>1216</v>
      </c>
      <c r="I191" s="1" t="s">
        <v>270</v>
      </c>
      <c r="J191" s="1" t="s">
        <v>553</v>
      </c>
      <c r="K191" s="1" t="s">
        <v>205</v>
      </c>
      <c r="L191" s="1" t="s">
        <v>1217</v>
      </c>
      <c r="M191" s="1" t="s">
        <v>1218</v>
      </c>
      <c r="N191" s="1" t="s">
        <v>1219</v>
      </c>
      <c r="O191" s="1" t="s">
        <v>1151</v>
      </c>
      <c r="P191" s="1" t="s">
        <v>1156</v>
      </c>
      <c r="Q191" s="1" t="s">
        <v>570</v>
      </c>
      <c r="R191" s="1" t="s">
        <v>1220</v>
      </c>
      <c r="S191" s="1" t="s">
        <v>1088</v>
      </c>
      <c r="T191" s="1" t="s">
        <v>1206</v>
      </c>
      <c r="U191" s="1" t="s">
        <v>1221</v>
      </c>
      <c r="V191" s="1" t="s">
        <v>553</v>
      </c>
      <c r="W191" s="1">
        <v>86.0</v>
      </c>
      <c r="X191" s="1">
        <v>85.0</v>
      </c>
      <c r="Y191" s="1" t="s">
        <v>900</v>
      </c>
      <c r="Z191" s="1">
        <v>1.0</v>
      </c>
    </row>
    <row r="192">
      <c r="A192" s="1" t="s">
        <v>1222</v>
      </c>
      <c r="B192" s="1" t="s">
        <v>875</v>
      </c>
      <c r="C192" s="1" t="s">
        <v>876</v>
      </c>
      <c r="D192" s="1" t="s">
        <v>1223</v>
      </c>
      <c r="E192" s="1" t="s">
        <v>1224</v>
      </c>
      <c r="F192" s="1" t="s">
        <v>1116</v>
      </c>
      <c r="G192" s="1">
        <v>88.0</v>
      </c>
      <c r="H192" s="1" t="s">
        <v>1225</v>
      </c>
      <c r="I192" s="1" t="s">
        <v>1090</v>
      </c>
      <c r="J192" s="1" t="s">
        <v>1226</v>
      </c>
      <c r="K192" s="1" t="s">
        <v>582</v>
      </c>
      <c r="L192" s="1" t="s">
        <v>1227</v>
      </c>
      <c r="M192" s="1" t="s">
        <v>711</v>
      </c>
      <c r="N192" s="1" t="s">
        <v>179</v>
      </c>
      <c r="O192" s="1">
        <v>80.0</v>
      </c>
      <c r="P192" s="1">
        <v>70.0</v>
      </c>
      <c r="Q192" s="1" t="s">
        <v>728</v>
      </c>
      <c r="R192" s="1" t="s">
        <v>1228</v>
      </c>
      <c r="S192" s="1">
        <v>84.0</v>
      </c>
      <c r="T192" s="1" t="s">
        <v>268</v>
      </c>
      <c r="U192" s="1">
        <v>80.0</v>
      </c>
      <c r="V192" s="1" t="s">
        <v>761</v>
      </c>
      <c r="W192" s="1" t="s">
        <v>221</v>
      </c>
      <c r="X192" s="1" t="s">
        <v>1076</v>
      </c>
      <c r="Y192" s="1">
        <v>80.0</v>
      </c>
      <c r="Z192" s="1">
        <v>1.0</v>
      </c>
    </row>
    <row r="193">
      <c r="A193" s="1" t="s">
        <v>197</v>
      </c>
      <c r="B193" s="1" t="s">
        <v>875</v>
      </c>
      <c r="C193" s="1" t="s">
        <v>896</v>
      </c>
      <c r="D193" s="1" t="s">
        <v>1229</v>
      </c>
      <c r="E193" s="1" t="s">
        <v>224</v>
      </c>
      <c r="F193" s="1" t="s">
        <v>457</v>
      </c>
      <c r="G193" s="1" t="s">
        <v>1011</v>
      </c>
      <c r="H193" s="1" t="s">
        <v>1007</v>
      </c>
      <c r="I193" s="1" t="s">
        <v>1230</v>
      </c>
      <c r="J193" s="1" t="s">
        <v>199</v>
      </c>
      <c r="K193" s="1" t="s">
        <v>1171</v>
      </c>
      <c r="L193" s="1" t="s">
        <v>1231</v>
      </c>
      <c r="M193" s="1" t="s">
        <v>984</v>
      </c>
      <c r="N193" s="1" t="s">
        <v>35</v>
      </c>
      <c r="O193" s="1" t="s">
        <v>991</v>
      </c>
      <c r="P193" s="1" t="s">
        <v>1232</v>
      </c>
      <c r="Q193" s="1" t="s">
        <v>1233</v>
      </c>
      <c r="R193" s="1" t="s">
        <v>280</v>
      </c>
      <c r="S193" s="1" t="s">
        <v>1234</v>
      </c>
      <c r="T193" s="1" t="s">
        <v>1235</v>
      </c>
      <c r="U193" s="1" t="s">
        <v>1236</v>
      </c>
      <c r="V193" s="1" t="s">
        <v>226</v>
      </c>
      <c r="W193" s="1" t="s">
        <v>86</v>
      </c>
      <c r="X193" s="1" t="s">
        <v>69</v>
      </c>
      <c r="Y193" s="1" t="s">
        <v>568</v>
      </c>
      <c r="Z193" s="1">
        <v>1.0</v>
      </c>
    </row>
    <row r="194">
      <c r="A194" s="1" t="s">
        <v>1237</v>
      </c>
      <c r="B194" s="1" t="s">
        <v>875</v>
      </c>
      <c r="C194" s="1" t="s">
        <v>629</v>
      </c>
      <c r="D194" s="1" t="s">
        <v>1238</v>
      </c>
      <c r="E194" s="1" t="s">
        <v>1239</v>
      </c>
      <c r="F194" s="1" t="s">
        <v>711</v>
      </c>
      <c r="G194" s="1" t="s">
        <v>1240</v>
      </c>
      <c r="H194" s="1" t="s">
        <v>1241</v>
      </c>
      <c r="I194" s="1" t="s">
        <v>1242</v>
      </c>
      <c r="J194" s="1" t="s">
        <v>199</v>
      </c>
      <c r="K194" s="1">
        <v>83.0</v>
      </c>
      <c r="L194" s="1" t="s">
        <v>1243</v>
      </c>
      <c r="M194" s="1" t="s">
        <v>928</v>
      </c>
      <c r="N194" s="1" t="s">
        <v>1244</v>
      </c>
      <c r="O194" s="1" t="s">
        <v>1245</v>
      </c>
      <c r="P194" s="1" t="s">
        <v>754</v>
      </c>
      <c r="Q194" s="1">
        <v>94.0</v>
      </c>
      <c r="R194" s="1" t="s">
        <v>96</v>
      </c>
      <c r="S194" s="1">
        <v>78.0</v>
      </c>
      <c r="T194" s="1" t="s">
        <v>1060</v>
      </c>
      <c r="U194" s="1" t="s">
        <v>1246</v>
      </c>
      <c r="V194" s="1" t="s">
        <v>633</v>
      </c>
      <c r="W194" s="1" t="s">
        <v>754</v>
      </c>
      <c r="X194" s="1" t="s">
        <v>1247</v>
      </c>
      <c r="Y194" s="1" t="s">
        <v>922</v>
      </c>
      <c r="Z194" s="1">
        <v>1.0</v>
      </c>
    </row>
    <row r="195">
      <c r="A195" s="1" t="s">
        <v>1248</v>
      </c>
      <c r="B195" s="1" t="s">
        <v>875</v>
      </c>
      <c r="C195" s="1" t="s">
        <v>192</v>
      </c>
      <c r="D195" s="1">
        <v>224.0</v>
      </c>
      <c r="E195" s="1">
        <v>81.0</v>
      </c>
      <c r="F195" s="1">
        <v>81.0</v>
      </c>
      <c r="G195" s="1">
        <v>88.0</v>
      </c>
      <c r="H195" s="1">
        <v>67.0</v>
      </c>
      <c r="I195" s="1">
        <v>50.0</v>
      </c>
      <c r="J195" s="1">
        <v>83.0</v>
      </c>
      <c r="K195" s="1">
        <v>87.0</v>
      </c>
      <c r="L195" s="1">
        <v>62.0</v>
      </c>
      <c r="M195" s="1">
        <v>58.0</v>
      </c>
      <c r="N195" s="1">
        <v>81.0</v>
      </c>
      <c r="O195" s="1">
        <v>81.0</v>
      </c>
      <c r="P195" s="1">
        <v>70.0</v>
      </c>
      <c r="Q195" s="1">
        <v>70.0</v>
      </c>
      <c r="R195" s="1">
        <v>68.0</v>
      </c>
      <c r="S195" s="1">
        <v>76.0</v>
      </c>
      <c r="T195" s="1">
        <v>51.0</v>
      </c>
      <c r="U195" s="1">
        <v>55.0</v>
      </c>
      <c r="V195" s="1">
        <v>90.0</v>
      </c>
      <c r="W195" s="1">
        <v>75.0</v>
      </c>
      <c r="X195" s="1">
        <v>85.0</v>
      </c>
      <c r="Y195" s="1">
        <v>79.0</v>
      </c>
      <c r="Z195" s="1">
        <v>1.0</v>
      </c>
    </row>
    <row r="196">
      <c r="A196" s="1" t="s">
        <v>1249</v>
      </c>
      <c r="B196" s="1" t="s">
        <v>875</v>
      </c>
      <c r="C196" s="1" t="s">
        <v>145</v>
      </c>
      <c r="D196" s="1">
        <v>206.0</v>
      </c>
      <c r="E196" s="1">
        <v>81.0</v>
      </c>
      <c r="F196" s="1">
        <v>88.0</v>
      </c>
      <c r="G196" s="1">
        <v>73.0</v>
      </c>
      <c r="H196" s="1">
        <v>40.0</v>
      </c>
      <c r="I196" s="1">
        <v>79.0</v>
      </c>
      <c r="J196" s="1">
        <v>96.0</v>
      </c>
      <c r="K196" s="1">
        <v>83.0</v>
      </c>
      <c r="L196" s="1">
        <v>77.0</v>
      </c>
      <c r="M196" s="1">
        <v>76.0</v>
      </c>
      <c r="N196" s="1">
        <v>86.0</v>
      </c>
      <c r="O196" s="1">
        <v>80.0</v>
      </c>
      <c r="P196" s="1">
        <v>50.0</v>
      </c>
      <c r="Q196" s="1">
        <v>74.0</v>
      </c>
      <c r="R196" s="1">
        <v>60.0</v>
      </c>
      <c r="S196" s="1">
        <v>30.0</v>
      </c>
      <c r="T196" s="1">
        <v>39.0</v>
      </c>
      <c r="U196" s="1">
        <v>40.0</v>
      </c>
      <c r="V196" s="1">
        <v>80.0</v>
      </c>
      <c r="W196" s="1">
        <v>80.0</v>
      </c>
      <c r="X196" s="1">
        <v>67.0</v>
      </c>
      <c r="Y196" s="1">
        <v>65.0</v>
      </c>
      <c r="Z196" s="1">
        <v>1.0</v>
      </c>
    </row>
    <row r="197">
      <c r="A197" s="1" t="s">
        <v>1250</v>
      </c>
      <c r="B197" s="1" t="s">
        <v>875</v>
      </c>
      <c r="C197" s="1" t="s">
        <v>971</v>
      </c>
      <c r="D197" s="1" t="s">
        <v>327</v>
      </c>
      <c r="E197" s="1" t="s">
        <v>742</v>
      </c>
      <c r="F197" s="1" t="s">
        <v>860</v>
      </c>
      <c r="G197" s="1" t="s">
        <v>1251</v>
      </c>
      <c r="H197" s="1" t="s">
        <v>1252</v>
      </c>
      <c r="I197" s="1" t="s">
        <v>1253</v>
      </c>
      <c r="J197" s="1" t="s">
        <v>1213</v>
      </c>
      <c r="K197" s="1" t="s">
        <v>154</v>
      </c>
      <c r="L197" s="1" t="s">
        <v>1254</v>
      </c>
      <c r="M197" s="1" t="s">
        <v>1255</v>
      </c>
      <c r="N197" s="1" t="s">
        <v>622</v>
      </c>
      <c r="O197" s="1" t="s">
        <v>207</v>
      </c>
      <c r="P197" s="1" t="s">
        <v>1256</v>
      </c>
      <c r="Q197" s="1" t="s">
        <v>398</v>
      </c>
      <c r="R197" s="1" t="s">
        <v>200</v>
      </c>
      <c r="S197" s="1" t="s">
        <v>302</v>
      </c>
      <c r="T197" s="1" t="s">
        <v>810</v>
      </c>
      <c r="U197" s="1" t="s">
        <v>888</v>
      </c>
      <c r="V197" s="1" t="s">
        <v>36</v>
      </c>
      <c r="W197" s="1" t="s">
        <v>342</v>
      </c>
      <c r="X197" s="1" t="s">
        <v>1257</v>
      </c>
      <c r="Y197" s="1" t="s">
        <v>1258</v>
      </c>
      <c r="Z197" s="1">
        <v>1.0</v>
      </c>
    </row>
    <row r="198">
      <c r="A198" s="1" t="s">
        <v>215</v>
      </c>
      <c r="B198" s="1" t="s">
        <v>875</v>
      </c>
      <c r="C198" s="1" t="s">
        <v>216</v>
      </c>
      <c r="D198" s="1">
        <v>219.0</v>
      </c>
      <c r="E198" s="1">
        <v>73.0</v>
      </c>
      <c r="F198" s="1">
        <v>85.0</v>
      </c>
      <c r="G198" s="1">
        <v>93.0</v>
      </c>
      <c r="H198" s="1">
        <v>38.0</v>
      </c>
      <c r="I198" s="1">
        <v>40.0</v>
      </c>
      <c r="J198" s="1">
        <v>81.0</v>
      </c>
      <c r="K198" s="1">
        <v>91.0</v>
      </c>
      <c r="L198" s="1">
        <v>71.0</v>
      </c>
      <c r="M198" s="1">
        <v>71.0</v>
      </c>
      <c r="N198" s="1">
        <v>86.0</v>
      </c>
      <c r="O198" s="1">
        <v>75.0</v>
      </c>
      <c r="P198" s="1">
        <v>60.0</v>
      </c>
      <c r="Q198" s="1">
        <v>87.0</v>
      </c>
      <c r="R198" s="1">
        <v>73.0</v>
      </c>
      <c r="S198" s="1">
        <v>69.0</v>
      </c>
      <c r="T198" s="1">
        <v>61.0</v>
      </c>
      <c r="U198" s="1">
        <v>47.0</v>
      </c>
      <c r="V198" s="1">
        <v>85.0</v>
      </c>
      <c r="W198" s="1">
        <v>79.0</v>
      </c>
      <c r="X198" s="1">
        <v>85.0</v>
      </c>
      <c r="Y198" s="1">
        <v>80.0</v>
      </c>
      <c r="Z198" s="1">
        <v>1.0</v>
      </c>
    </row>
    <row r="199">
      <c r="A199" s="1" t="s">
        <v>1259</v>
      </c>
      <c r="B199" s="1" t="s">
        <v>875</v>
      </c>
      <c r="C199" s="1" t="s">
        <v>970</v>
      </c>
      <c r="D199" s="1">
        <v>205.0</v>
      </c>
      <c r="E199" s="1">
        <v>74.0</v>
      </c>
      <c r="F199" s="1">
        <v>74.0</v>
      </c>
      <c r="G199" s="1">
        <v>94.0</v>
      </c>
      <c r="H199" s="1">
        <v>54.0</v>
      </c>
      <c r="I199" s="1">
        <v>45.0</v>
      </c>
      <c r="J199" s="1">
        <v>85.0</v>
      </c>
      <c r="K199" s="1">
        <v>86.0</v>
      </c>
      <c r="L199" s="1">
        <v>70.0</v>
      </c>
      <c r="M199" s="1">
        <v>65.0</v>
      </c>
      <c r="N199" s="1">
        <v>80.0</v>
      </c>
      <c r="O199" s="1">
        <v>79.0</v>
      </c>
      <c r="P199" s="1">
        <v>60.0</v>
      </c>
      <c r="Q199" s="1">
        <v>80.0</v>
      </c>
      <c r="R199" s="1">
        <v>84.0</v>
      </c>
      <c r="S199" s="1">
        <v>70.0</v>
      </c>
      <c r="T199" s="1">
        <v>72.0</v>
      </c>
      <c r="U199" s="1">
        <v>72.0</v>
      </c>
      <c r="V199" s="1">
        <v>82.0</v>
      </c>
      <c r="W199" s="1">
        <v>80.0</v>
      </c>
      <c r="X199" s="1">
        <v>65.0</v>
      </c>
      <c r="Y199" s="1">
        <v>80.0</v>
      </c>
      <c r="Z199" s="1">
        <v>1.0</v>
      </c>
    </row>
    <row r="200">
      <c r="A200" s="1" t="s">
        <v>1260</v>
      </c>
      <c r="B200" s="1" t="s">
        <v>875</v>
      </c>
      <c r="C200" s="1" t="s">
        <v>145</v>
      </c>
      <c r="D200" s="1">
        <v>211.0</v>
      </c>
      <c r="E200" s="1">
        <v>82.0</v>
      </c>
      <c r="F200" s="1">
        <v>94.0</v>
      </c>
      <c r="G200" s="1">
        <v>54.0</v>
      </c>
      <c r="H200" s="1">
        <v>33.0</v>
      </c>
      <c r="I200" s="1">
        <v>37.0</v>
      </c>
      <c r="J200" s="1">
        <v>73.0</v>
      </c>
      <c r="K200" s="1">
        <v>83.0</v>
      </c>
      <c r="L200" s="1">
        <v>74.0</v>
      </c>
      <c r="M200" s="1">
        <v>85.0</v>
      </c>
      <c r="N200" s="1">
        <v>81.0</v>
      </c>
      <c r="O200" s="1">
        <v>80.0</v>
      </c>
      <c r="P200" s="1">
        <v>60.0</v>
      </c>
      <c r="Q200" s="1">
        <v>82.0</v>
      </c>
      <c r="R200" s="1">
        <v>75.0</v>
      </c>
      <c r="S200" s="1">
        <v>78.0</v>
      </c>
      <c r="T200" s="1">
        <v>55.0</v>
      </c>
      <c r="U200" s="1">
        <v>80.0</v>
      </c>
      <c r="V200" s="1">
        <v>89.0</v>
      </c>
      <c r="W200" s="1">
        <v>76.0</v>
      </c>
      <c r="X200" s="1">
        <v>75.0</v>
      </c>
      <c r="Y200" s="1">
        <v>83.0</v>
      </c>
      <c r="Z200" s="1">
        <v>1.0</v>
      </c>
    </row>
    <row r="201">
      <c r="A201" s="1" t="s">
        <v>1261</v>
      </c>
      <c r="B201" s="1" t="s">
        <v>875</v>
      </c>
      <c r="C201" s="1" t="s">
        <v>896</v>
      </c>
      <c r="D201" s="1" t="s">
        <v>1262</v>
      </c>
      <c r="E201" s="1" t="s">
        <v>242</v>
      </c>
      <c r="F201" s="1" t="s">
        <v>679</v>
      </c>
      <c r="G201" s="1" t="s">
        <v>322</v>
      </c>
      <c r="H201" s="1" t="s">
        <v>94</v>
      </c>
      <c r="I201" s="1" t="s">
        <v>1263</v>
      </c>
      <c r="J201" s="1" t="s">
        <v>96</v>
      </c>
      <c r="K201" s="1" t="s">
        <v>39</v>
      </c>
      <c r="L201" s="1" t="s">
        <v>1264</v>
      </c>
      <c r="M201" s="1" t="s">
        <v>332</v>
      </c>
      <c r="N201" s="1" t="s">
        <v>149</v>
      </c>
      <c r="O201" s="1" t="s">
        <v>242</v>
      </c>
      <c r="P201" s="1" t="s">
        <v>997</v>
      </c>
      <c r="Q201" s="1" t="s">
        <v>36</v>
      </c>
      <c r="R201" s="1" t="s">
        <v>986</v>
      </c>
      <c r="S201" s="1" t="s">
        <v>1265</v>
      </c>
      <c r="T201" s="1" t="s">
        <v>1266</v>
      </c>
      <c r="U201" s="1" t="s">
        <v>556</v>
      </c>
      <c r="V201" s="1" t="s">
        <v>253</v>
      </c>
      <c r="W201" s="1" t="s">
        <v>1267</v>
      </c>
      <c r="X201" s="1" t="s">
        <v>698</v>
      </c>
      <c r="Y201" s="1" t="s">
        <v>225</v>
      </c>
      <c r="Z201" s="1">
        <v>1.0</v>
      </c>
    </row>
    <row r="202">
      <c r="A202" s="1" t="s">
        <v>1268</v>
      </c>
      <c r="B202" s="1" t="s">
        <v>875</v>
      </c>
      <c r="C202" s="1" t="s">
        <v>971</v>
      </c>
      <c r="D202" s="1" t="s">
        <v>1269</v>
      </c>
      <c r="E202" s="1" t="s">
        <v>437</v>
      </c>
      <c r="F202" s="1" t="s">
        <v>88</v>
      </c>
      <c r="G202" s="1" t="s">
        <v>448</v>
      </c>
      <c r="H202" s="1" t="s">
        <v>1270</v>
      </c>
      <c r="I202" s="1" t="s">
        <v>1039</v>
      </c>
      <c r="J202" s="1" t="s">
        <v>384</v>
      </c>
      <c r="K202" s="1" t="s">
        <v>35</v>
      </c>
      <c r="L202" s="1" t="s">
        <v>864</v>
      </c>
      <c r="M202" s="1" t="s">
        <v>163</v>
      </c>
      <c r="N202" s="1" t="s">
        <v>204</v>
      </c>
      <c r="O202" s="1" t="s">
        <v>224</v>
      </c>
      <c r="P202" s="1" t="s">
        <v>325</v>
      </c>
      <c r="Q202" s="1" t="s">
        <v>1271</v>
      </c>
      <c r="R202" s="1" t="s">
        <v>1034</v>
      </c>
      <c r="S202" s="1" t="s">
        <v>1272</v>
      </c>
      <c r="T202" s="1" t="s">
        <v>506</v>
      </c>
      <c r="U202" s="1" t="s">
        <v>1273</v>
      </c>
      <c r="V202" s="1" t="s">
        <v>227</v>
      </c>
      <c r="W202" s="1" t="s">
        <v>333</v>
      </c>
      <c r="X202" s="1" t="s">
        <v>35</v>
      </c>
      <c r="Y202" s="1" t="s">
        <v>48</v>
      </c>
      <c r="Z202" s="1">
        <v>1.0</v>
      </c>
    </row>
    <row r="203">
      <c r="A203" s="1" t="s">
        <v>286</v>
      </c>
      <c r="B203" s="1" t="s">
        <v>875</v>
      </c>
      <c r="C203" s="1" t="s">
        <v>970</v>
      </c>
      <c r="D203" s="1">
        <v>204.0</v>
      </c>
      <c r="E203" s="1">
        <v>74.0</v>
      </c>
      <c r="F203" s="1">
        <v>80.0</v>
      </c>
      <c r="G203" s="1">
        <v>80.0</v>
      </c>
      <c r="H203" s="1">
        <v>80.0</v>
      </c>
      <c r="I203" s="1">
        <v>52.0</v>
      </c>
      <c r="J203" s="1">
        <v>89.0</v>
      </c>
      <c r="K203" s="1">
        <v>86.0</v>
      </c>
      <c r="L203" s="1">
        <v>79.0</v>
      </c>
      <c r="M203" s="1">
        <v>75.0</v>
      </c>
      <c r="N203" s="1">
        <v>86.0</v>
      </c>
      <c r="O203" s="1">
        <v>79.0</v>
      </c>
      <c r="P203" s="1">
        <v>62.0</v>
      </c>
      <c r="Q203" s="1">
        <v>86.0</v>
      </c>
      <c r="R203" s="1">
        <v>87.0</v>
      </c>
      <c r="S203" s="1">
        <v>43.0</v>
      </c>
      <c r="T203" s="1">
        <v>58.0</v>
      </c>
      <c r="U203" s="1">
        <v>83.0</v>
      </c>
      <c r="V203" s="1">
        <v>80.0</v>
      </c>
      <c r="W203" s="1">
        <v>83.0</v>
      </c>
      <c r="X203" s="1">
        <v>51.0</v>
      </c>
      <c r="Y203" s="1">
        <v>85.0</v>
      </c>
      <c r="Z203" s="1">
        <v>1.0</v>
      </c>
    </row>
    <row r="204">
      <c r="A204" s="1" t="s">
        <v>1274</v>
      </c>
      <c r="B204" s="1" t="s">
        <v>875</v>
      </c>
      <c r="C204" s="1" t="s">
        <v>145</v>
      </c>
      <c r="D204" s="1">
        <v>200.0</v>
      </c>
      <c r="E204" s="1">
        <v>65.0</v>
      </c>
      <c r="F204" s="1">
        <v>52.0</v>
      </c>
      <c r="G204" s="1">
        <v>55.0</v>
      </c>
      <c r="H204" s="1">
        <v>45.0</v>
      </c>
      <c r="I204" s="1">
        <v>34.0</v>
      </c>
      <c r="J204" s="1">
        <v>73.0</v>
      </c>
      <c r="K204" s="1">
        <v>83.0</v>
      </c>
      <c r="L204" s="1">
        <v>81.0</v>
      </c>
      <c r="M204" s="1">
        <v>71.0</v>
      </c>
      <c r="N204" s="1">
        <v>67.0</v>
      </c>
      <c r="O204" s="1">
        <v>72.0</v>
      </c>
      <c r="P204" s="1">
        <v>70.0</v>
      </c>
      <c r="Q204" s="1">
        <v>97.0</v>
      </c>
      <c r="R204" s="1">
        <v>94.0</v>
      </c>
      <c r="S204" s="1">
        <v>78.0</v>
      </c>
      <c r="T204" s="1">
        <v>32.0</v>
      </c>
      <c r="U204" s="1">
        <v>57.0</v>
      </c>
      <c r="V204" s="1">
        <v>87.0</v>
      </c>
      <c r="W204" s="1">
        <v>92.0</v>
      </c>
      <c r="X204" s="1">
        <v>72.0</v>
      </c>
      <c r="Y204" s="1">
        <v>74.0</v>
      </c>
      <c r="Z204" s="1">
        <v>1.0</v>
      </c>
    </row>
    <row r="205">
      <c r="A205" s="1" t="s">
        <v>1275</v>
      </c>
      <c r="B205" s="1" t="s">
        <v>875</v>
      </c>
      <c r="C205" s="1" t="s">
        <v>971</v>
      </c>
      <c r="D205" s="1" t="s">
        <v>1276</v>
      </c>
      <c r="E205" s="1" t="s">
        <v>1038</v>
      </c>
      <c r="F205" s="1" t="s">
        <v>724</v>
      </c>
      <c r="G205" s="1" t="s">
        <v>390</v>
      </c>
      <c r="H205" s="1" t="s">
        <v>1277</v>
      </c>
      <c r="I205" s="1" t="s">
        <v>1039</v>
      </c>
      <c r="J205" s="1" t="s">
        <v>322</v>
      </c>
      <c r="K205" s="1" t="s">
        <v>205</v>
      </c>
      <c r="L205" s="1" t="s">
        <v>53</v>
      </c>
      <c r="M205" s="1" t="s">
        <v>332</v>
      </c>
      <c r="N205" s="1" t="s">
        <v>1278</v>
      </c>
      <c r="O205" s="1" t="s">
        <v>657</v>
      </c>
      <c r="P205" s="1" t="s">
        <v>325</v>
      </c>
      <c r="Q205" s="1" t="s">
        <v>96</v>
      </c>
      <c r="R205" s="1" t="s">
        <v>986</v>
      </c>
      <c r="S205" s="1" t="s">
        <v>1279</v>
      </c>
      <c r="T205" s="1" t="s">
        <v>1280</v>
      </c>
      <c r="U205" s="1" t="s">
        <v>1281</v>
      </c>
      <c r="V205" s="1" t="s">
        <v>253</v>
      </c>
      <c r="W205" s="1" t="s">
        <v>86</v>
      </c>
      <c r="X205" s="1" t="s">
        <v>226</v>
      </c>
      <c r="Y205" s="1" t="s">
        <v>190</v>
      </c>
      <c r="Z205" s="1">
        <v>1.0</v>
      </c>
    </row>
    <row r="206">
      <c r="A206" s="1" t="s">
        <v>1282</v>
      </c>
      <c r="B206" s="1" t="s">
        <v>875</v>
      </c>
      <c r="C206" s="1" t="s">
        <v>1283</v>
      </c>
      <c r="D206" s="1" t="s">
        <v>1284</v>
      </c>
      <c r="E206" s="1" t="s">
        <v>1156</v>
      </c>
      <c r="F206" s="1" t="s">
        <v>48</v>
      </c>
      <c r="G206" s="1" t="s">
        <v>1285</v>
      </c>
      <c r="H206" s="1" t="s">
        <v>1015</v>
      </c>
      <c r="I206" s="1" t="s">
        <v>1286</v>
      </c>
      <c r="J206" s="1" t="s">
        <v>39</v>
      </c>
      <c r="K206" s="1" t="s">
        <v>322</v>
      </c>
      <c r="L206" s="1" t="s">
        <v>48</v>
      </c>
      <c r="M206" s="1" t="s">
        <v>1287</v>
      </c>
      <c r="N206" s="1" t="s">
        <v>255</v>
      </c>
      <c r="O206" s="1" t="s">
        <v>417</v>
      </c>
      <c r="P206" s="1" t="s">
        <v>1288</v>
      </c>
      <c r="Q206" s="1" t="s">
        <v>1271</v>
      </c>
      <c r="R206" s="1" t="s">
        <v>362</v>
      </c>
      <c r="S206" s="1" t="s">
        <v>947</v>
      </c>
      <c r="T206" s="1" t="s">
        <v>719</v>
      </c>
      <c r="U206" s="1" t="s">
        <v>1141</v>
      </c>
      <c r="V206" s="1" t="s">
        <v>36</v>
      </c>
      <c r="W206" s="1" t="s">
        <v>253</v>
      </c>
      <c r="X206" s="1" t="s">
        <v>325</v>
      </c>
      <c r="Y206" s="1" t="s">
        <v>1289</v>
      </c>
      <c r="Z206" s="1">
        <v>1.0</v>
      </c>
    </row>
    <row r="207">
      <c r="A207" s="1" t="s">
        <v>611</v>
      </c>
      <c r="B207" s="1" t="s">
        <v>875</v>
      </c>
      <c r="C207" s="1" t="s">
        <v>971</v>
      </c>
      <c r="D207" s="1" t="s">
        <v>1290</v>
      </c>
      <c r="E207" s="1" t="s">
        <v>457</v>
      </c>
      <c r="F207" s="1" t="s">
        <v>265</v>
      </c>
      <c r="G207" s="1" t="s">
        <v>201</v>
      </c>
      <c r="H207" s="1" t="s">
        <v>1291</v>
      </c>
      <c r="I207" s="1" t="s">
        <v>64</v>
      </c>
      <c r="J207" s="1" t="s">
        <v>401</v>
      </c>
      <c r="K207" s="1" t="s">
        <v>300</v>
      </c>
      <c r="L207" s="1" t="s">
        <v>325</v>
      </c>
      <c r="M207" s="1" t="s">
        <v>1292</v>
      </c>
      <c r="N207" s="1" t="s">
        <v>208</v>
      </c>
      <c r="O207" s="1" t="s">
        <v>166</v>
      </c>
      <c r="P207" s="1" t="s">
        <v>1001</v>
      </c>
      <c r="Q207" s="1" t="s">
        <v>323</v>
      </c>
      <c r="R207" s="1" t="s">
        <v>98</v>
      </c>
      <c r="S207" s="1" t="s">
        <v>365</v>
      </c>
      <c r="T207" s="1" t="s">
        <v>1293</v>
      </c>
      <c r="U207" s="1" t="s">
        <v>1242</v>
      </c>
      <c r="V207" s="1" t="s">
        <v>220</v>
      </c>
      <c r="W207" s="1" t="s">
        <v>323</v>
      </c>
      <c r="X207" s="1" t="s">
        <v>1157</v>
      </c>
      <c r="Y207" s="1" t="s">
        <v>657</v>
      </c>
      <c r="Z207" s="1">
        <v>1.0</v>
      </c>
    </row>
    <row r="208">
      <c r="A208" s="1" t="s">
        <v>1294</v>
      </c>
      <c r="B208" s="1" t="s">
        <v>875</v>
      </c>
      <c r="C208" s="1" t="s">
        <v>970</v>
      </c>
      <c r="D208" s="1" t="s">
        <v>1295</v>
      </c>
      <c r="E208" s="1" t="s">
        <v>242</v>
      </c>
      <c r="F208" s="1" t="s">
        <v>428</v>
      </c>
      <c r="G208" s="1" t="s">
        <v>1296</v>
      </c>
      <c r="H208" s="1" t="s">
        <v>1297</v>
      </c>
      <c r="I208" s="1" t="s">
        <v>1090</v>
      </c>
      <c r="J208" s="1" t="s">
        <v>322</v>
      </c>
      <c r="K208" s="1" t="s">
        <v>1226</v>
      </c>
      <c r="L208" s="1" t="s">
        <v>1151</v>
      </c>
      <c r="M208" s="1" t="s">
        <v>900</v>
      </c>
      <c r="N208" s="1" t="s">
        <v>180</v>
      </c>
      <c r="O208" s="1" t="s">
        <v>190</v>
      </c>
      <c r="P208" s="1" t="s">
        <v>150</v>
      </c>
      <c r="Q208" s="1" t="s">
        <v>39</v>
      </c>
      <c r="R208" s="1" t="s">
        <v>1207</v>
      </c>
      <c r="S208" s="1" t="s">
        <v>716</v>
      </c>
      <c r="T208" s="1" t="s">
        <v>1298</v>
      </c>
      <c r="U208" s="1" t="s">
        <v>1299</v>
      </c>
      <c r="V208" s="1" t="s">
        <v>1046</v>
      </c>
      <c r="W208" s="1" t="s">
        <v>1300</v>
      </c>
      <c r="X208" s="1" t="s">
        <v>48</v>
      </c>
      <c r="Y208" s="1" t="s">
        <v>190</v>
      </c>
      <c r="Z208" s="1">
        <v>1.0</v>
      </c>
    </row>
    <row r="209">
      <c r="A209" s="1" t="s">
        <v>1301</v>
      </c>
      <c r="B209" s="1" t="s">
        <v>875</v>
      </c>
      <c r="C209" s="1" t="s">
        <v>886</v>
      </c>
      <c r="D209" s="1" t="s">
        <v>1302</v>
      </c>
      <c r="E209" s="1" t="s">
        <v>731</v>
      </c>
      <c r="F209" s="1" t="s">
        <v>731</v>
      </c>
      <c r="G209" s="1" t="s">
        <v>322</v>
      </c>
      <c r="H209" s="1" t="s">
        <v>550</v>
      </c>
      <c r="I209" s="1" t="s">
        <v>269</v>
      </c>
      <c r="J209" s="1" t="s">
        <v>872</v>
      </c>
      <c r="K209" s="1" t="s">
        <v>890</v>
      </c>
      <c r="L209" s="1" t="s">
        <v>1303</v>
      </c>
      <c r="M209" s="1" t="s">
        <v>48</v>
      </c>
      <c r="N209" s="1" t="s">
        <v>1057</v>
      </c>
      <c r="O209" s="1" t="s">
        <v>860</v>
      </c>
      <c r="P209" s="1" t="s">
        <v>1063</v>
      </c>
      <c r="Q209" s="1" t="s">
        <v>477</v>
      </c>
      <c r="R209" s="1" t="s">
        <v>96</v>
      </c>
      <c r="S209" s="1" t="s">
        <v>1027</v>
      </c>
      <c r="T209" s="1" t="s">
        <v>1304</v>
      </c>
      <c r="U209" s="1" t="s">
        <v>884</v>
      </c>
      <c r="V209" s="1" t="s">
        <v>179</v>
      </c>
      <c r="W209" s="1" t="s">
        <v>911</v>
      </c>
      <c r="X209" s="1" t="s">
        <v>1303</v>
      </c>
      <c r="Y209" s="1" t="s">
        <v>731</v>
      </c>
      <c r="Z209" s="1">
        <v>1.0</v>
      </c>
    </row>
    <row r="210">
      <c r="A210" s="1" t="s">
        <v>606</v>
      </c>
      <c r="B210" s="1" t="s">
        <v>875</v>
      </c>
      <c r="C210" s="1" t="s">
        <v>970</v>
      </c>
      <c r="D210" s="1">
        <v>188.0</v>
      </c>
      <c r="E210" s="1">
        <v>75.0</v>
      </c>
      <c r="F210" s="1">
        <v>80.0</v>
      </c>
      <c r="G210" s="1">
        <v>75.0</v>
      </c>
      <c r="H210" s="1">
        <v>40.0</v>
      </c>
      <c r="I210" s="1">
        <v>51.0</v>
      </c>
      <c r="J210" s="1">
        <v>90.0</v>
      </c>
      <c r="K210" s="1">
        <v>85.0</v>
      </c>
      <c r="L210" s="1">
        <v>94.0</v>
      </c>
      <c r="M210" s="1">
        <v>71.0</v>
      </c>
      <c r="N210" s="1">
        <v>86.0</v>
      </c>
      <c r="O210" s="1">
        <v>80.0</v>
      </c>
      <c r="P210" s="1">
        <v>60.0</v>
      </c>
      <c r="Q210" s="1">
        <v>90.0</v>
      </c>
      <c r="R210" s="1">
        <v>60.0</v>
      </c>
      <c r="S210" s="1">
        <v>74.0</v>
      </c>
      <c r="T210" s="1">
        <v>74.0</v>
      </c>
      <c r="U210" s="1">
        <v>80.0</v>
      </c>
      <c r="V210" s="1">
        <v>85.0</v>
      </c>
      <c r="W210" s="1">
        <v>85.0</v>
      </c>
      <c r="X210" s="1">
        <v>73.0</v>
      </c>
      <c r="Y210" s="1">
        <v>75.0</v>
      </c>
      <c r="Z210" s="1">
        <v>1.0</v>
      </c>
    </row>
    <row r="211">
      <c r="A211" s="1" t="s">
        <v>852</v>
      </c>
      <c r="B211" s="1" t="s">
        <v>875</v>
      </c>
      <c r="C211" s="1" t="s">
        <v>168</v>
      </c>
      <c r="D211" s="1">
        <v>203.0</v>
      </c>
      <c r="E211" s="1">
        <v>77.0</v>
      </c>
      <c r="F211" s="1">
        <v>88.0</v>
      </c>
      <c r="G211" s="1">
        <v>92.0</v>
      </c>
      <c r="H211" s="1">
        <v>41.0</v>
      </c>
      <c r="I211" s="1">
        <v>60.0</v>
      </c>
      <c r="J211" s="1">
        <v>80.0</v>
      </c>
      <c r="K211" s="1">
        <v>90.0</v>
      </c>
      <c r="L211" s="1">
        <v>70.0</v>
      </c>
      <c r="M211" s="1">
        <v>60.0</v>
      </c>
      <c r="N211" s="1">
        <v>85.0</v>
      </c>
      <c r="O211" s="1">
        <v>88.0</v>
      </c>
      <c r="P211" s="1">
        <v>55.0</v>
      </c>
      <c r="Q211" s="1">
        <v>72.0</v>
      </c>
      <c r="R211" s="1">
        <v>86.0</v>
      </c>
      <c r="S211" s="1">
        <v>67.0</v>
      </c>
      <c r="T211" s="1">
        <v>46.0</v>
      </c>
      <c r="U211" s="1">
        <v>51.0</v>
      </c>
      <c r="V211" s="1">
        <v>88.0</v>
      </c>
      <c r="W211" s="1">
        <v>84.0</v>
      </c>
      <c r="X211" s="1">
        <v>70.0</v>
      </c>
      <c r="Y211" s="1">
        <v>90.0</v>
      </c>
      <c r="Z211" s="1">
        <v>1.0</v>
      </c>
    </row>
    <row r="212">
      <c r="A212" s="1" t="s">
        <v>1305</v>
      </c>
      <c r="B212" s="1" t="s">
        <v>875</v>
      </c>
      <c r="C212" s="1" t="s">
        <v>192</v>
      </c>
      <c r="D212" s="1">
        <v>209.0</v>
      </c>
      <c r="E212" s="1">
        <v>72.0</v>
      </c>
      <c r="F212" s="1">
        <v>71.0</v>
      </c>
      <c r="G212" s="1">
        <v>80.0</v>
      </c>
      <c r="H212" s="1">
        <v>81.0</v>
      </c>
      <c r="I212" s="1">
        <v>47.0</v>
      </c>
      <c r="J212" s="1">
        <v>87.0</v>
      </c>
      <c r="K212" s="1">
        <v>83.0</v>
      </c>
      <c r="L212" s="1">
        <v>94.0</v>
      </c>
      <c r="M212" s="1">
        <v>67.0</v>
      </c>
      <c r="N212" s="1">
        <v>86.0</v>
      </c>
      <c r="O212" s="1">
        <v>80.0</v>
      </c>
      <c r="P212" s="1">
        <v>82.0</v>
      </c>
      <c r="Q212" s="1">
        <v>85.0</v>
      </c>
      <c r="R212" s="1">
        <v>60.0</v>
      </c>
      <c r="S212" s="1">
        <v>84.0</v>
      </c>
      <c r="T212" s="1">
        <v>60.0</v>
      </c>
      <c r="U212" s="1">
        <v>80.0</v>
      </c>
      <c r="V212" s="1">
        <v>80.0</v>
      </c>
      <c r="W212" s="1">
        <v>85.0</v>
      </c>
      <c r="X212" s="1">
        <v>82.0</v>
      </c>
      <c r="Y212" s="1">
        <v>74.0</v>
      </c>
      <c r="Z212" s="1">
        <v>1.0</v>
      </c>
    </row>
    <row r="213">
      <c r="A213" s="1" t="s">
        <v>1306</v>
      </c>
      <c r="B213" s="1" t="s">
        <v>875</v>
      </c>
      <c r="C213" s="1" t="s">
        <v>216</v>
      </c>
      <c r="D213" s="1">
        <v>175.0</v>
      </c>
      <c r="E213" s="1">
        <v>69.0</v>
      </c>
      <c r="F213" s="1">
        <v>78.0</v>
      </c>
      <c r="G213" s="1">
        <v>80.0</v>
      </c>
      <c r="H213" s="1">
        <v>25.0</v>
      </c>
      <c r="I213" s="1">
        <v>43.0</v>
      </c>
      <c r="J213" s="1">
        <v>80.0</v>
      </c>
      <c r="K213" s="1">
        <v>90.0</v>
      </c>
      <c r="L213" s="1">
        <v>76.0</v>
      </c>
      <c r="M213" s="1">
        <v>85.0</v>
      </c>
      <c r="N213" s="1">
        <v>93.0</v>
      </c>
      <c r="O213" s="1">
        <v>89.0</v>
      </c>
      <c r="P213" s="1">
        <v>25.0</v>
      </c>
      <c r="Q213" s="1">
        <v>60.0</v>
      </c>
      <c r="R213" s="1">
        <v>65.0</v>
      </c>
      <c r="S213" s="1">
        <v>27.0</v>
      </c>
      <c r="T213" s="1">
        <v>25.0</v>
      </c>
      <c r="U213" s="1">
        <v>50.0</v>
      </c>
      <c r="V213" s="1">
        <v>90.0</v>
      </c>
      <c r="W213" s="1">
        <v>90.0</v>
      </c>
      <c r="X213" s="1">
        <v>43.0</v>
      </c>
      <c r="Y213" s="1">
        <v>71.0</v>
      </c>
      <c r="Z213" s="1">
        <v>1.0</v>
      </c>
    </row>
    <row r="214">
      <c r="A214" s="1" t="s">
        <v>739</v>
      </c>
      <c r="B214" s="1" t="s">
        <v>875</v>
      </c>
      <c r="C214" s="1" t="s">
        <v>168</v>
      </c>
      <c r="D214" s="1" t="s">
        <v>1307</v>
      </c>
      <c r="E214" s="1" t="s">
        <v>590</v>
      </c>
      <c r="F214" s="1">
        <v>75.0</v>
      </c>
      <c r="G214" s="1" t="s">
        <v>45</v>
      </c>
      <c r="H214" s="1" t="s">
        <v>1186</v>
      </c>
      <c r="I214" s="1" t="s">
        <v>1308</v>
      </c>
      <c r="J214" s="1">
        <v>80.0</v>
      </c>
      <c r="K214" s="1">
        <v>90.0</v>
      </c>
      <c r="L214" s="1" t="s">
        <v>631</v>
      </c>
      <c r="M214" s="1" t="s">
        <v>204</v>
      </c>
      <c r="N214" s="1" t="s">
        <v>208</v>
      </c>
      <c r="O214" s="1" t="s">
        <v>614</v>
      </c>
      <c r="P214" s="1" t="s">
        <v>1309</v>
      </c>
      <c r="Q214" s="1" t="s">
        <v>128</v>
      </c>
      <c r="R214" s="1" t="s">
        <v>311</v>
      </c>
      <c r="S214" s="1" t="s">
        <v>1310</v>
      </c>
      <c r="T214" s="1" t="s">
        <v>661</v>
      </c>
      <c r="U214" s="1" t="s">
        <v>270</v>
      </c>
      <c r="V214" s="1">
        <v>87.0</v>
      </c>
      <c r="W214" s="1" t="s">
        <v>760</v>
      </c>
      <c r="X214" s="1" t="s">
        <v>208</v>
      </c>
      <c r="Y214" s="1" t="s">
        <v>190</v>
      </c>
      <c r="Z214" s="1">
        <v>1.0</v>
      </c>
    </row>
    <row r="215">
      <c r="A215" s="1" t="s">
        <v>1311</v>
      </c>
      <c r="B215" s="1" t="s">
        <v>875</v>
      </c>
      <c r="C215" s="1" t="s">
        <v>192</v>
      </c>
      <c r="D215" s="1">
        <v>208.0</v>
      </c>
      <c r="E215" s="1">
        <v>78.0</v>
      </c>
      <c r="F215" s="1">
        <v>87.0</v>
      </c>
      <c r="G215" s="1">
        <v>90.0</v>
      </c>
      <c r="H215" s="1">
        <v>40.0</v>
      </c>
      <c r="I215" s="1">
        <v>40.0</v>
      </c>
      <c r="J215" s="1">
        <v>80.0</v>
      </c>
      <c r="K215" s="1">
        <v>88.0</v>
      </c>
      <c r="L215" s="1">
        <v>66.0</v>
      </c>
      <c r="M215" s="1">
        <v>56.0</v>
      </c>
      <c r="N215" s="1">
        <v>80.0</v>
      </c>
      <c r="O215" s="1">
        <v>80.0</v>
      </c>
      <c r="P215" s="1">
        <v>81.0</v>
      </c>
      <c r="Q215" s="1">
        <v>81.0</v>
      </c>
      <c r="R215" s="1">
        <v>68.0</v>
      </c>
      <c r="S215" s="1">
        <v>52.0</v>
      </c>
      <c r="T215" s="1">
        <v>37.0</v>
      </c>
      <c r="U215" s="1">
        <v>61.0</v>
      </c>
      <c r="V215" s="1">
        <v>90.0</v>
      </c>
      <c r="W215" s="1">
        <v>81.0</v>
      </c>
      <c r="X215" s="1">
        <v>63.0</v>
      </c>
      <c r="Y215" s="1">
        <v>78.0</v>
      </c>
      <c r="Z215" s="1">
        <v>1.0</v>
      </c>
    </row>
    <row r="216">
      <c r="A216" s="1" t="s">
        <v>757</v>
      </c>
      <c r="B216" s="1" t="s">
        <v>875</v>
      </c>
      <c r="C216" s="1" t="s">
        <v>970</v>
      </c>
      <c r="D216" s="1">
        <v>215.0</v>
      </c>
      <c r="E216" s="1">
        <v>80.0</v>
      </c>
      <c r="F216" s="1">
        <v>84.0</v>
      </c>
      <c r="G216" s="1">
        <v>70.0</v>
      </c>
      <c r="H216" s="1">
        <v>41.0</v>
      </c>
      <c r="I216" s="1">
        <v>53.0</v>
      </c>
      <c r="J216" s="1">
        <v>80.0</v>
      </c>
      <c r="K216" s="1">
        <v>83.0</v>
      </c>
      <c r="L216" s="1">
        <v>60.0</v>
      </c>
      <c r="M216" s="1">
        <v>80.0</v>
      </c>
      <c r="N216" s="1">
        <v>86.0</v>
      </c>
      <c r="O216" s="1">
        <v>78.0</v>
      </c>
      <c r="P216" s="1">
        <v>80.0</v>
      </c>
      <c r="Q216" s="1">
        <v>91.0</v>
      </c>
      <c r="R216" s="1">
        <v>61.0</v>
      </c>
      <c r="S216" s="1">
        <v>51.0</v>
      </c>
      <c r="T216" s="1">
        <v>36.0</v>
      </c>
      <c r="U216" s="1">
        <v>61.0</v>
      </c>
      <c r="V216" s="1">
        <v>87.0</v>
      </c>
      <c r="W216" s="1">
        <v>80.0</v>
      </c>
      <c r="X216" s="1">
        <v>88.0</v>
      </c>
      <c r="Y216" s="1">
        <v>76.0</v>
      </c>
      <c r="Z216" s="1">
        <v>1.0</v>
      </c>
    </row>
    <row r="217">
      <c r="A217" s="1" t="s">
        <v>407</v>
      </c>
      <c r="B217" s="1" t="s">
        <v>875</v>
      </c>
      <c r="C217" s="1" t="s">
        <v>258</v>
      </c>
      <c r="D217" s="1" t="s">
        <v>1312</v>
      </c>
      <c r="E217" s="1" t="s">
        <v>1137</v>
      </c>
      <c r="F217" s="1" t="s">
        <v>1313</v>
      </c>
      <c r="G217" s="1" t="s">
        <v>530</v>
      </c>
      <c r="H217" s="1" t="s">
        <v>1314</v>
      </c>
      <c r="I217" s="1">
        <v>40.0</v>
      </c>
      <c r="J217" s="1">
        <v>84.0</v>
      </c>
      <c r="K217" s="1">
        <v>94.0</v>
      </c>
      <c r="L217" s="1" t="s">
        <v>1136</v>
      </c>
      <c r="M217" s="1" t="s">
        <v>316</v>
      </c>
      <c r="N217" s="1" t="s">
        <v>208</v>
      </c>
      <c r="O217" s="1" t="s">
        <v>1315</v>
      </c>
      <c r="P217" s="1" t="s">
        <v>355</v>
      </c>
      <c r="Q217" s="1" t="s">
        <v>190</v>
      </c>
      <c r="R217" s="1" t="s">
        <v>1313</v>
      </c>
      <c r="S217" s="1" t="s">
        <v>1316</v>
      </c>
      <c r="T217" s="1" t="s">
        <v>1317</v>
      </c>
      <c r="U217" s="1" t="s">
        <v>403</v>
      </c>
      <c r="V217" s="1" t="s">
        <v>477</v>
      </c>
      <c r="W217" s="1" t="s">
        <v>323</v>
      </c>
      <c r="X217" s="1" t="s">
        <v>1318</v>
      </c>
      <c r="Y217" s="1" t="s">
        <v>1227</v>
      </c>
      <c r="Z217" s="1">
        <v>1.0</v>
      </c>
    </row>
    <row r="218">
      <c r="A218" s="1" t="s">
        <v>1319</v>
      </c>
      <c r="B218" s="1" t="s">
        <v>875</v>
      </c>
      <c r="C218" s="1" t="s">
        <v>192</v>
      </c>
      <c r="D218" s="1">
        <v>208.0</v>
      </c>
      <c r="E218" s="1">
        <v>74.0</v>
      </c>
      <c r="F218" s="1">
        <v>80.0</v>
      </c>
      <c r="G218" s="1">
        <v>89.0</v>
      </c>
      <c r="H218" s="1">
        <v>43.0</v>
      </c>
      <c r="I218" s="1">
        <v>45.0</v>
      </c>
      <c r="J218" s="1">
        <v>75.0</v>
      </c>
      <c r="K218" s="1">
        <v>83.0</v>
      </c>
      <c r="L218" s="1">
        <v>80.0</v>
      </c>
      <c r="M218" s="1">
        <v>76.0</v>
      </c>
      <c r="N218" s="1">
        <v>81.0</v>
      </c>
      <c r="O218" s="1">
        <v>75.0</v>
      </c>
      <c r="P218" s="1">
        <v>60.0</v>
      </c>
      <c r="Q218" s="1">
        <v>74.0</v>
      </c>
      <c r="R218" s="1">
        <v>85.0</v>
      </c>
      <c r="S218" s="1">
        <v>78.0</v>
      </c>
      <c r="T218" s="1">
        <v>30.0</v>
      </c>
      <c r="U218" s="1">
        <v>53.0</v>
      </c>
      <c r="V218" s="1">
        <v>89.0</v>
      </c>
      <c r="W218" s="1">
        <v>84.0</v>
      </c>
      <c r="X218" s="1">
        <v>75.0</v>
      </c>
      <c r="Y218" s="1">
        <v>78.0</v>
      </c>
      <c r="Z218" s="1">
        <v>1.0</v>
      </c>
    </row>
    <row r="219">
      <c r="A219" s="1" t="s">
        <v>1320</v>
      </c>
      <c r="B219" s="1" t="s">
        <v>875</v>
      </c>
      <c r="C219" s="1" t="s">
        <v>970</v>
      </c>
      <c r="D219" s="1">
        <v>185.0</v>
      </c>
      <c r="E219" s="1">
        <v>67.0</v>
      </c>
      <c r="F219" s="1">
        <v>71.0</v>
      </c>
      <c r="G219" s="1">
        <v>87.0</v>
      </c>
      <c r="H219" s="1">
        <v>47.0</v>
      </c>
      <c r="I219" s="1">
        <v>51.0</v>
      </c>
      <c r="J219" s="1">
        <v>70.0</v>
      </c>
      <c r="K219" s="1">
        <v>80.0</v>
      </c>
      <c r="L219" s="1">
        <v>57.0</v>
      </c>
      <c r="M219" s="1">
        <v>70.0</v>
      </c>
      <c r="N219" s="1">
        <v>86.0</v>
      </c>
      <c r="O219" s="1">
        <v>75.0</v>
      </c>
      <c r="P219" s="1">
        <v>72.0</v>
      </c>
      <c r="Q219" s="1">
        <v>79.0</v>
      </c>
      <c r="R219" s="1">
        <v>91.0</v>
      </c>
      <c r="S219" s="1">
        <v>88.0</v>
      </c>
      <c r="T219" s="1">
        <v>42.0</v>
      </c>
      <c r="U219" s="1">
        <v>63.0</v>
      </c>
      <c r="V219" s="1">
        <v>84.0</v>
      </c>
      <c r="W219" s="1">
        <v>84.0</v>
      </c>
      <c r="X219" s="1">
        <v>67.0</v>
      </c>
      <c r="Y219" s="1">
        <v>80.0</v>
      </c>
      <c r="Z219" s="1">
        <v>1.0</v>
      </c>
    </row>
    <row r="220">
      <c r="A220" s="1" t="s">
        <v>1321</v>
      </c>
      <c r="B220" s="1" t="s">
        <v>875</v>
      </c>
      <c r="C220" s="1" t="s">
        <v>216</v>
      </c>
      <c r="D220" s="1">
        <v>207.0</v>
      </c>
      <c r="E220" s="1">
        <v>75.0</v>
      </c>
      <c r="F220" s="1">
        <v>75.0</v>
      </c>
      <c r="G220" s="1">
        <v>80.0</v>
      </c>
      <c r="H220" s="1">
        <v>60.0</v>
      </c>
      <c r="I220" s="1">
        <v>37.0</v>
      </c>
      <c r="J220" s="1">
        <v>90.0</v>
      </c>
      <c r="K220" s="1">
        <v>96.0</v>
      </c>
      <c r="L220" s="1">
        <v>76.0</v>
      </c>
      <c r="M220" s="1">
        <v>71.0</v>
      </c>
      <c r="N220" s="1">
        <v>86.0</v>
      </c>
      <c r="O220" s="1">
        <v>86.0</v>
      </c>
      <c r="P220" s="1">
        <v>45.0</v>
      </c>
      <c r="Q220" s="1">
        <v>74.0</v>
      </c>
      <c r="R220" s="1">
        <v>85.0</v>
      </c>
      <c r="S220" s="1">
        <v>25.0</v>
      </c>
      <c r="T220" s="1">
        <v>25.0</v>
      </c>
      <c r="U220" s="1">
        <v>40.0</v>
      </c>
      <c r="V220" s="1">
        <v>86.0</v>
      </c>
      <c r="W220" s="1">
        <v>80.0</v>
      </c>
      <c r="X220" s="1">
        <v>35.0</v>
      </c>
      <c r="Y220" s="1">
        <v>65.0</v>
      </c>
      <c r="Z220" s="1">
        <v>1.0</v>
      </c>
    </row>
    <row r="221">
      <c r="A221" s="1" t="s">
        <v>1322</v>
      </c>
      <c r="B221" s="1" t="s">
        <v>875</v>
      </c>
      <c r="C221" s="1" t="s">
        <v>896</v>
      </c>
      <c r="D221" s="1" t="s">
        <v>1173</v>
      </c>
      <c r="E221" s="1" t="s">
        <v>190</v>
      </c>
      <c r="F221" s="1" t="s">
        <v>552</v>
      </c>
      <c r="G221" s="1" t="s">
        <v>764</v>
      </c>
      <c r="H221" s="1" t="s">
        <v>298</v>
      </c>
      <c r="I221" s="1" t="s">
        <v>1033</v>
      </c>
      <c r="J221" s="1" t="s">
        <v>485</v>
      </c>
      <c r="K221" s="1">
        <v>90.0</v>
      </c>
      <c r="L221" s="1" t="s">
        <v>221</v>
      </c>
      <c r="M221" s="1" t="s">
        <v>35</v>
      </c>
      <c r="N221" s="1" t="s">
        <v>179</v>
      </c>
      <c r="O221" s="1" t="s">
        <v>190</v>
      </c>
      <c r="P221" s="1" t="s">
        <v>888</v>
      </c>
      <c r="Q221" s="1" t="s">
        <v>205</v>
      </c>
      <c r="R221" s="1" t="s">
        <v>165</v>
      </c>
      <c r="S221" s="1" t="s">
        <v>978</v>
      </c>
      <c r="T221" s="1" t="s">
        <v>1323</v>
      </c>
      <c r="U221" s="1" t="s">
        <v>722</v>
      </c>
      <c r="V221" s="1" t="s">
        <v>553</v>
      </c>
      <c r="W221" s="1" t="s">
        <v>300</v>
      </c>
      <c r="X221" s="1" t="s">
        <v>189</v>
      </c>
      <c r="Y221" s="1" t="s">
        <v>796</v>
      </c>
      <c r="Z221" s="1">
        <v>1.0</v>
      </c>
    </row>
    <row r="222">
      <c r="A222" s="1" t="s">
        <v>1324</v>
      </c>
      <c r="B222" s="1" t="s">
        <v>875</v>
      </c>
      <c r="C222" s="1" t="s">
        <v>970</v>
      </c>
      <c r="D222" s="1" t="s">
        <v>1325</v>
      </c>
      <c r="E222" s="1" t="s">
        <v>237</v>
      </c>
      <c r="F222" s="1" t="s">
        <v>1326</v>
      </c>
      <c r="G222" s="1" t="s">
        <v>1327</v>
      </c>
      <c r="H222" s="1" t="s">
        <v>68</v>
      </c>
      <c r="I222" s="1">
        <v>50.0</v>
      </c>
      <c r="J222" s="1" t="s">
        <v>190</v>
      </c>
      <c r="K222" s="1" t="s">
        <v>1328</v>
      </c>
      <c r="L222" s="1" t="s">
        <v>927</v>
      </c>
      <c r="M222" s="1" t="s">
        <v>1292</v>
      </c>
      <c r="N222" s="1">
        <v>85.0</v>
      </c>
      <c r="O222" s="1">
        <v>80.0</v>
      </c>
      <c r="P222" s="1" t="s">
        <v>893</v>
      </c>
      <c r="Q222" s="1" t="s">
        <v>427</v>
      </c>
      <c r="R222" s="1" t="s">
        <v>1329</v>
      </c>
      <c r="S222" s="1" t="s">
        <v>716</v>
      </c>
      <c r="T222" s="1" t="s">
        <v>190</v>
      </c>
      <c r="U222" s="1" t="s">
        <v>731</v>
      </c>
      <c r="V222" s="1">
        <v>85.0</v>
      </c>
      <c r="W222" s="1">
        <v>85.0</v>
      </c>
      <c r="X222" s="1">
        <v>73.0</v>
      </c>
      <c r="Y222" s="1" t="s">
        <v>525</v>
      </c>
      <c r="Z222" s="1">
        <v>1.0</v>
      </c>
    </row>
    <row r="223">
      <c r="A223" s="1" t="s">
        <v>1330</v>
      </c>
      <c r="B223" s="1" t="s">
        <v>875</v>
      </c>
      <c r="C223" s="1" t="s">
        <v>971</v>
      </c>
      <c r="D223" s="1" t="s">
        <v>1331</v>
      </c>
      <c r="E223" s="1" t="s">
        <v>535</v>
      </c>
      <c r="F223" s="1" t="s">
        <v>337</v>
      </c>
      <c r="G223" s="1" t="s">
        <v>82</v>
      </c>
      <c r="H223" s="1" t="s">
        <v>1332</v>
      </c>
      <c r="I223" s="1" t="s">
        <v>486</v>
      </c>
      <c r="J223" s="1" t="s">
        <v>45</v>
      </c>
      <c r="K223" s="1" t="s">
        <v>517</v>
      </c>
      <c r="L223" s="1" t="s">
        <v>37</v>
      </c>
      <c r="M223" s="1" t="s">
        <v>180</v>
      </c>
      <c r="N223" s="1" t="s">
        <v>271</v>
      </c>
      <c r="O223" s="1" t="s">
        <v>552</v>
      </c>
      <c r="P223" s="1" t="s">
        <v>1333</v>
      </c>
      <c r="Q223" s="1" t="s">
        <v>860</v>
      </c>
      <c r="R223" s="1" t="s">
        <v>903</v>
      </c>
      <c r="S223" s="1" t="s">
        <v>468</v>
      </c>
      <c r="T223" s="1" t="s">
        <v>152</v>
      </c>
      <c r="U223" s="1" t="s">
        <v>1334</v>
      </c>
      <c r="V223" s="1" t="s">
        <v>208</v>
      </c>
      <c r="W223" s="1" t="s">
        <v>207</v>
      </c>
      <c r="X223" s="1" t="s">
        <v>403</v>
      </c>
      <c r="Y223" s="1" t="s">
        <v>1199</v>
      </c>
      <c r="Z223" s="1">
        <v>1.0</v>
      </c>
    </row>
    <row r="224">
      <c r="A224" s="1" t="s">
        <v>1335</v>
      </c>
      <c r="B224" s="1" t="s">
        <v>875</v>
      </c>
      <c r="C224" s="1" t="s">
        <v>970</v>
      </c>
      <c r="D224" s="1">
        <v>192.0</v>
      </c>
      <c r="E224" s="1">
        <v>74.0</v>
      </c>
      <c r="F224" s="1">
        <v>70.0</v>
      </c>
      <c r="G224" s="1">
        <v>88.0</v>
      </c>
      <c r="H224" s="1">
        <v>48.0</v>
      </c>
      <c r="I224" s="1">
        <v>50.0</v>
      </c>
      <c r="J224" s="1">
        <v>89.0</v>
      </c>
      <c r="K224" s="1">
        <v>83.0</v>
      </c>
      <c r="L224" s="1">
        <v>64.0</v>
      </c>
      <c r="M224" s="1">
        <v>71.0</v>
      </c>
      <c r="N224" s="1">
        <v>85.0</v>
      </c>
      <c r="O224" s="1">
        <v>80.0</v>
      </c>
      <c r="P224" s="1">
        <v>61.0</v>
      </c>
      <c r="Q224" s="1">
        <v>85.0</v>
      </c>
      <c r="R224" s="1">
        <v>60.0</v>
      </c>
      <c r="S224" s="1">
        <v>75.0</v>
      </c>
      <c r="T224" s="1">
        <v>75.0</v>
      </c>
      <c r="U224" s="1">
        <v>81.0</v>
      </c>
      <c r="V224" s="1">
        <v>88.0</v>
      </c>
      <c r="W224" s="1">
        <v>85.0</v>
      </c>
      <c r="X224" s="1">
        <v>73.0</v>
      </c>
      <c r="Y224" s="1">
        <v>78.0</v>
      </c>
      <c r="Z224" s="1">
        <v>1.0</v>
      </c>
    </row>
    <row r="225">
      <c r="A225" s="1" t="s">
        <v>289</v>
      </c>
      <c r="B225" s="1" t="s">
        <v>875</v>
      </c>
      <c r="C225" s="1" t="s">
        <v>216</v>
      </c>
      <c r="D225" s="1">
        <v>219.0</v>
      </c>
      <c r="E225" s="1">
        <v>79.0</v>
      </c>
      <c r="F225" s="1">
        <v>80.0</v>
      </c>
      <c r="G225" s="1">
        <v>93.0</v>
      </c>
      <c r="H225" s="1">
        <v>38.0</v>
      </c>
      <c r="I225" s="1">
        <v>84.0</v>
      </c>
      <c r="J225" s="1">
        <v>93.0</v>
      </c>
      <c r="K225" s="1">
        <v>80.0</v>
      </c>
      <c r="L225" s="1">
        <v>70.0</v>
      </c>
      <c r="M225" s="1">
        <v>60.0</v>
      </c>
      <c r="N225" s="1">
        <v>85.0</v>
      </c>
      <c r="O225" s="1">
        <v>86.0</v>
      </c>
      <c r="P225" s="1">
        <v>42.0</v>
      </c>
      <c r="Q225" s="1">
        <v>92.0</v>
      </c>
      <c r="R225" s="1">
        <v>62.0</v>
      </c>
      <c r="S225" s="1">
        <v>42.0</v>
      </c>
      <c r="T225" s="1">
        <v>44.0</v>
      </c>
      <c r="U225" s="1">
        <v>52.0</v>
      </c>
      <c r="V225" s="1">
        <v>86.0</v>
      </c>
      <c r="W225" s="1">
        <v>83.0</v>
      </c>
      <c r="X225" s="1">
        <v>67.0</v>
      </c>
      <c r="Y225" s="1">
        <v>80.0</v>
      </c>
      <c r="Z225" s="1">
        <v>1.0</v>
      </c>
    </row>
    <row r="226">
      <c r="A226" s="1" t="s">
        <v>124</v>
      </c>
      <c r="B226" s="1" t="s">
        <v>875</v>
      </c>
      <c r="C226" s="1" t="s">
        <v>28</v>
      </c>
      <c r="D226" s="1" t="s">
        <v>1102</v>
      </c>
      <c r="E226" s="1" t="s">
        <v>242</v>
      </c>
      <c r="F226" s="1" t="s">
        <v>322</v>
      </c>
      <c r="G226" s="1" t="s">
        <v>1336</v>
      </c>
      <c r="H226" s="1" t="s">
        <v>1337</v>
      </c>
      <c r="I226" s="1" t="s">
        <v>1052</v>
      </c>
      <c r="J226" s="1" t="s">
        <v>221</v>
      </c>
      <c r="K226" s="1" t="s">
        <v>413</v>
      </c>
      <c r="L226" s="1" t="s">
        <v>479</v>
      </c>
      <c r="M226" s="1" t="s">
        <v>900</v>
      </c>
      <c r="N226" s="1" t="s">
        <v>35</v>
      </c>
      <c r="O226" s="1" t="s">
        <v>266</v>
      </c>
      <c r="P226" s="1" t="s">
        <v>1338</v>
      </c>
      <c r="Q226" s="1" t="s">
        <v>35</v>
      </c>
      <c r="R226" s="1" t="s">
        <v>1339</v>
      </c>
      <c r="S226" s="1" t="s">
        <v>1340</v>
      </c>
      <c r="T226" s="1" t="s">
        <v>474</v>
      </c>
      <c r="U226" s="1" t="s">
        <v>1051</v>
      </c>
      <c r="V226" s="1" t="s">
        <v>179</v>
      </c>
      <c r="W226" s="1" t="s">
        <v>1160</v>
      </c>
      <c r="X226" s="1" t="s">
        <v>1341</v>
      </c>
      <c r="Y226" s="1" t="s">
        <v>891</v>
      </c>
      <c r="Z226" s="1">
        <v>1.0</v>
      </c>
    </row>
    <row r="227">
      <c r="A227" s="1" t="s">
        <v>1342</v>
      </c>
      <c r="B227" s="1" t="s">
        <v>875</v>
      </c>
      <c r="C227" s="1" t="s">
        <v>168</v>
      </c>
      <c r="D227" s="1">
        <v>175.0</v>
      </c>
      <c r="E227" s="1">
        <v>73.0</v>
      </c>
      <c r="F227" s="1">
        <v>85.0</v>
      </c>
      <c r="G227" s="1">
        <v>87.0</v>
      </c>
      <c r="H227" s="1">
        <v>35.0</v>
      </c>
      <c r="I227" s="1">
        <v>46.0</v>
      </c>
      <c r="J227" s="1">
        <v>80.0</v>
      </c>
      <c r="K227" s="1">
        <v>87.0</v>
      </c>
      <c r="L227" s="1">
        <v>75.0</v>
      </c>
      <c r="M227" s="1">
        <v>71.0</v>
      </c>
      <c r="N227" s="1">
        <v>95.0</v>
      </c>
      <c r="O227" s="1">
        <v>91.0</v>
      </c>
      <c r="P227" s="1">
        <v>25.0</v>
      </c>
      <c r="Q227" s="1">
        <v>74.0</v>
      </c>
      <c r="R227" s="1">
        <v>60.0</v>
      </c>
      <c r="S227" s="1">
        <v>30.0</v>
      </c>
      <c r="T227" s="1">
        <v>25.0</v>
      </c>
      <c r="U227" s="1">
        <v>36.0</v>
      </c>
      <c r="V227" s="1">
        <v>91.0</v>
      </c>
      <c r="W227" s="1">
        <v>80.0</v>
      </c>
      <c r="X227" s="1">
        <v>42.0</v>
      </c>
      <c r="Y227" s="1">
        <v>75.0</v>
      </c>
      <c r="Z227" s="1">
        <v>1.0</v>
      </c>
    </row>
    <row r="228">
      <c r="A228" s="1" t="s">
        <v>1343</v>
      </c>
      <c r="B228" s="1" t="s">
        <v>875</v>
      </c>
      <c r="C228" s="1" t="s">
        <v>970</v>
      </c>
      <c r="D228" s="1">
        <v>191.0</v>
      </c>
      <c r="E228" s="1">
        <v>74.0</v>
      </c>
      <c r="F228" s="1">
        <v>84.0</v>
      </c>
      <c r="G228" s="1">
        <v>92.0</v>
      </c>
      <c r="H228" s="1">
        <v>52.0</v>
      </c>
      <c r="I228" s="1">
        <v>51.0</v>
      </c>
      <c r="J228" s="1">
        <v>80.0</v>
      </c>
      <c r="K228" s="1">
        <v>80.0</v>
      </c>
      <c r="L228" s="1">
        <v>67.0</v>
      </c>
      <c r="M228" s="1">
        <v>61.0</v>
      </c>
      <c r="N228" s="1">
        <v>86.0</v>
      </c>
      <c r="O228" s="1">
        <v>80.0</v>
      </c>
      <c r="P228" s="1">
        <v>57.0</v>
      </c>
      <c r="Q228" s="1">
        <v>89.0</v>
      </c>
      <c r="R228" s="1">
        <v>70.0</v>
      </c>
      <c r="S228" s="1">
        <v>73.0</v>
      </c>
      <c r="T228" s="1">
        <v>80.0</v>
      </c>
      <c r="U228" s="1">
        <v>65.0</v>
      </c>
      <c r="V228" s="1">
        <v>88.0</v>
      </c>
      <c r="W228" s="1">
        <v>88.0</v>
      </c>
      <c r="X228" s="1">
        <v>55.0</v>
      </c>
      <c r="Y228" s="1">
        <v>82.0</v>
      </c>
      <c r="Z228" s="1">
        <v>1.0</v>
      </c>
    </row>
    <row r="229">
      <c r="A229" s="1" t="s">
        <v>1344</v>
      </c>
      <c r="B229" s="1" t="s">
        <v>875</v>
      </c>
      <c r="C229" s="1" t="s">
        <v>145</v>
      </c>
      <c r="D229" s="1">
        <v>208.0</v>
      </c>
      <c r="E229" s="1">
        <v>84.0</v>
      </c>
      <c r="F229" s="1">
        <v>99.0</v>
      </c>
      <c r="G229" s="1">
        <v>62.0</v>
      </c>
      <c r="H229" s="1">
        <v>25.0</v>
      </c>
      <c r="I229" s="1">
        <v>35.0</v>
      </c>
      <c r="J229" s="1">
        <v>80.0</v>
      </c>
      <c r="K229" s="1">
        <v>90.0</v>
      </c>
      <c r="L229" s="1">
        <v>65.0</v>
      </c>
      <c r="M229" s="1">
        <v>54.0</v>
      </c>
      <c r="N229" s="1">
        <v>79.0</v>
      </c>
      <c r="O229" s="1">
        <v>79.0</v>
      </c>
      <c r="P229" s="1">
        <v>50.0</v>
      </c>
      <c r="Q229" s="1">
        <v>64.0</v>
      </c>
      <c r="R229" s="1">
        <v>34.0</v>
      </c>
      <c r="S229" s="1">
        <v>35.0</v>
      </c>
      <c r="T229" s="1">
        <v>72.0</v>
      </c>
      <c r="U229" s="1">
        <v>75.0</v>
      </c>
      <c r="V229" s="1">
        <v>94.0</v>
      </c>
      <c r="W229" s="1">
        <v>79.0</v>
      </c>
      <c r="X229" s="1">
        <v>64.0</v>
      </c>
      <c r="Y229" s="1">
        <v>64.0</v>
      </c>
      <c r="Z229" s="1">
        <v>1.0</v>
      </c>
    </row>
    <row r="230">
      <c r="A230" s="1" t="s">
        <v>392</v>
      </c>
      <c r="B230" s="1" t="s">
        <v>875</v>
      </c>
      <c r="C230" s="1" t="s">
        <v>512</v>
      </c>
      <c r="D230" s="1" t="s">
        <v>1204</v>
      </c>
      <c r="E230" s="1" t="s">
        <v>525</v>
      </c>
      <c r="F230" s="1" t="s">
        <v>525</v>
      </c>
      <c r="G230" s="1" t="s">
        <v>1345</v>
      </c>
      <c r="H230" s="1" t="s">
        <v>870</v>
      </c>
      <c r="I230" s="1">
        <v>35.0</v>
      </c>
      <c r="J230" s="1" t="s">
        <v>619</v>
      </c>
      <c r="K230" s="1" t="s">
        <v>1346</v>
      </c>
      <c r="L230" s="1" t="s">
        <v>1347</v>
      </c>
      <c r="M230" s="1" t="s">
        <v>843</v>
      </c>
      <c r="N230" s="1" t="s">
        <v>205</v>
      </c>
      <c r="O230" s="1" t="s">
        <v>76</v>
      </c>
      <c r="P230" s="1" t="s">
        <v>880</v>
      </c>
      <c r="Q230" s="1" t="s">
        <v>991</v>
      </c>
      <c r="R230" s="1" t="s">
        <v>164</v>
      </c>
      <c r="S230" s="1" t="s">
        <v>1348</v>
      </c>
      <c r="T230" s="1" t="s">
        <v>1349</v>
      </c>
      <c r="U230" s="1" t="s">
        <v>1090</v>
      </c>
      <c r="V230" s="1" t="s">
        <v>60</v>
      </c>
      <c r="W230" s="1" t="s">
        <v>134</v>
      </c>
      <c r="X230" s="1" t="s">
        <v>163</v>
      </c>
      <c r="Y230" s="1" t="s">
        <v>1146</v>
      </c>
      <c r="Z230" s="1">
        <v>1.0</v>
      </c>
    </row>
    <row r="231">
      <c r="A231" s="1" t="s">
        <v>1350</v>
      </c>
      <c r="B231" s="1" t="s">
        <v>875</v>
      </c>
      <c r="C231" s="1" t="s">
        <v>876</v>
      </c>
      <c r="D231" s="1" t="s">
        <v>1351</v>
      </c>
      <c r="E231" s="1">
        <v>82.0</v>
      </c>
      <c r="F231" s="1" t="s">
        <v>1352</v>
      </c>
      <c r="G231" s="1" t="s">
        <v>1353</v>
      </c>
      <c r="H231" s="1">
        <v>39.0</v>
      </c>
      <c r="I231" s="1" t="s">
        <v>1354</v>
      </c>
      <c r="J231" s="1" t="s">
        <v>567</v>
      </c>
      <c r="K231" s="1" t="s">
        <v>229</v>
      </c>
      <c r="L231" s="1" t="s">
        <v>1355</v>
      </c>
      <c r="M231" s="1" t="s">
        <v>1356</v>
      </c>
      <c r="N231" s="1" t="s">
        <v>1357</v>
      </c>
      <c r="O231" s="1" t="s">
        <v>1358</v>
      </c>
      <c r="P231" s="1" t="s">
        <v>828</v>
      </c>
      <c r="Q231" s="1" t="s">
        <v>1359</v>
      </c>
      <c r="R231" s="1" t="s">
        <v>132</v>
      </c>
      <c r="S231" s="1" t="s">
        <v>814</v>
      </c>
      <c r="T231" s="1" t="s">
        <v>88</v>
      </c>
      <c r="U231" s="1" t="s">
        <v>582</v>
      </c>
      <c r="V231" s="1" t="s">
        <v>476</v>
      </c>
      <c r="W231" s="1" t="s">
        <v>404</v>
      </c>
      <c r="X231" s="1" t="s">
        <v>253</v>
      </c>
      <c r="Y231" s="1" t="s">
        <v>893</v>
      </c>
      <c r="Z231" s="1">
        <v>1.0</v>
      </c>
    </row>
    <row r="232">
      <c r="A232" s="1" t="s">
        <v>797</v>
      </c>
      <c r="B232" s="1" t="s">
        <v>875</v>
      </c>
      <c r="C232" s="1" t="s">
        <v>216</v>
      </c>
      <c r="D232" s="1">
        <v>213.0</v>
      </c>
      <c r="E232" s="1">
        <v>73.0</v>
      </c>
      <c r="F232" s="1">
        <v>82.0</v>
      </c>
      <c r="G232" s="1">
        <v>93.0</v>
      </c>
      <c r="H232" s="1">
        <v>38.0</v>
      </c>
      <c r="I232" s="1">
        <v>43.0</v>
      </c>
      <c r="J232" s="1">
        <v>82.0</v>
      </c>
      <c r="K232" s="1">
        <v>91.0</v>
      </c>
      <c r="L232" s="1">
        <v>67.0</v>
      </c>
      <c r="M232" s="1">
        <v>85.0</v>
      </c>
      <c r="N232" s="1">
        <v>93.0</v>
      </c>
      <c r="O232" s="1">
        <v>75.0</v>
      </c>
      <c r="P232" s="1">
        <v>42.0</v>
      </c>
      <c r="Q232" s="1">
        <v>80.0</v>
      </c>
      <c r="R232" s="1">
        <v>79.0</v>
      </c>
      <c r="S232" s="1">
        <v>36.0</v>
      </c>
      <c r="T232" s="1">
        <v>36.0</v>
      </c>
      <c r="U232" s="1">
        <v>61.0</v>
      </c>
      <c r="V232" s="1">
        <v>80.0</v>
      </c>
      <c r="W232" s="1">
        <v>75.0</v>
      </c>
      <c r="X232" s="1">
        <v>67.0</v>
      </c>
      <c r="Y232" s="1">
        <v>80.0</v>
      </c>
      <c r="Z232" s="1">
        <v>1.0</v>
      </c>
    </row>
    <row r="233">
      <c r="A233" s="1" t="s">
        <v>1360</v>
      </c>
      <c r="B233" s="1" t="s">
        <v>875</v>
      </c>
      <c r="C233" s="1" t="s">
        <v>145</v>
      </c>
      <c r="D233" s="1">
        <v>208.0</v>
      </c>
      <c r="E233" s="1">
        <v>80.0</v>
      </c>
      <c r="F233" s="1">
        <v>80.0</v>
      </c>
      <c r="G233" s="1">
        <v>93.0</v>
      </c>
      <c r="H233" s="1">
        <v>49.0</v>
      </c>
      <c r="I233" s="1">
        <v>48.0</v>
      </c>
      <c r="J233" s="1">
        <v>80.0</v>
      </c>
      <c r="K233" s="1">
        <v>87.0</v>
      </c>
      <c r="L233" s="1">
        <v>80.0</v>
      </c>
      <c r="M233" s="1">
        <v>80.0</v>
      </c>
      <c r="N233" s="1">
        <v>80.0</v>
      </c>
      <c r="O233" s="1">
        <v>80.0</v>
      </c>
      <c r="P233" s="1">
        <v>77.0</v>
      </c>
      <c r="Q233" s="1">
        <v>80.0</v>
      </c>
      <c r="R233" s="1">
        <v>80.0</v>
      </c>
      <c r="S233" s="1">
        <v>76.0</v>
      </c>
      <c r="T233" s="1">
        <v>42.0</v>
      </c>
      <c r="U233" s="1">
        <v>57.0</v>
      </c>
      <c r="V233" s="1">
        <v>80.0</v>
      </c>
      <c r="W233" s="1">
        <v>80.0</v>
      </c>
      <c r="X233" s="1">
        <v>57.0</v>
      </c>
      <c r="Y233" s="1">
        <v>80.0</v>
      </c>
      <c r="Z233" s="1">
        <v>1.0</v>
      </c>
    </row>
    <row r="234">
      <c r="A234" s="1" t="s">
        <v>1361</v>
      </c>
      <c r="B234" s="1" t="s">
        <v>875</v>
      </c>
      <c r="C234" s="1" t="s">
        <v>886</v>
      </c>
      <c r="D234" s="1" t="s">
        <v>1362</v>
      </c>
      <c r="E234" s="1" t="s">
        <v>1137</v>
      </c>
      <c r="F234" s="1" t="s">
        <v>828</v>
      </c>
      <c r="G234" s="1" t="s">
        <v>940</v>
      </c>
      <c r="H234" s="1" t="s">
        <v>474</v>
      </c>
      <c r="I234" s="1" t="s">
        <v>252</v>
      </c>
      <c r="J234" s="1" t="s">
        <v>1296</v>
      </c>
      <c r="K234" s="1" t="s">
        <v>205</v>
      </c>
      <c r="L234" s="1" t="s">
        <v>1363</v>
      </c>
      <c r="M234" s="1" t="s">
        <v>1364</v>
      </c>
      <c r="N234" s="1" t="s">
        <v>1365</v>
      </c>
      <c r="O234" s="1" t="s">
        <v>1063</v>
      </c>
      <c r="P234" s="1" t="s">
        <v>1116</v>
      </c>
      <c r="Q234" s="1" t="s">
        <v>1220</v>
      </c>
      <c r="R234" s="1" t="s">
        <v>434</v>
      </c>
      <c r="S234" s="1" t="s">
        <v>248</v>
      </c>
      <c r="T234" s="1" t="s">
        <v>828</v>
      </c>
      <c r="U234" s="1" t="s">
        <v>300</v>
      </c>
      <c r="V234" s="1" t="s">
        <v>180</v>
      </c>
      <c r="W234" s="1" t="s">
        <v>300</v>
      </c>
      <c r="X234" s="1" t="s">
        <v>864</v>
      </c>
      <c r="Y234" s="1" t="s">
        <v>424</v>
      </c>
      <c r="Z234" s="1">
        <v>1.0</v>
      </c>
    </row>
    <row r="235">
      <c r="A235" s="1" t="s">
        <v>1366</v>
      </c>
      <c r="B235" s="1" t="s">
        <v>875</v>
      </c>
      <c r="C235" s="1" t="s">
        <v>145</v>
      </c>
      <c r="D235" s="1">
        <v>235.0</v>
      </c>
      <c r="E235" s="1">
        <v>73.0</v>
      </c>
      <c r="F235" s="1">
        <v>80.0</v>
      </c>
      <c r="G235" s="1">
        <v>85.0</v>
      </c>
      <c r="H235" s="1">
        <v>45.0</v>
      </c>
      <c r="I235" s="1">
        <v>45.0</v>
      </c>
      <c r="J235" s="1">
        <v>88.0</v>
      </c>
      <c r="K235" s="1">
        <v>83.0</v>
      </c>
      <c r="L235" s="1">
        <v>75.0</v>
      </c>
      <c r="M235" s="1">
        <v>75.0</v>
      </c>
      <c r="N235" s="1">
        <v>85.0</v>
      </c>
      <c r="O235" s="1">
        <v>75.0</v>
      </c>
      <c r="P235" s="1">
        <v>74.0</v>
      </c>
      <c r="Q235" s="1">
        <v>85.0</v>
      </c>
      <c r="R235" s="1">
        <v>85.0</v>
      </c>
      <c r="S235" s="1">
        <v>74.0</v>
      </c>
      <c r="T235" s="1">
        <v>80.0</v>
      </c>
      <c r="U235" s="1">
        <v>80.0</v>
      </c>
      <c r="V235" s="1">
        <v>80.0</v>
      </c>
      <c r="W235" s="1">
        <v>76.0</v>
      </c>
      <c r="X235" s="1">
        <v>85.0</v>
      </c>
      <c r="Y235" s="1">
        <v>78.0</v>
      </c>
      <c r="Z235" s="1">
        <v>1.0</v>
      </c>
    </row>
    <row r="236">
      <c r="A236" s="1" t="s">
        <v>585</v>
      </c>
      <c r="B236" s="1" t="s">
        <v>875</v>
      </c>
      <c r="C236" s="1" t="s">
        <v>512</v>
      </c>
      <c r="D236" s="1" t="s">
        <v>1367</v>
      </c>
      <c r="E236" s="1" t="s">
        <v>909</v>
      </c>
      <c r="F236" s="1" t="s">
        <v>1368</v>
      </c>
      <c r="G236" s="1" t="s">
        <v>48</v>
      </c>
      <c r="H236" s="1" t="s">
        <v>526</v>
      </c>
      <c r="I236" s="1" t="s">
        <v>521</v>
      </c>
      <c r="J236" s="1" t="s">
        <v>1369</v>
      </c>
      <c r="K236" s="1" t="s">
        <v>1095</v>
      </c>
      <c r="L236" s="1" t="s">
        <v>538</v>
      </c>
      <c r="M236" s="1" t="s">
        <v>731</v>
      </c>
      <c r="N236" s="1" t="s">
        <v>242</v>
      </c>
      <c r="O236" s="1" t="s">
        <v>363</v>
      </c>
      <c r="P236" s="1">
        <v>60.0</v>
      </c>
      <c r="Q236" s="1" t="s">
        <v>1069</v>
      </c>
      <c r="R236" s="1">
        <v>61.0</v>
      </c>
      <c r="S236" s="1">
        <v>60.0</v>
      </c>
      <c r="T236" s="1" t="s">
        <v>1370</v>
      </c>
      <c r="U236" s="1" t="s">
        <v>844</v>
      </c>
      <c r="V236" s="1" t="s">
        <v>731</v>
      </c>
      <c r="W236" s="1" t="s">
        <v>731</v>
      </c>
      <c r="X236" s="1" t="s">
        <v>755</v>
      </c>
      <c r="Y236" s="1">
        <v>60.0</v>
      </c>
      <c r="Z236" s="1">
        <v>1.0</v>
      </c>
    </row>
    <row r="237">
      <c r="A237" s="1" t="s">
        <v>1371</v>
      </c>
      <c r="B237" s="1" t="s">
        <v>875</v>
      </c>
      <c r="C237" s="1" t="s">
        <v>749</v>
      </c>
      <c r="D237" s="1" t="s">
        <v>798</v>
      </c>
      <c r="E237" s="1" t="s">
        <v>345</v>
      </c>
      <c r="F237" s="1" t="s">
        <v>1188</v>
      </c>
      <c r="G237" s="1" t="s">
        <v>350</v>
      </c>
      <c r="H237" s="1" t="s">
        <v>1372</v>
      </c>
      <c r="I237" s="1" t="s">
        <v>1373</v>
      </c>
      <c r="J237" s="1" t="s">
        <v>1374</v>
      </c>
      <c r="K237" s="1" t="s">
        <v>1202</v>
      </c>
      <c r="L237" s="1">
        <v>99.0</v>
      </c>
      <c r="M237" s="1" t="s">
        <v>179</v>
      </c>
      <c r="N237" s="1" t="s">
        <v>476</v>
      </c>
      <c r="O237" s="1" t="s">
        <v>1375</v>
      </c>
      <c r="P237" s="1" t="s">
        <v>1376</v>
      </c>
      <c r="Q237" s="1" t="s">
        <v>1377</v>
      </c>
      <c r="R237" s="1" t="s">
        <v>958</v>
      </c>
      <c r="S237" s="1" t="s">
        <v>1378</v>
      </c>
      <c r="T237" s="1" t="s">
        <v>856</v>
      </c>
      <c r="U237" s="1" t="s">
        <v>1106</v>
      </c>
      <c r="V237" s="1" t="s">
        <v>984</v>
      </c>
      <c r="W237" s="1" t="s">
        <v>159</v>
      </c>
      <c r="X237" s="1" t="s">
        <v>1068</v>
      </c>
      <c r="Y237" s="1" t="s">
        <v>729</v>
      </c>
      <c r="Z237" s="1">
        <v>1.0</v>
      </c>
    </row>
    <row r="238">
      <c r="A238" s="1" t="s">
        <v>1379</v>
      </c>
      <c r="B238" s="1" t="s">
        <v>875</v>
      </c>
      <c r="C238" s="1" t="s">
        <v>970</v>
      </c>
      <c r="D238" s="1">
        <v>192.0</v>
      </c>
      <c r="E238" s="1">
        <v>76.0</v>
      </c>
      <c r="F238" s="1">
        <v>79.0</v>
      </c>
      <c r="G238" s="1">
        <v>90.0</v>
      </c>
      <c r="H238" s="1">
        <v>67.0</v>
      </c>
      <c r="I238" s="1">
        <v>51.0</v>
      </c>
      <c r="J238" s="1">
        <v>89.0</v>
      </c>
      <c r="K238" s="1">
        <v>85.0</v>
      </c>
      <c r="L238" s="1">
        <v>64.0</v>
      </c>
      <c r="M238" s="1">
        <v>71.0</v>
      </c>
      <c r="N238" s="1">
        <v>85.0</v>
      </c>
      <c r="O238" s="1">
        <v>80.0</v>
      </c>
      <c r="P238" s="1">
        <v>68.0</v>
      </c>
      <c r="Q238" s="1">
        <v>81.0</v>
      </c>
      <c r="R238" s="1">
        <v>60.0</v>
      </c>
      <c r="S238" s="1">
        <v>74.0</v>
      </c>
      <c r="T238" s="1">
        <v>75.0</v>
      </c>
      <c r="U238" s="1">
        <v>81.0</v>
      </c>
      <c r="V238" s="1">
        <v>85.0</v>
      </c>
      <c r="W238" s="1">
        <v>76.0</v>
      </c>
      <c r="X238" s="1">
        <v>53.0</v>
      </c>
      <c r="Y238" s="1">
        <v>87.0</v>
      </c>
      <c r="Z238" s="1">
        <v>1.0</v>
      </c>
    </row>
    <row r="239">
      <c r="A239" s="1" t="s">
        <v>1380</v>
      </c>
      <c r="B239" s="1" t="s">
        <v>875</v>
      </c>
      <c r="C239" s="1" t="s">
        <v>886</v>
      </c>
      <c r="D239" s="1" t="s">
        <v>1381</v>
      </c>
      <c r="E239" s="1" t="s">
        <v>1382</v>
      </c>
      <c r="F239" s="1" t="s">
        <v>633</v>
      </c>
      <c r="G239" s="1" t="s">
        <v>867</v>
      </c>
      <c r="H239" s="1" t="s">
        <v>1383</v>
      </c>
      <c r="I239" s="1" t="s">
        <v>1384</v>
      </c>
      <c r="J239" s="1" t="s">
        <v>728</v>
      </c>
      <c r="K239" s="1" t="s">
        <v>35</v>
      </c>
      <c r="L239" s="1" t="s">
        <v>97</v>
      </c>
      <c r="M239" s="1" t="s">
        <v>1141</v>
      </c>
      <c r="N239" s="1" t="s">
        <v>190</v>
      </c>
      <c r="O239" s="1" t="s">
        <v>404</v>
      </c>
      <c r="P239" s="1" t="s">
        <v>1118</v>
      </c>
      <c r="Q239" s="1" t="s">
        <v>490</v>
      </c>
      <c r="R239" s="1" t="s">
        <v>1385</v>
      </c>
      <c r="S239" s="1" t="s">
        <v>1386</v>
      </c>
      <c r="T239" s="1" t="s">
        <v>1387</v>
      </c>
      <c r="U239" s="1" t="s">
        <v>881</v>
      </c>
      <c r="V239" s="1" t="s">
        <v>180</v>
      </c>
      <c r="W239" s="1" t="s">
        <v>190</v>
      </c>
      <c r="X239" s="1" t="s">
        <v>1388</v>
      </c>
      <c r="Y239" s="1" t="s">
        <v>243</v>
      </c>
      <c r="Z239" s="1">
        <v>1.0</v>
      </c>
    </row>
    <row r="240">
      <c r="A240" s="1" t="s">
        <v>1389</v>
      </c>
      <c r="B240" s="1" t="s">
        <v>875</v>
      </c>
      <c r="C240" s="1" t="s">
        <v>970</v>
      </c>
      <c r="D240" s="1">
        <v>200.0</v>
      </c>
      <c r="E240" s="1">
        <v>80.0</v>
      </c>
      <c r="F240" s="1">
        <v>85.0</v>
      </c>
      <c r="G240" s="1">
        <v>95.0</v>
      </c>
      <c r="H240" s="1">
        <v>58.0</v>
      </c>
      <c r="I240" s="1">
        <v>51.0</v>
      </c>
      <c r="J240" s="1">
        <v>80.0</v>
      </c>
      <c r="K240" s="1">
        <v>85.0</v>
      </c>
      <c r="L240" s="1">
        <v>68.0</v>
      </c>
      <c r="M240" s="1">
        <v>67.0</v>
      </c>
      <c r="N240" s="1">
        <v>86.0</v>
      </c>
      <c r="O240" s="1">
        <v>79.0</v>
      </c>
      <c r="P240" s="1">
        <v>70.0</v>
      </c>
      <c r="Q240" s="1">
        <v>58.0</v>
      </c>
      <c r="R240" s="1">
        <v>41.0</v>
      </c>
      <c r="S240" s="1">
        <v>86.0</v>
      </c>
      <c r="T240" s="1">
        <v>55.0</v>
      </c>
      <c r="U240" s="1">
        <v>80.0</v>
      </c>
      <c r="V240" s="1">
        <v>88.0</v>
      </c>
      <c r="W240" s="1">
        <v>75.0</v>
      </c>
      <c r="X240" s="1">
        <v>58.0</v>
      </c>
      <c r="Y240" s="1">
        <v>90.0</v>
      </c>
      <c r="Z240" s="1">
        <v>1.0</v>
      </c>
    </row>
    <row r="241">
      <c r="A241" s="1" t="s">
        <v>717</v>
      </c>
      <c r="B241" s="1" t="s">
        <v>875</v>
      </c>
      <c r="C241" s="1" t="s">
        <v>886</v>
      </c>
      <c r="D241" s="1" t="s">
        <v>1390</v>
      </c>
      <c r="E241" s="1" t="s">
        <v>525</v>
      </c>
      <c r="F241" s="1" t="s">
        <v>190</v>
      </c>
      <c r="G241" s="1" t="s">
        <v>597</v>
      </c>
      <c r="H241" s="1" t="s">
        <v>1391</v>
      </c>
      <c r="I241" s="1" t="s">
        <v>1392</v>
      </c>
      <c r="J241" s="1" t="s">
        <v>1393</v>
      </c>
      <c r="K241" s="1" t="s">
        <v>1080</v>
      </c>
      <c r="L241" s="1" t="s">
        <v>127</v>
      </c>
      <c r="M241" s="1" t="s">
        <v>1394</v>
      </c>
      <c r="N241" s="1" t="s">
        <v>253</v>
      </c>
      <c r="O241" s="1" t="s">
        <v>1267</v>
      </c>
      <c r="P241" s="1" t="s">
        <v>1395</v>
      </c>
      <c r="Q241" s="1" t="s">
        <v>1224</v>
      </c>
      <c r="R241" s="1" t="s">
        <v>1396</v>
      </c>
      <c r="S241" s="1" t="s">
        <v>1397</v>
      </c>
      <c r="T241" s="1" t="s">
        <v>1398</v>
      </c>
      <c r="U241" s="1" t="s">
        <v>1399</v>
      </c>
      <c r="V241" s="1" t="s">
        <v>614</v>
      </c>
      <c r="W241" s="1">
        <v>80.0</v>
      </c>
      <c r="X241" s="1" t="s">
        <v>859</v>
      </c>
      <c r="Y241" s="1" t="s">
        <v>205</v>
      </c>
      <c r="Z241" s="1">
        <v>1.0</v>
      </c>
    </row>
    <row r="242">
      <c r="A242" s="1" t="s">
        <v>1400</v>
      </c>
      <c r="B242" s="1" t="s">
        <v>875</v>
      </c>
      <c r="C242" s="1" t="s">
        <v>970</v>
      </c>
      <c r="D242" s="1" t="s">
        <v>1401</v>
      </c>
      <c r="E242" s="1" t="s">
        <v>30</v>
      </c>
      <c r="F242" s="1" t="s">
        <v>1313</v>
      </c>
      <c r="G242" s="1" t="s">
        <v>597</v>
      </c>
      <c r="H242" s="1" t="s">
        <v>1089</v>
      </c>
      <c r="I242" s="1" t="s">
        <v>848</v>
      </c>
      <c r="J242" s="1" t="s">
        <v>204</v>
      </c>
      <c r="K242" s="1">
        <v>80.0</v>
      </c>
      <c r="L242" s="1" t="s">
        <v>1402</v>
      </c>
      <c r="M242" s="1" t="s">
        <v>384</v>
      </c>
      <c r="N242" s="1">
        <v>80.0</v>
      </c>
      <c r="O242" s="1" t="s">
        <v>190</v>
      </c>
      <c r="P242" s="1" t="s">
        <v>1403</v>
      </c>
      <c r="Q242" s="1" t="s">
        <v>840</v>
      </c>
      <c r="R242" s="1" t="s">
        <v>595</v>
      </c>
      <c r="S242" s="1" t="s">
        <v>1404</v>
      </c>
      <c r="T242" s="1" t="s">
        <v>1405</v>
      </c>
      <c r="U242" s="1" t="s">
        <v>1406</v>
      </c>
      <c r="V242" s="1" t="s">
        <v>1080</v>
      </c>
      <c r="W242" s="1" t="s">
        <v>631</v>
      </c>
      <c r="X242" s="1" t="s">
        <v>1035</v>
      </c>
      <c r="Y242" s="1" t="s">
        <v>766</v>
      </c>
      <c r="Z242" s="1">
        <v>1.0</v>
      </c>
    </row>
    <row r="243">
      <c r="A243" s="1" t="s">
        <v>1407</v>
      </c>
      <c r="B243" s="1" t="s">
        <v>875</v>
      </c>
      <c r="C243" s="1" t="s">
        <v>970</v>
      </c>
      <c r="D243" s="1">
        <v>198.0</v>
      </c>
      <c r="E243" s="1">
        <v>65.0</v>
      </c>
      <c r="F243" s="1">
        <v>75.0</v>
      </c>
      <c r="G243" s="1">
        <v>82.0</v>
      </c>
      <c r="H243" s="1">
        <v>45.0</v>
      </c>
      <c r="I243" s="1">
        <v>47.0</v>
      </c>
      <c r="J243" s="1">
        <v>77.0</v>
      </c>
      <c r="K243" s="1">
        <v>87.0</v>
      </c>
      <c r="L243" s="1">
        <v>72.0</v>
      </c>
      <c r="M243" s="1">
        <v>71.0</v>
      </c>
      <c r="N243" s="1">
        <v>81.0</v>
      </c>
      <c r="O243" s="1">
        <v>75.0</v>
      </c>
      <c r="P243" s="1">
        <v>70.0</v>
      </c>
      <c r="Q243" s="1">
        <v>85.0</v>
      </c>
      <c r="R243" s="1">
        <v>85.0</v>
      </c>
      <c r="S243" s="1">
        <v>84.0</v>
      </c>
      <c r="T243" s="1">
        <v>74.0</v>
      </c>
      <c r="U243" s="1">
        <v>70.0</v>
      </c>
      <c r="V243" s="1">
        <v>82.0</v>
      </c>
      <c r="W243" s="1">
        <v>82.0</v>
      </c>
      <c r="X243" s="1">
        <v>82.0</v>
      </c>
      <c r="Y243" s="1">
        <v>75.0</v>
      </c>
      <c r="Z243" s="1">
        <v>1.0</v>
      </c>
    </row>
    <row r="244">
      <c r="A244" s="1" t="s">
        <v>1408</v>
      </c>
      <c r="B244" s="1" t="s">
        <v>875</v>
      </c>
      <c r="C244" s="1" t="s">
        <v>971</v>
      </c>
      <c r="D244" s="1" t="s">
        <v>1409</v>
      </c>
      <c r="E244" s="1" t="s">
        <v>582</v>
      </c>
      <c r="F244" s="1" t="s">
        <v>553</v>
      </c>
      <c r="G244" s="1" t="s">
        <v>362</v>
      </c>
      <c r="H244" s="1" t="s">
        <v>1410</v>
      </c>
      <c r="I244" s="1" t="s">
        <v>64</v>
      </c>
      <c r="J244" s="1" t="s">
        <v>1411</v>
      </c>
      <c r="K244" s="1" t="s">
        <v>220</v>
      </c>
      <c r="L244" s="1" t="s">
        <v>801</v>
      </c>
      <c r="M244" s="1">
        <v>85.0</v>
      </c>
      <c r="N244" s="1">
        <v>85.0</v>
      </c>
      <c r="O244" s="1" t="s">
        <v>507</v>
      </c>
      <c r="P244" s="1" t="s">
        <v>899</v>
      </c>
      <c r="Q244" s="1" t="s">
        <v>157</v>
      </c>
      <c r="R244" s="1" t="s">
        <v>1008</v>
      </c>
      <c r="S244" s="1" t="s">
        <v>1060</v>
      </c>
      <c r="T244" s="1" t="s">
        <v>550</v>
      </c>
      <c r="U244" s="1" t="s">
        <v>1412</v>
      </c>
      <c r="V244" s="1" t="s">
        <v>266</v>
      </c>
      <c r="W244" s="1" t="s">
        <v>847</v>
      </c>
      <c r="X244" s="1" t="s">
        <v>685</v>
      </c>
      <c r="Y244" s="1" t="s">
        <v>1413</v>
      </c>
      <c r="Z244" s="1">
        <v>1.0</v>
      </c>
    </row>
    <row r="245">
      <c r="A245" s="1" t="s">
        <v>1414</v>
      </c>
      <c r="B245" s="1" t="s">
        <v>875</v>
      </c>
      <c r="C245" s="1" t="s">
        <v>970</v>
      </c>
      <c r="D245" s="1">
        <v>195.0</v>
      </c>
      <c r="E245" s="1">
        <v>73.0</v>
      </c>
      <c r="F245" s="1">
        <v>73.0</v>
      </c>
      <c r="G245" s="1">
        <v>88.0</v>
      </c>
      <c r="H245" s="1">
        <v>82.0</v>
      </c>
      <c r="I245" s="1">
        <v>55.0</v>
      </c>
      <c r="J245" s="1">
        <v>77.0</v>
      </c>
      <c r="K245" s="1">
        <v>85.0</v>
      </c>
      <c r="L245" s="1">
        <v>61.0</v>
      </c>
      <c r="M245" s="1">
        <v>65.0</v>
      </c>
      <c r="N245" s="1">
        <v>85.0</v>
      </c>
      <c r="O245" s="1">
        <v>79.0</v>
      </c>
      <c r="P245" s="1">
        <v>65.0</v>
      </c>
      <c r="Q245" s="1">
        <v>80.0</v>
      </c>
      <c r="R245" s="1">
        <v>80.0</v>
      </c>
      <c r="S245" s="1">
        <v>80.0</v>
      </c>
      <c r="T245" s="1">
        <v>39.0</v>
      </c>
      <c r="U245" s="1">
        <v>62.0</v>
      </c>
      <c r="V245" s="1">
        <v>88.0</v>
      </c>
      <c r="W245" s="1">
        <v>85.0</v>
      </c>
      <c r="X245" s="1">
        <v>60.0</v>
      </c>
      <c r="Y245" s="1">
        <v>80.0</v>
      </c>
      <c r="Z245" s="1">
        <v>1.0</v>
      </c>
    </row>
    <row r="246">
      <c r="A246" s="1" t="s">
        <v>217</v>
      </c>
      <c r="B246" s="1" t="s">
        <v>875</v>
      </c>
      <c r="C246" s="1" t="s">
        <v>970</v>
      </c>
      <c r="D246" s="1">
        <v>198.0</v>
      </c>
      <c r="E246" s="1">
        <v>75.0</v>
      </c>
      <c r="F246" s="1">
        <v>85.0</v>
      </c>
      <c r="G246" s="1">
        <v>79.0</v>
      </c>
      <c r="H246" s="1">
        <v>43.0</v>
      </c>
      <c r="I246" s="1">
        <v>77.0</v>
      </c>
      <c r="J246" s="1">
        <v>80.0</v>
      </c>
      <c r="K246" s="1">
        <v>88.0</v>
      </c>
      <c r="L246" s="1">
        <v>81.0</v>
      </c>
      <c r="M246" s="1">
        <v>61.0</v>
      </c>
      <c r="N246" s="1">
        <v>86.0</v>
      </c>
      <c r="O246" s="1">
        <v>79.0</v>
      </c>
      <c r="P246" s="1">
        <v>65.0</v>
      </c>
      <c r="Q246" s="1">
        <v>85.0</v>
      </c>
      <c r="R246" s="1">
        <v>55.0</v>
      </c>
      <c r="S246" s="1">
        <v>74.0</v>
      </c>
      <c r="T246" s="1">
        <v>39.0</v>
      </c>
      <c r="U246" s="1">
        <v>55.0</v>
      </c>
      <c r="V246" s="1">
        <v>88.0</v>
      </c>
      <c r="W246" s="1">
        <v>85.0</v>
      </c>
      <c r="X246" s="1">
        <v>85.0</v>
      </c>
      <c r="Y246" s="1">
        <v>75.0</v>
      </c>
      <c r="Z246" s="1">
        <v>1.0</v>
      </c>
    </row>
    <row r="247">
      <c r="A247" s="1" t="s">
        <v>603</v>
      </c>
      <c r="B247" s="1" t="s">
        <v>875</v>
      </c>
      <c r="C247" s="1" t="s">
        <v>145</v>
      </c>
      <c r="D247" s="1">
        <v>212.0</v>
      </c>
      <c r="E247" s="1">
        <v>80.0</v>
      </c>
      <c r="F247" s="1">
        <v>77.0</v>
      </c>
      <c r="G247" s="1">
        <v>73.0</v>
      </c>
      <c r="H247" s="1">
        <v>26.0</v>
      </c>
      <c r="I247" s="1">
        <v>35.0</v>
      </c>
      <c r="J247" s="1">
        <v>95.0</v>
      </c>
      <c r="K247" s="1">
        <v>93.0</v>
      </c>
      <c r="L247" s="1">
        <v>99.0</v>
      </c>
      <c r="M247" s="1">
        <v>85.0</v>
      </c>
      <c r="N247" s="1">
        <v>80.0</v>
      </c>
      <c r="O247" s="1">
        <v>75.0</v>
      </c>
      <c r="P247" s="1">
        <v>44.0</v>
      </c>
      <c r="Q247" s="1">
        <v>71.0</v>
      </c>
      <c r="R247" s="1">
        <v>41.0</v>
      </c>
      <c r="S247" s="1">
        <v>27.0</v>
      </c>
      <c r="T247" s="1">
        <v>35.0</v>
      </c>
      <c r="U247" s="1">
        <v>60.0</v>
      </c>
      <c r="V247" s="1">
        <v>88.0</v>
      </c>
      <c r="W247" s="1">
        <v>80.0</v>
      </c>
      <c r="X247" s="1">
        <v>69.0</v>
      </c>
      <c r="Y247" s="1">
        <v>72.0</v>
      </c>
      <c r="Z247" s="1">
        <v>1.0</v>
      </c>
    </row>
    <row r="248">
      <c r="A248" s="1" t="s">
        <v>238</v>
      </c>
      <c r="B248" s="1" t="s">
        <v>875</v>
      </c>
      <c r="C248" s="1" t="s">
        <v>216</v>
      </c>
      <c r="D248" s="1">
        <v>205.0</v>
      </c>
      <c r="E248" s="1">
        <v>69.0</v>
      </c>
      <c r="F248" s="1">
        <v>80.0</v>
      </c>
      <c r="G248" s="1">
        <v>87.0</v>
      </c>
      <c r="H248" s="1">
        <v>32.0</v>
      </c>
      <c r="I248" s="1">
        <v>34.0</v>
      </c>
      <c r="J248" s="1">
        <v>83.0</v>
      </c>
      <c r="K248" s="1">
        <v>93.0</v>
      </c>
      <c r="L248" s="1">
        <v>80.0</v>
      </c>
      <c r="M248" s="1">
        <v>91.0</v>
      </c>
      <c r="N248" s="1">
        <v>84.0</v>
      </c>
      <c r="O248" s="1">
        <v>82.0</v>
      </c>
      <c r="P248" s="1">
        <v>41.0</v>
      </c>
      <c r="Q248" s="1">
        <v>85.0</v>
      </c>
      <c r="R248" s="1">
        <v>80.0</v>
      </c>
      <c r="S248" s="1">
        <v>40.0</v>
      </c>
      <c r="T248" s="1">
        <v>28.0</v>
      </c>
      <c r="U248" s="1">
        <v>50.0</v>
      </c>
      <c r="V248" s="1">
        <v>83.0</v>
      </c>
      <c r="W248" s="1">
        <v>80.0</v>
      </c>
      <c r="X248" s="1">
        <v>51.0</v>
      </c>
      <c r="Y248" s="1">
        <v>75.0</v>
      </c>
      <c r="Z248" s="1">
        <v>1.0</v>
      </c>
    </row>
    <row r="249">
      <c r="A249" s="1" t="s">
        <v>469</v>
      </c>
      <c r="B249" s="1" t="s">
        <v>875</v>
      </c>
      <c r="C249" s="1" t="s">
        <v>512</v>
      </c>
      <c r="D249" s="1" t="s">
        <v>1415</v>
      </c>
      <c r="E249" s="1" t="s">
        <v>300</v>
      </c>
      <c r="F249" s="1" t="s">
        <v>300</v>
      </c>
      <c r="G249" s="1" t="s">
        <v>1416</v>
      </c>
      <c r="H249" s="1" t="s">
        <v>484</v>
      </c>
      <c r="I249" s="1" t="s">
        <v>1417</v>
      </c>
      <c r="J249" s="1" t="s">
        <v>806</v>
      </c>
      <c r="K249" s="1" t="s">
        <v>208</v>
      </c>
      <c r="L249" s="1" t="s">
        <v>913</v>
      </c>
      <c r="M249" s="1" t="s">
        <v>1028</v>
      </c>
      <c r="N249" s="1" t="s">
        <v>174</v>
      </c>
      <c r="O249" s="1" t="s">
        <v>316</v>
      </c>
      <c r="P249" s="1" t="s">
        <v>1026</v>
      </c>
      <c r="Q249" s="1" t="s">
        <v>742</v>
      </c>
      <c r="R249" s="1" t="s">
        <v>553</v>
      </c>
      <c r="S249" s="1" t="s">
        <v>651</v>
      </c>
      <c r="T249" s="1" t="s">
        <v>1280</v>
      </c>
      <c r="U249" s="1" t="s">
        <v>1418</v>
      </c>
      <c r="V249" s="1" t="s">
        <v>128</v>
      </c>
      <c r="W249" s="1" t="s">
        <v>213</v>
      </c>
      <c r="X249" s="1" t="s">
        <v>189</v>
      </c>
      <c r="Y249" s="1" t="s">
        <v>149</v>
      </c>
      <c r="Z249" s="1">
        <v>1.0</v>
      </c>
    </row>
    <row r="250">
      <c r="A250" s="1" t="s">
        <v>1419</v>
      </c>
      <c r="B250" s="1" t="s">
        <v>875</v>
      </c>
      <c r="C250" s="1" t="s">
        <v>970</v>
      </c>
      <c r="D250" s="1">
        <v>207.0</v>
      </c>
      <c r="E250" s="1">
        <v>74.0</v>
      </c>
      <c r="F250" s="1">
        <v>70.0</v>
      </c>
      <c r="G250" s="1">
        <v>85.0</v>
      </c>
      <c r="H250" s="1">
        <v>45.0</v>
      </c>
      <c r="I250" s="1">
        <v>50.0</v>
      </c>
      <c r="J250" s="1">
        <v>89.0</v>
      </c>
      <c r="K250" s="1">
        <v>83.0</v>
      </c>
      <c r="L250" s="1">
        <v>65.0</v>
      </c>
      <c r="M250" s="1">
        <v>75.0</v>
      </c>
      <c r="N250" s="1">
        <v>85.0</v>
      </c>
      <c r="O250" s="1">
        <v>75.0</v>
      </c>
      <c r="P250" s="1">
        <v>65.0</v>
      </c>
      <c r="Q250" s="1">
        <v>85.0</v>
      </c>
      <c r="R250" s="1">
        <v>79.0</v>
      </c>
      <c r="S250" s="1">
        <v>74.0</v>
      </c>
      <c r="T250" s="1">
        <v>36.0</v>
      </c>
      <c r="U250" s="1">
        <v>60.0</v>
      </c>
      <c r="V250" s="1">
        <v>81.0</v>
      </c>
      <c r="W250" s="1">
        <v>80.0</v>
      </c>
      <c r="X250" s="1">
        <v>85.0</v>
      </c>
      <c r="Y250" s="1">
        <v>78.0</v>
      </c>
      <c r="Z250" s="1">
        <v>1.0</v>
      </c>
    </row>
    <row r="251">
      <c r="A251" s="1" t="s">
        <v>1420</v>
      </c>
      <c r="B251" s="1" t="s">
        <v>875</v>
      </c>
      <c r="C251" s="1" t="s">
        <v>145</v>
      </c>
      <c r="D251" s="1">
        <v>208.0</v>
      </c>
      <c r="E251" s="1">
        <v>86.0</v>
      </c>
      <c r="F251" s="1">
        <v>68.0</v>
      </c>
      <c r="G251" s="1">
        <v>88.0</v>
      </c>
      <c r="H251" s="1">
        <v>38.0</v>
      </c>
      <c r="I251" s="1">
        <v>90.0</v>
      </c>
      <c r="J251" s="1">
        <v>96.0</v>
      </c>
      <c r="K251" s="1">
        <v>80.0</v>
      </c>
      <c r="L251" s="1">
        <v>78.0</v>
      </c>
      <c r="M251" s="1">
        <v>70.0</v>
      </c>
      <c r="N251" s="1">
        <v>80.0</v>
      </c>
      <c r="O251" s="1">
        <v>80.0</v>
      </c>
      <c r="P251" s="1">
        <v>44.0</v>
      </c>
      <c r="Q251" s="1">
        <v>82.0</v>
      </c>
      <c r="R251" s="1">
        <v>79.0</v>
      </c>
      <c r="S251" s="1">
        <v>38.0</v>
      </c>
      <c r="T251" s="1">
        <v>51.0</v>
      </c>
      <c r="U251" s="1">
        <v>46.0</v>
      </c>
      <c r="V251" s="1">
        <v>82.0</v>
      </c>
      <c r="W251" s="1">
        <v>81.0</v>
      </c>
      <c r="X251" s="1">
        <v>61.0</v>
      </c>
      <c r="Y251" s="1">
        <v>83.0</v>
      </c>
      <c r="Z251" s="1">
        <v>1.0</v>
      </c>
    </row>
    <row r="252">
      <c r="A252" s="1" t="s">
        <v>1421</v>
      </c>
      <c r="B252" s="1" t="s">
        <v>875</v>
      </c>
      <c r="C252" s="1" t="s">
        <v>970</v>
      </c>
      <c r="D252" s="1" t="s">
        <v>1422</v>
      </c>
      <c r="E252" s="1" t="s">
        <v>1038</v>
      </c>
      <c r="F252" s="1" t="s">
        <v>115</v>
      </c>
      <c r="G252" s="1" t="s">
        <v>1423</v>
      </c>
      <c r="H252" s="1" t="s">
        <v>1424</v>
      </c>
      <c r="I252" s="1">
        <v>51.0</v>
      </c>
      <c r="J252" s="1" t="s">
        <v>322</v>
      </c>
      <c r="K252" s="1" t="s">
        <v>76</v>
      </c>
      <c r="L252" s="1" t="s">
        <v>1425</v>
      </c>
      <c r="M252" s="1" t="s">
        <v>553</v>
      </c>
      <c r="N252" s="1" t="s">
        <v>180</v>
      </c>
      <c r="O252" s="1" t="s">
        <v>190</v>
      </c>
      <c r="P252" s="1" t="s">
        <v>884</v>
      </c>
      <c r="Q252" s="1" t="s">
        <v>96</v>
      </c>
      <c r="R252" s="1" t="s">
        <v>268</v>
      </c>
      <c r="S252" s="1" t="s">
        <v>1426</v>
      </c>
      <c r="T252" s="1" t="s">
        <v>1427</v>
      </c>
      <c r="U252" s="1" t="s">
        <v>1428</v>
      </c>
      <c r="V252" s="1" t="s">
        <v>1046</v>
      </c>
      <c r="W252" s="1" t="s">
        <v>300</v>
      </c>
      <c r="X252" s="1" t="s">
        <v>1396</v>
      </c>
      <c r="Y252" s="1" t="s">
        <v>828</v>
      </c>
      <c r="Z252" s="1">
        <v>1.0</v>
      </c>
    </row>
    <row r="253">
      <c r="A253" s="1" t="s">
        <v>1429</v>
      </c>
      <c r="B253" s="1" t="s">
        <v>875</v>
      </c>
      <c r="C253" s="1" t="s">
        <v>970</v>
      </c>
      <c r="D253" s="1">
        <v>193.0</v>
      </c>
      <c r="E253" s="1">
        <v>70.0</v>
      </c>
      <c r="F253" s="1">
        <v>80.0</v>
      </c>
      <c r="G253" s="1">
        <v>90.0</v>
      </c>
      <c r="H253" s="1">
        <v>82.0</v>
      </c>
      <c r="I253" s="1">
        <v>50.0</v>
      </c>
      <c r="J253" s="1">
        <v>83.0</v>
      </c>
      <c r="K253" s="1">
        <v>92.0</v>
      </c>
      <c r="L253" s="1">
        <v>68.0</v>
      </c>
      <c r="M253" s="1">
        <v>80.0</v>
      </c>
      <c r="N253" s="1">
        <v>85.0</v>
      </c>
      <c r="O253" s="1">
        <v>80.0</v>
      </c>
      <c r="P253" s="1">
        <v>71.0</v>
      </c>
      <c r="Q253" s="1">
        <v>80.0</v>
      </c>
      <c r="R253" s="1">
        <v>70.0</v>
      </c>
      <c r="S253" s="1">
        <v>50.0</v>
      </c>
      <c r="T253" s="1">
        <v>63.0</v>
      </c>
      <c r="U253" s="1">
        <v>54.0</v>
      </c>
      <c r="V253" s="1">
        <v>80.0</v>
      </c>
      <c r="W253" s="1">
        <v>70.0</v>
      </c>
      <c r="X253" s="1">
        <v>70.0</v>
      </c>
      <c r="Y253" s="1">
        <v>80.0</v>
      </c>
      <c r="Z253" s="1">
        <v>1.0</v>
      </c>
    </row>
    <row r="254">
      <c r="A254" s="1" t="s">
        <v>1430</v>
      </c>
      <c r="B254" s="1" t="s">
        <v>875</v>
      </c>
      <c r="C254" s="1" t="s">
        <v>192</v>
      </c>
      <c r="D254" s="1">
        <v>208.0</v>
      </c>
      <c r="E254" s="1">
        <v>80.0</v>
      </c>
      <c r="F254" s="1">
        <v>90.0</v>
      </c>
      <c r="G254" s="1">
        <v>95.0</v>
      </c>
      <c r="H254" s="1">
        <v>71.0</v>
      </c>
      <c r="I254" s="1">
        <v>41.0</v>
      </c>
      <c r="J254" s="1">
        <v>70.0</v>
      </c>
      <c r="K254" s="1">
        <v>80.0</v>
      </c>
      <c r="L254" s="1">
        <v>84.0</v>
      </c>
      <c r="M254" s="1">
        <v>71.0</v>
      </c>
      <c r="N254" s="1">
        <v>79.0</v>
      </c>
      <c r="O254" s="1">
        <v>75.0</v>
      </c>
      <c r="P254" s="1">
        <v>60.0</v>
      </c>
      <c r="Q254" s="1">
        <v>74.0</v>
      </c>
      <c r="R254" s="1">
        <v>79.0</v>
      </c>
      <c r="S254" s="1">
        <v>68.0</v>
      </c>
      <c r="T254" s="1">
        <v>45.0</v>
      </c>
      <c r="U254" s="1">
        <v>54.0</v>
      </c>
      <c r="V254" s="1">
        <v>80.0</v>
      </c>
      <c r="W254" s="1">
        <v>75.0</v>
      </c>
      <c r="X254" s="1">
        <v>73.0</v>
      </c>
      <c r="Y254" s="1">
        <v>80.0</v>
      </c>
      <c r="Z254" s="1">
        <v>1.0</v>
      </c>
    </row>
    <row r="255">
      <c r="A255" s="1" t="s">
        <v>1431</v>
      </c>
      <c r="B255" s="1" t="s">
        <v>875</v>
      </c>
      <c r="C255" s="1" t="s">
        <v>970</v>
      </c>
      <c r="D255" s="1">
        <v>218.0</v>
      </c>
      <c r="E255" s="1">
        <v>81.0</v>
      </c>
      <c r="F255" s="1">
        <v>85.0</v>
      </c>
      <c r="G255" s="1">
        <v>87.0</v>
      </c>
      <c r="H255" s="1">
        <v>72.0</v>
      </c>
      <c r="I255" s="1">
        <v>51.0</v>
      </c>
      <c r="J255" s="1">
        <v>96.0</v>
      </c>
      <c r="K255" s="1">
        <v>85.0</v>
      </c>
      <c r="L255" s="1">
        <v>80.0</v>
      </c>
      <c r="M255" s="1">
        <v>71.0</v>
      </c>
      <c r="N255" s="1">
        <v>86.0</v>
      </c>
      <c r="O255" s="1">
        <v>75.0</v>
      </c>
      <c r="P255" s="1">
        <v>54.0</v>
      </c>
      <c r="Q255" s="1">
        <v>74.0</v>
      </c>
      <c r="R255" s="1">
        <v>79.0</v>
      </c>
      <c r="S255" s="1">
        <v>30.0</v>
      </c>
      <c r="T255" s="1">
        <v>25.0</v>
      </c>
      <c r="U255" s="1">
        <v>45.0</v>
      </c>
      <c r="V255" s="1">
        <v>80.0</v>
      </c>
      <c r="W255" s="1">
        <v>75.0</v>
      </c>
      <c r="X255" s="1">
        <v>73.0</v>
      </c>
      <c r="Y255" s="1">
        <v>75.0</v>
      </c>
      <c r="Z255" s="1">
        <v>1.0</v>
      </c>
    </row>
    <row r="256">
      <c r="A256" s="1" t="s">
        <v>1432</v>
      </c>
      <c r="B256" s="1" t="s">
        <v>875</v>
      </c>
      <c r="C256" s="1" t="s">
        <v>629</v>
      </c>
      <c r="D256" s="1" t="s">
        <v>1433</v>
      </c>
      <c r="E256" s="1" t="s">
        <v>1434</v>
      </c>
      <c r="F256" s="1" t="s">
        <v>1069</v>
      </c>
      <c r="G256" s="1" t="s">
        <v>548</v>
      </c>
      <c r="H256" s="1" t="s">
        <v>486</v>
      </c>
      <c r="I256" s="1" t="s">
        <v>270</v>
      </c>
      <c r="J256" s="1" t="s">
        <v>113</v>
      </c>
      <c r="K256" s="1">
        <v>83.0</v>
      </c>
      <c r="L256" s="1" t="s">
        <v>881</v>
      </c>
      <c r="M256" s="1" t="s">
        <v>1008</v>
      </c>
      <c r="N256" s="1" t="s">
        <v>368</v>
      </c>
      <c r="O256" s="1" t="s">
        <v>828</v>
      </c>
      <c r="P256" s="1" t="s">
        <v>1309</v>
      </c>
      <c r="Q256" s="1" t="s">
        <v>1435</v>
      </c>
      <c r="R256" s="1">
        <v>94.0</v>
      </c>
      <c r="S256" s="1" t="s">
        <v>399</v>
      </c>
      <c r="T256" s="1" t="s">
        <v>534</v>
      </c>
      <c r="U256" s="1" t="s">
        <v>1083</v>
      </c>
      <c r="V256" s="1" t="s">
        <v>1098</v>
      </c>
      <c r="W256" s="1">
        <v>85.0</v>
      </c>
      <c r="X256" s="1">
        <v>85.0</v>
      </c>
      <c r="Y256" s="1" t="s">
        <v>1436</v>
      </c>
      <c r="Z256" s="1">
        <v>1.0</v>
      </c>
    </row>
    <row r="257">
      <c r="A257" s="1" t="s">
        <v>1437</v>
      </c>
      <c r="B257" s="1" t="s">
        <v>875</v>
      </c>
      <c r="C257" s="1" t="s">
        <v>970</v>
      </c>
      <c r="D257" s="1">
        <v>227.0</v>
      </c>
      <c r="E257" s="1">
        <v>75.0</v>
      </c>
      <c r="F257" s="1">
        <v>85.0</v>
      </c>
      <c r="G257" s="1">
        <v>86.0</v>
      </c>
      <c r="H257" s="1">
        <v>46.0</v>
      </c>
      <c r="I257" s="1">
        <v>77.0</v>
      </c>
      <c r="J257" s="1">
        <v>88.0</v>
      </c>
      <c r="K257" s="1">
        <v>85.0</v>
      </c>
      <c r="L257" s="1">
        <v>75.0</v>
      </c>
      <c r="M257" s="1">
        <v>71.0</v>
      </c>
      <c r="N257" s="1">
        <v>75.0</v>
      </c>
      <c r="O257" s="1">
        <v>75.0</v>
      </c>
      <c r="P257" s="1">
        <v>60.0</v>
      </c>
      <c r="Q257" s="1">
        <v>87.0</v>
      </c>
      <c r="R257" s="1">
        <v>73.0</v>
      </c>
      <c r="S257" s="1">
        <v>74.0</v>
      </c>
      <c r="T257" s="1">
        <v>60.0</v>
      </c>
      <c r="U257" s="1">
        <v>80.0</v>
      </c>
      <c r="V257" s="1">
        <v>80.0</v>
      </c>
      <c r="W257" s="1">
        <v>80.0</v>
      </c>
      <c r="X257" s="1">
        <v>73.0</v>
      </c>
      <c r="Y257" s="1">
        <v>80.0</v>
      </c>
      <c r="Z257" s="1">
        <v>1.0</v>
      </c>
    </row>
    <row r="258">
      <c r="A258" s="1" t="s">
        <v>290</v>
      </c>
      <c r="B258" s="1" t="s">
        <v>875</v>
      </c>
      <c r="C258" s="1" t="s">
        <v>145</v>
      </c>
      <c r="D258" s="1" t="s">
        <v>1438</v>
      </c>
      <c r="E258" s="1" t="s">
        <v>300</v>
      </c>
      <c r="F258" s="1" t="s">
        <v>31</v>
      </c>
      <c r="G258" s="1" t="s">
        <v>633</v>
      </c>
      <c r="H258" s="1" t="s">
        <v>1439</v>
      </c>
      <c r="I258" s="1" t="s">
        <v>390</v>
      </c>
      <c r="J258" s="1" t="s">
        <v>1202</v>
      </c>
      <c r="K258" s="1" t="s">
        <v>39</v>
      </c>
      <c r="L258" s="1" t="s">
        <v>384</v>
      </c>
      <c r="M258" s="1" t="s">
        <v>1440</v>
      </c>
      <c r="N258" s="1" t="s">
        <v>174</v>
      </c>
      <c r="O258" s="1">
        <v>75.0</v>
      </c>
      <c r="P258" s="1" t="s">
        <v>1068</v>
      </c>
      <c r="Q258" s="1">
        <v>92.0</v>
      </c>
      <c r="R258" s="1" t="s">
        <v>531</v>
      </c>
      <c r="S258" s="1" t="s">
        <v>381</v>
      </c>
      <c r="T258" s="1" t="s">
        <v>1060</v>
      </c>
      <c r="U258" s="1" t="s">
        <v>1441</v>
      </c>
      <c r="V258" s="1" t="s">
        <v>760</v>
      </c>
      <c r="W258" s="1" t="s">
        <v>548</v>
      </c>
      <c r="X258" s="1" t="s">
        <v>590</v>
      </c>
      <c r="Y258" s="1" t="s">
        <v>190</v>
      </c>
      <c r="Z258" s="1">
        <v>1.0</v>
      </c>
    </row>
    <row r="259">
      <c r="A259" s="1" t="s">
        <v>1442</v>
      </c>
      <c r="B259" s="1" t="s">
        <v>875</v>
      </c>
      <c r="C259" s="1" t="s">
        <v>145</v>
      </c>
      <c r="D259" s="1" t="s">
        <v>1443</v>
      </c>
      <c r="E259" s="1" t="s">
        <v>1088</v>
      </c>
      <c r="F259" s="1" t="s">
        <v>1444</v>
      </c>
      <c r="G259" s="1" t="s">
        <v>405</v>
      </c>
      <c r="H259" s="1">
        <v>81.0</v>
      </c>
      <c r="I259" s="1" t="s">
        <v>624</v>
      </c>
      <c r="J259" s="1" t="s">
        <v>396</v>
      </c>
      <c r="K259" s="1" t="s">
        <v>553</v>
      </c>
      <c r="L259" s="1" t="s">
        <v>552</v>
      </c>
      <c r="M259" s="1" t="s">
        <v>1218</v>
      </c>
      <c r="N259" s="1" t="s">
        <v>1445</v>
      </c>
      <c r="O259" s="1" t="s">
        <v>1151</v>
      </c>
      <c r="P259" s="1" t="s">
        <v>900</v>
      </c>
      <c r="Q259" s="1" t="s">
        <v>570</v>
      </c>
      <c r="R259" s="1" t="s">
        <v>36</v>
      </c>
      <c r="S259" s="1" t="s">
        <v>730</v>
      </c>
      <c r="T259" s="1" t="s">
        <v>1117</v>
      </c>
      <c r="U259" s="1" t="s">
        <v>753</v>
      </c>
      <c r="V259" s="1" t="s">
        <v>300</v>
      </c>
      <c r="W259" s="1" t="s">
        <v>1446</v>
      </c>
      <c r="X259" s="1">
        <v>85.0</v>
      </c>
      <c r="Y259" s="1" t="s">
        <v>1447</v>
      </c>
      <c r="Z259" s="1">
        <v>1.0</v>
      </c>
    </row>
    <row r="260">
      <c r="A260" s="1" t="s">
        <v>471</v>
      </c>
      <c r="B260" s="1" t="s">
        <v>875</v>
      </c>
      <c r="C260" s="1" t="s">
        <v>192</v>
      </c>
      <c r="D260" s="1">
        <v>200.0</v>
      </c>
      <c r="E260" s="1">
        <v>78.0</v>
      </c>
      <c r="F260" s="1">
        <v>80.0</v>
      </c>
      <c r="G260" s="1">
        <v>80.0</v>
      </c>
      <c r="H260" s="1">
        <v>36.0</v>
      </c>
      <c r="I260" s="1">
        <v>50.0</v>
      </c>
      <c r="J260" s="1">
        <v>83.0</v>
      </c>
      <c r="K260" s="1">
        <v>90.0</v>
      </c>
      <c r="L260" s="1">
        <v>71.0</v>
      </c>
      <c r="M260" s="1">
        <v>79.0</v>
      </c>
      <c r="N260" s="1">
        <v>90.0</v>
      </c>
      <c r="O260" s="1">
        <v>82.0</v>
      </c>
      <c r="P260" s="1">
        <v>70.0</v>
      </c>
      <c r="Q260" s="1">
        <v>66.0</v>
      </c>
      <c r="R260" s="1">
        <v>89.0</v>
      </c>
      <c r="S260" s="1">
        <v>44.0</v>
      </c>
      <c r="T260" s="1">
        <v>50.0</v>
      </c>
      <c r="U260" s="1">
        <v>50.0</v>
      </c>
      <c r="V260" s="1">
        <v>86.0</v>
      </c>
      <c r="W260" s="1">
        <v>75.0</v>
      </c>
      <c r="X260" s="1">
        <v>57.0</v>
      </c>
      <c r="Y260" s="1">
        <v>75.0</v>
      </c>
      <c r="Z260" s="1">
        <v>1.0</v>
      </c>
    </row>
    <row r="261">
      <c r="A261" s="1" t="s">
        <v>1448</v>
      </c>
      <c r="B261" s="1" t="s">
        <v>875</v>
      </c>
      <c r="C261" s="1" t="s">
        <v>192</v>
      </c>
      <c r="D261" s="1">
        <v>216.0</v>
      </c>
      <c r="E261" s="1">
        <v>74.0</v>
      </c>
      <c r="F261" s="1">
        <v>80.0</v>
      </c>
      <c r="G261" s="1">
        <v>84.0</v>
      </c>
      <c r="H261" s="1">
        <v>40.0</v>
      </c>
      <c r="I261" s="1">
        <v>70.0</v>
      </c>
      <c r="J261" s="1">
        <v>89.0</v>
      </c>
      <c r="K261" s="1">
        <v>80.0</v>
      </c>
      <c r="L261" s="1">
        <v>70.0</v>
      </c>
      <c r="M261" s="1">
        <v>75.0</v>
      </c>
      <c r="N261" s="1">
        <v>86.0</v>
      </c>
      <c r="O261" s="1">
        <v>80.0</v>
      </c>
      <c r="P261" s="1">
        <v>81.0</v>
      </c>
      <c r="Q261" s="1">
        <v>73.0</v>
      </c>
      <c r="R261" s="1">
        <v>85.0</v>
      </c>
      <c r="S261" s="1">
        <v>83.0</v>
      </c>
      <c r="T261" s="1">
        <v>39.0</v>
      </c>
      <c r="U261" s="1">
        <v>62.0</v>
      </c>
      <c r="V261" s="1">
        <v>81.0</v>
      </c>
      <c r="W261" s="1">
        <v>77.0</v>
      </c>
      <c r="X261" s="1">
        <v>65.0</v>
      </c>
      <c r="Y261" s="1">
        <v>81.0</v>
      </c>
      <c r="Z261" s="1">
        <v>1.0</v>
      </c>
    </row>
    <row r="262">
      <c r="A262" s="1" t="s">
        <v>605</v>
      </c>
      <c r="B262" s="1" t="s">
        <v>875</v>
      </c>
      <c r="C262" s="1" t="s">
        <v>145</v>
      </c>
      <c r="D262" s="1">
        <v>200.0</v>
      </c>
      <c r="E262" s="1">
        <v>65.0</v>
      </c>
      <c r="F262" s="1">
        <v>58.0</v>
      </c>
      <c r="G262" s="1">
        <v>60.0</v>
      </c>
      <c r="H262" s="1">
        <v>45.0</v>
      </c>
      <c r="I262" s="1">
        <v>32.0</v>
      </c>
      <c r="J262" s="1">
        <v>73.0</v>
      </c>
      <c r="K262" s="1">
        <v>83.0</v>
      </c>
      <c r="L262" s="1">
        <v>71.0</v>
      </c>
      <c r="M262" s="1">
        <v>48.0</v>
      </c>
      <c r="N262" s="1">
        <v>73.0</v>
      </c>
      <c r="O262" s="1">
        <v>78.0</v>
      </c>
      <c r="P262" s="1">
        <v>60.0</v>
      </c>
      <c r="Q262" s="1">
        <v>94.0</v>
      </c>
      <c r="R262" s="1">
        <v>94.0</v>
      </c>
      <c r="S262" s="1">
        <v>78.0</v>
      </c>
      <c r="T262" s="1">
        <v>75.0</v>
      </c>
      <c r="U262" s="1">
        <v>80.0</v>
      </c>
      <c r="V262" s="1">
        <v>93.0</v>
      </c>
      <c r="W262" s="1">
        <v>92.0</v>
      </c>
      <c r="X262" s="1">
        <v>71.0</v>
      </c>
      <c r="Y262" s="1">
        <v>74.0</v>
      </c>
      <c r="Z262" s="1">
        <v>1.0</v>
      </c>
    </row>
    <row r="263">
      <c r="A263" s="1" t="s">
        <v>1449</v>
      </c>
      <c r="B263" s="1" t="s">
        <v>875</v>
      </c>
      <c r="C263" s="1" t="s">
        <v>192</v>
      </c>
      <c r="D263" s="1">
        <v>224.0</v>
      </c>
      <c r="E263" s="1">
        <v>72.0</v>
      </c>
      <c r="F263" s="1">
        <v>80.0</v>
      </c>
      <c r="G263" s="1">
        <v>80.0</v>
      </c>
      <c r="H263" s="1">
        <v>72.0</v>
      </c>
      <c r="I263" s="1">
        <v>47.0</v>
      </c>
      <c r="J263" s="1">
        <v>87.0</v>
      </c>
      <c r="K263" s="1">
        <v>80.0</v>
      </c>
      <c r="L263" s="1">
        <v>62.0</v>
      </c>
      <c r="M263" s="1">
        <v>61.0</v>
      </c>
      <c r="N263" s="1">
        <v>86.0</v>
      </c>
      <c r="O263" s="1">
        <v>80.0</v>
      </c>
      <c r="P263" s="1">
        <v>60.0</v>
      </c>
      <c r="Q263" s="1">
        <v>68.0</v>
      </c>
      <c r="R263" s="1">
        <v>85.0</v>
      </c>
      <c r="S263" s="1">
        <v>40.0</v>
      </c>
      <c r="T263" s="1">
        <v>65.0</v>
      </c>
      <c r="U263" s="1">
        <v>80.0</v>
      </c>
      <c r="V263" s="1">
        <v>90.0</v>
      </c>
      <c r="W263" s="1">
        <v>84.0</v>
      </c>
      <c r="X263" s="1">
        <v>73.0</v>
      </c>
      <c r="Y263" s="1">
        <v>81.0</v>
      </c>
      <c r="Z263" s="1">
        <v>1.0</v>
      </c>
    </row>
    <row r="264">
      <c r="A264" s="1" t="s">
        <v>1450</v>
      </c>
      <c r="B264" s="1" t="s">
        <v>875</v>
      </c>
      <c r="C264" s="1" t="s">
        <v>970</v>
      </c>
      <c r="D264" s="1">
        <v>227.0</v>
      </c>
      <c r="E264" s="1">
        <v>73.0</v>
      </c>
      <c r="F264" s="1">
        <v>72.0</v>
      </c>
      <c r="G264" s="1">
        <v>92.0</v>
      </c>
      <c r="H264" s="1">
        <v>52.0</v>
      </c>
      <c r="I264" s="1">
        <v>65.0</v>
      </c>
      <c r="J264" s="1">
        <v>77.0</v>
      </c>
      <c r="K264" s="1">
        <v>83.0</v>
      </c>
      <c r="L264" s="1">
        <v>73.0</v>
      </c>
      <c r="M264" s="1">
        <v>85.0</v>
      </c>
      <c r="N264" s="1">
        <v>85.0</v>
      </c>
      <c r="O264" s="1">
        <v>75.0</v>
      </c>
      <c r="P264" s="1">
        <v>60.0</v>
      </c>
      <c r="Q264" s="1">
        <v>85.0</v>
      </c>
      <c r="R264" s="1">
        <v>71.0</v>
      </c>
      <c r="S264" s="1">
        <v>74.0</v>
      </c>
      <c r="T264" s="1">
        <v>80.0</v>
      </c>
      <c r="U264" s="1">
        <v>65.0</v>
      </c>
      <c r="V264" s="1">
        <v>86.0</v>
      </c>
      <c r="W264" s="1">
        <v>80.0</v>
      </c>
      <c r="X264" s="1">
        <v>71.0</v>
      </c>
      <c r="Y264" s="1">
        <v>80.0</v>
      </c>
      <c r="Z264" s="1">
        <v>1.0</v>
      </c>
    </row>
    <row r="265">
      <c r="A265" s="1" t="s">
        <v>1451</v>
      </c>
      <c r="B265" s="1" t="s">
        <v>875</v>
      </c>
      <c r="C265" s="1" t="s">
        <v>192</v>
      </c>
      <c r="D265" s="1">
        <v>208.0</v>
      </c>
      <c r="E265" s="1">
        <v>80.0</v>
      </c>
      <c r="F265" s="1">
        <v>85.0</v>
      </c>
      <c r="G265" s="1">
        <v>65.0</v>
      </c>
      <c r="H265" s="1">
        <v>66.0</v>
      </c>
      <c r="I265" s="1">
        <v>85.0</v>
      </c>
      <c r="J265" s="1">
        <v>90.0</v>
      </c>
      <c r="K265" s="1">
        <v>83.0</v>
      </c>
      <c r="L265" s="1">
        <v>66.0</v>
      </c>
      <c r="M265" s="1">
        <v>60.0</v>
      </c>
      <c r="N265" s="1">
        <v>85.0</v>
      </c>
      <c r="O265" s="1">
        <v>75.0</v>
      </c>
      <c r="P265" s="1">
        <v>60.0</v>
      </c>
      <c r="Q265" s="1">
        <v>82.0</v>
      </c>
      <c r="R265" s="1">
        <v>79.0</v>
      </c>
      <c r="S265" s="1">
        <v>78.0</v>
      </c>
      <c r="T265" s="1">
        <v>75.0</v>
      </c>
      <c r="U265" s="1">
        <v>80.0</v>
      </c>
      <c r="V265" s="1">
        <v>78.0</v>
      </c>
      <c r="W265" s="1">
        <v>80.0</v>
      </c>
      <c r="X265" s="1">
        <v>79.0</v>
      </c>
      <c r="Y265" s="1">
        <v>75.0</v>
      </c>
      <c r="Z265" s="1">
        <v>1.0</v>
      </c>
    </row>
    <row r="266">
      <c r="A266" s="1" t="s">
        <v>1452</v>
      </c>
      <c r="B266" s="1" t="s">
        <v>875</v>
      </c>
      <c r="C266" s="1" t="s">
        <v>970</v>
      </c>
      <c r="D266" s="1">
        <v>231.0</v>
      </c>
      <c r="E266" s="1">
        <v>82.0</v>
      </c>
      <c r="F266" s="1">
        <v>80.0</v>
      </c>
      <c r="G266" s="1">
        <v>85.0</v>
      </c>
      <c r="H266" s="1">
        <v>45.0</v>
      </c>
      <c r="I266" s="1">
        <v>87.0</v>
      </c>
      <c r="J266" s="1">
        <v>73.0</v>
      </c>
      <c r="K266" s="1">
        <v>83.0</v>
      </c>
      <c r="L266" s="1">
        <v>59.0</v>
      </c>
      <c r="M266" s="1">
        <v>70.0</v>
      </c>
      <c r="N266" s="1">
        <v>81.0</v>
      </c>
      <c r="O266" s="1">
        <v>75.0</v>
      </c>
      <c r="P266" s="1">
        <v>66.0</v>
      </c>
      <c r="Q266" s="1">
        <v>86.0</v>
      </c>
      <c r="R266" s="1">
        <v>56.0</v>
      </c>
      <c r="S266" s="1">
        <v>74.0</v>
      </c>
      <c r="T266" s="1">
        <v>59.0</v>
      </c>
      <c r="U266" s="1">
        <v>80.0</v>
      </c>
      <c r="V266" s="1">
        <v>80.0</v>
      </c>
      <c r="W266" s="1">
        <v>80.0</v>
      </c>
      <c r="X266" s="1">
        <v>86.0</v>
      </c>
      <c r="Y266" s="1">
        <v>80.0</v>
      </c>
      <c r="Z266" s="1">
        <v>1.0</v>
      </c>
    </row>
    <row r="267">
      <c r="A267" s="1" t="s">
        <v>1453</v>
      </c>
      <c r="B267" s="1" t="s">
        <v>875</v>
      </c>
      <c r="C267" s="1" t="s">
        <v>145</v>
      </c>
      <c r="D267" s="1">
        <v>208.0</v>
      </c>
      <c r="E267" s="1">
        <v>88.0</v>
      </c>
      <c r="F267" s="1">
        <v>88.0</v>
      </c>
      <c r="G267" s="1">
        <v>88.0</v>
      </c>
      <c r="H267" s="1">
        <v>66.0</v>
      </c>
      <c r="I267" s="1">
        <v>88.0</v>
      </c>
      <c r="J267" s="1">
        <v>89.0</v>
      </c>
      <c r="K267" s="1">
        <v>86.0</v>
      </c>
      <c r="L267" s="1">
        <v>85.0</v>
      </c>
      <c r="M267" s="1">
        <v>64.0</v>
      </c>
      <c r="N267" s="1">
        <v>85.0</v>
      </c>
      <c r="O267" s="1">
        <v>80.0</v>
      </c>
      <c r="P267" s="1">
        <v>68.0</v>
      </c>
      <c r="Q267" s="1">
        <v>66.0</v>
      </c>
      <c r="R267" s="1">
        <v>36.0</v>
      </c>
      <c r="S267" s="1">
        <v>38.0</v>
      </c>
      <c r="T267" s="1">
        <v>58.0</v>
      </c>
      <c r="U267" s="1">
        <v>48.0</v>
      </c>
      <c r="V267" s="1">
        <v>81.0</v>
      </c>
      <c r="W267" s="1">
        <v>81.0</v>
      </c>
      <c r="X267" s="1">
        <v>80.0</v>
      </c>
      <c r="Y267" s="1">
        <v>82.0</v>
      </c>
      <c r="Z267" s="1">
        <v>1.0</v>
      </c>
    </row>
    <row r="268">
      <c r="A268" s="1" t="s">
        <v>1454</v>
      </c>
      <c r="B268" s="1" t="s">
        <v>875</v>
      </c>
      <c r="C268" s="1" t="s">
        <v>970</v>
      </c>
      <c r="D268" s="1">
        <v>200.0</v>
      </c>
      <c r="E268" s="1">
        <v>72.0</v>
      </c>
      <c r="F268" s="1">
        <v>75.0</v>
      </c>
      <c r="G268" s="1">
        <v>85.0</v>
      </c>
      <c r="H268" s="1">
        <v>45.0</v>
      </c>
      <c r="I268" s="1">
        <v>46.0</v>
      </c>
      <c r="J268" s="1">
        <v>82.0</v>
      </c>
      <c r="K268" s="1">
        <v>92.0</v>
      </c>
      <c r="L268" s="1">
        <v>68.0</v>
      </c>
      <c r="M268" s="1">
        <v>85.0</v>
      </c>
      <c r="N268" s="1">
        <v>81.0</v>
      </c>
      <c r="O268" s="1">
        <v>66.0</v>
      </c>
      <c r="P268" s="1">
        <v>82.0</v>
      </c>
      <c r="Q268" s="1">
        <v>82.0</v>
      </c>
      <c r="R268" s="1">
        <v>79.0</v>
      </c>
      <c r="S268" s="1">
        <v>74.0</v>
      </c>
      <c r="T268" s="1">
        <v>50.0</v>
      </c>
      <c r="U268" s="1">
        <v>65.0</v>
      </c>
      <c r="V268" s="1">
        <v>80.0</v>
      </c>
      <c r="W268" s="1">
        <v>80.0</v>
      </c>
      <c r="X268" s="1">
        <v>69.0</v>
      </c>
      <c r="Y268" s="1">
        <v>79.0</v>
      </c>
      <c r="Z268" s="1">
        <v>1.0</v>
      </c>
    </row>
    <row r="269">
      <c r="A269" s="1" t="s">
        <v>1455</v>
      </c>
      <c r="B269" s="1" t="s">
        <v>875</v>
      </c>
      <c r="C269" s="1" t="s">
        <v>970</v>
      </c>
      <c r="D269" s="1">
        <v>185.0</v>
      </c>
      <c r="E269" s="1">
        <v>92.0</v>
      </c>
      <c r="F269" s="1">
        <v>85.0</v>
      </c>
      <c r="G269" s="1">
        <v>93.0</v>
      </c>
      <c r="H269" s="1">
        <v>53.0</v>
      </c>
      <c r="I269" s="1">
        <v>51.0</v>
      </c>
      <c r="J269" s="1">
        <v>80.0</v>
      </c>
      <c r="K269" s="1">
        <v>80.0</v>
      </c>
      <c r="L269" s="1">
        <v>69.0</v>
      </c>
      <c r="M269" s="1">
        <v>76.0</v>
      </c>
      <c r="N269" s="1">
        <v>86.0</v>
      </c>
      <c r="O269" s="1">
        <v>80.0</v>
      </c>
      <c r="P269" s="1">
        <v>60.0</v>
      </c>
      <c r="Q269" s="1">
        <v>83.0</v>
      </c>
      <c r="R269" s="1">
        <v>60.0</v>
      </c>
      <c r="S269" s="1">
        <v>74.0</v>
      </c>
      <c r="T269" s="1">
        <v>38.0</v>
      </c>
      <c r="U269" s="1">
        <v>54.0</v>
      </c>
      <c r="V269" s="1">
        <v>80.0</v>
      </c>
      <c r="W269" s="1">
        <v>80.0</v>
      </c>
      <c r="X269" s="1">
        <v>70.0</v>
      </c>
      <c r="Y269" s="1">
        <v>80.0</v>
      </c>
      <c r="Z269" s="1">
        <v>1.0</v>
      </c>
    </row>
    <row r="270">
      <c r="A270" s="1" t="s">
        <v>1456</v>
      </c>
      <c r="B270" s="1" t="s">
        <v>875</v>
      </c>
      <c r="C270" s="1" t="s">
        <v>970</v>
      </c>
      <c r="D270" s="1" t="s">
        <v>1457</v>
      </c>
      <c r="E270" s="1" t="s">
        <v>878</v>
      </c>
      <c r="F270" s="1" t="s">
        <v>1199</v>
      </c>
      <c r="G270" s="1" t="s">
        <v>1188</v>
      </c>
      <c r="H270" s="1" t="s">
        <v>526</v>
      </c>
      <c r="I270" s="1" t="s">
        <v>1458</v>
      </c>
      <c r="J270" s="1" t="s">
        <v>180</v>
      </c>
      <c r="K270" s="1" t="s">
        <v>400</v>
      </c>
      <c r="L270" s="1" t="s">
        <v>1459</v>
      </c>
      <c r="M270" s="1" t="s">
        <v>995</v>
      </c>
      <c r="N270" s="1" t="s">
        <v>180</v>
      </c>
      <c r="O270" s="1" t="s">
        <v>190</v>
      </c>
      <c r="P270" s="1" t="s">
        <v>1434</v>
      </c>
      <c r="Q270" s="1" t="s">
        <v>857</v>
      </c>
      <c r="R270" s="1" t="s">
        <v>1236</v>
      </c>
      <c r="S270" s="1" t="s">
        <v>716</v>
      </c>
      <c r="T270" s="1" t="s">
        <v>1460</v>
      </c>
      <c r="U270" s="1" t="s">
        <v>900</v>
      </c>
      <c r="V270" s="1" t="s">
        <v>754</v>
      </c>
      <c r="W270" s="1" t="s">
        <v>1446</v>
      </c>
      <c r="X270" s="1" t="s">
        <v>268</v>
      </c>
      <c r="Y270" s="1" t="s">
        <v>582</v>
      </c>
      <c r="Z270" s="1">
        <v>1.0</v>
      </c>
    </row>
    <row r="271">
      <c r="A271" s="1" t="s">
        <v>1461</v>
      </c>
      <c r="B271" s="1" t="s">
        <v>875</v>
      </c>
      <c r="C271" s="1" t="s">
        <v>970</v>
      </c>
      <c r="D271" s="1">
        <v>215.0</v>
      </c>
      <c r="E271" s="1">
        <v>80.0</v>
      </c>
      <c r="F271" s="1">
        <v>90.0</v>
      </c>
      <c r="G271" s="1">
        <v>52.0</v>
      </c>
      <c r="H271" s="1">
        <v>42.0</v>
      </c>
      <c r="I271" s="1">
        <v>51.0</v>
      </c>
      <c r="J271" s="1">
        <v>70.0</v>
      </c>
      <c r="K271" s="1">
        <v>80.0</v>
      </c>
      <c r="L271" s="1">
        <v>83.0</v>
      </c>
      <c r="M271" s="1">
        <v>70.0</v>
      </c>
      <c r="N271" s="1">
        <v>85.0</v>
      </c>
      <c r="O271" s="1">
        <v>75.0</v>
      </c>
      <c r="P271" s="1">
        <v>67.0</v>
      </c>
      <c r="Q271" s="1">
        <v>91.0</v>
      </c>
      <c r="R271" s="1">
        <v>91.0</v>
      </c>
      <c r="S271" s="1">
        <v>68.0</v>
      </c>
      <c r="T271" s="1">
        <v>37.0</v>
      </c>
      <c r="U271" s="1">
        <v>61.0</v>
      </c>
      <c r="V271" s="1">
        <v>87.0</v>
      </c>
      <c r="W271" s="1">
        <v>82.0</v>
      </c>
      <c r="X271" s="1">
        <v>75.0</v>
      </c>
      <c r="Y271" s="1">
        <v>77.0</v>
      </c>
      <c r="Z271" s="1">
        <v>1.0</v>
      </c>
    </row>
    <row r="272">
      <c r="A272" s="1" t="s">
        <v>541</v>
      </c>
      <c r="B272" s="1" t="s">
        <v>875</v>
      </c>
      <c r="C272" s="1" t="s">
        <v>170</v>
      </c>
      <c r="D272" s="1">
        <v>215.0</v>
      </c>
      <c r="E272" s="1">
        <v>75.0</v>
      </c>
      <c r="F272" s="1">
        <v>88.0</v>
      </c>
      <c r="G272" s="1">
        <v>86.0</v>
      </c>
      <c r="H272" s="1">
        <v>51.0</v>
      </c>
      <c r="I272" s="1">
        <v>45.0</v>
      </c>
      <c r="J272" s="1">
        <v>72.0</v>
      </c>
      <c r="K272" s="1">
        <v>82.0</v>
      </c>
      <c r="L272" s="1">
        <v>68.0</v>
      </c>
      <c r="M272" s="1">
        <v>89.0</v>
      </c>
      <c r="N272" s="1">
        <v>93.0</v>
      </c>
      <c r="O272" s="1">
        <v>91.0</v>
      </c>
      <c r="P272" s="1">
        <v>46.0</v>
      </c>
      <c r="Q272" s="1">
        <v>75.0</v>
      </c>
      <c r="R272" s="1">
        <v>90.0</v>
      </c>
      <c r="S272" s="1">
        <v>37.0</v>
      </c>
      <c r="T272" s="1">
        <v>26.0</v>
      </c>
      <c r="U272" s="1">
        <v>36.0</v>
      </c>
      <c r="V272" s="1">
        <v>91.0</v>
      </c>
      <c r="W272" s="1">
        <v>76.0</v>
      </c>
      <c r="X272" s="1">
        <v>74.0</v>
      </c>
      <c r="Y272" s="1">
        <v>66.0</v>
      </c>
      <c r="Z272" s="1">
        <v>1.0</v>
      </c>
    </row>
    <row r="273">
      <c r="A273" s="1" t="s">
        <v>1462</v>
      </c>
      <c r="B273" s="1" t="s">
        <v>875</v>
      </c>
      <c r="C273" s="1" t="s">
        <v>970</v>
      </c>
      <c r="D273" s="1">
        <v>192.0</v>
      </c>
      <c r="E273" s="1">
        <v>74.0</v>
      </c>
      <c r="F273" s="1">
        <v>73.0</v>
      </c>
      <c r="G273" s="1">
        <v>93.0</v>
      </c>
      <c r="H273" s="1">
        <v>53.0</v>
      </c>
      <c r="I273" s="1">
        <v>50.0</v>
      </c>
      <c r="J273" s="1">
        <v>89.0</v>
      </c>
      <c r="K273" s="1">
        <v>85.0</v>
      </c>
      <c r="L273" s="1">
        <v>74.0</v>
      </c>
      <c r="M273" s="1">
        <v>71.0</v>
      </c>
      <c r="N273" s="1">
        <v>80.0</v>
      </c>
      <c r="O273" s="1">
        <v>75.0</v>
      </c>
      <c r="P273" s="1">
        <v>59.0</v>
      </c>
      <c r="Q273" s="1">
        <v>85.0</v>
      </c>
      <c r="R273" s="1">
        <v>60.0</v>
      </c>
      <c r="S273" s="1">
        <v>78.0</v>
      </c>
      <c r="T273" s="1">
        <v>67.0</v>
      </c>
      <c r="U273" s="1">
        <v>80.0</v>
      </c>
      <c r="V273" s="1">
        <v>85.0</v>
      </c>
      <c r="W273" s="1">
        <v>80.0</v>
      </c>
      <c r="X273" s="1">
        <v>71.0</v>
      </c>
      <c r="Y273" s="1">
        <v>80.0</v>
      </c>
      <c r="Z273" s="1">
        <v>1.0</v>
      </c>
    </row>
    <row r="274">
      <c r="A274" s="1" t="s">
        <v>769</v>
      </c>
      <c r="B274" s="1" t="s">
        <v>875</v>
      </c>
      <c r="C274" s="1" t="s">
        <v>886</v>
      </c>
      <c r="D274" s="1" t="s">
        <v>1463</v>
      </c>
      <c r="E274" s="1" t="s">
        <v>1358</v>
      </c>
      <c r="F274" s="1" t="s">
        <v>519</v>
      </c>
      <c r="G274" s="1" t="s">
        <v>204</v>
      </c>
      <c r="H274" s="1" t="s">
        <v>1464</v>
      </c>
      <c r="I274" s="1" t="s">
        <v>1386</v>
      </c>
      <c r="J274" s="1">
        <v>70.0</v>
      </c>
      <c r="K274" s="1" t="s">
        <v>242</v>
      </c>
      <c r="L274" s="1" t="s">
        <v>1465</v>
      </c>
      <c r="M274" s="1" t="s">
        <v>1026</v>
      </c>
      <c r="N274" s="1" t="s">
        <v>893</v>
      </c>
      <c r="O274" s="1" t="s">
        <v>236</v>
      </c>
      <c r="P274" s="1" t="s">
        <v>802</v>
      </c>
      <c r="Q274" s="1" t="s">
        <v>133</v>
      </c>
      <c r="R274" s="1">
        <v>91.0</v>
      </c>
      <c r="S274" s="1" t="s">
        <v>117</v>
      </c>
      <c r="T274" s="1" t="s">
        <v>1466</v>
      </c>
      <c r="U274" s="1" t="s">
        <v>1329</v>
      </c>
      <c r="V274" s="1" t="s">
        <v>754</v>
      </c>
      <c r="W274" s="1" t="s">
        <v>1046</v>
      </c>
      <c r="X274" s="1">
        <v>85.0</v>
      </c>
      <c r="Y274" s="1" t="s">
        <v>730</v>
      </c>
      <c r="Z274" s="1">
        <v>1.0</v>
      </c>
    </row>
    <row r="275">
      <c r="A275" s="1" t="s">
        <v>1467</v>
      </c>
      <c r="B275" s="1" t="s">
        <v>875</v>
      </c>
      <c r="C275" s="1" t="s">
        <v>145</v>
      </c>
      <c r="D275" s="1">
        <v>212.0</v>
      </c>
      <c r="E275" s="1">
        <v>85.0</v>
      </c>
      <c r="F275" s="1">
        <v>80.0</v>
      </c>
      <c r="G275" s="1">
        <v>25.0</v>
      </c>
      <c r="H275" s="1">
        <v>25.0</v>
      </c>
      <c r="I275" s="1">
        <v>90.0</v>
      </c>
      <c r="J275" s="1">
        <v>99.0</v>
      </c>
      <c r="K275" s="1">
        <v>89.0</v>
      </c>
      <c r="L275" s="1">
        <v>75.0</v>
      </c>
      <c r="M275" s="1">
        <v>60.0</v>
      </c>
      <c r="N275" s="1">
        <v>80.0</v>
      </c>
      <c r="O275" s="1">
        <v>70.0</v>
      </c>
      <c r="P275" s="1">
        <v>61.0</v>
      </c>
      <c r="Q275" s="1">
        <v>80.0</v>
      </c>
      <c r="R275" s="1">
        <v>82.0</v>
      </c>
      <c r="S275" s="1">
        <v>31.0</v>
      </c>
      <c r="T275" s="1">
        <v>50.0</v>
      </c>
      <c r="U275" s="1">
        <v>41.0</v>
      </c>
      <c r="V275" s="1">
        <v>80.0</v>
      </c>
      <c r="W275" s="1">
        <v>75.0</v>
      </c>
      <c r="X275" s="1">
        <v>86.0</v>
      </c>
      <c r="Y275" s="1">
        <v>50.0</v>
      </c>
      <c r="Z275" s="1">
        <v>1.0</v>
      </c>
    </row>
    <row r="276">
      <c r="A276" s="1" t="s">
        <v>1468</v>
      </c>
      <c r="B276" s="1" t="s">
        <v>875</v>
      </c>
      <c r="C276" s="1" t="s">
        <v>970</v>
      </c>
      <c r="D276" s="1">
        <v>227.0</v>
      </c>
      <c r="E276" s="1">
        <v>74.0</v>
      </c>
      <c r="F276" s="1">
        <v>74.0</v>
      </c>
      <c r="G276" s="1">
        <v>91.0</v>
      </c>
      <c r="H276" s="1">
        <v>55.0</v>
      </c>
      <c r="I276" s="1">
        <v>54.0</v>
      </c>
      <c r="J276" s="1">
        <v>80.0</v>
      </c>
      <c r="K276" s="1">
        <v>83.0</v>
      </c>
      <c r="L276" s="1">
        <v>58.0</v>
      </c>
      <c r="M276" s="1">
        <v>71.0</v>
      </c>
      <c r="N276" s="1">
        <v>86.0</v>
      </c>
      <c r="O276" s="1">
        <v>75.0</v>
      </c>
      <c r="P276" s="1">
        <v>62.0</v>
      </c>
      <c r="Q276" s="1">
        <v>85.0</v>
      </c>
      <c r="R276" s="1">
        <v>75.0</v>
      </c>
      <c r="S276" s="1">
        <v>74.0</v>
      </c>
      <c r="T276" s="1">
        <v>80.0</v>
      </c>
      <c r="U276" s="1">
        <v>81.0</v>
      </c>
      <c r="V276" s="1">
        <v>86.0</v>
      </c>
      <c r="W276" s="1">
        <v>81.0</v>
      </c>
      <c r="X276" s="1">
        <v>65.0</v>
      </c>
      <c r="Y276" s="1">
        <v>81.0</v>
      </c>
      <c r="Z276" s="1">
        <v>1.0</v>
      </c>
    </row>
    <row r="277">
      <c r="A277" s="1" t="s">
        <v>1469</v>
      </c>
      <c r="B277" s="1" t="s">
        <v>875</v>
      </c>
      <c r="C277" s="1" t="s">
        <v>145</v>
      </c>
      <c r="D277" s="1">
        <v>235.0</v>
      </c>
      <c r="E277" s="1">
        <v>73.0</v>
      </c>
      <c r="F277" s="1">
        <v>75.0</v>
      </c>
      <c r="G277" s="1">
        <v>88.0</v>
      </c>
      <c r="H277" s="1">
        <v>40.0</v>
      </c>
      <c r="I277" s="1">
        <v>77.0</v>
      </c>
      <c r="J277" s="1">
        <v>86.0</v>
      </c>
      <c r="K277" s="1">
        <v>78.0</v>
      </c>
      <c r="L277" s="1">
        <v>62.0</v>
      </c>
      <c r="M277" s="1">
        <v>61.0</v>
      </c>
      <c r="N277" s="1">
        <v>86.0</v>
      </c>
      <c r="O277" s="1">
        <v>80.0</v>
      </c>
      <c r="P277" s="1">
        <v>85.0</v>
      </c>
      <c r="Q277" s="1">
        <v>87.0</v>
      </c>
      <c r="R277" s="1">
        <v>73.0</v>
      </c>
      <c r="S277" s="1">
        <v>80.0</v>
      </c>
      <c r="T277" s="1">
        <v>82.0</v>
      </c>
      <c r="U277" s="1">
        <v>85.0</v>
      </c>
      <c r="V277" s="1">
        <v>85.0</v>
      </c>
      <c r="W277" s="1">
        <v>80.0</v>
      </c>
      <c r="X277" s="1">
        <v>84.0</v>
      </c>
      <c r="Y277" s="1">
        <v>80.0</v>
      </c>
      <c r="Z277" s="1">
        <v>1.0</v>
      </c>
    </row>
    <row r="278">
      <c r="A278" s="1" t="s">
        <v>845</v>
      </c>
      <c r="B278" s="1" t="s">
        <v>875</v>
      </c>
      <c r="C278" s="1" t="s">
        <v>740</v>
      </c>
      <c r="D278" s="1" t="s">
        <v>393</v>
      </c>
      <c r="E278" s="1" t="s">
        <v>1155</v>
      </c>
      <c r="F278" s="1" t="s">
        <v>1411</v>
      </c>
      <c r="G278" s="1">
        <v>90.0</v>
      </c>
      <c r="H278" s="1" t="s">
        <v>1470</v>
      </c>
      <c r="I278" s="1">
        <v>38.0</v>
      </c>
      <c r="J278" s="1" t="s">
        <v>714</v>
      </c>
      <c r="K278" s="1" t="s">
        <v>234</v>
      </c>
      <c r="L278" s="1" t="s">
        <v>1471</v>
      </c>
      <c r="M278" s="1" t="s">
        <v>180</v>
      </c>
      <c r="N278" s="1" t="s">
        <v>595</v>
      </c>
      <c r="O278" s="1" t="s">
        <v>600</v>
      </c>
      <c r="P278" s="1" t="s">
        <v>1472</v>
      </c>
      <c r="Q278" s="1" t="s">
        <v>582</v>
      </c>
      <c r="R278" s="1">
        <v>88.0</v>
      </c>
      <c r="S278" s="1" t="s">
        <v>1055</v>
      </c>
      <c r="T278" s="1" t="s">
        <v>533</v>
      </c>
      <c r="U278" s="1" t="s">
        <v>1473</v>
      </c>
      <c r="V278" s="1" t="s">
        <v>840</v>
      </c>
      <c r="W278" s="1" t="s">
        <v>763</v>
      </c>
      <c r="X278" s="1" t="s">
        <v>624</v>
      </c>
      <c r="Y278" s="1" t="s">
        <v>1054</v>
      </c>
      <c r="Z278" s="1">
        <v>1.0</v>
      </c>
    </row>
    <row r="279">
      <c r="A279" s="1" t="s">
        <v>1474</v>
      </c>
      <c r="B279" s="1" t="s">
        <v>875</v>
      </c>
      <c r="C279" s="1" t="s">
        <v>970</v>
      </c>
      <c r="D279" s="1">
        <v>220.0</v>
      </c>
      <c r="E279" s="1">
        <v>70.0</v>
      </c>
      <c r="F279" s="1">
        <v>78.0</v>
      </c>
      <c r="G279" s="1">
        <v>88.0</v>
      </c>
      <c r="H279" s="1">
        <v>48.0</v>
      </c>
      <c r="I279" s="1">
        <v>51.0</v>
      </c>
      <c r="J279" s="1">
        <v>75.0</v>
      </c>
      <c r="K279" s="1">
        <v>80.0</v>
      </c>
      <c r="L279" s="1">
        <v>59.0</v>
      </c>
      <c r="M279" s="1">
        <v>70.0</v>
      </c>
      <c r="N279" s="1">
        <v>86.0</v>
      </c>
      <c r="O279" s="1">
        <v>78.0</v>
      </c>
      <c r="P279" s="1">
        <v>85.0</v>
      </c>
      <c r="Q279" s="1">
        <v>78.0</v>
      </c>
      <c r="R279" s="1">
        <v>50.0</v>
      </c>
      <c r="S279" s="1">
        <v>85.0</v>
      </c>
      <c r="T279" s="1">
        <v>82.0</v>
      </c>
      <c r="U279" s="1">
        <v>82.0</v>
      </c>
      <c r="V279" s="1">
        <v>86.0</v>
      </c>
      <c r="W279" s="1">
        <v>75.0</v>
      </c>
      <c r="X279" s="1">
        <v>85.0</v>
      </c>
      <c r="Y279" s="1">
        <v>80.0</v>
      </c>
      <c r="Z279" s="1">
        <v>1.0</v>
      </c>
    </row>
    <row r="280">
      <c r="A280" s="1" t="s">
        <v>1475</v>
      </c>
      <c r="B280" s="1" t="s">
        <v>875</v>
      </c>
      <c r="C280" s="1" t="s">
        <v>970</v>
      </c>
      <c r="D280" s="1" t="s">
        <v>1476</v>
      </c>
      <c r="E280" s="1" t="s">
        <v>843</v>
      </c>
      <c r="F280" s="1" t="s">
        <v>838</v>
      </c>
      <c r="G280" s="1" t="s">
        <v>840</v>
      </c>
      <c r="H280" s="1">
        <v>51.0</v>
      </c>
      <c r="I280" s="1">
        <v>51.0</v>
      </c>
      <c r="J280" s="1" t="s">
        <v>429</v>
      </c>
      <c r="K280" s="1" t="s">
        <v>128</v>
      </c>
      <c r="L280" s="1" t="s">
        <v>872</v>
      </c>
      <c r="M280" s="1">
        <v>71.0</v>
      </c>
      <c r="N280" s="1" t="s">
        <v>180</v>
      </c>
      <c r="O280" s="1" t="s">
        <v>525</v>
      </c>
      <c r="P280" s="1" t="s">
        <v>752</v>
      </c>
      <c r="Q280" s="1" t="s">
        <v>158</v>
      </c>
      <c r="R280" s="1" t="s">
        <v>722</v>
      </c>
      <c r="S280" s="1" t="s">
        <v>394</v>
      </c>
      <c r="T280" s="1" t="s">
        <v>268</v>
      </c>
      <c r="U280" s="1">
        <v>80.0</v>
      </c>
      <c r="V280" s="1" t="s">
        <v>1477</v>
      </c>
      <c r="W280" s="1" t="s">
        <v>476</v>
      </c>
      <c r="X280" s="1" t="s">
        <v>1478</v>
      </c>
      <c r="Y280" s="1" t="s">
        <v>242</v>
      </c>
      <c r="Z280" s="1">
        <v>1.0</v>
      </c>
    </row>
    <row r="281">
      <c r="A281" s="1" t="s">
        <v>421</v>
      </c>
      <c r="B281" s="1" t="s">
        <v>875</v>
      </c>
      <c r="C281" s="1" t="s">
        <v>145</v>
      </c>
      <c r="D281" s="1">
        <v>208.0</v>
      </c>
      <c r="E281" s="1">
        <v>84.0</v>
      </c>
      <c r="F281" s="1">
        <v>87.0</v>
      </c>
      <c r="G281" s="1">
        <v>83.0</v>
      </c>
      <c r="H281" s="1">
        <v>36.0</v>
      </c>
      <c r="I281" s="1">
        <v>45.0</v>
      </c>
      <c r="J281" s="1">
        <v>84.0</v>
      </c>
      <c r="K281" s="1">
        <v>86.0</v>
      </c>
      <c r="L281" s="1">
        <v>62.0</v>
      </c>
      <c r="M281" s="1">
        <v>65.0</v>
      </c>
      <c r="N281" s="1">
        <v>88.0</v>
      </c>
      <c r="O281" s="1">
        <v>83.0</v>
      </c>
      <c r="P281" s="1">
        <v>51.0</v>
      </c>
      <c r="Q281" s="1">
        <v>80.0</v>
      </c>
      <c r="R281" s="1">
        <v>70.0</v>
      </c>
      <c r="S281" s="1">
        <v>71.0</v>
      </c>
      <c r="T281" s="1">
        <v>29.0</v>
      </c>
      <c r="U281" s="1">
        <v>47.0</v>
      </c>
      <c r="V281" s="1">
        <v>88.0</v>
      </c>
      <c r="W281" s="1">
        <v>84.0</v>
      </c>
      <c r="X281" s="1">
        <v>53.0</v>
      </c>
      <c r="Y281" s="1">
        <v>84.0</v>
      </c>
      <c r="Z281" s="1">
        <v>1.0</v>
      </c>
    </row>
    <row r="282">
      <c r="A282" s="1" t="s">
        <v>1479</v>
      </c>
      <c r="B282" s="1" t="s">
        <v>875</v>
      </c>
      <c r="C282" s="1" t="s">
        <v>970</v>
      </c>
      <c r="D282" s="1">
        <v>202.0</v>
      </c>
      <c r="E282" s="1">
        <v>76.0</v>
      </c>
      <c r="F282" s="1">
        <v>76.0</v>
      </c>
      <c r="G282" s="1">
        <v>96.0</v>
      </c>
      <c r="H282" s="1">
        <v>56.0</v>
      </c>
      <c r="I282" s="1">
        <v>51.0</v>
      </c>
      <c r="J282" s="1">
        <v>89.0</v>
      </c>
      <c r="K282" s="1">
        <v>83.0</v>
      </c>
      <c r="L282" s="1">
        <v>65.0</v>
      </c>
      <c r="M282" s="1">
        <v>56.0</v>
      </c>
      <c r="N282" s="1">
        <v>81.0</v>
      </c>
      <c r="O282" s="1">
        <v>75.0</v>
      </c>
      <c r="P282" s="1">
        <v>68.0</v>
      </c>
      <c r="Q282" s="1">
        <v>80.0</v>
      </c>
      <c r="R282" s="1">
        <v>50.0</v>
      </c>
      <c r="S282" s="1">
        <v>88.0</v>
      </c>
      <c r="T282" s="1">
        <v>77.0</v>
      </c>
      <c r="U282" s="1">
        <v>63.0</v>
      </c>
      <c r="V282" s="1">
        <v>86.0</v>
      </c>
      <c r="W282" s="1">
        <v>80.0</v>
      </c>
      <c r="X282" s="1">
        <v>71.0</v>
      </c>
      <c r="Y282" s="1">
        <v>82.0</v>
      </c>
      <c r="Z282" s="1">
        <v>1.0</v>
      </c>
    </row>
    <row r="283">
      <c r="A283" s="1" t="s">
        <v>1480</v>
      </c>
      <c r="B283" s="1" t="s">
        <v>875</v>
      </c>
      <c r="C283" s="1" t="s">
        <v>970</v>
      </c>
      <c r="D283" s="1">
        <v>210.0</v>
      </c>
      <c r="E283" s="1">
        <v>75.0</v>
      </c>
      <c r="F283" s="1">
        <v>75.0</v>
      </c>
      <c r="G283" s="1">
        <v>73.0</v>
      </c>
      <c r="H283" s="1">
        <v>72.0</v>
      </c>
      <c r="I283" s="1">
        <v>61.0</v>
      </c>
      <c r="J283" s="1">
        <v>82.0</v>
      </c>
      <c r="K283" s="1">
        <v>92.0</v>
      </c>
      <c r="L283" s="1">
        <v>70.0</v>
      </c>
      <c r="M283" s="1">
        <v>71.0</v>
      </c>
      <c r="N283" s="1">
        <v>75.0</v>
      </c>
      <c r="O283" s="1">
        <v>75.0</v>
      </c>
      <c r="P283" s="1">
        <v>63.0</v>
      </c>
      <c r="Q283" s="1">
        <v>92.0</v>
      </c>
      <c r="R283" s="1">
        <v>73.0</v>
      </c>
      <c r="S283" s="1">
        <v>74.0</v>
      </c>
      <c r="T283" s="1">
        <v>37.0</v>
      </c>
      <c r="U283" s="1">
        <v>62.0</v>
      </c>
      <c r="V283" s="1">
        <v>85.0</v>
      </c>
      <c r="W283" s="1">
        <v>80.0</v>
      </c>
      <c r="X283" s="1">
        <v>83.0</v>
      </c>
      <c r="Y283" s="1">
        <v>74.0</v>
      </c>
      <c r="Z283" s="1">
        <v>1.0</v>
      </c>
    </row>
    <row r="284">
      <c r="A284" s="1" t="s">
        <v>748</v>
      </c>
      <c r="B284" s="1" t="s">
        <v>875</v>
      </c>
      <c r="C284" s="1" t="s">
        <v>970</v>
      </c>
      <c r="D284" s="1">
        <v>221.0</v>
      </c>
      <c r="E284" s="1">
        <v>78.0</v>
      </c>
      <c r="F284" s="1">
        <v>53.0</v>
      </c>
      <c r="G284" s="1">
        <v>42.0</v>
      </c>
      <c r="H284" s="1">
        <v>40.0</v>
      </c>
      <c r="I284" s="1">
        <v>58.0</v>
      </c>
      <c r="J284" s="1">
        <v>93.0</v>
      </c>
      <c r="K284" s="1">
        <v>86.0</v>
      </c>
      <c r="L284" s="1">
        <v>73.0</v>
      </c>
      <c r="M284" s="1">
        <v>40.0</v>
      </c>
      <c r="N284" s="1">
        <v>65.0</v>
      </c>
      <c r="O284" s="1">
        <v>70.0</v>
      </c>
      <c r="P284" s="1">
        <v>82.0</v>
      </c>
      <c r="Q284" s="1">
        <v>92.0</v>
      </c>
      <c r="R284" s="1">
        <v>85.0</v>
      </c>
      <c r="S284" s="1">
        <v>84.0</v>
      </c>
      <c r="T284" s="1">
        <v>60.0</v>
      </c>
      <c r="U284" s="1">
        <v>80.0</v>
      </c>
      <c r="V284" s="1">
        <v>86.0</v>
      </c>
      <c r="W284" s="1">
        <v>83.0</v>
      </c>
      <c r="X284" s="1">
        <v>93.0</v>
      </c>
      <c r="Y284" s="1">
        <v>60.0</v>
      </c>
      <c r="Z284" s="1">
        <v>1.0</v>
      </c>
    </row>
    <row r="285">
      <c r="A285" s="1" t="s">
        <v>560</v>
      </c>
      <c r="B285" s="1" t="s">
        <v>875</v>
      </c>
      <c r="C285" s="1" t="s">
        <v>216</v>
      </c>
      <c r="D285" s="1">
        <v>220.0</v>
      </c>
      <c r="E285" s="1">
        <v>80.0</v>
      </c>
      <c r="F285" s="1">
        <v>90.0</v>
      </c>
      <c r="G285" s="1">
        <v>90.0</v>
      </c>
      <c r="H285" s="1">
        <v>38.0</v>
      </c>
      <c r="I285" s="1">
        <v>27.0</v>
      </c>
      <c r="J285" s="1">
        <v>94.0</v>
      </c>
      <c r="K285" s="1">
        <v>99.0</v>
      </c>
      <c r="L285" s="1">
        <v>77.0</v>
      </c>
      <c r="M285" s="1">
        <v>51.0</v>
      </c>
      <c r="N285" s="1">
        <v>76.0</v>
      </c>
      <c r="O285" s="1">
        <v>80.0</v>
      </c>
      <c r="P285" s="1">
        <v>38.0</v>
      </c>
      <c r="Q285" s="1">
        <v>55.0</v>
      </c>
      <c r="R285" s="1">
        <v>25.0</v>
      </c>
      <c r="S285" s="1">
        <v>50.0</v>
      </c>
      <c r="T285" s="1">
        <v>50.0</v>
      </c>
      <c r="U285" s="1">
        <v>50.0</v>
      </c>
      <c r="V285" s="1">
        <v>80.0</v>
      </c>
      <c r="W285" s="1">
        <v>70.0</v>
      </c>
      <c r="X285" s="1">
        <v>50.0</v>
      </c>
      <c r="Y285" s="1">
        <v>80.0</v>
      </c>
      <c r="Z285" s="1">
        <v>1.0</v>
      </c>
    </row>
    <row r="286">
      <c r="A286" s="1" t="s">
        <v>1481</v>
      </c>
      <c r="B286" s="1" t="s">
        <v>875</v>
      </c>
      <c r="C286" s="1" t="s">
        <v>216</v>
      </c>
      <c r="D286" s="1">
        <v>209.0</v>
      </c>
      <c r="E286" s="1">
        <v>78.0</v>
      </c>
      <c r="F286" s="1">
        <v>80.0</v>
      </c>
      <c r="G286" s="1">
        <v>90.0</v>
      </c>
      <c r="H286" s="1">
        <v>69.0</v>
      </c>
      <c r="I286" s="1">
        <v>37.0</v>
      </c>
      <c r="J286" s="1">
        <v>81.0</v>
      </c>
      <c r="K286" s="1">
        <v>91.0</v>
      </c>
      <c r="L286" s="1">
        <v>66.0</v>
      </c>
      <c r="M286" s="1">
        <v>80.0</v>
      </c>
      <c r="N286" s="1">
        <v>83.0</v>
      </c>
      <c r="O286" s="1">
        <v>80.0</v>
      </c>
      <c r="P286" s="1">
        <v>80.0</v>
      </c>
      <c r="Q286" s="1">
        <v>80.0</v>
      </c>
      <c r="R286" s="1">
        <v>80.0</v>
      </c>
      <c r="S286" s="1">
        <v>69.0</v>
      </c>
      <c r="T286" s="1">
        <v>74.0</v>
      </c>
      <c r="U286" s="1">
        <v>77.0</v>
      </c>
      <c r="V286" s="1">
        <v>80.0</v>
      </c>
      <c r="W286" s="1">
        <v>81.0</v>
      </c>
      <c r="X286" s="1">
        <v>80.0</v>
      </c>
      <c r="Y286" s="1">
        <v>80.0</v>
      </c>
      <c r="Z286" s="1">
        <v>1.0</v>
      </c>
    </row>
    <row r="287">
      <c r="A287" s="1" t="s">
        <v>440</v>
      </c>
      <c r="B287" s="1" t="s">
        <v>875</v>
      </c>
      <c r="C287" s="1" t="s">
        <v>512</v>
      </c>
      <c r="D287" s="1" t="s">
        <v>1482</v>
      </c>
      <c r="E287" s="1" t="s">
        <v>390</v>
      </c>
      <c r="F287" s="1" t="s">
        <v>597</v>
      </c>
      <c r="G287" s="1" t="s">
        <v>1478</v>
      </c>
      <c r="H287" s="1" t="s">
        <v>93</v>
      </c>
      <c r="I287" s="1" t="s">
        <v>539</v>
      </c>
      <c r="J287" s="1" t="s">
        <v>597</v>
      </c>
      <c r="K287" s="1" t="s">
        <v>82</v>
      </c>
      <c r="L287" s="1" t="s">
        <v>434</v>
      </c>
      <c r="M287" s="1" t="s">
        <v>31</v>
      </c>
      <c r="N287" s="1" t="s">
        <v>300</v>
      </c>
      <c r="O287" s="1">
        <v>85.0</v>
      </c>
      <c r="P287" s="1" t="s">
        <v>486</v>
      </c>
      <c r="Q287" s="1" t="s">
        <v>1156</v>
      </c>
      <c r="R287" s="1" t="s">
        <v>1060</v>
      </c>
      <c r="S287" s="1" t="s">
        <v>623</v>
      </c>
      <c r="T287" s="1" t="s">
        <v>130</v>
      </c>
      <c r="U287" s="1" t="s">
        <v>1483</v>
      </c>
      <c r="V287" s="1" t="s">
        <v>633</v>
      </c>
      <c r="W287" s="1" t="s">
        <v>404</v>
      </c>
      <c r="X287" s="1" t="s">
        <v>163</v>
      </c>
      <c r="Y287" s="1" t="s">
        <v>878</v>
      </c>
      <c r="Z287" s="1">
        <v>1.0</v>
      </c>
    </row>
    <row r="288">
      <c r="A288" s="1" t="s">
        <v>1484</v>
      </c>
      <c r="B288" s="1" t="s">
        <v>875</v>
      </c>
      <c r="C288" s="1" t="s">
        <v>145</v>
      </c>
      <c r="D288" s="1">
        <v>215.0</v>
      </c>
      <c r="E288" s="1" t="s">
        <v>263</v>
      </c>
      <c r="F288" s="1" t="s">
        <v>253</v>
      </c>
      <c r="G288" s="1" t="s">
        <v>253</v>
      </c>
      <c r="H288" s="1">
        <v>40.0</v>
      </c>
      <c r="I288" s="1" t="s">
        <v>1485</v>
      </c>
      <c r="J288" s="1" t="s">
        <v>82</v>
      </c>
      <c r="K288" s="1" t="s">
        <v>187</v>
      </c>
      <c r="L288" s="1" t="s">
        <v>490</v>
      </c>
      <c r="M288" s="1" t="s">
        <v>1151</v>
      </c>
      <c r="N288" s="1" t="s">
        <v>548</v>
      </c>
      <c r="O288" s="1" t="s">
        <v>1313</v>
      </c>
      <c r="P288" s="1">
        <v>61.0</v>
      </c>
      <c r="Q288" s="1" t="s">
        <v>323</v>
      </c>
      <c r="R288" s="1" t="s">
        <v>110</v>
      </c>
      <c r="S288" s="1" t="s">
        <v>1486</v>
      </c>
      <c r="T288" s="1" t="s">
        <v>1349</v>
      </c>
      <c r="U288" s="1" t="s">
        <v>1487</v>
      </c>
      <c r="V288" s="1" t="s">
        <v>300</v>
      </c>
      <c r="W288" s="1" t="s">
        <v>235</v>
      </c>
      <c r="X288" s="1">
        <v>86.0</v>
      </c>
      <c r="Y288" s="1" t="s">
        <v>1488</v>
      </c>
      <c r="Z288" s="1">
        <v>1.0</v>
      </c>
    </row>
    <row r="289">
      <c r="A289" s="1" t="s">
        <v>1489</v>
      </c>
      <c r="B289" s="1" t="s">
        <v>875</v>
      </c>
      <c r="C289" s="1" t="s">
        <v>192</v>
      </c>
      <c r="D289" s="1">
        <v>208.0</v>
      </c>
      <c r="E289" s="1">
        <v>76.0</v>
      </c>
      <c r="F289" s="1">
        <v>86.0</v>
      </c>
      <c r="G289" s="1">
        <v>80.0</v>
      </c>
      <c r="H289" s="1">
        <v>40.0</v>
      </c>
      <c r="I289" s="1">
        <v>48.0</v>
      </c>
      <c r="J289" s="1">
        <v>77.0</v>
      </c>
      <c r="K289" s="1">
        <v>85.0</v>
      </c>
      <c r="L289" s="1">
        <v>62.0</v>
      </c>
      <c r="M289" s="1">
        <v>75.0</v>
      </c>
      <c r="N289" s="1">
        <v>81.0</v>
      </c>
      <c r="O289" s="1">
        <v>75.0</v>
      </c>
      <c r="P289" s="1">
        <v>75.0</v>
      </c>
      <c r="Q289" s="1">
        <v>92.0</v>
      </c>
      <c r="R289" s="1">
        <v>62.0</v>
      </c>
      <c r="S289" s="1">
        <v>75.0</v>
      </c>
      <c r="T289" s="1">
        <v>41.0</v>
      </c>
      <c r="U289" s="1">
        <v>60.0</v>
      </c>
      <c r="V289" s="1">
        <v>85.0</v>
      </c>
      <c r="W289" s="1">
        <v>81.0</v>
      </c>
      <c r="X289" s="1">
        <v>83.0</v>
      </c>
      <c r="Y289" s="1">
        <v>80.0</v>
      </c>
      <c r="Z289" s="1">
        <v>1.0</v>
      </c>
    </row>
    <row r="290">
      <c r="A290" s="1" t="s">
        <v>1490</v>
      </c>
      <c r="B290" s="1" t="s">
        <v>875</v>
      </c>
      <c r="C290" s="1" t="s">
        <v>145</v>
      </c>
      <c r="D290" s="1">
        <v>217.0</v>
      </c>
      <c r="E290" s="1">
        <v>80.0</v>
      </c>
      <c r="F290" s="1">
        <v>70.0</v>
      </c>
      <c r="G290" s="1">
        <v>89.0</v>
      </c>
      <c r="H290" s="1">
        <v>39.0</v>
      </c>
      <c r="I290" s="1">
        <v>83.0</v>
      </c>
      <c r="J290" s="1">
        <v>80.0</v>
      </c>
      <c r="K290" s="1">
        <v>84.0</v>
      </c>
      <c r="L290" s="1">
        <v>70.0</v>
      </c>
      <c r="M290" s="1">
        <v>65.0</v>
      </c>
      <c r="N290" s="1">
        <v>82.0</v>
      </c>
      <c r="O290" s="1">
        <v>81.0</v>
      </c>
      <c r="P290" s="1">
        <v>73.0</v>
      </c>
      <c r="Q290" s="1">
        <v>85.0</v>
      </c>
      <c r="R290" s="1">
        <v>90.0</v>
      </c>
      <c r="S290" s="1">
        <v>75.0</v>
      </c>
      <c r="T290" s="1">
        <v>44.0</v>
      </c>
      <c r="U290" s="1">
        <v>53.0</v>
      </c>
      <c r="V290" s="1">
        <v>85.0</v>
      </c>
      <c r="W290" s="1">
        <v>88.0</v>
      </c>
      <c r="X290" s="1">
        <v>55.0</v>
      </c>
      <c r="Y290" s="1">
        <v>81.0</v>
      </c>
      <c r="Z290" s="1">
        <v>1.0</v>
      </c>
    </row>
    <row r="291">
      <c r="A291" s="1" t="s">
        <v>1491</v>
      </c>
      <c r="B291" s="1" t="s">
        <v>875</v>
      </c>
      <c r="C291" s="1" t="s">
        <v>192</v>
      </c>
      <c r="D291" s="1">
        <v>210.0</v>
      </c>
      <c r="E291" s="1">
        <v>82.0</v>
      </c>
      <c r="F291" s="1">
        <v>80.0</v>
      </c>
      <c r="G291" s="1">
        <v>90.0</v>
      </c>
      <c r="H291" s="1">
        <v>40.0</v>
      </c>
      <c r="I291" s="1">
        <v>87.0</v>
      </c>
      <c r="J291" s="1">
        <v>90.0</v>
      </c>
      <c r="K291" s="1">
        <v>79.0</v>
      </c>
      <c r="L291" s="1">
        <v>80.0</v>
      </c>
      <c r="M291" s="1">
        <v>80.0</v>
      </c>
      <c r="N291" s="1">
        <v>85.0</v>
      </c>
      <c r="O291" s="1">
        <v>75.0</v>
      </c>
      <c r="P291" s="1">
        <v>72.0</v>
      </c>
      <c r="Q291" s="1">
        <v>80.0</v>
      </c>
      <c r="R291" s="1">
        <v>51.0</v>
      </c>
      <c r="S291" s="1">
        <v>70.0</v>
      </c>
      <c r="T291" s="1">
        <v>47.0</v>
      </c>
      <c r="U291" s="1">
        <v>52.0</v>
      </c>
      <c r="V291" s="1">
        <v>81.0</v>
      </c>
      <c r="W291" s="1">
        <v>84.0</v>
      </c>
      <c r="X291" s="1">
        <v>70.0</v>
      </c>
      <c r="Y291" s="1">
        <v>80.0</v>
      </c>
      <c r="Z291" s="1">
        <v>1.0</v>
      </c>
    </row>
    <row r="292">
      <c r="A292" s="1" t="s">
        <v>1492</v>
      </c>
      <c r="B292" s="1" t="s">
        <v>875</v>
      </c>
      <c r="C292" s="1" t="s">
        <v>1493</v>
      </c>
      <c r="D292" s="1">
        <v>165.0</v>
      </c>
      <c r="E292" s="1">
        <v>99.0</v>
      </c>
      <c r="F292" s="1">
        <v>99.0</v>
      </c>
      <c r="G292" s="1">
        <v>85.0</v>
      </c>
      <c r="H292" s="1">
        <v>25.0</v>
      </c>
      <c r="I292" s="1">
        <v>67.0</v>
      </c>
      <c r="J292" s="1">
        <v>96.0</v>
      </c>
      <c r="K292" s="1">
        <v>81.0</v>
      </c>
      <c r="L292" s="1">
        <v>71.0</v>
      </c>
      <c r="M292" s="1">
        <v>73.0</v>
      </c>
      <c r="N292" s="1">
        <v>94.0</v>
      </c>
      <c r="O292" s="1">
        <v>84.0</v>
      </c>
      <c r="P292" s="1">
        <v>25.0</v>
      </c>
      <c r="Q292" s="1">
        <v>54.0</v>
      </c>
      <c r="R292" s="1">
        <v>27.0</v>
      </c>
      <c r="S292" s="1">
        <v>25.0</v>
      </c>
      <c r="T292" s="1">
        <v>40.0</v>
      </c>
      <c r="U292" s="1">
        <v>25.0</v>
      </c>
      <c r="V292" s="1">
        <v>84.0</v>
      </c>
      <c r="W292" s="1">
        <v>69.0</v>
      </c>
      <c r="X292" s="1">
        <v>43.0</v>
      </c>
      <c r="Y292" s="1">
        <v>65.0</v>
      </c>
      <c r="Z292" s="1">
        <v>1.0</v>
      </c>
    </row>
    <row r="293">
      <c r="A293" s="1" t="s">
        <v>256</v>
      </c>
      <c r="B293" s="1" t="s">
        <v>875</v>
      </c>
      <c r="C293" s="1" t="s">
        <v>1283</v>
      </c>
      <c r="D293" s="1" t="s">
        <v>1284</v>
      </c>
      <c r="E293" s="1" t="s">
        <v>207</v>
      </c>
      <c r="F293" s="1" t="s">
        <v>128</v>
      </c>
      <c r="G293" s="1" t="s">
        <v>625</v>
      </c>
      <c r="H293" s="1" t="s">
        <v>1494</v>
      </c>
      <c r="I293" s="1" t="s">
        <v>135</v>
      </c>
      <c r="J293" s="1" t="s">
        <v>39</v>
      </c>
      <c r="K293" s="1" t="s">
        <v>322</v>
      </c>
      <c r="L293" s="1" t="s">
        <v>1495</v>
      </c>
      <c r="M293" s="1" t="s">
        <v>1496</v>
      </c>
      <c r="N293" s="1" t="s">
        <v>548</v>
      </c>
      <c r="O293" s="1" t="s">
        <v>113</v>
      </c>
      <c r="P293" s="1" t="s">
        <v>1068</v>
      </c>
      <c r="Q293" s="1" t="s">
        <v>35</v>
      </c>
      <c r="R293" s="1" t="s">
        <v>986</v>
      </c>
      <c r="S293" s="1" t="s">
        <v>793</v>
      </c>
      <c r="T293" s="1" t="s">
        <v>1497</v>
      </c>
      <c r="U293" s="1" t="s">
        <v>367</v>
      </c>
      <c r="V293" s="1" t="s">
        <v>253</v>
      </c>
      <c r="W293" s="1" t="s">
        <v>975</v>
      </c>
      <c r="X293" s="1" t="s">
        <v>316</v>
      </c>
      <c r="Y293" s="1" t="s">
        <v>323</v>
      </c>
      <c r="Z293" s="1">
        <v>1.0</v>
      </c>
    </row>
    <row r="294">
      <c r="A294" s="1" t="s">
        <v>171</v>
      </c>
      <c r="B294" s="1" t="s">
        <v>875</v>
      </c>
      <c r="C294" s="1" t="s">
        <v>145</v>
      </c>
      <c r="D294" s="1">
        <v>195.0</v>
      </c>
      <c r="E294" s="1">
        <v>70.0</v>
      </c>
      <c r="F294" s="1">
        <v>70.0</v>
      </c>
      <c r="G294" s="1">
        <v>87.0</v>
      </c>
      <c r="H294" s="1">
        <v>40.0</v>
      </c>
      <c r="I294" s="1">
        <v>45.0</v>
      </c>
      <c r="J294" s="1">
        <v>80.0</v>
      </c>
      <c r="K294" s="1">
        <v>83.0</v>
      </c>
      <c r="L294" s="1">
        <v>59.0</v>
      </c>
      <c r="M294" s="1">
        <v>65.0</v>
      </c>
      <c r="N294" s="1">
        <v>85.0</v>
      </c>
      <c r="O294" s="1">
        <v>86.0</v>
      </c>
      <c r="P294" s="1">
        <v>60.0</v>
      </c>
      <c r="Q294" s="1">
        <v>87.0</v>
      </c>
      <c r="R294" s="1">
        <v>90.0</v>
      </c>
      <c r="S294" s="1">
        <v>60.0</v>
      </c>
      <c r="T294" s="1">
        <v>28.0</v>
      </c>
      <c r="U294" s="1">
        <v>47.0</v>
      </c>
      <c r="V294" s="1">
        <v>87.0</v>
      </c>
      <c r="W294" s="1">
        <v>83.0</v>
      </c>
      <c r="X294" s="1">
        <v>79.0</v>
      </c>
      <c r="Y294" s="1">
        <v>80.0</v>
      </c>
      <c r="Z294" s="1">
        <v>1.0</v>
      </c>
    </row>
    <row r="295">
      <c r="A295" s="1" t="s">
        <v>1498</v>
      </c>
      <c r="B295" s="1" t="s">
        <v>875</v>
      </c>
      <c r="C295" s="1" t="s">
        <v>970</v>
      </c>
      <c r="D295" s="1">
        <v>210.0</v>
      </c>
      <c r="E295" s="1">
        <v>75.0</v>
      </c>
      <c r="F295" s="1">
        <v>85.0</v>
      </c>
      <c r="G295" s="1">
        <v>87.0</v>
      </c>
      <c r="H295" s="1">
        <v>53.0</v>
      </c>
      <c r="I295" s="1">
        <v>51.0</v>
      </c>
      <c r="J295" s="1">
        <v>90.0</v>
      </c>
      <c r="K295" s="1">
        <v>86.0</v>
      </c>
      <c r="L295" s="1">
        <v>80.0</v>
      </c>
      <c r="M295" s="1">
        <v>90.0</v>
      </c>
      <c r="N295" s="1">
        <v>86.0</v>
      </c>
      <c r="O295" s="1">
        <v>78.0</v>
      </c>
      <c r="P295" s="1">
        <v>68.0</v>
      </c>
      <c r="Q295" s="1">
        <v>85.0</v>
      </c>
      <c r="R295" s="1">
        <v>75.0</v>
      </c>
      <c r="S295" s="1">
        <v>48.0</v>
      </c>
      <c r="T295" s="1">
        <v>33.0</v>
      </c>
      <c r="U295" s="1">
        <v>55.0</v>
      </c>
      <c r="V295" s="1">
        <v>85.0</v>
      </c>
      <c r="W295" s="1">
        <v>80.0</v>
      </c>
      <c r="X295" s="1">
        <v>52.0</v>
      </c>
      <c r="Y295" s="1">
        <v>80.0</v>
      </c>
      <c r="Z295" s="1">
        <v>1.0</v>
      </c>
    </row>
    <row r="296">
      <c r="A296" s="1" t="s">
        <v>1499</v>
      </c>
      <c r="B296" s="1" t="s">
        <v>875</v>
      </c>
      <c r="C296" s="1" t="s">
        <v>192</v>
      </c>
      <c r="D296" s="1">
        <v>206.0</v>
      </c>
      <c r="E296" s="1">
        <v>97.0</v>
      </c>
      <c r="F296" s="1">
        <v>86.0</v>
      </c>
      <c r="G296" s="1">
        <v>88.0</v>
      </c>
      <c r="H296" s="1">
        <v>38.0</v>
      </c>
      <c r="I296" s="1">
        <v>51.0</v>
      </c>
      <c r="J296" s="1">
        <v>88.0</v>
      </c>
      <c r="K296" s="1">
        <v>88.0</v>
      </c>
      <c r="L296" s="1">
        <v>69.0</v>
      </c>
      <c r="M296" s="1">
        <v>87.0</v>
      </c>
      <c r="N296" s="1">
        <v>81.0</v>
      </c>
      <c r="O296" s="1">
        <v>61.0</v>
      </c>
      <c r="P296" s="1">
        <v>61.0</v>
      </c>
      <c r="Q296" s="1">
        <v>54.0</v>
      </c>
      <c r="R296" s="1">
        <v>79.0</v>
      </c>
      <c r="S296" s="1">
        <v>68.0</v>
      </c>
      <c r="T296" s="1">
        <v>57.0</v>
      </c>
      <c r="U296" s="1">
        <v>43.0</v>
      </c>
      <c r="V296" s="1">
        <v>81.0</v>
      </c>
      <c r="W296" s="1">
        <v>76.0</v>
      </c>
      <c r="X296" s="1">
        <v>86.0</v>
      </c>
      <c r="Y296" s="1">
        <v>68.0</v>
      </c>
      <c r="Z296" s="1">
        <v>1.0</v>
      </c>
    </row>
    <row r="297">
      <c r="A297" s="1" t="s">
        <v>1500</v>
      </c>
      <c r="B297" s="1" t="s">
        <v>875</v>
      </c>
      <c r="C297" s="1" t="s">
        <v>970</v>
      </c>
      <c r="D297" s="1">
        <v>206.0</v>
      </c>
      <c r="E297" s="1">
        <v>80.0</v>
      </c>
      <c r="F297" s="1">
        <v>89.0</v>
      </c>
      <c r="G297" s="1">
        <v>91.0</v>
      </c>
      <c r="H297" s="1">
        <v>90.0</v>
      </c>
      <c r="I297" s="1">
        <v>45.0</v>
      </c>
      <c r="J297" s="1">
        <v>76.0</v>
      </c>
      <c r="K297" s="1">
        <v>84.0</v>
      </c>
      <c r="L297" s="1">
        <v>77.0</v>
      </c>
      <c r="M297" s="1">
        <v>84.0</v>
      </c>
      <c r="N297" s="1">
        <v>80.0</v>
      </c>
      <c r="O297" s="1">
        <v>79.0</v>
      </c>
      <c r="P297" s="1">
        <v>56.0</v>
      </c>
      <c r="Q297" s="1">
        <v>56.0</v>
      </c>
      <c r="R297" s="1">
        <v>71.0</v>
      </c>
      <c r="S297" s="1">
        <v>68.0</v>
      </c>
      <c r="T297" s="1">
        <v>71.0</v>
      </c>
      <c r="U297" s="1">
        <v>62.0</v>
      </c>
      <c r="V297" s="1">
        <v>86.0</v>
      </c>
      <c r="W297" s="1">
        <v>72.0</v>
      </c>
      <c r="X297" s="1">
        <v>73.0</v>
      </c>
      <c r="Y297" s="1">
        <v>85.0</v>
      </c>
      <c r="Z297" s="1">
        <v>1.0</v>
      </c>
    </row>
    <row r="298">
      <c r="A298" s="1" t="s">
        <v>1501</v>
      </c>
      <c r="B298" s="1" t="s">
        <v>875</v>
      </c>
      <c r="C298" s="1" t="s">
        <v>970</v>
      </c>
      <c r="D298" s="1">
        <v>200.0</v>
      </c>
      <c r="E298" s="1">
        <v>75.0</v>
      </c>
      <c r="F298" s="1">
        <v>85.0</v>
      </c>
      <c r="G298" s="1">
        <v>87.0</v>
      </c>
      <c r="H298" s="1">
        <v>47.0</v>
      </c>
      <c r="I298" s="1">
        <v>47.0</v>
      </c>
      <c r="J298" s="1">
        <v>80.0</v>
      </c>
      <c r="K298" s="1">
        <v>87.0</v>
      </c>
      <c r="L298" s="1">
        <v>78.0</v>
      </c>
      <c r="M298" s="1">
        <v>78.0</v>
      </c>
      <c r="N298" s="1">
        <v>80.0</v>
      </c>
      <c r="O298" s="1">
        <v>75.0</v>
      </c>
      <c r="P298" s="1">
        <v>60.0</v>
      </c>
      <c r="Q298" s="1">
        <v>85.0</v>
      </c>
      <c r="R298" s="1">
        <v>79.0</v>
      </c>
      <c r="S298" s="1">
        <v>78.0</v>
      </c>
      <c r="T298" s="1">
        <v>70.0</v>
      </c>
      <c r="U298" s="1">
        <v>60.0</v>
      </c>
      <c r="V298" s="1">
        <v>80.0</v>
      </c>
      <c r="W298" s="1">
        <v>80.0</v>
      </c>
      <c r="X298" s="1">
        <v>75.0</v>
      </c>
      <c r="Y298" s="1">
        <v>80.0</v>
      </c>
      <c r="Z298" s="1">
        <v>1.0</v>
      </c>
    </row>
    <row r="299">
      <c r="A299" s="1" t="s">
        <v>1502</v>
      </c>
      <c r="B299" s="1" t="s">
        <v>875</v>
      </c>
      <c r="C299" s="1" t="s">
        <v>192</v>
      </c>
      <c r="D299" s="1">
        <v>235.0</v>
      </c>
      <c r="E299" s="1">
        <v>70.0</v>
      </c>
      <c r="F299" s="1">
        <v>70.0</v>
      </c>
      <c r="G299" s="1">
        <v>87.0</v>
      </c>
      <c r="H299" s="1">
        <v>65.0</v>
      </c>
      <c r="I299" s="1">
        <v>46.0</v>
      </c>
      <c r="J299" s="1">
        <v>80.0</v>
      </c>
      <c r="K299" s="1">
        <v>80.0</v>
      </c>
      <c r="L299" s="1">
        <v>61.0</v>
      </c>
      <c r="M299" s="1">
        <v>70.0</v>
      </c>
      <c r="N299" s="1">
        <v>85.0</v>
      </c>
      <c r="O299" s="1">
        <v>75.0</v>
      </c>
      <c r="P299" s="1">
        <v>70.0</v>
      </c>
      <c r="Q299" s="1">
        <v>82.0</v>
      </c>
      <c r="R299" s="1">
        <v>85.0</v>
      </c>
      <c r="S299" s="1">
        <v>75.0</v>
      </c>
      <c r="T299" s="1">
        <v>80.0</v>
      </c>
      <c r="U299" s="1">
        <v>92.0</v>
      </c>
      <c r="V299" s="1">
        <v>84.0</v>
      </c>
      <c r="W299" s="1">
        <v>80.0</v>
      </c>
      <c r="X299" s="1">
        <v>77.0</v>
      </c>
      <c r="Y299" s="1">
        <v>75.0</v>
      </c>
      <c r="Z299" s="1">
        <v>1.0</v>
      </c>
    </row>
    <row r="300">
      <c r="A300" s="1" t="s">
        <v>626</v>
      </c>
      <c r="B300" s="1" t="s">
        <v>875</v>
      </c>
      <c r="C300" s="1" t="s">
        <v>192</v>
      </c>
      <c r="D300" s="1">
        <v>190.0</v>
      </c>
      <c r="E300" s="1">
        <v>75.0</v>
      </c>
      <c r="F300" s="1">
        <v>80.0</v>
      </c>
      <c r="G300" s="1">
        <v>95.0</v>
      </c>
      <c r="H300" s="1">
        <v>45.0</v>
      </c>
      <c r="I300" s="1">
        <v>45.0</v>
      </c>
      <c r="J300" s="1">
        <v>70.0</v>
      </c>
      <c r="K300" s="1">
        <v>79.0</v>
      </c>
      <c r="L300" s="1">
        <v>70.0</v>
      </c>
      <c r="M300" s="1">
        <v>72.0</v>
      </c>
      <c r="N300" s="1">
        <v>85.0</v>
      </c>
      <c r="O300" s="1">
        <v>83.0</v>
      </c>
      <c r="P300" s="1">
        <v>55.0</v>
      </c>
      <c r="Q300" s="1">
        <v>80.0</v>
      </c>
      <c r="R300" s="1">
        <v>51.0</v>
      </c>
      <c r="S300" s="1">
        <v>75.0</v>
      </c>
      <c r="T300" s="1">
        <v>33.0</v>
      </c>
      <c r="U300" s="1">
        <v>53.0</v>
      </c>
      <c r="V300" s="1">
        <v>84.0</v>
      </c>
      <c r="W300" s="1">
        <v>87.0</v>
      </c>
      <c r="X300" s="1">
        <v>53.0</v>
      </c>
      <c r="Y300" s="1">
        <v>88.0</v>
      </c>
      <c r="Z300" s="1">
        <v>1.0</v>
      </c>
    </row>
    <row r="301">
      <c r="A301" s="1" t="s">
        <v>1503</v>
      </c>
      <c r="B301" s="1" t="s">
        <v>875</v>
      </c>
      <c r="C301" s="1" t="s">
        <v>970</v>
      </c>
      <c r="D301" s="1">
        <v>210.0</v>
      </c>
      <c r="E301" s="1">
        <v>70.0</v>
      </c>
      <c r="F301" s="1">
        <v>80.0</v>
      </c>
      <c r="G301" s="1">
        <v>61.0</v>
      </c>
      <c r="H301" s="1">
        <v>52.0</v>
      </c>
      <c r="I301" s="1">
        <v>51.0</v>
      </c>
      <c r="J301" s="1">
        <v>74.0</v>
      </c>
      <c r="K301" s="1">
        <v>81.0</v>
      </c>
      <c r="L301" s="1">
        <v>74.0</v>
      </c>
      <c r="M301" s="1">
        <v>60.0</v>
      </c>
      <c r="N301" s="1">
        <v>85.0</v>
      </c>
      <c r="O301" s="1">
        <v>78.0</v>
      </c>
      <c r="P301" s="1">
        <v>65.0</v>
      </c>
      <c r="Q301" s="1">
        <v>92.0</v>
      </c>
      <c r="R301" s="1">
        <v>90.0</v>
      </c>
      <c r="S301" s="1">
        <v>82.0</v>
      </c>
      <c r="T301" s="1">
        <v>51.0</v>
      </c>
      <c r="U301" s="1">
        <v>76.0</v>
      </c>
      <c r="V301" s="1">
        <v>87.0</v>
      </c>
      <c r="W301" s="1">
        <v>80.0</v>
      </c>
      <c r="X301" s="1">
        <v>73.0</v>
      </c>
      <c r="Y301" s="1">
        <v>80.0</v>
      </c>
      <c r="Z301" s="1">
        <v>1.0</v>
      </c>
    </row>
    <row r="302">
      <c r="A302" s="1" t="s">
        <v>194</v>
      </c>
      <c r="B302" s="1" t="s">
        <v>875</v>
      </c>
      <c r="C302" s="1" t="s">
        <v>970</v>
      </c>
      <c r="D302" s="1">
        <v>193.0</v>
      </c>
      <c r="E302" s="1">
        <v>78.0</v>
      </c>
      <c r="F302" s="1">
        <v>85.0</v>
      </c>
      <c r="G302" s="1">
        <v>86.0</v>
      </c>
      <c r="H302" s="1">
        <v>46.0</v>
      </c>
      <c r="I302" s="1">
        <v>51.0</v>
      </c>
      <c r="J302" s="1">
        <v>93.0</v>
      </c>
      <c r="K302" s="1">
        <v>83.0</v>
      </c>
      <c r="L302" s="1">
        <v>68.0</v>
      </c>
      <c r="M302" s="1">
        <v>71.0</v>
      </c>
      <c r="N302" s="1">
        <v>86.0</v>
      </c>
      <c r="O302" s="1">
        <v>80.0</v>
      </c>
      <c r="P302" s="1">
        <v>60.0</v>
      </c>
      <c r="Q302" s="1">
        <v>85.0</v>
      </c>
      <c r="R302" s="1">
        <v>57.0</v>
      </c>
      <c r="S302" s="1">
        <v>74.0</v>
      </c>
      <c r="T302" s="1">
        <v>71.0</v>
      </c>
      <c r="U302" s="1">
        <v>70.0</v>
      </c>
      <c r="V302" s="1">
        <v>80.0</v>
      </c>
      <c r="W302" s="1">
        <v>81.0</v>
      </c>
      <c r="X302" s="1">
        <v>73.0</v>
      </c>
      <c r="Y302" s="1">
        <v>80.0</v>
      </c>
      <c r="Z302" s="1">
        <v>1.0</v>
      </c>
    </row>
    <row r="303">
      <c r="A303" s="1" t="s">
        <v>1504</v>
      </c>
      <c r="B303" s="1" t="s">
        <v>875</v>
      </c>
      <c r="C303" s="1" t="s">
        <v>970</v>
      </c>
      <c r="D303" s="1">
        <v>231.0</v>
      </c>
      <c r="E303" s="1">
        <v>78.0</v>
      </c>
      <c r="F303" s="1">
        <v>80.0</v>
      </c>
      <c r="G303" s="1">
        <v>77.0</v>
      </c>
      <c r="H303" s="1">
        <v>53.0</v>
      </c>
      <c r="I303" s="1">
        <v>58.0</v>
      </c>
      <c r="J303" s="1">
        <v>87.0</v>
      </c>
      <c r="K303" s="1">
        <v>83.0</v>
      </c>
      <c r="L303" s="1">
        <v>62.0</v>
      </c>
      <c r="M303" s="1">
        <v>61.0</v>
      </c>
      <c r="N303" s="1">
        <v>86.0</v>
      </c>
      <c r="O303" s="1">
        <v>77.0</v>
      </c>
      <c r="P303" s="1">
        <v>67.0</v>
      </c>
      <c r="Q303" s="1">
        <v>58.0</v>
      </c>
      <c r="R303" s="1">
        <v>83.0</v>
      </c>
      <c r="S303" s="1">
        <v>85.0</v>
      </c>
      <c r="T303" s="1">
        <v>84.0</v>
      </c>
      <c r="U303" s="1">
        <v>92.0</v>
      </c>
      <c r="V303" s="1">
        <v>86.0</v>
      </c>
      <c r="W303" s="1">
        <v>81.0</v>
      </c>
      <c r="X303" s="1">
        <v>53.0</v>
      </c>
      <c r="Y303" s="1">
        <v>88.0</v>
      </c>
      <c r="Z303" s="1">
        <v>1.0</v>
      </c>
    </row>
    <row r="304">
      <c r="A304" s="1" t="s">
        <v>1505</v>
      </c>
      <c r="B304" s="1" t="s">
        <v>875</v>
      </c>
      <c r="C304" s="1" t="s">
        <v>192</v>
      </c>
      <c r="D304" s="1">
        <v>220.0</v>
      </c>
      <c r="E304" s="1">
        <v>74.0</v>
      </c>
      <c r="F304" s="1">
        <v>70.0</v>
      </c>
      <c r="G304" s="1">
        <v>87.0</v>
      </c>
      <c r="H304" s="1">
        <v>80.0</v>
      </c>
      <c r="I304" s="1">
        <v>79.0</v>
      </c>
      <c r="J304" s="1">
        <v>75.0</v>
      </c>
      <c r="K304" s="1">
        <v>85.0</v>
      </c>
      <c r="L304" s="1">
        <v>67.0</v>
      </c>
      <c r="M304" s="1">
        <v>70.0</v>
      </c>
      <c r="N304" s="1">
        <v>81.0</v>
      </c>
      <c r="O304" s="1">
        <v>79.0</v>
      </c>
      <c r="P304" s="1">
        <v>80.0</v>
      </c>
      <c r="Q304" s="1">
        <v>75.0</v>
      </c>
      <c r="R304" s="1">
        <v>85.0</v>
      </c>
      <c r="S304" s="1">
        <v>80.0</v>
      </c>
      <c r="T304" s="1">
        <v>75.0</v>
      </c>
      <c r="U304" s="1">
        <v>85.0</v>
      </c>
      <c r="V304" s="1">
        <v>80.0</v>
      </c>
      <c r="W304" s="1">
        <v>79.0</v>
      </c>
      <c r="X304" s="1">
        <v>75.0</v>
      </c>
      <c r="Y304" s="1">
        <v>80.0</v>
      </c>
      <c r="Z304" s="1">
        <v>1.0</v>
      </c>
    </row>
    <row r="305">
      <c r="A305" s="1" t="s">
        <v>510</v>
      </c>
      <c r="B305" s="1" t="s">
        <v>875</v>
      </c>
      <c r="C305" s="1" t="s">
        <v>1493</v>
      </c>
      <c r="D305" s="1">
        <v>165.0</v>
      </c>
      <c r="E305" s="1">
        <v>76.0</v>
      </c>
      <c r="F305" s="1">
        <v>93.0</v>
      </c>
      <c r="G305" s="1">
        <v>73.0</v>
      </c>
      <c r="H305" s="1">
        <v>25.0</v>
      </c>
      <c r="I305" s="1">
        <v>34.0</v>
      </c>
      <c r="J305" s="1">
        <v>91.0</v>
      </c>
      <c r="K305" s="1">
        <v>76.0</v>
      </c>
      <c r="L305" s="1">
        <v>76.0</v>
      </c>
      <c r="M305" s="1">
        <v>71.0</v>
      </c>
      <c r="N305" s="1">
        <v>93.0</v>
      </c>
      <c r="O305" s="1">
        <v>91.0</v>
      </c>
      <c r="P305" s="1">
        <v>55.0</v>
      </c>
      <c r="Q305" s="1">
        <v>85.0</v>
      </c>
      <c r="R305" s="1">
        <v>91.0</v>
      </c>
      <c r="S305" s="1">
        <v>55.0</v>
      </c>
      <c r="T305" s="1">
        <v>25.0</v>
      </c>
      <c r="U305" s="1">
        <v>40.0</v>
      </c>
      <c r="V305" s="1">
        <v>92.0</v>
      </c>
      <c r="W305" s="1">
        <v>88.0</v>
      </c>
      <c r="X305" s="1">
        <v>50.0</v>
      </c>
      <c r="Y305" s="1">
        <v>65.0</v>
      </c>
      <c r="Z305" s="1">
        <v>1.0</v>
      </c>
    </row>
    <row r="306">
      <c r="A306" s="1" t="s">
        <v>1506</v>
      </c>
      <c r="B306" s="1" t="s">
        <v>875</v>
      </c>
      <c r="C306" s="1" t="s">
        <v>216</v>
      </c>
      <c r="D306" s="1">
        <v>206.0</v>
      </c>
      <c r="E306" s="1">
        <v>84.0</v>
      </c>
      <c r="F306" s="1">
        <v>78.0</v>
      </c>
      <c r="G306" s="1">
        <v>78.0</v>
      </c>
      <c r="H306" s="1">
        <v>68.0</v>
      </c>
      <c r="I306" s="1">
        <v>89.0</v>
      </c>
      <c r="J306" s="1">
        <v>81.0</v>
      </c>
      <c r="K306" s="1">
        <v>81.0</v>
      </c>
      <c r="L306" s="1">
        <v>83.0</v>
      </c>
      <c r="M306" s="1">
        <v>85.0</v>
      </c>
      <c r="N306" s="1">
        <v>84.0</v>
      </c>
      <c r="O306" s="1">
        <v>87.0</v>
      </c>
      <c r="P306" s="1">
        <v>74.0</v>
      </c>
      <c r="Q306" s="1">
        <v>80.0</v>
      </c>
      <c r="R306" s="1">
        <v>69.0</v>
      </c>
      <c r="S306" s="1">
        <v>67.0</v>
      </c>
      <c r="T306" s="1">
        <v>69.0</v>
      </c>
      <c r="U306" s="1">
        <v>74.0</v>
      </c>
      <c r="V306" s="1">
        <v>87.0</v>
      </c>
      <c r="W306" s="1">
        <v>72.0</v>
      </c>
      <c r="X306" s="1">
        <v>80.0</v>
      </c>
      <c r="Y306" s="1">
        <v>84.0</v>
      </c>
      <c r="Z306" s="1">
        <v>1.0</v>
      </c>
    </row>
    <row r="307">
      <c r="A307" s="1" t="s">
        <v>1507</v>
      </c>
      <c r="B307" s="1" t="s">
        <v>875</v>
      </c>
      <c r="C307" s="1" t="s">
        <v>145</v>
      </c>
      <c r="D307" s="1">
        <v>224.0</v>
      </c>
      <c r="E307" s="1">
        <v>59.0</v>
      </c>
      <c r="F307" s="1">
        <v>57.0</v>
      </c>
      <c r="G307" s="1">
        <v>70.0</v>
      </c>
      <c r="H307" s="1">
        <v>34.0</v>
      </c>
      <c r="I307" s="1">
        <v>45.0</v>
      </c>
      <c r="J307" s="1">
        <v>73.0</v>
      </c>
      <c r="K307" s="1">
        <v>82.0</v>
      </c>
      <c r="L307" s="1">
        <v>58.0</v>
      </c>
      <c r="M307" s="1">
        <v>57.0</v>
      </c>
      <c r="N307" s="1">
        <v>72.0</v>
      </c>
      <c r="O307" s="1">
        <v>77.0</v>
      </c>
      <c r="P307" s="1">
        <v>75.0</v>
      </c>
      <c r="Q307" s="1">
        <v>94.0</v>
      </c>
      <c r="R307" s="1">
        <v>94.0</v>
      </c>
      <c r="S307" s="1">
        <v>78.0</v>
      </c>
      <c r="T307" s="1">
        <v>40.0</v>
      </c>
      <c r="U307" s="1">
        <v>63.0</v>
      </c>
      <c r="V307" s="1">
        <v>92.0</v>
      </c>
      <c r="W307" s="1">
        <v>88.0</v>
      </c>
      <c r="X307" s="1">
        <v>84.0</v>
      </c>
      <c r="Y307" s="1">
        <v>83.0</v>
      </c>
      <c r="Z307" s="1">
        <v>1.0</v>
      </c>
    </row>
    <row r="308">
      <c r="A308" s="1" t="s">
        <v>1508</v>
      </c>
      <c r="B308" s="1" t="s">
        <v>875</v>
      </c>
      <c r="C308" s="1" t="s">
        <v>145</v>
      </c>
      <c r="D308" s="1">
        <v>220.0</v>
      </c>
      <c r="E308" s="1">
        <v>80.0</v>
      </c>
      <c r="F308" s="1">
        <v>85.0</v>
      </c>
      <c r="G308" s="1">
        <v>95.0</v>
      </c>
      <c r="H308" s="1">
        <v>49.0</v>
      </c>
      <c r="I308" s="1">
        <v>48.0</v>
      </c>
      <c r="J308" s="1">
        <v>79.0</v>
      </c>
      <c r="K308" s="1">
        <v>80.0</v>
      </c>
      <c r="L308" s="1">
        <v>55.0</v>
      </c>
      <c r="M308" s="1">
        <v>68.0</v>
      </c>
      <c r="N308" s="1">
        <v>93.0</v>
      </c>
      <c r="O308" s="1">
        <v>76.0</v>
      </c>
      <c r="P308" s="1">
        <v>86.0</v>
      </c>
      <c r="Q308" s="1">
        <v>77.0</v>
      </c>
      <c r="R308" s="1">
        <v>50.0</v>
      </c>
      <c r="S308" s="1">
        <v>56.0</v>
      </c>
      <c r="T308" s="1">
        <v>61.0</v>
      </c>
      <c r="U308" s="1">
        <v>70.0</v>
      </c>
      <c r="V308" s="1">
        <v>87.0</v>
      </c>
      <c r="W308" s="1">
        <v>74.0</v>
      </c>
      <c r="X308" s="1">
        <v>66.0</v>
      </c>
      <c r="Y308" s="1">
        <v>75.0</v>
      </c>
      <c r="Z308" s="1">
        <v>1.0</v>
      </c>
    </row>
    <row r="309">
      <c r="A309" s="1" t="s">
        <v>1509</v>
      </c>
      <c r="B309" s="1" t="s">
        <v>875</v>
      </c>
      <c r="C309" s="1" t="s">
        <v>192</v>
      </c>
      <c r="D309" s="1">
        <v>214.0</v>
      </c>
      <c r="E309" s="1">
        <v>75.0</v>
      </c>
      <c r="F309" s="1">
        <v>63.0</v>
      </c>
      <c r="G309" s="1">
        <v>73.0</v>
      </c>
      <c r="H309" s="1">
        <v>40.0</v>
      </c>
      <c r="I309" s="1">
        <v>80.0</v>
      </c>
      <c r="J309" s="1">
        <v>89.0</v>
      </c>
      <c r="K309" s="1">
        <v>70.0</v>
      </c>
      <c r="L309" s="1">
        <v>80.0</v>
      </c>
      <c r="M309" s="1">
        <v>56.0</v>
      </c>
      <c r="N309" s="1">
        <v>77.0</v>
      </c>
      <c r="O309" s="1">
        <v>75.0</v>
      </c>
      <c r="P309" s="1">
        <v>60.0</v>
      </c>
      <c r="Q309" s="1">
        <v>94.0</v>
      </c>
      <c r="R309" s="1">
        <v>79.0</v>
      </c>
      <c r="S309" s="1">
        <v>75.0</v>
      </c>
      <c r="T309" s="1">
        <v>63.0</v>
      </c>
      <c r="U309" s="1">
        <v>80.0</v>
      </c>
      <c r="V309" s="1">
        <v>90.0</v>
      </c>
      <c r="W309" s="1">
        <v>86.0</v>
      </c>
      <c r="X309" s="1">
        <v>85.0</v>
      </c>
      <c r="Y309" s="1">
        <v>71.0</v>
      </c>
      <c r="Z309" s="1">
        <v>1.0</v>
      </c>
    </row>
    <row r="310">
      <c r="A310" s="1" t="s">
        <v>736</v>
      </c>
      <c r="B310" s="1" t="s">
        <v>875</v>
      </c>
      <c r="C310" s="1" t="s">
        <v>970</v>
      </c>
      <c r="D310" s="1" t="s">
        <v>1510</v>
      </c>
      <c r="E310" s="1" t="s">
        <v>1116</v>
      </c>
      <c r="F310" s="1" t="s">
        <v>1116</v>
      </c>
      <c r="G310" s="1" t="s">
        <v>571</v>
      </c>
      <c r="H310" s="1" t="s">
        <v>1511</v>
      </c>
      <c r="I310" s="1" t="s">
        <v>1444</v>
      </c>
      <c r="J310" s="1" t="s">
        <v>179</v>
      </c>
      <c r="K310" s="1" t="s">
        <v>476</v>
      </c>
      <c r="L310" s="1" t="s">
        <v>731</v>
      </c>
      <c r="M310" s="1" t="s">
        <v>1154</v>
      </c>
      <c r="N310" s="1">
        <v>86.0</v>
      </c>
      <c r="O310" s="1" t="s">
        <v>525</v>
      </c>
      <c r="P310" s="1" t="s">
        <v>1512</v>
      </c>
      <c r="Q310" s="1" t="s">
        <v>582</v>
      </c>
      <c r="R310" s="1" t="s">
        <v>1112</v>
      </c>
      <c r="S310" s="1">
        <v>74.0</v>
      </c>
      <c r="T310" s="1" t="s">
        <v>1478</v>
      </c>
      <c r="U310" s="1" t="s">
        <v>1098</v>
      </c>
      <c r="V310" s="1" t="s">
        <v>180</v>
      </c>
      <c r="W310" s="1" t="s">
        <v>1080</v>
      </c>
      <c r="X310" s="1" t="s">
        <v>1513</v>
      </c>
      <c r="Y310" s="1" t="s">
        <v>525</v>
      </c>
      <c r="Z310" s="1">
        <v>1.0</v>
      </c>
    </row>
    <row r="311">
      <c r="A311" s="1" t="s">
        <v>1514</v>
      </c>
      <c r="B311" s="1" t="s">
        <v>875</v>
      </c>
      <c r="C311" s="1" t="s">
        <v>145</v>
      </c>
      <c r="D311" s="1">
        <v>190.0</v>
      </c>
      <c r="E311" s="1">
        <v>75.0</v>
      </c>
      <c r="F311" s="1">
        <v>88.0</v>
      </c>
      <c r="G311" s="1">
        <v>87.0</v>
      </c>
      <c r="H311" s="1">
        <v>41.0</v>
      </c>
      <c r="I311" s="1">
        <v>41.0</v>
      </c>
      <c r="J311" s="1">
        <v>85.0</v>
      </c>
      <c r="K311" s="1">
        <v>80.0</v>
      </c>
      <c r="L311" s="1">
        <v>70.0</v>
      </c>
      <c r="M311" s="1">
        <v>86.0</v>
      </c>
      <c r="N311" s="1">
        <v>86.0</v>
      </c>
      <c r="O311" s="1">
        <v>84.0</v>
      </c>
      <c r="P311" s="1">
        <v>35.0</v>
      </c>
      <c r="Q311" s="1">
        <v>80.0</v>
      </c>
      <c r="R311" s="1">
        <v>70.0</v>
      </c>
      <c r="S311" s="1">
        <v>46.0</v>
      </c>
      <c r="T311" s="1">
        <v>43.0</v>
      </c>
      <c r="U311" s="1">
        <v>55.0</v>
      </c>
      <c r="V311" s="1">
        <v>86.0</v>
      </c>
      <c r="W311" s="1">
        <v>85.0</v>
      </c>
      <c r="X311" s="1">
        <v>55.0</v>
      </c>
      <c r="Y311" s="1">
        <v>80.0</v>
      </c>
      <c r="Z311" s="1">
        <v>1.0</v>
      </c>
    </row>
    <row r="312">
      <c r="A312" s="1" t="s">
        <v>1515</v>
      </c>
      <c r="B312" s="1" t="s">
        <v>875</v>
      </c>
      <c r="C312" s="1" t="s">
        <v>970</v>
      </c>
      <c r="D312" s="1">
        <v>185.0</v>
      </c>
      <c r="E312" s="1">
        <v>75.0</v>
      </c>
      <c r="F312" s="1">
        <v>75.0</v>
      </c>
      <c r="G312" s="1">
        <v>75.0</v>
      </c>
      <c r="H312" s="1">
        <v>72.0</v>
      </c>
      <c r="I312" s="1">
        <v>70.0</v>
      </c>
      <c r="J312" s="1">
        <v>81.0</v>
      </c>
      <c r="K312" s="1">
        <v>81.0</v>
      </c>
      <c r="L312" s="1">
        <v>71.0</v>
      </c>
      <c r="M312" s="1">
        <v>85.0</v>
      </c>
      <c r="N312" s="1">
        <v>81.0</v>
      </c>
      <c r="O312" s="1">
        <v>80.0</v>
      </c>
      <c r="P312" s="1">
        <v>76.0</v>
      </c>
      <c r="Q312" s="1">
        <v>81.0</v>
      </c>
      <c r="R312" s="1">
        <v>73.0</v>
      </c>
      <c r="S312" s="1">
        <v>75.0</v>
      </c>
      <c r="T312" s="1">
        <v>68.0</v>
      </c>
      <c r="U312" s="1">
        <v>70.0</v>
      </c>
      <c r="V312" s="1">
        <v>86.0</v>
      </c>
      <c r="W312" s="1">
        <v>81.0</v>
      </c>
      <c r="X312" s="1">
        <v>78.0</v>
      </c>
      <c r="Y312" s="1">
        <v>76.0</v>
      </c>
      <c r="Z312" s="1">
        <v>1.0</v>
      </c>
    </row>
    <row r="313">
      <c r="A313" s="1" t="s">
        <v>1516</v>
      </c>
      <c r="B313" s="1" t="s">
        <v>875</v>
      </c>
      <c r="C313" s="1" t="s">
        <v>970</v>
      </c>
      <c r="D313" s="1">
        <v>222.0</v>
      </c>
      <c r="E313" s="1">
        <v>71.0</v>
      </c>
      <c r="F313" s="1">
        <v>80.0</v>
      </c>
      <c r="G313" s="1">
        <v>80.0</v>
      </c>
      <c r="H313" s="1">
        <v>44.0</v>
      </c>
      <c r="I313" s="1">
        <v>60.0</v>
      </c>
      <c r="J313" s="1">
        <v>86.0</v>
      </c>
      <c r="K313" s="1">
        <v>80.0</v>
      </c>
      <c r="L313" s="1">
        <v>79.0</v>
      </c>
      <c r="M313" s="1">
        <v>75.0</v>
      </c>
      <c r="N313" s="1">
        <v>80.0</v>
      </c>
      <c r="O313" s="1">
        <v>77.0</v>
      </c>
      <c r="P313" s="1">
        <v>70.0</v>
      </c>
      <c r="Q313" s="1">
        <v>80.0</v>
      </c>
      <c r="R313" s="1">
        <v>80.0</v>
      </c>
      <c r="S313" s="1">
        <v>80.0</v>
      </c>
      <c r="T313" s="1">
        <v>53.0</v>
      </c>
      <c r="U313" s="1">
        <v>55.0</v>
      </c>
      <c r="V313" s="1">
        <v>84.0</v>
      </c>
      <c r="W313" s="1">
        <v>82.0</v>
      </c>
      <c r="X313" s="1">
        <v>89.0</v>
      </c>
      <c r="Y313" s="1">
        <v>76.0</v>
      </c>
      <c r="Z313" s="1">
        <v>1.0</v>
      </c>
    </row>
    <row r="314">
      <c r="A314" s="1" t="s">
        <v>1517</v>
      </c>
      <c r="B314" s="1" t="s">
        <v>875</v>
      </c>
      <c r="C314" s="1" t="s">
        <v>970</v>
      </c>
      <c r="D314" s="1">
        <v>210.0</v>
      </c>
      <c r="E314" s="1">
        <v>76.0</v>
      </c>
      <c r="F314" s="1">
        <v>80.0</v>
      </c>
      <c r="G314" s="1">
        <v>90.0</v>
      </c>
      <c r="H314" s="1">
        <v>54.0</v>
      </c>
      <c r="I314" s="1">
        <v>56.0</v>
      </c>
      <c r="J314" s="1">
        <v>85.0</v>
      </c>
      <c r="K314" s="1">
        <v>89.0</v>
      </c>
      <c r="L314" s="1">
        <v>73.0</v>
      </c>
      <c r="M314" s="1">
        <v>70.0</v>
      </c>
      <c r="N314" s="1">
        <v>86.0</v>
      </c>
      <c r="O314" s="1">
        <v>78.0</v>
      </c>
      <c r="P314" s="1">
        <v>81.0</v>
      </c>
      <c r="Q314" s="1">
        <v>80.0</v>
      </c>
      <c r="R314" s="1">
        <v>60.0</v>
      </c>
      <c r="S314" s="1">
        <v>75.0</v>
      </c>
      <c r="T314" s="1">
        <v>74.0</v>
      </c>
      <c r="U314" s="1">
        <v>62.0</v>
      </c>
      <c r="V314" s="1">
        <v>87.0</v>
      </c>
      <c r="W314" s="1">
        <v>80.0</v>
      </c>
      <c r="X314" s="1">
        <v>65.0</v>
      </c>
      <c r="Y314" s="1">
        <v>73.0</v>
      </c>
      <c r="Z314" s="1">
        <v>1.0</v>
      </c>
    </row>
    <row r="315">
      <c r="A315" s="1" t="s">
        <v>1518</v>
      </c>
      <c r="B315" s="1" t="s">
        <v>875</v>
      </c>
      <c r="C315" s="1" t="s">
        <v>970</v>
      </c>
      <c r="D315" s="1">
        <v>200.0</v>
      </c>
      <c r="E315" s="1">
        <v>84.0</v>
      </c>
      <c r="F315" s="1">
        <v>92.0</v>
      </c>
      <c r="G315" s="1">
        <v>90.0</v>
      </c>
      <c r="H315" s="1">
        <v>50.0</v>
      </c>
      <c r="I315" s="1">
        <v>40.0</v>
      </c>
      <c r="J315" s="1">
        <v>77.0</v>
      </c>
      <c r="K315" s="1">
        <v>85.0</v>
      </c>
      <c r="L315" s="1">
        <v>62.0</v>
      </c>
      <c r="M315" s="1">
        <v>85.0</v>
      </c>
      <c r="N315" s="1">
        <v>74.0</v>
      </c>
      <c r="O315" s="1">
        <v>79.0</v>
      </c>
      <c r="P315" s="1">
        <v>80.0</v>
      </c>
      <c r="Q315" s="1">
        <v>80.0</v>
      </c>
      <c r="R315" s="1">
        <v>50.0</v>
      </c>
      <c r="S315" s="1">
        <v>51.0</v>
      </c>
      <c r="T315" s="1">
        <v>65.0</v>
      </c>
      <c r="U315" s="1">
        <v>80.0</v>
      </c>
      <c r="V315" s="1">
        <v>88.0</v>
      </c>
      <c r="W315" s="1">
        <v>73.0</v>
      </c>
      <c r="X315" s="1">
        <v>72.0</v>
      </c>
      <c r="Y315" s="1">
        <v>83.0</v>
      </c>
      <c r="Z315" s="1">
        <v>1.0</v>
      </c>
    </row>
    <row r="316">
      <c r="A316" s="1" t="s">
        <v>1519</v>
      </c>
      <c r="B316" s="1" t="s">
        <v>875</v>
      </c>
      <c r="C316" s="1" t="s">
        <v>970</v>
      </c>
      <c r="D316" s="1">
        <v>225.0</v>
      </c>
      <c r="E316" s="1">
        <v>79.0</v>
      </c>
      <c r="F316" s="1">
        <v>85.0</v>
      </c>
      <c r="G316" s="1">
        <v>82.0</v>
      </c>
      <c r="H316" s="1">
        <v>52.0</v>
      </c>
      <c r="I316" s="1">
        <v>54.0</v>
      </c>
      <c r="J316" s="1">
        <v>88.0</v>
      </c>
      <c r="K316" s="1">
        <v>83.0</v>
      </c>
      <c r="L316" s="1">
        <v>80.0</v>
      </c>
      <c r="M316" s="1">
        <v>89.0</v>
      </c>
      <c r="N316" s="1">
        <v>86.0</v>
      </c>
      <c r="O316" s="1">
        <v>77.0</v>
      </c>
      <c r="P316" s="1">
        <v>79.0</v>
      </c>
      <c r="Q316" s="1">
        <v>81.0</v>
      </c>
      <c r="R316" s="1">
        <v>75.0</v>
      </c>
      <c r="S316" s="1">
        <v>67.0</v>
      </c>
      <c r="T316" s="1">
        <v>62.0</v>
      </c>
      <c r="U316" s="1">
        <v>68.0</v>
      </c>
      <c r="V316" s="1">
        <v>77.0</v>
      </c>
      <c r="W316" s="1">
        <v>68.0</v>
      </c>
      <c r="X316" s="1">
        <v>75.0</v>
      </c>
      <c r="Y316" s="1">
        <v>70.0</v>
      </c>
      <c r="Z316" s="1">
        <v>1.0</v>
      </c>
    </row>
    <row r="317">
      <c r="A317" s="1" t="s">
        <v>1520</v>
      </c>
      <c r="B317" s="1" t="s">
        <v>875</v>
      </c>
      <c r="C317" s="1" t="s">
        <v>970</v>
      </c>
      <c r="D317" s="1">
        <v>210.0</v>
      </c>
      <c r="E317" s="1">
        <v>85.0</v>
      </c>
      <c r="F317" s="1">
        <v>81.0</v>
      </c>
      <c r="G317" s="1">
        <v>81.0</v>
      </c>
      <c r="H317" s="1">
        <v>81.0</v>
      </c>
      <c r="I317" s="1">
        <v>72.0</v>
      </c>
      <c r="J317" s="1">
        <v>89.0</v>
      </c>
      <c r="K317" s="1">
        <v>88.0</v>
      </c>
      <c r="L317" s="1">
        <v>89.0</v>
      </c>
      <c r="M317" s="1">
        <v>76.0</v>
      </c>
      <c r="N317" s="1">
        <v>72.0</v>
      </c>
      <c r="O317" s="1">
        <v>70.0</v>
      </c>
      <c r="P317" s="1">
        <v>64.0</v>
      </c>
      <c r="Q317" s="1">
        <v>76.0</v>
      </c>
      <c r="R317" s="1">
        <v>71.0</v>
      </c>
      <c r="S317" s="1">
        <v>71.0</v>
      </c>
      <c r="T317" s="1">
        <v>40.0</v>
      </c>
      <c r="U317" s="1">
        <v>46.0</v>
      </c>
      <c r="V317" s="1">
        <v>82.0</v>
      </c>
      <c r="W317" s="1">
        <v>76.0</v>
      </c>
      <c r="X317" s="1">
        <v>82.0</v>
      </c>
      <c r="Y317" s="1">
        <v>80.0</v>
      </c>
      <c r="Z317" s="1">
        <v>1.0</v>
      </c>
    </row>
    <row r="318">
      <c r="A318" s="1" t="s">
        <v>1521</v>
      </c>
      <c r="B318" s="1" t="s">
        <v>875</v>
      </c>
      <c r="C318" s="1" t="s">
        <v>216</v>
      </c>
      <c r="D318" s="1">
        <v>220.0</v>
      </c>
      <c r="E318" s="1">
        <v>70.0</v>
      </c>
      <c r="F318" s="1">
        <v>80.0</v>
      </c>
      <c r="G318" s="1">
        <v>82.0</v>
      </c>
      <c r="H318" s="1">
        <v>40.0</v>
      </c>
      <c r="I318" s="1">
        <v>39.0</v>
      </c>
      <c r="J318" s="1">
        <v>76.0</v>
      </c>
      <c r="K318" s="1">
        <v>82.0</v>
      </c>
      <c r="L318" s="1">
        <v>92.0</v>
      </c>
      <c r="M318" s="1">
        <v>90.0</v>
      </c>
      <c r="N318" s="1">
        <v>88.0</v>
      </c>
      <c r="O318" s="1">
        <v>80.0</v>
      </c>
      <c r="P318" s="1">
        <v>59.0</v>
      </c>
      <c r="Q318" s="1">
        <v>88.0</v>
      </c>
      <c r="R318" s="1">
        <v>73.0</v>
      </c>
      <c r="S318" s="1">
        <v>71.0</v>
      </c>
      <c r="T318" s="1">
        <v>38.0</v>
      </c>
      <c r="U318" s="1">
        <v>50.0</v>
      </c>
      <c r="V318" s="1">
        <v>80.0</v>
      </c>
      <c r="W318" s="1">
        <v>88.0</v>
      </c>
      <c r="X318" s="1">
        <v>84.0</v>
      </c>
      <c r="Y318" s="1">
        <v>86.0</v>
      </c>
      <c r="Z318" s="1">
        <v>1.0</v>
      </c>
    </row>
    <row r="319">
      <c r="A319" s="1" t="s">
        <v>49</v>
      </c>
      <c r="B319" s="1" t="s">
        <v>1522</v>
      </c>
      <c r="C319" s="1" t="s">
        <v>896</v>
      </c>
      <c r="D319" s="1" t="s">
        <v>1422</v>
      </c>
      <c r="E319" s="1" t="s">
        <v>465</v>
      </c>
      <c r="F319" s="1" t="s">
        <v>1523</v>
      </c>
      <c r="G319" s="1" t="s">
        <v>445</v>
      </c>
      <c r="H319" s="1" t="s">
        <v>1464</v>
      </c>
      <c r="I319" s="1" t="s">
        <v>1212</v>
      </c>
      <c r="J319" s="1" t="s">
        <v>322</v>
      </c>
      <c r="K319" s="1" t="s">
        <v>780</v>
      </c>
      <c r="L319" s="1" t="s">
        <v>1524</v>
      </c>
      <c r="M319" s="1" t="s">
        <v>1525</v>
      </c>
      <c r="N319" s="1" t="s">
        <v>333</v>
      </c>
      <c r="O319" s="1" t="s">
        <v>836</v>
      </c>
      <c r="P319" s="1" t="s">
        <v>1526</v>
      </c>
      <c r="Q319" s="1" t="s">
        <v>35</v>
      </c>
      <c r="R319" s="1" t="s">
        <v>1527</v>
      </c>
      <c r="S319" s="1" t="s">
        <v>1528</v>
      </c>
      <c r="T319" s="1" t="s">
        <v>1529</v>
      </c>
      <c r="U319" s="1" t="s">
        <v>921</v>
      </c>
      <c r="V319" s="1" t="s">
        <v>451</v>
      </c>
      <c r="W319" s="1" t="s">
        <v>110</v>
      </c>
      <c r="X319" s="1" t="s">
        <v>163</v>
      </c>
      <c r="Y319" s="1" t="s">
        <v>479</v>
      </c>
      <c r="Z319" s="1">
        <v>1.0</v>
      </c>
    </row>
    <row r="320">
      <c r="A320" s="1" t="s">
        <v>1360</v>
      </c>
      <c r="B320" s="1" t="s">
        <v>1522</v>
      </c>
      <c r="C320" s="1" t="s">
        <v>1530</v>
      </c>
      <c r="D320" s="1" t="s">
        <v>1531</v>
      </c>
      <c r="E320" s="1" t="s">
        <v>30</v>
      </c>
      <c r="F320" s="1" t="s">
        <v>113</v>
      </c>
      <c r="G320" s="1" t="s">
        <v>413</v>
      </c>
      <c r="H320" s="1" t="s">
        <v>1099</v>
      </c>
      <c r="I320" s="1" t="s">
        <v>1109</v>
      </c>
      <c r="J320" s="1" t="s">
        <v>1258</v>
      </c>
      <c r="K320" s="1" t="s">
        <v>227</v>
      </c>
      <c r="L320" s="1" t="s">
        <v>1245</v>
      </c>
      <c r="M320" s="1" t="s">
        <v>332</v>
      </c>
      <c r="N320" s="1" t="s">
        <v>424</v>
      </c>
      <c r="O320" s="1" t="s">
        <v>872</v>
      </c>
      <c r="P320" s="1" t="s">
        <v>224</v>
      </c>
      <c r="Q320" s="1" t="s">
        <v>1038</v>
      </c>
      <c r="R320" s="1" t="s">
        <v>1532</v>
      </c>
      <c r="S320" s="1" t="s">
        <v>520</v>
      </c>
      <c r="T320" s="1" t="s">
        <v>946</v>
      </c>
      <c r="U320" s="1" t="s">
        <v>150</v>
      </c>
      <c r="V320" s="1" t="s">
        <v>975</v>
      </c>
      <c r="W320" s="1" t="s">
        <v>158</v>
      </c>
      <c r="X320" s="1" t="s">
        <v>927</v>
      </c>
      <c r="Y320" s="1" t="s">
        <v>225</v>
      </c>
      <c r="Z320" s="1">
        <v>1.0</v>
      </c>
    </row>
    <row r="321">
      <c r="A321" s="1" t="s">
        <v>1533</v>
      </c>
      <c r="B321" s="1" t="s">
        <v>1522</v>
      </c>
      <c r="C321" s="1" t="s">
        <v>1534</v>
      </c>
      <c r="D321" s="1">
        <v>230.0</v>
      </c>
      <c r="E321" s="1">
        <v>80.0</v>
      </c>
      <c r="F321" s="1">
        <v>85.0</v>
      </c>
      <c r="G321" s="1">
        <v>90.0</v>
      </c>
      <c r="H321" s="1">
        <v>60.0</v>
      </c>
      <c r="I321" s="1">
        <v>61.0</v>
      </c>
      <c r="J321" s="1">
        <v>82.0</v>
      </c>
      <c r="K321" s="1">
        <v>84.0</v>
      </c>
      <c r="L321" s="1">
        <v>61.0</v>
      </c>
      <c r="M321" s="1">
        <v>55.0</v>
      </c>
      <c r="N321" s="1">
        <v>80.0</v>
      </c>
      <c r="O321" s="1">
        <v>71.0</v>
      </c>
      <c r="P321" s="1">
        <v>80.0</v>
      </c>
      <c r="Q321" s="1">
        <v>70.0</v>
      </c>
      <c r="R321" s="1">
        <v>45.0</v>
      </c>
      <c r="S321" s="1">
        <v>83.0</v>
      </c>
      <c r="T321" s="1">
        <v>65.0</v>
      </c>
      <c r="U321" s="1">
        <v>90.0</v>
      </c>
      <c r="V321" s="1">
        <v>82.0</v>
      </c>
      <c r="W321" s="1">
        <v>78.0</v>
      </c>
      <c r="X321" s="1">
        <v>80.0</v>
      </c>
      <c r="Y321" s="1">
        <v>87.0</v>
      </c>
      <c r="Z321" s="1">
        <v>1.0</v>
      </c>
    </row>
    <row r="322">
      <c r="A322" s="1" t="s">
        <v>1535</v>
      </c>
      <c r="B322" s="1" t="s">
        <v>1522</v>
      </c>
      <c r="C322" s="1" t="s">
        <v>1534</v>
      </c>
      <c r="D322" s="1" t="s">
        <v>1536</v>
      </c>
      <c r="E322" s="1" t="s">
        <v>927</v>
      </c>
      <c r="F322" s="1" t="s">
        <v>731</v>
      </c>
      <c r="G322" s="1" t="s">
        <v>1537</v>
      </c>
      <c r="H322" s="1" t="s">
        <v>1169</v>
      </c>
      <c r="I322" s="1" t="s">
        <v>47</v>
      </c>
      <c r="J322" s="1" t="s">
        <v>164</v>
      </c>
      <c r="K322" s="1" t="s">
        <v>571</v>
      </c>
      <c r="L322" s="1" t="s">
        <v>1538</v>
      </c>
      <c r="M322" s="1" t="s">
        <v>1539</v>
      </c>
      <c r="N322" s="1">
        <v>80.0</v>
      </c>
      <c r="O322" s="1">
        <v>75.0</v>
      </c>
      <c r="P322" s="1" t="s">
        <v>1156</v>
      </c>
      <c r="Q322" s="1" t="s">
        <v>427</v>
      </c>
      <c r="R322" s="1" t="s">
        <v>1145</v>
      </c>
      <c r="S322" s="1" t="s">
        <v>944</v>
      </c>
      <c r="T322" s="1" t="s">
        <v>1540</v>
      </c>
      <c r="U322" s="1" t="s">
        <v>437</v>
      </c>
      <c r="V322" s="1" t="s">
        <v>300</v>
      </c>
      <c r="W322" s="1" t="s">
        <v>1477</v>
      </c>
      <c r="X322" s="1" t="s">
        <v>355</v>
      </c>
      <c r="Y322" s="1" t="s">
        <v>1436</v>
      </c>
      <c r="Z322" s="1">
        <v>1.0</v>
      </c>
    </row>
    <row r="323">
      <c r="A323" s="1" t="s">
        <v>1484</v>
      </c>
      <c r="B323" s="1" t="s">
        <v>1522</v>
      </c>
      <c r="C323" s="1" t="s">
        <v>1541</v>
      </c>
      <c r="D323" s="1" t="s">
        <v>1542</v>
      </c>
      <c r="E323" s="1" t="s">
        <v>1416</v>
      </c>
      <c r="F323" s="1" t="s">
        <v>1543</v>
      </c>
      <c r="G323" s="1" t="s">
        <v>117</v>
      </c>
      <c r="H323" s="1" t="s">
        <v>992</v>
      </c>
      <c r="I323" s="1" t="s">
        <v>305</v>
      </c>
      <c r="J323" s="1" t="s">
        <v>36</v>
      </c>
      <c r="K323" s="1" t="s">
        <v>850</v>
      </c>
      <c r="L323" s="1" t="s">
        <v>1544</v>
      </c>
      <c r="M323" s="1" t="s">
        <v>1545</v>
      </c>
      <c r="N323" s="1" t="s">
        <v>1054</v>
      </c>
      <c r="O323" s="1" t="s">
        <v>872</v>
      </c>
      <c r="P323" s="1" t="s">
        <v>792</v>
      </c>
      <c r="Q323" s="1" t="s">
        <v>1285</v>
      </c>
      <c r="R323" s="1" t="s">
        <v>1546</v>
      </c>
      <c r="S323" s="1" t="s">
        <v>42</v>
      </c>
      <c r="T323" s="1" t="s">
        <v>73</v>
      </c>
      <c r="U323" s="1" t="s">
        <v>38</v>
      </c>
      <c r="V323" s="1" t="s">
        <v>158</v>
      </c>
      <c r="W323" s="1" t="s">
        <v>1403</v>
      </c>
      <c r="X323" s="1" t="s">
        <v>462</v>
      </c>
      <c r="Y323" s="1" t="s">
        <v>1523</v>
      </c>
      <c r="Z323" s="1">
        <v>1.0</v>
      </c>
    </row>
    <row r="324">
      <c r="A324" s="1" t="s">
        <v>106</v>
      </c>
      <c r="B324" s="1" t="s">
        <v>1522</v>
      </c>
      <c r="C324" s="1" t="s">
        <v>886</v>
      </c>
      <c r="D324" s="1" t="s">
        <v>1547</v>
      </c>
      <c r="E324" s="1" t="s">
        <v>1548</v>
      </c>
      <c r="F324" s="1" t="s">
        <v>110</v>
      </c>
      <c r="G324" s="1" t="s">
        <v>96</v>
      </c>
      <c r="H324" s="1" t="s">
        <v>1540</v>
      </c>
      <c r="I324" s="1" t="s">
        <v>334</v>
      </c>
      <c r="J324" s="1" t="s">
        <v>158</v>
      </c>
      <c r="K324" s="1" t="s">
        <v>164</v>
      </c>
      <c r="L324" s="1" t="s">
        <v>1549</v>
      </c>
      <c r="M324" s="1" t="s">
        <v>98</v>
      </c>
      <c r="N324" s="1" t="s">
        <v>1550</v>
      </c>
      <c r="O324" s="1" t="s">
        <v>398</v>
      </c>
      <c r="P324" s="1" t="s">
        <v>1551</v>
      </c>
      <c r="Q324" s="1" t="s">
        <v>1552</v>
      </c>
      <c r="R324" s="1" t="s">
        <v>1553</v>
      </c>
      <c r="S324" s="1" t="s">
        <v>1554</v>
      </c>
      <c r="T324" s="1" t="s">
        <v>303</v>
      </c>
      <c r="U324" s="1" t="s">
        <v>685</v>
      </c>
      <c r="V324" s="1" t="s">
        <v>243</v>
      </c>
      <c r="W324" s="1" t="s">
        <v>304</v>
      </c>
      <c r="X324" s="1" t="s">
        <v>1171</v>
      </c>
      <c r="Y324" s="1" t="s">
        <v>507</v>
      </c>
      <c r="Z324" s="1">
        <v>1.0</v>
      </c>
    </row>
    <row r="325">
      <c r="A325" s="1" t="s">
        <v>378</v>
      </c>
      <c r="B325" s="1" t="s">
        <v>1522</v>
      </c>
      <c r="C325" s="1" t="s">
        <v>1555</v>
      </c>
      <c r="D325" s="1" t="s">
        <v>926</v>
      </c>
      <c r="E325" s="1" t="s">
        <v>53</v>
      </c>
      <c r="F325" s="1" t="s">
        <v>1556</v>
      </c>
      <c r="G325" s="1" t="s">
        <v>328</v>
      </c>
      <c r="H325" s="1" t="s">
        <v>1557</v>
      </c>
      <c r="I325" s="1" t="s">
        <v>1558</v>
      </c>
      <c r="J325" s="1" t="s">
        <v>909</v>
      </c>
      <c r="K325" s="1" t="s">
        <v>646</v>
      </c>
      <c r="L325" s="1" t="s">
        <v>1559</v>
      </c>
      <c r="M325" s="1" t="s">
        <v>509</v>
      </c>
      <c r="N325" s="1" t="s">
        <v>1403</v>
      </c>
      <c r="O325" s="1" t="s">
        <v>731</v>
      </c>
      <c r="P325" s="1" t="s">
        <v>1560</v>
      </c>
      <c r="Q325" s="1" t="s">
        <v>1561</v>
      </c>
      <c r="R325" s="1" t="s">
        <v>1562</v>
      </c>
      <c r="S325" s="1" t="s">
        <v>62</v>
      </c>
      <c r="T325" s="1" t="s">
        <v>448</v>
      </c>
      <c r="U325" s="1" t="s">
        <v>1001</v>
      </c>
      <c r="V325" s="1" t="s">
        <v>103</v>
      </c>
      <c r="W325" s="1" t="s">
        <v>1563</v>
      </c>
      <c r="X325" s="1" t="s">
        <v>1143</v>
      </c>
      <c r="Y325" s="1" t="s">
        <v>994</v>
      </c>
      <c r="Z325" s="1">
        <v>1.0</v>
      </c>
    </row>
    <row r="326">
      <c r="A326" s="1" t="s">
        <v>989</v>
      </c>
      <c r="B326" s="1" t="s">
        <v>1522</v>
      </c>
      <c r="C326" s="1" t="s">
        <v>970</v>
      </c>
      <c r="D326" s="1" t="s">
        <v>1564</v>
      </c>
      <c r="E326" s="1" t="s">
        <v>316</v>
      </c>
      <c r="F326" s="1" t="s">
        <v>52</v>
      </c>
      <c r="G326" s="1" t="s">
        <v>350</v>
      </c>
      <c r="H326" s="1" t="s">
        <v>1565</v>
      </c>
      <c r="I326" s="1" t="s">
        <v>163</v>
      </c>
      <c r="J326" s="1" t="s">
        <v>671</v>
      </c>
      <c r="K326" s="1" t="s">
        <v>52</v>
      </c>
      <c r="L326" s="1" t="s">
        <v>994</v>
      </c>
      <c r="M326" s="1" t="s">
        <v>1566</v>
      </c>
      <c r="N326" s="1" t="s">
        <v>180</v>
      </c>
      <c r="O326" s="1" t="s">
        <v>190</v>
      </c>
      <c r="P326" s="1" t="s">
        <v>1001</v>
      </c>
      <c r="Q326" s="1" t="s">
        <v>96</v>
      </c>
      <c r="R326" s="1" t="s">
        <v>1143</v>
      </c>
      <c r="S326" s="1" t="s">
        <v>62</v>
      </c>
      <c r="T326" s="1" t="s">
        <v>1567</v>
      </c>
      <c r="U326" s="1" t="s">
        <v>828</v>
      </c>
      <c r="V326" s="1" t="s">
        <v>1327</v>
      </c>
      <c r="W326" s="1" t="s">
        <v>142</v>
      </c>
      <c r="X326" s="1" t="s">
        <v>1365</v>
      </c>
      <c r="Y326" s="1" t="s">
        <v>207</v>
      </c>
      <c r="Z326" s="1">
        <v>1.0</v>
      </c>
    </row>
    <row r="327">
      <c r="A327" s="1" t="s">
        <v>89</v>
      </c>
      <c r="B327" s="1" t="s">
        <v>1522</v>
      </c>
      <c r="C327" s="1" t="s">
        <v>886</v>
      </c>
      <c r="D327" s="1" t="s">
        <v>1568</v>
      </c>
      <c r="E327" s="1" t="s">
        <v>639</v>
      </c>
      <c r="F327" s="1" t="s">
        <v>31</v>
      </c>
      <c r="G327" s="1" t="s">
        <v>1569</v>
      </c>
      <c r="H327" s="1" t="s">
        <v>1464</v>
      </c>
      <c r="I327" s="1" t="s">
        <v>1570</v>
      </c>
      <c r="J327" s="1" t="s">
        <v>39</v>
      </c>
      <c r="K327" s="1" t="s">
        <v>322</v>
      </c>
      <c r="L327" s="1" t="s">
        <v>1175</v>
      </c>
      <c r="M327" s="1" t="s">
        <v>348</v>
      </c>
      <c r="N327" s="1" t="s">
        <v>180</v>
      </c>
      <c r="O327" s="1" t="s">
        <v>166</v>
      </c>
      <c r="P327" s="1" t="s">
        <v>1571</v>
      </c>
      <c r="Q327" s="1" t="s">
        <v>96</v>
      </c>
      <c r="R327" s="1" t="s">
        <v>178</v>
      </c>
      <c r="S327" s="1" t="s">
        <v>1279</v>
      </c>
      <c r="T327" s="1" t="s">
        <v>1572</v>
      </c>
      <c r="U327" s="1" t="s">
        <v>1428</v>
      </c>
      <c r="V327" s="1" t="s">
        <v>151</v>
      </c>
      <c r="W327" s="1" t="s">
        <v>323</v>
      </c>
      <c r="X327" s="1" t="s">
        <v>230</v>
      </c>
      <c r="Y327" s="1" t="s">
        <v>424</v>
      </c>
      <c r="Z327" s="1">
        <v>1.0</v>
      </c>
    </row>
    <row r="328">
      <c r="A328" s="1" t="s">
        <v>1573</v>
      </c>
      <c r="B328" s="1" t="s">
        <v>1522</v>
      </c>
      <c r="C328" s="1" t="s">
        <v>1574</v>
      </c>
      <c r="D328" s="1" t="s">
        <v>1575</v>
      </c>
      <c r="E328" s="1" t="s">
        <v>242</v>
      </c>
      <c r="F328" s="1" t="s">
        <v>242</v>
      </c>
      <c r="G328" s="1" t="s">
        <v>208</v>
      </c>
      <c r="H328" s="1" t="s">
        <v>87</v>
      </c>
      <c r="I328" s="1" t="s">
        <v>1576</v>
      </c>
      <c r="J328" s="1" t="s">
        <v>525</v>
      </c>
      <c r="K328" s="1" t="s">
        <v>1539</v>
      </c>
      <c r="L328" s="1" t="s">
        <v>204</v>
      </c>
      <c r="M328" s="1" t="s">
        <v>1116</v>
      </c>
      <c r="N328" s="1" t="s">
        <v>38</v>
      </c>
      <c r="O328" s="1" t="s">
        <v>1577</v>
      </c>
      <c r="P328" s="1" t="s">
        <v>384</v>
      </c>
      <c r="Q328" s="1">
        <v>76.0</v>
      </c>
      <c r="R328" s="1" t="s">
        <v>967</v>
      </c>
      <c r="S328" s="1" t="s">
        <v>850</v>
      </c>
      <c r="T328" s="1" t="s">
        <v>190</v>
      </c>
      <c r="U328" s="1">
        <v>85.0</v>
      </c>
      <c r="V328" s="1" t="s">
        <v>552</v>
      </c>
      <c r="W328" s="1" t="s">
        <v>158</v>
      </c>
      <c r="X328" s="1" t="s">
        <v>384</v>
      </c>
      <c r="Y328" s="1" t="s">
        <v>300</v>
      </c>
      <c r="Z328" s="1">
        <v>1.0</v>
      </c>
    </row>
    <row r="329">
      <c r="A329" s="1" t="s">
        <v>1578</v>
      </c>
      <c r="B329" s="1" t="s">
        <v>1522</v>
      </c>
      <c r="C329" s="1" t="s">
        <v>1579</v>
      </c>
      <c r="D329" s="1">
        <v>200.0</v>
      </c>
      <c r="E329" s="1">
        <v>76.0</v>
      </c>
      <c r="F329" s="1">
        <v>80.0</v>
      </c>
      <c r="G329" s="1">
        <v>92.0</v>
      </c>
      <c r="H329" s="1">
        <v>90.0</v>
      </c>
      <c r="I329" s="1">
        <v>75.0</v>
      </c>
      <c r="J329" s="1">
        <v>71.0</v>
      </c>
      <c r="K329" s="1">
        <v>81.0</v>
      </c>
      <c r="L329" s="1">
        <v>76.0</v>
      </c>
      <c r="M329" s="1">
        <v>65.0</v>
      </c>
      <c r="N329" s="1">
        <v>77.0</v>
      </c>
      <c r="O329" s="1">
        <v>68.0</v>
      </c>
      <c r="P329" s="1">
        <v>74.0</v>
      </c>
      <c r="Q329" s="1">
        <v>83.0</v>
      </c>
      <c r="R329" s="1">
        <v>73.0</v>
      </c>
      <c r="S329" s="1">
        <v>74.0</v>
      </c>
      <c r="T329" s="1">
        <v>67.0</v>
      </c>
      <c r="U329" s="1">
        <v>80.0</v>
      </c>
      <c r="V329" s="1">
        <v>80.0</v>
      </c>
      <c r="W329" s="1">
        <v>75.0</v>
      </c>
      <c r="X329" s="1">
        <v>73.0</v>
      </c>
      <c r="Y329" s="1">
        <v>80.0</v>
      </c>
      <c r="Z329" s="1">
        <v>1.0</v>
      </c>
    </row>
    <row r="330">
      <c r="A330" s="1" t="s">
        <v>146</v>
      </c>
      <c r="B330" s="1" t="s">
        <v>1522</v>
      </c>
      <c r="C330" s="1" t="s">
        <v>1580</v>
      </c>
      <c r="D330" s="1" t="s">
        <v>1581</v>
      </c>
      <c r="E330" s="1" t="s">
        <v>670</v>
      </c>
      <c r="F330" s="1" t="s">
        <v>962</v>
      </c>
      <c r="G330" s="1" t="s">
        <v>329</v>
      </c>
      <c r="H330" s="1" t="s">
        <v>92</v>
      </c>
      <c r="I330" s="1" t="s">
        <v>1018</v>
      </c>
      <c r="J330" s="1" t="s">
        <v>158</v>
      </c>
      <c r="K330" s="1" t="s">
        <v>164</v>
      </c>
      <c r="L330" s="1" t="s">
        <v>1582</v>
      </c>
      <c r="M330" s="1" t="s">
        <v>807</v>
      </c>
      <c r="N330" s="1" t="s">
        <v>698</v>
      </c>
      <c r="O330" s="1" t="s">
        <v>530</v>
      </c>
      <c r="P330" s="1" t="s">
        <v>1583</v>
      </c>
      <c r="Q330" s="1" t="s">
        <v>1584</v>
      </c>
      <c r="R330" s="1" t="s">
        <v>249</v>
      </c>
      <c r="S330" s="1" t="s">
        <v>1585</v>
      </c>
      <c r="T330" s="1" t="s">
        <v>1586</v>
      </c>
      <c r="U330" s="1" t="s">
        <v>1587</v>
      </c>
      <c r="V330" s="1" t="s">
        <v>99</v>
      </c>
      <c r="W330" s="1" t="s">
        <v>1588</v>
      </c>
      <c r="X330" s="1" t="s">
        <v>1552</v>
      </c>
      <c r="Y330" s="1" t="s">
        <v>398</v>
      </c>
      <c r="Z330" s="1">
        <v>1.0</v>
      </c>
    </row>
    <row r="331">
      <c r="A331" s="1" t="s">
        <v>1589</v>
      </c>
      <c r="B331" s="1" t="s">
        <v>1522</v>
      </c>
      <c r="C331" s="1" t="s">
        <v>1534</v>
      </c>
      <c r="D331" s="1">
        <v>218.0</v>
      </c>
      <c r="E331" s="1">
        <v>71.0</v>
      </c>
      <c r="F331" s="1">
        <v>80.0</v>
      </c>
      <c r="G331" s="1">
        <v>90.0</v>
      </c>
      <c r="H331" s="1">
        <v>55.0</v>
      </c>
      <c r="I331" s="1">
        <v>73.0</v>
      </c>
      <c r="J331" s="1">
        <v>71.0</v>
      </c>
      <c r="K331" s="1">
        <v>79.0</v>
      </c>
      <c r="L331" s="1">
        <v>54.0</v>
      </c>
      <c r="M331" s="1">
        <v>85.0</v>
      </c>
      <c r="N331" s="1">
        <v>75.0</v>
      </c>
      <c r="O331" s="1">
        <v>68.0</v>
      </c>
      <c r="P331" s="1">
        <v>82.0</v>
      </c>
      <c r="Q331" s="1">
        <v>89.0</v>
      </c>
      <c r="R331" s="1">
        <v>60.0</v>
      </c>
      <c r="S331" s="1">
        <v>84.0</v>
      </c>
      <c r="T331" s="1">
        <v>75.0</v>
      </c>
      <c r="U331" s="1">
        <v>80.0</v>
      </c>
      <c r="V331" s="1">
        <v>73.0</v>
      </c>
      <c r="W331" s="1">
        <v>80.0</v>
      </c>
      <c r="X331" s="1">
        <v>85.0</v>
      </c>
      <c r="Y331" s="1">
        <v>77.0</v>
      </c>
      <c r="Z331" s="1">
        <v>1.0</v>
      </c>
    </row>
    <row r="332">
      <c r="A332" s="1" t="s">
        <v>1261</v>
      </c>
      <c r="B332" s="1" t="s">
        <v>1522</v>
      </c>
      <c r="C332" s="1" t="s">
        <v>1590</v>
      </c>
      <c r="D332" s="1" t="s">
        <v>1591</v>
      </c>
      <c r="E332" s="1" t="s">
        <v>52</v>
      </c>
      <c r="F332" s="1" t="s">
        <v>949</v>
      </c>
      <c r="G332" s="1" t="s">
        <v>1592</v>
      </c>
      <c r="H332" s="1" t="s">
        <v>1593</v>
      </c>
      <c r="I332" s="1" t="s">
        <v>1212</v>
      </c>
      <c r="J332" s="1" t="s">
        <v>671</v>
      </c>
      <c r="K332" s="1" t="s">
        <v>914</v>
      </c>
      <c r="L332" s="1" t="s">
        <v>98</v>
      </c>
      <c r="M332" s="1" t="s">
        <v>1142</v>
      </c>
      <c r="N332" s="1" t="s">
        <v>1594</v>
      </c>
      <c r="O332" s="1" t="s">
        <v>530</v>
      </c>
      <c r="P332" s="1" t="s">
        <v>1595</v>
      </c>
      <c r="Q332" s="1" t="s">
        <v>96</v>
      </c>
      <c r="R332" s="1" t="s">
        <v>939</v>
      </c>
      <c r="S332" s="1" t="s">
        <v>1596</v>
      </c>
      <c r="T332" s="1" t="s">
        <v>299</v>
      </c>
      <c r="U332" s="1" t="s">
        <v>1597</v>
      </c>
      <c r="V332" s="1" t="s">
        <v>507</v>
      </c>
      <c r="W332" s="1" t="s">
        <v>337</v>
      </c>
      <c r="X332" s="1" t="s">
        <v>1571</v>
      </c>
      <c r="Y332" s="1" t="s">
        <v>53</v>
      </c>
      <c r="Z332" s="1">
        <v>1.0</v>
      </c>
    </row>
    <row r="333">
      <c r="A333" s="1" t="s">
        <v>1598</v>
      </c>
      <c r="B333" s="1" t="s">
        <v>1522</v>
      </c>
      <c r="C333" s="1" t="s">
        <v>876</v>
      </c>
      <c r="D333" s="1" t="s">
        <v>990</v>
      </c>
      <c r="E333" s="1" t="s">
        <v>1088</v>
      </c>
      <c r="F333" s="1" t="s">
        <v>265</v>
      </c>
      <c r="G333" s="1" t="s">
        <v>139</v>
      </c>
      <c r="H333" s="1" t="s">
        <v>93</v>
      </c>
      <c r="I333" s="1" t="s">
        <v>1165</v>
      </c>
      <c r="J333" s="1" t="s">
        <v>1121</v>
      </c>
      <c r="K333" s="1" t="s">
        <v>220</v>
      </c>
      <c r="L333" s="1" t="s">
        <v>1599</v>
      </c>
      <c r="M333" s="1" t="s">
        <v>553</v>
      </c>
      <c r="N333" s="1" t="s">
        <v>761</v>
      </c>
      <c r="O333" s="1" t="s">
        <v>384</v>
      </c>
      <c r="P333" s="1" t="s">
        <v>1600</v>
      </c>
      <c r="Q333" s="1" t="s">
        <v>35</v>
      </c>
      <c r="R333" s="1" t="s">
        <v>150</v>
      </c>
      <c r="S333" s="1" t="s">
        <v>42</v>
      </c>
      <c r="T333" s="1" t="s">
        <v>1601</v>
      </c>
      <c r="U333" s="1" t="s">
        <v>1602</v>
      </c>
      <c r="V333" s="1" t="s">
        <v>1160</v>
      </c>
      <c r="W333" s="1" t="s">
        <v>763</v>
      </c>
      <c r="X333" s="1" t="s">
        <v>1171</v>
      </c>
      <c r="Y333" s="1" t="s">
        <v>1603</v>
      </c>
      <c r="Z333" s="1">
        <v>1.0</v>
      </c>
    </row>
    <row r="334">
      <c r="A334" s="1" t="s">
        <v>1604</v>
      </c>
      <c r="B334" s="1" t="s">
        <v>1522</v>
      </c>
      <c r="C334" s="1" t="s">
        <v>1541</v>
      </c>
      <c r="D334" s="1" t="s">
        <v>1605</v>
      </c>
      <c r="E334" s="1" t="s">
        <v>1606</v>
      </c>
      <c r="F334" s="1" t="s">
        <v>128</v>
      </c>
      <c r="G334" s="1" t="s">
        <v>248</v>
      </c>
      <c r="H334" s="1" t="s">
        <v>1185</v>
      </c>
      <c r="I334" s="1" t="s">
        <v>226</v>
      </c>
      <c r="J334" s="1" t="s">
        <v>614</v>
      </c>
      <c r="K334" s="1" t="s">
        <v>410</v>
      </c>
      <c r="L334" s="1" t="s">
        <v>631</v>
      </c>
      <c r="M334" s="1" t="s">
        <v>525</v>
      </c>
      <c r="N334" s="1" t="s">
        <v>843</v>
      </c>
      <c r="O334" s="1">
        <v>68.0</v>
      </c>
      <c r="P334" s="1" t="s">
        <v>1607</v>
      </c>
      <c r="Q334" s="1" t="s">
        <v>1608</v>
      </c>
      <c r="R334" s="1" t="s">
        <v>995</v>
      </c>
      <c r="S334" s="1" t="s">
        <v>143</v>
      </c>
      <c r="T334" s="1" t="s">
        <v>731</v>
      </c>
      <c r="U334" s="1" t="s">
        <v>190</v>
      </c>
      <c r="V334" s="1" t="s">
        <v>1155</v>
      </c>
      <c r="W334" s="1" t="s">
        <v>405</v>
      </c>
      <c r="X334" s="1" t="s">
        <v>136</v>
      </c>
      <c r="Y334" s="1" t="s">
        <v>242</v>
      </c>
      <c r="Z334" s="1">
        <v>1.0</v>
      </c>
    </row>
    <row r="335">
      <c r="A335" s="1" t="s">
        <v>1609</v>
      </c>
      <c r="B335" s="1" t="s">
        <v>1522</v>
      </c>
      <c r="C335" s="1" t="s">
        <v>1579</v>
      </c>
      <c r="D335" s="1">
        <v>216.0</v>
      </c>
      <c r="E335" s="1">
        <v>75.0</v>
      </c>
      <c r="F335" s="1">
        <v>85.0</v>
      </c>
      <c r="G335" s="1">
        <v>89.0</v>
      </c>
      <c r="H335" s="1">
        <v>60.0</v>
      </c>
      <c r="I335" s="1">
        <v>54.0</v>
      </c>
      <c r="J335" s="1">
        <v>80.0</v>
      </c>
      <c r="K335" s="1">
        <v>90.0</v>
      </c>
      <c r="L335" s="1">
        <v>69.0</v>
      </c>
      <c r="M335" s="1">
        <v>72.0</v>
      </c>
      <c r="N335" s="1">
        <v>75.0</v>
      </c>
      <c r="O335" s="1">
        <v>70.0</v>
      </c>
      <c r="P335" s="1">
        <v>70.0</v>
      </c>
      <c r="Q335" s="1">
        <v>83.0</v>
      </c>
      <c r="R335" s="1">
        <v>60.0</v>
      </c>
      <c r="S335" s="1">
        <v>88.0</v>
      </c>
      <c r="T335" s="1">
        <v>75.0</v>
      </c>
      <c r="U335" s="1">
        <v>80.0</v>
      </c>
      <c r="V335" s="1">
        <v>79.0</v>
      </c>
      <c r="W335" s="1">
        <v>75.0</v>
      </c>
      <c r="X335" s="1">
        <v>83.0</v>
      </c>
      <c r="Y335" s="1">
        <v>79.0</v>
      </c>
      <c r="Z335" s="1">
        <v>1.0</v>
      </c>
    </row>
    <row r="336">
      <c r="A336" s="1" t="s">
        <v>257</v>
      </c>
      <c r="B336" s="1" t="s">
        <v>1522</v>
      </c>
      <c r="C336" s="1" t="s">
        <v>970</v>
      </c>
      <c r="D336" s="1" t="s">
        <v>1610</v>
      </c>
      <c r="E336" s="1" t="s">
        <v>1313</v>
      </c>
      <c r="F336" s="1" t="s">
        <v>128</v>
      </c>
      <c r="G336" s="1" t="s">
        <v>1296</v>
      </c>
      <c r="H336" s="1" t="s">
        <v>1027</v>
      </c>
      <c r="I336" s="1" t="s">
        <v>1068</v>
      </c>
      <c r="J336" s="1" t="s">
        <v>582</v>
      </c>
      <c r="K336" s="1" t="s">
        <v>179</v>
      </c>
      <c r="L336" s="1" t="s">
        <v>242</v>
      </c>
      <c r="M336" s="1" t="s">
        <v>984</v>
      </c>
      <c r="N336" s="1" t="s">
        <v>180</v>
      </c>
      <c r="O336" s="1" t="s">
        <v>1313</v>
      </c>
      <c r="P336" s="1" t="s">
        <v>87</v>
      </c>
      <c r="Q336" s="1" t="s">
        <v>462</v>
      </c>
      <c r="R336" s="1" t="s">
        <v>212</v>
      </c>
      <c r="S336" s="1" t="s">
        <v>1611</v>
      </c>
      <c r="T336" s="1" t="s">
        <v>185</v>
      </c>
      <c r="U336" s="1" t="s">
        <v>402</v>
      </c>
      <c r="V336" s="1" t="s">
        <v>1160</v>
      </c>
      <c r="W336" s="1" t="s">
        <v>221</v>
      </c>
      <c r="X336" s="1" t="s">
        <v>1303</v>
      </c>
      <c r="Y336" s="1" t="s">
        <v>384</v>
      </c>
      <c r="Z336" s="1">
        <v>1.0</v>
      </c>
    </row>
    <row r="337">
      <c r="A337" s="1" t="s">
        <v>339</v>
      </c>
      <c r="B337" s="1" t="s">
        <v>1522</v>
      </c>
      <c r="C337" s="1" t="s">
        <v>1612</v>
      </c>
      <c r="D337" s="1" t="s">
        <v>990</v>
      </c>
      <c r="E337" s="1" t="s">
        <v>1613</v>
      </c>
      <c r="F337" s="1" t="s">
        <v>417</v>
      </c>
      <c r="G337" s="1" t="s">
        <v>828</v>
      </c>
      <c r="H337" s="1" t="s">
        <v>1614</v>
      </c>
      <c r="I337" s="1" t="s">
        <v>1615</v>
      </c>
      <c r="J337" s="1" t="s">
        <v>396</v>
      </c>
      <c r="K337" s="1" t="s">
        <v>82</v>
      </c>
      <c r="L337" s="1" t="s">
        <v>1425</v>
      </c>
      <c r="M337" s="1" t="s">
        <v>212</v>
      </c>
      <c r="N337" s="1" t="s">
        <v>731</v>
      </c>
      <c r="O337" s="1" t="s">
        <v>363</v>
      </c>
      <c r="P337" s="1" t="s">
        <v>447</v>
      </c>
      <c r="Q337" s="1" t="s">
        <v>35</v>
      </c>
      <c r="R337" s="1" t="s">
        <v>1616</v>
      </c>
      <c r="S337" s="1" t="s">
        <v>857</v>
      </c>
      <c r="T337" s="1" t="s">
        <v>1192</v>
      </c>
      <c r="U337" s="1" t="s">
        <v>1594</v>
      </c>
      <c r="V337" s="1" t="s">
        <v>128</v>
      </c>
      <c r="W337" s="1" t="s">
        <v>266</v>
      </c>
      <c r="X337" s="1" t="s">
        <v>882</v>
      </c>
      <c r="Y337" s="1" t="s">
        <v>150</v>
      </c>
      <c r="Z337" s="1">
        <v>1.0</v>
      </c>
    </row>
    <row r="338">
      <c r="A338" s="1" t="s">
        <v>26</v>
      </c>
      <c r="B338" s="1" t="s">
        <v>1522</v>
      </c>
      <c r="C338" s="1" t="s">
        <v>1555</v>
      </c>
      <c r="D338" s="1" t="s">
        <v>926</v>
      </c>
      <c r="E338" s="1" t="s">
        <v>157</v>
      </c>
      <c r="F338" s="1" t="s">
        <v>801</v>
      </c>
      <c r="G338" s="1" t="s">
        <v>97</v>
      </c>
      <c r="H338" s="1" t="s">
        <v>1617</v>
      </c>
      <c r="I338" s="1" t="s">
        <v>492</v>
      </c>
      <c r="J338" s="1" t="s">
        <v>671</v>
      </c>
      <c r="K338" s="1" t="s">
        <v>1618</v>
      </c>
      <c r="L338" s="1" t="s">
        <v>1130</v>
      </c>
      <c r="M338" s="1" t="s">
        <v>1619</v>
      </c>
      <c r="N338" s="1" t="s">
        <v>1571</v>
      </c>
      <c r="O338" s="1" t="s">
        <v>828</v>
      </c>
      <c r="P338" s="1" t="s">
        <v>930</v>
      </c>
      <c r="Q338" s="1" t="s">
        <v>1620</v>
      </c>
      <c r="R338" s="1" t="s">
        <v>1552</v>
      </c>
      <c r="S338" s="1" t="s">
        <v>1621</v>
      </c>
      <c r="T338" s="1" t="s">
        <v>1622</v>
      </c>
      <c r="U338" s="1" t="s">
        <v>828</v>
      </c>
      <c r="V338" s="1" t="s">
        <v>507</v>
      </c>
      <c r="W338" s="1" t="s">
        <v>337</v>
      </c>
      <c r="X338" s="1" t="s">
        <v>1143</v>
      </c>
      <c r="Y338" s="1" t="s">
        <v>827</v>
      </c>
      <c r="Z338" s="1">
        <v>1.0</v>
      </c>
    </row>
    <row r="339">
      <c r="A339" s="1" t="s">
        <v>1623</v>
      </c>
      <c r="B339" s="1" t="s">
        <v>1522</v>
      </c>
      <c r="C339" s="1" t="s">
        <v>970</v>
      </c>
      <c r="D339" s="1" t="s">
        <v>1624</v>
      </c>
      <c r="E339" s="1" t="s">
        <v>235</v>
      </c>
      <c r="F339" s="1" t="s">
        <v>208</v>
      </c>
      <c r="G339" s="1" t="s">
        <v>1625</v>
      </c>
      <c r="H339" s="1" t="s">
        <v>1626</v>
      </c>
      <c r="I339" s="1" t="s">
        <v>1090</v>
      </c>
      <c r="J339" s="1" t="s">
        <v>1627</v>
      </c>
      <c r="K339" s="1" t="s">
        <v>714</v>
      </c>
      <c r="L339" s="1">
        <v>57.0</v>
      </c>
      <c r="M339" s="1" t="s">
        <v>540</v>
      </c>
      <c r="N339" s="1" t="s">
        <v>1550</v>
      </c>
      <c r="O339" s="1" t="s">
        <v>525</v>
      </c>
      <c r="P339" s="1" t="s">
        <v>1628</v>
      </c>
      <c r="Q339" s="1" t="s">
        <v>404</v>
      </c>
      <c r="R339" s="1" t="s">
        <v>1629</v>
      </c>
      <c r="S339" s="1" t="s">
        <v>386</v>
      </c>
      <c r="T339" s="1" t="s">
        <v>1141</v>
      </c>
      <c r="U339" s="1" t="s">
        <v>405</v>
      </c>
      <c r="V339" s="1" t="s">
        <v>766</v>
      </c>
      <c r="W339" s="1" t="s">
        <v>1116</v>
      </c>
      <c r="X339" s="1" t="s">
        <v>1630</v>
      </c>
      <c r="Y339" s="1" t="s">
        <v>208</v>
      </c>
      <c r="Z339" s="1">
        <v>1.0</v>
      </c>
    </row>
    <row r="340">
      <c r="A340" s="1" t="s">
        <v>1481</v>
      </c>
      <c r="B340" s="1" t="s">
        <v>1522</v>
      </c>
      <c r="C340" s="1" t="s">
        <v>1574</v>
      </c>
      <c r="D340" s="1" t="s">
        <v>1631</v>
      </c>
      <c r="E340" s="1" t="s">
        <v>190</v>
      </c>
      <c r="F340" s="1" t="s">
        <v>157</v>
      </c>
      <c r="G340" s="1" t="s">
        <v>322</v>
      </c>
      <c r="H340" s="1" t="s">
        <v>255</v>
      </c>
      <c r="I340" s="1" t="s">
        <v>87</v>
      </c>
      <c r="J340" s="1" t="s">
        <v>548</v>
      </c>
      <c r="K340" s="1" t="s">
        <v>390</v>
      </c>
      <c r="L340" s="1" t="s">
        <v>1632</v>
      </c>
      <c r="M340" s="1" t="s">
        <v>860</v>
      </c>
      <c r="N340" s="1" t="s">
        <v>1313</v>
      </c>
      <c r="O340" s="1" t="s">
        <v>1633</v>
      </c>
      <c r="P340" s="1" t="s">
        <v>1618</v>
      </c>
      <c r="Q340" s="1" t="s">
        <v>1634</v>
      </c>
      <c r="R340" s="1" t="s">
        <v>1008</v>
      </c>
      <c r="S340" s="1" t="s">
        <v>709</v>
      </c>
      <c r="T340" s="1" t="s">
        <v>1611</v>
      </c>
      <c r="U340" s="1" t="s">
        <v>149</v>
      </c>
      <c r="V340" s="1" t="s">
        <v>1326</v>
      </c>
      <c r="W340" s="1" t="s">
        <v>631</v>
      </c>
      <c r="X340" s="1" t="s">
        <v>825</v>
      </c>
      <c r="Y340" s="1" t="s">
        <v>622</v>
      </c>
      <c r="Z340" s="1">
        <v>1.0</v>
      </c>
    </row>
    <row r="341">
      <c r="A341" s="1" t="s">
        <v>678</v>
      </c>
      <c r="B341" s="1" t="s">
        <v>1522</v>
      </c>
      <c r="C341" s="1" t="s">
        <v>971</v>
      </c>
      <c r="D341" s="1" t="s">
        <v>547</v>
      </c>
      <c r="E341" s="1" t="s">
        <v>1635</v>
      </c>
      <c r="F341" s="1" t="s">
        <v>53</v>
      </c>
      <c r="G341" s="1" t="s">
        <v>401</v>
      </c>
      <c r="H341" s="1" t="s">
        <v>1464</v>
      </c>
      <c r="I341" s="1" t="s">
        <v>64</v>
      </c>
      <c r="J341" s="1" t="s">
        <v>671</v>
      </c>
      <c r="K341" s="1" t="s">
        <v>671</v>
      </c>
      <c r="L341" s="1" t="s">
        <v>684</v>
      </c>
      <c r="M341" s="1" t="s">
        <v>332</v>
      </c>
      <c r="N341" s="1" t="s">
        <v>82</v>
      </c>
      <c r="O341" s="1" t="s">
        <v>337</v>
      </c>
      <c r="P341" s="1" t="s">
        <v>1562</v>
      </c>
      <c r="Q341" s="1" t="s">
        <v>1561</v>
      </c>
      <c r="R341" s="1" t="s">
        <v>1265</v>
      </c>
      <c r="S341" s="1" t="s">
        <v>100</v>
      </c>
      <c r="T341" s="1" t="s">
        <v>303</v>
      </c>
      <c r="U341" s="1" t="s">
        <v>1636</v>
      </c>
      <c r="V341" s="1" t="s">
        <v>243</v>
      </c>
      <c r="W341" s="1" t="s">
        <v>568</v>
      </c>
      <c r="X341" s="1" t="s">
        <v>1637</v>
      </c>
      <c r="Y341" s="1" t="s">
        <v>1638</v>
      </c>
      <c r="Z341" s="1">
        <v>1.0</v>
      </c>
    </row>
    <row r="342">
      <c r="A342" s="1" t="s">
        <v>1517</v>
      </c>
      <c r="B342" s="1" t="s">
        <v>1522</v>
      </c>
      <c r="C342" s="1" t="s">
        <v>970</v>
      </c>
      <c r="D342" s="1">
        <v>210.0</v>
      </c>
      <c r="E342" s="1">
        <v>73.0</v>
      </c>
      <c r="F342" s="1">
        <v>80.0</v>
      </c>
      <c r="G342" s="1">
        <v>88.0</v>
      </c>
      <c r="H342" s="1">
        <v>48.0</v>
      </c>
      <c r="I342" s="1">
        <v>51.0</v>
      </c>
      <c r="J342" s="1">
        <v>88.0</v>
      </c>
      <c r="K342" s="1">
        <v>85.0</v>
      </c>
      <c r="L342" s="1">
        <v>65.0</v>
      </c>
      <c r="M342" s="1">
        <v>71.0</v>
      </c>
      <c r="N342" s="1">
        <v>86.0</v>
      </c>
      <c r="O342" s="1">
        <v>75.0</v>
      </c>
      <c r="P342" s="1">
        <v>85.0</v>
      </c>
      <c r="Q342" s="1">
        <v>84.0</v>
      </c>
      <c r="R342" s="1">
        <v>55.0</v>
      </c>
      <c r="S342" s="1">
        <v>80.0</v>
      </c>
      <c r="T342" s="1">
        <v>42.0</v>
      </c>
      <c r="U342" s="1">
        <v>65.0</v>
      </c>
      <c r="V342" s="1">
        <v>85.0</v>
      </c>
      <c r="W342" s="1">
        <v>77.0</v>
      </c>
      <c r="X342" s="1">
        <v>73.0</v>
      </c>
      <c r="Y342" s="1">
        <v>80.0</v>
      </c>
      <c r="Z342" s="1">
        <v>1.0</v>
      </c>
    </row>
    <row r="343">
      <c r="A343" s="1" t="s">
        <v>665</v>
      </c>
      <c r="B343" s="1" t="s">
        <v>1522</v>
      </c>
      <c r="C343" s="1" t="s">
        <v>1283</v>
      </c>
      <c r="D343" s="1" t="s">
        <v>379</v>
      </c>
      <c r="E343" s="1" t="s">
        <v>158</v>
      </c>
      <c r="F343" s="1" t="s">
        <v>208</v>
      </c>
      <c r="G343" s="1" t="s">
        <v>503</v>
      </c>
      <c r="H343" s="1" t="s">
        <v>1464</v>
      </c>
      <c r="I343" s="1" t="s">
        <v>1639</v>
      </c>
      <c r="J343" s="1" t="s">
        <v>205</v>
      </c>
      <c r="K343" s="1" t="s">
        <v>617</v>
      </c>
      <c r="L343" s="1" t="s">
        <v>1640</v>
      </c>
      <c r="M343" s="1" t="s">
        <v>1641</v>
      </c>
      <c r="N343" s="1" t="s">
        <v>137</v>
      </c>
      <c r="O343" s="1" t="s">
        <v>465</v>
      </c>
      <c r="P343" s="1" t="s">
        <v>1642</v>
      </c>
      <c r="Q343" s="1" t="s">
        <v>1643</v>
      </c>
      <c r="R343" s="1" t="s">
        <v>1644</v>
      </c>
      <c r="S343" s="1" t="s">
        <v>1645</v>
      </c>
      <c r="T343" s="1" t="s">
        <v>65</v>
      </c>
      <c r="U343" s="1" t="s">
        <v>1646</v>
      </c>
      <c r="V343" s="1" t="s">
        <v>128</v>
      </c>
      <c r="W343" s="1" t="s">
        <v>297</v>
      </c>
      <c r="X343" s="1" t="s">
        <v>1647</v>
      </c>
      <c r="Y343" s="1" t="s">
        <v>1180</v>
      </c>
      <c r="Z343" s="1">
        <v>1.0</v>
      </c>
    </row>
    <row r="344">
      <c r="A344" s="1" t="s">
        <v>1100</v>
      </c>
      <c r="B344" s="1" t="s">
        <v>1522</v>
      </c>
      <c r="C344" s="1" t="s">
        <v>1612</v>
      </c>
      <c r="D344" s="1" t="s">
        <v>1111</v>
      </c>
      <c r="E344" s="1" t="s">
        <v>863</v>
      </c>
      <c r="F344" s="1" t="s">
        <v>424</v>
      </c>
      <c r="G344" s="1" t="s">
        <v>396</v>
      </c>
      <c r="H344" s="1" t="s">
        <v>848</v>
      </c>
      <c r="I344" s="1" t="s">
        <v>879</v>
      </c>
      <c r="J344" s="1" t="s">
        <v>404</v>
      </c>
      <c r="K344" s="1">
        <v>87.0</v>
      </c>
      <c r="L344" s="1" t="s">
        <v>548</v>
      </c>
      <c r="M344" s="1" t="s">
        <v>52</v>
      </c>
      <c r="N344" s="1">
        <v>80.0</v>
      </c>
      <c r="O344" s="1">
        <v>75.0</v>
      </c>
      <c r="P344" s="1" t="s">
        <v>730</v>
      </c>
      <c r="Q344" s="1" t="s">
        <v>1477</v>
      </c>
      <c r="R344" s="1" t="s">
        <v>1054</v>
      </c>
      <c r="S344" s="1" t="s">
        <v>224</v>
      </c>
      <c r="T344" s="1" t="s">
        <v>883</v>
      </c>
      <c r="U344" s="1" t="s">
        <v>1428</v>
      </c>
      <c r="V344" s="1">
        <v>80.0</v>
      </c>
      <c r="W344" s="1" t="s">
        <v>410</v>
      </c>
      <c r="X344" s="1" t="s">
        <v>863</v>
      </c>
      <c r="Y344" s="1">
        <v>80.0</v>
      </c>
      <c r="Z344" s="1">
        <v>1.0</v>
      </c>
    </row>
    <row r="345">
      <c r="A345" s="1" t="s">
        <v>559</v>
      </c>
      <c r="B345" s="1" t="s">
        <v>1522</v>
      </c>
      <c r="C345" s="1" t="s">
        <v>1283</v>
      </c>
      <c r="D345" s="1" t="s">
        <v>1648</v>
      </c>
      <c r="E345" s="1" t="s">
        <v>1649</v>
      </c>
      <c r="F345" s="1" t="s">
        <v>40</v>
      </c>
      <c r="G345" s="1" t="s">
        <v>1650</v>
      </c>
      <c r="H345" s="1" t="s">
        <v>92</v>
      </c>
      <c r="I345" s="1" t="s">
        <v>1651</v>
      </c>
      <c r="J345" s="1" t="s">
        <v>457</v>
      </c>
      <c r="K345" s="1" t="s">
        <v>52</v>
      </c>
      <c r="L345" s="1" t="s">
        <v>1652</v>
      </c>
      <c r="M345" s="1" t="s">
        <v>64</v>
      </c>
      <c r="N345" s="1" t="s">
        <v>998</v>
      </c>
      <c r="O345" s="1" t="s">
        <v>48</v>
      </c>
      <c r="P345" s="1" t="s">
        <v>1653</v>
      </c>
      <c r="Q345" s="1" t="s">
        <v>1654</v>
      </c>
      <c r="R345" s="1" t="s">
        <v>1655</v>
      </c>
      <c r="S345" s="1" t="s">
        <v>156</v>
      </c>
      <c r="T345" s="1" t="s">
        <v>931</v>
      </c>
      <c r="U345" s="1" t="s">
        <v>312</v>
      </c>
      <c r="V345" s="1" t="s">
        <v>36</v>
      </c>
      <c r="W345" s="1" t="s">
        <v>322</v>
      </c>
      <c r="X345" s="1" t="s">
        <v>1176</v>
      </c>
      <c r="Y345" s="1" t="s">
        <v>105</v>
      </c>
      <c r="Z345" s="1">
        <v>1.0</v>
      </c>
    </row>
    <row r="346">
      <c r="A346" s="1" t="s">
        <v>1656</v>
      </c>
      <c r="B346" s="1" t="s">
        <v>1522</v>
      </c>
      <c r="C346" s="1" t="s">
        <v>876</v>
      </c>
      <c r="D346" s="1" t="s">
        <v>1657</v>
      </c>
      <c r="E346" s="1" t="s">
        <v>1198</v>
      </c>
      <c r="F346" s="1" t="s">
        <v>1428</v>
      </c>
      <c r="G346" s="1" t="s">
        <v>635</v>
      </c>
      <c r="H346" s="1" t="s">
        <v>870</v>
      </c>
      <c r="I346" s="1" t="s">
        <v>1658</v>
      </c>
      <c r="J346" s="1" t="s">
        <v>224</v>
      </c>
      <c r="K346" s="1" t="s">
        <v>582</v>
      </c>
      <c r="L346" s="1" t="s">
        <v>895</v>
      </c>
      <c r="M346" s="1" t="s">
        <v>437</v>
      </c>
      <c r="N346" s="1">
        <v>65.0</v>
      </c>
      <c r="O346" s="1" t="s">
        <v>839</v>
      </c>
      <c r="P346" s="1" t="s">
        <v>31</v>
      </c>
      <c r="Q346" s="1" t="s">
        <v>429</v>
      </c>
      <c r="R346" s="1" t="s">
        <v>773</v>
      </c>
      <c r="S346" s="1" t="s">
        <v>525</v>
      </c>
      <c r="T346" s="1" t="s">
        <v>624</v>
      </c>
      <c r="U346" s="1">
        <v>70.0</v>
      </c>
      <c r="V346" s="1" t="s">
        <v>706</v>
      </c>
      <c r="W346" s="1" t="s">
        <v>205</v>
      </c>
      <c r="X346" s="1" t="s">
        <v>1247</v>
      </c>
      <c r="Y346" s="1" t="s">
        <v>271</v>
      </c>
      <c r="Z346" s="1">
        <v>1.0</v>
      </c>
    </row>
    <row r="347">
      <c r="A347" s="1" t="s">
        <v>1178</v>
      </c>
      <c r="B347" s="1" t="s">
        <v>1522</v>
      </c>
      <c r="C347" s="1" t="s">
        <v>876</v>
      </c>
      <c r="D347" s="1" t="s">
        <v>1659</v>
      </c>
      <c r="E347" s="1" t="s">
        <v>1660</v>
      </c>
      <c r="F347" s="1" t="s">
        <v>879</v>
      </c>
      <c r="G347" s="1" t="s">
        <v>437</v>
      </c>
      <c r="H347" s="1" t="s">
        <v>1216</v>
      </c>
      <c r="I347" s="1" t="s">
        <v>1661</v>
      </c>
      <c r="J347" s="1" t="s">
        <v>657</v>
      </c>
      <c r="K347" s="1" t="s">
        <v>205</v>
      </c>
      <c r="L347" s="1" t="s">
        <v>752</v>
      </c>
      <c r="M347" s="1" t="s">
        <v>1662</v>
      </c>
      <c r="N347" s="1" t="s">
        <v>1663</v>
      </c>
      <c r="O347" s="1" t="s">
        <v>1159</v>
      </c>
      <c r="P347" s="1" t="s">
        <v>431</v>
      </c>
      <c r="Q347" s="1" t="s">
        <v>1393</v>
      </c>
      <c r="R347" s="1" t="s">
        <v>82</v>
      </c>
      <c r="S347" s="1" t="s">
        <v>1213</v>
      </c>
      <c r="T347" s="1" t="s">
        <v>711</v>
      </c>
      <c r="U347" s="1" t="s">
        <v>427</v>
      </c>
      <c r="V347" s="1" t="s">
        <v>187</v>
      </c>
      <c r="W347" s="1" t="s">
        <v>263</v>
      </c>
      <c r="X347" s="1" t="s">
        <v>82</v>
      </c>
      <c r="Y347" s="1" t="s">
        <v>1539</v>
      </c>
      <c r="Z347" s="1">
        <v>1.0</v>
      </c>
    </row>
    <row r="348">
      <c r="A348" s="1" t="s">
        <v>1664</v>
      </c>
      <c r="B348" s="1" t="s">
        <v>1522</v>
      </c>
      <c r="C348" s="1" t="s">
        <v>1534</v>
      </c>
      <c r="D348" s="1">
        <v>221.0</v>
      </c>
      <c r="E348" s="1">
        <v>79.0</v>
      </c>
      <c r="F348" s="1">
        <v>80.0</v>
      </c>
      <c r="G348" s="1">
        <v>96.0</v>
      </c>
      <c r="H348" s="1">
        <v>72.0</v>
      </c>
      <c r="I348" s="1">
        <v>50.0</v>
      </c>
      <c r="J348" s="1">
        <v>82.0</v>
      </c>
      <c r="K348" s="1">
        <v>80.0</v>
      </c>
      <c r="L348" s="1">
        <v>80.0</v>
      </c>
      <c r="M348" s="1">
        <v>80.0</v>
      </c>
      <c r="N348" s="1">
        <v>80.0</v>
      </c>
      <c r="O348" s="1">
        <v>72.0</v>
      </c>
      <c r="P348" s="1">
        <v>66.0</v>
      </c>
      <c r="Q348" s="1">
        <v>50.0</v>
      </c>
      <c r="R348" s="1">
        <v>70.0</v>
      </c>
      <c r="S348" s="1">
        <v>80.0</v>
      </c>
      <c r="T348" s="1">
        <v>57.0</v>
      </c>
      <c r="U348" s="1">
        <v>78.0</v>
      </c>
      <c r="V348" s="1">
        <v>80.0</v>
      </c>
      <c r="W348" s="1">
        <v>80.0</v>
      </c>
      <c r="X348" s="1">
        <v>60.0</v>
      </c>
      <c r="Y348" s="1">
        <v>90.0</v>
      </c>
      <c r="Z348" s="1">
        <v>1.0</v>
      </c>
    </row>
    <row r="349">
      <c r="A349" s="1" t="s">
        <v>1294</v>
      </c>
      <c r="B349" s="1" t="s">
        <v>1522</v>
      </c>
      <c r="C349" s="1" t="s">
        <v>970</v>
      </c>
      <c r="D349" s="1" t="s">
        <v>1665</v>
      </c>
      <c r="E349" s="1" t="s">
        <v>1155</v>
      </c>
      <c r="F349" s="1" t="s">
        <v>394</v>
      </c>
      <c r="G349" s="1" t="s">
        <v>260</v>
      </c>
      <c r="H349" s="1" t="s">
        <v>1666</v>
      </c>
      <c r="I349" s="1">
        <v>51.0</v>
      </c>
      <c r="J349" s="1" t="s">
        <v>553</v>
      </c>
      <c r="K349" s="1" t="s">
        <v>128</v>
      </c>
      <c r="L349" s="1" t="s">
        <v>1667</v>
      </c>
      <c r="M349" s="1" t="s">
        <v>974</v>
      </c>
      <c r="N349" s="1" t="s">
        <v>593</v>
      </c>
      <c r="O349" s="1" t="s">
        <v>310</v>
      </c>
      <c r="P349" s="1" t="s">
        <v>1668</v>
      </c>
      <c r="Q349" s="1" t="s">
        <v>424</v>
      </c>
      <c r="R349" s="1" t="s">
        <v>1669</v>
      </c>
      <c r="S349" s="1" t="s">
        <v>520</v>
      </c>
      <c r="T349" s="1" t="s">
        <v>1670</v>
      </c>
      <c r="U349" s="1" t="s">
        <v>1167</v>
      </c>
      <c r="V349" s="1" t="s">
        <v>300</v>
      </c>
      <c r="W349" s="1" t="s">
        <v>183</v>
      </c>
      <c r="X349" s="1" t="s">
        <v>694</v>
      </c>
      <c r="Y349" s="1" t="s">
        <v>300</v>
      </c>
      <c r="Z349" s="1">
        <v>1.0</v>
      </c>
    </row>
    <row r="350">
      <c r="A350" s="1" t="s">
        <v>197</v>
      </c>
      <c r="B350" s="1" t="s">
        <v>1522</v>
      </c>
      <c r="C350" s="1" t="s">
        <v>886</v>
      </c>
      <c r="D350" s="1" t="s">
        <v>1422</v>
      </c>
      <c r="E350" s="1" t="s">
        <v>872</v>
      </c>
      <c r="F350" s="1" t="s">
        <v>31</v>
      </c>
      <c r="G350" s="1" t="s">
        <v>201</v>
      </c>
      <c r="H350" s="1" t="s">
        <v>1671</v>
      </c>
      <c r="I350" s="1" t="s">
        <v>1133</v>
      </c>
      <c r="J350" s="1" t="s">
        <v>1156</v>
      </c>
      <c r="K350" s="1" t="s">
        <v>1176</v>
      </c>
      <c r="L350" s="1" t="s">
        <v>255</v>
      </c>
      <c r="M350" s="1" t="s">
        <v>1063</v>
      </c>
      <c r="N350" s="1" t="s">
        <v>1315</v>
      </c>
      <c r="O350" s="1" t="s">
        <v>190</v>
      </c>
      <c r="P350" s="1" t="s">
        <v>1672</v>
      </c>
      <c r="Q350" s="1" t="s">
        <v>96</v>
      </c>
      <c r="R350" s="1" t="s">
        <v>864</v>
      </c>
      <c r="S350" s="1" t="s">
        <v>1044</v>
      </c>
      <c r="T350" s="1" t="s">
        <v>777</v>
      </c>
      <c r="U350" s="1" t="s">
        <v>781</v>
      </c>
      <c r="V350" s="1" t="s">
        <v>1046</v>
      </c>
      <c r="W350" s="1" t="s">
        <v>1673</v>
      </c>
      <c r="X350" s="1" t="s">
        <v>657</v>
      </c>
      <c r="Y350" s="1" t="s">
        <v>860</v>
      </c>
      <c r="Z350" s="1">
        <v>1.0</v>
      </c>
    </row>
    <row r="351">
      <c r="A351" s="1" t="s">
        <v>1674</v>
      </c>
      <c r="B351" s="1" t="s">
        <v>1522</v>
      </c>
      <c r="C351" s="1" t="s">
        <v>1579</v>
      </c>
      <c r="D351" s="1">
        <v>225.0</v>
      </c>
      <c r="E351" s="1">
        <v>75.0</v>
      </c>
      <c r="F351" s="1">
        <v>80.0</v>
      </c>
      <c r="G351" s="1">
        <v>89.0</v>
      </c>
      <c r="H351" s="1">
        <v>90.0</v>
      </c>
      <c r="I351" s="1">
        <v>50.0</v>
      </c>
      <c r="J351" s="1">
        <v>83.0</v>
      </c>
      <c r="K351" s="1">
        <v>80.0</v>
      </c>
      <c r="L351" s="1">
        <v>85.0</v>
      </c>
      <c r="M351" s="1">
        <v>71.0</v>
      </c>
      <c r="N351" s="1">
        <v>67.0</v>
      </c>
      <c r="O351" s="1">
        <v>68.0</v>
      </c>
      <c r="P351" s="1">
        <v>74.0</v>
      </c>
      <c r="Q351" s="1">
        <v>72.0</v>
      </c>
      <c r="R351" s="1">
        <v>42.0</v>
      </c>
      <c r="S351" s="1">
        <v>84.0</v>
      </c>
      <c r="T351" s="1">
        <v>60.0</v>
      </c>
      <c r="U351" s="1">
        <v>85.0</v>
      </c>
      <c r="V351" s="1">
        <v>78.0</v>
      </c>
      <c r="W351" s="1">
        <v>73.0</v>
      </c>
      <c r="X351" s="1">
        <v>83.0</v>
      </c>
      <c r="Y351" s="1">
        <v>80.0</v>
      </c>
      <c r="Z351" s="1">
        <v>1.0</v>
      </c>
    </row>
    <row r="352">
      <c r="A352" s="1" t="s">
        <v>1675</v>
      </c>
      <c r="B352" s="1" t="s">
        <v>1522</v>
      </c>
      <c r="C352" s="1" t="s">
        <v>970</v>
      </c>
      <c r="D352" s="1">
        <v>190.0</v>
      </c>
      <c r="E352" s="1">
        <v>75.0</v>
      </c>
      <c r="F352" s="1">
        <v>85.0</v>
      </c>
      <c r="G352" s="1">
        <v>93.0</v>
      </c>
      <c r="H352" s="1">
        <v>53.0</v>
      </c>
      <c r="I352" s="1">
        <v>51.0</v>
      </c>
      <c r="J352" s="1">
        <v>81.0</v>
      </c>
      <c r="K352" s="1">
        <v>91.0</v>
      </c>
      <c r="L352" s="1">
        <v>81.0</v>
      </c>
      <c r="M352" s="1">
        <v>80.0</v>
      </c>
      <c r="N352" s="1">
        <v>85.0</v>
      </c>
      <c r="O352" s="1">
        <v>80.0</v>
      </c>
      <c r="P352" s="1">
        <v>85.0</v>
      </c>
      <c r="Q352" s="1">
        <v>60.0</v>
      </c>
      <c r="R352" s="1">
        <v>40.0</v>
      </c>
      <c r="S352" s="1">
        <v>79.0</v>
      </c>
      <c r="T352" s="1">
        <v>47.0</v>
      </c>
      <c r="U352" s="1">
        <v>65.0</v>
      </c>
      <c r="V352" s="1">
        <v>83.0</v>
      </c>
      <c r="W352" s="1">
        <v>80.0</v>
      </c>
      <c r="X352" s="1">
        <v>65.0</v>
      </c>
      <c r="Y352" s="1">
        <v>80.0</v>
      </c>
      <c r="Z352" s="1">
        <v>1.0</v>
      </c>
    </row>
    <row r="353">
      <c r="A353" s="1" t="s">
        <v>1343</v>
      </c>
      <c r="B353" s="1" t="s">
        <v>1522</v>
      </c>
      <c r="C353" s="1" t="s">
        <v>970</v>
      </c>
      <c r="D353" s="1">
        <v>237.0</v>
      </c>
      <c r="E353" s="1">
        <v>74.0</v>
      </c>
      <c r="F353" s="1">
        <v>80.0</v>
      </c>
      <c r="G353" s="1">
        <v>94.0</v>
      </c>
      <c r="H353" s="1">
        <v>59.0</v>
      </c>
      <c r="I353" s="1">
        <v>51.0</v>
      </c>
      <c r="J353" s="1">
        <v>74.0</v>
      </c>
      <c r="K353" s="1">
        <v>83.0</v>
      </c>
      <c r="L353" s="1">
        <v>58.0</v>
      </c>
      <c r="M353" s="1">
        <v>75.0</v>
      </c>
      <c r="N353" s="1">
        <v>86.0</v>
      </c>
      <c r="O353" s="1">
        <v>75.0</v>
      </c>
      <c r="P353" s="1">
        <v>80.0</v>
      </c>
      <c r="Q353" s="1">
        <v>85.0</v>
      </c>
      <c r="R353" s="1">
        <v>70.0</v>
      </c>
      <c r="S353" s="1">
        <v>50.0</v>
      </c>
      <c r="T353" s="1">
        <v>85.0</v>
      </c>
      <c r="U353" s="1">
        <v>70.0</v>
      </c>
      <c r="V353" s="1">
        <v>85.0</v>
      </c>
      <c r="W353" s="1">
        <v>77.0</v>
      </c>
      <c r="X353" s="1">
        <v>66.0</v>
      </c>
      <c r="Y353" s="1">
        <v>85.0</v>
      </c>
      <c r="Z353" s="1">
        <v>1.0</v>
      </c>
    </row>
    <row r="354">
      <c r="A354" s="1" t="s">
        <v>1371</v>
      </c>
      <c r="B354" s="1" t="s">
        <v>1522</v>
      </c>
      <c r="C354" s="1" t="s">
        <v>1534</v>
      </c>
      <c r="D354" s="1">
        <v>245.0</v>
      </c>
      <c r="E354" s="1">
        <v>86.0</v>
      </c>
      <c r="F354" s="1">
        <v>91.0</v>
      </c>
      <c r="G354" s="1">
        <v>91.0</v>
      </c>
      <c r="H354" s="1">
        <v>56.0</v>
      </c>
      <c r="I354" s="1">
        <v>56.0</v>
      </c>
      <c r="J354" s="1">
        <v>94.0</v>
      </c>
      <c r="K354" s="1">
        <v>91.0</v>
      </c>
      <c r="L354" s="1">
        <v>95.0</v>
      </c>
      <c r="M354" s="1">
        <v>85.0</v>
      </c>
      <c r="N354" s="1">
        <v>80.0</v>
      </c>
      <c r="O354" s="1">
        <v>70.0</v>
      </c>
      <c r="P354" s="1">
        <v>70.0</v>
      </c>
      <c r="Q354" s="1">
        <v>80.0</v>
      </c>
      <c r="R354" s="1">
        <v>74.0</v>
      </c>
      <c r="S354" s="1">
        <v>45.0</v>
      </c>
      <c r="T354" s="1">
        <v>65.0</v>
      </c>
      <c r="U354" s="1">
        <v>50.0</v>
      </c>
      <c r="V354" s="1">
        <v>73.0</v>
      </c>
      <c r="W354" s="1">
        <v>70.0</v>
      </c>
      <c r="X354" s="1">
        <v>70.0</v>
      </c>
      <c r="Y354" s="1">
        <v>71.0</v>
      </c>
      <c r="Z354" s="1">
        <v>1.0</v>
      </c>
    </row>
    <row r="355">
      <c r="A355" s="1" t="s">
        <v>640</v>
      </c>
      <c r="B355" s="1" t="s">
        <v>1522</v>
      </c>
      <c r="C355" s="1" t="s">
        <v>886</v>
      </c>
      <c r="D355" s="1" t="s">
        <v>1676</v>
      </c>
      <c r="E355" s="1" t="s">
        <v>157</v>
      </c>
      <c r="F355" s="1" t="s">
        <v>1326</v>
      </c>
      <c r="G355" s="1" t="s">
        <v>277</v>
      </c>
      <c r="H355" s="1" t="s">
        <v>1391</v>
      </c>
      <c r="I355" s="1" t="s">
        <v>1677</v>
      </c>
      <c r="J355" s="1" t="s">
        <v>39</v>
      </c>
      <c r="K355" s="1" t="s">
        <v>60</v>
      </c>
      <c r="L355" s="1" t="s">
        <v>111</v>
      </c>
      <c r="M355" s="1" t="s">
        <v>984</v>
      </c>
      <c r="N355" s="1" t="s">
        <v>495</v>
      </c>
      <c r="O355" s="1" t="s">
        <v>1640</v>
      </c>
      <c r="P355" s="1" t="s">
        <v>1571</v>
      </c>
      <c r="Q355" s="1" t="s">
        <v>1643</v>
      </c>
      <c r="R355" s="1" t="s">
        <v>1678</v>
      </c>
      <c r="S355" s="1" t="s">
        <v>1679</v>
      </c>
      <c r="T355" s="1" t="s">
        <v>1680</v>
      </c>
      <c r="U355" s="1" t="s">
        <v>1681</v>
      </c>
      <c r="V355" s="1" t="s">
        <v>137</v>
      </c>
      <c r="W355" s="1" t="s">
        <v>723</v>
      </c>
      <c r="X355" s="1" t="s">
        <v>1143</v>
      </c>
      <c r="Y355" s="1" t="s">
        <v>243</v>
      </c>
      <c r="Z355" s="1">
        <v>1.0</v>
      </c>
    </row>
    <row r="356">
      <c r="A356" s="1" t="s">
        <v>1682</v>
      </c>
      <c r="B356" s="1" t="s">
        <v>1522</v>
      </c>
      <c r="C356" s="1" t="s">
        <v>1534</v>
      </c>
      <c r="D356" s="1">
        <v>250.0</v>
      </c>
      <c r="E356" s="1">
        <v>82.0</v>
      </c>
      <c r="F356" s="1">
        <v>77.0</v>
      </c>
      <c r="G356" s="1">
        <v>88.0</v>
      </c>
      <c r="H356" s="1">
        <v>53.0</v>
      </c>
      <c r="I356" s="1">
        <v>52.0</v>
      </c>
      <c r="J356" s="1">
        <v>92.0</v>
      </c>
      <c r="K356" s="1">
        <v>83.0</v>
      </c>
      <c r="L356" s="1">
        <v>67.0</v>
      </c>
      <c r="M356" s="1">
        <v>87.0</v>
      </c>
      <c r="N356" s="1">
        <v>80.0</v>
      </c>
      <c r="O356" s="1">
        <v>69.0</v>
      </c>
      <c r="P356" s="1">
        <v>75.0</v>
      </c>
      <c r="Q356" s="1">
        <v>83.0</v>
      </c>
      <c r="R356" s="1">
        <v>79.0</v>
      </c>
      <c r="S356" s="1">
        <v>45.0</v>
      </c>
      <c r="T356" s="1">
        <v>85.0</v>
      </c>
      <c r="U356" s="1">
        <v>79.0</v>
      </c>
      <c r="V356" s="1">
        <v>80.0</v>
      </c>
      <c r="W356" s="1">
        <v>75.0</v>
      </c>
      <c r="X356" s="1">
        <v>78.0</v>
      </c>
      <c r="Y356" s="1">
        <v>77.0</v>
      </c>
      <c r="Z356" s="1">
        <v>1.0</v>
      </c>
    </row>
    <row r="357">
      <c r="A357" s="1" t="s">
        <v>797</v>
      </c>
      <c r="B357" s="1" t="s">
        <v>1522</v>
      </c>
      <c r="C357" s="1" t="s">
        <v>970</v>
      </c>
      <c r="D357" s="1">
        <v>227.0</v>
      </c>
      <c r="E357" s="1">
        <v>73.0</v>
      </c>
      <c r="F357" s="1">
        <v>73.0</v>
      </c>
      <c r="G357" s="1">
        <v>93.0</v>
      </c>
      <c r="H357" s="1">
        <v>53.0</v>
      </c>
      <c r="I357" s="1">
        <v>50.0</v>
      </c>
      <c r="J357" s="1">
        <v>75.0</v>
      </c>
      <c r="K357" s="1">
        <v>85.0</v>
      </c>
      <c r="L357" s="1">
        <v>60.0</v>
      </c>
      <c r="M357" s="1">
        <v>85.0</v>
      </c>
      <c r="N357" s="1">
        <v>85.0</v>
      </c>
      <c r="O357" s="1">
        <v>73.0</v>
      </c>
      <c r="P357" s="1">
        <v>64.0</v>
      </c>
      <c r="Q357" s="1">
        <v>84.0</v>
      </c>
      <c r="R357" s="1">
        <v>79.0</v>
      </c>
      <c r="S357" s="1">
        <v>74.0</v>
      </c>
      <c r="T357" s="1">
        <v>52.0</v>
      </c>
      <c r="U357" s="1">
        <v>56.0</v>
      </c>
      <c r="V357" s="1">
        <v>82.0</v>
      </c>
      <c r="W357" s="1">
        <v>78.0</v>
      </c>
      <c r="X357" s="1">
        <v>73.0</v>
      </c>
      <c r="Y357" s="1">
        <v>80.0</v>
      </c>
      <c r="Z357" s="1">
        <v>1.0</v>
      </c>
    </row>
    <row r="358">
      <c r="A358" s="1" t="s">
        <v>407</v>
      </c>
      <c r="B358" s="1" t="s">
        <v>1522</v>
      </c>
      <c r="C358" s="1" t="s">
        <v>876</v>
      </c>
      <c r="D358" s="1" t="s">
        <v>1683</v>
      </c>
      <c r="E358" s="1" t="s">
        <v>1313</v>
      </c>
      <c r="F358" s="1" t="s">
        <v>583</v>
      </c>
      <c r="G358" s="1" t="s">
        <v>927</v>
      </c>
      <c r="H358" s="1" t="s">
        <v>1684</v>
      </c>
      <c r="I358" s="1" t="s">
        <v>1685</v>
      </c>
      <c r="J358" s="1" t="s">
        <v>384</v>
      </c>
      <c r="K358" s="1" t="s">
        <v>1477</v>
      </c>
      <c r="L358" s="1" t="s">
        <v>1434</v>
      </c>
      <c r="M358" s="1" t="s">
        <v>1686</v>
      </c>
      <c r="N358" s="1" t="s">
        <v>137</v>
      </c>
      <c r="O358" s="1" t="s">
        <v>1258</v>
      </c>
      <c r="P358" s="1" t="s">
        <v>177</v>
      </c>
      <c r="Q358" s="1" t="s">
        <v>1127</v>
      </c>
      <c r="R358" s="1" t="s">
        <v>1001</v>
      </c>
      <c r="S358" s="1" t="s">
        <v>1687</v>
      </c>
      <c r="T358" s="1" t="s">
        <v>1688</v>
      </c>
      <c r="U358" s="1" t="s">
        <v>504</v>
      </c>
      <c r="V358" s="1" t="s">
        <v>633</v>
      </c>
      <c r="W358" s="1" t="s">
        <v>166</v>
      </c>
      <c r="X358" s="1" t="s">
        <v>1689</v>
      </c>
      <c r="Y358" s="1" t="s">
        <v>99</v>
      </c>
      <c r="Z358" s="1">
        <v>1.0</v>
      </c>
    </row>
    <row r="359">
      <c r="A359" s="1" t="s">
        <v>1690</v>
      </c>
      <c r="B359" s="1" t="s">
        <v>1522</v>
      </c>
      <c r="C359" s="1" t="s">
        <v>970</v>
      </c>
      <c r="D359" s="1">
        <v>185.0</v>
      </c>
      <c r="E359" s="1">
        <v>75.0</v>
      </c>
      <c r="F359" s="1">
        <v>75.0</v>
      </c>
      <c r="G359" s="1">
        <v>87.0</v>
      </c>
      <c r="H359" s="1">
        <v>72.0</v>
      </c>
      <c r="I359" s="1">
        <v>51.0</v>
      </c>
      <c r="J359" s="1">
        <v>73.0</v>
      </c>
      <c r="K359" s="1">
        <v>83.0</v>
      </c>
      <c r="L359" s="1">
        <v>70.0</v>
      </c>
      <c r="M359" s="1">
        <v>65.0</v>
      </c>
      <c r="N359" s="1">
        <v>86.0</v>
      </c>
      <c r="O359" s="1">
        <v>80.0</v>
      </c>
      <c r="P359" s="1">
        <v>75.0</v>
      </c>
      <c r="Q359" s="1">
        <v>76.0</v>
      </c>
      <c r="R359" s="1">
        <v>79.0</v>
      </c>
      <c r="S359" s="1">
        <v>88.0</v>
      </c>
      <c r="T359" s="1">
        <v>51.0</v>
      </c>
      <c r="U359" s="1">
        <v>65.0</v>
      </c>
      <c r="V359" s="1">
        <v>85.0</v>
      </c>
      <c r="W359" s="1">
        <v>75.0</v>
      </c>
      <c r="X359" s="1">
        <v>70.0</v>
      </c>
      <c r="Y359" s="1">
        <v>80.0</v>
      </c>
      <c r="Z359" s="1">
        <v>1.0</v>
      </c>
    </row>
    <row r="360">
      <c r="A360" s="1" t="s">
        <v>823</v>
      </c>
      <c r="B360" s="1" t="s">
        <v>1522</v>
      </c>
      <c r="C360" s="1" t="s">
        <v>970</v>
      </c>
      <c r="D360" s="1">
        <v>200.0</v>
      </c>
      <c r="E360" s="1">
        <v>83.0</v>
      </c>
      <c r="F360" s="1">
        <v>88.0</v>
      </c>
      <c r="G360" s="1">
        <v>90.0</v>
      </c>
      <c r="H360" s="1">
        <v>55.0</v>
      </c>
      <c r="I360" s="1">
        <v>60.0</v>
      </c>
      <c r="J360" s="1">
        <v>90.0</v>
      </c>
      <c r="K360" s="1">
        <v>90.0</v>
      </c>
      <c r="L360" s="1">
        <v>66.0</v>
      </c>
      <c r="M360" s="1">
        <v>89.0</v>
      </c>
      <c r="N360" s="1">
        <v>86.0</v>
      </c>
      <c r="O360" s="1">
        <v>79.0</v>
      </c>
      <c r="P360" s="1">
        <v>46.0</v>
      </c>
      <c r="Q360" s="1">
        <v>72.0</v>
      </c>
      <c r="R360" s="1">
        <v>47.0</v>
      </c>
      <c r="S360" s="1">
        <v>33.0</v>
      </c>
      <c r="T360" s="1">
        <v>30.0</v>
      </c>
      <c r="U360" s="1">
        <v>42.0</v>
      </c>
      <c r="V360" s="1">
        <v>86.0</v>
      </c>
      <c r="W360" s="1">
        <v>71.0</v>
      </c>
      <c r="X360" s="1">
        <v>66.0</v>
      </c>
      <c r="Y360" s="1">
        <v>77.0</v>
      </c>
      <c r="Z360" s="1">
        <v>1.0</v>
      </c>
    </row>
    <row r="361">
      <c r="A361" s="1" t="s">
        <v>1691</v>
      </c>
      <c r="B361" s="1" t="s">
        <v>1522</v>
      </c>
      <c r="C361" s="1" t="s">
        <v>970</v>
      </c>
      <c r="D361" s="1" t="s">
        <v>1692</v>
      </c>
      <c r="E361" s="1">
        <v>73.0</v>
      </c>
      <c r="F361" s="1">
        <v>74.0</v>
      </c>
      <c r="G361" s="1">
        <v>91.0</v>
      </c>
      <c r="H361" s="1">
        <v>53.0</v>
      </c>
      <c r="I361" s="1">
        <v>53.0</v>
      </c>
      <c r="J361" s="1">
        <v>73.0</v>
      </c>
      <c r="K361" s="1">
        <v>83.0</v>
      </c>
      <c r="L361" s="1">
        <v>70.0</v>
      </c>
      <c r="M361" s="1">
        <v>85.0</v>
      </c>
      <c r="N361" s="1">
        <v>86.0</v>
      </c>
      <c r="O361" s="1">
        <v>75.0</v>
      </c>
      <c r="P361" s="1">
        <v>60.0</v>
      </c>
      <c r="Q361" s="1">
        <v>92.0</v>
      </c>
      <c r="R361" s="1">
        <v>67.0</v>
      </c>
      <c r="S361" s="1">
        <v>74.0</v>
      </c>
      <c r="T361" s="1">
        <v>80.0</v>
      </c>
      <c r="U361" s="1">
        <v>65.0</v>
      </c>
      <c r="V361" s="1">
        <v>85.0</v>
      </c>
      <c r="W361" s="1">
        <v>76.0</v>
      </c>
      <c r="X361" s="1">
        <v>73.0</v>
      </c>
      <c r="Y361" s="1">
        <v>80.0</v>
      </c>
      <c r="Z361" s="1">
        <v>1.0</v>
      </c>
    </row>
    <row r="362">
      <c r="A362" s="1" t="s">
        <v>1149</v>
      </c>
      <c r="B362" s="1" t="s">
        <v>1522</v>
      </c>
      <c r="C362" s="1" t="s">
        <v>1693</v>
      </c>
      <c r="D362" s="1" t="s">
        <v>1694</v>
      </c>
      <c r="E362" s="1" t="s">
        <v>1695</v>
      </c>
      <c r="F362" s="1" t="s">
        <v>431</v>
      </c>
      <c r="G362" s="1" t="s">
        <v>350</v>
      </c>
      <c r="H362" s="1" t="s">
        <v>1696</v>
      </c>
      <c r="I362" s="1" t="s">
        <v>1697</v>
      </c>
      <c r="J362" s="1" t="s">
        <v>52</v>
      </c>
      <c r="K362" s="1" t="s">
        <v>890</v>
      </c>
      <c r="L362" s="1" t="s">
        <v>1698</v>
      </c>
      <c r="M362" s="1" t="s">
        <v>1699</v>
      </c>
      <c r="N362" s="1" t="s">
        <v>1142</v>
      </c>
      <c r="O362" s="1" t="s">
        <v>1063</v>
      </c>
      <c r="P362" s="1" t="s">
        <v>1700</v>
      </c>
      <c r="Q362" s="1" t="s">
        <v>1701</v>
      </c>
      <c r="R362" s="1" t="s">
        <v>1011</v>
      </c>
      <c r="S362" s="1" t="s">
        <v>254</v>
      </c>
      <c r="T362" s="1" t="s">
        <v>652</v>
      </c>
      <c r="U362" s="1" t="s">
        <v>1702</v>
      </c>
      <c r="V362" s="1" t="s">
        <v>53</v>
      </c>
      <c r="W362" s="1" t="s">
        <v>1703</v>
      </c>
      <c r="X362" s="1" t="s">
        <v>208</v>
      </c>
      <c r="Y362" s="1" t="s">
        <v>243</v>
      </c>
      <c r="Z362" s="1">
        <v>1.0</v>
      </c>
    </row>
    <row r="363">
      <c r="A363" s="1" t="s">
        <v>1030</v>
      </c>
      <c r="B363" s="1" t="s">
        <v>1522</v>
      </c>
      <c r="C363" s="1" t="s">
        <v>876</v>
      </c>
      <c r="D363" s="1" t="s">
        <v>1704</v>
      </c>
      <c r="E363" s="1" t="s">
        <v>590</v>
      </c>
      <c r="F363" s="1" t="s">
        <v>110</v>
      </c>
      <c r="G363" s="1" t="s">
        <v>1296</v>
      </c>
      <c r="H363" s="1" t="s">
        <v>1705</v>
      </c>
      <c r="I363" s="1" t="s">
        <v>1441</v>
      </c>
      <c r="J363" s="1">
        <v>85.0</v>
      </c>
      <c r="K363" s="1" t="s">
        <v>220</v>
      </c>
      <c r="L363" s="1" t="s">
        <v>1326</v>
      </c>
      <c r="M363" s="1" t="s">
        <v>1116</v>
      </c>
      <c r="N363" s="1">
        <v>75.0</v>
      </c>
      <c r="O363" s="1" t="s">
        <v>310</v>
      </c>
      <c r="P363" s="1" t="s">
        <v>204</v>
      </c>
      <c r="Q363" s="1" t="s">
        <v>35</v>
      </c>
      <c r="R363" s="1" t="s">
        <v>1706</v>
      </c>
      <c r="S363" s="1" t="s">
        <v>525</v>
      </c>
      <c r="T363" s="1" t="s">
        <v>1626</v>
      </c>
      <c r="U363" s="1" t="s">
        <v>242</v>
      </c>
      <c r="V363" s="1" t="s">
        <v>548</v>
      </c>
      <c r="W363" s="1">
        <v>76.0</v>
      </c>
      <c r="X363" s="1">
        <v>85.0</v>
      </c>
      <c r="Y363" s="1" t="s">
        <v>843</v>
      </c>
      <c r="Z363" s="1">
        <v>1.0</v>
      </c>
    </row>
    <row r="364">
      <c r="A364" s="1" t="s">
        <v>1707</v>
      </c>
      <c r="B364" s="1" t="s">
        <v>1522</v>
      </c>
      <c r="C364" s="1" t="s">
        <v>1574</v>
      </c>
      <c r="D364" s="1" t="s">
        <v>1708</v>
      </c>
      <c r="E364" s="1" t="s">
        <v>1038</v>
      </c>
      <c r="F364" s="1" t="s">
        <v>323</v>
      </c>
      <c r="G364" s="1" t="s">
        <v>706</v>
      </c>
      <c r="H364" s="1" t="s">
        <v>1709</v>
      </c>
      <c r="I364" s="1" t="s">
        <v>1167</v>
      </c>
      <c r="J364" s="1" t="s">
        <v>174</v>
      </c>
      <c r="K364" s="1" t="s">
        <v>180</v>
      </c>
      <c r="L364" s="1" t="s">
        <v>229</v>
      </c>
      <c r="M364" s="1">
        <v>85.0</v>
      </c>
      <c r="N364" s="1" t="s">
        <v>525</v>
      </c>
      <c r="O364" s="1" t="s">
        <v>1633</v>
      </c>
      <c r="P364" s="1" t="s">
        <v>1710</v>
      </c>
      <c r="Q364" s="1" t="s">
        <v>657</v>
      </c>
      <c r="R364" s="1" t="s">
        <v>716</v>
      </c>
      <c r="S364" s="1" t="s">
        <v>520</v>
      </c>
      <c r="T364" s="1" t="s">
        <v>514</v>
      </c>
      <c r="U364" s="1" t="s">
        <v>404</v>
      </c>
      <c r="V364" s="1" t="s">
        <v>890</v>
      </c>
      <c r="W364" s="1" t="s">
        <v>1616</v>
      </c>
      <c r="X364" s="1" t="s">
        <v>1368</v>
      </c>
      <c r="Y364" s="1" t="s">
        <v>974</v>
      </c>
      <c r="Z364" s="1">
        <v>1.0</v>
      </c>
    </row>
    <row r="365">
      <c r="A365" s="1" t="s">
        <v>1711</v>
      </c>
      <c r="B365" s="1" t="s">
        <v>1522</v>
      </c>
      <c r="C365" s="1" t="s">
        <v>1574</v>
      </c>
      <c r="D365" s="1" t="s">
        <v>1712</v>
      </c>
      <c r="E365" s="1" t="s">
        <v>61</v>
      </c>
      <c r="F365" s="1" t="s">
        <v>938</v>
      </c>
      <c r="G365" s="1" t="s">
        <v>201</v>
      </c>
      <c r="H365" s="1" t="s">
        <v>1713</v>
      </c>
      <c r="I365" s="1" t="s">
        <v>1714</v>
      </c>
      <c r="J365" s="1" t="s">
        <v>79</v>
      </c>
      <c r="K365" s="1" t="s">
        <v>82</v>
      </c>
      <c r="L365" s="1" t="s">
        <v>1701</v>
      </c>
      <c r="M365" s="1" t="s">
        <v>960</v>
      </c>
      <c r="N365" s="1" t="s">
        <v>731</v>
      </c>
      <c r="O365" s="1" t="s">
        <v>368</v>
      </c>
      <c r="P365" s="1" t="s">
        <v>860</v>
      </c>
      <c r="Q365" s="1" t="s">
        <v>1715</v>
      </c>
      <c r="R365" s="1" t="s">
        <v>1716</v>
      </c>
      <c r="S365" s="1" t="s">
        <v>600</v>
      </c>
      <c r="T365" s="1" t="s">
        <v>1717</v>
      </c>
      <c r="U365" s="1" t="s">
        <v>447</v>
      </c>
      <c r="V365" s="1" t="s">
        <v>1267</v>
      </c>
      <c r="W365" s="1" t="s">
        <v>1272</v>
      </c>
      <c r="X365" s="1" t="s">
        <v>105</v>
      </c>
      <c r="Y365" s="1" t="s">
        <v>380</v>
      </c>
      <c r="Z365" s="1">
        <v>1.0</v>
      </c>
    </row>
    <row r="366">
      <c r="A366" s="1" t="s">
        <v>1718</v>
      </c>
      <c r="B366" s="1" t="s">
        <v>1522</v>
      </c>
      <c r="C366" s="1" t="s">
        <v>1693</v>
      </c>
      <c r="D366" s="1" t="s">
        <v>1719</v>
      </c>
      <c r="E366" s="1" t="s">
        <v>1136</v>
      </c>
      <c r="F366" s="1" t="s">
        <v>631</v>
      </c>
      <c r="G366" s="1" t="s">
        <v>462</v>
      </c>
      <c r="H366" s="1" t="s">
        <v>333</v>
      </c>
      <c r="I366" s="1" t="s">
        <v>619</v>
      </c>
      <c r="J366" s="1" t="s">
        <v>991</v>
      </c>
      <c r="K366" s="1" t="s">
        <v>190</v>
      </c>
      <c r="L366" s="1" t="s">
        <v>1720</v>
      </c>
      <c r="M366" s="1" t="s">
        <v>432</v>
      </c>
      <c r="N366" s="1" t="s">
        <v>1258</v>
      </c>
      <c r="O366" s="1" t="s">
        <v>974</v>
      </c>
      <c r="P366" s="1" t="s">
        <v>132</v>
      </c>
      <c r="Q366" s="1" t="s">
        <v>864</v>
      </c>
      <c r="R366" s="1" t="s">
        <v>1721</v>
      </c>
      <c r="S366" s="1" t="s">
        <v>975</v>
      </c>
      <c r="T366" s="1" t="s">
        <v>242</v>
      </c>
      <c r="U366" s="1" t="s">
        <v>525</v>
      </c>
      <c r="V366" s="1" t="s">
        <v>190</v>
      </c>
      <c r="W366" s="1" t="s">
        <v>724</v>
      </c>
      <c r="X366" s="1" t="s">
        <v>1346</v>
      </c>
      <c r="Y366" s="1" t="s">
        <v>730</v>
      </c>
      <c r="Z366" s="1">
        <v>1.0</v>
      </c>
    </row>
    <row r="367">
      <c r="A367" s="1" t="s">
        <v>1268</v>
      </c>
      <c r="B367" s="1" t="s">
        <v>1522</v>
      </c>
      <c r="C367" s="1" t="s">
        <v>971</v>
      </c>
      <c r="D367" s="1" t="s">
        <v>1722</v>
      </c>
      <c r="E367" s="1" t="s">
        <v>1244</v>
      </c>
      <c r="F367" s="1" t="s">
        <v>1428</v>
      </c>
      <c r="G367" s="1" t="s">
        <v>1571</v>
      </c>
      <c r="H367" s="1" t="s">
        <v>418</v>
      </c>
      <c r="I367" s="1" t="s">
        <v>1723</v>
      </c>
      <c r="J367" s="1" t="s">
        <v>1054</v>
      </c>
      <c r="K367" s="1" t="s">
        <v>780</v>
      </c>
      <c r="L367" s="1" t="s">
        <v>1724</v>
      </c>
      <c r="M367" s="1" t="s">
        <v>1206</v>
      </c>
      <c r="N367" s="1" t="s">
        <v>364</v>
      </c>
      <c r="O367" s="1" t="s">
        <v>1292</v>
      </c>
      <c r="P367" s="1" t="s">
        <v>1725</v>
      </c>
      <c r="Q367" s="1" t="s">
        <v>362</v>
      </c>
      <c r="R367" s="1" t="s">
        <v>249</v>
      </c>
      <c r="S367" s="1" t="s">
        <v>944</v>
      </c>
      <c r="T367" s="1" t="s">
        <v>1726</v>
      </c>
      <c r="U367" s="1" t="s">
        <v>509</v>
      </c>
      <c r="V367" s="1" t="s">
        <v>208</v>
      </c>
      <c r="W367" s="1" t="s">
        <v>1046</v>
      </c>
      <c r="X367" s="1" t="s">
        <v>229</v>
      </c>
      <c r="Y367" s="1" t="s">
        <v>98</v>
      </c>
      <c r="Z367" s="1">
        <v>1.0</v>
      </c>
    </row>
    <row r="368">
      <c r="A368" s="1" t="s">
        <v>626</v>
      </c>
      <c r="B368" s="1" t="s">
        <v>1522</v>
      </c>
      <c r="C368" s="1" t="s">
        <v>876</v>
      </c>
      <c r="D368" s="1" t="s">
        <v>1727</v>
      </c>
      <c r="E368" s="1">
        <v>73.0</v>
      </c>
      <c r="F368" s="1" t="s">
        <v>190</v>
      </c>
      <c r="G368" s="1">
        <v>93.0</v>
      </c>
      <c r="H368" s="1" t="s">
        <v>1728</v>
      </c>
      <c r="I368" s="1" t="s">
        <v>889</v>
      </c>
      <c r="J368" s="1" t="s">
        <v>525</v>
      </c>
      <c r="K368" s="1" t="s">
        <v>205</v>
      </c>
      <c r="L368" s="1" t="s">
        <v>1729</v>
      </c>
      <c r="M368" s="1" t="s">
        <v>860</v>
      </c>
      <c r="N368" s="1" t="s">
        <v>180</v>
      </c>
      <c r="O368" s="1" t="s">
        <v>525</v>
      </c>
      <c r="P368" s="1" t="s">
        <v>1227</v>
      </c>
      <c r="Q368" s="1" t="s">
        <v>242</v>
      </c>
      <c r="R368" s="1">
        <v>80.0</v>
      </c>
      <c r="S368" s="1" t="s">
        <v>183</v>
      </c>
      <c r="T368" s="1" t="s">
        <v>1730</v>
      </c>
      <c r="U368" s="1" t="s">
        <v>1731</v>
      </c>
      <c r="V368" s="1" t="s">
        <v>754</v>
      </c>
      <c r="W368" s="1" t="s">
        <v>1478</v>
      </c>
      <c r="X368" s="1" t="s">
        <v>1195</v>
      </c>
      <c r="Y368" s="1" t="s">
        <v>174</v>
      </c>
      <c r="Z368" s="1">
        <v>1.0</v>
      </c>
    </row>
    <row r="369">
      <c r="A369" s="1" t="s">
        <v>611</v>
      </c>
      <c r="B369" s="1" t="s">
        <v>1522</v>
      </c>
      <c r="C369" s="1" t="s">
        <v>970</v>
      </c>
      <c r="D369" s="1" t="s">
        <v>1290</v>
      </c>
      <c r="E369" s="1" t="s">
        <v>1038</v>
      </c>
      <c r="F369" s="1" t="s">
        <v>242</v>
      </c>
      <c r="G369" s="1" t="s">
        <v>201</v>
      </c>
      <c r="H369" s="1" t="s">
        <v>1597</v>
      </c>
      <c r="I369" s="1" t="s">
        <v>880</v>
      </c>
      <c r="J369" s="1" t="s">
        <v>322</v>
      </c>
      <c r="K369" s="1" t="s">
        <v>205</v>
      </c>
      <c r="L369" s="1" t="s">
        <v>335</v>
      </c>
      <c r="M369" s="1" t="s">
        <v>1025</v>
      </c>
      <c r="N369" s="1" t="s">
        <v>1550</v>
      </c>
      <c r="O369" s="1" t="s">
        <v>190</v>
      </c>
      <c r="P369" s="1" t="s">
        <v>285</v>
      </c>
      <c r="Q369" s="1" t="s">
        <v>694</v>
      </c>
      <c r="R369" s="1" t="s">
        <v>206</v>
      </c>
      <c r="S369" s="1" t="s">
        <v>1027</v>
      </c>
      <c r="T369" s="1" t="s">
        <v>898</v>
      </c>
      <c r="U369" s="1" t="s">
        <v>1732</v>
      </c>
      <c r="V369" s="1" t="s">
        <v>220</v>
      </c>
      <c r="W369" s="1" t="s">
        <v>465</v>
      </c>
      <c r="X369" s="1" t="s">
        <v>731</v>
      </c>
      <c r="Y369" s="1" t="s">
        <v>243</v>
      </c>
      <c r="Z369" s="1">
        <v>1.0</v>
      </c>
    </row>
    <row r="370">
      <c r="A370" s="1" t="s">
        <v>326</v>
      </c>
      <c r="B370" s="1" t="s">
        <v>1522</v>
      </c>
      <c r="C370" s="1" t="s">
        <v>876</v>
      </c>
      <c r="D370" s="1" t="s">
        <v>1733</v>
      </c>
      <c r="E370" s="1" t="s">
        <v>1326</v>
      </c>
      <c r="F370" s="1" t="s">
        <v>53</v>
      </c>
      <c r="G370" s="1" t="s">
        <v>1346</v>
      </c>
      <c r="H370" s="1" t="s">
        <v>1734</v>
      </c>
      <c r="I370" s="1" t="s">
        <v>1600</v>
      </c>
      <c r="J370" s="1" t="s">
        <v>322</v>
      </c>
      <c r="K370" s="1" t="s">
        <v>890</v>
      </c>
      <c r="L370" s="1" t="s">
        <v>315</v>
      </c>
      <c r="M370" s="1" t="s">
        <v>1460</v>
      </c>
      <c r="N370" s="1" t="s">
        <v>1315</v>
      </c>
      <c r="O370" s="1" t="s">
        <v>190</v>
      </c>
      <c r="P370" s="1" t="s">
        <v>648</v>
      </c>
      <c r="Q370" s="1" t="s">
        <v>35</v>
      </c>
      <c r="R370" s="1" t="s">
        <v>301</v>
      </c>
      <c r="S370" s="1" t="s">
        <v>1735</v>
      </c>
      <c r="T370" s="1" t="s">
        <v>1736</v>
      </c>
      <c r="U370" s="1" t="s">
        <v>1737</v>
      </c>
      <c r="V370" s="1" t="s">
        <v>1046</v>
      </c>
      <c r="W370" s="1" t="s">
        <v>763</v>
      </c>
      <c r="X370" s="1" t="s">
        <v>1545</v>
      </c>
      <c r="Y370" s="1" t="s">
        <v>207</v>
      </c>
      <c r="Z370" s="1">
        <v>1.0</v>
      </c>
    </row>
    <row r="371">
      <c r="A371" s="1" t="s">
        <v>1042</v>
      </c>
      <c r="B371" s="1" t="s">
        <v>1522</v>
      </c>
      <c r="C371" s="1" t="s">
        <v>876</v>
      </c>
      <c r="D371" s="1" t="s">
        <v>1738</v>
      </c>
      <c r="E371" s="1" t="s">
        <v>224</v>
      </c>
      <c r="F371" s="1" t="s">
        <v>204</v>
      </c>
      <c r="G371" s="1" t="s">
        <v>63</v>
      </c>
      <c r="H371" s="1" t="s">
        <v>1617</v>
      </c>
      <c r="I371" s="1" t="s">
        <v>1739</v>
      </c>
      <c r="J371" s="1" t="s">
        <v>322</v>
      </c>
      <c r="K371" s="1" t="s">
        <v>205</v>
      </c>
      <c r="L371" s="1" t="s">
        <v>155</v>
      </c>
      <c r="M371" s="1" t="s">
        <v>1154</v>
      </c>
      <c r="N371" s="1" t="s">
        <v>180</v>
      </c>
      <c r="O371" s="1" t="s">
        <v>190</v>
      </c>
      <c r="P371" s="1" t="s">
        <v>1740</v>
      </c>
      <c r="Q371" s="1" t="s">
        <v>35</v>
      </c>
      <c r="R371" s="1" t="s">
        <v>268</v>
      </c>
      <c r="S371" s="1" t="s">
        <v>424</v>
      </c>
      <c r="T371" s="1" t="s">
        <v>364</v>
      </c>
      <c r="U371" s="1" t="s">
        <v>128</v>
      </c>
      <c r="V371" s="1" t="s">
        <v>614</v>
      </c>
      <c r="W371" s="1" t="s">
        <v>1300</v>
      </c>
      <c r="X371" s="1" t="s">
        <v>98</v>
      </c>
      <c r="Y371" s="1" t="s">
        <v>174</v>
      </c>
      <c r="Z371" s="1">
        <v>1.0</v>
      </c>
    </row>
    <row r="372">
      <c r="A372" s="1" t="s">
        <v>1214</v>
      </c>
      <c r="B372" s="1" t="s">
        <v>1522</v>
      </c>
      <c r="C372" s="1" t="s">
        <v>876</v>
      </c>
      <c r="D372" s="1" t="s">
        <v>1741</v>
      </c>
      <c r="E372" s="1" t="s">
        <v>204</v>
      </c>
      <c r="F372" s="1" t="s">
        <v>1629</v>
      </c>
      <c r="G372" s="1" t="s">
        <v>150</v>
      </c>
      <c r="H372" s="1" t="s">
        <v>1636</v>
      </c>
      <c r="I372" s="1" t="s">
        <v>880</v>
      </c>
      <c r="J372" s="1" t="s">
        <v>208</v>
      </c>
      <c r="K372" s="1" t="s">
        <v>1199</v>
      </c>
      <c r="L372" s="1" t="s">
        <v>135</v>
      </c>
      <c r="M372" s="1" t="s">
        <v>62</v>
      </c>
      <c r="N372" s="1" t="s">
        <v>1560</v>
      </c>
      <c r="O372" s="1" t="s">
        <v>319</v>
      </c>
      <c r="P372" s="1" t="s">
        <v>1538</v>
      </c>
      <c r="Q372" s="1" t="s">
        <v>485</v>
      </c>
      <c r="R372" s="1" t="s">
        <v>1588</v>
      </c>
      <c r="S372" s="1" t="s">
        <v>110</v>
      </c>
      <c r="T372" s="1" t="s">
        <v>1212</v>
      </c>
      <c r="U372" s="1" t="s">
        <v>828</v>
      </c>
      <c r="V372" s="1" t="s">
        <v>253</v>
      </c>
      <c r="W372" s="1" t="s">
        <v>1550</v>
      </c>
      <c r="X372" s="1" t="s">
        <v>1477</v>
      </c>
      <c r="Y372" s="1" t="s">
        <v>332</v>
      </c>
      <c r="Z372" s="1">
        <v>1.0</v>
      </c>
    </row>
    <row r="373">
      <c r="A373" s="1" t="s">
        <v>1330</v>
      </c>
      <c r="B373" s="1" t="s">
        <v>1522</v>
      </c>
      <c r="C373" s="1" t="s">
        <v>1530</v>
      </c>
      <c r="D373" s="1" t="s">
        <v>1742</v>
      </c>
      <c r="E373" s="1" t="s">
        <v>1743</v>
      </c>
      <c r="F373" s="1" t="s">
        <v>243</v>
      </c>
      <c r="G373" s="1" t="s">
        <v>297</v>
      </c>
      <c r="H373" s="1" t="s">
        <v>1744</v>
      </c>
      <c r="I373" s="1" t="s">
        <v>1365</v>
      </c>
      <c r="J373" s="1" t="s">
        <v>36</v>
      </c>
      <c r="K373" s="1" t="s">
        <v>227</v>
      </c>
      <c r="L373" s="1" t="s">
        <v>135</v>
      </c>
      <c r="M373" s="1" t="s">
        <v>35</v>
      </c>
      <c r="N373" s="1" t="s">
        <v>190</v>
      </c>
      <c r="O373" s="1" t="s">
        <v>872</v>
      </c>
      <c r="P373" s="1" t="s">
        <v>1008</v>
      </c>
      <c r="Q373" s="1" t="s">
        <v>213</v>
      </c>
      <c r="R373" s="1" t="s">
        <v>1236</v>
      </c>
      <c r="S373" s="1" t="s">
        <v>38</v>
      </c>
      <c r="T373" s="1" t="s">
        <v>1745</v>
      </c>
      <c r="U373" s="1" t="s">
        <v>828</v>
      </c>
      <c r="V373" s="1" t="s">
        <v>323</v>
      </c>
      <c r="W373" s="1" t="s">
        <v>1326</v>
      </c>
      <c r="X373" s="1" t="s">
        <v>1525</v>
      </c>
      <c r="Y373" s="1" t="s">
        <v>113</v>
      </c>
      <c r="Z373" s="1">
        <v>1.0</v>
      </c>
    </row>
    <row r="374">
      <c r="A374" s="1" t="s">
        <v>1746</v>
      </c>
      <c r="B374" s="1" t="s">
        <v>1522</v>
      </c>
      <c r="C374" s="1" t="s">
        <v>1574</v>
      </c>
      <c r="D374" s="1" t="s">
        <v>1747</v>
      </c>
      <c r="E374" s="1" t="s">
        <v>164</v>
      </c>
      <c r="F374" s="1" t="s">
        <v>827</v>
      </c>
      <c r="G374" s="1" t="s">
        <v>1748</v>
      </c>
      <c r="H374" s="1" t="s">
        <v>1749</v>
      </c>
      <c r="I374" s="1" t="s">
        <v>1750</v>
      </c>
      <c r="J374" s="1" t="s">
        <v>413</v>
      </c>
      <c r="K374" s="1" t="s">
        <v>850</v>
      </c>
      <c r="L374" s="1" t="s">
        <v>1227</v>
      </c>
      <c r="M374" s="1" t="s">
        <v>884</v>
      </c>
      <c r="N374" s="1" t="s">
        <v>525</v>
      </c>
      <c r="O374" s="1" t="s">
        <v>1751</v>
      </c>
      <c r="P374" s="1">
        <v>88.0</v>
      </c>
      <c r="Q374" s="1" t="s">
        <v>582</v>
      </c>
      <c r="R374" s="1" t="s">
        <v>880</v>
      </c>
      <c r="S374" s="1" t="s">
        <v>410</v>
      </c>
      <c r="T374" s="1" t="s">
        <v>1752</v>
      </c>
      <c r="U374" s="1" t="s">
        <v>1753</v>
      </c>
      <c r="V374" s="1" t="s">
        <v>205</v>
      </c>
      <c r="W374" s="1" t="s">
        <v>410</v>
      </c>
      <c r="X374" s="1" t="s">
        <v>1477</v>
      </c>
      <c r="Y374" s="1" t="s">
        <v>525</v>
      </c>
      <c r="Z374" s="1">
        <v>1.0</v>
      </c>
    </row>
    <row r="375">
      <c r="A375" s="1" t="s">
        <v>1501</v>
      </c>
      <c r="B375" s="1" t="s">
        <v>1522</v>
      </c>
      <c r="C375" s="1" t="s">
        <v>1754</v>
      </c>
      <c r="D375" s="1" t="s">
        <v>1747</v>
      </c>
      <c r="E375" s="1" t="s">
        <v>404</v>
      </c>
      <c r="F375" s="1" t="s">
        <v>633</v>
      </c>
      <c r="G375" s="1" t="s">
        <v>201</v>
      </c>
      <c r="H375" s="1" t="s">
        <v>1755</v>
      </c>
      <c r="I375" s="1" t="s">
        <v>317</v>
      </c>
      <c r="J375" s="1">
        <v>80.0</v>
      </c>
      <c r="K375" s="1" t="s">
        <v>180</v>
      </c>
      <c r="L375" s="1" t="s">
        <v>525</v>
      </c>
      <c r="M375" s="1" t="s">
        <v>1751</v>
      </c>
      <c r="N375" s="1" t="s">
        <v>619</v>
      </c>
      <c r="O375" s="1" t="s">
        <v>204</v>
      </c>
      <c r="P375" s="1" t="s">
        <v>1151</v>
      </c>
      <c r="Q375" s="1" t="s">
        <v>614</v>
      </c>
      <c r="R375" s="1" t="s">
        <v>48</v>
      </c>
      <c r="S375" s="1" t="s">
        <v>1033</v>
      </c>
      <c r="T375" s="1" t="s">
        <v>1375</v>
      </c>
      <c r="U375" s="1" t="s">
        <v>190</v>
      </c>
      <c r="V375" s="1">
        <v>80.0</v>
      </c>
      <c r="W375" s="1" t="s">
        <v>235</v>
      </c>
      <c r="X375" s="1" t="s">
        <v>1155</v>
      </c>
      <c r="Y375" s="1" t="s">
        <v>174</v>
      </c>
      <c r="Z375" s="1">
        <v>1.0</v>
      </c>
    </row>
    <row r="376">
      <c r="A376" s="1" t="s">
        <v>1756</v>
      </c>
      <c r="B376" s="1" t="s">
        <v>1522</v>
      </c>
      <c r="C376" s="1" t="s">
        <v>192</v>
      </c>
      <c r="D376" s="1" t="s">
        <v>1757</v>
      </c>
      <c r="E376" s="1" t="s">
        <v>525</v>
      </c>
      <c r="F376" s="1" t="s">
        <v>595</v>
      </c>
      <c r="G376" s="1">
        <v>93.0</v>
      </c>
      <c r="H376" s="1">
        <v>72.0</v>
      </c>
      <c r="I376" s="1" t="s">
        <v>1758</v>
      </c>
      <c r="J376" s="1" t="s">
        <v>1023</v>
      </c>
      <c r="K376" s="1" t="s">
        <v>52</v>
      </c>
      <c r="L376" s="1" t="s">
        <v>675</v>
      </c>
      <c r="M376" s="1" t="s">
        <v>711</v>
      </c>
      <c r="N376" s="1">
        <v>75.0</v>
      </c>
      <c r="O376" s="1" t="s">
        <v>134</v>
      </c>
      <c r="P376" s="1" t="s">
        <v>1112</v>
      </c>
      <c r="Q376" s="1" t="s">
        <v>1224</v>
      </c>
      <c r="R376" s="1" t="s">
        <v>1548</v>
      </c>
      <c r="S376" s="1" t="s">
        <v>1088</v>
      </c>
      <c r="T376" s="1" t="s">
        <v>1699</v>
      </c>
      <c r="U376" s="1" t="s">
        <v>437</v>
      </c>
      <c r="V376" s="1" t="s">
        <v>1477</v>
      </c>
      <c r="W376" s="1" t="s">
        <v>592</v>
      </c>
      <c r="X376" s="1" t="s">
        <v>242</v>
      </c>
      <c r="Y376" s="1" t="s">
        <v>1046</v>
      </c>
      <c r="Z376" s="1">
        <v>1.0</v>
      </c>
    </row>
    <row r="377">
      <c r="A377" s="1" t="s">
        <v>1759</v>
      </c>
      <c r="B377" s="1" t="s">
        <v>1522</v>
      </c>
      <c r="C377" s="1" t="s">
        <v>1534</v>
      </c>
      <c r="D377" s="1">
        <v>225.0</v>
      </c>
      <c r="E377" s="1">
        <v>90.0</v>
      </c>
      <c r="F377" s="1">
        <v>89.0</v>
      </c>
      <c r="G377" s="1">
        <v>83.0</v>
      </c>
      <c r="H377" s="1">
        <v>53.0</v>
      </c>
      <c r="I377" s="1">
        <v>60.0</v>
      </c>
      <c r="J377" s="1">
        <v>83.0</v>
      </c>
      <c r="K377" s="1">
        <v>82.0</v>
      </c>
      <c r="L377" s="1">
        <v>64.0</v>
      </c>
      <c r="M377" s="1">
        <v>87.0</v>
      </c>
      <c r="N377" s="1">
        <v>80.0</v>
      </c>
      <c r="O377" s="1">
        <v>71.0</v>
      </c>
      <c r="P377" s="1">
        <v>75.0</v>
      </c>
      <c r="Q377" s="1">
        <v>88.0</v>
      </c>
      <c r="R377" s="1">
        <v>82.0</v>
      </c>
      <c r="S377" s="1">
        <v>49.0</v>
      </c>
      <c r="T377" s="1">
        <v>37.0</v>
      </c>
      <c r="U377" s="1">
        <v>61.0</v>
      </c>
      <c r="V377" s="1">
        <v>82.0</v>
      </c>
      <c r="W377" s="1">
        <v>78.0</v>
      </c>
      <c r="X377" s="1">
        <v>56.0</v>
      </c>
      <c r="Y377" s="1">
        <v>88.0</v>
      </c>
      <c r="Z377" s="1">
        <v>1.0</v>
      </c>
    </row>
    <row r="378">
      <c r="A378" s="1" t="s">
        <v>1760</v>
      </c>
      <c r="B378" s="1" t="s">
        <v>1522</v>
      </c>
      <c r="C378" s="1" t="s">
        <v>1612</v>
      </c>
      <c r="D378" s="1" t="s">
        <v>1761</v>
      </c>
      <c r="E378" s="1" t="s">
        <v>1112</v>
      </c>
      <c r="F378" s="1" t="s">
        <v>844</v>
      </c>
      <c r="G378" s="1" t="s">
        <v>1762</v>
      </c>
      <c r="H378" s="1" t="s">
        <v>1763</v>
      </c>
      <c r="I378" s="1" t="s">
        <v>1764</v>
      </c>
      <c r="J378" s="1" t="s">
        <v>1765</v>
      </c>
      <c r="K378" s="1" t="s">
        <v>1258</v>
      </c>
      <c r="L378" s="1" t="s">
        <v>1766</v>
      </c>
      <c r="M378" s="1" t="s">
        <v>1767</v>
      </c>
      <c r="N378" s="1" t="s">
        <v>1720</v>
      </c>
      <c r="O378" s="1" t="s">
        <v>518</v>
      </c>
      <c r="P378" s="1" t="s">
        <v>553</v>
      </c>
      <c r="Q378" s="1">
        <v>92.0</v>
      </c>
      <c r="R378" s="1">
        <v>85.0</v>
      </c>
      <c r="S378" s="1" t="s">
        <v>909</v>
      </c>
      <c r="T378" s="1" t="s">
        <v>105</v>
      </c>
      <c r="U378" s="1" t="s">
        <v>35</v>
      </c>
      <c r="V378" s="1" t="s">
        <v>187</v>
      </c>
      <c r="W378" s="1" t="s">
        <v>1213</v>
      </c>
      <c r="X378" s="1" t="s">
        <v>700</v>
      </c>
      <c r="Y378" s="1" t="s">
        <v>300</v>
      </c>
      <c r="Z378" s="1">
        <v>1.0</v>
      </c>
    </row>
    <row r="379">
      <c r="A379" s="1" t="s">
        <v>1768</v>
      </c>
      <c r="B379" s="1" t="s">
        <v>1522</v>
      </c>
      <c r="C379" s="1" t="s">
        <v>1754</v>
      </c>
      <c r="D379" s="1" t="s">
        <v>1769</v>
      </c>
      <c r="E379" s="1" t="s">
        <v>808</v>
      </c>
      <c r="F379" s="1" t="s">
        <v>235</v>
      </c>
      <c r="G379" s="1" t="s">
        <v>1625</v>
      </c>
      <c r="H379" s="1" t="s">
        <v>88</v>
      </c>
      <c r="I379" s="1" t="s">
        <v>1770</v>
      </c>
      <c r="J379" s="1" t="s">
        <v>242</v>
      </c>
      <c r="K379" s="1">
        <v>80.0</v>
      </c>
      <c r="L379" s="1" t="s">
        <v>752</v>
      </c>
      <c r="M379" s="1" t="s">
        <v>1142</v>
      </c>
      <c r="N379" s="1">
        <v>80.0</v>
      </c>
      <c r="O379" s="1" t="s">
        <v>590</v>
      </c>
      <c r="P379" s="1" t="s">
        <v>530</v>
      </c>
      <c r="Q379" s="1" t="s">
        <v>863</v>
      </c>
      <c r="R379" s="1" t="s">
        <v>1151</v>
      </c>
      <c r="S379" s="1" t="s">
        <v>1008</v>
      </c>
      <c r="T379" s="1" t="s">
        <v>1427</v>
      </c>
      <c r="U379" s="1" t="s">
        <v>796</v>
      </c>
      <c r="V379" s="1" t="s">
        <v>1477</v>
      </c>
      <c r="W379" s="1" t="s">
        <v>927</v>
      </c>
      <c r="X379" s="1" t="s">
        <v>48</v>
      </c>
      <c r="Y379" s="1" t="s">
        <v>96</v>
      </c>
      <c r="Z379" s="1">
        <v>1.0</v>
      </c>
    </row>
    <row r="380">
      <c r="A380" s="1" t="s">
        <v>1771</v>
      </c>
      <c r="B380" s="1" t="s">
        <v>1522</v>
      </c>
      <c r="C380" s="1" t="s">
        <v>1579</v>
      </c>
      <c r="D380" s="1">
        <v>223.0</v>
      </c>
      <c r="E380" s="1">
        <v>80.0</v>
      </c>
      <c r="F380" s="1">
        <v>68.0</v>
      </c>
      <c r="G380" s="1">
        <v>87.0</v>
      </c>
      <c r="H380" s="1">
        <v>60.0</v>
      </c>
      <c r="I380" s="1">
        <v>57.0</v>
      </c>
      <c r="J380" s="1">
        <v>90.0</v>
      </c>
      <c r="K380" s="1">
        <v>89.0</v>
      </c>
      <c r="L380" s="1">
        <v>67.0</v>
      </c>
      <c r="M380" s="1">
        <v>92.0</v>
      </c>
      <c r="N380" s="1">
        <v>70.0</v>
      </c>
      <c r="O380" s="1">
        <v>50.0</v>
      </c>
      <c r="P380" s="1">
        <v>90.0</v>
      </c>
      <c r="Q380" s="1">
        <v>70.0</v>
      </c>
      <c r="R380" s="1">
        <v>55.0</v>
      </c>
      <c r="S380" s="1">
        <v>88.0</v>
      </c>
      <c r="T380" s="1">
        <v>60.0</v>
      </c>
      <c r="U380" s="1">
        <v>85.0</v>
      </c>
      <c r="V380" s="1">
        <v>70.0</v>
      </c>
      <c r="W380" s="1">
        <v>55.0</v>
      </c>
      <c r="X380" s="1">
        <v>84.0</v>
      </c>
      <c r="Y380" s="1">
        <v>80.0</v>
      </c>
      <c r="Z380" s="1">
        <v>1.0</v>
      </c>
    </row>
    <row r="381">
      <c r="A381" s="1" t="s">
        <v>1772</v>
      </c>
      <c r="B381" s="1" t="s">
        <v>1522</v>
      </c>
      <c r="C381" s="1" t="s">
        <v>1530</v>
      </c>
      <c r="D381" s="1" t="s">
        <v>1773</v>
      </c>
      <c r="E381" s="1" t="s">
        <v>95</v>
      </c>
      <c r="F381" s="1" t="s">
        <v>110</v>
      </c>
      <c r="G381" s="1" t="s">
        <v>396</v>
      </c>
      <c r="H381" s="1" t="s">
        <v>1774</v>
      </c>
      <c r="I381" s="1" t="s">
        <v>66</v>
      </c>
      <c r="J381" s="1" t="s">
        <v>78</v>
      </c>
      <c r="K381" s="1" t="s">
        <v>208</v>
      </c>
      <c r="L381" s="1" t="s">
        <v>242</v>
      </c>
      <c r="M381" s="1" t="s">
        <v>1285</v>
      </c>
      <c r="N381" s="1" t="s">
        <v>404</v>
      </c>
      <c r="O381" s="1" t="s">
        <v>1775</v>
      </c>
      <c r="P381" s="1" t="s">
        <v>507</v>
      </c>
      <c r="Q381" s="1" t="s">
        <v>1199</v>
      </c>
      <c r="R381" s="1" t="s">
        <v>884</v>
      </c>
      <c r="S381" s="1" t="s">
        <v>509</v>
      </c>
      <c r="T381" s="1" t="s">
        <v>1027</v>
      </c>
      <c r="U381" s="1" t="s">
        <v>1292</v>
      </c>
      <c r="V381" s="1" t="s">
        <v>225</v>
      </c>
      <c r="W381" s="1" t="s">
        <v>384</v>
      </c>
      <c r="X381" s="1" t="s">
        <v>657</v>
      </c>
      <c r="Y381" s="1" t="s">
        <v>1776</v>
      </c>
      <c r="Z381" s="1">
        <v>1.0</v>
      </c>
    </row>
    <row r="382">
      <c r="A382" s="1" t="s">
        <v>1777</v>
      </c>
      <c r="B382" s="1" t="s">
        <v>1522</v>
      </c>
      <c r="C382" s="1" t="s">
        <v>1574</v>
      </c>
      <c r="D382" s="1" t="s">
        <v>1778</v>
      </c>
      <c r="E382" s="1" t="s">
        <v>221</v>
      </c>
      <c r="F382" s="1" t="s">
        <v>242</v>
      </c>
      <c r="G382" s="1" t="s">
        <v>1054</v>
      </c>
      <c r="H382" s="1" t="s">
        <v>38</v>
      </c>
      <c r="I382" s="1" t="s">
        <v>1779</v>
      </c>
      <c r="J382" s="1" t="s">
        <v>597</v>
      </c>
      <c r="K382" s="1" t="s">
        <v>208</v>
      </c>
      <c r="L382" s="1" t="s">
        <v>363</v>
      </c>
      <c r="M382" s="1" t="s">
        <v>490</v>
      </c>
      <c r="N382" s="1" t="s">
        <v>1189</v>
      </c>
      <c r="O382" s="1" t="s">
        <v>839</v>
      </c>
      <c r="P382" s="1" t="s">
        <v>242</v>
      </c>
      <c r="Q382" s="1" t="s">
        <v>1199</v>
      </c>
      <c r="R382" s="1" t="s">
        <v>204</v>
      </c>
      <c r="S382" s="1" t="s">
        <v>716</v>
      </c>
      <c r="T382" s="1" t="s">
        <v>157</v>
      </c>
      <c r="U382" s="1" t="s">
        <v>242</v>
      </c>
      <c r="V382" s="1" t="s">
        <v>190</v>
      </c>
      <c r="W382" s="1" t="s">
        <v>1054</v>
      </c>
      <c r="X382" s="1" t="s">
        <v>113</v>
      </c>
      <c r="Y382" s="1" t="s">
        <v>134</v>
      </c>
      <c r="Z382" s="1">
        <v>1.0</v>
      </c>
    </row>
    <row r="383">
      <c r="A383" s="1" t="s">
        <v>1780</v>
      </c>
      <c r="B383" s="1" t="s">
        <v>1522</v>
      </c>
      <c r="C383" s="1" t="s">
        <v>1754</v>
      </c>
      <c r="D383" s="1">
        <v>185.0</v>
      </c>
      <c r="E383" s="1">
        <v>69.0</v>
      </c>
      <c r="F383" s="1" t="s">
        <v>839</v>
      </c>
      <c r="G383" s="1">
        <v>89.0</v>
      </c>
      <c r="H383" s="1" t="s">
        <v>1781</v>
      </c>
      <c r="I383" s="1" t="s">
        <v>313</v>
      </c>
      <c r="J383" s="1" t="s">
        <v>204</v>
      </c>
      <c r="K383" s="1">
        <v>80.0</v>
      </c>
      <c r="L383" s="1" t="s">
        <v>995</v>
      </c>
      <c r="M383" s="1" t="s">
        <v>363</v>
      </c>
      <c r="N383" s="1">
        <v>56.0</v>
      </c>
      <c r="O383" s="1" t="s">
        <v>1782</v>
      </c>
      <c r="P383" s="1" t="s">
        <v>1054</v>
      </c>
      <c r="Q383" s="1">
        <v>92.0</v>
      </c>
      <c r="R383" s="1" t="s">
        <v>1783</v>
      </c>
      <c r="S383" s="1" t="s">
        <v>128</v>
      </c>
      <c r="T383" s="1" t="s">
        <v>437</v>
      </c>
      <c r="U383" s="1">
        <v>85.0</v>
      </c>
      <c r="V383" s="1" t="s">
        <v>187</v>
      </c>
      <c r="W383" s="1" t="s">
        <v>180</v>
      </c>
      <c r="X383" s="1" t="s">
        <v>1753</v>
      </c>
      <c r="Y383" s="1" t="s">
        <v>1313</v>
      </c>
      <c r="Z383" s="1">
        <v>1.0</v>
      </c>
    </row>
    <row r="384">
      <c r="A384" s="1" t="s">
        <v>1335</v>
      </c>
      <c r="B384" s="1" t="s">
        <v>1522</v>
      </c>
      <c r="C384" s="1" t="s">
        <v>1530</v>
      </c>
      <c r="D384" s="1" t="s">
        <v>1784</v>
      </c>
      <c r="E384" s="1" t="s">
        <v>1326</v>
      </c>
      <c r="F384" s="1" t="s">
        <v>1054</v>
      </c>
      <c r="G384" s="1" t="s">
        <v>154</v>
      </c>
      <c r="H384" s="1" t="s">
        <v>1779</v>
      </c>
      <c r="I384" s="1" t="s">
        <v>334</v>
      </c>
      <c r="J384" s="1" t="s">
        <v>390</v>
      </c>
      <c r="K384" s="1" t="s">
        <v>52</v>
      </c>
      <c r="L384" s="1" t="s">
        <v>1785</v>
      </c>
      <c r="M384" s="1" t="s">
        <v>1292</v>
      </c>
      <c r="N384" s="1" t="s">
        <v>31</v>
      </c>
      <c r="O384" s="1" t="s">
        <v>363</v>
      </c>
      <c r="P384" s="1" t="s">
        <v>242</v>
      </c>
      <c r="Q384" s="1" t="s">
        <v>1199</v>
      </c>
      <c r="R384" s="1" t="s">
        <v>1786</v>
      </c>
      <c r="S384" s="1" t="s">
        <v>671</v>
      </c>
      <c r="T384" s="1" t="s">
        <v>1289</v>
      </c>
      <c r="U384" s="1" t="s">
        <v>35</v>
      </c>
      <c r="V384" s="1" t="s">
        <v>113</v>
      </c>
      <c r="W384" s="1" t="s">
        <v>204</v>
      </c>
      <c r="X384" s="1" t="s">
        <v>1634</v>
      </c>
      <c r="Y384" s="1" t="s">
        <v>243</v>
      </c>
      <c r="Z384" s="1">
        <v>1.0</v>
      </c>
    </row>
    <row r="385">
      <c r="A385" s="1" t="s">
        <v>372</v>
      </c>
      <c r="B385" s="1" t="s">
        <v>1522</v>
      </c>
      <c r="C385" s="1" t="s">
        <v>1612</v>
      </c>
      <c r="D385" s="1" t="s">
        <v>1302</v>
      </c>
      <c r="E385" s="1" t="s">
        <v>265</v>
      </c>
      <c r="F385" s="1" t="s">
        <v>157</v>
      </c>
      <c r="G385" s="1" t="s">
        <v>742</v>
      </c>
      <c r="H385" s="1" t="s">
        <v>1567</v>
      </c>
      <c r="I385" s="1" t="s">
        <v>940</v>
      </c>
      <c r="J385" s="1" t="s">
        <v>1787</v>
      </c>
      <c r="K385" s="1" t="s">
        <v>850</v>
      </c>
      <c r="L385" s="1" t="s">
        <v>1788</v>
      </c>
      <c r="M385" s="1" t="s">
        <v>1143</v>
      </c>
      <c r="N385" s="1" t="s">
        <v>190</v>
      </c>
      <c r="O385" s="1" t="s">
        <v>631</v>
      </c>
      <c r="P385" s="1" t="s">
        <v>685</v>
      </c>
      <c r="Q385" s="1" t="s">
        <v>229</v>
      </c>
      <c r="R385" s="1" t="s">
        <v>531</v>
      </c>
      <c r="S385" s="1" t="s">
        <v>143</v>
      </c>
      <c r="T385" s="1" t="s">
        <v>1293</v>
      </c>
      <c r="U385" s="1" t="s">
        <v>1789</v>
      </c>
      <c r="V385" s="1" t="s">
        <v>766</v>
      </c>
      <c r="W385" s="1" t="s">
        <v>1199</v>
      </c>
      <c r="X385" s="1" t="s">
        <v>796</v>
      </c>
      <c r="Y385" s="1" t="s">
        <v>212</v>
      </c>
      <c r="Z385" s="1">
        <v>1.0</v>
      </c>
    </row>
    <row r="386">
      <c r="A386" s="1" t="s">
        <v>1790</v>
      </c>
      <c r="B386" s="1" t="s">
        <v>1522</v>
      </c>
      <c r="C386" s="1" t="s">
        <v>1579</v>
      </c>
      <c r="D386" s="1">
        <v>200.0</v>
      </c>
      <c r="E386" s="1">
        <v>84.0</v>
      </c>
      <c r="F386" s="1">
        <v>85.0</v>
      </c>
      <c r="G386" s="1">
        <v>80.0</v>
      </c>
      <c r="H386" s="1">
        <v>81.0</v>
      </c>
      <c r="I386" s="1">
        <v>84.0</v>
      </c>
      <c r="J386" s="1">
        <v>73.0</v>
      </c>
      <c r="K386" s="1">
        <v>83.0</v>
      </c>
      <c r="L386" s="1">
        <v>94.0</v>
      </c>
      <c r="M386" s="1">
        <v>80.0</v>
      </c>
      <c r="N386" s="1">
        <v>72.0</v>
      </c>
      <c r="O386" s="1">
        <v>61.0</v>
      </c>
      <c r="P386" s="1">
        <v>74.0</v>
      </c>
      <c r="Q386" s="1">
        <v>74.0</v>
      </c>
      <c r="R386" s="1">
        <v>60.0</v>
      </c>
      <c r="S386" s="1">
        <v>84.0</v>
      </c>
      <c r="T386" s="1">
        <v>70.0</v>
      </c>
      <c r="U386" s="1">
        <v>85.0</v>
      </c>
      <c r="V386" s="1">
        <v>82.0</v>
      </c>
      <c r="W386" s="1">
        <v>78.0</v>
      </c>
      <c r="X386" s="1">
        <v>73.0</v>
      </c>
      <c r="Y386" s="1">
        <v>80.0</v>
      </c>
      <c r="Z386" s="1">
        <v>1.0</v>
      </c>
    </row>
    <row r="387">
      <c r="A387" s="1" t="s">
        <v>1791</v>
      </c>
      <c r="B387" s="1" t="s">
        <v>1522</v>
      </c>
      <c r="C387" s="1" t="s">
        <v>192</v>
      </c>
      <c r="D387" s="1">
        <v>215.0</v>
      </c>
      <c r="E387" s="1">
        <v>79.0</v>
      </c>
      <c r="F387" s="1">
        <v>79.0</v>
      </c>
      <c r="G387" s="1">
        <v>93.0</v>
      </c>
      <c r="H387" s="1">
        <v>60.0</v>
      </c>
      <c r="I387" s="1">
        <v>51.0</v>
      </c>
      <c r="J387" s="1">
        <v>71.0</v>
      </c>
      <c r="K387" s="1">
        <v>80.0</v>
      </c>
      <c r="L387" s="1">
        <v>58.0</v>
      </c>
      <c r="M387" s="1">
        <v>71.0</v>
      </c>
      <c r="N387" s="1">
        <v>80.0</v>
      </c>
      <c r="O387" s="1">
        <v>70.0</v>
      </c>
      <c r="P387" s="1">
        <v>86.0</v>
      </c>
      <c r="Q387" s="1">
        <v>73.0</v>
      </c>
      <c r="R387" s="1">
        <v>66.0</v>
      </c>
      <c r="S387" s="1">
        <v>71.0</v>
      </c>
      <c r="T387" s="1">
        <v>62.0</v>
      </c>
      <c r="U387" s="1">
        <v>83.0</v>
      </c>
      <c r="V387" s="1">
        <v>87.0</v>
      </c>
      <c r="W387" s="1">
        <v>75.0</v>
      </c>
      <c r="X387" s="1">
        <v>86.0</v>
      </c>
      <c r="Y387" s="1">
        <v>88.0</v>
      </c>
      <c r="Z387" s="1">
        <v>1.0</v>
      </c>
    </row>
    <row r="388">
      <c r="A388" s="1" t="s">
        <v>1456</v>
      </c>
      <c r="B388" s="1" t="s">
        <v>1522</v>
      </c>
      <c r="C388" s="1" t="s">
        <v>970</v>
      </c>
      <c r="D388" s="1" t="s">
        <v>1792</v>
      </c>
      <c r="E388" s="1" t="s">
        <v>729</v>
      </c>
      <c r="F388" s="1" t="s">
        <v>31</v>
      </c>
      <c r="G388" s="1" t="s">
        <v>1296</v>
      </c>
      <c r="H388" s="1" t="s">
        <v>1487</v>
      </c>
      <c r="I388" s="1">
        <v>51.0</v>
      </c>
      <c r="J388" s="1" t="s">
        <v>82</v>
      </c>
      <c r="K388" s="1" t="s">
        <v>400</v>
      </c>
      <c r="L388" s="1" t="s">
        <v>1566</v>
      </c>
      <c r="M388" s="1" t="s">
        <v>1566</v>
      </c>
      <c r="N388" s="1">
        <v>86.0</v>
      </c>
      <c r="O388" s="1" t="s">
        <v>1313</v>
      </c>
      <c r="P388" s="1" t="s">
        <v>428</v>
      </c>
      <c r="Q388" s="1" t="s">
        <v>213</v>
      </c>
      <c r="R388" s="1" t="s">
        <v>1793</v>
      </c>
      <c r="S388" s="1" t="s">
        <v>671</v>
      </c>
      <c r="T388" s="1" t="s">
        <v>1794</v>
      </c>
      <c r="U388" s="1">
        <v>80.0</v>
      </c>
      <c r="V388" s="1" t="s">
        <v>300</v>
      </c>
      <c r="W388" s="1" t="s">
        <v>761</v>
      </c>
      <c r="X388" s="1" t="s">
        <v>635</v>
      </c>
      <c r="Y388" s="1" t="s">
        <v>190</v>
      </c>
      <c r="Z388" s="1">
        <v>1.0</v>
      </c>
    </row>
    <row r="389">
      <c r="A389" s="1" t="s">
        <v>1795</v>
      </c>
      <c r="B389" s="1" t="s">
        <v>1522</v>
      </c>
      <c r="C389" s="1" t="s">
        <v>1579</v>
      </c>
      <c r="D389" s="1">
        <v>200.0</v>
      </c>
      <c r="E389" s="1">
        <v>80.0</v>
      </c>
      <c r="F389" s="1">
        <v>90.0</v>
      </c>
      <c r="G389" s="1">
        <v>89.0</v>
      </c>
      <c r="H389" s="1">
        <v>81.0</v>
      </c>
      <c r="I389" s="1">
        <v>79.0</v>
      </c>
      <c r="J389" s="1">
        <v>87.0</v>
      </c>
      <c r="K389" s="1">
        <v>76.0</v>
      </c>
      <c r="L389" s="1">
        <v>66.0</v>
      </c>
      <c r="M389" s="1">
        <v>65.0</v>
      </c>
      <c r="N389" s="1">
        <v>73.0</v>
      </c>
      <c r="O389" s="1">
        <v>68.0</v>
      </c>
      <c r="P389" s="1">
        <v>70.0</v>
      </c>
      <c r="Q389" s="1">
        <v>83.0</v>
      </c>
      <c r="R389" s="1">
        <v>73.0</v>
      </c>
      <c r="S389" s="1">
        <v>84.0</v>
      </c>
      <c r="T389" s="1">
        <v>71.0</v>
      </c>
      <c r="U389" s="1">
        <v>80.0</v>
      </c>
      <c r="V389" s="1">
        <v>75.0</v>
      </c>
      <c r="W389" s="1">
        <v>73.0</v>
      </c>
      <c r="X389" s="1">
        <v>73.0</v>
      </c>
      <c r="Y389" s="1">
        <v>78.0</v>
      </c>
      <c r="Z389" s="1">
        <v>1.0</v>
      </c>
    </row>
    <row r="390">
      <c r="A390" s="1" t="s">
        <v>560</v>
      </c>
      <c r="B390" s="1" t="s">
        <v>1522</v>
      </c>
      <c r="C390" s="1" t="s">
        <v>1693</v>
      </c>
      <c r="D390" s="1" t="s">
        <v>1796</v>
      </c>
      <c r="E390" s="1" t="s">
        <v>911</v>
      </c>
      <c r="F390" s="1" t="s">
        <v>345</v>
      </c>
      <c r="G390" s="1" t="s">
        <v>1797</v>
      </c>
      <c r="H390" s="1" t="s">
        <v>1551</v>
      </c>
      <c r="I390" s="1" t="s">
        <v>1798</v>
      </c>
      <c r="J390" s="1" t="s">
        <v>806</v>
      </c>
      <c r="K390" s="1" t="s">
        <v>671</v>
      </c>
      <c r="L390" s="1" t="s">
        <v>77</v>
      </c>
      <c r="M390" s="1" t="s">
        <v>1571</v>
      </c>
      <c r="N390" s="1" t="s">
        <v>200</v>
      </c>
      <c r="O390" s="1" t="s">
        <v>530</v>
      </c>
      <c r="P390" s="1" t="s">
        <v>1427</v>
      </c>
      <c r="Q390" s="1" t="s">
        <v>930</v>
      </c>
      <c r="R390" s="1" t="s">
        <v>643</v>
      </c>
      <c r="S390" s="1" t="s">
        <v>789</v>
      </c>
      <c r="T390" s="1" t="s">
        <v>664</v>
      </c>
      <c r="U390" s="1" t="s">
        <v>1562</v>
      </c>
      <c r="V390" s="1" t="s">
        <v>1403</v>
      </c>
      <c r="W390" s="1" t="s">
        <v>163</v>
      </c>
      <c r="X390" s="1" t="s">
        <v>109</v>
      </c>
      <c r="Y390" s="1" t="s">
        <v>731</v>
      </c>
      <c r="Z390" s="1">
        <v>1.0</v>
      </c>
    </row>
    <row r="391">
      <c r="A391" s="1" t="s">
        <v>821</v>
      </c>
      <c r="B391" s="1" t="s">
        <v>1522</v>
      </c>
      <c r="C391" s="1" t="s">
        <v>876</v>
      </c>
      <c r="D391" s="1" t="s">
        <v>1799</v>
      </c>
      <c r="E391" s="1" t="s">
        <v>188</v>
      </c>
      <c r="F391" s="1" t="s">
        <v>190</v>
      </c>
      <c r="G391" s="1" t="s">
        <v>350</v>
      </c>
      <c r="H391" s="1" t="s">
        <v>1800</v>
      </c>
      <c r="I391" s="1" t="s">
        <v>403</v>
      </c>
      <c r="J391" s="1" t="s">
        <v>190</v>
      </c>
      <c r="K391" s="1" t="s">
        <v>208</v>
      </c>
      <c r="L391" s="1" t="s">
        <v>781</v>
      </c>
      <c r="M391" s="1" t="s">
        <v>457</v>
      </c>
      <c r="N391" s="1" t="s">
        <v>179</v>
      </c>
      <c r="O391" s="1" t="s">
        <v>410</v>
      </c>
      <c r="P391" s="1" t="s">
        <v>363</v>
      </c>
      <c r="Q391" s="1" t="s">
        <v>325</v>
      </c>
      <c r="R391" s="1" t="s">
        <v>1801</v>
      </c>
      <c r="S391" s="1" t="s">
        <v>1213</v>
      </c>
      <c r="T391" s="1" t="s">
        <v>522</v>
      </c>
      <c r="U391" s="1" t="s">
        <v>1151</v>
      </c>
      <c r="V391" s="1" t="s">
        <v>253</v>
      </c>
      <c r="W391" s="1" t="s">
        <v>31</v>
      </c>
      <c r="X391" s="1" t="s">
        <v>985</v>
      </c>
      <c r="Y391" s="1" t="s">
        <v>1267</v>
      </c>
      <c r="Z391" s="1">
        <v>1.0</v>
      </c>
    </row>
    <row r="392">
      <c r="A392" s="1" t="s">
        <v>1361</v>
      </c>
      <c r="B392" s="1" t="s">
        <v>1522</v>
      </c>
      <c r="C392" s="1" t="s">
        <v>876</v>
      </c>
      <c r="D392" s="1" t="s">
        <v>1802</v>
      </c>
      <c r="E392" s="1" t="s">
        <v>1156</v>
      </c>
      <c r="F392" s="1" t="s">
        <v>1803</v>
      </c>
      <c r="G392" s="1" t="s">
        <v>1804</v>
      </c>
      <c r="H392" s="1" t="s">
        <v>1805</v>
      </c>
      <c r="I392" s="1" t="s">
        <v>1090</v>
      </c>
      <c r="J392" s="1" t="s">
        <v>451</v>
      </c>
      <c r="K392" s="1">
        <v>80.0</v>
      </c>
      <c r="L392" s="1" t="s">
        <v>315</v>
      </c>
      <c r="M392" s="1" t="s">
        <v>1806</v>
      </c>
      <c r="N392" s="1" t="s">
        <v>1068</v>
      </c>
      <c r="O392" s="1" t="s">
        <v>1404</v>
      </c>
      <c r="P392" s="1" t="s">
        <v>860</v>
      </c>
      <c r="Q392" s="1" t="s">
        <v>1359</v>
      </c>
      <c r="R392" s="1" t="s">
        <v>180</v>
      </c>
      <c r="S392" s="1" t="s">
        <v>671</v>
      </c>
      <c r="T392" s="1" t="s">
        <v>900</v>
      </c>
      <c r="U392" s="1">
        <v>85.0</v>
      </c>
      <c r="V392" s="1" t="s">
        <v>179</v>
      </c>
      <c r="W392" s="1" t="s">
        <v>1550</v>
      </c>
      <c r="X392" s="1" t="s">
        <v>465</v>
      </c>
      <c r="Y392" s="1" t="s">
        <v>39</v>
      </c>
      <c r="Z392" s="1">
        <v>1.0</v>
      </c>
    </row>
    <row r="393">
      <c r="A393" s="1" t="s">
        <v>1807</v>
      </c>
      <c r="B393" s="1" t="s">
        <v>1522</v>
      </c>
      <c r="C393" s="1" t="s">
        <v>970</v>
      </c>
      <c r="D393" s="1">
        <v>250.0</v>
      </c>
      <c r="E393" s="1">
        <v>81.0</v>
      </c>
      <c r="F393" s="1">
        <v>87.0</v>
      </c>
      <c r="G393" s="1">
        <v>91.0</v>
      </c>
      <c r="H393" s="1">
        <v>51.0</v>
      </c>
      <c r="I393" s="1">
        <v>65.0</v>
      </c>
      <c r="J393" s="1">
        <v>86.0</v>
      </c>
      <c r="K393" s="1">
        <v>81.0</v>
      </c>
      <c r="L393" s="1">
        <v>78.0</v>
      </c>
      <c r="M393" s="1">
        <v>85.0</v>
      </c>
      <c r="N393" s="1">
        <v>75.0</v>
      </c>
      <c r="O393" s="1">
        <v>75.0</v>
      </c>
      <c r="P393" s="1">
        <v>77.0</v>
      </c>
      <c r="Q393" s="1">
        <v>79.0</v>
      </c>
      <c r="R393" s="1">
        <v>50.0</v>
      </c>
      <c r="S393" s="1">
        <v>93.0</v>
      </c>
      <c r="T393" s="1">
        <v>50.0</v>
      </c>
      <c r="U393" s="1">
        <v>68.0</v>
      </c>
      <c r="V393" s="1">
        <v>80.0</v>
      </c>
      <c r="W393" s="1">
        <v>71.0</v>
      </c>
      <c r="X393" s="1">
        <v>63.0</v>
      </c>
      <c r="Y393" s="1">
        <v>80.0</v>
      </c>
      <c r="Z393" s="1">
        <v>1.0</v>
      </c>
    </row>
    <row r="394">
      <c r="A394" s="1" t="s">
        <v>546</v>
      </c>
      <c r="B394" s="1" t="s">
        <v>1522</v>
      </c>
      <c r="C394" s="1" t="s">
        <v>886</v>
      </c>
      <c r="D394" s="1" t="s">
        <v>1808</v>
      </c>
      <c r="E394" s="1" t="s">
        <v>473</v>
      </c>
      <c r="F394" s="1" t="s">
        <v>1054</v>
      </c>
      <c r="G394" s="1" t="s">
        <v>536</v>
      </c>
      <c r="H394" s="1" t="s">
        <v>1809</v>
      </c>
      <c r="I394" s="1" t="s">
        <v>1810</v>
      </c>
      <c r="J394" s="1" t="s">
        <v>31</v>
      </c>
      <c r="K394" s="1" t="s">
        <v>205</v>
      </c>
      <c r="L394" s="1" t="s">
        <v>576</v>
      </c>
      <c r="M394" s="1" t="s">
        <v>838</v>
      </c>
      <c r="N394" s="1" t="s">
        <v>996</v>
      </c>
      <c r="O394" s="1" t="s">
        <v>1673</v>
      </c>
      <c r="P394" s="1" t="s">
        <v>48</v>
      </c>
      <c r="Q394" s="1" t="s">
        <v>205</v>
      </c>
      <c r="R394" s="1" t="s">
        <v>1054</v>
      </c>
      <c r="S394" s="1" t="s">
        <v>310</v>
      </c>
      <c r="T394" s="1" t="s">
        <v>343</v>
      </c>
      <c r="U394" s="1" t="s">
        <v>828</v>
      </c>
      <c r="V394" s="1" t="s">
        <v>761</v>
      </c>
      <c r="W394" s="1" t="s">
        <v>31</v>
      </c>
      <c r="X394" s="1" t="s">
        <v>325</v>
      </c>
      <c r="Y394" s="1" t="s">
        <v>582</v>
      </c>
      <c r="Z394" s="1">
        <v>1.0</v>
      </c>
    </row>
    <row r="395">
      <c r="A395" s="1" t="s">
        <v>1811</v>
      </c>
      <c r="B395" s="1" t="s">
        <v>1522</v>
      </c>
      <c r="C395" s="1" t="s">
        <v>192</v>
      </c>
      <c r="D395" s="1">
        <v>202.0</v>
      </c>
      <c r="E395" s="1">
        <v>69.0</v>
      </c>
      <c r="F395" s="1">
        <v>78.0</v>
      </c>
      <c r="G395" s="1">
        <v>87.0</v>
      </c>
      <c r="H395" s="1">
        <v>38.0</v>
      </c>
      <c r="I395" s="1">
        <v>45.0</v>
      </c>
      <c r="J395" s="1">
        <v>84.0</v>
      </c>
      <c r="K395" s="1">
        <v>74.0</v>
      </c>
      <c r="L395" s="1">
        <v>75.0</v>
      </c>
      <c r="M395" s="1">
        <v>87.0</v>
      </c>
      <c r="N395" s="1">
        <v>85.0</v>
      </c>
      <c r="O395" s="1">
        <v>79.0</v>
      </c>
      <c r="P395" s="1">
        <v>70.0</v>
      </c>
      <c r="Q395" s="1">
        <v>80.0</v>
      </c>
      <c r="R395" s="1">
        <v>70.0</v>
      </c>
      <c r="S395" s="1">
        <v>45.0</v>
      </c>
      <c r="T395" s="1">
        <v>67.0</v>
      </c>
      <c r="U395" s="1">
        <v>85.0</v>
      </c>
      <c r="V395" s="1">
        <v>85.0</v>
      </c>
      <c r="W395" s="1">
        <v>83.0</v>
      </c>
      <c r="X395" s="1">
        <v>75.0</v>
      </c>
      <c r="Y395" s="1">
        <v>80.0</v>
      </c>
      <c r="Z395" s="1">
        <v>1.0</v>
      </c>
    </row>
    <row r="396">
      <c r="A396" s="1" t="s">
        <v>1419</v>
      </c>
      <c r="B396" s="1" t="s">
        <v>1522</v>
      </c>
      <c r="C396" s="1" t="s">
        <v>876</v>
      </c>
      <c r="D396" s="1" t="s">
        <v>1812</v>
      </c>
      <c r="E396" s="1" t="s">
        <v>552</v>
      </c>
      <c r="F396" s="1" t="s">
        <v>1813</v>
      </c>
      <c r="G396" s="1" t="s">
        <v>923</v>
      </c>
      <c r="H396" s="1" t="s">
        <v>1814</v>
      </c>
      <c r="I396" s="1" t="s">
        <v>1815</v>
      </c>
      <c r="J396" s="1" t="s">
        <v>322</v>
      </c>
      <c r="K396" s="1">
        <v>80.0</v>
      </c>
      <c r="L396" s="1" t="s">
        <v>98</v>
      </c>
      <c r="M396" s="1" t="s">
        <v>1816</v>
      </c>
      <c r="N396" s="1" t="s">
        <v>1300</v>
      </c>
      <c r="O396" s="1" t="s">
        <v>1200</v>
      </c>
      <c r="P396" s="1">
        <v>74.0</v>
      </c>
      <c r="Q396" s="1" t="s">
        <v>35</v>
      </c>
      <c r="R396" s="1" t="s">
        <v>1647</v>
      </c>
      <c r="S396" s="1" t="s">
        <v>1817</v>
      </c>
      <c r="T396" s="1" t="s">
        <v>110</v>
      </c>
      <c r="U396" s="1" t="s">
        <v>828</v>
      </c>
      <c r="V396" s="1" t="s">
        <v>548</v>
      </c>
      <c r="W396" s="1">
        <v>80.0</v>
      </c>
      <c r="X396" s="1" t="s">
        <v>82</v>
      </c>
      <c r="Y396" s="1">
        <v>75.0</v>
      </c>
      <c r="Z396" s="1">
        <v>1.0</v>
      </c>
    </row>
    <row r="397">
      <c r="A397" s="1" t="s">
        <v>1479</v>
      </c>
      <c r="B397" s="1" t="s">
        <v>1522</v>
      </c>
      <c r="C397" s="1" t="s">
        <v>1530</v>
      </c>
      <c r="D397" s="1" t="s">
        <v>1818</v>
      </c>
      <c r="E397" s="1" t="s">
        <v>1054</v>
      </c>
      <c r="F397" s="1" t="s">
        <v>188</v>
      </c>
      <c r="G397" s="1" t="s">
        <v>278</v>
      </c>
      <c r="H397" s="1" t="s">
        <v>685</v>
      </c>
      <c r="I397" s="1" t="s">
        <v>1819</v>
      </c>
      <c r="J397" s="1" t="s">
        <v>553</v>
      </c>
      <c r="K397" s="1" t="s">
        <v>890</v>
      </c>
      <c r="L397" s="1" t="s">
        <v>1820</v>
      </c>
      <c r="M397" s="1" t="s">
        <v>1525</v>
      </c>
      <c r="N397" s="1" t="s">
        <v>1495</v>
      </c>
      <c r="O397" s="1" t="s">
        <v>428</v>
      </c>
      <c r="P397" s="1" t="s">
        <v>1821</v>
      </c>
      <c r="Q397" s="1" t="s">
        <v>157</v>
      </c>
      <c r="R397" s="1" t="s">
        <v>894</v>
      </c>
      <c r="S397" s="1" t="s">
        <v>700</v>
      </c>
      <c r="T397" s="1" t="s">
        <v>66</v>
      </c>
      <c r="U397" s="1" t="s">
        <v>414</v>
      </c>
      <c r="V397" s="1" t="s">
        <v>1822</v>
      </c>
      <c r="W397" s="1" t="s">
        <v>742</v>
      </c>
      <c r="X397" s="1" t="s">
        <v>1403</v>
      </c>
      <c r="Y397" s="1" t="s">
        <v>622</v>
      </c>
      <c r="Z397" s="1">
        <v>1.0</v>
      </c>
    </row>
    <row r="398">
      <c r="A398" s="1" t="s">
        <v>1823</v>
      </c>
      <c r="B398" s="1" t="s">
        <v>1522</v>
      </c>
      <c r="C398" s="1" t="s">
        <v>876</v>
      </c>
      <c r="D398" s="1" t="s">
        <v>1824</v>
      </c>
      <c r="E398" s="1" t="s">
        <v>1300</v>
      </c>
      <c r="F398" s="1" t="s">
        <v>208</v>
      </c>
      <c r="G398" s="1" t="s">
        <v>117</v>
      </c>
      <c r="H398" s="1" t="s">
        <v>1825</v>
      </c>
      <c r="I398" s="1" t="s">
        <v>1617</v>
      </c>
      <c r="J398" s="1" t="s">
        <v>82</v>
      </c>
      <c r="K398" s="1" t="s">
        <v>271</v>
      </c>
      <c r="L398" s="1" t="s">
        <v>907</v>
      </c>
      <c r="M398" s="1" t="s">
        <v>729</v>
      </c>
      <c r="N398" s="1" t="s">
        <v>847</v>
      </c>
      <c r="O398" s="1" t="s">
        <v>1127</v>
      </c>
      <c r="P398" s="1" t="s">
        <v>165</v>
      </c>
      <c r="Q398" s="1" t="s">
        <v>137</v>
      </c>
      <c r="R398" s="1" t="s">
        <v>1826</v>
      </c>
      <c r="S398" s="1" t="s">
        <v>1827</v>
      </c>
      <c r="T398" s="1" t="s">
        <v>992</v>
      </c>
      <c r="U398" s="1" t="s">
        <v>1706</v>
      </c>
      <c r="V398" s="1" t="s">
        <v>200</v>
      </c>
      <c r="W398" s="1" t="s">
        <v>410</v>
      </c>
      <c r="X398" s="1" t="s">
        <v>927</v>
      </c>
      <c r="Y398" s="1" t="s">
        <v>404</v>
      </c>
      <c r="Z398" s="1">
        <v>1.0</v>
      </c>
    </row>
    <row r="399">
      <c r="A399" s="1" t="s">
        <v>1828</v>
      </c>
      <c r="B399" s="1" t="s">
        <v>1522</v>
      </c>
      <c r="C399" s="1" t="s">
        <v>886</v>
      </c>
      <c r="D399" s="1" t="s">
        <v>1829</v>
      </c>
      <c r="E399" s="1" t="s">
        <v>1088</v>
      </c>
      <c r="F399" s="1" t="s">
        <v>723</v>
      </c>
      <c r="G399" s="1" t="s">
        <v>1830</v>
      </c>
      <c r="H399" s="1" t="s">
        <v>732</v>
      </c>
      <c r="I399" s="1" t="s">
        <v>1230</v>
      </c>
      <c r="J399" s="1" t="s">
        <v>322</v>
      </c>
      <c r="K399" s="1" t="s">
        <v>271</v>
      </c>
      <c r="L399" s="1" t="s">
        <v>1831</v>
      </c>
      <c r="M399" s="1" t="s">
        <v>96</v>
      </c>
      <c r="N399" s="1" t="s">
        <v>180</v>
      </c>
      <c r="O399" s="1" t="s">
        <v>190</v>
      </c>
      <c r="P399" s="1" t="s">
        <v>1647</v>
      </c>
      <c r="Q399" s="1" t="s">
        <v>35</v>
      </c>
      <c r="R399" s="1" t="s">
        <v>206</v>
      </c>
      <c r="S399" s="1" t="s">
        <v>1196</v>
      </c>
      <c r="T399" s="1" t="s">
        <v>1832</v>
      </c>
      <c r="U399" s="1" t="s">
        <v>1833</v>
      </c>
      <c r="V399" s="1" t="s">
        <v>763</v>
      </c>
      <c r="W399" s="1" t="s">
        <v>207</v>
      </c>
      <c r="X399" s="1" t="s">
        <v>1281</v>
      </c>
      <c r="Y399" s="1" t="s">
        <v>48</v>
      </c>
      <c r="Z399" s="1">
        <v>1.0</v>
      </c>
    </row>
    <row r="400">
      <c r="A400" s="1" t="s">
        <v>1834</v>
      </c>
      <c r="B400" s="1" t="s">
        <v>1522</v>
      </c>
      <c r="C400" s="1" t="s">
        <v>1283</v>
      </c>
      <c r="D400" s="1" t="s">
        <v>1835</v>
      </c>
      <c r="E400" s="1" t="s">
        <v>1127</v>
      </c>
      <c r="F400" s="1" t="s">
        <v>572</v>
      </c>
      <c r="G400" s="1" t="s">
        <v>149</v>
      </c>
      <c r="H400" s="1" t="s">
        <v>1169</v>
      </c>
      <c r="I400" s="1" t="s">
        <v>474</v>
      </c>
      <c r="J400" s="1" t="s">
        <v>190</v>
      </c>
      <c r="K400" s="1" t="s">
        <v>553</v>
      </c>
      <c r="L400" s="1" t="s">
        <v>109</v>
      </c>
      <c r="M400" s="1" t="s">
        <v>163</v>
      </c>
      <c r="N400" s="1" t="s">
        <v>1836</v>
      </c>
      <c r="O400" s="1" t="s">
        <v>710</v>
      </c>
      <c r="P400" s="1" t="s">
        <v>1837</v>
      </c>
      <c r="Q400" s="1" t="s">
        <v>1838</v>
      </c>
      <c r="R400" s="1" t="s">
        <v>154</v>
      </c>
      <c r="S400" s="1" t="s">
        <v>1630</v>
      </c>
      <c r="T400" s="1" t="s">
        <v>1839</v>
      </c>
      <c r="U400" s="1" t="s">
        <v>312</v>
      </c>
      <c r="V400" s="1" t="s">
        <v>96</v>
      </c>
      <c r="W400" s="1" t="s">
        <v>1098</v>
      </c>
      <c r="X400" s="1" t="s">
        <v>48</v>
      </c>
      <c r="Y400" s="1" t="s">
        <v>48</v>
      </c>
      <c r="Z400" s="1">
        <v>1.0</v>
      </c>
    </row>
    <row r="401">
      <c r="A401" s="1" t="s">
        <v>1840</v>
      </c>
      <c r="B401" s="1" t="s">
        <v>1522</v>
      </c>
      <c r="C401" s="1" t="s">
        <v>1530</v>
      </c>
      <c r="D401" s="1" t="s">
        <v>1829</v>
      </c>
      <c r="E401" s="1" t="s">
        <v>1613</v>
      </c>
      <c r="F401" s="1" t="s">
        <v>52</v>
      </c>
      <c r="G401" s="1" t="s">
        <v>597</v>
      </c>
      <c r="H401" s="1" t="s">
        <v>526</v>
      </c>
      <c r="I401" s="1" t="s">
        <v>1377</v>
      </c>
      <c r="J401" s="1" t="s">
        <v>322</v>
      </c>
      <c r="K401" s="1" t="s">
        <v>205</v>
      </c>
      <c r="L401" s="1" t="s">
        <v>1841</v>
      </c>
      <c r="M401" s="1" t="s">
        <v>128</v>
      </c>
      <c r="N401" s="1" t="s">
        <v>1842</v>
      </c>
      <c r="O401" s="1" t="s">
        <v>1116</v>
      </c>
      <c r="P401" s="1" t="s">
        <v>1171</v>
      </c>
      <c r="Q401" s="1" t="s">
        <v>226</v>
      </c>
      <c r="R401" s="1" t="s">
        <v>1843</v>
      </c>
      <c r="S401" s="1" t="s">
        <v>1040</v>
      </c>
      <c r="T401" s="1" t="s">
        <v>1252</v>
      </c>
      <c r="U401" s="1" t="s">
        <v>1309</v>
      </c>
      <c r="V401" s="1" t="s">
        <v>1446</v>
      </c>
      <c r="W401" s="1" t="s">
        <v>1020</v>
      </c>
      <c r="X401" s="1" t="s">
        <v>900</v>
      </c>
      <c r="Y401" s="1" t="s">
        <v>190</v>
      </c>
      <c r="Z401" s="1">
        <v>1.0</v>
      </c>
    </row>
    <row r="402">
      <c r="A402" s="1" t="s">
        <v>1844</v>
      </c>
      <c r="B402" s="1" t="s">
        <v>1522</v>
      </c>
      <c r="C402" s="1" t="s">
        <v>970</v>
      </c>
      <c r="D402" s="1">
        <v>232.0</v>
      </c>
      <c r="E402" s="1">
        <v>85.0</v>
      </c>
      <c r="F402" s="1">
        <v>70.0</v>
      </c>
      <c r="G402" s="1">
        <v>73.0</v>
      </c>
      <c r="H402" s="1">
        <v>81.0</v>
      </c>
      <c r="I402" s="1">
        <v>82.0</v>
      </c>
      <c r="J402" s="1">
        <v>80.0</v>
      </c>
      <c r="K402" s="1">
        <v>76.0</v>
      </c>
      <c r="L402" s="1">
        <v>55.0</v>
      </c>
      <c r="M402" s="1">
        <v>66.0</v>
      </c>
      <c r="N402" s="1">
        <v>63.0</v>
      </c>
      <c r="O402" s="1">
        <v>68.0</v>
      </c>
      <c r="P402" s="1">
        <v>82.0</v>
      </c>
      <c r="Q402" s="1">
        <v>90.0</v>
      </c>
      <c r="R402" s="1">
        <v>85.0</v>
      </c>
      <c r="S402" s="1">
        <v>74.0</v>
      </c>
      <c r="T402" s="1">
        <v>46.0</v>
      </c>
      <c r="U402" s="1">
        <v>70.0</v>
      </c>
      <c r="V402" s="1">
        <v>81.0</v>
      </c>
      <c r="W402" s="1">
        <v>81.0</v>
      </c>
      <c r="X402" s="1">
        <v>91.0</v>
      </c>
      <c r="Y402" s="1">
        <v>65.0</v>
      </c>
      <c r="Z402" s="1">
        <v>1.0</v>
      </c>
    </row>
    <row r="403">
      <c r="A403" s="1" t="s">
        <v>1509</v>
      </c>
      <c r="B403" s="1" t="s">
        <v>1522</v>
      </c>
      <c r="C403" s="1" t="s">
        <v>1534</v>
      </c>
      <c r="D403" s="1">
        <v>212.0</v>
      </c>
      <c r="E403" s="1">
        <v>75.0</v>
      </c>
      <c r="F403" s="1">
        <v>77.0</v>
      </c>
      <c r="G403" s="1">
        <v>73.0</v>
      </c>
      <c r="H403" s="1">
        <v>55.0</v>
      </c>
      <c r="I403" s="1">
        <v>50.0</v>
      </c>
      <c r="J403" s="1">
        <v>85.0</v>
      </c>
      <c r="K403" s="1">
        <v>83.0</v>
      </c>
      <c r="L403" s="1">
        <v>80.0</v>
      </c>
      <c r="M403" s="1">
        <v>75.0</v>
      </c>
      <c r="N403" s="1">
        <v>60.0</v>
      </c>
      <c r="O403" s="1">
        <v>63.0</v>
      </c>
      <c r="P403" s="1">
        <v>82.0</v>
      </c>
      <c r="Q403" s="1">
        <v>89.0</v>
      </c>
      <c r="R403" s="1">
        <v>73.0</v>
      </c>
      <c r="S403" s="1">
        <v>74.0</v>
      </c>
      <c r="T403" s="1">
        <v>65.0</v>
      </c>
      <c r="U403" s="1">
        <v>85.0</v>
      </c>
      <c r="V403" s="1">
        <v>83.0</v>
      </c>
      <c r="W403" s="1">
        <v>80.0</v>
      </c>
      <c r="X403" s="1">
        <v>85.0</v>
      </c>
      <c r="Y403" s="1">
        <v>80.0</v>
      </c>
      <c r="Z403" s="1">
        <v>1.0</v>
      </c>
    </row>
    <row r="404">
      <c r="A404" s="1" t="s">
        <v>771</v>
      </c>
      <c r="B404" s="1" t="s">
        <v>1522</v>
      </c>
      <c r="C404" s="1" t="s">
        <v>192</v>
      </c>
      <c r="D404" s="1">
        <v>215.0</v>
      </c>
      <c r="E404" s="1">
        <v>89.0</v>
      </c>
      <c r="F404" s="1">
        <v>90.0</v>
      </c>
      <c r="G404" s="1">
        <v>80.0</v>
      </c>
      <c r="H404" s="1">
        <v>30.0</v>
      </c>
      <c r="I404" s="1">
        <v>50.0</v>
      </c>
      <c r="J404" s="1">
        <v>89.0</v>
      </c>
      <c r="K404" s="1">
        <v>83.0</v>
      </c>
      <c r="L404" s="1">
        <v>64.0</v>
      </c>
      <c r="M404" s="1">
        <v>82.0</v>
      </c>
      <c r="N404" s="1">
        <v>86.0</v>
      </c>
      <c r="O404" s="1">
        <v>81.0</v>
      </c>
      <c r="P404" s="1">
        <v>74.0</v>
      </c>
      <c r="Q404" s="1">
        <v>82.0</v>
      </c>
      <c r="R404" s="1">
        <v>53.0</v>
      </c>
      <c r="S404" s="1">
        <v>74.0</v>
      </c>
      <c r="T404" s="1">
        <v>37.0</v>
      </c>
      <c r="U404" s="1">
        <v>62.0</v>
      </c>
      <c r="V404" s="1">
        <v>81.0</v>
      </c>
      <c r="W404" s="1">
        <v>75.0</v>
      </c>
      <c r="X404" s="1">
        <v>85.0</v>
      </c>
      <c r="Y404" s="1">
        <v>64.0</v>
      </c>
      <c r="Z404" s="1">
        <v>1.0</v>
      </c>
    </row>
    <row r="405">
      <c r="A405" s="1" t="s">
        <v>273</v>
      </c>
      <c r="B405" s="1" t="s">
        <v>1522</v>
      </c>
      <c r="C405" s="1" t="s">
        <v>886</v>
      </c>
      <c r="D405" s="1" t="s">
        <v>1624</v>
      </c>
      <c r="E405" s="1" t="s">
        <v>199</v>
      </c>
      <c r="F405" s="1" t="s">
        <v>457</v>
      </c>
      <c r="G405" s="1" t="s">
        <v>149</v>
      </c>
      <c r="H405" s="1" t="s">
        <v>950</v>
      </c>
      <c r="I405" s="1" t="s">
        <v>1845</v>
      </c>
      <c r="J405" s="1" t="s">
        <v>659</v>
      </c>
      <c r="K405" s="1" t="s">
        <v>322</v>
      </c>
      <c r="L405" s="1" t="s">
        <v>860</v>
      </c>
      <c r="M405" s="1" t="s">
        <v>900</v>
      </c>
      <c r="N405" s="1" t="s">
        <v>520</v>
      </c>
      <c r="O405" s="1" t="s">
        <v>190</v>
      </c>
      <c r="P405" s="1" t="s">
        <v>1846</v>
      </c>
      <c r="Q405" s="1" t="s">
        <v>322</v>
      </c>
      <c r="R405" s="1" t="s">
        <v>1156</v>
      </c>
      <c r="S405" s="1" t="s">
        <v>1847</v>
      </c>
      <c r="T405" s="1" t="s">
        <v>1015</v>
      </c>
      <c r="U405" s="1" t="s">
        <v>66</v>
      </c>
      <c r="V405" s="1" t="s">
        <v>808</v>
      </c>
      <c r="W405" s="1" t="s">
        <v>213</v>
      </c>
      <c r="X405" s="1" t="s">
        <v>698</v>
      </c>
      <c r="Y405" s="1" t="s">
        <v>48</v>
      </c>
      <c r="Z405" s="1">
        <v>1.0</v>
      </c>
    </row>
    <row r="406">
      <c r="A406" s="1" t="s">
        <v>1848</v>
      </c>
      <c r="B406" s="1" t="s">
        <v>1522</v>
      </c>
      <c r="C406" s="1" t="s">
        <v>1534</v>
      </c>
      <c r="D406" s="1">
        <v>218.0</v>
      </c>
      <c r="E406" s="1">
        <v>81.0</v>
      </c>
      <c r="F406" s="1">
        <v>81.0</v>
      </c>
      <c r="G406" s="1">
        <v>81.0</v>
      </c>
      <c r="H406" s="1">
        <v>81.0</v>
      </c>
      <c r="I406" s="1">
        <v>80.0</v>
      </c>
      <c r="J406" s="1">
        <v>77.0</v>
      </c>
      <c r="K406" s="1">
        <v>73.0</v>
      </c>
      <c r="L406" s="1">
        <v>67.0</v>
      </c>
      <c r="M406" s="1">
        <v>81.0</v>
      </c>
      <c r="N406" s="1">
        <v>80.0</v>
      </c>
      <c r="O406" s="1">
        <v>72.0</v>
      </c>
      <c r="P406" s="1">
        <v>77.0</v>
      </c>
      <c r="Q406" s="1">
        <v>77.0</v>
      </c>
      <c r="R406" s="1">
        <v>78.0</v>
      </c>
      <c r="S406" s="1">
        <v>77.0</v>
      </c>
      <c r="T406" s="1">
        <v>72.0</v>
      </c>
      <c r="U406" s="1">
        <v>72.0</v>
      </c>
      <c r="V406" s="1">
        <v>83.0</v>
      </c>
      <c r="W406" s="1">
        <v>80.0</v>
      </c>
      <c r="X406" s="1">
        <v>80.0</v>
      </c>
      <c r="Y406" s="1">
        <v>80.0</v>
      </c>
      <c r="Z406" s="1">
        <v>1.0</v>
      </c>
    </row>
    <row r="407">
      <c r="A407" s="1" t="s">
        <v>1237</v>
      </c>
      <c r="B407" s="1" t="s">
        <v>1522</v>
      </c>
      <c r="C407" s="1" t="s">
        <v>1590</v>
      </c>
      <c r="D407" s="1" t="s">
        <v>1849</v>
      </c>
      <c r="E407" s="1" t="s">
        <v>212</v>
      </c>
      <c r="F407" s="1" t="s">
        <v>206</v>
      </c>
      <c r="G407" s="1" t="s">
        <v>731</v>
      </c>
      <c r="H407" s="1" t="s">
        <v>1850</v>
      </c>
      <c r="I407" s="1" t="s">
        <v>1851</v>
      </c>
      <c r="J407" s="1" t="s">
        <v>134</v>
      </c>
      <c r="K407" s="1" t="s">
        <v>39</v>
      </c>
      <c r="L407" s="1" t="s">
        <v>301</v>
      </c>
      <c r="M407" s="1" t="s">
        <v>1852</v>
      </c>
      <c r="N407" s="1" t="s">
        <v>1737</v>
      </c>
      <c r="O407" s="1" t="s">
        <v>324</v>
      </c>
      <c r="P407" s="1" t="s">
        <v>780</v>
      </c>
      <c r="Q407" s="1" t="s">
        <v>485</v>
      </c>
      <c r="R407" s="1" t="s">
        <v>96</v>
      </c>
      <c r="S407" s="1" t="s">
        <v>1606</v>
      </c>
      <c r="T407" s="1" t="s">
        <v>521</v>
      </c>
      <c r="U407" s="1" t="s">
        <v>490</v>
      </c>
      <c r="V407" s="1" t="s">
        <v>1046</v>
      </c>
      <c r="W407" s="1" t="s">
        <v>1446</v>
      </c>
      <c r="X407" s="1" t="s">
        <v>348</v>
      </c>
      <c r="Y407" s="1" t="s">
        <v>1853</v>
      </c>
      <c r="Z407" s="1">
        <v>1.0</v>
      </c>
    </row>
    <row r="408">
      <c r="A408" s="1" t="s">
        <v>1078</v>
      </c>
      <c r="B408" s="1" t="s">
        <v>1522</v>
      </c>
      <c r="C408" s="1" t="s">
        <v>1693</v>
      </c>
      <c r="D408" s="1" t="s">
        <v>1854</v>
      </c>
      <c r="E408" s="1" t="s">
        <v>157</v>
      </c>
      <c r="F408" s="1" t="s">
        <v>1629</v>
      </c>
      <c r="G408" s="1" t="s">
        <v>1622</v>
      </c>
      <c r="H408" s="1" t="s">
        <v>92</v>
      </c>
      <c r="I408" s="1" t="s">
        <v>1855</v>
      </c>
      <c r="J408" s="1" t="s">
        <v>60</v>
      </c>
      <c r="K408" s="1" t="s">
        <v>52</v>
      </c>
      <c r="L408" s="1" t="s">
        <v>98</v>
      </c>
      <c r="M408" s="1" t="s">
        <v>1043</v>
      </c>
      <c r="N408" s="1" t="s">
        <v>1856</v>
      </c>
      <c r="O408" s="1" t="s">
        <v>1821</v>
      </c>
      <c r="P408" s="1" t="s">
        <v>1857</v>
      </c>
      <c r="Q408" s="1" t="s">
        <v>1858</v>
      </c>
      <c r="R408" s="1" t="s">
        <v>111</v>
      </c>
      <c r="S408" s="1" t="s">
        <v>1859</v>
      </c>
      <c r="T408" s="1" t="s">
        <v>1860</v>
      </c>
      <c r="U408" s="1" t="s">
        <v>1861</v>
      </c>
      <c r="V408" s="1" t="s">
        <v>675</v>
      </c>
      <c r="W408" s="1" t="s">
        <v>1862</v>
      </c>
      <c r="X408" s="1" t="s">
        <v>1863</v>
      </c>
      <c r="Y408" s="1" t="s">
        <v>109</v>
      </c>
      <c r="Z408" s="1">
        <v>1.0</v>
      </c>
    </row>
    <row r="409">
      <c r="A409" s="1" t="s">
        <v>1864</v>
      </c>
      <c r="B409" s="1" t="s">
        <v>1522</v>
      </c>
      <c r="C409" s="1" t="s">
        <v>1534</v>
      </c>
      <c r="D409" s="1">
        <v>234.0</v>
      </c>
      <c r="E409" s="1">
        <v>84.0</v>
      </c>
      <c r="F409" s="1">
        <v>85.0</v>
      </c>
      <c r="G409" s="1">
        <v>88.0</v>
      </c>
      <c r="H409" s="1">
        <v>72.0</v>
      </c>
      <c r="I409" s="1">
        <v>55.0</v>
      </c>
      <c r="J409" s="1">
        <v>79.0</v>
      </c>
      <c r="K409" s="1">
        <v>85.0</v>
      </c>
      <c r="L409" s="1">
        <v>65.0</v>
      </c>
      <c r="M409" s="1">
        <v>71.0</v>
      </c>
      <c r="N409" s="1">
        <v>80.0</v>
      </c>
      <c r="O409" s="1">
        <v>70.0</v>
      </c>
      <c r="P409" s="1">
        <v>82.0</v>
      </c>
      <c r="Q409" s="1">
        <v>74.0</v>
      </c>
      <c r="R409" s="1">
        <v>60.0</v>
      </c>
      <c r="S409" s="1">
        <v>84.0</v>
      </c>
      <c r="T409" s="1">
        <v>80.0</v>
      </c>
      <c r="U409" s="1">
        <v>65.0</v>
      </c>
      <c r="V409" s="1">
        <v>80.0</v>
      </c>
      <c r="W409" s="1">
        <v>71.0</v>
      </c>
      <c r="X409" s="1">
        <v>84.0</v>
      </c>
      <c r="Y409" s="1">
        <v>83.0</v>
      </c>
      <c r="Z409" s="1">
        <v>1.0</v>
      </c>
    </row>
    <row r="410">
      <c r="A410" s="1" t="s">
        <v>1865</v>
      </c>
      <c r="B410" s="1" t="s">
        <v>1522</v>
      </c>
      <c r="C410" s="1" t="s">
        <v>1590</v>
      </c>
      <c r="D410" s="1" t="s">
        <v>1866</v>
      </c>
      <c r="E410" s="1" t="s">
        <v>39</v>
      </c>
      <c r="F410" s="1" t="s">
        <v>1587</v>
      </c>
      <c r="G410" s="1" t="s">
        <v>1867</v>
      </c>
      <c r="H410" s="1" t="s">
        <v>1868</v>
      </c>
      <c r="I410" s="1" t="s">
        <v>1869</v>
      </c>
      <c r="J410" s="1" t="s">
        <v>401</v>
      </c>
      <c r="K410" s="1" t="s">
        <v>45</v>
      </c>
      <c r="L410" s="1" t="s">
        <v>58</v>
      </c>
      <c r="M410" s="1" t="s">
        <v>1870</v>
      </c>
      <c r="N410" s="1" t="s">
        <v>1254</v>
      </c>
      <c r="O410" s="1" t="s">
        <v>212</v>
      </c>
      <c r="P410" s="1" t="s">
        <v>98</v>
      </c>
      <c r="Q410" s="1" t="s">
        <v>1233</v>
      </c>
      <c r="R410" s="1" t="s">
        <v>139</v>
      </c>
      <c r="S410" s="1" t="s">
        <v>1279</v>
      </c>
      <c r="T410" s="1" t="s">
        <v>1132</v>
      </c>
      <c r="U410" s="1" t="s">
        <v>417</v>
      </c>
      <c r="V410" s="1" t="s">
        <v>760</v>
      </c>
      <c r="W410" s="1" t="s">
        <v>1776</v>
      </c>
      <c r="X410" s="1" t="s">
        <v>1477</v>
      </c>
      <c r="Y410" s="1" t="s">
        <v>490</v>
      </c>
      <c r="Z410" s="1">
        <v>1.0</v>
      </c>
    </row>
    <row r="411">
      <c r="A411" s="1" t="s">
        <v>1871</v>
      </c>
      <c r="B411" s="1" t="s">
        <v>1522</v>
      </c>
      <c r="C411" s="1" t="s">
        <v>1754</v>
      </c>
      <c r="D411" s="1" t="s">
        <v>1872</v>
      </c>
      <c r="E411" s="1" t="s">
        <v>878</v>
      </c>
      <c r="F411" s="1" t="s">
        <v>878</v>
      </c>
      <c r="G411" s="1" t="s">
        <v>201</v>
      </c>
      <c r="H411" s="1" t="s">
        <v>1279</v>
      </c>
      <c r="I411" s="1" t="s">
        <v>1089</v>
      </c>
      <c r="J411" s="1" t="s">
        <v>205</v>
      </c>
      <c r="K411" s="1" t="s">
        <v>840</v>
      </c>
      <c r="L411" s="1" t="s">
        <v>1057</v>
      </c>
      <c r="M411" s="1" t="s">
        <v>553</v>
      </c>
      <c r="N411" s="1" t="s">
        <v>1532</v>
      </c>
      <c r="O411" s="1" t="s">
        <v>1775</v>
      </c>
      <c r="P411" s="1" t="s">
        <v>398</v>
      </c>
      <c r="Q411" s="1" t="s">
        <v>1552</v>
      </c>
      <c r="R411" s="1" t="s">
        <v>98</v>
      </c>
      <c r="S411" s="1" t="s">
        <v>1873</v>
      </c>
      <c r="T411" s="1" t="s">
        <v>1874</v>
      </c>
      <c r="U411" s="1" t="s">
        <v>364</v>
      </c>
      <c r="V411" s="1" t="s">
        <v>1875</v>
      </c>
      <c r="W411" s="1" t="s">
        <v>59</v>
      </c>
      <c r="X411" s="1" t="s">
        <v>128</v>
      </c>
      <c r="Y411" s="1" t="s">
        <v>190</v>
      </c>
      <c r="Z411" s="1">
        <v>1.0</v>
      </c>
    </row>
    <row r="412">
      <c r="A412" s="1" t="s">
        <v>1876</v>
      </c>
      <c r="B412" s="1" t="s">
        <v>1522</v>
      </c>
      <c r="C412" s="1" t="s">
        <v>1754</v>
      </c>
      <c r="D412" s="1">
        <v>218.0</v>
      </c>
      <c r="E412" s="1" t="s">
        <v>323</v>
      </c>
      <c r="F412" s="1" t="s">
        <v>175</v>
      </c>
      <c r="G412" s="1" t="s">
        <v>45</v>
      </c>
      <c r="H412" s="1" t="s">
        <v>1877</v>
      </c>
      <c r="I412" s="1" t="s">
        <v>40</v>
      </c>
      <c r="J412" s="1" t="s">
        <v>39</v>
      </c>
      <c r="K412" s="1" t="s">
        <v>190</v>
      </c>
      <c r="L412" s="1" t="s">
        <v>1878</v>
      </c>
      <c r="M412" s="1" t="s">
        <v>1607</v>
      </c>
      <c r="N412" s="1" t="s">
        <v>1737</v>
      </c>
      <c r="O412" s="1" t="s">
        <v>1044</v>
      </c>
      <c r="P412" s="1" t="s">
        <v>1879</v>
      </c>
      <c r="Q412" s="1" t="s">
        <v>553</v>
      </c>
      <c r="R412" s="1" t="s">
        <v>243</v>
      </c>
      <c r="S412" s="1" t="s">
        <v>577</v>
      </c>
      <c r="T412" s="1" t="s">
        <v>1880</v>
      </c>
      <c r="U412" s="1" t="s">
        <v>1881</v>
      </c>
      <c r="V412" s="1" t="s">
        <v>1300</v>
      </c>
      <c r="W412" s="1" t="s">
        <v>384</v>
      </c>
      <c r="X412" s="1" t="s">
        <v>384</v>
      </c>
      <c r="Y412" s="1" t="s">
        <v>207</v>
      </c>
      <c r="Z412" s="1">
        <v>1.0</v>
      </c>
    </row>
    <row r="413">
      <c r="A413" s="1" t="s">
        <v>438</v>
      </c>
      <c r="B413" s="1" t="s">
        <v>1522</v>
      </c>
      <c r="C413" s="1" t="s">
        <v>192</v>
      </c>
      <c r="D413" s="1">
        <v>216.0</v>
      </c>
      <c r="E413" s="1">
        <v>71.0</v>
      </c>
      <c r="F413" s="1">
        <v>79.0</v>
      </c>
      <c r="G413" s="1">
        <v>91.0</v>
      </c>
      <c r="H413" s="1">
        <v>41.0</v>
      </c>
      <c r="I413" s="1">
        <v>51.0</v>
      </c>
      <c r="J413" s="1">
        <v>75.0</v>
      </c>
      <c r="K413" s="1">
        <v>80.0</v>
      </c>
      <c r="L413" s="1">
        <v>70.0</v>
      </c>
      <c r="M413" s="1">
        <v>86.0</v>
      </c>
      <c r="N413" s="1">
        <v>91.0</v>
      </c>
      <c r="O413" s="1">
        <v>81.0</v>
      </c>
      <c r="P413" s="1">
        <v>50.0</v>
      </c>
      <c r="Q413" s="1">
        <v>79.0</v>
      </c>
      <c r="R413" s="1">
        <v>54.0</v>
      </c>
      <c r="S413" s="1">
        <v>63.0</v>
      </c>
      <c r="T413" s="1">
        <v>53.0</v>
      </c>
      <c r="U413" s="1">
        <v>50.0</v>
      </c>
      <c r="V413" s="1">
        <v>85.0</v>
      </c>
      <c r="W413" s="1">
        <v>76.0</v>
      </c>
      <c r="X413" s="1">
        <v>70.0</v>
      </c>
      <c r="Y413" s="1">
        <v>85.0</v>
      </c>
      <c r="Z413" s="1">
        <v>1.0</v>
      </c>
    </row>
    <row r="414">
      <c r="A414" s="1" t="s">
        <v>861</v>
      </c>
      <c r="B414" s="1" t="s">
        <v>1522</v>
      </c>
      <c r="C414" s="1" t="s">
        <v>886</v>
      </c>
      <c r="D414" s="1" t="s">
        <v>1882</v>
      </c>
      <c r="E414" s="1" t="s">
        <v>174</v>
      </c>
      <c r="F414" s="1" t="s">
        <v>647</v>
      </c>
      <c r="G414" s="1" t="s">
        <v>201</v>
      </c>
      <c r="H414" s="1" t="s">
        <v>1883</v>
      </c>
      <c r="I414" s="1" t="s">
        <v>1845</v>
      </c>
      <c r="J414" s="1" t="s">
        <v>322</v>
      </c>
      <c r="K414" s="1" t="s">
        <v>909</v>
      </c>
      <c r="L414" s="1" t="s">
        <v>1765</v>
      </c>
      <c r="M414" s="1" t="s">
        <v>881</v>
      </c>
      <c r="N414" s="1" t="s">
        <v>766</v>
      </c>
      <c r="O414" s="1" t="s">
        <v>384</v>
      </c>
      <c r="P414" s="1" t="s">
        <v>1731</v>
      </c>
      <c r="Q414" s="1" t="s">
        <v>893</v>
      </c>
      <c r="R414" s="1" t="s">
        <v>1308</v>
      </c>
      <c r="S414" s="1" t="s">
        <v>1266</v>
      </c>
      <c r="T414" s="1" t="s">
        <v>1884</v>
      </c>
      <c r="U414" s="1" t="s">
        <v>1885</v>
      </c>
      <c r="V414" s="1" t="s">
        <v>1477</v>
      </c>
      <c r="W414" s="1" t="s">
        <v>618</v>
      </c>
      <c r="X414" s="1">
        <v>84.0</v>
      </c>
      <c r="Y414" s="1" t="s">
        <v>39</v>
      </c>
      <c r="Z414" s="1">
        <v>1.0</v>
      </c>
    </row>
    <row r="415">
      <c r="A415" s="1" t="s">
        <v>1380</v>
      </c>
      <c r="B415" s="1" t="s">
        <v>1522</v>
      </c>
      <c r="C415" s="1" t="s">
        <v>1530</v>
      </c>
      <c r="D415" s="1" t="s">
        <v>1886</v>
      </c>
      <c r="E415" s="1" t="s">
        <v>205</v>
      </c>
      <c r="F415" s="1">
        <v>85.0</v>
      </c>
      <c r="G415" s="1" t="s">
        <v>322</v>
      </c>
      <c r="H415" s="1" t="s">
        <v>1762</v>
      </c>
      <c r="I415" s="1" t="s">
        <v>1887</v>
      </c>
      <c r="J415" s="1" t="s">
        <v>205</v>
      </c>
      <c r="K415" s="1" t="s">
        <v>1539</v>
      </c>
      <c r="L415" s="1" t="s">
        <v>1821</v>
      </c>
      <c r="M415" s="1" t="s">
        <v>1151</v>
      </c>
      <c r="N415" s="1" t="s">
        <v>384</v>
      </c>
      <c r="O415" s="1" t="s">
        <v>787</v>
      </c>
      <c r="P415" s="1" t="s">
        <v>150</v>
      </c>
      <c r="Q415" s="1" t="s">
        <v>235</v>
      </c>
      <c r="R415" s="1" t="s">
        <v>209</v>
      </c>
      <c r="S415" s="1">
        <v>80.0</v>
      </c>
      <c r="T415" s="1" t="s">
        <v>509</v>
      </c>
      <c r="U415" s="1" t="s">
        <v>548</v>
      </c>
      <c r="V415" s="1" t="s">
        <v>975</v>
      </c>
      <c r="W415" s="1" t="s">
        <v>1199</v>
      </c>
      <c r="X415" s="1" t="s">
        <v>974</v>
      </c>
      <c r="Y415" s="1" t="s">
        <v>593</v>
      </c>
      <c r="Z415" s="1">
        <v>1.0</v>
      </c>
    </row>
    <row r="416">
      <c r="A416" s="1" t="s">
        <v>605</v>
      </c>
      <c r="B416" s="1" t="s">
        <v>1522</v>
      </c>
      <c r="C416" s="1" t="s">
        <v>1612</v>
      </c>
      <c r="D416" s="1" t="s">
        <v>1888</v>
      </c>
      <c r="E416" s="1" t="s">
        <v>855</v>
      </c>
      <c r="F416" s="1" t="s">
        <v>903</v>
      </c>
      <c r="G416" s="1" t="s">
        <v>48</v>
      </c>
      <c r="H416" s="1" t="s">
        <v>1216</v>
      </c>
      <c r="I416" s="1" t="s">
        <v>492</v>
      </c>
      <c r="J416" s="1" t="s">
        <v>52</v>
      </c>
      <c r="K416" s="1" t="s">
        <v>205</v>
      </c>
      <c r="L416" s="1" t="s">
        <v>1889</v>
      </c>
      <c r="M416" s="1" t="s">
        <v>66</v>
      </c>
      <c r="N416" s="1" t="s">
        <v>1365</v>
      </c>
      <c r="O416" s="1" t="s">
        <v>1063</v>
      </c>
      <c r="P416" s="1" t="s">
        <v>242</v>
      </c>
      <c r="Q416" s="1" t="s">
        <v>517</v>
      </c>
      <c r="R416" s="1" t="s">
        <v>1890</v>
      </c>
      <c r="S416" s="1" t="s">
        <v>1046</v>
      </c>
      <c r="T416" s="1" t="s">
        <v>437</v>
      </c>
      <c r="U416" s="1" t="s">
        <v>553</v>
      </c>
      <c r="V416" s="1" t="s">
        <v>61</v>
      </c>
      <c r="W416" s="1" t="s">
        <v>253</v>
      </c>
      <c r="X416" s="1" t="s">
        <v>900</v>
      </c>
      <c r="Y416" s="1" t="s">
        <v>207</v>
      </c>
      <c r="Z416" s="1">
        <v>1.0</v>
      </c>
    </row>
    <row r="417">
      <c r="A417" s="1" t="s">
        <v>1301</v>
      </c>
      <c r="B417" s="1" t="s">
        <v>1522</v>
      </c>
      <c r="C417" s="1" t="s">
        <v>1693</v>
      </c>
      <c r="D417" s="1" t="s">
        <v>1891</v>
      </c>
      <c r="E417" s="1" t="s">
        <v>1892</v>
      </c>
      <c r="F417" s="1" t="s">
        <v>431</v>
      </c>
      <c r="G417" s="1" t="s">
        <v>322</v>
      </c>
      <c r="H417" s="1" t="s">
        <v>1696</v>
      </c>
      <c r="I417" s="1" t="s">
        <v>1893</v>
      </c>
      <c r="J417" s="1" t="s">
        <v>457</v>
      </c>
      <c r="K417" s="1" t="s">
        <v>205</v>
      </c>
      <c r="L417" s="1" t="s">
        <v>63</v>
      </c>
      <c r="M417" s="1" t="s">
        <v>1027</v>
      </c>
      <c r="N417" s="1" t="s">
        <v>860</v>
      </c>
      <c r="O417" s="1" t="s">
        <v>1894</v>
      </c>
      <c r="P417" s="1" t="s">
        <v>1895</v>
      </c>
      <c r="Q417" s="1" t="s">
        <v>57</v>
      </c>
      <c r="R417" s="1" t="s">
        <v>494</v>
      </c>
      <c r="S417" s="1" t="s">
        <v>1896</v>
      </c>
      <c r="T417" s="1" t="s">
        <v>1266</v>
      </c>
      <c r="U417" s="1" t="s">
        <v>69</v>
      </c>
      <c r="V417" s="1" t="s">
        <v>80</v>
      </c>
      <c r="W417" s="1" t="s">
        <v>1897</v>
      </c>
      <c r="X417" s="1" t="s">
        <v>1143</v>
      </c>
      <c r="Y417" s="1" t="s">
        <v>507</v>
      </c>
      <c r="Z417" s="1">
        <v>1.0</v>
      </c>
    </row>
    <row r="418">
      <c r="A418" s="1" t="s">
        <v>528</v>
      </c>
      <c r="B418" s="1" t="s">
        <v>1522</v>
      </c>
      <c r="C418" s="1" t="s">
        <v>145</v>
      </c>
      <c r="D418" s="1">
        <v>225.0</v>
      </c>
      <c r="E418" s="1">
        <v>78.0</v>
      </c>
      <c r="F418" s="1">
        <v>70.0</v>
      </c>
      <c r="G418" s="1">
        <v>80.0</v>
      </c>
      <c r="H418" s="1">
        <v>40.0</v>
      </c>
      <c r="I418" s="1">
        <v>39.0</v>
      </c>
      <c r="J418" s="1">
        <v>80.0</v>
      </c>
      <c r="K418" s="1">
        <v>89.0</v>
      </c>
      <c r="L418" s="1">
        <v>64.0</v>
      </c>
      <c r="M418" s="1">
        <v>85.0</v>
      </c>
      <c r="N418" s="1">
        <v>84.0</v>
      </c>
      <c r="O418" s="1">
        <v>80.0</v>
      </c>
      <c r="P418" s="1">
        <v>70.0</v>
      </c>
      <c r="Q418" s="1">
        <v>80.0</v>
      </c>
      <c r="R418" s="1">
        <v>87.0</v>
      </c>
      <c r="S418" s="1">
        <v>40.0</v>
      </c>
      <c r="T418" s="1">
        <v>27.0</v>
      </c>
      <c r="U418" s="1">
        <v>50.0</v>
      </c>
      <c r="V418" s="1">
        <v>93.0</v>
      </c>
      <c r="W418" s="1">
        <v>78.0</v>
      </c>
      <c r="X418" s="1">
        <v>65.0</v>
      </c>
      <c r="Y418" s="1">
        <v>75.0</v>
      </c>
      <c r="Z418" s="1">
        <v>1.0</v>
      </c>
    </row>
    <row r="419">
      <c r="A419" s="1" t="s">
        <v>1898</v>
      </c>
      <c r="B419" s="1" t="s">
        <v>1522</v>
      </c>
      <c r="C419" s="1" t="s">
        <v>1534</v>
      </c>
      <c r="D419" s="1">
        <v>234.0</v>
      </c>
      <c r="E419" s="1">
        <v>80.0</v>
      </c>
      <c r="F419" s="1">
        <v>90.0</v>
      </c>
      <c r="G419" s="1">
        <v>82.0</v>
      </c>
      <c r="H419" s="1">
        <v>72.0</v>
      </c>
      <c r="I419" s="1">
        <v>60.0</v>
      </c>
      <c r="J419" s="1">
        <v>80.0</v>
      </c>
      <c r="K419" s="1">
        <v>90.0</v>
      </c>
      <c r="L419" s="1">
        <v>65.0</v>
      </c>
      <c r="M419" s="1">
        <v>65.0</v>
      </c>
      <c r="N419" s="1">
        <v>80.0</v>
      </c>
      <c r="O419" s="1">
        <v>68.0</v>
      </c>
      <c r="P419" s="1">
        <v>74.0</v>
      </c>
      <c r="Q419" s="1">
        <v>74.0</v>
      </c>
      <c r="R419" s="1">
        <v>73.0</v>
      </c>
      <c r="S419" s="1">
        <v>75.0</v>
      </c>
      <c r="T419" s="1">
        <v>85.0</v>
      </c>
      <c r="U419" s="1">
        <v>75.0</v>
      </c>
      <c r="V419" s="1">
        <v>80.0</v>
      </c>
      <c r="W419" s="1">
        <v>76.0</v>
      </c>
      <c r="X419" s="1">
        <v>84.0</v>
      </c>
      <c r="Y419" s="1">
        <v>75.0</v>
      </c>
      <c r="Z419" s="1">
        <v>1.0</v>
      </c>
    </row>
    <row r="420">
      <c r="A420" s="1" t="s">
        <v>1248</v>
      </c>
      <c r="B420" s="1" t="s">
        <v>1522</v>
      </c>
      <c r="C420" s="1" t="s">
        <v>1574</v>
      </c>
      <c r="D420" s="1" t="s">
        <v>1899</v>
      </c>
      <c r="E420" s="1" t="s">
        <v>236</v>
      </c>
      <c r="F420" s="1" t="s">
        <v>410</v>
      </c>
      <c r="G420" s="1" t="s">
        <v>1188</v>
      </c>
      <c r="H420" s="1" t="s">
        <v>1900</v>
      </c>
      <c r="I420" s="1" t="s">
        <v>1577</v>
      </c>
      <c r="J420" s="1" t="s">
        <v>410</v>
      </c>
      <c r="K420" s="1" t="s">
        <v>706</v>
      </c>
      <c r="L420" s="1" t="s">
        <v>1219</v>
      </c>
      <c r="M420" s="1" t="s">
        <v>1394</v>
      </c>
      <c r="N420" s="1" t="s">
        <v>404</v>
      </c>
      <c r="O420" s="1" t="s">
        <v>1901</v>
      </c>
      <c r="P420" s="1" t="s">
        <v>906</v>
      </c>
      <c r="Q420" s="1" t="s">
        <v>400</v>
      </c>
      <c r="R420" s="1" t="s">
        <v>189</v>
      </c>
      <c r="S420" s="1" t="s">
        <v>1088</v>
      </c>
      <c r="T420" s="1" t="s">
        <v>1902</v>
      </c>
      <c r="U420" s="1" t="s">
        <v>271</v>
      </c>
      <c r="V420" s="1" t="s">
        <v>221</v>
      </c>
      <c r="W420" s="1" t="s">
        <v>384</v>
      </c>
      <c r="X420" s="1">
        <v>84.0</v>
      </c>
      <c r="Y420" s="1" t="s">
        <v>410</v>
      </c>
      <c r="Z420" s="1">
        <v>1.0</v>
      </c>
    </row>
    <row r="421">
      <c r="A421" s="1" t="s">
        <v>1274</v>
      </c>
      <c r="B421" s="1" t="s">
        <v>1522</v>
      </c>
      <c r="C421" s="1" t="s">
        <v>192</v>
      </c>
      <c r="D421" s="1" t="s">
        <v>547</v>
      </c>
      <c r="E421" s="1" t="s">
        <v>1706</v>
      </c>
      <c r="F421" s="1" t="s">
        <v>1867</v>
      </c>
      <c r="G421" s="1" t="s">
        <v>879</v>
      </c>
      <c r="H421" s="1" t="s">
        <v>1903</v>
      </c>
      <c r="I421" s="1" t="s">
        <v>1904</v>
      </c>
      <c r="J421" s="1" t="s">
        <v>878</v>
      </c>
      <c r="K421" s="1" t="s">
        <v>548</v>
      </c>
      <c r="L421" s="1" t="s">
        <v>206</v>
      </c>
      <c r="M421" s="1" t="s">
        <v>1151</v>
      </c>
      <c r="N421" s="1" t="s">
        <v>519</v>
      </c>
      <c r="O421" s="1" t="s">
        <v>1211</v>
      </c>
      <c r="P421" s="1" t="s">
        <v>224</v>
      </c>
      <c r="Q421" s="1" t="s">
        <v>1905</v>
      </c>
      <c r="R421" s="1" t="s">
        <v>1655</v>
      </c>
      <c r="S421" s="1" t="s">
        <v>1906</v>
      </c>
      <c r="T421" s="1" t="s">
        <v>1763</v>
      </c>
      <c r="U421" s="1" t="s">
        <v>1070</v>
      </c>
      <c r="V421" s="1">
        <v>90.0</v>
      </c>
      <c r="W421" s="1" t="s">
        <v>208</v>
      </c>
      <c r="X421" s="1" t="s">
        <v>792</v>
      </c>
      <c r="Y421" s="1" t="s">
        <v>437</v>
      </c>
      <c r="Z421" s="1">
        <v>1.0</v>
      </c>
    </row>
    <row r="422">
      <c r="A422" s="1" t="s">
        <v>1907</v>
      </c>
      <c r="B422" s="1" t="s">
        <v>1522</v>
      </c>
      <c r="C422" s="1" t="s">
        <v>192</v>
      </c>
      <c r="D422" s="1">
        <v>215.0</v>
      </c>
      <c r="E422" s="1">
        <v>98.0</v>
      </c>
      <c r="F422" s="1">
        <v>83.0</v>
      </c>
      <c r="G422" s="1">
        <v>80.0</v>
      </c>
      <c r="H422" s="1">
        <v>72.0</v>
      </c>
      <c r="I422" s="1">
        <v>70.0</v>
      </c>
      <c r="J422" s="1">
        <v>80.0</v>
      </c>
      <c r="K422" s="1">
        <v>87.0</v>
      </c>
      <c r="L422" s="1">
        <v>68.0</v>
      </c>
      <c r="M422" s="1">
        <v>80.0</v>
      </c>
      <c r="N422" s="1">
        <v>75.0</v>
      </c>
      <c r="O422" s="1">
        <v>75.0</v>
      </c>
      <c r="P422" s="1">
        <v>70.0</v>
      </c>
      <c r="Q422" s="1">
        <v>70.0</v>
      </c>
      <c r="R422" s="1">
        <v>67.0</v>
      </c>
      <c r="S422" s="1">
        <v>68.0</v>
      </c>
      <c r="T422" s="1">
        <v>67.0</v>
      </c>
      <c r="U422" s="1">
        <v>65.0</v>
      </c>
      <c r="V422" s="1">
        <v>75.0</v>
      </c>
      <c r="W422" s="1">
        <v>78.0</v>
      </c>
      <c r="X422" s="1">
        <v>76.0</v>
      </c>
      <c r="Y422" s="1">
        <v>72.0</v>
      </c>
      <c r="Z422" s="1">
        <v>1.0</v>
      </c>
    </row>
    <row r="423">
      <c r="A423" s="1" t="s">
        <v>488</v>
      </c>
      <c r="B423" s="1" t="s">
        <v>1522</v>
      </c>
      <c r="C423" s="1" t="s">
        <v>876</v>
      </c>
      <c r="D423" s="1" t="s">
        <v>581</v>
      </c>
      <c r="E423" s="1" t="s">
        <v>1908</v>
      </c>
      <c r="F423" s="1" t="s">
        <v>729</v>
      </c>
      <c r="G423" s="1" t="s">
        <v>175</v>
      </c>
      <c r="H423" s="1" t="s">
        <v>940</v>
      </c>
      <c r="I423" s="1" t="s">
        <v>1909</v>
      </c>
      <c r="J423" s="1" t="s">
        <v>190</v>
      </c>
      <c r="K423" s="1" t="s">
        <v>180</v>
      </c>
      <c r="L423" s="1" t="s">
        <v>437</v>
      </c>
      <c r="M423" s="1" t="s">
        <v>731</v>
      </c>
      <c r="N423" s="1" t="s">
        <v>179</v>
      </c>
      <c r="O423" s="1" t="s">
        <v>404</v>
      </c>
      <c r="P423" s="1" t="s">
        <v>1428</v>
      </c>
      <c r="Q423" s="1" t="s">
        <v>1247</v>
      </c>
      <c r="R423" s="1" t="s">
        <v>208</v>
      </c>
      <c r="S423" s="1" t="s">
        <v>1464</v>
      </c>
      <c r="T423" s="1" t="s">
        <v>978</v>
      </c>
      <c r="U423" s="1" t="s">
        <v>1388</v>
      </c>
      <c r="V423" s="1" t="s">
        <v>734</v>
      </c>
      <c r="W423" s="1" t="s">
        <v>657</v>
      </c>
      <c r="X423" s="1" t="s">
        <v>209</v>
      </c>
      <c r="Y423" s="1" t="s">
        <v>113</v>
      </c>
      <c r="Z423" s="1">
        <v>1.0</v>
      </c>
    </row>
    <row r="424">
      <c r="A424" s="1" t="s">
        <v>1910</v>
      </c>
      <c r="B424" s="1" t="s">
        <v>1522</v>
      </c>
      <c r="C424" s="1" t="s">
        <v>1579</v>
      </c>
      <c r="D424" s="1" t="s">
        <v>1911</v>
      </c>
      <c r="E424" s="1" t="s">
        <v>937</v>
      </c>
      <c r="F424" s="1" t="s">
        <v>724</v>
      </c>
      <c r="G424" s="1" t="s">
        <v>571</v>
      </c>
      <c r="H424" s="1">
        <v>60.0</v>
      </c>
      <c r="I424" s="1" t="s">
        <v>1912</v>
      </c>
      <c r="J424" s="1" t="s">
        <v>396</v>
      </c>
      <c r="K424" s="1" t="s">
        <v>208</v>
      </c>
      <c r="L424" s="1" t="s">
        <v>635</v>
      </c>
      <c r="M424" s="1" t="s">
        <v>1151</v>
      </c>
      <c r="N424" s="1" t="s">
        <v>1155</v>
      </c>
      <c r="O424" s="1" t="s">
        <v>1753</v>
      </c>
      <c r="P424" s="1" t="s">
        <v>424</v>
      </c>
      <c r="Q424" s="1" t="s">
        <v>1224</v>
      </c>
      <c r="R424" s="1" t="s">
        <v>1913</v>
      </c>
      <c r="S424" s="1" t="s">
        <v>60</v>
      </c>
      <c r="T424" s="1" t="s">
        <v>437</v>
      </c>
      <c r="U424" s="1" t="s">
        <v>1914</v>
      </c>
      <c r="V424" s="1" t="s">
        <v>190</v>
      </c>
      <c r="W424" s="1" t="s">
        <v>838</v>
      </c>
      <c r="X424" s="1" t="s">
        <v>1477</v>
      </c>
      <c r="Y424" s="1">
        <v>78.0</v>
      </c>
      <c r="Z424" s="1">
        <v>1.0</v>
      </c>
    </row>
    <row r="425">
      <c r="A425" s="1" t="s">
        <v>238</v>
      </c>
      <c r="B425" s="1" t="s">
        <v>1522</v>
      </c>
      <c r="C425" s="1" t="s">
        <v>1754</v>
      </c>
      <c r="D425" s="1" t="s">
        <v>990</v>
      </c>
      <c r="E425" s="1" t="s">
        <v>1247</v>
      </c>
      <c r="F425" s="1" t="s">
        <v>1326</v>
      </c>
      <c r="G425" s="1" t="s">
        <v>1346</v>
      </c>
      <c r="H425" s="1" t="s">
        <v>1666</v>
      </c>
      <c r="I425" s="1" t="s">
        <v>1915</v>
      </c>
      <c r="J425" s="1" t="s">
        <v>174</v>
      </c>
      <c r="K425" s="1" t="s">
        <v>82</v>
      </c>
      <c r="L425" s="1" t="s">
        <v>1916</v>
      </c>
      <c r="M425" s="1" t="s">
        <v>614</v>
      </c>
      <c r="N425" s="1" t="s">
        <v>548</v>
      </c>
      <c r="O425" s="1">
        <v>75.0</v>
      </c>
      <c r="P425" s="1" t="s">
        <v>364</v>
      </c>
      <c r="Q425" s="1" t="s">
        <v>208</v>
      </c>
      <c r="R425" s="1" t="s">
        <v>1112</v>
      </c>
      <c r="S425" s="1" t="s">
        <v>1561</v>
      </c>
      <c r="T425" s="1" t="s">
        <v>1716</v>
      </c>
      <c r="U425" s="1" t="s">
        <v>48</v>
      </c>
      <c r="V425" s="1" t="s">
        <v>761</v>
      </c>
      <c r="W425" s="1" t="s">
        <v>763</v>
      </c>
      <c r="X425" s="1" t="s">
        <v>900</v>
      </c>
      <c r="Y425" s="1" t="s">
        <v>190</v>
      </c>
      <c r="Z425" s="1">
        <v>1.0</v>
      </c>
    </row>
    <row r="426">
      <c r="A426" s="1" t="s">
        <v>293</v>
      </c>
      <c r="B426" s="1" t="s">
        <v>1522</v>
      </c>
      <c r="C426" s="1" t="s">
        <v>145</v>
      </c>
      <c r="D426" s="1">
        <v>192.0</v>
      </c>
      <c r="E426" s="1">
        <v>80.0</v>
      </c>
      <c r="F426" s="1">
        <v>71.0</v>
      </c>
      <c r="G426" s="1">
        <v>80.0</v>
      </c>
      <c r="H426" s="1">
        <v>39.0</v>
      </c>
      <c r="I426" s="1">
        <v>41.0</v>
      </c>
      <c r="J426" s="1">
        <v>93.0</v>
      </c>
      <c r="K426" s="1">
        <v>83.0</v>
      </c>
      <c r="L426" s="1">
        <v>79.0</v>
      </c>
      <c r="M426" s="1">
        <v>70.0</v>
      </c>
      <c r="N426" s="1">
        <v>86.0</v>
      </c>
      <c r="O426" s="1">
        <v>86.0</v>
      </c>
      <c r="P426" s="1">
        <v>50.0</v>
      </c>
      <c r="Q426" s="1">
        <v>85.0</v>
      </c>
      <c r="R426" s="1">
        <v>85.0</v>
      </c>
      <c r="S426" s="1">
        <v>68.0</v>
      </c>
      <c r="T426" s="1">
        <v>34.0</v>
      </c>
      <c r="U426" s="1">
        <v>53.0</v>
      </c>
      <c r="V426" s="1">
        <v>86.0</v>
      </c>
      <c r="W426" s="1">
        <v>80.0</v>
      </c>
      <c r="X426" s="1">
        <v>56.0</v>
      </c>
      <c r="Y426" s="1">
        <v>75.0</v>
      </c>
      <c r="Z426" s="1">
        <v>1.0</v>
      </c>
    </row>
    <row r="427">
      <c r="A427" s="1" t="s">
        <v>1917</v>
      </c>
      <c r="B427" s="1" t="s">
        <v>1522</v>
      </c>
      <c r="C427" s="1" t="s">
        <v>970</v>
      </c>
      <c r="D427" s="1" t="s">
        <v>1918</v>
      </c>
      <c r="E427" s="1" t="s">
        <v>1836</v>
      </c>
      <c r="F427" s="1" t="s">
        <v>31</v>
      </c>
      <c r="G427" s="1" t="s">
        <v>617</v>
      </c>
      <c r="H427" s="1" t="s">
        <v>526</v>
      </c>
      <c r="I427" s="1" t="s">
        <v>1919</v>
      </c>
      <c r="J427" s="1" t="s">
        <v>582</v>
      </c>
      <c r="K427" s="1" t="s">
        <v>229</v>
      </c>
      <c r="L427" s="1" t="s">
        <v>1920</v>
      </c>
      <c r="M427" s="1">
        <v>85.0</v>
      </c>
      <c r="N427" s="1" t="s">
        <v>180</v>
      </c>
      <c r="O427" s="1" t="s">
        <v>410</v>
      </c>
      <c r="P427" s="1" t="s">
        <v>781</v>
      </c>
      <c r="Q427" s="1">
        <v>85.0</v>
      </c>
      <c r="R427" s="1" t="s">
        <v>1198</v>
      </c>
      <c r="S427" s="1" t="s">
        <v>708</v>
      </c>
      <c r="T427" s="1" t="s">
        <v>1008</v>
      </c>
      <c r="U427" s="1" t="s">
        <v>753</v>
      </c>
      <c r="V427" s="1" t="s">
        <v>1046</v>
      </c>
      <c r="W427" s="1" t="s">
        <v>190</v>
      </c>
      <c r="X427" s="1" t="s">
        <v>1396</v>
      </c>
      <c r="Y427" s="1" t="s">
        <v>190</v>
      </c>
      <c r="Z427" s="1">
        <v>1.0</v>
      </c>
    </row>
    <row r="428">
      <c r="A428" s="1" t="s">
        <v>1430</v>
      </c>
      <c r="B428" s="1" t="s">
        <v>1522</v>
      </c>
      <c r="C428" s="1" t="s">
        <v>1541</v>
      </c>
      <c r="D428" s="1" t="s">
        <v>1921</v>
      </c>
      <c r="E428" s="1" t="s">
        <v>271</v>
      </c>
      <c r="F428" s="1" t="s">
        <v>322</v>
      </c>
      <c r="G428" s="1" t="s">
        <v>567</v>
      </c>
      <c r="H428" s="1" t="s">
        <v>994</v>
      </c>
      <c r="I428" s="1" t="s">
        <v>1922</v>
      </c>
      <c r="J428" s="1" t="s">
        <v>584</v>
      </c>
      <c r="K428" s="1" t="s">
        <v>180</v>
      </c>
      <c r="L428" s="1" t="s">
        <v>53</v>
      </c>
      <c r="M428" s="1" t="s">
        <v>404</v>
      </c>
      <c r="N428" s="1" t="s">
        <v>224</v>
      </c>
      <c r="O428" s="1" t="s">
        <v>1923</v>
      </c>
      <c r="P428" s="1" t="s">
        <v>1035</v>
      </c>
      <c r="Q428" s="1" t="s">
        <v>502</v>
      </c>
      <c r="R428" s="1" t="s">
        <v>1924</v>
      </c>
      <c r="S428" s="1" t="s">
        <v>224</v>
      </c>
      <c r="T428" s="1" t="s">
        <v>519</v>
      </c>
      <c r="U428" s="1" t="s">
        <v>1925</v>
      </c>
      <c r="V428" s="1" t="s">
        <v>190</v>
      </c>
      <c r="W428" s="1" t="s">
        <v>893</v>
      </c>
      <c r="X428" s="1" t="s">
        <v>190</v>
      </c>
      <c r="Y428" s="1">
        <v>80.0</v>
      </c>
      <c r="Z428" s="1">
        <v>1.0</v>
      </c>
    </row>
    <row r="429">
      <c r="A429" s="1" t="s">
        <v>1250</v>
      </c>
      <c r="B429" s="1" t="s">
        <v>1522</v>
      </c>
      <c r="C429" s="1" t="s">
        <v>1530</v>
      </c>
      <c r="D429" s="1" t="s">
        <v>1796</v>
      </c>
      <c r="E429" s="1" t="s">
        <v>878</v>
      </c>
      <c r="F429" s="1" t="s">
        <v>242</v>
      </c>
      <c r="G429" s="1" t="s">
        <v>322</v>
      </c>
      <c r="H429" s="1" t="s">
        <v>1428</v>
      </c>
      <c r="I429" s="1" t="s">
        <v>38</v>
      </c>
      <c r="J429" s="1" t="s">
        <v>857</v>
      </c>
      <c r="K429" s="1" t="s">
        <v>780</v>
      </c>
      <c r="L429" s="1" t="s">
        <v>1926</v>
      </c>
      <c r="M429" s="1" t="s">
        <v>149</v>
      </c>
      <c r="N429" s="1" t="s">
        <v>525</v>
      </c>
      <c r="O429" s="1" t="s">
        <v>1127</v>
      </c>
      <c r="P429" s="1" t="s">
        <v>417</v>
      </c>
      <c r="Q429" s="1" t="s">
        <v>188</v>
      </c>
      <c r="R429" s="1" t="s">
        <v>428</v>
      </c>
      <c r="S429" s="1" t="s">
        <v>424</v>
      </c>
      <c r="T429" s="1" t="s">
        <v>1637</v>
      </c>
      <c r="U429" s="1" t="s">
        <v>48</v>
      </c>
      <c r="V429" s="1" t="s">
        <v>300</v>
      </c>
      <c r="W429" s="1" t="s">
        <v>242</v>
      </c>
      <c r="X429" s="1" t="s">
        <v>52</v>
      </c>
      <c r="Y429" s="1" t="s">
        <v>110</v>
      </c>
      <c r="Z429" s="1">
        <v>1.0</v>
      </c>
    </row>
    <row r="430">
      <c r="A430" s="1" t="s">
        <v>440</v>
      </c>
      <c r="B430" s="1" t="s">
        <v>1522</v>
      </c>
      <c r="C430" s="1" t="s">
        <v>970</v>
      </c>
      <c r="D430" s="1">
        <v>220.0</v>
      </c>
      <c r="E430" s="1">
        <v>79.0</v>
      </c>
      <c r="F430" s="1">
        <v>85.0</v>
      </c>
      <c r="G430" s="1">
        <v>84.0</v>
      </c>
      <c r="H430" s="1">
        <v>45.0</v>
      </c>
      <c r="I430" s="1">
        <v>65.0</v>
      </c>
      <c r="J430" s="1">
        <v>92.0</v>
      </c>
      <c r="K430" s="1">
        <v>87.0</v>
      </c>
      <c r="L430" s="1">
        <v>92.0</v>
      </c>
      <c r="M430" s="1">
        <v>71.0</v>
      </c>
      <c r="N430" s="1">
        <v>86.0</v>
      </c>
      <c r="O430" s="1">
        <v>77.0</v>
      </c>
      <c r="P430" s="1">
        <v>57.0</v>
      </c>
      <c r="Q430" s="1">
        <v>73.0</v>
      </c>
      <c r="R430" s="1">
        <v>79.0</v>
      </c>
      <c r="S430" s="1">
        <v>68.0</v>
      </c>
      <c r="T430" s="1">
        <v>53.0</v>
      </c>
      <c r="U430" s="1">
        <v>48.0</v>
      </c>
      <c r="V430" s="1">
        <v>84.0</v>
      </c>
      <c r="W430" s="1">
        <v>73.0</v>
      </c>
      <c r="X430" s="1">
        <v>77.0</v>
      </c>
      <c r="Y430" s="1">
        <v>80.0</v>
      </c>
      <c r="Z430" s="1">
        <v>1.0</v>
      </c>
    </row>
    <row r="431">
      <c r="A431" s="1" t="s">
        <v>739</v>
      </c>
      <c r="B431" s="1" t="s">
        <v>1522</v>
      </c>
      <c r="C431" s="1" t="s">
        <v>876</v>
      </c>
      <c r="D431" s="1" t="s">
        <v>1610</v>
      </c>
      <c r="E431" s="1" t="s">
        <v>1927</v>
      </c>
      <c r="F431" s="1">
        <v>71.0</v>
      </c>
      <c r="G431" s="1" t="s">
        <v>1296</v>
      </c>
      <c r="H431" s="1" t="s">
        <v>1696</v>
      </c>
      <c r="I431" s="1" t="s">
        <v>1090</v>
      </c>
      <c r="J431" s="1" t="s">
        <v>183</v>
      </c>
      <c r="K431" s="1" t="s">
        <v>1296</v>
      </c>
      <c r="L431" s="1" t="s">
        <v>242</v>
      </c>
      <c r="M431" s="1" t="s">
        <v>878</v>
      </c>
      <c r="N431" s="1">
        <v>86.0</v>
      </c>
      <c r="O431" s="1" t="s">
        <v>190</v>
      </c>
      <c r="P431" s="1" t="s">
        <v>801</v>
      </c>
      <c r="Q431" s="1" t="s">
        <v>614</v>
      </c>
      <c r="R431" s="1" t="s">
        <v>206</v>
      </c>
      <c r="S431" s="1" t="s">
        <v>724</v>
      </c>
      <c r="T431" s="1" t="s">
        <v>1928</v>
      </c>
      <c r="U431" s="1" t="s">
        <v>1285</v>
      </c>
      <c r="V431" s="1" t="s">
        <v>300</v>
      </c>
      <c r="W431" s="1" t="s">
        <v>300</v>
      </c>
      <c r="X431" s="1">
        <v>85.0</v>
      </c>
      <c r="Y431" s="1">
        <v>80.0</v>
      </c>
      <c r="Z431" s="1">
        <v>1.0</v>
      </c>
    </row>
    <row r="432">
      <c r="A432" s="1" t="s">
        <v>1929</v>
      </c>
      <c r="B432" s="1" t="s">
        <v>1522</v>
      </c>
      <c r="C432" s="1" t="s">
        <v>1574</v>
      </c>
      <c r="D432" s="1" t="s">
        <v>1886</v>
      </c>
      <c r="E432" s="1" t="s">
        <v>166</v>
      </c>
      <c r="F432" s="1" t="s">
        <v>205</v>
      </c>
      <c r="G432" s="1">
        <v>93.0</v>
      </c>
      <c r="H432" s="1">
        <v>90.0</v>
      </c>
      <c r="I432" s="1" t="s">
        <v>1815</v>
      </c>
      <c r="J432" s="1" t="s">
        <v>1206</v>
      </c>
      <c r="K432" s="1" t="s">
        <v>1546</v>
      </c>
      <c r="L432" s="1" t="s">
        <v>1281</v>
      </c>
      <c r="M432" s="1" t="s">
        <v>729</v>
      </c>
      <c r="N432" s="1">
        <v>75.0</v>
      </c>
      <c r="O432" s="1" t="s">
        <v>1633</v>
      </c>
      <c r="P432" s="1" t="s">
        <v>1836</v>
      </c>
      <c r="Q432" s="1" t="s">
        <v>502</v>
      </c>
      <c r="R432" s="1" t="s">
        <v>1112</v>
      </c>
      <c r="S432" s="1" t="s">
        <v>1088</v>
      </c>
      <c r="T432" s="1" t="s">
        <v>1672</v>
      </c>
      <c r="U432" s="1" t="s">
        <v>1862</v>
      </c>
      <c r="V432" s="1">
        <v>78.0</v>
      </c>
      <c r="W432" s="1" t="s">
        <v>711</v>
      </c>
      <c r="X432" s="1" t="s">
        <v>593</v>
      </c>
      <c r="Y432" s="1">
        <v>85.0</v>
      </c>
      <c r="Z432" s="1">
        <v>1.0</v>
      </c>
    </row>
    <row r="433">
      <c r="A433" s="1" t="s">
        <v>1930</v>
      </c>
      <c r="B433" s="1" t="s">
        <v>1522</v>
      </c>
      <c r="C433" s="1" t="s">
        <v>192</v>
      </c>
      <c r="D433" s="1">
        <v>215.0</v>
      </c>
      <c r="E433" s="1">
        <v>80.0</v>
      </c>
      <c r="F433" s="1">
        <v>90.0</v>
      </c>
      <c r="G433" s="1">
        <v>80.0</v>
      </c>
      <c r="H433" s="1">
        <v>36.0</v>
      </c>
      <c r="I433" s="1">
        <v>50.0</v>
      </c>
      <c r="J433" s="1">
        <v>80.0</v>
      </c>
      <c r="K433" s="1">
        <v>87.0</v>
      </c>
      <c r="L433" s="1">
        <v>70.0</v>
      </c>
      <c r="M433" s="1">
        <v>80.0</v>
      </c>
      <c r="N433" s="1">
        <v>84.0</v>
      </c>
      <c r="O433" s="1">
        <v>81.0</v>
      </c>
      <c r="P433" s="1">
        <v>80.0</v>
      </c>
      <c r="Q433" s="1">
        <v>70.0</v>
      </c>
      <c r="R433" s="1">
        <v>70.0</v>
      </c>
      <c r="S433" s="1">
        <v>70.0</v>
      </c>
      <c r="T433" s="1">
        <v>36.0</v>
      </c>
      <c r="U433" s="1">
        <v>60.0</v>
      </c>
      <c r="V433" s="1">
        <v>81.0</v>
      </c>
      <c r="W433" s="1">
        <v>80.0</v>
      </c>
      <c r="X433" s="1">
        <v>80.0</v>
      </c>
      <c r="Y433" s="1">
        <v>80.0</v>
      </c>
      <c r="Z433" s="1">
        <v>1.0</v>
      </c>
    </row>
    <row r="434">
      <c r="A434" s="1" t="s">
        <v>885</v>
      </c>
      <c r="B434" s="1" t="s">
        <v>1522</v>
      </c>
      <c r="C434" s="1" t="s">
        <v>970</v>
      </c>
      <c r="D434" s="1">
        <v>218.0</v>
      </c>
      <c r="E434" s="1">
        <v>82.0</v>
      </c>
      <c r="F434" s="1">
        <v>92.0</v>
      </c>
      <c r="G434" s="1">
        <v>95.0</v>
      </c>
      <c r="H434" s="1">
        <v>55.0</v>
      </c>
      <c r="I434" s="1">
        <v>51.0</v>
      </c>
      <c r="J434" s="1">
        <v>74.0</v>
      </c>
      <c r="K434" s="1">
        <v>81.0</v>
      </c>
      <c r="L434" s="1">
        <v>61.0</v>
      </c>
      <c r="M434" s="1">
        <v>61.0</v>
      </c>
      <c r="N434" s="1">
        <v>86.0</v>
      </c>
      <c r="O434" s="1">
        <v>76.0</v>
      </c>
      <c r="P434" s="1">
        <v>71.0</v>
      </c>
      <c r="Q434" s="1">
        <v>56.0</v>
      </c>
      <c r="R434" s="1">
        <v>46.0</v>
      </c>
      <c r="S434" s="1">
        <v>91.0</v>
      </c>
      <c r="T434" s="1">
        <v>66.0</v>
      </c>
      <c r="U434" s="1">
        <v>91.0</v>
      </c>
      <c r="V434" s="1">
        <v>86.0</v>
      </c>
      <c r="W434" s="1">
        <v>83.0</v>
      </c>
      <c r="X434" s="1">
        <v>57.0</v>
      </c>
      <c r="Y434" s="1">
        <v>75.0</v>
      </c>
      <c r="Z434" s="1">
        <v>1.0</v>
      </c>
    </row>
    <row r="435">
      <c r="A435" s="1" t="s">
        <v>1931</v>
      </c>
      <c r="B435" s="1" t="s">
        <v>1522</v>
      </c>
      <c r="C435" s="1" t="s">
        <v>1541</v>
      </c>
      <c r="D435" s="1" t="s">
        <v>990</v>
      </c>
      <c r="E435" s="1" t="s">
        <v>694</v>
      </c>
      <c r="F435" s="1" t="s">
        <v>731</v>
      </c>
      <c r="G435" s="1" t="s">
        <v>322</v>
      </c>
      <c r="H435" s="1" t="s">
        <v>123</v>
      </c>
      <c r="I435" s="1" t="s">
        <v>988</v>
      </c>
      <c r="J435" s="1" t="s">
        <v>1932</v>
      </c>
      <c r="K435" s="1" t="s">
        <v>1933</v>
      </c>
      <c r="L435" s="1" t="s">
        <v>509</v>
      </c>
      <c r="M435" s="1" t="s">
        <v>1287</v>
      </c>
      <c r="N435" s="1" t="s">
        <v>174</v>
      </c>
      <c r="O435" s="1" t="s">
        <v>576</v>
      </c>
      <c r="P435" s="1" t="s">
        <v>860</v>
      </c>
      <c r="Q435" s="1" t="s">
        <v>1247</v>
      </c>
      <c r="R435" s="1" t="s">
        <v>48</v>
      </c>
      <c r="S435" s="1" t="s">
        <v>780</v>
      </c>
      <c r="T435" s="1" t="s">
        <v>416</v>
      </c>
      <c r="U435" s="1" t="s">
        <v>35</v>
      </c>
      <c r="V435" s="1" t="s">
        <v>763</v>
      </c>
      <c r="W435" s="1" t="s">
        <v>265</v>
      </c>
      <c r="X435" s="1" t="s">
        <v>1176</v>
      </c>
      <c r="Y435" s="1" t="s">
        <v>1046</v>
      </c>
      <c r="Z435" s="1">
        <v>1.0</v>
      </c>
    </row>
    <row r="436">
      <c r="A436" s="1" t="s">
        <v>1114</v>
      </c>
      <c r="B436" s="1" t="s">
        <v>1522</v>
      </c>
      <c r="C436" s="1" t="s">
        <v>629</v>
      </c>
      <c r="D436" s="1" t="s">
        <v>1934</v>
      </c>
      <c r="E436" s="1">
        <v>70.0</v>
      </c>
      <c r="F436" s="1">
        <v>80.0</v>
      </c>
      <c r="G436" s="1" t="s">
        <v>476</v>
      </c>
      <c r="H436" s="1" t="s">
        <v>1391</v>
      </c>
      <c r="I436" s="1" t="s">
        <v>888</v>
      </c>
      <c r="J436" s="1" t="s">
        <v>158</v>
      </c>
      <c r="K436" s="1">
        <v>83.0</v>
      </c>
      <c r="L436" s="1" t="s">
        <v>1935</v>
      </c>
      <c r="M436" s="1" t="s">
        <v>1936</v>
      </c>
      <c r="N436" s="1" t="s">
        <v>1072</v>
      </c>
      <c r="O436" s="1" t="s">
        <v>476</v>
      </c>
      <c r="P436" s="1" t="s">
        <v>1152</v>
      </c>
      <c r="Q436" s="1" t="s">
        <v>208</v>
      </c>
      <c r="R436" s="1" t="s">
        <v>208</v>
      </c>
      <c r="S436" s="1">
        <v>80.0</v>
      </c>
      <c r="T436" s="1" t="s">
        <v>1937</v>
      </c>
      <c r="U436" s="1" t="s">
        <v>52</v>
      </c>
      <c r="V436" s="1">
        <v>84.0</v>
      </c>
      <c r="W436" s="1" t="s">
        <v>1477</v>
      </c>
      <c r="X436" s="1" t="s">
        <v>1938</v>
      </c>
      <c r="Y436" s="1" t="s">
        <v>224</v>
      </c>
      <c r="Z436" s="1">
        <v>1.0</v>
      </c>
    </row>
    <row r="437">
      <c r="A437" s="1" t="s">
        <v>1503</v>
      </c>
      <c r="B437" s="1" t="s">
        <v>1522</v>
      </c>
      <c r="C437" s="1" t="s">
        <v>145</v>
      </c>
      <c r="D437" s="1" t="s">
        <v>1939</v>
      </c>
      <c r="E437" s="1" t="s">
        <v>1194</v>
      </c>
      <c r="F437" s="1" t="s">
        <v>1940</v>
      </c>
      <c r="G437" s="1" t="s">
        <v>1143</v>
      </c>
      <c r="H437" s="1" t="s">
        <v>1941</v>
      </c>
      <c r="I437" s="1" t="s">
        <v>1942</v>
      </c>
      <c r="J437" s="1">
        <v>73.0</v>
      </c>
      <c r="K437" s="1">
        <v>83.0</v>
      </c>
      <c r="L437" s="1" t="s">
        <v>1943</v>
      </c>
      <c r="M437" s="1" t="s">
        <v>1944</v>
      </c>
      <c r="N437" s="1" t="s">
        <v>1247</v>
      </c>
      <c r="O437" s="1">
        <v>79.0</v>
      </c>
      <c r="P437" s="1" t="s">
        <v>1156</v>
      </c>
      <c r="Q437" s="1" t="s">
        <v>1435</v>
      </c>
      <c r="R437" s="1" t="s">
        <v>790</v>
      </c>
      <c r="S437" s="1" t="s">
        <v>710</v>
      </c>
      <c r="T437" s="1" t="s">
        <v>615</v>
      </c>
      <c r="U437" s="1" t="s">
        <v>1945</v>
      </c>
      <c r="V437" s="1" t="s">
        <v>477</v>
      </c>
      <c r="W437" s="1" t="s">
        <v>1946</v>
      </c>
      <c r="X437" s="1" t="s">
        <v>1627</v>
      </c>
      <c r="Y437" s="1" t="s">
        <v>1947</v>
      </c>
      <c r="Z437" s="1">
        <v>1.0</v>
      </c>
    </row>
    <row r="438">
      <c r="A438" s="1" t="s">
        <v>1948</v>
      </c>
      <c r="B438" s="1" t="s">
        <v>1522</v>
      </c>
      <c r="C438" s="1" t="s">
        <v>1534</v>
      </c>
      <c r="D438" s="1">
        <v>218.0</v>
      </c>
      <c r="E438" s="1">
        <v>77.0</v>
      </c>
      <c r="F438" s="1" t="s">
        <v>576</v>
      </c>
      <c r="G438" s="1">
        <v>89.0</v>
      </c>
      <c r="H438" s="1" t="s">
        <v>1949</v>
      </c>
      <c r="I438" s="1">
        <v>50.0</v>
      </c>
      <c r="J438" s="1" t="s">
        <v>1607</v>
      </c>
      <c r="K438" s="1">
        <v>80.0</v>
      </c>
      <c r="L438" s="1" t="s">
        <v>1328</v>
      </c>
      <c r="M438" s="1">
        <v>70.0</v>
      </c>
      <c r="N438" s="1">
        <v>80.0</v>
      </c>
      <c r="O438" s="1">
        <v>72.0</v>
      </c>
      <c r="P438" s="1">
        <v>70.0</v>
      </c>
      <c r="Q438" s="1">
        <v>85.0</v>
      </c>
      <c r="R438" s="1" t="s">
        <v>1477</v>
      </c>
      <c r="S438" s="1">
        <v>74.0</v>
      </c>
      <c r="T438" s="1">
        <v>92.0</v>
      </c>
      <c r="U438" s="1">
        <v>77.0</v>
      </c>
      <c r="V438" s="1">
        <v>81.0</v>
      </c>
      <c r="W438" s="1">
        <v>80.0</v>
      </c>
      <c r="X438" s="1">
        <v>84.0</v>
      </c>
      <c r="Y438" s="1" t="s">
        <v>224</v>
      </c>
      <c r="Z438" s="1">
        <v>1.0</v>
      </c>
    </row>
    <row r="439">
      <c r="A439" s="1" t="s">
        <v>1950</v>
      </c>
      <c r="B439" s="1" t="s">
        <v>1522</v>
      </c>
      <c r="C439" s="1" t="s">
        <v>192</v>
      </c>
      <c r="D439" s="1">
        <v>220.0</v>
      </c>
      <c r="E439" s="1">
        <v>80.0</v>
      </c>
      <c r="F439" s="1">
        <v>87.0</v>
      </c>
      <c r="G439" s="1">
        <v>98.0</v>
      </c>
      <c r="H439" s="1">
        <v>49.0</v>
      </c>
      <c r="I439" s="1">
        <v>85.0</v>
      </c>
      <c r="J439" s="1">
        <v>44.0</v>
      </c>
      <c r="K439" s="1">
        <v>48.0</v>
      </c>
      <c r="L439" s="1">
        <v>68.0</v>
      </c>
      <c r="M439" s="1">
        <v>77.0</v>
      </c>
      <c r="N439" s="1">
        <v>77.0</v>
      </c>
      <c r="O439" s="1">
        <v>77.0</v>
      </c>
      <c r="P439" s="1">
        <v>72.0</v>
      </c>
      <c r="Q439" s="1">
        <v>82.0</v>
      </c>
      <c r="R439" s="1">
        <v>80.0</v>
      </c>
      <c r="S439" s="1">
        <v>80.0</v>
      </c>
      <c r="T439" s="1">
        <v>71.0</v>
      </c>
      <c r="U439" s="1">
        <v>80.0</v>
      </c>
      <c r="V439" s="1">
        <v>80.0</v>
      </c>
      <c r="W439" s="1">
        <v>70.0</v>
      </c>
      <c r="X439" s="1">
        <v>80.0</v>
      </c>
      <c r="Y439" s="1">
        <v>85.0</v>
      </c>
      <c r="Z439" s="1">
        <v>1.0</v>
      </c>
    </row>
    <row r="440">
      <c r="A440" s="1" t="s">
        <v>1951</v>
      </c>
      <c r="B440" s="1" t="s">
        <v>1522</v>
      </c>
      <c r="C440" s="1" t="s">
        <v>192</v>
      </c>
      <c r="D440" s="1">
        <v>216.0</v>
      </c>
      <c r="E440" s="1">
        <v>72.0</v>
      </c>
      <c r="F440" s="1">
        <v>78.0</v>
      </c>
      <c r="G440" s="1">
        <v>73.0</v>
      </c>
      <c r="H440" s="1">
        <v>81.0</v>
      </c>
      <c r="I440" s="1">
        <v>77.0</v>
      </c>
      <c r="J440" s="1">
        <v>73.0</v>
      </c>
      <c r="K440" s="1">
        <v>83.0</v>
      </c>
      <c r="L440" s="1">
        <v>95.0</v>
      </c>
      <c r="M440" s="1">
        <v>75.0</v>
      </c>
      <c r="N440" s="1">
        <v>65.0</v>
      </c>
      <c r="O440" s="1">
        <v>62.0</v>
      </c>
      <c r="P440" s="1">
        <v>69.0</v>
      </c>
      <c r="Q440" s="1">
        <v>95.0</v>
      </c>
      <c r="R440" s="1">
        <v>79.0</v>
      </c>
      <c r="S440" s="1">
        <v>78.0</v>
      </c>
      <c r="T440" s="1">
        <v>38.0</v>
      </c>
      <c r="U440" s="1">
        <v>55.0</v>
      </c>
      <c r="V440" s="1">
        <v>86.0</v>
      </c>
      <c r="W440" s="1">
        <v>86.0</v>
      </c>
      <c r="X440" s="1">
        <v>85.0</v>
      </c>
      <c r="Y440" s="1">
        <v>75.0</v>
      </c>
      <c r="Z440" s="1">
        <v>1.0</v>
      </c>
    </row>
    <row r="441">
      <c r="A441" s="1" t="s">
        <v>1952</v>
      </c>
      <c r="B441" s="1" t="s">
        <v>1522</v>
      </c>
      <c r="C441" s="1" t="s">
        <v>192</v>
      </c>
      <c r="D441" s="1">
        <v>215.0</v>
      </c>
      <c r="E441" s="1">
        <v>90.0</v>
      </c>
      <c r="F441" s="1">
        <v>90.0</v>
      </c>
      <c r="G441" s="1">
        <v>90.0</v>
      </c>
      <c r="H441" s="1">
        <v>40.0</v>
      </c>
      <c r="I441" s="1">
        <v>25.0</v>
      </c>
      <c r="J441" s="1">
        <v>75.0</v>
      </c>
      <c r="K441" s="1">
        <v>75.0</v>
      </c>
      <c r="L441" s="1">
        <v>90.0</v>
      </c>
      <c r="M441" s="1">
        <v>53.0</v>
      </c>
      <c r="N441" s="1">
        <v>65.0</v>
      </c>
      <c r="O441" s="1">
        <v>65.0</v>
      </c>
      <c r="P441" s="1">
        <v>60.0</v>
      </c>
      <c r="Q441" s="1">
        <v>91.0</v>
      </c>
      <c r="R441" s="1">
        <v>95.0</v>
      </c>
      <c r="S441" s="1">
        <v>61.0</v>
      </c>
      <c r="T441" s="1">
        <v>71.0</v>
      </c>
      <c r="U441" s="1">
        <v>71.0</v>
      </c>
      <c r="V441" s="1">
        <v>90.0</v>
      </c>
      <c r="W441" s="1">
        <v>83.0</v>
      </c>
      <c r="X441" s="1">
        <v>56.0</v>
      </c>
      <c r="Y441" s="1">
        <v>71.0</v>
      </c>
      <c r="Z441" s="1">
        <v>1.0</v>
      </c>
    </row>
    <row r="442">
      <c r="A442" s="1" t="s">
        <v>1953</v>
      </c>
      <c r="B442" s="1" t="s">
        <v>1522</v>
      </c>
      <c r="C442" s="1" t="s">
        <v>1579</v>
      </c>
      <c r="D442" s="1">
        <v>206.0</v>
      </c>
      <c r="E442" s="1">
        <v>73.0</v>
      </c>
      <c r="F442" s="1">
        <v>80.0</v>
      </c>
      <c r="G442" s="1">
        <v>93.0</v>
      </c>
      <c r="H442" s="1">
        <v>70.0</v>
      </c>
      <c r="I442" s="1">
        <v>50.0</v>
      </c>
      <c r="J442" s="1">
        <v>80.0</v>
      </c>
      <c r="K442" s="1">
        <v>80.0</v>
      </c>
      <c r="L442" s="1">
        <v>60.0</v>
      </c>
      <c r="M442" s="1">
        <v>82.0</v>
      </c>
      <c r="N442" s="1">
        <v>75.0</v>
      </c>
      <c r="O442" s="1">
        <v>71.0</v>
      </c>
      <c r="P442" s="1">
        <v>70.0</v>
      </c>
      <c r="Q442" s="1">
        <v>83.0</v>
      </c>
      <c r="R442" s="1">
        <v>75.0</v>
      </c>
      <c r="S442" s="1">
        <v>80.0</v>
      </c>
      <c r="T442" s="1">
        <v>81.0</v>
      </c>
      <c r="U442" s="1">
        <v>80.0</v>
      </c>
      <c r="V442" s="1">
        <v>80.0</v>
      </c>
      <c r="W442" s="1">
        <v>76.0</v>
      </c>
      <c r="X442" s="1">
        <v>74.0</v>
      </c>
      <c r="Y442" s="1">
        <v>80.0</v>
      </c>
      <c r="Z442" s="1">
        <v>1.0</v>
      </c>
    </row>
    <row r="443">
      <c r="A443" s="1" t="s">
        <v>1954</v>
      </c>
      <c r="B443" s="1" t="s">
        <v>1522</v>
      </c>
      <c r="C443" s="1" t="s">
        <v>1579</v>
      </c>
      <c r="D443" s="1">
        <v>229.0</v>
      </c>
      <c r="E443" s="1">
        <v>86.0</v>
      </c>
      <c r="F443" s="1">
        <v>96.0</v>
      </c>
      <c r="G443" s="1">
        <v>57.0</v>
      </c>
      <c r="H443" s="1">
        <v>72.0</v>
      </c>
      <c r="I443" s="1">
        <v>70.0</v>
      </c>
      <c r="J443" s="1">
        <v>75.0</v>
      </c>
      <c r="K443" s="1">
        <v>83.0</v>
      </c>
      <c r="L443" s="1">
        <v>72.0</v>
      </c>
      <c r="M443" s="1">
        <v>87.0</v>
      </c>
      <c r="N443" s="1">
        <v>75.0</v>
      </c>
      <c r="O443" s="1">
        <v>68.0</v>
      </c>
      <c r="P443" s="1">
        <v>82.0</v>
      </c>
      <c r="Q443" s="1">
        <v>73.0</v>
      </c>
      <c r="R443" s="1">
        <v>43.0</v>
      </c>
      <c r="S443" s="1">
        <v>84.0</v>
      </c>
      <c r="T443" s="1">
        <v>92.0</v>
      </c>
      <c r="U443" s="1">
        <v>77.0</v>
      </c>
      <c r="V443" s="1">
        <v>70.0</v>
      </c>
      <c r="W443" s="1">
        <v>71.0</v>
      </c>
      <c r="X443" s="1">
        <v>83.0</v>
      </c>
      <c r="Y443" s="1">
        <v>65.0</v>
      </c>
      <c r="Z443" s="1">
        <v>1.0</v>
      </c>
    </row>
    <row r="444">
      <c r="A444" s="1" t="s">
        <v>1955</v>
      </c>
      <c r="B444" s="1" t="s">
        <v>1522</v>
      </c>
      <c r="C444" s="1" t="s">
        <v>1530</v>
      </c>
      <c r="D444" s="1" t="s">
        <v>1956</v>
      </c>
      <c r="E444" s="1" t="s">
        <v>300</v>
      </c>
      <c r="F444" s="1" t="s">
        <v>82</v>
      </c>
      <c r="G444" s="1" t="s">
        <v>350</v>
      </c>
      <c r="H444" s="1" t="s">
        <v>509</v>
      </c>
      <c r="I444" s="1" t="s">
        <v>1957</v>
      </c>
      <c r="J444" s="1" t="s">
        <v>205</v>
      </c>
      <c r="K444" s="1" t="s">
        <v>179</v>
      </c>
      <c r="L444" s="1" t="s">
        <v>1958</v>
      </c>
      <c r="M444" s="1" t="s">
        <v>1737</v>
      </c>
      <c r="N444" s="1" t="s">
        <v>843</v>
      </c>
      <c r="O444" s="1" t="s">
        <v>872</v>
      </c>
      <c r="P444" s="1" t="s">
        <v>363</v>
      </c>
      <c r="Q444" s="1" t="s">
        <v>52</v>
      </c>
      <c r="R444" s="1" t="s">
        <v>859</v>
      </c>
      <c r="S444" s="1" t="s">
        <v>1629</v>
      </c>
      <c r="T444" s="1" t="s">
        <v>1008</v>
      </c>
      <c r="U444" s="1" t="s">
        <v>1706</v>
      </c>
      <c r="V444" s="1" t="s">
        <v>323</v>
      </c>
      <c r="W444" s="1" t="s">
        <v>871</v>
      </c>
      <c r="X444" s="1" t="s">
        <v>1477</v>
      </c>
      <c r="Y444" s="1" t="s">
        <v>207</v>
      </c>
      <c r="Z444" s="1">
        <v>1.0</v>
      </c>
    </row>
    <row r="445">
      <c r="A445" s="1" t="s">
        <v>1959</v>
      </c>
      <c r="B445" s="1" t="s">
        <v>1522</v>
      </c>
      <c r="C445" s="1" t="s">
        <v>1534</v>
      </c>
      <c r="D445" s="1">
        <v>237.0</v>
      </c>
      <c r="E445" s="1">
        <v>79.0</v>
      </c>
      <c r="F445" s="1">
        <v>85.0</v>
      </c>
      <c r="G445" s="1">
        <v>80.0</v>
      </c>
      <c r="H445" s="1">
        <v>50.0</v>
      </c>
      <c r="I445" s="1">
        <v>56.0</v>
      </c>
      <c r="J445" s="1">
        <v>89.0</v>
      </c>
      <c r="K445" s="1">
        <v>86.0</v>
      </c>
      <c r="L445" s="1">
        <v>67.0</v>
      </c>
      <c r="M445" s="1">
        <v>82.0</v>
      </c>
      <c r="N445" s="1">
        <v>79.0</v>
      </c>
      <c r="O445" s="1">
        <v>68.0</v>
      </c>
      <c r="P445" s="1">
        <v>71.0</v>
      </c>
      <c r="Q445" s="1">
        <v>81.0</v>
      </c>
      <c r="R445" s="1">
        <v>51.0</v>
      </c>
      <c r="S445" s="1">
        <v>71.0</v>
      </c>
      <c r="T445" s="1">
        <v>81.0</v>
      </c>
      <c r="U445" s="1">
        <v>85.0</v>
      </c>
      <c r="V445" s="1">
        <v>80.0</v>
      </c>
      <c r="W445" s="1">
        <v>77.0</v>
      </c>
      <c r="X445" s="1">
        <v>91.0</v>
      </c>
      <c r="Y445" s="1">
        <v>70.0</v>
      </c>
      <c r="Z445" s="1">
        <v>1.0</v>
      </c>
    </row>
    <row r="446">
      <c r="A446" s="1" t="s">
        <v>1960</v>
      </c>
      <c r="B446" s="1" t="s">
        <v>1522</v>
      </c>
      <c r="C446" s="1" t="s">
        <v>1541</v>
      </c>
      <c r="D446" s="1" t="s">
        <v>1792</v>
      </c>
      <c r="E446" s="1" t="s">
        <v>1145</v>
      </c>
      <c r="F446" s="1" t="s">
        <v>235</v>
      </c>
      <c r="G446" s="1" t="s">
        <v>277</v>
      </c>
      <c r="H446" s="1" t="s">
        <v>300</v>
      </c>
      <c r="I446" s="1" t="s">
        <v>1961</v>
      </c>
      <c r="J446" s="1" t="s">
        <v>410</v>
      </c>
      <c r="K446" s="1" t="s">
        <v>179</v>
      </c>
      <c r="L446" s="1" t="s">
        <v>242</v>
      </c>
      <c r="M446" s="1" t="s">
        <v>878</v>
      </c>
      <c r="N446" s="1" t="s">
        <v>342</v>
      </c>
      <c r="O446" s="1" t="s">
        <v>1272</v>
      </c>
      <c r="P446" s="1" t="s">
        <v>1962</v>
      </c>
      <c r="Q446" s="1" t="s">
        <v>1634</v>
      </c>
      <c r="R446" s="1" t="s">
        <v>1112</v>
      </c>
      <c r="S446" s="1" t="s">
        <v>188</v>
      </c>
      <c r="T446" s="1" t="s">
        <v>900</v>
      </c>
      <c r="U446" s="1" t="s">
        <v>242</v>
      </c>
      <c r="V446" s="1" t="s">
        <v>1054</v>
      </c>
      <c r="W446" s="1" t="s">
        <v>731</v>
      </c>
      <c r="X446" s="1" t="s">
        <v>490</v>
      </c>
      <c r="Y446" s="1" t="s">
        <v>622</v>
      </c>
      <c r="Z446" s="1">
        <v>1.0</v>
      </c>
    </row>
    <row r="447">
      <c r="A447" s="1" t="s">
        <v>1135</v>
      </c>
      <c r="B447" s="1" t="s">
        <v>1522</v>
      </c>
      <c r="C447" s="1" t="s">
        <v>1534</v>
      </c>
      <c r="D447" s="1" t="s">
        <v>1963</v>
      </c>
      <c r="E447" s="1" t="s">
        <v>95</v>
      </c>
      <c r="F447" s="1" t="s">
        <v>490</v>
      </c>
      <c r="G447" s="1" t="s">
        <v>1034</v>
      </c>
      <c r="H447" s="1" t="s">
        <v>268</v>
      </c>
      <c r="I447" s="1" t="s">
        <v>1964</v>
      </c>
      <c r="J447" s="1" t="s">
        <v>35</v>
      </c>
      <c r="K447" s="1" t="s">
        <v>208</v>
      </c>
      <c r="L447" s="1" t="s">
        <v>1096</v>
      </c>
      <c r="M447" s="1" t="s">
        <v>82</v>
      </c>
      <c r="N447" s="1">
        <v>80.0</v>
      </c>
      <c r="O447" s="1" t="s">
        <v>236</v>
      </c>
      <c r="P447" s="1" t="s">
        <v>796</v>
      </c>
      <c r="Q447" s="1" t="s">
        <v>208</v>
      </c>
      <c r="R447" s="1" t="s">
        <v>1548</v>
      </c>
      <c r="S447" s="1" t="s">
        <v>967</v>
      </c>
      <c r="T447" s="1" t="s">
        <v>236</v>
      </c>
      <c r="U447" s="1" t="s">
        <v>900</v>
      </c>
      <c r="V447" s="1" t="s">
        <v>520</v>
      </c>
      <c r="W447" s="1" t="s">
        <v>548</v>
      </c>
      <c r="X447" s="1" t="s">
        <v>509</v>
      </c>
      <c r="Y447" s="1" t="s">
        <v>731</v>
      </c>
      <c r="Z447" s="1">
        <v>1.0</v>
      </c>
    </row>
    <row r="448">
      <c r="A448" s="1" t="s">
        <v>1442</v>
      </c>
      <c r="B448" s="1" t="s">
        <v>1522</v>
      </c>
      <c r="C448" s="1" t="s">
        <v>1574</v>
      </c>
      <c r="D448" s="1" t="s">
        <v>1886</v>
      </c>
      <c r="E448" s="1" t="s">
        <v>263</v>
      </c>
      <c r="F448" s="1" t="s">
        <v>1965</v>
      </c>
      <c r="G448" s="1" t="s">
        <v>618</v>
      </c>
      <c r="H448" s="1" t="s">
        <v>520</v>
      </c>
      <c r="I448" s="1" t="s">
        <v>1774</v>
      </c>
      <c r="J448" s="1" t="s">
        <v>434</v>
      </c>
      <c r="K448" s="1" t="s">
        <v>208</v>
      </c>
      <c r="L448" s="1" t="s">
        <v>1927</v>
      </c>
      <c r="M448" s="1" t="s">
        <v>900</v>
      </c>
      <c r="N448" s="1" t="s">
        <v>1966</v>
      </c>
      <c r="O448" s="1" t="s">
        <v>1967</v>
      </c>
      <c r="P448" s="1" t="s">
        <v>82</v>
      </c>
      <c r="Q448" s="1" t="s">
        <v>398</v>
      </c>
      <c r="R448" s="1" t="s">
        <v>1287</v>
      </c>
      <c r="S448" s="1" t="s">
        <v>1264</v>
      </c>
      <c r="T448" s="1" t="s">
        <v>1242</v>
      </c>
      <c r="U448" s="1" t="s">
        <v>135</v>
      </c>
      <c r="V448" s="1" t="s">
        <v>1776</v>
      </c>
      <c r="W448" s="1" t="s">
        <v>1054</v>
      </c>
      <c r="X448" s="1">
        <v>86.0</v>
      </c>
      <c r="Y448" s="1">
        <v>80.0</v>
      </c>
      <c r="Z448" s="1">
        <v>1.0</v>
      </c>
    </row>
    <row r="449">
      <c r="A449" s="1" t="s">
        <v>1968</v>
      </c>
      <c r="B449" s="1" t="s">
        <v>1522</v>
      </c>
      <c r="C449" s="1" t="s">
        <v>1534</v>
      </c>
      <c r="D449" s="1">
        <v>220.0</v>
      </c>
      <c r="E449" s="1">
        <v>88.0</v>
      </c>
      <c r="F449" s="1">
        <v>72.0</v>
      </c>
      <c r="G449" s="1">
        <v>90.0</v>
      </c>
      <c r="H449" s="1">
        <v>60.0</v>
      </c>
      <c r="I449" s="1">
        <v>75.0</v>
      </c>
      <c r="J449" s="1">
        <v>86.0</v>
      </c>
      <c r="K449" s="1">
        <v>86.0</v>
      </c>
      <c r="L449" s="1">
        <v>67.0</v>
      </c>
      <c r="M449" s="1">
        <v>67.0</v>
      </c>
      <c r="N449" s="1">
        <v>80.0</v>
      </c>
      <c r="O449" s="1">
        <v>72.0</v>
      </c>
      <c r="P449" s="1">
        <v>80.0</v>
      </c>
      <c r="Q449" s="1">
        <v>50.0</v>
      </c>
      <c r="R449" s="1">
        <v>40.0</v>
      </c>
      <c r="S449" s="1">
        <v>85.0</v>
      </c>
      <c r="T449" s="1">
        <v>85.0</v>
      </c>
      <c r="U449" s="1">
        <v>70.0</v>
      </c>
      <c r="V449" s="1">
        <v>80.0</v>
      </c>
      <c r="W449" s="1">
        <v>80.0</v>
      </c>
      <c r="X449" s="1">
        <v>85.0</v>
      </c>
      <c r="Y449" s="1">
        <v>85.0</v>
      </c>
      <c r="Z449" s="1">
        <v>1.0</v>
      </c>
    </row>
    <row r="450">
      <c r="A450" s="1" t="s">
        <v>1969</v>
      </c>
      <c r="B450" s="1" t="s">
        <v>1522</v>
      </c>
      <c r="C450" s="1" t="s">
        <v>970</v>
      </c>
      <c r="D450" s="1">
        <v>185.0</v>
      </c>
      <c r="E450" s="1">
        <v>76.0</v>
      </c>
      <c r="F450" s="1">
        <v>76.0</v>
      </c>
      <c r="G450" s="1">
        <v>93.0</v>
      </c>
      <c r="H450" s="1">
        <v>56.0</v>
      </c>
      <c r="I450" s="1">
        <v>45.0</v>
      </c>
      <c r="J450" s="1">
        <v>55.0</v>
      </c>
      <c r="K450" s="1">
        <v>45.0</v>
      </c>
      <c r="L450" s="1">
        <v>80.0</v>
      </c>
      <c r="M450" s="1">
        <v>91.0</v>
      </c>
      <c r="N450" s="1">
        <v>80.0</v>
      </c>
      <c r="O450" s="1">
        <v>75.0</v>
      </c>
      <c r="P450" s="1">
        <v>81.0</v>
      </c>
      <c r="Q450" s="1">
        <v>79.0</v>
      </c>
      <c r="R450" s="1">
        <v>49.0</v>
      </c>
      <c r="S450" s="1">
        <v>94.0</v>
      </c>
      <c r="T450" s="1">
        <v>61.0</v>
      </c>
      <c r="U450" s="1">
        <v>85.0</v>
      </c>
      <c r="V450" s="1">
        <v>89.0</v>
      </c>
      <c r="W450" s="1">
        <v>80.0</v>
      </c>
      <c r="X450" s="1">
        <v>70.0</v>
      </c>
      <c r="Y450" s="1">
        <v>80.0</v>
      </c>
      <c r="Z450" s="1">
        <v>1.0</v>
      </c>
    </row>
    <row r="451">
      <c r="A451" s="1" t="s">
        <v>1275</v>
      </c>
      <c r="B451" s="1" t="s">
        <v>1522</v>
      </c>
      <c r="C451" s="1" t="s">
        <v>876</v>
      </c>
      <c r="D451" s="1" t="s">
        <v>1970</v>
      </c>
      <c r="E451" s="1" t="s">
        <v>394</v>
      </c>
      <c r="F451" s="1" t="s">
        <v>576</v>
      </c>
      <c r="G451" s="1" t="s">
        <v>234</v>
      </c>
      <c r="H451" s="1" t="s">
        <v>1971</v>
      </c>
      <c r="I451" s="1">
        <v>50.0</v>
      </c>
      <c r="J451" s="1" t="s">
        <v>617</v>
      </c>
      <c r="K451" s="1" t="s">
        <v>76</v>
      </c>
      <c r="L451" s="1" t="s">
        <v>1057</v>
      </c>
      <c r="M451" s="1" t="s">
        <v>437</v>
      </c>
      <c r="N451" s="1" t="s">
        <v>847</v>
      </c>
      <c r="O451" s="1" t="s">
        <v>872</v>
      </c>
      <c r="P451" s="1" t="s">
        <v>1156</v>
      </c>
      <c r="Q451" s="1" t="s">
        <v>35</v>
      </c>
      <c r="R451" s="1" t="s">
        <v>301</v>
      </c>
      <c r="S451" s="1">
        <v>74.0</v>
      </c>
      <c r="T451" s="1" t="s">
        <v>1764</v>
      </c>
      <c r="U451" s="1" t="s">
        <v>48</v>
      </c>
      <c r="V451" s="1" t="s">
        <v>300</v>
      </c>
      <c r="W451" s="1" t="s">
        <v>410</v>
      </c>
      <c r="X451" s="1">
        <v>85.0</v>
      </c>
      <c r="Y451" s="1" t="s">
        <v>552</v>
      </c>
      <c r="Z451" s="1">
        <v>1.0</v>
      </c>
    </row>
    <row r="452">
      <c r="A452" s="1" t="s">
        <v>1972</v>
      </c>
      <c r="B452" s="1" t="s">
        <v>1522</v>
      </c>
      <c r="C452" s="1" t="s">
        <v>970</v>
      </c>
      <c r="D452" s="1">
        <v>191.0</v>
      </c>
      <c r="E452" s="1">
        <v>76.0</v>
      </c>
      <c r="F452" s="1">
        <v>76.0</v>
      </c>
      <c r="G452" s="1">
        <v>96.0</v>
      </c>
      <c r="H452" s="1">
        <v>56.0</v>
      </c>
      <c r="I452" s="1">
        <v>51.0</v>
      </c>
      <c r="J452" s="1">
        <v>85.0</v>
      </c>
      <c r="K452" s="1">
        <v>81.0</v>
      </c>
      <c r="L452" s="1">
        <v>68.0</v>
      </c>
      <c r="M452" s="1">
        <v>84.0</v>
      </c>
      <c r="N452" s="1">
        <v>86.0</v>
      </c>
      <c r="O452" s="1">
        <v>80.0</v>
      </c>
      <c r="P452" s="1">
        <v>42.0</v>
      </c>
      <c r="Q452" s="1">
        <v>70.0</v>
      </c>
      <c r="R452" s="1">
        <v>60.0</v>
      </c>
      <c r="S452" s="1">
        <v>40.0</v>
      </c>
      <c r="T452" s="1">
        <v>80.0</v>
      </c>
      <c r="U452" s="1">
        <v>65.0</v>
      </c>
      <c r="V452" s="1">
        <v>88.0</v>
      </c>
      <c r="W452" s="1">
        <v>88.0</v>
      </c>
      <c r="X452" s="1">
        <v>56.0</v>
      </c>
      <c r="Y452" s="1">
        <v>85.0</v>
      </c>
      <c r="Z452" s="1">
        <v>1.0</v>
      </c>
    </row>
    <row r="453">
      <c r="A453" s="1" t="s">
        <v>171</v>
      </c>
      <c r="B453" s="1" t="s">
        <v>1522</v>
      </c>
      <c r="C453" s="1" t="s">
        <v>629</v>
      </c>
      <c r="D453" s="1" t="s">
        <v>581</v>
      </c>
      <c r="E453" s="1" t="s">
        <v>316</v>
      </c>
      <c r="F453" s="1" t="s">
        <v>31</v>
      </c>
      <c r="G453" s="1" t="s">
        <v>413</v>
      </c>
      <c r="H453" s="1" t="s">
        <v>1138</v>
      </c>
      <c r="I453" s="1" t="s">
        <v>1973</v>
      </c>
      <c r="J453" s="1" t="s">
        <v>872</v>
      </c>
      <c r="K453" s="1" t="s">
        <v>890</v>
      </c>
      <c r="L453" s="1" t="s">
        <v>1749</v>
      </c>
      <c r="M453" s="1" t="s">
        <v>1358</v>
      </c>
      <c r="N453" s="1" t="s">
        <v>1160</v>
      </c>
      <c r="O453" s="1" t="s">
        <v>476</v>
      </c>
      <c r="P453" s="1" t="s">
        <v>249</v>
      </c>
      <c r="Q453" s="1" t="s">
        <v>1895</v>
      </c>
      <c r="R453" s="1" t="s">
        <v>1255</v>
      </c>
      <c r="S453" s="1" t="s">
        <v>1974</v>
      </c>
      <c r="T453" s="1" t="s">
        <v>789</v>
      </c>
      <c r="U453" s="1" t="s">
        <v>1551</v>
      </c>
      <c r="V453" s="1" t="s">
        <v>614</v>
      </c>
      <c r="W453" s="1" t="s">
        <v>1146</v>
      </c>
      <c r="X453" s="1" t="s">
        <v>490</v>
      </c>
      <c r="Y453" s="1" t="s">
        <v>297</v>
      </c>
      <c r="Z453" s="1">
        <v>1.0</v>
      </c>
    </row>
    <row r="454">
      <c r="A454" s="1" t="s">
        <v>1432</v>
      </c>
      <c r="B454" s="1" t="s">
        <v>1522</v>
      </c>
      <c r="C454" s="1" t="s">
        <v>629</v>
      </c>
      <c r="D454" s="1" t="s">
        <v>1975</v>
      </c>
      <c r="E454" s="1" t="s">
        <v>1194</v>
      </c>
      <c r="F454" s="1" t="s">
        <v>40</v>
      </c>
      <c r="G454" s="1" t="s">
        <v>796</v>
      </c>
      <c r="H454" s="1" t="s">
        <v>1976</v>
      </c>
      <c r="I454" s="1" t="s">
        <v>713</v>
      </c>
      <c r="J454" s="1" t="s">
        <v>242</v>
      </c>
      <c r="K454" s="1" t="s">
        <v>205</v>
      </c>
      <c r="L454" s="1" t="s">
        <v>1977</v>
      </c>
      <c r="M454" s="1" t="s">
        <v>1978</v>
      </c>
      <c r="N454" s="1" t="s">
        <v>900</v>
      </c>
      <c r="O454" s="1" t="s">
        <v>731</v>
      </c>
      <c r="P454" s="1" t="s">
        <v>325</v>
      </c>
      <c r="Q454" s="1" t="s">
        <v>570</v>
      </c>
      <c r="R454" s="1" t="s">
        <v>96</v>
      </c>
      <c r="S454" s="1" t="s">
        <v>134</v>
      </c>
      <c r="T454" s="1" t="s">
        <v>64</v>
      </c>
      <c r="U454" s="1" t="s">
        <v>325</v>
      </c>
      <c r="V454" s="1" t="s">
        <v>597</v>
      </c>
      <c r="W454" s="1" t="s">
        <v>128</v>
      </c>
      <c r="X454" s="1" t="s">
        <v>35</v>
      </c>
      <c r="Y454" s="1" t="s">
        <v>417</v>
      </c>
      <c r="Z454" s="1">
        <v>1.0</v>
      </c>
    </row>
    <row r="455">
      <c r="A455" s="1" t="s">
        <v>1979</v>
      </c>
      <c r="B455" s="1" t="s">
        <v>1522</v>
      </c>
      <c r="C455" s="1" t="s">
        <v>1579</v>
      </c>
      <c r="D455" s="1">
        <v>217.0</v>
      </c>
      <c r="E455" s="1">
        <v>74.0</v>
      </c>
      <c r="F455" s="1">
        <v>75.0</v>
      </c>
      <c r="G455" s="1">
        <v>89.0</v>
      </c>
      <c r="H455" s="1">
        <v>66.0</v>
      </c>
      <c r="I455" s="1">
        <v>51.0</v>
      </c>
      <c r="J455" s="1">
        <v>70.0</v>
      </c>
      <c r="K455" s="1">
        <v>80.0</v>
      </c>
      <c r="L455" s="1">
        <v>58.0</v>
      </c>
      <c r="M455" s="1">
        <v>75.0</v>
      </c>
      <c r="N455" s="1">
        <v>75.0</v>
      </c>
      <c r="O455" s="1">
        <v>68.0</v>
      </c>
      <c r="P455" s="1">
        <v>85.0</v>
      </c>
      <c r="Q455" s="1">
        <v>82.0</v>
      </c>
      <c r="R455" s="1">
        <v>52.0</v>
      </c>
      <c r="S455" s="1">
        <v>88.0</v>
      </c>
      <c r="T455" s="1">
        <v>68.0</v>
      </c>
      <c r="U455" s="1">
        <v>92.0</v>
      </c>
      <c r="V455" s="1">
        <v>78.0</v>
      </c>
      <c r="W455" s="1">
        <v>74.0</v>
      </c>
      <c r="X455" s="1">
        <v>77.0</v>
      </c>
      <c r="Y455" s="1">
        <v>80.0</v>
      </c>
      <c r="Z455" s="1">
        <v>1.0</v>
      </c>
    </row>
    <row r="456">
      <c r="A456" s="1" t="s">
        <v>1980</v>
      </c>
      <c r="B456" s="1" t="s">
        <v>1522</v>
      </c>
      <c r="C456" s="1" t="s">
        <v>1574</v>
      </c>
      <c r="D456" s="1" t="s">
        <v>750</v>
      </c>
      <c r="E456" s="1" t="s">
        <v>1046</v>
      </c>
      <c r="F456" s="1" t="s">
        <v>1416</v>
      </c>
      <c r="G456" s="1" t="s">
        <v>1393</v>
      </c>
      <c r="H456" s="1" t="s">
        <v>1821</v>
      </c>
      <c r="I456" s="1" t="s">
        <v>1981</v>
      </c>
      <c r="J456" s="1" t="s">
        <v>571</v>
      </c>
      <c r="K456" s="1" t="s">
        <v>520</v>
      </c>
      <c r="L456" s="1" t="s">
        <v>1035</v>
      </c>
      <c r="M456" s="1" t="s">
        <v>1982</v>
      </c>
      <c r="N456" s="1" t="s">
        <v>410</v>
      </c>
      <c r="O456" s="1" t="s">
        <v>1983</v>
      </c>
      <c r="P456" s="1" t="s">
        <v>1008</v>
      </c>
      <c r="Q456" s="1">
        <v>82.0</v>
      </c>
      <c r="R456" s="1" t="s">
        <v>1843</v>
      </c>
      <c r="S456" s="1" t="s">
        <v>793</v>
      </c>
      <c r="T456" s="1" t="s">
        <v>180</v>
      </c>
      <c r="U456" s="1" t="s">
        <v>405</v>
      </c>
      <c r="V456" s="1" t="s">
        <v>890</v>
      </c>
      <c r="W456" s="1" t="s">
        <v>1901</v>
      </c>
      <c r="X456" s="1" t="s">
        <v>1303</v>
      </c>
      <c r="Y456" s="1" t="s">
        <v>39</v>
      </c>
      <c r="Z456" s="1">
        <v>1.0</v>
      </c>
    </row>
    <row r="457">
      <c r="A457" s="1" t="s">
        <v>1984</v>
      </c>
      <c r="B457" s="1" t="s">
        <v>1522</v>
      </c>
      <c r="C457" s="1" t="s">
        <v>1590</v>
      </c>
      <c r="D457" s="1" t="s">
        <v>1985</v>
      </c>
      <c r="E457" s="1" t="s">
        <v>1224</v>
      </c>
      <c r="F457" s="1">
        <v>73.0</v>
      </c>
      <c r="G457" s="1" t="s">
        <v>175</v>
      </c>
      <c r="H457" s="1" t="s">
        <v>932</v>
      </c>
      <c r="I457" s="1" t="s">
        <v>270</v>
      </c>
      <c r="J457" s="1" t="s">
        <v>863</v>
      </c>
      <c r="K457" s="1" t="s">
        <v>205</v>
      </c>
      <c r="L457" s="1" t="s">
        <v>1820</v>
      </c>
      <c r="M457" s="1" t="s">
        <v>325</v>
      </c>
      <c r="N457" s="1" t="s">
        <v>572</v>
      </c>
      <c r="O457" s="1" t="s">
        <v>957</v>
      </c>
      <c r="P457" s="1" t="s">
        <v>1254</v>
      </c>
      <c r="Q457" s="1" t="s">
        <v>96</v>
      </c>
      <c r="R457" s="1" t="s">
        <v>531</v>
      </c>
      <c r="S457" s="1" t="s">
        <v>424</v>
      </c>
      <c r="T457" s="1" t="s">
        <v>52</v>
      </c>
      <c r="U457" s="1" t="s">
        <v>617</v>
      </c>
      <c r="V457" s="1" t="s">
        <v>728</v>
      </c>
      <c r="W457" s="1" t="s">
        <v>404</v>
      </c>
      <c r="X457" s="1">
        <v>85.0</v>
      </c>
      <c r="Y457" s="1" t="s">
        <v>890</v>
      </c>
      <c r="Z457" s="1">
        <v>1.0</v>
      </c>
    </row>
    <row r="458">
      <c r="A458" s="1" t="s">
        <v>1986</v>
      </c>
      <c r="B458" s="1" t="s">
        <v>1522</v>
      </c>
      <c r="C458" s="1" t="s">
        <v>970</v>
      </c>
      <c r="D458" s="1">
        <v>212.0</v>
      </c>
      <c r="E458" s="1">
        <v>65.0</v>
      </c>
      <c r="F458" s="1">
        <v>70.0</v>
      </c>
      <c r="G458" s="1">
        <v>55.0</v>
      </c>
      <c r="H458" s="1">
        <v>45.0</v>
      </c>
      <c r="I458" s="1">
        <v>50.0</v>
      </c>
      <c r="J458" s="1">
        <v>80.0</v>
      </c>
      <c r="K458" s="1">
        <v>85.0</v>
      </c>
      <c r="L458" s="1">
        <v>77.0</v>
      </c>
      <c r="M458" s="1">
        <v>65.0</v>
      </c>
      <c r="N458" s="1">
        <v>73.0</v>
      </c>
      <c r="O458" s="1">
        <v>75.0</v>
      </c>
      <c r="P458" s="1">
        <v>70.0</v>
      </c>
      <c r="Q458" s="1">
        <v>92.0</v>
      </c>
      <c r="R458" s="1">
        <v>90.0</v>
      </c>
      <c r="S458" s="1">
        <v>84.0</v>
      </c>
      <c r="T458" s="1">
        <v>75.0</v>
      </c>
      <c r="U458" s="1">
        <v>85.0</v>
      </c>
      <c r="V458" s="1">
        <v>82.0</v>
      </c>
      <c r="W458" s="1">
        <v>80.0</v>
      </c>
      <c r="X458" s="1">
        <v>75.0</v>
      </c>
      <c r="Y458" s="1">
        <v>74.0</v>
      </c>
      <c r="Z458" s="1">
        <v>1.0</v>
      </c>
    </row>
    <row r="459">
      <c r="A459" s="1" t="s">
        <v>124</v>
      </c>
      <c r="B459" s="1" t="s">
        <v>1522</v>
      </c>
      <c r="C459" s="1" t="s">
        <v>970</v>
      </c>
      <c r="D459" s="1">
        <v>193.0</v>
      </c>
      <c r="E459" s="1">
        <v>80.0</v>
      </c>
      <c r="F459" s="1">
        <v>90.0</v>
      </c>
      <c r="G459" s="1">
        <v>75.0</v>
      </c>
      <c r="H459" s="1">
        <v>40.0</v>
      </c>
      <c r="I459" s="1">
        <v>51.0</v>
      </c>
      <c r="J459" s="1">
        <v>75.0</v>
      </c>
      <c r="K459" s="1">
        <v>85.0</v>
      </c>
      <c r="L459" s="1">
        <v>62.0</v>
      </c>
      <c r="M459" s="1">
        <v>72.0</v>
      </c>
      <c r="N459" s="1">
        <v>85.0</v>
      </c>
      <c r="O459" s="1">
        <v>80.0</v>
      </c>
      <c r="P459" s="1">
        <v>60.0</v>
      </c>
      <c r="Q459" s="1">
        <v>85.0</v>
      </c>
      <c r="R459" s="1">
        <v>85.0</v>
      </c>
      <c r="S459" s="1">
        <v>74.0</v>
      </c>
      <c r="T459" s="1">
        <v>73.0</v>
      </c>
      <c r="U459" s="1">
        <v>80.0</v>
      </c>
      <c r="V459" s="1">
        <v>85.0</v>
      </c>
      <c r="W459" s="1">
        <v>77.0</v>
      </c>
      <c r="X459" s="1">
        <v>75.0</v>
      </c>
      <c r="Y459" s="1">
        <v>70.0</v>
      </c>
      <c r="Z459" s="1">
        <v>1.0</v>
      </c>
    </row>
    <row r="460">
      <c r="A460" s="1" t="s">
        <v>1987</v>
      </c>
      <c r="B460" s="1" t="s">
        <v>1522</v>
      </c>
      <c r="C460" s="1" t="s">
        <v>192</v>
      </c>
      <c r="D460" s="1">
        <v>235.0</v>
      </c>
      <c r="E460" s="1">
        <v>83.0</v>
      </c>
      <c r="F460" s="1">
        <v>82.0</v>
      </c>
      <c r="G460" s="1">
        <v>85.0</v>
      </c>
      <c r="H460" s="1">
        <v>82.0</v>
      </c>
      <c r="I460" s="1">
        <v>50.0</v>
      </c>
      <c r="J460" s="1">
        <v>81.0</v>
      </c>
      <c r="K460" s="1">
        <v>85.0</v>
      </c>
      <c r="L460" s="1">
        <v>73.0</v>
      </c>
      <c r="M460" s="1">
        <v>75.0</v>
      </c>
      <c r="N460" s="1">
        <v>65.0</v>
      </c>
      <c r="O460" s="1">
        <v>70.0</v>
      </c>
      <c r="P460" s="1">
        <v>72.0</v>
      </c>
      <c r="Q460" s="1">
        <v>73.0</v>
      </c>
      <c r="R460" s="1">
        <v>87.0</v>
      </c>
      <c r="S460" s="1">
        <v>47.0</v>
      </c>
      <c r="T460" s="1">
        <v>76.0</v>
      </c>
      <c r="U460" s="1">
        <v>61.0</v>
      </c>
      <c r="V460" s="1">
        <v>81.0</v>
      </c>
      <c r="W460" s="1">
        <v>83.0</v>
      </c>
      <c r="X460" s="1">
        <v>82.0</v>
      </c>
      <c r="Y460" s="1">
        <v>91.0</v>
      </c>
      <c r="Z460" s="1">
        <v>1.0</v>
      </c>
    </row>
    <row r="461">
      <c r="A461" s="1" t="s">
        <v>1988</v>
      </c>
      <c r="B461" s="1" t="s">
        <v>1522</v>
      </c>
      <c r="C461" s="1" t="s">
        <v>1579</v>
      </c>
      <c r="D461" s="1">
        <v>214.0</v>
      </c>
      <c r="E461" s="1">
        <v>80.0</v>
      </c>
      <c r="F461" s="1">
        <v>71.0</v>
      </c>
      <c r="G461" s="1">
        <v>90.0</v>
      </c>
      <c r="H461" s="1">
        <v>65.0</v>
      </c>
      <c r="I461" s="1">
        <v>62.0</v>
      </c>
      <c r="J461" s="1">
        <v>85.0</v>
      </c>
      <c r="K461" s="1">
        <v>84.0</v>
      </c>
      <c r="L461" s="1">
        <v>69.0</v>
      </c>
      <c r="M461" s="1">
        <v>76.0</v>
      </c>
      <c r="N461" s="1">
        <v>76.0</v>
      </c>
      <c r="O461" s="1">
        <v>70.0</v>
      </c>
      <c r="P461" s="1">
        <v>76.0</v>
      </c>
      <c r="Q461" s="1">
        <v>82.0</v>
      </c>
      <c r="R461" s="1">
        <v>79.0</v>
      </c>
      <c r="S461" s="1">
        <v>75.0</v>
      </c>
      <c r="T461" s="1">
        <v>80.0</v>
      </c>
      <c r="U461" s="1">
        <v>85.0</v>
      </c>
      <c r="V461" s="1">
        <v>80.0</v>
      </c>
      <c r="W461" s="1">
        <v>75.0</v>
      </c>
      <c r="X461" s="1">
        <v>74.0</v>
      </c>
      <c r="Y461" s="1">
        <v>78.0</v>
      </c>
      <c r="Z461" s="1">
        <v>1.0</v>
      </c>
    </row>
    <row r="462">
      <c r="A462" s="1" t="s">
        <v>1989</v>
      </c>
      <c r="B462" s="1" t="s">
        <v>1522</v>
      </c>
      <c r="C462" s="1" t="s">
        <v>1579</v>
      </c>
      <c r="D462" s="1">
        <v>225.0</v>
      </c>
      <c r="E462" s="1">
        <v>76.0</v>
      </c>
      <c r="F462" s="1">
        <v>65.0</v>
      </c>
      <c r="G462" s="1">
        <v>76.0</v>
      </c>
      <c r="H462" s="1">
        <v>91.0</v>
      </c>
      <c r="I462" s="1">
        <v>68.0</v>
      </c>
      <c r="J462" s="1">
        <v>70.0</v>
      </c>
      <c r="K462" s="1">
        <v>79.0</v>
      </c>
      <c r="L462" s="1">
        <v>64.0</v>
      </c>
      <c r="M462" s="1">
        <v>66.0</v>
      </c>
      <c r="N462" s="1">
        <v>78.0</v>
      </c>
      <c r="O462" s="1">
        <v>69.0</v>
      </c>
      <c r="P462" s="1">
        <v>69.0</v>
      </c>
      <c r="Q462" s="1">
        <v>82.0</v>
      </c>
      <c r="R462" s="1">
        <v>67.0</v>
      </c>
      <c r="S462" s="1">
        <v>67.0</v>
      </c>
      <c r="T462" s="1">
        <v>85.0</v>
      </c>
      <c r="U462" s="1">
        <v>89.0</v>
      </c>
      <c r="V462" s="1">
        <v>78.0</v>
      </c>
      <c r="W462" s="1">
        <v>73.0</v>
      </c>
      <c r="X462" s="1">
        <v>89.0</v>
      </c>
      <c r="Y462" s="1">
        <v>85.0</v>
      </c>
      <c r="Z462" s="1">
        <v>1.0</v>
      </c>
    </row>
    <row r="463">
      <c r="A463" s="1" t="s">
        <v>1990</v>
      </c>
      <c r="B463" s="1" t="s">
        <v>1522</v>
      </c>
      <c r="C463" s="1" t="s">
        <v>970</v>
      </c>
      <c r="D463" s="1">
        <v>250.0</v>
      </c>
      <c r="E463" s="1">
        <v>84.0</v>
      </c>
      <c r="F463" s="1">
        <v>80.0</v>
      </c>
      <c r="G463" s="1">
        <v>90.0</v>
      </c>
      <c r="H463" s="1">
        <v>54.0</v>
      </c>
      <c r="I463" s="1">
        <v>67.0</v>
      </c>
      <c r="J463" s="1">
        <v>80.0</v>
      </c>
      <c r="K463" s="1">
        <v>77.0</v>
      </c>
      <c r="L463" s="1">
        <v>70.0</v>
      </c>
      <c r="M463" s="1">
        <v>85.0</v>
      </c>
      <c r="N463" s="1">
        <v>80.0</v>
      </c>
      <c r="O463" s="1">
        <v>75.0</v>
      </c>
      <c r="P463" s="1">
        <v>74.0</v>
      </c>
      <c r="Q463" s="1">
        <v>82.0</v>
      </c>
      <c r="R463" s="1">
        <v>53.0</v>
      </c>
      <c r="S463" s="1">
        <v>78.0</v>
      </c>
      <c r="T463" s="1">
        <v>49.0</v>
      </c>
      <c r="U463" s="1">
        <v>70.0</v>
      </c>
      <c r="V463" s="1">
        <v>80.0</v>
      </c>
      <c r="W463" s="1">
        <v>78.0</v>
      </c>
      <c r="X463" s="1">
        <v>82.0</v>
      </c>
      <c r="Y463" s="1">
        <v>80.0</v>
      </c>
      <c r="Z463" s="1">
        <v>1.0</v>
      </c>
    </row>
    <row r="464">
      <c r="A464" s="1" t="s">
        <v>195</v>
      </c>
      <c r="B464" s="1" t="s">
        <v>1522</v>
      </c>
      <c r="C464" s="1" t="s">
        <v>1534</v>
      </c>
      <c r="D464" s="1">
        <v>206.0</v>
      </c>
      <c r="E464" s="1">
        <v>70.0</v>
      </c>
      <c r="F464" s="1">
        <v>70.0</v>
      </c>
      <c r="G464" s="1">
        <v>90.0</v>
      </c>
      <c r="H464" s="1">
        <v>55.0</v>
      </c>
      <c r="I464" s="1">
        <v>51.0</v>
      </c>
      <c r="J464" s="1">
        <v>80.0</v>
      </c>
      <c r="K464" s="1">
        <v>80.0</v>
      </c>
      <c r="L464" s="1">
        <v>70.0</v>
      </c>
      <c r="M464" s="1">
        <v>64.0</v>
      </c>
      <c r="N464" s="1">
        <v>80.0</v>
      </c>
      <c r="O464" s="1">
        <v>73.0</v>
      </c>
      <c r="P464" s="1">
        <v>72.0</v>
      </c>
      <c r="Q464" s="1">
        <v>90.0</v>
      </c>
      <c r="R464" s="1">
        <v>83.0</v>
      </c>
      <c r="S464" s="1">
        <v>80.0</v>
      </c>
      <c r="T464" s="1">
        <v>66.0</v>
      </c>
      <c r="U464" s="1">
        <v>70.0</v>
      </c>
      <c r="V464" s="1">
        <v>80.0</v>
      </c>
      <c r="W464" s="1">
        <v>80.0</v>
      </c>
      <c r="X464" s="1">
        <v>80.0</v>
      </c>
      <c r="Y464" s="1">
        <v>80.0</v>
      </c>
      <c r="Z464" s="1">
        <v>1.0</v>
      </c>
    </row>
    <row r="465">
      <c r="A465" s="1" t="s">
        <v>1991</v>
      </c>
      <c r="B465" s="1" t="s">
        <v>1522</v>
      </c>
      <c r="C465" s="1" t="s">
        <v>970</v>
      </c>
      <c r="D465" s="1">
        <v>220.0</v>
      </c>
      <c r="E465" s="1">
        <v>76.0</v>
      </c>
      <c r="F465" s="1">
        <v>70.0</v>
      </c>
      <c r="G465" s="1">
        <v>87.0</v>
      </c>
      <c r="H465" s="1">
        <v>51.0</v>
      </c>
      <c r="I465" s="1">
        <v>77.0</v>
      </c>
      <c r="J465" s="1">
        <v>89.0</v>
      </c>
      <c r="K465" s="1">
        <v>84.0</v>
      </c>
      <c r="L465" s="1">
        <v>67.0</v>
      </c>
      <c r="M465" s="1">
        <v>70.0</v>
      </c>
      <c r="N465" s="1">
        <v>81.0</v>
      </c>
      <c r="O465" s="1">
        <v>72.0</v>
      </c>
      <c r="P465" s="1">
        <v>88.0</v>
      </c>
      <c r="Q465" s="1">
        <v>76.0</v>
      </c>
      <c r="R465" s="1">
        <v>60.0</v>
      </c>
      <c r="S465" s="1">
        <v>84.0</v>
      </c>
      <c r="T465" s="1">
        <v>80.0</v>
      </c>
      <c r="U465" s="1">
        <v>85.0</v>
      </c>
      <c r="V465" s="1">
        <v>80.0</v>
      </c>
      <c r="W465" s="1">
        <v>70.0</v>
      </c>
      <c r="X465" s="1">
        <v>83.0</v>
      </c>
      <c r="Y465" s="1">
        <v>75.0</v>
      </c>
      <c r="Z465" s="1">
        <v>1.0</v>
      </c>
    </row>
    <row r="466">
      <c r="A466" s="1" t="s">
        <v>1453</v>
      </c>
      <c r="B466" s="1" t="s">
        <v>1522</v>
      </c>
      <c r="C466" s="1" t="s">
        <v>886</v>
      </c>
      <c r="D466" s="1" t="s">
        <v>926</v>
      </c>
      <c r="E466" s="1" t="s">
        <v>517</v>
      </c>
      <c r="F466" s="1" t="s">
        <v>96</v>
      </c>
      <c r="G466" s="1" t="s">
        <v>61</v>
      </c>
      <c r="H466" s="1" t="s">
        <v>1992</v>
      </c>
      <c r="I466" s="1" t="s">
        <v>1993</v>
      </c>
      <c r="J466" s="1" t="s">
        <v>154</v>
      </c>
      <c r="K466" s="1" t="s">
        <v>595</v>
      </c>
      <c r="L466" s="1" t="s">
        <v>1994</v>
      </c>
      <c r="M466" s="1" t="s">
        <v>1995</v>
      </c>
      <c r="N466" s="1" t="s">
        <v>1550</v>
      </c>
      <c r="O466" s="1" t="s">
        <v>95</v>
      </c>
      <c r="P466" s="1" t="s">
        <v>1996</v>
      </c>
      <c r="Q466" s="1" t="s">
        <v>578</v>
      </c>
      <c r="R466" s="1" t="s">
        <v>55</v>
      </c>
      <c r="S466" s="1" t="s">
        <v>245</v>
      </c>
      <c r="T466" s="1" t="s">
        <v>575</v>
      </c>
      <c r="U466" s="1" t="s">
        <v>64</v>
      </c>
      <c r="V466" s="1" t="s">
        <v>221</v>
      </c>
      <c r="W466" s="1" t="s">
        <v>974</v>
      </c>
      <c r="X466" s="1" t="s">
        <v>1820</v>
      </c>
      <c r="Y466" s="1" t="s">
        <v>1292</v>
      </c>
      <c r="Z466" s="1">
        <v>1.0</v>
      </c>
    </row>
    <row r="467">
      <c r="A467" s="1" t="s">
        <v>1997</v>
      </c>
      <c r="B467" s="1" t="s">
        <v>1522</v>
      </c>
      <c r="C467" s="1" t="s">
        <v>1574</v>
      </c>
      <c r="D467" s="1" t="s">
        <v>1998</v>
      </c>
      <c r="E467" s="1" t="s">
        <v>199</v>
      </c>
      <c r="F467" s="1" t="s">
        <v>404</v>
      </c>
      <c r="G467" s="1" t="s">
        <v>322</v>
      </c>
      <c r="H467" s="1" t="s">
        <v>518</v>
      </c>
      <c r="I467" s="1" t="s">
        <v>349</v>
      </c>
      <c r="J467" s="1" t="s">
        <v>404</v>
      </c>
      <c r="K467" s="1" t="s">
        <v>633</v>
      </c>
      <c r="L467" s="1" t="s">
        <v>1999</v>
      </c>
      <c r="M467" s="1">
        <v>85.0</v>
      </c>
      <c r="N467" s="1" t="s">
        <v>1088</v>
      </c>
      <c r="O467" s="1">
        <v>70.0</v>
      </c>
      <c r="P467" s="1" t="s">
        <v>860</v>
      </c>
      <c r="Q467" s="1" t="s">
        <v>242</v>
      </c>
      <c r="R467" s="1" t="s">
        <v>1070</v>
      </c>
      <c r="S467" s="1" t="s">
        <v>204</v>
      </c>
      <c r="T467" s="1" t="s">
        <v>364</v>
      </c>
      <c r="U467" s="1" t="s">
        <v>728</v>
      </c>
      <c r="V467" s="1" t="s">
        <v>190</v>
      </c>
      <c r="W467" s="1">
        <v>75.0</v>
      </c>
      <c r="X467" s="1">
        <v>84.0</v>
      </c>
      <c r="Y467" s="1" t="s">
        <v>190</v>
      </c>
      <c r="Z467" s="1">
        <v>1.0</v>
      </c>
    </row>
    <row r="468">
      <c r="A468" s="1" t="s">
        <v>2000</v>
      </c>
      <c r="B468" s="1" t="s">
        <v>1522</v>
      </c>
      <c r="C468" s="1" t="s">
        <v>1579</v>
      </c>
      <c r="D468" s="1">
        <v>200.0</v>
      </c>
      <c r="E468" s="1">
        <v>84.0</v>
      </c>
      <c r="F468" s="1">
        <v>85.0</v>
      </c>
      <c r="G468" s="1">
        <v>87.0</v>
      </c>
      <c r="H468" s="1">
        <v>72.0</v>
      </c>
      <c r="I468" s="1">
        <v>79.0</v>
      </c>
      <c r="J468" s="1">
        <v>93.0</v>
      </c>
      <c r="K468" s="1">
        <v>89.0</v>
      </c>
      <c r="L468" s="1">
        <v>76.0</v>
      </c>
      <c r="M468" s="1">
        <v>76.0</v>
      </c>
      <c r="N468" s="1">
        <v>77.0</v>
      </c>
      <c r="O468" s="1">
        <v>70.0</v>
      </c>
      <c r="P468" s="1">
        <v>65.0</v>
      </c>
      <c r="Q468" s="1">
        <v>71.0</v>
      </c>
      <c r="R468" s="1">
        <v>67.0</v>
      </c>
      <c r="S468" s="1">
        <v>78.0</v>
      </c>
      <c r="T468" s="1">
        <v>60.0</v>
      </c>
      <c r="U468" s="1">
        <v>70.0</v>
      </c>
      <c r="V468" s="1">
        <v>78.0</v>
      </c>
      <c r="W468" s="1">
        <v>75.0</v>
      </c>
      <c r="X468" s="1">
        <v>73.0</v>
      </c>
      <c r="Y468" s="1">
        <v>75.0</v>
      </c>
      <c r="Z468" s="1">
        <v>1.0</v>
      </c>
    </row>
    <row r="469">
      <c r="A469" s="1" t="s">
        <v>2001</v>
      </c>
      <c r="B469" s="1" t="s">
        <v>1522</v>
      </c>
      <c r="C469" s="1" t="s">
        <v>1579</v>
      </c>
      <c r="D469" s="1">
        <v>216.0</v>
      </c>
      <c r="E469" s="1">
        <v>85.0</v>
      </c>
      <c r="F469" s="1">
        <v>78.0</v>
      </c>
      <c r="G469" s="1">
        <v>91.0</v>
      </c>
      <c r="H469" s="1">
        <v>65.0</v>
      </c>
      <c r="I469" s="1">
        <v>60.0</v>
      </c>
      <c r="J469" s="1">
        <v>79.0</v>
      </c>
      <c r="K469" s="1">
        <v>79.0</v>
      </c>
      <c r="L469" s="1">
        <v>78.0</v>
      </c>
      <c r="M469" s="1">
        <v>70.0</v>
      </c>
      <c r="N469" s="1">
        <v>51.0</v>
      </c>
      <c r="O469" s="1">
        <v>49.0</v>
      </c>
      <c r="P469" s="1">
        <v>82.0</v>
      </c>
      <c r="Q469" s="1">
        <v>83.0</v>
      </c>
      <c r="R469" s="1">
        <v>80.0</v>
      </c>
      <c r="S469" s="1">
        <v>84.0</v>
      </c>
      <c r="T469" s="1">
        <v>85.0</v>
      </c>
      <c r="U469" s="1">
        <v>87.0</v>
      </c>
      <c r="V469" s="1">
        <v>79.0</v>
      </c>
      <c r="W469" s="1">
        <v>75.0</v>
      </c>
      <c r="X469" s="1">
        <v>67.0</v>
      </c>
      <c r="Y469" s="1">
        <v>83.0</v>
      </c>
      <c r="Z469" s="1">
        <v>1.0</v>
      </c>
    </row>
    <row r="470">
      <c r="A470" s="1" t="s">
        <v>307</v>
      </c>
      <c r="B470" s="1" t="s">
        <v>1522</v>
      </c>
      <c r="C470" s="1" t="s">
        <v>970</v>
      </c>
      <c r="D470" s="1">
        <v>215.0</v>
      </c>
      <c r="E470" s="1">
        <v>73.0</v>
      </c>
      <c r="F470" s="1">
        <v>78.0</v>
      </c>
      <c r="G470" s="1">
        <v>84.0</v>
      </c>
      <c r="H470" s="1">
        <v>44.0</v>
      </c>
      <c r="I470" s="1">
        <v>50.0</v>
      </c>
      <c r="J470" s="1">
        <v>85.0</v>
      </c>
      <c r="K470" s="1">
        <v>83.0</v>
      </c>
      <c r="L470" s="1">
        <v>80.0</v>
      </c>
      <c r="M470" s="1">
        <v>71.0</v>
      </c>
      <c r="N470" s="1">
        <v>85.0</v>
      </c>
      <c r="O470" s="1">
        <v>75.0</v>
      </c>
      <c r="P470" s="1">
        <v>60.0</v>
      </c>
      <c r="Q470" s="1">
        <v>92.0</v>
      </c>
      <c r="R470" s="1">
        <v>79.0</v>
      </c>
      <c r="S470" s="1">
        <v>74.0</v>
      </c>
      <c r="T470" s="1">
        <v>57.0</v>
      </c>
      <c r="U470" s="1">
        <v>70.0</v>
      </c>
      <c r="V470" s="1">
        <v>84.0</v>
      </c>
      <c r="W470" s="1">
        <v>80.0</v>
      </c>
      <c r="X470" s="1">
        <v>75.0</v>
      </c>
      <c r="Y470" s="1">
        <v>72.0</v>
      </c>
      <c r="Z470" s="1">
        <v>1.0</v>
      </c>
    </row>
    <row r="471">
      <c r="A471" s="1" t="s">
        <v>2002</v>
      </c>
      <c r="B471" s="1" t="s">
        <v>1522</v>
      </c>
      <c r="C471" s="1" t="s">
        <v>970</v>
      </c>
      <c r="D471" s="1">
        <v>221.0</v>
      </c>
      <c r="E471" s="1">
        <v>70.0</v>
      </c>
      <c r="F471" s="1">
        <v>71.0</v>
      </c>
      <c r="G471" s="1">
        <v>83.0</v>
      </c>
      <c r="H471" s="1">
        <v>45.0</v>
      </c>
      <c r="I471" s="1">
        <v>52.0</v>
      </c>
      <c r="J471" s="1">
        <v>74.0</v>
      </c>
      <c r="K471" s="1">
        <v>81.0</v>
      </c>
      <c r="L471" s="1">
        <v>59.0</v>
      </c>
      <c r="M471" s="1">
        <v>71.0</v>
      </c>
      <c r="N471" s="1">
        <v>86.0</v>
      </c>
      <c r="O471" s="1">
        <v>75.0</v>
      </c>
      <c r="P471" s="1">
        <v>70.0</v>
      </c>
      <c r="Q471" s="1">
        <v>92.0</v>
      </c>
      <c r="R471" s="1">
        <v>62.0</v>
      </c>
      <c r="S471" s="1">
        <v>84.0</v>
      </c>
      <c r="T471" s="1">
        <v>60.0</v>
      </c>
      <c r="U471" s="1">
        <v>85.0</v>
      </c>
      <c r="V471" s="1">
        <v>85.0</v>
      </c>
      <c r="W471" s="1">
        <v>80.0</v>
      </c>
      <c r="X471" s="1">
        <v>85.0</v>
      </c>
      <c r="Y471" s="1">
        <v>80.0</v>
      </c>
      <c r="Z471" s="1">
        <v>1.0</v>
      </c>
    </row>
    <row r="472">
      <c r="A472" s="1" t="s">
        <v>1518</v>
      </c>
      <c r="B472" s="1" t="s">
        <v>1522</v>
      </c>
      <c r="C472" s="1" t="s">
        <v>970</v>
      </c>
      <c r="D472" s="1">
        <v>244.0</v>
      </c>
      <c r="E472" s="1">
        <v>70.0</v>
      </c>
      <c r="F472" s="1">
        <v>80.0</v>
      </c>
      <c r="G472" s="1">
        <v>89.0</v>
      </c>
      <c r="H472" s="1">
        <v>49.0</v>
      </c>
      <c r="I472" s="1">
        <v>70.0</v>
      </c>
      <c r="J472" s="1">
        <v>74.0</v>
      </c>
      <c r="K472" s="1">
        <v>84.0</v>
      </c>
      <c r="L472" s="1">
        <v>85.0</v>
      </c>
      <c r="M472" s="1">
        <v>85.0</v>
      </c>
      <c r="N472" s="1">
        <v>80.0</v>
      </c>
      <c r="O472" s="1">
        <v>75.0</v>
      </c>
      <c r="P472" s="1">
        <v>74.0</v>
      </c>
      <c r="Q472" s="1">
        <v>82.0</v>
      </c>
      <c r="R472" s="1">
        <v>67.0</v>
      </c>
      <c r="S472" s="1">
        <v>78.0</v>
      </c>
      <c r="T472" s="1">
        <v>75.0</v>
      </c>
      <c r="U472" s="1">
        <v>92.0</v>
      </c>
      <c r="V472" s="1">
        <v>80.0</v>
      </c>
      <c r="W472" s="1">
        <v>75.0</v>
      </c>
      <c r="X472" s="1">
        <v>72.0</v>
      </c>
      <c r="Y472" s="1">
        <v>78.0</v>
      </c>
      <c r="Z472" s="1">
        <v>1.0</v>
      </c>
    </row>
    <row r="473">
      <c r="A473" s="1" t="s">
        <v>2003</v>
      </c>
      <c r="B473" s="1" t="s">
        <v>1522</v>
      </c>
      <c r="C473" s="1" t="s">
        <v>1579</v>
      </c>
      <c r="D473" s="1">
        <v>225.0</v>
      </c>
      <c r="E473" s="1">
        <v>75.0</v>
      </c>
      <c r="F473" s="1">
        <v>85.0</v>
      </c>
      <c r="G473" s="1">
        <v>92.0</v>
      </c>
      <c r="H473" s="1">
        <v>81.0</v>
      </c>
      <c r="I473" s="1">
        <v>50.0</v>
      </c>
      <c r="J473" s="1">
        <v>71.0</v>
      </c>
      <c r="K473" s="1">
        <v>36.0</v>
      </c>
      <c r="L473" s="1">
        <v>49.0</v>
      </c>
      <c r="M473" s="1">
        <v>70.0</v>
      </c>
      <c r="N473" s="1">
        <v>73.0</v>
      </c>
      <c r="O473" s="1">
        <v>68.0</v>
      </c>
      <c r="P473" s="1">
        <v>82.0</v>
      </c>
      <c r="Q473" s="1">
        <v>82.0</v>
      </c>
      <c r="R473" s="1">
        <v>60.0</v>
      </c>
      <c r="S473" s="1">
        <v>86.0</v>
      </c>
      <c r="T473" s="1">
        <v>70.0</v>
      </c>
      <c r="U473" s="1">
        <v>90.0</v>
      </c>
      <c r="V473" s="1">
        <v>71.0</v>
      </c>
      <c r="W473" s="1">
        <v>71.0</v>
      </c>
      <c r="X473" s="1">
        <v>83.0</v>
      </c>
      <c r="Y473" s="1">
        <v>85.0</v>
      </c>
      <c r="Z473" s="1">
        <v>1.0</v>
      </c>
    </row>
    <row r="474">
      <c r="A474" s="1" t="s">
        <v>1507</v>
      </c>
      <c r="B474" s="1" t="s">
        <v>1522</v>
      </c>
      <c r="C474" s="1" t="s">
        <v>876</v>
      </c>
      <c r="D474" s="1" t="s">
        <v>2004</v>
      </c>
      <c r="E474" s="1" t="s">
        <v>753</v>
      </c>
      <c r="F474" s="1" t="s">
        <v>2005</v>
      </c>
      <c r="G474" s="1" t="s">
        <v>2006</v>
      </c>
      <c r="H474" s="1" t="s">
        <v>2007</v>
      </c>
      <c r="I474" s="1" t="s">
        <v>2008</v>
      </c>
      <c r="J474" s="1" t="s">
        <v>863</v>
      </c>
      <c r="K474" s="1" t="s">
        <v>205</v>
      </c>
      <c r="L474" s="1" t="s">
        <v>1459</v>
      </c>
      <c r="M474" s="1" t="s">
        <v>978</v>
      </c>
      <c r="N474" s="1" t="s">
        <v>1879</v>
      </c>
      <c r="O474" s="1" t="s">
        <v>1394</v>
      </c>
      <c r="P474" s="1" t="s">
        <v>552</v>
      </c>
      <c r="Q474" s="1" t="s">
        <v>2009</v>
      </c>
      <c r="R474" s="1" t="s">
        <v>401</v>
      </c>
      <c r="S474" s="1" t="s">
        <v>1539</v>
      </c>
      <c r="T474" s="1" t="s">
        <v>450</v>
      </c>
      <c r="U474" s="1" t="s">
        <v>48</v>
      </c>
      <c r="V474" s="1" t="s">
        <v>553</v>
      </c>
      <c r="W474" s="1" t="s">
        <v>1673</v>
      </c>
      <c r="X474" s="1" t="s">
        <v>136</v>
      </c>
      <c r="Y474" s="1" t="s">
        <v>242</v>
      </c>
      <c r="Z474" s="1">
        <v>1.0</v>
      </c>
    </row>
    <row r="475">
      <c r="A475" s="1" t="s">
        <v>2010</v>
      </c>
      <c r="B475" s="1" t="s">
        <v>1522</v>
      </c>
      <c r="C475" s="1" t="s">
        <v>1534</v>
      </c>
      <c r="D475" s="1">
        <v>218.0</v>
      </c>
      <c r="E475" s="1">
        <v>81.0</v>
      </c>
      <c r="F475" s="1">
        <v>80.0</v>
      </c>
      <c r="G475" s="1">
        <v>93.0</v>
      </c>
      <c r="H475" s="1">
        <v>94.0</v>
      </c>
      <c r="I475" s="1">
        <v>57.0</v>
      </c>
      <c r="J475" s="1">
        <v>80.0</v>
      </c>
      <c r="K475" s="1">
        <v>81.0</v>
      </c>
      <c r="L475" s="1">
        <v>72.0</v>
      </c>
      <c r="M475" s="1">
        <v>79.0</v>
      </c>
      <c r="N475" s="1">
        <v>77.0</v>
      </c>
      <c r="O475" s="1">
        <v>72.0</v>
      </c>
      <c r="P475" s="1">
        <v>75.0</v>
      </c>
      <c r="Q475" s="1">
        <v>81.0</v>
      </c>
      <c r="R475" s="1">
        <v>54.0</v>
      </c>
      <c r="S475" s="1">
        <v>78.0</v>
      </c>
      <c r="T475" s="1">
        <v>68.0</v>
      </c>
      <c r="U475" s="1">
        <v>80.0</v>
      </c>
      <c r="V475" s="1">
        <v>78.0</v>
      </c>
      <c r="W475" s="1">
        <v>63.0</v>
      </c>
      <c r="X475" s="1">
        <v>71.0</v>
      </c>
      <c r="Y475" s="1">
        <v>73.0</v>
      </c>
      <c r="Z475" s="1">
        <v>1.0</v>
      </c>
    </row>
    <row r="476">
      <c r="A476" s="1" t="s">
        <v>757</v>
      </c>
      <c r="B476" s="1" t="s">
        <v>1522</v>
      </c>
      <c r="C476" s="1" t="s">
        <v>970</v>
      </c>
      <c r="D476" s="1">
        <v>218.0</v>
      </c>
      <c r="E476" s="1">
        <v>61.0</v>
      </c>
      <c r="F476" s="1">
        <v>71.0</v>
      </c>
      <c r="G476" s="1">
        <v>55.0</v>
      </c>
      <c r="H476" s="1">
        <v>45.0</v>
      </c>
      <c r="I476" s="1">
        <v>51.0</v>
      </c>
      <c r="J476" s="1">
        <v>65.0</v>
      </c>
      <c r="K476" s="1">
        <v>75.0</v>
      </c>
      <c r="L476" s="1">
        <v>57.0</v>
      </c>
      <c r="M476" s="1">
        <v>75.0</v>
      </c>
      <c r="N476" s="1">
        <v>86.0</v>
      </c>
      <c r="O476" s="1">
        <v>75.0</v>
      </c>
      <c r="P476" s="1">
        <v>82.0</v>
      </c>
      <c r="Q476" s="1">
        <v>94.0</v>
      </c>
      <c r="R476" s="1">
        <v>91.0</v>
      </c>
      <c r="S476" s="1">
        <v>84.0</v>
      </c>
      <c r="T476" s="1">
        <v>40.0</v>
      </c>
      <c r="U476" s="1">
        <v>65.0</v>
      </c>
      <c r="V476" s="1">
        <v>86.0</v>
      </c>
      <c r="W476" s="1">
        <v>83.0</v>
      </c>
      <c r="X476" s="1">
        <v>85.0</v>
      </c>
      <c r="Y476" s="1">
        <v>77.0</v>
      </c>
      <c r="Z476" s="1">
        <v>1.0</v>
      </c>
    </row>
    <row r="477">
      <c r="A477" s="1" t="s">
        <v>2011</v>
      </c>
      <c r="B477" s="1" t="s">
        <v>1522</v>
      </c>
      <c r="C477" s="1" t="s">
        <v>970</v>
      </c>
      <c r="D477" s="1">
        <v>239.0</v>
      </c>
      <c r="E477" s="1">
        <v>65.0</v>
      </c>
      <c r="F477" s="1">
        <v>65.0</v>
      </c>
      <c r="G477" s="1">
        <v>80.0</v>
      </c>
      <c r="H477" s="1">
        <v>72.0</v>
      </c>
      <c r="I477" s="1">
        <v>56.0</v>
      </c>
      <c r="J477" s="1">
        <v>68.0</v>
      </c>
      <c r="K477" s="1">
        <v>78.0</v>
      </c>
      <c r="L477" s="1">
        <v>66.0</v>
      </c>
      <c r="M477" s="1">
        <v>65.0</v>
      </c>
      <c r="N477" s="1">
        <v>77.0</v>
      </c>
      <c r="O477" s="1">
        <v>68.0</v>
      </c>
      <c r="P477" s="1">
        <v>71.0</v>
      </c>
      <c r="Q477" s="1">
        <v>92.0</v>
      </c>
      <c r="R477" s="1">
        <v>92.0</v>
      </c>
      <c r="S477" s="1">
        <v>84.0</v>
      </c>
      <c r="T477" s="1">
        <v>60.0</v>
      </c>
      <c r="U477" s="1">
        <v>62.0</v>
      </c>
      <c r="V477" s="1">
        <v>80.0</v>
      </c>
      <c r="W477" s="1">
        <v>80.0</v>
      </c>
      <c r="X477" s="1">
        <v>91.0</v>
      </c>
      <c r="Y477" s="1">
        <v>65.0</v>
      </c>
      <c r="Z477" s="1">
        <v>1.0</v>
      </c>
    </row>
    <row r="478">
      <c r="A478" s="1" t="s">
        <v>2012</v>
      </c>
      <c r="B478" s="1" t="s">
        <v>1522</v>
      </c>
      <c r="C478" s="1" t="s">
        <v>1534</v>
      </c>
      <c r="D478" s="1">
        <v>235.0</v>
      </c>
      <c r="E478" s="1">
        <v>77.0</v>
      </c>
      <c r="F478" s="1">
        <v>67.0</v>
      </c>
      <c r="G478" s="1">
        <v>87.0</v>
      </c>
      <c r="H478" s="1">
        <v>52.0</v>
      </c>
      <c r="I478" s="1">
        <v>60.0</v>
      </c>
      <c r="J478" s="1">
        <v>87.0</v>
      </c>
      <c r="K478" s="1">
        <v>80.0</v>
      </c>
      <c r="L478" s="1">
        <v>66.0</v>
      </c>
      <c r="M478" s="1">
        <v>39.0</v>
      </c>
      <c r="N478" s="1">
        <v>47.0</v>
      </c>
      <c r="O478" s="1">
        <v>51.0</v>
      </c>
      <c r="P478" s="1">
        <v>88.0</v>
      </c>
      <c r="Q478" s="1">
        <v>85.0</v>
      </c>
      <c r="R478" s="1">
        <v>58.0</v>
      </c>
      <c r="S478" s="1">
        <v>84.0</v>
      </c>
      <c r="T478" s="1">
        <v>91.0</v>
      </c>
      <c r="U478" s="1">
        <v>90.0</v>
      </c>
      <c r="V478" s="1">
        <v>81.0</v>
      </c>
      <c r="W478" s="1">
        <v>78.0</v>
      </c>
      <c r="X478" s="1">
        <v>85.0</v>
      </c>
      <c r="Y478" s="1">
        <v>75.0</v>
      </c>
      <c r="Z478" s="1">
        <v>1.0</v>
      </c>
    </row>
    <row r="479">
      <c r="A479" s="1" t="s">
        <v>2013</v>
      </c>
      <c r="B479" s="1" t="s">
        <v>1522</v>
      </c>
      <c r="C479" s="1" t="s">
        <v>1530</v>
      </c>
      <c r="D479" s="1" t="s">
        <v>2014</v>
      </c>
      <c r="E479" s="1" t="s">
        <v>730</v>
      </c>
      <c r="F479" s="1" t="s">
        <v>1254</v>
      </c>
      <c r="G479" s="1">
        <v>87.0</v>
      </c>
      <c r="H479" s="1" t="s">
        <v>87</v>
      </c>
      <c r="I479" s="1">
        <v>50.0</v>
      </c>
      <c r="J479" s="1" t="s">
        <v>553</v>
      </c>
      <c r="K479" s="1" t="s">
        <v>1080</v>
      </c>
      <c r="L479" s="1" t="s">
        <v>1660</v>
      </c>
      <c r="M479" s="1" t="s">
        <v>1136</v>
      </c>
      <c r="N479" s="1" t="s">
        <v>200</v>
      </c>
      <c r="O479" s="1" t="s">
        <v>204</v>
      </c>
      <c r="P479" s="1" t="s">
        <v>30</v>
      </c>
      <c r="Q479" s="1" t="s">
        <v>132</v>
      </c>
      <c r="R479" s="1" t="s">
        <v>325</v>
      </c>
      <c r="S479" s="1" t="s">
        <v>525</v>
      </c>
      <c r="T479" s="1" t="s">
        <v>2015</v>
      </c>
      <c r="U479" s="1" t="s">
        <v>78</v>
      </c>
      <c r="V479" s="1" t="s">
        <v>714</v>
      </c>
      <c r="W479" s="1" t="s">
        <v>843</v>
      </c>
      <c r="X479" s="1" t="s">
        <v>1145</v>
      </c>
      <c r="Y479" s="1" t="s">
        <v>190</v>
      </c>
      <c r="Z479" s="1">
        <v>1.0</v>
      </c>
    </row>
    <row r="480">
      <c r="A480" s="1" t="s">
        <v>2016</v>
      </c>
      <c r="B480" s="1" t="s">
        <v>1522</v>
      </c>
      <c r="C480" s="1" t="s">
        <v>192</v>
      </c>
      <c r="D480" s="1">
        <v>215.0</v>
      </c>
      <c r="E480" s="1">
        <v>81.0</v>
      </c>
      <c r="F480" s="1">
        <v>80.0</v>
      </c>
      <c r="G480" s="1">
        <v>81.0</v>
      </c>
      <c r="H480" s="1">
        <v>91.0</v>
      </c>
      <c r="I480" s="1">
        <v>56.0</v>
      </c>
      <c r="J480" s="1">
        <v>80.0</v>
      </c>
      <c r="K480" s="1">
        <v>84.0</v>
      </c>
      <c r="L480" s="1">
        <v>60.0</v>
      </c>
      <c r="M480" s="1">
        <v>68.0</v>
      </c>
      <c r="N480" s="1">
        <v>80.0</v>
      </c>
      <c r="O480" s="1">
        <v>80.0</v>
      </c>
      <c r="P480" s="1">
        <v>70.0</v>
      </c>
      <c r="Q480" s="1">
        <v>87.0</v>
      </c>
      <c r="R480" s="1">
        <v>76.0</v>
      </c>
      <c r="S480" s="1">
        <v>80.0</v>
      </c>
      <c r="T480" s="1">
        <v>70.0</v>
      </c>
      <c r="U480" s="1">
        <v>71.0</v>
      </c>
      <c r="V480" s="1">
        <v>83.0</v>
      </c>
      <c r="W480" s="1">
        <v>69.0</v>
      </c>
      <c r="X480" s="1">
        <v>80.0</v>
      </c>
      <c r="Y480" s="1">
        <v>80.0</v>
      </c>
      <c r="Z480" s="1">
        <v>1.0</v>
      </c>
    </row>
    <row r="481">
      <c r="A481" s="1" t="s">
        <v>2017</v>
      </c>
      <c r="B481" s="1" t="s">
        <v>1522</v>
      </c>
      <c r="C481" s="1" t="s">
        <v>1534</v>
      </c>
      <c r="D481" s="1">
        <v>210.0</v>
      </c>
      <c r="E481" s="1">
        <v>79.0</v>
      </c>
      <c r="F481" s="1">
        <v>56.0</v>
      </c>
      <c r="G481" s="1">
        <v>75.0</v>
      </c>
      <c r="H481" s="1">
        <v>48.0</v>
      </c>
      <c r="I481" s="1">
        <v>51.0</v>
      </c>
      <c r="J481" s="1">
        <v>89.0</v>
      </c>
      <c r="K481" s="1">
        <v>83.0</v>
      </c>
      <c r="L481" s="1">
        <v>65.0</v>
      </c>
      <c r="M481" s="1">
        <v>76.0</v>
      </c>
      <c r="N481" s="1">
        <v>68.0</v>
      </c>
      <c r="O481" s="1">
        <v>73.0</v>
      </c>
      <c r="P481" s="1">
        <v>77.0</v>
      </c>
      <c r="Q481" s="1">
        <v>82.0</v>
      </c>
      <c r="R481" s="1">
        <v>79.0</v>
      </c>
      <c r="S481" s="1">
        <v>92.0</v>
      </c>
      <c r="T481" s="1">
        <v>60.0</v>
      </c>
      <c r="U481" s="1">
        <v>85.0</v>
      </c>
      <c r="V481" s="1">
        <v>73.0</v>
      </c>
      <c r="W481" s="1">
        <v>71.0</v>
      </c>
      <c r="X481" s="1">
        <v>85.0</v>
      </c>
      <c r="Y481" s="1">
        <v>83.0</v>
      </c>
      <c r="Z481" s="1">
        <v>1.0</v>
      </c>
    </row>
    <row r="482">
      <c r="A482" s="1" t="s">
        <v>2018</v>
      </c>
      <c r="B482" s="1" t="s">
        <v>1522</v>
      </c>
      <c r="C482" s="1" t="s">
        <v>1579</v>
      </c>
      <c r="D482" s="1">
        <v>213.0</v>
      </c>
      <c r="E482" s="1">
        <v>87.0</v>
      </c>
      <c r="F482" s="1">
        <v>68.0</v>
      </c>
      <c r="G482" s="1">
        <v>88.0</v>
      </c>
      <c r="H482" s="1">
        <v>90.0</v>
      </c>
      <c r="I482" s="1">
        <v>62.0</v>
      </c>
      <c r="J482" s="1">
        <v>83.0</v>
      </c>
      <c r="K482" s="1">
        <v>80.0</v>
      </c>
      <c r="L482" s="1">
        <v>90.0</v>
      </c>
      <c r="M482" s="1">
        <v>75.0</v>
      </c>
      <c r="N482" s="1">
        <v>78.0</v>
      </c>
      <c r="O482" s="1">
        <v>70.0</v>
      </c>
      <c r="P482" s="1">
        <v>70.0</v>
      </c>
      <c r="Q482" s="1">
        <v>75.0</v>
      </c>
      <c r="R482" s="1">
        <v>46.0</v>
      </c>
      <c r="S482" s="1">
        <v>84.0</v>
      </c>
      <c r="T482" s="1">
        <v>80.0</v>
      </c>
      <c r="U482" s="1">
        <v>80.0</v>
      </c>
      <c r="V482" s="1">
        <v>80.0</v>
      </c>
      <c r="W482" s="1">
        <v>75.0</v>
      </c>
      <c r="X482" s="1">
        <v>58.0</v>
      </c>
      <c r="Y482" s="1">
        <v>85.0</v>
      </c>
      <c r="Z482" s="1">
        <v>1.0</v>
      </c>
    </row>
    <row r="483">
      <c r="A483" s="1" t="s">
        <v>2019</v>
      </c>
      <c r="B483" s="1" t="s">
        <v>1522</v>
      </c>
      <c r="C483" s="1" t="s">
        <v>1579</v>
      </c>
      <c r="D483" s="1">
        <v>204.0</v>
      </c>
      <c r="E483" s="1">
        <v>76.0</v>
      </c>
      <c r="F483" s="1">
        <v>80.0</v>
      </c>
      <c r="G483" s="1">
        <v>80.0</v>
      </c>
      <c r="H483" s="1">
        <v>60.0</v>
      </c>
      <c r="I483" s="1">
        <v>53.0</v>
      </c>
      <c r="J483" s="1">
        <v>83.0</v>
      </c>
      <c r="K483" s="1">
        <v>80.0</v>
      </c>
      <c r="L483" s="1">
        <v>84.0</v>
      </c>
      <c r="M483" s="1">
        <v>85.0</v>
      </c>
      <c r="N483" s="1">
        <v>70.0</v>
      </c>
      <c r="O483" s="1">
        <v>68.0</v>
      </c>
      <c r="P483" s="1">
        <v>69.0</v>
      </c>
      <c r="Q483" s="1">
        <v>82.0</v>
      </c>
      <c r="R483" s="1">
        <v>67.0</v>
      </c>
      <c r="S483" s="1">
        <v>88.0</v>
      </c>
      <c r="T483" s="1">
        <v>85.0</v>
      </c>
      <c r="U483" s="1">
        <v>90.0</v>
      </c>
      <c r="V483" s="1">
        <v>80.0</v>
      </c>
      <c r="W483" s="1">
        <v>75.0</v>
      </c>
      <c r="X483" s="1">
        <v>73.0</v>
      </c>
      <c r="Y483" s="1">
        <v>80.0</v>
      </c>
      <c r="Z483" s="1">
        <v>1.0</v>
      </c>
    </row>
    <row r="484">
      <c r="A484" s="1" t="s">
        <v>2020</v>
      </c>
      <c r="B484" s="1" t="s">
        <v>1522</v>
      </c>
      <c r="C484" s="1" t="s">
        <v>1579</v>
      </c>
      <c r="D484" s="1">
        <v>230.0</v>
      </c>
      <c r="E484" s="1">
        <v>70.0</v>
      </c>
      <c r="F484" s="1">
        <v>70.0</v>
      </c>
      <c r="G484" s="1">
        <v>90.0</v>
      </c>
      <c r="H484" s="1">
        <v>80.0</v>
      </c>
      <c r="I484" s="1">
        <v>75.0</v>
      </c>
      <c r="J484" s="1">
        <v>75.0</v>
      </c>
      <c r="K484" s="1">
        <v>85.0</v>
      </c>
      <c r="L484" s="1">
        <v>75.0</v>
      </c>
      <c r="M484" s="1">
        <v>80.0</v>
      </c>
      <c r="N484" s="1">
        <v>75.0</v>
      </c>
      <c r="O484" s="1">
        <v>68.0</v>
      </c>
      <c r="P484" s="1">
        <v>70.0</v>
      </c>
      <c r="Q484" s="1">
        <v>77.0</v>
      </c>
      <c r="R484" s="1">
        <v>47.0</v>
      </c>
      <c r="S484" s="1">
        <v>53.0</v>
      </c>
      <c r="T484" s="1">
        <v>85.0</v>
      </c>
      <c r="U484" s="1">
        <v>85.0</v>
      </c>
      <c r="V484" s="1">
        <v>75.0</v>
      </c>
      <c r="W484" s="1">
        <v>72.0</v>
      </c>
      <c r="X484" s="1">
        <v>90.0</v>
      </c>
      <c r="Y484" s="1">
        <v>85.0</v>
      </c>
      <c r="Z484" s="1">
        <v>1.0</v>
      </c>
    </row>
    <row r="485">
      <c r="A485" s="1" t="s">
        <v>717</v>
      </c>
      <c r="B485" s="1" t="s">
        <v>1522</v>
      </c>
      <c r="C485" s="1" t="s">
        <v>970</v>
      </c>
      <c r="D485" s="1" t="s">
        <v>613</v>
      </c>
      <c r="E485" s="1" t="s">
        <v>410</v>
      </c>
      <c r="F485" s="1" t="s">
        <v>190</v>
      </c>
      <c r="G485" s="1" t="s">
        <v>790</v>
      </c>
      <c r="H485" s="1" t="s">
        <v>1789</v>
      </c>
      <c r="I485" s="1" t="s">
        <v>2021</v>
      </c>
      <c r="J485" s="1" t="s">
        <v>850</v>
      </c>
      <c r="K485" s="1" t="s">
        <v>39</v>
      </c>
      <c r="L485" s="1" t="s">
        <v>31</v>
      </c>
      <c r="M485" s="1" t="s">
        <v>149</v>
      </c>
      <c r="N485" s="1" t="s">
        <v>582</v>
      </c>
      <c r="O485" s="1" t="s">
        <v>190</v>
      </c>
      <c r="P485" s="1" t="s">
        <v>437</v>
      </c>
      <c r="Q485" s="1" t="s">
        <v>221</v>
      </c>
      <c r="R485" s="1" t="s">
        <v>1099</v>
      </c>
      <c r="S485" s="1" t="s">
        <v>2022</v>
      </c>
      <c r="T485" s="1" t="s">
        <v>2023</v>
      </c>
      <c r="U485" s="1" t="s">
        <v>776</v>
      </c>
      <c r="V485" s="1" t="s">
        <v>766</v>
      </c>
      <c r="W485" s="1" t="s">
        <v>31</v>
      </c>
      <c r="X485" s="1" t="s">
        <v>1145</v>
      </c>
      <c r="Y485" s="1" t="s">
        <v>271</v>
      </c>
      <c r="Z485" s="1">
        <v>1.0</v>
      </c>
    </row>
    <row r="486">
      <c r="A486" s="1" t="s">
        <v>2024</v>
      </c>
      <c r="B486" s="1" t="s">
        <v>1522</v>
      </c>
      <c r="C486" s="1" t="s">
        <v>970</v>
      </c>
      <c r="D486" s="1">
        <v>205.0</v>
      </c>
      <c r="E486" s="1">
        <v>78.0</v>
      </c>
      <c r="F486" s="1">
        <v>75.0</v>
      </c>
      <c r="G486" s="1">
        <v>64.0</v>
      </c>
      <c r="H486" s="1">
        <v>56.0</v>
      </c>
      <c r="I486" s="1">
        <v>71.0</v>
      </c>
      <c r="J486" s="1">
        <v>82.0</v>
      </c>
      <c r="K486" s="1">
        <v>83.0</v>
      </c>
      <c r="L486" s="1">
        <v>82.0</v>
      </c>
      <c r="M486" s="1">
        <v>85.0</v>
      </c>
      <c r="N486" s="1">
        <v>85.0</v>
      </c>
      <c r="O486" s="1">
        <v>68.0</v>
      </c>
      <c r="P486" s="1">
        <v>82.0</v>
      </c>
      <c r="Q486" s="1">
        <v>85.0</v>
      </c>
      <c r="R486" s="1">
        <v>67.0</v>
      </c>
      <c r="S486" s="1">
        <v>63.0</v>
      </c>
      <c r="T486" s="1">
        <v>80.0</v>
      </c>
      <c r="U486" s="1">
        <v>87.0</v>
      </c>
      <c r="V486" s="1">
        <v>80.0</v>
      </c>
      <c r="W486" s="1">
        <v>75.0</v>
      </c>
      <c r="X486" s="1">
        <v>75.0</v>
      </c>
      <c r="Y486" s="1">
        <v>83.0</v>
      </c>
      <c r="Z486" s="1">
        <v>1.0</v>
      </c>
    </row>
    <row r="487">
      <c r="A487" s="1" t="s">
        <v>1161</v>
      </c>
      <c r="B487" s="1" t="s">
        <v>1522</v>
      </c>
      <c r="C487" s="1" t="s">
        <v>192</v>
      </c>
      <c r="D487" s="1">
        <v>215.0</v>
      </c>
      <c r="E487" s="1">
        <v>76.0</v>
      </c>
      <c r="F487" s="1">
        <v>82.0</v>
      </c>
      <c r="G487" s="1">
        <v>85.0</v>
      </c>
      <c r="H487" s="1">
        <v>64.0</v>
      </c>
      <c r="I487" s="1">
        <v>51.0</v>
      </c>
      <c r="J487" s="1">
        <v>90.0</v>
      </c>
      <c r="K487" s="1">
        <v>70.0</v>
      </c>
      <c r="L487" s="1">
        <v>71.0</v>
      </c>
      <c r="M487" s="1">
        <v>66.0</v>
      </c>
      <c r="N487" s="1">
        <v>76.0</v>
      </c>
      <c r="O487" s="1">
        <v>73.0</v>
      </c>
      <c r="P487" s="1">
        <v>57.0</v>
      </c>
      <c r="Q487" s="1">
        <v>83.0</v>
      </c>
      <c r="R487" s="1">
        <v>90.0</v>
      </c>
      <c r="S487" s="1">
        <v>70.0</v>
      </c>
      <c r="T487" s="1">
        <v>56.0</v>
      </c>
      <c r="U487" s="1">
        <v>70.0</v>
      </c>
      <c r="V487" s="1">
        <v>90.0</v>
      </c>
      <c r="W487" s="1">
        <v>81.0</v>
      </c>
      <c r="X487" s="1">
        <v>82.0</v>
      </c>
      <c r="Y487" s="1">
        <v>67.0</v>
      </c>
      <c r="Z487" s="1">
        <v>1.0</v>
      </c>
    </row>
    <row r="488">
      <c r="A488" s="1" t="s">
        <v>2025</v>
      </c>
      <c r="B488" s="1" t="s">
        <v>1522</v>
      </c>
      <c r="C488" s="1" t="s">
        <v>970</v>
      </c>
      <c r="D488" s="1">
        <v>192.0</v>
      </c>
      <c r="E488" s="1">
        <v>76.0</v>
      </c>
      <c r="F488" s="1">
        <v>85.0</v>
      </c>
      <c r="G488" s="1">
        <v>89.0</v>
      </c>
      <c r="H488" s="1">
        <v>52.0</v>
      </c>
      <c r="I488" s="1">
        <v>47.0</v>
      </c>
      <c r="J488" s="1">
        <v>76.0</v>
      </c>
      <c r="K488" s="1">
        <v>86.0</v>
      </c>
      <c r="L488" s="1">
        <v>80.0</v>
      </c>
      <c r="M488" s="1">
        <v>78.0</v>
      </c>
      <c r="N488" s="1">
        <v>81.0</v>
      </c>
      <c r="O488" s="1">
        <v>77.0</v>
      </c>
      <c r="P488" s="1">
        <v>61.0</v>
      </c>
      <c r="Q488" s="1">
        <v>84.0</v>
      </c>
      <c r="R488" s="1">
        <v>54.0</v>
      </c>
      <c r="S488" s="1">
        <v>78.0</v>
      </c>
      <c r="T488" s="1">
        <v>71.0</v>
      </c>
      <c r="U488" s="1">
        <v>80.0</v>
      </c>
      <c r="V488" s="1">
        <v>85.0</v>
      </c>
      <c r="W488" s="1">
        <v>74.0</v>
      </c>
      <c r="X488" s="1">
        <v>77.0</v>
      </c>
      <c r="Y488" s="1">
        <v>87.0</v>
      </c>
      <c r="Z488" s="1">
        <v>1.0</v>
      </c>
    </row>
    <row r="489">
      <c r="A489" s="1" t="s">
        <v>2026</v>
      </c>
      <c r="B489" s="1" t="s">
        <v>1522</v>
      </c>
      <c r="C489" s="1" t="s">
        <v>970</v>
      </c>
      <c r="D489" s="1">
        <v>250.0</v>
      </c>
      <c r="E489" s="1">
        <v>73.0</v>
      </c>
      <c r="F489" s="1">
        <v>78.0</v>
      </c>
      <c r="G489" s="1">
        <v>93.0</v>
      </c>
      <c r="H489" s="1">
        <v>53.0</v>
      </c>
      <c r="I489" s="1">
        <v>49.0</v>
      </c>
      <c r="J489" s="1">
        <v>87.0</v>
      </c>
      <c r="K489" s="1">
        <v>75.0</v>
      </c>
      <c r="L489" s="1">
        <v>62.0</v>
      </c>
      <c r="M489" s="1">
        <v>80.0</v>
      </c>
      <c r="N489" s="1">
        <v>80.0</v>
      </c>
      <c r="O489" s="1">
        <v>75.0</v>
      </c>
      <c r="P489" s="1">
        <v>82.0</v>
      </c>
      <c r="Q489" s="1">
        <v>75.0</v>
      </c>
      <c r="R489" s="1">
        <v>45.0</v>
      </c>
      <c r="S489" s="1">
        <v>80.0</v>
      </c>
      <c r="T489" s="1">
        <v>63.0</v>
      </c>
      <c r="U489" s="1">
        <v>85.0</v>
      </c>
      <c r="V489" s="1">
        <v>80.0</v>
      </c>
      <c r="W489" s="1">
        <v>78.0</v>
      </c>
      <c r="X489" s="1">
        <v>84.0</v>
      </c>
      <c r="Y489" s="1">
        <v>80.0</v>
      </c>
      <c r="Z489" s="1">
        <v>1.0</v>
      </c>
    </row>
    <row r="490">
      <c r="A490" s="1" t="s">
        <v>2027</v>
      </c>
      <c r="B490" s="1" t="s">
        <v>1522</v>
      </c>
      <c r="C490" s="1" t="s">
        <v>970</v>
      </c>
      <c r="D490" s="1">
        <v>218.0</v>
      </c>
      <c r="E490" s="1">
        <v>92.0</v>
      </c>
      <c r="F490" s="1">
        <v>67.0</v>
      </c>
      <c r="G490" s="1">
        <v>81.0</v>
      </c>
      <c r="H490" s="1">
        <v>75.0</v>
      </c>
      <c r="I490" s="1">
        <v>40.0</v>
      </c>
      <c r="J490" s="1">
        <v>80.0</v>
      </c>
      <c r="K490" s="1">
        <v>89.0</v>
      </c>
      <c r="L490" s="1">
        <v>80.0</v>
      </c>
      <c r="M490" s="1">
        <v>92.0</v>
      </c>
      <c r="N490" s="1">
        <v>75.0</v>
      </c>
      <c r="O490" s="1">
        <v>70.0</v>
      </c>
      <c r="P490" s="1">
        <v>59.0</v>
      </c>
      <c r="Q490" s="1">
        <v>81.0</v>
      </c>
      <c r="R490" s="1">
        <v>80.0</v>
      </c>
      <c r="S490" s="1">
        <v>42.0</v>
      </c>
      <c r="T490" s="1">
        <v>72.0</v>
      </c>
      <c r="U490" s="1">
        <v>78.0</v>
      </c>
      <c r="V490" s="1">
        <v>86.0</v>
      </c>
      <c r="W490" s="1">
        <v>78.0</v>
      </c>
      <c r="X490" s="1">
        <v>75.0</v>
      </c>
      <c r="Y490" s="1">
        <v>86.0</v>
      </c>
      <c r="Z490" s="1">
        <v>1.0</v>
      </c>
    </row>
    <row r="491">
      <c r="A491" s="1" t="s">
        <v>2028</v>
      </c>
      <c r="B491" s="1" t="s">
        <v>1522</v>
      </c>
      <c r="C491" s="1" t="s">
        <v>970</v>
      </c>
      <c r="D491" s="1">
        <v>185.0</v>
      </c>
      <c r="E491" s="1">
        <v>75.0</v>
      </c>
      <c r="F491" s="1">
        <v>85.0</v>
      </c>
      <c r="G491" s="1">
        <v>87.0</v>
      </c>
      <c r="H491" s="1">
        <v>52.0</v>
      </c>
      <c r="I491" s="1">
        <v>54.0</v>
      </c>
      <c r="J491" s="1">
        <v>80.0</v>
      </c>
      <c r="K491" s="1">
        <v>83.0</v>
      </c>
      <c r="L491" s="1">
        <v>58.0</v>
      </c>
      <c r="M491" s="1">
        <v>87.0</v>
      </c>
      <c r="N491" s="1">
        <v>81.0</v>
      </c>
      <c r="O491" s="1">
        <v>75.0</v>
      </c>
      <c r="P491" s="1">
        <v>80.0</v>
      </c>
      <c r="Q491" s="1">
        <v>80.0</v>
      </c>
      <c r="R491" s="1">
        <v>73.0</v>
      </c>
      <c r="S491" s="1">
        <v>74.0</v>
      </c>
      <c r="T491" s="1">
        <v>50.0</v>
      </c>
      <c r="U491" s="1">
        <v>72.0</v>
      </c>
      <c r="V491" s="1">
        <v>80.0</v>
      </c>
      <c r="W491" s="1">
        <v>75.0</v>
      </c>
      <c r="X491" s="1">
        <v>74.0</v>
      </c>
      <c r="Y491" s="1">
        <v>80.0</v>
      </c>
      <c r="Z491" s="1">
        <v>1.0</v>
      </c>
    </row>
    <row r="492">
      <c r="A492" s="1" t="s">
        <v>2029</v>
      </c>
      <c r="B492" s="1" t="s">
        <v>1522</v>
      </c>
      <c r="C492" s="1" t="s">
        <v>1579</v>
      </c>
      <c r="D492" s="1">
        <v>200.0</v>
      </c>
      <c r="E492" s="1">
        <v>91.0</v>
      </c>
      <c r="F492" s="1">
        <v>91.0</v>
      </c>
      <c r="G492" s="1">
        <v>96.0</v>
      </c>
      <c r="H492" s="1">
        <v>73.0</v>
      </c>
      <c r="I492" s="1">
        <v>74.0</v>
      </c>
      <c r="J492" s="1">
        <v>80.0</v>
      </c>
      <c r="K492" s="1">
        <v>80.0</v>
      </c>
      <c r="L492" s="1">
        <v>94.0</v>
      </c>
      <c r="M492" s="1">
        <v>55.0</v>
      </c>
      <c r="N492" s="1">
        <v>78.0</v>
      </c>
      <c r="O492" s="1">
        <v>72.0</v>
      </c>
      <c r="P492" s="1">
        <v>52.0</v>
      </c>
      <c r="Q492" s="1">
        <v>52.0</v>
      </c>
      <c r="R492" s="1">
        <v>33.0</v>
      </c>
      <c r="S492" s="1">
        <v>48.0</v>
      </c>
      <c r="T492" s="1">
        <v>65.0</v>
      </c>
      <c r="U492" s="1">
        <v>63.0</v>
      </c>
      <c r="V492" s="1">
        <v>82.0</v>
      </c>
      <c r="W492" s="1">
        <v>78.0</v>
      </c>
      <c r="X492" s="1">
        <v>72.0</v>
      </c>
      <c r="Y492" s="1">
        <v>93.0</v>
      </c>
      <c r="Z492" s="1">
        <v>1.0</v>
      </c>
    </row>
    <row r="493">
      <c r="A493" s="1" t="s">
        <v>2030</v>
      </c>
      <c r="B493" s="1" t="s">
        <v>1522</v>
      </c>
      <c r="C493" s="1" t="s">
        <v>1534</v>
      </c>
      <c r="D493" s="1">
        <v>197.0</v>
      </c>
      <c r="E493" s="1">
        <v>75.0</v>
      </c>
      <c r="F493" s="1">
        <v>75.0</v>
      </c>
      <c r="G493" s="1">
        <v>95.0</v>
      </c>
      <c r="H493" s="1">
        <v>87.0</v>
      </c>
      <c r="I493" s="1">
        <v>50.0</v>
      </c>
      <c r="J493" s="1">
        <v>70.0</v>
      </c>
      <c r="K493" s="1">
        <v>80.0</v>
      </c>
      <c r="L493" s="1">
        <v>55.0</v>
      </c>
      <c r="M493" s="1">
        <v>94.0</v>
      </c>
      <c r="N493" s="1">
        <v>75.0</v>
      </c>
      <c r="O493" s="1">
        <v>74.0</v>
      </c>
      <c r="P493" s="1">
        <v>60.0</v>
      </c>
      <c r="Q493" s="1">
        <v>68.0</v>
      </c>
      <c r="R493" s="1">
        <v>65.0</v>
      </c>
      <c r="S493" s="1">
        <v>80.0</v>
      </c>
      <c r="T493" s="1">
        <v>70.0</v>
      </c>
      <c r="U493" s="1">
        <v>58.0</v>
      </c>
      <c r="V493" s="1">
        <v>85.0</v>
      </c>
      <c r="W493" s="1">
        <v>79.0</v>
      </c>
      <c r="X493" s="1">
        <v>73.0</v>
      </c>
      <c r="Y493" s="1">
        <v>85.0</v>
      </c>
      <c r="Z493" s="1">
        <v>1.0</v>
      </c>
    </row>
    <row r="494">
      <c r="A494" s="1" t="s">
        <v>2031</v>
      </c>
      <c r="B494" s="1" t="s">
        <v>1522</v>
      </c>
      <c r="C494" s="1" t="s">
        <v>970</v>
      </c>
      <c r="D494" s="1">
        <v>193.0</v>
      </c>
      <c r="E494" s="1">
        <v>86.0</v>
      </c>
      <c r="F494" s="1">
        <v>75.0</v>
      </c>
      <c r="G494" s="1">
        <v>75.0</v>
      </c>
      <c r="H494" s="1">
        <v>41.0</v>
      </c>
      <c r="I494" s="1">
        <v>67.0</v>
      </c>
      <c r="J494" s="1">
        <v>91.0</v>
      </c>
      <c r="K494" s="1">
        <v>86.0</v>
      </c>
      <c r="L494" s="1">
        <v>80.0</v>
      </c>
      <c r="M494" s="1">
        <v>71.0</v>
      </c>
      <c r="N494" s="1">
        <v>86.0</v>
      </c>
      <c r="O494" s="1">
        <v>80.0</v>
      </c>
      <c r="P494" s="1">
        <v>70.0</v>
      </c>
      <c r="Q494" s="1">
        <v>83.0</v>
      </c>
      <c r="R494" s="1">
        <v>60.0</v>
      </c>
      <c r="S494" s="1">
        <v>84.0</v>
      </c>
      <c r="T494" s="1">
        <v>57.0</v>
      </c>
      <c r="U494" s="1">
        <v>80.0</v>
      </c>
      <c r="V494" s="1">
        <v>80.0</v>
      </c>
      <c r="W494" s="1">
        <v>79.0</v>
      </c>
      <c r="X494" s="1">
        <v>73.0</v>
      </c>
      <c r="Y494" s="1">
        <v>74.0</v>
      </c>
      <c r="Z494" s="1">
        <v>1.0</v>
      </c>
    </row>
    <row r="495">
      <c r="A495" s="1" t="s">
        <v>286</v>
      </c>
      <c r="B495" s="1" t="s">
        <v>1522</v>
      </c>
      <c r="C495" s="1" t="s">
        <v>970</v>
      </c>
      <c r="D495" s="1">
        <v>218.0</v>
      </c>
      <c r="E495" s="1">
        <v>71.0</v>
      </c>
      <c r="F495" s="1">
        <v>80.0</v>
      </c>
      <c r="G495" s="1">
        <v>75.0</v>
      </c>
      <c r="H495" s="1">
        <v>72.0</v>
      </c>
      <c r="I495" s="1">
        <v>51.0</v>
      </c>
      <c r="J495" s="1">
        <v>85.0</v>
      </c>
      <c r="K495" s="1">
        <v>86.0</v>
      </c>
      <c r="L495" s="1">
        <v>80.0</v>
      </c>
      <c r="M495" s="1">
        <v>70.0</v>
      </c>
      <c r="N495" s="1">
        <v>86.0</v>
      </c>
      <c r="O495" s="1">
        <v>78.0</v>
      </c>
      <c r="P495" s="1">
        <v>60.0</v>
      </c>
      <c r="Q495" s="1">
        <v>85.0</v>
      </c>
      <c r="R495" s="1">
        <v>70.0</v>
      </c>
      <c r="S495" s="1">
        <v>76.0</v>
      </c>
      <c r="T495" s="1">
        <v>78.0</v>
      </c>
      <c r="U495" s="1">
        <v>85.0</v>
      </c>
      <c r="V495" s="1">
        <v>86.0</v>
      </c>
      <c r="W495" s="1">
        <v>83.0</v>
      </c>
      <c r="X495" s="1">
        <v>70.0</v>
      </c>
      <c r="Y495" s="1">
        <v>75.0</v>
      </c>
      <c r="Z495" s="1">
        <v>1.0</v>
      </c>
    </row>
    <row r="496">
      <c r="A496" s="1" t="s">
        <v>2032</v>
      </c>
      <c r="B496" s="1" t="s">
        <v>1522</v>
      </c>
      <c r="C496" s="1" t="s">
        <v>1579</v>
      </c>
      <c r="D496" s="1">
        <v>244.0</v>
      </c>
      <c r="E496" s="1">
        <v>75.0</v>
      </c>
      <c r="F496" s="1">
        <v>80.0</v>
      </c>
      <c r="G496" s="1">
        <v>80.0</v>
      </c>
      <c r="H496" s="1">
        <v>75.0</v>
      </c>
      <c r="I496" s="1">
        <v>65.0</v>
      </c>
      <c r="J496" s="1">
        <v>80.0</v>
      </c>
      <c r="K496" s="1">
        <v>75.0</v>
      </c>
      <c r="L496" s="1">
        <v>72.0</v>
      </c>
      <c r="M496" s="1">
        <v>80.0</v>
      </c>
      <c r="N496" s="1">
        <v>78.0</v>
      </c>
      <c r="O496" s="1">
        <v>66.0</v>
      </c>
      <c r="P496" s="1">
        <v>80.0</v>
      </c>
      <c r="Q496" s="1">
        <v>80.0</v>
      </c>
      <c r="R496" s="1">
        <v>50.0</v>
      </c>
      <c r="S496" s="1">
        <v>70.0</v>
      </c>
      <c r="T496" s="1">
        <v>90.0</v>
      </c>
      <c r="U496" s="1">
        <v>90.0</v>
      </c>
      <c r="V496" s="1">
        <v>75.0</v>
      </c>
      <c r="W496" s="1">
        <v>69.0</v>
      </c>
      <c r="X496" s="1">
        <v>85.0</v>
      </c>
      <c r="Y496" s="1">
        <v>77.0</v>
      </c>
      <c r="Z496" s="1">
        <v>1.0</v>
      </c>
    </row>
    <row r="497">
      <c r="A497" s="1" t="s">
        <v>2033</v>
      </c>
      <c r="B497" s="1" t="s">
        <v>1522</v>
      </c>
      <c r="C497" s="1" t="s">
        <v>1530</v>
      </c>
      <c r="D497" s="1" t="s">
        <v>2034</v>
      </c>
      <c r="E497" s="1" t="s">
        <v>476</v>
      </c>
      <c r="F497" s="1" t="s">
        <v>253</v>
      </c>
      <c r="G497" s="1" t="s">
        <v>836</v>
      </c>
      <c r="H497" s="1" t="s">
        <v>1288</v>
      </c>
      <c r="I497" s="1" t="s">
        <v>354</v>
      </c>
      <c r="J497" s="1" t="s">
        <v>434</v>
      </c>
      <c r="K497" s="1" t="s">
        <v>1121</v>
      </c>
      <c r="L497" s="1" t="s">
        <v>1200</v>
      </c>
      <c r="M497" s="1" t="s">
        <v>2035</v>
      </c>
      <c r="N497" s="1" t="s">
        <v>236</v>
      </c>
      <c r="O497" s="1" t="s">
        <v>872</v>
      </c>
      <c r="P497" s="1" t="s">
        <v>708</v>
      </c>
      <c r="Q497" s="1" t="s">
        <v>857</v>
      </c>
      <c r="R497" s="1" t="s">
        <v>1388</v>
      </c>
      <c r="S497" s="1" t="s">
        <v>1539</v>
      </c>
      <c r="T497" s="1" t="s">
        <v>424</v>
      </c>
      <c r="U497" s="1">
        <v>85.0</v>
      </c>
      <c r="V497" s="1" t="s">
        <v>975</v>
      </c>
      <c r="W497" s="1" t="s">
        <v>199</v>
      </c>
      <c r="X497" s="1" t="s">
        <v>158</v>
      </c>
      <c r="Y497" s="1" t="s">
        <v>525</v>
      </c>
      <c r="Z497" s="1">
        <v>1.0</v>
      </c>
    </row>
    <row r="498">
      <c r="A498" s="1" t="s">
        <v>2036</v>
      </c>
      <c r="B498" s="1" t="s">
        <v>1522</v>
      </c>
      <c r="C498" s="1" t="s">
        <v>1579</v>
      </c>
      <c r="D498" s="1">
        <v>215.0</v>
      </c>
      <c r="E498" s="1">
        <v>80.0</v>
      </c>
      <c r="F498" s="1">
        <v>80.0</v>
      </c>
      <c r="G498" s="1">
        <v>77.0</v>
      </c>
      <c r="H498" s="1">
        <v>58.0</v>
      </c>
      <c r="I498" s="1">
        <v>55.0</v>
      </c>
      <c r="J498" s="1">
        <v>90.0</v>
      </c>
      <c r="K498" s="1">
        <v>90.0</v>
      </c>
      <c r="L498" s="1">
        <v>69.0</v>
      </c>
      <c r="M498" s="1">
        <v>80.0</v>
      </c>
      <c r="N498" s="1">
        <v>75.0</v>
      </c>
      <c r="O498" s="1">
        <v>70.0</v>
      </c>
      <c r="P498" s="1">
        <v>90.0</v>
      </c>
      <c r="Q498" s="1">
        <v>82.0</v>
      </c>
      <c r="R498" s="1">
        <v>73.0</v>
      </c>
      <c r="S498" s="1">
        <v>78.0</v>
      </c>
      <c r="T498" s="1">
        <v>67.0</v>
      </c>
      <c r="U498" s="1">
        <v>75.0</v>
      </c>
      <c r="V498" s="1">
        <v>79.0</v>
      </c>
      <c r="W498" s="1">
        <v>71.0</v>
      </c>
      <c r="X498" s="1">
        <v>73.0</v>
      </c>
      <c r="Y498" s="1">
        <v>75.0</v>
      </c>
      <c r="Z498" s="1">
        <v>1.0</v>
      </c>
    </row>
    <row r="499">
      <c r="A499" s="1" t="s">
        <v>469</v>
      </c>
      <c r="B499" s="1" t="s">
        <v>1522</v>
      </c>
      <c r="C499" s="1" t="s">
        <v>216</v>
      </c>
      <c r="D499" s="1">
        <v>213.0</v>
      </c>
      <c r="E499" s="1">
        <v>86.0</v>
      </c>
      <c r="F499" s="1">
        <v>89.0</v>
      </c>
      <c r="G499" s="1">
        <v>82.0</v>
      </c>
      <c r="H499" s="1">
        <v>46.0</v>
      </c>
      <c r="I499" s="1">
        <v>30.0</v>
      </c>
      <c r="J499" s="1">
        <v>85.0</v>
      </c>
      <c r="K499" s="1">
        <v>92.0</v>
      </c>
      <c r="L499" s="1">
        <v>71.0</v>
      </c>
      <c r="M499" s="1">
        <v>56.0</v>
      </c>
      <c r="N499" s="1">
        <v>75.0</v>
      </c>
      <c r="O499" s="1">
        <v>80.0</v>
      </c>
      <c r="P499" s="1">
        <v>71.0</v>
      </c>
      <c r="Q499" s="1">
        <v>72.0</v>
      </c>
      <c r="R499" s="1">
        <v>89.0</v>
      </c>
      <c r="S499" s="1">
        <v>50.0</v>
      </c>
      <c r="T499" s="1">
        <v>40.0</v>
      </c>
      <c r="U499" s="1">
        <v>58.0</v>
      </c>
      <c r="V499" s="1">
        <v>90.0</v>
      </c>
      <c r="W499" s="1">
        <v>80.0</v>
      </c>
      <c r="X499" s="1">
        <v>75.0</v>
      </c>
      <c r="Y499" s="1">
        <v>90.0</v>
      </c>
      <c r="Z499" s="1">
        <v>1.0</v>
      </c>
    </row>
    <row r="500">
      <c r="A500" s="1" t="s">
        <v>2037</v>
      </c>
      <c r="B500" s="1" t="s">
        <v>1522</v>
      </c>
      <c r="C500" s="1" t="s">
        <v>1534</v>
      </c>
      <c r="D500" s="1" t="s">
        <v>2038</v>
      </c>
      <c r="E500" s="1" t="s">
        <v>384</v>
      </c>
      <c r="F500" s="1" t="s">
        <v>363</v>
      </c>
      <c r="G500" s="1">
        <v>73.0</v>
      </c>
      <c r="H500" s="1" t="s">
        <v>1357</v>
      </c>
      <c r="I500" s="1" t="s">
        <v>1587</v>
      </c>
      <c r="J500" s="1" t="s">
        <v>582</v>
      </c>
      <c r="K500" s="1" t="s">
        <v>179</v>
      </c>
      <c r="L500" s="1" t="s">
        <v>1155</v>
      </c>
      <c r="M500" s="1">
        <v>71.0</v>
      </c>
      <c r="N500" s="1" t="s">
        <v>957</v>
      </c>
      <c r="O500" s="1" t="s">
        <v>88</v>
      </c>
      <c r="P500" s="1" t="s">
        <v>857</v>
      </c>
      <c r="Q500" s="1" t="s">
        <v>78</v>
      </c>
      <c r="R500" s="1" t="s">
        <v>548</v>
      </c>
      <c r="S500" s="1" t="s">
        <v>1906</v>
      </c>
      <c r="T500" s="1" t="s">
        <v>2039</v>
      </c>
      <c r="U500" s="1" t="s">
        <v>1753</v>
      </c>
      <c r="V500" s="1" t="s">
        <v>766</v>
      </c>
      <c r="W500" s="1" t="s">
        <v>761</v>
      </c>
      <c r="X500" s="1" t="s">
        <v>890</v>
      </c>
      <c r="Y500" s="1" t="s">
        <v>857</v>
      </c>
      <c r="Z500" s="1">
        <v>1.0</v>
      </c>
    </row>
    <row r="501">
      <c r="A501" s="1" t="s">
        <v>2040</v>
      </c>
      <c r="B501" s="1" t="s">
        <v>1522</v>
      </c>
      <c r="C501" s="1" t="s">
        <v>192</v>
      </c>
      <c r="D501" s="1">
        <v>250.0</v>
      </c>
      <c r="E501" s="1">
        <v>71.0</v>
      </c>
      <c r="F501" s="1">
        <v>54.0</v>
      </c>
      <c r="G501" s="1">
        <v>74.0</v>
      </c>
      <c r="H501" s="1">
        <v>51.0</v>
      </c>
      <c r="I501" s="1">
        <v>60.0</v>
      </c>
      <c r="J501" s="1">
        <v>77.0</v>
      </c>
      <c r="K501" s="1">
        <v>87.0</v>
      </c>
      <c r="L501" s="1">
        <v>66.0</v>
      </c>
      <c r="M501" s="1">
        <v>35.0</v>
      </c>
      <c r="N501" s="1">
        <v>59.0</v>
      </c>
      <c r="O501" s="1">
        <v>64.0</v>
      </c>
      <c r="P501" s="1">
        <v>82.0</v>
      </c>
      <c r="Q501" s="1">
        <v>89.0</v>
      </c>
      <c r="R501" s="1">
        <v>79.0</v>
      </c>
      <c r="S501" s="1">
        <v>74.0</v>
      </c>
      <c r="T501" s="1">
        <v>66.0</v>
      </c>
      <c r="U501" s="1">
        <v>87.0</v>
      </c>
      <c r="V501" s="1">
        <v>89.0</v>
      </c>
      <c r="W501" s="1">
        <v>80.0</v>
      </c>
      <c r="X501" s="1">
        <v>95.0</v>
      </c>
      <c r="Y501" s="1">
        <v>88.0</v>
      </c>
      <c r="Z501" s="1">
        <v>1.0</v>
      </c>
    </row>
    <row r="502">
      <c r="A502" s="1" t="s">
        <v>2041</v>
      </c>
      <c r="B502" s="1" t="s">
        <v>1522</v>
      </c>
      <c r="C502" s="1" t="s">
        <v>1534</v>
      </c>
      <c r="D502" s="1">
        <v>218.0</v>
      </c>
      <c r="E502" s="1">
        <v>70.0</v>
      </c>
      <c r="F502" s="1">
        <v>72.0</v>
      </c>
      <c r="G502" s="1">
        <v>89.0</v>
      </c>
      <c r="H502" s="1">
        <v>54.0</v>
      </c>
      <c r="I502" s="1">
        <v>47.0</v>
      </c>
      <c r="J502" s="1">
        <v>75.0</v>
      </c>
      <c r="K502" s="1">
        <v>84.0</v>
      </c>
      <c r="L502" s="1">
        <v>75.0</v>
      </c>
      <c r="M502" s="1">
        <v>75.0</v>
      </c>
      <c r="N502" s="1">
        <v>75.0</v>
      </c>
      <c r="O502" s="1">
        <v>72.0</v>
      </c>
      <c r="P502" s="1">
        <v>80.0</v>
      </c>
      <c r="Q502" s="1">
        <v>88.0</v>
      </c>
      <c r="R502" s="1">
        <v>58.0</v>
      </c>
      <c r="S502" s="1">
        <v>88.0</v>
      </c>
      <c r="T502" s="1">
        <v>80.0</v>
      </c>
      <c r="U502" s="1">
        <v>85.0</v>
      </c>
      <c r="V502" s="1">
        <v>83.0</v>
      </c>
      <c r="W502" s="1">
        <v>80.0</v>
      </c>
      <c r="X502" s="1">
        <v>65.0</v>
      </c>
      <c r="Y502" s="1">
        <v>85.0</v>
      </c>
      <c r="Z502" s="1">
        <v>1.0</v>
      </c>
    </row>
    <row r="503">
      <c r="A503" s="1" t="s">
        <v>1500</v>
      </c>
      <c r="B503" s="1" t="s">
        <v>1522</v>
      </c>
      <c r="C503" s="1" t="s">
        <v>1534</v>
      </c>
      <c r="D503" s="1">
        <v>188.0</v>
      </c>
      <c r="E503" s="1">
        <v>78.0</v>
      </c>
      <c r="F503" s="1">
        <v>88.0</v>
      </c>
      <c r="G503" s="1">
        <v>89.0</v>
      </c>
      <c r="H503" s="1">
        <v>90.0</v>
      </c>
      <c r="I503" s="1">
        <v>70.0</v>
      </c>
      <c r="J503" s="1">
        <v>83.0</v>
      </c>
      <c r="K503" s="1">
        <v>53.0</v>
      </c>
      <c r="L503" s="1">
        <v>87.0</v>
      </c>
      <c r="M503" s="1">
        <v>71.0</v>
      </c>
      <c r="N503" s="1">
        <v>80.0</v>
      </c>
      <c r="O503" s="1">
        <v>75.0</v>
      </c>
      <c r="P503" s="1">
        <v>60.0</v>
      </c>
      <c r="Q503" s="1">
        <v>82.0</v>
      </c>
      <c r="R503" s="1">
        <v>60.0</v>
      </c>
      <c r="S503" s="1">
        <v>74.0</v>
      </c>
      <c r="T503" s="1">
        <v>84.0</v>
      </c>
      <c r="U503" s="1">
        <v>80.0</v>
      </c>
      <c r="V503" s="1">
        <v>85.0</v>
      </c>
      <c r="W503" s="1">
        <v>80.0</v>
      </c>
      <c r="X503" s="1">
        <v>67.0</v>
      </c>
      <c r="Y503" s="1">
        <v>78.0</v>
      </c>
      <c r="Z503" s="1">
        <v>1.0</v>
      </c>
    </row>
    <row r="504">
      <c r="A504" s="1" t="s">
        <v>2042</v>
      </c>
      <c r="B504" s="1" t="s">
        <v>1522</v>
      </c>
      <c r="C504" s="1" t="s">
        <v>970</v>
      </c>
      <c r="D504" s="1">
        <v>221.0</v>
      </c>
      <c r="E504" s="1">
        <v>67.0</v>
      </c>
      <c r="F504" s="1">
        <v>71.0</v>
      </c>
      <c r="G504" s="1">
        <v>87.0</v>
      </c>
      <c r="H504" s="1">
        <v>47.0</v>
      </c>
      <c r="I504" s="1">
        <v>51.0</v>
      </c>
      <c r="J504" s="1">
        <v>71.0</v>
      </c>
      <c r="K504" s="1">
        <v>81.0</v>
      </c>
      <c r="L504" s="1">
        <v>69.0</v>
      </c>
      <c r="M504" s="1">
        <v>76.0</v>
      </c>
      <c r="N504" s="1">
        <v>86.0</v>
      </c>
      <c r="O504" s="1">
        <v>78.0</v>
      </c>
      <c r="P504" s="1">
        <v>68.0</v>
      </c>
      <c r="Q504" s="1">
        <v>85.0</v>
      </c>
      <c r="R504" s="1">
        <v>85.0</v>
      </c>
      <c r="S504" s="1">
        <v>78.0</v>
      </c>
      <c r="T504" s="1">
        <v>60.0</v>
      </c>
      <c r="U504" s="1">
        <v>85.0</v>
      </c>
      <c r="V504" s="1">
        <v>86.0</v>
      </c>
      <c r="W504" s="1">
        <v>71.0</v>
      </c>
      <c r="X504" s="1">
        <v>83.0</v>
      </c>
      <c r="Y504" s="1">
        <v>75.0</v>
      </c>
      <c r="Z504" s="1">
        <v>1.0</v>
      </c>
    </row>
    <row r="505">
      <c r="A505" s="1" t="s">
        <v>2043</v>
      </c>
      <c r="B505" s="1" t="s">
        <v>1522</v>
      </c>
      <c r="C505" s="1" t="s">
        <v>1579</v>
      </c>
      <c r="D505" s="1">
        <v>225.0</v>
      </c>
      <c r="E505" s="1">
        <v>80.0</v>
      </c>
      <c r="F505" s="1">
        <v>90.0</v>
      </c>
      <c r="G505" s="1">
        <v>92.0</v>
      </c>
      <c r="H505" s="1">
        <v>89.0</v>
      </c>
      <c r="I505" s="1">
        <v>64.0</v>
      </c>
      <c r="J505" s="1">
        <v>41.0</v>
      </c>
      <c r="K505" s="1">
        <v>51.0</v>
      </c>
      <c r="L505" s="1">
        <v>61.0</v>
      </c>
      <c r="M505" s="1">
        <v>76.0</v>
      </c>
      <c r="N505" s="1">
        <v>75.0</v>
      </c>
      <c r="O505" s="1">
        <v>69.0</v>
      </c>
      <c r="P505" s="1">
        <v>63.0</v>
      </c>
      <c r="Q505" s="1">
        <v>82.0</v>
      </c>
      <c r="R505" s="1">
        <v>61.0</v>
      </c>
      <c r="S505" s="1">
        <v>74.0</v>
      </c>
      <c r="T505" s="1">
        <v>90.0</v>
      </c>
      <c r="U505" s="1">
        <v>80.0</v>
      </c>
      <c r="V505" s="1">
        <v>78.0</v>
      </c>
      <c r="W505" s="1">
        <v>73.0</v>
      </c>
      <c r="X505" s="1">
        <v>83.0</v>
      </c>
      <c r="Y505" s="1">
        <v>85.0</v>
      </c>
      <c r="Z505" s="1">
        <v>1.0</v>
      </c>
    </row>
    <row r="506">
      <c r="A506" s="1" t="s">
        <v>2044</v>
      </c>
      <c r="B506" s="1" t="s">
        <v>1522</v>
      </c>
      <c r="C506" s="1" t="s">
        <v>1534</v>
      </c>
      <c r="D506" s="1">
        <v>220.0</v>
      </c>
      <c r="E506" s="1">
        <v>75.0</v>
      </c>
      <c r="F506" s="1">
        <v>60.0</v>
      </c>
      <c r="G506" s="1">
        <v>65.0</v>
      </c>
      <c r="H506" s="1">
        <v>50.0</v>
      </c>
      <c r="I506" s="1">
        <v>55.0</v>
      </c>
      <c r="J506" s="1">
        <v>70.0</v>
      </c>
      <c r="K506" s="1">
        <v>76.0</v>
      </c>
      <c r="L506" s="1">
        <v>70.0</v>
      </c>
      <c r="M506" s="1">
        <v>70.0</v>
      </c>
      <c r="N506" s="1">
        <v>48.0</v>
      </c>
      <c r="O506" s="1">
        <v>53.0</v>
      </c>
      <c r="P506" s="1">
        <v>88.0</v>
      </c>
      <c r="Q506" s="1">
        <v>80.0</v>
      </c>
      <c r="R506" s="1">
        <v>70.0</v>
      </c>
      <c r="S506" s="1">
        <v>90.0</v>
      </c>
      <c r="T506" s="1">
        <v>85.0</v>
      </c>
      <c r="U506" s="1">
        <v>90.0</v>
      </c>
      <c r="V506" s="1">
        <v>83.0</v>
      </c>
      <c r="W506" s="1">
        <v>80.0</v>
      </c>
      <c r="X506" s="1">
        <v>85.0</v>
      </c>
      <c r="Y506" s="1">
        <v>85.0</v>
      </c>
      <c r="Z506" s="1">
        <v>1.0</v>
      </c>
    </row>
    <row r="507">
      <c r="A507" s="1" t="s">
        <v>2045</v>
      </c>
      <c r="B507" s="1" t="s">
        <v>1522</v>
      </c>
      <c r="C507" s="1" t="s">
        <v>970</v>
      </c>
      <c r="D507" s="1">
        <v>240.0</v>
      </c>
      <c r="E507" s="1">
        <v>86.0</v>
      </c>
      <c r="F507" s="1">
        <v>85.0</v>
      </c>
      <c r="G507" s="1">
        <v>75.0</v>
      </c>
      <c r="H507" s="1">
        <v>40.0</v>
      </c>
      <c r="I507" s="1">
        <v>90.0</v>
      </c>
      <c r="J507" s="1">
        <v>94.0</v>
      </c>
      <c r="K507" s="1">
        <v>83.0</v>
      </c>
      <c r="L507" s="1">
        <v>77.0</v>
      </c>
      <c r="M507" s="1">
        <v>65.0</v>
      </c>
      <c r="N507" s="1">
        <v>80.0</v>
      </c>
      <c r="O507" s="1">
        <v>75.0</v>
      </c>
      <c r="P507" s="1">
        <v>70.0</v>
      </c>
      <c r="Q507" s="1">
        <v>74.0</v>
      </c>
      <c r="R507" s="1">
        <v>60.0</v>
      </c>
      <c r="S507" s="1">
        <v>41.0</v>
      </c>
      <c r="T507" s="1">
        <v>60.0</v>
      </c>
      <c r="U507" s="1">
        <v>80.0</v>
      </c>
      <c r="V507" s="1">
        <v>80.0</v>
      </c>
      <c r="W507" s="1">
        <v>75.0</v>
      </c>
      <c r="X507" s="1">
        <v>82.0</v>
      </c>
      <c r="Y507" s="1">
        <v>65.0</v>
      </c>
      <c r="Z507" s="1">
        <v>1.0</v>
      </c>
    </row>
    <row r="508">
      <c r="A508" s="1" t="s">
        <v>2046</v>
      </c>
      <c r="B508" s="1" t="s">
        <v>1522</v>
      </c>
      <c r="C508" s="1" t="s">
        <v>1612</v>
      </c>
      <c r="D508" s="1" t="s">
        <v>2047</v>
      </c>
      <c r="E508" s="1" t="s">
        <v>1054</v>
      </c>
      <c r="F508" s="1" t="s">
        <v>825</v>
      </c>
      <c r="G508" s="1" t="s">
        <v>2048</v>
      </c>
      <c r="H508" s="1" t="s">
        <v>1646</v>
      </c>
      <c r="I508" s="1" t="s">
        <v>1937</v>
      </c>
      <c r="J508" s="1" t="s">
        <v>208</v>
      </c>
      <c r="K508" s="1" t="s">
        <v>113</v>
      </c>
      <c r="L508" s="1" t="s">
        <v>1925</v>
      </c>
      <c r="M508" s="1" t="s">
        <v>1116</v>
      </c>
      <c r="N508" s="1" t="s">
        <v>134</v>
      </c>
      <c r="O508" s="1" t="s">
        <v>1894</v>
      </c>
      <c r="P508" s="1" t="s">
        <v>279</v>
      </c>
      <c r="Q508" s="1" t="s">
        <v>763</v>
      </c>
      <c r="R508" s="1" t="s">
        <v>2049</v>
      </c>
      <c r="S508" s="1" t="s">
        <v>2050</v>
      </c>
      <c r="T508" s="1" t="s">
        <v>332</v>
      </c>
      <c r="U508" s="1">
        <v>85.0</v>
      </c>
      <c r="V508" s="1" t="s">
        <v>593</v>
      </c>
      <c r="W508" s="1" t="s">
        <v>300</v>
      </c>
      <c r="X508" s="1" t="s">
        <v>300</v>
      </c>
      <c r="Y508" s="1" t="s">
        <v>190</v>
      </c>
      <c r="Z508" s="1">
        <v>1.0</v>
      </c>
    </row>
    <row r="509">
      <c r="A509" s="1" t="s">
        <v>2051</v>
      </c>
      <c r="B509" s="1" t="s">
        <v>1522</v>
      </c>
      <c r="C509" s="1" t="s">
        <v>1579</v>
      </c>
      <c r="D509" s="1">
        <v>214.0</v>
      </c>
      <c r="E509" s="1">
        <v>80.0</v>
      </c>
      <c r="F509" s="1">
        <v>85.0</v>
      </c>
      <c r="G509" s="1">
        <v>89.0</v>
      </c>
      <c r="H509" s="1">
        <v>60.0</v>
      </c>
      <c r="I509" s="1">
        <v>58.0</v>
      </c>
      <c r="J509" s="1">
        <v>89.0</v>
      </c>
      <c r="K509" s="1">
        <v>83.0</v>
      </c>
      <c r="L509" s="1">
        <v>70.0</v>
      </c>
      <c r="M509" s="1">
        <v>71.0</v>
      </c>
      <c r="N509" s="1">
        <v>75.0</v>
      </c>
      <c r="O509" s="1">
        <v>68.0</v>
      </c>
      <c r="P509" s="1">
        <v>74.0</v>
      </c>
      <c r="Q509" s="1">
        <v>83.0</v>
      </c>
      <c r="R509" s="1">
        <v>73.0</v>
      </c>
      <c r="S509" s="1">
        <v>78.0</v>
      </c>
      <c r="T509" s="1">
        <v>80.0</v>
      </c>
      <c r="U509" s="1">
        <v>75.0</v>
      </c>
      <c r="V509" s="1">
        <v>80.0</v>
      </c>
      <c r="W509" s="1">
        <v>75.0</v>
      </c>
      <c r="X509" s="1">
        <v>82.0</v>
      </c>
      <c r="Y509" s="1">
        <v>77.0</v>
      </c>
      <c r="Z509" s="1">
        <v>1.0</v>
      </c>
    </row>
    <row r="510">
      <c r="A510" s="1" t="s">
        <v>2052</v>
      </c>
      <c r="B510" s="1" t="s">
        <v>1522</v>
      </c>
      <c r="C510" s="1" t="s">
        <v>1579</v>
      </c>
      <c r="D510" s="1">
        <v>225.0</v>
      </c>
      <c r="E510" s="1">
        <v>84.0</v>
      </c>
      <c r="F510" s="1">
        <v>90.0</v>
      </c>
      <c r="G510" s="1">
        <v>94.0</v>
      </c>
      <c r="H510" s="1">
        <v>71.0</v>
      </c>
      <c r="I510" s="1">
        <v>60.0</v>
      </c>
      <c r="J510" s="1">
        <v>80.0</v>
      </c>
      <c r="K510" s="1">
        <v>80.0</v>
      </c>
      <c r="L510" s="1">
        <v>77.0</v>
      </c>
      <c r="M510" s="1">
        <v>56.0</v>
      </c>
      <c r="N510" s="1">
        <v>78.0</v>
      </c>
      <c r="O510" s="1">
        <v>69.0</v>
      </c>
      <c r="P510" s="1">
        <v>66.0</v>
      </c>
      <c r="Q510" s="1">
        <v>82.0</v>
      </c>
      <c r="R510" s="1">
        <v>53.0</v>
      </c>
      <c r="S510" s="1">
        <v>86.0</v>
      </c>
      <c r="T510" s="1">
        <v>61.0</v>
      </c>
      <c r="U510" s="1">
        <v>83.0</v>
      </c>
      <c r="V510" s="1">
        <v>78.0</v>
      </c>
      <c r="W510" s="1">
        <v>73.0</v>
      </c>
      <c r="X510" s="1">
        <v>69.0</v>
      </c>
      <c r="Y510" s="1">
        <v>90.0</v>
      </c>
      <c r="Z510" s="1">
        <v>1.0</v>
      </c>
    </row>
    <row r="511">
      <c r="A511" s="1" t="s">
        <v>2053</v>
      </c>
      <c r="B511" s="1" t="s">
        <v>1522</v>
      </c>
      <c r="C511" s="1" t="s">
        <v>1530</v>
      </c>
      <c r="D511" s="1" t="s">
        <v>2054</v>
      </c>
      <c r="E511" s="1" t="s">
        <v>716</v>
      </c>
      <c r="F511" s="1" t="s">
        <v>675</v>
      </c>
      <c r="G511" s="1" t="s">
        <v>201</v>
      </c>
      <c r="H511" s="1" t="s">
        <v>1737</v>
      </c>
      <c r="I511" s="1" t="s">
        <v>1127</v>
      </c>
      <c r="J511" s="1" t="s">
        <v>2055</v>
      </c>
      <c r="K511" s="1" t="s">
        <v>724</v>
      </c>
      <c r="L511" s="1" t="s">
        <v>1196</v>
      </c>
      <c r="M511" s="1" t="s">
        <v>212</v>
      </c>
      <c r="N511" s="1" t="s">
        <v>209</v>
      </c>
      <c r="O511" s="1" t="s">
        <v>556</v>
      </c>
      <c r="P511" s="1" t="s">
        <v>394</v>
      </c>
      <c r="Q511" s="1" t="s">
        <v>132</v>
      </c>
      <c r="R511" s="1" t="s">
        <v>1194</v>
      </c>
      <c r="S511" s="1">
        <v>84.0</v>
      </c>
      <c r="T511" s="1" t="s">
        <v>1347</v>
      </c>
      <c r="U511" s="1" t="s">
        <v>731</v>
      </c>
      <c r="V511" s="1" t="s">
        <v>457</v>
      </c>
      <c r="W511" s="1" t="s">
        <v>2056</v>
      </c>
      <c r="X511" s="1" t="s">
        <v>1477</v>
      </c>
      <c r="Y511" s="1" t="s">
        <v>190</v>
      </c>
      <c r="Z511" s="1">
        <v>1.0</v>
      </c>
    </row>
    <row r="512">
      <c r="A512" s="1" t="s">
        <v>2057</v>
      </c>
      <c r="B512" s="1" t="s">
        <v>1522</v>
      </c>
      <c r="C512" s="1" t="s">
        <v>970</v>
      </c>
      <c r="D512" s="1">
        <v>225.0</v>
      </c>
      <c r="E512" s="1">
        <v>82.0</v>
      </c>
      <c r="F512" s="1">
        <v>71.0</v>
      </c>
      <c r="G512" s="1">
        <v>84.0</v>
      </c>
      <c r="H512" s="1">
        <v>50.0</v>
      </c>
      <c r="I512" s="1">
        <v>65.0</v>
      </c>
      <c r="J512" s="1">
        <v>96.0</v>
      </c>
      <c r="K512" s="1">
        <v>83.0</v>
      </c>
      <c r="L512" s="1">
        <v>72.0</v>
      </c>
      <c r="M512" s="1">
        <v>71.0</v>
      </c>
      <c r="N512" s="1">
        <v>86.0</v>
      </c>
      <c r="O512" s="1">
        <v>77.0</v>
      </c>
      <c r="P512" s="1">
        <v>53.0</v>
      </c>
      <c r="Q512" s="1">
        <v>83.0</v>
      </c>
      <c r="R512" s="1">
        <v>53.0</v>
      </c>
      <c r="S512" s="1">
        <v>73.0</v>
      </c>
      <c r="T512" s="1">
        <v>37.0</v>
      </c>
      <c r="U512" s="1">
        <v>61.0</v>
      </c>
      <c r="V512" s="1">
        <v>86.0</v>
      </c>
      <c r="W512" s="1">
        <v>77.0</v>
      </c>
      <c r="X512" s="1">
        <v>62.0</v>
      </c>
      <c r="Y512" s="1">
        <v>85.0</v>
      </c>
      <c r="Z512" s="1">
        <v>1.0</v>
      </c>
    </row>
    <row r="513">
      <c r="A513" s="1" t="s">
        <v>2058</v>
      </c>
      <c r="B513" s="1" t="s">
        <v>1522</v>
      </c>
      <c r="C513" s="1" t="s">
        <v>970</v>
      </c>
      <c r="D513" s="1">
        <v>233.0</v>
      </c>
      <c r="E513" s="1">
        <v>72.0</v>
      </c>
      <c r="F513" s="1">
        <v>69.0</v>
      </c>
      <c r="G513" s="1">
        <v>79.0</v>
      </c>
      <c r="H513" s="1">
        <v>65.0</v>
      </c>
      <c r="I513" s="1">
        <v>56.0</v>
      </c>
      <c r="J513" s="1">
        <v>80.0</v>
      </c>
      <c r="K513" s="1">
        <v>80.0</v>
      </c>
      <c r="L513" s="1">
        <v>68.0</v>
      </c>
      <c r="M513" s="1">
        <v>85.0</v>
      </c>
      <c r="N513" s="1">
        <v>78.0</v>
      </c>
      <c r="O513" s="1">
        <v>77.0</v>
      </c>
      <c r="P513" s="1">
        <v>80.0</v>
      </c>
      <c r="Q513" s="1">
        <v>92.0</v>
      </c>
      <c r="R513" s="1">
        <v>92.0</v>
      </c>
      <c r="S513" s="1">
        <v>78.0</v>
      </c>
      <c r="T513" s="1">
        <v>70.0</v>
      </c>
      <c r="U513" s="1">
        <v>62.0</v>
      </c>
      <c r="V513" s="1">
        <v>78.0</v>
      </c>
      <c r="W513" s="1">
        <v>76.0</v>
      </c>
      <c r="X513" s="1">
        <v>70.0</v>
      </c>
      <c r="Y513" s="1">
        <v>59.0</v>
      </c>
      <c r="Z513" s="1">
        <v>1.0</v>
      </c>
    </row>
    <row r="514">
      <c r="A514" s="1" t="s">
        <v>2059</v>
      </c>
      <c r="B514" s="1" t="s">
        <v>1522</v>
      </c>
      <c r="C514" s="1" t="s">
        <v>1534</v>
      </c>
      <c r="D514" s="1">
        <v>247.0</v>
      </c>
      <c r="E514" s="1">
        <v>78.0</v>
      </c>
      <c r="F514" s="1">
        <v>55.0</v>
      </c>
      <c r="G514" s="1">
        <v>75.0</v>
      </c>
      <c r="H514" s="1">
        <v>90.0</v>
      </c>
      <c r="I514" s="1">
        <v>67.0</v>
      </c>
      <c r="J514" s="1">
        <v>38.0</v>
      </c>
      <c r="K514" s="1">
        <v>25.0</v>
      </c>
      <c r="L514" s="1">
        <v>38.0</v>
      </c>
      <c r="M514" s="1">
        <v>84.0</v>
      </c>
      <c r="N514" s="1">
        <v>54.0</v>
      </c>
      <c r="O514" s="1">
        <v>50.0</v>
      </c>
      <c r="P514" s="1">
        <v>77.0</v>
      </c>
      <c r="Q514" s="1">
        <v>85.0</v>
      </c>
      <c r="R514" s="1">
        <v>85.0</v>
      </c>
      <c r="S514" s="1">
        <v>88.0</v>
      </c>
      <c r="T514" s="1">
        <v>93.0</v>
      </c>
      <c r="U514" s="1">
        <v>89.0</v>
      </c>
      <c r="V514" s="1">
        <v>80.0</v>
      </c>
      <c r="W514" s="1">
        <v>76.0</v>
      </c>
      <c r="X514" s="1">
        <v>90.0</v>
      </c>
      <c r="Y514" s="1">
        <v>88.0</v>
      </c>
      <c r="Z514" s="1">
        <v>1.0</v>
      </c>
    </row>
    <row r="515">
      <c r="A515" s="1" t="s">
        <v>2060</v>
      </c>
      <c r="B515" s="1" t="s">
        <v>1522</v>
      </c>
      <c r="C515" s="1" t="s">
        <v>970</v>
      </c>
      <c r="D515" s="1">
        <v>232.0</v>
      </c>
      <c r="E515" s="1">
        <v>70.0</v>
      </c>
      <c r="F515" s="1">
        <v>71.0</v>
      </c>
      <c r="G515" s="1">
        <v>74.0</v>
      </c>
      <c r="H515" s="1">
        <v>84.0</v>
      </c>
      <c r="I515" s="1">
        <v>68.0</v>
      </c>
      <c r="J515" s="1">
        <v>55.0</v>
      </c>
      <c r="K515" s="1">
        <v>62.0</v>
      </c>
      <c r="L515" s="1">
        <v>38.0</v>
      </c>
      <c r="M515" s="1">
        <v>61.0</v>
      </c>
      <c r="N515" s="1">
        <v>86.0</v>
      </c>
      <c r="O515" s="1">
        <v>75.0</v>
      </c>
      <c r="P515" s="1">
        <v>74.0</v>
      </c>
      <c r="Q515" s="1">
        <v>90.0</v>
      </c>
      <c r="R515" s="1">
        <v>73.0</v>
      </c>
      <c r="S515" s="1">
        <v>88.0</v>
      </c>
      <c r="T515" s="1">
        <v>70.0</v>
      </c>
      <c r="U515" s="1">
        <v>85.0</v>
      </c>
      <c r="V515" s="1">
        <v>85.0</v>
      </c>
      <c r="W515" s="1">
        <v>80.0</v>
      </c>
      <c r="X515" s="1">
        <v>91.0</v>
      </c>
      <c r="Y515" s="1">
        <v>80.0</v>
      </c>
      <c r="Z515" s="1">
        <v>1.0</v>
      </c>
    </row>
    <row r="516">
      <c r="A516" s="1" t="s">
        <v>2061</v>
      </c>
      <c r="B516" s="1" t="s">
        <v>1522</v>
      </c>
      <c r="C516" s="1" t="s">
        <v>192</v>
      </c>
      <c r="D516" s="1">
        <v>242.0</v>
      </c>
      <c r="E516" s="1">
        <v>68.0</v>
      </c>
      <c r="F516" s="1">
        <v>70.0</v>
      </c>
      <c r="G516" s="1">
        <v>88.0</v>
      </c>
      <c r="H516" s="1">
        <v>72.0</v>
      </c>
      <c r="I516" s="1">
        <v>58.0</v>
      </c>
      <c r="J516" s="1">
        <v>82.0</v>
      </c>
      <c r="K516" s="1">
        <v>78.0</v>
      </c>
      <c r="L516" s="1">
        <v>57.0</v>
      </c>
      <c r="M516" s="1">
        <v>74.0</v>
      </c>
      <c r="N516" s="1">
        <v>80.0</v>
      </c>
      <c r="O516" s="1">
        <v>80.0</v>
      </c>
      <c r="P516" s="1">
        <v>74.0</v>
      </c>
      <c r="Q516" s="1">
        <v>73.0</v>
      </c>
      <c r="R516" s="1">
        <v>74.0</v>
      </c>
      <c r="S516" s="1">
        <v>78.0</v>
      </c>
      <c r="T516" s="1">
        <v>33.0</v>
      </c>
      <c r="U516" s="1">
        <v>55.0</v>
      </c>
      <c r="V516" s="1">
        <v>89.0</v>
      </c>
      <c r="W516" s="1">
        <v>81.0</v>
      </c>
      <c r="X516" s="1">
        <v>93.0</v>
      </c>
      <c r="Y516" s="1">
        <v>80.0</v>
      </c>
      <c r="Z516" s="1">
        <v>1.0</v>
      </c>
    </row>
    <row r="517">
      <c r="A517" s="1" t="s">
        <v>770</v>
      </c>
      <c r="B517" s="1" t="s">
        <v>1522</v>
      </c>
      <c r="C517" s="1" t="s">
        <v>1534</v>
      </c>
      <c r="D517" s="1">
        <v>218.0</v>
      </c>
      <c r="E517" s="1">
        <v>79.0</v>
      </c>
      <c r="F517" s="1">
        <v>75.0</v>
      </c>
      <c r="G517" s="1">
        <v>94.0</v>
      </c>
      <c r="H517" s="1">
        <v>59.0</v>
      </c>
      <c r="I517" s="1">
        <v>49.0</v>
      </c>
      <c r="J517" s="1">
        <v>89.0</v>
      </c>
      <c r="K517" s="1">
        <v>80.0</v>
      </c>
      <c r="L517" s="1">
        <v>73.0</v>
      </c>
      <c r="M517" s="1">
        <v>71.0</v>
      </c>
      <c r="N517" s="1">
        <v>79.0</v>
      </c>
      <c r="O517" s="1">
        <v>70.0</v>
      </c>
      <c r="P517" s="1">
        <v>74.0</v>
      </c>
      <c r="Q517" s="1">
        <v>82.0</v>
      </c>
      <c r="R517" s="1">
        <v>73.0</v>
      </c>
      <c r="S517" s="1">
        <v>52.0</v>
      </c>
      <c r="T517" s="1">
        <v>75.0</v>
      </c>
      <c r="U517" s="1">
        <v>75.0</v>
      </c>
      <c r="V517" s="1">
        <v>80.0</v>
      </c>
      <c r="W517" s="1">
        <v>80.0</v>
      </c>
      <c r="X517" s="1">
        <v>84.0</v>
      </c>
      <c r="Y517" s="1">
        <v>82.0</v>
      </c>
      <c r="Z517" s="1">
        <v>1.0</v>
      </c>
    </row>
    <row r="518">
      <c r="A518" s="1" t="s">
        <v>725</v>
      </c>
      <c r="B518" s="1" t="s">
        <v>1522</v>
      </c>
      <c r="C518" s="1" t="s">
        <v>876</v>
      </c>
      <c r="D518" s="1" t="s">
        <v>2062</v>
      </c>
      <c r="E518" s="1" t="s">
        <v>271</v>
      </c>
      <c r="F518" s="1" t="s">
        <v>201</v>
      </c>
      <c r="G518" s="1" t="s">
        <v>429</v>
      </c>
      <c r="H518" s="1" t="s">
        <v>2063</v>
      </c>
      <c r="I518" s="1" t="s">
        <v>1090</v>
      </c>
      <c r="J518" s="1" t="s">
        <v>553</v>
      </c>
      <c r="K518" s="1">
        <v>80.0</v>
      </c>
      <c r="L518" s="1" t="s">
        <v>127</v>
      </c>
      <c r="M518" s="1" t="s">
        <v>31</v>
      </c>
      <c r="N518" s="1" t="s">
        <v>266</v>
      </c>
      <c r="O518" s="1">
        <v>77.0</v>
      </c>
      <c r="P518" s="1">
        <v>60.0</v>
      </c>
      <c r="Q518" s="1" t="s">
        <v>156</v>
      </c>
      <c r="R518" s="1" t="s">
        <v>1077</v>
      </c>
      <c r="S518" s="1" t="s">
        <v>2064</v>
      </c>
      <c r="T518" s="1" t="s">
        <v>2065</v>
      </c>
      <c r="U518" s="1" t="s">
        <v>1386</v>
      </c>
      <c r="V518" s="1" t="s">
        <v>1080</v>
      </c>
      <c r="W518" s="1" t="s">
        <v>619</v>
      </c>
      <c r="X518" s="1" t="s">
        <v>906</v>
      </c>
      <c r="Y518" s="1" t="s">
        <v>1213</v>
      </c>
      <c r="Z518" s="1">
        <v>1.0</v>
      </c>
    </row>
    <row r="519">
      <c r="A519" s="1" t="s">
        <v>738</v>
      </c>
      <c r="B519" s="1" t="s">
        <v>1522</v>
      </c>
      <c r="C519" s="1" t="s">
        <v>970</v>
      </c>
      <c r="D519" s="1">
        <v>185.0</v>
      </c>
      <c r="E519" s="1">
        <v>80.0</v>
      </c>
      <c r="F519" s="1">
        <v>80.0</v>
      </c>
      <c r="G519" s="1">
        <v>91.0</v>
      </c>
      <c r="H519" s="1">
        <v>61.0</v>
      </c>
      <c r="I519" s="1">
        <v>55.0</v>
      </c>
      <c r="J519" s="1">
        <v>85.0</v>
      </c>
      <c r="K519" s="1">
        <v>90.0</v>
      </c>
      <c r="L519" s="1">
        <v>83.0</v>
      </c>
      <c r="M519" s="1">
        <v>93.0</v>
      </c>
      <c r="N519" s="1">
        <v>85.0</v>
      </c>
      <c r="O519" s="1">
        <v>80.0</v>
      </c>
      <c r="P519" s="1">
        <v>50.0</v>
      </c>
      <c r="Q519" s="1">
        <v>80.0</v>
      </c>
      <c r="R519" s="1">
        <v>55.0</v>
      </c>
      <c r="S519" s="1">
        <v>40.0</v>
      </c>
      <c r="T519" s="1">
        <v>50.0</v>
      </c>
      <c r="U519" s="1">
        <v>75.0</v>
      </c>
      <c r="V519" s="1">
        <v>80.0</v>
      </c>
      <c r="W519" s="1">
        <v>73.0</v>
      </c>
      <c r="X519" s="1">
        <v>61.0</v>
      </c>
      <c r="Y519" s="1">
        <v>75.0</v>
      </c>
      <c r="Z519" s="1">
        <v>1.0</v>
      </c>
    </row>
    <row r="520">
      <c r="A520" s="1" t="s">
        <v>2066</v>
      </c>
      <c r="B520" s="1" t="s">
        <v>1522</v>
      </c>
      <c r="C520" s="1" t="s">
        <v>1534</v>
      </c>
      <c r="D520" s="1">
        <v>198.0</v>
      </c>
      <c r="E520" s="1">
        <v>70.0</v>
      </c>
      <c r="F520" s="1">
        <v>60.0</v>
      </c>
      <c r="G520" s="1">
        <v>75.0</v>
      </c>
      <c r="H520" s="1">
        <v>50.0</v>
      </c>
      <c r="I520" s="1">
        <v>40.0</v>
      </c>
      <c r="J520" s="1">
        <v>80.0</v>
      </c>
      <c r="K520" s="1">
        <v>76.0</v>
      </c>
      <c r="L520" s="1">
        <v>89.0</v>
      </c>
      <c r="M520" s="1">
        <v>55.0</v>
      </c>
      <c r="N520" s="1">
        <v>70.0</v>
      </c>
      <c r="O520" s="1">
        <v>69.0</v>
      </c>
      <c r="P520" s="1">
        <v>88.0</v>
      </c>
      <c r="Q520" s="1">
        <v>85.0</v>
      </c>
      <c r="R520" s="1">
        <v>79.0</v>
      </c>
      <c r="S520" s="1">
        <v>94.0</v>
      </c>
      <c r="T520" s="1">
        <v>70.0</v>
      </c>
      <c r="U520" s="1">
        <v>80.0</v>
      </c>
      <c r="V520" s="1">
        <v>82.0</v>
      </c>
      <c r="W520" s="1">
        <v>84.0</v>
      </c>
      <c r="X520" s="1">
        <v>72.0</v>
      </c>
      <c r="Y520" s="1">
        <v>85.0</v>
      </c>
      <c r="Z520" s="1">
        <v>1.0</v>
      </c>
    </row>
    <row r="521">
      <c r="A521" s="1" t="s">
        <v>2067</v>
      </c>
      <c r="B521" s="1" t="s">
        <v>1522</v>
      </c>
      <c r="C521" s="1" t="s">
        <v>1534</v>
      </c>
      <c r="D521" s="1">
        <v>230.0</v>
      </c>
      <c r="E521" s="1">
        <v>81.0</v>
      </c>
      <c r="F521" s="1">
        <v>84.0</v>
      </c>
      <c r="G521" s="1">
        <v>87.0</v>
      </c>
      <c r="H521" s="1">
        <v>75.0</v>
      </c>
      <c r="I521" s="1">
        <v>70.0</v>
      </c>
      <c r="J521" s="1">
        <v>91.0</v>
      </c>
      <c r="K521" s="1">
        <v>83.0</v>
      </c>
      <c r="L521" s="1">
        <v>69.0</v>
      </c>
      <c r="M521" s="1">
        <v>61.0</v>
      </c>
      <c r="N521" s="1">
        <v>80.0</v>
      </c>
      <c r="O521" s="1">
        <v>71.0</v>
      </c>
      <c r="P521" s="1">
        <v>75.0</v>
      </c>
      <c r="Q521" s="1">
        <v>88.0</v>
      </c>
      <c r="R521" s="1">
        <v>70.0</v>
      </c>
      <c r="S521" s="1">
        <v>70.0</v>
      </c>
      <c r="T521" s="1">
        <v>77.0</v>
      </c>
      <c r="U521" s="1">
        <v>62.0</v>
      </c>
      <c r="V521" s="1">
        <v>82.0</v>
      </c>
      <c r="W521" s="1">
        <v>78.0</v>
      </c>
      <c r="X521" s="1">
        <v>73.0</v>
      </c>
      <c r="Y521" s="1">
        <v>75.0</v>
      </c>
      <c r="Z521" s="1">
        <v>1.0</v>
      </c>
    </row>
    <row r="522">
      <c r="A522" s="1" t="s">
        <v>2068</v>
      </c>
      <c r="B522" s="1" t="s">
        <v>1522</v>
      </c>
      <c r="C522" s="1" t="s">
        <v>886</v>
      </c>
      <c r="D522" s="1" t="s">
        <v>1704</v>
      </c>
      <c r="E522" s="1" t="s">
        <v>204</v>
      </c>
      <c r="F522" s="1" t="s">
        <v>190</v>
      </c>
      <c r="G522" s="1">
        <v>87.0</v>
      </c>
      <c r="H522" s="1" t="s">
        <v>913</v>
      </c>
      <c r="I522" s="1" t="s">
        <v>1670</v>
      </c>
      <c r="J522" s="1" t="s">
        <v>525</v>
      </c>
      <c r="K522" s="1" t="s">
        <v>614</v>
      </c>
      <c r="L522" s="1" t="s">
        <v>1347</v>
      </c>
      <c r="M522" s="1" t="s">
        <v>2069</v>
      </c>
      <c r="N522" s="1" t="s">
        <v>394</v>
      </c>
      <c r="O522" s="1" t="s">
        <v>1313</v>
      </c>
      <c r="P522" s="1" t="s">
        <v>437</v>
      </c>
      <c r="Q522" s="1" t="s">
        <v>614</v>
      </c>
      <c r="R522" s="1" t="s">
        <v>493</v>
      </c>
      <c r="S522" s="1" t="s">
        <v>1962</v>
      </c>
      <c r="T522" s="1" t="s">
        <v>668</v>
      </c>
      <c r="U522" s="1" t="s">
        <v>1629</v>
      </c>
      <c r="V522" s="1" t="s">
        <v>79</v>
      </c>
      <c r="W522" s="1" t="s">
        <v>507</v>
      </c>
      <c r="X522" s="1" t="s">
        <v>1627</v>
      </c>
      <c r="Y522" s="1" t="s">
        <v>592</v>
      </c>
      <c r="Z522" s="1">
        <v>1.0</v>
      </c>
    </row>
    <row r="523">
      <c r="A523" s="1" t="s">
        <v>692</v>
      </c>
      <c r="B523" s="1" t="s">
        <v>1522</v>
      </c>
      <c r="C523" s="1" t="s">
        <v>1283</v>
      </c>
      <c r="D523" s="1" t="s">
        <v>2070</v>
      </c>
      <c r="E523" s="1" t="s">
        <v>225</v>
      </c>
      <c r="F523" s="1" t="s">
        <v>1023</v>
      </c>
      <c r="G523" s="1" t="s">
        <v>66</v>
      </c>
      <c r="H523" s="1" t="s">
        <v>1546</v>
      </c>
      <c r="I523" s="1" t="s">
        <v>2071</v>
      </c>
      <c r="J523" s="1" t="s">
        <v>571</v>
      </c>
      <c r="K523" s="1" t="s">
        <v>277</v>
      </c>
      <c r="L523" s="1" t="s">
        <v>812</v>
      </c>
      <c r="M523" s="1" t="s">
        <v>348</v>
      </c>
      <c r="N523" s="1" t="s">
        <v>208</v>
      </c>
      <c r="O523" s="1" t="s">
        <v>225</v>
      </c>
      <c r="P523" s="1" t="s">
        <v>891</v>
      </c>
      <c r="Q523" s="1" t="s">
        <v>2072</v>
      </c>
      <c r="R523" s="1" t="s">
        <v>491</v>
      </c>
      <c r="S523" s="1" t="s">
        <v>1919</v>
      </c>
      <c r="T523" s="1" t="s">
        <v>446</v>
      </c>
      <c r="U523" s="1" t="s">
        <v>2073</v>
      </c>
      <c r="V523" s="1" t="s">
        <v>1853</v>
      </c>
      <c r="W523" s="1" t="s">
        <v>631</v>
      </c>
      <c r="X523" s="1" t="s">
        <v>1045</v>
      </c>
      <c r="Y523" s="1" t="s">
        <v>2074</v>
      </c>
      <c r="Z523" s="1">
        <v>1.0</v>
      </c>
    </row>
    <row r="524">
      <c r="A524" s="1" t="s">
        <v>542</v>
      </c>
      <c r="B524" s="1" t="s">
        <v>1522</v>
      </c>
      <c r="C524" s="1" t="s">
        <v>970</v>
      </c>
      <c r="D524" s="1">
        <v>218.0</v>
      </c>
      <c r="E524" s="1">
        <v>80.0</v>
      </c>
      <c r="F524" s="1">
        <v>82.0</v>
      </c>
      <c r="G524" s="1">
        <v>75.0</v>
      </c>
      <c r="H524" s="1">
        <v>35.0</v>
      </c>
      <c r="I524" s="1">
        <v>43.0</v>
      </c>
      <c r="J524" s="1">
        <v>94.0</v>
      </c>
      <c r="K524" s="1">
        <v>84.0</v>
      </c>
      <c r="L524" s="1">
        <v>80.0</v>
      </c>
      <c r="M524" s="1">
        <v>74.0</v>
      </c>
      <c r="N524" s="1">
        <v>76.0</v>
      </c>
      <c r="O524" s="1">
        <v>78.0</v>
      </c>
      <c r="P524" s="1">
        <v>70.0</v>
      </c>
      <c r="Q524" s="1">
        <v>80.0</v>
      </c>
      <c r="R524" s="1">
        <v>84.0</v>
      </c>
      <c r="S524" s="1">
        <v>70.0</v>
      </c>
      <c r="T524" s="1">
        <v>75.0</v>
      </c>
      <c r="U524" s="1">
        <v>70.0</v>
      </c>
      <c r="V524" s="1">
        <v>86.0</v>
      </c>
      <c r="W524" s="1">
        <v>76.0</v>
      </c>
      <c r="X524" s="1">
        <v>76.0</v>
      </c>
      <c r="Y524" s="1">
        <v>70.0</v>
      </c>
      <c r="Z524" s="1">
        <v>1.0</v>
      </c>
    </row>
    <row r="525">
      <c r="A525" s="1" t="s">
        <v>2075</v>
      </c>
      <c r="B525" s="1" t="s">
        <v>1522</v>
      </c>
      <c r="C525" s="1" t="s">
        <v>970</v>
      </c>
      <c r="D525" s="1">
        <v>193.0</v>
      </c>
      <c r="E525" s="1">
        <v>71.0</v>
      </c>
      <c r="F525" s="1">
        <v>75.0</v>
      </c>
      <c r="G525" s="1">
        <v>91.0</v>
      </c>
      <c r="H525" s="1">
        <v>70.0</v>
      </c>
      <c r="I525" s="1">
        <v>61.0</v>
      </c>
      <c r="J525" s="1">
        <v>73.0</v>
      </c>
      <c r="K525" s="1">
        <v>83.0</v>
      </c>
      <c r="L525" s="1">
        <v>62.0</v>
      </c>
      <c r="M525" s="1">
        <v>85.0</v>
      </c>
      <c r="N525" s="1">
        <v>86.0</v>
      </c>
      <c r="O525" s="1">
        <v>80.0</v>
      </c>
      <c r="P525" s="1">
        <v>67.0</v>
      </c>
      <c r="Q525" s="1">
        <v>75.0</v>
      </c>
      <c r="R525" s="1">
        <v>67.0</v>
      </c>
      <c r="S525" s="1">
        <v>79.0</v>
      </c>
      <c r="T525" s="1">
        <v>55.0</v>
      </c>
      <c r="U525" s="1">
        <v>80.0</v>
      </c>
      <c r="V525" s="1">
        <v>80.0</v>
      </c>
      <c r="W525" s="1">
        <v>80.0</v>
      </c>
      <c r="X525" s="1">
        <v>75.0</v>
      </c>
      <c r="Y525" s="1">
        <v>80.0</v>
      </c>
      <c r="Z525" s="1">
        <v>1.0</v>
      </c>
    </row>
    <row r="526">
      <c r="A526" s="1" t="s">
        <v>2076</v>
      </c>
      <c r="B526" s="1" t="s">
        <v>1522</v>
      </c>
      <c r="C526" s="1" t="s">
        <v>1534</v>
      </c>
      <c r="D526" s="1">
        <v>218.0</v>
      </c>
      <c r="E526" s="1">
        <v>80.0</v>
      </c>
      <c r="F526" s="1">
        <v>90.0</v>
      </c>
      <c r="G526" s="1">
        <v>88.0</v>
      </c>
      <c r="H526" s="1">
        <v>53.0</v>
      </c>
      <c r="I526" s="1">
        <v>50.0</v>
      </c>
      <c r="J526" s="1">
        <v>73.0</v>
      </c>
      <c r="K526" s="1">
        <v>83.0</v>
      </c>
      <c r="L526" s="1">
        <v>81.0</v>
      </c>
      <c r="M526" s="1">
        <v>71.0</v>
      </c>
      <c r="N526" s="1">
        <v>75.0</v>
      </c>
      <c r="O526" s="1">
        <v>70.0</v>
      </c>
      <c r="P526" s="1">
        <v>70.0</v>
      </c>
      <c r="Q526" s="1">
        <v>83.0</v>
      </c>
      <c r="R526" s="1">
        <v>85.0</v>
      </c>
      <c r="S526" s="1">
        <v>79.0</v>
      </c>
      <c r="T526" s="1">
        <v>85.0</v>
      </c>
      <c r="U526" s="1">
        <v>70.0</v>
      </c>
      <c r="V526" s="1">
        <v>80.0</v>
      </c>
      <c r="W526" s="1">
        <v>75.0</v>
      </c>
      <c r="X526" s="1">
        <v>75.0</v>
      </c>
      <c r="Y526" s="1">
        <v>80.0</v>
      </c>
      <c r="Z526" s="1">
        <v>1.0</v>
      </c>
    </row>
    <row r="527">
      <c r="A527" s="1" t="s">
        <v>2077</v>
      </c>
      <c r="B527" s="1" t="s">
        <v>1522</v>
      </c>
      <c r="C527" s="1" t="s">
        <v>1579</v>
      </c>
      <c r="D527" s="1">
        <v>244.0</v>
      </c>
      <c r="E527" s="1">
        <v>76.0</v>
      </c>
      <c r="F527" s="1">
        <v>85.0</v>
      </c>
      <c r="G527" s="1">
        <v>96.0</v>
      </c>
      <c r="H527" s="1">
        <v>90.0</v>
      </c>
      <c r="I527" s="1">
        <v>52.0</v>
      </c>
      <c r="J527" s="1">
        <v>68.0</v>
      </c>
      <c r="K527" s="1">
        <v>78.0</v>
      </c>
      <c r="L527" s="1">
        <v>73.0</v>
      </c>
      <c r="M527" s="1">
        <v>76.0</v>
      </c>
      <c r="N527" s="1">
        <v>77.0</v>
      </c>
      <c r="O527" s="1">
        <v>65.0</v>
      </c>
      <c r="P527" s="1">
        <v>68.0</v>
      </c>
      <c r="Q527" s="1">
        <v>72.0</v>
      </c>
      <c r="R527" s="1">
        <v>73.0</v>
      </c>
      <c r="S527" s="1">
        <v>74.0</v>
      </c>
      <c r="T527" s="1">
        <v>60.0</v>
      </c>
      <c r="U527" s="1">
        <v>70.0</v>
      </c>
      <c r="V527" s="1">
        <v>73.0</v>
      </c>
      <c r="W527" s="1">
        <v>65.0</v>
      </c>
      <c r="X527" s="1">
        <v>84.0</v>
      </c>
      <c r="Y527" s="1">
        <v>85.0</v>
      </c>
      <c r="Z527" s="1">
        <v>1.0</v>
      </c>
    </row>
    <row r="528">
      <c r="A528" s="1" t="s">
        <v>874</v>
      </c>
      <c r="B528" s="1" t="s">
        <v>1522</v>
      </c>
      <c r="C528" s="1" t="s">
        <v>192</v>
      </c>
      <c r="D528" s="1">
        <v>215.0</v>
      </c>
      <c r="E528" s="1">
        <v>85.0</v>
      </c>
      <c r="F528" s="1">
        <v>80.0</v>
      </c>
      <c r="G528" s="1">
        <v>80.0</v>
      </c>
      <c r="H528" s="1">
        <v>30.0</v>
      </c>
      <c r="I528" s="1">
        <v>90.0</v>
      </c>
      <c r="J528" s="1">
        <v>94.0</v>
      </c>
      <c r="K528" s="1">
        <v>88.0</v>
      </c>
      <c r="L528" s="1">
        <v>85.0</v>
      </c>
      <c r="M528" s="1">
        <v>77.0</v>
      </c>
      <c r="N528" s="1">
        <v>87.0</v>
      </c>
      <c r="O528" s="1">
        <v>81.0</v>
      </c>
      <c r="P528" s="1">
        <v>54.0</v>
      </c>
      <c r="Q528" s="1">
        <v>75.0</v>
      </c>
      <c r="R528" s="1">
        <v>70.0</v>
      </c>
      <c r="S528" s="1">
        <v>50.0</v>
      </c>
      <c r="T528" s="1">
        <v>53.0</v>
      </c>
      <c r="U528" s="1">
        <v>50.0</v>
      </c>
      <c r="V528" s="1">
        <v>84.0</v>
      </c>
      <c r="W528" s="1">
        <v>80.0</v>
      </c>
      <c r="X528" s="1">
        <v>60.0</v>
      </c>
      <c r="Y528" s="1">
        <v>64.0</v>
      </c>
      <c r="Z528" s="1">
        <v>1.0</v>
      </c>
    </row>
    <row r="529">
      <c r="A529" s="1" t="s">
        <v>2078</v>
      </c>
      <c r="B529" s="1" t="s">
        <v>1522</v>
      </c>
      <c r="C529" s="1" t="s">
        <v>1579</v>
      </c>
      <c r="D529" s="1">
        <v>200.0</v>
      </c>
      <c r="E529" s="1">
        <v>75.0</v>
      </c>
      <c r="F529" s="1">
        <v>72.0</v>
      </c>
      <c r="G529" s="1">
        <v>92.0</v>
      </c>
      <c r="H529" s="1">
        <v>63.0</v>
      </c>
      <c r="I529" s="1">
        <v>53.0</v>
      </c>
      <c r="J529" s="1">
        <v>85.0</v>
      </c>
      <c r="K529" s="1">
        <v>80.0</v>
      </c>
      <c r="L529" s="1">
        <v>67.0</v>
      </c>
      <c r="M529" s="1">
        <v>71.0</v>
      </c>
      <c r="N529" s="1">
        <v>78.0</v>
      </c>
      <c r="O529" s="1">
        <v>72.0</v>
      </c>
      <c r="P529" s="1">
        <v>76.0</v>
      </c>
      <c r="Q529" s="1">
        <v>82.0</v>
      </c>
      <c r="R529" s="1">
        <v>73.0</v>
      </c>
      <c r="S529" s="1">
        <v>84.0</v>
      </c>
      <c r="T529" s="1">
        <v>85.0</v>
      </c>
      <c r="U529" s="1">
        <v>83.0</v>
      </c>
      <c r="V529" s="1">
        <v>82.0</v>
      </c>
      <c r="W529" s="1">
        <v>78.0</v>
      </c>
      <c r="X529" s="1">
        <v>65.0</v>
      </c>
      <c r="Y529" s="1">
        <v>83.0</v>
      </c>
      <c r="Z529" s="1">
        <v>1.0</v>
      </c>
    </row>
    <row r="530">
      <c r="A530" s="1" t="s">
        <v>2079</v>
      </c>
      <c r="B530" s="1" t="s">
        <v>1522</v>
      </c>
      <c r="C530" s="1" t="s">
        <v>1574</v>
      </c>
      <c r="D530" s="1" t="s">
        <v>1747</v>
      </c>
      <c r="E530" s="1" t="s">
        <v>1155</v>
      </c>
      <c r="F530" s="1" t="s">
        <v>39</v>
      </c>
      <c r="G530" s="1" t="s">
        <v>1188</v>
      </c>
      <c r="H530" s="1" t="s">
        <v>1123</v>
      </c>
      <c r="I530" s="1" t="s">
        <v>1120</v>
      </c>
      <c r="J530" s="1" t="s">
        <v>593</v>
      </c>
      <c r="K530" s="1">
        <v>80.0</v>
      </c>
      <c r="L530" s="1" t="s">
        <v>255</v>
      </c>
      <c r="M530" s="1" t="s">
        <v>268</v>
      </c>
      <c r="N530" s="1" t="s">
        <v>525</v>
      </c>
      <c r="O530" s="1" t="s">
        <v>1751</v>
      </c>
      <c r="P530" s="1" t="s">
        <v>708</v>
      </c>
      <c r="Q530" s="1" t="s">
        <v>1080</v>
      </c>
      <c r="R530" s="1" t="s">
        <v>1054</v>
      </c>
      <c r="S530" s="1" t="s">
        <v>1817</v>
      </c>
      <c r="T530" s="1" t="s">
        <v>553</v>
      </c>
      <c r="U530" s="1" t="s">
        <v>457</v>
      </c>
      <c r="V530" s="1" t="s">
        <v>582</v>
      </c>
      <c r="W530" s="1" t="s">
        <v>236</v>
      </c>
      <c r="X530" s="1">
        <v>73.0</v>
      </c>
      <c r="Y530" s="1" t="s">
        <v>384</v>
      </c>
      <c r="Z530" s="1">
        <v>1.0</v>
      </c>
    </row>
    <row r="531">
      <c r="A531" s="1" t="s">
        <v>2080</v>
      </c>
      <c r="B531" s="1" t="s">
        <v>1522</v>
      </c>
      <c r="C531" s="1" t="s">
        <v>1579</v>
      </c>
      <c r="D531" s="1" t="s">
        <v>2081</v>
      </c>
      <c r="E531" s="1" t="s">
        <v>716</v>
      </c>
      <c r="F531" s="1" t="s">
        <v>48</v>
      </c>
      <c r="G531" s="1">
        <v>80.0</v>
      </c>
      <c r="H531" s="1" t="s">
        <v>253</v>
      </c>
      <c r="I531" s="1" t="s">
        <v>1775</v>
      </c>
      <c r="J531" s="1" t="s">
        <v>45</v>
      </c>
      <c r="K531" s="1" t="s">
        <v>571</v>
      </c>
      <c r="L531" s="1" t="s">
        <v>1513</v>
      </c>
      <c r="M531" s="1" t="s">
        <v>204</v>
      </c>
      <c r="N531" s="1" t="s">
        <v>590</v>
      </c>
      <c r="O531" s="1" t="s">
        <v>1765</v>
      </c>
      <c r="P531" s="1" t="s">
        <v>424</v>
      </c>
      <c r="Q531" s="1" t="s">
        <v>205</v>
      </c>
      <c r="R531" s="1" t="s">
        <v>2063</v>
      </c>
      <c r="S531" s="1" t="s">
        <v>221</v>
      </c>
      <c r="T531" s="1" t="s">
        <v>753</v>
      </c>
      <c r="U531" s="1" t="s">
        <v>548</v>
      </c>
      <c r="V531" s="1" t="s">
        <v>190</v>
      </c>
      <c r="W531" s="1" t="s">
        <v>1136</v>
      </c>
      <c r="X531" s="1" t="s">
        <v>236</v>
      </c>
      <c r="Y531" s="1" t="s">
        <v>1155</v>
      </c>
      <c r="Z531" s="1">
        <v>1.0</v>
      </c>
    </row>
    <row r="532">
      <c r="A532" s="1" t="s">
        <v>703</v>
      </c>
      <c r="B532" s="1" t="s">
        <v>1522</v>
      </c>
      <c r="C532" s="1" t="s">
        <v>1534</v>
      </c>
      <c r="D532" s="1">
        <v>185.0</v>
      </c>
      <c r="E532" s="1">
        <v>76.0</v>
      </c>
      <c r="F532" s="1">
        <v>86.0</v>
      </c>
      <c r="G532" s="1">
        <v>87.0</v>
      </c>
      <c r="H532" s="1">
        <v>66.0</v>
      </c>
      <c r="I532" s="1">
        <v>50.0</v>
      </c>
      <c r="J532" s="1">
        <v>85.0</v>
      </c>
      <c r="K532" s="1">
        <v>80.0</v>
      </c>
      <c r="L532" s="1">
        <v>73.0</v>
      </c>
      <c r="M532" s="1">
        <v>70.0</v>
      </c>
      <c r="N532" s="1">
        <v>80.0</v>
      </c>
      <c r="O532" s="1">
        <v>75.0</v>
      </c>
      <c r="P532" s="1">
        <v>70.0</v>
      </c>
      <c r="Q532" s="1">
        <v>80.0</v>
      </c>
      <c r="R532" s="1">
        <v>70.0</v>
      </c>
      <c r="S532" s="1">
        <v>77.0</v>
      </c>
      <c r="T532" s="1">
        <v>35.0</v>
      </c>
      <c r="U532" s="1">
        <v>57.0</v>
      </c>
      <c r="V532" s="1">
        <v>86.0</v>
      </c>
      <c r="W532" s="1">
        <v>80.0</v>
      </c>
      <c r="X532" s="1">
        <v>75.0</v>
      </c>
      <c r="Y532" s="1">
        <v>87.0</v>
      </c>
      <c r="Z532" s="1">
        <v>1.0</v>
      </c>
    </row>
    <row r="533">
      <c r="A533" s="1" t="s">
        <v>2082</v>
      </c>
      <c r="B533" s="1" t="s">
        <v>1522</v>
      </c>
      <c r="C533" s="1" t="s">
        <v>1579</v>
      </c>
      <c r="D533" s="1">
        <v>200.0</v>
      </c>
      <c r="E533" s="1">
        <v>78.0</v>
      </c>
      <c r="F533" s="1">
        <v>80.0</v>
      </c>
      <c r="G533" s="1">
        <v>93.0</v>
      </c>
      <c r="H533" s="1">
        <v>63.0</v>
      </c>
      <c r="I533" s="1">
        <v>53.0</v>
      </c>
      <c r="J533" s="1">
        <v>87.0</v>
      </c>
      <c r="K533" s="1">
        <v>81.0</v>
      </c>
      <c r="L533" s="1">
        <v>67.0</v>
      </c>
      <c r="M533" s="1">
        <v>60.0</v>
      </c>
      <c r="N533" s="1">
        <v>78.0</v>
      </c>
      <c r="O533" s="1">
        <v>72.0</v>
      </c>
      <c r="P533" s="1">
        <v>88.0</v>
      </c>
      <c r="Q533" s="1">
        <v>84.0</v>
      </c>
      <c r="R533" s="1">
        <v>54.0</v>
      </c>
      <c r="S533" s="1">
        <v>81.0</v>
      </c>
      <c r="T533" s="1">
        <v>70.0</v>
      </c>
      <c r="U533" s="1">
        <v>80.0</v>
      </c>
      <c r="V533" s="1">
        <v>82.0</v>
      </c>
      <c r="W533" s="1">
        <v>78.0</v>
      </c>
      <c r="X533" s="1">
        <v>74.0</v>
      </c>
      <c r="Y533" s="1">
        <v>80.0</v>
      </c>
      <c r="Z533" s="1">
        <v>1.0</v>
      </c>
    </row>
    <row r="534">
      <c r="A534" s="1" t="s">
        <v>290</v>
      </c>
      <c r="B534" s="1" t="s">
        <v>1522</v>
      </c>
      <c r="C534" s="1" t="s">
        <v>1534</v>
      </c>
      <c r="D534" s="1">
        <v>188.0</v>
      </c>
      <c r="E534" s="1">
        <v>82.0</v>
      </c>
      <c r="F534" s="1">
        <v>76.0</v>
      </c>
      <c r="G534" s="1">
        <v>87.0</v>
      </c>
      <c r="H534" s="1">
        <v>52.0</v>
      </c>
      <c r="I534" s="1">
        <v>87.0</v>
      </c>
      <c r="J534" s="1">
        <v>91.0</v>
      </c>
      <c r="K534" s="1">
        <v>80.0</v>
      </c>
      <c r="L534" s="1">
        <v>79.0</v>
      </c>
      <c r="M534" s="1">
        <v>60.0</v>
      </c>
      <c r="N534" s="1">
        <v>75.0</v>
      </c>
      <c r="O534" s="1">
        <v>75.0</v>
      </c>
      <c r="P534" s="1">
        <v>70.0</v>
      </c>
      <c r="Q534" s="1">
        <v>87.0</v>
      </c>
      <c r="R534" s="1">
        <v>72.0</v>
      </c>
      <c r="S534" s="1">
        <v>84.0</v>
      </c>
      <c r="T534" s="1">
        <v>47.0</v>
      </c>
      <c r="U534" s="1">
        <v>59.0</v>
      </c>
      <c r="V534" s="1">
        <v>85.0</v>
      </c>
      <c r="W534" s="1">
        <v>85.0</v>
      </c>
      <c r="X534" s="1">
        <v>60.0</v>
      </c>
      <c r="Y534" s="1">
        <v>83.0</v>
      </c>
      <c r="Z534" s="1">
        <v>1.0</v>
      </c>
    </row>
    <row r="535">
      <c r="A535" s="1" t="s">
        <v>602</v>
      </c>
      <c r="B535" s="1" t="s">
        <v>1522</v>
      </c>
      <c r="C535" s="1" t="s">
        <v>1534</v>
      </c>
      <c r="D535" s="1">
        <v>215.0</v>
      </c>
      <c r="E535" s="1">
        <v>73.0</v>
      </c>
      <c r="F535" s="1">
        <v>83.0</v>
      </c>
      <c r="G535" s="1">
        <v>88.0</v>
      </c>
      <c r="H535" s="1">
        <v>55.0</v>
      </c>
      <c r="I535" s="1">
        <v>52.0</v>
      </c>
      <c r="J535" s="1">
        <v>78.0</v>
      </c>
      <c r="K535" s="1">
        <v>88.0</v>
      </c>
      <c r="L535" s="1">
        <v>78.0</v>
      </c>
      <c r="M535" s="1">
        <v>85.0</v>
      </c>
      <c r="N535" s="1">
        <v>80.0</v>
      </c>
      <c r="O535" s="1">
        <v>72.0</v>
      </c>
      <c r="P535" s="1">
        <v>70.0</v>
      </c>
      <c r="Q535" s="1">
        <v>80.0</v>
      </c>
      <c r="R535" s="1">
        <v>81.0</v>
      </c>
      <c r="S535" s="1">
        <v>70.0</v>
      </c>
      <c r="T535" s="1">
        <v>61.0</v>
      </c>
      <c r="U535" s="1">
        <v>60.0</v>
      </c>
      <c r="V535" s="1">
        <v>83.0</v>
      </c>
      <c r="W535" s="1">
        <v>81.0</v>
      </c>
      <c r="X535" s="1">
        <v>76.0</v>
      </c>
      <c r="Y535" s="1">
        <v>76.0</v>
      </c>
      <c r="Z535" s="1">
        <v>1.0</v>
      </c>
    </row>
    <row r="536">
      <c r="A536" s="1" t="s">
        <v>2083</v>
      </c>
      <c r="B536" s="1" t="s">
        <v>1522</v>
      </c>
      <c r="C536" s="1" t="s">
        <v>1579</v>
      </c>
      <c r="D536" s="1">
        <v>211.0</v>
      </c>
      <c r="E536" s="1">
        <v>81.0</v>
      </c>
      <c r="F536" s="1">
        <v>70.0</v>
      </c>
      <c r="G536" s="1">
        <v>89.0</v>
      </c>
      <c r="H536" s="1">
        <v>61.0</v>
      </c>
      <c r="I536" s="1">
        <v>86.0</v>
      </c>
      <c r="J536" s="1">
        <v>89.0</v>
      </c>
      <c r="K536" s="1">
        <v>80.0</v>
      </c>
      <c r="L536" s="1">
        <v>64.0</v>
      </c>
      <c r="M536" s="1">
        <v>71.0</v>
      </c>
      <c r="N536" s="1">
        <v>78.0</v>
      </c>
      <c r="O536" s="1">
        <v>70.0</v>
      </c>
      <c r="P536" s="1">
        <v>80.0</v>
      </c>
      <c r="Q536" s="1">
        <v>83.0</v>
      </c>
      <c r="R536" s="1">
        <v>73.0</v>
      </c>
      <c r="S536" s="1">
        <v>86.0</v>
      </c>
      <c r="T536" s="1">
        <v>47.0</v>
      </c>
      <c r="U536" s="1">
        <v>63.0</v>
      </c>
      <c r="V536" s="1">
        <v>80.0</v>
      </c>
      <c r="W536" s="1">
        <v>76.0</v>
      </c>
      <c r="X536" s="1">
        <v>83.0</v>
      </c>
      <c r="Y536" s="1">
        <v>80.0</v>
      </c>
      <c r="Z536" s="1">
        <v>1.0</v>
      </c>
    </row>
    <row r="537">
      <c r="A537" s="1" t="s">
        <v>2084</v>
      </c>
      <c r="B537" s="1" t="s">
        <v>1522</v>
      </c>
      <c r="C537" s="1" t="s">
        <v>1534</v>
      </c>
      <c r="D537" s="1">
        <v>222.0</v>
      </c>
      <c r="E537" s="1">
        <v>75.0</v>
      </c>
      <c r="F537" s="1">
        <v>74.0</v>
      </c>
      <c r="G537" s="1">
        <v>88.0</v>
      </c>
      <c r="H537" s="1">
        <v>72.0</v>
      </c>
      <c r="I537" s="1">
        <v>74.0</v>
      </c>
      <c r="J537" s="1">
        <v>75.0</v>
      </c>
      <c r="K537" s="1">
        <v>83.0</v>
      </c>
      <c r="L537" s="1">
        <v>60.0</v>
      </c>
      <c r="M537" s="1">
        <v>76.0</v>
      </c>
      <c r="N537" s="1">
        <v>66.0</v>
      </c>
      <c r="O537" s="1">
        <v>70.0</v>
      </c>
      <c r="P537" s="1">
        <v>80.0</v>
      </c>
      <c r="Q537" s="1">
        <v>84.0</v>
      </c>
      <c r="R537" s="1">
        <v>60.0</v>
      </c>
      <c r="S537" s="1">
        <v>88.0</v>
      </c>
      <c r="T537" s="1">
        <v>58.0</v>
      </c>
      <c r="U537" s="1">
        <v>80.0</v>
      </c>
      <c r="V537" s="1">
        <v>80.0</v>
      </c>
      <c r="W537" s="1">
        <v>80.0</v>
      </c>
      <c r="X537" s="1">
        <v>85.0</v>
      </c>
      <c r="Y537" s="1">
        <v>83.0</v>
      </c>
      <c r="Z537" s="1">
        <v>1.0</v>
      </c>
    </row>
    <row r="538">
      <c r="A538" s="1" t="s">
        <v>2085</v>
      </c>
      <c r="B538" s="1" t="s">
        <v>1522</v>
      </c>
      <c r="C538" s="1" t="s">
        <v>1534</v>
      </c>
      <c r="D538" s="1">
        <v>200.0</v>
      </c>
      <c r="E538" s="1">
        <v>70.0</v>
      </c>
      <c r="F538" s="1">
        <v>70.0</v>
      </c>
      <c r="G538" s="1">
        <v>75.0</v>
      </c>
      <c r="H538" s="1">
        <v>49.0</v>
      </c>
      <c r="I538" s="1">
        <v>47.0</v>
      </c>
      <c r="J538" s="1">
        <v>80.0</v>
      </c>
      <c r="K538" s="1">
        <v>83.0</v>
      </c>
      <c r="L538" s="1">
        <v>66.0</v>
      </c>
      <c r="M538" s="1">
        <v>67.0</v>
      </c>
      <c r="N538" s="1">
        <v>73.0</v>
      </c>
      <c r="O538" s="1">
        <v>74.0</v>
      </c>
      <c r="P538" s="1">
        <v>81.0</v>
      </c>
      <c r="Q538" s="1">
        <v>88.0</v>
      </c>
      <c r="R538" s="1">
        <v>79.0</v>
      </c>
      <c r="S538" s="1">
        <v>87.0</v>
      </c>
      <c r="T538" s="1">
        <v>61.0</v>
      </c>
      <c r="U538" s="1">
        <v>80.0</v>
      </c>
      <c r="V538" s="1">
        <v>84.0</v>
      </c>
      <c r="W538" s="1">
        <v>80.0</v>
      </c>
      <c r="X538" s="1">
        <v>82.0</v>
      </c>
      <c r="Y538" s="1">
        <v>83.0</v>
      </c>
      <c r="Z538" s="1">
        <v>1.0</v>
      </c>
    </row>
    <row r="539">
      <c r="A539" s="1" t="s">
        <v>1350</v>
      </c>
      <c r="B539" s="1" t="s">
        <v>1522</v>
      </c>
      <c r="C539" s="1" t="s">
        <v>145</v>
      </c>
      <c r="D539" s="1">
        <v>225.0</v>
      </c>
      <c r="E539" s="1">
        <v>75.0</v>
      </c>
      <c r="F539" s="1">
        <v>58.0</v>
      </c>
      <c r="G539" s="1">
        <v>49.0</v>
      </c>
      <c r="H539" s="1">
        <v>27.0</v>
      </c>
      <c r="I539" s="1">
        <v>46.0</v>
      </c>
      <c r="J539" s="1">
        <v>88.0</v>
      </c>
      <c r="K539" s="1">
        <v>85.0</v>
      </c>
      <c r="L539" s="1">
        <v>99.0</v>
      </c>
      <c r="M539" s="1">
        <v>72.0</v>
      </c>
      <c r="N539" s="1">
        <v>68.0</v>
      </c>
      <c r="O539" s="1">
        <v>70.0</v>
      </c>
      <c r="P539" s="1">
        <v>70.0</v>
      </c>
      <c r="Q539" s="1">
        <v>91.0</v>
      </c>
      <c r="R539" s="1">
        <v>94.0</v>
      </c>
      <c r="S539" s="1">
        <v>78.0</v>
      </c>
      <c r="T539" s="1">
        <v>79.0</v>
      </c>
      <c r="U539" s="1">
        <v>85.0</v>
      </c>
      <c r="V539" s="1">
        <v>85.0</v>
      </c>
      <c r="W539" s="1">
        <v>84.0</v>
      </c>
      <c r="X539" s="1">
        <v>85.0</v>
      </c>
      <c r="Y539" s="1">
        <v>70.0</v>
      </c>
      <c r="Z539" s="1">
        <v>1.0</v>
      </c>
    </row>
    <row r="540">
      <c r="A540" s="1" t="s">
        <v>1324</v>
      </c>
      <c r="B540" s="1" t="s">
        <v>1522</v>
      </c>
      <c r="C540" s="1" t="s">
        <v>970</v>
      </c>
      <c r="D540" s="1" t="s">
        <v>2086</v>
      </c>
      <c r="E540" s="1" t="s">
        <v>1445</v>
      </c>
      <c r="F540" s="1">
        <v>70.0</v>
      </c>
      <c r="G540" s="1" t="s">
        <v>306</v>
      </c>
      <c r="H540" s="1" t="s">
        <v>1565</v>
      </c>
      <c r="I540" s="1" t="s">
        <v>228</v>
      </c>
      <c r="J540" s="1" t="s">
        <v>236</v>
      </c>
      <c r="K540" s="1">
        <v>83.0</v>
      </c>
      <c r="L540" s="1" t="s">
        <v>1560</v>
      </c>
      <c r="M540" s="1" t="s">
        <v>2087</v>
      </c>
      <c r="N540" s="1" t="s">
        <v>1477</v>
      </c>
      <c r="O540" s="1">
        <v>75.0</v>
      </c>
      <c r="P540" s="1" t="s">
        <v>857</v>
      </c>
      <c r="Q540" s="1">
        <v>85.0</v>
      </c>
      <c r="R540" s="1" t="s">
        <v>98</v>
      </c>
      <c r="S540" s="1">
        <v>84.0</v>
      </c>
      <c r="T540" s="1" t="s">
        <v>204</v>
      </c>
      <c r="U540" s="1" t="s">
        <v>35</v>
      </c>
      <c r="V540" s="1" t="s">
        <v>593</v>
      </c>
      <c r="W540" s="1" t="s">
        <v>410</v>
      </c>
      <c r="X540" s="1">
        <v>82.0</v>
      </c>
      <c r="Y540" s="1" t="s">
        <v>404</v>
      </c>
      <c r="Z540" s="1">
        <v>1.0</v>
      </c>
    </row>
    <row r="541">
      <c r="A541" s="1" t="s">
        <v>2088</v>
      </c>
      <c r="B541" s="1" t="s">
        <v>1522</v>
      </c>
      <c r="C541" s="1" t="s">
        <v>1534</v>
      </c>
      <c r="D541" s="1">
        <v>195.0</v>
      </c>
      <c r="E541" s="1">
        <v>75.0</v>
      </c>
      <c r="F541" s="1">
        <v>78.0</v>
      </c>
      <c r="G541" s="1">
        <v>89.0</v>
      </c>
      <c r="H541" s="1">
        <v>71.0</v>
      </c>
      <c r="I541" s="1">
        <v>80.0</v>
      </c>
      <c r="J541" s="1">
        <v>74.0</v>
      </c>
      <c r="K541" s="1">
        <v>83.0</v>
      </c>
      <c r="L541" s="1">
        <v>59.0</v>
      </c>
      <c r="M541" s="1">
        <v>75.0</v>
      </c>
      <c r="N541" s="1">
        <v>80.0</v>
      </c>
      <c r="O541" s="1">
        <v>74.0</v>
      </c>
      <c r="P541" s="1">
        <v>80.0</v>
      </c>
      <c r="Q541" s="1">
        <v>80.0</v>
      </c>
      <c r="R541" s="1">
        <v>65.0</v>
      </c>
      <c r="S541" s="1">
        <v>85.0</v>
      </c>
      <c r="T541" s="1">
        <v>72.0</v>
      </c>
      <c r="U541" s="1">
        <v>80.0</v>
      </c>
      <c r="V541" s="1">
        <v>82.0</v>
      </c>
      <c r="W541" s="1">
        <v>84.0</v>
      </c>
      <c r="X541" s="1">
        <v>65.0</v>
      </c>
      <c r="Y541" s="1">
        <v>80.0</v>
      </c>
      <c r="Z541" s="1">
        <v>1.0</v>
      </c>
    </row>
    <row r="542">
      <c r="A542" s="1" t="s">
        <v>2089</v>
      </c>
      <c r="B542" s="1" t="s">
        <v>1522</v>
      </c>
      <c r="C542" s="1" t="s">
        <v>192</v>
      </c>
      <c r="D542" s="1">
        <v>216.0</v>
      </c>
      <c r="E542" s="1">
        <v>70.0</v>
      </c>
      <c r="F542" s="1">
        <v>70.0</v>
      </c>
      <c r="G542" s="1">
        <v>73.0</v>
      </c>
      <c r="H542" s="1">
        <v>73.0</v>
      </c>
      <c r="I542" s="1">
        <v>48.0</v>
      </c>
      <c r="J542" s="1">
        <v>80.0</v>
      </c>
      <c r="K542" s="1">
        <v>83.0</v>
      </c>
      <c r="L542" s="1">
        <v>66.0</v>
      </c>
      <c r="M542" s="1">
        <v>71.0</v>
      </c>
      <c r="N542" s="1">
        <v>81.0</v>
      </c>
      <c r="O542" s="1">
        <v>75.0</v>
      </c>
      <c r="P542" s="1">
        <v>74.0</v>
      </c>
      <c r="Q542" s="1">
        <v>85.0</v>
      </c>
      <c r="R542" s="1">
        <v>79.0</v>
      </c>
      <c r="S542" s="1">
        <v>82.0</v>
      </c>
      <c r="T542" s="1">
        <v>61.0</v>
      </c>
      <c r="U542" s="1">
        <v>80.0</v>
      </c>
      <c r="V542" s="1">
        <v>87.0</v>
      </c>
      <c r="W542" s="1">
        <v>84.0</v>
      </c>
      <c r="X542" s="1">
        <v>82.0</v>
      </c>
      <c r="Y542" s="1">
        <v>80.0</v>
      </c>
      <c r="Z542" s="1">
        <v>1.0</v>
      </c>
    </row>
    <row r="543">
      <c r="A543" s="1" t="s">
        <v>2090</v>
      </c>
      <c r="B543" s="1" t="s">
        <v>1522</v>
      </c>
      <c r="C543" s="1" t="s">
        <v>192</v>
      </c>
      <c r="D543" s="1">
        <v>200.0</v>
      </c>
      <c r="E543" s="1">
        <v>71.0</v>
      </c>
      <c r="F543" s="1">
        <v>71.0</v>
      </c>
      <c r="G543" s="1">
        <v>30.0</v>
      </c>
      <c r="H543" s="1">
        <v>25.0</v>
      </c>
      <c r="I543" s="1">
        <v>44.0</v>
      </c>
      <c r="J543" s="1">
        <v>73.0</v>
      </c>
      <c r="K543" s="1">
        <v>83.0</v>
      </c>
      <c r="L543" s="1">
        <v>62.0</v>
      </c>
      <c r="M543" s="1">
        <v>71.0</v>
      </c>
      <c r="N543" s="1">
        <v>61.0</v>
      </c>
      <c r="O543" s="1">
        <v>65.0</v>
      </c>
      <c r="P543" s="1">
        <v>90.0</v>
      </c>
      <c r="Q543" s="1">
        <v>94.0</v>
      </c>
      <c r="R543" s="1">
        <v>94.0</v>
      </c>
      <c r="S543" s="1">
        <v>74.0</v>
      </c>
      <c r="T543" s="1">
        <v>62.0</v>
      </c>
      <c r="U543" s="1">
        <v>85.0</v>
      </c>
      <c r="V543" s="1">
        <v>90.0</v>
      </c>
      <c r="W543" s="1">
        <v>88.0</v>
      </c>
      <c r="X543" s="1">
        <v>79.0</v>
      </c>
      <c r="Y543" s="1">
        <v>60.0</v>
      </c>
      <c r="Z543" s="1">
        <v>1.0</v>
      </c>
    </row>
    <row r="544">
      <c r="A544" s="1" t="s">
        <v>2091</v>
      </c>
      <c r="B544" s="1" t="s">
        <v>1522</v>
      </c>
      <c r="C544" s="1" t="s">
        <v>1534</v>
      </c>
      <c r="D544" s="1">
        <v>234.0</v>
      </c>
      <c r="E544" s="1">
        <v>86.0</v>
      </c>
      <c r="F544" s="1">
        <v>93.0</v>
      </c>
      <c r="G544" s="1">
        <v>73.0</v>
      </c>
      <c r="H544" s="1">
        <v>45.0</v>
      </c>
      <c r="I544" s="1">
        <v>79.0</v>
      </c>
      <c r="J544" s="1">
        <v>80.0</v>
      </c>
      <c r="K544" s="1">
        <v>70.0</v>
      </c>
      <c r="L544" s="1">
        <v>56.0</v>
      </c>
      <c r="M544" s="1">
        <v>85.0</v>
      </c>
      <c r="N544" s="1">
        <v>73.0</v>
      </c>
      <c r="O544" s="1">
        <v>68.0</v>
      </c>
      <c r="P544" s="1">
        <v>74.0</v>
      </c>
      <c r="Q544" s="1">
        <v>85.0</v>
      </c>
      <c r="R544" s="1">
        <v>67.0</v>
      </c>
      <c r="S544" s="1">
        <v>74.0</v>
      </c>
      <c r="T544" s="1">
        <v>92.0</v>
      </c>
      <c r="U544" s="1">
        <v>77.0</v>
      </c>
      <c r="V544" s="1">
        <v>73.0</v>
      </c>
      <c r="W544" s="1">
        <v>76.0</v>
      </c>
      <c r="X544" s="1">
        <v>83.0</v>
      </c>
      <c r="Y544" s="1">
        <v>70.0</v>
      </c>
      <c r="Z544" s="1">
        <v>1.0</v>
      </c>
    </row>
    <row r="545">
      <c r="A545" s="1" t="s">
        <v>2092</v>
      </c>
      <c r="B545" s="1" t="s">
        <v>1522</v>
      </c>
      <c r="C545" s="1" t="s">
        <v>970</v>
      </c>
      <c r="D545" s="1">
        <v>240.0</v>
      </c>
      <c r="E545" s="1">
        <v>76.0</v>
      </c>
      <c r="F545" s="1">
        <v>70.0</v>
      </c>
      <c r="G545" s="1">
        <v>76.0</v>
      </c>
      <c r="H545" s="1">
        <v>61.0</v>
      </c>
      <c r="I545" s="1">
        <v>70.0</v>
      </c>
      <c r="J545" s="1">
        <v>85.0</v>
      </c>
      <c r="K545" s="1">
        <v>88.0</v>
      </c>
      <c r="L545" s="1">
        <v>84.0</v>
      </c>
      <c r="M545" s="1">
        <v>78.0</v>
      </c>
      <c r="N545" s="1">
        <v>75.0</v>
      </c>
      <c r="O545" s="1">
        <v>70.0</v>
      </c>
      <c r="P545" s="1">
        <v>76.0</v>
      </c>
      <c r="Q545" s="1">
        <v>80.0</v>
      </c>
      <c r="R545" s="1">
        <v>80.0</v>
      </c>
      <c r="S545" s="1">
        <v>74.0</v>
      </c>
      <c r="T545" s="1">
        <v>52.0</v>
      </c>
      <c r="U545" s="1">
        <v>60.0</v>
      </c>
      <c r="V545" s="1">
        <v>83.0</v>
      </c>
      <c r="W545" s="1">
        <v>79.0</v>
      </c>
      <c r="X545" s="1">
        <v>80.0</v>
      </c>
      <c r="Y545" s="1">
        <v>90.0</v>
      </c>
      <c r="Z545" s="1">
        <v>1.0</v>
      </c>
    </row>
    <row r="546">
      <c r="A546" s="1" t="s">
        <v>2093</v>
      </c>
      <c r="B546" s="1" t="s">
        <v>1522</v>
      </c>
      <c r="C546" s="1" t="s">
        <v>970</v>
      </c>
      <c r="D546" s="1">
        <v>237.0</v>
      </c>
      <c r="E546" s="1">
        <v>74.0</v>
      </c>
      <c r="F546" s="1">
        <v>80.0</v>
      </c>
      <c r="G546" s="1">
        <v>94.0</v>
      </c>
      <c r="H546" s="1">
        <v>54.0</v>
      </c>
      <c r="I546" s="1">
        <v>51.0</v>
      </c>
      <c r="J546" s="1">
        <v>73.0</v>
      </c>
      <c r="K546" s="1">
        <v>83.0</v>
      </c>
      <c r="L546" s="1">
        <v>77.0</v>
      </c>
      <c r="M546" s="1">
        <v>85.0</v>
      </c>
      <c r="N546" s="1">
        <v>86.0</v>
      </c>
      <c r="O546" s="1">
        <v>75.0</v>
      </c>
      <c r="P546" s="1">
        <v>60.0</v>
      </c>
      <c r="Q546" s="1">
        <v>74.0</v>
      </c>
      <c r="R546" s="1">
        <v>60.0</v>
      </c>
      <c r="S546" s="1">
        <v>78.0</v>
      </c>
      <c r="T546" s="1">
        <v>85.0</v>
      </c>
      <c r="U546" s="1">
        <v>70.0</v>
      </c>
      <c r="V546" s="1">
        <v>85.0</v>
      </c>
      <c r="W546" s="1">
        <v>77.0</v>
      </c>
      <c r="X546" s="1">
        <v>73.0</v>
      </c>
      <c r="Y546" s="1">
        <v>85.0</v>
      </c>
      <c r="Z546" s="1">
        <v>1.0</v>
      </c>
    </row>
    <row r="547">
      <c r="A547" s="1" t="s">
        <v>2094</v>
      </c>
      <c r="B547" s="1" t="s">
        <v>1522</v>
      </c>
      <c r="C547" s="1" t="s">
        <v>970</v>
      </c>
      <c r="D547" s="1">
        <v>220.0</v>
      </c>
      <c r="E547" s="1">
        <v>84.0</v>
      </c>
      <c r="F547" s="1">
        <v>67.0</v>
      </c>
      <c r="G547" s="1">
        <v>87.0</v>
      </c>
      <c r="H547" s="1">
        <v>95.0</v>
      </c>
      <c r="I547" s="1">
        <v>85.0</v>
      </c>
      <c r="J547" s="1">
        <v>44.0</v>
      </c>
      <c r="K547" s="1">
        <v>25.0</v>
      </c>
      <c r="L547" s="1">
        <v>46.0</v>
      </c>
      <c r="M547" s="1">
        <v>87.0</v>
      </c>
      <c r="N547" s="1">
        <v>80.0</v>
      </c>
      <c r="O547" s="1">
        <v>60.0</v>
      </c>
      <c r="P547" s="1">
        <v>79.0</v>
      </c>
      <c r="Q547" s="1">
        <v>68.0</v>
      </c>
      <c r="R547" s="1">
        <v>45.0</v>
      </c>
      <c r="S547" s="1">
        <v>88.0</v>
      </c>
      <c r="T547" s="1">
        <v>70.0</v>
      </c>
      <c r="U547" s="1">
        <v>85.0</v>
      </c>
      <c r="V547" s="1">
        <v>85.0</v>
      </c>
      <c r="W547" s="1">
        <v>70.0</v>
      </c>
      <c r="X547" s="1">
        <v>88.0</v>
      </c>
      <c r="Y547" s="1">
        <v>95.0</v>
      </c>
      <c r="Z547" s="1">
        <v>1.0</v>
      </c>
    </row>
    <row r="548">
      <c r="A548" s="1" t="s">
        <v>2095</v>
      </c>
      <c r="B548" s="1" t="s">
        <v>1522</v>
      </c>
      <c r="C548" s="1" t="s">
        <v>192</v>
      </c>
      <c r="D548" s="1">
        <v>215.0</v>
      </c>
      <c r="E548" s="1">
        <v>94.0</v>
      </c>
      <c r="F548" s="1">
        <v>93.0</v>
      </c>
      <c r="G548" s="1">
        <v>75.0</v>
      </c>
      <c r="H548" s="1">
        <v>52.0</v>
      </c>
      <c r="I548" s="1">
        <v>69.0</v>
      </c>
      <c r="J548" s="1">
        <v>86.0</v>
      </c>
      <c r="K548" s="1">
        <v>87.0</v>
      </c>
      <c r="L548" s="1">
        <v>90.0</v>
      </c>
      <c r="M548" s="1">
        <v>61.0</v>
      </c>
      <c r="N548" s="1">
        <v>86.0</v>
      </c>
      <c r="O548" s="1">
        <v>66.0</v>
      </c>
      <c r="P548" s="1">
        <v>63.0</v>
      </c>
      <c r="Q548" s="1">
        <v>60.0</v>
      </c>
      <c r="R548" s="1">
        <v>39.0</v>
      </c>
      <c r="S548" s="1">
        <v>52.0</v>
      </c>
      <c r="T548" s="1">
        <v>42.0</v>
      </c>
      <c r="U548" s="1">
        <v>60.0</v>
      </c>
      <c r="V548" s="1">
        <v>90.0</v>
      </c>
      <c r="W548" s="1">
        <v>76.0</v>
      </c>
      <c r="X548" s="1">
        <v>86.0</v>
      </c>
      <c r="Y548" s="1">
        <v>82.0</v>
      </c>
      <c r="Z548" s="1">
        <v>1.0</v>
      </c>
    </row>
    <row r="549">
      <c r="A549" s="1" t="s">
        <v>969</v>
      </c>
      <c r="B549" s="1" t="s">
        <v>1522</v>
      </c>
      <c r="C549" s="1" t="s">
        <v>1534</v>
      </c>
      <c r="D549" s="1">
        <v>228.0</v>
      </c>
      <c r="E549" s="1">
        <v>75.0</v>
      </c>
      <c r="F549" s="1">
        <v>70.0</v>
      </c>
      <c r="G549" s="1">
        <v>87.0</v>
      </c>
      <c r="H549" s="1">
        <v>53.0</v>
      </c>
      <c r="I549" s="1">
        <v>48.0</v>
      </c>
      <c r="J549" s="1">
        <v>83.0</v>
      </c>
      <c r="K549" s="1">
        <v>80.0</v>
      </c>
      <c r="L549" s="1">
        <v>58.0</v>
      </c>
      <c r="M549" s="1">
        <v>71.0</v>
      </c>
      <c r="N549" s="1">
        <v>76.0</v>
      </c>
      <c r="O549" s="1">
        <v>69.0</v>
      </c>
      <c r="P549" s="1">
        <v>74.0</v>
      </c>
      <c r="Q549" s="1">
        <v>53.0</v>
      </c>
      <c r="R549" s="1">
        <v>73.0</v>
      </c>
      <c r="S549" s="1">
        <v>74.0</v>
      </c>
      <c r="T549" s="1">
        <v>89.0</v>
      </c>
      <c r="U549" s="1">
        <v>92.0</v>
      </c>
      <c r="V549" s="1">
        <v>80.0</v>
      </c>
      <c r="W549" s="1">
        <v>79.0</v>
      </c>
      <c r="X549" s="1">
        <v>83.0</v>
      </c>
      <c r="Y549" s="1">
        <v>88.0</v>
      </c>
      <c r="Z549" s="1">
        <v>1.0</v>
      </c>
    </row>
    <row r="550">
      <c r="A550" s="1" t="s">
        <v>527</v>
      </c>
      <c r="B550" s="1" t="s">
        <v>1522</v>
      </c>
      <c r="C550" s="1" t="s">
        <v>970</v>
      </c>
      <c r="D550" s="1">
        <v>230.0</v>
      </c>
      <c r="E550" s="1">
        <v>77.0</v>
      </c>
      <c r="F550" s="1">
        <v>87.0</v>
      </c>
      <c r="G550" s="1">
        <v>93.0</v>
      </c>
      <c r="H550" s="1">
        <v>53.0</v>
      </c>
      <c r="I550" s="1">
        <v>51.0</v>
      </c>
      <c r="J550" s="1">
        <v>89.0</v>
      </c>
      <c r="K550" s="1">
        <v>75.0</v>
      </c>
      <c r="L550" s="1">
        <v>69.0</v>
      </c>
      <c r="M550" s="1">
        <v>61.0</v>
      </c>
      <c r="N550" s="1">
        <v>86.0</v>
      </c>
      <c r="O550" s="1">
        <v>75.0</v>
      </c>
      <c r="P550" s="1">
        <v>63.0</v>
      </c>
      <c r="Q550" s="1">
        <v>65.0</v>
      </c>
      <c r="R550" s="1">
        <v>88.0</v>
      </c>
      <c r="S550" s="1">
        <v>80.0</v>
      </c>
      <c r="T550" s="1">
        <v>50.0</v>
      </c>
      <c r="U550" s="1">
        <v>72.0</v>
      </c>
      <c r="V550" s="1">
        <v>86.0</v>
      </c>
      <c r="W550" s="1">
        <v>71.0</v>
      </c>
      <c r="X550" s="1">
        <v>54.0</v>
      </c>
      <c r="Y550" s="1">
        <v>80.0</v>
      </c>
      <c r="Z550" s="1">
        <v>1.0</v>
      </c>
    </row>
    <row r="551">
      <c r="A551" s="1" t="s">
        <v>2096</v>
      </c>
      <c r="B551" s="1" t="s">
        <v>1522</v>
      </c>
      <c r="C551" s="1" t="s">
        <v>1579</v>
      </c>
      <c r="D551" s="1">
        <v>214.0</v>
      </c>
      <c r="E551" s="1">
        <v>73.0</v>
      </c>
      <c r="F551" s="1">
        <v>63.0</v>
      </c>
      <c r="G551" s="1">
        <v>77.0</v>
      </c>
      <c r="H551" s="1">
        <v>87.0</v>
      </c>
      <c r="I551" s="1">
        <v>53.0</v>
      </c>
      <c r="J551" s="1">
        <v>83.0</v>
      </c>
      <c r="K551" s="1">
        <v>86.0</v>
      </c>
      <c r="L551" s="1">
        <v>61.0</v>
      </c>
      <c r="M551" s="1">
        <v>83.0</v>
      </c>
      <c r="N551" s="1">
        <v>78.0</v>
      </c>
      <c r="O551" s="1">
        <v>70.0</v>
      </c>
      <c r="P551" s="1">
        <v>75.0</v>
      </c>
      <c r="Q551" s="1">
        <v>72.0</v>
      </c>
      <c r="R551" s="1">
        <v>53.0</v>
      </c>
      <c r="S551" s="1">
        <v>58.0</v>
      </c>
      <c r="T551" s="1">
        <v>85.0</v>
      </c>
      <c r="U551" s="1">
        <v>86.0</v>
      </c>
      <c r="V551" s="1">
        <v>80.0</v>
      </c>
      <c r="W551" s="1">
        <v>75.0</v>
      </c>
      <c r="X551" s="1">
        <v>83.0</v>
      </c>
      <c r="Y551" s="1">
        <v>92.0</v>
      </c>
      <c r="Z551" s="1">
        <v>1.0</v>
      </c>
    </row>
    <row r="552">
      <c r="A552" s="1" t="s">
        <v>608</v>
      </c>
      <c r="B552" s="1" t="s">
        <v>1522</v>
      </c>
      <c r="C552" s="1" t="s">
        <v>970</v>
      </c>
      <c r="D552" s="1" t="s">
        <v>2097</v>
      </c>
      <c r="E552" s="1" t="s">
        <v>473</v>
      </c>
      <c r="F552" s="1" t="s">
        <v>724</v>
      </c>
      <c r="G552" s="1" t="s">
        <v>633</v>
      </c>
      <c r="H552" s="1" t="s">
        <v>2098</v>
      </c>
      <c r="I552" s="1" t="s">
        <v>1487</v>
      </c>
      <c r="J552" s="1" t="s">
        <v>205</v>
      </c>
      <c r="K552" s="1" t="s">
        <v>136</v>
      </c>
      <c r="L552" s="1" t="s">
        <v>974</v>
      </c>
      <c r="M552" s="1" t="s">
        <v>1566</v>
      </c>
      <c r="N552" s="1" t="s">
        <v>520</v>
      </c>
      <c r="O552" s="1" t="s">
        <v>1313</v>
      </c>
      <c r="P552" s="1" t="s">
        <v>266</v>
      </c>
      <c r="Q552" s="1" t="s">
        <v>1938</v>
      </c>
      <c r="R552" s="1" t="s">
        <v>48</v>
      </c>
      <c r="S552" s="1" t="s">
        <v>1630</v>
      </c>
      <c r="T552" s="1" t="s">
        <v>355</v>
      </c>
      <c r="U552" s="1" t="s">
        <v>190</v>
      </c>
      <c r="V552" s="1" t="s">
        <v>180</v>
      </c>
      <c r="W552" s="1" t="s">
        <v>975</v>
      </c>
      <c r="X552" s="1" t="s">
        <v>199</v>
      </c>
      <c r="Y552" s="1" t="s">
        <v>39</v>
      </c>
      <c r="Z552" s="1">
        <v>1.0</v>
      </c>
    </row>
    <row r="553">
      <c r="A553" s="1" t="s">
        <v>2099</v>
      </c>
      <c r="B553" s="1" t="s">
        <v>1522</v>
      </c>
      <c r="C553" s="1" t="s">
        <v>1534</v>
      </c>
      <c r="D553" s="1">
        <v>218.0</v>
      </c>
      <c r="E553" s="1">
        <v>77.0</v>
      </c>
      <c r="F553" s="1">
        <v>70.0</v>
      </c>
      <c r="G553" s="1">
        <v>88.0</v>
      </c>
      <c r="H553" s="1">
        <v>53.0</v>
      </c>
      <c r="I553" s="1">
        <v>48.0</v>
      </c>
      <c r="J553" s="1">
        <v>83.0</v>
      </c>
      <c r="K553" s="1">
        <v>79.0</v>
      </c>
      <c r="L553" s="1">
        <v>95.0</v>
      </c>
      <c r="M553" s="1">
        <v>60.0</v>
      </c>
      <c r="N553" s="1">
        <v>75.0</v>
      </c>
      <c r="O553" s="1">
        <v>68.0</v>
      </c>
      <c r="P553" s="1">
        <v>82.0</v>
      </c>
      <c r="Q553" s="1">
        <v>80.0</v>
      </c>
      <c r="R553" s="1">
        <v>50.0</v>
      </c>
      <c r="S553" s="1">
        <v>88.0</v>
      </c>
      <c r="T553" s="1">
        <v>92.0</v>
      </c>
      <c r="U553" s="1">
        <v>77.0</v>
      </c>
      <c r="V553" s="1">
        <v>80.0</v>
      </c>
      <c r="W553" s="1">
        <v>77.0</v>
      </c>
      <c r="X553" s="1">
        <v>81.0</v>
      </c>
      <c r="Y553" s="1">
        <v>85.0</v>
      </c>
      <c r="Z553" s="1">
        <v>1.0</v>
      </c>
    </row>
    <row r="554">
      <c r="A554" s="1" t="s">
        <v>2100</v>
      </c>
      <c r="B554" s="1" t="s">
        <v>1522</v>
      </c>
      <c r="C554" s="1" t="s">
        <v>970</v>
      </c>
      <c r="D554" s="1">
        <v>219.0</v>
      </c>
      <c r="E554" s="1">
        <v>76.0</v>
      </c>
      <c r="F554" s="1">
        <v>76.0</v>
      </c>
      <c r="G554" s="1">
        <v>76.0</v>
      </c>
      <c r="H554" s="1">
        <v>56.0</v>
      </c>
      <c r="I554" s="1">
        <v>63.0</v>
      </c>
      <c r="J554" s="1">
        <v>80.0</v>
      </c>
      <c r="K554" s="1">
        <v>85.0</v>
      </c>
      <c r="L554" s="1">
        <v>62.0</v>
      </c>
      <c r="M554" s="1">
        <v>65.0</v>
      </c>
      <c r="N554" s="1">
        <v>75.0</v>
      </c>
      <c r="O554" s="1">
        <v>70.0</v>
      </c>
      <c r="P554" s="1">
        <v>85.0</v>
      </c>
      <c r="Q554" s="1">
        <v>85.0</v>
      </c>
      <c r="R554" s="1">
        <v>70.0</v>
      </c>
      <c r="S554" s="1">
        <v>75.0</v>
      </c>
      <c r="T554" s="1">
        <v>76.0</v>
      </c>
      <c r="U554" s="1">
        <v>80.0</v>
      </c>
      <c r="V554" s="1">
        <v>86.0</v>
      </c>
      <c r="W554" s="1">
        <v>80.0</v>
      </c>
      <c r="X554" s="1">
        <v>81.0</v>
      </c>
      <c r="Y554" s="1">
        <v>83.0</v>
      </c>
      <c r="Z554" s="1">
        <v>1.0</v>
      </c>
    </row>
    <row r="555">
      <c r="A555" s="1" t="s">
        <v>2101</v>
      </c>
      <c r="B555" s="1" t="s">
        <v>1522</v>
      </c>
      <c r="C555" s="1" t="s">
        <v>192</v>
      </c>
      <c r="D555" s="1">
        <v>219.0</v>
      </c>
      <c r="E555" s="1">
        <v>77.0</v>
      </c>
      <c r="F555" s="1">
        <v>77.0</v>
      </c>
      <c r="G555" s="1">
        <v>97.0</v>
      </c>
      <c r="H555" s="1">
        <v>47.0</v>
      </c>
      <c r="I555" s="1">
        <v>50.0</v>
      </c>
      <c r="J555" s="1">
        <v>75.0</v>
      </c>
      <c r="K555" s="1">
        <v>85.0</v>
      </c>
      <c r="L555" s="1">
        <v>60.0</v>
      </c>
      <c r="M555" s="1">
        <v>60.0</v>
      </c>
      <c r="N555" s="1">
        <v>81.0</v>
      </c>
      <c r="O555" s="1">
        <v>75.0</v>
      </c>
      <c r="P555" s="1">
        <v>82.0</v>
      </c>
      <c r="Q555" s="1">
        <v>74.0</v>
      </c>
      <c r="R555" s="1">
        <v>44.0</v>
      </c>
      <c r="S555" s="1">
        <v>52.0</v>
      </c>
      <c r="T555" s="1">
        <v>46.0</v>
      </c>
      <c r="U555" s="1">
        <v>70.0</v>
      </c>
      <c r="V555" s="1">
        <v>85.0</v>
      </c>
      <c r="W555" s="1">
        <v>80.0</v>
      </c>
      <c r="X555" s="1">
        <v>85.0</v>
      </c>
      <c r="Y555" s="1">
        <v>88.0</v>
      </c>
      <c r="Z555" s="1">
        <v>1.0</v>
      </c>
    </row>
    <row r="556">
      <c r="A556" s="1" t="s">
        <v>2102</v>
      </c>
      <c r="B556" s="1" t="s">
        <v>1522</v>
      </c>
      <c r="C556" s="1" t="s">
        <v>1579</v>
      </c>
      <c r="D556" s="1">
        <v>225.0</v>
      </c>
      <c r="E556" s="1">
        <v>77.0</v>
      </c>
      <c r="F556" s="1">
        <v>80.0</v>
      </c>
      <c r="G556" s="1">
        <v>92.0</v>
      </c>
      <c r="H556" s="1">
        <v>90.0</v>
      </c>
      <c r="I556" s="1">
        <v>52.0</v>
      </c>
      <c r="J556" s="1">
        <v>37.0</v>
      </c>
      <c r="K556" s="1">
        <v>25.0</v>
      </c>
      <c r="L556" s="1">
        <v>52.0</v>
      </c>
      <c r="M556" s="1">
        <v>76.0</v>
      </c>
      <c r="N556" s="1">
        <v>75.0</v>
      </c>
      <c r="O556" s="1">
        <v>65.0</v>
      </c>
      <c r="P556" s="1">
        <v>82.0</v>
      </c>
      <c r="Q556" s="1">
        <v>82.0</v>
      </c>
      <c r="R556" s="1">
        <v>52.0</v>
      </c>
      <c r="S556" s="1">
        <v>90.0</v>
      </c>
      <c r="T556" s="1">
        <v>92.0</v>
      </c>
      <c r="U556" s="1">
        <v>80.0</v>
      </c>
      <c r="V556" s="1">
        <v>68.0</v>
      </c>
      <c r="W556" s="1">
        <v>66.0</v>
      </c>
      <c r="X556" s="1">
        <v>83.0</v>
      </c>
      <c r="Y556" s="1">
        <v>83.0</v>
      </c>
      <c r="Z556" s="1">
        <v>1.0</v>
      </c>
    </row>
    <row r="557">
      <c r="A557" s="1" t="s">
        <v>2103</v>
      </c>
      <c r="B557" s="1" t="s">
        <v>1522</v>
      </c>
      <c r="C557" s="1" t="s">
        <v>1579</v>
      </c>
      <c r="D557" s="1">
        <v>230.0</v>
      </c>
      <c r="E557" s="1">
        <v>78.0</v>
      </c>
      <c r="F557" s="1">
        <v>70.0</v>
      </c>
      <c r="G557" s="1">
        <v>89.0</v>
      </c>
      <c r="H557" s="1">
        <v>59.0</v>
      </c>
      <c r="I557" s="1">
        <v>55.0</v>
      </c>
      <c r="J557" s="1">
        <v>87.0</v>
      </c>
      <c r="K557" s="1">
        <v>85.0</v>
      </c>
      <c r="L557" s="1">
        <v>70.0</v>
      </c>
      <c r="M557" s="1">
        <v>70.0</v>
      </c>
      <c r="N557" s="1">
        <v>75.0</v>
      </c>
      <c r="O557" s="1">
        <v>68.0</v>
      </c>
      <c r="P557" s="1">
        <v>85.0</v>
      </c>
      <c r="Q557" s="1">
        <v>74.0</v>
      </c>
      <c r="R557" s="1">
        <v>60.0</v>
      </c>
      <c r="S557" s="1">
        <v>85.0</v>
      </c>
      <c r="T557" s="1">
        <v>72.0</v>
      </c>
      <c r="U557" s="1">
        <v>88.0</v>
      </c>
      <c r="V557" s="1">
        <v>75.0</v>
      </c>
      <c r="W557" s="1">
        <v>70.0</v>
      </c>
      <c r="X557" s="1">
        <v>85.0</v>
      </c>
      <c r="Y557" s="1">
        <v>79.0</v>
      </c>
      <c r="Z557" s="1">
        <v>1.0</v>
      </c>
    </row>
    <row r="558">
      <c r="A558" s="1" t="s">
        <v>2104</v>
      </c>
      <c r="B558" s="1" t="s">
        <v>1522</v>
      </c>
      <c r="C558" s="1" t="s">
        <v>1534</v>
      </c>
      <c r="D558" s="1">
        <v>250.0</v>
      </c>
      <c r="E558" s="1">
        <v>79.0</v>
      </c>
      <c r="F558" s="1">
        <v>54.0</v>
      </c>
      <c r="G558" s="1">
        <v>73.0</v>
      </c>
      <c r="H558" s="1">
        <v>53.0</v>
      </c>
      <c r="I558" s="1">
        <v>56.0</v>
      </c>
      <c r="J558" s="1">
        <v>70.0</v>
      </c>
      <c r="K558" s="1">
        <v>80.0</v>
      </c>
      <c r="L558" s="1">
        <v>57.0</v>
      </c>
      <c r="M558" s="1">
        <v>25.0</v>
      </c>
      <c r="N558" s="1">
        <v>45.0</v>
      </c>
      <c r="O558" s="1">
        <v>50.0</v>
      </c>
      <c r="P558" s="1">
        <v>82.0</v>
      </c>
      <c r="Q558" s="1">
        <v>83.0</v>
      </c>
      <c r="R558" s="1">
        <v>60.0</v>
      </c>
      <c r="S558" s="1">
        <v>93.0</v>
      </c>
      <c r="T558" s="1">
        <v>94.0</v>
      </c>
      <c r="U558" s="1">
        <v>90.0</v>
      </c>
      <c r="V558" s="1">
        <v>80.0</v>
      </c>
      <c r="W558" s="1">
        <v>75.0</v>
      </c>
      <c r="X558" s="1">
        <v>91.0</v>
      </c>
      <c r="Y558" s="1">
        <v>88.0</v>
      </c>
      <c r="Z558" s="1">
        <v>1.0</v>
      </c>
    </row>
    <row r="559">
      <c r="A559" s="1" t="s">
        <v>2105</v>
      </c>
      <c r="B559" s="1" t="s">
        <v>1522</v>
      </c>
      <c r="C559" s="1" t="s">
        <v>970</v>
      </c>
      <c r="D559" s="1">
        <v>218.0</v>
      </c>
      <c r="E559" s="1">
        <v>72.0</v>
      </c>
      <c r="F559" s="1">
        <v>75.0</v>
      </c>
      <c r="G559" s="1">
        <v>81.0</v>
      </c>
      <c r="H559" s="1">
        <v>45.0</v>
      </c>
      <c r="I559" s="1">
        <v>49.0</v>
      </c>
      <c r="J559" s="1">
        <v>76.0</v>
      </c>
      <c r="K559" s="1">
        <v>83.0</v>
      </c>
      <c r="L559" s="1">
        <v>74.0</v>
      </c>
      <c r="M559" s="1">
        <v>64.0</v>
      </c>
      <c r="N559" s="1">
        <v>70.0</v>
      </c>
      <c r="O559" s="1">
        <v>70.0</v>
      </c>
      <c r="P559" s="1">
        <v>70.0</v>
      </c>
      <c r="Q559" s="1">
        <v>91.0</v>
      </c>
      <c r="R559" s="1">
        <v>88.0</v>
      </c>
      <c r="S559" s="1">
        <v>78.0</v>
      </c>
      <c r="T559" s="1">
        <v>41.0</v>
      </c>
      <c r="U559" s="1">
        <v>65.0</v>
      </c>
      <c r="V559" s="1">
        <v>86.0</v>
      </c>
      <c r="W559" s="1">
        <v>83.0</v>
      </c>
      <c r="X559" s="1">
        <v>84.0</v>
      </c>
      <c r="Y559" s="1">
        <v>78.0</v>
      </c>
      <c r="Z559" s="1">
        <v>1.0</v>
      </c>
    </row>
    <row r="560">
      <c r="A560" s="1" t="s">
        <v>377</v>
      </c>
      <c r="B560" s="1" t="s">
        <v>1522</v>
      </c>
      <c r="C560" s="1" t="s">
        <v>1534</v>
      </c>
      <c r="D560" s="1">
        <v>215.0</v>
      </c>
      <c r="E560" s="1">
        <v>71.0</v>
      </c>
      <c r="F560" s="1">
        <v>80.0</v>
      </c>
      <c r="G560" s="1">
        <v>80.0</v>
      </c>
      <c r="H560" s="1">
        <v>45.0</v>
      </c>
      <c r="I560" s="1">
        <v>54.0</v>
      </c>
      <c r="J560" s="1">
        <v>81.0</v>
      </c>
      <c r="K560" s="1">
        <v>86.0</v>
      </c>
      <c r="L560" s="1">
        <v>93.0</v>
      </c>
      <c r="M560" s="1">
        <v>86.0</v>
      </c>
      <c r="N560" s="1">
        <v>80.0</v>
      </c>
      <c r="O560" s="1">
        <v>72.0</v>
      </c>
      <c r="P560" s="1">
        <v>90.0</v>
      </c>
      <c r="Q560" s="1">
        <v>86.0</v>
      </c>
      <c r="R560" s="1">
        <v>80.0</v>
      </c>
      <c r="S560" s="1">
        <v>92.0</v>
      </c>
      <c r="T560" s="1">
        <v>52.0</v>
      </c>
      <c r="U560" s="1">
        <v>70.0</v>
      </c>
      <c r="V560" s="1">
        <v>72.0</v>
      </c>
      <c r="W560" s="1">
        <v>66.0</v>
      </c>
      <c r="X560" s="1">
        <v>70.0</v>
      </c>
      <c r="Y560" s="1">
        <v>62.0</v>
      </c>
      <c r="Z560" s="1">
        <v>1.0</v>
      </c>
    </row>
    <row r="561">
      <c r="A561" s="1" t="s">
        <v>2106</v>
      </c>
      <c r="B561" s="1" t="s">
        <v>1522</v>
      </c>
      <c r="C561" s="1" t="s">
        <v>145</v>
      </c>
      <c r="D561" s="1">
        <v>215.0</v>
      </c>
      <c r="E561" s="1">
        <v>84.0</v>
      </c>
      <c r="F561" s="1">
        <v>90.0</v>
      </c>
      <c r="G561" s="1">
        <v>87.0</v>
      </c>
      <c r="H561" s="1">
        <v>60.0</v>
      </c>
      <c r="I561" s="1">
        <v>87.0</v>
      </c>
      <c r="J561" s="1">
        <v>93.0</v>
      </c>
      <c r="K561" s="1">
        <v>78.0</v>
      </c>
      <c r="L561" s="1">
        <v>84.0</v>
      </c>
      <c r="M561" s="1">
        <v>71.0</v>
      </c>
      <c r="N561" s="1">
        <v>81.0</v>
      </c>
      <c r="O561" s="1">
        <v>80.0</v>
      </c>
      <c r="P561" s="1">
        <v>60.0</v>
      </c>
      <c r="Q561" s="1">
        <v>74.0</v>
      </c>
      <c r="R561" s="1">
        <v>67.0</v>
      </c>
      <c r="S561" s="1">
        <v>31.0</v>
      </c>
      <c r="T561" s="1">
        <v>47.0</v>
      </c>
      <c r="U561" s="1">
        <v>60.0</v>
      </c>
      <c r="V561" s="1">
        <v>82.0</v>
      </c>
      <c r="W561" s="1">
        <v>80.0</v>
      </c>
      <c r="X561" s="1">
        <v>75.0</v>
      </c>
      <c r="Y561" s="1">
        <v>75.0</v>
      </c>
      <c r="Z561" s="1">
        <v>1.0</v>
      </c>
    </row>
    <row r="562">
      <c r="A562" s="1" t="s">
        <v>2107</v>
      </c>
      <c r="B562" s="1" t="s">
        <v>2108</v>
      </c>
      <c r="C562" s="1" t="s">
        <v>1579</v>
      </c>
      <c r="D562" s="1">
        <v>228.0</v>
      </c>
      <c r="E562" s="1">
        <v>82.0</v>
      </c>
      <c r="F562" s="1">
        <v>82.0</v>
      </c>
      <c r="G562" s="1">
        <v>80.0</v>
      </c>
      <c r="H562" s="1">
        <v>90.0</v>
      </c>
      <c r="I562" s="1">
        <v>84.0</v>
      </c>
      <c r="J562" s="1">
        <v>86.0</v>
      </c>
      <c r="K562" s="1">
        <v>80.0</v>
      </c>
      <c r="L562" s="1">
        <v>85.0</v>
      </c>
      <c r="M562" s="1">
        <v>76.0</v>
      </c>
      <c r="N562" s="1">
        <v>66.0</v>
      </c>
      <c r="O562" s="1">
        <v>66.0</v>
      </c>
      <c r="P562" s="1">
        <v>80.0</v>
      </c>
      <c r="Q562" s="1">
        <v>40.0</v>
      </c>
      <c r="R562" s="1">
        <v>40.0</v>
      </c>
      <c r="S562" s="1">
        <v>82.0</v>
      </c>
      <c r="T562" s="1">
        <v>76.0</v>
      </c>
      <c r="U562" s="1">
        <v>92.0</v>
      </c>
      <c r="V562" s="1">
        <v>70.0</v>
      </c>
      <c r="W562" s="1">
        <v>68.0</v>
      </c>
      <c r="X562" s="1">
        <v>80.0</v>
      </c>
      <c r="Y562" s="1">
        <v>70.0</v>
      </c>
      <c r="Z562" s="1">
        <v>1.0</v>
      </c>
    </row>
    <row r="563">
      <c r="A563" s="1" t="s">
        <v>2109</v>
      </c>
      <c r="B563" s="1" t="s">
        <v>2108</v>
      </c>
      <c r="C563" s="1" t="s">
        <v>2110</v>
      </c>
      <c r="D563" s="1" t="s">
        <v>2111</v>
      </c>
      <c r="E563" s="1" t="s">
        <v>2112</v>
      </c>
      <c r="F563" s="1" t="s">
        <v>731</v>
      </c>
      <c r="G563" s="1" t="s">
        <v>671</v>
      </c>
      <c r="H563" s="1" t="s">
        <v>364</v>
      </c>
      <c r="I563" s="1" t="s">
        <v>1063</v>
      </c>
      <c r="J563" s="1" t="s">
        <v>424</v>
      </c>
      <c r="K563" s="1" t="s">
        <v>802</v>
      </c>
      <c r="L563" s="1" t="s">
        <v>530</v>
      </c>
      <c r="M563" s="1" t="s">
        <v>765</v>
      </c>
      <c r="N563" s="1" t="s">
        <v>859</v>
      </c>
      <c r="O563" s="1" t="s">
        <v>2113</v>
      </c>
      <c r="P563" s="1" t="s">
        <v>502</v>
      </c>
      <c r="Q563" s="1" t="s">
        <v>1043</v>
      </c>
      <c r="R563" s="1" t="s">
        <v>859</v>
      </c>
      <c r="S563" s="1" t="s">
        <v>671</v>
      </c>
      <c r="T563" s="1" t="s">
        <v>431</v>
      </c>
      <c r="U563" s="1" t="s">
        <v>413</v>
      </c>
      <c r="V563" s="1" t="s">
        <v>1616</v>
      </c>
      <c r="W563" s="1" t="s">
        <v>355</v>
      </c>
      <c r="X563" s="1" t="s">
        <v>2114</v>
      </c>
      <c r="Y563" s="1" t="s">
        <v>166</v>
      </c>
      <c r="Z563" s="1">
        <v>1.0</v>
      </c>
    </row>
    <row r="564">
      <c r="A564" s="1" t="s">
        <v>2079</v>
      </c>
      <c r="B564" s="1" t="s">
        <v>2108</v>
      </c>
      <c r="C564" s="1" t="s">
        <v>2115</v>
      </c>
      <c r="D564" s="1">
        <v>230.0</v>
      </c>
      <c r="E564" s="1">
        <v>82.0</v>
      </c>
      <c r="F564" s="1">
        <v>80.0</v>
      </c>
      <c r="G564" s="1">
        <v>89.0</v>
      </c>
      <c r="H564" s="1">
        <v>90.0</v>
      </c>
      <c r="I564" s="1">
        <v>80.0</v>
      </c>
      <c r="J564" s="1">
        <v>83.0</v>
      </c>
      <c r="K564" s="1">
        <v>77.0</v>
      </c>
      <c r="L564" s="1">
        <v>71.0</v>
      </c>
      <c r="M564" s="1">
        <v>76.0</v>
      </c>
      <c r="N564" s="1">
        <v>60.0</v>
      </c>
      <c r="O564" s="1">
        <v>65.0</v>
      </c>
      <c r="P564" s="1">
        <v>82.0</v>
      </c>
      <c r="Q564" s="1">
        <v>62.0</v>
      </c>
      <c r="R564" s="1">
        <v>60.0</v>
      </c>
      <c r="S564" s="1">
        <v>78.0</v>
      </c>
      <c r="T564" s="1">
        <v>87.0</v>
      </c>
      <c r="U564" s="1">
        <v>81.0</v>
      </c>
      <c r="V564" s="1">
        <v>70.0</v>
      </c>
      <c r="W564" s="1">
        <v>64.0</v>
      </c>
      <c r="X564" s="1">
        <v>80.0</v>
      </c>
      <c r="Y564" s="1">
        <v>80.0</v>
      </c>
      <c r="Z564" s="1">
        <v>1.0</v>
      </c>
    </row>
    <row r="565">
      <c r="A565" s="1" t="s">
        <v>2116</v>
      </c>
      <c r="B565" s="1" t="s">
        <v>2108</v>
      </c>
      <c r="C565" s="1" t="s">
        <v>192</v>
      </c>
      <c r="D565" s="1">
        <v>249.0</v>
      </c>
      <c r="E565" s="1">
        <v>74.0</v>
      </c>
      <c r="F565" s="1">
        <v>70.0</v>
      </c>
      <c r="G565" s="1">
        <v>52.0</v>
      </c>
      <c r="H565" s="1">
        <v>52.0</v>
      </c>
      <c r="I565" s="1">
        <v>59.0</v>
      </c>
      <c r="J565" s="1">
        <v>89.0</v>
      </c>
      <c r="K565" s="1">
        <v>75.0</v>
      </c>
      <c r="L565" s="1">
        <v>66.0</v>
      </c>
      <c r="M565" s="1">
        <v>71.0</v>
      </c>
      <c r="N565" s="1">
        <v>85.0</v>
      </c>
      <c r="O565" s="1">
        <v>80.0</v>
      </c>
      <c r="P565" s="1">
        <v>78.0</v>
      </c>
      <c r="Q565" s="1">
        <v>74.0</v>
      </c>
      <c r="R565" s="1">
        <v>63.0</v>
      </c>
      <c r="S565" s="1">
        <v>84.0</v>
      </c>
      <c r="T565" s="1">
        <v>83.0</v>
      </c>
      <c r="U565" s="1">
        <v>92.0</v>
      </c>
      <c r="V565" s="1">
        <v>85.0</v>
      </c>
      <c r="W565" s="1">
        <v>78.0</v>
      </c>
      <c r="X565" s="1">
        <v>94.0</v>
      </c>
      <c r="Y565" s="1">
        <v>80.0</v>
      </c>
      <c r="Z565" s="1">
        <v>1.0</v>
      </c>
    </row>
    <row r="566">
      <c r="A566" s="1" t="s">
        <v>2117</v>
      </c>
      <c r="B566" s="1" t="s">
        <v>2108</v>
      </c>
      <c r="C566" s="1" t="s">
        <v>1612</v>
      </c>
      <c r="D566" s="1" t="s">
        <v>2118</v>
      </c>
      <c r="E566" s="1" t="s">
        <v>1246</v>
      </c>
      <c r="F566" s="1" t="s">
        <v>2119</v>
      </c>
      <c r="G566" s="1" t="s">
        <v>163</v>
      </c>
      <c r="H566" s="1" t="s">
        <v>921</v>
      </c>
      <c r="I566" s="1" t="s">
        <v>1410</v>
      </c>
      <c r="J566" s="1" t="s">
        <v>724</v>
      </c>
      <c r="K566" s="1" t="s">
        <v>937</v>
      </c>
      <c r="L566" s="1" t="s">
        <v>828</v>
      </c>
      <c r="M566" s="1" t="s">
        <v>325</v>
      </c>
      <c r="N566" s="1" t="s">
        <v>599</v>
      </c>
      <c r="O566" s="1" t="s">
        <v>1919</v>
      </c>
      <c r="P566" s="1" t="s">
        <v>178</v>
      </c>
      <c r="Q566" s="1" t="s">
        <v>380</v>
      </c>
      <c r="R566" s="1" t="s">
        <v>1897</v>
      </c>
      <c r="S566" s="1" t="s">
        <v>724</v>
      </c>
      <c r="T566" s="1" t="s">
        <v>860</v>
      </c>
      <c r="U566" s="1" t="s">
        <v>1084</v>
      </c>
      <c r="V566" s="1" t="s">
        <v>1046</v>
      </c>
      <c r="W566" s="1" t="s">
        <v>731</v>
      </c>
      <c r="X566" s="1" t="s">
        <v>96</v>
      </c>
      <c r="Y566" s="1" t="s">
        <v>337</v>
      </c>
      <c r="Z566" s="1">
        <v>1.0</v>
      </c>
    </row>
    <row r="567">
      <c r="A567" s="1" t="s">
        <v>2120</v>
      </c>
      <c r="B567" s="1" t="s">
        <v>2108</v>
      </c>
      <c r="C567" s="1" t="s">
        <v>2121</v>
      </c>
      <c r="D567" s="1" t="s">
        <v>2122</v>
      </c>
      <c r="E567" s="1" t="s">
        <v>300</v>
      </c>
      <c r="F567" s="1">
        <v>90.0</v>
      </c>
      <c r="G567" s="1">
        <v>87.0</v>
      </c>
      <c r="H567" s="1" t="s">
        <v>174</v>
      </c>
      <c r="I567" s="1" t="s">
        <v>1603</v>
      </c>
      <c r="J567" s="1">
        <v>85.0</v>
      </c>
      <c r="K567" s="1" t="s">
        <v>571</v>
      </c>
      <c r="L567" s="1" t="s">
        <v>839</v>
      </c>
      <c r="M567" s="1" t="s">
        <v>1136</v>
      </c>
      <c r="N567" s="1" t="s">
        <v>1088</v>
      </c>
      <c r="O567" s="1" t="s">
        <v>2123</v>
      </c>
      <c r="P567" s="1" t="s">
        <v>384</v>
      </c>
      <c r="Q567" s="1" t="s">
        <v>1751</v>
      </c>
      <c r="R567" s="1" t="s">
        <v>2124</v>
      </c>
      <c r="S567" s="1" t="s">
        <v>322</v>
      </c>
      <c r="T567" s="1" t="s">
        <v>364</v>
      </c>
      <c r="U567" s="1" t="s">
        <v>205</v>
      </c>
      <c r="V567" s="1" t="s">
        <v>893</v>
      </c>
      <c r="W567" s="1" t="s">
        <v>1945</v>
      </c>
      <c r="X567" s="1" t="s">
        <v>428</v>
      </c>
      <c r="Y567" s="1" t="s">
        <v>190</v>
      </c>
      <c r="Z567" s="1">
        <v>1.0</v>
      </c>
    </row>
    <row r="568">
      <c r="A568" s="1" t="s">
        <v>49</v>
      </c>
      <c r="B568" s="1" t="s">
        <v>2108</v>
      </c>
      <c r="C568" s="1" t="s">
        <v>2125</v>
      </c>
      <c r="D568" s="1" t="s">
        <v>2126</v>
      </c>
      <c r="E568" s="1" t="s">
        <v>2127</v>
      </c>
      <c r="F568" s="1" t="s">
        <v>1013</v>
      </c>
      <c r="G568" s="1" t="s">
        <v>118</v>
      </c>
      <c r="H568" s="1" t="s">
        <v>1553</v>
      </c>
      <c r="I568" s="1" t="s">
        <v>2128</v>
      </c>
      <c r="J568" s="1" t="s">
        <v>278</v>
      </c>
      <c r="K568" s="1" t="s">
        <v>2129</v>
      </c>
      <c r="L568" s="1" t="s">
        <v>2130</v>
      </c>
      <c r="M568" s="1" t="s">
        <v>1157</v>
      </c>
      <c r="N568" s="1" t="s">
        <v>1640</v>
      </c>
      <c r="O568" s="1" t="s">
        <v>796</v>
      </c>
      <c r="P568" s="1" t="s">
        <v>994</v>
      </c>
      <c r="Q568" s="1" t="s">
        <v>1833</v>
      </c>
      <c r="R568" s="1" t="s">
        <v>987</v>
      </c>
      <c r="S568" s="1" t="s">
        <v>118</v>
      </c>
      <c r="T568" s="1" t="s">
        <v>2131</v>
      </c>
      <c r="U568" s="1" t="s">
        <v>249</v>
      </c>
      <c r="V568" s="1" t="s">
        <v>479</v>
      </c>
      <c r="W568" s="1" t="s">
        <v>698</v>
      </c>
      <c r="X568" s="1" t="s">
        <v>923</v>
      </c>
      <c r="Y568" s="1" t="s">
        <v>1006</v>
      </c>
      <c r="Z568" s="1">
        <v>1.0</v>
      </c>
    </row>
    <row r="569">
      <c r="A569" s="1" t="s">
        <v>1335</v>
      </c>
      <c r="B569" s="1" t="s">
        <v>2108</v>
      </c>
      <c r="C569" s="1" t="s">
        <v>2121</v>
      </c>
      <c r="D569" s="1" t="s">
        <v>1665</v>
      </c>
      <c r="E569" s="1" t="s">
        <v>1416</v>
      </c>
      <c r="F569" s="1" t="s">
        <v>509</v>
      </c>
      <c r="G569" s="1" t="s">
        <v>329</v>
      </c>
      <c r="H569" s="1" t="s">
        <v>700</v>
      </c>
      <c r="I569" s="1" t="s">
        <v>1912</v>
      </c>
      <c r="J569" s="1" t="s">
        <v>46</v>
      </c>
      <c r="K569" s="1" t="s">
        <v>38</v>
      </c>
      <c r="L569" s="1" t="s">
        <v>1460</v>
      </c>
      <c r="M569" s="1" t="s">
        <v>1199</v>
      </c>
      <c r="N569" s="1" t="s">
        <v>237</v>
      </c>
      <c r="O569" s="1" t="s">
        <v>2132</v>
      </c>
      <c r="P569" s="1" t="s">
        <v>857</v>
      </c>
      <c r="Q569" s="1" t="s">
        <v>368</v>
      </c>
      <c r="R569" s="1" t="s">
        <v>2133</v>
      </c>
      <c r="S569" s="1" t="s">
        <v>671</v>
      </c>
      <c r="T569" s="1" t="s">
        <v>48</v>
      </c>
      <c r="U569" s="1" t="s">
        <v>35</v>
      </c>
      <c r="V569" s="1" t="s">
        <v>428</v>
      </c>
      <c r="W569" s="1" t="s">
        <v>1706</v>
      </c>
      <c r="X569" s="1" t="s">
        <v>52</v>
      </c>
      <c r="Y569" s="1" t="s">
        <v>419</v>
      </c>
      <c r="Z569" s="1">
        <v>1.0</v>
      </c>
    </row>
    <row r="570">
      <c r="A570" s="1" t="s">
        <v>2134</v>
      </c>
      <c r="B570" s="1" t="s">
        <v>2108</v>
      </c>
      <c r="C570" s="1" t="s">
        <v>1590</v>
      </c>
      <c r="D570" s="1" t="s">
        <v>2135</v>
      </c>
      <c r="E570" s="1" t="s">
        <v>1740</v>
      </c>
      <c r="F570" s="1" t="s">
        <v>48</v>
      </c>
      <c r="G570" s="1" t="s">
        <v>301</v>
      </c>
      <c r="H570" s="1" t="s">
        <v>360</v>
      </c>
      <c r="I570" s="1" t="s">
        <v>159</v>
      </c>
      <c r="J570" s="1" t="s">
        <v>2136</v>
      </c>
      <c r="K570" s="1" t="s">
        <v>226</v>
      </c>
      <c r="L570" s="1" t="s">
        <v>2137</v>
      </c>
      <c r="M570" s="1" t="s">
        <v>1025</v>
      </c>
      <c r="N570" s="1" t="s">
        <v>691</v>
      </c>
      <c r="O570" s="1" t="s">
        <v>52</v>
      </c>
      <c r="P570" s="1" t="s">
        <v>2138</v>
      </c>
      <c r="Q570" s="1" t="s">
        <v>681</v>
      </c>
      <c r="R570" s="1" t="s">
        <v>2139</v>
      </c>
      <c r="S570" s="1" t="s">
        <v>2138</v>
      </c>
      <c r="T570" s="1" t="s">
        <v>912</v>
      </c>
      <c r="U570" s="1" t="s">
        <v>1016</v>
      </c>
      <c r="V570" s="1" t="s">
        <v>451</v>
      </c>
      <c r="W570" s="1" t="s">
        <v>1523</v>
      </c>
      <c r="X570" s="1" t="s">
        <v>986</v>
      </c>
      <c r="Y570" s="1" t="s">
        <v>139</v>
      </c>
      <c r="Z570" s="1">
        <v>1.0</v>
      </c>
    </row>
    <row r="571">
      <c r="A571" s="1" t="s">
        <v>2140</v>
      </c>
      <c r="B571" s="1" t="s">
        <v>2108</v>
      </c>
      <c r="C571" s="1" t="s">
        <v>2141</v>
      </c>
      <c r="D571" s="1" t="s">
        <v>2142</v>
      </c>
      <c r="E571" s="1" t="s">
        <v>458</v>
      </c>
      <c r="F571" s="1" t="s">
        <v>163</v>
      </c>
      <c r="G571" s="1" t="s">
        <v>242</v>
      </c>
      <c r="H571" s="1" t="s">
        <v>921</v>
      </c>
      <c r="I571" s="1" t="s">
        <v>1628</v>
      </c>
      <c r="J571" s="1" t="s">
        <v>1416</v>
      </c>
      <c r="K571" s="1" t="s">
        <v>220</v>
      </c>
      <c r="L571" s="1" t="s">
        <v>1632</v>
      </c>
      <c r="M571" s="1" t="s">
        <v>1285</v>
      </c>
      <c r="N571" s="1" t="s">
        <v>334</v>
      </c>
      <c r="O571" s="1" t="s">
        <v>2143</v>
      </c>
      <c r="P571" s="1" t="s">
        <v>179</v>
      </c>
      <c r="Q571" s="1" t="s">
        <v>1617</v>
      </c>
      <c r="R571" s="1" t="s">
        <v>233</v>
      </c>
      <c r="S571" s="1" t="s">
        <v>53</v>
      </c>
      <c r="T571" s="1" t="s">
        <v>850</v>
      </c>
      <c r="U571" s="1" t="s">
        <v>773</v>
      </c>
      <c r="V571" s="1" t="s">
        <v>787</v>
      </c>
      <c r="W571" s="1" t="s">
        <v>881</v>
      </c>
      <c r="X571" s="1" t="s">
        <v>517</v>
      </c>
      <c r="Y571" s="1" t="s">
        <v>135</v>
      </c>
      <c r="Z571" s="1">
        <v>1.0</v>
      </c>
    </row>
    <row r="572">
      <c r="A572" s="1" t="s">
        <v>1135</v>
      </c>
      <c r="B572" s="1" t="s">
        <v>2108</v>
      </c>
      <c r="C572" s="1" t="s">
        <v>1534</v>
      </c>
      <c r="D572" s="1">
        <v>210.0</v>
      </c>
      <c r="E572" s="1">
        <v>73.0</v>
      </c>
      <c r="F572" s="1">
        <v>73.0</v>
      </c>
      <c r="G572" s="1">
        <v>93.0</v>
      </c>
      <c r="H572" s="1">
        <v>58.0</v>
      </c>
      <c r="I572" s="1">
        <v>43.0</v>
      </c>
      <c r="J572" s="1">
        <v>81.0</v>
      </c>
      <c r="K572" s="1">
        <v>89.0</v>
      </c>
      <c r="L572" s="1">
        <v>67.0</v>
      </c>
      <c r="M572" s="1">
        <v>85.0</v>
      </c>
      <c r="N572" s="1">
        <v>72.0</v>
      </c>
      <c r="O572" s="1">
        <v>68.0</v>
      </c>
      <c r="P572" s="1">
        <v>74.0</v>
      </c>
      <c r="Q572" s="1">
        <v>82.0</v>
      </c>
      <c r="R572" s="1">
        <v>73.0</v>
      </c>
      <c r="S572" s="1">
        <v>74.0</v>
      </c>
      <c r="T572" s="1">
        <v>79.0</v>
      </c>
      <c r="U572" s="1">
        <v>80.0</v>
      </c>
      <c r="V572" s="1">
        <v>80.0</v>
      </c>
      <c r="W572" s="1">
        <v>71.0</v>
      </c>
      <c r="X572" s="1">
        <v>73.0</v>
      </c>
      <c r="Y572" s="1">
        <v>80.0</v>
      </c>
      <c r="Z572" s="1">
        <v>1.0</v>
      </c>
    </row>
    <row r="573">
      <c r="A573" s="1" t="s">
        <v>2144</v>
      </c>
      <c r="B573" s="1" t="s">
        <v>2108</v>
      </c>
      <c r="C573" s="1" t="s">
        <v>876</v>
      </c>
      <c r="D573" s="1" t="s">
        <v>2145</v>
      </c>
      <c r="E573" s="1" t="s">
        <v>67</v>
      </c>
      <c r="F573" s="1" t="s">
        <v>838</v>
      </c>
      <c r="G573" s="1" t="s">
        <v>39</v>
      </c>
      <c r="H573" s="1" t="s">
        <v>2146</v>
      </c>
      <c r="I573" s="1" t="s">
        <v>1044</v>
      </c>
      <c r="J573" s="1" t="s">
        <v>706</v>
      </c>
      <c r="K573" s="1" t="s">
        <v>548</v>
      </c>
      <c r="L573" s="1" t="s">
        <v>1219</v>
      </c>
      <c r="M573" s="1" t="s">
        <v>2147</v>
      </c>
      <c r="N573" s="1" t="s">
        <v>1315</v>
      </c>
      <c r="O573" s="1" t="s">
        <v>878</v>
      </c>
      <c r="P573" s="1" t="s">
        <v>2148</v>
      </c>
      <c r="Q573" s="1" t="s">
        <v>493</v>
      </c>
      <c r="R573" s="1" t="s">
        <v>2149</v>
      </c>
      <c r="S573" s="1" t="s">
        <v>300</v>
      </c>
      <c r="T573" s="1" t="s">
        <v>828</v>
      </c>
      <c r="U573" s="1" t="s">
        <v>1147</v>
      </c>
      <c r="V573" s="1" t="s">
        <v>763</v>
      </c>
      <c r="W573" s="1" t="s">
        <v>235</v>
      </c>
      <c r="X573" s="1" t="s">
        <v>685</v>
      </c>
      <c r="Y573" s="1" t="s">
        <v>1227</v>
      </c>
      <c r="Z573" s="1">
        <v>1.0</v>
      </c>
    </row>
    <row r="574">
      <c r="A574" s="1" t="s">
        <v>2150</v>
      </c>
      <c r="B574" s="1" t="s">
        <v>2108</v>
      </c>
      <c r="C574" s="1" t="s">
        <v>1530</v>
      </c>
      <c r="D574" s="1" t="s">
        <v>2151</v>
      </c>
      <c r="E574" s="1" t="s">
        <v>236</v>
      </c>
      <c r="F574" s="1" t="s">
        <v>2056</v>
      </c>
      <c r="G574" s="1" t="s">
        <v>517</v>
      </c>
      <c r="H574" s="1" t="s">
        <v>325</v>
      </c>
      <c r="I574" s="1" t="s">
        <v>1755</v>
      </c>
      <c r="J574" s="1" t="s">
        <v>525</v>
      </c>
      <c r="K574" s="1" t="s">
        <v>208</v>
      </c>
      <c r="L574" s="1" t="s">
        <v>2152</v>
      </c>
      <c r="M574" s="1" t="s">
        <v>105</v>
      </c>
      <c r="N574" s="1" t="s">
        <v>716</v>
      </c>
      <c r="O574" s="1" t="s">
        <v>1127</v>
      </c>
      <c r="P574" s="1" t="s">
        <v>76</v>
      </c>
      <c r="Q574" s="1" t="s">
        <v>878</v>
      </c>
      <c r="R574" s="1" t="s">
        <v>851</v>
      </c>
      <c r="S574" s="1" t="s">
        <v>1044</v>
      </c>
      <c r="T574" s="1" t="s">
        <v>2153</v>
      </c>
      <c r="U574" s="1" t="s">
        <v>52</v>
      </c>
      <c r="V574" s="1" t="s">
        <v>763</v>
      </c>
      <c r="W574" s="1" t="s">
        <v>348</v>
      </c>
      <c r="X574" s="1" t="s">
        <v>463</v>
      </c>
      <c r="Y574" s="1" t="s">
        <v>253</v>
      </c>
      <c r="Z574" s="1">
        <v>1.0</v>
      </c>
    </row>
    <row r="575">
      <c r="A575" s="1" t="s">
        <v>2154</v>
      </c>
      <c r="B575" s="1" t="s">
        <v>2108</v>
      </c>
      <c r="C575" s="1" t="s">
        <v>1534</v>
      </c>
      <c r="D575" s="1" t="s">
        <v>2155</v>
      </c>
      <c r="E575" s="1" t="s">
        <v>2156</v>
      </c>
      <c r="F575" s="1" t="s">
        <v>367</v>
      </c>
      <c r="G575" s="1" t="s">
        <v>1151</v>
      </c>
      <c r="H575" s="1" t="s">
        <v>437</v>
      </c>
      <c r="I575" s="1" t="s">
        <v>1734</v>
      </c>
      <c r="J575" s="1" t="s">
        <v>457</v>
      </c>
      <c r="K575" s="1" t="s">
        <v>525</v>
      </c>
      <c r="L575" s="1" t="s">
        <v>2157</v>
      </c>
      <c r="M575" s="1" t="s">
        <v>657</v>
      </c>
      <c r="N575" s="1" t="s">
        <v>1734</v>
      </c>
      <c r="O575" s="1">
        <v>53.0</v>
      </c>
      <c r="P575" s="1" t="s">
        <v>893</v>
      </c>
      <c r="Q575" s="1" t="s">
        <v>1213</v>
      </c>
      <c r="R575" s="1">
        <v>85.0</v>
      </c>
      <c r="S575" s="1" t="s">
        <v>224</v>
      </c>
      <c r="T575" s="1" t="s">
        <v>780</v>
      </c>
      <c r="U575" s="1" t="s">
        <v>1220</v>
      </c>
      <c r="V575" s="1" t="s">
        <v>205</v>
      </c>
      <c r="W575" s="1" t="s">
        <v>190</v>
      </c>
      <c r="X575" s="1" t="s">
        <v>205</v>
      </c>
      <c r="Y575" s="1" t="s">
        <v>593</v>
      </c>
      <c r="Z575" s="1">
        <v>1.0</v>
      </c>
    </row>
    <row r="576">
      <c r="A576" s="1" t="s">
        <v>2158</v>
      </c>
      <c r="B576" s="1" t="s">
        <v>2108</v>
      </c>
      <c r="C576" s="1" t="s">
        <v>1579</v>
      </c>
      <c r="D576" s="1" t="s">
        <v>2159</v>
      </c>
      <c r="E576" s="1" t="s">
        <v>2160</v>
      </c>
      <c r="F576" s="1" t="s">
        <v>204</v>
      </c>
      <c r="G576" s="1" t="s">
        <v>1821</v>
      </c>
      <c r="H576" s="1">
        <v>72.0</v>
      </c>
      <c r="I576" s="1" t="s">
        <v>2161</v>
      </c>
      <c r="J576" s="1" t="s">
        <v>531</v>
      </c>
      <c r="K576" s="1" t="s">
        <v>1080</v>
      </c>
      <c r="L576" s="1" t="s">
        <v>30</v>
      </c>
      <c r="M576" s="1" t="s">
        <v>1403</v>
      </c>
      <c r="N576" s="1" t="s">
        <v>843</v>
      </c>
      <c r="O576" s="1" t="s">
        <v>375</v>
      </c>
      <c r="P576" s="1" t="s">
        <v>384</v>
      </c>
      <c r="Q576" s="1" t="s">
        <v>1224</v>
      </c>
      <c r="R576" s="1" t="s">
        <v>1396</v>
      </c>
      <c r="S576" s="1" t="s">
        <v>1539</v>
      </c>
      <c r="T576" s="1" t="s">
        <v>242</v>
      </c>
      <c r="U576" s="1" t="s">
        <v>208</v>
      </c>
      <c r="V576" s="1" t="s">
        <v>592</v>
      </c>
      <c r="W576" s="1" t="s">
        <v>838</v>
      </c>
      <c r="X576" s="1" t="s">
        <v>840</v>
      </c>
      <c r="Y576" s="1" t="s">
        <v>592</v>
      </c>
      <c r="Z576" s="1">
        <v>1.0</v>
      </c>
    </row>
    <row r="577">
      <c r="A577" s="1" t="s">
        <v>2162</v>
      </c>
      <c r="B577" s="1" t="s">
        <v>2108</v>
      </c>
      <c r="C577" s="1" t="s">
        <v>2163</v>
      </c>
      <c r="D577" s="1" t="s">
        <v>2164</v>
      </c>
      <c r="E577" s="1" t="s">
        <v>427</v>
      </c>
      <c r="F577" s="1" t="s">
        <v>949</v>
      </c>
      <c r="G577" s="1" t="s">
        <v>625</v>
      </c>
      <c r="H577" s="1" t="s">
        <v>700</v>
      </c>
      <c r="I577" s="1" t="s">
        <v>1548</v>
      </c>
      <c r="J577" s="1">
        <v>80.0</v>
      </c>
      <c r="K577" s="1" t="s">
        <v>525</v>
      </c>
      <c r="L577" s="1" t="s">
        <v>839</v>
      </c>
      <c r="M577" s="1" t="s">
        <v>657</v>
      </c>
      <c r="N577" s="1" t="s">
        <v>1512</v>
      </c>
      <c r="O577" s="1" t="s">
        <v>2098</v>
      </c>
      <c r="P577" s="1" t="s">
        <v>552</v>
      </c>
      <c r="Q577" s="1" t="s">
        <v>1983</v>
      </c>
      <c r="R577" s="1" t="s">
        <v>2165</v>
      </c>
      <c r="S577" s="1" t="s">
        <v>45</v>
      </c>
      <c r="T577" s="1" t="s">
        <v>190</v>
      </c>
      <c r="U577" s="1" t="s">
        <v>190</v>
      </c>
      <c r="V577" s="1" t="s">
        <v>592</v>
      </c>
      <c r="W577" s="1" t="s">
        <v>1753</v>
      </c>
      <c r="X577" s="1" t="s">
        <v>1145</v>
      </c>
      <c r="Y577" s="1" t="s">
        <v>300</v>
      </c>
      <c r="Z577" s="1">
        <v>1.0</v>
      </c>
    </row>
    <row r="578">
      <c r="A578" s="1" t="s">
        <v>1711</v>
      </c>
      <c r="B578" s="1" t="s">
        <v>2108</v>
      </c>
      <c r="C578" s="1" t="s">
        <v>2166</v>
      </c>
      <c r="D578" s="1" t="s">
        <v>2167</v>
      </c>
      <c r="E578" s="1" t="s">
        <v>2129</v>
      </c>
      <c r="F578" s="1" t="s">
        <v>117</v>
      </c>
      <c r="G578" s="1" t="s">
        <v>222</v>
      </c>
      <c r="H578" s="1" t="s">
        <v>2168</v>
      </c>
      <c r="I578" s="1" t="s">
        <v>2169</v>
      </c>
      <c r="J578" s="1" t="s">
        <v>909</v>
      </c>
      <c r="K578" s="1" t="s">
        <v>1618</v>
      </c>
      <c r="L578" s="1" t="s">
        <v>1544</v>
      </c>
      <c r="M578" s="1" t="s">
        <v>2170</v>
      </c>
      <c r="N578" s="1" t="s">
        <v>1116</v>
      </c>
      <c r="O578" s="1" t="s">
        <v>2069</v>
      </c>
      <c r="P578" s="1" t="s">
        <v>398</v>
      </c>
      <c r="Q578" s="1" t="s">
        <v>1447</v>
      </c>
      <c r="R578" s="1" t="s">
        <v>314</v>
      </c>
      <c r="S578" s="1" t="s">
        <v>1413</v>
      </c>
      <c r="T578" s="1" t="s">
        <v>828</v>
      </c>
      <c r="U578" s="1" t="s">
        <v>110</v>
      </c>
      <c r="V578" s="1" t="s">
        <v>428</v>
      </c>
      <c r="W578" s="1" t="s">
        <v>237</v>
      </c>
      <c r="X578" s="1" t="s">
        <v>158</v>
      </c>
      <c r="Y578" s="1" t="s">
        <v>507</v>
      </c>
      <c r="Z578" s="1">
        <v>1.0</v>
      </c>
    </row>
    <row r="579">
      <c r="A579" s="1" t="s">
        <v>2171</v>
      </c>
      <c r="B579" s="1" t="s">
        <v>2108</v>
      </c>
      <c r="C579" s="1" t="s">
        <v>2141</v>
      </c>
      <c r="D579" s="1" t="s">
        <v>2172</v>
      </c>
      <c r="E579" s="1" t="s">
        <v>431</v>
      </c>
      <c r="F579" s="1" t="s">
        <v>431</v>
      </c>
      <c r="G579" s="1" t="s">
        <v>633</v>
      </c>
      <c r="H579" s="1" t="s">
        <v>1006</v>
      </c>
      <c r="I579" s="1" t="s">
        <v>2173</v>
      </c>
      <c r="J579" s="1" t="s">
        <v>1054</v>
      </c>
      <c r="K579" s="1" t="s">
        <v>1550</v>
      </c>
      <c r="L579" s="1" t="s">
        <v>1686</v>
      </c>
      <c r="M579" s="1" t="s">
        <v>1061</v>
      </c>
      <c r="N579" s="1" t="s">
        <v>2174</v>
      </c>
      <c r="O579" s="1" t="s">
        <v>84</v>
      </c>
      <c r="P579" s="1" t="s">
        <v>208</v>
      </c>
      <c r="Q579" s="1" t="s">
        <v>2175</v>
      </c>
      <c r="R579" s="1" t="s">
        <v>2176</v>
      </c>
      <c r="S579" s="1" t="s">
        <v>671</v>
      </c>
      <c r="T579" s="1" t="s">
        <v>52</v>
      </c>
      <c r="U579" s="1" t="s">
        <v>790</v>
      </c>
      <c r="V579" s="1" t="s">
        <v>417</v>
      </c>
      <c r="W579" s="1" t="s">
        <v>2177</v>
      </c>
      <c r="X579" s="1" t="s">
        <v>80</v>
      </c>
      <c r="Y579" s="1" t="s">
        <v>220</v>
      </c>
      <c r="Z579" s="1">
        <v>1.0</v>
      </c>
    </row>
    <row r="580">
      <c r="A580" s="1" t="s">
        <v>678</v>
      </c>
      <c r="B580" s="1" t="s">
        <v>2108</v>
      </c>
      <c r="C580" s="1" t="s">
        <v>2178</v>
      </c>
      <c r="D580" s="1" t="s">
        <v>1665</v>
      </c>
      <c r="E580" s="1" t="s">
        <v>225</v>
      </c>
      <c r="F580" s="1" t="s">
        <v>1014</v>
      </c>
      <c r="G580" s="1" t="s">
        <v>350</v>
      </c>
      <c r="H580" s="1" t="s">
        <v>577</v>
      </c>
      <c r="I580" s="1" t="s">
        <v>2179</v>
      </c>
      <c r="J580" s="1" t="s">
        <v>952</v>
      </c>
      <c r="K580" s="1" t="s">
        <v>1618</v>
      </c>
      <c r="L580" s="1" t="s">
        <v>1005</v>
      </c>
      <c r="M580" s="1" t="s">
        <v>2180</v>
      </c>
      <c r="N580" s="1" t="s">
        <v>1613</v>
      </c>
      <c r="O580" s="1" t="s">
        <v>2181</v>
      </c>
      <c r="P580" s="1" t="s">
        <v>156</v>
      </c>
      <c r="Q580" s="1" t="s">
        <v>1287</v>
      </c>
      <c r="R580" s="1" t="s">
        <v>2182</v>
      </c>
      <c r="S580" s="1" t="s">
        <v>2183</v>
      </c>
      <c r="T580" s="1" t="s">
        <v>2184</v>
      </c>
      <c r="U580" s="1" t="s">
        <v>1017</v>
      </c>
      <c r="V580" s="1" t="s">
        <v>166</v>
      </c>
      <c r="W580" s="1" t="s">
        <v>906</v>
      </c>
      <c r="X580" s="1" t="s">
        <v>416</v>
      </c>
      <c r="Y580" s="1" t="s">
        <v>451</v>
      </c>
      <c r="Z580" s="1">
        <v>1.0</v>
      </c>
    </row>
    <row r="581">
      <c r="A581" s="1" t="s">
        <v>2185</v>
      </c>
      <c r="B581" s="1" t="s">
        <v>2108</v>
      </c>
      <c r="C581" s="1" t="s">
        <v>1534</v>
      </c>
      <c r="D581" s="1" t="s">
        <v>2186</v>
      </c>
      <c r="E581" s="1" t="s">
        <v>1822</v>
      </c>
      <c r="F581" s="1" t="s">
        <v>691</v>
      </c>
      <c r="G581" s="1" t="s">
        <v>1112</v>
      </c>
      <c r="H581" s="1" t="s">
        <v>123</v>
      </c>
      <c r="I581" s="1" t="s">
        <v>828</v>
      </c>
      <c r="J581" s="1" t="s">
        <v>187</v>
      </c>
      <c r="K581" s="1" t="s">
        <v>271</v>
      </c>
      <c r="L581" s="1" t="s">
        <v>670</v>
      </c>
      <c r="M581" s="1">
        <v>87.0</v>
      </c>
      <c r="N581" s="1">
        <v>80.0</v>
      </c>
      <c r="O581" s="1" t="s">
        <v>839</v>
      </c>
      <c r="P581" s="1" t="s">
        <v>1020</v>
      </c>
      <c r="Q581" s="1" t="s">
        <v>745</v>
      </c>
      <c r="R581" s="1" t="s">
        <v>1112</v>
      </c>
      <c r="S581" s="1">
        <v>74.0</v>
      </c>
      <c r="T581" s="1" t="s">
        <v>568</v>
      </c>
      <c r="U581" s="1" t="s">
        <v>1897</v>
      </c>
      <c r="V581" s="1" t="s">
        <v>457</v>
      </c>
      <c r="W581" s="1" t="s">
        <v>285</v>
      </c>
      <c r="X581" s="1" t="s">
        <v>1034</v>
      </c>
      <c r="Y581" s="1" t="s">
        <v>1908</v>
      </c>
      <c r="Z581" s="1">
        <v>1.0</v>
      </c>
    </row>
    <row r="582">
      <c r="A582" s="1" t="s">
        <v>1988</v>
      </c>
      <c r="B582" s="1" t="s">
        <v>2108</v>
      </c>
      <c r="C582" s="1" t="s">
        <v>2166</v>
      </c>
      <c r="D582" s="1" t="s">
        <v>2187</v>
      </c>
      <c r="E582" s="1" t="s">
        <v>164</v>
      </c>
      <c r="F582" s="1" t="s">
        <v>2188</v>
      </c>
      <c r="G582" s="1" t="s">
        <v>633</v>
      </c>
      <c r="H582" s="1" t="s">
        <v>53</v>
      </c>
      <c r="I582" s="1" t="s">
        <v>1740</v>
      </c>
      <c r="J582" s="1" t="s">
        <v>208</v>
      </c>
      <c r="K582" s="1" t="s">
        <v>2189</v>
      </c>
      <c r="L582" s="1" t="s">
        <v>2190</v>
      </c>
      <c r="M582" s="1" t="s">
        <v>2191</v>
      </c>
      <c r="N582" s="1" t="s">
        <v>1434</v>
      </c>
      <c r="O582" s="1" t="s">
        <v>2192</v>
      </c>
      <c r="P582" s="1" t="s">
        <v>348</v>
      </c>
      <c r="Q582" s="1" t="s">
        <v>1767</v>
      </c>
      <c r="R582" s="1" t="s">
        <v>185</v>
      </c>
      <c r="S582" s="1" t="s">
        <v>188</v>
      </c>
      <c r="T582" s="1" t="s">
        <v>105</v>
      </c>
      <c r="U582" s="1" t="s">
        <v>35</v>
      </c>
      <c r="V582" s="1" t="s">
        <v>618</v>
      </c>
      <c r="W582" s="1" t="s">
        <v>1318</v>
      </c>
      <c r="X582" s="1" t="s">
        <v>864</v>
      </c>
      <c r="Y582" s="1" t="s">
        <v>568</v>
      </c>
      <c r="Z582" s="1">
        <v>1.0</v>
      </c>
    </row>
    <row r="583">
      <c r="A583" s="1" t="s">
        <v>2193</v>
      </c>
      <c r="B583" s="1" t="s">
        <v>2108</v>
      </c>
      <c r="C583" s="1" t="s">
        <v>1754</v>
      </c>
      <c r="D583" s="1" t="s">
        <v>2194</v>
      </c>
      <c r="E583" s="1" t="s">
        <v>1836</v>
      </c>
      <c r="F583" s="1" t="s">
        <v>1396</v>
      </c>
      <c r="G583" s="1" t="s">
        <v>201</v>
      </c>
      <c r="H583" s="1" t="s">
        <v>2195</v>
      </c>
      <c r="I583" s="1" t="s">
        <v>1159</v>
      </c>
      <c r="J583" s="1" t="s">
        <v>1145</v>
      </c>
      <c r="K583" s="1" t="s">
        <v>220</v>
      </c>
      <c r="L583" s="1" t="s">
        <v>2196</v>
      </c>
      <c r="M583" s="1" t="s">
        <v>1142</v>
      </c>
      <c r="N583" s="1" t="s">
        <v>300</v>
      </c>
      <c r="O583" s="1" t="s">
        <v>1152</v>
      </c>
      <c r="P583" s="1" t="s">
        <v>507</v>
      </c>
      <c r="Q583" s="1" t="s">
        <v>857</v>
      </c>
      <c r="R583" s="1" t="s">
        <v>1912</v>
      </c>
      <c r="S583" s="1" t="s">
        <v>157</v>
      </c>
      <c r="T583" s="1" t="s">
        <v>81</v>
      </c>
      <c r="U583" s="1" t="s">
        <v>301</v>
      </c>
      <c r="V583" s="1" t="s">
        <v>493</v>
      </c>
      <c r="W583" s="1" t="s">
        <v>30</v>
      </c>
      <c r="X583" s="1" t="s">
        <v>597</v>
      </c>
      <c r="Y583" s="1" t="s">
        <v>306</v>
      </c>
      <c r="Z583" s="1">
        <v>1.0</v>
      </c>
    </row>
    <row r="584">
      <c r="A584" s="1" t="s">
        <v>2197</v>
      </c>
      <c r="B584" s="1" t="s">
        <v>2108</v>
      </c>
      <c r="C584" s="1" t="s">
        <v>1579</v>
      </c>
      <c r="D584" s="1">
        <v>227.0</v>
      </c>
      <c r="E584" s="1">
        <v>80.0</v>
      </c>
      <c r="F584" s="1">
        <v>89.0</v>
      </c>
      <c r="G584" s="1">
        <v>91.0</v>
      </c>
      <c r="H584" s="1">
        <v>72.0</v>
      </c>
      <c r="I584" s="1">
        <v>58.0</v>
      </c>
      <c r="J584" s="1">
        <v>69.0</v>
      </c>
      <c r="K584" s="1">
        <v>35.0</v>
      </c>
      <c r="L584" s="1">
        <v>75.0</v>
      </c>
      <c r="M584" s="1">
        <v>80.0</v>
      </c>
      <c r="N584" s="1">
        <v>78.0</v>
      </c>
      <c r="O584" s="1">
        <v>68.0</v>
      </c>
      <c r="P584" s="1">
        <v>88.0</v>
      </c>
      <c r="Q584" s="1">
        <v>48.0</v>
      </c>
      <c r="R584" s="1">
        <v>43.0</v>
      </c>
      <c r="S584" s="1">
        <v>88.0</v>
      </c>
      <c r="T584" s="1">
        <v>75.0</v>
      </c>
      <c r="U584" s="1">
        <v>92.0</v>
      </c>
      <c r="V584" s="1">
        <v>78.0</v>
      </c>
      <c r="W584" s="1">
        <v>71.0</v>
      </c>
      <c r="X584" s="1">
        <v>75.0</v>
      </c>
      <c r="Y584" s="1">
        <v>80.0</v>
      </c>
      <c r="Z584" s="1">
        <v>1.0</v>
      </c>
    </row>
    <row r="585">
      <c r="A585" s="1" t="s">
        <v>2046</v>
      </c>
      <c r="B585" s="1" t="s">
        <v>2108</v>
      </c>
      <c r="C585" s="1" t="s">
        <v>1612</v>
      </c>
      <c r="D585" s="1" t="s">
        <v>2198</v>
      </c>
      <c r="E585" s="1" t="s">
        <v>1326</v>
      </c>
      <c r="F585" s="1" t="s">
        <v>2148</v>
      </c>
      <c r="G585" s="1" t="s">
        <v>2199</v>
      </c>
      <c r="H585" s="1" t="s">
        <v>803</v>
      </c>
      <c r="I585" s="1" t="s">
        <v>1165</v>
      </c>
      <c r="J585" s="1" t="s">
        <v>220</v>
      </c>
      <c r="K585" s="1" t="s">
        <v>235</v>
      </c>
      <c r="L585" s="1" t="s">
        <v>2200</v>
      </c>
      <c r="M585" s="1" t="s">
        <v>1427</v>
      </c>
      <c r="N585" s="1" t="s">
        <v>2201</v>
      </c>
      <c r="O585" s="1" t="s">
        <v>437</v>
      </c>
      <c r="P585" s="1" t="s">
        <v>328</v>
      </c>
      <c r="Q585" s="1" t="s">
        <v>1556</v>
      </c>
      <c r="R585" s="1" t="s">
        <v>1551</v>
      </c>
      <c r="S585" s="1" t="s">
        <v>716</v>
      </c>
      <c r="T585" s="1" t="s">
        <v>1471</v>
      </c>
      <c r="U585" s="1" t="s">
        <v>36</v>
      </c>
      <c r="V585" s="1" t="s">
        <v>300</v>
      </c>
      <c r="W585" s="1" t="s">
        <v>190</v>
      </c>
      <c r="X585" s="1" t="s">
        <v>622</v>
      </c>
      <c r="Y585" s="1" t="s">
        <v>1365</v>
      </c>
      <c r="Z585" s="1">
        <v>1.0</v>
      </c>
    </row>
    <row r="586">
      <c r="A586" s="1" t="s">
        <v>2202</v>
      </c>
      <c r="B586" s="1" t="s">
        <v>2108</v>
      </c>
      <c r="C586" s="1" t="s">
        <v>2115</v>
      </c>
      <c r="D586" s="1">
        <v>229.0</v>
      </c>
      <c r="E586" s="1">
        <v>84.0</v>
      </c>
      <c r="F586" s="1">
        <v>80.0</v>
      </c>
      <c r="G586" s="1">
        <v>89.0</v>
      </c>
      <c r="H586" s="1">
        <v>81.0</v>
      </c>
      <c r="I586" s="1">
        <v>60.0</v>
      </c>
      <c r="J586" s="1">
        <v>66.0</v>
      </c>
      <c r="K586" s="1">
        <v>70.0</v>
      </c>
      <c r="L586" s="1">
        <v>75.0</v>
      </c>
      <c r="M586" s="1">
        <v>90.0</v>
      </c>
      <c r="N586" s="1">
        <v>60.0</v>
      </c>
      <c r="O586" s="1">
        <v>65.0</v>
      </c>
      <c r="P586" s="1">
        <v>88.0</v>
      </c>
      <c r="Q586" s="1">
        <v>45.0</v>
      </c>
      <c r="R586" s="1">
        <v>70.0</v>
      </c>
      <c r="S586" s="1">
        <v>88.0</v>
      </c>
      <c r="T586" s="1">
        <v>74.0</v>
      </c>
      <c r="U586" s="1">
        <v>85.0</v>
      </c>
      <c r="V586" s="1">
        <v>75.0</v>
      </c>
      <c r="W586" s="1">
        <v>68.0</v>
      </c>
      <c r="X586" s="1">
        <v>85.0</v>
      </c>
      <c r="Y586" s="1">
        <v>84.0</v>
      </c>
      <c r="Z586" s="1">
        <v>1.0</v>
      </c>
    </row>
    <row r="587">
      <c r="A587" s="1" t="s">
        <v>2203</v>
      </c>
      <c r="B587" s="1" t="s">
        <v>2108</v>
      </c>
      <c r="C587" s="1" t="s">
        <v>2115</v>
      </c>
      <c r="D587" s="1" t="s">
        <v>2204</v>
      </c>
      <c r="E587" s="1">
        <v>87.0</v>
      </c>
      <c r="F587" s="1" t="s">
        <v>427</v>
      </c>
      <c r="G587" s="1" t="s">
        <v>597</v>
      </c>
      <c r="H587" s="1" t="s">
        <v>620</v>
      </c>
      <c r="I587" s="1" t="s">
        <v>2205</v>
      </c>
      <c r="J587" s="1">
        <v>70.0</v>
      </c>
      <c r="K587" s="1" t="s">
        <v>787</v>
      </c>
      <c r="L587" s="1" t="s">
        <v>937</v>
      </c>
      <c r="M587" s="1" t="s">
        <v>838</v>
      </c>
      <c r="N587" s="1" t="s">
        <v>1913</v>
      </c>
      <c r="O587" s="1" t="s">
        <v>2206</v>
      </c>
      <c r="P587" s="1" t="s">
        <v>619</v>
      </c>
      <c r="Q587" s="1" t="s">
        <v>879</v>
      </c>
      <c r="R587" s="1" t="s">
        <v>1075</v>
      </c>
      <c r="S587" s="1" t="s">
        <v>595</v>
      </c>
      <c r="T587" s="1" t="s">
        <v>182</v>
      </c>
      <c r="U587" s="1">
        <v>80.0</v>
      </c>
      <c r="V587" s="1" t="s">
        <v>863</v>
      </c>
      <c r="W587" s="1">
        <v>67.0</v>
      </c>
      <c r="X587" s="1" t="s">
        <v>1116</v>
      </c>
      <c r="Y587" s="1" t="s">
        <v>300</v>
      </c>
      <c r="Z587" s="1">
        <v>1.0</v>
      </c>
    </row>
    <row r="588">
      <c r="A588" s="1" t="s">
        <v>605</v>
      </c>
      <c r="B588" s="1" t="s">
        <v>2108</v>
      </c>
      <c r="C588" s="1" t="s">
        <v>1754</v>
      </c>
      <c r="D588" s="1" t="s">
        <v>2207</v>
      </c>
      <c r="E588" s="1" t="s">
        <v>1775</v>
      </c>
      <c r="F588" s="1" t="s">
        <v>856</v>
      </c>
      <c r="G588" s="1" t="s">
        <v>1879</v>
      </c>
      <c r="H588" s="1" t="s">
        <v>1671</v>
      </c>
      <c r="I588" s="1" t="s">
        <v>270</v>
      </c>
      <c r="J588" s="1" t="s">
        <v>872</v>
      </c>
      <c r="K588" s="1" t="s">
        <v>525</v>
      </c>
      <c r="L588" s="1" t="s">
        <v>1231</v>
      </c>
      <c r="M588" s="1" t="s">
        <v>729</v>
      </c>
      <c r="N588" s="1" t="s">
        <v>1338</v>
      </c>
      <c r="O588" s="1" t="s">
        <v>44</v>
      </c>
      <c r="P588" s="1" t="s">
        <v>30</v>
      </c>
      <c r="Q588" s="1" t="s">
        <v>760</v>
      </c>
      <c r="R588" s="1" t="s">
        <v>82</v>
      </c>
      <c r="S588" s="1" t="s">
        <v>1539</v>
      </c>
      <c r="T588" s="1" t="s">
        <v>110</v>
      </c>
      <c r="U588" s="1" t="s">
        <v>1202</v>
      </c>
      <c r="V588" s="1" t="s">
        <v>300</v>
      </c>
      <c r="W588" s="1" t="s">
        <v>410</v>
      </c>
      <c r="X588" s="1" t="s">
        <v>205</v>
      </c>
      <c r="Y588" s="1" t="s">
        <v>205</v>
      </c>
      <c r="Z588" s="1">
        <v>1.0</v>
      </c>
    </row>
    <row r="589">
      <c r="A589" s="1" t="s">
        <v>2208</v>
      </c>
      <c r="B589" s="1" t="s">
        <v>2108</v>
      </c>
      <c r="C589" s="1" t="s">
        <v>1534</v>
      </c>
      <c r="D589" s="1" t="s">
        <v>2209</v>
      </c>
      <c r="E589" s="1" t="s">
        <v>199</v>
      </c>
      <c r="F589" s="1" t="s">
        <v>1240</v>
      </c>
      <c r="G589" s="1" t="s">
        <v>236</v>
      </c>
      <c r="H589" s="1" t="s">
        <v>1089</v>
      </c>
      <c r="I589" s="1" t="s">
        <v>1766</v>
      </c>
      <c r="J589" s="1" t="s">
        <v>158</v>
      </c>
      <c r="K589" s="1" t="s">
        <v>780</v>
      </c>
      <c r="L589" s="1" t="s">
        <v>1914</v>
      </c>
      <c r="M589" s="1" t="s">
        <v>1038</v>
      </c>
      <c r="N589" s="1" t="s">
        <v>2210</v>
      </c>
      <c r="O589" s="1" t="s">
        <v>722</v>
      </c>
      <c r="P589" s="1" t="s">
        <v>384</v>
      </c>
      <c r="Q589" s="1" t="s">
        <v>132</v>
      </c>
      <c r="R589" s="1" t="s">
        <v>2211</v>
      </c>
      <c r="S589" s="1">
        <v>84.0</v>
      </c>
      <c r="T589" s="1">
        <v>80.0</v>
      </c>
      <c r="U589" s="1" t="s">
        <v>477</v>
      </c>
      <c r="V589" s="1" t="s">
        <v>236</v>
      </c>
      <c r="W589" s="1" t="s">
        <v>838</v>
      </c>
      <c r="X589" s="1" t="s">
        <v>82</v>
      </c>
      <c r="Y589" s="1" t="s">
        <v>754</v>
      </c>
      <c r="Z589" s="1">
        <v>1.0</v>
      </c>
    </row>
    <row r="590">
      <c r="A590" s="1" t="s">
        <v>545</v>
      </c>
      <c r="B590" s="1" t="s">
        <v>2108</v>
      </c>
      <c r="C590" s="1" t="s">
        <v>192</v>
      </c>
      <c r="D590" s="1">
        <v>240.0</v>
      </c>
      <c r="E590" s="1">
        <v>81.0</v>
      </c>
      <c r="F590" s="1">
        <v>90.0</v>
      </c>
      <c r="G590" s="1">
        <v>99.0</v>
      </c>
      <c r="H590" s="1">
        <v>81.0</v>
      </c>
      <c r="I590" s="1">
        <v>50.0</v>
      </c>
      <c r="J590" s="1">
        <v>46.0</v>
      </c>
      <c r="K590" s="1">
        <v>50.0</v>
      </c>
      <c r="L590" s="1">
        <v>70.0</v>
      </c>
      <c r="M590" s="1">
        <v>71.0</v>
      </c>
      <c r="N590" s="1">
        <v>80.0</v>
      </c>
      <c r="O590" s="1">
        <v>80.0</v>
      </c>
      <c r="P590" s="1">
        <v>76.0</v>
      </c>
      <c r="Q590" s="1">
        <v>57.0</v>
      </c>
      <c r="R590" s="1">
        <v>37.0</v>
      </c>
      <c r="S590" s="1">
        <v>51.0</v>
      </c>
      <c r="T590" s="1">
        <v>75.0</v>
      </c>
      <c r="U590" s="1">
        <v>85.0</v>
      </c>
      <c r="V590" s="1">
        <v>80.0</v>
      </c>
      <c r="W590" s="1">
        <v>82.0</v>
      </c>
      <c r="X590" s="1">
        <v>85.0</v>
      </c>
      <c r="Y590" s="1">
        <v>95.0</v>
      </c>
      <c r="Z590" s="1">
        <v>1.0</v>
      </c>
    </row>
    <row r="591">
      <c r="A591" s="1" t="s">
        <v>2033</v>
      </c>
      <c r="B591" s="1" t="s">
        <v>2108</v>
      </c>
      <c r="C591" s="1" t="s">
        <v>2212</v>
      </c>
      <c r="D591" s="1" t="s">
        <v>2213</v>
      </c>
      <c r="E591" s="1" t="s">
        <v>922</v>
      </c>
      <c r="F591" s="1" t="s">
        <v>497</v>
      </c>
      <c r="G591" s="1" t="s">
        <v>671</v>
      </c>
      <c r="H591" s="1" t="s">
        <v>2214</v>
      </c>
      <c r="I591" s="1" t="s">
        <v>2215</v>
      </c>
      <c r="J591" s="1" t="s">
        <v>322</v>
      </c>
      <c r="K591" s="1" t="s">
        <v>253</v>
      </c>
      <c r="L591" s="1" t="s">
        <v>2199</v>
      </c>
      <c r="M591" s="1" t="s">
        <v>1561</v>
      </c>
      <c r="N591" s="1" t="s">
        <v>143</v>
      </c>
      <c r="O591" s="1" t="s">
        <v>2064</v>
      </c>
      <c r="P591" s="1" t="s">
        <v>52</v>
      </c>
      <c r="Q591" s="1" t="s">
        <v>42</v>
      </c>
      <c r="R591" s="1" t="s">
        <v>2182</v>
      </c>
      <c r="S591" s="1" t="s">
        <v>647</v>
      </c>
      <c r="T591" s="1" t="s">
        <v>48</v>
      </c>
      <c r="U591" s="1" t="s">
        <v>35</v>
      </c>
      <c r="V591" s="1" t="s">
        <v>110</v>
      </c>
      <c r="W591" s="1" t="s">
        <v>2006</v>
      </c>
      <c r="X591" s="1" t="s">
        <v>2216</v>
      </c>
      <c r="Y591" s="1" t="s">
        <v>419</v>
      </c>
      <c r="Z591" s="1">
        <v>1.0</v>
      </c>
    </row>
    <row r="592">
      <c r="A592" s="1" t="s">
        <v>1462</v>
      </c>
      <c r="B592" s="1" t="s">
        <v>2108</v>
      </c>
      <c r="C592" s="1" t="s">
        <v>1530</v>
      </c>
      <c r="D592" s="1" t="s">
        <v>2217</v>
      </c>
      <c r="E592" s="1" t="s">
        <v>1313</v>
      </c>
      <c r="F592" s="1" t="s">
        <v>1892</v>
      </c>
      <c r="G592" s="1" t="s">
        <v>1416</v>
      </c>
      <c r="H592" s="1" t="s">
        <v>1671</v>
      </c>
      <c r="I592" s="1" t="s">
        <v>2218</v>
      </c>
      <c r="J592" s="1" t="s">
        <v>220</v>
      </c>
      <c r="K592" s="1" t="s">
        <v>593</v>
      </c>
      <c r="L592" s="1" t="s">
        <v>1460</v>
      </c>
      <c r="M592" s="1" t="s">
        <v>1977</v>
      </c>
      <c r="N592" s="1" t="s">
        <v>66</v>
      </c>
      <c r="O592" s="1" t="s">
        <v>40</v>
      </c>
      <c r="P592" s="1" t="s">
        <v>860</v>
      </c>
      <c r="Q592" s="1" t="s">
        <v>253</v>
      </c>
      <c r="R592" s="1" t="s">
        <v>1236</v>
      </c>
      <c r="S592" s="1" t="s">
        <v>462</v>
      </c>
      <c r="T592" s="1" t="s">
        <v>1403</v>
      </c>
      <c r="U592" s="1" t="s">
        <v>35</v>
      </c>
      <c r="V592" s="1" t="s">
        <v>424</v>
      </c>
      <c r="W592" s="1" t="s">
        <v>710</v>
      </c>
      <c r="X592" s="1" t="s">
        <v>531</v>
      </c>
      <c r="Y592" s="1" t="s">
        <v>890</v>
      </c>
      <c r="Z592" s="1">
        <v>1.0</v>
      </c>
    </row>
    <row r="593">
      <c r="A593" s="1" t="s">
        <v>2219</v>
      </c>
      <c r="B593" s="1" t="s">
        <v>2108</v>
      </c>
      <c r="C593" s="1" t="s">
        <v>2110</v>
      </c>
      <c r="D593" s="1" t="s">
        <v>2220</v>
      </c>
      <c r="E593" s="1" t="s">
        <v>493</v>
      </c>
      <c r="F593" s="1" t="s">
        <v>860</v>
      </c>
      <c r="G593" s="1" t="s">
        <v>208</v>
      </c>
      <c r="H593" s="1" t="s">
        <v>2221</v>
      </c>
      <c r="I593" s="1" t="s">
        <v>1527</v>
      </c>
      <c r="J593" s="1" t="s">
        <v>208</v>
      </c>
      <c r="K593" s="1" t="s">
        <v>600</v>
      </c>
      <c r="L593" s="1" t="s">
        <v>173</v>
      </c>
      <c r="M593" s="1" t="s">
        <v>1285</v>
      </c>
      <c r="N593" s="1" t="s">
        <v>894</v>
      </c>
      <c r="O593" s="1" t="s">
        <v>1412</v>
      </c>
      <c r="P593" s="1" t="s">
        <v>780</v>
      </c>
      <c r="Q593" s="1" t="s">
        <v>209</v>
      </c>
      <c r="R593" s="1" t="s">
        <v>746</v>
      </c>
      <c r="S593" s="1" t="s">
        <v>390</v>
      </c>
      <c r="T593" s="1" t="s">
        <v>1842</v>
      </c>
      <c r="U593" s="1" t="s">
        <v>82</v>
      </c>
      <c r="V593" s="1" t="s">
        <v>242</v>
      </c>
      <c r="W593" s="1" t="s">
        <v>1289</v>
      </c>
      <c r="X593" s="1" t="s">
        <v>1185</v>
      </c>
      <c r="Y593" s="1" t="s">
        <v>110</v>
      </c>
      <c r="Z593" s="1">
        <v>1.0</v>
      </c>
    </row>
    <row r="594">
      <c r="A594" s="1" t="s">
        <v>2222</v>
      </c>
      <c r="B594" s="1" t="s">
        <v>2108</v>
      </c>
      <c r="C594" s="1" t="s">
        <v>1534</v>
      </c>
      <c r="D594" s="1">
        <v>254.0</v>
      </c>
      <c r="E594" s="1">
        <v>75.0</v>
      </c>
      <c r="F594" s="1">
        <v>65.0</v>
      </c>
      <c r="G594" s="1">
        <v>75.0</v>
      </c>
      <c r="H594" s="1">
        <v>83.0</v>
      </c>
      <c r="I594" s="1">
        <v>64.0</v>
      </c>
      <c r="J594" s="1">
        <v>35.0</v>
      </c>
      <c r="K594" s="1">
        <v>25.0</v>
      </c>
      <c r="L594" s="1">
        <v>39.0</v>
      </c>
      <c r="M594" s="1">
        <v>87.0</v>
      </c>
      <c r="N594" s="1">
        <v>60.0</v>
      </c>
      <c r="O594" s="1">
        <v>50.0</v>
      </c>
      <c r="P594" s="1">
        <v>75.0</v>
      </c>
      <c r="Q594" s="1">
        <v>82.0</v>
      </c>
      <c r="R594" s="1">
        <v>85.0</v>
      </c>
      <c r="S594" s="1">
        <v>78.0</v>
      </c>
      <c r="T594" s="1">
        <v>90.0</v>
      </c>
      <c r="U594" s="1">
        <v>94.0</v>
      </c>
      <c r="V594" s="1">
        <v>80.0</v>
      </c>
      <c r="W594" s="1">
        <v>70.0</v>
      </c>
      <c r="X594" s="1">
        <v>95.0</v>
      </c>
      <c r="Y594" s="1">
        <v>90.0</v>
      </c>
      <c r="Z594" s="1">
        <v>1.0</v>
      </c>
    </row>
    <row r="595">
      <c r="A595" s="1" t="s">
        <v>2223</v>
      </c>
      <c r="B595" s="1" t="s">
        <v>2108</v>
      </c>
      <c r="C595" s="1" t="s">
        <v>1530</v>
      </c>
      <c r="D595" s="1" t="s">
        <v>2224</v>
      </c>
      <c r="E595" s="1" t="s">
        <v>404</v>
      </c>
      <c r="F595" s="1" t="s">
        <v>1054</v>
      </c>
      <c r="G595" s="1" t="s">
        <v>260</v>
      </c>
      <c r="H595" s="1" t="s">
        <v>1063</v>
      </c>
      <c r="I595" s="1" t="s">
        <v>2225</v>
      </c>
      <c r="J595" s="1" t="s">
        <v>334</v>
      </c>
      <c r="K595" s="1" t="s">
        <v>129</v>
      </c>
      <c r="L595" s="1" t="s">
        <v>252</v>
      </c>
      <c r="M595" s="1" t="s">
        <v>1364</v>
      </c>
      <c r="N595" s="1" t="s">
        <v>2226</v>
      </c>
      <c r="O595" s="1" t="s">
        <v>2119</v>
      </c>
      <c r="P595" s="1" t="s">
        <v>614</v>
      </c>
      <c r="Q595" s="1" t="s">
        <v>2227</v>
      </c>
      <c r="R595" s="1" t="s">
        <v>121</v>
      </c>
      <c r="S595" s="1" t="s">
        <v>2216</v>
      </c>
      <c r="T595" s="1" t="s">
        <v>36</v>
      </c>
      <c r="U595" s="1" t="s">
        <v>477</v>
      </c>
      <c r="V595" s="1" t="s">
        <v>857</v>
      </c>
      <c r="W595" s="1" t="s">
        <v>974</v>
      </c>
      <c r="X595" s="1" t="s">
        <v>806</v>
      </c>
      <c r="Y595" s="1" t="s">
        <v>1160</v>
      </c>
      <c r="Z595" s="1">
        <v>1.0</v>
      </c>
    </row>
    <row r="596">
      <c r="A596" s="1" t="s">
        <v>1379</v>
      </c>
      <c r="B596" s="1" t="s">
        <v>2108</v>
      </c>
      <c r="C596" s="1" t="s">
        <v>1530</v>
      </c>
      <c r="D596" s="1" t="s">
        <v>2228</v>
      </c>
      <c r="E596" s="1" t="s">
        <v>188</v>
      </c>
      <c r="F596" s="1" t="s">
        <v>242</v>
      </c>
      <c r="G596" s="1" t="s">
        <v>201</v>
      </c>
      <c r="H596" s="1" t="s">
        <v>156</v>
      </c>
      <c r="I596" s="1" t="s">
        <v>87</v>
      </c>
      <c r="J596" s="1" t="s">
        <v>1296</v>
      </c>
      <c r="K596" s="1" t="s">
        <v>1550</v>
      </c>
      <c r="L596" s="1" t="s">
        <v>2112</v>
      </c>
      <c r="M596" s="1" t="s">
        <v>301</v>
      </c>
      <c r="N596" s="1" t="s">
        <v>531</v>
      </c>
      <c r="O596" s="1" t="s">
        <v>872</v>
      </c>
      <c r="P596" s="1" t="s">
        <v>860</v>
      </c>
      <c r="Q596" s="1" t="s">
        <v>209</v>
      </c>
      <c r="R596" s="1" t="s">
        <v>856</v>
      </c>
      <c r="S596" s="1" t="s">
        <v>716</v>
      </c>
      <c r="T596" s="1" t="s">
        <v>416</v>
      </c>
      <c r="U596" s="1" t="s">
        <v>35</v>
      </c>
      <c r="V596" s="1" t="s">
        <v>384</v>
      </c>
      <c r="W596" s="1" t="s">
        <v>316</v>
      </c>
      <c r="X596" s="1" t="s">
        <v>158</v>
      </c>
      <c r="Y596" s="1" t="s">
        <v>404</v>
      </c>
      <c r="Z596" s="1">
        <v>1.0</v>
      </c>
    </row>
    <row r="597">
      <c r="A597" s="1" t="s">
        <v>2229</v>
      </c>
      <c r="B597" s="1" t="s">
        <v>2108</v>
      </c>
      <c r="C597" s="1" t="s">
        <v>1534</v>
      </c>
      <c r="D597" s="1">
        <v>248.0</v>
      </c>
      <c r="E597" s="1">
        <v>80.0</v>
      </c>
      <c r="F597" s="1">
        <v>65.0</v>
      </c>
      <c r="G597" s="1">
        <v>80.0</v>
      </c>
      <c r="H597" s="1">
        <v>80.0</v>
      </c>
      <c r="I597" s="1">
        <v>80.0</v>
      </c>
      <c r="J597" s="1">
        <v>80.0</v>
      </c>
      <c r="K597" s="1">
        <v>86.0</v>
      </c>
      <c r="L597" s="1">
        <v>62.0</v>
      </c>
      <c r="M597" s="1">
        <v>65.0</v>
      </c>
      <c r="N597" s="1">
        <v>80.0</v>
      </c>
      <c r="O597" s="1">
        <v>70.0</v>
      </c>
      <c r="P597" s="1">
        <v>80.0</v>
      </c>
      <c r="Q597" s="1">
        <v>80.0</v>
      </c>
      <c r="R597" s="1">
        <v>65.0</v>
      </c>
      <c r="S597" s="1">
        <v>70.0</v>
      </c>
      <c r="T597" s="1">
        <v>92.0</v>
      </c>
      <c r="U597" s="1">
        <v>93.0</v>
      </c>
      <c r="V597" s="1">
        <v>80.0</v>
      </c>
      <c r="W597" s="1">
        <v>75.0</v>
      </c>
      <c r="X597" s="1">
        <v>70.0</v>
      </c>
      <c r="Y597" s="1">
        <v>60.0</v>
      </c>
      <c r="Z597" s="1">
        <v>1.0</v>
      </c>
    </row>
    <row r="598">
      <c r="A598" s="1" t="s">
        <v>1294</v>
      </c>
      <c r="B598" s="1" t="s">
        <v>2108</v>
      </c>
      <c r="C598" s="1" t="s">
        <v>2141</v>
      </c>
      <c r="D598" s="1" t="s">
        <v>2122</v>
      </c>
      <c r="E598" s="1" t="s">
        <v>166</v>
      </c>
      <c r="F598" s="1" t="s">
        <v>679</v>
      </c>
      <c r="G598" s="1" t="s">
        <v>175</v>
      </c>
      <c r="H598" s="1" t="s">
        <v>1255</v>
      </c>
      <c r="I598" s="1" t="s">
        <v>762</v>
      </c>
      <c r="J598" s="1" t="s">
        <v>122</v>
      </c>
      <c r="K598" s="1" t="s">
        <v>2129</v>
      </c>
      <c r="L598" s="1" t="s">
        <v>332</v>
      </c>
      <c r="M598" s="1" t="s">
        <v>731</v>
      </c>
      <c r="N598" s="1" t="s">
        <v>242</v>
      </c>
      <c r="O598" s="1" t="s">
        <v>1901</v>
      </c>
      <c r="P598" s="1" t="s">
        <v>110</v>
      </c>
      <c r="Q598" s="1" t="s">
        <v>1254</v>
      </c>
      <c r="R598" s="1" t="s">
        <v>1184</v>
      </c>
      <c r="S598" s="1" t="s">
        <v>390</v>
      </c>
      <c r="T598" s="1" t="s">
        <v>1889</v>
      </c>
      <c r="U598" s="1" t="s">
        <v>149</v>
      </c>
      <c r="V598" s="1" t="s">
        <v>52</v>
      </c>
      <c r="W598" s="1" t="s">
        <v>348</v>
      </c>
      <c r="X598" s="1" t="s">
        <v>1563</v>
      </c>
      <c r="Y598" s="1" t="s">
        <v>507</v>
      </c>
      <c r="Z598" s="1">
        <v>1.0</v>
      </c>
    </row>
    <row r="599">
      <c r="A599" s="1" t="s">
        <v>2230</v>
      </c>
      <c r="B599" s="1" t="s">
        <v>2108</v>
      </c>
      <c r="C599" s="1" t="s">
        <v>2115</v>
      </c>
      <c r="D599" s="1" t="s">
        <v>2231</v>
      </c>
      <c r="E599" s="1" t="s">
        <v>166</v>
      </c>
      <c r="F599" s="1" t="s">
        <v>253</v>
      </c>
      <c r="G599" s="1" t="s">
        <v>1164</v>
      </c>
      <c r="H599" s="1" t="s">
        <v>224</v>
      </c>
      <c r="I599" s="1" t="s">
        <v>1154</v>
      </c>
      <c r="J599" s="1" t="s">
        <v>242</v>
      </c>
      <c r="K599" s="1" t="s">
        <v>1391</v>
      </c>
      <c r="L599" s="1" t="s">
        <v>1063</v>
      </c>
      <c r="M599" s="1" t="s">
        <v>149</v>
      </c>
      <c r="N599" s="1" t="s">
        <v>1151</v>
      </c>
      <c r="O599" s="1" t="s">
        <v>2232</v>
      </c>
      <c r="P599" s="1" t="s">
        <v>1776</v>
      </c>
      <c r="Q599" s="1" t="s">
        <v>2233</v>
      </c>
      <c r="R599" s="1" t="s">
        <v>2234</v>
      </c>
      <c r="S599" s="1">
        <v>93.0</v>
      </c>
      <c r="T599" s="1" t="s">
        <v>530</v>
      </c>
      <c r="U599" s="1" t="s">
        <v>136</v>
      </c>
      <c r="V599" s="1" t="s">
        <v>1313</v>
      </c>
      <c r="W599" s="1" t="s">
        <v>2235</v>
      </c>
      <c r="X599" s="1" t="s">
        <v>1247</v>
      </c>
      <c r="Y599" s="1" t="s">
        <v>1046</v>
      </c>
      <c r="Z599" s="1">
        <v>1.0</v>
      </c>
    </row>
    <row r="600">
      <c r="A600" s="1" t="s">
        <v>217</v>
      </c>
      <c r="B600" s="1" t="s">
        <v>2108</v>
      </c>
      <c r="C600" s="1" t="s">
        <v>1541</v>
      </c>
      <c r="D600" s="1" t="s">
        <v>2236</v>
      </c>
      <c r="E600" s="1" t="s">
        <v>406</v>
      </c>
      <c r="F600" s="1" t="s">
        <v>700</v>
      </c>
      <c r="G600" s="1" t="s">
        <v>2237</v>
      </c>
      <c r="H600" s="1" t="s">
        <v>2238</v>
      </c>
      <c r="I600" s="1" t="s">
        <v>2239</v>
      </c>
      <c r="J600" s="1" t="s">
        <v>1326</v>
      </c>
      <c r="K600" s="1" t="s">
        <v>760</v>
      </c>
      <c r="L600" s="1" t="s">
        <v>324</v>
      </c>
      <c r="M600" s="1" t="s">
        <v>1285</v>
      </c>
      <c r="N600" s="1" t="s">
        <v>243</v>
      </c>
      <c r="O600" s="1" t="s">
        <v>417</v>
      </c>
      <c r="P600" s="1" t="s">
        <v>1599</v>
      </c>
      <c r="Q600" s="1" t="s">
        <v>2240</v>
      </c>
      <c r="R600" s="1" t="s">
        <v>1629</v>
      </c>
      <c r="S600" s="1" t="s">
        <v>1637</v>
      </c>
      <c r="T600" s="1" t="s">
        <v>325</v>
      </c>
      <c r="U600" s="1" t="s">
        <v>406</v>
      </c>
      <c r="V600" s="1" t="s">
        <v>451</v>
      </c>
      <c r="W600" s="1" t="s">
        <v>2241</v>
      </c>
      <c r="X600" s="1" t="s">
        <v>139</v>
      </c>
      <c r="Y600" s="1" t="s">
        <v>507</v>
      </c>
      <c r="Z600" s="1">
        <v>1.0</v>
      </c>
    </row>
    <row r="601">
      <c r="A601" s="1" t="s">
        <v>2242</v>
      </c>
      <c r="B601" s="1" t="s">
        <v>2108</v>
      </c>
      <c r="C601" s="1" t="s">
        <v>2125</v>
      </c>
      <c r="D601" s="1" t="s">
        <v>2243</v>
      </c>
      <c r="E601" s="1" t="s">
        <v>1147</v>
      </c>
      <c r="F601" s="1" t="s">
        <v>98</v>
      </c>
      <c r="G601" s="1" t="s">
        <v>110</v>
      </c>
      <c r="H601" s="1" t="s">
        <v>243</v>
      </c>
      <c r="I601" s="1" t="s">
        <v>1113</v>
      </c>
      <c r="J601" s="1" t="s">
        <v>396</v>
      </c>
      <c r="K601" s="1" t="s">
        <v>220</v>
      </c>
      <c r="L601" s="1" t="s">
        <v>178</v>
      </c>
      <c r="M601" s="1" t="s">
        <v>31</v>
      </c>
      <c r="N601" s="1" t="s">
        <v>1825</v>
      </c>
      <c r="O601" s="1" t="s">
        <v>2244</v>
      </c>
      <c r="P601" s="1" t="s">
        <v>808</v>
      </c>
      <c r="Q601" s="1" t="s">
        <v>2245</v>
      </c>
      <c r="R601" s="1" t="s">
        <v>437</v>
      </c>
      <c r="S601" s="1" t="s">
        <v>1743</v>
      </c>
      <c r="T601" s="1" t="s">
        <v>212</v>
      </c>
      <c r="U601" s="1" t="s">
        <v>761</v>
      </c>
      <c r="V601" s="1" t="s">
        <v>110</v>
      </c>
      <c r="W601" s="1" t="s">
        <v>796</v>
      </c>
      <c r="X601" s="1" t="s">
        <v>110</v>
      </c>
      <c r="Y601" s="1" t="s">
        <v>763</v>
      </c>
      <c r="Z601" s="1">
        <v>1.0</v>
      </c>
    </row>
    <row r="602">
      <c r="A602" s="1" t="s">
        <v>2246</v>
      </c>
      <c r="B602" s="1" t="s">
        <v>2108</v>
      </c>
      <c r="C602" s="1" t="s">
        <v>1534</v>
      </c>
      <c r="D602" s="1" t="s">
        <v>2247</v>
      </c>
      <c r="E602" s="1" t="s">
        <v>839</v>
      </c>
      <c r="F602" s="1" t="s">
        <v>713</v>
      </c>
      <c r="G602" s="1" t="s">
        <v>1151</v>
      </c>
      <c r="H602" s="1" t="s">
        <v>1919</v>
      </c>
      <c r="I602" s="1" t="s">
        <v>2248</v>
      </c>
      <c r="J602" s="1">
        <v>70.0</v>
      </c>
      <c r="K602" s="1">
        <v>80.0</v>
      </c>
      <c r="L602" s="1" t="s">
        <v>2157</v>
      </c>
      <c r="M602" s="1">
        <v>71.0</v>
      </c>
      <c r="N602" s="1" t="s">
        <v>270</v>
      </c>
      <c r="O602" s="1" t="s">
        <v>1089</v>
      </c>
      <c r="P602" s="1">
        <v>82.0</v>
      </c>
      <c r="Q602" s="1">
        <v>85.0</v>
      </c>
      <c r="R602" s="1" t="s">
        <v>180</v>
      </c>
      <c r="S602" s="1">
        <v>74.0</v>
      </c>
      <c r="T602" s="1" t="s">
        <v>548</v>
      </c>
      <c r="U602" s="1" t="s">
        <v>133</v>
      </c>
      <c r="V602" s="1" t="s">
        <v>205</v>
      </c>
      <c r="W602" s="1" t="s">
        <v>190</v>
      </c>
      <c r="X602" s="1" t="s">
        <v>850</v>
      </c>
      <c r="Y602" s="1" t="s">
        <v>1258</v>
      </c>
      <c r="Z602" s="1">
        <v>1.0</v>
      </c>
    </row>
    <row r="603">
      <c r="A603" s="1" t="s">
        <v>2249</v>
      </c>
      <c r="B603" s="1" t="s">
        <v>2108</v>
      </c>
      <c r="C603" s="1" t="s">
        <v>1612</v>
      </c>
      <c r="D603" s="1" t="s">
        <v>2250</v>
      </c>
      <c r="E603" s="1" t="s">
        <v>428</v>
      </c>
      <c r="F603" s="1" t="s">
        <v>44</v>
      </c>
      <c r="G603" s="1" t="s">
        <v>189</v>
      </c>
      <c r="H603" s="1" t="s">
        <v>2251</v>
      </c>
      <c r="I603" s="1" t="s">
        <v>2252</v>
      </c>
      <c r="J603" s="1" t="s">
        <v>747</v>
      </c>
      <c r="K603" s="1" t="s">
        <v>457</v>
      </c>
      <c r="L603" s="1" t="s">
        <v>1935</v>
      </c>
      <c r="M603" s="1" t="s">
        <v>1996</v>
      </c>
      <c r="N603" s="1" t="s">
        <v>521</v>
      </c>
      <c r="O603" s="1" t="s">
        <v>354</v>
      </c>
      <c r="P603" s="1" t="s">
        <v>860</v>
      </c>
      <c r="Q603" s="1" t="s">
        <v>760</v>
      </c>
      <c r="R603" s="1" t="s">
        <v>1897</v>
      </c>
      <c r="S603" s="1" t="s">
        <v>716</v>
      </c>
      <c r="T603" s="1" t="s">
        <v>122</v>
      </c>
      <c r="U603" s="1" t="s">
        <v>133</v>
      </c>
      <c r="V603" s="1" t="s">
        <v>600</v>
      </c>
      <c r="W603" s="1" t="s">
        <v>1272</v>
      </c>
      <c r="X603" s="1" t="s">
        <v>114</v>
      </c>
      <c r="Y603" s="1" t="s">
        <v>419</v>
      </c>
      <c r="Z603" s="1">
        <v>1.0</v>
      </c>
    </row>
    <row r="604">
      <c r="A604" s="1" t="s">
        <v>2253</v>
      </c>
      <c r="B604" s="1" t="s">
        <v>2108</v>
      </c>
      <c r="C604" s="1" t="s">
        <v>1612</v>
      </c>
      <c r="D604" s="1" t="s">
        <v>2254</v>
      </c>
      <c r="E604" s="1" t="s">
        <v>1196</v>
      </c>
      <c r="F604" s="1" t="s">
        <v>1126</v>
      </c>
      <c r="G604" s="1" t="s">
        <v>135</v>
      </c>
      <c r="H604" s="1" t="s">
        <v>98</v>
      </c>
      <c r="I604" s="1" t="s">
        <v>1877</v>
      </c>
      <c r="J604" s="1" t="s">
        <v>1607</v>
      </c>
      <c r="K604" s="1">
        <v>80.0</v>
      </c>
      <c r="L604" s="1" t="s">
        <v>2157</v>
      </c>
      <c r="M604" s="1" t="s">
        <v>1131</v>
      </c>
      <c r="N604" s="1" t="s">
        <v>844</v>
      </c>
      <c r="O604" s="1" t="s">
        <v>2255</v>
      </c>
      <c r="P604" s="1" t="s">
        <v>30</v>
      </c>
      <c r="Q604" s="1" t="s">
        <v>1213</v>
      </c>
      <c r="R604" s="1" t="s">
        <v>531</v>
      </c>
      <c r="S604" s="1" t="s">
        <v>1088</v>
      </c>
      <c r="T604" s="1" t="s">
        <v>754</v>
      </c>
      <c r="U604" s="1" t="s">
        <v>2256</v>
      </c>
      <c r="V604" s="1" t="s">
        <v>1046</v>
      </c>
      <c r="W604" s="1" t="s">
        <v>424</v>
      </c>
      <c r="X604" s="1" t="s">
        <v>780</v>
      </c>
      <c r="Y604" s="1" t="s">
        <v>1046</v>
      </c>
      <c r="Z604" s="1">
        <v>1.0</v>
      </c>
    </row>
    <row r="605">
      <c r="A605" s="1" t="s">
        <v>2257</v>
      </c>
      <c r="B605" s="1" t="s">
        <v>2108</v>
      </c>
      <c r="C605" s="1" t="s">
        <v>970</v>
      </c>
      <c r="D605" s="1" t="s">
        <v>2258</v>
      </c>
      <c r="E605" s="1" t="s">
        <v>584</v>
      </c>
      <c r="F605" s="1" t="s">
        <v>1136</v>
      </c>
      <c r="G605" s="1" t="s">
        <v>2259</v>
      </c>
      <c r="H605" s="1" t="s">
        <v>180</v>
      </c>
      <c r="I605" s="1" t="s">
        <v>1801</v>
      </c>
      <c r="J605" s="1">
        <v>71.0</v>
      </c>
      <c r="K605" s="1">
        <v>81.0</v>
      </c>
      <c r="L605" s="1" t="s">
        <v>2260</v>
      </c>
      <c r="M605" s="1" t="s">
        <v>2261</v>
      </c>
      <c r="N605" s="1">
        <v>61.0</v>
      </c>
      <c r="O605" s="1" t="s">
        <v>2262</v>
      </c>
      <c r="P605" s="1" t="s">
        <v>1088</v>
      </c>
      <c r="Q605" s="1">
        <v>71.0</v>
      </c>
      <c r="R605" s="1" t="s">
        <v>863</v>
      </c>
      <c r="S605" s="1">
        <v>88.0</v>
      </c>
      <c r="T605" s="1" t="s">
        <v>728</v>
      </c>
      <c r="U605" s="1">
        <v>92.0</v>
      </c>
      <c r="V605" s="1">
        <v>80.0</v>
      </c>
      <c r="W605" s="1" t="s">
        <v>1211</v>
      </c>
      <c r="X605" s="1">
        <v>83.0</v>
      </c>
      <c r="Y605" s="1" t="s">
        <v>582</v>
      </c>
      <c r="Z605" s="1">
        <v>1.0</v>
      </c>
    </row>
    <row r="606">
      <c r="A606" s="1" t="s">
        <v>2263</v>
      </c>
      <c r="B606" s="1" t="s">
        <v>2108</v>
      </c>
      <c r="C606" s="1" t="s">
        <v>2141</v>
      </c>
      <c r="D606" s="1" t="s">
        <v>2264</v>
      </c>
      <c r="E606" s="1" t="s">
        <v>157</v>
      </c>
      <c r="F606" s="1" t="s">
        <v>301</v>
      </c>
      <c r="G606" s="1" t="s">
        <v>236</v>
      </c>
      <c r="H606" s="1" t="s">
        <v>2265</v>
      </c>
      <c r="I606" s="1" t="s">
        <v>1810</v>
      </c>
      <c r="J606" s="1" t="s">
        <v>922</v>
      </c>
      <c r="K606" s="1" t="s">
        <v>780</v>
      </c>
      <c r="L606" s="1" t="s">
        <v>417</v>
      </c>
      <c r="M606" s="1" t="s">
        <v>1116</v>
      </c>
      <c r="N606" s="1" t="s">
        <v>40</v>
      </c>
      <c r="O606" s="1" t="s">
        <v>2266</v>
      </c>
      <c r="P606" s="1" t="s">
        <v>1539</v>
      </c>
      <c r="Q606" s="1" t="s">
        <v>1038</v>
      </c>
      <c r="R606" s="1" t="s">
        <v>325</v>
      </c>
      <c r="S606" s="1" t="s">
        <v>671</v>
      </c>
      <c r="T606" s="1" t="s">
        <v>48</v>
      </c>
      <c r="U606" s="1" t="s">
        <v>96</v>
      </c>
      <c r="V606" s="1" t="s">
        <v>424</v>
      </c>
      <c r="W606" s="1" t="s">
        <v>872</v>
      </c>
      <c r="X606" s="1" t="s">
        <v>265</v>
      </c>
      <c r="Y606" s="1" t="s">
        <v>205</v>
      </c>
      <c r="Z606" s="1">
        <v>1.0</v>
      </c>
    </row>
    <row r="607">
      <c r="A607" s="1" t="s">
        <v>2267</v>
      </c>
      <c r="B607" s="1" t="s">
        <v>2108</v>
      </c>
      <c r="C607" s="1" t="s">
        <v>2166</v>
      </c>
      <c r="D607" s="1" t="s">
        <v>2268</v>
      </c>
      <c r="E607" s="1" t="s">
        <v>271</v>
      </c>
      <c r="F607" s="1" t="s">
        <v>1913</v>
      </c>
      <c r="G607" s="1" t="s">
        <v>724</v>
      </c>
      <c r="H607" s="1" t="s">
        <v>208</v>
      </c>
      <c r="I607" s="1" t="s">
        <v>594</v>
      </c>
      <c r="J607" s="1" t="s">
        <v>242</v>
      </c>
      <c r="K607" s="1" t="s">
        <v>525</v>
      </c>
      <c r="L607" s="1" t="s">
        <v>1146</v>
      </c>
      <c r="M607" s="1">
        <v>87.0</v>
      </c>
      <c r="N607" s="1" t="s">
        <v>2255</v>
      </c>
      <c r="O607" s="1" t="s">
        <v>2269</v>
      </c>
      <c r="P607" s="1" t="s">
        <v>1136</v>
      </c>
      <c r="Q607" s="1" t="s">
        <v>753</v>
      </c>
      <c r="R607" s="1" t="s">
        <v>2270</v>
      </c>
      <c r="S607" s="1" t="s">
        <v>424</v>
      </c>
      <c r="T607" s="1" t="s">
        <v>773</v>
      </c>
      <c r="U607" s="1" t="s">
        <v>133</v>
      </c>
      <c r="V607" s="1" t="s">
        <v>974</v>
      </c>
      <c r="W607" s="1" t="s">
        <v>1068</v>
      </c>
      <c r="X607" s="1" t="s">
        <v>96</v>
      </c>
      <c r="Y607" s="1" t="s">
        <v>620</v>
      </c>
      <c r="Z607" s="1">
        <v>1.0</v>
      </c>
    </row>
    <row r="608">
      <c r="A608" s="1" t="s">
        <v>2271</v>
      </c>
      <c r="B608" s="1" t="s">
        <v>2108</v>
      </c>
      <c r="C608" s="1" t="s">
        <v>2272</v>
      </c>
      <c r="D608" s="1" t="s">
        <v>2273</v>
      </c>
      <c r="E608" s="1" t="s">
        <v>2181</v>
      </c>
      <c r="F608" s="1" t="s">
        <v>1616</v>
      </c>
      <c r="G608" s="1" t="s">
        <v>322</v>
      </c>
      <c r="H608" s="1" t="s">
        <v>123</v>
      </c>
      <c r="I608" s="1" t="s">
        <v>2274</v>
      </c>
      <c r="J608" s="1" t="s">
        <v>200</v>
      </c>
      <c r="K608" s="1" t="s">
        <v>1618</v>
      </c>
      <c r="L608" s="1" t="s">
        <v>2275</v>
      </c>
      <c r="M608" s="1" t="s">
        <v>1255</v>
      </c>
      <c r="N608" s="1" t="s">
        <v>1413</v>
      </c>
      <c r="O608" s="1" t="s">
        <v>348</v>
      </c>
      <c r="P608" s="1" t="s">
        <v>1264</v>
      </c>
      <c r="Q608" s="1" t="s">
        <v>2276</v>
      </c>
      <c r="R608" s="1" t="s">
        <v>2277</v>
      </c>
      <c r="S608" s="1" t="s">
        <v>994</v>
      </c>
      <c r="T608" s="1" t="s">
        <v>2278</v>
      </c>
      <c r="U608" s="1" t="s">
        <v>2279</v>
      </c>
      <c r="V608" s="1" t="s">
        <v>207</v>
      </c>
      <c r="W608" s="1" t="s">
        <v>178</v>
      </c>
      <c r="X608" s="1" t="s">
        <v>685</v>
      </c>
      <c r="Y608" s="1" t="s">
        <v>700</v>
      </c>
      <c r="Z608" s="1">
        <v>1.0</v>
      </c>
    </row>
    <row r="609">
      <c r="A609" s="1" t="s">
        <v>2280</v>
      </c>
      <c r="B609" s="1" t="s">
        <v>2108</v>
      </c>
      <c r="C609" s="1" t="s">
        <v>970</v>
      </c>
      <c r="D609" s="1" t="s">
        <v>2281</v>
      </c>
      <c r="E609" s="1" t="s">
        <v>1054</v>
      </c>
      <c r="F609" s="1" t="s">
        <v>878</v>
      </c>
      <c r="G609" s="1" t="s">
        <v>553</v>
      </c>
      <c r="H609" s="1" t="s">
        <v>1357</v>
      </c>
      <c r="I609" s="1" t="s">
        <v>752</v>
      </c>
      <c r="J609" s="1" t="s">
        <v>893</v>
      </c>
      <c r="K609" s="1" t="s">
        <v>890</v>
      </c>
      <c r="L609" s="1" t="s">
        <v>2282</v>
      </c>
      <c r="M609" s="1" t="s">
        <v>860</v>
      </c>
      <c r="N609" s="1" t="s">
        <v>337</v>
      </c>
      <c r="O609" s="1" t="s">
        <v>212</v>
      </c>
      <c r="P609" s="1" t="s">
        <v>242</v>
      </c>
      <c r="Q609" s="1" t="s">
        <v>884</v>
      </c>
      <c r="R609" s="1" t="s">
        <v>1112</v>
      </c>
      <c r="S609" s="1" t="s">
        <v>520</v>
      </c>
      <c r="T609" s="1" t="s">
        <v>180</v>
      </c>
      <c r="U609" s="1">
        <v>92.0</v>
      </c>
      <c r="V609" s="1" t="s">
        <v>593</v>
      </c>
      <c r="W609" s="1" t="s">
        <v>428</v>
      </c>
      <c r="X609" s="1" t="s">
        <v>593</v>
      </c>
      <c r="Y609" s="1" t="s">
        <v>300</v>
      </c>
      <c r="Z609" s="1">
        <v>1.0</v>
      </c>
    </row>
    <row r="610">
      <c r="A610" s="1" t="s">
        <v>1042</v>
      </c>
      <c r="B610" s="1" t="s">
        <v>2108</v>
      </c>
      <c r="C610" s="1" t="s">
        <v>1693</v>
      </c>
      <c r="D610" s="1" t="s">
        <v>2283</v>
      </c>
      <c r="E610" s="1" t="s">
        <v>127</v>
      </c>
      <c r="F610" s="1" t="s">
        <v>316</v>
      </c>
      <c r="G610" s="1" t="s">
        <v>322</v>
      </c>
      <c r="H610" s="1" t="s">
        <v>2284</v>
      </c>
      <c r="I610" s="1" t="s">
        <v>713</v>
      </c>
      <c r="J610" s="1" t="s">
        <v>1046</v>
      </c>
      <c r="K610" s="1" t="s">
        <v>271</v>
      </c>
      <c r="L610" s="1" t="s">
        <v>2285</v>
      </c>
      <c r="M610" s="1" t="s">
        <v>2286</v>
      </c>
      <c r="N610" s="1" t="s">
        <v>975</v>
      </c>
      <c r="O610" s="1" t="s">
        <v>872</v>
      </c>
      <c r="P610" s="1" t="s">
        <v>531</v>
      </c>
      <c r="Q610" s="1" t="s">
        <v>675</v>
      </c>
      <c r="R610" s="1" t="s">
        <v>685</v>
      </c>
      <c r="S610" s="1" t="s">
        <v>149</v>
      </c>
      <c r="T610" s="1" t="s">
        <v>1168</v>
      </c>
      <c r="U610" s="1" t="s">
        <v>229</v>
      </c>
      <c r="V610" s="1" t="s">
        <v>300</v>
      </c>
      <c r="W610" s="1" t="s">
        <v>242</v>
      </c>
      <c r="X610" s="1" t="s">
        <v>1702</v>
      </c>
      <c r="Y610" s="1" t="s">
        <v>323</v>
      </c>
      <c r="Z610" s="1">
        <v>1.0</v>
      </c>
    </row>
    <row r="611">
      <c r="A611" s="1" t="s">
        <v>26</v>
      </c>
      <c r="B611" s="1" t="s">
        <v>2108</v>
      </c>
      <c r="C611" s="1" t="s">
        <v>2287</v>
      </c>
      <c r="D611" s="1" t="s">
        <v>1665</v>
      </c>
      <c r="E611" s="1" t="s">
        <v>35</v>
      </c>
      <c r="F611" s="1" t="s">
        <v>208</v>
      </c>
      <c r="G611" s="1" t="s">
        <v>151</v>
      </c>
      <c r="H611" s="1" t="s">
        <v>1587</v>
      </c>
      <c r="I611" s="1" t="s">
        <v>2288</v>
      </c>
      <c r="J611" s="1" t="s">
        <v>45</v>
      </c>
      <c r="K611" s="1" t="s">
        <v>780</v>
      </c>
      <c r="L611" s="1" t="s">
        <v>1130</v>
      </c>
      <c r="M611" s="1" t="s">
        <v>1285</v>
      </c>
      <c r="N611" s="1" t="s">
        <v>204</v>
      </c>
      <c r="O611" s="1" t="s">
        <v>1244</v>
      </c>
      <c r="P611" s="1" t="s">
        <v>435</v>
      </c>
      <c r="Q611" s="1" t="s">
        <v>2289</v>
      </c>
      <c r="R611" s="1" t="s">
        <v>2290</v>
      </c>
      <c r="S611" s="1" t="s">
        <v>1413</v>
      </c>
      <c r="T611" s="1" t="s">
        <v>828</v>
      </c>
      <c r="U611" s="1" t="s">
        <v>1523</v>
      </c>
      <c r="V611" s="1" t="s">
        <v>857</v>
      </c>
      <c r="W611" s="1" t="s">
        <v>1028</v>
      </c>
      <c r="X611" s="1" t="s">
        <v>157</v>
      </c>
      <c r="Y611" s="1" t="s">
        <v>1368</v>
      </c>
      <c r="Z611" s="1">
        <v>1.0</v>
      </c>
    </row>
    <row r="612">
      <c r="A612" s="1" t="s">
        <v>2019</v>
      </c>
      <c r="B612" s="1" t="s">
        <v>2108</v>
      </c>
      <c r="C612" s="1" t="s">
        <v>1579</v>
      </c>
      <c r="D612" s="1">
        <v>249.0</v>
      </c>
      <c r="E612" s="1">
        <v>75.0</v>
      </c>
      <c r="F612" s="1">
        <v>53.0</v>
      </c>
      <c r="G612" s="1">
        <v>73.0</v>
      </c>
      <c r="H612" s="1">
        <v>77.0</v>
      </c>
      <c r="I612" s="1">
        <v>56.0</v>
      </c>
      <c r="J612" s="1">
        <v>35.0</v>
      </c>
      <c r="K612" s="1">
        <v>25.0</v>
      </c>
      <c r="L612" s="1">
        <v>35.0</v>
      </c>
      <c r="M612" s="1">
        <v>93.0</v>
      </c>
      <c r="N612" s="1">
        <v>58.0</v>
      </c>
      <c r="O612" s="1">
        <v>45.0</v>
      </c>
      <c r="P612" s="1">
        <v>82.0</v>
      </c>
      <c r="Q612" s="1">
        <v>72.0</v>
      </c>
      <c r="R612" s="1">
        <v>60.0</v>
      </c>
      <c r="S612" s="1">
        <v>88.0</v>
      </c>
      <c r="T612" s="1">
        <v>90.0</v>
      </c>
      <c r="U612" s="1">
        <v>94.0</v>
      </c>
      <c r="V612" s="1">
        <v>74.0</v>
      </c>
      <c r="W612" s="1">
        <v>68.0</v>
      </c>
      <c r="X612" s="1">
        <v>91.0</v>
      </c>
      <c r="Y612" s="1">
        <v>88.0</v>
      </c>
      <c r="Z612" s="1">
        <v>1.0</v>
      </c>
    </row>
    <row r="613">
      <c r="A613" s="1" t="s">
        <v>2291</v>
      </c>
      <c r="B613" s="1" t="s">
        <v>2108</v>
      </c>
      <c r="C613" s="1" t="s">
        <v>2115</v>
      </c>
      <c r="D613" s="1">
        <v>248.0</v>
      </c>
      <c r="E613" s="1">
        <v>87.0</v>
      </c>
      <c r="F613" s="1">
        <v>62.0</v>
      </c>
      <c r="G613" s="1">
        <v>73.0</v>
      </c>
      <c r="H613" s="1">
        <v>81.0</v>
      </c>
      <c r="I613" s="1">
        <v>62.0</v>
      </c>
      <c r="J613" s="1">
        <v>92.0</v>
      </c>
      <c r="K613" s="1">
        <v>81.0</v>
      </c>
      <c r="L613" s="1">
        <v>69.0</v>
      </c>
      <c r="M613" s="1">
        <v>65.0</v>
      </c>
      <c r="N613" s="1">
        <v>65.0</v>
      </c>
      <c r="O613" s="1">
        <v>56.0</v>
      </c>
      <c r="P613" s="1">
        <v>82.0</v>
      </c>
      <c r="Q613" s="1">
        <v>52.0</v>
      </c>
      <c r="R613" s="1">
        <v>60.0</v>
      </c>
      <c r="S613" s="1">
        <v>93.0</v>
      </c>
      <c r="T613" s="1">
        <v>67.0</v>
      </c>
      <c r="U613" s="1">
        <v>92.0</v>
      </c>
      <c r="V613" s="1">
        <v>70.0</v>
      </c>
      <c r="W613" s="1">
        <v>60.0</v>
      </c>
      <c r="X613" s="1">
        <v>91.0</v>
      </c>
      <c r="Y613" s="1">
        <v>80.0</v>
      </c>
      <c r="Z613" s="1">
        <v>1.0</v>
      </c>
    </row>
    <row r="614">
      <c r="A614" s="1" t="s">
        <v>989</v>
      </c>
      <c r="B614" s="1" t="s">
        <v>2108</v>
      </c>
      <c r="C614" s="1" t="s">
        <v>1534</v>
      </c>
      <c r="D614" s="1">
        <v>210.0</v>
      </c>
      <c r="E614" s="1">
        <v>75.0</v>
      </c>
      <c r="F614" s="1">
        <v>75.0</v>
      </c>
      <c r="G614" s="1">
        <v>93.0</v>
      </c>
      <c r="H614" s="1">
        <v>72.0</v>
      </c>
      <c r="I614" s="1">
        <v>46.0</v>
      </c>
      <c r="J614" s="1">
        <v>85.0</v>
      </c>
      <c r="K614" s="1">
        <v>80.0</v>
      </c>
      <c r="L614" s="1">
        <v>77.0</v>
      </c>
      <c r="M614" s="1">
        <v>75.0</v>
      </c>
      <c r="N614" s="1">
        <v>75.0</v>
      </c>
      <c r="O614" s="1">
        <v>68.0</v>
      </c>
      <c r="P614" s="1">
        <v>70.0</v>
      </c>
      <c r="Q614" s="1">
        <v>85.0</v>
      </c>
      <c r="R614" s="1">
        <v>60.0</v>
      </c>
      <c r="S614" s="1">
        <v>78.0</v>
      </c>
      <c r="T614" s="1">
        <v>80.0</v>
      </c>
      <c r="U614" s="1">
        <v>80.0</v>
      </c>
      <c r="V614" s="1">
        <v>80.0</v>
      </c>
      <c r="W614" s="1">
        <v>80.0</v>
      </c>
      <c r="X614" s="1">
        <v>73.0</v>
      </c>
      <c r="Y614" s="1">
        <v>83.0</v>
      </c>
      <c r="Z614" s="1">
        <v>1.0</v>
      </c>
    </row>
    <row r="615">
      <c r="A615" s="1" t="s">
        <v>2292</v>
      </c>
      <c r="B615" s="1" t="s">
        <v>2108</v>
      </c>
      <c r="C615" s="1" t="s">
        <v>1754</v>
      </c>
      <c r="D615" s="1" t="s">
        <v>2293</v>
      </c>
      <c r="E615" s="1" t="s">
        <v>30</v>
      </c>
      <c r="F615" s="1" t="s">
        <v>729</v>
      </c>
      <c r="G615" s="1" t="s">
        <v>350</v>
      </c>
      <c r="H615" s="1" t="s">
        <v>582</v>
      </c>
      <c r="I615" s="1" t="s">
        <v>1663</v>
      </c>
      <c r="J615" s="1" t="s">
        <v>635</v>
      </c>
      <c r="K615" s="1" t="s">
        <v>747</v>
      </c>
      <c r="L615" s="1" t="s">
        <v>2294</v>
      </c>
      <c r="M615" s="1" t="s">
        <v>2295</v>
      </c>
      <c r="N615" s="1" t="s">
        <v>1370</v>
      </c>
      <c r="O615" s="1" t="s">
        <v>1024</v>
      </c>
      <c r="P615" s="1" t="s">
        <v>582</v>
      </c>
      <c r="Q615" s="1" t="s">
        <v>2296</v>
      </c>
      <c r="R615" s="1" t="s">
        <v>2297</v>
      </c>
      <c r="S615" s="1" t="s">
        <v>221</v>
      </c>
      <c r="T615" s="1" t="s">
        <v>1121</v>
      </c>
      <c r="U615" s="1" t="s">
        <v>427</v>
      </c>
      <c r="V615" s="1" t="s">
        <v>657</v>
      </c>
      <c r="W615" s="1" t="s">
        <v>1668</v>
      </c>
      <c r="X615" s="1" t="s">
        <v>114</v>
      </c>
      <c r="Y615" s="1" t="s">
        <v>253</v>
      </c>
      <c r="Z615" s="1">
        <v>1.0</v>
      </c>
    </row>
    <row r="616">
      <c r="A616" s="1" t="s">
        <v>2298</v>
      </c>
      <c r="B616" s="1" t="s">
        <v>2108</v>
      </c>
      <c r="C616" s="1" t="s">
        <v>2115</v>
      </c>
      <c r="D616" s="1">
        <v>213.0</v>
      </c>
      <c r="E616" s="1">
        <v>85.0</v>
      </c>
      <c r="F616" s="1">
        <v>90.0</v>
      </c>
      <c r="G616" s="1">
        <v>87.0</v>
      </c>
      <c r="H616" s="1">
        <v>72.0</v>
      </c>
      <c r="I616" s="1">
        <v>87.0</v>
      </c>
      <c r="J616" s="1">
        <v>89.0</v>
      </c>
      <c r="K616" s="1">
        <v>83.0</v>
      </c>
      <c r="L616" s="1">
        <v>92.0</v>
      </c>
      <c r="M616" s="1">
        <v>75.0</v>
      </c>
      <c r="N616" s="1">
        <v>73.0</v>
      </c>
      <c r="O616" s="1">
        <v>68.0</v>
      </c>
      <c r="P616" s="1">
        <v>70.0</v>
      </c>
      <c r="Q616" s="1">
        <v>71.0</v>
      </c>
      <c r="R616" s="1">
        <v>60.0</v>
      </c>
      <c r="S616" s="1">
        <v>84.0</v>
      </c>
      <c r="T616" s="1">
        <v>70.0</v>
      </c>
      <c r="U616" s="1">
        <v>85.0</v>
      </c>
      <c r="V616" s="1">
        <v>79.0</v>
      </c>
      <c r="W616" s="1">
        <v>72.0</v>
      </c>
      <c r="X616" s="1">
        <v>75.0</v>
      </c>
      <c r="Y616" s="1">
        <v>77.0</v>
      </c>
      <c r="Z616" s="1">
        <v>1.0</v>
      </c>
    </row>
    <row r="617">
      <c r="A617" s="1" t="s">
        <v>1261</v>
      </c>
      <c r="B617" s="1" t="s">
        <v>2108</v>
      </c>
      <c r="C617" s="1" t="s">
        <v>2121</v>
      </c>
      <c r="D617" s="1" t="s">
        <v>2299</v>
      </c>
      <c r="E617" s="1" t="s">
        <v>1477</v>
      </c>
      <c r="F617" s="1" t="s">
        <v>675</v>
      </c>
      <c r="G617" s="1" t="s">
        <v>396</v>
      </c>
      <c r="H617" s="1" t="s">
        <v>700</v>
      </c>
      <c r="I617" s="1" t="s">
        <v>235</v>
      </c>
      <c r="J617" s="1" t="s">
        <v>582</v>
      </c>
      <c r="K617" s="1" t="s">
        <v>242</v>
      </c>
      <c r="L617" s="1" t="s">
        <v>490</v>
      </c>
      <c r="M617" s="1" t="s">
        <v>838</v>
      </c>
      <c r="N617" s="1">
        <v>70.0</v>
      </c>
      <c r="O617" s="1" t="s">
        <v>2069</v>
      </c>
      <c r="P617" s="1">
        <v>88.0</v>
      </c>
      <c r="Q617" s="1" t="s">
        <v>817</v>
      </c>
      <c r="R617" s="1" t="s">
        <v>735</v>
      </c>
      <c r="S617" s="1" t="s">
        <v>128</v>
      </c>
      <c r="T617" s="1" t="s">
        <v>2300</v>
      </c>
      <c r="U617" s="1" t="s">
        <v>205</v>
      </c>
      <c r="V617" s="1" t="s">
        <v>428</v>
      </c>
      <c r="W617" s="1" t="s">
        <v>863</v>
      </c>
      <c r="X617" s="1" t="s">
        <v>199</v>
      </c>
      <c r="Y617" s="1" t="s">
        <v>582</v>
      </c>
      <c r="Z617" s="1">
        <v>1.0</v>
      </c>
    </row>
    <row r="618">
      <c r="A618" s="1" t="s">
        <v>2301</v>
      </c>
      <c r="B618" s="1" t="s">
        <v>2108</v>
      </c>
      <c r="C618" s="1" t="s">
        <v>2163</v>
      </c>
      <c r="D618" s="1" t="s">
        <v>2302</v>
      </c>
      <c r="E618" s="1" t="s">
        <v>911</v>
      </c>
      <c r="F618" s="1" t="s">
        <v>1863</v>
      </c>
      <c r="G618" s="1" t="s">
        <v>922</v>
      </c>
      <c r="H618" s="1" t="s">
        <v>1616</v>
      </c>
      <c r="I618" s="1" t="s">
        <v>36</v>
      </c>
      <c r="J618" s="1" t="s">
        <v>2303</v>
      </c>
      <c r="K618" s="1" t="s">
        <v>2304</v>
      </c>
      <c r="L618" s="1" t="s">
        <v>1013</v>
      </c>
      <c r="M618" s="1" t="s">
        <v>38</v>
      </c>
      <c r="N618" s="1" t="s">
        <v>163</v>
      </c>
      <c r="O618" s="1" t="s">
        <v>1082</v>
      </c>
      <c r="P618" s="1" t="s">
        <v>860</v>
      </c>
      <c r="Q618" s="1" t="s">
        <v>2305</v>
      </c>
      <c r="R618" s="1" t="s">
        <v>859</v>
      </c>
      <c r="S618" s="1" t="s">
        <v>1539</v>
      </c>
      <c r="T618" s="1" t="s">
        <v>828</v>
      </c>
      <c r="U618" s="1" t="s">
        <v>225</v>
      </c>
      <c r="V618" s="1" t="s">
        <v>190</v>
      </c>
      <c r="W618" s="1" t="s">
        <v>872</v>
      </c>
      <c r="X618" s="1" t="s">
        <v>657</v>
      </c>
      <c r="Y618" s="1" t="s">
        <v>190</v>
      </c>
      <c r="Z618" s="1">
        <v>1.0</v>
      </c>
    </row>
    <row r="619">
      <c r="A619" s="1" t="s">
        <v>2306</v>
      </c>
      <c r="B619" s="1" t="s">
        <v>2108</v>
      </c>
      <c r="C619" s="1" t="s">
        <v>2110</v>
      </c>
      <c r="D619" s="1" t="s">
        <v>2187</v>
      </c>
      <c r="E619" s="1" t="s">
        <v>79</v>
      </c>
      <c r="F619" s="1" t="s">
        <v>328</v>
      </c>
      <c r="G619" s="1" t="s">
        <v>1264</v>
      </c>
      <c r="H619" s="1" t="s">
        <v>398</v>
      </c>
      <c r="I619" s="1" t="s">
        <v>994</v>
      </c>
      <c r="J619" s="1" t="s">
        <v>96</v>
      </c>
      <c r="K619" s="1" t="s">
        <v>1618</v>
      </c>
      <c r="L619" s="1" t="s">
        <v>2307</v>
      </c>
      <c r="M619" s="1" t="s">
        <v>2191</v>
      </c>
      <c r="N619" s="1" t="s">
        <v>1054</v>
      </c>
      <c r="O619" s="1" t="s">
        <v>1513</v>
      </c>
      <c r="P619" s="1" t="s">
        <v>1368</v>
      </c>
      <c r="Q619" s="1" t="s">
        <v>2006</v>
      </c>
      <c r="R619" s="1" t="s">
        <v>1092</v>
      </c>
      <c r="S619" s="1" t="s">
        <v>2308</v>
      </c>
      <c r="T619" s="1" t="s">
        <v>793</v>
      </c>
      <c r="U619" s="1" t="s">
        <v>230</v>
      </c>
      <c r="V619" s="1" t="s">
        <v>190</v>
      </c>
      <c r="W619" s="1" t="s">
        <v>855</v>
      </c>
      <c r="X619" s="1" t="s">
        <v>2309</v>
      </c>
      <c r="Y619" s="1" t="s">
        <v>2307</v>
      </c>
      <c r="Z619" s="1">
        <v>1.0</v>
      </c>
    </row>
    <row r="620">
      <c r="A620" s="1" t="s">
        <v>2310</v>
      </c>
      <c r="B620" s="1" t="s">
        <v>2108</v>
      </c>
      <c r="C620" s="1" t="s">
        <v>1693</v>
      </c>
      <c r="D620" s="1" t="s">
        <v>2311</v>
      </c>
      <c r="E620" s="1" t="s">
        <v>1594</v>
      </c>
      <c r="F620" s="1" t="s">
        <v>828</v>
      </c>
      <c r="G620" s="1" t="s">
        <v>104</v>
      </c>
      <c r="H620" s="1" t="s">
        <v>66</v>
      </c>
      <c r="I620" s="1" t="s">
        <v>957</v>
      </c>
      <c r="J620" s="1" t="s">
        <v>922</v>
      </c>
      <c r="K620" s="1" t="s">
        <v>137</v>
      </c>
      <c r="L620" s="1" t="s">
        <v>494</v>
      </c>
      <c r="M620" s="1" t="s">
        <v>914</v>
      </c>
      <c r="N620" s="1" t="s">
        <v>110</v>
      </c>
      <c r="O620" s="1" t="s">
        <v>127</v>
      </c>
      <c r="P620" s="1" t="s">
        <v>328</v>
      </c>
      <c r="Q620" s="1" t="s">
        <v>351</v>
      </c>
      <c r="R620" s="1" t="s">
        <v>2312</v>
      </c>
      <c r="S620" s="1" t="s">
        <v>1621</v>
      </c>
      <c r="T620" s="1" t="s">
        <v>686</v>
      </c>
      <c r="U620" s="1" t="s">
        <v>1857</v>
      </c>
      <c r="V620" s="1" t="s">
        <v>419</v>
      </c>
      <c r="W620" s="1" t="s">
        <v>1783</v>
      </c>
      <c r="X620" s="1" t="s">
        <v>597</v>
      </c>
      <c r="Y620" s="1" t="s">
        <v>48</v>
      </c>
      <c r="Z620" s="1">
        <v>1.0</v>
      </c>
    </row>
    <row r="621">
      <c r="A621" s="1" t="s">
        <v>378</v>
      </c>
      <c r="B621" s="1" t="s">
        <v>2108</v>
      </c>
      <c r="C621" s="1" t="s">
        <v>2287</v>
      </c>
      <c r="D621" s="1" t="s">
        <v>2122</v>
      </c>
      <c r="E621" s="1" t="s">
        <v>96</v>
      </c>
      <c r="F621" s="1" t="s">
        <v>396</v>
      </c>
      <c r="G621" s="1" t="s">
        <v>136</v>
      </c>
      <c r="H621" s="1" t="s">
        <v>1460</v>
      </c>
      <c r="I621" s="1" t="s">
        <v>2313</v>
      </c>
      <c r="J621" s="1" t="s">
        <v>362</v>
      </c>
      <c r="K621" s="1" t="s">
        <v>164</v>
      </c>
      <c r="L621" s="1" t="s">
        <v>1163</v>
      </c>
      <c r="M621" s="1" t="s">
        <v>2314</v>
      </c>
      <c r="N621" s="1" t="s">
        <v>872</v>
      </c>
      <c r="O621" s="1" t="s">
        <v>2072</v>
      </c>
      <c r="P621" s="1" t="s">
        <v>947</v>
      </c>
      <c r="Q621" s="1" t="s">
        <v>2233</v>
      </c>
      <c r="R621" s="1" t="s">
        <v>303</v>
      </c>
      <c r="S621" s="1" t="s">
        <v>420</v>
      </c>
      <c r="T621" s="1" t="s">
        <v>1728</v>
      </c>
      <c r="U621" s="1" t="s">
        <v>230</v>
      </c>
      <c r="V621" s="1" t="s">
        <v>424</v>
      </c>
      <c r="W621" s="1" t="s">
        <v>1245</v>
      </c>
      <c r="X621" s="1" t="s">
        <v>828</v>
      </c>
      <c r="Y621" s="1" t="s">
        <v>2315</v>
      </c>
      <c r="Z621" s="1">
        <v>1.0</v>
      </c>
    </row>
    <row r="622">
      <c r="A622" s="1" t="s">
        <v>1500</v>
      </c>
      <c r="B622" s="1" t="s">
        <v>2108</v>
      </c>
      <c r="C622" s="1" t="s">
        <v>1579</v>
      </c>
      <c r="D622" s="1">
        <v>245.0</v>
      </c>
      <c r="E622" s="1">
        <v>89.0</v>
      </c>
      <c r="F622" s="1">
        <v>90.0</v>
      </c>
      <c r="G622" s="1">
        <v>92.0</v>
      </c>
      <c r="H622" s="1">
        <v>80.0</v>
      </c>
      <c r="I622" s="1">
        <v>64.0</v>
      </c>
      <c r="J622" s="1">
        <v>77.0</v>
      </c>
      <c r="K622" s="1">
        <v>66.0</v>
      </c>
      <c r="L622" s="1">
        <v>77.0</v>
      </c>
      <c r="M622" s="1">
        <v>80.0</v>
      </c>
      <c r="N622" s="1">
        <v>67.0</v>
      </c>
      <c r="O622" s="1">
        <v>62.0</v>
      </c>
      <c r="P622" s="1">
        <v>82.0</v>
      </c>
      <c r="Q622" s="1">
        <v>71.0</v>
      </c>
      <c r="R622" s="1">
        <v>69.0</v>
      </c>
      <c r="S622" s="1">
        <v>74.0</v>
      </c>
      <c r="T622" s="1">
        <v>80.0</v>
      </c>
      <c r="U622" s="1">
        <v>80.0</v>
      </c>
      <c r="V622" s="1">
        <v>64.0</v>
      </c>
      <c r="W622" s="1">
        <v>58.0</v>
      </c>
      <c r="X622" s="1">
        <v>78.0</v>
      </c>
      <c r="Y622" s="1">
        <v>83.0</v>
      </c>
      <c r="Z622" s="1">
        <v>1.0</v>
      </c>
    </row>
    <row r="623">
      <c r="A623" s="1" t="s">
        <v>2316</v>
      </c>
      <c r="B623" s="1" t="s">
        <v>2108</v>
      </c>
      <c r="C623" s="1" t="s">
        <v>1579</v>
      </c>
      <c r="D623" s="1">
        <v>225.0</v>
      </c>
      <c r="E623" s="1">
        <v>74.0</v>
      </c>
      <c r="F623" s="1">
        <v>54.0</v>
      </c>
      <c r="G623" s="1">
        <v>74.0</v>
      </c>
      <c r="H623" s="1">
        <v>72.0</v>
      </c>
      <c r="I623" s="1">
        <v>79.0</v>
      </c>
      <c r="J623" s="1">
        <v>83.0</v>
      </c>
      <c r="K623" s="1">
        <v>74.0</v>
      </c>
      <c r="L623" s="1">
        <v>59.0</v>
      </c>
      <c r="M623" s="1">
        <v>71.0</v>
      </c>
      <c r="N623" s="1">
        <v>50.0</v>
      </c>
      <c r="O623" s="1">
        <v>55.0</v>
      </c>
      <c r="P623" s="1">
        <v>82.0</v>
      </c>
      <c r="Q623" s="1">
        <v>73.0</v>
      </c>
      <c r="R623" s="1">
        <v>73.0</v>
      </c>
      <c r="S623" s="1">
        <v>93.0</v>
      </c>
      <c r="T623" s="1">
        <v>67.0</v>
      </c>
      <c r="U623" s="1">
        <v>92.0</v>
      </c>
      <c r="V623" s="1">
        <v>78.0</v>
      </c>
      <c r="W623" s="1">
        <v>73.0</v>
      </c>
      <c r="X623" s="1">
        <v>83.0</v>
      </c>
      <c r="Y623" s="1">
        <v>88.0</v>
      </c>
      <c r="Z623" s="1">
        <v>1.0</v>
      </c>
    </row>
    <row r="624">
      <c r="A624" s="1" t="s">
        <v>2317</v>
      </c>
      <c r="B624" s="1" t="s">
        <v>2108</v>
      </c>
      <c r="C624" s="1" t="s">
        <v>1579</v>
      </c>
      <c r="D624" s="1">
        <v>233.0</v>
      </c>
      <c r="E624" s="1">
        <v>82.0</v>
      </c>
      <c r="F624" s="1">
        <v>75.0</v>
      </c>
      <c r="G624" s="1">
        <v>87.0</v>
      </c>
      <c r="H624" s="1">
        <v>85.0</v>
      </c>
      <c r="I624" s="1">
        <v>87.0</v>
      </c>
      <c r="J624" s="1">
        <v>85.0</v>
      </c>
      <c r="K624" s="1">
        <v>83.0</v>
      </c>
      <c r="L624" s="1">
        <v>60.0</v>
      </c>
      <c r="M624" s="1">
        <v>75.0</v>
      </c>
      <c r="N624" s="1">
        <v>75.0</v>
      </c>
      <c r="O624" s="1">
        <v>68.0</v>
      </c>
      <c r="P624" s="1">
        <v>70.0</v>
      </c>
      <c r="Q624" s="1">
        <v>71.0</v>
      </c>
      <c r="R624" s="1">
        <v>60.0</v>
      </c>
      <c r="S624" s="1">
        <v>84.0</v>
      </c>
      <c r="T624" s="1">
        <v>55.0</v>
      </c>
      <c r="U624" s="1">
        <v>80.0</v>
      </c>
      <c r="V624" s="1">
        <v>70.0</v>
      </c>
      <c r="W624" s="1">
        <v>65.0</v>
      </c>
      <c r="X624" s="1">
        <v>83.0</v>
      </c>
      <c r="Y624" s="1">
        <v>75.0</v>
      </c>
      <c r="Z624" s="1">
        <v>1.0</v>
      </c>
    </row>
    <row r="625">
      <c r="A625" s="1" t="s">
        <v>2032</v>
      </c>
      <c r="B625" s="1" t="s">
        <v>2108</v>
      </c>
      <c r="C625" s="1" t="s">
        <v>1534</v>
      </c>
      <c r="D625" s="1">
        <v>254.0</v>
      </c>
      <c r="E625" s="1">
        <v>76.0</v>
      </c>
      <c r="F625" s="1">
        <v>51.0</v>
      </c>
      <c r="G625" s="1">
        <v>71.0</v>
      </c>
      <c r="H625" s="1">
        <v>72.0</v>
      </c>
      <c r="I625" s="1">
        <v>60.0</v>
      </c>
      <c r="J625" s="1">
        <v>75.0</v>
      </c>
      <c r="K625" s="1">
        <v>80.0</v>
      </c>
      <c r="L625" s="1">
        <v>55.0</v>
      </c>
      <c r="M625" s="1">
        <v>71.0</v>
      </c>
      <c r="N625" s="1">
        <v>45.0</v>
      </c>
      <c r="O625" s="1">
        <v>50.0</v>
      </c>
      <c r="P625" s="1">
        <v>74.0</v>
      </c>
      <c r="Q625" s="1">
        <v>74.0</v>
      </c>
      <c r="R625" s="1">
        <v>79.0</v>
      </c>
      <c r="S625" s="1">
        <v>74.0</v>
      </c>
      <c r="T625" s="1">
        <v>87.0</v>
      </c>
      <c r="U625" s="1">
        <v>94.0</v>
      </c>
      <c r="V625" s="1">
        <v>80.0</v>
      </c>
      <c r="W625" s="1">
        <v>74.0</v>
      </c>
      <c r="X625" s="1">
        <v>91.0</v>
      </c>
      <c r="Y625" s="1">
        <v>77.0</v>
      </c>
      <c r="Z625" s="1">
        <v>1.0</v>
      </c>
    </row>
    <row r="626">
      <c r="A626" s="1" t="s">
        <v>2318</v>
      </c>
      <c r="B626" s="1" t="s">
        <v>2108</v>
      </c>
      <c r="C626" s="1" t="s">
        <v>2115</v>
      </c>
      <c r="D626" s="1">
        <v>213.0</v>
      </c>
      <c r="E626" s="1" t="s">
        <v>180</v>
      </c>
      <c r="F626" s="1" t="s">
        <v>242</v>
      </c>
      <c r="G626" s="1">
        <v>87.0</v>
      </c>
      <c r="H626" s="1" t="s">
        <v>174</v>
      </c>
      <c r="I626" s="1" t="s">
        <v>1488</v>
      </c>
      <c r="J626" s="1" t="s">
        <v>463</v>
      </c>
      <c r="K626" s="1" t="s">
        <v>2319</v>
      </c>
      <c r="L626" s="1" t="s">
        <v>86</v>
      </c>
      <c r="M626" s="1" t="s">
        <v>128</v>
      </c>
      <c r="N626" s="1" t="s">
        <v>236</v>
      </c>
      <c r="O626" s="1">
        <v>68.0</v>
      </c>
      <c r="P626" s="1" t="s">
        <v>857</v>
      </c>
      <c r="Q626" s="1" t="s">
        <v>631</v>
      </c>
      <c r="R626" s="1" t="s">
        <v>464</v>
      </c>
      <c r="S626" s="1">
        <v>88.0</v>
      </c>
      <c r="T626" s="1" t="s">
        <v>212</v>
      </c>
      <c r="U626" s="1">
        <v>80.0</v>
      </c>
      <c r="V626" s="1">
        <v>79.0</v>
      </c>
      <c r="W626" s="1" t="s">
        <v>1607</v>
      </c>
      <c r="X626" s="1">
        <v>82.0</v>
      </c>
      <c r="Y626" s="1" t="s">
        <v>271</v>
      </c>
      <c r="Z626" s="1">
        <v>1.0</v>
      </c>
    </row>
    <row r="627">
      <c r="A627" s="1" t="s">
        <v>2320</v>
      </c>
      <c r="B627" s="1" t="s">
        <v>2108</v>
      </c>
      <c r="C627" s="1" t="s">
        <v>1574</v>
      </c>
      <c r="D627" s="1" t="s">
        <v>2122</v>
      </c>
      <c r="E627" s="1" t="s">
        <v>224</v>
      </c>
      <c r="F627" s="1" t="s">
        <v>1054</v>
      </c>
      <c r="G627" s="1" t="s">
        <v>201</v>
      </c>
      <c r="H627" s="1" t="s">
        <v>1594</v>
      </c>
      <c r="I627" s="1" t="s">
        <v>1636</v>
      </c>
      <c r="J627" s="1" t="s">
        <v>1054</v>
      </c>
      <c r="K627" s="1" t="s">
        <v>2189</v>
      </c>
      <c r="L627" s="1" t="s">
        <v>335</v>
      </c>
      <c r="M627" s="1" t="s">
        <v>1287</v>
      </c>
      <c r="N627" s="1" t="s">
        <v>1054</v>
      </c>
      <c r="O627" s="1" t="s">
        <v>237</v>
      </c>
      <c r="P627" s="1" t="s">
        <v>860</v>
      </c>
      <c r="Q627" s="1" t="s">
        <v>225</v>
      </c>
      <c r="R627" s="1" t="s">
        <v>2321</v>
      </c>
      <c r="S627" s="1" t="s">
        <v>671</v>
      </c>
      <c r="T627" s="1" t="s">
        <v>1488</v>
      </c>
      <c r="U627" s="1" t="s">
        <v>265</v>
      </c>
      <c r="V627" s="1" t="s">
        <v>52</v>
      </c>
      <c r="W627" s="1" t="s">
        <v>1892</v>
      </c>
      <c r="X627" s="1" t="s">
        <v>1025</v>
      </c>
      <c r="Y627" s="1" t="s">
        <v>39</v>
      </c>
      <c r="Z627" s="1">
        <v>1.0</v>
      </c>
    </row>
    <row r="628">
      <c r="A628" s="1" t="s">
        <v>1178</v>
      </c>
      <c r="B628" s="1" t="s">
        <v>2108</v>
      </c>
      <c r="C628" s="1" t="s">
        <v>1612</v>
      </c>
      <c r="D628" s="1" t="s">
        <v>2322</v>
      </c>
      <c r="E628" s="1" t="s">
        <v>1136</v>
      </c>
      <c r="F628" s="1" t="s">
        <v>1511</v>
      </c>
      <c r="G628" s="1" t="s">
        <v>1211</v>
      </c>
      <c r="H628" s="1" t="s">
        <v>991</v>
      </c>
      <c r="I628" s="1" t="s">
        <v>1410</v>
      </c>
      <c r="J628" s="1" t="s">
        <v>872</v>
      </c>
      <c r="K628" s="1" t="s">
        <v>552</v>
      </c>
      <c r="L628" s="1" t="s">
        <v>2323</v>
      </c>
      <c r="M628" s="1" t="s">
        <v>1404</v>
      </c>
      <c r="N628" s="1" t="s">
        <v>521</v>
      </c>
      <c r="O628" s="1" t="s">
        <v>1410</v>
      </c>
      <c r="P628" s="1" t="s">
        <v>1326</v>
      </c>
      <c r="Q628" s="1">
        <v>85.0</v>
      </c>
      <c r="R628" s="1" t="s">
        <v>1477</v>
      </c>
      <c r="S628" s="1" t="s">
        <v>1477</v>
      </c>
      <c r="T628" s="1" t="s">
        <v>82</v>
      </c>
      <c r="U628" s="1" t="s">
        <v>517</v>
      </c>
      <c r="V628" s="1" t="s">
        <v>1160</v>
      </c>
      <c r="W628" s="1" t="s">
        <v>394</v>
      </c>
      <c r="X628" s="1" t="s">
        <v>82</v>
      </c>
      <c r="Y628" s="1" t="s">
        <v>1300</v>
      </c>
      <c r="Z628" s="1">
        <v>1.0</v>
      </c>
    </row>
    <row r="629">
      <c r="A629" s="1" t="s">
        <v>885</v>
      </c>
      <c r="B629" s="1" t="s">
        <v>2108</v>
      </c>
      <c r="C629" s="1" t="s">
        <v>1574</v>
      </c>
      <c r="D629" s="1" t="s">
        <v>2324</v>
      </c>
      <c r="E629" s="1" t="s">
        <v>190</v>
      </c>
      <c r="F629" s="1" t="s">
        <v>208</v>
      </c>
      <c r="G629" s="1">
        <v>91.0</v>
      </c>
      <c r="H629" s="1" t="s">
        <v>1608</v>
      </c>
      <c r="I629" s="1" t="s">
        <v>1755</v>
      </c>
      <c r="J629" s="1" t="s">
        <v>224</v>
      </c>
      <c r="K629" s="1" t="s">
        <v>1636</v>
      </c>
      <c r="L629" s="1" t="s">
        <v>1744</v>
      </c>
      <c r="M629" s="1" t="s">
        <v>729</v>
      </c>
      <c r="N629" s="1" t="s">
        <v>190</v>
      </c>
      <c r="O629" s="1" t="s">
        <v>1765</v>
      </c>
      <c r="P629" s="1" t="s">
        <v>857</v>
      </c>
      <c r="Q629" s="1" t="s">
        <v>1751</v>
      </c>
      <c r="R629" s="1" t="s">
        <v>882</v>
      </c>
      <c r="S629" s="1">
        <v>84.0</v>
      </c>
      <c r="T629" s="1" t="s">
        <v>190</v>
      </c>
      <c r="U629" s="1" t="s">
        <v>35</v>
      </c>
      <c r="V629" s="1" t="s">
        <v>525</v>
      </c>
      <c r="W629" s="1" t="s">
        <v>863</v>
      </c>
      <c r="X629" s="1" t="s">
        <v>113</v>
      </c>
      <c r="Y629" s="1">
        <v>80.0</v>
      </c>
      <c r="Z629" s="1">
        <v>1.0</v>
      </c>
    </row>
    <row r="630">
      <c r="A630" s="1" t="s">
        <v>289</v>
      </c>
      <c r="B630" s="1" t="s">
        <v>2108</v>
      </c>
      <c r="C630" s="1" t="s">
        <v>1541</v>
      </c>
      <c r="D630" s="1" t="s">
        <v>2325</v>
      </c>
      <c r="E630" s="1" t="s">
        <v>857</v>
      </c>
      <c r="F630" s="1" t="s">
        <v>1116</v>
      </c>
      <c r="G630" s="1" t="s">
        <v>1220</v>
      </c>
      <c r="H630" s="1" t="s">
        <v>619</v>
      </c>
      <c r="I630" s="1" t="s">
        <v>1146</v>
      </c>
      <c r="J630" s="1" t="s">
        <v>164</v>
      </c>
      <c r="K630" s="1" t="s">
        <v>242</v>
      </c>
      <c r="L630" s="1" t="s">
        <v>1244</v>
      </c>
      <c r="M630" s="1" t="s">
        <v>1441</v>
      </c>
      <c r="N630" s="1" t="s">
        <v>410</v>
      </c>
      <c r="O630" s="1" t="s">
        <v>204</v>
      </c>
      <c r="P630" s="1" t="s">
        <v>221</v>
      </c>
      <c r="Q630" s="1" t="s">
        <v>593</v>
      </c>
      <c r="R630" s="1" t="s">
        <v>753</v>
      </c>
      <c r="S630" s="1" t="s">
        <v>1413</v>
      </c>
      <c r="T630" s="1" t="s">
        <v>2021</v>
      </c>
      <c r="U630" s="1">
        <v>70.0</v>
      </c>
      <c r="V630" s="1">
        <v>80.0</v>
      </c>
      <c r="W630" s="1" t="s">
        <v>410</v>
      </c>
      <c r="X630" s="1" t="s">
        <v>1382</v>
      </c>
      <c r="Y630" s="1" t="s">
        <v>300</v>
      </c>
      <c r="Z630" s="1">
        <v>1.0</v>
      </c>
    </row>
    <row r="631">
      <c r="A631" s="1" t="s">
        <v>2326</v>
      </c>
      <c r="B631" s="1" t="s">
        <v>2108</v>
      </c>
      <c r="C631" s="1" t="s">
        <v>2327</v>
      </c>
      <c r="D631" s="1">
        <v>220.0</v>
      </c>
      <c r="E631" s="1">
        <v>80.0</v>
      </c>
      <c r="F631" s="1">
        <v>80.0</v>
      </c>
      <c r="G631" s="1">
        <v>80.0</v>
      </c>
      <c r="H631" s="1">
        <v>90.0</v>
      </c>
      <c r="I631" s="1">
        <v>80.0</v>
      </c>
      <c r="J631" s="1">
        <v>80.0</v>
      </c>
      <c r="K631" s="1">
        <v>78.0</v>
      </c>
      <c r="L631" s="1">
        <v>92.0</v>
      </c>
      <c r="M631" s="1">
        <v>80.0</v>
      </c>
      <c r="N631" s="1">
        <v>66.0</v>
      </c>
      <c r="O631" s="1">
        <v>64.0</v>
      </c>
      <c r="P631" s="1">
        <v>80.0</v>
      </c>
      <c r="Q631" s="1">
        <v>69.0</v>
      </c>
      <c r="R631" s="1">
        <v>70.0</v>
      </c>
      <c r="S631" s="1">
        <v>90.0</v>
      </c>
      <c r="T631" s="1">
        <v>80.0</v>
      </c>
      <c r="U631" s="1">
        <v>80.0</v>
      </c>
      <c r="V631" s="1">
        <v>75.0</v>
      </c>
      <c r="W631" s="1">
        <v>66.0</v>
      </c>
      <c r="X631" s="1">
        <v>75.0</v>
      </c>
      <c r="Y631" s="1">
        <v>84.0</v>
      </c>
      <c r="Z631" s="1">
        <v>1.0</v>
      </c>
    </row>
    <row r="632">
      <c r="A632" s="1" t="s">
        <v>725</v>
      </c>
      <c r="B632" s="1" t="s">
        <v>2108</v>
      </c>
      <c r="C632" s="1" t="s">
        <v>876</v>
      </c>
      <c r="D632" s="1">
        <v>237.0</v>
      </c>
      <c r="E632" s="1" t="s">
        <v>1080</v>
      </c>
      <c r="F632" s="1">
        <v>89.0</v>
      </c>
      <c r="G632" s="1" t="s">
        <v>227</v>
      </c>
      <c r="H632" s="1" t="s">
        <v>639</v>
      </c>
      <c r="I632" s="1" t="s">
        <v>310</v>
      </c>
      <c r="J632" s="1" t="s">
        <v>1477</v>
      </c>
      <c r="K632" s="1" t="s">
        <v>190</v>
      </c>
      <c r="L632" s="1" t="s">
        <v>1751</v>
      </c>
      <c r="M632" s="1" t="s">
        <v>221</v>
      </c>
      <c r="N632" s="1" t="s">
        <v>235</v>
      </c>
      <c r="O632" s="1">
        <v>74.0</v>
      </c>
      <c r="P632" s="1" t="s">
        <v>1224</v>
      </c>
      <c r="Q632" s="1" t="s">
        <v>1224</v>
      </c>
      <c r="R632" s="1" t="s">
        <v>2328</v>
      </c>
      <c r="S632" s="1" t="s">
        <v>236</v>
      </c>
      <c r="T632" s="1" t="s">
        <v>2329</v>
      </c>
      <c r="U632" s="1" t="s">
        <v>1406</v>
      </c>
      <c r="V632" s="1">
        <v>79.0</v>
      </c>
      <c r="W632" s="1">
        <v>75.0</v>
      </c>
      <c r="X632" s="1">
        <v>84.0</v>
      </c>
      <c r="Y632" s="1">
        <v>75.0</v>
      </c>
      <c r="Z632" s="1">
        <v>1.0</v>
      </c>
    </row>
    <row r="633">
      <c r="A633" s="1" t="s">
        <v>2330</v>
      </c>
      <c r="B633" s="1" t="s">
        <v>2108</v>
      </c>
      <c r="C633" s="1" t="s">
        <v>1574</v>
      </c>
      <c r="D633" s="1" t="s">
        <v>2331</v>
      </c>
      <c r="E633" s="1" t="s">
        <v>188</v>
      </c>
      <c r="F633" s="1" t="s">
        <v>1363</v>
      </c>
      <c r="G633" s="1" t="s">
        <v>1603</v>
      </c>
      <c r="H633" s="1" t="s">
        <v>1216</v>
      </c>
      <c r="I633" s="1" t="s">
        <v>2332</v>
      </c>
      <c r="J633" s="1" t="s">
        <v>1098</v>
      </c>
      <c r="K633" s="1" t="s">
        <v>220</v>
      </c>
      <c r="L633" s="1" t="s">
        <v>135</v>
      </c>
      <c r="M633" s="1" t="s">
        <v>614</v>
      </c>
      <c r="N633" s="1" t="s">
        <v>2333</v>
      </c>
      <c r="O633" s="1" t="s">
        <v>403</v>
      </c>
      <c r="P633" s="1" t="s">
        <v>1413</v>
      </c>
      <c r="Q633" s="1" t="s">
        <v>568</v>
      </c>
      <c r="R633" s="1" t="s">
        <v>2265</v>
      </c>
      <c r="S633" s="1" t="s">
        <v>671</v>
      </c>
      <c r="T633" s="1" t="s">
        <v>1143</v>
      </c>
      <c r="U633" s="1" t="s">
        <v>110</v>
      </c>
      <c r="V633" s="1" t="s">
        <v>174</v>
      </c>
      <c r="W633" s="1" t="s">
        <v>576</v>
      </c>
      <c r="X633" s="1" t="s">
        <v>207</v>
      </c>
      <c r="Y633" s="1" t="s">
        <v>694</v>
      </c>
      <c r="Z633" s="1">
        <v>1.0</v>
      </c>
    </row>
    <row r="634">
      <c r="A634" s="1" t="s">
        <v>2334</v>
      </c>
      <c r="B634" s="1" t="s">
        <v>2108</v>
      </c>
      <c r="C634" s="1" t="s">
        <v>2110</v>
      </c>
      <c r="D634" s="1" t="s">
        <v>2335</v>
      </c>
      <c r="E634" s="1" t="s">
        <v>1046</v>
      </c>
      <c r="F634" s="1" t="s">
        <v>509</v>
      </c>
      <c r="G634" s="1" t="s">
        <v>242</v>
      </c>
      <c r="H634" s="1" t="s">
        <v>445</v>
      </c>
      <c r="I634" s="1" t="s">
        <v>2336</v>
      </c>
      <c r="J634" s="1" t="s">
        <v>137</v>
      </c>
      <c r="K634" s="1" t="s">
        <v>780</v>
      </c>
      <c r="L634" s="1" t="s">
        <v>1821</v>
      </c>
      <c r="M634" s="1" t="s">
        <v>348</v>
      </c>
      <c r="N634" s="1" t="s">
        <v>1699</v>
      </c>
      <c r="O634" s="1" t="s">
        <v>1839</v>
      </c>
      <c r="P634" s="1" t="s">
        <v>780</v>
      </c>
      <c r="Q634" s="1" t="s">
        <v>1427</v>
      </c>
      <c r="R634" s="1" t="s">
        <v>2337</v>
      </c>
      <c r="S634" s="1" t="s">
        <v>671</v>
      </c>
      <c r="T634" s="1" t="s">
        <v>150</v>
      </c>
      <c r="U634" s="1" t="s">
        <v>201</v>
      </c>
      <c r="V634" s="1" t="s">
        <v>1112</v>
      </c>
      <c r="W634" s="1" t="s">
        <v>1465</v>
      </c>
      <c r="X634" s="1" t="s">
        <v>850</v>
      </c>
      <c r="Y634" s="1" t="s">
        <v>52</v>
      </c>
      <c r="Z634" s="1">
        <v>1.0</v>
      </c>
    </row>
    <row r="635">
      <c r="A635" s="1" t="s">
        <v>2338</v>
      </c>
      <c r="B635" s="1" t="s">
        <v>2108</v>
      </c>
      <c r="C635" s="1" t="s">
        <v>2115</v>
      </c>
      <c r="D635" s="1" t="s">
        <v>2339</v>
      </c>
      <c r="E635" s="1" t="s">
        <v>300</v>
      </c>
      <c r="F635" s="1" t="s">
        <v>53</v>
      </c>
      <c r="G635" s="1" t="s">
        <v>553</v>
      </c>
      <c r="H635" s="1" t="s">
        <v>700</v>
      </c>
      <c r="I635" s="1" t="s">
        <v>881</v>
      </c>
      <c r="J635" s="1">
        <v>80.0</v>
      </c>
      <c r="K635" s="1" t="s">
        <v>760</v>
      </c>
      <c r="L635" s="1" t="s">
        <v>1594</v>
      </c>
      <c r="M635" s="1" t="s">
        <v>878</v>
      </c>
      <c r="N635" s="1" t="s">
        <v>1627</v>
      </c>
      <c r="O635" s="1" t="s">
        <v>402</v>
      </c>
      <c r="P635" s="1" t="s">
        <v>410</v>
      </c>
      <c r="Q635" s="1" t="s">
        <v>1810</v>
      </c>
      <c r="R635" s="1" t="s">
        <v>2340</v>
      </c>
      <c r="S635" s="1">
        <v>90.0</v>
      </c>
      <c r="T635" s="1" t="s">
        <v>208</v>
      </c>
      <c r="U635" s="1" t="s">
        <v>208</v>
      </c>
      <c r="V635" s="1" t="s">
        <v>2056</v>
      </c>
      <c r="W635" s="1" t="s">
        <v>881</v>
      </c>
      <c r="X635" s="1" t="s">
        <v>30</v>
      </c>
      <c r="Y635" s="1">
        <v>80.0</v>
      </c>
      <c r="Z635" s="1">
        <v>1.0</v>
      </c>
    </row>
    <row r="636">
      <c r="A636" s="1" t="s">
        <v>1980</v>
      </c>
      <c r="B636" s="1" t="s">
        <v>2108</v>
      </c>
      <c r="C636" s="1" t="s">
        <v>2141</v>
      </c>
      <c r="D636" s="1" t="s">
        <v>2341</v>
      </c>
      <c r="E636" s="1" t="s">
        <v>1046</v>
      </c>
      <c r="F636" s="1" t="s">
        <v>103</v>
      </c>
      <c r="G636" s="1" t="s">
        <v>761</v>
      </c>
      <c r="H636" s="1" t="s">
        <v>2342</v>
      </c>
      <c r="I636" s="1" t="s">
        <v>98</v>
      </c>
      <c r="J636" s="1" t="s">
        <v>1477</v>
      </c>
      <c r="K636" s="1" t="s">
        <v>593</v>
      </c>
      <c r="L636" s="1" t="s">
        <v>631</v>
      </c>
      <c r="M636" s="1" t="s">
        <v>708</v>
      </c>
      <c r="N636" s="1" t="s">
        <v>1607</v>
      </c>
      <c r="O636" s="1" t="s">
        <v>1753</v>
      </c>
      <c r="P636" s="1" t="s">
        <v>404</v>
      </c>
      <c r="Q636" s="1" t="s">
        <v>363</v>
      </c>
      <c r="R636" s="1" t="s">
        <v>236</v>
      </c>
      <c r="S636" s="1" t="s">
        <v>410</v>
      </c>
      <c r="T636" s="1">
        <v>84.0</v>
      </c>
      <c r="U636" s="1" t="s">
        <v>188</v>
      </c>
      <c r="V636" s="1" t="s">
        <v>235</v>
      </c>
      <c r="W636" s="1" t="s">
        <v>236</v>
      </c>
      <c r="X636" s="1" t="s">
        <v>39</v>
      </c>
      <c r="Y636" s="1" t="s">
        <v>525</v>
      </c>
      <c r="Z636" s="1">
        <v>1.0</v>
      </c>
    </row>
    <row r="637">
      <c r="A637" s="1" t="s">
        <v>2343</v>
      </c>
      <c r="B637" s="1" t="s">
        <v>2108</v>
      </c>
      <c r="C637" s="1" t="s">
        <v>2166</v>
      </c>
      <c r="D637" s="1" t="s">
        <v>2344</v>
      </c>
      <c r="E637" s="1" t="s">
        <v>631</v>
      </c>
      <c r="F637" s="1" t="s">
        <v>731</v>
      </c>
      <c r="G637" s="1" t="s">
        <v>1121</v>
      </c>
      <c r="H637" s="1" t="s">
        <v>208</v>
      </c>
      <c r="I637" s="1" t="s">
        <v>1410</v>
      </c>
      <c r="J637" s="1" t="s">
        <v>424</v>
      </c>
      <c r="K637" s="1" t="s">
        <v>220</v>
      </c>
      <c r="L637" s="1" t="s">
        <v>1387</v>
      </c>
      <c r="M637" s="1" t="s">
        <v>95</v>
      </c>
      <c r="N637" s="1" t="s">
        <v>272</v>
      </c>
      <c r="O637" s="1" t="s">
        <v>2345</v>
      </c>
      <c r="P637" s="1" t="s">
        <v>128</v>
      </c>
      <c r="Q637" s="1" t="s">
        <v>2346</v>
      </c>
      <c r="R637" s="1" t="s">
        <v>1208</v>
      </c>
      <c r="S637" s="1" t="s">
        <v>322</v>
      </c>
      <c r="T637" s="1" t="s">
        <v>731</v>
      </c>
      <c r="U637" s="1" t="s">
        <v>477</v>
      </c>
      <c r="V637" s="1" t="s">
        <v>1116</v>
      </c>
      <c r="W637" s="1" t="s">
        <v>1816</v>
      </c>
      <c r="X637" s="1" t="s">
        <v>137</v>
      </c>
      <c r="Y637" s="1" t="s">
        <v>300</v>
      </c>
      <c r="Z637" s="1">
        <v>1.0</v>
      </c>
    </row>
    <row r="638">
      <c r="A638" s="1" t="s">
        <v>257</v>
      </c>
      <c r="B638" s="1" t="s">
        <v>2108</v>
      </c>
      <c r="C638" s="1" t="s">
        <v>1541</v>
      </c>
      <c r="D638" s="1" t="s">
        <v>2347</v>
      </c>
      <c r="E638" s="1" t="s">
        <v>200</v>
      </c>
      <c r="F638" s="1" t="s">
        <v>780</v>
      </c>
      <c r="G638" s="1" t="s">
        <v>201</v>
      </c>
      <c r="H638" s="1" t="s">
        <v>123</v>
      </c>
      <c r="I638" s="1" t="s">
        <v>62</v>
      </c>
      <c r="J638" s="1" t="s">
        <v>190</v>
      </c>
      <c r="K638" s="1" t="s">
        <v>1539</v>
      </c>
      <c r="L638" s="1" t="s">
        <v>1328</v>
      </c>
      <c r="M638" s="1" t="s">
        <v>265</v>
      </c>
      <c r="N638" s="1" t="s">
        <v>61</v>
      </c>
      <c r="O638" s="1" t="s">
        <v>878</v>
      </c>
      <c r="P638" s="1" t="s">
        <v>1695</v>
      </c>
      <c r="Q638" s="1" t="s">
        <v>1964</v>
      </c>
      <c r="R638" s="1" t="s">
        <v>2348</v>
      </c>
      <c r="S638" s="1" t="s">
        <v>691</v>
      </c>
      <c r="T638" s="1" t="s">
        <v>1235</v>
      </c>
      <c r="U638" s="1" t="s">
        <v>1964</v>
      </c>
      <c r="V638" s="1" t="s">
        <v>493</v>
      </c>
      <c r="W638" s="1" t="s">
        <v>224</v>
      </c>
      <c r="X638" s="1" t="s">
        <v>91</v>
      </c>
      <c r="Y638" s="1" t="s">
        <v>1072</v>
      </c>
      <c r="Z638" s="1">
        <v>1.0</v>
      </c>
    </row>
    <row r="639">
      <c r="A639" s="1" t="s">
        <v>193</v>
      </c>
      <c r="B639" s="1" t="s">
        <v>2108</v>
      </c>
      <c r="C639" s="1" t="s">
        <v>2166</v>
      </c>
      <c r="D639" s="1" t="s">
        <v>2349</v>
      </c>
      <c r="E639" s="1" t="s">
        <v>229</v>
      </c>
      <c r="F639" s="1" t="s">
        <v>117</v>
      </c>
      <c r="G639" s="1" t="s">
        <v>2350</v>
      </c>
      <c r="H639" s="1" t="s">
        <v>38</v>
      </c>
      <c r="I639" s="1" t="s">
        <v>647</v>
      </c>
      <c r="J639" s="1" t="s">
        <v>175</v>
      </c>
      <c r="K639" s="1" t="s">
        <v>780</v>
      </c>
      <c r="L639" s="1" t="s">
        <v>328</v>
      </c>
      <c r="M639" s="1" t="s">
        <v>633</v>
      </c>
      <c r="N639" s="1" t="s">
        <v>204</v>
      </c>
      <c r="O639" s="1" t="s">
        <v>1244</v>
      </c>
      <c r="P639" s="1" t="s">
        <v>1906</v>
      </c>
      <c r="Q639" s="1" t="s">
        <v>2351</v>
      </c>
      <c r="R639" s="1" t="s">
        <v>2352</v>
      </c>
      <c r="S639" s="1" t="s">
        <v>2188</v>
      </c>
      <c r="T639" s="1" t="s">
        <v>212</v>
      </c>
      <c r="U639" s="1" t="s">
        <v>190</v>
      </c>
      <c r="V639" s="1" t="s">
        <v>1313</v>
      </c>
      <c r="W639" s="1" t="s">
        <v>2235</v>
      </c>
      <c r="X639" s="1" t="s">
        <v>428</v>
      </c>
      <c r="Y639" s="1" t="s">
        <v>98</v>
      </c>
      <c r="Z639" s="1">
        <v>1.0</v>
      </c>
    </row>
    <row r="640">
      <c r="A640" s="1" t="s">
        <v>2353</v>
      </c>
      <c r="B640" s="1" t="s">
        <v>2108</v>
      </c>
      <c r="C640" s="1" t="s">
        <v>1534</v>
      </c>
      <c r="D640" s="1">
        <v>239.0</v>
      </c>
      <c r="E640" s="1">
        <v>68.0</v>
      </c>
      <c r="F640" s="1">
        <v>67.0</v>
      </c>
      <c r="G640" s="1">
        <v>87.0</v>
      </c>
      <c r="H640" s="1">
        <v>52.0</v>
      </c>
      <c r="I640" s="1">
        <v>57.0</v>
      </c>
      <c r="J640" s="1">
        <v>76.0</v>
      </c>
      <c r="K640" s="1">
        <v>83.0</v>
      </c>
      <c r="L640" s="1">
        <v>59.0</v>
      </c>
      <c r="M640" s="1">
        <v>81.0</v>
      </c>
      <c r="N640" s="1">
        <v>80.0</v>
      </c>
      <c r="O640" s="1">
        <v>70.0</v>
      </c>
      <c r="P640" s="1">
        <v>89.0</v>
      </c>
      <c r="Q640" s="1">
        <v>50.0</v>
      </c>
      <c r="R640" s="1">
        <v>75.0</v>
      </c>
      <c r="S640" s="1">
        <v>86.0</v>
      </c>
      <c r="T640" s="1">
        <v>62.0</v>
      </c>
      <c r="U640" s="1">
        <v>87.0</v>
      </c>
      <c r="V640" s="1">
        <v>80.0</v>
      </c>
      <c r="W640" s="1">
        <v>77.0</v>
      </c>
      <c r="X640" s="1">
        <v>90.0</v>
      </c>
      <c r="Y640" s="1">
        <v>85.0</v>
      </c>
      <c r="Z640" s="1">
        <v>1.0</v>
      </c>
    </row>
    <row r="641">
      <c r="A641" s="1" t="s">
        <v>2042</v>
      </c>
      <c r="B641" s="1" t="s">
        <v>2108</v>
      </c>
      <c r="C641" s="1" t="s">
        <v>1754</v>
      </c>
      <c r="D641" s="1" t="s">
        <v>2354</v>
      </c>
      <c r="E641" s="1" t="s">
        <v>1842</v>
      </c>
      <c r="F641" s="1" t="s">
        <v>825</v>
      </c>
      <c r="G641" s="1" t="s">
        <v>706</v>
      </c>
      <c r="H641" s="1" t="s">
        <v>1600</v>
      </c>
      <c r="I641" s="1" t="s">
        <v>2355</v>
      </c>
      <c r="J641" s="1" t="s">
        <v>31</v>
      </c>
      <c r="K641" s="1" t="s">
        <v>205</v>
      </c>
      <c r="L641" s="1" t="s">
        <v>796</v>
      </c>
      <c r="M641" s="1" t="s">
        <v>792</v>
      </c>
      <c r="N641" s="1" t="s">
        <v>337</v>
      </c>
      <c r="O641" s="1" t="s">
        <v>2356</v>
      </c>
      <c r="P641" s="1" t="s">
        <v>419</v>
      </c>
      <c r="Q641" s="1" t="s">
        <v>225</v>
      </c>
      <c r="R641" s="1" t="s">
        <v>1786</v>
      </c>
      <c r="S641" s="1" t="s">
        <v>716</v>
      </c>
      <c r="T641" s="1" t="s">
        <v>1227</v>
      </c>
      <c r="U641" s="1" t="s">
        <v>229</v>
      </c>
      <c r="V641" s="1" t="s">
        <v>1160</v>
      </c>
      <c r="W641" s="1" t="s">
        <v>657</v>
      </c>
      <c r="X641" s="1" t="s">
        <v>158</v>
      </c>
      <c r="Y641" s="1" t="s">
        <v>1776</v>
      </c>
      <c r="Z641" s="1">
        <v>1.0</v>
      </c>
    </row>
    <row r="642">
      <c r="A642" s="1" t="s">
        <v>2357</v>
      </c>
      <c r="B642" s="1" t="s">
        <v>2108</v>
      </c>
      <c r="C642" s="1" t="s">
        <v>1693</v>
      </c>
      <c r="D642" s="1" t="s">
        <v>2358</v>
      </c>
      <c r="E642" s="1" t="s">
        <v>694</v>
      </c>
      <c r="F642" s="1" t="s">
        <v>431</v>
      </c>
      <c r="G642" s="1" t="s">
        <v>671</v>
      </c>
      <c r="H642" s="1" t="s">
        <v>963</v>
      </c>
      <c r="I642" s="1" t="s">
        <v>159</v>
      </c>
      <c r="J642" s="1" t="s">
        <v>80</v>
      </c>
      <c r="K642" s="1" t="s">
        <v>52</v>
      </c>
      <c r="L642" s="1" t="s">
        <v>792</v>
      </c>
      <c r="M642" s="1" t="s">
        <v>453</v>
      </c>
      <c r="N642" s="1" t="s">
        <v>975</v>
      </c>
      <c r="O642" s="1" t="s">
        <v>242</v>
      </c>
      <c r="P642" s="1" t="s">
        <v>2359</v>
      </c>
      <c r="Q642" s="1" t="s">
        <v>600</v>
      </c>
      <c r="R642" s="1" t="s">
        <v>986</v>
      </c>
      <c r="S642" s="1" t="s">
        <v>2288</v>
      </c>
      <c r="T642" s="1" t="s">
        <v>1867</v>
      </c>
      <c r="U642" s="1" t="s">
        <v>1695</v>
      </c>
      <c r="V642" s="1" t="s">
        <v>1673</v>
      </c>
      <c r="W642" s="1" t="s">
        <v>504</v>
      </c>
      <c r="X642" s="1" t="s">
        <v>115</v>
      </c>
      <c r="Y642" s="1" t="s">
        <v>242</v>
      </c>
      <c r="Z642" s="1">
        <v>1.0</v>
      </c>
    </row>
    <row r="643">
      <c r="A643" s="1" t="s">
        <v>2360</v>
      </c>
      <c r="B643" s="1" t="s">
        <v>2108</v>
      </c>
      <c r="C643" s="1" t="s">
        <v>2110</v>
      </c>
      <c r="D643" s="1" t="s">
        <v>2361</v>
      </c>
      <c r="E643" s="1" t="s">
        <v>306</v>
      </c>
      <c r="F643" s="1" t="s">
        <v>242</v>
      </c>
      <c r="G643" s="1" t="s">
        <v>646</v>
      </c>
      <c r="H643" s="1" t="s">
        <v>364</v>
      </c>
      <c r="I643" s="1" t="s">
        <v>416</v>
      </c>
      <c r="J643" s="1" t="s">
        <v>435</v>
      </c>
      <c r="K643" s="1" t="s">
        <v>220</v>
      </c>
      <c r="L643" s="1" t="s">
        <v>1176</v>
      </c>
      <c r="M643" s="1" t="s">
        <v>447</v>
      </c>
      <c r="N643" s="1" t="s">
        <v>1217</v>
      </c>
      <c r="O643" s="1" t="s">
        <v>2232</v>
      </c>
      <c r="P643" s="1" t="s">
        <v>857</v>
      </c>
      <c r="Q643" s="1" t="s">
        <v>995</v>
      </c>
      <c r="R643" s="1" t="s">
        <v>317</v>
      </c>
      <c r="S643" s="1" t="s">
        <v>45</v>
      </c>
      <c r="T643" s="1" t="s">
        <v>1587</v>
      </c>
      <c r="U643" s="1" t="s">
        <v>31</v>
      </c>
      <c r="V643" s="1" t="s">
        <v>242</v>
      </c>
      <c r="W643" s="1" t="s">
        <v>974</v>
      </c>
      <c r="X643" s="1" t="s">
        <v>1059</v>
      </c>
      <c r="Y643" s="1" t="s">
        <v>137</v>
      </c>
      <c r="Z643" s="1">
        <v>1.0</v>
      </c>
    </row>
    <row r="644">
      <c r="A644" s="1" t="s">
        <v>2362</v>
      </c>
      <c r="B644" s="1" t="s">
        <v>2108</v>
      </c>
      <c r="C644" s="1" t="s">
        <v>970</v>
      </c>
      <c r="D644" s="1">
        <v>219.0</v>
      </c>
      <c r="E644" s="1">
        <v>82.0</v>
      </c>
      <c r="F644" s="1">
        <v>62.0</v>
      </c>
      <c r="G644" s="1">
        <v>82.0</v>
      </c>
      <c r="H644" s="1">
        <v>90.0</v>
      </c>
      <c r="I644" s="1">
        <v>82.0</v>
      </c>
      <c r="J644" s="1">
        <v>86.0</v>
      </c>
      <c r="K644" s="1">
        <v>82.0</v>
      </c>
      <c r="L644" s="1">
        <v>70.0</v>
      </c>
      <c r="M644" s="1">
        <v>52.0</v>
      </c>
      <c r="N644" s="1">
        <v>75.0</v>
      </c>
      <c r="O644" s="1">
        <v>71.0</v>
      </c>
      <c r="P644" s="1">
        <v>91.0</v>
      </c>
      <c r="Q644" s="1">
        <v>72.0</v>
      </c>
      <c r="R644" s="1">
        <v>70.0</v>
      </c>
      <c r="S644" s="1">
        <v>80.0</v>
      </c>
      <c r="T644" s="1">
        <v>72.0</v>
      </c>
      <c r="U644" s="1">
        <v>80.0</v>
      </c>
      <c r="V644" s="1">
        <v>80.0</v>
      </c>
      <c r="W644" s="1">
        <v>75.0</v>
      </c>
      <c r="X644" s="1">
        <v>75.0</v>
      </c>
      <c r="Y644" s="1">
        <v>80.0</v>
      </c>
      <c r="Z644" s="1">
        <v>1.0</v>
      </c>
    </row>
    <row r="645">
      <c r="A645" s="1" t="s">
        <v>2363</v>
      </c>
      <c r="B645" s="1" t="s">
        <v>2108</v>
      </c>
      <c r="C645" s="1" t="s">
        <v>1612</v>
      </c>
      <c r="D645" s="1" t="s">
        <v>2364</v>
      </c>
      <c r="E645" s="1" t="s">
        <v>1112</v>
      </c>
      <c r="F645" s="1" t="s">
        <v>1206</v>
      </c>
      <c r="G645" s="1" t="s">
        <v>828</v>
      </c>
      <c r="H645" s="1" t="s">
        <v>985</v>
      </c>
      <c r="I645" s="1" t="s">
        <v>687</v>
      </c>
      <c r="J645" s="1" t="s">
        <v>304</v>
      </c>
      <c r="K645" s="1" t="s">
        <v>476</v>
      </c>
      <c r="L645" s="1" t="s">
        <v>2365</v>
      </c>
      <c r="M645" s="1" t="s">
        <v>878</v>
      </c>
      <c r="N645" s="1" t="s">
        <v>1941</v>
      </c>
      <c r="O645" s="1" t="s">
        <v>1800</v>
      </c>
      <c r="P645" s="1" t="s">
        <v>927</v>
      </c>
      <c r="Q645" s="1" t="s">
        <v>253</v>
      </c>
      <c r="R645" s="1" t="s">
        <v>1059</v>
      </c>
      <c r="S645" s="1" t="s">
        <v>671</v>
      </c>
      <c r="T645" s="1" t="s">
        <v>431</v>
      </c>
      <c r="U645" s="1" t="s">
        <v>1084</v>
      </c>
      <c r="V645" s="1" t="s">
        <v>166</v>
      </c>
      <c r="W645" s="1" t="s">
        <v>424</v>
      </c>
      <c r="X645" s="1" t="s">
        <v>1303</v>
      </c>
      <c r="Y645" s="1" t="s">
        <v>205</v>
      </c>
      <c r="Z645" s="1">
        <v>1.0</v>
      </c>
    </row>
    <row r="646">
      <c r="A646" s="1" t="s">
        <v>2366</v>
      </c>
      <c r="B646" s="1" t="s">
        <v>2108</v>
      </c>
      <c r="C646" s="1" t="s">
        <v>1754</v>
      </c>
      <c r="D646" s="1" t="s">
        <v>2367</v>
      </c>
      <c r="E646" s="1" t="s">
        <v>1136</v>
      </c>
      <c r="F646" s="1" t="s">
        <v>1920</v>
      </c>
      <c r="G646" s="1" t="s">
        <v>1346</v>
      </c>
      <c r="H646" s="1" t="s">
        <v>343</v>
      </c>
      <c r="I646" s="1" t="s">
        <v>1749</v>
      </c>
      <c r="J646" s="1" t="s">
        <v>176</v>
      </c>
      <c r="K646" s="1" t="s">
        <v>651</v>
      </c>
      <c r="L646" s="1" t="s">
        <v>2368</v>
      </c>
      <c r="M646" s="1" t="s">
        <v>928</v>
      </c>
      <c r="N646" s="1" t="s">
        <v>2173</v>
      </c>
      <c r="O646" s="1" t="s">
        <v>1815</v>
      </c>
      <c r="P646" s="1" t="s">
        <v>1776</v>
      </c>
      <c r="Q646" s="1" t="s">
        <v>132</v>
      </c>
      <c r="R646" s="1" t="s">
        <v>1548</v>
      </c>
      <c r="S646" s="1">
        <v>88.0</v>
      </c>
      <c r="T646" s="1" t="s">
        <v>633</v>
      </c>
      <c r="U646" s="1" t="s">
        <v>2259</v>
      </c>
      <c r="V646" s="1" t="s">
        <v>221</v>
      </c>
      <c r="W646" s="1" t="s">
        <v>878</v>
      </c>
      <c r="X646" s="1">
        <v>91.0</v>
      </c>
      <c r="Y646" s="1" t="s">
        <v>128</v>
      </c>
      <c r="Z646" s="1">
        <v>1.0</v>
      </c>
    </row>
    <row r="647">
      <c r="A647" s="1" t="s">
        <v>823</v>
      </c>
      <c r="B647" s="1" t="s">
        <v>2108</v>
      </c>
      <c r="C647" s="1" t="s">
        <v>2141</v>
      </c>
      <c r="D647" s="1">
        <v>210.0</v>
      </c>
      <c r="E647" s="1" t="s">
        <v>922</v>
      </c>
      <c r="F647" s="1" t="s">
        <v>860</v>
      </c>
      <c r="G647" s="1" t="s">
        <v>78</v>
      </c>
      <c r="H647" s="1" t="s">
        <v>985</v>
      </c>
      <c r="I647" s="1" t="s">
        <v>2336</v>
      </c>
      <c r="J647" s="1" t="s">
        <v>278</v>
      </c>
      <c r="K647" s="1" t="s">
        <v>1346</v>
      </c>
      <c r="L647" s="1" t="s">
        <v>1556</v>
      </c>
      <c r="M647" s="1" t="s">
        <v>180</v>
      </c>
      <c r="N647" s="1" t="s">
        <v>190</v>
      </c>
      <c r="O647" s="1" t="s">
        <v>1901</v>
      </c>
      <c r="P647" s="1" t="s">
        <v>1247</v>
      </c>
      <c r="Q647" s="1" t="s">
        <v>1289</v>
      </c>
      <c r="R647" s="1" t="s">
        <v>1372</v>
      </c>
      <c r="S647" s="1" t="s">
        <v>525</v>
      </c>
      <c r="T647" s="1" t="s">
        <v>828</v>
      </c>
      <c r="U647" s="1">
        <v>80.0</v>
      </c>
      <c r="V647" s="1" t="s">
        <v>235</v>
      </c>
      <c r="W647" s="1" t="s">
        <v>405</v>
      </c>
      <c r="X647" s="1" t="s">
        <v>420</v>
      </c>
      <c r="Y647" s="1" t="s">
        <v>271</v>
      </c>
      <c r="Z647" s="1">
        <v>1.0</v>
      </c>
    </row>
    <row r="648">
      <c r="A648" s="1" t="s">
        <v>2369</v>
      </c>
      <c r="B648" s="1" t="s">
        <v>2108</v>
      </c>
      <c r="C648" s="1" t="s">
        <v>2115</v>
      </c>
      <c r="D648" s="1">
        <v>213.0</v>
      </c>
      <c r="E648" s="1">
        <v>87.0</v>
      </c>
      <c r="F648" s="1">
        <v>90.0</v>
      </c>
      <c r="G648" s="1">
        <v>87.0</v>
      </c>
      <c r="H648" s="1">
        <v>72.0</v>
      </c>
      <c r="I648" s="1">
        <v>87.0</v>
      </c>
      <c r="J648" s="1">
        <v>80.0</v>
      </c>
      <c r="K648" s="1">
        <v>83.0</v>
      </c>
      <c r="L648" s="1">
        <v>71.0</v>
      </c>
      <c r="M648" s="1">
        <v>75.0</v>
      </c>
      <c r="N648" s="1">
        <v>73.0</v>
      </c>
      <c r="O648" s="1">
        <v>68.0</v>
      </c>
      <c r="P648" s="1">
        <v>72.0</v>
      </c>
      <c r="Q648" s="1">
        <v>73.0</v>
      </c>
      <c r="R648" s="1">
        <v>60.0</v>
      </c>
      <c r="S648" s="1">
        <v>84.0</v>
      </c>
      <c r="T648" s="1">
        <v>80.0</v>
      </c>
      <c r="U648" s="1">
        <v>85.0</v>
      </c>
      <c r="V648" s="1">
        <v>79.0</v>
      </c>
      <c r="W648" s="1">
        <v>72.0</v>
      </c>
      <c r="X648" s="1">
        <v>75.0</v>
      </c>
      <c r="Y648" s="1">
        <v>77.0</v>
      </c>
      <c r="Z648" s="1">
        <v>1.0</v>
      </c>
    </row>
    <row r="649">
      <c r="A649" s="1" t="s">
        <v>2370</v>
      </c>
      <c r="B649" s="1" t="s">
        <v>2108</v>
      </c>
      <c r="C649" s="1" t="s">
        <v>2166</v>
      </c>
      <c r="D649" s="1" t="s">
        <v>2371</v>
      </c>
      <c r="E649" s="1" t="s">
        <v>1213</v>
      </c>
      <c r="F649" s="1" t="s">
        <v>253</v>
      </c>
      <c r="G649" s="1">
        <v>87.0</v>
      </c>
      <c r="H649" s="1" t="s">
        <v>974</v>
      </c>
      <c r="I649" s="1" t="s">
        <v>2372</v>
      </c>
      <c r="J649" s="1" t="s">
        <v>187</v>
      </c>
      <c r="K649" s="1" t="s">
        <v>593</v>
      </c>
      <c r="L649" s="1" t="s">
        <v>2285</v>
      </c>
      <c r="M649" s="1" t="s">
        <v>96</v>
      </c>
      <c r="N649" s="1" t="s">
        <v>237</v>
      </c>
      <c r="O649" s="1" t="s">
        <v>1244</v>
      </c>
      <c r="P649" s="1" t="s">
        <v>582</v>
      </c>
      <c r="Q649" s="1" t="s">
        <v>2373</v>
      </c>
      <c r="R649" s="1" t="s">
        <v>781</v>
      </c>
      <c r="S649" s="1" t="s">
        <v>1906</v>
      </c>
      <c r="T649" s="1" t="s">
        <v>1672</v>
      </c>
      <c r="U649" s="1" t="s">
        <v>1046</v>
      </c>
      <c r="V649" s="1" t="s">
        <v>236</v>
      </c>
      <c r="W649" s="1" t="s">
        <v>1244</v>
      </c>
      <c r="X649" s="1" t="s">
        <v>1313</v>
      </c>
      <c r="Y649" s="1" t="s">
        <v>1155</v>
      </c>
      <c r="Z649" s="1">
        <v>1.0</v>
      </c>
    </row>
    <row r="650">
      <c r="A650" s="1" t="s">
        <v>1760</v>
      </c>
      <c r="B650" s="1" t="s">
        <v>2108</v>
      </c>
      <c r="C650" s="1" t="s">
        <v>1534</v>
      </c>
      <c r="D650" s="1" t="s">
        <v>2374</v>
      </c>
      <c r="E650" s="1" t="s">
        <v>1967</v>
      </c>
      <c r="F650" s="1" t="s">
        <v>1024</v>
      </c>
      <c r="G650" s="1" t="s">
        <v>189</v>
      </c>
      <c r="H650" s="1" t="s">
        <v>526</v>
      </c>
      <c r="I650" s="1" t="s">
        <v>1626</v>
      </c>
      <c r="J650" s="1" t="s">
        <v>224</v>
      </c>
      <c r="K650" s="1" t="s">
        <v>235</v>
      </c>
      <c r="L650" s="1" t="s">
        <v>343</v>
      </c>
      <c r="M650" s="1" t="s">
        <v>960</v>
      </c>
      <c r="N650" s="1" t="s">
        <v>2375</v>
      </c>
      <c r="O650" s="1" t="s">
        <v>1909</v>
      </c>
      <c r="P650" s="1" t="s">
        <v>208</v>
      </c>
      <c r="Q650" s="1" t="s">
        <v>766</v>
      </c>
      <c r="R650" s="1" t="s">
        <v>235</v>
      </c>
      <c r="S650" s="1" t="s">
        <v>417</v>
      </c>
      <c r="T650" s="1" t="s">
        <v>1057</v>
      </c>
      <c r="U650" s="1" t="s">
        <v>2259</v>
      </c>
      <c r="V650" s="1">
        <v>80.0</v>
      </c>
      <c r="W650" s="1" t="s">
        <v>310</v>
      </c>
      <c r="X650" s="1" t="s">
        <v>1220</v>
      </c>
      <c r="Y650" s="1" t="s">
        <v>98</v>
      </c>
      <c r="Z650" s="1">
        <v>1.0</v>
      </c>
    </row>
    <row r="651">
      <c r="A651" s="1" t="s">
        <v>2376</v>
      </c>
      <c r="B651" s="1" t="s">
        <v>2108</v>
      </c>
      <c r="C651" s="1" t="s">
        <v>1612</v>
      </c>
      <c r="D651" s="1" t="s">
        <v>2377</v>
      </c>
      <c r="E651" s="1" t="s">
        <v>224</v>
      </c>
      <c r="F651" s="1" t="s">
        <v>1877</v>
      </c>
      <c r="G651" s="1" t="s">
        <v>731</v>
      </c>
      <c r="H651" s="1" t="s">
        <v>1086</v>
      </c>
      <c r="I651" s="1" t="s">
        <v>2008</v>
      </c>
      <c r="J651" s="1" t="s">
        <v>878</v>
      </c>
      <c r="K651" s="1" t="s">
        <v>1258</v>
      </c>
      <c r="L651" s="1" t="s">
        <v>1816</v>
      </c>
      <c r="M651" s="1" t="s">
        <v>446</v>
      </c>
      <c r="N651" s="1" t="s">
        <v>2378</v>
      </c>
      <c r="O651" s="1" t="s">
        <v>2039</v>
      </c>
      <c r="P651" s="1" t="s">
        <v>1199</v>
      </c>
      <c r="Q651" s="1" t="s">
        <v>1213</v>
      </c>
      <c r="R651" s="1" t="s">
        <v>531</v>
      </c>
      <c r="S651" s="1" t="s">
        <v>188</v>
      </c>
      <c r="T651" s="1" t="s">
        <v>208</v>
      </c>
      <c r="U651" s="1" t="s">
        <v>773</v>
      </c>
      <c r="V651" s="1" t="s">
        <v>311</v>
      </c>
      <c r="W651" s="1" t="s">
        <v>514</v>
      </c>
      <c r="X651" s="1" t="s">
        <v>35</v>
      </c>
      <c r="Y651" s="1" t="s">
        <v>208</v>
      </c>
      <c r="Z651" s="1">
        <v>1.0</v>
      </c>
    </row>
    <row r="652">
      <c r="A652" s="1" t="s">
        <v>1968</v>
      </c>
      <c r="B652" s="1" t="s">
        <v>2108</v>
      </c>
      <c r="C652" s="1" t="s">
        <v>2327</v>
      </c>
      <c r="D652" s="1" t="s">
        <v>2379</v>
      </c>
      <c r="E652" s="1" t="s">
        <v>79</v>
      </c>
      <c r="F652" s="1" t="s">
        <v>35</v>
      </c>
      <c r="G652" s="1" t="s">
        <v>2199</v>
      </c>
      <c r="H652" s="1" t="s">
        <v>994</v>
      </c>
      <c r="I652" s="1" t="s">
        <v>659</v>
      </c>
      <c r="J652" s="1" t="s">
        <v>614</v>
      </c>
      <c r="K652" s="1" t="s">
        <v>132</v>
      </c>
      <c r="L652" s="1" t="s">
        <v>672</v>
      </c>
      <c r="M652" s="1" t="s">
        <v>1287</v>
      </c>
      <c r="N652" s="1" t="s">
        <v>1151</v>
      </c>
      <c r="O652" s="1">
        <v>60.0</v>
      </c>
      <c r="P652" s="1" t="s">
        <v>404</v>
      </c>
      <c r="Q652" s="1" t="s">
        <v>1177</v>
      </c>
      <c r="R652" s="1" t="s">
        <v>851</v>
      </c>
      <c r="S652" s="1" t="s">
        <v>909</v>
      </c>
      <c r="T652" s="1" t="s">
        <v>260</v>
      </c>
      <c r="U652" s="1" t="s">
        <v>225</v>
      </c>
      <c r="V652" s="1" t="s">
        <v>1116</v>
      </c>
      <c r="W652" s="1" t="s">
        <v>1309</v>
      </c>
      <c r="X652" s="1">
        <v>75.0</v>
      </c>
      <c r="Y652" s="1" t="s">
        <v>1272</v>
      </c>
      <c r="Z652" s="1">
        <v>1.0</v>
      </c>
    </row>
    <row r="653">
      <c r="A653" s="1" t="s">
        <v>782</v>
      </c>
      <c r="B653" s="1" t="s">
        <v>2108</v>
      </c>
      <c r="C653" s="1" t="s">
        <v>1579</v>
      </c>
      <c r="D653" s="1">
        <v>225.0</v>
      </c>
      <c r="E653" s="1">
        <v>80.0</v>
      </c>
      <c r="F653" s="1">
        <v>71.0</v>
      </c>
      <c r="G653" s="1">
        <v>90.0</v>
      </c>
      <c r="H653" s="1">
        <v>75.0</v>
      </c>
      <c r="I653" s="1">
        <v>68.0</v>
      </c>
      <c r="J653" s="1">
        <v>90.0</v>
      </c>
      <c r="K653" s="1">
        <v>85.0</v>
      </c>
      <c r="L653" s="1">
        <v>71.0</v>
      </c>
      <c r="M653" s="1">
        <v>92.0</v>
      </c>
      <c r="N653" s="1">
        <v>78.0</v>
      </c>
      <c r="O653" s="1">
        <v>69.0</v>
      </c>
      <c r="P653" s="1">
        <v>80.0</v>
      </c>
      <c r="Q653" s="1">
        <v>60.0</v>
      </c>
      <c r="R653" s="1">
        <v>44.0</v>
      </c>
      <c r="S653" s="1">
        <v>80.0</v>
      </c>
      <c r="T653" s="1">
        <v>82.0</v>
      </c>
      <c r="U653" s="1">
        <v>68.0</v>
      </c>
      <c r="V653" s="1">
        <v>70.0</v>
      </c>
      <c r="W653" s="1">
        <v>73.0</v>
      </c>
      <c r="X653" s="1">
        <v>85.0</v>
      </c>
      <c r="Y653" s="1">
        <v>72.0</v>
      </c>
      <c r="Z653" s="1">
        <v>1.0</v>
      </c>
    </row>
    <row r="654">
      <c r="A654" s="1" t="s">
        <v>2380</v>
      </c>
      <c r="B654" s="1" t="s">
        <v>2108</v>
      </c>
      <c r="C654" s="1" t="s">
        <v>2287</v>
      </c>
      <c r="D654" s="1" t="s">
        <v>2381</v>
      </c>
      <c r="E654" s="1" t="s">
        <v>635</v>
      </c>
      <c r="F654" s="1" t="s">
        <v>236</v>
      </c>
      <c r="G654" s="1" t="s">
        <v>396</v>
      </c>
      <c r="H654" s="1" t="s">
        <v>205</v>
      </c>
      <c r="I654" s="1" t="s">
        <v>2382</v>
      </c>
      <c r="J654" s="1" t="s">
        <v>134</v>
      </c>
      <c r="K654" s="1" t="s">
        <v>525</v>
      </c>
      <c r="L654" s="1" t="s">
        <v>2383</v>
      </c>
      <c r="M654" s="1" t="s">
        <v>66</v>
      </c>
      <c r="N654" s="1" t="s">
        <v>349</v>
      </c>
      <c r="O654" s="1" t="s">
        <v>403</v>
      </c>
      <c r="P654" s="1" t="s">
        <v>208</v>
      </c>
      <c r="Q654" s="1" t="s">
        <v>731</v>
      </c>
      <c r="R654" s="1" t="s">
        <v>879</v>
      </c>
      <c r="S654" s="1" t="s">
        <v>429</v>
      </c>
      <c r="T654" s="1" t="s">
        <v>35</v>
      </c>
      <c r="U654" s="1" t="s">
        <v>221</v>
      </c>
      <c r="V654" s="1" t="s">
        <v>1258</v>
      </c>
      <c r="W654" s="1" t="s">
        <v>838</v>
      </c>
      <c r="X654" s="1" t="s">
        <v>113</v>
      </c>
      <c r="Y654" s="1">
        <v>85.0</v>
      </c>
      <c r="Z654" s="1">
        <v>1.0</v>
      </c>
    </row>
    <row r="655">
      <c r="A655" s="1" t="s">
        <v>1929</v>
      </c>
      <c r="B655" s="1" t="s">
        <v>2108</v>
      </c>
      <c r="C655" s="1" t="s">
        <v>970</v>
      </c>
      <c r="D655" s="1">
        <v>262.0</v>
      </c>
      <c r="E655" s="1">
        <v>76.0</v>
      </c>
      <c r="F655" s="1">
        <v>76.0</v>
      </c>
      <c r="G655" s="1">
        <v>96.0</v>
      </c>
      <c r="H655" s="1">
        <v>85.0</v>
      </c>
      <c r="I655" s="1">
        <v>56.0</v>
      </c>
      <c r="J655" s="1">
        <v>63.0</v>
      </c>
      <c r="K655" s="1">
        <v>73.0</v>
      </c>
      <c r="L655" s="1">
        <v>48.0</v>
      </c>
      <c r="M655" s="1">
        <v>36.0</v>
      </c>
      <c r="N655" s="1">
        <v>61.0</v>
      </c>
      <c r="O655" s="1">
        <v>58.0</v>
      </c>
      <c r="P655" s="1">
        <v>71.0</v>
      </c>
      <c r="Q655" s="1">
        <v>74.0</v>
      </c>
      <c r="R655" s="1">
        <v>60.0</v>
      </c>
      <c r="S655" s="1">
        <v>78.0</v>
      </c>
      <c r="T655" s="1">
        <v>85.0</v>
      </c>
      <c r="U655" s="1">
        <v>93.0</v>
      </c>
      <c r="V655" s="1">
        <v>84.0</v>
      </c>
      <c r="W655" s="1">
        <v>76.0</v>
      </c>
      <c r="X655" s="1">
        <v>91.0</v>
      </c>
      <c r="Y655" s="1">
        <v>90.0</v>
      </c>
      <c r="Z655" s="1">
        <v>1.0</v>
      </c>
    </row>
    <row r="656">
      <c r="A656" s="1" t="s">
        <v>2384</v>
      </c>
      <c r="B656" s="1" t="s">
        <v>2108</v>
      </c>
      <c r="C656" s="1" t="s">
        <v>2327</v>
      </c>
      <c r="D656" s="1">
        <v>235.0</v>
      </c>
      <c r="E656" s="1">
        <v>87.0</v>
      </c>
      <c r="F656" s="1">
        <v>81.0</v>
      </c>
      <c r="G656" s="1">
        <v>85.0</v>
      </c>
      <c r="H656" s="1">
        <v>75.0</v>
      </c>
      <c r="I656" s="1">
        <v>90.0</v>
      </c>
      <c r="J656" s="1">
        <v>92.0</v>
      </c>
      <c r="K656" s="1">
        <v>86.0</v>
      </c>
      <c r="L656" s="1">
        <v>77.0</v>
      </c>
      <c r="M656" s="1">
        <v>75.0</v>
      </c>
      <c r="N656" s="1">
        <v>73.0</v>
      </c>
      <c r="O656" s="1">
        <v>61.0</v>
      </c>
      <c r="P656" s="1">
        <v>83.0</v>
      </c>
      <c r="Q656" s="1">
        <v>42.0</v>
      </c>
      <c r="R656" s="1">
        <v>38.0</v>
      </c>
      <c r="S656" s="1">
        <v>87.0</v>
      </c>
      <c r="T656" s="1">
        <v>80.0</v>
      </c>
      <c r="U656" s="1">
        <v>80.0</v>
      </c>
      <c r="V656" s="1">
        <v>72.0</v>
      </c>
      <c r="W656" s="1">
        <v>61.0</v>
      </c>
      <c r="X656" s="1">
        <v>85.0</v>
      </c>
      <c r="Y656" s="1">
        <v>80.0</v>
      </c>
      <c r="Z656" s="1">
        <v>1.0</v>
      </c>
    </row>
    <row r="657">
      <c r="A657" s="1" t="s">
        <v>1149</v>
      </c>
      <c r="B657" s="1" t="s">
        <v>2108</v>
      </c>
      <c r="C657" s="1" t="s">
        <v>1574</v>
      </c>
      <c r="D657" s="1" t="s">
        <v>2385</v>
      </c>
      <c r="E657" s="1" t="s">
        <v>1313</v>
      </c>
      <c r="F657" s="1" t="s">
        <v>235</v>
      </c>
      <c r="G657" s="1" t="s">
        <v>396</v>
      </c>
      <c r="H657" s="1" t="s">
        <v>2201</v>
      </c>
      <c r="I657" s="1" t="s">
        <v>48</v>
      </c>
      <c r="J657" s="1">
        <v>80.0</v>
      </c>
      <c r="K657" s="1">
        <v>80.0</v>
      </c>
      <c r="L657" s="1" t="s">
        <v>895</v>
      </c>
      <c r="M657" s="1" t="s">
        <v>2386</v>
      </c>
      <c r="N657" s="1" t="s">
        <v>2387</v>
      </c>
      <c r="O657" s="1" t="s">
        <v>2388</v>
      </c>
      <c r="P657" s="1" t="s">
        <v>1446</v>
      </c>
      <c r="Q657" s="1" t="s">
        <v>465</v>
      </c>
      <c r="R657" s="1" t="s">
        <v>2389</v>
      </c>
      <c r="S657" s="1" t="s">
        <v>2390</v>
      </c>
      <c r="T657" s="1">
        <v>55.0</v>
      </c>
      <c r="U657" s="1">
        <v>80.0</v>
      </c>
      <c r="V657" s="1" t="s">
        <v>991</v>
      </c>
      <c r="W657" s="1" t="s">
        <v>2156</v>
      </c>
      <c r="X657" s="1" t="s">
        <v>1202</v>
      </c>
      <c r="Y657" s="1" t="s">
        <v>205</v>
      </c>
      <c r="Z657" s="1">
        <v>1.0</v>
      </c>
    </row>
    <row r="658">
      <c r="A658" s="1" t="s">
        <v>1910</v>
      </c>
      <c r="B658" s="1" t="s">
        <v>2108</v>
      </c>
      <c r="C658" s="1" t="s">
        <v>2115</v>
      </c>
      <c r="D658" s="1">
        <v>235.0</v>
      </c>
      <c r="E658" s="1">
        <v>85.0</v>
      </c>
      <c r="F658" s="1">
        <v>70.0</v>
      </c>
      <c r="G658" s="1">
        <v>80.0</v>
      </c>
      <c r="H658" s="1">
        <v>81.0</v>
      </c>
      <c r="I658" s="1">
        <v>86.0</v>
      </c>
      <c r="J658" s="1">
        <v>85.0</v>
      </c>
      <c r="K658" s="1">
        <v>83.0</v>
      </c>
      <c r="L658" s="1">
        <v>61.0</v>
      </c>
      <c r="M658" s="1">
        <v>71.0</v>
      </c>
      <c r="N658" s="1">
        <v>73.0</v>
      </c>
      <c r="O658" s="1">
        <v>64.0</v>
      </c>
      <c r="P658" s="1">
        <v>75.0</v>
      </c>
      <c r="Q658" s="1">
        <v>65.0</v>
      </c>
      <c r="R658" s="1">
        <v>67.0</v>
      </c>
      <c r="S658" s="1">
        <v>85.0</v>
      </c>
      <c r="T658" s="1">
        <v>80.0</v>
      </c>
      <c r="U658" s="1">
        <v>80.0</v>
      </c>
      <c r="V658" s="1">
        <v>75.0</v>
      </c>
      <c r="W658" s="1">
        <v>64.0</v>
      </c>
      <c r="X658" s="1">
        <v>90.0</v>
      </c>
      <c r="Y658" s="1">
        <v>84.0</v>
      </c>
      <c r="Z658" s="1">
        <v>1.0</v>
      </c>
    </row>
    <row r="659">
      <c r="A659" s="1" t="s">
        <v>874</v>
      </c>
      <c r="B659" s="1" t="s">
        <v>2108</v>
      </c>
      <c r="C659" s="1" t="s">
        <v>1530</v>
      </c>
      <c r="D659" s="1" t="s">
        <v>1150</v>
      </c>
      <c r="E659" s="1" t="s">
        <v>221</v>
      </c>
      <c r="F659" s="1" t="s">
        <v>204</v>
      </c>
      <c r="G659" s="1" t="s">
        <v>78</v>
      </c>
      <c r="H659" s="1" t="s">
        <v>35</v>
      </c>
      <c r="I659" s="1" t="s">
        <v>1341</v>
      </c>
      <c r="J659" s="1" t="s">
        <v>597</v>
      </c>
      <c r="K659" s="1" t="s">
        <v>205</v>
      </c>
      <c r="L659" s="1" t="s">
        <v>1254</v>
      </c>
      <c r="M659" s="1" t="s">
        <v>1245</v>
      </c>
      <c r="N659" s="1" t="s">
        <v>525</v>
      </c>
      <c r="O659" s="1" t="s">
        <v>204</v>
      </c>
      <c r="P659" s="1" t="s">
        <v>1445</v>
      </c>
      <c r="Q659" s="1" t="s">
        <v>838</v>
      </c>
      <c r="R659" s="1" t="s">
        <v>161</v>
      </c>
      <c r="S659" s="1" t="s">
        <v>582</v>
      </c>
      <c r="T659" s="1" t="s">
        <v>1460</v>
      </c>
      <c r="U659" s="1" t="s">
        <v>157</v>
      </c>
      <c r="V659" s="1">
        <v>80.0</v>
      </c>
      <c r="W659" s="1">
        <v>75.0</v>
      </c>
      <c r="X659" s="1" t="s">
        <v>368</v>
      </c>
      <c r="Y659" s="1" t="s">
        <v>761</v>
      </c>
      <c r="Z659" s="1">
        <v>1.0</v>
      </c>
    </row>
    <row r="660">
      <c r="A660" s="1" t="s">
        <v>2391</v>
      </c>
      <c r="B660" s="1" t="s">
        <v>2108</v>
      </c>
      <c r="C660" s="1" t="s">
        <v>1579</v>
      </c>
      <c r="D660" s="1">
        <v>210.0</v>
      </c>
      <c r="E660" s="1">
        <v>71.0</v>
      </c>
      <c r="F660" s="1">
        <v>70.0</v>
      </c>
      <c r="G660" s="1">
        <v>73.0</v>
      </c>
      <c r="H660" s="1">
        <v>81.0</v>
      </c>
      <c r="I660" s="1">
        <v>51.0</v>
      </c>
      <c r="J660" s="1">
        <v>81.0</v>
      </c>
      <c r="K660" s="1">
        <v>91.0</v>
      </c>
      <c r="L660" s="1">
        <v>80.0</v>
      </c>
      <c r="M660" s="1">
        <v>85.0</v>
      </c>
      <c r="N660" s="1">
        <v>50.0</v>
      </c>
      <c r="O660" s="1">
        <v>50.0</v>
      </c>
      <c r="P660" s="1">
        <v>91.0</v>
      </c>
      <c r="Q660" s="1">
        <v>83.0</v>
      </c>
      <c r="R660" s="1">
        <v>73.0</v>
      </c>
      <c r="S660" s="1">
        <v>88.0</v>
      </c>
      <c r="T660" s="1">
        <v>50.0</v>
      </c>
      <c r="U660" s="1">
        <v>71.0</v>
      </c>
      <c r="V660" s="1">
        <v>80.0</v>
      </c>
      <c r="W660" s="1">
        <v>76.0</v>
      </c>
      <c r="X660" s="1">
        <v>84.0</v>
      </c>
      <c r="Y660" s="1">
        <v>85.0</v>
      </c>
      <c r="Z660" s="1">
        <v>1.0</v>
      </c>
    </row>
    <row r="661">
      <c r="A661" s="1" t="s">
        <v>2044</v>
      </c>
      <c r="B661" s="1" t="s">
        <v>2108</v>
      </c>
      <c r="C661" s="1" t="s">
        <v>2141</v>
      </c>
      <c r="D661" s="1" t="s">
        <v>2392</v>
      </c>
      <c r="E661" s="1" t="s">
        <v>847</v>
      </c>
      <c r="F661" s="1" t="s">
        <v>48</v>
      </c>
      <c r="G661" s="1" t="s">
        <v>190</v>
      </c>
      <c r="H661" s="1" t="s">
        <v>502</v>
      </c>
      <c r="I661" s="1" t="s">
        <v>2393</v>
      </c>
      <c r="J661" s="1" t="s">
        <v>1272</v>
      </c>
      <c r="K661" s="1" t="s">
        <v>190</v>
      </c>
      <c r="L661" s="1" t="s">
        <v>1525</v>
      </c>
      <c r="M661" s="1" t="s">
        <v>363</v>
      </c>
      <c r="N661" s="1" t="s">
        <v>367</v>
      </c>
      <c r="O661" s="1" t="s">
        <v>526</v>
      </c>
      <c r="P661" s="1" t="s">
        <v>595</v>
      </c>
      <c r="Q661" s="1" t="s">
        <v>38</v>
      </c>
      <c r="R661" s="1" t="s">
        <v>1126</v>
      </c>
      <c r="S661" s="1" t="s">
        <v>390</v>
      </c>
      <c r="T661" s="1" t="s">
        <v>35</v>
      </c>
      <c r="U661" s="1" t="s">
        <v>35</v>
      </c>
      <c r="V661" s="1" t="s">
        <v>410</v>
      </c>
      <c r="W661" s="1" t="s">
        <v>204</v>
      </c>
      <c r="X661" s="1" t="s">
        <v>2394</v>
      </c>
      <c r="Y661" s="1" t="s">
        <v>243</v>
      </c>
      <c r="Z661" s="1">
        <v>1.0</v>
      </c>
    </row>
    <row r="662">
      <c r="A662" s="1" t="s">
        <v>2395</v>
      </c>
      <c r="B662" s="1" t="s">
        <v>2108</v>
      </c>
      <c r="C662" s="1" t="s">
        <v>2141</v>
      </c>
      <c r="D662" s="1" t="s">
        <v>2122</v>
      </c>
      <c r="E662" s="1" t="s">
        <v>493</v>
      </c>
      <c r="F662" s="1" t="s">
        <v>618</v>
      </c>
      <c r="G662" s="1" t="s">
        <v>633</v>
      </c>
      <c r="H662" s="1" t="s">
        <v>364</v>
      </c>
      <c r="I662" s="1" t="s">
        <v>930</v>
      </c>
      <c r="J662" s="1" t="s">
        <v>672</v>
      </c>
      <c r="K662" s="1" t="s">
        <v>1618</v>
      </c>
      <c r="L662" s="1" t="s">
        <v>1011</v>
      </c>
      <c r="M662" s="1" t="s">
        <v>1038</v>
      </c>
      <c r="N662" s="1" t="s">
        <v>1577</v>
      </c>
      <c r="O662" s="1" t="s">
        <v>2396</v>
      </c>
      <c r="P662" s="1" t="s">
        <v>225</v>
      </c>
      <c r="Q662" s="1" t="s">
        <v>987</v>
      </c>
      <c r="R662" s="1" t="s">
        <v>1208</v>
      </c>
      <c r="S662" s="1" t="s">
        <v>1539</v>
      </c>
      <c r="T662" s="1" t="s">
        <v>2397</v>
      </c>
      <c r="U662" s="1" t="s">
        <v>300</v>
      </c>
      <c r="V662" s="1" t="s">
        <v>242</v>
      </c>
      <c r="W662" s="1" t="s">
        <v>224</v>
      </c>
      <c r="X662" s="1" t="s">
        <v>2398</v>
      </c>
      <c r="Y662" s="1" t="s">
        <v>1147</v>
      </c>
      <c r="Z662" s="1">
        <v>1.0</v>
      </c>
    </row>
    <row r="663">
      <c r="A663" s="1" t="s">
        <v>2399</v>
      </c>
      <c r="B663" s="1" t="s">
        <v>2108</v>
      </c>
      <c r="C663" s="1" t="s">
        <v>2327</v>
      </c>
      <c r="D663" s="1">
        <v>269.0</v>
      </c>
      <c r="E663" s="1">
        <v>83.0</v>
      </c>
      <c r="F663" s="1">
        <v>58.0</v>
      </c>
      <c r="G663" s="1">
        <v>75.0</v>
      </c>
      <c r="H663" s="1">
        <v>90.0</v>
      </c>
      <c r="I663" s="1">
        <v>61.0</v>
      </c>
      <c r="J663" s="1">
        <v>88.0</v>
      </c>
      <c r="K663" s="1">
        <v>90.0</v>
      </c>
      <c r="L663" s="1">
        <v>65.0</v>
      </c>
      <c r="M663" s="1">
        <v>70.0</v>
      </c>
      <c r="N663" s="1">
        <v>71.0</v>
      </c>
      <c r="O663" s="1">
        <v>51.0</v>
      </c>
      <c r="P663" s="1">
        <v>82.0</v>
      </c>
      <c r="Q663" s="1">
        <v>62.0</v>
      </c>
      <c r="R663" s="1">
        <v>37.0</v>
      </c>
      <c r="S663" s="1">
        <v>84.0</v>
      </c>
      <c r="T663" s="1">
        <v>80.0</v>
      </c>
      <c r="U663" s="1">
        <v>96.0</v>
      </c>
      <c r="V663" s="1">
        <v>65.0</v>
      </c>
      <c r="W663" s="1">
        <v>50.0</v>
      </c>
      <c r="X663" s="1">
        <v>83.0</v>
      </c>
      <c r="Y663" s="1">
        <v>77.0</v>
      </c>
      <c r="Z663" s="1">
        <v>1.0</v>
      </c>
    </row>
    <row r="664">
      <c r="A664" s="1" t="s">
        <v>1509</v>
      </c>
      <c r="B664" s="1" t="s">
        <v>2108</v>
      </c>
      <c r="C664" s="1" t="s">
        <v>876</v>
      </c>
      <c r="D664" s="1" t="s">
        <v>2400</v>
      </c>
      <c r="E664" s="1" t="s">
        <v>204</v>
      </c>
      <c r="F664" s="1" t="s">
        <v>2119</v>
      </c>
      <c r="G664" s="1" t="s">
        <v>364</v>
      </c>
      <c r="H664" s="1" t="s">
        <v>1617</v>
      </c>
      <c r="I664" s="1" t="s">
        <v>2073</v>
      </c>
      <c r="J664" s="1" t="s">
        <v>760</v>
      </c>
      <c r="K664" s="1" t="s">
        <v>190</v>
      </c>
      <c r="L664" s="1" t="s">
        <v>1560</v>
      </c>
      <c r="M664" s="1" t="s">
        <v>363</v>
      </c>
      <c r="N664" s="1" t="s">
        <v>1076</v>
      </c>
      <c r="O664" s="1" t="s">
        <v>1628</v>
      </c>
      <c r="P664" s="1" t="s">
        <v>860</v>
      </c>
      <c r="Q664" s="1" t="s">
        <v>226</v>
      </c>
      <c r="R664" s="1" t="s">
        <v>1946</v>
      </c>
      <c r="S664" s="1" t="s">
        <v>188</v>
      </c>
      <c r="T664" s="1" t="s">
        <v>205</v>
      </c>
      <c r="U664" s="1" t="s">
        <v>133</v>
      </c>
      <c r="V664" s="1" t="s">
        <v>553</v>
      </c>
      <c r="W664" s="1" t="s">
        <v>404</v>
      </c>
      <c r="X664" s="1" t="s">
        <v>80</v>
      </c>
      <c r="Y664" s="1" t="s">
        <v>323</v>
      </c>
      <c r="Z664" s="1">
        <v>1.0</v>
      </c>
    </row>
    <row r="665">
      <c r="A665" s="1" t="s">
        <v>2401</v>
      </c>
      <c r="B665" s="1" t="s">
        <v>2108</v>
      </c>
      <c r="C665" s="1" t="s">
        <v>1534</v>
      </c>
      <c r="D665" s="1">
        <v>210.0</v>
      </c>
      <c r="E665" s="1" t="s">
        <v>548</v>
      </c>
      <c r="F665" s="1">
        <v>77.0</v>
      </c>
      <c r="G665" s="1" t="s">
        <v>548</v>
      </c>
      <c r="H665" s="1" t="s">
        <v>1607</v>
      </c>
      <c r="I665" s="1" t="s">
        <v>1089</v>
      </c>
      <c r="J665" s="1" t="s">
        <v>571</v>
      </c>
      <c r="K665" s="1">
        <v>90.0</v>
      </c>
      <c r="L665" s="1" t="s">
        <v>132</v>
      </c>
      <c r="M665" s="1">
        <v>71.0</v>
      </c>
      <c r="N665" s="1">
        <v>80.0</v>
      </c>
      <c r="O665" s="1">
        <v>73.0</v>
      </c>
      <c r="P665" s="1">
        <v>85.0</v>
      </c>
      <c r="Q665" s="1">
        <v>70.0</v>
      </c>
      <c r="R665" s="1">
        <v>42.0</v>
      </c>
      <c r="S665" s="1" t="s">
        <v>706</v>
      </c>
      <c r="T665" s="1">
        <v>70.0</v>
      </c>
      <c r="U665" s="1">
        <v>70.0</v>
      </c>
      <c r="V665" s="1">
        <v>83.0</v>
      </c>
      <c r="W665" s="1">
        <v>82.0</v>
      </c>
      <c r="X665" s="1">
        <v>75.0</v>
      </c>
      <c r="Y665" s="1" t="s">
        <v>1477</v>
      </c>
      <c r="Z665" s="1">
        <v>1.0</v>
      </c>
    </row>
    <row r="666">
      <c r="A666" s="1" t="s">
        <v>2402</v>
      </c>
      <c r="B666" s="1" t="s">
        <v>2108</v>
      </c>
      <c r="C666" s="1" t="s">
        <v>1534</v>
      </c>
      <c r="D666" s="1">
        <v>268.0</v>
      </c>
      <c r="E666" s="1">
        <v>78.0</v>
      </c>
      <c r="F666" s="1">
        <v>65.0</v>
      </c>
      <c r="G666" s="1">
        <v>59.0</v>
      </c>
      <c r="H666" s="1">
        <v>70.0</v>
      </c>
      <c r="I666" s="1">
        <v>62.0</v>
      </c>
      <c r="J666" s="1">
        <v>85.0</v>
      </c>
      <c r="K666" s="1">
        <v>83.0</v>
      </c>
      <c r="L666" s="1">
        <v>66.0</v>
      </c>
      <c r="M666" s="1">
        <v>60.0</v>
      </c>
      <c r="N666" s="1">
        <v>75.0</v>
      </c>
      <c r="O666" s="1">
        <v>68.0</v>
      </c>
      <c r="P666" s="1">
        <v>87.0</v>
      </c>
      <c r="Q666" s="1">
        <v>48.0</v>
      </c>
      <c r="R666" s="1">
        <v>55.0</v>
      </c>
      <c r="S666" s="1">
        <v>72.0</v>
      </c>
      <c r="T666" s="1">
        <v>92.0</v>
      </c>
      <c r="U666" s="1">
        <v>94.0</v>
      </c>
      <c r="V666" s="1">
        <v>78.0</v>
      </c>
      <c r="W666" s="1">
        <v>72.0</v>
      </c>
      <c r="X666" s="1">
        <v>92.0</v>
      </c>
      <c r="Y666" s="1">
        <v>70.0</v>
      </c>
      <c r="Z666" s="1">
        <v>1.0</v>
      </c>
    </row>
    <row r="667">
      <c r="A667" s="1" t="s">
        <v>2403</v>
      </c>
      <c r="B667" s="1" t="s">
        <v>2108</v>
      </c>
      <c r="C667" s="1" t="s">
        <v>1754</v>
      </c>
      <c r="D667" s="1" t="s">
        <v>2404</v>
      </c>
      <c r="E667" s="1">
        <v>80.0</v>
      </c>
      <c r="F667" s="1" t="s">
        <v>847</v>
      </c>
      <c r="G667" s="1" t="s">
        <v>525</v>
      </c>
      <c r="H667" s="1" t="s">
        <v>619</v>
      </c>
      <c r="I667" s="1" t="s">
        <v>2405</v>
      </c>
      <c r="J667" s="1" t="s">
        <v>445</v>
      </c>
      <c r="K667" s="1" t="s">
        <v>728</v>
      </c>
      <c r="L667" s="1" t="s">
        <v>863</v>
      </c>
      <c r="M667" s="1" t="s">
        <v>1151</v>
      </c>
      <c r="N667" s="1" t="s">
        <v>1673</v>
      </c>
      <c r="O667" s="1" t="s">
        <v>2152</v>
      </c>
      <c r="P667" s="1" t="s">
        <v>342</v>
      </c>
      <c r="Q667" s="1" t="s">
        <v>1224</v>
      </c>
      <c r="R667" s="1" t="s">
        <v>1786</v>
      </c>
      <c r="S667" s="1" t="s">
        <v>1365</v>
      </c>
      <c r="T667" s="1" t="s">
        <v>2406</v>
      </c>
      <c r="U667" s="1" t="s">
        <v>1025</v>
      </c>
      <c r="V667" s="1" t="s">
        <v>761</v>
      </c>
      <c r="W667" s="1" t="s">
        <v>1189</v>
      </c>
      <c r="X667" s="1" t="s">
        <v>937</v>
      </c>
      <c r="Y667" s="1">
        <v>83.0</v>
      </c>
      <c r="Z667" s="1">
        <v>1.0</v>
      </c>
    </row>
    <row r="668">
      <c r="A668" s="1" t="s">
        <v>2407</v>
      </c>
      <c r="B668" s="1" t="s">
        <v>2108</v>
      </c>
      <c r="C668" s="1" t="s">
        <v>2327</v>
      </c>
      <c r="D668" s="1">
        <v>245.0</v>
      </c>
      <c r="E668" s="1">
        <v>87.0</v>
      </c>
      <c r="F668" s="1">
        <v>75.0</v>
      </c>
      <c r="G668" s="1">
        <v>74.0</v>
      </c>
      <c r="H668" s="1">
        <v>82.0</v>
      </c>
      <c r="I668" s="1">
        <v>87.0</v>
      </c>
      <c r="J668" s="1">
        <v>73.0</v>
      </c>
      <c r="K668" s="1">
        <v>83.0</v>
      </c>
      <c r="L668" s="1">
        <v>59.0</v>
      </c>
      <c r="M668" s="1">
        <v>76.0</v>
      </c>
      <c r="N668" s="1">
        <v>71.0</v>
      </c>
      <c r="O668" s="1">
        <v>50.0</v>
      </c>
      <c r="P668" s="1">
        <v>80.0</v>
      </c>
      <c r="Q668" s="1">
        <v>66.0</v>
      </c>
      <c r="R668" s="1">
        <v>36.0</v>
      </c>
      <c r="S668" s="1">
        <v>80.0</v>
      </c>
      <c r="T668" s="1">
        <v>95.0</v>
      </c>
      <c r="U668" s="1">
        <v>92.0</v>
      </c>
      <c r="V668" s="1">
        <v>70.0</v>
      </c>
      <c r="W668" s="1">
        <v>50.0</v>
      </c>
      <c r="X668" s="1">
        <v>79.0</v>
      </c>
      <c r="Y668" s="1">
        <v>83.0</v>
      </c>
      <c r="Z668" s="1">
        <v>1.0</v>
      </c>
    </row>
    <row r="669">
      <c r="A669" s="1" t="s">
        <v>2408</v>
      </c>
      <c r="B669" s="1" t="s">
        <v>2108</v>
      </c>
      <c r="C669" s="1" t="s">
        <v>1579</v>
      </c>
      <c r="D669" s="1">
        <v>236.0</v>
      </c>
      <c r="E669" s="1">
        <v>75.0</v>
      </c>
      <c r="F669" s="1">
        <v>67.0</v>
      </c>
      <c r="G669" s="1">
        <v>87.0</v>
      </c>
      <c r="H669" s="1">
        <v>90.0</v>
      </c>
      <c r="I669" s="1">
        <v>56.0</v>
      </c>
      <c r="J669" s="1">
        <v>83.0</v>
      </c>
      <c r="K669" s="1">
        <v>48.0</v>
      </c>
      <c r="L669" s="1">
        <v>58.0</v>
      </c>
      <c r="M669" s="1">
        <v>76.0</v>
      </c>
      <c r="N669" s="1">
        <v>47.0</v>
      </c>
      <c r="O669" s="1">
        <v>44.0</v>
      </c>
      <c r="P669" s="1">
        <v>82.0</v>
      </c>
      <c r="Q669" s="1">
        <v>50.0</v>
      </c>
      <c r="R669" s="1">
        <v>39.0</v>
      </c>
      <c r="S669" s="1">
        <v>84.0</v>
      </c>
      <c r="T669" s="1">
        <v>87.0</v>
      </c>
      <c r="U669" s="1">
        <v>92.0</v>
      </c>
      <c r="V669" s="1">
        <v>74.0</v>
      </c>
      <c r="W669" s="1">
        <v>65.0</v>
      </c>
      <c r="X669" s="1">
        <v>91.0</v>
      </c>
      <c r="Y669" s="1">
        <v>83.0</v>
      </c>
      <c r="Z669" s="1">
        <v>1.0</v>
      </c>
    </row>
    <row r="670">
      <c r="A670" s="1" t="s">
        <v>2409</v>
      </c>
      <c r="B670" s="1" t="s">
        <v>2108</v>
      </c>
      <c r="C670" s="1" t="s">
        <v>2115</v>
      </c>
      <c r="D670" s="1">
        <v>215.0</v>
      </c>
      <c r="E670" s="1">
        <v>75.0</v>
      </c>
      <c r="F670" s="1">
        <v>75.0</v>
      </c>
      <c r="G670" s="1">
        <v>87.0</v>
      </c>
      <c r="H670" s="1">
        <v>72.0</v>
      </c>
      <c r="I670" s="1">
        <v>79.0</v>
      </c>
      <c r="J670" s="1">
        <v>80.0</v>
      </c>
      <c r="K670" s="1">
        <v>89.0</v>
      </c>
      <c r="L670" s="1">
        <v>78.0</v>
      </c>
      <c r="M670" s="1">
        <v>71.0</v>
      </c>
      <c r="N670" s="1">
        <v>71.0</v>
      </c>
      <c r="O670" s="1">
        <v>65.0</v>
      </c>
      <c r="P670" s="1">
        <v>77.0</v>
      </c>
      <c r="Q670" s="1">
        <v>72.0</v>
      </c>
      <c r="R670" s="1">
        <v>67.0</v>
      </c>
      <c r="S670" s="1">
        <v>93.0</v>
      </c>
      <c r="T670" s="1">
        <v>80.0</v>
      </c>
      <c r="U670" s="1">
        <v>80.0</v>
      </c>
      <c r="V670" s="1">
        <v>75.0</v>
      </c>
      <c r="W670" s="1">
        <v>70.0</v>
      </c>
      <c r="X670" s="1">
        <v>82.0</v>
      </c>
      <c r="Y670" s="1">
        <v>80.0</v>
      </c>
      <c r="Z670" s="1">
        <v>1.0</v>
      </c>
    </row>
    <row r="671">
      <c r="A671" s="1" t="s">
        <v>2410</v>
      </c>
      <c r="B671" s="1" t="s">
        <v>2108</v>
      </c>
      <c r="C671" s="1" t="s">
        <v>2327</v>
      </c>
      <c r="D671" s="1">
        <v>235.0</v>
      </c>
      <c r="E671" s="1">
        <v>85.0</v>
      </c>
      <c r="F671" s="1">
        <v>65.0</v>
      </c>
      <c r="G671" s="1">
        <v>63.0</v>
      </c>
      <c r="H671" s="1">
        <v>90.0</v>
      </c>
      <c r="I671" s="1">
        <v>90.0</v>
      </c>
      <c r="J671" s="1">
        <v>75.0</v>
      </c>
      <c r="K671" s="1">
        <v>82.0</v>
      </c>
      <c r="L671" s="1">
        <v>69.0</v>
      </c>
      <c r="M671" s="1">
        <v>85.0</v>
      </c>
      <c r="N671" s="1">
        <v>56.0</v>
      </c>
      <c r="O671" s="1">
        <v>61.0</v>
      </c>
      <c r="P671" s="1">
        <v>90.0</v>
      </c>
      <c r="Q671" s="1">
        <v>42.0</v>
      </c>
      <c r="R671" s="1">
        <v>45.0</v>
      </c>
      <c r="S671" s="1">
        <v>85.0</v>
      </c>
      <c r="T671" s="1">
        <v>90.0</v>
      </c>
      <c r="U671" s="1">
        <v>90.0</v>
      </c>
      <c r="V671" s="1">
        <v>72.0</v>
      </c>
      <c r="W671" s="1">
        <v>61.0</v>
      </c>
      <c r="X671" s="1">
        <v>87.0</v>
      </c>
      <c r="Y671" s="1">
        <v>57.0</v>
      </c>
      <c r="Z671" s="1">
        <v>1.0</v>
      </c>
    </row>
    <row r="672">
      <c r="A672" s="1" t="s">
        <v>2411</v>
      </c>
      <c r="B672" s="1" t="s">
        <v>2108</v>
      </c>
      <c r="C672" s="1" t="s">
        <v>192</v>
      </c>
      <c r="D672" s="1">
        <v>270.0</v>
      </c>
      <c r="E672" s="1">
        <v>74.0</v>
      </c>
      <c r="F672" s="1">
        <v>71.0</v>
      </c>
      <c r="G672" s="1">
        <v>74.0</v>
      </c>
      <c r="H672" s="1">
        <v>84.0</v>
      </c>
      <c r="I672" s="1">
        <v>77.0</v>
      </c>
      <c r="J672" s="1">
        <v>89.0</v>
      </c>
      <c r="K672" s="1">
        <v>80.0</v>
      </c>
      <c r="L672" s="1">
        <v>65.0</v>
      </c>
      <c r="M672" s="1">
        <v>71.0</v>
      </c>
      <c r="N672" s="1">
        <v>86.0</v>
      </c>
      <c r="O672" s="1">
        <v>75.0</v>
      </c>
      <c r="P672" s="1">
        <v>82.0</v>
      </c>
      <c r="Q672" s="1">
        <v>80.0</v>
      </c>
      <c r="R672" s="1">
        <v>79.0</v>
      </c>
      <c r="S672" s="1">
        <v>84.0</v>
      </c>
      <c r="T672" s="1">
        <v>75.0</v>
      </c>
      <c r="U672" s="1">
        <v>85.0</v>
      </c>
      <c r="V672" s="1">
        <v>79.0</v>
      </c>
      <c r="W672" s="1">
        <v>71.0</v>
      </c>
      <c r="X672" s="1">
        <v>84.0</v>
      </c>
      <c r="Y672" s="1">
        <v>74.0</v>
      </c>
      <c r="Z672" s="1">
        <v>1.0</v>
      </c>
    </row>
    <row r="673">
      <c r="A673" s="1" t="s">
        <v>169</v>
      </c>
      <c r="B673" s="1" t="s">
        <v>2108</v>
      </c>
      <c r="C673" s="1" t="s">
        <v>886</v>
      </c>
      <c r="D673" s="1" t="s">
        <v>2412</v>
      </c>
      <c r="E673" s="1" t="s">
        <v>190</v>
      </c>
      <c r="F673" s="1">
        <v>90.0</v>
      </c>
      <c r="G673" s="1" t="s">
        <v>1346</v>
      </c>
      <c r="H673" s="1" t="s">
        <v>1256</v>
      </c>
      <c r="I673" s="1" t="s">
        <v>1365</v>
      </c>
      <c r="J673" s="1" t="s">
        <v>183</v>
      </c>
      <c r="K673" s="1" t="s">
        <v>2413</v>
      </c>
      <c r="L673" s="1" t="s">
        <v>1887</v>
      </c>
      <c r="M673" s="1" t="s">
        <v>685</v>
      </c>
      <c r="N673" s="1" t="s">
        <v>207</v>
      </c>
      <c r="O673" s="1">
        <v>75.0</v>
      </c>
      <c r="P673" s="1" t="s">
        <v>253</v>
      </c>
      <c r="Q673" s="1">
        <v>85.0</v>
      </c>
      <c r="R673" s="1" t="s">
        <v>1766</v>
      </c>
      <c r="S673" s="1" t="s">
        <v>134</v>
      </c>
      <c r="T673" s="1" t="s">
        <v>40</v>
      </c>
      <c r="U673" s="1" t="s">
        <v>437</v>
      </c>
      <c r="V673" s="1" t="s">
        <v>390</v>
      </c>
      <c r="W673" s="1" t="s">
        <v>271</v>
      </c>
      <c r="X673" s="1" t="s">
        <v>82</v>
      </c>
      <c r="Y673" s="1" t="s">
        <v>39</v>
      </c>
      <c r="Z673" s="1">
        <v>1.0</v>
      </c>
    </row>
    <row r="674">
      <c r="A674" s="1" t="s">
        <v>2414</v>
      </c>
      <c r="B674" s="1" t="s">
        <v>2108</v>
      </c>
      <c r="C674" s="1" t="s">
        <v>2115</v>
      </c>
      <c r="D674" s="1" t="s">
        <v>2122</v>
      </c>
      <c r="E674" s="1" t="s">
        <v>659</v>
      </c>
      <c r="F674" s="1" t="s">
        <v>571</v>
      </c>
      <c r="G674" s="1" t="s">
        <v>135</v>
      </c>
      <c r="H674" s="1" t="s">
        <v>453</v>
      </c>
      <c r="I674" s="1" t="s">
        <v>633</v>
      </c>
      <c r="J674" s="1" t="s">
        <v>45</v>
      </c>
      <c r="K674" s="1" t="s">
        <v>553</v>
      </c>
      <c r="L674" s="1" t="s">
        <v>311</v>
      </c>
      <c r="M674" s="1">
        <v>85.0</v>
      </c>
      <c r="N674" s="1">
        <v>73.0</v>
      </c>
      <c r="O674" s="1" t="s">
        <v>2415</v>
      </c>
      <c r="P674" s="1" t="s">
        <v>242</v>
      </c>
      <c r="Q674" s="1" t="s">
        <v>1751</v>
      </c>
      <c r="R674" s="1" t="s">
        <v>1445</v>
      </c>
      <c r="S674" s="1" t="s">
        <v>188</v>
      </c>
      <c r="T674" s="1" t="s">
        <v>431</v>
      </c>
      <c r="U674" s="1" t="s">
        <v>1326</v>
      </c>
      <c r="V674" s="1" t="s">
        <v>1145</v>
      </c>
      <c r="W674" s="1" t="s">
        <v>2416</v>
      </c>
      <c r="X674" s="1" t="s">
        <v>190</v>
      </c>
      <c r="Y674" s="1" t="s">
        <v>48</v>
      </c>
      <c r="Z674" s="1">
        <v>1.0</v>
      </c>
    </row>
    <row r="675">
      <c r="A675" s="1" t="s">
        <v>1484</v>
      </c>
      <c r="B675" s="1" t="s">
        <v>2108</v>
      </c>
      <c r="C675" s="1" t="s">
        <v>2327</v>
      </c>
      <c r="D675" s="1" t="s">
        <v>2417</v>
      </c>
      <c r="E675" s="1" t="s">
        <v>133</v>
      </c>
      <c r="F675" s="1" t="s">
        <v>571</v>
      </c>
      <c r="G675" s="1" t="s">
        <v>300</v>
      </c>
      <c r="H675" s="1">
        <v>90.0</v>
      </c>
      <c r="I675" s="1" t="s">
        <v>243</v>
      </c>
      <c r="J675" s="1" t="s">
        <v>909</v>
      </c>
      <c r="K675" s="1" t="s">
        <v>179</v>
      </c>
      <c r="L675" s="1" t="s">
        <v>1136</v>
      </c>
      <c r="M675" s="1" t="s">
        <v>1402</v>
      </c>
      <c r="N675" s="1" t="s">
        <v>881</v>
      </c>
      <c r="O675" s="1" t="s">
        <v>2418</v>
      </c>
      <c r="P675" s="1">
        <v>74.0</v>
      </c>
      <c r="Q675" s="1" t="s">
        <v>2119</v>
      </c>
      <c r="R675" s="1" t="s">
        <v>2419</v>
      </c>
      <c r="S675" s="1" t="s">
        <v>730</v>
      </c>
      <c r="T675" s="1" t="s">
        <v>1358</v>
      </c>
      <c r="U675" s="1" t="s">
        <v>300</v>
      </c>
      <c r="V675" s="1" t="s">
        <v>576</v>
      </c>
      <c r="W675" s="1" t="s">
        <v>1404</v>
      </c>
      <c r="X675" s="1" t="s">
        <v>154</v>
      </c>
      <c r="Y675" s="1">
        <v>83.0</v>
      </c>
      <c r="Z675" s="1">
        <v>1.0</v>
      </c>
    </row>
    <row r="676">
      <c r="A676" s="1" t="s">
        <v>2420</v>
      </c>
      <c r="B676" s="1" t="s">
        <v>2108</v>
      </c>
      <c r="C676" s="1" t="s">
        <v>1534</v>
      </c>
      <c r="D676" s="1">
        <v>255.0</v>
      </c>
      <c r="E676" s="1">
        <v>73.0</v>
      </c>
      <c r="F676" s="1">
        <v>50.0</v>
      </c>
      <c r="G676" s="1">
        <v>70.0</v>
      </c>
      <c r="H676" s="1">
        <v>72.0</v>
      </c>
      <c r="I676" s="1">
        <v>56.0</v>
      </c>
      <c r="J676" s="1">
        <v>73.0</v>
      </c>
      <c r="K676" s="1">
        <v>83.0</v>
      </c>
      <c r="L676" s="1">
        <v>58.0</v>
      </c>
      <c r="M676" s="1">
        <v>45.0</v>
      </c>
      <c r="N676" s="1">
        <v>43.0</v>
      </c>
      <c r="O676" s="1">
        <v>47.0</v>
      </c>
      <c r="P676" s="1">
        <v>75.0</v>
      </c>
      <c r="Q676" s="1">
        <v>70.0</v>
      </c>
      <c r="R676" s="1">
        <v>79.0</v>
      </c>
      <c r="S676" s="1">
        <v>74.0</v>
      </c>
      <c r="T676" s="1">
        <v>80.0</v>
      </c>
      <c r="U676" s="1">
        <v>96.0</v>
      </c>
      <c r="V676" s="1">
        <v>77.0</v>
      </c>
      <c r="W676" s="1">
        <v>74.0</v>
      </c>
      <c r="X676" s="1">
        <v>91.0</v>
      </c>
      <c r="Y676" s="1">
        <v>90.0</v>
      </c>
      <c r="Z676" s="1">
        <v>1.0</v>
      </c>
    </row>
    <row r="677">
      <c r="A677" s="1" t="s">
        <v>2104</v>
      </c>
      <c r="B677" s="1" t="s">
        <v>2108</v>
      </c>
      <c r="C677" s="1" t="s">
        <v>1534</v>
      </c>
      <c r="D677" s="1" t="s">
        <v>2421</v>
      </c>
      <c r="E677" s="1" t="s">
        <v>200</v>
      </c>
      <c r="F677" s="1" t="s">
        <v>1083</v>
      </c>
      <c r="G677" s="1" t="s">
        <v>1219</v>
      </c>
      <c r="H677" s="1" t="s">
        <v>1779</v>
      </c>
      <c r="I677" s="1" t="s">
        <v>1083</v>
      </c>
      <c r="J677" s="1" t="s">
        <v>204</v>
      </c>
      <c r="K677" s="1" t="s">
        <v>242</v>
      </c>
      <c r="L677" s="1" t="s">
        <v>2422</v>
      </c>
      <c r="M677" s="1" t="s">
        <v>120</v>
      </c>
      <c r="N677" s="1" t="s">
        <v>712</v>
      </c>
      <c r="O677" s="1" t="s">
        <v>550</v>
      </c>
      <c r="P677" s="1" t="s">
        <v>657</v>
      </c>
      <c r="Q677" s="1" t="s">
        <v>42</v>
      </c>
      <c r="R677" s="1" t="s">
        <v>62</v>
      </c>
      <c r="S677" s="1" t="s">
        <v>1477</v>
      </c>
      <c r="T677" s="1" t="s">
        <v>36</v>
      </c>
      <c r="U677" s="1" t="s">
        <v>2423</v>
      </c>
      <c r="V677" s="1" t="s">
        <v>731</v>
      </c>
      <c r="W677" s="1" t="s">
        <v>572</v>
      </c>
      <c r="X677" s="1" t="s">
        <v>485</v>
      </c>
      <c r="Y677" s="1" t="s">
        <v>1046</v>
      </c>
      <c r="Z677" s="1">
        <v>1.0</v>
      </c>
    </row>
    <row r="678">
      <c r="A678" s="1" t="s">
        <v>2424</v>
      </c>
      <c r="B678" s="1" t="s">
        <v>2108</v>
      </c>
      <c r="C678" s="1" t="s">
        <v>2287</v>
      </c>
      <c r="D678" s="1" t="s">
        <v>2273</v>
      </c>
      <c r="E678" s="1" t="s">
        <v>52</v>
      </c>
      <c r="F678" s="1" t="s">
        <v>2425</v>
      </c>
      <c r="G678" s="1" t="s">
        <v>31</v>
      </c>
      <c r="H678" s="1" t="s">
        <v>1587</v>
      </c>
      <c r="I678" s="1" t="s">
        <v>2396</v>
      </c>
      <c r="J678" s="1" t="s">
        <v>922</v>
      </c>
      <c r="K678" s="1" t="s">
        <v>1550</v>
      </c>
      <c r="L678" s="1" t="s">
        <v>855</v>
      </c>
      <c r="M678" s="1" t="s">
        <v>1252</v>
      </c>
      <c r="N678" s="1" t="s">
        <v>1227</v>
      </c>
      <c r="O678" s="1" t="s">
        <v>2196</v>
      </c>
      <c r="P678" s="1" t="s">
        <v>243</v>
      </c>
      <c r="Q678" s="1" t="s">
        <v>2426</v>
      </c>
      <c r="R678" s="1" t="s">
        <v>2288</v>
      </c>
      <c r="S678" s="1" t="s">
        <v>538</v>
      </c>
      <c r="T678" s="1" t="s">
        <v>577</v>
      </c>
      <c r="U678" s="1" t="s">
        <v>225</v>
      </c>
      <c r="V678" s="1" t="s">
        <v>493</v>
      </c>
      <c r="W678" s="1" t="s">
        <v>1054</v>
      </c>
      <c r="X678" s="1" t="s">
        <v>1634</v>
      </c>
      <c r="Y678" s="1" t="s">
        <v>1046</v>
      </c>
      <c r="Z678" s="1">
        <v>1.0</v>
      </c>
    </row>
    <row r="679">
      <c r="A679" s="1" t="s">
        <v>2427</v>
      </c>
      <c r="B679" s="1" t="s">
        <v>2108</v>
      </c>
      <c r="C679" s="1" t="s">
        <v>2110</v>
      </c>
      <c r="D679" s="1" t="s">
        <v>2417</v>
      </c>
      <c r="E679" s="1" t="s">
        <v>1616</v>
      </c>
      <c r="F679" s="1" t="s">
        <v>91</v>
      </c>
      <c r="G679" s="1" t="s">
        <v>1403</v>
      </c>
      <c r="H679" s="1" t="s">
        <v>432</v>
      </c>
      <c r="I679" s="1" t="s">
        <v>354</v>
      </c>
      <c r="J679" s="1" t="s">
        <v>763</v>
      </c>
      <c r="K679" s="1" t="s">
        <v>802</v>
      </c>
      <c r="L679" s="1" t="s">
        <v>1731</v>
      </c>
      <c r="M679" s="1" t="s">
        <v>2191</v>
      </c>
      <c r="N679" s="1" t="s">
        <v>2071</v>
      </c>
      <c r="O679" s="1" t="s">
        <v>1646</v>
      </c>
      <c r="P679" s="1" t="s">
        <v>427</v>
      </c>
      <c r="Q679" s="1" t="s">
        <v>2428</v>
      </c>
      <c r="R679" s="1" t="s">
        <v>1944</v>
      </c>
      <c r="S679" s="1" t="s">
        <v>61</v>
      </c>
      <c r="T679" s="1" t="s">
        <v>122</v>
      </c>
      <c r="U679" s="1" t="s">
        <v>597</v>
      </c>
      <c r="V679" s="1" t="s">
        <v>742</v>
      </c>
      <c r="W679" s="1" t="s">
        <v>1318</v>
      </c>
      <c r="X679" s="1" t="s">
        <v>694</v>
      </c>
      <c r="Y679" s="1" t="s">
        <v>181</v>
      </c>
      <c r="Z679" s="1">
        <v>1.0</v>
      </c>
    </row>
    <row r="680">
      <c r="A680" s="1" t="s">
        <v>2429</v>
      </c>
      <c r="B680" s="1" t="s">
        <v>2108</v>
      </c>
      <c r="C680" s="1" t="s">
        <v>2327</v>
      </c>
      <c r="D680" s="1">
        <v>258.0</v>
      </c>
      <c r="E680" s="1">
        <v>77.0</v>
      </c>
      <c r="F680" s="1">
        <v>77.0</v>
      </c>
      <c r="G680" s="1">
        <v>86.0</v>
      </c>
      <c r="H680" s="1">
        <v>92.0</v>
      </c>
      <c r="I680" s="1">
        <v>75.0</v>
      </c>
      <c r="J680" s="1">
        <v>39.0</v>
      </c>
      <c r="K680" s="1">
        <v>26.0</v>
      </c>
      <c r="L680" s="1">
        <v>37.0</v>
      </c>
      <c r="M680" s="1">
        <v>90.0</v>
      </c>
      <c r="N680" s="1">
        <v>55.0</v>
      </c>
      <c r="O680" s="1">
        <v>30.0</v>
      </c>
      <c r="P680" s="1">
        <v>90.0</v>
      </c>
      <c r="Q680" s="1">
        <v>40.0</v>
      </c>
      <c r="R680" s="1">
        <v>45.0</v>
      </c>
      <c r="S680" s="1">
        <v>90.0</v>
      </c>
      <c r="T680" s="1">
        <v>94.0</v>
      </c>
      <c r="U680" s="1">
        <v>90.0</v>
      </c>
      <c r="V680" s="1">
        <v>67.0</v>
      </c>
      <c r="W680" s="1">
        <v>54.0</v>
      </c>
      <c r="X680" s="1">
        <v>88.0</v>
      </c>
      <c r="Y680" s="1">
        <v>75.0</v>
      </c>
      <c r="Z680" s="1">
        <v>1.0</v>
      </c>
    </row>
    <row r="681">
      <c r="A681" s="1" t="s">
        <v>2430</v>
      </c>
      <c r="B681" s="1" t="s">
        <v>2108</v>
      </c>
      <c r="C681" s="1" t="s">
        <v>1579</v>
      </c>
      <c r="D681" s="1">
        <v>218.0</v>
      </c>
      <c r="E681" s="1">
        <v>75.0</v>
      </c>
      <c r="F681" s="1">
        <v>64.0</v>
      </c>
      <c r="G681" s="1">
        <v>84.0</v>
      </c>
      <c r="H681" s="1">
        <v>65.0</v>
      </c>
      <c r="I681" s="1">
        <v>50.0</v>
      </c>
      <c r="J681" s="1">
        <v>85.0</v>
      </c>
      <c r="K681" s="1">
        <v>77.0</v>
      </c>
      <c r="L681" s="1">
        <v>80.0</v>
      </c>
      <c r="M681" s="1">
        <v>75.0</v>
      </c>
      <c r="N681" s="1">
        <v>45.0</v>
      </c>
      <c r="O681" s="1">
        <v>49.0</v>
      </c>
      <c r="P681" s="1">
        <v>82.0</v>
      </c>
      <c r="Q681" s="1">
        <v>82.0</v>
      </c>
      <c r="R681" s="1">
        <v>79.0</v>
      </c>
      <c r="S681" s="1">
        <v>94.0</v>
      </c>
      <c r="T681" s="1">
        <v>70.0</v>
      </c>
      <c r="U681" s="1">
        <v>87.0</v>
      </c>
      <c r="V681" s="1">
        <v>79.0</v>
      </c>
      <c r="W681" s="1">
        <v>74.0</v>
      </c>
      <c r="X681" s="1">
        <v>78.0</v>
      </c>
      <c r="Y681" s="1">
        <v>85.0</v>
      </c>
      <c r="Z681" s="1">
        <v>1.0</v>
      </c>
    </row>
    <row r="682">
      <c r="A682" s="1" t="s">
        <v>1453</v>
      </c>
      <c r="B682" s="1" t="s">
        <v>2108</v>
      </c>
      <c r="C682" s="1" t="s">
        <v>2110</v>
      </c>
      <c r="D682" s="1" t="s">
        <v>1238</v>
      </c>
      <c r="E682" s="1" t="s">
        <v>1346</v>
      </c>
      <c r="F682" s="1" t="s">
        <v>495</v>
      </c>
      <c r="G682" s="1" t="s">
        <v>128</v>
      </c>
      <c r="H682" s="1" t="s">
        <v>1549</v>
      </c>
      <c r="I682" s="1" t="s">
        <v>2431</v>
      </c>
      <c r="J682" s="1" t="s">
        <v>96</v>
      </c>
      <c r="K682" s="1" t="s">
        <v>227</v>
      </c>
      <c r="L682" s="1" t="s">
        <v>2168</v>
      </c>
      <c r="M682" s="1" t="s">
        <v>1353</v>
      </c>
      <c r="N682" s="1" t="s">
        <v>590</v>
      </c>
      <c r="O682" s="1" t="s">
        <v>1916</v>
      </c>
      <c r="P682" s="1" t="s">
        <v>807</v>
      </c>
      <c r="Q682" s="1" t="s">
        <v>1216</v>
      </c>
      <c r="R682" s="1" t="s">
        <v>102</v>
      </c>
      <c r="S682" s="1" t="s">
        <v>2432</v>
      </c>
      <c r="T682" s="1" t="s">
        <v>1410</v>
      </c>
      <c r="U682" s="1" t="s">
        <v>150</v>
      </c>
      <c r="V682" s="1" t="s">
        <v>1054</v>
      </c>
      <c r="W682" s="1" t="s">
        <v>1879</v>
      </c>
      <c r="X682" s="1" t="s">
        <v>1488</v>
      </c>
      <c r="Y682" s="1" t="s">
        <v>31</v>
      </c>
      <c r="Z682" s="1">
        <v>1.0</v>
      </c>
    </row>
    <row r="683">
      <c r="A683" s="1" t="s">
        <v>2433</v>
      </c>
      <c r="B683" s="1" t="s">
        <v>2108</v>
      </c>
      <c r="C683" s="1" t="s">
        <v>970</v>
      </c>
      <c r="D683" s="1" t="s">
        <v>2434</v>
      </c>
      <c r="E683" s="1" t="s">
        <v>242</v>
      </c>
      <c r="F683" s="1" t="s">
        <v>1227</v>
      </c>
      <c r="G683" s="1" t="s">
        <v>424</v>
      </c>
      <c r="H683" s="1" t="s">
        <v>2435</v>
      </c>
      <c r="I683" s="1">
        <v>56.0</v>
      </c>
      <c r="J683" s="1" t="s">
        <v>31</v>
      </c>
      <c r="K683" s="1" t="s">
        <v>548</v>
      </c>
      <c r="L683" s="1" t="s">
        <v>1709</v>
      </c>
      <c r="M683" s="1" t="s">
        <v>410</v>
      </c>
      <c r="N683" s="1" t="s">
        <v>235</v>
      </c>
      <c r="O683" s="1" t="s">
        <v>1136</v>
      </c>
      <c r="P683" s="1" t="s">
        <v>620</v>
      </c>
      <c r="Q683" s="1" t="s">
        <v>300</v>
      </c>
      <c r="R683" s="1" t="s">
        <v>685</v>
      </c>
      <c r="S683" s="1" t="s">
        <v>620</v>
      </c>
      <c r="T683" s="1" t="s">
        <v>1258</v>
      </c>
      <c r="U683" s="1" t="s">
        <v>266</v>
      </c>
      <c r="V683" s="1" t="s">
        <v>476</v>
      </c>
      <c r="W683" s="1" t="s">
        <v>410</v>
      </c>
      <c r="X683" s="1" t="s">
        <v>595</v>
      </c>
      <c r="Y683" s="1" t="s">
        <v>530</v>
      </c>
      <c r="Z683" s="1">
        <v>1.0</v>
      </c>
    </row>
    <row r="684">
      <c r="A684" s="1" t="s">
        <v>2436</v>
      </c>
      <c r="B684" s="1" t="s">
        <v>2108</v>
      </c>
      <c r="C684" s="1" t="s">
        <v>2115</v>
      </c>
      <c r="D684" s="1">
        <v>210.0</v>
      </c>
      <c r="E684" s="1">
        <v>75.0</v>
      </c>
      <c r="F684" s="1">
        <v>70.0</v>
      </c>
      <c r="G684" s="1">
        <v>87.0</v>
      </c>
      <c r="H684" s="1">
        <v>81.0</v>
      </c>
      <c r="I684" s="1">
        <v>60.0</v>
      </c>
      <c r="J684" s="1">
        <v>80.0</v>
      </c>
      <c r="K684" s="1">
        <v>86.0</v>
      </c>
      <c r="L684" s="1">
        <v>83.0</v>
      </c>
      <c r="M684" s="1">
        <v>85.0</v>
      </c>
      <c r="N684" s="1">
        <v>75.0</v>
      </c>
      <c r="O684" s="1">
        <v>68.0</v>
      </c>
      <c r="P684" s="1">
        <v>82.0</v>
      </c>
      <c r="Q684" s="1">
        <v>71.0</v>
      </c>
      <c r="R684" s="1">
        <v>67.0</v>
      </c>
      <c r="S684" s="1">
        <v>84.0</v>
      </c>
      <c r="T684" s="1">
        <v>77.0</v>
      </c>
      <c r="U684" s="1">
        <v>80.0</v>
      </c>
      <c r="V684" s="1">
        <v>79.0</v>
      </c>
      <c r="W684" s="1">
        <v>73.0</v>
      </c>
      <c r="X684" s="1">
        <v>78.0</v>
      </c>
      <c r="Y684" s="1">
        <v>88.0</v>
      </c>
      <c r="Z684" s="1">
        <v>1.0</v>
      </c>
    </row>
    <row r="685">
      <c r="A685" s="1" t="s">
        <v>2437</v>
      </c>
      <c r="B685" s="1" t="s">
        <v>2108</v>
      </c>
      <c r="C685" s="1" t="s">
        <v>1534</v>
      </c>
      <c r="D685" s="1">
        <v>248.0</v>
      </c>
      <c r="E685" s="1">
        <v>80.0</v>
      </c>
      <c r="F685" s="1">
        <v>75.0</v>
      </c>
      <c r="G685" s="1">
        <v>80.0</v>
      </c>
      <c r="H685" s="1">
        <v>81.0</v>
      </c>
      <c r="I685" s="1">
        <v>79.0</v>
      </c>
      <c r="J685" s="1">
        <v>82.0</v>
      </c>
      <c r="K685" s="1">
        <v>86.0</v>
      </c>
      <c r="L685" s="1">
        <v>82.0</v>
      </c>
      <c r="M685" s="1">
        <v>87.0</v>
      </c>
      <c r="N685" s="1">
        <v>77.0</v>
      </c>
      <c r="O685" s="1">
        <v>68.0</v>
      </c>
      <c r="P685" s="1">
        <v>75.0</v>
      </c>
      <c r="Q685" s="1">
        <v>74.0</v>
      </c>
      <c r="R685" s="1">
        <v>73.0</v>
      </c>
      <c r="S685" s="1">
        <v>81.0</v>
      </c>
      <c r="T685" s="1">
        <v>62.0</v>
      </c>
      <c r="U685" s="1">
        <v>80.0</v>
      </c>
      <c r="V685" s="1">
        <v>74.0</v>
      </c>
      <c r="W685" s="1">
        <v>70.0</v>
      </c>
      <c r="X685" s="1">
        <v>84.0</v>
      </c>
      <c r="Y685" s="1">
        <v>79.0</v>
      </c>
      <c r="Z685" s="1">
        <v>1.0</v>
      </c>
    </row>
    <row r="686">
      <c r="A686" s="1" t="s">
        <v>2438</v>
      </c>
      <c r="B686" s="1" t="s">
        <v>2108</v>
      </c>
      <c r="C686" s="1" t="s">
        <v>2115</v>
      </c>
      <c r="D686" s="1">
        <v>240.0</v>
      </c>
      <c r="E686" s="1">
        <v>80.0</v>
      </c>
      <c r="F686" s="1">
        <v>76.0</v>
      </c>
      <c r="G686" s="1">
        <v>81.0</v>
      </c>
      <c r="H686" s="1">
        <v>90.0</v>
      </c>
      <c r="I686" s="1">
        <v>72.0</v>
      </c>
      <c r="J686" s="1">
        <v>83.0</v>
      </c>
      <c r="K686" s="1">
        <v>83.0</v>
      </c>
      <c r="L686" s="1">
        <v>93.0</v>
      </c>
      <c r="M686" s="1">
        <v>76.0</v>
      </c>
      <c r="N686" s="1">
        <v>74.0</v>
      </c>
      <c r="O686" s="1">
        <v>63.0</v>
      </c>
      <c r="P686" s="1">
        <v>89.0</v>
      </c>
      <c r="Q686" s="1">
        <v>42.0</v>
      </c>
      <c r="R686" s="1">
        <v>70.0</v>
      </c>
      <c r="S686" s="1">
        <v>84.0</v>
      </c>
      <c r="T686" s="1">
        <v>70.0</v>
      </c>
      <c r="U686" s="1">
        <v>80.0</v>
      </c>
      <c r="V686" s="1">
        <v>71.0</v>
      </c>
      <c r="W686" s="1">
        <v>65.0</v>
      </c>
      <c r="X686" s="1">
        <v>91.0</v>
      </c>
      <c r="Y686" s="1">
        <v>75.0</v>
      </c>
      <c r="Z686" s="1">
        <v>1.0</v>
      </c>
    </row>
    <row r="687">
      <c r="A687" s="1" t="s">
        <v>2439</v>
      </c>
      <c r="B687" s="1" t="s">
        <v>2108</v>
      </c>
      <c r="C687" s="1" t="s">
        <v>2110</v>
      </c>
      <c r="D687" s="1" t="s">
        <v>2440</v>
      </c>
      <c r="E687" s="1" t="s">
        <v>190</v>
      </c>
      <c r="F687" s="1" t="s">
        <v>882</v>
      </c>
      <c r="G687" s="1" t="s">
        <v>318</v>
      </c>
      <c r="H687" s="1" t="s">
        <v>253</v>
      </c>
      <c r="I687" s="1" t="s">
        <v>2441</v>
      </c>
      <c r="J687" s="1" t="s">
        <v>190</v>
      </c>
      <c r="K687" s="1" t="s">
        <v>780</v>
      </c>
      <c r="L687" s="1" t="s">
        <v>149</v>
      </c>
      <c r="M687" s="1" t="s">
        <v>657</v>
      </c>
      <c r="N687" s="1" t="s">
        <v>2442</v>
      </c>
      <c r="O687" s="1" t="s">
        <v>1377</v>
      </c>
      <c r="P687" s="1" t="s">
        <v>1121</v>
      </c>
      <c r="Q687" s="1" t="s">
        <v>2443</v>
      </c>
      <c r="R687" s="1" t="s">
        <v>1083</v>
      </c>
      <c r="S687" s="1" t="s">
        <v>716</v>
      </c>
      <c r="T687" s="1" t="s">
        <v>909</v>
      </c>
      <c r="U687" s="1" t="s">
        <v>462</v>
      </c>
      <c r="V687" s="1" t="s">
        <v>838</v>
      </c>
      <c r="W687" s="1" t="s">
        <v>1649</v>
      </c>
      <c r="X687" s="1" t="s">
        <v>137</v>
      </c>
      <c r="Y687" s="1" t="s">
        <v>205</v>
      </c>
      <c r="Z687" s="1">
        <v>1.0</v>
      </c>
    </row>
    <row r="688">
      <c r="A688" s="1" t="s">
        <v>2444</v>
      </c>
      <c r="B688" s="1" t="s">
        <v>2108</v>
      </c>
      <c r="C688" s="1" t="s">
        <v>1541</v>
      </c>
      <c r="D688" s="1" t="s">
        <v>2445</v>
      </c>
      <c r="E688" s="1" t="s">
        <v>745</v>
      </c>
      <c r="F688" s="1" t="s">
        <v>1133</v>
      </c>
      <c r="G688" s="1" t="s">
        <v>1783</v>
      </c>
      <c r="H688" s="1" t="s">
        <v>2446</v>
      </c>
      <c r="I688" s="1" t="s">
        <v>2252</v>
      </c>
      <c r="J688" s="1" t="s">
        <v>242</v>
      </c>
      <c r="K688" s="1" t="s">
        <v>1779</v>
      </c>
      <c r="L688" s="1" t="s">
        <v>101</v>
      </c>
      <c r="M688" s="1" t="s">
        <v>446</v>
      </c>
      <c r="N688" s="1" t="s">
        <v>2173</v>
      </c>
      <c r="O688" s="1" t="s">
        <v>1800</v>
      </c>
      <c r="P688" s="1" t="s">
        <v>657</v>
      </c>
      <c r="Q688" s="1" t="s">
        <v>600</v>
      </c>
      <c r="R688" s="1" t="s">
        <v>2447</v>
      </c>
      <c r="S688" s="1" t="s">
        <v>671</v>
      </c>
      <c r="T688" s="1" t="s">
        <v>351</v>
      </c>
      <c r="U688" s="1" t="s">
        <v>477</v>
      </c>
      <c r="V688" s="1" t="s">
        <v>1267</v>
      </c>
      <c r="W688" s="1" t="s">
        <v>530</v>
      </c>
      <c r="X688" s="1" t="s">
        <v>110</v>
      </c>
      <c r="Y688" s="1" t="s">
        <v>265</v>
      </c>
      <c r="Z688" s="1">
        <v>1.0</v>
      </c>
    </row>
    <row r="689">
      <c r="A689" s="1" t="s">
        <v>2448</v>
      </c>
      <c r="B689" s="1" t="s">
        <v>2108</v>
      </c>
      <c r="C689" s="1" t="s">
        <v>2212</v>
      </c>
      <c r="D689" s="1" t="s">
        <v>2449</v>
      </c>
      <c r="E689" s="1" t="s">
        <v>507</v>
      </c>
      <c r="F689" s="1" t="s">
        <v>431</v>
      </c>
      <c r="G689" s="1" t="s">
        <v>780</v>
      </c>
      <c r="H689" s="1" t="s">
        <v>1099</v>
      </c>
      <c r="I689" s="1" t="s">
        <v>1737</v>
      </c>
      <c r="J689" s="1" t="s">
        <v>495</v>
      </c>
      <c r="K689" s="1" t="s">
        <v>137</v>
      </c>
      <c r="L689" s="1" t="s">
        <v>1182</v>
      </c>
      <c r="M689" s="1" t="s">
        <v>1523</v>
      </c>
      <c r="N689" s="1" t="s">
        <v>242</v>
      </c>
      <c r="O689" s="1" t="s">
        <v>2035</v>
      </c>
      <c r="P689" s="1" t="s">
        <v>857</v>
      </c>
      <c r="Q689" s="1" t="s">
        <v>68</v>
      </c>
      <c r="R689" s="1" t="s">
        <v>2450</v>
      </c>
      <c r="S689" s="1" t="s">
        <v>671</v>
      </c>
      <c r="T689" s="1" t="s">
        <v>48</v>
      </c>
      <c r="U689" s="1" t="s">
        <v>35</v>
      </c>
      <c r="V689" s="1" t="s">
        <v>1892</v>
      </c>
      <c r="W689" s="1" t="s">
        <v>1192</v>
      </c>
      <c r="X689" s="1" t="s">
        <v>318</v>
      </c>
      <c r="Y689" s="1" t="s">
        <v>1247</v>
      </c>
      <c r="Z689" s="1">
        <v>1.0</v>
      </c>
    </row>
    <row r="690">
      <c r="A690" s="1" t="s">
        <v>2451</v>
      </c>
      <c r="B690" s="1" t="s">
        <v>2108</v>
      </c>
      <c r="C690" s="1" t="s">
        <v>886</v>
      </c>
      <c r="D690" s="1" t="s">
        <v>2452</v>
      </c>
      <c r="E690" s="1" t="s">
        <v>878</v>
      </c>
      <c r="F690" s="1" t="s">
        <v>1154</v>
      </c>
      <c r="G690" s="1" t="s">
        <v>1247</v>
      </c>
      <c r="H690" s="1" t="s">
        <v>859</v>
      </c>
      <c r="I690" s="1" t="s">
        <v>1487</v>
      </c>
      <c r="J690" s="1" t="s">
        <v>600</v>
      </c>
      <c r="K690" s="1" t="s">
        <v>1550</v>
      </c>
      <c r="L690" s="1" t="s">
        <v>1309</v>
      </c>
      <c r="M690" s="1" t="s">
        <v>881</v>
      </c>
      <c r="N690" s="1" t="s">
        <v>166</v>
      </c>
      <c r="O690" s="1" t="s">
        <v>39</v>
      </c>
      <c r="P690" s="1" t="s">
        <v>1446</v>
      </c>
      <c r="Q690" s="1" t="s">
        <v>207</v>
      </c>
      <c r="R690" s="1" t="s">
        <v>1912</v>
      </c>
      <c r="S690" s="1" t="s">
        <v>2453</v>
      </c>
      <c r="T690" s="1" t="s">
        <v>1495</v>
      </c>
      <c r="U690" s="1" t="s">
        <v>229</v>
      </c>
      <c r="V690" s="1" t="s">
        <v>39</v>
      </c>
      <c r="W690" s="1" t="s">
        <v>504</v>
      </c>
      <c r="X690" s="1" t="s">
        <v>780</v>
      </c>
      <c r="Y690" s="1" t="s">
        <v>2309</v>
      </c>
      <c r="Z690" s="1">
        <v>1.0</v>
      </c>
    </row>
    <row r="691">
      <c r="A691" s="1" t="s">
        <v>2454</v>
      </c>
      <c r="B691" s="1" t="s">
        <v>2108</v>
      </c>
      <c r="C691" s="1" t="s">
        <v>2115</v>
      </c>
      <c r="D691" s="1">
        <v>210.0</v>
      </c>
      <c r="E691" s="1">
        <v>88.0</v>
      </c>
      <c r="F691" s="1">
        <v>75.0</v>
      </c>
      <c r="G691" s="1">
        <v>80.0</v>
      </c>
      <c r="H691" s="1">
        <v>90.0</v>
      </c>
      <c r="I691" s="1">
        <v>72.0</v>
      </c>
      <c r="J691" s="1">
        <v>90.0</v>
      </c>
      <c r="K691" s="1">
        <v>80.0</v>
      </c>
      <c r="L691" s="1">
        <v>87.0</v>
      </c>
      <c r="M691" s="1">
        <v>72.0</v>
      </c>
      <c r="N691" s="1">
        <v>73.0</v>
      </c>
      <c r="O691" s="1">
        <v>68.0</v>
      </c>
      <c r="P691" s="1">
        <v>77.0</v>
      </c>
      <c r="Q691" s="1">
        <v>72.0</v>
      </c>
      <c r="R691" s="1">
        <v>60.0</v>
      </c>
      <c r="S691" s="1">
        <v>93.0</v>
      </c>
      <c r="T691" s="1">
        <v>57.0</v>
      </c>
      <c r="U691" s="1">
        <v>81.0</v>
      </c>
      <c r="V691" s="1">
        <v>75.0</v>
      </c>
      <c r="W691" s="1">
        <v>71.0</v>
      </c>
      <c r="X691" s="1">
        <v>75.0</v>
      </c>
      <c r="Y691" s="1">
        <v>80.0</v>
      </c>
      <c r="Z691" s="1">
        <v>1.0</v>
      </c>
    </row>
    <row r="692">
      <c r="A692" s="1" t="s">
        <v>2455</v>
      </c>
      <c r="B692" s="1" t="s">
        <v>2108</v>
      </c>
      <c r="C692" s="1" t="s">
        <v>2115</v>
      </c>
      <c r="D692" s="1">
        <v>210.0</v>
      </c>
      <c r="E692" s="1">
        <v>80.0</v>
      </c>
      <c r="F692" s="1">
        <v>80.0</v>
      </c>
      <c r="G692" s="1">
        <v>89.0</v>
      </c>
      <c r="H692" s="1">
        <v>81.0</v>
      </c>
      <c r="I692" s="1">
        <v>76.0</v>
      </c>
      <c r="J692" s="1">
        <v>85.0</v>
      </c>
      <c r="K692" s="1">
        <v>80.0</v>
      </c>
      <c r="L692" s="1">
        <v>79.0</v>
      </c>
      <c r="M692" s="1">
        <v>87.0</v>
      </c>
      <c r="N692" s="1">
        <v>73.0</v>
      </c>
      <c r="O692" s="1">
        <v>68.0</v>
      </c>
      <c r="P692" s="1">
        <v>70.0</v>
      </c>
      <c r="Q692" s="1">
        <v>70.0</v>
      </c>
      <c r="R692" s="1">
        <v>65.0</v>
      </c>
      <c r="S692" s="1">
        <v>80.0</v>
      </c>
      <c r="T692" s="1">
        <v>80.0</v>
      </c>
      <c r="U692" s="1">
        <v>85.0</v>
      </c>
      <c r="V692" s="1">
        <v>79.0</v>
      </c>
      <c r="W692" s="1">
        <v>73.0</v>
      </c>
      <c r="X692" s="1">
        <v>73.0</v>
      </c>
      <c r="Y692" s="1">
        <v>88.0</v>
      </c>
      <c r="Z692" s="1">
        <v>1.0</v>
      </c>
    </row>
    <row r="693">
      <c r="A693" s="1" t="s">
        <v>2456</v>
      </c>
      <c r="B693" s="1" t="s">
        <v>2108</v>
      </c>
      <c r="C693" s="1" t="s">
        <v>1579</v>
      </c>
      <c r="D693" s="1">
        <v>217.0</v>
      </c>
      <c r="E693" s="1">
        <v>75.0</v>
      </c>
      <c r="F693" s="1">
        <v>61.0</v>
      </c>
      <c r="G693" s="1">
        <v>80.0</v>
      </c>
      <c r="H693" s="1">
        <v>90.0</v>
      </c>
      <c r="I693" s="1">
        <v>51.0</v>
      </c>
      <c r="J693" s="1">
        <v>70.0</v>
      </c>
      <c r="K693" s="1">
        <v>79.0</v>
      </c>
      <c r="L693" s="1">
        <v>55.0</v>
      </c>
      <c r="M693" s="1">
        <v>50.0</v>
      </c>
      <c r="N693" s="1">
        <v>75.0</v>
      </c>
      <c r="O693" s="1">
        <v>70.0</v>
      </c>
      <c r="P693" s="1">
        <v>79.0</v>
      </c>
      <c r="Q693" s="1">
        <v>79.0</v>
      </c>
      <c r="R693" s="1">
        <v>49.0</v>
      </c>
      <c r="S693" s="1">
        <v>90.0</v>
      </c>
      <c r="T693" s="1">
        <v>79.0</v>
      </c>
      <c r="U693" s="1">
        <v>87.0</v>
      </c>
      <c r="V693" s="1">
        <v>79.0</v>
      </c>
      <c r="W693" s="1">
        <v>74.0</v>
      </c>
      <c r="X693" s="1">
        <v>78.0</v>
      </c>
      <c r="Y693" s="1">
        <v>90.0</v>
      </c>
      <c r="Z693" s="1">
        <v>1.0</v>
      </c>
    </row>
    <row r="694">
      <c r="A694" s="1" t="s">
        <v>2457</v>
      </c>
      <c r="B694" s="1" t="s">
        <v>2108</v>
      </c>
      <c r="C694" s="1" t="s">
        <v>970</v>
      </c>
      <c r="D694" s="1">
        <v>234.0</v>
      </c>
      <c r="E694" s="1">
        <v>76.0</v>
      </c>
      <c r="F694" s="1">
        <v>76.0</v>
      </c>
      <c r="G694" s="1">
        <v>96.0</v>
      </c>
      <c r="H694" s="1">
        <v>59.0</v>
      </c>
      <c r="I694" s="1">
        <v>53.0</v>
      </c>
      <c r="J694" s="1">
        <v>70.0</v>
      </c>
      <c r="K694" s="1">
        <v>80.0</v>
      </c>
      <c r="L694" s="1">
        <v>61.0</v>
      </c>
      <c r="M694" s="1">
        <v>71.0</v>
      </c>
      <c r="N694" s="1">
        <v>86.0</v>
      </c>
      <c r="O694" s="1">
        <v>75.0</v>
      </c>
      <c r="P694" s="1">
        <v>80.0</v>
      </c>
      <c r="Q694" s="1">
        <v>55.0</v>
      </c>
      <c r="R694" s="1">
        <v>53.0</v>
      </c>
      <c r="S694" s="1">
        <v>85.0</v>
      </c>
      <c r="T694" s="1">
        <v>44.0</v>
      </c>
      <c r="U694" s="1">
        <v>60.0</v>
      </c>
      <c r="V694" s="1">
        <v>85.0</v>
      </c>
      <c r="W694" s="1">
        <v>80.0</v>
      </c>
      <c r="X694" s="1">
        <v>85.0</v>
      </c>
      <c r="Y694" s="1">
        <v>88.0</v>
      </c>
      <c r="Z694" s="1">
        <v>1.0</v>
      </c>
    </row>
    <row r="695">
      <c r="A695" s="1" t="s">
        <v>2458</v>
      </c>
      <c r="B695" s="1" t="s">
        <v>2108</v>
      </c>
      <c r="C695" s="1" t="s">
        <v>2327</v>
      </c>
      <c r="D695" s="1">
        <v>241.0</v>
      </c>
      <c r="E695" s="1">
        <v>82.0</v>
      </c>
      <c r="F695" s="1">
        <v>80.0</v>
      </c>
      <c r="G695" s="1">
        <v>89.0</v>
      </c>
      <c r="H695" s="1">
        <v>90.0</v>
      </c>
      <c r="I695" s="1">
        <v>87.0</v>
      </c>
      <c r="J695" s="1">
        <v>83.0</v>
      </c>
      <c r="K695" s="1">
        <v>75.0</v>
      </c>
      <c r="L695" s="1">
        <v>70.0</v>
      </c>
      <c r="M695" s="1">
        <v>75.0</v>
      </c>
      <c r="N695" s="1">
        <v>65.0</v>
      </c>
      <c r="O695" s="1">
        <v>60.0</v>
      </c>
      <c r="P695" s="1">
        <v>82.0</v>
      </c>
      <c r="Q695" s="1">
        <v>62.0</v>
      </c>
      <c r="R695" s="1">
        <v>60.0</v>
      </c>
      <c r="S695" s="1">
        <v>75.0</v>
      </c>
      <c r="T695" s="1">
        <v>92.0</v>
      </c>
      <c r="U695" s="1">
        <v>80.0</v>
      </c>
      <c r="V695" s="1">
        <v>70.0</v>
      </c>
      <c r="W695" s="1">
        <v>59.0</v>
      </c>
      <c r="X695" s="1">
        <v>78.0</v>
      </c>
      <c r="Y695" s="1">
        <v>78.0</v>
      </c>
      <c r="Z695" s="1">
        <v>1.0</v>
      </c>
    </row>
    <row r="696">
      <c r="A696" s="1" t="s">
        <v>2459</v>
      </c>
      <c r="B696" s="1" t="s">
        <v>2108</v>
      </c>
      <c r="C696" s="1" t="s">
        <v>1534</v>
      </c>
      <c r="D696" s="1">
        <v>265.0</v>
      </c>
      <c r="E696" s="1">
        <v>82.0</v>
      </c>
      <c r="F696" s="1">
        <v>71.0</v>
      </c>
      <c r="G696" s="1">
        <v>87.0</v>
      </c>
      <c r="H696" s="1">
        <v>90.0</v>
      </c>
      <c r="I696" s="1">
        <v>72.0</v>
      </c>
      <c r="J696" s="1">
        <v>50.0</v>
      </c>
      <c r="K696" s="1">
        <v>60.0</v>
      </c>
      <c r="L696" s="1">
        <v>42.0</v>
      </c>
      <c r="M696" s="1">
        <v>45.0</v>
      </c>
      <c r="N696" s="1">
        <v>60.0</v>
      </c>
      <c r="O696" s="1">
        <v>50.0</v>
      </c>
      <c r="P696" s="1">
        <v>71.0</v>
      </c>
      <c r="Q696" s="1">
        <v>84.0</v>
      </c>
      <c r="R696" s="1">
        <v>73.0</v>
      </c>
      <c r="S696" s="1">
        <v>78.0</v>
      </c>
      <c r="T696" s="1">
        <v>92.0</v>
      </c>
      <c r="U696" s="1">
        <v>89.0</v>
      </c>
      <c r="V696" s="1">
        <v>79.0</v>
      </c>
      <c r="W696" s="1">
        <v>73.0</v>
      </c>
      <c r="X696" s="1">
        <v>91.0</v>
      </c>
      <c r="Y696" s="1">
        <v>85.0</v>
      </c>
      <c r="Z696" s="1">
        <v>1.0</v>
      </c>
    </row>
    <row r="697">
      <c r="A697" s="1" t="s">
        <v>2460</v>
      </c>
      <c r="B697" s="1" t="s">
        <v>2108</v>
      </c>
      <c r="C697" s="1" t="s">
        <v>2115</v>
      </c>
      <c r="D697" s="1">
        <v>218.0</v>
      </c>
      <c r="E697" s="1">
        <v>87.0</v>
      </c>
      <c r="F697" s="1">
        <v>69.0</v>
      </c>
      <c r="G697" s="1">
        <v>80.0</v>
      </c>
      <c r="H697" s="1">
        <v>79.0</v>
      </c>
      <c r="I697" s="1">
        <v>86.0</v>
      </c>
      <c r="J697" s="1">
        <v>89.0</v>
      </c>
      <c r="K697" s="1">
        <v>90.0</v>
      </c>
      <c r="L697" s="1">
        <v>66.0</v>
      </c>
      <c r="M697" s="1">
        <v>84.0</v>
      </c>
      <c r="N697" s="1">
        <v>75.0</v>
      </c>
      <c r="O697" s="1">
        <v>67.0</v>
      </c>
      <c r="P697" s="1">
        <v>85.0</v>
      </c>
      <c r="Q697" s="1">
        <v>72.0</v>
      </c>
      <c r="R697" s="1">
        <v>50.0</v>
      </c>
      <c r="S697" s="1">
        <v>78.0</v>
      </c>
      <c r="T697" s="1">
        <v>61.0</v>
      </c>
      <c r="U697" s="1">
        <v>82.0</v>
      </c>
      <c r="V697" s="1">
        <v>74.0</v>
      </c>
      <c r="W697" s="1">
        <v>63.0</v>
      </c>
      <c r="X697" s="1">
        <v>80.0</v>
      </c>
      <c r="Y697" s="1">
        <v>80.0</v>
      </c>
      <c r="Z697" s="1">
        <v>1.0</v>
      </c>
    </row>
    <row r="698">
      <c r="A698" s="1" t="s">
        <v>2461</v>
      </c>
      <c r="B698" s="1" t="s">
        <v>2108</v>
      </c>
      <c r="C698" s="1" t="s">
        <v>1534</v>
      </c>
      <c r="D698" s="1">
        <v>255.0</v>
      </c>
      <c r="E698" s="1">
        <v>73.0</v>
      </c>
      <c r="F698" s="1">
        <v>55.0</v>
      </c>
      <c r="G698" s="1">
        <v>74.0</v>
      </c>
      <c r="H698" s="1">
        <v>59.0</v>
      </c>
      <c r="I698" s="1">
        <v>64.0</v>
      </c>
      <c r="J698" s="1">
        <v>83.0</v>
      </c>
      <c r="K698" s="1">
        <v>80.0</v>
      </c>
      <c r="L698" s="1">
        <v>59.0</v>
      </c>
      <c r="M698" s="1">
        <v>70.0</v>
      </c>
      <c r="N698" s="1">
        <v>50.0</v>
      </c>
      <c r="O698" s="1">
        <v>51.0</v>
      </c>
      <c r="P698" s="1">
        <v>76.0</v>
      </c>
      <c r="Q698" s="1">
        <v>55.0</v>
      </c>
      <c r="R698" s="1">
        <v>80.0</v>
      </c>
      <c r="S698" s="1">
        <v>88.0</v>
      </c>
      <c r="T698" s="1">
        <v>84.0</v>
      </c>
      <c r="U698" s="1">
        <v>94.0</v>
      </c>
      <c r="V698" s="1">
        <v>80.0</v>
      </c>
      <c r="W698" s="1">
        <v>71.0</v>
      </c>
      <c r="X698" s="1">
        <v>89.0</v>
      </c>
      <c r="Y698" s="1">
        <v>86.0</v>
      </c>
      <c r="Z698" s="1">
        <v>1.0</v>
      </c>
    </row>
    <row r="699">
      <c r="A699" s="1" t="s">
        <v>238</v>
      </c>
      <c r="B699" s="1" t="s">
        <v>2108</v>
      </c>
      <c r="C699" s="1" t="s">
        <v>2327</v>
      </c>
      <c r="D699" s="1" t="s">
        <v>2462</v>
      </c>
      <c r="E699" s="1" t="s">
        <v>190</v>
      </c>
      <c r="F699" s="1" t="s">
        <v>2087</v>
      </c>
      <c r="G699" s="1" t="s">
        <v>236</v>
      </c>
      <c r="H699" s="1">
        <v>90.0</v>
      </c>
      <c r="I699" s="1" t="s">
        <v>312</v>
      </c>
      <c r="J699" s="1" t="s">
        <v>1326</v>
      </c>
      <c r="K699" s="1" t="s">
        <v>802</v>
      </c>
      <c r="L699" s="1">
        <v>65.0</v>
      </c>
      <c r="M699" s="1" t="s">
        <v>625</v>
      </c>
      <c r="N699" s="1" t="s">
        <v>1086</v>
      </c>
      <c r="O699" s="1" t="s">
        <v>2463</v>
      </c>
      <c r="P699" s="1" t="s">
        <v>754</v>
      </c>
      <c r="Q699" s="1">
        <v>62.0</v>
      </c>
      <c r="R699" s="1">
        <v>60.0</v>
      </c>
      <c r="S699" s="1" t="s">
        <v>1019</v>
      </c>
      <c r="T699" s="1" t="s">
        <v>1220</v>
      </c>
      <c r="U699" s="1" t="s">
        <v>221</v>
      </c>
      <c r="V699" s="1" t="s">
        <v>1151</v>
      </c>
      <c r="W699" s="1" t="s">
        <v>1944</v>
      </c>
      <c r="X699" s="1">
        <v>83.0</v>
      </c>
      <c r="Y699" s="1" t="s">
        <v>76</v>
      </c>
      <c r="Z699" s="1">
        <v>1.0</v>
      </c>
    </row>
    <row r="700">
      <c r="A700" s="1" t="s">
        <v>2464</v>
      </c>
      <c r="B700" s="1" t="s">
        <v>2108</v>
      </c>
      <c r="C700" s="1" t="s">
        <v>2166</v>
      </c>
      <c r="D700" s="1" t="s">
        <v>2465</v>
      </c>
      <c r="E700" s="1" t="s">
        <v>220</v>
      </c>
      <c r="F700" s="1" t="s">
        <v>207</v>
      </c>
      <c r="G700" s="1" t="s">
        <v>300</v>
      </c>
      <c r="H700" s="1" t="s">
        <v>847</v>
      </c>
      <c r="I700" s="1" t="s">
        <v>1863</v>
      </c>
      <c r="J700" s="1" t="s">
        <v>413</v>
      </c>
      <c r="K700" s="1" t="s">
        <v>553</v>
      </c>
      <c r="L700" s="1" t="s">
        <v>337</v>
      </c>
      <c r="M700" s="1" t="s">
        <v>120</v>
      </c>
      <c r="N700" s="1" t="s">
        <v>859</v>
      </c>
      <c r="O700" s="1" t="s">
        <v>2466</v>
      </c>
      <c r="P700" s="1" t="s">
        <v>128</v>
      </c>
      <c r="Q700" s="1" t="s">
        <v>2467</v>
      </c>
      <c r="R700" s="1" t="s">
        <v>2468</v>
      </c>
      <c r="S700" s="1" t="s">
        <v>671</v>
      </c>
      <c r="T700" s="1" t="s">
        <v>157</v>
      </c>
      <c r="U700" s="1" t="s">
        <v>427</v>
      </c>
      <c r="V700" s="1" t="s">
        <v>1710</v>
      </c>
      <c r="W700" s="1" t="s">
        <v>2469</v>
      </c>
      <c r="X700" s="1" t="s">
        <v>840</v>
      </c>
      <c r="Y700" s="1" t="s">
        <v>190</v>
      </c>
      <c r="Z700" s="1">
        <v>1.0</v>
      </c>
    </row>
    <row r="701">
      <c r="A701" s="1" t="s">
        <v>2470</v>
      </c>
      <c r="B701" s="1" t="s">
        <v>2108</v>
      </c>
      <c r="C701" s="1" t="s">
        <v>2166</v>
      </c>
      <c r="D701" s="1" t="s">
        <v>2471</v>
      </c>
      <c r="E701" s="1">
        <v>82.0</v>
      </c>
      <c r="F701" s="1">
        <v>80.0</v>
      </c>
      <c r="G701" s="1" t="s">
        <v>1226</v>
      </c>
      <c r="H701" s="1">
        <v>81.0</v>
      </c>
      <c r="I701" s="1">
        <v>87.0</v>
      </c>
      <c r="J701" s="1" t="s">
        <v>1080</v>
      </c>
      <c r="K701" s="1">
        <v>80.0</v>
      </c>
      <c r="L701" s="1" t="s">
        <v>582</v>
      </c>
      <c r="M701" s="1" t="s">
        <v>1382</v>
      </c>
      <c r="N701" s="1" t="s">
        <v>1151</v>
      </c>
      <c r="O701" s="1">
        <v>60.0</v>
      </c>
      <c r="P701" s="1" t="s">
        <v>552</v>
      </c>
      <c r="Q701" s="1" t="s">
        <v>2472</v>
      </c>
      <c r="R701" s="1" t="s">
        <v>1348</v>
      </c>
      <c r="S701" s="1">
        <v>88.0</v>
      </c>
      <c r="T701" s="1">
        <v>92.0</v>
      </c>
      <c r="U701" s="1" t="s">
        <v>525</v>
      </c>
      <c r="V701" s="1" t="s">
        <v>631</v>
      </c>
      <c r="W701" s="1" t="s">
        <v>1402</v>
      </c>
      <c r="X701" s="1" t="s">
        <v>39</v>
      </c>
      <c r="Y701" s="1" t="s">
        <v>525</v>
      </c>
      <c r="Z701" s="1">
        <v>1.0</v>
      </c>
    </row>
    <row r="702">
      <c r="A702" s="1" t="s">
        <v>2473</v>
      </c>
      <c r="B702" s="1" t="s">
        <v>2108</v>
      </c>
      <c r="C702" s="1" t="s">
        <v>970</v>
      </c>
      <c r="D702" s="1">
        <v>251.0</v>
      </c>
      <c r="E702" s="1">
        <v>84.0</v>
      </c>
      <c r="F702" s="1">
        <v>90.0</v>
      </c>
      <c r="G702" s="1">
        <v>93.0</v>
      </c>
      <c r="H702" s="1">
        <v>90.0</v>
      </c>
      <c r="I702" s="1">
        <v>75.0</v>
      </c>
      <c r="J702" s="1">
        <v>68.0</v>
      </c>
      <c r="K702" s="1">
        <v>78.0</v>
      </c>
      <c r="L702" s="1">
        <v>61.0</v>
      </c>
      <c r="M702" s="1">
        <v>70.0</v>
      </c>
      <c r="N702" s="1">
        <v>77.0</v>
      </c>
      <c r="O702" s="1">
        <v>68.0</v>
      </c>
      <c r="P702" s="1">
        <v>72.0</v>
      </c>
      <c r="Q702" s="1">
        <v>74.0</v>
      </c>
      <c r="R702" s="1">
        <v>73.0</v>
      </c>
      <c r="S702" s="1">
        <v>74.0</v>
      </c>
      <c r="T702" s="1">
        <v>70.0</v>
      </c>
      <c r="U702" s="1">
        <v>80.0</v>
      </c>
      <c r="V702" s="1">
        <v>70.0</v>
      </c>
      <c r="W702" s="1">
        <v>63.0</v>
      </c>
      <c r="X702" s="1">
        <v>84.0</v>
      </c>
      <c r="Y702" s="1">
        <v>80.0</v>
      </c>
      <c r="Z702" s="1">
        <v>1.0</v>
      </c>
    </row>
    <row r="703">
      <c r="A703" s="1" t="s">
        <v>256</v>
      </c>
      <c r="B703" s="1" t="s">
        <v>2108</v>
      </c>
      <c r="C703" s="1" t="s">
        <v>2327</v>
      </c>
      <c r="D703" s="1">
        <v>225.0</v>
      </c>
      <c r="E703" s="1">
        <v>90.0</v>
      </c>
      <c r="F703" s="1">
        <v>92.0</v>
      </c>
      <c r="G703" s="1">
        <v>84.0</v>
      </c>
      <c r="H703" s="1">
        <v>84.0</v>
      </c>
      <c r="I703" s="1">
        <v>84.0</v>
      </c>
      <c r="J703" s="1">
        <v>80.0</v>
      </c>
      <c r="K703" s="1">
        <v>90.0</v>
      </c>
      <c r="L703" s="1">
        <v>67.0</v>
      </c>
      <c r="M703" s="1">
        <v>70.0</v>
      </c>
      <c r="N703" s="1">
        <v>74.0</v>
      </c>
      <c r="O703" s="1">
        <v>63.0</v>
      </c>
      <c r="P703" s="1">
        <v>85.0</v>
      </c>
      <c r="Q703" s="1">
        <v>62.0</v>
      </c>
      <c r="R703" s="1">
        <v>53.0</v>
      </c>
      <c r="S703" s="1">
        <v>81.0</v>
      </c>
      <c r="T703" s="1">
        <v>56.0</v>
      </c>
      <c r="U703" s="1">
        <v>80.0</v>
      </c>
      <c r="V703" s="1">
        <v>74.0</v>
      </c>
      <c r="W703" s="1">
        <v>64.0</v>
      </c>
      <c r="X703" s="1">
        <v>87.0</v>
      </c>
      <c r="Y703" s="1">
        <v>86.0</v>
      </c>
      <c r="Z703" s="1">
        <v>1.0</v>
      </c>
    </row>
    <row r="704">
      <c r="A704" s="1" t="s">
        <v>2474</v>
      </c>
      <c r="B704" s="1" t="s">
        <v>2108</v>
      </c>
      <c r="C704" s="1" t="s">
        <v>2141</v>
      </c>
      <c r="D704" s="1" t="s">
        <v>2475</v>
      </c>
      <c r="E704" s="1" t="s">
        <v>199</v>
      </c>
      <c r="F704" s="1" t="s">
        <v>1603</v>
      </c>
      <c r="G704" s="1" t="s">
        <v>328</v>
      </c>
      <c r="H704" s="1" t="s">
        <v>1549</v>
      </c>
      <c r="I704" s="1" t="s">
        <v>214</v>
      </c>
      <c r="J704" s="1" t="s">
        <v>1054</v>
      </c>
      <c r="K704" s="1" t="s">
        <v>593</v>
      </c>
      <c r="L704" s="1" t="s">
        <v>2476</v>
      </c>
      <c r="M704" s="1" t="s">
        <v>901</v>
      </c>
      <c r="N704" s="1" t="s">
        <v>859</v>
      </c>
      <c r="O704" s="1" t="s">
        <v>1572</v>
      </c>
      <c r="P704" s="1" t="s">
        <v>208</v>
      </c>
      <c r="Q704" s="1" t="s">
        <v>762</v>
      </c>
      <c r="R704" s="1" t="s">
        <v>1357</v>
      </c>
      <c r="S704" s="1" t="s">
        <v>1539</v>
      </c>
      <c r="T704" s="1" t="s">
        <v>909</v>
      </c>
      <c r="U704" s="1" t="s">
        <v>531</v>
      </c>
      <c r="V704" s="1" t="s">
        <v>242</v>
      </c>
      <c r="W704" s="1" t="s">
        <v>1794</v>
      </c>
      <c r="X704" s="1" t="s">
        <v>909</v>
      </c>
      <c r="Y704" s="1" t="s">
        <v>600</v>
      </c>
      <c r="Z704" s="1">
        <v>1.0</v>
      </c>
    </row>
    <row r="705">
      <c r="A705" s="1" t="s">
        <v>1414</v>
      </c>
      <c r="B705" s="1" t="s">
        <v>2108</v>
      </c>
      <c r="C705" s="1" t="s">
        <v>2141</v>
      </c>
      <c r="D705" s="1" t="s">
        <v>2122</v>
      </c>
      <c r="E705" s="1" t="s">
        <v>1416</v>
      </c>
      <c r="F705" s="1" t="s">
        <v>253</v>
      </c>
      <c r="G705" s="1" t="s">
        <v>201</v>
      </c>
      <c r="H705" s="1" t="s">
        <v>333</v>
      </c>
      <c r="I705" s="1" t="s">
        <v>1488</v>
      </c>
      <c r="J705" s="1" t="s">
        <v>31</v>
      </c>
      <c r="K705" s="1" t="s">
        <v>253</v>
      </c>
      <c r="L705" s="1" t="s">
        <v>509</v>
      </c>
      <c r="M705" s="1" t="s">
        <v>860</v>
      </c>
      <c r="N705" s="1" t="s">
        <v>242</v>
      </c>
      <c r="O705" s="1" t="s">
        <v>1753</v>
      </c>
      <c r="P705" s="1" t="s">
        <v>242</v>
      </c>
      <c r="Q705" s="1" t="s">
        <v>2397</v>
      </c>
      <c r="R705" s="1" t="s">
        <v>2477</v>
      </c>
      <c r="S705" s="1" t="s">
        <v>1539</v>
      </c>
      <c r="T705" s="1" t="s">
        <v>242</v>
      </c>
      <c r="U705" s="1" t="s">
        <v>242</v>
      </c>
      <c r="V705" s="1" t="s">
        <v>428</v>
      </c>
      <c r="W705" s="1" t="s">
        <v>1227</v>
      </c>
      <c r="X705" s="1" t="s">
        <v>337</v>
      </c>
      <c r="Y705" s="1">
        <v>80.0</v>
      </c>
      <c r="Z705" s="1">
        <v>1.0</v>
      </c>
    </row>
    <row r="706">
      <c r="A706" s="1" t="s">
        <v>2478</v>
      </c>
      <c r="B706" s="1" t="s">
        <v>2108</v>
      </c>
      <c r="C706" s="1" t="s">
        <v>1574</v>
      </c>
      <c r="D706" s="1" t="s">
        <v>2479</v>
      </c>
      <c r="E706" s="1" t="s">
        <v>929</v>
      </c>
      <c r="F706" s="1" t="s">
        <v>437</v>
      </c>
      <c r="G706" s="1" t="s">
        <v>1136</v>
      </c>
      <c r="H706" s="1" t="s">
        <v>2480</v>
      </c>
      <c r="I706" s="1" t="s">
        <v>159</v>
      </c>
      <c r="J706" s="1" t="s">
        <v>323</v>
      </c>
      <c r="K706" s="1">
        <v>83.0</v>
      </c>
      <c r="L706" s="1" t="s">
        <v>2481</v>
      </c>
      <c r="M706" s="1" t="s">
        <v>729</v>
      </c>
      <c r="N706" s="1" t="s">
        <v>236</v>
      </c>
      <c r="O706" s="1" t="s">
        <v>1753</v>
      </c>
      <c r="P706" s="1" t="s">
        <v>1776</v>
      </c>
      <c r="Q706" s="1" t="s">
        <v>300</v>
      </c>
      <c r="R706" s="1">
        <v>73.0</v>
      </c>
      <c r="S706" s="1" t="s">
        <v>462</v>
      </c>
      <c r="T706" s="1" t="s">
        <v>1588</v>
      </c>
      <c r="U706" s="1" t="s">
        <v>2398</v>
      </c>
      <c r="V706" s="1" t="s">
        <v>190</v>
      </c>
      <c r="W706" s="1" t="s">
        <v>878</v>
      </c>
      <c r="X706" s="1" t="s">
        <v>158</v>
      </c>
      <c r="Y706" s="1" t="s">
        <v>1155</v>
      </c>
      <c r="Z706" s="1">
        <v>1.0</v>
      </c>
    </row>
    <row r="707">
      <c r="A707" s="1" t="s">
        <v>2482</v>
      </c>
      <c r="B707" s="1" t="s">
        <v>2108</v>
      </c>
      <c r="C707" s="1" t="s">
        <v>192</v>
      </c>
      <c r="D707" s="1">
        <v>270.0</v>
      </c>
      <c r="E707" s="1">
        <v>76.0</v>
      </c>
      <c r="F707" s="1">
        <v>67.0</v>
      </c>
      <c r="G707" s="1">
        <v>87.0</v>
      </c>
      <c r="H707" s="1">
        <v>81.0</v>
      </c>
      <c r="I707" s="1">
        <v>55.0</v>
      </c>
      <c r="J707" s="1">
        <v>75.0</v>
      </c>
      <c r="K707" s="1">
        <v>80.0</v>
      </c>
      <c r="L707" s="1">
        <v>55.0</v>
      </c>
      <c r="M707" s="1">
        <v>37.0</v>
      </c>
      <c r="N707" s="1">
        <v>62.0</v>
      </c>
      <c r="O707" s="1">
        <v>63.0</v>
      </c>
      <c r="P707" s="1">
        <v>70.0</v>
      </c>
      <c r="Q707" s="1">
        <v>82.0</v>
      </c>
      <c r="R707" s="1">
        <v>85.0</v>
      </c>
      <c r="S707" s="1">
        <v>79.0</v>
      </c>
      <c r="T707" s="1">
        <v>80.0</v>
      </c>
      <c r="U707" s="1">
        <v>95.0</v>
      </c>
      <c r="V707" s="1">
        <v>88.0</v>
      </c>
      <c r="W707" s="1">
        <v>74.0</v>
      </c>
      <c r="X707" s="1">
        <v>90.0</v>
      </c>
      <c r="Y707" s="1">
        <v>85.0</v>
      </c>
      <c r="Z707" s="1">
        <v>1.0</v>
      </c>
    </row>
    <row r="708">
      <c r="A708" s="1" t="s">
        <v>1343</v>
      </c>
      <c r="B708" s="1" t="s">
        <v>2108</v>
      </c>
      <c r="C708" s="1" t="s">
        <v>1534</v>
      </c>
      <c r="D708" s="1" t="s">
        <v>2483</v>
      </c>
      <c r="E708" s="1" t="s">
        <v>190</v>
      </c>
      <c r="F708" s="1">
        <v>80.0</v>
      </c>
      <c r="G708" s="1" t="s">
        <v>96</v>
      </c>
      <c r="H708" s="1" t="s">
        <v>998</v>
      </c>
      <c r="I708" s="1" t="s">
        <v>85</v>
      </c>
      <c r="J708" s="1" t="s">
        <v>134</v>
      </c>
      <c r="K708" s="1" t="s">
        <v>242</v>
      </c>
      <c r="L708" s="1" t="s">
        <v>763</v>
      </c>
      <c r="M708" s="1" t="s">
        <v>242</v>
      </c>
      <c r="N708" s="1" t="s">
        <v>190</v>
      </c>
      <c r="O708" s="1" t="s">
        <v>1753</v>
      </c>
      <c r="P708" s="1" t="s">
        <v>827</v>
      </c>
      <c r="Q708" s="1" t="s">
        <v>582</v>
      </c>
      <c r="R708" s="1" t="s">
        <v>98</v>
      </c>
      <c r="S708" s="1" t="s">
        <v>204</v>
      </c>
      <c r="T708" s="1" t="s">
        <v>462</v>
      </c>
      <c r="U708" s="1" t="s">
        <v>190</v>
      </c>
      <c r="V708" s="1">
        <v>80.0</v>
      </c>
      <c r="W708" s="1" t="s">
        <v>31</v>
      </c>
      <c r="X708" s="1" t="s">
        <v>531</v>
      </c>
      <c r="Y708" s="1" t="s">
        <v>1046</v>
      </c>
      <c r="Z708" s="1">
        <v>1.0</v>
      </c>
    </row>
    <row r="709">
      <c r="A709" s="1" t="s">
        <v>2484</v>
      </c>
      <c r="B709" s="1" t="s">
        <v>2108</v>
      </c>
      <c r="C709" s="1" t="s">
        <v>2166</v>
      </c>
      <c r="D709" s="1" t="s">
        <v>2062</v>
      </c>
      <c r="E709" s="1" t="s">
        <v>462</v>
      </c>
      <c r="F709" s="1" t="s">
        <v>328</v>
      </c>
      <c r="G709" s="1" t="s">
        <v>1740</v>
      </c>
      <c r="H709" s="1" t="s">
        <v>1916</v>
      </c>
      <c r="I709" s="1" t="s">
        <v>1346</v>
      </c>
      <c r="J709" s="1" t="s">
        <v>790</v>
      </c>
      <c r="K709" s="1" t="s">
        <v>1618</v>
      </c>
      <c r="L709" s="1" t="s">
        <v>473</v>
      </c>
      <c r="M709" s="1" t="s">
        <v>729</v>
      </c>
      <c r="N709" s="1" t="s">
        <v>730</v>
      </c>
      <c r="O709" s="1" t="s">
        <v>2232</v>
      </c>
      <c r="P709" s="1" t="s">
        <v>128</v>
      </c>
      <c r="Q709" s="1" t="s">
        <v>1750</v>
      </c>
      <c r="R709" s="1" t="s">
        <v>722</v>
      </c>
      <c r="S709" s="1" t="s">
        <v>435</v>
      </c>
      <c r="T709" s="1" t="s">
        <v>753</v>
      </c>
      <c r="U709" s="1">
        <v>80.0</v>
      </c>
      <c r="V709" s="1" t="s">
        <v>1313</v>
      </c>
      <c r="W709" s="1" t="s">
        <v>1513</v>
      </c>
      <c r="X709" s="1" t="s">
        <v>113</v>
      </c>
      <c r="Y709" s="1" t="s">
        <v>52</v>
      </c>
      <c r="Z709" s="1">
        <v>1.0</v>
      </c>
    </row>
    <row r="710">
      <c r="A710" s="1" t="s">
        <v>2485</v>
      </c>
      <c r="B710" s="1" t="s">
        <v>2108</v>
      </c>
      <c r="C710" s="1" t="s">
        <v>1579</v>
      </c>
      <c r="D710" s="1">
        <v>245.0</v>
      </c>
      <c r="E710" s="1">
        <v>90.0</v>
      </c>
      <c r="F710" s="1">
        <v>70.0</v>
      </c>
      <c r="G710" s="1">
        <v>75.0</v>
      </c>
      <c r="H710" s="1">
        <v>90.0</v>
      </c>
      <c r="I710" s="1">
        <v>70.0</v>
      </c>
      <c r="J710" s="1">
        <v>90.0</v>
      </c>
      <c r="K710" s="1">
        <v>87.0</v>
      </c>
      <c r="L710" s="1">
        <v>80.0</v>
      </c>
      <c r="M710" s="1">
        <v>84.0</v>
      </c>
      <c r="N710" s="1">
        <v>75.0</v>
      </c>
      <c r="O710" s="1">
        <v>66.0</v>
      </c>
      <c r="P710" s="1">
        <v>85.0</v>
      </c>
      <c r="Q710" s="1">
        <v>61.0</v>
      </c>
      <c r="R710" s="1">
        <v>40.0</v>
      </c>
      <c r="S710" s="1">
        <v>80.0</v>
      </c>
      <c r="T710" s="1">
        <v>75.0</v>
      </c>
      <c r="U710" s="1">
        <v>80.0</v>
      </c>
      <c r="V710" s="1">
        <v>75.0</v>
      </c>
      <c r="W710" s="1">
        <v>60.0</v>
      </c>
      <c r="X710" s="1">
        <v>85.0</v>
      </c>
      <c r="Y710" s="1">
        <v>55.0</v>
      </c>
      <c r="Z710" s="1">
        <v>1.0</v>
      </c>
    </row>
    <row r="711">
      <c r="A711" s="1" t="s">
        <v>2486</v>
      </c>
      <c r="B711" s="1" t="s">
        <v>2108</v>
      </c>
      <c r="C711" s="1" t="s">
        <v>1534</v>
      </c>
      <c r="D711" s="1">
        <v>265.0</v>
      </c>
      <c r="E711" s="1">
        <v>82.0</v>
      </c>
      <c r="F711" s="1">
        <v>75.0</v>
      </c>
      <c r="G711" s="1">
        <v>95.0</v>
      </c>
      <c r="H711" s="1">
        <v>90.0</v>
      </c>
      <c r="I711" s="1">
        <v>57.0</v>
      </c>
      <c r="J711" s="1">
        <v>48.0</v>
      </c>
      <c r="K711" s="1">
        <v>33.0</v>
      </c>
      <c r="L711" s="1">
        <v>73.0</v>
      </c>
      <c r="M711" s="1">
        <v>70.0</v>
      </c>
      <c r="N711" s="1">
        <v>56.0</v>
      </c>
      <c r="O711" s="1">
        <v>48.0</v>
      </c>
      <c r="P711" s="1">
        <v>82.0</v>
      </c>
      <c r="Q711" s="1">
        <v>47.0</v>
      </c>
      <c r="R711" s="1">
        <v>48.0</v>
      </c>
      <c r="S711" s="1">
        <v>93.0</v>
      </c>
      <c r="T711" s="1">
        <v>80.0</v>
      </c>
      <c r="U711" s="1">
        <v>94.0</v>
      </c>
      <c r="V711" s="1">
        <v>77.0</v>
      </c>
      <c r="W711" s="1">
        <v>70.0</v>
      </c>
      <c r="X711" s="1">
        <v>91.0</v>
      </c>
      <c r="Y711" s="1">
        <v>86.0</v>
      </c>
      <c r="Z711" s="1">
        <v>1.0</v>
      </c>
    </row>
    <row r="712">
      <c r="A712" s="1" t="s">
        <v>2487</v>
      </c>
      <c r="B712" s="1" t="s">
        <v>2108</v>
      </c>
      <c r="C712" s="1" t="s">
        <v>1754</v>
      </c>
      <c r="D712" s="1" t="s">
        <v>2488</v>
      </c>
      <c r="E712" s="1" t="s">
        <v>190</v>
      </c>
      <c r="F712" s="1" t="s">
        <v>1603</v>
      </c>
      <c r="G712" s="1" t="s">
        <v>796</v>
      </c>
      <c r="H712" s="1" t="s">
        <v>668</v>
      </c>
      <c r="I712" s="1" t="s">
        <v>755</v>
      </c>
      <c r="J712" s="1" t="s">
        <v>1326</v>
      </c>
      <c r="K712" s="1">
        <v>80.0</v>
      </c>
      <c r="L712" s="1" t="s">
        <v>796</v>
      </c>
      <c r="M712" s="1" t="s">
        <v>802</v>
      </c>
      <c r="N712" s="1" t="s">
        <v>710</v>
      </c>
      <c r="O712" s="1" t="s">
        <v>1240</v>
      </c>
      <c r="P712" s="1" t="s">
        <v>32</v>
      </c>
      <c r="Q712" s="1" t="s">
        <v>600</v>
      </c>
      <c r="R712" s="1" t="s">
        <v>1940</v>
      </c>
      <c r="S712" s="1" t="s">
        <v>2489</v>
      </c>
      <c r="T712" s="1" t="s">
        <v>38</v>
      </c>
      <c r="U712" s="1" t="s">
        <v>190</v>
      </c>
      <c r="V712" s="1" t="s">
        <v>728</v>
      </c>
      <c r="W712" s="1" t="s">
        <v>404</v>
      </c>
      <c r="X712" s="1" t="s">
        <v>404</v>
      </c>
      <c r="Y712" s="1" t="s">
        <v>473</v>
      </c>
      <c r="Z712" s="1">
        <v>1.0</v>
      </c>
    </row>
    <row r="713">
      <c r="A713" s="1" t="s">
        <v>2490</v>
      </c>
      <c r="B713" s="1" t="s">
        <v>2108</v>
      </c>
      <c r="C713" s="1" t="s">
        <v>1612</v>
      </c>
      <c r="D713" s="1" t="s">
        <v>2122</v>
      </c>
      <c r="E713" s="1" t="s">
        <v>157</v>
      </c>
      <c r="F713" s="1" t="s">
        <v>163</v>
      </c>
      <c r="G713" s="1" t="s">
        <v>368</v>
      </c>
      <c r="H713" s="1" t="s">
        <v>1001</v>
      </c>
      <c r="I713" s="1" t="s">
        <v>2491</v>
      </c>
      <c r="J713" s="1" t="s">
        <v>166</v>
      </c>
      <c r="K713" s="1" t="s">
        <v>400</v>
      </c>
      <c r="L713" s="1" t="s">
        <v>498</v>
      </c>
      <c r="M713" s="1" t="s">
        <v>363</v>
      </c>
      <c r="N713" s="1" t="s">
        <v>2422</v>
      </c>
      <c r="O713" s="1" t="s">
        <v>526</v>
      </c>
      <c r="P713" s="1" t="s">
        <v>1011</v>
      </c>
      <c r="Q713" s="1" t="s">
        <v>435</v>
      </c>
      <c r="R713" s="1" t="s">
        <v>1833</v>
      </c>
      <c r="S713" s="1" t="s">
        <v>548</v>
      </c>
      <c r="T713" s="1" t="s">
        <v>731</v>
      </c>
      <c r="U713" s="1" t="s">
        <v>322</v>
      </c>
      <c r="V713" s="1" t="s">
        <v>300</v>
      </c>
      <c r="W713" s="1" t="s">
        <v>265</v>
      </c>
      <c r="X713" s="1" t="s">
        <v>400</v>
      </c>
      <c r="Y713" s="1" t="s">
        <v>205</v>
      </c>
      <c r="Z713" s="1">
        <v>1.0</v>
      </c>
    </row>
    <row r="714">
      <c r="A714" s="1" t="s">
        <v>2492</v>
      </c>
      <c r="B714" s="1" t="s">
        <v>2108</v>
      </c>
      <c r="C714" s="1" t="s">
        <v>2166</v>
      </c>
      <c r="D714" s="1" t="s">
        <v>2493</v>
      </c>
      <c r="E714" s="1" t="s">
        <v>207</v>
      </c>
      <c r="F714" s="1" t="s">
        <v>1240</v>
      </c>
      <c r="G714" s="1" t="s">
        <v>242</v>
      </c>
      <c r="H714" s="1" t="s">
        <v>401</v>
      </c>
      <c r="I714" s="1" t="s">
        <v>1231</v>
      </c>
      <c r="J714" s="1" t="s">
        <v>243</v>
      </c>
      <c r="K714" s="1" t="s">
        <v>802</v>
      </c>
      <c r="L714" s="1" t="s">
        <v>2286</v>
      </c>
      <c r="M714" s="1" t="s">
        <v>2494</v>
      </c>
      <c r="N714" s="1" t="s">
        <v>1377</v>
      </c>
      <c r="O714" s="1" t="s">
        <v>55</v>
      </c>
      <c r="P714" s="1" t="s">
        <v>36</v>
      </c>
      <c r="Q714" s="1" t="s">
        <v>2284</v>
      </c>
      <c r="R714" s="1" t="s">
        <v>851</v>
      </c>
      <c r="S714" s="1" t="s">
        <v>2130</v>
      </c>
      <c r="T714" s="1" t="s">
        <v>401</v>
      </c>
      <c r="U714" s="1" t="s">
        <v>96</v>
      </c>
      <c r="V714" s="1" t="s">
        <v>1329</v>
      </c>
      <c r="W714" s="1" t="s">
        <v>2495</v>
      </c>
      <c r="X714" s="1" t="s">
        <v>164</v>
      </c>
      <c r="Y714" s="1" t="s">
        <v>1853</v>
      </c>
      <c r="Z714" s="1">
        <v>1.0</v>
      </c>
    </row>
    <row r="715">
      <c r="A715" s="1" t="s">
        <v>2496</v>
      </c>
      <c r="B715" s="1" t="s">
        <v>2108</v>
      </c>
      <c r="C715" s="1" t="s">
        <v>1534</v>
      </c>
      <c r="D715" s="1">
        <v>230.0</v>
      </c>
      <c r="E715" s="1">
        <v>87.0</v>
      </c>
      <c r="F715" s="1">
        <v>87.0</v>
      </c>
      <c r="G715" s="1">
        <v>90.0</v>
      </c>
      <c r="H715" s="1">
        <v>81.0</v>
      </c>
      <c r="I715" s="1">
        <v>77.0</v>
      </c>
      <c r="J715" s="1">
        <v>47.0</v>
      </c>
      <c r="K715" s="1">
        <v>37.0</v>
      </c>
      <c r="L715" s="1">
        <v>47.0</v>
      </c>
      <c r="M715" s="1">
        <v>85.0</v>
      </c>
      <c r="N715" s="1">
        <v>77.0</v>
      </c>
      <c r="O715" s="1">
        <v>70.0</v>
      </c>
      <c r="P715" s="1">
        <v>92.0</v>
      </c>
      <c r="Q715" s="1">
        <v>79.0</v>
      </c>
      <c r="R715" s="1">
        <v>50.0</v>
      </c>
      <c r="S715" s="1">
        <v>77.0</v>
      </c>
      <c r="T715" s="1">
        <v>75.0</v>
      </c>
      <c r="U715" s="1">
        <v>75.0</v>
      </c>
      <c r="V715" s="1">
        <v>82.0</v>
      </c>
      <c r="W715" s="1">
        <v>78.0</v>
      </c>
      <c r="X715" s="1">
        <v>84.0</v>
      </c>
      <c r="Y715" s="1">
        <v>82.0</v>
      </c>
      <c r="Z715" s="1">
        <v>1.0</v>
      </c>
    </row>
    <row r="716">
      <c r="A716" s="1" t="s">
        <v>1811</v>
      </c>
      <c r="B716" s="1" t="s">
        <v>2108</v>
      </c>
      <c r="C716" s="1" t="s">
        <v>1534</v>
      </c>
      <c r="D716" s="1">
        <v>213.0</v>
      </c>
      <c r="E716" s="1">
        <v>75.0</v>
      </c>
      <c r="F716" s="1">
        <v>80.0</v>
      </c>
      <c r="G716" s="1">
        <v>93.0</v>
      </c>
      <c r="H716" s="1">
        <v>58.0</v>
      </c>
      <c r="I716" s="1">
        <v>50.0</v>
      </c>
      <c r="J716" s="1">
        <v>85.0</v>
      </c>
      <c r="K716" s="1">
        <v>82.0</v>
      </c>
      <c r="L716" s="1">
        <v>62.0</v>
      </c>
      <c r="M716" s="1">
        <v>87.0</v>
      </c>
      <c r="N716" s="1">
        <v>80.0</v>
      </c>
      <c r="O716" s="1">
        <v>72.0</v>
      </c>
      <c r="P716" s="1">
        <v>80.0</v>
      </c>
      <c r="Q716" s="1">
        <v>53.0</v>
      </c>
      <c r="R716" s="1">
        <v>37.0</v>
      </c>
      <c r="S716" s="1">
        <v>80.0</v>
      </c>
      <c r="T716" s="1">
        <v>80.0</v>
      </c>
      <c r="U716" s="1">
        <v>90.0</v>
      </c>
      <c r="V716" s="1">
        <v>80.0</v>
      </c>
      <c r="W716" s="1">
        <v>74.0</v>
      </c>
      <c r="X716" s="1">
        <v>80.0</v>
      </c>
      <c r="Y716" s="1">
        <v>80.0</v>
      </c>
      <c r="Z716" s="1">
        <v>1.0</v>
      </c>
    </row>
    <row r="717">
      <c r="A717" s="1" t="s">
        <v>2497</v>
      </c>
      <c r="B717" s="1" t="s">
        <v>2108</v>
      </c>
      <c r="C717" s="1" t="s">
        <v>1534</v>
      </c>
      <c r="D717" s="1">
        <v>249.0</v>
      </c>
      <c r="E717" s="1">
        <v>77.0</v>
      </c>
      <c r="F717" s="1">
        <v>80.0</v>
      </c>
      <c r="G717" s="1">
        <v>80.0</v>
      </c>
      <c r="H717" s="1">
        <v>73.0</v>
      </c>
      <c r="I717" s="1">
        <v>80.0</v>
      </c>
      <c r="J717" s="1">
        <v>80.0</v>
      </c>
      <c r="K717" s="1">
        <v>80.0</v>
      </c>
      <c r="L717" s="1">
        <v>72.0</v>
      </c>
      <c r="M717" s="1">
        <v>92.0</v>
      </c>
      <c r="N717" s="1">
        <v>75.0</v>
      </c>
      <c r="O717" s="1">
        <v>68.0</v>
      </c>
      <c r="P717" s="1">
        <v>80.0</v>
      </c>
      <c r="Q717" s="1">
        <v>72.0</v>
      </c>
      <c r="R717" s="1">
        <v>75.0</v>
      </c>
      <c r="S717" s="1">
        <v>81.0</v>
      </c>
      <c r="T717" s="1">
        <v>59.0</v>
      </c>
      <c r="U717" s="1">
        <v>80.0</v>
      </c>
      <c r="V717" s="1">
        <v>80.0</v>
      </c>
      <c r="W717" s="1">
        <v>74.0</v>
      </c>
      <c r="X717" s="1">
        <v>74.0</v>
      </c>
      <c r="Y717" s="1">
        <v>83.0</v>
      </c>
      <c r="Z717" s="1">
        <v>1.0</v>
      </c>
    </row>
    <row r="718">
      <c r="A718" s="1" t="s">
        <v>2498</v>
      </c>
      <c r="B718" s="1" t="s">
        <v>2108</v>
      </c>
      <c r="C718" s="1" t="s">
        <v>1534</v>
      </c>
      <c r="D718" s="1">
        <v>248.0</v>
      </c>
      <c r="E718" s="1">
        <v>77.0</v>
      </c>
      <c r="F718" s="1" t="s">
        <v>2499</v>
      </c>
      <c r="G718" s="1" t="s">
        <v>1116</v>
      </c>
      <c r="H718" s="1" t="s">
        <v>509</v>
      </c>
      <c r="I718" s="1">
        <v>64.0</v>
      </c>
      <c r="J718" s="1" t="s">
        <v>185</v>
      </c>
      <c r="K718" s="1" t="s">
        <v>129</v>
      </c>
      <c r="L718" s="1" t="s">
        <v>2500</v>
      </c>
      <c r="M718" s="1" t="s">
        <v>120</v>
      </c>
      <c r="N718" s="1">
        <v>45.0</v>
      </c>
      <c r="O718" s="1">
        <v>50.0</v>
      </c>
      <c r="P718" s="1" t="s">
        <v>2501</v>
      </c>
      <c r="Q718" s="1" t="s">
        <v>354</v>
      </c>
      <c r="R718" s="1" t="s">
        <v>2502</v>
      </c>
      <c r="S718" s="1" t="s">
        <v>134</v>
      </c>
      <c r="T718" s="1">
        <v>92.0</v>
      </c>
      <c r="U718" s="1">
        <v>93.0</v>
      </c>
      <c r="V718" s="1" t="s">
        <v>235</v>
      </c>
      <c r="W718" s="1" t="s">
        <v>204</v>
      </c>
      <c r="X718" s="1" t="s">
        <v>2503</v>
      </c>
      <c r="Y718" s="1" t="s">
        <v>463</v>
      </c>
      <c r="Z718" s="1">
        <v>1.0</v>
      </c>
    </row>
    <row r="719">
      <c r="A719" s="1" t="s">
        <v>2504</v>
      </c>
      <c r="B719" s="1" t="s">
        <v>2108</v>
      </c>
      <c r="C719" s="1" t="s">
        <v>2327</v>
      </c>
      <c r="D719" s="1">
        <v>234.0</v>
      </c>
      <c r="E719" s="1">
        <v>84.0</v>
      </c>
      <c r="F719" s="1">
        <v>80.0</v>
      </c>
      <c r="G719" s="1">
        <v>85.0</v>
      </c>
      <c r="H719" s="1">
        <v>75.0</v>
      </c>
      <c r="I719" s="1">
        <v>75.0</v>
      </c>
      <c r="J719" s="1">
        <v>86.0</v>
      </c>
      <c r="K719" s="1">
        <v>83.0</v>
      </c>
      <c r="L719" s="1">
        <v>81.0</v>
      </c>
      <c r="M719" s="1">
        <v>86.0</v>
      </c>
      <c r="N719" s="1">
        <v>73.0</v>
      </c>
      <c r="O719" s="1">
        <v>61.0</v>
      </c>
      <c r="P719" s="1">
        <v>80.0</v>
      </c>
      <c r="Q719" s="1">
        <v>65.0</v>
      </c>
      <c r="R719" s="1">
        <v>63.0</v>
      </c>
      <c r="S719" s="1">
        <v>86.0</v>
      </c>
      <c r="T719" s="1">
        <v>87.0</v>
      </c>
      <c r="U719" s="1">
        <v>90.0</v>
      </c>
      <c r="V719" s="1">
        <v>72.0</v>
      </c>
      <c r="W719" s="1">
        <v>62.0</v>
      </c>
      <c r="X719" s="1">
        <v>72.0</v>
      </c>
      <c r="Y719" s="1">
        <v>80.0</v>
      </c>
      <c r="Z719" s="1">
        <v>1.0</v>
      </c>
    </row>
    <row r="720">
      <c r="A720" s="1" t="s">
        <v>1959</v>
      </c>
      <c r="B720" s="1" t="s">
        <v>2108</v>
      </c>
      <c r="C720" s="1" t="s">
        <v>2327</v>
      </c>
      <c r="D720" s="1" t="s">
        <v>2505</v>
      </c>
      <c r="E720" s="1" t="s">
        <v>614</v>
      </c>
      <c r="F720" s="1" t="s">
        <v>817</v>
      </c>
      <c r="G720" s="1" t="s">
        <v>995</v>
      </c>
      <c r="H720" s="1" t="s">
        <v>840</v>
      </c>
      <c r="I720" s="1" t="s">
        <v>633</v>
      </c>
      <c r="J720" s="1" t="s">
        <v>571</v>
      </c>
      <c r="K720" s="1" t="s">
        <v>520</v>
      </c>
      <c r="L720" s="1" t="s">
        <v>2232</v>
      </c>
      <c r="M720" s="1" t="s">
        <v>582</v>
      </c>
      <c r="N720" s="1" t="s">
        <v>1600</v>
      </c>
      <c r="O720" s="1" t="s">
        <v>2506</v>
      </c>
      <c r="P720" s="1" t="s">
        <v>590</v>
      </c>
      <c r="Q720" s="1" t="s">
        <v>2443</v>
      </c>
      <c r="R720" s="1" t="s">
        <v>2507</v>
      </c>
      <c r="S720" s="1" t="s">
        <v>1213</v>
      </c>
      <c r="T720" s="1" t="s">
        <v>208</v>
      </c>
      <c r="U720" s="1" t="s">
        <v>427</v>
      </c>
      <c r="V720" s="1" t="s">
        <v>518</v>
      </c>
      <c r="W720" s="1" t="s">
        <v>2393</v>
      </c>
      <c r="X720" s="1" t="s">
        <v>427</v>
      </c>
      <c r="Y720" s="1" t="s">
        <v>242</v>
      </c>
      <c r="Z720" s="1">
        <v>1.0</v>
      </c>
    </row>
    <row r="721">
      <c r="A721" s="1" t="s">
        <v>2508</v>
      </c>
      <c r="B721" s="1" t="s">
        <v>2108</v>
      </c>
      <c r="C721" s="1" t="s">
        <v>1534</v>
      </c>
      <c r="D721" s="1">
        <v>239.0</v>
      </c>
      <c r="E721" s="1">
        <v>75.0</v>
      </c>
      <c r="F721" s="1">
        <v>70.0</v>
      </c>
      <c r="G721" s="1">
        <v>80.0</v>
      </c>
      <c r="H721" s="1">
        <v>82.0</v>
      </c>
      <c r="I721" s="1">
        <v>67.0</v>
      </c>
      <c r="J721" s="1">
        <v>70.0</v>
      </c>
      <c r="K721" s="1">
        <v>80.0</v>
      </c>
      <c r="L721" s="1">
        <v>82.0</v>
      </c>
      <c r="M721" s="1">
        <v>77.0</v>
      </c>
      <c r="N721" s="1">
        <v>75.0</v>
      </c>
      <c r="O721" s="1">
        <v>70.0</v>
      </c>
      <c r="P721" s="1">
        <v>74.0</v>
      </c>
      <c r="Q721" s="1">
        <v>74.0</v>
      </c>
      <c r="R721" s="1">
        <v>79.0</v>
      </c>
      <c r="S721" s="1">
        <v>88.0</v>
      </c>
      <c r="T721" s="1">
        <v>67.0</v>
      </c>
      <c r="U721" s="1">
        <v>92.0</v>
      </c>
      <c r="V721" s="1">
        <v>72.0</v>
      </c>
      <c r="W721" s="1">
        <v>71.0</v>
      </c>
      <c r="X721" s="1">
        <v>80.0</v>
      </c>
      <c r="Y721" s="1">
        <v>80.0</v>
      </c>
      <c r="Z721" s="1">
        <v>1.0</v>
      </c>
    </row>
    <row r="722">
      <c r="A722" s="1" t="s">
        <v>2509</v>
      </c>
      <c r="B722" s="1" t="s">
        <v>2108</v>
      </c>
      <c r="C722" s="1" t="s">
        <v>2115</v>
      </c>
      <c r="D722" s="1">
        <v>256.0</v>
      </c>
      <c r="E722" s="1">
        <v>81.0</v>
      </c>
      <c r="F722" s="1">
        <v>70.0</v>
      </c>
      <c r="G722" s="1">
        <v>87.0</v>
      </c>
      <c r="H722" s="1">
        <v>90.0</v>
      </c>
      <c r="I722" s="1">
        <v>86.0</v>
      </c>
      <c r="J722" s="1">
        <v>80.0</v>
      </c>
      <c r="K722" s="1">
        <v>76.0</v>
      </c>
      <c r="L722" s="1">
        <v>56.0</v>
      </c>
      <c r="M722" s="1">
        <v>45.0</v>
      </c>
      <c r="N722" s="1">
        <v>67.0</v>
      </c>
      <c r="O722" s="1">
        <v>60.0</v>
      </c>
      <c r="P722" s="1">
        <v>82.0</v>
      </c>
      <c r="Q722" s="1">
        <v>71.0</v>
      </c>
      <c r="R722" s="1">
        <v>73.0</v>
      </c>
      <c r="S722" s="1">
        <v>93.0</v>
      </c>
      <c r="T722" s="1">
        <v>85.0</v>
      </c>
      <c r="U722" s="1">
        <v>70.0</v>
      </c>
      <c r="V722" s="1">
        <v>65.0</v>
      </c>
      <c r="W722" s="1">
        <v>60.0</v>
      </c>
      <c r="X722" s="1">
        <v>86.0</v>
      </c>
      <c r="Y722" s="1">
        <v>83.0</v>
      </c>
      <c r="Z722" s="1">
        <v>1.0</v>
      </c>
    </row>
    <row r="723">
      <c r="A723" s="1" t="s">
        <v>2078</v>
      </c>
      <c r="B723" s="1" t="s">
        <v>2108</v>
      </c>
      <c r="C723" s="1" t="s">
        <v>2115</v>
      </c>
      <c r="D723" s="1">
        <v>232.0</v>
      </c>
      <c r="E723" s="1">
        <v>80.0</v>
      </c>
      <c r="F723" s="1">
        <v>73.0</v>
      </c>
      <c r="G723" s="1">
        <v>89.0</v>
      </c>
      <c r="H723" s="1">
        <v>73.0</v>
      </c>
      <c r="I723" s="1">
        <v>65.0</v>
      </c>
      <c r="J723" s="1">
        <v>82.0</v>
      </c>
      <c r="K723" s="1">
        <v>80.0</v>
      </c>
      <c r="L723" s="1">
        <v>75.0</v>
      </c>
      <c r="M723" s="1">
        <v>71.0</v>
      </c>
      <c r="N723" s="1">
        <v>70.0</v>
      </c>
      <c r="O723" s="1">
        <v>54.0</v>
      </c>
      <c r="P723" s="1">
        <v>82.0</v>
      </c>
      <c r="Q723" s="1">
        <v>51.0</v>
      </c>
      <c r="R723" s="1">
        <v>47.0</v>
      </c>
      <c r="S723" s="1">
        <v>93.0</v>
      </c>
      <c r="T723" s="1">
        <v>94.0</v>
      </c>
      <c r="U723" s="1">
        <v>79.0</v>
      </c>
      <c r="V723" s="1">
        <v>75.0</v>
      </c>
      <c r="W723" s="1">
        <v>67.0</v>
      </c>
      <c r="X723" s="1">
        <v>79.0</v>
      </c>
      <c r="Y723" s="1">
        <v>83.0</v>
      </c>
      <c r="Z723" s="1">
        <v>1.0</v>
      </c>
    </row>
    <row r="724">
      <c r="A724" s="1" t="s">
        <v>2510</v>
      </c>
      <c r="B724" s="1" t="s">
        <v>2108</v>
      </c>
      <c r="C724" s="1" t="s">
        <v>2166</v>
      </c>
      <c r="D724" s="1" t="s">
        <v>2511</v>
      </c>
      <c r="E724" s="1" t="s">
        <v>182</v>
      </c>
      <c r="F724" s="1">
        <v>75.0</v>
      </c>
      <c r="G724" s="1" t="s">
        <v>1160</v>
      </c>
      <c r="H724" s="1" t="s">
        <v>208</v>
      </c>
      <c r="I724" s="1" t="s">
        <v>614</v>
      </c>
      <c r="J724" s="1">
        <v>80.0</v>
      </c>
      <c r="K724" s="1" t="s">
        <v>2189</v>
      </c>
      <c r="L724" s="1" t="s">
        <v>1404</v>
      </c>
      <c r="M724" s="1" t="s">
        <v>1218</v>
      </c>
      <c r="N724" s="1">
        <v>74.0</v>
      </c>
      <c r="O724" s="1" t="s">
        <v>2512</v>
      </c>
      <c r="P724" s="1" t="s">
        <v>384</v>
      </c>
      <c r="Q724" s="1" t="s">
        <v>412</v>
      </c>
      <c r="R724" s="1" t="s">
        <v>1942</v>
      </c>
      <c r="S724" s="1" t="s">
        <v>266</v>
      </c>
      <c r="T724" s="1" t="s">
        <v>881</v>
      </c>
      <c r="U724" s="1" t="s">
        <v>401</v>
      </c>
      <c r="V724" s="1" t="s">
        <v>2152</v>
      </c>
      <c r="W724" s="1" t="s">
        <v>2513</v>
      </c>
      <c r="X724" s="1" t="s">
        <v>1550</v>
      </c>
      <c r="Y724" s="1">
        <v>80.0</v>
      </c>
      <c r="Z724" s="1">
        <v>1.0</v>
      </c>
    </row>
    <row r="725">
      <c r="A725" s="1" t="s">
        <v>2017</v>
      </c>
      <c r="B725" s="1" t="s">
        <v>2108</v>
      </c>
      <c r="C725" s="1" t="s">
        <v>1534</v>
      </c>
      <c r="D725" s="1">
        <v>260.0</v>
      </c>
      <c r="E725" s="1">
        <v>73.0</v>
      </c>
      <c r="F725" s="1">
        <v>53.0</v>
      </c>
      <c r="G725" s="1">
        <v>70.0</v>
      </c>
      <c r="H725" s="1">
        <v>69.0</v>
      </c>
      <c r="I725" s="1">
        <v>56.0</v>
      </c>
      <c r="J725" s="1">
        <v>83.0</v>
      </c>
      <c r="K725" s="1">
        <v>80.0</v>
      </c>
      <c r="L725" s="1">
        <v>60.0</v>
      </c>
      <c r="M725" s="1">
        <v>65.0</v>
      </c>
      <c r="N725" s="1">
        <v>44.0</v>
      </c>
      <c r="O725" s="1">
        <v>49.0</v>
      </c>
      <c r="P725" s="1">
        <v>81.0</v>
      </c>
      <c r="Q725" s="1">
        <v>70.0</v>
      </c>
      <c r="R725" s="1">
        <v>75.0</v>
      </c>
      <c r="S725" s="1">
        <v>84.0</v>
      </c>
      <c r="T725" s="1">
        <v>80.0</v>
      </c>
      <c r="U725" s="1">
        <v>94.0</v>
      </c>
      <c r="V725" s="1">
        <v>79.0</v>
      </c>
      <c r="W725" s="1">
        <v>73.0</v>
      </c>
      <c r="X725" s="1">
        <v>91.0</v>
      </c>
      <c r="Y725" s="1">
        <v>75.0</v>
      </c>
      <c r="Z725" s="1">
        <v>1.0</v>
      </c>
    </row>
    <row r="726">
      <c r="A726" s="1" t="s">
        <v>2514</v>
      </c>
      <c r="B726" s="1" t="s">
        <v>2108</v>
      </c>
      <c r="C726" s="1" t="s">
        <v>2115</v>
      </c>
      <c r="D726" s="1">
        <v>235.0</v>
      </c>
      <c r="E726" s="1">
        <v>88.0</v>
      </c>
      <c r="F726" s="1">
        <v>63.0</v>
      </c>
      <c r="G726" s="1">
        <v>70.0</v>
      </c>
      <c r="H726" s="1">
        <v>90.0</v>
      </c>
      <c r="I726" s="1">
        <v>90.0</v>
      </c>
      <c r="J726" s="1">
        <v>93.0</v>
      </c>
      <c r="K726" s="1">
        <v>80.0</v>
      </c>
      <c r="L726" s="1">
        <v>68.0</v>
      </c>
      <c r="M726" s="1">
        <v>82.0</v>
      </c>
      <c r="N726" s="1">
        <v>71.0</v>
      </c>
      <c r="O726" s="1">
        <v>61.0</v>
      </c>
      <c r="P726" s="1">
        <v>88.0</v>
      </c>
      <c r="Q726" s="1">
        <v>43.0</v>
      </c>
      <c r="R726" s="1">
        <v>56.0</v>
      </c>
      <c r="S726" s="1">
        <v>84.0</v>
      </c>
      <c r="T726" s="1">
        <v>85.0</v>
      </c>
      <c r="U726" s="1">
        <v>80.0</v>
      </c>
      <c r="V726" s="1">
        <v>65.0</v>
      </c>
      <c r="W726" s="1">
        <v>50.0</v>
      </c>
      <c r="X726" s="1">
        <v>84.0</v>
      </c>
      <c r="Y726" s="1">
        <v>67.0</v>
      </c>
      <c r="Z726" s="1">
        <v>1.0</v>
      </c>
    </row>
    <row r="727">
      <c r="A727" s="1" t="s">
        <v>2515</v>
      </c>
      <c r="B727" s="1" t="s">
        <v>2108</v>
      </c>
      <c r="C727" s="1" t="s">
        <v>970</v>
      </c>
      <c r="D727" s="1">
        <v>260.0</v>
      </c>
      <c r="E727" s="1">
        <v>70.0</v>
      </c>
      <c r="F727" s="1">
        <v>80.0</v>
      </c>
      <c r="G727" s="1">
        <v>75.0</v>
      </c>
      <c r="H727" s="1">
        <v>48.0</v>
      </c>
      <c r="I727" s="1">
        <v>49.0</v>
      </c>
      <c r="J727" s="1">
        <v>75.0</v>
      </c>
      <c r="K727" s="1">
        <v>80.0</v>
      </c>
      <c r="L727" s="1">
        <v>57.0</v>
      </c>
      <c r="M727" s="1">
        <v>76.0</v>
      </c>
      <c r="N727" s="1">
        <v>81.0</v>
      </c>
      <c r="O727" s="1">
        <v>75.0</v>
      </c>
      <c r="P727" s="1">
        <v>74.0</v>
      </c>
      <c r="Q727" s="1">
        <v>85.0</v>
      </c>
      <c r="R727" s="1">
        <v>55.0</v>
      </c>
      <c r="S727" s="1">
        <v>78.0</v>
      </c>
      <c r="T727" s="1">
        <v>85.0</v>
      </c>
      <c r="U727" s="1">
        <v>96.0</v>
      </c>
      <c r="V727" s="1">
        <v>84.0</v>
      </c>
      <c r="W727" s="1">
        <v>76.0</v>
      </c>
      <c r="X727" s="1">
        <v>84.0</v>
      </c>
      <c r="Y727" s="1">
        <v>83.0</v>
      </c>
      <c r="Z727" s="1">
        <v>1.0</v>
      </c>
    </row>
    <row r="728">
      <c r="A728" s="1" t="s">
        <v>2516</v>
      </c>
      <c r="B728" s="1" t="s">
        <v>2108</v>
      </c>
      <c r="C728" s="1" t="s">
        <v>2115</v>
      </c>
      <c r="D728" s="1">
        <v>210.0</v>
      </c>
      <c r="E728" s="1">
        <v>80.0</v>
      </c>
      <c r="F728" s="1">
        <v>85.0</v>
      </c>
      <c r="G728" s="1">
        <v>93.0</v>
      </c>
      <c r="H728" s="1">
        <v>72.0</v>
      </c>
      <c r="I728" s="1">
        <v>80.0</v>
      </c>
      <c r="J728" s="1">
        <v>80.0</v>
      </c>
      <c r="K728" s="1">
        <v>80.0</v>
      </c>
      <c r="L728" s="1">
        <v>85.0</v>
      </c>
      <c r="M728" s="1">
        <v>87.0</v>
      </c>
      <c r="N728" s="1">
        <v>70.0</v>
      </c>
      <c r="O728" s="1">
        <v>68.0</v>
      </c>
      <c r="P728" s="1">
        <v>82.0</v>
      </c>
      <c r="Q728" s="1">
        <v>77.0</v>
      </c>
      <c r="R728" s="1">
        <v>73.0</v>
      </c>
      <c r="S728" s="1">
        <v>74.0</v>
      </c>
      <c r="T728" s="1">
        <v>85.0</v>
      </c>
      <c r="U728" s="1">
        <v>80.0</v>
      </c>
      <c r="V728" s="1">
        <v>79.0</v>
      </c>
      <c r="W728" s="1">
        <v>73.0</v>
      </c>
      <c r="X728" s="1">
        <v>72.0</v>
      </c>
      <c r="Y728" s="1">
        <v>77.0</v>
      </c>
      <c r="Z728" s="1">
        <v>1.0</v>
      </c>
    </row>
    <row r="729">
      <c r="A729" s="1" t="s">
        <v>2517</v>
      </c>
      <c r="B729" s="1" t="s">
        <v>2108</v>
      </c>
      <c r="C729" s="1" t="s">
        <v>1612</v>
      </c>
      <c r="D729" s="1" t="s">
        <v>2518</v>
      </c>
      <c r="E729" s="1" t="s">
        <v>1548</v>
      </c>
      <c r="F729" s="1" t="s">
        <v>893</v>
      </c>
      <c r="G729" s="1" t="s">
        <v>78</v>
      </c>
      <c r="H729" s="1" t="s">
        <v>1642</v>
      </c>
      <c r="I729" s="1" t="s">
        <v>1008</v>
      </c>
      <c r="J729" s="1" t="s">
        <v>31</v>
      </c>
      <c r="K729" s="1" t="s">
        <v>400</v>
      </c>
      <c r="L729" s="1" t="s">
        <v>530</v>
      </c>
      <c r="M729" s="1" t="s">
        <v>2519</v>
      </c>
      <c r="N729" s="1" t="s">
        <v>47</v>
      </c>
      <c r="O729" s="1" t="s">
        <v>2520</v>
      </c>
      <c r="P729" s="1" t="s">
        <v>723</v>
      </c>
      <c r="Q729" s="1" t="s">
        <v>248</v>
      </c>
      <c r="R729" s="1" t="s">
        <v>207</v>
      </c>
      <c r="S729" s="1" t="s">
        <v>525</v>
      </c>
      <c r="T729" s="1" t="s">
        <v>39</v>
      </c>
      <c r="U729" s="1" t="s">
        <v>35</v>
      </c>
      <c r="V729" s="1" t="s">
        <v>1315</v>
      </c>
      <c r="W729" s="1" t="s">
        <v>1382</v>
      </c>
      <c r="X729" s="1" t="s">
        <v>1014</v>
      </c>
      <c r="Y729" s="1" t="s">
        <v>622</v>
      </c>
      <c r="Z729" s="1">
        <v>1.0</v>
      </c>
    </row>
    <row r="730">
      <c r="A730" s="1" t="s">
        <v>2521</v>
      </c>
      <c r="B730" s="1" t="s">
        <v>2108</v>
      </c>
      <c r="C730" s="1" t="s">
        <v>2115</v>
      </c>
      <c r="D730" s="1">
        <v>241.0</v>
      </c>
      <c r="E730" s="1">
        <v>84.0</v>
      </c>
      <c r="F730" s="1">
        <v>82.0</v>
      </c>
      <c r="G730" s="1">
        <v>89.0</v>
      </c>
      <c r="H730" s="1">
        <v>81.0</v>
      </c>
      <c r="I730" s="1">
        <v>86.0</v>
      </c>
      <c r="J730" s="1">
        <v>80.0</v>
      </c>
      <c r="K730" s="1">
        <v>80.0</v>
      </c>
      <c r="L730" s="1">
        <v>73.0</v>
      </c>
      <c r="M730" s="1">
        <v>72.0</v>
      </c>
      <c r="N730" s="1">
        <v>71.0</v>
      </c>
      <c r="O730" s="1">
        <v>62.0</v>
      </c>
      <c r="P730" s="1">
        <v>81.0</v>
      </c>
      <c r="Q730" s="1">
        <v>72.0</v>
      </c>
      <c r="R730" s="1">
        <v>64.0</v>
      </c>
      <c r="S730" s="1">
        <v>84.0</v>
      </c>
      <c r="T730" s="1">
        <v>84.0</v>
      </c>
      <c r="U730" s="1">
        <v>80.0</v>
      </c>
      <c r="V730" s="1">
        <v>73.0</v>
      </c>
      <c r="W730" s="1">
        <v>62.0</v>
      </c>
      <c r="X730" s="1">
        <v>80.0</v>
      </c>
      <c r="Y730" s="1">
        <v>78.0</v>
      </c>
      <c r="Z730" s="1">
        <v>1.0</v>
      </c>
    </row>
    <row r="731">
      <c r="A731" s="1" t="s">
        <v>2522</v>
      </c>
      <c r="B731" s="1" t="s">
        <v>2108</v>
      </c>
      <c r="C731" s="1" t="s">
        <v>145</v>
      </c>
      <c r="D731" s="1">
        <v>265.0</v>
      </c>
      <c r="E731" s="1">
        <v>76.0</v>
      </c>
      <c r="F731" s="1">
        <v>57.0</v>
      </c>
      <c r="G731" s="1">
        <v>52.0</v>
      </c>
      <c r="H731" s="1">
        <v>32.0</v>
      </c>
      <c r="I731" s="1">
        <v>45.0</v>
      </c>
      <c r="J731" s="1">
        <v>88.0</v>
      </c>
      <c r="K731" s="1">
        <v>83.0</v>
      </c>
      <c r="L731" s="1">
        <v>70.0</v>
      </c>
      <c r="M731" s="1">
        <v>47.0</v>
      </c>
      <c r="N731" s="1">
        <v>72.0</v>
      </c>
      <c r="O731" s="1">
        <v>77.0</v>
      </c>
      <c r="P731" s="1">
        <v>92.0</v>
      </c>
      <c r="Q731" s="1">
        <v>95.0</v>
      </c>
      <c r="R731" s="1">
        <v>83.0</v>
      </c>
      <c r="S731" s="1">
        <v>80.0</v>
      </c>
      <c r="T731" s="1">
        <v>86.0</v>
      </c>
      <c r="U731" s="1">
        <v>92.0</v>
      </c>
      <c r="V731" s="1">
        <v>83.0</v>
      </c>
      <c r="W731" s="1">
        <v>83.0</v>
      </c>
      <c r="X731" s="1">
        <v>85.0</v>
      </c>
      <c r="Y731" s="1">
        <v>80.0</v>
      </c>
      <c r="Z731" s="1">
        <v>1.0</v>
      </c>
    </row>
    <row r="732">
      <c r="A732" s="1" t="s">
        <v>2523</v>
      </c>
      <c r="B732" s="1" t="s">
        <v>2108</v>
      </c>
      <c r="C732" s="1" t="s">
        <v>2121</v>
      </c>
      <c r="D732" s="1" t="s">
        <v>2524</v>
      </c>
      <c r="E732" s="1">
        <v>75.0</v>
      </c>
      <c r="F732" s="1" t="s">
        <v>576</v>
      </c>
      <c r="G732" s="1">
        <v>76.0</v>
      </c>
      <c r="H732" s="1">
        <v>90.0</v>
      </c>
      <c r="I732" s="1" t="s">
        <v>2525</v>
      </c>
      <c r="J732" s="1" t="s">
        <v>631</v>
      </c>
      <c r="K732" s="1" t="s">
        <v>1213</v>
      </c>
      <c r="L732" s="1" t="s">
        <v>1856</v>
      </c>
      <c r="M732" s="1" t="s">
        <v>2063</v>
      </c>
      <c r="N732" s="1" t="s">
        <v>1602</v>
      </c>
      <c r="O732" s="1" t="s">
        <v>81</v>
      </c>
      <c r="P732" s="1" t="s">
        <v>714</v>
      </c>
      <c r="Q732" s="1" t="s">
        <v>1070</v>
      </c>
      <c r="R732" s="1" t="s">
        <v>1027</v>
      </c>
      <c r="S732" s="1" t="s">
        <v>1539</v>
      </c>
      <c r="T732" s="1" t="s">
        <v>657</v>
      </c>
      <c r="U732" s="1" t="s">
        <v>1084</v>
      </c>
      <c r="V732" s="1" t="s">
        <v>1513</v>
      </c>
      <c r="W732" s="1" t="s">
        <v>519</v>
      </c>
      <c r="X732" s="1" t="s">
        <v>754</v>
      </c>
      <c r="Y732" s="1" t="s">
        <v>1046</v>
      </c>
      <c r="Z732" s="1">
        <v>1.0</v>
      </c>
    </row>
    <row r="733">
      <c r="A733" s="1" t="s">
        <v>2526</v>
      </c>
      <c r="B733" s="1" t="s">
        <v>2108</v>
      </c>
      <c r="C733" s="1" t="s">
        <v>1579</v>
      </c>
      <c r="D733" s="1">
        <v>230.0</v>
      </c>
      <c r="E733" s="1">
        <v>89.0</v>
      </c>
      <c r="F733" s="1">
        <v>72.0</v>
      </c>
      <c r="G733" s="1">
        <v>88.0</v>
      </c>
      <c r="H733" s="1">
        <v>71.0</v>
      </c>
      <c r="I733" s="1">
        <v>90.0</v>
      </c>
      <c r="J733" s="1">
        <v>81.0</v>
      </c>
      <c r="K733" s="1">
        <v>80.0</v>
      </c>
      <c r="L733" s="1">
        <v>82.0</v>
      </c>
      <c r="M733" s="1">
        <v>75.0</v>
      </c>
      <c r="N733" s="1">
        <v>78.0</v>
      </c>
      <c r="O733" s="1">
        <v>68.0</v>
      </c>
      <c r="P733" s="1">
        <v>88.0</v>
      </c>
      <c r="Q733" s="1">
        <v>39.0</v>
      </c>
      <c r="R733" s="1">
        <v>50.0</v>
      </c>
      <c r="S733" s="1">
        <v>90.0</v>
      </c>
      <c r="T733" s="1">
        <v>75.0</v>
      </c>
      <c r="U733" s="1">
        <v>88.0</v>
      </c>
      <c r="V733" s="1">
        <v>68.0</v>
      </c>
      <c r="W733" s="1">
        <v>62.0</v>
      </c>
      <c r="X733" s="1">
        <v>70.0</v>
      </c>
      <c r="Y733" s="1">
        <v>75.0</v>
      </c>
      <c r="Z733" s="1">
        <v>1.0</v>
      </c>
    </row>
    <row r="734">
      <c r="A734" s="1" t="s">
        <v>1456</v>
      </c>
      <c r="B734" s="1" t="s">
        <v>2108</v>
      </c>
      <c r="C734" s="1" t="s">
        <v>2110</v>
      </c>
      <c r="D734" s="1" t="s">
        <v>2527</v>
      </c>
      <c r="E734" s="1" t="s">
        <v>300</v>
      </c>
      <c r="F734" s="1" t="s">
        <v>300</v>
      </c>
      <c r="G734" s="1" t="s">
        <v>553</v>
      </c>
      <c r="H734" s="1" t="s">
        <v>98</v>
      </c>
      <c r="I734" s="1" t="s">
        <v>1365</v>
      </c>
      <c r="J734" s="1" t="s">
        <v>571</v>
      </c>
      <c r="K734" s="1" t="s">
        <v>242</v>
      </c>
      <c r="L734" s="1" t="s">
        <v>708</v>
      </c>
      <c r="M734" s="1" t="s">
        <v>1155</v>
      </c>
      <c r="N734" s="1" t="s">
        <v>424</v>
      </c>
      <c r="O734" s="1" t="s">
        <v>1227</v>
      </c>
      <c r="P734" s="1" t="s">
        <v>857</v>
      </c>
      <c r="Q734" s="1" t="s">
        <v>1156</v>
      </c>
      <c r="R734" s="1" t="s">
        <v>1126</v>
      </c>
      <c r="S734" s="1" t="s">
        <v>390</v>
      </c>
      <c r="T734" s="1" t="s">
        <v>38</v>
      </c>
      <c r="U734" s="1" t="s">
        <v>190</v>
      </c>
      <c r="V734" s="1" t="s">
        <v>190</v>
      </c>
      <c r="W734" s="1" t="s">
        <v>1272</v>
      </c>
      <c r="X734" s="1" t="s">
        <v>548</v>
      </c>
      <c r="Y734" s="1" t="s">
        <v>113</v>
      </c>
      <c r="Z734" s="1">
        <v>1.0</v>
      </c>
    </row>
    <row r="735">
      <c r="A735" s="1" t="s">
        <v>2528</v>
      </c>
      <c r="B735" s="1" t="s">
        <v>2108</v>
      </c>
      <c r="C735" s="1" t="s">
        <v>1534</v>
      </c>
      <c r="D735" s="1">
        <v>243.0</v>
      </c>
      <c r="E735" s="1">
        <v>65.0</v>
      </c>
      <c r="F735" s="1">
        <v>75.0</v>
      </c>
      <c r="G735" s="1">
        <v>80.0</v>
      </c>
      <c r="H735" s="1">
        <v>72.0</v>
      </c>
      <c r="I735" s="1">
        <v>70.0</v>
      </c>
      <c r="J735" s="1">
        <v>73.0</v>
      </c>
      <c r="K735" s="1">
        <v>83.0</v>
      </c>
      <c r="L735" s="1">
        <v>70.0</v>
      </c>
      <c r="M735" s="1">
        <v>87.0</v>
      </c>
      <c r="N735" s="1">
        <v>80.0</v>
      </c>
      <c r="O735" s="1">
        <v>70.0</v>
      </c>
      <c r="P735" s="1">
        <v>75.0</v>
      </c>
      <c r="Q735" s="1">
        <v>74.0</v>
      </c>
      <c r="R735" s="1">
        <v>73.0</v>
      </c>
      <c r="S735" s="1">
        <v>84.0</v>
      </c>
      <c r="T735" s="1">
        <v>70.0</v>
      </c>
      <c r="U735" s="1">
        <v>85.0</v>
      </c>
      <c r="V735" s="1">
        <v>75.0</v>
      </c>
      <c r="W735" s="1">
        <v>73.0</v>
      </c>
      <c r="X735" s="1">
        <v>93.0</v>
      </c>
      <c r="Y735" s="1">
        <v>70.0</v>
      </c>
      <c r="Z735" s="1">
        <v>1.0</v>
      </c>
    </row>
    <row r="736">
      <c r="A736" s="1" t="s">
        <v>2529</v>
      </c>
      <c r="B736" s="1" t="s">
        <v>2108</v>
      </c>
      <c r="C736" s="1" t="s">
        <v>1534</v>
      </c>
      <c r="D736" s="1" t="s">
        <v>2530</v>
      </c>
      <c r="E736" s="1" t="s">
        <v>937</v>
      </c>
      <c r="F736" s="1" t="s">
        <v>1548</v>
      </c>
      <c r="G736" s="1" t="s">
        <v>277</v>
      </c>
      <c r="H736" s="1" t="s">
        <v>2531</v>
      </c>
      <c r="I736" s="1" t="s">
        <v>2532</v>
      </c>
      <c r="J736" s="1" t="s">
        <v>966</v>
      </c>
      <c r="K736" s="1" t="s">
        <v>1546</v>
      </c>
      <c r="L736" s="1" t="s">
        <v>2218</v>
      </c>
      <c r="M736" s="1" t="s">
        <v>2533</v>
      </c>
      <c r="N736" s="1" t="s">
        <v>2534</v>
      </c>
      <c r="O736" s="1" t="s">
        <v>1697</v>
      </c>
      <c r="P736" s="1" t="s">
        <v>1137</v>
      </c>
      <c r="Q736" s="1" t="s">
        <v>132</v>
      </c>
      <c r="R736" s="1" t="s">
        <v>836</v>
      </c>
      <c r="S736" s="1" t="s">
        <v>66</v>
      </c>
      <c r="T736" s="1" t="s">
        <v>2535</v>
      </c>
      <c r="U736" s="1" t="s">
        <v>36</v>
      </c>
      <c r="V736" s="1" t="s">
        <v>1258</v>
      </c>
      <c r="W736" s="1" t="s">
        <v>878</v>
      </c>
      <c r="X736" s="1" t="s">
        <v>82</v>
      </c>
      <c r="Y736" s="1" t="s">
        <v>419</v>
      </c>
      <c r="Z736" s="1">
        <v>1.0</v>
      </c>
    </row>
    <row r="737">
      <c r="A737" s="1" t="s">
        <v>2536</v>
      </c>
      <c r="B737" s="1" t="s">
        <v>2108</v>
      </c>
      <c r="C737" s="1" t="s">
        <v>2327</v>
      </c>
      <c r="D737" s="1">
        <v>250.0</v>
      </c>
      <c r="E737" s="1">
        <v>84.0</v>
      </c>
      <c r="F737" s="1">
        <v>80.0</v>
      </c>
      <c r="G737" s="1">
        <v>80.0</v>
      </c>
      <c r="H737" s="1">
        <v>85.0</v>
      </c>
      <c r="I737" s="1">
        <v>59.0</v>
      </c>
      <c r="J737" s="1">
        <v>68.0</v>
      </c>
      <c r="K737" s="1">
        <v>78.0</v>
      </c>
      <c r="L737" s="1">
        <v>80.0</v>
      </c>
      <c r="M737" s="1">
        <v>76.0</v>
      </c>
      <c r="N737" s="1">
        <v>55.0</v>
      </c>
      <c r="O737" s="1">
        <v>50.0</v>
      </c>
      <c r="P737" s="1">
        <v>88.0</v>
      </c>
      <c r="Q737" s="1">
        <v>62.0</v>
      </c>
      <c r="R737" s="1">
        <v>67.0</v>
      </c>
      <c r="S737" s="1">
        <v>93.0</v>
      </c>
      <c r="T737" s="1">
        <v>75.0</v>
      </c>
      <c r="U737" s="1">
        <v>94.0</v>
      </c>
      <c r="V737" s="1">
        <v>65.0</v>
      </c>
      <c r="W737" s="1">
        <v>56.0</v>
      </c>
      <c r="X737" s="1">
        <v>84.0</v>
      </c>
      <c r="Y737" s="1">
        <v>83.0</v>
      </c>
      <c r="Z737" s="1">
        <v>1.0</v>
      </c>
    </row>
    <row r="738">
      <c r="A738" s="1" t="s">
        <v>2537</v>
      </c>
      <c r="B738" s="1" t="s">
        <v>2108</v>
      </c>
      <c r="C738" s="1" t="s">
        <v>1579</v>
      </c>
      <c r="D738" s="1">
        <v>213.0</v>
      </c>
      <c r="E738" s="1">
        <v>82.0</v>
      </c>
      <c r="F738" s="1">
        <v>70.0</v>
      </c>
      <c r="G738" s="1">
        <v>75.0</v>
      </c>
      <c r="H738" s="1">
        <v>72.0</v>
      </c>
      <c r="I738" s="1">
        <v>60.0</v>
      </c>
      <c r="J738" s="1">
        <v>92.0</v>
      </c>
      <c r="K738" s="1">
        <v>89.0</v>
      </c>
      <c r="L738" s="1">
        <v>70.0</v>
      </c>
      <c r="M738" s="1">
        <v>85.0</v>
      </c>
      <c r="N738" s="1">
        <v>73.0</v>
      </c>
      <c r="O738" s="1">
        <v>68.0</v>
      </c>
      <c r="P738" s="1">
        <v>82.0</v>
      </c>
      <c r="Q738" s="1">
        <v>71.0</v>
      </c>
      <c r="R738" s="1">
        <v>69.0</v>
      </c>
      <c r="S738" s="1">
        <v>84.0</v>
      </c>
      <c r="T738" s="1">
        <v>65.0</v>
      </c>
      <c r="U738" s="1">
        <v>80.0</v>
      </c>
      <c r="V738" s="1">
        <v>78.0</v>
      </c>
      <c r="W738" s="1">
        <v>70.0</v>
      </c>
      <c r="X738" s="1">
        <v>80.0</v>
      </c>
      <c r="Y738" s="1">
        <v>77.0</v>
      </c>
      <c r="Z738" s="1">
        <v>1.0</v>
      </c>
    </row>
    <row r="739">
      <c r="A739" s="1" t="s">
        <v>2538</v>
      </c>
      <c r="B739" s="1" t="s">
        <v>2108</v>
      </c>
      <c r="C739" s="1" t="s">
        <v>1534</v>
      </c>
      <c r="D739" s="1">
        <v>225.0</v>
      </c>
      <c r="E739" s="1">
        <v>79.0</v>
      </c>
      <c r="F739" s="1">
        <v>72.0</v>
      </c>
      <c r="G739" s="1">
        <v>89.0</v>
      </c>
      <c r="H739" s="1">
        <v>57.0</v>
      </c>
      <c r="I739" s="1">
        <v>53.0</v>
      </c>
      <c r="J739" s="1">
        <v>89.0</v>
      </c>
      <c r="K739" s="1">
        <v>86.0</v>
      </c>
      <c r="L739" s="1">
        <v>70.0</v>
      </c>
      <c r="M739" s="1">
        <v>66.0</v>
      </c>
      <c r="N739" s="1">
        <v>80.0</v>
      </c>
      <c r="O739" s="1">
        <v>71.0</v>
      </c>
      <c r="P739" s="1">
        <v>83.0</v>
      </c>
      <c r="Q739" s="1">
        <v>55.0</v>
      </c>
      <c r="R739" s="1">
        <v>74.0</v>
      </c>
      <c r="S739" s="1">
        <v>84.0</v>
      </c>
      <c r="T739" s="1">
        <v>84.0</v>
      </c>
      <c r="U739" s="1">
        <v>80.0</v>
      </c>
      <c r="V739" s="1">
        <v>82.0</v>
      </c>
      <c r="W739" s="1">
        <v>79.0</v>
      </c>
      <c r="X739" s="1">
        <v>70.0</v>
      </c>
      <c r="Y739" s="1">
        <v>85.0</v>
      </c>
      <c r="Z739" s="1">
        <v>1.0</v>
      </c>
    </row>
    <row r="740">
      <c r="A740" s="1" t="s">
        <v>2539</v>
      </c>
      <c r="B740" s="1" t="s">
        <v>2108</v>
      </c>
      <c r="C740" s="1" t="s">
        <v>1534</v>
      </c>
      <c r="D740" s="1">
        <v>240.0</v>
      </c>
      <c r="E740" s="1">
        <v>75.0</v>
      </c>
      <c r="F740" s="1">
        <v>75.0</v>
      </c>
      <c r="G740" s="1">
        <v>90.0</v>
      </c>
      <c r="H740" s="1">
        <v>60.0</v>
      </c>
      <c r="I740" s="1">
        <v>51.0</v>
      </c>
      <c r="J740" s="1">
        <v>78.0</v>
      </c>
      <c r="K740" s="1">
        <v>84.0</v>
      </c>
      <c r="L740" s="1">
        <v>74.0</v>
      </c>
      <c r="M740" s="1">
        <v>85.0</v>
      </c>
      <c r="N740" s="1">
        <v>75.0</v>
      </c>
      <c r="O740" s="1">
        <v>70.0</v>
      </c>
      <c r="P740" s="1">
        <v>80.0</v>
      </c>
      <c r="Q740" s="1">
        <v>53.0</v>
      </c>
      <c r="R740" s="1">
        <v>59.0</v>
      </c>
      <c r="S740" s="1">
        <v>87.0</v>
      </c>
      <c r="T740" s="1">
        <v>69.0</v>
      </c>
      <c r="U740" s="1">
        <v>90.0</v>
      </c>
      <c r="V740" s="1">
        <v>81.0</v>
      </c>
      <c r="W740" s="1">
        <v>66.0</v>
      </c>
      <c r="X740" s="1">
        <v>86.0</v>
      </c>
      <c r="Y740" s="1">
        <v>80.0</v>
      </c>
      <c r="Z740" s="1">
        <v>1.0</v>
      </c>
    </row>
    <row r="741">
      <c r="A741" s="1" t="s">
        <v>2540</v>
      </c>
      <c r="B741" s="1" t="s">
        <v>2108</v>
      </c>
      <c r="C741" s="1" t="s">
        <v>2212</v>
      </c>
      <c r="D741" s="1" t="s">
        <v>2541</v>
      </c>
      <c r="E741" s="1" t="s">
        <v>394</v>
      </c>
      <c r="F741" s="1" t="s">
        <v>1428</v>
      </c>
      <c r="G741" s="1" t="s">
        <v>863</v>
      </c>
      <c r="H741" s="1" t="s">
        <v>87</v>
      </c>
      <c r="I741" s="1" t="s">
        <v>1309</v>
      </c>
      <c r="J741" s="1" t="s">
        <v>730</v>
      </c>
      <c r="K741" s="1" t="s">
        <v>400</v>
      </c>
      <c r="L741" s="1" t="s">
        <v>1496</v>
      </c>
      <c r="M741" s="1" t="s">
        <v>753</v>
      </c>
      <c r="N741" s="1" t="s">
        <v>203</v>
      </c>
      <c r="O741" s="1" t="s">
        <v>2542</v>
      </c>
      <c r="P741" s="1" t="s">
        <v>404</v>
      </c>
      <c r="Q741" s="1" t="s">
        <v>2274</v>
      </c>
      <c r="R741" s="1" t="s">
        <v>48</v>
      </c>
      <c r="S741" s="1" t="s">
        <v>671</v>
      </c>
      <c r="T741" s="1" t="s">
        <v>82</v>
      </c>
      <c r="U741" s="1" t="s">
        <v>867</v>
      </c>
      <c r="V741" s="1" t="s">
        <v>457</v>
      </c>
      <c r="W741" s="1" t="s">
        <v>1112</v>
      </c>
      <c r="X741" s="1" t="s">
        <v>840</v>
      </c>
      <c r="Y741" s="1" t="s">
        <v>221</v>
      </c>
      <c r="Z741" s="1">
        <v>1.0</v>
      </c>
    </row>
    <row r="742">
      <c r="A742" s="1" t="s">
        <v>1474</v>
      </c>
      <c r="B742" s="1" t="s">
        <v>2108</v>
      </c>
      <c r="C742" s="1" t="s">
        <v>1693</v>
      </c>
      <c r="D742" s="1" t="s">
        <v>2543</v>
      </c>
      <c r="E742" s="1" t="s">
        <v>635</v>
      </c>
      <c r="F742" s="1" t="s">
        <v>404</v>
      </c>
      <c r="G742" s="1" t="s">
        <v>659</v>
      </c>
      <c r="H742" s="1" t="s">
        <v>38</v>
      </c>
      <c r="I742" s="1" t="s">
        <v>267</v>
      </c>
      <c r="J742" s="1" t="s">
        <v>1901</v>
      </c>
      <c r="K742" s="1" t="s">
        <v>583</v>
      </c>
      <c r="L742" s="1" t="s">
        <v>2544</v>
      </c>
      <c r="M742" s="1" t="s">
        <v>432</v>
      </c>
      <c r="N742" s="1" t="s">
        <v>190</v>
      </c>
      <c r="O742" s="1" t="s">
        <v>363</v>
      </c>
      <c r="P742" s="1" t="s">
        <v>179</v>
      </c>
      <c r="Q742" s="1" t="s">
        <v>1644</v>
      </c>
      <c r="R742" s="1" t="s">
        <v>1600</v>
      </c>
      <c r="S742" s="1" t="s">
        <v>253</v>
      </c>
      <c r="T742" s="1" t="s">
        <v>227</v>
      </c>
      <c r="U742" s="1" t="s">
        <v>229</v>
      </c>
      <c r="V742" s="1" t="s">
        <v>1292</v>
      </c>
      <c r="W742" s="1" t="s">
        <v>998</v>
      </c>
      <c r="X742" s="1" t="s">
        <v>199</v>
      </c>
      <c r="Y742" s="1" t="s">
        <v>1098</v>
      </c>
      <c r="Z742" s="1">
        <v>1.0</v>
      </c>
    </row>
    <row r="743">
      <c r="A743" s="1" t="s">
        <v>2545</v>
      </c>
      <c r="B743" s="1" t="s">
        <v>2108</v>
      </c>
      <c r="C743" s="1" t="s">
        <v>2115</v>
      </c>
      <c r="D743" s="1">
        <v>264.0</v>
      </c>
      <c r="E743" s="1">
        <v>88.0</v>
      </c>
      <c r="F743" s="1">
        <v>80.0</v>
      </c>
      <c r="G743" s="1">
        <v>62.0</v>
      </c>
      <c r="H743" s="1">
        <v>81.0</v>
      </c>
      <c r="I743" s="1">
        <v>84.0</v>
      </c>
      <c r="J743" s="1">
        <v>93.0</v>
      </c>
      <c r="K743" s="1">
        <v>91.0</v>
      </c>
      <c r="L743" s="1">
        <v>69.0</v>
      </c>
      <c r="M743" s="1">
        <v>70.0</v>
      </c>
      <c r="N743" s="1">
        <v>46.0</v>
      </c>
      <c r="O743" s="1">
        <v>44.0</v>
      </c>
      <c r="P743" s="1">
        <v>85.0</v>
      </c>
      <c r="Q743" s="1">
        <v>71.0</v>
      </c>
      <c r="R743" s="1">
        <v>42.0</v>
      </c>
      <c r="S743" s="1">
        <v>84.0</v>
      </c>
      <c r="T743" s="1">
        <v>80.0</v>
      </c>
      <c r="U743" s="1">
        <v>88.0</v>
      </c>
      <c r="V743" s="1">
        <v>70.0</v>
      </c>
      <c r="W743" s="1">
        <v>58.0</v>
      </c>
      <c r="X743" s="1">
        <v>85.0</v>
      </c>
      <c r="Y743" s="1">
        <v>77.0</v>
      </c>
      <c r="Z743" s="1">
        <v>1.0</v>
      </c>
    </row>
    <row r="744">
      <c r="A744" s="1" t="s">
        <v>2546</v>
      </c>
      <c r="B744" s="1" t="s">
        <v>2108</v>
      </c>
      <c r="C744" s="1" t="s">
        <v>1579</v>
      </c>
      <c r="D744" s="1">
        <v>240.0</v>
      </c>
      <c r="E744" s="1">
        <v>79.0</v>
      </c>
      <c r="F744" s="1">
        <v>70.0</v>
      </c>
      <c r="G744" s="1">
        <v>73.0</v>
      </c>
      <c r="H744" s="1">
        <v>80.0</v>
      </c>
      <c r="I744" s="1">
        <v>54.0</v>
      </c>
      <c r="J744" s="1">
        <v>85.0</v>
      </c>
      <c r="K744" s="1">
        <v>73.0</v>
      </c>
      <c r="L744" s="1">
        <v>62.0</v>
      </c>
      <c r="M744" s="1">
        <v>76.0</v>
      </c>
      <c r="N744" s="1">
        <v>60.0</v>
      </c>
      <c r="O744" s="1">
        <v>50.0</v>
      </c>
      <c r="P744" s="1">
        <v>85.0</v>
      </c>
      <c r="Q744" s="1">
        <v>45.0</v>
      </c>
      <c r="R744" s="1">
        <v>60.0</v>
      </c>
      <c r="S744" s="1">
        <v>88.0</v>
      </c>
      <c r="T744" s="1">
        <v>93.0</v>
      </c>
      <c r="U744" s="1">
        <v>83.0</v>
      </c>
      <c r="V744" s="1">
        <v>75.0</v>
      </c>
      <c r="W744" s="1">
        <v>70.0</v>
      </c>
      <c r="X744" s="1">
        <v>83.0</v>
      </c>
      <c r="Y744" s="1">
        <v>83.0</v>
      </c>
      <c r="Z744" s="1">
        <v>1.0</v>
      </c>
    </row>
    <row r="745">
      <c r="A745" s="1" t="s">
        <v>2547</v>
      </c>
      <c r="B745" s="1" t="s">
        <v>2108</v>
      </c>
      <c r="C745" s="1" t="s">
        <v>1612</v>
      </c>
      <c r="D745" s="1" t="s">
        <v>2548</v>
      </c>
      <c r="E745" s="1" t="s">
        <v>242</v>
      </c>
      <c r="F745" s="1" t="s">
        <v>190</v>
      </c>
      <c r="G745" s="1" t="s">
        <v>806</v>
      </c>
      <c r="H745" s="1" t="s">
        <v>1737</v>
      </c>
      <c r="I745" s="1" t="s">
        <v>38</v>
      </c>
      <c r="J745" s="1" t="s">
        <v>242</v>
      </c>
      <c r="K745" s="1">
        <v>80.0</v>
      </c>
      <c r="L745" s="1" t="s">
        <v>1218</v>
      </c>
      <c r="M745" s="1" t="s">
        <v>242</v>
      </c>
      <c r="N745" s="1" t="s">
        <v>568</v>
      </c>
      <c r="O745" s="1" t="s">
        <v>242</v>
      </c>
      <c r="P745" s="1" t="s">
        <v>98</v>
      </c>
      <c r="Q745" s="1" t="s">
        <v>110</v>
      </c>
      <c r="R745" s="1" t="s">
        <v>1157</v>
      </c>
      <c r="S745" s="1" t="s">
        <v>1046</v>
      </c>
      <c r="T745" s="1" t="s">
        <v>242</v>
      </c>
      <c r="U745" s="1" t="s">
        <v>860</v>
      </c>
      <c r="V745" s="1" t="s">
        <v>39</v>
      </c>
      <c r="W745" s="1" t="s">
        <v>860</v>
      </c>
      <c r="X745" s="1" t="s">
        <v>242</v>
      </c>
      <c r="Y745" s="1" t="s">
        <v>137</v>
      </c>
      <c r="Z745" s="1">
        <v>1.0</v>
      </c>
    </row>
    <row r="746">
      <c r="A746" s="1" t="s">
        <v>2549</v>
      </c>
      <c r="B746" s="1" t="s">
        <v>2108</v>
      </c>
      <c r="C746" s="1" t="s">
        <v>2121</v>
      </c>
      <c r="D746" s="1" t="s">
        <v>2550</v>
      </c>
      <c r="E746" s="1" t="s">
        <v>593</v>
      </c>
      <c r="F746" s="1" t="s">
        <v>1005</v>
      </c>
      <c r="G746" s="1" t="s">
        <v>2551</v>
      </c>
      <c r="H746" s="1" t="s">
        <v>1326</v>
      </c>
      <c r="I746" s="1" t="s">
        <v>2199</v>
      </c>
      <c r="J746" s="1" t="s">
        <v>128</v>
      </c>
      <c r="K746" s="1" t="s">
        <v>166</v>
      </c>
      <c r="L746" s="1" t="s">
        <v>2373</v>
      </c>
      <c r="M746" s="1" t="s">
        <v>901</v>
      </c>
      <c r="N746" s="1" t="s">
        <v>1426</v>
      </c>
      <c r="O746" s="1" t="s">
        <v>40</v>
      </c>
      <c r="P746" s="1" t="s">
        <v>208</v>
      </c>
      <c r="Q746" s="1" t="s">
        <v>1109</v>
      </c>
      <c r="R746" s="1" t="s">
        <v>1133</v>
      </c>
      <c r="S746" s="1" t="s">
        <v>149</v>
      </c>
      <c r="T746" s="1" t="s">
        <v>401</v>
      </c>
      <c r="U746" s="1" t="s">
        <v>1315</v>
      </c>
      <c r="V746" s="1" t="s">
        <v>1054</v>
      </c>
      <c r="W746" s="1" t="s">
        <v>1879</v>
      </c>
      <c r="X746" s="1" t="s">
        <v>76</v>
      </c>
      <c r="Y746" s="1" t="s">
        <v>398</v>
      </c>
      <c r="Z746" s="1">
        <v>1.0</v>
      </c>
    </row>
    <row r="747">
      <c r="A747" s="1" t="s">
        <v>2552</v>
      </c>
      <c r="B747" s="1" t="s">
        <v>2108</v>
      </c>
      <c r="C747" s="1" t="s">
        <v>1579</v>
      </c>
      <c r="D747" s="1">
        <v>233.0</v>
      </c>
      <c r="E747" s="1">
        <v>87.0</v>
      </c>
      <c r="F747" s="1">
        <v>93.0</v>
      </c>
      <c r="G747" s="1">
        <v>96.0</v>
      </c>
      <c r="H747" s="1">
        <v>95.0</v>
      </c>
      <c r="I747" s="1">
        <v>87.0</v>
      </c>
      <c r="J747" s="1">
        <v>50.0</v>
      </c>
      <c r="K747" s="1">
        <v>35.0</v>
      </c>
      <c r="L747" s="1">
        <v>74.0</v>
      </c>
      <c r="M747" s="1">
        <v>55.0</v>
      </c>
      <c r="N747" s="1">
        <v>67.0</v>
      </c>
      <c r="O747" s="1">
        <v>68.0</v>
      </c>
      <c r="P747" s="1">
        <v>67.0</v>
      </c>
      <c r="Q747" s="1">
        <v>47.0</v>
      </c>
      <c r="R747" s="1">
        <v>67.0</v>
      </c>
      <c r="S747" s="1">
        <v>78.0</v>
      </c>
      <c r="T747" s="1">
        <v>60.0</v>
      </c>
      <c r="U747" s="1">
        <v>60.0</v>
      </c>
      <c r="V747" s="1">
        <v>77.0</v>
      </c>
      <c r="W747" s="1">
        <v>71.0</v>
      </c>
      <c r="X747" s="1">
        <v>86.0</v>
      </c>
      <c r="Y747" s="1">
        <v>88.0</v>
      </c>
      <c r="Z747" s="1">
        <v>1.0</v>
      </c>
    </row>
    <row r="748">
      <c r="A748" s="1" t="s">
        <v>2553</v>
      </c>
      <c r="B748" s="1" t="s">
        <v>2108</v>
      </c>
      <c r="C748" s="1" t="s">
        <v>970</v>
      </c>
      <c r="D748" s="1">
        <v>239.0</v>
      </c>
      <c r="E748" s="1">
        <v>78.0</v>
      </c>
      <c r="F748" s="1">
        <v>80.0</v>
      </c>
      <c r="G748" s="1">
        <v>87.0</v>
      </c>
      <c r="H748" s="1">
        <v>47.0</v>
      </c>
      <c r="I748" s="1">
        <v>48.0</v>
      </c>
      <c r="J748" s="1">
        <v>89.0</v>
      </c>
      <c r="K748" s="1">
        <v>83.0</v>
      </c>
      <c r="L748" s="1">
        <v>77.0</v>
      </c>
      <c r="M748" s="1">
        <v>70.0</v>
      </c>
      <c r="N748" s="1">
        <v>52.0</v>
      </c>
      <c r="O748" s="1">
        <v>45.0</v>
      </c>
      <c r="P748" s="1">
        <v>70.0</v>
      </c>
      <c r="Q748" s="1">
        <v>92.0</v>
      </c>
      <c r="R748" s="1">
        <v>73.0</v>
      </c>
      <c r="S748" s="1">
        <v>84.0</v>
      </c>
      <c r="T748" s="1">
        <v>58.0</v>
      </c>
      <c r="U748" s="1">
        <v>83.0</v>
      </c>
      <c r="V748" s="1">
        <v>75.0</v>
      </c>
      <c r="W748" s="1">
        <v>80.0</v>
      </c>
      <c r="X748" s="1">
        <v>82.0</v>
      </c>
      <c r="Y748" s="1">
        <v>75.0</v>
      </c>
      <c r="Z748" s="1">
        <v>1.0</v>
      </c>
    </row>
    <row r="749">
      <c r="A749" s="1" t="s">
        <v>2554</v>
      </c>
      <c r="B749" s="1" t="s">
        <v>2108</v>
      </c>
      <c r="C749" s="1" t="s">
        <v>1534</v>
      </c>
      <c r="D749" s="1">
        <v>248.0</v>
      </c>
      <c r="E749" s="1">
        <v>75.0</v>
      </c>
      <c r="F749" s="1">
        <v>80.0</v>
      </c>
      <c r="G749" s="1">
        <v>93.0</v>
      </c>
      <c r="H749" s="1">
        <v>59.0</v>
      </c>
      <c r="I749" s="1">
        <v>51.0</v>
      </c>
      <c r="J749" s="1">
        <v>77.0</v>
      </c>
      <c r="K749" s="1">
        <v>85.0</v>
      </c>
      <c r="L749" s="1">
        <v>60.0</v>
      </c>
      <c r="M749" s="1">
        <v>71.0</v>
      </c>
      <c r="N749" s="1">
        <v>80.0</v>
      </c>
      <c r="O749" s="1">
        <v>70.0</v>
      </c>
      <c r="P749" s="1">
        <v>80.0</v>
      </c>
      <c r="Q749" s="1">
        <v>74.0</v>
      </c>
      <c r="R749" s="1">
        <v>46.0</v>
      </c>
      <c r="S749" s="1">
        <v>84.0</v>
      </c>
      <c r="T749" s="1">
        <v>70.0</v>
      </c>
      <c r="U749" s="1">
        <v>92.0</v>
      </c>
      <c r="V749" s="1">
        <v>80.0</v>
      </c>
      <c r="W749" s="1">
        <v>75.0</v>
      </c>
      <c r="X749" s="1">
        <v>73.0</v>
      </c>
      <c r="Y749" s="1">
        <v>80.0</v>
      </c>
      <c r="Z749" s="1">
        <v>1.0</v>
      </c>
    </row>
    <row r="750">
      <c r="A750" s="1" t="s">
        <v>2555</v>
      </c>
      <c r="B750" s="1" t="s">
        <v>2108</v>
      </c>
      <c r="C750" s="1" t="s">
        <v>1534</v>
      </c>
      <c r="D750" s="1" t="s">
        <v>2556</v>
      </c>
      <c r="E750" s="1" t="s">
        <v>1272</v>
      </c>
      <c r="F750" s="1" t="s">
        <v>1937</v>
      </c>
      <c r="G750" s="1" t="s">
        <v>2069</v>
      </c>
      <c r="H750" s="1" t="s">
        <v>781</v>
      </c>
      <c r="I750" s="1" t="s">
        <v>1913</v>
      </c>
      <c r="J750" s="1" t="s">
        <v>838</v>
      </c>
      <c r="K750" s="1">
        <v>80.0</v>
      </c>
      <c r="L750" s="1" t="s">
        <v>2157</v>
      </c>
      <c r="M750" s="1" t="s">
        <v>1668</v>
      </c>
      <c r="N750" s="1" t="s">
        <v>1392</v>
      </c>
      <c r="O750" s="1" t="s">
        <v>1090</v>
      </c>
      <c r="P750" s="1" t="s">
        <v>893</v>
      </c>
      <c r="Q750" s="1" t="s">
        <v>132</v>
      </c>
      <c r="R750" s="1">
        <v>85.0</v>
      </c>
      <c r="S750" s="1" t="s">
        <v>1088</v>
      </c>
      <c r="T750" s="1" t="s">
        <v>1098</v>
      </c>
      <c r="U750" s="1" t="s">
        <v>278</v>
      </c>
      <c r="V750" s="1">
        <v>80.0</v>
      </c>
      <c r="W750" s="1" t="s">
        <v>1136</v>
      </c>
      <c r="X750" s="1" t="s">
        <v>227</v>
      </c>
      <c r="Y750" s="1" t="s">
        <v>1539</v>
      </c>
      <c r="Z750" s="1">
        <v>1.0</v>
      </c>
    </row>
    <row r="751">
      <c r="A751" s="1" t="s">
        <v>2557</v>
      </c>
      <c r="B751" s="1" t="s">
        <v>2108</v>
      </c>
      <c r="C751" s="1" t="s">
        <v>1579</v>
      </c>
      <c r="D751" s="1">
        <v>210.0</v>
      </c>
      <c r="E751" s="1">
        <v>80.0</v>
      </c>
      <c r="F751" s="1">
        <v>74.0</v>
      </c>
      <c r="G751" s="1">
        <v>93.0</v>
      </c>
      <c r="H751" s="1">
        <v>81.0</v>
      </c>
      <c r="I751" s="1">
        <v>57.0</v>
      </c>
      <c r="J751" s="1">
        <v>75.0</v>
      </c>
      <c r="K751" s="1">
        <v>85.0</v>
      </c>
      <c r="L751" s="1">
        <v>73.0</v>
      </c>
      <c r="M751" s="1">
        <v>70.0</v>
      </c>
      <c r="N751" s="1">
        <v>78.0</v>
      </c>
      <c r="O751" s="1">
        <v>71.0</v>
      </c>
      <c r="P751" s="1">
        <v>80.0</v>
      </c>
      <c r="Q751" s="1">
        <v>55.0</v>
      </c>
      <c r="R751" s="1">
        <v>70.0</v>
      </c>
      <c r="S751" s="1">
        <v>84.0</v>
      </c>
      <c r="T751" s="1">
        <v>73.0</v>
      </c>
      <c r="U751" s="1">
        <v>80.0</v>
      </c>
      <c r="V751" s="1">
        <v>77.0</v>
      </c>
      <c r="W751" s="1">
        <v>69.0</v>
      </c>
      <c r="X751" s="1">
        <v>76.0</v>
      </c>
      <c r="Y751" s="1">
        <v>80.0</v>
      </c>
      <c r="Z751" s="1">
        <v>1.0</v>
      </c>
    </row>
    <row r="752">
      <c r="A752" s="1" t="s">
        <v>2558</v>
      </c>
      <c r="B752" s="1" t="s">
        <v>2108</v>
      </c>
      <c r="C752" s="1" t="s">
        <v>192</v>
      </c>
      <c r="D752" s="1">
        <v>250.0</v>
      </c>
      <c r="E752" s="1">
        <v>84.0</v>
      </c>
      <c r="F752" s="1">
        <v>90.0</v>
      </c>
      <c r="G752" s="1">
        <v>87.0</v>
      </c>
      <c r="H752" s="1">
        <v>72.0</v>
      </c>
      <c r="I752" s="1">
        <v>79.0</v>
      </c>
      <c r="J752" s="1">
        <v>85.0</v>
      </c>
      <c r="K752" s="1">
        <v>76.0</v>
      </c>
      <c r="L752" s="1">
        <v>72.0</v>
      </c>
      <c r="M752" s="1">
        <v>85.0</v>
      </c>
      <c r="N752" s="1">
        <v>81.0</v>
      </c>
      <c r="O752" s="1">
        <v>75.0</v>
      </c>
      <c r="P752" s="1">
        <v>74.0</v>
      </c>
      <c r="Q752" s="1">
        <v>74.0</v>
      </c>
      <c r="R752" s="1">
        <v>44.0</v>
      </c>
      <c r="S752" s="1">
        <v>78.0</v>
      </c>
      <c r="T752" s="1">
        <v>40.0</v>
      </c>
      <c r="U752" s="1">
        <v>60.0</v>
      </c>
      <c r="V752" s="1">
        <v>79.0</v>
      </c>
      <c r="W752" s="1">
        <v>75.0</v>
      </c>
      <c r="X752" s="1">
        <v>84.0</v>
      </c>
      <c r="Y752" s="1">
        <v>75.0</v>
      </c>
      <c r="Z752" s="1">
        <v>1.0</v>
      </c>
    </row>
    <row r="753">
      <c r="A753" s="1" t="s">
        <v>2559</v>
      </c>
      <c r="B753" s="1" t="s">
        <v>2108</v>
      </c>
      <c r="C753" s="1" t="s">
        <v>1534</v>
      </c>
      <c r="D753" s="1">
        <v>248.0</v>
      </c>
      <c r="E753" s="1">
        <v>92.0</v>
      </c>
      <c r="F753" s="1">
        <v>70.0</v>
      </c>
      <c r="G753" s="1">
        <v>73.0</v>
      </c>
      <c r="H753" s="1">
        <v>81.0</v>
      </c>
      <c r="I753" s="1">
        <v>87.0</v>
      </c>
      <c r="J753" s="1">
        <v>92.0</v>
      </c>
      <c r="K753" s="1">
        <v>75.0</v>
      </c>
      <c r="L753" s="1">
        <v>68.0</v>
      </c>
      <c r="M753" s="1">
        <v>70.0</v>
      </c>
      <c r="N753" s="1">
        <v>80.0</v>
      </c>
      <c r="O753" s="1">
        <v>70.0</v>
      </c>
      <c r="P753" s="1">
        <v>82.0</v>
      </c>
      <c r="Q753" s="1">
        <v>74.0</v>
      </c>
      <c r="R753" s="1">
        <v>44.0</v>
      </c>
      <c r="S753" s="1">
        <v>74.0</v>
      </c>
      <c r="T753" s="1">
        <v>80.0</v>
      </c>
      <c r="U753" s="1">
        <v>80.0</v>
      </c>
      <c r="V753" s="1">
        <v>75.0</v>
      </c>
      <c r="W753" s="1">
        <v>71.0</v>
      </c>
      <c r="X753" s="1">
        <v>86.0</v>
      </c>
      <c r="Y753" s="1">
        <v>70.0</v>
      </c>
      <c r="Z753" s="1">
        <v>1.0</v>
      </c>
    </row>
    <row r="754">
      <c r="A754" s="1" t="s">
        <v>2560</v>
      </c>
      <c r="B754" s="1" t="s">
        <v>2108</v>
      </c>
      <c r="C754" s="1" t="s">
        <v>1534</v>
      </c>
      <c r="D754" s="1">
        <v>254.0</v>
      </c>
      <c r="E754" s="1">
        <v>75.0</v>
      </c>
      <c r="F754" s="1">
        <v>66.0</v>
      </c>
      <c r="G754" s="1">
        <v>81.0</v>
      </c>
      <c r="H754" s="1">
        <v>90.0</v>
      </c>
      <c r="I754" s="1">
        <v>55.0</v>
      </c>
      <c r="J754" s="1">
        <v>70.0</v>
      </c>
      <c r="K754" s="1">
        <v>80.0</v>
      </c>
      <c r="L754" s="1">
        <v>55.0</v>
      </c>
      <c r="M754" s="1">
        <v>25.0</v>
      </c>
      <c r="N754" s="1">
        <v>48.0</v>
      </c>
      <c r="O754" s="1">
        <v>52.0</v>
      </c>
      <c r="P754" s="1">
        <v>74.0</v>
      </c>
      <c r="Q754" s="1">
        <v>80.0</v>
      </c>
      <c r="R754" s="1">
        <v>75.0</v>
      </c>
      <c r="S754" s="1">
        <v>80.0</v>
      </c>
      <c r="T754" s="1">
        <v>81.0</v>
      </c>
      <c r="U754" s="1">
        <v>94.0</v>
      </c>
      <c r="V754" s="1">
        <v>80.0</v>
      </c>
      <c r="W754" s="1">
        <v>74.0</v>
      </c>
      <c r="X754" s="1">
        <v>90.0</v>
      </c>
      <c r="Y754" s="1">
        <v>81.0</v>
      </c>
      <c r="Z754" s="1">
        <v>1.0</v>
      </c>
    </row>
    <row r="755">
      <c r="A755" s="1" t="s">
        <v>1475</v>
      </c>
      <c r="B755" s="1" t="s">
        <v>2108</v>
      </c>
      <c r="C755" s="1" t="s">
        <v>1530</v>
      </c>
      <c r="D755" s="1" t="s">
        <v>2561</v>
      </c>
      <c r="E755" s="1" t="s">
        <v>1155</v>
      </c>
      <c r="F755" s="1" t="s">
        <v>405</v>
      </c>
      <c r="G755" s="1" t="s">
        <v>396</v>
      </c>
      <c r="H755" s="1" t="s">
        <v>985</v>
      </c>
      <c r="I755" s="1" t="s">
        <v>1458</v>
      </c>
      <c r="J755" s="1" t="s">
        <v>553</v>
      </c>
      <c r="K755" s="1" t="s">
        <v>1213</v>
      </c>
      <c r="L755" s="1" t="s">
        <v>402</v>
      </c>
      <c r="M755" s="1" t="s">
        <v>711</v>
      </c>
      <c r="N755" s="1" t="s">
        <v>1300</v>
      </c>
      <c r="O755" s="1" t="s">
        <v>204</v>
      </c>
      <c r="P755" s="1" t="s">
        <v>860</v>
      </c>
      <c r="Q755" s="1" t="s">
        <v>163</v>
      </c>
      <c r="R755" s="1" t="s">
        <v>526</v>
      </c>
      <c r="S755" s="1" t="s">
        <v>113</v>
      </c>
      <c r="T755" s="1" t="s">
        <v>242</v>
      </c>
      <c r="U755" s="1" t="s">
        <v>427</v>
      </c>
      <c r="V755" s="1">
        <v>80.0</v>
      </c>
      <c r="W755" s="1">
        <v>75.0</v>
      </c>
      <c r="X755" s="1" t="s">
        <v>113</v>
      </c>
      <c r="Y755" s="1">
        <v>80.0</v>
      </c>
      <c r="Z755" s="1">
        <v>1.0</v>
      </c>
    </row>
    <row r="756">
      <c r="A756" s="1" t="s">
        <v>2562</v>
      </c>
      <c r="B756" s="1" t="s">
        <v>2108</v>
      </c>
      <c r="C756" s="1" t="s">
        <v>2115</v>
      </c>
      <c r="D756" s="1">
        <v>243.0</v>
      </c>
      <c r="E756" s="1">
        <v>74.0</v>
      </c>
      <c r="F756" s="1">
        <v>66.0</v>
      </c>
      <c r="G756" s="1">
        <v>80.0</v>
      </c>
      <c r="H756" s="1">
        <v>89.0</v>
      </c>
      <c r="I756" s="1">
        <v>57.0</v>
      </c>
      <c r="J756" s="1">
        <v>70.0</v>
      </c>
      <c r="K756" s="1">
        <v>80.0</v>
      </c>
      <c r="L756" s="1">
        <v>60.0</v>
      </c>
      <c r="M756" s="1">
        <v>69.0</v>
      </c>
      <c r="N756" s="1">
        <v>47.0</v>
      </c>
      <c r="O756" s="1">
        <v>37.0</v>
      </c>
      <c r="P756" s="1">
        <v>84.0</v>
      </c>
      <c r="Q756" s="1">
        <v>71.0</v>
      </c>
      <c r="R756" s="1">
        <v>60.0</v>
      </c>
      <c r="S756" s="1">
        <v>84.0</v>
      </c>
      <c r="T756" s="1">
        <v>85.0</v>
      </c>
      <c r="U756" s="1">
        <v>94.0</v>
      </c>
      <c r="V756" s="1">
        <v>73.0</v>
      </c>
      <c r="W756" s="1">
        <v>64.0</v>
      </c>
      <c r="X756" s="1">
        <v>91.0</v>
      </c>
      <c r="Y756" s="1">
        <v>85.0</v>
      </c>
      <c r="Z756" s="1">
        <v>1.0</v>
      </c>
    </row>
    <row r="757">
      <c r="A757" s="1" t="s">
        <v>2563</v>
      </c>
      <c r="B757" s="1" t="s">
        <v>2108</v>
      </c>
      <c r="C757" s="1" t="s">
        <v>1579</v>
      </c>
      <c r="D757" s="1">
        <v>230.0</v>
      </c>
      <c r="E757" s="1">
        <v>75.0</v>
      </c>
      <c r="F757" s="1">
        <v>63.0</v>
      </c>
      <c r="G757" s="1">
        <v>73.0</v>
      </c>
      <c r="H757" s="1">
        <v>86.0</v>
      </c>
      <c r="I757" s="1">
        <v>53.0</v>
      </c>
      <c r="J757" s="1">
        <v>76.0</v>
      </c>
      <c r="K757" s="1">
        <v>86.0</v>
      </c>
      <c r="L757" s="1">
        <v>61.0</v>
      </c>
      <c r="M757" s="1">
        <v>75.0</v>
      </c>
      <c r="N757" s="1">
        <v>78.0</v>
      </c>
      <c r="O757" s="1">
        <v>68.0</v>
      </c>
      <c r="P757" s="1">
        <v>88.0</v>
      </c>
      <c r="Q757" s="1">
        <v>47.0</v>
      </c>
      <c r="R757" s="1">
        <v>70.0</v>
      </c>
      <c r="S757" s="1">
        <v>87.0</v>
      </c>
      <c r="T757" s="1">
        <v>88.0</v>
      </c>
      <c r="U757" s="1">
        <v>81.0</v>
      </c>
      <c r="V757" s="1">
        <v>77.0</v>
      </c>
      <c r="W757" s="1">
        <v>72.0</v>
      </c>
      <c r="X757" s="1">
        <v>82.0</v>
      </c>
      <c r="Y757" s="1">
        <v>77.0</v>
      </c>
      <c r="Z757" s="1">
        <v>1.0</v>
      </c>
    </row>
    <row r="758">
      <c r="A758" s="1" t="s">
        <v>2564</v>
      </c>
      <c r="B758" s="1" t="s">
        <v>2108</v>
      </c>
      <c r="C758" s="1" t="s">
        <v>876</v>
      </c>
      <c r="D758" s="1" t="s">
        <v>2565</v>
      </c>
      <c r="E758" s="1" t="s">
        <v>893</v>
      </c>
      <c r="F758" s="1" t="s">
        <v>1090</v>
      </c>
      <c r="G758" s="1">
        <v>70.0</v>
      </c>
      <c r="H758" s="1" t="s">
        <v>1008</v>
      </c>
      <c r="I758" s="1" t="s">
        <v>1402</v>
      </c>
      <c r="J758" s="1" t="s">
        <v>1477</v>
      </c>
      <c r="K758" s="1" t="s">
        <v>235</v>
      </c>
      <c r="L758" s="1" t="s">
        <v>1406</v>
      </c>
      <c r="M758" s="1" t="s">
        <v>1753</v>
      </c>
      <c r="N758" s="1" t="s">
        <v>2174</v>
      </c>
      <c r="O758" s="1" t="s">
        <v>2566</v>
      </c>
      <c r="P758" s="1" t="s">
        <v>927</v>
      </c>
      <c r="Q758" s="1" t="s">
        <v>368</v>
      </c>
      <c r="R758" s="1" t="s">
        <v>1477</v>
      </c>
      <c r="S758" s="1" t="s">
        <v>552</v>
      </c>
      <c r="T758" s="1" t="s">
        <v>221</v>
      </c>
      <c r="U758" s="1" t="s">
        <v>2055</v>
      </c>
      <c r="V758" s="1" t="s">
        <v>1121</v>
      </c>
      <c r="W758" s="1" t="s">
        <v>428</v>
      </c>
      <c r="X758" s="1" t="s">
        <v>35</v>
      </c>
      <c r="Y758" s="1" t="s">
        <v>593</v>
      </c>
      <c r="Z758" s="1">
        <v>1.0</v>
      </c>
    </row>
    <row r="759">
      <c r="A759" s="1" t="s">
        <v>2567</v>
      </c>
      <c r="B759" s="1" t="s">
        <v>2108</v>
      </c>
      <c r="C759" s="1" t="s">
        <v>2110</v>
      </c>
      <c r="D759" s="1" t="s">
        <v>2568</v>
      </c>
      <c r="E759" s="1" t="s">
        <v>458</v>
      </c>
      <c r="F759" s="1" t="s">
        <v>242</v>
      </c>
      <c r="G759" s="1" t="s">
        <v>780</v>
      </c>
      <c r="H759" s="1" t="s">
        <v>2569</v>
      </c>
      <c r="I759" s="1" t="s">
        <v>2491</v>
      </c>
      <c r="J759" s="1" t="s">
        <v>1054</v>
      </c>
      <c r="K759" s="1" t="s">
        <v>2189</v>
      </c>
      <c r="L759" s="1" t="s">
        <v>2397</v>
      </c>
      <c r="M759" s="1" t="s">
        <v>2570</v>
      </c>
      <c r="N759" s="1" t="s">
        <v>210</v>
      </c>
      <c r="O759" s="1" t="s">
        <v>2571</v>
      </c>
      <c r="P759" s="1" t="s">
        <v>164</v>
      </c>
      <c r="Q759" s="1" t="s">
        <v>2428</v>
      </c>
      <c r="R759" s="1" t="s">
        <v>386</v>
      </c>
      <c r="S759" s="1" t="s">
        <v>2319</v>
      </c>
      <c r="T759" s="1" t="s">
        <v>390</v>
      </c>
      <c r="U759" s="1" t="s">
        <v>413</v>
      </c>
      <c r="V759" s="1" t="s">
        <v>173</v>
      </c>
      <c r="W759" s="1" t="s">
        <v>2572</v>
      </c>
      <c r="X759" s="1" t="s">
        <v>1059</v>
      </c>
      <c r="Y759" s="1" t="s">
        <v>2453</v>
      </c>
      <c r="Z759" s="1">
        <v>1.0</v>
      </c>
    </row>
    <row r="760">
      <c r="A760" s="1" t="s">
        <v>2573</v>
      </c>
      <c r="B760" s="1" t="s">
        <v>2108</v>
      </c>
      <c r="C760" s="1" t="s">
        <v>192</v>
      </c>
      <c r="D760" s="1">
        <v>263.0</v>
      </c>
      <c r="E760" s="1">
        <v>73.0</v>
      </c>
      <c r="F760" s="1">
        <v>53.0</v>
      </c>
      <c r="G760" s="1">
        <v>73.0</v>
      </c>
      <c r="H760" s="1">
        <v>81.0</v>
      </c>
      <c r="I760" s="1">
        <v>57.0</v>
      </c>
      <c r="J760" s="1">
        <v>87.0</v>
      </c>
      <c r="K760" s="1">
        <v>70.0</v>
      </c>
      <c r="L760" s="1">
        <v>90.0</v>
      </c>
      <c r="M760" s="1">
        <v>71.0</v>
      </c>
      <c r="N760" s="1">
        <v>61.0</v>
      </c>
      <c r="O760" s="1">
        <v>60.0</v>
      </c>
      <c r="P760" s="1">
        <v>82.0</v>
      </c>
      <c r="Q760" s="1">
        <v>74.0</v>
      </c>
      <c r="R760" s="1">
        <v>85.0</v>
      </c>
      <c r="S760" s="1">
        <v>84.0</v>
      </c>
      <c r="T760" s="1">
        <v>74.0</v>
      </c>
      <c r="U760" s="1">
        <v>96.0</v>
      </c>
      <c r="V760" s="1">
        <v>85.0</v>
      </c>
      <c r="W760" s="1">
        <v>75.0</v>
      </c>
      <c r="X760" s="1">
        <v>91.0</v>
      </c>
      <c r="Y760" s="1">
        <v>74.0</v>
      </c>
      <c r="Z760" s="1">
        <v>1.0</v>
      </c>
    </row>
    <row r="761">
      <c r="A761" s="1" t="s">
        <v>2574</v>
      </c>
      <c r="B761" s="1" t="s">
        <v>2108</v>
      </c>
      <c r="C761" s="1" t="s">
        <v>970</v>
      </c>
      <c r="D761" s="1">
        <v>239.0</v>
      </c>
      <c r="E761" s="1">
        <v>74.0</v>
      </c>
      <c r="F761" s="1">
        <v>81.0</v>
      </c>
      <c r="G761" s="1">
        <v>75.0</v>
      </c>
      <c r="H761" s="1">
        <v>44.0</v>
      </c>
      <c r="I761" s="1">
        <v>57.0</v>
      </c>
      <c r="J761" s="1">
        <v>89.0</v>
      </c>
      <c r="K761" s="1">
        <v>84.0</v>
      </c>
      <c r="L761" s="1">
        <v>65.0</v>
      </c>
      <c r="M761" s="1">
        <v>91.0</v>
      </c>
      <c r="N761" s="1">
        <v>71.0</v>
      </c>
      <c r="O761" s="1">
        <v>52.0</v>
      </c>
      <c r="P761" s="1">
        <v>85.0</v>
      </c>
      <c r="Q761" s="1">
        <v>80.0</v>
      </c>
      <c r="R761" s="1">
        <v>50.0</v>
      </c>
      <c r="S761" s="1">
        <v>80.0</v>
      </c>
      <c r="T761" s="1">
        <v>66.0</v>
      </c>
      <c r="U761" s="1">
        <v>91.0</v>
      </c>
      <c r="V761" s="1">
        <v>80.0</v>
      </c>
      <c r="W761" s="1">
        <v>77.0</v>
      </c>
      <c r="X761" s="1">
        <v>91.0</v>
      </c>
      <c r="Y761" s="1">
        <v>75.0</v>
      </c>
      <c r="Z761" s="1">
        <v>1.0</v>
      </c>
    </row>
    <row r="762">
      <c r="A762" s="1" t="s">
        <v>2575</v>
      </c>
      <c r="B762" s="1" t="s">
        <v>2108</v>
      </c>
      <c r="C762" s="1" t="s">
        <v>1574</v>
      </c>
      <c r="D762" s="1" t="s">
        <v>2576</v>
      </c>
      <c r="E762" s="1" t="s">
        <v>394</v>
      </c>
      <c r="F762" s="1" t="s">
        <v>242</v>
      </c>
      <c r="G762" s="1" t="s">
        <v>242</v>
      </c>
      <c r="H762" s="1" t="s">
        <v>1338</v>
      </c>
      <c r="I762" s="1" t="s">
        <v>1576</v>
      </c>
      <c r="J762" s="1" t="s">
        <v>113</v>
      </c>
      <c r="K762" s="1" t="s">
        <v>1477</v>
      </c>
      <c r="L762" s="1" t="s">
        <v>2577</v>
      </c>
      <c r="M762" s="1" t="s">
        <v>583</v>
      </c>
      <c r="N762" s="1" t="s">
        <v>1892</v>
      </c>
      <c r="O762" s="1">
        <v>69.0</v>
      </c>
      <c r="P762" s="1">
        <v>85.0</v>
      </c>
      <c r="Q762" s="1" t="s">
        <v>857</v>
      </c>
      <c r="R762" s="1" t="s">
        <v>157</v>
      </c>
      <c r="S762" s="1" t="s">
        <v>229</v>
      </c>
      <c r="T762" s="1" t="s">
        <v>35</v>
      </c>
      <c r="U762" s="1" t="s">
        <v>404</v>
      </c>
      <c r="V762" s="1" t="s">
        <v>310</v>
      </c>
      <c r="W762" s="1" t="s">
        <v>405</v>
      </c>
      <c r="X762" s="1" t="s">
        <v>76</v>
      </c>
      <c r="Y762" s="1" t="s">
        <v>424</v>
      </c>
      <c r="Z762" s="1">
        <v>1.0</v>
      </c>
    </row>
    <row r="763">
      <c r="A763" s="1" t="s">
        <v>1533</v>
      </c>
      <c r="B763" s="1" t="s">
        <v>2108</v>
      </c>
      <c r="C763" s="1" t="s">
        <v>2115</v>
      </c>
      <c r="D763" s="1">
        <v>235.0</v>
      </c>
      <c r="E763" s="1">
        <v>82.0</v>
      </c>
      <c r="F763" s="1">
        <v>80.0</v>
      </c>
      <c r="G763" s="1">
        <v>88.0</v>
      </c>
      <c r="H763" s="1">
        <v>80.0</v>
      </c>
      <c r="I763" s="1">
        <v>87.0</v>
      </c>
      <c r="J763" s="1">
        <v>73.0</v>
      </c>
      <c r="K763" s="1">
        <v>83.0</v>
      </c>
      <c r="L763" s="1">
        <v>75.0</v>
      </c>
      <c r="M763" s="1">
        <v>78.0</v>
      </c>
      <c r="N763" s="1">
        <v>60.0</v>
      </c>
      <c r="O763" s="1">
        <v>60.0</v>
      </c>
      <c r="P763" s="1">
        <v>77.0</v>
      </c>
      <c r="Q763" s="1">
        <v>72.0</v>
      </c>
      <c r="R763" s="1">
        <v>67.0</v>
      </c>
      <c r="S763" s="1">
        <v>85.0</v>
      </c>
      <c r="T763" s="1">
        <v>67.0</v>
      </c>
      <c r="U763" s="1">
        <v>92.0</v>
      </c>
      <c r="V763" s="1">
        <v>75.0</v>
      </c>
      <c r="W763" s="1">
        <v>65.0</v>
      </c>
      <c r="X763" s="1">
        <v>82.0</v>
      </c>
      <c r="Y763" s="1">
        <v>80.0</v>
      </c>
      <c r="Z763" s="1">
        <v>1.0</v>
      </c>
    </row>
    <row r="764">
      <c r="A764" s="1" t="s">
        <v>2578</v>
      </c>
      <c r="B764" s="1" t="s">
        <v>2108</v>
      </c>
      <c r="C764" s="1" t="s">
        <v>1579</v>
      </c>
      <c r="D764" s="1">
        <v>235.0</v>
      </c>
      <c r="E764" s="1">
        <v>71.0</v>
      </c>
      <c r="F764" s="1">
        <v>77.0</v>
      </c>
      <c r="G764" s="1">
        <v>70.0</v>
      </c>
      <c r="H764" s="1">
        <v>55.0</v>
      </c>
      <c r="I764" s="1">
        <v>55.0</v>
      </c>
      <c r="J764" s="1">
        <v>81.0</v>
      </c>
      <c r="K764" s="1">
        <v>91.0</v>
      </c>
      <c r="L764" s="1">
        <v>69.0</v>
      </c>
      <c r="M764" s="1">
        <v>81.0</v>
      </c>
      <c r="N764" s="1">
        <v>78.0</v>
      </c>
      <c r="O764" s="1">
        <v>67.0</v>
      </c>
      <c r="P764" s="1">
        <v>82.0</v>
      </c>
      <c r="Q764" s="1">
        <v>81.0</v>
      </c>
      <c r="R764" s="1">
        <v>73.0</v>
      </c>
      <c r="S764" s="1">
        <v>83.0</v>
      </c>
      <c r="T764" s="1">
        <v>76.0</v>
      </c>
      <c r="U764" s="1">
        <v>85.0</v>
      </c>
      <c r="V764" s="1">
        <v>76.0</v>
      </c>
      <c r="W764" s="1">
        <v>71.0</v>
      </c>
      <c r="X764" s="1">
        <v>89.0</v>
      </c>
      <c r="Y764" s="1">
        <v>75.0</v>
      </c>
      <c r="Z764" s="1">
        <v>1.0</v>
      </c>
    </row>
    <row r="765">
      <c r="A765" s="1" t="s">
        <v>1361</v>
      </c>
      <c r="B765" s="1" t="s">
        <v>2108</v>
      </c>
      <c r="C765" s="1" t="s">
        <v>192</v>
      </c>
      <c r="D765" s="1" t="s">
        <v>2579</v>
      </c>
      <c r="E765" s="1" t="s">
        <v>1607</v>
      </c>
      <c r="F765" s="1" t="s">
        <v>2502</v>
      </c>
      <c r="G765" s="1">
        <v>73.0</v>
      </c>
      <c r="H765" s="1" t="s">
        <v>1387</v>
      </c>
      <c r="I765" s="1" t="s">
        <v>1576</v>
      </c>
      <c r="J765" s="1" t="s">
        <v>614</v>
      </c>
      <c r="K765" s="1" t="s">
        <v>174</v>
      </c>
      <c r="L765" s="1" t="s">
        <v>881</v>
      </c>
      <c r="M765" s="1" t="s">
        <v>995</v>
      </c>
      <c r="N765" s="1" t="s">
        <v>1402</v>
      </c>
      <c r="O765" s="1" t="s">
        <v>519</v>
      </c>
      <c r="P765" s="1" t="s">
        <v>730</v>
      </c>
      <c r="Q765" s="1" t="s">
        <v>614</v>
      </c>
      <c r="R765" s="1" t="s">
        <v>82</v>
      </c>
      <c r="S765" s="1">
        <v>84.0</v>
      </c>
      <c r="T765" s="1" t="s">
        <v>878</v>
      </c>
      <c r="U765" s="1" t="s">
        <v>1393</v>
      </c>
      <c r="V765" s="1" t="s">
        <v>128</v>
      </c>
      <c r="W765" s="1">
        <v>77.0</v>
      </c>
      <c r="X765" s="1" t="s">
        <v>1213</v>
      </c>
      <c r="Y765" s="1" t="s">
        <v>205</v>
      </c>
      <c r="Z765" s="1">
        <v>1.0</v>
      </c>
    </row>
    <row r="766">
      <c r="A766" s="1" t="s">
        <v>167</v>
      </c>
      <c r="B766" s="1" t="s">
        <v>2108</v>
      </c>
      <c r="C766" s="1" t="s">
        <v>970</v>
      </c>
      <c r="D766" s="1" t="s">
        <v>2580</v>
      </c>
      <c r="E766" s="1" t="s">
        <v>369</v>
      </c>
      <c r="F766" s="1" t="s">
        <v>1750</v>
      </c>
      <c r="G766" s="1" t="s">
        <v>65</v>
      </c>
      <c r="H766" s="1" t="s">
        <v>539</v>
      </c>
      <c r="I766" s="1" t="s">
        <v>1749</v>
      </c>
      <c r="J766" s="1" t="s">
        <v>838</v>
      </c>
      <c r="K766" s="1" t="s">
        <v>548</v>
      </c>
      <c r="L766" s="1" t="s">
        <v>1083</v>
      </c>
      <c r="M766" s="1" t="s">
        <v>265</v>
      </c>
      <c r="N766" s="1" t="s">
        <v>663</v>
      </c>
      <c r="O766" s="1" t="s">
        <v>1136</v>
      </c>
      <c r="P766" s="1" t="s">
        <v>723</v>
      </c>
      <c r="Q766" s="1" t="s">
        <v>35</v>
      </c>
      <c r="R766" s="1" t="s">
        <v>867</v>
      </c>
      <c r="S766" s="1" t="s">
        <v>464</v>
      </c>
      <c r="T766" s="1" t="s">
        <v>66</v>
      </c>
      <c r="U766" s="1" t="s">
        <v>242</v>
      </c>
      <c r="V766" s="1" t="s">
        <v>300</v>
      </c>
      <c r="W766" s="1" t="s">
        <v>235</v>
      </c>
      <c r="X766" s="1">
        <v>91.0</v>
      </c>
      <c r="Y766" s="1" t="s">
        <v>1815</v>
      </c>
      <c r="Z766" s="1">
        <v>1.0</v>
      </c>
    </row>
    <row r="767">
      <c r="A767" s="1" t="s">
        <v>2581</v>
      </c>
      <c r="B767" s="1" t="s">
        <v>2108</v>
      </c>
      <c r="C767" s="1" t="s">
        <v>1754</v>
      </c>
      <c r="D767" s="1" t="s">
        <v>2582</v>
      </c>
      <c r="E767" s="1" t="s">
        <v>548</v>
      </c>
      <c r="F767" s="1" t="s">
        <v>1070</v>
      </c>
      <c r="G767" s="1" t="s">
        <v>242</v>
      </c>
      <c r="H767" s="1" t="s">
        <v>2265</v>
      </c>
      <c r="I767" s="1" t="s">
        <v>2583</v>
      </c>
      <c r="J767" s="1" t="s">
        <v>1550</v>
      </c>
      <c r="K767" s="1" t="s">
        <v>190</v>
      </c>
      <c r="L767" s="1" t="s">
        <v>2584</v>
      </c>
      <c r="M767" s="1" t="s">
        <v>995</v>
      </c>
      <c r="N767" s="1" t="s">
        <v>368</v>
      </c>
      <c r="O767" s="1" t="s">
        <v>1218</v>
      </c>
      <c r="P767" s="1" t="s">
        <v>180</v>
      </c>
      <c r="Q767" s="1" t="s">
        <v>631</v>
      </c>
      <c r="R767" s="1" t="s">
        <v>1445</v>
      </c>
      <c r="S767" s="1" t="s">
        <v>248</v>
      </c>
      <c r="T767" s="1" t="s">
        <v>633</v>
      </c>
      <c r="U767" s="1">
        <v>80.0</v>
      </c>
      <c r="V767" s="1" t="s">
        <v>714</v>
      </c>
      <c r="W767" s="1" t="s">
        <v>183</v>
      </c>
      <c r="X767" s="1" t="s">
        <v>1226</v>
      </c>
      <c r="Y767" s="1" t="s">
        <v>205</v>
      </c>
      <c r="Z767" s="1">
        <v>1.0</v>
      </c>
    </row>
    <row r="768">
      <c r="A768" s="1" t="s">
        <v>2585</v>
      </c>
      <c r="B768" s="1" t="s">
        <v>2108</v>
      </c>
      <c r="C768" s="1" t="s">
        <v>2327</v>
      </c>
      <c r="D768" s="1">
        <v>243.0</v>
      </c>
      <c r="E768" s="1">
        <v>80.0</v>
      </c>
      <c r="F768" s="1">
        <v>55.0</v>
      </c>
      <c r="G768" s="1">
        <v>70.0</v>
      </c>
      <c r="H768" s="1">
        <v>95.0</v>
      </c>
      <c r="I768" s="1">
        <v>55.0</v>
      </c>
      <c r="J768" s="1">
        <v>77.0</v>
      </c>
      <c r="K768" s="1">
        <v>86.0</v>
      </c>
      <c r="L768" s="1">
        <v>92.0</v>
      </c>
      <c r="M768" s="1">
        <v>93.0</v>
      </c>
      <c r="N768" s="1">
        <v>58.0</v>
      </c>
      <c r="O768" s="1">
        <v>33.0</v>
      </c>
      <c r="P768" s="1">
        <v>87.0</v>
      </c>
      <c r="Q768" s="1">
        <v>42.0</v>
      </c>
      <c r="R768" s="1">
        <v>52.0</v>
      </c>
      <c r="S768" s="1">
        <v>93.0</v>
      </c>
      <c r="T768" s="1">
        <v>65.0</v>
      </c>
      <c r="U768" s="1">
        <v>90.0</v>
      </c>
      <c r="V768" s="1">
        <v>70.0</v>
      </c>
      <c r="W768" s="1">
        <v>59.0</v>
      </c>
      <c r="X768" s="1">
        <v>84.0</v>
      </c>
      <c r="Y768" s="1">
        <v>79.0</v>
      </c>
      <c r="Z768" s="1">
        <v>1.0</v>
      </c>
    </row>
    <row r="769">
      <c r="A769" s="1" t="s">
        <v>1110</v>
      </c>
      <c r="B769" s="1" t="s">
        <v>2108</v>
      </c>
      <c r="C769" s="1" t="s">
        <v>1530</v>
      </c>
      <c r="D769" s="1" t="s">
        <v>2449</v>
      </c>
      <c r="E769" s="1" t="s">
        <v>1155</v>
      </c>
      <c r="F769" s="1" t="s">
        <v>242</v>
      </c>
      <c r="G769" s="1">
        <v>90.0</v>
      </c>
      <c r="H769" s="1" t="s">
        <v>526</v>
      </c>
      <c r="I769" s="1" t="s">
        <v>1684</v>
      </c>
      <c r="J769" s="1" t="s">
        <v>614</v>
      </c>
      <c r="K769" s="1" t="s">
        <v>1258</v>
      </c>
      <c r="L769" s="1" t="s">
        <v>487</v>
      </c>
      <c r="M769" s="1" t="s">
        <v>2056</v>
      </c>
      <c r="N769" s="1">
        <v>77.0</v>
      </c>
      <c r="O769" s="1" t="s">
        <v>1753</v>
      </c>
      <c r="P769" s="1" t="s">
        <v>263</v>
      </c>
      <c r="Q769" s="1" t="s">
        <v>132</v>
      </c>
      <c r="R769" s="1" t="s">
        <v>2499</v>
      </c>
      <c r="S769" s="1">
        <v>84.0</v>
      </c>
      <c r="T769" s="1" t="s">
        <v>2586</v>
      </c>
      <c r="U769" s="1" t="s">
        <v>82</v>
      </c>
      <c r="V769" s="1" t="s">
        <v>552</v>
      </c>
      <c r="W769" s="1">
        <v>72.0</v>
      </c>
      <c r="X769" s="1" t="s">
        <v>132</v>
      </c>
      <c r="Y769" s="1" t="s">
        <v>525</v>
      </c>
      <c r="Z769" s="1">
        <v>1.0</v>
      </c>
    </row>
    <row r="770">
      <c r="A770" s="1" t="s">
        <v>2587</v>
      </c>
      <c r="B770" s="1" t="s">
        <v>2108</v>
      </c>
      <c r="C770" s="1" t="s">
        <v>2115</v>
      </c>
      <c r="D770" s="1">
        <v>229.0</v>
      </c>
      <c r="E770" s="1">
        <v>84.0</v>
      </c>
      <c r="F770" s="1">
        <v>70.0</v>
      </c>
      <c r="G770" s="1">
        <v>89.0</v>
      </c>
      <c r="H770" s="1">
        <v>90.0</v>
      </c>
      <c r="I770" s="1">
        <v>59.0</v>
      </c>
      <c r="J770" s="1">
        <v>60.0</v>
      </c>
      <c r="K770" s="1">
        <v>65.0</v>
      </c>
      <c r="L770" s="1">
        <v>46.0</v>
      </c>
      <c r="M770" s="1">
        <v>87.0</v>
      </c>
      <c r="N770" s="1">
        <v>60.0</v>
      </c>
      <c r="O770" s="1">
        <v>65.0</v>
      </c>
      <c r="P770" s="1">
        <v>82.0</v>
      </c>
      <c r="Q770" s="1">
        <v>72.0</v>
      </c>
      <c r="R770" s="1">
        <v>62.0</v>
      </c>
      <c r="S770" s="1">
        <v>93.0</v>
      </c>
      <c r="T770" s="1">
        <v>67.0</v>
      </c>
      <c r="U770" s="1">
        <v>92.0</v>
      </c>
      <c r="V770" s="1">
        <v>76.0</v>
      </c>
      <c r="W770" s="1">
        <v>68.0</v>
      </c>
      <c r="X770" s="1">
        <v>72.0</v>
      </c>
      <c r="Y770" s="1">
        <v>83.0</v>
      </c>
      <c r="Z770" s="1">
        <v>1.0</v>
      </c>
    </row>
    <row r="771">
      <c r="A771" s="1" t="s">
        <v>2588</v>
      </c>
      <c r="B771" s="1" t="s">
        <v>2108</v>
      </c>
      <c r="C771" s="1" t="s">
        <v>1579</v>
      </c>
      <c r="D771" s="1">
        <v>225.0</v>
      </c>
      <c r="E771" s="1">
        <v>75.0</v>
      </c>
      <c r="F771" s="1">
        <v>76.0</v>
      </c>
      <c r="G771" s="1">
        <v>87.0</v>
      </c>
      <c r="H771" s="1">
        <v>68.0</v>
      </c>
      <c r="I771" s="1">
        <v>57.0</v>
      </c>
      <c r="J771" s="1">
        <v>70.0</v>
      </c>
      <c r="K771" s="1">
        <v>80.0</v>
      </c>
      <c r="L771" s="1">
        <v>55.0</v>
      </c>
      <c r="M771" s="1">
        <v>71.0</v>
      </c>
      <c r="N771" s="1">
        <v>75.0</v>
      </c>
      <c r="O771" s="1">
        <v>69.0</v>
      </c>
      <c r="P771" s="1">
        <v>85.0</v>
      </c>
      <c r="Q771" s="1">
        <v>48.0</v>
      </c>
      <c r="R771" s="1">
        <v>50.0</v>
      </c>
      <c r="S771" s="1">
        <v>84.0</v>
      </c>
      <c r="T771" s="1">
        <v>71.0</v>
      </c>
      <c r="U771" s="1">
        <v>94.0</v>
      </c>
      <c r="V771" s="1">
        <v>78.0</v>
      </c>
      <c r="W771" s="1">
        <v>73.0</v>
      </c>
      <c r="X771" s="1">
        <v>83.0</v>
      </c>
      <c r="Y771" s="1">
        <v>88.0</v>
      </c>
      <c r="Z771" s="1">
        <v>1.0</v>
      </c>
    </row>
    <row r="772">
      <c r="A772" s="1" t="s">
        <v>2589</v>
      </c>
      <c r="B772" s="1" t="s">
        <v>2108</v>
      </c>
      <c r="C772" s="1" t="s">
        <v>1534</v>
      </c>
      <c r="D772" s="1">
        <v>223.0</v>
      </c>
      <c r="E772" s="1">
        <v>80.0</v>
      </c>
      <c r="F772" s="1">
        <v>55.0</v>
      </c>
      <c r="G772" s="1">
        <v>58.0</v>
      </c>
      <c r="H772" s="1">
        <v>43.0</v>
      </c>
      <c r="I772" s="1">
        <v>55.0</v>
      </c>
      <c r="J772" s="1">
        <v>90.0</v>
      </c>
      <c r="K772" s="1">
        <v>89.0</v>
      </c>
      <c r="L772" s="1">
        <v>69.0</v>
      </c>
      <c r="M772" s="1">
        <v>76.0</v>
      </c>
      <c r="N772" s="1">
        <v>52.0</v>
      </c>
      <c r="O772" s="1">
        <v>55.0</v>
      </c>
      <c r="P772" s="1">
        <v>91.0</v>
      </c>
      <c r="Q772" s="1">
        <v>74.0</v>
      </c>
      <c r="R772" s="1">
        <v>79.0</v>
      </c>
      <c r="S772" s="1">
        <v>87.0</v>
      </c>
      <c r="T772" s="1">
        <v>55.0</v>
      </c>
      <c r="U772" s="1">
        <v>80.0</v>
      </c>
      <c r="V772" s="1">
        <v>80.0</v>
      </c>
      <c r="W772" s="1">
        <v>78.0</v>
      </c>
      <c r="X772" s="1">
        <v>90.0</v>
      </c>
      <c r="Y772" s="1">
        <v>77.0</v>
      </c>
      <c r="Z772" s="1">
        <v>1.0</v>
      </c>
    </row>
    <row r="773">
      <c r="A773" s="1" t="s">
        <v>2590</v>
      </c>
      <c r="B773" s="1" t="s">
        <v>2108</v>
      </c>
      <c r="C773" s="1" t="s">
        <v>1579</v>
      </c>
      <c r="D773" s="1">
        <v>210.0</v>
      </c>
      <c r="E773" s="1">
        <v>71.0</v>
      </c>
      <c r="F773" s="1">
        <v>70.0</v>
      </c>
      <c r="G773" s="1">
        <v>90.0</v>
      </c>
      <c r="H773" s="1">
        <v>60.0</v>
      </c>
      <c r="I773" s="1">
        <v>53.0</v>
      </c>
      <c r="J773" s="1">
        <v>81.0</v>
      </c>
      <c r="K773" s="1">
        <v>91.0</v>
      </c>
      <c r="L773" s="1">
        <v>81.0</v>
      </c>
      <c r="M773" s="1">
        <v>89.0</v>
      </c>
      <c r="N773" s="1">
        <v>78.0</v>
      </c>
      <c r="O773" s="1">
        <v>71.0</v>
      </c>
      <c r="P773" s="1">
        <v>81.0</v>
      </c>
      <c r="Q773" s="1">
        <v>80.0</v>
      </c>
      <c r="R773" s="1">
        <v>50.0</v>
      </c>
      <c r="S773" s="1">
        <v>88.0</v>
      </c>
      <c r="T773" s="1">
        <v>78.0</v>
      </c>
      <c r="U773" s="1">
        <v>79.0</v>
      </c>
      <c r="V773" s="1">
        <v>80.0</v>
      </c>
      <c r="W773" s="1">
        <v>76.0</v>
      </c>
      <c r="X773" s="1">
        <v>70.0</v>
      </c>
      <c r="Y773" s="1">
        <v>78.0</v>
      </c>
      <c r="Z773" s="1">
        <v>1.0</v>
      </c>
    </row>
    <row r="774">
      <c r="A774" s="1" t="s">
        <v>2591</v>
      </c>
      <c r="B774" s="1" t="s">
        <v>2108</v>
      </c>
      <c r="C774" s="1" t="s">
        <v>2327</v>
      </c>
      <c r="D774" s="1">
        <v>239.0</v>
      </c>
      <c r="E774" s="1">
        <v>84.0</v>
      </c>
      <c r="F774" s="1">
        <v>60.0</v>
      </c>
      <c r="G774" s="1">
        <v>75.0</v>
      </c>
      <c r="H774" s="1">
        <v>95.0</v>
      </c>
      <c r="I774" s="1">
        <v>86.0</v>
      </c>
      <c r="J774" s="1">
        <v>89.0</v>
      </c>
      <c r="K774" s="1">
        <v>80.0</v>
      </c>
      <c r="L774" s="1">
        <v>69.0</v>
      </c>
      <c r="M774" s="1">
        <v>71.0</v>
      </c>
      <c r="N774" s="1">
        <v>65.0</v>
      </c>
      <c r="O774" s="1">
        <v>60.0</v>
      </c>
      <c r="P774" s="1">
        <v>77.0</v>
      </c>
      <c r="Q774" s="1">
        <v>62.0</v>
      </c>
      <c r="R774" s="1">
        <v>38.0</v>
      </c>
      <c r="S774" s="1">
        <v>93.0</v>
      </c>
      <c r="T774" s="1">
        <v>70.0</v>
      </c>
      <c r="U774" s="1">
        <v>85.0</v>
      </c>
      <c r="V774" s="1">
        <v>70.0</v>
      </c>
      <c r="W774" s="1">
        <v>60.0</v>
      </c>
      <c r="X774" s="1">
        <v>83.0</v>
      </c>
      <c r="Y774" s="1">
        <v>80.0</v>
      </c>
      <c r="Z774" s="1">
        <v>1.0</v>
      </c>
    </row>
    <row r="775">
      <c r="A775" s="1" t="s">
        <v>2592</v>
      </c>
      <c r="B775" s="1" t="s">
        <v>2108</v>
      </c>
      <c r="C775" s="1" t="s">
        <v>1534</v>
      </c>
      <c r="D775" s="1">
        <v>248.0</v>
      </c>
      <c r="E775" s="1">
        <v>86.0</v>
      </c>
      <c r="F775" s="1">
        <v>90.0</v>
      </c>
      <c r="G775" s="1">
        <v>85.0</v>
      </c>
      <c r="H775" s="1">
        <v>52.0</v>
      </c>
      <c r="I775" s="1">
        <v>56.0</v>
      </c>
      <c r="J775" s="1">
        <v>77.0</v>
      </c>
      <c r="K775" s="1">
        <v>86.0</v>
      </c>
      <c r="L775" s="1">
        <v>64.0</v>
      </c>
      <c r="M775" s="1">
        <v>75.0</v>
      </c>
      <c r="N775" s="1">
        <v>80.0</v>
      </c>
      <c r="O775" s="1">
        <v>70.0</v>
      </c>
      <c r="P775" s="1">
        <v>85.0</v>
      </c>
      <c r="Q775" s="1">
        <v>85.0</v>
      </c>
      <c r="R775" s="1">
        <v>57.0</v>
      </c>
      <c r="S775" s="1">
        <v>63.0</v>
      </c>
      <c r="T775" s="1">
        <v>90.0</v>
      </c>
      <c r="U775" s="1">
        <v>90.0</v>
      </c>
      <c r="V775" s="1">
        <v>75.0</v>
      </c>
      <c r="W775" s="1">
        <v>70.0</v>
      </c>
      <c r="X775" s="1">
        <v>75.0</v>
      </c>
      <c r="Y775" s="1">
        <v>75.0</v>
      </c>
      <c r="Z775" s="1">
        <v>1.0</v>
      </c>
    </row>
    <row r="776">
      <c r="A776" s="1" t="s">
        <v>2593</v>
      </c>
      <c r="B776" s="1" t="s">
        <v>2108</v>
      </c>
      <c r="C776" s="1" t="s">
        <v>1754</v>
      </c>
      <c r="D776" s="1" t="s">
        <v>2594</v>
      </c>
      <c r="E776" s="1" t="s">
        <v>1145</v>
      </c>
      <c r="F776" s="1" t="s">
        <v>1112</v>
      </c>
      <c r="G776" s="1" t="s">
        <v>835</v>
      </c>
      <c r="H776" s="1" t="s">
        <v>844</v>
      </c>
      <c r="I776" s="1" t="s">
        <v>1404</v>
      </c>
      <c r="J776" s="1" t="s">
        <v>200</v>
      </c>
      <c r="K776" s="1" t="s">
        <v>766</v>
      </c>
      <c r="L776" s="1" t="s">
        <v>1981</v>
      </c>
      <c r="M776" s="1" t="s">
        <v>2595</v>
      </c>
      <c r="N776" s="1" t="s">
        <v>2596</v>
      </c>
      <c r="O776" s="1" t="s">
        <v>848</v>
      </c>
      <c r="P776" s="1" t="s">
        <v>1038</v>
      </c>
      <c r="Q776" s="1" t="s">
        <v>1853</v>
      </c>
      <c r="R776" s="1" t="s">
        <v>2597</v>
      </c>
      <c r="S776" s="1" t="s">
        <v>1099</v>
      </c>
      <c r="T776" s="1" t="s">
        <v>96</v>
      </c>
      <c r="U776" s="1" t="s">
        <v>597</v>
      </c>
      <c r="V776" s="1" t="s">
        <v>188</v>
      </c>
      <c r="W776" s="1" t="s">
        <v>394</v>
      </c>
      <c r="X776" s="1" t="s">
        <v>1164</v>
      </c>
      <c r="Y776" s="1" t="s">
        <v>205</v>
      </c>
      <c r="Z776" s="1">
        <v>1.0</v>
      </c>
    </row>
    <row r="777">
      <c r="A777" s="1" t="s">
        <v>2598</v>
      </c>
      <c r="B777" s="1" t="s">
        <v>2108</v>
      </c>
      <c r="C777" s="1" t="s">
        <v>2163</v>
      </c>
      <c r="D777" s="1" t="s">
        <v>2599</v>
      </c>
      <c r="E777" s="1" t="s">
        <v>1155</v>
      </c>
      <c r="F777" s="1" t="s">
        <v>424</v>
      </c>
      <c r="G777" s="1" t="s">
        <v>633</v>
      </c>
      <c r="H777" s="1" t="s">
        <v>208</v>
      </c>
      <c r="I777" s="1" t="s">
        <v>1938</v>
      </c>
      <c r="J777" s="1" t="s">
        <v>838</v>
      </c>
      <c r="K777" s="1">
        <v>80.0</v>
      </c>
      <c r="L777" s="1" t="s">
        <v>1766</v>
      </c>
      <c r="M777" s="1" t="s">
        <v>1280</v>
      </c>
      <c r="N777" s="1" t="s">
        <v>2600</v>
      </c>
      <c r="O777" s="1" t="s">
        <v>658</v>
      </c>
      <c r="P777" s="1">
        <v>82.0</v>
      </c>
      <c r="Q777" s="1" t="s">
        <v>1513</v>
      </c>
      <c r="R777" s="1" t="s">
        <v>1600</v>
      </c>
      <c r="S777" s="1" t="s">
        <v>390</v>
      </c>
      <c r="T777" s="1" t="s">
        <v>477</v>
      </c>
      <c r="U777" s="1" t="s">
        <v>208</v>
      </c>
      <c r="V777" s="1" t="s">
        <v>127</v>
      </c>
      <c r="W777" s="1" t="s">
        <v>88</v>
      </c>
      <c r="X777" s="1">
        <v>90.0</v>
      </c>
      <c r="Y777" s="1" t="s">
        <v>404</v>
      </c>
      <c r="Z777" s="1">
        <v>1.0</v>
      </c>
    </row>
    <row r="778">
      <c r="A778" s="1" t="s">
        <v>2601</v>
      </c>
      <c r="B778" s="1" t="s">
        <v>2108</v>
      </c>
      <c r="C778" s="1" t="s">
        <v>2287</v>
      </c>
      <c r="D778" s="1" t="s">
        <v>2602</v>
      </c>
      <c r="E778" s="1" t="s">
        <v>166</v>
      </c>
      <c r="F778" s="1" t="s">
        <v>190</v>
      </c>
      <c r="G778" s="1" t="s">
        <v>549</v>
      </c>
      <c r="H778" s="1" t="s">
        <v>780</v>
      </c>
      <c r="I778" s="1" t="s">
        <v>1288</v>
      </c>
      <c r="J778" s="1" t="s">
        <v>1978</v>
      </c>
      <c r="K778" s="1" t="s">
        <v>129</v>
      </c>
      <c r="L778" s="1" t="s">
        <v>1666</v>
      </c>
      <c r="M778" s="1" t="s">
        <v>774</v>
      </c>
      <c r="N778" s="1" t="s">
        <v>1192</v>
      </c>
      <c r="O778" s="1" t="s">
        <v>2603</v>
      </c>
      <c r="P778" s="1" t="s">
        <v>208</v>
      </c>
      <c r="Q778" s="1" t="s">
        <v>1125</v>
      </c>
      <c r="R778" s="1" t="s">
        <v>2174</v>
      </c>
      <c r="S778" s="1" t="s">
        <v>413</v>
      </c>
      <c r="T778" s="1">
        <v>90.0</v>
      </c>
      <c r="U778" s="1" t="s">
        <v>260</v>
      </c>
      <c r="V778" s="1" t="s">
        <v>1765</v>
      </c>
      <c r="W778" s="1" t="s">
        <v>2583</v>
      </c>
      <c r="X778" s="1" t="s">
        <v>208</v>
      </c>
      <c r="Y778" s="1" t="s">
        <v>493</v>
      </c>
      <c r="Z778" s="1">
        <v>1.0</v>
      </c>
    </row>
    <row r="779">
      <c r="A779" s="1" t="s">
        <v>2604</v>
      </c>
      <c r="B779" s="1" t="s">
        <v>2108</v>
      </c>
      <c r="C779" s="1" t="s">
        <v>2605</v>
      </c>
      <c r="D779" s="1" t="s">
        <v>2236</v>
      </c>
      <c r="E779" s="1" t="s">
        <v>225</v>
      </c>
      <c r="F779" s="1" t="s">
        <v>1313</v>
      </c>
      <c r="G779" s="1" t="s">
        <v>747</v>
      </c>
      <c r="H779" s="1" t="s">
        <v>1001</v>
      </c>
      <c r="I779" s="1" t="s">
        <v>1388</v>
      </c>
      <c r="J779" s="1" t="s">
        <v>151</v>
      </c>
      <c r="K779" s="1" t="s">
        <v>35</v>
      </c>
      <c r="L779" s="1" t="s">
        <v>437</v>
      </c>
      <c r="M779" s="1" t="s">
        <v>363</v>
      </c>
      <c r="N779" s="1" t="s">
        <v>166</v>
      </c>
      <c r="O779" s="1" t="s">
        <v>134</v>
      </c>
      <c r="P779" s="1">
        <v>85.0</v>
      </c>
      <c r="Q779" s="1" t="s">
        <v>127</v>
      </c>
      <c r="R779" s="1" t="s">
        <v>334</v>
      </c>
      <c r="S779" s="1" t="s">
        <v>310</v>
      </c>
      <c r="T779" s="1" t="s">
        <v>2606</v>
      </c>
      <c r="U779" s="1" t="s">
        <v>582</v>
      </c>
      <c r="V779" s="1" t="s">
        <v>493</v>
      </c>
      <c r="W779" s="1" t="s">
        <v>635</v>
      </c>
      <c r="X779" s="1" t="s">
        <v>205</v>
      </c>
      <c r="Y779" s="1" t="s">
        <v>103</v>
      </c>
      <c r="Z779" s="1">
        <v>1.0</v>
      </c>
    </row>
    <row r="780">
      <c r="A780" s="1" t="s">
        <v>2607</v>
      </c>
      <c r="B780" s="1" t="s">
        <v>2108</v>
      </c>
      <c r="C780" s="1" t="s">
        <v>1534</v>
      </c>
      <c r="D780" s="1">
        <v>220.0</v>
      </c>
      <c r="E780" s="1">
        <v>66.0</v>
      </c>
      <c r="F780" s="1">
        <v>45.0</v>
      </c>
      <c r="G780" s="1">
        <v>65.0</v>
      </c>
      <c r="H780" s="1">
        <v>72.0</v>
      </c>
      <c r="I780" s="1" t="s">
        <v>2608</v>
      </c>
      <c r="J780" s="1">
        <v>70.0</v>
      </c>
      <c r="K780" s="1">
        <v>80.0</v>
      </c>
      <c r="L780" s="1" t="s">
        <v>186</v>
      </c>
      <c r="M780" s="1" t="s">
        <v>592</v>
      </c>
      <c r="N780" s="1">
        <v>48.0</v>
      </c>
      <c r="O780" s="1">
        <v>53.0</v>
      </c>
      <c r="P780" s="1">
        <v>70.0</v>
      </c>
      <c r="Q780" s="1">
        <v>85.0</v>
      </c>
      <c r="R780" s="1">
        <v>85.0</v>
      </c>
      <c r="S780" s="1">
        <v>78.0</v>
      </c>
      <c r="T780" s="1">
        <v>81.0</v>
      </c>
      <c r="U780" s="1">
        <v>92.0</v>
      </c>
      <c r="V780" s="1">
        <v>83.0</v>
      </c>
      <c r="W780" s="1">
        <v>80.0</v>
      </c>
      <c r="X780" s="1">
        <v>83.0</v>
      </c>
      <c r="Y780" s="1">
        <v>83.0</v>
      </c>
      <c r="Z780" s="1">
        <v>1.0</v>
      </c>
    </row>
    <row r="781">
      <c r="A781" s="1" t="s">
        <v>2609</v>
      </c>
      <c r="B781" s="1" t="s">
        <v>2108</v>
      </c>
      <c r="C781" s="1" t="s">
        <v>1579</v>
      </c>
      <c r="D781" s="1">
        <v>227.0</v>
      </c>
      <c r="E781" s="1">
        <v>89.0</v>
      </c>
      <c r="F781" s="1">
        <v>70.0</v>
      </c>
      <c r="G781" s="1">
        <v>89.0</v>
      </c>
      <c r="H781" s="1">
        <v>86.0</v>
      </c>
      <c r="I781" s="1">
        <v>80.0</v>
      </c>
      <c r="J781" s="1">
        <v>76.0</v>
      </c>
      <c r="K781" s="1">
        <v>80.0</v>
      </c>
      <c r="L781" s="1">
        <v>61.0</v>
      </c>
      <c r="M781" s="1">
        <v>25.0</v>
      </c>
      <c r="N781" s="1">
        <v>50.0</v>
      </c>
      <c r="O781" s="1">
        <v>48.0</v>
      </c>
      <c r="P781" s="1">
        <v>95.0</v>
      </c>
      <c r="Q781" s="1">
        <v>48.0</v>
      </c>
      <c r="R781" s="1">
        <v>73.0</v>
      </c>
      <c r="S781" s="1">
        <v>93.0</v>
      </c>
      <c r="T781" s="1">
        <v>54.0</v>
      </c>
      <c r="U781" s="1">
        <v>75.0</v>
      </c>
      <c r="V781" s="1">
        <v>78.0</v>
      </c>
      <c r="W781" s="1">
        <v>63.0</v>
      </c>
      <c r="X781" s="1">
        <v>85.0</v>
      </c>
      <c r="Y781" s="1">
        <v>90.0</v>
      </c>
      <c r="Z781" s="1">
        <v>1.0</v>
      </c>
    </row>
    <row r="782">
      <c r="A782" s="1" t="s">
        <v>2610</v>
      </c>
      <c r="B782" s="1" t="s">
        <v>2108</v>
      </c>
      <c r="C782" s="1" t="s">
        <v>970</v>
      </c>
      <c r="D782" s="1">
        <v>232.0</v>
      </c>
      <c r="E782" s="1">
        <v>89.0</v>
      </c>
      <c r="F782" s="1">
        <v>95.0</v>
      </c>
      <c r="G782" s="1">
        <v>93.0</v>
      </c>
      <c r="H782" s="1">
        <v>59.0</v>
      </c>
      <c r="I782" s="1">
        <v>40.0</v>
      </c>
      <c r="J782" s="1">
        <v>66.0</v>
      </c>
      <c r="K782" s="1">
        <v>76.0</v>
      </c>
      <c r="L782" s="1">
        <v>76.0</v>
      </c>
      <c r="M782" s="1">
        <v>75.0</v>
      </c>
      <c r="N782" s="1">
        <v>69.0</v>
      </c>
      <c r="O782" s="1">
        <v>55.0</v>
      </c>
      <c r="P782" s="1">
        <v>70.0</v>
      </c>
      <c r="Q782" s="1">
        <v>80.0</v>
      </c>
      <c r="R782" s="1">
        <v>85.0</v>
      </c>
      <c r="S782" s="1">
        <v>65.0</v>
      </c>
      <c r="T782" s="1">
        <v>50.0</v>
      </c>
      <c r="U782" s="1">
        <v>75.0</v>
      </c>
      <c r="V782" s="1">
        <v>85.0</v>
      </c>
      <c r="W782" s="1">
        <v>77.0</v>
      </c>
      <c r="X782" s="1">
        <v>75.0</v>
      </c>
      <c r="Y782" s="1">
        <v>80.0</v>
      </c>
      <c r="Z782" s="1">
        <v>1.0</v>
      </c>
    </row>
    <row r="783">
      <c r="A783" s="1" t="s">
        <v>2611</v>
      </c>
      <c r="B783" s="1" t="s">
        <v>2108</v>
      </c>
      <c r="C783" s="1" t="s">
        <v>1534</v>
      </c>
      <c r="D783" s="1">
        <v>257.0</v>
      </c>
      <c r="E783" s="1">
        <v>78.0</v>
      </c>
      <c r="F783" s="1">
        <v>88.0</v>
      </c>
      <c r="G783" s="1">
        <v>88.0</v>
      </c>
      <c r="H783" s="1">
        <v>70.0</v>
      </c>
      <c r="I783" s="1">
        <v>70.0</v>
      </c>
      <c r="J783" s="1">
        <v>75.0</v>
      </c>
      <c r="K783" s="1">
        <v>85.0</v>
      </c>
      <c r="L783" s="1">
        <v>67.0</v>
      </c>
      <c r="M783" s="1">
        <v>50.0</v>
      </c>
      <c r="N783" s="1">
        <v>68.0</v>
      </c>
      <c r="O783" s="1">
        <v>66.0</v>
      </c>
      <c r="P783" s="1">
        <v>78.0</v>
      </c>
      <c r="Q783" s="1">
        <v>73.0</v>
      </c>
      <c r="R783" s="1">
        <v>56.0</v>
      </c>
      <c r="S783" s="1">
        <v>81.0</v>
      </c>
      <c r="T783" s="1">
        <v>85.0</v>
      </c>
      <c r="U783" s="1">
        <v>90.0</v>
      </c>
      <c r="V783" s="1">
        <v>79.0</v>
      </c>
      <c r="W783" s="1">
        <v>74.0</v>
      </c>
      <c r="X783" s="1">
        <v>85.0</v>
      </c>
      <c r="Y783" s="1">
        <v>72.0</v>
      </c>
      <c r="Z783" s="1">
        <v>1.0</v>
      </c>
    </row>
    <row r="784">
      <c r="A784" s="1" t="s">
        <v>2612</v>
      </c>
      <c r="B784" s="1" t="s">
        <v>2108</v>
      </c>
      <c r="C784" s="1" t="s">
        <v>1534</v>
      </c>
      <c r="D784" s="1">
        <v>230.0</v>
      </c>
      <c r="E784" s="1">
        <v>71.0</v>
      </c>
      <c r="F784" s="1">
        <v>55.0</v>
      </c>
      <c r="G784" s="1">
        <v>75.0</v>
      </c>
      <c r="H784" s="1">
        <v>85.0</v>
      </c>
      <c r="I784" s="1">
        <v>53.0</v>
      </c>
      <c r="J784" s="1">
        <v>75.0</v>
      </c>
      <c r="K784" s="1">
        <v>83.0</v>
      </c>
      <c r="L784" s="1">
        <v>76.0</v>
      </c>
      <c r="M784" s="1">
        <v>75.0</v>
      </c>
      <c r="N784" s="1">
        <v>45.0</v>
      </c>
      <c r="O784" s="1">
        <v>50.0</v>
      </c>
      <c r="P784" s="1">
        <v>74.0</v>
      </c>
      <c r="Q784" s="1">
        <v>85.0</v>
      </c>
      <c r="R784" s="1">
        <v>60.0</v>
      </c>
      <c r="S784" s="1">
        <v>78.0</v>
      </c>
      <c r="T784" s="1">
        <v>84.0</v>
      </c>
      <c r="U784" s="1">
        <v>92.0</v>
      </c>
      <c r="V784" s="1">
        <v>80.0</v>
      </c>
      <c r="W784" s="1">
        <v>78.0</v>
      </c>
      <c r="X784" s="1">
        <v>85.0</v>
      </c>
      <c r="Y784" s="1">
        <v>80.0</v>
      </c>
      <c r="Z784" s="1">
        <v>1.0</v>
      </c>
    </row>
    <row r="785">
      <c r="A785" s="1" t="s">
        <v>1371</v>
      </c>
      <c r="B785" s="1" t="s">
        <v>2108</v>
      </c>
      <c r="C785" s="1" t="s">
        <v>2166</v>
      </c>
      <c r="D785" s="1" t="s">
        <v>2070</v>
      </c>
      <c r="E785" s="1" t="s">
        <v>595</v>
      </c>
      <c r="F785" s="1" t="s">
        <v>495</v>
      </c>
      <c r="G785" s="1" t="s">
        <v>188</v>
      </c>
      <c r="H785" s="1" t="s">
        <v>700</v>
      </c>
      <c r="I785" s="1" t="s">
        <v>490</v>
      </c>
      <c r="J785" s="1" t="s">
        <v>597</v>
      </c>
      <c r="K785" s="1" t="s">
        <v>780</v>
      </c>
      <c r="L785" s="1" t="s">
        <v>61</v>
      </c>
      <c r="M785" s="1" t="s">
        <v>593</v>
      </c>
      <c r="N785" s="1" t="s">
        <v>1224</v>
      </c>
      <c r="O785" s="1" t="s">
        <v>2069</v>
      </c>
      <c r="P785" s="1" t="s">
        <v>893</v>
      </c>
      <c r="Q785" s="1" t="s">
        <v>2613</v>
      </c>
      <c r="R785" s="1" t="s">
        <v>1347</v>
      </c>
      <c r="S785" s="1" t="s">
        <v>221</v>
      </c>
      <c r="T785" s="1" t="s">
        <v>235</v>
      </c>
      <c r="U785" s="1">
        <v>80.0</v>
      </c>
      <c r="V785" s="1" t="s">
        <v>878</v>
      </c>
      <c r="W785" s="1" t="s">
        <v>1753</v>
      </c>
      <c r="X785" s="1" t="s">
        <v>1054</v>
      </c>
      <c r="Y785" s="1" t="s">
        <v>394</v>
      </c>
      <c r="Z785" s="1">
        <v>1.0</v>
      </c>
    </row>
    <row r="786">
      <c r="A786" s="1" t="s">
        <v>2614</v>
      </c>
      <c r="B786" s="1" t="s">
        <v>2108</v>
      </c>
      <c r="C786" s="1" t="s">
        <v>970</v>
      </c>
      <c r="D786" s="1">
        <v>232.0</v>
      </c>
      <c r="E786" s="1">
        <v>65.0</v>
      </c>
      <c r="F786" s="1">
        <v>55.0</v>
      </c>
      <c r="G786" s="1">
        <v>75.0</v>
      </c>
      <c r="H786" s="1">
        <v>48.0</v>
      </c>
      <c r="I786" s="1">
        <v>36.0</v>
      </c>
      <c r="J786" s="1">
        <v>71.0</v>
      </c>
      <c r="K786" s="1">
        <v>81.0</v>
      </c>
      <c r="L786" s="1">
        <v>70.0</v>
      </c>
      <c r="M786" s="1">
        <v>71.0</v>
      </c>
      <c r="N786" s="1">
        <v>70.0</v>
      </c>
      <c r="O786" s="1">
        <v>75.0</v>
      </c>
      <c r="P786" s="1">
        <v>77.0</v>
      </c>
      <c r="Q786" s="1">
        <v>89.0</v>
      </c>
      <c r="R786" s="1">
        <v>85.0</v>
      </c>
      <c r="S786" s="1">
        <v>91.0</v>
      </c>
      <c r="T786" s="1">
        <v>80.0</v>
      </c>
      <c r="U786" s="1">
        <v>92.0</v>
      </c>
      <c r="V786" s="1">
        <v>83.0</v>
      </c>
      <c r="W786" s="1">
        <v>80.0</v>
      </c>
      <c r="X786" s="1">
        <v>57.0</v>
      </c>
      <c r="Y786" s="1">
        <v>83.0</v>
      </c>
      <c r="Z786" s="1">
        <v>1.0</v>
      </c>
    </row>
    <row r="787">
      <c r="A787" s="1" t="s">
        <v>736</v>
      </c>
      <c r="B787" s="1" t="s">
        <v>2108</v>
      </c>
      <c r="C787" s="1" t="s">
        <v>876</v>
      </c>
      <c r="D787" s="1" t="s">
        <v>2594</v>
      </c>
      <c r="E787" s="1" t="s">
        <v>296</v>
      </c>
      <c r="F787" s="1" t="s">
        <v>224</v>
      </c>
      <c r="G787" s="1" t="s">
        <v>2501</v>
      </c>
      <c r="H787" s="1" t="s">
        <v>921</v>
      </c>
      <c r="I787" s="1" t="s">
        <v>2615</v>
      </c>
      <c r="J787" s="1" t="s">
        <v>633</v>
      </c>
      <c r="K787" s="1" t="s">
        <v>190</v>
      </c>
      <c r="L787" s="1" t="s">
        <v>2616</v>
      </c>
      <c r="M787" s="1" t="s">
        <v>437</v>
      </c>
      <c r="N787" s="1" t="s">
        <v>663</v>
      </c>
      <c r="O787" s="1" t="s">
        <v>316</v>
      </c>
      <c r="P787" s="1" t="s">
        <v>906</v>
      </c>
      <c r="Q787" s="1" t="s">
        <v>1837</v>
      </c>
      <c r="R787" s="1" t="s">
        <v>664</v>
      </c>
      <c r="S787" s="1" t="s">
        <v>1038</v>
      </c>
      <c r="T787" s="1" t="s">
        <v>149</v>
      </c>
      <c r="U787" s="1" t="s">
        <v>617</v>
      </c>
      <c r="V787" s="1" t="s">
        <v>1046</v>
      </c>
      <c r="W787" s="1" t="s">
        <v>2056</v>
      </c>
      <c r="X787" s="1" t="s">
        <v>2275</v>
      </c>
      <c r="Y787" s="1" t="s">
        <v>253</v>
      </c>
      <c r="Z787" s="1">
        <v>1.0</v>
      </c>
    </row>
    <row r="788">
      <c r="A788" s="1" t="s">
        <v>2617</v>
      </c>
      <c r="B788" s="1" t="s">
        <v>2108</v>
      </c>
      <c r="C788" s="1" t="s">
        <v>2287</v>
      </c>
      <c r="D788" s="1" t="s">
        <v>2618</v>
      </c>
      <c r="E788" s="1" t="s">
        <v>437</v>
      </c>
      <c r="F788" s="1" t="s">
        <v>1227</v>
      </c>
      <c r="G788" s="1" t="s">
        <v>825</v>
      </c>
      <c r="H788" s="1" t="s">
        <v>894</v>
      </c>
      <c r="I788" s="1" t="s">
        <v>2619</v>
      </c>
      <c r="J788" s="1" t="s">
        <v>576</v>
      </c>
      <c r="K788" s="1" t="s">
        <v>235</v>
      </c>
      <c r="L788" s="1" t="s">
        <v>781</v>
      </c>
      <c r="M788" s="1" t="s">
        <v>2620</v>
      </c>
      <c r="N788" s="1" t="s">
        <v>349</v>
      </c>
      <c r="O788" s="1" t="s">
        <v>967</v>
      </c>
      <c r="P788" s="1" t="s">
        <v>390</v>
      </c>
      <c r="Q788" s="1" t="s">
        <v>67</v>
      </c>
      <c r="R788" s="1" t="s">
        <v>178</v>
      </c>
      <c r="S788" s="1">
        <v>93.0</v>
      </c>
      <c r="T788" s="1" t="s">
        <v>1753</v>
      </c>
      <c r="U788" s="1" t="s">
        <v>429</v>
      </c>
      <c r="V788" s="1" t="s">
        <v>1673</v>
      </c>
      <c r="W788" s="1" t="s">
        <v>200</v>
      </c>
      <c r="X788" s="1" t="s">
        <v>465</v>
      </c>
      <c r="Y788" s="1" t="s">
        <v>205</v>
      </c>
      <c r="Z788" s="1">
        <v>1.0</v>
      </c>
    </row>
    <row r="789">
      <c r="A789" s="1" t="s">
        <v>2621</v>
      </c>
      <c r="B789" s="1" t="s">
        <v>2108</v>
      </c>
      <c r="C789" s="1" t="s">
        <v>2121</v>
      </c>
      <c r="D789" s="1" t="s">
        <v>2622</v>
      </c>
      <c r="E789" s="1" t="s">
        <v>190</v>
      </c>
      <c r="F789" s="1" t="s">
        <v>207</v>
      </c>
      <c r="G789" s="1" t="s">
        <v>600</v>
      </c>
      <c r="H789" s="1" t="s">
        <v>364</v>
      </c>
      <c r="I789" s="1" t="s">
        <v>2332</v>
      </c>
      <c r="J789" s="1" t="s">
        <v>1906</v>
      </c>
      <c r="K789" s="1" t="s">
        <v>2189</v>
      </c>
      <c r="L789" s="1" t="s">
        <v>893</v>
      </c>
      <c r="M789" s="1" t="s">
        <v>1587</v>
      </c>
      <c r="N789" s="1" t="s">
        <v>310</v>
      </c>
      <c r="O789" s="1" t="s">
        <v>2069</v>
      </c>
      <c r="P789" s="1" t="s">
        <v>128</v>
      </c>
      <c r="Q789" s="1" t="s">
        <v>1137</v>
      </c>
      <c r="R789" s="1" t="s">
        <v>2389</v>
      </c>
      <c r="S789" s="1" t="s">
        <v>208</v>
      </c>
      <c r="T789" s="1" t="s">
        <v>1127</v>
      </c>
      <c r="U789" s="1" t="s">
        <v>35</v>
      </c>
      <c r="V789" s="1" t="s">
        <v>1136</v>
      </c>
      <c r="W789" s="1" t="s">
        <v>1765</v>
      </c>
      <c r="X789" s="1">
        <v>84.0</v>
      </c>
      <c r="Y789" s="1" t="s">
        <v>991</v>
      </c>
      <c r="Z789" s="1">
        <v>1.0</v>
      </c>
    </row>
    <row r="790">
      <c r="A790" s="1" t="s">
        <v>2623</v>
      </c>
      <c r="B790" s="1" t="s">
        <v>2108</v>
      </c>
      <c r="C790" s="1" t="s">
        <v>1534</v>
      </c>
      <c r="D790" s="1">
        <v>248.0</v>
      </c>
      <c r="E790" s="1">
        <v>67.0</v>
      </c>
      <c r="F790" s="1">
        <v>55.0</v>
      </c>
      <c r="G790" s="1">
        <v>75.0</v>
      </c>
      <c r="H790" s="1">
        <v>50.0</v>
      </c>
      <c r="I790" s="1">
        <v>62.0</v>
      </c>
      <c r="J790" s="1">
        <v>70.0</v>
      </c>
      <c r="K790" s="1">
        <v>80.0</v>
      </c>
      <c r="L790" s="1">
        <v>58.0</v>
      </c>
      <c r="M790" s="1">
        <v>76.0</v>
      </c>
      <c r="N790" s="1">
        <v>48.0</v>
      </c>
      <c r="O790" s="1">
        <v>53.0</v>
      </c>
      <c r="P790" s="1">
        <v>85.0</v>
      </c>
      <c r="Q790" s="1">
        <v>82.0</v>
      </c>
      <c r="R790" s="1">
        <v>85.0</v>
      </c>
      <c r="S790" s="1">
        <v>85.0</v>
      </c>
      <c r="T790" s="1">
        <v>82.0</v>
      </c>
      <c r="U790" s="1">
        <v>92.0</v>
      </c>
      <c r="V790" s="1">
        <v>80.0</v>
      </c>
      <c r="W790" s="1">
        <v>75.0</v>
      </c>
      <c r="X790" s="1">
        <v>81.0</v>
      </c>
      <c r="Y790" s="1">
        <v>84.0</v>
      </c>
      <c r="Z790" s="1">
        <v>1.0</v>
      </c>
    </row>
    <row r="791">
      <c r="A791" s="1" t="s">
        <v>2624</v>
      </c>
      <c r="B791" s="1" t="s">
        <v>2108</v>
      </c>
      <c r="C791" s="1" t="s">
        <v>970</v>
      </c>
      <c r="D791" s="1">
        <v>258.0</v>
      </c>
      <c r="E791" s="1">
        <v>76.0</v>
      </c>
      <c r="F791" s="1">
        <v>62.0</v>
      </c>
      <c r="G791" s="1">
        <v>70.0</v>
      </c>
      <c r="H791" s="1">
        <v>72.0</v>
      </c>
      <c r="I791" s="1">
        <v>50.0</v>
      </c>
      <c r="J791" s="1">
        <v>89.0</v>
      </c>
      <c r="K791" s="1">
        <v>83.0</v>
      </c>
      <c r="L791" s="1">
        <v>67.0</v>
      </c>
      <c r="M791" s="1">
        <v>71.0</v>
      </c>
      <c r="N791" s="1">
        <v>75.0</v>
      </c>
      <c r="O791" s="1">
        <v>75.0</v>
      </c>
      <c r="P791" s="1">
        <v>70.0</v>
      </c>
      <c r="Q791" s="1">
        <v>74.0</v>
      </c>
      <c r="R791" s="1">
        <v>85.0</v>
      </c>
      <c r="S791" s="1">
        <v>74.0</v>
      </c>
      <c r="T791" s="1">
        <v>70.0</v>
      </c>
      <c r="U791" s="1">
        <v>92.0</v>
      </c>
      <c r="V791" s="1">
        <v>84.0</v>
      </c>
      <c r="W791" s="1">
        <v>76.0</v>
      </c>
      <c r="X791" s="1">
        <v>80.0</v>
      </c>
      <c r="Y791" s="1">
        <v>70.0</v>
      </c>
      <c r="Z791" s="1">
        <v>1.0</v>
      </c>
    </row>
    <row r="792">
      <c r="A792" s="1" t="s">
        <v>2625</v>
      </c>
      <c r="B792" s="1" t="s">
        <v>2108</v>
      </c>
      <c r="C792" s="1" t="s">
        <v>2166</v>
      </c>
      <c r="D792" s="1" t="s">
        <v>2626</v>
      </c>
      <c r="E792" s="1" t="s">
        <v>221</v>
      </c>
      <c r="F792" s="1" t="s">
        <v>796</v>
      </c>
      <c r="G792" s="1" t="s">
        <v>922</v>
      </c>
      <c r="H792" s="1" t="s">
        <v>333</v>
      </c>
      <c r="I792" s="1" t="s">
        <v>1309</v>
      </c>
      <c r="J792" s="1" t="s">
        <v>553</v>
      </c>
      <c r="K792" s="1" t="s">
        <v>728</v>
      </c>
      <c r="L792" s="1" t="s">
        <v>1460</v>
      </c>
      <c r="M792" s="1">
        <v>85.0</v>
      </c>
      <c r="N792" s="1" t="s">
        <v>268</v>
      </c>
      <c r="O792" s="1" t="s">
        <v>858</v>
      </c>
      <c r="P792" s="1">
        <v>82.0</v>
      </c>
      <c r="Q792" s="1" t="s">
        <v>1750</v>
      </c>
      <c r="R792" s="1" t="s">
        <v>817</v>
      </c>
      <c r="S792" s="1" t="s">
        <v>1539</v>
      </c>
      <c r="T792" s="1" t="s">
        <v>48</v>
      </c>
      <c r="U792" s="1" t="s">
        <v>96</v>
      </c>
      <c r="V792" s="1" t="s">
        <v>204</v>
      </c>
      <c r="W792" s="1" t="s">
        <v>1008</v>
      </c>
      <c r="X792" s="1" t="s">
        <v>697</v>
      </c>
      <c r="Y792" s="1" t="s">
        <v>404</v>
      </c>
      <c r="Z792" s="1">
        <v>1.0</v>
      </c>
    </row>
    <row r="793">
      <c r="A793" s="1" t="s">
        <v>1468</v>
      </c>
      <c r="B793" s="1" t="s">
        <v>2108</v>
      </c>
      <c r="C793" s="1" t="s">
        <v>1574</v>
      </c>
      <c r="D793" s="1" t="s">
        <v>2155</v>
      </c>
      <c r="E793" s="1" t="s">
        <v>584</v>
      </c>
      <c r="F793" s="1" t="s">
        <v>428</v>
      </c>
      <c r="G793" s="1" t="s">
        <v>571</v>
      </c>
      <c r="H793" s="1" t="s">
        <v>1185</v>
      </c>
      <c r="I793" s="1" t="s">
        <v>1837</v>
      </c>
      <c r="J793" s="1" t="s">
        <v>242</v>
      </c>
      <c r="K793" s="1">
        <v>80.0</v>
      </c>
      <c r="L793" s="1" t="s">
        <v>1070</v>
      </c>
      <c r="M793" s="1" t="s">
        <v>838</v>
      </c>
      <c r="N793" s="1" t="s">
        <v>394</v>
      </c>
      <c r="O793" s="1" t="s">
        <v>839</v>
      </c>
      <c r="P793" s="1" t="s">
        <v>1411</v>
      </c>
      <c r="Q793" s="1" t="s">
        <v>1411</v>
      </c>
      <c r="R793" s="1" t="s">
        <v>1154</v>
      </c>
      <c r="S793" s="1" t="s">
        <v>1258</v>
      </c>
      <c r="T793" s="1" t="s">
        <v>128</v>
      </c>
      <c r="U793" s="1" t="s">
        <v>553</v>
      </c>
      <c r="V793" s="1" t="s">
        <v>428</v>
      </c>
      <c r="W793" s="1" t="s">
        <v>1434</v>
      </c>
      <c r="X793" s="1" t="s">
        <v>183</v>
      </c>
      <c r="Y793" s="1" t="s">
        <v>724</v>
      </c>
      <c r="Z793" s="1">
        <v>1.0</v>
      </c>
    </row>
    <row r="794">
      <c r="A794" s="1" t="s">
        <v>2627</v>
      </c>
      <c r="B794" s="1" t="s">
        <v>2108</v>
      </c>
      <c r="C794" s="1" t="s">
        <v>2141</v>
      </c>
      <c r="D794" s="1" t="s">
        <v>2628</v>
      </c>
      <c r="E794" s="1" t="s">
        <v>188</v>
      </c>
      <c r="F794" s="1" t="s">
        <v>724</v>
      </c>
      <c r="G794" s="1" t="s">
        <v>1346</v>
      </c>
      <c r="H794" s="1" t="s">
        <v>571</v>
      </c>
      <c r="I794" s="1" t="s">
        <v>2629</v>
      </c>
      <c r="J794" s="1" t="s">
        <v>123</v>
      </c>
      <c r="K794" s="1" t="s">
        <v>2447</v>
      </c>
      <c r="L794" s="1" t="s">
        <v>2175</v>
      </c>
      <c r="M794" s="1" t="s">
        <v>793</v>
      </c>
      <c r="N794" s="1" t="s">
        <v>209</v>
      </c>
      <c r="O794" s="1" t="s">
        <v>967</v>
      </c>
      <c r="P794" s="1" t="s">
        <v>333</v>
      </c>
      <c r="Q794" s="1" t="s">
        <v>2006</v>
      </c>
      <c r="R794" s="1" t="s">
        <v>386</v>
      </c>
      <c r="S794" s="1" t="s">
        <v>391</v>
      </c>
      <c r="T794" s="1" t="s">
        <v>690</v>
      </c>
      <c r="U794" s="1" t="s">
        <v>1098</v>
      </c>
      <c r="V794" s="1" t="s">
        <v>235</v>
      </c>
      <c r="W794" s="1" t="s">
        <v>1668</v>
      </c>
      <c r="X794" s="1" t="s">
        <v>398</v>
      </c>
      <c r="Y794" s="1" t="s">
        <v>253</v>
      </c>
      <c r="Z794" s="1">
        <v>1.0</v>
      </c>
    </row>
    <row r="795">
      <c r="A795" s="1" t="s">
        <v>2630</v>
      </c>
      <c r="B795" s="1" t="s">
        <v>2108</v>
      </c>
      <c r="C795" s="1" t="s">
        <v>1579</v>
      </c>
      <c r="D795" s="1">
        <v>225.0</v>
      </c>
      <c r="E795" s="1">
        <v>75.0</v>
      </c>
      <c r="F795" s="1">
        <v>70.0</v>
      </c>
      <c r="G795" s="1">
        <v>75.0</v>
      </c>
      <c r="H795" s="1">
        <v>80.0</v>
      </c>
      <c r="I795" s="1">
        <v>80.0</v>
      </c>
      <c r="J795" s="1">
        <v>85.0</v>
      </c>
      <c r="K795" s="1">
        <v>80.0</v>
      </c>
      <c r="L795" s="1">
        <v>82.0</v>
      </c>
      <c r="M795" s="1">
        <v>85.0</v>
      </c>
      <c r="N795" s="1">
        <v>74.0</v>
      </c>
      <c r="O795" s="1">
        <v>68.0</v>
      </c>
      <c r="P795" s="1">
        <v>82.0</v>
      </c>
      <c r="Q795" s="1">
        <v>82.0</v>
      </c>
      <c r="R795" s="1">
        <v>73.0</v>
      </c>
      <c r="S795" s="1">
        <v>84.0</v>
      </c>
      <c r="T795" s="1">
        <v>65.0</v>
      </c>
      <c r="U795" s="1">
        <v>85.0</v>
      </c>
      <c r="V795" s="1">
        <v>75.0</v>
      </c>
      <c r="W795" s="1">
        <v>73.0</v>
      </c>
      <c r="X795" s="1">
        <v>80.0</v>
      </c>
      <c r="Y795" s="1">
        <v>77.0</v>
      </c>
      <c r="Z795" s="1">
        <v>1.0</v>
      </c>
    </row>
    <row r="796">
      <c r="A796" s="1" t="s">
        <v>2631</v>
      </c>
      <c r="B796" s="1" t="s">
        <v>2108</v>
      </c>
      <c r="C796" s="1" t="s">
        <v>2115</v>
      </c>
      <c r="D796" s="1">
        <v>234.0</v>
      </c>
      <c r="E796" s="1">
        <v>80.0</v>
      </c>
      <c r="F796" s="1">
        <v>75.0</v>
      </c>
      <c r="G796" s="1">
        <v>80.0</v>
      </c>
      <c r="H796" s="1">
        <v>75.0</v>
      </c>
      <c r="I796" s="1">
        <v>62.0</v>
      </c>
      <c r="J796" s="1">
        <v>80.0</v>
      </c>
      <c r="K796" s="1">
        <v>90.0</v>
      </c>
      <c r="L796" s="1">
        <v>90.0</v>
      </c>
      <c r="M796" s="1">
        <v>71.0</v>
      </c>
      <c r="N796" s="1">
        <v>75.0</v>
      </c>
      <c r="O796" s="1">
        <v>55.0</v>
      </c>
      <c r="P796" s="1">
        <v>82.0</v>
      </c>
      <c r="Q796" s="1">
        <v>72.0</v>
      </c>
      <c r="R796" s="1">
        <v>60.0</v>
      </c>
      <c r="S796" s="1">
        <v>84.0</v>
      </c>
      <c r="T796" s="1">
        <v>85.0</v>
      </c>
      <c r="U796" s="1">
        <v>80.0</v>
      </c>
      <c r="V796" s="1">
        <v>75.0</v>
      </c>
      <c r="W796" s="1">
        <v>66.0</v>
      </c>
      <c r="X796" s="1">
        <v>91.0</v>
      </c>
      <c r="Y796" s="1">
        <v>80.0</v>
      </c>
      <c r="Z796" s="1">
        <v>1.0</v>
      </c>
    </row>
    <row r="797">
      <c r="A797" s="1" t="s">
        <v>2632</v>
      </c>
      <c r="B797" s="1" t="s">
        <v>2108</v>
      </c>
      <c r="C797" s="1" t="s">
        <v>1579</v>
      </c>
      <c r="D797" s="1">
        <v>248.0</v>
      </c>
      <c r="E797" s="1">
        <v>83.0</v>
      </c>
      <c r="F797" s="1">
        <v>85.0</v>
      </c>
      <c r="G797" s="1">
        <v>83.0</v>
      </c>
      <c r="H797" s="1">
        <v>83.0</v>
      </c>
      <c r="I797" s="1">
        <v>58.0</v>
      </c>
      <c r="J797" s="1">
        <v>71.0</v>
      </c>
      <c r="K797" s="1">
        <v>80.0</v>
      </c>
      <c r="L797" s="1">
        <v>56.0</v>
      </c>
      <c r="M797" s="1">
        <v>74.0</v>
      </c>
      <c r="N797" s="1">
        <v>45.0</v>
      </c>
      <c r="O797" s="1">
        <v>49.0</v>
      </c>
      <c r="P797" s="1">
        <v>87.0</v>
      </c>
      <c r="Q797" s="1">
        <v>61.0</v>
      </c>
      <c r="R797" s="1">
        <v>66.0</v>
      </c>
      <c r="S797" s="1">
        <v>90.0</v>
      </c>
      <c r="T797" s="1">
        <v>74.0</v>
      </c>
      <c r="U797" s="1">
        <v>91.0</v>
      </c>
      <c r="V797" s="1">
        <v>66.0</v>
      </c>
      <c r="W797" s="1">
        <v>56.0</v>
      </c>
      <c r="X797" s="1">
        <v>84.0</v>
      </c>
      <c r="Y797" s="1">
        <v>83.0</v>
      </c>
      <c r="Z797" s="1">
        <v>1.0</v>
      </c>
    </row>
    <row r="798">
      <c r="A798" s="1" t="s">
        <v>2633</v>
      </c>
      <c r="B798" s="1" t="s">
        <v>2108</v>
      </c>
      <c r="C798" s="1" t="s">
        <v>2115</v>
      </c>
      <c r="D798" s="1">
        <v>235.0</v>
      </c>
      <c r="E798" s="1">
        <v>87.0</v>
      </c>
      <c r="F798" s="1">
        <v>85.0</v>
      </c>
      <c r="G798" s="1">
        <v>73.0</v>
      </c>
      <c r="H798" s="1">
        <v>90.0</v>
      </c>
      <c r="I798" s="1">
        <v>87.0</v>
      </c>
      <c r="J798" s="1">
        <v>82.0</v>
      </c>
      <c r="K798" s="1">
        <v>80.0</v>
      </c>
      <c r="L798" s="1">
        <v>58.0</v>
      </c>
      <c r="M798" s="1">
        <v>71.0</v>
      </c>
      <c r="N798" s="1">
        <v>45.0</v>
      </c>
      <c r="O798" s="1">
        <v>35.0</v>
      </c>
      <c r="P798" s="1">
        <v>85.0</v>
      </c>
      <c r="Q798" s="1">
        <v>71.0</v>
      </c>
      <c r="R798" s="1">
        <v>48.0</v>
      </c>
      <c r="S798" s="1">
        <v>93.0</v>
      </c>
      <c r="T798" s="1">
        <v>70.0</v>
      </c>
      <c r="U798" s="1">
        <v>85.0</v>
      </c>
      <c r="V798" s="1">
        <v>75.0</v>
      </c>
      <c r="W798" s="1">
        <v>60.0</v>
      </c>
      <c r="X798" s="1">
        <v>83.0</v>
      </c>
      <c r="Y798" s="1">
        <v>74.0</v>
      </c>
      <c r="Z798" s="1">
        <v>1.0</v>
      </c>
    </row>
    <row r="799">
      <c r="A799" s="1" t="s">
        <v>2634</v>
      </c>
      <c r="B799" s="1" t="s">
        <v>2108</v>
      </c>
      <c r="C799" s="1" t="s">
        <v>2166</v>
      </c>
      <c r="D799" s="1" t="s">
        <v>2635</v>
      </c>
      <c r="E799" s="1" t="s">
        <v>226</v>
      </c>
      <c r="F799" s="1" t="s">
        <v>110</v>
      </c>
      <c r="G799" s="1" t="s">
        <v>2636</v>
      </c>
      <c r="H799" s="1" t="s">
        <v>458</v>
      </c>
      <c r="I799" s="1" t="s">
        <v>2637</v>
      </c>
      <c r="J799" s="1" t="s">
        <v>517</v>
      </c>
      <c r="K799" s="1" t="s">
        <v>220</v>
      </c>
      <c r="L799" s="1" t="s">
        <v>110</v>
      </c>
      <c r="M799" s="1" t="s">
        <v>2638</v>
      </c>
      <c r="N799" s="1" t="s">
        <v>1029</v>
      </c>
      <c r="O799" s="1" t="s">
        <v>2639</v>
      </c>
      <c r="P799" s="1" t="s">
        <v>1539</v>
      </c>
      <c r="Q799" s="1" t="s">
        <v>1486</v>
      </c>
      <c r="R799" s="1" t="s">
        <v>2389</v>
      </c>
      <c r="S799" s="1" t="s">
        <v>322</v>
      </c>
      <c r="T799" s="1" t="s">
        <v>731</v>
      </c>
      <c r="U799" s="1" t="s">
        <v>208</v>
      </c>
      <c r="V799" s="1" t="s">
        <v>878</v>
      </c>
      <c r="W799" s="1" t="s">
        <v>1445</v>
      </c>
      <c r="X799" s="1" t="s">
        <v>180</v>
      </c>
      <c r="Y799" s="1" t="s">
        <v>30</v>
      </c>
      <c r="Z799" s="1">
        <v>1.0</v>
      </c>
    </row>
    <row r="800">
      <c r="A800" s="1" t="s">
        <v>2640</v>
      </c>
      <c r="B800" s="1" t="s">
        <v>2108</v>
      </c>
      <c r="C800" s="1" t="s">
        <v>2115</v>
      </c>
      <c r="D800" s="1">
        <v>235.0</v>
      </c>
      <c r="E800" s="1">
        <v>84.0</v>
      </c>
      <c r="F800" s="1">
        <v>80.0</v>
      </c>
      <c r="G800" s="1">
        <v>93.0</v>
      </c>
      <c r="H800" s="1">
        <v>90.0</v>
      </c>
      <c r="I800" s="1">
        <v>87.0</v>
      </c>
      <c r="J800" s="1">
        <v>78.0</v>
      </c>
      <c r="K800" s="1">
        <v>65.0</v>
      </c>
      <c r="L800" s="1">
        <v>70.0</v>
      </c>
      <c r="M800" s="1">
        <v>65.0</v>
      </c>
      <c r="N800" s="1">
        <v>67.0</v>
      </c>
      <c r="O800" s="1">
        <v>60.0</v>
      </c>
      <c r="P800" s="1">
        <v>80.0</v>
      </c>
      <c r="Q800" s="1">
        <v>45.0</v>
      </c>
      <c r="R800" s="1">
        <v>67.0</v>
      </c>
      <c r="S800" s="1">
        <v>78.0</v>
      </c>
      <c r="T800" s="1">
        <v>75.0</v>
      </c>
      <c r="U800" s="1">
        <v>85.0</v>
      </c>
      <c r="V800" s="1">
        <v>70.0</v>
      </c>
      <c r="W800" s="1">
        <v>60.0</v>
      </c>
      <c r="X800" s="1">
        <v>83.0</v>
      </c>
      <c r="Y800" s="1">
        <v>80.0</v>
      </c>
      <c r="Z800" s="1">
        <v>1.0</v>
      </c>
    </row>
    <row r="801">
      <c r="A801" s="1" t="s">
        <v>1275</v>
      </c>
      <c r="B801" s="1" t="s">
        <v>2108</v>
      </c>
      <c r="C801" s="1" t="s">
        <v>1579</v>
      </c>
      <c r="D801" s="1">
        <v>225.0</v>
      </c>
      <c r="E801" s="1">
        <v>92.0</v>
      </c>
      <c r="F801" s="1">
        <v>80.0</v>
      </c>
      <c r="G801" s="1">
        <v>95.0</v>
      </c>
      <c r="H801" s="1">
        <v>65.0</v>
      </c>
      <c r="I801" s="1">
        <v>81.0</v>
      </c>
      <c r="J801" s="1">
        <v>82.0</v>
      </c>
      <c r="K801" s="1">
        <v>50.0</v>
      </c>
      <c r="L801" s="1">
        <v>70.0</v>
      </c>
      <c r="M801" s="1">
        <v>65.0</v>
      </c>
      <c r="N801" s="1">
        <v>67.0</v>
      </c>
      <c r="O801" s="1">
        <v>60.0</v>
      </c>
      <c r="P801" s="1">
        <v>90.0</v>
      </c>
      <c r="Q801" s="1">
        <v>82.0</v>
      </c>
      <c r="R801" s="1">
        <v>52.0</v>
      </c>
      <c r="S801" s="1">
        <v>88.0</v>
      </c>
      <c r="T801" s="1">
        <v>55.0</v>
      </c>
      <c r="U801" s="1">
        <v>80.0</v>
      </c>
      <c r="V801" s="1">
        <v>70.0</v>
      </c>
      <c r="W801" s="1">
        <v>65.0</v>
      </c>
      <c r="X801" s="1">
        <v>85.0</v>
      </c>
      <c r="Y801" s="1">
        <v>80.0</v>
      </c>
      <c r="Z801" s="1">
        <v>1.0</v>
      </c>
    </row>
    <row r="802">
      <c r="A802" s="1" t="s">
        <v>2641</v>
      </c>
      <c r="B802" s="1" t="s">
        <v>2108</v>
      </c>
      <c r="C802" s="1" t="s">
        <v>2115</v>
      </c>
      <c r="D802" s="1">
        <v>213.0</v>
      </c>
      <c r="E802" s="1">
        <v>85.0</v>
      </c>
      <c r="F802" s="1">
        <v>90.0</v>
      </c>
      <c r="G802" s="1">
        <v>86.0</v>
      </c>
      <c r="H802" s="1">
        <v>73.0</v>
      </c>
      <c r="I802" s="1">
        <v>86.0</v>
      </c>
      <c r="J802" s="1">
        <v>89.0</v>
      </c>
      <c r="K802" s="1">
        <v>83.0</v>
      </c>
      <c r="L802" s="1">
        <v>70.0</v>
      </c>
      <c r="M802" s="1">
        <v>75.0</v>
      </c>
      <c r="N802" s="1">
        <v>73.0</v>
      </c>
      <c r="O802" s="1">
        <v>68.0</v>
      </c>
      <c r="P802" s="1">
        <v>72.0</v>
      </c>
      <c r="Q802" s="1">
        <v>71.0</v>
      </c>
      <c r="R802" s="1">
        <v>60.0</v>
      </c>
      <c r="S802" s="1">
        <v>80.0</v>
      </c>
      <c r="T802" s="1">
        <v>70.0</v>
      </c>
      <c r="U802" s="1">
        <v>83.0</v>
      </c>
      <c r="V802" s="1">
        <v>79.0</v>
      </c>
      <c r="W802" s="1">
        <v>72.0</v>
      </c>
      <c r="X802" s="1">
        <v>79.0</v>
      </c>
      <c r="Y802" s="1">
        <v>83.0</v>
      </c>
      <c r="Z802" s="1">
        <v>1.0</v>
      </c>
    </row>
    <row r="803">
      <c r="A803" s="1" t="s">
        <v>2642</v>
      </c>
      <c r="B803" s="1" t="s">
        <v>2108</v>
      </c>
      <c r="C803" s="1" t="s">
        <v>2141</v>
      </c>
      <c r="D803" s="1" t="s">
        <v>2122</v>
      </c>
      <c r="E803" s="1" t="s">
        <v>1613</v>
      </c>
      <c r="F803" s="1" t="s">
        <v>680</v>
      </c>
      <c r="G803" s="1" t="s">
        <v>2188</v>
      </c>
      <c r="H803" s="1" t="s">
        <v>1879</v>
      </c>
      <c r="I803" s="1" t="s">
        <v>38</v>
      </c>
      <c r="J803" s="1" t="s">
        <v>190</v>
      </c>
      <c r="K803" s="1" t="s">
        <v>333</v>
      </c>
      <c r="L803" s="1" t="s">
        <v>150</v>
      </c>
      <c r="M803" s="1" t="s">
        <v>208</v>
      </c>
      <c r="N803" s="1" t="s">
        <v>310</v>
      </c>
      <c r="O803" s="1" t="s">
        <v>2416</v>
      </c>
      <c r="P803" s="1" t="s">
        <v>110</v>
      </c>
      <c r="Q803" s="1" t="s">
        <v>66</v>
      </c>
      <c r="R803" s="1" t="s">
        <v>903</v>
      </c>
      <c r="S803" s="1" t="s">
        <v>1926</v>
      </c>
      <c r="T803" s="1" t="s">
        <v>723</v>
      </c>
      <c r="U803" s="1" t="s">
        <v>731</v>
      </c>
      <c r="V803" s="1" t="s">
        <v>190</v>
      </c>
      <c r="W803" s="1" t="s">
        <v>872</v>
      </c>
      <c r="X803" s="1" t="s">
        <v>984</v>
      </c>
      <c r="Y803" s="1" t="s">
        <v>406</v>
      </c>
      <c r="Z803" s="1">
        <v>1.0</v>
      </c>
    </row>
    <row r="804">
      <c r="A804" s="1" t="s">
        <v>2643</v>
      </c>
      <c r="B804" s="1" t="s">
        <v>2108</v>
      </c>
      <c r="C804" s="1" t="s">
        <v>2110</v>
      </c>
      <c r="D804" s="1" t="s">
        <v>2505</v>
      </c>
      <c r="E804" s="1" t="s">
        <v>493</v>
      </c>
      <c r="F804" s="1" t="s">
        <v>265</v>
      </c>
      <c r="G804" s="1" t="s">
        <v>600</v>
      </c>
      <c r="H804" s="1" t="s">
        <v>1070</v>
      </c>
      <c r="I804" s="1" t="s">
        <v>1227</v>
      </c>
      <c r="J804" s="1">
        <v>87.0</v>
      </c>
      <c r="K804" s="1" t="s">
        <v>780</v>
      </c>
      <c r="L804" s="1" t="s">
        <v>576</v>
      </c>
      <c r="M804" s="1" t="s">
        <v>1054</v>
      </c>
      <c r="N804" s="1" t="s">
        <v>424</v>
      </c>
      <c r="O804" s="1" t="s">
        <v>1239</v>
      </c>
      <c r="P804" s="1" t="s">
        <v>893</v>
      </c>
      <c r="Q804" s="1" t="s">
        <v>1428</v>
      </c>
      <c r="R804" s="1" t="s">
        <v>1070</v>
      </c>
      <c r="S804" s="1" t="s">
        <v>242</v>
      </c>
      <c r="T804" s="1" t="s">
        <v>35</v>
      </c>
      <c r="U804" s="1" t="s">
        <v>322</v>
      </c>
      <c r="V804" s="1" t="s">
        <v>724</v>
      </c>
      <c r="W804" s="1" t="s">
        <v>88</v>
      </c>
      <c r="X804" s="1" t="s">
        <v>117</v>
      </c>
      <c r="Y804" s="1" t="s">
        <v>431</v>
      </c>
      <c r="Z804" s="1">
        <v>1.0</v>
      </c>
    </row>
    <row r="805">
      <c r="A805" s="1" t="s">
        <v>2644</v>
      </c>
      <c r="B805" s="1" t="s">
        <v>2108</v>
      </c>
      <c r="C805" s="1" t="s">
        <v>1534</v>
      </c>
      <c r="D805" s="1">
        <v>255.0</v>
      </c>
      <c r="E805" s="1">
        <v>70.0</v>
      </c>
      <c r="F805" s="1">
        <v>60.0</v>
      </c>
      <c r="G805" s="1">
        <v>73.0</v>
      </c>
      <c r="H805" s="1">
        <v>55.0</v>
      </c>
      <c r="I805" s="1">
        <v>60.0</v>
      </c>
      <c r="J805" s="1">
        <v>70.0</v>
      </c>
      <c r="K805" s="1">
        <v>79.0</v>
      </c>
      <c r="L805" s="1">
        <v>58.0</v>
      </c>
      <c r="M805" s="1">
        <v>70.0</v>
      </c>
      <c r="N805" s="1">
        <v>45.0</v>
      </c>
      <c r="O805" s="1">
        <v>50.0</v>
      </c>
      <c r="P805" s="1">
        <v>77.0</v>
      </c>
      <c r="Q805" s="1">
        <v>73.0</v>
      </c>
      <c r="R805" s="1">
        <v>85.0</v>
      </c>
      <c r="S805" s="1">
        <v>88.0</v>
      </c>
      <c r="T805" s="1">
        <v>80.0</v>
      </c>
      <c r="U805" s="1">
        <v>94.0</v>
      </c>
      <c r="V805" s="1">
        <v>80.0</v>
      </c>
      <c r="W805" s="1">
        <v>71.0</v>
      </c>
      <c r="X805" s="1">
        <v>90.0</v>
      </c>
      <c r="Y805" s="1">
        <v>80.0</v>
      </c>
      <c r="Z805" s="1">
        <v>1.0</v>
      </c>
    </row>
    <row r="806">
      <c r="A806" s="1" t="s">
        <v>2645</v>
      </c>
      <c r="B806" s="1" t="s">
        <v>2108</v>
      </c>
      <c r="C806" s="1" t="s">
        <v>2327</v>
      </c>
      <c r="D806" s="1">
        <v>261.0</v>
      </c>
      <c r="E806" s="1">
        <v>75.0</v>
      </c>
      <c r="F806" s="1">
        <v>59.0</v>
      </c>
      <c r="G806" s="1">
        <v>74.0</v>
      </c>
      <c r="H806" s="1">
        <v>90.0</v>
      </c>
      <c r="I806" s="1">
        <v>75.0</v>
      </c>
      <c r="J806" s="1">
        <v>79.0</v>
      </c>
      <c r="K806" s="1">
        <v>89.0</v>
      </c>
      <c r="L806" s="1">
        <v>65.0</v>
      </c>
      <c r="M806" s="1">
        <v>71.0</v>
      </c>
      <c r="N806" s="1">
        <v>74.0</v>
      </c>
      <c r="O806" s="1">
        <v>55.0</v>
      </c>
      <c r="P806" s="1">
        <v>82.0</v>
      </c>
      <c r="Q806" s="1">
        <v>60.0</v>
      </c>
      <c r="R806" s="1">
        <v>60.0</v>
      </c>
      <c r="S806" s="1">
        <v>84.0</v>
      </c>
      <c r="T806" s="1">
        <v>91.0</v>
      </c>
      <c r="U806" s="1">
        <v>85.0</v>
      </c>
      <c r="V806" s="1">
        <v>66.0</v>
      </c>
      <c r="W806" s="1">
        <v>53.0</v>
      </c>
      <c r="X806" s="1">
        <v>90.0</v>
      </c>
      <c r="Y806" s="1">
        <v>80.0</v>
      </c>
      <c r="Z806" s="1">
        <v>1.0</v>
      </c>
    </row>
    <row r="807">
      <c r="A807" s="1" t="s">
        <v>2646</v>
      </c>
      <c r="B807" s="1" t="s">
        <v>2108</v>
      </c>
      <c r="C807" s="1" t="s">
        <v>970</v>
      </c>
      <c r="D807" s="1">
        <v>243.0</v>
      </c>
      <c r="E807" s="1">
        <v>80.0</v>
      </c>
      <c r="F807" s="1">
        <v>80.0</v>
      </c>
      <c r="G807" s="1">
        <v>80.0</v>
      </c>
      <c r="H807" s="1">
        <v>54.0</v>
      </c>
      <c r="I807" s="1">
        <v>43.0</v>
      </c>
      <c r="J807" s="1">
        <v>87.0</v>
      </c>
      <c r="K807" s="1">
        <v>83.0</v>
      </c>
      <c r="L807" s="1">
        <v>70.0</v>
      </c>
      <c r="M807" s="1">
        <v>87.0</v>
      </c>
      <c r="N807" s="1">
        <v>75.0</v>
      </c>
      <c r="O807" s="1">
        <v>75.0</v>
      </c>
      <c r="P807" s="1">
        <v>82.0</v>
      </c>
      <c r="Q807" s="1">
        <v>74.0</v>
      </c>
      <c r="R807" s="1">
        <v>73.0</v>
      </c>
      <c r="S807" s="1">
        <v>74.0</v>
      </c>
      <c r="T807" s="1">
        <v>80.0</v>
      </c>
      <c r="U807" s="1">
        <v>92.0</v>
      </c>
      <c r="V807" s="1">
        <v>75.0</v>
      </c>
      <c r="W807" s="1">
        <v>71.0</v>
      </c>
      <c r="X807" s="1">
        <v>78.0</v>
      </c>
      <c r="Y807" s="1">
        <v>77.0</v>
      </c>
      <c r="Z807" s="1">
        <v>1.0</v>
      </c>
    </row>
    <row r="808">
      <c r="A808" s="1" t="s">
        <v>326</v>
      </c>
      <c r="B808" s="1" t="s">
        <v>2108</v>
      </c>
      <c r="C808" s="1" t="s">
        <v>1541</v>
      </c>
      <c r="D808" s="1" t="s">
        <v>2647</v>
      </c>
      <c r="E808" s="1" t="s">
        <v>424</v>
      </c>
      <c r="F808" s="1" t="s">
        <v>134</v>
      </c>
      <c r="G808" s="1" t="s">
        <v>201</v>
      </c>
      <c r="H808" s="1" t="s">
        <v>1993</v>
      </c>
      <c r="I808" s="1" t="s">
        <v>2648</v>
      </c>
      <c r="J808" s="1" t="s">
        <v>553</v>
      </c>
      <c r="K808" s="1" t="s">
        <v>404</v>
      </c>
      <c r="L808" s="1" t="s">
        <v>2649</v>
      </c>
      <c r="M808" s="1" t="s">
        <v>900</v>
      </c>
      <c r="N808" s="1" t="s">
        <v>224</v>
      </c>
      <c r="O808" s="1" t="s">
        <v>974</v>
      </c>
      <c r="P808" s="1" t="s">
        <v>710</v>
      </c>
      <c r="Q808" s="1" t="s">
        <v>1146</v>
      </c>
      <c r="R808" s="1" t="s">
        <v>1157</v>
      </c>
      <c r="S808" s="1" t="s">
        <v>716</v>
      </c>
      <c r="T808" s="1" t="s">
        <v>891</v>
      </c>
      <c r="U808" s="1" t="s">
        <v>323</v>
      </c>
      <c r="V808" s="1" t="s">
        <v>113</v>
      </c>
      <c r="W808" s="1" t="s">
        <v>2650</v>
      </c>
      <c r="X808" s="1" t="s">
        <v>502</v>
      </c>
      <c r="Y808" s="1" t="s">
        <v>300</v>
      </c>
      <c r="Z808" s="1">
        <v>1.0</v>
      </c>
    </row>
    <row r="809">
      <c r="A809" s="1" t="s">
        <v>2651</v>
      </c>
      <c r="B809" s="1" t="s">
        <v>2108</v>
      </c>
      <c r="C809" s="1" t="s">
        <v>192</v>
      </c>
      <c r="D809" s="1">
        <v>240.0</v>
      </c>
      <c r="E809" s="1">
        <v>71.0</v>
      </c>
      <c r="F809" s="1">
        <v>70.0</v>
      </c>
      <c r="G809" s="1">
        <v>70.0</v>
      </c>
      <c r="H809" s="1">
        <v>71.0</v>
      </c>
      <c r="I809" s="1">
        <v>70.0</v>
      </c>
      <c r="J809" s="1">
        <v>80.0</v>
      </c>
      <c r="K809" s="1">
        <v>90.0</v>
      </c>
      <c r="L809" s="1">
        <v>68.0</v>
      </c>
      <c r="M809" s="1">
        <v>71.0</v>
      </c>
      <c r="N809" s="1">
        <v>64.0</v>
      </c>
      <c r="O809" s="1">
        <v>68.0</v>
      </c>
      <c r="P809" s="1">
        <v>73.0</v>
      </c>
      <c r="Q809" s="1">
        <v>60.0</v>
      </c>
      <c r="R809" s="1">
        <v>60.0</v>
      </c>
      <c r="S809" s="1">
        <v>76.0</v>
      </c>
      <c r="T809" s="1">
        <v>71.0</v>
      </c>
      <c r="U809" s="1">
        <v>60.0</v>
      </c>
      <c r="V809" s="1">
        <v>85.0</v>
      </c>
      <c r="W809" s="1">
        <v>82.0</v>
      </c>
      <c r="X809" s="1">
        <v>96.0</v>
      </c>
      <c r="Y809" s="1">
        <v>96.0</v>
      </c>
      <c r="Z809" s="1">
        <v>1.0</v>
      </c>
    </row>
    <row r="810">
      <c r="A810" s="1" t="s">
        <v>2652</v>
      </c>
      <c r="B810" s="1" t="s">
        <v>2108</v>
      </c>
      <c r="C810" s="1" t="s">
        <v>1534</v>
      </c>
      <c r="D810" s="1">
        <v>233.0</v>
      </c>
      <c r="E810" s="1">
        <v>65.0</v>
      </c>
      <c r="F810" s="1">
        <v>75.0</v>
      </c>
      <c r="G810" s="1">
        <v>80.0</v>
      </c>
      <c r="H810" s="1">
        <v>72.0</v>
      </c>
      <c r="I810" s="1">
        <v>70.0</v>
      </c>
      <c r="J810" s="1">
        <v>73.0</v>
      </c>
      <c r="K810" s="1">
        <v>83.0</v>
      </c>
      <c r="L810" s="1">
        <v>71.0</v>
      </c>
      <c r="M810" s="1">
        <v>87.0</v>
      </c>
      <c r="N810" s="1">
        <v>80.0</v>
      </c>
      <c r="O810" s="1">
        <v>70.0</v>
      </c>
      <c r="P810" s="1">
        <v>75.0</v>
      </c>
      <c r="Q810" s="1">
        <v>74.0</v>
      </c>
      <c r="R810" s="1">
        <v>73.0</v>
      </c>
      <c r="S810" s="1">
        <v>84.0</v>
      </c>
      <c r="T810" s="1">
        <v>70.0</v>
      </c>
      <c r="U810" s="1">
        <v>84.0</v>
      </c>
      <c r="V810" s="1">
        <v>76.0</v>
      </c>
      <c r="W810" s="1">
        <v>74.0</v>
      </c>
      <c r="X810" s="1">
        <v>93.0</v>
      </c>
      <c r="Y810" s="1">
        <v>70.0</v>
      </c>
      <c r="Z810" s="1">
        <v>1.0</v>
      </c>
    </row>
    <row r="811">
      <c r="A811" s="1" t="s">
        <v>1871</v>
      </c>
      <c r="B811" s="1" t="s">
        <v>2108</v>
      </c>
      <c r="C811" s="1" t="s">
        <v>2115</v>
      </c>
      <c r="D811" s="1">
        <v>250.0</v>
      </c>
      <c r="E811" s="1">
        <v>76.0</v>
      </c>
      <c r="F811" s="1">
        <v>70.0</v>
      </c>
      <c r="G811" s="1">
        <v>85.0</v>
      </c>
      <c r="H811" s="1">
        <v>70.0</v>
      </c>
      <c r="I811" s="1">
        <v>55.0</v>
      </c>
      <c r="J811" s="1">
        <v>81.0</v>
      </c>
      <c r="K811" s="1">
        <v>89.0</v>
      </c>
      <c r="L811" s="1">
        <v>65.0</v>
      </c>
      <c r="M811" s="1">
        <v>87.0</v>
      </c>
      <c r="N811" s="1">
        <v>60.0</v>
      </c>
      <c r="O811" s="1">
        <v>61.0</v>
      </c>
      <c r="P811" s="1">
        <v>88.0</v>
      </c>
      <c r="Q811" s="1">
        <v>72.0</v>
      </c>
      <c r="R811" s="1">
        <v>43.0</v>
      </c>
      <c r="S811" s="1">
        <v>88.0</v>
      </c>
      <c r="T811" s="1">
        <v>85.0</v>
      </c>
      <c r="U811" s="1">
        <v>75.0</v>
      </c>
      <c r="V811" s="1">
        <v>72.0</v>
      </c>
      <c r="W811" s="1">
        <v>62.0</v>
      </c>
      <c r="X811" s="1">
        <v>90.0</v>
      </c>
      <c r="Y811" s="1">
        <v>80.0</v>
      </c>
      <c r="Z811" s="1">
        <v>1.0</v>
      </c>
    </row>
    <row r="812">
      <c r="A812" s="1" t="s">
        <v>2653</v>
      </c>
      <c r="B812" s="1" t="s">
        <v>2108</v>
      </c>
      <c r="C812" s="1" t="s">
        <v>192</v>
      </c>
      <c r="D812" s="1">
        <v>255.0</v>
      </c>
      <c r="E812" s="1">
        <v>80.0</v>
      </c>
      <c r="F812" s="1">
        <v>75.0</v>
      </c>
      <c r="G812" s="1">
        <v>80.0</v>
      </c>
      <c r="H812" s="1">
        <v>81.0</v>
      </c>
      <c r="I812" s="1">
        <v>79.0</v>
      </c>
      <c r="J812" s="1">
        <v>82.0</v>
      </c>
      <c r="K812" s="1">
        <v>92.0</v>
      </c>
      <c r="L812" s="1">
        <v>77.0</v>
      </c>
      <c r="M812" s="1">
        <v>87.0</v>
      </c>
      <c r="N812" s="1">
        <v>77.0</v>
      </c>
      <c r="O812" s="1">
        <v>68.0</v>
      </c>
      <c r="P812" s="1">
        <v>75.0</v>
      </c>
      <c r="Q812" s="1">
        <v>74.0</v>
      </c>
      <c r="R812" s="1">
        <v>73.0</v>
      </c>
      <c r="S812" s="1">
        <v>74.0</v>
      </c>
      <c r="T812" s="1">
        <v>61.0</v>
      </c>
      <c r="U812" s="1">
        <v>80.0</v>
      </c>
      <c r="V812" s="1">
        <v>74.0</v>
      </c>
      <c r="W812" s="1">
        <v>70.0</v>
      </c>
      <c r="X812" s="1">
        <v>84.0</v>
      </c>
      <c r="Y812" s="1">
        <v>77.0</v>
      </c>
      <c r="Z812" s="1">
        <v>1.0</v>
      </c>
    </row>
    <row r="813">
      <c r="A813" s="1" t="s">
        <v>2654</v>
      </c>
      <c r="B813" s="1" t="s">
        <v>2108</v>
      </c>
      <c r="C813" s="1" t="s">
        <v>1579</v>
      </c>
      <c r="D813" s="1">
        <v>250.0</v>
      </c>
      <c r="E813" s="1">
        <v>81.0</v>
      </c>
      <c r="F813" s="1">
        <v>83.0</v>
      </c>
      <c r="G813" s="1">
        <v>90.0</v>
      </c>
      <c r="H813" s="1">
        <v>72.0</v>
      </c>
      <c r="I813" s="1">
        <v>57.0</v>
      </c>
      <c r="J813" s="1">
        <v>75.0</v>
      </c>
      <c r="K813" s="1">
        <v>82.0</v>
      </c>
      <c r="L813" s="1">
        <v>57.0</v>
      </c>
      <c r="M813" s="1">
        <v>76.0</v>
      </c>
      <c r="N813" s="1">
        <v>78.0</v>
      </c>
      <c r="O813" s="1">
        <v>65.0</v>
      </c>
      <c r="P813" s="1">
        <v>80.0</v>
      </c>
      <c r="Q813" s="1">
        <v>71.0</v>
      </c>
      <c r="R813" s="1">
        <v>41.0</v>
      </c>
      <c r="S813" s="1">
        <v>54.0</v>
      </c>
      <c r="T813" s="1">
        <v>90.0</v>
      </c>
      <c r="U813" s="1">
        <v>92.0</v>
      </c>
      <c r="V813" s="1">
        <v>74.0</v>
      </c>
      <c r="W813" s="1">
        <v>67.0</v>
      </c>
      <c r="X813" s="1">
        <v>87.0</v>
      </c>
      <c r="Y813" s="1">
        <v>80.0</v>
      </c>
      <c r="Z813" s="1">
        <v>1.0</v>
      </c>
    </row>
    <row r="814">
      <c r="A814" s="1" t="s">
        <v>1114</v>
      </c>
      <c r="B814" s="1" t="s">
        <v>2108</v>
      </c>
      <c r="C814" s="1" t="s">
        <v>1534</v>
      </c>
      <c r="D814" s="1">
        <v>210.0</v>
      </c>
      <c r="E814" s="1">
        <v>80.0</v>
      </c>
      <c r="F814" s="1">
        <v>80.0</v>
      </c>
      <c r="G814" s="1">
        <v>80.0</v>
      </c>
      <c r="H814" s="1">
        <v>80.0</v>
      </c>
      <c r="I814" s="1">
        <v>58.0</v>
      </c>
      <c r="J814" s="1">
        <v>80.0</v>
      </c>
      <c r="K814" s="1">
        <v>80.0</v>
      </c>
      <c r="L814" s="1">
        <v>56.0</v>
      </c>
      <c r="M814" s="1">
        <v>71.0</v>
      </c>
      <c r="N814" s="1">
        <v>65.0</v>
      </c>
      <c r="O814" s="1">
        <v>70.0</v>
      </c>
      <c r="P814" s="1">
        <v>85.0</v>
      </c>
      <c r="Q814" s="1">
        <v>80.0</v>
      </c>
      <c r="R814" s="1">
        <v>50.0</v>
      </c>
      <c r="S814" s="1">
        <v>88.0</v>
      </c>
      <c r="T814" s="1">
        <v>77.0</v>
      </c>
      <c r="U814" s="1">
        <v>82.0</v>
      </c>
      <c r="V814" s="1">
        <v>83.0</v>
      </c>
      <c r="W814" s="1">
        <v>73.0</v>
      </c>
      <c r="X814" s="1">
        <v>72.0</v>
      </c>
      <c r="Y814" s="1">
        <v>88.0</v>
      </c>
      <c r="Z814" s="1">
        <v>1.0</v>
      </c>
    </row>
    <row r="815">
      <c r="A815" s="1" t="s">
        <v>1259</v>
      </c>
      <c r="B815" s="1" t="s">
        <v>2108</v>
      </c>
      <c r="C815" s="1" t="s">
        <v>970</v>
      </c>
      <c r="D815" s="1">
        <v>258.0</v>
      </c>
      <c r="E815" s="1">
        <v>75.0</v>
      </c>
      <c r="F815" s="1">
        <v>70.0</v>
      </c>
      <c r="G815" s="1">
        <v>90.0</v>
      </c>
      <c r="H815" s="1">
        <v>70.0</v>
      </c>
      <c r="I815" s="1">
        <v>49.0</v>
      </c>
      <c r="J815" s="1">
        <v>89.0</v>
      </c>
      <c r="K815" s="1">
        <v>86.0</v>
      </c>
      <c r="L815" s="1">
        <v>72.0</v>
      </c>
      <c r="M815" s="1">
        <v>71.0</v>
      </c>
      <c r="N815" s="1">
        <v>75.0</v>
      </c>
      <c r="O815" s="1">
        <v>75.0</v>
      </c>
      <c r="P815" s="1">
        <v>70.0</v>
      </c>
      <c r="Q815" s="1">
        <v>74.0</v>
      </c>
      <c r="R815" s="1">
        <v>85.0</v>
      </c>
      <c r="S815" s="1">
        <v>52.0</v>
      </c>
      <c r="T815" s="1">
        <v>81.0</v>
      </c>
      <c r="U815" s="1">
        <v>92.0</v>
      </c>
      <c r="V815" s="1">
        <v>80.0</v>
      </c>
      <c r="W815" s="1">
        <v>71.0</v>
      </c>
      <c r="X815" s="1">
        <v>83.0</v>
      </c>
      <c r="Y815" s="1">
        <v>70.0</v>
      </c>
      <c r="Z815" s="1">
        <v>1.0</v>
      </c>
    </row>
    <row r="816">
      <c r="A816" s="1" t="s">
        <v>1991</v>
      </c>
      <c r="B816" s="1" t="s">
        <v>2108</v>
      </c>
      <c r="C816" s="1" t="s">
        <v>1754</v>
      </c>
      <c r="D816" s="1" t="s">
        <v>2655</v>
      </c>
      <c r="E816" s="1" t="s">
        <v>857</v>
      </c>
      <c r="F816" s="1">
        <v>75.0</v>
      </c>
      <c r="G816" s="1" t="s">
        <v>201</v>
      </c>
      <c r="H816" s="1" t="s">
        <v>1444</v>
      </c>
      <c r="I816" s="1" t="s">
        <v>1511</v>
      </c>
      <c r="J816" s="1" t="s">
        <v>617</v>
      </c>
      <c r="K816" s="1" t="s">
        <v>253</v>
      </c>
      <c r="L816" s="1" t="s">
        <v>110</v>
      </c>
      <c r="M816" s="1" t="s">
        <v>860</v>
      </c>
      <c r="N816" s="1" t="s">
        <v>2073</v>
      </c>
      <c r="O816" s="1" t="s">
        <v>2491</v>
      </c>
      <c r="P816" s="1" t="s">
        <v>691</v>
      </c>
      <c r="Q816" s="1" t="s">
        <v>685</v>
      </c>
      <c r="R816" s="1" t="s">
        <v>1728</v>
      </c>
      <c r="S816" s="1" t="s">
        <v>2308</v>
      </c>
      <c r="T816" s="1" t="s">
        <v>1594</v>
      </c>
      <c r="U816" s="1" t="s">
        <v>227</v>
      </c>
      <c r="V816" s="1" t="s">
        <v>1200</v>
      </c>
      <c r="W816" s="1" t="s">
        <v>224</v>
      </c>
      <c r="X816" s="1" t="s">
        <v>1300</v>
      </c>
      <c r="Y816" s="1" t="s">
        <v>1550</v>
      </c>
      <c r="Z816" s="1">
        <v>1.0</v>
      </c>
    </row>
    <row r="817">
      <c r="A817" s="1" t="s">
        <v>2656</v>
      </c>
      <c r="B817" s="1" t="s">
        <v>2108</v>
      </c>
      <c r="C817" s="1" t="s">
        <v>2115</v>
      </c>
      <c r="D817" s="1">
        <v>236.0</v>
      </c>
      <c r="E817" s="1">
        <v>92.0</v>
      </c>
      <c r="F817" s="1">
        <v>75.0</v>
      </c>
      <c r="G817" s="1">
        <v>87.0</v>
      </c>
      <c r="H817" s="1">
        <v>90.0</v>
      </c>
      <c r="I817" s="1">
        <v>87.0</v>
      </c>
      <c r="J817" s="1">
        <v>80.0</v>
      </c>
      <c r="K817" s="1">
        <v>68.0</v>
      </c>
      <c r="L817" s="1">
        <v>81.0</v>
      </c>
      <c r="M817" s="1">
        <v>76.0</v>
      </c>
      <c r="N817" s="1">
        <v>50.0</v>
      </c>
      <c r="O817" s="1">
        <v>35.0</v>
      </c>
      <c r="P817" s="1">
        <v>83.0</v>
      </c>
      <c r="Q817" s="1">
        <v>62.0</v>
      </c>
      <c r="R817" s="1">
        <v>60.0</v>
      </c>
      <c r="S817" s="1">
        <v>74.0</v>
      </c>
      <c r="T817" s="1">
        <v>75.0</v>
      </c>
      <c r="U817" s="1">
        <v>85.0</v>
      </c>
      <c r="V817" s="1">
        <v>75.0</v>
      </c>
      <c r="W817" s="1">
        <v>65.0</v>
      </c>
      <c r="X817" s="1">
        <v>84.0</v>
      </c>
      <c r="Y817" s="1">
        <v>80.0</v>
      </c>
      <c r="Z817" s="1">
        <v>1.0</v>
      </c>
    </row>
    <row r="818">
      <c r="A818" s="1" t="s">
        <v>2657</v>
      </c>
      <c r="B818" s="1" t="s">
        <v>2108</v>
      </c>
      <c r="C818" s="1" t="s">
        <v>2115</v>
      </c>
      <c r="D818" s="1">
        <v>256.0</v>
      </c>
      <c r="E818" s="1">
        <v>88.0</v>
      </c>
      <c r="F818" s="1">
        <v>80.0</v>
      </c>
      <c r="G818" s="1">
        <v>63.0</v>
      </c>
      <c r="H818" s="1">
        <v>80.0</v>
      </c>
      <c r="I818" s="1">
        <v>79.0</v>
      </c>
      <c r="J818" s="1">
        <v>89.0</v>
      </c>
      <c r="K818" s="1">
        <v>60.0</v>
      </c>
      <c r="L818" s="1">
        <v>70.0</v>
      </c>
      <c r="M818" s="1">
        <v>50.0</v>
      </c>
      <c r="N818" s="1">
        <v>55.0</v>
      </c>
      <c r="O818" s="1">
        <v>60.0</v>
      </c>
      <c r="P818" s="1">
        <v>94.0</v>
      </c>
      <c r="Q818" s="1">
        <v>71.0</v>
      </c>
      <c r="R818" s="1">
        <v>49.0</v>
      </c>
      <c r="S818" s="1">
        <v>93.0</v>
      </c>
      <c r="T818" s="1">
        <v>90.0</v>
      </c>
      <c r="U818" s="1">
        <v>85.0</v>
      </c>
      <c r="V818" s="1">
        <v>70.0</v>
      </c>
      <c r="W818" s="1">
        <v>60.0</v>
      </c>
      <c r="X818" s="1">
        <v>81.0</v>
      </c>
      <c r="Y818" s="1">
        <v>78.0</v>
      </c>
      <c r="Z818" s="1">
        <v>1.0</v>
      </c>
    </row>
    <row r="819">
      <c r="A819" s="1" t="s">
        <v>2658</v>
      </c>
      <c r="B819" s="1" t="s">
        <v>2108</v>
      </c>
      <c r="C819" s="1" t="s">
        <v>970</v>
      </c>
      <c r="D819" s="1">
        <v>225.0</v>
      </c>
      <c r="E819" s="1">
        <v>70.0</v>
      </c>
      <c r="F819" s="1">
        <v>71.0</v>
      </c>
      <c r="G819" s="1">
        <v>65.0</v>
      </c>
      <c r="H819" s="1">
        <v>45.0</v>
      </c>
      <c r="I819" s="1">
        <v>62.0</v>
      </c>
      <c r="J819" s="1">
        <v>80.0</v>
      </c>
      <c r="K819" s="1">
        <v>83.0</v>
      </c>
      <c r="L819" s="1">
        <v>76.0</v>
      </c>
      <c r="M819" s="1">
        <v>76.0</v>
      </c>
      <c r="N819" s="1">
        <v>82.0</v>
      </c>
      <c r="O819" s="1">
        <v>77.0</v>
      </c>
      <c r="P819" s="1">
        <v>85.0</v>
      </c>
      <c r="Q819" s="1">
        <v>74.0</v>
      </c>
      <c r="R819" s="1">
        <v>48.0</v>
      </c>
      <c r="S819" s="1">
        <v>91.0</v>
      </c>
      <c r="T819" s="1">
        <v>80.0</v>
      </c>
      <c r="U819" s="1">
        <v>91.0</v>
      </c>
      <c r="V819" s="1">
        <v>86.0</v>
      </c>
      <c r="W819" s="1">
        <v>82.0</v>
      </c>
      <c r="X819" s="1">
        <v>88.0</v>
      </c>
      <c r="Y819" s="1">
        <v>80.0</v>
      </c>
      <c r="Z819" s="1">
        <v>1.0</v>
      </c>
    </row>
    <row r="820">
      <c r="A820" s="1" t="s">
        <v>307</v>
      </c>
      <c r="B820" s="1" t="s">
        <v>2108</v>
      </c>
      <c r="C820" s="1" t="s">
        <v>970</v>
      </c>
      <c r="D820" s="1">
        <v>227.0</v>
      </c>
      <c r="E820" s="1">
        <v>78.0</v>
      </c>
      <c r="F820" s="1">
        <v>88.0</v>
      </c>
      <c r="G820" s="1">
        <v>52.0</v>
      </c>
      <c r="H820" s="1">
        <v>42.0</v>
      </c>
      <c r="I820" s="1">
        <v>46.0</v>
      </c>
      <c r="J820" s="1">
        <v>92.0</v>
      </c>
      <c r="K820" s="1">
        <v>80.0</v>
      </c>
      <c r="L820" s="1">
        <v>73.0</v>
      </c>
      <c r="M820" s="1">
        <v>75.0</v>
      </c>
      <c r="N820" s="1">
        <v>81.0</v>
      </c>
      <c r="O820" s="1">
        <v>76.0</v>
      </c>
      <c r="P820" s="1">
        <v>70.0</v>
      </c>
      <c r="Q820" s="1">
        <v>91.0</v>
      </c>
      <c r="R820" s="1">
        <v>61.0</v>
      </c>
      <c r="S820" s="1">
        <v>84.0</v>
      </c>
      <c r="T820" s="1">
        <v>70.0</v>
      </c>
      <c r="U820" s="1">
        <v>85.0</v>
      </c>
      <c r="V820" s="1">
        <v>80.0</v>
      </c>
      <c r="W820" s="1">
        <v>82.0</v>
      </c>
      <c r="X820" s="1">
        <v>75.0</v>
      </c>
      <c r="Y820" s="1">
        <v>77.0</v>
      </c>
      <c r="Z820" s="1">
        <v>1.0</v>
      </c>
    </row>
    <row r="821">
      <c r="A821" s="1" t="s">
        <v>2659</v>
      </c>
      <c r="B821" s="1" t="s">
        <v>2108</v>
      </c>
      <c r="C821" s="1" t="s">
        <v>2163</v>
      </c>
      <c r="D821" s="1" t="s">
        <v>2660</v>
      </c>
      <c r="E821" s="1" t="s">
        <v>323</v>
      </c>
      <c r="F821" s="1" t="s">
        <v>1254</v>
      </c>
      <c r="G821" s="1" t="s">
        <v>614</v>
      </c>
      <c r="H821" s="1" t="s">
        <v>974</v>
      </c>
      <c r="I821" s="1" t="s">
        <v>1913</v>
      </c>
      <c r="J821" s="1" t="s">
        <v>151</v>
      </c>
      <c r="K821" s="1" t="s">
        <v>208</v>
      </c>
      <c r="L821" s="1" t="s">
        <v>1436</v>
      </c>
      <c r="M821" s="1" t="s">
        <v>530</v>
      </c>
      <c r="N821" s="1" t="s">
        <v>764</v>
      </c>
      <c r="O821" s="1" t="s">
        <v>746</v>
      </c>
      <c r="P821" s="1" t="s">
        <v>180</v>
      </c>
      <c r="Q821" s="1" t="s">
        <v>210</v>
      </c>
      <c r="R821" s="1" t="s">
        <v>815</v>
      </c>
      <c r="S821" s="1" t="s">
        <v>35</v>
      </c>
      <c r="T821" s="1" t="s">
        <v>35</v>
      </c>
      <c r="U821" s="1" t="s">
        <v>208</v>
      </c>
      <c r="V821" s="1" t="s">
        <v>2356</v>
      </c>
      <c r="W821" s="1" t="s">
        <v>781</v>
      </c>
      <c r="X821" s="1" t="s">
        <v>208</v>
      </c>
      <c r="Y821" s="1" t="s">
        <v>190</v>
      </c>
      <c r="Z821" s="1">
        <v>1.0</v>
      </c>
    </row>
    <row r="822">
      <c r="A822" s="1" t="s">
        <v>2012</v>
      </c>
      <c r="B822" s="1" t="s">
        <v>2108</v>
      </c>
      <c r="C822" s="1" t="s">
        <v>2110</v>
      </c>
      <c r="D822" s="1" t="s">
        <v>2661</v>
      </c>
      <c r="E822" s="1" t="s">
        <v>1416</v>
      </c>
      <c r="F822" s="1" t="s">
        <v>431</v>
      </c>
      <c r="G822" s="1" t="s">
        <v>675</v>
      </c>
      <c r="H822" s="1" t="s">
        <v>2662</v>
      </c>
      <c r="I822" s="1" t="s">
        <v>2663</v>
      </c>
      <c r="J822" s="1" t="s">
        <v>151</v>
      </c>
      <c r="K822" s="1" t="s">
        <v>582</v>
      </c>
      <c r="L822" s="1" t="s">
        <v>698</v>
      </c>
      <c r="M822" s="1" t="s">
        <v>2664</v>
      </c>
      <c r="N822" s="1" t="s">
        <v>555</v>
      </c>
      <c r="O822" s="1" t="s">
        <v>829</v>
      </c>
      <c r="P822" s="1" t="s">
        <v>128</v>
      </c>
      <c r="Q822" s="1" t="s">
        <v>1298</v>
      </c>
      <c r="R822" s="1" t="s">
        <v>1252</v>
      </c>
      <c r="S822" s="1" t="s">
        <v>996</v>
      </c>
      <c r="T822" s="1" t="s">
        <v>477</v>
      </c>
      <c r="U822" s="1" t="s">
        <v>806</v>
      </c>
      <c r="V822" s="1" t="s">
        <v>530</v>
      </c>
      <c r="W822" s="1" t="s">
        <v>2006</v>
      </c>
      <c r="X822" s="1" t="s">
        <v>80</v>
      </c>
      <c r="Y822" s="1" t="s">
        <v>1247</v>
      </c>
      <c r="Z822" s="1">
        <v>1.0</v>
      </c>
    </row>
    <row r="823">
      <c r="A823" s="1" t="s">
        <v>2665</v>
      </c>
      <c r="B823" s="1" t="s">
        <v>2108</v>
      </c>
      <c r="C823" s="1" t="s">
        <v>1534</v>
      </c>
      <c r="D823" s="1">
        <v>248.0</v>
      </c>
      <c r="E823" s="1">
        <v>74.0</v>
      </c>
      <c r="F823" s="1">
        <v>74.0</v>
      </c>
      <c r="G823" s="1">
        <v>94.0</v>
      </c>
      <c r="H823" s="1">
        <v>59.0</v>
      </c>
      <c r="I823" s="1">
        <v>50.0</v>
      </c>
      <c r="J823" s="1">
        <v>70.0</v>
      </c>
      <c r="K823" s="1">
        <v>80.0</v>
      </c>
      <c r="L823" s="1">
        <v>57.0</v>
      </c>
      <c r="M823" s="1">
        <v>50.0</v>
      </c>
      <c r="N823" s="1">
        <v>75.0</v>
      </c>
      <c r="O823" s="1">
        <v>56.0</v>
      </c>
      <c r="P823" s="1">
        <v>85.0</v>
      </c>
      <c r="Q823" s="1">
        <v>82.0</v>
      </c>
      <c r="R823" s="1">
        <v>74.0</v>
      </c>
      <c r="S823" s="1">
        <v>93.0</v>
      </c>
      <c r="T823" s="1">
        <v>48.0</v>
      </c>
      <c r="U823" s="1">
        <v>73.0</v>
      </c>
      <c r="V823" s="1">
        <v>80.0</v>
      </c>
      <c r="W823" s="1">
        <v>75.0</v>
      </c>
      <c r="X823" s="1">
        <v>83.0</v>
      </c>
      <c r="Y823" s="1">
        <v>90.0</v>
      </c>
      <c r="Z823" s="1">
        <v>1.0</v>
      </c>
    </row>
    <row r="824">
      <c r="A824" s="1" t="s">
        <v>2666</v>
      </c>
      <c r="B824" s="1" t="s">
        <v>2108</v>
      </c>
      <c r="C824" s="1" t="s">
        <v>2115</v>
      </c>
      <c r="D824" s="1">
        <v>252.0</v>
      </c>
      <c r="E824" s="1">
        <v>84.0</v>
      </c>
      <c r="F824" s="1">
        <v>80.0</v>
      </c>
      <c r="G824" s="1">
        <v>73.0</v>
      </c>
      <c r="H824" s="1">
        <v>85.0</v>
      </c>
      <c r="I824" s="1">
        <v>75.0</v>
      </c>
      <c r="J824" s="1">
        <v>68.0</v>
      </c>
      <c r="K824" s="1">
        <v>78.0</v>
      </c>
      <c r="L824" s="1">
        <v>67.0</v>
      </c>
      <c r="M824" s="1">
        <v>76.0</v>
      </c>
      <c r="N824" s="1">
        <v>60.0</v>
      </c>
      <c r="O824" s="1">
        <v>50.0</v>
      </c>
      <c r="P824" s="1">
        <v>75.0</v>
      </c>
      <c r="Q824" s="1">
        <v>62.0</v>
      </c>
      <c r="R824" s="1">
        <v>67.0</v>
      </c>
      <c r="S824" s="1">
        <v>84.0</v>
      </c>
      <c r="T824" s="1">
        <v>85.0</v>
      </c>
      <c r="U824" s="1">
        <v>96.0</v>
      </c>
      <c r="V824" s="1">
        <v>70.0</v>
      </c>
      <c r="W824" s="1">
        <v>59.0</v>
      </c>
      <c r="X824" s="1">
        <v>84.0</v>
      </c>
      <c r="Y824" s="1">
        <v>77.0</v>
      </c>
      <c r="Z824" s="1">
        <v>1.0</v>
      </c>
    </row>
    <row r="825">
      <c r="A825" s="1" t="s">
        <v>2667</v>
      </c>
      <c r="B825" s="1" t="s">
        <v>2108</v>
      </c>
      <c r="C825" s="1" t="s">
        <v>2121</v>
      </c>
      <c r="D825" s="1" t="s">
        <v>2668</v>
      </c>
      <c r="E825" s="1" t="s">
        <v>39</v>
      </c>
      <c r="F825" s="1" t="s">
        <v>1406</v>
      </c>
      <c r="G825" s="1" t="s">
        <v>242</v>
      </c>
      <c r="H825" s="1" t="s">
        <v>576</v>
      </c>
      <c r="I825" s="1" t="s">
        <v>2669</v>
      </c>
      <c r="J825" s="1">
        <v>85.0</v>
      </c>
      <c r="K825" s="1" t="s">
        <v>1313</v>
      </c>
      <c r="L825" s="1" t="s">
        <v>817</v>
      </c>
      <c r="M825" s="1" t="s">
        <v>410</v>
      </c>
      <c r="N825" s="1" t="s">
        <v>1384</v>
      </c>
      <c r="O825" s="1" t="s">
        <v>1384</v>
      </c>
      <c r="P825" s="1">
        <v>85.0</v>
      </c>
      <c r="Q825" s="1" t="s">
        <v>584</v>
      </c>
      <c r="R825" s="1" t="s">
        <v>48</v>
      </c>
      <c r="S825" s="1" t="s">
        <v>322</v>
      </c>
      <c r="T825" s="1" t="s">
        <v>857</v>
      </c>
      <c r="U825" s="1" t="s">
        <v>1188</v>
      </c>
      <c r="V825" s="1" t="s">
        <v>310</v>
      </c>
      <c r="W825" s="1" t="s">
        <v>892</v>
      </c>
      <c r="X825" s="1">
        <v>80.0</v>
      </c>
      <c r="Y825" s="1" t="s">
        <v>1213</v>
      </c>
      <c r="Z825" s="1">
        <v>1.0</v>
      </c>
    </row>
    <row r="826">
      <c r="A826" s="1" t="s">
        <v>2670</v>
      </c>
      <c r="B826" s="1" t="s">
        <v>2108</v>
      </c>
      <c r="C826" s="1" t="s">
        <v>970</v>
      </c>
      <c r="D826" s="1">
        <v>263.0</v>
      </c>
      <c r="E826" s="1">
        <v>76.0</v>
      </c>
      <c r="F826" s="1">
        <v>76.0</v>
      </c>
      <c r="G826" s="1">
        <v>96.0</v>
      </c>
      <c r="H826" s="1">
        <v>60.0</v>
      </c>
      <c r="I826" s="1">
        <v>60.0</v>
      </c>
      <c r="J826" s="1">
        <v>70.0</v>
      </c>
      <c r="K826" s="1">
        <v>80.0</v>
      </c>
      <c r="L826" s="1">
        <v>55.0</v>
      </c>
      <c r="M826" s="1">
        <v>39.0</v>
      </c>
      <c r="N826" s="1">
        <v>61.0</v>
      </c>
      <c r="O826" s="1">
        <v>44.0</v>
      </c>
      <c r="P826" s="1">
        <v>75.0</v>
      </c>
      <c r="Q826" s="1">
        <v>65.0</v>
      </c>
      <c r="R826" s="1">
        <v>70.0</v>
      </c>
      <c r="S826" s="1">
        <v>90.0</v>
      </c>
      <c r="T826" s="1">
        <v>83.0</v>
      </c>
      <c r="U826" s="1">
        <v>94.0</v>
      </c>
      <c r="V826" s="1">
        <v>70.0</v>
      </c>
      <c r="W826" s="1">
        <v>65.0</v>
      </c>
      <c r="X826" s="1">
        <v>95.0</v>
      </c>
      <c r="Y826" s="1">
        <v>83.0</v>
      </c>
      <c r="Z826" s="1">
        <v>1.0</v>
      </c>
    </row>
    <row r="827">
      <c r="A827" s="1" t="s">
        <v>1984</v>
      </c>
      <c r="B827" s="1" t="s">
        <v>2108</v>
      </c>
      <c r="C827" s="1" t="s">
        <v>876</v>
      </c>
      <c r="D827" s="1" t="s">
        <v>2671</v>
      </c>
      <c r="E827" s="1" t="s">
        <v>847</v>
      </c>
      <c r="F827" s="1" t="s">
        <v>173</v>
      </c>
      <c r="G827" s="1" t="s">
        <v>1233</v>
      </c>
      <c r="H827" s="1" t="s">
        <v>2672</v>
      </c>
      <c r="I827" s="1" t="s">
        <v>1062</v>
      </c>
      <c r="J827" s="1" t="s">
        <v>1333</v>
      </c>
      <c r="K827" s="1" t="s">
        <v>129</v>
      </c>
      <c r="L827" s="1" t="s">
        <v>2673</v>
      </c>
      <c r="M827" s="1" t="s">
        <v>762</v>
      </c>
      <c r="N827" s="1" t="s">
        <v>1112</v>
      </c>
      <c r="O827" s="1" t="s">
        <v>2674</v>
      </c>
      <c r="P827" s="1" t="s">
        <v>53</v>
      </c>
      <c r="Q827" s="1" t="s">
        <v>59</v>
      </c>
      <c r="R827" s="1" t="s">
        <v>1551</v>
      </c>
      <c r="S827" s="1" t="s">
        <v>225</v>
      </c>
      <c r="T827" s="1" t="s">
        <v>670</v>
      </c>
      <c r="U827" s="1" t="s">
        <v>401</v>
      </c>
      <c r="V827" s="1" t="s">
        <v>1046</v>
      </c>
      <c r="W827" s="1" t="s">
        <v>30</v>
      </c>
      <c r="X827" s="1" t="s">
        <v>82</v>
      </c>
      <c r="Y827" s="1" t="s">
        <v>32</v>
      </c>
      <c r="Z827" s="1">
        <v>1.0</v>
      </c>
    </row>
    <row r="828">
      <c r="A828" s="1" t="s">
        <v>703</v>
      </c>
      <c r="B828" s="1" t="s">
        <v>2108</v>
      </c>
      <c r="C828" s="1" t="s">
        <v>2115</v>
      </c>
      <c r="D828" s="1">
        <v>221.0</v>
      </c>
      <c r="E828" s="1">
        <v>85.0</v>
      </c>
      <c r="F828" s="1">
        <v>90.0</v>
      </c>
      <c r="G828" s="1">
        <v>87.0</v>
      </c>
      <c r="H828" s="1">
        <v>90.0</v>
      </c>
      <c r="I828" s="1">
        <v>87.0</v>
      </c>
      <c r="J828" s="1">
        <v>85.0</v>
      </c>
      <c r="K828" s="1">
        <v>76.0</v>
      </c>
      <c r="L828" s="1">
        <v>72.0</v>
      </c>
      <c r="M828" s="1">
        <v>65.0</v>
      </c>
      <c r="N828" s="1">
        <v>73.0</v>
      </c>
      <c r="O828" s="1">
        <v>66.0</v>
      </c>
      <c r="P828" s="1">
        <v>74.0</v>
      </c>
      <c r="Q828" s="1">
        <v>76.0</v>
      </c>
      <c r="R828" s="1">
        <v>66.0</v>
      </c>
      <c r="S828" s="1">
        <v>75.0</v>
      </c>
      <c r="T828" s="1">
        <v>71.0</v>
      </c>
      <c r="U828" s="1">
        <v>75.0</v>
      </c>
      <c r="V828" s="1">
        <v>76.0</v>
      </c>
      <c r="W828" s="1">
        <v>70.0</v>
      </c>
      <c r="X828" s="1">
        <v>80.0</v>
      </c>
      <c r="Y828" s="1">
        <v>80.0</v>
      </c>
      <c r="Z828" s="1">
        <v>1.0</v>
      </c>
    </row>
    <row r="829">
      <c r="A829" s="1" t="s">
        <v>2675</v>
      </c>
      <c r="B829" s="1" t="s">
        <v>2108</v>
      </c>
      <c r="C829" s="1" t="s">
        <v>970</v>
      </c>
      <c r="D829" s="1">
        <v>219.0</v>
      </c>
      <c r="E829" s="1">
        <v>69.0</v>
      </c>
      <c r="F829" s="1">
        <v>70.0</v>
      </c>
      <c r="G829" s="1">
        <v>89.0</v>
      </c>
      <c r="H829" s="1">
        <v>49.0</v>
      </c>
      <c r="I829" s="1">
        <v>50.0</v>
      </c>
      <c r="J829" s="1">
        <v>71.0</v>
      </c>
      <c r="K829" s="1">
        <v>81.0</v>
      </c>
      <c r="L829" s="1">
        <v>75.0</v>
      </c>
      <c r="M829" s="1">
        <v>71.0</v>
      </c>
      <c r="N829" s="1">
        <v>85.0</v>
      </c>
      <c r="O829" s="1">
        <v>75.0</v>
      </c>
      <c r="P829" s="1">
        <v>67.0</v>
      </c>
      <c r="Q829" s="1">
        <v>74.0</v>
      </c>
      <c r="R829" s="1">
        <v>85.0</v>
      </c>
      <c r="S829" s="1">
        <v>74.0</v>
      </c>
      <c r="T829" s="1">
        <v>67.0</v>
      </c>
      <c r="U829" s="1">
        <v>92.0</v>
      </c>
      <c r="V829" s="1">
        <v>86.0</v>
      </c>
      <c r="W829" s="1">
        <v>77.0</v>
      </c>
      <c r="X829" s="1">
        <v>83.0</v>
      </c>
      <c r="Y829" s="1">
        <v>78.0</v>
      </c>
      <c r="Z829" s="1">
        <v>1.0</v>
      </c>
    </row>
    <row r="830">
      <c r="A830" s="1" t="s">
        <v>2676</v>
      </c>
      <c r="B830" s="1" t="s">
        <v>2108</v>
      </c>
      <c r="C830" s="1" t="s">
        <v>2163</v>
      </c>
      <c r="D830" s="1" t="s">
        <v>2677</v>
      </c>
      <c r="E830" s="1" t="s">
        <v>31</v>
      </c>
      <c r="F830" s="1" t="s">
        <v>548</v>
      </c>
      <c r="G830" s="1" t="s">
        <v>434</v>
      </c>
      <c r="H830" s="1" t="s">
        <v>322</v>
      </c>
      <c r="I830" s="1" t="s">
        <v>410</v>
      </c>
      <c r="J830" s="1" t="s">
        <v>88</v>
      </c>
      <c r="K830" s="1" t="s">
        <v>509</v>
      </c>
      <c r="L830" s="1" t="s">
        <v>2678</v>
      </c>
      <c r="M830" s="1" t="s">
        <v>184</v>
      </c>
      <c r="N830" s="1" t="s">
        <v>1936</v>
      </c>
      <c r="O830" s="1" t="s">
        <v>2418</v>
      </c>
      <c r="P830" s="1" t="s">
        <v>174</v>
      </c>
      <c r="Q830" s="1" t="s">
        <v>2679</v>
      </c>
      <c r="R830" s="1" t="s">
        <v>2680</v>
      </c>
      <c r="S830" s="1">
        <v>84.0</v>
      </c>
      <c r="T830" s="1" t="s">
        <v>35</v>
      </c>
      <c r="U830" s="1" t="s">
        <v>480</v>
      </c>
      <c r="V830" s="1" t="s">
        <v>1836</v>
      </c>
      <c r="W830" s="1" t="s">
        <v>1159</v>
      </c>
      <c r="X830" s="1" t="s">
        <v>221</v>
      </c>
      <c r="Y830" s="1" t="s">
        <v>620</v>
      </c>
      <c r="Z830" s="1">
        <v>1.0</v>
      </c>
    </row>
    <row r="831">
      <c r="A831" s="1" t="s">
        <v>2681</v>
      </c>
      <c r="B831" s="1" t="s">
        <v>2108</v>
      </c>
      <c r="C831" s="1" t="s">
        <v>970</v>
      </c>
      <c r="D831" s="1">
        <v>239.0</v>
      </c>
      <c r="E831" s="1">
        <v>73.0</v>
      </c>
      <c r="F831" s="1">
        <v>73.0</v>
      </c>
      <c r="G831" s="1">
        <v>93.0</v>
      </c>
      <c r="H831" s="1">
        <v>66.0</v>
      </c>
      <c r="I831" s="1">
        <v>59.0</v>
      </c>
      <c r="J831" s="1">
        <v>41.0</v>
      </c>
      <c r="K831" s="1">
        <v>35.0</v>
      </c>
      <c r="L831" s="1">
        <v>66.0</v>
      </c>
      <c r="M831" s="1">
        <v>85.0</v>
      </c>
      <c r="N831" s="1">
        <v>86.0</v>
      </c>
      <c r="O831" s="1">
        <v>76.0</v>
      </c>
      <c r="P831" s="1">
        <v>80.0</v>
      </c>
      <c r="Q831" s="1">
        <v>92.0</v>
      </c>
      <c r="R831" s="1">
        <v>62.0</v>
      </c>
      <c r="S831" s="1">
        <v>88.0</v>
      </c>
      <c r="T831" s="1">
        <v>38.0</v>
      </c>
      <c r="U831" s="1">
        <v>63.0</v>
      </c>
      <c r="V831" s="1">
        <v>85.0</v>
      </c>
      <c r="W831" s="1">
        <v>80.0</v>
      </c>
      <c r="X831" s="1">
        <v>91.0</v>
      </c>
      <c r="Y831" s="1">
        <v>82.0</v>
      </c>
      <c r="Z831" s="1">
        <v>1.0</v>
      </c>
    </row>
    <row r="832">
      <c r="A832" s="1" t="s">
        <v>2682</v>
      </c>
      <c r="B832" s="1" t="s">
        <v>2108</v>
      </c>
      <c r="C832" s="1" t="s">
        <v>2163</v>
      </c>
      <c r="D832" s="1" t="s">
        <v>2505</v>
      </c>
      <c r="E832" s="1" t="s">
        <v>1160</v>
      </c>
      <c r="F832" s="1" t="s">
        <v>1054</v>
      </c>
      <c r="G832" s="1" t="s">
        <v>671</v>
      </c>
      <c r="H832" s="1">
        <v>90.0</v>
      </c>
      <c r="I832" s="1" t="s">
        <v>2683</v>
      </c>
      <c r="J832" s="1" t="s">
        <v>633</v>
      </c>
      <c r="K832" s="1" t="s">
        <v>266</v>
      </c>
      <c r="L832" s="1" t="s">
        <v>1152</v>
      </c>
      <c r="M832" s="1" t="s">
        <v>856</v>
      </c>
      <c r="N832" s="1" t="s">
        <v>1089</v>
      </c>
      <c r="O832" s="1" t="s">
        <v>2684</v>
      </c>
      <c r="P832" s="1" t="s">
        <v>213</v>
      </c>
      <c r="Q832" s="1" t="s">
        <v>2685</v>
      </c>
      <c r="R832" s="1" t="s">
        <v>270</v>
      </c>
      <c r="S832" s="1" t="s">
        <v>571</v>
      </c>
      <c r="T832" s="1" t="s">
        <v>485</v>
      </c>
      <c r="U832" s="1" t="s">
        <v>208</v>
      </c>
      <c r="V832" s="1" t="s">
        <v>2686</v>
      </c>
      <c r="W832" s="1" t="s">
        <v>1752</v>
      </c>
      <c r="X832" s="1" t="s">
        <v>893</v>
      </c>
      <c r="Y832" s="1" t="s">
        <v>158</v>
      </c>
      <c r="Z832" s="1">
        <v>1.0</v>
      </c>
    </row>
    <row r="833">
      <c r="A833" s="1" t="s">
        <v>2687</v>
      </c>
      <c r="B833" s="1" t="s">
        <v>2108</v>
      </c>
      <c r="C833" s="1" t="s">
        <v>2115</v>
      </c>
      <c r="D833" s="1">
        <v>255.0</v>
      </c>
      <c r="E833" s="1">
        <v>80.0</v>
      </c>
      <c r="F833" s="1">
        <v>57.0</v>
      </c>
      <c r="G833" s="1">
        <v>74.0</v>
      </c>
      <c r="H833" s="1">
        <v>88.0</v>
      </c>
      <c r="I833" s="1">
        <v>85.0</v>
      </c>
      <c r="J833" s="1">
        <v>80.0</v>
      </c>
      <c r="K833" s="1">
        <v>42.0</v>
      </c>
      <c r="L833" s="1">
        <v>56.0</v>
      </c>
      <c r="M833" s="1">
        <v>25.0</v>
      </c>
      <c r="N833" s="1">
        <v>45.0</v>
      </c>
      <c r="O833" s="1">
        <v>50.0</v>
      </c>
      <c r="P833" s="1">
        <v>89.0</v>
      </c>
      <c r="Q833" s="1">
        <v>40.0</v>
      </c>
      <c r="R833" s="1">
        <v>45.0</v>
      </c>
      <c r="S833" s="1">
        <v>93.0</v>
      </c>
      <c r="T833" s="1">
        <v>74.0</v>
      </c>
      <c r="U833" s="1">
        <v>99.0</v>
      </c>
      <c r="V833" s="1">
        <v>50.0</v>
      </c>
      <c r="W833" s="1">
        <v>50.0</v>
      </c>
      <c r="X833" s="1">
        <v>95.0</v>
      </c>
      <c r="Y833" s="1">
        <v>81.0</v>
      </c>
      <c r="Z833" s="1">
        <v>1.0</v>
      </c>
    </row>
    <row r="834">
      <c r="A834" s="1" t="s">
        <v>1389</v>
      </c>
      <c r="B834" s="1" t="s">
        <v>2108</v>
      </c>
      <c r="C834" s="1" t="s">
        <v>1579</v>
      </c>
      <c r="D834" s="1">
        <v>210.0</v>
      </c>
      <c r="E834" s="1">
        <v>73.0</v>
      </c>
      <c r="F834" s="1">
        <v>78.0</v>
      </c>
      <c r="G834" s="1">
        <v>93.0</v>
      </c>
      <c r="H834" s="1">
        <v>70.0</v>
      </c>
      <c r="I834" s="1">
        <v>53.0</v>
      </c>
      <c r="J834" s="1">
        <v>78.0</v>
      </c>
      <c r="K834" s="1">
        <v>86.0</v>
      </c>
      <c r="L834" s="1">
        <v>82.0</v>
      </c>
      <c r="M834" s="1">
        <v>76.0</v>
      </c>
      <c r="N834" s="1">
        <v>78.0</v>
      </c>
      <c r="O834" s="1">
        <v>71.0</v>
      </c>
      <c r="P834" s="1">
        <v>81.0</v>
      </c>
      <c r="Q834" s="1">
        <v>50.0</v>
      </c>
      <c r="R834" s="1">
        <v>77.0</v>
      </c>
      <c r="S834" s="1">
        <v>88.0</v>
      </c>
      <c r="T834" s="1">
        <v>72.0</v>
      </c>
      <c r="U834" s="1">
        <v>80.0</v>
      </c>
      <c r="V834" s="1">
        <v>78.0</v>
      </c>
      <c r="W834" s="1">
        <v>65.0</v>
      </c>
      <c r="X834" s="1">
        <v>73.0</v>
      </c>
      <c r="Y834" s="1">
        <v>83.0</v>
      </c>
      <c r="Z834" s="1">
        <v>1.0</v>
      </c>
    </row>
    <row r="835">
      <c r="A835" s="1" t="s">
        <v>2688</v>
      </c>
      <c r="B835" s="1" t="s">
        <v>2108</v>
      </c>
      <c r="C835" s="1" t="s">
        <v>1579</v>
      </c>
      <c r="D835" s="1">
        <v>285.0</v>
      </c>
      <c r="E835" s="1">
        <v>80.0</v>
      </c>
      <c r="F835" s="1">
        <v>70.0</v>
      </c>
      <c r="G835" s="1">
        <v>80.0</v>
      </c>
      <c r="H835" s="1">
        <v>90.0</v>
      </c>
      <c r="I835" s="1">
        <v>65.0</v>
      </c>
      <c r="J835" s="1">
        <v>88.0</v>
      </c>
      <c r="K835" s="1">
        <v>86.0</v>
      </c>
      <c r="L835" s="1">
        <v>90.0</v>
      </c>
      <c r="M835" s="1">
        <v>31.0</v>
      </c>
      <c r="N835" s="1">
        <v>45.0</v>
      </c>
      <c r="O835" s="1">
        <v>45.0</v>
      </c>
      <c r="P835" s="1">
        <v>75.0</v>
      </c>
      <c r="Q835" s="1">
        <v>50.0</v>
      </c>
      <c r="R835" s="1">
        <v>40.0</v>
      </c>
      <c r="S835" s="1">
        <v>85.0</v>
      </c>
      <c r="T835" s="1">
        <v>89.0</v>
      </c>
      <c r="U835" s="1">
        <v>94.0</v>
      </c>
      <c r="V835" s="1">
        <v>69.0</v>
      </c>
      <c r="W835" s="1">
        <v>60.0</v>
      </c>
      <c r="X835" s="1">
        <v>90.0</v>
      </c>
      <c r="Y835" s="1">
        <v>85.0</v>
      </c>
      <c r="Z835" s="1">
        <v>1.0</v>
      </c>
    </row>
    <row r="836">
      <c r="A836" s="1" t="s">
        <v>2689</v>
      </c>
      <c r="B836" s="1" t="s">
        <v>2108</v>
      </c>
      <c r="C836" s="1" t="s">
        <v>1534</v>
      </c>
      <c r="D836" s="1">
        <v>236.0</v>
      </c>
      <c r="E836" s="1">
        <v>85.0</v>
      </c>
      <c r="F836" s="1">
        <v>61.0</v>
      </c>
      <c r="G836" s="1">
        <v>80.0</v>
      </c>
      <c r="H836" s="1">
        <v>77.0</v>
      </c>
      <c r="I836" s="1">
        <v>86.0</v>
      </c>
      <c r="J836" s="1">
        <v>71.0</v>
      </c>
      <c r="K836" s="1">
        <v>80.0</v>
      </c>
      <c r="L836" s="1">
        <v>58.0</v>
      </c>
      <c r="M836" s="1">
        <v>76.0</v>
      </c>
      <c r="N836" s="1">
        <v>65.0</v>
      </c>
      <c r="O836" s="1">
        <v>62.0</v>
      </c>
      <c r="P836" s="1">
        <v>78.0</v>
      </c>
      <c r="Q836" s="1">
        <v>80.0</v>
      </c>
      <c r="R836" s="1">
        <v>50.0</v>
      </c>
      <c r="S836" s="1">
        <v>70.0</v>
      </c>
      <c r="T836" s="1">
        <v>81.0</v>
      </c>
      <c r="U836" s="1">
        <v>92.0</v>
      </c>
      <c r="V836" s="1">
        <v>81.0</v>
      </c>
      <c r="W836" s="1">
        <v>77.0</v>
      </c>
      <c r="X836" s="1">
        <v>84.0</v>
      </c>
      <c r="Y836" s="1">
        <v>85.0</v>
      </c>
      <c r="Z836" s="1">
        <v>1.0</v>
      </c>
    </row>
    <row r="837">
      <c r="A837" s="1" t="s">
        <v>1030</v>
      </c>
      <c r="B837" s="1" t="s">
        <v>2108</v>
      </c>
      <c r="C837" s="1" t="s">
        <v>2115</v>
      </c>
      <c r="D837" s="1">
        <v>236.0</v>
      </c>
      <c r="E837" s="1">
        <v>80.0</v>
      </c>
      <c r="F837" s="1">
        <v>84.0</v>
      </c>
      <c r="G837" s="1">
        <v>86.0</v>
      </c>
      <c r="H837" s="1">
        <v>83.0</v>
      </c>
      <c r="I837" s="1">
        <v>80.0</v>
      </c>
      <c r="J837" s="1">
        <v>85.0</v>
      </c>
      <c r="K837" s="1">
        <v>91.0</v>
      </c>
      <c r="L837" s="1">
        <v>81.0</v>
      </c>
      <c r="M837" s="1">
        <v>70.0</v>
      </c>
      <c r="N837" s="1">
        <v>70.0</v>
      </c>
      <c r="O837" s="1">
        <v>64.0</v>
      </c>
      <c r="P837" s="1">
        <v>86.0</v>
      </c>
      <c r="Q837" s="1">
        <v>71.0</v>
      </c>
      <c r="R837" s="1">
        <v>42.0</v>
      </c>
      <c r="S837" s="1">
        <v>63.0</v>
      </c>
      <c r="T837" s="1">
        <v>75.0</v>
      </c>
      <c r="U837" s="1">
        <v>75.0</v>
      </c>
      <c r="V837" s="1">
        <v>75.0</v>
      </c>
      <c r="W837" s="1">
        <v>66.0</v>
      </c>
      <c r="X837" s="1">
        <v>90.0</v>
      </c>
      <c r="Y837" s="1">
        <v>87.0</v>
      </c>
      <c r="Z837" s="1">
        <v>1.0</v>
      </c>
    </row>
    <row r="838">
      <c r="A838" s="1" t="s">
        <v>2690</v>
      </c>
      <c r="B838" s="1" t="s">
        <v>2108</v>
      </c>
      <c r="C838" s="1" t="s">
        <v>1579</v>
      </c>
      <c r="D838" s="1">
        <v>233.0</v>
      </c>
      <c r="E838" s="1">
        <v>81.0</v>
      </c>
      <c r="F838" s="1">
        <v>90.0</v>
      </c>
      <c r="G838" s="1">
        <v>89.0</v>
      </c>
      <c r="H838" s="1">
        <v>60.0</v>
      </c>
      <c r="I838" s="1">
        <v>56.0</v>
      </c>
      <c r="J838" s="1">
        <v>72.0</v>
      </c>
      <c r="K838" s="1">
        <v>80.0</v>
      </c>
      <c r="L838" s="1">
        <v>57.0</v>
      </c>
      <c r="M838" s="1">
        <v>70.0</v>
      </c>
      <c r="N838" s="1">
        <v>65.0</v>
      </c>
      <c r="O838" s="1">
        <v>68.0</v>
      </c>
      <c r="P838" s="1">
        <v>74.0</v>
      </c>
      <c r="Q838" s="1">
        <v>71.0</v>
      </c>
      <c r="R838" s="1">
        <v>45.0</v>
      </c>
      <c r="S838" s="1">
        <v>88.0</v>
      </c>
      <c r="T838" s="1">
        <v>96.0</v>
      </c>
      <c r="U838" s="1">
        <v>81.0</v>
      </c>
      <c r="V838" s="1">
        <v>73.0</v>
      </c>
      <c r="W838" s="1">
        <v>71.0</v>
      </c>
      <c r="X838" s="1">
        <v>75.0</v>
      </c>
      <c r="Y838" s="1">
        <v>80.0</v>
      </c>
      <c r="Z838" s="1">
        <v>1.0</v>
      </c>
    </row>
    <row r="839">
      <c r="A839" s="1" t="s">
        <v>2691</v>
      </c>
      <c r="B839" s="1" t="s">
        <v>2108</v>
      </c>
      <c r="C839" s="1" t="s">
        <v>2141</v>
      </c>
      <c r="D839" s="1" t="s">
        <v>2692</v>
      </c>
      <c r="E839" s="1" t="s">
        <v>476</v>
      </c>
      <c r="F839" s="1" t="s">
        <v>300</v>
      </c>
      <c r="G839" s="1" t="s">
        <v>297</v>
      </c>
      <c r="H839" s="1" t="s">
        <v>827</v>
      </c>
      <c r="I839" s="1" t="s">
        <v>1240</v>
      </c>
      <c r="J839" s="1" t="s">
        <v>838</v>
      </c>
      <c r="K839" s="1">
        <v>80.0</v>
      </c>
      <c r="L839" s="1" t="s">
        <v>1532</v>
      </c>
      <c r="M839" s="1" t="s">
        <v>120</v>
      </c>
      <c r="N839" s="1" t="s">
        <v>40</v>
      </c>
      <c r="O839" s="1" t="s">
        <v>44</v>
      </c>
      <c r="P839" s="1" t="s">
        <v>394</v>
      </c>
      <c r="Q839" s="1" t="s">
        <v>1026</v>
      </c>
      <c r="R839" s="1" t="s">
        <v>1671</v>
      </c>
      <c r="S839" s="1" t="s">
        <v>45</v>
      </c>
      <c r="T839" s="1" t="s">
        <v>401</v>
      </c>
      <c r="U839" s="1" t="s">
        <v>548</v>
      </c>
      <c r="V839" s="1" t="s">
        <v>190</v>
      </c>
      <c r="W839" s="1" t="s">
        <v>1067</v>
      </c>
      <c r="X839" s="1" t="s">
        <v>728</v>
      </c>
      <c r="Y839" s="1" t="s">
        <v>728</v>
      </c>
      <c r="Z839" s="1">
        <v>1.0</v>
      </c>
    </row>
    <row r="840">
      <c r="A840" s="1" t="s">
        <v>2095</v>
      </c>
      <c r="B840" s="1" t="s">
        <v>2108</v>
      </c>
      <c r="C840" s="1" t="s">
        <v>2115</v>
      </c>
      <c r="D840" s="1">
        <v>225.0</v>
      </c>
      <c r="E840" s="1">
        <v>89.0</v>
      </c>
      <c r="F840" s="1">
        <v>80.0</v>
      </c>
      <c r="G840" s="1">
        <v>75.0</v>
      </c>
      <c r="H840" s="1">
        <v>74.0</v>
      </c>
      <c r="I840" s="1">
        <v>79.0</v>
      </c>
      <c r="J840" s="1">
        <v>93.0</v>
      </c>
      <c r="K840" s="1">
        <v>90.0</v>
      </c>
      <c r="L840" s="1">
        <v>71.0</v>
      </c>
      <c r="M840" s="1">
        <v>65.0</v>
      </c>
      <c r="N840" s="1">
        <v>75.0</v>
      </c>
      <c r="O840" s="1">
        <v>65.0</v>
      </c>
      <c r="P840" s="1">
        <v>83.0</v>
      </c>
      <c r="Q840" s="1">
        <v>75.0</v>
      </c>
      <c r="R840" s="1">
        <v>45.0</v>
      </c>
      <c r="S840" s="1">
        <v>80.0</v>
      </c>
      <c r="T840" s="1">
        <v>56.0</v>
      </c>
      <c r="U840" s="1">
        <v>80.0</v>
      </c>
      <c r="V840" s="1">
        <v>77.0</v>
      </c>
      <c r="W840" s="1">
        <v>69.0</v>
      </c>
      <c r="X840" s="1">
        <v>88.0</v>
      </c>
      <c r="Y840" s="1">
        <v>83.0</v>
      </c>
      <c r="Z840" s="1">
        <v>1.0</v>
      </c>
    </row>
    <row r="841">
      <c r="A841" s="1" t="s">
        <v>2693</v>
      </c>
      <c r="B841" s="1" t="s">
        <v>2108</v>
      </c>
      <c r="C841" s="1" t="s">
        <v>1574</v>
      </c>
      <c r="D841" s="1" t="s">
        <v>2694</v>
      </c>
      <c r="E841" s="1" t="s">
        <v>1313</v>
      </c>
      <c r="F841" s="1" t="s">
        <v>490</v>
      </c>
      <c r="G841" s="1">
        <v>80.0</v>
      </c>
      <c r="H841" s="1" t="s">
        <v>1245</v>
      </c>
      <c r="I841" s="1">
        <v>50.0</v>
      </c>
      <c r="J841" s="1" t="s">
        <v>1121</v>
      </c>
      <c r="K841" s="1" t="s">
        <v>1326</v>
      </c>
      <c r="L841" s="1" t="s">
        <v>1300</v>
      </c>
      <c r="M841" s="1" t="s">
        <v>410</v>
      </c>
      <c r="N841" s="1" t="s">
        <v>838</v>
      </c>
      <c r="O841" s="1" t="s">
        <v>1753</v>
      </c>
      <c r="P841" s="1" t="s">
        <v>128</v>
      </c>
      <c r="Q841" s="1" t="s">
        <v>40</v>
      </c>
      <c r="R841" s="1" t="s">
        <v>521</v>
      </c>
      <c r="S841" s="1" t="s">
        <v>322</v>
      </c>
      <c r="T841" s="1" t="s">
        <v>431</v>
      </c>
      <c r="U841" s="1" t="s">
        <v>179</v>
      </c>
      <c r="V841" s="1" t="s">
        <v>384</v>
      </c>
      <c r="W841" s="1" t="s">
        <v>242</v>
      </c>
      <c r="X841" s="1" t="s">
        <v>622</v>
      </c>
      <c r="Y841" s="1" t="s">
        <v>76</v>
      </c>
      <c r="Z841" s="1">
        <v>1.0</v>
      </c>
    </row>
    <row r="842">
      <c r="A842" s="1" t="s">
        <v>2103</v>
      </c>
      <c r="B842" s="1" t="s">
        <v>2108</v>
      </c>
      <c r="C842" s="1" t="s">
        <v>2287</v>
      </c>
      <c r="D842" s="1" t="s">
        <v>2695</v>
      </c>
      <c r="E842" s="1" t="s">
        <v>1247</v>
      </c>
      <c r="F842" s="1" t="s">
        <v>731</v>
      </c>
      <c r="G842" s="1" t="s">
        <v>390</v>
      </c>
      <c r="H842" s="1" t="s">
        <v>2696</v>
      </c>
      <c r="I842" s="1" t="s">
        <v>1299</v>
      </c>
      <c r="J842" s="1" t="s">
        <v>2189</v>
      </c>
      <c r="K842" s="1" t="s">
        <v>593</v>
      </c>
      <c r="L842" s="1" t="s">
        <v>2697</v>
      </c>
      <c r="M842" s="1" t="s">
        <v>1007</v>
      </c>
      <c r="N842" s="1" t="s">
        <v>81</v>
      </c>
      <c r="O842" s="1" t="s">
        <v>1642</v>
      </c>
      <c r="P842" s="1" t="s">
        <v>1413</v>
      </c>
      <c r="Q842" s="1" t="s">
        <v>465</v>
      </c>
      <c r="R842" s="1" t="s">
        <v>272</v>
      </c>
      <c r="S842" s="1" t="s">
        <v>188</v>
      </c>
      <c r="T842" s="1" t="s">
        <v>242</v>
      </c>
      <c r="U842" s="1" t="s">
        <v>1220</v>
      </c>
      <c r="V842" s="1" t="s">
        <v>242</v>
      </c>
      <c r="W842" s="1" t="s">
        <v>1063</v>
      </c>
      <c r="X842" s="1" t="s">
        <v>806</v>
      </c>
      <c r="Y842" s="1" t="s">
        <v>248</v>
      </c>
      <c r="Z842" s="1">
        <v>1.0</v>
      </c>
    </row>
    <row r="843">
      <c r="A843" s="1" t="s">
        <v>2698</v>
      </c>
      <c r="B843" s="1" t="s">
        <v>2108</v>
      </c>
      <c r="C843" s="1" t="s">
        <v>2327</v>
      </c>
      <c r="D843" s="1">
        <v>215.0</v>
      </c>
      <c r="E843" s="1">
        <v>87.0</v>
      </c>
      <c r="F843" s="1">
        <v>75.0</v>
      </c>
      <c r="G843" s="1">
        <v>75.0</v>
      </c>
      <c r="H843" s="1">
        <v>90.0</v>
      </c>
      <c r="I843" s="1">
        <v>87.0</v>
      </c>
      <c r="J843" s="1">
        <v>92.0</v>
      </c>
      <c r="K843" s="1">
        <v>90.0</v>
      </c>
      <c r="L843" s="1">
        <v>77.0</v>
      </c>
      <c r="M843" s="1">
        <v>87.0</v>
      </c>
      <c r="N843" s="1">
        <v>71.0</v>
      </c>
      <c r="O843" s="1">
        <v>60.0</v>
      </c>
      <c r="P843" s="1">
        <v>77.0</v>
      </c>
      <c r="Q843" s="1">
        <v>45.0</v>
      </c>
      <c r="R843" s="1">
        <v>33.0</v>
      </c>
      <c r="S843" s="1">
        <v>88.0</v>
      </c>
      <c r="T843" s="1">
        <v>80.0</v>
      </c>
      <c r="U843" s="1">
        <v>82.0</v>
      </c>
      <c r="V843" s="1">
        <v>75.0</v>
      </c>
      <c r="W843" s="1">
        <v>60.0</v>
      </c>
      <c r="X843" s="1">
        <v>72.0</v>
      </c>
      <c r="Y843" s="1">
        <v>77.0</v>
      </c>
      <c r="Z843" s="1">
        <v>1.0</v>
      </c>
    </row>
    <row r="844">
      <c r="A844" s="1" t="s">
        <v>2699</v>
      </c>
      <c r="B844" s="1" t="s">
        <v>2108</v>
      </c>
      <c r="C844" s="1" t="s">
        <v>1534</v>
      </c>
      <c r="D844" s="1">
        <v>248.0</v>
      </c>
      <c r="E844" s="1">
        <v>88.0</v>
      </c>
      <c r="F844" s="1">
        <v>98.0</v>
      </c>
      <c r="G844" s="1">
        <v>71.0</v>
      </c>
      <c r="H844" s="1">
        <v>86.0</v>
      </c>
      <c r="I844" s="1">
        <v>63.0</v>
      </c>
      <c r="J844" s="1">
        <v>66.0</v>
      </c>
      <c r="K844" s="1">
        <v>51.0</v>
      </c>
      <c r="L844" s="1">
        <v>91.0</v>
      </c>
      <c r="M844" s="1">
        <v>55.0</v>
      </c>
      <c r="N844" s="1">
        <v>80.0</v>
      </c>
      <c r="O844" s="1">
        <v>61.0</v>
      </c>
      <c r="P844" s="1">
        <v>78.0</v>
      </c>
      <c r="Q844" s="1">
        <v>79.0</v>
      </c>
      <c r="R844" s="1">
        <v>49.0</v>
      </c>
      <c r="S844" s="1">
        <v>48.0</v>
      </c>
      <c r="T844" s="1">
        <v>64.0</v>
      </c>
      <c r="U844" s="1">
        <v>71.0</v>
      </c>
      <c r="V844" s="1">
        <v>80.0</v>
      </c>
      <c r="W844" s="1">
        <v>75.0</v>
      </c>
      <c r="X844" s="1">
        <v>98.0</v>
      </c>
      <c r="Y844" s="1">
        <v>59.0</v>
      </c>
      <c r="Z844" s="1">
        <v>1.0</v>
      </c>
    </row>
    <row r="845">
      <c r="A845" s="1" t="s">
        <v>2700</v>
      </c>
      <c r="B845" s="1" t="s">
        <v>2108</v>
      </c>
      <c r="C845" s="1" t="s">
        <v>1534</v>
      </c>
      <c r="D845" s="1">
        <v>240.0</v>
      </c>
      <c r="E845" s="1">
        <v>79.0</v>
      </c>
      <c r="F845" s="1">
        <v>65.0</v>
      </c>
      <c r="G845" s="1">
        <v>75.0</v>
      </c>
      <c r="H845" s="1">
        <v>65.0</v>
      </c>
      <c r="I845" s="1">
        <v>50.0</v>
      </c>
      <c r="J845" s="1">
        <v>89.0</v>
      </c>
      <c r="K845" s="1">
        <v>80.0</v>
      </c>
      <c r="L845" s="1">
        <v>75.0</v>
      </c>
      <c r="M845" s="1">
        <v>76.0</v>
      </c>
      <c r="N845" s="1">
        <v>80.0</v>
      </c>
      <c r="O845" s="1">
        <v>70.0</v>
      </c>
      <c r="P845" s="1">
        <v>82.0</v>
      </c>
      <c r="Q845" s="1">
        <v>74.0</v>
      </c>
      <c r="R845" s="1">
        <v>44.0</v>
      </c>
      <c r="S845" s="1">
        <v>84.0</v>
      </c>
      <c r="T845" s="1">
        <v>79.0</v>
      </c>
      <c r="U845" s="1">
        <v>92.0</v>
      </c>
      <c r="V845" s="1">
        <v>78.0</v>
      </c>
      <c r="W845" s="1">
        <v>75.0</v>
      </c>
      <c r="X845" s="1">
        <v>84.0</v>
      </c>
      <c r="Y845" s="1">
        <v>80.0</v>
      </c>
      <c r="Z845" s="1">
        <v>1.0</v>
      </c>
    </row>
    <row r="846">
      <c r="A846" s="1" t="s">
        <v>2701</v>
      </c>
      <c r="B846" s="1" t="s">
        <v>2108</v>
      </c>
      <c r="C846" s="1" t="s">
        <v>2327</v>
      </c>
      <c r="D846" s="1">
        <v>240.0</v>
      </c>
      <c r="E846" s="1">
        <v>85.0</v>
      </c>
      <c r="F846" s="1">
        <v>82.0</v>
      </c>
      <c r="G846" s="1">
        <v>87.0</v>
      </c>
      <c r="H846" s="1">
        <v>90.0</v>
      </c>
      <c r="I846" s="1">
        <v>85.0</v>
      </c>
      <c r="J846" s="1">
        <v>80.0</v>
      </c>
      <c r="K846" s="1">
        <v>84.0</v>
      </c>
      <c r="L846" s="1">
        <v>80.0</v>
      </c>
      <c r="M846" s="1">
        <v>76.0</v>
      </c>
      <c r="N846" s="1">
        <v>70.0</v>
      </c>
      <c r="O846" s="1">
        <v>60.0</v>
      </c>
      <c r="P846" s="1">
        <v>84.0</v>
      </c>
      <c r="Q846" s="1">
        <v>41.0</v>
      </c>
      <c r="R846" s="1">
        <v>39.0</v>
      </c>
      <c r="S846" s="1">
        <v>90.0</v>
      </c>
      <c r="T846" s="1">
        <v>72.0</v>
      </c>
      <c r="U846" s="1">
        <v>70.0</v>
      </c>
      <c r="V846" s="1">
        <v>71.0</v>
      </c>
      <c r="W846" s="1">
        <v>60.0</v>
      </c>
      <c r="X846" s="1">
        <v>90.0</v>
      </c>
      <c r="Y846" s="1">
        <v>84.0</v>
      </c>
      <c r="Z846" s="1">
        <v>1.0</v>
      </c>
    </row>
    <row r="847">
      <c r="A847" s="1" t="s">
        <v>2702</v>
      </c>
      <c r="B847" s="1" t="s">
        <v>2108</v>
      </c>
      <c r="C847" s="1" t="s">
        <v>192</v>
      </c>
      <c r="D847" s="1">
        <v>260.0</v>
      </c>
      <c r="E847" s="1">
        <v>76.0</v>
      </c>
      <c r="F847" s="1">
        <v>72.0</v>
      </c>
      <c r="G847" s="1">
        <v>90.0</v>
      </c>
      <c r="H847" s="1">
        <v>81.0</v>
      </c>
      <c r="I847" s="1">
        <v>58.0</v>
      </c>
      <c r="J847" s="1">
        <v>69.0</v>
      </c>
      <c r="K847" s="1">
        <v>79.0</v>
      </c>
      <c r="L847" s="1">
        <v>54.0</v>
      </c>
      <c r="M847" s="1">
        <v>40.0</v>
      </c>
      <c r="N847" s="1">
        <v>65.0</v>
      </c>
      <c r="O847" s="1">
        <v>61.0</v>
      </c>
      <c r="P847" s="1">
        <v>74.0</v>
      </c>
      <c r="Q847" s="1">
        <v>75.0</v>
      </c>
      <c r="R847" s="1">
        <v>73.0</v>
      </c>
      <c r="S847" s="1">
        <v>85.0</v>
      </c>
      <c r="T847" s="1">
        <v>86.0</v>
      </c>
      <c r="U847" s="1">
        <v>95.0</v>
      </c>
      <c r="V847" s="1">
        <v>86.0</v>
      </c>
      <c r="W847" s="1">
        <v>79.0</v>
      </c>
      <c r="X847" s="1">
        <v>90.0</v>
      </c>
      <c r="Y847" s="1">
        <v>90.0</v>
      </c>
      <c r="Z847" s="1">
        <v>1.0</v>
      </c>
    </row>
    <row r="848">
      <c r="A848" s="1" t="s">
        <v>2703</v>
      </c>
      <c r="B848" s="1" t="s">
        <v>2108</v>
      </c>
      <c r="C848" s="1" t="s">
        <v>2327</v>
      </c>
      <c r="D848" s="1">
        <v>238.0</v>
      </c>
      <c r="E848" s="1">
        <v>82.0</v>
      </c>
      <c r="F848" s="1">
        <v>67.0</v>
      </c>
      <c r="G848" s="1">
        <v>87.0</v>
      </c>
      <c r="H848" s="1">
        <v>81.0</v>
      </c>
      <c r="I848" s="1">
        <v>61.0</v>
      </c>
      <c r="J848" s="1">
        <v>85.0</v>
      </c>
      <c r="K848" s="1">
        <v>82.0</v>
      </c>
      <c r="L848" s="1">
        <v>63.0</v>
      </c>
      <c r="M848" s="1">
        <v>66.0</v>
      </c>
      <c r="N848" s="1">
        <v>56.0</v>
      </c>
      <c r="O848" s="1">
        <v>52.0</v>
      </c>
      <c r="P848" s="1">
        <v>82.0</v>
      </c>
      <c r="Q848" s="1">
        <v>65.0</v>
      </c>
      <c r="R848" s="1">
        <v>60.0</v>
      </c>
      <c r="S848" s="1">
        <v>84.0</v>
      </c>
      <c r="T848" s="1">
        <v>92.0</v>
      </c>
      <c r="U848" s="1">
        <v>90.0</v>
      </c>
      <c r="V848" s="1">
        <v>70.0</v>
      </c>
      <c r="W848" s="1">
        <v>59.0</v>
      </c>
      <c r="X848" s="1">
        <v>90.0</v>
      </c>
      <c r="Y848" s="1">
        <v>81.0</v>
      </c>
      <c r="Z848" s="1">
        <v>1.0</v>
      </c>
    </row>
    <row r="849">
      <c r="A849" s="1" t="s">
        <v>2704</v>
      </c>
      <c r="B849" s="1" t="s">
        <v>2108</v>
      </c>
      <c r="C849" s="1" t="s">
        <v>1574</v>
      </c>
      <c r="D849" s="1" t="s">
        <v>2705</v>
      </c>
      <c r="E849" s="1" t="s">
        <v>30</v>
      </c>
      <c r="F849" s="1" t="s">
        <v>724</v>
      </c>
      <c r="G849" s="1" t="s">
        <v>1121</v>
      </c>
      <c r="H849" s="1" t="s">
        <v>349</v>
      </c>
      <c r="I849" s="1" t="s">
        <v>1424</v>
      </c>
      <c r="J849" s="1" t="s">
        <v>190</v>
      </c>
      <c r="K849" s="1" t="s">
        <v>780</v>
      </c>
      <c r="L849" s="1" t="s">
        <v>1315</v>
      </c>
      <c r="M849" s="1" t="s">
        <v>847</v>
      </c>
      <c r="N849" s="1" t="s">
        <v>1602</v>
      </c>
      <c r="O849" s="1" t="s">
        <v>2596</v>
      </c>
      <c r="P849" s="1" t="s">
        <v>857</v>
      </c>
      <c r="Q849" s="1" t="s">
        <v>1146</v>
      </c>
      <c r="R849" s="1" t="s">
        <v>1236</v>
      </c>
      <c r="S849" s="1" t="s">
        <v>671</v>
      </c>
      <c r="T849" s="1" t="s">
        <v>1672</v>
      </c>
      <c r="U849" s="1" t="s">
        <v>323</v>
      </c>
      <c r="V849" s="1" t="s">
        <v>242</v>
      </c>
      <c r="W849" s="1" t="s">
        <v>150</v>
      </c>
      <c r="X849" s="1" t="s">
        <v>531</v>
      </c>
      <c r="Y849" s="1" t="s">
        <v>271</v>
      </c>
      <c r="Z849" s="1">
        <v>1.0</v>
      </c>
    </row>
    <row r="850">
      <c r="A850" s="1" t="s">
        <v>2706</v>
      </c>
      <c r="B850" s="1" t="s">
        <v>2108</v>
      </c>
      <c r="C850" s="1" t="s">
        <v>1579</v>
      </c>
      <c r="D850" s="1">
        <v>210.0</v>
      </c>
      <c r="E850" s="1">
        <v>84.0</v>
      </c>
      <c r="F850" s="1">
        <v>75.0</v>
      </c>
      <c r="G850" s="1">
        <v>89.0</v>
      </c>
      <c r="H850" s="1">
        <v>82.0</v>
      </c>
      <c r="I850" s="1">
        <v>75.0</v>
      </c>
      <c r="J850" s="1">
        <v>80.0</v>
      </c>
      <c r="K850" s="1">
        <v>80.0</v>
      </c>
      <c r="L850" s="1">
        <v>80.0</v>
      </c>
      <c r="M850" s="1">
        <v>87.0</v>
      </c>
      <c r="N850" s="1">
        <v>60.0</v>
      </c>
      <c r="O850" s="1">
        <v>60.0</v>
      </c>
      <c r="P850" s="1">
        <v>74.0</v>
      </c>
      <c r="Q850" s="1">
        <v>83.0</v>
      </c>
      <c r="R850" s="1">
        <v>73.0</v>
      </c>
      <c r="S850" s="1">
        <v>74.0</v>
      </c>
      <c r="T850" s="1">
        <v>75.0</v>
      </c>
      <c r="U850" s="1">
        <v>85.0</v>
      </c>
      <c r="V850" s="1">
        <v>80.0</v>
      </c>
      <c r="W850" s="1">
        <v>75.0</v>
      </c>
      <c r="X850" s="1">
        <v>72.0</v>
      </c>
      <c r="Y850" s="1">
        <v>80.0</v>
      </c>
      <c r="Z850" s="1">
        <v>1.0</v>
      </c>
    </row>
    <row r="851">
      <c r="A851" s="1" t="s">
        <v>2707</v>
      </c>
      <c r="B851" s="1" t="s">
        <v>2108</v>
      </c>
      <c r="C851" s="1" t="s">
        <v>1579</v>
      </c>
      <c r="D851" s="1">
        <v>225.0</v>
      </c>
      <c r="E851" s="1">
        <v>79.0</v>
      </c>
      <c r="F851" s="1">
        <v>80.0</v>
      </c>
      <c r="G851" s="1">
        <v>84.0</v>
      </c>
      <c r="H851" s="1">
        <v>56.0</v>
      </c>
      <c r="I851" s="1">
        <v>61.0</v>
      </c>
      <c r="J851" s="1">
        <v>89.0</v>
      </c>
      <c r="K851" s="1">
        <v>80.0</v>
      </c>
      <c r="L851" s="1">
        <v>85.0</v>
      </c>
      <c r="M851" s="1">
        <v>75.0</v>
      </c>
      <c r="N851" s="1">
        <v>78.0</v>
      </c>
      <c r="O851" s="1">
        <v>68.0</v>
      </c>
      <c r="P851" s="1">
        <v>85.0</v>
      </c>
      <c r="Q851" s="1">
        <v>75.0</v>
      </c>
      <c r="R851" s="1">
        <v>75.0</v>
      </c>
      <c r="S851" s="1">
        <v>85.0</v>
      </c>
      <c r="T851" s="1">
        <v>80.0</v>
      </c>
      <c r="U851" s="1">
        <v>87.0</v>
      </c>
      <c r="V851" s="1">
        <v>77.0</v>
      </c>
      <c r="W851" s="1">
        <v>72.0</v>
      </c>
      <c r="X851" s="1">
        <v>75.0</v>
      </c>
      <c r="Y851" s="1">
        <v>75.0</v>
      </c>
      <c r="Z851" s="1">
        <v>1.0</v>
      </c>
    </row>
    <row r="852">
      <c r="A852" s="1" t="s">
        <v>1330</v>
      </c>
      <c r="B852" s="1" t="s">
        <v>2108</v>
      </c>
      <c r="C852" s="1" t="s">
        <v>2327</v>
      </c>
      <c r="D852" s="1">
        <v>215.0</v>
      </c>
      <c r="E852" s="1">
        <v>99.0</v>
      </c>
      <c r="F852" s="1">
        <v>93.0</v>
      </c>
      <c r="G852" s="1">
        <v>52.0</v>
      </c>
      <c r="H852" s="1">
        <v>62.0</v>
      </c>
      <c r="I852" s="1">
        <v>74.0</v>
      </c>
      <c r="J852" s="1">
        <v>94.0</v>
      </c>
      <c r="K852" s="1">
        <v>90.0</v>
      </c>
      <c r="L852" s="1">
        <v>69.0</v>
      </c>
      <c r="M852" s="1">
        <v>97.0</v>
      </c>
      <c r="N852" s="1">
        <v>63.0</v>
      </c>
      <c r="O852" s="1">
        <v>65.0</v>
      </c>
      <c r="P852" s="1">
        <v>61.0</v>
      </c>
      <c r="Q852" s="1">
        <v>46.0</v>
      </c>
      <c r="R852" s="1">
        <v>28.0</v>
      </c>
      <c r="S852" s="1">
        <v>56.0</v>
      </c>
      <c r="T852" s="1">
        <v>80.0</v>
      </c>
      <c r="U852" s="1">
        <v>82.0</v>
      </c>
      <c r="V852" s="1">
        <v>76.0</v>
      </c>
      <c r="W852" s="1">
        <v>68.0</v>
      </c>
      <c r="X852" s="1">
        <v>81.0</v>
      </c>
      <c r="Y852" s="1">
        <v>67.0</v>
      </c>
      <c r="Z852" s="1">
        <v>1.0</v>
      </c>
    </row>
    <row r="853">
      <c r="A853" s="1" t="s">
        <v>2708</v>
      </c>
      <c r="B853" s="1" t="s">
        <v>2108</v>
      </c>
      <c r="C853" s="1" t="s">
        <v>1534</v>
      </c>
      <c r="D853" s="1">
        <v>223.0</v>
      </c>
      <c r="E853" s="1">
        <v>75.0</v>
      </c>
      <c r="F853" s="1">
        <v>85.0</v>
      </c>
      <c r="G853" s="1">
        <v>60.0</v>
      </c>
      <c r="H853" s="1">
        <v>75.0</v>
      </c>
      <c r="I853" s="1">
        <v>58.0</v>
      </c>
      <c r="J853" s="1">
        <v>80.0</v>
      </c>
      <c r="K853" s="1">
        <v>50.0</v>
      </c>
      <c r="L853" s="1">
        <v>90.0</v>
      </c>
      <c r="M853" s="1">
        <v>87.0</v>
      </c>
      <c r="N853" s="1">
        <v>80.0</v>
      </c>
      <c r="O853" s="1">
        <v>70.0</v>
      </c>
      <c r="P853" s="1">
        <v>84.0</v>
      </c>
      <c r="Q853" s="1">
        <v>88.0</v>
      </c>
      <c r="R853" s="1">
        <v>60.0</v>
      </c>
      <c r="S853" s="1">
        <v>84.0</v>
      </c>
      <c r="T853" s="1">
        <v>85.0</v>
      </c>
      <c r="U853" s="1">
        <v>70.0</v>
      </c>
      <c r="V853" s="1">
        <v>81.0</v>
      </c>
      <c r="W853" s="1">
        <v>78.0</v>
      </c>
      <c r="X853" s="1">
        <v>92.0</v>
      </c>
      <c r="Y853" s="1">
        <v>79.0</v>
      </c>
      <c r="Z853" s="1">
        <v>1.0</v>
      </c>
    </row>
    <row r="854">
      <c r="A854" s="1" t="s">
        <v>2709</v>
      </c>
      <c r="B854" s="1" t="s">
        <v>2108</v>
      </c>
      <c r="C854" s="1" t="s">
        <v>2115</v>
      </c>
      <c r="D854" s="1">
        <v>240.0</v>
      </c>
      <c r="E854" s="1">
        <v>92.0</v>
      </c>
      <c r="F854" s="1">
        <v>93.0</v>
      </c>
      <c r="G854" s="1">
        <v>89.0</v>
      </c>
      <c r="H854" s="1">
        <v>81.0</v>
      </c>
      <c r="I854" s="1">
        <v>67.0</v>
      </c>
      <c r="J854" s="1">
        <v>52.0</v>
      </c>
      <c r="K854" s="1">
        <v>25.0</v>
      </c>
      <c r="L854" s="1">
        <v>54.0</v>
      </c>
      <c r="M854" s="1">
        <v>70.0</v>
      </c>
      <c r="N854" s="1">
        <v>71.0</v>
      </c>
      <c r="O854" s="1">
        <v>63.0</v>
      </c>
      <c r="P854" s="1">
        <v>75.0</v>
      </c>
      <c r="Q854" s="1">
        <v>73.0</v>
      </c>
      <c r="R854" s="1">
        <v>60.0</v>
      </c>
      <c r="S854" s="1">
        <v>74.0</v>
      </c>
      <c r="T854" s="1">
        <v>65.0</v>
      </c>
      <c r="U854" s="1">
        <v>90.0</v>
      </c>
      <c r="V854" s="1">
        <v>74.0</v>
      </c>
      <c r="W854" s="1">
        <v>65.0</v>
      </c>
      <c r="X854" s="1">
        <v>91.0</v>
      </c>
      <c r="Y854" s="1">
        <v>87.0</v>
      </c>
      <c r="Z854" s="1">
        <v>1.0</v>
      </c>
    </row>
    <row r="855">
      <c r="A855" s="1" t="s">
        <v>2710</v>
      </c>
      <c r="B855" s="1" t="s">
        <v>2108</v>
      </c>
      <c r="C855" s="1" t="s">
        <v>2327</v>
      </c>
      <c r="D855" s="1">
        <v>237.0</v>
      </c>
      <c r="E855" s="1">
        <v>81.0</v>
      </c>
      <c r="F855" s="1">
        <v>84.0</v>
      </c>
      <c r="G855" s="1">
        <v>84.0</v>
      </c>
      <c r="H855" s="1">
        <v>82.0</v>
      </c>
      <c r="I855" s="1">
        <v>80.0</v>
      </c>
      <c r="J855" s="1">
        <v>75.0</v>
      </c>
      <c r="K855" s="1">
        <v>83.0</v>
      </c>
      <c r="L855" s="1">
        <v>80.0</v>
      </c>
      <c r="M855" s="1">
        <v>67.0</v>
      </c>
      <c r="N855" s="1">
        <v>45.0</v>
      </c>
      <c r="O855" s="1">
        <v>50.0</v>
      </c>
      <c r="P855" s="1">
        <v>87.0</v>
      </c>
      <c r="Q855" s="1">
        <v>62.0</v>
      </c>
      <c r="R855" s="1">
        <v>62.0</v>
      </c>
      <c r="S855" s="1">
        <v>86.0</v>
      </c>
      <c r="T855" s="1">
        <v>87.0</v>
      </c>
      <c r="U855" s="1">
        <v>86.0</v>
      </c>
      <c r="V855" s="1">
        <v>72.0</v>
      </c>
      <c r="W855" s="1">
        <v>61.0</v>
      </c>
      <c r="X855" s="1">
        <v>93.0</v>
      </c>
      <c r="Y855" s="1">
        <v>71.0</v>
      </c>
      <c r="Z855" s="1">
        <v>1.0</v>
      </c>
    </row>
    <row r="856">
      <c r="A856" s="1" t="s">
        <v>2711</v>
      </c>
      <c r="B856" s="1" t="s">
        <v>2108</v>
      </c>
      <c r="C856" s="1" t="s">
        <v>970</v>
      </c>
      <c r="D856" s="1">
        <v>239.0</v>
      </c>
      <c r="E856" s="1">
        <v>73.0</v>
      </c>
      <c r="F856" s="1">
        <v>75.0</v>
      </c>
      <c r="G856" s="1">
        <v>89.0</v>
      </c>
      <c r="H856" s="1">
        <v>72.0</v>
      </c>
      <c r="I856" s="1">
        <v>70.0</v>
      </c>
      <c r="J856" s="1">
        <v>73.0</v>
      </c>
      <c r="K856" s="1">
        <v>83.0</v>
      </c>
      <c r="L856" s="1">
        <v>70.0</v>
      </c>
      <c r="M856" s="1">
        <v>75.0</v>
      </c>
      <c r="N856" s="1">
        <v>80.0</v>
      </c>
      <c r="O856" s="1">
        <v>75.0</v>
      </c>
      <c r="P856" s="1">
        <v>74.0</v>
      </c>
      <c r="Q856" s="1">
        <v>74.0</v>
      </c>
      <c r="R856" s="1">
        <v>73.0</v>
      </c>
      <c r="S856" s="1">
        <v>84.0</v>
      </c>
      <c r="T856" s="1">
        <v>85.0</v>
      </c>
      <c r="U856" s="1">
        <v>80.0</v>
      </c>
      <c r="V856" s="1">
        <v>85.0</v>
      </c>
      <c r="W856" s="1">
        <v>77.0</v>
      </c>
      <c r="X856" s="1">
        <v>74.0</v>
      </c>
      <c r="Y856" s="1">
        <v>80.0</v>
      </c>
      <c r="Z856" s="1">
        <v>1.0</v>
      </c>
    </row>
    <row r="857">
      <c r="A857" s="1" t="s">
        <v>1989</v>
      </c>
      <c r="B857" s="1" t="s">
        <v>2108</v>
      </c>
      <c r="C857" s="1" t="s">
        <v>1534</v>
      </c>
      <c r="D857" s="1">
        <v>248.0</v>
      </c>
      <c r="E857" s="1">
        <v>80.0</v>
      </c>
      <c r="F857" s="1">
        <v>60.0</v>
      </c>
      <c r="G857" s="1">
        <v>80.0</v>
      </c>
      <c r="H857" s="1">
        <v>90.0</v>
      </c>
      <c r="I857" s="1">
        <v>57.0</v>
      </c>
      <c r="J857" s="1">
        <v>75.0</v>
      </c>
      <c r="K857" s="1">
        <v>78.0</v>
      </c>
      <c r="L857" s="1">
        <v>54.0</v>
      </c>
      <c r="M857" s="1">
        <v>73.0</v>
      </c>
      <c r="N857" s="1">
        <v>50.0</v>
      </c>
      <c r="O857" s="1">
        <v>51.0</v>
      </c>
      <c r="P857" s="1">
        <v>74.0</v>
      </c>
      <c r="Q857" s="1">
        <v>50.0</v>
      </c>
      <c r="R857" s="1">
        <v>36.0</v>
      </c>
      <c r="S857" s="1">
        <v>78.0</v>
      </c>
      <c r="T857" s="1">
        <v>92.0</v>
      </c>
      <c r="U857" s="1">
        <v>95.0</v>
      </c>
      <c r="V857" s="1">
        <v>80.0</v>
      </c>
      <c r="W857" s="1">
        <v>66.0</v>
      </c>
      <c r="X857" s="1">
        <v>91.0</v>
      </c>
      <c r="Y857" s="1">
        <v>77.0</v>
      </c>
      <c r="Z857" s="1">
        <v>1.0</v>
      </c>
    </row>
    <row r="858">
      <c r="A858" s="1" t="s">
        <v>1450</v>
      </c>
      <c r="B858" s="1" t="s">
        <v>2108</v>
      </c>
      <c r="C858" s="1" t="s">
        <v>970</v>
      </c>
      <c r="D858" s="1">
        <v>243.0</v>
      </c>
      <c r="E858" s="1">
        <v>73.0</v>
      </c>
      <c r="F858" s="1">
        <v>73.0</v>
      </c>
      <c r="G858" s="1">
        <v>93.0</v>
      </c>
      <c r="H858" s="1">
        <v>53.0</v>
      </c>
      <c r="I858" s="1">
        <v>51.0</v>
      </c>
      <c r="J858" s="1">
        <v>65.0</v>
      </c>
      <c r="K858" s="1">
        <v>75.0</v>
      </c>
      <c r="L858" s="1">
        <v>56.0</v>
      </c>
      <c r="M858" s="1">
        <v>87.0</v>
      </c>
      <c r="N858" s="1">
        <v>86.0</v>
      </c>
      <c r="O858" s="1">
        <v>75.0</v>
      </c>
      <c r="P858" s="1">
        <v>77.0</v>
      </c>
      <c r="Q858" s="1">
        <v>83.0</v>
      </c>
      <c r="R858" s="1">
        <v>60.0</v>
      </c>
      <c r="S858" s="1">
        <v>93.0</v>
      </c>
      <c r="T858" s="1">
        <v>67.0</v>
      </c>
      <c r="U858" s="1">
        <v>92.0</v>
      </c>
      <c r="V858" s="1">
        <v>75.0</v>
      </c>
      <c r="W858" s="1">
        <v>75.0</v>
      </c>
      <c r="X858" s="1">
        <v>57.0</v>
      </c>
      <c r="Y858" s="1">
        <v>83.0</v>
      </c>
      <c r="Z858" s="1">
        <v>1.0</v>
      </c>
    </row>
    <row r="859">
      <c r="A859" s="1" t="s">
        <v>2712</v>
      </c>
      <c r="B859" s="1" t="s">
        <v>2108</v>
      </c>
      <c r="C859" s="1" t="s">
        <v>2327</v>
      </c>
      <c r="D859" s="1">
        <v>250.0</v>
      </c>
      <c r="E859" s="1">
        <v>89.0</v>
      </c>
      <c r="F859" s="1">
        <v>78.0</v>
      </c>
      <c r="G859" s="1">
        <v>83.0</v>
      </c>
      <c r="H859" s="1">
        <v>88.0</v>
      </c>
      <c r="I859" s="1">
        <v>64.0</v>
      </c>
      <c r="J859" s="1">
        <v>94.0</v>
      </c>
      <c r="K859" s="1">
        <v>90.0</v>
      </c>
      <c r="L859" s="1">
        <v>71.0</v>
      </c>
      <c r="M859" s="1">
        <v>60.0</v>
      </c>
      <c r="N859" s="1">
        <v>74.0</v>
      </c>
      <c r="O859" s="1">
        <v>58.0</v>
      </c>
      <c r="P859" s="1">
        <v>85.0</v>
      </c>
      <c r="Q859" s="1">
        <v>65.0</v>
      </c>
      <c r="R859" s="1">
        <v>40.0</v>
      </c>
      <c r="S859" s="1">
        <v>64.0</v>
      </c>
      <c r="T859" s="1">
        <v>90.0</v>
      </c>
      <c r="U859" s="1">
        <v>90.0</v>
      </c>
      <c r="V859" s="1">
        <v>69.0</v>
      </c>
      <c r="W859" s="1">
        <v>56.0</v>
      </c>
      <c r="X859" s="1">
        <v>80.0</v>
      </c>
      <c r="Y859" s="1">
        <v>83.0</v>
      </c>
      <c r="Z859" s="1">
        <v>1.0</v>
      </c>
    </row>
    <row r="860">
      <c r="A860" s="1" t="s">
        <v>2713</v>
      </c>
      <c r="B860" s="1" t="s">
        <v>2108</v>
      </c>
      <c r="C860" s="1" t="s">
        <v>1579</v>
      </c>
      <c r="D860" s="1">
        <v>240.0</v>
      </c>
      <c r="E860" s="1">
        <v>76.0</v>
      </c>
      <c r="F860" s="1">
        <v>51.0</v>
      </c>
      <c r="G860" s="1">
        <v>70.0</v>
      </c>
      <c r="H860" s="1">
        <v>72.0</v>
      </c>
      <c r="I860" s="1">
        <v>54.0</v>
      </c>
      <c r="J860" s="1">
        <v>86.0</v>
      </c>
      <c r="K860" s="1">
        <v>83.0</v>
      </c>
      <c r="L860" s="1">
        <v>73.0</v>
      </c>
      <c r="M860" s="1">
        <v>75.0</v>
      </c>
      <c r="N860" s="1">
        <v>41.0</v>
      </c>
      <c r="O860" s="1">
        <v>46.0</v>
      </c>
      <c r="P860" s="1">
        <v>80.0</v>
      </c>
      <c r="Q860" s="1">
        <v>69.0</v>
      </c>
      <c r="R860" s="1">
        <v>80.0</v>
      </c>
      <c r="S860" s="1">
        <v>78.0</v>
      </c>
      <c r="T860" s="1">
        <v>90.0</v>
      </c>
      <c r="U860" s="1">
        <v>93.0</v>
      </c>
      <c r="V860" s="1">
        <v>76.0</v>
      </c>
      <c r="W860" s="1">
        <v>70.0</v>
      </c>
      <c r="X860" s="1">
        <v>89.0</v>
      </c>
      <c r="Y860" s="1">
        <v>80.0</v>
      </c>
      <c r="Z860" s="1">
        <v>1.0</v>
      </c>
    </row>
    <row r="861">
      <c r="A861" s="1" t="s">
        <v>2714</v>
      </c>
      <c r="B861" s="1" t="s">
        <v>2108</v>
      </c>
      <c r="C861" s="1" t="s">
        <v>2115</v>
      </c>
      <c r="D861" s="1">
        <v>236.0</v>
      </c>
      <c r="E861" s="1">
        <v>77.0</v>
      </c>
      <c r="F861" s="1">
        <v>69.0</v>
      </c>
      <c r="G861" s="1">
        <v>89.0</v>
      </c>
      <c r="H861" s="1">
        <v>77.0</v>
      </c>
      <c r="I861" s="1">
        <v>58.0</v>
      </c>
      <c r="J861" s="1">
        <v>75.0</v>
      </c>
      <c r="K861" s="1">
        <v>85.0</v>
      </c>
      <c r="L861" s="1">
        <v>60.0</v>
      </c>
      <c r="M861" s="1">
        <v>80.0</v>
      </c>
      <c r="N861" s="1">
        <v>73.0</v>
      </c>
      <c r="O861" s="1">
        <v>64.0</v>
      </c>
      <c r="P861" s="1">
        <v>71.0</v>
      </c>
      <c r="Q861" s="1">
        <v>45.0</v>
      </c>
      <c r="R861" s="1">
        <v>72.0</v>
      </c>
      <c r="S861" s="1">
        <v>82.0</v>
      </c>
      <c r="T861" s="1">
        <v>92.0</v>
      </c>
      <c r="U861" s="1">
        <v>81.0</v>
      </c>
      <c r="V861" s="1">
        <v>75.0</v>
      </c>
      <c r="W861" s="1">
        <v>66.0</v>
      </c>
      <c r="X861" s="1">
        <v>91.0</v>
      </c>
      <c r="Y861" s="1">
        <v>87.0</v>
      </c>
      <c r="Z861" s="1">
        <v>1.0</v>
      </c>
    </row>
    <row r="862">
      <c r="A862" s="1" t="s">
        <v>2715</v>
      </c>
      <c r="B862" s="1" t="s">
        <v>2108</v>
      </c>
      <c r="C862" s="1" t="s">
        <v>2115</v>
      </c>
      <c r="D862" s="1">
        <v>248.0</v>
      </c>
      <c r="E862" s="1">
        <v>80.0</v>
      </c>
      <c r="F862" s="1">
        <v>81.0</v>
      </c>
      <c r="G862" s="1">
        <v>85.0</v>
      </c>
      <c r="H862" s="1">
        <v>90.0</v>
      </c>
      <c r="I862" s="1">
        <v>85.0</v>
      </c>
      <c r="J862" s="1">
        <v>85.0</v>
      </c>
      <c r="K862" s="1">
        <v>87.0</v>
      </c>
      <c r="L862" s="1">
        <v>67.0</v>
      </c>
      <c r="M862" s="1">
        <v>76.0</v>
      </c>
      <c r="N862" s="1">
        <v>61.0</v>
      </c>
      <c r="O862" s="1">
        <v>61.0</v>
      </c>
      <c r="P862" s="1">
        <v>76.0</v>
      </c>
      <c r="Q862" s="1">
        <v>41.0</v>
      </c>
      <c r="R862" s="1">
        <v>38.0</v>
      </c>
      <c r="S862" s="1">
        <v>83.0</v>
      </c>
      <c r="T862" s="1">
        <v>91.0</v>
      </c>
      <c r="U862" s="1">
        <v>89.0</v>
      </c>
      <c r="V862" s="1">
        <v>70.0</v>
      </c>
      <c r="W862" s="1">
        <v>56.0</v>
      </c>
      <c r="X862" s="1">
        <v>79.0</v>
      </c>
      <c r="Y862" s="1">
        <v>80.0</v>
      </c>
      <c r="Z862" s="1">
        <v>1.0</v>
      </c>
    </row>
    <row r="863">
      <c r="A863" s="1" t="s">
        <v>2716</v>
      </c>
      <c r="B863" s="1" t="s">
        <v>2108</v>
      </c>
      <c r="C863" s="1" t="s">
        <v>1534</v>
      </c>
      <c r="D863" s="1">
        <v>255.0</v>
      </c>
      <c r="E863" s="1">
        <v>76.0</v>
      </c>
      <c r="F863" s="1">
        <v>76.0</v>
      </c>
      <c r="G863" s="1">
        <v>93.0</v>
      </c>
      <c r="H863" s="1">
        <v>81.0</v>
      </c>
      <c r="I863" s="1">
        <v>59.0</v>
      </c>
      <c r="J863" s="1">
        <v>36.0</v>
      </c>
      <c r="K863" s="1">
        <v>25.0</v>
      </c>
      <c r="L863" s="1">
        <v>39.0</v>
      </c>
      <c r="M863" s="1">
        <v>85.0</v>
      </c>
      <c r="N863" s="1">
        <v>56.0</v>
      </c>
      <c r="O863" s="1">
        <v>50.0</v>
      </c>
      <c r="P863" s="1">
        <v>83.0</v>
      </c>
      <c r="Q863" s="1">
        <v>84.0</v>
      </c>
      <c r="R863" s="1">
        <v>55.0</v>
      </c>
      <c r="S863" s="1">
        <v>83.0</v>
      </c>
      <c r="T863" s="1">
        <v>90.0</v>
      </c>
      <c r="U863" s="1">
        <v>94.0</v>
      </c>
      <c r="V863" s="1">
        <v>80.0</v>
      </c>
      <c r="W863" s="1">
        <v>74.0</v>
      </c>
      <c r="X863" s="1">
        <v>93.0</v>
      </c>
      <c r="Y863" s="1">
        <v>82.0</v>
      </c>
      <c r="Z863" s="1">
        <v>1.0</v>
      </c>
    </row>
    <row r="864">
      <c r="A864" s="1" t="s">
        <v>2717</v>
      </c>
      <c r="B864" s="1" t="s">
        <v>2108</v>
      </c>
      <c r="C864" s="1" t="s">
        <v>1579</v>
      </c>
      <c r="D864" s="1">
        <v>230.0</v>
      </c>
      <c r="E864" s="1">
        <v>77.0</v>
      </c>
      <c r="F864" s="1">
        <v>85.0</v>
      </c>
      <c r="G864" s="1">
        <v>85.0</v>
      </c>
      <c r="H864" s="1">
        <v>75.0</v>
      </c>
      <c r="I864" s="1">
        <v>61.0</v>
      </c>
      <c r="J864" s="1">
        <v>87.0</v>
      </c>
      <c r="K864" s="1">
        <v>86.0</v>
      </c>
      <c r="L864" s="1">
        <v>62.0</v>
      </c>
      <c r="M864" s="1">
        <v>70.0</v>
      </c>
      <c r="N864" s="1">
        <v>78.0</v>
      </c>
      <c r="O864" s="1">
        <v>60.0</v>
      </c>
      <c r="P864" s="1">
        <v>89.0</v>
      </c>
      <c r="Q864" s="1">
        <v>50.0</v>
      </c>
      <c r="R864" s="1">
        <v>60.0</v>
      </c>
      <c r="S864" s="1">
        <v>75.0</v>
      </c>
      <c r="T864" s="1">
        <v>90.0</v>
      </c>
      <c r="U864" s="1">
        <v>91.0</v>
      </c>
      <c r="V864" s="1">
        <v>77.0</v>
      </c>
      <c r="W864" s="1">
        <v>62.0</v>
      </c>
      <c r="X864" s="1">
        <v>69.0</v>
      </c>
      <c r="Y864" s="1">
        <v>70.0</v>
      </c>
      <c r="Z864" s="1">
        <v>1.0</v>
      </c>
    </row>
    <row r="865">
      <c r="A865" s="1" t="s">
        <v>2718</v>
      </c>
      <c r="B865" s="1" t="s">
        <v>2108</v>
      </c>
      <c r="C865" s="1" t="s">
        <v>2163</v>
      </c>
      <c r="D865" s="1" t="s">
        <v>2719</v>
      </c>
      <c r="E865" s="1" t="s">
        <v>187</v>
      </c>
      <c r="F865" s="1" t="s">
        <v>836</v>
      </c>
      <c r="G865" s="1" t="s">
        <v>1146</v>
      </c>
      <c r="H865" s="1" t="s">
        <v>502</v>
      </c>
      <c r="I865" s="1" t="s">
        <v>734</v>
      </c>
      <c r="J865" s="1" t="s">
        <v>80</v>
      </c>
      <c r="K865" s="1" t="s">
        <v>802</v>
      </c>
      <c r="L865" s="1" t="s">
        <v>1217</v>
      </c>
      <c r="M865" s="1" t="s">
        <v>878</v>
      </c>
      <c r="N865" s="1" t="s">
        <v>1630</v>
      </c>
      <c r="O865" s="1" t="s">
        <v>2720</v>
      </c>
      <c r="P865" s="1" t="s">
        <v>553</v>
      </c>
      <c r="Q865" s="1" t="s">
        <v>270</v>
      </c>
      <c r="R865" s="1" t="s">
        <v>1669</v>
      </c>
      <c r="S865" s="1" t="s">
        <v>975</v>
      </c>
      <c r="T865" s="1" t="s">
        <v>593</v>
      </c>
      <c r="U865" s="1" t="s">
        <v>728</v>
      </c>
      <c r="V865" s="1" t="s">
        <v>893</v>
      </c>
      <c r="W865" s="1" t="s">
        <v>1982</v>
      </c>
      <c r="X865" s="1" t="s">
        <v>207</v>
      </c>
      <c r="Y865" s="1" t="s">
        <v>404</v>
      </c>
      <c r="Z865" s="1">
        <v>1.0</v>
      </c>
    </row>
    <row r="866">
      <c r="A866" s="1" t="s">
        <v>2721</v>
      </c>
      <c r="B866" s="1" t="s">
        <v>2108</v>
      </c>
      <c r="C866" s="1" t="s">
        <v>192</v>
      </c>
      <c r="D866" s="1">
        <v>263.0</v>
      </c>
      <c r="E866" s="1">
        <v>75.0</v>
      </c>
      <c r="F866" s="1">
        <v>71.0</v>
      </c>
      <c r="G866" s="1">
        <v>75.0</v>
      </c>
      <c r="H866" s="1">
        <v>38.0</v>
      </c>
      <c r="I866" s="1">
        <v>51.0</v>
      </c>
      <c r="J866" s="1">
        <v>87.0</v>
      </c>
      <c r="K866" s="1">
        <v>75.0</v>
      </c>
      <c r="L866" s="1">
        <v>62.0</v>
      </c>
      <c r="M866" s="1">
        <v>76.0</v>
      </c>
      <c r="N866" s="1">
        <v>86.0</v>
      </c>
      <c r="O866" s="1">
        <v>75.0</v>
      </c>
      <c r="P866" s="1">
        <v>82.0</v>
      </c>
      <c r="Q866" s="1">
        <v>85.0</v>
      </c>
      <c r="R866" s="1">
        <v>60.0</v>
      </c>
      <c r="S866" s="1">
        <v>84.0</v>
      </c>
      <c r="T866" s="1">
        <v>84.0</v>
      </c>
      <c r="U866" s="1">
        <v>92.0</v>
      </c>
      <c r="V866" s="1">
        <v>85.0</v>
      </c>
      <c r="W866" s="1">
        <v>78.0</v>
      </c>
      <c r="X866" s="1">
        <v>85.0</v>
      </c>
      <c r="Y866" s="1">
        <v>83.0</v>
      </c>
      <c r="Z866" s="1">
        <v>1.0</v>
      </c>
    </row>
    <row r="867">
      <c r="A867" s="1" t="s">
        <v>2722</v>
      </c>
      <c r="B867" s="1" t="s">
        <v>2108</v>
      </c>
      <c r="C867" s="1" t="s">
        <v>1534</v>
      </c>
      <c r="D867" s="1">
        <v>268.0</v>
      </c>
      <c r="E867" s="1">
        <v>81.0</v>
      </c>
      <c r="F867" s="1">
        <v>57.0</v>
      </c>
      <c r="G867" s="1">
        <v>76.0</v>
      </c>
      <c r="H867" s="1">
        <v>85.0</v>
      </c>
      <c r="I867" s="1">
        <v>57.0</v>
      </c>
      <c r="J867" s="1">
        <v>41.0</v>
      </c>
      <c r="K867" s="1">
        <v>25.0</v>
      </c>
      <c r="L867" s="1">
        <v>45.0</v>
      </c>
      <c r="M867" s="1">
        <v>87.0</v>
      </c>
      <c r="N867" s="1">
        <v>58.0</v>
      </c>
      <c r="O867" s="1">
        <v>48.0</v>
      </c>
      <c r="P867" s="1">
        <v>72.0</v>
      </c>
      <c r="Q867" s="1">
        <v>84.0</v>
      </c>
      <c r="R867" s="1">
        <v>85.0</v>
      </c>
      <c r="S867" s="1">
        <v>78.0</v>
      </c>
      <c r="T867" s="1">
        <v>96.0</v>
      </c>
      <c r="U867" s="1">
        <v>92.0</v>
      </c>
      <c r="V867" s="1">
        <v>78.0</v>
      </c>
      <c r="W867" s="1">
        <v>72.0</v>
      </c>
      <c r="X867" s="1">
        <v>91.0</v>
      </c>
      <c r="Y867" s="1">
        <v>88.0</v>
      </c>
      <c r="Z867" s="1">
        <v>1.0</v>
      </c>
    </row>
    <row r="868">
      <c r="A868" s="1" t="s">
        <v>2723</v>
      </c>
      <c r="B868" s="1" t="s">
        <v>2108</v>
      </c>
      <c r="C868" s="1" t="s">
        <v>1579</v>
      </c>
      <c r="D868" s="1">
        <v>216.0</v>
      </c>
      <c r="E868" s="1">
        <v>79.0</v>
      </c>
      <c r="F868" s="1">
        <v>70.0</v>
      </c>
      <c r="G868" s="1">
        <v>89.0</v>
      </c>
      <c r="H868" s="1">
        <v>72.0</v>
      </c>
      <c r="I868" s="1">
        <v>54.0</v>
      </c>
      <c r="J868" s="1">
        <v>86.0</v>
      </c>
      <c r="K868" s="1">
        <v>84.0</v>
      </c>
      <c r="L868" s="1">
        <v>77.0</v>
      </c>
      <c r="M868" s="1">
        <v>86.0</v>
      </c>
      <c r="N868" s="1">
        <v>76.0</v>
      </c>
      <c r="O868" s="1">
        <v>67.0</v>
      </c>
      <c r="P868" s="1">
        <v>80.0</v>
      </c>
      <c r="Q868" s="1">
        <v>75.0</v>
      </c>
      <c r="R868" s="1">
        <v>60.0</v>
      </c>
      <c r="S868" s="1">
        <v>78.0</v>
      </c>
      <c r="T868" s="1">
        <v>80.0</v>
      </c>
      <c r="U868" s="1">
        <v>85.0</v>
      </c>
      <c r="V868" s="1">
        <v>76.0</v>
      </c>
      <c r="W868" s="1">
        <v>74.0</v>
      </c>
      <c r="X868" s="1">
        <v>73.0</v>
      </c>
      <c r="Y868" s="1">
        <v>80.0</v>
      </c>
      <c r="Z868" s="1">
        <v>1.0</v>
      </c>
    </row>
    <row r="869">
      <c r="A869" s="1" t="s">
        <v>2724</v>
      </c>
      <c r="B869" s="1" t="s">
        <v>2108</v>
      </c>
      <c r="C869" s="1" t="s">
        <v>2115</v>
      </c>
      <c r="D869" s="1">
        <v>212.0</v>
      </c>
      <c r="E869" s="1" t="s">
        <v>1155</v>
      </c>
      <c r="F869" s="1" t="s">
        <v>190</v>
      </c>
      <c r="G869" s="1">
        <v>87.0</v>
      </c>
      <c r="H869" s="1" t="s">
        <v>1477</v>
      </c>
      <c r="I869" s="1">
        <v>60.0</v>
      </c>
      <c r="J869" s="1" t="s">
        <v>548</v>
      </c>
      <c r="K869" s="1" t="s">
        <v>234</v>
      </c>
      <c r="L869" s="1" t="s">
        <v>1116</v>
      </c>
      <c r="M869" s="1">
        <v>87.0</v>
      </c>
      <c r="N869" s="1">
        <v>75.0</v>
      </c>
      <c r="O869" s="1">
        <v>68.0</v>
      </c>
      <c r="P869" s="1" t="s">
        <v>1137</v>
      </c>
      <c r="Q869" s="1" t="s">
        <v>2356</v>
      </c>
      <c r="R869" s="1" t="s">
        <v>1445</v>
      </c>
      <c r="S869" s="1">
        <v>88.0</v>
      </c>
      <c r="T869" s="1" t="s">
        <v>1070</v>
      </c>
      <c r="U869" s="1" t="s">
        <v>424</v>
      </c>
      <c r="V869" s="1">
        <v>79.0</v>
      </c>
      <c r="W869" s="1">
        <v>73.0</v>
      </c>
      <c r="X869" s="1">
        <v>82.0</v>
      </c>
      <c r="Y869" s="1">
        <v>83.0</v>
      </c>
      <c r="Z869" s="1">
        <v>1.0</v>
      </c>
    </row>
    <row r="870">
      <c r="A870" s="1" t="s">
        <v>1437</v>
      </c>
      <c r="B870" s="1" t="s">
        <v>2108</v>
      </c>
      <c r="C870" s="1" t="s">
        <v>1579</v>
      </c>
      <c r="D870" s="1">
        <v>248.0</v>
      </c>
      <c r="E870" s="1">
        <v>87.0</v>
      </c>
      <c r="F870" s="1">
        <v>70.0</v>
      </c>
      <c r="G870" s="1">
        <v>75.0</v>
      </c>
      <c r="H870" s="1">
        <v>75.0</v>
      </c>
      <c r="I870" s="1">
        <v>92.0</v>
      </c>
      <c r="J870" s="1">
        <v>90.0</v>
      </c>
      <c r="K870" s="1">
        <v>85.0</v>
      </c>
      <c r="L870" s="1">
        <v>80.0</v>
      </c>
      <c r="M870" s="1">
        <v>80.0</v>
      </c>
      <c r="N870" s="1">
        <v>55.0</v>
      </c>
      <c r="O870" s="1">
        <v>60.0</v>
      </c>
      <c r="P870" s="1">
        <v>90.0</v>
      </c>
      <c r="Q870" s="1">
        <v>45.0</v>
      </c>
      <c r="R870" s="1">
        <v>73.0</v>
      </c>
      <c r="S870" s="1">
        <v>71.0</v>
      </c>
      <c r="T870" s="1">
        <v>75.0</v>
      </c>
      <c r="U870" s="1">
        <v>90.0</v>
      </c>
      <c r="V870" s="1">
        <v>65.0</v>
      </c>
      <c r="W870" s="1">
        <v>66.0</v>
      </c>
      <c r="X870" s="1">
        <v>75.0</v>
      </c>
      <c r="Y870" s="1">
        <v>75.0</v>
      </c>
      <c r="Z870" s="1">
        <v>1.0</v>
      </c>
    </row>
    <row r="871">
      <c r="A871" s="1" t="s">
        <v>2725</v>
      </c>
      <c r="B871" s="1" t="s">
        <v>2108</v>
      </c>
      <c r="C871" s="1" t="s">
        <v>2327</v>
      </c>
      <c r="D871" s="1">
        <v>252.0</v>
      </c>
      <c r="E871" s="1">
        <v>80.0</v>
      </c>
      <c r="F871" s="1">
        <v>55.0</v>
      </c>
      <c r="G871" s="1">
        <v>65.0</v>
      </c>
      <c r="H871" s="1">
        <v>91.0</v>
      </c>
      <c r="I871" s="1">
        <v>68.0</v>
      </c>
      <c r="J871" s="1">
        <v>85.0</v>
      </c>
      <c r="K871" s="1">
        <v>84.0</v>
      </c>
      <c r="L871" s="1">
        <v>61.0</v>
      </c>
      <c r="M871" s="1">
        <v>87.0</v>
      </c>
      <c r="N871" s="1">
        <v>55.0</v>
      </c>
      <c r="O871" s="1">
        <v>41.0</v>
      </c>
      <c r="P871" s="1">
        <v>90.0</v>
      </c>
      <c r="Q871" s="1">
        <v>45.0</v>
      </c>
      <c r="R871" s="1">
        <v>45.0</v>
      </c>
      <c r="S871" s="1">
        <v>85.0</v>
      </c>
      <c r="T871" s="1">
        <v>80.0</v>
      </c>
      <c r="U871" s="1">
        <v>94.0</v>
      </c>
      <c r="V871" s="1">
        <v>60.0</v>
      </c>
      <c r="W871" s="1">
        <v>56.0</v>
      </c>
      <c r="X871" s="1">
        <v>91.0</v>
      </c>
      <c r="Y871" s="1">
        <v>77.0</v>
      </c>
      <c r="Z871" s="1">
        <v>1.0</v>
      </c>
    </row>
    <row r="872">
      <c r="A872" s="1" t="s">
        <v>2726</v>
      </c>
      <c r="B872" s="1" t="s">
        <v>2108</v>
      </c>
      <c r="C872" s="1" t="s">
        <v>970</v>
      </c>
      <c r="D872" s="1">
        <v>243.0</v>
      </c>
      <c r="E872" s="1">
        <v>74.0</v>
      </c>
      <c r="F872" s="1">
        <v>73.0</v>
      </c>
      <c r="G872" s="1">
        <v>93.0</v>
      </c>
      <c r="H872" s="1">
        <v>83.0</v>
      </c>
      <c r="I872" s="1">
        <v>50.0</v>
      </c>
      <c r="J872" s="1">
        <v>73.0</v>
      </c>
      <c r="K872" s="1">
        <v>80.0</v>
      </c>
      <c r="L872" s="1">
        <v>64.0</v>
      </c>
      <c r="M872" s="1">
        <v>82.0</v>
      </c>
      <c r="N872" s="1">
        <v>83.0</v>
      </c>
      <c r="O872" s="1">
        <v>64.0</v>
      </c>
      <c r="P872" s="1">
        <v>80.0</v>
      </c>
      <c r="Q872" s="1">
        <v>77.0</v>
      </c>
      <c r="R872" s="1">
        <v>51.0</v>
      </c>
      <c r="S872" s="1">
        <v>83.0</v>
      </c>
      <c r="T872" s="1">
        <v>72.0</v>
      </c>
      <c r="U872" s="1">
        <v>82.0</v>
      </c>
      <c r="V872" s="1">
        <v>80.0</v>
      </c>
      <c r="W872" s="1">
        <v>70.0</v>
      </c>
      <c r="X872" s="1">
        <v>85.0</v>
      </c>
      <c r="Y872" s="1">
        <v>81.0</v>
      </c>
      <c r="Z872" s="1">
        <v>1.0</v>
      </c>
    </row>
    <row r="873">
      <c r="A873" s="1" t="s">
        <v>2727</v>
      </c>
      <c r="B873" s="1" t="s">
        <v>2108</v>
      </c>
      <c r="C873" s="1" t="s">
        <v>2115</v>
      </c>
      <c r="D873" s="1">
        <v>236.0</v>
      </c>
      <c r="E873" s="1">
        <v>76.0</v>
      </c>
      <c r="F873" s="1">
        <v>70.0</v>
      </c>
      <c r="G873" s="1">
        <v>89.0</v>
      </c>
      <c r="H873" s="1">
        <v>72.0</v>
      </c>
      <c r="I873" s="1">
        <v>79.0</v>
      </c>
      <c r="J873" s="1">
        <v>81.0</v>
      </c>
      <c r="K873" s="1">
        <v>79.0</v>
      </c>
      <c r="L873" s="1">
        <v>61.0</v>
      </c>
      <c r="M873" s="1">
        <v>76.0</v>
      </c>
      <c r="N873" s="1">
        <v>65.0</v>
      </c>
      <c r="O873" s="1">
        <v>60.0</v>
      </c>
      <c r="P873" s="1">
        <v>85.0</v>
      </c>
      <c r="Q873" s="1">
        <v>72.0</v>
      </c>
      <c r="R873" s="1">
        <v>73.0</v>
      </c>
      <c r="S873" s="1">
        <v>88.0</v>
      </c>
      <c r="T873" s="1">
        <v>70.0</v>
      </c>
      <c r="U873" s="1">
        <v>92.0</v>
      </c>
      <c r="V873" s="1">
        <v>75.0</v>
      </c>
      <c r="W873" s="1">
        <v>65.0</v>
      </c>
      <c r="X873" s="1">
        <v>85.0</v>
      </c>
      <c r="Y873" s="1">
        <v>80.0</v>
      </c>
      <c r="Z873" s="1">
        <v>1.0</v>
      </c>
    </row>
    <row r="874">
      <c r="A874" s="1" t="s">
        <v>2728</v>
      </c>
      <c r="B874" s="1" t="s">
        <v>2108</v>
      </c>
      <c r="C874" s="1" t="s">
        <v>2327</v>
      </c>
      <c r="D874" s="1">
        <v>249.0</v>
      </c>
      <c r="E874" s="1">
        <v>75.0</v>
      </c>
      <c r="F874" s="1">
        <v>70.0</v>
      </c>
      <c r="G874" s="1">
        <v>87.0</v>
      </c>
      <c r="H874" s="1">
        <v>81.0</v>
      </c>
      <c r="I874" s="1">
        <v>61.0</v>
      </c>
      <c r="J874" s="1">
        <v>80.0</v>
      </c>
      <c r="K874" s="1">
        <v>78.0</v>
      </c>
      <c r="L874" s="1">
        <v>58.0</v>
      </c>
      <c r="M874" s="1">
        <v>71.0</v>
      </c>
      <c r="N874" s="1">
        <v>67.0</v>
      </c>
      <c r="O874" s="1">
        <v>58.0</v>
      </c>
      <c r="P874" s="1">
        <v>85.0</v>
      </c>
      <c r="Q874" s="1">
        <v>65.0</v>
      </c>
      <c r="R874" s="1">
        <v>67.0</v>
      </c>
      <c r="S874" s="1">
        <v>93.0</v>
      </c>
      <c r="T874" s="1">
        <v>70.0</v>
      </c>
      <c r="U874" s="1">
        <v>92.0</v>
      </c>
      <c r="V874" s="1">
        <v>69.0</v>
      </c>
      <c r="W874" s="1">
        <v>57.0</v>
      </c>
      <c r="X874" s="1">
        <v>91.0</v>
      </c>
      <c r="Y874" s="1">
        <v>83.0</v>
      </c>
      <c r="Z874" s="1">
        <v>1.0</v>
      </c>
    </row>
    <row r="875">
      <c r="A875" s="1" t="s">
        <v>2729</v>
      </c>
      <c r="B875" s="1" t="s">
        <v>2108</v>
      </c>
      <c r="C875" s="1" t="s">
        <v>2163</v>
      </c>
      <c r="D875" s="1" t="s">
        <v>2135</v>
      </c>
      <c r="E875" s="1" t="s">
        <v>1226</v>
      </c>
      <c r="F875" s="1" t="s">
        <v>322</v>
      </c>
      <c r="G875" s="1" t="s">
        <v>614</v>
      </c>
      <c r="H875" s="1" t="s">
        <v>122</v>
      </c>
      <c r="I875" s="1" t="s">
        <v>2365</v>
      </c>
      <c r="J875" s="1" t="s">
        <v>2055</v>
      </c>
      <c r="K875" s="1" t="s">
        <v>571</v>
      </c>
      <c r="L875" s="1" t="s">
        <v>1862</v>
      </c>
      <c r="M875" s="1" t="s">
        <v>251</v>
      </c>
      <c r="N875" s="1" t="s">
        <v>1109</v>
      </c>
      <c r="O875" s="1" t="s">
        <v>2443</v>
      </c>
      <c r="P875" s="1" t="s">
        <v>1160</v>
      </c>
      <c r="Q875" s="1" t="s">
        <v>787</v>
      </c>
      <c r="R875" s="1" t="s">
        <v>1728</v>
      </c>
      <c r="S875" s="1" t="s">
        <v>679</v>
      </c>
      <c r="T875" s="1" t="s">
        <v>1636</v>
      </c>
      <c r="U875" s="1" t="s">
        <v>431</v>
      </c>
      <c r="V875" s="1" t="s">
        <v>1145</v>
      </c>
      <c r="W875" s="1" t="s">
        <v>237</v>
      </c>
      <c r="X875" s="1" t="s">
        <v>1634</v>
      </c>
      <c r="Y875" s="1" t="s">
        <v>263</v>
      </c>
      <c r="Z875" s="1">
        <v>1.0</v>
      </c>
    </row>
    <row r="876">
      <c r="A876" s="1" t="s">
        <v>2730</v>
      </c>
      <c r="B876" s="1" t="s">
        <v>2108</v>
      </c>
      <c r="C876" s="1" t="s">
        <v>2115</v>
      </c>
      <c r="D876" s="1">
        <v>240.0</v>
      </c>
      <c r="E876" s="1">
        <v>80.0</v>
      </c>
      <c r="F876" s="1">
        <v>85.0</v>
      </c>
      <c r="G876" s="1">
        <v>87.0</v>
      </c>
      <c r="H876" s="1">
        <v>81.0</v>
      </c>
      <c r="I876" s="1">
        <v>62.0</v>
      </c>
      <c r="J876" s="1">
        <v>85.0</v>
      </c>
      <c r="K876" s="1">
        <v>85.0</v>
      </c>
      <c r="L876" s="1">
        <v>60.0</v>
      </c>
      <c r="M876" s="1">
        <v>82.0</v>
      </c>
      <c r="N876" s="1">
        <v>50.0</v>
      </c>
      <c r="O876" s="1">
        <v>53.0</v>
      </c>
      <c r="P876" s="1">
        <v>83.0</v>
      </c>
      <c r="Q876" s="1">
        <v>42.0</v>
      </c>
      <c r="R876" s="1">
        <v>60.0</v>
      </c>
      <c r="S876" s="1">
        <v>84.0</v>
      </c>
      <c r="T876" s="1">
        <v>85.0</v>
      </c>
      <c r="U876" s="1">
        <v>92.0</v>
      </c>
      <c r="V876" s="1">
        <v>72.0</v>
      </c>
      <c r="W876" s="1">
        <v>60.0</v>
      </c>
      <c r="X876" s="1">
        <v>83.0</v>
      </c>
      <c r="Y876" s="1">
        <v>80.0</v>
      </c>
      <c r="Z876" s="1">
        <v>1.0</v>
      </c>
    </row>
    <row r="877">
      <c r="A877" s="1" t="s">
        <v>2731</v>
      </c>
      <c r="B877" s="1" t="s">
        <v>2108</v>
      </c>
      <c r="C877" s="1" t="s">
        <v>2115</v>
      </c>
      <c r="D877" s="1">
        <v>245.0</v>
      </c>
      <c r="E877" s="1">
        <v>92.0</v>
      </c>
      <c r="F877" s="1">
        <v>75.0</v>
      </c>
      <c r="G877" s="1">
        <v>80.0</v>
      </c>
      <c r="H877" s="1">
        <v>85.0</v>
      </c>
      <c r="I877" s="1">
        <v>87.0</v>
      </c>
      <c r="J877" s="1">
        <v>71.0</v>
      </c>
      <c r="K877" s="1">
        <v>78.0</v>
      </c>
      <c r="L877" s="1">
        <v>61.0</v>
      </c>
      <c r="M877" s="1">
        <v>75.0</v>
      </c>
      <c r="N877" s="1">
        <v>67.0</v>
      </c>
      <c r="O877" s="1">
        <v>50.0</v>
      </c>
      <c r="P877" s="1">
        <v>76.0</v>
      </c>
      <c r="Q877" s="1">
        <v>71.0</v>
      </c>
      <c r="R877" s="1">
        <v>60.0</v>
      </c>
      <c r="S877" s="1">
        <v>84.0</v>
      </c>
      <c r="T877" s="1">
        <v>92.0</v>
      </c>
      <c r="U877" s="1">
        <v>80.0</v>
      </c>
      <c r="V877" s="1">
        <v>65.0</v>
      </c>
      <c r="W877" s="1">
        <v>60.0</v>
      </c>
      <c r="X877" s="1">
        <v>86.0</v>
      </c>
      <c r="Y877" s="1">
        <v>70.0</v>
      </c>
      <c r="Z877" s="1">
        <v>1.0</v>
      </c>
    </row>
    <row r="878">
      <c r="A878" s="1" t="s">
        <v>2732</v>
      </c>
      <c r="B878" s="1" t="s">
        <v>2108</v>
      </c>
      <c r="C878" s="1" t="s">
        <v>1534</v>
      </c>
      <c r="D878" s="1">
        <v>247.0</v>
      </c>
      <c r="E878" s="1">
        <v>84.0</v>
      </c>
      <c r="F878" s="1">
        <v>59.0</v>
      </c>
      <c r="G878" s="1">
        <v>63.0</v>
      </c>
      <c r="H878" s="1">
        <v>48.0</v>
      </c>
      <c r="I878" s="1">
        <v>87.0</v>
      </c>
      <c r="J878" s="1">
        <v>89.0</v>
      </c>
      <c r="K878" s="1">
        <v>83.0</v>
      </c>
      <c r="L878" s="1">
        <v>65.0</v>
      </c>
      <c r="M878" s="1">
        <v>85.0</v>
      </c>
      <c r="N878" s="1">
        <v>63.0</v>
      </c>
      <c r="O878" s="1">
        <v>68.0</v>
      </c>
      <c r="P878" s="1">
        <v>88.0</v>
      </c>
      <c r="Q878" s="1">
        <v>74.0</v>
      </c>
      <c r="R878" s="1">
        <v>44.0</v>
      </c>
      <c r="S878" s="1">
        <v>88.0</v>
      </c>
      <c r="T878" s="1">
        <v>67.0</v>
      </c>
      <c r="U878" s="1">
        <v>92.0</v>
      </c>
      <c r="V878" s="1">
        <v>70.0</v>
      </c>
      <c r="W878" s="1">
        <v>76.0</v>
      </c>
      <c r="X878" s="1">
        <v>86.0</v>
      </c>
      <c r="Y878" s="1">
        <v>83.0</v>
      </c>
      <c r="Z878" s="1">
        <v>1.0</v>
      </c>
    </row>
    <row r="879">
      <c r="A879" s="1" t="s">
        <v>1707</v>
      </c>
      <c r="B879" s="1" t="s">
        <v>2108</v>
      </c>
      <c r="C879" s="1" t="s">
        <v>2115</v>
      </c>
      <c r="D879" s="1" t="s">
        <v>2733</v>
      </c>
      <c r="E879" s="1" t="s">
        <v>113</v>
      </c>
      <c r="F879" s="1" t="s">
        <v>204</v>
      </c>
      <c r="G879" s="1">
        <v>87.0</v>
      </c>
      <c r="H879" s="1" t="s">
        <v>465</v>
      </c>
      <c r="I879" s="1" t="s">
        <v>1488</v>
      </c>
      <c r="J879" s="1" t="s">
        <v>424</v>
      </c>
      <c r="K879" s="1" t="s">
        <v>747</v>
      </c>
      <c r="L879" s="1" t="s">
        <v>1137</v>
      </c>
      <c r="M879" s="1" t="s">
        <v>614</v>
      </c>
      <c r="N879" s="1" t="s">
        <v>2022</v>
      </c>
      <c r="O879" s="1" t="s">
        <v>2734</v>
      </c>
      <c r="P879" s="1" t="s">
        <v>582</v>
      </c>
      <c r="Q879" s="1" t="s">
        <v>1627</v>
      </c>
      <c r="R879" s="1" t="s">
        <v>1069</v>
      </c>
      <c r="S879" s="1">
        <v>88.0</v>
      </c>
      <c r="T879" s="1" t="s">
        <v>1016</v>
      </c>
      <c r="U879" s="1">
        <v>80.0</v>
      </c>
      <c r="V879" s="1" t="s">
        <v>1313</v>
      </c>
      <c r="W879" s="1" t="s">
        <v>1710</v>
      </c>
      <c r="X879" s="1" t="s">
        <v>76</v>
      </c>
      <c r="Y879" s="1" t="s">
        <v>1147</v>
      </c>
      <c r="Z879" s="1">
        <v>1.0</v>
      </c>
    </row>
    <row r="880">
      <c r="A880" s="1" t="s">
        <v>1771</v>
      </c>
      <c r="B880" s="1" t="s">
        <v>2108</v>
      </c>
      <c r="C880" s="1" t="s">
        <v>2115</v>
      </c>
      <c r="D880" s="1">
        <v>230.0</v>
      </c>
      <c r="E880" s="1">
        <v>86.0</v>
      </c>
      <c r="F880" s="1">
        <v>80.0</v>
      </c>
      <c r="G880" s="1">
        <v>87.0</v>
      </c>
      <c r="H880" s="1">
        <v>72.0</v>
      </c>
      <c r="I880" s="1">
        <v>61.0</v>
      </c>
      <c r="J880" s="1">
        <v>85.0</v>
      </c>
      <c r="K880" s="1">
        <v>83.0</v>
      </c>
      <c r="L880" s="1">
        <v>77.0</v>
      </c>
      <c r="M880" s="1">
        <v>87.0</v>
      </c>
      <c r="N880" s="1">
        <v>70.0</v>
      </c>
      <c r="O880" s="1">
        <v>60.0</v>
      </c>
      <c r="P880" s="1">
        <v>85.0</v>
      </c>
      <c r="Q880" s="1">
        <v>70.0</v>
      </c>
      <c r="R880" s="1">
        <v>48.0</v>
      </c>
      <c r="S880" s="1">
        <v>78.0</v>
      </c>
      <c r="T880" s="1">
        <v>79.0</v>
      </c>
      <c r="U880" s="1">
        <v>85.0</v>
      </c>
      <c r="V880" s="1">
        <v>76.0</v>
      </c>
      <c r="W880" s="1">
        <v>67.0</v>
      </c>
      <c r="X880" s="1">
        <v>87.0</v>
      </c>
      <c r="Y880" s="1">
        <v>79.0</v>
      </c>
      <c r="Z880" s="1">
        <v>1.0</v>
      </c>
    </row>
    <row r="881">
      <c r="A881" s="1" t="s">
        <v>2735</v>
      </c>
      <c r="B881" s="1" t="s">
        <v>2108</v>
      </c>
      <c r="C881" s="1" t="s">
        <v>1534</v>
      </c>
      <c r="D881" s="1">
        <v>229.0</v>
      </c>
      <c r="E881" s="1">
        <v>66.0</v>
      </c>
      <c r="F881" s="1">
        <v>75.0</v>
      </c>
      <c r="G881" s="1">
        <v>80.0</v>
      </c>
      <c r="H881" s="1">
        <v>72.0</v>
      </c>
      <c r="I881" s="1">
        <v>70.0</v>
      </c>
      <c r="J881" s="1">
        <v>75.0</v>
      </c>
      <c r="K881" s="1">
        <v>83.0</v>
      </c>
      <c r="L881" s="1">
        <v>70.0</v>
      </c>
      <c r="M881" s="1">
        <v>87.0</v>
      </c>
      <c r="N881" s="1">
        <v>70.0</v>
      </c>
      <c r="O881" s="1">
        <v>61.0</v>
      </c>
      <c r="P881" s="1">
        <v>75.0</v>
      </c>
      <c r="Q881" s="1">
        <v>74.0</v>
      </c>
      <c r="R881" s="1">
        <v>78.0</v>
      </c>
      <c r="S881" s="1">
        <v>84.0</v>
      </c>
      <c r="T881" s="1">
        <v>78.0</v>
      </c>
      <c r="U881" s="1">
        <v>83.0</v>
      </c>
      <c r="V881" s="1">
        <v>82.0</v>
      </c>
      <c r="W881" s="1">
        <v>75.0</v>
      </c>
      <c r="X881" s="1">
        <v>88.0</v>
      </c>
      <c r="Y881" s="1">
        <v>70.0</v>
      </c>
      <c r="Z881" s="1">
        <v>1.0</v>
      </c>
    </row>
    <row r="882">
      <c r="A882" s="1" t="s">
        <v>2736</v>
      </c>
      <c r="B882" s="1" t="s">
        <v>2108</v>
      </c>
      <c r="C882" s="1" t="s">
        <v>1579</v>
      </c>
      <c r="D882" s="1">
        <v>230.0</v>
      </c>
      <c r="E882" s="1">
        <v>80.0</v>
      </c>
      <c r="F882" s="1">
        <v>85.0</v>
      </c>
      <c r="G882" s="1">
        <v>93.0</v>
      </c>
      <c r="H882" s="1">
        <v>92.0</v>
      </c>
      <c r="I882" s="1">
        <v>64.0</v>
      </c>
      <c r="J882" s="1">
        <v>65.0</v>
      </c>
      <c r="K882" s="1">
        <v>75.0</v>
      </c>
      <c r="L882" s="1">
        <v>81.0</v>
      </c>
      <c r="M882" s="1">
        <v>60.0</v>
      </c>
      <c r="N882" s="1">
        <v>77.0</v>
      </c>
      <c r="O882" s="1">
        <v>68.0</v>
      </c>
      <c r="P882" s="1">
        <v>70.0</v>
      </c>
      <c r="Q882" s="1">
        <v>50.0</v>
      </c>
      <c r="R882" s="1">
        <v>65.0</v>
      </c>
      <c r="S882" s="1">
        <v>70.0</v>
      </c>
      <c r="T882" s="1">
        <v>80.0</v>
      </c>
      <c r="U882" s="1">
        <v>70.0</v>
      </c>
      <c r="V882" s="1">
        <v>75.0</v>
      </c>
      <c r="W882" s="1">
        <v>72.0</v>
      </c>
      <c r="X882" s="1">
        <v>85.0</v>
      </c>
      <c r="Y882" s="1">
        <v>90.0</v>
      </c>
      <c r="Z882" s="1">
        <v>1.0</v>
      </c>
    </row>
    <row r="883">
      <c r="A883" s="1" t="s">
        <v>2737</v>
      </c>
      <c r="B883" s="1" t="s">
        <v>2108</v>
      </c>
      <c r="C883" s="1" t="s">
        <v>970</v>
      </c>
      <c r="D883" s="1">
        <v>258.0</v>
      </c>
      <c r="E883" s="1">
        <v>75.0</v>
      </c>
      <c r="F883" s="1">
        <v>60.0</v>
      </c>
      <c r="G883" s="1">
        <v>75.0</v>
      </c>
      <c r="H883" s="1">
        <v>90.0</v>
      </c>
      <c r="I883" s="1">
        <v>49.0</v>
      </c>
      <c r="J883" s="1">
        <v>89.0</v>
      </c>
      <c r="K883" s="1">
        <v>85.0</v>
      </c>
      <c r="L883" s="1">
        <v>64.0</v>
      </c>
      <c r="M883" s="1">
        <v>71.0</v>
      </c>
      <c r="N883" s="1">
        <v>75.0</v>
      </c>
      <c r="O883" s="1">
        <v>75.0</v>
      </c>
      <c r="P883" s="1">
        <v>70.0</v>
      </c>
      <c r="Q883" s="1">
        <v>74.0</v>
      </c>
      <c r="R883" s="1">
        <v>85.0</v>
      </c>
      <c r="S883" s="1">
        <v>52.0</v>
      </c>
      <c r="T883" s="1">
        <v>81.0</v>
      </c>
      <c r="U883" s="1">
        <v>92.0</v>
      </c>
      <c r="V883" s="1">
        <v>80.0</v>
      </c>
      <c r="W883" s="1">
        <v>71.0</v>
      </c>
      <c r="X883" s="1">
        <v>83.0</v>
      </c>
      <c r="Y883" s="1">
        <v>69.0</v>
      </c>
      <c r="Z883" s="1">
        <v>1.0</v>
      </c>
    </row>
    <row r="884">
      <c r="A884" s="1" t="s">
        <v>2738</v>
      </c>
      <c r="B884" s="1" t="s">
        <v>2108</v>
      </c>
      <c r="C884" s="1" t="s">
        <v>1754</v>
      </c>
      <c r="D884" s="1" t="s">
        <v>2739</v>
      </c>
      <c r="E884" s="1">
        <v>75.0</v>
      </c>
      <c r="F884" s="1">
        <v>74.0</v>
      </c>
      <c r="G884" s="1" t="s">
        <v>477</v>
      </c>
      <c r="H884" s="1" t="s">
        <v>255</v>
      </c>
      <c r="I884" s="1" t="s">
        <v>1297</v>
      </c>
      <c r="J884" s="1" t="s">
        <v>991</v>
      </c>
      <c r="K884" s="1" t="s">
        <v>548</v>
      </c>
      <c r="L884" s="1" t="s">
        <v>2584</v>
      </c>
      <c r="M884" s="1" t="s">
        <v>2740</v>
      </c>
      <c r="N884" s="1" t="s">
        <v>1965</v>
      </c>
      <c r="O884" s="1" t="s">
        <v>1909</v>
      </c>
      <c r="P884" s="1">
        <v>90.0</v>
      </c>
      <c r="Q884" s="1">
        <v>64.0</v>
      </c>
      <c r="R884" s="1" t="s">
        <v>1753</v>
      </c>
      <c r="S884" s="1" t="s">
        <v>1080</v>
      </c>
      <c r="T884" s="1" t="s">
        <v>595</v>
      </c>
      <c r="U884" s="1" t="s">
        <v>633</v>
      </c>
      <c r="V884" s="1" t="s">
        <v>205</v>
      </c>
      <c r="W884" s="1" t="s">
        <v>1292</v>
      </c>
      <c r="X884" s="1" t="s">
        <v>132</v>
      </c>
      <c r="Y884" s="1" t="s">
        <v>435</v>
      </c>
      <c r="Z884" s="1">
        <v>1.0</v>
      </c>
    </row>
    <row r="885">
      <c r="A885" s="1" t="s">
        <v>861</v>
      </c>
      <c r="B885" s="1" t="s">
        <v>2108</v>
      </c>
      <c r="C885" s="1" t="s">
        <v>1534</v>
      </c>
      <c r="D885" s="1">
        <v>234.0</v>
      </c>
      <c r="E885" s="1">
        <v>84.0</v>
      </c>
      <c r="F885" s="1">
        <v>90.0</v>
      </c>
      <c r="G885" s="1">
        <v>93.0</v>
      </c>
      <c r="H885" s="1">
        <v>59.0</v>
      </c>
      <c r="I885" s="1">
        <v>59.0</v>
      </c>
      <c r="J885" s="1">
        <v>91.0</v>
      </c>
      <c r="K885" s="1">
        <v>88.0</v>
      </c>
      <c r="L885" s="1">
        <v>66.0</v>
      </c>
      <c r="M885" s="1">
        <v>70.0</v>
      </c>
      <c r="N885" s="1">
        <v>80.0</v>
      </c>
      <c r="O885" s="1">
        <v>71.0</v>
      </c>
      <c r="P885" s="1">
        <v>74.0</v>
      </c>
      <c r="Q885" s="1">
        <v>59.0</v>
      </c>
      <c r="R885" s="1">
        <v>33.0</v>
      </c>
      <c r="S885" s="1">
        <v>49.0</v>
      </c>
      <c r="T885" s="1">
        <v>40.0</v>
      </c>
      <c r="U885" s="1">
        <v>56.0</v>
      </c>
      <c r="V885" s="1">
        <v>81.0</v>
      </c>
      <c r="W885" s="1">
        <v>78.0</v>
      </c>
      <c r="X885" s="1">
        <v>93.0</v>
      </c>
      <c r="Y885" s="1">
        <v>80.0</v>
      </c>
      <c r="Z885" s="1">
        <v>1.0</v>
      </c>
    </row>
    <row r="886">
      <c r="A886" s="1" t="s">
        <v>2741</v>
      </c>
      <c r="B886" s="1" t="s">
        <v>2108</v>
      </c>
      <c r="C886" s="1" t="s">
        <v>970</v>
      </c>
      <c r="D886" s="1">
        <v>231.0</v>
      </c>
      <c r="E886" s="1">
        <v>63.0</v>
      </c>
      <c r="F886" s="1">
        <v>47.0</v>
      </c>
      <c r="G886" s="1">
        <v>65.0</v>
      </c>
      <c r="H886" s="1">
        <v>70.0</v>
      </c>
      <c r="I886" s="1">
        <v>26.0</v>
      </c>
      <c r="J886" s="1">
        <v>71.0</v>
      </c>
      <c r="K886" s="1">
        <v>81.0</v>
      </c>
      <c r="L886" s="1">
        <v>57.0</v>
      </c>
      <c r="M886" s="1">
        <v>70.0</v>
      </c>
      <c r="N886" s="1">
        <v>50.0</v>
      </c>
      <c r="O886" s="1">
        <v>55.0</v>
      </c>
      <c r="P886" s="1">
        <v>77.0</v>
      </c>
      <c r="Q886" s="1">
        <v>74.0</v>
      </c>
      <c r="R886" s="1">
        <v>94.0</v>
      </c>
      <c r="S886" s="1">
        <v>94.0</v>
      </c>
      <c r="T886" s="1">
        <v>67.0</v>
      </c>
      <c r="U886" s="1">
        <v>92.0</v>
      </c>
      <c r="V886" s="1">
        <v>85.0</v>
      </c>
      <c r="W886" s="1">
        <v>80.0</v>
      </c>
      <c r="X886" s="1">
        <v>57.0</v>
      </c>
      <c r="Y886" s="1">
        <v>80.0</v>
      </c>
      <c r="Z886" s="1">
        <v>1.0</v>
      </c>
    </row>
    <row r="887">
      <c r="A887" s="1" t="s">
        <v>560</v>
      </c>
      <c r="B887" s="1" t="s">
        <v>2108</v>
      </c>
      <c r="C887" s="1" t="s">
        <v>2115</v>
      </c>
      <c r="D887" s="1">
        <v>233.0</v>
      </c>
      <c r="E887" s="1">
        <v>88.0</v>
      </c>
      <c r="F887" s="1">
        <v>91.0</v>
      </c>
      <c r="G887" s="1">
        <v>87.0</v>
      </c>
      <c r="H887" s="1">
        <v>79.0</v>
      </c>
      <c r="I887" s="1">
        <v>90.0</v>
      </c>
      <c r="J887" s="1">
        <v>88.0</v>
      </c>
      <c r="K887" s="1">
        <v>87.0</v>
      </c>
      <c r="L887" s="1">
        <v>93.0</v>
      </c>
      <c r="M887" s="1">
        <v>73.0</v>
      </c>
      <c r="N887" s="1">
        <v>73.0</v>
      </c>
      <c r="O887" s="1">
        <v>63.0</v>
      </c>
      <c r="P887" s="1">
        <v>76.0</v>
      </c>
      <c r="Q887" s="1">
        <v>73.0</v>
      </c>
      <c r="R887" s="1">
        <v>69.0</v>
      </c>
      <c r="S887" s="1">
        <v>72.0</v>
      </c>
      <c r="T887" s="1">
        <v>53.0</v>
      </c>
      <c r="U887" s="1">
        <v>75.0</v>
      </c>
      <c r="V887" s="1">
        <v>74.0</v>
      </c>
      <c r="W887" s="1">
        <v>66.0</v>
      </c>
      <c r="X887" s="1">
        <v>80.0</v>
      </c>
      <c r="Y887" s="1">
        <v>80.0</v>
      </c>
      <c r="Z887" s="1">
        <v>1.0</v>
      </c>
    </row>
    <row r="888">
      <c r="A888" s="1" t="s">
        <v>2742</v>
      </c>
      <c r="B888" s="1" t="s">
        <v>2108</v>
      </c>
      <c r="C888" s="1" t="s">
        <v>2115</v>
      </c>
      <c r="D888" s="1">
        <v>222.0</v>
      </c>
      <c r="E888" s="1">
        <v>81.0</v>
      </c>
      <c r="F888" s="1">
        <v>80.0</v>
      </c>
      <c r="G888" s="1">
        <v>87.0</v>
      </c>
      <c r="H888" s="1">
        <v>81.0</v>
      </c>
      <c r="I888" s="1">
        <v>86.0</v>
      </c>
      <c r="J888" s="1">
        <v>85.0</v>
      </c>
      <c r="K888" s="1">
        <v>90.0</v>
      </c>
      <c r="L888" s="1">
        <v>65.0</v>
      </c>
      <c r="M888" s="1">
        <v>55.0</v>
      </c>
      <c r="N888" s="1">
        <v>75.0</v>
      </c>
      <c r="O888" s="1">
        <v>66.0</v>
      </c>
      <c r="P888" s="1">
        <v>88.0</v>
      </c>
      <c r="Q888" s="1">
        <v>75.0</v>
      </c>
      <c r="R888" s="1">
        <v>48.0</v>
      </c>
      <c r="S888" s="1">
        <v>79.0</v>
      </c>
      <c r="T888" s="1">
        <v>58.0</v>
      </c>
      <c r="U888" s="1">
        <v>83.0</v>
      </c>
      <c r="V888" s="1">
        <v>77.0</v>
      </c>
      <c r="W888" s="1">
        <v>70.0</v>
      </c>
      <c r="X888" s="1">
        <v>88.0</v>
      </c>
      <c r="Y888" s="1">
        <v>75.0</v>
      </c>
      <c r="Z888" s="1">
        <v>1.0</v>
      </c>
    </row>
    <row r="889">
      <c r="A889" s="1" t="s">
        <v>2743</v>
      </c>
      <c r="B889" s="1" t="s">
        <v>2108</v>
      </c>
      <c r="C889" s="1" t="s">
        <v>2115</v>
      </c>
      <c r="D889" s="1">
        <v>248.0</v>
      </c>
      <c r="E889" s="1">
        <v>75.0</v>
      </c>
      <c r="F889" s="1">
        <v>71.0</v>
      </c>
      <c r="G889" s="1">
        <v>88.0</v>
      </c>
      <c r="H889" s="1">
        <v>90.0</v>
      </c>
      <c r="I889" s="1">
        <v>70.0</v>
      </c>
      <c r="J889" s="1">
        <v>80.0</v>
      </c>
      <c r="K889" s="1">
        <v>80.0</v>
      </c>
      <c r="L889" s="1">
        <v>55.0</v>
      </c>
      <c r="M889" s="1">
        <v>71.0</v>
      </c>
      <c r="N889" s="1">
        <v>54.0</v>
      </c>
      <c r="O889" s="1">
        <v>59.0</v>
      </c>
      <c r="P889" s="1">
        <v>91.0</v>
      </c>
      <c r="Q889" s="1">
        <v>44.0</v>
      </c>
      <c r="R889" s="1">
        <v>47.0</v>
      </c>
      <c r="S889" s="1">
        <v>84.0</v>
      </c>
      <c r="T889" s="1">
        <v>71.0</v>
      </c>
      <c r="U889" s="1">
        <v>93.0</v>
      </c>
      <c r="V889" s="1">
        <v>73.0</v>
      </c>
      <c r="W889" s="1">
        <v>62.0</v>
      </c>
      <c r="X889" s="1">
        <v>88.0</v>
      </c>
      <c r="Y889" s="1">
        <v>81.0</v>
      </c>
      <c r="Z889" s="1">
        <v>1.0</v>
      </c>
    </row>
    <row r="890">
      <c r="A890" s="1" t="s">
        <v>2744</v>
      </c>
      <c r="B890" s="1" t="s">
        <v>2108</v>
      </c>
      <c r="C890" s="1" t="s">
        <v>2327</v>
      </c>
      <c r="D890" s="1">
        <v>215.0</v>
      </c>
      <c r="E890" s="1">
        <v>89.0</v>
      </c>
      <c r="F890" s="1">
        <v>73.0</v>
      </c>
      <c r="G890" s="1">
        <v>89.0</v>
      </c>
      <c r="H890" s="1">
        <v>90.0</v>
      </c>
      <c r="I890" s="1">
        <v>79.0</v>
      </c>
      <c r="J890" s="1">
        <v>80.0</v>
      </c>
      <c r="K890" s="1">
        <v>78.0</v>
      </c>
      <c r="L890" s="1">
        <v>61.0</v>
      </c>
      <c r="M890" s="1">
        <v>43.0</v>
      </c>
      <c r="N890" s="1">
        <v>67.0</v>
      </c>
      <c r="O890" s="1">
        <v>65.0</v>
      </c>
      <c r="P890" s="1">
        <v>80.0</v>
      </c>
      <c r="Q890" s="1">
        <v>69.0</v>
      </c>
      <c r="R890" s="1">
        <v>39.0</v>
      </c>
      <c r="S890" s="1">
        <v>92.0</v>
      </c>
      <c r="T890" s="1">
        <v>84.0</v>
      </c>
      <c r="U890" s="1">
        <v>90.0</v>
      </c>
      <c r="V890" s="1">
        <v>76.0</v>
      </c>
      <c r="W890" s="1">
        <v>68.0</v>
      </c>
      <c r="X890" s="1">
        <v>73.0</v>
      </c>
      <c r="Y890" s="1">
        <v>79.0</v>
      </c>
      <c r="Z890" s="1">
        <v>1.0</v>
      </c>
    </row>
    <row r="891">
      <c r="A891" s="1" t="s">
        <v>2745</v>
      </c>
      <c r="B891" s="1" t="s">
        <v>2108</v>
      </c>
      <c r="C891" s="1" t="s">
        <v>1534</v>
      </c>
      <c r="D891" s="1">
        <v>248.0</v>
      </c>
      <c r="E891" s="1">
        <v>75.0</v>
      </c>
      <c r="F891" s="1">
        <v>80.0</v>
      </c>
      <c r="G891" s="1">
        <v>80.0</v>
      </c>
      <c r="H891" s="1">
        <v>56.0</v>
      </c>
      <c r="I891" s="1">
        <v>58.0</v>
      </c>
      <c r="J891" s="1">
        <v>70.0</v>
      </c>
      <c r="K891" s="1">
        <v>75.0</v>
      </c>
      <c r="L891" s="1">
        <v>71.0</v>
      </c>
      <c r="M891" s="1">
        <v>70.0</v>
      </c>
      <c r="N891" s="1">
        <v>60.0</v>
      </c>
      <c r="O891" s="1">
        <v>64.0</v>
      </c>
      <c r="P891" s="1">
        <v>80.0</v>
      </c>
      <c r="Q891" s="1">
        <v>80.0</v>
      </c>
      <c r="R891" s="1">
        <v>75.0</v>
      </c>
      <c r="S891" s="1">
        <v>80.0</v>
      </c>
      <c r="T891" s="1">
        <v>85.0</v>
      </c>
      <c r="U891" s="1">
        <v>80.0</v>
      </c>
      <c r="V891" s="1">
        <v>80.0</v>
      </c>
      <c r="W891" s="1">
        <v>65.0</v>
      </c>
      <c r="X891" s="1">
        <v>93.0</v>
      </c>
      <c r="Y891" s="1">
        <v>90.0</v>
      </c>
      <c r="Z891" s="1">
        <v>1.0</v>
      </c>
    </row>
    <row r="892">
      <c r="A892" s="1" t="s">
        <v>215</v>
      </c>
      <c r="B892" s="1" t="s">
        <v>2108</v>
      </c>
      <c r="C892" s="1" t="s">
        <v>1579</v>
      </c>
      <c r="D892" s="1">
        <v>248.0</v>
      </c>
      <c r="E892" s="1">
        <v>78.0</v>
      </c>
      <c r="F892" s="1">
        <v>88.0</v>
      </c>
      <c r="G892" s="1">
        <v>89.0</v>
      </c>
      <c r="H892" s="1">
        <v>60.0</v>
      </c>
      <c r="I892" s="1">
        <v>77.0</v>
      </c>
      <c r="J892" s="1">
        <v>81.0</v>
      </c>
      <c r="K892" s="1">
        <v>91.0</v>
      </c>
      <c r="L892" s="1">
        <v>66.0</v>
      </c>
      <c r="M892" s="1">
        <v>75.0</v>
      </c>
      <c r="N892" s="1">
        <v>78.0</v>
      </c>
      <c r="O892" s="1">
        <v>66.0</v>
      </c>
      <c r="P892" s="1">
        <v>85.0</v>
      </c>
      <c r="Q892" s="1">
        <v>50.0</v>
      </c>
      <c r="R892" s="1">
        <v>55.0</v>
      </c>
      <c r="S892" s="1">
        <v>74.0</v>
      </c>
      <c r="T892" s="1">
        <v>85.0</v>
      </c>
      <c r="U892" s="1">
        <v>76.0</v>
      </c>
      <c r="V892" s="1">
        <v>74.0</v>
      </c>
      <c r="W892" s="1">
        <v>68.0</v>
      </c>
      <c r="X892" s="1">
        <v>90.0</v>
      </c>
      <c r="Y892" s="1">
        <v>75.0</v>
      </c>
      <c r="Z892" s="1">
        <v>1.0</v>
      </c>
    </row>
    <row r="893">
      <c r="A893" s="1" t="s">
        <v>2061</v>
      </c>
      <c r="B893" s="1" t="s">
        <v>2108</v>
      </c>
      <c r="C893" s="1" t="s">
        <v>1534</v>
      </c>
      <c r="D893" s="1">
        <v>248.0</v>
      </c>
      <c r="E893" s="1">
        <v>79.0</v>
      </c>
      <c r="F893" s="1">
        <v>81.0</v>
      </c>
      <c r="G893" s="1">
        <v>99.0</v>
      </c>
      <c r="H893" s="1">
        <v>72.0</v>
      </c>
      <c r="I893" s="1">
        <v>61.0</v>
      </c>
      <c r="J893" s="1">
        <v>66.0</v>
      </c>
      <c r="K893" s="1">
        <v>76.0</v>
      </c>
      <c r="L893" s="1">
        <v>77.0</v>
      </c>
      <c r="M893" s="1">
        <v>65.0</v>
      </c>
      <c r="N893" s="1">
        <v>75.0</v>
      </c>
      <c r="O893" s="1">
        <v>64.0</v>
      </c>
      <c r="P893" s="1">
        <v>79.0</v>
      </c>
      <c r="Q893" s="1">
        <v>61.0</v>
      </c>
      <c r="R893" s="1">
        <v>45.0</v>
      </c>
      <c r="S893" s="1">
        <v>72.0</v>
      </c>
      <c r="T893" s="1">
        <v>64.0</v>
      </c>
      <c r="U893" s="1">
        <v>76.0</v>
      </c>
      <c r="V893" s="1">
        <v>70.0</v>
      </c>
      <c r="W893" s="1">
        <v>72.0</v>
      </c>
      <c r="X893" s="1">
        <v>90.0</v>
      </c>
      <c r="Y893" s="1">
        <v>90.0</v>
      </c>
      <c r="Z893" s="1">
        <v>1.0</v>
      </c>
    </row>
    <row r="894">
      <c r="A894" s="1" t="s">
        <v>2067</v>
      </c>
      <c r="B894" s="1" t="s">
        <v>2108</v>
      </c>
      <c r="C894" s="1" t="s">
        <v>2115</v>
      </c>
      <c r="D894" s="1">
        <v>251.0</v>
      </c>
      <c r="E894" s="1">
        <v>77.0</v>
      </c>
      <c r="F894" s="1">
        <v>75.0</v>
      </c>
      <c r="G894" s="1">
        <v>89.0</v>
      </c>
      <c r="H894" s="1">
        <v>72.0</v>
      </c>
      <c r="I894" s="1">
        <v>61.0</v>
      </c>
      <c r="J894" s="1">
        <v>82.0</v>
      </c>
      <c r="K894" s="1">
        <v>80.0</v>
      </c>
      <c r="L894" s="1">
        <v>60.0</v>
      </c>
      <c r="M894" s="1">
        <v>71.0</v>
      </c>
      <c r="N894" s="1">
        <v>52.0</v>
      </c>
      <c r="O894" s="1">
        <v>34.0</v>
      </c>
      <c r="P894" s="1">
        <v>88.0</v>
      </c>
      <c r="Q894" s="1">
        <v>42.0</v>
      </c>
      <c r="R894" s="1">
        <v>76.0</v>
      </c>
      <c r="S894" s="1">
        <v>88.0</v>
      </c>
      <c r="T894" s="1">
        <v>92.0</v>
      </c>
      <c r="U894" s="1">
        <v>83.0</v>
      </c>
      <c r="V894" s="1">
        <v>71.0</v>
      </c>
      <c r="W894" s="1">
        <v>61.0</v>
      </c>
      <c r="X894" s="1">
        <v>91.0</v>
      </c>
      <c r="Y894" s="1">
        <v>80.0</v>
      </c>
      <c r="Z894" s="1">
        <v>1.0</v>
      </c>
    </row>
    <row r="895">
      <c r="A895" s="1" t="s">
        <v>2746</v>
      </c>
      <c r="B895" s="1" t="s">
        <v>2108</v>
      </c>
      <c r="C895" s="1" t="s">
        <v>1534</v>
      </c>
      <c r="D895" s="1">
        <v>254.0</v>
      </c>
      <c r="E895" s="1">
        <v>73.0</v>
      </c>
      <c r="F895" s="1">
        <v>60.0</v>
      </c>
      <c r="G895" s="1">
        <v>70.0</v>
      </c>
      <c r="H895" s="1">
        <v>70.0</v>
      </c>
      <c r="I895" s="1">
        <v>56.0</v>
      </c>
      <c r="J895" s="1">
        <v>70.0</v>
      </c>
      <c r="K895" s="1">
        <v>80.0</v>
      </c>
      <c r="L895" s="1">
        <v>70.0</v>
      </c>
      <c r="M895" s="1">
        <v>71.0</v>
      </c>
      <c r="N895" s="1">
        <v>45.0</v>
      </c>
      <c r="O895" s="1">
        <v>50.0</v>
      </c>
      <c r="P895" s="1">
        <v>74.0</v>
      </c>
      <c r="Q895" s="1">
        <v>74.0</v>
      </c>
      <c r="R895" s="1">
        <v>72.0</v>
      </c>
      <c r="S895" s="1">
        <v>78.0</v>
      </c>
      <c r="T895" s="1">
        <v>80.0</v>
      </c>
      <c r="U895" s="1">
        <v>95.0</v>
      </c>
      <c r="V895" s="1">
        <v>80.0</v>
      </c>
      <c r="W895" s="1">
        <v>74.0</v>
      </c>
      <c r="X895" s="1">
        <v>91.0</v>
      </c>
      <c r="Y895" s="1">
        <v>85.0</v>
      </c>
      <c r="Z895" s="1">
        <v>1.0</v>
      </c>
    </row>
    <row r="896">
      <c r="A896" s="1" t="s">
        <v>1324</v>
      </c>
      <c r="B896" s="1" t="s">
        <v>2108</v>
      </c>
      <c r="C896" s="1" t="s">
        <v>1534</v>
      </c>
      <c r="D896" s="1">
        <v>242.0</v>
      </c>
      <c r="E896" s="1">
        <v>66.0</v>
      </c>
      <c r="F896" s="1">
        <v>65.0</v>
      </c>
      <c r="G896" s="1">
        <v>85.0</v>
      </c>
      <c r="H896" s="1">
        <v>50.0</v>
      </c>
      <c r="I896" s="1">
        <v>48.0</v>
      </c>
      <c r="J896" s="1">
        <v>70.0</v>
      </c>
      <c r="K896" s="1">
        <v>80.0</v>
      </c>
      <c r="L896" s="1">
        <v>80.0</v>
      </c>
      <c r="M896" s="1">
        <v>70.0</v>
      </c>
      <c r="N896" s="1">
        <v>75.0</v>
      </c>
      <c r="O896" s="1">
        <v>55.0</v>
      </c>
      <c r="P896" s="1">
        <v>70.0</v>
      </c>
      <c r="Q896" s="1">
        <v>85.0</v>
      </c>
      <c r="R896" s="1">
        <v>85.0</v>
      </c>
      <c r="S896" s="1">
        <v>84.0</v>
      </c>
      <c r="T896" s="1">
        <v>80.0</v>
      </c>
      <c r="U896" s="1">
        <v>92.0</v>
      </c>
      <c r="V896" s="1">
        <v>81.0</v>
      </c>
      <c r="W896" s="1">
        <v>76.0</v>
      </c>
      <c r="X896" s="1">
        <v>83.0</v>
      </c>
      <c r="Y896" s="1">
        <v>80.0</v>
      </c>
      <c r="Z896" s="1">
        <v>1.0</v>
      </c>
    </row>
    <row r="897">
      <c r="A897" s="1" t="s">
        <v>2747</v>
      </c>
      <c r="B897" s="1" t="s">
        <v>2108</v>
      </c>
      <c r="C897" s="1" t="s">
        <v>1534</v>
      </c>
      <c r="D897" s="1">
        <v>248.0</v>
      </c>
      <c r="E897" s="1">
        <v>76.0</v>
      </c>
      <c r="F897" s="1">
        <v>54.0</v>
      </c>
      <c r="G897" s="1">
        <v>73.0</v>
      </c>
      <c r="H897" s="1">
        <v>38.0</v>
      </c>
      <c r="I897" s="1">
        <v>65.0</v>
      </c>
      <c r="J897" s="1">
        <v>82.0</v>
      </c>
      <c r="K897" s="1">
        <v>80.0</v>
      </c>
      <c r="L897" s="1">
        <v>60.0</v>
      </c>
      <c r="M897" s="1">
        <v>89.0</v>
      </c>
      <c r="N897" s="1">
        <v>65.0</v>
      </c>
      <c r="O897" s="1">
        <v>70.0</v>
      </c>
      <c r="P897" s="1">
        <v>72.0</v>
      </c>
      <c r="Q897" s="1">
        <v>85.0</v>
      </c>
      <c r="R897" s="1">
        <v>73.0</v>
      </c>
      <c r="S897" s="1">
        <v>56.0</v>
      </c>
      <c r="T897" s="1">
        <v>90.0</v>
      </c>
      <c r="U897" s="1">
        <v>96.0</v>
      </c>
      <c r="V897" s="1">
        <v>80.0</v>
      </c>
      <c r="W897" s="1">
        <v>75.0</v>
      </c>
      <c r="X897" s="1">
        <v>91.0</v>
      </c>
      <c r="Y897" s="1">
        <v>70.0</v>
      </c>
      <c r="Z897" s="1">
        <v>1.0</v>
      </c>
    </row>
    <row r="898">
      <c r="A898" s="1" t="s">
        <v>2748</v>
      </c>
      <c r="B898" s="1" t="s">
        <v>2108</v>
      </c>
      <c r="C898" s="1" t="s">
        <v>1534</v>
      </c>
      <c r="D898" s="1">
        <v>210.0</v>
      </c>
      <c r="E898" s="1">
        <v>79.0</v>
      </c>
      <c r="F898" s="1">
        <v>74.0</v>
      </c>
      <c r="G898" s="1">
        <v>94.0</v>
      </c>
      <c r="H898" s="1">
        <v>90.0</v>
      </c>
      <c r="I898" s="1">
        <v>50.0</v>
      </c>
      <c r="J898" s="1">
        <v>83.0</v>
      </c>
      <c r="K898" s="1">
        <v>80.0</v>
      </c>
      <c r="L898" s="1">
        <v>58.0</v>
      </c>
      <c r="M898" s="1">
        <v>90.0</v>
      </c>
      <c r="N898" s="1">
        <v>80.0</v>
      </c>
      <c r="O898" s="1">
        <v>73.0</v>
      </c>
      <c r="P898" s="1">
        <v>66.0</v>
      </c>
      <c r="Q898" s="1">
        <v>81.0</v>
      </c>
      <c r="R898" s="1">
        <v>51.0</v>
      </c>
      <c r="S898" s="1">
        <v>51.0</v>
      </c>
      <c r="T898" s="1">
        <v>83.0</v>
      </c>
      <c r="U898" s="1">
        <v>91.0</v>
      </c>
      <c r="V898" s="1">
        <v>73.0</v>
      </c>
      <c r="W898" s="1">
        <v>61.0</v>
      </c>
      <c r="X898" s="1">
        <v>59.0</v>
      </c>
      <c r="Y898" s="1">
        <v>81.0</v>
      </c>
      <c r="Z898" s="1">
        <v>1.0</v>
      </c>
    </row>
    <row r="899">
      <c r="A899" s="1" t="s">
        <v>2749</v>
      </c>
      <c r="B899" s="1" t="s">
        <v>2108</v>
      </c>
      <c r="C899" s="1" t="s">
        <v>1534</v>
      </c>
      <c r="D899" s="1">
        <v>222.0</v>
      </c>
      <c r="E899" s="1">
        <v>80.0</v>
      </c>
      <c r="F899" s="1">
        <v>77.0</v>
      </c>
      <c r="G899" s="1">
        <v>90.0</v>
      </c>
      <c r="H899" s="1">
        <v>55.0</v>
      </c>
      <c r="I899" s="1">
        <v>70.0</v>
      </c>
      <c r="J899" s="1">
        <v>88.0</v>
      </c>
      <c r="K899" s="1">
        <v>80.0</v>
      </c>
      <c r="L899" s="1">
        <v>77.0</v>
      </c>
      <c r="M899" s="1">
        <v>70.0</v>
      </c>
      <c r="N899" s="1">
        <v>80.0</v>
      </c>
      <c r="O899" s="1">
        <v>72.0</v>
      </c>
      <c r="P899" s="1">
        <v>80.0</v>
      </c>
      <c r="Q899" s="1">
        <v>75.0</v>
      </c>
      <c r="R899" s="1">
        <v>60.0</v>
      </c>
      <c r="S899" s="1">
        <v>85.0</v>
      </c>
      <c r="T899" s="1">
        <v>80.0</v>
      </c>
      <c r="U899" s="1">
        <v>80.0</v>
      </c>
      <c r="V899" s="1">
        <v>82.0</v>
      </c>
      <c r="W899" s="1">
        <v>80.0</v>
      </c>
      <c r="X899" s="1">
        <v>70.0</v>
      </c>
      <c r="Y899" s="1">
        <v>80.0</v>
      </c>
      <c r="Z899" s="1">
        <v>1.0</v>
      </c>
    </row>
    <row r="900">
      <c r="A900" s="1" t="s">
        <v>2750</v>
      </c>
      <c r="B900" s="1" t="s">
        <v>2108</v>
      </c>
      <c r="C900" s="1" t="s">
        <v>970</v>
      </c>
      <c r="D900" s="1">
        <v>217.0</v>
      </c>
      <c r="E900" s="1">
        <v>78.0</v>
      </c>
      <c r="F900" s="1">
        <v>60.0</v>
      </c>
      <c r="G900" s="1">
        <v>78.0</v>
      </c>
      <c r="H900" s="1">
        <v>72.0</v>
      </c>
      <c r="I900" s="1">
        <v>43.0</v>
      </c>
      <c r="J900" s="1">
        <v>87.0</v>
      </c>
      <c r="K900" s="1">
        <v>83.0</v>
      </c>
      <c r="L900" s="1">
        <v>70.0</v>
      </c>
      <c r="M900" s="1">
        <v>75.0</v>
      </c>
      <c r="N900" s="1">
        <v>75.0</v>
      </c>
      <c r="O900" s="1">
        <v>77.0</v>
      </c>
      <c r="P900" s="1">
        <v>82.0</v>
      </c>
      <c r="Q900" s="1">
        <v>75.0</v>
      </c>
      <c r="R900" s="1">
        <v>85.0</v>
      </c>
      <c r="S900" s="1">
        <v>86.0</v>
      </c>
      <c r="T900" s="1">
        <v>57.0</v>
      </c>
      <c r="U900" s="1">
        <v>81.0</v>
      </c>
      <c r="V900" s="1">
        <v>80.0</v>
      </c>
      <c r="W900" s="1">
        <v>75.0</v>
      </c>
      <c r="X900" s="1">
        <v>78.0</v>
      </c>
      <c r="Y900" s="1">
        <v>77.0</v>
      </c>
      <c r="Z900" s="1">
        <v>1.0</v>
      </c>
    </row>
    <row r="901">
      <c r="A901" s="1" t="s">
        <v>2751</v>
      </c>
      <c r="B901" s="1" t="s">
        <v>2108</v>
      </c>
      <c r="C901" s="1" t="s">
        <v>970</v>
      </c>
      <c r="D901" s="1">
        <v>249.0</v>
      </c>
      <c r="E901" s="1">
        <v>69.0</v>
      </c>
      <c r="F901" s="1">
        <v>50.0</v>
      </c>
      <c r="G901" s="1">
        <v>70.0</v>
      </c>
      <c r="H901" s="1">
        <v>50.0</v>
      </c>
      <c r="I901" s="1">
        <v>51.0</v>
      </c>
      <c r="J901" s="1">
        <v>71.0</v>
      </c>
      <c r="K901" s="1">
        <v>81.0</v>
      </c>
      <c r="L901" s="1">
        <v>56.0</v>
      </c>
      <c r="M901" s="1">
        <v>76.0</v>
      </c>
      <c r="N901" s="1">
        <v>56.0</v>
      </c>
      <c r="O901" s="1">
        <v>56.0</v>
      </c>
      <c r="P901" s="1">
        <v>74.0</v>
      </c>
      <c r="Q901" s="1">
        <v>83.0</v>
      </c>
      <c r="R901" s="1">
        <v>85.0</v>
      </c>
      <c r="S901" s="1">
        <v>78.0</v>
      </c>
      <c r="T901" s="1">
        <v>84.0</v>
      </c>
      <c r="U901" s="1">
        <v>94.0</v>
      </c>
      <c r="V901" s="1">
        <v>84.0</v>
      </c>
      <c r="W901" s="1">
        <v>78.0</v>
      </c>
      <c r="X901" s="1">
        <v>84.0</v>
      </c>
      <c r="Y901" s="1">
        <v>84.0</v>
      </c>
      <c r="Z901" s="1">
        <v>1.0</v>
      </c>
    </row>
    <row r="902">
      <c r="A902" s="1" t="s">
        <v>2752</v>
      </c>
      <c r="B902" s="1" t="s">
        <v>2108</v>
      </c>
      <c r="C902" s="1" t="s">
        <v>1534</v>
      </c>
      <c r="D902" s="1">
        <v>250.0</v>
      </c>
      <c r="E902" s="1">
        <v>76.0</v>
      </c>
      <c r="F902" s="1">
        <v>76.0</v>
      </c>
      <c r="G902" s="1">
        <v>80.0</v>
      </c>
      <c r="H902" s="1">
        <v>80.0</v>
      </c>
      <c r="I902" s="1">
        <v>47.0</v>
      </c>
      <c r="J902" s="1">
        <v>74.0</v>
      </c>
      <c r="K902" s="1">
        <v>84.0</v>
      </c>
      <c r="L902" s="1">
        <v>59.0</v>
      </c>
      <c r="M902" s="1">
        <v>75.0</v>
      </c>
      <c r="N902" s="1">
        <v>56.0</v>
      </c>
      <c r="O902" s="1">
        <v>54.0</v>
      </c>
      <c r="P902" s="1">
        <v>71.0</v>
      </c>
      <c r="Q902" s="1">
        <v>55.0</v>
      </c>
      <c r="R902" s="1">
        <v>75.0</v>
      </c>
      <c r="S902" s="1">
        <v>80.0</v>
      </c>
      <c r="T902" s="1">
        <v>80.0</v>
      </c>
      <c r="U902" s="1">
        <v>96.0</v>
      </c>
      <c r="V902" s="1">
        <v>80.0</v>
      </c>
      <c r="W902" s="1">
        <v>65.0</v>
      </c>
      <c r="X902" s="1">
        <v>82.0</v>
      </c>
      <c r="Y902" s="1">
        <v>85.0</v>
      </c>
      <c r="Z902" s="1">
        <v>1.0</v>
      </c>
    </row>
    <row r="903">
      <c r="A903" s="1" t="s">
        <v>1429</v>
      </c>
      <c r="B903" s="1" t="s">
        <v>2108</v>
      </c>
      <c r="C903" s="1" t="s">
        <v>1534</v>
      </c>
      <c r="D903" s="1">
        <v>230.0</v>
      </c>
      <c r="E903" s="1">
        <v>78.0</v>
      </c>
      <c r="F903" s="1">
        <v>72.0</v>
      </c>
      <c r="G903" s="1">
        <v>92.0</v>
      </c>
      <c r="H903" s="1">
        <v>93.0</v>
      </c>
      <c r="I903" s="1">
        <v>61.0</v>
      </c>
      <c r="J903" s="1">
        <v>75.0</v>
      </c>
      <c r="K903" s="1">
        <v>85.0</v>
      </c>
      <c r="L903" s="1">
        <v>95.0</v>
      </c>
      <c r="M903" s="1">
        <v>55.0</v>
      </c>
      <c r="N903" s="1">
        <v>80.0</v>
      </c>
      <c r="O903" s="1">
        <v>71.0</v>
      </c>
      <c r="P903" s="1">
        <v>76.0</v>
      </c>
      <c r="Q903" s="1">
        <v>52.0</v>
      </c>
      <c r="R903" s="1">
        <v>59.0</v>
      </c>
      <c r="S903" s="1">
        <v>83.0</v>
      </c>
      <c r="T903" s="1">
        <v>36.0</v>
      </c>
      <c r="U903" s="1">
        <v>61.0</v>
      </c>
      <c r="V903" s="1">
        <v>81.0</v>
      </c>
      <c r="W903" s="1">
        <v>76.0</v>
      </c>
      <c r="X903" s="1">
        <v>96.0</v>
      </c>
      <c r="Y903" s="1">
        <v>78.0</v>
      </c>
      <c r="Z903" s="1">
        <v>1.0</v>
      </c>
    </row>
    <row r="904">
      <c r="A904" s="1" t="s">
        <v>2753</v>
      </c>
      <c r="B904" s="1" t="s">
        <v>2108</v>
      </c>
      <c r="C904" s="1" t="s">
        <v>1534</v>
      </c>
      <c r="D904" s="1">
        <v>248.0</v>
      </c>
      <c r="E904" s="1">
        <v>81.0</v>
      </c>
      <c r="F904" s="1">
        <v>60.0</v>
      </c>
      <c r="G904" s="1">
        <v>73.0</v>
      </c>
      <c r="H904" s="1">
        <v>81.0</v>
      </c>
      <c r="I904" s="1">
        <v>54.0</v>
      </c>
      <c r="J904" s="1">
        <v>72.0</v>
      </c>
      <c r="K904" s="1">
        <v>82.0</v>
      </c>
      <c r="L904" s="1">
        <v>88.0</v>
      </c>
      <c r="M904" s="1">
        <v>82.0</v>
      </c>
      <c r="N904" s="1">
        <v>52.0</v>
      </c>
      <c r="O904" s="1">
        <v>45.0</v>
      </c>
      <c r="P904" s="1">
        <v>78.0</v>
      </c>
      <c r="Q904" s="1">
        <v>62.0</v>
      </c>
      <c r="R904" s="1">
        <v>85.0</v>
      </c>
      <c r="S904" s="1">
        <v>78.0</v>
      </c>
      <c r="T904" s="1">
        <v>96.0</v>
      </c>
      <c r="U904" s="1">
        <v>84.0</v>
      </c>
      <c r="V904" s="1">
        <v>75.0</v>
      </c>
      <c r="W904" s="1">
        <v>65.0</v>
      </c>
      <c r="X904" s="1">
        <v>83.0</v>
      </c>
      <c r="Y904" s="1">
        <v>77.0</v>
      </c>
      <c r="Z904" s="1">
        <v>1.0</v>
      </c>
    </row>
    <row r="905">
      <c r="A905" s="1" t="s">
        <v>2754</v>
      </c>
      <c r="B905" s="1" t="s">
        <v>2108</v>
      </c>
      <c r="C905" s="1" t="s">
        <v>2115</v>
      </c>
      <c r="D905" s="1" t="s">
        <v>2325</v>
      </c>
      <c r="E905" s="1" t="s">
        <v>103</v>
      </c>
      <c r="F905" s="1" t="s">
        <v>843</v>
      </c>
      <c r="G905" s="1" t="s">
        <v>625</v>
      </c>
      <c r="H905" s="1" t="s">
        <v>410</v>
      </c>
      <c r="I905" s="1" t="s">
        <v>731</v>
      </c>
      <c r="J905" s="1" t="s">
        <v>495</v>
      </c>
      <c r="K905" s="1" t="s">
        <v>1346</v>
      </c>
      <c r="L905" s="1" t="s">
        <v>724</v>
      </c>
      <c r="M905" s="1" t="s">
        <v>36</v>
      </c>
      <c r="N905" s="1" t="s">
        <v>204</v>
      </c>
      <c r="O905" s="1" t="s">
        <v>2734</v>
      </c>
      <c r="P905" s="1">
        <v>85.0</v>
      </c>
      <c r="Q905" s="1" t="s">
        <v>2149</v>
      </c>
      <c r="R905" s="1" t="s">
        <v>1133</v>
      </c>
      <c r="S905" s="1" t="s">
        <v>731</v>
      </c>
      <c r="T905" s="1" t="s">
        <v>490</v>
      </c>
      <c r="U905" s="1">
        <v>80.0</v>
      </c>
      <c r="V905" s="1" t="s">
        <v>730</v>
      </c>
      <c r="W905" s="1" t="s">
        <v>1217</v>
      </c>
      <c r="X905" s="1" t="s">
        <v>504</v>
      </c>
      <c r="Y905" s="1" t="s">
        <v>404</v>
      </c>
      <c r="Z905" s="1">
        <v>1.0</v>
      </c>
    </row>
    <row r="906">
      <c r="A906" s="1" t="s">
        <v>2755</v>
      </c>
      <c r="B906" s="1" t="s">
        <v>2108</v>
      </c>
      <c r="C906" s="1" t="s">
        <v>970</v>
      </c>
      <c r="D906" s="1">
        <v>230.0</v>
      </c>
      <c r="E906" s="1">
        <v>71.0</v>
      </c>
      <c r="F906" s="1">
        <v>80.0</v>
      </c>
      <c r="G906" s="1">
        <v>80.0</v>
      </c>
      <c r="H906" s="1">
        <v>50.0</v>
      </c>
      <c r="I906" s="1">
        <v>50.0</v>
      </c>
      <c r="J906" s="1">
        <v>86.0</v>
      </c>
      <c r="K906" s="1">
        <v>81.0</v>
      </c>
      <c r="L906" s="1">
        <v>61.0</v>
      </c>
      <c r="M906" s="1">
        <v>75.0</v>
      </c>
      <c r="N906" s="1">
        <v>57.0</v>
      </c>
      <c r="O906" s="1">
        <v>61.0</v>
      </c>
      <c r="P906" s="1">
        <v>75.0</v>
      </c>
      <c r="Q906" s="1">
        <v>85.0</v>
      </c>
      <c r="R906" s="1">
        <v>57.0</v>
      </c>
      <c r="S906" s="1">
        <v>84.0</v>
      </c>
      <c r="T906" s="1">
        <v>85.0</v>
      </c>
      <c r="U906" s="1">
        <v>92.0</v>
      </c>
      <c r="V906" s="1">
        <v>85.0</v>
      </c>
      <c r="W906" s="1">
        <v>80.0</v>
      </c>
      <c r="X906" s="1">
        <v>80.0</v>
      </c>
      <c r="Y906" s="1">
        <v>83.0</v>
      </c>
      <c r="Z906" s="1">
        <v>1.0</v>
      </c>
    </row>
    <row r="907">
      <c r="A907" s="1" t="s">
        <v>2756</v>
      </c>
      <c r="B907" s="1" t="s">
        <v>2108</v>
      </c>
      <c r="C907" s="1" t="s">
        <v>192</v>
      </c>
      <c r="D907" s="1">
        <v>263.0</v>
      </c>
      <c r="E907" s="1">
        <v>72.0</v>
      </c>
      <c r="F907" s="1">
        <v>58.0</v>
      </c>
      <c r="G907" s="1">
        <v>65.0</v>
      </c>
      <c r="H907" s="1">
        <v>75.0</v>
      </c>
      <c r="I907" s="1">
        <v>57.0</v>
      </c>
      <c r="J907" s="1">
        <v>86.0</v>
      </c>
      <c r="K907" s="1">
        <v>79.0</v>
      </c>
      <c r="L907" s="1">
        <v>75.0</v>
      </c>
      <c r="M907" s="1">
        <v>82.0</v>
      </c>
      <c r="N907" s="1">
        <v>72.0</v>
      </c>
      <c r="O907" s="1">
        <v>59.0</v>
      </c>
      <c r="P907" s="1">
        <v>90.0</v>
      </c>
      <c r="Q907" s="1">
        <v>60.0</v>
      </c>
      <c r="R907" s="1">
        <v>85.0</v>
      </c>
      <c r="S907" s="1">
        <v>84.0</v>
      </c>
      <c r="T907" s="1">
        <v>81.0</v>
      </c>
      <c r="U907" s="1">
        <v>92.0</v>
      </c>
      <c r="V907" s="1">
        <v>81.0</v>
      </c>
      <c r="W907" s="1">
        <v>78.0</v>
      </c>
      <c r="X907" s="1">
        <v>91.0</v>
      </c>
      <c r="Y907" s="1">
        <v>80.0</v>
      </c>
      <c r="Z907" s="1">
        <v>1.0</v>
      </c>
    </row>
    <row r="908">
      <c r="A908" s="1" t="s">
        <v>1451</v>
      </c>
      <c r="B908" s="1" t="s">
        <v>2108</v>
      </c>
      <c r="C908" s="1" t="s">
        <v>1579</v>
      </c>
      <c r="D908" s="1">
        <v>225.0</v>
      </c>
      <c r="E908" s="1">
        <v>84.0</v>
      </c>
      <c r="F908" s="1">
        <v>75.0</v>
      </c>
      <c r="G908" s="1">
        <v>75.0</v>
      </c>
      <c r="H908" s="1">
        <v>85.0</v>
      </c>
      <c r="I908" s="1">
        <v>87.0</v>
      </c>
      <c r="J908" s="1">
        <v>85.0</v>
      </c>
      <c r="K908" s="1">
        <v>80.0</v>
      </c>
      <c r="L908" s="1">
        <v>86.0</v>
      </c>
      <c r="M908" s="1">
        <v>71.0</v>
      </c>
      <c r="N908" s="1">
        <v>75.0</v>
      </c>
      <c r="O908" s="1">
        <v>69.0</v>
      </c>
      <c r="P908" s="1">
        <v>82.0</v>
      </c>
      <c r="Q908" s="1">
        <v>62.0</v>
      </c>
      <c r="R908" s="1">
        <v>40.0</v>
      </c>
      <c r="S908" s="1">
        <v>84.0</v>
      </c>
      <c r="T908" s="1">
        <v>78.0</v>
      </c>
      <c r="U908" s="1">
        <v>85.0</v>
      </c>
      <c r="V908" s="1">
        <v>74.0</v>
      </c>
      <c r="W908" s="1">
        <v>73.0</v>
      </c>
      <c r="X908" s="1">
        <v>78.0</v>
      </c>
      <c r="Y908" s="1">
        <v>74.0</v>
      </c>
      <c r="Z908" s="1">
        <v>1.0</v>
      </c>
    </row>
    <row r="909">
      <c r="A909" s="1" t="s">
        <v>2757</v>
      </c>
      <c r="B909" s="1" t="s">
        <v>2108</v>
      </c>
      <c r="C909" s="1" t="s">
        <v>1579</v>
      </c>
      <c r="D909" s="1">
        <v>248.0</v>
      </c>
      <c r="E909" s="1">
        <v>84.0</v>
      </c>
      <c r="F909" s="1">
        <v>81.0</v>
      </c>
      <c r="G909" s="1">
        <v>86.0</v>
      </c>
      <c r="H909" s="1">
        <v>81.0</v>
      </c>
      <c r="I909" s="1">
        <v>87.0</v>
      </c>
      <c r="J909" s="1">
        <v>80.0</v>
      </c>
      <c r="K909" s="1">
        <v>80.0</v>
      </c>
      <c r="L909" s="1">
        <v>57.0</v>
      </c>
      <c r="M909" s="1">
        <v>53.0</v>
      </c>
      <c r="N909" s="1">
        <v>71.0</v>
      </c>
      <c r="O909" s="1">
        <v>66.0</v>
      </c>
      <c r="P909" s="1">
        <v>76.0</v>
      </c>
      <c r="Q909" s="1">
        <v>76.0</v>
      </c>
      <c r="R909" s="1">
        <v>46.0</v>
      </c>
      <c r="S909" s="1">
        <v>75.0</v>
      </c>
      <c r="T909" s="1">
        <v>92.0</v>
      </c>
      <c r="U909" s="1">
        <v>92.0</v>
      </c>
      <c r="V909" s="1">
        <v>72.0</v>
      </c>
      <c r="W909" s="1">
        <v>60.0</v>
      </c>
      <c r="X909" s="1">
        <v>75.0</v>
      </c>
      <c r="Y909" s="1">
        <v>75.0</v>
      </c>
      <c r="Z909" s="1">
        <v>1.0</v>
      </c>
    </row>
    <row r="910">
      <c r="A910" s="1" t="s">
        <v>2758</v>
      </c>
      <c r="B910" s="1" t="s">
        <v>2108</v>
      </c>
      <c r="C910" s="1" t="s">
        <v>2115</v>
      </c>
      <c r="D910" s="1">
        <v>225.0</v>
      </c>
      <c r="E910" s="1">
        <v>78.0</v>
      </c>
      <c r="F910" s="1">
        <v>80.0</v>
      </c>
      <c r="G910" s="1">
        <v>88.0</v>
      </c>
      <c r="H910" s="1">
        <v>80.0</v>
      </c>
      <c r="I910" s="1">
        <v>65.0</v>
      </c>
      <c r="J910" s="1">
        <v>83.0</v>
      </c>
      <c r="K910" s="1">
        <v>81.0</v>
      </c>
      <c r="L910" s="1">
        <v>78.0</v>
      </c>
      <c r="M910" s="1">
        <v>86.0</v>
      </c>
      <c r="N910" s="1">
        <v>74.0</v>
      </c>
      <c r="O910" s="1">
        <v>65.0</v>
      </c>
      <c r="P910" s="1">
        <v>83.0</v>
      </c>
      <c r="Q910" s="1">
        <v>63.0</v>
      </c>
      <c r="R910" s="1">
        <v>69.0</v>
      </c>
      <c r="S910" s="1">
        <v>90.0</v>
      </c>
      <c r="T910" s="1">
        <v>84.0</v>
      </c>
      <c r="U910" s="1">
        <v>84.0</v>
      </c>
      <c r="V910" s="1">
        <v>76.0</v>
      </c>
      <c r="W910" s="1">
        <v>61.0</v>
      </c>
      <c r="X910" s="1">
        <v>69.0</v>
      </c>
      <c r="Y910" s="1">
        <v>77.0</v>
      </c>
      <c r="Z910" s="1">
        <v>1.0</v>
      </c>
    </row>
    <row r="911">
      <c r="A911" s="1" t="s">
        <v>1222</v>
      </c>
      <c r="B911" s="1" t="s">
        <v>2108</v>
      </c>
      <c r="C911" s="1" t="s">
        <v>2115</v>
      </c>
      <c r="D911" s="1">
        <v>213.0</v>
      </c>
      <c r="E911" s="1">
        <v>85.0</v>
      </c>
      <c r="F911" s="1">
        <v>90.0</v>
      </c>
      <c r="G911" s="1">
        <v>89.0</v>
      </c>
      <c r="H911" s="1">
        <v>72.0</v>
      </c>
      <c r="I911" s="1">
        <v>77.0</v>
      </c>
      <c r="J911" s="1">
        <v>89.0</v>
      </c>
      <c r="K911" s="1">
        <v>80.0</v>
      </c>
      <c r="L911" s="1">
        <v>82.0</v>
      </c>
      <c r="M911" s="1">
        <v>80.0</v>
      </c>
      <c r="N911" s="1">
        <v>74.0</v>
      </c>
      <c r="O911" s="1">
        <v>68.0</v>
      </c>
      <c r="P911" s="1">
        <v>82.0</v>
      </c>
      <c r="Q911" s="1">
        <v>71.0</v>
      </c>
      <c r="R911" s="1">
        <v>67.0</v>
      </c>
      <c r="S911" s="1">
        <v>84.0</v>
      </c>
      <c r="T911" s="1">
        <v>60.0</v>
      </c>
      <c r="U911" s="1">
        <v>85.0</v>
      </c>
      <c r="V911" s="1">
        <v>79.0</v>
      </c>
      <c r="W911" s="1">
        <v>72.0</v>
      </c>
      <c r="X911" s="1">
        <v>79.0</v>
      </c>
      <c r="Y911" s="1">
        <v>78.0</v>
      </c>
      <c r="Z911" s="1">
        <v>1.0</v>
      </c>
    </row>
    <row r="912">
      <c r="A912" s="1" t="s">
        <v>2759</v>
      </c>
      <c r="B912" s="1" t="s">
        <v>2108</v>
      </c>
      <c r="C912" s="1" t="s">
        <v>2327</v>
      </c>
      <c r="D912" s="1">
        <v>215.0</v>
      </c>
      <c r="E912" s="1">
        <v>88.0</v>
      </c>
      <c r="F912" s="1">
        <v>77.0</v>
      </c>
      <c r="G912" s="1">
        <v>75.0</v>
      </c>
      <c r="H912" s="1">
        <v>81.0</v>
      </c>
      <c r="I912" s="1">
        <v>87.0</v>
      </c>
      <c r="J912" s="1">
        <v>93.0</v>
      </c>
      <c r="K912" s="1">
        <v>85.0</v>
      </c>
      <c r="L912" s="1">
        <v>89.0</v>
      </c>
      <c r="M912" s="1">
        <v>87.0</v>
      </c>
      <c r="N912" s="1">
        <v>74.0</v>
      </c>
      <c r="O912" s="1">
        <v>65.0</v>
      </c>
      <c r="P912" s="1">
        <v>77.0</v>
      </c>
      <c r="Q912" s="1">
        <v>69.0</v>
      </c>
      <c r="R912" s="1">
        <v>60.0</v>
      </c>
      <c r="S912" s="1">
        <v>88.0</v>
      </c>
      <c r="T912" s="1">
        <v>55.0</v>
      </c>
      <c r="U912" s="1">
        <v>80.0</v>
      </c>
      <c r="V912" s="1">
        <v>76.0</v>
      </c>
      <c r="W912" s="1">
        <v>68.0</v>
      </c>
      <c r="X912" s="1">
        <v>72.0</v>
      </c>
      <c r="Y912" s="1">
        <v>83.0</v>
      </c>
      <c r="Z912" s="1">
        <v>1.0</v>
      </c>
    </row>
    <row r="913">
      <c r="A913" s="1" t="s">
        <v>2760</v>
      </c>
      <c r="B913" s="1" t="s">
        <v>2108</v>
      </c>
      <c r="C913" s="1" t="s">
        <v>2115</v>
      </c>
      <c r="D913" s="1">
        <v>257.0</v>
      </c>
      <c r="E913" s="1">
        <v>84.0</v>
      </c>
      <c r="F913" s="1">
        <v>80.0</v>
      </c>
      <c r="G913" s="1">
        <v>73.0</v>
      </c>
      <c r="H913" s="1">
        <v>81.0</v>
      </c>
      <c r="I913" s="1">
        <v>79.0</v>
      </c>
      <c r="J913" s="1">
        <v>85.0</v>
      </c>
      <c r="K913" s="1">
        <v>80.0</v>
      </c>
      <c r="L913" s="1">
        <v>68.0</v>
      </c>
      <c r="M913" s="1">
        <v>87.0</v>
      </c>
      <c r="N913" s="1">
        <v>52.0</v>
      </c>
      <c r="O913" s="1">
        <v>32.0</v>
      </c>
      <c r="P913" s="1">
        <v>88.0</v>
      </c>
      <c r="Q913" s="1">
        <v>41.0</v>
      </c>
      <c r="R913" s="1">
        <v>43.0</v>
      </c>
      <c r="S913" s="1">
        <v>58.0</v>
      </c>
      <c r="T913" s="1">
        <v>99.0</v>
      </c>
      <c r="U913" s="1">
        <v>85.0</v>
      </c>
      <c r="V913" s="1">
        <v>71.0</v>
      </c>
      <c r="W913" s="1">
        <v>60.0</v>
      </c>
      <c r="X913" s="1">
        <v>79.0</v>
      </c>
      <c r="Y913" s="1">
        <v>74.0</v>
      </c>
      <c r="Z913" s="1">
        <v>1.0</v>
      </c>
    </row>
    <row r="914">
      <c r="A914" s="1" t="s">
        <v>2761</v>
      </c>
      <c r="B914" s="1" t="s">
        <v>2108</v>
      </c>
      <c r="C914" s="1" t="s">
        <v>2327</v>
      </c>
      <c r="D914" s="1">
        <v>240.0</v>
      </c>
      <c r="E914" s="1">
        <v>84.0</v>
      </c>
      <c r="F914" s="1">
        <v>80.0</v>
      </c>
      <c r="G914" s="1">
        <v>80.0</v>
      </c>
      <c r="H914" s="1">
        <v>85.0</v>
      </c>
      <c r="I914" s="1">
        <v>59.0</v>
      </c>
      <c r="J914" s="1">
        <v>71.0</v>
      </c>
      <c r="K914" s="1">
        <v>78.0</v>
      </c>
      <c r="L914" s="1">
        <v>80.0</v>
      </c>
      <c r="M914" s="1">
        <v>78.0</v>
      </c>
      <c r="N914" s="1">
        <v>56.0</v>
      </c>
      <c r="O914" s="1">
        <v>52.0</v>
      </c>
      <c r="P914" s="1">
        <v>92.0</v>
      </c>
      <c r="Q914" s="1">
        <v>66.0</v>
      </c>
      <c r="R914" s="1">
        <v>61.0</v>
      </c>
      <c r="S914" s="1">
        <v>86.0</v>
      </c>
      <c r="T914" s="1">
        <v>86.0</v>
      </c>
      <c r="U914" s="1">
        <v>89.0</v>
      </c>
      <c r="V914" s="1">
        <v>71.0</v>
      </c>
      <c r="W914" s="1">
        <v>60.0</v>
      </c>
      <c r="X914" s="1">
        <v>84.0</v>
      </c>
      <c r="Y914" s="1">
        <v>80.0</v>
      </c>
      <c r="Z914" s="1">
        <v>1.0</v>
      </c>
    </row>
    <row r="915">
      <c r="A915" s="1" t="s">
        <v>2762</v>
      </c>
      <c r="B915" s="1" t="s">
        <v>2108</v>
      </c>
      <c r="C915" s="1" t="s">
        <v>2115</v>
      </c>
      <c r="D915" s="1">
        <v>248.0</v>
      </c>
      <c r="E915" s="1">
        <v>88.0</v>
      </c>
      <c r="F915" s="1">
        <v>93.0</v>
      </c>
      <c r="G915" s="1">
        <v>88.0</v>
      </c>
      <c r="H915" s="1">
        <v>72.0</v>
      </c>
      <c r="I915" s="1">
        <v>87.0</v>
      </c>
      <c r="J915" s="1">
        <v>90.0</v>
      </c>
      <c r="K915" s="1">
        <v>87.0</v>
      </c>
      <c r="L915" s="1">
        <v>66.0</v>
      </c>
      <c r="M915" s="1">
        <v>76.0</v>
      </c>
      <c r="N915" s="1">
        <v>73.0</v>
      </c>
      <c r="O915" s="1">
        <v>62.0</v>
      </c>
      <c r="P915" s="1">
        <v>72.0</v>
      </c>
      <c r="Q915" s="1">
        <v>71.0</v>
      </c>
      <c r="R915" s="1">
        <v>60.0</v>
      </c>
      <c r="S915" s="1">
        <v>84.0</v>
      </c>
      <c r="T915" s="1">
        <v>70.0</v>
      </c>
      <c r="U915" s="1">
        <v>85.0</v>
      </c>
      <c r="V915" s="1">
        <v>73.0</v>
      </c>
      <c r="W915" s="1">
        <v>62.0</v>
      </c>
      <c r="X915" s="1">
        <v>75.0</v>
      </c>
      <c r="Y915" s="1">
        <v>72.0</v>
      </c>
      <c r="Z915" s="1">
        <v>1.0</v>
      </c>
    </row>
    <row r="916">
      <c r="A916" s="1" t="s">
        <v>2763</v>
      </c>
      <c r="B916" s="1" t="s">
        <v>2108</v>
      </c>
      <c r="C916" s="1" t="s">
        <v>2115</v>
      </c>
      <c r="D916" s="1">
        <v>233.0</v>
      </c>
      <c r="E916" s="1">
        <v>83.0</v>
      </c>
      <c r="F916" s="1">
        <v>80.0</v>
      </c>
      <c r="G916" s="1">
        <v>92.0</v>
      </c>
      <c r="H916" s="1">
        <v>81.0</v>
      </c>
      <c r="I916" s="1">
        <v>87.0</v>
      </c>
      <c r="J916" s="1">
        <v>70.0</v>
      </c>
      <c r="K916" s="1">
        <v>80.0</v>
      </c>
      <c r="L916" s="1">
        <v>60.0</v>
      </c>
      <c r="M916" s="1">
        <v>76.0</v>
      </c>
      <c r="N916" s="1">
        <v>67.0</v>
      </c>
      <c r="O916" s="1">
        <v>50.0</v>
      </c>
      <c r="P916" s="1">
        <v>85.0</v>
      </c>
      <c r="Q916" s="1">
        <v>46.0</v>
      </c>
      <c r="R916" s="1">
        <v>40.0</v>
      </c>
      <c r="S916" s="1">
        <v>88.0</v>
      </c>
      <c r="T916" s="1">
        <v>92.0</v>
      </c>
      <c r="U916" s="1">
        <v>77.0</v>
      </c>
      <c r="V916" s="1">
        <v>70.0</v>
      </c>
      <c r="W916" s="1">
        <v>60.0</v>
      </c>
      <c r="X916" s="1">
        <v>79.0</v>
      </c>
      <c r="Y916" s="1">
        <v>80.0</v>
      </c>
      <c r="Z916" s="1">
        <v>1.0</v>
      </c>
    </row>
    <row r="917">
      <c r="A917" s="1" t="s">
        <v>2764</v>
      </c>
      <c r="B917" s="1" t="s">
        <v>2108</v>
      </c>
      <c r="C917" s="1" t="s">
        <v>2327</v>
      </c>
      <c r="D917" s="1">
        <v>240.0</v>
      </c>
      <c r="E917" s="1">
        <v>82.0</v>
      </c>
      <c r="F917" s="1">
        <v>73.0</v>
      </c>
      <c r="G917" s="1">
        <v>80.0</v>
      </c>
      <c r="H917" s="1">
        <v>93.0</v>
      </c>
      <c r="I917" s="1">
        <v>87.0</v>
      </c>
      <c r="J917" s="1">
        <v>78.0</v>
      </c>
      <c r="K917" s="1">
        <v>81.0</v>
      </c>
      <c r="L917" s="1">
        <v>59.0</v>
      </c>
      <c r="M917" s="1">
        <v>79.0</v>
      </c>
      <c r="N917" s="1">
        <v>60.0</v>
      </c>
      <c r="O917" s="1">
        <v>60.0</v>
      </c>
      <c r="P917" s="1">
        <v>80.0</v>
      </c>
      <c r="Q917" s="1">
        <v>38.0</v>
      </c>
      <c r="R917" s="1">
        <v>45.0</v>
      </c>
      <c r="S917" s="1">
        <v>80.0</v>
      </c>
      <c r="T917" s="1">
        <v>80.0</v>
      </c>
      <c r="U917" s="1">
        <v>95.0</v>
      </c>
      <c r="V917" s="1">
        <v>65.0</v>
      </c>
      <c r="W917" s="1">
        <v>50.0</v>
      </c>
      <c r="X917" s="1">
        <v>90.0</v>
      </c>
      <c r="Y917" s="1">
        <v>72.0</v>
      </c>
      <c r="Z917" s="1">
        <v>1.0</v>
      </c>
    </row>
    <row r="918">
      <c r="A918" s="1" t="s">
        <v>2765</v>
      </c>
      <c r="B918" s="1" t="s">
        <v>2108</v>
      </c>
      <c r="C918" s="1" t="s">
        <v>1534</v>
      </c>
      <c r="D918" s="1">
        <v>232.0</v>
      </c>
      <c r="E918" s="1">
        <v>76.0</v>
      </c>
      <c r="F918" s="1">
        <v>81.0</v>
      </c>
      <c r="G918" s="1">
        <v>89.0</v>
      </c>
      <c r="H918" s="1">
        <v>56.0</v>
      </c>
      <c r="I918" s="1">
        <v>55.0</v>
      </c>
      <c r="J918" s="1">
        <v>70.0</v>
      </c>
      <c r="K918" s="1">
        <v>80.0</v>
      </c>
      <c r="L918" s="1">
        <v>70.0</v>
      </c>
      <c r="M918" s="1">
        <v>65.0</v>
      </c>
      <c r="N918" s="1">
        <v>80.0</v>
      </c>
      <c r="O918" s="1">
        <v>71.0</v>
      </c>
      <c r="P918" s="1">
        <v>77.0</v>
      </c>
      <c r="Q918" s="1">
        <v>50.0</v>
      </c>
      <c r="R918" s="1">
        <v>69.0</v>
      </c>
      <c r="S918" s="1">
        <v>80.0</v>
      </c>
      <c r="T918" s="1">
        <v>85.0</v>
      </c>
      <c r="U918" s="1">
        <v>90.0</v>
      </c>
      <c r="V918" s="1">
        <v>80.0</v>
      </c>
      <c r="W918" s="1">
        <v>76.0</v>
      </c>
      <c r="X918" s="1">
        <v>86.0</v>
      </c>
      <c r="Y918" s="1">
        <v>88.0</v>
      </c>
      <c r="Z918" s="1">
        <v>1.0</v>
      </c>
    </row>
    <row r="919">
      <c r="A919" s="1" t="s">
        <v>2766</v>
      </c>
      <c r="B919" s="1" t="s">
        <v>2108</v>
      </c>
      <c r="C919" s="1" t="s">
        <v>1579</v>
      </c>
      <c r="D919" s="1">
        <v>227.0</v>
      </c>
      <c r="E919" s="1">
        <v>80.0</v>
      </c>
      <c r="F919" s="1">
        <v>80.0</v>
      </c>
      <c r="G919" s="1">
        <v>93.0</v>
      </c>
      <c r="H919" s="1">
        <v>83.0</v>
      </c>
      <c r="I919" s="1">
        <v>55.0</v>
      </c>
      <c r="J919" s="1">
        <v>76.0</v>
      </c>
      <c r="K919" s="1">
        <v>80.0</v>
      </c>
      <c r="L919" s="1">
        <v>71.0</v>
      </c>
      <c r="M919" s="1">
        <v>70.0</v>
      </c>
      <c r="N919" s="1">
        <v>78.0</v>
      </c>
      <c r="O919" s="1">
        <v>68.0</v>
      </c>
      <c r="P919" s="1">
        <v>82.0</v>
      </c>
      <c r="Q919" s="1">
        <v>81.0</v>
      </c>
      <c r="R919" s="1">
        <v>51.0</v>
      </c>
      <c r="S919" s="1">
        <v>56.0</v>
      </c>
      <c r="T919" s="1">
        <v>72.0</v>
      </c>
      <c r="U919" s="1">
        <v>79.0</v>
      </c>
      <c r="V919" s="1">
        <v>78.0</v>
      </c>
      <c r="W919" s="1">
        <v>72.0</v>
      </c>
      <c r="X919" s="1">
        <v>84.0</v>
      </c>
      <c r="Y919" s="1">
        <v>89.0</v>
      </c>
      <c r="Z919" s="1">
        <v>1.0</v>
      </c>
    </row>
    <row r="920">
      <c r="A920" s="1" t="s">
        <v>2767</v>
      </c>
      <c r="B920" s="1" t="s">
        <v>2108</v>
      </c>
      <c r="C920" s="1" t="s">
        <v>1534</v>
      </c>
      <c r="D920" s="1">
        <v>248.0</v>
      </c>
      <c r="E920" s="1">
        <v>78.0</v>
      </c>
      <c r="F920" s="1">
        <v>80.0</v>
      </c>
      <c r="G920" s="1">
        <v>87.0</v>
      </c>
      <c r="H920" s="1">
        <v>81.0</v>
      </c>
      <c r="I920" s="1">
        <v>55.0</v>
      </c>
      <c r="J920" s="1">
        <v>79.0</v>
      </c>
      <c r="K920" s="1">
        <v>89.0</v>
      </c>
      <c r="L920" s="1">
        <v>72.0</v>
      </c>
      <c r="M920" s="1">
        <v>76.0</v>
      </c>
      <c r="N920" s="1">
        <v>75.0</v>
      </c>
      <c r="O920" s="1">
        <v>68.0</v>
      </c>
      <c r="P920" s="1">
        <v>74.0</v>
      </c>
      <c r="Q920" s="1">
        <v>71.0</v>
      </c>
      <c r="R920" s="1">
        <v>73.0</v>
      </c>
      <c r="S920" s="1">
        <v>74.0</v>
      </c>
      <c r="T920" s="1">
        <v>70.0</v>
      </c>
      <c r="U920" s="1">
        <v>85.0</v>
      </c>
      <c r="V920" s="1">
        <v>78.0</v>
      </c>
      <c r="W920" s="1">
        <v>74.0</v>
      </c>
      <c r="X920" s="1">
        <v>75.0</v>
      </c>
      <c r="Y920" s="1">
        <v>88.0</v>
      </c>
      <c r="Z920" s="1">
        <v>1.0</v>
      </c>
    </row>
    <row r="921">
      <c r="A921" s="1" t="s">
        <v>2768</v>
      </c>
      <c r="B921" s="1" t="s">
        <v>2108</v>
      </c>
      <c r="C921" s="1" t="s">
        <v>2115</v>
      </c>
      <c r="D921" s="1">
        <v>212.0</v>
      </c>
      <c r="E921" s="1">
        <v>72.0</v>
      </c>
      <c r="F921" s="1">
        <v>69.0</v>
      </c>
      <c r="G921" s="1">
        <v>89.0</v>
      </c>
      <c r="H921" s="1">
        <v>78.0</v>
      </c>
      <c r="I921" s="1">
        <v>53.0</v>
      </c>
      <c r="J921" s="1">
        <v>75.0</v>
      </c>
      <c r="K921" s="1">
        <v>80.0</v>
      </c>
      <c r="L921" s="1">
        <v>55.0</v>
      </c>
      <c r="M921" s="1">
        <v>76.0</v>
      </c>
      <c r="N921" s="1">
        <v>60.0</v>
      </c>
      <c r="O921" s="1">
        <v>50.0</v>
      </c>
      <c r="P921" s="1">
        <v>89.0</v>
      </c>
      <c r="Q921" s="1">
        <v>71.0</v>
      </c>
      <c r="R921" s="1">
        <v>67.0</v>
      </c>
      <c r="S921" s="1">
        <v>94.0</v>
      </c>
      <c r="T921" s="1">
        <v>72.0</v>
      </c>
      <c r="U921" s="1">
        <v>89.0</v>
      </c>
      <c r="V921" s="1">
        <v>79.0</v>
      </c>
      <c r="W921" s="1">
        <v>73.0</v>
      </c>
      <c r="X921" s="1">
        <v>72.0</v>
      </c>
      <c r="Y921" s="1">
        <v>88.0</v>
      </c>
      <c r="Z921" s="1">
        <v>1.0</v>
      </c>
    </row>
    <row r="922">
      <c r="A922" s="1" t="s">
        <v>2769</v>
      </c>
      <c r="B922" s="1" t="s">
        <v>2770</v>
      </c>
      <c r="C922" s="1" t="s">
        <v>2327</v>
      </c>
      <c r="D922" s="1" t="s">
        <v>2771</v>
      </c>
      <c r="E922" s="1" t="s">
        <v>221</v>
      </c>
      <c r="F922" s="1" t="s">
        <v>2262</v>
      </c>
      <c r="G922" s="1">
        <v>75.0</v>
      </c>
      <c r="H922" s="1" t="s">
        <v>597</v>
      </c>
      <c r="I922" s="1" t="s">
        <v>1219</v>
      </c>
      <c r="J922" s="1" t="s">
        <v>66</v>
      </c>
      <c r="K922" s="1" t="s">
        <v>1546</v>
      </c>
      <c r="L922" s="1">
        <v>70.0</v>
      </c>
      <c r="M922" s="1">
        <v>87.0</v>
      </c>
      <c r="N922" s="1">
        <v>52.0</v>
      </c>
      <c r="O922" s="1" t="s">
        <v>2772</v>
      </c>
      <c r="P922" s="1" t="s">
        <v>582</v>
      </c>
      <c r="Q922" s="1" t="s">
        <v>203</v>
      </c>
      <c r="R922" s="1" t="s">
        <v>84</v>
      </c>
      <c r="S922" s="1" t="s">
        <v>716</v>
      </c>
      <c r="T922" s="1" t="s">
        <v>1201</v>
      </c>
      <c r="U922" s="1">
        <v>82.0</v>
      </c>
      <c r="V922" s="1" t="s">
        <v>2123</v>
      </c>
      <c r="W922" s="1" t="s">
        <v>2393</v>
      </c>
      <c r="X922" s="1" t="s">
        <v>1374</v>
      </c>
      <c r="Y922" s="1" t="s">
        <v>548</v>
      </c>
      <c r="Z922" s="1">
        <v>1.0</v>
      </c>
    </row>
    <row r="923">
      <c r="A923" s="1" t="s">
        <v>2574</v>
      </c>
      <c r="B923" s="1" t="s">
        <v>2770</v>
      </c>
      <c r="C923" s="1" t="s">
        <v>2773</v>
      </c>
      <c r="D923" s="1" t="s">
        <v>2774</v>
      </c>
      <c r="E923" s="1" t="s">
        <v>1072</v>
      </c>
      <c r="F923" s="1" t="s">
        <v>437</v>
      </c>
      <c r="G923" s="1" t="s">
        <v>1744</v>
      </c>
      <c r="H923" s="1" t="s">
        <v>420</v>
      </c>
      <c r="I923" s="1" t="s">
        <v>428</v>
      </c>
      <c r="J923" s="1" t="s">
        <v>117</v>
      </c>
      <c r="K923" s="1" t="s">
        <v>220</v>
      </c>
      <c r="L923" s="1" t="s">
        <v>2551</v>
      </c>
      <c r="M923" s="1" t="s">
        <v>201</v>
      </c>
      <c r="N923" s="1" t="s">
        <v>2775</v>
      </c>
      <c r="O923" s="1" t="s">
        <v>1210</v>
      </c>
      <c r="P923" s="1" t="s">
        <v>36</v>
      </c>
      <c r="Q923" s="1" t="s">
        <v>2378</v>
      </c>
      <c r="R923" s="1" t="s">
        <v>851</v>
      </c>
      <c r="S923" s="1" t="s">
        <v>157</v>
      </c>
      <c r="T923" s="1" t="s">
        <v>205</v>
      </c>
      <c r="U923" s="1">
        <v>94.0</v>
      </c>
      <c r="V923" s="1" t="s">
        <v>2255</v>
      </c>
      <c r="W923" s="1" t="s">
        <v>879</v>
      </c>
      <c r="X923" s="1" t="s">
        <v>96</v>
      </c>
      <c r="Y923" s="1" t="s">
        <v>1196</v>
      </c>
      <c r="Z923" s="1">
        <v>1.0</v>
      </c>
    </row>
    <row r="924">
      <c r="A924" s="1" t="s">
        <v>2545</v>
      </c>
      <c r="B924" s="1" t="s">
        <v>2770</v>
      </c>
      <c r="C924" s="1" t="s">
        <v>2776</v>
      </c>
      <c r="D924" s="1" t="s">
        <v>2777</v>
      </c>
      <c r="E924" s="1" t="s">
        <v>553</v>
      </c>
      <c r="F924" s="1" t="s">
        <v>1460</v>
      </c>
      <c r="G924" s="1" t="s">
        <v>1706</v>
      </c>
      <c r="H924" s="1" t="s">
        <v>531</v>
      </c>
      <c r="I924" s="1" t="s">
        <v>1028</v>
      </c>
      <c r="J924" s="1" t="s">
        <v>175</v>
      </c>
      <c r="K924" s="1" t="s">
        <v>220</v>
      </c>
      <c r="L924" s="1" t="s">
        <v>2613</v>
      </c>
      <c r="M924" s="1" t="s">
        <v>1218</v>
      </c>
      <c r="N924" s="1" t="s">
        <v>2778</v>
      </c>
      <c r="O924" s="1" t="s">
        <v>2779</v>
      </c>
      <c r="P924" s="1" t="s">
        <v>1539</v>
      </c>
      <c r="Q924" s="1" t="s">
        <v>2780</v>
      </c>
      <c r="R924" s="1" t="s">
        <v>722</v>
      </c>
      <c r="S924" s="1" t="s">
        <v>671</v>
      </c>
      <c r="T924" s="1" t="s">
        <v>265</v>
      </c>
      <c r="U924" s="1" t="s">
        <v>2781</v>
      </c>
      <c r="V924" s="1" t="s">
        <v>1195</v>
      </c>
      <c r="W924" s="1" t="s">
        <v>2782</v>
      </c>
      <c r="X924" s="1" t="s">
        <v>36</v>
      </c>
      <c r="Y924" s="1" t="s">
        <v>224</v>
      </c>
      <c r="Z924" s="1">
        <v>1.0</v>
      </c>
    </row>
    <row r="925">
      <c r="A925" s="1" t="s">
        <v>1959</v>
      </c>
      <c r="B925" s="1" t="s">
        <v>2770</v>
      </c>
      <c r="C925" s="1" t="s">
        <v>2783</v>
      </c>
      <c r="D925" s="1" t="s">
        <v>2784</v>
      </c>
      <c r="E925" s="1" t="s">
        <v>728</v>
      </c>
      <c r="F925" s="1" t="s">
        <v>1035</v>
      </c>
      <c r="G925" s="1" t="s">
        <v>1512</v>
      </c>
      <c r="H925" s="1" t="s">
        <v>427</v>
      </c>
      <c r="I925" s="1" t="s">
        <v>625</v>
      </c>
      <c r="J925" s="1" t="s">
        <v>754</v>
      </c>
      <c r="K925" s="1">
        <v>89.0</v>
      </c>
      <c r="L925" s="1" t="s">
        <v>1245</v>
      </c>
      <c r="M925" s="1" t="s">
        <v>2785</v>
      </c>
      <c r="N925" s="1" t="s">
        <v>674</v>
      </c>
      <c r="O925" s="1" t="s">
        <v>460</v>
      </c>
      <c r="P925" s="1" t="s">
        <v>132</v>
      </c>
      <c r="Q925" s="1" t="s">
        <v>2786</v>
      </c>
      <c r="R925" s="1" t="s">
        <v>202</v>
      </c>
      <c r="S925" s="1" t="s">
        <v>221</v>
      </c>
      <c r="T925" s="1" t="s">
        <v>964</v>
      </c>
      <c r="U925" s="1" t="s">
        <v>229</v>
      </c>
      <c r="V925" s="1" t="s">
        <v>1913</v>
      </c>
      <c r="W925" s="1" t="s">
        <v>551</v>
      </c>
      <c r="X925" s="1" t="s">
        <v>187</v>
      </c>
      <c r="Y925" s="1" t="s">
        <v>1753</v>
      </c>
      <c r="Z925" s="1">
        <v>1.0</v>
      </c>
    </row>
    <row r="926">
      <c r="A926" s="1" t="s">
        <v>2591</v>
      </c>
      <c r="B926" s="1" t="s">
        <v>2770</v>
      </c>
      <c r="C926" s="1" t="s">
        <v>2783</v>
      </c>
      <c r="D926" s="1">
        <v>230.0</v>
      </c>
      <c r="E926" s="1">
        <v>87.0</v>
      </c>
      <c r="F926" s="1">
        <v>76.0</v>
      </c>
      <c r="G926" s="1">
        <v>73.0</v>
      </c>
      <c r="H926" s="1">
        <v>90.0</v>
      </c>
      <c r="I926" s="1">
        <v>87.0</v>
      </c>
      <c r="J926" s="1">
        <v>88.0</v>
      </c>
      <c r="K926" s="1">
        <v>69.0</v>
      </c>
      <c r="L926" s="1">
        <v>63.0</v>
      </c>
      <c r="M926" s="1">
        <v>76.0</v>
      </c>
      <c r="N926" s="1">
        <v>65.0</v>
      </c>
      <c r="O926" s="1">
        <v>44.0</v>
      </c>
      <c r="P926" s="1">
        <v>82.0</v>
      </c>
      <c r="Q926" s="1">
        <v>62.0</v>
      </c>
      <c r="R926" s="1">
        <v>37.0</v>
      </c>
      <c r="S926" s="1">
        <v>90.0</v>
      </c>
      <c r="T926" s="1">
        <v>75.0</v>
      </c>
      <c r="U926" s="1">
        <v>85.0</v>
      </c>
      <c r="V926" s="1">
        <v>62.0</v>
      </c>
      <c r="W926" s="1">
        <v>47.0</v>
      </c>
      <c r="X926" s="1">
        <v>79.0</v>
      </c>
      <c r="Y926" s="1">
        <v>73.0</v>
      </c>
      <c r="Z926" s="1">
        <v>1.0</v>
      </c>
    </row>
    <row r="927">
      <c r="A927" s="1" t="s">
        <v>2787</v>
      </c>
      <c r="B927" s="1" t="s">
        <v>2770</v>
      </c>
      <c r="C927" s="1" t="s">
        <v>2783</v>
      </c>
      <c r="D927" s="1" t="s">
        <v>2788</v>
      </c>
      <c r="E927" s="1">
        <v>94.0</v>
      </c>
      <c r="F927" s="1">
        <v>70.0</v>
      </c>
      <c r="G927" s="1">
        <v>51.0</v>
      </c>
      <c r="H927" s="1">
        <v>90.0</v>
      </c>
      <c r="I927" s="1">
        <v>90.0</v>
      </c>
      <c r="J927" s="1" t="s">
        <v>1224</v>
      </c>
      <c r="K927" s="1" t="s">
        <v>2789</v>
      </c>
      <c r="L927" s="1" t="s">
        <v>1224</v>
      </c>
      <c r="M927" s="1">
        <v>65.0</v>
      </c>
      <c r="N927" s="1">
        <v>40.0</v>
      </c>
      <c r="O927" s="1">
        <v>25.0</v>
      </c>
      <c r="P927" s="1">
        <v>85.0</v>
      </c>
      <c r="Q927" s="1">
        <v>35.0</v>
      </c>
      <c r="R927" s="1">
        <v>40.0</v>
      </c>
      <c r="S927" s="1">
        <v>93.0</v>
      </c>
      <c r="T927" s="1">
        <v>94.0</v>
      </c>
      <c r="U927" s="1">
        <v>83.0</v>
      </c>
      <c r="V927" s="1" t="s">
        <v>1090</v>
      </c>
      <c r="W927" s="1" t="s">
        <v>515</v>
      </c>
      <c r="X927" s="1">
        <v>86.0</v>
      </c>
      <c r="Y927" s="1">
        <v>66.0</v>
      </c>
      <c r="Z927" s="1">
        <v>1.0</v>
      </c>
    </row>
    <row r="928">
      <c r="A928" s="1" t="s">
        <v>2713</v>
      </c>
      <c r="B928" s="1" t="s">
        <v>2770</v>
      </c>
      <c r="C928" s="1" t="s">
        <v>2790</v>
      </c>
      <c r="D928" s="1" t="s">
        <v>2791</v>
      </c>
      <c r="E928" s="1" t="s">
        <v>675</v>
      </c>
      <c r="F928" s="1" t="s">
        <v>369</v>
      </c>
      <c r="G928" s="1" t="s">
        <v>1836</v>
      </c>
      <c r="H928" s="1" t="s">
        <v>548</v>
      </c>
      <c r="I928" s="1" t="s">
        <v>343</v>
      </c>
      <c r="J928" s="1" t="s">
        <v>493</v>
      </c>
      <c r="K928" s="1" t="s">
        <v>151</v>
      </c>
      <c r="L928" s="1" t="s">
        <v>2069</v>
      </c>
      <c r="M928" s="1" t="s">
        <v>1403</v>
      </c>
      <c r="N928" s="1" t="s">
        <v>2443</v>
      </c>
      <c r="O928" s="1" t="s">
        <v>1473</v>
      </c>
      <c r="P928" s="1" t="s">
        <v>582</v>
      </c>
      <c r="Q928" s="1" t="s">
        <v>1240</v>
      </c>
      <c r="R928" s="1" t="s">
        <v>2583</v>
      </c>
      <c r="S928" s="1" t="s">
        <v>1477</v>
      </c>
      <c r="T928" s="1" t="s">
        <v>96</v>
      </c>
      <c r="U928" s="1" t="s">
        <v>36</v>
      </c>
      <c r="V928" s="1" t="s">
        <v>1706</v>
      </c>
      <c r="W928" s="1" t="s">
        <v>1721</v>
      </c>
      <c r="X928" s="1" t="s">
        <v>82</v>
      </c>
      <c r="Y928" s="1" t="s">
        <v>479</v>
      </c>
      <c r="Z928" s="1">
        <v>1.0</v>
      </c>
    </row>
    <row r="929">
      <c r="A929" s="1" t="s">
        <v>2792</v>
      </c>
      <c r="B929" s="1" t="s">
        <v>2770</v>
      </c>
      <c r="C929" s="1" t="s">
        <v>2327</v>
      </c>
      <c r="D929" s="1">
        <v>225.0</v>
      </c>
      <c r="E929" s="1">
        <v>89.0</v>
      </c>
      <c r="F929" s="1">
        <v>82.0</v>
      </c>
      <c r="G929" s="1">
        <v>84.0</v>
      </c>
      <c r="H929" s="1">
        <v>75.0</v>
      </c>
      <c r="I929" s="1">
        <v>89.0</v>
      </c>
      <c r="J929" s="1">
        <v>89.0</v>
      </c>
      <c r="K929" s="1">
        <v>81.0</v>
      </c>
      <c r="L929" s="1">
        <v>76.0</v>
      </c>
      <c r="M929" s="1">
        <v>75.0</v>
      </c>
      <c r="N929" s="1">
        <v>71.0</v>
      </c>
      <c r="O929" s="1">
        <v>63.0</v>
      </c>
      <c r="P929" s="1">
        <v>90.0</v>
      </c>
      <c r="Q929" s="1">
        <v>65.0</v>
      </c>
      <c r="R929" s="1">
        <v>45.0</v>
      </c>
      <c r="S929" s="1">
        <v>74.0</v>
      </c>
      <c r="T929" s="1">
        <v>72.0</v>
      </c>
      <c r="U929" s="1">
        <v>85.0</v>
      </c>
      <c r="V929" s="1">
        <v>74.0</v>
      </c>
      <c r="W929" s="1">
        <v>64.0</v>
      </c>
      <c r="X929" s="1">
        <v>86.0</v>
      </c>
      <c r="Y929" s="1">
        <v>80.0</v>
      </c>
      <c r="Z929" s="1">
        <v>1.0</v>
      </c>
    </row>
    <row r="930">
      <c r="A930" s="1" t="s">
        <v>2793</v>
      </c>
      <c r="B930" s="1" t="s">
        <v>2770</v>
      </c>
      <c r="C930" s="1" t="s">
        <v>2794</v>
      </c>
      <c r="D930" s="1">
        <v>231.0</v>
      </c>
      <c r="E930" s="1">
        <v>91.0</v>
      </c>
      <c r="F930" s="1">
        <v>80.0</v>
      </c>
      <c r="G930" s="1">
        <v>75.0</v>
      </c>
      <c r="H930" s="1">
        <v>90.0</v>
      </c>
      <c r="I930" s="1">
        <v>66.0</v>
      </c>
      <c r="J930" s="1">
        <v>78.0</v>
      </c>
      <c r="K930" s="1">
        <v>75.0</v>
      </c>
      <c r="L930" s="1">
        <v>76.0</v>
      </c>
      <c r="M930" s="1">
        <v>93.0</v>
      </c>
      <c r="N930" s="1">
        <v>43.0</v>
      </c>
      <c r="O930" s="1">
        <v>40.0</v>
      </c>
      <c r="P930" s="1">
        <v>80.0</v>
      </c>
      <c r="Q930" s="1">
        <v>62.0</v>
      </c>
      <c r="R930" s="1">
        <v>38.0</v>
      </c>
      <c r="S930" s="1">
        <v>93.0</v>
      </c>
      <c r="T930" s="1">
        <v>70.0</v>
      </c>
      <c r="U930" s="1">
        <v>94.0</v>
      </c>
      <c r="V930" s="1">
        <v>65.0</v>
      </c>
      <c r="W930" s="1">
        <v>45.0</v>
      </c>
      <c r="X930" s="1">
        <v>72.0</v>
      </c>
      <c r="Y930" s="1">
        <v>74.0</v>
      </c>
      <c r="Z930" s="1">
        <v>1.0</v>
      </c>
    </row>
    <row r="931">
      <c r="A931" s="1" t="s">
        <v>2730</v>
      </c>
      <c r="B931" s="1" t="s">
        <v>2770</v>
      </c>
      <c r="C931" s="1" t="s">
        <v>2776</v>
      </c>
      <c r="D931" s="1" t="s">
        <v>2795</v>
      </c>
      <c r="E931" s="1" t="s">
        <v>462</v>
      </c>
      <c r="F931" s="1" t="s">
        <v>949</v>
      </c>
      <c r="G931" s="1" t="s">
        <v>189</v>
      </c>
      <c r="H931" s="1" t="s">
        <v>333</v>
      </c>
      <c r="I931" s="1" t="s">
        <v>447</v>
      </c>
      <c r="J931" s="1" t="s">
        <v>60</v>
      </c>
      <c r="K931" s="1" t="s">
        <v>780</v>
      </c>
      <c r="L931" s="1" t="s">
        <v>178</v>
      </c>
      <c r="M931" s="1" t="s">
        <v>958</v>
      </c>
      <c r="N931" s="1" t="s">
        <v>1076</v>
      </c>
      <c r="O931" s="1" t="s">
        <v>1203</v>
      </c>
      <c r="P931" s="1" t="s">
        <v>271</v>
      </c>
      <c r="Q931" s="1" t="s">
        <v>575</v>
      </c>
      <c r="R931" s="1" t="s">
        <v>1874</v>
      </c>
      <c r="S931" s="1" t="s">
        <v>597</v>
      </c>
      <c r="T931" s="1" t="s">
        <v>35</v>
      </c>
      <c r="U931" s="1" t="s">
        <v>96</v>
      </c>
      <c r="V931" s="1" t="s">
        <v>437</v>
      </c>
      <c r="W931" s="1" t="s">
        <v>2796</v>
      </c>
      <c r="X931" s="1" t="s">
        <v>2214</v>
      </c>
      <c r="Y931" s="1" t="s">
        <v>502</v>
      </c>
      <c r="Z931" s="1">
        <v>1.0</v>
      </c>
    </row>
    <row r="932">
      <c r="A932" s="1" t="s">
        <v>1178</v>
      </c>
      <c r="B932" s="1" t="s">
        <v>2770</v>
      </c>
      <c r="C932" s="1" t="s">
        <v>1534</v>
      </c>
      <c r="D932" s="1">
        <v>255.0</v>
      </c>
      <c r="E932" s="1">
        <v>76.0</v>
      </c>
      <c r="F932" s="1">
        <v>59.0</v>
      </c>
      <c r="G932" s="1">
        <v>71.0</v>
      </c>
      <c r="H932" s="1">
        <v>55.0</v>
      </c>
      <c r="I932" s="1">
        <v>56.0</v>
      </c>
      <c r="J932" s="1">
        <v>70.0</v>
      </c>
      <c r="K932" s="1">
        <v>80.0</v>
      </c>
      <c r="L932" s="1">
        <v>55.0</v>
      </c>
      <c r="M932" s="1">
        <v>70.0</v>
      </c>
      <c r="N932" s="1">
        <v>45.0</v>
      </c>
      <c r="O932" s="1">
        <v>50.0</v>
      </c>
      <c r="P932" s="1">
        <v>77.0</v>
      </c>
      <c r="Q932" s="1">
        <v>82.0</v>
      </c>
      <c r="R932" s="1">
        <v>54.0</v>
      </c>
      <c r="S932" s="1">
        <v>93.0</v>
      </c>
      <c r="T932" s="1">
        <v>80.0</v>
      </c>
      <c r="U932" s="1">
        <v>94.0</v>
      </c>
      <c r="V932" s="1">
        <v>80.0</v>
      </c>
      <c r="W932" s="1">
        <v>71.0</v>
      </c>
      <c r="X932" s="1">
        <v>90.0</v>
      </c>
      <c r="Y932" s="1">
        <v>90.0</v>
      </c>
      <c r="Z932" s="1">
        <v>1.0</v>
      </c>
    </row>
    <row r="933">
      <c r="A933" s="1" t="s">
        <v>2797</v>
      </c>
      <c r="B933" s="1" t="s">
        <v>2770</v>
      </c>
      <c r="C933" s="1" t="s">
        <v>2798</v>
      </c>
      <c r="D933" s="1" t="s">
        <v>2799</v>
      </c>
      <c r="E933" s="1" t="s">
        <v>190</v>
      </c>
      <c r="F933" s="1" t="s">
        <v>530</v>
      </c>
      <c r="G933" s="1" t="s">
        <v>406</v>
      </c>
      <c r="H933" s="1">
        <v>90.0</v>
      </c>
      <c r="I933" s="1" t="s">
        <v>892</v>
      </c>
      <c r="J933" s="1" t="s">
        <v>963</v>
      </c>
      <c r="K933" s="1" t="s">
        <v>129</v>
      </c>
      <c r="L933" s="1" t="s">
        <v>1232</v>
      </c>
      <c r="M933" s="1">
        <v>87.0</v>
      </c>
      <c r="N933" s="1" t="s">
        <v>1472</v>
      </c>
      <c r="O933" s="1" t="s">
        <v>466</v>
      </c>
      <c r="P933" s="1">
        <v>82.0</v>
      </c>
      <c r="Q933" s="1" t="s">
        <v>928</v>
      </c>
      <c r="R933" s="1" t="s">
        <v>1642</v>
      </c>
      <c r="S933" s="1" t="s">
        <v>128</v>
      </c>
      <c r="T933" s="1" t="s">
        <v>477</v>
      </c>
      <c r="U933" s="1" t="s">
        <v>35</v>
      </c>
      <c r="V933" s="1" t="s">
        <v>1513</v>
      </c>
      <c r="W933" s="1" t="s">
        <v>2800</v>
      </c>
      <c r="X933" s="1">
        <v>91.0</v>
      </c>
      <c r="Y933" s="1" t="s">
        <v>890</v>
      </c>
      <c r="Z933" s="1">
        <v>1.0</v>
      </c>
    </row>
    <row r="934">
      <c r="A934" s="1" t="s">
        <v>2585</v>
      </c>
      <c r="B934" s="1" t="s">
        <v>2770</v>
      </c>
      <c r="C934" s="1" t="s">
        <v>2776</v>
      </c>
      <c r="D934" s="1" t="s">
        <v>2801</v>
      </c>
      <c r="E934" s="1" t="s">
        <v>207</v>
      </c>
      <c r="F934" s="1" t="s">
        <v>1744</v>
      </c>
      <c r="G934" s="1" t="s">
        <v>509</v>
      </c>
      <c r="H934" s="1" t="s">
        <v>790</v>
      </c>
      <c r="I934" s="1" t="s">
        <v>2802</v>
      </c>
      <c r="J934" s="1" t="s">
        <v>190</v>
      </c>
      <c r="K934" s="1" t="s">
        <v>253</v>
      </c>
      <c r="L934" s="1" t="s">
        <v>498</v>
      </c>
      <c r="M934" s="1" t="s">
        <v>36</v>
      </c>
      <c r="N934" s="1" t="s">
        <v>1333</v>
      </c>
      <c r="O934" s="1" t="s">
        <v>33</v>
      </c>
      <c r="P934" s="1" t="s">
        <v>82</v>
      </c>
      <c r="Q934" s="1" t="s">
        <v>2378</v>
      </c>
      <c r="R934" s="1" t="s">
        <v>1424</v>
      </c>
      <c r="S934" s="1" t="s">
        <v>322</v>
      </c>
      <c r="T934" s="1" t="s">
        <v>745</v>
      </c>
      <c r="U934" s="1" t="s">
        <v>96</v>
      </c>
      <c r="V934" s="1" t="s">
        <v>1195</v>
      </c>
      <c r="W934" s="1" t="s">
        <v>283</v>
      </c>
      <c r="X934" s="1" t="s">
        <v>689</v>
      </c>
      <c r="Y934" s="1" t="s">
        <v>1932</v>
      </c>
      <c r="Z934" s="1">
        <v>1.0</v>
      </c>
    </row>
    <row r="935">
      <c r="A935" s="1" t="s">
        <v>1518</v>
      </c>
      <c r="B935" s="1" t="s">
        <v>2770</v>
      </c>
      <c r="C935" s="1" t="s">
        <v>2803</v>
      </c>
      <c r="D935" s="1" t="s">
        <v>2804</v>
      </c>
      <c r="E935" s="1" t="s">
        <v>1416</v>
      </c>
      <c r="F935" s="1" t="s">
        <v>163</v>
      </c>
      <c r="G935" s="1" t="s">
        <v>2805</v>
      </c>
      <c r="H935" s="1" t="s">
        <v>485</v>
      </c>
      <c r="I935" s="1" t="s">
        <v>1264</v>
      </c>
      <c r="J935" s="1" t="s">
        <v>190</v>
      </c>
      <c r="K935" s="1" t="s">
        <v>208</v>
      </c>
      <c r="L935" s="1" t="s">
        <v>1176</v>
      </c>
      <c r="M935" s="1" t="s">
        <v>322</v>
      </c>
      <c r="N935" s="1" t="s">
        <v>2443</v>
      </c>
      <c r="O935" s="1" t="s">
        <v>2806</v>
      </c>
      <c r="P935" s="1" t="s">
        <v>1382</v>
      </c>
      <c r="Q935" s="1" t="s">
        <v>450</v>
      </c>
      <c r="R935" s="1" t="s">
        <v>1726</v>
      </c>
      <c r="S935" s="1" t="s">
        <v>416</v>
      </c>
      <c r="T935" s="1" t="s">
        <v>332</v>
      </c>
      <c r="U935" s="1" t="s">
        <v>401</v>
      </c>
      <c r="V935" s="1" t="s">
        <v>1565</v>
      </c>
      <c r="W935" s="1" t="s">
        <v>794</v>
      </c>
      <c r="X935" s="1" t="s">
        <v>2807</v>
      </c>
      <c r="Y935" s="1" t="s">
        <v>242</v>
      </c>
      <c r="Z935" s="1">
        <v>1.0</v>
      </c>
    </row>
    <row r="936">
      <c r="A936" s="1" t="s">
        <v>2808</v>
      </c>
      <c r="B936" s="1" t="s">
        <v>2770</v>
      </c>
      <c r="C936" s="1" t="s">
        <v>2776</v>
      </c>
      <c r="D936" s="1" t="s">
        <v>2809</v>
      </c>
      <c r="E936" s="1" t="s">
        <v>493</v>
      </c>
      <c r="F936" s="1" t="s">
        <v>2262</v>
      </c>
      <c r="G936" s="1" t="s">
        <v>1428</v>
      </c>
      <c r="H936" s="1" t="s">
        <v>96</v>
      </c>
      <c r="I936" s="1" t="s">
        <v>1912</v>
      </c>
      <c r="J936" s="1" t="s">
        <v>1121</v>
      </c>
      <c r="K936" s="1" t="s">
        <v>1121</v>
      </c>
      <c r="L936" s="1" t="s">
        <v>315</v>
      </c>
      <c r="M936" s="1">
        <v>87.0</v>
      </c>
      <c r="N936" s="1" t="s">
        <v>1883</v>
      </c>
      <c r="O936" s="1" t="s">
        <v>449</v>
      </c>
      <c r="P936" s="1" t="s">
        <v>208</v>
      </c>
      <c r="Q936" s="1" t="s">
        <v>1190</v>
      </c>
      <c r="R936" s="1" t="s">
        <v>879</v>
      </c>
      <c r="S936" s="1" t="s">
        <v>1477</v>
      </c>
      <c r="T936" s="1" t="s">
        <v>413</v>
      </c>
      <c r="U936" s="1" t="s">
        <v>35</v>
      </c>
      <c r="V936" s="1" t="s">
        <v>1141</v>
      </c>
      <c r="W936" s="1" t="s">
        <v>2810</v>
      </c>
      <c r="X936" s="1" t="s">
        <v>716</v>
      </c>
      <c r="Y936" s="1" t="s">
        <v>1932</v>
      </c>
      <c r="Z936" s="1">
        <v>1.0</v>
      </c>
    </row>
    <row r="937">
      <c r="A937" s="1" t="s">
        <v>2634</v>
      </c>
      <c r="B937" s="1" t="s">
        <v>2770</v>
      </c>
      <c r="C937" s="1" t="s">
        <v>2776</v>
      </c>
      <c r="D937" s="1" t="s">
        <v>2811</v>
      </c>
      <c r="E937" s="1" t="s">
        <v>445</v>
      </c>
      <c r="F937" s="1" t="s">
        <v>961</v>
      </c>
      <c r="G937" s="1" t="s">
        <v>1365</v>
      </c>
      <c r="H937" s="1" t="s">
        <v>103</v>
      </c>
      <c r="I937" s="1" t="s">
        <v>135</v>
      </c>
      <c r="J937" s="1" t="s">
        <v>333</v>
      </c>
      <c r="K937" s="1" t="s">
        <v>1121</v>
      </c>
      <c r="L937" s="1" t="s">
        <v>135</v>
      </c>
      <c r="M937" s="1" t="s">
        <v>900</v>
      </c>
      <c r="N937" s="1" t="s">
        <v>774</v>
      </c>
      <c r="O937" s="1" t="s">
        <v>1337</v>
      </c>
      <c r="P937" s="1" t="s">
        <v>208</v>
      </c>
      <c r="Q937" s="1" t="s">
        <v>450</v>
      </c>
      <c r="R937" s="1" t="s">
        <v>621</v>
      </c>
      <c r="S937" s="1" t="s">
        <v>1188</v>
      </c>
      <c r="T937" s="1" t="s">
        <v>110</v>
      </c>
      <c r="U937" s="1" t="s">
        <v>36</v>
      </c>
      <c r="V937" s="1" t="s">
        <v>2520</v>
      </c>
      <c r="W937" s="1" t="s">
        <v>395</v>
      </c>
      <c r="X937" s="1" t="s">
        <v>700</v>
      </c>
      <c r="Y937" s="1" t="s">
        <v>974</v>
      </c>
      <c r="Z937" s="1">
        <v>1.0</v>
      </c>
    </row>
    <row r="938">
      <c r="A938" s="1" t="s">
        <v>2812</v>
      </c>
      <c r="B938" s="1" t="s">
        <v>2770</v>
      </c>
      <c r="C938" s="1" t="s">
        <v>2166</v>
      </c>
      <c r="D938" s="1" t="s">
        <v>2493</v>
      </c>
      <c r="E938" s="1" t="s">
        <v>113</v>
      </c>
      <c r="F938" s="1" t="s">
        <v>1879</v>
      </c>
      <c r="G938" s="1" t="s">
        <v>86</v>
      </c>
      <c r="H938" s="1" t="s">
        <v>571</v>
      </c>
      <c r="I938" s="1" t="s">
        <v>163</v>
      </c>
      <c r="J938" s="1" t="s">
        <v>1054</v>
      </c>
      <c r="K938" s="1" t="s">
        <v>802</v>
      </c>
      <c r="L938" s="1" t="s">
        <v>1958</v>
      </c>
      <c r="M938" s="1" t="s">
        <v>1382</v>
      </c>
      <c r="N938" s="1" t="s">
        <v>2351</v>
      </c>
      <c r="O938" s="1" t="s">
        <v>505</v>
      </c>
      <c r="P938" s="1" t="s">
        <v>132</v>
      </c>
      <c r="Q938" s="1" t="s">
        <v>2813</v>
      </c>
      <c r="R938" s="1" t="s">
        <v>2814</v>
      </c>
      <c r="S938" s="1" t="s">
        <v>201</v>
      </c>
      <c r="T938" s="1" t="s">
        <v>242</v>
      </c>
      <c r="U938" s="1" t="s">
        <v>133</v>
      </c>
      <c r="V938" s="1" t="s">
        <v>1217</v>
      </c>
      <c r="W938" s="1" t="s">
        <v>1410</v>
      </c>
      <c r="X938" s="1" t="s">
        <v>1618</v>
      </c>
      <c r="Y938" s="1" t="s">
        <v>323</v>
      </c>
      <c r="Z938" s="1">
        <v>1.0</v>
      </c>
    </row>
    <row r="939">
      <c r="A939" s="1" t="s">
        <v>2815</v>
      </c>
      <c r="B939" s="1" t="s">
        <v>2770</v>
      </c>
      <c r="C939" s="1" t="s">
        <v>2776</v>
      </c>
      <c r="D939" s="1" t="s">
        <v>2816</v>
      </c>
      <c r="E939" s="1" t="s">
        <v>247</v>
      </c>
      <c r="F939" s="1" t="s">
        <v>285</v>
      </c>
      <c r="G939" s="1" t="s">
        <v>572</v>
      </c>
      <c r="H939" s="1" t="s">
        <v>549</v>
      </c>
      <c r="I939" s="1" t="s">
        <v>48</v>
      </c>
      <c r="J939" s="1" t="s">
        <v>243</v>
      </c>
      <c r="K939" s="1" t="s">
        <v>243</v>
      </c>
      <c r="L939" s="1" t="s">
        <v>230</v>
      </c>
      <c r="M939" s="1" t="s">
        <v>2664</v>
      </c>
      <c r="N939" s="1" t="s">
        <v>2817</v>
      </c>
      <c r="O939" s="1" t="s">
        <v>275</v>
      </c>
      <c r="P939" s="1" t="s">
        <v>96</v>
      </c>
      <c r="Q939" s="1" t="s">
        <v>2680</v>
      </c>
      <c r="R939" s="1" t="s">
        <v>2818</v>
      </c>
      <c r="S939" s="1" t="s">
        <v>2390</v>
      </c>
      <c r="T939" s="1" t="s">
        <v>110</v>
      </c>
      <c r="U939" s="1" t="s">
        <v>401</v>
      </c>
      <c r="V939" s="1" t="s">
        <v>1008</v>
      </c>
      <c r="W939" s="1" t="s">
        <v>2819</v>
      </c>
      <c r="X939" s="1" t="s">
        <v>2820</v>
      </c>
      <c r="Y939" s="1" t="s">
        <v>1278</v>
      </c>
      <c r="Z939" s="1">
        <v>1.0</v>
      </c>
    </row>
    <row r="940">
      <c r="A940" s="1" t="s">
        <v>2012</v>
      </c>
      <c r="B940" s="1" t="s">
        <v>2770</v>
      </c>
      <c r="C940" s="1" t="s">
        <v>2803</v>
      </c>
      <c r="D940" s="1" t="s">
        <v>2821</v>
      </c>
      <c r="E940" s="1" t="s">
        <v>1315</v>
      </c>
      <c r="F940" s="1" t="s">
        <v>88</v>
      </c>
      <c r="G940" s="1" t="s">
        <v>2822</v>
      </c>
      <c r="H940" s="1" t="s">
        <v>2394</v>
      </c>
      <c r="I940" s="1" t="s">
        <v>113</v>
      </c>
      <c r="J940" s="1" t="s">
        <v>333</v>
      </c>
      <c r="K940" s="1" t="s">
        <v>807</v>
      </c>
      <c r="L940" s="1" t="s">
        <v>698</v>
      </c>
      <c r="M940" s="1" t="s">
        <v>1263</v>
      </c>
      <c r="N940" s="1" t="s">
        <v>1893</v>
      </c>
      <c r="O940" s="1" t="s">
        <v>2779</v>
      </c>
      <c r="P940" s="1" t="s">
        <v>553</v>
      </c>
      <c r="Q940" s="1" t="s">
        <v>2823</v>
      </c>
      <c r="R940" s="1" t="s">
        <v>1617</v>
      </c>
      <c r="S940" s="1" t="s">
        <v>671</v>
      </c>
      <c r="T940" s="1" t="s">
        <v>485</v>
      </c>
      <c r="U940" s="1" t="s">
        <v>401</v>
      </c>
      <c r="V940" s="1" t="s">
        <v>1252</v>
      </c>
      <c r="W940" s="1" t="s">
        <v>674</v>
      </c>
      <c r="X940" s="1" t="s">
        <v>2824</v>
      </c>
      <c r="Y940" s="1" t="s">
        <v>431</v>
      </c>
      <c r="Z940" s="1">
        <v>1.0</v>
      </c>
    </row>
    <row r="941">
      <c r="A941" s="1" t="s">
        <v>2825</v>
      </c>
      <c r="B941" s="1" t="s">
        <v>2770</v>
      </c>
      <c r="C941" s="1" t="s">
        <v>2783</v>
      </c>
      <c r="D941" s="1">
        <v>230.0</v>
      </c>
      <c r="E941" s="1">
        <v>94.0</v>
      </c>
      <c r="F941" s="1">
        <v>69.0</v>
      </c>
      <c r="G941" s="1">
        <v>78.0</v>
      </c>
      <c r="H941" s="1">
        <v>68.0</v>
      </c>
      <c r="I941" s="1">
        <v>91.0</v>
      </c>
      <c r="J941" s="1">
        <v>54.0</v>
      </c>
      <c r="K941" s="1">
        <v>25.0</v>
      </c>
      <c r="L941" s="1">
        <v>54.0</v>
      </c>
      <c r="M941" s="1">
        <v>25.0</v>
      </c>
      <c r="N941" s="1">
        <v>42.0</v>
      </c>
      <c r="O941" s="1">
        <v>25.0</v>
      </c>
      <c r="P941" s="1">
        <v>84.0</v>
      </c>
      <c r="Q941" s="1">
        <v>34.0</v>
      </c>
      <c r="R941" s="1">
        <v>44.0</v>
      </c>
      <c r="S941" s="1">
        <v>99.0</v>
      </c>
      <c r="T941" s="1">
        <v>96.0</v>
      </c>
      <c r="U941" s="1">
        <v>89.0</v>
      </c>
      <c r="V941" s="1">
        <v>62.0</v>
      </c>
      <c r="W941" s="1">
        <v>42.0</v>
      </c>
      <c r="X941" s="1">
        <v>73.0</v>
      </c>
      <c r="Y941" s="1">
        <v>73.0</v>
      </c>
      <c r="Z941" s="1">
        <v>1.0</v>
      </c>
    </row>
    <row r="942">
      <c r="A942" s="1" t="s">
        <v>2826</v>
      </c>
      <c r="B942" s="1" t="s">
        <v>2770</v>
      </c>
      <c r="C942" s="1" t="s">
        <v>2776</v>
      </c>
      <c r="D942" s="1" t="s">
        <v>2827</v>
      </c>
      <c r="E942" s="1" t="s">
        <v>600</v>
      </c>
      <c r="F942" s="1" t="s">
        <v>1856</v>
      </c>
      <c r="G942" s="1" t="s">
        <v>324</v>
      </c>
      <c r="H942" s="1" t="s">
        <v>2828</v>
      </c>
      <c r="I942" s="1" t="s">
        <v>249</v>
      </c>
      <c r="J942" s="1" t="s">
        <v>802</v>
      </c>
      <c r="K942" s="1" t="s">
        <v>151</v>
      </c>
      <c r="L942" s="1" t="s">
        <v>1175</v>
      </c>
      <c r="M942" s="1" t="s">
        <v>128</v>
      </c>
      <c r="N942" s="1" t="s">
        <v>2113</v>
      </c>
      <c r="O942" s="1" t="s">
        <v>2806</v>
      </c>
      <c r="P942" s="1" t="s">
        <v>80</v>
      </c>
      <c r="Q942" s="1" t="s">
        <v>2340</v>
      </c>
      <c r="R942" s="1" t="s">
        <v>2829</v>
      </c>
      <c r="S942" s="1" t="s">
        <v>225</v>
      </c>
      <c r="T942" s="1" t="s">
        <v>525</v>
      </c>
      <c r="U942" s="1" t="s">
        <v>96</v>
      </c>
      <c r="V942" s="1" t="s">
        <v>1428</v>
      </c>
      <c r="W942" s="1" t="s">
        <v>713</v>
      </c>
      <c r="X942" s="1" t="s">
        <v>761</v>
      </c>
      <c r="Y942" s="1" t="s">
        <v>457</v>
      </c>
      <c r="Z942" s="1">
        <v>1.0</v>
      </c>
    </row>
    <row r="943">
      <c r="A943" s="1" t="s">
        <v>1968</v>
      </c>
      <c r="B943" s="1" t="s">
        <v>2770</v>
      </c>
      <c r="C943" s="1" t="s">
        <v>2803</v>
      </c>
      <c r="D943" s="1" t="s">
        <v>2816</v>
      </c>
      <c r="E943" s="1" t="s">
        <v>114</v>
      </c>
      <c r="F943" s="1" t="s">
        <v>335</v>
      </c>
      <c r="G943" s="1" t="s">
        <v>1914</v>
      </c>
      <c r="H943" s="1" t="s">
        <v>1098</v>
      </c>
      <c r="I943" s="1" t="s">
        <v>2830</v>
      </c>
      <c r="J943" s="1" t="s">
        <v>208</v>
      </c>
      <c r="K943" s="1" t="s">
        <v>600</v>
      </c>
      <c r="L943" s="1" t="s">
        <v>1821</v>
      </c>
      <c r="M943" s="1" t="s">
        <v>2432</v>
      </c>
      <c r="N943" s="1" t="s">
        <v>2443</v>
      </c>
      <c r="O943" s="1" t="s">
        <v>1497</v>
      </c>
      <c r="P943" s="1" t="s">
        <v>323</v>
      </c>
      <c r="Q943" s="1" t="s">
        <v>899</v>
      </c>
      <c r="R943" s="1" t="s">
        <v>550</v>
      </c>
      <c r="S943" s="1" t="s">
        <v>45</v>
      </c>
      <c r="T943" s="1" t="s">
        <v>350</v>
      </c>
      <c r="U943" s="1" t="s">
        <v>1300</v>
      </c>
      <c r="V943" s="1" t="s">
        <v>184</v>
      </c>
      <c r="W943" s="1" t="s">
        <v>283</v>
      </c>
      <c r="X943" s="1" t="s">
        <v>1618</v>
      </c>
      <c r="Y943" s="1" t="s">
        <v>242</v>
      </c>
      <c r="Z943" s="1">
        <v>1.0</v>
      </c>
    </row>
    <row r="944">
      <c r="A944" s="1" t="s">
        <v>2831</v>
      </c>
      <c r="B944" s="1" t="s">
        <v>2770</v>
      </c>
      <c r="C944" s="1" t="s">
        <v>2115</v>
      </c>
      <c r="D944" s="1">
        <v>252.0</v>
      </c>
      <c r="E944" s="1">
        <v>84.0</v>
      </c>
      <c r="F944" s="1">
        <v>75.0</v>
      </c>
      <c r="G944" s="1">
        <v>80.0</v>
      </c>
      <c r="H944" s="1">
        <v>85.0</v>
      </c>
      <c r="I944" s="1">
        <v>79.0</v>
      </c>
      <c r="J944" s="1">
        <v>80.0</v>
      </c>
      <c r="K944" s="1">
        <v>89.0</v>
      </c>
      <c r="L944" s="1">
        <v>71.0</v>
      </c>
      <c r="M944" s="1">
        <v>76.0</v>
      </c>
      <c r="N944" s="1">
        <v>41.0</v>
      </c>
      <c r="O944" s="1">
        <v>30.0</v>
      </c>
      <c r="P944" s="1">
        <v>82.0</v>
      </c>
      <c r="Q944" s="1">
        <v>44.0</v>
      </c>
      <c r="R944" s="1">
        <v>60.0</v>
      </c>
      <c r="S944" s="1">
        <v>93.0</v>
      </c>
      <c r="T944" s="1">
        <v>69.0</v>
      </c>
      <c r="U944" s="1">
        <v>94.0</v>
      </c>
      <c r="V944" s="1">
        <v>70.0</v>
      </c>
      <c r="W944" s="1">
        <v>55.0</v>
      </c>
      <c r="X944" s="1">
        <v>83.0</v>
      </c>
      <c r="Y944" s="1">
        <v>80.0</v>
      </c>
      <c r="Z944" s="1">
        <v>1.0</v>
      </c>
    </row>
    <row r="945">
      <c r="A945" s="1" t="s">
        <v>2832</v>
      </c>
      <c r="B945" s="1" t="s">
        <v>2770</v>
      </c>
      <c r="C945" s="1" t="s">
        <v>2783</v>
      </c>
      <c r="D945" s="1" t="s">
        <v>2816</v>
      </c>
      <c r="E945" s="1" t="s">
        <v>517</v>
      </c>
      <c r="F945" s="1" t="s">
        <v>863</v>
      </c>
      <c r="G945" s="1" t="s">
        <v>212</v>
      </c>
      <c r="H945" s="1" t="s">
        <v>1393</v>
      </c>
      <c r="I945" s="1" t="s">
        <v>633</v>
      </c>
      <c r="J945" s="1" t="s">
        <v>780</v>
      </c>
      <c r="K945" s="1" t="s">
        <v>220</v>
      </c>
      <c r="L945" s="1" t="s">
        <v>1627</v>
      </c>
      <c r="M945" s="1" t="s">
        <v>855</v>
      </c>
      <c r="N945" s="1" t="s">
        <v>2833</v>
      </c>
      <c r="O945" s="1" t="s">
        <v>2834</v>
      </c>
      <c r="P945" s="1">
        <v>82.0</v>
      </c>
      <c r="Q945" s="1" t="s">
        <v>450</v>
      </c>
      <c r="R945" s="1" t="s">
        <v>1764</v>
      </c>
      <c r="S945" s="1">
        <v>84.0</v>
      </c>
      <c r="T945" s="1" t="s">
        <v>237</v>
      </c>
      <c r="U945" s="1">
        <v>85.0</v>
      </c>
      <c r="V945" s="1" t="s">
        <v>1410</v>
      </c>
      <c r="W945" s="1" t="s">
        <v>2835</v>
      </c>
      <c r="X945" s="1" t="s">
        <v>271</v>
      </c>
      <c r="Y945" s="1" t="s">
        <v>1396</v>
      </c>
      <c r="Z945" s="1">
        <v>1.0</v>
      </c>
    </row>
    <row r="946">
      <c r="A946" s="1" t="s">
        <v>2836</v>
      </c>
      <c r="B946" s="1" t="s">
        <v>2770</v>
      </c>
      <c r="C946" s="1" t="s">
        <v>2327</v>
      </c>
      <c r="D946" s="1">
        <v>253.0</v>
      </c>
      <c r="E946" s="1">
        <v>84.0</v>
      </c>
      <c r="F946" s="1">
        <v>80.0</v>
      </c>
      <c r="G946" s="1">
        <v>87.0</v>
      </c>
      <c r="H946" s="1">
        <v>95.0</v>
      </c>
      <c r="I946" s="1">
        <v>67.0</v>
      </c>
      <c r="J946" s="1">
        <v>55.0</v>
      </c>
      <c r="K946" s="1">
        <v>36.0</v>
      </c>
      <c r="L946" s="1">
        <v>80.0</v>
      </c>
      <c r="M946" s="1">
        <v>87.0</v>
      </c>
      <c r="N946" s="1">
        <v>56.0</v>
      </c>
      <c r="O946" s="1">
        <v>55.0</v>
      </c>
      <c r="P946" s="1">
        <v>85.0</v>
      </c>
      <c r="Q946" s="1">
        <v>42.0</v>
      </c>
      <c r="R946" s="1">
        <v>40.0</v>
      </c>
      <c r="S946" s="1">
        <v>68.0</v>
      </c>
      <c r="T946" s="1">
        <v>80.0</v>
      </c>
      <c r="U946" s="1">
        <v>92.0</v>
      </c>
      <c r="V946" s="1">
        <v>68.0</v>
      </c>
      <c r="W946" s="1">
        <v>55.0</v>
      </c>
      <c r="X946" s="1">
        <v>95.0</v>
      </c>
      <c r="Y946" s="1">
        <v>75.0</v>
      </c>
      <c r="Z946" s="1">
        <v>1.0</v>
      </c>
    </row>
    <row r="947">
      <c r="A947" s="1" t="s">
        <v>2370</v>
      </c>
      <c r="B947" s="1" t="s">
        <v>2770</v>
      </c>
      <c r="C947" s="1" t="s">
        <v>2803</v>
      </c>
      <c r="D947" s="1" t="s">
        <v>2837</v>
      </c>
      <c r="E947" s="1" t="s">
        <v>1098</v>
      </c>
      <c r="F947" s="1" t="s">
        <v>994</v>
      </c>
      <c r="G947" s="1" t="s">
        <v>2289</v>
      </c>
      <c r="H947" s="1" t="s">
        <v>1004</v>
      </c>
      <c r="I947" s="1" t="s">
        <v>1004</v>
      </c>
      <c r="J947" s="1" t="s">
        <v>2838</v>
      </c>
      <c r="K947" s="1" t="s">
        <v>2148</v>
      </c>
      <c r="L947" s="1" t="s">
        <v>2839</v>
      </c>
      <c r="M947" s="1" t="s">
        <v>322</v>
      </c>
      <c r="N947" s="1" t="s">
        <v>1252</v>
      </c>
      <c r="O947" s="1" t="s">
        <v>55</v>
      </c>
      <c r="P947" s="1" t="s">
        <v>225</v>
      </c>
      <c r="Q947" s="1" t="s">
        <v>1277</v>
      </c>
      <c r="R947" s="1" t="s">
        <v>1726</v>
      </c>
      <c r="S947" s="1" t="s">
        <v>2188</v>
      </c>
      <c r="T947" s="1" t="s">
        <v>2190</v>
      </c>
      <c r="U947" s="1" t="s">
        <v>122</v>
      </c>
      <c r="V947" s="1" t="s">
        <v>2383</v>
      </c>
      <c r="W947" s="1" t="s">
        <v>856</v>
      </c>
      <c r="X947" s="1" t="s">
        <v>115</v>
      </c>
      <c r="Y947" s="1" t="s">
        <v>490</v>
      </c>
      <c r="Z947" s="1">
        <v>1.0</v>
      </c>
    </row>
    <row r="948">
      <c r="A948" s="1" t="s">
        <v>560</v>
      </c>
      <c r="B948" s="1" t="s">
        <v>2770</v>
      </c>
      <c r="C948" s="1" t="s">
        <v>2115</v>
      </c>
      <c r="D948" s="1">
        <v>253.0</v>
      </c>
      <c r="E948" s="1">
        <v>95.0</v>
      </c>
      <c r="F948" s="1">
        <v>82.0</v>
      </c>
      <c r="G948" s="1">
        <v>87.0</v>
      </c>
      <c r="H948" s="1">
        <v>89.0</v>
      </c>
      <c r="I948" s="1">
        <v>96.0</v>
      </c>
      <c r="J948" s="1">
        <v>88.0</v>
      </c>
      <c r="K948" s="1">
        <v>85.0</v>
      </c>
      <c r="L948" s="1">
        <v>93.0</v>
      </c>
      <c r="M948" s="1">
        <v>58.0</v>
      </c>
      <c r="N948" s="1">
        <v>69.0</v>
      </c>
      <c r="O948" s="1">
        <v>61.0</v>
      </c>
      <c r="P948" s="1">
        <v>63.0</v>
      </c>
      <c r="Q948" s="1">
        <v>46.0</v>
      </c>
      <c r="R948" s="1">
        <v>68.0</v>
      </c>
      <c r="S948" s="1">
        <v>80.0</v>
      </c>
      <c r="T948" s="1">
        <v>80.0</v>
      </c>
      <c r="U948" s="1">
        <v>80.0</v>
      </c>
      <c r="V948" s="1">
        <v>61.0</v>
      </c>
      <c r="W948" s="1">
        <v>56.0</v>
      </c>
      <c r="X948" s="1">
        <v>68.0</v>
      </c>
      <c r="Y948" s="1">
        <v>70.0</v>
      </c>
      <c r="Z948" s="1">
        <v>1.0</v>
      </c>
    </row>
    <row r="949">
      <c r="A949" s="1" t="s">
        <v>2338</v>
      </c>
      <c r="B949" s="1" t="s">
        <v>2770</v>
      </c>
      <c r="C949" s="1" t="s">
        <v>2776</v>
      </c>
      <c r="D949" s="1" t="s">
        <v>2840</v>
      </c>
      <c r="E949" s="1" t="s">
        <v>113</v>
      </c>
      <c r="F949" s="1" t="s">
        <v>1571</v>
      </c>
      <c r="G949" s="1" t="s">
        <v>1740</v>
      </c>
      <c r="H949" s="1" t="s">
        <v>390</v>
      </c>
      <c r="I949" s="1" t="s">
        <v>2841</v>
      </c>
      <c r="J949" s="1" t="s">
        <v>424</v>
      </c>
      <c r="K949" s="1" t="s">
        <v>220</v>
      </c>
      <c r="L949" s="1" t="s">
        <v>2199</v>
      </c>
      <c r="M949" s="1" t="s">
        <v>2239</v>
      </c>
      <c r="N949" s="1" t="s">
        <v>185</v>
      </c>
      <c r="O949" s="1" t="s">
        <v>102</v>
      </c>
      <c r="P949" s="1" t="s">
        <v>582</v>
      </c>
      <c r="Q949" s="1" t="s">
        <v>2603</v>
      </c>
      <c r="R949" s="1" t="s">
        <v>2648</v>
      </c>
      <c r="S949" s="1" t="s">
        <v>45</v>
      </c>
      <c r="T949" s="1" t="s">
        <v>35</v>
      </c>
      <c r="U949" s="1" t="s">
        <v>536</v>
      </c>
      <c r="V949" s="1" t="s">
        <v>1940</v>
      </c>
      <c r="W949" s="1" t="s">
        <v>2842</v>
      </c>
      <c r="X949" s="1" t="s">
        <v>137</v>
      </c>
      <c r="Y949" s="1" t="s">
        <v>1199</v>
      </c>
      <c r="Z949" s="1">
        <v>1.0</v>
      </c>
    </row>
    <row r="950">
      <c r="A950" s="1" t="s">
        <v>2492</v>
      </c>
      <c r="B950" s="1" t="s">
        <v>2770</v>
      </c>
      <c r="C950" s="1" t="s">
        <v>2776</v>
      </c>
      <c r="D950" s="1" t="s">
        <v>2816</v>
      </c>
      <c r="E950" s="1" t="s">
        <v>113</v>
      </c>
      <c r="F950" s="1" t="s">
        <v>1365</v>
      </c>
      <c r="G950" s="1" t="s">
        <v>731</v>
      </c>
      <c r="H950" s="1" t="s">
        <v>36</v>
      </c>
      <c r="I950" s="1" t="s">
        <v>530</v>
      </c>
      <c r="J950" s="1" t="s">
        <v>2551</v>
      </c>
      <c r="K950" s="1" t="s">
        <v>600</v>
      </c>
      <c r="L950" s="1" t="s">
        <v>1303</v>
      </c>
      <c r="M950" s="1" t="s">
        <v>98</v>
      </c>
      <c r="N950" s="1" t="s">
        <v>2843</v>
      </c>
      <c r="O950" s="1" t="s">
        <v>449</v>
      </c>
      <c r="P950" s="1" t="s">
        <v>802</v>
      </c>
      <c r="Q950" s="1" t="s">
        <v>2378</v>
      </c>
      <c r="R950" s="1" t="s">
        <v>2337</v>
      </c>
      <c r="S950" s="1" t="s">
        <v>328</v>
      </c>
      <c r="T950" s="1" t="s">
        <v>96</v>
      </c>
      <c r="U950" s="1" t="s">
        <v>96</v>
      </c>
      <c r="V950" s="1" t="s">
        <v>1008</v>
      </c>
      <c r="W950" s="1" t="s">
        <v>2844</v>
      </c>
      <c r="X950" s="1" t="s">
        <v>99</v>
      </c>
      <c r="Y950" s="1" t="s">
        <v>1563</v>
      </c>
      <c r="Z950" s="1">
        <v>1.0</v>
      </c>
    </row>
    <row r="951">
      <c r="A951" s="1" t="s">
        <v>2564</v>
      </c>
      <c r="B951" s="1" t="s">
        <v>2770</v>
      </c>
      <c r="C951" s="1" t="s">
        <v>192</v>
      </c>
      <c r="D951" s="1">
        <v>263.0</v>
      </c>
      <c r="E951" s="1">
        <v>76.0</v>
      </c>
      <c r="F951" s="1">
        <v>51.0</v>
      </c>
      <c r="G951" s="1">
        <v>63.0</v>
      </c>
      <c r="H951" s="1">
        <v>72.0</v>
      </c>
      <c r="I951" s="1">
        <v>57.0</v>
      </c>
      <c r="J951" s="1">
        <v>85.0</v>
      </c>
      <c r="K951" s="1">
        <v>79.0</v>
      </c>
      <c r="L951" s="1">
        <v>60.0</v>
      </c>
      <c r="M951" s="1">
        <v>71.0</v>
      </c>
      <c r="N951" s="1">
        <v>61.0</v>
      </c>
      <c r="O951" s="1">
        <v>63.0</v>
      </c>
      <c r="P951" s="1">
        <v>69.0</v>
      </c>
      <c r="Q951" s="1">
        <v>82.0</v>
      </c>
      <c r="R951" s="1">
        <v>85.0</v>
      </c>
      <c r="S951" s="1">
        <v>78.0</v>
      </c>
      <c r="T951" s="1">
        <v>85.0</v>
      </c>
      <c r="U951" s="1">
        <v>94.0</v>
      </c>
      <c r="V951" s="1">
        <v>88.0</v>
      </c>
      <c r="W951" s="1">
        <v>78.0</v>
      </c>
      <c r="X951" s="1">
        <v>91.0</v>
      </c>
      <c r="Y951" s="1">
        <v>85.0</v>
      </c>
      <c r="Z951" s="1">
        <v>1.0</v>
      </c>
    </row>
    <row r="952">
      <c r="A952" s="1" t="s">
        <v>2109</v>
      </c>
      <c r="B952" s="1" t="s">
        <v>2770</v>
      </c>
      <c r="C952" s="1" t="s">
        <v>2327</v>
      </c>
      <c r="D952" s="1">
        <v>245.0</v>
      </c>
      <c r="E952" s="1">
        <v>83.0</v>
      </c>
      <c r="F952" s="1">
        <v>74.0</v>
      </c>
      <c r="G952" s="1">
        <v>83.0</v>
      </c>
      <c r="H952" s="1">
        <v>84.0</v>
      </c>
      <c r="I952" s="1">
        <v>78.0</v>
      </c>
      <c r="J952" s="1">
        <v>79.0</v>
      </c>
      <c r="K952" s="1">
        <v>84.0</v>
      </c>
      <c r="L952" s="1">
        <v>68.0</v>
      </c>
      <c r="M952" s="1">
        <v>76.0</v>
      </c>
      <c r="N952" s="1">
        <v>70.0</v>
      </c>
      <c r="O952" s="1">
        <v>57.0</v>
      </c>
      <c r="P952" s="1">
        <v>84.0</v>
      </c>
      <c r="Q952" s="1">
        <v>44.0</v>
      </c>
      <c r="R952" s="1">
        <v>61.0</v>
      </c>
      <c r="S952" s="1">
        <v>92.0</v>
      </c>
      <c r="T952" s="1">
        <v>75.0</v>
      </c>
      <c r="U952" s="1">
        <v>91.0</v>
      </c>
      <c r="V952" s="1">
        <v>70.0</v>
      </c>
      <c r="W952" s="1">
        <v>58.0</v>
      </c>
      <c r="X952" s="1">
        <v>85.0</v>
      </c>
      <c r="Y952" s="1">
        <v>80.0</v>
      </c>
      <c r="Z952" s="1">
        <v>1.0</v>
      </c>
    </row>
    <row r="953">
      <c r="A953" s="1" t="s">
        <v>2845</v>
      </c>
      <c r="B953" s="1" t="s">
        <v>2770</v>
      </c>
      <c r="C953" s="1" t="s">
        <v>2327</v>
      </c>
      <c r="D953" s="1">
        <v>257.0</v>
      </c>
      <c r="E953" s="1">
        <v>86.0</v>
      </c>
      <c r="F953" s="1">
        <v>70.0</v>
      </c>
      <c r="G953" s="1">
        <v>73.0</v>
      </c>
      <c r="H953" s="1">
        <v>95.0</v>
      </c>
      <c r="I953" s="1">
        <v>91.0</v>
      </c>
      <c r="J953" s="1">
        <v>46.0</v>
      </c>
      <c r="K953" s="1">
        <v>25.0</v>
      </c>
      <c r="L953" s="1">
        <v>47.0</v>
      </c>
      <c r="M953" s="1">
        <v>82.0</v>
      </c>
      <c r="N953" s="1">
        <v>50.0</v>
      </c>
      <c r="O953" s="1">
        <v>52.0</v>
      </c>
      <c r="P953" s="1">
        <v>88.0</v>
      </c>
      <c r="Q953" s="1">
        <v>38.0</v>
      </c>
      <c r="R953" s="1">
        <v>43.0</v>
      </c>
      <c r="S953" s="1">
        <v>90.0</v>
      </c>
      <c r="T953" s="1">
        <v>94.0</v>
      </c>
      <c r="U953" s="1">
        <v>80.0</v>
      </c>
      <c r="V953" s="1">
        <v>52.0</v>
      </c>
      <c r="W953" s="1">
        <v>54.0</v>
      </c>
      <c r="X953" s="1">
        <v>90.0</v>
      </c>
      <c r="Y953" s="1">
        <v>77.0</v>
      </c>
      <c r="Z953" s="1">
        <v>1.0</v>
      </c>
    </row>
    <row r="954">
      <c r="A954" s="1" t="s">
        <v>2743</v>
      </c>
      <c r="B954" s="1" t="s">
        <v>2770</v>
      </c>
      <c r="C954" s="1" t="s">
        <v>2166</v>
      </c>
      <c r="D954" s="1" t="s">
        <v>2846</v>
      </c>
      <c r="E954" s="1" t="s">
        <v>221</v>
      </c>
      <c r="F954" s="1" t="s">
        <v>30</v>
      </c>
      <c r="G954" s="1" t="s">
        <v>766</v>
      </c>
      <c r="H954" s="1" t="s">
        <v>571</v>
      </c>
      <c r="I954" s="1" t="s">
        <v>891</v>
      </c>
      <c r="J954" s="1" t="s">
        <v>242</v>
      </c>
      <c r="K954" s="1" t="s">
        <v>190</v>
      </c>
      <c r="L954" s="1" t="s">
        <v>453</v>
      </c>
      <c r="M954" s="1" t="s">
        <v>847</v>
      </c>
      <c r="N954" s="1" t="s">
        <v>2847</v>
      </c>
      <c r="O954" s="1" t="s">
        <v>2848</v>
      </c>
      <c r="P954" s="1" t="s">
        <v>1226</v>
      </c>
      <c r="Q954" s="1" t="s">
        <v>2849</v>
      </c>
      <c r="R954" s="1" t="s">
        <v>2850</v>
      </c>
      <c r="S954" s="1" t="s">
        <v>180</v>
      </c>
      <c r="T954" s="1" t="s">
        <v>205</v>
      </c>
      <c r="U954" s="1" t="s">
        <v>867</v>
      </c>
      <c r="V954" s="1" t="s">
        <v>1607</v>
      </c>
      <c r="W954" s="1">
        <v>58.0</v>
      </c>
      <c r="X954" s="1" t="s">
        <v>1346</v>
      </c>
      <c r="Y954" s="1" t="s">
        <v>150</v>
      </c>
      <c r="Z954" s="1">
        <v>1.0</v>
      </c>
    </row>
    <row r="955">
      <c r="A955" s="1" t="s">
        <v>1135</v>
      </c>
      <c r="B955" s="1" t="s">
        <v>2770</v>
      </c>
      <c r="C955" s="1" t="s">
        <v>1579</v>
      </c>
      <c r="D955" s="1">
        <v>250.0</v>
      </c>
      <c r="E955" s="1">
        <v>75.0</v>
      </c>
      <c r="F955" s="1">
        <v>67.0</v>
      </c>
      <c r="G955" s="1">
        <v>87.0</v>
      </c>
      <c r="H955" s="1">
        <v>64.0</v>
      </c>
      <c r="I955" s="1">
        <v>53.0</v>
      </c>
      <c r="J955" s="1">
        <v>85.0</v>
      </c>
      <c r="K955" s="1">
        <v>83.0</v>
      </c>
      <c r="L955" s="1">
        <v>71.0</v>
      </c>
      <c r="M955" s="1">
        <v>88.0</v>
      </c>
      <c r="N955" s="1">
        <v>63.0</v>
      </c>
      <c r="O955" s="1">
        <v>48.0</v>
      </c>
      <c r="P955" s="1">
        <v>88.0</v>
      </c>
      <c r="Q955" s="1">
        <v>44.0</v>
      </c>
      <c r="R955" s="1">
        <v>76.0</v>
      </c>
      <c r="S955" s="1">
        <v>91.0</v>
      </c>
      <c r="T955" s="1">
        <v>85.0</v>
      </c>
      <c r="U955" s="1">
        <v>75.0</v>
      </c>
      <c r="V955" s="1">
        <v>74.0</v>
      </c>
      <c r="W955" s="1">
        <v>65.0</v>
      </c>
      <c r="X955" s="1">
        <v>84.0</v>
      </c>
      <c r="Y955" s="1">
        <v>83.0</v>
      </c>
      <c r="Z955" s="1">
        <v>1.0</v>
      </c>
    </row>
    <row r="956">
      <c r="A956" s="1" t="s">
        <v>2687</v>
      </c>
      <c r="B956" s="1" t="s">
        <v>2770</v>
      </c>
      <c r="C956" s="1" t="s">
        <v>2851</v>
      </c>
      <c r="D956" s="1" t="s">
        <v>2852</v>
      </c>
      <c r="E956" s="1" t="s">
        <v>766</v>
      </c>
      <c r="F956" s="1" t="s">
        <v>402</v>
      </c>
      <c r="G956" s="1" t="s">
        <v>974</v>
      </c>
      <c r="H956" s="1" t="s">
        <v>597</v>
      </c>
      <c r="I956" s="1" t="s">
        <v>614</v>
      </c>
      <c r="J956" s="1" t="s">
        <v>48</v>
      </c>
      <c r="K956" s="1" t="s">
        <v>878</v>
      </c>
      <c r="L956" s="1" t="s">
        <v>1428</v>
      </c>
      <c r="M956" s="1" t="s">
        <v>871</v>
      </c>
      <c r="N956" s="1" t="s">
        <v>2853</v>
      </c>
      <c r="O956" s="1" t="s">
        <v>474</v>
      </c>
      <c r="P956" s="1" t="s">
        <v>595</v>
      </c>
      <c r="Q956" s="1" t="s">
        <v>2854</v>
      </c>
      <c r="R956" s="1" t="s">
        <v>2855</v>
      </c>
      <c r="S956" s="1" t="s">
        <v>45</v>
      </c>
      <c r="T956" s="1" t="s">
        <v>860</v>
      </c>
      <c r="U956" s="1" t="s">
        <v>133</v>
      </c>
      <c r="V956" s="1" t="s">
        <v>2192</v>
      </c>
      <c r="W956" s="1" t="s">
        <v>1395</v>
      </c>
      <c r="X956" s="1" t="s">
        <v>1202</v>
      </c>
      <c r="Y956" s="1" t="s">
        <v>242</v>
      </c>
      <c r="Z956" s="1">
        <v>1.0</v>
      </c>
    </row>
    <row r="957">
      <c r="A957" s="1" t="s">
        <v>2856</v>
      </c>
      <c r="B957" s="1" t="s">
        <v>2770</v>
      </c>
      <c r="C957" s="1" t="s">
        <v>2327</v>
      </c>
      <c r="D957" s="1" t="s">
        <v>2857</v>
      </c>
      <c r="E957" s="1" t="s">
        <v>190</v>
      </c>
      <c r="F957" s="1" t="s">
        <v>1920</v>
      </c>
      <c r="G957" s="1" t="s">
        <v>1296</v>
      </c>
      <c r="H957" s="1">
        <v>90.0</v>
      </c>
      <c r="I957" s="1" t="s">
        <v>1375</v>
      </c>
      <c r="J957" s="1" t="s">
        <v>64</v>
      </c>
      <c r="K957" s="1" t="s">
        <v>1546</v>
      </c>
      <c r="L957" s="1" t="s">
        <v>2858</v>
      </c>
      <c r="M957" s="1" t="s">
        <v>201</v>
      </c>
      <c r="N957" s="1" t="s">
        <v>2195</v>
      </c>
      <c r="O957" s="1" t="s">
        <v>2859</v>
      </c>
      <c r="P957" s="1" t="s">
        <v>657</v>
      </c>
      <c r="Q957" s="1" t="s">
        <v>1123</v>
      </c>
      <c r="R957" s="1" t="s">
        <v>437</v>
      </c>
      <c r="S957" s="1" t="s">
        <v>188</v>
      </c>
      <c r="T957" s="1" t="s">
        <v>570</v>
      </c>
      <c r="U957" s="1" t="s">
        <v>96</v>
      </c>
      <c r="V957" s="1" t="s">
        <v>1152</v>
      </c>
      <c r="W957" s="1" t="s">
        <v>2860</v>
      </c>
      <c r="X957" s="1" t="s">
        <v>1220</v>
      </c>
      <c r="Y957" s="1" t="s">
        <v>847</v>
      </c>
      <c r="Z957" s="1">
        <v>1.0</v>
      </c>
    </row>
    <row r="958">
      <c r="A958" s="1" t="s">
        <v>2562</v>
      </c>
      <c r="B958" s="1" t="s">
        <v>2770</v>
      </c>
      <c r="C958" s="1" t="s">
        <v>2776</v>
      </c>
      <c r="D958" s="1" t="s">
        <v>2861</v>
      </c>
      <c r="E958" s="1" t="s">
        <v>384</v>
      </c>
      <c r="F958" s="1" t="s">
        <v>1044</v>
      </c>
      <c r="G958" s="1" t="s">
        <v>163</v>
      </c>
      <c r="H958" s="1" t="s">
        <v>36</v>
      </c>
      <c r="I958" s="1" t="s">
        <v>1428</v>
      </c>
      <c r="J958" s="1" t="s">
        <v>2862</v>
      </c>
      <c r="K958" s="1" t="s">
        <v>129</v>
      </c>
      <c r="L958" s="1" t="s">
        <v>1526</v>
      </c>
      <c r="M958" s="1" t="s">
        <v>2863</v>
      </c>
      <c r="N958" s="1" t="s">
        <v>959</v>
      </c>
      <c r="O958" s="1" t="s">
        <v>2864</v>
      </c>
      <c r="P958" s="1" t="s">
        <v>517</v>
      </c>
      <c r="Q958" s="1" t="s">
        <v>2680</v>
      </c>
      <c r="R958" s="1" t="s">
        <v>1646</v>
      </c>
      <c r="S958" s="1" t="s">
        <v>1073</v>
      </c>
      <c r="T958" s="1" t="s">
        <v>1095</v>
      </c>
      <c r="U958" s="1" t="s">
        <v>1188</v>
      </c>
      <c r="V958" s="1" t="s">
        <v>1996</v>
      </c>
      <c r="W958" s="1" t="s">
        <v>2340</v>
      </c>
      <c r="X958" s="1" t="s">
        <v>2865</v>
      </c>
      <c r="Y958" s="1" t="s">
        <v>2866</v>
      </c>
      <c r="Z958" s="1">
        <v>1.0</v>
      </c>
    </row>
    <row r="959">
      <c r="A959" s="1" t="s">
        <v>1988</v>
      </c>
      <c r="B959" s="1" t="s">
        <v>2770</v>
      </c>
      <c r="C959" s="1" t="s">
        <v>2803</v>
      </c>
      <c r="D959" s="1" t="s">
        <v>2867</v>
      </c>
      <c r="E959" s="1" t="s">
        <v>445</v>
      </c>
      <c r="F959" s="1" t="s">
        <v>1856</v>
      </c>
      <c r="G959" s="1" t="s">
        <v>2425</v>
      </c>
      <c r="H959" s="1" t="s">
        <v>2865</v>
      </c>
      <c r="I959" s="1" t="s">
        <v>902</v>
      </c>
      <c r="J959" s="1" t="s">
        <v>495</v>
      </c>
      <c r="K959" s="1" t="s">
        <v>802</v>
      </c>
      <c r="L959" s="1" t="s">
        <v>160</v>
      </c>
      <c r="M959" s="1" t="s">
        <v>59</v>
      </c>
      <c r="N959" s="1" t="s">
        <v>2868</v>
      </c>
      <c r="O959" s="1" t="s">
        <v>505</v>
      </c>
      <c r="P959" s="1" t="s">
        <v>300</v>
      </c>
      <c r="Q959" s="1" t="s">
        <v>2603</v>
      </c>
      <c r="R959" s="1" t="s">
        <v>899</v>
      </c>
      <c r="S959" s="1" t="s">
        <v>225</v>
      </c>
      <c r="T959" s="1" t="s">
        <v>110</v>
      </c>
      <c r="U959" s="1" t="s">
        <v>401</v>
      </c>
      <c r="V959" s="1" t="s">
        <v>1577</v>
      </c>
      <c r="W959" s="1" t="s">
        <v>2869</v>
      </c>
      <c r="X959" s="1" t="s">
        <v>2303</v>
      </c>
      <c r="Y959" s="1" t="s">
        <v>1368</v>
      </c>
      <c r="Z959" s="1">
        <v>1.0</v>
      </c>
    </row>
    <row r="960">
      <c r="A960" s="1" t="s">
        <v>2870</v>
      </c>
      <c r="B960" s="1" t="s">
        <v>2770</v>
      </c>
      <c r="C960" s="1" t="s">
        <v>2871</v>
      </c>
      <c r="D960" s="1" t="s">
        <v>2872</v>
      </c>
      <c r="E960" s="1">
        <v>84.0</v>
      </c>
      <c r="F960" s="1" t="s">
        <v>881</v>
      </c>
      <c r="G960" s="1" t="s">
        <v>752</v>
      </c>
      <c r="H960" s="1" t="s">
        <v>485</v>
      </c>
      <c r="I960" s="1" t="s">
        <v>763</v>
      </c>
      <c r="J960" s="1" t="s">
        <v>410</v>
      </c>
      <c r="K960" s="1" t="s">
        <v>553</v>
      </c>
      <c r="L960" s="1" t="s">
        <v>995</v>
      </c>
      <c r="M960" s="1" t="s">
        <v>149</v>
      </c>
      <c r="N960" s="1" t="s">
        <v>2873</v>
      </c>
      <c r="O960" s="1" t="s">
        <v>298</v>
      </c>
      <c r="P960" s="1" t="s">
        <v>82</v>
      </c>
      <c r="Q960" s="1" t="s">
        <v>261</v>
      </c>
      <c r="R960" s="1" t="s">
        <v>879</v>
      </c>
      <c r="S960" s="1" t="s">
        <v>322</v>
      </c>
      <c r="T960" s="1" t="s">
        <v>1563</v>
      </c>
      <c r="U960" s="1" t="s">
        <v>96</v>
      </c>
      <c r="V960" s="1" t="s">
        <v>2323</v>
      </c>
      <c r="W960" s="1" t="s">
        <v>733</v>
      </c>
      <c r="X960" s="1" t="s">
        <v>840</v>
      </c>
      <c r="Y960" s="1" t="s">
        <v>2613</v>
      </c>
      <c r="Z960" s="1">
        <v>1.0</v>
      </c>
    </row>
    <row r="961">
      <c r="A961" s="1" t="s">
        <v>2874</v>
      </c>
      <c r="B961" s="1" t="s">
        <v>2770</v>
      </c>
      <c r="C961" s="1" t="s">
        <v>2327</v>
      </c>
      <c r="D961" s="1" t="s">
        <v>2875</v>
      </c>
      <c r="E961" s="1">
        <v>91.0</v>
      </c>
      <c r="F961" s="1" t="s">
        <v>839</v>
      </c>
      <c r="G961" s="1">
        <v>70.0</v>
      </c>
      <c r="H961" s="1">
        <v>81.0</v>
      </c>
      <c r="I961" s="1">
        <v>67.0</v>
      </c>
      <c r="J961" s="1">
        <v>70.0</v>
      </c>
      <c r="K961" s="1">
        <v>80.0</v>
      </c>
      <c r="L961" s="1" t="s">
        <v>1122</v>
      </c>
      <c r="M961" s="1">
        <v>93.0</v>
      </c>
      <c r="N961" s="1" t="s">
        <v>2072</v>
      </c>
      <c r="O961" s="1" t="s">
        <v>1197</v>
      </c>
      <c r="P961" s="1">
        <v>76.0</v>
      </c>
      <c r="Q961" s="1">
        <v>64.0</v>
      </c>
      <c r="R961" s="1">
        <v>60.0</v>
      </c>
      <c r="S961" s="1">
        <v>78.0</v>
      </c>
      <c r="T961" s="1">
        <v>94.0</v>
      </c>
      <c r="U961" s="1">
        <v>89.0</v>
      </c>
      <c r="V961" s="1">
        <v>67.0</v>
      </c>
      <c r="W961" s="1">
        <v>54.0</v>
      </c>
      <c r="X961" s="1">
        <v>91.0</v>
      </c>
      <c r="Y961" s="1" t="s">
        <v>384</v>
      </c>
      <c r="Z961" s="1">
        <v>1.0</v>
      </c>
    </row>
    <row r="962">
      <c r="A962" s="1" t="s">
        <v>2876</v>
      </c>
      <c r="B962" s="1" t="s">
        <v>2770</v>
      </c>
      <c r="C962" s="1" t="s">
        <v>2871</v>
      </c>
      <c r="D962" s="1" t="s">
        <v>2877</v>
      </c>
      <c r="E962" s="1" t="s">
        <v>1098</v>
      </c>
      <c r="F962" s="1" t="s">
        <v>1428</v>
      </c>
      <c r="G962" s="1" t="s">
        <v>2878</v>
      </c>
      <c r="H962" s="1" t="s">
        <v>991</v>
      </c>
      <c r="I962" s="1" t="s">
        <v>135</v>
      </c>
      <c r="J962" s="1" t="s">
        <v>300</v>
      </c>
      <c r="K962" s="1" t="s">
        <v>1296</v>
      </c>
      <c r="L962" s="1" t="s">
        <v>363</v>
      </c>
      <c r="M962" s="1" t="s">
        <v>517</v>
      </c>
      <c r="N962" s="1" t="s">
        <v>816</v>
      </c>
      <c r="O962" s="1" t="s">
        <v>2879</v>
      </c>
      <c r="P962" s="1" t="s">
        <v>1226</v>
      </c>
      <c r="Q962" s="1" t="s">
        <v>2880</v>
      </c>
      <c r="R962" s="1" t="s">
        <v>888</v>
      </c>
      <c r="S962" s="1" t="s">
        <v>2055</v>
      </c>
      <c r="T962" s="1" t="s">
        <v>1254</v>
      </c>
      <c r="U962" s="1" t="s">
        <v>36</v>
      </c>
      <c r="V962" s="1" t="s">
        <v>2881</v>
      </c>
      <c r="W962" s="1" t="s">
        <v>1210</v>
      </c>
      <c r="X962" s="1" t="s">
        <v>517</v>
      </c>
      <c r="Y962" s="1" t="s">
        <v>437</v>
      </c>
      <c r="Z962" s="1">
        <v>1.0</v>
      </c>
    </row>
    <row r="963">
      <c r="A963" s="1" t="s">
        <v>2067</v>
      </c>
      <c r="B963" s="1" t="s">
        <v>2770</v>
      </c>
      <c r="C963" s="1" t="s">
        <v>2166</v>
      </c>
      <c r="D963" s="1" t="s">
        <v>2268</v>
      </c>
      <c r="E963" s="1" t="s">
        <v>716</v>
      </c>
      <c r="F963" s="1" t="s">
        <v>891</v>
      </c>
      <c r="G963" s="1" t="s">
        <v>568</v>
      </c>
      <c r="H963" s="1">
        <v>90.0</v>
      </c>
      <c r="I963" s="1" t="s">
        <v>753</v>
      </c>
      <c r="J963" s="1" t="s">
        <v>220</v>
      </c>
      <c r="K963" s="1" t="s">
        <v>48</v>
      </c>
      <c r="L963" s="1" t="s">
        <v>1246</v>
      </c>
      <c r="M963" s="1">
        <v>85.0</v>
      </c>
      <c r="N963" s="1" t="s">
        <v>1026</v>
      </c>
      <c r="O963" s="1" t="s">
        <v>56</v>
      </c>
      <c r="P963" s="1">
        <v>88.0</v>
      </c>
      <c r="Q963" s="1" t="s">
        <v>231</v>
      </c>
      <c r="R963" s="1" t="s">
        <v>722</v>
      </c>
      <c r="S963" s="1" t="s">
        <v>1477</v>
      </c>
      <c r="T963" s="1" t="s">
        <v>133</v>
      </c>
      <c r="U963" s="1">
        <v>85.0</v>
      </c>
      <c r="V963" s="1" t="s">
        <v>1983</v>
      </c>
      <c r="W963" s="1" t="s">
        <v>2262</v>
      </c>
      <c r="X963" s="1" t="s">
        <v>208</v>
      </c>
      <c r="Y963" s="1" t="s">
        <v>404</v>
      </c>
      <c r="Z963" s="1">
        <v>1.0</v>
      </c>
    </row>
    <row r="964">
      <c r="A964" s="1" t="s">
        <v>2882</v>
      </c>
      <c r="B964" s="1" t="s">
        <v>2770</v>
      </c>
      <c r="C964" s="1" t="s">
        <v>2776</v>
      </c>
      <c r="D964" s="1" t="s">
        <v>2883</v>
      </c>
      <c r="E964" s="1" t="s">
        <v>188</v>
      </c>
      <c r="F964" s="1" t="s">
        <v>1008</v>
      </c>
      <c r="G964" s="1" t="s">
        <v>237</v>
      </c>
      <c r="H964" s="1" t="s">
        <v>476</v>
      </c>
      <c r="I964" s="1" t="s">
        <v>1123</v>
      </c>
      <c r="J964" s="1" t="s">
        <v>913</v>
      </c>
      <c r="K964" s="1" t="s">
        <v>600</v>
      </c>
      <c r="L964" s="1" t="s">
        <v>1552</v>
      </c>
      <c r="M964" s="1" t="s">
        <v>517</v>
      </c>
      <c r="N964" s="1" t="s">
        <v>1913</v>
      </c>
      <c r="O964" s="1" t="s">
        <v>385</v>
      </c>
      <c r="P964" s="1" t="s">
        <v>929</v>
      </c>
      <c r="Q964" s="1" t="s">
        <v>2869</v>
      </c>
      <c r="R964" s="1" t="s">
        <v>202</v>
      </c>
      <c r="S964" s="1" t="s">
        <v>716</v>
      </c>
      <c r="T964" s="1" t="s">
        <v>96</v>
      </c>
      <c r="U964" s="1" t="s">
        <v>773</v>
      </c>
      <c r="V964" s="1" t="s">
        <v>184</v>
      </c>
      <c r="W964" s="1" t="s">
        <v>638</v>
      </c>
      <c r="X964" s="1" t="s">
        <v>1787</v>
      </c>
      <c r="Y964" s="1" t="s">
        <v>1278</v>
      </c>
      <c r="Z964" s="1">
        <v>1.0</v>
      </c>
    </row>
    <row r="965">
      <c r="A965" s="1" t="s">
        <v>2604</v>
      </c>
      <c r="B965" s="1" t="s">
        <v>2770</v>
      </c>
      <c r="C965" s="1" t="s">
        <v>2327</v>
      </c>
      <c r="D965" s="1">
        <v>219.0</v>
      </c>
      <c r="E965" s="1">
        <v>86.0</v>
      </c>
      <c r="F965" s="1">
        <v>72.0</v>
      </c>
      <c r="G965" s="1">
        <v>85.0</v>
      </c>
      <c r="H965" s="1">
        <v>82.0</v>
      </c>
      <c r="I965" s="1">
        <v>64.0</v>
      </c>
      <c r="J965" s="1">
        <v>90.0</v>
      </c>
      <c r="K965" s="1">
        <v>90.0</v>
      </c>
      <c r="L965" s="1">
        <v>68.0</v>
      </c>
      <c r="M965" s="1">
        <v>75.0</v>
      </c>
      <c r="N965" s="1">
        <v>74.0</v>
      </c>
      <c r="O965" s="1">
        <v>64.0</v>
      </c>
      <c r="P965" s="1">
        <v>88.0</v>
      </c>
      <c r="Q965" s="1">
        <v>65.0</v>
      </c>
      <c r="R965" s="1">
        <v>43.0</v>
      </c>
      <c r="S965" s="1">
        <v>77.0</v>
      </c>
      <c r="T965" s="1">
        <v>82.0</v>
      </c>
      <c r="U965" s="1">
        <v>83.0</v>
      </c>
      <c r="V965" s="1">
        <v>75.0</v>
      </c>
      <c r="W965" s="1">
        <v>55.0</v>
      </c>
      <c r="X965" s="1">
        <v>84.0</v>
      </c>
      <c r="Y965" s="1">
        <v>87.0</v>
      </c>
      <c r="Z965" s="1">
        <v>1.0</v>
      </c>
    </row>
    <row r="966">
      <c r="A966" s="1" t="s">
        <v>677</v>
      </c>
      <c r="B966" s="1" t="s">
        <v>2770</v>
      </c>
      <c r="C966" s="1" t="s">
        <v>1534</v>
      </c>
      <c r="D966" s="1" t="s">
        <v>2884</v>
      </c>
      <c r="E966" s="1" t="s">
        <v>1607</v>
      </c>
      <c r="F966" s="1">
        <v>72.0</v>
      </c>
      <c r="G966" s="1" t="s">
        <v>617</v>
      </c>
      <c r="H966" s="1" t="s">
        <v>2532</v>
      </c>
      <c r="I966" s="1" t="s">
        <v>1083</v>
      </c>
      <c r="J966" s="1" t="s">
        <v>548</v>
      </c>
      <c r="K966" s="1" t="s">
        <v>1618</v>
      </c>
      <c r="L966" s="1" t="s">
        <v>127</v>
      </c>
      <c r="M966" s="1" t="s">
        <v>1218</v>
      </c>
      <c r="N966" s="1" t="s">
        <v>2305</v>
      </c>
      <c r="O966" s="1" t="s">
        <v>1753</v>
      </c>
      <c r="P966" s="1" t="s">
        <v>531</v>
      </c>
      <c r="Q966" s="1" t="s">
        <v>577</v>
      </c>
      <c r="R966" s="1" t="s">
        <v>1256</v>
      </c>
      <c r="S966" s="1">
        <v>84.0</v>
      </c>
      <c r="T966" s="1" t="s">
        <v>221</v>
      </c>
      <c r="U966" s="1" t="s">
        <v>136</v>
      </c>
      <c r="V966" s="1" t="s">
        <v>710</v>
      </c>
      <c r="W966" s="1" t="s">
        <v>1751</v>
      </c>
      <c r="X966" s="1" t="s">
        <v>840</v>
      </c>
      <c r="Y966" s="1" t="s">
        <v>525</v>
      </c>
      <c r="Z966" s="1">
        <v>1.0</v>
      </c>
    </row>
    <row r="967">
      <c r="A967" s="1" t="s">
        <v>2885</v>
      </c>
      <c r="B967" s="1" t="s">
        <v>2770</v>
      </c>
      <c r="C967" s="1" t="s">
        <v>2776</v>
      </c>
      <c r="D967" s="1" t="s">
        <v>2886</v>
      </c>
      <c r="E967" s="1" t="s">
        <v>207</v>
      </c>
      <c r="F967" s="1" t="s">
        <v>1142</v>
      </c>
      <c r="G967" s="1" t="s">
        <v>368</v>
      </c>
      <c r="H967" s="1" t="s">
        <v>480</v>
      </c>
      <c r="I967" s="1" t="s">
        <v>1328</v>
      </c>
      <c r="J967" s="1" t="s">
        <v>700</v>
      </c>
      <c r="K967" s="1" t="s">
        <v>419</v>
      </c>
      <c r="L967" s="1" t="s">
        <v>1560</v>
      </c>
      <c r="M967" s="1" t="s">
        <v>1199</v>
      </c>
      <c r="N967" s="1" t="s">
        <v>673</v>
      </c>
      <c r="O967" s="1" t="s">
        <v>1356</v>
      </c>
      <c r="P967" s="1" t="s">
        <v>221</v>
      </c>
      <c r="Q967" s="1" t="s">
        <v>1874</v>
      </c>
      <c r="R967" s="1" t="s">
        <v>1340</v>
      </c>
      <c r="S967" s="1" t="s">
        <v>188</v>
      </c>
      <c r="T967" s="1" t="s">
        <v>401</v>
      </c>
      <c r="U967" s="1" t="s">
        <v>536</v>
      </c>
      <c r="V967" s="1" t="s">
        <v>437</v>
      </c>
      <c r="W967" s="1" t="s">
        <v>2887</v>
      </c>
      <c r="X967" s="1" t="s">
        <v>1098</v>
      </c>
      <c r="Y967" s="1" t="s">
        <v>52</v>
      </c>
      <c r="Z967" s="1">
        <v>1.0</v>
      </c>
    </row>
    <row r="968">
      <c r="A968" s="1" t="s">
        <v>2439</v>
      </c>
      <c r="B968" s="1" t="s">
        <v>2770</v>
      </c>
      <c r="C968" s="1" t="s">
        <v>2803</v>
      </c>
      <c r="D968" s="1" t="s">
        <v>2888</v>
      </c>
      <c r="E968" s="1" t="s">
        <v>243</v>
      </c>
      <c r="F968" s="1" t="s">
        <v>38</v>
      </c>
      <c r="G968" s="1" t="s">
        <v>2889</v>
      </c>
      <c r="H968" s="1" t="s">
        <v>419</v>
      </c>
      <c r="I968" s="1" t="s">
        <v>2841</v>
      </c>
      <c r="J968" s="1" t="s">
        <v>424</v>
      </c>
      <c r="K968" s="1" t="s">
        <v>780</v>
      </c>
      <c r="L968" s="1" t="s">
        <v>1182</v>
      </c>
      <c r="M968" s="1" t="s">
        <v>2890</v>
      </c>
      <c r="N968" s="1" t="s">
        <v>185</v>
      </c>
      <c r="O968" s="1" t="s">
        <v>55</v>
      </c>
      <c r="P968" s="1" t="s">
        <v>96</v>
      </c>
      <c r="Q968" s="1" t="s">
        <v>1190</v>
      </c>
      <c r="R968" s="1" t="s">
        <v>1033</v>
      </c>
      <c r="S968" s="1" t="s">
        <v>864</v>
      </c>
      <c r="T968" s="1" t="s">
        <v>36</v>
      </c>
      <c r="U968" s="1" t="s">
        <v>350</v>
      </c>
      <c r="V968" s="1" t="s">
        <v>1141</v>
      </c>
      <c r="W968" s="1" t="s">
        <v>856</v>
      </c>
      <c r="X968" s="1" t="s">
        <v>535</v>
      </c>
      <c r="Y968" s="1" t="s">
        <v>1278</v>
      </c>
      <c r="Z968" s="1">
        <v>1.0</v>
      </c>
    </row>
    <row r="969">
      <c r="A969" s="1" t="s">
        <v>2891</v>
      </c>
      <c r="B969" s="1" t="s">
        <v>2770</v>
      </c>
      <c r="C969" s="1" t="s">
        <v>2798</v>
      </c>
      <c r="D969" s="1" t="s">
        <v>2892</v>
      </c>
      <c r="E969" s="1" t="s">
        <v>204</v>
      </c>
      <c r="F969" s="1" t="s">
        <v>1008</v>
      </c>
      <c r="G969" s="1" t="s">
        <v>1318</v>
      </c>
      <c r="H969" s="1" t="s">
        <v>157</v>
      </c>
      <c r="I969" s="1" t="s">
        <v>519</v>
      </c>
      <c r="J969" s="1" t="s">
        <v>190</v>
      </c>
      <c r="K969" s="1" t="s">
        <v>253</v>
      </c>
      <c r="L969" s="1" t="s">
        <v>1496</v>
      </c>
      <c r="M969" s="1" t="s">
        <v>322</v>
      </c>
      <c r="N969" s="1" t="s">
        <v>1937</v>
      </c>
      <c r="O969" s="1" t="s">
        <v>466</v>
      </c>
      <c r="P969" s="1" t="s">
        <v>485</v>
      </c>
      <c r="Q969" s="1" t="s">
        <v>2893</v>
      </c>
      <c r="R969" s="1" t="s">
        <v>270</v>
      </c>
      <c r="S969" s="1" t="s">
        <v>96</v>
      </c>
      <c r="T969" s="1" t="s">
        <v>413</v>
      </c>
      <c r="U969" s="1" t="s">
        <v>806</v>
      </c>
      <c r="V969" s="1" t="s">
        <v>2894</v>
      </c>
      <c r="W969" s="1" t="s">
        <v>2895</v>
      </c>
      <c r="X969" s="1" t="s">
        <v>840</v>
      </c>
      <c r="Y969" s="1" t="s">
        <v>242</v>
      </c>
      <c r="Z969" s="1">
        <v>1.0</v>
      </c>
    </row>
    <row r="970">
      <c r="A970" s="1" t="s">
        <v>2601</v>
      </c>
      <c r="B970" s="1" t="s">
        <v>2770</v>
      </c>
      <c r="C970" s="1" t="s">
        <v>2166</v>
      </c>
      <c r="D970" s="1" t="s">
        <v>2896</v>
      </c>
      <c r="E970" s="1" t="s">
        <v>1776</v>
      </c>
      <c r="F970" s="1" t="s">
        <v>1633</v>
      </c>
      <c r="G970" s="1" t="s">
        <v>333</v>
      </c>
      <c r="H970" s="1" t="s">
        <v>427</v>
      </c>
      <c r="I970" s="1" t="s">
        <v>1375</v>
      </c>
      <c r="J970" s="1" t="s">
        <v>2862</v>
      </c>
      <c r="K970" s="1" t="s">
        <v>129</v>
      </c>
      <c r="L970" s="1" t="s">
        <v>2352</v>
      </c>
      <c r="M970" s="1" t="s">
        <v>120</v>
      </c>
      <c r="N970" s="1" t="s">
        <v>2897</v>
      </c>
      <c r="O970" s="1" t="s">
        <v>2898</v>
      </c>
      <c r="P970" s="1" t="s">
        <v>45</v>
      </c>
      <c r="Q970" s="1" t="s">
        <v>481</v>
      </c>
      <c r="R970" s="1" t="s">
        <v>2899</v>
      </c>
      <c r="S970" s="1" t="s">
        <v>429</v>
      </c>
      <c r="T970" s="1" t="s">
        <v>427</v>
      </c>
      <c r="U970" s="1" t="s">
        <v>96</v>
      </c>
      <c r="V970" s="1" t="s">
        <v>894</v>
      </c>
      <c r="W970" s="1" t="s">
        <v>2844</v>
      </c>
      <c r="X970" s="1" t="s">
        <v>434</v>
      </c>
      <c r="Y970" s="1" t="s">
        <v>300</v>
      </c>
      <c r="Z970" s="1">
        <v>1.0</v>
      </c>
    </row>
    <row r="971">
      <c r="A971" s="1" t="s">
        <v>2033</v>
      </c>
      <c r="B971" s="1" t="s">
        <v>2770</v>
      </c>
      <c r="C971" s="1" t="s">
        <v>2776</v>
      </c>
      <c r="D971" s="1" t="s">
        <v>2475</v>
      </c>
      <c r="E971" s="1" t="s">
        <v>226</v>
      </c>
      <c r="F971" s="1" t="s">
        <v>1447</v>
      </c>
      <c r="G971" s="1" t="s">
        <v>305</v>
      </c>
      <c r="H971" s="1" t="s">
        <v>32</v>
      </c>
      <c r="I971" s="1" t="s">
        <v>111</v>
      </c>
      <c r="J971" s="1" t="s">
        <v>333</v>
      </c>
      <c r="K971" s="1" t="s">
        <v>1635</v>
      </c>
      <c r="L971" s="1" t="s">
        <v>2240</v>
      </c>
      <c r="M971" s="1" t="s">
        <v>807</v>
      </c>
      <c r="N971" s="1" t="s">
        <v>2900</v>
      </c>
      <c r="O971" s="1" t="s">
        <v>826</v>
      </c>
      <c r="P971" s="1" t="s">
        <v>323</v>
      </c>
      <c r="Q971" s="1" t="s">
        <v>2571</v>
      </c>
      <c r="R971" s="1" t="s">
        <v>575</v>
      </c>
      <c r="S971" s="1" t="s">
        <v>1787</v>
      </c>
      <c r="T971" s="1" t="s">
        <v>325</v>
      </c>
      <c r="U971" s="1" t="s">
        <v>96</v>
      </c>
      <c r="V971" s="1" t="s">
        <v>1194</v>
      </c>
      <c r="W971" s="1" t="s">
        <v>2901</v>
      </c>
      <c r="X971" s="1" t="s">
        <v>53</v>
      </c>
      <c r="Y971" s="1" t="s">
        <v>398</v>
      </c>
      <c r="Z971" s="1">
        <v>1.0</v>
      </c>
    </row>
    <row r="972">
      <c r="A972" s="1" t="s">
        <v>2670</v>
      </c>
      <c r="B972" s="1" t="s">
        <v>2770</v>
      </c>
      <c r="C972" s="1" t="s">
        <v>2115</v>
      </c>
      <c r="D972" s="1">
        <v>238.0</v>
      </c>
      <c r="E972" s="1">
        <v>75.0</v>
      </c>
      <c r="F972" s="1">
        <v>65.0</v>
      </c>
      <c r="G972" s="1">
        <v>85.0</v>
      </c>
      <c r="H972" s="1">
        <v>85.0</v>
      </c>
      <c r="I972" s="1">
        <v>73.0</v>
      </c>
      <c r="J972" s="1">
        <v>52.0</v>
      </c>
      <c r="K972" s="1">
        <v>32.0</v>
      </c>
      <c r="L972" s="1">
        <v>73.0</v>
      </c>
      <c r="M972" s="1">
        <v>81.0</v>
      </c>
      <c r="N972" s="1">
        <v>62.0</v>
      </c>
      <c r="O972" s="1">
        <v>63.0</v>
      </c>
      <c r="P972" s="1">
        <v>80.0</v>
      </c>
      <c r="Q972" s="1">
        <v>64.0</v>
      </c>
      <c r="R972" s="1">
        <v>70.0</v>
      </c>
      <c r="S972" s="1">
        <v>88.0</v>
      </c>
      <c r="T972" s="1">
        <v>88.0</v>
      </c>
      <c r="U972" s="1">
        <v>89.0</v>
      </c>
      <c r="V972" s="1">
        <v>74.0</v>
      </c>
      <c r="W972" s="1">
        <v>65.0</v>
      </c>
      <c r="X972" s="1">
        <v>90.0</v>
      </c>
      <c r="Y972" s="1">
        <v>86.0</v>
      </c>
      <c r="Z972" s="1">
        <v>1.0</v>
      </c>
    </row>
    <row r="973">
      <c r="A973" s="1" t="s">
        <v>1991</v>
      </c>
      <c r="B973" s="1" t="s">
        <v>2770</v>
      </c>
      <c r="C973" s="1" t="s">
        <v>2803</v>
      </c>
      <c r="D973" s="1" t="s">
        <v>2902</v>
      </c>
      <c r="E973" s="1" t="s">
        <v>761</v>
      </c>
      <c r="F973" s="1" t="s">
        <v>242</v>
      </c>
      <c r="G973" s="1" t="s">
        <v>568</v>
      </c>
      <c r="H973" s="1" t="s">
        <v>297</v>
      </c>
      <c r="I973" s="1" t="s">
        <v>2903</v>
      </c>
      <c r="J973" s="1" t="s">
        <v>2189</v>
      </c>
      <c r="K973" s="1" t="s">
        <v>220</v>
      </c>
      <c r="L973" s="1" t="s">
        <v>962</v>
      </c>
      <c r="M973" s="1" t="s">
        <v>657</v>
      </c>
      <c r="N973" s="1" t="s">
        <v>555</v>
      </c>
      <c r="O973" s="1" t="s">
        <v>668</v>
      </c>
      <c r="P973" s="1" t="s">
        <v>208</v>
      </c>
      <c r="Q973" s="1" t="s">
        <v>1242</v>
      </c>
      <c r="R973" s="1" t="s">
        <v>2904</v>
      </c>
      <c r="S973" s="1" t="s">
        <v>207</v>
      </c>
      <c r="T973" s="1" t="s">
        <v>906</v>
      </c>
      <c r="U973" s="1" t="s">
        <v>35</v>
      </c>
      <c r="V973" s="1" t="s">
        <v>189</v>
      </c>
      <c r="W973" s="1" t="s">
        <v>2905</v>
      </c>
      <c r="X973" s="1" t="s">
        <v>300</v>
      </c>
      <c r="Y973" s="1" t="s">
        <v>110</v>
      </c>
      <c r="Z973" s="1">
        <v>1.0</v>
      </c>
    </row>
    <row r="974">
      <c r="A974" s="1" t="s">
        <v>2906</v>
      </c>
      <c r="B974" s="1" t="s">
        <v>2770</v>
      </c>
      <c r="C974" s="1" t="s">
        <v>2327</v>
      </c>
      <c r="D974" s="1">
        <v>240.0</v>
      </c>
      <c r="E974" s="1">
        <v>84.0</v>
      </c>
      <c r="F974" s="1">
        <v>80.0</v>
      </c>
      <c r="G974" s="1">
        <v>73.0</v>
      </c>
      <c r="H974" s="1">
        <v>92.0</v>
      </c>
      <c r="I974" s="1">
        <v>61.0</v>
      </c>
      <c r="J974" s="1">
        <v>60.0</v>
      </c>
      <c r="K974" s="1">
        <v>60.0</v>
      </c>
      <c r="L974" s="1">
        <v>75.0</v>
      </c>
      <c r="M974" s="1">
        <v>76.0</v>
      </c>
      <c r="N974" s="1">
        <v>41.0</v>
      </c>
      <c r="O974" s="1">
        <v>35.0</v>
      </c>
      <c r="P974" s="1">
        <v>82.0</v>
      </c>
      <c r="Q974" s="1">
        <v>62.0</v>
      </c>
      <c r="R974" s="1">
        <v>37.0</v>
      </c>
      <c r="S974" s="1">
        <v>88.0</v>
      </c>
      <c r="T974" s="1">
        <v>96.0</v>
      </c>
      <c r="U974" s="1">
        <v>84.0</v>
      </c>
      <c r="V974" s="1">
        <v>71.0</v>
      </c>
      <c r="W974" s="1">
        <v>51.0</v>
      </c>
      <c r="X974" s="1">
        <v>91.0</v>
      </c>
      <c r="Y974" s="1">
        <v>83.0</v>
      </c>
      <c r="Z974" s="1">
        <v>1.0</v>
      </c>
    </row>
    <row r="975">
      <c r="A975" s="1" t="s">
        <v>2907</v>
      </c>
      <c r="B975" s="1" t="s">
        <v>2770</v>
      </c>
      <c r="C975" s="1" t="s">
        <v>2115</v>
      </c>
      <c r="D975" s="1">
        <v>253.0</v>
      </c>
      <c r="E975" s="1">
        <v>84.0</v>
      </c>
      <c r="F975" s="1">
        <v>88.0</v>
      </c>
      <c r="G975" s="1">
        <v>80.0</v>
      </c>
      <c r="H975" s="1">
        <v>72.0</v>
      </c>
      <c r="I975" s="1">
        <v>80.0</v>
      </c>
      <c r="J975" s="1">
        <v>88.0</v>
      </c>
      <c r="K975" s="1">
        <v>85.0</v>
      </c>
      <c r="L975" s="1">
        <v>71.0</v>
      </c>
      <c r="M975" s="1">
        <v>77.0</v>
      </c>
      <c r="N975" s="1">
        <v>73.0</v>
      </c>
      <c r="O975" s="1">
        <v>61.0</v>
      </c>
      <c r="P975" s="1">
        <v>81.0</v>
      </c>
      <c r="Q975" s="1">
        <v>72.0</v>
      </c>
      <c r="R975" s="1">
        <v>70.0</v>
      </c>
      <c r="S975" s="1">
        <v>84.0</v>
      </c>
      <c r="T975" s="1">
        <v>86.0</v>
      </c>
      <c r="U975" s="1">
        <v>86.0</v>
      </c>
      <c r="V975" s="1">
        <v>71.0</v>
      </c>
      <c r="W975" s="1">
        <v>60.0</v>
      </c>
      <c r="X975" s="1">
        <v>74.0</v>
      </c>
      <c r="Y975" s="1">
        <v>82.0</v>
      </c>
      <c r="Z975" s="1">
        <v>1.0</v>
      </c>
    </row>
    <row r="976">
      <c r="A976" s="1" t="s">
        <v>2399</v>
      </c>
      <c r="B976" s="1" t="s">
        <v>2770</v>
      </c>
      <c r="C976" s="1" t="s">
        <v>2803</v>
      </c>
      <c r="D976" s="1" t="s">
        <v>2908</v>
      </c>
      <c r="E976" s="1" t="s">
        <v>493</v>
      </c>
      <c r="F976" s="1" t="s">
        <v>1794</v>
      </c>
      <c r="G976" s="1" t="s">
        <v>268</v>
      </c>
      <c r="H976" s="1" t="s">
        <v>485</v>
      </c>
      <c r="I976" s="1" t="s">
        <v>1603</v>
      </c>
      <c r="J976" s="1" t="s">
        <v>390</v>
      </c>
      <c r="K976" s="1" t="s">
        <v>836</v>
      </c>
      <c r="L976" s="1" t="s">
        <v>2199</v>
      </c>
      <c r="M976" s="1" t="s">
        <v>1038</v>
      </c>
      <c r="N976" s="1" t="s">
        <v>1730</v>
      </c>
      <c r="O976" s="1" t="s">
        <v>55</v>
      </c>
      <c r="P976" s="1" t="s">
        <v>465</v>
      </c>
      <c r="Q976" s="1" t="s">
        <v>2780</v>
      </c>
      <c r="R976" s="1" t="s">
        <v>1642</v>
      </c>
      <c r="S976" s="1" t="s">
        <v>396</v>
      </c>
      <c r="T976" s="1" t="s">
        <v>332</v>
      </c>
      <c r="U976" s="1" t="s">
        <v>345</v>
      </c>
      <c r="V976" s="1" t="s">
        <v>2416</v>
      </c>
      <c r="W976" s="1" t="s">
        <v>2173</v>
      </c>
      <c r="X976" s="1" t="s">
        <v>2909</v>
      </c>
      <c r="Y976" s="1" t="s">
        <v>52</v>
      </c>
      <c r="Z976" s="1">
        <v>1.0</v>
      </c>
    </row>
    <row r="977">
      <c r="A977" s="1" t="s">
        <v>2760</v>
      </c>
      <c r="B977" s="1" t="s">
        <v>2770</v>
      </c>
      <c r="C977" s="1" t="s">
        <v>2776</v>
      </c>
      <c r="D977" s="1" t="s">
        <v>2910</v>
      </c>
      <c r="E977" s="1" t="s">
        <v>937</v>
      </c>
      <c r="F977" s="1" t="s">
        <v>410</v>
      </c>
      <c r="G977" s="1" t="s">
        <v>1142</v>
      </c>
      <c r="H977" s="1" t="s">
        <v>278</v>
      </c>
      <c r="I977" s="1" t="s">
        <v>312</v>
      </c>
      <c r="J977" s="1" t="s">
        <v>714</v>
      </c>
      <c r="K977" s="1">
        <v>80.0</v>
      </c>
      <c r="L977" s="1" t="s">
        <v>490</v>
      </c>
      <c r="M977" s="1" t="s">
        <v>633</v>
      </c>
      <c r="N977" s="1" t="s">
        <v>233</v>
      </c>
      <c r="O977" s="1" t="s">
        <v>2911</v>
      </c>
      <c r="P977" s="1" t="s">
        <v>128</v>
      </c>
      <c r="Q977" s="1" t="s">
        <v>2472</v>
      </c>
      <c r="R977" s="1" t="s">
        <v>2468</v>
      </c>
      <c r="S977" s="1" t="s">
        <v>221</v>
      </c>
      <c r="T977" s="1" t="s">
        <v>517</v>
      </c>
      <c r="U977" s="1" t="s">
        <v>401</v>
      </c>
      <c r="V977" s="1" t="s">
        <v>755</v>
      </c>
      <c r="W977" s="1" t="s">
        <v>889</v>
      </c>
      <c r="X977" s="1" t="s">
        <v>1072</v>
      </c>
      <c r="Y977" s="1" t="s">
        <v>863</v>
      </c>
      <c r="Z977" s="1">
        <v>1.0</v>
      </c>
    </row>
    <row r="978">
      <c r="A978" s="1" t="s">
        <v>2444</v>
      </c>
      <c r="B978" s="1" t="s">
        <v>2770</v>
      </c>
      <c r="C978" s="1" t="s">
        <v>1754</v>
      </c>
      <c r="D978" s="1" t="s">
        <v>2912</v>
      </c>
      <c r="E978" s="1" t="s">
        <v>319</v>
      </c>
      <c r="F978" s="1" t="s">
        <v>1660</v>
      </c>
      <c r="G978" s="1" t="s">
        <v>747</v>
      </c>
      <c r="H978" s="1" t="s">
        <v>1051</v>
      </c>
      <c r="I978" s="1" t="s">
        <v>55</v>
      </c>
      <c r="J978" s="1" t="s">
        <v>631</v>
      </c>
      <c r="K978" s="1">
        <v>81.0</v>
      </c>
      <c r="L978" s="1" t="s">
        <v>1732</v>
      </c>
      <c r="M978" s="1" t="s">
        <v>65</v>
      </c>
      <c r="N978" s="1" t="s">
        <v>2600</v>
      </c>
      <c r="O978" s="1" t="s">
        <v>2382</v>
      </c>
      <c r="P978" s="1" t="s">
        <v>1155</v>
      </c>
      <c r="Q978" s="1" t="s">
        <v>760</v>
      </c>
      <c r="R978" s="1" t="s">
        <v>1743</v>
      </c>
      <c r="S978" s="1" t="s">
        <v>597</v>
      </c>
      <c r="T978" s="1" t="s">
        <v>864</v>
      </c>
      <c r="U978" s="1" t="s">
        <v>133</v>
      </c>
      <c r="V978" s="1" t="s">
        <v>263</v>
      </c>
      <c r="W978" s="1" t="s">
        <v>158</v>
      </c>
      <c r="X978" s="1" t="s">
        <v>2913</v>
      </c>
      <c r="Y978" s="1" t="s">
        <v>221</v>
      </c>
      <c r="Z978" s="1">
        <v>1.0</v>
      </c>
    </row>
    <row r="979">
      <c r="A979" s="1" t="s">
        <v>2762</v>
      </c>
      <c r="B979" s="1" t="s">
        <v>2770</v>
      </c>
      <c r="C979" s="1" t="s">
        <v>2776</v>
      </c>
      <c r="D979" s="1" t="s">
        <v>2914</v>
      </c>
      <c r="E979" s="1" t="s">
        <v>1296</v>
      </c>
      <c r="F979" s="1" t="s">
        <v>2201</v>
      </c>
      <c r="G979" s="1" t="s">
        <v>1054</v>
      </c>
      <c r="H979" s="1" t="s">
        <v>333</v>
      </c>
      <c r="I979" s="1" t="s">
        <v>96</v>
      </c>
      <c r="J979" s="1" t="s">
        <v>229</v>
      </c>
      <c r="K979" s="1" t="s">
        <v>187</v>
      </c>
      <c r="L979" s="1" t="s">
        <v>1396</v>
      </c>
      <c r="M979" s="1" t="s">
        <v>929</v>
      </c>
      <c r="N979" s="1" t="s">
        <v>1227</v>
      </c>
      <c r="O979" s="1" t="s">
        <v>2915</v>
      </c>
      <c r="P979" s="1" t="s">
        <v>410</v>
      </c>
      <c r="Q979" s="1" t="s">
        <v>817</v>
      </c>
      <c r="R979" s="1" t="s">
        <v>799</v>
      </c>
      <c r="S979" s="1" t="s">
        <v>476</v>
      </c>
      <c r="T979" s="1" t="s">
        <v>242</v>
      </c>
      <c r="U979" s="1">
        <v>85.0</v>
      </c>
      <c r="V979" s="1" t="s">
        <v>1070</v>
      </c>
      <c r="W979" s="1" t="s">
        <v>2916</v>
      </c>
      <c r="X979" s="1" t="s">
        <v>1673</v>
      </c>
      <c r="Y979" s="1" t="s">
        <v>30</v>
      </c>
      <c r="Z979" s="1">
        <v>1.0</v>
      </c>
    </row>
    <row r="980">
      <c r="A980" s="1" t="s">
        <v>2334</v>
      </c>
      <c r="B980" s="1" t="s">
        <v>2770</v>
      </c>
      <c r="C980" s="1" t="s">
        <v>2803</v>
      </c>
      <c r="D980" s="1" t="s">
        <v>2816</v>
      </c>
      <c r="E980" s="1" t="s">
        <v>1416</v>
      </c>
      <c r="F980" s="1" t="s">
        <v>2917</v>
      </c>
      <c r="G980" s="1" t="s">
        <v>1837</v>
      </c>
      <c r="H980" s="1" t="s">
        <v>36</v>
      </c>
      <c r="I980" s="1" t="s">
        <v>1561</v>
      </c>
      <c r="J980" s="1" t="s">
        <v>825</v>
      </c>
      <c r="K980" s="1" t="s">
        <v>451</v>
      </c>
      <c r="L980" s="1" t="s">
        <v>2918</v>
      </c>
      <c r="M980" s="1" t="s">
        <v>2191</v>
      </c>
      <c r="N980" s="1" t="s">
        <v>43</v>
      </c>
      <c r="O980" s="1" t="s">
        <v>482</v>
      </c>
      <c r="P980" s="1" t="s">
        <v>36</v>
      </c>
      <c r="Q980" s="1" t="s">
        <v>232</v>
      </c>
      <c r="R980" s="1" t="s">
        <v>851</v>
      </c>
      <c r="S980" s="1" t="s">
        <v>2919</v>
      </c>
      <c r="T980" s="1" t="s">
        <v>332</v>
      </c>
      <c r="U980" s="1" t="s">
        <v>401</v>
      </c>
      <c r="V980" s="1" t="s">
        <v>1026</v>
      </c>
      <c r="W980" s="1" t="s">
        <v>84</v>
      </c>
      <c r="X980" s="1" t="s">
        <v>2394</v>
      </c>
      <c r="Y980" s="1" t="s">
        <v>230</v>
      </c>
      <c r="Z980" s="1">
        <v>1.0</v>
      </c>
    </row>
    <row r="981">
      <c r="A981" s="1" t="s">
        <v>2920</v>
      </c>
      <c r="B981" s="1" t="s">
        <v>2770</v>
      </c>
      <c r="C981" s="1" t="s">
        <v>2783</v>
      </c>
      <c r="D981" s="1" t="s">
        <v>2921</v>
      </c>
      <c r="E981" s="1" t="s">
        <v>2535</v>
      </c>
      <c r="F981" s="1">
        <v>76.0</v>
      </c>
      <c r="G981" s="1" t="s">
        <v>1478</v>
      </c>
      <c r="H981" s="1" t="s">
        <v>485</v>
      </c>
      <c r="I981" s="1" t="s">
        <v>763</v>
      </c>
      <c r="J981" s="1">
        <v>90.0</v>
      </c>
      <c r="K981" s="1">
        <v>89.0</v>
      </c>
      <c r="L981" s="1" t="s">
        <v>375</v>
      </c>
      <c r="M981" s="1" t="s">
        <v>764</v>
      </c>
      <c r="N981" s="1">
        <v>65.0</v>
      </c>
      <c r="O981" s="1" t="s">
        <v>2850</v>
      </c>
      <c r="P981" s="1" t="s">
        <v>207</v>
      </c>
      <c r="Q981" s="1" t="s">
        <v>2922</v>
      </c>
      <c r="R981" s="1" t="s">
        <v>2923</v>
      </c>
      <c r="S981" s="1" t="s">
        <v>1213</v>
      </c>
      <c r="T981" s="1" t="s">
        <v>752</v>
      </c>
      <c r="U981" s="1" t="s">
        <v>1523</v>
      </c>
      <c r="V981" s="1" t="s">
        <v>2577</v>
      </c>
      <c r="W981" s="1" t="s">
        <v>2924</v>
      </c>
      <c r="X981" s="1" t="s">
        <v>235</v>
      </c>
      <c r="Y981" s="1">
        <v>73.0</v>
      </c>
      <c r="Z981" s="1">
        <v>1.0</v>
      </c>
    </row>
    <row r="982">
      <c r="A982" s="1" t="s">
        <v>2758</v>
      </c>
      <c r="B982" s="1" t="s">
        <v>2770</v>
      </c>
      <c r="C982" s="1" t="s">
        <v>2773</v>
      </c>
      <c r="D982" s="1" t="s">
        <v>2925</v>
      </c>
      <c r="E982" s="1" t="s">
        <v>221</v>
      </c>
      <c r="F982" s="1" t="s">
        <v>1428</v>
      </c>
      <c r="G982" s="1" t="s">
        <v>212</v>
      </c>
      <c r="H982" s="1">
        <v>90.0</v>
      </c>
      <c r="I982" s="1" t="s">
        <v>1460</v>
      </c>
      <c r="J982" s="1" t="s">
        <v>766</v>
      </c>
      <c r="K982" s="1" t="s">
        <v>571</v>
      </c>
      <c r="L982" s="1" t="s">
        <v>2152</v>
      </c>
      <c r="M982" s="1" t="s">
        <v>180</v>
      </c>
      <c r="N982" s="1" t="s">
        <v>879</v>
      </c>
      <c r="O982" s="1" t="s">
        <v>2911</v>
      </c>
      <c r="P982" s="1">
        <v>88.0</v>
      </c>
      <c r="Q982" s="1" t="s">
        <v>2926</v>
      </c>
      <c r="R982" s="1" t="s">
        <v>1334</v>
      </c>
      <c r="S982" s="1" t="s">
        <v>520</v>
      </c>
      <c r="T982" s="1" t="s">
        <v>133</v>
      </c>
      <c r="U982" s="1" t="s">
        <v>300</v>
      </c>
      <c r="V982" s="1" t="s">
        <v>1083</v>
      </c>
      <c r="W982" s="1" t="s">
        <v>2927</v>
      </c>
      <c r="X982" s="1" t="s">
        <v>227</v>
      </c>
      <c r="Y982" s="1" t="s">
        <v>204</v>
      </c>
      <c r="Z982" s="1">
        <v>1.0</v>
      </c>
    </row>
    <row r="983">
      <c r="A983" s="1" t="s">
        <v>2928</v>
      </c>
      <c r="B983" s="1" t="s">
        <v>2770</v>
      </c>
      <c r="C983" s="1" t="s">
        <v>2798</v>
      </c>
      <c r="D983" s="1" t="s">
        <v>2929</v>
      </c>
      <c r="E983" s="1" t="s">
        <v>404</v>
      </c>
      <c r="F983" s="1" t="s">
        <v>2063</v>
      </c>
      <c r="G983" s="1" t="s">
        <v>230</v>
      </c>
      <c r="H983" s="1">
        <v>90.0</v>
      </c>
      <c r="I983" s="1" t="s">
        <v>2441</v>
      </c>
      <c r="J983" s="1">
        <v>80.0</v>
      </c>
      <c r="K983" s="1" t="s">
        <v>780</v>
      </c>
      <c r="L983" s="1" t="s">
        <v>479</v>
      </c>
      <c r="M983" s="1">
        <v>87.0</v>
      </c>
      <c r="N983" s="1" t="s">
        <v>2930</v>
      </c>
      <c r="O983" s="1" t="s">
        <v>483</v>
      </c>
      <c r="P983" s="1" t="s">
        <v>714</v>
      </c>
      <c r="Q983" s="1" t="s">
        <v>262</v>
      </c>
      <c r="R983" s="1" t="s">
        <v>2931</v>
      </c>
      <c r="S983" s="1" t="s">
        <v>188</v>
      </c>
      <c r="T983" s="1" t="s">
        <v>1625</v>
      </c>
      <c r="U983" s="1" t="s">
        <v>728</v>
      </c>
      <c r="V983" s="1" t="s">
        <v>2932</v>
      </c>
      <c r="W983" s="1" t="s">
        <v>550</v>
      </c>
      <c r="X983" s="1">
        <v>91.0</v>
      </c>
      <c r="Y983" s="1" t="s">
        <v>224</v>
      </c>
      <c r="Z983" s="1">
        <v>1.0</v>
      </c>
    </row>
    <row r="984">
      <c r="A984" s="1" t="s">
        <v>2727</v>
      </c>
      <c r="B984" s="1" t="s">
        <v>2770</v>
      </c>
      <c r="C984" s="1" t="s">
        <v>2933</v>
      </c>
      <c r="D984" s="1" t="s">
        <v>2475</v>
      </c>
      <c r="E984" s="1" t="s">
        <v>1267</v>
      </c>
      <c r="F984" s="1" t="s">
        <v>1428</v>
      </c>
      <c r="G984" s="1" t="s">
        <v>2199</v>
      </c>
      <c r="H984" s="1" t="s">
        <v>2909</v>
      </c>
      <c r="I984" s="1" t="s">
        <v>48</v>
      </c>
      <c r="J984" s="1" t="s">
        <v>2129</v>
      </c>
      <c r="K984" s="1" t="s">
        <v>242</v>
      </c>
      <c r="L984" s="1" t="s">
        <v>1387</v>
      </c>
      <c r="M984" s="1" t="s">
        <v>30</v>
      </c>
      <c r="N984" s="1" t="s">
        <v>2934</v>
      </c>
      <c r="O984" s="1" t="s">
        <v>55</v>
      </c>
      <c r="P984" s="1" t="s">
        <v>208</v>
      </c>
      <c r="Q984" s="1" t="s">
        <v>1464</v>
      </c>
      <c r="R984" s="1" t="s">
        <v>386</v>
      </c>
      <c r="S984" s="1" t="s">
        <v>227</v>
      </c>
      <c r="T984" s="1" t="s">
        <v>242</v>
      </c>
      <c r="U984" s="1" t="s">
        <v>477</v>
      </c>
      <c r="V984" s="1" t="s">
        <v>363</v>
      </c>
      <c r="W984" s="1" t="s">
        <v>2195</v>
      </c>
      <c r="X984" s="1" t="s">
        <v>96</v>
      </c>
      <c r="Y984" s="1" t="s">
        <v>242</v>
      </c>
      <c r="Z984" s="1">
        <v>1.0</v>
      </c>
    </row>
    <row r="985">
      <c r="A985" s="1" t="s">
        <v>2625</v>
      </c>
      <c r="B985" s="1" t="s">
        <v>2770</v>
      </c>
      <c r="C985" s="1" t="s">
        <v>2783</v>
      </c>
      <c r="D985" s="1" t="s">
        <v>2811</v>
      </c>
      <c r="E985" s="1" t="s">
        <v>975</v>
      </c>
      <c r="F985" s="1" t="s">
        <v>1299</v>
      </c>
      <c r="G985" s="1" t="s">
        <v>237</v>
      </c>
      <c r="H985" s="1" t="s">
        <v>82</v>
      </c>
      <c r="I985" s="1" t="s">
        <v>332</v>
      </c>
      <c r="J985" s="1" t="s">
        <v>802</v>
      </c>
      <c r="K985" s="1" t="s">
        <v>1635</v>
      </c>
      <c r="L985" s="1" t="s">
        <v>2935</v>
      </c>
      <c r="M985" s="1" t="s">
        <v>760</v>
      </c>
      <c r="N985" s="1" t="s">
        <v>2113</v>
      </c>
      <c r="O985" s="1" t="s">
        <v>2936</v>
      </c>
      <c r="P985" s="1" t="s">
        <v>552</v>
      </c>
      <c r="Q985" s="1" t="s">
        <v>2571</v>
      </c>
      <c r="R985" s="1" t="s">
        <v>2937</v>
      </c>
      <c r="S985" s="1" t="s">
        <v>429</v>
      </c>
      <c r="T985" s="1" t="s">
        <v>157</v>
      </c>
      <c r="U985" s="1" t="s">
        <v>401</v>
      </c>
      <c r="V985" s="1" t="s">
        <v>1418</v>
      </c>
      <c r="W985" s="1" t="s">
        <v>2938</v>
      </c>
      <c r="X985" s="1" t="s">
        <v>76</v>
      </c>
      <c r="Y985" s="1" t="s">
        <v>1112</v>
      </c>
      <c r="Z985" s="1">
        <v>1.0</v>
      </c>
    </row>
    <row r="986">
      <c r="A986" s="1" t="s">
        <v>1929</v>
      </c>
      <c r="B986" s="1" t="s">
        <v>2770</v>
      </c>
      <c r="C986" s="1" t="s">
        <v>2798</v>
      </c>
      <c r="D986" s="1" t="s">
        <v>2668</v>
      </c>
      <c r="E986" s="1" t="s">
        <v>190</v>
      </c>
      <c r="F986" s="1">
        <v>70.0</v>
      </c>
      <c r="G986" s="1" t="s">
        <v>151</v>
      </c>
      <c r="H986" s="1">
        <v>90.0</v>
      </c>
      <c r="I986" s="1" t="s">
        <v>882</v>
      </c>
      <c r="J986" s="1">
        <v>80.0</v>
      </c>
      <c r="K986" s="1" t="s">
        <v>1127</v>
      </c>
      <c r="L986" s="1" t="s">
        <v>1751</v>
      </c>
      <c r="M986" s="1" t="s">
        <v>1382</v>
      </c>
      <c r="N986" s="1" t="s">
        <v>2174</v>
      </c>
      <c r="O986" s="1" t="s">
        <v>539</v>
      </c>
      <c r="P986" s="1">
        <v>82.0</v>
      </c>
      <c r="Q986" s="1">
        <v>62.0</v>
      </c>
      <c r="R986" s="1">
        <v>37.0</v>
      </c>
      <c r="S986" s="1">
        <v>84.0</v>
      </c>
      <c r="T986" s="1" t="s">
        <v>133</v>
      </c>
      <c r="U986" s="1" t="s">
        <v>427</v>
      </c>
      <c r="V986" s="1" t="s">
        <v>1607</v>
      </c>
      <c r="W986" s="1" t="s">
        <v>526</v>
      </c>
      <c r="X986" s="1" t="s">
        <v>675</v>
      </c>
      <c r="Y986" s="1">
        <v>83.0</v>
      </c>
      <c r="Z986" s="1">
        <v>1.0</v>
      </c>
    </row>
    <row r="987">
      <c r="A987" s="1" t="s">
        <v>2523</v>
      </c>
      <c r="B987" s="1" t="s">
        <v>2770</v>
      </c>
      <c r="C987" s="1" t="s">
        <v>2803</v>
      </c>
      <c r="D987" s="1" t="s">
        <v>2939</v>
      </c>
      <c r="E987" s="1" t="s">
        <v>1416</v>
      </c>
      <c r="F987" s="1" t="s">
        <v>2940</v>
      </c>
      <c r="G987" s="1" t="s">
        <v>236</v>
      </c>
      <c r="H987" s="1" t="s">
        <v>485</v>
      </c>
      <c r="I987" s="1" t="s">
        <v>2941</v>
      </c>
      <c r="J987" s="1" t="s">
        <v>1054</v>
      </c>
      <c r="K987" s="1" t="s">
        <v>780</v>
      </c>
      <c r="L987" s="1" t="s">
        <v>2481</v>
      </c>
      <c r="M987" s="1" t="s">
        <v>657</v>
      </c>
      <c r="N987" s="1" t="s">
        <v>928</v>
      </c>
      <c r="O987" s="1" t="s">
        <v>2806</v>
      </c>
      <c r="P987" s="1" t="s">
        <v>582</v>
      </c>
      <c r="Q987" s="1" t="s">
        <v>950</v>
      </c>
      <c r="R987" s="1" t="s">
        <v>2648</v>
      </c>
      <c r="S987" s="1" t="s">
        <v>45</v>
      </c>
      <c r="T987" s="1" t="s">
        <v>157</v>
      </c>
      <c r="U987" s="1" t="s">
        <v>401</v>
      </c>
      <c r="V987" s="1" t="s">
        <v>900</v>
      </c>
      <c r="W987" s="1" t="s">
        <v>851</v>
      </c>
      <c r="X987" s="1" t="s">
        <v>697</v>
      </c>
      <c r="Y987" s="1" t="s">
        <v>490</v>
      </c>
      <c r="Z987" s="1">
        <v>1.0</v>
      </c>
    </row>
    <row r="988">
      <c r="A988" s="1" t="s">
        <v>2942</v>
      </c>
      <c r="B988" s="1" t="s">
        <v>2770</v>
      </c>
      <c r="C988" s="1" t="s">
        <v>2776</v>
      </c>
      <c r="D988" s="1" t="s">
        <v>2943</v>
      </c>
      <c r="E988" s="1" t="s">
        <v>207</v>
      </c>
      <c r="F988" s="1" t="s">
        <v>1287</v>
      </c>
      <c r="G988" s="1" t="s">
        <v>163</v>
      </c>
      <c r="H988" s="1" t="s">
        <v>485</v>
      </c>
      <c r="I988" s="1" t="s">
        <v>163</v>
      </c>
      <c r="J988" s="1" t="s">
        <v>66</v>
      </c>
      <c r="K988" s="1" t="s">
        <v>129</v>
      </c>
      <c r="L988" s="1" t="s">
        <v>1689</v>
      </c>
      <c r="M988" s="1" t="s">
        <v>154</v>
      </c>
      <c r="N988" s="1" t="s">
        <v>2944</v>
      </c>
      <c r="O988" s="1" t="s">
        <v>1210</v>
      </c>
      <c r="P988" s="1" t="s">
        <v>208</v>
      </c>
      <c r="Q988" s="1" t="s">
        <v>2378</v>
      </c>
      <c r="R988" s="1" t="s">
        <v>851</v>
      </c>
      <c r="S988" s="1" t="s">
        <v>1606</v>
      </c>
      <c r="T988" s="1" t="s">
        <v>773</v>
      </c>
      <c r="U988" s="1" t="s">
        <v>96</v>
      </c>
      <c r="V988" s="1" t="s">
        <v>2669</v>
      </c>
      <c r="W988" s="1" t="s">
        <v>2945</v>
      </c>
      <c r="X988" s="1" t="s">
        <v>1014</v>
      </c>
      <c r="Y988" s="1" t="s">
        <v>1368</v>
      </c>
      <c r="Z988" s="1">
        <v>1.0</v>
      </c>
    </row>
    <row r="989">
      <c r="A989" s="1" t="s">
        <v>2946</v>
      </c>
      <c r="B989" s="1" t="s">
        <v>2770</v>
      </c>
      <c r="C989" s="1" t="s">
        <v>2783</v>
      </c>
      <c r="D989" s="1">
        <v>230.0</v>
      </c>
      <c r="E989" s="1">
        <v>90.0</v>
      </c>
      <c r="F989" s="1">
        <v>74.0</v>
      </c>
      <c r="G989" s="1">
        <v>73.0</v>
      </c>
      <c r="H989" s="1">
        <v>81.0</v>
      </c>
      <c r="I989" s="1">
        <v>71.0</v>
      </c>
      <c r="J989" s="1">
        <v>50.0</v>
      </c>
      <c r="K989" s="1">
        <v>50.0</v>
      </c>
      <c r="L989" s="1">
        <v>74.0</v>
      </c>
      <c r="M989" s="1">
        <v>89.0</v>
      </c>
      <c r="N989" s="1">
        <v>52.0</v>
      </c>
      <c r="O989" s="1">
        <v>44.0</v>
      </c>
      <c r="P989" s="1">
        <v>90.0</v>
      </c>
      <c r="Q989" s="1">
        <v>62.0</v>
      </c>
      <c r="R989" s="1">
        <v>50.0</v>
      </c>
      <c r="S989" s="1">
        <v>90.0</v>
      </c>
      <c r="T989" s="1">
        <v>85.0</v>
      </c>
      <c r="U989" s="1">
        <v>94.0</v>
      </c>
      <c r="V989" s="1">
        <v>62.0</v>
      </c>
      <c r="W989" s="1">
        <v>47.0</v>
      </c>
      <c r="X989" s="1">
        <v>74.0</v>
      </c>
      <c r="Y989" s="1">
        <v>73.0</v>
      </c>
      <c r="Z989" s="1">
        <v>1.0</v>
      </c>
    </row>
    <row r="990">
      <c r="A990" s="1" t="s">
        <v>2947</v>
      </c>
      <c r="B990" s="1" t="s">
        <v>2770</v>
      </c>
      <c r="C990" s="1" t="s">
        <v>1534</v>
      </c>
      <c r="D990" s="1">
        <v>220.0</v>
      </c>
      <c r="E990" s="1">
        <v>65.0</v>
      </c>
      <c r="F990" s="1">
        <v>51.0</v>
      </c>
      <c r="G990" s="1">
        <v>70.0</v>
      </c>
      <c r="H990" s="1">
        <v>72.0</v>
      </c>
      <c r="I990" s="1">
        <v>48.0</v>
      </c>
      <c r="J990" s="1">
        <v>70.0</v>
      </c>
      <c r="K990" s="1">
        <v>80.0</v>
      </c>
      <c r="L990" s="1">
        <v>74.0</v>
      </c>
      <c r="M990" s="1">
        <v>77.0</v>
      </c>
      <c r="N990" s="1">
        <v>48.0</v>
      </c>
      <c r="O990" s="1">
        <v>53.0</v>
      </c>
      <c r="P990" s="1">
        <v>82.0</v>
      </c>
      <c r="Q990" s="1">
        <v>77.0</v>
      </c>
      <c r="R990" s="1">
        <v>73.0</v>
      </c>
      <c r="S990" s="1">
        <v>84.0</v>
      </c>
      <c r="T990" s="1">
        <v>80.0</v>
      </c>
      <c r="U990" s="1">
        <v>94.0</v>
      </c>
      <c r="V990" s="1">
        <v>83.0</v>
      </c>
      <c r="W990" s="1">
        <v>80.0</v>
      </c>
      <c r="X990" s="1">
        <v>83.0</v>
      </c>
      <c r="Y990" s="1">
        <v>80.0</v>
      </c>
      <c r="Z990" s="1">
        <v>1.0</v>
      </c>
    </row>
    <row r="991">
      <c r="A991" s="1" t="s">
        <v>1871</v>
      </c>
      <c r="B991" s="1" t="s">
        <v>2770</v>
      </c>
      <c r="C991" s="1" t="s">
        <v>2773</v>
      </c>
      <c r="D991" s="1" t="s">
        <v>2948</v>
      </c>
      <c r="E991" s="1" t="s">
        <v>507</v>
      </c>
      <c r="F991" s="1" t="s">
        <v>1008</v>
      </c>
      <c r="G991" s="1" t="s">
        <v>884</v>
      </c>
      <c r="H991" s="1" t="s">
        <v>136</v>
      </c>
      <c r="I991" s="1" t="s">
        <v>59</v>
      </c>
      <c r="J991" s="1" t="s">
        <v>724</v>
      </c>
      <c r="K991" s="1" t="s">
        <v>1743</v>
      </c>
      <c r="L991" s="1" t="s">
        <v>301</v>
      </c>
      <c r="M991" s="1" t="s">
        <v>79</v>
      </c>
      <c r="N991" s="1" t="s">
        <v>2113</v>
      </c>
      <c r="O991" s="1" t="s">
        <v>460</v>
      </c>
      <c r="P991" s="1" t="s">
        <v>179</v>
      </c>
      <c r="Q991" s="1" t="s">
        <v>2880</v>
      </c>
      <c r="R991" s="1" t="s">
        <v>888</v>
      </c>
      <c r="S991" s="1" t="s">
        <v>2188</v>
      </c>
      <c r="T991" s="1" t="s">
        <v>1011</v>
      </c>
      <c r="U991" s="1" t="s">
        <v>2949</v>
      </c>
      <c r="V991" s="1" t="s">
        <v>1944</v>
      </c>
      <c r="W991" s="1" t="s">
        <v>2950</v>
      </c>
      <c r="X991" s="1" t="s">
        <v>434</v>
      </c>
      <c r="Y991" s="1" t="s">
        <v>1067</v>
      </c>
      <c r="Z991" s="1">
        <v>1.0</v>
      </c>
    </row>
    <row r="992">
      <c r="A992" s="1" t="s">
        <v>2744</v>
      </c>
      <c r="B992" s="1" t="s">
        <v>2770</v>
      </c>
      <c r="C992" s="1" t="s">
        <v>2110</v>
      </c>
      <c r="D992" s="1" t="s">
        <v>2951</v>
      </c>
      <c r="E992" s="1" t="s">
        <v>1155</v>
      </c>
      <c r="F992" s="1" t="s">
        <v>431</v>
      </c>
      <c r="G992" s="1" t="s">
        <v>306</v>
      </c>
      <c r="H992" s="1">
        <v>90.0</v>
      </c>
      <c r="I992" s="1" t="s">
        <v>1288</v>
      </c>
      <c r="J992" s="1" t="s">
        <v>242</v>
      </c>
      <c r="K992" s="1" t="s">
        <v>190</v>
      </c>
      <c r="L992" s="1" t="s">
        <v>1062</v>
      </c>
      <c r="M992" s="1" t="s">
        <v>301</v>
      </c>
      <c r="N992" s="1" t="s">
        <v>1697</v>
      </c>
      <c r="O992" s="1" t="s">
        <v>636</v>
      </c>
      <c r="P992" s="1" t="s">
        <v>95</v>
      </c>
      <c r="Q992" s="1" t="s">
        <v>2669</v>
      </c>
      <c r="R992" s="1" t="s">
        <v>2174</v>
      </c>
      <c r="S992" s="1" t="s">
        <v>322</v>
      </c>
      <c r="T992" s="1" t="s">
        <v>322</v>
      </c>
      <c r="U992" s="1" t="s">
        <v>485</v>
      </c>
      <c r="V992" s="1" t="s">
        <v>1326</v>
      </c>
      <c r="W992" s="1" t="s">
        <v>1063</v>
      </c>
      <c r="X992" s="1" t="s">
        <v>694</v>
      </c>
      <c r="Y992" s="1" t="s">
        <v>205</v>
      </c>
      <c r="Z992" s="1">
        <v>1.0</v>
      </c>
    </row>
    <row r="993">
      <c r="A993" s="1" t="s">
        <v>2952</v>
      </c>
      <c r="B993" s="1" t="s">
        <v>2770</v>
      </c>
      <c r="C993" s="1" t="s">
        <v>1612</v>
      </c>
      <c r="D993" s="1" t="s">
        <v>2392</v>
      </c>
      <c r="E993" s="1" t="s">
        <v>2650</v>
      </c>
      <c r="F993" s="1" t="s">
        <v>878</v>
      </c>
      <c r="G993" s="1" t="s">
        <v>350</v>
      </c>
      <c r="H993" s="1" t="s">
        <v>921</v>
      </c>
      <c r="I993" s="1" t="s">
        <v>1577</v>
      </c>
      <c r="J993" s="1" t="s">
        <v>592</v>
      </c>
      <c r="K993" s="1" t="s">
        <v>1315</v>
      </c>
      <c r="L993" s="1" t="s">
        <v>1920</v>
      </c>
      <c r="M993" s="1" t="s">
        <v>871</v>
      </c>
      <c r="N993" s="1" t="s">
        <v>300</v>
      </c>
      <c r="O993" s="1" t="s">
        <v>724</v>
      </c>
      <c r="P993" s="1" t="s">
        <v>708</v>
      </c>
      <c r="Q993" s="1" t="s">
        <v>535</v>
      </c>
      <c r="R993" s="1" t="s">
        <v>540</v>
      </c>
      <c r="S993" s="1" t="s">
        <v>424</v>
      </c>
      <c r="T993" s="1" t="s">
        <v>2953</v>
      </c>
      <c r="U993" s="1" t="s">
        <v>242</v>
      </c>
      <c r="V993" s="1" t="s">
        <v>763</v>
      </c>
      <c r="W993" s="1" t="s">
        <v>1326</v>
      </c>
      <c r="X993" s="1">
        <v>75.0</v>
      </c>
      <c r="Y993" s="1" t="s">
        <v>95</v>
      </c>
      <c r="Z993" s="1">
        <v>1.0</v>
      </c>
    </row>
    <row r="994">
      <c r="A994" s="1" t="s">
        <v>2954</v>
      </c>
      <c r="B994" s="1" t="s">
        <v>2770</v>
      </c>
      <c r="C994" s="1" t="s">
        <v>2776</v>
      </c>
      <c r="D994" s="1" t="s">
        <v>2955</v>
      </c>
      <c r="E994" s="1" t="s">
        <v>520</v>
      </c>
      <c r="F994" s="1" t="s">
        <v>242</v>
      </c>
      <c r="G994" s="1" t="s">
        <v>237</v>
      </c>
      <c r="H994" s="1" t="s">
        <v>333</v>
      </c>
      <c r="I994" s="1" t="s">
        <v>633</v>
      </c>
      <c r="J994" s="1" t="s">
        <v>1550</v>
      </c>
      <c r="K994" s="1" t="s">
        <v>1296</v>
      </c>
      <c r="L994" s="1" t="s">
        <v>498</v>
      </c>
      <c r="M994" s="1" t="s">
        <v>838</v>
      </c>
      <c r="N994" s="1" t="s">
        <v>334</v>
      </c>
      <c r="O994" s="1" t="s">
        <v>2956</v>
      </c>
      <c r="P994" s="1">
        <v>88.0</v>
      </c>
      <c r="Q994" s="1" t="s">
        <v>516</v>
      </c>
      <c r="R994" s="1">
        <v>43.0</v>
      </c>
      <c r="S994" s="1">
        <v>84.0</v>
      </c>
      <c r="T994" s="1" t="s">
        <v>427</v>
      </c>
      <c r="U994" s="1" t="s">
        <v>221</v>
      </c>
      <c r="V994" s="1" t="s">
        <v>88</v>
      </c>
      <c r="W994" s="1" t="s">
        <v>464</v>
      </c>
      <c r="X994" s="1" t="s">
        <v>179</v>
      </c>
      <c r="Y994" s="1" t="s">
        <v>204</v>
      </c>
      <c r="Z994" s="1">
        <v>1.0</v>
      </c>
    </row>
    <row r="995">
      <c r="A995" s="1" t="s">
        <v>2957</v>
      </c>
      <c r="B995" s="1" t="s">
        <v>2770</v>
      </c>
      <c r="C995" s="1" t="s">
        <v>2803</v>
      </c>
      <c r="D995" s="1" t="s">
        <v>2958</v>
      </c>
      <c r="E995" s="1" t="s">
        <v>113</v>
      </c>
      <c r="F995" s="1" t="s">
        <v>209</v>
      </c>
      <c r="G995" s="1" t="s">
        <v>1281</v>
      </c>
      <c r="H995" s="1" t="s">
        <v>179</v>
      </c>
      <c r="I995" s="1" t="s">
        <v>995</v>
      </c>
      <c r="J995" s="1" t="s">
        <v>490</v>
      </c>
      <c r="K995" s="1" t="s">
        <v>190</v>
      </c>
      <c r="L995" s="1" t="s">
        <v>1029</v>
      </c>
      <c r="M995" s="1" t="s">
        <v>149</v>
      </c>
      <c r="N995" s="1" t="s">
        <v>1880</v>
      </c>
      <c r="O995" s="1" t="s">
        <v>33</v>
      </c>
      <c r="P995" s="1" t="s">
        <v>35</v>
      </c>
      <c r="Q995" s="1" t="s">
        <v>2959</v>
      </c>
      <c r="R995" s="1" t="s">
        <v>81</v>
      </c>
      <c r="S995" s="1" t="s">
        <v>413</v>
      </c>
      <c r="T995" s="1" t="s">
        <v>157</v>
      </c>
      <c r="U995" s="1" t="s">
        <v>133</v>
      </c>
      <c r="V995" s="1" t="s">
        <v>403</v>
      </c>
      <c r="W995" s="1" t="s">
        <v>805</v>
      </c>
      <c r="X995" s="1" t="s">
        <v>617</v>
      </c>
      <c r="Y995" s="1" t="s">
        <v>977</v>
      </c>
      <c r="Z995" s="1">
        <v>1.0</v>
      </c>
    </row>
    <row r="996">
      <c r="A996" s="1" t="s">
        <v>2960</v>
      </c>
      <c r="B996" s="1" t="s">
        <v>2770</v>
      </c>
      <c r="C996" s="1" t="s">
        <v>2776</v>
      </c>
      <c r="D996" s="1" t="s">
        <v>2961</v>
      </c>
      <c r="E996" s="1" t="s">
        <v>517</v>
      </c>
      <c r="F996" s="1" t="s">
        <v>1901</v>
      </c>
      <c r="G996" s="1" t="s">
        <v>1195</v>
      </c>
      <c r="H996" s="1" t="s">
        <v>279</v>
      </c>
      <c r="I996" s="1" t="s">
        <v>35</v>
      </c>
      <c r="J996" s="1" t="s">
        <v>1099</v>
      </c>
      <c r="K996" s="1" t="s">
        <v>129</v>
      </c>
      <c r="L996" s="1" t="s">
        <v>2323</v>
      </c>
      <c r="M996" s="1" t="s">
        <v>958</v>
      </c>
      <c r="N996" s="1" t="s">
        <v>879</v>
      </c>
      <c r="O996" s="1" t="s">
        <v>366</v>
      </c>
      <c r="P996" s="1" t="s">
        <v>179</v>
      </c>
      <c r="Q996" s="1" t="s">
        <v>805</v>
      </c>
      <c r="R996" s="1" t="s">
        <v>2962</v>
      </c>
      <c r="S996" s="1" t="s">
        <v>538</v>
      </c>
      <c r="T996" s="1" t="s">
        <v>36</v>
      </c>
      <c r="U996" s="1" t="s">
        <v>480</v>
      </c>
      <c r="V996" s="1" t="s">
        <v>2007</v>
      </c>
      <c r="W996" s="1" t="s">
        <v>1187</v>
      </c>
      <c r="X996" s="1" t="s">
        <v>1046</v>
      </c>
      <c r="Y996" s="1" t="s">
        <v>204</v>
      </c>
      <c r="Z996" s="1">
        <v>1.0</v>
      </c>
    </row>
    <row r="997">
      <c r="A997" s="1" t="s">
        <v>2486</v>
      </c>
      <c r="B997" s="1" t="s">
        <v>2770</v>
      </c>
      <c r="C997" s="1" t="s">
        <v>2327</v>
      </c>
      <c r="D997" s="1">
        <v>240.0</v>
      </c>
      <c r="E997" s="1">
        <v>78.0</v>
      </c>
      <c r="F997" s="1">
        <v>75.0</v>
      </c>
      <c r="G997" s="1">
        <v>83.0</v>
      </c>
      <c r="H997" s="1">
        <v>85.0</v>
      </c>
      <c r="I997" s="1">
        <v>75.0</v>
      </c>
      <c r="J997" s="1">
        <v>75.0</v>
      </c>
      <c r="K997" s="1">
        <v>80.0</v>
      </c>
      <c r="L997" s="1">
        <v>58.0</v>
      </c>
      <c r="M997" s="1">
        <v>65.0</v>
      </c>
      <c r="N997" s="1">
        <v>55.0</v>
      </c>
      <c r="O997" s="1">
        <v>60.0</v>
      </c>
      <c r="P997" s="1">
        <v>80.0</v>
      </c>
      <c r="Q997" s="1">
        <v>48.0</v>
      </c>
      <c r="R997" s="1">
        <v>67.0</v>
      </c>
      <c r="S997" s="1">
        <v>93.0</v>
      </c>
      <c r="T997" s="1">
        <v>80.0</v>
      </c>
      <c r="U997" s="1">
        <v>94.0</v>
      </c>
      <c r="V997" s="1">
        <v>70.0</v>
      </c>
      <c r="W997" s="1">
        <v>60.0</v>
      </c>
      <c r="X997" s="1">
        <v>85.0</v>
      </c>
      <c r="Y997" s="1">
        <v>84.0</v>
      </c>
      <c r="Z997" s="1">
        <v>1.0</v>
      </c>
    </row>
    <row r="998">
      <c r="A998" s="1" t="s">
        <v>2059</v>
      </c>
      <c r="B998" s="1" t="s">
        <v>2770</v>
      </c>
      <c r="C998" s="1" t="s">
        <v>2776</v>
      </c>
      <c r="D998" s="1" t="s">
        <v>2963</v>
      </c>
      <c r="E998" s="1" t="s">
        <v>221</v>
      </c>
      <c r="F998" s="1">
        <v>60.0</v>
      </c>
      <c r="G998" s="1" t="s">
        <v>310</v>
      </c>
      <c r="H998" s="1">
        <v>90.0</v>
      </c>
      <c r="I998" s="1" t="s">
        <v>1406</v>
      </c>
      <c r="J998" s="1" t="s">
        <v>635</v>
      </c>
      <c r="K998" s="1" t="s">
        <v>410</v>
      </c>
      <c r="L998" s="1" t="s">
        <v>2332</v>
      </c>
      <c r="M998" s="1" t="s">
        <v>995</v>
      </c>
      <c r="N998" s="1" t="s">
        <v>2964</v>
      </c>
      <c r="O998" s="1" t="s">
        <v>130</v>
      </c>
      <c r="P998" s="1">
        <v>82.0</v>
      </c>
      <c r="Q998" s="1" t="s">
        <v>2965</v>
      </c>
      <c r="R998" s="1" t="s">
        <v>851</v>
      </c>
      <c r="S998" s="1" t="s">
        <v>480</v>
      </c>
      <c r="T998" s="1" t="s">
        <v>36</v>
      </c>
      <c r="U998" s="1" t="s">
        <v>570</v>
      </c>
      <c r="V998" s="1" t="s">
        <v>1070</v>
      </c>
      <c r="W998" s="1" t="s">
        <v>1399</v>
      </c>
      <c r="X998" s="1" t="s">
        <v>1034</v>
      </c>
      <c r="Y998" s="1" t="s">
        <v>105</v>
      </c>
      <c r="Z998" s="1">
        <v>1.0</v>
      </c>
    </row>
    <row r="999">
      <c r="A999" s="1" t="s">
        <v>2966</v>
      </c>
      <c r="B999" s="1" t="s">
        <v>2770</v>
      </c>
      <c r="C999" s="1" t="s">
        <v>2327</v>
      </c>
      <c r="D999" s="1">
        <v>248.0</v>
      </c>
      <c r="E999" s="1">
        <v>84.0</v>
      </c>
      <c r="F999" s="1">
        <v>59.0</v>
      </c>
      <c r="G999" s="1">
        <v>77.0</v>
      </c>
      <c r="H999" s="1">
        <v>79.0</v>
      </c>
      <c r="I999" s="1">
        <v>79.0</v>
      </c>
      <c r="J999" s="1">
        <v>85.0</v>
      </c>
      <c r="K999" s="1">
        <v>81.0</v>
      </c>
      <c r="L999" s="1">
        <v>61.0</v>
      </c>
      <c r="M999" s="1">
        <v>75.0</v>
      </c>
      <c r="N999" s="1">
        <v>55.0</v>
      </c>
      <c r="O999" s="1">
        <v>56.0</v>
      </c>
      <c r="P999" s="1">
        <v>90.0</v>
      </c>
      <c r="Q999" s="1">
        <v>62.0</v>
      </c>
      <c r="R999" s="1">
        <v>47.0</v>
      </c>
      <c r="S999" s="1">
        <v>85.0</v>
      </c>
      <c r="T999" s="1">
        <v>93.0</v>
      </c>
      <c r="U999" s="1">
        <v>79.0</v>
      </c>
      <c r="V999" s="1">
        <v>69.0</v>
      </c>
      <c r="W999" s="1">
        <v>57.0</v>
      </c>
      <c r="X999" s="1">
        <v>91.0</v>
      </c>
      <c r="Y999" s="1">
        <v>82.0</v>
      </c>
      <c r="Z999" s="1">
        <v>1.0</v>
      </c>
    </row>
    <row r="1000">
      <c r="A1000" s="1" t="s">
        <v>1294</v>
      </c>
      <c r="B1000" s="1" t="s">
        <v>2770</v>
      </c>
      <c r="C1000" s="1" t="s">
        <v>2115</v>
      </c>
      <c r="D1000" s="1">
        <v>234.0</v>
      </c>
      <c r="E1000" s="1">
        <v>87.0</v>
      </c>
      <c r="F1000" s="1">
        <v>80.0</v>
      </c>
      <c r="G1000" s="1">
        <v>73.0</v>
      </c>
      <c r="H1000" s="1">
        <v>81.0</v>
      </c>
      <c r="I1000" s="1">
        <v>87.0</v>
      </c>
      <c r="J1000" s="1">
        <v>91.0</v>
      </c>
      <c r="K1000" s="1">
        <v>83.0</v>
      </c>
      <c r="L1000" s="1">
        <v>71.0</v>
      </c>
      <c r="M1000" s="1">
        <v>76.0</v>
      </c>
      <c r="N1000" s="1">
        <v>73.0</v>
      </c>
      <c r="O1000" s="1">
        <v>55.0</v>
      </c>
      <c r="P1000" s="1">
        <v>74.0</v>
      </c>
      <c r="Q1000" s="1">
        <v>72.0</v>
      </c>
      <c r="R1000" s="1">
        <v>60.0</v>
      </c>
      <c r="S1000" s="1">
        <v>88.0</v>
      </c>
      <c r="T1000" s="1">
        <v>85.0</v>
      </c>
      <c r="U1000" s="1">
        <v>70.0</v>
      </c>
      <c r="V1000" s="1">
        <v>70.0</v>
      </c>
      <c r="W1000" s="1">
        <v>60.0</v>
      </c>
      <c r="X1000" s="1">
        <v>86.0</v>
      </c>
      <c r="Y1000" s="1">
        <v>83.0</v>
      </c>
      <c r="Z1000" s="1">
        <v>1.0</v>
      </c>
    </row>
    <row r="1001">
      <c r="A1001" s="1" t="s">
        <v>1707</v>
      </c>
      <c r="B1001" s="1" t="s">
        <v>2770</v>
      </c>
      <c r="C1001" s="1" t="s">
        <v>2783</v>
      </c>
      <c r="D1001" s="1">
        <v>233.0</v>
      </c>
      <c r="E1001" s="1">
        <v>84.0</v>
      </c>
      <c r="F1001" s="1">
        <v>70.0</v>
      </c>
      <c r="G1001" s="1">
        <v>75.0</v>
      </c>
      <c r="H1001" s="1">
        <v>90.0</v>
      </c>
      <c r="I1001" s="1">
        <v>79.0</v>
      </c>
      <c r="J1001" s="1">
        <v>80.0</v>
      </c>
      <c r="K1001" s="1">
        <v>83.0</v>
      </c>
      <c r="L1001" s="1">
        <v>83.0</v>
      </c>
      <c r="M1001" s="1">
        <v>87.0</v>
      </c>
      <c r="N1001" s="1">
        <v>40.0</v>
      </c>
      <c r="O1001" s="1">
        <v>40.0</v>
      </c>
      <c r="P1001" s="1">
        <v>78.0</v>
      </c>
      <c r="Q1001" s="1">
        <v>60.0</v>
      </c>
      <c r="R1001" s="1">
        <v>38.0</v>
      </c>
      <c r="S1001" s="1">
        <v>93.0</v>
      </c>
      <c r="T1001" s="1">
        <v>92.0</v>
      </c>
      <c r="U1001" s="1">
        <v>77.0</v>
      </c>
      <c r="V1001" s="1">
        <v>60.0</v>
      </c>
      <c r="W1001" s="1">
        <v>45.0</v>
      </c>
      <c r="X1001" s="1">
        <v>79.0</v>
      </c>
      <c r="Y1001" s="1">
        <v>70.0</v>
      </c>
      <c r="Z1001" s="1">
        <v>1.0</v>
      </c>
    </row>
    <row r="1002">
      <c r="A1002" s="1" t="s">
        <v>2967</v>
      </c>
      <c r="B1002" s="1" t="s">
        <v>2770</v>
      </c>
      <c r="C1002" s="1" t="s">
        <v>2798</v>
      </c>
      <c r="D1002" s="1" t="s">
        <v>2968</v>
      </c>
      <c r="E1002" s="1" t="s">
        <v>937</v>
      </c>
      <c r="F1002" s="1" t="s">
        <v>1141</v>
      </c>
      <c r="G1002" s="1" t="s">
        <v>212</v>
      </c>
      <c r="H1002" s="1">
        <v>90.0</v>
      </c>
      <c r="I1002" s="1" t="s">
        <v>183</v>
      </c>
      <c r="J1002" s="1">
        <v>80.0</v>
      </c>
      <c r="K1002" s="1">
        <v>90.0</v>
      </c>
      <c r="L1002" s="1" t="s">
        <v>1512</v>
      </c>
      <c r="M1002" s="1" t="s">
        <v>410</v>
      </c>
      <c r="N1002" s="1" t="s">
        <v>522</v>
      </c>
      <c r="O1002" s="1" t="s">
        <v>426</v>
      </c>
      <c r="P1002" s="1">
        <v>82.0</v>
      </c>
      <c r="Q1002" s="1">
        <v>36.0</v>
      </c>
      <c r="R1002" s="1">
        <v>37.0</v>
      </c>
      <c r="S1002" s="1">
        <v>84.0</v>
      </c>
      <c r="T1002" s="1" t="s">
        <v>2969</v>
      </c>
      <c r="U1002" s="1">
        <v>84.0</v>
      </c>
      <c r="V1002" s="1" t="s">
        <v>2970</v>
      </c>
      <c r="W1002" s="1" t="s">
        <v>1051</v>
      </c>
      <c r="X1002" s="1">
        <v>91.0</v>
      </c>
      <c r="Y1002" s="1" t="s">
        <v>242</v>
      </c>
      <c r="Z1002" s="1">
        <v>1.0</v>
      </c>
    </row>
    <row r="1003">
      <c r="A1003" s="1" t="s">
        <v>2682</v>
      </c>
      <c r="B1003" s="1" t="s">
        <v>2770</v>
      </c>
      <c r="C1003" s="1" t="s">
        <v>2933</v>
      </c>
      <c r="D1003" s="1" t="s">
        <v>2971</v>
      </c>
      <c r="E1003" s="1" t="s">
        <v>476</v>
      </c>
      <c r="F1003" s="1" t="s">
        <v>204</v>
      </c>
      <c r="G1003" s="1" t="s">
        <v>600</v>
      </c>
      <c r="H1003" s="1" t="s">
        <v>2909</v>
      </c>
      <c r="I1003" s="1" t="s">
        <v>1881</v>
      </c>
      <c r="J1003" s="1" t="s">
        <v>187</v>
      </c>
      <c r="K1003" s="1" t="s">
        <v>1213</v>
      </c>
      <c r="L1003" s="1" t="s">
        <v>2285</v>
      </c>
      <c r="M1003" s="1" t="s">
        <v>1189</v>
      </c>
      <c r="N1003" s="1" t="s">
        <v>881</v>
      </c>
      <c r="O1003" s="1" t="s">
        <v>1384</v>
      </c>
      <c r="P1003" s="1" t="s">
        <v>132</v>
      </c>
      <c r="Q1003" s="1" t="s">
        <v>2597</v>
      </c>
      <c r="R1003" s="1" t="s">
        <v>2944</v>
      </c>
      <c r="S1003" s="1" t="s">
        <v>82</v>
      </c>
      <c r="T1003" s="1" t="s">
        <v>322</v>
      </c>
      <c r="U1003" s="1" t="s">
        <v>806</v>
      </c>
      <c r="V1003" s="1" t="s">
        <v>1789</v>
      </c>
      <c r="W1003" s="1" t="s">
        <v>2814</v>
      </c>
      <c r="X1003" s="1" t="s">
        <v>890</v>
      </c>
      <c r="Y1003" s="1" t="s">
        <v>150</v>
      </c>
      <c r="Z1003" s="1">
        <v>1.0</v>
      </c>
    </row>
    <row r="1004">
      <c r="A1004" s="1" t="s">
        <v>2972</v>
      </c>
      <c r="B1004" s="1" t="s">
        <v>2770</v>
      </c>
      <c r="C1004" s="1" t="s">
        <v>2773</v>
      </c>
      <c r="D1004" s="1" t="s">
        <v>2973</v>
      </c>
      <c r="E1004" s="1" t="s">
        <v>619</v>
      </c>
      <c r="F1004" s="1" t="s">
        <v>1762</v>
      </c>
      <c r="G1004" s="1" t="s">
        <v>236</v>
      </c>
      <c r="H1004" s="1" t="s">
        <v>485</v>
      </c>
      <c r="I1004" s="1" t="s">
        <v>1069</v>
      </c>
      <c r="J1004" s="1" t="s">
        <v>731</v>
      </c>
      <c r="K1004" s="1" t="s">
        <v>2974</v>
      </c>
      <c r="L1004" s="1" t="s">
        <v>2390</v>
      </c>
      <c r="M1004" s="1" t="s">
        <v>201</v>
      </c>
      <c r="N1004" s="1" t="s">
        <v>1705</v>
      </c>
      <c r="O1004" s="1" t="s">
        <v>460</v>
      </c>
      <c r="P1004" s="1" t="s">
        <v>205</v>
      </c>
      <c r="Q1004" s="1" t="s">
        <v>636</v>
      </c>
      <c r="R1004" s="1" t="s">
        <v>2337</v>
      </c>
      <c r="S1004" s="1" t="s">
        <v>45</v>
      </c>
      <c r="T1004" s="1" t="s">
        <v>2259</v>
      </c>
      <c r="U1004" s="1" t="s">
        <v>548</v>
      </c>
      <c r="V1004" s="1" t="s">
        <v>2975</v>
      </c>
      <c r="W1004" s="1" t="s">
        <v>2976</v>
      </c>
      <c r="X1004" s="1" t="s">
        <v>835</v>
      </c>
      <c r="Y1004" s="1" t="s">
        <v>2356</v>
      </c>
      <c r="Z1004" s="1">
        <v>1.0</v>
      </c>
    </row>
    <row r="1005">
      <c r="A1005" s="1" t="s">
        <v>2977</v>
      </c>
      <c r="B1005" s="1" t="s">
        <v>2770</v>
      </c>
      <c r="C1005" s="1" t="s">
        <v>2933</v>
      </c>
      <c r="D1005" s="1" t="s">
        <v>2978</v>
      </c>
      <c r="E1005" s="1" t="s">
        <v>300</v>
      </c>
      <c r="F1005" s="1" t="s">
        <v>1428</v>
      </c>
      <c r="G1005" s="1" t="s">
        <v>1460</v>
      </c>
      <c r="H1005" s="1" t="s">
        <v>82</v>
      </c>
      <c r="I1005" s="1" t="s">
        <v>509</v>
      </c>
      <c r="J1005" s="1" t="s">
        <v>593</v>
      </c>
      <c r="K1005" s="1" t="s">
        <v>530</v>
      </c>
      <c r="L1005" s="1" t="s">
        <v>416</v>
      </c>
      <c r="M1005" s="1" t="s">
        <v>265</v>
      </c>
      <c r="N1005" s="1" t="s">
        <v>2979</v>
      </c>
      <c r="O1005" s="1" t="s">
        <v>637</v>
      </c>
      <c r="P1005" s="1" t="s">
        <v>300</v>
      </c>
      <c r="Q1005" s="1" t="s">
        <v>1540</v>
      </c>
      <c r="R1005" s="1" t="s">
        <v>2182</v>
      </c>
      <c r="S1005" s="1" t="s">
        <v>300</v>
      </c>
      <c r="T1005" s="1" t="s">
        <v>2980</v>
      </c>
      <c r="U1005" s="1" t="s">
        <v>1251</v>
      </c>
      <c r="V1005" s="1" t="s">
        <v>1329</v>
      </c>
      <c r="W1005" s="1" t="s">
        <v>2981</v>
      </c>
      <c r="X1005" s="1" t="s">
        <v>226</v>
      </c>
      <c r="Y1005" s="1" t="s">
        <v>1634</v>
      </c>
      <c r="Z1005" s="1">
        <v>1.0</v>
      </c>
    </row>
    <row r="1006">
      <c r="A1006" s="1" t="s">
        <v>2982</v>
      </c>
      <c r="B1006" s="1" t="s">
        <v>2770</v>
      </c>
      <c r="C1006" s="1" t="s">
        <v>2776</v>
      </c>
      <c r="D1006" s="1" t="s">
        <v>2983</v>
      </c>
      <c r="E1006" s="1">
        <v>84.0</v>
      </c>
      <c r="F1006" s="1" t="s">
        <v>437</v>
      </c>
      <c r="G1006" s="1" t="s">
        <v>1965</v>
      </c>
      <c r="H1006" s="1" t="s">
        <v>174</v>
      </c>
      <c r="I1006" s="1" t="s">
        <v>204</v>
      </c>
      <c r="J1006" s="1" t="s">
        <v>600</v>
      </c>
      <c r="K1006" s="1" t="s">
        <v>220</v>
      </c>
      <c r="L1006" s="1" t="s">
        <v>1296</v>
      </c>
      <c r="M1006" s="1" t="s">
        <v>201</v>
      </c>
      <c r="N1006" s="1" t="s">
        <v>594</v>
      </c>
      <c r="O1006" s="1" t="s">
        <v>1186</v>
      </c>
      <c r="P1006" s="1">
        <v>88.0</v>
      </c>
      <c r="Q1006" s="1" t="s">
        <v>2984</v>
      </c>
      <c r="R1006" s="1" t="s">
        <v>2328</v>
      </c>
      <c r="S1006" s="1" t="s">
        <v>396</v>
      </c>
      <c r="T1006" s="1" t="s">
        <v>410</v>
      </c>
      <c r="U1006" s="1">
        <v>94.0</v>
      </c>
      <c r="V1006" s="1" t="s">
        <v>2985</v>
      </c>
      <c r="W1006" s="1" t="s">
        <v>1473</v>
      </c>
      <c r="X1006" s="1">
        <v>84.0</v>
      </c>
      <c r="Y1006" s="1" t="s">
        <v>1668</v>
      </c>
      <c r="Z1006" s="1">
        <v>1.0</v>
      </c>
    </row>
    <row r="1007">
      <c r="A1007" s="1" t="s">
        <v>2104</v>
      </c>
      <c r="B1007" s="1" t="s">
        <v>2770</v>
      </c>
      <c r="C1007" s="1" t="s">
        <v>2115</v>
      </c>
      <c r="D1007" s="1" t="s">
        <v>2986</v>
      </c>
      <c r="E1007" s="1">
        <v>84.0</v>
      </c>
      <c r="F1007" s="1" t="s">
        <v>878</v>
      </c>
      <c r="G1007" s="1">
        <v>73.0</v>
      </c>
      <c r="H1007" s="1">
        <v>81.0</v>
      </c>
      <c r="I1007" s="1">
        <v>59.0</v>
      </c>
      <c r="J1007" s="1">
        <v>74.0</v>
      </c>
      <c r="K1007" s="1">
        <v>80.0</v>
      </c>
      <c r="L1007" s="1" t="s">
        <v>752</v>
      </c>
      <c r="M1007" s="1">
        <v>75.0</v>
      </c>
      <c r="N1007" s="1" t="s">
        <v>1405</v>
      </c>
      <c r="O1007" s="1">
        <v>30.0</v>
      </c>
      <c r="P1007" s="1">
        <v>82.0</v>
      </c>
      <c r="Q1007" s="1">
        <v>71.0</v>
      </c>
      <c r="R1007" s="1">
        <v>60.0</v>
      </c>
      <c r="S1007" s="1">
        <v>93.0</v>
      </c>
      <c r="T1007" s="1">
        <v>92.0</v>
      </c>
      <c r="U1007" s="1">
        <v>85.0</v>
      </c>
      <c r="V1007" s="1">
        <v>70.0</v>
      </c>
      <c r="W1007" s="1">
        <v>58.0</v>
      </c>
      <c r="X1007" s="1">
        <v>91.0</v>
      </c>
      <c r="Y1007" s="1">
        <v>77.0</v>
      </c>
      <c r="Z1007" s="1">
        <v>1.0</v>
      </c>
    </row>
    <row r="1008">
      <c r="A1008" s="1" t="s">
        <v>2987</v>
      </c>
      <c r="B1008" s="1" t="s">
        <v>2770</v>
      </c>
      <c r="C1008" s="1" t="s">
        <v>2803</v>
      </c>
      <c r="D1008" s="1" t="s">
        <v>2988</v>
      </c>
      <c r="E1008" s="1" t="s">
        <v>166</v>
      </c>
      <c r="F1008" s="1" t="s">
        <v>2152</v>
      </c>
      <c r="G1008" s="1" t="s">
        <v>863</v>
      </c>
      <c r="H1008" s="1" t="s">
        <v>1633</v>
      </c>
      <c r="I1008" s="1" t="s">
        <v>2441</v>
      </c>
      <c r="J1008" s="1" t="s">
        <v>253</v>
      </c>
      <c r="K1008" s="1" t="s">
        <v>780</v>
      </c>
      <c r="L1008" s="1" t="s">
        <v>962</v>
      </c>
      <c r="M1008" s="1" t="s">
        <v>410</v>
      </c>
      <c r="N1008" s="1" t="s">
        <v>2989</v>
      </c>
      <c r="O1008" s="1" t="s">
        <v>2990</v>
      </c>
      <c r="P1008" s="1" t="s">
        <v>234</v>
      </c>
      <c r="Q1008" s="1" t="s">
        <v>1608</v>
      </c>
      <c r="R1008" s="1" t="s">
        <v>1370</v>
      </c>
      <c r="S1008" s="1" t="s">
        <v>45</v>
      </c>
      <c r="T1008" s="1" t="s">
        <v>225</v>
      </c>
      <c r="U1008" s="1" t="s">
        <v>538</v>
      </c>
      <c r="V1008" s="1" t="s">
        <v>2262</v>
      </c>
      <c r="W1008" s="1" t="s">
        <v>464</v>
      </c>
      <c r="X1008" s="1" t="s">
        <v>95</v>
      </c>
      <c r="Y1008" s="1" t="s">
        <v>31</v>
      </c>
      <c r="Z1008" s="1">
        <v>1.0</v>
      </c>
    </row>
    <row r="1009">
      <c r="A1009" s="1" t="s">
        <v>2991</v>
      </c>
      <c r="B1009" s="1" t="s">
        <v>2770</v>
      </c>
      <c r="C1009" s="1" t="s">
        <v>2798</v>
      </c>
      <c r="D1009" s="1" t="s">
        <v>2992</v>
      </c>
      <c r="E1009" s="1" t="s">
        <v>929</v>
      </c>
      <c r="F1009" s="1" t="s">
        <v>1663</v>
      </c>
      <c r="G1009" s="1" t="s">
        <v>2152</v>
      </c>
      <c r="H1009" s="1">
        <v>90.0</v>
      </c>
      <c r="I1009" s="1" t="s">
        <v>1447</v>
      </c>
      <c r="J1009" s="1" t="s">
        <v>2189</v>
      </c>
      <c r="K1009" s="1" t="s">
        <v>1258</v>
      </c>
      <c r="L1009" s="1" t="s">
        <v>149</v>
      </c>
      <c r="M1009" s="1" t="s">
        <v>614</v>
      </c>
      <c r="N1009" s="1" t="s">
        <v>1399</v>
      </c>
      <c r="O1009" s="1" t="s">
        <v>483</v>
      </c>
      <c r="P1009" s="1" t="s">
        <v>1080</v>
      </c>
      <c r="Q1009" s="1" t="s">
        <v>2378</v>
      </c>
      <c r="R1009" s="1" t="s">
        <v>2993</v>
      </c>
      <c r="S1009" s="1" t="s">
        <v>188</v>
      </c>
      <c r="T1009" s="1" t="s">
        <v>2535</v>
      </c>
      <c r="U1009" s="1" t="s">
        <v>1906</v>
      </c>
      <c r="V1009" s="1" t="s">
        <v>2970</v>
      </c>
      <c r="W1009" s="1" t="s">
        <v>2937</v>
      </c>
      <c r="X1009" s="1" t="s">
        <v>1202</v>
      </c>
      <c r="Y1009" s="1" t="s">
        <v>310</v>
      </c>
      <c r="Z1009" s="1">
        <v>1.0</v>
      </c>
    </row>
    <row r="1010">
      <c r="A1010" s="1" t="s">
        <v>2738</v>
      </c>
      <c r="B1010" s="1" t="s">
        <v>2770</v>
      </c>
      <c r="C1010" s="1" t="s">
        <v>2994</v>
      </c>
      <c r="D1010" s="1" t="s">
        <v>750</v>
      </c>
      <c r="E1010" s="1" t="s">
        <v>835</v>
      </c>
      <c r="F1010" s="1" t="s">
        <v>872</v>
      </c>
      <c r="G1010" s="1" t="s">
        <v>1688</v>
      </c>
      <c r="H1010" s="1" t="s">
        <v>2969</v>
      </c>
      <c r="I1010" s="1" t="s">
        <v>894</v>
      </c>
      <c r="J1010" s="1" t="s">
        <v>1054</v>
      </c>
      <c r="K1010" s="1" t="s">
        <v>525</v>
      </c>
      <c r="L1010" s="1" t="s">
        <v>962</v>
      </c>
      <c r="M1010" s="1" t="s">
        <v>337</v>
      </c>
      <c r="N1010" s="1" t="s">
        <v>94</v>
      </c>
      <c r="O1010" s="1" t="s">
        <v>395</v>
      </c>
      <c r="P1010" s="1" t="s">
        <v>128</v>
      </c>
      <c r="Q1010" s="1" t="s">
        <v>2904</v>
      </c>
      <c r="R1010" s="1" t="s">
        <v>2995</v>
      </c>
      <c r="S1010" s="1" t="s">
        <v>243</v>
      </c>
      <c r="T1010" s="1" t="s">
        <v>96</v>
      </c>
      <c r="U1010" s="1" t="s">
        <v>1202</v>
      </c>
      <c r="V1010" s="1" t="s">
        <v>1607</v>
      </c>
      <c r="W1010" s="1" t="s">
        <v>526</v>
      </c>
      <c r="X1010" s="1" t="s">
        <v>1023</v>
      </c>
      <c r="Y1010" s="1" t="s">
        <v>891</v>
      </c>
      <c r="Z1010" s="1">
        <v>1.0</v>
      </c>
    </row>
    <row r="1011">
      <c r="A1011" s="1" t="s">
        <v>2996</v>
      </c>
      <c r="B1011" s="1" t="s">
        <v>2770</v>
      </c>
      <c r="C1011" s="1" t="s">
        <v>2783</v>
      </c>
      <c r="D1011" s="1">
        <v>230.0</v>
      </c>
      <c r="E1011" s="1">
        <v>91.0</v>
      </c>
      <c r="F1011" s="1">
        <v>70.0</v>
      </c>
      <c r="G1011" s="1">
        <v>73.0</v>
      </c>
      <c r="H1011" s="1">
        <v>90.0</v>
      </c>
      <c r="I1011" s="1">
        <v>96.0</v>
      </c>
      <c r="J1011" s="1">
        <v>79.0</v>
      </c>
      <c r="K1011" s="1">
        <v>89.0</v>
      </c>
      <c r="L1011" s="1">
        <v>89.0</v>
      </c>
      <c r="M1011" s="1">
        <v>40.0</v>
      </c>
      <c r="N1011" s="1">
        <v>65.0</v>
      </c>
      <c r="O1011" s="1">
        <v>44.0</v>
      </c>
      <c r="P1011" s="1">
        <v>80.0</v>
      </c>
      <c r="Q1011" s="1">
        <v>62.0</v>
      </c>
      <c r="R1011" s="1">
        <v>35.0</v>
      </c>
      <c r="S1011" s="1">
        <v>84.0</v>
      </c>
      <c r="T1011" s="1">
        <v>84.0</v>
      </c>
      <c r="U1011" s="1">
        <v>85.0</v>
      </c>
      <c r="V1011" s="1">
        <v>62.0</v>
      </c>
      <c r="W1011" s="1">
        <v>47.0</v>
      </c>
      <c r="X1011" s="1">
        <v>70.0</v>
      </c>
      <c r="Y1011" s="1">
        <v>73.0</v>
      </c>
      <c r="Z1011" s="1">
        <v>1.0</v>
      </c>
    </row>
    <row r="1012">
      <c r="A1012" s="1" t="s">
        <v>2140</v>
      </c>
      <c r="B1012" s="1" t="s">
        <v>2770</v>
      </c>
      <c r="C1012" s="1" t="s">
        <v>2803</v>
      </c>
      <c r="D1012" s="1" t="s">
        <v>2997</v>
      </c>
      <c r="E1012" s="1" t="s">
        <v>465</v>
      </c>
      <c r="F1012" s="1" t="s">
        <v>1357</v>
      </c>
      <c r="G1012" s="1" t="s">
        <v>2998</v>
      </c>
      <c r="H1012" s="1" t="s">
        <v>2342</v>
      </c>
      <c r="I1012" s="1" t="s">
        <v>796</v>
      </c>
      <c r="J1012" s="1" t="s">
        <v>243</v>
      </c>
      <c r="K1012" s="1" t="s">
        <v>451</v>
      </c>
      <c r="L1012" s="1" t="s">
        <v>828</v>
      </c>
      <c r="M1012" s="1" t="s">
        <v>2148</v>
      </c>
      <c r="N1012" s="1" t="s">
        <v>1593</v>
      </c>
      <c r="O1012" s="1" t="s">
        <v>449</v>
      </c>
      <c r="P1012" s="1" t="s">
        <v>82</v>
      </c>
      <c r="Q1012" s="1" t="s">
        <v>2999</v>
      </c>
      <c r="R1012" s="1" t="s">
        <v>2818</v>
      </c>
      <c r="S1012" s="1" t="s">
        <v>1606</v>
      </c>
      <c r="T1012" s="1" t="s">
        <v>362</v>
      </c>
      <c r="U1012" s="1" t="s">
        <v>1233</v>
      </c>
      <c r="V1012" s="1" t="s">
        <v>403</v>
      </c>
      <c r="W1012" s="1" t="s">
        <v>3000</v>
      </c>
      <c r="X1012" s="1" t="s">
        <v>401</v>
      </c>
      <c r="Y1012" s="1" t="s">
        <v>796</v>
      </c>
      <c r="Z1012" s="1">
        <v>1.0</v>
      </c>
    </row>
    <row r="1013">
      <c r="A1013" s="1" t="s">
        <v>3001</v>
      </c>
      <c r="B1013" s="1" t="s">
        <v>2770</v>
      </c>
      <c r="C1013" s="1" t="s">
        <v>2798</v>
      </c>
      <c r="D1013" s="1" t="s">
        <v>3002</v>
      </c>
      <c r="E1013" s="1" t="s">
        <v>476</v>
      </c>
      <c r="F1013" s="1" t="s">
        <v>204</v>
      </c>
      <c r="G1013" s="1" t="s">
        <v>1054</v>
      </c>
      <c r="H1013" s="1" t="s">
        <v>477</v>
      </c>
      <c r="I1013" s="1" t="s">
        <v>614</v>
      </c>
      <c r="J1013" s="1" t="s">
        <v>151</v>
      </c>
      <c r="K1013" s="1" t="s">
        <v>525</v>
      </c>
      <c r="L1013" s="1" t="s">
        <v>1189</v>
      </c>
      <c r="M1013" s="1" t="s">
        <v>369</v>
      </c>
      <c r="N1013" s="1" t="s">
        <v>2981</v>
      </c>
      <c r="O1013" s="1" t="s">
        <v>695</v>
      </c>
      <c r="P1013" s="1" t="s">
        <v>1296</v>
      </c>
      <c r="Q1013" s="1" t="s">
        <v>2854</v>
      </c>
      <c r="R1013" s="1" t="s">
        <v>2290</v>
      </c>
      <c r="S1013" s="1" t="s">
        <v>322</v>
      </c>
      <c r="T1013" s="1" t="s">
        <v>204</v>
      </c>
      <c r="U1013" s="1" t="s">
        <v>133</v>
      </c>
      <c r="V1013" s="1" t="s">
        <v>1070</v>
      </c>
      <c r="W1013" s="1" t="s">
        <v>228</v>
      </c>
      <c r="X1013" s="1" t="s">
        <v>136</v>
      </c>
      <c r="Y1013" s="1" t="s">
        <v>52</v>
      </c>
      <c r="Z1013" s="1">
        <v>1.0</v>
      </c>
    </row>
    <row r="1014">
      <c r="A1014" s="1" t="s">
        <v>2474</v>
      </c>
      <c r="B1014" s="1" t="s">
        <v>2770</v>
      </c>
      <c r="C1014" s="1" t="s">
        <v>2803</v>
      </c>
      <c r="D1014" s="1" t="s">
        <v>3003</v>
      </c>
      <c r="E1014" s="1" t="s">
        <v>207</v>
      </c>
      <c r="F1014" s="1" t="s">
        <v>2383</v>
      </c>
      <c r="G1014" s="1" t="s">
        <v>1029</v>
      </c>
      <c r="H1014" s="1" t="s">
        <v>477</v>
      </c>
      <c r="I1014" s="1" t="s">
        <v>1766</v>
      </c>
      <c r="J1014" s="1" t="s">
        <v>675</v>
      </c>
      <c r="K1014" s="1" t="s">
        <v>451</v>
      </c>
      <c r="L1014" s="1" t="s">
        <v>900</v>
      </c>
      <c r="M1014" s="1" t="s">
        <v>657</v>
      </c>
      <c r="N1014" s="1" t="s">
        <v>65</v>
      </c>
      <c r="O1014" s="1" t="s">
        <v>344</v>
      </c>
      <c r="P1014" s="1" t="s">
        <v>128</v>
      </c>
      <c r="Q1014" s="1" t="s">
        <v>1540</v>
      </c>
      <c r="R1014" s="1" t="s">
        <v>851</v>
      </c>
      <c r="S1014" s="1" t="s">
        <v>1013</v>
      </c>
      <c r="T1014" s="1" t="s">
        <v>345</v>
      </c>
      <c r="U1014" s="1" t="s">
        <v>199</v>
      </c>
      <c r="V1014" s="1" t="s">
        <v>65</v>
      </c>
      <c r="W1014" s="1" t="s">
        <v>505</v>
      </c>
      <c r="X1014" s="1" t="s">
        <v>646</v>
      </c>
      <c r="Y1014" s="1" t="s">
        <v>1176</v>
      </c>
      <c r="Z1014" s="1">
        <v>1.0</v>
      </c>
    </row>
    <row r="1015">
      <c r="A1015" s="1" t="s">
        <v>2715</v>
      </c>
      <c r="B1015" s="1" t="s">
        <v>2770</v>
      </c>
      <c r="C1015" s="1" t="s">
        <v>2327</v>
      </c>
      <c r="D1015" s="1" t="s">
        <v>3004</v>
      </c>
      <c r="E1015" s="1" t="s">
        <v>277</v>
      </c>
      <c r="F1015" s="1" t="s">
        <v>855</v>
      </c>
      <c r="G1015" s="1" t="s">
        <v>212</v>
      </c>
      <c r="H1015" s="1" t="s">
        <v>700</v>
      </c>
      <c r="I1015" s="1" t="s">
        <v>689</v>
      </c>
      <c r="J1015" s="1" t="s">
        <v>517</v>
      </c>
      <c r="K1015" s="1" t="s">
        <v>780</v>
      </c>
      <c r="L1015" s="1" t="s">
        <v>3005</v>
      </c>
      <c r="M1015" s="1" t="s">
        <v>1867</v>
      </c>
      <c r="N1015" s="1" t="s">
        <v>2351</v>
      </c>
      <c r="O1015" s="1" t="s">
        <v>33</v>
      </c>
      <c r="P1015" s="1" t="s">
        <v>857</v>
      </c>
      <c r="Q1015" s="1" t="s">
        <v>2854</v>
      </c>
      <c r="R1015" s="1" t="s">
        <v>2340</v>
      </c>
      <c r="S1015" s="1" t="s">
        <v>1914</v>
      </c>
      <c r="T1015" s="1" t="s">
        <v>362</v>
      </c>
      <c r="U1015" s="1" t="s">
        <v>1233</v>
      </c>
      <c r="V1015" s="1" t="s">
        <v>2900</v>
      </c>
      <c r="W1015" s="1" t="s">
        <v>102</v>
      </c>
      <c r="X1015" s="1" t="s">
        <v>166</v>
      </c>
      <c r="Y1015" s="1" t="s">
        <v>105</v>
      </c>
      <c r="Z1015" s="1">
        <v>1.0</v>
      </c>
    </row>
    <row r="1016">
      <c r="A1016" s="1" t="s">
        <v>3006</v>
      </c>
      <c r="B1016" s="1" t="s">
        <v>2770</v>
      </c>
      <c r="C1016" s="1" t="s">
        <v>2783</v>
      </c>
      <c r="D1016" s="1" t="s">
        <v>3007</v>
      </c>
      <c r="E1016" s="1" t="s">
        <v>323</v>
      </c>
      <c r="F1016" s="1" t="s">
        <v>881</v>
      </c>
      <c r="G1016" s="1" t="s">
        <v>1141</v>
      </c>
      <c r="H1016" s="1" t="s">
        <v>427</v>
      </c>
      <c r="I1016" s="1" t="s">
        <v>325</v>
      </c>
      <c r="J1016" s="1" t="s">
        <v>802</v>
      </c>
      <c r="K1016" s="1" t="s">
        <v>1296</v>
      </c>
      <c r="L1016" s="1" t="s">
        <v>1211</v>
      </c>
      <c r="M1016" s="1" t="s">
        <v>517</v>
      </c>
      <c r="N1016" s="1" t="s">
        <v>2005</v>
      </c>
      <c r="O1016" s="1" t="s">
        <v>1210</v>
      </c>
      <c r="P1016" s="1" t="s">
        <v>716</v>
      </c>
      <c r="Q1016" s="1" t="s">
        <v>450</v>
      </c>
      <c r="R1016" s="1" t="s">
        <v>3008</v>
      </c>
      <c r="S1016" s="1" t="s">
        <v>716</v>
      </c>
      <c r="T1016" s="1" t="s">
        <v>553</v>
      </c>
      <c r="U1016" s="1" t="s">
        <v>96</v>
      </c>
      <c r="V1016" s="1" t="s">
        <v>3009</v>
      </c>
      <c r="W1016" s="1" t="s">
        <v>1405</v>
      </c>
      <c r="X1016" s="1" t="s">
        <v>76</v>
      </c>
      <c r="Y1016" s="1" t="s">
        <v>1901</v>
      </c>
      <c r="Z1016" s="1">
        <v>1.0</v>
      </c>
    </row>
    <row r="1017">
      <c r="A1017" s="1" t="s">
        <v>2454</v>
      </c>
      <c r="B1017" s="1" t="s">
        <v>2770</v>
      </c>
      <c r="C1017" s="1" t="s">
        <v>2776</v>
      </c>
      <c r="D1017" s="1" t="s">
        <v>2963</v>
      </c>
      <c r="E1017" s="1" t="s">
        <v>1147</v>
      </c>
      <c r="F1017" s="1" t="s">
        <v>2387</v>
      </c>
      <c r="G1017" s="1" t="s">
        <v>237</v>
      </c>
      <c r="H1017" s="1">
        <v>90.0</v>
      </c>
      <c r="I1017" s="1" t="s">
        <v>731</v>
      </c>
      <c r="J1017" s="1" t="s">
        <v>780</v>
      </c>
      <c r="K1017" s="1" t="s">
        <v>600</v>
      </c>
      <c r="L1017" s="1" t="s">
        <v>325</v>
      </c>
      <c r="M1017" s="1" t="s">
        <v>729</v>
      </c>
      <c r="N1017" s="1" t="s">
        <v>1497</v>
      </c>
      <c r="O1017" s="1" t="s">
        <v>433</v>
      </c>
      <c r="P1017" s="1" t="s">
        <v>384</v>
      </c>
      <c r="Q1017" s="1" t="s">
        <v>1661</v>
      </c>
      <c r="R1017" s="1" t="s">
        <v>899</v>
      </c>
      <c r="S1017" s="1" t="s">
        <v>45</v>
      </c>
      <c r="T1017" s="1" t="s">
        <v>909</v>
      </c>
      <c r="U1017" s="1" t="s">
        <v>476</v>
      </c>
      <c r="V1017" s="1" t="s">
        <v>88</v>
      </c>
      <c r="W1017" s="1" t="s">
        <v>2782</v>
      </c>
      <c r="X1017" s="1" t="s">
        <v>952</v>
      </c>
      <c r="Y1017" s="1" t="s">
        <v>242</v>
      </c>
      <c r="Z1017" s="1">
        <v>1.0</v>
      </c>
    </row>
    <row r="1018">
      <c r="A1018" s="1" t="s">
        <v>1864</v>
      </c>
      <c r="B1018" s="1" t="s">
        <v>2770</v>
      </c>
      <c r="C1018" s="1" t="s">
        <v>2327</v>
      </c>
      <c r="D1018" s="1">
        <v>221.0</v>
      </c>
      <c r="E1018" s="1">
        <v>84.0</v>
      </c>
      <c r="F1018" s="1">
        <v>80.0</v>
      </c>
      <c r="G1018" s="1">
        <v>80.0</v>
      </c>
      <c r="H1018" s="1">
        <v>81.0</v>
      </c>
      <c r="I1018" s="1">
        <v>79.0</v>
      </c>
      <c r="J1018" s="1">
        <v>80.0</v>
      </c>
      <c r="K1018" s="1">
        <v>89.0</v>
      </c>
      <c r="L1018" s="1">
        <v>71.0</v>
      </c>
      <c r="M1018" s="1">
        <v>82.0</v>
      </c>
      <c r="N1018" s="1">
        <v>67.0</v>
      </c>
      <c r="O1018" s="1">
        <v>64.0</v>
      </c>
      <c r="P1018" s="1">
        <v>77.0</v>
      </c>
      <c r="Q1018" s="1">
        <v>45.0</v>
      </c>
      <c r="R1018" s="1">
        <v>38.0</v>
      </c>
      <c r="S1018" s="1">
        <v>93.0</v>
      </c>
      <c r="T1018" s="1">
        <v>80.0</v>
      </c>
      <c r="U1018" s="1">
        <v>84.0</v>
      </c>
      <c r="V1018" s="1">
        <v>75.0</v>
      </c>
      <c r="W1018" s="1">
        <v>66.0</v>
      </c>
      <c r="X1018" s="1">
        <v>85.0</v>
      </c>
      <c r="Y1018" s="1">
        <v>85.0</v>
      </c>
      <c r="Z1018" s="1">
        <v>1.0</v>
      </c>
    </row>
    <row r="1019">
      <c r="A1019" s="1" t="s">
        <v>2427</v>
      </c>
      <c r="B1019" s="1" t="s">
        <v>2770</v>
      </c>
      <c r="C1019" s="1" t="s">
        <v>3010</v>
      </c>
      <c r="D1019" s="1" t="s">
        <v>3011</v>
      </c>
      <c r="E1019" s="1" t="s">
        <v>225</v>
      </c>
      <c r="F1019" s="1" t="s">
        <v>881</v>
      </c>
      <c r="G1019" s="1" t="s">
        <v>509</v>
      </c>
      <c r="H1019" s="1" t="s">
        <v>914</v>
      </c>
      <c r="I1019" s="1" t="s">
        <v>163</v>
      </c>
      <c r="J1019" s="1" t="s">
        <v>419</v>
      </c>
      <c r="K1019" s="1" t="s">
        <v>220</v>
      </c>
      <c r="L1019" s="1" t="s">
        <v>368</v>
      </c>
      <c r="M1019" s="1" t="s">
        <v>204</v>
      </c>
      <c r="N1019" s="1" t="s">
        <v>102</v>
      </c>
      <c r="O1019" s="1" t="s">
        <v>3012</v>
      </c>
      <c r="P1019" s="1" t="s">
        <v>128</v>
      </c>
      <c r="Q1019" s="1" t="s">
        <v>1846</v>
      </c>
      <c r="R1019" s="1" t="s">
        <v>464</v>
      </c>
      <c r="S1019" s="1" t="s">
        <v>2489</v>
      </c>
      <c r="T1019" s="1" t="s">
        <v>35</v>
      </c>
      <c r="U1019" s="1" t="s">
        <v>78</v>
      </c>
      <c r="V1019" s="1" t="s">
        <v>1587</v>
      </c>
      <c r="W1019" s="1" t="s">
        <v>1252</v>
      </c>
      <c r="X1019" s="1" t="s">
        <v>620</v>
      </c>
      <c r="Y1019" s="1" t="s">
        <v>2918</v>
      </c>
      <c r="Z1019" s="1">
        <v>1.0</v>
      </c>
    </row>
    <row r="1020">
      <c r="A1020" s="1" t="s">
        <v>3013</v>
      </c>
      <c r="B1020" s="1" t="s">
        <v>2770</v>
      </c>
      <c r="C1020" s="1" t="s">
        <v>2327</v>
      </c>
      <c r="D1020" s="1">
        <v>269.0</v>
      </c>
      <c r="E1020" s="1">
        <v>80.0</v>
      </c>
      <c r="F1020" s="1">
        <v>64.0</v>
      </c>
      <c r="G1020" s="1">
        <v>65.0</v>
      </c>
      <c r="H1020" s="1">
        <v>90.0</v>
      </c>
      <c r="I1020" s="1">
        <v>80.0</v>
      </c>
      <c r="J1020" s="1">
        <v>81.0</v>
      </c>
      <c r="K1020" s="1">
        <v>90.0</v>
      </c>
      <c r="L1020" s="1">
        <v>78.0</v>
      </c>
      <c r="M1020" s="1">
        <v>87.0</v>
      </c>
      <c r="N1020" s="1">
        <v>63.0</v>
      </c>
      <c r="O1020" s="1">
        <v>51.0</v>
      </c>
      <c r="P1020" s="1">
        <v>82.0</v>
      </c>
      <c r="Q1020" s="1">
        <v>61.0</v>
      </c>
      <c r="R1020" s="1">
        <v>53.0</v>
      </c>
      <c r="S1020" s="1">
        <v>80.0</v>
      </c>
      <c r="T1020" s="1">
        <v>91.0</v>
      </c>
      <c r="U1020" s="1">
        <v>81.0</v>
      </c>
      <c r="V1020" s="1">
        <v>65.0</v>
      </c>
      <c r="W1020" s="1">
        <v>50.0</v>
      </c>
      <c r="X1020" s="1">
        <v>90.0</v>
      </c>
      <c r="Y1020" s="1">
        <v>80.0</v>
      </c>
      <c r="Z1020" s="1">
        <v>1.0</v>
      </c>
    </row>
    <row r="1021">
      <c r="A1021" s="1" t="s">
        <v>3014</v>
      </c>
      <c r="B1021" s="1" t="s">
        <v>2770</v>
      </c>
      <c r="C1021" s="1" t="s">
        <v>2327</v>
      </c>
      <c r="D1021" s="1">
        <v>256.0</v>
      </c>
      <c r="E1021" s="1">
        <v>79.0</v>
      </c>
      <c r="F1021" s="1">
        <v>67.0</v>
      </c>
      <c r="G1021" s="1">
        <v>87.0</v>
      </c>
      <c r="H1021" s="1">
        <v>90.0</v>
      </c>
      <c r="I1021" s="1" t="s">
        <v>1375</v>
      </c>
      <c r="J1021" s="1" t="s">
        <v>3015</v>
      </c>
      <c r="K1021" s="1" t="s">
        <v>1546</v>
      </c>
      <c r="L1021" s="1" t="s">
        <v>2346</v>
      </c>
      <c r="M1021" s="1">
        <v>87.0</v>
      </c>
      <c r="N1021" s="1" t="s">
        <v>1444</v>
      </c>
      <c r="O1021" s="1" t="s">
        <v>3016</v>
      </c>
      <c r="P1021" s="1" t="s">
        <v>1116</v>
      </c>
      <c r="Q1021" s="1" t="s">
        <v>232</v>
      </c>
      <c r="R1021" s="1" t="s">
        <v>1726</v>
      </c>
      <c r="S1021" s="1">
        <v>74.0</v>
      </c>
      <c r="T1021" s="1">
        <v>99.0</v>
      </c>
      <c r="U1021" s="1">
        <v>84.0</v>
      </c>
      <c r="V1021" s="1" t="s">
        <v>402</v>
      </c>
      <c r="W1021" s="1" t="s">
        <v>1483</v>
      </c>
      <c r="X1021" s="1" t="s">
        <v>1202</v>
      </c>
      <c r="Y1021" s="1" t="s">
        <v>404</v>
      </c>
      <c r="Z1021" s="1">
        <v>1.0</v>
      </c>
    </row>
    <row r="1022">
      <c r="A1022" s="1" t="s">
        <v>2301</v>
      </c>
      <c r="B1022" s="1" t="s">
        <v>2770</v>
      </c>
      <c r="C1022" s="1" t="s">
        <v>2783</v>
      </c>
      <c r="D1022" s="1">
        <v>230.0</v>
      </c>
      <c r="E1022" s="1">
        <v>92.0</v>
      </c>
      <c r="F1022" s="1">
        <v>68.0</v>
      </c>
      <c r="G1022" s="1">
        <v>66.0</v>
      </c>
      <c r="H1022" s="1">
        <v>90.0</v>
      </c>
      <c r="I1022" s="1">
        <v>88.0</v>
      </c>
      <c r="J1022" s="1">
        <v>79.0</v>
      </c>
      <c r="K1022" s="1">
        <v>89.0</v>
      </c>
      <c r="L1022" s="1">
        <v>64.0</v>
      </c>
      <c r="M1022" s="1">
        <v>82.0</v>
      </c>
      <c r="N1022" s="1">
        <v>44.0</v>
      </c>
      <c r="O1022" s="1">
        <v>25.0</v>
      </c>
      <c r="P1022" s="1">
        <v>85.0</v>
      </c>
      <c r="Q1022" s="1">
        <v>35.0</v>
      </c>
      <c r="R1022" s="1">
        <v>40.0</v>
      </c>
      <c r="S1022" s="1">
        <v>91.0</v>
      </c>
      <c r="T1022" s="1">
        <v>79.0</v>
      </c>
      <c r="U1022" s="1">
        <v>85.0</v>
      </c>
      <c r="V1022" s="1">
        <v>62.0</v>
      </c>
      <c r="W1022" s="1">
        <v>47.0</v>
      </c>
      <c r="X1022" s="1">
        <v>81.0</v>
      </c>
      <c r="Y1022" s="1">
        <v>66.0</v>
      </c>
      <c r="Z1022" s="1">
        <v>1.0</v>
      </c>
    </row>
    <row r="1023">
      <c r="A1023" s="1" t="s">
        <v>3017</v>
      </c>
      <c r="B1023" s="1" t="s">
        <v>2770</v>
      </c>
      <c r="C1023" s="1" t="s">
        <v>1534</v>
      </c>
      <c r="D1023" s="1">
        <v>220.0</v>
      </c>
      <c r="E1023" s="1">
        <v>70.0</v>
      </c>
      <c r="F1023" s="1">
        <v>45.0</v>
      </c>
      <c r="G1023" s="1">
        <v>65.0</v>
      </c>
      <c r="H1023" s="1">
        <v>60.0</v>
      </c>
      <c r="I1023" s="1">
        <v>50.0</v>
      </c>
      <c r="J1023" s="1">
        <v>70.0</v>
      </c>
      <c r="K1023" s="1">
        <v>80.0</v>
      </c>
      <c r="L1023" s="1">
        <v>56.0</v>
      </c>
      <c r="M1023" s="1">
        <v>76.0</v>
      </c>
      <c r="N1023" s="1">
        <v>48.0</v>
      </c>
      <c r="O1023" s="1">
        <v>53.0</v>
      </c>
      <c r="P1023" s="1">
        <v>70.0</v>
      </c>
      <c r="Q1023" s="1">
        <v>83.0</v>
      </c>
      <c r="R1023" s="1">
        <v>85.0</v>
      </c>
      <c r="S1023" s="1">
        <v>78.0</v>
      </c>
      <c r="T1023" s="1">
        <v>85.0</v>
      </c>
      <c r="U1023" s="1">
        <v>94.0</v>
      </c>
      <c r="V1023" s="1">
        <v>83.0</v>
      </c>
      <c r="W1023" s="1">
        <v>80.0</v>
      </c>
      <c r="X1023" s="1">
        <v>83.0</v>
      </c>
      <c r="Y1023" s="1">
        <v>85.0</v>
      </c>
      <c r="Z1023" s="1">
        <v>1.0</v>
      </c>
    </row>
    <row r="1024">
      <c r="A1024" s="1" t="s">
        <v>3018</v>
      </c>
      <c r="B1024" s="1" t="s">
        <v>2770</v>
      </c>
      <c r="C1024" s="1" t="s">
        <v>1579</v>
      </c>
      <c r="D1024" s="1">
        <v>248.0</v>
      </c>
      <c r="E1024" s="1">
        <v>81.0</v>
      </c>
      <c r="F1024" s="1">
        <v>75.0</v>
      </c>
      <c r="G1024" s="1">
        <v>70.0</v>
      </c>
      <c r="H1024" s="1">
        <v>81.0</v>
      </c>
      <c r="I1024" s="1">
        <v>65.0</v>
      </c>
      <c r="J1024" s="1">
        <v>85.0</v>
      </c>
      <c r="K1024" s="1">
        <v>82.0</v>
      </c>
      <c r="L1024" s="1">
        <v>79.0</v>
      </c>
      <c r="M1024" s="1">
        <v>76.0</v>
      </c>
      <c r="N1024" s="1">
        <v>46.0</v>
      </c>
      <c r="O1024" s="1">
        <v>50.0</v>
      </c>
      <c r="P1024" s="1">
        <v>85.0</v>
      </c>
      <c r="Q1024" s="1">
        <v>74.0</v>
      </c>
      <c r="R1024" s="1">
        <v>50.0</v>
      </c>
      <c r="S1024" s="1">
        <v>80.0</v>
      </c>
      <c r="T1024" s="1">
        <v>84.0</v>
      </c>
      <c r="U1024" s="1">
        <v>94.0</v>
      </c>
      <c r="V1024" s="1">
        <v>74.0</v>
      </c>
      <c r="W1024" s="1">
        <v>67.0</v>
      </c>
      <c r="X1024" s="1">
        <v>83.0</v>
      </c>
      <c r="Y1024" s="1">
        <v>77.0</v>
      </c>
      <c r="Z1024" s="1">
        <v>1.0</v>
      </c>
    </row>
    <row r="1025">
      <c r="A1025" s="1" t="s">
        <v>3019</v>
      </c>
      <c r="B1025" s="1" t="s">
        <v>2770</v>
      </c>
      <c r="C1025" s="1" t="s">
        <v>2327</v>
      </c>
      <c r="D1025" s="1">
        <v>246.0</v>
      </c>
      <c r="E1025" s="1">
        <v>90.0</v>
      </c>
      <c r="F1025" s="1">
        <v>70.0</v>
      </c>
      <c r="G1025" s="1">
        <v>60.0</v>
      </c>
      <c r="H1025" s="1">
        <v>90.0</v>
      </c>
      <c r="I1025" s="1">
        <v>91.0</v>
      </c>
      <c r="J1025" s="1">
        <v>80.0</v>
      </c>
      <c r="K1025" s="1">
        <v>80.0</v>
      </c>
      <c r="L1025" s="1">
        <v>55.0</v>
      </c>
      <c r="M1025" s="1">
        <v>25.0</v>
      </c>
      <c r="N1025" s="1">
        <v>46.0</v>
      </c>
      <c r="O1025" s="1">
        <v>31.0</v>
      </c>
      <c r="P1025" s="1">
        <v>85.0</v>
      </c>
      <c r="Q1025" s="1">
        <v>65.0</v>
      </c>
      <c r="R1025" s="1">
        <v>40.0</v>
      </c>
      <c r="S1025" s="1">
        <v>90.0</v>
      </c>
      <c r="T1025" s="1">
        <v>92.0</v>
      </c>
      <c r="U1025" s="1">
        <v>94.0</v>
      </c>
      <c r="V1025" s="1">
        <v>70.0</v>
      </c>
      <c r="W1025" s="1">
        <v>58.0</v>
      </c>
      <c r="X1025" s="1">
        <v>91.0</v>
      </c>
      <c r="Y1025" s="1">
        <v>75.0</v>
      </c>
      <c r="Z1025" s="1">
        <v>1.0</v>
      </c>
    </row>
    <row r="1026">
      <c r="A1026" s="1" t="s">
        <v>2117</v>
      </c>
      <c r="B1026" s="1" t="s">
        <v>2770</v>
      </c>
      <c r="C1026" s="1" t="s">
        <v>2798</v>
      </c>
      <c r="D1026" s="1" t="s">
        <v>3020</v>
      </c>
      <c r="E1026" s="1" t="s">
        <v>1346</v>
      </c>
      <c r="F1026" s="1" t="s">
        <v>863</v>
      </c>
      <c r="G1026" s="1" t="s">
        <v>3021</v>
      </c>
      <c r="H1026" s="1" t="s">
        <v>1477</v>
      </c>
      <c r="I1026" s="1" t="s">
        <v>645</v>
      </c>
      <c r="J1026" s="1" t="s">
        <v>462</v>
      </c>
      <c r="K1026" s="1" t="s">
        <v>593</v>
      </c>
      <c r="L1026" s="1" t="s">
        <v>1983</v>
      </c>
      <c r="M1026" s="1" t="s">
        <v>929</v>
      </c>
      <c r="N1026" s="1" t="s">
        <v>369</v>
      </c>
      <c r="O1026" s="1" t="s">
        <v>753</v>
      </c>
      <c r="P1026" s="1" t="s">
        <v>595</v>
      </c>
      <c r="Q1026" s="1" t="s">
        <v>2780</v>
      </c>
      <c r="R1026" s="1" t="s">
        <v>1406</v>
      </c>
      <c r="S1026" s="1" t="s">
        <v>937</v>
      </c>
      <c r="T1026" s="1" t="s">
        <v>204</v>
      </c>
      <c r="U1026" s="1" t="s">
        <v>133</v>
      </c>
      <c r="V1026" s="1" t="s">
        <v>375</v>
      </c>
      <c r="W1026" s="1" t="s">
        <v>2174</v>
      </c>
      <c r="X1026" s="1" t="s">
        <v>1296</v>
      </c>
      <c r="Y1026" s="1" t="s">
        <v>1224</v>
      </c>
      <c r="Z1026" s="1">
        <v>1.0</v>
      </c>
    </row>
    <row r="1027">
      <c r="A1027" s="1" t="s">
        <v>3022</v>
      </c>
      <c r="B1027" s="1" t="s">
        <v>2770</v>
      </c>
      <c r="C1027" s="1" t="s">
        <v>2773</v>
      </c>
      <c r="D1027" s="1" t="s">
        <v>2992</v>
      </c>
      <c r="E1027" s="1">
        <v>92.0</v>
      </c>
      <c r="F1027" s="1" t="s">
        <v>428</v>
      </c>
      <c r="G1027" s="1" t="s">
        <v>437</v>
      </c>
      <c r="H1027" s="1">
        <v>90.0</v>
      </c>
      <c r="I1027" s="1">
        <v>87.0</v>
      </c>
      <c r="J1027" s="1" t="s">
        <v>183</v>
      </c>
      <c r="K1027" s="1" t="s">
        <v>1296</v>
      </c>
      <c r="L1027" s="1" t="s">
        <v>1902</v>
      </c>
      <c r="M1027" s="1" t="s">
        <v>384</v>
      </c>
      <c r="N1027" s="1" t="s">
        <v>185</v>
      </c>
      <c r="O1027" s="1" t="s">
        <v>275</v>
      </c>
      <c r="P1027" s="1" t="s">
        <v>132</v>
      </c>
      <c r="Q1027" s="1" t="s">
        <v>668</v>
      </c>
      <c r="R1027" s="1" t="s">
        <v>3023</v>
      </c>
      <c r="S1027" s="1" t="s">
        <v>188</v>
      </c>
      <c r="T1027" s="1" t="s">
        <v>133</v>
      </c>
      <c r="U1027" s="1" t="s">
        <v>1817</v>
      </c>
      <c r="V1027" s="1" t="s">
        <v>1749</v>
      </c>
      <c r="W1027" s="1" t="s">
        <v>2927</v>
      </c>
      <c r="X1027" s="1" t="s">
        <v>571</v>
      </c>
      <c r="Y1027" s="1">
        <v>70.0</v>
      </c>
      <c r="Z1027" s="1">
        <v>1.0</v>
      </c>
    </row>
    <row r="1028">
      <c r="A1028" s="1" t="s">
        <v>292</v>
      </c>
      <c r="B1028" s="1" t="s">
        <v>2770</v>
      </c>
      <c r="C1028" s="1" t="s">
        <v>2115</v>
      </c>
      <c r="D1028" s="1">
        <v>215.0</v>
      </c>
      <c r="E1028" s="1">
        <v>80.0</v>
      </c>
      <c r="F1028" s="1">
        <v>75.0</v>
      </c>
      <c r="G1028" s="1">
        <v>70.0</v>
      </c>
      <c r="H1028" s="1">
        <v>81.0</v>
      </c>
      <c r="I1028" s="1">
        <v>80.0</v>
      </c>
      <c r="J1028" s="1">
        <v>85.0</v>
      </c>
      <c r="K1028" s="1">
        <v>80.0</v>
      </c>
      <c r="L1028" s="1">
        <v>61.0</v>
      </c>
      <c r="M1028" s="1">
        <v>71.0</v>
      </c>
      <c r="N1028" s="1">
        <v>46.0</v>
      </c>
      <c r="O1028" s="1">
        <v>42.0</v>
      </c>
      <c r="P1028" s="1">
        <v>85.0</v>
      </c>
      <c r="Q1028" s="1">
        <v>71.0</v>
      </c>
      <c r="R1028" s="1">
        <v>60.0</v>
      </c>
      <c r="S1028" s="1">
        <v>94.0</v>
      </c>
      <c r="T1028" s="1">
        <v>83.0</v>
      </c>
      <c r="U1028" s="1">
        <v>83.0</v>
      </c>
      <c r="V1028" s="1">
        <v>78.0</v>
      </c>
      <c r="W1028" s="1">
        <v>72.0</v>
      </c>
      <c r="X1028" s="1">
        <v>79.0</v>
      </c>
      <c r="Y1028" s="1">
        <v>85.0</v>
      </c>
      <c r="Z1028" s="1">
        <v>1.0</v>
      </c>
    </row>
    <row r="1029">
      <c r="A1029" s="1" t="s">
        <v>2103</v>
      </c>
      <c r="B1029" s="1" t="s">
        <v>2770</v>
      </c>
      <c r="C1029" s="1" t="s">
        <v>2803</v>
      </c>
      <c r="D1029" s="1" t="s">
        <v>3024</v>
      </c>
      <c r="E1029" s="1" t="s">
        <v>600</v>
      </c>
      <c r="F1029" s="1" t="s">
        <v>691</v>
      </c>
      <c r="G1029" s="1" t="s">
        <v>2683</v>
      </c>
      <c r="H1029" s="1" t="s">
        <v>1672</v>
      </c>
      <c r="I1029" s="1" t="s">
        <v>700</v>
      </c>
      <c r="J1029" s="1" t="s">
        <v>909</v>
      </c>
      <c r="K1029" s="1" t="s">
        <v>137</v>
      </c>
      <c r="L1029" s="1" t="s">
        <v>1821</v>
      </c>
      <c r="M1029" s="1" t="s">
        <v>325</v>
      </c>
      <c r="N1029" s="1" t="s">
        <v>365</v>
      </c>
      <c r="O1029" s="1" t="s">
        <v>505</v>
      </c>
      <c r="P1029" s="1" t="s">
        <v>227</v>
      </c>
      <c r="Q1029" s="1" t="s">
        <v>3025</v>
      </c>
      <c r="R1029" s="1" t="s">
        <v>1177</v>
      </c>
      <c r="S1029" s="1" t="s">
        <v>1038</v>
      </c>
      <c r="T1029" s="1" t="s">
        <v>398</v>
      </c>
      <c r="U1029" s="1" t="s">
        <v>35</v>
      </c>
      <c r="V1029" s="1" t="s">
        <v>1428</v>
      </c>
      <c r="W1029" s="1" t="s">
        <v>2944</v>
      </c>
      <c r="X1029" s="1" t="s">
        <v>1188</v>
      </c>
      <c r="Y1029" s="1" t="s">
        <v>181</v>
      </c>
      <c r="Z1029" s="1">
        <v>1.0</v>
      </c>
    </row>
    <row r="1030">
      <c r="A1030" s="1" t="s">
        <v>3026</v>
      </c>
      <c r="B1030" s="1" t="s">
        <v>2770</v>
      </c>
      <c r="C1030" s="1" t="s">
        <v>2798</v>
      </c>
      <c r="D1030" s="1" t="s">
        <v>3027</v>
      </c>
      <c r="E1030" s="1" t="s">
        <v>113</v>
      </c>
      <c r="F1030" s="1" t="s">
        <v>2006</v>
      </c>
      <c r="G1030" s="1" t="s">
        <v>872</v>
      </c>
      <c r="H1030" s="1" t="s">
        <v>485</v>
      </c>
      <c r="I1030" s="1" t="s">
        <v>755</v>
      </c>
      <c r="J1030" s="1" t="s">
        <v>40</v>
      </c>
      <c r="K1030" s="1" t="s">
        <v>129</v>
      </c>
      <c r="L1030" s="1" t="s">
        <v>828</v>
      </c>
      <c r="M1030" s="1" t="s">
        <v>614</v>
      </c>
      <c r="N1030" s="1" t="s">
        <v>1734</v>
      </c>
      <c r="O1030" s="1" t="s">
        <v>3028</v>
      </c>
      <c r="P1030" s="1" t="s">
        <v>582</v>
      </c>
      <c r="Q1030" s="1" t="s">
        <v>2844</v>
      </c>
      <c r="R1030" s="1" t="s">
        <v>3029</v>
      </c>
      <c r="S1030" s="1" t="s">
        <v>45</v>
      </c>
      <c r="T1030" s="1" t="s">
        <v>401</v>
      </c>
      <c r="U1030" s="1" t="s">
        <v>35</v>
      </c>
      <c r="V1030" s="1" t="s">
        <v>892</v>
      </c>
      <c r="W1030" s="1" t="s">
        <v>2796</v>
      </c>
      <c r="X1030" s="1" t="s">
        <v>477</v>
      </c>
      <c r="Y1030" s="1" t="s">
        <v>213</v>
      </c>
      <c r="Z1030" s="1">
        <v>1.0</v>
      </c>
    </row>
    <row r="1031">
      <c r="A1031" s="1" t="s">
        <v>3030</v>
      </c>
      <c r="B1031" s="1" t="s">
        <v>2770</v>
      </c>
      <c r="C1031" s="1" t="s">
        <v>3031</v>
      </c>
      <c r="D1031" s="1">
        <v>255.0</v>
      </c>
      <c r="E1031" s="1">
        <v>90.0</v>
      </c>
      <c r="F1031" s="1">
        <v>76.0</v>
      </c>
      <c r="G1031" s="1">
        <v>73.0</v>
      </c>
      <c r="H1031" s="1">
        <v>90.0</v>
      </c>
      <c r="I1031" s="1">
        <v>67.0</v>
      </c>
      <c r="J1031" s="1">
        <v>78.0</v>
      </c>
      <c r="K1031" s="1">
        <v>77.0</v>
      </c>
      <c r="L1031" s="1">
        <v>83.0</v>
      </c>
      <c r="M1031" s="1">
        <v>87.0</v>
      </c>
      <c r="N1031" s="1">
        <v>54.0</v>
      </c>
      <c r="O1031" s="1">
        <v>44.0</v>
      </c>
      <c r="P1031" s="1">
        <v>87.0</v>
      </c>
      <c r="Q1031" s="1">
        <v>60.0</v>
      </c>
      <c r="R1031" s="1">
        <v>60.0</v>
      </c>
      <c r="S1031" s="1">
        <v>84.0</v>
      </c>
      <c r="T1031" s="1">
        <v>90.0</v>
      </c>
      <c r="U1031" s="1">
        <v>85.0</v>
      </c>
      <c r="V1031" s="1">
        <v>57.0</v>
      </c>
      <c r="W1031" s="1">
        <v>43.0</v>
      </c>
      <c r="X1031" s="1">
        <v>83.0</v>
      </c>
      <c r="Y1031" s="1">
        <v>73.0</v>
      </c>
      <c r="Z1031" s="1">
        <v>1.0</v>
      </c>
    </row>
    <row r="1032">
      <c r="A1032" s="1" t="s">
        <v>3032</v>
      </c>
      <c r="B1032" s="1" t="s">
        <v>2770</v>
      </c>
      <c r="C1032" s="1" t="s">
        <v>3033</v>
      </c>
      <c r="D1032" s="1" t="s">
        <v>3034</v>
      </c>
      <c r="E1032" s="1" t="s">
        <v>760</v>
      </c>
      <c r="F1032" s="1" t="s">
        <v>48</v>
      </c>
      <c r="G1032" s="1" t="s">
        <v>236</v>
      </c>
      <c r="H1032" s="1">
        <v>90.0</v>
      </c>
      <c r="I1032" s="1" t="s">
        <v>614</v>
      </c>
      <c r="J1032" s="1">
        <v>80.0</v>
      </c>
      <c r="K1032" s="1" t="s">
        <v>220</v>
      </c>
      <c r="L1032" s="1" t="s">
        <v>711</v>
      </c>
      <c r="M1032" s="1" t="s">
        <v>657</v>
      </c>
      <c r="N1032" s="1" t="s">
        <v>1720</v>
      </c>
      <c r="O1032" s="1">
        <v>44.0</v>
      </c>
      <c r="P1032" s="1" t="s">
        <v>582</v>
      </c>
      <c r="Q1032" s="1">
        <v>62.0</v>
      </c>
      <c r="R1032" s="1" t="s">
        <v>1763</v>
      </c>
      <c r="S1032" s="1" t="s">
        <v>45</v>
      </c>
      <c r="T1032" s="1" t="s">
        <v>157</v>
      </c>
      <c r="U1032" s="1" t="s">
        <v>35</v>
      </c>
      <c r="V1032" s="1" t="s">
        <v>1347</v>
      </c>
      <c r="W1032" s="1" t="s">
        <v>524</v>
      </c>
      <c r="X1032" s="1" t="s">
        <v>1326</v>
      </c>
      <c r="Y1032" s="1" t="s">
        <v>204</v>
      </c>
      <c r="Z1032" s="1">
        <v>1.0</v>
      </c>
    </row>
    <row r="1033">
      <c r="A1033" s="1" t="s">
        <v>1437</v>
      </c>
      <c r="B1033" s="1" t="s">
        <v>2770</v>
      </c>
      <c r="C1033" s="1" t="s">
        <v>2776</v>
      </c>
      <c r="D1033" s="1" t="s">
        <v>2695</v>
      </c>
      <c r="E1033" s="1" t="s">
        <v>1787</v>
      </c>
      <c r="F1033" s="1" t="s">
        <v>1821</v>
      </c>
      <c r="G1033" s="1" t="s">
        <v>576</v>
      </c>
      <c r="H1033" s="1" t="s">
        <v>3035</v>
      </c>
      <c r="I1033" s="1" t="s">
        <v>53</v>
      </c>
      <c r="J1033" s="1" t="s">
        <v>1946</v>
      </c>
      <c r="K1033" s="1" t="s">
        <v>390</v>
      </c>
      <c r="L1033" s="1" t="s">
        <v>1368</v>
      </c>
      <c r="M1033" s="1" t="s">
        <v>432</v>
      </c>
      <c r="N1033" s="1" t="s">
        <v>210</v>
      </c>
      <c r="O1033" s="1" t="s">
        <v>3036</v>
      </c>
      <c r="P1033" s="1" t="s">
        <v>82</v>
      </c>
      <c r="Q1033" s="1" t="s">
        <v>2842</v>
      </c>
      <c r="R1033" s="1" t="s">
        <v>1424</v>
      </c>
      <c r="S1033" s="1" t="s">
        <v>670</v>
      </c>
      <c r="T1033" s="1" t="s">
        <v>332</v>
      </c>
      <c r="U1033" s="1" t="s">
        <v>322</v>
      </c>
      <c r="V1033" s="1" t="s">
        <v>3037</v>
      </c>
      <c r="W1033" s="1" t="s">
        <v>3038</v>
      </c>
      <c r="X1033" s="1" t="s">
        <v>1788</v>
      </c>
      <c r="Y1033" s="1" t="s">
        <v>490</v>
      </c>
      <c r="Z1033" s="1">
        <v>1.0</v>
      </c>
    </row>
    <row r="1034">
      <c r="A1034" s="1" t="s">
        <v>3039</v>
      </c>
      <c r="B1034" s="1" t="s">
        <v>2770</v>
      </c>
      <c r="C1034" s="1" t="s">
        <v>2327</v>
      </c>
      <c r="D1034" s="1">
        <v>240.0</v>
      </c>
      <c r="E1034" s="1">
        <v>80.0</v>
      </c>
      <c r="F1034" s="1">
        <v>55.0</v>
      </c>
      <c r="G1034" s="1">
        <v>62.0</v>
      </c>
      <c r="H1034" s="1">
        <v>90.0</v>
      </c>
      <c r="I1034" s="1">
        <v>83.0</v>
      </c>
      <c r="J1034" s="1">
        <v>85.0</v>
      </c>
      <c r="K1034" s="1">
        <v>82.0</v>
      </c>
      <c r="L1034" s="1">
        <v>76.0</v>
      </c>
      <c r="M1034" s="1">
        <v>88.0</v>
      </c>
      <c r="N1034" s="1">
        <v>53.0</v>
      </c>
      <c r="O1034" s="1">
        <v>31.0</v>
      </c>
      <c r="P1034" s="1">
        <v>85.0</v>
      </c>
      <c r="Q1034" s="1">
        <v>62.0</v>
      </c>
      <c r="R1034" s="1">
        <v>40.0</v>
      </c>
      <c r="S1034" s="1">
        <v>88.0</v>
      </c>
      <c r="T1034" s="1">
        <v>70.0</v>
      </c>
      <c r="U1034" s="1">
        <v>94.0</v>
      </c>
      <c r="V1034" s="1">
        <v>71.0</v>
      </c>
      <c r="W1034" s="1">
        <v>60.0</v>
      </c>
      <c r="X1034" s="1">
        <v>90.0</v>
      </c>
      <c r="Y1034" s="1">
        <v>77.0</v>
      </c>
      <c r="Z1034" s="1">
        <v>1.0</v>
      </c>
    </row>
    <row r="1035">
      <c r="A1035" s="1" t="s">
        <v>2414</v>
      </c>
      <c r="B1035" s="1" t="s">
        <v>2770</v>
      </c>
      <c r="C1035" s="1" t="s">
        <v>2773</v>
      </c>
      <c r="D1035" s="1" t="s">
        <v>3040</v>
      </c>
      <c r="E1035" s="1" t="s">
        <v>553</v>
      </c>
      <c r="F1035" s="1" t="s">
        <v>368</v>
      </c>
      <c r="G1035" s="1" t="s">
        <v>1916</v>
      </c>
      <c r="H1035" s="1" t="s">
        <v>427</v>
      </c>
      <c r="I1035" s="1" t="s">
        <v>390</v>
      </c>
      <c r="J1035" s="1" t="s">
        <v>45</v>
      </c>
      <c r="K1035" s="1">
        <v>89.0</v>
      </c>
      <c r="L1035" s="1" t="s">
        <v>1556</v>
      </c>
      <c r="M1035" s="1" t="s">
        <v>175</v>
      </c>
      <c r="N1035" s="1" t="s">
        <v>185</v>
      </c>
      <c r="O1035" s="1" t="s">
        <v>245</v>
      </c>
      <c r="P1035" s="1" t="s">
        <v>207</v>
      </c>
      <c r="Q1035" s="1" t="s">
        <v>161</v>
      </c>
      <c r="R1035" s="1" t="s">
        <v>1186</v>
      </c>
      <c r="S1035" s="1" t="s">
        <v>225</v>
      </c>
      <c r="T1035" s="1" t="s">
        <v>937</v>
      </c>
      <c r="U1035" s="1" t="s">
        <v>1523</v>
      </c>
      <c r="V1035" s="1" t="s">
        <v>1070</v>
      </c>
      <c r="W1035" s="1" t="s">
        <v>2916</v>
      </c>
      <c r="X1035" s="1" t="s">
        <v>76</v>
      </c>
      <c r="Y1035" s="1" t="s">
        <v>30</v>
      </c>
      <c r="Z1035" s="1">
        <v>1.0</v>
      </c>
    </row>
    <row r="1036">
      <c r="A1036" s="1" t="s">
        <v>3041</v>
      </c>
      <c r="B1036" s="1" t="s">
        <v>2770</v>
      </c>
      <c r="C1036" s="1" t="s">
        <v>1534</v>
      </c>
      <c r="D1036" s="1">
        <v>247.0</v>
      </c>
      <c r="E1036" s="1">
        <v>80.0</v>
      </c>
      <c r="F1036" s="1">
        <v>60.0</v>
      </c>
      <c r="G1036" s="1">
        <v>80.0</v>
      </c>
      <c r="H1036" s="1">
        <v>90.0</v>
      </c>
      <c r="I1036" s="1">
        <v>62.0</v>
      </c>
      <c r="J1036" s="1">
        <v>40.0</v>
      </c>
      <c r="K1036" s="1">
        <v>25.0</v>
      </c>
      <c r="L1036" s="1">
        <v>42.0</v>
      </c>
      <c r="M1036" s="1">
        <v>76.0</v>
      </c>
      <c r="N1036" s="1">
        <v>46.0</v>
      </c>
      <c r="O1036" s="1">
        <v>50.0</v>
      </c>
      <c r="P1036" s="1">
        <v>77.0</v>
      </c>
      <c r="Q1036" s="1">
        <v>85.0</v>
      </c>
      <c r="R1036" s="1">
        <v>73.0</v>
      </c>
      <c r="S1036" s="1">
        <v>93.0</v>
      </c>
      <c r="T1036" s="1">
        <v>94.0</v>
      </c>
      <c r="U1036" s="1">
        <v>90.0</v>
      </c>
      <c r="V1036" s="1">
        <v>80.0</v>
      </c>
      <c r="W1036" s="1">
        <v>76.0</v>
      </c>
      <c r="X1036" s="1">
        <v>91.0</v>
      </c>
      <c r="Y1036" s="1">
        <v>83.0</v>
      </c>
      <c r="Z1036" s="1">
        <v>1.0</v>
      </c>
    </row>
    <row r="1037">
      <c r="A1037" s="1" t="s">
        <v>2567</v>
      </c>
      <c r="B1037" s="1" t="s">
        <v>2770</v>
      </c>
      <c r="C1037" s="1" t="s">
        <v>3042</v>
      </c>
      <c r="D1037" s="1" t="s">
        <v>3043</v>
      </c>
      <c r="E1037" s="1" t="s">
        <v>271</v>
      </c>
      <c r="F1037" s="1">
        <v>70.0</v>
      </c>
      <c r="G1037" s="1" t="s">
        <v>600</v>
      </c>
      <c r="H1037" s="1" t="s">
        <v>67</v>
      </c>
      <c r="I1037" s="1" t="s">
        <v>2397</v>
      </c>
      <c r="J1037" s="1" t="s">
        <v>310</v>
      </c>
      <c r="K1037" s="1" t="s">
        <v>620</v>
      </c>
      <c r="L1037" s="1" t="s">
        <v>1122</v>
      </c>
      <c r="M1037" s="1" t="s">
        <v>881</v>
      </c>
      <c r="N1037" s="1">
        <v>54.0</v>
      </c>
      <c r="O1037" s="1" t="s">
        <v>2956</v>
      </c>
      <c r="P1037" s="1" t="s">
        <v>208</v>
      </c>
      <c r="Q1037" s="1" t="s">
        <v>1391</v>
      </c>
      <c r="R1037" s="1" t="s">
        <v>521</v>
      </c>
      <c r="S1037" s="1" t="s">
        <v>390</v>
      </c>
      <c r="T1037" s="1" t="s">
        <v>136</v>
      </c>
      <c r="U1037" s="1" t="s">
        <v>36</v>
      </c>
      <c r="V1037" s="1" t="s">
        <v>363</v>
      </c>
      <c r="W1037" s="1" t="s">
        <v>940</v>
      </c>
      <c r="X1037" s="1" t="s">
        <v>80</v>
      </c>
      <c r="Y1037" s="1" t="s">
        <v>1054</v>
      </c>
      <c r="Z1037" s="1">
        <v>1.0</v>
      </c>
    </row>
    <row r="1038">
      <c r="A1038" s="1" t="s">
        <v>3044</v>
      </c>
      <c r="B1038" s="1" t="s">
        <v>2770</v>
      </c>
      <c r="C1038" s="1" t="s">
        <v>2773</v>
      </c>
      <c r="D1038" s="1" t="s">
        <v>2963</v>
      </c>
      <c r="E1038" s="1" t="s">
        <v>322</v>
      </c>
      <c r="F1038" s="1" t="s">
        <v>863</v>
      </c>
      <c r="G1038" s="1" t="s">
        <v>237</v>
      </c>
      <c r="H1038" s="1">
        <v>81.0</v>
      </c>
      <c r="I1038" s="1" t="s">
        <v>937</v>
      </c>
      <c r="J1038" s="1" t="s">
        <v>597</v>
      </c>
      <c r="K1038" s="1" t="s">
        <v>1121</v>
      </c>
      <c r="L1038" s="1" t="s">
        <v>473</v>
      </c>
      <c r="M1038" s="1" t="s">
        <v>190</v>
      </c>
      <c r="N1038" s="1" t="s">
        <v>1151</v>
      </c>
      <c r="O1038" s="1" t="s">
        <v>2853</v>
      </c>
      <c r="P1038" s="1" t="s">
        <v>221</v>
      </c>
      <c r="Q1038" s="1" t="s">
        <v>232</v>
      </c>
      <c r="R1038" s="1" t="s">
        <v>2685</v>
      </c>
      <c r="S1038" s="1">
        <v>93.0</v>
      </c>
      <c r="T1038" s="1" t="s">
        <v>1368</v>
      </c>
      <c r="U1038" s="1" t="s">
        <v>208</v>
      </c>
      <c r="V1038" s="1" t="s">
        <v>2932</v>
      </c>
      <c r="W1038" s="1" t="s">
        <v>1395</v>
      </c>
      <c r="X1038" s="1" t="s">
        <v>890</v>
      </c>
      <c r="Y1038" s="1" t="s">
        <v>204</v>
      </c>
      <c r="Z1038" s="1">
        <v>1.0</v>
      </c>
    </row>
    <row r="1039">
      <c r="A1039" s="1" t="s">
        <v>3045</v>
      </c>
      <c r="B1039" s="1" t="s">
        <v>2770</v>
      </c>
      <c r="C1039" s="1" t="s">
        <v>2783</v>
      </c>
      <c r="D1039" s="1">
        <v>236.0</v>
      </c>
      <c r="E1039" s="1">
        <v>91.0</v>
      </c>
      <c r="F1039" s="1">
        <v>66.0</v>
      </c>
      <c r="G1039" s="1">
        <v>61.0</v>
      </c>
      <c r="H1039" s="1">
        <v>90.0</v>
      </c>
      <c r="I1039" s="1">
        <v>68.0</v>
      </c>
      <c r="J1039" s="1">
        <v>77.0</v>
      </c>
      <c r="K1039" s="1">
        <v>76.0</v>
      </c>
      <c r="L1039" s="1">
        <v>71.0</v>
      </c>
      <c r="M1039" s="1">
        <v>73.0</v>
      </c>
      <c r="N1039" s="1">
        <v>28.0</v>
      </c>
      <c r="O1039" s="1">
        <v>25.0</v>
      </c>
      <c r="P1039" s="1">
        <v>86.0</v>
      </c>
      <c r="Q1039" s="1">
        <v>36.0</v>
      </c>
      <c r="R1039" s="1">
        <v>41.0</v>
      </c>
      <c r="S1039" s="1">
        <v>93.0</v>
      </c>
      <c r="T1039" s="1">
        <v>96.0</v>
      </c>
      <c r="U1039" s="1">
        <v>81.0</v>
      </c>
      <c r="V1039" s="1">
        <v>60.0</v>
      </c>
      <c r="W1039" s="1">
        <v>45.0</v>
      </c>
      <c r="X1039" s="1">
        <v>77.0</v>
      </c>
      <c r="Y1039" s="1">
        <v>72.0</v>
      </c>
      <c r="Z1039" s="1">
        <v>1.0</v>
      </c>
    </row>
    <row r="1040">
      <c r="A1040" s="1" t="s">
        <v>3046</v>
      </c>
      <c r="B1040" s="1" t="s">
        <v>2770</v>
      </c>
      <c r="C1040" s="1" t="s">
        <v>2115</v>
      </c>
      <c r="D1040" s="1">
        <v>279.0</v>
      </c>
      <c r="E1040" s="1">
        <v>84.0</v>
      </c>
      <c r="F1040" s="1">
        <v>80.0</v>
      </c>
      <c r="G1040" s="1">
        <v>80.0</v>
      </c>
      <c r="H1040" s="1">
        <v>65.0</v>
      </c>
      <c r="I1040" s="1">
        <v>87.0</v>
      </c>
      <c r="J1040" s="1">
        <v>80.0</v>
      </c>
      <c r="K1040" s="1">
        <v>90.0</v>
      </c>
      <c r="L1040" s="1">
        <v>70.0</v>
      </c>
      <c r="M1040" s="1">
        <v>87.0</v>
      </c>
      <c r="N1040" s="1">
        <v>75.0</v>
      </c>
      <c r="O1040" s="1">
        <v>56.0</v>
      </c>
      <c r="P1040" s="1">
        <v>80.0</v>
      </c>
      <c r="Q1040" s="1">
        <v>69.0</v>
      </c>
      <c r="R1040" s="1">
        <v>39.0</v>
      </c>
      <c r="S1040" s="1">
        <v>80.0</v>
      </c>
      <c r="T1040" s="1">
        <v>79.0</v>
      </c>
      <c r="U1040" s="1">
        <v>94.0</v>
      </c>
      <c r="V1040" s="1">
        <v>67.0</v>
      </c>
      <c r="W1040" s="1">
        <v>53.0</v>
      </c>
      <c r="X1040" s="1">
        <v>86.0</v>
      </c>
      <c r="Y1040" s="1">
        <v>75.0</v>
      </c>
      <c r="Z1040" s="1">
        <v>1.0</v>
      </c>
    </row>
    <row r="1041">
      <c r="A1041" s="1" t="s">
        <v>2242</v>
      </c>
      <c r="B1041" s="1" t="s">
        <v>2770</v>
      </c>
      <c r="C1041" s="1" t="s">
        <v>2776</v>
      </c>
      <c r="D1041" s="1" t="s">
        <v>3047</v>
      </c>
      <c r="E1041" s="1" t="s">
        <v>1098</v>
      </c>
      <c r="F1041" s="1" t="s">
        <v>1647</v>
      </c>
      <c r="G1041" s="1" t="s">
        <v>1686</v>
      </c>
      <c r="H1041" s="1">
        <v>90.0</v>
      </c>
      <c r="I1041" s="1" t="s">
        <v>1116</v>
      </c>
      <c r="J1041" s="1" t="s">
        <v>1098</v>
      </c>
      <c r="K1041" s="1" t="s">
        <v>208</v>
      </c>
      <c r="L1041" s="1" t="s">
        <v>518</v>
      </c>
      <c r="M1041" s="1" t="s">
        <v>860</v>
      </c>
      <c r="N1041" s="1" t="s">
        <v>3048</v>
      </c>
      <c r="O1041" s="1" t="s">
        <v>3049</v>
      </c>
      <c r="P1041" s="1" t="s">
        <v>128</v>
      </c>
      <c r="Q1041" s="1" t="s">
        <v>3050</v>
      </c>
      <c r="R1041" s="1" t="s">
        <v>1661</v>
      </c>
      <c r="S1041" s="1" t="s">
        <v>538</v>
      </c>
      <c r="T1041" s="1" t="s">
        <v>457</v>
      </c>
      <c r="U1041" s="1" t="s">
        <v>39</v>
      </c>
      <c r="V1041" s="1" t="s">
        <v>1566</v>
      </c>
      <c r="W1041" s="1" t="s">
        <v>2905</v>
      </c>
      <c r="X1041" s="1" t="s">
        <v>39</v>
      </c>
      <c r="Y1041" s="1" t="s">
        <v>635</v>
      </c>
      <c r="Z1041" s="1">
        <v>1.0</v>
      </c>
    </row>
    <row r="1042">
      <c r="A1042" s="1" t="s">
        <v>3051</v>
      </c>
      <c r="B1042" s="1" t="s">
        <v>2770</v>
      </c>
      <c r="C1042" s="1" t="s">
        <v>2798</v>
      </c>
      <c r="D1042" s="1" t="s">
        <v>1757</v>
      </c>
      <c r="E1042" s="1" t="s">
        <v>3052</v>
      </c>
      <c r="F1042" s="1" t="s">
        <v>620</v>
      </c>
      <c r="G1042" s="1" t="s">
        <v>110</v>
      </c>
      <c r="H1042" s="1" t="s">
        <v>208</v>
      </c>
      <c r="I1042" s="1" t="s">
        <v>39</v>
      </c>
      <c r="J1042" s="1">
        <v>80.0</v>
      </c>
      <c r="K1042" s="1" t="s">
        <v>62</v>
      </c>
      <c r="L1042" s="1" t="s">
        <v>796</v>
      </c>
      <c r="M1042" s="1" t="s">
        <v>242</v>
      </c>
      <c r="N1042" s="1" t="s">
        <v>1909</v>
      </c>
      <c r="O1042" s="1" t="s">
        <v>1036</v>
      </c>
      <c r="P1042" s="1" t="s">
        <v>208</v>
      </c>
      <c r="Q1042" s="1" t="s">
        <v>2818</v>
      </c>
      <c r="R1042" s="1" t="s">
        <v>270</v>
      </c>
      <c r="S1042" s="1" t="s">
        <v>840</v>
      </c>
      <c r="T1042" s="1" t="s">
        <v>208</v>
      </c>
      <c r="U1042" s="1" t="s">
        <v>427</v>
      </c>
      <c r="V1042" s="1" t="s">
        <v>1151</v>
      </c>
      <c r="W1042" s="1" t="s">
        <v>540</v>
      </c>
      <c r="X1042" s="1" t="s">
        <v>204</v>
      </c>
      <c r="Y1042" s="1">
        <v>80.0</v>
      </c>
      <c r="Z1042" s="1">
        <v>1.0</v>
      </c>
    </row>
    <row r="1043">
      <c r="A1043" s="1" t="s">
        <v>3053</v>
      </c>
      <c r="B1043" s="1" t="s">
        <v>2770</v>
      </c>
      <c r="C1043" s="1" t="s">
        <v>2851</v>
      </c>
      <c r="D1043" s="1" t="s">
        <v>3054</v>
      </c>
      <c r="E1043" s="1" t="s">
        <v>525</v>
      </c>
      <c r="F1043" s="1" t="s">
        <v>437</v>
      </c>
      <c r="G1043" s="1" t="s">
        <v>405</v>
      </c>
      <c r="H1043" s="1" t="s">
        <v>485</v>
      </c>
      <c r="I1043" s="1" t="s">
        <v>1035</v>
      </c>
      <c r="J1043" s="1" t="s">
        <v>62</v>
      </c>
      <c r="K1043" s="1" t="s">
        <v>129</v>
      </c>
      <c r="L1043" s="1" t="s">
        <v>1028</v>
      </c>
      <c r="M1043" s="1" t="s">
        <v>306</v>
      </c>
      <c r="N1043" s="1" t="s">
        <v>2849</v>
      </c>
      <c r="O1043" s="1" t="s">
        <v>3055</v>
      </c>
      <c r="P1043" s="1">
        <v>88.0</v>
      </c>
      <c r="Q1043" s="1" t="s">
        <v>2780</v>
      </c>
      <c r="R1043" s="1" t="s">
        <v>1165</v>
      </c>
      <c r="S1043" s="1" t="s">
        <v>45</v>
      </c>
      <c r="T1043" s="1" t="s">
        <v>1084</v>
      </c>
      <c r="U1043" s="1" t="s">
        <v>734</v>
      </c>
      <c r="V1043" s="1" t="s">
        <v>2894</v>
      </c>
      <c r="W1043" s="1" t="s">
        <v>374</v>
      </c>
      <c r="X1043" s="1" t="s">
        <v>462</v>
      </c>
      <c r="Y1043" s="1" t="s">
        <v>213</v>
      </c>
      <c r="Z1043" s="1">
        <v>1.0</v>
      </c>
    </row>
    <row r="1044">
      <c r="A1044" s="1" t="s">
        <v>2120</v>
      </c>
      <c r="B1044" s="1" t="s">
        <v>2770</v>
      </c>
      <c r="C1044" s="1" t="s">
        <v>2115</v>
      </c>
      <c r="D1044" s="1">
        <v>229.0</v>
      </c>
      <c r="E1044" s="1">
        <v>87.0</v>
      </c>
      <c r="F1044" s="1">
        <v>85.0</v>
      </c>
      <c r="G1044" s="1">
        <v>88.0</v>
      </c>
      <c r="H1044" s="1">
        <v>90.0</v>
      </c>
      <c r="I1044" s="1">
        <v>79.0</v>
      </c>
      <c r="J1044" s="1">
        <v>91.0</v>
      </c>
      <c r="K1044" s="1">
        <v>88.0</v>
      </c>
      <c r="L1044" s="1">
        <v>68.0</v>
      </c>
      <c r="M1044" s="1">
        <v>49.0</v>
      </c>
      <c r="N1044" s="1">
        <v>74.0</v>
      </c>
      <c r="O1044" s="1">
        <v>65.0</v>
      </c>
      <c r="P1044" s="1">
        <v>86.0</v>
      </c>
      <c r="Q1044" s="1">
        <v>74.0</v>
      </c>
      <c r="R1044" s="1">
        <v>45.0</v>
      </c>
      <c r="S1044" s="1">
        <v>88.0</v>
      </c>
      <c r="T1044" s="1">
        <v>45.0</v>
      </c>
      <c r="U1044" s="1">
        <v>70.0</v>
      </c>
      <c r="V1044" s="1">
        <v>72.0</v>
      </c>
      <c r="W1044" s="1">
        <v>68.0</v>
      </c>
      <c r="X1044" s="1">
        <v>85.0</v>
      </c>
      <c r="Y1044" s="1">
        <v>78.0</v>
      </c>
      <c r="Z1044" s="1">
        <v>1.0</v>
      </c>
    </row>
    <row r="1045">
      <c r="A1045" s="1" t="s">
        <v>2728</v>
      </c>
      <c r="B1045" s="1" t="s">
        <v>2770</v>
      </c>
      <c r="C1045" s="1" t="s">
        <v>970</v>
      </c>
      <c r="D1045" s="1">
        <v>260.0</v>
      </c>
      <c r="E1045" s="1">
        <v>67.0</v>
      </c>
      <c r="F1045" s="1">
        <v>75.0</v>
      </c>
      <c r="G1045" s="1">
        <v>87.0</v>
      </c>
      <c r="H1045" s="1">
        <v>47.0</v>
      </c>
      <c r="I1045" s="1">
        <v>56.0</v>
      </c>
      <c r="J1045" s="1">
        <v>70.0</v>
      </c>
      <c r="K1045" s="1">
        <v>80.0</v>
      </c>
      <c r="L1045" s="1">
        <v>76.0</v>
      </c>
      <c r="M1045" s="1">
        <v>87.0</v>
      </c>
      <c r="N1045" s="1">
        <v>67.0</v>
      </c>
      <c r="O1045" s="1">
        <v>54.0</v>
      </c>
      <c r="P1045" s="1">
        <v>88.0</v>
      </c>
      <c r="Q1045" s="1">
        <v>74.0</v>
      </c>
      <c r="R1045" s="1">
        <v>44.0</v>
      </c>
      <c r="S1045" s="1">
        <v>88.0</v>
      </c>
      <c r="T1045" s="1">
        <v>80.0</v>
      </c>
      <c r="U1045" s="1">
        <v>94.0</v>
      </c>
      <c r="V1045" s="1">
        <v>84.0</v>
      </c>
      <c r="W1045" s="1">
        <v>76.0</v>
      </c>
      <c r="X1045" s="1">
        <v>91.0</v>
      </c>
      <c r="Y1045" s="1">
        <v>80.0</v>
      </c>
      <c r="Z1045" s="1">
        <v>1.0</v>
      </c>
    </row>
    <row r="1046">
      <c r="A1046" s="1" t="s">
        <v>3056</v>
      </c>
      <c r="B1046" s="1" t="s">
        <v>2770</v>
      </c>
      <c r="C1046" s="1" t="s">
        <v>1534</v>
      </c>
      <c r="D1046" s="1">
        <v>248.0</v>
      </c>
      <c r="E1046" s="1">
        <v>76.0</v>
      </c>
      <c r="F1046" s="1">
        <v>70.0</v>
      </c>
      <c r="G1046" s="1">
        <v>80.0</v>
      </c>
      <c r="H1046" s="1">
        <v>85.0</v>
      </c>
      <c r="I1046" s="1">
        <v>56.0</v>
      </c>
      <c r="J1046" s="1">
        <v>36.0</v>
      </c>
      <c r="K1046" s="1">
        <v>25.0</v>
      </c>
      <c r="L1046" s="1">
        <v>36.0</v>
      </c>
      <c r="M1046" s="1">
        <v>76.0</v>
      </c>
      <c r="N1046" s="1">
        <v>46.0</v>
      </c>
      <c r="O1046" s="1">
        <v>50.0</v>
      </c>
      <c r="P1046" s="1">
        <v>76.0</v>
      </c>
      <c r="Q1046" s="1">
        <v>74.0</v>
      </c>
      <c r="R1046" s="1">
        <v>85.0</v>
      </c>
      <c r="S1046" s="1">
        <v>74.0</v>
      </c>
      <c r="T1046" s="1">
        <v>91.0</v>
      </c>
      <c r="U1046" s="1">
        <v>97.0</v>
      </c>
      <c r="V1046" s="1">
        <v>80.0</v>
      </c>
      <c r="W1046" s="1">
        <v>75.0</v>
      </c>
      <c r="X1046" s="1">
        <v>91.0</v>
      </c>
      <c r="Y1046" s="1">
        <v>91.0</v>
      </c>
      <c r="Z1046" s="1">
        <v>1.0</v>
      </c>
    </row>
    <row r="1047">
      <c r="A1047" s="1" t="s">
        <v>3057</v>
      </c>
      <c r="B1047" s="1" t="s">
        <v>2770</v>
      </c>
      <c r="C1047" s="1" t="s">
        <v>2776</v>
      </c>
      <c r="D1047" s="1" t="s">
        <v>3058</v>
      </c>
      <c r="E1047" s="1" t="s">
        <v>1315</v>
      </c>
      <c r="F1047" s="1" t="s">
        <v>2333</v>
      </c>
      <c r="G1047" s="1" t="s">
        <v>1329</v>
      </c>
      <c r="H1047" s="1" t="s">
        <v>1188</v>
      </c>
      <c r="I1047" s="1" t="s">
        <v>332</v>
      </c>
      <c r="J1047" s="1" t="s">
        <v>208</v>
      </c>
      <c r="K1047" s="1" t="s">
        <v>220</v>
      </c>
      <c r="L1047" s="1" t="s">
        <v>1748</v>
      </c>
      <c r="M1047" s="1" t="s">
        <v>322</v>
      </c>
      <c r="N1047" s="1" t="s">
        <v>2905</v>
      </c>
      <c r="O1047" s="1" t="s">
        <v>261</v>
      </c>
      <c r="P1047" s="1" t="s">
        <v>763</v>
      </c>
      <c r="Q1047" s="1" t="s">
        <v>1190</v>
      </c>
      <c r="R1047" s="1" t="s">
        <v>3059</v>
      </c>
      <c r="S1047" s="1" t="s">
        <v>937</v>
      </c>
      <c r="T1047" s="1" t="s">
        <v>265</v>
      </c>
      <c r="U1047" s="1" t="s">
        <v>96</v>
      </c>
      <c r="V1047" s="1" t="s">
        <v>1402</v>
      </c>
      <c r="W1047" s="1" t="s">
        <v>2895</v>
      </c>
      <c r="X1047" s="1" t="s">
        <v>1014</v>
      </c>
      <c r="Y1047" s="1" t="s">
        <v>724</v>
      </c>
      <c r="Z1047" s="1">
        <v>1.0</v>
      </c>
    </row>
    <row r="1048">
      <c r="A1048" s="1" t="s">
        <v>2420</v>
      </c>
      <c r="B1048" s="1" t="s">
        <v>2770</v>
      </c>
      <c r="C1048" s="1" t="s">
        <v>2994</v>
      </c>
      <c r="D1048" s="1">
        <v>242.0</v>
      </c>
      <c r="E1048" s="1">
        <v>88.0</v>
      </c>
      <c r="F1048" s="1">
        <v>63.0</v>
      </c>
      <c r="G1048" s="1">
        <v>70.0</v>
      </c>
      <c r="H1048" s="1">
        <v>82.0</v>
      </c>
      <c r="I1048" s="1">
        <v>65.0</v>
      </c>
      <c r="J1048" s="1">
        <v>92.0</v>
      </c>
      <c r="K1048" s="1">
        <v>90.0</v>
      </c>
      <c r="L1048" s="1">
        <v>68.0</v>
      </c>
      <c r="M1048" s="1">
        <v>71.0</v>
      </c>
      <c r="N1048" s="1">
        <v>70.0</v>
      </c>
      <c r="O1048" s="1">
        <v>52.0</v>
      </c>
      <c r="P1048" s="1">
        <v>82.0</v>
      </c>
      <c r="Q1048" s="1">
        <v>61.0</v>
      </c>
      <c r="R1048" s="1">
        <v>45.0</v>
      </c>
      <c r="S1048" s="1">
        <v>84.0</v>
      </c>
      <c r="T1048" s="1">
        <v>80.0</v>
      </c>
      <c r="U1048" s="1">
        <v>89.0</v>
      </c>
      <c r="V1048" s="1">
        <v>65.0</v>
      </c>
      <c r="W1048" s="1">
        <v>53.0</v>
      </c>
      <c r="X1048" s="1">
        <v>92.0</v>
      </c>
      <c r="Y1048" s="1">
        <v>80.0</v>
      </c>
      <c r="Z1048" s="1">
        <v>1.0</v>
      </c>
    </row>
    <row r="1049">
      <c r="A1049" s="1" t="s">
        <v>3060</v>
      </c>
      <c r="B1049" s="1" t="s">
        <v>2770</v>
      </c>
      <c r="C1049" s="1" t="s">
        <v>2783</v>
      </c>
      <c r="D1049" s="1">
        <v>230.0</v>
      </c>
      <c r="E1049" s="1" t="s">
        <v>1477</v>
      </c>
      <c r="F1049" s="1" t="s">
        <v>2387</v>
      </c>
      <c r="G1049" s="1" t="s">
        <v>1194</v>
      </c>
      <c r="H1049" s="1" t="s">
        <v>427</v>
      </c>
      <c r="I1049" s="1" t="s">
        <v>2584</v>
      </c>
      <c r="J1049" s="1" t="s">
        <v>390</v>
      </c>
      <c r="K1049" s="1" t="s">
        <v>553</v>
      </c>
      <c r="L1049" s="1" t="s">
        <v>2935</v>
      </c>
      <c r="M1049" s="1" t="s">
        <v>614</v>
      </c>
      <c r="N1049" s="1" t="s">
        <v>928</v>
      </c>
      <c r="O1049" s="1" t="s">
        <v>3061</v>
      </c>
      <c r="P1049" s="1" t="s">
        <v>208</v>
      </c>
      <c r="Q1049" s="1" t="s">
        <v>2378</v>
      </c>
      <c r="R1049" s="1" t="s">
        <v>1483</v>
      </c>
      <c r="S1049" s="1" t="s">
        <v>427</v>
      </c>
      <c r="T1049" s="1" t="s">
        <v>113</v>
      </c>
      <c r="U1049" s="1">
        <v>85.0</v>
      </c>
      <c r="V1049" s="1">
        <v>62.0</v>
      </c>
      <c r="W1049" s="1">
        <v>47.0</v>
      </c>
      <c r="X1049" s="1" t="s">
        <v>991</v>
      </c>
      <c r="Y1049" s="1" t="s">
        <v>863</v>
      </c>
      <c r="Z1049" s="1">
        <v>1.0</v>
      </c>
    </row>
    <row r="1050">
      <c r="A1050" s="1" t="s">
        <v>3062</v>
      </c>
      <c r="B1050" s="1" t="s">
        <v>2770</v>
      </c>
      <c r="C1050" s="1" t="s">
        <v>2798</v>
      </c>
      <c r="D1050" s="1" t="s">
        <v>3063</v>
      </c>
      <c r="E1050" s="1" t="s">
        <v>113</v>
      </c>
      <c r="F1050" s="1" t="s">
        <v>432</v>
      </c>
      <c r="G1050" s="1" t="s">
        <v>318</v>
      </c>
      <c r="H1050" s="1" t="s">
        <v>253</v>
      </c>
      <c r="I1050" s="1" t="s">
        <v>2387</v>
      </c>
      <c r="J1050" s="1" t="s">
        <v>48</v>
      </c>
      <c r="K1050" s="1" t="s">
        <v>994</v>
      </c>
      <c r="L1050" s="1" t="s">
        <v>2802</v>
      </c>
      <c r="M1050" s="1" t="s">
        <v>78</v>
      </c>
      <c r="N1050" s="1" t="s">
        <v>1133</v>
      </c>
      <c r="O1050" s="1" t="s">
        <v>344</v>
      </c>
      <c r="P1050" s="1" t="s">
        <v>300</v>
      </c>
      <c r="Q1050" s="1" t="s">
        <v>3064</v>
      </c>
      <c r="R1050" s="1" t="s">
        <v>232</v>
      </c>
      <c r="S1050" s="1" t="s">
        <v>1523</v>
      </c>
      <c r="T1050" s="1" t="s">
        <v>2919</v>
      </c>
      <c r="U1050" s="1" t="s">
        <v>909</v>
      </c>
      <c r="V1050" s="1" t="s">
        <v>1649</v>
      </c>
      <c r="W1050" s="1" t="s">
        <v>2500</v>
      </c>
      <c r="X1050" s="1" t="s">
        <v>60</v>
      </c>
      <c r="Y1050" s="1" t="s">
        <v>39</v>
      </c>
      <c r="Z1050" s="1">
        <v>1.0</v>
      </c>
    </row>
    <row r="1051">
      <c r="A1051" s="1" t="s">
        <v>2725</v>
      </c>
      <c r="B1051" s="1" t="s">
        <v>2770</v>
      </c>
      <c r="C1051" s="1" t="s">
        <v>2773</v>
      </c>
      <c r="D1051" s="1" t="s">
        <v>3065</v>
      </c>
      <c r="E1051" s="1" t="s">
        <v>766</v>
      </c>
      <c r="F1051" s="1" t="s">
        <v>892</v>
      </c>
      <c r="G1051" s="1" t="s">
        <v>1228</v>
      </c>
      <c r="H1051" s="1">
        <v>85.0</v>
      </c>
      <c r="I1051" s="1" t="s">
        <v>221</v>
      </c>
      <c r="J1051" s="1" t="s">
        <v>2129</v>
      </c>
      <c r="K1051" s="1" t="s">
        <v>571</v>
      </c>
      <c r="L1051" s="1" t="s">
        <v>337</v>
      </c>
      <c r="M1051" s="1" t="s">
        <v>1875</v>
      </c>
      <c r="N1051" s="1" t="s">
        <v>1151</v>
      </c>
      <c r="O1051" s="1" t="s">
        <v>481</v>
      </c>
      <c r="P1051" s="1" t="s">
        <v>128</v>
      </c>
      <c r="Q1051" s="1" t="s">
        <v>2984</v>
      </c>
      <c r="R1051" s="1" t="s">
        <v>2849</v>
      </c>
      <c r="S1051" s="1">
        <v>84.0</v>
      </c>
      <c r="T1051" s="1">
        <v>80.0</v>
      </c>
      <c r="U1051" s="1" t="s">
        <v>96</v>
      </c>
      <c r="V1051" s="1" t="s">
        <v>1141</v>
      </c>
      <c r="W1051" s="1" t="s">
        <v>2887</v>
      </c>
      <c r="X1051" s="1" t="s">
        <v>728</v>
      </c>
      <c r="Y1051" s="1" t="s">
        <v>724</v>
      </c>
      <c r="Z1051" s="1">
        <v>1.0</v>
      </c>
    </row>
    <row r="1052">
      <c r="A1052" s="1" t="s">
        <v>1807</v>
      </c>
      <c r="B1052" s="1" t="s">
        <v>2770</v>
      </c>
      <c r="C1052" s="1" t="s">
        <v>2798</v>
      </c>
      <c r="D1052" s="1" t="s">
        <v>3066</v>
      </c>
      <c r="E1052" s="1" t="s">
        <v>2398</v>
      </c>
      <c r="F1052" s="1" t="s">
        <v>884</v>
      </c>
      <c r="G1052" s="1" t="s">
        <v>863</v>
      </c>
      <c r="H1052" s="1">
        <v>90.0</v>
      </c>
      <c r="I1052" s="1" t="s">
        <v>1943</v>
      </c>
      <c r="J1052" s="1" t="s">
        <v>151</v>
      </c>
      <c r="K1052" s="1" t="s">
        <v>404</v>
      </c>
      <c r="L1052" s="1" t="s">
        <v>1303</v>
      </c>
      <c r="M1052" s="1">
        <v>87.0</v>
      </c>
      <c r="N1052" s="1" t="s">
        <v>2930</v>
      </c>
      <c r="O1052" s="1" t="s">
        <v>3067</v>
      </c>
      <c r="P1052" s="1" t="s">
        <v>174</v>
      </c>
      <c r="Q1052" s="1" t="s">
        <v>973</v>
      </c>
      <c r="R1052" s="1" t="s">
        <v>2337</v>
      </c>
      <c r="S1052" s="1" t="s">
        <v>45</v>
      </c>
      <c r="T1052" s="1" t="s">
        <v>2259</v>
      </c>
      <c r="U1052" s="1" t="s">
        <v>1411</v>
      </c>
      <c r="V1052" s="1" t="s">
        <v>3068</v>
      </c>
      <c r="W1052" s="1" t="s">
        <v>1739</v>
      </c>
      <c r="X1052" s="1" t="s">
        <v>646</v>
      </c>
      <c r="Y1052" s="1" t="s">
        <v>890</v>
      </c>
      <c r="Z1052" s="1">
        <v>1.0</v>
      </c>
    </row>
    <row r="1053">
      <c r="A1053" s="1" t="s">
        <v>3069</v>
      </c>
      <c r="B1053" s="1" t="s">
        <v>2770</v>
      </c>
      <c r="C1053" s="1" t="s">
        <v>1534</v>
      </c>
      <c r="D1053" s="1">
        <v>254.0</v>
      </c>
      <c r="E1053" s="1">
        <v>90.0</v>
      </c>
      <c r="F1053" s="1">
        <v>70.0</v>
      </c>
      <c r="G1053" s="1">
        <v>85.0</v>
      </c>
      <c r="H1053" s="1">
        <v>81.0</v>
      </c>
      <c r="I1053" s="1">
        <v>95.0</v>
      </c>
      <c r="J1053" s="1">
        <v>50.0</v>
      </c>
      <c r="K1053" s="1">
        <v>25.0</v>
      </c>
      <c r="L1053" s="1">
        <v>50.0</v>
      </c>
      <c r="M1053" s="1">
        <v>82.0</v>
      </c>
      <c r="N1053" s="1">
        <v>73.0</v>
      </c>
      <c r="O1053" s="1">
        <v>68.0</v>
      </c>
      <c r="P1053" s="1">
        <v>82.0</v>
      </c>
      <c r="Q1053" s="1">
        <v>45.0</v>
      </c>
      <c r="R1053" s="1">
        <v>39.0</v>
      </c>
      <c r="S1053" s="1">
        <v>84.0</v>
      </c>
      <c r="T1053" s="1">
        <v>94.0</v>
      </c>
      <c r="U1053" s="1">
        <v>80.0</v>
      </c>
      <c r="V1053" s="1">
        <v>75.0</v>
      </c>
      <c r="W1053" s="1">
        <v>74.0</v>
      </c>
      <c r="X1053" s="1">
        <v>94.0</v>
      </c>
      <c r="Y1053" s="1">
        <v>88.0</v>
      </c>
      <c r="Z1053" s="1">
        <v>1.0</v>
      </c>
    </row>
    <row r="1054">
      <c r="A1054" s="1" t="s">
        <v>3070</v>
      </c>
      <c r="B1054" s="1" t="s">
        <v>2770</v>
      </c>
      <c r="C1054" s="1" t="s">
        <v>2851</v>
      </c>
      <c r="D1054" s="1" t="s">
        <v>3071</v>
      </c>
      <c r="E1054" s="1" t="s">
        <v>593</v>
      </c>
      <c r="F1054" s="1" t="s">
        <v>324</v>
      </c>
      <c r="G1054" s="1" t="s">
        <v>48</v>
      </c>
      <c r="H1054" s="1">
        <v>90.0</v>
      </c>
      <c r="I1054" s="1" t="s">
        <v>633</v>
      </c>
      <c r="J1054" s="1" t="s">
        <v>40</v>
      </c>
      <c r="K1054" s="1" t="s">
        <v>73</v>
      </c>
      <c r="L1054" s="1" t="s">
        <v>1338</v>
      </c>
      <c r="M1054" s="1" t="s">
        <v>836</v>
      </c>
      <c r="N1054" s="1" t="s">
        <v>842</v>
      </c>
      <c r="O1054" s="1" t="s">
        <v>3072</v>
      </c>
      <c r="P1054" s="1" t="s">
        <v>179</v>
      </c>
      <c r="Q1054" s="1" t="s">
        <v>751</v>
      </c>
      <c r="R1054" s="1" t="s">
        <v>815</v>
      </c>
      <c r="S1054" s="1" t="s">
        <v>477</v>
      </c>
      <c r="T1054" s="1" t="s">
        <v>35</v>
      </c>
      <c r="U1054" s="1" t="s">
        <v>477</v>
      </c>
      <c r="V1054" s="1" t="s">
        <v>526</v>
      </c>
      <c r="W1054" s="1" t="s">
        <v>1187</v>
      </c>
      <c r="X1054" s="1" t="s">
        <v>485</v>
      </c>
      <c r="Y1054" s="1" t="s">
        <v>900</v>
      </c>
      <c r="Z1054" s="1">
        <v>1.0</v>
      </c>
    </row>
    <row r="1055">
      <c r="A1055" s="1" t="s">
        <v>1335</v>
      </c>
      <c r="B1055" s="1" t="s">
        <v>2770</v>
      </c>
      <c r="C1055" s="1" t="s">
        <v>2803</v>
      </c>
      <c r="D1055" s="1" t="s">
        <v>3073</v>
      </c>
      <c r="E1055" s="1" t="s">
        <v>462</v>
      </c>
      <c r="F1055" s="1" t="s">
        <v>242</v>
      </c>
      <c r="G1055" s="1" t="s">
        <v>1264</v>
      </c>
      <c r="H1055" s="1">
        <v>90.0</v>
      </c>
      <c r="I1055" s="1" t="s">
        <v>431</v>
      </c>
      <c r="J1055" s="1" t="s">
        <v>734</v>
      </c>
      <c r="K1055" s="1" t="s">
        <v>2862</v>
      </c>
      <c r="L1055" s="1" t="s">
        <v>451</v>
      </c>
      <c r="M1055" s="1" t="s">
        <v>548</v>
      </c>
      <c r="N1055" s="1" t="s">
        <v>2375</v>
      </c>
      <c r="O1055" s="1" t="s">
        <v>3074</v>
      </c>
      <c r="P1055" s="1" t="s">
        <v>95</v>
      </c>
      <c r="Q1055" s="1" t="s">
        <v>2854</v>
      </c>
      <c r="R1055" s="1" t="s">
        <v>2337</v>
      </c>
      <c r="S1055" s="1">
        <v>93.0</v>
      </c>
      <c r="T1055" s="1" t="s">
        <v>431</v>
      </c>
      <c r="U1055" s="1" t="s">
        <v>133</v>
      </c>
      <c r="V1055" s="1" t="s">
        <v>855</v>
      </c>
      <c r="W1055" s="1" t="s">
        <v>3075</v>
      </c>
      <c r="X1055" s="1" t="s">
        <v>414</v>
      </c>
      <c r="Y1055" s="1" t="s">
        <v>158</v>
      </c>
      <c r="Z1055" s="1">
        <v>1.0</v>
      </c>
    </row>
    <row r="1056">
      <c r="A1056" s="1" t="s">
        <v>2607</v>
      </c>
      <c r="B1056" s="1" t="s">
        <v>2770</v>
      </c>
      <c r="C1056" s="1" t="s">
        <v>1534</v>
      </c>
      <c r="D1056" s="1">
        <v>220.0</v>
      </c>
      <c r="E1056" s="1" t="s">
        <v>1753</v>
      </c>
      <c r="F1056" s="1" t="s">
        <v>367</v>
      </c>
      <c r="G1056" s="1" t="s">
        <v>363</v>
      </c>
      <c r="H1056" s="1" t="s">
        <v>2098</v>
      </c>
      <c r="I1056" s="1" t="s">
        <v>3076</v>
      </c>
      <c r="J1056" s="1">
        <v>70.0</v>
      </c>
      <c r="K1056" s="1">
        <v>80.0</v>
      </c>
      <c r="L1056" s="1">
        <v>56.0</v>
      </c>
      <c r="M1056" s="1">
        <v>76.0</v>
      </c>
      <c r="N1056" s="1">
        <v>48.0</v>
      </c>
      <c r="O1056" s="1">
        <v>53.0</v>
      </c>
      <c r="P1056" s="1" t="s">
        <v>893</v>
      </c>
      <c r="Q1056" s="1" t="s">
        <v>1080</v>
      </c>
      <c r="R1056" s="1" t="s">
        <v>128</v>
      </c>
      <c r="S1056" s="1" t="s">
        <v>716</v>
      </c>
      <c r="T1056" s="1" t="s">
        <v>205</v>
      </c>
      <c r="U1056" s="1" t="s">
        <v>133</v>
      </c>
      <c r="V1056" s="1">
        <v>83.0</v>
      </c>
      <c r="W1056" s="1">
        <v>80.0</v>
      </c>
      <c r="X1056" s="1">
        <v>83.0</v>
      </c>
      <c r="Y1056" s="1" t="s">
        <v>132</v>
      </c>
      <c r="Z1056" s="1">
        <v>1.0</v>
      </c>
    </row>
    <row r="1057">
      <c r="A1057" s="1" t="s">
        <v>3077</v>
      </c>
      <c r="B1057" s="1" t="s">
        <v>2770</v>
      </c>
      <c r="C1057" s="1" t="s">
        <v>1579</v>
      </c>
      <c r="D1057" s="1" t="s">
        <v>3078</v>
      </c>
      <c r="E1057" s="1">
        <v>84.0</v>
      </c>
      <c r="F1057" s="1" t="s">
        <v>190</v>
      </c>
      <c r="G1057" s="1" t="s">
        <v>150</v>
      </c>
      <c r="H1057" s="1" t="s">
        <v>364</v>
      </c>
      <c r="I1057" s="1" t="s">
        <v>493</v>
      </c>
      <c r="J1057" s="1" t="s">
        <v>476</v>
      </c>
      <c r="K1057" s="1" t="s">
        <v>2129</v>
      </c>
      <c r="L1057" s="1" t="s">
        <v>1901</v>
      </c>
      <c r="M1057" s="1" t="s">
        <v>729</v>
      </c>
      <c r="N1057" s="1">
        <v>75.0</v>
      </c>
      <c r="O1057" s="1" t="s">
        <v>1753</v>
      </c>
      <c r="P1057" s="1">
        <v>82.0</v>
      </c>
      <c r="Q1057" s="1" t="s">
        <v>657</v>
      </c>
      <c r="R1057" s="1" t="s">
        <v>1913</v>
      </c>
      <c r="S1057" s="1">
        <v>84.0</v>
      </c>
      <c r="T1057" s="1">
        <v>80.0</v>
      </c>
      <c r="U1057" s="1" t="s">
        <v>300</v>
      </c>
      <c r="V1057" s="1">
        <v>79.0</v>
      </c>
      <c r="W1057" s="1" t="s">
        <v>974</v>
      </c>
      <c r="X1057" s="1" t="s">
        <v>1673</v>
      </c>
      <c r="Y1057" s="1" t="s">
        <v>394</v>
      </c>
      <c r="Z1057" s="1">
        <v>1.0</v>
      </c>
    </row>
    <row r="1058">
      <c r="A1058" s="1" t="s">
        <v>3079</v>
      </c>
      <c r="B1058" s="1" t="s">
        <v>2770</v>
      </c>
      <c r="C1058" s="1" t="s">
        <v>2327</v>
      </c>
      <c r="D1058" s="1">
        <v>256.0</v>
      </c>
      <c r="E1058" s="1">
        <v>80.0</v>
      </c>
      <c r="F1058" s="1">
        <v>80.0</v>
      </c>
      <c r="G1058" s="1">
        <v>83.0</v>
      </c>
      <c r="H1058" s="1">
        <v>94.0</v>
      </c>
      <c r="I1058" s="1">
        <v>57.0</v>
      </c>
      <c r="J1058" s="1">
        <v>80.0</v>
      </c>
      <c r="K1058" s="1">
        <v>90.0</v>
      </c>
      <c r="L1058" s="1">
        <v>65.0</v>
      </c>
      <c r="M1058" s="1">
        <v>78.0</v>
      </c>
      <c r="N1058" s="1">
        <v>44.0</v>
      </c>
      <c r="O1058" s="1">
        <v>27.0</v>
      </c>
      <c r="P1058" s="1">
        <v>82.0</v>
      </c>
      <c r="Q1058" s="1">
        <v>37.0</v>
      </c>
      <c r="R1058" s="1">
        <v>38.0</v>
      </c>
      <c r="S1058" s="1">
        <v>93.0</v>
      </c>
      <c r="T1058" s="1">
        <v>70.0</v>
      </c>
      <c r="U1058" s="1">
        <v>94.0</v>
      </c>
      <c r="V1058" s="1">
        <v>67.0</v>
      </c>
      <c r="W1058" s="1">
        <v>54.0</v>
      </c>
      <c r="X1058" s="1">
        <v>87.0</v>
      </c>
      <c r="Y1058" s="1">
        <v>82.0</v>
      </c>
      <c r="Z1058" s="1">
        <v>1.0</v>
      </c>
    </row>
    <row r="1059">
      <c r="A1059" s="1" t="s">
        <v>2193</v>
      </c>
      <c r="B1059" s="1" t="s">
        <v>2770</v>
      </c>
      <c r="C1059" s="1" t="s">
        <v>1579</v>
      </c>
      <c r="D1059" s="1">
        <v>250.0</v>
      </c>
      <c r="E1059" s="1">
        <v>70.0</v>
      </c>
      <c r="F1059" s="1">
        <v>70.0</v>
      </c>
      <c r="G1059" s="1">
        <v>90.0</v>
      </c>
      <c r="H1059" s="1">
        <v>76.0</v>
      </c>
      <c r="I1059" s="1">
        <v>63.0</v>
      </c>
      <c r="J1059" s="1">
        <v>80.0</v>
      </c>
      <c r="K1059" s="1">
        <v>85.0</v>
      </c>
      <c r="L1059" s="1">
        <v>60.0</v>
      </c>
      <c r="M1059" s="1">
        <v>59.0</v>
      </c>
      <c r="N1059" s="1">
        <v>78.0</v>
      </c>
      <c r="O1059" s="1">
        <v>65.0</v>
      </c>
      <c r="P1059" s="1">
        <v>90.0</v>
      </c>
      <c r="Q1059" s="1">
        <v>65.0</v>
      </c>
      <c r="R1059" s="1">
        <v>50.0</v>
      </c>
      <c r="S1059" s="1">
        <v>80.0</v>
      </c>
      <c r="T1059" s="1">
        <v>80.0</v>
      </c>
      <c r="U1059" s="1">
        <v>80.0</v>
      </c>
      <c r="V1059" s="1">
        <v>74.0</v>
      </c>
      <c r="W1059" s="1">
        <v>67.0</v>
      </c>
      <c r="X1059" s="1">
        <v>90.0</v>
      </c>
      <c r="Y1059" s="1">
        <v>80.0</v>
      </c>
      <c r="Z1059" s="1">
        <v>1.0</v>
      </c>
    </row>
    <row r="1060">
      <c r="A1060" s="1" t="s">
        <v>736</v>
      </c>
      <c r="B1060" s="1" t="s">
        <v>2770</v>
      </c>
      <c r="C1060" s="1" t="s">
        <v>970</v>
      </c>
      <c r="D1060" s="1">
        <v>261.0</v>
      </c>
      <c r="E1060" s="1">
        <v>79.0</v>
      </c>
      <c r="F1060" s="1">
        <v>79.0</v>
      </c>
      <c r="G1060" s="1">
        <v>99.0</v>
      </c>
      <c r="H1060" s="1">
        <v>59.0</v>
      </c>
      <c r="I1060" s="1">
        <v>70.0</v>
      </c>
      <c r="J1060" s="1">
        <v>81.0</v>
      </c>
      <c r="K1060" s="1">
        <v>39.0</v>
      </c>
      <c r="L1060" s="1">
        <v>73.0</v>
      </c>
      <c r="M1060" s="1">
        <v>69.0</v>
      </c>
      <c r="N1060" s="1">
        <v>78.0</v>
      </c>
      <c r="O1060" s="1">
        <v>75.0</v>
      </c>
      <c r="P1060" s="1">
        <v>70.0</v>
      </c>
      <c r="Q1060" s="1">
        <v>47.0</v>
      </c>
      <c r="R1060" s="1">
        <v>33.0</v>
      </c>
      <c r="S1060" s="1">
        <v>78.0</v>
      </c>
      <c r="T1060" s="1">
        <v>70.0</v>
      </c>
      <c r="U1060" s="1">
        <v>95.0</v>
      </c>
      <c r="V1060" s="1">
        <v>76.0</v>
      </c>
      <c r="W1060" s="1">
        <v>69.0</v>
      </c>
      <c r="X1060" s="1">
        <v>87.0</v>
      </c>
      <c r="Y1060" s="1">
        <v>90.0</v>
      </c>
      <c r="Z1060" s="1">
        <v>1.0</v>
      </c>
    </row>
    <row r="1061">
      <c r="A1061" s="1" t="s">
        <v>3080</v>
      </c>
      <c r="B1061" s="1" t="s">
        <v>2770</v>
      </c>
      <c r="C1061" s="1" t="s">
        <v>1579</v>
      </c>
      <c r="D1061" s="1">
        <v>240.0</v>
      </c>
      <c r="E1061" s="1">
        <v>82.0</v>
      </c>
      <c r="F1061" s="1">
        <v>63.0</v>
      </c>
      <c r="G1061" s="1">
        <v>83.0</v>
      </c>
      <c r="H1061" s="1">
        <v>94.0</v>
      </c>
      <c r="I1061" s="1">
        <v>87.0</v>
      </c>
      <c r="J1061" s="1">
        <v>44.0</v>
      </c>
      <c r="K1061" s="1">
        <v>30.0</v>
      </c>
      <c r="L1061" s="1">
        <v>69.0</v>
      </c>
      <c r="M1061" s="1">
        <v>64.0</v>
      </c>
      <c r="N1061" s="1">
        <v>78.0</v>
      </c>
      <c r="O1061" s="1">
        <v>67.0</v>
      </c>
      <c r="P1061" s="1">
        <v>82.0</v>
      </c>
      <c r="Q1061" s="1">
        <v>42.0</v>
      </c>
      <c r="R1061" s="1">
        <v>50.0</v>
      </c>
      <c r="S1061" s="1">
        <v>95.0</v>
      </c>
      <c r="T1061" s="1">
        <v>62.0</v>
      </c>
      <c r="U1061" s="1">
        <v>85.0</v>
      </c>
      <c r="V1061" s="1">
        <v>71.0</v>
      </c>
      <c r="W1061" s="1">
        <v>70.0</v>
      </c>
      <c r="X1061" s="1">
        <v>87.0</v>
      </c>
      <c r="Y1061" s="1">
        <v>85.0</v>
      </c>
      <c r="Z1061" s="1">
        <v>1.0</v>
      </c>
    </row>
    <row r="1062">
      <c r="A1062" s="1" t="s">
        <v>49</v>
      </c>
      <c r="B1062" s="1" t="s">
        <v>2770</v>
      </c>
      <c r="C1062" s="1" t="s">
        <v>2115</v>
      </c>
      <c r="D1062" s="1">
        <v>242.0</v>
      </c>
      <c r="E1062" s="1">
        <v>85.0</v>
      </c>
      <c r="F1062" s="1">
        <v>80.0</v>
      </c>
      <c r="G1062" s="1">
        <v>88.0</v>
      </c>
      <c r="H1062" s="1">
        <v>73.0</v>
      </c>
      <c r="I1062" s="1">
        <v>70.0</v>
      </c>
      <c r="J1062" s="1">
        <v>89.0</v>
      </c>
      <c r="K1062" s="1">
        <v>83.0</v>
      </c>
      <c r="L1062" s="1">
        <v>70.0</v>
      </c>
      <c r="M1062" s="1">
        <v>80.0</v>
      </c>
      <c r="N1062" s="1">
        <v>73.0</v>
      </c>
      <c r="O1062" s="1">
        <v>63.0</v>
      </c>
      <c r="P1062" s="1">
        <v>90.0</v>
      </c>
      <c r="Q1062" s="1">
        <v>63.0</v>
      </c>
      <c r="R1062" s="1">
        <v>60.0</v>
      </c>
      <c r="S1062" s="1">
        <v>90.0</v>
      </c>
      <c r="T1062" s="1">
        <v>57.0</v>
      </c>
      <c r="U1062" s="1">
        <v>82.0</v>
      </c>
      <c r="V1062" s="1">
        <v>74.0</v>
      </c>
      <c r="W1062" s="1">
        <v>64.0</v>
      </c>
      <c r="X1062" s="1">
        <v>83.0</v>
      </c>
      <c r="Y1062" s="1">
        <v>83.0</v>
      </c>
      <c r="Z1062" s="1">
        <v>1.0</v>
      </c>
    </row>
    <row r="1063">
      <c r="A1063" s="1" t="s">
        <v>2688</v>
      </c>
      <c r="B1063" s="1" t="s">
        <v>2770</v>
      </c>
      <c r="C1063" s="1" t="s">
        <v>2776</v>
      </c>
      <c r="D1063" s="1" t="s">
        <v>2695</v>
      </c>
      <c r="E1063" s="1" t="s">
        <v>507</v>
      </c>
      <c r="F1063" s="1" t="s">
        <v>1938</v>
      </c>
      <c r="G1063" s="1" t="s">
        <v>1566</v>
      </c>
      <c r="H1063" s="1" t="s">
        <v>35</v>
      </c>
      <c r="I1063" s="1" t="s">
        <v>48</v>
      </c>
      <c r="J1063" s="1" t="s">
        <v>222</v>
      </c>
      <c r="K1063" s="1" t="s">
        <v>333</v>
      </c>
      <c r="L1063" s="1" t="s">
        <v>2199</v>
      </c>
      <c r="M1063" s="1" t="s">
        <v>943</v>
      </c>
      <c r="N1063" s="1" t="s">
        <v>774</v>
      </c>
      <c r="O1063" s="1" t="s">
        <v>687</v>
      </c>
      <c r="P1063" s="1" t="s">
        <v>1300</v>
      </c>
      <c r="Q1063" s="1" t="s">
        <v>3081</v>
      </c>
      <c r="R1063" s="1" t="s">
        <v>3082</v>
      </c>
      <c r="S1063" s="1" t="s">
        <v>671</v>
      </c>
      <c r="T1063" s="1" t="s">
        <v>36</v>
      </c>
      <c r="U1063" s="1" t="s">
        <v>362</v>
      </c>
      <c r="V1063" s="1" t="s">
        <v>3083</v>
      </c>
      <c r="W1063" s="1" t="s">
        <v>33</v>
      </c>
      <c r="X1063" s="1" t="s">
        <v>1606</v>
      </c>
      <c r="Y1063" s="1" t="s">
        <v>828</v>
      </c>
      <c r="Z1063" s="1">
        <v>1.0</v>
      </c>
    </row>
    <row r="1064">
      <c r="A1064" s="1" t="s">
        <v>3084</v>
      </c>
      <c r="B1064" s="1" t="s">
        <v>2770</v>
      </c>
      <c r="C1064" s="1" t="s">
        <v>3085</v>
      </c>
      <c r="D1064" s="1" t="s">
        <v>3086</v>
      </c>
      <c r="E1064" s="1" t="s">
        <v>1098</v>
      </c>
      <c r="F1064" s="1" t="s">
        <v>1525</v>
      </c>
      <c r="G1064" s="1" t="s">
        <v>2841</v>
      </c>
      <c r="H1064" s="1" t="s">
        <v>333</v>
      </c>
      <c r="I1064" s="1" t="s">
        <v>2137</v>
      </c>
      <c r="J1064" s="1" t="s">
        <v>322</v>
      </c>
      <c r="K1064" s="1" t="s">
        <v>802</v>
      </c>
      <c r="L1064" s="1" t="s">
        <v>1926</v>
      </c>
      <c r="M1064" s="1" t="s">
        <v>1368</v>
      </c>
      <c r="N1064" s="1" t="s">
        <v>1996</v>
      </c>
      <c r="O1064" s="1" t="s">
        <v>55</v>
      </c>
      <c r="P1064" s="1" t="s">
        <v>300</v>
      </c>
      <c r="Q1064" s="1" t="s">
        <v>3087</v>
      </c>
      <c r="R1064" s="1" t="s">
        <v>2814</v>
      </c>
      <c r="S1064" s="1" t="s">
        <v>154</v>
      </c>
      <c r="T1064" s="1" t="s">
        <v>178</v>
      </c>
      <c r="U1064" s="1" t="s">
        <v>1202</v>
      </c>
      <c r="V1064" s="1" t="s">
        <v>1762</v>
      </c>
      <c r="W1064" s="1" t="s">
        <v>3088</v>
      </c>
      <c r="X1064" s="1" t="s">
        <v>82</v>
      </c>
      <c r="Y1064" s="1" t="s">
        <v>1523</v>
      </c>
      <c r="Z1064" s="1">
        <v>1.0</v>
      </c>
    </row>
    <row r="1065">
      <c r="A1065" s="1" t="s">
        <v>3089</v>
      </c>
      <c r="B1065" s="1" t="s">
        <v>2770</v>
      </c>
      <c r="C1065" s="1" t="s">
        <v>2327</v>
      </c>
      <c r="D1065" s="1">
        <v>242.0</v>
      </c>
      <c r="E1065" s="1">
        <v>80.0</v>
      </c>
      <c r="F1065" s="1">
        <v>55.0</v>
      </c>
      <c r="G1065" s="1">
        <v>65.0</v>
      </c>
      <c r="H1065" s="1">
        <v>81.0</v>
      </c>
      <c r="I1065" s="1">
        <v>61.0</v>
      </c>
      <c r="J1065" s="1">
        <v>85.0</v>
      </c>
      <c r="K1065" s="1">
        <v>80.0</v>
      </c>
      <c r="L1065" s="1">
        <v>60.0</v>
      </c>
      <c r="M1065" s="1">
        <v>92.0</v>
      </c>
      <c r="N1065" s="1">
        <v>57.0</v>
      </c>
      <c r="O1065" s="1">
        <v>32.0</v>
      </c>
      <c r="P1065" s="1">
        <v>82.0</v>
      </c>
      <c r="Q1065" s="1">
        <v>65.0</v>
      </c>
      <c r="R1065" s="1">
        <v>60.0</v>
      </c>
      <c r="S1065" s="1">
        <v>84.0</v>
      </c>
      <c r="T1065" s="1">
        <v>92.0</v>
      </c>
      <c r="U1065" s="1">
        <v>90.0</v>
      </c>
      <c r="V1065" s="1">
        <v>70.0</v>
      </c>
      <c r="W1065" s="1">
        <v>59.0</v>
      </c>
      <c r="X1065" s="1">
        <v>91.0</v>
      </c>
      <c r="Y1065" s="1">
        <v>80.0</v>
      </c>
      <c r="Z1065" s="1">
        <v>1.0</v>
      </c>
    </row>
    <row r="1066">
      <c r="A1066" s="1" t="s">
        <v>3090</v>
      </c>
      <c r="B1066" s="1" t="s">
        <v>2770</v>
      </c>
      <c r="C1066" s="1" t="s">
        <v>2773</v>
      </c>
      <c r="D1066" s="1" t="s">
        <v>3091</v>
      </c>
      <c r="E1066" s="1" t="s">
        <v>592</v>
      </c>
      <c r="F1066" s="1" t="s">
        <v>1458</v>
      </c>
      <c r="G1066" s="1" t="s">
        <v>1194</v>
      </c>
      <c r="H1066" s="1" t="s">
        <v>200</v>
      </c>
      <c r="I1066" s="1" t="s">
        <v>1511</v>
      </c>
      <c r="J1066" s="1" t="s">
        <v>714</v>
      </c>
      <c r="K1066" s="1">
        <v>80.0</v>
      </c>
      <c r="L1066" s="1" t="s">
        <v>1028</v>
      </c>
      <c r="M1066" s="1" t="s">
        <v>582</v>
      </c>
      <c r="N1066" s="1" t="s">
        <v>3092</v>
      </c>
      <c r="O1066" s="1" t="s">
        <v>1308</v>
      </c>
      <c r="P1066" s="1">
        <v>85.0</v>
      </c>
      <c r="Q1066" s="1" t="s">
        <v>2854</v>
      </c>
      <c r="R1066" s="1" t="s">
        <v>722</v>
      </c>
      <c r="S1066" s="1" t="s">
        <v>3093</v>
      </c>
      <c r="T1066" s="1" t="s">
        <v>597</v>
      </c>
      <c r="U1066" s="1">
        <v>95.0</v>
      </c>
      <c r="V1066" s="1" t="s">
        <v>2015</v>
      </c>
      <c r="W1066" s="1" t="s">
        <v>2953</v>
      </c>
      <c r="X1066" s="1" t="s">
        <v>348</v>
      </c>
      <c r="Y1066" s="1" t="s">
        <v>200</v>
      </c>
      <c r="Z1066" s="1">
        <v>1.0</v>
      </c>
    </row>
    <row r="1067">
      <c r="A1067" s="1" t="s">
        <v>2659</v>
      </c>
      <c r="B1067" s="1" t="s">
        <v>2770</v>
      </c>
      <c r="C1067" s="1" t="s">
        <v>2803</v>
      </c>
      <c r="D1067" s="1" t="s">
        <v>2971</v>
      </c>
      <c r="E1067" s="1" t="s">
        <v>593</v>
      </c>
      <c r="F1067" s="1" t="s">
        <v>892</v>
      </c>
      <c r="G1067" s="1" t="s">
        <v>1175</v>
      </c>
      <c r="H1067" s="1" t="s">
        <v>864</v>
      </c>
      <c r="I1067" s="1" t="s">
        <v>1549</v>
      </c>
      <c r="J1067" s="1" t="s">
        <v>333</v>
      </c>
      <c r="K1067" s="1">
        <v>85.0</v>
      </c>
      <c r="L1067" s="1" t="s">
        <v>1175</v>
      </c>
      <c r="M1067" s="1" t="s">
        <v>900</v>
      </c>
      <c r="N1067" s="1" t="s">
        <v>1941</v>
      </c>
      <c r="O1067" s="1" t="s">
        <v>3094</v>
      </c>
      <c r="P1067" s="1" t="s">
        <v>595</v>
      </c>
      <c r="Q1067" s="1" t="s">
        <v>252</v>
      </c>
      <c r="R1067" s="1" t="s">
        <v>3095</v>
      </c>
      <c r="S1067" s="1" t="s">
        <v>802</v>
      </c>
      <c r="T1067" s="1" t="s">
        <v>35</v>
      </c>
      <c r="U1067" s="1" t="s">
        <v>427</v>
      </c>
      <c r="V1067" s="1" t="s">
        <v>2323</v>
      </c>
      <c r="W1067" s="1" t="s">
        <v>815</v>
      </c>
      <c r="X1067" s="1" t="s">
        <v>253</v>
      </c>
      <c r="Y1067" s="1" t="s">
        <v>181</v>
      </c>
      <c r="Z1067" s="1">
        <v>1.0</v>
      </c>
    </row>
    <row r="1068">
      <c r="A1068" s="1" t="s">
        <v>2291</v>
      </c>
      <c r="B1068" s="1" t="s">
        <v>2770</v>
      </c>
      <c r="C1068" s="1" t="s">
        <v>2798</v>
      </c>
      <c r="D1068" s="1" t="s">
        <v>3096</v>
      </c>
      <c r="E1068" s="1" t="s">
        <v>1080</v>
      </c>
      <c r="F1068" s="1" t="s">
        <v>796</v>
      </c>
      <c r="G1068" s="1" t="s">
        <v>190</v>
      </c>
      <c r="H1068" s="1" t="s">
        <v>620</v>
      </c>
      <c r="I1068" s="1" t="s">
        <v>745</v>
      </c>
      <c r="J1068" s="1" t="s">
        <v>625</v>
      </c>
      <c r="K1068" s="1" t="s">
        <v>1477</v>
      </c>
      <c r="L1068" s="1" t="s">
        <v>417</v>
      </c>
      <c r="M1068" s="1" t="s">
        <v>410</v>
      </c>
      <c r="N1068" s="1" t="s">
        <v>2887</v>
      </c>
      <c r="O1068" s="1" t="s">
        <v>2270</v>
      </c>
      <c r="P1068" s="1">
        <v>82.0</v>
      </c>
      <c r="Q1068" s="1" t="s">
        <v>1242</v>
      </c>
      <c r="R1068" s="1" t="s">
        <v>2337</v>
      </c>
      <c r="S1068" s="1" t="s">
        <v>1539</v>
      </c>
      <c r="T1068" s="1" t="s">
        <v>132</v>
      </c>
      <c r="U1068" s="1" t="s">
        <v>2980</v>
      </c>
      <c r="V1068" s="1" t="s">
        <v>2613</v>
      </c>
      <c r="W1068" s="1" t="s">
        <v>752</v>
      </c>
      <c r="X1068" s="1" t="s">
        <v>128</v>
      </c>
      <c r="Y1068" s="1" t="s">
        <v>205</v>
      </c>
      <c r="Z1068" s="1">
        <v>1.0</v>
      </c>
    </row>
    <row r="1069">
      <c r="A1069" s="1" t="s">
        <v>2484</v>
      </c>
      <c r="B1069" s="1" t="s">
        <v>2770</v>
      </c>
      <c r="C1069" s="1" t="s">
        <v>2773</v>
      </c>
      <c r="D1069" s="1" t="s">
        <v>3097</v>
      </c>
      <c r="E1069" s="1" t="s">
        <v>1346</v>
      </c>
      <c r="F1069" s="1" t="s">
        <v>30</v>
      </c>
      <c r="G1069" s="1" t="s">
        <v>1901</v>
      </c>
      <c r="H1069" s="1" t="s">
        <v>780</v>
      </c>
      <c r="I1069" s="1" t="s">
        <v>333</v>
      </c>
      <c r="J1069" s="1" t="s">
        <v>60</v>
      </c>
      <c r="K1069" s="1" t="s">
        <v>571</v>
      </c>
      <c r="L1069" s="1" t="s">
        <v>504</v>
      </c>
      <c r="M1069" s="1" t="s">
        <v>242</v>
      </c>
      <c r="N1069" s="1" t="s">
        <v>2005</v>
      </c>
      <c r="O1069" s="1" t="s">
        <v>3098</v>
      </c>
      <c r="P1069" s="1" t="s">
        <v>227</v>
      </c>
      <c r="Q1069" s="1" t="s">
        <v>232</v>
      </c>
      <c r="R1069" s="1" t="s">
        <v>1405</v>
      </c>
      <c r="S1069" s="1" t="s">
        <v>1072</v>
      </c>
      <c r="T1069" s="1" t="s">
        <v>420</v>
      </c>
      <c r="U1069" s="1" t="s">
        <v>207</v>
      </c>
      <c r="V1069" s="1" t="s">
        <v>781</v>
      </c>
      <c r="W1069" s="1" t="s">
        <v>1600</v>
      </c>
      <c r="X1069" s="1" t="s">
        <v>1411</v>
      </c>
      <c r="Y1069" s="1" t="s">
        <v>158</v>
      </c>
      <c r="Z1069" s="1">
        <v>1.0</v>
      </c>
    </row>
    <row r="1070">
      <c r="A1070" s="1" t="s">
        <v>3099</v>
      </c>
      <c r="B1070" s="1" t="s">
        <v>2770</v>
      </c>
      <c r="C1070" s="1" t="s">
        <v>3031</v>
      </c>
      <c r="D1070" s="1">
        <v>245.0</v>
      </c>
      <c r="E1070" s="1">
        <v>83.0</v>
      </c>
      <c r="F1070" s="1">
        <v>58.0</v>
      </c>
      <c r="G1070" s="1">
        <v>77.0</v>
      </c>
      <c r="H1070" s="1">
        <v>92.0</v>
      </c>
      <c r="I1070" s="1">
        <v>80.0</v>
      </c>
      <c r="J1070" s="1">
        <v>75.0</v>
      </c>
      <c r="K1070" s="1">
        <v>73.0</v>
      </c>
      <c r="L1070" s="1">
        <v>72.0</v>
      </c>
      <c r="M1070" s="1">
        <v>85.0</v>
      </c>
      <c r="N1070" s="1">
        <v>59.0</v>
      </c>
      <c r="O1070" s="1">
        <v>46.0</v>
      </c>
      <c r="P1070" s="1">
        <v>90.0</v>
      </c>
      <c r="Q1070" s="1">
        <v>40.0</v>
      </c>
      <c r="R1070" s="1">
        <v>45.0</v>
      </c>
      <c r="S1070" s="1">
        <v>90.0</v>
      </c>
      <c r="T1070" s="1">
        <v>70.0</v>
      </c>
      <c r="U1070" s="1">
        <v>90.0</v>
      </c>
      <c r="V1070" s="1">
        <v>60.0</v>
      </c>
      <c r="W1070" s="1">
        <v>45.0</v>
      </c>
      <c r="X1070" s="1">
        <v>90.0</v>
      </c>
      <c r="Y1070" s="1">
        <v>75.0</v>
      </c>
      <c r="Z1070" s="1">
        <v>1.0</v>
      </c>
    </row>
    <row r="1071">
      <c r="A1071" s="1" t="s">
        <v>2079</v>
      </c>
      <c r="B1071" s="1" t="s">
        <v>2770</v>
      </c>
      <c r="C1071" s="1" t="s">
        <v>2327</v>
      </c>
      <c r="D1071" s="1" t="s">
        <v>3100</v>
      </c>
      <c r="E1071" s="1" t="s">
        <v>1213</v>
      </c>
      <c r="F1071" s="1" t="s">
        <v>300</v>
      </c>
      <c r="G1071" s="1" t="s">
        <v>1296</v>
      </c>
      <c r="H1071" s="1">
        <v>90.0</v>
      </c>
      <c r="I1071" s="1" t="s">
        <v>706</v>
      </c>
      <c r="J1071" s="1">
        <v>83.0</v>
      </c>
      <c r="K1071" s="1" t="s">
        <v>190</v>
      </c>
      <c r="L1071" s="1" t="s">
        <v>1299</v>
      </c>
      <c r="M1071" s="1" t="s">
        <v>348</v>
      </c>
      <c r="N1071" s="1" t="s">
        <v>1512</v>
      </c>
      <c r="O1071" s="1" t="s">
        <v>752</v>
      </c>
      <c r="P1071" s="1">
        <v>82.0</v>
      </c>
      <c r="Q1071" s="1" t="s">
        <v>2854</v>
      </c>
      <c r="R1071" s="1" t="s">
        <v>1642</v>
      </c>
      <c r="S1071" s="1">
        <v>75.0</v>
      </c>
      <c r="T1071" s="1" t="s">
        <v>1393</v>
      </c>
      <c r="U1071" s="1">
        <v>80.0</v>
      </c>
      <c r="V1071" s="1" t="s">
        <v>1765</v>
      </c>
      <c r="W1071" s="1" t="s">
        <v>2300</v>
      </c>
      <c r="X1071" s="1" t="s">
        <v>1817</v>
      </c>
      <c r="Y1071" s="1">
        <v>78.0</v>
      </c>
      <c r="Z1071" s="1">
        <v>1.0</v>
      </c>
    </row>
    <row r="1072">
      <c r="A1072" s="1" t="s">
        <v>1771</v>
      </c>
      <c r="B1072" s="1" t="s">
        <v>2770</v>
      </c>
      <c r="C1072" s="1" t="s">
        <v>2327</v>
      </c>
      <c r="D1072" s="1">
        <v>244.0</v>
      </c>
      <c r="E1072" s="1">
        <v>84.0</v>
      </c>
      <c r="F1072" s="1">
        <v>67.0</v>
      </c>
      <c r="G1072" s="1">
        <v>85.0</v>
      </c>
      <c r="H1072" s="1">
        <v>77.0</v>
      </c>
      <c r="I1072" s="1">
        <v>61.0</v>
      </c>
      <c r="J1072" s="1">
        <v>89.0</v>
      </c>
      <c r="K1072" s="1">
        <v>86.0</v>
      </c>
      <c r="L1072" s="1">
        <v>71.0</v>
      </c>
      <c r="M1072" s="1">
        <v>87.0</v>
      </c>
      <c r="N1072" s="1">
        <v>53.0</v>
      </c>
      <c r="O1072" s="1">
        <v>38.0</v>
      </c>
      <c r="P1072" s="1">
        <v>88.0</v>
      </c>
      <c r="Q1072" s="1">
        <v>66.0</v>
      </c>
      <c r="R1072" s="1">
        <v>60.0</v>
      </c>
      <c r="S1072" s="1">
        <v>84.0</v>
      </c>
      <c r="T1072" s="1">
        <v>68.0</v>
      </c>
      <c r="U1072" s="1">
        <v>92.0</v>
      </c>
      <c r="V1072" s="1">
        <v>70.0</v>
      </c>
      <c r="W1072" s="1">
        <v>58.0</v>
      </c>
      <c r="X1072" s="1">
        <v>91.0</v>
      </c>
      <c r="Y1072" s="1">
        <v>75.0</v>
      </c>
      <c r="Z1072" s="1">
        <v>1.0</v>
      </c>
    </row>
    <row r="1073">
      <c r="A1073" s="1" t="s">
        <v>2267</v>
      </c>
      <c r="B1073" s="1" t="s">
        <v>2770</v>
      </c>
      <c r="C1073" s="1" t="s">
        <v>2798</v>
      </c>
      <c r="D1073" s="1" t="s">
        <v>3101</v>
      </c>
      <c r="E1073" s="1" t="s">
        <v>166</v>
      </c>
      <c r="F1073" s="1" t="s">
        <v>1008</v>
      </c>
      <c r="G1073" s="1" t="s">
        <v>1920</v>
      </c>
      <c r="H1073" s="1" t="s">
        <v>597</v>
      </c>
      <c r="I1073" s="1" t="s">
        <v>1731</v>
      </c>
      <c r="J1073" s="1" t="s">
        <v>242</v>
      </c>
      <c r="K1073" s="1" t="s">
        <v>525</v>
      </c>
      <c r="L1073" s="1" t="s">
        <v>1006</v>
      </c>
      <c r="M1073" s="1" t="s">
        <v>614</v>
      </c>
      <c r="N1073" s="1" t="s">
        <v>3102</v>
      </c>
      <c r="O1073" s="1" t="s">
        <v>3103</v>
      </c>
      <c r="P1073" s="1" t="s">
        <v>857</v>
      </c>
      <c r="Q1073" s="1" t="s">
        <v>1885</v>
      </c>
      <c r="R1073" s="1" t="s">
        <v>185</v>
      </c>
      <c r="S1073" s="1" t="s">
        <v>716</v>
      </c>
      <c r="T1073" s="1" t="s">
        <v>96</v>
      </c>
      <c r="U1073" s="1" t="s">
        <v>345</v>
      </c>
      <c r="V1073" s="1" t="s">
        <v>1428</v>
      </c>
      <c r="W1073" s="1" t="s">
        <v>3104</v>
      </c>
      <c r="X1073" s="1" t="s">
        <v>1188</v>
      </c>
      <c r="Y1073" s="1" t="s">
        <v>52</v>
      </c>
      <c r="Z1073" s="1">
        <v>1.0</v>
      </c>
    </row>
    <row r="1074">
      <c r="A1074" s="1" t="s">
        <v>3105</v>
      </c>
      <c r="B1074" s="1" t="s">
        <v>2770</v>
      </c>
      <c r="C1074" s="1" t="s">
        <v>2776</v>
      </c>
      <c r="D1074" s="1" t="s">
        <v>2908</v>
      </c>
      <c r="E1074" s="1" t="s">
        <v>221</v>
      </c>
      <c r="F1074" s="1" t="s">
        <v>1428</v>
      </c>
      <c r="G1074" s="1">
        <v>75.0</v>
      </c>
      <c r="H1074" s="1">
        <v>90.0</v>
      </c>
      <c r="I1074" s="1" t="s">
        <v>1375</v>
      </c>
      <c r="J1074" s="1" t="s">
        <v>838</v>
      </c>
      <c r="K1074" s="1" t="s">
        <v>525</v>
      </c>
      <c r="L1074" s="1" t="s">
        <v>312</v>
      </c>
      <c r="M1074" s="1" t="s">
        <v>633</v>
      </c>
      <c r="N1074" s="1" t="s">
        <v>2443</v>
      </c>
      <c r="O1074" s="1" t="s">
        <v>1203</v>
      </c>
      <c r="P1074" s="1" t="s">
        <v>552</v>
      </c>
      <c r="Q1074" s="1" t="s">
        <v>2780</v>
      </c>
      <c r="R1074" s="1" t="s">
        <v>1221</v>
      </c>
      <c r="S1074" s="1" t="s">
        <v>45</v>
      </c>
      <c r="T1074" s="1" t="s">
        <v>157</v>
      </c>
      <c r="U1074" s="1" t="s">
        <v>2259</v>
      </c>
      <c r="V1074" s="1" t="s">
        <v>1070</v>
      </c>
      <c r="W1074" s="1" t="s">
        <v>3106</v>
      </c>
      <c r="X1074" s="1" t="s">
        <v>1014</v>
      </c>
      <c r="Y1074" s="1" t="s">
        <v>52</v>
      </c>
      <c r="Z1074" s="1">
        <v>1.0</v>
      </c>
    </row>
    <row r="1075">
      <c r="A1075" s="1" t="s">
        <v>3107</v>
      </c>
      <c r="B1075" s="1" t="s">
        <v>2770</v>
      </c>
      <c r="C1075" s="1" t="s">
        <v>2115</v>
      </c>
      <c r="D1075" s="1">
        <v>244.0</v>
      </c>
      <c r="E1075" s="1">
        <v>84.0</v>
      </c>
      <c r="F1075" s="1">
        <v>80.0</v>
      </c>
      <c r="G1075" s="1">
        <v>75.0</v>
      </c>
      <c r="H1075" s="1">
        <v>73.0</v>
      </c>
      <c r="I1075" s="1">
        <v>60.0</v>
      </c>
      <c r="J1075" s="1">
        <v>86.0</v>
      </c>
      <c r="K1075" s="1">
        <v>83.0</v>
      </c>
      <c r="L1075" s="1">
        <v>61.0</v>
      </c>
      <c r="M1075" s="1">
        <v>75.0</v>
      </c>
      <c r="N1075" s="1">
        <v>40.0</v>
      </c>
      <c r="O1075" s="1">
        <v>35.0</v>
      </c>
      <c r="P1075" s="1">
        <v>77.0</v>
      </c>
      <c r="Q1075" s="1">
        <v>72.0</v>
      </c>
      <c r="R1075" s="1">
        <v>42.0</v>
      </c>
      <c r="S1075" s="1">
        <v>88.0</v>
      </c>
      <c r="T1075" s="1">
        <v>95.0</v>
      </c>
      <c r="U1075" s="1">
        <v>81.0</v>
      </c>
      <c r="V1075" s="1">
        <v>73.0</v>
      </c>
      <c r="W1075" s="1">
        <v>63.0</v>
      </c>
      <c r="X1075" s="1">
        <v>91.0</v>
      </c>
      <c r="Y1075" s="1">
        <v>83.0</v>
      </c>
      <c r="Z1075" s="1">
        <v>1.0</v>
      </c>
    </row>
    <row r="1076">
      <c r="A1076" s="1" t="s">
        <v>3108</v>
      </c>
      <c r="B1076" s="1" t="s">
        <v>2770</v>
      </c>
      <c r="C1076" s="1" t="s">
        <v>3033</v>
      </c>
      <c r="D1076" s="1" t="s">
        <v>3109</v>
      </c>
      <c r="E1076" s="1">
        <v>92.0</v>
      </c>
      <c r="F1076" s="1" t="s">
        <v>1254</v>
      </c>
      <c r="G1076" s="1" t="s">
        <v>1478</v>
      </c>
      <c r="H1076" s="1" t="s">
        <v>952</v>
      </c>
      <c r="I1076" s="1" t="s">
        <v>706</v>
      </c>
      <c r="J1076" s="1" t="s">
        <v>1313</v>
      </c>
      <c r="K1076" s="1" t="s">
        <v>220</v>
      </c>
      <c r="L1076" s="1" t="s">
        <v>1219</v>
      </c>
      <c r="M1076" s="1">
        <v>71.0</v>
      </c>
      <c r="N1076" s="1" t="s">
        <v>2443</v>
      </c>
      <c r="O1076" s="1" t="s">
        <v>1308</v>
      </c>
      <c r="P1076" s="1">
        <v>85.0</v>
      </c>
      <c r="Q1076" s="1" t="s">
        <v>450</v>
      </c>
      <c r="R1076" s="1">
        <v>40.0</v>
      </c>
      <c r="S1076" s="1">
        <v>93.0</v>
      </c>
      <c r="T1076" s="1" t="s">
        <v>1028</v>
      </c>
      <c r="U1076" s="1">
        <v>85.0</v>
      </c>
      <c r="V1076" s="1" t="s">
        <v>2469</v>
      </c>
      <c r="W1076" s="1" t="s">
        <v>2124</v>
      </c>
      <c r="X1076" s="1" t="s">
        <v>1673</v>
      </c>
      <c r="Y1076" s="1" t="s">
        <v>838</v>
      </c>
      <c r="Z1076" s="1">
        <v>1.0</v>
      </c>
    </row>
    <row r="1077">
      <c r="A1077" s="1" t="s">
        <v>1711</v>
      </c>
      <c r="B1077" s="1" t="s">
        <v>2770</v>
      </c>
      <c r="C1077" s="1" t="s">
        <v>2933</v>
      </c>
      <c r="D1077" s="1" t="s">
        <v>3110</v>
      </c>
      <c r="E1077" s="1" t="s">
        <v>3111</v>
      </c>
      <c r="F1077" s="1" t="s">
        <v>253</v>
      </c>
      <c r="G1077" s="1" t="s">
        <v>318</v>
      </c>
      <c r="H1077" s="1" t="s">
        <v>3112</v>
      </c>
      <c r="I1077" s="1" t="s">
        <v>949</v>
      </c>
      <c r="J1077" s="1" t="s">
        <v>96</v>
      </c>
      <c r="K1077" s="1" t="s">
        <v>208</v>
      </c>
      <c r="L1077" s="1" t="s">
        <v>2307</v>
      </c>
      <c r="M1077" s="1" t="s">
        <v>903</v>
      </c>
      <c r="N1077" s="1" t="s">
        <v>1387</v>
      </c>
      <c r="O1077" s="1" t="s">
        <v>2337</v>
      </c>
      <c r="P1077" s="1" t="s">
        <v>225</v>
      </c>
      <c r="Q1077" s="1" t="s">
        <v>491</v>
      </c>
      <c r="R1077" s="1" t="s">
        <v>3113</v>
      </c>
      <c r="S1077" s="1" t="s">
        <v>45</v>
      </c>
      <c r="T1077" s="1" t="s">
        <v>66</v>
      </c>
      <c r="U1077" s="1" t="s">
        <v>1569</v>
      </c>
      <c r="V1077" s="1" t="s">
        <v>1142</v>
      </c>
      <c r="W1077" s="1" t="s">
        <v>526</v>
      </c>
      <c r="X1077" s="1" t="s">
        <v>457</v>
      </c>
      <c r="Y1077" s="1" t="s">
        <v>205</v>
      </c>
      <c r="Z1077" s="1">
        <v>1.0</v>
      </c>
    </row>
    <row r="1078">
      <c r="A1078" s="1" t="s">
        <v>3114</v>
      </c>
      <c r="B1078" s="1" t="s">
        <v>2770</v>
      </c>
      <c r="C1078" s="1" t="s">
        <v>3031</v>
      </c>
      <c r="D1078" s="1">
        <v>245.0</v>
      </c>
      <c r="E1078" s="1">
        <v>89.0</v>
      </c>
      <c r="F1078" s="1">
        <v>65.0</v>
      </c>
      <c r="G1078" s="1">
        <v>65.0</v>
      </c>
      <c r="H1078" s="1">
        <v>85.0</v>
      </c>
      <c r="I1078" s="1">
        <v>80.0</v>
      </c>
      <c r="J1078" s="1">
        <v>70.0</v>
      </c>
      <c r="K1078" s="1">
        <v>80.0</v>
      </c>
      <c r="L1078" s="1">
        <v>70.0</v>
      </c>
      <c r="M1078" s="1">
        <v>60.0</v>
      </c>
      <c r="N1078" s="1">
        <v>50.0</v>
      </c>
      <c r="O1078" s="1">
        <v>46.0</v>
      </c>
      <c r="P1078" s="1">
        <v>90.0</v>
      </c>
      <c r="Q1078" s="1">
        <v>50.0</v>
      </c>
      <c r="R1078" s="1">
        <v>50.0</v>
      </c>
      <c r="S1078" s="1">
        <v>90.0</v>
      </c>
      <c r="T1078" s="1">
        <v>90.0</v>
      </c>
      <c r="U1078" s="1">
        <v>90.0</v>
      </c>
      <c r="V1078" s="1">
        <v>60.0</v>
      </c>
      <c r="W1078" s="1">
        <v>40.0</v>
      </c>
      <c r="X1078" s="1">
        <v>94.0</v>
      </c>
      <c r="Y1078" s="1">
        <v>60.0</v>
      </c>
      <c r="Z1078" s="1">
        <v>1.0</v>
      </c>
    </row>
    <row r="1079">
      <c r="A1079" s="1" t="s">
        <v>1533</v>
      </c>
      <c r="B1079" s="1" t="s">
        <v>2770</v>
      </c>
      <c r="C1079" s="1" t="s">
        <v>3115</v>
      </c>
      <c r="D1079" s="1" t="s">
        <v>3116</v>
      </c>
      <c r="E1079" s="1" t="s">
        <v>384</v>
      </c>
      <c r="F1079" s="1" t="s">
        <v>242</v>
      </c>
      <c r="G1079" s="1" t="s">
        <v>600</v>
      </c>
      <c r="H1079" s="1" t="s">
        <v>427</v>
      </c>
      <c r="I1079" s="1" t="s">
        <v>305</v>
      </c>
      <c r="J1079" s="1" t="s">
        <v>525</v>
      </c>
      <c r="K1079" s="1" t="s">
        <v>780</v>
      </c>
      <c r="L1079" s="1" t="s">
        <v>1999</v>
      </c>
      <c r="M1079" s="1" t="s">
        <v>860</v>
      </c>
      <c r="N1079" s="1" t="s">
        <v>209</v>
      </c>
      <c r="O1079" s="1" t="s">
        <v>3117</v>
      </c>
      <c r="P1079" s="1" t="s">
        <v>1776</v>
      </c>
      <c r="Q1079" s="1" t="s">
        <v>1617</v>
      </c>
      <c r="R1079" s="1" t="s">
        <v>2950</v>
      </c>
      <c r="S1079" s="1" t="s">
        <v>45</v>
      </c>
      <c r="T1079" s="1" t="s">
        <v>437</v>
      </c>
      <c r="U1079" s="1" t="s">
        <v>96</v>
      </c>
      <c r="V1079" s="1">
        <v>70.0</v>
      </c>
      <c r="W1079" s="1" t="s">
        <v>753</v>
      </c>
      <c r="X1079" s="1" t="s">
        <v>1080</v>
      </c>
      <c r="Y1079" s="1" t="s">
        <v>205</v>
      </c>
      <c r="Z1079" s="1">
        <v>1.0</v>
      </c>
    </row>
    <row r="1080">
      <c r="A1080" s="1" t="s">
        <v>1989</v>
      </c>
      <c r="B1080" s="1" t="s">
        <v>2770</v>
      </c>
      <c r="C1080" s="1" t="s">
        <v>2327</v>
      </c>
      <c r="D1080" s="1" t="s">
        <v>3118</v>
      </c>
      <c r="E1080" s="1" t="s">
        <v>1673</v>
      </c>
      <c r="F1080" s="1" t="s">
        <v>3009</v>
      </c>
      <c r="G1080" s="1" t="s">
        <v>1112</v>
      </c>
      <c r="H1080" s="1">
        <v>90.0</v>
      </c>
      <c r="I1080" s="1" t="s">
        <v>745</v>
      </c>
      <c r="J1080" s="1" t="s">
        <v>190</v>
      </c>
      <c r="K1080" s="1" t="s">
        <v>525</v>
      </c>
      <c r="L1080" s="1" t="s">
        <v>1816</v>
      </c>
      <c r="M1080" s="1" t="s">
        <v>582</v>
      </c>
      <c r="N1080" s="1" t="s">
        <v>2499</v>
      </c>
      <c r="O1080" s="1" t="s">
        <v>3119</v>
      </c>
      <c r="P1080" s="1" t="s">
        <v>384</v>
      </c>
      <c r="Q1080" s="1" t="s">
        <v>1386</v>
      </c>
      <c r="R1080" s="1" t="s">
        <v>3120</v>
      </c>
      <c r="S1080" s="1" t="s">
        <v>937</v>
      </c>
      <c r="T1080" s="1" t="s">
        <v>549</v>
      </c>
      <c r="U1080" s="1" t="s">
        <v>2969</v>
      </c>
      <c r="V1080" s="1" t="s">
        <v>1377</v>
      </c>
      <c r="W1080" s="1" t="s">
        <v>636</v>
      </c>
      <c r="X1080" s="1" t="s">
        <v>182</v>
      </c>
      <c r="Y1080" s="1" t="s">
        <v>796</v>
      </c>
      <c r="Z1080" s="1">
        <v>1.0</v>
      </c>
    </row>
    <row r="1081">
      <c r="A1081" s="1" t="s">
        <v>3121</v>
      </c>
      <c r="B1081" s="1" t="s">
        <v>2770</v>
      </c>
      <c r="C1081" s="1" t="s">
        <v>2783</v>
      </c>
      <c r="D1081" s="1">
        <v>247.0</v>
      </c>
      <c r="E1081" s="1">
        <v>84.0</v>
      </c>
      <c r="F1081" s="1">
        <v>70.0</v>
      </c>
      <c r="G1081" s="1">
        <v>73.0</v>
      </c>
      <c r="H1081" s="1">
        <v>90.0</v>
      </c>
      <c r="I1081" s="1">
        <v>87.0</v>
      </c>
      <c r="J1081" s="1">
        <v>74.0</v>
      </c>
      <c r="K1081" s="1">
        <v>78.0</v>
      </c>
      <c r="L1081" s="1">
        <v>70.0</v>
      </c>
      <c r="M1081" s="1">
        <v>76.0</v>
      </c>
      <c r="N1081" s="1">
        <v>52.0</v>
      </c>
      <c r="O1081" s="1">
        <v>40.0</v>
      </c>
      <c r="P1081" s="1">
        <v>82.0</v>
      </c>
      <c r="Q1081" s="1">
        <v>59.0</v>
      </c>
      <c r="R1081" s="1">
        <v>38.0</v>
      </c>
      <c r="S1081" s="1">
        <v>93.0</v>
      </c>
      <c r="T1081" s="1">
        <v>70.0</v>
      </c>
      <c r="U1081" s="1">
        <v>94.0</v>
      </c>
      <c r="V1081" s="1">
        <v>55.0</v>
      </c>
      <c r="W1081" s="1">
        <v>42.0</v>
      </c>
      <c r="X1081" s="1">
        <v>86.0</v>
      </c>
      <c r="Y1081" s="1">
        <v>68.0</v>
      </c>
      <c r="Z1081" s="1">
        <v>1.0</v>
      </c>
    </row>
    <row r="1082">
      <c r="A1082" s="1" t="s">
        <v>2410</v>
      </c>
      <c r="B1082" s="1" t="s">
        <v>2770</v>
      </c>
      <c r="C1082" s="1" t="s">
        <v>2776</v>
      </c>
      <c r="D1082" s="1" t="s">
        <v>3122</v>
      </c>
      <c r="E1082" s="1" t="s">
        <v>659</v>
      </c>
      <c r="F1082" s="1" t="s">
        <v>882</v>
      </c>
      <c r="G1082" s="1" t="s">
        <v>1069</v>
      </c>
      <c r="H1082" s="1" t="s">
        <v>1315</v>
      </c>
      <c r="I1082" s="1" t="s">
        <v>806</v>
      </c>
      <c r="J1082" s="1" t="s">
        <v>893</v>
      </c>
      <c r="K1082" s="1" t="s">
        <v>3123</v>
      </c>
      <c r="L1082" s="1" t="s">
        <v>1775</v>
      </c>
      <c r="M1082" s="1">
        <v>85.0</v>
      </c>
      <c r="N1082" s="1" t="s">
        <v>1074</v>
      </c>
      <c r="O1082" s="1" t="s">
        <v>55</v>
      </c>
      <c r="P1082" s="1" t="s">
        <v>180</v>
      </c>
      <c r="Q1082" s="1" t="s">
        <v>1981</v>
      </c>
      <c r="R1082" s="1" t="s">
        <v>1439</v>
      </c>
      <c r="S1082" s="1" t="s">
        <v>132</v>
      </c>
      <c r="T1082" s="1" t="s">
        <v>3124</v>
      </c>
      <c r="U1082" s="1" t="s">
        <v>208</v>
      </c>
      <c r="V1082" s="1" t="s">
        <v>1388</v>
      </c>
      <c r="W1082" s="1" t="s">
        <v>551</v>
      </c>
      <c r="X1082" s="1" t="s">
        <v>766</v>
      </c>
      <c r="Y1082" s="1" t="s">
        <v>2734</v>
      </c>
      <c r="Z1082" s="1">
        <v>1.0</v>
      </c>
    </row>
    <row r="1083">
      <c r="A1083" s="1" t="s">
        <v>3125</v>
      </c>
      <c r="B1083" s="1" t="s">
        <v>2770</v>
      </c>
      <c r="C1083" s="1" t="s">
        <v>2327</v>
      </c>
      <c r="D1083" s="1">
        <v>290.0</v>
      </c>
      <c r="E1083" s="1">
        <v>96.0</v>
      </c>
      <c r="F1083" s="1">
        <v>80.0</v>
      </c>
      <c r="G1083" s="1">
        <v>80.0</v>
      </c>
      <c r="H1083" s="1">
        <v>85.0</v>
      </c>
      <c r="I1083" s="1">
        <v>90.0</v>
      </c>
      <c r="J1083" s="1">
        <v>80.0</v>
      </c>
      <c r="K1083" s="1">
        <v>78.0</v>
      </c>
      <c r="L1083" s="1">
        <v>73.0</v>
      </c>
      <c r="M1083" s="1">
        <v>76.0</v>
      </c>
      <c r="N1083" s="1">
        <v>60.0</v>
      </c>
      <c r="O1083" s="1">
        <v>49.0</v>
      </c>
      <c r="P1083" s="1">
        <v>85.0</v>
      </c>
      <c r="Q1083" s="1">
        <v>60.0</v>
      </c>
      <c r="R1083" s="1">
        <v>40.0</v>
      </c>
      <c r="S1083" s="1">
        <v>74.0</v>
      </c>
      <c r="T1083" s="1">
        <v>69.0</v>
      </c>
      <c r="U1083" s="1">
        <v>94.0</v>
      </c>
      <c r="V1083" s="1">
        <v>58.0</v>
      </c>
      <c r="W1083" s="1">
        <v>43.0</v>
      </c>
      <c r="X1083" s="1">
        <v>92.0</v>
      </c>
      <c r="Y1083" s="1">
        <v>70.0</v>
      </c>
      <c r="Z1083" s="1">
        <v>1.0</v>
      </c>
    </row>
    <row r="1084">
      <c r="A1084" s="1" t="s">
        <v>1980</v>
      </c>
      <c r="B1084" s="1" t="s">
        <v>2770</v>
      </c>
      <c r="C1084" s="1" t="s">
        <v>2327</v>
      </c>
      <c r="D1084" s="1">
        <v>250.0</v>
      </c>
      <c r="E1084" s="1">
        <v>84.0</v>
      </c>
      <c r="F1084" s="1">
        <v>62.0</v>
      </c>
      <c r="G1084" s="1">
        <v>82.0</v>
      </c>
      <c r="H1084" s="1">
        <v>99.0</v>
      </c>
      <c r="I1084" s="1">
        <v>78.0</v>
      </c>
      <c r="J1084" s="1">
        <v>82.0</v>
      </c>
      <c r="K1084" s="1">
        <v>84.0</v>
      </c>
      <c r="L1084" s="1">
        <v>60.0</v>
      </c>
      <c r="M1084" s="1">
        <v>70.0</v>
      </c>
      <c r="N1084" s="1">
        <v>44.0</v>
      </c>
      <c r="O1084" s="1">
        <v>49.0</v>
      </c>
      <c r="P1084" s="1">
        <v>84.0</v>
      </c>
      <c r="Q1084" s="1">
        <v>46.0</v>
      </c>
      <c r="R1084" s="1">
        <v>39.0</v>
      </c>
      <c r="S1084" s="1">
        <v>59.0</v>
      </c>
      <c r="T1084" s="1">
        <v>86.0</v>
      </c>
      <c r="U1084" s="1">
        <v>82.0</v>
      </c>
      <c r="V1084" s="1">
        <v>69.0</v>
      </c>
      <c r="W1084" s="1">
        <v>55.0</v>
      </c>
      <c r="X1084" s="1">
        <v>91.0</v>
      </c>
      <c r="Y1084" s="1">
        <v>76.0</v>
      </c>
      <c r="Z1084" s="1">
        <v>1.0</v>
      </c>
    </row>
    <row r="1085">
      <c r="A1085" s="1" t="s">
        <v>3126</v>
      </c>
      <c r="B1085" s="1" t="s">
        <v>2770</v>
      </c>
      <c r="C1085" s="1" t="s">
        <v>2327</v>
      </c>
      <c r="D1085" s="1">
        <v>220.0</v>
      </c>
      <c r="E1085" s="1">
        <v>86.0</v>
      </c>
      <c r="F1085" s="1">
        <v>70.0</v>
      </c>
      <c r="G1085" s="1">
        <v>87.0</v>
      </c>
      <c r="H1085" s="1">
        <v>90.0</v>
      </c>
      <c r="I1085" s="1">
        <v>88.0</v>
      </c>
      <c r="J1085" s="1">
        <v>80.0</v>
      </c>
      <c r="K1085" s="1">
        <v>78.0</v>
      </c>
      <c r="L1085" s="1">
        <v>55.0</v>
      </c>
      <c r="M1085" s="1">
        <v>75.0</v>
      </c>
      <c r="N1085" s="1">
        <v>47.0</v>
      </c>
      <c r="O1085" s="1">
        <v>34.0</v>
      </c>
      <c r="P1085" s="1">
        <v>77.0</v>
      </c>
      <c r="Q1085" s="1">
        <v>42.0</v>
      </c>
      <c r="R1085" s="1">
        <v>38.0</v>
      </c>
      <c r="S1085" s="1">
        <v>93.0</v>
      </c>
      <c r="T1085" s="1">
        <v>71.0</v>
      </c>
      <c r="U1085" s="1">
        <v>96.0</v>
      </c>
      <c r="V1085" s="1">
        <v>72.0</v>
      </c>
      <c r="W1085" s="1">
        <v>66.0</v>
      </c>
      <c r="X1085" s="1">
        <v>72.0</v>
      </c>
      <c r="Y1085" s="1">
        <v>80.0</v>
      </c>
      <c r="Z1085" s="1">
        <v>1.0</v>
      </c>
    </row>
    <row r="1086">
      <c r="A1086" s="1" t="s">
        <v>3127</v>
      </c>
      <c r="B1086" s="1" t="s">
        <v>2770</v>
      </c>
      <c r="C1086" s="1" t="s">
        <v>2798</v>
      </c>
      <c r="D1086" s="1" t="s">
        <v>3128</v>
      </c>
      <c r="E1086" s="1" t="s">
        <v>190</v>
      </c>
      <c r="F1086" s="1" t="s">
        <v>417</v>
      </c>
      <c r="G1086" s="1">
        <v>80.0</v>
      </c>
      <c r="H1086" s="1" t="s">
        <v>208</v>
      </c>
      <c r="I1086" s="1" t="s">
        <v>431</v>
      </c>
      <c r="J1086" s="1" t="s">
        <v>548</v>
      </c>
      <c r="K1086" s="1" t="s">
        <v>1226</v>
      </c>
      <c r="L1086" s="1" t="s">
        <v>711</v>
      </c>
      <c r="M1086" s="1" t="s">
        <v>1058</v>
      </c>
      <c r="N1086" s="1" t="s">
        <v>1137</v>
      </c>
      <c r="O1086" s="1" t="s">
        <v>2262</v>
      </c>
      <c r="P1086" s="1" t="s">
        <v>208</v>
      </c>
      <c r="Q1086" s="1" t="s">
        <v>2015</v>
      </c>
      <c r="R1086" s="1" t="s">
        <v>722</v>
      </c>
      <c r="S1086" s="1" t="s">
        <v>322</v>
      </c>
      <c r="T1086" s="1" t="s">
        <v>242</v>
      </c>
      <c r="U1086" s="1" t="s">
        <v>35</v>
      </c>
      <c r="V1086" s="1" t="s">
        <v>839</v>
      </c>
      <c r="W1086" s="1" t="s">
        <v>3129</v>
      </c>
      <c r="X1086" s="1" t="s">
        <v>1477</v>
      </c>
      <c r="Y1086" s="1">
        <v>80.0</v>
      </c>
      <c r="Z1086" s="1">
        <v>1.0</v>
      </c>
    </row>
    <row r="1087">
      <c r="A1087" s="1" t="s">
        <v>2537</v>
      </c>
      <c r="B1087" s="1" t="s">
        <v>2770</v>
      </c>
      <c r="C1087" s="1" t="s">
        <v>2783</v>
      </c>
      <c r="D1087" s="1">
        <v>242.0</v>
      </c>
      <c r="E1087" s="1">
        <v>85.0</v>
      </c>
      <c r="F1087" s="1">
        <v>60.0</v>
      </c>
      <c r="G1087" s="1">
        <v>55.0</v>
      </c>
      <c r="H1087" s="1">
        <v>80.0</v>
      </c>
      <c r="I1087" s="1">
        <v>60.0</v>
      </c>
      <c r="J1087" s="1">
        <v>90.0</v>
      </c>
      <c r="K1087" s="1">
        <v>89.0</v>
      </c>
      <c r="L1087" s="1">
        <v>89.0</v>
      </c>
      <c r="M1087" s="1">
        <v>95.0</v>
      </c>
      <c r="N1087" s="1">
        <v>45.0</v>
      </c>
      <c r="O1087" s="1">
        <v>26.0</v>
      </c>
      <c r="P1087" s="1">
        <v>78.0</v>
      </c>
      <c r="Q1087" s="1">
        <v>60.0</v>
      </c>
      <c r="R1087" s="1">
        <v>38.0</v>
      </c>
      <c r="S1087" s="1">
        <v>93.0</v>
      </c>
      <c r="T1087" s="1">
        <v>90.0</v>
      </c>
      <c r="U1087" s="1">
        <v>80.0</v>
      </c>
      <c r="V1087" s="1">
        <v>57.0</v>
      </c>
      <c r="W1087" s="1">
        <v>43.0</v>
      </c>
      <c r="X1087" s="1">
        <v>83.0</v>
      </c>
      <c r="Y1087" s="1">
        <v>70.0</v>
      </c>
      <c r="Z1087" s="1">
        <v>1.0</v>
      </c>
    </row>
    <row r="1088">
      <c r="A1088" s="1" t="s">
        <v>3130</v>
      </c>
      <c r="B1088" s="1" t="s">
        <v>2770</v>
      </c>
      <c r="C1088" s="1" t="s">
        <v>2783</v>
      </c>
      <c r="D1088" s="1" t="s">
        <v>3096</v>
      </c>
      <c r="E1088" s="1" t="s">
        <v>1906</v>
      </c>
      <c r="F1088" s="1" t="s">
        <v>871</v>
      </c>
      <c r="G1088" s="1">
        <v>73.0</v>
      </c>
      <c r="H1088" s="1">
        <v>90.0</v>
      </c>
      <c r="I1088" s="1" t="s">
        <v>633</v>
      </c>
      <c r="J1088" s="1" t="s">
        <v>424</v>
      </c>
      <c r="K1088" s="1" t="s">
        <v>473</v>
      </c>
      <c r="L1088" s="1" t="s">
        <v>892</v>
      </c>
      <c r="M1088" s="1">
        <v>76.0</v>
      </c>
      <c r="N1088" s="1" t="s">
        <v>1076</v>
      </c>
      <c r="O1088" s="1" t="s">
        <v>1308</v>
      </c>
      <c r="P1088" s="1">
        <v>82.0</v>
      </c>
      <c r="Q1088" s="1" t="s">
        <v>2975</v>
      </c>
      <c r="R1088" s="1">
        <v>38.0</v>
      </c>
      <c r="S1088" s="1" t="s">
        <v>597</v>
      </c>
      <c r="T1088" s="1" t="s">
        <v>1136</v>
      </c>
      <c r="U1088" s="1" t="s">
        <v>96</v>
      </c>
      <c r="V1088" s="1" t="s">
        <v>1358</v>
      </c>
      <c r="W1088" s="1" t="s">
        <v>3131</v>
      </c>
      <c r="X1088" s="1" t="s">
        <v>1411</v>
      </c>
      <c r="Y1088" s="1" t="s">
        <v>405</v>
      </c>
      <c r="Z1088" s="1">
        <v>1.0</v>
      </c>
    </row>
    <row r="1089">
      <c r="A1089" s="1" t="s">
        <v>3132</v>
      </c>
      <c r="B1089" s="1" t="s">
        <v>2770</v>
      </c>
      <c r="C1089" s="1" t="s">
        <v>2327</v>
      </c>
      <c r="D1089" s="1">
        <v>250.0</v>
      </c>
      <c r="E1089" s="1">
        <v>84.0</v>
      </c>
      <c r="F1089" s="1">
        <v>60.0</v>
      </c>
      <c r="G1089" s="1">
        <v>80.0</v>
      </c>
      <c r="H1089" s="1">
        <v>90.0</v>
      </c>
      <c r="I1089" s="1">
        <v>60.0</v>
      </c>
      <c r="J1089" s="1">
        <v>76.0</v>
      </c>
      <c r="K1089" s="1">
        <v>78.0</v>
      </c>
      <c r="L1089" s="1">
        <v>81.0</v>
      </c>
      <c r="M1089" s="1">
        <v>87.0</v>
      </c>
      <c r="N1089" s="1">
        <v>52.0</v>
      </c>
      <c r="O1089" s="1">
        <v>27.0</v>
      </c>
      <c r="P1089" s="1">
        <v>82.0</v>
      </c>
      <c r="Q1089" s="1">
        <v>35.0</v>
      </c>
      <c r="R1089" s="1">
        <v>60.0</v>
      </c>
      <c r="S1089" s="1">
        <v>84.0</v>
      </c>
      <c r="T1089" s="1">
        <v>98.0</v>
      </c>
      <c r="U1089" s="1">
        <v>84.0</v>
      </c>
      <c r="V1089" s="1">
        <v>64.0</v>
      </c>
      <c r="W1089" s="1">
        <v>45.0</v>
      </c>
      <c r="X1089" s="1">
        <v>83.0</v>
      </c>
      <c r="Y1089" s="1">
        <v>77.0</v>
      </c>
      <c r="Z1089" s="1">
        <v>1.0</v>
      </c>
    </row>
    <row r="1090">
      <c r="A1090" s="1" t="s">
        <v>3133</v>
      </c>
      <c r="B1090" s="1" t="s">
        <v>2770</v>
      </c>
      <c r="C1090" s="1" t="s">
        <v>2783</v>
      </c>
      <c r="D1090" s="1">
        <v>240.0</v>
      </c>
      <c r="E1090" s="1">
        <v>78.0</v>
      </c>
      <c r="F1090" s="1">
        <v>53.0</v>
      </c>
      <c r="G1090" s="1">
        <v>57.0</v>
      </c>
      <c r="H1090" s="1">
        <v>85.0</v>
      </c>
      <c r="I1090" s="1">
        <v>54.0</v>
      </c>
      <c r="J1090" s="1">
        <v>39.0</v>
      </c>
      <c r="K1090" s="1">
        <v>25.0</v>
      </c>
      <c r="L1090" s="1">
        <v>39.0</v>
      </c>
      <c r="M1090" s="1">
        <v>79.0</v>
      </c>
      <c r="N1090" s="1">
        <v>37.0</v>
      </c>
      <c r="O1090" s="1">
        <v>42.0</v>
      </c>
      <c r="P1090" s="1">
        <v>84.0</v>
      </c>
      <c r="Q1090" s="1">
        <v>34.0</v>
      </c>
      <c r="R1090" s="1">
        <v>44.0</v>
      </c>
      <c r="S1090" s="1">
        <v>84.0</v>
      </c>
      <c r="T1090" s="1">
        <v>98.0</v>
      </c>
      <c r="U1090" s="1">
        <v>99.0</v>
      </c>
      <c r="V1090" s="1">
        <v>58.0</v>
      </c>
      <c r="W1090" s="1">
        <v>38.0</v>
      </c>
      <c r="X1090" s="1">
        <v>79.0</v>
      </c>
      <c r="Y1090" s="1">
        <v>70.0</v>
      </c>
      <c r="Z1090" s="1">
        <v>1.0</v>
      </c>
    </row>
    <row r="1091">
      <c r="A1091" s="1" t="s">
        <v>2253</v>
      </c>
      <c r="B1091" s="1" t="s">
        <v>2770</v>
      </c>
      <c r="C1091" s="1" t="s">
        <v>1534</v>
      </c>
      <c r="D1091" s="1" t="s">
        <v>3134</v>
      </c>
      <c r="E1091" s="1" t="s">
        <v>1753</v>
      </c>
      <c r="F1091" s="1" t="s">
        <v>2262</v>
      </c>
      <c r="G1091" s="1" t="s">
        <v>190</v>
      </c>
      <c r="H1091" s="1" t="s">
        <v>364</v>
      </c>
      <c r="I1091" s="1" t="s">
        <v>1458</v>
      </c>
      <c r="J1091" s="1">
        <v>70.0</v>
      </c>
      <c r="K1091" s="1">
        <v>80.0</v>
      </c>
      <c r="L1091" s="1" t="s">
        <v>1770</v>
      </c>
      <c r="M1091" s="1" t="s">
        <v>1136</v>
      </c>
      <c r="N1091" s="1">
        <v>48.0</v>
      </c>
      <c r="O1091" s="1" t="s">
        <v>1444</v>
      </c>
      <c r="P1091" s="1" t="s">
        <v>242</v>
      </c>
      <c r="Q1091" s="1" t="s">
        <v>1080</v>
      </c>
      <c r="R1091" s="1" t="s">
        <v>1112</v>
      </c>
      <c r="S1091" s="1" t="s">
        <v>716</v>
      </c>
      <c r="T1091" s="1" t="s">
        <v>593</v>
      </c>
      <c r="U1091" s="1">
        <v>94.0</v>
      </c>
      <c r="V1091" s="1" t="s">
        <v>205</v>
      </c>
      <c r="W1091" s="1" t="s">
        <v>410</v>
      </c>
      <c r="X1091" s="1" t="s">
        <v>593</v>
      </c>
      <c r="Y1091" s="1" t="s">
        <v>253</v>
      </c>
      <c r="Z1091" s="1">
        <v>1.0</v>
      </c>
    </row>
    <row r="1092">
      <c r="A1092" s="1" t="s">
        <v>1474</v>
      </c>
      <c r="B1092" s="1" t="s">
        <v>2770</v>
      </c>
      <c r="C1092" s="1" t="s">
        <v>970</v>
      </c>
      <c r="D1092" s="1">
        <v>275.0</v>
      </c>
      <c r="E1092" s="1">
        <v>78.0</v>
      </c>
      <c r="F1092" s="1">
        <v>80.0</v>
      </c>
      <c r="G1092" s="1">
        <v>98.0</v>
      </c>
      <c r="H1092" s="1">
        <v>90.0</v>
      </c>
      <c r="I1092" s="1">
        <v>61.0</v>
      </c>
      <c r="J1092" s="1">
        <v>38.0</v>
      </c>
      <c r="K1092" s="1">
        <v>25.0</v>
      </c>
      <c r="L1092" s="1">
        <v>40.0</v>
      </c>
      <c r="M1092" s="1">
        <v>54.0</v>
      </c>
      <c r="N1092" s="1">
        <v>75.0</v>
      </c>
      <c r="O1092" s="1">
        <v>68.0</v>
      </c>
      <c r="P1092" s="1">
        <v>88.0</v>
      </c>
      <c r="Q1092" s="1">
        <v>41.0</v>
      </c>
      <c r="R1092" s="1">
        <v>49.0</v>
      </c>
      <c r="S1092" s="1">
        <v>93.0</v>
      </c>
      <c r="T1092" s="1">
        <v>91.0</v>
      </c>
      <c r="U1092" s="1">
        <v>96.0</v>
      </c>
      <c r="V1092" s="1">
        <v>70.0</v>
      </c>
      <c r="W1092" s="1">
        <v>56.0</v>
      </c>
      <c r="X1092" s="1">
        <v>91.0</v>
      </c>
      <c r="Y1092" s="1">
        <v>90.0</v>
      </c>
      <c r="Z1092" s="1">
        <v>1.0</v>
      </c>
    </row>
    <row r="1093">
      <c r="A1093" s="1" t="s">
        <v>3135</v>
      </c>
      <c r="B1093" s="1" t="s">
        <v>2770</v>
      </c>
      <c r="C1093" s="1" t="s">
        <v>2994</v>
      </c>
      <c r="D1093" s="1">
        <v>240.0</v>
      </c>
      <c r="E1093" s="1">
        <v>89.0</v>
      </c>
      <c r="F1093" s="1">
        <v>70.0</v>
      </c>
      <c r="G1093" s="1">
        <v>68.0</v>
      </c>
      <c r="H1093" s="1">
        <v>90.0</v>
      </c>
      <c r="I1093" s="1">
        <v>86.0</v>
      </c>
      <c r="J1093" s="1">
        <v>80.0</v>
      </c>
      <c r="K1093" s="1">
        <v>80.0</v>
      </c>
      <c r="L1093" s="1">
        <v>70.0</v>
      </c>
      <c r="M1093" s="1">
        <v>95.0</v>
      </c>
      <c r="N1093" s="1">
        <v>55.0</v>
      </c>
      <c r="O1093" s="1">
        <v>40.0</v>
      </c>
      <c r="P1093" s="1">
        <v>85.0</v>
      </c>
      <c r="Q1093" s="1">
        <v>37.0</v>
      </c>
      <c r="R1093" s="1">
        <v>60.0</v>
      </c>
      <c r="S1093" s="1">
        <v>74.0</v>
      </c>
      <c r="T1093" s="1">
        <v>80.0</v>
      </c>
      <c r="U1093" s="1">
        <v>96.0</v>
      </c>
      <c r="V1093" s="1">
        <v>60.0</v>
      </c>
      <c r="W1093" s="1">
        <v>40.0</v>
      </c>
      <c r="X1093" s="1">
        <v>81.0</v>
      </c>
      <c r="Y1093" s="1">
        <v>67.0</v>
      </c>
      <c r="Z1093" s="1">
        <v>1.0</v>
      </c>
    </row>
    <row r="1094">
      <c r="A1094" s="1" t="s">
        <v>3136</v>
      </c>
      <c r="B1094" s="1" t="s">
        <v>2770</v>
      </c>
      <c r="C1094" s="1" t="s">
        <v>2803</v>
      </c>
      <c r="D1094" s="1" t="s">
        <v>2963</v>
      </c>
      <c r="E1094" s="1" t="s">
        <v>734</v>
      </c>
      <c r="F1094" s="1" t="s">
        <v>1273</v>
      </c>
      <c r="G1094" s="1" t="s">
        <v>237</v>
      </c>
      <c r="H1094" s="1" t="s">
        <v>52</v>
      </c>
      <c r="I1094" s="1" t="s">
        <v>1766</v>
      </c>
      <c r="J1094" s="1" t="s">
        <v>253</v>
      </c>
      <c r="K1094" s="1" t="s">
        <v>220</v>
      </c>
      <c r="L1094" s="1" t="s">
        <v>1328</v>
      </c>
      <c r="M1094" s="1" t="s">
        <v>517</v>
      </c>
      <c r="N1094" s="1" t="s">
        <v>816</v>
      </c>
      <c r="O1094" s="1" t="s">
        <v>2806</v>
      </c>
      <c r="P1094" s="1" t="s">
        <v>1213</v>
      </c>
      <c r="Q1094" s="1" t="s">
        <v>2854</v>
      </c>
      <c r="R1094" s="1" t="s">
        <v>1225</v>
      </c>
      <c r="S1094" s="1" t="s">
        <v>45</v>
      </c>
      <c r="T1094" s="1" t="s">
        <v>95</v>
      </c>
      <c r="U1094" s="1" t="s">
        <v>401</v>
      </c>
      <c r="V1094" s="1" t="s">
        <v>1630</v>
      </c>
      <c r="W1094" s="1" t="s">
        <v>2119</v>
      </c>
      <c r="X1094" s="1" t="s">
        <v>253</v>
      </c>
      <c r="Y1094" s="1" t="s">
        <v>1368</v>
      </c>
      <c r="Z1094" s="1">
        <v>1.0</v>
      </c>
    </row>
    <row r="1095">
      <c r="A1095" s="1" t="s">
        <v>820</v>
      </c>
      <c r="B1095" s="1" t="s">
        <v>2770</v>
      </c>
      <c r="C1095" s="1" t="s">
        <v>1579</v>
      </c>
      <c r="D1095" s="1">
        <v>215.0</v>
      </c>
      <c r="E1095" s="1">
        <v>81.0</v>
      </c>
      <c r="F1095" s="1">
        <v>75.0</v>
      </c>
      <c r="G1095" s="1">
        <v>95.0</v>
      </c>
      <c r="H1095" s="1">
        <v>95.0</v>
      </c>
      <c r="I1095" s="1">
        <v>86.0</v>
      </c>
      <c r="J1095" s="1">
        <v>41.0</v>
      </c>
      <c r="K1095" s="1">
        <v>26.0</v>
      </c>
      <c r="L1095" s="1">
        <v>43.0</v>
      </c>
      <c r="M1095" s="1">
        <v>40.0</v>
      </c>
      <c r="N1095" s="1">
        <v>65.0</v>
      </c>
      <c r="O1095" s="1">
        <v>70.0</v>
      </c>
      <c r="P1095" s="1">
        <v>85.0</v>
      </c>
      <c r="Q1095" s="1">
        <v>70.0</v>
      </c>
      <c r="R1095" s="1">
        <v>47.0</v>
      </c>
      <c r="S1095" s="1">
        <v>85.0</v>
      </c>
      <c r="T1095" s="1">
        <v>60.0</v>
      </c>
      <c r="U1095" s="1">
        <v>85.0</v>
      </c>
      <c r="V1095" s="1">
        <v>79.0</v>
      </c>
      <c r="W1095" s="1">
        <v>75.0</v>
      </c>
      <c r="X1095" s="1">
        <v>80.0</v>
      </c>
      <c r="Y1095" s="1">
        <v>90.0</v>
      </c>
      <c r="Z1095" s="1">
        <v>1.0</v>
      </c>
    </row>
    <row r="1096">
      <c r="A1096" s="1" t="s">
        <v>3137</v>
      </c>
      <c r="B1096" s="1" t="s">
        <v>2770</v>
      </c>
      <c r="C1096" s="1" t="s">
        <v>3033</v>
      </c>
      <c r="D1096" s="1" t="s">
        <v>3138</v>
      </c>
      <c r="E1096" s="1">
        <v>87.0</v>
      </c>
      <c r="F1096" s="1" t="s">
        <v>1070</v>
      </c>
      <c r="G1096" s="1" t="s">
        <v>1940</v>
      </c>
      <c r="H1096" s="1">
        <v>90.0</v>
      </c>
      <c r="I1096" s="1" t="s">
        <v>706</v>
      </c>
      <c r="J1096" s="1">
        <v>80.0</v>
      </c>
      <c r="K1096" s="1" t="s">
        <v>1086</v>
      </c>
      <c r="L1096" s="1" t="s">
        <v>2551</v>
      </c>
      <c r="M1096" s="1">
        <v>87.0</v>
      </c>
      <c r="N1096" s="1" t="s">
        <v>2443</v>
      </c>
      <c r="O1096" s="1" t="s">
        <v>2806</v>
      </c>
      <c r="P1096" s="1" t="s">
        <v>128</v>
      </c>
      <c r="Q1096" s="1" t="s">
        <v>2577</v>
      </c>
      <c r="R1096" s="1" t="s">
        <v>2849</v>
      </c>
      <c r="S1096" s="1" t="s">
        <v>429</v>
      </c>
      <c r="T1096" s="1" t="s">
        <v>863</v>
      </c>
      <c r="U1096" s="1" t="s">
        <v>35</v>
      </c>
      <c r="V1096" s="1" t="s">
        <v>2577</v>
      </c>
      <c r="W1096" s="1" t="s">
        <v>1392</v>
      </c>
      <c r="X1096" s="1" t="s">
        <v>76</v>
      </c>
      <c r="Y1096" s="1">
        <v>70.0</v>
      </c>
      <c r="Z1096" s="1">
        <v>1.0</v>
      </c>
    </row>
    <row r="1097">
      <c r="A1097" s="1" t="s">
        <v>3139</v>
      </c>
      <c r="B1097" s="1" t="s">
        <v>2770</v>
      </c>
      <c r="C1097" s="1" t="s">
        <v>192</v>
      </c>
      <c r="D1097" s="1">
        <v>270.0</v>
      </c>
      <c r="E1097" s="1">
        <v>80.0</v>
      </c>
      <c r="F1097" s="1">
        <v>60.0</v>
      </c>
      <c r="G1097" s="1">
        <v>80.0</v>
      </c>
      <c r="H1097" s="1">
        <v>90.0</v>
      </c>
      <c r="I1097" s="1">
        <v>68.0</v>
      </c>
      <c r="J1097" s="1">
        <v>80.0</v>
      </c>
      <c r="K1097" s="1">
        <v>81.0</v>
      </c>
      <c r="L1097" s="1">
        <v>58.0</v>
      </c>
      <c r="M1097" s="1">
        <v>85.0</v>
      </c>
      <c r="N1097" s="1">
        <v>75.0</v>
      </c>
      <c r="O1097" s="1">
        <v>63.0</v>
      </c>
      <c r="P1097" s="1">
        <v>88.0</v>
      </c>
      <c r="Q1097" s="1">
        <v>70.0</v>
      </c>
      <c r="R1097" s="1">
        <v>45.0</v>
      </c>
      <c r="S1097" s="1">
        <v>80.0</v>
      </c>
      <c r="T1097" s="1">
        <v>88.0</v>
      </c>
      <c r="U1097" s="1">
        <v>95.0</v>
      </c>
      <c r="V1097" s="1">
        <v>80.0</v>
      </c>
      <c r="W1097" s="1">
        <v>75.0</v>
      </c>
      <c r="X1097" s="1">
        <v>95.0</v>
      </c>
      <c r="Y1097" s="1">
        <v>80.0</v>
      </c>
      <c r="Z1097" s="1">
        <v>1.0</v>
      </c>
    </row>
    <row r="1098">
      <c r="A1098" s="1" t="s">
        <v>3140</v>
      </c>
      <c r="B1098" s="1" t="s">
        <v>2770</v>
      </c>
      <c r="C1098" s="1" t="s">
        <v>2783</v>
      </c>
      <c r="D1098" s="1">
        <v>232.0</v>
      </c>
      <c r="E1098" s="1">
        <v>92.0</v>
      </c>
      <c r="F1098" s="1">
        <v>70.0</v>
      </c>
      <c r="G1098" s="1">
        <v>58.0</v>
      </c>
      <c r="H1098" s="1">
        <v>90.0</v>
      </c>
      <c r="I1098" s="1">
        <v>71.0</v>
      </c>
      <c r="J1098" s="1">
        <v>70.0</v>
      </c>
      <c r="K1098" s="1">
        <v>78.0</v>
      </c>
      <c r="L1098" s="1">
        <v>60.0</v>
      </c>
      <c r="M1098" s="1">
        <v>87.0</v>
      </c>
      <c r="N1098" s="1">
        <v>43.0</v>
      </c>
      <c r="O1098" s="1">
        <v>42.0</v>
      </c>
      <c r="P1098" s="1">
        <v>80.0</v>
      </c>
      <c r="Q1098" s="1">
        <v>62.0</v>
      </c>
      <c r="R1098" s="1">
        <v>58.0</v>
      </c>
      <c r="S1098" s="1">
        <v>94.0</v>
      </c>
      <c r="T1098" s="1">
        <v>90.0</v>
      </c>
      <c r="U1098" s="1">
        <v>82.0</v>
      </c>
      <c r="V1098" s="1">
        <v>61.0</v>
      </c>
      <c r="W1098" s="1">
        <v>46.0</v>
      </c>
      <c r="X1098" s="1">
        <v>72.0</v>
      </c>
      <c r="Y1098" s="1">
        <v>72.0</v>
      </c>
      <c r="Z1098" s="1">
        <v>1.0</v>
      </c>
    </row>
    <row r="1099">
      <c r="A1099" s="1" t="s">
        <v>3141</v>
      </c>
      <c r="B1099" s="1" t="s">
        <v>2770</v>
      </c>
      <c r="C1099" s="1" t="s">
        <v>2327</v>
      </c>
      <c r="D1099" s="1">
        <v>245.0</v>
      </c>
      <c r="E1099" s="1">
        <v>90.0</v>
      </c>
      <c r="F1099" s="1">
        <v>68.0</v>
      </c>
      <c r="G1099" s="1">
        <v>86.0</v>
      </c>
      <c r="H1099" s="1">
        <v>82.0</v>
      </c>
      <c r="I1099" s="1">
        <v>90.0</v>
      </c>
      <c r="J1099" s="1">
        <v>70.0</v>
      </c>
      <c r="K1099" s="1">
        <v>80.0</v>
      </c>
      <c r="L1099" s="1">
        <v>61.0</v>
      </c>
      <c r="M1099" s="1">
        <v>60.0</v>
      </c>
      <c r="N1099" s="1">
        <v>60.0</v>
      </c>
      <c r="O1099" s="1">
        <v>59.0</v>
      </c>
      <c r="P1099" s="1">
        <v>95.0</v>
      </c>
      <c r="Q1099" s="1">
        <v>48.0</v>
      </c>
      <c r="R1099" s="1">
        <v>57.0</v>
      </c>
      <c r="S1099" s="1">
        <v>87.0</v>
      </c>
      <c r="T1099" s="1">
        <v>70.0</v>
      </c>
      <c r="U1099" s="1">
        <v>90.0</v>
      </c>
      <c r="V1099" s="1">
        <v>70.0</v>
      </c>
      <c r="W1099" s="1">
        <v>58.0</v>
      </c>
      <c r="X1099" s="1">
        <v>85.0</v>
      </c>
      <c r="Y1099" s="1">
        <v>75.0</v>
      </c>
      <c r="Z1099" s="1">
        <v>1.0</v>
      </c>
    </row>
    <row r="1100">
      <c r="A1100" s="1" t="s">
        <v>2053</v>
      </c>
      <c r="B1100" s="1" t="s">
        <v>2770</v>
      </c>
      <c r="C1100" s="1" t="s">
        <v>2327</v>
      </c>
      <c r="D1100" s="1">
        <v>237.0</v>
      </c>
      <c r="E1100" s="1">
        <v>85.0</v>
      </c>
      <c r="F1100" s="1">
        <v>70.0</v>
      </c>
      <c r="G1100" s="1">
        <v>87.0</v>
      </c>
      <c r="H1100" s="1">
        <v>81.0</v>
      </c>
      <c r="I1100" s="1">
        <v>79.0</v>
      </c>
      <c r="J1100" s="1">
        <v>85.0</v>
      </c>
      <c r="K1100" s="1">
        <v>70.0</v>
      </c>
      <c r="L1100" s="1">
        <v>81.0</v>
      </c>
      <c r="M1100" s="1">
        <v>76.0</v>
      </c>
      <c r="N1100" s="1">
        <v>60.0</v>
      </c>
      <c r="O1100" s="1">
        <v>50.0</v>
      </c>
      <c r="P1100" s="1">
        <v>82.0</v>
      </c>
      <c r="Q1100" s="1">
        <v>62.0</v>
      </c>
      <c r="R1100" s="1">
        <v>45.0</v>
      </c>
      <c r="S1100" s="1">
        <v>88.0</v>
      </c>
      <c r="T1100" s="1">
        <v>85.0</v>
      </c>
      <c r="U1100" s="1">
        <v>85.0</v>
      </c>
      <c r="V1100" s="1">
        <v>72.0</v>
      </c>
      <c r="W1100" s="1">
        <v>60.0</v>
      </c>
      <c r="X1100" s="1">
        <v>90.0</v>
      </c>
      <c r="Y1100" s="1">
        <v>85.0</v>
      </c>
      <c r="Z1100" s="1">
        <v>1.0</v>
      </c>
    </row>
    <row r="1101">
      <c r="A1101" s="1" t="s">
        <v>238</v>
      </c>
      <c r="B1101" s="1" t="s">
        <v>2770</v>
      </c>
      <c r="C1101" s="1" t="s">
        <v>3033</v>
      </c>
      <c r="D1101" s="1" t="s">
        <v>3007</v>
      </c>
      <c r="E1101" s="1" t="s">
        <v>221</v>
      </c>
      <c r="F1101" s="1" t="s">
        <v>204</v>
      </c>
      <c r="G1101" s="1" t="s">
        <v>572</v>
      </c>
      <c r="H1101" s="1" t="s">
        <v>952</v>
      </c>
      <c r="I1101" s="1" t="s">
        <v>2683</v>
      </c>
      <c r="J1101" s="1" t="s">
        <v>190</v>
      </c>
      <c r="K1101" s="1" t="s">
        <v>2189</v>
      </c>
      <c r="L1101" s="1" t="s">
        <v>1748</v>
      </c>
      <c r="M1101" s="1" t="s">
        <v>96</v>
      </c>
      <c r="N1101" s="1" t="s">
        <v>1941</v>
      </c>
      <c r="O1101" s="1" t="s">
        <v>516</v>
      </c>
      <c r="P1101" s="1" t="s">
        <v>128</v>
      </c>
      <c r="Q1101" s="1" t="s">
        <v>2984</v>
      </c>
      <c r="R1101" s="1" t="s">
        <v>1483</v>
      </c>
      <c r="S1101" s="1" t="s">
        <v>1477</v>
      </c>
      <c r="T1101" s="1" t="s">
        <v>122</v>
      </c>
      <c r="U1101" s="1" t="s">
        <v>278</v>
      </c>
      <c r="V1101" s="1" t="s">
        <v>3009</v>
      </c>
      <c r="W1101" s="1" t="s">
        <v>1405</v>
      </c>
      <c r="X1101" s="1" t="s">
        <v>694</v>
      </c>
      <c r="Y1101" s="1" t="s">
        <v>1668</v>
      </c>
      <c r="Z1101" s="1">
        <v>1.0</v>
      </c>
    </row>
    <row r="1102">
      <c r="A1102" s="1" t="s">
        <v>3142</v>
      </c>
      <c r="B1102" s="1" t="s">
        <v>2770</v>
      </c>
      <c r="C1102" s="1" t="s">
        <v>2327</v>
      </c>
      <c r="D1102" s="1">
        <v>237.0</v>
      </c>
      <c r="E1102" s="1">
        <v>82.0</v>
      </c>
      <c r="F1102" s="1">
        <v>80.0</v>
      </c>
      <c r="G1102" s="1">
        <v>89.0</v>
      </c>
      <c r="H1102" s="1">
        <v>90.0</v>
      </c>
      <c r="I1102" s="1">
        <v>87.0</v>
      </c>
      <c r="J1102" s="1">
        <v>80.0</v>
      </c>
      <c r="K1102" s="1">
        <v>75.0</v>
      </c>
      <c r="L1102" s="1">
        <v>74.0</v>
      </c>
      <c r="M1102" s="1">
        <v>75.0</v>
      </c>
      <c r="N1102" s="1">
        <v>66.0</v>
      </c>
      <c r="O1102" s="1">
        <v>60.0</v>
      </c>
      <c r="P1102" s="1">
        <v>82.0</v>
      </c>
      <c r="Q1102" s="1">
        <v>64.0</v>
      </c>
      <c r="R1102" s="1">
        <v>60.0</v>
      </c>
      <c r="S1102" s="1">
        <v>75.0</v>
      </c>
      <c r="T1102" s="1">
        <v>92.0</v>
      </c>
      <c r="U1102" s="1">
        <v>80.0</v>
      </c>
      <c r="V1102" s="1">
        <v>70.0</v>
      </c>
      <c r="W1102" s="1">
        <v>60.0</v>
      </c>
      <c r="X1102" s="1">
        <v>78.0</v>
      </c>
      <c r="Y1102" s="1">
        <v>78.0</v>
      </c>
      <c r="Z1102" s="1">
        <v>1.0</v>
      </c>
    </row>
    <row r="1103">
      <c r="A1103" s="1" t="s">
        <v>3143</v>
      </c>
      <c r="B1103" s="1" t="s">
        <v>2770</v>
      </c>
      <c r="C1103" s="1" t="s">
        <v>2327</v>
      </c>
      <c r="D1103" s="1" t="s">
        <v>3144</v>
      </c>
      <c r="E1103" s="1" t="s">
        <v>860</v>
      </c>
      <c r="F1103" s="1" t="s">
        <v>2260</v>
      </c>
      <c r="G1103" s="1" t="s">
        <v>363</v>
      </c>
      <c r="H1103" s="1" t="s">
        <v>384</v>
      </c>
      <c r="I1103" s="1" t="s">
        <v>755</v>
      </c>
      <c r="J1103" s="1" t="s">
        <v>207</v>
      </c>
      <c r="K1103" s="1" t="s">
        <v>593</v>
      </c>
      <c r="L1103" s="1" t="s">
        <v>1009</v>
      </c>
      <c r="M1103" s="1" t="s">
        <v>614</v>
      </c>
      <c r="N1103" s="1" t="s">
        <v>2499</v>
      </c>
      <c r="O1103" s="1" t="s">
        <v>3145</v>
      </c>
      <c r="P1103" s="1">
        <v>82.0</v>
      </c>
      <c r="Q1103" s="1" t="s">
        <v>3146</v>
      </c>
      <c r="R1103" s="1" t="s">
        <v>464</v>
      </c>
      <c r="S1103" s="1" t="s">
        <v>45</v>
      </c>
      <c r="T1103" s="1" t="s">
        <v>790</v>
      </c>
      <c r="U1103" s="1">
        <v>94.0</v>
      </c>
      <c r="V1103" s="1" t="s">
        <v>375</v>
      </c>
      <c r="W1103" s="1">
        <v>55.0</v>
      </c>
      <c r="X1103" s="1" t="s">
        <v>82</v>
      </c>
      <c r="Y1103" s="1" t="s">
        <v>582</v>
      </c>
      <c r="Z1103" s="1">
        <v>1.0</v>
      </c>
    </row>
    <row r="1104">
      <c r="A1104" s="1" t="s">
        <v>3147</v>
      </c>
      <c r="B1104" s="1" t="s">
        <v>2770</v>
      </c>
      <c r="C1104" s="1" t="s">
        <v>2776</v>
      </c>
      <c r="D1104" s="1" t="s">
        <v>3148</v>
      </c>
      <c r="E1104" s="1" t="s">
        <v>221</v>
      </c>
      <c r="F1104" s="1" t="s">
        <v>2300</v>
      </c>
      <c r="G1104" s="1" t="s">
        <v>1086</v>
      </c>
      <c r="H1104" s="1" t="s">
        <v>929</v>
      </c>
      <c r="I1104" s="1" t="s">
        <v>59</v>
      </c>
      <c r="J1104" s="1" t="s">
        <v>1121</v>
      </c>
      <c r="K1104" s="1" t="s">
        <v>220</v>
      </c>
      <c r="L1104" s="1" t="s">
        <v>514</v>
      </c>
      <c r="M1104" s="1" t="s">
        <v>614</v>
      </c>
      <c r="N1104" s="1" t="s">
        <v>3149</v>
      </c>
      <c r="O1104" s="1" t="s">
        <v>483</v>
      </c>
      <c r="P1104" s="1">
        <v>86.0</v>
      </c>
      <c r="Q1104" s="1" t="s">
        <v>574</v>
      </c>
      <c r="R1104" s="1" t="s">
        <v>707</v>
      </c>
      <c r="S1104" s="1" t="s">
        <v>1477</v>
      </c>
      <c r="T1104" s="1" t="s">
        <v>1905</v>
      </c>
      <c r="U1104" s="1" t="s">
        <v>1080</v>
      </c>
      <c r="V1104" s="1" t="s">
        <v>967</v>
      </c>
      <c r="W1104" s="1" t="s">
        <v>2937</v>
      </c>
      <c r="X1104" s="1" t="s">
        <v>840</v>
      </c>
      <c r="Y1104" s="1" t="s">
        <v>431</v>
      </c>
      <c r="Z1104" s="1">
        <v>1.0</v>
      </c>
    </row>
    <row r="1105">
      <c r="A1105" s="1" t="s">
        <v>3150</v>
      </c>
      <c r="B1105" s="1" t="s">
        <v>2770</v>
      </c>
      <c r="C1105" s="1" t="s">
        <v>2163</v>
      </c>
      <c r="D1105" s="1" t="s">
        <v>3151</v>
      </c>
      <c r="E1105" s="1" t="s">
        <v>761</v>
      </c>
      <c r="F1105" s="1" t="s">
        <v>1477</v>
      </c>
      <c r="G1105" s="1">
        <v>87.0</v>
      </c>
      <c r="H1105" s="1" t="s">
        <v>333</v>
      </c>
      <c r="I1105" s="1" t="s">
        <v>892</v>
      </c>
      <c r="J1105" s="1" t="s">
        <v>1428</v>
      </c>
      <c r="K1105" s="1" t="s">
        <v>129</v>
      </c>
      <c r="L1105" s="1" t="s">
        <v>2232</v>
      </c>
      <c r="M1105" s="1" t="s">
        <v>1136</v>
      </c>
      <c r="N1105" s="1" t="s">
        <v>1399</v>
      </c>
      <c r="O1105" s="1" t="s">
        <v>3152</v>
      </c>
      <c r="P1105" s="1" t="s">
        <v>595</v>
      </c>
      <c r="Q1105" s="1" t="s">
        <v>551</v>
      </c>
      <c r="R1105" s="1" t="s">
        <v>3153</v>
      </c>
      <c r="S1105" s="1" t="s">
        <v>208</v>
      </c>
      <c r="T1105" s="1" t="s">
        <v>205</v>
      </c>
      <c r="U1105" s="1" t="s">
        <v>427</v>
      </c>
      <c r="V1105" s="1" t="s">
        <v>204</v>
      </c>
      <c r="W1105" s="1" t="s">
        <v>88</v>
      </c>
      <c r="X1105" s="1" t="s">
        <v>840</v>
      </c>
      <c r="Y1105" s="1">
        <v>80.0</v>
      </c>
      <c r="Z1105" s="1">
        <v>1.0</v>
      </c>
    </row>
    <row r="1106">
      <c r="A1106" s="1" t="s">
        <v>3154</v>
      </c>
      <c r="B1106" s="1" t="s">
        <v>2770</v>
      </c>
      <c r="C1106" s="1" t="s">
        <v>1534</v>
      </c>
      <c r="D1106" s="1" t="s">
        <v>3148</v>
      </c>
      <c r="E1106" s="1" t="s">
        <v>1817</v>
      </c>
      <c r="F1106" s="1" t="s">
        <v>2674</v>
      </c>
      <c r="G1106" s="1" t="s">
        <v>892</v>
      </c>
      <c r="H1106" s="1" t="s">
        <v>991</v>
      </c>
      <c r="I1106" s="1" t="s">
        <v>1159</v>
      </c>
      <c r="J1106" s="1" t="s">
        <v>1996</v>
      </c>
      <c r="K1106" s="1" t="s">
        <v>129</v>
      </c>
      <c r="L1106" s="1" t="s">
        <v>3155</v>
      </c>
      <c r="M1106" s="1" t="s">
        <v>363</v>
      </c>
      <c r="N1106" s="1" t="s">
        <v>1051</v>
      </c>
      <c r="O1106" s="1" t="s">
        <v>228</v>
      </c>
      <c r="P1106" s="1" t="s">
        <v>190</v>
      </c>
      <c r="Q1106" s="1" t="s">
        <v>1213</v>
      </c>
      <c r="R1106" s="1" t="s">
        <v>531</v>
      </c>
      <c r="S1106" s="1" t="s">
        <v>710</v>
      </c>
      <c r="T1106" s="1" t="s">
        <v>133</v>
      </c>
      <c r="U1106" s="1" t="s">
        <v>133</v>
      </c>
      <c r="V1106" s="1" t="s">
        <v>235</v>
      </c>
      <c r="W1106" s="1" t="s">
        <v>1224</v>
      </c>
      <c r="X1106" s="1" t="s">
        <v>1202</v>
      </c>
      <c r="Y1106" s="1" t="s">
        <v>333</v>
      </c>
      <c r="Z1106" s="1">
        <v>1.0</v>
      </c>
    </row>
    <row r="1107">
      <c r="A1107" s="1" t="s">
        <v>3156</v>
      </c>
      <c r="B1107" s="1" t="s">
        <v>2770</v>
      </c>
      <c r="C1107" s="1" t="s">
        <v>2783</v>
      </c>
      <c r="D1107" s="1">
        <v>230.0</v>
      </c>
      <c r="E1107" s="1">
        <v>95.0</v>
      </c>
      <c r="F1107" s="1">
        <v>77.0</v>
      </c>
      <c r="G1107" s="1">
        <v>61.0</v>
      </c>
      <c r="H1107" s="1">
        <v>82.0</v>
      </c>
      <c r="I1107" s="1">
        <v>84.0</v>
      </c>
      <c r="J1107" s="1">
        <v>90.0</v>
      </c>
      <c r="K1107" s="1">
        <v>89.0</v>
      </c>
      <c r="L1107" s="1">
        <v>66.0</v>
      </c>
      <c r="M1107" s="1">
        <v>81.0</v>
      </c>
      <c r="N1107" s="1">
        <v>65.0</v>
      </c>
      <c r="O1107" s="1">
        <v>44.0</v>
      </c>
      <c r="P1107" s="1">
        <v>90.0</v>
      </c>
      <c r="Q1107" s="1">
        <v>55.0</v>
      </c>
      <c r="R1107" s="1">
        <v>49.0</v>
      </c>
      <c r="S1107" s="1">
        <v>67.0</v>
      </c>
      <c r="T1107" s="1">
        <v>80.0</v>
      </c>
      <c r="U1107" s="1">
        <v>80.0</v>
      </c>
      <c r="V1107" s="1">
        <v>62.0</v>
      </c>
      <c r="W1107" s="1">
        <v>47.0</v>
      </c>
      <c r="X1107" s="1">
        <v>81.0</v>
      </c>
      <c r="Y1107" s="1">
        <v>73.0</v>
      </c>
      <c r="Z1107" s="1">
        <v>1.0</v>
      </c>
    </row>
    <row r="1108">
      <c r="A1108" s="1" t="s">
        <v>3157</v>
      </c>
      <c r="B1108" s="1" t="s">
        <v>2770</v>
      </c>
      <c r="C1108" s="1" t="s">
        <v>2327</v>
      </c>
      <c r="D1108" s="1">
        <v>222.0</v>
      </c>
      <c r="E1108" s="1">
        <v>87.0</v>
      </c>
      <c r="F1108" s="1">
        <v>92.0</v>
      </c>
      <c r="G1108" s="1">
        <v>91.0</v>
      </c>
      <c r="H1108" s="1">
        <v>97.0</v>
      </c>
      <c r="I1108" s="1">
        <v>62.0</v>
      </c>
      <c r="J1108" s="1">
        <v>68.0</v>
      </c>
      <c r="K1108" s="1">
        <v>78.0</v>
      </c>
      <c r="L1108" s="1">
        <v>57.0</v>
      </c>
      <c r="M1108" s="1">
        <v>34.0</v>
      </c>
      <c r="N1108" s="1">
        <v>59.0</v>
      </c>
      <c r="O1108" s="1">
        <v>64.0</v>
      </c>
      <c r="P1108" s="1">
        <v>81.0</v>
      </c>
      <c r="Q1108" s="1">
        <v>46.0</v>
      </c>
      <c r="R1108" s="1">
        <v>36.0</v>
      </c>
      <c r="S1108" s="1">
        <v>70.0</v>
      </c>
      <c r="T1108" s="1">
        <v>95.0</v>
      </c>
      <c r="U1108" s="1">
        <v>85.0</v>
      </c>
      <c r="V1108" s="1">
        <v>75.0</v>
      </c>
      <c r="W1108" s="1">
        <v>65.0</v>
      </c>
      <c r="X1108" s="1">
        <v>75.0</v>
      </c>
      <c r="Y1108" s="1">
        <v>80.0</v>
      </c>
      <c r="Z1108" s="1">
        <v>1.0</v>
      </c>
    </row>
    <row r="1109">
      <c r="A1109" s="1" t="s">
        <v>2610</v>
      </c>
      <c r="B1109" s="1" t="s">
        <v>2770</v>
      </c>
      <c r="C1109" s="1" t="s">
        <v>2327</v>
      </c>
      <c r="D1109" s="1">
        <v>246.0</v>
      </c>
      <c r="E1109" s="1">
        <v>80.0</v>
      </c>
      <c r="F1109" s="1">
        <v>80.0</v>
      </c>
      <c r="G1109" s="1">
        <v>73.0</v>
      </c>
      <c r="H1109" s="1">
        <v>93.0</v>
      </c>
      <c r="I1109" s="1">
        <v>80.0</v>
      </c>
      <c r="J1109" s="1">
        <v>75.0</v>
      </c>
      <c r="K1109" s="1">
        <v>80.0</v>
      </c>
      <c r="L1109" s="1">
        <v>63.0</v>
      </c>
      <c r="M1109" s="1">
        <v>80.0</v>
      </c>
      <c r="N1109" s="1">
        <v>56.0</v>
      </c>
      <c r="O1109" s="1">
        <v>59.0</v>
      </c>
      <c r="P1109" s="1">
        <v>95.0</v>
      </c>
      <c r="Q1109" s="1">
        <v>66.0</v>
      </c>
      <c r="R1109" s="1">
        <v>50.0</v>
      </c>
      <c r="S1109" s="1">
        <v>81.0</v>
      </c>
      <c r="T1109" s="1">
        <v>80.0</v>
      </c>
      <c r="U1109" s="1">
        <v>83.0</v>
      </c>
      <c r="V1109" s="1">
        <v>70.0</v>
      </c>
      <c r="W1109" s="1">
        <v>50.0</v>
      </c>
      <c r="X1109" s="1">
        <v>84.0</v>
      </c>
      <c r="Y1109" s="1">
        <v>80.0</v>
      </c>
      <c r="Z1109" s="1">
        <v>1.0</v>
      </c>
    </row>
    <row r="1110">
      <c r="A1110" s="1" t="s">
        <v>3158</v>
      </c>
      <c r="B1110" s="1" t="s">
        <v>2770</v>
      </c>
      <c r="C1110" s="1" t="s">
        <v>2783</v>
      </c>
      <c r="D1110" s="1">
        <v>236.0</v>
      </c>
      <c r="E1110" s="1">
        <v>85.0</v>
      </c>
      <c r="F1110" s="1">
        <v>71.0</v>
      </c>
      <c r="G1110" s="1">
        <v>70.0</v>
      </c>
      <c r="H1110" s="1">
        <v>90.0</v>
      </c>
      <c r="I1110" s="1">
        <v>87.0</v>
      </c>
      <c r="J1110" s="1">
        <v>90.0</v>
      </c>
      <c r="K1110" s="1">
        <v>89.0</v>
      </c>
      <c r="L1110" s="1">
        <v>75.0</v>
      </c>
      <c r="M1110" s="1">
        <v>92.0</v>
      </c>
      <c r="N1110" s="1">
        <v>65.0</v>
      </c>
      <c r="O1110" s="1">
        <v>35.0</v>
      </c>
      <c r="P1110" s="1">
        <v>86.0</v>
      </c>
      <c r="Q1110" s="1">
        <v>61.0</v>
      </c>
      <c r="R1110" s="1">
        <v>45.0</v>
      </c>
      <c r="S1110" s="1">
        <v>56.0</v>
      </c>
      <c r="T1110" s="1">
        <v>84.0</v>
      </c>
      <c r="U1110" s="1">
        <v>75.0</v>
      </c>
      <c r="V1110" s="1">
        <v>60.0</v>
      </c>
      <c r="W1110" s="1">
        <v>45.0</v>
      </c>
      <c r="X1110" s="1">
        <v>86.0</v>
      </c>
      <c r="Y1110" s="1">
        <v>71.0</v>
      </c>
      <c r="Z1110" s="1">
        <v>1.0</v>
      </c>
    </row>
    <row r="1111">
      <c r="A1111" s="1" t="s">
        <v>3159</v>
      </c>
      <c r="B1111" s="1" t="s">
        <v>2770</v>
      </c>
      <c r="C1111" s="1" t="s">
        <v>2327</v>
      </c>
      <c r="D1111" s="1">
        <v>269.0</v>
      </c>
      <c r="E1111" s="1">
        <v>85.0</v>
      </c>
      <c r="F1111" s="1">
        <v>80.0</v>
      </c>
      <c r="G1111" s="1">
        <v>82.0</v>
      </c>
      <c r="H1111" s="1">
        <v>90.0</v>
      </c>
      <c r="I1111" s="1">
        <v>90.0</v>
      </c>
      <c r="J1111" s="1">
        <v>80.0</v>
      </c>
      <c r="K1111" s="1">
        <v>90.0</v>
      </c>
      <c r="L1111" s="1">
        <v>69.0</v>
      </c>
      <c r="M1111" s="1">
        <v>25.0</v>
      </c>
      <c r="N1111" s="1">
        <v>49.0</v>
      </c>
      <c r="O1111" s="1">
        <v>54.0</v>
      </c>
      <c r="P1111" s="1">
        <v>80.0</v>
      </c>
      <c r="Q1111" s="1">
        <v>35.0</v>
      </c>
      <c r="R1111" s="1">
        <v>35.0</v>
      </c>
      <c r="S1111" s="1">
        <v>80.0</v>
      </c>
      <c r="T1111" s="1">
        <v>74.0</v>
      </c>
      <c r="U1111" s="1">
        <v>99.0</v>
      </c>
      <c r="V1111" s="1">
        <v>65.0</v>
      </c>
      <c r="W1111" s="1">
        <v>50.0</v>
      </c>
      <c r="X1111" s="1">
        <v>90.0</v>
      </c>
      <c r="Y1111" s="1">
        <v>80.0</v>
      </c>
      <c r="Z1111" s="1">
        <v>1.0</v>
      </c>
    </row>
    <row r="1112">
      <c r="A1112" s="1" t="s">
        <v>3160</v>
      </c>
      <c r="B1112" s="1" t="s">
        <v>2770</v>
      </c>
      <c r="C1112" s="1" t="s">
        <v>2327</v>
      </c>
      <c r="D1112" s="1">
        <v>253.0</v>
      </c>
      <c r="E1112" s="1">
        <v>79.0</v>
      </c>
      <c r="F1112" s="1">
        <v>70.0</v>
      </c>
      <c r="G1112" s="1">
        <v>57.0</v>
      </c>
      <c r="H1112" s="1">
        <v>81.0</v>
      </c>
      <c r="I1112" s="1">
        <v>67.0</v>
      </c>
      <c r="J1112" s="1">
        <v>64.0</v>
      </c>
      <c r="K1112" s="1">
        <v>74.0</v>
      </c>
      <c r="L1112" s="1">
        <v>54.0</v>
      </c>
      <c r="M1112" s="1">
        <v>25.0</v>
      </c>
      <c r="N1112" s="1">
        <v>30.0</v>
      </c>
      <c r="O1112" s="1">
        <v>25.0</v>
      </c>
      <c r="P1112" s="1">
        <v>79.0</v>
      </c>
      <c r="Q1112" s="1">
        <v>41.0</v>
      </c>
      <c r="R1112" s="1">
        <v>44.0</v>
      </c>
      <c r="S1112" s="1">
        <v>99.0</v>
      </c>
      <c r="T1112" s="1">
        <v>99.0</v>
      </c>
      <c r="U1112" s="1">
        <v>84.0</v>
      </c>
      <c r="V1112" s="1">
        <v>49.0</v>
      </c>
      <c r="W1112" s="1">
        <v>55.0</v>
      </c>
      <c r="X1112" s="1">
        <v>96.0</v>
      </c>
      <c r="Y1112" s="1">
        <v>70.0</v>
      </c>
      <c r="Z1112" s="1">
        <v>1.0</v>
      </c>
    </row>
    <row r="1113">
      <c r="A1113" s="1" t="s">
        <v>3161</v>
      </c>
      <c r="B1113" s="1" t="s">
        <v>2770</v>
      </c>
      <c r="C1113" s="1" t="s">
        <v>2776</v>
      </c>
      <c r="D1113" s="1" t="s">
        <v>2311</v>
      </c>
      <c r="E1113" s="1">
        <v>90.0</v>
      </c>
      <c r="F1113" s="1" t="s">
        <v>801</v>
      </c>
      <c r="G1113" s="1" t="s">
        <v>1729</v>
      </c>
      <c r="H1113" s="1" t="s">
        <v>333</v>
      </c>
      <c r="I1113" s="1">
        <v>87.0</v>
      </c>
      <c r="J1113" s="1">
        <v>80.0</v>
      </c>
      <c r="K1113" s="1" t="s">
        <v>571</v>
      </c>
      <c r="L1113" s="1">
        <v>80.0</v>
      </c>
      <c r="M1113" s="1">
        <v>93.0</v>
      </c>
      <c r="N1113" s="1" t="s">
        <v>997</v>
      </c>
      <c r="O1113" s="1" t="s">
        <v>482</v>
      </c>
      <c r="P1113" s="1" t="s">
        <v>390</v>
      </c>
      <c r="Q1113" s="1" t="s">
        <v>3098</v>
      </c>
      <c r="R1113" s="1" t="s">
        <v>2780</v>
      </c>
      <c r="S1113" s="1">
        <v>84.0</v>
      </c>
      <c r="T1113" s="1" t="s">
        <v>1563</v>
      </c>
      <c r="U1113" s="1" t="s">
        <v>35</v>
      </c>
      <c r="V1113" s="1" t="s">
        <v>1347</v>
      </c>
      <c r="W1113" s="1" t="s">
        <v>601</v>
      </c>
      <c r="X1113" s="1" t="s">
        <v>1258</v>
      </c>
      <c r="Y1113" s="1" t="s">
        <v>893</v>
      </c>
      <c r="Z1113" s="1">
        <v>1.0</v>
      </c>
    </row>
    <row r="1114">
      <c r="A1114" s="1" t="s">
        <v>3162</v>
      </c>
      <c r="B1114" s="1" t="s">
        <v>2770</v>
      </c>
      <c r="C1114" s="1" t="s">
        <v>2327</v>
      </c>
      <c r="D1114" s="1">
        <v>240.0</v>
      </c>
      <c r="E1114" s="1">
        <v>84.0</v>
      </c>
      <c r="F1114" s="1">
        <v>60.0</v>
      </c>
      <c r="G1114" s="1">
        <v>65.0</v>
      </c>
      <c r="H1114" s="1">
        <v>81.0</v>
      </c>
      <c r="I1114" s="1">
        <v>61.0</v>
      </c>
      <c r="J1114" s="1">
        <v>89.0</v>
      </c>
      <c r="K1114" s="1">
        <v>74.0</v>
      </c>
      <c r="L1114" s="1">
        <v>71.0</v>
      </c>
      <c r="M1114" s="1">
        <v>87.0</v>
      </c>
      <c r="N1114" s="1">
        <v>52.0</v>
      </c>
      <c r="O1114" s="1">
        <v>31.0</v>
      </c>
      <c r="P1114" s="1">
        <v>82.0</v>
      </c>
      <c r="Q1114" s="1">
        <v>62.0</v>
      </c>
      <c r="R1114" s="1">
        <v>60.0</v>
      </c>
      <c r="S1114" s="1">
        <v>93.0</v>
      </c>
      <c r="T1114" s="1">
        <v>84.0</v>
      </c>
      <c r="U1114" s="1">
        <v>94.0</v>
      </c>
      <c r="V1114" s="1">
        <v>71.0</v>
      </c>
      <c r="W1114" s="1">
        <v>60.0</v>
      </c>
      <c r="X1114" s="1">
        <v>91.0</v>
      </c>
      <c r="Y1114" s="1">
        <v>63.0</v>
      </c>
      <c r="Z1114" s="1">
        <v>1.0</v>
      </c>
    </row>
    <row r="1115">
      <c r="A1115" s="1" t="s">
        <v>2587</v>
      </c>
      <c r="B1115" s="1" t="s">
        <v>2770</v>
      </c>
      <c r="C1115" s="1" t="s">
        <v>2776</v>
      </c>
      <c r="D1115" s="1" t="s">
        <v>3163</v>
      </c>
      <c r="E1115" s="1" t="s">
        <v>1416</v>
      </c>
      <c r="F1115" s="1" t="s">
        <v>884</v>
      </c>
      <c r="G1115" s="1" t="s">
        <v>212</v>
      </c>
      <c r="H1115" s="1" t="s">
        <v>485</v>
      </c>
      <c r="I1115" s="1" t="s">
        <v>2918</v>
      </c>
      <c r="J1115" s="1" t="s">
        <v>190</v>
      </c>
      <c r="K1115" s="1" t="s">
        <v>1147</v>
      </c>
      <c r="L1115" s="1" t="s">
        <v>348</v>
      </c>
      <c r="M1115" s="1" t="s">
        <v>78</v>
      </c>
      <c r="N1115" s="1" t="s">
        <v>2113</v>
      </c>
      <c r="O1115" s="1" t="s">
        <v>1210</v>
      </c>
      <c r="P1115" s="1" t="s">
        <v>271</v>
      </c>
      <c r="Q1115" s="1" t="s">
        <v>3087</v>
      </c>
      <c r="R1115" s="1" t="s">
        <v>1052</v>
      </c>
      <c r="S1115" s="1" t="s">
        <v>671</v>
      </c>
      <c r="T1115" s="1" t="s">
        <v>1199</v>
      </c>
      <c r="U1115" s="1" t="s">
        <v>536</v>
      </c>
      <c r="V1115" s="1" t="s">
        <v>1195</v>
      </c>
      <c r="W1115" s="1" t="s">
        <v>3164</v>
      </c>
      <c r="X1115" s="1" t="s">
        <v>1098</v>
      </c>
      <c r="Y1115" s="1" t="s">
        <v>52</v>
      </c>
      <c r="Z1115" s="1">
        <v>1.0</v>
      </c>
    </row>
    <row r="1116">
      <c r="A1116" s="1" t="s">
        <v>3165</v>
      </c>
      <c r="B1116" s="1" t="s">
        <v>2770</v>
      </c>
      <c r="C1116" s="1" t="s">
        <v>2327</v>
      </c>
      <c r="D1116" s="1">
        <v>243.0</v>
      </c>
      <c r="E1116" s="1">
        <v>90.0</v>
      </c>
      <c r="F1116" s="1">
        <v>70.0</v>
      </c>
      <c r="G1116" s="1">
        <v>90.0</v>
      </c>
      <c r="H1116" s="1">
        <v>90.0</v>
      </c>
      <c r="I1116" s="1">
        <v>65.0</v>
      </c>
      <c r="J1116" s="1">
        <v>50.0</v>
      </c>
      <c r="K1116" s="1">
        <v>25.0</v>
      </c>
      <c r="L1116" s="1">
        <v>50.0</v>
      </c>
      <c r="M1116" s="1">
        <v>60.0</v>
      </c>
      <c r="N1116" s="1">
        <v>50.0</v>
      </c>
      <c r="O1116" s="1">
        <v>35.0</v>
      </c>
      <c r="P1116" s="1">
        <v>80.0</v>
      </c>
      <c r="Q1116" s="1">
        <v>40.0</v>
      </c>
      <c r="R1116" s="1">
        <v>40.0</v>
      </c>
      <c r="S1116" s="1">
        <v>90.0</v>
      </c>
      <c r="T1116" s="1">
        <v>80.0</v>
      </c>
      <c r="U1116" s="1">
        <v>99.0</v>
      </c>
      <c r="V1116" s="1">
        <v>70.0</v>
      </c>
      <c r="W1116" s="1">
        <v>55.0</v>
      </c>
      <c r="X1116" s="1">
        <v>85.0</v>
      </c>
      <c r="Y1116" s="1">
        <v>80.0</v>
      </c>
      <c r="Z1116" s="1">
        <v>1.0</v>
      </c>
    </row>
    <row r="1117">
      <c r="A1117" s="1" t="s">
        <v>3166</v>
      </c>
      <c r="B1117" s="1" t="s">
        <v>2770</v>
      </c>
      <c r="C1117" s="1" t="s">
        <v>2327</v>
      </c>
      <c r="D1117" s="1">
        <v>248.0</v>
      </c>
      <c r="E1117" s="1">
        <v>77.0</v>
      </c>
      <c r="F1117" s="1">
        <v>81.0</v>
      </c>
      <c r="G1117" s="1">
        <v>78.0</v>
      </c>
      <c r="H1117" s="1">
        <v>90.0</v>
      </c>
      <c r="I1117" s="1">
        <v>77.0</v>
      </c>
      <c r="J1117" s="1">
        <v>40.0</v>
      </c>
      <c r="K1117" s="1">
        <v>25.0</v>
      </c>
      <c r="L1117" s="1">
        <v>65.0</v>
      </c>
      <c r="M1117" s="1">
        <v>60.0</v>
      </c>
      <c r="N1117" s="1">
        <v>46.0</v>
      </c>
      <c r="O1117" s="1">
        <v>31.0</v>
      </c>
      <c r="P1117" s="1">
        <v>88.0</v>
      </c>
      <c r="Q1117" s="1">
        <v>60.0</v>
      </c>
      <c r="R1117" s="1">
        <v>43.0</v>
      </c>
      <c r="S1117" s="1">
        <v>93.0</v>
      </c>
      <c r="T1117" s="1">
        <v>80.0</v>
      </c>
      <c r="U1117" s="1">
        <v>96.0</v>
      </c>
      <c r="V1117" s="1">
        <v>69.0</v>
      </c>
      <c r="W1117" s="1">
        <v>57.0</v>
      </c>
      <c r="X1117" s="1">
        <v>91.0</v>
      </c>
      <c r="Y1117" s="1">
        <v>83.0</v>
      </c>
      <c r="Z1117" s="1">
        <v>1.0</v>
      </c>
    </row>
    <row r="1118">
      <c r="A1118" s="1" t="s">
        <v>2691</v>
      </c>
      <c r="B1118" s="1" t="s">
        <v>2770</v>
      </c>
      <c r="C1118" s="1" t="s">
        <v>2166</v>
      </c>
      <c r="D1118" s="1" t="s">
        <v>3167</v>
      </c>
      <c r="E1118" s="1" t="s">
        <v>937</v>
      </c>
      <c r="F1118" s="1" t="s">
        <v>863</v>
      </c>
      <c r="G1118" s="1" t="s">
        <v>1019</v>
      </c>
      <c r="H1118" s="1">
        <v>90.0</v>
      </c>
      <c r="I1118" s="1" t="s">
        <v>1965</v>
      </c>
      <c r="J1118" s="1" t="s">
        <v>2071</v>
      </c>
      <c r="K1118" s="1" t="s">
        <v>1546</v>
      </c>
      <c r="L1118" s="1" t="s">
        <v>242</v>
      </c>
      <c r="M1118" s="1" t="s">
        <v>614</v>
      </c>
      <c r="N1118" s="1" t="s">
        <v>1089</v>
      </c>
      <c r="O1118" s="1" t="s">
        <v>3168</v>
      </c>
      <c r="P1118" s="1" t="s">
        <v>2650</v>
      </c>
      <c r="Q1118" s="1" t="s">
        <v>551</v>
      </c>
      <c r="R1118" s="1">
        <v>38.0</v>
      </c>
      <c r="S1118" s="1" t="s">
        <v>45</v>
      </c>
      <c r="T1118" s="1">
        <v>97.0</v>
      </c>
      <c r="U1118" s="1" t="s">
        <v>132</v>
      </c>
      <c r="V1118" s="1" t="s">
        <v>204</v>
      </c>
      <c r="W1118" s="1" t="s">
        <v>2970</v>
      </c>
      <c r="X1118" s="1" t="s">
        <v>174</v>
      </c>
      <c r="Y1118" s="1" t="s">
        <v>747</v>
      </c>
      <c r="Z1118" s="1">
        <v>1.0</v>
      </c>
    </row>
    <row r="1119">
      <c r="A1119" s="1" t="s">
        <v>3169</v>
      </c>
      <c r="B1119" s="1" t="s">
        <v>2770</v>
      </c>
      <c r="C1119" s="1" t="s">
        <v>2783</v>
      </c>
      <c r="D1119" s="1">
        <v>252.0</v>
      </c>
      <c r="E1119" s="1">
        <v>82.0</v>
      </c>
      <c r="F1119" s="1">
        <v>71.0</v>
      </c>
      <c r="G1119" s="1">
        <v>68.0</v>
      </c>
      <c r="H1119" s="1">
        <v>82.0</v>
      </c>
      <c r="I1119" s="1">
        <v>75.0</v>
      </c>
      <c r="J1119" s="1">
        <v>80.0</v>
      </c>
      <c r="K1119" s="1">
        <v>89.0</v>
      </c>
      <c r="L1119" s="1">
        <v>86.0</v>
      </c>
      <c r="M1119" s="1">
        <v>82.0</v>
      </c>
      <c r="N1119" s="1">
        <v>53.0</v>
      </c>
      <c r="O1119" s="1">
        <v>40.0</v>
      </c>
      <c r="P1119" s="1">
        <v>80.0</v>
      </c>
      <c r="Q1119" s="1">
        <v>58.0</v>
      </c>
      <c r="R1119" s="1">
        <v>53.0</v>
      </c>
      <c r="S1119" s="1">
        <v>93.0</v>
      </c>
      <c r="T1119" s="1">
        <v>85.0</v>
      </c>
      <c r="U1119" s="1">
        <v>92.0</v>
      </c>
      <c r="V1119" s="1">
        <v>54.0</v>
      </c>
      <c r="W1119" s="1">
        <v>41.0</v>
      </c>
      <c r="X1119" s="1">
        <v>80.0</v>
      </c>
      <c r="Y1119" s="1">
        <v>69.0</v>
      </c>
      <c r="Z1119" s="1">
        <v>1.0</v>
      </c>
    </row>
    <row r="1120">
      <c r="A1120" s="1" t="s">
        <v>3170</v>
      </c>
      <c r="B1120" s="1" t="s">
        <v>2770</v>
      </c>
      <c r="C1120" s="1" t="s">
        <v>2327</v>
      </c>
      <c r="D1120" s="1">
        <v>253.0</v>
      </c>
      <c r="E1120" s="1">
        <v>84.0</v>
      </c>
      <c r="F1120" s="1">
        <v>61.0</v>
      </c>
      <c r="G1120" s="1">
        <v>74.0</v>
      </c>
      <c r="H1120" s="1">
        <v>90.0</v>
      </c>
      <c r="I1120" s="1">
        <v>61.0</v>
      </c>
      <c r="J1120" s="1">
        <v>75.0</v>
      </c>
      <c r="K1120" s="1">
        <v>78.0</v>
      </c>
      <c r="L1120" s="1">
        <v>83.0</v>
      </c>
      <c r="M1120" s="1">
        <v>87.0</v>
      </c>
      <c r="N1120" s="1">
        <v>52.0</v>
      </c>
      <c r="O1120" s="1">
        <v>28.0</v>
      </c>
      <c r="P1120" s="1">
        <v>82.0</v>
      </c>
      <c r="Q1120" s="1">
        <v>62.0</v>
      </c>
      <c r="R1120" s="1">
        <v>60.0</v>
      </c>
      <c r="S1120" s="1">
        <v>84.0</v>
      </c>
      <c r="T1120" s="1">
        <v>84.0</v>
      </c>
      <c r="U1120" s="1">
        <v>94.0</v>
      </c>
      <c r="V1120" s="1">
        <v>68.0</v>
      </c>
      <c r="W1120" s="1">
        <v>55.0</v>
      </c>
      <c r="X1120" s="1">
        <v>91.0</v>
      </c>
      <c r="Y1120" s="1">
        <v>82.0</v>
      </c>
      <c r="Z1120" s="1">
        <v>1.0</v>
      </c>
    </row>
    <row r="1121">
      <c r="A1121" s="1" t="s">
        <v>217</v>
      </c>
      <c r="B1121" s="1" t="s">
        <v>2770</v>
      </c>
      <c r="C1121" s="1" t="s">
        <v>2798</v>
      </c>
      <c r="D1121" s="1" t="s">
        <v>3171</v>
      </c>
      <c r="E1121" s="1" t="s">
        <v>164</v>
      </c>
      <c r="F1121" s="1" t="s">
        <v>242</v>
      </c>
      <c r="G1121" s="1">
        <v>80.0</v>
      </c>
      <c r="H1121" s="1" t="s">
        <v>1393</v>
      </c>
      <c r="I1121" s="1" t="s">
        <v>1185</v>
      </c>
      <c r="J1121" s="1" t="s">
        <v>235</v>
      </c>
      <c r="K1121" s="1" t="s">
        <v>571</v>
      </c>
      <c r="L1121" s="1" t="s">
        <v>1028</v>
      </c>
      <c r="M1121" s="1" t="s">
        <v>1142</v>
      </c>
      <c r="N1121" s="1" t="s">
        <v>1478</v>
      </c>
      <c r="O1121" s="1" t="s">
        <v>895</v>
      </c>
      <c r="P1121" s="1" t="s">
        <v>614</v>
      </c>
      <c r="Q1121" s="1" t="s">
        <v>550</v>
      </c>
      <c r="R1121" s="1" t="s">
        <v>3172</v>
      </c>
      <c r="S1121" s="1" t="s">
        <v>827</v>
      </c>
      <c r="T1121" s="1" t="s">
        <v>52</v>
      </c>
      <c r="U1121" s="1" t="s">
        <v>122</v>
      </c>
      <c r="V1121" s="1">
        <v>68.0</v>
      </c>
      <c r="W1121" s="1" t="s">
        <v>1697</v>
      </c>
      <c r="X1121" s="1">
        <v>86.0</v>
      </c>
      <c r="Y1121" s="1" t="s">
        <v>657</v>
      </c>
      <c r="Z1121" s="1">
        <v>1.0</v>
      </c>
    </row>
    <row r="1122">
      <c r="A1122" s="1" t="s">
        <v>3173</v>
      </c>
      <c r="B1122" s="1" t="s">
        <v>2770</v>
      </c>
      <c r="C1122" s="1" t="s">
        <v>2783</v>
      </c>
      <c r="D1122" s="1">
        <v>232.0</v>
      </c>
      <c r="E1122" s="1">
        <v>87.0</v>
      </c>
      <c r="F1122" s="1">
        <v>76.0</v>
      </c>
      <c r="G1122" s="1">
        <v>71.0</v>
      </c>
      <c r="H1122" s="1">
        <v>81.0</v>
      </c>
      <c r="I1122" s="1">
        <v>64.0</v>
      </c>
      <c r="J1122" s="1">
        <v>90.0</v>
      </c>
      <c r="K1122" s="1">
        <v>86.0</v>
      </c>
      <c r="L1122" s="1">
        <v>79.0</v>
      </c>
      <c r="M1122" s="1">
        <v>76.0</v>
      </c>
      <c r="N1122" s="1">
        <v>61.0</v>
      </c>
      <c r="O1122" s="1">
        <v>43.0</v>
      </c>
      <c r="P1122" s="1">
        <v>85.0</v>
      </c>
      <c r="Q1122" s="1">
        <v>62.0</v>
      </c>
      <c r="R1122" s="1">
        <v>53.0</v>
      </c>
      <c r="S1122" s="1">
        <v>93.0</v>
      </c>
      <c r="T1122" s="1">
        <v>85.0</v>
      </c>
      <c r="U1122" s="1">
        <v>85.0</v>
      </c>
      <c r="V1122" s="1">
        <v>61.0</v>
      </c>
      <c r="W1122" s="1">
        <v>46.0</v>
      </c>
      <c r="X1122" s="1">
        <v>74.0</v>
      </c>
      <c r="Y1122" s="1">
        <v>73.0</v>
      </c>
      <c r="Z1122" s="1">
        <v>1.0</v>
      </c>
    </row>
    <row r="1123">
      <c r="A1123" s="1" t="s">
        <v>3174</v>
      </c>
      <c r="B1123" s="1" t="s">
        <v>2770</v>
      </c>
      <c r="C1123" s="1" t="s">
        <v>2327</v>
      </c>
      <c r="D1123" s="1">
        <v>246.0</v>
      </c>
      <c r="E1123" s="1">
        <v>89.0</v>
      </c>
      <c r="F1123" s="1">
        <v>80.0</v>
      </c>
      <c r="G1123" s="1">
        <v>80.0</v>
      </c>
      <c r="H1123" s="1">
        <v>85.0</v>
      </c>
      <c r="I1123" s="1">
        <v>90.0</v>
      </c>
      <c r="J1123" s="1">
        <v>94.0</v>
      </c>
      <c r="K1123" s="1">
        <v>89.0</v>
      </c>
      <c r="L1123" s="1">
        <v>71.0</v>
      </c>
      <c r="M1123" s="1">
        <v>76.0</v>
      </c>
      <c r="N1123" s="1">
        <v>71.0</v>
      </c>
      <c r="O1123" s="1">
        <v>55.0</v>
      </c>
      <c r="P1123" s="1">
        <v>82.0</v>
      </c>
      <c r="Q1123" s="1">
        <v>35.0</v>
      </c>
      <c r="R1123" s="1">
        <v>60.0</v>
      </c>
      <c r="S1123" s="1">
        <v>84.0</v>
      </c>
      <c r="T1123" s="1">
        <v>65.0</v>
      </c>
      <c r="U1123" s="1">
        <v>85.0</v>
      </c>
      <c r="V1123" s="1">
        <v>65.0</v>
      </c>
      <c r="W1123" s="1">
        <v>55.0</v>
      </c>
      <c r="X1123" s="1">
        <v>84.0</v>
      </c>
      <c r="Y1123" s="1">
        <v>77.0</v>
      </c>
      <c r="Z1123" s="1">
        <v>1.0</v>
      </c>
    </row>
    <row r="1124">
      <c r="A1124" s="1" t="s">
        <v>2318</v>
      </c>
      <c r="B1124" s="1" t="s">
        <v>2770</v>
      </c>
      <c r="C1124" s="1" t="s">
        <v>2776</v>
      </c>
      <c r="D1124" s="1" t="s">
        <v>2908</v>
      </c>
      <c r="E1124" s="1" t="s">
        <v>622</v>
      </c>
      <c r="F1124" s="1" t="s">
        <v>3175</v>
      </c>
      <c r="G1124" s="1" t="s">
        <v>631</v>
      </c>
      <c r="H1124" s="1">
        <v>90.0</v>
      </c>
      <c r="I1124" s="1" t="s">
        <v>3176</v>
      </c>
      <c r="J1124" s="1" t="s">
        <v>333</v>
      </c>
      <c r="K1124" s="1" t="s">
        <v>451</v>
      </c>
      <c r="L1124" s="1" t="s">
        <v>1607</v>
      </c>
      <c r="M1124" s="1" t="s">
        <v>164</v>
      </c>
      <c r="N1124" s="1" t="s">
        <v>711</v>
      </c>
      <c r="O1124" s="1" t="s">
        <v>1658</v>
      </c>
      <c r="P1124" s="1" t="s">
        <v>213</v>
      </c>
      <c r="Q1124" s="1" t="s">
        <v>2571</v>
      </c>
      <c r="R1124" s="1" t="s">
        <v>2340</v>
      </c>
      <c r="S1124" s="1" t="s">
        <v>229</v>
      </c>
      <c r="T1124" s="1" t="s">
        <v>1672</v>
      </c>
      <c r="U1124" s="1">
        <v>80.0</v>
      </c>
      <c r="V1124" s="1" t="s">
        <v>1219</v>
      </c>
      <c r="W1124" s="1" t="s">
        <v>2953</v>
      </c>
      <c r="X1124" s="1" t="s">
        <v>761</v>
      </c>
      <c r="Y1124" s="1" t="s">
        <v>1054</v>
      </c>
      <c r="Z1124" s="1">
        <v>1.0</v>
      </c>
    </row>
    <row r="1125">
      <c r="A1125" s="1" t="s">
        <v>3177</v>
      </c>
      <c r="B1125" s="1" t="s">
        <v>2770</v>
      </c>
      <c r="C1125" s="1" t="s">
        <v>2773</v>
      </c>
      <c r="D1125" s="1" t="s">
        <v>3178</v>
      </c>
      <c r="E1125" s="1" t="s">
        <v>1084</v>
      </c>
      <c r="F1125" s="1" t="s">
        <v>1471</v>
      </c>
      <c r="G1125" s="1" t="s">
        <v>1112</v>
      </c>
      <c r="H1125" s="1" t="s">
        <v>1838</v>
      </c>
      <c r="I1125" s="1" t="s">
        <v>806</v>
      </c>
      <c r="J1125" s="1" t="s">
        <v>1587</v>
      </c>
      <c r="K1125" s="1" t="s">
        <v>141</v>
      </c>
      <c r="L1125" s="1" t="s">
        <v>1789</v>
      </c>
      <c r="M1125" s="1" t="s">
        <v>1287</v>
      </c>
      <c r="N1125" s="1" t="s">
        <v>879</v>
      </c>
      <c r="O1125" s="1" t="s">
        <v>1210</v>
      </c>
      <c r="P1125" s="1" t="s">
        <v>413</v>
      </c>
      <c r="Q1125" s="1" t="s">
        <v>2964</v>
      </c>
      <c r="R1125" s="1" t="s">
        <v>3179</v>
      </c>
      <c r="S1125" s="1" t="s">
        <v>416</v>
      </c>
      <c r="T1125" s="1" t="s">
        <v>332</v>
      </c>
      <c r="U1125" s="1" t="s">
        <v>35</v>
      </c>
      <c r="V1125" s="1" t="s">
        <v>2596</v>
      </c>
      <c r="W1125" s="1" t="s">
        <v>3180</v>
      </c>
      <c r="X1125" s="1" t="s">
        <v>480</v>
      </c>
      <c r="Y1125" s="1" t="s">
        <v>473</v>
      </c>
      <c r="Z1125" s="1">
        <v>1.0</v>
      </c>
    </row>
    <row r="1126">
      <c r="A1126" s="1" t="s">
        <v>2395</v>
      </c>
      <c r="B1126" s="1" t="s">
        <v>2770</v>
      </c>
      <c r="C1126" s="1" t="s">
        <v>2115</v>
      </c>
      <c r="D1126" s="1">
        <v>236.0</v>
      </c>
      <c r="E1126" s="1">
        <v>89.0</v>
      </c>
      <c r="F1126" s="1">
        <v>70.0</v>
      </c>
      <c r="G1126" s="1">
        <v>86.0</v>
      </c>
      <c r="H1126" s="1">
        <v>72.0</v>
      </c>
      <c r="I1126" s="1">
        <v>80.0</v>
      </c>
      <c r="J1126" s="1">
        <v>81.0</v>
      </c>
      <c r="K1126" s="1">
        <v>91.0</v>
      </c>
      <c r="L1126" s="1">
        <v>70.0</v>
      </c>
      <c r="M1126" s="1">
        <v>78.0</v>
      </c>
      <c r="N1126" s="1">
        <v>66.0</v>
      </c>
      <c r="O1126" s="1">
        <v>61.0</v>
      </c>
      <c r="P1126" s="1">
        <v>85.0</v>
      </c>
      <c r="Q1126" s="1">
        <v>72.0</v>
      </c>
      <c r="R1126" s="1">
        <v>60.0</v>
      </c>
      <c r="S1126" s="1">
        <v>90.0</v>
      </c>
      <c r="T1126" s="1">
        <v>70.0</v>
      </c>
      <c r="U1126" s="1">
        <v>72.0</v>
      </c>
      <c r="V1126" s="1">
        <v>75.0</v>
      </c>
      <c r="W1126" s="1">
        <v>66.0</v>
      </c>
      <c r="X1126" s="1">
        <v>86.0</v>
      </c>
      <c r="Y1126" s="1">
        <v>80.0</v>
      </c>
      <c r="Z1126" s="1">
        <v>1.0</v>
      </c>
    </row>
    <row r="1127">
      <c r="A1127" s="1" t="s">
        <v>3181</v>
      </c>
      <c r="B1127" s="1" t="s">
        <v>2770</v>
      </c>
      <c r="C1127" s="1" t="s">
        <v>1579</v>
      </c>
      <c r="D1127" s="1">
        <v>240.0</v>
      </c>
      <c r="E1127" s="1">
        <v>68.0</v>
      </c>
      <c r="F1127" s="1">
        <v>53.0</v>
      </c>
      <c r="G1127" s="1">
        <v>73.0</v>
      </c>
      <c r="H1127" s="1">
        <v>68.0</v>
      </c>
      <c r="I1127" s="1">
        <v>56.0</v>
      </c>
      <c r="J1127" s="1">
        <v>69.0</v>
      </c>
      <c r="K1127" s="1">
        <v>79.0</v>
      </c>
      <c r="L1127" s="1">
        <v>91.0</v>
      </c>
      <c r="M1127" s="1">
        <v>94.0</v>
      </c>
      <c r="N1127" s="1">
        <v>59.0</v>
      </c>
      <c r="O1127" s="1">
        <v>59.0</v>
      </c>
      <c r="P1127" s="1">
        <v>80.0</v>
      </c>
      <c r="Q1127" s="1">
        <v>46.0</v>
      </c>
      <c r="R1127" s="1">
        <v>48.0</v>
      </c>
      <c r="S1127" s="1">
        <v>93.0</v>
      </c>
      <c r="T1127" s="1">
        <v>69.0</v>
      </c>
      <c r="U1127" s="1">
        <v>94.0</v>
      </c>
      <c r="V1127" s="1">
        <v>76.0</v>
      </c>
      <c r="W1127" s="1">
        <v>70.0</v>
      </c>
      <c r="X1127" s="1">
        <v>91.0</v>
      </c>
      <c r="Y1127" s="1">
        <v>88.0</v>
      </c>
      <c r="Z1127" s="1">
        <v>1.0</v>
      </c>
    </row>
    <row r="1128">
      <c r="A1128" s="1" t="s">
        <v>3182</v>
      </c>
      <c r="B1128" s="1" t="s">
        <v>2770</v>
      </c>
      <c r="C1128" s="1" t="s">
        <v>1579</v>
      </c>
      <c r="D1128" s="1">
        <v>250.0</v>
      </c>
      <c r="E1128" s="1">
        <v>80.0</v>
      </c>
      <c r="F1128" s="1">
        <v>75.0</v>
      </c>
      <c r="G1128" s="1">
        <v>85.0</v>
      </c>
      <c r="H1128" s="1">
        <v>83.0</v>
      </c>
      <c r="I1128" s="1">
        <v>70.0</v>
      </c>
      <c r="J1128" s="1">
        <v>40.0</v>
      </c>
      <c r="K1128" s="1">
        <v>25.0</v>
      </c>
      <c r="L1128" s="1">
        <v>41.0</v>
      </c>
      <c r="M1128" s="1">
        <v>70.0</v>
      </c>
      <c r="N1128" s="1">
        <v>70.0</v>
      </c>
      <c r="O1128" s="1">
        <v>65.0</v>
      </c>
      <c r="P1128" s="1">
        <v>90.0</v>
      </c>
      <c r="Q1128" s="1">
        <v>79.0</v>
      </c>
      <c r="R1128" s="1">
        <v>65.0</v>
      </c>
      <c r="S1128" s="1">
        <v>68.0</v>
      </c>
      <c r="T1128" s="1">
        <v>94.0</v>
      </c>
      <c r="U1128" s="1">
        <v>97.0</v>
      </c>
      <c r="V1128" s="1">
        <v>65.0</v>
      </c>
      <c r="W1128" s="1">
        <v>59.0</v>
      </c>
      <c r="X1128" s="1">
        <v>77.0</v>
      </c>
      <c r="Y1128" s="1">
        <v>76.0</v>
      </c>
      <c r="Z1128" s="1">
        <v>1.0</v>
      </c>
    </row>
    <row r="1129">
      <c r="A1129" s="1" t="s">
        <v>2046</v>
      </c>
      <c r="B1129" s="1" t="s">
        <v>2770</v>
      </c>
      <c r="C1129" s="1" t="s">
        <v>2327</v>
      </c>
      <c r="D1129" s="1">
        <v>244.0</v>
      </c>
      <c r="E1129" s="1">
        <v>84.0</v>
      </c>
      <c r="F1129" s="1">
        <v>70.0</v>
      </c>
      <c r="G1129" s="1">
        <v>73.0</v>
      </c>
      <c r="H1129" s="1">
        <v>94.0</v>
      </c>
      <c r="I1129" s="1">
        <v>70.0</v>
      </c>
      <c r="J1129" s="1">
        <v>89.0</v>
      </c>
      <c r="K1129" s="1">
        <v>80.0</v>
      </c>
      <c r="L1129" s="1">
        <v>70.0</v>
      </c>
      <c r="M1129" s="1">
        <v>65.0</v>
      </c>
      <c r="N1129" s="1">
        <v>71.0</v>
      </c>
      <c r="O1129" s="1">
        <v>59.0</v>
      </c>
      <c r="P1129" s="1">
        <v>88.0</v>
      </c>
      <c r="Q1129" s="1">
        <v>62.0</v>
      </c>
      <c r="R1129" s="1">
        <v>43.0</v>
      </c>
      <c r="S1129" s="1">
        <v>84.0</v>
      </c>
      <c r="T1129" s="1">
        <v>80.0</v>
      </c>
      <c r="U1129" s="1">
        <v>92.0</v>
      </c>
      <c r="V1129" s="1">
        <v>70.0</v>
      </c>
      <c r="W1129" s="1">
        <v>50.0</v>
      </c>
      <c r="X1129" s="1">
        <v>84.0</v>
      </c>
      <c r="Y1129" s="1">
        <v>77.0</v>
      </c>
      <c r="Z1129" s="1">
        <v>1.0</v>
      </c>
    </row>
    <row r="1130">
      <c r="A1130" s="1" t="s">
        <v>3183</v>
      </c>
      <c r="B1130" s="1" t="s">
        <v>2770</v>
      </c>
      <c r="C1130" s="1" t="s">
        <v>2776</v>
      </c>
      <c r="D1130" s="1" t="s">
        <v>3184</v>
      </c>
      <c r="E1130" s="1" t="s">
        <v>761</v>
      </c>
      <c r="F1130" s="1" t="s">
        <v>369</v>
      </c>
      <c r="G1130" s="1" t="s">
        <v>2232</v>
      </c>
      <c r="H1130" s="1" t="s">
        <v>502</v>
      </c>
      <c r="I1130" s="1" t="s">
        <v>324</v>
      </c>
      <c r="J1130" s="1" t="s">
        <v>622</v>
      </c>
      <c r="K1130" s="1" t="s">
        <v>220</v>
      </c>
      <c r="L1130" s="1" t="s">
        <v>2365</v>
      </c>
      <c r="M1130" s="1" t="s">
        <v>96</v>
      </c>
      <c r="N1130" s="1" t="s">
        <v>185</v>
      </c>
      <c r="O1130" s="1" t="s">
        <v>1356</v>
      </c>
      <c r="P1130" s="1" t="s">
        <v>82</v>
      </c>
      <c r="Q1130" s="1" t="s">
        <v>2500</v>
      </c>
      <c r="R1130" s="1" t="s">
        <v>1385</v>
      </c>
      <c r="S1130" s="1" t="s">
        <v>911</v>
      </c>
      <c r="T1130" s="1" t="s">
        <v>322</v>
      </c>
      <c r="U1130" s="1" t="s">
        <v>443</v>
      </c>
      <c r="V1130" s="1" t="s">
        <v>3185</v>
      </c>
      <c r="W1130" s="1" t="s">
        <v>56</v>
      </c>
      <c r="X1130" s="1" t="s">
        <v>766</v>
      </c>
      <c r="Y1130" s="1" t="s">
        <v>1328</v>
      </c>
      <c r="Z1130" s="1">
        <v>1.0</v>
      </c>
    </row>
    <row r="1131">
      <c r="A1131" s="1" t="s">
        <v>3186</v>
      </c>
      <c r="B1131" s="1" t="s">
        <v>2770</v>
      </c>
      <c r="C1131" s="1" t="s">
        <v>2783</v>
      </c>
      <c r="D1131" s="1">
        <v>230.0</v>
      </c>
      <c r="E1131" s="1">
        <v>91.0</v>
      </c>
      <c r="F1131" s="1">
        <v>77.0</v>
      </c>
      <c r="G1131" s="1">
        <v>73.0</v>
      </c>
      <c r="H1131" s="1">
        <v>75.0</v>
      </c>
      <c r="I1131" s="1">
        <v>67.0</v>
      </c>
      <c r="J1131" s="1">
        <v>90.0</v>
      </c>
      <c r="K1131" s="1">
        <v>89.0</v>
      </c>
      <c r="L1131" s="1">
        <v>70.0</v>
      </c>
      <c r="M1131" s="1">
        <v>80.0</v>
      </c>
      <c r="N1131" s="1">
        <v>65.0</v>
      </c>
      <c r="O1131" s="1">
        <v>44.0</v>
      </c>
      <c r="P1131" s="1">
        <v>91.0</v>
      </c>
      <c r="Q1131" s="1">
        <v>62.0</v>
      </c>
      <c r="R1131" s="1">
        <v>53.0</v>
      </c>
      <c r="S1131" s="1">
        <v>93.0</v>
      </c>
      <c r="T1131" s="1">
        <v>60.0</v>
      </c>
      <c r="U1131" s="1">
        <v>85.0</v>
      </c>
      <c r="V1131" s="1">
        <v>62.0</v>
      </c>
      <c r="W1131" s="1">
        <v>47.0</v>
      </c>
      <c r="X1131" s="1">
        <v>79.0</v>
      </c>
      <c r="Y1131" s="1">
        <v>70.0</v>
      </c>
      <c r="Z1131" s="1">
        <v>1.0</v>
      </c>
    </row>
    <row r="1132">
      <c r="A1132" s="1" t="s">
        <v>2724</v>
      </c>
      <c r="B1132" s="1" t="s">
        <v>2770</v>
      </c>
      <c r="C1132" s="1" t="s">
        <v>2994</v>
      </c>
      <c r="D1132" s="1">
        <v>227.0</v>
      </c>
      <c r="E1132" s="1">
        <v>78.0</v>
      </c>
      <c r="F1132" s="1">
        <v>70.0</v>
      </c>
      <c r="G1132" s="1">
        <v>80.0</v>
      </c>
      <c r="H1132" s="1">
        <v>89.0</v>
      </c>
      <c r="I1132" s="1">
        <v>73.0</v>
      </c>
      <c r="J1132" s="1">
        <v>80.0</v>
      </c>
      <c r="K1132" s="1">
        <v>90.0</v>
      </c>
      <c r="L1132" s="1">
        <v>85.0</v>
      </c>
      <c r="M1132" s="1">
        <v>87.0</v>
      </c>
      <c r="N1132" s="1">
        <v>72.0</v>
      </c>
      <c r="O1132" s="1">
        <v>57.0</v>
      </c>
      <c r="P1132" s="1">
        <v>84.0</v>
      </c>
      <c r="Q1132" s="1">
        <v>62.0</v>
      </c>
      <c r="R1132" s="1">
        <v>43.0</v>
      </c>
      <c r="S1132" s="1">
        <v>90.0</v>
      </c>
      <c r="T1132" s="1">
        <v>71.0</v>
      </c>
      <c r="U1132" s="1">
        <v>83.0</v>
      </c>
      <c r="V1132" s="1">
        <v>70.0</v>
      </c>
      <c r="W1132" s="1">
        <v>58.0</v>
      </c>
      <c r="X1132" s="1">
        <v>84.0</v>
      </c>
      <c r="Y1132" s="1">
        <v>82.0</v>
      </c>
      <c r="Z1132" s="1">
        <v>1.0</v>
      </c>
    </row>
    <row r="1133">
      <c r="A1133" s="1" t="s">
        <v>3187</v>
      </c>
      <c r="B1133" s="1" t="s">
        <v>2770</v>
      </c>
      <c r="C1133" s="1" t="s">
        <v>2783</v>
      </c>
      <c r="D1133" s="1">
        <v>247.0</v>
      </c>
      <c r="E1133" s="1">
        <v>83.0</v>
      </c>
      <c r="F1133" s="1">
        <v>60.0</v>
      </c>
      <c r="G1133" s="1">
        <v>69.0</v>
      </c>
      <c r="H1133" s="1">
        <v>90.0</v>
      </c>
      <c r="I1133" s="1">
        <v>88.0</v>
      </c>
      <c r="J1133" s="1">
        <v>80.0</v>
      </c>
      <c r="K1133" s="1">
        <v>89.0</v>
      </c>
      <c r="L1133" s="1">
        <v>70.0</v>
      </c>
      <c r="M1133" s="1">
        <v>82.0</v>
      </c>
      <c r="N1133" s="1">
        <v>65.0</v>
      </c>
      <c r="O1133" s="1">
        <v>41.0</v>
      </c>
      <c r="P1133" s="1">
        <v>86.0</v>
      </c>
      <c r="Q1133" s="1">
        <v>59.0</v>
      </c>
      <c r="R1133" s="1">
        <v>41.0</v>
      </c>
      <c r="S1133" s="1">
        <v>82.0</v>
      </c>
      <c r="T1133" s="1">
        <v>80.0</v>
      </c>
      <c r="U1133" s="1">
        <v>85.0</v>
      </c>
      <c r="V1133" s="1">
        <v>55.0</v>
      </c>
      <c r="W1133" s="1">
        <v>42.0</v>
      </c>
      <c r="X1133" s="1">
        <v>91.0</v>
      </c>
      <c r="Y1133" s="1">
        <v>66.0</v>
      </c>
      <c r="Z1133" s="1">
        <v>1.0</v>
      </c>
    </row>
    <row r="1134">
      <c r="A1134" s="1" t="s">
        <v>3188</v>
      </c>
      <c r="B1134" s="1" t="s">
        <v>2770</v>
      </c>
      <c r="C1134" s="1" t="s">
        <v>1579</v>
      </c>
      <c r="D1134" s="1">
        <v>235.0</v>
      </c>
      <c r="E1134" s="1">
        <v>75.0</v>
      </c>
      <c r="F1134" s="1">
        <v>75.0</v>
      </c>
      <c r="G1134" s="1">
        <v>85.0</v>
      </c>
      <c r="H1134" s="1">
        <v>90.0</v>
      </c>
      <c r="I1134" s="1">
        <v>75.0</v>
      </c>
      <c r="J1134" s="1">
        <v>75.0</v>
      </c>
      <c r="K1134" s="1">
        <v>80.0</v>
      </c>
      <c r="L1134" s="1">
        <v>71.0</v>
      </c>
      <c r="M1134" s="1">
        <v>75.0</v>
      </c>
      <c r="N1134" s="1">
        <v>65.0</v>
      </c>
      <c r="O1134" s="1">
        <v>66.0</v>
      </c>
      <c r="P1134" s="1">
        <v>85.0</v>
      </c>
      <c r="Q1134" s="1">
        <v>81.0</v>
      </c>
      <c r="R1134" s="1">
        <v>78.0</v>
      </c>
      <c r="S1134" s="1">
        <v>90.0</v>
      </c>
      <c r="T1134" s="1">
        <v>85.0</v>
      </c>
      <c r="U1134" s="1">
        <v>84.0</v>
      </c>
      <c r="V1134" s="1">
        <v>67.0</v>
      </c>
      <c r="W1134" s="1">
        <v>61.0</v>
      </c>
      <c r="X1134" s="1">
        <v>65.0</v>
      </c>
      <c r="Y1134" s="1">
        <v>65.0</v>
      </c>
      <c r="Z1134" s="1">
        <v>1.0</v>
      </c>
    </row>
    <row r="1135">
      <c r="A1135" s="1" t="s">
        <v>2549</v>
      </c>
      <c r="B1135" s="1" t="s">
        <v>2770</v>
      </c>
      <c r="C1135" s="1" t="s">
        <v>2327</v>
      </c>
      <c r="D1135" s="1">
        <v>230.0</v>
      </c>
      <c r="E1135" s="1">
        <v>80.0</v>
      </c>
      <c r="F1135" s="1">
        <v>70.0</v>
      </c>
      <c r="G1135" s="1">
        <v>87.0</v>
      </c>
      <c r="H1135" s="1">
        <v>81.0</v>
      </c>
      <c r="I1135" s="1">
        <v>65.0</v>
      </c>
      <c r="J1135" s="1">
        <v>85.0</v>
      </c>
      <c r="K1135" s="1">
        <v>84.0</v>
      </c>
      <c r="L1135" s="1">
        <v>77.0</v>
      </c>
      <c r="M1135" s="1">
        <v>76.0</v>
      </c>
      <c r="N1135" s="1">
        <v>47.0</v>
      </c>
      <c r="O1135" s="1">
        <v>33.0</v>
      </c>
      <c r="P1135" s="1">
        <v>88.0</v>
      </c>
      <c r="Q1135" s="1">
        <v>50.0</v>
      </c>
      <c r="R1135" s="1">
        <v>60.0</v>
      </c>
      <c r="S1135" s="1">
        <v>93.0</v>
      </c>
      <c r="T1135" s="1">
        <v>92.0</v>
      </c>
      <c r="U1135" s="1">
        <v>77.0</v>
      </c>
      <c r="V1135" s="1">
        <v>73.0</v>
      </c>
      <c r="W1135" s="1">
        <v>53.0</v>
      </c>
      <c r="X1135" s="1">
        <v>84.0</v>
      </c>
      <c r="Y1135" s="1">
        <v>83.0</v>
      </c>
      <c r="Z1135" s="1">
        <v>1.0</v>
      </c>
    </row>
    <row r="1136">
      <c r="A1136" s="1" t="s">
        <v>3189</v>
      </c>
      <c r="B1136" s="1" t="s">
        <v>2770</v>
      </c>
      <c r="C1136" s="1" t="s">
        <v>2794</v>
      </c>
      <c r="D1136" s="1">
        <v>244.0</v>
      </c>
      <c r="E1136" s="1">
        <v>92.0</v>
      </c>
      <c r="F1136" s="1">
        <v>70.0</v>
      </c>
      <c r="G1136" s="1">
        <v>73.0</v>
      </c>
      <c r="H1136" s="1">
        <v>85.0</v>
      </c>
      <c r="I1136" s="1">
        <v>77.0</v>
      </c>
      <c r="J1136" s="1">
        <v>80.0</v>
      </c>
      <c r="K1136" s="1">
        <v>79.0</v>
      </c>
      <c r="L1136" s="1">
        <v>85.0</v>
      </c>
      <c r="M1136" s="1">
        <v>87.0</v>
      </c>
      <c r="N1136" s="1">
        <v>52.0</v>
      </c>
      <c r="O1136" s="1">
        <v>41.0</v>
      </c>
      <c r="P1136" s="1">
        <v>79.0</v>
      </c>
      <c r="Q1136" s="1">
        <v>30.0</v>
      </c>
      <c r="R1136" s="1">
        <v>40.0</v>
      </c>
      <c r="S1136" s="1">
        <v>93.0</v>
      </c>
      <c r="T1136" s="1">
        <v>71.0</v>
      </c>
      <c r="U1136" s="1">
        <v>96.0</v>
      </c>
      <c r="V1136" s="1">
        <v>60.0</v>
      </c>
      <c r="W1136" s="1">
        <v>44.0</v>
      </c>
      <c r="X1136" s="1">
        <v>74.0</v>
      </c>
      <c r="Y1136" s="1">
        <v>70.0</v>
      </c>
      <c r="Z1136" s="1">
        <v>1.0</v>
      </c>
    </row>
    <row r="1137">
      <c r="A1137" s="1" t="s">
        <v>3190</v>
      </c>
      <c r="B1137" s="1" t="s">
        <v>2770</v>
      </c>
      <c r="C1137" s="1" t="s">
        <v>2327</v>
      </c>
      <c r="D1137" s="1">
        <v>246.0</v>
      </c>
      <c r="E1137" s="1">
        <v>84.0</v>
      </c>
      <c r="F1137" s="1">
        <v>59.0</v>
      </c>
      <c r="G1137" s="1">
        <v>75.0</v>
      </c>
      <c r="H1137" s="1">
        <v>90.0</v>
      </c>
      <c r="I1137" s="1">
        <v>87.0</v>
      </c>
      <c r="J1137" s="1">
        <v>81.0</v>
      </c>
      <c r="K1137" s="1">
        <v>80.0</v>
      </c>
      <c r="L1137" s="1">
        <v>78.0</v>
      </c>
      <c r="M1137" s="1">
        <v>82.0</v>
      </c>
      <c r="N1137" s="1">
        <v>47.0</v>
      </c>
      <c r="O1137" s="1">
        <v>30.0</v>
      </c>
      <c r="P1137" s="1">
        <v>82.0</v>
      </c>
      <c r="Q1137" s="1">
        <v>40.0</v>
      </c>
      <c r="R1137" s="1">
        <v>37.0</v>
      </c>
      <c r="S1137" s="1">
        <v>84.0</v>
      </c>
      <c r="T1137" s="1">
        <v>94.0</v>
      </c>
      <c r="U1137" s="1">
        <v>85.0</v>
      </c>
      <c r="V1137" s="1">
        <v>70.0</v>
      </c>
      <c r="W1137" s="1">
        <v>50.0</v>
      </c>
      <c r="X1137" s="1">
        <v>91.0</v>
      </c>
      <c r="Y1137" s="1">
        <v>80.0</v>
      </c>
      <c r="Z1137" s="1">
        <v>1.0</v>
      </c>
    </row>
    <row r="1138">
      <c r="A1138" s="1" t="s">
        <v>3191</v>
      </c>
      <c r="B1138" s="1" t="s">
        <v>2770</v>
      </c>
      <c r="C1138" s="1" t="s">
        <v>2327</v>
      </c>
      <c r="D1138" s="1">
        <v>239.0</v>
      </c>
      <c r="E1138" s="1">
        <v>80.0</v>
      </c>
      <c r="F1138" s="1">
        <v>70.0</v>
      </c>
      <c r="G1138" s="1">
        <v>89.0</v>
      </c>
      <c r="H1138" s="1">
        <v>90.0</v>
      </c>
      <c r="I1138" s="1">
        <v>60.0</v>
      </c>
      <c r="J1138" s="1">
        <v>80.0</v>
      </c>
      <c r="K1138" s="1">
        <v>80.0</v>
      </c>
      <c r="L1138" s="1">
        <v>83.0</v>
      </c>
      <c r="M1138" s="1">
        <v>87.0</v>
      </c>
      <c r="N1138" s="1">
        <v>54.0</v>
      </c>
      <c r="O1138" s="1">
        <v>31.0</v>
      </c>
      <c r="P1138" s="1">
        <v>82.0</v>
      </c>
      <c r="Q1138" s="1">
        <v>40.0</v>
      </c>
      <c r="R1138" s="1">
        <v>40.0</v>
      </c>
      <c r="S1138" s="1">
        <v>93.0</v>
      </c>
      <c r="T1138" s="1">
        <v>70.0</v>
      </c>
      <c r="U1138" s="1">
        <v>94.0</v>
      </c>
      <c r="V1138" s="1">
        <v>70.0</v>
      </c>
      <c r="W1138" s="1">
        <v>60.0</v>
      </c>
      <c r="X1138" s="1">
        <v>85.0</v>
      </c>
      <c r="Y1138" s="1">
        <v>84.0</v>
      </c>
      <c r="Z1138" s="1">
        <v>1.0</v>
      </c>
    </row>
    <row r="1139">
      <c r="A1139" s="1" t="s">
        <v>2702</v>
      </c>
      <c r="B1139" s="1" t="s">
        <v>2770</v>
      </c>
      <c r="C1139" s="1" t="s">
        <v>1534</v>
      </c>
      <c r="D1139" s="1">
        <v>250.0</v>
      </c>
      <c r="E1139" s="1">
        <v>75.0</v>
      </c>
      <c r="F1139" s="1">
        <v>75.0</v>
      </c>
      <c r="G1139" s="1">
        <v>95.0</v>
      </c>
      <c r="H1139" s="1">
        <v>84.0</v>
      </c>
      <c r="I1139" s="1">
        <v>57.0</v>
      </c>
      <c r="J1139" s="1">
        <v>80.0</v>
      </c>
      <c r="K1139" s="1">
        <v>79.0</v>
      </c>
      <c r="L1139" s="1">
        <v>74.0</v>
      </c>
      <c r="M1139" s="1">
        <v>41.0</v>
      </c>
      <c r="N1139" s="1">
        <v>66.0</v>
      </c>
      <c r="O1139" s="1">
        <v>60.0</v>
      </c>
      <c r="P1139" s="1">
        <v>67.0</v>
      </c>
      <c r="Q1139" s="1">
        <v>68.0</v>
      </c>
      <c r="R1139" s="1">
        <v>39.0</v>
      </c>
      <c r="S1139" s="1">
        <v>79.0</v>
      </c>
      <c r="T1139" s="1">
        <v>86.0</v>
      </c>
      <c r="U1139" s="1">
        <v>92.0</v>
      </c>
      <c r="V1139" s="1">
        <v>80.0</v>
      </c>
      <c r="W1139" s="1">
        <v>75.0</v>
      </c>
      <c r="X1139" s="1">
        <v>87.0</v>
      </c>
      <c r="Y1139" s="1">
        <v>83.0</v>
      </c>
      <c r="Z1139" s="1">
        <v>1.0</v>
      </c>
    </row>
    <row r="1140">
      <c r="A1140" s="1" t="s">
        <v>2768</v>
      </c>
      <c r="B1140" s="1" t="s">
        <v>2770</v>
      </c>
      <c r="C1140" s="1" t="s">
        <v>2115</v>
      </c>
      <c r="D1140" s="1">
        <v>237.0</v>
      </c>
      <c r="E1140" s="1">
        <v>76.0</v>
      </c>
      <c r="F1140" s="1">
        <v>70.0</v>
      </c>
      <c r="G1140" s="1">
        <v>89.0</v>
      </c>
      <c r="H1140" s="1">
        <v>72.0</v>
      </c>
      <c r="I1140" s="1">
        <v>79.0</v>
      </c>
      <c r="J1140" s="1">
        <v>81.0</v>
      </c>
      <c r="K1140" s="1">
        <v>79.0</v>
      </c>
      <c r="L1140" s="1">
        <v>61.0</v>
      </c>
      <c r="M1140" s="1">
        <v>76.0</v>
      </c>
      <c r="N1140" s="1">
        <v>66.0</v>
      </c>
      <c r="O1140" s="1">
        <v>60.0</v>
      </c>
      <c r="P1140" s="1">
        <v>85.0</v>
      </c>
      <c r="Q1140" s="1">
        <v>72.0</v>
      </c>
      <c r="R1140" s="1">
        <v>74.0</v>
      </c>
      <c r="S1140" s="1">
        <v>88.0</v>
      </c>
      <c r="T1140" s="1">
        <v>70.0</v>
      </c>
      <c r="U1140" s="1">
        <v>92.0</v>
      </c>
      <c r="V1140" s="1">
        <v>74.0</v>
      </c>
      <c r="W1140" s="1">
        <v>65.0</v>
      </c>
      <c r="X1140" s="1">
        <v>85.0</v>
      </c>
      <c r="Y1140" s="1">
        <v>80.0</v>
      </c>
      <c r="Z1140" s="1">
        <v>1.0</v>
      </c>
    </row>
    <row r="1141">
      <c r="A1141" s="1" t="s">
        <v>3192</v>
      </c>
      <c r="B1141" s="1" t="s">
        <v>2770</v>
      </c>
      <c r="C1141" s="1" t="s">
        <v>2327</v>
      </c>
      <c r="D1141" s="1">
        <v>241.0</v>
      </c>
      <c r="E1141" s="1">
        <v>84.0</v>
      </c>
      <c r="F1141" s="1">
        <v>80.0</v>
      </c>
      <c r="G1141" s="1">
        <v>87.0</v>
      </c>
      <c r="H1141" s="1">
        <v>86.0</v>
      </c>
      <c r="I1141" s="1">
        <v>80.0</v>
      </c>
      <c r="J1141" s="1">
        <v>80.0</v>
      </c>
      <c r="K1141" s="1">
        <v>78.0</v>
      </c>
      <c r="L1141" s="1">
        <v>68.0</v>
      </c>
      <c r="M1141" s="1">
        <v>76.0</v>
      </c>
      <c r="N1141" s="1">
        <v>56.0</v>
      </c>
      <c r="O1141" s="1">
        <v>51.0</v>
      </c>
      <c r="P1141" s="1">
        <v>80.0</v>
      </c>
      <c r="Q1141" s="1">
        <v>66.0</v>
      </c>
      <c r="R1141" s="1">
        <v>36.0</v>
      </c>
      <c r="S1141" s="1">
        <v>83.0</v>
      </c>
      <c r="T1141" s="1">
        <v>92.0</v>
      </c>
      <c r="U1141" s="1">
        <v>91.0</v>
      </c>
      <c r="V1141" s="1">
        <v>65.0</v>
      </c>
      <c r="W1141" s="1">
        <v>50.0</v>
      </c>
      <c r="X1141" s="1">
        <v>84.0</v>
      </c>
      <c r="Y1141" s="1">
        <v>83.0</v>
      </c>
      <c r="Z1141" s="1">
        <v>1.0</v>
      </c>
    </row>
    <row r="1142">
      <c r="A1142" s="1" t="s">
        <v>3193</v>
      </c>
      <c r="B1142" s="1" t="s">
        <v>2770</v>
      </c>
      <c r="C1142" s="1" t="s">
        <v>2783</v>
      </c>
      <c r="D1142" s="1">
        <v>275.0</v>
      </c>
      <c r="E1142" s="1">
        <v>93.0</v>
      </c>
      <c r="F1142" s="1">
        <v>66.0</v>
      </c>
      <c r="G1142" s="1">
        <v>50.0</v>
      </c>
      <c r="H1142" s="1">
        <v>81.0</v>
      </c>
      <c r="I1142" s="1">
        <v>87.0</v>
      </c>
      <c r="J1142" s="1">
        <v>68.0</v>
      </c>
      <c r="K1142" s="1">
        <v>78.0</v>
      </c>
      <c r="L1142" s="1">
        <v>87.0</v>
      </c>
      <c r="M1142" s="1">
        <v>82.0</v>
      </c>
      <c r="N1142" s="1">
        <v>52.0</v>
      </c>
      <c r="O1142" s="1">
        <v>35.0</v>
      </c>
      <c r="P1142" s="1">
        <v>88.0</v>
      </c>
      <c r="Q1142" s="1">
        <v>42.0</v>
      </c>
      <c r="R1142" s="1">
        <v>43.0</v>
      </c>
      <c r="S1142" s="1">
        <v>92.0</v>
      </c>
      <c r="T1142" s="1">
        <v>75.0</v>
      </c>
      <c r="U1142" s="1">
        <v>92.0</v>
      </c>
      <c r="V1142" s="1">
        <v>45.0</v>
      </c>
      <c r="W1142" s="1">
        <v>34.0</v>
      </c>
      <c r="X1142" s="1">
        <v>91.0</v>
      </c>
      <c r="Y1142" s="1">
        <v>64.0</v>
      </c>
      <c r="Z1142" s="1">
        <v>1.0</v>
      </c>
    </row>
    <row r="1143">
      <c r="A1143" s="1" t="s">
        <v>3194</v>
      </c>
      <c r="B1143" s="1" t="s">
        <v>2770</v>
      </c>
      <c r="C1143" s="1" t="s">
        <v>2994</v>
      </c>
      <c r="D1143" s="1" t="s">
        <v>3195</v>
      </c>
      <c r="E1143" s="1" t="s">
        <v>552</v>
      </c>
      <c r="F1143" s="1" t="s">
        <v>572</v>
      </c>
      <c r="G1143" s="1" t="s">
        <v>2833</v>
      </c>
      <c r="H1143" s="1">
        <v>81.0</v>
      </c>
      <c r="I1143" s="1" t="s">
        <v>530</v>
      </c>
      <c r="J1143" s="1" t="s">
        <v>1427</v>
      </c>
      <c r="K1143" s="1" t="s">
        <v>1546</v>
      </c>
      <c r="L1143" s="1" t="s">
        <v>3196</v>
      </c>
      <c r="M1143" s="1" t="s">
        <v>277</v>
      </c>
      <c r="N1143" s="1" t="s">
        <v>2173</v>
      </c>
      <c r="O1143" s="1" t="s">
        <v>93</v>
      </c>
      <c r="P1143" s="1" t="s">
        <v>128</v>
      </c>
      <c r="Q1143" s="1" t="s">
        <v>2844</v>
      </c>
      <c r="R1143" s="1" t="s">
        <v>3179</v>
      </c>
      <c r="S1143" s="1" t="s">
        <v>362</v>
      </c>
      <c r="T1143" s="1" t="s">
        <v>96</v>
      </c>
      <c r="U1143" s="1" t="s">
        <v>485</v>
      </c>
      <c r="V1143" s="1" t="s">
        <v>3197</v>
      </c>
      <c r="W1143" s="1" t="s">
        <v>2853</v>
      </c>
      <c r="X1143" s="1" t="s">
        <v>840</v>
      </c>
      <c r="Y1143" s="1" t="s">
        <v>30</v>
      </c>
      <c r="Z1143" s="1">
        <v>1.0</v>
      </c>
    </row>
    <row r="1144">
      <c r="A1144" s="1" t="s">
        <v>3198</v>
      </c>
      <c r="B1144" s="1" t="s">
        <v>2770</v>
      </c>
      <c r="C1144" s="1" t="s">
        <v>2783</v>
      </c>
      <c r="D1144" s="1">
        <v>260.0</v>
      </c>
      <c r="E1144" s="1">
        <v>82.0</v>
      </c>
      <c r="F1144" s="1">
        <v>59.0</v>
      </c>
      <c r="G1144" s="1">
        <v>43.0</v>
      </c>
      <c r="H1144" s="1">
        <v>83.0</v>
      </c>
      <c r="I1144" s="1">
        <v>87.0</v>
      </c>
      <c r="J1144" s="1">
        <v>73.0</v>
      </c>
      <c r="K1144" s="1">
        <v>80.0</v>
      </c>
      <c r="L1144" s="1">
        <v>75.0</v>
      </c>
      <c r="M1144" s="1">
        <v>75.0</v>
      </c>
      <c r="N1144" s="1">
        <v>37.0</v>
      </c>
      <c r="O1144" s="1">
        <v>25.0</v>
      </c>
      <c r="P1144" s="1">
        <v>85.0</v>
      </c>
      <c r="Q1144" s="1">
        <v>46.0</v>
      </c>
      <c r="R1144" s="1">
        <v>51.0</v>
      </c>
      <c r="S1144" s="1">
        <v>85.0</v>
      </c>
      <c r="T1144" s="1">
        <v>96.0</v>
      </c>
      <c r="U1144" s="1">
        <v>96.0</v>
      </c>
      <c r="V1144" s="1">
        <v>50.0</v>
      </c>
      <c r="W1144" s="1">
        <v>30.0</v>
      </c>
      <c r="X1144" s="1">
        <v>83.0</v>
      </c>
      <c r="Y1144" s="1">
        <v>54.0</v>
      </c>
      <c r="Z1144" s="1">
        <v>1.0</v>
      </c>
    </row>
    <row r="1145">
      <c r="A1145" s="1" t="s">
        <v>1453</v>
      </c>
      <c r="B1145" s="1" t="s">
        <v>2770</v>
      </c>
      <c r="C1145" s="1" t="s">
        <v>2166</v>
      </c>
      <c r="D1145" s="1" t="s">
        <v>3199</v>
      </c>
      <c r="E1145" s="1" t="s">
        <v>229</v>
      </c>
      <c r="F1145" s="1" t="s">
        <v>207</v>
      </c>
      <c r="G1145" s="1" t="s">
        <v>1906</v>
      </c>
      <c r="H1145" s="1">
        <v>90.0</v>
      </c>
      <c r="I1145" s="1" t="s">
        <v>1688</v>
      </c>
      <c r="J1145" s="1" t="s">
        <v>396</v>
      </c>
      <c r="K1145" s="1" t="s">
        <v>633</v>
      </c>
      <c r="L1145" s="1" t="s">
        <v>427</v>
      </c>
      <c r="M1145" s="1" t="s">
        <v>878</v>
      </c>
      <c r="N1145" s="1" t="s">
        <v>639</v>
      </c>
      <c r="O1145" s="1" t="s">
        <v>1358</v>
      </c>
      <c r="P1145" s="1">
        <v>85.0</v>
      </c>
      <c r="Q1145" s="1" t="s">
        <v>450</v>
      </c>
      <c r="R1145" s="1" t="s">
        <v>1386</v>
      </c>
      <c r="S1145" s="1">
        <v>84.0</v>
      </c>
      <c r="T1145" s="1" t="s">
        <v>437</v>
      </c>
      <c r="U1145" s="1" t="s">
        <v>128</v>
      </c>
      <c r="V1145" s="1" t="s">
        <v>715</v>
      </c>
      <c r="W1145" s="1" t="s">
        <v>519</v>
      </c>
      <c r="X1145" s="1">
        <v>83.0</v>
      </c>
      <c r="Y1145" s="1" t="s">
        <v>404</v>
      </c>
      <c r="Z1145" s="1">
        <v>1.0</v>
      </c>
    </row>
    <row r="1146">
      <c r="A1146" s="1" t="s">
        <v>3200</v>
      </c>
      <c r="B1146" s="1" t="s">
        <v>2770</v>
      </c>
      <c r="C1146" s="1" t="s">
        <v>2115</v>
      </c>
      <c r="D1146" s="1">
        <v>253.0</v>
      </c>
      <c r="E1146" s="1">
        <v>80.0</v>
      </c>
      <c r="F1146" s="1">
        <v>80.0</v>
      </c>
      <c r="G1146" s="1">
        <v>87.0</v>
      </c>
      <c r="H1146" s="1">
        <v>95.0</v>
      </c>
      <c r="I1146" s="1">
        <v>57.0</v>
      </c>
      <c r="J1146" s="1">
        <v>71.0</v>
      </c>
      <c r="K1146" s="1">
        <v>78.0</v>
      </c>
      <c r="L1146" s="1">
        <v>60.0</v>
      </c>
      <c r="M1146" s="1">
        <v>82.0</v>
      </c>
      <c r="N1146" s="1">
        <v>53.0</v>
      </c>
      <c r="O1146" s="1">
        <v>50.0</v>
      </c>
      <c r="P1146" s="1">
        <v>86.0</v>
      </c>
      <c r="Q1146" s="1">
        <v>53.0</v>
      </c>
      <c r="R1146" s="1">
        <v>41.0</v>
      </c>
      <c r="S1146" s="1">
        <v>93.0</v>
      </c>
      <c r="T1146" s="1">
        <v>93.0</v>
      </c>
      <c r="U1146" s="1">
        <v>80.0</v>
      </c>
      <c r="V1146" s="1">
        <v>55.0</v>
      </c>
      <c r="W1146" s="1">
        <v>40.0</v>
      </c>
      <c r="X1146" s="1">
        <v>78.0</v>
      </c>
      <c r="Y1146" s="1">
        <v>83.0</v>
      </c>
      <c r="Z1146" s="1">
        <v>1.0</v>
      </c>
    </row>
    <row r="1147">
      <c r="A1147" s="1" t="s">
        <v>2219</v>
      </c>
      <c r="B1147" s="1" t="s">
        <v>2770</v>
      </c>
      <c r="C1147" s="1" t="s">
        <v>2776</v>
      </c>
      <c r="D1147" s="1" t="s">
        <v>3096</v>
      </c>
      <c r="E1147" s="1" t="s">
        <v>1906</v>
      </c>
      <c r="F1147" s="1" t="s">
        <v>437</v>
      </c>
      <c r="G1147" s="1" t="s">
        <v>1143</v>
      </c>
      <c r="H1147" s="1" t="s">
        <v>1098</v>
      </c>
      <c r="I1147" s="1" t="s">
        <v>2286</v>
      </c>
      <c r="J1147" s="1" t="s">
        <v>220</v>
      </c>
      <c r="K1147" s="1" t="s">
        <v>1121</v>
      </c>
      <c r="L1147" s="1" t="s">
        <v>1688</v>
      </c>
      <c r="M1147" s="1" t="s">
        <v>265</v>
      </c>
      <c r="N1147" s="1" t="s">
        <v>3201</v>
      </c>
      <c r="O1147" s="1" t="s">
        <v>344</v>
      </c>
      <c r="P1147" s="1" t="s">
        <v>82</v>
      </c>
      <c r="Q1147" s="1" t="s">
        <v>2680</v>
      </c>
      <c r="R1147" s="1" t="s">
        <v>436</v>
      </c>
      <c r="S1147" s="1" t="s">
        <v>322</v>
      </c>
      <c r="T1147" s="1" t="s">
        <v>332</v>
      </c>
      <c r="U1147" s="1" t="s">
        <v>35</v>
      </c>
      <c r="V1147" s="1" t="s">
        <v>1069</v>
      </c>
      <c r="W1147" s="1" t="s">
        <v>2953</v>
      </c>
      <c r="X1147" s="1" t="s">
        <v>493</v>
      </c>
      <c r="Y1147" s="1" t="s">
        <v>242</v>
      </c>
      <c r="Z1147" s="1">
        <v>1.0</v>
      </c>
    </row>
    <row r="1148">
      <c r="A1148" s="1" t="s">
        <v>3202</v>
      </c>
      <c r="B1148" s="1" t="s">
        <v>2770</v>
      </c>
      <c r="C1148" s="1" t="s">
        <v>1579</v>
      </c>
      <c r="D1148" s="1">
        <v>250.0</v>
      </c>
      <c r="E1148" s="1">
        <v>70.0</v>
      </c>
      <c r="F1148" s="1">
        <v>80.0</v>
      </c>
      <c r="G1148" s="1">
        <v>85.0</v>
      </c>
      <c r="H1148" s="1">
        <v>70.0</v>
      </c>
      <c r="I1148" s="1">
        <v>70.0</v>
      </c>
      <c r="J1148" s="1">
        <v>75.0</v>
      </c>
      <c r="K1148" s="1">
        <v>78.0</v>
      </c>
      <c r="L1148" s="1">
        <v>82.0</v>
      </c>
      <c r="M1148" s="1">
        <v>80.0</v>
      </c>
      <c r="N1148" s="1">
        <v>78.0</v>
      </c>
      <c r="O1148" s="1">
        <v>65.0</v>
      </c>
      <c r="P1148" s="1">
        <v>80.0</v>
      </c>
      <c r="Q1148" s="1">
        <v>70.0</v>
      </c>
      <c r="R1148" s="1">
        <v>60.0</v>
      </c>
      <c r="S1148" s="1">
        <v>80.0</v>
      </c>
      <c r="T1148" s="1">
        <v>70.0</v>
      </c>
      <c r="U1148" s="1">
        <v>70.0</v>
      </c>
      <c r="V1148" s="1">
        <v>74.0</v>
      </c>
      <c r="W1148" s="1">
        <v>67.0</v>
      </c>
      <c r="X1148" s="1">
        <v>95.0</v>
      </c>
      <c r="Y1148" s="1">
        <v>88.0</v>
      </c>
      <c r="Z1148" s="1">
        <v>1.0</v>
      </c>
    </row>
    <row r="1149">
      <c r="A1149" s="1" t="s">
        <v>3203</v>
      </c>
      <c r="B1149" s="1" t="s">
        <v>2770</v>
      </c>
      <c r="C1149" s="1" t="s">
        <v>2994</v>
      </c>
      <c r="D1149" s="1">
        <v>221.0</v>
      </c>
      <c r="E1149" s="1">
        <v>87.0</v>
      </c>
      <c r="F1149" s="1">
        <v>82.0</v>
      </c>
      <c r="G1149" s="1">
        <v>85.0</v>
      </c>
      <c r="H1149" s="1">
        <v>81.0</v>
      </c>
      <c r="I1149" s="1">
        <v>90.0</v>
      </c>
      <c r="J1149" s="1">
        <v>54.0</v>
      </c>
      <c r="K1149" s="1">
        <v>26.0</v>
      </c>
      <c r="L1149" s="1">
        <v>54.0</v>
      </c>
      <c r="M1149" s="1">
        <v>88.0</v>
      </c>
      <c r="N1149" s="1">
        <v>60.0</v>
      </c>
      <c r="O1149" s="1">
        <v>58.0</v>
      </c>
      <c r="P1149" s="1">
        <v>85.0</v>
      </c>
      <c r="Q1149" s="1">
        <v>44.0</v>
      </c>
      <c r="R1149" s="1">
        <v>40.0</v>
      </c>
      <c r="S1149" s="1">
        <v>93.0</v>
      </c>
      <c r="T1149" s="1">
        <v>94.0</v>
      </c>
      <c r="U1149" s="1">
        <v>79.0</v>
      </c>
      <c r="V1149" s="1">
        <v>71.0</v>
      </c>
      <c r="W1149" s="1">
        <v>60.0</v>
      </c>
      <c r="X1149" s="1">
        <v>72.0</v>
      </c>
      <c r="Y1149" s="1">
        <v>83.0</v>
      </c>
      <c r="Z1149" s="1">
        <v>1.0</v>
      </c>
    </row>
    <row r="1150">
      <c r="A1150" s="1" t="s">
        <v>3204</v>
      </c>
      <c r="B1150" s="1" t="s">
        <v>2770</v>
      </c>
      <c r="C1150" s="1" t="s">
        <v>2115</v>
      </c>
      <c r="D1150" s="1">
        <v>253.0</v>
      </c>
      <c r="E1150" s="1">
        <v>78.0</v>
      </c>
      <c r="F1150" s="1">
        <v>68.0</v>
      </c>
      <c r="G1150" s="1">
        <v>88.0</v>
      </c>
      <c r="H1150" s="1">
        <v>68.0</v>
      </c>
      <c r="I1150" s="1">
        <v>58.0</v>
      </c>
      <c r="J1150" s="1">
        <v>75.0</v>
      </c>
      <c r="K1150" s="1">
        <v>85.0</v>
      </c>
      <c r="L1150" s="1">
        <v>61.0</v>
      </c>
      <c r="M1150" s="1">
        <v>87.0</v>
      </c>
      <c r="N1150" s="1">
        <v>73.0</v>
      </c>
      <c r="O1150" s="1">
        <v>55.0</v>
      </c>
      <c r="P1150" s="1">
        <v>89.0</v>
      </c>
      <c r="Q1150" s="1">
        <v>42.0</v>
      </c>
      <c r="R1150" s="1">
        <v>44.0</v>
      </c>
      <c r="S1150" s="1">
        <v>85.0</v>
      </c>
      <c r="T1150" s="1">
        <v>93.0</v>
      </c>
      <c r="U1150" s="1">
        <v>90.0</v>
      </c>
      <c r="V1150" s="1">
        <v>72.0</v>
      </c>
      <c r="W1150" s="1">
        <v>57.0</v>
      </c>
      <c r="X1150" s="1">
        <v>83.0</v>
      </c>
      <c r="Y1150" s="1">
        <v>78.0</v>
      </c>
      <c r="Z1150" s="1">
        <v>1.0</v>
      </c>
    </row>
    <row r="1151">
      <c r="A1151" s="1" t="s">
        <v>3205</v>
      </c>
      <c r="B1151" s="1" t="s">
        <v>2770</v>
      </c>
      <c r="C1151" s="1" t="s">
        <v>2994</v>
      </c>
      <c r="D1151" s="1">
        <v>260.0</v>
      </c>
      <c r="E1151" s="1">
        <v>84.0</v>
      </c>
      <c r="F1151" s="1">
        <v>63.0</v>
      </c>
      <c r="G1151" s="1">
        <v>75.0</v>
      </c>
      <c r="H1151" s="1">
        <v>95.0</v>
      </c>
      <c r="I1151" s="1">
        <v>75.0</v>
      </c>
      <c r="J1151" s="1">
        <v>68.0</v>
      </c>
      <c r="K1151" s="1">
        <v>78.0</v>
      </c>
      <c r="L1151" s="1">
        <v>53.0</v>
      </c>
      <c r="M1151" s="1">
        <v>82.0</v>
      </c>
      <c r="N1151" s="1">
        <v>45.0</v>
      </c>
      <c r="O1151" s="1">
        <v>27.0</v>
      </c>
      <c r="P1151" s="1">
        <v>82.0</v>
      </c>
      <c r="Q1151" s="1">
        <v>61.0</v>
      </c>
      <c r="R1151" s="1">
        <v>37.0</v>
      </c>
      <c r="S1151" s="1">
        <v>84.0</v>
      </c>
      <c r="T1151" s="1">
        <v>96.0</v>
      </c>
      <c r="U1151" s="1">
        <v>81.0</v>
      </c>
      <c r="V1151" s="1">
        <v>60.0</v>
      </c>
      <c r="W1151" s="1">
        <v>47.0</v>
      </c>
      <c r="X1151" s="1">
        <v>87.0</v>
      </c>
      <c r="Y1151" s="1">
        <v>77.0</v>
      </c>
      <c r="Z1151" s="1">
        <v>1.0</v>
      </c>
    </row>
    <row r="1152">
      <c r="A1152" s="1" t="s">
        <v>2701</v>
      </c>
      <c r="B1152" s="1" t="s">
        <v>2770</v>
      </c>
      <c r="C1152" s="1" t="s">
        <v>2773</v>
      </c>
      <c r="D1152" s="1" t="s">
        <v>3206</v>
      </c>
      <c r="E1152" s="1" t="s">
        <v>133</v>
      </c>
      <c r="F1152" s="1" t="s">
        <v>1927</v>
      </c>
      <c r="G1152" s="1" t="s">
        <v>2584</v>
      </c>
      <c r="H1152" s="1">
        <v>90.0</v>
      </c>
      <c r="I1152" s="1" t="s">
        <v>567</v>
      </c>
      <c r="J1152" s="1" t="s">
        <v>597</v>
      </c>
      <c r="K1152" s="1" t="s">
        <v>220</v>
      </c>
      <c r="L1152" s="1" t="s">
        <v>2069</v>
      </c>
      <c r="M1152" s="1" t="s">
        <v>363</v>
      </c>
      <c r="N1152" s="1" t="s">
        <v>624</v>
      </c>
      <c r="O1152" s="1">
        <v>30.0</v>
      </c>
      <c r="P1152" s="1">
        <v>88.0</v>
      </c>
      <c r="Q1152" s="1" t="s">
        <v>516</v>
      </c>
      <c r="R1152" s="1">
        <v>43.0</v>
      </c>
      <c r="S1152" s="1" t="s">
        <v>188</v>
      </c>
      <c r="T1152" s="1" t="s">
        <v>300</v>
      </c>
      <c r="U1152" s="1">
        <v>70.0</v>
      </c>
      <c r="V1152" s="1" t="s">
        <v>1144</v>
      </c>
      <c r="W1152" s="1" t="s">
        <v>3207</v>
      </c>
      <c r="X1152" s="1" t="s">
        <v>1164</v>
      </c>
      <c r="Y1152" s="1" t="s">
        <v>2616</v>
      </c>
      <c r="Z1152" s="1">
        <v>1.0</v>
      </c>
    </row>
    <row r="1153">
      <c r="A1153" s="1" t="s">
        <v>3208</v>
      </c>
      <c r="B1153" s="1" t="s">
        <v>2770</v>
      </c>
      <c r="C1153" s="1" t="s">
        <v>2166</v>
      </c>
      <c r="D1153" s="1" t="s">
        <v>3209</v>
      </c>
      <c r="E1153" s="1" t="s">
        <v>582</v>
      </c>
      <c r="F1153" s="1" t="s">
        <v>519</v>
      </c>
      <c r="G1153" s="1" t="s">
        <v>39</v>
      </c>
      <c r="H1153" s="1" t="s">
        <v>597</v>
      </c>
      <c r="I1153" s="1" t="s">
        <v>2441</v>
      </c>
      <c r="J1153" s="1" t="s">
        <v>760</v>
      </c>
      <c r="K1153" s="1">
        <v>80.0</v>
      </c>
      <c r="L1153" s="1" t="s">
        <v>755</v>
      </c>
      <c r="M1153" s="1" t="s">
        <v>1996</v>
      </c>
      <c r="N1153" s="1" t="s">
        <v>1385</v>
      </c>
      <c r="O1153" s="1" t="s">
        <v>361</v>
      </c>
      <c r="P1153" s="1" t="s">
        <v>584</v>
      </c>
      <c r="Q1153" s="1" t="s">
        <v>314</v>
      </c>
      <c r="R1153" s="1" t="s">
        <v>3049</v>
      </c>
      <c r="S1153" s="1" t="s">
        <v>322</v>
      </c>
      <c r="T1153" s="1" t="s">
        <v>893</v>
      </c>
      <c r="U1153" s="1" t="s">
        <v>2535</v>
      </c>
      <c r="V1153" s="1" t="s">
        <v>1151</v>
      </c>
      <c r="W1153" s="1" t="s">
        <v>1915</v>
      </c>
      <c r="X1153" s="1" t="s">
        <v>1202</v>
      </c>
      <c r="Y1153" s="1" t="s">
        <v>1189</v>
      </c>
      <c r="Z1153" s="1">
        <v>1.0</v>
      </c>
    </row>
    <row r="1154">
      <c r="A1154" s="1" t="s">
        <v>3210</v>
      </c>
      <c r="B1154" s="1" t="s">
        <v>2770</v>
      </c>
      <c r="C1154" s="1" t="s">
        <v>2327</v>
      </c>
      <c r="D1154" s="1">
        <v>248.0</v>
      </c>
      <c r="E1154" s="1">
        <v>84.0</v>
      </c>
      <c r="F1154" s="1">
        <v>70.0</v>
      </c>
      <c r="G1154" s="1">
        <v>87.0</v>
      </c>
      <c r="H1154" s="1">
        <v>90.0</v>
      </c>
      <c r="I1154" s="1">
        <v>61.0</v>
      </c>
      <c r="J1154" s="1">
        <v>64.0</v>
      </c>
      <c r="K1154" s="1">
        <v>25.0</v>
      </c>
      <c r="L1154" s="1">
        <v>47.0</v>
      </c>
      <c r="M1154" s="1">
        <v>92.0</v>
      </c>
      <c r="N1154" s="1">
        <v>57.0</v>
      </c>
      <c r="O1154" s="1">
        <v>32.0</v>
      </c>
      <c r="P1154" s="1">
        <v>74.0</v>
      </c>
      <c r="Q1154" s="1">
        <v>39.0</v>
      </c>
      <c r="R1154" s="1">
        <v>60.0</v>
      </c>
      <c r="S1154" s="1">
        <v>84.0</v>
      </c>
      <c r="T1154" s="1">
        <v>97.0</v>
      </c>
      <c r="U1154" s="1">
        <v>90.0</v>
      </c>
      <c r="V1154" s="1">
        <v>69.0</v>
      </c>
      <c r="W1154" s="1">
        <v>57.0</v>
      </c>
      <c r="X1154" s="1">
        <v>81.0</v>
      </c>
      <c r="Y1154" s="1">
        <v>83.0</v>
      </c>
      <c r="Z1154" s="1">
        <v>1.0</v>
      </c>
    </row>
    <row r="1155">
      <c r="A1155" s="1" t="s">
        <v>2343</v>
      </c>
      <c r="B1155" s="1" t="s">
        <v>2770</v>
      </c>
      <c r="C1155" s="1" t="s">
        <v>2327</v>
      </c>
      <c r="D1155" s="1">
        <v>246.0</v>
      </c>
      <c r="E1155" s="1">
        <v>75.0</v>
      </c>
      <c r="F1155" s="1">
        <v>70.0</v>
      </c>
      <c r="G1155" s="1">
        <v>87.0</v>
      </c>
      <c r="H1155" s="1">
        <v>90.0</v>
      </c>
      <c r="I1155" s="1">
        <v>78.0</v>
      </c>
      <c r="J1155" s="1">
        <v>78.0</v>
      </c>
      <c r="K1155" s="1">
        <v>82.0</v>
      </c>
      <c r="L1155" s="1">
        <v>57.0</v>
      </c>
      <c r="M1155" s="1">
        <v>60.0</v>
      </c>
      <c r="N1155" s="1">
        <v>60.0</v>
      </c>
      <c r="O1155" s="1">
        <v>59.0</v>
      </c>
      <c r="P1155" s="1">
        <v>92.0</v>
      </c>
      <c r="Q1155" s="1">
        <v>42.0</v>
      </c>
      <c r="R1155" s="1">
        <v>47.0</v>
      </c>
      <c r="S1155" s="1">
        <v>92.0</v>
      </c>
      <c r="T1155" s="1">
        <v>70.0</v>
      </c>
      <c r="U1155" s="1">
        <v>93.0</v>
      </c>
      <c r="V1155" s="1">
        <v>63.0</v>
      </c>
      <c r="W1155" s="1">
        <v>46.0</v>
      </c>
      <c r="X1155" s="1">
        <v>90.0</v>
      </c>
      <c r="Y1155" s="1">
        <v>81.0</v>
      </c>
      <c r="Z1155" s="1">
        <v>1.0</v>
      </c>
    </row>
    <row r="1156">
      <c r="A1156" s="1" t="s">
        <v>3211</v>
      </c>
      <c r="B1156" s="1" t="s">
        <v>2770</v>
      </c>
      <c r="C1156" s="1" t="s">
        <v>2327</v>
      </c>
      <c r="D1156" s="1">
        <v>246.0</v>
      </c>
      <c r="E1156" s="1">
        <v>85.0</v>
      </c>
      <c r="F1156" s="1">
        <v>80.0</v>
      </c>
      <c r="G1156" s="1">
        <v>80.0</v>
      </c>
      <c r="H1156" s="1">
        <v>82.0</v>
      </c>
      <c r="I1156" s="1">
        <v>88.0</v>
      </c>
      <c r="J1156" s="1">
        <v>48.0</v>
      </c>
      <c r="K1156" s="1">
        <v>25.0</v>
      </c>
      <c r="L1156" s="1">
        <v>48.0</v>
      </c>
      <c r="M1156" s="1">
        <v>92.0</v>
      </c>
      <c r="N1156" s="1">
        <v>58.0</v>
      </c>
      <c r="O1156" s="1">
        <v>33.0</v>
      </c>
      <c r="P1156" s="1">
        <v>77.0</v>
      </c>
      <c r="Q1156" s="1">
        <v>62.0</v>
      </c>
      <c r="R1156" s="1">
        <v>38.0</v>
      </c>
      <c r="S1156" s="1">
        <v>88.0</v>
      </c>
      <c r="T1156" s="1">
        <v>75.0</v>
      </c>
      <c r="U1156" s="1">
        <v>96.0</v>
      </c>
      <c r="V1156" s="1">
        <v>70.0</v>
      </c>
      <c r="W1156" s="1">
        <v>50.0</v>
      </c>
      <c r="X1156" s="1">
        <v>91.0</v>
      </c>
      <c r="Y1156" s="1">
        <v>80.0</v>
      </c>
      <c r="Z1156" s="1">
        <v>1.0</v>
      </c>
    </row>
    <row r="1157">
      <c r="A1157" s="1" t="s">
        <v>3212</v>
      </c>
      <c r="B1157" s="1" t="s">
        <v>2770</v>
      </c>
      <c r="C1157" s="1" t="s">
        <v>2327</v>
      </c>
      <c r="D1157" s="1">
        <v>248.0</v>
      </c>
      <c r="E1157" s="1">
        <v>86.0</v>
      </c>
      <c r="F1157" s="1">
        <v>67.0</v>
      </c>
      <c r="G1157" s="1">
        <v>87.0</v>
      </c>
      <c r="H1157" s="1">
        <v>93.0</v>
      </c>
      <c r="I1157" s="1">
        <v>79.0</v>
      </c>
      <c r="J1157" s="1">
        <v>80.0</v>
      </c>
      <c r="K1157" s="1">
        <v>78.0</v>
      </c>
      <c r="L1157" s="1">
        <v>60.0</v>
      </c>
      <c r="M1157" s="1">
        <v>25.0</v>
      </c>
      <c r="N1157" s="1">
        <v>47.0</v>
      </c>
      <c r="O1157" s="1">
        <v>29.0</v>
      </c>
      <c r="P1157" s="1">
        <v>88.0</v>
      </c>
      <c r="Q1157" s="1">
        <v>39.0</v>
      </c>
      <c r="R1157" s="1">
        <v>60.0</v>
      </c>
      <c r="S1157" s="1">
        <v>88.0</v>
      </c>
      <c r="T1157" s="1">
        <v>71.0</v>
      </c>
      <c r="U1157" s="1">
        <v>96.0</v>
      </c>
      <c r="V1157" s="1">
        <v>69.0</v>
      </c>
      <c r="W1157" s="1">
        <v>57.0</v>
      </c>
      <c r="X1157" s="1">
        <v>91.0</v>
      </c>
      <c r="Y1157" s="1">
        <v>83.0</v>
      </c>
      <c r="Z1157" s="1">
        <v>1.0</v>
      </c>
    </row>
    <row r="1158">
      <c r="A1158" s="1" t="s">
        <v>3213</v>
      </c>
      <c r="B1158" s="1" t="s">
        <v>2770</v>
      </c>
      <c r="C1158" s="1" t="s">
        <v>2783</v>
      </c>
      <c r="D1158" s="1">
        <v>236.0</v>
      </c>
      <c r="E1158" s="1">
        <v>94.0</v>
      </c>
      <c r="F1158" s="1">
        <v>69.0</v>
      </c>
      <c r="G1158" s="1">
        <v>57.0</v>
      </c>
      <c r="H1158" s="1">
        <v>80.0</v>
      </c>
      <c r="I1158" s="1">
        <v>99.0</v>
      </c>
      <c r="J1158" s="1">
        <v>56.0</v>
      </c>
      <c r="K1158" s="1">
        <v>25.0</v>
      </c>
      <c r="L1158" s="1">
        <v>59.0</v>
      </c>
      <c r="M1158" s="1">
        <v>71.0</v>
      </c>
      <c r="N1158" s="1">
        <v>49.0</v>
      </c>
      <c r="O1158" s="1">
        <v>41.0</v>
      </c>
      <c r="P1158" s="1">
        <v>84.0</v>
      </c>
      <c r="Q1158" s="1">
        <v>49.0</v>
      </c>
      <c r="R1158" s="1">
        <v>45.0</v>
      </c>
      <c r="S1158" s="1">
        <v>81.0</v>
      </c>
      <c r="T1158" s="1">
        <v>75.0</v>
      </c>
      <c r="U1158" s="1">
        <v>92.0</v>
      </c>
      <c r="V1158" s="1">
        <v>60.0</v>
      </c>
      <c r="W1158" s="1">
        <v>40.0</v>
      </c>
      <c r="X1158" s="1">
        <v>77.0</v>
      </c>
      <c r="Y1158" s="1">
        <v>72.0</v>
      </c>
      <c r="Z1158" s="1">
        <v>1.0</v>
      </c>
    </row>
    <row r="1159">
      <c r="A1159" s="1" t="s">
        <v>3214</v>
      </c>
      <c r="B1159" s="1" t="s">
        <v>2770</v>
      </c>
      <c r="C1159" s="1" t="s">
        <v>2327</v>
      </c>
      <c r="D1159" s="1">
        <v>246.0</v>
      </c>
      <c r="E1159" s="1">
        <v>81.0</v>
      </c>
      <c r="F1159" s="1">
        <v>56.0</v>
      </c>
      <c r="G1159" s="1">
        <v>66.0</v>
      </c>
      <c r="H1159" s="1">
        <v>94.0</v>
      </c>
      <c r="I1159" s="1">
        <v>66.0</v>
      </c>
      <c r="J1159" s="1">
        <v>80.0</v>
      </c>
      <c r="K1159" s="1">
        <v>83.0</v>
      </c>
      <c r="L1159" s="1">
        <v>60.0</v>
      </c>
      <c r="M1159" s="1">
        <v>82.0</v>
      </c>
      <c r="N1159" s="1">
        <v>47.0</v>
      </c>
      <c r="O1159" s="1">
        <v>25.0</v>
      </c>
      <c r="P1159" s="1">
        <v>83.0</v>
      </c>
      <c r="Q1159" s="1">
        <v>50.0</v>
      </c>
      <c r="R1159" s="1">
        <v>45.0</v>
      </c>
      <c r="S1159" s="1">
        <v>93.0</v>
      </c>
      <c r="T1159" s="1">
        <v>94.0</v>
      </c>
      <c r="U1159" s="1">
        <v>83.0</v>
      </c>
      <c r="V1159" s="1">
        <v>65.0</v>
      </c>
      <c r="W1159" s="1">
        <v>50.0</v>
      </c>
      <c r="X1159" s="1">
        <v>90.0</v>
      </c>
      <c r="Y1159" s="1">
        <v>77.0</v>
      </c>
      <c r="Z1159" s="1">
        <v>1.0</v>
      </c>
    </row>
    <row r="1160">
      <c r="A1160" s="1" t="s">
        <v>2675</v>
      </c>
      <c r="B1160" s="1" t="s">
        <v>2770</v>
      </c>
      <c r="C1160" s="1" t="s">
        <v>1534</v>
      </c>
      <c r="D1160" s="1">
        <v>244.0</v>
      </c>
      <c r="E1160" s="1">
        <v>65.0</v>
      </c>
      <c r="F1160" s="1">
        <v>65.0</v>
      </c>
      <c r="G1160" s="1">
        <v>75.0</v>
      </c>
      <c r="H1160" s="1">
        <v>45.0</v>
      </c>
      <c r="I1160" s="1">
        <v>57.0</v>
      </c>
      <c r="J1160" s="1">
        <v>75.0</v>
      </c>
      <c r="K1160" s="1">
        <v>80.0</v>
      </c>
      <c r="L1160" s="1">
        <v>56.0</v>
      </c>
      <c r="M1160" s="1">
        <v>65.0</v>
      </c>
      <c r="N1160" s="1">
        <v>80.0</v>
      </c>
      <c r="O1160" s="1">
        <v>70.0</v>
      </c>
      <c r="P1160" s="1">
        <v>71.0</v>
      </c>
      <c r="Q1160" s="1">
        <v>85.0</v>
      </c>
      <c r="R1160" s="1">
        <v>85.0</v>
      </c>
      <c r="S1160" s="1">
        <v>78.0</v>
      </c>
      <c r="T1160" s="1">
        <v>80.0</v>
      </c>
      <c r="U1160" s="1">
        <v>92.0</v>
      </c>
      <c r="V1160" s="1">
        <v>80.0</v>
      </c>
      <c r="W1160" s="1">
        <v>76.0</v>
      </c>
      <c r="X1160" s="1">
        <v>91.0</v>
      </c>
      <c r="Y1160" s="1">
        <v>80.0</v>
      </c>
      <c r="Z1160" s="1">
        <v>1.0</v>
      </c>
    </row>
    <row r="1161">
      <c r="A1161" s="1" t="s">
        <v>26</v>
      </c>
      <c r="B1161" s="1" t="s">
        <v>2770</v>
      </c>
      <c r="C1161" s="1" t="s">
        <v>2773</v>
      </c>
      <c r="D1161" s="1" t="s">
        <v>3097</v>
      </c>
      <c r="E1161" s="1" t="s">
        <v>706</v>
      </c>
      <c r="F1161" s="1" t="s">
        <v>404</v>
      </c>
      <c r="G1161" s="1" t="s">
        <v>1054</v>
      </c>
      <c r="H1161" s="1" t="s">
        <v>1155</v>
      </c>
      <c r="I1161" s="1" t="s">
        <v>840</v>
      </c>
      <c r="J1161" s="1" t="s">
        <v>434</v>
      </c>
      <c r="K1161" s="1" t="s">
        <v>1226</v>
      </c>
      <c r="L1161" s="1" t="s">
        <v>1182</v>
      </c>
      <c r="M1161" s="1" t="s">
        <v>2215</v>
      </c>
      <c r="N1161" s="1" t="s">
        <v>1428</v>
      </c>
      <c r="O1161" s="1" t="s">
        <v>3049</v>
      </c>
      <c r="P1161" s="1" t="s">
        <v>1226</v>
      </c>
      <c r="Q1161" s="1" t="s">
        <v>2015</v>
      </c>
      <c r="R1161" s="1">
        <v>45.0</v>
      </c>
      <c r="S1161" s="1" t="s">
        <v>1011</v>
      </c>
      <c r="T1161" s="1" t="s">
        <v>1080</v>
      </c>
      <c r="U1161" s="1" t="s">
        <v>300</v>
      </c>
      <c r="V1161" s="1" t="s">
        <v>2416</v>
      </c>
      <c r="W1161" s="1" t="s">
        <v>1600</v>
      </c>
      <c r="X1161" s="1" t="s">
        <v>342</v>
      </c>
      <c r="Y1161" s="1" t="s">
        <v>1054</v>
      </c>
      <c r="Z1161" s="1">
        <v>1.0</v>
      </c>
    </row>
    <row r="1162">
      <c r="A1162" s="1" t="s">
        <v>3215</v>
      </c>
      <c r="B1162" s="1" t="s">
        <v>2770</v>
      </c>
      <c r="C1162" s="1" t="s">
        <v>2115</v>
      </c>
      <c r="D1162" s="1">
        <v>242.0</v>
      </c>
      <c r="E1162" s="1">
        <v>84.0</v>
      </c>
      <c r="F1162" s="1">
        <v>59.0</v>
      </c>
      <c r="G1162" s="1">
        <v>68.0</v>
      </c>
      <c r="H1162" s="1">
        <v>75.0</v>
      </c>
      <c r="I1162" s="1">
        <v>84.0</v>
      </c>
      <c r="J1162" s="1">
        <v>81.0</v>
      </c>
      <c r="K1162" s="1">
        <v>80.0</v>
      </c>
      <c r="L1162" s="1">
        <v>78.0</v>
      </c>
      <c r="M1162" s="1">
        <v>79.0</v>
      </c>
      <c r="N1162" s="1">
        <v>50.0</v>
      </c>
      <c r="O1162" s="1">
        <v>50.0</v>
      </c>
      <c r="P1162" s="1">
        <v>84.0</v>
      </c>
      <c r="Q1162" s="1">
        <v>72.0</v>
      </c>
      <c r="R1162" s="1">
        <v>67.0</v>
      </c>
      <c r="S1162" s="1">
        <v>84.0</v>
      </c>
      <c r="T1162" s="1">
        <v>80.0</v>
      </c>
      <c r="U1162" s="1">
        <v>91.0</v>
      </c>
      <c r="V1162" s="1">
        <v>74.0</v>
      </c>
      <c r="W1162" s="1">
        <v>64.0</v>
      </c>
      <c r="X1162" s="1">
        <v>90.0</v>
      </c>
      <c r="Y1162" s="1">
        <v>83.0</v>
      </c>
      <c r="Z1162" s="1">
        <v>1.0</v>
      </c>
    </row>
    <row r="1163">
      <c r="A1163" s="1" t="s">
        <v>3216</v>
      </c>
      <c r="B1163" s="1" t="s">
        <v>2770</v>
      </c>
      <c r="C1163" s="1" t="s">
        <v>2851</v>
      </c>
      <c r="D1163" s="1" t="s">
        <v>3217</v>
      </c>
      <c r="E1163" s="1" t="s">
        <v>493</v>
      </c>
      <c r="F1163" s="1" t="s">
        <v>3218</v>
      </c>
      <c r="G1163" s="1" t="s">
        <v>2149</v>
      </c>
      <c r="H1163" s="1" t="s">
        <v>2214</v>
      </c>
      <c r="I1163" s="1" t="s">
        <v>1141</v>
      </c>
      <c r="J1163" s="1" t="s">
        <v>724</v>
      </c>
      <c r="K1163" s="1" t="s">
        <v>1327</v>
      </c>
      <c r="L1163" s="1" t="s">
        <v>1218</v>
      </c>
      <c r="M1163" s="1" t="s">
        <v>55</v>
      </c>
      <c r="N1163" s="1" t="s">
        <v>3219</v>
      </c>
      <c r="O1163" s="1" t="s">
        <v>74</v>
      </c>
      <c r="P1163" s="1" t="s">
        <v>221</v>
      </c>
      <c r="Q1163" s="1" t="s">
        <v>81</v>
      </c>
      <c r="R1163" s="1" t="s">
        <v>2780</v>
      </c>
      <c r="S1163" s="1" t="s">
        <v>3220</v>
      </c>
      <c r="T1163" s="1" t="s">
        <v>345</v>
      </c>
      <c r="U1163" s="1" t="s">
        <v>1625</v>
      </c>
      <c r="V1163" s="1" t="s">
        <v>2161</v>
      </c>
      <c r="W1163" s="1" t="s">
        <v>2937</v>
      </c>
      <c r="X1163" s="1" t="s">
        <v>3221</v>
      </c>
      <c r="Y1163" s="1" t="s">
        <v>1947</v>
      </c>
      <c r="Z1163" s="1">
        <v>1.0</v>
      </c>
    </row>
    <row r="1164">
      <c r="A1164" s="1" t="s">
        <v>3222</v>
      </c>
      <c r="B1164" s="1" t="s">
        <v>2770</v>
      </c>
      <c r="C1164" s="1" t="s">
        <v>2327</v>
      </c>
      <c r="D1164" s="1" t="s">
        <v>3223</v>
      </c>
      <c r="E1164" s="1" t="s">
        <v>182</v>
      </c>
      <c r="F1164" s="1" t="s">
        <v>1160</v>
      </c>
      <c r="G1164" s="1" t="s">
        <v>927</v>
      </c>
      <c r="H1164" s="1" t="s">
        <v>229</v>
      </c>
      <c r="I1164" s="1" t="s">
        <v>760</v>
      </c>
      <c r="J1164" s="1" t="s">
        <v>424</v>
      </c>
      <c r="K1164" s="1" t="s">
        <v>1477</v>
      </c>
      <c r="L1164" s="1" t="s">
        <v>1548</v>
      </c>
      <c r="M1164" s="1" t="s">
        <v>323</v>
      </c>
      <c r="N1164" s="1" t="s">
        <v>437</v>
      </c>
      <c r="O1164" s="1" t="s">
        <v>1815</v>
      </c>
      <c r="P1164" s="1" t="s">
        <v>614</v>
      </c>
      <c r="Q1164" s="1" t="s">
        <v>727</v>
      </c>
      <c r="R1164" s="1">
        <v>42.0</v>
      </c>
      <c r="S1164" s="1" t="s">
        <v>225</v>
      </c>
      <c r="T1164" s="1" t="s">
        <v>204</v>
      </c>
      <c r="U1164" s="1" t="s">
        <v>2055</v>
      </c>
      <c r="V1164" s="1" t="s">
        <v>1753</v>
      </c>
      <c r="W1164" s="1">
        <v>55.0</v>
      </c>
      <c r="X1164" s="1" t="s">
        <v>520</v>
      </c>
      <c r="Y1164" s="1" t="s">
        <v>1627</v>
      </c>
      <c r="Z1164" s="1">
        <v>1.0</v>
      </c>
    </row>
    <row r="1165">
      <c r="A1165" s="1" t="s">
        <v>3224</v>
      </c>
      <c r="B1165" s="1" t="s">
        <v>2770</v>
      </c>
      <c r="C1165" s="1" t="s">
        <v>2327</v>
      </c>
      <c r="D1165" s="1">
        <v>239.0</v>
      </c>
      <c r="E1165" s="1">
        <v>87.0</v>
      </c>
      <c r="F1165" s="1">
        <v>74.0</v>
      </c>
      <c r="G1165" s="1">
        <v>73.0</v>
      </c>
      <c r="H1165" s="1">
        <v>81.0</v>
      </c>
      <c r="I1165" s="1">
        <v>87.0</v>
      </c>
      <c r="J1165" s="1">
        <v>90.0</v>
      </c>
      <c r="K1165" s="1">
        <v>45.0</v>
      </c>
      <c r="L1165" s="1">
        <v>72.0</v>
      </c>
      <c r="M1165" s="1">
        <v>76.0</v>
      </c>
      <c r="N1165" s="1">
        <v>42.0</v>
      </c>
      <c r="O1165" s="1">
        <v>30.0</v>
      </c>
      <c r="P1165" s="1">
        <v>88.0</v>
      </c>
      <c r="Q1165" s="1">
        <v>40.0</v>
      </c>
      <c r="R1165" s="1">
        <v>43.0</v>
      </c>
      <c r="S1165" s="1">
        <v>91.0</v>
      </c>
      <c r="T1165" s="1">
        <v>80.0</v>
      </c>
      <c r="U1165" s="1">
        <v>92.0</v>
      </c>
      <c r="V1165" s="1">
        <v>70.0</v>
      </c>
      <c r="W1165" s="1">
        <v>60.0</v>
      </c>
      <c r="X1165" s="1">
        <v>92.0</v>
      </c>
      <c r="Y1165" s="1">
        <v>80.0</v>
      </c>
      <c r="Z1165" s="1">
        <v>1.0</v>
      </c>
    </row>
    <row r="1166">
      <c r="A1166" s="1" t="s">
        <v>3225</v>
      </c>
      <c r="B1166" s="1" t="s">
        <v>2770</v>
      </c>
      <c r="C1166" s="1" t="s">
        <v>2994</v>
      </c>
      <c r="D1166" s="1">
        <v>239.0</v>
      </c>
      <c r="E1166" s="1">
        <v>86.0</v>
      </c>
      <c r="F1166" s="1">
        <v>79.0</v>
      </c>
      <c r="G1166" s="1">
        <v>67.0</v>
      </c>
      <c r="H1166" s="1">
        <v>87.0</v>
      </c>
      <c r="I1166" s="1">
        <v>79.0</v>
      </c>
      <c r="J1166" s="1">
        <v>79.0</v>
      </c>
      <c r="K1166" s="1">
        <v>39.0</v>
      </c>
      <c r="L1166" s="1">
        <v>80.0</v>
      </c>
      <c r="M1166" s="1">
        <v>59.0</v>
      </c>
      <c r="N1166" s="1">
        <v>59.0</v>
      </c>
      <c r="O1166" s="1">
        <v>43.0</v>
      </c>
      <c r="P1166" s="1">
        <v>89.0</v>
      </c>
      <c r="Q1166" s="1">
        <v>39.0</v>
      </c>
      <c r="R1166" s="1">
        <v>44.0</v>
      </c>
      <c r="S1166" s="1">
        <v>90.0</v>
      </c>
      <c r="T1166" s="1">
        <v>75.0</v>
      </c>
      <c r="U1166" s="1">
        <v>99.0</v>
      </c>
      <c r="V1166" s="1">
        <v>57.0</v>
      </c>
      <c r="W1166" s="1">
        <v>54.0</v>
      </c>
      <c r="X1166" s="1">
        <v>80.0</v>
      </c>
      <c r="Y1166" s="1">
        <v>75.0</v>
      </c>
      <c r="Z1166" s="1">
        <v>1.0</v>
      </c>
    </row>
    <row r="1167">
      <c r="A1167" s="1" t="s">
        <v>2729</v>
      </c>
      <c r="B1167" s="1" t="s">
        <v>2770</v>
      </c>
      <c r="C1167" s="1" t="s">
        <v>3031</v>
      </c>
      <c r="D1167" s="1">
        <v>220.0</v>
      </c>
      <c r="E1167" s="1">
        <v>99.0</v>
      </c>
      <c r="F1167" s="1">
        <v>84.0</v>
      </c>
      <c r="G1167" s="1">
        <v>80.0</v>
      </c>
      <c r="H1167" s="1">
        <v>95.0</v>
      </c>
      <c r="I1167" s="1">
        <v>74.0</v>
      </c>
      <c r="J1167" s="1">
        <v>85.0</v>
      </c>
      <c r="K1167" s="1">
        <v>83.0</v>
      </c>
      <c r="L1167" s="1">
        <v>88.0</v>
      </c>
      <c r="M1167" s="1">
        <v>44.0</v>
      </c>
      <c r="N1167" s="1">
        <v>62.0</v>
      </c>
      <c r="O1167" s="1">
        <v>51.0</v>
      </c>
      <c r="P1167" s="1">
        <v>87.0</v>
      </c>
      <c r="Q1167" s="1">
        <v>66.0</v>
      </c>
      <c r="R1167" s="1">
        <v>42.0</v>
      </c>
      <c r="S1167" s="1">
        <v>89.0</v>
      </c>
      <c r="T1167" s="1">
        <v>55.0</v>
      </c>
      <c r="U1167" s="1">
        <v>79.0</v>
      </c>
      <c r="V1167" s="1">
        <v>68.0</v>
      </c>
      <c r="W1167" s="1">
        <v>52.0</v>
      </c>
      <c r="X1167" s="1">
        <v>67.0</v>
      </c>
      <c r="Y1167" s="1">
        <v>66.0</v>
      </c>
      <c r="Z1167" s="1">
        <v>1.0</v>
      </c>
    </row>
    <row r="1168">
      <c r="A1168" s="1" t="s">
        <v>2522</v>
      </c>
      <c r="B1168" s="1" t="s">
        <v>2770</v>
      </c>
      <c r="C1168" s="1" t="s">
        <v>1612</v>
      </c>
      <c r="D1168" s="1" t="s">
        <v>3226</v>
      </c>
      <c r="E1168" s="1" t="s">
        <v>225</v>
      </c>
      <c r="F1168" s="1" t="s">
        <v>828</v>
      </c>
      <c r="G1168" s="1" t="s">
        <v>1447</v>
      </c>
      <c r="H1168" s="1" t="s">
        <v>465</v>
      </c>
      <c r="I1168" s="1" t="s">
        <v>3227</v>
      </c>
      <c r="J1168" s="1" t="s">
        <v>553</v>
      </c>
      <c r="K1168" s="1" t="s">
        <v>190</v>
      </c>
      <c r="L1168" s="1" t="s">
        <v>394</v>
      </c>
      <c r="M1168" s="1" t="s">
        <v>1136</v>
      </c>
      <c r="N1168" s="1" t="s">
        <v>237</v>
      </c>
      <c r="O1168" s="1" t="s">
        <v>1151</v>
      </c>
      <c r="P1168" s="1" t="s">
        <v>1226</v>
      </c>
      <c r="Q1168" s="1" t="s">
        <v>263</v>
      </c>
      <c r="R1168" s="1" t="s">
        <v>1112</v>
      </c>
      <c r="S1168" s="1" t="s">
        <v>188</v>
      </c>
      <c r="T1168" s="1" t="s">
        <v>431</v>
      </c>
      <c r="U1168" s="1">
        <v>92.0</v>
      </c>
      <c r="V1168" s="1" t="s">
        <v>110</v>
      </c>
      <c r="W1168" s="1" t="s">
        <v>1892</v>
      </c>
      <c r="X1168" s="1">
        <v>85.0</v>
      </c>
      <c r="Y1168" s="1" t="s">
        <v>504</v>
      </c>
      <c r="Z1168" s="1">
        <v>1.0</v>
      </c>
    </row>
    <row r="1169">
      <c r="A1169" s="1" t="s">
        <v>3228</v>
      </c>
      <c r="B1169" s="1" t="s">
        <v>2770</v>
      </c>
      <c r="C1169" s="1" t="s">
        <v>1541</v>
      </c>
      <c r="D1169" s="1" t="s">
        <v>3229</v>
      </c>
      <c r="E1169" s="1" t="s">
        <v>296</v>
      </c>
      <c r="F1169" s="1" t="s">
        <v>1035</v>
      </c>
      <c r="G1169" s="1" t="s">
        <v>1160</v>
      </c>
      <c r="H1169" s="1">
        <v>72.0</v>
      </c>
      <c r="I1169" s="1" t="s">
        <v>271</v>
      </c>
      <c r="J1169" s="1" t="s">
        <v>207</v>
      </c>
      <c r="K1169" s="1" t="s">
        <v>205</v>
      </c>
      <c r="L1169" s="1" t="s">
        <v>111</v>
      </c>
      <c r="M1169" s="1" t="s">
        <v>729</v>
      </c>
      <c r="N1169" s="1" t="s">
        <v>943</v>
      </c>
      <c r="O1169" s="1" t="s">
        <v>1192</v>
      </c>
      <c r="P1169" s="1">
        <v>74.0</v>
      </c>
      <c r="Q1169" s="1" t="s">
        <v>318</v>
      </c>
      <c r="R1169" s="1" t="s">
        <v>1112</v>
      </c>
      <c r="S1169" s="1" t="s">
        <v>716</v>
      </c>
      <c r="T1169" s="1" t="s">
        <v>714</v>
      </c>
      <c r="U1169" s="1" t="s">
        <v>477</v>
      </c>
      <c r="V1169" s="1" t="s">
        <v>323</v>
      </c>
      <c r="W1169" s="1" t="s">
        <v>31</v>
      </c>
      <c r="X1169" s="1" t="s">
        <v>158</v>
      </c>
      <c r="Y1169" s="1" t="s">
        <v>975</v>
      </c>
      <c r="Z1169" s="1">
        <v>1.0</v>
      </c>
    </row>
    <row r="1170">
      <c r="A1170" s="1" t="s">
        <v>3230</v>
      </c>
      <c r="B1170" s="1" t="s">
        <v>2770</v>
      </c>
      <c r="C1170" s="1" t="s">
        <v>2115</v>
      </c>
      <c r="D1170" s="1">
        <v>264.0</v>
      </c>
      <c r="E1170" s="1">
        <v>84.0</v>
      </c>
      <c r="F1170" s="1">
        <v>70.0</v>
      </c>
      <c r="G1170" s="1">
        <v>73.0</v>
      </c>
      <c r="H1170" s="1">
        <v>81.0</v>
      </c>
      <c r="I1170" s="1">
        <v>59.0</v>
      </c>
      <c r="J1170" s="1">
        <v>74.0</v>
      </c>
      <c r="K1170" s="1">
        <v>80.0</v>
      </c>
      <c r="L1170" s="1">
        <v>62.0</v>
      </c>
      <c r="M1170" s="1">
        <v>55.0</v>
      </c>
      <c r="N1170" s="1">
        <v>46.0</v>
      </c>
      <c r="O1170" s="1">
        <v>31.0</v>
      </c>
      <c r="P1170" s="1">
        <v>82.0</v>
      </c>
      <c r="Q1170" s="1">
        <v>43.0</v>
      </c>
      <c r="R1170" s="1">
        <v>60.0</v>
      </c>
      <c r="S1170" s="1">
        <v>93.0</v>
      </c>
      <c r="T1170" s="1">
        <v>72.0</v>
      </c>
      <c r="U1170" s="1">
        <v>97.0</v>
      </c>
      <c r="V1170" s="1">
        <v>70.0</v>
      </c>
      <c r="W1170" s="1">
        <v>55.0</v>
      </c>
      <c r="X1170" s="1">
        <v>94.0</v>
      </c>
      <c r="Y1170" s="1">
        <v>83.0</v>
      </c>
      <c r="Z1170" s="1">
        <v>1.0</v>
      </c>
    </row>
    <row r="1171">
      <c r="A1171" s="1" t="s">
        <v>2433</v>
      </c>
      <c r="B1171" s="1" t="s">
        <v>2770</v>
      </c>
      <c r="C1171" s="1" t="s">
        <v>1579</v>
      </c>
      <c r="D1171" s="1">
        <v>233.0</v>
      </c>
      <c r="E1171" s="1">
        <v>72.0</v>
      </c>
      <c r="F1171" s="1">
        <v>65.0</v>
      </c>
      <c r="G1171" s="1">
        <v>65.0</v>
      </c>
      <c r="H1171" s="1">
        <v>77.0</v>
      </c>
      <c r="I1171" s="1">
        <v>77.0</v>
      </c>
      <c r="J1171" s="1">
        <v>78.0</v>
      </c>
      <c r="K1171" s="1">
        <v>75.0</v>
      </c>
      <c r="L1171" s="1">
        <v>55.0</v>
      </c>
      <c r="M1171" s="1">
        <v>82.0</v>
      </c>
      <c r="N1171" s="1">
        <v>77.0</v>
      </c>
      <c r="O1171" s="1">
        <v>68.0</v>
      </c>
      <c r="P1171" s="1">
        <v>90.0</v>
      </c>
      <c r="Q1171" s="1">
        <v>72.0</v>
      </c>
      <c r="R1171" s="1">
        <v>70.0</v>
      </c>
      <c r="S1171" s="1">
        <v>75.0</v>
      </c>
      <c r="T1171" s="1">
        <v>81.0</v>
      </c>
      <c r="U1171" s="1">
        <v>91.0</v>
      </c>
      <c r="V1171" s="1">
        <v>75.0</v>
      </c>
      <c r="W1171" s="1">
        <v>70.0</v>
      </c>
      <c r="X1171" s="1">
        <v>85.0</v>
      </c>
      <c r="Y1171" s="1">
        <v>77.0</v>
      </c>
      <c r="Z1171" s="1">
        <v>1.0</v>
      </c>
    </row>
    <row r="1172">
      <c r="A1172" s="1" t="s">
        <v>2044</v>
      </c>
      <c r="B1172" s="1" t="s">
        <v>2770</v>
      </c>
      <c r="C1172" s="1" t="s">
        <v>2776</v>
      </c>
      <c r="D1172" s="1" t="s">
        <v>2939</v>
      </c>
      <c r="E1172" s="1" t="s">
        <v>310</v>
      </c>
      <c r="F1172" s="1" t="s">
        <v>1428</v>
      </c>
      <c r="G1172" s="1" t="s">
        <v>957</v>
      </c>
      <c r="H1172" s="1" t="s">
        <v>76</v>
      </c>
      <c r="I1172" s="1" t="s">
        <v>1285</v>
      </c>
      <c r="J1172" s="1" t="s">
        <v>3231</v>
      </c>
      <c r="K1172" s="1" t="s">
        <v>129</v>
      </c>
      <c r="L1172" s="1" t="s">
        <v>2245</v>
      </c>
      <c r="M1172" s="1" t="s">
        <v>2241</v>
      </c>
      <c r="N1172" s="1" t="s">
        <v>3232</v>
      </c>
      <c r="O1172" s="1" t="s">
        <v>2806</v>
      </c>
      <c r="P1172" s="1" t="s">
        <v>633</v>
      </c>
      <c r="Q1172" s="1" t="s">
        <v>1874</v>
      </c>
      <c r="R1172" s="1" t="s">
        <v>464</v>
      </c>
      <c r="S1172" s="1" t="s">
        <v>567</v>
      </c>
      <c r="T1172" s="1" t="s">
        <v>806</v>
      </c>
      <c r="U1172" s="1" t="s">
        <v>2969</v>
      </c>
      <c r="V1172" s="1" t="s">
        <v>1086</v>
      </c>
      <c r="W1172" s="1" t="s">
        <v>805</v>
      </c>
      <c r="X1172" s="1" t="s">
        <v>1034</v>
      </c>
      <c r="Y1172" s="1" t="s">
        <v>504</v>
      </c>
      <c r="Z1172" s="1">
        <v>1.0</v>
      </c>
    </row>
    <row r="1173">
      <c r="A1173" s="1" t="s">
        <v>3233</v>
      </c>
      <c r="B1173" s="1" t="s">
        <v>2770</v>
      </c>
      <c r="C1173" s="1" t="s">
        <v>2327</v>
      </c>
      <c r="D1173" s="1">
        <v>246.0</v>
      </c>
      <c r="E1173" s="1">
        <v>84.0</v>
      </c>
      <c r="F1173" s="1">
        <v>80.0</v>
      </c>
      <c r="G1173" s="1">
        <v>73.0</v>
      </c>
      <c r="H1173" s="1">
        <v>85.0</v>
      </c>
      <c r="I1173" s="1">
        <v>79.0</v>
      </c>
      <c r="J1173" s="1">
        <v>80.0</v>
      </c>
      <c r="K1173" s="1">
        <v>83.0</v>
      </c>
      <c r="L1173" s="1">
        <v>70.0</v>
      </c>
      <c r="M1173" s="1">
        <v>87.0</v>
      </c>
      <c r="N1173" s="1">
        <v>65.0</v>
      </c>
      <c r="O1173" s="1">
        <v>55.0</v>
      </c>
      <c r="P1173" s="1">
        <v>85.0</v>
      </c>
      <c r="Q1173" s="1">
        <v>62.0</v>
      </c>
      <c r="R1173" s="1">
        <v>60.0</v>
      </c>
      <c r="S1173" s="1">
        <v>85.0</v>
      </c>
      <c r="T1173" s="1">
        <v>75.0</v>
      </c>
      <c r="U1173" s="1">
        <v>94.0</v>
      </c>
      <c r="V1173" s="1">
        <v>70.0</v>
      </c>
      <c r="W1173" s="1">
        <v>55.0</v>
      </c>
      <c r="X1173" s="1">
        <v>84.0</v>
      </c>
      <c r="Y1173" s="1">
        <v>74.0</v>
      </c>
      <c r="Z1173" s="1">
        <v>1.0</v>
      </c>
    </row>
    <row r="1174">
      <c r="A1174" s="1" t="s">
        <v>2448</v>
      </c>
      <c r="B1174" s="1" t="s">
        <v>2770</v>
      </c>
      <c r="C1174" s="1" t="s">
        <v>2327</v>
      </c>
      <c r="D1174" s="1">
        <v>260.0</v>
      </c>
      <c r="E1174" s="1">
        <v>87.0</v>
      </c>
      <c r="F1174" s="1">
        <v>75.0</v>
      </c>
      <c r="G1174" s="1">
        <v>74.0</v>
      </c>
      <c r="H1174" s="1">
        <v>80.0</v>
      </c>
      <c r="I1174" s="1">
        <v>89.0</v>
      </c>
      <c r="J1174" s="1">
        <v>89.0</v>
      </c>
      <c r="K1174" s="1">
        <v>85.0</v>
      </c>
      <c r="L1174" s="1">
        <v>92.0</v>
      </c>
      <c r="M1174" s="1">
        <v>76.0</v>
      </c>
      <c r="N1174" s="1">
        <v>60.0</v>
      </c>
      <c r="O1174" s="1">
        <v>51.0</v>
      </c>
      <c r="P1174" s="1">
        <v>80.0</v>
      </c>
      <c r="Q1174" s="1">
        <v>60.0</v>
      </c>
      <c r="R1174" s="1">
        <v>46.0</v>
      </c>
      <c r="S1174" s="1">
        <v>90.0</v>
      </c>
      <c r="T1174" s="1">
        <v>75.0</v>
      </c>
      <c r="U1174" s="1">
        <v>95.0</v>
      </c>
      <c r="V1174" s="1">
        <v>67.0</v>
      </c>
      <c r="W1174" s="1">
        <v>53.0</v>
      </c>
      <c r="X1174" s="1">
        <v>73.0</v>
      </c>
      <c r="Y1174" s="1">
        <v>81.0</v>
      </c>
      <c r="Z1174" s="1">
        <v>1.0</v>
      </c>
    </row>
    <row r="1175">
      <c r="A1175" s="1" t="s">
        <v>3234</v>
      </c>
      <c r="B1175" s="1" t="s">
        <v>2770</v>
      </c>
      <c r="C1175" s="1" t="s">
        <v>2327</v>
      </c>
      <c r="D1175" s="1">
        <v>225.0</v>
      </c>
      <c r="E1175" s="1">
        <v>88.0</v>
      </c>
      <c r="F1175" s="1">
        <v>85.0</v>
      </c>
      <c r="G1175" s="1">
        <v>73.0</v>
      </c>
      <c r="H1175" s="1">
        <v>65.0</v>
      </c>
      <c r="I1175" s="1">
        <v>84.0</v>
      </c>
      <c r="J1175" s="1">
        <v>93.0</v>
      </c>
      <c r="K1175" s="1">
        <v>90.0</v>
      </c>
      <c r="L1175" s="1">
        <v>72.0</v>
      </c>
      <c r="M1175" s="1">
        <v>87.0</v>
      </c>
      <c r="N1175" s="1">
        <v>73.0</v>
      </c>
      <c r="O1175" s="1">
        <v>62.0</v>
      </c>
      <c r="P1175" s="1">
        <v>88.0</v>
      </c>
      <c r="Q1175" s="1">
        <v>62.0</v>
      </c>
      <c r="R1175" s="1">
        <v>60.0</v>
      </c>
      <c r="S1175" s="1">
        <v>84.0</v>
      </c>
      <c r="T1175" s="1">
        <v>70.0</v>
      </c>
      <c r="U1175" s="1">
        <v>85.0</v>
      </c>
      <c r="V1175" s="1">
        <v>71.0</v>
      </c>
      <c r="W1175" s="1">
        <v>60.0</v>
      </c>
      <c r="X1175" s="1">
        <v>84.0</v>
      </c>
      <c r="Y1175" s="1">
        <v>70.0</v>
      </c>
      <c r="Z1175" s="1">
        <v>1.0</v>
      </c>
    </row>
    <row r="1176">
      <c r="A1176" s="1" t="s">
        <v>2257</v>
      </c>
      <c r="B1176" s="1" t="s">
        <v>2770</v>
      </c>
      <c r="C1176" s="1" t="s">
        <v>2933</v>
      </c>
      <c r="D1176" s="1" t="s">
        <v>3235</v>
      </c>
      <c r="E1176" s="1" t="s">
        <v>82</v>
      </c>
      <c r="F1176" s="1" t="s">
        <v>1137</v>
      </c>
      <c r="G1176" s="1" t="s">
        <v>333</v>
      </c>
      <c r="H1176" s="1">
        <v>90.0</v>
      </c>
      <c r="I1176" s="1" t="s">
        <v>3236</v>
      </c>
      <c r="J1176" s="1" t="s">
        <v>3236</v>
      </c>
      <c r="K1176" s="1" t="s">
        <v>132</v>
      </c>
      <c r="L1176" s="1" t="s">
        <v>31</v>
      </c>
      <c r="M1176" s="1" t="s">
        <v>1995</v>
      </c>
      <c r="N1176" s="1" t="s">
        <v>1051</v>
      </c>
      <c r="O1176" s="1" t="s">
        <v>1405</v>
      </c>
      <c r="P1176" s="1" t="s">
        <v>1080</v>
      </c>
      <c r="Q1176" s="1" t="s">
        <v>636</v>
      </c>
      <c r="R1176" s="1" t="s">
        <v>2337</v>
      </c>
      <c r="S1176" s="1" t="s">
        <v>633</v>
      </c>
      <c r="T1176" s="1" t="s">
        <v>175</v>
      </c>
      <c r="U1176" s="1">
        <v>90.0</v>
      </c>
      <c r="V1176" s="1" t="s">
        <v>354</v>
      </c>
      <c r="W1176" s="1" t="s">
        <v>1511</v>
      </c>
      <c r="X1176" s="1" t="s">
        <v>1477</v>
      </c>
      <c r="Y1176" s="1" t="s">
        <v>975</v>
      </c>
      <c r="Z1176" s="1">
        <v>1.0</v>
      </c>
    </row>
    <row r="1177">
      <c r="A1177" s="1" t="s">
        <v>3237</v>
      </c>
      <c r="B1177" s="1" t="s">
        <v>2770</v>
      </c>
      <c r="C1177" s="1" t="s">
        <v>2166</v>
      </c>
      <c r="D1177" s="1" t="s">
        <v>3238</v>
      </c>
      <c r="E1177" s="1" t="s">
        <v>35</v>
      </c>
      <c r="F1177" s="1" t="s">
        <v>1445</v>
      </c>
      <c r="G1177" s="1" t="s">
        <v>590</v>
      </c>
      <c r="H1177" s="1" t="s">
        <v>199</v>
      </c>
      <c r="I1177" s="1" t="s">
        <v>437</v>
      </c>
      <c r="J1177" s="1" t="s">
        <v>208</v>
      </c>
      <c r="K1177" s="1" t="s">
        <v>410</v>
      </c>
      <c r="L1177" s="1" t="s">
        <v>149</v>
      </c>
      <c r="M1177" s="1" t="s">
        <v>1136</v>
      </c>
      <c r="N1177" s="1" t="s">
        <v>334</v>
      </c>
      <c r="O1177" s="1" t="s">
        <v>899</v>
      </c>
      <c r="P1177" s="1" t="s">
        <v>128</v>
      </c>
      <c r="Q1177" s="1">
        <v>42.0</v>
      </c>
      <c r="R1177" s="1" t="s">
        <v>2849</v>
      </c>
      <c r="S1177" s="1">
        <v>84.0</v>
      </c>
      <c r="T1177" s="1" t="s">
        <v>427</v>
      </c>
      <c r="U1177" s="1" t="s">
        <v>96</v>
      </c>
      <c r="V1177" s="1">
        <v>72.0</v>
      </c>
      <c r="W1177" s="1">
        <v>61.0</v>
      </c>
      <c r="X1177" s="1" t="s">
        <v>840</v>
      </c>
      <c r="Y1177" s="1" t="s">
        <v>404</v>
      </c>
      <c r="Z1177" s="1">
        <v>1.0</v>
      </c>
    </row>
    <row r="1178">
      <c r="A1178" s="1" t="s">
        <v>3239</v>
      </c>
      <c r="B1178" s="1" t="s">
        <v>2770</v>
      </c>
      <c r="C1178" s="1" t="s">
        <v>1754</v>
      </c>
      <c r="D1178" s="1" t="s">
        <v>3240</v>
      </c>
      <c r="E1178" s="1" t="s">
        <v>2734</v>
      </c>
      <c r="F1178" s="1" t="s">
        <v>624</v>
      </c>
      <c r="G1178" s="1" t="s">
        <v>519</v>
      </c>
      <c r="H1178" s="1" t="s">
        <v>270</v>
      </c>
      <c r="I1178" s="1">
        <v>50.0</v>
      </c>
      <c r="J1178" s="1" t="s">
        <v>1627</v>
      </c>
      <c r="K1178" s="1" t="s">
        <v>205</v>
      </c>
      <c r="L1178" s="1" t="s">
        <v>920</v>
      </c>
      <c r="M1178" s="1" t="s">
        <v>860</v>
      </c>
      <c r="N1178" s="1" t="s">
        <v>817</v>
      </c>
      <c r="O1178" s="1" t="s">
        <v>2405</v>
      </c>
      <c r="P1178" s="1" t="s">
        <v>384</v>
      </c>
      <c r="Q1178" s="1">
        <v>84.0</v>
      </c>
      <c r="R1178" s="1" t="s">
        <v>96</v>
      </c>
      <c r="S1178" s="1" t="s">
        <v>944</v>
      </c>
      <c r="T1178" s="1" t="s">
        <v>1836</v>
      </c>
      <c r="U1178" s="1">
        <v>94.0</v>
      </c>
      <c r="V1178" s="1" t="s">
        <v>622</v>
      </c>
      <c r="W1178" s="1" t="s">
        <v>404</v>
      </c>
      <c r="X1178" s="1">
        <v>85.0</v>
      </c>
      <c r="Y1178" s="1" t="s">
        <v>205</v>
      </c>
      <c r="Z1178" s="1">
        <v>1.0</v>
      </c>
    </row>
    <row r="1179">
      <c r="A1179" s="1" t="s">
        <v>3241</v>
      </c>
      <c r="B1179" s="1" t="s">
        <v>2770</v>
      </c>
      <c r="C1179" s="1" t="s">
        <v>2783</v>
      </c>
      <c r="D1179" s="1">
        <v>260.0</v>
      </c>
      <c r="E1179" s="1">
        <v>84.0</v>
      </c>
      <c r="F1179" s="1">
        <v>59.0</v>
      </c>
      <c r="G1179" s="1">
        <v>65.0</v>
      </c>
      <c r="H1179" s="1">
        <v>99.0</v>
      </c>
      <c r="I1179" s="1">
        <v>70.0</v>
      </c>
      <c r="J1179" s="1">
        <v>70.0</v>
      </c>
      <c r="K1179" s="1">
        <v>73.0</v>
      </c>
      <c r="L1179" s="1">
        <v>54.0</v>
      </c>
      <c r="M1179" s="1">
        <v>71.0</v>
      </c>
      <c r="N1179" s="1">
        <v>35.0</v>
      </c>
      <c r="O1179" s="1">
        <v>25.0</v>
      </c>
      <c r="P1179" s="1">
        <v>85.0</v>
      </c>
      <c r="Q1179" s="1">
        <v>35.0</v>
      </c>
      <c r="R1179" s="1">
        <v>40.0</v>
      </c>
      <c r="S1179" s="1">
        <v>84.0</v>
      </c>
      <c r="T1179" s="1">
        <v>70.0</v>
      </c>
      <c r="U1179" s="1">
        <v>94.0</v>
      </c>
      <c r="V1179" s="1">
        <v>50.0</v>
      </c>
      <c r="W1179" s="1">
        <v>38.0</v>
      </c>
      <c r="X1179" s="1">
        <v>90.0</v>
      </c>
      <c r="Y1179" s="1">
        <v>66.0</v>
      </c>
      <c r="Z1179" s="1">
        <v>1.0</v>
      </c>
    </row>
    <row r="1180">
      <c r="A1180" s="1" t="s">
        <v>2529</v>
      </c>
      <c r="B1180" s="1" t="s">
        <v>2770</v>
      </c>
      <c r="C1180" s="1" t="s">
        <v>1534</v>
      </c>
      <c r="D1180" s="1" t="s">
        <v>3242</v>
      </c>
      <c r="E1180" s="1" t="s">
        <v>1155</v>
      </c>
      <c r="F1180" s="1" t="s">
        <v>30</v>
      </c>
      <c r="G1180" s="1" t="s">
        <v>806</v>
      </c>
      <c r="H1180" s="1" t="s">
        <v>465</v>
      </c>
      <c r="I1180" s="1">
        <v>57.0</v>
      </c>
      <c r="J1180" s="1" t="s">
        <v>1470</v>
      </c>
      <c r="K1180" s="1">
        <v>25.0</v>
      </c>
      <c r="L1180" s="1" t="s">
        <v>3243</v>
      </c>
      <c r="M1180" s="1" t="s">
        <v>1767</v>
      </c>
      <c r="N1180" s="1" t="s">
        <v>1752</v>
      </c>
      <c r="O1180" s="1" t="s">
        <v>1913</v>
      </c>
      <c r="P1180" s="1" t="s">
        <v>424</v>
      </c>
      <c r="Q1180" s="1">
        <v>85.0</v>
      </c>
      <c r="R1180" s="1" t="s">
        <v>180</v>
      </c>
      <c r="S1180" s="1" t="s">
        <v>553</v>
      </c>
      <c r="T1180" s="1">
        <v>90.0</v>
      </c>
      <c r="U1180" s="1" t="s">
        <v>570</v>
      </c>
      <c r="V1180" s="1" t="s">
        <v>525</v>
      </c>
      <c r="W1180" s="1" t="s">
        <v>3236</v>
      </c>
      <c r="X1180" s="1" t="s">
        <v>182</v>
      </c>
      <c r="Y1180" s="1" t="s">
        <v>151</v>
      </c>
      <c r="Z1180" s="1">
        <v>1.0</v>
      </c>
    </row>
    <row r="1181">
      <c r="A1181" s="1" t="s">
        <v>3244</v>
      </c>
      <c r="B1181" s="1" t="s">
        <v>2770</v>
      </c>
      <c r="C1181" s="1" t="s">
        <v>2115</v>
      </c>
      <c r="D1181" s="1">
        <v>256.0</v>
      </c>
      <c r="E1181" s="1">
        <v>85.0</v>
      </c>
      <c r="F1181" s="1">
        <v>60.0</v>
      </c>
      <c r="G1181" s="1">
        <v>36.0</v>
      </c>
      <c r="H1181" s="1">
        <v>41.0</v>
      </c>
      <c r="I1181" s="1">
        <v>60.0</v>
      </c>
      <c r="J1181" s="1">
        <v>90.0</v>
      </c>
      <c r="K1181" s="1">
        <v>87.0</v>
      </c>
      <c r="L1181" s="1">
        <v>93.0</v>
      </c>
      <c r="M1181" s="1">
        <v>99.0</v>
      </c>
      <c r="N1181" s="1">
        <v>74.0</v>
      </c>
      <c r="O1181" s="1">
        <v>60.0</v>
      </c>
      <c r="P1181" s="1">
        <v>97.0</v>
      </c>
      <c r="Q1181" s="1">
        <v>66.0</v>
      </c>
      <c r="R1181" s="1">
        <v>65.0</v>
      </c>
      <c r="S1181" s="1">
        <v>67.0</v>
      </c>
      <c r="T1181" s="1">
        <v>90.0</v>
      </c>
      <c r="U1181" s="1">
        <v>81.0</v>
      </c>
      <c r="V1181" s="1">
        <v>60.0</v>
      </c>
      <c r="W1181" s="1">
        <v>46.0</v>
      </c>
      <c r="X1181" s="1">
        <v>77.0</v>
      </c>
      <c r="Y1181" s="1">
        <v>51.0</v>
      </c>
      <c r="Z1181" s="1">
        <v>1.0</v>
      </c>
    </row>
    <row r="1182">
      <c r="A1182" s="1" t="s">
        <v>2498</v>
      </c>
      <c r="B1182" s="1" t="s">
        <v>2770</v>
      </c>
      <c r="C1182" s="1" t="s">
        <v>3245</v>
      </c>
      <c r="D1182" s="1" t="s">
        <v>3246</v>
      </c>
      <c r="E1182" s="1" t="s">
        <v>937</v>
      </c>
      <c r="F1182" s="1" t="s">
        <v>891</v>
      </c>
      <c r="G1182" s="1" t="s">
        <v>1070</v>
      </c>
      <c r="H1182" s="1" t="s">
        <v>52</v>
      </c>
      <c r="I1182" s="1" t="s">
        <v>1923</v>
      </c>
      <c r="J1182" s="1" t="s">
        <v>2235</v>
      </c>
      <c r="K1182" s="1" t="s">
        <v>843</v>
      </c>
      <c r="L1182" s="1" t="s">
        <v>2393</v>
      </c>
      <c r="M1182" s="1" t="s">
        <v>958</v>
      </c>
      <c r="N1182" s="1" t="s">
        <v>3247</v>
      </c>
      <c r="O1182" s="1" t="s">
        <v>460</v>
      </c>
      <c r="P1182" s="1">
        <v>87.0</v>
      </c>
      <c r="Q1182" s="1" t="s">
        <v>1903</v>
      </c>
      <c r="R1182" s="1" t="s">
        <v>81</v>
      </c>
      <c r="S1182" s="1" t="s">
        <v>694</v>
      </c>
      <c r="T1182" s="1" t="s">
        <v>3248</v>
      </c>
      <c r="U1182" s="1" t="s">
        <v>1095</v>
      </c>
      <c r="V1182" s="1" t="s">
        <v>3249</v>
      </c>
      <c r="W1182" s="1" t="s">
        <v>3250</v>
      </c>
      <c r="X1182" s="1" t="s">
        <v>182</v>
      </c>
      <c r="Y1182" s="1" t="s">
        <v>2356</v>
      </c>
      <c r="Z1182" s="1">
        <v>1.0</v>
      </c>
    </row>
    <row r="1183">
      <c r="A1183" s="1" t="s">
        <v>3251</v>
      </c>
      <c r="B1183" s="1" t="s">
        <v>2770</v>
      </c>
      <c r="C1183" s="1" t="s">
        <v>2783</v>
      </c>
      <c r="D1183" s="1">
        <v>272.0</v>
      </c>
      <c r="E1183" s="1">
        <v>95.0</v>
      </c>
      <c r="F1183" s="1">
        <v>67.0</v>
      </c>
      <c r="G1183" s="1">
        <v>53.0</v>
      </c>
      <c r="H1183" s="1">
        <v>90.0</v>
      </c>
      <c r="I1183" s="1">
        <v>95.0</v>
      </c>
      <c r="J1183" s="1">
        <v>79.0</v>
      </c>
      <c r="K1183" s="1">
        <v>89.0</v>
      </c>
      <c r="L1183" s="1">
        <v>64.0</v>
      </c>
      <c r="M1183" s="1">
        <v>25.0</v>
      </c>
      <c r="N1183" s="1">
        <v>45.0</v>
      </c>
      <c r="O1183" s="1">
        <v>36.0</v>
      </c>
      <c r="P1183" s="1">
        <v>91.0</v>
      </c>
      <c r="Q1183" s="1">
        <v>54.0</v>
      </c>
      <c r="R1183" s="1">
        <v>46.0</v>
      </c>
      <c r="S1183" s="1">
        <v>61.0</v>
      </c>
      <c r="T1183" s="1">
        <v>88.0</v>
      </c>
      <c r="U1183" s="1">
        <v>80.0</v>
      </c>
      <c r="V1183" s="1">
        <v>46.0</v>
      </c>
      <c r="W1183" s="1">
        <v>35.0</v>
      </c>
      <c r="X1183" s="1">
        <v>96.0</v>
      </c>
      <c r="Y1183" s="1">
        <v>65.0</v>
      </c>
      <c r="Z1183" s="1">
        <v>1.0</v>
      </c>
    </row>
    <row r="1184">
      <c r="A1184" s="1" t="s">
        <v>3252</v>
      </c>
      <c r="B1184" s="1" t="s">
        <v>2770</v>
      </c>
      <c r="C1184" s="1" t="s">
        <v>2327</v>
      </c>
      <c r="D1184" s="1">
        <v>250.0</v>
      </c>
      <c r="E1184" s="1">
        <v>91.0</v>
      </c>
      <c r="F1184" s="1">
        <v>66.0</v>
      </c>
      <c r="G1184" s="1">
        <v>60.0</v>
      </c>
      <c r="H1184" s="1">
        <v>89.0</v>
      </c>
      <c r="I1184" s="1">
        <v>91.0</v>
      </c>
      <c r="J1184" s="1">
        <v>82.0</v>
      </c>
      <c r="K1184" s="1">
        <v>37.0</v>
      </c>
      <c r="L1184" s="1">
        <v>60.0</v>
      </c>
      <c r="M1184" s="1">
        <v>74.0</v>
      </c>
      <c r="N1184" s="1">
        <v>55.0</v>
      </c>
      <c r="O1184" s="1">
        <v>51.0</v>
      </c>
      <c r="P1184" s="1">
        <v>85.0</v>
      </c>
      <c r="Q1184" s="1">
        <v>39.0</v>
      </c>
      <c r="R1184" s="1">
        <v>42.0</v>
      </c>
      <c r="S1184" s="1">
        <v>84.0</v>
      </c>
      <c r="T1184" s="1">
        <v>85.0</v>
      </c>
      <c r="U1184" s="1">
        <v>95.0</v>
      </c>
      <c r="V1184" s="1">
        <v>69.0</v>
      </c>
      <c r="W1184" s="1">
        <v>56.0</v>
      </c>
      <c r="X1184" s="1">
        <v>91.0</v>
      </c>
      <c r="Y1184" s="1">
        <v>74.0</v>
      </c>
      <c r="Z1184" s="1">
        <v>1.0</v>
      </c>
    </row>
    <row r="1185">
      <c r="A1185" s="1" t="s">
        <v>2557</v>
      </c>
      <c r="B1185" s="1" t="s">
        <v>2770</v>
      </c>
      <c r="C1185" s="1" t="s">
        <v>1579</v>
      </c>
      <c r="D1185" s="1">
        <v>215.0</v>
      </c>
      <c r="E1185" s="1">
        <v>75.0</v>
      </c>
      <c r="F1185" s="1">
        <v>80.0</v>
      </c>
      <c r="G1185" s="1">
        <v>85.0</v>
      </c>
      <c r="H1185" s="1">
        <v>70.0</v>
      </c>
      <c r="I1185" s="1">
        <v>51.0</v>
      </c>
      <c r="J1185" s="1">
        <v>75.0</v>
      </c>
      <c r="K1185" s="1">
        <v>85.0</v>
      </c>
      <c r="L1185" s="1">
        <v>62.0</v>
      </c>
      <c r="M1185" s="1">
        <v>55.0</v>
      </c>
      <c r="N1185" s="1">
        <v>75.0</v>
      </c>
      <c r="O1185" s="1">
        <v>70.0</v>
      </c>
      <c r="P1185" s="1">
        <v>80.0</v>
      </c>
      <c r="Q1185" s="1">
        <v>74.0</v>
      </c>
      <c r="R1185" s="1">
        <v>45.0</v>
      </c>
      <c r="S1185" s="1">
        <v>90.0</v>
      </c>
      <c r="T1185" s="1">
        <v>80.0</v>
      </c>
      <c r="U1185" s="1">
        <v>80.0</v>
      </c>
      <c r="V1185" s="1">
        <v>79.0</v>
      </c>
      <c r="W1185" s="1">
        <v>75.0</v>
      </c>
      <c r="X1185" s="1">
        <v>84.0</v>
      </c>
      <c r="Y1185" s="1">
        <v>90.0</v>
      </c>
      <c r="Z1185" s="1">
        <v>1.0</v>
      </c>
    </row>
    <row r="1186">
      <c r="A1186" s="1" t="s">
        <v>3253</v>
      </c>
      <c r="B1186" s="1" t="s">
        <v>2770</v>
      </c>
      <c r="C1186" s="1" t="s">
        <v>2783</v>
      </c>
      <c r="D1186" s="1">
        <v>245.0</v>
      </c>
      <c r="E1186" s="1">
        <v>94.0</v>
      </c>
      <c r="F1186" s="1">
        <v>73.0</v>
      </c>
      <c r="G1186" s="1">
        <v>73.0</v>
      </c>
      <c r="H1186" s="1">
        <v>72.0</v>
      </c>
      <c r="I1186" s="1">
        <v>73.0</v>
      </c>
      <c r="J1186" s="1">
        <v>70.0</v>
      </c>
      <c r="K1186" s="1">
        <v>77.0</v>
      </c>
      <c r="L1186" s="1">
        <v>73.0</v>
      </c>
      <c r="M1186" s="1">
        <v>65.0</v>
      </c>
      <c r="N1186" s="1">
        <v>54.0</v>
      </c>
      <c r="O1186" s="1">
        <v>41.0</v>
      </c>
      <c r="P1186" s="1">
        <v>79.0</v>
      </c>
      <c r="Q1186" s="1">
        <v>37.0</v>
      </c>
      <c r="R1186" s="1">
        <v>34.0</v>
      </c>
      <c r="S1186" s="1">
        <v>70.0</v>
      </c>
      <c r="T1186" s="1">
        <v>97.0</v>
      </c>
      <c r="U1186" s="1">
        <v>98.0</v>
      </c>
      <c r="V1186" s="1">
        <v>56.0</v>
      </c>
      <c r="W1186" s="1">
        <v>43.0</v>
      </c>
      <c r="X1186" s="1">
        <v>63.0</v>
      </c>
      <c r="Y1186" s="1">
        <v>70.0</v>
      </c>
      <c r="Z1186" s="1">
        <v>1.0</v>
      </c>
    </row>
    <row r="1187">
      <c r="A1187" s="1" t="s">
        <v>3254</v>
      </c>
      <c r="B1187" s="1" t="s">
        <v>2770</v>
      </c>
      <c r="C1187" s="1" t="s">
        <v>2798</v>
      </c>
      <c r="D1187" s="1" t="s">
        <v>3255</v>
      </c>
      <c r="E1187" s="1" t="s">
        <v>235</v>
      </c>
      <c r="F1187" s="1" t="s">
        <v>1428</v>
      </c>
      <c r="G1187" s="1" t="s">
        <v>730</v>
      </c>
      <c r="H1187" s="1">
        <v>90.0</v>
      </c>
      <c r="I1187" s="1" t="s">
        <v>1816</v>
      </c>
      <c r="J1187" s="1" t="s">
        <v>300</v>
      </c>
      <c r="K1187" s="1" t="s">
        <v>253</v>
      </c>
      <c r="L1187" s="1" t="s">
        <v>363</v>
      </c>
      <c r="M1187" s="1">
        <v>87.0</v>
      </c>
      <c r="N1187" s="1" t="s">
        <v>2930</v>
      </c>
      <c r="O1187" s="1" t="s">
        <v>298</v>
      </c>
      <c r="P1187" s="1" t="s">
        <v>714</v>
      </c>
      <c r="Q1187" s="1" t="s">
        <v>2999</v>
      </c>
      <c r="R1187" s="1" t="s">
        <v>899</v>
      </c>
      <c r="S1187" s="1" t="s">
        <v>310</v>
      </c>
      <c r="T1187" s="1" t="s">
        <v>1625</v>
      </c>
      <c r="U1187" s="1" t="s">
        <v>476</v>
      </c>
      <c r="V1187" s="1" t="s">
        <v>1649</v>
      </c>
      <c r="W1187" s="1" t="s">
        <v>851</v>
      </c>
      <c r="X1187" s="1" t="s">
        <v>1618</v>
      </c>
      <c r="Y1187" s="1" t="s">
        <v>39</v>
      </c>
      <c r="Z1187" s="1">
        <v>1.0</v>
      </c>
    </row>
    <row r="1188">
      <c r="A1188" s="1" t="s">
        <v>2589</v>
      </c>
      <c r="B1188" s="1" t="s">
        <v>2770</v>
      </c>
      <c r="C1188" s="1" t="s">
        <v>2783</v>
      </c>
      <c r="D1188" s="1">
        <v>260.0</v>
      </c>
      <c r="E1188" s="1">
        <v>85.0</v>
      </c>
      <c r="F1188" s="1">
        <v>61.0</v>
      </c>
      <c r="G1188" s="1">
        <v>58.0</v>
      </c>
      <c r="H1188" s="1">
        <v>81.0</v>
      </c>
      <c r="I1188" s="1">
        <v>74.0</v>
      </c>
      <c r="J1188" s="1">
        <v>73.0</v>
      </c>
      <c r="K1188" s="1">
        <v>82.0</v>
      </c>
      <c r="L1188" s="1">
        <v>72.0</v>
      </c>
      <c r="M1188" s="1">
        <v>41.0</v>
      </c>
      <c r="N1188" s="1">
        <v>50.0</v>
      </c>
      <c r="O1188" s="1">
        <v>38.0</v>
      </c>
      <c r="P1188" s="1">
        <v>96.0</v>
      </c>
      <c r="Q1188" s="1">
        <v>56.0</v>
      </c>
      <c r="R1188" s="1">
        <v>53.0</v>
      </c>
      <c r="S1188" s="1">
        <v>99.0</v>
      </c>
      <c r="T1188" s="1">
        <v>65.0</v>
      </c>
      <c r="U1188" s="1">
        <v>81.0</v>
      </c>
      <c r="V1188" s="1">
        <v>50.0</v>
      </c>
      <c r="W1188" s="1">
        <v>38.0</v>
      </c>
      <c r="X1188" s="1">
        <v>90.0</v>
      </c>
      <c r="Y1188" s="1">
        <v>67.0</v>
      </c>
      <c r="Z1188" s="1">
        <v>1.0</v>
      </c>
    </row>
    <row r="1189">
      <c r="A1189" s="1" t="s">
        <v>2555</v>
      </c>
      <c r="B1189" s="1" t="s">
        <v>2770</v>
      </c>
      <c r="C1189" s="1" t="s">
        <v>1534</v>
      </c>
      <c r="D1189" s="1">
        <v>255.0</v>
      </c>
      <c r="E1189" s="1">
        <v>70.0</v>
      </c>
      <c r="F1189" s="1">
        <v>50.0</v>
      </c>
      <c r="G1189" s="1">
        <v>70.0</v>
      </c>
      <c r="H1189" s="1">
        <v>55.0</v>
      </c>
      <c r="I1189" s="1" t="s">
        <v>2157</v>
      </c>
      <c r="J1189" s="1">
        <v>70.0</v>
      </c>
      <c r="K1189" s="1">
        <v>80.0</v>
      </c>
      <c r="L1189" s="1" t="s">
        <v>1770</v>
      </c>
      <c r="M1189" s="1" t="s">
        <v>838</v>
      </c>
      <c r="N1189" s="1">
        <v>45.0</v>
      </c>
      <c r="O1189" s="1">
        <v>50.0</v>
      </c>
      <c r="P1189" s="1" t="s">
        <v>838</v>
      </c>
      <c r="Q1189" s="1">
        <v>83.0</v>
      </c>
      <c r="R1189" s="1">
        <v>85.0</v>
      </c>
      <c r="S1189" s="1">
        <v>78.0</v>
      </c>
      <c r="T1189" s="1">
        <v>80.0</v>
      </c>
      <c r="U1189" s="1">
        <v>94.0</v>
      </c>
      <c r="V1189" s="1">
        <v>80.0</v>
      </c>
      <c r="W1189" s="1">
        <v>71.0</v>
      </c>
      <c r="X1189" s="1">
        <v>90.0</v>
      </c>
      <c r="Y1189" s="1">
        <v>90.0</v>
      </c>
      <c r="Z1189" s="1">
        <v>1.0</v>
      </c>
    </row>
    <row r="1190">
      <c r="A1190" s="1" t="s">
        <v>3256</v>
      </c>
      <c r="B1190" s="1" t="s">
        <v>2770</v>
      </c>
      <c r="C1190" s="1" t="s">
        <v>2994</v>
      </c>
      <c r="D1190" s="1">
        <v>236.0</v>
      </c>
      <c r="E1190" s="1">
        <v>92.0</v>
      </c>
      <c r="F1190" s="1">
        <v>80.0</v>
      </c>
      <c r="G1190" s="1">
        <v>75.0</v>
      </c>
      <c r="H1190" s="1">
        <v>85.0</v>
      </c>
      <c r="I1190" s="1">
        <v>87.0</v>
      </c>
      <c r="J1190" s="1">
        <v>80.0</v>
      </c>
      <c r="K1190" s="1">
        <v>83.0</v>
      </c>
      <c r="L1190" s="1">
        <v>70.0</v>
      </c>
      <c r="M1190" s="1">
        <v>95.0</v>
      </c>
      <c r="N1190" s="1">
        <v>60.0</v>
      </c>
      <c r="O1190" s="1">
        <v>55.0</v>
      </c>
      <c r="P1190" s="1">
        <v>82.0</v>
      </c>
      <c r="Q1190" s="1">
        <v>32.0</v>
      </c>
      <c r="R1190" s="1">
        <v>60.0</v>
      </c>
      <c r="S1190" s="1">
        <v>74.0</v>
      </c>
      <c r="T1190" s="1">
        <v>75.0</v>
      </c>
      <c r="U1190" s="1">
        <v>94.0</v>
      </c>
      <c r="V1190" s="1">
        <v>61.0</v>
      </c>
      <c r="W1190" s="1">
        <v>45.0</v>
      </c>
      <c r="X1190" s="1">
        <v>86.0</v>
      </c>
      <c r="Y1190" s="1">
        <v>70.0</v>
      </c>
      <c r="Z1190" s="1">
        <v>1.0</v>
      </c>
    </row>
    <row r="1191">
      <c r="A1191" s="1" t="s">
        <v>2611</v>
      </c>
      <c r="B1191" s="1" t="s">
        <v>2770</v>
      </c>
      <c r="C1191" s="1" t="s">
        <v>2783</v>
      </c>
      <c r="D1191" s="1">
        <v>236.0</v>
      </c>
      <c r="E1191" s="1">
        <v>85.0</v>
      </c>
      <c r="F1191" s="1">
        <v>60.0</v>
      </c>
      <c r="G1191" s="1">
        <v>71.0</v>
      </c>
      <c r="H1191" s="1">
        <v>90.0</v>
      </c>
      <c r="I1191" s="1">
        <v>86.0</v>
      </c>
      <c r="J1191" s="1">
        <v>80.0</v>
      </c>
      <c r="K1191" s="1">
        <v>85.0</v>
      </c>
      <c r="L1191" s="1">
        <v>82.0</v>
      </c>
      <c r="M1191" s="1">
        <v>81.0</v>
      </c>
      <c r="N1191" s="1">
        <v>65.0</v>
      </c>
      <c r="O1191" s="1">
        <v>43.0</v>
      </c>
      <c r="P1191" s="1">
        <v>82.0</v>
      </c>
      <c r="Q1191" s="1">
        <v>61.0</v>
      </c>
      <c r="R1191" s="1">
        <v>37.0</v>
      </c>
      <c r="S1191" s="1">
        <v>79.0</v>
      </c>
      <c r="T1191" s="1">
        <v>87.0</v>
      </c>
      <c r="U1191" s="1">
        <v>88.0</v>
      </c>
      <c r="V1191" s="1">
        <v>60.0</v>
      </c>
      <c r="W1191" s="1">
        <v>45.0</v>
      </c>
      <c r="X1191" s="1">
        <v>86.0</v>
      </c>
      <c r="Y1191" s="1">
        <v>72.0</v>
      </c>
      <c r="Z1191" s="1">
        <v>1.0</v>
      </c>
    </row>
    <row r="1192">
      <c r="A1192" s="1" t="s">
        <v>2094</v>
      </c>
      <c r="B1192" s="1" t="s">
        <v>2770</v>
      </c>
      <c r="C1192" s="1" t="s">
        <v>2166</v>
      </c>
      <c r="D1192" s="1" t="s">
        <v>3071</v>
      </c>
      <c r="E1192" s="1" t="s">
        <v>113</v>
      </c>
      <c r="F1192" s="1" t="s">
        <v>1035</v>
      </c>
      <c r="G1192" s="1" t="s">
        <v>633</v>
      </c>
      <c r="H1192" s="1" t="s">
        <v>485</v>
      </c>
      <c r="I1192" s="1" t="s">
        <v>1122</v>
      </c>
      <c r="J1192" s="1">
        <v>70.0</v>
      </c>
      <c r="K1192" s="1">
        <v>80.0</v>
      </c>
      <c r="L1192" s="1" t="s">
        <v>1218</v>
      </c>
      <c r="M1192" s="1" t="s">
        <v>633</v>
      </c>
      <c r="N1192" s="1" t="s">
        <v>1086</v>
      </c>
      <c r="O1192" s="1" t="s">
        <v>3257</v>
      </c>
      <c r="P1192" s="1" t="s">
        <v>183</v>
      </c>
      <c r="Q1192" s="1" t="s">
        <v>2981</v>
      </c>
      <c r="R1192" s="1" t="s">
        <v>668</v>
      </c>
      <c r="S1192" s="1" t="s">
        <v>1226</v>
      </c>
      <c r="T1192" s="1" t="s">
        <v>122</v>
      </c>
      <c r="U1192" s="1" t="s">
        <v>431</v>
      </c>
      <c r="V1192" s="1" t="s">
        <v>1607</v>
      </c>
      <c r="W1192" s="1" t="s">
        <v>753</v>
      </c>
      <c r="X1192" s="1" t="s">
        <v>840</v>
      </c>
      <c r="Y1192" s="1">
        <v>80.0</v>
      </c>
      <c r="Z1192" s="1">
        <v>1.0</v>
      </c>
    </row>
    <row r="1193">
      <c r="A1193" s="1" t="s">
        <v>2540</v>
      </c>
      <c r="B1193" s="1" t="s">
        <v>2770</v>
      </c>
      <c r="C1193" s="1" t="s">
        <v>2776</v>
      </c>
      <c r="D1193" s="1" t="s">
        <v>3258</v>
      </c>
      <c r="E1193" s="1" t="s">
        <v>190</v>
      </c>
      <c r="F1193" s="1" t="s">
        <v>44</v>
      </c>
      <c r="G1193" s="1" t="s">
        <v>1211</v>
      </c>
      <c r="H1193" s="1">
        <v>81.0</v>
      </c>
      <c r="I1193" s="1" t="s">
        <v>2720</v>
      </c>
      <c r="J1193" s="1" t="s">
        <v>300</v>
      </c>
      <c r="K1193" s="1" t="s">
        <v>151</v>
      </c>
      <c r="L1193" s="1" t="s">
        <v>1820</v>
      </c>
      <c r="M1193" s="1" t="s">
        <v>657</v>
      </c>
      <c r="N1193" s="1" t="s">
        <v>2833</v>
      </c>
      <c r="O1193" s="1" t="s">
        <v>2786</v>
      </c>
      <c r="P1193" s="1" t="s">
        <v>1080</v>
      </c>
      <c r="Q1193" s="1" t="s">
        <v>674</v>
      </c>
      <c r="R1193" s="1" t="s">
        <v>3259</v>
      </c>
      <c r="S1193" s="1" t="s">
        <v>175</v>
      </c>
      <c r="T1193" s="1" t="s">
        <v>133</v>
      </c>
      <c r="U1193" s="1" t="s">
        <v>773</v>
      </c>
      <c r="V1193" s="1" t="s">
        <v>1008</v>
      </c>
      <c r="W1193" s="1" t="s">
        <v>3260</v>
      </c>
      <c r="X1193" s="1" t="s">
        <v>227</v>
      </c>
      <c r="Y1193" s="1" t="s">
        <v>48</v>
      </c>
      <c r="Z1193" s="1">
        <v>1.0</v>
      </c>
    </row>
    <row r="1194">
      <c r="A1194" s="1" t="s">
        <v>3261</v>
      </c>
      <c r="B1194" s="1" t="s">
        <v>2770</v>
      </c>
      <c r="C1194" s="1" t="s">
        <v>2783</v>
      </c>
      <c r="D1194" s="1">
        <v>267.0</v>
      </c>
      <c r="E1194" s="1">
        <v>94.0</v>
      </c>
      <c r="F1194" s="1">
        <v>68.0</v>
      </c>
      <c r="G1194" s="1">
        <v>53.0</v>
      </c>
      <c r="H1194" s="1">
        <v>90.0</v>
      </c>
      <c r="I1194" s="1">
        <v>95.0</v>
      </c>
      <c r="J1194" s="1">
        <v>90.0</v>
      </c>
      <c r="K1194" s="1">
        <v>80.0</v>
      </c>
      <c r="L1194" s="1">
        <v>67.0</v>
      </c>
      <c r="M1194" s="1">
        <v>25.0</v>
      </c>
      <c r="N1194" s="1">
        <v>45.0</v>
      </c>
      <c r="O1194" s="1">
        <v>26.0</v>
      </c>
      <c r="P1194" s="1">
        <v>92.0</v>
      </c>
      <c r="Q1194" s="1">
        <v>51.0</v>
      </c>
      <c r="R1194" s="1">
        <v>47.0</v>
      </c>
      <c r="S1194" s="1">
        <v>93.0</v>
      </c>
      <c r="T1194" s="1">
        <v>55.0</v>
      </c>
      <c r="U1194" s="1">
        <v>72.0</v>
      </c>
      <c r="V1194" s="1">
        <v>48.0</v>
      </c>
      <c r="W1194" s="1">
        <v>37.0</v>
      </c>
      <c r="X1194" s="1">
        <v>95.0</v>
      </c>
      <c r="Y1194" s="1">
        <v>66.0</v>
      </c>
      <c r="Z1194" s="1">
        <v>1.0</v>
      </c>
    </row>
    <row r="1195">
      <c r="A1195" s="1" t="s">
        <v>3262</v>
      </c>
      <c r="B1195" s="1" t="s">
        <v>2770</v>
      </c>
      <c r="C1195" s="1" t="s">
        <v>2783</v>
      </c>
      <c r="D1195" s="1">
        <v>230.0</v>
      </c>
      <c r="E1195" s="1">
        <v>94.0</v>
      </c>
      <c r="F1195" s="1">
        <v>70.0</v>
      </c>
      <c r="G1195" s="1">
        <v>75.0</v>
      </c>
      <c r="H1195" s="1">
        <v>72.0</v>
      </c>
      <c r="I1195" s="1">
        <v>87.0</v>
      </c>
      <c r="J1195" s="1">
        <v>79.0</v>
      </c>
      <c r="K1195" s="1">
        <v>78.0</v>
      </c>
      <c r="L1195" s="1">
        <v>78.0</v>
      </c>
      <c r="M1195" s="1">
        <v>93.0</v>
      </c>
      <c r="N1195" s="1">
        <v>43.0</v>
      </c>
      <c r="O1195" s="1">
        <v>25.0</v>
      </c>
      <c r="P1195" s="1">
        <v>87.0</v>
      </c>
      <c r="Q1195" s="1">
        <v>62.0</v>
      </c>
      <c r="R1195" s="1">
        <v>58.0</v>
      </c>
      <c r="S1195" s="1">
        <v>84.0</v>
      </c>
      <c r="T1195" s="1">
        <v>92.0</v>
      </c>
      <c r="U1195" s="1">
        <v>79.0</v>
      </c>
      <c r="V1195" s="1">
        <v>62.0</v>
      </c>
      <c r="W1195" s="1">
        <v>47.0</v>
      </c>
      <c r="X1195" s="1">
        <v>67.0</v>
      </c>
      <c r="Y1195" s="1">
        <v>70.0</v>
      </c>
      <c r="Z1195" s="1">
        <v>1.0</v>
      </c>
    </row>
    <row r="1196">
      <c r="A1196" s="1" t="s">
        <v>2408</v>
      </c>
      <c r="B1196" s="1" t="s">
        <v>2770</v>
      </c>
      <c r="C1196" s="1" t="s">
        <v>2327</v>
      </c>
      <c r="D1196" s="1">
        <v>253.0</v>
      </c>
      <c r="E1196" s="1">
        <v>80.0</v>
      </c>
      <c r="F1196" s="1">
        <v>70.0</v>
      </c>
      <c r="G1196" s="1">
        <v>73.0</v>
      </c>
      <c r="H1196" s="1">
        <v>93.0</v>
      </c>
      <c r="I1196" s="1">
        <v>64.0</v>
      </c>
      <c r="J1196" s="1">
        <v>85.0</v>
      </c>
      <c r="K1196" s="1">
        <v>80.0</v>
      </c>
      <c r="L1196" s="1">
        <v>61.0</v>
      </c>
      <c r="M1196" s="1">
        <v>82.0</v>
      </c>
      <c r="N1196" s="1">
        <v>48.0</v>
      </c>
      <c r="O1196" s="1">
        <v>30.0</v>
      </c>
      <c r="P1196" s="1">
        <v>80.0</v>
      </c>
      <c r="Q1196" s="1">
        <v>39.0</v>
      </c>
      <c r="R1196" s="1">
        <v>35.0</v>
      </c>
      <c r="S1196" s="1">
        <v>88.0</v>
      </c>
      <c r="T1196" s="1">
        <v>94.0</v>
      </c>
      <c r="U1196" s="1">
        <v>90.0</v>
      </c>
      <c r="V1196" s="1">
        <v>50.0</v>
      </c>
      <c r="W1196" s="1">
        <v>45.0</v>
      </c>
      <c r="X1196" s="1">
        <v>94.0</v>
      </c>
      <c r="Y1196" s="1">
        <v>82.0</v>
      </c>
      <c r="Z1196" s="1">
        <v>1.0</v>
      </c>
    </row>
    <row r="1197">
      <c r="A1197" s="1" t="s">
        <v>3263</v>
      </c>
      <c r="B1197" s="1" t="s">
        <v>2770</v>
      </c>
      <c r="C1197" s="1" t="s">
        <v>2115</v>
      </c>
      <c r="D1197" s="1">
        <v>245.0</v>
      </c>
      <c r="E1197" s="1">
        <v>87.0</v>
      </c>
      <c r="F1197" s="1">
        <v>89.0</v>
      </c>
      <c r="G1197" s="1">
        <v>89.0</v>
      </c>
      <c r="H1197" s="1">
        <v>90.0</v>
      </c>
      <c r="I1197" s="1">
        <v>65.0</v>
      </c>
      <c r="J1197" s="1">
        <v>75.0</v>
      </c>
      <c r="K1197" s="1">
        <v>85.0</v>
      </c>
      <c r="L1197" s="1">
        <v>60.0</v>
      </c>
      <c r="M1197" s="1">
        <v>71.0</v>
      </c>
      <c r="N1197" s="1">
        <v>73.0</v>
      </c>
      <c r="O1197" s="1">
        <v>62.0</v>
      </c>
      <c r="P1197" s="1">
        <v>77.0</v>
      </c>
      <c r="Q1197" s="1">
        <v>45.0</v>
      </c>
      <c r="R1197" s="1">
        <v>33.0</v>
      </c>
      <c r="S1197" s="1">
        <v>70.0</v>
      </c>
      <c r="T1197" s="1">
        <v>92.0</v>
      </c>
      <c r="U1197" s="1">
        <v>95.0</v>
      </c>
      <c r="V1197" s="1">
        <v>73.0</v>
      </c>
      <c r="W1197" s="1">
        <v>58.0</v>
      </c>
      <c r="X1197" s="1">
        <v>70.0</v>
      </c>
      <c r="Y1197" s="1">
        <v>78.0</v>
      </c>
      <c r="Z1197" s="1">
        <v>1.0</v>
      </c>
    </row>
    <row r="1198">
      <c r="A1198" s="1" t="s">
        <v>3264</v>
      </c>
      <c r="B1198" s="1" t="s">
        <v>2770</v>
      </c>
      <c r="C1198" s="1" t="s">
        <v>3031</v>
      </c>
      <c r="D1198" s="1">
        <v>232.0</v>
      </c>
      <c r="E1198" s="1">
        <v>78.0</v>
      </c>
      <c r="F1198" s="1">
        <v>82.0</v>
      </c>
      <c r="G1198" s="1">
        <v>81.0</v>
      </c>
      <c r="H1198" s="1">
        <v>93.0</v>
      </c>
      <c r="I1198" s="1">
        <v>55.0</v>
      </c>
      <c r="J1198" s="1">
        <v>78.0</v>
      </c>
      <c r="K1198" s="1">
        <v>77.0</v>
      </c>
      <c r="L1198" s="1">
        <v>60.0</v>
      </c>
      <c r="M1198" s="1">
        <v>77.0</v>
      </c>
      <c r="N1198" s="1">
        <v>45.0</v>
      </c>
      <c r="O1198" s="1">
        <v>48.0</v>
      </c>
      <c r="P1198" s="1">
        <v>80.0</v>
      </c>
      <c r="Q1198" s="1">
        <v>34.0</v>
      </c>
      <c r="R1198" s="1">
        <v>35.0</v>
      </c>
      <c r="S1198" s="1">
        <v>84.0</v>
      </c>
      <c r="T1198" s="1">
        <v>80.0</v>
      </c>
      <c r="U1198" s="1">
        <v>98.0</v>
      </c>
      <c r="V1198" s="1">
        <v>64.0</v>
      </c>
      <c r="W1198" s="1">
        <v>49.0</v>
      </c>
      <c r="X1198" s="1">
        <v>80.0</v>
      </c>
      <c r="Y1198" s="1">
        <v>77.0</v>
      </c>
      <c r="Z1198" s="1">
        <v>1.0</v>
      </c>
    </row>
    <row r="1199">
      <c r="A1199" s="1" t="s">
        <v>2712</v>
      </c>
      <c r="B1199" s="1" t="s">
        <v>2770</v>
      </c>
      <c r="C1199" s="1" t="s">
        <v>1534</v>
      </c>
      <c r="D1199" s="1">
        <v>284.0</v>
      </c>
      <c r="E1199" s="1">
        <v>87.0</v>
      </c>
      <c r="F1199" s="1">
        <v>84.0</v>
      </c>
      <c r="G1199" s="1">
        <v>30.0</v>
      </c>
      <c r="H1199" s="1">
        <v>25.0</v>
      </c>
      <c r="I1199" s="1">
        <v>58.0</v>
      </c>
      <c r="J1199" s="1">
        <v>92.0</v>
      </c>
      <c r="K1199" s="1">
        <v>90.0</v>
      </c>
      <c r="L1199" s="1">
        <v>67.0</v>
      </c>
      <c r="M1199" s="1">
        <v>60.0</v>
      </c>
      <c r="N1199" s="1">
        <v>44.0</v>
      </c>
      <c r="O1199" s="1">
        <v>42.0</v>
      </c>
      <c r="P1199" s="1">
        <v>99.0</v>
      </c>
      <c r="Q1199" s="1">
        <v>81.0</v>
      </c>
      <c r="R1199" s="1">
        <v>54.0</v>
      </c>
      <c r="S1199" s="1">
        <v>73.0</v>
      </c>
      <c r="T1199" s="1">
        <v>95.0</v>
      </c>
      <c r="U1199" s="1">
        <v>95.0</v>
      </c>
      <c r="V1199" s="1">
        <v>69.0</v>
      </c>
      <c r="W1199" s="1">
        <v>61.0</v>
      </c>
      <c r="X1199" s="1">
        <v>80.0</v>
      </c>
      <c r="Y1199" s="1">
        <v>50.0</v>
      </c>
      <c r="Z1199" s="1">
        <v>1.0</v>
      </c>
    </row>
    <row r="1200">
      <c r="A1200" s="1" t="s">
        <v>3265</v>
      </c>
      <c r="B1200" s="1" t="s">
        <v>2770</v>
      </c>
      <c r="C1200" s="1" t="s">
        <v>2327</v>
      </c>
      <c r="D1200" s="1">
        <v>236.0</v>
      </c>
      <c r="E1200" s="1">
        <v>84.0</v>
      </c>
      <c r="F1200" s="1">
        <v>59.0</v>
      </c>
      <c r="G1200" s="1">
        <v>73.0</v>
      </c>
      <c r="H1200" s="1">
        <v>90.0</v>
      </c>
      <c r="I1200" s="1">
        <v>87.0</v>
      </c>
      <c r="J1200" s="1">
        <v>70.0</v>
      </c>
      <c r="K1200" s="1">
        <v>80.0</v>
      </c>
      <c r="L1200" s="1">
        <v>55.0</v>
      </c>
      <c r="M1200" s="1">
        <v>87.0</v>
      </c>
      <c r="N1200" s="1">
        <v>60.0</v>
      </c>
      <c r="O1200" s="1">
        <v>60.0</v>
      </c>
      <c r="P1200" s="1">
        <v>82.0</v>
      </c>
      <c r="Q1200" s="1">
        <v>62.0</v>
      </c>
      <c r="R1200" s="1">
        <v>37.0</v>
      </c>
      <c r="S1200" s="1">
        <v>84.0</v>
      </c>
      <c r="T1200" s="1">
        <v>80.0</v>
      </c>
      <c r="U1200" s="1">
        <v>94.0</v>
      </c>
      <c r="V1200" s="1">
        <v>72.0</v>
      </c>
      <c r="W1200" s="1">
        <v>61.0</v>
      </c>
      <c r="X1200" s="1">
        <v>86.0</v>
      </c>
      <c r="Y1200" s="1">
        <v>83.0</v>
      </c>
      <c r="Z1200" s="1">
        <v>1.0</v>
      </c>
    </row>
    <row r="1201">
      <c r="A1201" s="1" t="s">
        <v>2703</v>
      </c>
      <c r="B1201" s="1" t="s">
        <v>2770</v>
      </c>
      <c r="C1201" s="1" t="s">
        <v>2115</v>
      </c>
      <c r="D1201" s="1">
        <v>250.0</v>
      </c>
      <c r="E1201" s="1">
        <v>82.0</v>
      </c>
      <c r="F1201" s="1">
        <v>67.0</v>
      </c>
      <c r="G1201" s="1">
        <v>87.0</v>
      </c>
      <c r="H1201" s="1">
        <v>82.0</v>
      </c>
      <c r="I1201" s="1">
        <v>57.0</v>
      </c>
      <c r="J1201" s="1">
        <v>87.0</v>
      </c>
      <c r="K1201" s="1">
        <v>85.0</v>
      </c>
      <c r="L1201" s="1">
        <v>62.0</v>
      </c>
      <c r="M1201" s="1">
        <v>71.0</v>
      </c>
      <c r="N1201" s="1">
        <v>47.0</v>
      </c>
      <c r="O1201" s="1">
        <v>30.0</v>
      </c>
      <c r="P1201" s="1">
        <v>80.0</v>
      </c>
      <c r="Q1201" s="1">
        <v>40.0</v>
      </c>
      <c r="R1201" s="1">
        <v>70.0</v>
      </c>
      <c r="S1201" s="1">
        <v>88.0</v>
      </c>
      <c r="T1201" s="1">
        <v>90.0</v>
      </c>
      <c r="U1201" s="1">
        <v>92.0</v>
      </c>
      <c r="V1201" s="1">
        <v>70.0</v>
      </c>
      <c r="W1201" s="1">
        <v>60.0</v>
      </c>
      <c r="X1201" s="1">
        <v>85.0</v>
      </c>
      <c r="Y1201" s="1">
        <v>83.0</v>
      </c>
      <c r="Z1201" s="1">
        <v>1.0</v>
      </c>
    </row>
    <row r="1202">
      <c r="A1202" s="1" t="s">
        <v>2306</v>
      </c>
      <c r="B1202" s="1" t="s">
        <v>2770</v>
      </c>
      <c r="C1202" s="1" t="s">
        <v>2327</v>
      </c>
      <c r="D1202" s="1">
        <v>230.0</v>
      </c>
      <c r="E1202" s="1">
        <v>85.0</v>
      </c>
      <c r="F1202" s="1">
        <v>90.0</v>
      </c>
      <c r="G1202" s="1">
        <v>81.0</v>
      </c>
      <c r="H1202" s="1">
        <v>75.0</v>
      </c>
      <c r="I1202" s="1">
        <v>86.0</v>
      </c>
      <c r="J1202" s="1">
        <v>82.0</v>
      </c>
      <c r="K1202" s="1">
        <v>90.0</v>
      </c>
      <c r="L1202" s="1">
        <v>76.0</v>
      </c>
      <c r="M1202" s="1">
        <v>81.0</v>
      </c>
      <c r="N1202" s="1">
        <v>74.0</v>
      </c>
      <c r="O1202" s="1">
        <v>62.0</v>
      </c>
      <c r="P1202" s="1">
        <v>75.0</v>
      </c>
      <c r="Q1202" s="1">
        <v>68.0</v>
      </c>
      <c r="R1202" s="1">
        <v>60.0</v>
      </c>
      <c r="S1202" s="1">
        <v>84.0</v>
      </c>
      <c r="T1202" s="1">
        <v>80.0</v>
      </c>
      <c r="U1202" s="1">
        <v>85.0</v>
      </c>
      <c r="V1202" s="1">
        <v>73.0</v>
      </c>
      <c r="W1202" s="1">
        <v>63.0</v>
      </c>
      <c r="X1202" s="1">
        <v>84.0</v>
      </c>
      <c r="Y1202" s="1">
        <v>80.0</v>
      </c>
      <c r="Z1202" s="1">
        <v>1.0</v>
      </c>
    </row>
    <row r="1203">
      <c r="A1203" s="1" t="s">
        <v>3266</v>
      </c>
      <c r="B1203" s="1" t="s">
        <v>2770</v>
      </c>
      <c r="C1203" s="1" t="s">
        <v>2327</v>
      </c>
      <c r="D1203" s="1">
        <v>239.0</v>
      </c>
      <c r="E1203" s="1">
        <v>85.0</v>
      </c>
      <c r="F1203" s="1">
        <v>80.0</v>
      </c>
      <c r="G1203" s="1">
        <v>87.0</v>
      </c>
      <c r="H1203" s="1">
        <v>85.0</v>
      </c>
      <c r="I1203" s="1">
        <v>76.0</v>
      </c>
      <c r="J1203" s="1">
        <v>87.0</v>
      </c>
      <c r="K1203" s="1">
        <v>80.0</v>
      </c>
      <c r="L1203" s="1">
        <v>70.0</v>
      </c>
      <c r="M1203" s="1">
        <v>90.0</v>
      </c>
      <c r="N1203" s="1">
        <v>70.0</v>
      </c>
      <c r="O1203" s="1">
        <v>60.0</v>
      </c>
      <c r="P1203" s="1">
        <v>80.0</v>
      </c>
      <c r="Q1203" s="1">
        <v>50.0</v>
      </c>
      <c r="R1203" s="1">
        <v>60.0</v>
      </c>
      <c r="S1203" s="1">
        <v>80.0</v>
      </c>
      <c r="T1203" s="1">
        <v>75.0</v>
      </c>
      <c r="U1203" s="1">
        <v>90.0</v>
      </c>
      <c r="V1203" s="1">
        <v>71.0</v>
      </c>
      <c r="W1203" s="1">
        <v>60.0</v>
      </c>
      <c r="X1203" s="1">
        <v>86.0</v>
      </c>
      <c r="Y1203" s="1">
        <v>77.0</v>
      </c>
      <c r="Z1203" s="1">
        <v>1.0</v>
      </c>
    </row>
    <row r="1204">
      <c r="A1204" s="1" t="s">
        <v>3267</v>
      </c>
      <c r="B1204" s="1" t="s">
        <v>2770</v>
      </c>
      <c r="C1204" s="1" t="s">
        <v>1534</v>
      </c>
      <c r="D1204" s="1">
        <v>250.0</v>
      </c>
      <c r="E1204" s="1">
        <v>70.0</v>
      </c>
      <c r="F1204" s="1">
        <v>69.0</v>
      </c>
      <c r="G1204" s="1">
        <v>87.0</v>
      </c>
      <c r="H1204" s="1">
        <v>55.0</v>
      </c>
      <c r="I1204" s="1">
        <v>60.0</v>
      </c>
      <c r="J1204" s="1">
        <v>70.0</v>
      </c>
      <c r="K1204" s="1">
        <v>80.0</v>
      </c>
      <c r="L1204" s="1">
        <v>55.0</v>
      </c>
      <c r="M1204" s="1">
        <v>71.0</v>
      </c>
      <c r="N1204" s="1">
        <v>47.0</v>
      </c>
      <c r="O1204" s="1">
        <v>50.0</v>
      </c>
      <c r="P1204" s="1">
        <v>71.0</v>
      </c>
      <c r="Q1204" s="1">
        <v>83.0</v>
      </c>
      <c r="R1204" s="1">
        <v>73.0</v>
      </c>
      <c r="S1204" s="1">
        <v>74.0</v>
      </c>
      <c r="T1204" s="1">
        <v>81.0</v>
      </c>
      <c r="U1204" s="1">
        <v>94.0</v>
      </c>
      <c r="V1204" s="1">
        <v>80.0</v>
      </c>
      <c r="W1204" s="1">
        <v>75.0</v>
      </c>
      <c r="X1204" s="1">
        <v>91.0</v>
      </c>
      <c r="Y1204" s="1">
        <v>88.0</v>
      </c>
      <c r="Z1204" s="1">
        <v>1.0</v>
      </c>
    </row>
    <row r="1205">
      <c r="A1205" s="1" t="s">
        <v>3268</v>
      </c>
      <c r="B1205" s="1" t="s">
        <v>2770</v>
      </c>
      <c r="C1205" s="1" t="s">
        <v>2327</v>
      </c>
      <c r="D1205" s="1">
        <v>239.0</v>
      </c>
      <c r="E1205" s="1">
        <v>92.0</v>
      </c>
      <c r="F1205" s="1">
        <v>69.0</v>
      </c>
      <c r="G1205" s="1">
        <v>68.0</v>
      </c>
      <c r="H1205" s="1">
        <v>90.0</v>
      </c>
      <c r="I1205" s="1">
        <v>77.0</v>
      </c>
      <c r="J1205" s="1">
        <v>68.0</v>
      </c>
      <c r="K1205" s="1">
        <v>78.0</v>
      </c>
      <c r="L1205" s="1">
        <v>92.0</v>
      </c>
      <c r="M1205" s="1">
        <v>75.0</v>
      </c>
      <c r="N1205" s="1">
        <v>51.0</v>
      </c>
      <c r="O1205" s="1">
        <v>41.0</v>
      </c>
      <c r="P1205" s="1">
        <v>85.0</v>
      </c>
      <c r="Q1205" s="1">
        <v>35.0</v>
      </c>
      <c r="R1205" s="1">
        <v>42.0</v>
      </c>
      <c r="S1205" s="1">
        <v>97.0</v>
      </c>
      <c r="T1205" s="1">
        <v>70.0</v>
      </c>
      <c r="U1205" s="1">
        <v>92.0</v>
      </c>
      <c r="V1205" s="1">
        <v>60.0</v>
      </c>
      <c r="W1205" s="1">
        <v>60.0</v>
      </c>
      <c r="X1205" s="1">
        <v>83.0</v>
      </c>
      <c r="Y1205" s="1">
        <v>83.0</v>
      </c>
      <c r="Z1205" s="1">
        <v>1.0</v>
      </c>
    </row>
    <row r="1206">
      <c r="A1206" s="1" t="s">
        <v>3269</v>
      </c>
      <c r="B1206" s="1" t="s">
        <v>2770</v>
      </c>
      <c r="C1206" s="1" t="s">
        <v>2327</v>
      </c>
      <c r="D1206" s="1">
        <v>246.0</v>
      </c>
      <c r="E1206" s="1">
        <v>82.0</v>
      </c>
      <c r="F1206" s="1">
        <v>85.0</v>
      </c>
      <c r="G1206" s="1">
        <v>81.0</v>
      </c>
      <c r="H1206" s="1">
        <v>90.0</v>
      </c>
      <c r="I1206" s="1">
        <v>79.0</v>
      </c>
      <c r="J1206" s="1">
        <v>85.0</v>
      </c>
      <c r="K1206" s="1">
        <v>89.0</v>
      </c>
      <c r="L1206" s="1">
        <v>70.0</v>
      </c>
      <c r="M1206" s="1">
        <v>87.0</v>
      </c>
      <c r="N1206" s="1">
        <v>74.0</v>
      </c>
      <c r="O1206" s="1">
        <v>59.0</v>
      </c>
      <c r="P1206" s="1">
        <v>85.0</v>
      </c>
      <c r="Q1206" s="1">
        <v>40.0</v>
      </c>
      <c r="R1206" s="1">
        <v>42.0</v>
      </c>
      <c r="S1206" s="1">
        <v>88.0</v>
      </c>
      <c r="T1206" s="1">
        <v>70.0</v>
      </c>
      <c r="U1206" s="1">
        <v>85.0</v>
      </c>
      <c r="V1206" s="1">
        <v>70.0</v>
      </c>
      <c r="W1206" s="1">
        <v>58.0</v>
      </c>
      <c r="X1206" s="1">
        <v>83.0</v>
      </c>
      <c r="Y1206" s="1">
        <v>81.0</v>
      </c>
      <c r="Z1206" s="1">
        <v>1.0</v>
      </c>
    </row>
    <row r="1207">
      <c r="A1207" s="1" t="s">
        <v>2710</v>
      </c>
      <c r="B1207" s="1" t="s">
        <v>2770</v>
      </c>
      <c r="C1207" s="1" t="s">
        <v>2994</v>
      </c>
      <c r="D1207" s="1">
        <v>247.0</v>
      </c>
      <c r="E1207" s="1">
        <v>92.0</v>
      </c>
      <c r="F1207" s="1">
        <v>83.0</v>
      </c>
      <c r="G1207" s="1">
        <v>80.0</v>
      </c>
      <c r="H1207" s="1">
        <v>90.0</v>
      </c>
      <c r="I1207" s="1">
        <v>77.0</v>
      </c>
      <c r="J1207" s="1">
        <v>73.0</v>
      </c>
      <c r="K1207" s="1">
        <v>83.0</v>
      </c>
      <c r="L1207" s="1">
        <v>59.0</v>
      </c>
      <c r="M1207" s="1">
        <v>65.0</v>
      </c>
      <c r="N1207" s="1">
        <v>45.0</v>
      </c>
      <c r="O1207" s="1">
        <v>45.0</v>
      </c>
      <c r="P1207" s="1">
        <v>85.0</v>
      </c>
      <c r="Q1207" s="1">
        <v>36.0</v>
      </c>
      <c r="R1207" s="1">
        <v>41.0</v>
      </c>
      <c r="S1207" s="1">
        <v>84.0</v>
      </c>
      <c r="T1207" s="1">
        <v>94.0</v>
      </c>
      <c r="U1207" s="1">
        <v>80.0</v>
      </c>
      <c r="V1207" s="1">
        <v>64.0</v>
      </c>
      <c r="W1207" s="1">
        <v>51.0</v>
      </c>
      <c r="X1207" s="1">
        <v>91.0</v>
      </c>
      <c r="Y1207" s="1">
        <v>79.0</v>
      </c>
      <c r="Z1207" s="1">
        <v>1.0</v>
      </c>
    </row>
    <row r="1208">
      <c r="A1208" s="1" t="s">
        <v>2230</v>
      </c>
      <c r="B1208" s="1" t="s">
        <v>2770</v>
      </c>
      <c r="C1208" s="1" t="s">
        <v>2933</v>
      </c>
      <c r="D1208" s="1" t="s">
        <v>3270</v>
      </c>
      <c r="E1208" s="1" t="s">
        <v>878</v>
      </c>
      <c r="F1208" s="1" t="s">
        <v>190</v>
      </c>
      <c r="G1208" s="1" t="s">
        <v>266</v>
      </c>
      <c r="H1208" s="1">
        <v>81.0</v>
      </c>
      <c r="I1208" s="1" t="s">
        <v>206</v>
      </c>
      <c r="J1208" s="1" t="s">
        <v>190</v>
      </c>
      <c r="K1208" s="1" t="s">
        <v>525</v>
      </c>
      <c r="L1208" s="1" t="s">
        <v>1025</v>
      </c>
      <c r="M1208" s="1" t="s">
        <v>583</v>
      </c>
      <c r="N1208" s="1" t="s">
        <v>892</v>
      </c>
      <c r="O1208" s="1" t="s">
        <v>3271</v>
      </c>
      <c r="P1208" s="1" t="s">
        <v>582</v>
      </c>
      <c r="Q1208" s="1" t="s">
        <v>1947</v>
      </c>
      <c r="R1208" s="1" t="s">
        <v>2352</v>
      </c>
      <c r="S1208" s="1">
        <v>93.0</v>
      </c>
      <c r="T1208" s="1" t="s">
        <v>742</v>
      </c>
      <c r="U1208" s="1" t="s">
        <v>133</v>
      </c>
      <c r="V1208" s="1" t="s">
        <v>204</v>
      </c>
      <c r="W1208" s="1" t="s">
        <v>1221</v>
      </c>
      <c r="X1208" s="1" t="s">
        <v>213</v>
      </c>
      <c r="Y1208" s="1" t="s">
        <v>213</v>
      </c>
      <c r="Z1208" s="1">
        <v>1.0</v>
      </c>
    </row>
    <row r="1209">
      <c r="A1209" s="1" t="s">
        <v>3272</v>
      </c>
      <c r="B1209" s="1" t="s">
        <v>2770</v>
      </c>
      <c r="C1209" s="1" t="s">
        <v>2327</v>
      </c>
      <c r="D1209" s="1">
        <v>246.0</v>
      </c>
      <c r="E1209" s="1">
        <v>84.0</v>
      </c>
      <c r="F1209" s="1">
        <v>80.0</v>
      </c>
      <c r="G1209" s="1">
        <v>80.0</v>
      </c>
      <c r="H1209" s="1">
        <v>90.0</v>
      </c>
      <c r="I1209" s="1">
        <v>79.0</v>
      </c>
      <c r="J1209" s="1">
        <v>80.0</v>
      </c>
      <c r="K1209" s="1">
        <v>75.0</v>
      </c>
      <c r="L1209" s="1">
        <v>73.0</v>
      </c>
      <c r="M1209" s="1">
        <v>65.0</v>
      </c>
      <c r="N1209" s="1">
        <v>67.0</v>
      </c>
      <c r="O1209" s="1">
        <v>55.0</v>
      </c>
      <c r="P1209" s="1">
        <v>88.0</v>
      </c>
      <c r="Q1209" s="1">
        <v>62.0</v>
      </c>
      <c r="R1209" s="1">
        <v>44.0</v>
      </c>
      <c r="S1209" s="1">
        <v>93.0</v>
      </c>
      <c r="T1209" s="1">
        <v>67.0</v>
      </c>
      <c r="U1209" s="1">
        <v>92.0</v>
      </c>
      <c r="V1209" s="1">
        <v>70.0</v>
      </c>
      <c r="W1209" s="1">
        <v>58.0</v>
      </c>
      <c r="X1209" s="1">
        <v>84.0</v>
      </c>
      <c r="Y1209" s="1">
        <v>74.0</v>
      </c>
      <c r="Z1209" s="1">
        <v>1.0</v>
      </c>
    </row>
    <row r="1210">
      <c r="A1210" s="1" t="s">
        <v>3273</v>
      </c>
      <c r="B1210" s="1" t="s">
        <v>2770</v>
      </c>
      <c r="C1210" s="1" t="s">
        <v>2327</v>
      </c>
      <c r="D1210" s="1">
        <v>248.0</v>
      </c>
      <c r="E1210" s="1">
        <v>84.0</v>
      </c>
      <c r="F1210" s="1">
        <v>67.0</v>
      </c>
      <c r="G1210" s="1">
        <v>87.0</v>
      </c>
      <c r="H1210" s="1">
        <v>90.0</v>
      </c>
      <c r="I1210" s="1">
        <v>75.0</v>
      </c>
      <c r="J1210" s="1">
        <v>80.0</v>
      </c>
      <c r="K1210" s="1">
        <v>78.0</v>
      </c>
      <c r="L1210" s="1">
        <v>56.0</v>
      </c>
      <c r="M1210" s="1">
        <v>82.0</v>
      </c>
      <c r="N1210" s="1">
        <v>55.0</v>
      </c>
      <c r="O1210" s="1">
        <v>58.0</v>
      </c>
      <c r="P1210" s="1">
        <v>82.0</v>
      </c>
      <c r="Q1210" s="1">
        <v>56.0</v>
      </c>
      <c r="R1210" s="1">
        <v>60.0</v>
      </c>
      <c r="S1210" s="1">
        <v>74.0</v>
      </c>
      <c r="T1210" s="1">
        <v>94.0</v>
      </c>
      <c r="U1210" s="1">
        <v>87.0</v>
      </c>
      <c r="V1210" s="1">
        <v>69.0</v>
      </c>
      <c r="W1210" s="1">
        <v>57.0</v>
      </c>
      <c r="X1210" s="1">
        <v>85.0</v>
      </c>
      <c r="Y1210" s="1">
        <v>77.0</v>
      </c>
      <c r="Z1210" s="1">
        <v>1.0</v>
      </c>
    </row>
    <row r="1211">
      <c r="A1211" s="1" t="s">
        <v>3274</v>
      </c>
      <c r="B1211" s="1" t="s">
        <v>2770</v>
      </c>
      <c r="C1211" s="1" t="s">
        <v>2115</v>
      </c>
      <c r="D1211" s="1">
        <v>223.0</v>
      </c>
      <c r="E1211" s="1">
        <v>80.0</v>
      </c>
      <c r="F1211" s="1">
        <v>70.0</v>
      </c>
      <c r="G1211" s="1">
        <v>75.0</v>
      </c>
      <c r="H1211" s="1">
        <v>72.0</v>
      </c>
      <c r="I1211" s="1">
        <v>70.0</v>
      </c>
      <c r="J1211" s="1">
        <v>82.0</v>
      </c>
      <c r="K1211" s="1">
        <v>78.0</v>
      </c>
      <c r="L1211" s="1">
        <v>91.0</v>
      </c>
      <c r="M1211" s="1">
        <v>87.0</v>
      </c>
      <c r="N1211" s="1">
        <v>70.0</v>
      </c>
      <c r="O1211" s="1">
        <v>65.0</v>
      </c>
      <c r="P1211" s="1">
        <v>82.0</v>
      </c>
      <c r="Q1211" s="1">
        <v>42.0</v>
      </c>
      <c r="R1211" s="1">
        <v>60.0</v>
      </c>
      <c r="S1211" s="1">
        <v>88.0</v>
      </c>
      <c r="T1211" s="1">
        <v>90.0</v>
      </c>
      <c r="U1211" s="1">
        <v>92.0</v>
      </c>
      <c r="V1211" s="1">
        <v>70.0</v>
      </c>
      <c r="W1211" s="1">
        <v>69.0</v>
      </c>
      <c r="X1211" s="1">
        <v>78.0</v>
      </c>
      <c r="Y1211" s="1">
        <v>80.0</v>
      </c>
      <c r="Z1211" s="1">
        <v>1.0</v>
      </c>
    </row>
    <row r="1212">
      <c r="A1212" s="1" t="s">
        <v>3275</v>
      </c>
      <c r="B1212" s="1" t="s">
        <v>2770</v>
      </c>
      <c r="C1212" s="1" t="s">
        <v>2783</v>
      </c>
      <c r="D1212" s="1">
        <v>230.0</v>
      </c>
      <c r="E1212" s="1">
        <v>84.0</v>
      </c>
      <c r="F1212" s="1">
        <v>70.0</v>
      </c>
      <c r="G1212" s="1">
        <v>75.0</v>
      </c>
      <c r="H1212" s="1">
        <v>95.0</v>
      </c>
      <c r="I1212" s="1">
        <v>67.0</v>
      </c>
      <c r="J1212" s="1">
        <v>77.0</v>
      </c>
      <c r="K1212" s="1">
        <v>76.0</v>
      </c>
      <c r="L1212" s="1">
        <v>81.0</v>
      </c>
      <c r="M1212" s="1">
        <v>93.0</v>
      </c>
      <c r="N1212" s="1">
        <v>43.0</v>
      </c>
      <c r="O1212" s="1">
        <v>41.0</v>
      </c>
      <c r="P1212" s="1">
        <v>85.0</v>
      </c>
      <c r="Q1212" s="1">
        <v>62.0</v>
      </c>
      <c r="R1212" s="1">
        <v>40.0</v>
      </c>
      <c r="S1212" s="1">
        <v>74.0</v>
      </c>
      <c r="T1212" s="1">
        <v>94.0</v>
      </c>
      <c r="U1212" s="1">
        <v>80.0</v>
      </c>
      <c r="V1212" s="1">
        <v>62.0</v>
      </c>
      <c r="W1212" s="1">
        <v>47.0</v>
      </c>
      <c r="X1212" s="1">
        <v>72.0</v>
      </c>
      <c r="Y1212" s="1">
        <v>73.0</v>
      </c>
      <c r="Z1212" s="1">
        <v>1.0</v>
      </c>
    </row>
    <row r="1213">
      <c r="A1213" s="1" t="s">
        <v>3276</v>
      </c>
      <c r="B1213" s="1" t="s">
        <v>2770</v>
      </c>
      <c r="C1213" s="1" t="s">
        <v>1534</v>
      </c>
      <c r="D1213" s="1">
        <v>270.0</v>
      </c>
      <c r="E1213" s="1">
        <v>74.0</v>
      </c>
      <c r="F1213" s="1">
        <v>67.0</v>
      </c>
      <c r="G1213" s="1">
        <v>87.0</v>
      </c>
      <c r="H1213" s="1">
        <v>81.0</v>
      </c>
      <c r="I1213" s="1">
        <v>56.0</v>
      </c>
      <c r="J1213" s="1">
        <v>83.0</v>
      </c>
      <c r="K1213" s="1">
        <v>80.0</v>
      </c>
      <c r="L1213" s="1">
        <v>62.0</v>
      </c>
      <c r="M1213" s="1">
        <v>55.0</v>
      </c>
      <c r="N1213" s="1">
        <v>55.0</v>
      </c>
      <c r="O1213" s="1">
        <v>51.0</v>
      </c>
      <c r="P1213" s="1">
        <v>74.0</v>
      </c>
      <c r="Q1213" s="1">
        <v>71.0</v>
      </c>
      <c r="R1213" s="1">
        <v>41.0</v>
      </c>
      <c r="S1213" s="1">
        <v>78.0</v>
      </c>
      <c r="T1213" s="1">
        <v>89.0</v>
      </c>
      <c r="U1213" s="1">
        <v>94.0</v>
      </c>
      <c r="V1213" s="1">
        <v>78.0</v>
      </c>
      <c r="W1213" s="1">
        <v>72.0</v>
      </c>
      <c r="X1213" s="1">
        <v>91.0</v>
      </c>
      <c r="Y1213" s="1">
        <v>79.0</v>
      </c>
      <c r="Z1213" s="1">
        <v>1.0</v>
      </c>
    </row>
    <row r="1214">
      <c r="A1214" s="1" t="s">
        <v>2521</v>
      </c>
      <c r="B1214" s="1" t="s">
        <v>2770</v>
      </c>
      <c r="C1214" s="1" t="s">
        <v>2115</v>
      </c>
      <c r="D1214" s="1">
        <v>250.0</v>
      </c>
      <c r="E1214" s="1">
        <v>85.0</v>
      </c>
      <c r="F1214" s="1">
        <v>60.0</v>
      </c>
      <c r="G1214" s="1">
        <v>72.0</v>
      </c>
      <c r="H1214" s="1">
        <v>90.0</v>
      </c>
      <c r="I1214" s="1">
        <v>87.0</v>
      </c>
      <c r="J1214" s="1">
        <v>73.0</v>
      </c>
      <c r="K1214" s="1">
        <v>78.0</v>
      </c>
      <c r="L1214" s="1">
        <v>59.0</v>
      </c>
      <c r="M1214" s="1">
        <v>76.0</v>
      </c>
      <c r="N1214" s="1">
        <v>45.0</v>
      </c>
      <c r="O1214" s="1">
        <v>30.0</v>
      </c>
      <c r="P1214" s="1">
        <v>85.0</v>
      </c>
      <c r="Q1214" s="1">
        <v>40.0</v>
      </c>
      <c r="R1214" s="1">
        <v>40.0</v>
      </c>
      <c r="S1214" s="1">
        <v>88.0</v>
      </c>
      <c r="T1214" s="1">
        <v>90.0</v>
      </c>
      <c r="U1214" s="1">
        <v>85.0</v>
      </c>
      <c r="V1214" s="1">
        <v>60.0</v>
      </c>
      <c r="W1214" s="1">
        <v>47.0</v>
      </c>
      <c r="X1214" s="1">
        <v>95.0</v>
      </c>
      <c r="Y1214" s="1">
        <v>80.0</v>
      </c>
      <c r="Z1214" s="1">
        <v>1.0</v>
      </c>
    </row>
    <row r="1215">
      <c r="A1215" s="1" t="s">
        <v>3277</v>
      </c>
      <c r="B1215" s="1" t="s">
        <v>2770</v>
      </c>
      <c r="C1215" s="1" t="s">
        <v>2327</v>
      </c>
      <c r="D1215" s="1">
        <v>253.0</v>
      </c>
      <c r="E1215" s="1">
        <v>87.0</v>
      </c>
      <c r="F1215" s="1">
        <v>62.0</v>
      </c>
      <c r="G1215" s="1">
        <v>63.0</v>
      </c>
      <c r="H1215" s="1">
        <v>90.0</v>
      </c>
      <c r="I1215" s="1">
        <v>87.0</v>
      </c>
      <c r="J1215" s="1">
        <v>89.0</v>
      </c>
      <c r="K1215" s="1">
        <v>71.0</v>
      </c>
      <c r="L1215" s="1">
        <v>71.0</v>
      </c>
      <c r="M1215" s="1">
        <v>87.0</v>
      </c>
      <c r="N1215" s="1">
        <v>52.0</v>
      </c>
      <c r="O1215" s="1">
        <v>51.0</v>
      </c>
      <c r="P1215" s="1">
        <v>88.0</v>
      </c>
      <c r="Q1215" s="1">
        <v>38.0</v>
      </c>
      <c r="R1215" s="1">
        <v>43.0</v>
      </c>
      <c r="S1215" s="1">
        <v>93.0</v>
      </c>
      <c r="T1215" s="1">
        <v>90.0</v>
      </c>
      <c r="U1215" s="1">
        <v>81.0</v>
      </c>
      <c r="V1215" s="1">
        <v>51.0</v>
      </c>
      <c r="W1215" s="1">
        <v>54.0</v>
      </c>
      <c r="X1215" s="1">
        <v>86.0</v>
      </c>
      <c r="Y1215" s="1">
        <v>78.0</v>
      </c>
      <c r="Z1215" s="1">
        <v>1.0</v>
      </c>
    </row>
    <row r="1216">
      <c r="A1216" s="1" t="s">
        <v>528</v>
      </c>
      <c r="B1216" s="1" t="s">
        <v>2770</v>
      </c>
      <c r="C1216" s="1" t="s">
        <v>970</v>
      </c>
      <c r="D1216" s="1">
        <v>215.0</v>
      </c>
      <c r="E1216" s="1">
        <v>63.0</v>
      </c>
      <c r="F1216" s="1">
        <v>65.0</v>
      </c>
      <c r="G1216" s="1">
        <v>75.0</v>
      </c>
      <c r="H1216" s="1">
        <v>45.0</v>
      </c>
      <c r="I1216" s="1">
        <v>50.0</v>
      </c>
      <c r="J1216" s="1">
        <v>78.0</v>
      </c>
      <c r="K1216" s="1">
        <v>88.0</v>
      </c>
      <c r="L1216" s="1">
        <v>78.0</v>
      </c>
      <c r="M1216" s="1">
        <v>87.0</v>
      </c>
      <c r="N1216" s="1">
        <v>80.0</v>
      </c>
      <c r="O1216" s="1">
        <v>75.0</v>
      </c>
      <c r="P1216" s="1">
        <v>82.0</v>
      </c>
      <c r="Q1216" s="1">
        <v>75.0</v>
      </c>
      <c r="R1216" s="1">
        <v>85.0</v>
      </c>
      <c r="S1216" s="1">
        <v>78.0</v>
      </c>
      <c r="T1216" s="1">
        <v>55.0</v>
      </c>
      <c r="U1216" s="1">
        <v>80.0</v>
      </c>
      <c r="V1216" s="1">
        <v>83.0</v>
      </c>
      <c r="W1216" s="1">
        <v>83.0</v>
      </c>
      <c r="X1216" s="1">
        <v>84.0</v>
      </c>
      <c r="Y1216" s="1">
        <v>75.0</v>
      </c>
      <c r="Z1216" s="1">
        <v>1.0</v>
      </c>
    </row>
    <row r="1217">
      <c r="A1217" s="1" t="s">
        <v>2407</v>
      </c>
      <c r="B1217" s="1" t="s">
        <v>2770</v>
      </c>
      <c r="C1217" s="1" t="s">
        <v>2794</v>
      </c>
      <c r="D1217" s="1">
        <v>235.0</v>
      </c>
      <c r="E1217" s="1">
        <v>85.0</v>
      </c>
      <c r="F1217" s="1">
        <v>71.0</v>
      </c>
      <c r="G1217" s="1">
        <v>58.0</v>
      </c>
      <c r="H1217" s="1">
        <v>95.0</v>
      </c>
      <c r="I1217" s="1">
        <v>87.0</v>
      </c>
      <c r="J1217" s="1">
        <v>80.0</v>
      </c>
      <c r="K1217" s="1">
        <v>83.0</v>
      </c>
      <c r="L1217" s="1">
        <v>64.0</v>
      </c>
      <c r="M1217" s="1">
        <v>75.0</v>
      </c>
      <c r="N1217" s="1">
        <v>43.0</v>
      </c>
      <c r="O1217" s="1">
        <v>41.0</v>
      </c>
      <c r="P1217" s="1">
        <v>82.0</v>
      </c>
      <c r="Q1217" s="1">
        <v>62.0</v>
      </c>
      <c r="R1217" s="1">
        <v>37.0</v>
      </c>
      <c r="S1217" s="1">
        <v>84.0</v>
      </c>
      <c r="T1217" s="1">
        <v>90.0</v>
      </c>
      <c r="U1217" s="1">
        <v>90.0</v>
      </c>
      <c r="V1217" s="1">
        <v>64.0</v>
      </c>
      <c r="W1217" s="1">
        <v>44.0</v>
      </c>
      <c r="X1217" s="1">
        <v>76.0</v>
      </c>
      <c r="Y1217" s="1">
        <v>70.0</v>
      </c>
      <c r="Z1217" s="1">
        <v>1.0</v>
      </c>
    </row>
    <row r="1218">
      <c r="A1218" s="1" t="s">
        <v>3278</v>
      </c>
      <c r="B1218" s="1" t="s">
        <v>2770</v>
      </c>
      <c r="C1218" s="1" t="s">
        <v>2994</v>
      </c>
      <c r="D1218" s="1">
        <v>220.0</v>
      </c>
      <c r="E1218" s="1">
        <v>85.0</v>
      </c>
      <c r="F1218" s="1">
        <v>80.0</v>
      </c>
      <c r="G1218" s="1">
        <v>82.0</v>
      </c>
      <c r="H1218" s="1">
        <v>90.0</v>
      </c>
      <c r="I1218" s="1">
        <v>80.0</v>
      </c>
      <c r="J1218" s="1">
        <v>87.0</v>
      </c>
      <c r="K1218" s="1">
        <v>84.0</v>
      </c>
      <c r="L1218" s="1">
        <v>75.0</v>
      </c>
      <c r="M1218" s="1">
        <v>75.0</v>
      </c>
      <c r="N1218" s="1">
        <v>70.0</v>
      </c>
      <c r="O1218" s="1">
        <v>58.0</v>
      </c>
      <c r="P1218" s="1">
        <v>85.0</v>
      </c>
      <c r="Q1218" s="1">
        <v>60.0</v>
      </c>
      <c r="R1218" s="1">
        <v>41.0</v>
      </c>
      <c r="S1218" s="1">
        <v>85.0</v>
      </c>
      <c r="T1218" s="1">
        <v>81.0</v>
      </c>
      <c r="U1218" s="1">
        <v>85.0</v>
      </c>
      <c r="V1218" s="1">
        <v>72.0</v>
      </c>
      <c r="W1218" s="1">
        <v>60.0</v>
      </c>
      <c r="X1218" s="1">
        <v>80.0</v>
      </c>
      <c r="Y1218" s="1">
        <v>80.0</v>
      </c>
      <c r="Z1218" s="1">
        <v>1.0</v>
      </c>
    </row>
    <row r="1219">
      <c r="A1219" s="1" t="s">
        <v>3279</v>
      </c>
      <c r="B1219" s="1" t="s">
        <v>2770</v>
      </c>
      <c r="C1219" s="1" t="s">
        <v>2783</v>
      </c>
      <c r="D1219" s="1">
        <v>232.0</v>
      </c>
      <c r="E1219" s="1">
        <v>92.0</v>
      </c>
      <c r="F1219" s="1">
        <v>67.0</v>
      </c>
      <c r="G1219" s="1">
        <v>58.0</v>
      </c>
      <c r="H1219" s="1">
        <v>90.0</v>
      </c>
      <c r="I1219" s="1">
        <v>85.0</v>
      </c>
      <c r="J1219" s="1">
        <v>85.0</v>
      </c>
      <c r="K1219" s="1">
        <v>71.0</v>
      </c>
      <c r="L1219" s="1">
        <v>89.0</v>
      </c>
      <c r="M1219" s="1">
        <v>80.0</v>
      </c>
      <c r="N1219" s="1">
        <v>37.0</v>
      </c>
      <c r="O1219" s="1">
        <v>26.0</v>
      </c>
      <c r="P1219" s="1">
        <v>82.0</v>
      </c>
      <c r="Q1219" s="1">
        <v>32.0</v>
      </c>
      <c r="R1219" s="1">
        <v>37.0</v>
      </c>
      <c r="S1219" s="1">
        <v>88.0</v>
      </c>
      <c r="T1219" s="1">
        <v>89.0</v>
      </c>
      <c r="U1219" s="1">
        <v>90.0</v>
      </c>
      <c r="V1219" s="1">
        <v>60.0</v>
      </c>
      <c r="W1219" s="1">
        <v>45.0</v>
      </c>
      <c r="X1219" s="1">
        <v>80.0</v>
      </c>
      <c r="Y1219" s="1">
        <v>73.0</v>
      </c>
      <c r="Z1219" s="1">
        <v>1.0</v>
      </c>
    </row>
    <row r="1220">
      <c r="A1220" s="1" t="s">
        <v>2223</v>
      </c>
      <c r="B1220" s="1" t="s">
        <v>2770</v>
      </c>
      <c r="C1220" s="1" t="s">
        <v>1534</v>
      </c>
      <c r="D1220" s="1">
        <v>254.0</v>
      </c>
      <c r="E1220" s="1">
        <v>79.0</v>
      </c>
      <c r="F1220" s="1">
        <v>70.0</v>
      </c>
      <c r="G1220" s="1">
        <v>87.0</v>
      </c>
      <c r="H1220" s="1">
        <v>60.0</v>
      </c>
      <c r="I1220" s="1">
        <v>55.0</v>
      </c>
      <c r="J1220" s="1">
        <v>70.0</v>
      </c>
      <c r="K1220" s="1">
        <v>80.0</v>
      </c>
      <c r="L1220" s="1">
        <v>57.0</v>
      </c>
      <c r="M1220" s="1">
        <v>70.0</v>
      </c>
      <c r="N1220" s="1">
        <v>49.0</v>
      </c>
      <c r="O1220" s="1">
        <v>50.0</v>
      </c>
      <c r="P1220" s="1">
        <v>85.0</v>
      </c>
      <c r="Q1220" s="1">
        <v>70.0</v>
      </c>
      <c r="R1220" s="1">
        <v>60.0</v>
      </c>
      <c r="S1220" s="1">
        <v>75.0</v>
      </c>
      <c r="T1220" s="1">
        <v>94.0</v>
      </c>
      <c r="U1220" s="1">
        <v>92.0</v>
      </c>
      <c r="V1220" s="1">
        <v>79.0</v>
      </c>
      <c r="W1220" s="1">
        <v>72.0</v>
      </c>
      <c r="X1220" s="1">
        <v>90.0</v>
      </c>
      <c r="Y1220" s="1">
        <v>70.0</v>
      </c>
      <c r="Z1220" s="1">
        <v>1.0</v>
      </c>
    </row>
    <row r="1221">
      <c r="A1221" s="1" t="s">
        <v>2271</v>
      </c>
      <c r="B1221" s="1" t="s">
        <v>2770</v>
      </c>
      <c r="C1221" s="1" t="s">
        <v>2994</v>
      </c>
      <c r="D1221" s="1">
        <v>220.0</v>
      </c>
      <c r="E1221" s="1">
        <v>80.0</v>
      </c>
      <c r="F1221" s="1">
        <v>70.0</v>
      </c>
      <c r="G1221" s="1">
        <v>80.0</v>
      </c>
      <c r="H1221" s="1">
        <v>80.0</v>
      </c>
      <c r="I1221" s="1">
        <v>75.0</v>
      </c>
      <c r="J1221" s="1">
        <v>80.0</v>
      </c>
      <c r="K1221" s="1">
        <v>90.0</v>
      </c>
      <c r="L1221" s="1">
        <v>75.0</v>
      </c>
      <c r="M1221" s="1">
        <v>75.0</v>
      </c>
      <c r="N1221" s="1">
        <v>72.0</v>
      </c>
      <c r="O1221" s="1">
        <v>58.0</v>
      </c>
      <c r="P1221" s="1">
        <v>88.0</v>
      </c>
      <c r="Q1221" s="1">
        <v>67.0</v>
      </c>
      <c r="R1221" s="1">
        <v>59.0</v>
      </c>
      <c r="S1221" s="1">
        <v>95.0</v>
      </c>
      <c r="T1221" s="1">
        <v>75.0</v>
      </c>
      <c r="U1221" s="1">
        <v>76.0</v>
      </c>
      <c r="V1221" s="1">
        <v>72.0</v>
      </c>
      <c r="W1221" s="1">
        <v>60.0</v>
      </c>
      <c r="X1221" s="1">
        <v>80.0</v>
      </c>
      <c r="Y1221" s="1">
        <v>75.0</v>
      </c>
      <c r="Z1221" s="1">
        <v>1.0</v>
      </c>
    </row>
    <row r="1222">
      <c r="A1222" s="1" t="s">
        <v>1149</v>
      </c>
      <c r="B1222" s="1" t="s">
        <v>2770</v>
      </c>
      <c r="C1222" s="1" t="s">
        <v>2115</v>
      </c>
      <c r="D1222" s="1">
        <v>253.0</v>
      </c>
      <c r="E1222" s="1">
        <v>70.0</v>
      </c>
      <c r="F1222" s="1">
        <v>70.0</v>
      </c>
      <c r="G1222" s="1">
        <v>88.0</v>
      </c>
      <c r="H1222" s="1">
        <v>80.0</v>
      </c>
      <c r="I1222" s="1">
        <v>65.0</v>
      </c>
      <c r="J1222" s="1">
        <v>45.0</v>
      </c>
      <c r="K1222" s="1">
        <v>25.0</v>
      </c>
      <c r="L1222" s="1">
        <v>70.0</v>
      </c>
      <c r="M1222" s="1">
        <v>26.0</v>
      </c>
      <c r="N1222" s="1">
        <v>50.0</v>
      </c>
      <c r="O1222" s="1">
        <v>34.0</v>
      </c>
      <c r="P1222" s="1">
        <v>95.0</v>
      </c>
      <c r="Q1222" s="1">
        <v>45.0</v>
      </c>
      <c r="R1222" s="1">
        <v>50.0</v>
      </c>
      <c r="S1222" s="1">
        <v>99.0</v>
      </c>
      <c r="T1222" s="1">
        <v>53.0</v>
      </c>
      <c r="U1222" s="1">
        <v>78.0</v>
      </c>
      <c r="V1222" s="1">
        <v>72.0</v>
      </c>
      <c r="W1222" s="1">
        <v>61.0</v>
      </c>
      <c r="X1222" s="1">
        <v>98.0</v>
      </c>
      <c r="Y1222" s="1">
        <v>85.0</v>
      </c>
      <c r="Z1222" s="1">
        <v>1.0</v>
      </c>
    </row>
    <row r="1223">
      <c r="A1223" s="1" t="s">
        <v>2698</v>
      </c>
      <c r="B1223" s="1" t="s">
        <v>2770</v>
      </c>
      <c r="C1223" s="1" t="s">
        <v>2783</v>
      </c>
      <c r="D1223" s="1">
        <v>230.0</v>
      </c>
      <c r="E1223" s="1">
        <v>87.0</v>
      </c>
      <c r="F1223" s="1">
        <v>66.0</v>
      </c>
      <c r="G1223" s="1">
        <v>73.0</v>
      </c>
      <c r="H1223" s="1">
        <v>90.0</v>
      </c>
      <c r="I1223" s="1">
        <v>87.0</v>
      </c>
      <c r="J1223" s="1">
        <v>90.0</v>
      </c>
      <c r="K1223" s="1">
        <v>89.0</v>
      </c>
      <c r="L1223" s="1">
        <v>82.0</v>
      </c>
      <c r="M1223" s="1">
        <v>87.0</v>
      </c>
      <c r="N1223" s="1">
        <v>40.0</v>
      </c>
      <c r="O1223" s="1">
        <v>25.0</v>
      </c>
      <c r="P1223" s="1">
        <v>84.0</v>
      </c>
      <c r="Q1223" s="1">
        <v>41.0</v>
      </c>
      <c r="R1223" s="1">
        <v>46.0</v>
      </c>
      <c r="S1223" s="1">
        <v>93.0</v>
      </c>
      <c r="T1223" s="1">
        <v>63.0</v>
      </c>
      <c r="U1223" s="1">
        <v>85.0</v>
      </c>
      <c r="V1223" s="1">
        <v>62.0</v>
      </c>
      <c r="W1223" s="1">
        <v>47.0</v>
      </c>
      <c r="X1223" s="1">
        <v>79.0</v>
      </c>
      <c r="Y1223" s="1">
        <v>70.0</v>
      </c>
      <c r="Z1223" s="1">
        <v>1.0</v>
      </c>
    </row>
    <row r="1224">
      <c r="A1224" s="1" t="s">
        <v>3280</v>
      </c>
      <c r="B1224" s="1" t="s">
        <v>2770</v>
      </c>
      <c r="C1224" s="1" t="s">
        <v>2327</v>
      </c>
      <c r="D1224" s="1">
        <v>245.0</v>
      </c>
      <c r="E1224" s="1">
        <v>92.0</v>
      </c>
      <c r="F1224" s="1">
        <v>67.0</v>
      </c>
      <c r="G1224" s="1">
        <v>73.0</v>
      </c>
      <c r="H1224" s="1">
        <v>81.0</v>
      </c>
      <c r="I1224" s="1">
        <v>67.0</v>
      </c>
      <c r="J1224" s="1">
        <v>70.0</v>
      </c>
      <c r="K1224" s="1">
        <v>80.0</v>
      </c>
      <c r="L1224" s="1">
        <v>56.0</v>
      </c>
      <c r="M1224" s="1">
        <v>80.0</v>
      </c>
      <c r="N1224" s="1">
        <v>45.0</v>
      </c>
      <c r="O1224" s="1">
        <v>30.0</v>
      </c>
      <c r="P1224" s="1">
        <v>90.0</v>
      </c>
      <c r="Q1224" s="1">
        <v>40.0</v>
      </c>
      <c r="R1224" s="1">
        <v>45.0</v>
      </c>
      <c r="S1224" s="1">
        <v>92.0</v>
      </c>
      <c r="T1224" s="1">
        <v>94.0</v>
      </c>
      <c r="U1224" s="1">
        <v>81.0</v>
      </c>
      <c r="V1224" s="1">
        <v>70.0</v>
      </c>
      <c r="W1224" s="1">
        <v>50.0</v>
      </c>
      <c r="X1224" s="1">
        <v>91.0</v>
      </c>
      <c r="Y1224" s="1">
        <v>83.0</v>
      </c>
      <c r="Z1224" s="1">
        <v>1.0</v>
      </c>
    </row>
    <row r="1225">
      <c r="A1225" s="1" t="s">
        <v>3281</v>
      </c>
      <c r="B1225" s="1" t="s">
        <v>2770</v>
      </c>
      <c r="C1225" s="1" t="s">
        <v>970</v>
      </c>
      <c r="D1225" s="1">
        <v>232.0</v>
      </c>
      <c r="E1225" s="1">
        <v>64.0</v>
      </c>
      <c r="F1225" s="1">
        <v>64.0</v>
      </c>
      <c r="G1225" s="1">
        <v>80.0</v>
      </c>
      <c r="H1225" s="1">
        <v>44.0</v>
      </c>
      <c r="I1225" s="1">
        <v>60.0</v>
      </c>
      <c r="J1225" s="1">
        <v>73.0</v>
      </c>
      <c r="K1225" s="1">
        <v>83.0</v>
      </c>
      <c r="L1225" s="1">
        <v>79.0</v>
      </c>
      <c r="M1225" s="1">
        <v>55.0</v>
      </c>
      <c r="N1225" s="1">
        <v>55.0</v>
      </c>
      <c r="O1225" s="1">
        <v>60.0</v>
      </c>
      <c r="P1225" s="1">
        <v>82.0</v>
      </c>
      <c r="Q1225" s="1">
        <v>92.0</v>
      </c>
      <c r="R1225" s="1">
        <v>87.0</v>
      </c>
      <c r="S1225" s="1">
        <v>80.0</v>
      </c>
      <c r="T1225" s="1">
        <v>60.0</v>
      </c>
      <c r="U1225" s="1">
        <v>80.0</v>
      </c>
      <c r="V1225" s="1">
        <v>80.0</v>
      </c>
      <c r="W1225" s="1">
        <v>80.0</v>
      </c>
      <c r="X1225" s="1">
        <v>91.0</v>
      </c>
      <c r="Y1225" s="1">
        <v>77.0</v>
      </c>
      <c r="Z1225" s="1">
        <v>1.0</v>
      </c>
    </row>
    <row r="1226">
      <c r="A1226" s="1" t="s">
        <v>2560</v>
      </c>
      <c r="B1226" s="1" t="s">
        <v>2770</v>
      </c>
      <c r="C1226" s="1" t="s">
        <v>970</v>
      </c>
      <c r="D1226" s="1">
        <v>245.0</v>
      </c>
      <c r="E1226" s="1">
        <v>70.0</v>
      </c>
      <c r="F1226" s="1">
        <v>65.0</v>
      </c>
      <c r="G1226" s="1">
        <v>82.0</v>
      </c>
      <c r="H1226" s="1">
        <v>85.0</v>
      </c>
      <c r="I1226" s="1">
        <v>56.0</v>
      </c>
      <c r="J1226" s="1">
        <v>71.0</v>
      </c>
      <c r="K1226" s="1">
        <v>80.0</v>
      </c>
      <c r="L1226" s="1">
        <v>56.0</v>
      </c>
      <c r="M1226" s="1">
        <v>60.0</v>
      </c>
      <c r="N1226" s="1">
        <v>50.0</v>
      </c>
      <c r="O1226" s="1">
        <v>55.0</v>
      </c>
      <c r="P1226" s="1">
        <v>85.0</v>
      </c>
      <c r="Q1226" s="1">
        <v>70.0</v>
      </c>
      <c r="R1226" s="1">
        <v>60.0</v>
      </c>
      <c r="S1226" s="1">
        <v>80.0</v>
      </c>
      <c r="T1226" s="1">
        <v>80.0</v>
      </c>
      <c r="U1226" s="1">
        <v>94.0</v>
      </c>
      <c r="V1226" s="1">
        <v>85.0</v>
      </c>
      <c r="W1226" s="1">
        <v>75.0</v>
      </c>
      <c r="X1226" s="1">
        <v>91.0</v>
      </c>
      <c r="Y1226" s="1">
        <v>78.0</v>
      </c>
      <c r="Z1226" s="1">
        <v>1.0</v>
      </c>
    </row>
    <row r="1227">
      <c r="A1227" s="1" t="s">
        <v>3282</v>
      </c>
      <c r="B1227" s="1" t="s">
        <v>2770</v>
      </c>
      <c r="C1227" s="1" t="s">
        <v>2783</v>
      </c>
      <c r="D1227" s="1">
        <v>249.0</v>
      </c>
      <c r="E1227" s="1">
        <v>84.0</v>
      </c>
      <c r="F1227" s="1">
        <v>59.0</v>
      </c>
      <c r="G1227" s="1">
        <v>73.0</v>
      </c>
      <c r="H1227" s="1">
        <v>95.0</v>
      </c>
      <c r="I1227" s="1">
        <v>85.0</v>
      </c>
      <c r="J1227" s="1">
        <v>66.0</v>
      </c>
      <c r="K1227" s="1">
        <v>76.0</v>
      </c>
      <c r="L1227" s="1">
        <v>52.0</v>
      </c>
      <c r="M1227" s="1">
        <v>65.0</v>
      </c>
      <c r="N1227" s="1">
        <v>36.0</v>
      </c>
      <c r="O1227" s="1">
        <v>25.0</v>
      </c>
      <c r="P1227" s="1">
        <v>82.0</v>
      </c>
      <c r="Q1227" s="1">
        <v>38.0</v>
      </c>
      <c r="R1227" s="1">
        <v>38.0</v>
      </c>
      <c r="S1227" s="1">
        <v>93.0</v>
      </c>
      <c r="T1227" s="1">
        <v>71.0</v>
      </c>
      <c r="U1227" s="1">
        <v>96.0</v>
      </c>
      <c r="V1227" s="1">
        <v>55.0</v>
      </c>
      <c r="W1227" s="1">
        <v>42.0</v>
      </c>
      <c r="X1227" s="1">
        <v>86.0</v>
      </c>
      <c r="Y1227" s="1">
        <v>69.0</v>
      </c>
      <c r="Z1227" s="1">
        <v>1.0</v>
      </c>
    </row>
    <row r="1228">
      <c r="A1228" s="1" t="s">
        <v>3283</v>
      </c>
      <c r="B1228" s="1" t="s">
        <v>2770</v>
      </c>
      <c r="C1228" s="1" t="s">
        <v>2115</v>
      </c>
      <c r="D1228" s="1">
        <v>233.0</v>
      </c>
      <c r="E1228" s="1">
        <v>86.0</v>
      </c>
      <c r="F1228" s="1">
        <v>80.0</v>
      </c>
      <c r="G1228" s="1">
        <v>65.0</v>
      </c>
      <c r="H1228" s="1">
        <v>70.0</v>
      </c>
      <c r="I1228" s="1">
        <v>80.0</v>
      </c>
      <c r="J1228" s="1">
        <v>85.0</v>
      </c>
      <c r="K1228" s="1">
        <v>75.0</v>
      </c>
      <c r="L1228" s="1">
        <v>82.0</v>
      </c>
      <c r="M1228" s="1">
        <v>87.0</v>
      </c>
      <c r="N1228" s="1">
        <v>73.0</v>
      </c>
      <c r="O1228" s="1">
        <v>64.0</v>
      </c>
      <c r="P1228" s="1">
        <v>88.0</v>
      </c>
      <c r="Q1228" s="1">
        <v>45.0</v>
      </c>
      <c r="R1228" s="1">
        <v>60.0</v>
      </c>
      <c r="S1228" s="1">
        <v>88.0</v>
      </c>
      <c r="T1228" s="1">
        <v>75.0</v>
      </c>
      <c r="U1228" s="1">
        <v>85.0</v>
      </c>
      <c r="V1228" s="1">
        <v>75.0</v>
      </c>
      <c r="W1228" s="1">
        <v>67.0</v>
      </c>
      <c r="X1228" s="1">
        <v>89.0</v>
      </c>
      <c r="Y1228" s="1">
        <v>80.0</v>
      </c>
      <c r="Z1228" s="1">
        <v>1.0</v>
      </c>
    </row>
    <row r="1229">
      <c r="A1229" s="1" t="s">
        <v>3284</v>
      </c>
      <c r="B1229" s="1" t="s">
        <v>2770</v>
      </c>
      <c r="C1229" s="1" t="s">
        <v>192</v>
      </c>
      <c r="D1229" s="1">
        <v>251.0</v>
      </c>
      <c r="E1229" s="1">
        <v>73.0</v>
      </c>
      <c r="F1229" s="1">
        <v>71.0</v>
      </c>
      <c r="G1229" s="1">
        <v>85.0</v>
      </c>
      <c r="H1229" s="1">
        <v>63.0</v>
      </c>
      <c r="I1229" s="1">
        <v>54.0</v>
      </c>
      <c r="J1229" s="1">
        <v>77.0</v>
      </c>
      <c r="K1229" s="1">
        <v>81.0</v>
      </c>
      <c r="L1229" s="1">
        <v>70.0</v>
      </c>
      <c r="M1229" s="1">
        <v>70.0</v>
      </c>
      <c r="N1229" s="1">
        <v>85.0</v>
      </c>
      <c r="O1229" s="1">
        <v>75.0</v>
      </c>
      <c r="P1229" s="1">
        <v>88.0</v>
      </c>
      <c r="Q1229" s="1">
        <v>75.0</v>
      </c>
      <c r="R1229" s="1">
        <v>75.0</v>
      </c>
      <c r="S1229" s="1">
        <v>83.0</v>
      </c>
      <c r="T1229" s="1">
        <v>74.0</v>
      </c>
      <c r="U1229" s="1">
        <v>88.0</v>
      </c>
      <c r="V1229" s="1">
        <v>84.0</v>
      </c>
      <c r="W1229" s="1">
        <v>69.0</v>
      </c>
      <c r="X1229" s="1">
        <v>85.0</v>
      </c>
      <c r="Y1229" s="1">
        <v>86.0</v>
      </c>
      <c r="Z1229" s="1">
        <v>1.0</v>
      </c>
    </row>
    <row r="1230">
      <c r="A1230" s="1" t="s">
        <v>3285</v>
      </c>
      <c r="B1230" s="1" t="s">
        <v>2770</v>
      </c>
      <c r="C1230" s="1" t="s">
        <v>2994</v>
      </c>
      <c r="D1230" s="1">
        <v>255.0</v>
      </c>
      <c r="E1230" s="1">
        <v>80.0</v>
      </c>
      <c r="F1230" s="1">
        <v>60.0</v>
      </c>
      <c r="G1230" s="1">
        <v>63.0</v>
      </c>
      <c r="H1230" s="1">
        <v>81.0</v>
      </c>
      <c r="I1230" s="1">
        <v>65.0</v>
      </c>
      <c r="J1230" s="1">
        <v>70.0</v>
      </c>
      <c r="K1230" s="1">
        <v>80.0</v>
      </c>
      <c r="L1230" s="1">
        <v>81.0</v>
      </c>
      <c r="M1230" s="1">
        <v>76.0</v>
      </c>
      <c r="N1230" s="1">
        <v>38.0</v>
      </c>
      <c r="O1230" s="1">
        <v>25.0</v>
      </c>
      <c r="P1230" s="1">
        <v>90.0</v>
      </c>
      <c r="Q1230" s="1">
        <v>40.0</v>
      </c>
      <c r="R1230" s="1">
        <v>45.0</v>
      </c>
      <c r="S1230" s="1">
        <v>95.0</v>
      </c>
      <c r="T1230" s="1">
        <v>72.0</v>
      </c>
      <c r="U1230" s="1">
        <v>96.0</v>
      </c>
      <c r="V1230" s="1">
        <v>62.0</v>
      </c>
      <c r="W1230" s="1">
        <v>48.0</v>
      </c>
      <c r="X1230" s="1">
        <v>95.0</v>
      </c>
      <c r="Y1230" s="1">
        <v>76.0</v>
      </c>
      <c r="Z1230" s="1">
        <v>1.0</v>
      </c>
    </row>
    <row r="1231">
      <c r="A1231" s="1" t="s">
        <v>3286</v>
      </c>
      <c r="B1231" s="1" t="s">
        <v>2770</v>
      </c>
      <c r="C1231" s="1" t="s">
        <v>2783</v>
      </c>
      <c r="D1231" s="1">
        <v>230.0</v>
      </c>
      <c r="E1231" s="1">
        <v>85.0</v>
      </c>
      <c r="F1231" s="1">
        <v>70.0</v>
      </c>
      <c r="G1231" s="1">
        <v>61.0</v>
      </c>
      <c r="H1231" s="1">
        <v>76.0</v>
      </c>
      <c r="I1231" s="1">
        <v>60.0</v>
      </c>
      <c r="J1231" s="1">
        <v>87.0</v>
      </c>
      <c r="K1231" s="1">
        <v>89.0</v>
      </c>
      <c r="L1231" s="1">
        <v>67.0</v>
      </c>
      <c r="M1231" s="1">
        <v>90.0</v>
      </c>
      <c r="N1231" s="1">
        <v>59.0</v>
      </c>
      <c r="O1231" s="1">
        <v>44.0</v>
      </c>
      <c r="P1231" s="1">
        <v>90.0</v>
      </c>
      <c r="Q1231" s="1">
        <v>62.0</v>
      </c>
      <c r="R1231" s="1">
        <v>46.0</v>
      </c>
      <c r="S1231" s="1">
        <v>93.0</v>
      </c>
      <c r="T1231" s="1">
        <v>80.0</v>
      </c>
      <c r="U1231" s="1">
        <v>80.0</v>
      </c>
      <c r="V1231" s="1">
        <v>62.0</v>
      </c>
      <c r="W1231" s="1">
        <v>47.0</v>
      </c>
      <c r="X1231" s="1">
        <v>81.0</v>
      </c>
      <c r="Y1231" s="1">
        <v>73.0</v>
      </c>
      <c r="Z1231" s="1">
        <v>1.0</v>
      </c>
    </row>
    <row r="1232">
      <c r="A1232" s="1" t="s">
        <v>3287</v>
      </c>
      <c r="B1232" s="1" t="s">
        <v>2770</v>
      </c>
      <c r="C1232" s="1" t="s">
        <v>2783</v>
      </c>
      <c r="D1232" s="1">
        <v>250.0</v>
      </c>
      <c r="E1232" s="1">
        <v>89.0</v>
      </c>
      <c r="F1232" s="1">
        <v>72.0</v>
      </c>
      <c r="G1232" s="1">
        <v>73.0</v>
      </c>
      <c r="H1232" s="1">
        <v>90.0</v>
      </c>
      <c r="I1232" s="1">
        <v>89.0</v>
      </c>
      <c r="J1232" s="1">
        <v>77.0</v>
      </c>
      <c r="K1232" s="1">
        <v>51.0</v>
      </c>
      <c r="L1232" s="1">
        <v>57.0</v>
      </c>
      <c r="M1232" s="1">
        <v>87.0</v>
      </c>
      <c r="N1232" s="1">
        <v>49.0</v>
      </c>
      <c r="O1232" s="1">
        <v>40.0</v>
      </c>
      <c r="P1232" s="1">
        <v>83.0</v>
      </c>
      <c r="Q1232" s="1">
        <v>53.0</v>
      </c>
      <c r="R1232" s="1">
        <v>51.0</v>
      </c>
      <c r="S1232" s="1">
        <v>81.0</v>
      </c>
      <c r="T1232" s="1">
        <v>88.0</v>
      </c>
      <c r="U1232" s="1">
        <v>88.0</v>
      </c>
      <c r="V1232" s="1">
        <v>54.0</v>
      </c>
      <c r="W1232" s="1">
        <v>41.0</v>
      </c>
      <c r="X1232" s="1">
        <v>82.0</v>
      </c>
      <c r="Y1232" s="1">
        <v>69.0</v>
      </c>
      <c r="Z1232" s="1">
        <v>1.0</v>
      </c>
    </row>
    <row r="1233">
      <c r="A1233" s="1" t="s">
        <v>3288</v>
      </c>
      <c r="B1233" s="1" t="s">
        <v>2770</v>
      </c>
      <c r="C1233" s="1" t="s">
        <v>192</v>
      </c>
      <c r="D1233" s="1">
        <v>215.0</v>
      </c>
      <c r="E1233" s="1">
        <v>74.0</v>
      </c>
      <c r="F1233" s="1">
        <v>75.0</v>
      </c>
      <c r="G1233" s="1">
        <v>94.0</v>
      </c>
      <c r="H1233" s="1">
        <v>44.0</v>
      </c>
      <c r="I1233" s="1">
        <v>38.0</v>
      </c>
      <c r="J1233" s="1">
        <v>68.0</v>
      </c>
      <c r="K1233" s="1">
        <v>78.0</v>
      </c>
      <c r="L1233" s="1">
        <v>54.0</v>
      </c>
      <c r="M1233" s="1">
        <v>71.0</v>
      </c>
      <c r="N1233" s="1">
        <v>75.0</v>
      </c>
      <c r="O1233" s="1">
        <v>78.0</v>
      </c>
      <c r="P1233" s="1">
        <v>80.0</v>
      </c>
      <c r="Q1233" s="1">
        <v>83.0</v>
      </c>
      <c r="R1233" s="1">
        <v>79.0</v>
      </c>
      <c r="S1233" s="1">
        <v>79.0</v>
      </c>
      <c r="T1233" s="1">
        <v>56.0</v>
      </c>
      <c r="U1233" s="1">
        <v>80.0</v>
      </c>
      <c r="V1233" s="1">
        <v>85.0</v>
      </c>
      <c r="W1233" s="1">
        <v>84.0</v>
      </c>
      <c r="X1233" s="1">
        <v>73.0</v>
      </c>
      <c r="Y1233" s="1">
        <v>82.0</v>
      </c>
      <c r="Z1233" s="1">
        <v>1.0</v>
      </c>
    </row>
    <row r="1234">
      <c r="A1234" s="1" t="s">
        <v>3289</v>
      </c>
      <c r="B1234" s="1" t="s">
        <v>2770</v>
      </c>
      <c r="C1234" s="1" t="s">
        <v>2327</v>
      </c>
      <c r="D1234" s="1">
        <v>246.0</v>
      </c>
      <c r="E1234" s="1">
        <v>83.0</v>
      </c>
      <c r="F1234" s="1">
        <v>59.0</v>
      </c>
      <c r="G1234" s="1">
        <v>68.0</v>
      </c>
      <c r="H1234" s="1">
        <v>90.0</v>
      </c>
      <c r="I1234" s="1">
        <v>87.0</v>
      </c>
      <c r="J1234" s="1">
        <v>80.0</v>
      </c>
      <c r="K1234" s="1">
        <v>78.0</v>
      </c>
      <c r="L1234" s="1">
        <v>82.0</v>
      </c>
      <c r="M1234" s="1">
        <v>91.0</v>
      </c>
      <c r="N1234" s="1">
        <v>58.0</v>
      </c>
      <c r="O1234" s="1">
        <v>33.0</v>
      </c>
      <c r="P1234" s="1">
        <v>80.0</v>
      </c>
      <c r="Q1234" s="1">
        <v>40.0</v>
      </c>
      <c r="R1234" s="1">
        <v>35.0</v>
      </c>
      <c r="S1234" s="1">
        <v>78.0</v>
      </c>
      <c r="T1234" s="1">
        <v>89.0</v>
      </c>
      <c r="U1234" s="1">
        <v>92.0</v>
      </c>
      <c r="V1234" s="1">
        <v>70.0</v>
      </c>
      <c r="W1234" s="1">
        <v>58.0</v>
      </c>
      <c r="X1234" s="1">
        <v>90.0</v>
      </c>
      <c r="Y1234" s="1">
        <v>83.0</v>
      </c>
      <c r="Z1234" s="1">
        <v>1.0</v>
      </c>
    </row>
    <row r="1235">
      <c r="A1235" s="1" t="s">
        <v>3290</v>
      </c>
      <c r="B1235" s="1" t="s">
        <v>2770</v>
      </c>
      <c r="C1235" s="1" t="s">
        <v>2783</v>
      </c>
      <c r="D1235" s="1">
        <v>275.0</v>
      </c>
      <c r="E1235" s="1">
        <v>96.0</v>
      </c>
      <c r="F1235" s="1">
        <v>66.0</v>
      </c>
      <c r="G1235" s="1">
        <v>61.0</v>
      </c>
      <c r="H1235" s="1">
        <v>81.0</v>
      </c>
      <c r="I1235" s="1">
        <v>93.0</v>
      </c>
      <c r="J1235" s="1">
        <v>60.0</v>
      </c>
      <c r="K1235" s="1">
        <v>40.0</v>
      </c>
      <c r="L1235" s="1">
        <v>85.0</v>
      </c>
      <c r="M1235" s="1">
        <v>55.0</v>
      </c>
      <c r="N1235" s="1">
        <v>43.0</v>
      </c>
      <c r="O1235" s="1">
        <v>26.0</v>
      </c>
      <c r="P1235" s="1">
        <v>90.0</v>
      </c>
      <c r="Q1235" s="1">
        <v>40.0</v>
      </c>
      <c r="R1235" s="1">
        <v>45.0</v>
      </c>
      <c r="S1235" s="1">
        <v>84.0</v>
      </c>
      <c r="T1235" s="1">
        <v>72.0</v>
      </c>
      <c r="U1235" s="1">
        <v>96.0</v>
      </c>
      <c r="V1235" s="1">
        <v>45.0</v>
      </c>
      <c r="W1235" s="1">
        <v>25.0</v>
      </c>
      <c r="X1235" s="1">
        <v>95.0</v>
      </c>
      <c r="Y1235" s="1">
        <v>51.0</v>
      </c>
      <c r="Z1235" s="1">
        <v>1.0</v>
      </c>
    </row>
    <row r="1236">
      <c r="A1236" s="1" t="s">
        <v>3291</v>
      </c>
      <c r="B1236" s="1" t="s">
        <v>2770</v>
      </c>
      <c r="C1236" s="1" t="s">
        <v>2994</v>
      </c>
      <c r="D1236" s="1">
        <v>243.0</v>
      </c>
      <c r="E1236" s="1">
        <v>80.0</v>
      </c>
      <c r="F1236" s="1">
        <v>72.0</v>
      </c>
      <c r="G1236" s="1">
        <v>78.0</v>
      </c>
      <c r="H1236" s="1">
        <v>76.0</v>
      </c>
      <c r="I1236" s="1">
        <v>67.0</v>
      </c>
      <c r="J1236" s="1">
        <v>85.0</v>
      </c>
      <c r="K1236" s="1">
        <v>90.0</v>
      </c>
      <c r="L1236" s="1">
        <v>67.0</v>
      </c>
      <c r="M1236" s="1">
        <v>82.0</v>
      </c>
      <c r="N1236" s="1">
        <v>72.0</v>
      </c>
      <c r="O1236" s="1">
        <v>52.0</v>
      </c>
      <c r="P1236" s="1">
        <v>80.0</v>
      </c>
      <c r="Q1236" s="1">
        <v>64.0</v>
      </c>
      <c r="R1236" s="1">
        <v>59.0</v>
      </c>
      <c r="S1236" s="1">
        <v>83.0</v>
      </c>
      <c r="T1236" s="1">
        <v>90.0</v>
      </c>
      <c r="U1236" s="1">
        <v>91.0</v>
      </c>
      <c r="V1236" s="1">
        <v>65.0</v>
      </c>
      <c r="W1236" s="1">
        <v>52.0</v>
      </c>
      <c r="X1236" s="1">
        <v>85.0</v>
      </c>
      <c r="Y1236" s="1">
        <v>80.0</v>
      </c>
      <c r="Z1236" s="1">
        <v>1.0</v>
      </c>
    </row>
    <row r="1237">
      <c r="A1237" s="1" t="s">
        <v>3292</v>
      </c>
      <c r="B1237" s="1" t="s">
        <v>2770</v>
      </c>
      <c r="C1237" s="1" t="s">
        <v>2783</v>
      </c>
      <c r="D1237" s="1">
        <v>266.0</v>
      </c>
      <c r="E1237" s="1">
        <v>92.0</v>
      </c>
      <c r="F1237" s="1">
        <v>67.0</v>
      </c>
      <c r="G1237" s="1">
        <v>54.0</v>
      </c>
      <c r="H1237" s="1">
        <v>92.0</v>
      </c>
      <c r="I1237" s="1">
        <v>93.0</v>
      </c>
      <c r="J1237" s="1">
        <v>80.0</v>
      </c>
      <c r="K1237" s="1">
        <v>83.0</v>
      </c>
      <c r="L1237" s="1">
        <v>59.0</v>
      </c>
      <c r="M1237" s="1">
        <v>40.0</v>
      </c>
      <c r="N1237" s="1">
        <v>43.0</v>
      </c>
      <c r="O1237" s="1">
        <v>30.0</v>
      </c>
      <c r="P1237" s="1">
        <v>90.0</v>
      </c>
      <c r="Q1237" s="1">
        <v>40.0</v>
      </c>
      <c r="R1237" s="1">
        <v>45.0</v>
      </c>
      <c r="S1237" s="1">
        <v>74.0</v>
      </c>
      <c r="T1237" s="1">
        <v>75.0</v>
      </c>
      <c r="U1237" s="1">
        <v>94.0</v>
      </c>
      <c r="V1237" s="1">
        <v>48.0</v>
      </c>
      <c r="W1237" s="1">
        <v>37.0</v>
      </c>
      <c r="X1237" s="1">
        <v>95.0</v>
      </c>
      <c r="Y1237" s="1">
        <v>66.0</v>
      </c>
      <c r="Z1237" s="1">
        <v>1.0</v>
      </c>
    </row>
    <row r="1238">
      <c r="A1238" s="1" t="s">
        <v>3293</v>
      </c>
      <c r="B1238" s="1" t="s">
        <v>2770</v>
      </c>
      <c r="C1238" s="1" t="s">
        <v>2783</v>
      </c>
      <c r="D1238" s="1">
        <v>244.0</v>
      </c>
      <c r="E1238" s="1">
        <v>82.0</v>
      </c>
      <c r="F1238" s="1">
        <v>57.0</v>
      </c>
      <c r="G1238" s="1">
        <v>55.0</v>
      </c>
      <c r="H1238" s="1">
        <v>80.0</v>
      </c>
      <c r="I1238" s="1">
        <v>87.0</v>
      </c>
      <c r="J1238" s="1">
        <v>83.0</v>
      </c>
      <c r="K1238" s="1">
        <v>89.0</v>
      </c>
      <c r="L1238" s="1">
        <v>70.0</v>
      </c>
      <c r="M1238" s="1">
        <v>82.0</v>
      </c>
      <c r="N1238" s="1">
        <v>65.0</v>
      </c>
      <c r="O1238" s="1">
        <v>41.0</v>
      </c>
      <c r="P1238" s="1">
        <v>86.0</v>
      </c>
      <c r="Q1238" s="1">
        <v>42.0</v>
      </c>
      <c r="R1238" s="1">
        <v>41.0</v>
      </c>
      <c r="S1238" s="1">
        <v>84.0</v>
      </c>
      <c r="T1238" s="1">
        <v>85.0</v>
      </c>
      <c r="U1238" s="1">
        <v>92.0</v>
      </c>
      <c r="V1238" s="1">
        <v>57.0</v>
      </c>
      <c r="W1238" s="1">
        <v>43.0</v>
      </c>
      <c r="X1238" s="1">
        <v>91.0</v>
      </c>
      <c r="Y1238" s="1">
        <v>70.0</v>
      </c>
      <c r="Z1238" s="1">
        <v>1.0</v>
      </c>
    </row>
    <row r="1239">
      <c r="A1239" s="1" t="s">
        <v>3294</v>
      </c>
      <c r="B1239" s="1" t="s">
        <v>2770</v>
      </c>
      <c r="C1239" s="1" t="s">
        <v>2327</v>
      </c>
      <c r="D1239" s="1">
        <v>248.0</v>
      </c>
      <c r="E1239" s="1">
        <v>87.0</v>
      </c>
      <c r="F1239" s="1">
        <v>80.0</v>
      </c>
      <c r="G1239" s="1">
        <v>62.0</v>
      </c>
      <c r="H1239" s="1">
        <v>90.0</v>
      </c>
      <c r="I1239" s="1">
        <v>62.0</v>
      </c>
      <c r="J1239" s="1">
        <v>80.0</v>
      </c>
      <c r="K1239" s="1">
        <v>78.0</v>
      </c>
      <c r="L1239" s="1">
        <v>65.0</v>
      </c>
      <c r="M1239" s="1">
        <v>87.0</v>
      </c>
      <c r="N1239" s="1">
        <v>52.0</v>
      </c>
      <c r="O1239" s="1">
        <v>40.0</v>
      </c>
      <c r="P1239" s="1">
        <v>82.0</v>
      </c>
      <c r="Q1239" s="1">
        <v>35.0</v>
      </c>
      <c r="R1239" s="1">
        <v>60.0</v>
      </c>
      <c r="S1239" s="1">
        <v>88.0</v>
      </c>
      <c r="T1239" s="1">
        <v>96.0</v>
      </c>
      <c r="U1239" s="1">
        <v>85.0</v>
      </c>
      <c r="V1239" s="1">
        <v>65.0</v>
      </c>
      <c r="W1239" s="1">
        <v>55.0</v>
      </c>
      <c r="X1239" s="1">
        <v>83.0</v>
      </c>
      <c r="Y1239" s="1">
        <v>77.0</v>
      </c>
      <c r="Z1239" s="1">
        <v>1.0</v>
      </c>
    </row>
    <row r="1240">
      <c r="A1240" s="1" t="s">
        <v>3295</v>
      </c>
      <c r="B1240" s="1" t="s">
        <v>2770</v>
      </c>
      <c r="C1240" s="1" t="s">
        <v>2994</v>
      </c>
      <c r="D1240" s="1">
        <v>225.0</v>
      </c>
      <c r="E1240" s="1">
        <v>78.0</v>
      </c>
      <c r="F1240" s="1">
        <v>70.0</v>
      </c>
      <c r="G1240" s="1">
        <v>73.0</v>
      </c>
      <c r="H1240" s="1">
        <v>90.0</v>
      </c>
      <c r="I1240" s="1">
        <v>60.0</v>
      </c>
      <c r="J1240" s="1">
        <v>80.0</v>
      </c>
      <c r="K1240" s="1">
        <v>78.0</v>
      </c>
      <c r="L1240" s="1">
        <v>91.0</v>
      </c>
      <c r="M1240" s="1">
        <v>87.0</v>
      </c>
      <c r="N1240" s="1">
        <v>61.0</v>
      </c>
      <c r="O1240" s="1">
        <v>57.0</v>
      </c>
      <c r="P1240" s="1">
        <v>85.0</v>
      </c>
      <c r="Q1240" s="1">
        <v>62.0</v>
      </c>
      <c r="R1240" s="1">
        <v>60.0</v>
      </c>
      <c r="S1240" s="1">
        <v>93.0</v>
      </c>
      <c r="T1240" s="1">
        <v>74.0</v>
      </c>
      <c r="U1240" s="1">
        <v>92.0</v>
      </c>
      <c r="V1240" s="1">
        <v>70.0</v>
      </c>
      <c r="W1240" s="1">
        <v>58.0</v>
      </c>
      <c r="X1240" s="1">
        <v>76.0</v>
      </c>
      <c r="Y1240" s="1">
        <v>83.0</v>
      </c>
      <c r="Z1240" s="1">
        <v>1.0</v>
      </c>
    </row>
    <row r="1241">
      <c r="A1241" s="1" t="s">
        <v>3296</v>
      </c>
      <c r="B1241" s="1" t="s">
        <v>2770</v>
      </c>
      <c r="C1241" s="1" t="s">
        <v>2327</v>
      </c>
      <c r="D1241" s="1">
        <v>263.0</v>
      </c>
      <c r="E1241" s="1">
        <v>84.0</v>
      </c>
      <c r="F1241" s="1">
        <v>67.0</v>
      </c>
      <c r="G1241" s="1">
        <v>87.0</v>
      </c>
      <c r="H1241" s="1">
        <v>90.0</v>
      </c>
      <c r="I1241" s="1">
        <v>65.0</v>
      </c>
      <c r="J1241" s="1">
        <v>44.0</v>
      </c>
      <c r="K1241" s="1">
        <v>25.0</v>
      </c>
      <c r="L1241" s="1">
        <v>45.0</v>
      </c>
      <c r="M1241" s="1">
        <v>76.0</v>
      </c>
      <c r="N1241" s="1">
        <v>50.0</v>
      </c>
      <c r="O1241" s="1">
        <v>55.0</v>
      </c>
      <c r="P1241" s="1">
        <v>82.0</v>
      </c>
      <c r="Q1241" s="1">
        <v>40.0</v>
      </c>
      <c r="R1241" s="1">
        <v>37.0</v>
      </c>
      <c r="S1241" s="1">
        <v>84.0</v>
      </c>
      <c r="T1241" s="1">
        <v>98.0</v>
      </c>
      <c r="U1241" s="1">
        <v>83.0</v>
      </c>
      <c r="V1241" s="1">
        <v>66.0</v>
      </c>
      <c r="W1241" s="1">
        <v>52.0</v>
      </c>
      <c r="X1241" s="1">
        <v>95.0</v>
      </c>
      <c r="Y1241" s="1">
        <v>81.0</v>
      </c>
      <c r="Z1241" s="1">
        <v>1.0</v>
      </c>
    </row>
    <row r="1242">
      <c r="A1242" s="1" t="s">
        <v>2310</v>
      </c>
      <c r="B1242" s="1" t="s">
        <v>2770</v>
      </c>
      <c r="C1242" s="1" t="s">
        <v>2115</v>
      </c>
      <c r="D1242" s="1">
        <v>246.0</v>
      </c>
      <c r="E1242" s="1">
        <v>76.0</v>
      </c>
      <c r="F1242" s="1">
        <v>66.0</v>
      </c>
      <c r="G1242" s="1">
        <v>68.0</v>
      </c>
      <c r="H1242" s="1">
        <v>76.0</v>
      </c>
      <c r="I1242" s="1">
        <v>64.0</v>
      </c>
      <c r="J1242" s="1">
        <v>81.0</v>
      </c>
      <c r="K1242" s="1">
        <v>91.0</v>
      </c>
      <c r="L1242" s="1">
        <v>68.0</v>
      </c>
      <c r="M1242" s="1">
        <v>82.0</v>
      </c>
      <c r="N1242" s="1">
        <v>75.0</v>
      </c>
      <c r="O1242" s="1">
        <v>62.0</v>
      </c>
      <c r="P1242" s="1">
        <v>92.0</v>
      </c>
      <c r="Q1242" s="1">
        <v>42.0</v>
      </c>
      <c r="R1242" s="1">
        <v>54.0</v>
      </c>
      <c r="S1242" s="1">
        <v>85.0</v>
      </c>
      <c r="T1242" s="1">
        <v>63.0</v>
      </c>
      <c r="U1242" s="1">
        <v>78.0</v>
      </c>
      <c r="V1242" s="1">
        <v>70.0</v>
      </c>
      <c r="W1242" s="1">
        <v>58.0</v>
      </c>
      <c r="X1242" s="1">
        <v>96.0</v>
      </c>
      <c r="Y1242" s="1">
        <v>83.0</v>
      </c>
      <c r="Z1242" s="1">
        <v>1.0</v>
      </c>
    </row>
    <row r="1243">
      <c r="A1243" s="1" t="s">
        <v>3297</v>
      </c>
      <c r="B1243" s="1" t="s">
        <v>2770</v>
      </c>
      <c r="C1243" s="1" t="s">
        <v>3031</v>
      </c>
      <c r="D1243" s="1">
        <v>220.0</v>
      </c>
      <c r="E1243" s="1">
        <v>89.0</v>
      </c>
      <c r="F1243" s="1">
        <v>80.0</v>
      </c>
      <c r="G1243" s="1">
        <v>67.0</v>
      </c>
      <c r="H1243" s="1">
        <v>93.0</v>
      </c>
      <c r="I1243" s="1">
        <v>93.0</v>
      </c>
      <c r="J1243" s="1">
        <v>83.0</v>
      </c>
      <c r="K1243" s="1">
        <v>81.0</v>
      </c>
      <c r="L1243" s="1">
        <v>60.0</v>
      </c>
      <c r="M1243" s="1">
        <v>80.0</v>
      </c>
      <c r="N1243" s="1">
        <v>59.0</v>
      </c>
      <c r="O1243" s="1">
        <v>51.0</v>
      </c>
      <c r="P1243" s="1">
        <v>87.0</v>
      </c>
      <c r="Q1243" s="1">
        <v>38.0</v>
      </c>
      <c r="R1243" s="1">
        <v>42.0</v>
      </c>
      <c r="S1243" s="1">
        <v>90.0</v>
      </c>
      <c r="T1243" s="1">
        <v>61.0</v>
      </c>
      <c r="U1243" s="1">
        <v>86.0</v>
      </c>
      <c r="V1243" s="1">
        <v>68.0</v>
      </c>
      <c r="W1243" s="1">
        <v>52.0</v>
      </c>
      <c r="X1243" s="1">
        <v>75.0</v>
      </c>
      <c r="Y1243" s="1">
        <v>79.0</v>
      </c>
      <c r="Z1243" s="1">
        <v>1.0</v>
      </c>
    </row>
    <row r="1244">
      <c r="A1244" s="1" t="s">
        <v>2588</v>
      </c>
      <c r="B1244" s="1" t="s">
        <v>2770</v>
      </c>
      <c r="C1244" s="1" t="s">
        <v>1534</v>
      </c>
      <c r="D1244" s="1">
        <v>240.0</v>
      </c>
      <c r="E1244" s="1">
        <v>75.0</v>
      </c>
      <c r="F1244" s="1">
        <v>75.0</v>
      </c>
      <c r="G1244" s="1">
        <v>90.0</v>
      </c>
      <c r="H1244" s="1">
        <v>60.0</v>
      </c>
      <c r="I1244" s="1">
        <v>50.0</v>
      </c>
      <c r="J1244" s="1">
        <v>70.0</v>
      </c>
      <c r="K1244" s="1">
        <v>80.0</v>
      </c>
      <c r="L1244" s="1">
        <v>69.0</v>
      </c>
      <c r="M1244" s="1">
        <v>70.0</v>
      </c>
      <c r="N1244" s="1">
        <v>80.0</v>
      </c>
      <c r="O1244" s="1">
        <v>63.0</v>
      </c>
      <c r="P1244" s="1">
        <v>90.0</v>
      </c>
      <c r="Q1244" s="1">
        <v>51.0</v>
      </c>
      <c r="R1244" s="1">
        <v>48.0</v>
      </c>
      <c r="S1244" s="1">
        <v>90.0</v>
      </c>
      <c r="T1244" s="1">
        <v>71.0</v>
      </c>
      <c r="U1244" s="1">
        <v>96.0</v>
      </c>
      <c r="V1244" s="1">
        <v>80.0</v>
      </c>
      <c r="W1244" s="1">
        <v>66.0</v>
      </c>
      <c r="X1244" s="1">
        <v>70.0</v>
      </c>
      <c r="Y1244" s="1">
        <v>80.0</v>
      </c>
      <c r="Z1244" s="1">
        <v>1.0</v>
      </c>
    </row>
    <row r="1245">
      <c r="A1245" s="1" t="s">
        <v>3298</v>
      </c>
      <c r="B1245" s="1" t="s">
        <v>2770</v>
      </c>
      <c r="C1245" s="1" t="s">
        <v>2115</v>
      </c>
      <c r="D1245" s="1">
        <v>257.0</v>
      </c>
      <c r="E1245" s="1">
        <v>84.0</v>
      </c>
      <c r="F1245" s="1">
        <v>70.0</v>
      </c>
      <c r="G1245" s="1">
        <v>89.0</v>
      </c>
      <c r="H1245" s="1">
        <v>90.0</v>
      </c>
      <c r="I1245" s="1">
        <v>60.0</v>
      </c>
      <c r="J1245" s="1">
        <v>65.0</v>
      </c>
      <c r="K1245" s="1">
        <v>74.0</v>
      </c>
      <c r="L1245" s="1">
        <v>51.0</v>
      </c>
      <c r="M1245" s="1">
        <v>55.0</v>
      </c>
      <c r="N1245" s="1">
        <v>73.0</v>
      </c>
      <c r="O1245" s="1">
        <v>60.0</v>
      </c>
      <c r="P1245" s="1">
        <v>88.0</v>
      </c>
      <c r="Q1245" s="1">
        <v>62.0</v>
      </c>
      <c r="R1245" s="1">
        <v>44.0</v>
      </c>
      <c r="S1245" s="1">
        <v>85.0</v>
      </c>
      <c r="T1245" s="1">
        <v>86.0</v>
      </c>
      <c r="U1245" s="1">
        <v>86.0</v>
      </c>
      <c r="V1245" s="1">
        <v>71.0</v>
      </c>
      <c r="W1245" s="1">
        <v>60.0</v>
      </c>
      <c r="X1245" s="1">
        <v>91.0</v>
      </c>
      <c r="Y1245" s="1">
        <v>85.0</v>
      </c>
      <c r="Z1245" s="1">
        <v>1.0</v>
      </c>
    </row>
    <row r="1246">
      <c r="A1246" s="1" t="s">
        <v>3299</v>
      </c>
      <c r="B1246" s="1" t="s">
        <v>2770</v>
      </c>
      <c r="C1246" s="1" t="s">
        <v>2783</v>
      </c>
      <c r="D1246" s="1">
        <v>230.0</v>
      </c>
      <c r="E1246" s="1">
        <v>87.0</v>
      </c>
      <c r="F1246" s="1">
        <v>76.0</v>
      </c>
      <c r="G1246" s="1">
        <v>73.0</v>
      </c>
      <c r="H1246" s="1">
        <v>90.0</v>
      </c>
      <c r="I1246" s="1">
        <v>87.0</v>
      </c>
      <c r="J1246" s="1">
        <v>88.0</v>
      </c>
      <c r="K1246" s="1">
        <v>69.0</v>
      </c>
      <c r="L1246" s="1">
        <v>84.0</v>
      </c>
      <c r="M1246" s="1">
        <v>87.0</v>
      </c>
      <c r="N1246" s="1">
        <v>65.0</v>
      </c>
      <c r="O1246" s="1">
        <v>44.0</v>
      </c>
      <c r="P1246" s="1">
        <v>82.0</v>
      </c>
      <c r="Q1246" s="1">
        <v>62.0</v>
      </c>
      <c r="R1246" s="1">
        <v>37.0</v>
      </c>
      <c r="S1246" s="1">
        <v>84.0</v>
      </c>
      <c r="T1246" s="1">
        <v>75.0</v>
      </c>
      <c r="U1246" s="1">
        <v>85.0</v>
      </c>
      <c r="V1246" s="1">
        <v>62.0</v>
      </c>
      <c r="W1246" s="1">
        <v>47.0</v>
      </c>
      <c r="X1246" s="1">
        <v>79.0</v>
      </c>
      <c r="Y1246" s="1">
        <v>73.0</v>
      </c>
      <c r="Z1246" s="1">
        <v>1.0</v>
      </c>
    </row>
    <row r="1247">
      <c r="A1247" s="1" t="s">
        <v>3300</v>
      </c>
      <c r="B1247" s="1" t="s">
        <v>2770</v>
      </c>
      <c r="C1247" s="1" t="s">
        <v>2994</v>
      </c>
      <c r="D1247" s="1">
        <v>258.0</v>
      </c>
      <c r="E1247" s="1">
        <v>80.0</v>
      </c>
      <c r="F1247" s="1">
        <v>80.0</v>
      </c>
      <c r="G1247" s="1">
        <v>70.0</v>
      </c>
      <c r="H1247" s="1">
        <v>95.0</v>
      </c>
      <c r="I1247" s="1">
        <v>65.0</v>
      </c>
      <c r="J1247" s="1">
        <v>45.0</v>
      </c>
      <c r="K1247" s="1">
        <v>25.0</v>
      </c>
      <c r="L1247" s="1">
        <v>70.0</v>
      </c>
      <c r="M1247" s="1">
        <v>87.0</v>
      </c>
      <c r="N1247" s="1">
        <v>48.0</v>
      </c>
      <c r="O1247" s="1">
        <v>25.0</v>
      </c>
      <c r="P1247" s="1">
        <v>82.0</v>
      </c>
      <c r="Q1247" s="1">
        <v>36.0</v>
      </c>
      <c r="R1247" s="1">
        <v>38.0</v>
      </c>
      <c r="S1247" s="1">
        <v>93.0</v>
      </c>
      <c r="T1247" s="1">
        <v>96.0</v>
      </c>
      <c r="U1247" s="1">
        <v>85.0</v>
      </c>
      <c r="V1247" s="1">
        <v>61.0</v>
      </c>
      <c r="W1247" s="1">
        <v>46.0</v>
      </c>
      <c r="X1247" s="1">
        <v>91.0</v>
      </c>
      <c r="Y1247" s="1">
        <v>77.0</v>
      </c>
      <c r="Z1247" s="1">
        <v>1.0</v>
      </c>
    </row>
    <row r="1248">
      <c r="A1248" s="1" t="s">
        <v>3301</v>
      </c>
      <c r="B1248" s="1" t="s">
        <v>2770</v>
      </c>
      <c r="C1248" s="1" t="s">
        <v>1579</v>
      </c>
      <c r="D1248" s="1">
        <v>268.0</v>
      </c>
      <c r="E1248" s="1">
        <v>75.0</v>
      </c>
      <c r="F1248" s="1">
        <v>55.0</v>
      </c>
      <c r="G1248" s="1">
        <v>75.0</v>
      </c>
      <c r="H1248" s="1">
        <v>90.0</v>
      </c>
      <c r="I1248" s="1">
        <v>56.0</v>
      </c>
      <c r="J1248" s="1">
        <v>75.0</v>
      </c>
      <c r="K1248" s="1">
        <v>85.0</v>
      </c>
      <c r="L1248" s="1">
        <v>77.0</v>
      </c>
      <c r="M1248" s="1">
        <v>76.0</v>
      </c>
      <c r="N1248" s="1">
        <v>41.0</v>
      </c>
      <c r="O1248" s="1">
        <v>41.0</v>
      </c>
      <c r="P1248" s="1">
        <v>82.0</v>
      </c>
      <c r="Q1248" s="1">
        <v>73.0</v>
      </c>
      <c r="R1248" s="1">
        <v>73.0</v>
      </c>
      <c r="S1248" s="1">
        <v>84.0</v>
      </c>
      <c r="T1248" s="1">
        <v>81.0</v>
      </c>
      <c r="U1248" s="1">
        <v>92.0</v>
      </c>
      <c r="V1248" s="1">
        <v>71.0</v>
      </c>
      <c r="W1248" s="1">
        <v>60.0</v>
      </c>
      <c r="X1248" s="1">
        <v>91.0</v>
      </c>
      <c r="Y1248" s="1">
        <v>77.0</v>
      </c>
      <c r="Z1248" s="1">
        <v>1.0</v>
      </c>
    </row>
    <row r="1249">
      <c r="A1249" s="1" t="s">
        <v>1609</v>
      </c>
      <c r="B1249" s="1" t="s">
        <v>2770</v>
      </c>
      <c r="C1249" s="1" t="s">
        <v>2327</v>
      </c>
      <c r="D1249" s="1">
        <v>253.0</v>
      </c>
      <c r="E1249" s="1">
        <v>75.0</v>
      </c>
      <c r="F1249" s="1">
        <v>80.0</v>
      </c>
      <c r="G1249" s="1">
        <v>80.0</v>
      </c>
      <c r="H1249" s="1">
        <v>90.0</v>
      </c>
      <c r="I1249" s="1">
        <v>61.0</v>
      </c>
      <c r="J1249" s="1">
        <v>80.0</v>
      </c>
      <c r="K1249" s="1">
        <v>86.0</v>
      </c>
      <c r="L1249" s="1">
        <v>61.0</v>
      </c>
      <c r="M1249" s="1">
        <v>80.0</v>
      </c>
      <c r="N1249" s="1">
        <v>71.0</v>
      </c>
      <c r="O1249" s="1">
        <v>46.0</v>
      </c>
      <c r="P1249" s="1">
        <v>81.0</v>
      </c>
      <c r="Q1249" s="1">
        <v>65.0</v>
      </c>
      <c r="R1249" s="1">
        <v>44.0</v>
      </c>
      <c r="S1249" s="1">
        <v>99.0</v>
      </c>
      <c r="T1249" s="1">
        <v>57.0</v>
      </c>
      <c r="U1249" s="1">
        <v>80.0</v>
      </c>
      <c r="V1249" s="1">
        <v>68.0</v>
      </c>
      <c r="W1249" s="1">
        <v>48.0</v>
      </c>
      <c r="X1249" s="1">
        <v>80.0</v>
      </c>
      <c r="Y1249" s="1">
        <v>80.0</v>
      </c>
      <c r="Z1249" s="1">
        <v>1.0</v>
      </c>
    </row>
    <row r="1250">
      <c r="A1250" s="1" t="s">
        <v>3302</v>
      </c>
      <c r="B1250" s="1" t="s">
        <v>2770</v>
      </c>
      <c r="C1250" s="1" t="s">
        <v>2115</v>
      </c>
      <c r="D1250" s="1">
        <v>243.0</v>
      </c>
      <c r="E1250" s="1">
        <v>79.0</v>
      </c>
      <c r="F1250" s="1">
        <v>72.0</v>
      </c>
      <c r="G1250" s="1">
        <v>85.0</v>
      </c>
      <c r="H1250" s="1">
        <v>90.0</v>
      </c>
      <c r="I1250" s="1">
        <v>56.0</v>
      </c>
      <c r="J1250" s="1">
        <v>75.0</v>
      </c>
      <c r="K1250" s="1">
        <v>80.0</v>
      </c>
      <c r="L1250" s="1">
        <v>73.0</v>
      </c>
      <c r="M1250" s="1">
        <v>76.0</v>
      </c>
      <c r="N1250" s="1">
        <v>70.0</v>
      </c>
      <c r="O1250" s="1">
        <v>62.0</v>
      </c>
      <c r="P1250" s="1">
        <v>76.0</v>
      </c>
      <c r="Q1250" s="1">
        <v>72.0</v>
      </c>
      <c r="R1250" s="1">
        <v>74.0</v>
      </c>
      <c r="S1250" s="1">
        <v>78.0</v>
      </c>
      <c r="T1250" s="1">
        <v>94.0</v>
      </c>
      <c r="U1250" s="1">
        <v>80.0</v>
      </c>
      <c r="V1250" s="1">
        <v>73.0</v>
      </c>
      <c r="W1250" s="1">
        <v>64.0</v>
      </c>
      <c r="X1250" s="1">
        <v>85.0</v>
      </c>
      <c r="Y1250" s="1">
        <v>81.0</v>
      </c>
      <c r="Z1250" s="1">
        <v>1.0</v>
      </c>
    </row>
    <row r="1251">
      <c r="A1251" s="1" t="s">
        <v>3303</v>
      </c>
      <c r="B1251" s="1" t="s">
        <v>2770</v>
      </c>
      <c r="C1251" s="1" t="s">
        <v>1579</v>
      </c>
      <c r="D1251" s="1">
        <v>240.0</v>
      </c>
      <c r="E1251" s="1">
        <v>75.0</v>
      </c>
      <c r="F1251" s="1">
        <v>50.0</v>
      </c>
      <c r="G1251" s="1">
        <v>70.0</v>
      </c>
      <c r="H1251" s="1">
        <v>64.0</v>
      </c>
      <c r="I1251" s="1">
        <v>55.0</v>
      </c>
      <c r="J1251" s="1">
        <v>84.0</v>
      </c>
      <c r="K1251" s="1">
        <v>91.0</v>
      </c>
      <c r="L1251" s="1">
        <v>73.0</v>
      </c>
      <c r="M1251" s="1">
        <v>91.0</v>
      </c>
      <c r="N1251" s="1">
        <v>60.0</v>
      </c>
      <c r="O1251" s="1">
        <v>65.0</v>
      </c>
      <c r="P1251" s="1">
        <v>84.0</v>
      </c>
      <c r="Q1251" s="1">
        <v>60.0</v>
      </c>
      <c r="R1251" s="1">
        <v>60.0</v>
      </c>
      <c r="S1251" s="1">
        <v>84.0</v>
      </c>
      <c r="T1251" s="1">
        <v>83.0</v>
      </c>
      <c r="U1251" s="1">
        <v>86.0</v>
      </c>
      <c r="V1251" s="1">
        <v>76.0</v>
      </c>
      <c r="W1251" s="1">
        <v>70.0</v>
      </c>
      <c r="X1251" s="1">
        <v>89.0</v>
      </c>
      <c r="Y1251" s="1">
        <v>83.0</v>
      </c>
      <c r="Z1251" s="1">
        <v>1.0</v>
      </c>
    </row>
    <row r="1252">
      <c r="A1252" s="1" t="s">
        <v>3304</v>
      </c>
      <c r="B1252" s="1" t="s">
        <v>2770</v>
      </c>
      <c r="C1252" s="1" t="s">
        <v>1534</v>
      </c>
      <c r="D1252" s="1">
        <v>255.0</v>
      </c>
      <c r="E1252" s="1">
        <v>70.0</v>
      </c>
      <c r="F1252" s="1">
        <v>77.0</v>
      </c>
      <c r="G1252" s="1">
        <v>89.0</v>
      </c>
      <c r="H1252" s="1">
        <v>72.0</v>
      </c>
      <c r="I1252" s="1">
        <v>57.0</v>
      </c>
      <c r="J1252" s="1">
        <v>70.0</v>
      </c>
      <c r="K1252" s="1">
        <v>80.0</v>
      </c>
      <c r="L1252" s="1">
        <v>58.0</v>
      </c>
      <c r="M1252" s="1">
        <v>65.0</v>
      </c>
      <c r="N1252" s="1">
        <v>49.0</v>
      </c>
      <c r="O1252" s="1">
        <v>50.0</v>
      </c>
      <c r="P1252" s="1">
        <v>82.0</v>
      </c>
      <c r="Q1252" s="1">
        <v>64.0</v>
      </c>
      <c r="R1252" s="1">
        <v>66.0</v>
      </c>
      <c r="S1252" s="1">
        <v>78.0</v>
      </c>
      <c r="T1252" s="1">
        <v>80.0</v>
      </c>
      <c r="U1252" s="1">
        <v>94.0</v>
      </c>
      <c r="V1252" s="1">
        <v>80.0</v>
      </c>
      <c r="W1252" s="1">
        <v>70.0</v>
      </c>
      <c r="X1252" s="1">
        <v>91.0</v>
      </c>
      <c r="Y1252" s="1">
        <v>82.0</v>
      </c>
      <c r="Z1252" s="1">
        <v>1.0</v>
      </c>
    </row>
    <row r="1253">
      <c r="A1253" s="1" t="s">
        <v>3305</v>
      </c>
      <c r="B1253" s="1" t="s">
        <v>2770</v>
      </c>
      <c r="C1253" s="1" t="s">
        <v>2327</v>
      </c>
      <c r="D1253" s="1">
        <v>256.0</v>
      </c>
      <c r="E1253" s="1">
        <v>78.0</v>
      </c>
      <c r="F1253" s="1">
        <v>67.0</v>
      </c>
      <c r="G1253" s="1">
        <v>87.0</v>
      </c>
      <c r="H1253" s="1">
        <v>90.0</v>
      </c>
      <c r="I1253" s="1">
        <v>77.0</v>
      </c>
      <c r="J1253" s="1">
        <v>38.0</v>
      </c>
      <c r="K1253" s="1">
        <v>25.0</v>
      </c>
      <c r="L1253" s="1">
        <v>60.0</v>
      </c>
      <c r="M1253" s="1">
        <v>76.0</v>
      </c>
      <c r="N1253" s="1">
        <v>47.0</v>
      </c>
      <c r="O1253" s="1">
        <v>27.0</v>
      </c>
      <c r="P1253" s="1">
        <v>88.0</v>
      </c>
      <c r="Q1253" s="1">
        <v>38.0</v>
      </c>
      <c r="R1253" s="1">
        <v>60.0</v>
      </c>
      <c r="S1253" s="1">
        <v>84.0</v>
      </c>
      <c r="T1253" s="1">
        <v>98.0</v>
      </c>
      <c r="U1253" s="1">
        <v>83.0</v>
      </c>
      <c r="V1253" s="1">
        <v>67.0</v>
      </c>
      <c r="W1253" s="1">
        <v>54.0</v>
      </c>
      <c r="X1253" s="1">
        <v>91.0</v>
      </c>
      <c r="Y1253" s="1">
        <v>80.0</v>
      </c>
      <c r="Z1253" s="1">
        <v>1.0</v>
      </c>
    </row>
    <row r="1254">
      <c r="A1254" s="1" t="s">
        <v>3306</v>
      </c>
      <c r="B1254" s="1" t="s">
        <v>2770</v>
      </c>
      <c r="C1254" s="1" t="s">
        <v>970</v>
      </c>
      <c r="D1254" s="1">
        <v>258.0</v>
      </c>
      <c r="E1254" s="1">
        <v>75.0</v>
      </c>
      <c r="F1254" s="1">
        <v>80.0</v>
      </c>
      <c r="G1254" s="1">
        <v>93.0</v>
      </c>
      <c r="H1254" s="1">
        <v>90.0</v>
      </c>
      <c r="I1254" s="1">
        <v>56.0</v>
      </c>
      <c r="J1254" s="1">
        <v>35.0</v>
      </c>
      <c r="K1254" s="1">
        <v>25.0</v>
      </c>
      <c r="L1254" s="1">
        <v>37.0</v>
      </c>
      <c r="M1254" s="1">
        <v>70.0</v>
      </c>
      <c r="N1254" s="1">
        <v>62.0</v>
      </c>
      <c r="O1254" s="1">
        <v>67.0</v>
      </c>
      <c r="P1254" s="1">
        <v>82.0</v>
      </c>
      <c r="Q1254" s="1">
        <v>72.0</v>
      </c>
      <c r="R1254" s="1">
        <v>80.0</v>
      </c>
      <c r="S1254" s="1">
        <v>93.0</v>
      </c>
      <c r="T1254" s="1">
        <v>90.0</v>
      </c>
      <c r="U1254" s="1">
        <v>95.0</v>
      </c>
      <c r="V1254" s="1">
        <v>70.0</v>
      </c>
      <c r="W1254" s="1">
        <v>70.0</v>
      </c>
      <c r="X1254" s="1">
        <v>91.0</v>
      </c>
      <c r="Y1254" s="1">
        <v>83.0</v>
      </c>
      <c r="Z1254" s="1">
        <v>1.0</v>
      </c>
    </row>
    <row r="1255">
      <c r="A1255" s="1" t="s">
        <v>874</v>
      </c>
      <c r="B1255" s="1" t="s">
        <v>2770</v>
      </c>
      <c r="C1255" s="1" t="s">
        <v>2327</v>
      </c>
      <c r="D1255" s="1">
        <v>240.0</v>
      </c>
      <c r="E1255" s="1">
        <v>80.0</v>
      </c>
      <c r="F1255" s="1">
        <v>59.0</v>
      </c>
      <c r="G1255" s="1">
        <v>75.0</v>
      </c>
      <c r="H1255" s="1">
        <v>90.0</v>
      </c>
      <c r="I1255" s="1">
        <v>80.0</v>
      </c>
      <c r="J1255" s="1">
        <v>84.0</v>
      </c>
      <c r="K1255" s="1">
        <v>90.0</v>
      </c>
      <c r="L1255" s="1">
        <v>66.0</v>
      </c>
      <c r="M1255" s="1">
        <v>77.0</v>
      </c>
      <c r="N1255" s="1">
        <v>74.0</v>
      </c>
      <c r="O1255" s="1">
        <v>60.0</v>
      </c>
      <c r="P1255" s="1">
        <v>84.0</v>
      </c>
      <c r="Q1255" s="1">
        <v>62.0</v>
      </c>
      <c r="R1255" s="1">
        <v>60.0</v>
      </c>
      <c r="S1255" s="1">
        <v>82.0</v>
      </c>
      <c r="T1255" s="1">
        <v>80.0</v>
      </c>
      <c r="U1255" s="1">
        <v>90.0</v>
      </c>
      <c r="V1255" s="1">
        <v>71.0</v>
      </c>
      <c r="W1255" s="1">
        <v>51.0</v>
      </c>
      <c r="X1255" s="1">
        <v>83.0</v>
      </c>
      <c r="Y1255" s="1">
        <v>79.0</v>
      </c>
      <c r="Z1255" s="1">
        <v>1.0</v>
      </c>
    </row>
    <row r="1256">
      <c r="A1256" s="1" t="s">
        <v>3307</v>
      </c>
      <c r="B1256" s="1" t="s">
        <v>2770</v>
      </c>
      <c r="C1256" s="1" t="s">
        <v>2115</v>
      </c>
      <c r="D1256" s="1">
        <v>253.0</v>
      </c>
      <c r="E1256" s="1">
        <v>80.0</v>
      </c>
      <c r="F1256" s="1">
        <v>70.0</v>
      </c>
      <c r="G1256" s="1">
        <v>80.0</v>
      </c>
      <c r="H1256" s="1">
        <v>81.0</v>
      </c>
      <c r="I1256" s="1">
        <v>80.0</v>
      </c>
      <c r="J1256" s="1">
        <v>80.0</v>
      </c>
      <c r="K1256" s="1">
        <v>83.0</v>
      </c>
      <c r="L1256" s="1">
        <v>79.0</v>
      </c>
      <c r="M1256" s="1">
        <v>90.0</v>
      </c>
      <c r="N1256" s="1">
        <v>55.0</v>
      </c>
      <c r="O1256" s="1">
        <v>40.0</v>
      </c>
      <c r="P1256" s="1">
        <v>80.0</v>
      </c>
      <c r="Q1256" s="1">
        <v>42.0</v>
      </c>
      <c r="R1256" s="1">
        <v>35.0</v>
      </c>
      <c r="S1256" s="1">
        <v>89.0</v>
      </c>
      <c r="T1256" s="1">
        <v>90.0</v>
      </c>
      <c r="U1256" s="1">
        <v>80.0</v>
      </c>
      <c r="V1256" s="1">
        <v>72.0</v>
      </c>
      <c r="W1256" s="1">
        <v>60.0</v>
      </c>
      <c r="X1256" s="1">
        <v>90.0</v>
      </c>
      <c r="Y1256" s="1">
        <v>80.0</v>
      </c>
      <c r="Z1256" s="1">
        <v>1.0</v>
      </c>
    </row>
    <row r="1257">
      <c r="A1257" s="1" t="s">
        <v>3308</v>
      </c>
      <c r="B1257" s="1" t="s">
        <v>2770</v>
      </c>
      <c r="C1257" s="1" t="s">
        <v>2115</v>
      </c>
      <c r="D1257" s="1">
        <v>254.0</v>
      </c>
      <c r="E1257" s="1">
        <v>85.0</v>
      </c>
      <c r="F1257" s="1">
        <v>70.0</v>
      </c>
      <c r="G1257" s="1">
        <v>75.0</v>
      </c>
      <c r="H1257" s="1">
        <v>85.0</v>
      </c>
      <c r="I1257" s="1">
        <v>81.0</v>
      </c>
      <c r="J1257" s="1">
        <v>88.0</v>
      </c>
      <c r="K1257" s="1">
        <v>77.0</v>
      </c>
      <c r="L1257" s="1">
        <v>64.0</v>
      </c>
      <c r="M1257" s="1">
        <v>76.0</v>
      </c>
      <c r="N1257" s="1">
        <v>73.0</v>
      </c>
      <c r="O1257" s="1">
        <v>55.0</v>
      </c>
      <c r="P1257" s="1">
        <v>85.0</v>
      </c>
      <c r="Q1257" s="1">
        <v>72.0</v>
      </c>
      <c r="R1257" s="1">
        <v>60.0</v>
      </c>
      <c r="S1257" s="1">
        <v>84.0</v>
      </c>
      <c r="T1257" s="1">
        <v>89.0</v>
      </c>
      <c r="U1257" s="1">
        <v>80.0</v>
      </c>
      <c r="V1257" s="1">
        <v>70.0</v>
      </c>
      <c r="W1257" s="1">
        <v>61.0</v>
      </c>
      <c r="X1257" s="1">
        <v>81.0</v>
      </c>
      <c r="Y1257" s="1">
        <v>83.0</v>
      </c>
      <c r="Z1257" s="1">
        <v>1.0</v>
      </c>
    </row>
    <row r="1258">
      <c r="A1258" s="1" t="s">
        <v>2380</v>
      </c>
      <c r="B1258" s="1" t="s">
        <v>2770</v>
      </c>
      <c r="C1258" s="1" t="s">
        <v>2115</v>
      </c>
      <c r="D1258" s="1">
        <v>254.0</v>
      </c>
      <c r="E1258" s="1">
        <v>80.0</v>
      </c>
      <c r="F1258" s="1">
        <v>67.0</v>
      </c>
      <c r="G1258" s="1">
        <v>87.0</v>
      </c>
      <c r="H1258" s="1">
        <v>81.0</v>
      </c>
      <c r="I1258" s="1">
        <v>80.0</v>
      </c>
      <c r="J1258" s="1">
        <v>80.0</v>
      </c>
      <c r="K1258" s="1">
        <v>80.0</v>
      </c>
      <c r="L1258" s="1">
        <v>60.0</v>
      </c>
      <c r="M1258" s="1">
        <v>60.0</v>
      </c>
      <c r="N1258" s="1">
        <v>71.0</v>
      </c>
      <c r="O1258" s="1">
        <v>51.0</v>
      </c>
      <c r="P1258" s="1">
        <v>90.0</v>
      </c>
      <c r="Q1258" s="1">
        <v>47.0</v>
      </c>
      <c r="R1258" s="1">
        <v>47.0</v>
      </c>
      <c r="S1258" s="1">
        <v>93.0</v>
      </c>
      <c r="T1258" s="1">
        <v>90.0</v>
      </c>
      <c r="U1258" s="1">
        <v>84.0</v>
      </c>
      <c r="V1258" s="1">
        <v>70.0</v>
      </c>
      <c r="W1258" s="1">
        <v>56.0</v>
      </c>
      <c r="X1258" s="1">
        <v>83.0</v>
      </c>
      <c r="Y1258" s="1">
        <v>80.0</v>
      </c>
      <c r="Z1258" s="1">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10.5"/>
    <col customWidth="1" min="3" max="9" width="11.5"/>
  </cols>
  <sheetData>
    <row r="1">
      <c r="L1" s="4" t="s">
        <v>3309</v>
      </c>
      <c r="M1" s="4" t="s">
        <v>3310</v>
      </c>
    </row>
    <row r="2">
      <c r="L2" s="4">
        <v>66.0</v>
      </c>
      <c r="M2" s="4">
        <v>0.0</v>
      </c>
    </row>
    <row r="3">
      <c r="L3" s="4">
        <v>68.0</v>
      </c>
      <c r="M3" s="4">
        <v>8.33</v>
      </c>
    </row>
    <row r="4">
      <c r="L4" s="4">
        <v>70.0</v>
      </c>
      <c r="M4" s="4">
        <v>16.67</v>
      </c>
    </row>
    <row r="5">
      <c r="L5" s="4">
        <v>72.0</v>
      </c>
      <c r="M5" s="4">
        <v>25.0</v>
      </c>
    </row>
    <row r="6">
      <c r="L6" s="4">
        <v>74.0</v>
      </c>
      <c r="M6" s="4">
        <v>33.33</v>
      </c>
    </row>
    <row r="7">
      <c r="L7" s="4">
        <v>76.0</v>
      </c>
      <c r="M7" s="4">
        <v>41.67</v>
      </c>
    </row>
    <row r="8">
      <c r="L8" s="4">
        <v>78.0</v>
      </c>
      <c r="M8" s="4">
        <v>50.0</v>
      </c>
    </row>
    <row r="9">
      <c r="L9" s="4">
        <v>80.0</v>
      </c>
      <c r="M9" s="4">
        <v>58.33</v>
      </c>
    </row>
    <row r="10">
      <c r="L10" s="4">
        <v>82.0</v>
      </c>
      <c r="M10" s="4">
        <v>66.67</v>
      </c>
    </row>
    <row r="11">
      <c r="L11" s="4">
        <v>84.0</v>
      </c>
      <c r="M11" s="4">
        <v>75.0</v>
      </c>
    </row>
    <row r="12">
      <c r="L12" s="4">
        <v>86.0</v>
      </c>
      <c r="M12" s="4">
        <v>83.33</v>
      </c>
    </row>
    <row r="19">
      <c r="A19" s="1" t="s">
        <v>3311</v>
      </c>
    </row>
    <row r="20">
      <c r="A20" s="1" t="s">
        <v>3312</v>
      </c>
      <c r="B20" s="1" t="s">
        <v>3313</v>
      </c>
      <c r="C20" s="1" t="s">
        <v>3314</v>
      </c>
      <c r="D20" s="1" t="s">
        <v>3315</v>
      </c>
      <c r="E20" s="1" t="s">
        <v>3316</v>
      </c>
      <c r="F20" s="1" t="s">
        <v>3317</v>
      </c>
      <c r="G20" s="1" t="s">
        <v>3318</v>
      </c>
      <c r="H20" s="1" t="s">
        <v>3319</v>
      </c>
      <c r="I20" s="1" t="s">
        <v>3320</v>
      </c>
    </row>
    <row r="21">
      <c r="A21" s="1" t="s">
        <v>4</v>
      </c>
      <c r="B21" s="5">
        <f>IFERROR(__xludf.DUMMYFUNCTION("PERCENTILE(INDEX(Archetype_DB!$A$2:$Z1000, 0, MATCH($A21, Archetype_DB!$A$1:$Z$1, 0)), VALUE(REGEXEXTRACT(B$20, ""\d+""))/100)"),64.35)</f>
        <v>64.35</v>
      </c>
      <c r="C21" s="5">
        <f>IFERROR(__xludf.DUMMYFUNCTION("PERCENTILE(INDEX(Archetype_DB!$A$2:$Z1000, 0, MATCH($A21, Archetype_DB!$A$1:$Z$1, 0)), VALUE(REGEXEXTRACT(C$20, ""\d+""))/100)"),71.0)</f>
        <v>71</v>
      </c>
      <c r="D21" s="5">
        <f>IFERROR(__xludf.DUMMYFUNCTION("PERCENTILE(INDEX(Archetype_DB!$A$2:$Z1000, 0, MATCH($A21, Archetype_DB!$A$1:$Z$1, 0)), VALUE(REGEXEXTRACT(D$20, ""\d+""))/100)"),75.0)</f>
        <v>75</v>
      </c>
      <c r="E21" s="5">
        <f>IFERROR(__xludf.DUMMYFUNCTION("PERCENTILE(INDEX(Archetype_DB!$A$2:$Z1000, 0, MATCH($A21, Archetype_DB!$A$1:$Z$1, 0)), VALUE(REGEXEXTRACT(E$20, ""\d+""))/100)"),80.0)</f>
        <v>80</v>
      </c>
      <c r="F21" s="5">
        <f>IFERROR(__xludf.DUMMYFUNCTION("PERCENTILE(INDEX(Archetype_DB!$A$2:$Z1000, 0, MATCH($A21, Archetype_DB!$A$1:$Z$1, 0)), VALUE(REGEXEXTRACT(F$20, ""\d+""))/100)"),84.0)</f>
        <v>84</v>
      </c>
      <c r="G21" s="5">
        <f>IFERROR(__xludf.DUMMYFUNCTION("PERCENTILE(INDEX(Archetype_DB!$A$2:$Z1000, 0, MATCH($A21, Archetype_DB!$A$1:$Z$1, 0)), VALUE(REGEXEXTRACT(G$20, ""\d+""))/100)"),89.0)</f>
        <v>89</v>
      </c>
      <c r="H21" s="5">
        <f>IFERROR(__xludf.DUMMYFUNCTION("PERCENTILE(INDEX(Archetype_DB!$A$2:$Z1000, 0, MATCH($A21, Archetype_DB!$A$1:$Z$1, 0)), VALUE(REGEXEXTRACT(H$20, ""\d+""))/100)"),92.0)</f>
        <v>92</v>
      </c>
      <c r="I21" s="5">
        <f>IFERROR(__xludf.DUMMYFUNCTION("PERCENTILE(INDEX(Archetype_DB!$A$2:$Z1000, 0, MATCH($A21, Archetype_DB!$A$1:$Z$1, 0)), VALUE(REGEXEXTRACT(I$20, ""\d+""))/100)"),95.64999999999998)</f>
        <v>95.65</v>
      </c>
    </row>
    <row r="22">
      <c r="A22" s="1" t="s">
        <v>5</v>
      </c>
      <c r="B22" s="5">
        <f>IFERROR(__xludf.DUMMYFUNCTION("PERCENTILE(INDEX(Archetype_DB!$A$2:$Z1000, 0, MATCH($A22, Archetype_DB!$A$1:$Z$1, 0)), VALUE(REGEXEXTRACT(B$20, ""\d+""))/100)"),50.36)</f>
        <v>50.36</v>
      </c>
      <c r="C22" s="5">
        <f>IFERROR(__xludf.DUMMYFUNCTION("PERCENTILE(INDEX(Archetype_DB!$A$2:$Z1000, 0, MATCH($A22, Archetype_DB!$A$1:$Z$1, 0)), VALUE(REGEXEXTRACT(C$20, ""\d+""))/100)"),60.0)</f>
        <v>60</v>
      </c>
      <c r="D22" s="5">
        <f>IFERROR(__xludf.DUMMYFUNCTION("PERCENTILE(INDEX(Archetype_DB!$A$2:$Z1000, 0, MATCH($A22, Archetype_DB!$A$1:$Z$1, 0)), VALUE(REGEXEXTRACT(D$20, ""\d+""))/100)"),70.0)</f>
        <v>70</v>
      </c>
      <c r="E22" s="5">
        <f>IFERROR(__xludf.DUMMYFUNCTION("PERCENTILE(INDEX(Archetype_DB!$A$2:$Z1000, 0, MATCH($A22, Archetype_DB!$A$1:$Z$1, 0)), VALUE(REGEXEXTRACT(E$20, ""\d+""))/100)"),75.0)</f>
        <v>75</v>
      </c>
      <c r="F22" s="5">
        <f>IFERROR(__xludf.DUMMYFUNCTION("PERCENTILE(INDEX(Archetype_DB!$A$2:$Z1000, 0, MATCH($A22, Archetype_DB!$A$1:$Z$1, 0)), VALUE(REGEXEXTRACT(F$20, ""\d+""))/100)"),81.0)</f>
        <v>81</v>
      </c>
      <c r="G22" s="5">
        <f>IFERROR(__xludf.DUMMYFUNCTION("PERCENTILE(INDEX(Archetype_DB!$A$2:$Z1000, 0, MATCH($A22, Archetype_DB!$A$1:$Z$1, 0)), VALUE(REGEXEXTRACT(G$20, ""\d+""))/100)"),88.0)</f>
        <v>88</v>
      </c>
      <c r="H22" s="5">
        <f>IFERROR(__xludf.DUMMYFUNCTION("PERCENTILE(INDEX(Archetype_DB!$A$2:$Z1000, 0, MATCH($A22, Archetype_DB!$A$1:$Z$1, 0)), VALUE(REGEXEXTRACT(H$20, ""\d+""))/100)"),90.0)</f>
        <v>90</v>
      </c>
      <c r="I22" s="5">
        <f>IFERROR(__xludf.DUMMYFUNCTION("PERCENTILE(INDEX(Archetype_DB!$A$2:$Z1000, 0, MATCH($A22, Archetype_DB!$A$1:$Z$1, 0)), VALUE(REGEXEXTRACT(I$20, ""\d+""))/100)"),94.63999999999999)</f>
        <v>94.64</v>
      </c>
    </row>
    <row r="23">
      <c r="A23" s="1" t="s">
        <v>6</v>
      </c>
      <c r="B23" s="5">
        <f>IFERROR(__xludf.DUMMYFUNCTION("PERCENTILE(INDEX(Archetype_DB!$A$2:$Z1000, 0, MATCH($A23, Archetype_DB!$A$1:$Z$1, 0)), VALUE(REGEXEXTRACT(B$20, ""\d+""))/100)"),30.0)</f>
        <v>30</v>
      </c>
      <c r="C23" s="5">
        <f>IFERROR(__xludf.DUMMYFUNCTION("PERCENTILE(INDEX(Archetype_DB!$A$2:$Z1000, 0, MATCH($A23, Archetype_DB!$A$1:$Z$1, 0)), VALUE(REGEXEXTRACT(C$20, ""\d+""))/100)"),65.0)</f>
        <v>65</v>
      </c>
      <c r="D23" s="5">
        <f>IFERROR(__xludf.DUMMYFUNCTION("PERCENTILE(INDEX(Archetype_DB!$A$2:$Z1000, 0, MATCH($A23, Archetype_DB!$A$1:$Z$1, 0)), VALUE(REGEXEXTRACT(D$20, ""\d+""))/100)"),74.0)</f>
        <v>74</v>
      </c>
      <c r="E23" s="5">
        <f>IFERROR(__xludf.DUMMYFUNCTION("PERCENTILE(INDEX(Archetype_DB!$A$2:$Z1000, 0, MATCH($A23, Archetype_DB!$A$1:$Z$1, 0)), VALUE(REGEXEXTRACT(E$20, ""\d+""))/100)"),83.0)</f>
        <v>83</v>
      </c>
      <c r="F23" s="5">
        <f>IFERROR(__xludf.DUMMYFUNCTION("PERCENTILE(INDEX(Archetype_DB!$A$2:$Z1000, 0, MATCH($A23, Archetype_DB!$A$1:$Z$1, 0)), VALUE(REGEXEXTRACT(F$20, ""\d+""))/100)"),89.0)</f>
        <v>89</v>
      </c>
      <c r="G23" s="5">
        <f>IFERROR(__xludf.DUMMYFUNCTION("PERCENTILE(INDEX(Archetype_DB!$A$2:$Z1000, 0, MATCH($A23, Archetype_DB!$A$1:$Z$1, 0)), VALUE(REGEXEXTRACT(G$20, ""\d+""))/100)"),93.0)</f>
        <v>93</v>
      </c>
      <c r="H23" s="5">
        <f>IFERROR(__xludf.DUMMYFUNCTION("PERCENTILE(INDEX(Archetype_DB!$A$2:$Z1000, 0, MATCH($A23, Archetype_DB!$A$1:$Z$1, 0)), VALUE(REGEXEXTRACT(H$20, ""\d+""))/100)"),94.0)</f>
        <v>94</v>
      </c>
      <c r="I23" s="5">
        <f>IFERROR(__xludf.DUMMYFUNCTION("PERCENTILE(INDEX(Archetype_DB!$A$2:$Z1000, 0, MATCH($A23, Archetype_DB!$A$1:$Z$1, 0)), VALUE(REGEXEXTRACT(I$20, ""\d+""))/100)"),96.50999999999999)</f>
        <v>96.51</v>
      </c>
    </row>
    <row r="24">
      <c r="A24" s="1" t="s">
        <v>7</v>
      </c>
      <c r="B24" s="5">
        <f>IFERROR(__xludf.DUMMYFUNCTION("PERCENTILE(INDEX(Archetype_DB!$A$2:$Z1000, 0, MATCH($A24, Archetype_DB!$A$1:$Z$1, 0)), VALUE(REGEXEXTRACT(B$20, ""\d+""))/100)"),25.0)</f>
        <v>25</v>
      </c>
      <c r="C24" s="5">
        <f>IFERROR(__xludf.DUMMYFUNCTION("PERCENTILE(INDEX(Archetype_DB!$A$2:$Z1000, 0, MATCH($A24, Archetype_DB!$A$1:$Z$1, 0)), VALUE(REGEXEXTRACT(C$20, ""\d+""))/100)"),39.0)</f>
        <v>39</v>
      </c>
      <c r="D24" s="5">
        <f>IFERROR(__xludf.DUMMYFUNCTION("PERCENTILE(INDEX(Archetype_DB!$A$2:$Z1000, 0, MATCH($A24, Archetype_DB!$A$1:$Z$1, 0)), VALUE(REGEXEXTRACT(D$20, ""\d+""))/100)"),51.0)</f>
        <v>51</v>
      </c>
      <c r="E24" s="5">
        <f>IFERROR(__xludf.DUMMYFUNCTION("PERCENTILE(INDEX(Archetype_DB!$A$2:$Z1000, 0, MATCH($A24, Archetype_DB!$A$1:$Z$1, 0)), VALUE(REGEXEXTRACT(E$20, ""\d+""))/100)"),72.0)</f>
        <v>72</v>
      </c>
      <c r="F24" s="5">
        <f>IFERROR(__xludf.DUMMYFUNCTION("PERCENTILE(INDEX(Archetype_DB!$A$2:$Z1000, 0, MATCH($A24, Archetype_DB!$A$1:$Z$1, 0)), VALUE(REGEXEXTRACT(F$20, ""\d+""))/100)"),85.0)</f>
        <v>85</v>
      </c>
      <c r="G24" s="5">
        <f>IFERROR(__xludf.DUMMYFUNCTION("PERCENTILE(INDEX(Archetype_DB!$A$2:$Z1000, 0, MATCH($A24, Archetype_DB!$A$1:$Z$1, 0)), VALUE(REGEXEXTRACT(G$20, ""\d+""))/100)"),90.0)</f>
        <v>90</v>
      </c>
      <c r="H24" s="5">
        <f>IFERROR(__xludf.DUMMYFUNCTION("PERCENTILE(INDEX(Archetype_DB!$A$2:$Z1000, 0, MATCH($A24, Archetype_DB!$A$1:$Z$1, 0)), VALUE(REGEXEXTRACT(H$20, ""\d+""))/100)"),90.0)</f>
        <v>90</v>
      </c>
      <c r="I24" s="5">
        <f>IFERROR(__xludf.DUMMYFUNCTION("PERCENTILE(INDEX(Archetype_DB!$A$2:$Z1000, 0, MATCH($A24, Archetype_DB!$A$1:$Z$1, 0)), VALUE(REGEXEXTRACT(I$20, ""\d+""))/100)"),95.0)</f>
        <v>95</v>
      </c>
    </row>
    <row r="25">
      <c r="A25" s="1" t="s">
        <v>8</v>
      </c>
      <c r="B25" s="5">
        <f>IFERROR(__xludf.DUMMYFUNCTION("PERCENTILE(INDEX(Archetype_DB!$A$2:$Z1000, 0, MATCH($A25, Archetype_DB!$A$1:$Z$1, 0)), VALUE(REGEXEXTRACT(B$20, ""\d+""))/100)"),30.0)</f>
        <v>30</v>
      </c>
      <c r="C25" s="5">
        <f>IFERROR(__xludf.DUMMYFUNCTION("PERCENTILE(INDEX(Archetype_DB!$A$2:$Z1000, 0, MATCH($A25, Archetype_DB!$A$1:$Z$1, 0)), VALUE(REGEXEXTRACT(C$20, ""\d+""))/100)"),43.3)</f>
        <v>43.3</v>
      </c>
      <c r="D25" s="5">
        <f>IFERROR(__xludf.DUMMYFUNCTION("PERCENTILE(INDEX(Archetype_DB!$A$2:$Z1000, 0, MATCH($A25, Archetype_DB!$A$1:$Z$1, 0)), VALUE(REGEXEXTRACT(D$20, ""\d+""))/100)"),50.0)</f>
        <v>50</v>
      </c>
      <c r="E25" s="5">
        <f>IFERROR(__xludf.DUMMYFUNCTION("PERCENTILE(INDEX(Archetype_DB!$A$2:$Z1000, 0, MATCH($A25, Archetype_DB!$A$1:$Z$1, 0)), VALUE(REGEXEXTRACT(E$20, ""\d+""))/100)"),60.0)</f>
        <v>60</v>
      </c>
      <c r="F25" s="5">
        <f>IFERROR(__xludf.DUMMYFUNCTION("PERCENTILE(INDEX(Archetype_DB!$A$2:$Z1000, 0, MATCH($A25, Archetype_DB!$A$1:$Z$1, 0)), VALUE(REGEXEXTRACT(F$20, ""\d+""))/100)"),79.0)</f>
        <v>79</v>
      </c>
      <c r="G25" s="5">
        <f>IFERROR(__xludf.DUMMYFUNCTION("PERCENTILE(INDEX(Archetype_DB!$A$2:$Z1000, 0, MATCH($A25, Archetype_DB!$A$1:$Z$1, 0)), VALUE(REGEXEXTRACT(G$20, ""\d+""))/100)"),87.0)</f>
        <v>87</v>
      </c>
      <c r="H25" s="5">
        <f>IFERROR(__xludf.DUMMYFUNCTION("PERCENTILE(INDEX(Archetype_DB!$A$2:$Z1000, 0, MATCH($A25, Archetype_DB!$A$1:$Z$1, 0)), VALUE(REGEXEXTRACT(H$20, ""\d+""))/100)"),88.0)</f>
        <v>88</v>
      </c>
      <c r="I25" s="5">
        <f>IFERROR(__xludf.DUMMYFUNCTION("PERCENTILE(INDEX(Archetype_DB!$A$2:$Z1000, 0, MATCH($A25, Archetype_DB!$A$1:$Z$1, 0)), VALUE(REGEXEXTRACT(I$20, ""\d+""))/100)"),93.0)</f>
        <v>93</v>
      </c>
    </row>
    <row r="26">
      <c r="A26" s="1" t="s">
        <v>9</v>
      </c>
      <c r="B26" s="5">
        <f>IFERROR(__xludf.DUMMYFUNCTION("PERCENTILE(INDEX(Archetype_DB!$A$2:$Z1000, 0, MATCH($A26, Archetype_DB!$A$1:$Z$1, 0)), VALUE(REGEXEXTRACT(B$20, ""\d+""))/100)"),38.0)</f>
        <v>38</v>
      </c>
      <c r="C26" s="5">
        <f>IFERROR(__xludf.DUMMYFUNCTION("PERCENTILE(INDEX(Archetype_DB!$A$2:$Z1000, 0, MATCH($A26, Archetype_DB!$A$1:$Z$1, 0)), VALUE(REGEXEXTRACT(C$20, ""\d+""))/100)"),70.0)</f>
        <v>70</v>
      </c>
      <c r="D26" s="5">
        <f>IFERROR(__xludf.DUMMYFUNCTION("PERCENTILE(INDEX(Archetype_DB!$A$2:$Z1000, 0, MATCH($A26, Archetype_DB!$A$1:$Z$1, 0)), VALUE(REGEXEXTRACT(D$20, ""\d+""))/100)"),74.0)</f>
        <v>74</v>
      </c>
      <c r="E26" s="5">
        <f>IFERROR(__xludf.DUMMYFUNCTION("PERCENTILE(INDEX(Archetype_DB!$A$2:$Z1000, 0, MATCH($A26, Archetype_DB!$A$1:$Z$1, 0)), VALUE(REGEXEXTRACT(E$20, ""\d+""))/100)"),80.0)</f>
        <v>80</v>
      </c>
      <c r="F26" s="5">
        <f>IFERROR(__xludf.DUMMYFUNCTION("PERCENTILE(INDEX(Archetype_DB!$A$2:$Z1000, 0, MATCH($A26, Archetype_DB!$A$1:$Z$1, 0)), VALUE(REGEXEXTRACT(F$20, ""\d+""))/100)"),86.0)</f>
        <v>86</v>
      </c>
      <c r="G26" s="5">
        <f>IFERROR(__xludf.DUMMYFUNCTION("PERCENTILE(INDEX(Archetype_DB!$A$2:$Z1000, 0, MATCH($A26, Archetype_DB!$A$1:$Z$1, 0)), VALUE(REGEXEXTRACT(G$20, ""\d+""))/100)"),90.0)</f>
        <v>90</v>
      </c>
      <c r="H26" s="5">
        <f>IFERROR(__xludf.DUMMYFUNCTION("PERCENTILE(INDEX(Archetype_DB!$A$2:$Z1000, 0, MATCH($A26, Archetype_DB!$A$1:$Z$1, 0)), VALUE(REGEXEXTRACT(H$20, ""\d+""))/100)"),92.0)</f>
        <v>92</v>
      </c>
      <c r="I26" s="5">
        <f>IFERROR(__xludf.DUMMYFUNCTION("PERCENTILE(INDEX(Archetype_DB!$A$2:$Z1000, 0, MATCH($A26, Archetype_DB!$A$1:$Z$1, 0)), VALUE(REGEXEXTRACT(I$20, ""\d+""))/100)"),95.51999999999998)</f>
        <v>95.52</v>
      </c>
    </row>
    <row r="27">
      <c r="A27" s="1" t="s">
        <v>10</v>
      </c>
      <c r="B27" s="5">
        <f>IFERROR(__xludf.DUMMYFUNCTION("PERCENTILE(INDEX(Archetype_DB!$A$2:$Z1000, 0, MATCH($A27, Archetype_DB!$A$1:$Z$1, 0)), VALUE(REGEXEXTRACT(B$20, ""\d+""))/100)"),25.0)</f>
        <v>25</v>
      </c>
      <c r="C27" s="5">
        <f>IFERROR(__xludf.DUMMYFUNCTION("PERCENTILE(INDEX(Archetype_DB!$A$2:$Z1000, 0, MATCH($A27, Archetype_DB!$A$1:$Z$1, 0)), VALUE(REGEXEXTRACT(C$20, ""\d+""))/100)"),70.2)</f>
        <v>70.2</v>
      </c>
      <c r="D27" s="5">
        <f>IFERROR(__xludf.DUMMYFUNCTION("PERCENTILE(INDEX(Archetype_DB!$A$2:$Z1000, 0, MATCH($A27, Archetype_DB!$A$1:$Z$1, 0)), VALUE(REGEXEXTRACT(D$20, ""\d+""))/100)"),80.0)</f>
        <v>80</v>
      </c>
      <c r="E27" s="5">
        <f>IFERROR(__xludf.DUMMYFUNCTION("PERCENTILE(INDEX(Archetype_DB!$A$2:$Z1000, 0, MATCH($A27, Archetype_DB!$A$1:$Z$1, 0)), VALUE(REGEXEXTRACT(E$20, ""\d+""))/100)"),82.0)</f>
        <v>82</v>
      </c>
      <c r="F27" s="5">
        <f>IFERROR(__xludf.DUMMYFUNCTION("PERCENTILE(INDEX(Archetype_DB!$A$2:$Z1000, 0, MATCH($A27, Archetype_DB!$A$1:$Z$1, 0)), VALUE(REGEXEXTRACT(F$20, ""\d+""))/100)"),85.0)</f>
        <v>85</v>
      </c>
      <c r="G27" s="5">
        <f>IFERROR(__xludf.DUMMYFUNCTION("PERCENTILE(INDEX(Archetype_DB!$A$2:$Z1000, 0, MATCH($A27, Archetype_DB!$A$1:$Z$1, 0)), VALUE(REGEXEXTRACT(G$20, ""\d+""))/100)"),90.0)</f>
        <v>90</v>
      </c>
      <c r="H27" s="5">
        <f>IFERROR(__xludf.DUMMYFUNCTION("PERCENTILE(INDEX(Archetype_DB!$A$2:$Z1000, 0, MATCH($A27, Archetype_DB!$A$1:$Z$1, 0)), VALUE(REGEXEXTRACT(H$20, ""\d+""))/100)"),90.0)</f>
        <v>90</v>
      </c>
      <c r="I27" s="5">
        <f>IFERROR(__xludf.DUMMYFUNCTION("PERCENTILE(INDEX(Archetype_DB!$A$2:$Z1000, 0, MATCH($A27, Archetype_DB!$A$1:$Z$1, 0)), VALUE(REGEXEXTRACT(I$20, ""\d+""))/100)"),95.38)</f>
        <v>95.38</v>
      </c>
    </row>
    <row r="28">
      <c r="A28" s="1" t="s">
        <v>11</v>
      </c>
      <c r="B28" s="5">
        <f>IFERROR(__xludf.DUMMYFUNCTION("PERCENTILE(INDEX(Archetype_DB!$A$2:$Z1000, 0, MATCH($A28, Archetype_DB!$A$1:$Z$1, 0)), VALUE(REGEXEXTRACT(B$20, ""\d+""))/100)"),39.0)</f>
        <v>39</v>
      </c>
      <c r="C28" s="5">
        <f>IFERROR(__xludf.DUMMYFUNCTION("PERCENTILE(INDEX(Archetype_DB!$A$2:$Z1000, 0, MATCH($A28, Archetype_DB!$A$1:$Z$1, 0)), VALUE(REGEXEXTRACT(C$20, ""\d+""))/100)"),56.0)</f>
        <v>56</v>
      </c>
      <c r="D28" s="5">
        <f>IFERROR(__xludf.DUMMYFUNCTION("PERCENTILE(INDEX(Archetype_DB!$A$2:$Z1000, 0, MATCH($A28, Archetype_DB!$A$1:$Z$1, 0)), VALUE(REGEXEXTRACT(D$20, ""\d+""))/100)"),61.0)</f>
        <v>61</v>
      </c>
      <c r="E28" s="5">
        <f>IFERROR(__xludf.DUMMYFUNCTION("PERCENTILE(INDEX(Archetype_DB!$A$2:$Z1000, 0, MATCH($A28, Archetype_DB!$A$1:$Z$1, 0)), VALUE(REGEXEXTRACT(E$20, ""\d+""))/100)"),70.0)</f>
        <v>70</v>
      </c>
      <c r="F28" s="5">
        <f>IFERROR(__xludf.DUMMYFUNCTION("PERCENTILE(INDEX(Archetype_DB!$A$2:$Z1000, 0, MATCH($A28, Archetype_DB!$A$1:$Z$1, 0)), VALUE(REGEXEXTRACT(F$20, ""\d+""))/100)"),78.0)</f>
        <v>78</v>
      </c>
      <c r="G28" s="5">
        <f>IFERROR(__xludf.DUMMYFUNCTION("PERCENTILE(INDEX(Archetype_DB!$A$2:$Z1000, 0, MATCH($A28, Archetype_DB!$A$1:$Z$1, 0)), VALUE(REGEXEXTRACT(G$20, ""\d+""))/100)"),85.0)</f>
        <v>85</v>
      </c>
      <c r="H28" s="5">
        <f>IFERROR(__xludf.DUMMYFUNCTION("PERCENTILE(INDEX(Archetype_DB!$A$2:$Z1000, 0, MATCH($A28, Archetype_DB!$A$1:$Z$1, 0)), VALUE(REGEXEXTRACT(H$20, ""\d+""))/100)"),91.0)</f>
        <v>91</v>
      </c>
      <c r="I28" s="5">
        <f>IFERROR(__xludf.DUMMYFUNCTION("PERCENTILE(INDEX(Archetype_DB!$A$2:$Z1000, 0, MATCH($A28, Archetype_DB!$A$1:$Z$1, 0)), VALUE(REGEXEXTRACT(I$20, ""\d+""))/100)"),98.85000000000002)</f>
        <v>98.85</v>
      </c>
    </row>
    <row r="29">
      <c r="A29" s="1" t="s">
        <v>12</v>
      </c>
      <c r="B29" s="5">
        <f>IFERROR(__xludf.DUMMYFUNCTION("PERCENTILE(INDEX(Archetype_DB!$A$2:$Z1000, 0, MATCH($A29, Archetype_DB!$A$1:$Z$1, 0)), VALUE(REGEXEXTRACT(B$20, ""\d+""))/100)"),25.0)</f>
        <v>25</v>
      </c>
      <c r="C29" s="5">
        <f>IFERROR(__xludf.DUMMYFUNCTION("PERCENTILE(INDEX(Archetype_DB!$A$2:$Z1000, 0, MATCH($A29, Archetype_DB!$A$1:$Z$1, 0)), VALUE(REGEXEXTRACT(C$20, ""\d+""))/100)"),60.0)</f>
        <v>60</v>
      </c>
      <c r="D29" s="5">
        <f>IFERROR(__xludf.DUMMYFUNCTION("PERCENTILE(INDEX(Archetype_DB!$A$2:$Z1000, 0, MATCH($A29, Archetype_DB!$A$1:$Z$1, 0)), VALUE(REGEXEXTRACT(D$20, ""\d+""))/100)"),70.0)</f>
        <v>70</v>
      </c>
      <c r="E29" s="5">
        <f>IFERROR(__xludf.DUMMYFUNCTION("PERCENTILE(INDEX(Archetype_DB!$A$2:$Z1000, 0, MATCH($A29, Archetype_DB!$A$1:$Z$1, 0)), VALUE(REGEXEXTRACT(E$20, ""\d+""))/100)"),76.0)</f>
        <v>76</v>
      </c>
      <c r="F29" s="5">
        <f>IFERROR(__xludf.DUMMYFUNCTION("PERCENTILE(INDEX(Archetype_DB!$A$2:$Z1000, 0, MATCH($A29, Archetype_DB!$A$1:$Z$1, 0)), VALUE(REGEXEXTRACT(F$20, ""\d+""))/100)"),85.0)</f>
        <v>85</v>
      </c>
      <c r="G29" s="5">
        <f>IFERROR(__xludf.DUMMYFUNCTION("PERCENTILE(INDEX(Archetype_DB!$A$2:$Z1000, 0, MATCH($A29, Archetype_DB!$A$1:$Z$1, 0)), VALUE(REGEXEXTRACT(G$20, ""\d+""))/100)"),87.0)</f>
        <v>87</v>
      </c>
      <c r="H29" s="5">
        <f>IFERROR(__xludf.DUMMYFUNCTION("PERCENTILE(INDEX(Archetype_DB!$A$2:$Z1000, 0, MATCH($A29, Archetype_DB!$A$1:$Z$1, 0)), VALUE(REGEXEXTRACT(H$20, ""\d+""))/100)"),91.0)</f>
        <v>91</v>
      </c>
      <c r="I29" s="5">
        <f>IFERROR(__xludf.DUMMYFUNCTION("PERCENTILE(INDEX(Archetype_DB!$A$2:$Z1000, 0, MATCH($A29, Archetype_DB!$A$1:$Z$1, 0)), VALUE(REGEXEXTRACT(I$20, ""\d+""))/100)"),95.0)</f>
        <v>95</v>
      </c>
    </row>
    <row r="30">
      <c r="A30" s="1" t="s">
        <v>13</v>
      </c>
      <c r="B30" s="5">
        <f>IFERROR(__xludf.DUMMYFUNCTION("PERCENTILE(INDEX(Archetype_DB!$A$2:$Z1000, 0, MATCH($A30, Archetype_DB!$A$1:$Z$1, 0)), VALUE(REGEXEXTRACT(B$20, ""\d+""))/100)"),38.9)</f>
        <v>38.9</v>
      </c>
      <c r="C30" s="5">
        <f>IFERROR(__xludf.DUMMYFUNCTION("PERCENTILE(INDEX(Archetype_DB!$A$2:$Z1000, 0, MATCH($A30, Archetype_DB!$A$1:$Z$1, 0)), VALUE(REGEXEXTRACT(C$20, ""\d+""))/100)"),48.0)</f>
        <v>48</v>
      </c>
      <c r="D30" s="5">
        <f>IFERROR(__xludf.DUMMYFUNCTION("PERCENTILE(INDEX(Archetype_DB!$A$2:$Z1000, 0, MATCH($A30, Archetype_DB!$A$1:$Z$1, 0)), VALUE(REGEXEXTRACT(D$20, ""\d+""))/100)"),60.0)</f>
        <v>60</v>
      </c>
      <c r="E30" s="5">
        <f>IFERROR(__xludf.DUMMYFUNCTION("PERCENTILE(INDEX(Archetype_DB!$A$2:$Z1000, 0, MATCH($A30, Archetype_DB!$A$1:$Z$1, 0)), VALUE(REGEXEXTRACT(E$20, ""\d+""))/100)"),75.0)</f>
        <v>75</v>
      </c>
      <c r="F30" s="5">
        <f>IFERROR(__xludf.DUMMYFUNCTION("PERCENTILE(INDEX(Archetype_DB!$A$2:$Z1000, 0, MATCH($A30, Archetype_DB!$A$1:$Z$1, 0)), VALUE(REGEXEXTRACT(F$20, ""\d+""))/100)"),81.0)</f>
        <v>81</v>
      </c>
      <c r="G30" s="5">
        <f>IFERROR(__xludf.DUMMYFUNCTION("PERCENTILE(INDEX(Archetype_DB!$A$2:$Z1000, 0, MATCH($A30, Archetype_DB!$A$1:$Z$1, 0)), VALUE(REGEXEXTRACT(G$20, ""\d+""))/100)"),86.0)</f>
        <v>86</v>
      </c>
      <c r="H30" s="5">
        <f>IFERROR(__xludf.DUMMYFUNCTION("PERCENTILE(INDEX(Archetype_DB!$A$2:$Z1000, 0, MATCH($A30, Archetype_DB!$A$1:$Z$1, 0)), VALUE(REGEXEXTRACT(H$20, ""\d+""))/100)"),86.0)</f>
        <v>86</v>
      </c>
      <c r="I30" s="5">
        <f>IFERROR(__xludf.DUMMYFUNCTION("PERCENTILE(INDEX(Archetype_DB!$A$2:$Z1000, 0, MATCH($A30, Archetype_DB!$A$1:$Z$1, 0)), VALUE(REGEXEXTRACT(I$20, ""\d+""))/100)"),92.54999999999995)</f>
        <v>92.55</v>
      </c>
    </row>
    <row r="31">
      <c r="A31" s="1" t="s">
        <v>14</v>
      </c>
      <c r="B31" s="5">
        <f>IFERROR(__xludf.DUMMYFUNCTION("PERCENTILE(INDEX(Archetype_DB!$A$2:$Z1000, 0, MATCH($A31, Archetype_DB!$A$1:$Z$1, 0)), VALUE(REGEXEXTRACT(B$20, ""\d+""))/100)"),25.0)</f>
        <v>25</v>
      </c>
      <c r="C31" s="5">
        <f>IFERROR(__xludf.DUMMYFUNCTION("PERCENTILE(INDEX(Archetype_DB!$A$2:$Z1000, 0, MATCH($A31, Archetype_DB!$A$1:$Z$1, 0)), VALUE(REGEXEXTRACT(C$20, ""\d+""))/100)"),41.0)</f>
        <v>41</v>
      </c>
      <c r="D31" s="5">
        <f>IFERROR(__xludf.DUMMYFUNCTION("PERCENTILE(INDEX(Archetype_DB!$A$2:$Z1000, 0, MATCH($A31, Archetype_DB!$A$1:$Z$1, 0)), VALUE(REGEXEXTRACT(D$20, ""\d+""))/100)"),55.0)</f>
        <v>55</v>
      </c>
      <c r="E31" s="5">
        <f>IFERROR(__xludf.DUMMYFUNCTION("PERCENTILE(INDEX(Archetype_DB!$A$2:$Z1000, 0, MATCH($A31, Archetype_DB!$A$1:$Z$1, 0)), VALUE(REGEXEXTRACT(E$20, ""\d+""))/100)"),68.0)</f>
        <v>68</v>
      </c>
      <c r="F31" s="5">
        <f>IFERROR(__xludf.DUMMYFUNCTION("PERCENTILE(INDEX(Archetype_DB!$A$2:$Z1000, 0, MATCH($A31, Archetype_DB!$A$1:$Z$1, 0)), VALUE(REGEXEXTRACT(F$20, ""\d+""))/100)"),75.0)</f>
        <v>75</v>
      </c>
      <c r="G31" s="5">
        <f>IFERROR(__xludf.DUMMYFUNCTION("PERCENTILE(INDEX(Archetype_DB!$A$2:$Z1000, 0, MATCH($A31, Archetype_DB!$A$1:$Z$1, 0)), VALUE(REGEXEXTRACT(G$20, ""\d+""))/100)"),80.0)</f>
        <v>80</v>
      </c>
      <c r="H31" s="5">
        <f>IFERROR(__xludf.DUMMYFUNCTION("PERCENTILE(INDEX(Archetype_DB!$A$2:$Z1000, 0, MATCH($A31, Archetype_DB!$A$1:$Z$1, 0)), VALUE(REGEXEXTRACT(H$20, ""\d+""))/100)"),84.89999999999998)</f>
        <v>84.9</v>
      </c>
      <c r="I31" s="5">
        <f>IFERROR(__xludf.DUMMYFUNCTION("PERCENTILE(INDEX(Archetype_DB!$A$2:$Z1000, 0, MATCH($A31, Archetype_DB!$A$1:$Z$1, 0)), VALUE(REGEXEXTRACT(I$20, ""\d+""))/100)"),88.58000000000004)</f>
        <v>88.58</v>
      </c>
    </row>
    <row r="32">
      <c r="A32" s="1" t="s">
        <v>15</v>
      </c>
      <c r="B32" s="5">
        <f>IFERROR(__xludf.DUMMYFUNCTION("PERCENTILE(INDEX(Archetype_DB!$A$2:$Z1000, 0, MATCH($A32, Archetype_DB!$A$1:$Z$1, 0)), VALUE(REGEXEXTRACT(B$20, ""\d+""))/100)"),34.08)</f>
        <v>34.08</v>
      </c>
      <c r="C32" s="5">
        <f>IFERROR(__xludf.DUMMYFUNCTION("PERCENTILE(INDEX(Archetype_DB!$A$2:$Z1000, 0, MATCH($A32, Archetype_DB!$A$1:$Z$1, 0)), VALUE(REGEXEXTRACT(C$20, ""\d+""))/100)"),60.0)</f>
        <v>60</v>
      </c>
      <c r="D32" s="5">
        <f>IFERROR(__xludf.DUMMYFUNCTION("PERCENTILE(INDEX(Archetype_DB!$A$2:$Z1000, 0, MATCH($A32, Archetype_DB!$A$1:$Z$1, 0)), VALUE(REGEXEXTRACT(D$20, ""\d+""))/100)"),70.0)</f>
        <v>70</v>
      </c>
      <c r="E32" s="5">
        <f>IFERROR(__xludf.DUMMYFUNCTION("PERCENTILE(INDEX(Archetype_DB!$A$2:$Z1000, 0, MATCH($A32, Archetype_DB!$A$1:$Z$1, 0)), VALUE(REGEXEXTRACT(E$20, ""\d+""))/100)"),80.0)</f>
        <v>80</v>
      </c>
      <c r="F32" s="5">
        <f>IFERROR(__xludf.DUMMYFUNCTION("PERCENTILE(INDEX(Archetype_DB!$A$2:$Z1000, 0, MATCH($A32, Archetype_DB!$A$1:$Z$1, 0)), VALUE(REGEXEXTRACT(F$20, ""\d+""))/100)"),84.0)</f>
        <v>84</v>
      </c>
      <c r="G32" s="5">
        <f>IFERROR(__xludf.DUMMYFUNCTION("PERCENTILE(INDEX(Archetype_DB!$A$2:$Z1000, 0, MATCH($A32, Archetype_DB!$A$1:$Z$1, 0)), VALUE(REGEXEXTRACT(G$20, ""\d+""))/100)"),88.0)</f>
        <v>88</v>
      </c>
      <c r="H32" s="5">
        <f>IFERROR(__xludf.DUMMYFUNCTION("PERCENTILE(INDEX(Archetype_DB!$A$2:$Z1000, 0, MATCH($A32, Archetype_DB!$A$1:$Z$1, 0)), VALUE(REGEXEXTRACT(H$20, ""\d+""))/100)"),90.0)</f>
        <v>90</v>
      </c>
      <c r="I32" s="5">
        <f>IFERROR(__xludf.DUMMYFUNCTION("PERCENTILE(INDEX(Archetype_DB!$A$2:$Z1000, 0, MATCH($A32, Archetype_DB!$A$1:$Z$1, 0)), VALUE(REGEXEXTRACT(I$20, ""\d+""))/100)"),92.92000000000007)</f>
        <v>92.92</v>
      </c>
    </row>
    <row r="33">
      <c r="A33" s="1" t="s">
        <v>16</v>
      </c>
      <c r="B33" s="5">
        <f>IFERROR(__xludf.DUMMYFUNCTION("PERCENTILE(INDEX(Archetype_DB!$A$2:$Z1000, 0, MATCH($A33, Archetype_DB!$A$1:$Z$1, 0)), VALUE(REGEXEXTRACT(B$20, ""\d+""))/100)"),35.0)</f>
        <v>35</v>
      </c>
      <c r="C33" s="5">
        <f>IFERROR(__xludf.DUMMYFUNCTION("PERCENTILE(INDEX(Archetype_DB!$A$2:$Z1000, 0, MATCH($A33, Archetype_DB!$A$1:$Z$1, 0)), VALUE(REGEXEXTRACT(C$20, ""\d+""))/100)"),42.7)</f>
        <v>42.7</v>
      </c>
      <c r="D33" s="5">
        <f>IFERROR(__xludf.DUMMYFUNCTION("PERCENTILE(INDEX(Archetype_DB!$A$2:$Z1000, 0, MATCH($A33, Archetype_DB!$A$1:$Z$1, 0)), VALUE(REGEXEXTRACT(D$20, ""\d+""))/100)"),61.0)</f>
        <v>61</v>
      </c>
      <c r="E33" s="5">
        <f>IFERROR(__xludf.DUMMYFUNCTION("PERCENTILE(INDEX(Archetype_DB!$A$2:$Z1000, 0, MATCH($A33, Archetype_DB!$A$1:$Z$1, 0)), VALUE(REGEXEXTRACT(E$20, ""\d+""))/100)"),74.0)</f>
        <v>74</v>
      </c>
      <c r="F33" s="5">
        <f>IFERROR(__xludf.DUMMYFUNCTION("PERCENTILE(INDEX(Archetype_DB!$A$2:$Z1000, 0, MATCH($A33, Archetype_DB!$A$1:$Z$1, 0)), VALUE(REGEXEXTRACT(F$20, ""\d+""))/100)"),82.0)</f>
        <v>82</v>
      </c>
      <c r="G33" s="5">
        <f>IFERROR(__xludf.DUMMYFUNCTION("PERCENTILE(INDEX(Archetype_DB!$A$2:$Z1000, 0, MATCH($A33, Archetype_DB!$A$1:$Z$1, 0)), VALUE(REGEXEXTRACT(G$20, ""\d+""))/100)"),87.0)</f>
        <v>87</v>
      </c>
      <c r="H33" s="5">
        <f>IFERROR(__xludf.DUMMYFUNCTION("PERCENTILE(INDEX(Archetype_DB!$A$2:$Z1000, 0, MATCH($A33, Archetype_DB!$A$1:$Z$1, 0)), VALUE(REGEXEXTRACT(H$20, ""\d+""))/100)"),92.0)</f>
        <v>92</v>
      </c>
      <c r="I33" s="5">
        <f>IFERROR(__xludf.DUMMYFUNCTION("PERCENTILE(INDEX(Archetype_DB!$A$2:$Z1000, 0, MATCH($A33, Archetype_DB!$A$1:$Z$1, 0)), VALUE(REGEXEXTRACT(I$20, ""\d+""))/100)"),94.0)</f>
        <v>94</v>
      </c>
    </row>
    <row r="34">
      <c r="A34" s="1" t="s">
        <v>17</v>
      </c>
      <c r="B34" s="5">
        <f>IFERROR(__xludf.DUMMYFUNCTION("PERCENTILE(INDEX(Archetype_DB!$A$2:$Z1000, 0, MATCH($A34, Archetype_DB!$A$1:$Z$1, 0)), VALUE(REGEXEXTRACT(B$20, ""\d+""))/100)"),33.0)</f>
        <v>33</v>
      </c>
      <c r="C34" s="5">
        <f>IFERROR(__xludf.DUMMYFUNCTION("PERCENTILE(INDEX(Archetype_DB!$A$2:$Z1000, 0, MATCH($A34, Archetype_DB!$A$1:$Z$1, 0)), VALUE(REGEXEXTRACT(C$20, ""\d+""))/100)"),40.0)</f>
        <v>40</v>
      </c>
      <c r="D34" s="5">
        <f>IFERROR(__xludf.DUMMYFUNCTION("PERCENTILE(INDEX(Archetype_DB!$A$2:$Z1000, 0, MATCH($A34, Archetype_DB!$A$1:$Z$1, 0)), VALUE(REGEXEXTRACT(D$20, ""\d+""))/100)"),48.0)</f>
        <v>48</v>
      </c>
      <c r="E34" s="5">
        <f>IFERROR(__xludf.DUMMYFUNCTION("PERCENTILE(INDEX(Archetype_DB!$A$2:$Z1000, 0, MATCH($A34, Archetype_DB!$A$1:$Z$1, 0)), VALUE(REGEXEXTRACT(E$20, ""\d+""))/100)"),60.0)</f>
        <v>60</v>
      </c>
      <c r="F34" s="5">
        <f>IFERROR(__xludf.DUMMYFUNCTION("PERCENTILE(INDEX(Archetype_DB!$A$2:$Z1000, 0, MATCH($A34, Archetype_DB!$A$1:$Z$1, 0)), VALUE(REGEXEXTRACT(F$20, ""\d+""))/100)"),75.0)</f>
        <v>75</v>
      </c>
      <c r="G34" s="5">
        <f>IFERROR(__xludf.DUMMYFUNCTION("PERCENTILE(INDEX(Archetype_DB!$A$2:$Z1000, 0, MATCH($A34, Archetype_DB!$A$1:$Z$1, 0)), VALUE(REGEXEXTRACT(G$20, ""\d+""))/100)"),85.0)</f>
        <v>85</v>
      </c>
      <c r="H34" s="5">
        <f>IFERROR(__xludf.DUMMYFUNCTION("PERCENTILE(INDEX(Archetype_DB!$A$2:$Z1000, 0, MATCH($A34, Archetype_DB!$A$1:$Z$1, 0)), VALUE(REGEXEXTRACT(H$20, ""\d+""))/100)"),89.0)</f>
        <v>89</v>
      </c>
      <c r="I34" s="5">
        <f>IFERROR(__xludf.DUMMYFUNCTION("PERCENTILE(INDEX(Archetype_DB!$A$2:$Z1000, 0, MATCH($A34, Archetype_DB!$A$1:$Z$1, 0)), VALUE(REGEXEXTRACT(I$20, ""\d+""))/100)"),94.0)</f>
        <v>94</v>
      </c>
    </row>
    <row r="35">
      <c r="A35" s="1" t="s">
        <v>18</v>
      </c>
      <c r="B35" s="5">
        <f>IFERROR(__xludf.DUMMYFUNCTION("PERCENTILE(INDEX(Archetype_DB!$A$2:$Z1000, 0, MATCH($A35, Archetype_DB!$A$1:$Z$1, 0)), VALUE(REGEXEXTRACT(B$20, ""\d+""))/100)"),30.0)</f>
        <v>30</v>
      </c>
      <c r="C35" s="5">
        <f>IFERROR(__xludf.DUMMYFUNCTION("PERCENTILE(INDEX(Archetype_DB!$A$2:$Z1000, 0, MATCH($A35, Archetype_DB!$A$1:$Z$1, 0)), VALUE(REGEXEXTRACT(C$20, ""\d+""))/100)"),50.0)</f>
        <v>50</v>
      </c>
      <c r="D35" s="5">
        <f>IFERROR(__xludf.DUMMYFUNCTION("PERCENTILE(INDEX(Archetype_DB!$A$2:$Z1000, 0, MATCH($A35, Archetype_DB!$A$1:$Z$1, 0)), VALUE(REGEXEXTRACT(D$20, ""\d+""))/100)"),74.0)</f>
        <v>74</v>
      </c>
      <c r="E35" s="5">
        <f>IFERROR(__xludf.DUMMYFUNCTION("PERCENTILE(INDEX(Archetype_DB!$A$2:$Z1000, 0, MATCH($A35, Archetype_DB!$A$1:$Z$1, 0)), VALUE(REGEXEXTRACT(E$20, ""\d+""))/100)"),80.0)</f>
        <v>80</v>
      </c>
      <c r="F35" s="5">
        <f>IFERROR(__xludf.DUMMYFUNCTION("PERCENTILE(INDEX(Archetype_DB!$A$2:$Z1000, 0, MATCH($A35, Archetype_DB!$A$1:$Z$1, 0)), VALUE(REGEXEXTRACT(F$20, ""\d+""))/100)"),86.25)</f>
        <v>86.25</v>
      </c>
      <c r="G35" s="5">
        <f>IFERROR(__xludf.DUMMYFUNCTION("PERCENTILE(INDEX(Archetype_DB!$A$2:$Z1000, 0, MATCH($A35, Archetype_DB!$A$1:$Z$1, 0)), VALUE(REGEXEXTRACT(G$20, ""\d+""))/100)"),93.0)</f>
        <v>93</v>
      </c>
      <c r="H35" s="5">
        <f>IFERROR(__xludf.DUMMYFUNCTION("PERCENTILE(INDEX(Archetype_DB!$A$2:$Z1000, 0, MATCH($A35, Archetype_DB!$A$1:$Z$1, 0)), VALUE(REGEXEXTRACT(H$20, ""\d+""))/100)"),93.0)</f>
        <v>93</v>
      </c>
      <c r="I35" s="5">
        <f>IFERROR(__xludf.DUMMYFUNCTION("PERCENTILE(INDEX(Archetype_DB!$A$2:$Z1000, 0, MATCH($A35, Archetype_DB!$A$1:$Z$1, 0)), VALUE(REGEXEXTRACT(I$20, ""\d+""))/100)"),95.0)</f>
        <v>95</v>
      </c>
    </row>
    <row r="36">
      <c r="A36" s="1" t="s">
        <v>19</v>
      </c>
      <c r="B36" s="5">
        <f>IFERROR(__xludf.DUMMYFUNCTION("PERCENTILE(INDEX(Archetype_DB!$A$2:$Z1000, 0, MATCH($A36, Archetype_DB!$A$1:$Z$1, 0)), VALUE(REGEXEXTRACT(B$20, ""\d+""))/100)"),25.0)</f>
        <v>25</v>
      </c>
      <c r="C36" s="5">
        <f>IFERROR(__xludf.DUMMYFUNCTION("PERCENTILE(INDEX(Archetype_DB!$A$2:$Z1000, 0, MATCH($A36, Archetype_DB!$A$1:$Z$1, 0)), VALUE(REGEXEXTRACT(C$20, ""\d+""))/100)"),39.0)</f>
        <v>39</v>
      </c>
      <c r="D36" s="5">
        <f>IFERROR(__xludf.DUMMYFUNCTION("PERCENTILE(INDEX(Archetype_DB!$A$2:$Z1000, 0, MATCH($A36, Archetype_DB!$A$1:$Z$1, 0)), VALUE(REGEXEXTRACT(D$20, ""\d+""))/100)"),59.0)</f>
        <v>59</v>
      </c>
      <c r="E36" s="5">
        <f>IFERROR(__xludf.DUMMYFUNCTION("PERCENTILE(INDEX(Archetype_DB!$A$2:$Z1000, 0, MATCH($A36, Archetype_DB!$A$1:$Z$1, 0)), VALUE(REGEXEXTRACT(E$20, ""\d+""))/100)"),74.0)</f>
        <v>74</v>
      </c>
      <c r="F36" s="5">
        <f>IFERROR(__xludf.DUMMYFUNCTION("PERCENTILE(INDEX(Archetype_DB!$A$2:$Z1000, 0, MATCH($A36, Archetype_DB!$A$1:$Z$1, 0)), VALUE(REGEXEXTRACT(F$20, ""\d+""))/100)"),84.0)</f>
        <v>84</v>
      </c>
      <c r="G36" s="5">
        <f>IFERROR(__xludf.DUMMYFUNCTION("PERCENTILE(INDEX(Archetype_DB!$A$2:$Z1000, 0, MATCH($A36, Archetype_DB!$A$1:$Z$1, 0)), VALUE(REGEXEXTRACT(G$20, ""\d+""))/100)"),92.0)</f>
        <v>92</v>
      </c>
      <c r="H36" s="5">
        <f>IFERROR(__xludf.DUMMYFUNCTION("PERCENTILE(INDEX(Archetype_DB!$A$2:$Z1000, 0, MATCH($A36, Archetype_DB!$A$1:$Z$1, 0)), VALUE(REGEXEXTRACT(H$20, ""\d+""))/100)"),94.0)</f>
        <v>94</v>
      </c>
      <c r="I36" s="5">
        <f>IFERROR(__xludf.DUMMYFUNCTION("PERCENTILE(INDEX(Archetype_DB!$A$2:$Z1000, 0, MATCH($A36, Archetype_DB!$A$1:$Z$1, 0)), VALUE(REGEXEXTRACT(I$20, ""\d+""))/100)"),97.0)</f>
        <v>97</v>
      </c>
    </row>
    <row r="37">
      <c r="A37" s="1" t="s">
        <v>20</v>
      </c>
      <c r="B37" s="5">
        <f>IFERROR(__xludf.DUMMYFUNCTION("PERCENTILE(INDEX(Archetype_DB!$A$2:$Z1000, 0, MATCH($A37, Archetype_DB!$A$1:$Z$1, 0)), VALUE(REGEXEXTRACT(B$20, ""\d+""))/100)"),39.16)</f>
        <v>39.16</v>
      </c>
      <c r="C37" s="5">
        <f>IFERROR(__xludf.DUMMYFUNCTION("PERCENTILE(INDEX(Archetype_DB!$A$2:$Z1000, 0, MATCH($A37, Archetype_DB!$A$1:$Z$1, 0)), VALUE(REGEXEXTRACT(C$20, ""\d+""))/100)"),55.0)</f>
        <v>55</v>
      </c>
      <c r="D37" s="5">
        <f>IFERROR(__xludf.DUMMYFUNCTION("PERCENTILE(INDEX(Archetype_DB!$A$2:$Z1000, 0, MATCH($A37, Archetype_DB!$A$1:$Z$1, 0)), VALUE(REGEXEXTRACT(D$20, ""\d+""))/100)"),70.0)</f>
        <v>70</v>
      </c>
      <c r="E37" s="5">
        <f>IFERROR(__xludf.DUMMYFUNCTION("PERCENTILE(INDEX(Archetype_DB!$A$2:$Z1000, 0, MATCH($A37, Archetype_DB!$A$1:$Z$1, 0)), VALUE(REGEXEXTRACT(E$20, ""\d+""))/100)"),81.0)</f>
        <v>81</v>
      </c>
      <c r="F37" s="5">
        <f>IFERROR(__xludf.DUMMYFUNCTION("PERCENTILE(INDEX(Archetype_DB!$A$2:$Z1000, 0, MATCH($A37, Archetype_DB!$A$1:$Z$1, 0)), VALUE(REGEXEXTRACT(F$20, ""\d+""))/100)"),90.0)</f>
        <v>90</v>
      </c>
      <c r="G37" s="5">
        <f>IFERROR(__xludf.DUMMYFUNCTION("PERCENTILE(INDEX(Archetype_DB!$A$2:$Z1000, 0, MATCH($A37, Archetype_DB!$A$1:$Z$1, 0)), VALUE(REGEXEXTRACT(G$20, ""\d+""))/100)"),94.0)</f>
        <v>94</v>
      </c>
      <c r="H37" s="5">
        <f>IFERROR(__xludf.DUMMYFUNCTION("PERCENTILE(INDEX(Archetype_DB!$A$2:$Z1000, 0, MATCH($A37, Archetype_DB!$A$1:$Z$1, 0)), VALUE(REGEXEXTRACT(H$20, ""\d+""))/100)"),95.0)</f>
        <v>95</v>
      </c>
      <c r="I37" s="5">
        <f>IFERROR(__xludf.DUMMYFUNCTION("PERCENTILE(INDEX(Archetype_DB!$A$2:$Z1000, 0, MATCH($A37, Archetype_DB!$A$1:$Z$1, 0)), VALUE(REGEXEXTRACT(I$20, ""\d+""))/100)"),97.0)</f>
        <v>97</v>
      </c>
    </row>
    <row r="38">
      <c r="A38" s="1" t="s">
        <v>21</v>
      </c>
      <c r="B38" s="5">
        <f>IFERROR(__xludf.DUMMYFUNCTION("PERCENTILE(INDEX(Archetype_DB!$A$2:$Z1000, 0, MATCH($A38, Archetype_DB!$A$1:$Z$1, 0)), VALUE(REGEXEXTRACT(B$20, ""\d+""))/100)"),50.0)</f>
        <v>50</v>
      </c>
      <c r="C38" s="5">
        <f>IFERROR(__xludf.DUMMYFUNCTION("PERCENTILE(INDEX(Archetype_DB!$A$2:$Z1000, 0, MATCH($A38, Archetype_DB!$A$1:$Z$1, 0)), VALUE(REGEXEXTRACT(C$20, ""\d+""))/100)"),65.0)</f>
        <v>65</v>
      </c>
      <c r="D38" s="5">
        <f>IFERROR(__xludf.DUMMYFUNCTION("PERCENTILE(INDEX(Archetype_DB!$A$2:$Z1000, 0, MATCH($A38, Archetype_DB!$A$1:$Z$1, 0)), VALUE(REGEXEXTRACT(D$20, ""\d+""))/100)"),71.0)</f>
        <v>71</v>
      </c>
      <c r="E38" s="5">
        <f>IFERROR(__xludf.DUMMYFUNCTION("PERCENTILE(INDEX(Archetype_DB!$A$2:$Z1000, 0, MATCH($A38, Archetype_DB!$A$1:$Z$1, 0)), VALUE(REGEXEXTRACT(E$20, ""\d+""))/100)"),80.0)</f>
        <v>80</v>
      </c>
      <c r="F38" s="5">
        <f>IFERROR(__xludf.DUMMYFUNCTION("PERCENTILE(INDEX(Archetype_DB!$A$2:$Z1000, 0, MATCH($A38, Archetype_DB!$A$1:$Z$1, 0)), VALUE(REGEXEXTRACT(F$20, ""\d+""))/100)"),84.0)</f>
        <v>84</v>
      </c>
      <c r="G38" s="5">
        <f>IFERROR(__xludf.DUMMYFUNCTION("PERCENTILE(INDEX(Archetype_DB!$A$2:$Z1000, 0, MATCH($A38, Archetype_DB!$A$1:$Z$1, 0)), VALUE(REGEXEXTRACT(G$20, ""\d+""))/100)"),87.0)</f>
        <v>87</v>
      </c>
      <c r="H38" s="5">
        <f>IFERROR(__xludf.DUMMYFUNCTION("PERCENTILE(INDEX(Archetype_DB!$A$2:$Z1000, 0, MATCH($A38, Archetype_DB!$A$1:$Z$1, 0)), VALUE(REGEXEXTRACT(H$20, ""\d+""))/100)"),90.0)</f>
        <v>90</v>
      </c>
      <c r="I38" s="5">
        <f>IFERROR(__xludf.DUMMYFUNCTION("PERCENTILE(INDEX(Archetype_DB!$A$2:$Z1000, 0, MATCH($A38, Archetype_DB!$A$1:$Z$1, 0)), VALUE(REGEXEXTRACT(I$20, ""\d+""))/100)"),93.0)</f>
        <v>93</v>
      </c>
    </row>
    <row r="39">
      <c r="A39" s="1" t="s">
        <v>22</v>
      </c>
      <c r="B39" s="5">
        <f>IFERROR(__xludf.DUMMYFUNCTION("PERCENTILE(INDEX(Archetype_DB!$A$2:$Z1000, 0, MATCH($A39, Archetype_DB!$A$1:$Z$1, 0)), VALUE(REGEXEXTRACT(B$20, ""\d+""))/100)"),38.0)</f>
        <v>38</v>
      </c>
      <c r="C39" s="5">
        <f>IFERROR(__xludf.DUMMYFUNCTION("PERCENTILE(INDEX(Archetype_DB!$A$2:$Z1000, 0, MATCH($A39, Archetype_DB!$A$1:$Z$1, 0)), VALUE(REGEXEXTRACT(C$20, ""\d+""))/100)"),51.0)</f>
        <v>51</v>
      </c>
      <c r="D39" s="5">
        <f>IFERROR(__xludf.DUMMYFUNCTION("PERCENTILE(INDEX(Archetype_DB!$A$2:$Z1000, 0, MATCH($A39, Archetype_DB!$A$1:$Z$1, 0)), VALUE(REGEXEXTRACT(D$20, ""\d+""))/100)"),61.0)</f>
        <v>61</v>
      </c>
      <c r="E39" s="5">
        <f>IFERROR(__xludf.DUMMYFUNCTION("PERCENTILE(INDEX(Archetype_DB!$A$2:$Z1000, 0, MATCH($A39, Archetype_DB!$A$1:$Z$1, 0)), VALUE(REGEXEXTRACT(E$20, ""\d+""))/100)"),74.0)</f>
        <v>74</v>
      </c>
      <c r="F39" s="5">
        <f>IFERROR(__xludf.DUMMYFUNCTION("PERCENTILE(INDEX(Archetype_DB!$A$2:$Z1000, 0, MATCH($A39, Archetype_DB!$A$1:$Z$1, 0)), VALUE(REGEXEXTRACT(F$20, ""\d+""))/100)"),80.0)</f>
        <v>80</v>
      </c>
      <c r="G39" s="5">
        <f>IFERROR(__xludf.DUMMYFUNCTION("PERCENTILE(INDEX(Archetype_DB!$A$2:$Z1000, 0, MATCH($A39, Archetype_DB!$A$1:$Z$1, 0)), VALUE(REGEXEXTRACT(G$20, ""\d+""))/100)"),83.0)</f>
        <v>83</v>
      </c>
      <c r="H39" s="5">
        <f>IFERROR(__xludf.DUMMYFUNCTION("PERCENTILE(INDEX(Archetype_DB!$A$2:$Z1000, 0, MATCH($A39, Archetype_DB!$A$1:$Z$1, 0)), VALUE(REGEXEXTRACT(H$20, ""\d+""))/100)"),85.0)</f>
        <v>85</v>
      </c>
      <c r="I39" s="5">
        <f>IFERROR(__xludf.DUMMYFUNCTION("PERCENTILE(INDEX(Archetype_DB!$A$2:$Z1000, 0, MATCH($A39, Archetype_DB!$A$1:$Z$1, 0)), VALUE(REGEXEXTRACT(I$20, ""\d+""))/100)"),88.63)</f>
        <v>88.63</v>
      </c>
    </row>
    <row r="40">
      <c r="A40" s="1" t="s">
        <v>23</v>
      </c>
      <c r="B40" s="5">
        <f>IFERROR(__xludf.DUMMYFUNCTION("PERCENTILE(INDEX(Archetype_DB!$A$2:$Z1000, 0, MATCH($A40, Archetype_DB!$A$1:$Z$1, 0)), VALUE(REGEXEXTRACT(B$20, ""\d+""))/100)"),47.0)</f>
        <v>47</v>
      </c>
      <c r="C40" s="5">
        <f>IFERROR(__xludf.DUMMYFUNCTION("PERCENTILE(INDEX(Archetype_DB!$A$2:$Z1000, 0, MATCH($A40, Archetype_DB!$A$1:$Z$1, 0)), VALUE(REGEXEXTRACT(C$20, ""\d+""))/100)"),65.0)</f>
        <v>65</v>
      </c>
      <c r="D40" s="5">
        <f>IFERROR(__xludf.DUMMYFUNCTION("PERCENTILE(INDEX(Archetype_DB!$A$2:$Z1000, 0, MATCH($A40, Archetype_DB!$A$1:$Z$1, 0)), VALUE(REGEXEXTRACT(D$20, ""\d+""))/100)"),73.0)</f>
        <v>73</v>
      </c>
      <c r="E40" s="5">
        <f>IFERROR(__xludf.DUMMYFUNCTION("PERCENTILE(INDEX(Archetype_DB!$A$2:$Z1000, 0, MATCH($A40, Archetype_DB!$A$1:$Z$1, 0)), VALUE(REGEXEXTRACT(E$20, ""\d+""))/100)"),83.0)</f>
        <v>83</v>
      </c>
      <c r="F40" s="5">
        <f>IFERROR(__xludf.DUMMYFUNCTION("PERCENTILE(INDEX(Archetype_DB!$A$2:$Z1000, 0, MATCH($A40, Archetype_DB!$A$1:$Z$1, 0)), VALUE(REGEXEXTRACT(F$20, ""\d+""))/100)"),86.0)</f>
        <v>86</v>
      </c>
      <c r="G40" s="5">
        <f>IFERROR(__xludf.DUMMYFUNCTION("PERCENTILE(INDEX(Archetype_DB!$A$2:$Z1000, 0, MATCH($A40, Archetype_DB!$A$1:$Z$1, 0)), VALUE(REGEXEXTRACT(G$20, ""\d+""))/100)"),91.0)</f>
        <v>91</v>
      </c>
      <c r="H40" s="5">
        <f>IFERROR(__xludf.DUMMYFUNCTION("PERCENTILE(INDEX(Archetype_DB!$A$2:$Z1000, 0, MATCH($A40, Archetype_DB!$A$1:$Z$1, 0)), VALUE(REGEXEXTRACT(H$20, ""\d+""))/100)"),91.19999999999993)</f>
        <v>91.2</v>
      </c>
      <c r="I40" s="5">
        <f>IFERROR(__xludf.DUMMYFUNCTION("PERCENTILE(INDEX(Archetype_DB!$A$2:$Z1000, 0, MATCH($A40, Archetype_DB!$A$1:$Z$1, 0)), VALUE(REGEXEXTRACT(I$20, ""\d+""))/100)"),95.0)</f>
        <v>95</v>
      </c>
    </row>
    <row r="41">
      <c r="A41" s="1" t="s">
        <v>24</v>
      </c>
      <c r="B41" s="5">
        <f>IFERROR(__xludf.DUMMYFUNCTION("PERCENTILE(INDEX(Archetype_DB!$A$2:$Z1000, 0, MATCH($A41, Archetype_DB!$A$1:$Z$1, 0)), VALUE(REGEXEXTRACT(B$20, ""\d+""))/100)"),55.43)</f>
        <v>55.43</v>
      </c>
      <c r="C41" s="5">
        <f>IFERROR(__xludf.DUMMYFUNCTION("PERCENTILE(INDEX(Archetype_DB!$A$2:$Z1000, 0, MATCH($A41, Archetype_DB!$A$1:$Z$1, 0)), VALUE(REGEXEXTRACT(C$20, ""\d+""))/100)"),70.0)</f>
        <v>70</v>
      </c>
      <c r="D41" s="5">
        <f>IFERROR(__xludf.DUMMYFUNCTION("PERCENTILE(INDEX(Archetype_DB!$A$2:$Z1000, 0, MATCH($A41, Archetype_DB!$A$1:$Z$1, 0)), VALUE(REGEXEXTRACT(D$20, ""\d+""))/100)"),75.0)</f>
        <v>75</v>
      </c>
      <c r="E41" s="5">
        <f>IFERROR(__xludf.DUMMYFUNCTION("PERCENTILE(INDEX(Archetype_DB!$A$2:$Z1000, 0, MATCH($A41, Archetype_DB!$A$1:$Z$1, 0)), VALUE(REGEXEXTRACT(E$20, ""\d+""))/100)"),80.0)</f>
        <v>80</v>
      </c>
      <c r="F41" s="5">
        <f>IFERROR(__xludf.DUMMYFUNCTION("PERCENTILE(INDEX(Archetype_DB!$A$2:$Z1000, 0, MATCH($A41, Archetype_DB!$A$1:$Z$1, 0)), VALUE(REGEXEXTRACT(F$20, ""\d+""))/100)"),83.0)</f>
        <v>83</v>
      </c>
      <c r="G41" s="5">
        <f>IFERROR(__xludf.DUMMYFUNCTION("PERCENTILE(INDEX(Archetype_DB!$A$2:$Z1000, 0, MATCH($A41, Archetype_DB!$A$1:$Z$1, 0)), VALUE(REGEXEXTRACT(G$20, ""\d+""))/100)"),86.0)</f>
        <v>86</v>
      </c>
      <c r="H41" s="5">
        <f>IFERROR(__xludf.DUMMYFUNCTION("PERCENTILE(INDEX(Archetype_DB!$A$2:$Z1000, 0, MATCH($A41, Archetype_DB!$A$1:$Z$1, 0)), VALUE(REGEXEXTRACT(H$20, ""\d+""))/100)"),88.0)</f>
        <v>88</v>
      </c>
      <c r="I41" s="5">
        <f>IFERROR(__xludf.DUMMYFUNCTION("PERCENTILE(INDEX(Archetype_DB!$A$2:$Z1000, 0, MATCH($A41, Archetype_DB!$A$1:$Z$1, 0)), VALUE(REGEXEXTRACT(I$20, ""\d+""))/100)"),90.57000000000005)</f>
        <v>90.57</v>
      </c>
    </row>
    <row r="42">
      <c r="A42" s="1" t="s">
        <v>3321</v>
      </c>
      <c r="B42" s="1">
        <v>25.0</v>
      </c>
      <c r="C42" s="1">
        <v>60.0</v>
      </c>
      <c r="D42" s="1">
        <v>70.0</v>
      </c>
      <c r="E42" s="1">
        <v>76.0</v>
      </c>
      <c r="F42" s="1">
        <v>85.0</v>
      </c>
      <c r="G42" s="1">
        <v>87.0</v>
      </c>
      <c r="H42" s="1">
        <v>91.0</v>
      </c>
      <c r="I42" s="1">
        <v>95.0</v>
      </c>
    </row>
    <row r="44" ht="22.5" customHeight="1">
      <c r="A44" s="6" t="s">
        <v>3312</v>
      </c>
      <c r="B44" s="6" t="s">
        <v>3313</v>
      </c>
      <c r="C44" s="6" t="s">
        <v>3314</v>
      </c>
      <c r="D44" s="6" t="s">
        <v>3315</v>
      </c>
      <c r="E44" s="6" t="s">
        <v>3316</v>
      </c>
      <c r="F44" s="6" t="s">
        <v>3317</v>
      </c>
      <c r="G44" s="6" t="s">
        <v>3318</v>
      </c>
      <c r="H44" s="6" t="s">
        <v>3319</v>
      </c>
      <c r="I44" s="6" t="s">
        <v>3320</v>
      </c>
    </row>
    <row r="45" ht="22.5" customHeight="1">
      <c r="A45" s="7" t="s">
        <v>3322</v>
      </c>
      <c r="B45" s="8">
        <v>23.0</v>
      </c>
      <c r="C45" s="8">
        <v>33.0</v>
      </c>
      <c r="D45" s="8">
        <v>40.0</v>
      </c>
      <c r="E45" s="8">
        <v>47.0</v>
      </c>
      <c r="F45" s="8">
        <v>55.0</v>
      </c>
      <c r="G45" s="8">
        <v>62.0</v>
      </c>
      <c r="H45" s="8">
        <v>66.0</v>
      </c>
      <c r="I45" s="8">
        <v>74.0</v>
      </c>
    </row>
    <row r="46" ht="22.5" customHeight="1">
      <c r="A46" s="7" t="s">
        <v>3323</v>
      </c>
      <c r="B46" s="8">
        <v>23.0</v>
      </c>
      <c r="C46" s="8">
        <v>39.0</v>
      </c>
      <c r="D46" s="8">
        <v>44.0</v>
      </c>
      <c r="E46" s="8">
        <v>49.0</v>
      </c>
      <c r="F46" s="8">
        <v>55.0</v>
      </c>
      <c r="G46" s="8">
        <v>63.0</v>
      </c>
      <c r="H46" s="8">
        <v>68.0</v>
      </c>
      <c r="I46" s="8">
        <v>78.0</v>
      </c>
    </row>
    <row r="47" ht="22.5" customHeight="1">
      <c r="A47" s="7" t="s">
        <v>3324</v>
      </c>
      <c r="B47" s="8">
        <v>32.0</v>
      </c>
      <c r="C47" s="8">
        <v>42.0</v>
      </c>
      <c r="D47" s="8">
        <v>46.0</v>
      </c>
      <c r="E47" s="8">
        <v>52.0</v>
      </c>
      <c r="F47" s="8">
        <v>60.0</v>
      </c>
      <c r="G47" s="8">
        <v>68.0</v>
      </c>
      <c r="H47" s="8">
        <v>72.0</v>
      </c>
      <c r="I47" s="8">
        <v>82.0</v>
      </c>
    </row>
    <row r="48" ht="22.5" customHeight="1">
      <c r="A48" s="7" t="s">
        <v>3325</v>
      </c>
      <c r="B48" s="8">
        <v>29.0</v>
      </c>
      <c r="C48" s="8">
        <v>40.0</v>
      </c>
      <c r="D48" s="8">
        <v>45.0</v>
      </c>
      <c r="E48" s="8">
        <v>50.0</v>
      </c>
      <c r="F48" s="8">
        <v>59.0</v>
      </c>
      <c r="G48" s="8">
        <v>67.0</v>
      </c>
      <c r="H48" s="8">
        <v>71.0</v>
      </c>
      <c r="I48" s="8">
        <v>81.0</v>
      </c>
    </row>
    <row r="49" ht="22.5" customHeight="1">
      <c r="A49" s="7" t="s">
        <v>3326</v>
      </c>
      <c r="B49" s="8">
        <v>17.0</v>
      </c>
      <c r="C49" s="8">
        <v>32.0</v>
      </c>
      <c r="D49" s="8">
        <v>36.0</v>
      </c>
      <c r="E49" s="8">
        <v>41.0</v>
      </c>
      <c r="F49" s="8">
        <v>49.0</v>
      </c>
      <c r="G49" s="8">
        <v>59.0</v>
      </c>
      <c r="H49" s="8">
        <v>65.0</v>
      </c>
      <c r="I49" s="8">
        <v>82.0</v>
      </c>
    </row>
    <row r="50" ht="22.5" customHeight="1">
      <c r="A50" s="7" t="s">
        <v>3327</v>
      </c>
      <c r="B50" s="8">
        <v>17.88</v>
      </c>
      <c r="C50" s="8">
        <v>29.0</v>
      </c>
      <c r="D50" s="8">
        <v>36.0</v>
      </c>
      <c r="E50" s="8">
        <v>41.0</v>
      </c>
      <c r="F50" s="8">
        <v>47.0</v>
      </c>
      <c r="G50" s="8">
        <v>56.0</v>
      </c>
      <c r="H50" s="8">
        <v>62.0</v>
      </c>
      <c r="I50" s="8">
        <v>79.12</v>
      </c>
    </row>
    <row r="51" ht="22.5" customHeight="1">
      <c r="A51" s="7" t="s">
        <v>3328</v>
      </c>
      <c r="B51" s="8">
        <v>21.0</v>
      </c>
      <c r="C51" s="8">
        <v>38.0</v>
      </c>
      <c r="D51" s="8">
        <v>44.0</v>
      </c>
      <c r="E51" s="8">
        <v>49.0</v>
      </c>
      <c r="F51" s="8">
        <v>56.0</v>
      </c>
      <c r="G51" s="8">
        <v>65.0</v>
      </c>
      <c r="H51" s="8">
        <v>71.0</v>
      </c>
      <c r="I51" s="8">
        <v>87.0</v>
      </c>
    </row>
    <row r="52" ht="22.5" customHeight="1">
      <c r="A52" s="7" t="s">
        <v>3329</v>
      </c>
      <c r="B52" s="8">
        <v>10.88</v>
      </c>
      <c r="C52" s="8">
        <v>32.0</v>
      </c>
      <c r="D52" s="8">
        <v>39.0</v>
      </c>
      <c r="E52" s="8">
        <v>45.0</v>
      </c>
      <c r="F52" s="8">
        <v>55.0</v>
      </c>
      <c r="G52" s="8">
        <v>63.0</v>
      </c>
      <c r="H52" s="8">
        <v>67.0</v>
      </c>
      <c r="I52" s="8">
        <v>75.12</v>
      </c>
    </row>
    <row r="53" ht="22.5" customHeight="1">
      <c r="A53" s="7" t="s">
        <v>3330</v>
      </c>
      <c r="B53" s="8">
        <v>20.0</v>
      </c>
      <c r="C53" s="8">
        <v>33.0</v>
      </c>
      <c r="D53" s="8">
        <v>39.0</v>
      </c>
      <c r="E53" s="8">
        <v>46.0</v>
      </c>
      <c r="F53" s="8">
        <v>56.0</v>
      </c>
      <c r="G53" s="8">
        <v>67.0</v>
      </c>
      <c r="H53" s="8">
        <v>75.0</v>
      </c>
      <c r="I53" s="8">
        <v>89.0</v>
      </c>
    </row>
    <row r="54" ht="22.5" customHeight="1">
      <c r="A54" s="7" t="s">
        <v>3331</v>
      </c>
      <c r="B54" s="8">
        <v>1.0</v>
      </c>
      <c r="C54" s="8">
        <v>20.0</v>
      </c>
      <c r="D54" s="8">
        <v>28.0</v>
      </c>
      <c r="E54" s="8">
        <v>41.0</v>
      </c>
      <c r="F54" s="8">
        <v>51.0</v>
      </c>
      <c r="G54" s="8">
        <v>64.0</v>
      </c>
      <c r="H54" s="8">
        <v>71.0</v>
      </c>
      <c r="I54" s="8">
        <v>86.12</v>
      </c>
    </row>
    <row r="55" ht="22.5" customHeight="1">
      <c r="A55" s="7" t="s">
        <v>3321</v>
      </c>
      <c r="B55" s="8">
        <v>28.0</v>
      </c>
      <c r="C55" s="8">
        <v>37.0</v>
      </c>
      <c r="D55" s="8">
        <v>40.0</v>
      </c>
      <c r="E55" s="8">
        <v>45.0</v>
      </c>
      <c r="F55" s="8">
        <v>52.0</v>
      </c>
      <c r="G55" s="8">
        <v>59.0</v>
      </c>
      <c r="H55" s="8">
        <v>65.0</v>
      </c>
      <c r="I55" s="8">
        <v>78.0</v>
      </c>
    </row>
    <row r="56" ht="22.5" customHeight="1">
      <c r="A56" s="7" t="s">
        <v>3332</v>
      </c>
      <c r="B56" s="8">
        <v>26.0</v>
      </c>
      <c r="C56" s="8">
        <v>36.0</v>
      </c>
      <c r="D56" s="8">
        <v>40.0</v>
      </c>
      <c r="E56" s="8">
        <v>45.0</v>
      </c>
      <c r="F56" s="8">
        <v>51.0</v>
      </c>
      <c r="G56" s="8">
        <v>57.0</v>
      </c>
      <c r="H56" s="8">
        <v>61.0</v>
      </c>
      <c r="I56" s="8">
        <v>72.0</v>
      </c>
    </row>
    <row r="57" ht="22.5" customHeight="1">
      <c r="A57" s="7" t="s">
        <v>3333</v>
      </c>
      <c r="B57" s="8">
        <v>24.0</v>
      </c>
      <c r="C57" s="8">
        <v>39.0</v>
      </c>
      <c r="D57" s="8">
        <v>45.0</v>
      </c>
      <c r="E57" s="8">
        <v>50.0</v>
      </c>
      <c r="F57" s="8">
        <v>56.0</v>
      </c>
      <c r="G57" s="8">
        <v>65.0</v>
      </c>
      <c r="H57" s="8">
        <v>70.0</v>
      </c>
      <c r="I57" s="8">
        <v>79.0</v>
      </c>
    </row>
    <row r="58" ht="22.5" customHeight="1">
      <c r="A58" s="7" t="s">
        <v>3334</v>
      </c>
      <c r="B58" s="8">
        <v>24.0</v>
      </c>
      <c r="C58" s="8">
        <v>37.0</v>
      </c>
      <c r="D58" s="8">
        <v>42.0</v>
      </c>
      <c r="E58" s="8">
        <v>46.0</v>
      </c>
      <c r="F58" s="8">
        <v>52.0</v>
      </c>
      <c r="G58" s="8">
        <v>63.0</v>
      </c>
      <c r="H58" s="8">
        <v>70.0</v>
      </c>
      <c r="I58" s="8">
        <v>81.12</v>
      </c>
    </row>
    <row r="59" ht="22.5" customHeight="1">
      <c r="A59" s="7" t="s">
        <v>3335</v>
      </c>
      <c r="B59" s="8">
        <v>32.0</v>
      </c>
      <c r="C59" s="8">
        <v>41.0</v>
      </c>
      <c r="D59" s="8">
        <v>45.0</v>
      </c>
      <c r="E59" s="8">
        <v>50.0</v>
      </c>
      <c r="F59" s="8">
        <v>55.0</v>
      </c>
      <c r="G59" s="8">
        <v>63.0</v>
      </c>
      <c r="H59" s="8">
        <v>69.0</v>
      </c>
      <c r="I59" s="8">
        <v>81.0</v>
      </c>
    </row>
  </sheetData>
  <dataValidations>
    <dataValidation type="custom" allowBlank="1" showDropDown="1" sqref="B45:I59">
      <formula1>AND(ISNUMBER(B45),(NOT(OR(NOT(ISERROR(DATEVALUE(B45))), AND(ISNUMBER(B45), LEFT(CELL("format", B45))="D")))))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38"/>
    <col customWidth="1" min="2" max="16" width="6.38"/>
  </cols>
  <sheetData>
    <row r="1" ht="22.5" customHeight="1">
      <c r="A1" s="9" t="s">
        <v>3322</v>
      </c>
      <c r="B1" s="9" t="s">
        <v>3323</v>
      </c>
      <c r="C1" s="9" t="s">
        <v>3324</v>
      </c>
      <c r="D1" s="9" t="s">
        <v>3325</v>
      </c>
      <c r="E1" s="9" t="s">
        <v>3326</v>
      </c>
      <c r="F1" s="9" t="s">
        <v>3327</v>
      </c>
      <c r="G1" s="9" t="s">
        <v>3328</v>
      </c>
      <c r="H1" s="9" t="s">
        <v>3329</v>
      </c>
      <c r="I1" s="9" t="s">
        <v>3330</v>
      </c>
      <c r="J1" s="9" t="s">
        <v>3331</v>
      </c>
      <c r="K1" s="9" t="s">
        <v>3321</v>
      </c>
      <c r="L1" s="9" t="s">
        <v>3332</v>
      </c>
      <c r="M1" s="9" t="s">
        <v>3333</v>
      </c>
      <c r="N1" s="9" t="s">
        <v>3334</v>
      </c>
      <c r="O1" s="9" t="s">
        <v>3335</v>
      </c>
      <c r="Q1" s="4" t="s">
        <v>4</v>
      </c>
      <c r="R1" s="4" t="s">
        <v>5</v>
      </c>
      <c r="S1" s="4" t="s">
        <v>6</v>
      </c>
      <c r="U1" s="4" t="s">
        <v>8</v>
      </c>
      <c r="V1" s="4" t="s">
        <v>9</v>
      </c>
      <c r="W1" s="4" t="s">
        <v>10</v>
      </c>
      <c r="X1" s="4" t="s">
        <v>11</v>
      </c>
      <c r="Y1" s="4" t="s">
        <v>12</v>
      </c>
      <c r="Z1" s="4" t="s">
        <v>13</v>
      </c>
      <c r="AA1" s="4" t="s">
        <v>14</v>
      </c>
      <c r="AB1" s="4" t="s">
        <v>3321</v>
      </c>
      <c r="AC1" s="4" t="s">
        <v>15</v>
      </c>
      <c r="AD1" s="4" t="s">
        <v>16</v>
      </c>
      <c r="AG1" s="4" t="s">
        <v>19</v>
      </c>
      <c r="AH1" s="4" t="s">
        <v>20</v>
      </c>
      <c r="AI1" s="4" t="s">
        <v>21</v>
      </c>
      <c r="AJ1" s="4" t="s">
        <v>22</v>
      </c>
      <c r="AK1" s="4" t="s">
        <v>23</v>
      </c>
      <c r="AL1" s="4" t="s">
        <v>24</v>
      </c>
      <c r="AM1" s="4" t="s">
        <v>3336</v>
      </c>
      <c r="AN1" s="4" t="s">
        <v>3337</v>
      </c>
    </row>
    <row r="2" ht="30.0" customHeight="1">
      <c r="A2" s="10">
        <v>40.0</v>
      </c>
      <c r="B2" s="10">
        <v>66.0</v>
      </c>
      <c r="C2" s="10">
        <v>52.0</v>
      </c>
      <c r="D2" s="10">
        <v>58.0</v>
      </c>
      <c r="E2" s="10">
        <v>64.0</v>
      </c>
      <c r="F2" s="10">
        <v>45.0</v>
      </c>
      <c r="G2" s="10">
        <v>60.0</v>
      </c>
      <c r="H2" s="10">
        <v>65.0</v>
      </c>
      <c r="I2" s="10">
        <v>64.0</v>
      </c>
      <c r="J2" s="10">
        <v>72.0</v>
      </c>
      <c r="K2" s="10">
        <v>75.0</v>
      </c>
      <c r="L2" s="10">
        <v>66.0</v>
      </c>
      <c r="M2" s="10">
        <v>56.0</v>
      </c>
      <c r="N2" s="10">
        <v>51.0</v>
      </c>
      <c r="O2" s="10">
        <v>51.0</v>
      </c>
      <c r="Q2" s="5">
        <f t="array" ref="Q2">LET(x, 0.6*F2 + 0.25*B2 + 0.15*K2, x_range, Percentiles!$B$50:$I$50, y_range, Translation_Matrix!$B$12:$I$12, matchIdx, IFNA(MATCH(x, x_range, 1), 1), colIdx, MIN(7, MAX(1, matchIdx)), IF(x &lt;= INDEX(x_range, 1), INDEX(y_range, 1), IF(x &gt;= INDEX(x_range, 8), INDEX(y_range, 8), FORECAST(x, OFFSET(INDEX(y_range, 1), 0, colIdx - 1, 1, 2), OFFSET(INDEX(x_range, 1), 0, colIdx - 1, 1, 2)))))</f>
        <v>88.30555556</v>
      </c>
      <c r="R2" s="5">
        <f t="array" ref="R2">LET(x, 0.5*F2 + 0.3*C2 + 0.2*D2, x_range, Percentiles!$B$50:$I$50, y_range, Translation_Matrix!$B$13:$I$13, matchIdx, IFNA(MATCH(x, x_range, 1), 1), colIdx, MIN(7, MAX(1, matchIdx)), IF(x &lt;= INDEX(x_range, 1), INDEX(y_range, 1), IF(x &gt;= INDEX(x_range, 8), INDEX(y_range, 8), FORECAST(x, OFFSET(INDEX(y_range, 1), 0, colIdx - 1, 1, 2), OFFSET(INDEX(x_range, 1), 0, colIdx - 1, 1, 2)))))</f>
        <v>83.1</v>
      </c>
      <c r="S2" s="5">
        <f t="array" ref="S2">LET(x, LET(drv, 0.5*G2 + 0.3*C2 + 0.2*D2, std, 0.65*G2 + 0.25*A2 + 0.1*D2, IF($AN$2 &gt; 80, (drv + std) / 2, drv)), x_range, Percentiles!$B$51:$I$51, y_range, Translation_Matrix!$B$16:$I$16, matchIdx, IFNA(MATCH(x, x_range, 1), 1), colIdx, MIN(7, MAX(1, matchIdx)), IF(x &lt;= INDEX(x_range, 1), INDEX(y_range, 1), IF(x &gt;= INDEX(x_range, 8), INDEX(y_range, 8), FORECAST(x, OFFSET(INDEX(y_range, 1), 0, colIdx - 1, 1, 2), OFFSET(INDEX(x_range, 1), 0, colIdx - 1, 1, 2)))))</f>
        <v>89.53333333</v>
      </c>
      <c r="U2" s="5">
        <f t="array" ref="U2">LET(x, 0.65*F2 + 0.2*B2 + 0.15*K2, x_range, Percentiles!$B$50:$I$50, y_range, Translation_Matrix!$B$14:$I$14, matchIdx, IFNA(MATCH(x, x_range, 1), 1), colIdx, MIN(7, MAX(1, matchIdx)), IF(x &lt;= INDEX(x_range, 1), INDEX(y_range, 1), IF(x &gt;= INDEX(x_range, 8), INDEX(y_range, 8), FORECAST(x, OFFSET(INDEX(y_range, 1), 0, colIdx - 1, 1, 2), OFFSET(INDEX(x_range, 1), 0, colIdx - 1, 1, 2)))))</f>
        <v>84.95555556</v>
      </c>
      <c r="V2" s="5">
        <f t="array" ref="V2">LET(x, (0.7*I2)+(0.15*K2)+(0.15*H2), x_range, Percentiles!$B$53:$I$53, y_range, Translation_Matrix!$B$21:$I$21, matchIdx, IFNA(MATCH(x, x_range, 1), 1), colIdx, MIN(7, MAX(1, matchIdx)), IF(x &lt;= INDEX(x_range, 1), INDEX(y_range, 1), IF(x &gt;= INDEX(x_range, 8), INDEX(y_range, 8), FORECAST(x, OFFSET(INDEX(y_range, 1), 0, colIdx - 1, 1, 2), OFFSET(INDEX(x_range, 1), 0, colIdx - 1, 1, 2)))))</f>
        <v>89.56363636</v>
      </c>
      <c r="W2" s="5">
        <f t="array" ref="W2">LET(x, 1*J2, x_range, Percentiles!$B$54:$I$54, y_range, Translation_Matrix!$B$23:$I$23, matchIdx, IFNA(MATCH(x, x_range, 1), 1), colIdx, MIN(7, MAX(1, matchIdx)), IF(x &lt;= INDEX(x_range, 1), INDEX(y_range, 1), IF(x &gt;= INDEX(x_range, 8), INDEX(y_range, 8), FORECAST(x, OFFSET(INDEX(y_range, 1), 0, colIdx - 1, 1, 2), OFFSET(INDEX(x_range, 1), 0, colIdx - 1, 1, 2)))))</f>
        <v>90.35582011</v>
      </c>
      <c r="X2" s="5">
        <f t="array" ref="X2">LET(x, 1*H2, x_range, Percentiles!$B$52:$I$52, y_range, Translation_Matrix!$B$19:$I$19, matchIdx, IFNA(MATCH(x, x_range, 1), 1), colIdx, MIN(7, MAX(1, matchIdx)), IF(x &lt;= INDEX(x_range, 1), INDEX(y_range, 1), IF(x &gt;= INDEX(x_range, 8), INDEX(y_range, 8), FORECAST(x, OFFSET(INDEX(y_range, 1), 0, colIdx - 1, 1, 2), OFFSET(INDEX(x_range, 1), 0, colIdx - 1, 1, 2)))))</f>
        <v>88</v>
      </c>
      <c r="Y2" s="5">
        <f t="array" ref="Y2">LET(x, 0.5*N2 + 0.5*K2, x_range, Percentiles!$B$58:$I$58, y_range, Translation_Matrix!$B$34:$I$34, matchIdx, IFNA(MATCH(x, x_range, 1), 1), colIdx, MIN(7, MAX(1, matchIdx)), IF(x &lt;= INDEX(x_range, 1), INDEX(y_range, 1), IF(x &gt;= INDEX(x_range, 8), INDEX(y_range, 8), FORECAST(x, OFFSET(INDEX(y_range, 1), 0, colIdx - 1, 1, 2), OFFSET(INDEX(x_range, 1), 0, colIdx - 1, 1, 2)))))</f>
        <v>87</v>
      </c>
      <c r="Z2" s="5">
        <f t="array" ref="Z2">LET(x, 0.5*M2 + 0.5*K2, x_range, Percentiles!$B$57:$I$57, y_range, Translation_Matrix!$B$31:$I$31, matchIdx, IFNA(MATCH(x, x_range, 1), 1), colIdx, MIN(7, MAX(1, matchIdx)), IF(x &lt;= INDEX(x_range, 1), INDEX(y_range, 1), IF(x &gt;= INDEX(x_range, 8), INDEX(y_range, 8), FORECAST(x, OFFSET(INDEX(y_range, 1), 0, colIdx - 1, 1, 2), OFFSET(INDEX(x_range, 1), 0, colIdx - 1, 1, 2)))))</f>
        <v>86</v>
      </c>
      <c r="AA2" s="5">
        <f t="array" ref="AA2">LET(x, 0.5*M2 + 0.5*K2, x_range, Percentiles!$B$57:$I$57, y_range, Translation_Matrix!$B$32:$I$32, matchIdx, IFNA(MATCH(x, x_range, 1), 1), colIdx, MIN(7, MAX(1, matchIdx)), IF(x &lt;= INDEX(x_range, 1), INDEX(y_range, 1), IF(x &gt;= INDEX(x_range, 8), INDEX(y_range, 8), FORECAST(x, OFFSET(INDEX(y_range, 1), 0, colIdx - 1, 1, 2), OFFSET(INDEX(x_range, 1), 0, colIdx - 1, 1, 2)))))</f>
        <v>80.49</v>
      </c>
      <c r="AB2" s="5">
        <f t="array" ref="AB2">LET(x, 1*K2, x_range, Percentiles!$B$55:$I$55, y_range, Translation_Matrix!$B$24:$I$24, matchIdx, IFNA(MATCH(x, x_range, 1), 1), colIdx, MIN(7, MAX(1, matchIdx)), IF(x &lt;= INDEX(x_range, 1), INDEX(y_range, 1), IF(x &gt;= INDEX(x_range, 8), INDEX(y_range, 8), FORECAST(x, OFFSET(INDEX(y_range, 1), 0, colIdx - 1, 1, 2), OFFSET(INDEX(x_range, 1), 0, colIdx - 1, 1, 2)))))</f>
        <v>94.07692308</v>
      </c>
      <c r="AC2" s="5">
        <f t="array" ref="AC2">LET(x, 0.55*L2 + 0.3*A2 + 0.15*B2, x_range, Percentiles!$B$56:$I$56, y_range, Translation_Matrix!$B$26:$I$26, matchIdx, IFNA(MATCH(x, x_range, 1), 1), colIdx, MIN(7, MAX(1, matchIdx)), IF(x &lt;= INDEX(x_range, 1), INDEX(y_range, 1), IF(x &gt;= INDEX(x_range, 8), INDEX(y_range, 8), FORECAST(x, OFFSET(INDEX(y_range, 1), 0, colIdx - 1, 1, 2), OFFSET(INDEX(x_range, 1), 0, colIdx - 1, 1, 2)))))</f>
        <v>88.6</v>
      </c>
      <c r="AD2" s="5">
        <f t="array" ref="AD2">LET(x, 0.55*L2 + 0.25*C2 + 0.2*D2, x_range, Percentiles!$B$56:$I$56, y_range, Translation_Matrix!$B$27:$I$27, matchIdx, IFNA(MATCH(x, x_range, 1), 1), colIdx, MIN(7, MAX(1, matchIdx)), IF(x &lt;= INDEX(x_range, 1), INDEX(y_range, 1), IF(x &gt;= INDEX(x_range, 8), INDEX(y_range, 8), FORECAST(x, OFFSET(INDEX(y_range, 1), 0, colIdx - 1, 1, 2), OFFSET(INDEX(x_range, 1), 0, colIdx - 1, 1, 2)))))</f>
        <v>91.875</v>
      </c>
      <c r="AG2" s="5">
        <f t="array" ref="AG2">LET(x, 0.6*O2 + 0.25*D2 + 0.15*B2, x_range, Percentiles!$B$59:$I$59, y_range, Translation_Matrix!$B$36:$I$36, matchIdx, IFNA(MATCH(x, x_range, 1), 1), colIdx, MIN(7, MAX(1, matchIdx)), IF(x &lt;= INDEX(x_range, 1), INDEX(y_range, 1), IF(x &gt;= INDEX(x_range, 8), INDEX(y_range, 8), FORECAST(x, OFFSET(INDEX(y_range, 1), 0, colIdx - 1, 1, 2), OFFSET(INDEX(x_range, 1), 0, colIdx - 1, 1, 2)))))</f>
        <v>84</v>
      </c>
      <c r="AH2" s="5">
        <f t="array" ref="AH2">LET(x, 0.65*O2 + 0.2*A2 + 0.15*L2, x_range, Percentiles!$B$59:$I$59, y_range, Translation_Matrix!$B$37:$I$37, matchIdx, IFNA(MATCH(x, x_range, 1), 1), colIdx, MIN(7, MAX(1, matchIdx)), IF(x &lt;= INDEX(x_range, 1), INDEX(y_range, 1), IF(x &gt;= INDEX(x_range, 8), INDEX(y_range, 8), FORECAST(x, OFFSET(INDEX(y_range, 1), 0, colIdx - 1, 1, 2), OFFSET(INDEX(x_range, 1), 0, colIdx - 1, 1, 2)))))</f>
        <v>82.89</v>
      </c>
      <c r="AI2" s="5">
        <f t="array" ref="AI2">LET(x, 0.6*C2 + 0.3*D2 + 0.1*E2, x_range, Percentiles!$B$47:$I$47, y_range, Translation_Matrix!$B$6:$I$6, matchIdx, IFNA(MATCH(x, x_range, 1), 1), colIdx, MIN(7, MAX(1, matchIdx)), IF(x &lt;= INDEX(x_range, 1), INDEX(y_range, 1), IF(x &gt;= INDEX(x_range, 8), INDEX(y_range, 8), FORECAST(x, OFFSET(INDEX(y_range, 1), 0, colIdx - 1, 1, 2), OFFSET(INDEX(x_range, 1), 0, colIdx - 1, 1, 2)))))</f>
        <v>81.5</v>
      </c>
      <c r="AJ2" s="5">
        <f t="array" ref="AJ2">LET(x, 0.5*C2 + 0.25*M2 + 0.15*D2 + 0.1*E2, x_range, Percentiles!$B$47:$I$47, y_range, Translation_Matrix!$B$7:$I$7, matchIdx, IFNA(MATCH(x, x_range, 1), 1), colIdx, MIN(7, MAX(1, matchIdx)), IF(x &lt;= INDEX(x_range, 1), INDEX(y_range, 1), IF(x &gt;= INDEX(x_range, 8), INDEX(y_range, 8), FORECAST(x, OFFSET(INDEX(y_range, 1), 0, colIdx - 1, 1, 2), OFFSET(INDEX(x_range, 1), 0, colIdx - 1, 1, 2)))))</f>
        <v>76.325</v>
      </c>
      <c r="AK2" s="5">
        <f t="array" ref="AK2">LET(x, 1*B2, x_range, Percentiles!$B$46:$I$46, y_range, Translation_Matrix!$B$4:$I$4, matchIdx, IFNA(MATCH(x, x_range, 1), 1), colIdx, MIN(7, MAX(1, matchIdx)), IF(x &lt;= INDEX(x_range, 1), INDEX(y_range, 1), IF(x &gt;= INDEX(x_range, 8), INDEX(y_range, 8), FORECAST(x, OFFSET(INDEX(y_range, 1), 0, colIdx - 1, 1, 2), OFFSET(INDEX(x_range, 1), 0, colIdx - 1, 1, 2)))))</f>
        <v>91.12</v>
      </c>
      <c r="AL2" s="5">
        <f t="array" ref="AL2">LET(x, 1*D2, x_range, Percentiles!$B$48:$I$48, y_range, Translation_Matrix!$B$9:$I$9, matchIdx, IFNA(MATCH(x, x_range, 1), 1), colIdx, MIN(7, MAX(1, matchIdx)), IF(x &lt;= INDEX(x_range, 1), INDEX(y_range, 1), IF(x &gt;= INDEX(x_range, 8), INDEX(y_range, 8), FORECAST(x, OFFSET(INDEX(y_range, 1), 0, colIdx - 1, 1, 2), OFFSET(INDEX(x_range, 1), 0, colIdx - 1, 1, 2)))))</f>
        <v>82.66666667</v>
      </c>
      <c r="AM2" s="5">
        <f>SQRT(SUMSQ(Q2:AL2))</f>
        <v>376.8065652</v>
      </c>
      <c r="AN2" s="5">
        <f>66 + (0.24 * A2)</f>
        <v>75.6</v>
      </c>
    </row>
    <row r="3">
      <c r="A3" s="1" t="s">
        <v>3338</v>
      </c>
      <c r="R3" s="5">
        <f t="shared" ref="R3:AL3" si="1">IFERROR(RANK(R2,$R$2:$AL$2,0),22)</f>
        <v>13</v>
      </c>
      <c r="S3" s="5">
        <f t="shared" si="1"/>
        <v>6</v>
      </c>
      <c r="T3" s="5">
        <f t="shared" si="1"/>
        <v>22</v>
      </c>
      <c r="U3" s="5">
        <f t="shared" si="1"/>
        <v>11</v>
      </c>
      <c r="V3" s="5">
        <f t="shared" si="1"/>
        <v>5</v>
      </c>
      <c r="W3" s="5">
        <f t="shared" si="1"/>
        <v>4</v>
      </c>
      <c r="X3" s="5">
        <f t="shared" si="1"/>
        <v>8</v>
      </c>
      <c r="Y3" s="5">
        <f t="shared" si="1"/>
        <v>9</v>
      </c>
      <c r="Z3" s="5">
        <f t="shared" si="1"/>
        <v>10</v>
      </c>
      <c r="AA3" s="5">
        <f t="shared" si="1"/>
        <v>17</v>
      </c>
      <c r="AB3" s="5">
        <f t="shared" si="1"/>
        <v>1</v>
      </c>
      <c r="AC3" s="5">
        <f t="shared" si="1"/>
        <v>7</v>
      </c>
      <c r="AD3" s="5">
        <f t="shared" si="1"/>
        <v>2</v>
      </c>
      <c r="AE3" s="5">
        <f t="shared" si="1"/>
        <v>22</v>
      </c>
      <c r="AF3" s="5">
        <f t="shared" si="1"/>
        <v>22</v>
      </c>
      <c r="AG3" s="5">
        <f t="shared" si="1"/>
        <v>12</v>
      </c>
      <c r="AH3" s="5">
        <f t="shared" si="1"/>
        <v>14</v>
      </c>
      <c r="AI3" s="5">
        <f t="shared" si="1"/>
        <v>16</v>
      </c>
      <c r="AJ3" s="5">
        <f t="shared" si="1"/>
        <v>18</v>
      </c>
      <c r="AK3" s="5">
        <f t="shared" si="1"/>
        <v>3</v>
      </c>
      <c r="AL3" s="5">
        <f t="shared" si="1"/>
        <v>15</v>
      </c>
    </row>
    <row r="4" hidden="1">
      <c r="A4" s="5">
        <f t="array" ref="A4">MIN(99, LET(raw, A2, pcts, XLOOKUP(A$1, Percentiles!$A$45:$A$59, Percentiles!$B$45:$I$59), vals, IF(A$1="Hgt", Translation_Matrix!$B$3:$I$3, XLOOKUP(A$1, Translation_Matrix!$A$1:$A$37, Translation_Matrix!$B$1:$I$37)), FORECAST(raw, vals, pcts)))</f>
        <v>33.28477444</v>
      </c>
      <c r="B4" s="5">
        <f t="array" ref="B4">MIN(99, LET(raw, B2, pcts, XLOOKUP(B$1, Percentiles!$A$45:$A$59, Percentiles!$B$45:$I$59), vals, IF(B$1="Hgt", Translation_Matrix!$B$3:$I$3, XLOOKUP(B$1, Translation_Matrix!$A$1:$A$37, Translation_Matrix!$B$1:$I$37)), FORECAST(raw, vals, pcts)))</f>
        <v>85.06996677</v>
      </c>
      <c r="C4" s="5">
        <f t="array" ref="C4">MIN(99, LET(raw, C2, pcts, XLOOKUP(C$1, Percentiles!$A$45:$A$59, Percentiles!$B$45:$I$59), vals, IF(C$1="Hgt", Translation_Matrix!$B$3:$I$3, XLOOKUP(C$1, Translation_Matrix!$A$1:$A$37, Translation_Matrix!$B$1:$I$37)), FORECAST(raw, vals, pcts)))</f>
        <v>44.74183751</v>
      </c>
      <c r="D4" s="5">
        <f t="array" ref="D4">MIN(99, LET(raw, D2, pcts, XLOOKUP(D$1, Percentiles!$A$45:$A$59, Percentiles!$B$45:$I$59), vals, IF(D$1="Hgt", Translation_Matrix!$B$3:$I$3, XLOOKUP(D$1, Translation_Matrix!$A$1:$A$37, Translation_Matrix!$B$1:$I$37)), FORECAST(raw, vals, pcts)))</f>
        <v>61.71168831</v>
      </c>
      <c r="E4" s="5">
        <f t="array" ref="E4">MIN(99, LET(raw, E2, pcts, XLOOKUP(E$1, Percentiles!$A$45:$A$59, Percentiles!$B$45:$I$59), vals, IF(E$1="Hgt", Translation_Matrix!$B$3:$I$3, XLOOKUP(E$1, Translation_Matrix!$A$1:$A$37, Translation_Matrix!$B$1:$I$37)), FORECAST(raw, vals, pcts)))</f>
        <v>85.18418952</v>
      </c>
      <c r="F4" s="5">
        <f t="array" ref="F4">MIN(99, LET(raw, F2, pcts, XLOOKUP(F$1, Percentiles!$A$45:$A$59, Percentiles!$B$45:$I$59), vals, IF(F$1="Hgt", Translation_Matrix!$B$3:$I$3, XLOOKUP(F$1, Translation_Matrix!$A$1:$A$37, Translation_Matrix!$B$1:$I$37)), FORECAST(raw, vals, pcts)))</f>
        <v>53.71586412</v>
      </c>
      <c r="G4" s="5">
        <f t="array" ref="G4">MIN(99, LET(raw, G2, pcts, XLOOKUP(G$1, Percentiles!$A$45:$A$59, Percentiles!$B$45:$I$59), vals, IF(G$1="Hgt", Translation_Matrix!$B$3:$I$3, XLOOKUP(G$1, Translation_Matrix!$A$1:$A$37, Translation_Matrix!$B$1:$I$37)), FORECAST(raw, vals, pcts)))</f>
        <v>66.71891687</v>
      </c>
      <c r="H4" s="5">
        <f t="array" ref="H4">MIN(99, LET(raw, H2, pcts, XLOOKUP(H$1, Percentiles!$A$45:$A$59, Percentiles!$B$45:$I$59), vals, IF(H$1="Hgt", Translation_Matrix!$B$3:$I$3, XLOOKUP(H$1, Translation_Matrix!$A$1:$A$37, Translation_Matrix!$B$1:$I$37)), FORECAST(raw, vals, pcts)))</f>
        <v>85.86178036</v>
      </c>
      <c r="I4" s="5">
        <f t="array" ref="I4">MIN(99, LET(raw, I2, pcts, XLOOKUP(I$1, Percentiles!$A$45:$A$59, Percentiles!$B$45:$I$59), vals, IF(I$1="Hgt", Translation_Matrix!$B$3:$I$3, XLOOKUP(I$1, Translation_Matrix!$A$1:$A$37, Translation_Matrix!$B$1:$I$37)), FORECAST(raw, vals, pcts)))</f>
        <v>73.61036604</v>
      </c>
      <c r="J4" s="5">
        <f t="array" ref="J4">MIN(99, LET(raw, J2, pcts, XLOOKUP(J$1, Percentiles!$A$45:$A$59, Percentiles!$B$45:$I$59), vals, IF(J$1="Hgt", Translation_Matrix!$B$3:$I$3, XLOOKUP(J$1, Translation_Matrix!$A$1:$A$37, Translation_Matrix!$B$1:$I$37)), FORECAST(raw, vals, pcts)))</f>
        <v>92.02315008</v>
      </c>
      <c r="K4" s="5">
        <f t="array" ref="K4">MIN(99, LET(raw, K2, pcts, XLOOKUP(K$1, Percentiles!$A$45:$A$59, Percentiles!$B$45:$I$59), vals, IF(K$1="Hgt", Translation_Matrix!$B$3:$I$3, XLOOKUP(K$1, Translation_Matrix!$A$1:$A$37, Translation_Matrix!$B$1:$I$37)), FORECAST(raw, vals, pcts)))</f>
        <v>99</v>
      </c>
      <c r="L4" s="5">
        <f t="array" ref="L4">MIN(99, LET(raw, L2, pcts, XLOOKUP(L$1, Percentiles!$A$45:$A$59, Percentiles!$B$45:$I$59), vals, IF(L$1="Hgt", Translation_Matrix!$B$3:$I$3, XLOOKUP(L$1, Translation_Matrix!$A$1:$A$37, Translation_Matrix!$B$1:$I$37)), FORECAST(raw, vals, pcts)))</f>
        <v>99</v>
      </c>
      <c r="M4" s="5">
        <f t="array" ref="M4">MIN(99, LET(raw, M2, pcts, XLOOKUP(M$1, Percentiles!$A$45:$A$59, Percentiles!$B$45:$I$59), vals, IF(M$1="Hgt", Translation_Matrix!$B$3:$I$3, XLOOKUP(M$1, Translation_Matrix!$A$1:$A$37, Translation_Matrix!$B$1:$I$37)), FORECAST(raw, vals, pcts)))</f>
        <v>60.96248877</v>
      </c>
      <c r="N4" s="5">
        <f t="array" ref="N4">MIN(99, LET(raw, N2, pcts, XLOOKUP(N$1, Percentiles!$A$45:$A$59, Percentiles!$B$45:$I$59), vals, IF(N$1="Hgt", Translation_Matrix!$B$3:$I$3, XLOOKUP(N$1, Translation_Matrix!$A$1:$A$37, Translation_Matrix!$B$1:$I$37)), FORECAST(raw, vals, pcts)))</f>
        <v>53.83475069</v>
      </c>
      <c r="O4" s="5">
        <f t="array" ref="O4">MIN(99, LET(raw, O2, pcts, XLOOKUP(O$1, Percentiles!$A$45:$A$59, Percentiles!$B$45:$I$59), vals, IF(O$1="Hgt", Translation_Matrix!$B$3:$I$3, XLOOKUP(O$1, Translation_Matrix!$A$1:$A$37, Translation_Matrix!$B$1:$I$37)), FORECAST(raw, vals, pcts)))</f>
        <v>47.41746076</v>
      </c>
      <c r="Q4" s="5">
        <f t="array" ref="Q4">MIN(99, LET(x, 0.6*F4 + 0.25*B4 + 0.15*K4, x_range, Percentiles!$B$50:$I$50, y_range, Translation_Matrix!$B$12:$I$12, matchIdx, IFNA(MATCH(x, x_range, 1), 1), colIdx, MIN(7, MAX(1, matchIdx)), IF(x &lt;= INDEX(x_range, 1), INDEX(y_range, 1), IF(x &gt;= INDEX(x_range, 8), INDEX(y_range, 8), FORECAST(x, OFFSET(INDEX(y_range, 1), 0, colIdx - 1, 1, 2), OFFSET(INDEX(x_range, 1), 0, colIdx - 1, 1, 2))))))</f>
        <v>93.3531885</v>
      </c>
      <c r="R4" s="5">
        <f t="array" ref="R4">MIN(99, LET(x, 0.5*F4 + 0.3*C4 + 0.2*D4, x_range, Percentiles!$B$50:$I$50, y_range, Translation_Matrix!$B$13:$I$13, matchIdx, IFNA(MATCH(x, x_range, 1), 1), colIdx, MIN(7, MAX(1, matchIdx)), IF(x &lt;= INDEX(x_range, 1), INDEX(y_range, 1), IF(x &gt;= INDEX(x_range, 8), INDEX(y_range, 8), FORECAST(x, OFFSET(INDEX(y_range, 1), 0, colIdx - 1, 1, 2), OFFSET(INDEX(x_range, 1), 0, colIdx - 1, 1, 2))))))</f>
        <v>85.3733052</v>
      </c>
      <c r="S4" s="5">
        <f t="array" ref="S4">MIN(99, LET(x, LET(drv, 0.5*G4 + 0.3*C4 + 0.2*D4, std, 0.65*G4 + 0.25*A4 + 0.1*D4, IF($AN$2 &gt; 80, (drv + std) / 2, drv)), x_range, Percentiles!$B$51:$I$51, y_range, Translation_Matrix!$B$16:$I$16, matchIdx, IFNA(MATCH(x, x_range, 1), 1), colIdx, MIN(7, MAX(1, matchIdx)), IF(x &lt;= INDEX(x_range, 1), INDEX(y_range, 1), IF(x &gt;= INDEX(x_range, 8), INDEX(y_range, 8), FORECAST(x, OFFSET(INDEX(y_range, 1), 0, colIdx - 1, 1, 2), OFFSET(INDEX(x_range, 1), 0, colIdx - 1, 1, 2))))))</f>
        <v>90.38859882</v>
      </c>
      <c r="U4" s="5">
        <f t="array" ref="U4">MIN(99, LET(x, 0.65*F4 + 0.2*B4 + 0.15*K4, x_range, Percentiles!$B$50:$I$50, y_range, Translation_Matrix!$B$14:$I$14, matchIdx, IFNA(MATCH(x, x_range, 1), 1), colIdx, MIN(7, MAX(1, matchIdx)), IF(x &lt;= INDEX(x_range, 1), INDEX(y_range, 1), IF(x &gt;= INDEX(x_range, 8), INDEX(y_range, 8), FORECAST(x, OFFSET(INDEX(y_range, 1), 0, colIdx - 1, 1, 2), OFFSET(INDEX(x_range, 1), 0, colIdx - 1, 1, 2))))))</f>
        <v>89.39582507</v>
      </c>
      <c r="V4" s="5">
        <f t="array" ref="V4">MIN(99, LET(x, (0.7*I4)+(0.15*K4)+(0.15*H4), x_range, Percentiles!$B$53:$I$53, y_range, Translation_Matrix!$B$21:$I$21, matchIdx, IFNA(MATCH(x, x_range, 1), 1), colIdx, MIN(7, MAX(1, matchIdx)), IF(x &lt;= INDEX(x_range, 1), INDEX(y_range, 1), IF(x &gt;= INDEX(x_range, 8), INDEX(y_range, 8), FORECAST(x, OFFSET(INDEX(y_range, 1), 0, colIdx - 1, 1, 2), OFFSET(INDEX(x_range, 1), 0, colIdx - 1, 1, 2))))))</f>
        <v>93.07021157</v>
      </c>
      <c r="W4" s="5">
        <f t="array" ref="W4">MIN(99, LET(x, 1*J4, x_range, Percentiles!$B$54:$I$54, y_range, Translation_Matrix!$B$23:$I$23, matchIdx, IFNA(MATCH(x, x_range, 1), 1), colIdx, MIN(7, MAX(1, matchIdx)), IF(x &lt;= INDEX(x_range, 1), INDEX(y_range, 1), IF(x &gt;= INDEX(x_range, 8), INDEX(y_range, 8), FORECAST(x, OFFSET(INDEX(y_range, 1), 0, colIdx - 1, 1, 2), OFFSET(INDEX(x_range, 1), 0, colIdx - 1, 1, 2))))))</f>
        <v>95.38</v>
      </c>
      <c r="X4" s="5">
        <f t="array" ref="X4">MIN(99, LET(x, 1*H4, x_range, Percentiles!$B$52:$I$52, y_range, Translation_Matrix!$B$19:$I$19, matchIdx, IFNA(MATCH(x, x_range, 1), 1), colIdx, MIN(7, MAX(1, matchIdx)), IF(x &lt;= INDEX(x_range, 1), INDEX(y_range, 1), IF(x &gt;= INDEX(x_range, 8), INDEX(y_range, 8), FORECAST(x, OFFSET(INDEX(y_range, 1), 0, colIdx - 1, 1, 2), OFFSET(INDEX(x_range, 1), 0, colIdx - 1, 1, 2))))))</f>
        <v>98.85</v>
      </c>
      <c r="Y4" s="5">
        <f t="array" ref="Y4">MIN(99, LET(x, 0.5*N4 + 0.5*K4, x_range, Percentiles!$B$58:$I$58, y_range, Translation_Matrix!$B$34:$I$34, matchIdx, IFNA(MATCH(x, x_range, 1), 1), colIdx, MIN(7, MAX(1, matchIdx)), IF(x &lt;= INDEX(x_range, 1), INDEX(y_range, 1), IF(x &gt;= INDEX(x_range, 8), INDEX(y_range, 8), FORECAST(x, OFFSET(INDEX(y_range, 1), 0, colIdx - 1, 1, 2), OFFSET(INDEX(x_range, 1), 0, colIdx - 1, 1, 2))))))</f>
        <v>93.3084084</v>
      </c>
      <c r="Z4" s="5">
        <f t="array" ref="Z4">MIN(99, LET(x, 0.5*M4 + 0.5*K4, x_range, Percentiles!$B$57:$I$57, y_range, Translation_Matrix!$B$31:$I$31, matchIdx, IFNA(MATCH(x, x_range, 1), 1), colIdx, MIN(7, MAX(1, matchIdx)), IF(x &lt;= INDEX(x_range, 1), INDEX(y_range, 1), IF(x &gt;= INDEX(x_range, 8), INDEX(y_range, 8), FORECAST(x, OFFSET(INDEX(y_range, 1), 0, colIdx - 1, 1, 2), OFFSET(INDEX(x_range, 1), 0, colIdx - 1, 1, 2))))))</f>
        <v>92.55</v>
      </c>
      <c r="AA4" s="5">
        <f t="array" ref="AA4">MIN(99, LET(x, 0.5*M4 + 0.5*K4, x_range, Percentiles!$B$57:$I$57, y_range, Translation_Matrix!$B$32:$I$32, matchIdx, IFNA(MATCH(x, x_range, 1), 1), colIdx, MIN(7, MAX(1, matchIdx)), IF(x &lt;= INDEX(x_range, 1), INDEX(y_range, 1), IF(x &gt;= INDEX(x_range, 8), INDEX(y_range, 8), FORECAST(x, OFFSET(INDEX(y_range, 1), 0, colIdx - 1, 1, 2), OFFSET(INDEX(x_range, 1), 0, colIdx - 1, 1, 2))))))</f>
        <v>88.58</v>
      </c>
      <c r="AB4" s="5">
        <f t="array" ref="AB4">MIN(99, LET(x, 1*K4, x_range, Percentiles!$B$55:$I$55, y_range, Translation_Matrix!$B$24:$I$24, matchIdx, IFNA(MATCH(x, x_range, 1), 1), colIdx, MIN(7, MAX(1, matchIdx)), IF(x &lt;= INDEX(x_range, 1), INDEX(y_range, 1), IF(x &gt;= INDEX(x_range, 8), INDEX(y_range, 8), FORECAST(x, OFFSET(INDEX(y_range, 1), 0, colIdx - 1, 1, 2), OFFSET(INDEX(x_range, 1), 0, colIdx - 1, 1, 2))))))</f>
        <v>95</v>
      </c>
      <c r="AC4" s="5">
        <f t="array" ref="AC4">MIN(99, LET(x, 0.55*L4 + 0.3*A4 + 0.15*B4, x_range, Percentiles!$B$56:$I$56, y_range, Translation_Matrix!$B$26:$I$26, matchIdx, IFNA(MATCH(x, x_range, 1), 1), colIdx, MIN(7, MAX(1, matchIdx)), IF(x &lt;= INDEX(x_range, 1), INDEX(y_range, 1), IF(x &gt;= INDEX(x_range, 8), INDEX(y_range, 8), FORECAST(x, OFFSET(INDEX(y_range, 1), 0, colIdx - 1, 1, 2), OFFSET(INDEX(x_range, 1), 0, colIdx - 1, 1, 2))))))</f>
        <v>92.92</v>
      </c>
      <c r="AD4" s="5">
        <f t="array" ref="AD4">MIN(99, LET(x, 0.55*L4 + 0.25*C4 + 0.2*D4, x_range, Percentiles!$B$56:$I$56, y_range, Translation_Matrix!$B$27:$I$27, matchIdx, IFNA(MATCH(x, x_range, 1), 1), colIdx, MIN(7, MAX(1, matchIdx)), IF(x &lt;= INDEX(x_range, 1), INDEX(y_range, 1), IF(x &gt;= INDEX(x_range, 8), INDEX(y_range, 8), FORECAST(x, OFFSET(INDEX(y_range, 1), 0, colIdx - 1, 1, 2), OFFSET(INDEX(x_range, 1), 0, colIdx - 1, 1, 2))))))</f>
        <v>94</v>
      </c>
      <c r="AG4" s="5">
        <f t="array" ref="AG4">MIN(99, LET(x, 0.6*O4 + 0.25*D4 + 0.15*B4, x_range, Percentiles!$B$59:$I$59, y_range, Translation_Matrix!$B$36:$I$36, matchIdx, IFNA(MATCH(x, x_range, 1), 1), colIdx, MIN(7, MAX(1, matchIdx)), IF(x &lt;= INDEX(x_range, 1), INDEX(y_range, 1), IF(x &gt;= INDEX(x_range, 8), INDEX(y_range, 8), FORECAST(x, OFFSET(INDEX(y_range, 1), 0, colIdx - 1, 1, 2), OFFSET(INDEX(x_range, 1), 0, colIdx - 1, 1, 2))))))</f>
        <v>85.63889355</v>
      </c>
      <c r="AH4" s="5">
        <f t="array" ref="AH4">MIN(99, LET(x, 0.65*O4 + 0.2*A4 + 0.15*L4, x_range, Percentiles!$B$59:$I$59, y_range, Translation_Matrix!$B$37:$I$37, matchIdx, IFNA(MATCH(x, x_range, 1), 1), colIdx, MIN(7, MAX(1, matchIdx)), IF(x &lt;= INDEX(x_range, 1), INDEX(y_range, 1), IF(x &gt;= INDEX(x_range, 8), INDEX(y_range, 8), FORECAST(x, OFFSET(INDEX(y_range, 1), 0, colIdx - 1, 1, 2), OFFSET(INDEX(x_range, 1), 0, colIdx - 1, 1, 2))))))</f>
        <v>85.19094789</v>
      </c>
      <c r="AI4" s="5">
        <f t="array" ref="AI4">MIN(99, LET(x, 0.6*C4 + 0.3*D4 + 0.1*E4, x_range, Percentiles!$B$47:$I$47, y_range, Translation_Matrix!$B$6:$I$6, matchIdx, IFNA(MATCH(x, x_range, 1), 1), colIdx, MIN(7, MAX(1, matchIdx)), IF(x &lt;= INDEX(x_range, 1), INDEX(y_range, 1), IF(x &gt;= INDEX(x_range, 8), INDEX(y_range, 8), FORECAST(x, OFFSET(INDEX(y_range, 1), 0, colIdx - 1, 1, 2), OFFSET(INDEX(x_range, 1), 0, colIdx - 1, 1, 2))))))</f>
        <v>80.93851398</v>
      </c>
      <c r="AJ4" s="5">
        <f t="array" ref="AJ4">MIN(99, LET(x, 0.5*C4 + 0.25*M4 + 0.15*D4 + 0.1*E4, x_range, Percentiles!$B$47:$I$47, y_range, Translation_Matrix!$B$7:$I$7, matchIdx, IFNA(MATCH(x, x_range, 1), 1), colIdx, MIN(7, MAX(1, matchIdx)), IF(x &lt;= INDEX(x_range, 1), INDEX(y_range, 1), IF(x &gt;= INDEX(x_range, 8), INDEX(y_range, 8), FORECAST(x, OFFSET(INDEX(y_range, 1), 0, colIdx - 1, 1, 2), OFFSET(INDEX(x_range, 1), 0, colIdx - 1, 1, 2))))))</f>
        <v>76.54003486</v>
      </c>
      <c r="AK4" s="5">
        <f t="array" ref="AK4">MIN(99, LET(x, 1*B4, x_range, Percentiles!$B$46:$I$46, y_range, Translation_Matrix!$B$4:$I$4, matchIdx, IFNA(MATCH(x, x_range, 1), 1), colIdx, MIN(7, MAX(1, matchIdx)), IF(x &lt;= INDEX(x_range, 1), INDEX(y_range, 1), IF(x &gt;= INDEX(x_range, 8), INDEX(y_range, 8), FORECAST(x, OFFSET(INDEX(y_range, 1), 0, colIdx - 1, 1, 2), OFFSET(INDEX(x_range, 1), 0, colIdx - 1, 1, 2))))))</f>
        <v>95</v>
      </c>
      <c r="AL4" s="5">
        <f t="array" ref="AL4">MIN(99, LET(x, 1*D4, x_range, Percentiles!$B$48:$I$48, y_range, Translation_Matrix!$B$9:$I$9, matchIdx, IFNA(MATCH(x, x_range, 1), 1), colIdx, MIN(7, MAX(1, matchIdx)), IF(x &lt;= INDEX(x_range, 1), INDEX(y_range, 1), IF(x &gt;= INDEX(x_range, 8), INDEX(y_range, 8), FORECAST(x, OFFSET(INDEX(y_range, 1), 0, colIdx - 1, 1, 2), OFFSET(INDEX(x_range, 1), 0, colIdx - 1, 1, 2))))))</f>
        <v>84.01688312</v>
      </c>
    </row>
    <row r="5">
      <c r="A5" s="11"/>
    </row>
    <row r="6">
      <c r="A6" s="12"/>
      <c r="B6" s="12"/>
    </row>
    <row r="7">
      <c r="A7" s="13"/>
      <c r="B7" s="13"/>
    </row>
    <row r="8">
      <c r="A8" s="14"/>
      <c r="B8" s="14"/>
    </row>
    <row r="9">
      <c r="A9" s="13"/>
      <c r="B9" s="13"/>
    </row>
    <row r="11">
      <c r="A11" s="11" t="s">
        <v>3339</v>
      </c>
      <c r="B11" s="15"/>
      <c r="C11" s="15"/>
      <c r="D11" s="15"/>
      <c r="E11" s="15"/>
      <c r="F11" s="15"/>
      <c r="G11" s="15"/>
      <c r="H11" s="15"/>
      <c r="I11" s="15"/>
      <c r="J11" s="15"/>
      <c r="K11" s="15"/>
      <c r="L11" s="15"/>
      <c r="M11" s="15"/>
      <c r="N11" s="15"/>
      <c r="O11" s="15"/>
      <c r="P11" s="15"/>
    </row>
    <row r="12">
      <c r="A12" s="16" t="s">
        <v>3340</v>
      </c>
      <c r="B12" s="16" t="s">
        <v>3341</v>
      </c>
      <c r="C12" s="15"/>
      <c r="D12" s="17"/>
      <c r="E12" s="15"/>
      <c r="F12" s="15"/>
      <c r="G12" s="15"/>
      <c r="H12" s="15"/>
      <c r="I12" s="15"/>
      <c r="J12" s="15"/>
      <c r="K12" s="15"/>
      <c r="L12" s="15"/>
      <c r="M12" s="15"/>
      <c r="N12" s="15"/>
      <c r="O12" s="15"/>
      <c r="P12" s="15"/>
    </row>
    <row r="13">
      <c r="A13" s="13" t="str">
        <f>IFERROR(__xludf.DUMMYFUNCTION("LET(db, FILTER(Clean_Archetype_DB!$A$2:$X$1258, Clean_Archetype_DB!$A$2:$A$1258 &lt;&gt; """"), db_names, CHOOSECOLS(db, 1), db_vectors, HSTACK(CHOOSECOLS(db, 3,4,5,6,7,8,9,10,12,13,14,15,16), CHOOSECOLS(db, 19, 20, 22, 23, 24)), db_headers, HSTACK(Clean_Archet"&amp;"ype_DB!$C$1:$J$1, Clean_Archetype_DB!$L$1:$P$1, Clean_Archetype_DB!$S$1:$T$1, Clean_Archetype_DB!$V$1:$X$1), aligned_A, ARRAYFORMULA(XLOOKUP(db_headers, Archetype_Finder!$Q$1:$AL$1, Archetype_Finder!$Q$2:$AL$2)), dot_products, MMULT(ARRAYFORMULA(N(db_vect"&amp;"ors)), TRANSPOSE(aligned_A)), mag_A, SQRT(SUMSQ(aligned_A)), mag_B, BYROW(db_vectors, LAMBDA(row, SQRT(SUMSQ(row)))), cos_sim, ARRAYFORMULA(dot_products / (mag_A * mag_B)), db_raw, FILTER(Archetype_DB!$A$2:$Z$1258, Archetype_DB!$A$2:$A$1258 &lt;&gt; """"), db_m"&amp;"in_raw, ARRAYFORMULA(IFERROR(VALUE(REGEXEXTRACT(TRIM(TO_TEXT(db_raw)), ""^(\d+)"")), 0)), db_min, CHOOSECOLS(db_min_raw, 24, 22, 23, 25, 5, 6, 9, 7, 12, 10, 11, 16, 17, 14, 15, 13, 20, 21), threshold_score, BYROW(db_min, LAMBDA(row, PRODUCT(MAP(aligned_A,"&amp;" row, LAMBDA(p, a, IF(N(a)=0, 1, MIN(1, p/a))))))), db_min_hgt, FILTER(Clean_Archetype_DB!$Y$2:$Y$1258, Clean_Archetype_DB!$A$2:$A$1258 &lt;&gt; """"), db_max_hgt, FILTER(Clean_Archetype_DB!$Z$2:$Z$1258, Clean_Archetype_DB!$A$2:$A$1258 &lt;&gt; """"), user_hgt, ROUND"&amp;"(Archetype_Finder!$AN$2), height_filter, ARRAYFORMULA((user_hgt &gt;= db_min_hgt) * (user_hgt &lt;= db_max_hgt)), hybrid_score, ARRAYFORMULA(((0.6 * cos_sim) + (0.4 * threshold_score)) * height_filter), SORTN(HSTACK(db_names, hybrid_score), 3, 0, 2, FALSE))"),"2-Way 3-Level Shot Creator")</f>
        <v>2-Way 3-Level Shot Creator</v>
      </c>
      <c r="B13" s="13">
        <f>IFERROR(__xludf.DUMMYFUNCTION("""COMPUTED_VALUE"""),0.2905151540536717)</f>
        <v>0.2905151541</v>
      </c>
      <c r="D13" s="15"/>
    </row>
    <row r="14">
      <c r="A14" s="14" t="str">
        <f>IFERROR(__xludf.DUMMYFUNCTION("""COMPUTED_VALUE"""),"2-Way 3PT Slasher")</f>
        <v>2-Way 3PT Slasher</v>
      </c>
      <c r="B14" s="14">
        <f>IFERROR(__xludf.DUMMYFUNCTION("""COMPUTED_VALUE"""),0.2905151540536717)</f>
        <v>0.2905151541</v>
      </c>
      <c r="D14" s="18"/>
    </row>
    <row r="15">
      <c r="A15" s="13" t="str">
        <f>IFERROR(__xludf.DUMMYFUNCTION("""COMPUTED_VALUE"""),"2-Way Mid-Range Slasher")</f>
        <v>2-Way Mid-Range Slasher</v>
      </c>
      <c r="B15" s="13">
        <f>IFERROR(__xludf.DUMMYFUNCTION("""COMPUTED_VALUE"""),0.2905151540536717)</f>
        <v>0.2905151541</v>
      </c>
      <c r="D15" s="19"/>
    </row>
    <row r="16">
      <c r="D16" s="18"/>
    </row>
    <row r="17">
      <c r="A17" s="11"/>
    </row>
    <row r="18">
      <c r="A18" s="20"/>
      <c r="B18" s="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75.13"/>
  </cols>
  <sheetData>
    <row r="2">
      <c r="B2" s="21" t="s">
        <v>3342</v>
      </c>
    </row>
    <row r="4">
      <c r="B4" s="22" t="s">
        <v>3343</v>
      </c>
    </row>
    <row r="5">
      <c r="B5" s="23" t="s">
        <v>3344</v>
      </c>
    </row>
    <row r="6">
      <c r="B6" s="24"/>
    </row>
    <row r="7">
      <c r="B7" s="22" t="s">
        <v>3345</v>
      </c>
    </row>
    <row r="8">
      <c r="B8" s="23" t="s">
        <v>3346</v>
      </c>
    </row>
    <row r="9">
      <c r="B9" s="25"/>
    </row>
    <row r="10">
      <c r="B10" s="22" t="s">
        <v>3347</v>
      </c>
    </row>
    <row r="11">
      <c r="B11" s="23" t="s">
        <v>3348</v>
      </c>
    </row>
    <row r="12">
      <c r="B12" s="25"/>
    </row>
    <row r="13">
      <c r="B13" s="22" t="s">
        <v>3349</v>
      </c>
    </row>
    <row r="14">
      <c r="B14" s="23" t="s">
        <v>3350</v>
      </c>
    </row>
    <row r="15">
      <c r="B15" s="25"/>
    </row>
    <row r="16">
      <c r="B16" s="22" t="s">
        <v>3351</v>
      </c>
    </row>
    <row r="17">
      <c r="B17" s="23" t="s">
        <v>3352</v>
      </c>
    </row>
    <row r="19">
      <c r="B19" s="26" t="s">
        <v>3353</v>
      </c>
    </row>
    <row r="20">
      <c r="B20" s="27" t="s">
        <v>3354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3312</v>
      </c>
      <c r="B1" s="1" t="s">
        <v>3313</v>
      </c>
      <c r="C1" s="1" t="s">
        <v>3314</v>
      </c>
      <c r="D1" s="1" t="s">
        <v>3315</v>
      </c>
      <c r="E1" s="1" t="s">
        <v>3316</v>
      </c>
      <c r="F1" s="1" t="s">
        <v>3317</v>
      </c>
      <c r="G1" s="1" t="s">
        <v>3318</v>
      </c>
      <c r="H1" s="1" t="s">
        <v>3319</v>
      </c>
      <c r="I1" s="1" t="s">
        <v>3320</v>
      </c>
    </row>
    <row r="2">
      <c r="A2" s="1" t="s">
        <v>3322</v>
      </c>
    </row>
    <row r="3">
      <c r="A3" s="1" t="s">
        <v>3323</v>
      </c>
      <c r="B3" s="1">
        <v>1.0</v>
      </c>
      <c r="C3" s="1">
        <v>10.0</v>
      </c>
      <c r="D3" s="1">
        <v>25.0</v>
      </c>
      <c r="E3" s="1">
        <v>50.0</v>
      </c>
      <c r="F3" s="1">
        <v>75.0</v>
      </c>
      <c r="G3" s="1">
        <v>90.0</v>
      </c>
      <c r="H3" s="1">
        <v>95.0</v>
      </c>
      <c r="I3" s="1">
        <v>99.0</v>
      </c>
    </row>
    <row r="4">
      <c r="A4" s="1" t="s">
        <v>23</v>
      </c>
      <c r="B4" s="1">
        <v>47.0</v>
      </c>
      <c r="C4" s="1">
        <v>65.0</v>
      </c>
      <c r="D4" s="1">
        <v>73.0</v>
      </c>
      <c r="E4" s="1">
        <v>83.0</v>
      </c>
      <c r="F4" s="1">
        <v>86.0</v>
      </c>
      <c r="G4" s="1">
        <v>91.0</v>
      </c>
      <c r="H4" s="1">
        <v>91.2</v>
      </c>
      <c r="I4" s="1">
        <v>95.0</v>
      </c>
    </row>
    <row r="5">
      <c r="A5" s="1" t="s">
        <v>3324</v>
      </c>
      <c r="B5" s="1">
        <v>1.0</v>
      </c>
      <c r="C5" s="1">
        <v>10.0</v>
      </c>
      <c r="D5" s="1">
        <v>25.0</v>
      </c>
      <c r="E5" s="1">
        <v>50.0</v>
      </c>
      <c r="F5" s="1">
        <v>75.0</v>
      </c>
      <c r="G5" s="1">
        <v>90.0</v>
      </c>
      <c r="H5" s="1">
        <v>95.0</v>
      </c>
      <c r="I5" s="1">
        <v>99.0</v>
      </c>
    </row>
    <row r="6">
      <c r="A6" s="1" t="s">
        <v>21</v>
      </c>
      <c r="B6" s="1">
        <v>50.0</v>
      </c>
      <c r="C6" s="1">
        <v>65.0</v>
      </c>
      <c r="D6" s="1">
        <v>71.0</v>
      </c>
      <c r="E6" s="1">
        <v>80.0</v>
      </c>
      <c r="F6" s="1">
        <v>84.0</v>
      </c>
      <c r="G6" s="1">
        <v>87.0</v>
      </c>
      <c r="H6" s="1">
        <v>90.0</v>
      </c>
      <c r="I6" s="1">
        <v>93.0</v>
      </c>
    </row>
    <row r="7">
      <c r="A7" s="1" t="s">
        <v>22</v>
      </c>
      <c r="B7" s="1">
        <v>38.0</v>
      </c>
      <c r="C7" s="1">
        <v>51.0</v>
      </c>
      <c r="D7" s="1">
        <v>61.0</v>
      </c>
      <c r="E7" s="1">
        <v>74.0</v>
      </c>
      <c r="F7" s="1">
        <v>80.0</v>
      </c>
      <c r="G7" s="1">
        <v>83.0</v>
      </c>
      <c r="H7" s="1">
        <v>85.0</v>
      </c>
      <c r="I7" s="1">
        <v>88.63</v>
      </c>
    </row>
    <row r="8">
      <c r="A8" s="1" t="s">
        <v>3325</v>
      </c>
      <c r="B8" s="1">
        <v>1.0</v>
      </c>
      <c r="C8" s="1">
        <v>10.0</v>
      </c>
      <c r="D8" s="1">
        <v>25.0</v>
      </c>
      <c r="E8" s="1">
        <v>50.0</v>
      </c>
      <c r="F8" s="1">
        <v>75.0</v>
      </c>
      <c r="G8" s="1">
        <v>90.0</v>
      </c>
      <c r="H8" s="1">
        <v>95.0</v>
      </c>
      <c r="I8" s="1">
        <v>99.0</v>
      </c>
    </row>
    <row r="9">
      <c r="A9" s="1" t="s">
        <v>24</v>
      </c>
      <c r="B9" s="1">
        <v>55.43</v>
      </c>
      <c r="C9" s="1">
        <v>70.0</v>
      </c>
      <c r="D9" s="1">
        <v>75.0</v>
      </c>
      <c r="E9" s="1">
        <v>80.0</v>
      </c>
      <c r="F9" s="1">
        <v>83.0</v>
      </c>
      <c r="G9" s="1">
        <v>86.0</v>
      </c>
      <c r="H9" s="1">
        <v>88.0</v>
      </c>
      <c r="I9" s="1">
        <v>90.57</v>
      </c>
    </row>
    <row r="10">
      <c r="A10" s="1" t="s">
        <v>3326</v>
      </c>
      <c r="B10" s="1">
        <v>1.0</v>
      </c>
      <c r="C10" s="1">
        <v>10.0</v>
      </c>
      <c r="D10" s="1">
        <v>25.0</v>
      </c>
      <c r="E10" s="1">
        <v>50.0</v>
      </c>
      <c r="F10" s="1">
        <v>75.0</v>
      </c>
      <c r="G10" s="1">
        <v>90.0</v>
      </c>
      <c r="H10" s="1">
        <v>95.0</v>
      </c>
      <c r="I10" s="1">
        <v>99.0</v>
      </c>
    </row>
    <row r="11">
      <c r="A11" s="1" t="s">
        <v>3327</v>
      </c>
      <c r="B11" s="1">
        <v>1.0</v>
      </c>
      <c r="C11" s="1">
        <v>10.0</v>
      </c>
      <c r="D11" s="1">
        <v>25.0</v>
      </c>
      <c r="E11" s="1">
        <v>50.0</v>
      </c>
      <c r="F11" s="1">
        <v>75.0</v>
      </c>
      <c r="G11" s="1">
        <v>90.0</v>
      </c>
      <c r="H11" s="1">
        <v>95.0</v>
      </c>
      <c r="I11" s="1">
        <v>99.0</v>
      </c>
    </row>
    <row r="12">
      <c r="A12" s="1" t="s">
        <v>4</v>
      </c>
      <c r="B12" s="1">
        <v>64.35</v>
      </c>
      <c r="C12" s="1">
        <v>71.0</v>
      </c>
      <c r="D12" s="1">
        <v>75.0</v>
      </c>
      <c r="E12" s="1">
        <v>80.0</v>
      </c>
      <c r="F12" s="1">
        <v>84.0</v>
      </c>
      <c r="G12" s="1">
        <v>89.0</v>
      </c>
      <c r="H12" s="1">
        <v>92.0</v>
      </c>
      <c r="I12" s="1">
        <v>95.65</v>
      </c>
    </row>
    <row r="13">
      <c r="A13" s="1" t="s">
        <v>5</v>
      </c>
      <c r="B13" s="1">
        <v>50.36</v>
      </c>
      <c r="C13" s="1">
        <v>60.0</v>
      </c>
      <c r="D13" s="1">
        <v>70.0</v>
      </c>
      <c r="E13" s="1">
        <v>75.0</v>
      </c>
      <c r="F13" s="1">
        <v>81.0</v>
      </c>
      <c r="G13" s="1">
        <v>88.0</v>
      </c>
      <c r="H13" s="1">
        <v>90.0</v>
      </c>
      <c r="I13" s="1">
        <v>94.64</v>
      </c>
    </row>
    <row r="14">
      <c r="A14" s="1" t="s">
        <v>8</v>
      </c>
      <c r="B14" s="1">
        <v>30.0</v>
      </c>
      <c r="C14" s="1">
        <v>43.3</v>
      </c>
      <c r="D14" s="1">
        <v>50.0</v>
      </c>
      <c r="E14" s="1">
        <v>60.0</v>
      </c>
      <c r="F14" s="1">
        <v>79.0</v>
      </c>
      <c r="G14" s="1">
        <v>87.0</v>
      </c>
      <c r="H14" s="1">
        <v>88.0</v>
      </c>
      <c r="I14" s="1">
        <v>93.0</v>
      </c>
    </row>
    <row r="15">
      <c r="A15" s="1" t="s">
        <v>3328</v>
      </c>
      <c r="B15" s="1">
        <v>1.0</v>
      </c>
      <c r="C15" s="1">
        <v>10.0</v>
      </c>
      <c r="D15" s="1">
        <v>25.0</v>
      </c>
      <c r="E15" s="1">
        <v>50.0</v>
      </c>
      <c r="F15" s="1">
        <v>75.0</v>
      </c>
      <c r="G15" s="1">
        <v>90.0</v>
      </c>
      <c r="H15" s="1">
        <v>95.0</v>
      </c>
      <c r="I15" s="1">
        <v>99.0</v>
      </c>
    </row>
    <row r="16">
      <c r="A16" s="1" t="s">
        <v>6</v>
      </c>
      <c r="B16" s="1">
        <v>30.0</v>
      </c>
      <c r="C16" s="1">
        <v>65.0</v>
      </c>
      <c r="D16" s="1">
        <v>74.0</v>
      </c>
      <c r="E16" s="1">
        <v>83.0</v>
      </c>
      <c r="F16" s="1">
        <v>89.0</v>
      </c>
      <c r="G16" s="1">
        <v>93.0</v>
      </c>
      <c r="H16" s="1">
        <v>94.0</v>
      </c>
      <c r="I16" s="1">
        <v>96.51</v>
      </c>
    </row>
    <row r="17">
      <c r="A17" s="1" t="s">
        <v>7</v>
      </c>
      <c r="B17" s="1">
        <v>25.0</v>
      </c>
      <c r="C17" s="1">
        <v>39.0</v>
      </c>
      <c r="D17" s="1">
        <v>51.0</v>
      </c>
      <c r="E17" s="1">
        <v>72.0</v>
      </c>
      <c r="F17" s="1">
        <v>85.0</v>
      </c>
      <c r="G17" s="1">
        <v>90.0</v>
      </c>
      <c r="H17" s="1">
        <v>90.0</v>
      </c>
      <c r="I17" s="1">
        <v>95.0</v>
      </c>
    </row>
    <row r="18">
      <c r="A18" s="1" t="s">
        <v>3329</v>
      </c>
      <c r="B18" s="1">
        <v>1.0</v>
      </c>
      <c r="C18" s="1">
        <v>10.0</v>
      </c>
      <c r="D18" s="1">
        <v>25.0</v>
      </c>
      <c r="E18" s="1">
        <v>50.0</v>
      </c>
      <c r="F18" s="1">
        <v>75.0</v>
      </c>
      <c r="G18" s="1">
        <v>90.0</v>
      </c>
      <c r="H18" s="1">
        <v>95.0</v>
      </c>
      <c r="I18" s="1">
        <v>99.0</v>
      </c>
    </row>
    <row r="19">
      <c r="A19" s="1" t="s">
        <v>11</v>
      </c>
      <c r="B19" s="1">
        <v>39.0</v>
      </c>
      <c r="C19" s="1">
        <v>56.0</v>
      </c>
      <c r="D19" s="1">
        <v>61.0</v>
      </c>
      <c r="E19" s="1">
        <v>70.0</v>
      </c>
      <c r="F19" s="1">
        <v>78.0</v>
      </c>
      <c r="G19" s="1">
        <v>85.0</v>
      </c>
      <c r="H19" s="1">
        <v>91.0</v>
      </c>
      <c r="I19" s="1">
        <v>98.85</v>
      </c>
    </row>
    <row r="20">
      <c r="A20" s="1" t="s">
        <v>3330</v>
      </c>
      <c r="B20" s="1">
        <v>1.0</v>
      </c>
      <c r="C20" s="1">
        <v>10.0</v>
      </c>
      <c r="D20" s="1">
        <v>25.0</v>
      </c>
      <c r="E20" s="1">
        <v>50.0</v>
      </c>
      <c r="F20" s="1">
        <v>75.0</v>
      </c>
      <c r="G20" s="1">
        <v>90.0</v>
      </c>
      <c r="H20" s="1">
        <v>95.0</v>
      </c>
      <c r="I20" s="1">
        <v>99.0</v>
      </c>
    </row>
    <row r="21">
      <c r="A21" s="1" t="s">
        <v>9</v>
      </c>
      <c r="B21" s="1">
        <v>38.0</v>
      </c>
      <c r="C21" s="1">
        <v>70.0</v>
      </c>
      <c r="D21" s="1">
        <v>74.0</v>
      </c>
      <c r="E21" s="1">
        <v>80.0</v>
      </c>
      <c r="F21" s="1">
        <v>86.0</v>
      </c>
      <c r="G21" s="1">
        <v>90.0</v>
      </c>
      <c r="H21" s="1">
        <v>92.0</v>
      </c>
      <c r="I21" s="1">
        <v>95.52</v>
      </c>
    </row>
    <row r="22">
      <c r="A22" s="1" t="s">
        <v>3331</v>
      </c>
      <c r="B22" s="1">
        <v>1.0</v>
      </c>
      <c r="C22" s="1">
        <v>10.0</v>
      </c>
      <c r="D22" s="1">
        <v>25.0</v>
      </c>
      <c r="E22" s="1">
        <v>50.0</v>
      </c>
      <c r="F22" s="1">
        <v>75.0</v>
      </c>
      <c r="G22" s="1">
        <v>90.0</v>
      </c>
      <c r="H22" s="1">
        <v>95.0</v>
      </c>
      <c r="I22" s="1">
        <v>99.0</v>
      </c>
    </row>
    <row r="23">
      <c r="A23" s="1" t="s">
        <v>10</v>
      </c>
      <c r="B23" s="1">
        <v>25.0</v>
      </c>
      <c r="C23" s="1">
        <v>70.2</v>
      </c>
      <c r="D23" s="1">
        <v>80.0</v>
      </c>
      <c r="E23" s="1">
        <v>82.0</v>
      </c>
      <c r="F23" s="1">
        <v>85.0</v>
      </c>
      <c r="G23" s="1">
        <v>90.0</v>
      </c>
      <c r="H23" s="1">
        <v>90.0</v>
      </c>
      <c r="I23" s="1">
        <v>95.38</v>
      </c>
    </row>
    <row r="24">
      <c r="A24" s="1" t="s">
        <v>3321</v>
      </c>
      <c r="B24" s="1">
        <v>25.0</v>
      </c>
      <c r="C24" s="1">
        <v>60.0</v>
      </c>
      <c r="D24" s="1">
        <v>70.0</v>
      </c>
      <c r="E24" s="1">
        <v>76.0</v>
      </c>
      <c r="F24" s="1">
        <v>85.0</v>
      </c>
      <c r="G24" s="1">
        <v>87.0</v>
      </c>
      <c r="H24" s="1">
        <v>91.0</v>
      </c>
      <c r="I24" s="1">
        <v>95.0</v>
      </c>
    </row>
    <row r="25">
      <c r="A25" s="1" t="s">
        <v>3332</v>
      </c>
      <c r="B25" s="1">
        <v>1.0</v>
      </c>
      <c r="C25" s="1">
        <v>10.0</v>
      </c>
      <c r="D25" s="1">
        <v>25.0</v>
      </c>
      <c r="E25" s="1">
        <v>50.0</v>
      </c>
      <c r="F25" s="1">
        <v>75.0</v>
      </c>
      <c r="G25" s="1">
        <v>90.0</v>
      </c>
      <c r="H25" s="1">
        <v>95.0</v>
      </c>
      <c r="I25" s="1">
        <v>99.0</v>
      </c>
    </row>
    <row r="26">
      <c r="A26" s="1" t="s">
        <v>15</v>
      </c>
      <c r="B26" s="1">
        <v>34.08</v>
      </c>
      <c r="C26" s="1">
        <v>60.0</v>
      </c>
      <c r="D26" s="1">
        <v>70.0</v>
      </c>
      <c r="E26" s="1">
        <v>80.0</v>
      </c>
      <c r="F26" s="1">
        <v>84.0</v>
      </c>
      <c r="G26" s="1">
        <v>88.0</v>
      </c>
      <c r="H26" s="1">
        <v>90.0</v>
      </c>
      <c r="I26" s="1">
        <v>92.92</v>
      </c>
    </row>
    <row r="27">
      <c r="A27" s="1" t="s">
        <v>16</v>
      </c>
      <c r="B27" s="1">
        <v>35.0</v>
      </c>
      <c r="C27" s="1">
        <v>42.7</v>
      </c>
      <c r="D27" s="1">
        <v>61.0</v>
      </c>
      <c r="E27" s="1">
        <v>74.0</v>
      </c>
      <c r="F27" s="1">
        <v>82.0</v>
      </c>
      <c r="G27" s="1">
        <v>87.0</v>
      </c>
      <c r="H27" s="1">
        <v>92.0</v>
      </c>
      <c r="I27" s="1">
        <v>94.0</v>
      </c>
    </row>
    <row r="28">
      <c r="A28" s="1" t="s">
        <v>17</v>
      </c>
      <c r="B28" s="1">
        <v>33.0</v>
      </c>
      <c r="C28" s="1">
        <v>40.0</v>
      </c>
      <c r="D28" s="1">
        <v>48.0</v>
      </c>
      <c r="E28" s="1">
        <v>60.0</v>
      </c>
      <c r="F28" s="1">
        <v>75.0</v>
      </c>
      <c r="G28" s="1">
        <v>85.0</v>
      </c>
      <c r="H28" s="1">
        <v>89.0</v>
      </c>
      <c r="I28" s="1">
        <v>94.0</v>
      </c>
    </row>
    <row r="29">
      <c r="A29" s="1" t="s">
        <v>18</v>
      </c>
      <c r="B29" s="1">
        <v>30.0</v>
      </c>
      <c r="C29" s="1">
        <v>50.0</v>
      </c>
      <c r="D29" s="1">
        <v>74.0</v>
      </c>
      <c r="E29" s="1">
        <v>80.0</v>
      </c>
      <c r="F29" s="1">
        <v>86.25</v>
      </c>
      <c r="G29" s="1">
        <v>93.0</v>
      </c>
      <c r="H29" s="1">
        <v>93.0</v>
      </c>
      <c r="I29" s="1">
        <v>95.0</v>
      </c>
    </row>
    <row r="30">
      <c r="A30" s="1" t="s">
        <v>3333</v>
      </c>
      <c r="B30" s="1">
        <v>1.0</v>
      </c>
      <c r="C30" s="1">
        <v>10.0</v>
      </c>
      <c r="D30" s="1">
        <v>25.0</v>
      </c>
      <c r="E30" s="1">
        <v>50.0</v>
      </c>
      <c r="F30" s="1">
        <v>75.0</v>
      </c>
      <c r="G30" s="1">
        <v>90.0</v>
      </c>
      <c r="H30" s="1">
        <v>95.0</v>
      </c>
      <c r="I30" s="1">
        <v>99.0</v>
      </c>
    </row>
    <row r="31">
      <c r="A31" s="1" t="s">
        <v>13</v>
      </c>
      <c r="B31" s="1">
        <v>38.9</v>
      </c>
      <c r="C31" s="1">
        <v>48.0</v>
      </c>
      <c r="D31" s="1">
        <v>60.0</v>
      </c>
      <c r="E31" s="1">
        <v>75.0</v>
      </c>
      <c r="F31" s="1">
        <v>81.0</v>
      </c>
      <c r="G31" s="1">
        <v>86.0</v>
      </c>
      <c r="H31" s="1">
        <v>86.0</v>
      </c>
      <c r="I31" s="1">
        <v>92.55</v>
      </c>
    </row>
    <row r="32">
      <c r="A32" s="1" t="s">
        <v>14</v>
      </c>
      <c r="B32" s="1">
        <v>25.0</v>
      </c>
      <c r="C32" s="1">
        <v>41.0</v>
      </c>
      <c r="D32" s="1">
        <v>55.0</v>
      </c>
      <c r="E32" s="1">
        <v>68.0</v>
      </c>
      <c r="F32" s="1">
        <v>75.0</v>
      </c>
      <c r="G32" s="1">
        <v>80.0</v>
      </c>
      <c r="H32" s="1">
        <v>84.9</v>
      </c>
      <c r="I32" s="1">
        <v>88.58</v>
      </c>
    </row>
    <row r="33">
      <c r="A33" s="1" t="s">
        <v>3334</v>
      </c>
      <c r="B33" s="1">
        <v>1.0</v>
      </c>
      <c r="C33" s="1">
        <v>10.0</v>
      </c>
      <c r="D33" s="1">
        <v>25.0</v>
      </c>
      <c r="E33" s="1">
        <v>50.0</v>
      </c>
      <c r="F33" s="1">
        <v>75.0</v>
      </c>
      <c r="G33" s="1">
        <v>90.0</v>
      </c>
      <c r="H33" s="1">
        <v>95.0</v>
      </c>
      <c r="I33" s="1">
        <v>99.0</v>
      </c>
    </row>
    <row r="34">
      <c r="A34" s="1" t="s">
        <v>12</v>
      </c>
      <c r="B34" s="1">
        <v>25.0</v>
      </c>
      <c r="C34" s="1">
        <v>60.0</v>
      </c>
      <c r="D34" s="1">
        <v>70.0</v>
      </c>
      <c r="E34" s="1">
        <v>76.0</v>
      </c>
      <c r="F34" s="1">
        <v>85.0</v>
      </c>
      <c r="G34" s="1">
        <v>87.0</v>
      </c>
      <c r="H34" s="1">
        <v>91.0</v>
      </c>
      <c r="I34" s="1">
        <v>95.0</v>
      </c>
    </row>
    <row r="35">
      <c r="A35" s="1" t="s">
        <v>3335</v>
      </c>
      <c r="B35" s="1">
        <v>1.0</v>
      </c>
      <c r="C35" s="1">
        <v>10.0</v>
      </c>
      <c r="D35" s="1">
        <v>25.0</v>
      </c>
      <c r="E35" s="1">
        <v>50.0</v>
      </c>
      <c r="F35" s="1">
        <v>75.0</v>
      </c>
      <c r="G35" s="1">
        <v>90.0</v>
      </c>
      <c r="H35" s="1">
        <v>95.0</v>
      </c>
      <c r="I35" s="1">
        <v>99.0</v>
      </c>
    </row>
    <row r="36">
      <c r="A36" s="1" t="s">
        <v>19</v>
      </c>
      <c r="B36" s="1">
        <v>25.0</v>
      </c>
      <c r="C36" s="1">
        <v>39.0</v>
      </c>
      <c r="D36" s="1">
        <v>59.0</v>
      </c>
      <c r="E36" s="1">
        <v>74.0</v>
      </c>
      <c r="F36" s="1">
        <v>84.0</v>
      </c>
      <c r="G36" s="1">
        <v>92.0</v>
      </c>
      <c r="H36" s="1">
        <v>94.0</v>
      </c>
      <c r="I36" s="1">
        <v>97.0</v>
      </c>
    </row>
    <row r="37">
      <c r="A37" s="1" t="s">
        <v>20</v>
      </c>
      <c r="B37" s="1">
        <v>39.16</v>
      </c>
      <c r="C37" s="1">
        <v>55.0</v>
      </c>
      <c r="D37" s="1">
        <v>70.0</v>
      </c>
      <c r="E37" s="1">
        <v>81.0</v>
      </c>
      <c r="F37" s="1">
        <v>90.0</v>
      </c>
      <c r="G37" s="1">
        <v>94.0</v>
      </c>
      <c r="H37" s="1">
        <v>95.0</v>
      </c>
      <c r="I37" s="1">
        <v>97.0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6" width="10.75"/>
  </cols>
  <sheetData>
    <row r="1">
      <c r="A1" s="28" t="s">
        <v>3340</v>
      </c>
      <c r="B1" s="28" t="s">
        <v>3322</v>
      </c>
      <c r="C1" s="28" t="s">
        <v>3323</v>
      </c>
      <c r="D1" s="28" t="s">
        <v>3324</v>
      </c>
      <c r="E1" s="28" t="s">
        <v>3325</v>
      </c>
      <c r="F1" s="28" t="s">
        <v>3326</v>
      </c>
      <c r="G1" s="28" t="s">
        <v>3327</v>
      </c>
      <c r="H1" s="28" t="s">
        <v>3328</v>
      </c>
      <c r="I1" s="28" t="s">
        <v>3329</v>
      </c>
      <c r="J1" s="28" t="s">
        <v>3330</v>
      </c>
      <c r="K1" s="28" t="s">
        <v>3331</v>
      </c>
      <c r="L1" s="28" t="s">
        <v>3321</v>
      </c>
      <c r="M1" s="28" t="s">
        <v>3332</v>
      </c>
      <c r="N1" s="28" t="s">
        <v>3333</v>
      </c>
      <c r="O1" s="28" t="s">
        <v>3334</v>
      </c>
      <c r="P1" s="28" t="s">
        <v>3335</v>
      </c>
    </row>
    <row r="2">
      <c r="A2" s="29"/>
      <c r="B2" s="29"/>
      <c r="C2" s="29"/>
      <c r="D2" s="29"/>
      <c r="E2" s="29"/>
      <c r="F2" s="29"/>
      <c r="G2" s="29"/>
      <c r="H2" s="29"/>
      <c r="I2" s="29"/>
      <c r="J2" s="29"/>
      <c r="K2" s="29"/>
      <c r="L2" s="29"/>
      <c r="M2" s="29"/>
      <c r="N2" s="29"/>
      <c r="O2" s="29"/>
      <c r="P2" s="29"/>
    </row>
    <row r="3">
      <c r="A3" s="29"/>
      <c r="B3" s="29"/>
      <c r="C3" s="29"/>
      <c r="D3" s="29"/>
      <c r="E3" s="29"/>
      <c r="F3" s="29"/>
      <c r="G3" s="29"/>
      <c r="H3" s="29"/>
      <c r="I3" s="29"/>
      <c r="J3" s="29"/>
      <c r="K3" s="29"/>
      <c r="L3" s="29"/>
      <c r="M3" s="29"/>
      <c r="N3" s="29"/>
      <c r="O3" s="29"/>
      <c r="P3" s="29"/>
    </row>
    <row r="4">
      <c r="A4" s="29"/>
      <c r="B4" s="29"/>
      <c r="C4" s="29"/>
      <c r="D4" s="29"/>
      <c r="E4" s="29"/>
      <c r="F4" s="29"/>
      <c r="G4" s="29"/>
      <c r="H4" s="29"/>
      <c r="I4" s="29"/>
      <c r="J4" s="29"/>
      <c r="K4" s="29"/>
      <c r="L4" s="29"/>
      <c r="M4" s="29"/>
      <c r="N4" s="29"/>
      <c r="O4" s="29"/>
      <c r="P4" s="29"/>
    </row>
    <row r="5">
      <c r="A5" s="29"/>
      <c r="B5" s="29"/>
      <c r="C5" s="29"/>
      <c r="D5" s="29"/>
      <c r="E5" s="29"/>
      <c r="F5" s="29"/>
      <c r="G5" s="29"/>
      <c r="H5" s="29"/>
      <c r="I5" s="29"/>
      <c r="J5" s="29"/>
      <c r="K5" s="29"/>
      <c r="L5" s="29"/>
      <c r="M5" s="29"/>
      <c r="N5" s="29"/>
      <c r="O5" s="29"/>
      <c r="P5" s="29"/>
    </row>
    <row r="6">
      <c r="A6" s="29"/>
      <c r="B6" s="29"/>
      <c r="C6" s="29"/>
      <c r="D6" s="29"/>
      <c r="E6" s="29"/>
      <c r="F6" s="29"/>
      <c r="G6" s="29"/>
      <c r="H6" s="29"/>
      <c r="I6" s="29"/>
      <c r="J6" s="29"/>
      <c r="K6" s="29"/>
      <c r="L6" s="29"/>
      <c r="M6" s="29"/>
      <c r="N6" s="29"/>
      <c r="O6" s="29"/>
      <c r="P6" s="29"/>
    </row>
    <row r="7">
      <c r="A7" s="29"/>
      <c r="B7" s="29"/>
      <c r="C7" s="29"/>
      <c r="D7" s="29"/>
      <c r="E7" s="29"/>
      <c r="F7" s="29"/>
      <c r="G7" s="29"/>
      <c r="H7" s="29"/>
      <c r="I7" s="29"/>
      <c r="J7" s="29"/>
      <c r="K7" s="29"/>
      <c r="L7" s="29"/>
      <c r="M7" s="29"/>
      <c r="N7" s="29"/>
      <c r="O7" s="29"/>
      <c r="P7" s="29"/>
    </row>
    <row r="8">
      <c r="A8" s="29"/>
      <c r="B8" s="29"/>
      <c r="C8" s="29"/>
      <c r="D8" s="29"/>
      <c r="E8" s="29"/>
      <c r="F8" s="29"/>
      <c r="G8" s="29"/>
      <c r="H8" s="29"/>
      <c r="I8" s="29"/>
      <c r="J8" s="29"/>
      <c r="K8" s="29"/>
      <c r="L8" s="29"/>
      <c r="M8" s="29"/>
      <c r="N8" s="29"/>
      <c r="O8" s="29"/>
      <c r="P8" s="29"/>
    </row>
    <row r="9">
      <c r="A9" s="29"/>
      <c r="B9" s="29"/>
      <c r="C9" s="29"/>
      <c r="D9" s="29"/>
      <c r="E9" s="29"/>
      <c r="F9" s="29"/>
      <c r="G9" s="29"/>
      <c r="H9" s="29"/>
      <c r="I9" s="29"/>
      <c r="J9" s="29"/>
      <c r="K9" s="29"/>
      <c r="L9" s="29"/>
      <c r="M9" s="29"/>
      <c r="N9" s="29"/>
      <c r="O9" s="29"/>
      <c r="P9" s="29"/>
    </row>
    <row r="10">
      <c r="A10" s="29"/>
      <c r="B10" s="29"/>
      <c r="C10" s="29"/>
      <c r="D10" s="29"/>
      <c r="E10" s="29"/>
      <c r="F10" s="29"/>
      <c r="G10" s="29"/>
      <c r="H10" s="29"/>
      <c r="I10" s="29"/>
      <c r="J10" s="29"/>
      <c r="K10" s="29"/>
      <c r="L10" s="29"/>
      <c r="M10" s="29"/>
      <c r="N10" s="29"/>
      <c r="O10" s="29"/>
      <c r="P10" s="29"/>
    </row>
    <row r="11">
      <c r="A11" s="29"/>
      <c r="B11" s="29"/>
      <c r="C11" s="29"/>
      <c r="D11" s="29"/>
      <c r="E11" s="29"/>
      <c r="F11" s="29"/>
      <c r="G11" s="29"/>
      <c r="H11" s="29"/>
      <c r="I11" s="29"/>
      <c r="J11" s="29"/>
      <c r="K11" s="29"/>
      <c r="L11" s="29"/>
      <c r="M11" s="29"/>
      <c r="N11" s="29"/>
      <c r="O11" s="29"/>
      <c r="P11" s="29"/>
    </row>
    <row r="12">
      <c r="A12" s="29"/>
      <c r="B12" s="29"/>
      <c r="C12" s="29"/>
      <c r="D12" s="29"/>
      <c r="E12" s="29"/>
      <c r="F12" s="29"/>
      <c r="G12" s="29"/>
      <c r="H12" s="29"/>
      <c r="I12" s="29"/>
      <c r="J12" s="29"/>
      <c r="K12" s="29"/>
      <c r="L12" s="29"/>
      <c r="M12" s="29"/>
      <c r="N12" s="29"/>
      <c r="O12" s="29"/>
      <c r="P12" s="29"/>
    </row>
    <row r="13">
      <c r="A13" s="29"/>
      <c r="B13" s="29"/>
      <c r="C13" s="29"/>
      <c r="D13" s="29"/>
      <c r="E13" s="29"/>
      <c r="F13" s="29"/>
      <c r="G13" s="29"/>
      <c r="H13" s="29"/>
      <c r="I13" s="29"/>
      <c r="J13" s="29"/>
      <c r="K13" s="29"/>
      <c r="L13" s="29"/>
      <c r="M13" s="29"/>
      <c r="N13" s="29"/>
      <c r="O13" s="29"/>
      <c r="P13" s="29"/>
    </row>
    <row r="14">
      <c r="A14" s="29"/>
      <c r="B14" s="29"/>
      <c r="C14" s="29"/>
      <c r="D14" s="29"/>
      <c r="E14" s="29"/>
      <c r="F14" s="29"/>
      <c r="G14" s="29"/>
      <c r="H14" s="29"/>
      <c r="I14" s="29"/>
      <c r="J14" s="29"/>
      <c r="K14" s="29"/>
      <c r="L14" s="29"/>
      <c r="M14" s="29"/>
      <c r="N14" s="29"/>
      <c r="O14" s="29"/>
      <c r="P14" s="29"/>
    </row>
    <row r="15">
      <c r="A15" s="29"/>
      <c r="B15" s="29"/>
      <c r="C15" s="29"/>
      <c r="D15" s="29"/>
      <c r="E15" s="29"/>
      <c r="F15" s="29"/>
      <c r="G15" s="29"/>
      <c r="H15" s="29"/>
      <c r="I15" s="29"/>
      <c r="J15" s="29"/>
      <c r="K15" s="29"/>
      <c r="L15" s="29"/>
      <c r="M15" s="29"/>
      <c r="N15" s="29"/>
      <c r="O15" s="29"/>
      <c r="P15" s="29"/>
    </row>
    <row r="16">
      <c r="A16" s="29"/>
      <c r="B16" s="29"/>
      <c r="C16" s="29"/>
      <c r="D16" s="29"/>
      <c r="E16" s="29"/>
      <c r="F16" s="29"/>
      <c r="G16" s="29"/>
      <c r="H16" s="29"/>
      <c r="I16" s="29"/>
      <c r="J16" s="29"/>
      <c r="K16" s="29"/>
      <c r="L16" s="29"/>
      <c r="M16" s="29"/>
      <c r="N16" s="29"/>
      <c r="O16" s="29"/>
      <c r="P16" s="29"/>
    </row>
    <row r="17">
      <c r="A17" s="29"/>
      <c r="B17" s="29"/>
      <c r="C17" s="29"/>
      <c r="D17" s="29"/>
      <c r="E17" s="29"/>
      <c r="F17" s="29"/>
      <c r="G17" s="29"/>
      <c r="H17" s="29"/>
      <c r="I17" s="29"/>
      <c r="J17" s="29"/>
      <c r="K17" s="29"/>
      <c r="L17" s="29"/>
      <c r="M17" s="29"/>
      <c r="N17" s="29"/>
      <c r="O17" s="29"/>
      <c r="P17" s="29"/>
    </row>
    <row r="18">
      <c r="A18" s="29"/>
      <c r="B18" s="29"/>
      <c r="C18" s="29"/>
      <c r="D18" s="29"/>
      <c r="E18" s="29"/>
      <c r="F18" s="29"/>
      <c r="G18" s="29"/>
      <c r="H18" s="29"/>
      <c r="I18" s="29"/>
      <c r="J18" s="29"/>
      <c r="K18" s="29"/>
      <c r="L18" s="29"/>
      <c r="M18" s="29"/>
      <c r="N18" s="29"/>
      <c r="O18" s="29"/>
      <c r="P18" s="29"/>
    </row>
    <row r="19">
      <c r="A19" s="29"/>
      <c r="B19" s="29"/>
      <c r="C19" s="29"/>
      <c r="D19" s="29"/>
      <c r="E19" s="29"/>
      <c r="F19" s="29"/>
      <c r="G19" s="29"/>
      <c r="H19" s="29"/>
      <c r="I19" s="29"/>
      <c r="J19" s="29"/>
      <c r="K19" s="29"/>
      <c r="L19" s="29"/>
      <c r="M19" s="29"/>
      <c r="N19" s="29"/>
      <c r="O19" s="29"/>
      <c r="P19" s="29"/>
    </row>
    <row r="20">
      <c r="A20" s="29"/>
      <c r="B20" s="29"/>
      <c r="C20" s="29"/>
      <c r="D20" s="29"/>
      <c r="E20" s="29"/>
      <c r="F20" s="29"/>
      <c r="G20" s="29"/>
      <c r="H20" s="29"/>
      <c r="I20" s="29"/>
      <c r="J20" s="29"/>
      <c r="K20" s="29"/>
      <c r="L20" s="29"/>
      <c r="M20" s="29"/>
      <c r="N20" s="29"/>
      <c r="O20" s="29"/>
      <c r="P20" s="29"/>
    </row>
    <row r="21">
      <c r="A21" s="29"/>
      <c r="B21" s="29"/>
      <c r="C21" s="29"/>
      <c r="D21" s="29"/>
      <c r="E21" s="29"/>
      <c r="F21" s="29"/>
      <c r="G21" s="29"/>
      <c r="H21" s="29"/>
      <c r="I21" s="29"/>
      <c r="J21" s="29"/>
      <c r="K21" s="29"/>
      <c r="L21" s="29"/>
      <c r="M21" s="29"/>
      <c r="N21" s="29"/>
      <c r="O21" s="29"/>
      <c r="P21" s="29"/>
    </row>
    <row r="22">
      <c r="A22" s="29"/>
      <c r="B22" s="29"/>
      <c r="C22" s="29"/>
      <c r="D22" s="29"/>
      <c r="E22" s="29"/>
      <c r="F22" s="29"/>
      <c r="G22" s="29"/>
      <c r="H22" s="29"/>
      <c r="I22" s="29"/>
      <c r="J22" s="29"/>
      <c r="K22" s="29"/>
      <c r="L22" s="29"/>
      <c r="M22" s="29"/>
      <c r="N22" s="29"/>
      <c r="O22" s="29"/>
      <c r="P22" s="29"/>
    </row>
    <row r="23">
      <c r="A23" s="29"/>
      <c r="B23" s="29"/>
      <c r="C23" s="29"/>
      <c r="D23" s="29"/>
      <c r="E23" s="29"/>
      <c r="F23" s="29"/>
      <c r="G23" s="29"/>
      <c r="H23" s="29"/>
      <c r="I23" s="29"/>
      <c r="J23" s="29"/>
      <c r="K23" s="29"/>
      <c r="L23" s="29"/>
      <c r="M23" s="29"/>
      <c r="N23" s="29"/>
      <c r="O23" s="29"/>
      <c r="P23" s="29"/>
    </row>
    <row r="24">
      <c r="A24" s="29"/>
      <c r="B24" s="29"/>
      <c r="C24" s="29"/>
      <c r="D24" s="29"/>
      <c r="E24" s="29"/>
      <c r="F24" s="29"/>
      <c r="G24" s="29"/>
      <c r="H24" s="29"/>
      <c r="I24" s="29"/>
      <c r="J24" s="29"/>
      <c r="K24" s="29"/>
      <c r="L24" s="29"/>
      <c r="M24" s="29"/>
      <c r="N24" s="29"/>
      <c r="O24" s="29"/>
      <c r="P24" s="29"/>
    </row>
    <row r="25">
      <c r="A25" s="29"/>
      <c r="B25" s="29"/>
      <c r="C25" s="29"/>
      <c r="D25" s="29"/>
      <c r="E25" s="29"/>
      <c r="F25" s="29"/>
      <c r="G25" s="29"/>
      <c r="H25" s="29"/>
      <c r="I25" s="29"/>
      <c r="J25" s="29"/>
      <c r="K25" s="29"/>
      <c r="L25" s="29"/>
      <c r="M25" s="29"/>
      <c r="N25" s="29"/>
      <c r="O25" s="29"/>
      <c r="P25" s="29"/>
    </row>
    <row r="26">
      <c r="A26" s="29"/>
      <c r="B26" s="29"/>
      <c r="C26" s="29"/>
      <c r="D26" s="29"/>
      <c r="E26" s="29"/>
      <c r="F26" s="29"/>
      <c r="G26" s="29"/>
      <c r="H26" s="29"/>
      <c r="I26" s="29"/>
      <c r="J26" s="29"/>
      <c r="K26" s="29"/>
      <c r="L26" s="29"/>
      <c r="M26" s="29"/>
      <c r="N26" s="29"/>
      <c r="O26" s="29"/>
      <c r="P26" s="29"/>
    </row>
    <row r="27">
      <c r="A27" s="29"/>
      <c r="B27" s="29"/>
      <c r="C27" s="29"/>
      <c r="D27" s="29"/>
      <c r="E27" s="29"/>
      <c r="F27" s="29"/>
      <c r="G27" s="29"/>
      <c r="H27" s="29"/>
      <c r="I27" s="29"/>
      <c r="J27" s="29"/>
      <c r="K27" s="29"/>
      <c r="L27" s="29"/>
      <c r="M27" s="29"/>
      <c r="N27" s="29"/>
      <c r="O27" s="29"/>
      <c r="P27" s="29"/>
    </row>
    <row r="28">
      <c r="A28" s="29"/>
      <c r="B28" s="29"/>
      <c r="C28" s="29"/>
      <c r="D28" s="29"/>
      <c r="E28" s="29"/>
      <c r="F28" s="29"/>
      <c r="G28" s="29"/>
      <c r="H28" s="29"/>
      <c r="I28" s="29"/>
      <c r="J28" s="29"/>
      <c r="K28" s="29"/>
      <c r="L28" s="29"/>
      <c r="M28" s="29"/>
      <c r="N28" s="29"/>
      <c r="O28" s="29"/>
      <c r="P28" s="29"/>
    </row>
    <row r="29">
      <c r="A29" s="29"/>
      <c r="B29" s="29"/>
      <c r="C29" s="29"/>
      <c r="D29" s="29"/>
      <c r="E29" s="29"/>
      <c r="F29" s="29"/>
      <c r="G29" s="29"/>
      <c r="H29" s="29"/>
      <c r="I29" s="29"/>
      <c r="J29" s="29"/>
      <c r="K29" s="29"/>
      <c r="L29" s="29"/>
      <c r="M29" s="29"/>
      <c r="N29" s="29"/>
      <c r="O29" s="29"/>
      <c r="P29" s="29"/>
    </row>
    <row r="30">
      <c r="A30" s="29"/>
      <c r="B30" s="29"/>
      <c r="C30" s="29"/>
      <c r="D30" s="29"/>
      <c r="E30" s="29"/>
      <c r="F30" s="29"/>
      <c r="G30" s="29"/>
      <c r="H30" s="29"/>
      <c r="I30" s="29"/>
      <c r="J30" s="29"/>
      <c r="K30" s="29"/>
      <c r="L30" s="29"/>
      <c r="M30" s="29"/>
      <c r="N30" s="29"/>
      <c r="O30" s="29"/>
      <c r="P30" s="29"/>
    </row>
    <row r="31">
      <c r="A31" s="29"/>
      <c r="B31" s="29"/>
      <c r="C31" s="29"/>
      <c r="D31" s="29"/>
      <c r="E31" s="29"/>
      <c r="F31" s="29"/>
      <c r="G31" s="29"/>
      <c r="H31" s="29"/>
      <c r="I31" s="29"/>
      <c r="J31" s="29"/>
      <c r="K31" s="29"/>
      <c r="L31" s="29"/>
      <c r="M31" s="29"/>
      <c r="N31" s="29"/>
      <c r="O31" s="29"/>
      <c r="P31" s="29"/>
    </row>
    <row r="32">
      <c r="A32" s="29"/>
      <c r="B32" s="29"/>
      <c r="C32" s="29"/>
      <c r="D32" s="29"/>
      <c r="E32" s="29"/>
      <c r="F32" s="29"/>
      <c r="G32" s="29"/>
      <c r="H32" s="29"/>
      <c r="I32" s="29"/>
      <c r="J32" s="29"/>
      <c r="K32" s="29"/>
      <c r="L32" s="29"/>
      <c r="M32" s="29"/>
      <c r="N32" s="29"/>
      <c r="O32" s="29"/>
      <c r="P32" s="29"/>
    </row>
    <row r="33">
      <c r="A33" s="29"/>
      <c r="B33" s="29"/>
      <c r="C33" s="29"/>
      <c r="D33" s="29"/>
      <c r="E33" s="29"/>
      <c r="F33" s="29"/>
      <c r="G33" s="29"/>
      <c r="H33" s="29"/>
      <c r="I33" s="29"/>
      <c r="J33" s="29"/>
      <c r="K33" s="29"/>
      <c r="L33" s="29"/>
      <c r="M33" s="29"/>
      <c r="N33" s="29"/>
      <c r="O33" s="29"/>
      <c r="P33" s="29"/>
    </row>
    <row r="34">
      <c r="A34" s="29"/>
      <c r="B34" s="29"/>
      <c r="C34" s="29"/>
      <c r="D34" s="29"/>
      <c r="E34" s="29"/>
      <c r="F34" s="29"/>
      <c r="G34" s="29"/>
      <c r="H34" s="29"/>
      <c r="I34" s="29"/>
      <c r="J34" s="29"/>
      <c r="K34" s="29"/>
      <c r="L34" s="29"/>
      <c r="M34" s="29"/>
      <c r="N34" s="29"/>
      <c r="O34" s="29"/>
      <c r="P34" s="29"/>
    </row>
    <row r="35">
      <c r="A35" s="29"/>
      <c r="B35" s="29"/>
      <c r="C35" s="29"/>
      <c r="D35" s="29"/>
      <c r="E35" s="29"/>
      <c r="F35" s="29"/>
      <c r="G35" s="29"/>
      <c r="H35" s="29"/>
      <c r="I35" s="29"/>
      <c r="J35" s="29"/>
      <c r="K35" s="29"/>
      <c r="L35" s="29"/>
      <c r="M35" s="29"/>
      <c r="N35" s="29"/>
      <c r="O35" s="29"/>
      <c r="P35" s="29"/>
    </row>
    <row r="36">
      <c r="A36" s="29"/>
      <c r="B36" s="29"/>
      <c r="C36" s="29"/>
      <c r="D36" s="29"/>
      <c r="E36" s="29"/>
      <c r="F36" s="29"/>
      <c r="G36" s="29"/>
      <c r="H36" s="29"/>
      <c r="I36" s="29"/>
      <c r="J36" s="29"/>
      <c r="K36" s="29"/>
      <c r="L36" s="29"/>
      <c r="M36" s="29"/>
      <c r="N36" s="29"/>
      <c r="O36" s="29"/>
      <c r="P36" s="29"/>
    </row>
    <row r="37">
      <c r="A37" s="29"/>
      <c r="B37" s="29"/>
      <c r="C37" s="29"/>
      <c r="D37" s="29"/>
      <c r="E37" s="29"/>
      <c r="F37" s="29"/>
      <c r="G37" s="29"/>
      <c r="H37" s="29"/>
      <c r="I37" s="29"/>
      <c r="J37" s="29"/>
      <c r="K37" s="29"/>
      <c r="L37" s="29"/>
      <c r="M37" s="29"/>
      <c r="N37" s="29"/>
      <c r="O37" s="29"/>
      <c r="P37" s="29"/>
    </row>
    <row r="38">
      <c r="A38" s="29"/>
      <c r="B38" s="29"/>
      <c r="C38" s="29"/>
      <c r="D38" s="29"/>
      <c r="E38" s="29"/>
      <c r="F38" s="29"/>
      <c r="G38" s="29"/>
      <c r="H38" s="29"/>
      <c r="I38" s="29"/>
      <c r="J38" s="29"/>
      <c r="K38" s="29"/>
      <c r="L38" s="29"/>
      <c r="M38" s="29"/>
      <c r="N38" s="29"/>
      <c r="O38" s="29"/>
      <c r="P38" s="29"/>
    </row>
    <row r="39">
      <c r="A39" s="29"/>
      <c r="B39" s="29"/>
      <c r="C39" s="29"/>
      <c r="D39" s="29"/>
      <c r="E39" s="29"/>
      <c r="F39" s="29"/>
      <c r="G39" s="29"/>
      <c r="H39" s="29"/>
      <c r="I39" s="29"/>
      <c r="J39" s="29"/>
      <c r="K39" s="29"/>
      <c r="L39" s="29"/>
      <c r="M39" s="29"/>
      <c r="N39" s="29"/>
      <c r="O39" s="29"/>
      <c r="P39" s="29"/>
    </row>
    <row r="40">
      <c r="A40" s="29"/>
      <c r="B40" s="29"/>
      <c r="C40" s="29"/>
      <c r="D40" s="29"/>
      <c r="E40" s="29"/>
      <c r="F40" s="29"/>
      <c r="G40" s="29"/>
      <c r="H40" s="29"/>
      <c r="I40" s="29"/>
      <c r="J40" s="29"/>
      <c r="K40" s="29"/>
      <c r="L40" s="29"/>
      <c r="M40" s="29"/>
      <c r="N40" s="29"/>
      <c r="O40" s="29"/>
      <c r="P40" s="29"/>
    </row>
    <row r="41">
      <c r="A41" s="29"/>
      <c r="B41" s="29"/>
      <c r="C41" s="29"/>
      <c r="D41" s="29"/>
      <c r="E41" s="29"/>
      <c r="F41" s="29"/>
      <c r="G41" s="29"/>
      <c r="H41" s="29"/>
      <c r="I41" s="29"/>
      <c r="J41" s="29"/>
      <c r="K41" s="29"/>
      <c r="L41" s="29"/>
      <c r="M41" s="29"/>
      <c r="N41" s="29"/>
      <c r="O41" s="29"/>
      <c r="P41" s="29"/>
    </row>
    <row r="42">
      <c r="A42" s="29"/>
      <c r="B42" s="29"/>
      <c r="C42" s="29"/>
      <c r="D42" s="29"/>
      <c r="E42" s="29"/>
      <c r="F42" s="29"/>
      <c r="G42" s="29"/>
      <c r="H42" s="29"/>
      <c r="I42" s="29"/>
      <c r="J42" s="29"/>
      <c r="K42" s="29"/>
      <c r="L42" s="29"/>
      <c r="M42" s="29"/>
      <c r="N42" s="29"/>
      <c r="O42" s="29"/>
      <c r="P42" s="29"/>
    </row>
    <row r="43">
      <c r="A43" s="29"/>
      <c r="B43" s="29"/>
      <c r="C43" s="29"/>
      <c r="D43" s="29"/>
      <c r="E43" s="29"/>
      <c r="F43" s="29"/>
      <c r="G43" s="29"/>
      <c r="H43" s="29"/>
      <c r="I43" s="29"/>
      <c r="J43" s="29"/>
      <c r="K43" s="29"/>
      <c r="L43" s="29"/>
      <c r="M43" s="29"/>
      <c r="N43" s="29"/>
      <c r="O43" s="29"/>
      <c r="P43" s="29"/>
    </row>
    <row r="44">
      <c r="A44" s="29"/>
      <c r="B44" s="29"/>
      <c r="C44" s="29"/>
      <c r="D44" s="29"/>
      <c r="E44" s="29"/>
      <c r="F44" s="29"/>
      <c r="G44" s="29"/>
      <c r="H44" s="29"/>
      <c r="I44" s="29"/>
      <c r="J44" s="29"/>
      <c r="K44" s="29"/>
      <c r="L44" s="29"/>
      <c r="M44" s="29"/>
      <c r="N44" s="29"/>
      <c r="O44" s="29"/>
      <c r="P44" s="29"/>
    </row>
    <row r="45">
      <c r="A45" s="29"/>
      <c r="B45" s="29"/>
      <c r="C45" s="29"/>
      <c r="D45" s="29"/>
      <c r="E45" s="29"/>
      <c r="F45" s="29"/>
      <c r="G45" s="29"/>
      <c r="H45" s="29"/>
      <c r="I45" s="29"/>
      <c r="J45" s="29"/>
      <c r="K45" s="29"/>
      <c r="L45" s="29"/>
      <c r="M45" s="29"/>
      <c r="N45" s="29"/>
      <c r="O45" s="29"/>
      <c r="P45" s="29"/>
    </row>
    <row r="46">
      <c r="A46" s="29"/>
      <c r="B46" s="29"/>
      <c r="C46" s="29"/>
      <c r="D46" s="29"/>
      <c r="E46" s="29"/>
      <c r="F46" s="29"/>
      <c r="G46" s="29"/>
      <c r="H46" s="29"/>
      <c r="I46" s="29"/>
      <c r="J46" s="29"/>
      <c r="K46" s="29"/>
      <c r="L46" s="29"/>
      <c r="M46" s="29"/>
      <c r="N46" s="29"/>
      <c r="O46" s="29"/>
      <c r="P46" s="29"/>
    </row>
    <row r="47">
      <c r="A47" s="29"/>
      <c r="B47" s="29"/>
      <c r="C47" s="29"/>
      <c r="D47" s="29"/>
      <c r="E47" s="29"/>
      <c r="F47" s="29"/>
      <c r="G47" s="29"/>
      <c r="H47" s="29"/>
      <c r="I47" s="29"/>
      <c r="J47" s="29"/>
      <c r="K47" s="29"/>
      <c r="L47" s="29"/>
      <c r="M47" s="29"/>
      <c r="N47" s="29"/>
      <c r="O47" s="29"/>
      <c r="P47" s="29"/>
    </row>
    <row r="48">
      <c r="A48" s="29"/>
      <c r="B48" s="29"/>
      <c r="C48" s="29"/>
      <c r="D48" s="29"/>
      <c r="E48" s="29"/>
      <c r="F48" s="29"/>
      <c r="G48" s="29"/>
      <c r="H48" s="29"/>
      <c r="I48" s="29"/>
      <c r="J48" s="29"/>
      <c r="K48" s="29"/>
      <c r="L48" s="29"/>
      <c r="M48" s="29"/>
      <c r="N48" s="29"/>
      <c r="O48" s="29"/>
      <c r="P48" s="29"/>
    </row>
    <row r="49">
      <c r="A49" s="29"/>
      <c r="B49" s="29"/>
      <c r="C49" s="29"/>
      <c r="D49" s="29"/>
      <c r="E49" s="29"/>
      <c r="F49" s="29"/>
      <c r="G49" s="29"/>
      <c r="H49" s="29"/>
      <c r="I49" s="29"/>
      <c r="J49" s="29"/>
      <c r="K49" s="29"/>
      <c r="L49" s="29"/>
      <c r="M49" s="29"/>
      <c r="N49" s="29"/>
      <c r="O49" s="29"/>
      <c r="P49" s="29"/>
    </row>
    <row r="50">
      <c r="A50" s="29"/>
      <c r="B50" s="29"/>
      <c r="C50" s="29"/>
      <c r="D50" s="29"/>
      <c r="E50" s="29"/>
      <c r="F50" s="29"/>
      <c r="G50" s="29"/>
      <c r="H50" s="29"/>
      <c r="I50" s="29"/>
      <c r="J50" s="29"/>
      <c r="K50" s="29"/>
      <c r="L50" s="29"/>
      <c r="M50" s="29"/>
      <c r="N50" s="29"/>
      <c r="O50" s="29"/>
      <c r="P50" s="29"/>
    </row>
    <row r="51">
      <c r="A51" s="29"/>
      <c r="B51" s="29"/>
      <c r="C51" s="29"/>
      <c r="D51" s="29"/>
      <c r="E51" s="29"/>
      <c r="F51" s="29"/>
      <c r="G51" s="29"/>
      <c r="H51" s="29"/>
      <c r="I51" s="29"/>
      <c r="J51" s="29"/>
      <c r="K51" s="29"/>
      <c r="L51" s="29"/>
      <c r="M51" s="29"/>
      <c r="N51" s="29"/>
      <c r="O51" s="29"/>
      <c r="P51" s="29"/>
    </row>
    <row r="52">
      <c r="A52" s="29"/>
      <c r="B52" s="29"/>
      <c r="C52" s="29"/>
      <c r="D52" s="29"/>
      <c r="E52" s="29"/>
      <c r="F52" s="29"/>
      <c r="G52" s="29"/>
      <c r="H52" s="29"/>
      <c r="I52" s="29"/>
      <c r="J52" s="29"/>
      <c r="K52" s="29"/>
      <c r="L52" s="29"/>
      <c r="M52" s="29"/>
      <c r="N52" s="29"/>
      <c r="O52" s="29"/>
      <c r="P52" s="29"/>
    </row>
    <row r="53">
      <c r="A53" s="29"/>
      <c r="B53" s="29"/>
      <c r="C53" s="29"/>
      <c r="D53" s="29"/>
      <c r="E53" s="29"/>
      <c r="F53" s="29"/>
      <c r="G53" s="29"/>
      <c r="H53" s="29"/>
      <c r="I53" s="29"/>
      <c r="J53" s="29"/>
      <c r="K53" s="29"/>
      <c r="L53" s="29"/>
      <c r="M53" s="29"/>
      <c r="N53" s="29"/>
      <c r="O53" s="29"/>
      <c r="P53" s="29"/>
    </row>
    <row r="54">
      <c r="A54" s="29"/>
      <c r="B54" s="29"/>
      <c r="C54" s="29"/>
      <c r="D54" s="29"/>
      <c r="E54" s="29"/>
      <c r="F54" s="29"/>
      <c r="G54" s="29"/>
      <c r="H54" s="29"/>
      <c r="I54" s="29"/>
      <c r="J54" s="29"/>
      <c r="K54" s="29"/>
      <c r="L54" s="29"/>
      <c r="M54" s="29"/>
      <c r="N54" s="29"/>
      <c r="O54" s="29"/>
      <c r="P54" s="29"/>
    </row>
    <row r="55">
      <c r="A55" s="29"/>
      <c r="B55" s="29"/>
      <c r="C55" s="29"/>
      <c r="D55" s="29"/>
      <c r="E55" s="29"/>
      <c r="F55" s="29"/>
      <c r="G55" s="29"/>
      <c r="H55" s="29"/>
      <c r="I55" s="29"/>
      <c r="J55" s="29"/>
      <c r="K55" s="29"/>
      <c r="L55" s="29"/>
      <c r="M55" s="29"/>
      <c r="N55" s="29"/>
      <c r="O55" s="29"/>
      <c r="P55" s="29"/>
    </row>
    <row r="56">
      <c r="A56" s="29"/>
      <c r="B56" s="29"/>
      <c r="C56" s="29"/>
      <c r="D56" s="29"/>
      <c r="E56" s="29"/>
      <c r="F56" s="29"/>
      <c r="G56" s="29"/>
      <c r="H56" s="29"/>
      <c r="I56" s="29"/>
      <c r="J56" s="29"/>
      <c r="K56" s="29"/>
      <c r="L56" s="29"/>
      <c r="M56" s="29"/>
      <c r="N56" s="29"/>
      <c r="O56" s="29"/>
      <c r="P56" s="29"/>
    </row>
    <row r="57">
      <c r="A57" s="29"/>
      <c r="B57" s="29"/>
      <c r="C57" s="29"/>
      <c r="D57" s="29"/>
      <c r="E57" s="29"/>
      <c r="F57" s="29"/>
      <c r="G57" s="29"/>
      <c r="H57" s="29"/>
      <c r="I57" s="29"/>
      <c r="J57" s="29"/>
      <c r="K57" s="29"/>
      <c r="L57" s="29"/>
      <c r="M57" s="29"/>
      <c r="N57" s="29"/>
      <c r="O57" s="29"/>
      <c r="P57" s="29"/>
    </row>
    <row r="58">
      <c r="A58" s="29"/>
      <c r="B58" s="29"/>
      <c r="C58" s="29"/>
      <c r="D58" s="29"/>
      <c r="E58" s="29"/>
      <c r="F58" s="29"/>
      <c r="G58" s="29"/>
      <c r="H58" s="29"/>
      <c r="I58" s="29"/>
      <c r="J58" s="29"/>
      <c r="K58" s="29"/>
      <c r="L58" s="29"/>
      <c r="M58" s="29"/>
      <c r="N58" s="29"/>
      <c r="O58" s="29"/>
      <c r="P58" s="29"/>
    </row>
    <row r="59">
      <c r="A59" s="29"/>
      <c r="B59" s="29"/>
      <c r="C59" s="29"/>
      <c r="D59" s="29"/>
      <c r="E59" s="29"/>
      <c r="F59" s="29"/>
      <c r="G59" s="29"/>
      <c r="H59" s="29"/>
      <c r="I59" s="29"/>
      <c r="J59" s="29"/>
      <c r="K59" s="29"/>
      <c r="L59" s="29"/>
      <c r="M59" s="29"/>
      <c r="N59" s="29"/>
      <c r="O59" s="29"/>
      <c r="P59" s="29"/>
    </row>
    <row r="60">
      <c r="A60" s="29"/>
      <c r="B60" s="29"/>
      <c r="C60" s="29"/>
      <c r="D60" s="29"/>
      <c r="E60" s="29"/>
      <c r="F60" s="29"/>
      <c r="G60" s="29"/>
      <c r="H60" s="29"/>
      <c r="I60" s="29"/>
      <c r="J60" s="29"/>
      <c r="K60" s="29"/>
      <c r="L60" s="29"/>
      <c r="M60" s="29"/>
      <c r="N60" s="29"/>
      <c r="O60" s="29"/>
      <c r="P60" s="29"/>
    </row>
    <row r="61">
      <c r="A61" s="29"/>
      <c r="B61" s="29"/>
      <c r="C61" s="29"/>
      <c r="D61" s="29"/>
      <c r="E61" s="29"/>
      <c r="F61" s="29"/>
      <c r="G61" s="29"/>
      <c r="H61" s="29"/>
      <c r="I61" s="29"/>
      <c r="J61" s="29"/>
      <c r="K61" s="29"/>
      <c r="L61" s="29"/>
      <c r="M61" s="29"/>
      <c r="N61" s="29"/>
      <c r="O61" s="29"/>
      <c r="P61" s="29"/>
    </row>
    <row r="62">
      <c r="A62" s="29"/>
      <c r="B62" s="29"/>
      <c r="C62" s="29"/>
      <c r="D62" s="29"/>
      <c r="E62" s="29"/>
      <c r="F62" s="29"/>
      <c r="G62" s="29"/>
      <c r="H62" s="29"/>
      <c r="I62" s="29"/>
      <c r="J62" s="29"/>
      <c r="K62" s="29"/>
      <c r="L62" s="29"/>
      <c r="M62" s="29"/>
      <c r="N62" s="29"/>
      <c r="O62" s="29"/>
      <c r="P62" s="29"/>
    </row>
    <row r="63">
      <c r="A63" s="29"/>
      <c r="B63" s="29"/>
      <c r="C63" s="29"/>
      <c r="D63" s="29"/>
      <c r="E63" s="29"/>
      <c r="F63" s="29"/>
      <c r="G63" s="29"/>
      <c r="H63" s="29"/>
      <c r="I63" s="29"/>
      <c r="J63" s="29"/>
      <c r="K63" s="29"/>
      <c r="L63" s="29"/>
      <c r="M63" s="29"/>
      <c r="N63" s="29"/>
      <c r="O63" s="29"/>
      <c r="P63" s="29"/>
    </row>
    <row r="64">
      <c r="A64" s="29"/>
      <c r="B64" s="29"/>
      <c r="C64" s="29"/>
      <c r="D64" s="29"/>
      <c r="E64" s="29"/>
      <c r="F64" s="29"/>
      <c r="G64" s="29"/>
      <c r="H64" s="29"/>
      <c r="I64" s="29"/>
      <c r="J64" s="29"/>
      <c r="K64" s="29"/>
      <c r="L64" s="29"/>
      <c r="M64" s="29"/>
      <c r="N64" s="29"/>
      <c r="O64" s="29"/>
      <c r="P64" s="29"/>
    </row>
    <row r="65">
      <c r="A65" s="29"/>
      <c r="B65" s="29"/>
      <c r="C65" s="29"/>
      <c r="D65" s="29"/>
      <c r="E65" s="29"/>
      <c r="F65" s="29"/>
      <c r="G65" s="29"/>
      <c r="H65" s="29"/>
      <c r="I65" s="29"/>
      <c r="J65" s="29"/>
      <c r="K65" s="29"/>
      <c r="L65" s="29"/>
      <c r="M65" s="29"/>
      <c r="N65" s="29"/>
      <c r="O65" s="29"/>
      <c r="P65" s="29"/>
    </row>
    <row r="66">
      <c r="A66" s="29"/>
      <c r="B66" s="29"/>
      <c r="C66" s="29"/>
      <c r="D66" s="29"/>
      <c r="E66" s="29"/>
      <c r="F66" s="29"/>
      <c r="G66" s="29"/>
      <c r="H66" s="29"/>
      <c r="I66" s="29"/>
      <c r="J66" s="29"/>
      <c r="K66" s="29"/>
      <c r="L66" s="29"/>
      <c r="M66" s="29"/>
      <c r="N66" s="29"/>
      <c r="O66" s="29"/>
      <c r="P66" s="29"/>
    </row>
    <row r="67">
      <c r="A67" s="29"/>
      <c r="B67" s="29"/>
      <c r="C67" s="29"/>
      <c r="D67" s="29"/>
      <c r="E67" s="29"/>
      <c r="F67" s="29"/>
      <c r="G67" s="29"/>
      <c r="H67" s="29"/>
      <c r="I67" s="29"/>
      <c r="J67" s="29"/>
      <c r="K67" s="29"/>
      <c r="L67" s="29"/>
      <c r="M67" s="29"/>
      <c r="N67" s="29"/>
      <c r="O67" s="29"/>
      <c r="P67" s="29"/>
    </row>
    <row r="68">
      <c r="A68" s="29"/>
      <c r="B68" s="29"/>
      <c r="C68" s="29"/>
      <c r="D68" s="29"/>
      <c r="E68" s="29"/>
      <c r="F68" s="29"/>
      <c r="G68" s="29"/>
      <c r="H68" s="29"/>
      <c r="I68" s="29"/>
      <c r="J68" s="29"/>
      <c r="K68" s="29"/>
      <c r="L68" s="29"/>
      <c r="M68" s="29"/>
      <c r="N68" s="29"/>
      <c r="O68" s="29"/>
      <c r="P68" s="29"/>
    </row>
    <row r="69">
      <c r="A69" s="29"/>
      <c r="B69" s="29"/>
      <c r="C69" s="29"/>
      <c r="D69" s="29"/>
      <c r="E69" s="29"/>
      <c r="F69" s="29"/>
      <c r="G69" s="29"/>
      <c r="H69" s="29"/>
      <c r="I69" s="29"/>
      <c r="J69" s="29"/>
      <c r="K69" s="29"/>
      <c r="L69" s="29"/>
      <c r="M69" s="29"/>
      <c r="N69" s="29"/>
      <c r="O69" s="29"/>
      <c r="P69" s="29"/>
    </row>
    <row r="70">
      <c r="A70" s="29"/>
      <c r="B70" s="29"/>
      <c r="C70" s="29"/>
      <c r="D70" s="29"/>
      <c r="E70" s="29"/>
      <c r="F70" s="29"/>
      <c r="G70" s="29"/>
      <c r="H70" s="29"/>
      <c r="I70" s="29"/>
      <c r="J70" s="29"/>
      <c r="K70" s="29"/>
      <c r="L70" s="29"/>
      <c r="M70" s="29"/>
      <c r="N70" s="29"/>
      <c r="O70" s="29"/>
      <c r="P70" s="29"/>
    </row>
    <row r="71">
      <c r="A71" s="29"/>
      <c r="B71" s="29"/>
      <c r="C71" s="29"/>
      <c r="D71" s="29"/>
      <c r="E71" s="29"/>
      <c r="F71" s="29"/>
      <c r="G71" s="29"/>
      <c r="H71" s="29"/>
      <c r="I71" s="29"/>
      <c r="J71" s="29"/>
      <c r="K71" s="29"/>
      <c r="L71" s="29"/>
      <c r="M71" s="29"/>
      <c r="N71" s="29"/>
      <c r="O71" s="29"/>
      <c r="P71" s="29"/>
    </row>
    <row r="72">
      <c r="A72" s="29"/>
      <c r="B72" s="29"/>
      <c r="C72" s="29"/>
      <c r="D72" s="29"/>
      <c r="E72" s="29"/>
      <c r="F72" s="29"/>
      <c r="G72" s="29"/>
      <c r="H72" s="29"/>
      <c r="I72" s="29"/>
      <c r="J72" s="29"/>
      <c r="K72" s="29"/>
      <c r="L72" s="29"/>
      <c r="M72" s="29"/>
      <c r="N72" s="29"/>
      <c r="O72" s="29"/>
      <c r="P72" s="29"/>
    </row>
    <row r="73">
      <c r="A73" s="29"/>
      <c r="B73" s="29"/>
      <c r="C73" s="29"/>
      <c r="D73" s="29"/>
      <c r="E73" s="29"/>
      <c r="F73" s="29"/>
      <c r="G73" s="29"/>
      <c r="H73" s="29"/>
      <c r="I73" s="29"/>
      <c r="J73" s="29"/>
      <c r="K73" s="29"/>
      <c r="L73" s="29"/>
      <c r="M73" s="29"/>
      <c r="N73" s="29"/>
      <c r="O73" s="29"/>
      <c r="P73" s="29"/>
    </row>
    <row r="74">
      <c r="A74" s="29"/>
      <c r="B74" s="29"/>
      <c r="C74" s="29"/>
      <c r="D74" s="29"/>
      <c r="E74" s="29"/>
      <c r="F74" s="29"/>
      <c r="G74" s="29"/>
      <c r="H74" s="29"/>
      <c r="I74" s="29"/>
      <c r="J74" s="29"/>
      <c r="K74" s="29"/>
      <c r="L74" s="29"/>
      <c r="M74" s="29"/>
      <c r="N74" s="29"/>
      <c r="O74" s="29"/>
      <c r="P74" s="29"/>
    </row>
    <row r="75">
      <c r="A75" s="29"/>
      <c r="B75" s="29"/>
      <c r="C75" s="29"/>
      <c r="D75" s="29"/>
      <c r="E75" s="29"/>
      <c r="F75" s="29"/>
      <c r="G75" s="29"/>
      <c r="H75" s="29"/>
      <c r="I75" s="29"/>
      <c r="J75" s="29"/>
      <c r="K75" s="29"/>
      <c r="L75" s="29"/>
      <c r="M75" s="29"/>
      <c r="N75" s="29"/>
      <c r="O75" s="29"/>
      <c r="P75" s="29"/>
    </row>
    <row r="76">
      <c r="A76" s="29"/>
      <c r="B76" s="29"/>
      <c r="C76" s="29"/>
      <c r="D76" s="29"/>
      <c r="E76" s="29"/>
      <c r="F76" s="29"/>
      <c r="G76" s="29"/>
      <c r="H76" s="29"/>
      <c r="I76" s="29"/>
      <c r="J76" s="29"/>
      <c r="K76" s="29"/>
      <c r="L76" s="29"/>
      <c r="M76" s="29"/>
      <c r="N76" s="29"/>
      <c r="O76" s="29"/>
      <c r="P76" s="29"/>
    </row>
    <row r="77">
      <c r="A77" s="29"/>
      <c r="B77" s="29"/>
      <c r="C77" s="29"/>
      <c r="D77" s="29"/>
      <c r="E77" s="29"/>
      <c r="F77" s="29"/>
      <c r="G77" s="29"/>
      <c r="H77" s="29"/>
      <c r="I77" s="29"/>
      <c r="J77" s="29"/>
      <c r="K77" s="29"/>
      <c r="L77" s="29"/>
      <c r="M77" s="29"/>
      <c r="N77" s="29"/>
      <c r="O77" s="29"/>
      <c r="P77" s="29"/>
    </row>
    <row r="78">
      <c r="A78" s="29"/>
      <c r="B78" s="29"/>
      <c r="C78" s="29"/>
      <c r="D78" s="29"/>
      <c r="E78" s="29"/>
      <c r="F78" s="29"/>
      <c r="G78" s="29"/>
      <c r="H78" s="29"/>
      <c r="I78" s="29"/>
      <c r="J78" s="29"/>
      <c r="K78" s="29"/>
      <c r="L78" s="29"/>
      <c r="M78" s="29"/>
      <c r="N78" s="29"/>
      <c r="O78" s="29"/>
      <c r="P78" s="29"/>
    </row>
    <row r="79">
      <c r="A79" s="29"/>
      <c r="B79" s="29"/>
      <c r="C79" s="29"/>
      <c r="D79" s="29"/>
      <c r="E79" s="29"/>
      <c r="F79" s="29"/>
      <c r="G79" s="29"/>
      <c r="H79" s="29"/>
      <c r="I79" s="29"/>
      <c r="J79" s="29"/>
      <c r="K79" s="29"/>
      <c r="L79" s="29"/>
      <c r="M79" s="29"/>
      <c r="N79" s="29"/>
      <c r="O79" s="29"/>
      <c r="P79" s="29"/>
    </row>
    <row r="80">
      <c r="A80" s="29"/>
      <c r="B80" s="29"/>
      <c r="C80" s="29"/>
      <c r="D80" s="29"/>
      <c r="E80" s="29"/>
      <c r="F80" s="29"/>
      <c r="G80" s="29"/>
      <c r="H80" s="29"/>
      <c r="I80" s="29"/>
      <c r="J80" s="29"/>
      <c r="K80" s="29"/>
      <c r="L80" s="29"/>
      <c r="M80" s="29"/>
      <c r="N80" s="29"/>
      <c r="O80" s="29"/>
      <c r="P80" s="29"/>
    </row>
    <row r="81">
      <c r="A81" s="29"/>
      <c r="B81" s="29"/>
      <c r="C81" s="29"/>
      <c r="D81" s="29"/>
      <c r="E81" s="29"/>
      <c r="F81" s="29"/>
      <c r="G81" s="29"/>
      <c r="H81" s="29"/>
      <c r="I81" s="29"/>
      <c r="J81" s="29"/>
      <c r="K81" s="29"/>
      <c r="L81" s="29"/>
      <c r="M81" s="29"/>
      <c r="N81" s="29"/>
      <c r="O81" s="29"/>
      <c r="P81" s="29"/>
    </row>
    <row r="82">
      <c r="A82" s="29"/>
      <c r="B82" s="29"/>
      <c r="C82" s="29"/>
      <c r="D82" s="29"/>
      <c r="E82" s="29"/>
      <c r="F82" s="29"/>
      <c r="G82" s="29"/>
      <c r="H82" s="29"/>
      <c r="I82" s="29"/>
      <c r="J82" s="29"/>
      <c r="K82" s="29"/>
      <c r="L82" s="29"/>
      <c r="M82" s="29"/>
      <c r="N82" s="29"/>
      <c r="O82" s="29"/>
      <c r="P82" s="29"/>
    </row>
    <row r="83">
      <c r="A83" s="29"/>
      <c r="B83" s="29"/>
      <c r="C83" s="29"/>
      <c r="D83" s="29"/>
      <c r="E83" s="29"/>
      <c r="F83" s="29"/>
      <c r="G83" s="29"/>
      <c r="H83" s="29"/>
      <c r="I83" s="29"/>
      <c r="J83" s="29"/>
      <c r="K83" s="29"/>
      <c r="L83" s="29"/>
      <c r="M83" s="29"/>
      <c r="N83" s="29"/>
      <c r="O83" s="29"/>
      <c r="P83" s="29"/>
    </row>
    <row r="84">
      <c r="A84" s="29"/>
      <c r="B84" s="29"/>
      <c r="C84" s="29"/>
      <c r="D84" s="29"/>
      <c r="E84" s="29"/>
      <c r="F84" s="29"/>
      <c r="G84" s="29"/>
      <c r="H84" s="29"/>
      <c r="I84" s="29"/>
      <c r="J84" s="29"/>
      <c r="K84" s="29"/>
      <c r="L84" s="29"/>
      <c r="M84" s="29"/>
      <c r="N84" s="29"/>
      <c r="O84" s="29"/>
      <c r="P84" s="29"/>
    </row>
    <row r="85">
      <c r="A85" s="29"/>
      <c r="B85" s="29"/>
      <c r="C85" s="29"/>
      <c r="D85" s="29"/>
      <c r="E85" s="29"/>
      <c r="F85" s="29"/>
      <c r="G85" s="29"/>
      <c r="H85" s="29"/>
      <c r="I85" s="29"/>
      <c r="J85" s="29"/>
      <c r="K85" s="29"/>
      <c r="L85" s="29"/>
      <c r="M85" s="29"/>
      <c r="N85" s="29"/>
      <c r="O85" s="29"/>
      <c r="P85" s="29"/>
    </row>
    <row r="86">
      <c r="A86" s="29"/>
      <c r="B86" s="29"/>
      <c r="C86" s="29"/>
      <c r="D86" s="29"/>
      <c r="E86" s="29"/>
      <c r="F86" s="29"/>
      <c r="G86" s="29"/>
      <c r="H86" s="29"/>
      <c r="I86" s="29"/>
      <c r="J86" s="29"/>
      <c r="K86" s="29"/>
      <c r="L86" s="29"/>
      <c r="M86" s="29"/>
      <c r="N86" s="29"/>
      <c r="O86" s="29"/>
      <c r="P86" s="29"/>
    </row>
    <row r="87">
      <c r="A87" s="29"/>
      <c r="B87" s="29"/>
      <c r="C87" s="29"/>
      <c r="D87" s="29"/>
      <c r="E87" s="29"/>
      <c r="F87" s="29"/>
      <c r="G87" s="29"/>
      <c r="H87" s="29"/>
      <c r="I87" s="29"/>
      <c r="J87" s="29"/>
      <c r="K87" s="29"/>
      <c r="L87" s="29"/>
      <c r="M87" s="29"/>
      <c r="N87" s="29"/>
      <c r="O87" s="29"/>
      <c r="P87" s="29"/>
    </row>
    <row r="88">
      <c r="A88" s="29"/>
      <c r="B88" s="29"/>
      <c r="C88" s="29"/>
      <c r="D88" s="29"/>
      <c r="E88" s="29"/>
      <c r="F88" s="29"/>
      <c r="G88" s="29"/>
      <c r="H88" s="29"/>
      <c r="I88" s="29"/>
      <c r="J88" s="29"/>
      <c r="K88" s="29"/>
      <c r="L88" s="29"/>
      <c r="M88" s="29"/>
      <c r="N88" s="29"/>
      <c r="O88" s="29"/>
      <c r="P88" s="29"/>
    </row>
    <row r="89">
      <c r="A89" s="29"/>
      <c r="B89" s="29"/>
      <c r="C89" s="29"/>
      <c r="D89" s="29"/>
      <c r="E89" s="29"/>
      <c r="F89" s="29"/>
      <c r="G89" s="29"/>
      <c r="H89" s="29"/>
      <c r="I89" s="29"/>
      <c r="J89" s="29"/>
      <c r="K89" s="29"/>
      <c r="L89" s="29"/>
      <c r="M89" s="29"/>
      <c r="N89" s="29"/>
      <c r="O89" s="29"/>
      <c r="P89" s="29"/>
    </row>
    <row r="90">
      <c r="A90" s="29"/>
      <c r="B90" s="29"/>
      <c r="C90" s="29"/>
      <c r="D90" s="29"/>
      <c r="E90" s="29"/>
      <c r="F90" s="29"/>
      <c r="G90" s="29"/>
      <c r="H90" s="29"/>
      <c r="I90" s="29"/>
      <c r="J90" s="29"/>
      <c r="K90" s="29"/>
      <c r="L90" s="29"/>
      <c r="M90" s="29"/>
      <c r="N90" s="29"/>
      <c r="O90" s="29"/>
      <c r="P90" s="29"/>
    </row>
    <row r="91">
      <c r="A91" s="29"/>
      <c r="B91" s="29"/>
      <c r="C91" s="29"/>
      <c r="D91" s="29"/>
      <c r="E91" s="29"/>
      <c r="F91" s="29"/>
      <c r="G91" s="29"/>
      <c r="H91" s="29"/>
      <c r="I91" s="29"/>
      <c r="J91" s="29"/>
      <c r="K91" s="29"/>
      <c r="L91" s="29"/>
      <c r="M91" s="29"/>
      <c r="N91" s="29"/>
      <c r="O91" s="29"/>
      <c r="P91" s="29"/>
    </row>
    <row r="92">
      <c r="A92" s="29"/>
      <c r="B92" s="29"/>
      <c r="C92" s="29"/>
      <c r="D92" s="29"/>
      <c r="E92" s="29"/>
      <c r="F92" s="29"/>
      <c r="G92" s="29"/>
      <c r="H92" s="29"/>
      <c r="I92" s="29"/>
      <c r="J92" s="29"/>
      <c r="K92" s="29"/>
      <c r="L92" s="29"/>
      <c r="M92" s="29"/>
      <c r="N92" s="29"/>
      <c r="O92" s="29"/>
      <c r="P92" s="29"/>
    </row>
    <row r="93">
      <c r="A93" s="29"/>
      <c r="B93" s="29"/>
      <c r="C93" s="29"/>
      <c r="D93" s="29"/>
      <c r="E93" s="29"/>
      <c r="F93" s="29"/>
      <c r="G93" s="29"/>
      <c r="H93" s="29"/>
      <c r="I93" s="29"/>
      <c r="J93" s="29"/>
      <c r="K93" s="29"/>
      <c r="L93" s="29"/>
      <c r="M93" s="29"/>
      <c r="N93" s="29"/>
      <c r="O93" s="29"/>
      <c r="P93" s="29"/>
    </row>
    <row r="94">
      <c r="A94" s="29"/>
      <c r="B94" s="29"/>
      <c r="C94" s="29"/>
      <c r="D94" s="29"/>
      <c r="E94" s="29"/>
      <c r="F94" s="29"/>
      <c r="G94" s="29"/>
      <c r="H94" s="29"/>
      <c r="I94" s="29"/>
      <c r="J94" s="29"/>
      <c r="K94" s="29"/>
      <c r="L94" s="29"/>
      <c r="M94" s="29"/>
      <c r="N94" s="29"/>
      <c r="O94" s="29"/>
      <c r="P94" s="29"/>
    </row>
    <row r="95">
      <c r="A95" s="29"/>
      <c r="B95" s="29"/>
      <c r="C95" s="29"/>
      <c r="D95" s="29"/>
      <c r="E95" s="29"/>
      <c r="F95" s="29"/>
      <c r="G95" s="29"/>
      <c r="H95" s="29"/>
      <c r="I95" s="29"/>
      <c r="J95" s="29"/>
      <c r="K95" s="29"/>
      <c r="L95" s="29"/>
      <c r="M95" s="29"/>
      <c r="N95" s="29"/>
      <c r="O95" s="29"/>
      <c r="P95" s="29"/>
    </row>
    <row r="96">
      <c r="A96" s="29"/>
      <c r="B96" s="29"/>
      <c r="C96" s="29"/>
      <c r="D96" s="29"/>
      <c r="E96" s="29"/>
      <c r="F96" s="29"/>
      <c r="G96" s="29"/>
      <c r="H96" s="29"/>
      <c r="I96" s="29"/>
      <c r="J96" s="29"/>
      <c r="K96" s="29"/>
      <c r="L96" s="29"/>
      <c r="M96" s="29"/>
      <c r="N96" s="29"/>
      <c r="O96" s="29"/>
      <c r="P96" s="29"/>
    </row>
    <row r="97">
      <c r="A97" s="29"/>
      <c r="B97" s="29"/>
      <c r="C97" s="29"/>
      <c r="D97" s="29"/>
      <c r="E97" s="29"/>
      <c r="F97" s="29"/>
      <c r="G97" s="29"/>
      <c r="H97" s="29"/>
      <c r="I97" s="29"/>
      <c r="J97" s="29"/>
      <c r="K97" s="29"/>
      <c r="L97" s="29"/>
      <c r="M97" s="29"/>
      <c r="N97" s="29"/>
      <c r="O97" s="29"/>
      <c r="P97" s="29"/>
    </row>
    <row r="98">
      <c r="A98" s="29"/>
      <c r="B98" s="29"/>
      <c r="C98" s="29"/>
      <c r="D98" s="29"/>
      <c r="E98" s="29"/>
      <c r="F98" s="29"/>
      <c r="G98" s="29"/>
      <c r="H98" s="29"/>
      <c r="I98" s="29"/>
      <c r="J98" s="29"/>
      <c r="K98" s="29"/>
      <c r="L98" s="29"/>
      <c r="M98" s="29"/>
      <c r="N98" s="29"/>
      <c r="O98" s="29"/>
      <c r="P98" s="29"/>
    </row>
    <row r="99">
      <c r="A99" s="29"/>
      <c r="B99" s="29"/>
      <c r="C99" s="29"/>
      <c r="D99" s="29"/>
      <c r="E99" s="29"/>
      <c r="F99" s="29"/>
      <c r="G99" s="29"/>
      <c r="H99" s="29"/>
      <c r="I99" s="29"/>
      <c r="J99" s="29"/>
      <c r="K99" s="29"/>
      <c r="L99" s="29"/>
      <c r="M99" s="29"/>
      <c r="N99" s="29"/>
      <c r="O99" s="29"/>
      <c r="P99" s="29"/>
    </row>
    <row r="100">
      <c r="A100" s="29"/>
      <c r="B100" s="29"/>
      <c r="C100" s="29"/>
      <c r="D100" s="29"/>
      <c r="E100" s="29"/>
      <c r="F100" s="29"/>
      <c r="G100" s="29"/>
      <c r="H100" s="29"/>
      <c r="I100" s="29"/>
      <c r="J100" s="29"/>
      <c r="K100" s="29"/>
      <c r="L100" s="29"/>
      <c r="M100" s="29"/>
      <c r="N100" s="29"/>
      <c r="O100" s="29"/>
      <c r="P100" s="29"/>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3" width="10.75"/>
  </cols>
  <sheetData>
    <row r="1">
      <c r="A1" s="28" t="s">
        <v>3340</v>
      </c>
      <c r="B1" s="28" t="s">
        <v>2</v>
      </c>
      <c r="C1" s="28" t="s">
        <v>23</v>
      </c>
      <c r="D1" s="28" t="s">
        <v>21</v>
      </c>
      <c r="E1" s="28" t="s">
        <v>22</v>
      </c>
      <c r="F1" s="28" t="s">
        <v>24</v>
      </c>
      <c r="G1" s="28" t="s">
        <v>4</v>
      </c>
      <c r="H1" s="28" t="s">
        <v>5</v>
      </c>
      <c r="I1" s="28" t="s">
        <v>8</v>
      </c>
      <c r="J1" s="28" t="s">
        <v>6</v>
      </c>
      <c r="K1" s="28" t="s">
        <v>7</v>
      </c>
      <c r="L1" s="28" t="s">
        <v>11</v>
      </c>
      <c r="M1" s="28" t="s">
        <v>9</v>
      </c>
      <c r="N1" s="28" t="s">
        <v>10</v>
      </c>
      <c r="O1" s="28" t="s">
        <v>15</v>
      </c>
      <c r="P1" s="28" t="s">
        <v>16</v>
      </c>
      <c r="Q1" s="28" t="s">
        <v>17</v>
      </c>
      <c r="R1" s="28" t="s">
        <v>18</v>
      </c>
      <c r="S1" s="28" t="s">
        <v>13</v>
      </c>
      <c r="T1" s="28" t="s">
        <v>14</v>
      </c>
      <c r="U1" s="28" t="s">
        <v>12</v>
      </c>
      <c r="V1" s="28" t="s">
        <v>19</v>
      </c>
      <c r="W1" s="28" t="s">
        <v>20</v>
      </c>
    </row>
    <row r="2">
      <c r="A2" s="28" t="s">
        <v>3355</v>
      </c>
      <c r="B2" s="28" t="s">
        <v>3322</v>
      </c>
      <c r="C2" s="28" t="s">
        <v>3323</v>
      </c>
      <c r="D2" s="28" t="s">
        <v>3324</v>
      </c>
      <c r="E2" s="28" t="s">
        <v>3324</v>
      </c>
      <c r="F2" s="28" t="s">
        <v>3325</v>
      </c>
      <c r="G2" s="28" t="s">
        <v>3327</v>
      </c>
      <c r="H2" s="28" t="s">
        <v>3327</v>
      </c>
      <c r="I2" s="28" t="s">
        <v>3327</v>
      </c>
      <c r="J2" s="28" t="s">
        <v>3328</v>
      </c>
      <c r="K2" s="28" t="s">
        <v>3328</v>
      </c>
      <c r="L2" s="28" t="s">
        <v>3329</v>
      </c>
      <c r="M2" s="28" t="s">
        <v>3330</v>
      </c>
      <c r="N2" s="28" t="s">
        <v>3331</v>
      </c>
      <c r="O2" s="28" t="s">
        <v>3332</v>
      </c>
      <c r="P2" s="28" t="s">
        <v>3332</v>
      </c>
      <c r="Q2" s="28" t="s">
        <v>3332</v>
      </c>
      <c r="R2" s="28" t="s">
        <v>3332</v>
      </c>
      <c r="S2" s="28" t="s">
        <v>3333</v>
      </c>
      <c r="T2" s="28" t="s">
        <v>3333</v>
      </c>
      <c r="U2" s="28" t="s">
        <v>3334</v>
      </c>
      <c r="V2" s="28" t="s">
        <v>3335</v>
      </c>
      <c r="W2" s="28" t="s">
        <v>3335</v>
      </c>
    </row>
    <row r="3">
      <c r="A3" s="29" t="str">
        <f>IF(Players!A2="","",Players!A2)</f>
        <v/>
      </c>
      <c r="B3" s="29" t="str">
        <f t="array" ref="B3">IF($A3="", "", IFERROR(LET(x, XLOOKUP(B$2, Players!$A$1:$P$1, Players!$A2:$P2),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3" s="29" t="str">
        <f t="array" ref="C3">IF($A3="", "", IFERROR(LET(x, XLOOKUP(C$2, Players!$A$1:$P$1, Players!$A2:$P2),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3" s="29" t="str">
        <f t="array" ref="D3">IF($A3="", "", IFERROR(LET(x, XLOOKUP(D$2, Players!$A$1:$P$1, Players!$A2:$P2),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3" s="29" t="str">
        <f t="array" ref="E3">IF($A3="", "", IFERROR(LET(x, XLOOKUP(E$2, Players!$A$1:$P$1, Players!$A2:$P2),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3" s="29" t="str">
        <f t="array" ref="F3">IF($A3="", "", IFERROR(LET(x, XLOOKUP(F$2, Players!$A$1:$P$1, Players!$A2:$P2),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3" s="29" t="str">
        <f t="array" ref="G3">IF($A3="", "", IFERROR(LET(x, XLOOKUP(G$2, Players!$A$1:$P$1, Players!$A2:$P2),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3" s="29" t="str">
        <f t="array" ref="H3">IF($A3="", "", IFERROR(LET(x, XLOOKUP(H$2, Players!$A$1:$P$1, Players!$A2:$P2),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3" s="29" t="str">
        <f t="array" ref="I3">IF($A3="", "", IFERROR(LET(x, XLOOKUP(I$2, Players!$A$1:$P$1, Players!$A2:$P2),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3" s="29" t="str">
        <f t="array" ref="J3">IF($A3="", "", IFERROR(LET(x, XLOOKUP(J$2, Players!$A$1:$P$1, Players!$A2:$P2),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3" s="29" t="str">
        <f t="array" ref="K3">IF($A3="", "", IFERROR(LET(x, XLOOKUP(K$2, Players!$A$1:$P$1, Players!$A2:$P2),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3" s="29" t="str">
        <f t="array" ref="L3">IF($A3="", "", IFERROR(LET(x, XLOOKUP(L$2, Players!$A$1:$P$1, Players!$A2:$P2),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3" s="29" t="str">
        <f t="array" ref="M3">IF($A3="", "", IFERROR(LET(x, XLOOKUP(M$2, Players!$A$1:$P$1, Players!$A2:$P2),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3" s="29" t="str">
        <f t="array" ref="N3">IF($A3="", "", IFERROR(LET(x, XLOOKUP(N$2, Players!$A$1:$P$1, Players!$A2:$P2),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3" s="29" t="str">
        <f t="array" ref="O3">IF($A3="", "", IFERROR(LET(x, XLOOKUP(O$2, Players!$A$1:$P$1, Players!$A2:$P2),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3" s="29" t="str">
        <f t="array" ref="P3">IF($A3="", "", IFERROR(LET(x, XLOOKUP(P$2, Players!$A$1:$P$1, Players!$A2:$P2),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3" s="29" t="str">
        <f t="array" ref="Q3">IF($A3="", "", IFERROR(LET(x, XLOOKUP(Q$2, Players!$A$1:$P$1, Players!$A2:$P2),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3" s="29" t="str">
        <f t="array" ref="R3">IF($A3="", "", IFERROR(LET(x, XLOOKUP(R$2, Players!$A$1:$P$1, Players!$A2:$P2),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3" s="29" t="str">
        <f t="array" ref="S3">IF($A3="", "", IFERROR(LET(x, XLOOKUP(S$2, Players!$A$1:$P$1, Players!$A2:$P2),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3" s="29" t="str">
        <f t="array" ref="T3">IF($A3="", "", IFERROR(LET(x, XLOOKUP(T$2, Players!$A$1:$P$1, Players!$A2:$P2),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3" s="29" t="str">
        <f t="array" ref="U3">IF($A3="", "", IFERROR(LET(x, XLOOKUP(U$2, Players!$A$1:$P$1, Players!$A2:$P2),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3" s="29" t="str">
        <f t="array" ref="V3">IF($A3="", "", IFERROR(LET(x, XLOOKUP(V$2, Players!$A$1:$P$1, Players!$A2:$P2),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3" s="29" t="str">
        <f t="array" ref="W3">IF($A3="", "", IFERROR(LET(x, XLOOKUP(W$2, Players!$A$1:$P$1, Players!$A2:$P2),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4">
      <c r="A4" s="29" t="str">
        <f>IF(Players!A3="","",Players!A3)</f>
        <v/>
      </c>
      <c r="B4" s="29" t="str">
        <f t="array" ref="B4">IF($A4="", "", IFERROR(LET(x, XLOOKUP(B$2, Players!$A$1:$P$1, Players!$A3:$P3),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4" s="29" t="str">
        <f t="array" ref="C4">IF($A4="", "", IFERROR(LET(x, XLOOKUP(C$2, Players!$A$1:$P$1, Players!$A3:$P3),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4" s="29" t="str">
        <f t="array" ref="D4">IF($A4="", "", IFERROR(LET(x, XLOOKUP(D$2, Players!$A$1:$P$1, Players!$A3:$P3),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4" s="29" t="str">
        <f t="array" ref="E4">IF($A4="", "", IFERROR(LET(x, XLOOKUP(E$2, Players!$A$1:$P$1, Players!$A3:$P3),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4" s="29" t="str">
        <f t="array" ref="F4">IF($A4="", "", IFERROR(LET(x, XLOOKUP(F$2, Players!$A$1:$P$1, Players!$A3:$P3),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4" s="29" t="str">
        <f t="array" ref="G4">IF($A4="", "", IFERROR(LET(x, XLOOKUP(G$2, Players!$A$1:$P$1, Players!$A3:$P3),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4" s="29" t="str">
        <f t="array" ref="H4">IF($A4="", "", IFERROR(LET(x, XLOOKUP(H$2, Players!$A$1:$P$1, Players!$A3:$P3),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4" s="29" t="str">
        <f t="array" ref="I4">IF($A4="", "", IFERROR(LET(x, XLOOKUP(I$2, Players!$A$1:$P$1, Players!$A3:$P3),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4" s="29" t="str">
        <f t="array" ref="J4">IF($A4="", "", IFERROR(LET(x, XLOOKUP(J$2, Players!$A$1:$P$1, Players!$A3:$P3),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4" s="29" t="str">
        <f t="array" ref="K4">IF($A4="", "", IFERROR(LET(x, XLOOKUP(K$2, Players!$A$1:$P$1, Players!$A3:$P3),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4" s="29" t="str">
        <f t="array" ref="L4">IF($A4="", "", IFERROR(LET(x, XLOOKUP(L$2, Players!$A$1:$P$1, Players!$A3:$P3),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4" s="29" t="str">
        <f t="array" ref="M4">IF($A4="", "", IFERROR(LET(x, XLOOKUP(M$2, Players!$A$1:$P$1, Players!$A3:$P3),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4" s="29" t="str">
        <f t="array" ref="N4">IF($A4="", "", IFERROR(LET(x, XLOOKUP(N$2, Players!$A$1:$P$1, Players!$A3:$P3),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4" s="29" t="str">
        <f t="array" ref="O4">IF($A4="", "", IFERROR(LET(x, XLOOKUP(O$2, Players!$A$1:$P$1, Players!$A3:$P3),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4" s="29" t="str">
        <f t="array" ref="P4">IF($A4="", "", IFERROR(LET(x, XLOOKUP(P$2, Players!$A$1:$P$1, Players!$A3:$P3),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4" s="29" t="str">
        <f t="array" ref="Q4">IF($A4="", "", IFERROR(LET(x, XLOOKUP(Q$2, Players!$A$1:$P$1, Players!$A3:$P3),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4" s="29" t="str">
        <f t="array" ref="R4">IF($A4="", "", IFERROR(LET(x, XLOOKUP(R$2, Players!$A$1:$P$1, Players!$A3:$P3),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4" s="29" t="str">
        <f t="array" ref="S4">IF($A4="", "", IFERROR(LET(x, XLOOKUP(S$2, Players!$A$1:$P$1, Players!$A3:$P3),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4" s="29" t="str">
        <f t="array" ref="T4">IF($A4="", "", IFERROR(LET(x, XLOOKUP(T$2, Players!$A$1:$P$1, Players!$A3:$P3),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4" s="29" t="str">
        <f t="array" ref="U4">IF($A4="", "", IFERROR(LET(x, XLOOKUP(U$2, Players!$A$1:$P$1, Players!$A3:$P3),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4" s="29" t="str">
        <f t="array" ref="V4">IF($A4="", "", IFERROR(LET(x, XLOOKUP(V$2, Players!$A$1:$P$1, Players!$A3:$P3),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4" s="29" t="str">
        <f t="array" ref="W4">IF($A4="", "", IFERROR(LET(x, XLOOKUP(W$2, Players!$A$1:$P$1, Players!$A3:$P3),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5">
      <c r="A5" s="29" t="str">
        <f>IF(Players!A4="","",Players!A4)</f>
        <v/>
      </c>
      <c r="B5" s="29" t="str">
        <f t="array" ref="B5">IF($A5="", "", IFERROR(LET(x, XLOOKUP(B$2, Players!$A$1:$P$1, Players!$A4:$P4),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5" s="29" t="str">
        <f t="array" ref="C5">IF($A5="", "", IFERROR(LET(x, XLOOKUP(C$2, Players!$A$1:$P$1, Players!$A4:$P4),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5" s="29" t="str">
        <f t="array" ref="D5">IF($A5="", "", IFERROR(LET(x, XLOOKUP(D$2, Players!$A$1:$P$1, Players!$A4:$P4),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5" s="29" t="str">
        <f t="array" ref="E5">IF($A5="", "", IFERROR(LET(x, XLOOKUP(E$2, Players!$A$1:$P$1, Players!$A4:$P4),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5" s="29" t="str">
        <f t="array" ref="F5">IF($A5="", "", IFERROR(LET(x, XLOOKUP(F$2, Players!$A$1:$P$1, Players!$A4:$P4),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5" s="29" t="str">
        <f t="array" ref="G5">IF($A5="", "", IFERROR(LET(x, XLOOKUP(G$2, Players!$A$1:$P$1, Players!$A4:$P4),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5" s="29" t="str">
        <f t="array" ref="H5">IF($A5="", "", IFERROR(LET(x, XLOOKUP(H$2, Players!$A$1:$P$1, Players!$A4:$P4),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5" s="29" t="str">
        <f t="array" ref="I5">IF($A5="", "", IFERROR(LET(x, XLOOKUP(I$2, Players!$A$1:$P$1, Players!$A4:$P4),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5" s="29" t="str">
        <f t="array" ref="J5">IF($A5="", "", IFERROR(LET(x, XLOOKUP(J$2, Players!$A$1:$P$1, Players!$A4:$P4),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5" s="29" t="str">
        <f t="array" ref="K5">IF($A5="", "", IFERROR(LET(x, XLOOKUP(K$2, Players!$A$1:$P$1, Players!$A4:$P4),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5" s="29" t="str">
        <f t="array" ref="L5">IF($A5="", "", IFERROR(LET(x, XLOOKUP(L$2, Players!$A$1:$P$1, Players!$A4:$P4),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5" s="29" t="str">
        <f t="array" ref="M5">IF($A5="", "", IFERROR(LET(x, XLOOKUP(M$2, Players!$A$1:$P$1, Players!$A4:$P4),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5" s="29" t="str">
        <f t="array" ref="N5">IF($A5="", "", IFERROR(LET(x, XLOOKUP(N$2, Players!$A$1:$P$1, Players!$A4:$P4),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5" s="29" t="str">
        <f t="array" ref="O5">IF($A5="", "", IFERROR(LET(x, XLOOKUP(O$2, Players!$A$1:$P$1, Players!$A4:$P4),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5" s="29" t="str">
        <f t="array" ref="P5">IF($A5="", "", IFERROR(LET(x, XLOOKUP(P$2, Players!$A$1:$P$1, Players!$A4:$P4),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5" s="29" t="str">
        <f t="array" ref="Q5">IF($A5="", "", IFERROR(LET(x, XLOOKUP(Q$2, Players!$A$1:$P$1, Players!$A4:$P4),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5" s="29" t="str">
        <f t="array" ref="R5">IF($A5="", "", IFERROR(LET(x, XLOOKUP(R$2, Players!$A$1:$P$1, Players!$A4:$P4),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5" s="29" t="str">
        <f t="array" ref="S5">IF($A5="", "", IFERROR(LET(x, XLOOKUP(S$2, Players!$A$1:$P$1, Players!$A4:$P4),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5" s="29" t="str">
        <f t="array" ref="T5">IF($A5="", "", IFERROR(LET(x, XLOOKUP(T$2, Players!$A$1:$P$1, Players!$A4:$P4),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5" s="29" t="str">
        <f t="array" ref="U5">IF($A5="", "", IFERROR(LET(x, XLOOKUP(U$2, Players!$A$1:$P$1, Players!$A4:$P4),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5" s="29" t="str">
        <f t="array" ref="V5">IF($A5="", "", IFERROR(LET(x, XLOOKUP(V$2, Players!$A$1:$P$1, Players!$A4:$P4),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5" s="29" t="str">
        <f t="array" ref="W5">IF($A5="", "", IFERROR(LET(x, XLOOKUP(W$2, Players!$A$1:$P$1, Players!$A4:$P4),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6">
      <c r="A6" s="29" t="str">
        <f>IF(Players!A5="","",Players!A5)</f>
        <v/>
      </c>
      <c r="B6" s="29" t="str">
        <f t="array" ref="B6">IF($A6="", "", IFERROR(LET(x, XLOOKUP(B$2, Players!$A$1:$P$1, Players!$A5:$P5),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6" s="29" t="str">
        <f t="array" ref="C6">IF($A6="", "", IFERROR(LET(x, XLOOKUP(C$2, Players!$A$1:$P$1, Players!$A5:$P5),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6" s="29" t="str">
        <f t="array" ref="D6">IF($A6="", "", IFERROR(LET(x, XLOOKUP(D$2, Players!$A$1:$P$1, Players!$A5:$P5),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6" s="29" t="str">
        <f t="array" ref="E6">IF($A6="", "", IFERROR(LET(x, XLOOKUP(E$2, Players!$A$1:$P$1, Players!$A5:$P5),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6" s="29" t="str">
        <f t="array" ref="F6">IF($A6="", "", IFERROR(LET(x, XLOOKUP(F$2, Players!$A$1:$P$1, Players!$A5:$P5),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6" s="29" t="str">
        <f t="array" ref="G6">IF($A6="", "", IFERROR(LET(x, XLOOKUP(G$2, Players!$A$1:$P$1, Players!$A5:$P5),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6" s="29" t="str">
        <f t="array" ref="H6">IF($A6="", "", IFERROR(LET(x, XLOOKUP(H$2, Players!$A$1:$P$1, Players!$A5:$P5),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6" s="29" t="str">
        <f t="array" ref="I6">IF($A6="", "", IFERROR(LET(x, XLOOKUP(I$2, Players!$A$1:$P$1, Players!$A5:$P5),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6" s="29" t="str">
        <f t="array" ref="J6">IF($A6="", "", IFERROR(LET(x, XLOOKUP(J$2, Players!$A$1:$P$1, Players!$A5:$P5),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6" s="29" t="str">
        <f t="array" ref="K6">IF($A6="", "", IFERROR(LET(x, XLOOKUP(K$2, Players!$A$1:$P$1, Players!$A5:$P5),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6" s="29" t="str">
        <f t="array" ref="L6">IF($A6="", "", IFERROR(LET(x, XLOOKUP(L$2, Players!$A$1:$P$1, Players!$A5:$P5),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6" s="29" t="str">
        <f t="array" ref="M6">IF($A6="", "", IFERROR(LET(x, XLOOKUP(M$2, Players!$A$1:$P$1, Players!$A5:$P5),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6" s="29" t="str">
        <f t="array" ref="N6">IF($A6="", "", IFERROR(LET(x, XLOOKUP(N$2, Players!$A$1:$P$1, Players!$A5:$P5),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6" s="29" t="str">
        <f t="array" ref="O6">IF($A6="", "", IFERROR(LET(x, XLOOKUP(O$2, Players!$A$1:$P$1, Players!$A5:$P5),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6" s="29" t="str">
        <f t="array" ref="P6">IF($A6="", "", IFERROR(LET(x, XLOOKUP(P$2, Players!$A$1:$P$1, Players!$A5:$P5),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6" s="29" t="str">
        <f t="array" ref="Q6">IF($A6="", "", IFERROR(LET(x, XLOOKUP(Q$2, Players!$A$1:$P$1, Players!$A5:$P5),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6" s="29" t="str">
        <f t="array" ref="R6">IF($A6="", "", IFERROR(LET(x, XLOOKUP(R$2, Players!$A$1:$P$1, Players!$A5:$P5),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6" s="29" t="str">
        <f t="array" ref="S6">IF($A6="", "", IFERROR(LET(x, XLOOKUP(S$2, Players!$A$1:$P$1, Players!$A5:$P5),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6" s="29" t="str">
        <f t="array" ref="T6">IF($A6="", "", IFERROR(LET(x, XLOOKUP(T$2, Players!$A$1:$P$1, Players!$A5:$P5),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6" s="29" t="str">
        <f t="array" ref="U6">IF($A6="", "", IFERROR(LET(x, XLOOKUP(U$2, Players!$A$1:$P$1, Players!$A5:$P5),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6" s="29" t="str">
        <f t="array" ref="V6">IF($A6="", "", IFERROR(LET(x, XLOOKUP(V$2, Players!$A$1:$P$1, Players!$A5:$P5),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6" s="29" t="str">
        <f t="array" ref="W6">IF($A6="", "", IFERROR(LET(x, XLOOKUP(W$2, Players!$A$1:$P$1, Players!$A5:$P5),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7">
      <c r="A7" s="29" t="str">
        <f>IF(Players!A6="","",Players!A6)</f>
        <v/>
      </c>
      <c r="B7" s="29" t="str">
        <f t="array" ref="B7">IF($A7="", "", IFERROR(LET(x, XLOOKUP(B$2, Players!$A$1:$P$1, Players!$A6:$P6),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7" s="29" t="str">
        <f t="array" ref="C7">IF($A7="", "", IFERROR(LET(x, XLOOKUP(C$2, Players!$A$1:$P$1, Players!$A6:$P6),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7" s="29" t="str">
        <f t="array" ref="D7">IF($A7="", "", IFERROR(LET(x, XLOOKUP(D$2, Players!$A$1:$P$1, Players!$A6:$P6),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7" s="29" t="str">
        <f t="array" ref="E7">IF($A7="", "", IFERROR(LET(x, XLOOKUP(E$2, Players!$A$1:$P$1, Players!$A6:$P6),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7" s="29" t="str">
        <f t="array" ref="F7">IF($A7="", "", IFERROR(LET(x, XLOOKUP(F$2, Players!$A$1:$P$1, Players!$A6:$P6),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7" s="29" t="str">
        <f t="array" ref="G7">IF($A7="", "", IFERROR(LET(x, XLOOKUP(G$2, Players!$A$1:$P$1, Players!$A6:$P6),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7" s="29" t="str">
        <f t="array" ref="H7">IF($A7="", "", IFERROR(LET(x, XLOOKUP(H$2, Players!$A$1:$P$1, Players!$A6:$P6),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7" s="29" t="str">
        <f t="array" ref="I7">IF($A7="", "", IFERROR(LET(x, XLOOKUP(I$2, Players!$A$1:$P$1, Players!$A6:$P6),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7" s="29" t="str">
        <f t="array" ref="J7">IF($A7="", "", IFERROR(LET(x, XLOOKUP(J$2, Players!$A$1:$P$1, Players!$A6:$P6),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7" s="29" t="str">
        <f t="array" ref="K7">IF($A7="", "", IFERROR(LET(x, XLOOKUP(K$2, Players!$A$1:$P$1, Players!$A6:$P6),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7" s="29" t="str">
        <f t="array" ref="L7">IF($A7="", "", IFERROR(LET(x, XLOOKUP(L$2, Players!$A$1:$P$1, Players!$A6:$P6),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7" s="29" t="str">
        <f t="array" ref="M7">IF($A7="", "", IFERROR(LET(x, XLOOKUP(M$2, Players!$A$1:$P$1, Players!$A6:$P6),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7" s="29" t="str">
        <f t="array" ref="N7">IF($A7="", "", IFERROR(LET(x, XLOOKUP(N$2, Players!$A$1:$P$1, Players!$A6:$P6),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7" s="29" t="str">
        <f t="array" ref="O7">IF($A7="", "", IFERROR(LET(x, XLOOKUP(O$2, Players!$A$1:$P$1, Players!$A6:$P6),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7" s="29" t="str">
        <f t="array" ref="P7">IF($A7="", "", IFERROR(LET(x, XLOOKUP(P$2, Players!$A$1:$P$1, Players!$A6:$P6),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7" s="29" t="str">
        <f t="array" ref="Q7">IF($A7="", "", IFERROR(LET(x, XLOOKUP(Q$2, Players!$A$1:$P$1, Players!$A6:$P6),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7" s="29" t="str">
        <f t="array" ref="R7">IF($A7="", "", IFERROR(LET(x, XLOOKUP(R$2, Players!$A$1:$P$1, Players!$A6:$P6),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7" s="29" t="str">
        <f t="array" ref="S7">IF($A7="", "", IFERROR(LET(x, XLOOKUP(S$2, Players!$A$1:$P$1, Players!$A6:$P6),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7" s="29" t="str">
        <f t="array" ref="T7">IF($A7="", "", IFERROR(LET(x, XLOOKUP(T$2, Players!$A$1:$P$1, Players!$A6:$P6),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7" s="29" t="str">
        <f t="array" ref="U7">IF($A7="", "", IFERROR(LET(x, XLOOKUP(U$2, Players!$A$1:$P$1, Players!$A6:$P6),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7" s="29" t="str">
        <f t="array" ref="V7">IF($A7="", "", IFERROR(LET(x, XLOOKUP(V$2, Players!$A$1:$P$1, Players!$A6:$P6),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7" s="29" t="str">
        <f t="array" ref="W7">IF($A7="", "", IFERROR(LET(x, XLOOKUP(W$2, Players!$A$1:$P$1, Players!$A6:$P6),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8">
      <c r="A8" s="29" t="str">
        <f>IF(Players!A7="","",Players!A7)</f>
        <v/>
      </c>
      <c r="B8" s="29" t="str">
        <f t="array" ref="B8">IF($A8="", "", IFERROR(LET(x, XLOOKUP(B$2, Players!$A$1:$P$1, Players!$A7:$P7),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8" s="29" t="str">
        <f t="array" ref="C8">IF($A8="", "", IFERROR(LET(x, XLOOKUP(C$2, Players!$A$1:$P$1, Players!$A7:$P7),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8" s="29" t="str">
        <f t="array" ref="D8">IF($A8="", "", IFERROR(LET(x, XLOOKUP(D$2, Players!$A$1:$P$1, Players!$A7:$P7),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8" s="29" t="str">
        <f t="array" ref="E8">IF($A8="", "", IFERROR(LET(x, XLOOKUP(E$2, Players!$A$1:$P$1, Players!$A7:$P7),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8" s="29" t="str">
        <f t="array" ref="F8">IF($A8="", "", IFERROR(LET(x, XLOOKUP(F$2, Players!$A$1:$P$1, Players!$A7:$P7),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8" s="29" t="str">
        <f t="array" ref="G8">IF($A8="", "", IFERROR(LET(x, XLOOKUP(G$2, Players!$A$1:$P$1, Players!$A7:$P7),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8" s="29" t="str">
        <f t="array" ref="H8">IF($A8="", "", IFERROR(LET(x, XLOOKUP(H$2, Players!$A$1:$P$1, Players!$A7:$P7),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8" s="29" t="str">
        <f t="array" ref="I8">IF($A8="", "", IFERROR(LET(x, XLOOKUP(I$2, Players!$A$1:$P$1, Players!$A7:$P7),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8" s="29" t="str">
        <f t="array" ref="J8">IF($A8="", "", IFERROR(LET(x, XLOOKUP(J$2, Players!$A$1:$P$1, Players!$A7:$P7),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8" s="29" t="str">
        <f t="array" ref="K8">IF($A8="", "", IFERROR(LET(x, XLOOKUP(K$2, Players!$A$1:$P$1, Players!$A7:$P7),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8" s="29" t="str">
        <f t="array" ref="L8">IF($A8="", "", IFERROR(LET(x, XLOOKUP(L$2, Players!$A$1:$P$1, Players!$A7:$P7),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8" s="29" t="str">
        <f t="array" ref="M8">IF($A8="", "", IFERROR(LET(x, XLOOKUP(M$2, Players!$A$1:$P$1, Players!$A7:$P7),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8" s="29" t="str">
        <f t="array" ref="N8">IF($A8="", "", IFERROR(LET(x, XLOOKUP(N$2, Players!$A$1:$P$1, Players!$A7:$P7),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8" s="29" t="str">
        <f t="array" ref="O8">IF($A8="", "", IFERROR(LET(x, XLOOKUP(O$2, Players!$A$1:$P$1, Players!$A7:$P7),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8" s="29" t="str">
        <f t="array" ref="P8">IF($A8="", "", IFERROR(LET(x, XLOOKUP(P$2, Players!$A$1:$P$1, Players!$A7:$P7),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8" s="29" t="str">
        <f t="array" ref="Q8">IF($A8="", "", IFERROR(LET(x, XLOOKUP(Q$2, Players!$A$1:$P$1, Players!$A7:$P7),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8" s="29" t="str">
        <f t="array" ref="R8">IF($A8="", "", IFERROR(LET(x, XLOOKUP(R$2, Players!$A$1:$P$1, Players!$A7:$P7),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8" s="29" t="str">
        <f t="array" ref="S8">IF($A8="", "", IFERROR(LET(x, XLOOKUP(S$2, Players!$A$1:$P$1, Players!$A7:$P7),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8" s="29" t="str">
        <f t="array" ref="T8">IF($A8="", "", IFERROR(LET(x, XLOOKUP(T$2, Players!$A$1:$P$1, Players!$A7:$P7),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8" s="29" t="str">
        <f t="array" ref="U8">IF($A8="", "", IFERROR(LET(x, XLOOKUP(U$2, Players!$A$1:$P$1, Players!$A7:$P7),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8" s="29" t="str">
        <f t="array" ref="V8">IF($A8="", "", IFERROR(LET(x, XLOOKUP(V$2, Players!$A$1:$P$1, Players!$A7:$P7),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8" s="29" t="str">
        <f t="array" ref="W8">IF($A8="", "", IFERROR(LET(x, XLOOKUP(W$2, Players!$A$1:$P$1, Players!$A7:$P7),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9">
      <c r="A9" s="29" t="str">
        <f>IF(Players!A8="","",Players!A8)</f>
        <v/>
      </c>
      <c r="B9" s="29" t="str">
        <f t="array" ref="B9">IF($A9="", "", IFERROR(LET(x, XLOOKUP(B$2, Players!$A$1:$P$1, Players!$A8:$P8),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9" s="29" t="str">
        <f t="array" ref="C9">IF($A9="", "", IFERROR(LET(x, XLOOKUP(C$2, Players!$A$1:$P$1, Players!$A8:$P8),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9" s="29" t="str">
        <f t="array" ref="D9">IF($A9="", "", IFERROR(LET(x, XLOOKUP(D$2, Players!$A$1:$P$1, Players!$A8:$P8),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9" s="29" t="str">
        <f t="array" ref="E9">IF($A9="", "", IFERROR(LET(x, XLOOKUP(E$2, Players!$A$1:$P$1, Players!$A8:$P8),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9" s="29" t="str">
        <f t="array" ref="F9">IF($A9="", "", IFERROR(LET(x, XLOOKUP(F$2, Players!$A$1:$P$1, Players!$A8:$P8),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9" s="29" t="str">
        <f t="array" ref="G9">IF($A9="", "", IFERROR(LET(x, XLOOKUP(G$2, Players!$A$1:$P$1, Players!$A8:$P8),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9" s="29" t="str">
        <f t="array" ref="H9">IF($A9="", "", IFERROR(LET(x, XLOOKUP(H$2, Players!$A$1:$P$1, Players!$A8:$P8),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9" s="29" t="str">
        <f t="array" ref="I9">IF($A9="", "", IFERROR(LET(x, XLOOKUP(I$2, Players!$A$1:$P$1, Players!$A8:$P8),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9" s="29" t="str">
        <f t="array" ref="J9">IF($A9="", "", IFERROR(LET(x, XLOOKUP(J$2, Players!$A$1:$P$1, Players!$A8:$P8),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9" s="29" t="str">
        <f t="array" ref="K9">IF($A9="", "", IFERROR(LET(x, XLOOKUP(K$2, Players!$A$1:$P$1, Players!$A8:$P8),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9" s="29" t="str">
        <f t="array" ref="L9">IF($A9="", "", IFERROR(LET(x, XLOOKUP(L$2, Players!$A$1:$P$1, Players!$A8:$P8),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9" s="29" t="str">
        <f t="array" ref="M9">IF($A9="", "", IFERROR(LET(x, XLOOKUP(M$2, Players!$A$1:$P$1, Players!$A8:$P8),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9" s="29" t="str">
        <f t="array" ref="N9">IF($A9="", "", IFERROR(LET(x, XLOOKUP(N$2, Players!$A$1:$P$1, Players!$A8:$P8),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9" s="29" t="str">
        <f t="array" ref="O9">IF($A9="", "", IFERROR(LET(x, XLOOKUP(O$2, Players!$A$1:$P$1, Players!$A8:$P8),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9" s="29" t="str">
        <f t="array" ref="P9">IF($A9="", "", IFERROR(LET(x, XLOOKUP(P$2, Players!$A$1:$P$1, Players!$A8:$P8),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9" s="29" t="str">
        <f t="array" ref="Q9">IF($A9="", "", IFERROR(LET(x, XLOOKUP(Q$2, Players!$A$1:$P$1, Players!$A8:$P8),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9" s="29" t="str">
        <f t="array" ref="R9">IF($A9="", "", IFERROR(LET(x, XLOOKUP(R$2, Players!$A$1:$P$1, Players!$A8:$P8),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9" s="29" t="str">
        <f t="array" ref="S9">IF($A9="", "", IFERROR(LET(x, XLOOKUP(S$2, Players!$A$1:$P$1, Players!$A8:$P8),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9" s="29" t="str">
        <f t="array" ref="T9">IF($A9="", "", IFERROR(LET(x, XLOOKUP(T$2, Players!$A$1:$P$1, Players!$A8:$P8),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9" s="29" t="str">
        <f t="array" ref="U9">IF($A9="", "", IFERROR(LET(x, XLOOKUP(U$2, Players!$A$1:$P$1, Players!$A8:$P8),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9" s="29" t="str">
        <f t="array" ref="V9">IF($A9="", "", IFERROR(LET(x, XLOOKUP(V$2, Players!$A$1:$P$1, Players!$A8:$P8),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9" s="29" t="str">
        <f t="array" ref="W9">IF($A9="", "", IFERROR(LET(x, XLOOKUP(W$2, Players!$A$1:$P$1, Players!$A8:$P8),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10">
      <c r="A10" s="29" t="str">
        <f>IF(Players!A9="","",Players!A9)</f>
        <v/>
      </c>
      <c r="B10" s="29" t="str">
        <f t="array" ref="B10">IF($A10="", "", IFERROR(LET(x, XLOOKUP(B$2, Players!$A$1:$P$1, Players!$A9:$P9),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10" s="29" t="str">
        <f t="array" ref="C10">IF($A10="", "", IFERROR(LET(x, XLOOKUP(C$2, Players!$A$1:$P$1, Players!$A9:$P9),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10" s="29" t="str">
        <f t="array" ref="D10">IF($A10="", "", IFERROR(LET(x, XLOOKUP(D$2, Players!$A$1:$P$1, Players!$A9:$P9),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10" s="29" t="str">
        <f t="array" ref="E10">IF($A10="", "", IFERROR(LET(x, XLOOKUP(E$2, Players!$A$1:$P$1, Players!$A9:$P9),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10" s="29" t="str">
        <f t="array" ref="F10">IF($A10="", "", IFERROR(LET(x, XLOOKUP(F$2, Players!$A$1:$P$1, Players!$A9:$P9),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10" s="29" t="str">
        <f t="array" ref="G10">IF($A10="", "", IFERROR(LET(x, XLOOKUP(G$2, Players!$A$1:$P$1, Players!$A9:$P9),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10" s="29" t="str">
        <f t="array" ref="H10">IF($A10="", "", IFERROR(LET(x, XLOOKUP(H$2, Players!$A$1:$P$1, Players!$A9:$P9),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10" s="29" t="str">
        <f t="array" ref="I10">IF($A10="", "", IFERROR(LET(x, XLOOKUP(I$2, Players!$A$1:$P$1, Players!$A9:$P9),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10" s="29" t="str">
        <f t="array" ref="J10">IF($A10="", "", IFERROR(LET(x, XLOOKUP(J$2, Players!$A$1:$P$1, Players!$A9:$P9),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10" s="29" t="str">
        <f t="array" ref="K10">IF($A10="", "", IFERROR(LET(x, XLOOKUP(K$2, Players!$A$1:$P$1, Players!$A9:$P9),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10" s="29" t="str">
        <f t="array" ref="L10">IF($A10="", "", IFERROR(LET(x, XLOOKUP(L$2, Players!$A$1:$P$1, Players!$A9:$P9),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10" s="29" t="str">
        <f t="array" ref="M10">IF($A10="", "", IFERROR(LET(x, XLOOKUP(M$2, Players!$A$1:$P$1, Players!$A9:$P9),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10" s="29" t="str">
        <f t="array" ref="N10">IF($A10="", "", IFERROR(LET(x, XLOOKUP(N$2, Players!$A$1:$P$1, Players!$A9:$P9),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10" s="29" t="str">
        <f t="array" ref="O10">IF($A10="", "", IFERROR(LET(x, XLOOKUP(O$2, Players!$A$1:$P$1, Players!$A9:$P9),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10" s="29" t="str">
        <f t="array" ref="P10">IF($A10="", "", IFERROR(LET(x, XLOOKUP(P$2, Players!$A$1:$P$1, Players!$A9:$P9),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10" s="29" t="str">
        <f t="array" ref="Q10">IF($A10="", "", IFERROR(LET(x, XLOOKUP(Q$2, Players!$A$1:$P$1, Players!$A9:$P9),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10" s="29" t="str">
        <f t="array" ref="R10">IF($A10="", "", IFERROR(LET(x, XLOOKUP(R$2, Players!$A$1:$P$1, Players!$A9:$P9),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10" s="29" t="str">
        <f t="array" ref="S10">IF($A10="", "", IFERROR(LET(x, XLOOKUP(S$2, Players!$A$1:$P$1, Players!$A9:$P9),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10" s="29" t="str">
        <f t="array" ref="T10">IF($A10="", "", IFERROR(LET(x, XLOOKUP(T$2, Players!$A$1:$P$1, Players!$A9:$P9),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10" s="29" t="str">
        <f t="array" ref="U10">IF($A10="", "", IFERROR(LET(x, XLOOKUP(U$2, Players!$A$1:$P$1, Players!$A9:$P9),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10" s="29" t="str">
        <f t="array" ref="V10">IF($A10="", "", IFERROR(LET(x, XLOOKUP(V$2, Players!$A$1:$P$1, Players!$A9:$P9),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10" s="29" t="str">
        <f t="array" ref="W10">IF($A10="", "", IFERROR(LET(x, XLOOKUP(W$2, Players!$A$1:$P$1, Players!$A9:$P9),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11">
      <c r="A11" s="29" t="str">
        <f>IF(Players!A10="","",Players!A10)</f>
        <v/>
      </c>
      <c r="B11" s="29" t="str">
        <f t="array" ref="B11">IF($A11="", "", IFERROR(LET(x, XLOOKUP(B$2, Players!$A$1:$P$1, Players!$A10:$P10),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11" s="29" t="str">
        <f t="array" ref="C11">IF($A11="", "", IFERROR(LET(x, XLOOKUP(C$2, Players!$A$1:$P$1, Players!$A10:$P10),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11" s="29" t="str">
        <f t="array" ref="D11">IF($A11="", "", IFERROR(LET(x, XLOOKUP(D$2, Players!$A$1:$P$1, Players!$A10:$P10),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11" s="29" t="str">
        <f t="array" ref="E11">IF($A11="", "", IFERROR(LET(x, XLOOKUP(E$2, Players!$A$1:$P$1, Players!$A10:$P10),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11" s="29" t="str">
        <f t="array" ref="F11">IF($A11="", "", IFERROR(LET(x, XLOOKUP(F$2, Players!$A$1:$P$1, Players!$A10:$P10),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11" s="29" t="str">
        <f t="array" ref="G11">IF($A11="", "", IFERROR(LET(x, XLOOKUP(G$2, Players!$A$1:$P$1, Players!$A10:$P10),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11" s="29" t="str">
        <f t="array" ref="H11">IF($A11="", "", IFERROR(LET(x, XLOOKUP(H$2, Players!$A$1:$P$1, Players!$A10:$P10),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11" s="29" t="str">
        <f t="array" ref="I11">IF($A11="", "", IFERROR(LET(x, XLOOKUP(I$2, Players!$A$1:$P$1, Players!$A10:$P10),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11" s="29" t="str">
        <f t="array" ref="J11">IF($A11="", "", IFERROR(LET(x, XLOOKUP(J$2, Players!$A$1:$P$1, Players!$A10:$P10),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11" s="29" t="str">
        <f t="array" ref="K11">IF($A11="", "", IFERROR(LET(x, XLOOKUP(K$2, Players!$A$1:$P$1, Players!$A10:$P10),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11" s="29" t="str">
        <f t="array" ref="L11">IF($A11="", "", IFERROR(LET(x, XLOOKUP(L$2, Players!$A$1:$P$1, Players!$A10:$P10),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11" s="29" t="str">
        <f t="array" ref="M11">IF($A11="", "", IFERROR(LET(x, XLOOKUP(M$2, Players!$A$1:$P$1, Players!$A10:$P10),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11" s="29" t="str">
        <f t="array" ref="N11">IF($A11="", "", IFERROR(LET(x, XLOOKUP(N$2, Players!$A$1:$P$1, Players!$A10:$P10),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11" s="29" t="str">
        <f t="array" ref="O11">IF($A11="", "", IFERROR(LET(x, XLOOKUP(O$2, Players!$A$1:$P$1, Players!$A10:$P10),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11" s="29" t="str">
        <f t="array" ref="P11">IF($A11="", "", IFERROR(LET(x, XLOOKUP(P$2, Players!$A$1:$P$1, Players!$A10:$P10),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11" s="29" t="str">
        <f t="array" ref="Q11">IF($A11="", "", IFERROR(LET(x, XLOOKUP(Q$2, Players!$A$1:$P$1, Players!$A10:$P10),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11" s="29" t="str">
        <f t="array" ref="R11">IF($A11="", "", IFERROR(LET(x, XLOOKUP(R$2, Players!$A$1:$P$1, Players!$A10:$P10),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11" s="29" t="str">
        <f t="array" ref="S11">IF($A11="", "", IFERROR(LET(x, XLOOKUP(S$2, Players!$A$1:$P$1, Players!$A10:$P10),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11" s="29" t="str">
        <f t="array" ref="T11">IF($A11="", "", IFERROR(LET(x, XLOOKUP(T$2, Players!$A$1:$P$1, Players!$A10:$P10),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11" s="29" t="str">
        <f t="array" ref="U11">IF($A11="", "", IFERROR(LET(x, XLOOKUP(U$2, Players!$A$1:$P$1, Players!$A10:$P10),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11" s="29" t="str">
        <f t="array" ref="V11">IF($A11="", "", IFERROR(LET(x, XLOOKUP(V$2, Players!$A$1:$P$1, Players!$A10:$P10),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11" s="29" t="str">
        <f t="array" ref="W11">IF($A11="", "", IFERROR(LET(x, XLOOKUP(W$2, Players!$A$1:$P$1, Players!$A10:$P10),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12">
      <c r="A12" s="29" t="str">
        <f>IF(Players!A11="","",Players!A11)</f>
        <v/>
      </c>
      <c r="B12" s="29" t="str">
        <f t="array" ref="B12">IF($A12="", "", IFERROR(LET(x, XLOOKUP(B$2, Players!$A$1:$P$1, Players!$A11:$P11),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12" s="29" t="str">
        <f t="array" ref="C12">IF($A12="", "", IFERROR(LET(x, XLOOKUP(C$2, Players!$A$1:$P$1, Players!$A11:$P11),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12" s="29" t="str">
        <f t="array" ref="D12">IF($A12="", "", IFERROR(LET(x, XLOOKUP(D$2, Players!$A$1:$P$1, Players!$A11:$P11),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12" s="29" t="str">
        <f t="array" ref="E12">IF($A12="", "", IFERROR(LET(x, XLOOKUP(E$2, Players!$A$1:$P$1, Players!$A11:$P11),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12" s="29" t="str">
        <f t="array" ref="F12">IF($A12="", "", IFERROR(LET(x, XLOOKUP(F$2, Players!$A$1:$P$1, Players!$A11:$P11),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12" s="29" t="str">
        <f t="array" ref="G12">IF($A12="", "", IFERROR(LET(x, XLOOKUP(G$2, Players!$A$1:$P$1, Players!$A11:$P11),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12" s="29" t="str">
        <f t="array" ref="H12">IF($A12="", "", IFERROR(LET(x, XLOOKUP(H$2, Players!$A$1:$P$1, Players!$A11:$P11),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12" s="29" t="str">
        <f t="array" ref="I12">IF($A12="", "", IFERROR(LET(x, XLOOKUP(I$2, Players!$A$1:$P$1, Players!$A11:$P11),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12" s="29" t="str">
        <f t="array" ref="J12">IF($A12="", "", IFERROR(LET(x, XLOOKUP(J$2, Players!$A$1:$P$1, Players!$A11:$P11),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12" s="29" t="str">
        <f t="array" ref="K12">IF($A12="", "", IFERROR(LET(x, XLOOKUP(K$2, Players!$A$1:$P$1, Players!$A11:$P11),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12" s="29" t="str">
        <f t="array" ref="L12">IF($A12="", "", IFERROR(LET(x, XLOOKUP(L$2, Players!$A$1:$P$1, Players!$A11:$P11),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12" s="29" t="str">
        <f t="array" ref="M12">IF($A12="", "", IFERROR(LET(x, XLOOKUP(M$2, Players!$A$1:$P$1, Players!$A11:$P11),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12" s="29" t="str">
        <f t="array" ref="N12">IF($A12="", "", IFERROR(LET(x, XLOOKUP(N$2, Players!$A$1:$P$1, Players!$A11:$P11),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12" s="29" t="str">
        <f t="array" ref="O12">IF($A12="", "", IFERROR(LET(x, XLOOKUP(O$2, Players!$A$1:$P$1, Players!$A11:$P11),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12" s="29" t="str">
        <f t="array" ref="P12">IF($A12="", "", IFERROR(LET(x, XLOOKUP(P$2, Players!$A$1:$P$1, Players!$A11:$P11),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12" s="29" t="str">
        <f t="array" ref="Q12">IF($A12="", "", IFERROR(LET(x, XLOOKUP(Q$2, Players!$A$1:$P$1, Players!$A11:$P11),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12" s="29" t="str">
        <f t="array" ref="R12">IF($A12="", "", IFERROR(LET(x, XLOOKUP(R$2, Players!$A$1:$P$1, Players!$A11:$P11),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12" s="29" t="str">
        <f t="array" ref="S12">IF($A12="", "", IFERROR(LET(x, XLOOKUP(S$2, Players!$A$1:$P$1, Players!$A11:$P11),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12" s="29" t="str">
        <f t="array" ref="T12">IF($A12="", "", IFERROR(LET(x, XLOOKUP(T$2, Players!$A$1:$P$1, Players!$A11:$P11),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12" s="29" t="str">
        <f t="array" ref="U12">IF($A12="", "", IFERROR(LET(x, XLOOKUP(U$2, Players!$A$1:$P$1, Players!$A11:$P11),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12" s="29" t="str">
        <f t="array" ref="V12">IF($A12="", "", IFERROR(LET(x, XLOOKUP(V$2, Players!$A$1:$P$1, Players!$A11:$P11),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12" s="29" t="str">
        <f t="array" ref="W12">IF($A12="", "", IFERROR(LET(x, XLOOKUP(W$2, Players!$A$1:$P$1, Players!$A11:$P11),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13">
      <c r="A13" s="29" t="str">
        <f>IF(Players!A12="","",Players!A12)</f>
        <v/>
      </c>
      <c r="B13" s="29" t="str">
        <f t="array" ref="B13">IF($A13="", "", IFERROR(LET(x, XLOOKUP(B$2, Players!$A$1:$P$1, Players!$A12:$P12),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13" s="29" t="str">
        <f t="array" ref="C13">IF($A13="", "", IFERROR(LET(x, XLOOKUP(C$2, Players!$A$1:$P$1, Players!$A12:$P12),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13" s="29" t="str">
        <f t="array" ref="D13">IF($A13="", "", IFERROR(LET(x, XLOOKUP(D$2, Players!$A$1:$P$1, Players!$A12:$P12),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13" s="29" t="str">
        <f t="array" ref="E13">IF($A13="", "", IFERROR(LET(x, XLOOKUP(E$2, Players!$A$1:$P$1, Players!$A12:$P12),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13" s="29" t="str">
        <f t="array" ref="F13">IF($A13="", "", IFERROR(LET(x, XLOOKUP(F$2, Players!$A$1:$P$1, Players!$A12:$P12),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13" s="29" t="str">
        <f t="array" ref="G13">IF($A13="", "", IFERROR(LET(x, XLOOKUP(G$2, Players!$A$1:$P$1, Players!$A12:$P12),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13" s="29" t="str">
        <f t="array" ref="H13">IF($A13="", "", IFERROR(LET(x, XLOOKUP(H$2, Players!$A$1:$P$1, Players!$A12:$P12),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13" s="29" t="str">
        <f t="array" ref="I13">IF($A13="", "", IFERROR(LET(x, XLOOKUP(I$2, Players!$A$1:$P$1, Players!$A12:$P12),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13" s="29" t="str">
        <f t="array" ref="J13">IF($A13="", "", IFERROR(LET(x, XLOOKUP(J$2, Players!$A$1:$P$1, Players!$A12:$P12),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13" s="29" t="str">
        <f t="array" ref="K13">IF($A13="", "", IFERROR(LET(x, XLOOKUP(K$2, Players!$A$1:$P$1, Players!$A12:$P12),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13" s="29" t="str">
        <f t="array" ref="L13">IF($A13="", "", IFERROR(LET(x, XLOOKUP(L$2, Players!$A$1:$P$1, Players!$A12:$P12),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13" s="29" t="str">
        <f t="array" ref="M13">IF($A13="", "", IFERROR(LET(x, XLOOKUP(M$2, Players!$A$1:$P$1, Players!$A12:$P12),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13" s="29" t="str">
        <f t="array" ref="N13">IF($A13="", "", IFERROR(LET(x, XLOOKUP(N$2, Players!$A$1:$P$1, Players!$A12:$P12),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13" s="29" t="str">
        <f t="array" ref="O13">IF($A13="", "", IFERROR(LET(x, XLOOKUP(O$2, Players!$A$1:$P$1, Players!$A12:$P12),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13" s="29" t="str">
        <f t="array" ref="P13">IF($A13="", "", IFERROR(LET(x, XLOOKUP(P$2, Players!$A$1:$P$1, Players!$A12:$P12),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13" s="29" t="str">
        <f t="array" ref="Q13">IF($A13="", "", IFERROR(LET(x, XLOOKUP(Q$2, Players!$A$1:$P$1, Players!$A12:$P12),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13" s="29" t="str">
        <f t="array" ref="R13">IF($A13="", "", IFERROR(LET(x, XLOOKUP(R$2, Players!$A$1:$P$1, Players!$A12:$P12),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13" s="29" t="str">
        <f t="array" ref="S13">IF($A13="", "", IFERROR(LET(x, XLOOKUP(S$2, Players!$A$1:$P$1, Players!$A12:$P12),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13" s="29" t="str">
        <f t="array" ref="T13">IF($A13="", "", IFERROR(LET(x, XLOOKUP(T$2, Players!$A$1:$P$1, Players!$A12:$P12),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13" s="29" t="str">
        <f t="array" ref="U13">IF($A13="", "", IFERROR(LET(x, XLOOKUP(U$2, Players!$A$1:$P$1, Players!$A12:$P12),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13" s="29" t="str">
        <f t="array" ref="V13">IF($A13="", "", IFERROR(LET(x, XLOOKUP(V$2, Players!$A$1:$P$1, Players!$A12:$P12),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13" s="29" t="str">
        <f t="array" ref="W13">IF($A13="", "", IFERROR(LET(x, XLOOKUP(W$2, Players!$A$1:$P$1, Players!$A12:$P12),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14">
      <c r="A14" s="29" t="str">
        <f>IF(Players!A13="","",Players!A13)</f>
        <v/>
      </c>
      <c r="B14" s="29" t="str">
        <f t="array" ref="B14">IF($A14="", "", IFERROR(LET(x, XLOOKUP(B$2, Players!$A$1:$P$1, Players!$A13:$P13),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14" s="29" t="str">
        <f t="array" ref="C14">IF($A14="", "", IFERROR(LET(x, XLOOKUP(C$2, Players!$A$1:$P$1, Players!$A13:$P13),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14" s="29" t="str">
        <f t="array" ref="D14">IF($A14="", "", IFERROR(LET(x, XLOOKUP(D$2, Players!$A$1:$P$1, Players!$A13:$P13),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14" s="29" t="str">
        <f t="array" ref="E14">IF($A14="", "", IFERROR(LET(x, XLOOKUP(E$2, Players!$A$1:$P$1, Players!$A13:$P13),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14" s="29" t="str">
        <f t="array" ref="F14">IF($A14="", "", IFERROR(LET(x, XLOOKUP(F$2, Players!$A$1:$P$1, Players!$A13:$P13),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14" s="29" t="str">
        <f t="array" ref="G14">IF($A14="", "", IFERROR(LET(x, XLOOKUP(G$2, Players!$A$1:$P$1, Players!$A13:$P13),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14" s="29" t="str">
        <f t="array" ref="H14">IF($A14="", "", IFERROR(LET(x, XLOOKUP(H$2, Players!$A$1:$P$1, Players!$A13:$P13),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14" s="29" t="str">
        <f t="array" ref="I14">IF($A14="", "", IFERROR(LET(x, XLOOKUP(I$2, Players!$A$1:$P$1, Players!$A13:$P13),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14" s="29" t="str">
        <f t="array" ref="J14">IF($A14="", "", IFERROR(LET(x, XLOOKUP(J$2, Players!$A$1:$P$1, Players!$A13:$P13),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14" s="29" t="str">
        <f t="array" ref="K14">IF($A14="", "", IFERROR(LET(x, XLOOKUP(K$2, Players!$A$1:$P$1, Players!$A13:$P13),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14" s="29" t="str">
        <f t="array" ref="L14">IF($A14="", "", IFERROR(LET(x, XLOOKUP(L$2, Players!$A$1:$P$1, Players!$A13:$P13),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14" s="29" t="str">
        <f t="array" ref="M14">IF($A14="", "", IFERROR(LET(x, XLOOKUP(M$2, Players!$A$1:$P$1, Players!$A13:$P13),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14" s="29" t="str">
        <f t="array" ref="N14">IF($A14="", "", IFERROR(LET(x, XLOOKUP(N$2, Players!$A$1:$P$1, Players!$A13:$P13),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14" s="29" t="str">
        <f t="array" ref="O14">IF($A14="", "", IFERROR(LET(x, XLOOKUP(O$2, Players!$A$1:$P$1, Players!$A13:$P13),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14" s="29" t="str">
        <f t="array" ref="P14">IF($A14="", "", IFERROR(LET(x, XLOOKUP(P$2, Players!$A$1:$P$1, Players!$A13:$P13),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14" s="29" t="str">
        <f t="array" ref="Q14">IF($A14="", "", IFERROR(LET(x, XLOOKUP(Q$2, Players!$A$1:$P$1, Players!$A13:$P13),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14" s="29" t="str">
        <f t="array" ref="R14">IF($A14="", "", IFERROR(LET(x, XLOOKUP(R$2, Players!$A$1:$P$1, Players!$A13:$P13),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14" s="29" t="str">
        <f t="array" ref="S14">IF($A14="", "", IFERROR(LET(x, XLOOKUP(S$2, Players!$A$1:$P$1, Players!$A13:$P13),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14" s="29" t="str">
        <f t="array" ref="T14">IF($A14="", "", IFERROR(LET(x, XLOOKUP(T$2, Players!$A$1:$P$1, Players!$A13:$P13),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14" s="29" t="str">
        <f t="array" ref="U14">IF($A14="", "", IFERROR(LET(x, XLOOKUP(U$2, Players!$A$1:$P$1, Players!$A13:$P13),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14" s="29" t="str">
        <f t="array" ref="V14">IF($A14="", "", IFERROR(LET(x, XLOOKUP(V$2, Players!$A$1:$P$1, Players!$A13:$P13),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14" s="29" t="str">
        <f t="array" ref="W14">IF($A14="", "", IFERROR(LET(x, XLOOKUP(W$2, Players!$A$1:$P$1, Players!$A13:$P13),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15">
      <c r="A15" s="29" t="str">
        <f>IF(Players!A14="","",Players!A14)</f>
        <v/>
      </c>
      <c r="B15" s="29" t="str">
        <f t="array" ref="B15">IF($A15="", "", IFERROR(LET(x, XLOOKUP(B$2, Players!$A$1:$P$1, Players!$A14:$P14),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15" s="29" t="str">
        <f t="array" ref="C15">IF($A15="", "", IFERROR(LET(x, XLOOKUP(C$2, Players!$A$1:$P$1, Players!$A14:$P14),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15" s="29" t="str">
        <f t="array" ref="D15">IF($A15="", "", IFERROR(LET(x, XLOOKUP(D$2, Players!$A$1:$P$1, Players!$A14:$P14),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15" s="29" t="str">
        <f t="array" ref="E15">IF($A15="", "", IFERROR(LET(x, XLOOKUP(E$2, Players!$A$1:$P$1, Players!$A14:$P14),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15" s="29" t="str">
        <f t="array" ref="F15">IF($A15="", "", IFERROR(LET(x, XLOOKUP(F$2, Players!$A$1:$P$1, Players!$A14:$P14),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15" s="29" t="str">
        <f t="array" ref="G15">IF($A15="", "", IFERROR(LET(x, XLOOKUP(G$2, Players!$A$1:$P$1, Players!$A14:$P14),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15" s="29" t="str">
        <f t="array" ref="H15">IF($A15="", "", IFERROR(LET(x, XLOOKUP(H$2, Players!$A$1:$P$1, Players!$A14:$P14),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15" s="29" t="str">
        <f t="array" ref="I15">IF($A15="", "", IFERROR(LET(x, XLOOKUP(I$2, Players!$A$1:$P$1, Players!$A14:$P14),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15" s="29" t="str">
        <f t="array" ref="J15">IF($A15="", "", IFERROR(LET(x, XLOOKUP(J$2, Players!$A$1:$P$1, Players!$A14:$P14),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15" s="29" t="str">
        <f t="array" ref="K15">IF($A15="", "", IFERROR(LET(x, XLOOKUP(K$2, Players!$A$1:$P$1, Players!$A14:$P14),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15" s="29" t="str">
        <f t="array" ref="L15">IF($A15="", "", IFERROR(LET(x, XLOOKUP(L$2, Players!$A$1:$P$1, Players!$A14:$P14),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15" s="29" t="str">
        <f t="array" ref="M15">IF($A15="", "", IFERROR(LET(x, XLOOKUP(M$2, Players!$A$1:$P$1, Players!$A14:$P14),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15" s="29" t="str">
        <f t="array" ref="N15">IF($A15="", "", IFERROR(LET(x, XLOOKUP(N$2, Players!$A$1:$P$1, Players!$A14:$P14),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15" s="29" t="str">
        <f t="array" ref="O15">IF($A15="", "", IFERROR(LET(x, XLOOKUP(O$2, Players!$A$1:$P$1, Players!$A14:$P14),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15" s="29" t="str">
        <f t="array" ref="P15">IF($A15="", "", IFERROR(LET(x, XLOOKUP(P$2, Players!$A$1:$P$1, Players!$A14:$P14),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15" s="29" t="str">
        <f t="array" ref="Q15">IF($A15="", "", IFERROR(LET(x, XLOOKUP(Q$2, Players!$A$1:$P$1, Players!$A14:$P14),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15" s="29" t="str">
        <f t="array" ref="R15">IF($A15="", "", IFERROR(LET(x, XLOOKUP(R$2, Players!$A$1:$P$1, Players!$A14:$P14),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15" s="29" t="str">
        <f t="array" ref="S15">IF($A15="", "", IFERROR(LET(x, XLOOKUP(S$2, Players!$A$1:$P$1, Players!$A14:$P14),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15" s="29" t="str">
        <f t="array" ref="T15">IF($A15="", "", IFERROR(LET(x, XLOOKUP(T$2, Players!$A$1:$P$1, Players!$A14:$P14),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15" s="29" t="str">
        <f t="array" ref="U15">IF($A15="", "", IFERROR(LET(x, XLOOKUP(U$2, Players!$A$1:$P$1, Players!$A14:$P14),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15" s="29" t="str">
        <f t="array" ref="V15">IF($A15="", "", IFERROR(LET(x, XLOOKUP(V$2, Players!$A$1:$P$1, Players!$A14:$P14),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15" s="29" t="str">
        <f t="array" ref="W15">IF($A15="", "", IFERROR(LET(x, XLOOKUP(W$2, Players!$A$1:$P$1, Players!$A14:$P14),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16">
      <c r="A16" s="29" t="str">
        <f>IF(Players!A15="","",Players!A15)</f>
        <v/>
      </c>
      <c r="B16" s="29" t="str">
        <f t="array" ref="B16">IF($A16="", "", IFERROR(LET(x, XLOOKUP(B$2, Players!$A$1:$P$1, Players!$A15:$P15),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16" s="29" t="str">
        <f t="array" ref="C16">IF($A16="", "", IFERROR(LET(x, XLOOKUP(C$2, Players!$A$1:$P$1, Players!$A15:$P15),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16" s="29" t="str">
        <f t="array" ref="D16">IF($A16="", "", IFERROR(LET(x, XLOOKUP(D$2, Players!$A$1:$P$1, Players!$A15:$P15),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16" s="29" t="str">
        <f t="array" ref="E16">IF($A16="", "", IFERROR(LET(x, XLOOKUP(E$2, Players!$A$1:$P$1, Players!$A15:$P15),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16" s="29" t="str">
        <f t="array" ref="F16">IF($A16="", "", IFERROR(LET(x, XLOOKUP(F$2, Players!$A$1:$P$1, Players!$A15:$P15),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16" s="29" t="str">
        <f t="array" ref="G16">IF($A16="", "", IFERROR(LET(x, XLOOKUP(G$2, Players!$A$1:$P$1, Players!$A15:$P15),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16" s="29" t="str">
        <f t="array" ref="H16">IF($A16="", "", IFERROR(LET(x, XLOOKUP(H$2, Players!$A$1:$P$1, Players!$A15:$P15),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16" s="29" t="str">
        <f t="array" ref="I16">IF($A16="", "", IFERROR(LET(x, XLOOKUP(I$2, Players!$A$1:$P$1, Players!$A15:$P15),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16" s="29" t="str">
        <f t="array" ref="J16">IF($A16="", "", IFERROR(LET(x, XLOOKUP(J$2, Players!$A$1:$P$1, Players!$A15:$P15),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16" s="29" t="str">
        <f t="array" ref="K16">IF($A16="", "", IFERROR(LET(x, XLOOKUP(K$2, Players!$A$1:$P$1, Players!$A15:$P15),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16" s="29" t="str">
        <f t="array" ref="L16">IF($A16="", "", IFERROR(LET(x, XLOOKUP(L$2, Players!$A$1:$P$1, Players!$A15:$P15),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16" s="29" t="str">
        <f t="array" ref="M16">IF($A16="", "", IFERROR(LET(x, XLOOKUP(M$2, Players!$A$1:$P$1, Players!$A15:$P15),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16" s="29" t="str">
        <f t="array" ref="N16">IF($A16="", "", IFERROR(LET(x, XLOOKUP(N$2, Players!$A$1:$P$1, Players!$A15:$P15),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16" s="29" t="str">
        <f t="array" ref="O16">IF($A16="", "", IFERROR(LET(x, XLOOKUP(O$2, Players!$A$1:$P$1, Players!$A15:$P15),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16" s="29" t="str">
        <f t="array" ref="P16">IF($A16="", "", IFERROR(LET(x, XLOOKUP(P$2, Players!$A$1:$P$1, Players!$A15:$P15),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16" s="29" t="str">
        <f t="array" ref="Q16">IF($A16="", "", IFERROR(LET(x, XLOOKUP(Q$2, Players!$A$1:$P$1, Players!$A15:$P15),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16" s="29" t="str">
        <f t="array" ref="R16">IF($A16="", "", IFERROR(LET(x, XLOOKUP(R$2, Players!$A$1:$P$1, Players!$A15:$P15),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16" s="29" t="str">
        <f t="array" ref="S16">IF($A16="", "", IFERROR(LET(x, XLOOKUP(S$2, Players!$A$1:$P$1, Players!$A15:$P15),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16" s="29" t="str">
        <f t="array" ref="T16">IF($A16="", "", IFERROR(LET(x, XLOOKUP(T$2, Players!$A$1:$P$1, Players!$A15:$P15),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16" s="29" t="str">
        <f t="array" ref="U16">IF($A16="", "", IFERROR(LET(x, XLOOKUP(U$2, Players!$A$1:$P$1, Players!$A15:$P15),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16" s="29" t="str">
        <f t="array" ref="V16">IF($A16="", "", IFERROR(LET(x, XLOOKUP(V$2, Players!$A$1:$P$1, Players!$A15:$P15),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16" s="29" t="str">
        <f t="array" ref="W16">IF($A16="", "", IFERROR(LET(x, XLOOKUP(W$2, Players!$A$1:$P$1, Players!$A15:$P15),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17">
      <c r="A17" s="29" t="str">
        <f>IF(Players!A16="","",Players!A16)</f>
        <v/>
      </c>
      <c r="B17" s="29" t="str">
        <f t="array" ref="B17">IF($A17="", "", IFERROR(LET(x, XLOOKUP(B$2, Players!$A$1:$P$1, Players!$A16:$P16),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17" s="29" t="str">
        <f t="array" ref="C17">IF($A17="", "", IFERROR(LET(x, XLOOKUP(C$2, Players!$A$1:$P$1, Players!$A16:$P16),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17" s="29" t="str">
        <f t="array" ref="D17">IF($A17="", "", IFERROR(LET(x, XLOOKUP(D$2, Players!$A$1:$P$1, Players!$A16:$P16),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17" s="29" t="str">
        <f t="array" ref="E17">IF($A17="", "", IFERROR(LET(x, XLOOKUP(E$2, Players!$A$1:$P$1, Players!$A16:$P16),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17" s="29" t="str">
        <f t="array" ref="F17">IF($A17="", "", IFERROR(LET(x, XLOOKUP(F$2, Players!$A$1:$P$1, Players!$A16:$P16),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17" s="29" t="str">
        <f t="array" ref="G17">IF($A17="", "", IFERROR(LET(x, XLOOKUP(G$2, Players!$A$1:$P$1, Players!$A16:$P16),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17" s="29" t="str">
        <f t="array" ref="H17">IF($A17="", "", IFERROR(LET(x, XLOOKUP(H$2, Players!$A$1:$P$1, Players!$A16:$P16),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17" s="29" t="str">
        <f t="array" ref="I17">IF($A17="", "", IFERROR(LET(x, XLOOKUP(I$2, Players!$A$1:$P$1, Players!$A16:$P16),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17" s="29" t="str">
        <f t="array" ref="J17">IF($A17="", "", IFERROR(LET(x, XLOOKUP(J$2, Players!$A$1:$P$1, Players!$A16:$P16),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17" s="29" t="str">
        <f t="array" ref="K17">IF($A17="", "", IFERROR(LET(x, XLOOKUP(K$2, Players!$A$1:$P$1, Players!$A16:$P16),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17" s="29" t="str">
        <f t="array" ref="L17">IF($A17="", "", IFERROR(LET(x, XLOOKUP(L$2, Players!$A$1:$P$1, Players!$A16:$P16),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17" s="29" t="str">
        <f t="array" ref="M17">IF($A17="", "", IFERROR(LET(x, XLOOKUP(M$2, Players!$A$1:$P$1, Players!$A16:$P16),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17" s="29" t="str">
        <f t="array" ref="N17">IF($A17="", "", IFERROR(LET(x, XLOOKUP(N$2, Players!$A$1:$P$1, Players!$A16:$P16),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17" s="29" t="str">
        <f t="array" ref="O17">IF($A17="", "", IFERROR(LET(x, XLOOKUP(O$2, Players!$A$1:$P$1, Players!$A16:$P16),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17" s="29" t="str">
        <f t="array" ref="P17">IF($A17="", "", IFERROR(LET(x, XLOOKUP(P$2, Players!$A$1:$P$1, Players!$A16:$P16),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17" s="29" t="str">
        <f t="array" ref="Q17">IF($A17="", "", IFERROR(LET(x, XLOOKUP(Q$2, Players!$A$1:$P$1, Players!$A16:$P16),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17" s="29" t="str">
        <f t="array" ref="R17">IF($A17="", "", IFERROR(LET(x, XLOOKUP(R$2, Players!$A$1:$P$1, Players!$A16:$P16),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17" s="29" t="str">
        <f t="array" ref="S17">IF($A17="", "", IFERROR(LET(x, XLOOKUP(S$2, Players!$A$1:$P$1, Players!$A16:$P16),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17" s="29" t="str">
        <f t="array" ref="T17">IF($A17="", "", IFERROR(LET(x, XLOOKUP(T$2, Players!$A$1:$P$1, Players!$A16:$P16),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17" s="29" t="str">
        <f t="array" ref="U17">IF($A17="", "", IFERROR(LET(x, XLOOKUP(U$2, Players!$A$1:$P$1, Players!$A16:$P16),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17" s="29" t="str">
        <f t="array" ref="V17">IF($A17="", "", IFERROR(LET(x, XLOOKUP(V$2, Players!$A$1:$P$1, Players!$A16:$P16),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17" s="29" t="str">
        <f t="array" ref="W17">IF($A17="", "", IFERROR(LET(x, XLOOKUP(W$2, Players!$A$1:$P$1, Players!$A16:$P16),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18">
      <c r="A18" s="29" t="str">
        <f>IF(Players!A17="","",Players!A17)</f>
        <v/>
      </c>
      <c r="B18" s="29" t="str">
        <f t="array" ref="B18">IF($A18="", "", IFERROR(LET(x, XLOOKUP(B$2, Players!$A$1:$P$1, Players!$A17:$P17),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18" s="29" t="str">
        <f t="array" ref="C18">IF($A18="", "", IFERROR(LET(x, XLOOKUP(C$2, Players!$A$1:$P$1, Players!$A17:$P17),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18" s="29" t="str">
        <f t="array" ref="D18">IF($A18="", "", IFERROR(LET(x, XLOOKUP(D$2, Players!$A$1:$P$1, Players!$A17:$P17),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18" s="29" t="str">
        <f t="array" ref="E18">IF($A18="", "", IFERROR(LET(x, XLOOKUP(E$2, Players!$A$1:$P$1, Players!$A17:$P17),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18" s="29" t="str">
        <f t="array" ref="F18">IF($A18="", "", IFERROR(LET(x, XLOOKUP(F$2, Players!$A$1:$P$1, Players!$A17:$P17),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18" s="29" t="str">
        <f t="array" ref="G18">IF($A18="", "", IFERROR(LET(x, XLOOKUP(G$2, Players!$A$1:$P$1, Players!$A17:$P17),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18" s="29" t="str">
        <f t="array" ref="H18">IF($A18="", "", IFERROR(LET(x, XLOOKUP(H$2, Players!$A$1:$P$1, Players!$A17:$P17),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18" s="29" t="str">
        <f t="array" ref="I18">IF($A18="", "", IFERROR(LET(x, XLOOKUP(I$2, Players!$A$1:$P$1, Players!$A17:$P17),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18" s="29" t="str">
        <f t="array" ref="J18">IF($A18="", "", IFERROR(LET(x, XLOOKUP(J$2, Players!$A$1:$P$1, Players!$A17:$P17),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18" s="29" t="str">
        <f t="array" ref="K18">IF($A18="", "", IFERROR(LET(x, XLOOKUP(K$2, Players!$A$1:$P$1, Players!$A17:$P17),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18" s="29" t="str">
        <f t="array" ref="L18">IF($A18="", "", IFERROR(LET(x, XLOOKUP(L$2, Players!$A$1:$P$1, Players!$A17:$P17),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18" s="29" t="str">
        <f t="array" ref="M18">IF($A18="", "", IFERROR(LET(x, XLOOKUP(M$2, Players!$A$1:$P$1, Players!$A17:$P17),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18" s="29" t="str">
        <f t="array" ref="N18">IF($A18="", "", IFERROR(LET(x, XLOOKUP(N$2, Players!$A$1:$P$1, Players!$A17:$P17),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18" s="29" t="str">
        <f t="array" ref="O18">IF($A18="", "", IFERROR(LET(x, XLOOKUP(O$2, Players!$A$1:$P$1, Players!$A17:$P17),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18" s="29" t="str">
        <f t="array" ref="P18">IF($A18="", "", IFERROR(LET(x, XLOOKUP(P$2, Players!$A$1:$P$1, Players!$A17:$P17),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18" s="29" t="str">
        <f t="array" ref="Q18">IF($A18="", "", IFERROR(LET(x, XLOOKUP(Q$2, Players!$A$1:$P$1, Players!$A17:$P17),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18" s="29" t="str">
        <f t="array" ref="R18">IF($A18="", "", IFERROR(LET(x, XLOOKUP(R$2, Players!$A$1:$P$1, Players!$A17:$P17),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18" s="29" t="str">
        <f t="array" ref="S18">IF($A18="", "", IFERROR(LET(x, XLOOKUP(S$2, Players!$A$1:$P$1, Players!$A17:$P17),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18" s="29" t="str">
        <f t="array" ref="T18">IF($A18="", "", IFERROR(LET(x, XLOOKUP(T$2, Players!$A$1:$P$1, Players!$A17:$P17),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18" s="29" t="str">
        <f t="array" ref="U18">IF($A18="", "", IFERROR(LET(x, XLOOKUP(U$2, Players!$A$1:$P$1, Players!$A17:$P17),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18" s="29" t="str">
        <f t="array" ref="V18">IF($A18="", "", IFERROR(LET(x, XLOOKUP(V$2, Players!$A$1:$P$1, Players!$A17:$P17),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18" s="29" t="str">
        <f t="array" ref="W18">IF($A18="", "", IFERROR(LET(x, XLOOKUP(W$2, Players!$A$1:$P$1, Players!$A17:$P17),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19">
      <c r="A19" s="29" t="str">
        <f>IF(Players!A18="","",Players!A18)</f>
        <v/>
      </c>
      <c r="B19" s="29" t="str">
        <f t="array" ref="B19">IF($A19="", "", IFERROR(LET(x, XLOOKUP(B$2, Players!$A$1:$P$1, Players!$A18:$P18),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19" s="29" t="str">
        <f t="array" ref="C19">IF($A19="", "", IFERROR(LET(x, XLOOKUP(C$2, Players!$A$1:$P$1, Players!$A18:$P18),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19" s="29" t="str">
        <f t="array" ref="D19">IF($A19="", "", IFERROR(LET(x, XLOOKUP(D$2, Players!$A$1:$P$1, Players!$A18:$P18),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19" s="29" t="str">
        <f t="array" ref="E19">IF($A19="", "", IFERROR(LET(x, XLOOKUP(E$2, Players!$A$1:$P$1, Players!$A18:$P18),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19" s="29" t="str">
        <f t="array" ref="F19">IF($A19="", "", IFERROR(LET(x, XLOOKUP(F$2, Players!$A$1:$P$1, Players!$A18:$P18),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19" s="29" t="str">
        <f t="array" ref="G19">IF($A19="", "", IFERROR(LET(x, XLOOKUP(G$2, Players!$A$1:$P$1, Players!$A18:$P18),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19" s="29" t="str">
        <f t="array" ref="H19">IF($A19="", "", IFERROR(LET(x, XLOOKUP(H$2, Players!$A$1:$P$1, Players!$A18:$P18),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19" s="29" t="str">
        <f t="array" ref="I19">IF($A19="", "", IFERROR(LET(x, XLOOKUP(I$2, Players!$A$1:$P$1, Players!$A18:$P18),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19" s="29" t="str">
        <f t="array" ref="J19">IF($A19="", "", IFERROR(LET(x, XLOOKUP(J$2, Players!$A$1:$P$1, Players!$A18:$P18),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19" s="29" t="str">
        <f t="array" ref="K19">IF($A19="", "", IFERROR(LET(x, XLOOKUP(K$2, Players!$A$1:$P$1, Players!$A18:$P18),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19" s="29" t="str">
        <f t="array" ref="L19">IF($A19="", "", IFERROR(LET(x, XLOOKUP(L$2, Players!$A$1:$P$1, Players!$A18:$P18),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19" s="29" t="str">
        <f t="array" ref="M19">IF($A19="", "", IFERROR(LET(x, XLOOKUP(M$2, Players!$A$1:$P$1, Players!$A18:$P18),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19" s="29" t="str">
        <f t="array" ref="N19">IF($A19="", "", IFERROR(LET(x, XLOOKUP(N$2, Players!$A$1:$P$1, Players!$A18:$P18),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19" s="29" t="str">
        <f t="array" ref="O19">IF($A19="", "", IFERROR(LET(x, XLOOKUP(O$2, Players!$A$1:$P$1, Players!$A18:$P18),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19" s="29" t="str">
        <f t="array" ref="P19">IF($A19="", "", IFERROR(LET(x, XLOOKUP(P$2, Players!$A$1:$P$1, Players!$A18:$P18),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19" s="29" t="str">
        <f t="array" ref="Q19">IF($A19="", "", IFERROR(LET(x, XLOOKUP(Q$2, Players!$A$1:$P$1, Players!$A18:$P18),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19" s="29" t="str">
        <f t="array" ref="R19">IF($A19="", "", IFERROR(LET(x, XLOOKUP(R$2, Players!$A$1:$P$1, Players!$A18:$P18),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19" s="29" t="str">
        <f t="array" ref="S19">IF($A19="", "", IFERROR(LET(x, XLOOKUP(S$2, Players!$A$1:$P$1, Players!$A18:$P18),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19" s="29" t="str">
        <f t="array" ref="T19">IF($A19="", "", IFERROR(LET(x, XLOOKUP(T$2, Players!$A$1:$P$1, Players!$A18:$P18),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19" s="29" t="str">
        <f t="array" ref="U19">IF($A19="", "", IFERROR(LET(x, XLOOKUP(U$2, Players!$A$1:$P$1, Players!$A18:$P18),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19" s="29" t="str">
        <f t="array" ref="V19">IF($A19="", "", IFERROR(LET(x, XLOOKUP(V$2, Players!$A$1:$P$1, Players!$A18:$P18),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19" s="29" t="str">
        <f t="array" ref="W19">IF($A19="", "", IFERROR(LET(x, XLOOKUP(W$2, Players!$A$1:$P$1, Players!$A18:$P18),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20">
      <c r="A20" s="29" t="str">
        <f>IF(Players!A19="","",Players!A19)</f>
        <v/>
      </c>
      <c r="B20" s="29" t="str">
        <f t="array" ref="B20">IF($A20="", "", IFERROR(LET(x, XLOOKUP(B$2, Players!$A$1:$P$1, Players!$A19:$P19),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20" s="29" t="str">
        <f t="array" ref="C20">IF($A20="", "", IFERROR(LET(x, XLOOKUP(C$2, Players!$A$1:$P$1, Players!$A19:$P19),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20" s="29" t="str">
        <f t="array" ref="D20">IF($A20="", "", IFERROR(LET(x, XLOOKUP(D$2, Players!$A$1:$P$1, Players!$A19:$P19),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20" s="29" t="str">
        <f t="array" ref="E20">IF($A20="", "", IFERROR(LET(x, XLOOKUP(E$2, Players!$A$1:$P$1, Players!$A19:$P19),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20" s="29" t="str">
        <f t="array" ref="F20">IF($A20="", "", IFERROR(LET(x, XLOOKUP(F$2, Players!$A$1:$P$1, Players!$A19:$P19),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20" s="29" t="str">
        <f t="array" ref="G20">IF($A20="", "", IFERROR(LET(x, XLOOKUP(G$2, Players!$A$1:$P$1, Players!$A19:$P19),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20" s="29" t="str">
        <f t="array" ref="H20">IF($A20="", "", IFERROR(LET(x, XLOOKUP(H$2, Players!$A$1:$P$1, Players!$A19:$P19),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20" s="29" t="str">
        <f t="array" ref="I20">IF($A20="", "", IFERROR(LET(x, XLOOKUP(I$2, Players!$A$1:$P$1, Players!$A19:$P19),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20" s="29" t="str">
        <f t="array" ref="J20">IF($A20="", "", IFERROR(LET(x, XLOOKUP(J$2, Players!$A$1:$P$1, Players!$A19:$P19),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20" s="29" t="str">
        <f t="array" ref="K20">IF($A20="", "", IFERROR(LET(x, XLOOKUP(K$2, Players!$A$1:$P$1, Players!$A19:$P19),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20" s="29" t="str">
        <f t="array" ref="L20">IF($A20="", "", IFERROR(LET(x, XLOOKUP(L$2, Players!$A$1:$P$1, Players!$A19:$P19),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20" s="29" t="str">
        <f t="array" ref="M20">IF($A20="", "", IFERROR(LET(x, XLOOKUP(M$2, Players!$A$1:$P$1, Players!$A19:$P19),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20" s="29" t="str">
        <f t="array" ref="N20">IF($A20="", "", IFERROR(LET(x, XLOOKUP(N$2, Players!$A$1:$P$1, Players!$A19:$P19),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20" s="29" t="str">
        <f t="array" ref="O20">IF($A20="", "", IFERROR(LET(x, XLOOKUP(O$2, Players!$A$1:$P$1, Players!$A19:$P19),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20" s="29" t="str">
        <f t="array" ref="P20">IF($A20="", "", IFERROR(LET(x, XLOOKUP(P$2, Players!$A$1:$P$1, Players!$A19:$P19),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20" s="29" t="str">
        <f t="array" ref="Q20">IF($A20="", "", IFERROR(LET(x, XLOOKUP(Q$2, Players!$A$1:$P$1, Players!$A19:$P19),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20" s="29" t="str">
        <f t="array" ref="R20">IF($A20="", "", IFERROR(LET(x, XLOOKUP(R$2, Players!$A$1:$P$1, Players!$A19:$P19),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20" s="29" t="str">
        <f t="array" ref="S20">IF($A20="", "", IFERROR(LET(x, XLOOKUP(S$2, Players!$A$1:$P$1, Players!$A19:$P19),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20" s="29" t="str">
        <f t="array" ref="T20">IF($A20="", "", IFERROR(LET(x, XLOOKUP(T$2, Players!$A$1:$P$1, Players!$A19:$P19),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20" s="29" t="str">
        <f t="array" ref="U20">IF($A20="", "", IFERROR(LET(x, XLOOKUP(U$2, Players!$A$1:$P$1, Players!$A19:$P19),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20" s="29" t="str">
        <f t="array" ref="V20">IF($A20="", "", IFERROR(LET(x, XLOOKUP(V$2, Players!$A$1:$P$1, Players!$A19:$P19),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20" s="29" t="str">
        <f t="array" ref="W20">IF($A20="", "", IFERROR(LET(x, XLOOKUP(W$2, Players!$A$1:$P$1, Players!$A19:$P19),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21">
      <c r="A21" s="29" t="str">
        <f>IF(Players!A20="","",Players!A20)</f>
        <v/>
      </c>
      <c r="B21" s="29" t="str">
        <f t="array" ref="B21">IF($A21="", "", IFERROR(LET(x, XLOOKUP(B$2, Players!$A$1:$P$1, Players!$A20:$P20),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21" s="29" t="str">
        <f t="array" ref="C21">IF($A21="", "", IFERROR(LET(x, XLOOKUP(C$2, Players!$A$1:$P$1, Players!$A20:$P20),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21" s="29" t="str">
        <f t="array" ref="D21">IF($A21="", "", IFERROR(LET(x, XLOOKUP(D$2, Players!$A$1:$P$1, Players!$A20:$P20),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21" s="29" t="str">
        <f t="array" ref="E21">IF($A21="", "", IFERROR(LET(x, XLOOKUP(E$2, Players!$A$1:$P$1, Players!$A20:$P20),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21" s="29" t="str">
        <f t="array" ref="F21">IF($A21="", "", IFERROR(LET(x, XLOOKUP(F$2, Players!$A$1:$P$1, Players!$A20:$P20),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21" s="29" t="str">
        <f t="array" ref="G21">IF($A21="", "", IFERROR(LET(x, XLOOKUP(G$2, Players!$A$1:$P$1, Players!$A20:$P20),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21" s="29" t="str">
        <f t="array" ref="H21">IF($A21="", "", IFERROR(LET(x, XLOOKUP(H$2, Players!$A$1:$P$1, Players!$A20:$P20),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21" s="29" t="str">
        <f t="array" ref="I21">IF($A21="", "", IFERROR(LET(x, XLOOKUP(I$2, Players!$A$1:$P$1, Players!$A20:$P20),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21" s="29" t="str">
        <f t="array" ref="J21">IF($A21="", "", IFERROR(LET(x, XLOOKUP(J$2, Players!$A$1:$P$1, Players!$A20:$P20),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21" s="29" t="str">
        <f t="array" ref="K21">IF($A21="", "", IFERROR(LET(x, XLOOKUP(K$2, Players!$A$1:$P$1, Players!$A20:$P20),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21" s="29" t="str">
        <f t="array" ref="L21">IF($A21="", "", IFERROR(LET(x, XLOOKUP(L$2, Players!$A$1:$P$1, Players!$A20:$P20),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21" s="29" t="str">
        <f t="array" ref="M21">IF($A21="", "", IFERROR(LET(x, XLOOKUP(M$2, Players!$A$1:$P$1, Players!$A20:$P20),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21" s="29" t="str">
        <f t="array" ref="N21">IF($A21="", "", IFERROR(LET(x, XLOOKUP(N$2, Players!$A$1:$P$1, Players!$A20:$P20),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21" s="29" t="str">
        <f t="array" ref="O21">IF($A21="", "", IFERROR(LET(x, XLOOKUP(O$2, Players!$A$1:$P$1, Players!$A20:$P20),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21" s="29" t="str">
        <f t="array" ref="P21">IF($A21="", "", IFERROR(LET(x, XLOOKUP(P$2, Players!$A$1:$P$1, Players!$A20:$P20),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21" s="29" t="str">
        <f t="array" ref="Q21">IF($A21="", "", IFERROR(LET(x, XLOOKUP(Q$2, Players!$A$1:$P$1, Players!$A20:$P20),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21" s="29" t="str">
        <f t="array" ref="R21">IF($A21="", "", IFERROR(LET(x, XLOOKUP(R$2, Players!$A$1:$P$1, Players!$A20:$P20),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21" s="29" t="str">
        <f t="array" ref="S21">IF($A21="", "", IFERROR(LET(x, XLOOKUP(S$2, Players!$A$1:$P$1, Players!$A20:$P20),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21" s="29" t="str">
        <f t="array" ref="T21">IF($A21="", "", IFERROR(LET(x, XLOOKUP(T$2, Players!$A$1:$P$1, Players!$A20:$P20),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21" s="29" t="str">
        <f t="array" ref="U21">IF($A21="", "", IFERROR(LET(x, XLOOKUP(U$2, Players!$A$1:$P$1, Players!$A20:$P20),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21" s="29" t="str">
        <f t="array" ref="V21">IF($A21="", "", IFERROR(LET(x, XLOOKUP(V$2, Players!$A$1:$P$1, Players!$A20:$P20),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21" s="29" t="str">
        <f t="array" ref="W21">IF($A21="", "", IFERROR(LET(x, XLOOKUP(W$2, Players!$A$1:$P$1, Players!$A20:$P20),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22">
      <c r="A22" s="29" t="str">
        <f>IF(Players!A21="","",Players!A21)</f>
        <v/>
      </c>
      <c r="B22" s="29" t="str">
        <f t="array" ref="B22">IF($A22="", "", IFERROR(LET(x, XLOOKUP(B$2, Players!$A$1:$P$1, Players!$A21:$P21),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22" s="29" t="str">
        <f t="array" ref="C22">IF($A22="", "", IFERROR(LET(x, XLOOKUP(C$2, Players!$A$1:$P$1, Players!$A21:$P21),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22" s="29" t="str">
        <f t="array" ref="D22">IF($A22="", "", IFERROR(LET(x, XLOOKUP(D$2, Players!$A$1:$P$1, Players!$A21:$P21),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22" s="29" t="str">
        <f t="array" ref="E22">IF($A22="", "", IFERROR(LET(x, XLOOKUP(E$2, Players!$A$1:$P$1, Players!$A21:$P21),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22" s="29" t="str">
        <f t="array" ref="F22">IF($A22="", "", IFERROR(LET(x, XLOOKUP(F$2, Players!$A$1:$P$1, Players!$A21:$P21),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22" s="29" t="str">
        <f t="array" ref="G22">IF($A22="", "", IFERROR(LET(x, XLOOKUP(G$2, Players!$A$1:$P$1, Players!$A21:$P21),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22" s="29" t="str">
        <f t="array" ref="H22">IF($A22="", "", IFERROR(LET(x, XLOOKUP(H$2, Players!$A$1:$P$1, Players!$A21:$P21),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22" s="29" t="str">
        <f t="array" ref="I22">IF($A22="", "", IFERROR(LET(x, XLOOKUP(I$2, Players!$A$1:$P$1, Players!$A21:$P21),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22" s="29" t="str">
        <f t="array" ref="J22">IF($A22="", "", IFERROR(LET(x, XLOOKUP(J$2, Players!$A$1:$P$1, Players!$A21:$P21),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22" s="29" t="str">
        <f t="array" ref="K22">IF($A22="", "", IFERROR(LET(x, XLOOKUP(K$2, Players!$A$1:$P$1, Players!$A21:$P21),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22" s="29" t="str">
        <f t="array" ref="L22">IF($A22="", "", IFERROR(LET(x, XLOOKUP(L$2, Players!$A$1:$P$1, Players!$A21:$P21),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22" s="29" t="str">
        <f t="array" ref="M22">IF($A22="", "", IFERROR(LET(x, XLOOKUP(M$2, Players!$A$1:$P$1, Players!$A21:$P21),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22" s="29" t="str">
        <f t="array" ref="N22">IF($A22="", "", IFERROR(LET(x, XLOOKUP(N$2, Players!$A$1:$P$1, Players!$A21:$P21),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22" s="29" t="str">
        <f t="array" ref="O22">IF($A22="", "", IFERROR(LET(x, XLOOKUP(O$2, Players!$A$1:$P$1, Players!$A21:$P21),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22" s="29" t="str">
        <f t="array" ref="P22">IF($A22="", "", IFERROR(LET(x, XLOOKUP(P$2, Players!$A$1:$P$1, Players!$A21:$P21),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22" s="29" t="str">
        <f t="array" ref="Q22">IF($A22="", "", IFERROR(LET(x, XLOOKUP(Q$2, Players!$A$1:$P$1, Players!$A21:$P21),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22" s="29" t="str">
        <f t="array" ref="R22">IF($A22="", "", IFERROR(LET(x, XLOOKUP(R$2, Players!$A$1:$P$1, Players!$A21:$P21),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22" s="29" t="str">
        <f t="array" ref="S22">IF($A22="", "", IFERROR(LET(x, XLOOKUP(S$2, Players!$A$1:$P$1, Players!$A21:$P21),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22" s="29" t="str">
        <f t="array" ref="T22">IF($A22="", "", IFERROR(LET(x, XLOOKUP(T$2, Players!$A$1:$P$1, Players!$A21:$P21),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22" s="29" t="str">
        <f t="array" ref="U22">IF($A22="", "", IFERROR(LET(x, XLOOKUP(U$2, Players!$A$1:$P$1, Players!$A21:$P21),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22" s="29" t="str">
        <f t="array" ref="V22">IF($A22="", "", IFERROR(LET(x, XLOOKUP(V$2, Players!$A$1:$P$1, Players!$A21:$P21),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22" s="29" t="str">
        <f t="array" ref="W22">IF($A22="", "", IFERROR(LET(x, XLOOKUP(W$2, Players!$A$1:$P$1, Players!$A21:$P21),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23">
      <c r="A23" s="29" t="str">
        <f>IF(Players!A22="","",Players!A22)</f>
        <v/>
      </c>
      <c r="B23" s="29" t="str">
        <f t="array" ref="B23">IF($A23="", "", IFERROR(LET(x, XLOOKUP(B$2, Players!$A$1:$P$1, Players!$A22:$P22),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23" s="29" t="str">
        <f t="array" ref="C23">IF($A23="", "", IFERROR(LET(x, XLOOKUP(C$2, Players!$A$1:$P$1, Players!$A22:$P22),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23" s="29" t="str">
        <f t="array" ref="D23">IF($A23="", "", IFERROR(LET(x, XLOOKUP(D$2, Players!$A$1:$P$1, Players!$A22:$P22),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23" s="29" t="str">
        <f t="array" ref="E23">IF($A23="", "", IFERROR(LET(x, XLOOKUP(E$2, Players!$A$1:$P$1, Players!$A22:$P22),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23" s="29" t="str">
        <f t="array" ref="F23">IF($A23="", "", IFERROR(LET(x, XLOOKUP(F$2, Players!$A$1:$P$1, Players!$A22:$P22),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23" s="29" t="str">
        <f t="array" ref="G23">IF($A23="", "", IFERROR(LET(x, XLOOKUP(G$2, Players!$A$1:$P$1, Players!$A22:$P22),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23" s="29" t="str">
        <f t="array" ref="H23">IF($A23="", "", IFERROR(LET(x, XLOOKUP(H$2, Players!$A$1:$P$1, Players!$A22:$P22),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23" s="29" t="str">
        <f t="array" ref="I23">IF($A23="", "", IFERROR(LET(x, XLOOKUP(I$2, Players!$A$1:$P$1, Players!$A22:$P22),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23" s="29" t="str">
        <f t="array" ref="J23">IF($A23="", "", IFERROR(LET(x, XLOOKUP(J$2, Players!$A$1:$P$1, Players!$A22:$P22),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23" s="29" t="str">
        <f t="array" ref="K23">IF($A23="", "", IFERROR(LET(x, XLOOKUP(K$2, Players!$A$1:$P$1, Players!$A22:$P22),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23" s="29" t="str">
        <f t="array" ref="L23">IF($A23="", "", IFERROR(LET(x, XLOOKUP(L$2, Players!$A$1:$P$1, Players!$A22:$P22),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23" s="29" t="str">
        <f t="array" ref="M23">IF($A23="", "", IFERROR(LET(x, XLOOKUP(M$2, Players!$A$1:$P$1, Players!$A22:$P22),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23" s="29" t="str">
        <f t="array" ref="N23">IF($A23="", "", IFERROR(LET(x, XLOOKUP(N$2, Players!$A$1:$P$1, Players!$A22:$P22),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23" s="29" t="str">
        <f t="array" ref="O23">IF($A23="", "", IFERROR(LET(x, XLOOKUP(O$2, Players!$A$1:$P$1, Players!$A22:$P22),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23" s="29" t="str">
        <f t="array" ref="P23">IF($A23="", "", IFERROR(LET(x, XLOOKUP(P$2, Players!$A$1:$P$1, Players!$A22:$P22),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23" s="29" t="str">
        <f t="array" ref="Q23">IF($A23="", "", IFERROR(LET(x, XLOOKUP(Q$2, Players!$A$1:$P$1, Players!$A22:$P22),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23" s="29" t="str">
        <f t="array" ref="R23">IF($A23="", "", IFERROR(LET(x, XLOOKUP(R$2, Players!$A$1:$P$1, Players!$A22:$P22),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23" s="29" t="str">
        <f t="array" ref="S23">IF($A23="", "", IFERROR(LET(x, XLOOKUP(S$2, Players!$A$1:$P$1, Players!$A22:$P22),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23" s="29" t="str">
        <f t="array" ref="T23">IF($A23="", "", IFERROR(LET(x, XLOOKUP(T$2, Players!$A$1:$P$1, Players!$A22:$P22),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23" s="29" t="str">
        <f t="array" ref="U23">IF($A23="", "", IFERROR(LET(x, XLOOKUP(U$2, Players!$A$1:$P$1, Players!$A22:$P22),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23" s="29" t="str">
        <f t="array" ref="V23">IF($A23="", "", IFERROR(LET(x, XLOOKUP(V$2, Players!$A$1:$P$1, Players!$A22:$P22),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23" s="29" t="str">
        <f t="array" ref="W23">IF($A23="", "", IFERROR(LET(x, XLOOKUP(W$2, Players!$A$1:$P$1, Players!$A22:$P22),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24">
      <c r="A24" s="29" t="str">
        <f>IF(Players!A23="","",Players!A23)</f>
        <v/>
      </c>
      <c r="B24" s="29" t="str">
        <f t="array" ref="B24">IF($A24="", "", IFERROR(LET(x, XLOOKUP(B$2, Players!$A$1:$P$1, Players!$A23:$P23),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24" s="29" t="str">
        <f t="array" ref="C24">IF($A24="", "", IFERROR(LET(x, XLOOKUP(C$2, Players!$A$1:$P$1, Players!$A23:$P23),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24" s="29" t="str">
        <f t="array" ref="D24">IF($A24="", "", IFERROR(LET(x, XLOOKUP(D$2, Players!$A$1:$P$1, Players!$A23:$P23),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24" s="29" t="str">
        <f t="array" ref="E24">IF($A24="", "", IFERROR(LET(x, XLOOKUP(E$2, Players!$A$1:$P$1, Players!$A23:$P23),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24" s="29" t="str">
        <f t="array" ref="F24">IF($A24="", "", IFERROR(LET(x, XLOOKUP(F$2, Players!$A$1:$P$1, Players!$A23:$P23),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24" s="29" t="str">
        <f t="array" ref="G24">IF($A24="", "", IFERROR(LET(x, XLOOKUP(G$2, Players!$A$1:$P$1, Players!$A23:$P23),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24" s="29" t="str">
        <f t="array" ref="H24">IF($A24="", "", IFERROR(LET(x, XLOOKUP(H$2, Players!$A$1:$P$1, Players!$A23:$P23),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24" s="29" t="str">
        <f t="array" ref="I24">IF($A24="", "", IFERROR(LET(x, XLOOKUP(I$2, Players!$A$1:$P$1, Players!$A23:$P23),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24" s="29" t="str">
        <f t="array" ref="J24">IF($A24="", "", IFERROR(LET(x, XLOOKUP(J$2, Players!$A$1:$P$1, Players!$A23:$P23),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24" s="29" t="str">
        <f t="array" ref="K24">IF($A24="", "", IFERROR(LET(x, XLOOKUP(K$2, Players!$A$1:$P$1, Players!$A23:$P23),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24" s="29" t="str">
        <f t="array" ref="L24">IF($A24="", "", IFERROR(LET(x, XLOOKUP(L$2, Players!$A$1:$P$1, Players!$A23:$P23),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24" s="29" t="str">
        <f t="array" ref="M24">IF($A24="", "", IFERROR(LET(x, XLOOKUP(M$2, Players!$A$1:$P$1, Players!$A23:$P23),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24" s="29" t="str">
        <f t="array" ref="N24">IF($A24="", "", IFERROR(LET(x, XLOOKUP(N$2, Players!$A$1:$P$1, Players!$A23:$P23),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24" s="29" t="str">
        <f t="array" ref="O24">IF($A24="", "", IFERROR(LET(x, XLOOKUP(O$2, Players!$A$1:$P$1, Players!$A23:$P23),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24" s="29" t="str">
        <f t="array" ref="P24">IF($A24="", "", IFERROR(LET(x, XLOOKUP(P$2, Players!$A$1:$P$1, Players!$A23:$P23),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24" s="29" t="str">
        <f t="array" ref="Q24">IF($A24="", "", IFERROR(LET(x, XLOOKUP(Q$2, Players!$A$1:$P$1, Players!$A23:$P23),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24" s="29" t="str">
        <f t="array" ref="R24">IF($A24="", "", IFERROR(LET(x, XLOOKUP(R$2, Players!$A$1:$P$1, Players!$A23:$P23),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24" s="29" t="str">
        <f t="array" ref="S24">IF($A24="", "", IFERROR(LET(x, XLOOKUP(S$2, Players!$A$1:$P$1, Players!$A23:$P23),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24" s="29" t="str">
        <f t="array" ref="T24">IF($A24="", "", IFERROR(LET(x, XLOOKUP(T$2, Players!$A$1:$P$1, Players!$A23:$P23),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24" s="29" t="str">
        <f t="array" ref="U24">IF($A24="", "", IFERROR(LET(x, XLOOKUP(U$2, Players!$A$1:$P$1, Players!$A23:$P23),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24" s="29" t="str">
        <f t="array" ref="V24">IF($A24="", "", IFERROR(LET(x, XLOOKUP(V$2, Players!$A$1:$P$1, Players!$A23:$P23),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24" s="29" t="str">
        <f t="array" ref="W24">IF($A24="", "", IFERROR(LET(x, XLOOKUP(W$2, Players!$A$1:$P$1, Players!$A23:$P23),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25">
      <c r="A25" s="29" t="str">
        <f>IF(Players!A24="","",Players!A24)</f>
        <v/>
      </c>
      <c r="B25" s="29" t="str">
        <f t="array" ref="B25">IF($A25="", "", IFERROR(LET(x, XLOOKUP(B$2, Players!$A$1:$P$1, Players!$A24:$P24),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25" s="29" t="str">
        <f t="array" ref="C25">IF($A25="", "", IFERROR(LET(x, XLOOKUP(C$2, Players!$A$1:$P$1, Players!$A24:$P24),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25" s="29" t="str">
        <f t="array" ref="D25">IF($A25="", "", IFERROR(LET(x, XLOOKUP(D$2, Players!$A$1:$P$1, Players!$A24:$P24),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25" s="29" t="str">
        <f t="array" ref="E25">IF($A25="", "", IFERROR(LET(x, XLOOKUP(E$2, Players!$A$1:$P$1, Players!$A24:$P24),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25" s="29" t="str">
        <f t="array" ref="F25">IF($A25="", "", IFERROR(LET(x, XLOOKUP(F$2, Players!$A$1:$P$1, Players!$A24:$P24),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25" s="29" t="str">
        <f t="array" ref="G25">IF($A25="", "", IFERROR(LET(x, XLOOKUP(G$2, Players!$A$1:$P$1, Players!$A24:$P24),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25" s="29" t="str">
        <f t="array" ref="H25">IF($A25="", "", IFERROR(LET(x, XLOOKUP(H$2, Players!$A$1:$P$1, Players!$A24:$P24),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25" s="29" t="str">
        <f t="array" ref="I25">IF($A25="", "", IFERROR(LET(x, XLOOKUP(I$2, Players!$A$1:$P$1, Players!$A24:$P24),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25" s="29" t="str">
        <f t="array" ref="J25">IF($A25="", "", IFERROR(LET(x, XLOOKUP(J$2, Players!$A$1:$P$1, Players!$A24:$P24),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25" s="29" t="str">
        <f t="array" ref="K25">IF($A25="", "", IFERROR(LET(x, XLOOKUP(K$2, Players!$A$1:$P$1, Players!$A24:$P24),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25" s="29" t="str">
        <f t="array" ref="L25">IF($A25="", "", IFERROR(LET(x, XLOOKUP(L$2, Players!$A$1:$P$1, Players!$A24:$P24),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25" s="29" t="str">
        <f t="array" ref="M25">IF($A25="", "", IFERROR(LET(x, XLOOKUP(M$2, Players!$A$1:$P$1, Players!$A24:$P24),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25" s="29" t="str">
        <f t="array" ref="N25">IF($A25="", "", IFERROR(LET(x, XLOOKUP(N$2, Players!$A$1:$P$1, Players!$A24:$P24),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25" s="29" t="str">
        <f t="array" ref="O25">IF($A25="", "", IFERROR(LET(x, XLOOKUP(O$2, Players!$A$1:$P$1, Players!$A24:$P24),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25" s="29" t="str">
        <f t="array" ref="P25">IF($A25="", "", IFERROR(LET(x, XLOOKUP(P$2, Players!$A$1:$P$1, Players!$A24:$P24),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25" s="29" t="str">
        <f t="array" ref="Q25">IF($A25="", "", IFERROR(LET(x, XLOOKUP(Q$2, Players!$A$1:$P$1, Players!$A24:$P24),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25" s="29" t="str">
        <f t="array" ref="R25">IF($A25="", "", IFERROR(LET(x, XLOOKUP(R$2, Players!$A$1:$P$1, Players!$A24:$P24),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25" s="29" t="str">
        <f t="array" ref="S25">IF($A25="", "", IFERROR(LET(x, XLOOKUP(S$2, Players!$A$1:$P$1, Players!$A24:$P24),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25" s="29" t="str">
        <f t="array" ref="T25">IF($A25="", "", IFERROR(LET(x, XLOOKUP(T$2, Players!$A$1:$P$1, Players!$A24:$P24),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25" s="29" t="str">
        <f t="array" ref="U25">IF($A25="", "", IFERROR(LET(x, XLOOKUP(U$2, Players!$A$1:$P$1, Players!$A24:$P24),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25" s="29" t="str">
        <f t="array" ref="V25">IF($A25="", "", IFERROR(LET(x, XLOOKUP(V$2, Players!$A$1:$P$1, Players!$A24:$P24),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25" s="29" t="str">
        <f t="array" ref="W25">IF($A25="", "", IFERROR(LET(x, XLOOKUP(W$2, Players!$A$1:$P$1, Players!$A24:$P24),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26">
      <c r="A26" s="29" t="str">
        <f>IF(Players!A25="","",Players!A25)</f>
        <v/>
      </c>
      <c r="B26" s="29" t="str">
        <f t="array" ref="B26">IF($A26="", "", IFERROR(LET(x, XLOOKUP(B$2, Players!$A$1:$P$1, Players!$A25:$P25),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26" s="29" t="str">
        <f t="array" ref="C26">IF($A26="", "", IFERROR(LET(x, XLOOKUP(C$2, Players!$A$1:$P$1, Players!$A25:$P25),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26" s="29" t="str">
        <f t="array" ref="D26">IF($A26="", "", IFERROR(LET(x, XLOOKUP(D$2, Players!$A$1:$P$1, Players!$A25:$P25),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26" s="29" t="str">
        <f t="array" ref="E26">IF($A26="", "", IFERROR(LET(x, XLOOKUP(E$2, Players!$A$1:$P$1, Players!$A25:$P25),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26" s="29" t="str">
        <f t="array" ref="F26">IF($A26="", "", IFERROR(LET(x, XLOOKUP(F$2, Players!$A$1:$P$1, Players!$A25:$P25),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26" s="29" t="str">
        <f t="array" ref="G26">IF($A26="", "", IFERROR(LET(x, XLOOKUP(G$2, Players!$A$1:$P$1, Players!$A25:$P25),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26" s="29" t="str">
        <f t="array" ref="H26">IF($A26="", "", IFERROR(LET(x, XLOOKUP(H$2, Players!$A$1:$P$1, Players!$A25:$P25),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26" s="29" t="str">
        <f t="array" ref="I26">IF($A26="", "", IFERROR(LET(x, XLOOKUP(I$2, Players!$A$1:$P$1, Players!$A25:$P25),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26" s="29" t="str">
        <f t="array" ref="J26">IF($A26="", "", IFERROR(LET(x, XLOOKUP(J$2, Players!$A$1:$P$1, Players!$A25:$P25),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26" s="29" t="str">
        <f t="array" ref="K26">IF($A26="", "", IFERROR(LET(x, XLOOKUP(K$2, Players!$A$1:$P$1, Players!$A25:$P25),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26" s="29" t="str">
        <f t="array" ref="L26">IF($A26="", "", IFERROR(LET(x, XLOOKUP(L$2, Players!$A$1:$P$1, Players!$A25:$P25),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26" s="29" t="str">
        <f t="array" ref="M26">IF($A26="", "", IFERROR(LET(x, XLOOKUP(M$2, Players!$A$1:$P$1, Players!$A25:$P25),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26" s="29" t="str">
        <f t="array" ref="N26">IF($A26="", "", IFERROR(LET(x, XLOOKUP(N$2, Players!$A$1:$P$1, Players!$A25:$P25),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26" s="29" t="str">
        <f t="array" ref="O26">IF($A26="", "", IFERROR(LET(x, XLOOKUP(O$2, Players!$A$1:$P$1, Players!$A25:$P25),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26" s="29" t="str">
        <f t="array" ref="P26">IF($A26="", "", IFERROR(LET(x, XLOOKUP(P$2, Players!$A$1:$P$1, Players!$A25:$P25),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26" s="29" t="str">
        <f t="array" ref="Q26">IF($A26="", "", IFERROR(LET(x, XLOOKUP(Q$2, Players!$A$1:$P$1, Players!$A25:$P25),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26" s="29" t="str">
        <f t="array" ref="R26">IF($A26="", "", IFERROR(LET(x, XLOOKUP(R$2, Players!$A$1:$P$1, Players!$A25:$P25),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26" s="29" t="str">
        <f t="array" ref="S26">IF($A26="", "", IFERROR(LET(x, XLOOKUP(S$2, Players!$A$1:$P$1, Players!$A25:$P25),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26" s="29" t="str">
        <f t="array" ref="T26">IF($A26="", "", IFERROR(LET(x, XLOOKUP(T$2, Players!$A$1:$P$1, Players!$A25:$P25),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26" s="29" t="str">
        <f t="array" ref="U26">IF($A26="", "", IFERROR(LET(x, XLOOKUP(U$2, Players!$A$1:$P$1, Players!$A25:$P25),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26" s="29" t="str">
        <f t="array" ref="V26">IF($A26="", "", IFERROR(LET(x, XLOOKUP(V$2, Players!$A$1:$P$1, Players!$A25:$P25),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26" s="29" t="str">
        <f t="array" ref="W26">IF($A26="", "", IFERROR(LET(x, XLOOKUP(W$2, Players!$A$1:$P$1, Players!$A25:$P25),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27">
      <c r="A27" s="29" t="str">
        <f>IF(Players!A26="","",Players!A26)</f>
        <v/>
      </c>
      <c r="B27" s="29" t="str">
        <f t="array" ref="B27">IF($A27="", "", IFERROR(LET(x, XLOOKUP(B$2, Players!$A$1:$P$1, Players!$A26:$P26),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27" s="29" t="str">
        <f t="array" ref="C27">IF($A27="", "", IFERROR(LET(x, XLOOKUP(C$2, Players!$A$1:$P$1, Players!$A26:$P26),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27" s="29" t="str">
        <f t="array" ref="D27">IF($A27="", "", IFERROR(LET(x, XLOOKUP(D$2, Players!$A$1:$P$1, Players!$A26:$P26),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27" s="29" t="str">
        <f t="array" ref="E27">IF($A27="", "", IFERROR(LET(x, XLOOKUP(E$2, Players!$A$1:$P$1, Players!$A26:$P26),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27" s="29" t="str">
        <f t="array" ref="F27">IF($A27="", "", IFERROR(LET(x, XLOOKUP(F$2, Players!$A$1:$P$1, Players!$A26:$P26),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27" s="29" t="str">
        <f t="array" ref="G27">IF($A27="", "", IFERROR(LET(x, XLOOKUP(G$2, Players!$A$1:$P$1, Players!$A26:$P26),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27" s="29" t="str">
        <f t="array" ref="H27">IF($A27="", "", IFERROR(LET(x, XLOOKUP(H$2, Players!$A$1:$P$1, Players!$A26:$P26),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27" s="29" t="str">
        <f t="array" ref="I27">IF($A27="", "", IFERROR(LET(x, XLOOKUP(I$2, Players!$A$1:$P$1, Players!$A26:$P26),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27" s="29" t="str">
        <f t="array" ref="J27">IF($A27="", "", IFERROR(LET(x, XLOOKUP(J$2, Players!$A$1:$P$1, Players!$A26:$P26),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27" s="29" t="str">
        <f t="array" ref="K27">IF($A27="", "", IFERROR(LET(x, XLOOKUP(K$2, Players!$A$1:$P$1, Players!$A26:$P26),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27" s="29" t="str">
        <f t="array" ref="L27">IF($A27="", "", IFERROR(LET(x, XLOOKUP(L$2, Players!$A$1:$P$1, Players!$A26:$P26),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27" s="29" t="str">
        <f t="array" ref="M27">IF($A27="", "", IFERROR(LET(x, XLOOKUP(M$2, Players!$A$1:$P$1, Players!$A26:$P26),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27" s="29" t="str">
        <f t="array" ref="N27">IF($A27="", "", IFERROR(LET(x, XLOOKUP(N$2, Players!$A$1:$P$1, Players!$A26:$P26),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27" s="29" t="str">
        <f t="array" ref="O27">IF($A27="", "", IFERROR(LET(x, XLOOKUP(O$2, Players!$A$1:$P$1, Players!$A26:$P26),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27" s="29" t="str">
        <f t="array" ref="P27">IF($A27="", "", IFERROR(LET(x, XLOOKUP(P$2, Players!$A$1:$P$1, Players!$A26:$P26),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27" s="29" t="str">
        <f t="array" ref="Q27">IF($A27="", "", IFERROR(LET(x, XLOOKUP(Q$2, Players!$A$1:$P$1, Players!$A26:$P26),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27" s="29" t="str">
        <f t="array" ref="R27">IF($A27="", "", IFERROR(LET(x, XLOOKUP(R$2, Players!$A$1:$P$1, Players!$A26:$P26),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27" s="29" t="str">
        <f t="array" ref="S27">IF($A27="", "", IFERROR(LET(x, XLOOKUP(S$2, Players!$A$1:$P$1, Players!$A26:$P26),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27" s="29" t="str">
        <f t="array" ref="T27">IF($A27="", "", IFERROR(LET(x, XLOOKUP(T$2, Players!$A$1:$P$1, Players!$A26:$P26),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27" s="29" t="str">
        <f t="array" ref="U27">IF($A27="", "", IFERROR(LET(x, XLOOKUP(U$2, Players!$A$1:$P$1, Players!$A26:$P26),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27" s="29" t="str">
        <f t="array" ref="V27">IF($A27="", "", IFERROR(LET(x, XLOOKUP(V$2, Players!$A$1:$P$1, Players!$A26:$P26),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27" s="29" t="str">
        <f t="array" ref="W27">IF($A27="", "", IFERROR(LET(x, XLOOKUP(W$2, Players!$A$1:$P$1, Players!$A26:$P26),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28">
      <c r="A28" s="29" t="str">
        <f>IF(Players!A27="","",Players!A27)</f>
        <v/>
      </c>
      <c r="B28" s="29" t="str">
        <f t="array" ref="B28">IF($A28="", "", IFERROR(LET(x, XLOOKUP(B$2, Players!$A$1:$P$1, Players!$A27:$P27),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28" s="29" t="str">
        <f t="array" ref="C28">IF($A28="", "", IFERROR(LET(x, XLOOKUP(C$2, Players!$A$1:$P$1, Players!$A27:$P27),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28" s="29" t="str">
        <f t="array" ref="D28">IF($A28="", "", IFERROR(LET(x, XLOOKUP(D$2, Players!$A$1:$P$1, Players!$A27:$P27),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28" s="29" t="str">
        <f t="array" ref="E28">IF($A28="", "", IFERROR(LET(x, XLOOKUP(E$2, Players!$A$1:$P$1, Players!$A27:$P27),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28" s="29" t="str">
        <f t="array" ref="F28">IF($A28="", "", IFERROR(LET(x, XLOOKUP(F$2, Players!$A$1:$P$1, Players!$A27:$P27),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28" s="29" t="str">
        <f t="array" ref="G28">IF($A28="", "", IFERROR(LET(x, XLOOKUP(G$2, Players!$A$1:$P$1, Players!$A27:$P27),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28" s="29" t="str">
        <f t="array" ref="H28">IF($A28="", "", IFERROR(LET(x, XLOOKUP(H$2, Players!$A$1:$P$1, Players!$A27:$P27),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28" s="29" t="str">
        <f t="array" ref="I28">IF($A28="", "", IFERROR(LET(x, XLOOKUP(I$2, Players!$A$1:$P$1, Players!$A27:$P27),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28" s="29" t="str">
        <f t="array" ref="J28">IF($A28="", "", IFERROR(LET(x, XLOOKUP(J$2, Players!$A$1:$P$1, Players!$A27:$P27),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28" s="29" t="str">
        <f t="array" ref="K28">IF($A28="", "", IFERROR(LET(x, XLOOKUP(K$2, Players!$A$1:$P$1, Players!$A27:$P27),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28" s="29" t="str">
        <f t="array" ref="L28">IF($A28="", "", IFERROR(LET(x, XLOOKUP(L$2, Players!$A$1:$P$1, Players!$A27:$P27),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28" s="29" t="str">
        <f t="array" ref="M28">IF($A28="", "", IFERROR(LET(x, XLOOKUP(M$2, Players!$A$1:$P$1, Players!$A27:$P27),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28" s="29" t="str">
        <f t="array" ref="N28">IF($A28="", "", IFERROR(LET(x, XLOOKUP(N$2, Players!$A$1:$P$1, Players!$A27:$P27),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28" s="29" t="str">
        <f t="array" ref="O28">IF($A28="", "", IFERROR(LET(x, XLOOKUP(O$2, Players!$A$1:$P$1, Players!$A27:$P27),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28" s="29" t="str">
        <f t="array" ref="P28">IF($A28="", "", IFERROR(LET(x, XLOOKUP(P$2, Players!$A$1:$P$1, Players!$A27:$P27),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28" s="29" t="str">
        <f t="array" ref="Q28">IF($A28="", "", IFERROR(LET(x, XLOOKUP(Q$2, Players!$A$1:$P$1, Players!$A27:$P27),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28" s="29" t="str">
        <f t="array" ref="R28">IF($A28="", "", IFERROR(LET(x, XLOOKUP(R$2, Players!$A$1:$P$1, Players!$A27:$P27),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28" s="29" t="str">
        <f t="array" ref="S28">IF($A28="", "", IFERROR(LET(x, XLOOKUP(S$2, Players!$A$1:$P$1, Players!$A27:$P27),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28" s="29" t="str">
        <f t="array" ref="T28">IF($A28="", "", IFERROR(LET(x, XLOOKUP(T$2, Players!$A$1:$P$1, Players!$A27:$P27),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28" s="29" t="str">
        <f t="array" ref="U28">IF($A28="", "", IFERROR(LET(x, XLOOKUP(U$2, Players!$A$1:$P$1, Players!$A27:$P27),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28" s="29" t="str">
        <f t="array" ref="V28">IF($A28="", "", IFERROR(LET(x, XLOOKUP(V$2, Players!$A$1:$P$1, Players!$A27:$P27),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28" s="29" t="str">
        <f t="array" ref="W28">IF($A28="", "", IFERROR(LET(x, XLOOKUP(W$2, Players!$A$1:$P$1, Players!$A27:$P27),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29">
      <c r="A29" s="29" t="str">
        <f>IF(Players!A28="","",Players!A28)</f>
        <v/>
      </c>
      <c r="B29" s="29" t="str">
        <f t="array" ref="B29">IF($A29="", "", IFERROR(LET(x, XLOOKUP(B$2, Players!$A$1:$P$1, Players!$A28:$P28),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29" s="29" t="str">
        <f t="array" ref="C29">IF($A29="", "", IFERROR(LET(x, XLOOKUP(C$2, Players!$A$1:$P$1, Players!$A28:$P28),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29" s="29" t="str">
        <f t="array" ref="D29">IF($A29="", "", IFERROR(LET(x, XLOOKUP(D$2, Players!$A$1:$P$1, Players!$A28:$P28),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29" s="29" t="str">
        <f t="array" ref="E29">IF($A29="", "", IFERROR(LET(x, XLOOKUP(E$2, Players!$A$1:$P$1, Players!$A28:$P28),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29" s="29" t="str">
        <f t="array" ref="F29">IF($A29="", "", IFERROR(LET(x, XLOOKUP(F$2, Players!$A$1:$P$1, Players!$A28:$P28),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29" s="29" t="str">
        <f t="array" ref="G29">IF($A29="", "", IFERROR(LET(x, XLOOKUP(G$2, Players!$A$1:$P$1, Players!$A28:$P28),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29" s="29" t="str">
        <f t="array" ref="H29">IF($A29="", "", IFERROR(LET(x, XLOOKUP(H$2, Players!$A$1:$P$1, Players!$A28:$P28),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29" s="29" t="str">
        <f t="array" ref="I29">IF($A29="", "", IFERROR(LET(x, XLOOKUP(I$2, Players!$A$1:$P$1, Players!$A28:$P28),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29" s="29" t="str">
        <f t="array" ref="J29">IF($A29="", "", IFERROR(LET(x, XLOOKUP(J$2, Players!$A$1:$P$1, Players!$A28:$P28),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29" s="29" t="str">
        <f t="array" ref="K29">IF($A29="", "", IFERROR(LET(x, XLOOKUP(K$2, Players!$A$1:$P$1, Players!$A28:$P28),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29" s="29" t="str">
        <f t="array" ref="L29">IF($A29="", "", IFERROR(LET(x, XLOOKUP(L$2, Players!$A$1:$P$1, Players!$A28:$P28),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29" s="29" t="str">
        <f t="array" ref="M29">IF($A29="", "", IFERROR(LET(x, XLOOKUP(M$2, Players!$A$1:$P$1, Players!$A28:$P28),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29" s="29" t="str">
        <f t="array" ref="N29">IF($A29="", "", IFERROR(LET(x, XLOOKUP(N$2, Players!$A$1:$P$1, Players!$A28:$P28),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29" s="29" t="str">
        <f t="array" ref="O29">IF($A29="", "", IFERROR(LET(x, XLOOKUP(O$2, Players!$A$1:$P$1, Players!$A28:$P28),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29" s="29" t="str">
        <f t="array" ref="P29">IF($A29="", "", IFERROR(LET(x, XLOOKUP(P$2, Players!$A$1:$P$1, Players!$A28:$P28),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29" s="29" t="str">
        <f t="array" ref="Q29">IF($A29="", "", IFERROR(LET(x, XLOOKUP(Q$2, Players!$A$1:$P$1, Players!$A28:$P28),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29" s="29" t="str">
        <f t="array" ref="R29">IF($A29="", "", IFERROR(LET(x, XLOOKUP(R$2, Players!$A$1:$P$1, Players!$A28:$P28),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29" s="29" t="str">
        <f t="array" ref="S29">IF($A29="", "", IFERROR(LET(x, XLOOKUP(S$2, Players!$A$1:$P$1, Players!$A28:$P28),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29" s="29" t="str">
        <f t="array" ref="T29">IF($A29="", "", IFERROR(LET(x, XLOOKUP(T$2, Players!$A$1:$P$1, Players!$A28:$P28),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29" s="29" t="str">
        <f t="array" ref="U29">IF($A29="", "", IFERROR(LET(x, XLOOKUP(U$2, Players!$A$1:$P$1, Players!$A28:$P28),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29" s="29" t="str">
        <f t="array" ref="V29">IF($A29="", "", IFERROR(LET(x, XLOOKUP(V$2, Players!$A$1:$P$1, Players!$A28:$P28),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29" s="29" t="str">
        <f t="array" ref="W29">IF($A29="", "", IFERROR(LET(x, XLOOKUP(W$2, Players!$A$1:$P$1, Players!$A28:$P28),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30">
      <c r="A30" s="29" t="str">
        <f>IF(Players!A29="","",Players!A29)</f>
        <v/>
      </c>
      <c r="B30" s="29" t="str">
        <f t="array" ref="B30">IF($A30="", "", IFERROR(LET(x, XLOOKUP(B$2, Players!$A$1:$P$1, Players!$A29:$P29),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30" s="29" t="str">
        <f t="array" ref="C30">IF($A30="", "", IFERROR(LET(x, XLOOKUP(C$2, Players!$A$1:$P$1, Players!$A29:$P29),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30" s="29" t="str">
        <f t="array" ref="D30">IF($A30="", "", IFERROR(LET(x, XLOOKUP(D$2, Players!$A$1:$P$1, Players!$A29:$P29),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30" s="29" t="str">
        <f t="array" ref="E30">IF($A30="", "", IFERROR(LET(x, XLOOKUP(E$2, Players!$A$1:$P$1, Players!$A29:$P29),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30" s="29" t="str">
        <f t="array" ref="F30">IF($A30="", "", IFERROR(LET(x, XLOOKUP(F$2, Players!$A$1:$P$1, Players!$A29:$P29),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30" s="29" t="str">
        <f t="array" ref="G30">IF($A30="", "", IFERROR(LET(x, XLOOKUP(G$2, Players!$A$1:$P$1, Players!$A29:$P29),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30" s="29" t="str">
        <f t="array" ref="H30">IF($A30="", "", IFERROR(LET(x, XLOOKUP(H$2, Players!$A$1:$P$1, Players!$A29:$P29),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30" s="29" t="str">
        <f t="array" ref="I30">IF($A30="", "", IFERROR(LET(x, XLOOKUP(I$2, Players!$A$1:$P$1, Players!$A29:$P29),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30" s="29" t="str">
        <f t="array" ref="J30">IF($A30="", "", IFERROR(LET(x, XLOOKUP(J$2, Players!$A$1:$P$1, Players!$A29:$P29),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30" s="29" t="str">
        <f t="array" ref="K30">IF($A30="", "", IFERROR(LET(x, XLOOKUP(K$2, Players!$A$1:$P$1, Players!$A29:$P29),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30" s="29" t="str">
        <f t="array" ref="L30">IF($A30="", "", IFERROR(LET(x, XLOOKUP(L$2, Players!$A$1:$P$1, Players!$A29:$P29),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30" s="29" t="str">
        <f t="array" ref="M30">IF($A30="", "", IFERROR(LET(x, XLOOKUP(M$2, Players!$A$1:$P$1, Players!$A29:$P29),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30" s="29" t="str">
        <f t="array" ref="N30">IF($A30="", "", IFERROR(LET(x, XLOOKUP(N$2, Players!$A$1:$P$1, Players!$A29:$P29),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30" s="29" t="str">
        <f t="array" ref="O30">IF($A30="", "", IFERROR(LET(x, XLOOKUP(O$2, Players!$A$1:$P$1, Players!$A29:$P29),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30" s="29" t="str">
        <f t="array" ref="P30">IF($A30="", "", IFERROR(LET(x, XLOOKUP(P$2, Players!$A$1:$P$1, Players!$A29:$P29),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30" s="29" t="str">
        <f t="array" ref="Q30">IF($A30="", "", IFERROR(LET(x, XLOOKUP(Q$2, Players!$A$1:$P$1, Players!$A29:$P29),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30" s="29" t="str">
        <f t="array" ref="R30">IF($A30="", "", IFERROR(LET(x, XLOOKUP(R$2, Players!$A$1:$P$1, Players!$A29:$P29),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30" s="29" t="str">
        <f t="array" ref="S30">IF($A30="", "", IFERROR(LET(x, XLOOKUP(S$2, Players!$A$1:$P$1, Players!$A29:$P29),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30" s="29" t="str">
        <f t="array" ref="T30">IF($A30="", "", IFERROR(LET(x, XLOOKUP(T$2, Players!$A$1:$P$1, Players!$A29:$P29),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30" s="29" t="str">
        <f t="array" ref="U30">IF($A30="", "", IFERROR(LET(x, XLOOKUP(U$2, Players!$A$1:$P$1, Players!$A29:$P29),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30" s="29" t="str">
        <f t="array" ref="V30">IF($A30="", "", IFERROR(LET(x, XLOOKUP(V$2, Players!$A$1:$P$1, Players!$A29:$P29),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30" s="29" t="str">
        <f t="array" ref="W30">IF($A30="", "", IFERROR(LET(x, XLOOKUP(W$2, Players!$A$1:$P$1, Players!$A29:$P29),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31">
      <c r="A31" s="29" t="str">
        <f>IF(Players!A30="","",Players!A30)</f>
        <v/>
      </c>
      <c r="B31" s="29" t="str">
        <f t="array" ref="B31">IF($A31="", "", IFERROR(LET(x, XLOOKUP(B$2, Players!$A$1:$P$1, Players!$A30:$P30),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31" s="29" t="str">
        <f t="array" ref="C31">IF($A31="", "", IFERROR(LET(x, XLOOKUP(C$2, Players!$A$1:$P$1, Players!$A30:$P30),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31" s="29" t="str">
        <f t="array" ref="D31">IF($A31="", "", IFERROR(LET(x, XLOOKUP(D$2, Players!$A$1:$P$1, Players!$A30:$P30),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31" s="29" t="str">
        <f t="array" ref="E31">IF($A31="", "", IFERROR(LET(x, XLOOKUP(E$2, Players!$A$1:$P$1, Players!$A30:$P30),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31" s="29" t="str">
        <f t="array" ref="F31">IF($A31="", "", IFERROR(LET(x, XLOOKUP(F$2, Players!$A$1:$P$1, Players!$A30:$P30),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31" s="29" t="str">
        <f t="array" ref="G31">IF($A31="", "", IFERROR(LET(x, XLOOKUP(G$2, Players!$A$1:$P$1, Players!$A30:$P30),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31" s="29" t="str">
        <f t="array" ref="H31">IF($A31="", "", IFERROR(LET(x, XLOOKUP(H$2, Players!$A$1:$P$1, Players!$A30:$P30),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31" s="29" t="str">
        <f t="array" ref="I31">IF($A31="", "", IFERROR(LET(x, XLOOKUP(I$2, Players!$A$1:$P$1, Players!$A30:$P30),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31" s="29" t="str">
        <f t="array" ref="J31">IF($A31="", "", IFERROR(LET(x, XLOOKUP(J$2, Players!$A$1:$P$1, Players!$A30:$P30),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31" s="29" t="str">
        <f t="array" ref="K31">IF($A31="", "", IFERROR(LET(x, XLOOKUP(K$2, Players!$A$1:$P$1, Players!$A30:$P30),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31" s="29" t="str">
        <f t="array" ref="L31">IF($A31="", "", IFERROR(LET(x, XLOOKUP(L$2, Players!$A$1:$P$1, Players!$A30:$P30),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31" s="29" t="str">
        <f t="array" ref="M31">IF($A31="", "", IFERROR(LET(x, XLOOKUP(M$2, Players!$A$1:$P$1, Players!$A30:$P30),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31" s="29" t="str">
        <f t="array" ref="N31">IF($A31="", "", IFERROR(LET(x, XLOOKUP(N$2, Players!$A$1:$P$1, Players!$A30:$P30),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31" s="29" t="str">
        <f t="array" ref="O31">IF($A31="", "", IFERROR(LET(x, XLOOKUP(O$2, Players!$A$1:$P$1, Players!$A30:$P30),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31" s="29" t="str">
        <f t="array" ref="P31">IF($A31="", "", IFERROR(LET(x, XLOOKUP(P$2, Players!$A$1:$P$1, Players!$A30:$P30),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31" s="29" t="str">
        <f t="array" ref="Q31">IF($A31="", "", IFERROR(LET(x, XLOOKUP(Q$2, Players!$A$1:$P$1, Players!$A30:$P30),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31" s="29" t="str">
        <f t="array" ref="R31">IF($A31="", "", IFERROR(LET(x, XLOOKUP(R$2, Players!$A$1:$P$1, Players!$A30:$P30),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31" s="29" t="str">
        <f t="array" ref="S31">IF($A31="", "", IFERROR(LET(x, XLOOKUP(S$2, Players!$A$1:$P$1, Players!$A30:$P30),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31" s="29" t="str">
        <f t="array" ref="T31">IF($A31="", "", IFERROR(LET(x, XLOOKUP(T$2, Players!$A$1:$P$1, Players!$A30:$P30),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31" s="29" t="str">
        <f t="array" ref="U31">IF($A31="", "", IFERROR(LET(x, XLOOKUP(U$2, Players!$A$1:$P$1, Players!$A30:$P30),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31" s="29" t="str">
        <f t="array" ref="V31">IF($A31="", "", IFERROR(LET(x, XLOOKUP(V$2, Players!$A$1:$P$1, Players!$A30:$P30),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31" s="29" t="str">
        <f t="array" ref="W31">IF($A31="", "", IFERROR(LET(x, XLOOKUP(W$2, Players!$A$1:$P$1, Players!$A30:$P30),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32">
      <c r="A32" s="29" t="str">
        <f>IF(Players!A31="","",Players!A31)</f>
        <v/>
      </c>
      <c r="B32" s="29" t="str">
        <f t="array" ref="B32">IF($A32="", "", IFERROR(LET(x, XLOOKUP(B$2, Players!$A$1:$P$1, Players!$A31:$P31),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32" s="29" t="str">
        <f t="array" ref="C32">IF($A32="", "", IFERROR(LET(x, XLOOKUP(C$2, Players!$A$1:$P$1, Players!$A31:$P31),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32" s="29" t="str">
        <f t="array" ref="D32">IF($A32="", "", IFERROR(LET(x, XLOOKUP(D$2, Players!$A$1:$P$1, Players!$A31:$P31),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32" s="29" t="str">
        <f t="array" ref="E32">IF($A32="", "", IFERROR(LET(x, XLOOKUP(E$2, Players!$A$1:$P$1, Players!$A31:$P31),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32" s="29" t="str">
        <f t="array" ref="F32">IF($A32="", "", IFERROR(LET(x, XLOOKUP(F$2, Players!$A$1:$P$1, Players!$A31:$P31),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32" s="29" t="str">
        <f t="array" ref="G32">IF($A32="", "", IFERROR(LET(x, XLOOKUP(G$2, Players!$A$1:$P$1, Players!$A31:$P31),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32" s="29" t="str">
        <f t="array" ref="H32">IF($A32="", "", IFERROR(LET(x, XLOOKUP(H$2, Players!$A$1:$P$1, Players!$A31:$P31),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32" s="29" t="str">
        <f t="array" ref="I32">IF($A32="", "", IFERROR(LET(x, XLOOKUP(I$2, Players!$A$1:$P$1, Players!$A31:$P31),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32" s="29" t="str">
        <f t="array" ref="J32">IF($A32="", "", IFERROR(LET(x, XLOOKUP(J$2, Players!$A$1:$P$1, Players!$A31:$P31),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32" s="29" t="str">
        <f t="array" ref="K32">IF($A32="", "", IFERROR(LET(x, XLOOKUP(K$2, Players!$A$1:$P$1, Players!$A31:$P31),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32" s="29" t="str">
        <f t="array" ref="L32">IF($A32="", "", IFERROR(LET(x, XLOOKUP(L$2, Players!$A$1:$P$1, Players!$A31:$P31),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32" s="29" t="str">
        <f t="array" ref="M32">IF($A32="", "", IFERROR(LET(x, XLOOKUP(M$2, Players!$A$1:$P$1, Players!$A31:$P31),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32" s="29" t="str">
        <f t="array" ref="N32">IF($A32="", "", IFERROR(LET(x, XLOOKUP(N$2, Players!$A$1:$P$1, Players!$A31:$P31),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32" s="29" t="str">
        <f t="array" ref="O32">IF($A32="", "", IFERROR(LET(x, XLOOKUP(O$2, Players!$A$1:$P$1, Players!$A31:$P31),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32" s="29" t="str">
        <f t="array" ref="P32">IF($A32="", "", IFERROR(LET(x, XLOOKUP(P$2, Players!$A$1:$P$1, Players!$A31:$P31),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32" s="29" t="str">
        <f t="array" ref="Q32">IF($A32="", "", IFERROR(LET(x, XLOOKUP(Q$2, Players!$A$1:$P$1, Players!$A31:$P31),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32" s="29" t="str">
        <f t="array" ref="R32">IF($A32="", "", IFERROR(LET(x, XLOOKUP(R$2, Players!$A$1:$P$1, Players!$A31:$P31),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32" s="29" t="str">
        <f t="array" ref="S32">IF($A32="", "", IFERROR(LET(x, XLOOKUP(S$2, Players!$A$1:$P$1, Players!$A31:$P31),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32" s="29" t="str">
        <f t="array" ref="T32">IF($A32="", "", IFERROR(LET(x, XLOOKUP(T$2, Players!$A$1:$P$1, Players!$A31:$P31),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32" s="29" t="str">
        <f t="array" ref="U32">IF($A32="", "", IFERROR(LET(x, XLOOKUP(U$2, Players!$A$1:$P$1, Players!$A31:$P31),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32" s="29" t="str">
        <f t="array" ref="V32">IF($A32="", "", IFERROR(LET(x, XLOOKUP(V$2, Players!$A$1:$P$1, Players!$A31:$P31),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32" s="29" t="str">
        <f t="array" ref="W32">IF($A32="", "", IFERROR(LET(x, XLOOKUP(W$2, Players!$A$1:$P$1, Players!$A31:$P31),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33">
      <c r="A33" s="29" t="str">
        <f>IF(Players!A32="","",Players!A32)</f>
        <v/>
      </c>
      <c r="B33" s="29" t="str">
        <f t="array" ref="B33">IF($A33="", "", IFERROR(LET(x, XLOOKUP(B$2, Players!$A$1:$P$1, Players!$A32:$P32),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33" s="29" t="str">
        <f t="array" ref="C33">IF($A33="", "", IFERROR(LET(x, XLOOKUP(C$2, Players!$A$1:$P$1, Players!$A32:$P32),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33" s="29" t="str">
        <f t="array" ref="D33">IF($A33="", "", IFERROR(LET(x, XLOOKUP(D$2, Players!$A$1:$P$1, Players!$A32:$P32),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33" s="29" t="str">
        <f t="array" ref="E33">IF($A33="", "", IFERROR(LET(x, XLOOKUP(E$2, Players!$A$1:$P$1, Players!$A32:$P32),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33" s="29" t="str">
        <f t="array" ref="F33">IF($A33="", "", IFERROR(LET(x, XLOOKUP(F$2, Players!$A$1:$P$1, Players!$A32:$P32),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33" s="29" t="str">
        <f t="array" ref="G33">IF($A33="", "", IFERROR(LET(x, XLOOKUP(G$2, Players!$A$1:$P$1, Players!$A32:$P32),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33" s="29" t="str">
        <f t="array" ref="H33">IF($A33="", "", IFERROR(LET(x, XLOOKUP(H$2, Players!$A$1:$P$1, Players!$A32:$P32),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33" s="29" t="str">
        <f t="array" ref="I33">IF($A33="", "", IFERROR(LET(x, XLOOKUP(I$2, Players!$A$1:$P$1, Players!$A32:$P32),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33" s="29" t="str">
        <f t="array" ref="J33">IF($A33="", "", IFERROR(LET(x, XLOOKUP(J$2, Players!$A$1:$P$1, Players!$A32:$P32),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33" s="29" t="str">
        <f t="array" ref="K33">IF($A33="", "", IFERROR(LET(x, XLOOKUP(K$2, Players!$A$1:$P$1, Players!$A32:$P32),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33" s="29" t="str">
        <f t="array" ref="L33">IF($A33="", "", IFERROR(LET(x, XLOOKUP(L$2, Players!$A$1:$P$1, Players!$A32:$P32),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33" s="29" t="str">
        <f t="array" ref="M33">IF($A33="", "", IFERROR(LET(x, XLOOKUP(M$2, Players!$A$1:$P$1, Players!$A32:$P32),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33" s="29" t="str">
        <f t="array" ref="N33">IF($A33="", "", IFERROR(LET(x, XLOOKUP(N$2, Players!$A$1:$P$1, Players!$A32:$P32),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33" s="29" t="str">
        <f t="array" ref="O33">IF($A33="", "", IFERROR(LET(x, XLOOKUP(O$2, Players!$A$1:$P$1, Players!$A32:$P32),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33" s="29" t="str">
        <f t="array" ref="P33">IF($A33="", "", IFERROR(LET(x, XLOOKUP(P$2, Players!$A$1:$P$1, Players!$A32:$P32),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33" s="29" t="str">
        <f t="array" ref="Q33">IF($A33="", "", IFERROR(LET(x, XLOOKUP(Q$2, Players!$A$1:$P$1, Players!$A32:$P32),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33" s="29" t="str">
        <f t="array" ref="R33">IF($A33="", "", IFERROR(LET(x, XLOOKUP(R$2, Players!$A$1:$P$1, Players!$A32:$P32),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33" s="29" t="str">
        <f t="array" ref="S33">IF($A33="", "", IFERROR(LET(x, XLOOKUP(S$2, Players!$A$1:$P$1, Players!$A32:$P32),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33" s="29" t="str">
        <f t="array" ref="T33">IF($A33="", "", IFERROR(LET(x, XLOOKUP(T$2, Players!$A$1:$P$1, Players!$A32:$P32),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33" s="29" t="str">
        <f t="array" ref="U33">IF($A33="", "", IFERROR(LET(x, XLOOKUP(U$2, Players!$A$1:$P$1, Players!$A32:$P32),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33" s="29" t="str">
        <f t="array" ref="V33">IF($A33="", "", IFERROR(LET(x, XLOOKUP(V$2, Players!$A$1:$P$1, Players!$A32:$P32),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33" s="29" t="str">
        <f t="array" ref="W33">IF($A33="", "", IFERROR(LET(x, XLOOKUP(W$2, Players!$A$1:$P$1, Players!$A32:$P32),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34">
      <c r="A34" s="29" t="str">
        <f>IF(Players!A33="","",Players!A33)</f>
        <v/>
      </c>
      <c r="B34" s="29" t="str">
        <f t="array" ref="B34">IF($A34="", "", IFERROR(LET(x, XLOOKUP(B$2, Players!$A$1:$P$1, Players!$A33:$P33),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34" s="29" t="str">
        <f t="array" ref="C34">IF($A34="", "", IFERROR(LET(x, XLOOKUP(C$2, Players!$A$1:$P$1, Players!$A33:$P33),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34" s="29" t="str">
        <f t="array" ref="D34">IF($A34="", "", IFERROR(LET(x, XLOOKUP(D$2, Players!$A$1:$P$1, Players!$A33:$P33),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34" s="29" t="str">
        <f t="array" ref="E34">IF($A34="", "", IFERROR(LET(x, XLOOKUP(E$2, Players!$A$1:$P$1, Players!$A33:$P33),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34" s="29" t="str">
        <f t="array" ref="F34">IF($A34="", "", IFERROR(LET(x, XLOOKUP(F$2, Players!$A$1:$P$1, Players!$A33:$P33),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34" s="29" t="str">
        <f t="array" ref="G34">IF($A34="", "", IFERROR(LET(x, XLOOKUP(G$2, Players!$A$1:$P$1, Players!$A33:$P33),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34" s="29" t="str">
        <f t="array" ref="H34">IF($A34="", "", IFERROR(LET(x, XLOOKUP(H$2, Players!$A$1:$P$1, Players!$A33:$P33),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34" s="29" t="str">
        <f t="array" ref="I34">IF($A34="", "", IFERROR(LET(x, XLOOKUP(I$2, Players!$A$1:$P$1, Players!$A33:$P33),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34" s="29" t="str">
        <f t="array" ref="J34">IF($A34="", "", IFERROR(LET(x, XLOOKUP(J$2, Players!$A$1:$P$1, Players!$A33:$P33),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34" s="29" t="str">
        <f t="array" ref="K34">IF($A34="", "", IFERROR(LET(x, XLOOKUP(K$2, Players!$A$1:$P$1, Players!$A33:$P33),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34" s="29" t="str">
        <f t="array" ref="L34">IF($A34="", "", IFERROR(LET(x, XLOOKUP(L$2, Players!$A$1:$P$1, Players!$A33:$P33),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34" s="29" t="str">
        <f t="array" ref="M34">IF($A34="", "", IFERROR(LET(x, XLOOKUP(M$2, Players!$A$1:$P$1, Players!$A33:$P33),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34" s="29" t="str">
        <f t="array" ref="N34">IF($A34="", "", IFERROR(LET(x, XLOOKUP(N$2, Players!$A$1:$P$1, Players!$A33:$P33),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34" s="29" t="str">
        <f t="array" ref="O34">IF($A34="", "", IFERROR(LET(x, XLOOKUP(O$2, Players!$A$1:$P$1, Players!$A33:$P33),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34" s="29" t="str">
        <f t="array" ref="P34">IF($A34="", "", IFERROR(LET(x, XLOOKUP(P$2, Players!$A$1:$P$1, Players!$A33:$P33),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34" s="29" t="str">
        <f t="array" ref="Q34">IF($A34="", "", IFERROR(LET(x, XLOOKUP(Q$2, Players!$A$1:$P$1, Players!$A33:$P33),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34" s="29" t="str">
        <f t="array" ref="R34">IF($A34="", "", IFERROR(LET(x, XLOOKUP(R$2, Players!$A$1:$P$1, Players!$A33:$P33),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34" s="29" t="str">
        <f t="array" ref="S34">IF($A34="", "", IFERROR(LET(x, XLOOKUP(S$2, Players!$A$1:$P$1, Players!$A33:$P33),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34" s="29" t="str">
        <f t="array" ref="T34">IF($A34="", "", IFERROR(LET(x, XLOOKUP(T$2, Players!$A$1:$P$1, Players!$A33:$P33),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34" s="29" t="str">
        <f t="array" ref="U34">IF($A34="", "", IFERROR(LET(x, XLOOKUP(U$2, Players!$A$1:$P$1, Players!$A33:$P33),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34" s="29" t="str">
        <f t="array" ref="V34">IF($A34="", "", IFERROR(LET(x, XLOOKUP(V$2, Players!$A$1:$P$1, Players!$A33:$P33),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34" s="29" t="str">
        <f t="array" ref="W34">IF($A34="", "", IFERROR(LET(x, XLOOKUP(W$2, Players!$A$1:$P$1, Players!$A33:$P33),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35">
      <c r="A35" s="29" t="str">
        <f>IF(Players!A34="","",Players!A34)</f>
        <v/>
      </c>
      <c r="B35" s="29" t="str">
        <f t="array" ref="B35">IF($A35="", "", IFERROR(LET(x, XLOOKUP(B$2, Players!$A$1:$P$1, Players!$A34:$P34),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35" s="29" t="str">
        <f t="array" ref="C35">IF($A35="", "", IFERROR(LET(x, XLOOKUP(C$2, Players!$A$1:$P$1, Players!$A34:$P34),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35" s="29" t="str">
        <f t="array" ref="D35">IF($A35="", "", IFERROR(LET(x, XLOOKUP(D$2, Players!$A$1:$P$1, Players!$A34:$P34),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35" s="29" t="str">
        <f t="array" ref="E35">IF($A35="", "", IFERROR(LET(x, XLOOKUP(E$2, Players!$A$1:$P$1, Players!$A34:$P34),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35" s="29" t="str">
        <f t="array" ref="F35">IF($A35="", "", IFERROR(LET(x, XLOOKUP(F$2, Players!$A$1:$P$1, Players!$A34:$P34),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35" s="29" t="str">
        <f t="array" ref="G35">IF($A35="", "", IFERROR(LET(x, XLOOKUP(G$2, Players!$A$1:$P$1, Players!$A34:$P34),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35" s="29" t="str">
        <f t="array" ref="H35">IF($A35="", "", IFERROR(LET(x, XLOOKUP(H$2, Players!$A$1:$P$1, Players!$A34:$P34),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35" s="29" t="str">
        <f t="array" ref="I35">IF($A35="", "", IFERROR(LET(x, XLOOKUP(I$2, Players!$A$1:$P$1, Players!$A34:$P34),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35" s="29" t="str">
        <f t="array" ref="J35">IF($A35="", "", IFERROR(LET(x, XLOOKUP(J$2, Players!$A$1:$P$1, Players!$A34:$P34),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35" s="29" t="str">
        <f t="array" ref="K35">IF($A35="", "", IFERROR(LET(x, XLOOKUP(K$2, Players!$A$1:$P$1, Players!$A34:$P34),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35" s="29" t="str">
        <f t="array" ref="L35">IF($A35="", "", IFERROR(LET(x, XLOOKUP(L$2, Players!$A$1:$P$1, Players!$A34:$P34),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35" s="29" t="str">
        <f t="array" ref="M35">IF($A35="", "", IFERROR(LET(x, XLOOKUP(M$2, Players!$A$1:$P$1, Players!$A34:$P34),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35" s="29" t="str">
        <f t="array" ref="N35">IF($A35="", "", IFERROR(LET(x, XLOOKUP(N$2, Players!$A$1:$P$1, Players!$A34:$P34),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35" s="29" t="str">
        <f t="array" ref="O35">IF($A35="", "", IFERROR(LET(x, XLOOKUP(O$2, Players!$A$1:$P$1, Players!$A34:$P34),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35" s="29" t="str">
        <f t="array" ref="P35">IF($A35="", "", IFERROR(LET(x, XLOOKUP(P$2, Players!$A$1:$P$1, Players!$A34:$P34),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35" s="29" t="str">
        <f t="array" ref="Q35">IF($A35="", "", IFERROR(LET(x, XLOOKUP(Q$2, Players!$A$1:$P$1, Players!$A34:$P34),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35" s="29" t="str">
        <f t="array" ref="R35">IF($A35="", "", IFERROR(LET(x, XLOOKUP(R$2, Players!$A$1:$P$1, Players!$A34:$P34),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35" s="29" t="str">
        <f t="array" ref="S35">IF($A35="", "", IFERROR(LET(x, XLOOKUP(S$2, Players!$A$1:$P$1, Players!$A34:$P34),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35" s="29" t="str">
        <f t="array" ref="T35">IF($A35="", "", IFERROR(LET(x, XLOOKUP(T$2, Players!$A$1:$P$1, Players!$A34:$P34),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35" s="29" t="str">
        <f t="array" ref="U35">IF($A35="", "", IFERROR(LET(x, XLOOKUP(U$2, Players!$A$1:$P$1, Players!$A34:$P34),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35" s="29" t="str">
        <f t="array" ref="V35">IF($A35="", "", IFERROR(LET(x, XLOOKUP(V$2, Players!$A$1:$P$1, Players!$A34:$P34),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35" s="29" t="str">
        <f t="array" ref="W35">IF($A35="", "", IFERROR(LET(x, XLOOKUP(W$2, Players!$A$1:$P$1, Players!$A34:$P34),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36">
      <c r="A36" s="29" t="str">
        <f>IF(Players!A35="","",Players!A35)</f>
        <v/>
      </c>
      <c r="B36" s="29" t="str">
        <f t="array" ref="B36">IF($A36="", "", IFERROR(LET(x, XLOOKUP(B$2, Players!$A$1:$P$1, Players!$A35:$P35),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36" s="29" t="str">
        <f t="array" ref="C36">IF($A36="", "", IFERROR(LET(x, XLOOKUP(C$2, Players!$A$1:$P$1, Players!$A35:$P35),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36" s="29" t="str">
        <f t="array" ref="D36">IF($A36="", "", IFERROR(LET(x, XLOOKUP(D$2, Players!$A$1:$P$1, Players!$A35:$P35),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36" s="29" t="str">
        <f t="array" ref="E36">IF($A36="", "", IFERROR(LET(x, XLOOKUP(E$2, Players!$A$1:$P$1, Players!$A35:$P35),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36" s="29" t="str">
        <f t="array" ref="F36">IF($A36="", "", IFERROR(LET(x, XLOOKUP(F$2, Players!$A$1:$P$1, Players!$A35:$P35),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36" s="29" t="str">
        <f t="array" ref="G36">IF($A36="", "", IFERROR(LET(x, XLOOKUP(G$2, Players!$A$1:$P$1, Players!$A35:$P35),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36" s="29" t="str">
        <f t="array" ref="H36">IF($A36="", "", IFERROR(LET(x, XLOOKUP(H$2, Players!$A$1:$P$1, Players!$A35:$P35),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36" s="29" t="str">
        <f t="array" ref="I36">IF($A36="", "", IFERROR(LET(x, XLOOKUP(I$2, Players!$A$1:$P$1, Players!$A35:$P35),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36" s="29" t="str">
        <f t="array" ref="J36">IF($A36="", "", IFERROR(LET(x, XLOOKUP(J$2, Players!$A$1:$P$1, Players!$A35:$P35),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36" s="29" t="str">
        <f t="array" ref="K36">IF($A36="", "", IFERROR(LET(x, XLOOKUP(K$2, Players!$A$1:$P$1, Players!$A35:$P35),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36" s="29" t="str">
        <f t="array" ref="L36">IF($A36="", "", IFERROR(LET(x, XLOOKUP(L$2, Players!$A$1:$P$1, Players!$A35:$P35),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36" s="29" t="str">
        <f t="array" ref="M36">IF($A36="", "", IFERROR(LET(x, XLOOKUP(M$2, Players!$A$1:$P$1, Players!$A35:$P35),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36" s="29" t="str">
        <f t="array" ref="N36">IF($A36="", "", IFERROR(LET(x, XLOOKUP(N$2, Players!$A$1:$P$1, Players!$A35:$P35),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36" s="29" t="str">
        <f t="array" ref="O36">IF($A36="", "", IFERROR(LET(x, XLOOKUP(O$2, Players!$A$1:$P$1, Players!$A35:$P35),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36" s="29" t="str">
        <f t="array" ref="P36">IF($A36="", "", IFERROR(LET(x, XLOOKUP(P$2, Players!$A$1:$P$1, Players!$A35:$P35),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36" s="29" t="str">
        <f t="array" ref="Q36">IF($A36="", "", IFERROR(LET(x, XLOOKUP(Q$2, Players!$A$1:$P$1, Players!$A35:$P35),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36" s="29" t="str">
        <f t="array" ref="R36">IF($A36="", "", IFERROR(LET(x, XLOOKUP(R$2, Players!$A$1:$P$1, Players!$A35:$P35),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36" s="29" t="str">
        <f t="array" ref="S36">IF($A36="", "", IFERROR(LET(x, XLOOKUP(S$2, Players!$A$1:$P$1, Players!$A35:$P35),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36" s="29" t="str">
        <f t="array" ref="T36">IF($A36="", "", IFERROR(LET(x, XLOOKUP(T$2, Players!$A$1:$P$1, Players!$A35:$P35),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36" s="29" t="str">
        <f t="array" ref="U36">IF($A36="", "", IFERROR(LET(x, XLOOKUP(U$2, Players!$A$1:$P$1, Players!$A35:$P35),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36" s="29" t="str">
        <f t="array" ref="V36">IF($A36="", "", IFERROR(LET(x, XLOOKUP(V$2, Players!$A$1:$P$1, Players!$A35:$P35),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36" s="29" t="str">
        <f t="array" ref="W36">IF($A36="", "", IFERROR(LET(x, XLOOKUP(W$2, Players!$A$1:$P$1, Players!$A35:$P35),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37">
      <c r="A37" s="29" t="str">
        <f>IF(Players!A36="","",Players!A36)</f>
        <v/>
      </c>
      <c r="B37" s="29" t="str">
        <f t="array" ref="B37">IF($A37="", "", IFERROR(LET(x, XLOOKUP(B$2, Players!$A$1:$P$1, Players!$A36:$P36),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37" s="29" t="str">
        <f t="array" ref="C37">IF($A37="", "", IFERROR(LET(x, XLOOKUP(C$2, Players!$A$1:$P$1, Players!$A36:$P36),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37" s="29" t="str">
        <f t="array" ref="D37">IF($A37="", "", IFERROR(LET(x, XLOOKUP(D$2, Players!$A$1:$P$1, Players!$A36:$P36),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37" s="29" t="str">
        <f t="array" ref="E37">IF($A37="", "", IFERROR(LET(x, XLOOKUP(E$2, Players!$A$1:$P$1, Players!$A36:$P36),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37" s="29" t="str">
        <f t="array" ref="F37">IF($A37="", "", IFERROR(LET(x, XLOOKUP(F$2, Players!$A$1:$P$1, Players!$A36:$P36),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37" s="29" t="str">
        <f t="array" ref="G37">IF($A37="", "", IFERROR(LET(x, XLOOKUP(G$2, Players!$A$1:$P$1, Players!$A36:$P36),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37" s="29" t="str">
        <f t="array" ref="H37">IF($A37="", "", IFERROR(LET(x, XLOOKUP(H$2, Players!$A$1:$P$1, Players!$A36:$P36),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37" s="29" t="str">
        <f t="array" ref="I37">IF($A37="", "", IFERROR(LET(x, XLOOKUP(I$2, Players!$A$1:$P$1, Players!$A36:$P36),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37" s="29" t="str">
        <f t="array" ref="J37">IF($A37="", "", IFERROR(LET(x, XLOOKUP(J$2, Players!$A$1:$P$1, Players!$A36:$P36),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37" s="29" t="str">
        <f t="array" ref="K37">IF($A37="", "", IFERROR(LET(x, XLOOKUP(K$2, Players!$A$1:$P$1, Players!$A36:$P36),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37" s="29" t="str">
        <f t="array" ref="L37">IF($A37="", "", IFERROR(LET(x, XLOOKUP(L$2, Players!$A$1:$P$1, Players!$A36:$P36),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37" s="29" t="str">
        <f t="array" ref="M37">IF($A37="", "", IFERROR(LET(x, XLOOKUP(M$2, Players!$A$1:$P$1, Players!$A36:$P36),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37" s="29" t="str">
        <f t="array" ref="N37">IF($A37="", "", IFERROR(LET(x, XLOOKUP(N$2, Players!$A$1:$P$1, Players!$A36:$P36),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37" s="29" t="str">
        <f t="array" ref="O37">IF($A37="", "", IFERROR(LET(x, XLOOKUP(O$2, Players!$A$1:$P$1, Players!$A36:$P36),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37" s="29" t="str">
        <f t="array" ref="P37">IF($A37="", "", IFERROR(LET(x, XLOOKUP(P$2, Players!$A$1:$P$1, Players!$A36:$P36),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37" s="29" t="str">
        <f t="array" ref="Q37">IF($A37="", "", IFERROR(LET(x, XLOOKUP(Q$2, Players!$A$1:$P$1, Players!$A36:$P36),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37" s="29" t="str">
        <f t="array" ref="R37">IF($A37="", "", IFERROR(LET(x, XLOOKUP(R$2, Players!$A$1:$P$1, Players!$A36:$P36),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37" s="29" t="str">
        <f t="array" ref="S37">IF($A37="", "", IFERROR(LET(x, XLOOKUP(S$2, Players!$A$1:$P$1, Players!$A36:$P36),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37" s="29" t="str">
        <f t="array" ref="T37">IF($A37="", "", IFERROR(LET(x, XLOOKUP(T$2, Players!$A$1:$P$1, Players!$A36:$P36),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37" s="29" t="str">
        <f t="array" ref="U37">IF($A37="", "", IFERROR(LET(x, XLOOKUP(U$2, Players!$A$1:$P$1, Players!$A36:$P36),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37" s="29" t="str">
        <f t="array" ref="V37">IF($A37="", "", IFERROR(LET(x, XLOOKUP(V$2, Players!$A$1:$P$1, Players!$A36:$P36),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37" s="29" t="str">
        <f t="array" ref="W37">IF($A37="", "", IFERROR(LET(x, XLOOKUP(W$2, Players!$A$1:$P$1, Players!$A36:$P36),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38">
      <c r="A38" s="29" t="str">
        <f>IF(Players!A37="","",Players!A37)</f>
        <v/>
      </c>
      <c r="B38" s="29" t="str">
        <f t="array" ref="B38">IF($A38="", "", IFERROR(LET(x, XLOOKUP(B$2, Players!$A$1:$P$1, Players!$A37:$P37),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38" s="29" t="str">
        <f t="array" ref="C38">IF($A38="", "", IFERROR(LET(x, XLOOKUP(C$2, Players!$A$1:$P$1, Players!$A37:$P37),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38" s="29" t="str">
        <f t="array" ref="D38">IF($A38="", "", IFERROR(LET(x, XLOOKUP(D$2, Players!$A$1:$P$1, Players!$A37:$P37),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38" s="29" t="str">
        <f t="array" ref="E38">IF($A38="", "", IFERROR(LET(x, XLOOKUP(E$2, Players!$A$1:$P$1, Players!$A37:$P37),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38" s="29" t="str">
        <f t="array" ref="F38">IF($A38="", "", IFERROR(LET(x, XLOOKUP(F$2, Players!$A$1:$P$1, Players!$A37:$P37),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38" s="29" t="str">
        <f t="array" ref="G38">IF($A38="", "", IFERROR(LET(x, XLOOKUP(G$2, Players!$A$1:$P$1, Players!$A37:$P37),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38" s="29" t="str">
        <f t="array" ref="H38">IF($A38="", "", IFERROR(LET(x, XLOOKUP(H$2, Players!$A$1:$P$1, Players!$A37:$P37),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38" s="29" t="str">
        <f t="array" ref="I38">IF($A38="", "", IFERROR(LET(x, XLOOKUP(I$2, Players!$A$1:$P$1, Players!$A37:$P37),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38" s="29" t="str">
        <f t="array" ref="J38">IF($A38="", "", IFERROR(LET(x, XLOOKUP(J$2, Players!$A$1:$P$1, Players!$A37:$P37),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38" s="29" t="str">
        <f t="array" ref="K38">IF($A38="", "", IFERROR(LET(x, XLOOKUP(K$2, Players!$A$1:$P$1, Players!$A37:$P37),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38" s="29" t="str">
        <f t="array" ref="L38">IF($A38="", "", IFERROR(LET(x, XLOOKUP(L$2, Players!$A$1:$P$1, Players!$A37:$P37),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38" s="29" t="str">
        <f t="array" ref="M38">IF($A38="", "", IFERROR(LET(x, XLOOKUP(M$2, Players!$A$1:$P$1, Players!$A37:$P37),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38" s="29" t="str">
        <f t="array" ref="N38">IF($A38="", "", IFERROR(LET(x, XLOOKUP(N$2, Players!$A$1:$P$1, Players!$A37:$P37),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38" s="29" t="str">
        <f t="array" ref="O38">IF($A38="", "", IFERROR(LET(x, XLOOKUP(O$2, Players!$A$1:$P$1, Players!$A37:$P37),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38" s="29" t="str">
        <f t="array" ref="P38">IF($A38="", "", IFERROR(LET(x, XLOOKUP(P$2, Players!$A$1:$P$1, Players!$A37:$P37),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38" s="29" t="str">
        <f t="array" ref="Q38">IF($A38="", "", IFERROR(LET(x, XLOOKUP(Q$2, Players!$A$1:$P$1, Players!$A37:$P37),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38" s="29" t="str">
        <f t="array" ref="R38">IF($A38="", "", IFERROR(LET(x, XLOOKUP(R$2, Players!$A$1:$P$1, Players!$A37:$P37),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38" s="29" t="str">
        <f t="array" ref="S38">IF($A38="", "", IFERROR(LET(x, XLOOKUP(S$2, Players!$A$1:$P$1, Players!$A37:$P37),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38" s="29" t="str">
        <f t="array" ref="T38">IF($A38="", "", IFERROR(LET(x, XLOOKUP(T$2, Players!$A$1:$P$1, Players!$A37:$P37),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38" s="29" t="str">
        <f t="array" ref="U38">IF($A38="", "", IFERROR(LET(x, XLOOKUP(U$2, Players!$A$1:$P$1, Players!$A37:$P37),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38" s="29" t="str">
        <f t="array" ref="V38">IF($A38="", "", IFERROR(LET(x, XLOOKUP(V$2, Players!$A$1:$P$1, Players!$A37:$P37),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38" s="29" t="str">
        <f t="array" ref="W38">IF($A38="", "", IFERROR(LET(x, XLOOKUP(W$2, Players!$A$1:$P$1, Players!$A37:$P37),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39">
      <c r="A39" s="29" t="str">
        <f>IF(Players!A38="","",Players!A38)</f>
        <v/>
      </c>
      <c r="B39" s="29" t="str">
        <f t="array" ref="B39">IF($A39="", "", IFERROR(LET(x, XLOOKUP(B$2, Players!$A$1:$P$1, Players!$A38:$P38),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39" s="29" t="str">
        <f t="array" ref="C39">IF($A39="", "", IFERROR(LET(x, XLOOKUP(C$2, Players!$A$1:$P$1, Players!$A38:$P38),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39" s="29" t="str">
        <f t="array" ref="D39">IF($A39="", "", IFERROR(LET(x, XLOOKUP(D$2, Players!$A$1:$P$1, Players!$A38:$P38),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39" s="29" t="str">
        <f t="array" ref="E39">IF($A39="", "", IFERROR(LET(x, XLOOKUP(E$2, Players!$A$1:$P$1, Players!$A38:$P38),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39" s="29" t="str">
        <f t="array" ref="F39">IF($A39="", "", IFERROR(LET(x, XLOOKUP(F$2, Players!$A$1:$P$1, Players!$A38:$P38),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39" s="29" t="str">
        <f t="array" ref="G39">IF($A39="", "", IFERROR(LET(x, XLOOKUP(G$2, Players!$A$1:$P$1, Players!$A38:$P38),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39" s="29" t="str">
        <f t="array" ref="H39">IF($A39="", "", IFERROR(LET(x, XLOOKUP(H$2, Players!$A$1:$P$1, Players!$A38:$P38),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39" s="29" t="str">
        <f t="array" ref="I39">IF($A39="", "", IFERROR(LET(x, XLOOKUP(I$2, Players!$A$1:$P$1, Players!$A38:$P38),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39" s="29" t="str">
        <f t="array" ref="J39">IF($A39="", "", IFERROR(LET(x, XLOOKUP(J$2, Players!$A$1:$P$1, Players!$A38:$P38),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39" s="29" t="str">
        <f t="array" ref="K39">IF($A39="", "", IFERROR(LET(x, XLOOKUP(K$2, Players!$A$1:$P$1, Players!$A38:$P38),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39" s="29" t="str">
        <f t="array" ref="L39">IF($A39="", "", IFERROR(LET(x, XLOOKUP(L$2, Players!$A$1:$P$1, Players!$A38:$P38),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39" s="29" t="str">
        <f t="array" ref="M39">IF($A39="", "", IFERROR(LET(x, XLOOKUP(M$2, Players!$A$1:$P$1, Players!$A38:$P38),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39" s="29" t="str">
        <f t="array" ref="N39">IF($A39="", "", IFERROR(LET(x, XLOOKUP(N$2, Players!$A$1:$P$1, Players!$A38:$P38),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39" s="29" t="str">
        <f t="array" ref="O39">IF($A39="", "", IFERROR(LET(x, XLOOKUP(O$2, Players!$A$1:$P$1, Players!$A38:$P38),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39" s="29" t="str">
        <f t="array" ref="P39">IF($A39="", "", IFERROR(LET(x, XLOOKUP(P$2, Players!$A$1:$P$1, Players!$A38:$P38),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39" s="29" t="str">
        <f t="array" ref="Q39">IF($A39="", "", IFERROR(LET(x, XLOOKUP(Q$2, Players!$A$1:$P$1, Players!$A38:$P38),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39" s="29" t="str">
        <f t="array" ref="R39">IF($A39="", "", IFERROR(LET(x, XLOOKUP(R$2, Players!$A$1:$P$1, Players!$A38:$P38),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39" s="29" t="str">
        <f t="array" ref="S39">IF($A39="", "", IFERROR(LET(x, XLOOKUP(S$2, Players!$A$1:$P$1, Players!$A38:$P38),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39" s="29" t="str">
        <f t="array" ref="T39">IF($A39="", "", IFERROR(LET(x, XLOOKUP(T$2, Players!$A$1:$P$1, Players!$A38:$P38),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39" s="29" t="str">
        <f t="array" ref="U39">IF($A39="", "", IFERROR(LET(x, XLOOKUP(U$2, Players!$A$1:$P$1, Players!$A38:$P38),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39" s="29" t="str">
        <f t="array" ref="V39">IF($A39="", "", IFERROR(LET(x, XLOOKUP(V$2, Players!$A$1:$P$1, Players!$A38:$P38),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39" s="29" t="str">
        <f t="array" ref="W39">IF($A39="", "", IFERROR(LET(x, XLOOKUP(W$2, Players!$A$1:$P$1, Players!$A38:$P38),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40">
      <c r="A40" s="29" t="str">
        <f>IF(Players!A39="","",Players!A39)</f>
        <v/>
      </c>
      <c r="B40" s="29" t="str">
        <f t="array" ref="B40">IF($A40="", "", IFERROR(LET(x, XLOOKUP(B$2, Players!$A$1:$P$1, Players!$A39:$P39),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40" s="29" t="str">
        <f t="array" ref="C40">IF($A40="", "", IFERROR(LET(x, XLOOKUP(C$2, Players!$A$1:$P$1, Players!$A39:$P39),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40" s="29" t="str">
        <f t="array" ref="D40">IF($A40="", "", IFERROR(LET(x, XLOOKUP(D$2, Players!$A$1:$P$1, Players!$A39:$P39),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40" s="29" t="str">
        <f t="array" ref="E40">IF($A40="", "", IFERROR(LET(x, XLOOKUP(E$2, Players!$A$1:$P$1, Players!$A39:$P39),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40" s="29" t="str">
        <f t="array" ref="F40">IF($A40="", "", IFERROR(LET(x, XLOOKUP(F$2, Players!$A$1:$P$1, Players!$A39:$P39),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40" s="29" t="str">
        <f t="array" ref="G40">IF($A40="", "", IFERROR(LET(x, XLOOKUP(G$2, Players!$A$1:$P$1, Players!$A39:$P39),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40" s="29" t="str">
        <f t="array" ref="H40">IF($A40="", "", IFERROR(LET(x, XLOOKUP(H$2, Players!$A$1:$P$1, Players!$A39:$P39),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40" s="29" t="str">
        <f t="array" ref="I40">IF($A40="", "", IFERROR(LET(x, XLOOKUP(I$2, Players!$A$1:$P$1, Players!$A39:$P39),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40" s="29" t="str">
        <f t="array" ref="J40">IF($A40="", "", IFERROR(LET(x, XLOOKUP(J$2, Players!$A$1:$P$1, Players!$A39:$P39),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40" s="29" t="str">
        <f t="array" ref="K40">IF($A40="", "", IFERROR(LET(x, XLOOKUP(K$2, Players!$A$1:$P$1, Players!$A39:$P39),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40" s="29" t="str">
        <f t="array" ref="L40">IF($A40="", "", IFERROR(LET(x, XLOOKUP(L$2, Players!$A$1:$P$1, Players!$A39:$P39),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40" s="29" t="str">
        <f t="array" ref="M40">IF($A40="", "", IFERROR(LET(x, XLOOKUP(M$2, Players!$A$1:$P$1, Players!$A39:$P39),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40" s="29" t="str">
        <f t="array" ref="N40">IF($A40="", "", IFERROR(LET(x, XLOOKUP(N$2, Players!$A$1:$P$1, Players!$A39:$P39),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40" s="29" t="str">
        <f t="array" ref="O40">IF($A40="", "", IFERROR(LET(x, XLOOKUP(O$2, Players!$A$1:$P$1, Players!$A39:$P39),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40" s="29" t="str">
        <f t="array" ref="P40">IF($A40="", "", IFERROR(LET(x, XLOOKUP(P$2, Players!$A$1:$P$1, Players!$A39:$P39),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40" s="29" t="str">
        <f t="array" ref="Q40">IF($A40="", "", IFERROR(LET(x, XLOOKUP(Q$2, Players!$A$1:$P$1, Players!$A39:$P39),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40" s="29" t="str">
        <f t="array" ref="R40">IF($A40="", "", IFERROR(LET(x, XLOOKUP(R$2, Players!$A$1:$P$1, Players!$A39:$P39),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40" s="29" t="str">
        <f t="array" ref="S40">IF($A40="", "", IFERROR(LET(x, XLOOKUP(S$2, Players!$A$1:$P$1, Players!$A39:$P39),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40" s="29" t="str">
        <f t="array" ref="T40">IF($A40="", "", IFERROR(LET(x, XLOOKUP(T$2, Players!$A$1:$P$1, Players!$A39:$P39),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40" s="29" t="str">
        <f t="array" ref="U40">IF($A40="", "", IFERROR(LET(x, XLOOKUP(U$2, Players!$A$1:$P$1, Players!$A39:$P39),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40" s="29" t="str">
        <f t="array" ref="V40">IF($A40="", "", IFERROR(LET(x, XLOOKUP(V$2, Players!$A$1:$P$1, Players!$A39:$P39),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40" s="29" t="str">
        <f t="array" ref="W40">IF($A40="", "", IFERROR(LET(x, XLOOKUP(W$2, Players!$A$1:$P$1, Players!$A39:$P39),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41">
      <c r="A41" s="29" t="str">
        <f>IF(Players!A40="","",Players!A40)</f>
        <v/>
      </c>
      <c r="B41" s="29" t="str">
        <f t="array" ref="B41">IF($A41="", "", IFERROR(LET(x, XLOOKUP(B$2, Players!$A$1:$P$1, Players!$A40:$P40),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41" s="29" t="str">
        <f t="array" ref="C41">IF($A41="", "", IFERROR(LET(x, XLOOKUP(C$2, Players!$A$1:$P$1, Players!$A40:$P40),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41" s="29" t="str">
        <f t="array" ref="D41">IF($A41="", "", IFERROR(LET(x, XLOOKUP(D$2, Players!$A$1:$P$1, Players!$A40:$P40),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41" s="29" t="str">
        <f t="array" ref="E41">IF($A41="", "", IFERROR(LET(x, XLOOKUP(E$2, Players!$A$1:$P$1, Players!$A40:$P40),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41" s="29" t="str">
        <f t="array" ref="F41">IF($A41="", "", IFERROR(LET(x, XLOOKUP(F$2, Players!$A$1:$P$1, Players!$A40:$P40),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41" s="29" t="str">
        <f t="array" ref="G41">IF($A41="", "", IFERROR(LET(x, XLOOKUP(G$2, Players!$A$1:$P$1, Players!$A40:$P40),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41" s="29" t="str">
        <f t="array" ref="H41">IF($A41="", "", IFERROR(LET(x, XLOOKUP(H$2, Players!$A$1:$P$1, Players!$A40:$P40),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41" s="29" t="str">
        <f t="array" ref="I41">IF($A41="", "", IFERROR(LET(x, XLOOKUP(I$2, Players!$A$1:$P$1, Players!$A40:$P40),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41" s="29" t="str">
        <f t="array" ref="J41">IF($A41="", "", IFERROR(LET(x, XLOOKUP(J$2, Players!$A$1:$P$1, Players!$A40:$P40),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41" s="29" t="str">
        <f t="array" ref="K41">IF($A41="", "", IFERROR(LET(x, XLOOKUP(K$2, Players!$A$1:$P$1, Players!$A40:$P40),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41" s="29" t="str">
        <f t="array" ref="L41">IF($A41="", "", IFERROR(LET(x, XLOOKUP(L$2, Players!$A$1:$P$1, Players!$A40:$P40),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41" s="29" t="str">
        <f t="array" ref="M41">IF($A41="", "", IFERROR(LET(x, XLOOKUP(M$2, Players!$A$1:$P$1, Players!$A40:$P40),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41" s="29" t="str">
        <f t="array" ref="N41">IF($A41="", "", IFERROR(LET(x, XLOOKUP(N$2, Players!$A$1:$P$1, Players!$A40:$P40),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41" s="29" t="str">
        <f t="array" ref="O41">IF($A41="", "", IFERROR(LET(x, XLOOKUP(O$2, Players!$A$1:$P$1, Players!$A40:$P40),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41" s="29" t="str">
        <f t="array" ref="P41">IF($A41="", "", IFERROR(LET(x, XLOOKUP(P$2, Players!$A$1:$P$1, Players!$A40:$P40),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41" s="29" t="str">
        <f t="array" ref="Q41">IF($A41="", "", IFERROR(LET(x, XLOOKUP(Q$2, Players!$A$1:$P$1, Players!$A40:$P40),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41" s="29" t="str">
        <f t="array" ref="R41">IF($A41="", "", IFERROR(LET(x, XLOOKUP(R$2, Players!$A$1:$P$1, Players!$A40:$P40),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41" s="29" t="str">
        <f t="array" ref="S41">IF($A41="", "", IFERROR(LET(x, XLOOKUP(S$2, Players!$A$1:$P$1, Players!$A40:$P40),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41" s="29" t="str">
        <f t="array" ref="T41">IF($A41="", "", IFERROR(LET(x, XLOOKUP(T$2, Players!$A$1:$P$1, Players!$A40:$P40),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41" s="29" t="str">
        <f t="array" ref="U41">IF($A41="", "", IFERROR(LET(x, XLOOKUP(U$2, Players!$A$1:$P$1, Players!$A40:$P40),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41" s="29" t="str">
        <f t="array" ref="V41">IF($A41="", "", IFERROR(LET(x, XLOOKUP(V$2, Players!$A$1:$P$1, Players!$A40:$P40),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41" s="29" t="str">
        <f t="array" ref="W41">IF($A41="", "", IFERROR(LET(x, XLOOKUP(W$2, Players!$A$1:$P$1, Players!$A40:$P40),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42">
      <c r="A42" s="29" t="str">
        <f>IF(Players!A41="","",Players!A41)</f>
        <v/>
      </c>
      <c r="B42" s="29" t="str">
        <f t="array" ref="B42">IF($A42="", "", IFERROR(LET(x, XLOOKUP(B$2, Players!$A$1:$P$1, Players!$A41:$P41),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42" s="29" t="str">
        <f t="array" ref="C42">IF($A42="", "", IFERROR(LET(x, XLOOKUP(C$2, Players!$A$1:$P$1, Players!$A41:$P41),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42" s="29" t="str">
        <f t="array" ref="D42">IF($A42="", "", IFERROR(LET(x, XLOOKUP(D$2, Players!$A$1:$P$1, Players!$A41:$P41),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42" s="29" t="str">
        <f t="array" ref="E42">IF($A42="", "", IFERROR(LET(x, XLOOKUP(E$2, Players!$A$1:$P$1, Players!$A41:$P41),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42" s="29" t="str">
        <f t="array" ref="F42">IF($A42="", "", IFERROR(LET(x, XLOOKUP(F$2, Players!$A$1:$P$1, Players!$A41:$P41),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42" s="29" t="str">
        <f t="array" ref="G42">IF($A42="", "", IFERROR(LET(x, XLOOKUP(G$2, Players!$A$1:$P$1, Players!$A41:$P41),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42" s="29" t="str">
        <f t="array" ref="H42">IF($A42="", "", IFERROR(LET(x, XLOOKUP(H$2, Players!$A$1:$P$1, Players!$A41:$P41),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42" s="29" t="str">
        <f t="array" ref="I42">IF($A42="", "", IFERROR(LET(x, XLOOKUP(I$2, Players!$A$1:$P$1, Players!$A41:$P41),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42" s="29" t="str">
        <f t="array" ref="J42">IF($A42="", "", IFERROR(LET(x, XLOOKUP(J$2, Players!$A$1:$P$1, Players!$A41:$P41),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42" s="29" t="str">
        <f t="array" ref="K42">IF($A42="", "", IFERROR(LET(x, XLOOKUP(K$2, Players!$A$1:$P$1, Players!$A41:$P41),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42" s="29" t="str">
        <f t="array" ref="L42">IF($A42="", "", IFERROR(LET(x, XLOOKUP(L$2, Players!$A$1:$P$1, Players!$A41:$P41),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42" s="29" t="str">
        <f t="array" ref="M42">IF($A42="", "", IFERROR(LET(x, XLOOKUP(M$2, Players!$A$1:$P$1, Players!$A41:$P41),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42" s="29" t="str">
        <f t="array" ref="N42">IF($A42="", "", IFERROR(LET(x, XLOOKUP(N$2, Players!$A$1:$P$1, Players!$A41:$P41),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42" s="29" t="str">
        <f t="array" ref="O42">IF($A42="", "", IFERROR(LET(x, XLOOKUP(O$2, Players!$A$1:$P$1, Players!$A41:$P41),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42" s="29" t="str">
        <f t="array" ref="P42">IF($A42="", "", IFERROR(LET(x, XLOOKUP(P$2, Players!$A$1:$P$1, Players!$A41:$P41),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42" s="29" t="str">
        <f t="array" ref="Q42">IF($A42="", "", IFERROR(LET(x, XLOOKUP(Q$2, Players!$A$1:$P$1, Players!$A41:$P41),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42" s="29" t="str">
        <f t="array" ref="R42">IF($A42="", "", IFERROR(LET(x, XLOOKUP(R$2, Players!$A$1:$P$1, Players!$A41:$P41),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42" s="29" t="str">
        <f t="array" ref="S42">IF($A42="", "", IFERROR(LET(x, XLOOKUP(S$2, Players!$A$1:$P$1, Players!$A41:$P41),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42" s="29" t="str">
        <f t="array" ref="T42">IF($A42="", "", IFERROR(LET(x, XLOOKUP(T$2, Players!$A$1:$P$1, Players!$A41:$P41),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42" s="29" t="str">
        <f t="array" ref="U42">IF($A42="", "", IFERROR(LET(x, XLOOKUP(U$2, Players!$A$1:$P$1, Players!$A41:$P41),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42" s="29" t="str">
        <f t="array" ref="V42">IF($A42="", "", IFERROR(LET(x, XLOOKUP(V$2, Players!$A$1:$P$1, Players!$A41:$P41),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42" s="29" t="str">
        <f t="array" ref="W42">IF($A42="", "", IFERROR(LET(x, XLOOKUP(W$2, Players!$A$1:$P$1, Players!$A41:$P41),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43">
      <c r="A43" s="29" t="str">
        <f>IF(Players!A42="","",Players!A42)</f>
        <v/>
      </c>
      <c r="B43" s="29" t="str">
        <f t="array" ref="B43">IF($A43="", "", IFERROR(LET(x, XLOOKUP(B$2, Players!$A$1:$P$1, Players!$A42:$P42),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43" s="29" t="str">
        <f t="array" ref="C43">IF($A43="", "", IFERROR(LET(x, XLOOKUP(C$2, Players!$A$1:$P$1, Players!$A42:$P42),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43" s="29" t="str">
        <f t="array" ref="D43">IF($A43="", "", IFERROR(LET(x, XLOOKUP(D$2, Players!$A$1:$P$1, Players!$A42:$P42),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43" s="29" t="str">
        <f t="array" ref="E43">IF($A43="", "", IFERROR(LET(x, XLOOKUP(E$2, Players!$A$1:$P$1, Players!$A42:$P42),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43" s="29" t="str">
        <f t="array" ref="F43">IF($A43="", "", IFERROR(LET(x, XLOOKUP(F$2, Players!$A$1:$P$1, Players!$A42:$P42),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43" s="29" t="str">
        <f t="array" ref="G43">IF($A43="", "", IFERROR(LET(x, XLOOKUP(G$2, Players!$A$1:$P$1, Players!$A42:$P42),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43" s="29" t="str">
        <f t="array" ref="H43">IF($A43="", "", IFERROR(LET(x, XLOOKUP(H$2, Players!$A$1:$P$1, Players!$A42:$P42),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43" s="29" t="str">
        <f t="array" ref="I43">IF($A43="", "", IFERROR(LET(x, XLOOKUP(I$2, Players!$A$1:$P$1, Players!$A42:$P42),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43" s="29" t="str">
        <f t="array" ref="J43">IF($A43="", "", IFERROR(LET(x, XLOOKUP(J$2, Players!$A$1:$P$1, Players!$A42:$P42),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43" s="29" t="str">
        <f t="array" ref="K43">IF($A43="", "", IFERROR(LET(x, XLOOKUP(K$2, Players!$A$1:$P$1, Players!$A42:$P42),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43" s="29" t="str">
        <f t="array" ref="L43">IF($A43="", "", IFERROR(LET(x, XLOOKUP(L$2, Players!$A$1:$P$1, Players!$A42:$P42),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43" s="29" t="str">
        <f t="array" ref="M43">IF($A43="", "", IFERROR(LET(x, XLOOKUP(M$2, Players!$A$1:$P$1, Players!$A42:$P42),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43" s="29" t="str">
        <f t="array" ref="N43">IF($A43="", "", IFERROR(LET(x, XLOOKUP(N$2, Players!$A$1:$P$1, Players!$A42:$P42),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43" s="29" t="str">
        <f t="array" ref="O43">IF($A43="", "", IFERROR(LET(x, XLOOKUP(O$2, Players!$A$1:$P$1, Players!$A42:$P42),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43" s="29" t="str">
        <f t="array" ref="P43">IF($A43="", "", IFERROR(LET(x, XLOOKUP(P$2, Players!$A$1:$P$1, Players!$A42:$P42),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43" s="29" t="str">
        <f t="array" ref="Q43">IF($A43="", "", IFERROR(LET(x, XLOOKUP(Q$2, Players!$A$1:$P$1, Players!$A42:$P42),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43" s="29" t="str">
        <f t="array" ref="R43">IF($A43="", "", IFERROR(LET(x, XLOOKUP(R$2, Players!$A$1:$P$1, Players!$A42:$P42),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43" s="29" t="str">
        <f t="array" ref="S43">IF($A43="", "", IFERROR(LET(x, XLOOKUP(S$2, Players!$A$1:$P$1, Players!$A42:$P42),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43" s="29" t="str">
        <f t="array" ref="T43">IF($A43="", "", IFERROR(LET(x, XLOOKUP(T$2, Players!$A$1:$P$1, Players!$A42:$P42),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43" s="29" t="str">
        <f t="array" ref="U43">IF($A43="", "", IFERROR(LET(x, XLOOKUP(U$2, Players!$A$1:$P$1, Players!$A42:$P42),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43" s="29" t="str">
        <f t="array" ref="V43">IF($A43="", "", IFERROR(LET(x, XLOOKUP(V$2, Players!$A$1:$P$1, Players!$A42:$P42),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43" s="29" t="str">
        <f t="array" ref="W43">IF($A43="", "", IFERROR(LET(x, XLOOKUP(W$2, Players!$A$1:$P$1, Players!$A42:$P42),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44">
      <c r="A44" s="29" t="str">
        <f>IF(Players!A43="","",Players!A43)</f>
        <v/>
      </c>
      <c r="B44" s="29" t="str">
        <f t="array" ref="B44">IF($A44="", "", IFERROR(LET(x, XLOOKUP(B$2, Players!$A$1:$P$1, Players!$A43:$P43),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44" s="29" t="str">
        <f t="array" ref="C44">IF($A44="", "", IFERROR(LET(x, XLOOKUP(C$2, Players!$A$1:$P$1, Players!$A43:$P43),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44" s="29" t="str">
        <f t="array" ref="D44">IF($A44="", "", IFERROR(LET(x, XLOOKUP(D$2, Players!$A$1:$P$1, Players!$A43:$P43),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44" s="29" t="str">
        <f t="array" ref="E44">IF($A44="", "", IFERROR(LET(x, XLOOKUP(E$2, Players!$A$1:$P$1, Players!$A43:$P43),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44" s="29" t="str">
        <f t="array" ref="F44">IF($A44="", "", IFERROR(LET(x, XLOOKUP(F$2, Players!$A$1:$P$1, Players!$A43:$P43),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44" s="29" t="str">
        <f t="array" ref="G44">IF($A44="", "", IFERROR(LET(x, XLOOKUP(G$2, Players!$A$1:$P$1, Players!$A43:$P43),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44" s="29" t="str">
        <f t="array" ref="H44">IF($A44="", "", IFERROR(LET(x, XLOOKUP(H$2, Players!$A$1:$P$1, Players!$A43:$P43),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44" s="29" t="str">
        <f t="array" ref="I44">IF($A44="", "", IFERROR(LET(x, XLOOKUP(I$2, Players!$A$1:$P$1, Players!$A43:$P43),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44" s="29" t="str">
        <f t="array" ref="J44">IF($A44="", "", IFERROR(LET(x, XLOOKUP(J$2, Players!$A$1:$P$1, Players!$A43:$P43),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44" s="29" t="str">
        <f t="array" ref="K44">IF($A44="", "", IFERROR(LET(x, XLOOKUP(K$2, Players!$A$1:$P$1, Players!$A43:$P43),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44" s="29" t="str">
        <f t="array" ref="L44">IF($A44="", "", IFERROR(LET(x, XLOOKUP(L$2, Players!$A$1:$P$1, Players!$A43:$P43),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44" s="29" t="str">
        <f t="array" ref="M44">IF($A44="", "", IFERROR(LET(x, XLOOKUP(M$2, Players!$A$1:$P$1, Players!$A43:$P43),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44" s="29" t="str">
        <f t="array" ref="N44">IF($A44="", "", IFERROR(LET(x, XLOOKUP(N$2, Players!$A$1:$P$1, Players!$A43:$P43),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44" s="29" t="str">
        <f t="array" ref="O44">IF($A44="", "", IFERROR(LET(x, XLOOKUP(O$2, Players!$A$1:$P$1, Players!$A43:$P43),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44" s="29" t="str">
        <f t="array" ref="P44">IF($A44="", "", IFERROR(LET(x, XLOOKUP(P$2, Players!$A$1:$P$1, Players!$A43:$P43),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44" s="29" t="str">
        <f t="array" ref="Q44">IF($A44="", "", IFERROR(LET(x, XLOOKUP(Q$2, Players!$A$1:$P$1, Players!$A43:$P43),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44" s="29" t="str">
        <f t="array" ref="R44">IF($A44="", "", IFERROR(LET(x, XLOOKUP(R$2, Players!$A$1:$P$1, Players!$A43:$P43),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44" s="29" t="str">
        <f t="array" ref="S44">IF($A44="", "", IFERROR(LET(x, XLOOKUP(S$2, Players!$A$1:$P$1, Players!$A43:$P43),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44" s="29" t="str">
        <f t="array" ref="T44">IF($A44="", "", IFERROR(LET(x, XLOOKUP(T$2, Players!$A$1:$P$1, Players!$A43:$P43),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44" s="29" t="str">
        <f t="array" ref="U44">IF($A44="", "", IFERROR(LET(x, XLOOKUP(U$2, Players!$A$1:$P$1, Players!$A43:$P43),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44" s="29" t="str">
        <f t="array" ref="V44">IF($A44="", "", IFERROR(LET(x, XLOOKUP(V$2, Players!$A$1:$P$1, Players!$A43:$P43),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44" s="29" t="str">
        <f t="array" ref="W44">IF($A44="", "", IFERROR(LET(x, XLOOKUP(W$2, Players!$A$1:$P$1, Players!$A43:$P43),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45">
      <c r="A45" s="29" t="str">
        <f>IF(Players!A44="","",Players!A44)</f>
        <v/>
      </c>
      <c r="B45" s="29" t="str">
        <f t="array" ref="B45">IF($A45="", "", IFERROR(LET(x, XLOOKUP(B$2, Players!$A$1:$P$1, Players!$A44:$P44),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45" s="29" t="str">
        <f t="array" ref="C45">IF($A45="", "", IFERROR(LET(x, XLOOKUP(C$2, Players!$A$1:$P$1, Players!$A44:$P44),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45" s="29" t="str">
        <f t="array" ref="D45">IF($A45="", "", IFERROR(LET(x, XLOOKUP(D$2, Players!$A$1:$P$1, Players!$A44:$P44),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45" s="29" t="str">
        <f t="array" ref="E45">IF($A45="", "", IFERROR(LET(x, XLOOKUP(E$2, Players!$A$1:$P$1, Players!$A44:$P44),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45" s="29" t="str">
        <f t="array" ref="F45">IF($A45="", "", IFERROR(LET(x, XLOOKUP(F$2, Players!$A$1:$P$1, Players!$A44:$P44),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45" s="29" t="str">
        <f t="array" ref="G45">IF($A45="", "", IFERROR(LET(x, XLOOKUP(G$2, Players!$A$1:$P$1, Players!$A44:$P44),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45" s="29" t="str">
        <f t="array" ref="H45">IF($A45="", "", IFERROR(LET(x, XLOOKUP(H$2, Players!$A$1:$P$1, Players!$A44:$P44),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45" s="29" t="str">
        <f t="array" ref="I45">IF($A45="", "", IFERROR(LET(x, XLOOKUP(I$2, Players!$A$1:$P$1, Players!$A44:$P44),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45" s="29" t="str">
        <f t="array" ref="J45">IF($A45="", "", IFERROR(LET(x, XLOOKUP(J$2, Players!$A$1:$P$1, Players!$A44:$P44),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45" s="29" t="str">
        <f t="array" ref="K45">IF($A45="", "", IFERROR(LET(x, XLOOKUP(K$2, Players!$A$1:$P$1, Players!$A44:$P44),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45" s="29" t="str">
        <f t="array" ref="L45">IF($A45="", "", IFERROR(LET(x, XLOOKUP(L$2, Players!$A$1:$P$1, Players!$A44:$P44),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45" s="29" t="str">
        <f t="array" ref="M45">IF($A45="", "", IFERROR(LET(x, XLOOKUP(M$2, Players!$A$1:$P$1, Players!$A44:$P44),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45" s="29" t="str">
        <f t="array" ref="N45">IF($A45="", "", IFERROR(LET(x, XLOOKUP(N$2, Players!$A$1:$P$1, Players!$A44:$P44),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45" s="29" t="str">
        <f t="array" ref="O45">IF($A45="", "", IFERROR(LET(x, XLOOKUP(O$2, Players!$A$1:$P$1, Players!$A44:$P44),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45" s="29" t="str">
        <f t="array" ref="P45">IF($A45="", "", IFERROR(LET(x, XLOOKUP(P$2, Players!$A$1:$P$1, Players!$A44:$P44),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45" s="29" t="str">
        <f t="array" ref="Q45">IF($A45="", "", IFERROR(LET(x, XLOOKUP(Q$2, Players!$A$1:$P$1, Players!$A44:$P44),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45" s="29" t="str">
        <f t="array" ref="R45">IF($A45="", "", IFERROR(LET(x, XLOOKUP(R$2, Players!$A$1:$P$1, Players!$A44:$P44),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45" s="29" t="str">
        <f t="array" ref="S45">IF($A45="", "", IFERROR(LET(x, XLOOKUP(S$2, Players!$A$1:$P$1, Players!$A44:$P44),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45" s="29" t="str">
        <f t="array" ref="T45">IF($A45="", "", IFERROR(LET(x, XLOOKUP(T$2, Players!$A$1:$P$1, Players!$A44:$P44),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45" s="29" t="str">
        <f t="array" ref="U45">IF($A45="", "", IFERROR(LET(x, XLOOKUP(U$2, Players!$A$1:$P$1, Players!$A44:$P44),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45" s="29" t="str">
        <f t="array" ref="V45">IF($A45="", "", IFERROR(LET(x, XLOOKUP(V$2, Players!$A$1:$P$1, Players!$A44:$P44),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45" s="29" t="str">
        <f t="array" ref="W45">IF($A45="", "", IFERROR(LET(x, XLOOKUP(W$2, Players!$A$1:$P$1, Players!$A44:$P44),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46">
      <c r="A46" s="29" t="str">
        <f>IF(Players!A45="","",Players!A45)</f>
        <v/>
      </c>
      <c r="B46" s="29" t="str">
        <f t="array" ref="B46">IF($A46="", "", IFERROR(LET(x, XLOOKUP(B$2, Players!$A$1:$P$1, Players!$A45:$P45),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46" s="29" t="str">
        <f t="array" ref="C46">IF($A46="", "", IFERROR(LET(x, XLOOKUP(C$2, Players!$A$1:$P$1, Players!$A45:$P45),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46" s="29" t="str">
        <f t="array" ref="D46">IF($A46="", "", IFERROR(LET(x, XLOOKUP(D$2, Players!$A$1:$P$1, Players!$A45:$P45),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46" s="29" t="str">
        <f t="array" ref="E46">IF($A46="", "", IFERROR(LET(x, XLOOKUP(E$2, Players!$A$1:$P$1, Players!$A45:$P45),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46" s="29" t="str">
        <f t="array" ref="F46">IF($A46="", "", IFERROR(LET(x, XLOOKUP(F$2, Players!$A$1:$P$1, Players!$A45:$P45),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46" s="29" t="str">
        <f t="array" ref="G46">IF($A46="", "", IFERROR(LET(x, XLOOKUP(G$2, Players!$A$1:$P$1, Players!$A45:$P45),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46" s="29" t="str">
        <f t="array" ref="H46">IF($A46="", "", IFERROR(LET(x, XLOOKUP(H$2, Players!$A$1:$P$1, Players!$A45:$P45),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46" s="29" t="str">
        <f t="array" ref="I46">IF($A46="", "", IFERROR(LET(x, XLOOKUP(I$2, Players!$A$1:$P$1, Players!$A45:$P45),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46" s="29" t="str">
        <f t="array" ref="J46">IF($A46="", "", IFERROR(LET(x, XLOOKUP(J$2, Players!$A$1:$P$1, Players!$A45:$P45),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46" s="29" t="str">
        <f t="array" ref="K46">IF($A46="", "", IFERROR(LET(x, XLOOKUP(K$2, Players!$A$1:$P$1, Players!$A45:$P45),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46" s="29" t="str">
        <f t="array" ref="L46">IF($A46="", "", IFERROR(LET(x, XLOOKUP(L$2, Players!$A$1:$P$1, Players!$A45:$P45),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46" s="29" t="str">
        <f t="array" ref="M46">IF($A46="", "", IFERROR(LET(x, XLOOKUP(M$2, Players!$A$1:$P$1, Players!$A45:$P45),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46" s="29" t="str">
        <f t="array" ref="N46">IF($A46="", "", IFERROR(LET(x, XLOOKUP(N$2, Players!$A$1:$P$1, Players!$A45:$P45),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46" s="29" t="str">
        <f t="array" ref="O46">IF($A46="", "", IFERROR(LET(x, XLOOKUP(O$2, Players!$A$1:$P$1, Players!$A45:$P45),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46" s="29" t="str">
        <f t="array" ref="P46">IF($A46="", "", IFERROR(LET(x, XLOOKUP(P$2, Players!$A$1:$P$1, Players!$A45:$P45),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46" s="29" t="str">
        <f t="array" ref="Q46">IF($A46="", "", IFERROR(LET(x, XLOOKUP(Q$2, Players!$A$1:$P$1, Players!$A45:$P45),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46" s="29" t="str">
        <f t="array" ref="R46">IF($A46="", "", IFERROR(LET(x, XLOOKUP(R$2, Players!$A$1:$P$1, Players!$A45:$P45),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46" s="29" t="str">
        <f t="array" ref="S46">IF($A46="", "", IFERROR(LET(x, XLOOKUP(S$2, Players!$A$1:$P$1, Players!$A45:$P45),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46" s="29" t="str">
        <f t="array" ref="T46">IF($A46="", "", IFERROR(LET(x, XLOOKUP(T$2, Players!$A$1:$P$1, Players!$A45:$P45),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46" s="29" t="str">
        <f t="array" ref="U46">IF($A46="", "", IFERROR(LET(x, XLOOKUP(U$2, Players!$A$1:$P$1, Players!$A45:$P45),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46" s="29" t="str">
        <f t="array" ref="V46">IF($A46="", "", IFERROR(LET(x, XLOOKUP(V$2, Players!$A$1:$P$1, Players!$A45:$P45),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46" s="29" t="str">
        <f t="array" ref="W46">IF($A46="", "", IFERROR(LET(x, XLOOKUP(W$2, Players!$A$1:$P$1, Players!$A45:$P45),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47">
      <c r="A47" s="29" t="str">
        <f>IF(Players!A46="","",Players!A46)</f>
        <v/>
      </c>
      <c r="B47" s="29" t="str">
        <f t="array" ref="B47">IF($A47="", "", IFERROR(LET(x, XLOOKUP(B$2, Players!$A$1:$P$1, Players!$A46:$P46),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47" s="29" t="str">
        <f t="array" ref="C47">IF($A47="", "", IFERROR(LET(x, XLOOKUP(C$2, Players!$A$1:$P$1, Players!$A46:$P46),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47" s="29" t="str">
        <f t="array" ref="D47">IF($A47="", "", IFERROR(LET(x, XLOOKUP(D$2, Players!$A$1:$P$1, Players!$A46:$P46),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47" s="29" t="str">
        <f t="array" ref="E47">IF($A47="", "", IFERROR(LET(x, XLOOKUP(E$2, Players!$A$1:$P$1, Players!$A46:$P46),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47" s="29" t="str">
        <f t="array" ref="F47">IF($A47="", "", IFERROR(LET(x, XLOOKUP(F$2, Players!$A$1:$P$1, Players!$A46:$P46),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47" s="29" t="str">
        <f t="array" ref="G47">IF($A47="", "", IFERROR(LET(x, XLOOKUP(G$2, Players!$A$1:$P$1, Players!$A46:$P46),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47" s="29" t="str">
        <f t="array" ref="H47">IF($A47="", "", IFERROR(LET(x, XLOOKUP(H$2, Players!$A$1:$P$1, Players!$A46:$P46),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47" s="29" t="str">
        <f t="array" ref="I47">IF($A47="", "", IFERROR(LET(x, XLOOKUP(I$2, Players!$A$1:$P$1, Players!$A46:$P46),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47" s="29" t="str">
        <f t="array" ref="J47">IF($A47="", "", IFERROR(LET(x, XLOOKUP(J$2, Players!$A$1:$P$1, Players!$A46:$P46),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47" s="29" t="str">
        <f t="array" ref="K47">IF($A47="", "", IFERROR(LET(x, XLOOKUP(K$2, Players!$A$1:$P$1, Players!$A46:$P46),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47" s="29" t="str">
        <f t="array" ref="L47">IF($A47="", "", IFERROR(LET(x, XLOOKUP(L$2, Players!$A$1:$P$1, Players!$A46:$P46),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47" s="29" t="str">
        <f t="array" ref="M47">IF($A47="", "", IFERROR(LET(x, XLOOKUP(M$2, Players!$A$1:$P$1, Players!$A46:$P46),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47" s="29" t="str">
        <f t="array" ref="N47">IF($A47="", "", IFERROR(LET(x, XLOOKUP(N$2, Players!$A$1:$P$1, Players!$A46:$P46),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47" s="29" t="str">
        <f t="array" ref="O47">IF($A47="", "", IFERROR(LET(x, XLOOKUP(O$2, Players!$A$1:$P$1, Players!$A46:$P46),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47" s="29" t="str">
        <f t="array" ref="P47">IF($A47="", "", IFERROR(LET(x, XLOOKUP(P$2, Players!$A$1:$P$1, Players!$A46:$P46),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47" s="29" t="str">
        <f t="array" ref="Q47">IF($A47="", "", IFERROR(LET(x, XLOOKUP(Q$2, Players!$A$1:$P$1, Players!$A46:$P46),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47" s="29" t="str">
        <f t="array" ref="R47">IF($A47="", "", IFERROR(LET(x, XLOOKUP(R$2, Players!$A$1:$P$1, Players!$A46:$P46),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47" s="29" t="str">
        <f t="array" ref="S47">IF($A47="", "", IFERROR(LET(x, XLOOKUP(S$2, Players!$A$1:$P$1, Players!$A46:$P46),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47" s="29" t="str">
        <f t="array" ref="T47">IF($A47="", "", IFERROR(LET(x, XLOOKUP(T$2, Players!$A$1:$P$1, Players!$A46:$P46),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47" s="29" t="str">
        <f t="array" ref="U47">IF($A47="", "", IFERROR(LET(x, XLOOKUP(U$2, Players!$A$1:$P$1, Players!$A46:$P46),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47" s="29" t="str">
        <f t="array" ref="V47">IF($A47="", "", IFERROR(LET(x, XLOOKUP(V$2, Players!$A$1:$P$1, Players!$A46:$P46),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47" s="29" t="str">
        <f t="array" ref="W47">IF($A47="", "", IFERROR(LET(x, XLOOKUP(W$2, Players!$A$1:$P$1, Players!$A46:$P46),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48">
      <c r="A48" s="29" t="str">
        <f>IF(Players!A47="","",Players!A47)</f>
        <v/>
      </c>
      <c r="B48" s="29" t="str">
        <f t="array" ref="B48">IF($A48="", "", IFERROR(LET(x, XLOOKUP(B$2, Players!$A$1:$P$1, Players!$A47:$P47),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48" s="29" t="str">
        <f t="array" ref="C48">IF($A48="", "", IFERROR(LET(x, XLOOKUP(C$2, Players!$A$1:$P$1, Players!$A47:$P47),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48" s="29" t="str">
        <f t="array" ref="D48">IF($A48="", "", IFERROR(LET(x, XLOOKUP(D$2, Players!$A$1:$P$1, Players!$A47:$P47),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48" s="29" t="str">
        <f t="array" ref="E48">IF($A48="", "", IFERROR(LET(x, XLOOKUP(E$2, Players!$A$1:$P$1, Players!$A47:$P47),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48" s="29" t="str">
        <f t="array" ref="F48">IF($A48="", "", IFERROR(LET(x, XLOOKUP(F$2, Players!$A$1:$P$1, Players!$A47:$P47),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48" s="29" t="str">
        <f t="array" ref="G48">IF($A48="", "", IFERROR(LET(x, XLOOKUP(G$2, Players!$A$1:$P$1, Players!$A47:$P47),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48" s="29" t="str">
        <f t="array" ref="H48">IF($A48="", "", IFERROR(LET(x, XLOOKUP(H$2, Players!$A$1:$P$1, Players!$A47:$P47),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48" s="29" t="str">
        <f t="array" ref="I48">IF($A48="", "", IFERROR(LET(x, XLOOKUP(I$2, Players!$A$1:$P$1, Players!$A47:$P47),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48" s="29" t="str">
        <f t="array" ref="J48">IF($A48="", "", IFERROR(LET(x, XLOOKUP(J$2, Players!$A$1:$P$1, Players!$A47:$P47),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48" s="29" t="str">
        <f t="array" ref="K48">IF($A48="", "", IFERROR(LET(x, XLOOKUP(K$2, Players!$A$1:$P$1, Players!$A47:$P47),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48" s="29" t="str">
        <f t="array" ref="L48">IF($A48="", "", IFERROR(LET(x, XLOOKUP(L$2, Players!$A$1:$P$1, Players!$A47:$P47),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48" s="29" t="str">
        <f t="array" ref="M48">IF($A48="", "", IFERROR(LET(x, XLOOKUP(M$2, Players!$A$1:$P$1, Players!$A47:$P47),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48" s="29" t="str">
        <f t="array" ref="N48">IF($A48="", "", IFERROR(LET(x, XLOOKUP(N$2, Players!$A$1:$P$1, Players!$A47:$P47),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48" s="29" t="str">
        <f t="array" ref="O48">IF($A48="", "", IFERROR(LET(x, XLOOKUP(O$2, Players!$A$1:$P$1, Players!$A47:$P47),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48" s="29" t="str">
        <f t="array" ref="P48">IF($A48="", "", IFERROR(LET(x, XLOOKUP(P$2, Players!$A$1:$P$1, Players!$A47:$P47),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48" s="29" t="str">
        <f t="array" ref="Q48">IF($A48="", "", IFERROR(LET(x, XLOOKUP(Q$2, Players!$A$1:$P$1, Players!$A47:$P47),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48" s="29" t="str">
        <f t="array" ref="R48">IF($A48="", "", IFERROR(LET(x, XLOOKUP(R$2, Players!$A$1:$P$1, Players!$A47:$P47),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48" s="29" t="str">
        <f t="array" ref="S48">IF($A48="", "", IFERROR(LET(x, XLOOKUP(S$2, Players!$A$1:$P$1, Players!$A47:$P47),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48" s="29" t="str">
        <f t="array" ref="T48">IF($A48="", "", IFERROR(LET(x, XLOOKUP(T$2, Players!$A$1:$P$1, Players!$A47:$P47),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48" s="29" t="str">
        <f t="array" ref="U48">IF($A48="", "", IFERROR(LET(x, XLOOKUP(U$2, Players!$A$1:$P$1, Players!$A47:$P47),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48" s="29" t="str">
        <f t="array" ref="V48">IF($A48="", "", IFERROR(LET(x, XLOOKUP(V$2, Players!$A$1:$P$1, Players!$A47:$P47),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48" s="29" t="str">
        <f t="array" ref="W48">IF($A48="", "", IFERROR(LET(x, XLOOKUP(W$2, Players!$A$1:$P$1, Players!$A47:$P47),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49">
      <c r="A49" s="29" t="str">
        <f>IF(Players!A48="","",Players!A48)</f>
        <v/>
      </c>
      <c r="B49" s="29" t="str">
        <f t="array" ref="B49">IF($A49="", "", IFERROR(LET(x, XLOOKUP(B$2, Players!$A$1:$P$1, Players!$A48:$P48),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49" s="29" t="str">
        <f t="array" ref="C49">IF($A49="", "", IFERROR(LET(x, XLOOKUP(C$2, Players!$A$1:$P$1, Players!$A48:$P48),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49" s="29" t="str">
        <f t="array" ref="D49">IF($A49="", "", IFERROR(LET(x, XLOOKUP(D$2, Players!$A$1:$P$1, Players!$A48:$P48),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49" s="29" t="str">
        <f t="array" ref="E49">IF($A49="", "", IFERROR(LET(x, XLOOKUP(E$2, Players!$A$1:$P$1, Players!$A48:$P48),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49" s="29" t="str">
        <f t="array" ref="F49">IF($A49="", "", IFERROR(LET(x, XLOOKUP(F$2, Players!$A$1:$P$1, Players!$A48:$P48),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49" s="29" t="str">
        <f t="array" ref="G49">IF($A49="", "", IFERROR(LET(x, XLOOKUP(G$2, Players!$A$1:$P$1, Players!$A48:$P48),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49" s="29" t="str">
        <f t="array" ref="H49">IF($A49="", "", IFERROR(LET(x, XLOOKUP(H$2, Players!$A$1:$P$1, Players!$A48:$P48),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49" s="29" t="str">
        <f t="array" ref="I49">IF($A49="", "", IFERROR(LET(x, XLOOKUP(I$2, Players!$A$1:$P$1, Players!$A48:$P48),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49" s="29" t="str">
        <f t="array" ref="J49">IF($A49="", "", IFERROR(LET(x, XLOOKUP(J$2, Players!$A$1:$P$1, Players!$A48:$P48),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49" s="29" t="str">
        <f t="array" ref="K49">IF($A49="", "", IFERROR(LET(x, XLOOKUP(K$2, Players!$A$1:$P$1, Players!$A48:$P48),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49" s="29" t="str">
        <f t="array" ref="L49">IF($A49="", "", IFERROR(LET(x, XLOOKUP(L$2, Players!$A$1:$P$1, Players!$A48:$P48),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49" s="29" t="str">
        <f t="array" ref="M49">IF($A49="", "", IFERROR(LET(x, XLOOKUP(M$2, Players!$A$1:$P$1, Players!$A48:$P48),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49" s="29" t="str">
        <f t="array" ref="N49">IF($A49="", "", IFERROR(LET(x, XLOOKUP(N$2, Players!$A$1:$P$1, Players!$A48:$P48),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49" s="29" t="str">
        <f t="array" ref="O49">IF($A49="", "", IFERROR(LET(x, XLOOKUP(O$2, Players!$A$1:$P$1, Players!$A48:$P48),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49" s="29" t="str">
        <f t="array" ref="P49">IF($A49="", "", IFERROR(LET(x, XLOOKUP(P$2, Players!$A$1:$P$1, Players!$A48:$P48),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49" s="29" t="str">
        <f t="array" ref="Q49">IF($A49="", "", IFERROR(LET(x, XLOOKUP(Q$2, Players!$A$1:$P$1, Players!$A48:$P48),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49" s="29" t="str">
        <f t="array" ref="R49">IF($A49="", "", IFERROR(LET(x, XLOOKUP(R$2, Players!$A$1:$P$1, Players!$A48:$P48),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49" s="29" t="str">
        <f t="array" ref="S49">IF($A49="", "", IFERROR(LET(x, XLOOKUP(S$2, Players!$A$1:$P$1, Players!$A48:$P48),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49" s="29" t="str">
        <f t="array" ref="T49">IF($A49="", "", IFERROR(LET(x, XLOOKUP(T$2, Players!$A$1:$P$1, Players!$A48:$P48),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49" s="29" t="str">
        <f t="array" ref="U49">IF($A49="", "", IFERROR(LET(x, XLOOKUP(U$2, Players!$A$1:$P$1, Players!$A48:$P48),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49" s="29" t="str">
        <f t="array" ref="V49">IF($A49="", "", IFERROR(LET(x, XLOOKUP(V$2, Players!$A$1:$P$1, Players!$A48:$P48),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49" s="29" t="str">
        <f t="array" ref="W49">IF($A49="", "", IFERROR(LET(x, XLOOKUP(W$2, Players!$A$1:$P$1, Players!$A48:$P48),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50">
      <c r="A50" s="29" t="str">
        <f>IF(Players!A49="","",Players!A49)</f>
        <v/>
      </c>
      <c r="B50" s="29" t="str">
        <f t="array" ref="B50">IF($A50="", "", IFERROR(LET(x, XLOOKUP(B$2, Players!$A$1:$P$1, Players!$A49:$P49),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50" s="29" t="str">
        <f t="array" ref="C50">IF($A50="", "", IFERROR(LET(x, XLOOKUP(C$2, Players!$A$1:$P$1, Players!$A49:$P49),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50" s="29" t="str">
        <f t="array" ref="D50">IF($A50="", "", IFERROR(LET(x, XLOOKUP(D$2, Players!$A$1:$P$1, Players!$A49:$P49),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50" s="29" t="str">
        <f t="array" ref="E50">IF($A50="", "", IFERROR(LET(x, XLOOKUP(E$2, Players!$A$1:$P$1, Players!$A49:$P49),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50" s="29" t="str">
        <f t="array" ref="F50">IF($A50="", "", IFERROR(LET(x, XLOOKUP(F$2, Players!$A$1:$P$1, Players!$A49:$P49),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50" s="29" t="str">
        <f t="array" ref="G50">IF($A50="", "", IFERROR(LET(x, XLOOKUP(G$2, Players!$A$1:$P$1, Players!$A49:$P49),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50" s="29" t="str">
        <f t="array" ref="H50">IF($A50="", "", IFERROR(LET(x, XLOOKUP(H$2, Players!$A$1:$P$1, Players!$A49:$P49),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50" s="29" t="str">
        <f t="array" ref="I50">IF($A50="", "", IFERROR(LET(x, XLOOKUP(I$2, Players!$A$1:$P$1, Players!$A49:$P49),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50" s="29" t="str">
        <f t="array" ref="J50">IF($A50="", "", IFERROR(LET(x, XLOOKUP(J$2, Players!$A$1:$P$1, Players!$A49:$P49),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50" s="29" t="str">
        <f t="array" ref="K50">IF($A50="", "", IFERROR(LET(x, XLOOKUP(K$2, Players!$A$1:$P$1, Players!$A49:$P49),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50" s="29" t="str">
        <f t="array" ref="L50">IF($A50="", "", IFERROR(LET(x, XLOOKUP(L$2, Players!$A$1:$P$1, Players!$A49:$P49),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50" s="29" t="str">
        <f t="array" ref="M50">IF($A50="", "", IFERROR(LET(x, XLOOKUP(M$2, Players!$A$1:$P$1, Players!$A49:$P49),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50" s="29" t="str">
        <f t="array" ref="N50">IF($A50="", "", IFERROR(LET(x, XLOOKUP(N$2, Players!$A$1:$P$1, Players!$A49:$P49),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50" s="29" t="str">
        <f t="array" ref="O50">IF($A50="", "", IFERROR(LET(x, XLOOKUP(O$2, Players!$A$1:$P$1, Players!$A49:$P49),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50" s="29" t="str">
        <f t="array" ref="P50">IF($A50="", "", IFERROR(LET(x, XLOOKUP(P$2, Players!$A$1:$P$1, Players!$A49:$P49),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50" s="29" t="str">
        <f t="array" ref="Q50">IF($A50="", "", IFERROR(LET(x, XLOOKUP(Q$2, Players!$A$1:$P$1, Players!$A49:$P49),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50" s="29" t="str">
        <f t="array" ref="R50">IF($A50="", "", IFERROR(LET(x, XLOOKUP(R$2, Players!$A$1:$P$1, Players!$A49:$P49),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50" s="29" t="str">
        <f t="array" ref="S50">IF($A50="", "", IFERROR(LET(x, XLOOKUP(S$2, Players!$A$1:$P$1, Players!$A49:$P49),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50" s="29" t="str">
        <f t="array" ref="T50">IF($A50="", "", IFERROR(LET(x, XLOOKUP(T$2, Players!$A$1:$P$1, Players!$A49:$P49),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50" s="29" t="str">
        <f t="array" ref="U50">IF($A50="", "", IFERROR(LET(x, XLOOKUP(U$2, Players!$A$1:$P$1, Players!$A49:$P49),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50" s="29" t="str">
        <f t="array" ref="V50">IF($A50="", "", IFERROR(LET(x, XLOOKUP(V$2, Players!$A$1:$P$1, Players!$A49:$P49),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50" s="29" t="str">
        <f t="array" ref="W50">IF($A50="", "", IFERROR(LET(x, XLOOKUP(W$2, Players!$A$1:$P$1, Players!$A49:$P49),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51">
      <c r="A51" s="29" t="str">
        <f>IF(Players!A50="","",Players!A50)</f>
        <v/>
      </c>
      <c r="B51" s="29" t="str">
        <f t="array" ref="B51">IF($A51="", "", IFERROR(LET(x, XLOOKUP(B$2, Players!$A$1:$P$1, Players!$A50:$P50),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51" s="29" t="str">
        <f t="array" ref="C51">IF($A51="", "", IFERROR(LET(x, XLOOKUP(C$2, Players!$A$1:$P$1, Players!$A50:$P50),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51" s="29" t="str">
        <f t="array" ref="D51">IF($A51="", "", IFERROR(LET(x, XLOOKUP(D$2, Players!$A$1:$P$1, Players!$A50:$P50),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51" s="29" t="str">
        <f t="array" ref="E51">IF($A51="", "", IFERROR(LET(x, XLOOKUP(E$2, Players!$A$1:$P$1, Players!$A50:$P50),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51" s="29" t="str">
        <f t="array" ref="F51">IF($A51="", "", IFERROR(LET(x, XLOOKUP(F$2, Players!$A$1:$P$1, Players!$A50:$P50),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51" s="29" t="str">
        <f t="array" ref="G51">IF($A51="", "", IFERROR(LET(x, XLOOKUP(G$2, Players!$A$1:$P$1, Players!$A50:$P50),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51" s="29" t="str">
        <f t="array" ref="H51">IF($A51="", "", IFERROR(LET(x, XLOOKUP(H$2, Players!$A$1:$P$1, Players!$A50:$P50),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51" s="29" t="str">
        <f t="array" ref="I51">IF($A51="", "", IFERROR(LET(x, XLOOKUP(I$2, Players!$A$1:$P$1, Players!$A50:$P50),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51" s="29" t="str">
        <f t="array" ref="J51">IF($A51="", "", IFERROR(LET(x, XLOOKUP(J$2, Players!$A$1:$P$1, Players!$A50:$P50),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51" s="29" t="str">
        <f t="array" ref="K51">IF($A51="", "", IFERROR(LET(x, XLOOKUP(K$2, Players!$A$1:$P$1, Players!$A50:$P50),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51" s="29" t="str">
        <f t="array" ref="L51">IF($A51="", "", IFERROR(LET(x, XLOOKUP(L$2, Players!$A$1:$P$1, Players!$A50:$P50),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51" s="29" t="str">
        <f t="array" ref="M51">IF($A51="", "", IFERROR(LET(x, XLOOKUP(M$2, Players!$A$1:$P$1, Players!$A50:$P50),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51" s="29" t="str">
        <f t="array" ref="N51">IF($A51="", "", IFERROR(LET(x, XLOOKUP(N$2, Players!$A$1:$P$1, Players!$A50:$P50),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51" s="29" t="str">
        <f t="array" ref="O51">IF($A51="", "", IFERROR(LET(x, XLOOKUP(O$2, Players!$A$1:$P$1, Players!$A50:$P50),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51" s="29" t="str">
        <f t="array" ref="P51">IF($A51="", "", IFERROR(LET(x, XLOOKUP(P$2, Players!$A$1:$P$1, Players!$A50:$P50),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51" s="29" t="str">
        <f t="array" ref="Q51">IF($A51="", "", IFERROR(LET(x, XLOOKUP(Q$2, Players!$A$1:$P$1, Players!$A50:$P50),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51" s="29" t="str">
        <f t="array" ref="R51">IF($A51="", "", IFERROR(LET(x, XLOOKUP(R$2, Players!$A$1:$P$1, Players!$A50:$P50),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51" s="29" t="str">
        <f t="array" ref="S51">IF($A51="", "", IFERROR(LET(x, XLOOKUP(S$2, Players!$A$1:$P$1, Players!$A50:$P50),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51" s="29" t="str">
        <f t="array" ref="T51">IF($A51="", "", IFERROR(LET(x, XLOOKUP(T$2, Players!$A$1:$P$1, Players!$A50:$P50),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51" s="29" t="str">
        <f t="array" ref="U51">IF($A51="", "", IFERROR(LET(x, XLOOKUP(U$2, Players!$A$1:$P$1, Players!$A50:$P50),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51" s="29" t="str">
        <f t="array" ref="V51">IF($A51="", "", IFERROR(LET(x, XLOOKUP(V$2, Players!$A$1:$P$1, Players!$A50:$P50),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51" s="29" t="str">
        <f t="array" ref="W51">IF($A51="", "", IFERROR(LET(x, XLOOKUP(W$2, Players!$A$1:$P$1, Players!$A50:$P50),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52">
      <c r="A52" s="29" t="str">
        <f>IF(Players!A51="","",Players!A51)</f>
        <v/>
      </c>
      <c r="B52" s="29" t="str">
        <f t="array" ref="B52">IF($A52="", "", IFERROR(LET(x, XLOOKUP(B$2, Players!$A$1:$P$1, Players!$A51:$P51),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52" s="29" t="str">
        <f t="array" ref="C52">IF($A52="", "", IFERROR(LET(x, XLOOKUP(C$2, Players!$A$1:$P$1, Players!$A51:$P51),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52" s="29" t="str">
        <f t="array" ref="D52">IF($A52="", "", IFERROR(LET(x, XLOOKUP(D$2, Players!$A$1:$P$1, Players!$A51:$P51),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52" s="29" t="str">
        <f t="array" ref="E52">IF($A52="", "", IFERROR(LET(x, XLOOKUP(E$2, Players!$A$1:$P$1, Players!$A51:$P51),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52" s="29" t="str">
        <f t="array" ref="F52">IF($A52="", "", IFERROR(LET(x, XLOOKUP(F$2, Players!$A$1:$P$1, Players!$A51:$P51),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52" s="29" t="str">
        <f t="array" ref="G52">IF($A52="", "", IFERROR(LET(x, XLOOKUP(G$2, Players!$A$1:$P$1, Players!$A51:$P51),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52" s="29" t="str">
        <f t="array" ref="H52">IF($A52="", "", IFERROR(LET(x, XLOOKUP(H$2, Players!$A$1:$P$1, Players!$A51:$P51),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52" s="29" t="str">
        <f t="array" ref="I52">IF($A52="", "", IFERROR(LET(x, XLOOKUP(I$2, Players!$A$1:$P$1, Players!$A51:$P51),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52" s="29" t="str">
        <f t="array" ref="J52">IF($A52="", "", IFERROR(LET(x, XLOOKUP(J$2, Players!$A$1:$P$1, Players!$A51:$P51),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52" s="29" t="str">
        <f t="array" ref="K52">IF($A52="", "", IFERROR(LET(x, XLOOKUP(K$2, Players!$A$1:$P$1, Players!$A51:$P51),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52" s="29" t="str">
        <f t="array" ref="L52">IF($A52="", "", IFERROR(LET(x, XLOOKUP(L$2, Players!$A$1:$P$1, Players!$A51:$P51),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52" s="29" t="str">
        <f t="array" ref="M52">IF($A52="", "", IFERROR(LET(x, XLOOKUP(M$2, Players!$A$1:$P$1, Players!$A51:$P51),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52" s="29" t="str">
        <f t="array" ref="N52">IF($A52="", "", IFERROR(LET(x, XLOOKUP(N$2, Players!$A$1:$P$1, Players!$A51:$P51),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52" s="29" t="str">
        <f t="array" ref="O52">IF($A52="", "", IFERROR(LET(x, XLOOKUP(O$2, Players!$A$1:$P$1, Players!$A51:$P51),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52" s="29" t="str">
        <f t="array" ref="P52">IF($A52="", "", IFERROR(LET(x, XLOOKUP(P$2, Players!$A$1:$P$1, Players!$A51:$P51),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52" s="29" t="str">
        <f t="array" ref="Q52">IF($A52="", "", IFERROR(LET(x, XLOOKUP(Q$2, Players!$A$1:$P$1, Players!$A51:$P51),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52" s="29" t="str">
        <f t="array" ref="R52">IF($A52="", "", IFERROR(LET(x, XLOOKUP(R$2, Players!$A$1:$P$1, Players!$A51:$P51),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52" s="29" t="str">
        <f t="array" ref="S52">IF($A52="", "", IFERROR(LET(x, XLOOKUP(S$2, Players!$A$1:$P$1, Players!$A51:$P51),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52" s="29" t="str">
        <f t="array" ref="T52">IF($A52="", "", IFERROR(LET(x, XLOOKUP(T$2, Players!$A$1:$P$1, Players!$A51:$P51),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52" s="29" t="str">
        <f t="array" ref="U52">IF($A52="", "", IFERROR(LET(x, XLOOKUP(U$2, Players!$A$1:$P$1, Players!$A51:$P51),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52" s="29" t="str">
        <f t="array" ref="V52">IF($A52="", "", IFERROR(LET(x, XLOOKUP(V$2, Players!$A$1:$P$1, Players!$A51:$P51),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52" s="29" t="str">
        <f t="array" ref="W52">IF($A52="", "", IFERROR(LET(x, XLOOKUP(W$2, Players!$A$1:$P$1, Players!$A51:$P51),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53">
      <c r="A53" s="29" t="str">
        <f>IF(Players!A52="","",Players!A52)</f>
        <v/>
      </c>
      <c r="B53" s="29" t="str">
        <f t="array" ref="B53">IF($A53="", "", IFERROR(LET(x, XLOOKUP(B$2, Players!$A$1:$P$1, Players!$A52:$P52),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53" s="29" t="str">
        <f t="array" ref="C53">IF($A53="", "", IFERROR(LET(x, XLOOKUP(C$2, Players!$A$1:$P$1, Players!$A52:$P52),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53" s="29" t="str">
        <f t="array" ref="D53">IF($A53="", "", IFERROR(LET(x, XLOOKUP(D$2, Players!$A$1:$P$1, Players!$A52:$P52),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53" s="29" t="str">
        <f t="array" ref="E53">IF($A53="", "", IFERROR(LET(x, XLOOKUP(E$2, Players!$A$1:$P$1, Players!$A52:$P52),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53" s="29" t="str">
        <f t="array" ref="F53">IF($A53="", "", IFERROR(LET(x, XLOOKUP(F$2, Players!$A$1:$P$1, Players!$A52:$P52),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53" s="29" t="str">
        <f t="array" ref="G53">IF($A53="", "", IFERROR(LET(x, XLOOKUP(G$2, Players!$A$1:$P$1, Players!$A52:$P52),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53" s="29" t="str">
        <f t="array" ref="H53">IF($A53="", "", IFERROR(LET(x, XLOOKUP(H$2, Players!$A$1:$P$1, Players!$A52:$P52),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53" s="29" t="str">
        <f t="array" ref="I53">IF($A53="", "", IFERROR(LET(x, XLOOKUP(I$2, Players!$A$1:$P$1, Players!$A52:$P52),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53" s="29" t="str">
        <f t="array" ref="J53">IF($A53="", "", IFERROR(LET(x, XLOOKUP(J$2, Players!$A$1:$P$1, Players!$A52:$P52),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53" s="29" t="str">
        <f t="array" ref="K53">IF($A53="", "", IFERROR(LET(x, XLOOKUP(K$2, Players!$A$1:$P$1, Players!$A52:$P52),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53" s="29" t="str">
        <f t="array" ref="L53">IF($A53="", "", IFERROR(LET(x, XLOOKUP(L$2, Players!$A$1:$P$1, Players!$A52:$P52),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53" s="29" t="str">
        <f t="array" ref="M53">IF($A53="", "", IFERROR(LET(x, XLOOKUP(M$2, Players!$A$1:$P$1, Players!$A52:$P52),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53" s="29" t="str">
        <f t="array" ref="N53">IF($A53="", "", IFERROR(LET(x, XLOOKUP(N$2, Players!$A$1:$P$1, Players!$A52:$P52),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53" s="29" t="str">
        <f t="array" ref="O53">IF($A53="", "", IFERROR(LET(x, XLOOKUP(O$2, Players!$A$1:$P$1, Players!$A52:$P52),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53" s="29" t="str">
        <f t="array" ref="P53">IF($A53="", "", IFERROR(LET(x, XLOOKUP(P$2, Players!$A$1:$P$1, Players!$A52:$P52),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53" s="29" t="str">
        <f t="array" ref="Q53">IF($A53="", "", IFERROR(LET(x, XLOOKUP(Q$2, Players!$A$1:$P$1, Players!$A52:$P52),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53" s="29" t="str">
        <f t="array" ref="R53">IF($A53="", "", IFERROR(LET(x, XLOOKUP(R$2, Players!$A$1:$P$1, Players!$A52:$P52),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53" s="29" t="str">
        <f t="array" ref="S53">IF($A53="", "", IFERROR(LET(x, XLOOKUP(S$2, Players!$A$1:$P$1, Players!$A52:$P52),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53" s="29" t="str">
        <f t="array" ref="T53">IF($A53="", "", IFERROR(LET(x, XLOOKUP(T$2, Players!$A$1:$P$1, Players!$A52:$P52),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53" s="29" t="str">
        <f t="array" ref="U53">IF($A53="", "", IFERROR(LET(x, XLOOKUP(U$2, Players!$A$1:$P$1, Players!$A52:$P52),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53" s="29" t="str">
        <f t="array" ref="V53">IF($A53="", "", IFERROR(LET(x, XLOOKUP(V$2, Players!$A$1:$P$1, Players!$A52:$P52),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53" s="29" t="str">
        <f t="array" ref="W53">IF($A53="", "", IFERROR(LET(x, XLOOKUP(W$2, Players!$A$1:$P$1, Players!$A52:$P52),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54">
      <c r="A54" s="29" t="str">
        <f>IF(Players!A53="","",Players!A53)</f>
        <v/>
      </c>
      <c r="B54" s="29" t="str">
        <f t="array" ref="B54">IF($A54="", "", IFERROR(LET(x, XLOOKUP(B$2, Players!$A$1:$P$1, Players!$A53:$P53),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54" s="29" t="str">
        <f t="array" ref="C54">IF($A54="", "", IFERROR(LET(x, XLOOKUP(C$2, Players!$A$1:$P$1, Players!$A53:$P53),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54" s="29" t="str">
        <f t="array" ref="D54">IF($A54="", "", IFERROR(LET(x, XLOOKUP(D$2, Players!$A$1:$P$1, Players!$A53:$P53),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54" s="29" t="str">
        <f t="array" ref="E54">IF($A54="", "", IFERROR(LET(x, XLOOKUP(E$2, Players!$A$1:$P$1, Players!$A53:$P53),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54" s="29" t="str">
        <f t="array" ref="F54">IF($A54="", "", IFERROR(LET(x, XLOOKUP(F$2, Players!$A$1:$P$1, Players!$A53:$P53),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54" s="29" t="str">
        <f t="array" ref="G54">IF($A54="", "", IFERROR(LET(x, XLOOKUP(G$2, Players!$A$1:$P$1, Players!$A53:$P53),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54" s="29" t="str">
        <f t="array" ref="H54">IF($A54="", "", IFERROR(LET(x, XLOOKUP(H$2, Players!$A$1:$P$1, Players!$A53:$P53),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54" s="29" t="str">
        <f t="array" ref="I54">IF($A54="", "", IFERROR(LET(x, XLOOKUP(I$2, Players!$A$1:$P$1, Players!$A53:$P53),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54" s="29" t="str">
        <f t="array" ref="J54">IF($A54="", "", IFERROR(LET(x, XLOOKUP(J$2, Players!$A$1:$P$1, Players!$A53:$P53),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54" s="29" t="str">
        <f t="array" ref="K54">IF($A54="", "", IFERROR(LET(x, XLOOKUP(K$2, Players!$A$1:$P$1, Players!$A53:$P53),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54" s="29" t="str">
        <f t="array" ref="L54">IF($A54="", "", IFERROR(LET(x, XLOOKUP(L$2, Players!$A$1:$P$1, Players!$A53:$P53),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54" s="29" t="str">
        <f t="array" ref="M54">IF($A54="", "", IFERROR(LET(x, XLOOKUP(M$2, Players!$A$1:$P$1, Players!$A53:$P53),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54" s="29" t="str">
        <f t="array" ref="N54">IF($A54="", "", IFERROR(LET(x, XLOOKUP(N$2, Players!$A$1:$P$1, Players!$A53:$P53),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54" s="29" t="str">
        <f t="array" ref="O54">IF($A54="", "", IFERROR(LET(x, XLOOKUP(O$2, Players!$A$1:$P$1, Players!$A53:$P53),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54" s="29" t="str">
        <f t="array" ref="P54">IF($A54="", "", IFERROR(LET(x, XLOOKUP(P$2, Players!$A$1:$P$1, Players!$A53:$P53),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54" s="29" t="str">
        <f t="array" ref="Q54">IF($A54="", "", IFERROR(LET(x, XLOOKUP(Q$2, Players!$A$1:$P$1, Players!$A53:$P53),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54" s="29" t="str">
        <f t="array" ref="R54">IF($A54="", "", IFERROR(LET(x, XLOOKUP(R$2, Players!$A$1:$P$1, Players!$A53:$P53),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54" s="29" t="str">
        <f t="array" ref="S54">IF($A54="", "", IFERROR(LET(x, XLOOKUP(S$2, Players!$A$1:$P$1, Players!$A53:$P53),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54" s="29" t="str">
        <f t="array" ref="T54">IF($A54="", "", IFERROR(LET(x, XLOOKUP(T$2, Players!$A$1:$P$1, Players!$A53:$P53),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54" s="29" t="str">
        <f t="array" ref="U54">IF($A54="", "", IFERROR(LET(x, XLOOKUP(U$2, Players!$A$1:$P$1, Players!$A53:$P53),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54" s="29" t="str">
        <f t="array" ref="V54">IF($A54="", "", IFERROR(LET(x, XLOOKUP(V$2, Players!$A$1:$P$1, Players!$A53:$P53),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54" s="29" t="str">
        <f t="array" ref="W54">IF($A54="", "", IFERROR(LET(x, XLOOKUP(W$2, Players!$A$1:$P$1, Players!$A53:$P53),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55">
      <c r="A55" s="29" t="str">
        <f>IF(Players!A54="","",Players!A54)</f>
        <v/>
      </c>
      <c r="B55" s="29" t="str">
        <f t="array" ref="B55">IF($A55="", "", IFERROR(LET(x, XLOOKUP(B$2, Players!$A$1:$P$1, Players!$A54:$P54),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55" s="29" t="str">
        <f t="array" ref="C55">IF($A55="", "", IFERROR(LET(x, XLOOKUP(C$2, Players!$A$1:$P$1, Players!$A54:$P54),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55" s="29" t="str">
        <f t="array" ref="D55">IF($A55="", "", IFERROR(LET(x, XLOOKUP(D$2, Players!$A$1:$P$1, Players!$A54:$P54),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55" s="29" t="str">
        <f t="array" ref="E55">IF($A55="", "", IFERROR(LET(x, XLOOKUP(E$2, Players!$A$1:$P$1, Players!$A54:$P54),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55" s="29" t="str">
        <f t="array" ref="F55">IF($A55="", "", IFERROR(LET(x, XLOOKUP(F$2, Players!$A$1:$P$1, Players!$A54:$P54),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55" s="29" t="str">
        <f t="array" ref="G55">IF($A55="", "", IFERROR(LET(x, XLOOKUP(G$2, Players!$A$1:$P$1, Players!$A54:$P54),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55" s="29" t="str">
        <f t="array" ref="H55">IF($A55="", "", IFERROR(LET(x, XLOOKUP(H$2, Players!$A$1:$P$1, Players!$A54:$P54),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55" s="29" t="str">
        <f t="array" ref="I55">IF($A55="", "", IFERROR(LET(x, XLOOKUP(I$2, Players!$A$1:$P$1, Players!$A54:$P54),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55" s="29" t="str">
        <f t="array" ref="J55">IF($A55="", "", IFERROR(LET(x, XLOOKUP(J$2, Players!$A$1:$P$1, Players!$A54:$P54),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55" s="29" t="str">
        <f t="array" ref="K55">IF($A55="", "", IFERROR(LET(x, XLOOKUP(K$2, Players!$A$1:$P$1, Players!$A54:$P54),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55" s="29" t="str">
        <f t="array" ref="L55">IF($A55="", "", IFERROR(LET(x, XLOOKUP(L$2, Players!$A$1:$P$1, Players!$A54:$P54),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55" s="29" t="str">
        <f t="array" ref="M55">IF($A55="", "", IFERROR(LET(x, XLOOKUP(M$2, Players!$A$1:$P$1, Players!$A54:$P54),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55" s="29" t="str">
        <f t="array" ref="N55">IF($A55="", "", IFERROR(LET(x, XLOOKUP(N$2, Players!$A$1:$P$1, Players!$A54:$P54),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55" s="29" t="str">
        <f t="array" ref="O55">IF($A55="", "", IFERROR(LET(x, XLOOKUP(O$2, Players!$A$1:$P$1, Players!$A54:$P54),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55" s="29" t="str">
        <f t="array" ref="P55">IF($A55="", "", IFERROR(LET(x, XLOOKUP(P$2, Players!$A$1:$P$1, Players!$A54:$P54),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55" s="29" t="str">
        <f t="array" ref="Q55">IF($A55="", "", IFERROR(LET(x, XLOOKUP(Q$2, Players!$A$1:$P$1, Players!$A54:$P54),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55" s="29" t="str">
        <f t="array" ref="R55">IF($A55="", "", IFERROR(LET(x, XLOOKUP(R$2, Players!$A$1:$P$1, Players!$A54:$P54),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55" s="29" t="str">
        <f t="array" ref="S55">IF($A55="", "", IFERROR(LET(x, XLOOKUP(S$2, Players!$A$1:$P$1, Players!$A54:$P54),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55" s="29" t="str">
        <f t="array" ref="T55">IF($A55="", "", IFERROR(LET(x, XLOOKUP(T$2, Players!$A$1:$P$1, Players!$A54:$P54),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55" s="29" t="str">
        <f t="array" ref="U55">IF($A55="", "", IFERROR(LET(x, XLOOKUP(U$2, Players!$A$1:$P$1, Players!$A54:$P54),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55" s="29" t="str">
        <f t="array" ref="V55">IF($A55="", "", IFERROR(LET(x, XLOOKUP(V$2, Players!$A$1:$P$1, Players!$A54:$P54),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55" s="29" t="str">
        <f t="array" ref="W55">IF($A55="", "", IFERROR(LET(x, XLOOKUP(W$2, Players!$A$1:$P$1, Players!$A54:$P54),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56">
      <c r="A56" s="29" t="str">
        <f>IF(Players!A55="","",Players!A55)</f>
        <v/>
      </c>
      <c r="B56" s="29" t="str">
        <f t="array" ref="B56">IF($A56="", "", IFERROR(LET(x, XLOOKUP(B$2, Players!$A$1:$P$1, Players!$A55:$P55),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56" s="29" t="str">
        <f t="array" ref="C56">IF($A56="", "", IFERROR(LET(x, XLOOKUP(C$2, Players!$A$1:$P$1, Players!$A55:$P55),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56" s="29" t="str">
        <f t="array" ref="D56">IF($A56="", "", IFERROR(LET(x, XLOOKUP(D$2, Players!$A$1:$P$1, Players!$A55:$P55),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56" s="29" t="str">
        <f t="array" ref="E56">IF($A56="", "", IFERROR(LET(x, XLOOKUP(E$2, Players!$A$1:$P$1, Players!$A55:$P55),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56" s="29" t="str">
        <f t="array" ref="F56">IF($A56="", "", IFERROR(LET(x, XLOOKUP(F$2, Players!$A$1:$P$1, Players!$A55:$P55),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56" s="29" t="str">
        <f t="array" ref="G56">IF($A56="", "", IFERROR(LET(x, XLOOKUP(G$2, Players!$A$1:$P$1, Players!$A55:$P55),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56" s="29" t="str">
        <f t="array" ref="H56">IF($A56="", "", IFERROR(LET(x, XLOOKUP(H$2, Players!$A$1:$P$1, Players!$A55:$P55),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56" s="29" t="str">
        <f t="array" ref="I56">IF($A56="", "", IFERROR(LET(x, XLOOKUP(I$2, Players!$A$1:$P$1, Players!$A55:$P55),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56" s="29" t="str">
        <f t="array" ref="J56">IF($A56="", "", IFERROR(LET(x, XLOOKUP(J$2, Players!$A$1:$P$1, Players!$A55:$P55),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56" s="29" t="str">
        <f t="array" ref="K56">IF($A56="", "", IFERROR(LET(x, XLOOKUP(K$2, Players!$A$1:$P$1, Players!$A55:$P55),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56" s="29" t="str">
        <f t="array" ref="L56">IF($A56="", "", IFERROR(LET(x, XLOOKUP(L$2, Players!$A$1:$P$1, Players!$A55:$P55),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56" s="29" t="str">
        <f t="array" ref="M56">IF($A56="", "", IFERROR(LET(x, XLOOKUP(M$2, Players!$A$1:$P$1, Players!$A55:$P55),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56" s="29" t="str">
        <f t="array" ref="N56">IF($A56="", "", IFERROR(LET(x, XLOOKUP(N$2, Players!$A$1:$P$1, Players!$A55:$P55),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56" s="29" t="str">
        <f t="array" ref="O56">IF($A56="", "", IFERROR(LET(x, XLOOKUP(O$2, Players!$A$1:$P$1, Players!$A55:$P55),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56" s="29" t="str">
        <f t="array" ref="P56">IF($A56="", "", IFERROR(LET(x, XLOOKUP(P$2, Players!$A$1:$P$1, Players!$A55:$P55),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56" s="29" t="str">
        <f t="array" ref="Q56">IF($A56="", "", IFERROR(LET(x, XLOOKUP(Q$2, Players!$A$1:$P$1, Players!$A55:$P55),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56" s="29" t="str">
        <f t="array" ref="R56">IF($A56="", "", IFERROR(LET(x, XLOOKUP(R$2, Players!$A$1:$P$1, Players!$A55:$P55),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56" s="29" t="str">
        <f t="array" ref="S56">IF($A56="", "", IFERROR(LET(x, XLOOKUP(S$2, Players!$A$1:$P$1, Players!$A55:$P55),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56" s="29" t="str">
        <f t="array" ref="T56">IF($A56="", "", IFERROR(LET(x, XLOOKUP(T$2, Players!$A$1:$P$1, Players!$A55:$P55),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56" s="29" t="str">
        <f t="array" ref="U56">IF($A56="", "", IFERROR(LET(x, XLOOKUP(U$2, Players!$A$1:$P$1, Players!$A55:$P55),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56" s="29" t="str">
        <f t="array" ref="V56">IF($A56="", "", IFERROR(LET(x, XLOOKUP(V$2, Players!$A$1:$P$1, Players!$A55:$P55),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56" s="29" t="str">
        <f t="array" ref="W56">IF($A56="", "", IFERROR(LET(x, XLOOKUP(W$2, Players!$A$1:$P$1, Players!$A55:$P55),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57">
      <c r="A57" s="29" t="str">
        <f>IF(Players!A56="","",Players!A56)</f>
        <v/>
      </c>
      <c r="B57" s="29" t="str">
        <f t="array" ref="B57">IF($A57="", "", IFERROR(LET(x, XLOOKUP(B$2, Players!$A$1:$P$1, Players!$A56:$P56),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57" s="29" t="str">
        <f t="array" ref="C57">IF($A57="", "", IFERROR(LET(x, XLOOKUP(C$2, Players!$A$1:$P$1, Players!$A56:$P56),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57" s="29" t="str">
        <f t="array" ref="D57">IF($A57="", "", IFERROR(LET(x, XLOOKUP(D$2, Players!$A$1:$P$1, Players!$A56:$P56),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57" s="29" t="str">
        <f t="array" ref="E57">IF($A57="", "", IFERROR(LET(x, XLOOKUP(E$2, Players!$A$1:$P$1, Players!$A56:$P56),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57" s="29" t="str">
        <f t="array" ref="F57">IF($A57="", "", IFERROR(LET(x, XLOOKUP(F$2, Players!$A$1:$P$1, Players!$A56:$P56),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57" s="29" t="str">
        <f t="array" ref="G57">IF($A57="", "", IFERROR(LET(x, XLOOKUP(G$2, Players!$A$1:$P$1, Players!$A56:$P56),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57" s="29" t="str">
        <f t="array" ref="H57">IF($A57="", "", IFERROR(LET(x, XLOOKUP(H$2, Players!$A$1:$P$1, Players!$A56:$P56),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57" s="29" t="str">
        <f t="array" ref="I57">IF($A57="", "", IFERROR(LET(x, XLOOKUP(I$2, Players!$A$1:$P$1, Players!$A56:$P56),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57" s="29" t="str">
        <f t="array" ref="J57">IF($A57="", "", IFERROR(LET(x, XLOOKUP(J$2, Players!$A$1:$P$1, Players!$A56:$P56),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57" s="29" t="str">
        <f t="array" ref="K57">IF($A57="", "", IFERROR(LET(x, XLOOKUP(K$2, Players!$A$1:$P$1, Players!$A56:$P56),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57" s="29" t="str">
        <f t="array" ref="L57">IF($A57="", "", IFERROR(LET(x, XLOOKUP(L$2, Players!$A$1:$P$1, Players!$A56:$P56),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57" s="29" t="str">
        <f t="array" ref="M57">IF($A57="", "", IFERROR(LET(x, XLOOKUP(M$2, Players!$A$1:$P$1, Players!$A56:$P56),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57" s="29" t="str">
        <f t="array" ref="N57">IF($A57="", "", IFERROR(LET(x, XLOOKUP(N$2, Players!$A$1:$P$1, Players!$A56:$P56),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57" s="29" t="str">
        <f t="array" ref="O57">IF($A57="", "", IFERROR(LET(x, XLOOKUP(O$2, Players!$A$1:$P$1, Players!$A56:$P56),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57" s="29" t="str">
        <f t="array" ref="P57">IF($A57="", "", IFERROR(LET(x, XLOOKUP(P$2, Players!$A$1:$P$1, Players!$A56:$P56),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57" s="29" t="str">
        <f t="array" ref="Q57">IF($A57="", "", IFERROR(LET(x, XLOOKUP(Q$2, Players!$A$1:$P$1, Players!$A56:$P56),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57" s="29" t="str">
        <f t="array" ref="R57">IF($A57="", "", IFERROR(LET(x, XLOOKUP(R$2, Players!$A$1:$P$1, Players!$A56:$P56),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57" s="29" t="str">
        <f t="array" ref="S57">IF($A57="", "", IFERROR(LET(x, XLOOKUP(S$2, Players!$A$1:$P$1, Players!$A56:$P56),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57" s="29" t="str">
        <f t="array" ref="T57">IF($A57="", "", IFERROR(LET(x, XLOOKUP(T$2, Players!$A$1:$P$1, Players!$A56:$P56),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57" s="29" t="str">
        <f t="array" ref="U57">IF($A57="", "", IFERROR(LET(x, XLOOKUP(U$2, Players!$A$1:$P$1, Players!$A56:$P56),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57" s="29" t="str">
        <f t="array" ref="V57">IF($A57="", "", IFERROR(LET(x, XLOOKUP(V$2, Players!$A$1:$P$1, Players!$A56:$P56),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57" s="29" t="str">
        <f t="array" ref="W57">IF($A57="", "", IFERROR(LET(x, XLOOKUP(W$2, Players!$A$1:$P$1, Players!$A56:$P56),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58">
      <c r="A58" s="29" t="str">
        <f>IF(Players!A57="","",Players!A57)</f>
        <v/>
      </c>
      <c r="B58" s="29" t="str">
        <f t="array" ref="B58">IF($A58="", "", IFERROR(LET(x, XLOOKUP(B$2, Players!$A$1:$P$1, Players!$A57:$P57),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58" s="29" t="str">
        <f t="array" ref="C58">IF($A58="", "", IFERROR(LET(x, XLOOKUP(C$2, Players!$A$1:$P$1, Players!$A57:$P57),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58" s="29" t="str">
        <f t="array" ref="D58">IF($A58="", "", IFERROR(LET(x, XLOOKUP(D$2, Players!$A$1:$P$1, Players!$A57:$P57),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58" s="29" t="str">
        <f t="array" ref="E58">IF($A58="", "", IFERROR(LET(x, XLOOKUP(E$2, Players!$A$1:$P$1, Players!$A57:$P57),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58" s="29" t="str">
        <f t="array" ref="F58">IF($A58="", "", IFERROR(LET(x, XLOOKUP(F$2, Players!$A$1:$P$1, Players!$A57:$P57),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58" s="29" t="str">
        <f t="array" ref="G58">IF($A58="", "", IFERROR(LET(x, XLOOKUP(G$2, Players!$A$1:$P$1, Players!$A57:$P57),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58" s="29" t="str">
        <f t="array" ref="H58">IF($A58="", "", IFERROR(LET(x, XLOOKUP(H$2, Players!$A$1:$P$1, Players!$A57:$P57),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58" s="29" t="str">
        <f t="array" ref="I58">IF($A58="", "", IFERROR(LET(x, XLOOKUP(I$2, Players!$A$1:$P$1, Players!$A57:$P57),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58" s="29" t="str">
        <f t="array" ref="J58">IF($A58="", "", IFERROR(LET(x, XLOOKUP(J$2, Players!$A$1:$P$1, Players!$A57:$P57),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58" s="29" t="str">
        <f t="array" ref="K58">IF($A58="", "", IFERROR(LET(x, XLOOKUP(K$2, Players!$A$1:$P$1, Players!$A57:$P57),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58" s="29" t="str">
        <f t="array" ref="L58">IF($A58="", "", IFERROR(LET(x, XLOOKUP(L$2, Players!$A$1:$P$1, Players!$A57:$P57),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58" s="29" t="str">
        <f t="array" ref="M58">IF($A58="", "", IFERROR(LET(x, XLOOKUP(M$2, Players!$A$1:$P$1, Players!$A57:$P57),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58" s="29" t="str">
        <f t="array" ref="N58">IF($A58="", "", IFERROR(LET(x, XLOOKUP(N$2, Players!$A$1:$P$1, Players!$A57:$P57),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58" s="29" t="str">
        <f t="array" ref="O58">IF($A58="", "", IFERROR(LET(x, XLOOKUP(O$2, Players!$A$1:$P$1, Players!$A57:$P57),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58" s="29" t="str">
        <f t="array" ref="P58">IF($A58="", "", IFERROR(LET(x, XLOOKUP(P$2, Players!$A$1:$P$1, Players!$A57:$P57),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58" s="29" t="str">
        <f t="array" ref="Q58">IF($A58="", "", IFERROR(LET(x, XLOOKUP(Q$2, Players!$A$1:$P$1, Players!$A57:$P57),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58" s="29" t="str">
        <f t="array" ref="R58">IF($A58="", "", IFERROR(LET(x, XLOOKUP(R$2, Players!$A$1:$P$1, Players!$A57:$P57),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58" s="29" t="str">
        <f t="array" ref="S58">IF($A58="", "", IFERROR(LET(x, XLOOKUP(S$2, Players!$A$1:$P$1, Players!$A57:$P57),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58" s="29" t="str">
        <f t="array" ref="T58">IF($A58="", "", IFERROR(LET(x, XLOOKUP(T$2, Players!$A$1:$P$1, Players!$A57:$P57),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58" s="29" t="str">
        <f t="array" ref="U58">IF($A58="", "", IFERROR(LET(x, XLOOKUP(U$2, Players!$A$1:$P$1, Players!$A57:$P57),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58" s="29" t="str">
        <f t="array" ref="V58">IF($A58="", "", IFERROR(LET(x, XLOOKUP(V$2, Players!$A$1:$P$1, Players!$A57:$P57),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58" s="29" t="str">
        <f t="array" ref="W58">IF($A58="", "", IFERROR(LET(x, XLOOKUP(W$2, Players!$A$1:$P$1, Players!$A57:$P57),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59">
      <c r="A59" s="29" t="str">
        <f>IF(Players!A58="","",Players!A58)</f>
        <v/>
      </c>
      <c r="B59" s="29" t="str">
        <f t="array" ref="B59">IF($A59="", "", IFERROR(LET(x, XLOOKUP(B$2, Players!$A$1:$P$1, Players!$A58:$P58),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59" s="29" t="str">
        <f t="array" ref="C59">IF($A59="", "", IFERROR(LET(x, XLOOKUP(C$2, Players!$A$1:$P$1, Players!$A58:$P58),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59" s="29" t="str">
        <f t="array" ref="D59">IF($A59="", "", IFERROR(LET(x, XLOOKUP(D$2, Players!$A$1:$P$1, Players!$A58:$P58),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59" s="29" t="str">
        <f t="array" ref="E59">IF($A59="", "", IFERROR(LET(x, XLOOKUP(E$2, Players!$A$1:$P$1, Players!$A58:$P58),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59" s="29" t="str">
        <f t="array" ref="F59">IF($A59="", "", IFERROR(LET(x, XLOOKUP(F$2, Players!$A$1:$P$1, Players!$A58:$P58),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59" s="29" t="str">
        <f t="array" ref="G59">IF($A59="", "", IFERROR(LET(x, XLOOKUP(G$2, Players!$A$1:$P$1, Players!$A58:$P58),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59" s="29" t="str">
        <f t="array" ref="H59">IF($A59="", "", IFERROR(LET(x, XLOOKUP(H$2, Players!$A$1:$P$1, Players!$A58:$P58),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59" s="29" t="str">
        <f t="array" ref="I59">IF($A59="", "", IFERROR(LET(x, XLOOKUP(I$2, Players!$A$1:$P$1, Players!$A58:$P58),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59" s="29" t="str">
        <f t="array" ref="J59">IF($A59="", "", IFERROR(LET(x, XLOOKUP(J$2, Players!$A$1:$P$1, Players!$A58:$P58),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59" s="29" t="str">
        <f t="array" ref="K59">IF($A59="", "", IFERROR(LET(x, XLOOKUP(K$2, Players!$A$1:$P$1, Players!$A58:$P58),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59" s="29" t="str">
        <f t="array" ref="L59">IF($A59="", "", IFERROR(LET(x, XLOOKUP(L$2, Players!$A$1:$P$1, Players!$A58:$P58),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59" s="29" t="str">
        <f t="array" ref="M59">IF($A59="", "", IFERROR(LET(x, XLOOKUP(M$2, Players!$A$1:$P$1, Players!$A58:$P58),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59" s="29" t="str">
        <f t="array" ref="N59">IF($A59="", "", IFERROR(LET(x, XLOOKUP(N$2, Players!$A$1:$P$1, Players!$A58:$P58),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59" s="29" t="str">
        <f t="array" ref="O59">IF($A59="", "", IFERROR(LET(x, XLOOKUP(O$2, Players!$A$1:$P$1, Players!$A58:$P58),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59" s="29" t="str">
        <f t="array" ref="P59">IF($A59="", "", IFERROR(LET(x, XLOOKUP(P$2, Players!$A$1:$P$1, Players!$A58:$P58),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59" s="29" t="str">
        <f t="array" ref="Q59">IF($A59="", "", IFERROR(LET(x, XLOOKUP(Q$2, Players!$A$1:$P$1, Players!$A58:$P58),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59" s="29" t="str">
        <f t="array" ref="R59">IF($A59="", "", IFERROR(LET(x, XLOOKUP(R$2, Players!$A$1:$P$1, Players!$A58:$P58),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59" s="29" t="str">
        <f t="array" ref="S59">IF($A59="", "", IFERROR(LET(x, XLOOKUP(S$2, Players!$A$1:$P$1, Players!$A58:$P58),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59" s="29" t="str">
        <f t="array" ref="T59">IF($A59="", "", IFERROR(LET(x, XLOOKUP(T$2, Players!$A$1:$P$1, Players!$A58:$P58),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59" s="29" t="str">
        <f t="array" ref="U59">IF($A59="", "", IFERROR(LET(x, XLOOKUP(U$2, Players!$A$1:$P$1, Players!$A58:$P58),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59" s="29" t="str">
        <f t="array" ref="V59">IF($A59="", "", IFERROR(LET(x, XLOOKUP(V$2, Players!$A$1:$P$1, Players!$A58:$P58),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59" s="29" t="str">
        <f t="array" ref="W59">IF($A59="", "", IFERROR(LET(x, XLOOKUP(W$2, Players!$A$1:$P$1, Players!$A58:$P58),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60">
      <c r="A60" s="29" t="str">
        <f>IF(Players!A59="","",Players!A59)</f>
        <v/>
      </c>
      <c r="B60" s="29" t="str">
        <f t="array" ref="B60">IF($A60="", "", IFERROR(LET(x, XLOOKUP(B$2, Players!$A$1:$P$1, Players!$A59:$P59),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60" s="29" t="str">
        <f t="array" ref="C60">IF($A60="", "", IFERROR(LET(x, XLOOKUP(C$2, Players!$A$1:$P$1, Players!$A59:$P59),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60" s="29" t="str">
        <f t="array" ref="D60">IF($A60="", "", IFERROR(LET(x, XLOOKUP(D$2, Players!$A$1:$P$1, Players!$A59:$P59),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60" s="29" t="str">
        <f t="array" ref="E60">IF($A60="", "", IFERROR(LET(x, XLOOKUP(E$2, Players!$A$1:$P$1, Players!$A59:$P59),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60" s="29" t="str">
        <f t="array" ref="F60">IF($A60="", "", IFERROR(LET(x, XLOOKUP(F$2, Players!$A$1:$P$1, Players!$A59:$P59),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60" s="29" t="str">
        <f t="array" ref="G60">IF($A60="", "", IFERROR(LET(x, XLOOKUP(G$2, Players!$A$1:$P$1, Players!$A59:$P59),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60" s="29" t="str">
        <f t="array" ref="H60">IF($A60="", "", IFERROR(LET(x, XLOOKUP(H$2, Players!$A$1:$P$1, Players!$A59:$P59),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60" s="29" t="str">
        <f t="array" ref="I60">IF($A60="", "", IFERROR(LET(x, XLOOKUP(I$2, Players!$A$1:$P$1, Players!$A59:$P59),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60" s="29" t="str">
        <f t="array" ref="J60">IF($A60="", "", IFERROR(LET(x, XLOOKUP(J$2, Players!$A$1:$P$1, Players!$A59:$P59),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60" s="29" t="str">
        <f t="array" ref="K60">IF($A60="", "", IFERROR(LET(x, XLOOKUP(K$2, Players!$A$1:$P$1, Players!$A59:$P59),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60" s="29" t="str">
        <f t="array" ref="L60">IF($A60="", "", IFERROR(LET(x, XLOOKUP(L$2, Players!$A$1:$P$1, Players!$A59:$P59),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60" s="29" t="str">
        <f t="array" ref="M60">IF($A60="", "", IFERROR(LET(x, XLOOKUP(M$2, Players!$A$1:$P$1, Players!$A59:$P59),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60" s="29" t="str">
        <f t="array" ref="N60">IF($A60="", "", IFERROR(LET(x, XLOOKUP(N$2, Players!$A$1:$P$1, Players!$A59:$P59),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60" s="29" t="str">
        <f t="array" ref="O60">IF($A60="", "", IFERROR(LET(x, XLOOKUP(O$2, Players!$A$1:$P$1, Players!$A59:$P59),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60" s="29" t="str">
        <f t="array" ref="P60">IF($A60="", "", IFERROR(LET(x, XLOOKUP(P$2, Players!$A$1:$P$1, Players!$A59:$P59),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60" s="29" t="str">
        <f t="array" ref="Q60">IF($A60="", "", IFERROR(LET(x, XLOOKUP(Q$2, Players!$A$1:$P$1, Players!$A59:$P59),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60" s="29" t="str">
        <f t="array" ref="R60">IF($A60="", "", IFERROR(LET(x, XLOOKUP(R$2, Players!$A$1:$P$1, Players!$A59:$P59),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60" s="29" t="str">
        <f t="array" ref="S60">IF($A60="", "", IFERROR(LET(x, XLOOKUP(S$2, Players!$A$1:$P$1, Players!$A59:$P59),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60" s="29" t="str">
        <f t="array" ref="T60">IF($A60="", "", IFERROR(LET(x, XLOOKUP(T$2, Players!$A$1:$P$1, Players!$A59:$P59),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60" s="29" t="str">
        <f t="array" ref="U60">IF($A60="", "", IFERROR(LET(x, XLOOKUP(U$2, Players!$A$1:$P$1, Players!$A59:$P59),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60" s="29" t="str">
        <f t="array" ref="V60">IF($A60="", "", IFERROR(LET(x, XLOOKUP(V$2, Players!$A$1:$P$1, Players!$A59:$P59),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60" s="29" t="str">
        <f t="array" ref="W60">IF($A60="", "", IFERROR(LET(x, XLOOKUP(W$2, Players!$A$1:$P$1, Players!$A59:$P59),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61">
      <c r="A61" s="29" t="str">
        <f>IF(Players!A60="","",Players!A60)</f>
        <v/>
      </c>
      <c r="B61" s="29" t="str">
        <f t="array" ref="B61">IF($A61="", "", IFERROR(LET(x, XLOOKUP(B$2, Players!$A$1:$P$1, Players!$A60:$P60),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61" s="29" t="str">
        <f t="array" ref="C61">IF($A61="", "", IFERROR(LET(x, XLOOKUP(C$2, Players!$A$1:$P$1, Players!$A60:$P60),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61" s="29" t="str">
        <f t="array" ref="D61">IF($A61="", "", IFERROR(LET(x, XLOOKUP(D$2, Players!$A$1:$P$1, Players!$A60:$P60),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61" s="29" t="str">
        <f t="array" ref="E61">IF($A61="", "", IFERROR(LET(x, XLOOKUP(E$2, Players!$A$1:$P$1, Players!$A60:$P60),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61" s="29" t="str">
        <f t="array" ref="F61">IF($A61="", "", IFERROR(LET(x, XLOOKUP(F$2, Players!$A$1:$P$1, Players!$A60:$P60),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61" s="29" t="str">
        <f t="array" ref="G61">IF($A61="", "", IFERROR(LET(x, XLOOKUP(G$2, Players!$A$1:$P$1, Players!$A60:$P60),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61" s="29" t="str">
        <f t="array" ref="H61">IF($A61="", "", IFERROR(LET(x, XLOOKUP(H$2, Players!$A$1:$P$1, Players!$A60:$P60),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61" s="29" t="str">
        <f t="array" ref="I61">IF($A61="", "", IFERROR(LET(x, XLOOKUP(I$2, Players!$A$1:$P$1, Players!$A60:$P60),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61" s="29" t="str">
        <f t="array" ref="J61">IF($A61="", "", IFERROR(LET(x, XLOOKUP(J$2, Players!$A$1:$P$1, Players!$A60:$P60),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61" s="29" t="str">
        <f t="array" ref="K61">IF($A61="", "", IFERROR(LET(x, XLOOKUP(K$2, Players!$A$1:$P$1, Players!$A60:$P60),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61" s="29" t="str">
        <f t="array" ref="L61">IF($A61="", "", IFERROR(LET(x, XLOOKUP(L$2, Players!$A$1:$P$1, Players!$A60:$P60),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61" s="29" t="str">
        <f t="array" ref="M61">IF($A61="", "", IFERROR(LET(x, XLOOKUP(M$2, Players!$A$1:$P$1, Players!$A60:$P60),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61" s="29" t="str">
        <f t="array" ref="N61">IF($A61="", "", IFERROR(LET(x, XLOOKUP(N$2, Players!$A$1:$P$1, Players!$A60:$P60),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61" s="29" t="str">
        <f t="array" ref="O61">IF($A61="", "", IFERROR(LET(x, XLOOKUP(O$2, Players!$A$1:$P$1, Players!$A60:$P60),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61" s="29" t="str">
        <f t="array" ref="P61">IF($A61="", "", IFERROR(LET(x, XLOOKUP(P$2, Players!$A$1:$P$1, Players!$A60:$P60),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61" s="29" t="str">
        <f t="array" ref="Q61">IF($A61="", "", IFERROR(LET(x, XLOOKUP(Q$2, Players!$A$1:$P$1, Players!$A60:$P60),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61" s="29" t="str">
        <f t="array" ref="R61">IF($A61="", "", IFERROR(LET(x, XLOOKUP(R$2, Players!$A$1:$P$1, Players!$A60:$P60),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61" s="29" t="str">
        <f t="array" ref="S61">IF($A61="", "", IFERROR(LET(x, XLOOKUP(S$2, Players!$A$1:$P$1, Players!$A60:$P60),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61" s="29" t="str">
        <f t="array" ref="T61">IF($A61="", "", IFERROR(LET(x, XLOOKUP(T$2, Players!$A$1:$P$1, Players!$A60:$P60),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61" s="29" t="str">
        <f t="array" ref="U61">IF($A61="", "", IFERROR(LET(x, XLOOKUP(U$2, Players!$A$1:$P$1, Players!$A60:$P60),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61" s="29" t="str">
        <f t="array" ref="V61">IF($A61="", "", IFERROR(LET(x, XLOOKUP(V$2, Players!$A$1:$P$1, Players!$A60:$P60),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61" s="29" t="str">
        <f t="array" ref="W61">IF($A61="", "", IFERROR(LET(x, XLOOKUP(W$2, Players!$A$1:$P$1, Players!$A60:$P60),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62">
      <c r="A62" s="29" t="str">
        <f>IF(Players!A61="","",Players!A61)</f>
        <v/>
      </c>
      <c r="B62" s="29" t="str">
        <f t="array" ref="B62">IF($A62="", "", IFERROR(LET(x, XLOOKUP(B$2, Players!$A$1:$P$1, Players!$A61:$P61),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62" s="29" t="str">
        <f t="array" ref="C62">IF($A62="", "", IFERROR(LET(x, XLOOKUP(C$2, Players!$A$1:$P$1, Players!$A61:$P61),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62" s="29" t="str">
        <f t="array" ref="D62">IF($A62="", "", IFERROR(LET(x, XLOOKUP(D$2, Players!$A$1:$P$1, Players!$A61:$P61),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62" s="29" t="str">
        <f t="array" ref="E62">IF($A62="", "", IFERROR(LET(x, XLOOKUP(E$2, Players!$A$1:$P$1, Players!$A61:$P61),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62" s="29" t="str">
        <f t="array" ref="F62">IF($A62="", "", IFERROR(LET(x, XLOOKUP(F$2, Players!$A$1:$P$1, Players!$A61:$P61),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62" s="29" t="str">
        <f t="array" ref="G62">IF($A62="", "", IFERROR(LET(x, XLOOKUP(G$2, Players!$A$1:$P$1, Players!$A61:$P61),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62" s="29" t="str">
        <f t="array" ref="H62">IF($A62="", "", IFERROR(LET(x, XLOOKUP(H$2, Players!$A$1:$P$1, Players!$A61:$P61),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62" s="29" t="str">
        <f t="array" ref="I62">IF($A62="", "", IFERROR(LET(x, XLOOKUP(I$2, Players!$A$1:$P$1, Players!$A61:$P61),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62" s="29" t="str">
        <f t="array" ref="J62">IF($A62="", "", IFERROR(LET(x, XLOOKUP(J$2, Players!$A$1:$P$1, Players!$A61:$P61),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62" s="29" t="str">
        <f t="array" ref="K62">IF($A62="", "", IFERROR(LET(x, XLOOKUP(K$2, Players!$A$1:$P$1, Players!$A61:$P61),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62" s="29" t="str">
        <f t="array" ref="L62">IF($A62="", "", IFERROR(LET(x, XLOOKUP(L$2, Players!$A$1:$P$1, Players!$A61:$P61),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62" s="29" t="str">
        <f t="array" ref="M62">IF($A62="", "", IFERROR(LET(x, XLOOKUP(M$2, Players!$A$1:$P$1, Players!$A61:$P61),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62" s="29" t="str">
        <f t="array" ref="N62">IF($A62="", "", IFERROR(LET(x, XLOOKUP(N$2, Players!$A$1:$P$1, Players!$A61:$P61),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62" s="29" t="str">
        <f t="array" ref="O62">IF($A62="", "", IFERROR(LET(x, XLOOKUP(O$2, Players!$A$1:$P$1, Players!$A61:$P61),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62" s="29" t="str">
        <f t="array" ref="P62">IF($A62="", "", IFERROR(LET(x, XLOOKUP(P$2, Players!$A$1:$P$1, Players!$A61:$P61),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62" s="29" t="str">
        <f t="array" ref="Q62">IF($A62="", "", IFERROR(LET(x, XLOOKUP(Q$2, Players!$A$1:$P$1, Players!$A61:$P61),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62" s="29" t="str">
        <f t="array" ref="R62">IF($A62="", "", IFERROR(LET(x, XLOOKUP(R$2, Players!$A$1:$P$1, Players!$A61:$P61),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62" s="29" t="str">
        <f t="array" ref="S62">IF($A62="", "", IFERROR(LET(x, XLOOKUP(S$2, Players!$A$1:$P$1, Players!$A61:$P61),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62" s="29" t="str">
        <f t="array" ref="T62">IF($A62="", "", IFERROR(LET(x, XLOOKUP(T$2, Players!$A$1:$P$1, Players!$A61:$P61),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62" s="29" t="str">
        <f t="array" ref="U62">IF($A62="", "", IFERROR(LET(x, XLOOKUP(U$2, Players!$A$1:$P$1, Players!$A61:$P61),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62" s="29" t="str">
        <f t="array" ref="V62">IF($A62="", "", IFERROR(LET(x, XLOOKUP(V$2, Players!$A$1:$P$1, Players!$A61:$P61),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62" s="29" t="str">
        <f t="array" ref="W62">IF($A62="", "", IFERROR(LET(x, XLOOKUP(W$2, Players!$A$1:$P$1, Players!$A61:$P61),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63">
      <c r="A63" s="29" t="str">
        <f>IF(Players!A62="","",Players!A62)</f>
        <v/>
      </c>
      <c r="B63" s="29" t="str">
        <f t="array" ref="B63">IF($A63="", "", IFERROR(LET(x, XLOOKUP(B$2, Players!$A$1:$P$1, Players!$A62:$P62),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63" s="29" t="str">
        <f t="array" ref="C63">IF($A63="", "", IFERROR(LET(x, XLOOKUP(C$2, Players!$A$1:$P$1, Players!$A62:$P62),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63" s="29" t="str">
        <f t="array" ref="D63">IF($A63="", "", IFERROR(LET(x, XLOOKUP(D$2, Players!$A$1:$P$1, Players!$A62:$P62),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63" s="29" t="str">
        <f t="array" ref="E63">IF($A63="", "", IFERROR(LET(x, XLOOKUP(E$2, Players!$A$1:$P$1, Players!$A62:$P62),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63" s="29" t="str">
        <f t="array" ref="F63">IF($A63="", "", IFERROR(LET(x, XLOOKUP(F$2, Players!$A$1:$P$1, Players!$A62:$P62),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63" s="29" t="str">
        <f t="array" ref="G63">IF($A63="", "", IFERROR(LET(x, XLOOKUP(G$2, Players!$A$1:$P$1, Players!$A62:$P62),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63" s="29" t="str">
        <f t="array" ref="H63">IF($A63="", "", IFERROR(LET(x, XLOOKUP(H$2, Players!$A$1:$P$1, Players!$A62:$P62),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63" s="29" t="str">
        <f t="array" ref="I63">IF($A63="", "", IFERROR(LET(x, XLOOKUP(I$2, Players!$A$1:$P$1, Players!$A62:$P62),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63" s="29" t="str">
        <f t="array" ref="J63">IF($A63="", "", IFERROR(LET(x, XLOOKUP(J$2, Players!$A$1:$P$1, Players!$A62:$P62),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63" s="29" t="str">
        <f t="array" ref="K63">IF($A63="", "", IFERROR(LET(x, XLOOKUP(K$2, Players!$A$1:$P$1, Players!$A62:$P62),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63" s="29" t="str">
        <f t="array" ref="L63">IF($A63="", "", IFERROR(LET(x, XLOOKUP(L$2, Players!$A$1:$P$1, Players!$A62:$P62),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63" s="29" t="str">
        <f t="array" ref="M63">IF($A63="", "", IFERROR(LET(x, XLOOKUP(M$2, Players!$A$1:$P$1, Players!$A62:$P62),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63" s="29" t="str">
        <f t="array" ref="N63">IF($A63="", "", IFERROR(LET(x, XLOOKUP(N$2, Players!$A$1:$P$1, Players!$A62:$P62),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63" s="29" t="str">
        <f t="array" ref="O63">IF($A63="", "", IFERROR(LET(x, XLOOKUP(O$2, Players!$A$1:$P$1, Players!$A62:$P62),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63" s="29" t="str">
        <f t="array" ref="P63">IF($A63="", "", IFERROR(LET(x, XLOOKUP(P$2, Players!$A$1:$P$1, Players!$A62:$P62),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63" s="29" t="str">
        <f t="array" ref="Q63">IF($A63="", "", IFERROR(LET(x, XLOOKUP(Q$2, Players!$A$1:$P$1, Players!$A62:$P62),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63" s="29" t="str">
        <f t="array" ref="R63">IF($A63="", "", IFERROR(LET(x, XLOOKUP(R$2, Players!$A$1:$P$1, Players!$A62:$P62),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63" s="29" t="str">
        <f t="array" ref="S63">IF($A63="", "", IFERROR(LET(x, XLOOKUP(S$2, Players!$A$1:$P$1, Players!$A62:$P62),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63" s="29" t="str">
        <f t="array" ref="T63">IF($A63="", "", IFERROR(LET(x, XLOOKUP(T$2, Players!$A$1:$P$1, Players!$A62:$P62),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63" s="29" t="str">
        <f t="array" ref="U63">IF($A63="", "", IFERROR(LET(x, XLOOKUP(U$2, Players!$A$1:$P$1, Players!$A62:$P62),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63" s="29" t="str">
        <f t="array" ref="V63">IF($A63="", "", IFERROR(LET(x, XLOOKUP(V$2, Players!$A$1:$P$1, Players!$A62:$P62),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63" s="29" t="str">
        <f t="array" ref="W63">IF($A63="", "", IFERROR(LET(x, XLOOKUP(W$2, Players!$A$1:$P$1, Players!$A62:$P62),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64">
      <c r="A64" s="29" t="str">
        <f>IF(Players!A63="","",Players!A63)</f>
        <v/>
      </c>
      <c r="B64" s="29" t="str">
        <f t="array" ref="B64">IF($A64="", "", IFERROR(LET(x, XLOOKUP(B$2, Players!$A$1:$P$1, Players!$A63:$P63),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64" s="29" t="str">
        <f t="array" ref="C64">IF($A64="", "", IFERROR(LET(x, XLOOKUP(C$2, Players!$A$1:$P$1, Players!$A63:$P63),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64" s="29" t="str">
        <f t="array" ref="D64">IF($A64="", "", IFERROR(LET(x, XLOOKUP(D$2, Players!$A$1:$P$1, Players!$A63:$P63),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64" s="29" t="str">
        <f t="array" ref="E64">IF($A64="", "", IFERROR(LET(x, XLOOKUP(E$2, Players!$A$1:$P$1, Players!$A63:$P63),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64" s="29" t="str">
        <f t="array" ref="F64">IF($A64="", "", IFERROR(LET(x, XLOOKUP(F$2, Players!$A$1:$P$1, Players!$A63:$P63),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64" s="29" t="str">
        <f t="array" ref="G64">IF($A64="", "", IFERROR(LET(x, XLOOKUP(G$2, Players!$A$1:$P$1, Players!$A63:$P63),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64" s="29" t="str">
        <f t="array" ref="H64">IF($A64="", "", IFERROR(LET(x, XLOOKUP(H$2, Players!$A$1:$P$1, Players!$A63:$P63),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64" s="29" t="str">
        <f t="array" ref="I64">IF($A64="", "", IFERROR(LET(x, XLOOKUP(I$2, Players!$A$1:$P$1, Players!$A63:$P63),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64" s="29" t="str">
        <f t="array" ref="J64">IF($A64="", "", IFERROR(LET(x, XLOOKUP(J$2, Players!$A$1:$P$1, Players!$A63:$P63),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64" s="29" t="str">
        <f t="array" ref="K64">IF($A64="", "", IFERROR(LET(x, XLOOKUP(K$2, Players!$A$1:$P$1, Players!$A63:$P63),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64" s="29" t="str">
        <f t="array" ref="L64">IF($A64="", "", IFERROR(LET(x, XLOOKUP(L$2, Players!$A$1:$P$1, Players!$A63:$P63),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64" s="29" t="str">
        <f t="array" ref="M64">IF($A64="", "", IFERROR(LET(x, XLOOKUP(M$2, Players!$A$1:$P$1, Players!$A63:$P63),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64" s="29" t="str">
        <f t="array" ref="N64">IF($A64="", "", IFERROR(LET(x, XLOOKUP(N$2, Players!$A$1:$P$1, Players!$A63:$P63),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64" s="29" t="str">
        <f t="array" ref="O64">IF($A64="", "", IFERROR(LET(x, XLOOKUP(O$2, Players!$A$1:$P$1, Players!$A63:$P63),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64" s="29" t="str">
        <f t="array" ref="P64">IF($A64="", "", IFERROR(LET(x, XLOOKUP(P$2, Players!$A$1:$P$1, Players!$A63:$P63),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64" s="29" t="str">
        <f t="array" ref="Q64">IF($A64="", "", IFERROR(LET(x, XLOOKUP(Q$2, Players!$A$1:$P$1, Players!$A63:$P63),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64" s="29" t="str">
        <f t="array" ref="R64">IF($A64="", "", IFERROR(LET(x, XLOOKUP(R$2, Players!$A$1:$P$1, Players!$A63:$P63),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64" s="29" t="str">
        <f t="array" ref="S64">IF($A64="", "", IFERROR(LET(x, XLOOKUP(S$2, Players!$A$1:$P$1, Players!$A63:$P63),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64" s="29" t="str">
        <f t="array" ref="T64">IF($A64="", "", IFERROR(LET(x, XLOOKUP(T$2, Players!$A$1:$P$1, Players!$A63:$P63),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64" s="29" t="str">
        <f t="array" ref="U64">IF($A64="", "", IFERROR(LET(x, XLOOKUP(U$2, Players!$A$1:$P$1, Players!$A63:$P63),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64" s="29" t="str">
        <f t="array" ref="V64">IF($A64="", "", IFERROR(LET(x, XLOOKUP(V$2, Players!$A$1:$P$1, Players!$A63:$P63),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64" s="29" t="str">
        <f t="array" ref="W64">IF($A64="", "", IFERROR(LET(x, XLOOKUP(W$2, Players!$A$1:$P$1, Players!$A63:$P63),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65">
      <c r="A65" s="29" t="str">
        <f>IF(Players!A64="","",Players!A64)</f>
        <v/>
      </c>
      <c r="B65" s="29" t="str">
        <f t="array" ref="B65">IF($A65="", "", IFERROR(LET(x, XLOOKUP(B$2, Players!$A$1:$P$1, Players!$A64:$P64),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65" s="29" t="str">
        <f t="array" ref="C65">IF($A65="", "", IFERROR(LET(x, XLOOKUP(C$2, Players!$A$1:$P$1, Players!$A64:$P64),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65" s="29" t="str">
        <f t="array" ref="D65">IF($A65="", "", IFERROR(LET(x, XLOOKUP(D$2, Players!$A$1:$P$1, Players!$A64:$P64),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65" s="29" t="str">
        <f t="array" ref="E65">IF($A65="", "", IFERROR(LET(x, XLOOKUP(E$2, Players!$A$1:$P$1, Players!$A64:$P64),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65" s="29" t="str">
        <f t="array" ref="F65">IF($A65="", "", IFERROR(LET(x, XLOOKUP(F$2, Players!$A$1:$P$1, Players!$A64:$P64),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65" s="29" t="str">
        <f t="array" ref="G65">IF($A65="", "", IFERROR(LET(x, XLOOKUP(G$2, Players!$A$1:$P$1, Players!$A64:$P64),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65" s="29" t="str">
        <f t="array" ref="H65">IF($A65="", "", IFERROR(LET(x, XLOOKUP(H$2, Players!$A$1:$P$1, Players!$A64:$P64),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65" s="29" t="str">
        <f t="array" ref="I65">IF($A65="", "", IFERROR(LET(x, XLOOKUP(I$2, Players!$A$1:$P$1, Players!$A64:$P64),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65" s="29" t="str">
        <f t="array" ref="J65">IF($A65="", "", IFERROR(LET(x, XLOOKUP(J$2, Players!$A$1:$P$1, Players!$A64:$P64),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65" s="29" t="str">
        <f t="array" ref="K65">IF($A65="", "", IFERROR(LET(x, XLOOKUP(K$2, Players!$A$1:$P$1, Players!$A64:$P64),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65" s="29" t="str">
        <f t="array" ref="L65">IF($A65="", "", IFERROR(LET(x, XLOOKUP(L$2, Players!$A$1:$P$1, Players!$A64:$P64),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65" s="29" t="str">
        <f t="array" ref="M65">IF($A65="", "", IFERROR(LET(x, XLOOKUP(M$2, Players!$A$1:$P$1, Players!$A64:$P64),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65" s="29" t="str">
        <f t="array" ref="N65">IF($A65="", "", IFERROR(LET(x, XLOOKUP(N$2, Players!$A$1:$P$1, Players!$A64:$P64),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65" s="29" t="str">
        <f t="array" ref="O65">IF($A65="", "", IFERROR(LET(x, XLOOKUP(O$2, Players!$A$1:$P$1, Players!$A64:$P64),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65" s="29" t="str">
        <f t="array" ref="P65">IF($A65="", "", IFERROR(LET(x, XLOOKUP(P$2, Players!$A$1:$P$1, Players!$A64:$P64),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65" s="29" t="str">
        <f t="array" ref="Q65">IF($A65="", "", IFERROR(LET(x, XLOOKUP(Q$2, Players!$A$1:$P$1, Players!$A64:$P64),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65" s="29" t="str">
        <f t="array" ref="R65">IF($A65="", "", IFERROR(LET(x, XLOOKUP(R$2, Players!$A$1:$P$1, Players!$A64:$P64),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65" s="29" t="str">
        <f t="array" ref="S65">IF($A65="", "", IFERROR(LET(x, XLOOKUP(S$2, Players!$A$1:$P$1, Players!$A64:$P64),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65" s="29" t="str">
        <f t="array" ref="T65">IF($A65="", "", IFERROR(LET(x, XLOOKUP(T$2, Players!$A$1:$P$1, Players!$A64:$P64),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65" s="29" t="str">
        <f t="array" ref="U65">IF($A65="", "", IFERROR(LET(x, XLOOKUP(U$2, Players!$A$1:$P$1, Players!$A64:$P64),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65" s="29" t="str">
        <f t="array" ref="V65">IF($A65="", "", IFERROR(LET(x, XLOOKUP(V$2, Players!$A$1:$P$1, Players!$A64:$P64),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65" s="29" t="str">
        <f t="array" ref="W65">IF($A65="", "", IFERROR(LET(x, XLOOKUP(W$2, Players!$A$1:$P$1, Players!$A64:$P64),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66">
      <c r="A66" s="29" t="str">
        <f>IF(Players!A65="","",Players!A65)</f>
        <v/>
      </c>
      <c r="B66" s="29" t="str">
        <f t="array" ref="B66">IF($A66="", "", IFERROR(LET(x, XLOOKUP(B$2, Players!$A$1:$P$1, Players!$A65:$P65),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66" s="29" t="str">
        <f t="array" ref="C66">IF($A66="", "", IFERROR(LET(x, XLOOKUP(C$2, Players!$A$1:$P$1, Players!$A65:$P65),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66" s="29" t="str">
        <f t="array" ref="D66">IF($A66="", "", IFERROR(LET(x, XLOOKUP(D$2, Players!$A$1:$P$1, Players!$A65:$P65),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66" s="29" t="str">
        <f t="array" ref="E66">IF($A66="", "", IFERROR(LET(x, XLOOKUP(E$2, Players!$A$1:$P$1, Players!$A65:$P65),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66" s="29" t="str">
        <f t="array" ref="F66">IF($A66="", "", IFERROR(LET(x, XLOOKUP(F$2, Players!$A$1:$P$1, Players!$A65:$P65),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66" s="29" t="str">
        <f t="array" ref="G66">IF($A66="", "", IFERROR(LET(x, XLOOKUP(G$2, Players!$A$1:$P$1, Players!$A65:$P65),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66" s="29" t="str">
        <f t="array" ref="H66">IF($A66="", "", IFERROR(LET(x, XLOOKUP(H$2, Players!$A$1:$P$1, Players!$A65:$P65),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66" s="29" t="str">
        <f t="array" ref="I66">IF($A66="", "", IFERROR(LET(x, XLOOKUP(I$2, Players!$A$1:$P$1, Players!$A65:$P65),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66" s="29" t="str">
        <f t="array" ref="J66">IF($A66="", "", IFERROR(LET(x, XLOOKUP(J$2, Players!$A$1:$P$1, Players!$A65:$P65),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66" s="29" t="str">
        <f t="array" ref="K66">IF($A66="", "", IFERROR(LET(x, XLOOKUP(K$2, Players!$A$1:$P$1, Players!$A65:$P65),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66" s="29" t="str">
        <f t="array" ref="L66">IF($A66="", "", IFERROR(LET(x, XLOOKUP(L$2, Players!$A$1:$P$1, Players!$A65:$P65),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66" s="29" t="str">
        <f t="array" ref="M66">IF($A66="", "", IFERROR(LET(x, XLOOKUP(M$2, Players!$A$1:$P$1, Players!$A65:$P65),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66" s="29" t="str">
        <f t="array" ref="N66">IF($A66="", "", IFERROR(LET(x, XLOOKUP(N$2, Players!$A$1:$P$1, Players!$A65:$P65),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66" s="29" t="str">
        <f t="array" ref="O66">IF($A66="", "", IFERROR(LET(x, XLOOKUP(O$2, Players!$A$1:$P$1, Players!$A65:$P65),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66" s="29" t="str">
        <f t="array" ref="P66">IF($A66="", "", IFERROR(LET(x, XLOOKUP(P$2, Players!$A$1:$P$1, Players!$A65:$P65),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66" s="29" t="str">
        <f t="array" ref="Q66">IF($A66="", "", IFERROR(LET(x, XLOOKUP(Q$2, Players!$A$1:$P$1, Players!$A65:$P65),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66" s="29" t="str">
        <f t="array" ref="R66">IF($A66="", "", IFERROR(LET(x, XLOOKUP(R$2, Players!$A$1:$P$1, Players!$A65:$P65),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66" s="29" t="str">
        <f t="array" ref="S66">IF($A66="", "", IFERROR(LET(x, XLOOKUP(S$2, Players!$A$1:$P$1, Players!$A65:$P65),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66" s="29" t="str">
        <f t="array" ref="T66">IF($A66="", "", IFERROR(LET(x, XLOOKUP(T$2, Players!$A$1:$P$1, Players!$A65:$P65),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66" s="29" t="str">
        <f t="array" ref="U66">IF($A66="", "", IFERROR(LET(x, XLOOKUP(U$2, Players!$A$1:$P$1, Players!$A65:$P65),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66" s="29" t="str">
        <f t="array" ref="V66">IF($A66="", "", IFERROR(LET(x, XLOOKUP(V$2, Players!$A$1:$P$1, Players!$A65:$P65),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66" s="29" t="str">
        <f t="array" ref="W66">IF($A66="", "", IFERROR(LET(x, XLOOKUP(W$2, Players!$A$1:$P$1, Players!$A65:$P65),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67">
      <c r="A67" s="29" t="str">
        <f>IF(Players!A66="","",Players!A66)</f>
        <v/>
      </c>
      <c r="B67" s="29" t="str">
        <f t="array" ref="B67">IF($A67="", "", IFERROR(LET(x, XLOOKUP(B$2, Players!$A$1:$P$1, Players!$A66:$P66),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67" s="29" t="str">
        <f t="array" ref="C67">IF($A67="", "", IFERROR(LET(x, XLOOKUP(C$2, Players!$A$1:$P$1, Players!$A66:$P66),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67" s="29" t="str">
        <f t="array" ref="D67">IF($A67="", "", IFERROR(LET(x, XLOOKUP(D$2, Players!$A$1:$P$1, Players!$A66:$P66),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67" s="29" t="str">
        <f t="array" ref="E67">IF($A67="", "", IFERROR(LET(x, XLOOKUP(E$2, Players!$A$1:$P$1, Players!$A66:$P66),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67" s="29" t="str">
        <f t="array" ref="F67">IF($A67="", "", IFERROR(LET(x, XLOOKUP(F$2, Players!$A$1:$P$1, Players!$A66:$P66),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67" s="29" t="str">
        <f t="array" ref="G67">IF($A67="", "", IFERROR(LET(x, XLOOKUP(G$2, Players!$A$1:$P$1, Players!$A66:$P66),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67" s="29" t="str">
        <f t="array" ref="H67">IF($A67="", "", IFERROR(LET(x, XLOOKUP(H$2, Players!$A$1:$P$1, Players!$A66:$P66),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67" s="29" t="str">
        <f t="array" ref="I67">IF($A67="", "", IFERROR(LET(x, XLOOKUP(I$2, Players!$A$1:$P$1, Players!$A66:$P66),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67" s="29" t="str">
        <f t="array" ref="J67">IF($A67="", "", IFERROR(LET(x, XLOOKUP(J$2, Players!$A$1:$P$1, Players!$A66:$P66),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67" s="29" t="str">
        <f t="array" ref="K67">IF($A67="", "", IFERROR(LET(x, XLOOKUP(K$2, Players!$A$1:$P$1, Players!$A66:$P66),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67" s="29" t="str">
        <f t="array" ref="L67">IF($A67="", "", IFERROR(LET(x, XLOOKUP(L$2, Players!$A$1:$P$1, Players!$A66:$P66),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67" s="29" t="str">
        <f t="array" ref="M67">IF($A67="", "", IFERROR(LET(x, XLOOKUP(M$2, Players!$A$1:$P$1, Players!$A66:$P66),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67" s="29" t="str">
        <f t="array" ref="N67">IF($A67="", "", IFERROR(LET(x, XLOOKUP(N$2, Players!$A$1:$P$1, Players!$A66:$P66),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67" s="29" t="str">
        <f t="array" ref="O67">IF($A67="", "", IFERROR(LET(x, XLOOKUP(O$2, Players!$A$1:$P$1, Players!$A66:$P66),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67" s="29" t="str">
        <f t="array" ref="P67">IF($A67="", "", IFERROR(LET(x, XLOOKUP(P$2, Players!$A$1:$P$1, Players!$A66:$P66),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67" s="29" t="str">
        <f t="array" ref="Q67">IF($A67="", "", IFERROR(LET(x, XLOOKUP(Q$2, Players!$A$1:$P$1, Players!$A66:$P66),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67" s="29" t="str">
        <f t="array" ref="R67">IF($A67="", "", IFERROR(LET(x, XLOOKUP(R$2, Players!$A$1:$P$1, Players!$A66:$P66),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67" s="29" t="str">
        <f t="array" ref="S67">IF($A67="", "", IFERROR(LET(x, XLOOKUP(S$2, Players!$A$1:$P$1, Players!$A66:$P66),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67" s="29" t="str">
        <f t="array" ref="T67">IF($A67="", "", IFERROR(LET(x, XLOOKUP(T$2, Players!$A$1:$P$1, Players!$A66:$P66),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67" s="29" t="str">
        <f t="array" ref="U67">IF($A67="", "", IFERROR(LET(x, XLOOKUP(U$2, Players!$A$1:$P$1, Players!$A66:$P66),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67" s="29" t="str">
        <f t="array" ref="V67">IF($A67="", "", IFERROR(LET(x, XLOOKUP(V$2, Players!$A$1:$P$1, Players!$A66:$P66),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67" s="29" t="str">
        <f t="array" ref="W67">IF($A67="", "", IFERROR(LET(x, XLOOKUP(W$2, Players!$A$1:$P$1, Players!$A66:$P66),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68">
      <c r="A68" s="29" t="str">
        <f>IF(Players!A67="","",Players!A67)</f>
        <v/>
      </c>
      <c r="B68" s="29" t="str">
        <f t="array" ref="B68">IF($A68="", "", IFERROR(LET(x, XLOOKUP(B$2, Players!$A$1:$P$1, Players!$A67:$P67),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68" s="29" t="str">
        <f t="array" ref="C68">IF($A68="", "", IFERROR(LET(x, XLOOKUP(C$2, Players!$A$1:$P$1, Players!$A67:$P67),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68" s="29" t="str">
        <f t="array" ref="D68">IF($A68="", "", IFERROR(LET(x, XLOOKUP(D$2, Players!$A$1:$P$1, Players!$A67:$P67),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68" s="29" t="str">
        <f t="array" ref="E68">IF($A68="", "", IFERROR(LET(x, XLOOKUP(E$2, Players!$A$1:$P$1, Players!$A67:$P67),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68" s="29" t="str">
        <f t="array" ref="F68">IF($A68="", "", IFERROR(LET(x, XLOOKUP(F$2, Players!$A$1:$P$1, Players!$A67:$P67),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68" s="29" t="str">
        <f t="array" ref="G68">IF($A68="", "", IFERROR(LET(x, XLOOKUP(G$2, Players!$A$1:$P$1, Players!$A67:$P67),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68" s="29" t="str">
        <f t="array" ref="H68">IF($A68="", "", IFERROR(LET(x, XLOOKUP(H$2, Players!$A$1:$P$1, Players!$A67:$P67),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68" s="29" t="str">
        <f t="array" ref="I68">IF($A68="", "", IFERROR(LET(x, XLOOKUP(I$2, Players!$A$1:$P$1, Players!$A67:$P67),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68" s="29" t="str">
        <f t="array" ref="J68">IF($A68="", "", IFERROR(LET(x, XLOOKUP(J$2, Players!$A$1:$P$1, Players!$A67:$P67),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68" s="29" t="str">
        <f t="array" ref="K68">IF($A68="", "", IFERROR(LET(x, XLOOKUP(K$2, Players!$A$1:$P$1, Players!$A67:$P67),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68" s="29" t="str">
        <f t="array" ref="L68">IF($A68="", "", IFERROR(LET(x, XLOOKUP(L$2, Players!$A$1:$P$1, Players!$A67:$P67),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68" s="29" t="str">
        <f t="array" ref="M68">IF($A68="", "", IFERROR(LET(x, XLOOKUP(M$2, Players!$A$1:$P$1, Players!$A67:$P67),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68" s="29" t="str">
        <f t="array" ref="N68">IF($A68="", "", IFERROR(LET(x, XLOOKUP(N$2, Players!$A$1:$P$1, Players!$A67:$P67),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68" s="29" t="str">
        <f t="array" ref="O68">IF($A68="", "", IFERROR(LET(x, XLOOKUP(O$2, Players!$A$1:$P$1, Players!$A67:$P67),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68" s="29" t="str">
        <f t="array" ref="P68">IF($A68="", "", IFERROR(LET(x, XLOOKUP(P$2, Players!$A$1:$P$1, Players!$A67:$P67),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68" s="29" t="str">
        <f t="array" ref="Q68">IF($A68="", "", IFERROR(LET(x, XLOOKUP(Q$2, Players!$A$1:$P$1, Players!$A67:$P67),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68" s="29" t="str">
        <f t="array" ref="R68">IF($A68="", "", IFERROR(LET(x, XLOOKUP(R$2, Players!$A$1:$P$1, Players!$A67:$P67),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68" s="29" t="str">
        <f t="array" ref="S68">IF($A68="", "", IFERROR(LET(x, XLOOKUP(S$2, Players!$A$1:$P$1, Players!$A67:$P67),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68" s="29" t="str">
        <f t="array" ref="T68">IF($A68="", "", IFERROR(LET(x, XLOOKUP(T$2, Players!$A$1:$P$1, Players!$A67:$P67),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68" s="29" t="str">
        <f t="array" ref="U68">IF($A68="", "", IFERROR(LET(x, XLOOKUP(U$2, Players!$A$1:$P$1, Players!$A67:$P67),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68" s="29" t="str">
        <f t="array" ref="V68">IF($A68="", "", IFERROR(LET(x, XLOOKUP(V$2, Players!$A$1:$P$1, Players!$A67:$P67),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68" s="29" t="str">
        <f t="array" ref="W68">IF($A68="", "", IFERROR(LET(x, XLOOKUP(W$2, Players!$A$1:$P$1, Players!$A67:$P67),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69">
      <c r="A69" s="29" t="str">
        <f>IF(Players!A68="","",Players!A68)</f>
        <v/>
      </c>
      <c r="B69" s="29" t="str">
        <f t="array" ref="B69">IF($A69="", "", IFERROR(LET(x, XLOOKUP(B$2, Players!$A$1:$P$1, Players!$A68:$P68),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69" s="29" t="str">
        <f t="array" ref="C69">IF($A69="", "", IFERROR(LET(x, XLOOKUP(C$2, Players!$A$1:$P$1, Players!$A68:$P68),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69" s="29" t="str">
        <f t="array" ref="D69">IF($A69="", "", IFERROR(LET(x, XLOOKUP(D$2, Players!$A$1:$P$1, Players!$A68:$P68),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69" s="29" t="str">
        <f t="array" ref="E69">IF($A69="", "", IFERROR(LET(x, XLOOKUP(E$2, Players!$A$1:$P$1, Players!$A68:$P68),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69" s="29" t="str">
        <f t="array" ref="F69">IF($A69="", "", IFERROR(LET(x, XLOOKUP(F$2, Players!$A$1:$P$1, Players!$A68:$P68),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69" s="29" t="str">
        <f t="array" ref="G69">IF($A69="", "", IFERROR(LET(x, XLOOKUP(G$2, Players!$A$1:$P$1, Players!$A68:$P68),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69" s="29" t="str">
        <f t="array" ref="H69">IF($A69="", "", IFERROR(LET(x, XLOOKUP(H$2, Players!$A$1:$P$1, Players!$A68:$P68),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69" s="29" t="str">
        <f t="array" ref="I69">IF($A69="", "", IFERROR(LET(x, XLOOKUP(I$2, Players!$A$1:$P$1, Players!$A68:$P68),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69" s="29" t="str">
        <f t="array" ref="J69">IF($A69="", "", IFERROR(LET(x, XLOOKUP(J$2, Players!$A$1:$P$1, Players!$A68:$P68),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69" s="29" t="str">
        <f t="array" ref="K69">IF($A69="", "", IFERROR(LET(x, XLOOKUP(K$2, Players!$A$1:$P$1, Players!$A68:$P68),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69" s="29" t="str">
        <f t="array" ref="L69">IF($A69="", "", IFERROR(LET(x, XLOOKUP(L$2, Players!$A$1:$P$1, Players!$A68:$P68),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69" s="29" t="str">
        <f t="array" ref="M69">IF($A69="", "", IFERROR(LET(x, XLOOKUP(M$2, Players!$A$1:$P$1, Players!$A68:$P68),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69" s="29" t="str">
        <f t="array" ref="N69">IF($A69="", "", IFERROR(LET(x, XLOOKUP(N$2, Players!$A$1:$P$1, Players!$A68:$P68),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69" s="29" t="str">
        <f t="array" ref="O69">IF($A69="", "", IFERROR(LET(x, XLOOKUP(O$2, Players!$A$1:$P$1, Players!$A68:$P68),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69" s="29" t="str">
        <f t="array" ref="P69">IF($A69="", "", IFERROR(LET(x, XLOOKUP(P$2, Players!$A$1:$P$1, Players!$A68:$P68),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69" s="29" t="str">
        <f t="array" ref="Q69">IF($A69="", "", IFERROR(LET(x, XLOOKUP(Q$2, Players!$A$1:$P$1, Players!$A68:$P68),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69" s="29" t="str">
        <f t="array" ref="R69">IF($A69="", "", IFERROR(LET(x, XLOOKUP(R$2, Players!$A$1:$P$1, Players!$A68:$P68),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69" s="29" t="str">
        <f t="array" ref="S69">IF($A69="", "", IFERROR(LET(x, XLOOKUP(S$2, Players!$A$1:$P$1, Players!$A68:$P68),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69" s="29" t="str">
        <f t="array" ref="T69">IF($A69="", "", IFERROR(LET(x, XLOOKUP(T$2, Players!$A$1:$P$1, Players!$A68:$P68),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69" s="29" t="str">
        <f t="array" ref="U69">IF($A69="", "", IFERROR(LET(x, XLOOKUP(U$2, Players!$A$1:$P$1, Players!$A68:$P68),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69" s="29" t="str">
        <f t="array" ref="V69">IF($A69="", "", IFERROR(LET(x, XLOOKUP(V$2, Players!$A$1:$P$1, Players!$A68:$P68),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69" s="29" t="str">
        <f t="array" ref="W69">IF($A69="", "", IFERROR(LET(x, XLOOKUP(W$2, Players!$A$1:$P$1, Players!$A68:$P68),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70">
      <c r="A70" s="29" t="str">
        <f>IF(Players!A69="","",Players!A69)</f>
        <v/>
      </c>
      <c r="B70" s="29" t="str">
        <f t="array" ref="B70">IF($A70="", "", IFERROR(LET(x, XLOOKUP(B$2, Players!$A$1:$P$1, Players!$A69:$P69),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70" s="29" t="str">
        <f t="array" ref="C70">IF($A70="", "", IFERROR(LET(x, XLOOKUP(C$2, Players!$A$1:$P$1, Players!$A69:$P69),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70" s="29" t="str">
        <f t="array" ref="D70">IF($A70="", "", IFERROR(LET(x, XLOOKUP(D$2, Players!$A$1:$P$1, Players!$A69:$P69),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70" s="29" t="str">
        <f t="array" ref="E70">IF($A70="", "", IFERROR(LET(x, XLOOKUP(E$2, Players!$A$1:$P$1, Players!$A69:$P69),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70" s="29" t="str">
        <f t="array" ref="F70">IF($A70="", "", IFERROR(LET(x, XLOOKUP(F$2, Players!$A$1:$P$1, Players!$A69:$P69),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70" s="29" t="str">
        <f t="array" ref="G70">IF($A70="", "", IFERROR(LET(x, XLOOKUP(G$2, Players!$A$1:$P$1, Players!$A69:$P69),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70" s="29" t="str">
        <f t="array" ref="H70">IF($A70="", "", IFERROR(LET(x, XLOOKUP(H$2, Players!$A$1:$P$1, Players!$A69:$P69),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70" s="29" t="str">
        <f t="array" ref="I70">IF($A70="", "", IFERROR(LET(x, XLOOKUP(I$2, Players!$A$1:$P$1, Players!$A69:$P69),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70" s="29" t="str">
        <f t="array" ref="J70">IF($A70="", "", IFERROR(LET(x, XLOOKUP(J$2, Players!$A$1:$P$1, Players!$A69:$P69),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70" s="29" t="str">
        <f t="array" ref="K70">IF($A70="", "", IFERROR(LET(x, XLOOKUP(K$2, Players!$A$1:$P$1, Players!$A69:$P69),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70" s="29" t="str">
        <f t="array" ref="L70">IF($A70="", "", IFERROR(LET(x, XLOOKUP(L$2, Players!$A$1:$P$1, Players!$A69:$P69),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70" s="29" t="str">
        <f t="array" ref="M70">IF($A70="", "", IFERROR(LET(x, XLOOKUP(M$2, Players!$A$1:$P$1, Players!$A69:$P69),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70" s="29" t="str">
        <f t="array" ref="N70">IF($A70="", "", IFERROR(LET(x, XLOOKUP(N$2, Players!$A$1:$P$1, Players!$A69:$P69),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70" s="29" t="str">
        <f t="array" ref="O70">IF($A70="", "", IFERROR(LET(x, XLOOKUP(O$2, Players!$A$1:$P$1, Players!$A69:$P69),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70" s="29" t="str">
        <f t="array" ref="P70">IF($A70="", "", IFERROR(LET(x, XLOOKUP(P$2, Players!$A$1:$P$1, Players!$A69:$P69),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70" s="29" t="str">
        <f t="array" ref="Q70">IF($A70="", "", IFERROR(LET(x, XLOOKUP(Q$2, Players!$A$1:$P$1, Players!$A69:$P69),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70" s="29" t="str">
        <f t="array" ref="R70">IF($A70="", "", IFERROR(LET(x, XLOOKUP(R$2, Players!$A$1:$P$1, Players!$A69:$P69),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70" s="29" t="str">
        <f t="array" ref="S70">IF($A70="", "", IFERROR(LET(x, XLOOKUP(S$2, Players!$A$1:$P$1, Players!$A69:$P69),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70" s="29" t="str">
        <f t="array" ref="T70">IF($A70="", "", IFERROR(LET(x, XLOOKUP(T$2, Players!$A$1:$P$1, Players!$A69:$P69),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70" s="29" t="str">
        <f t="array" ref="U70">IF($A70="", "", IFERROR(LET(x, XLOOKUP(U$2, Players!$A$1:$P$1, Players!$A69:$P69),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70" s="29" t="str">
        <f t="array" ref="V70">IF($A70="", "", IFERROR(LET(x, XLOOKUP(V$2, Players!$A$1:$P$1, Players!$A69:$P69),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70" s="29" t="str">
        <f t="array" ref="W70">IF($A70="", "", IFERROR(LET(x, XLOOKUP(W$2, Players!$A$1:$P$1, Players!$A69:$P69),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71">
      <c r="A71" s="29" t="str">
        <f>IF(Players!A70="","",Players!A70)</f>
        <v/>
      </c>
      <c r="B71" s="29" t="str">
        <f t="array" ref="B71">IF($A71="", "", IFERROR(LET(x, XLOOKUP(B$2, Players!$A$1:$P$1, Players!$A70:$P70),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71" s="29" t="str">
        <f t="array" ref="C71">IF($A71="", "", IFERROR(LET(x, XLOOKUP(C$2, Players!$A$1:$P$1, Players!$A70:$P70),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71" s="29" t="str">
        <f t="array" ref="D71">IF($A71="", "", IFERROR(LET(x, XLOOKUP(D$2, Players!$A$1:$P$1, Players!$A70:$P70),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71" s="29" t="str">
        <f t="array" ref="E71">IF($A71="", "", IFERROR(LET(x, XLOOKUP(E$2, Players!$A$1:$P$1, Players!$A70:$P70),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71" s="29" t="str">
        <f t="array" ref="F71">IF($A71="", "", IFERROR(LET(x, XLOOKUP(F$2, Players!$A$1:$P$1, Players!$A70:$P70),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71" s="29" t="str">
        <f t="array" ref="G71">IF($A71="", "", IFERROR(LET(x, XLOOKUP(G$2, Players!$A$1:$P$1, Players!$A70:$P70),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71" s="29" t="str">
        <f t="array" ref="H71">IF($A71="", "", IFERROR(LET(x, XLOOKUP(H$2, Players!$A$1:$P$1, Players!$A70:$P70),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71" s="29" t="str">
        <f t="array" ref="I71">IF($A71="", "", IFERROR(LET(x, XLOOKUP(I$2, Players!$A$1:$P$1, Players!$A70:$P70),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71" s="29" t="str">
        <f t="array" ref="J71">IF($A71="", "", IFERROR(LET(x, XLOOKUP(J$2, Players!$A$1:$P$1, Players!$A70:$P70),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71" s="29" t="str">
        <f t="array" ref="K71">IF($A71="", "", IFERROR(LET(x, XLOOKUP(K$2, Players!$A$1:$P$1, Players!$A70:$P70),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71" s="29" t="str">
        <f t="array" ref="L71">IF($A71="", "", IFERROR(LET(x, XLOOKUP(L$2, Players!$A$1:$P$1, Players!$A70:$P70),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71" s="29" t="str">
        <f t="array" ref="M71">IF($A71="", "", IFERROR(LET(x, XLOOKUP(M$2, Players!$A$1:$P$1, Players!$A70:$P70),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71" s="29" t="str">
        <f t="array" ref="N71">IF($A71="", "", IFERROR(LET(x, XLOOKUP(N$2, Players!$A$1:$P$1, Players!$A70:$P70),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71" s="29" t="str">
        <f t="array" ref="O71">IF($A71="", "", IFERROR(LET(x, XLOOKUP(O$2, Players!$A$1:$P$1, Players!$A70:$P70),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71" s="29" t="str">
        <f t="array" ref="P71">IF($A71="", "", IFERROR(LET(x, XLOOKUP(P$2, Players!$A$1:$P$1, Players!$A70:$P70),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71" s="29" t="str">
        <f t="array" ref="Q71">IF($A71="", "", IFERROR(LET(x, XLOOKUP(Q$2, Players!$A$1:$P$1, Players!$A70:$P70),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71" s="29" t="str">
        <f t="array" ref="R71">IF($A71="", "", IFERROR(LET(x, XLOOKUP(R$2, Players!$A$1:$P$1, Players!$A70:$P70),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71" s="29" t="str">
        <f t="array" ref="S71">IF($A71="", "", IFERROR(LET(x, XLOOKUP(S$2, Players!$A$1:$P$1, Players!$A70:$P70),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71" s="29" t="str">
        <f t="array" ref="T71">IF($A71="", "", IFERROR(LET(x, XLOOKUP(T$2, Players!$A$1:$P$1, Players!$A70:$P70),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71" s="29" t="str">
        <f t="array" ref="U71">IF($A71="", "", IFERROR(LET(x, XLOOKUP(U$2, Players!$A$1:$P$1, Players!$A70:$P70),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71" s="29" t="str">
        <f t="array" ref="V71">IF($A71="", "", IFERROR(LET(x, XLOOKUP(V$2, Players!$A$1:$P$1, Players!$A70:$P70),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71" s="29" t="str">
        <f t="array" ref="W71">IF($A71="", "", IFERROR(LET(x, XLOOKUP(W$2, Players!$A$1:$P$1, Players!$A70:$P70),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72">
      <c r="A72" s="29" t="str">
        <f>IF(Players!A71="","",Players!A71)</f>
        <v/>
      </c>
      <c r="B72" s="29" t="str">
        <f t="array" ref="B72">IF($A72="", "", IFERROR(LET(x, XLOOKUP(B$2, Players!$A$1:$P$1, Players!$A71:$P71),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72" s="29" t="str">
        <f t="array" ref="C72">IF($A72="", "", IFERROR(LET(x, XLOOKUP(C$2, Players!$A$1:$P$1, Players!$A71:$P71),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72" s="29" t="str">
        <f t="array" ref="D72">IF($A72="", "", IFERROR(LET(x, XLOOKUP(D$2, Players!$A$1:$P$1, Players!$A71:$P71),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72" s="29" t="str">
        <f t="array" ref="E72">IF($A72="", "", IFERROR(LET(x, XLOOKUP(E$2, Players!$A$1:$P$1, Players!$A71:$P71),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72" s="29" t="str">
        <f t="array" ref="F72">IF($A72="", "", IFERROR(LET(x, XLOOKUP(F$2, Players!$A$1:$P$1, Players!$A71:$P71),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72" s="29" t="str">
        <f t="array" ref="G72">IF($A72="", "", IFERROR(LET(x, XLOOKUP(G$2, Players!$A$1:$P$1, Players!$A71:$P71),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72" s="29" t="str">
        <f t="array" ref="H72">IF($A72="", "", IFERROR(LET(x, XLOOKUP(H$2, Players!$A$1:$P$1, Players!$A71:$P71),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72" s="29" t="str">
        <f t="array" ref="I72">IF($A72="", "", IFERROR(LET(x, XLOOKUP(I$2, Players!$A$1:$P$1, Players!$A71:$P71),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72" s="29" t="str">
        <f t="array" ref="J72">IF($A72="", "", IFERROR(LET(x, XLOOKUP(J$2, Players!$A$1:$P$1, Players!$A71:$P71),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72" s="29" t="str">
        <f t="array" ref="K72">IF($A72="", "", IFERROR(LET(x, XLOOKUP(K$2, Players!$A$1:$P$1, Players!$A71:$P71),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72" s="29" t="str">
        <f t="array" ref="L72">IF($A72="", "", IFERROR(LET(x, XLOOKUP(L$2, Players!$A$1:$P$1, Players!$A71:$P71),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72" s="29" t="str">
        <f t="array" ref="M72">IF($A72="", "", IFERROR(LET(x, XLOOKUP(M$2, Players!$A$1:$P$1, Players!$A71:$P71),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72" s="29" t="str">
        <f t="array" ref="N72">IF($A72="", "", IFERROR(LET(x, XLOOKUP(N$2, Players!$A$1:$P$1, Players!$A71:$P71),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72" s="29" t="str">
        <f t="array" ref="O72">IF($A72="", "", IFERROR(LET(x, XLOOKUP(O$2, Players!$A$1:$P$1, Players!$A71:$P71),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72" s="29" t="str">
        <f t="array" ref="P72">IF($A72="", "", IFERROR(LET(x, XLOOKUP(P$2, Players!$A$1:$P$1, Players!$A71:$P71),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72" s="29" t="str">
        <f t="array" ref="Q72">IF($A72="", "", IFERROR(LET(x, XLOOKUP(Q$2, Players!$A$1:$P$1, Players!$A71:$P71),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72" s="29" t="str">
        <f t="array" ref="R72">IF($A72="", "", IFERROR(LET(x, XLOOKUP(R$2, Players!$A$1:$P$1, Players!$A71:$P71),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72" s="29" t="str">
        <f t="array" ref="S72">IF($A72="", "", IFERROR(LET(x, XLOOKUP(S$2, Players!$A$1:$P$1, Players!$A71:$P71),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72" s="29" t="str">
        <f t="array" ref="T72">IF($A72="", "", IFERROR(LET(x, XLOOKUP(T$2, Players!$A$1:$P$1, Players!$A71:$P71),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72" s="29" t="str">
        <f t="array" ref="U72">IF($A72="", "", IFERROR(LET(x, XLOOKUP(U$2, Players!$A$1:$P$1, Players!$A71:$P71),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72" s="29" t="str">
        <f t="array" ref="V72">IF($A72="", "", IFERROR(LET(x, XLOOKUP(V$2, Players!$A$1:$P$1, Players!$A71:$P71),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72" s="29" t="str">
        <f t="array" ref="W72">IF($A72="", "", IFERROR(LET(x, XLOOKUP(W$2, Players!$A$1:$P$1, Players!$A71:$P71),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73">
      <c r="A73" s="29" t="str">
        <f>IF(Players!A72="","",Players!A72)</f>
        <v/>
      </c>
      <c r="B73" s="29" t="str">
        <f t="array" ref="B73">IF($A73="", "", IFERROR(LET(x, XLOOKUP(B$2, Players!$A$1:$P$1, Players!$A72:$P72),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73" s="29" t="str">
        <f t="array" ref="C73">IF($A73="", "", IFERROR(LET(x, XLOOKUP(C$2, Players!$A$1:$P$1, Players!$A72:$P72),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73" s="29" t="str">
        <f t="array" ref="D73">IF($A73="", "", IFERROR(LET(x, XLOOKUP(D$2, Players!$A$1:$P$1, Players!$A72:$P72),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73" s="29" t="str">
        <f t="array" ref="E73">IF($A73="", "", IFERROR(LET(x, XLOOKUP(E$2, Players!$A$1:$P$1, Players!$A72:$P72),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73" s="29" t="str">
        <f t="array" ref="F73">IF($A73="", "", IFERROR(LET(x, XLOOKUP(F$2, Players!$A$1:$P$1, Players!$A72:$P72),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73" s="29" t="str">
        <f t="array" ref="G73">IF($A73="", "", IFERROR(LET(x, XLOOKUP(G$2, Players!$A$1:$P$1, Players!$A72:$P72),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73" s="29" t="str">
        <f t="array" ref="H73">IF($A73="", "", IFERROR(LET(x, XLOOKUP(H$2, Players!$A$1:$P$1, Players!$A72:$P72),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73" s="29" t="str">
        <f t="array" ref="I73">IF($A73="", "", IFERROR(LET(x, XLOOKUP(I$2, Players!$A$1:$P$1, Players!$A72:$P72),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73" s="29" t="str">
        <f t="array" ref="J73">IF($A73="", "", IFERROR(LET(x, XLOOKUP(J$2, Players!$A$1:$P$1, Players!$A72:$P72),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73" s="29" t="str">
        <f t="array" ref="K73">IF($A73="", "", IFERROR(LET(x, XLOOKUP(K$2, Players!$A$1:$P$1, Players!$A72:$P72),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73" s="29" t="str">
        <f t="array" ref="L73">IF($A73="", "", IFERROR(LET(x, XLOOKUP(L$2, Players!$A$1:$P$1, Players!$A72:$P72),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73" s="29" t="str">
        <f t="array" ref="M73">IF($A73="", "", IFERROR(LET(x, XLOOKUP(M$2, Players!$A$1:$P$1, Players!$A72:$P72),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73" s="29" t="str">
        <f t="array" ref="N73">IF($A73="", "", IFERROR(LET(x, XLOOKUP(N$2, Players!$A$1:$P$1, Players!$A72:$P72),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73" s="29" t="str">
        <f t="array" ref="O73">IF($A73="", "", IFERROR(LET(x, XLOOKUP(O$2, Players!$A$1:$P$1, Players!$A72:$P72),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73" s="29" t="str">
        <f t="array" ref="P73">IF($A73="", "", IFERROR(LET(x, XLOOKUP(P$2, Players!$A$1:$P$1, Players!$A72:$P72),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73" s="29" t="str">
        <f t="array" ref="Q73">IF($A73="", "", IFERROR(LET(x, XLOOKUP(Q$2, Players!$A$1:$P$1, Players!$A72:$P72),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73" s="29" t="str">
        <f t="array" ref="R73">IF($A73="", "", IFERROR(LET(x, XLOOKUP(R$2, Players!$A$1:$P$1, Players!$A72:$P72),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73" s="29" t="str">
        <f t="array" ref="S73">IF($A73="", "", IFERROR(LET(x, XLOOKUP(S$2, Players!$A$1:$P$1, Players!$A72:$P72),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73" s="29" t="str">
        <f t="array" ref="T73">IF($A73="", "", IFERROR(LET(x, XLOOKUP(T$2, Players!$A$1:$P$1, Players!$A72:$P72),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73" s="29" t="str">
        <f t="array" ref="U73">IF($A73="", "", IFERROR(LET(x, XLOOKUP(U$2, Players!$A$1:$P$1, Players!$A72:$P72),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73" s="29" t="str">
        <f t="array" ref="V73">IF($A73="", "", IFERROR(LET(x, XLOOKUP(V$2, Players!$A$1:$P$1, Players!$A72:$P72),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73" s="29" t="str">
        <f t="array" ref="W73">IF($A73="", "", IFERROR(LET(x, XLOOKUP(W$2, Players!$A$1:$P$1, Players!$A72:$P72),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74">
      <c r="A74" s="29" t="str">
        <f>IF(Players!A73="","",Players!A73)</f>
        <v/>
      </c>
      <c r="B74" s="29" t="str">
        <f t="array" ref="B74">IF($A74="", "", IFERROR(LET(x, XLOOKUP(B$2, Players!$A$1:$P$1, Players!$A73:$P73),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74" s="29" t="str">
        <f t="array" ref="C74">IF($A74="", "", IFERROR(LET(x, XLOOKUP(C$2, Players!$A$1:$P$1, Players!$A73:$P73),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74" s="29" t="str">
        <f t="array" ref="D74">IF($A74="", "", IFERROR(LET(x, XLOOKUP(D$2, Players!$A$1:$P$1, Players!$A73:$P73),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74" s="29" t="str">
        <f t="array" ref="E74">IF($A74="", "", IFERROR(LET(x, XLOOKUP(E$2, Players!$A$1:$P$1, Players!$A73:$P73),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74" s="29" t="str">
        <f t="array" ref="F74">IF($A74="", "", IFERROR(LET(x, XLOOKUP(F$2, Players!$A$1:$P$1, Players!$A73:$P73),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74" s="29" t="str">
        <f t="array" ref="G74">IF($A74="", "", IFERROR(LET(x, XLOOKUP(G$2, Players!$A$1:$P$1, Players!$A73:$P73),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74" s="29" t="str">
        <f t="array" ref="H74">IF($A74="", "", IFERROR(LET(x, XLOOKUP(H$2, Players!$A$1:$P$1, Players!$A73:$P73),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74" s="29" t="str">
        <f t="array" ref="I74">IF($A74="", "", IFERROR(LET(x, XLOOKUP(I$2, Players!$A$1:$P$1, Players!$A73:$P73),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74" s="29" t="str">
        <f t="array" ref="J74">IF($A74="", "", IFERROR(LET(x, XLOOKUP(J$2, Players!$A$1:$P$1, Players!$A73:$P73),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74" s="29" t="str">
        <f t="array" ref="K74">IF($A74="", "", IFERROR(LET(x, XLOOKUP(K$2, Players!$A$1:$P$1, Players!$A73:$P73),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74" s="29" t="str">
        <f t="array" ref="L74">IF($A74="", "", IFERROR(LET(x, XLOOKUP(L$2, Players!$A$1:$P$1, Players!$A73:$P73),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74" s="29" t="str">
        <f t="array" ref="M74">IF($A74="", "", IFERROR(LET(x, XLOOKUP(M$2, Players!$A$1:$P$1, Players!$A73:$P73),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74" s="29" t="str">
        <f t="array" ref="N74">IF($A74="", "", IFERROR(LET(x, XLOOKUP(N$2, Players!$A$1:$P$1, Players!$A73:$P73),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74" s="29" t="str">
        <f t="array" ref="O74">IF($A74="", "", IFERROR(LET(x, XLOOKUP(O$2, Players!$A$1:$P$1, Players!$A73:$P73),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74" s="29" t="str">
        <f t="array" ref="P74">IF($A74="", "", IFERROR(LET(x, XLOOKUP(P$2, Players!$A$1:$P$1, Players!$A73:$P73),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74" s="29" t="str">
        <f t="array" ref="Q74">IF($A74="", "", IFERROR(LET(x, XLOOKUP(Q$2, Players!$A$1:$P$1, Players!$A73:$P73),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74" s="29" t="str">
        <f t="array" ref="R74">IF($A74="", "", IFERROR(LET(x, XLOOKUP(R$2, Players!$A$1:$P$1, Players!$A73:$P73),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74" s="29" t="str">
        <f t="array" ref="S74">IF($A74="", "", IFERROR(LET(x, XLOOKUP(S$2, Players!$A$1:$P$1, Players!$A73:$P73),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74" s="29" t="str">
        <f t="array" ref="T74">IF($A74="", "", IFERROR(LET(x, XLOOKUP(T$2, Players!$A$1:$P$1, Players!$A73:$P73),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74" s="29" t="str">
        <f t="array" ref="U74">IF($A74="", "", IFERROR(LET(x, XLOOKUP(U$2, Players!$A$1:$P$1, Players!$A73:$P73),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74" s="29" t="str">
        <f t="array" ref="V74">IF($A74="", "", IFERROR(LET(x, XLOOKUP(V$2, Players!$A$1:$P$1, Players!$A73:$P73),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74" s="29" t="str">
        <f t="array" ref="W74">IF($A74="", "", IFERROR(LET(x, XLOOKUP(W$2, Players!$A$1:$P$1, Players!$A73:$P73),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75">
      <c r="A75" s="29" t="str">
        <f>IF(Players!A74="","",Players!A74)</f>
        <v/>
      </c>
      <c r="B75" s="29" t="str">
        <f t="array" ref="B75">IF($A75="", "", IFERROR(LET(x, XLOOKUP(B$2, Players!$A$1:$P$1, Players!$A74:$P74),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75" s="29" t="str">
        <f t="array" ref="C75">IF($A75="", "", IFERROR(LET(x, XLOOKUP(C$2, Players!$A$1:$P$1, Players!$A74:$P74),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75" s="29" t="str">
        <f t="array" ref="D75">IF($A75="", "", IFERROR(LET(x, XLOOKUP(D$2, Players!$A$1:$P$1, Players!$A74:$P74),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75" s="29" t="str">
        <f t="array" ref="E75">IF($A75="", "", IFERROR(LET(x, XLOOKUP(E$2, Players!$A$1:$P$1, Players!$A74:$P74),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75" s="29" t="str">
        <f t="array" ref="F75">IF($A75="", "", IFERROR(LET(x, XLOOKUP(F$2, Players!$A$1:$P$1, Players!$A74:$P74),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75" s="29" t="str">
        <f t="array" ref="G75">IF($A75="", "", IFERROR(LET(x, XLOOKUP(G$2, Players!$A$1:$P$1, Players!$A74:$P74),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75" s="29" t="str">
        <f t="array" ref="H75">IF($A75="", "", IFERROR(LET(x, XLOOKUP(H$2, Players!$A$1:$P$1, Players!$A74:$P74),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75" s="29" t="str">
        <f t="array" ref="I75">IF($A75="", "", IFERROR(LET(x, XLOOKUP(I$2, Players!$A$1:$P$1, Players!$A74:$P74),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75" s="29" t="str">
        <f t="array" ref="J75">IF($A75="", "", IFERROR(LET(x, XLOOKUP(J$2, Players!$A$1:$P$1, Players!$A74:$P74),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75" s="29" t="str">
        <f t="array" ref="K75">IF($A75="", "", IFERROR(LET(x, XLOOKUP(K$2, Players!$A$1:$P$1, Players!$A74:$P74),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75" s="29" t="str">
        <f t="array" ref="L75">IF($A75="", "", IFERROR(LET(x, XLOOKUP(L$2, Players!$A$1:$P$1, Players!$A74:$P74),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75" s="29" t="str">
        <f t="array" ref="M75">IF($A75="", "", IFERROR(LET(x, XLOOKUP(M$2, Players!$A$1:$P$1, Players!$A74:$P74),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75" s="29" t="str">
        <f t="array" ref="N75">IF($A75="", "", IFERROR(LET(x, XLOOKUP(N$2, Players!$A$1:$P$1, Players!$A74:$P74),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75" s="29" t="str">
        <f t="array" ref="O75">IF($A75="", "", IFERROR(LET(x, XLOOKUP(O$2, Players!$A$1:$P$1, Players!$A74:$P74),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75" s="29" t="str">
        <f t="array" ref="P75">IF($A75="", "", IFERROR(LET(x, XLOOKUP(P$2, Players!$A$1:$P$1, Players!$A74:$P74),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75" s="29" t="str">
        <f t="array" ref="Q75">IF($A75="", "", IFERROR(LET(x, XLOOKUP(Q$2, Players!$A$1:$P$1, Players!$A74:$P74),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75" s="29" t="str">
        <f t="array" ref="R75">IF($A75="", "", IFERROR(LET(x, XLOOKUP(R$2, Players!$A$1:$P$1, Players!$A74:$P74),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75" s="29" t="str">
        <f t="array" ref="S75">IF($A75="", "", IFERROR(LET(x, XLOOKUP(S$2, Players!$A$1:$P$1, Players!$A74:$P74),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75" s="29" t="str">
        <f t="array" ref="T75">IF($A75="", "", IFERROR(LET(x, XLOOKUP(T$2, Players!$A$1:$P$1, Players!$A74:$P74),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75" s="29" t="str">
        <f t="array" ref="U75">IF($A75="", "", IFERROR(LET(x, XLOOKUP(U$2, Players!$A$1:$P$1, Players!$A74:$P74),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75" s="29" t="str">
        <f t="array" ref="V75">IF($A75="", "", IFERROR(LET(x, XLOOKUP(V$2, Players!$A$1:$P$1, Players!$A74:$P74),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75" s="29" t="str">
        <f t="array" ref="W75">IF($A75="", "", IFERROR(LET(x, XLOOKUP(W$2, Players!$A$1:$P$1, Players!$A74:$P74),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76">
      <c r="A76" s="29" t="str">
        <f>IF(Players!A75="","",Players!A75)</f>
        <v/>
      </c>
      <c r="B76" s="29" t="str">
        <f t="array" ref="B76">IF($A76="", "", IFERROR(LET(x, XLOOKUP(B$2, Players!$A$1:$P$1, Players!$A75:$P75),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76" s="29" t="str">
        <f t="array" ref="C76">IF($A76="", "", IFERROR(LET(x, XLOOKUP(C$2, Players!$A$1:$P$1, Players!$A75:$P75),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76" s="29" t="str">
        <f t="array" ref="D76">IF($A76="", "", IFERROR(LET(x, XLOOKUP(D$2, Players!$A$1:$P$1, Players!$A75:$P75),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76" s="29" t="str">
        <f t="array" ref="E76">IF($A76="", "", IFERROR(LET(x, XLOOKUP(E$2, Players!$A$1:$P$1, Players!$A75:$P75),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76" s="29" t="str">
        <f t="array" ref="F76">IF($A76="", "", IFERROR(LET(x, XLOOKUP(F$2, Players!$A$1:$P$1, Players!$A75:$P75),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76" s="29" t="str">
        <f t="array" ref="G76">IF($A76="", "", IFERROR(LET(x, XLOOKUP(G$2, Players!$A$1:$P$1, Players!$A75:$P75),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76" s="29" t="str">
        <f t="array" ref="H76">IF($A76="", "", IFERROR(LET(x, XLOOKUP(H$2, Players!$A$1:$P$1, Players!$A75:$P75),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76" s="29" t="str">
        <f t="array" ref="I76">IF($A76="", "", IFERROR(LET(x, XLOOKUP(I$2, Players!$A$1:$P$1, Players!$A75:$P75),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76" s="29" t="str">
        <f t="array" ref="J76">IF($A76="", "", IFERROR(LET(x, XLOOKUP(J$2, Players!$A$1:$P$1, Players!$A75:$P75),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76" s="29" t="str">
        <f t="array" ref="K76">IF($A76="", "", IFERROR(LET(x, XLOOKUP(K$2, Players!$A$1:$P$1, Players!$A75:$P75),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76" s="29" t="str">
        <f t="array" ref="L76">IF($A76="", "", IFERROR(LET(x, XLOOKUP(L$2, Players!$A$1:$P$1, Players!$A75:$P75),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76" s="29" t="str">
        <f t="array" ref="M76">IF($A76="", "", IFERROR(LET(x, XLOOKUP(M$2, Players!$A$1:$P$1, Players!$A75:$P75),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76" s="29" t="str">
        <f t="array" ref="N76">IF($A76="", "", IFERROR(LET(x, XLOOKUP(N$2, Players!$A$1:$P$1, Players!$A75:$P75),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76" s="29" t="str">
        <f t="array" ref="O76">IF($A76="", "", IFERROR(LET(x, XLOOKUP(O$2, Players!$A$1:$P$1, Players!$A75:$P75),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76" s="29" t="str">
        <f t="array" ref="P76">IF($A76="", "", IFERROR(LET(x, XLOOKUP(P$2, Players!$A$1:$P$1, Players!$A75:$P75),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76" s="29" t="str">
        <f t="array" ref="Q76">IF($A76="", "", IFERROR(LET(x, XLOOKUP(Q$2, Players!$A$1:$P$1, Players!$A75:$P75),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76" s="29" t="str">
        <f t="array" ref="R76">IF($A76="", "", IFERROR(LET(x, XLOOKUP(R$2, Players!$A$1:$P$1, Players!$A75:$P75),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76" s="29" t="str">
        <f t="array" ref="S76">IF($A76="", "", IFERROR(LET(x, XLOOKUP(S$2, Players!$A$1:$P$1, Players!$A75:$P75),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76" s="29" t="str">
        <f t="array" ref="T76">IF($A76="", "", IFERROR(LET(x, XLOOKUP(T$2, Players!$A$1:$P$1, Players!$A75:$P75),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76" s="29" t="str">
        <f t="array" ref="U76">IF($A76="", "", IFERROR(LET(x, XLOOKUP(U$2, Players!$A$1:$P$1, Players!$A75:$P75),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76" s="29" t="str">
        <f t="array" ref="V76">IF($A76="", "", IFERROR(LET(x, XLOOKUP(V$2, Players!$A$1:$P$1, Players!$A75:$P75),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76" s="29" t="str">
        <f t="array" ref="W76">IF($A76="", "", IFERROR(LET(x, XLOOKUP(W$2, Players!$A$1:$P$1, Players!$A75:$P75),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77">
      <c r="A77" s="29" t="str">
        <f>IF(Players!A76="","",Players!A76)</f>
        <v/>
      </c>
      <c r="B77" s="29" t="str">
        <f t="array" ref="B77">IF($A77="", "", IFERROR(LET(x, XLOOKUP(B$2, Players!$A$1:$P$1, Players!$A76:$P76),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77" s="29" t="str">
        <f t="array" ref="C77">IF($A77="", "", IFERROR(LET(x, XLOOKUP(C$2, Players!$A$1:$P$1, Players!$A76:$P76),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77" s="29" t="str">
        <f t="array" ref="D77">IF($A77="", "", IFERROR(LET(x, XLOOKUP(D$2, Players!$A$1:$P$1, Players!$A76:$P76),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77" s="29" t="str">
        <f t="array" ref="E77">IF($A77="", "", IFERROR(LET(x, XLOOKUP(E$2, Players!$A$1:$P$1, Players!$A76:$P76),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77" s="29" t="str">
        <f t="array" ref="F77">IF($A77="", "", IFERROR(LET(x, XLOOKUP(F$2, Players!$A$1:$P$1, Players!$A76:$P76),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77" s="29" t="str">
        <f t="array" ref="G77">IF($A77="", "", IFERROR(LET(x, XLOOKUP(G$2, Players!$A$1:$P$1, Players!$A76:$P76),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77" s="29" t="str">
        <f t="array" ref="H77">IF($A77="", "", IFERROR(LET(x, XLOOKUP(H$2, Players!$A$1:$P$1, Players!$A76:$P76),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77" s="29" t="str">
        <f t="array" ref="I77">IF($A77="", "", IFERROR(LET(x, XLOOKUP(I$2, Players!$A$1:$P$1, Players!$A76:$P76),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77" s="29" t="str">
        <f t="array" ref="J77">IF($A77="", "", IFERROR(LET(x, XLOOKUP(J$2, Players!$A$1:$P$1, Players!$A76:$P76),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77" s="29" t="str">
        <f t="array" ref="K77">IF($A77="", "", IFERROR(LET(x, XLOOKUP(K$2, Players!$A$1:$P$1, Players!$A76:$P76),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77" s="29" t="str">
        <f t="array" ref="L77">IF($A77="", "", IFERROR(LET(x, XLOOKUP(L$2, Players!$A$1:$P$1, Players!$A76:$P76),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77" s="29" t="str">
        <f t="array" ref="M77">IF($A77="", "", IFERROR(LET(x, XLOOKUP(M$2, Players!$A$1:$P$1, Players!$A76:$P76),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77" s="29" t="str">
        <f t="array" ref="N77">IF($A77="", "", IFERROR(LET(x, XLOOKUP(N$2, Players!$A$1:$P$1, Players!$A76:$P76),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77" s="29" t="str">
        <f t="array" ref="O77">IF($A77="", "", IFERROR(LET(x, XLOOKUP(O$2, Players!$A$1:$P$1, Players!$A76:$P76),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77" s="29" t="str">
        <f t="array" ref="P77">IF($A77="", "", IFERROR(LET(x, XLOOKUP(P$2, Players!$A$1:$P$1, Players!$A76:$P76),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77" s="29" t="str">
        <f t="array" ref="Q77">IF($A77="", "", IFERROR(LET(x, XLOOKUP(Q$2, Players!$A$1:$P$1, Players!$A76:$P76),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77" s="29" t="str">
        <f t="array" ref="R77">IF($A77="", "", IFERROR(LET(x, XLOOKUP(R$2, Players!$A$1:$P$1, Players!$A76:$P76),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77" s="29" t="str">
        <f t="array" ref="S77">IF($A77="", "", IFERROR(LET(x, XLOOKUP(S$2, Players!$A$1:$P$1, Players!$A76:$P76),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77" s="29" t="str">
        <f t="array" ref="T77">IF($A77="", "", IFERROR(LET(x, XLOOKUP(T$2, Players!$A$1:$P$1, Players!$A76:$P76),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77" s="29" t="str">
        <f t="array" ref="U77">IF($A77="", "", IFERROR(LET(x, XLOOKUP(U$2, Players!$A$1:$P$1, Players!$A76:$P76),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77" s="29" t="str">
        <f t="array" ref="V77">IF($A77="", "", IFERROR(LET(x, XLOOKUP(V$2, Players!$A$1:$P$1, Players!$A76:$P76),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77" s="29" t="str">
        <f t="array" ref="W77">IF($A77="", "", IFERROR(LET(x, XLOOKUP(W$2, Players!$A$1:$P$1, Players!$A76:$P76),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78">
      <c r="A78" s="29" t="str">
        <f>IF(Players!A77="","",Players!A77)</f>
        <v/>
      </c>
      <c r="B78" s="29" t="str">
        <f t="array" ref="B78">IF($A78="", "", IFERROR(LET(x, XLOOKUP(B$2, Players!$A$1:$P$1, Players!$A77:$P77),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78" s="29" t="str">
        <f t="array" ref="C78">IF($A78="", "", IFERROR(LET(x, XLOOKUP(C$2, Players!$A$1:$P$1, Players!$A77:$P77),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78" s="29" t="str">
        <f t="array" ref="D78">IF($A78="", "", IFERROR(LET(x, XLOOKUP(D$2, Players!$A$1:$P$1, Players!$A77:$P77),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78" s="29" t="str">
        <f t="array" ref="E78">IF($A78="", "", IFERROR(LET(x, XLOOKUP(E$2, Players!$A$1:$P$1, Players!$A77:$P77),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78" s="29" t="str">
        <f t="array" ref="F78">IF($A78="", "", IFERROR(LET(x, XLOOKUP(F$2, Players!$A$1:$P$1, Players!$A77:$P77),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78" s="29" t="str">
        <f t="array" ref="G78">IF($A78="", "", IFERROR(LET(x, XLOOKUP(G$2, Players!$A$1:$P$1, Players!$A77:$P77),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78" s="29" t="str">
        <f t="array" ref="H78">IF($A78="", "", IFERROR(LET(x, XLOOKUP(H$2, Players!$A$1:$P$1, Players!$A77:$P77),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78" s="29" t="str">
        <f t="array" ref="I78">IF($A78="", "", IFERROR(LET(x, XLOOKUP(I$2, Players!$A$1:$P$1, Players!$A77:$P77),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78" s="29" t="str">
        <f t="array" ref="J78">IF($A78="", "", IFERROR(LET(x, XLOOKUP(J$2, Players!$A$1:$P$1, Players!$A77:$P77),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78" s="29" t="str">
        <f t="array" ref="K78">IF($A78="", "", IFERROR(LET(x, XLOOKUP(K$2, Players!$A$1:$P$1, Players!$A77:$P77),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78" s="29" t="str">
        <f t="array" ref="L78">IF($A78="", "", IFERROR(LET(x, XLOOKUP(L$2, Players!$A$1:$P$1, Players!$A77:$P77),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78" s="29" t="str">
        <f t="array" ref="M78">IF($A78="", "", IFERROR(LET(x, XLOOKUP(M$2, Players!$A$1:$P$1, Players!$A77:$P77),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78" s="29" t="str">
        <f t="array" ref="N78">IF($A78="", "", IFERROR(LET(x, XLOOKUP(N$2, Players!$A$1:$P$1, Players!$A77:$P77),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78" s="29" t="str">
        <f t="array" ref="O78">IF($A78="", "", IFERROR(LET(x, XLOOKUP(O$2, Players!$A$1:$P$1, Players!$A77:$P77),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78" s="29" t="str">
        <f t="array" ref="P78">IF($A78="", "", IFERROR(LET(x, XLOOKUP(P$2, Players!$A$1:$P$1, Players!$A77:$P77),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78" s="29" t="str">
        <f t="array" ref="Q78">IF($A78="", "", IFERROR(LET(x, XLOOKUP(Q$2, Players!$A$1:$P$1, Players!$A77:$P77),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78" s="29" t="str">
        <f t="array" ref="R78">IF($A78="", "", IFERROR(LET(x, XLOOKUP(R$2, Players!$A$1:$P$1, Players!$A77:$P77),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78" s="29" t="str">
        <f t="array" ref="S78">IF($A78="", "", IFERROR(LET(x, XLOOKUP(S$2, Players!$A$1:$P$1, Players!$A77:$P77),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78" s="29" t="str">
        <f t="array" ref="T78">IF($A78="", "", IFERROR(LET(x, XLOOKUP(T$2, Players!$A$1:$P$1, Players!$A77:$P77),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78" s="29" t="str">
        <f t="array" ref="U78">IF($A78="", "", IFERROR(LET(x, XLOOKUP(U$2, Players!$A$1:$P$1, Players!$A77:$P77),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78" s="29" t="str">
        <f t="array" ref="V78">IF($A78="", "", IFERROR(LET(x, XLOOKUP(V$2, Players!$A$1:$P$1, Players!$A77:$P77),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78" s="29" t="str">
        <f t="array" ref="W78">IF($A78="", "", IFERROR(LET(x, XLOOKUP(W$2, Players!$A$1:$P$1, Players!$A77:$P77),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79">
      <c r="A79" s="29" t="str">
        <f>IF(Players!A78="","",Players!A78)</f>
        <v/>
      </c>
      <c r="B79" s="29" t="str">
        <f t="array" ref="B79">IF($A79="", "", IFERROR(LET(x, XLOOKUP(B$2, Players!$A$1:$P$1, Players!$A78:$P78),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79" s="29" t="str">
        <f t="array" ref="C79">IF($A79="", "", IFERROR(LET(x, XLOOKUP(C$2, Players!$A$1:$P$1, Players!$A78:$P78),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79" s="29" t="str">
        <f t="array" ref="D79">IF($A79="", "", IFERROR(LET(x, XLOOKUP(D$2, Players!$A$1:$P$1, Players!$A78:$P78),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79" s="29" t="str">
        <f t="array" ref="E79">IF($A79="", "", IFERROR(LET(x, XLOOKUP(E$2, Players!$A$1:$P$1, Players!$A78:$P78),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79" s="29" t="str">
        <f t="array" ref="F79">IF($A79="", "", IFERROR(LET(x, XLOOKUP(F$2, Players!$A$1:$P$1, Players!$A78:$P78),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79" s="29" t="str">
        <f t="array" ref="G79">IF($A79="", "", IFERROR(LET(x, XLOOKUP(G$2, Players!$A$1:$P$1, Players!$A78:$P78),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79" s="29" t="str">
        <f t="array" ref="H79">IF($A79="", "", IFERROR(LET(x, XLOOKUP(H$2, Players!$A$1:$P$1, Players!$A78:$P78),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79" s="29" t="str">
        <f t="array" ref="I79">IF($A79="", "", IFERROR(LET(x, XLOOKUP(I$2, Players!$A$1:$P$1, Players!$A78:$P78),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79" s="29" t="str">
        <f t="array" ref="J79">IF($A79="", "", IFERROR(LET(x, XLOOKUP(J$2, Players!$A$1:$P$1, Players!$A78:$P78),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79" s="29" t="str">
        <f t="array" ref="K79">IF($A79="", "", IFERROR(LET(x, XLOOKUP(K$2, Players!$A$1:$P$1, Players!$A78:$P78),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79" s="29" t="str">
        <f t="array" ref="L79">IF($A79="", "", IFERROR(LET(x, XLOOKUP(L$2, Players!$A$1:$P$1, Players!$A78:$P78),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79" s="29" t="str">
        <f t="array" ref="M79">IF($A79="", "", IFERROR(LET(x, XLOOKUP(M$2, Players!$A$1:$P$1, Players!$A78:$P78),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79" s="29" t="str">
        <f t="array" ref="N79">IF($A79="", "", IFERROR(LET(x, XLOOKUP(N$2, Players!$A$1:$P$1, Players!$A78:$P78),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79" s="29" t="str">
        <f t="array" ref="O79">IF($A79="", "", IFERROR(LET(x, XLOOKUP(O$2, Players!$A$1:$P$1, Players!$A78:$P78),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79" s="29" t="str">
        <f t="array" ref="P79">IF($A79="", "", IFERROR(LET(x, XLOOKUP(P$2, Players!$A$1:$P$1, Players!$A78:$P78),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79" s="29" t="str">
        <f t="array" ref="Q79">IF($A79="", "", IFERROR(LET(x, XLOOKUP(Q$2, Players!$A$1:$P$1, Players!$A78:$P78),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79" s="29" t="str">
        <f t="array" ref="R79">IF($A79="", "", IFERROR(LET(x, XLOOKUP(R$2, Players!$A$1:$P$1, Players!$A78:$P78),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79" s="29" t="str">
        <f t="array" ref="S79">IF($A79="", "", IFERROR(LET(x, XLOOKUP(S$2, Players!$A$1:$P$1, Players!$A78:$P78),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79" s="29" t="str">
        <f t="array" ref="T79">IF($A79="", "", IFERROR(LET(x, XLOOKUP(T$2, Players!$A$1:$P$1, Players!$A78:$P78),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79" s="29" t="str">
        <f t="array" ref="U79">IF($A79="", "", IFERROR(LET(x, XLOOKUP(U$2, Players!$A$1:$P$1, Players!$A78:$P78),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79" s="29" t="str">
        <f t="array" ref="V79">IF($A79="", "", IFERROR(LET(x, XLOOKUP(V$2, Players!$A$1:$P$1, Players!$A78:$P78),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79" s="29" t="str">
        <f t="array" ref="W79">IF($A79="", "", IFERROR(LET(x, XLOOKUP(W$2, Players!$A$1:$P$1, Players!$A78:$P78),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80">
      <c r="A80" s="29" t="str">
        <f>IF(Players!A79="","",Players!A79)</f>
        <v/>
      </c>
      <c r="B80" s="29" t="str">
        <f t="array" ref="B80">IF($A80="", "", IFERROR(LET(x, XLOOKUP(B$2, Players!$A$1:$P$1, Players!$A79:$P79),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80" s="29" t="str">
        <f t="array" ref="C80">IF($A80="", "", IFERROR(LET(x, XLOOKUP(C$2, Players!$A$1:$P$1, Players!$A79:$P79),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80" s="29" t="str">
        <f t="array" ref="D80">IF($A80="", "", IFERROR(LET(x, XLOOKUP(D$2, Players!$A$1:$P$1, Players!$A79:$P79),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80" s="29" t="str">
        <f t="array" ref="E80">IF($A80="", "", IFERROR(LET(x, XLOOKUP(E$2, Players!$A$1:$P$1, Players!$A79:$P79),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80" s="29" t="str">
        <f t="array" ref="F80">IF($A80="", "", IFERROR(LET(x, XLOOKUP(F$2, Players!$A$1:$P$1, Players!$A79:$P79),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80" s="29" t="str">
        <f t="array" ref="G80">IF($A80="", "", IFERROR(LET(x, XLOOKUP(G$2, Players!$A$1:$P$1, Players!$A79:$P79),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80" s="29" t="str">
        <f t="array" ref="H80">IF($A80="", "", IFERROR(LET(x, XLOOKUP(H$2, Players!$A$1:$P$1, Players!$A79:$P79),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80" s="29" t="str">
        <f t="array" ref="I80">IF($A80="", "", IFERROR(LET(x, XLOOKUP(I$2, Players!$A$1:$P$1, Players!$A79:$P79),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80" s="29" t="str">
        <f t="array" ref="J80">IF($A80="", "", IFERROR(LET(x, XLOOKUP(J$2, Players!$A$1:$P$1, Players!$A79:$P79),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80" s="29" t="str">
        <f t="array" ref="K80">IF($A80="", "", IFERROR(LET(x, XLOOKUP(K$2, Players!$A$1:$P$1, Players!$A79:$P79),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80" s="29" t="str">
        <f t="array" ref="L80">IF($A80="", "", IFERROR(LET(x, XLOOKUP(L$2, Players!$A$1:$P$1, Players!$A79:$P79),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80" s="29" t="str">
        <f t="array" ref="M80">IF($A80="", "", IFERROR(LET(x, XLOOKUP(M$2, Players!$A$1:$P$1, Players!$A79:$P79),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80" s="29" t="str">
        <f t="array" ref="N80">IF($A80="", "", IFERROR(LET(x, XLOOKUP(N$2, Players!$A$1:$P$1, Players!$A79:$P79),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80" s="29" t="str">
        <f t="array" ref="O80">IF($A80="", "", IFERROR(LET(x, XLOOKUP(O$2, Players!$A$1:$P$1, Players!$A79:$P79),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80" s="29" t="str">
        <f t="array" ref="P80">IF($A80="", "", IFERROR(LET(x, XLOOKUP(P$2, Players!$A$1:$P$1, Players!$A79:$P79),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80" s="29" t="str">
        <f t="array" ref="Q80">IF($A80="", "", IFERROR(LET(x, XLOOKUP(Q$2, Players!$A$1:$P$1, Players!$A79:$P79),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80" s="29" t="str">
        <f t="array" ref="R80">IF($A80="", "", IFERROR(LET(x, XLOOKUP(R$2, Players!$A$1:$P$1, Players!$A79:$P79),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80" s="29" t="str">
        <f t="array" ref="S80">IF($A80="", "", IFERROR(LET(x, XLOOKUP(S$2, Players!$A$1:$P$1, Players!$A79:$P79),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80" s="29" t="str">
        <f t="array" ref="T80">IF($A80="", "", IFERROR(LET(x, XLOOKUP(T$2, Players!$A$1:$P$1, Players!$A79:$P79),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80" s="29" t="str">
        <f t="array" ref="U80">IF($A80="", "", IFERROR(LET(x, XLOOKUP(U$2, Players!$A$1:$P$1, Players!$A79:$P79),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80" s="29" t="str">
        <f t="array" ref="V80">IF($A80="", "", IFERROR(LET(x, XLOOKUP(V$2, Players!$A$1:$P$1, Players!$A79:$P79),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80" s="29" t="str">
        <f t="array" ref="W80">IF($A80="", "", IFERROR(LET(x, XLOOKUP(W$2, Players!$A$1:$P$1, Players!$A79:$P79),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81">
      <c r="A81" s="29" t="str">
        <f>IF(Players!A80="","",Players!A80)</f>
        <v/>
      </c>
      <c r="B81" s="29" t="str">
        <f t="array" ref="B81">IF($A81="", "", IFERROR(LET(x, XLOOKUP(B$2, Players!$A$1:$P$1, Players!$A80:$P80),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81" s="29" t="str">
        <f t="array" ref="C81">IF($A81="", "", IFERROR(LET(x, XLOOKUP(C$2, Players!$A$1:$P$1, Players!$A80:$P80),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81" s="29" t="str">
        <f t="array" ref="D81">IF($A81="", "", IFERROR(LET(x, XLOOKUP(D$2, Players!$A$1:$P$1, Players!$A80:$P80),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81" s="29" t="str">
        <f t="array" ref="E81">IF($A81="", "", IFERROR(LET(x, XLOOKUP(E$2, Players!$A$1:$P$1, Players!$A80:$P80),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81" s="29" t="str">
        <f t="array" ref="F81">IF($A81="", "", IFERROR(LET(x, XLOOKUP(F$2, Players!$A$1:$P$1, Players!$A80:$P80),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81" s="29" t="str">
        <f t="array" ref="G81">IF($A81="", "", IFERROR(LET(x, XLOOKUP(G$2, Players!$A$1:$P$1, Players!$A80:$P80),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81" s="29" t="str">
        <f t="array" ref="H81">IF($A81="", "", IFERROR(LET(x, XLOOKUP(H$2, Players!$A$1:$P$1, Players!$A80:$P80),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81" s="29" t="str">
        <f t="array" ref="I81">IF($A81="", "", IFERROR(LET(x, XLOOKUP(I$2, Players!$A$1:$P$1, Players!$A80:$P80),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81" s="29" t="str">
        <f t="array" ref="J81">IF($A81="", "", IFERROR(LET(x, XLOOKUP(J$2, Players!$A$1:$P$1, Players!$A80:$P80),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81" s="29" t="str">
        <f t="array" ref="K81">IF($A81="", "", IFERROR(LET(x, XLOOKUP(K$2, Players!$A$1:$P$1, Players!$A80:$P80),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81" s="29" t="str">
        <f t="array" ref="L81">IF($A81="", "", IFERROR(LET(x, XLOOKUP(L$2, Players!$A$1:$P$1, Players!$A80:$P80),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81" s="29" t="str">
        <f t="array" ref="M81">IF($A81="", "", IFERROR(LET(x, XLOOKUP(M$2, Players!$A$1:$P$1, Players!$A80:$P80),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81" s="29" t="str">
        <f t="array" ref="N81">IF($A81="", "", IFERROR(LET(x, XLOOKUP(N$2, Players!$A$1:$P$1, Players!$A80:$P80),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81" s="29" t="str">
        <f t="array" ref="O81">IF($A81="", "", IFERROR(LET(x, XLOOKUP(O$2, Players!$A$1:$P$1, Players!$A80:$P80),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81" s="29" t="str">
        <f t="array" ref="P81">IF($A81="", "", IFERROR(LET(x, XLOOKUP(P$2, Players!$A$1:$P$1, Players!$A80:$P80),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81" s="29" t="str">
        <f t="array" ref="Q81">IF($A81="", "", IFERROR(LET(x, XLOOKUP(Q$2, Players!$A$1:$P$1, Players!$A80:$P80),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81" s="29" t="str">
        <f t="array" ref="R81">IF($A81="", "", IFERROR(LET(x, XLOOKUP(R$2, Players!$A$1:$P$1, Players!$A80:$P80),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81" s="29" t="str">
        <f t="array" ref="S81">IF($A81="", "", IFERROR(LET(x, XLOOKUP(S$2, Players!$A$1:$P$1, Players!$A80:$P80),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81" s="29" t="str">
        <f t="array" ref="T81">IF($A81="", "", IFERROR(LET(x, XLOOKUP(T$2, Players!$A$1:$P$1, Players!$A80:$P80),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81" s="29" t="str">
        <f t="array" ref="U81">IF($A81="", "", IFERROR(LET(x, XLOOKUP(U$2, Players!$A$1:$P$1, Players!$A80:$P80),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81" s="29" t="str">
        <f t="array" ref="V81">IF($A81="", "", IFERROR(LET(x, XLOOKUP(V$2, Players!$A$1:$P$1, Players!$A80:$P80),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81" s="29" t="str">
        <f t="array" ref="W81">IF($A81="", "", IFERROR(LET(x, XLOOKUP(W$2, Players!$A$1:$P$1, Players!$A80:$P80),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82">
      <c r="A82" s="29" t="str">
        <f>IF(Players!A81="","",Players!A81)</f>
        <v/>
      </c>
      <c r="B82" s="29" t="str">
        <f t="array" ref="B82">IF($A82="", "", IFERROR(LET(x, XLOOKUP(B$2, Players!$A$1:$P$1, Players!$A81:$P81),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82" s="29" t="str">
        <f t="array" ref="C82">IF($A82="", "", IFERROR(LET(x, XLOOKUP(C$2, Players!$A$1:$P$1, Players!$A81:$P81),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82" s="29" t="str">
        <f t="array" ref="D82">IF($A82="", "", IFERROR(LET(x, XLOOKUP(D$2, Players!$A$1:$P$1, Players!$A81:$P81),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82" s="29" t="str">
        <f t="array" ref="E82">IF($A82="", "", IFERROR(LET(x, XLOOKUP(E$2, Players!$A$1:$P$1, Players!$A81:$P81),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82" s="29" t="str">
        <f t="array" ref="F82">IF($A82="", "", IFERROR(LET(x, XLOOKUP(F$2, Players!$A$1:$P$1, Players!$A81:$P81),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82" s="29" t="str">
        <f t="array" ref="G82">IF($A82="", "", IFERROR(LET(x, XLOOKUP(G$2, Players!$A$1:$P$1, Players!$A81:$P81),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82" s="29" t="str">
        <f t="array" ref="H82">IF($A82="", "", IFERROR(LET(x, XLOOKUP(H$2, Players!$A$1:$P$1, Players!$A81:$P81),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82" s="29" t="str">
        <f t="array" ref="I82">IF($A82="", "", IFERROR(LET(x, XLOOKUP(I$2, Players!$A$1:$P$1, Players!$A81:$P81),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82" s="29" t="str">
        <f t="array" ref="J82">IF($A82="", "", IFERROR(LET(x, XLOOKUP(J$2, Players!$A$1:$P$1, Players!$A81:$P81),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82" s="29" t="str">
        <f t="array" ref="K82">IF($A82="", "", IFERROR(LET(x, XLOOKUP(K$2, Players!$A$1:$P$1, Players!$A81:$P81),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82" s="29" t="str">
        <f t="array" ref="L82">IF($A82="", "", IFERROR(LET(x, XLOOKUP(L$2, Players!$A$1:$P$1, Players!$A81:$P81),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82" s="29" t="str">
        <f t="array" ref="M82">IF($A82="", "", IFERROR(LET(x, XLOOKUP(M$2, Players!$A$1:$P$1, Players!$A81:$P81),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82" s="29" t="str">
        <f t="array" ref="N82">IF($A82="", "", IFERROR(LET(x, XLOOKUP(N$2, Players!$A$1:$P$1, Players!$A81:$P81),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82" s="29" t="str">
        <f t="array" ref="O82">IF($A82="", "", IFERROR(LET(x, XLOOKUP(O$2, Players!$A$1:$P$1, Players!$A81:$P81),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82" s="29" t="str">
        <f t="array" ref="P82">IF($A82="", "", IFERROR(LET(x, XLOOKUP(P$2, Players!$A$1:$P$1, Players!$A81:$P81),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82" s="29" t="str">
        <f t="array" ref="Q82">IF($A82="", "", IFERROR(LET(x, XLOOKUP(Q$2, Players!$A$1:$P$1, Players!$A81:$P81),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82" s="29" t="str">
        <f t="array" ref="R82">IF($A82="", "", IFERROR(LET(x, XLOOKUP(R$2, Players!$A$1:$P$1, Players!$A81:$P81),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82" s="29" t="str">
        <f t="array" ref="S82">IF($A82="", "", IFERROR(LET(x, XLOOKUP(S$2, Players!$A$1:$P$1, Players!$A81:$P81),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82" s="29" t="str">
        <f t="array" ref="T82">IF($A82="", "", IFERROR(LET(x, XLOOKUP(T$2, Players!$A$1:$P$1, Players!$A81:$P81),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82" s="29" t="str">
        <f t="array" ref="U82">IF($A82="", "", IFERROR(LET(x, XLOOKUP(U$2, Players!$A$1:$P$1, Players!$A81:$P81),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82" s="29" t="str">
        <f t="array" ref="V82">IF($A82="", "", IFERROR(LET(x, XLOOKUP(V$2, Players!$A$1:$P$1, Players!$A81:$P81),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82" s="29" t="str">
        <f t="array" ref="W82">IF($A82="", "", IFERROR(LET(x, XLOOKUP(W$2, Players!$A$1:$P$1, Players!$A81:$P81),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83">
      <c r="A83" s="29" t="str">
        <f>IF(Players!A82="","",Players!A82)</f>
        <v/>
      </c>
      <c r="B83" s="29" t="str">
        <f t="array" ref="B83">IF($A83="", "", IFERROR(LET(x, XLOOKUP(B$2, Players!$A$1:$P$1, Players!$A82:$P82),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83" s="29" t="str">
        <f t="array" ref="C83">IF($A83="", "", IFERROR(LET(x, XLOOKUP(C$2, Players!$A$1:$P$1, Players!$A82:$P82),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83" s="29" t="str">
        <f t="array" ref="D83">IF($A83="", "", IFERROR(LET(x, XLOOKUP(D$2, Players!$A$1:$P$1, Players!$A82:$P82),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83" s="29" t="str">
        <f t="array" ref="E83">IF($A83="", "", IFERROR(LET(x, XLOOKUP(E$2, Players!$A$1:$P$1, Players!$A82:$P82),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83" s="29" t="str">
        <f t="array" ref="F83">IF($A83="", "", IFERROR(LET(x, XLOOKUP(F$2, Players!$A$1:$P$1, Players!$A82:$P82),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83" s="29" t="str">
        <f t="array" ref="G83">IF($A83="", "", IFERROR(LET(x, XLOOKUP(G$2, Players!$A$1:$P$1, Players!$A82:$P82),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83" s="29" t="str">
        <f t="array" ref="H83">IF($A83="", "", IFERROR(LET(x, XLOOKUP(H$2, Players!$A$1:$P$1, Players!$A82:$P82),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83" s="29" t="str">
        <f t="array" ref="I83">IF($A83="", "", IFERROR(LET(x, XLOOKUP(I$2, Players!$A$1:$P$1, Players!$A82:$P82),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83" s="29" t="str">
        <f t="array" ref="J83">IF($A83="", "", IFERROR(LET(x, XLOOKUP(J$2, Players!$A$1:$P$1, Players!$A82:$P82),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83" s="29" t="str">
        <f t="array" ref="K83">IF($A83="", "", IFERROR(LET(x, XLOOKUP(K$2, Players!$A$1:$P$1, Players!$A82:$P82),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83" s="29" t="str">
        <f t="array" ref="L83">IF($A83="", "", IFERROR(LET(x, XLOOKUP(L$2, Players!$A$1:$P$1, Players!$A82:$P82),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83" s="29" t="str">
        <f t="array" ref="M83">IF($A83="", "", IFERROR(LET(x, XLOOKUP(M$2, Players!$A$1:$P$1, Players!$A82:$P82),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83" s="29" t="str">
        <f t="array" ref="N83">IF($A83="", "", IFERROR(LET(x, XLOOKUP(N$2, Players!$A$1:$P$1, Players!$A82:$P82),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83" s="29" t="str">
        <f t="array" ref="O83">IF($A83="", "", IFERROR(LET(x, XLOOKUP(O$2, Players!$A$1:$P$1, Players!$A82:$P82),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83" s="29" t="str">
        <f t="array" ref="P83">IF($A83="", "", IFERROR(LET(x, XLOOKUP(P$2, Players!$A$1:$P$1, Players!$A82:$P82),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83" s="29" t="str">
        <f t="array" ref="Q83">IF($A83="", "", IFERROR(LET(x, XLOOKUP(Q$2, Players!$A$1:$P$1, Players!$A82:$P82),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83" s="29" t="str">
        <f t="array" ref="R83">IF($A83="", "", IFERROR(LET(x, XLOOKUP(R$2, Players!$A$1:$P$1, Players!$A82:$P82),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83" s="29" t="str">
        <f t="array" ref="S83">IF($A83="", "", IFERROR(LET(x, XLOOKUP(S$2, Players!$A$1:$P$1, Players!$A82:$P82),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83" s="29" t="str">
        <f t="array" ref="T83">IF($A83="", "", IFERROR(LET(x, XLOOKUP(T$2, Players!$A$1:$P$1, Players!$A82:$P82),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83" s="29" t="str">
        <f t="array" ref="U83">IF($A83="", "", IFERROR(LET(x, XLOOKUP(U$2, Players!$A$1:$P$1, Players!$A82:$P82),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83" s="29" t="str">
        <f t="array" ref="V83">IF($A83="", "", IFERROR(LET(x, XLOOKUP(V$2, Players!$A$1:$P$1, Players!$A82:$P82),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83" s="29" t="str">
        <f t="array" ref="W83">IF($A83="", "", IFERROR(LET(x, XLOOKUP(W$2, Players!$A$1:$P$1, Players!$A82:$P82),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84">
      <c r="A84" s="29" t="str">
        <f>IF(Players!A83="","",Players!A83)</f>
        <v/>
      </c>
      <c r="B84" s="29" t="str">
        <f t="array" ref="B84">IF($A84="", "", IFERROR(LET(x, XLOOKUP(B$2, Players!$A$1:$P$1, Players!$A83:$P83),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84" s="29" t="str">
        <f t="array" ref="C84">IF($A84="", "", IFERROR(LET(x, XLOOKUP(C$2, Players!$A$1:$P$1, Players!$A83:$P83),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84" s="29" t="str">
        <f t="array" ref="D84">IF($A84="", "", IFERROR(LET(x, XLOOKUP(D$2, Players!$A$1:$P$1, Players!$A83:$P83),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84" s="29" t="str">
        <f t="array" ref="E84">IF($A84="", "", IFERROR(LET(x, XLOOKUP(E$2, Players!$A$1:$P$1, Players!$A83:$P83),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84" s="29" t="str">
        <f t="array" ref="F84">IF($A84="", "", IFERROR(LET(x, XLOOKUP(F$2, Players!$A$1:$P$1, Players!$A83:$P83),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84" s="29" t="str">
        <f t="array" ref="G84">IF($A84="", "", IFERROR(LET(x, XLOOKUP(G$2, Players!$A$1:$P$1, Players!$A83:$P83),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84" s="29" t="str">
        <f t="array" ref="H84">IF($A84="", "", IFERROR(LET(x, XLOOKUP(H$2, Players!$A$1:$P$1, Players!$A83:$P83),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84" s="29" t="str">
        <f t="array" ref="I84">IF($A84="", "", IFERROR(LET(x, XLOOKUP(I$2, Players!$A$1:$P$1, Players!$A83:$P83),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84" s="29" t="str">
        <f t="array" ref="J84">IF($A84="", "", IFERROR(LET(x, XLOOKUP(J$2, Players!$A$1:$P$1, Players!$A83:$P83),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84" s="29" t="str">
        <f t="array" ref="K84">IF($A84="", "", IFERROR(LET(x, XLOOKUP(K$2, Players!$A$1:$P$1, Players!$A83:$P83),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84" s="29" t="str">
        <f t="array" ref="L84">IF($A84="", "", IFERROR(LET(x, XLOOKUP(L$2, Players!$A$1:$P$1, Players!$A83:$P83),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84" s="29" t="str">
        <f t="array" ref="M84">IF($A84="", "", IFERROR(LET(x, XLOOKUP(M$2, Players!$A$1:$P$1, Players!$A83:$P83),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84" s="29" t="str">
        <f t="array" ref="N84">IF($A84="", "", IFERROR(LET(x, XLOOKUP(N$2, Players!$A$1:$P$1, Players!$A83:$P83),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84" s="29" t="str">
        <f t="array" ref="O84">IF($A84="", "", IFERROR(LET(x, XLOOKUP(O$2, Players!$A$1:$P$1, Players!$A83:$P83),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84" s="29" t="str">
        <f t="array" ref="P84">IF($A84="", "", IFERROR(LET(x, XLOOKUP(P$2, Players!$A$1:$P$1, Players!$A83:$P83),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84" s="29" t="str">
        <f t="array" ref="Q84">IF($A84="", "", IFERROR(LET(x, XLOOKUP(Q$2, Players!$A$1:$P$1, Players!$A83:$P83),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84" s="29" t="str">
        <f t="array" ref="R84">IF($A84="", "", IFERROR(LET(x, XLOOKUP(R$2, Players!$A$1:$P$1, Players!$A83:$P83),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84" s="29" t="str">
        <f t="array" ref="S84">IF($A84="", "", IFERROR(LET(x, XLOOKUP(S$2, Players!$A$1:$P$1, Players!$A83:$P83),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84" s="29" t="str">
        <f t="array" ref="T84">IF($A84="", "", IFERROR(LET(x, XLOOKUP(T$2, Players!$A$1:$P$1, Players!$A83:$P83),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84" s="29" t="str">
        <f t="array" ref="U84">IF($A84="", "", IFERROR(LET(x, XLOOKUP(U$2, Players!$A$1:$P$1, Players!$A83:$P83),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84" s="29" t="str">
        <f t="array" ref="V84">IF($A84="", "", IFERROR(LET(x, XLOOKUP(V$2, Players!$A$1:$P$1, Players!$A83:$P83),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84" s="29" t="str">
        <f t="array" ref="W84">IF($A84="", "", IFERROR(LET(x, XLOOKUP(W$2, Players!$A$1:$P$1, Players!$A83:$P83),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85">
      <c r="A85" s="29" t="str">
        <f>IF(Players!A84="","",Players!A84)</f>
        <v/>
      </c>
      <c r="B85" s="29" t="str">
        <f t="array" ref="B85">IF($A85="", "", IFERROR(LET(x, XLOOKUP(B$2, Players!$A$1:$P$1, Players!$A84:$P84),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85" s="29" t="str">
        <f t="array" ref="C85">IF($A85="", "", IFERROR(LET(x, XLOOKUP(C$2, Players!$A$1:$P$1, Players!$A84:$P84),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85" s="29" t="str">
        <f t="array" ref="D85">IF($A85="", "", IFERROR(LET(x, XLOOKUP(D$2, Players!$A$1:$P$1, Players!$A84:$P84),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85" s="29" t="str">
        <f t="array" ref="E85">IF($A85="", "", IFERROR(LET(x, XLOOKUP(E$2, Players!$A$1:$P$1, Players!$A84:$P84),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85" s="29" t="str">
        <f t="array" ref="F85">IF($A85="", "", IFERROR(LET(x, XLOOKUP(F$2, Players!$A$1:$P$1, Players!$A84:$P84),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85" s="29" t="str">
        <f t="array" ref="G85">IF($A85="", "", IFERROR(LET(x, XLOOKUP(G$2, Players!$A$1:$P$1, Players!$A84:$P84),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85" s="29" t="str">
        <f t="array" ref="H85">IF($A85="", "", IFERROR(LET(x, XLOOKUP(H$2, Players!$A$1:$P$1, Players!$A84:$P84),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85" s="29" t="str">
        <f t="array" ref="I85">IF($A85="", "", IFERROR(LET(x, XLOOKUP(I$2, Players!$A$1:$P$1, Players!$A84:$P84),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85" s="29" t="str">
        <f t="array" ref="J85">IF($A85="", "", IFERROR(LET(x, XLOOKUP(J$2, Players!$A$1:$P$1, Players!$A84:$P84),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85" s="29" t="str">
        <f t="array" ref="K85">IF($A85="", "", IFERROR(LET(x, XLOOKUP(K$2, Players!$A$1:$P$1, Players!$A84:$P84),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85" s="29" t="str">
        <f t="array" ref="L85">IF($A85="", "", IFERROR(LET(x, XLOOKUP(L$2, Players!$A$1:$P$1, Players!$A84:$P84),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85" s="29" t="str">
        <f t="array" ref="M85">IF($A85="", "", IFERROR(LET(x, XLOOKUP(M$2, Players!$A$1:$P$1, Players!$A84:$P84),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85" s="29" t="str">
        <f t="array" ref="N85">IF($A85="", "", IFERROR(LET(x, XLOOKUP(N$2, Players!$A$1:$P$1, Players!$A84:$P84),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85" s="29" t="str">
        <f t="array" ref="O85">IF($A85="", "", IFERROR(LET(x, XLOOKUP(O$2, Players!$A$1:$P$1, Players!$A84:$P84),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85" s="29" t="str">
        <f t="array" ref="P85">IF($A85="", "", IFERROR(LET(x, XLOOKUP(P$2, Players!$A$1:$P$1, Players!$A84:$P84),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85" s="29" t="str">
        <f t="array" ref="Q85">IF($A85="", "", IFERROR(LET(x, XLOOKUP(Q$2, Players!$A$1:$P$1, Players!$A84:$P84),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85" s="29" t="str">
        <f t="array" ref="R85">IF($A85="", "", IFERROR(LET(x, XLOOKUP(R$2, Players!$A$1:$P$1, Players!$A84:$P84),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85" s="29" t="str">
        <f t="array" ref="S85">IF($A85="", "", IFERROR(LET(x, XLOOKUP(S$2, Players!$A$1:$P$1, Players!$A84:$P84),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85" s="29" t="str">
        <f t="array" ref="T85">IF($A85="", "", IFERROR(LET(x, XLOOKUP(T$2, Players!$A$1:$P$1, Players!$A84:$P84),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85" s="29" t="str">
        <f t="array" ref="U85">IF($A85="", "", IFERROR(LET(x, XLOOKUP(U$2, Players!$A$1:$P$1, Players!$A84:$P84),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85" s="29" t="str">
        <f t="array" ref="V85">IF($A85="", "", IFERROR(LET(x, XLOOKUP(V$2, Players!$A$1:$P$1, Players!$A84:$P84),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85" s="29" t="str">
        <f t="array" ref="W85">IF($A85="", "", IFERROR(LET(x, XLOOKUP(W$2, Players!$A$1:$P$1, Players!$A84:$P84),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86">
      <c r="A86" s="29" t="str">
        <f>IF(Players!A85="","",Players!A85)</f>
        <v/>
      </c>
      <c r="B86" s="29" t="str">
        <f t="array" ref="B86">IF($A86="", "", IFERROR(LET(x, XLOOKUP(B$2, Players!$A$1:$P$1, Players!$A85:$P85),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86" s="29" t="str">
        <f t="array" ref="C86">IF($A86="", "", IFERROR(LET(x, XLOOKUP(C$2, Players!$A$1:$P$1, Players!$A85:$P85),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86" s="29" t="str">
        <f t="array" ref="D86">IF($A86="", "", IFERROR(LET(x, XLOOKUP(D$2, Players!$A$1:$P$1, Players!$A85:$P85),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86" s="29" t="str">
        <f t="array" ref="E86">IF($A86="", "", IFERROR(LET(x, XLOOKUP(E$2, Players!$A$1:$P$1, Players!$A85:$P85),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86" s="29" t="str">
        <f t="array" ref="F86">IF($A86="", "", IFERROR(LET(x, XLOOKUP(F$2, Players!$A$1:$P$1, Players!$A85:$P85),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86" s="29" t="str">
        <f t="array" ref="G86">IF($A86="", "", IFERROR(LET(x, XLOOKUP(G$2, Players!$A$1:$P$1, Players!$A85:$P85),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86" s="29" t="str">
        <f t="array" ref="H86">IF($A86="", "", IFERROR(LET(x, XLOOKUP(H$2, Players!$A$1:$P$1, Players!$A85:$P85),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86" s="29" t="str">
        <f t="array" ref="I86">IF($A86="", "", IFERROR(LET(x, XLOOKUP(I$2, Players!$A$1:$P$1, Players!$A85:$P85),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86" s="29" t="str">
        <f t="array" ref="J86">IF($A86="", "", IFERROR(LET(x, XLOOKUP(J$2, Players!$A$1:$P$1, Players!$A85:$P85),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86" s="29" t="str">
        <f t="array" ref="K86">IF($A86="", "", IFERROR(LET(x, XLOOKUP(K$2, Players!$A$1:$P$1, Players!$A85:$P85),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86" s="29" t="str">
        <f t="array" ref="L86">IF($A86="", "", IFERROR(LET(x, XLOOKUP(L$2, Players!$A$1:$P$1, Players!$A85:$P85),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86" s="29" t="str">
        <f t="array" ref="M86">IF($A86="", "", IFERROR(LET(x, XLOOKUP(M$2, Players!$A$1:$P$1, Players!$A85:$P85),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86" s="29" t="str">
        <f t="array" ref="N86">IF($A86="", "", IFERROR(LET(x, XLOOKUP(N$2, Players!$A$1:$P$1, Players!$A85:$P85),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86" s="29" t="str">
        <f t="array" ref="O86">IF($A86="", "", IFERROR(LET(x, XLOOKUP(O$2, Players!$A$1:$P$1, Players!$A85:$P85),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86" s="29" t="str">
        <f t="array" ref="P86">IF($A86="", "", IFERROR(LET(x, XLOOKUP(P$2, Players!$A$1:$P$1, Players!$A85:$P85),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86" s="29" t="str">
        <f t="array" ref="Q86">IF($A86="", "", IFERROR(LET(x, XLOOKUP(Q$2, Players!$A$1:$P$1, Players!$A85:$P85),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86" s="29" t="str">
        <f t="array" ref="R86">IF($A86="", "", IFERROR(LET(x, XLOOKUP(R$2, Players!$A$1:$P$1, Players!$A85:$P85),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86" s="29" t="str">
        <f t="array" ref="S86">IF($A86="", "", IFERROR(LET(x, XLOOKUP(S$2, Players!$A$1:$P$1, Players!$A85:$P85),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86" s="29" t="str">
        <f t="array" ref="T86">IF($A86="", "", IFERROR(LET(x, XLOOKUP(T$2, Players!$A$1:$P$1, Players!$A85:$P85),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86" s="29" t="str">
        <f t="array" ref="U86">IF($A86="", "", IFERROR(LET(x, XLOOKUP(U$2, Players!$A$1:$P$1, Players!$A85:$P85),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86" s="29" t="str">
        <f t="array" ref="V86">IF($A86="", "", IFERROR(LET(x, XLOOKUP(V$2, Players!$A$1:$P$1, Players!$A85:$P85),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86" s="29" t="str">
        <f t="array" ref="W86">IF($A86="", "", IFERROR(LET(x, XLOOKUP(W$2, Players!$A$1:$P$1, Players!$A85:$P85),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87">
      <c r="A87" s="29" t="str">
        <f>IF(Players!A86="","",Players!A86)</f>
        <v/>
      </c>
      <c r="B87" s="29" t="str">
        <f t="array" ref="B87">IF($A87="", "", IFERROR(LET(x, XLOOKUP(B$2, Players!$A$1:$P$1, Players!$A86:$P86),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87" s="29" t="str">
        <f t="array" ref="C87">IF($A87="", "", IFERROR(LET(x, XLOOKUP(C$2, Players!$A$1:$P$1, Players!$A86:$P86),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87" s="29" t="str">
        <f t="array" ref="D87">IF($A87="", "", IFERROR(LET(x, XLOOKUP(D$2, Players!$A$1:$P$1, Players!$A86:$P86),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87" s="29" t="str">
        <f t="array" ref="E87">IF($A87="", "", IFERROR(LET(x, XLOOKUP(E$2, Players!$A$1:$P$1, Players!$A86:$P86),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87" s="29" t="str">
        <f t="array" ref="F87">IF($A87="", "", IFERROR(LET(x, XLOOKUP(F$2, Players!$A$1:$P$1, Players!$A86:$P86),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87" s="29" t="str">
        <f t="array" ref="G87">IF($A87="", "", IFERROR(LET(x, XLOOKUP(G$2, Players!$A$1:$P$1, Players!$A86:$P86),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87" s="29" t="str">
        <f t="array" ref="H87">IF($A87="", "", IFERROR(LET(x, XLOOKUP(H$2, Players!$A$1:$P$1, Players!$A86:$P86),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87" s="29" t="str">
        <f t="array" ref="I87">IF($A87="", "", IFERROR(LET(x, XLOOKUP(I$2, Players!$A$1:$P$1, Players!$A86:$P86),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87" s="29" t="str">
        <f t="array" ref="J87">IF($A87="", "", IFERROR(LET(x, XLOOKUP(J$2, Players!$A$1:$P$1, Players!$A86:$P86),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87" s="29" t="str">
        <f t="array" ref="K87">IF($A87="", "", IFERROR(LET(x, XLOOKUP(K$2, Players!$A$1:$P$1, Players!$A86:$P86),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87" s="29" t="str">
        <f t="array" ref="L87">IF($A87="", "", IFERROR(LET(x, XLOOKUP(L$2, Players!$A$1:$P$1, Players!$A86:$P86),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87" s="29" t="str">
        <f t="array" ref="M87">IF($A87="", "", IFERROR(LET(x, XLOOKUP(M$2, Players!$A$1:$P$1, Players!$A86:$P86),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87" s="29" t="str">
        <f t="array" ref="N87">IF($A87="", "", IFERROR(LET(x, XLOOKUP(N$2, Players!$A$1:$P$1, Players!$A86:$P86),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87" s="29" t="str">
        <f t="array" ref="O87">IF($A87="", "", IFERROR(LET(x, XLOOKUP(O$2, Players!$A$1:$P$1, Players!$A86:$P86),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87" s="29" t="str">
        <f t="array" ref="P87">IF($A87="", "", IFERROR(LET(x, XLOOKUP(P$2, Players!$A$1:$P$1, Players!$A86:$P86),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87" s="29" t="str">
        <f t="array" ref="Q87">IF($A87="", "", IFERROR(LET(x, XLOOKUP(Q$2, Players!$A$1:$P$1, Players!$A86:$P86),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87" s="29" t="str">
        <f t="array" ref="R87">IF($A87="", "", IFERROR(LET(x, XLOOKUP(R$2, Players!$A$1:$P$1, Players!$A86:$P86),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87" s="29" t="str">
        <f t="array" ref="S87">IF($A87="", "", IFERROR(LET(x, XLOOKUP(S$2, Players!$A$1:$P$1, Players!$A86:$P86),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87" s="29" t="str">
        <f t="array" ref="T87">IF($A87="", "", IFERROR(LET(x, XLOOKUP(T$2, Players!$A$1:$P$1, Players!$A86:$P86),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87" s="29" t="str">
        <f t="array" ref="U87">IF($A87="", "", IFERROR(LET(x, XLOOKUP(U$2, Players!$A$1:$P$1, Players!$A86:$P86),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87" s="29" t="str">
        <f t="array" ref="V87">IF($A87="", "", IFERROR(LET(x, XLOOKUP(V$2, Players!$A$1:$P$1, Players!$A86:$P86),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87" s="29" t="str">
        <f t="array" ref="W87">IF($A87="", "", IFERROR(LET(x, XLOOKUP(W$2, Players!$A$1:$P$1, Players!$A86:$P86),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88">
      <c r="A88" s="29" t="str">
        <f>IF(Players!A87="","",Players!A87)</f>
        <v/>
      </c>
      <c r="B88" s="29" t="str">
        <f t="array" ref="B88">IF($A88="", "", IFERROR(LET(x, XLOOKUP(B$2, Players!$A$1:$P$1, Players!$A87:$P87),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88" s="29" t="str">
        <f t="array" ref="C88">IF($A88="", "", IFERROR(LET(x, XLOOKUP(C$2, Players!$A$1:$P$1, Players!$A87:$P87),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88" s="29" t="str">
        <f t="array" ref="D88">IF($A88="", "", IFERROR(LET(x, XLOOKUP(D$2, Players!$A$1:$P$1, Players!$A87:$P87),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88" s="29" t="str">
        <f t="array" ref="E88">IF($A88="", "", IFERROR(LET(x, XLOOKUP(E$2, Players!$A$1:$P$1, Players!$A87:$P87),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88" s="29" t="str">
        <f t="array" ref="F88">IF($A88="", "", IFERROR(LET(x, XLOOKUP(F$2, Players!$A$1:$P$1, Players!$A87:$P87),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88" s="29" t="str">
        <f t="array" ref="G88">IF($A88="", "", IFERROR(LET(x, XLOOKUP(G$2, Players!$A$1:$P$1, Players!$A87:$P87),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88" s="29" t="str">
        <f t="array" ref="H88">IF($A88="", "", IFERROR(LET(x, XLOOKUP(H$2, Players!$A$1:$P$1, Players!$A87:$P87),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88" s="29" t="str">
        <f t="array" ref="I88">IF($A88="", "", IFERROR(LET(x, XLOOKUP(I$2, Players!$A$1:$P$1, Players!$A87:$P87),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88" s="29" t="str">
        <f t="array" ref="J88">IF($A88="", "", IFERROR(LET(x, XLOOKUP(J$2, Players!$A$1:$P$1, Players!$A87:$P87),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88" s="29" t="str">
        <f t="array" ref="K88">IF($A88="", "", IFERROR(LET(x, XLOOKUP(K$2, Players!$A$1:$P$1, Players!$A87:$P87),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88" s="29" t="str">
        <f t="array" ref="L88">IF($A88="", "", IFERROR(LET(x, XLOOKUP(L$2, Players!$A$1:$P$1, Players!$A87:$P87),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88" s="29" t="str">
        <f t="array" ref="M88">IF($A88="", "", IFERROR(LET(x, XLOOKUP(M$2, Players!$A$1:$P$1, Players!$A87:$P87),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88" s="29" t="str">
        <f t="array" ref="N88">IF($A88="", "", IFERROR(LET(x, XLOOKUP(N$2, Players!$A$1:$P$1, Players!$A87:$P87),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88" s="29" t="str">
        <f t="array" ref="O88">IF($A88="", "", IFERROR(LET(x, XLOOKUP(O$2, Players!$A$1:$P$1, Players!$A87:$P87),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88" s="29" t="str">
        <f t="array" ref="P88">IF($A88="", "", IFERROR(LET(x, XLOOKUP(P$2, Players!$A$1:$P$1, Players!$A87:$P87),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88" s="29" t="str">
        <f t="array" ref="Q88">IF($A88="", "", IFERROR(LET(x, XLOOKUP(Q$2, Players!$A$1:$P$1, Players!$A87:$P87),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88" s="29" t="str">
        <f t="array" ref="R88">IF($A88="", "", IFERROR(LET(x, XLOOKUP(R$2, Players!$A$1:$P$1, Players!$A87:$P87),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88" s="29" t="str">
        <f t="array" ref="S88">IF($A88="", "", IFERROR(LET(x, XLOOKUP(S$2, Players!$A$1:$P$1, Players!$A87:$P87),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88" s="29" t="str">
        <f t="array" ref="T88">IF($A88="", "", IFERROR(LET(x, XLOOKUP(T$2, Players!$A$1:$P$1, Players!$A87:$P87),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88" s="29" t="str">
        <f t="array" ref="U88">IF($A88="", "", IFERROR(LET(x, XLOOKUP(U$2, Players!$A$1:$P$1, Players!$A87:$P87),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88" s="29" t="str">
        <f t="array" ref="V88">IF($A88="", "", IFERROR(LET(x, XLOOKUP(V$2, Players!$A$1:$P$1, Players!$A87:$P87),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88" s="29" t="str">
        <f t="array" ref="W88">IF($A88="", "", IFERROR(LET(x, XLOOKUP(W$2, Players!$A$1:$P$1, Players!$A87:$P87),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89">
      <c r="A89" s="29" t="str">
        <f>IF(Players!A88="","",Players!A88)</f>
        <v/>
      </c>
      <c r="B89" s="29" t="str">
        <f t="array" ref="B89">IF($A89="", "", IFERROR(LET(x, XLOOKUP(B$2, Players!$A$1:$P$1, Players!$A88:$P88),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89" s="29" t="str">
        <f t="array" ref="C89">IF($A89="", "", IFERROR(LET(x, XLOOKUP(C$2, Players!$A$1:$P$1, Players!$A88:$P88),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89" s="29" t="str">
        <f t="array" ref="D89">IF($A89="", "", IFERROR(LET(x, XLOOKUP(D$2, Players!$A$1:$P$1, Players!$A88:$P88),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89" s="29" t="str">
        <f t="array" ref="E89">IF($A89="", "", IFERROR(LET(x, XLOOKUP(E$2, Players!$A$1:$P$1, Players!$A88:$P88),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89" s="29" t="str">
        <f t="array" ref="F89">IF($A89="", "", IFERROR(LET(x, XLOOKUP(F$2, Players!$A$1:$P$1, Players!$A88:$P88),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89" s="29" t="str">
        <f t="array" ref="G89">IF($A89="", "", IFERROR(LET(x, XLOOKUP(G$2, Players!$A$1:$P$1, Players!$A88:$P88),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89" s="29" t="str">
        <f t="array" ref="H89">IF($A89="", "", IFERROR(LET(x, XLOOKUP(H$2, Players!$A$1:$P$1, Players!$A88:$P88),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89" s="29" t="str">
        <f t="array" ref="I89">IF($A89="", "", IFERROR(LET(x, XLOOKUP(I$2, Players!$A$1:$P$1, Players!$A88:$P88),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89" s="29" t="str">
        <f t="array" ref="J89">IF($A89="", "", IFERROR(LET(x, XLOOKUP(J$2, Players!$A$1:$P$1, Players!$A88:$P88),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89" s="29" t="str">
        <f t="array" ref="K89">IF($A89="", "", IFERROR(LET(x, XLOOKUP(K$2, Players!$A$1:$P$1, Players!$A88:$P88),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89" s="29" t="str">
        <f t="array" ref="L89">IF($A89="", "", IFERROR(LET(x, XLOOKUP(L$2, Players!$A$1:$P$1, Players!$A88:$P88),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89" s="29" t="str">
        <f t="array" ref="M89">IF($A89="", "", IFERROR(LET(x, XLOOKUP(M$2, Players!$A$1:$P$1, Players!$A88:$P88),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89" s="29" t="str">
        <f t="array" ref="N89">IF($A89="", "", IFERROR(LET(x, XLOOKUP(N$2, Players!$A$1:$P$1, Players!$A88:$P88),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89" s="29" t="str">
        <f t="array" ref="O89">IF($A89="", "", IFERROR(LET(x, XLOOKUP(O$2, Players!$A$1:$P$1, Players!$A88:$P88),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89" s="29" t="str">
        <f t="array" ref="P89">IF($A89="", "", IFERROR(LET(x, XLOOKUP(P$2, Players!$A$1:$P$1, Players!$A88:$P88),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89" s="29" t="str">
        <f t="array" ref="Q89">IF($A89="", "", IFERROR(LET(x, XLOOKUP(Q$2, Players!$A$1:$P$1, Players!$A88:$P88),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89" s="29" t="str">
        <f t="array" ref="R89">IF($A89="", "", IFERROR(LET(x, XLOOKUP(R$2, Players!$A$1:$P$1, Players!$A88:$P88),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89" s="29" t="str">
        <f t="array" ref="S89">IF($A89="", "", IFERROR(LET(x, XLOOKUP(S$2, Players!$A$1:$P$1, Players!$A88:$P88),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89" s="29" t="str">
        <f t="array" ref="T89">IF($A89="", "", IFERROR(LET(x, XLOOKUP(T$2, Players!$A$1:$P$1, Players!$A88:$P88),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89" s="29" t="str">
        <f t="array" ref="U89">IF($A89="", "", IFERROR(LET(x, XLOOKUP(U$2, Players!$A$1:$P$1, Players!$A88:$P88),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89" s="29" t="str">
        <f t="array" ref="V89">IF($A89="", "", IFERROR(LET(x, XLOOKUP(V$2, Players!$A$1:$P$1, Players!$A88:$P88),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89" s="29" t="str">
        <f t="array" ref="W89">IF($A89="", "", IFERROR(LET(x, XLOOKUP(W$2, Players!$A$1:$P$1, Players!$A88:$P88),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90">
      <c r="A90" s="29" t="str">
        <f>IF(Players!A89="","",Players!A89)</f>
        <v/>
      </c>
      <c r="B90" s="29" t="str">
        <f t="array" ref="B90">IF($A90="", "", IFERROR(LET(x, XLOOKUP(B$2, Players!$A$1:$P$1, Players!$A89:$P89),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90" s="29" t="str">
        <f t="array" ref="C90">IF($A90="", "", IFERROR(LET(x, XLOOKUP(C$2, Players!$A$1:$P$1, Players!$A89:$P89),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90" s="29" t="str">
        <f t="array" ref="D90">IF($A90="", "", IFERROR(LET(x, XLOOKUP(D$2, Players!$A$1:$P$1, Players!$A89:$P89),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90" s="29" t="str">
        <f t="array" ref="E90">IF($A90="", "", IFERROR(LET(x, XLOOKUP(E$2, Players!$A$1:$P$1, Players!$A89:$P89),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90" s="29" t="str">
        <f t="array" ref="F90">IF($A90="", "", IFERROR(LET(x, XLOOKUP(F$2, Players!$A$1:$P$1, Players!$A89:$P89),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90" s="29" t="str">
        <f t="array" ref="G90">IF($A90="", "", IFERROR(LET(x, XLOOKUP(G$2, Players!$A$1:$P$1, Players!$A89:$P89),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90" s="29" t="str">
        <f t="array" ref="H90">IF($A90="", "", IFERROR(LET(x, XLOOKUP(H$2, Players!$A$1:$P$1, Players!$A89:$P89),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90" s="29" t="str">
        <f t="array" ref="I90">IF($A90="", "", IFERROR(LET(x, XLOOKUP(I$2, Players!$A$1:$P$1, Players!$A89:$P89),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90" s="29" t="str">
        <f t="array" ref="J90">IF($A90="", "", IFERROR(LET(x, XLOOKUP(J$2, Players!$A$1:$P$1, Players!$A89:$P89),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90" s="29" t="str">
        <f t="array" ref="K90">IF($A90="", "", IFERROR(LET(x, XLOOKUP(K$2, Players!$A$1:$P$1, Players!$A89:$P89),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90" s="29" t="str">
        <f t="array" ref="L90">IF($A90="", "", IFERROR(LET(x, XLOOKUP(L$2, Players!$A$1:$P$1, Players!$A89:$P89),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90" s="29" t="str">
        <f t="array" ref="M90">IF($A90="", "", IFERROR(LET(x, XLOOKUP(M$2, Players!$A$1:$P$1, Players!$A89:$P89),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90" s="29" t="str">
        <f t="array" ref="N90">IF($A90="", "", IFERROR(LET(x, XLOOKUP(N$2, Players!$A$1:$P$1, Players!$A89:$P89),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90" s="29" t="str">
        <f t="array" ref="O90">IF($A90="", "", IFERROR(LET(x, XLOOKUP(O$2, Players!$A$1:$P$1, Players!$A89:$P89),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90" s="29" t="str">
        <f t="array" ref="P90">IF($A90="", "", IFERROR(LET(x, XLOOKUP(P$2, Players!$A$1:$P$1, Players!$A89:$P89),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90" s="29" t="str">
        <f t="array" ref="Q90">IF($A90="", "", IFERROR(LET(x, XLOOKUP(Q$2, Players!$A$1:$P$1, Players!$A89:$P89),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90" s="29" t="str">
        <f t="array" ref="R90">IF($A90="", "", IFERROR(LET(x, XLOOKUP(R$2, Players!$A$1:$P$1, Players!$A89:$P89),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90" s="29" t="str">
        <f t="array" ref="S90">IF($A90="", "", IFERROR(LET(x, XLOOKUP(S$2, Players!$A$1:$P$1, Players!$A89:$P89),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90" s="29" t="str">
        <f t="array" ref="T90">IF($A90="", "", IFERROR(LET(x, XLOOKUP(T$2, Players!$A$1:$P$1, Players!$A89:$P89),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90" s="29" t="str">
        <f t="array" ref="U90">IF($A90="", "", IFERROR(LET(x, XLOOKUP(U$2, Players!$A$1:$P$1, Players!$A89:$P89),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90" s="29" t="str">
        <f t="array" ref="V90">IF($A90="", "", IFERROR(LET(x, XLOOKUP(V$2, Players!$A$1:$P$1, Players!$A89:$P89),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90" s="29" t="str">
        <f t="array" ref="W90">IF($A90="", "", IFERROR(LET(x, XLOOKUP(W$2, Players!$A$1:$P$1, Players!$A89:$P89),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91">
      <c r="A91" s="29" t="str">
        <f>IF(Players!A90="","",Players!A90)</f>
        <v/>
      </c>
      <c r="B91" s="29" t="str">
        <f t="array" ref="B91">IF($A91="", "", IFERROR(LET(x, XLOOKUP(B$2, Players!$A$1:$P$1, Players!$A90:$P90),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91" s="29" t="str">
        <f t="array" ref="C91">IF($A91="", "", IFERROR(LET(x, XLOOKUP(C$2, Players!$A$1:$P$1, Players!$A90:$P90),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91" s="29" t="str">
        <f t="array" ref="D91">IF($A91="", "", IFERROR(LET(x, XLOOKUP(D$2, Players!$A$1:$P$1, Players!$A90:$P90),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91" s="29" t="str">
        <f t="array" ref="E91">IF($A91="", "", IFERROR(LET(x, XLOOKUP(E$2, Players!$A$1:$P$1, Players!$A90:$P90),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91" s="29" t="str">
        <f t="array" ref="F91">IF($A91="", "", IFERROR(LET(x, XLOOKUP(F$2, Players!$A$1:$P$1, Players!$A90:$P90),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91" s="29" t="str">
        <f t="array" ref="G91">IF($A91="", "", IFERROR(LET(x, XLOOKUP(G$2, Players!$A$1:$P$1, Players!$A90:$P90),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91" s="29" t="str">
        <f t="array" ref="H91">IF($A91="", "", IFERROR(LET(x, XLOOKUP(H$2, Players!$A$1:$P$1, Players!$A90:$P90),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91" s="29" t="str">
        <f t="array" ref="I91">IF($A91="", "", IFERROR(LET(x, XLOOKUP(I$2, Players!$A$1:$P$1, Players!$A90:$P90),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91" s="29" t="str">
        <f t="array" ref="J91">IF($A91="", "", IFERROR(LET(x, XLOOKUP(J$2, Players!$A$1:$P$1, Players!$A90:$P90),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91" s="29" t="str">
        <f t="array" ref="K91">IF($A91="", "", IFERROR(LET(x, XLOOKUP(K$2, Players!$A$1:$P$1, Players!$A90:$P90),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91" s="29" t="str">
        <f t="array" ref="L91">IF($A91="", "", IFERROR(LET(x, XLOOKUP(L$2, Players!$A$1:$P$1, Players!$A90:$P90),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91" s="29" t="str">
        <f t="array" ref="M91">IF($A91="", "", IFERROR(LET(x, XLOOKUP(M$2, Players!$A$1:$P$1, Players!$A90:$P90),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91" s="29" t="str">
        <f t="array" ref="N91">IF($A91="", "", IFERROR(LET(x, XLOOKUP(N$2, Players!$A$1:$P$1, Players!$A90:$P90),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91" s="29" t="str">
        <f t="array" ref="O91">IF($A91="", "", IFERROR(LET(x, XLOOKUP(O$2, Players!$A$1:$P$1, Players!$A90:$P90),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91" s="29" t="str">
        <f t="array" ref="P91">IF($A91="", "", IFERROR(LET(x, XLOOKUP(P$2, Players!$A$1:$P$1, Players!$A90:$P90),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91" s="29" t="str">
        <f t="array" ref="Q91">IF($A91="", "", IFERROR(LET(x, XLOOKUP(Q$2, Players!$A$1:$P$1, Players!$A90:$P90),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91" s="29" t="str">
        <f t="array" ref="R91">IF($A91="", "", IFERROR(LET(x, XLOOKUP(R$2, Players!$A$1:$P$1, Players!$A90:$P90),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91" s="29" t="str">
        <f t="array" ref="S91">IF($A91="", "", IFERROR(LET(x, XLOOKUP(S$2, Players!$A$1:$P$1, Players!$A90:$P90),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91" s="29" t="str">
        <f t="array" ref="T91">IF($A91="", "", IFERROR(LET(x, XLOOKUP(T$2, Players!$A$1:$P$1, Players!$A90:$P90),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91" s="29" t="str">
        <f t="array" ref="U91">IF($A91="", "", IFERROR(LET(x, XLOOKUP(U$2, Players!$A$1:$P$1, Players!$A90:$P90),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91" s="29" t="str">
        <f t="array" ref="V91">IF($A91="", "", IFERROR(LET(x, XLOOKUP(V$2, Players!$A$1:$P$1, Players!$A90:$P90),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91" s="29" t="str">
        <f t="array" ref="W91">IF($A91="", "", IFERROR(LET(x, XLOOKUP(W$2, Players!$A$1:$P$1, Players!$A90:$P90),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92">
      <c r="A92" s="29" t="str">
        <f>IF(Players!A91="","",Players!A91)</f>
        <v/>
      </c>
      <c r="B92" s="29" t="str">
        <f t="array" ref="B92">IF($A92="", "", IFERROR(LET(x, XLOOKUP(B$2, Players!$A$1:$P$1, Players!$A91:$P91),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92" s="29" t="str">
        <f t="array" ref="C92">IF($A92="", "", IFERROR(LET(x, XLOOKUP(C$2, Players!$A$1:$P$1, Players!$A91:$P91),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92" s="29" t="str">
        <f t="array" ref="D92">IF($A92="", "", IFERROR(LET(x, XLOOKUP(D$2, Players!$A$1:$P$1, Players!$A91:$P91),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92" s="29" t="str">
        <f t="array" ref="E92">IF($A92="", "", IFERROR(LET(x, XLOOKUP(E$2, Players!$A$1:$P$1, Players!$A91:$P91),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92" s="29" t="str">
        <f t="array" ref="F92">IF($A92="", "", IFERROR(LET(x, XLOOKUP(F$2, Players!$A$1:$P$1, Players!$A91:$P91),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92" s="29" t="str">
        <f t="array" ref="G92">IF($A92="", "", IFERROR(LET(x, XLOOKUP(G$2, Players!$A$1:$P$1, Players!$A91:$P91),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92" s="29" t="str">
        <f t="array" ref="H92">IF($A92="", "", IFERROR(LET(x, XLOOKUP(H$2, Players!$A$1:$P$1, Players!$A91:$P91),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92" s="29" t="str">
        <f t="array" ref="I92">IF($A92="", "", IFERROR(LET(x, XLOOKUP(I$2, Players!$A$1:$P$1, Players!$A91:$P91),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92" s="29" t="str">
        <f t="array" ref="J92">IF($A92="", "", IFERROR(LET(x, XLOOKUP(J$2, Players!$A$1:$P$1, Players!$A91:$P91),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92" s="29" t="str">
        <f t="array" ref="K92">IF($A92="", "", IFERROR(LET(x, XLOOKUP(K$2, Players!$A$1:$P$1, Players!$A91:$P91),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92" s="29" t="str">
        <f t="array" ref="L92">IF($A92="", "", IFERROR(LET(x, XLOOKUP(L$2, Players!$A$1:$P$1, Players!$A91:$P91),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92" s="29" t="str">
        <f t="array" ref="M92">IF($A92="", "", IFERROR(LET(x, XLOOKUP(M$2, Players!$A$1:$P$1, Players!$A91:$P91),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92" s="29" t="str">
        <f t="array" ref="N92">IF($A92="", "", IFERROR(LET(x, XLOOKUP(N$2, Players!$A$1:$P$1, Players!$A91:$P91),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92" s="29" t="str">
        <f t="array" ref="O92">IF($A92="", "", IFERROR(LET(x, XLOOKUP(O$2, Players!$A$1:$P$1, Players!$A91:$P91),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92" s="29" t="str">
        <f t="array" ref="P92">IF($A92="", "", IFERROR(LET(x, XLOOKUP(P$2, Players!$A$1:$P$1, Players!$A91:$P91),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92" s="29" t="str">
        <f t="array" ref="Q92">IF($A92="", "", IFERROR(LET(x, XLOOKUP(Q$2, Players!$A$1:$P$1, Players!$A91:$P91),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92" s="29" t="str">
        <f t="array" ref="R92">IF($A92="", "", IFERROR(LET(x, XLOOKUP(R$2, Players!$A$1:$P$1, Players!$A91:$P91),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92" s="29" t="str">
        <f t="array" ref="S92">IF($A92="", "", IFERROR(LET(x, XLOOKUP(S$2, Players!$A$1:$P$1, Players!$A91:$P91),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92" s="29" t="str">
        <f t="array" ref="T92">IF($A92="", "", IFERROR(LET(x, XLOOKUP(T$2, Players!$A$1:$P$1, Players!$A91:$P91),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92" s="29" t="str">
        <f t="array" ref="U92">IF($A92="", "", IFERROR(LET(x, XLOOKUP(U$2, Players!$A$1:$P$1, Players!$A91:$P91),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92" s="29" t="str">
        <f t="array" ref="V92">IF($A92="", "", IFERROR(LET(x, XLOOKUP(V$2, Players!$A$1:$P$1, Players!$A91:$P91),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92" s="29" t="str">
        <f t="array" ref="W92">IF($A92="", "", IFERROR(LET(x, XLOOKUP(W$2, Players!$A$1:$P$1, Players!$A91:$P91),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93">
      <c r="A93" s="29" t="str">
        <f>IF(Players!A92="","",Players!A92)</f>
        <v/>
      </c>
      <c r="B93" s="29" t="str">
        <f t="array" ref="B93">IF($A93="", "", IFERROR(LET(x, XLOOKUP(B$2, Players!$A$1:$P$1, Players!$A92:$P92),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93" s="29" t="str">
        <f t="array" ref="C93">IF($A93="", "", IFERROR(LET(x, XLOOKUP(C$2, Players!$A$1:$P$1, Players!$A92:$P92),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93" s="29" t="str">
        <f t="array" ref="D93">IF($A93="", "", IFERROR(LET(x, XLOOKUP(D$2, Players!$A$1:$P$1, Players!$A92:$P92),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93" s="29" t="str">
        <f t="array" ref="E93">IF($A93="", "", IFERROR(LET(x, XLOOKUP(E$2, Players!$A$1:$P$1, Players!$A92:$P92),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93" s="29" t="str">
        <f t="array" ref="F93">IF($A93="", "", IFERROR(LET(x, XLOOKUP(F$2, Players!$A$1:$P$1, Players!$A92:$P92),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93" s="29" t="str">
        <f t="array" ref="G93">IF($A93="", "", IFERROR(LET(x, XLOOKUP(G$2, Players!$A$1:$P$1, Players!$A92:$P92),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93" s="29" t="str">
        <f t="array" ref="H93">IF($A93="", "", IFERROR(LET(x, XLOOKUP(H$2, Players!$A$1:$P$1, Players!$A92:$P92),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93" s="29" t="str">
        <f t="array" ref="I93">IF($A93="", "", IFERROR(LET(x, XLOOKUP(I$2, Players!$A$1:$P$1, Players!$A92:$P92),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93" s="29" t="str">
        <f t="array" ref="J93">IF($A93="", "", IFERROR(LET(x, XLOOKUP(J$2, Players!$A$1:$P$1, Players!$A92:$P92),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93" s="29" t="str">
        <f t="array" ref="K93">IF($A93="", "", IFERROR(LET(x, XLOOKUP(K$2, Players!$A$1:$P$1, Players!$A92:$P92),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93" s="29" t="str">
        <f t="array" ref="L93">IF($A93="", "", IFERROR(LET(x, XLOOKUP(L$2, Players!$A$1:$P$1, Players!$A92:$P92),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93" s="29" t="str">
        <f t="array" ref="M93">IF($A93="", "", IFERROR(LET(x, XLOOKUP(M$2, Players!$A$1:$P$1, Players!$A92:$P92),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93" s="29" t="str">
        <f t="array" ref="N93">IF($A93="", "", IFERROR(LET(x, XLOOKUP(N$2, Players!$A$1:$P$1, Players!$A92:$P92),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93" s="29" t="str">
        <f t="array" ref="O93">IF($A93="", "", IFERROR(LET(x, XLOOKUP(O$2, Players!$A$1:$P$1, Players!$A92:$P92),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93" s="29" t="str">
        <f t="array" ref="P93">IF($A93="", "", IFERROR(LET(x, XLOOKUP(P$2, Players!$A$1:$P$1, Players!$A92:$P92),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93" s="29" t="str">
        <f t="array" ref="Q93">IF($A93="", "", IFERROR(LET(x, XLOOKUP(Q$2, Players!$A$1:$P$1, Players!$A92:$P92),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93" s="29" t="str">
        <f t="array" ref="R93">IF($A93="", "", IFERROR(LET(x, XLOOKUP(R$2, Players!$A$1:$P$1, Players!$A92:$P92),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93" s="29" t="str">
        <f t="array" ref="S93">IF($A93="", "", IFERROR(LET(x, XLOOKUP(S$2, Players!$A$1:$P$1, Players!$A92:$P92),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93" s="29" t="str">
        <f t="array" ref="T93">IF($A93="", "", IFERROR(LET(x, XLOOKUP(T$2, Players!$A$1:$P$1, Players!$A92:$P92),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93" s="29" t="str">
        <f t="array" ref="U93">IF($A93="", "", IFERROR(LET(x, XLOOKUP(U$2, Players!$A$1:$P$1, Players!$A92:$P92),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93" s="29" t="str">
        <f t="array" ref="V93">IF($A93="", "", IFERROR(LET(x, XLOOKUP(V$2, Players!$A$1:$P$1, Players!$A92:$P92),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93" s="29" t="str">
        <f t="array" ref="W93">IF($A93="", "", IFERROR(LET(x, XLOOKUP(W$2, Players!$A$1:$P$1, Players!$A92:$P92),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94">
      <c r="A94" s="29" t="str">
        <f>IF(Players!A93="","",Players!A93)</f>
        <v/>
      </c>
      <c r="B94" s="29" t="str">
        <f t="array" ref="B94">IF($A94="", "", IFERROR(LET(x, XLOOKUP(B$2, Players!$A$1:$P$1, Players!$A93:$P93),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94" s="29" t="str">
        <f t="array" ref="C94">IF($A94="", "", IFERROR(LET(x, XLOOKUP(C$2, Players!$A$1:$P$1, Players!$A93:$P93),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94" s="29" t="str">
        <f t="array" ref="D94">IF($A94="", "", IFERROR(LET(x, XLOOKUP(D$2, Players!$A$1:$P$1, Players!$A93:$P93),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94" s="29" t="str">
        <f t="array" ref="E94">IF($A94="", "", IFERROR(LET(x, XLOOKUP(E$2, Players!$A$1:$P$1, Players!$A93:$P93),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94" s="29" t="str">
        <f t="array" ref="F94">IF($A94="", "", IFERROR(LET(x, XLOOKUP(F$2, Players!$A$1:$P$1, Players!$A93:$P93),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94" s="29" t="str">
        <f t="array" ref="G94">IF($A94="", "", IFERROR(LET(x, XLOOKUP(G$2, Players!$A$1:$P$1, Players!$A93:$P93),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94" s="29" t="str">
        <f t="array" ref="H94">IF($A94="", "", IFERROR(LET(x, XLOOKUP(H$2, Players!$A$1:$P$1, Players!$A93:$P93),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94" s="29" t="str">
        <f t="array" ref="I94">IF($A94="", "", IFERROR(LET(x, XLOOKUP(I$2, Players!$A$1:$P$1, Players!$A93:$P93),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94" s="29" t="str">
        <f t="array" ref="J94">IF($A94="", "", IFERROR(LET(x, XLOOKUP(J$2, Players!$A$1:$P$1, Players!$A93:$P93),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94" s="29" t="str">
        <f t="array" ref="K94">IF($A94="", "", IFERROR(LET(x, XLOOKUP(K$2, Players!$A$1:$P$1, Players!$A93:$P93),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94" s="29" t="str">
        <f t="array" ref="L94">IF($A94="", "", IFERROR(LET(x, XLOOKUP(L$2, Players!$A$1:$P$1, Players!$A93:$P93),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94" s="29" t="str">
        <f t="array" ref="M94">IF($A94="", "", IFERROR(LET(x, XLOOKUP(M$2, Players!$A$1:$P$1, Players!$A93:$P93),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94" s="29" t="str">
        <f t="array" ref="N94">IF($A94="", "", IFERROR(LET(x, XLOOKUP(N$2, Players!$A$1:$P$1, Players!$A93:$P93),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94" s="29" t="str">
        <f t="array" ref="O94">IF($A94="", "", IFERROR(LET(x, XLOOKUP(O$2, Players!$A$1:$P$1, Players!$A93:$P93),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94" s="29" t="str">
        <f t="array" ref="P94">IF($A94="", "", IFERROR(LET(x, XLOOKUP(P$2, Players!$A$1:$P$1, Players!$A93:$P93),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94" s="29" t="str">
        <f t="array" ref="Q94">IF($A94="", "", IFERROR(LET(x, XLOOKUP(Q$2, Players!$A$1:$P$1, Players!$A93:$P93),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94" s="29" t="str">
        <f t="array" ref="R94">IF($A94="", "", IFERROR(LET(x, XLOOKUP(R$2, Players!$A$1:$P$1, Players!$A93:$P93),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94" s="29" t="str">
        <f t="array" ref="S94">IF($A94="", "", IFERROR(LET(x, XLOOKUP(S$2, Players!$A$1:$P$1, Players!$A93:$P93),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94" s="29" t="str">
        <f t="array" ref="T94">IF($A94="", "", IFERROR(LET(x, XLOOKUP(T$2, Players!$A$1:$P$1, Players!$A93:$P93),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94" s="29" t="str">
        <f t="array" ref="U94">IF($A94="", "", IFERROR(LET(x, XLOOKUP(U$2, Players!$A$1:$P$1, Players!$A93:$P93),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94" s="29" t="str">
        <f t="array" ref="V94">IF($A94="", "", IFERROR(LET(x, XLOOKUP(V$2, Players!$A$1:$P$1, Players!$A93:$P93),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94" s="29" t="str">
        <f t="array" ref="W94">IF($A94="", "", IFERROR(LET(x, XLOOKUP(W$2, Players!$A$1:$P$1, Players!$A93:$P93),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95">
      <c r="A95" s="29" t="str">
        <f>IF(Players!A94="","",Players!A94)</f>
        <v/>
      </c>
      <c r="B95" s="29" t="str">
        <f t="array" ref="B95">IF($A95="", "", IFERROR(LET(x, XLOOKUP(B$2, Players!$A$1:$P$1, Players!$A94:$P94),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95" s="29" t="str">
        <f t="array" ref="C95">IF($A95="", "", IFERROR(LET(x, XLOOKUP(C$2, Players!$A$1:$P$1, Players!$A94:$P94),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95" s="29" t="str">
        <f t="array" ref="D95">IF($A95="", "", IFERROR(LET(x, XLOOKUP(D$2, Players!$A$1:$P$1, Players!$A94:$P94),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95" s="29" t="str">
        <f t="array" ref="E95">IF($A95="", "", IFERROR(LET(x, XLOOKUP(E$2, Players!$A$1:$P$1, Players!$A94:$P94),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95" s="29" t="str">
        <f t="array" ref="F95">IF($A95="", "", IFERROR(LET(x, XLOOKUP(F$2, Players!$A$1:$P$1, Players!$A94:$P94),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95" s="29" t="str">
        <f t="array" ref="G95">IF($A95="", "", IFERROR(LET(x, XLOOKUP(G$2, Players!$A$1:$P$1, Players!$A94:$P94),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95" s="29" t="str">
        <f t="array" ref="H95">IF($A95="", "", IFERROR(LET(x, XLOOKUP(H$2, Players!$A$1:$P$1, Players!$A94:$P94),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95" s="29" t="str">
        <f t="array" ref="I95">IF($A95="", "", IFERROR(LET(x, XLOOKUP(I$2, Players!$A$1:$P$1, Players!$A94:$P94),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95" s="29" t="str">
        <f t="array" ref="J95">IF($A95="", "", IFERROR(LET(x, XLOOKUP(J$2, Players!$A$1:$P$1, Players!$A94:$P94),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95" s="29" t="str">
        <f t="array" ref="K95">IF($A95="", "", IFERROR(LET(x, XLOOKUP(K$2, Players!$A$1:$P$1, Players!$A94:$P94),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95" s="29" t="str">
        <f t="array" ref="L95">IF($A95="", "", IFERROR(LET(x, XLOOKUP(L$2, Players!$A$1:$P$1, Players!$A94:$P94),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95" s="29" t="str">
        <f t="array" ref="M95">IF($A95="", "", IFERROR(LET(x, XLOOKUP(M$2, Players!$A$1:$P$1, Players!$A94:$P94),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95" s="29" t="str">
        <f t="array" ref="N95">IF($A95="", "", IFERROR(LET(x, XLOOKUP(N$2, Players!$A$1:$P$1, Players!$A94:$P94),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95" s="29" t="str">
        <f t="array" ref="O95">IF($A95="", "", IFERROR(LET(x, XLOOKUP(O$2, Players!$A$1:$P$1, Players!$A94:$P94),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95" s="29" t="str">
        <f t="array" ref="P95">IF($A95="", "", IFERROR(LET(x, XLOOKUP(P$2, Players!$A$1:$P$1, Players!$A94:$P94),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95" s="29" t="str">
        <f t="array" ref="Q95">IF($A95="", "", IFERROR(LET(x, XLOOKUP(Q$2, Players!$A$1:$P$1, Players!$A94:$P94),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95" s="29" t="str">
        <f t="array" ref="R95">IF($A95="", "", IFERROR(LET(x, XLOOKUP(R$2, Players!$A$1:$P$1, Players!$A94:$P94),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95" s="29" t="str">
        <f t="array" ref="S95">IF($A95="", "", IFERROR(LET(x, XLOOKUP(S$2, Players!$A$1:$P$1, Players!$A94:$P94),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95" s="29" t="str">
        <f t="array" ref="T95">IF($A95="", "", IFERROR(LET(x, XLOOKUP(T$2, Players!$A$1:$P$1, Players!$A94:$P94),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95" s="29" t="str">
        <f t="array" ref="U95">IF($A95="", "", IFERROR(LET(x, XLOOKUP(U$2, Players!$A$1:$P$1, Players!$A94:$P94),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95" s="29" t="str">
        <f t="array" ref="V95">IF($A95="", "", IFERROR(LET(x, XLOOKUP(V$2, Players!$A$1:$P$1, Players!$A94:$P94),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95" s="29" t="str">
        <f t="array" ref="W95">IF($A95="", "", IFERROR(LET(x, XLOOKUP(W$2, Players!$A$1:$P$1, Players!$A94:$P94),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96">
      <c r="A96" s="29" t="str">
        <f>IF(Players!A95="","",Players!A95)</f>
        <v/>
      </c>
      <c r="B96" s="29" t="str">
        <f t="array" ref="B96">IF($A96="", "", IFERROR(LET(x, XLOOKUP(B$2, Players!$A$1:$P$1, Players!$A95:$P95),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96" s="29" t="str">
        <f t="array" ref="C96">IF($A96="", "", IFERROR(LET(x, XLOOKUP(C$2, Players!$A$1:$P$1, Players!$A95:$P95),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96" s="29" t="str">
        <f t="array" ref="D96">IF($A96="", "", IFERROR(LET(x, XLOOKUP(D$2, Players!$A$1:$P$1, Players!$A95:$P95),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96" s="29" t="str">
        <f t="array" ref="E96">IF($A96="", "", IFERROR(LET(x, XLOOKUP(E$2, Players!$A$1:$P$1, Players!$A95:$P95),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96" s="29" t="str">
        <f t="array" ref="F96">IF($A96="", "", IFERROR(LET(x, XLOOKUP(F$2, Players!$A$1:$P$1, Players!$A95:$P95),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96" s="29" t="str">
        <f t="array" ref="G96">IF($A96="", "", IFERROR(LET(x, XLOOKUP(G$2, Players!$A$1:$P$1, Players!$A95:$P95),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96" s="29" t="str">
        <f t="array" ref="H96">IF($A96="", "", IFERROR(LET(x, XLOOKUP(H$2, Players!$A$1:$P$1, Players!$A95:$P95),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96" s="29" t="str">
        <f t="array" ref="I96">IF($A96="", "", IFERROR(LET(x, XLOOKUP(I$2, Players!$A$1:$P$1, Players!$A95:$P95),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96" s="29" t="str">
        <f t="array" ref="J96">IF($A96="", "", IFERROR(LET(x, XLOOKUP(J$2, Players!$A$1:$P$1, Players!$A95:$P95),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96" s="29" t="str">
        <f t="array" ref="K96">IF($A96="", "", IFERROR(LET(x, XLOOKUP(K$2, Players!$A$1:$P$1, Players!$A95:$P95),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96" s="29" t="str">
        <f t="array" ref="L96">IF($A96="", "", IFERROR(LET(x, XLOOKUP(L$2, Players!$A$1:$P$1, Players!$A95:$P95),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96" s="29" t="str">
        <f t="array" ref="M96">IF($A96="", "", IFERROR(LET(x, XLOOKUP(M$2, Players!$A$1:$P$1, Players!$A95:$P95),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96" s="29" t="str">
        <f t="array" ref="N96">IF($A96="", "", IFERROR(LET(x, XLOOKUP(N$2, Players!$A$1:$P$1, Players!$A95:$P95),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96" s="29" t="str">
        <f t="array" ref="O96">IF($A96="", "", IFERROR(LET(x, XLOOKUP(O$2, Players!$A$1:$P$1, Players!$A95:$P95),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96" s="29" t="str">
        <f t="array" ref="P96">IF($A96="", "", IFERROR(LET(x, XLOOKUP(P$2, Players!$A$1:$P$1, Players!$A95:$P95),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96" s="29" t="str">
        <f t="array" ref="Q96">IF($A96="", "", IFERROR(LET(x, XLOOKUP(Q$2, Players!$A$1:$P$1, Players!$A95:$P95),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96" s="29" t="str">
        <f t="array" ref="R96">IF($A96="", "", IFERROR(LET(x, XLOOKUP(R$2, Players!$A$1:$P$1, Players!$A95:$P95),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96" s="29" t="str">
        <f t="array" ref="S96">IF($A96="", "", IFERROR(LET(x, XLOOKUP(S$2, Players!$A$1:$P$1, Players!$A95:$P95),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96" s="29" t="str">
        <f t="array" ref="T96">IF($A96="", "", IFERROR(LET(x, XLOOKUP(T$2, Players!$A$1:$P$1, Players!$A95:$P95),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96" s="29" t="str">
        <f t="array" ref="U96">IF($A96="", "", IFERROR(LET(x, XLOOKUP(U$2, Players!$A$1:$P$1, Players!$A95:$P95),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96" s="29" t="str">
        <f t="array" ref="V96">IF($A96="", "", IFERROR(LET(x, XLOOKUP(V$2, Players!$A$1:$P$1, Players!$A95:$P95),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96" s="29" t="str">
        <f t="array" ref="W96">IF($A96="", "", IFERROR(LET(x, XLOOKUP(W$2, Players!$A$1:$P$1, Players!$A95:$P95),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97">
      <c r="A97" s="29" t="str">
        <f>IF(Players!A96="","",Players!A96)</f>
        <v/>
      </c>
      <c r="B97" s="29" t="str">
        <f t="array" ref="B97">IF($A97="", "", IFERROR(LET(x, XLOOKUP(B$2, Players!$A$1:$P$1, Players!$A96:$P96),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97" s="29" t="str">
        <f t="array" ref="C97">IF($A97="", "", IFERROR(LET(x, XLOOKUP(C$2, Players!$A$1:$P$1, Players!$A96:$P96),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97" s="29" t="str">
        <f t="array" ref="D97">IF($A97="", "", IFERROR(LET(x, XLOOKUP(D$2, Players!$A$1:$P$1, Players!$A96:$P96),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97" s="29" t="str">
        <f t="array" ref="E97">IF($A97="", "", IFERROR(LET(x, XLOOKUP(E$2, Players!$A$1:$P$1, Players!$A96:$P96),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97" s="29" t="str">
        <f t="array" ref="F97">IF($A97="", "", IFERROR(LET(x, XLOOKUP(F$2, Players!$A$1:$P$1, Players!$A96:$P96),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97" s="29" t="str">
        <f t="array" ref="G97">IF($A97="", "", IFERROR(LET(x, XLOOKUP(G$2, Players!$A$1:$P$1, Players!$A96:$P96),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97" s="29" t="str">
        <f t="array" ref="H97">IF($A97="", "", IFERROR(LET(x, XLOOKUP(H$2, Players!$A$1:$P$1, Players!$A96:$P96),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97" s="29" t="str">
        <f t="array" ref="I97">IF($A97="", "", IFERROR(LET(x, XLOOKUP(I$2, Players!$A$1:$P$1, Players!$A96:$P96),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97" s="29" t="str">
        <f t="array" ref="J97">IF($A97="", "", IFERROR(LET(x, XLOOKUP(J$2, Players!$A$1:$P$1, Players!$A96:$P96),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97" s="29" t="str">
        <f t="array" ref="K97">IF($A97="", "", IFERROR(LET(x, XLOOKUP(K$2, Players!$A$1:$P$1, Players!$A96:$P96),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97" s="29" t="str">
        <f t="array" ref="L97">IF($A97="", "", IFERROR(LET(x, XLOOKUP(L$2, Players!$A$1:$P$1, Players!$A96:$P96),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97" s="29" t="str">
        <f t="array" ref="M97">IF($A97="", "", IFERROR(LET(x, XLOOKUP(M$2, Players!$A$1:$P$1, Players!$A96:$P96),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97" s="29" t="str">
        <f t="array" ref="N97">IF($A97="", "", IFERROR(LET(x, XLOOKUP(N$2, Players!$A$1:$P$1, Players!$A96:$P96),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97" s="29" t="str">
        <f t="array" ref="O97">IF($A97="", "", IFERROR(LET(x, XLOOKUP(O$2, Players!$A$1:$P$1, Players!$A96:$P96),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97" s="29" t="str">
        <f t="array" ref="P97">IF($A97="", "", IFERROR(LET(x, XLOOKUP(P$2, Players!$A$1:$P$1, Players!$A96:$P96),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97" s="29" t="str">
        <f t="array" ref="Q97">IF($A97="", "", IFERROR(LET(x, XLOOKUP(Q$2, Players!$A$1:$P$1, Players!$A96:$P96),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97" s="29" t="str">
        <f t="array" ref="R97">IF($A97="", "", IFERROR(LET(x, XLOOKUP(R$2, Players!$A$1:$P$1, Players!$A96:$P96),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97" s="29" t="str">
        <f t="array" ref="S97">IF($A97="", "", IFERROR(LET(x, XLOOKUP(S$2, Players!$A$1:$P$1, Players!$A96:$P96),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97" s="29" t="str">
        <f t="array" ref="T97">IF($A97="", "", IFERROR(LET(x, XLOOKUP(T$2, Players!$A$1:$P$1, Players!$A96:$P96),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97" s="29" t="str">
        <f t="array" ref="U97">IF($A97="", "", IFERROR(LET(x, XLOOKUP(U$2, Players!$A$1:$P$1, Players!$A96:$P96),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97" s="29" t="str">
        <f t="array" ref="V97">IF($A97="", "", IFERROR(LET(x, XLOOKUP(V$2, Players!$A$1:$P$1, Players!$A96:$P96),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97" s="29" t="str">
        <f t="array" ref="W97">IF($A97="", "", IFERROR(LET(x, XLOOKUP(W$2, Players!$A$1:$P$1, Players!$A96:$P96),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98">
      <c r="A98" s="29" t="str">
        <f>IF(Players!A97="","",Players!A97)</f>
        <v/>
      </c>
      <c r="B98" s="29" t="str">
        <f t="array" ref="B98">IF($A98="", "", IFERROR(LET(x, XLOOKUP(B$2, Players!$A$1:$P$1, Players!$A97:$P97),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98" s="29" t="str">
        <f t="array" ref="C98">IF($A98="", "", IFERROR(LET(x, XLOOKUP(C$2, Players!$A$1:$P$1, Players!$A97:$P97),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98" s="29" t="str">
        <f t="array" ref="D98">IF($A98="", "", IFERROR(LET(x, XLOOKUP(D$2, Players!$A$1:$P$1, Players!$A97:$P97),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98" s="29" t="str">
        <f t="array" ref="E98">IF($A98="", "", IFERROR(LET(x, XLOOKUP(E$2, Players!$A$1:$P$1, Players!$A97:$P97),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98" s="29" t="str">
        <f t="array" ref="F98">IF($A98="", "", IFERROR(LET(x, XLOOKUP(F$2, Players!$A$1:$P$1, Players!$A97:$P97),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98" s="29" t="str">
        <f t="array" ref="G98">IF($A98="", "", IFERROR(LET(x, XLOOKUP(G$2, Players!$A$1:$P$1, Players!$A97:$P97),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98" s="29" t="str">
        <f t="array" ref="H98">IF($A98="", "", IFERROR(LET(x, XLOOKUP(H$2, Players!$A$1:$P$1, Players!$A97:$P97),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98" s="29" t="str">
        <f t="array" ref="I98">IF($A98="", "", IFERROR(LET(x, XLOOKUP(I$2, Players!$A$1:$P$1, Players!$A97:$P97),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98" s="29" t="str">
        <f t="array" ref="J98">IF($A98="", "", IFERROR(LET(x, XLOOKUP(J$2, Players!$A$1:$P$1, Players!$A97:$P97),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98" s="29" t="str">
        <f t="array" ref="K98">IF($A98="", "", IFERROR(LET(x, XLOOKUP(K$2, Players!$A$1:$P$1, Players!$A97:$P97),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98" s="29" t="str">
        <f t="array" ref="L98">IF($A98="", "", IFERROR(LET(x, XLOOKUP(L$2, Players!$A$1:$P$1, Players!$A97:$P97),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98" s="29" t="str">
        <f t="array" ref="M98">IF($A98="", "", IFERROR(LET(x, XLOOKUP(M$2, Players!$A$1:$P$1, Players!$A97:$P97),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98" s="29" t="str">
        <f t="array" ref="N98">IF($A98="", "", IFERROR(LET(x, XLOOKUP(N$2, Players!$A$1:$P$1, Players!$A97:$P97),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98" s="29" t="str">
        <f t="array" ref="O98">IF($A98="", "", IFERROR(LET(x, XLOOKUP(O$2, Players!$A$1:$P$1, Players!$A97:$P97),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98" s="29" t="str">
        <f t="array" ref="P98">IF($A98="", "", IFERROR(LET(x, XLOOKUP(P$2, Players!$A$1:$P$1, Players!$A97:$P97),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98" s="29" t="str">
        <f t="array" ref="Q98">IF($A98="", "", IFERROR(LET(x, XLOOKUP(Q$2, Players!$A$1:$P$1, Players!$A97:$P97),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98" s="29" t="str">
        <f t="array" ref="R98">IF($A98="", "", IFERROR(LET(x, XLOOKUP(R$2, Players!$A$1:$P$1, Players!$A97:$P97),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98" s="29" t="str">
        <f t="array" ref="S98">IF($A98="", "", IFERROR(LET(x, XLOOKUP(S$2, Players!$A$1:$P$1, Players!$A97:$P97),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98" s="29" t="str">
        <f t="array" ref="T98">IF($A98="", "", IFERROR(LET(x, XLOOKUP(T$2, Players!$A$1:$P$1, Players!$A97:$P97),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98" s="29" t="str">
        <f t="array" ref="U98">IF($A98="", "", IFERROR(LET(x, XLOOKUP(U$2, Players!$A$1:$P$1, Players!$A97:$P97),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98" s="29" t="str">
        <f t="array" ref="V98">IF($A98="", "", IFERROR(LET(x, XLOOKUP(V$2, Players!$A$1:$P$1, Players!$A97:$P97),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98" s="29" t="str">
        <f t="array" ref="W98">IF($A98="", "", IFERROR(LET(x, XLOOKUP(W$2, Players!$A$1:$P$1, Players!$A97:$P97),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99">
      <c r="A99" s="29" t="str">
        <f>IF(Players!A98="","",Players!A98)</f>
        <v/>
      </c>
      <c r="B99" s="29" t="str">
        <f t="array" ref="B99">IF($A99="", "", IFERROR(LET(x, XLOOKUP(B$2, Players!$A$1:$P$1, Players!$A98:$P98),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99" s="29" t="str">
        <f t="array" ref="C99">IF($A99="", "", IFERROR(LET(x, XLOOKUP(C$2, Players!$A$1:$P$1, Players!$A98:$P98),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99" s="29" t="str">
        <f t="array" ref="D99">IF($A99="", "", IFERROR(LET(x, XLOOKUP(D$2, Players!$A$1:$P$1, Players!$A98:$P98),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99" s="29" t="str">
        <f t="array" ref="E99">IF($A99="", "", IFERROR(LET(x, XLOOKUP(E$2, Players!$A$1:$P$1, Players!$A98:$P98),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99" s="29" t="str">
        <f t="array" ref="F99">IF($A99="", "", IFERROR(LET(x, XLOOKUP(F$2, Players!$A$1:$P$1, Players!$A98:$P98),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99" s="29" t="str">
        <f t="array" ref="G99">IF($A99="", "", IFERROR(LET(x, XLOOKUP(G$2, Players!$A$1:$P$1, Players!$A98:$P98),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99" s="29" t="str">
        <f t="array" ref="H99">IF($A99="", "", IFERROR(LET(x, XLOOKUP(H$2, Players!$A$1:$P$1, Players!$A98:$P98),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99" s="29" t="str">
        <f t="array" ref="I99">IF($A99="", "", IFERROR(LET(x, XLOOKUP(I$2, Players!$A$1:$P$1, Players!$A98:$P98),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99" s="29" t="str">
        <f t="array" ref="J99">IF($A99="", "", IFERROR(LET(x, XLOOKUP(J$2, Players!$A$1:$P$1, Players!$A98:$P98),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99" s="29" t="str">
        <f t="array" ref="K99">IF($A99="", "", IFERROR(LET(x, XLOOKUP(K$2, Players!$A$1:$P$1, Players!$A98:$P98),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99" s="29" t="str">
        <f t="array" ref="L99">IF($A99="", "", IFERROR(LET(x, XLOOKUP(L$2, Players!$A$1:$P$1, Players!$A98:$P98),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99" s="29" t="str">
        <f t="array" ref="M99">IF($A99="", "", IFERROR(LET(x, XLOOKUP(M$2, Players!$A$1:$P$1, Players!$A98:$P98),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99" s="29" t="str">
        <f t="array" ref="N99">IF($A99="", "", IFERROR(LET(x, XLOOKUP(N$2, Players!$A$1:$P$1, Players!$A98:$P98),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99" s="29" t="str">
        <f t="array" ref="O99">IF($A99="", "", IFERROR(LET(x, XLOOKUP(O$2, Players!$A$1:$P$1, Players!$A98:$P98),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99" s="29" t="str">
        <f t="array" ref="P99">IF($A99="", "", IFERROR(LET(x, XLOOKUP(P$2, Players!$A$1:$P$1, Players!$A98:$P98),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99" s="29" t="str">
        <f t="array" ref="Q99">IF($A99="", "", IFERROR(LET(x, XLOOKUP(Q$2, Players!$A$1:$P$1, Players!$A98:$P98),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99" s="29" t="str">
        <f t="array" ref="R99">IF($A99="", "", IFERROR(LET(x, XLOOKUP(R$2, Players!$A$1:$P$1, Players!$A98:$P98),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99" s="29" t="str">
        <f t="array" ref="S99">IF($A99="", "", IFERROR(LET(x, XLOOKUP(S$2, Players!$A$1:$P$1, Players!$A98:$P98),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99" s="29" t="str">
        <f t="array" ref="T99">IF($A99="", "", IFERROR(LET(x, XLOOKUP(T$2, Players!$A$1:$P$1, Players!$A98:$P98),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99" s="29" t="str">
        <f t="array" ref="U99">IF($A99="", "", IFERROR(LET(x, XLOOKUP(U$2, Players!$A$1:$P$1, Players!$A98:$P98),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99" s="29" t="str">
        <f t="array" ref="V99">IF($A99="", "", IFERROR(LET(x, XLOOKUP(V$2, Players!$A$1:$P$1, Players!$A98:$P98),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99" s="29" t="str">
        <f t="array" ref="W99">IF($A99="", "", IFERROR(LET(x, XLOOKUP(W$2, Players!$A$1:$P$1, Players!$A98:$P98),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row r="100">
      <c r="A100" s="29" t="str">
        <f>IF(Players!A99="","",Players!A99)</f>
        <v/>
      </c>
      <c r="B100" s="29" t="str">
        <f t="array" ref="B100">IF($A100="", "", IFERROR(LET(x, XLOOKUP(B$2, Players!$A$1:$P$1, Players!$A99:$P99), IF(B$2="Hgt", ROUND(FORECAST(x, Percentiles!$L$2:$L$12, Percentiles!$M$2:$M$12), 2), LET(rowX, MATCH(B$2, Translation_Matrix!$A$1:$A$37, 0) - 1, rowY, MATCH(B$1, Translation_Matrix!$A$1:$A$37, 0) - 1, matchIdx, IFNA(MATCH(x, OFFSET(Translation_Matrix!$B$1, rowX, 0, 1, 8), 1), 1), colIdx, MIN(6, matchIdx - 1), ROUND(FORECAST(x, OFFSET(Translation_Matrix!$B$1, rowY, colIdx, 1, 2), OFFSET(Translation_Matrix!$B$1, rowX, colIdx, 1, 2)), 0)))),""))</f>
        <v/>
      </c>
      <c r="C100" s="29" t="str">
        <f t="array" ref="C100">IF($A100="", "", IFERROR(LET(x, XLOOKUP(C$2, Players!$A$1:$P$1, Players!$A99:$P99), IF(C$2="Hgt", ROUND(FORECAST(x, Percentiles!$L$2:$L$12, Percentiles!$M$2:$M$12), 2), LET(rowX, MATCH(C$2, Translation_Matrix!$A$1:$A$37, 0) - 1, rowY, MATCH(C$1, Translation_Matrix!$A$1:$A$37, 0) - 1, matchIdx, IFNA(MATCH(x, OFFSET(Translation_Matrix!$B$1, rowX, 0, 1, 8), 1), 1), colIdx, MIN(6, matchIdx - 1), ROUND(FORECAST(x, OFFSET(Translation_Matrix!$B$1, rowY, colIdx, 1, 2), OFFSET(Translation_Matrix!$B$1, rowX, colIdx, 1, 2)), 0)))),""))</f>
        <v/>
      </c>
      <c r="D100" s="29" t="str">
        <f t="array" ref="D100">IF($A100="", "", IFERROR(LET(x, XLOOKUP(D$2, Players!$A$1:$P$1, Players!$A99:$P99), IF(D$2="Hgt", ROUND(FORECAST(x, Percentiles!$L$2:$L$12, Percentiles!$M$2:$M$12), 2), LET(rowX, MATCH(D$2, Translation_Matrix!$A$1:$A$37, 0) - 1, rowY, MATCH(D$1, Translation_Matrix!$A$1:$A$37, 0) - 1, matchIdx, IFNA(MATCH(x, OFFSET(Translation_Matrix!$B$1, rowX, 0, 1, 8), 1), 1), colIdx, MIN(6, matchIdx - 1), ROUND(FORECAST(x, OFFSET(Translation_Matrix!$B$1, rowY, colIdx, 1, 2), OFFSET(Translation_Matrix!$B$1, rowX, colIdx, 1, 2)), 0)))),""))</f>
        <v/>
      </c>
      <c r="E100" s="29" t="str">
        <f t="array" ref="E100">IF($A100="", "", IFERROR(LET(x, XLOOKUP(E$2, Players!$A$1:$P$1, Players!$A99:$P99), IF(E$2="Hgt", ROUND(FORECAST(x, Percentiles!$L$2:$L$12, Percentiles!$M$2:$M$12), 2), LET(rowX, MATCH(E$2, Translation_Matrix!$A$1:$A$37, 0) - 1, rowY, MATCH(E$1, Translation_Matrix!$A$1:$A$37, 0) - 1, matchIdx, IFNA(MATCH(x, OFFSET(Translation_Matrix!$B$1, rowX, 0, 1, 8), 1), 1), colIdx, MIN(6, matchIdx - 1), ROUND(FORECAST(x, OFFSET(Translation_Matrix!$B$1, rowY, colIdx, 1, 2), OFFSET(Translation_Matrix!$B$1, rowX, colIdx, 1, 2)), 0)))),""))</f>
        <v/>
      </c>
      <c r="F100" s="29" t="str">
        <f t="array" ref="F100">IF($A100="", "", IFERROR(LET(x, XLOOKUP(F$2, Players!$A$1:$P$1, Players!$A99:$P99), IF(F$2="Hgt", ROUND(FORECAST(x, Percentiles!$L$2:$L$12, Percentiles!$M$2:$M$12), 2), LET(rowX, MATCH(F$2, Translation_Matrix!$A$1:$A$37, 0) - 1, rowY, MATCH(F$1, Translation_Matrix!$A$1:$A$37, 0) - 1, matchIdx, IFNA(MATCH(x, OFFSET(Translation_Matrix!$B$1, rowX, 0, 1, 8), 1), 1), colIdx, MIN(6, matchIdx - 1), ROUND(FORECAST(x, OFFSET(Translation_Matrix!$B$1, rowY, colIdx, 1, 2), OFFSET(Translation_Matrix!$B$1, rowX, colIdx, 1, 2)), 0)))),""))</f>
        <v/>
      </c>
      <c r="G100" s="29" t="str">
        <f t="array" ref="G100">IF($A100="", "", IFERROR(LET(x, XLOOKUP(G$2, Players!$A$1:$P$1, Players!$A99:$P99), IF(G$2="Hgt", ROUND(FORECAST(x, Percentiles!$L$2:$L$12, Percentiles!$M$2:$M$12), 2), LET(rowX, MATCH(G$2, Translation_Matrix!$A$1:$A$37, 0) - 1, rowY, MATCH(G$1, Translation_Matrix!$A$1:$A$37, 0) - 1, matchIdx, IFNA(MATCH(x, OFFSET(Translation_Matrix!$B$1, rowX, 0, 1, 8), 1), 1), colIdx, MIN(6, matchIdx - 1), ROUND(FORECAST(x, OFFSET(Translation_Matrix!$B$1, rowY, colIdx, 1, 2), OFFSET(Translation_Matrix!$B$1, rowX, colIdx, 1, 2)), 0)))),""))</f>
        <v/>
      </c>
      <c r="H100" s="29" t="str">
        <f t="array" ref="H100">IF($A100="", "", IFERROR(LET(x, XLOOKUP(H$2, Players!$A$1:$P$1, Players!$A99:$P99), IF(H$2="Hgt", ROUND(FORECAST(x, Percentiles!$L$2:$L$12, Percentiles!$M$2:$M$12), 2), LET(rowX, MATCH(H$2, Translation_Matrix!$A$1:$A$37, 0) - 1, rowY, MATCH(H$1, Translation_Matrix!$A$1:$A$37, 0) - 1, matchIdx, IFNA(MATCH(x, OFFSET(Translation_Matrix!$B$1, rowX, 0, 1, 8), 1), 1), colIdx, MIN(6, matchIdx - 1), ROUND(FORECAST(x, OFFSET(Translation_Matrix!$B$1, rowY, colIdx, 1, 2), OFFSET(Translation_Matrix!$B$1, rowX, colIdx, 1, 2)), 0)))),""))</f>
        <v/>
      </c>
      <c r="I100" s="29" t="str">
        <f t="array" ref="I100">IF($A100="", "", IFERROR(LET(x, XLOOKUP(I$2, Players!$A$1:$P$1, Players!$A99:$P99), IF(I$2="Hgt", ROUND(FORECAST(x, Percentiles!$L$2:$L$12, Percentiles!$M$2:$M$12), 2), LET(rowX, MATCH(I$2, Translation_Matrix!$A$1:$A$37, 0) - 1, rowY, MATCH(I$1, Translation_Matrix!$A$1:$A$37, 0) - 1, matchIdx, IFNA(MATCH(x, OFFSET(Translation_Matrix!$B$1, rowX, 0, 1, 8), 1), 1), colIdx, MIN(6, matchIdx - 1), ROUND(FORECAST(x, OFFSET(Translation_Matrix!$B$1, rowY, colIdx, 1, 2), OFFSET(Translation_Matrix!$B$1, rowX, colIdx, 1, 2)), 0)))),""))</f>
        <v/>
      </c>
      <c r="J100" s="29" t="str">
        <f t="array" ref="J100">IF($A100="", "", IFERROR(LET(x, XLOOKUP(J$2, Players!$A$1:$P$1, Players!$A99:$P99), IF(J$2="Hgt", ROUND(FORECAST(x, Percentiles!$L$2:$L$12, Percentiles!$M$2:$M$12), 2), LET(rowX, MATCH(J$2, Translation_Matrix!$A$1:$A$37, 0) - 1, rowY, MATCH(J$1, Translation_Matrix!$A$1:$A$37, 0) - 1, matchIdx, IFNA(MATCH(x, OFFSET(Translation_Matrix!$B$1, rowX, 0, 1, 8), 1), 1), colIdx, MIN(6, matchIdx - 1), ROUND(FORECAST(x, OFFSET(Translation_Matrix!$B$1, rowY, colIdx, 1, 2), OFFSET(Translation_Matrix!$B$1, rowX, colIdx, 1, 2)), 0)))),""))</f>
        <v/>
      </c>
      <c r="K100" s="29" t="str">
        <f t="array" ref="K100">IF($A100="", "", IFERROR(LET(x, XLOOKUP(K$2, Players!$A$1:$P$1, Players!$A99:$P99), IF(K$2="Hgt", ROUND(FORECAST(x, Percentiles!$L$2:$L$12, Percentiles!$M$2:$M$12), 2), LET(rowX, MATCH(K$2, Translation_Matrix!$A$1:$A$37, 0) - 1, rowY, MATCH(K$1, Translation_Matrix!$A$1:$A$37, 0) - 1, matchIdx, IFNA(MATCH(x, OFFSET(Translation_Matrix!$B$1, rowX, 0, 1, 8), 1), 1), colIdx, MIN(6, matchIdx - 1), ROUND(FORECAST(x, OFFSET(Translation_Matrix!$B$1, rowY, colIdx, 1, 2), OFFSET(Translation_Matrix!$B$1, rowX, colIdx, 1, 2)), 0)))),""))</f>
        <v/>
      </c>
      <c r="L100" s="29" t="str">
        <f t="array" ref="L100">IF($A100="", "", IFERROR(LET(x, XLOOKUP(L$2, Players!$A$1:$P$1, Players!$A99:$P99), IF(L$2="Hgt", ROUND(FORECAST(x, Percentiles!$L$2:$L$12, Percentiles!$M$2:$M$12), 2), LET(rowX, MATCH(L$2, Translation_Matrix!$A$1:$A$37, 0) - 1, rowY, MATCH(L$1, Translation_Matrix!$A$1:$A$37, 0) - 1, matchIdx, IFNA(MATCH(x, OFFSET(Translation_Matrix!$B$1, rowX, 0, 1, 8), 1), 1), colIdx, MIN(6, matchIdx - 1), ROUND(FORECAST(x, OFFSET(Translation_Matrix!$B$1, rowY, colIdx, 1, 2), OFFSET(Translation_Matrix!$B$1, rowX, colIdx, 1, 2)), 0)))),""))</f>
        <v/>
      </c>
      <c r="M100" s="29" t="str">
        <f t="array" ref="M100">IF($A100="", "", IFERROR(LET(x, XLOOKUP(M$2, Players!$A$1:$P$1, Players!$A99:$P99), IF(M$2="Hgt", ROUND(FORECAST(x, Percentiles!$L$2:$L$12, Percentiles!$M$2:$M$12), 2), LET(rowX, MATCH(M$2, Translation_Matrix!$A$1:$A$37, 0) - 1, rowY, MATCH(M$1, Translation_Matrix!$A$1:$A$37, 0) - 1, matchIdx, IFNA(MATCH(x, OFFSET(Translation_Matrix!$B$1, rowX, 0, 1, 8), 1), 1), colIdx, MIN(6, matchIdx - 1), ROUND(FORECAST(x, OFFSET(Translation_Matrix!$B$1, rowY, colIdx, 1, 2), OFFSET(Translation_Matrix!$B$1, rowX, colIdx, 1, 2)), 0)))),""))</f>
        <v/>
      </c>
      <c r="N100" s="29" t="str">
        <f t="array" ref="N100">IF($A100="", "", IFERROR(LET(x, XLOOKUP(N$2, Players!$A$1:$P$1, Players!$A99:$P99), IF(N$2="Hgt", ROUND(FORECAST(x, Percentiles!$L$2:$L$12, Percentiles!$M$2:$M$12), 2), LET(rowX, MATCH(N$2, Translation_Matrix!$A$1:$A$37, 0) - 1, rowY, MATCH(N$1, Translation_Matrix!$A$1:$A$37, 0) - 1, matchIdx, IFNA(MATCH(x, OFFSET(Translation_Matrix!$B$1, rowX, 0, 1, 8), 1), 1), colIdx, MIN(6, matchIdx - 1), ROUND(FORECAST(x, OFFSET(Translation_Matrix!$B$1, rowY, colIdx, 1, 2), OFFSET(Translation_Matrix!$B$1, rowX, colIdx, 1, 2)), 0)))),""))</f>
        <v/>
      </c>
      <c r="O100" s="29" t="str">
        <f t="array" ref="O100">IF($A100="", "", IFERROR(LET(x, XLOOKUP(O$2, Players!$A$1:$P$1, Players!$A99:$P99), IF(O$2="Hgt", ROUND(FORECAST(x, Percentiles!$L$2:$L$12, Percentiles!$M$2:$M$12), 2), LET(rowX, MATCH(O$2, Translation_Matrix!$A$1:$A$37, 0) - 1, rowY, MATCH(O$1, Translation_Matrix!$A$1:$A$37, 0) - 1, matchIdx, IFNA(MATCH(x, OFFSET(Translation_Matrix!$B$1, rowX, 0, 1, 8), 1), 1), colIdx, MIN(6, matchIdx - 1), ROUND(FORECAST(x, OFFSET(Translation_Matrix!$B$1, rowY, colIdx, 1, 2), OFFSET(Translation_Matrix!$B$1, rowX, colIdx, 1, 2)), 0)))),""))</f>
        <v/>
      </c>
      <c r="P100" s="29" t="str">
        <f t="array" ref="P100">IF($A100="", "", IFERROR(LET(x, XLOOKUP(P$2, Players!$A$1:$P$1, Players!$A99:$P99), IF(P$2="Hgt", ROUND(FORECAST(x, Percentiles!$L$2:$L$12, Percentiles!$M$2:$M$12), 2), LET(rowX, MATCH(P$2, Translation_Matrix!$A$1:$A$37, 0) - 1, rowY, MATCH(P$1, Translation_Matrix!$A$1:$A$37, 0) - 1, matchIdx, IFNA(MATCH(x, OFFSET(Translation_Matrix!$B$1, rowX, 0, 1, 8), 1), 1), colIdx, MIN(6, matchIdx - 1), ROUND(FORECAST(x, OFFSET(Translation_Matrix!$B$1, rowY, colIdx, 1, 2), OFFSET(Translation_Matrix!$B$1, rowX, colIdx, 1, 2)), 0)))),""))</f>
        <v/>
      </c>
      <c r="Q100" s="29" t="str">
        <f t="array" ref="Q100">IF($A100="", "", IFERROR(LET(x, XLOOKUP(Q$2, Players!$A$1:$P$1, Players!$A99:$P99), IF(Q$2="Hgt", ROUND(FORECAST(x, Percentiles!$L$2:$L$12, Percentiles!$M$2:$M$12), 2), LET(rowX, MATCH(Q$2, Translation_Matrix!$A$1:$A$37, 0) - 1, rowY, MATCH(Q$1, Translation_Matrix!$A$1:$A$37, 0) - 1, matchIdx, IFNA(MATCH(x, OFFSET(Translation_Matrix!$B$1, rowX, 0, 1, 8), 1), 1), colIdx, MIN(6, matchIdx - 1), ROUND(FORECAST(x, OFFSET(Translation_Matrix!$B$1, rowY, colIdx, 1, 2), OFFSET(Translation_Matrix!$B$1, rowX, colIdx, 1, 2)), 0)))),""))</f>
        <v/>
      </c>
      <c r="R100" s="29" t="str">
        <f t="array" ref="R100">IF($A100="", "", IFERROR(LET(x, XLOOKUP(R$2, Players!$A$1:$P$1, Players!$A99:$P99), IF(R$2="Hgt", ROUND(FORECAST(x, Percentiles!$L$2:$L$12, Percentiles!$M$2:$M$12), 2), LET(rowX, MATCH(R$2, Translation_Matrix!$A$1:$A$37, 0) - 1, rowY, MATCH(R$1, Translation_Matrix!$A$1:$A$37, 0) - 1, matchIdx, IFNA(MATCH(x, OFFSET(Translation_Matrix!$B$1, rowX, 0, 1, 8), 1), 1), colIdx, MIN(6, matchIdx - 1), ROUND(FORECAST(x, OFFSET(Translation_Matrix!$B$1, rowY, colIdx, 1, 2), OFFSET(Translation_Matrix!$B$1, rowX, colIdx, 1, 2)), 0)))),""))</f>
        <v/>
      </c>
      <c r="S100" s="29" t="str">
        <f t="array" ref="S100">IF($A100="", "", IFERROR(LET(x, XLOOKUP(S$2, Players!$A$1:$P$1, Players!$A99:$P99), IF(S$2="Hgt", ROUND(FORECAST(x, Percentiles!$L$2:$L$12, Percentiles!$M$2:$M$12), 2), LET(rowX, MATCH(S$2, Translation_Matrix!$A$1:$A$37, 0) - 1, rowY, MATCH(S$1, Translation_Matrix!$A$1:$A$37, 0) - 1, matchIdx, IFNA(MATCH(x, OFFSET(Translation_Matrix!$B$1, rowX, 0, 1, 8), 1), 1), colIdx, MIN(6, matchIdx - 1), ROUND(FORECAST(x, OFFSET(Translation_Matrix!$B$1, rowY, colIdx, 1, 2), OFFSET(Translation_Matrix!$B$1, rowX, colIdx, 1, 2)), 0)))),""))</f>
        <v/>
      </c>
      <c r="T100" s="29" t="str">
        <f t="array" ref="T100">IF($A100="", "", IFERROR(LET(x, XLOOKUP(T$2, Players!$A$1:$P$1, Players!$A99:$P99), IF(T$2="Hgt", ROUND(FORECAST(x, Percentiles!$L$2:$L$12, Percentiles!$M$2:$M$12), 2), LET(rowX, MATCH(T$2, Translation_Matrix!$A$1:$A$37, 0) - 1, rowY, MATCH(T$1, Translation_Matrix!$A$1:$A$37, 0) - 1, matchIdx, IFNA(MATCH(x, OFFSET(Translation_Matrix!$B$1, rowX, 0, 1, 8), 1), 1), colIdx, MIN(6, matchIdx - 1), ROUND(FORECAST(x, OFFSET(Translation_Matrix!$B$1, rowY, colIdx, 1, 2), OFFSET(Translation_Matrix!$B$1, rowX, colIdx, 1, 2)), 0)))),""))</f>
        <v/>
      </c>
      <c r="U100" s="29" t="str">
        <f t="array" ref="U100">IF($A100="", "", IFERROR(LET(x, XLOOKUP(U$2, Players!$A$1:$P$1, Players!$A99:$P99), IF(U$2="Hgt", ROUND(FORECAST(x, Percentiles!$L$2:$L$12, Percentiles!$M$2:$M$12), 2), LET(rowX, MATCH(U$2, Translation_Matrix!$A$1:$A$37, 0) - 1, rowY, MATCH(U$1, Translation_Matrix!$A$1:$A$37, 0) - 1, matchIdx, IFNA(MATCH(x, OFFSET(Translation_Matrix!$B$1, rowX, 0, 1, 8), 1), 1), colIdx, MIN(6, matchIdx - 1), ROUND(FORECAST(x, OFFSET(Translation_Matrix!$B$1, rowY, colIdx, 1, 2), OFFSET(Translation_Matrix!$B$1, rowX, colIdx, 1, 2)), 0)))),""))</f>
        <v/>
      </c>
      <c r="V100" s="29" t="str">
        <f t="array" ref="V100">IF($A100="", "", IFERROR(LET(x, XLOOKUP(V$2, Players!$A$1:$P$1, Players!$A99:$P99), IF(V$2="Hgt", ROUND(FORECAST(x, Percentiles!$L$2:$L$12, Percentiles!$M$2:$M$12), 2), LET(rowX, MATCH(V$2, Translation_Matrix!$A$1:$A$37, 0) - 1, rowY, MATCH(V$1, Translation_Matrix!$A$1:$A$37, 0) - 1, matchIdx, IFNA(MATCH(x, OFFSET(Translation_Matrix!$B$1, rowX, 0, 1, 8), 1), 1), colIdx, MIN(6, matchIdx - 1), ROUND(FORECAST(x, OFFSET(Translation_Matrix!$B$1, rowY, colIdx, 1, 2), OFFSET(Translation_Matrix!$B$1, rowX, colIdx, 1, 2)), 0)))),""))</f>
        <v/>
      </c>
      <c r="W100" s="29" t="str">
        <f t="array" ref="W100">IF($A100="", "", IFERROR(LET(x, XLOOKUP(W$2, Players!$A$1:$P$1, Players!$A99:$P99), IF(W$2="Hgt", ROUND(FORECAST(x, Percentiles!$L$2:$L$12, Percentiles!$M$2:$M$12), 2), LET(rowX, MATCH(W$2, Translation_Matrix!$A$1:$A$37, 0) - 1, rowY, MATCH(W$1, Translation_Matrix!$A$1:$A$37, 0) - 1, matchIdx, IFNA(MATCH(x, OFFSET(Translation_Matrix!$B$1, rowX, 0, 1, 8), 1), 1), colIdx, MIN(6, matchIdx - 1), ROUND(FORECAST(x, OFFSET(Translation_Matrix!$B$1, rowY, colIdx, 1, 2), OFFSET(Translation_Matrix!$B$1, rowX, colIdx, 1, 2)), 0)))),""))</f>
        <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3340</v>
      </c>
      <c r="B1" s="28" t="s">
        <v>2</v>
      </c>
      <c r="C1" s="28" t="s">
        <v>23</v>
      </c>
      <c r="D1" s="28" t="s">
        <v>21</v>
      </c>
      <c r="E1" s="28" t="s">
        <v>22</v>
      </c>
      <c r="F1" s="28" t="s">
        <v>24</v>
      </c>
      <c r="G1" s="28" t="s">
        <v>4</v>
      </c>
      <c r="H1" s="28" t="s">
        <v>5</v>
      </c>
      <c r="I1" s="28" t="s">
        <v>8</v>
      </c>
      <c r="J1" s="28" t="s">
        <v>6</v>
      </c>
      <c r="K1" s="28" t="s">
        <v>7</v>
      </c>
      <c r="L1" s="28" t="s">
        <v>11</v>
      </c>
      <c r="M1" s="28" t="s">
        <v>9</v>
      </c>
      <c r="N1" s="28" t="s">
        <v>10</v>
      </c>
      <c r="O1" s="28" t="s">
        <v>15</v>
      </c>
      <c r="P1" s="28" t="s">
        <v>16</v>
      </c>
      <c r="Q1" s="28" t="s">
        <v>17</v>
      </c>
      <c r="R1" s="28" t="s">
        <v>18</v>
      </c>
      <c r="S1" s="28" t="s">
        <v>13</v>
      </c>
      <c r="T1" s="28" t="s">
        <v>14</v>
      </c>
      <c r="U1" s="28" t="s">
        <v>12</v>
      </c>
      <c r="V1" s="28" t="s">
        <v>19</v>
      </c>
      <c r="W1" s="28" t="s">
        <v>20</v>
      </c>
    </row>
    <row r="2">
      <c r="A2" s="28" t="s">
        <v>3355</v>
      </c>
      <c r="B2" s="28" t="s">
        <v>3322</v>
      </c>
      <c r="C2" s="28" t="s">
        <v>3323</v>
      </c>
      <c r="D2" s="28" t="s">
        <v>3324</v>
      </c>
      <c r="E2" s="28" t="s">
        <v>3324</v>
      </c>
      <c r="F2" s="28" t="s">
        <v>3325</v>
      </c>
      <c r="G2" s="28" t="s">
        <v>3327</v>
      </c>
      <c r="H2" s="28" t="s">
        <v>3327</v>
      </c>
      <c r="I2" s="28" t="s">
        <v>3327</v>
      </c>
      <c r="J2" s="28" t="s">
        <v>3328</v>
      </c>
      <c r="K2" s="28" t="s">
        <v>3328</v>
      </c>
      <c r="L2" s="28" t="s">
        <v>3329</v>
      </c>
      <c r="M2" s="28" t="s">
        <v>3330</v>
      </c>
      <c r="N2" s="28" t="s">
        <v>3331</v>
      </c>
      <c r="O2" s="28" t="s">
        <v>3332</v>
      </c>
      <c r="P2" s="28" t="s">
        <v>3332</v>
      </c>
      <c r="Q2" s="28" t="s">
        <v>3332</v>
      </c>
      <c r="R2" s="28" t="s">
        <v>3332</v>
      </c>
      <c r="S2" s="28" t="s">
        <v>3333</v>
      </c>
      <c r="T2" s="28" t="s">
        <v>3333</v>
      </c>
      <c r="U2" s="28" t="s">
        <v>3334</v>
      </c>
      <c r="V2" s="28" t="s">
        <v>3335</v>
      </c>
      <c r="W2" s="28" t="s">
        <v>3335</v>
      </c>
    </row>
    <row r="3">
      <c r="A3" s="30" t="str">
        <f>IF(Players!A2="", "", Players!A2)</f>
        <v/>
      </c>
      <c r="B3" s="30" t="str">
        <f t="array" ref="B3">IF($A3="", "", LET(bbgm_stat, INDEX(Players!$A2:$P2, MATCH(B$2, Players!$A$1:$P$1, 0)), perc_75, VLOOKUP(B$2, Percentiles!$A$45:$I$59, 6, FALSE), perc_90, VLOOKUP(B$2, Percentiles!$A$45:$I$59, 7, FALSE), perc_95, VLOOKUP(B$2, Percentiles!$A$45:$I$59, 8, FALSE), perc_85, perc_75 + (perc_90 - perc_75) * (2/3), converted_stat, '2K_Ratings'!B3, IF(bbgm_stat &gt;= perc_95, converted_stat * 3, IF(bbgm_stat &gt;= perc_90, converted_stat * 2, IF(bbgm_stat &gt;= perc_85, converted_stat * 1.5, converted_stat)))))</f>
        <v/>
      </c>
      <c r="C3" s="30" t="str">
        <f t="array" ref="C3">IF($A3="", "", LET(bbgm_stat, INDEX(Players!$A2:$P2, MATCH(C$2, Players!$A$1:$P$1, 0)), perc_75, VLOOKUP(C$2, Percentiles!$A$45:$I$59, 6, FALSE), perc_90, VLOOKUP(C$2, Percentiles!$A$45:$I$59, 7, FALSE), perc_95, VLOOKUP(C$2, Percentiles!$A$45:$I$59, 8, FALSE), perc_85, perc_75 + (perc_90 - perc_75) * (2/3), converted_stat, '2K_Ratings'!C3, IF(bbgm_stat &gt;= perc_95, converted_stat * 3, IF(bbgm_stat &gt;= perc_90, converted_stat * 2, IF(bbgm_stat &gt;= perc_85, converted_stat * 1.5, converted_stat)))))</f>
        <v/>
      </c>
      <c r="D3" s="30" t="str">
        <f t="array" ref="D3">IF($A3="", "", LET(bbgm_stat, INDEX(Players!$A2:$P2, MATCH(D$2, Players!$A$1:$P$1, 0)), perc_75, VLOOKUP(D$2, Percentiles!$A$45:$I$59, 6, FALSE), perc_90, VLOOKUP(D$2, Percentiles!$A$45:$I$59, 7, FALSE), perc_95, VLOOKUP(D$2, Percentiles!$A$45:$I$59, 8, FALSE), perc_85, perc_75 + (perc_90 - perc_75) * (2/3), converted_stat, '2K_Ratings'!D3, IF(bbgm_stat &gt;= perc_95, converted_stat * 3, IF(bbgm_stat &gt;= perc_90, converted_stat * 2, IF(bbgm_stat &gt;= perc_85, converted_stat * 1.5, converted_stat)))))</f>
        <v/>
      </c>
      <c r="E3" s="30" t="str">
        <f t="array" ref="E3">IF($A3="", "", LET(bbgm_stat, INDEX(Players!$A2:$P2, MATCH(E$2, Players!$A$1:$P$1, 0)), perc_75, VLOOKUP(E$2, Percentiles!$A$45:$I$59, 6, FALSE), perc_90, VLOOKUP(E$2, Percentiles!$A$45:$I$59, 7, FALSE), perc_95, VLOOKUP(E$2, Percentiles!$A$45:$I$59, 8, FALSE), perc_85, perc_75 + (perc_90 - perc_75) * (2/3), converted_stat, '2K_Ratings'!E3, IF(bbgm_stat &gt;= perc_95, converted_stat * 3, IF(bbgm_stat &gt;= perc_90, converted_stat * 2, IF(bbgm_stat &gt;= perc_85, converted_stat * 1.5, converted_stat)))))</f>
        <v/>
      </c>
      <c r="F3" s="30" t="str">
        <f t="array" ref="F3">IF($A3="", "", LET(bbgm_stat, INDEX(Players!$A2:$P2, MATCH(F$2, Players!$A$1:$P$1, 0)), perc_75, VLOOKUP(F$2, Percentiles!$A$45:$I$59, 6, FALSE), perc_90, VLOOKUP(F$2, Percentiles!$A$45:$I$59, 7, FALSE), perc_95, VLOOKUP(F$2, Percentiles!$A$45:$I$59, 8, FALSE), perc_85, perc_75 + (perc_90 - perc_75) * (2/3), converted_stat, '2K_Ratings'!F3, IF(bbgm_stat &gt;= perc_95, converted_stat * 3, IF(bbgm_stat &gt;= perc_90, converted_stat * 2, IF(bbgm_stat &gt;= perc_85, converted_stat * 1.5, converted_stat)))))</f>
        <v/>
      </c>
      <c r="G3" s="30" t="str">
        <f t="array" ref="G3">IF($A3="", "", LET(bbgm_stat, INDEX(Players!$A2:$P2, MATCH(G$2, Players!$A$1:$P$1, 0)), perc_75, VLOOKUP(G$2, Percentiles!$A$45:$I$59, 6, FALSE), perc_90, VLOOKUP(G$2, Percentiles!$A$45:$I$59, 7, FALSE), perc_95, VLOOKUP(G$2, Percentiles!$A$45:$I$59, 8, FALSE), perc_85, perc_75 + (perc_90 - perc_75) * (2/3), converted_stat, '2K_Ratings'!G3, IF(bbgm_stat &gt;= perc_95, converted_stat * 3, IF(bbgm_stat &gt;= perc_90, converted_stat * 2, IF(bbgm_stat &gt;= perc_85, converted_stat * 1.5, converted_stat)))))</f>
        <v/>
      </c>
      <c r="H3" s="30" t="str">
        <f t="array" ref="H3">IF($A3="", "", LET(bbgm_stat, INDEX(Players!$A2:$P2, MATCH(H$2, Players!$A$1:$P$1, 0)), perc_75, VLOOKUP(H$2, Percentiles!$A$45:$I$59, 6, FALSE), perc_90, VLOOKUP(H$2, Percentiles!$A$45:$I$59, 7, FALSE), perc_95, VLOOKUP(H$2, Percentiles!$A$45:$I$59, 8, FALSE), perc_85, perc_75 + (perc_90 - perc_75) * (2/3), converted_stat, '2K_Ratings'!H3, IF(bbgm_stat &gt;= perc_95, converted_stat * 3, IF(bbgm_stat &gt;= perc_90, converted_stat * 2, IF(bbgm_stat &gt;= perc_85, converted_stat * 1.5, converted_stat)))))</f>
        <v/>
      </c>
      <c r="I3" s="30" t="str">
        <f t="array" ref="I3">IF($A3="", "", LET(bbgm_stat, INDEX(Players!$A2:$P2, MATCH(I$2, Players!$A$1:$P$1, 0)), perc_75, VLOOKUP(I$2, Percentiles!$A$45:$I$59, 6, FALSE), perc_90, VLOOKUP(I$2, Percentiles!$A$45:$I$59, 7, FALSE), perc_95, VLOOKUP(I$2, Percentiles!$A$45:$I$59, 8, FALSE), perc_85, perc_75 + (perc_90 - perc_75) * (2/3), converted_stat, '2K_Ratings'!I3, IF(bbgm_stat &gt;= perc_95, converted_stat * 3, IF(bbgm_stat &gt;= perc_90, converted_stat * 2, IF(bbgm_stat &gt;= perc_85, converted_stat * 1.5, converted_stat)))))</f>
        <v/>
      </c>
      <c r="J3" s="30" t="str">
        <f t="array" ref="J3">IF($A3="", "", LET(bbgm_stat, INDEX(Players!$A2:$P2, MATCH(J$2, Players!$A$1:$P$1, 0)), perc_75, VLOOKUP(J$2, Percentiles!$A$45:$I$59, 6, FALSE), perc_90, VLOOKUP(J$2, Percentiles!$A$45:$I$59, 7, FALSE), perc_95, VLOOKUP(J$2, Percentiles!$A$45:$I$59, 8, FALSE), perc_85, perc_75 + (perc_90 - perc_75) * (2/3), converted_stat, '2K_Ratings'!J3, IF(bbgm_stat &gt;= perc_95, converted_stat * 3, IF(bbgm_stat &gt;= perc_90, converted_stat * 2, IF(bbgm_stat &gt;= perc_85, converted_stat * 1.5, converted_stat)))))</f>
        <v/>
      </c>
      <c r="K3" s="30" t="str">
        <f t="array" ref="K3">IF($A3="", "", LET(bbgm_stat, INDEX(Players!$A2:$P2, MATCH(K$2, Players!$A$1:$P$1, 0)), perc_75, VLOOKUP(K$2, Percentiles!$A$45:$I$59, 6, FALSE), perc_90, VLOOKUP(K$2, Percentiles!$A$45:$I$59, 7, FALSE), perc_95, VLOOKUP(K$2, Percentiles!$A$45:$I$59, 8, FALSE), perc_85, perc_75 + (perc_90 - perc_75) * (2/3), converted_stat, '2K_Ratings'!K3, IF(bbgm_stat &gt;= perc_95, converted_stat * 3, IF(bbgm_stat &gt;= perc_90, converted_stat * 2, IF(bbgm_stat &gt;= perc_85, converted_stat * 1.5, converted_stat)))))</f>
        <v/>
      </c>
      <c r="L3" s="30" t="str">
        <f t="array" ref="L3">IF($A3="", "", LET(bbgm_stat, INDEX(Players!$A2:$P2, MATCH(L$2, Players!$A$1:$P$1, 0)), perc_75, VLOOKUP(L$2, Percentiles!$A$45:$I$59, 6, FALSE), perc_90, VLOOKUP(L$2, Percentiles!$A$45:$I$59, 7, FALSE), perc_95, VLOOKUP(L$2, Percentiles!$A$45:$I$59, 8, FALSE), perc_85, perc_75 + (perc_90 - perc_75) * (2/3), converted_stat, '2K_Ratings'!L3, IF(bbgm_stat &gt;= perc_95, converted_stat * 3, IF(bbgm_stat &gt;= perc_90, converted_stat * 2, IF(bbgm_stat &gt;= perc_85, converted_stat * 1.5, converted_stat)))))</f>
        <v/>
      </c>
      <c r="M3" s="30" t="str">
        <f t="array" ref="M3">IF($A3="", "", LET(bbgm_stat, INDEX(Players!$A2:$P2, MATCH(M$2, Players!$A$1:$P$1, 0)), perc_75, VLOOKUP(M$2, Percentiles!$A$45:$I$59, 6, FALSE), perc_90, VLOOKUP(M$2, Percentiles!$A$45:$I$59, 7, FALSE), perc_95, VLOOKUP(M$2, Percentiles!$A$45:$I$59, 8, FALSE), perc_85, perc_75 + (perc_90 - perc_75) * (2/3), converted_stat, '2K_Ratings'!M3, IF(bbgm_stat &gt;= perc_95, converted_stat * 3, IF(bbgm_stat &gt;= perc_90, converted_stat * 2, IF(bbgm_stat &gt;= perc_85, converted_stat * 1.5, converted_stat)))))</f>
        <v/>
      </c>
      <c r="N3" s="30" t="str">
        <f t="array" ref="N3">IF($A3="", "", LET(bbgm_stat, INDEX(Players!$A2:$P2, MATCH(N$2, Players!$A$1:$P$1, 0)), perc_75, VLOOKUP(N$2, Percentiles!$A$45:$I$59, 6, FALSE), perc_90, VLOOKUP(N$2, Percentiles!$A$45:$I$59, 7, FALSE), perc_95, VLOOKUP(N$2, Percentiles!$A$45:$I$59, 8, FALSE), perc_85, perc_75 + (perc_90 - perc_75) * (2/3), converted_stat, '2K_Ratings'!N3, IF(bbgm_stat &gt;= perc_95, converted_stat * 3, IF(bbgm_stat &gt;= perc_90, converted_stat * 2, IF(bbgm_stat &gt;= perc_85, converted_stat * 1.5, converted_stat)))))</f>
        <v/>
      </c>
      <c r="O3" s="30" t="str">
        <f t="array" ref="O3">IF($A3="", "", LET(bbgm_stat, INDEX(Players!$A2:$P2, MATCH(O$2, Players!$A$1:$P$1, 0)), perc_75, VLOOKUP(O$2, Percentiles!$A$45:$I$59, 6, FALSE), perc_90, VLOOKUP(O$2, Percentiles!$A$45:$I$59, 7, FALSE), perc_95, VLOOKUP(O$2, Percentiles!$A$45:$I$59, 8, FALSE), perc_85, perc_75 + (perc_90 - perc_75) * (2/3), converted_stat, '2K_Ratings'!O3, IF(bbgm_stat &gt;= perc_95, converted_stat * 3, IF(bbgm_stat &gt;= perc_90, converted_stat * 2, IF(bbgm_stat &gt;= perc_85, converted_stat * 1.5, converted_stat)))))</f>
        <v/>
      </c>
      <c r="P3" s="30" t="str">
        <f t="array" ref="P3">IF($A3="", "", LET(bbgm_stat, INDEX(Players!$A2:$P2, MATCH(P$2, Players!$A$1:$P$1, 0)), perc_75, VLOOKUP(P$2, Percentiles!$A$45:$I$59, 6, FALSE), perc_90, VLOOKUP(P$2, Percentiles!$A$45:$I$59, 7, FALSE), perc_95, VLOOKUP(P$2, Percentiles!$A$45:$I$59, 8, FALSE), perc_85, perc_75 + (perc_90 - perc_75) * (2/3), converted_stat, '2K_Ratings'!P3, IF(bbgm_stat &gt;= perc_95, converted_stat * 3, IF(bbgm_stat &gt;= perc_90, converted_stat * 2, IF(bbgm_stat &gt;= perc_85, converted_stat * 1.5, converted_stat)))))</f>
        <v/>
      </c>
      <c r="Q3" s="30" t="str">
        <f t="array" ref="Q3">IF($A3="", "", LET(bbgm_stat, INDEX(Players!$A2:$P2, MATCH(Q$2, Players!$A$1:$P$1, 0)), perc_75, VLOOKUP(Q$2, Percentiles!$A$45:$I$59, 6, FALSE), perc_90, VLOOKUP(Q$2, Percentiles!$A$45:$I$59, 7, FALSE), perc_95, VLOOKUP(Q$2, Percentiles!$A$45:$I$59, 8, FALSE), perc_85, perc_75 + (perc_90 - perc_75) * (2/3), converted_stat, '2K_Ratings'!Q3, IF(bbgm_stat &gt;= perc_95, converted_stat * 3, IF(bbgm_stat &gt;= perc_90, converted_stat * 2, IF(bbgm_stat &gt;= perc_85, converted_stat * 1.5, converted_stat)))))</f>
        <v/>
      </c>
      <c r="R3" s="30" t="str">
        <f t="array" ref="R3">IF($A3="", "", LET(bbgm_stat, INDEX(Players!$A2:$P2, MATCH(R$2, Players!$A$1:$P$1, 0)), perc_75, VLOOKUP(R$2, Percentiles!$A$45:$I$59, 6, FALSE), perc_90, VLOOKUP(R$2, Percentiles!$A$45:$I$59, 7, FALSE), perc_95, VLOOKUP(R$2, Percentiles!$A$45:$I$59, 8, FALSE), perc_85, perc_75 + (perc_90 - perc_75) * (2/3), converted_stat, '2K_Ratings'!R3, IF(bbgm_stat &gt;= perc_95, converted_stat * 3, IF(bbgm_stat &gt;= perc_90, converted_stat * 2, IF(bbgm_stat &gt;= perc_85, converted_stat * 1.5, converted_stat)))))</f>
        <v/>
      </c>
      <c r="S3" s="30" t="str">
        <f t="array" ref="S3">IF($A3="", "", LET(bbgm_stat, INDEX(Players!$A2:$P2, MATCH(S$2, Players!$A$1:$P$1, 0)), perc_75, VLOOKUP(S$2, Percentiles!$A$45:$I$59, 6, FALSE), perc_90, VLOOKUP(S$2, Percentiles!$A$45:$I$59, 7, FALSE), perc_95, VLOOKUP(S$2, Percentiles!$A$45:$I$59, 8, FALSE), perc_85, perc_75 + (perc_90 - perc_75) * (2/3), converted_stat, '2K_Ratings'!S3, IF(bbgm_stat &gt;= perc_95, converted_stat * 3, IF(bbgm_stat &gt;= perc_90, converted_stat * 2, IF(bbgm_stat &gt;= perc_85, converted_stat * 1.5, converted_stat)))))</f>
        <v/>
      </c>
      <c r="T3" s="30" t="str">
        <f t="array" ref="T3">IF($A3="", "", LET(bbgm_stat, INDEX(Players!$A2:$P2, MATCH(T$2, Players!$A$1:$P$1, 0)), perc_75, VLOOKUP(T$2, Percentiles!$A$45:$I$59, 6, FALSE), perc_90, VLOOKUP(T$2, Percentiles!$A$45:$I$59, 7, FALSE), perc_95, VLOOKUP(T$2, Percentiles!$A$45:$I$59, 8, FALSE), perc_85, perc_75 + (perc_90 - perc_75) * (2/3), converted_stat, '2K_Ratings'!T3, IF(bbgm_stat &gt;= perc_95, converted_stat * 3, IF(bbgm_stat &gt;= perc_90, converted_stat * 2, IF(bbgm_stat &gt;= perc_85, converted_stat * 1.5, converted_stat)))))</f>
        <v/>
      </c>
      <c r="U3" s="30" t="str">
        <f t="array" ref="U3">IF($A3="", "", LET(bbgm_stat, INDEX(Players!$A2:$P2, MATCH(U$2, Players!$A$1:$P$1, 0)), perc_75, VLOOKUP(U$2, Percentiles!$A$45:$I$59, 6, FALSE), perc_90, VLOOKUP(U$2, Percentiles!$A$45:$I$59, 7, FALSE), perc_95, VLOOKUP(U$2, Percentiles!$A$45:$I$59, 8, FALSE), perc_85, perc_75 + (perc_90 - perc_75) * (2/3), converted_stat, '2K_Ratings'!U3, IF(bbgm_stat &gt;= perc_95, converted_stat * 3, IF(bbgm_stat &gt;= perc_90, converted_stat * 2, IF(bbgm_stat &gt;= perc_85, converted_stat * 1.5, converted_stat)))))</f>
        <v/>
      </c>
      <c r="V3" s="30" t="str">
        <f t="array" ref="V3">IF($A3="", "", LET(bbgm_stat, INDEX(Players!$A2:$P2, MATCH(V$2, Players!$A$1:$P$1, 0)), perc_75, VLOOKUP(V$2, Percentiles!$A$45:$I$59, 6, FALSE), perc_90, VLOOKUP(V$2, Percentiles!$A$45:$I$59, 7, FALSE), perc_95, VLOOKUP(V$2, Percentiles!$A$45:$I$59, 8, FALSE), perc_85, perc_75 + (perc_90 - perc_75) * (2/3), converted_stat, '2K_Ratings'!V3, IF(bbgm_stat &gt;= perc_95, converted_stat * 3, IF(bbgm_stat &gt;= perc_90, converted_stat * 2, IF(bbgm_stat &gt;= perc_85, converted_stat * 1.5, converted_stat)))))</f>
        <v/>
      </c>
      <c r="W3" s="30" t="str">
        <f t="array" ref="W3">IF($A3="", "", LET(bbgm_stat, INDEX(Players!$A2:$P2, MATCH(W$2, Players!$A$1:$P$1, 0)), perc_75, VLOOKUP(W$2, Percentiles!$A$45:$I$59, 6, FALSE), perc_90, VLOOKUP(W$2, Percentiles!$A$45:$I$59, 7, FALSE), perc_95, VLOOKUP(W$2, Percentiles!$A$45:$I$59, 8, FALSE), perc_85, perc_75 + (perc_90 - perc_75) * (2/3), converted_stat, '2K_Ratings'!W3, IF(bbgm_stat &gt;= perc_95, converted_stat * 3, IF(bbgm_stat &gt;= perc_90, converted_stat * 2, IF(bbgm_stat &gt;= perc_85, converted_stat * 1.5, converted_stat)))))</f>
        <v/>
      </c>
    </row>
    <row r="4">
      <c r="A4" s="30" t="str">
        <f>IF(Players!A3="", "", Players!A3)</f>
        <v/>
      </c>
      <c r="B4" s="30" t="str">
        <f t="array" ref="B4">IF($A4="", "", LET(bbgm_stat, INDEX(Players!$A3:$P3, MATCH(B$2, Players!$A$1:$P$1, 0)), perc_75, VLOOKUP(B$2, Percentiles!$A$45:$I$59, 6, FALSE), perc_90, VLOOKUP(B$2, Percentiles!$A$45:$I$59, 7, FALSE), perc_95, VLOOKUP(B$2, Percentiles!$A$45:$I$59, 8, FALSE), perc_85, perc_75 + (perc_90 - perc_75) * (2/3), converted_stat, '2K_Ratings'!B4, IF(bbgm_stat &gt;= perc_95, converted_stat * 3, IF(bbgm_stat &gt;= perc_90, converted_stat * 2, IF(bbgm_stat &gt;= perc_85, converted_stat * 1.5, converted_stat)))))</f>
        <v/>
      </c>
      <c r="C4" s="30" t="str">
        <f t="array" ref="C4">IF($A4="", "", LET(bbgm_stat, INDEX(Players!$A3:$P3, MATCH(C$2, Players!$A$1:$P$1, 0)), perc_75, VLOOKUP(C$2, Percentiles!$A$45:$I$59, 6, FALSE), perc_90, VLOOKUP(C$2, Percentiles!$A$45:$I$59, 7, FALSE), perc_95, VLOOKUP(C$2, Percentiles!$A$45:$I$59, 8, FALSE), perc_85, perc_75 + (perc_90 - perc_75) * (2/3), converted_stat, '2K_Ratings'!C4, IF(bbgm_stat &gt;= perc_95, converted_stat * 3, IF(bbgm_stat &gt;= perc_90, converted_stat * 2, IF(bbgm_stat &gt;= perc_85, converted_stat * 1.5, converted_stat)))))</f>
        <v/>
      </c>
      <c r="D4" s="30" t="str">
        <f t="array" ref="D4">IF($A4="", "", LET(bbgm_stat, INDEX(Players!$A3:$P3, MATCH(D$2, Players!$A$1:$P$1, 0)), perc_75, VLOOKUP(D$2, Percentiles!$A$45:$I$59, 6, FALSE), perc_90, VLOOKUP(D$2, Percentiles!$A$45:$I$59, 7, FALSE), perc_95, VLOOKUP(D$2, Percentiles!$A$45:$I$59, 8, FALSE), perc_85, perc_75 + (perc_90 - perc_75) * (2/3), converted_stat, '2K_Ratings'!D4, IF(bbgm_stat &gt;= perc_95, converted_stat * 3, IF(bbgm_stat &gt;= perc_90, converted_stat * 2, IF(bbgm_stat &gt;= perc_85, converted_stat * 1.5, converted_stat)))))</f>
        <v/>
      </c>
      <c r="E4" s="30" t="str">
        <f t="array" ref="E4">IF($A4="", "", LET(bbgm_stat, INDEX(Players!$A3:$P3, MATCH(E$2, Players!$A$1:$P$1, 0)), perc_75, VLOOKUP(E$2, Percentiles!$A$45:$I$59, 6, FALSE), perc_90, VLOOKUP(E$2, Percentiles!$A$45:$I$59, 7, FALSE), perc_95, VLOOKUP(E$2, Percentiles!$A$45:$I$59, 8, FALSE), perc_85, perc_75 + (perc_90 - perc_75) * (2/3), converted_stat, '2K_Ratings'!E4, IF(bbgm_stat &gt;= perc_95, converted_stat * 3, IF(bbgm_stat &gt;= perc_90, converted_stat * 2, IF(bbgm_stat &gt;= perc_85, converted_stat * 1.5, converted_stat)))))</f>
        <v/>
      </c>
      <c r="F4" s="30" t="str">
        <f t="array" ref="F4">IF($A4="", "", LET(bbgm_stat, INDEX(Players!$A3:$P3, MATCH(F$2, Players!$A$1:$P$1, 0)), perc_75, VLOOKUP(F$2, Percentiles!$A$45:$I$59, 6, FALSE), perc_90, VLOOKUP(F$2, Percentiles!$A$45:$I$59, 7, FALSE), perc_95, VLOOKUP(F$2, Percentiles!$A$45:$I$59, 8, FALSE), perc_85, perc_75 + (perc_90 - perc_75) * (2/3), converted_stat, '2K_Ratings'!F4, IF(bbgm_stat &gt;= perc_95, converted_stat * 3, IF(bbgm_stat &gt;= perc_90, converted_stat * 2, IF(bbgm_stat &gt;= perc_85, converted_stat * 1.5, converted_stat)))))</f>
        <v/>
      </c>
      <c r="G4" s="30" t="str">
        <f t="array" ref="G4">IF($A4="", "", LET(bbgm_stat, INDEX(Players!$A3:$P3, MATCH(G$2, Players!$A$1:$P$1, 0)), perc_75, VLOOKUP(G$2, Percentiles!$A$45:$I$59, 6, FALSE), perc_90, VLOOKUP(G$2, Percentiles!$A$45:$I$59, 7, FALSE), perc_95, VLOOKUP(G$2, Percentiles!$A$45:$I$59, 8, FALSE), perc_85, perc_75 + (perc_90 - perc_75) * (2/3), converted_stat, '2K_Ratings'!G4, IF(bbgm_stat &gt;= perc_95, converted_stat * 3, IF(bbgm_stat &gt;= perc_90, converted_stat * 2, IF(bbgm_stat &gt;= perc_85, converted_stat * 1.5, converted_stat)))))</f>
        <v/>
      </c>
      <c r="H4" s="30" t="str">
        <f t="array" ref="H4">IF($A4="", "", LET(bbgm_stat, INDEX(Players!$A3:$P3, MATCH(H$2, Players!$A$1:$P$1, 0)), perc_75, VLOOKUP(H$2, Percentiles!$A$45:$I$59, 6, FALSE), perc_90, VLOOKUP(H$2, Percentiles!$A$45:$I$59, 7, FALSE), perc_95, VLOOKUP(H$2, Percentiles!$A$45:$I$59, 8, FALSE), perc_85, perc_75 + (perc_90 - perc_75) * (2/3), converted_stat, '2K_Ratings'!H4, IF(bbgm_stat &gt;= perc_95, converted_stat * 3, IF(bbgm_stat &gt;= perc_90, converted_stat * 2, IF(bbgm_stat &gt;= perc_85, converted_stat * 1.5, converted_stat)))))</f>
        <v/>
      </c>
      <c r="I4" s="30" t="str">
        <f t="array" ref="I4">IF($A4="", "", LET(bbgm_stat, INDEX(Players!$A3:$P3, MATCH(I$2, Players!$A$1:$P$1, 0)), perc_75, VLOOKUP(I$2, Percentiles!$A$45:$I$59, 6, FALSE), perc_90, VLOOKUP(I$2, Percentiles!$A$45:$I$59, 7, FALSE), perc_95, VLOOKUP(I$2, Percentiles!$A$45:$I$59, 8, FALSE), perc_85, perc_75 + (perc_90 - perc_75) * (2/3), converted_stat, '2K_Ratings'!I4, IF(bbgm_stat &gt;= perc_95, converted_stat * 3, IF(bbgm_stat &gt;= perc_90, converted_stat * 2, IF(bbgm_stat &gt;= perc_85, converted_stat * 1.5, converted_stat)))))</f>
        <v/>
      </c>
      <c r="J4" s="30" t="str">
        <f t="array" ref="J4">IF($A4="", "", LET(bbgm_stat, INDEX(Players!$A3:$P3, MATCH(J$2, Players!$A$1:$P$1, 0)), perc_75, VLOOKUP(J$2, Percentiles!$A$45:$I$59, 6, FALSE), perc_90, VLOOKUP(J$2, Percentiles!$A$45:$I$59, 7, FALSE), perc_95, VLOOKUP(J$2, Percentiles!$A$45:$I$59, 8, FALSE), perc_85, perc_75 + (perc_90 - perc_75) * (2/3), converted_stat, '2K_Ratings'!J4, IF(bbgm_stat &gt;= perc_95, converted_stat * 3, IF(bbgm_stat &gt;= perc_90, converted_stat * 2, IF(bbgm_stat &gt;= perc_85, converted_stat * 1.5, converted_stat)))))</f>
        <v/>
      </c>
      <c r="K4" s="30" t="str">
        <f t="array" ref="K4">IF($A4="", "", LET(bbgm_stat, INDEX(Players!$A3:$P3, MATCH(K$2, Players!$A$1:$P$1, 0)), perc_75, VLOOKUP(K$2, Percentiles!$A$45:$I$59, 6, FALSE), perc_90, VLOOKUP(K$2, Percentiles!$A$45:$I$59, 7, FALSE), perc_95, VLOOKUP(K$2, Percentiles!$A$45:$I$59, 8, FALSE), perc_85, perc_75 + (perc_90 - perc_75) * (2/3), converted_stat, '2K_Ratings'!K4, IF(bbgm_stat &gt;= perc_95, converted_stat * 3, IF(bbgm_stat &gt;= perc_90, converted_stat * 2, IF(bbgm_stat &gt;= perc_85, converted_stat * 1.5, converted_stat)))))</f>
        <v/>
      </c>
      <c r="L4" s="30" t="str">
        <f t="array" ref="L4">IF($A4="", "", LET(bbgm_stat, INDEX(Players!$A3:$P3, MATCH(L$2, Players!$A$1:$P$1, 0)), perc_75, VLOOKUP(L$2, Percentiles!$A$45:$I$59, 6, FALSE), perc_90, VLOOKUP(L$2, Percentiles!$A$45:$I$59, 7, FALSE), perc_95, VLOOKUP(L$2, Percentiles!$A$45:$I$59, 8, FALSE), perc_85, perc_75 + (perc_90 - perc_75) * (2/3), converted_stat, '2K_Ratings'!L4, IF(bbgm_stat &gt;= perc_95, converted_stat * 3, IF(bbgm_stat &gt;= perc_90, converted_stat * 2, IF(bbgm_stat &gt;= perc_85, converted_stat * 1.5, converted_stat)))))</f>
        <v/>
      </c>
      <c r="M4" s="30" t="str">
        <f t="array" ref="M4">IF($A4="", "", LET(bbgm_stat, INDEX(Players!$A3:$P3, MATCH(M$2, Players!$A$1:$P$1, 0)), perc_75, VLOOKUP(M$2, Percentiles!$A$45:$I$59, 6, FALSE), perc_90, VLOOKUP(M$2, Percentiles!$A$45:$I$59, 7, FALSE), perc_95, VLOOKUP(M$2, Percentiles!$A$45:$I$59, 8, FALSE), perc_85, perc_75 + (perc_90 - perc_75) * (2/3), converted_stat, '2K_Ratings'!M4, IF(bbgm_stat &gt;= perc_95, converted_stat * 3, IF(bbgm_stat &gt;= perc_90, converted_stat * 2, IF(bbgm_stat &gt;= perc_85, converted_stat * 1.5, converted_stat)))))</f>
        <v/>
      </c>
      <c r="N4" s="30" t="str">
        <f t="array" ref="N4">IF($A4="", "", LET(bbgm_stat, INDEX(Players!$A3:$P3, MATCH(N$2, Players!$A$1:$P$1, 0)), perc_75, VLOOKUP(N$2, Percentiles!$A$45:$I$59, 6, FALSE), perc_90, VLOOKUP(N$2, Percentiles!$A$45:$I$59, 7, FALSE), perc_95, VLOOKUP(N$2, Percentiles!$A$45:$I$59, 8, FALSE), perc_85, perc_75 + (perc_90 - perc_75) * (2/3), converted_stat, '2K_Ratings'!N4, IF(bbgm_stat &gt;= perc_95, converted_stat * 3, IF(bbgm_stat &gt;= perc_90, converted_stat * 2, IF(bbgm_stat &gt;= perc_85, converted_stat * 1.5, converted_stat)))))</f>
        <v/>
      </c>
      <c r="O4" s="30" t="str">
        <f t="array" ref="O4">IF($A4="", "", LET(bbgm_stat, INDEX(Players!$A3:$P3, MATCH(O$2, Players!$A$1:$P$1, 0)), perc_75, VLOOKUP(O$2, Percentiles!$A$45:$I$59, 6, FALSE), perc_90, VLOOKUP(O$2, Percentiles!$A$45:$I$59, 7, FALSE), perc_95, VLOOKUP(O$2, Percentiles!$A$45:$I$59, 8, FALSE), perc_85, perc_75 + (perc_90 - perc_75) * (2/3), converted_stat, '2K_Ratings'!O4, IF(bbgm_stat &gt;= perc_95, converted_stat * 3, IF(bbgm_stat &gt;= perc_90, converted_stat * 2, IF(bbgm_stat &gt;= perc_85, converted_stat * 1.5, converted_stat)))))</f>
        <v/>
      </c>
      <c r="P4" s="30" t="str">
        <f t="array" ref="P4">IF($A4="", "", LET(bbgm_stat, INDEX(Players!$A3:$P3, MATCH(P$2, Players!$A$1:$P$1, 0)), perc_75, VLOOKUP(P$2, Percentiles!$A$45:$I$59, 6, FALSE), perc_90, VLOOKUP(P$2, Percentiles!$A$45:$I$59, 7, FALSE), perc_95, VLOOKUP(P$2, Percentiles!$A$45:$I$59, 8, FALSE), perc_85, perc_75 + (perc_90 - perc_75) * (2/3), converted_stat, '2K_Ratings'!P4, IF(bbgm_stat &gt;= perc_95, converted_stat * 3, IF(bbgm_stat &gt;= perc_90, converted_stat * 2, IF(bbgm_stat &gt;= perc_85, converted_stat * 1.5, converted_stat)))))</f>
        <v/>
      </c>
      <c r="Q4" s="30" t="str">
        <f t="array" ref="Q4">IF($A4="", "", LET(bbgm_stat, INDEX(Players!$A3:$P3, MATCH(Q$2, Players!$A$1:$P$1, 0)), perc_75, VLOOKUP(Q$2, Percentiles!$A$45:$I$59, 6, FALSE), perc_90, VLOOKUP(Q$2, Percentiles!$A$45:$I$59, 7, FALSE), perc_95, VLOOKUP(Q$2, Percentiles!$A$45:$I$59, 8, FALSE), perc_85, perc_75 + (perc_90 - perc_75) * (2/3), converted_stat, '2K_Ratings'!Q4, IF(bbgm_stat &gt;= perc_95, converted_stat * 3, IF(bbgm_stat &gt;= perc_90, converted_stat * 2, IF(bbgm_stat &gt;= perc_85, converted_stat * 1.5, converted_stat)))))</f>
        <v/>
      </c>
      <c r="R4" s="30" t="str">
        <f t="array" ref="R4">IF($A4="", "", LET(bbgm_stat, INDEX(Players!$A3:$P3, MATCH(R$2, Players!$A$1:$P$1, 0)), perc_75, VLOOKUP(R$2, Percentiles!$A$45:$I$59, 6, FALSE), perc_90, VLOOKUP(R$2, Percentiles!$A$45:$I$59, 7, FALSE), perc_95, VLOOKUP(R$2, Percentiles!$A$45:$I$59, 8, FALSE), perc_85, perc_75 + (perc_90 - perc_75) * (2/3), converted_stat, '2K_Ratings'!R4, IF(bbgm_stat &gt;= perc_95, converted_stat * 3, IF(bbgm_stat &gt;= perc_90, converted_stat * 2, IF(bbgm_stat &gt;= perc_85, converted_stat * 1.5, converted_stat)))))</f>
        <v/>
      </c>
      <c r="S4" s="30" t="str">
        <f t="array" ref="S4">IF($A4="", "", LET(bbgm_stat, INDEX(Players!$A3:$P3, MATCH(S$2, Players!$A$1:$P$1, 0)), perc_75, VLOOKUP(S$2, Percentiles!$A$45:$I$59, 6, FALSE), perc_90, VLOOKUP(S$2, Percentiles!$A$45:$I$59, 7, FALSE), perc_95, VLOOKUP(S$2, Percentiles!$A$45:$I$59, 8, FALSE), perc_85, perc_75 + (perc_90 - perc_75) * (2/3), converted_stat, '2K_Ratings'!S4, IF(bbgm_stat &gt;= perc_95, converted_stat * 3, IF(bbgm_stat &gt;= perc_90, converted_stat * 2, IF(bbgm_stat &gt;= perc_85, converted_stat * 1.5, converted_stat)))))</f>
        <v/>
      </c>
      <c r="T4" s="30" t="str">
        <f t="array" ref="T4">IF($A4="", "", LET(bbgm_stat, INDEX(Players!$A3:$P3, MATCH(T$2, Players!$A$1:$P$1, 0)), perc_75, VLOOKUP(T$2, Percentiles!$A$45:$I$59, 6, FALSE), perc_90, VLOOKUP(T$2, Percentiles!$A$45:$I$59, 7, FALSE), perc_95, VLOOKUP(T$2, Percentiles!$A$45:$I$59, 8, FALSE), perc_85, perc_75 + (perc_90 - perc_75) * (2/3), converted_stat, '2K_Ratings'!T4, IF(bbgm_stat &gt;= perc_95, converted_stat * 3, IF(bbgm_stat &gt;= perc_90, converted_stat * 2, IF(bbgm_stat &gt;= perc_85, converted_stat * 1.5, converted_stat)))))</f>
        <v/>
      </c>
      <c r="U4" s="30" t="str">
        <f t="array" ref="U4">IF($A4="", "", LET(bbgm_stat, INDEX(Players!$A3:$P3, MATCH(U$2, Players!$A$1:$P$1, 0)), perc_75, VLOOKUP(U$2, Percentiles!$A$45:$I$59, 6, FALSE), perc_90, VLOOKUP(U$2, Percentiles!$A$45:$I$59, 7, FALSE), perc_95, VLOOKUP(U$2, Percentiles!$A$45:$I$59, 8, FALSE), perc_85, perc_75 + (perc_90 - perc_75) * (2/3), converted_stat, '2K_Ratings'!U4, IF(bbgm_stat &gt;= perc_95, converted_stat * 3, IF(bbgm_stat &gt;= perc_90, converted_stat * 2, IF(bbgm_stat &gt;= perc_85, converted_stat * 1.5, converted_stat)))))</f>
        <v/>
      </c>
      <c r="V4" s="30" t="str">
        <f t="array" ref="V4">IF($A4="", "", LET(bbgm_stat, INDEX(Players!$A3:$P3, MATCH(V$2, Players!$A$1:$P$1, 0)), perc_75, VLOOKUP(V$2, Percentiles!$A$45:$I$59, 6, FALSE), perc_90, VLOOKUP(V$2, Percentiles!$A$45:$I$59, 7, FALSE), perc_95, VLOOKUP(V$2, Percentiles!$A$45:$I$59, 8, FALSE), perc_85, perc_75 + (perc_90 - perc_75) * (2/3), converted_stat, '2K_Ratings'!V4, IF(bbgm_stat &gt;= perc_95, converted_stat * 3, IF(bbgm_stat &gt;= perc_90, converted_stat * 2, IF(bbgm_stat &gt;= perc_85, converted_stat * 1.5, converted_stat)))))</f>
        <v/>
      </c>
      <c r="W4" s="30" t="str">
        <f t="array" ref="W4">IF($A4="", "", LET(bbgm_stat, INDEX(Players!$A3:$P3, MATCH(W$2, Players!$A$1:$P$1, 0)), perc_75, VLOOKUP(W$2, Percentiles!$A$45:$I$59, 6, FALSE), perc_90, VLOOKUP(W$2, Percentiles!$A$45:$I$59, 7, FALSE), perc_95, VLOOKUP(W$2, Percentiles!$A$45:$I$59, 8, FALSE), perc_85, perc_75 + (perc_90 - perc_75) * (2/3), converted_stat, '2K_Ratings'!W4, IF(bbgm_stat &gt;= perc_95, converted_stat * 3, IF(bbgm_stat &gt;= perc_90, converted_stat * 2, IF(bbgm_stat &gt;= perc_85, converted_stat * 1.5, converted_stat)))))</f>
        <v/>
      </c>
    </row>
    <row r="5">
      <c r="A5" s="30" t="str">
        <f>IF(Players!A4="", "", Players!A4)</f>
        <v/>
      </c>
      <c r="B5" s="30" t="str">
        <f t="array" ref="B5">IF($A5="", "", LET(bbgm_stat, INDEX(Players!$A4:$P4, MATCH(B$2, Players!$A$1:$P$1, 0)), perc_75, VLOOKUP(B$2, Percentiles!$A$45:$I$59, 6, FALSE), perc_90, VLOOKUP(B$2, Percentiles!$A$45:$I$59, 7, FALSE), perc_95, VLOOKUP(B$2, Percentiles!$A$45:$I$59, 8, FALSE), perc_85, perc_75 + (perc_90 - perc_75) * (2/3), converted_stat, '2K_Ratings'!B5, IF(bbgm_stat &gt;= perc_95, converted_stat * 3, IF(bbgm_stat &gt;= perc_90, converted_stat * 2, IF(bbgm_stat &gt;= perc_85, converted_stat * 1.5, converted_stat)))))</f>
        <v/>
      </c>
      <c r="C5" s="30" t="str">
        <f t="array" ref="C5">IF($A5="", "", LET(bbgm_stat, INDEX(Players!$A4:$P4, MATCH(C$2, Players!$A$1:$P$1, 0)), perc_75, VLOOKUP(C$2, Percentiles!$A$45:$I$59, 6, FALSE), perc_90, VLOOKUP(C$2, Percentiles!$A$45:$I$59, 7, FALSE), perc_95, VLOOKUP(C$2, Percentiles!$A$45:$I$59, 8, FALSE), perc_85, perc_75 + (perc_90 - perc_75) * (2/3), converted_stat, '2K_Ratings'!C5, IF(bbgm_stat &gt;= perc_95, converted_stat * 3, IF(bbgm_stat &gt;= perc_90, converted_stat * 2, IF(bbgm_stat &gt;= perc_85, converted_stat * 1.5, converted_stat)))))</f>
        <v/>
      </c>
      <c r="D5" s="30" t="str">
        <f t="array" ref="D5">IF($A5="", "", LET(bbgm_stat, INDEX(Players!$A4:$P4, MATCH(D$2, Players!$A$1:$P$1, 0)), perc_75, VLOOKUP(D$2, Percentiles!$A$45:$I$59, 6, FALSE), perc_90, VLOOKUP(D$2, Percentiles!$A$45:$I$59, 7, FALSE), perc_95, VLOOKUP(D$2, Percentiles!$A$45:$I$59, 8, FALSE), perc_85, perc_75 + (perc_90 - perc_75) * (2/3), converted_stat, '2K_Ratings'!D5, IF(bbgm_stat &gt;= perc_95, converted_stat * 3, IF(bbgm_stat &gt;= perc_90, converted_stat * 2, IF(bbgm_stat &gt;= perc_85, converted_stat * 1.5, converted_stat)))))</f>
        <v/>
      </c>
      <c r="E5" s="30" t="str">
        <f t="array" ref="E5">IF($A5="", "", LET(bbgm_stat, INDEX(Players!$A4:$P4, MATCH(E$2, Players!$A$1:$P$1, 0)), perc_75, VLOOKUP(E$2, Percentiles!$A$45:$I$59, 6, FALSE), perc_90, VLOOKUP(E$2, Percentiles!$A$45:$I$59, 7, FALSE), perc_95, VLOOKUP(E$2, Percentiles!$A$45:$I$59, 8, FALSE), perc_85, perc_75 + (perc_90 - perc_75) * (2/3), converted_stat, '2K_Ratings'!E5, IF(bbgm_stat &gt;= perc_95, converted_stat * 3, IF(bbgm_stat &gt;= perc_90, converted_stat * 2, IF(bbgm_stat &gt;= perc_85, converted_stat * 1.5, converted_stat)))))</f>
        <v/>
      </c>
      <c r="F5" s="30" t="str">
        <f t="array" ref="F5">IF($A5="", "", LET(bbgm_stat, INDEX(Players!$A4:$P4, MATCH(F$2, Players!$A$1:$P$1, 0)), perc_75, VLOOKUP(F$2, Percentiles!$A$45:$I$59, 6, FALSE), perc_90, VLOOKUP(F$2, Percentiles!$A$45:$I$59, 7, FALSE), perc_95, VLOOKUP(F$2, Percentiles!$A$45:$I$59, 8, FALSE), perc_85, perc_75 + (perc_90 - perc_75) * (2/3), converted_stat, '2K_Ratings'!F5, IF(bbgm_stat &gt;= perc_95, converted_stat * 3, IF(bbgm_stat &gt;= perc_90, converted_stat * 2, IF(bbgm_stat &gt;= perc_85, converted_stat * 1.5, converted_stat)))))</f>
        <v/>
      </c>
      <c r="G5" s="30" t="str">
        <f t="array" ref="G5">IF($A5="", "", LET(bbgm_stat, INDEX(Players!$A4:$P4, MATCH(G$2, Players!$A$1:$P$1, 0)), perc_75, VLOOKUP(G$2, Percentiles!$A$45:$I$59, 6, FALSE), perc_90, VLOOKUP(G$2, Percentiles!$A$45:$I$59, 7, FALSE), perc_95, VLOOKUP(G$2, Percentiles!$A$45:$I$59, 8, FALSE), perc_85, perc_75 + (perc_90 - perc_75) * (2/3), converted_stat, '2K_Ratings'!G5, IF(bbgm_stat &gt;= perc_95, converted_stat * 3, IF(bbgm_stat &gt;= perc_90, converted_stat * 2, IF(bbgm_stat &gt;= perc_85, converted_stat * 1.5, converted_stat)))))</f>
        <v/>
      </c>
      <c r="H5" s="30" t="str">
        <f t="array" ref="H5">IF($A5="", "", LET(bbgm_stat, INDEX(Players!$A4:$P4, MATCH(H$2, Players!$A$1:$P$1, 0)), perc_75, VLOOKUP(H$2, Percentiles!$A$45:$I$59, 6, FALSE), perc_90, VLOOKUP(H$2, Percentiles!$A$45:$I$59, 7, FALSE), perc_95, VLOOKUP(H$2, Percentiles!$A$45:$I$59, 8, FALSE), perc_85, perc_75 + (perc_90 - perc_75) * (2/3), converted_stat, '2K_Ratings'!H5, IF(bbgm_stat &gt;= perc_95, converted_stat * 3, IF(bbgm_stat &gt;= perc_90, converted_stat * 2, IF(bbgm_stat &gt;= perc_85, converted_stat * 1.5, converted_stat)))))</f>
        <v/>
      </c>
      <c r="I5" s="30" t="str">
        <f t="array" ref="I5">IF($A5="", "", LET(bbgm_stat, INDEX(Players!$A4:$P4, MATCH(I$2, Players!$A$1:$P$1, 0)), perc_75, VLOOKUP(I$2, Percentiles!$A$45:$I$59, 6, FALSE), perc_90, VLOOKUP(I$2, Percentiles!$A$45:$I$59, 7, FALSE), perc_95, VLOOKUP(I$2, Percentiles!$A$45:$I$59, 8, FALSE), perc_85, perc_75 + (perc_90 - perc_75) * (2/3), converted_stat, '2K_Ratings'!I5, IF(bbgm_stat &gt;= perc_95, converted_stat * 3, IF(bbgm_stat &gt;= perc_90, converted_stat * 2, IF(bbgm_stat &gt;= perc_85, converted_stat * 1.5, converted_stat)))))</f>
        <v/>
      </c>
      <c r="J5" s="30" t="str">
        <f t="array" ref="J5">IF($A5="", "", LET(bbgm_stat, INDEX(Players!$A4:$P4, MATCH(J$2, Players!$A$1:$P$1, 0)), perc_75, VLOOKUP(J$2, Percentiles!$A$45:$I$59, 6, FALSE), perc_90, VLOOKUP(J$2, Percentiles!$A$45:$I$59, 7, FALSE), perc_95, VLOOKUP(J$2, Percentiles!$A$45:$I$59, 8, FALSE), perc_85, perc_75 + (perc_90 - perc_75) * (2/3), converted_stat, '2K_Ratings'!J5, IF(bbgm_stat &gt;= perc_95, converted_stat * 3, IF(bbgm_stat &gt;= perc_90, converted_stat * 2, IF(bbgm_stat &gt;= perc_85, converted_stat * 1.5, converted_stat)))))</f>
        <v/>
      </c>
      <c r="K5" s="30" t="str">
        <f t="array" ref="K5">IF($A5="", "", LET(bbgm_stat, INDEX(Players!$A4:$P4, MATCH(K$2, Players!$A$1:$P$1, 0)), perc_75, VLOOKUP(K$2, Percentiles!$A$45:$I$59, 6, FALSE), perc_90, VLOOKUP(K$2, Percentiles!$A$45:$I$59, 7, FALSE), perc_95, VLOOKUP(K$2, Percentiles!$A$45:$I$59, 8, FALSE), perc_85, perc_75 + (perc_90 - perc_75) * (2/3), converted_stat, '2K_Ratings'!K5, IF(bbgm_stat &gt;= perc_95, converted_stat * 3, IF(bbgm_stat &gt;= perc_90, converted_stat * 2, IF(bbgm_stat &gt;= perc_85, converted_stat * 1.5, converted_stat)))))</f>
        <v/>
      </c>
      <c r="L5" s="30" t="str">
        <f t="array" ref="L5">IF($A5="", "", LET(bbgm_stat, INDEX(Players!$A4:$P4, MATCH(L$2, Players!$A$1:$P$1, 0)), perc_75, VLOOKUP(L$2, Percentiles!$A$45:$I$59, 6, FALSE), perc_90, VLOOKUP(L$2, Percentiles!$A$45:$I$59, 7, FALSE), perc_95, VLOOKUP(L$2, Percentiles!$A$45:$I$59, 8, FALSE), perc_85, perc_75 + (perc_90 - perc_75) * (2/3), converted_stat, '2K_Ratings'!L5, IF(bbgm_stat &gt;= perc_95, converted_stat * 3, IF(bbgm_stat &gt;= perc_90, converted_stat * 2, IF(bbgm_stat &gt;= perc_85, converted_stat * 1.5, converted_stat)))))</f>
        <v/>
      </c>
      <c r="M5" s="30" t="str">
        <f t="array" ref="M5">IF($A5="", "", LET(bbgm_stat, INDEX(Players!$A4:$P4, MATCH(M$2, Players!$A$1:$P$1, 0)), perc_75, VLOOKUP(M$2, Percentiles!$A$45:$I$59, 6, FALSE), perc_90, VLOOKUP(M$2, Percentiles!$A$45:$I$59, 7, FALSE), perc_95, VLOOKUP(M$2, Percentiles!$A$45:$I$59, 8, FALSE), perc_85, perc_75 + (perc_90 - perc_75) * (2/3), converted_stat, '2K_Ratings'!M5, IF(bbgm_stat &gt;= perc_95, converted_stat * 3, IF(bbgm_stat &gt;= perc_90, converted_stat * 2, IF(bbgm_stat &gt;= perc_85, converted_stat * 1.5, converted_stat)))))</f>
        <v/>
      </c>
      <c r="N5" s="30" t="str">
        <f t="array" ref="N5">IF($A5="", "", LET(bbgm_stat, INDEX(Players!$A4:$P4, MATCH(N$2, Players!$A$1:$P$1, 0)), perc_75, VLOOKUP(N$2, Percentiles!$A$45:$I$59, 6, FALSE), perc_90, VLOOKUP(N$2, Percentiles!$A$45:$I$59, 7, FALSE), perc_95, VLOOKUP(N$2, Percentiles!$A$45:$I$59, 8, FALSE), perc_85, perc_75 + (perc_90 - perc_75) * (2/3), converted_stat, '2K_Ratings'!N5, IF(bbgm_stat &gt;= perc_95, converted_stat * 3, IF(bbgm_stat &gt;= perc_90, converted_stat * 2, IF(bbgm_stat &gt;= perc_85, converted_stat * 1.5, converted_stat)))))</f>
        <v/>
      </c>
      <c r="O5" s="30" t="str">
        <f t="array" ref="O5">IF($A5="", "", LET(bbgm_stat, INDEX(Players!$A4:$P4, MATCH(O$2, Players!$A$1:$P$1, 0)), perc_75, VLOOKUP(O$2, Percentiles!$A$45:$I$59, 6, FALSE), perc_90, VLOOKUP(O$2, Percentiles!$A$45:$I$59, 7, FALSE), perc_95, VLOOKUP(O$2, Percentiles!$A$45:$I$59, 8, FALSE), perc_85, perc_75 + (perc_90 - perc_75) * (2/3), converted_stat, '2K_Ratings'!O5, IF(bbgm_stat &gt;= perc_95, converted_stat * 3, IF(bbgm_stat &gt;= perc_90, converted_stat * 2, IF(bbgm_stat &gt;= perc_85, converted_stat * 1.5, converted_stat)))))</f>
        <v/>
      </c>
      <c r="P5" s="30" t="str">
        <f t="array" ref="P5">IF($A5="", "", LET(bbgm_stat, INDEX(Players!$A4:$P4, MATCH(P$2, Players!$A$1:$P$1, 0)), perc_75, VLOOKUP(P$2, Percentiles!$A$45:$I$59, 6, FALSE), perc_90, VLOOKUP(P$2, Percentiles!$A$45:$I$59, 7, FALSE), perc_95, VLOOKUP(P$2, Percentiles!$A$45:$I$59, 8, FALSE), perc_85, perc_75 + (perc_90 - perc_75) * (2/3), converted_stat, '2K_Ratings'!P5, IF(bbgm_stat &gt;= perc_95, converted_stat * 3, IF(bbgm_stat &gt;= perc_90, converted_stat * 2, IF(bbgm_stat &gt;= perc_85, converted_stat * 1.5, converted_stat)))))</f>
        <v/>
      </c>
      <c r="Q5" s="30" t="str">
        <f t="array" ref="Q5">IF($A5="", "", LET(bbgm_stat, INDEX(Players!$A4:$P4, MATCH(Q$2, Players!$A$1:$P$1, 0)), perc_75, VLOOKUP(Q$2, Percentiles!$A$45:$I$59, 6, FALSE), perc_90, VLOOKUP(Q$2, Percentiles!$A$45:$I$59, 7, FALSE), perc_95, VLOOKUP(Q$2, Percentiles!$A$45:$I$59, 8, FALSE), perc_85, perc_75 + (perc_90 - perc_75) * (2/3), converted_stat, '2K_Ratings'!Q5, IF(bbgm_stat &gt;= perc_95, converted_stat * 3, IF(bbgm_stat &gt;= perc_90, converted_stat * 2, IF(bbgm_stat &gt;= perc_85, converted_stat * 1.5, converted_stat)))))</f>
        <v/>
      </c>
      <c r="R5" s="30" t="str">
        <f t="array" ref="R5">IF($A5="", "", LET(bbgm_stat, INDEX(Players!$A4:$P4, MATCH(R$2, Players!$A$1:$P$1, 0)), perc_75, VLOOKUP(R$2, Percentiles!$A$45:$I$59, 6, FALSE), perc_90, VLOOKUP(R$2, Percentiles!$A$45:$I$59, 7, FALSE), perc_95, VLOOKUP(R$2, Percentiles!$A$45:$I$59, 8, FALSE), perc_85, perc_75 + (perc_90 - perc_75) * (2/3), converted_stat, '2K_Ratings'!R5, IF(bbgm_stat &gt;= perc_95, converted_stat * 3, IF(bbgm_stat &gt;= perc_90, converted_stat * 2, IF(bbgm_stat &gt;= perc_85, converted_stat * 1.5, converted_stat)))))</f>
        <v/>
      </c>
      <c r="S5" s="30" t="str">
        <f t="array" ref="S5">IF($A5="", "", LET(bbgm_stat, INDEX(Players!$A4:$P4, MATCH(S$2, Players!$A$1:$P$1, 0)), perc_75, VLOOKUP(S$2, Percentiles!$A$45:$I$59, 6, FALSE), perc_90, VLOOKUP(S$2, Percentiles!$A$45:$I$59, 7, FALSE), perc_95, VLOOKUP(S$2, Percentiles!$A$45:$I$59, 8, FALSE), perc_85, perc_75 + (perc_90 - perc_75) * (2/3), converted_stat, '2K_Ratings'!S5, IF(bbgm_stat &gt;= perc_95, converted_stat * 3, IF(bbgm_stat &gt;= perc_90, converted_stat * 2, IF(bbgm_stat &gt;= perc_85, converted_stat * 1.5, converted_stat)))))</f>
        <v/>
      </c>
      <c r="T5" s="30" t="str">
        <f t="array" ref="T5">IF($A5="", "", LET(bbgm_stat, INDEX(Players!$A4:$P4, MATCH(T$2, Players!$A$1:$P$1, 0)), perc_75, VLOOKUP(T$2, Percentiles!$A$45:$I$59, 6, FALSE), perc_90, VLOOKUP(T$2, Percentiles!$A$45:$I$59, 7, FALSE), perc_95, VLOOKUP(T$2, Percentiles!$A$45:$I$59, 8, FALSE), perc_85, perc_75 + (perc_90 - perc_75) * (2/3), converted_stat, '2K_Ratings'!T5, IF(bbgm_stat &gt;= perc_95, converted_stat * 3, IF(bbgm_stat &gt;= perc_90, converted_stat * 2, IF(bbgm_stat &gt;= perc_85, converted_stat * 1.5, converted_stat)))))</f>
        <v/>
      </c>
      <c r="U5" s="30" t="str">
        <f t="array" ref="U5">IF($A5="", "", LET(bbgm_stat, INDEX(Players!$A4:$P4, MATCH(U$2, Players!$A$1:$P$1, 0)), perc_75, VLOOKUP(U$2, Percentiles!$A$45:$I$59, 6, FALSE), perc_90, VLOOKUP(U$2, Percentiles!$A$45:$I$59, 7, FALSE), perc_95, VLOOKUP(U$2, Percentiles!$A$45:$I$59, 8, FALSE), perc_85, perc_75 + (perc_90 - perc_75) * (2/3), converted_stat, '2K_Ratings'!U5, IF(bbgm_stat &gt;= perc_95, converted_stat * 3, IF(bbgm_stat &gt;= perc_90, converted_stat * 2, IF(bbgm_stat &gt;= perc_85, converted_stat * 1.5, converted_stat)))))</f>
        <v/>
      </c>
      <c r="V5" s="30" t="str">
        <f t="array" ref="V5">IF($A5="", "", LET(bbgm_stat, INDEX(Players!$A4:$P4, MATCH(V$2, Players!$A$1:$P$1, 0)), perc_75, VLOOKUP(V$2, Percentiles!$A$45:$I$59, 6, FALSE), perc_90, VLOOKUP(V$2, Percentiles!$A$45:$I$59, 7, FALSE), perc_95, VLOOKUP(V$2, Percentiles!$A$45:$I$59, 8, FALSE), perc_85, perc_75 + (perc_90 - perc_75) * (2/3), converted_stat, '2K_Ratings'!V5, IF(bbgm_stat &gt;= perc_95, converted_stat * 3, IF(bbgm_stat &gt;= perc_90, converted_stat * 2, IF(bbgm_stat &gt;= perc_85, converted_stat * 1.5, converted_stat)))))</f>
        <v/>
      </c>
      <c r="W5" s="30" t="str">
        <f t="array" ref="W5">IF($A5="", "", LET(bbgm_stat, INDEX(Players!$A4:$P4, MATCH(W$2, Players!$A$1:$P$1, 0)), perc_75, VLOOKUP(W$2, Percentiles!$A$45:$I$59, 6, FALSE), perc_90, VLOOKUP(W$2, Percentiles!$A$45:$I$59, 7, FALSE), perc_95, VLOOKUP(W$2, Percentiles!$A$45:$I$59, 8, FALSE), perc_85, perc_75 + (perc_90 - perc_75) * (2/3), converted_stat, '2K_Ratings'!W5, IF(bbgm_stat &gt;= perc_95, converted_stat * 3, IF(bbgm_stat &gt;= perc_90, converted_stat * 2, IF(bbgm_stat &gt;= perc_85, converted_stat * 1.5, converted_stat)))))</f>
        <v/>
      </c>
    </row>
    <row r="6">
      <c r="A6" s="30" t="str">
        <f>IF(Players!A5="", "", Players!A5)</f>
        <v/>
      </c>
      <c r="B6" s="30" t="str">
        <f t="array" ref="B6">IF($A6="", "", LET(bbgm_stat, INDEX(Players!$A5:$P5, MATCH(B$2, Players!$A$1:$P$1, 0)), perc_75, VLOOKUP(B$2, Percentiles!$A$45:$I$59, 6, FALSE), perc_90, VLOOKUP(B$2, Percentiles!$A$45:$I$59, 7, FALSE), perc_95, VLOOKUP(B$2, Percentiles!$A$45:$I$59, 8, FALSE), perc_85, perc_75 + (perc_90 - perc_75) * (2/3), converted_stat, '2K_Ratings'!B6, IF(bbgm_stat &gt;= perc_95, converted_stat * 3, IF(bbgm_stat &gt;= perc_90, converted_stat * 2, IF(bbgm_stat &gt;= perc_85, converted_stat * 1.5, converted_stat)))))</f>
        <v/>
      </c>
      <c r="C6" s="30" t="str">
        <f t="array" ref="C6">IF($A6="", "", LET(bbgm_stat, INDEX(Players!$A5:$P5, MATCH(C$2, Players!$A$1:$P$1, 0)), perc_75, VLOOKUP(C$2, Percentiles!$A$45:$I$59, 6, FALSE), perc_90, VLOOKUP(C$2, Percentiles!$A$45:$I$59, 7, FALSE), perc_95, VLOOKUP(C$2, Percentiles!$A$45:$I$59, 8, FALSE), perc_85, perc_75 + (perc_90 - perc_75) * (2/3), converted_stat, '2K_Ratings'!C6, IF(bbgm_stat &gt;= perc_95, converted_stat * 3, IF(bbgm_stat &gt;= perc_90, converted_stat * 2, IF(bbgm_stat &gt;= perc_85, converted_stat * 1.5, converted_stat)))))</f>
        <v/>
      </c>
      <c r="D6" s="30" t="str">
        <f t="array" ref="D6">IF($A6="", "", LET(bbgm_stat, INDEX(Players!$A5:$P5, MATCH(D$2, Players!$A$1:$P$1, 0)), perc_75, VLOOKUP(D$2, Percentiles!$A$45:$I$59, 6, FALSE), perc_90, VLOOKUP(D$2, Percentiles!$A$45:$I$59, 7, FALSE), perc_95, VLOOKUP(D$2, Percentiles!$A$45:$I$59, 8, FALSE), perc_85, perc_75 + (perc_90 - perc_75) * (2/3), converted_stat, '2K_Ratings'!D6, IF(bbgm_stat &gt;= perc_95, converted_stat * 3, IF(bbgm_stat &gt;= perc_90, converted_stat * 2, IF(bbgm_stat &gt;= perc_85, converted_stat * 1.5, converted_stat)))))</f>
        <v/>
      </c>
      <c r="E6" s="30" t="str">
        <f t="array" ref="E6">IF($A6="", "", LET(bbgm_stat, INDEX(Players!$A5:$P5, MATCH(E$2, Players!$A$1:$P$1, 0)), perc_75, VLOOKUP(E$2, Percentiles!$A$45:$I$59, 6, FALSE), perc_90, VLOOKUP(E$2, Percentiles!$A$45:$I$59, 7, FALSE), perc_95, VLOOKUP(E$2, Percentiles!$A$45:$I$59, 8, FALSE), perc_85, perc_75 + (perc_90 - perc_75) * (2/3), converted_stat, '2K_Ratings'!E6, IF(bbgm_stat &gt;= perc_95, converted_stat * 3, IF(bbgm_stat &gt;= perc_90, converted_stat * 2, IF(bbgm_stat &gt;= perc_85, converted_stat * 1.5, converted_stat)))))</f>
        <v/>
      </c>
      <c r="F6" s="30" t="str">
        <f t="array" ref="F6">IF($A6="", "", LET(bbgm_stat, INDEX(Players!$A5:$P5, MATCH(F$2, Players!$A$1:$P$1, 0)), perc_75, VLOOKUP(F$2, Percentiles!$A$45:$I$59, 6, FALSE), perc_90, VLOOKUP(F$2, Percentiles!$A$45:$I$59, 7, FALSE), perc_95, VLOOKUP(F$2, Percentiles!$A$45:$I$59, 8, FALSE), perc_85, perc_75 + (perc_90 - perc_75) * (2/3), converted_stat, '2K_Ratings'!F6, IF(bbgm_stat &gt;= perc_95, converted_stat * 3, IF(bbgm_stat &gt;= perc_90, converted_stat * 2, IF(bbgm_stat &gt;= perc_85, converted_stat * 1.5, converted_stat)))))</f>
        <v/>
      </c>
      <c r="G6" s="30" t="str">
        <f t="array" ref="G6">IF($A6="", "", LET(bbgm_stat, INDEX(Players!$A5:$P5, MATCH(G$2, Players!$A$1:$P$1, 0)), perc_75, VLOOKUP(G$2, Percentiles!$A$45:$I$59, 6, FALSE), perc_90, VLOOKUP(G$2, Percentiles!$A$45:$I$59, 7, FALSE), perc_95, VLOOKUP(G$2, Percentiles!$A$45:$I$59, 8, FALSE), perc_85, perc_75 + (perc_90 - perc_75) * (2/3), converted_stat, '2K_Ratings'!G6, IF(bbgm_stat &gt;= perc_95, converted_stat * 3, IF(bbgm_stat &gt;= perc_90, converted_stat * 2, IF(bbgm_stat &gt;= perc_85, converted_stat * 1.5, converted_stat)))))</f>
        <v/>
      </c>
      <c r="H6" s="30" t="str">
        <f t="array" ref="H6">IF($A6="", "", LET(bbgm_stat, INDEX(Players!$A5:$P5, MATCH(H$2, Players!$A$1:$P$1, 0)), perc_75, VLOOKUP(H$2, Percentiles!$A$45:$I$59, 6, FALSE), perc_90, VLOOKUP(H$2, Percentiles!$A$45:$I$59, 7, FALSE), perc_95, VLOOKUP(H$2, Percentiles!$A$45:$I$59, 8, FALSE), perc_85, perc_75 + (perc_90 - perc_75) * (2/3), converted_stat, '2K_Ratings'!H6, IF(bbgm_stat &gt;= perc_95, converted_stat * 3, IF(bbgm_stat &gt;= perc_90, converted_stat * 2, IF(bbgm_stat &gt;= perc_85, converted_stat * 1.5, converted_stat)))))</f>
        <v/>
      </c>
      <c r="I6" s="30" t="str">
        <f t="array" ref="I6">IF($A6="", "", LET(bbgm_stat, INDEX(Players!$A5:$P5, MATCH(I$2, Players!$A$1:$P$1, 0)), perc_75, VLOOKUP(I$2, Percentiles!$A$45:$I$59, 6, FALSE), perc_90, VLOOKUP(I$2, Percentiles!$A$45:$I$59, 7, FALSE), perc_95, VLOOKUP(I$2, Percentiles!$A$45:$I$59, 8, FALSE), perc_85, perc_75 + (perc_90 - perc_75) * (2/3), converted_stat, '2K_Ratings'!I6, IF(bbgm_stat &gt;= perc_95, converted_stat * 3, IF(bbgm_stat &gt;= perc_90, converted_stat * 2, IF(bbgm_stat &gt;= perc_85, converted_stat * 1.5, converted_stat)))))</f>
        <v/>
      </c>
      <c r="J6" s="30" t="str">
        <f t="array" ref="J6">IF($A6="", "", LET(bbgm_stat, INDEX(Players!$A5:$P5, MATCH(J$2, Players!$A$1:$P$1, 0)), perc_75, VLOOKUP(J$2, Percentiles!$A$45:$I$59, 6, FALSE), perc_90, VLOOKUP(J$2, Percentiles!$A$45:$I$59, 7, FALSE), perc_95, VLOOKUP(J$2, Percentiles!$A$45:$I$59, 8, FALSE), perc_85, perc_75 + (perc_90 - perc_75) * (2/3), converted_stat, '2K_Ratings'!J6, IF(bbgm_stat &gt;= perc_95, converted_stat * 3, IF(bbgm_stat &gt;= perc_90, converted_stat * 2, IF(bbgm_stat &gt;= perc_85, converted_stat * 1.5, converted_stat)))))</f>
        <v/>
      </c>
      <c r="K6" s="30" t="str">
        <f t="array" ref="K6">IF($A6="", "", LET(bbgm_stat, INDEX(Players!$A5:$P5, MATCH(K$2, Players!$A$1:$P$1, 0)), perc_75, VLOOKUP(K$2, Percentiles!$A$45:$I$59, 6, FALSE), perc_90, VLOOKUP(K$2, Percentiles!$A$45:$I$59, 7, FALSE), perc_95, VLOOKUP(K$2, Percentiles!$A$45:$I$59, 8, FALSE), perc_85, perc_75 + (perc_90 - perc_75) * (2/3), converted_stat, '2K_Ratings'!K6, IF(bbgm_stat &gt;= perc_95, converted_stat * 3, IF(bbgm_stat &gt;= perc_90, converted_stat * 2, IF(bbgm_stat &gt;= perc_85, converted_stat * 1.5, converted_stat)))))</f>
        <v/>
      </c>
      <c r="L6" s="30" t="str">
        <f t="array" ref="L6">IF($A6="", "", LET(bbgm_stat, INDEX(Players!$A5:$P5, MATCH(L$2, Players!$A$1:$P$1, 0)), perc_75, VLOOKUP(L$2, Percentiles!$A$45:$I$59, 6, FALSE), perc_90, VLOOKUP(L$2, Percentiles!$A$45:$I$59, 7, FALSE), perc_95, VLOOKUP(L$2, Percentiles!$A$45:$I$59, 8, FALSE), perc_85, perc_75 + (perc_90 - perc_75) * (2/3), converted_stat, '2K_Ratings'!L6, IF(bbgm_stat &gt;= perc_95, converted_stat * 3, IF(bbgm_stat &gt;= perc_90, converted_stat * 2, IF(bbgm_stat &gt;= perc_85, converted_stat * 1.5, converted_stat)))))</f>
        <v/>
      </c>
      <c r="M6" s="30" t="str">
        <f t="array" ref="M6">IF($A6="", "", LET(bbgm_stat, INDEX(Players!$A5:$P5, MATCH(M$2, Players!$A$1:$P$1, 0)), perc_75, VLOOKUP(M$2, Percentiles!$A$45:$I$59, 6, FALSE), perc_90, VLOOKUP(M$2, Percentiles!$A$45:$I$59, 7, FALSE), perc_95, VLOOKUP(M$2, Percentiles!$A$45:$I$59, 8, FALSE), perc_85, perc_75 + (perc_90 - perc_75) * (2/3), converted_stat, '2K_Ratings'!M6, IF(bbgm_stat &gt;= perc_95, converted_stat * 3, IF(bbgm_stat &gt;= perc_90, converted_stat * 2, IF(bbgm_stat &gt;= perc_85, converted_stat * 1.5, converted_stat)))))</f>
        <v/>
      </c>
      <c r="N6" s="30" t="str">
        <f t="array" ref="N6">IF($A6="", "", LET(bbgm_stat, INDEX(Players!$A5:$P5, MATCH(N$2, Players!$A$1:$P$1, 0)), perc_75, VLOOKUP(N$2, Percentiles!$A$45:$I$59, 6, FALSE), perc_90, VLOOKUP(N$2, Percentiles!$A$45:$I$59, 7, FALSE), perc_95, VLOOKUP(N$2, Percentiles!$A$45:$I$59, 8, FALSE), perc_85, perc_75 + (perc_90 - perc_75) * (2/3), converted_stat, '2K_Ratings'!N6, IF(bbgm_stat &gt;= perc_95, converted_stat * 3, IF(bbgm_stat &gt;= perc_90, converted_stat * 2, IF(bbgm_stat &gt;= perc_85, converted_stat * 1.5, converted_stat)))))</f>
        <v/>
      </c>
      <c r="O6" s="30" t="str">
        <f t="array" ref="O6">IF($A6="", "", LET(bbgm_stat, INDEX(Players!$A5:$P5, MATCH(O$2, Players!$A$1:$P$1, 0)), perc_75, VLOOKUP(O$2, Percentiles!$A$45:$I$59, 6, FALSE), perc_90, VLOOKUP(O$2, Percentiles!$A$45:$I$59, 7, FALSE), perc_95, VLOOKUP(O$2, Percentiles!$A$45:$I$59, 8, FALSE), perc_85, perc_75 + (perc_90 - perc_75) * (2/3), converted_stat, '2K_Ratings'!O6, IF(bbgm_stat &gt;= perc_95, converted_stat * 3, IF(bbgm_stat &gt;= perc_90, converted_stat * 2, IF(bbgm_stat &gt;= perc_85, converted_stat * 1.5, converted_stat)))))</f>
        <v/>
      </c>
      <c r="P6" s="30" t="str">
        <f t="array" ref="P6">IF($A6="", "", LET(bbgm_stat, INDEX(Players!$A5:$P5, MATCH(P$2, Players!$A$1:$P$1, 0)), perc_75, VLOOKUP(P$2, Percentiles!$A$45:$I$59, 6, FALSE), perc_90, VLOOKUP(P$2, Percentiles!$A$45:$I$59, 7, FALSE), perc_95, VLOOKUP(P$2, Percentiles!$A$45:$I$59, 8, FALSE), perc_85, perc_75 + (perc_90 - perc_75) * (2/3), converted_stat, '2K_Ratings'!P6, IF(bbgm_stat &gt;= perc_95, converted_stat * 3, IF(bbgm_stat &gt;= perc_90, converted_stat * 2, IF(bbgm_stat &gt;= perc_85, converted_stat * 1.5, converted_stat)))))</f>
        <v/>
      </c>
      <c r="Q6" s="30" t="str">
        <f t="array" ref="Q6">IF($A6="", "", LET(bbgm_stat, INDEX(Players!$A5:$P5, MATCH(Q$2, Players!$A$1:$P$1, 0)), perc_75, VLOOKUP(Q$2, Percentiles!$A$45:$I$59, 6, FALSE), perc_90, VLOOKUP(Q$2, Percentiles!$A$45:$I$59, 7, FALSE), perc_95, VLOOKUP(Q$2, Percentiles!$A$45:$I$59, 8, FALSE), perc_85, perc_75 + (perc_90 - perc_75) * (2/3), converted_stat, '2K_Ratings'!Q6, IF(bbgm_stat &gt;= perc_95, converted_stat * 3, IF(bbgm_stat &gt;= perc_90, converted_stat * 2, IF(bbgm_stat &gt;= perc_85, converted_stat * 1.5, converted_stat)))))</f>
        <v/>
      </c>
      <c r="R6" s="30" t="str">
        <f t="array" ref="R6">IF($A6="", "", LET(bbgm_stat, INDEX(Players!$A5:$P5, MATCH(R$2, Players!$A$1:$P$1, 0)), perc_75, VLOOKUP(R$2, Percentiles!$A$45:$I$59, 6, FALSE), perc_90, VLOOKUP(R$2, Percentiles!$A$45:$I$59, 7, FALSE), perc_95, VLOOKUP(R$2, Percentiles!$A$45:$I$59, 8, FALSE), perc_85, perc_75 + (perc_90 - perc_75) * (2/3), converted_stat, '2K_Ratings'!R6, IF(bbgm_stat &gt;= perc_95, converted_stat * 3, IF(bbgm_stat &gt;= perc_90, converted_stat * 2, IF(bbgm_stat &gt;= perc_85, converted_stat * 1.5, converted_stat)))))</f>
        <v/>
      </c>
      <c r="S6" s="30" t="str">
        <f t="array" ref="S6">IF($A6="", "", LET(bbgm_stat, INDEX(Players!$A5:$P5, MATCH(S$2, Players!$A$1:$P$1, 0)), perc_75, VLOOKUP(S$2, Percentiles!$A$45:$I$59, 6, FALSE), perc_90, VLOOKUP(S$2, Percentiles!$A$45:$I$59, 7, FALSE), perc_95, VLOOKUP(S$2, Percentiles!$A$45:$I$59, 8, FALSE), perc_85, perc_75 + (perc_90 - perc_75) * (2/3), converted_stat, '2K_Ratings'!S6, IF(bbgm_stat &gt;= perc_95, converted_stat * 3, IF(bbgm_stat &gt;= perc_90, converted_stat * 2, IF(bbgm_stat &gt;= perc_85, converted_stat * 1.5, converted_stat)))))</f>
        <v/>
      </c>
      <c r="T6" s="30" t="str">
        <f t="array" ref="T6">IF($A6="", "", LET(bbgm_stat, INDEX(Players!$A5:$P5, MATCH(T$2, Players!$A$1:$P$1, 0)), perc_75, VLOOKUP(T$2, Percentiles!$A$45:$I$59, 6, FALSE), perc_90, VLOOKUP(T$2, Percentiles!$A$45:$I$59, 7, FALSE), perc_95, VLOOKUP(T$2, Percentiles!$A$45:$I$59, 8, FALSE), perc_85, perc_75 + (perc_90 - perc_75) * (2/3), converted_stat, '2K_Ratings'!T6, IF(bbgm_stat &gt;= perc_95, converted_stat * 3, IF(bbgm_stat &gt;= perc_90, converted_stat * 2, IF(bbgm_stat &gt;= perc_85, converted_stat * 1.5, converted_stat)))))</f>
        <v/>
      </c>
      <c r="U6" s="30" t="str">
        <f t="array" ref="U6">IF($A6="", "", LET(bbgm_stat, INDEX(Players!$A5:$P5, MATCH(U$2, Players!$A$1:$P$1, 0)), perc_75, VLOOKUP(U$2, Percentiles!$A$45:$I$59, 6, FALSE), perc_90, VLOOKUP(U$2, Percentiles!$A$45:$I$59, 7, FALSE), perc_95, VLOOKUP(U$2, Percentiles!$A$45:$I$59, 8, FALSE), perc_85, perc_75 + (perc_90 - perc_75) * (2/3), converted_stat, '2K_Ratings'!U6, IF(bbgm_stat &gt;= perc_95, converted_stat * 3, IF(bbgm_stat &gt;= perc_90, converted_stat * 2, IF(bbgm_stat &gt;= perc_85, converted_stat * 1.5, converted_stat)))))</f>
        <v/>
      </c>
      <c r="V6" s="30" t="str">
        <f t="array" ref="V6">IF($A6="", "", LET(bbgm_stat, INDEX(Players!$A5:$P5, MATCH(V$2, Players!$A$1:$P$1, 0)), perc_75, VLOOKUP(V$2, Percentiles!$A$45:$I$59, 6, FALSE), perc_90, VLOOKUP(V$2, Percentiles!$A$45:$I$59, 7, FALSE), perc_95, VLOOKUP(V$2, Percentiles!$A$45:$I$59, 8, FALSE), perc_85, perc_75 + (perc_90 - perc_75) * (2/3), converted_stat, '2K_Ratings'!V6, IF(bbgm_stat &gt;= perc_95, converted_stat * 3, IF(bbgm_stat &gt;= perc_90, converted_stat * 2, IF(bbgm_stat &gt;= perc_85, converted_stat * 1.5, converted_stat)))))</f>
        <v/>
      </c>
      <c r="W6" s="30" t="str">
        <f t="array" ref="W6">IF($A6="", "", LET(bbgm_stat, INDEX(Players!$A5:$P5, MATCH(W$2, Players!$A$1:$P$1, 0)), perc_75, VLOOKUP(W$2, Percentiles!$A$45:$I$59, 6, FALSE), perc_90, VLOOKUP(W$2, Percentiles!$A$45:$I$59, 7, FALSE), perc_95, VLOOKUP(W$2, Percentiles!$A$45:$I$59, 8, FALSE), perc_85, perc_75 + (perc_90 - perc_75) * (2/3), converted_stat, '2K_Ratings'!W6, IF(bbgm_stat &gt;= perc_95, converted_stat * 3, IF(bbgm_stat &gt;= perc_90, converted_stat * 2, IF(bbgm_stat &gt;= perc_85, converted_stat * 1.5, converted_stat)))))</f>
        <v/>
      </c>
    </row>
    <row r="7">
      <c r="A7" s="30" t="str">
        <f>IF(Players!A6="", "", Players!A6)</f>
        <v/>
      </c>
      <c r="B7" s="30" t="str">
        <f t="array" ref="B7">IF($A7="", "", LET(bbgm_stat, INDEX(Players!$A6:$P6, MATCH(B$2, Players!$A$1:$P$1, 0)), perc_75, VLOOKUP(B$2, Percentiles!$A$45:$I$59, 6, FALSE), perc_90, VLOOKUP(B$2, Percentiles!$A$45:$I$59, 7, FALSE), perc_95, VLOOKUP(B$2, Percentiles!$A$45:$I$59, 8, FALSE), perc_85, perc_75 + (perc_90 - perc_75) * (2/3), converted_stat, '2K_Ratings'!B7, IF(bbgm_stat &gt;= perc_95, converted_stat * 3, IF(bbgm_stat &gt;= perc_90, converted_stat * 2, IF(bbgm_stat &gt;= perc_85, converted_stat * 1.5, converted_stat)))))</f>
        <v/>
      </c>
      <c r="C7" s="30" t="str">
        <f t="array" ref="C7">IF($A7="", "", LET(bbgm_stat, INDEX(Players!$A6:$P6, MATCH(C$2, Players!$A$1:$P$1, 0)), perc_75, VLOOKUP(C$2, Percentiles!$A$45:$I$59, 6, FALSE), perc_90, VLOOKUP(C$2, Percentiles!$A$45:$I$59, 7, FALSE), perc_95, VLOOKUP(C$2, Percentiles!$A$45:$I$59, 8, FALSE), perc_85, perc_75 + (perc_90 - perc_75) * (2/3), converted_stat, '2K_Ratings'!C7, IF(bbgm_stat &gt;= perc_95, converted_stat * 3, IF(bbgm_stat &gt;= perc_90, converted_stat * 2, IF(bbgm_stat &gt;= perc_85, converted_stat * 1.5, converted_stat)))))</f>
        <v/>
      </c>
      <c r="D7" s="30" t="str">
        <f t="array" ref="D7">IF($A7="", "", LET(bbgm_stat, INDEX(Players!$A6:$P6, MATCH(D$2, Players!$A$1:$P$1, 0)), perc_75, VLOOKUP(D$2, Percentiles!$A$45:$I$59, 6, FALSE), perc_90, VLOOKUP(D$2, Percentiles!$A$45:$I$59, 7, FALSE), perc_95, VLOOKUP(D$2, Percentiles!$A$45:$I$59, 8, FALSE), perc_85, perc_75 + (perc_90 - perc_75) * (2/3), converted_stat, '2K_Ratings'!D7, IF(bbgm_stat &gt;= perc_95, converted_stat * 3, IF(bbgm_stat &gt;= perc_90, converted_stat * 2, IF(bbgm_stat &gt;= perc_85, converted_stat * 1.5, converted_stat)))))</f>
        <v/>
      </c>
      <c r="E7" s="30" t="str">
        <f t="array" ref="E7">IF($A7="", "", LET(bbgm_stat, INDEX(Players!$A6:$P6, MATCH(E$2, Players!$A$1:$P$1, 0)), perc_75, VLOOKUP(E$2, Percentiles!$A$45:$I$59, 6, FALSE), perc_90, VLOOKUP(E$2, Percentiles!$A$45:$I$59, 7, FALSE), perc_95, VLOOKUP(E$2, Percentiles!$A$45:$I$59, 8, FALSE), perc_85, perc_75 + (perc_90 - perc_75) * (2/3), converted_stat, '2K_Ratings'!E7, IF(bbgm_stat &gt;= perc_95, converted_stat * 3, IF(bbgm_stat &gt;= perc_90, converted_stat * 2, IF(bbgm_stat &gt;= perc_85, converted_stat * 1.5, converted_stat)))))</f>
        <v/>
      </c>
      <c r="F7" s="30" t="str">
        <f t="array" ref="F7">IF($A7="", "", LET(bbgm_stat, INDEX(Players!$A6:$P6, MATCH(F$2, Players!$A$1:$P$1, 0)), perc_75, VLOOKUP(F$2, Percentiles!$A$45:$I$59, 6, FALSE), perc_90, VLOOKUP(F$2, Percentiles!$A$45:$I$59, 7, FALSE), perc_95, VLOOKUP(F$2, Percentiles!$A$45:$I$59, 8, FALSE), perc_85, perc_75 + (perc_90 - perc_75) * (2/3), converted_stat, '2K_Ratings'!F7, IF(bbgm_stat &gt;= perc_95, converted_stat * 3, IF(bbgm_stat &gt;= perc_90, converted_stat * 2, IF(bbgm_stat &gt;= perc_85, converted_stat * 1.5, converted_stat)))))</f>
        <v/>
      </c>
      <c r="G7" s="30" t="str">
        <f t="array" ref="G7">IF($A7="", "", LET(bbgm_stat, INDEX(Players!$A6:$P6, MATCH(G$2, Players!$A$1:$P$1, 0)), perc_75, VLOOKUP(G$2, Percentiles!$A$45:$I$59, 6, FALSE), perc_90, VLOOKUP(G$2, Percentiles!$A$45:$I$59, 7, FALSE), perc_95, VLOOKUP(G$2, Percentiles!$A$45:$I$59, 8, FALSE), perc_85, perc_75 + (perc_90 - perc_75) * (2/3), converted_stat, '2K_Ratings'!G7, IF(bbgm_stat &gt;= perc_95, converted_stat * 3, IF(bbgm_stat &gt;= perc_90, converted_stat * 2, IF(bbgm_stat &gt;= perc_85, converted_stat * 1.5, converted_stat)))))</f>
        <v/>
      </c>
      <c r="H7" s="30" t="str">
        <f t="array" ref="H7">IF($A7="", "", LET(bbgm_stat, INDEX(Players!$A6:$P6, MATCH(H$2, Players!$A$1:$P$1, 0)), perc_75, VLOOKUP(H$2, Percentiles!$A$45:$I$59, 6, FALSE), perc_90, VLOOKUP(H$2, Percentiles!$A$45:$I$59, 7, FALSE), perc_95, VLOOKUP(H$2, Percentiles!$A$45:$I$59, 8, FALSE), perc_85, perc_75 + (perc_90 - perc_75) * (2/3), converted_stat, '2K_Ratings'!H7, IF(bbgm_stat &gt;= perc_95, converted_stat * 3, IF(bbgm_stat &gt;= perc_90, converted_stat * 2, IF(bbgm_stat &gt;= perc_85, converted_stat * 1.5, converted_stat)))))</f>
        <v/>
      </c>
      <c r="I7" s="30" t="str">
        <f t="array" ref="I7">IF($A7="", "", LET(bbgm_stat, INDEX(Players!$A6:$P6, MATCH(I$2, Players!$A$1:$P$1, 0)), perc_75, VLOOKUP(I$2, Percentiles!$A$45:$I$59, 6, FALSE), perc_90, VLOOKUP(I$2, Percentiles!$A$45:$I$59, 7, FALSE), perc_95, VLOOKUP(I$2, Percentiles!$A$45:$I$59, 8, FALSE), perc_85, perc_75 + (perc_90 - perc_75) * (2/3), converted_stat, '2K_Ratings'!I7, IF(bbgm_stat &gt;= perc_95, converted_stat * 3, IF(bbgm_stat &gt;= perc_90, converted_stat * 2, IF(bbgm_stat &gt;= perc_85, converted_stat * 1.5, converted_stat)))))</f>
        <v/>
      </c>
      <c r="J7" s="30" t="str">
        <f t="array" ref="J7">IF($A7="", "", LET(bbgm_stat, INDEX(Players!$A6:$P6, MATCH(J$2, Players!$A$1:$P$1, 0)), perc_75, VLOOKUP(J$2, Percentiles!$A$45:$I$59, 6, FALSE), perc_90, VLOOKUP(J$2, Percentiles!$A$45:$I$59, 7, FALSE), perc_95, VLOOKUP(J$2, Percentiles!$A$45:$I$59, 8, FALSE), perc_85, perc_75 + (perc_90 - perc_75) * (2/3), converted_stat, '2K_Ratings'!J7, IF(bbgm_stat &gt;= perc_95, converted_stat * 3, IF(bbgm_stat &gt;= perc_90, converted_stat * 2, IF(bbgm_stat &gt;= perc_85, converted_stat * 1.5, converted_stat)))))</f>
        <v/>
      </c>
      <c r="K7" s="30" t="str">
        <f t="array" ref="K7">IF($A7="", "", LET(bbgm_stat, INDEX(Players!$A6:$P6, MATCH(K$2, Players!$A$1:$P$1, 0)), perc_75, VLOOKUP(K$2, Percentiles!$A$45:$I$59, 6, FALSE), perc_90, VLOOKUP(K$2, Percentiles!$A$45:$I$59, 7, FALSE), perc_95, VLOOKUP(K$2, Percentiles!$A$45:$I$59, 8, FALSE), perc_85, perc_75 + (perc_90 - perc_75) * (2/3), converted_stat, '2K_Ratings'!K7, IF(bbgm_stat &gt;= perc_95, converted_stat * 3, IF(bbgm_stat &gt;= perc_90, converted_stat * 2, IF(bbgm_stat &gt;= perc_85, converted_stat * 1.5, converted_stat)))))</f>
        <v/>
      </c>
      <c r="L7" s="30" t="str">
        <f t="array" ref="L7">IF($A7="", "", LET(bbgm_stat, INDEX(Players!$A6:$P6, MATCH(L$2, Players!$A$1:$P$1, 0)), perc_75, VLOOKUP(L$2, Percentiles!$A$45:$I$59, 6, FALSE), perc_90, VLOOKUP(L$2, Percentiles!$A$45:$I$59, 7, FALSE), perc_95, VLOOKUP(L$2, Percentiles!$A$45:$I$59, 8, FALSE), perc_85, perc_75 + (perc_90 - perc_75) * (2/3), converted_stat, '2K_Ratings'!L7, IF(bbgm_stat &gt;= perc_95, converted_stat * 3, IF(bbgm_stat &gt;= perc_90, converted_stat * 2, IF(bbgm_stat &gt;= perc_85, converted_stat * 1.5, converted_stat)))))</f>
        <v/>
      </c>
      <c r="M7" s="30" t="str">
        <f t="array" ref="M7">IF($A7="", "", LET(bbgm_stat, INDEX(Players!$A6:$P6, MATCH(M$2, Players!$A$1:$P$1, 0)), perc_75, VLOOKUP(M$2, Percentiles!$A$45:$I$59, 6, FALSE), perc_90, VLOOKUP(M$2, Percentiles!$A$45:$I$59, 7, FALSE), perc_95, VLOOKUP(M$2, Percentiles!$A$45:$I$59, 8, FALSE), perc_85, perc_75 + (perc_90 - perc_75) * (2/3), converted_stat, '2K_Ratings'!M7, IF(bbgm_stat &gt;= perc_95, converted_stat * 3, IF(bbgm_stat &gt;= perc_90, converted_stat * 2, IF(bbgm_stat &gt;= perc_85, converted_stat * 1.5, converted_stat)))))</f>
        <v/>
      </c>
      <c r="N7" s="30" t="str">
        <f t="array" ref="N7">IF($A7="", "", LET(bbgm_stat, INDEX(Players!$A6:$P6, MATCH(N$2, Players!$A$1:$P$1, 0)), perc_75, VLOOKUP(N$2, Percentiles!$A$45:$I$59, 6, FALSE), perc_90, VLOOKUP(N$2, Percentiles!$A$45:$I$59, 7, FALSE), perc_95, VLOOKUP(N$2, Percentiles!$A$45:$I$59, 8, FALSE), perc_85, perc_75 + (perc_90 - perc_75) * (2/3), converted_stat, '2K_Ratings'!N7, IF(bbgm_stat &gt;= perc_95, converted_stat * 3, IF(bbgm_stat &gt;= perc_90, converted_stat * 2, IF(bbgm_stat &gt;= perc_85, converted_stat * 1.5, converted_stat)))))</f>
        <v/>
      </c>
      <c r="O7" s="30" t="str">
        <f t="array" ref="O7">IF($A7="", "", LET(bbgm_stat, INDEX(Players!$A6:$P6, MATCH(O$2, Players!$A$1:$P$1, 0)), perc_75, VLOOKUP(O$2, Percentiles!$A$45:$I$59, 6, FALSE), perc_90, VLOOKUP(O$2, Percentiles!$A$45:$I$59, 7, FALSE), perc_95, VLOOKUP(O$2, Percentiles!$A$45:$I$59, 8, FALSE), perc_85, perc_75 + (perc_90 - perc_75) * (2/3), converted_stat, '2K_Ratings'!O7, IF(bbgm_stat &gt;= perc_95, converted_stat * 3, IF(bbgm_stat &gt;= perc_90, converted_stat * 2, IF(bbgm_stat &gt;= perc_85, converted_stat * 1.5, converted_stat)))))</f>
        <v/>
      </c>
      <c r="P7" s="30" t="str">
        <f t="array" ref="P7">IF($A7="", "", LET(bbgm_stat, INDEX(Players!$A6:$P6, MATCH(P$2, Players!$A$1:$P$1, 0)), perc_75, VLOOKUP(P$2, Percentiles!$A$45:$I$59, 6, FALSE), perc_90, VLOOKUP(P$2, Percentiles!$A$45:$I$59, 7, FALSE), perc_95, VLOOKUP(P$2, Percentiles!$A$45:$I$59, 8, FALSE), perc_85, perc_75 + (perc_90 - perc_75) * (2/3), converted_stat, '2K_Ratings'!P7, IF(bbgm_stat &gt;= perc_95, converted_stat * 3, IF(bbgm_stat &gt;= perc_90, converted_stat * 2, IF(bbgm_stat &gt;= perc_85, converted_stat * 1.5, converted_stat)))))</f>
        <v/>
      </c>
      <c r="Q7" s="30" t="str">
        <f t="array" ref="Q7">IF($A7="", "", LET(bbgm_stat, INDEX(Players!$A6:$P6, MATCH(Q$2, Players!$A$1:$P$1, 0)), perc_75, VLOOKUP(Q$2, Percentiles!$A$45:$I$59, 6, FALSE), perc_90, VLOOKUP(Q$2, Percentiles!$A$45:$I$59, 7, FALSE), perc_95, VLOOKUP(Q$2, Percentiles!$A$45:$I$59, 8, FALSE), perc_85, perc_75 + (perc_90 - perc_75) * (2/3), converted_stat, '2K_Ratings'!Q7, IF(bbgm_stat &gt;= perc_95, converted_stat * 3, IF(bbgm_stat &gt;= perc_90, converted_stat * 2, IF(bbgm_stat &gt;= perc_85, converted_stat * 1.5, converted_stat)))))</f>
        <v/>
      </c>
      <c r="R7" s="30" t="str">
        <f t="array" ref="R7">IF($A7="", "", LET(bbgm_stat, INDEX(Players!$A6:$P6, MATCH(R$2, Players!$A$1:$P$1, 0)), perc_75, VLOOKUP(R$2, Percentiles!$A$45:$I$59, 6, FALSE), perc_90, VLOOKUP(R$2, Percentiles!$A$45:$I$59, 7, FALSE), perc_95, VLOOKUP(R$2, Percentiles!$A$45:$I$59, 8, FALSE), perc_85, perc_75 + (perc_90 - perc_75) * (2/3), converted_stat, '2K_Ratings'!R7, IF(bbgm_stat &gt;= perc_95, converted_stat * 3, IF(bbgm_stat &gt;= perc_90, converted_stat * 2, IF(bbgm_stat &gt;= perc_85, converted_stat * 1.5, converted_stat)))))</f>
        <v/>
      </c>
      <c r="S7" s="30" t="str">
        <f t="array" ref="S7">IF($A7="", "", LET(bbgm_stat, INDEX(Players!$A6:$P6, MATCH(S$2, Players!$A$1:$P$1, 0)), perc_75, VLOOKUP(S$2, Percentiles!$A$45:$I$59, 6, FALSE), perc_90, VLOOKUP(S$2, Percentiles!$A$45:$I$59, 7, FALSE), perc_95, VLOOKUP(S$2, Percentiles!$A$45:$I$59, 8, FALSE), perc_85, perc_75 + (perc_90 - perc_75) * (2/3), converted_stat, '2K_Ratings'!S7, IF(bbgm_stat &gt;= perc_95, converted_stat * 3, IF(bbgm_stat &gt;= perc_90, converted_stat * 2, IF(bbgm_stat &gt;= perc_85, converted_stat * 1.5, converted_stat)))))</f>
        <v/>
      </c>
      <c r="T7" s="30" t="str">
        <f t="array" ref="T7">IF($A7="", "", LET(bbgm_stat, INDEX(Players!$A6:$P6, MATCH(T$2, Players!$A$1:$P$1, 0)), perc_75, VLOOKUP(T$2, Percentiles!$A$45:$I$59, 6, FALSE), perc_90, VLOOKUP(T$2, Percentiles!$A$45:$I$59, 7, FALSE), perc_95, VLOOKUP(T$2, Percentiles!$A$45:$I$59, 8, FALSE), perc_85, perc_75 + (perc_90 - perc_75) * (2/3), converted_stat, '2K_Ratings'!T7, IF(bbgm_stat &gt;= perc_95, converted_stat * 3, IF(bbgm_stat &gt;= perc_90, converted_stat * 2, IF(bbgm_stat &gt;= perc_85, converted_stat * 1.5, converted_stat)))))</f>
        <v/>
      </c>
      <c r="U7" s="30" t="str">
        <f t="array" ref="U7">IF($A7="", "", LET(bbgm_stat, INDEX(Players!$A6:$P6, MATCH(U$2, Players!$A$1:$P$1, 0)), perc_75, VLOOKUP(U$2, Percentiles!$A$45:$I$59, 6, FALSE), perc_90, VLOOKUP(U$2, Percentiles!$A$45:$I$59, 7, FALSE), perc_95, VLOOKUP(U$2, Percentiles!$A$45:$I$59, 8, FALSE), perc_85, perc_75 + (perc_90 - perc_75) * (2/3), converted_stat, '2K_Ratings'!U7, IF(bbgm_stat &gt;= perc_95, converted_stat * 3, IF(bbgm_stat &gt;= perc_90, converted_stat * 2, IF(bbgm_stat &gt;= perc_85, converted_stat * 1.5, converted_stat)))))</f>
        <v/>
      </c>
      <c r="V7" s="30" t="str">
        <f t="array" ref="V7">IF($A7="", "", LET(bbgm_stat, INDEX(Players!$A6:$P6, MATCH(V$2, Players!$A$1:$P$1, 0)), perc_75, VLOOKUP(V$2, Percentiles!$A$45:$I$59, 6, FALSE), perc_90, VLOOKUP(V$2, Percentiles!$A$45:$I$59, 7, FALSE), perc_95, VLOOKUP(V$2, Percentiles!$A$45:$I$59, 8, FALSE), perc_85, perc_75 + (perc_90 - perc_75) * (2/3), converted_stat, '2K_Ratings'!V7, IF(bbgm_stat &gt;= perc_95, converted_stat * 3, IF(bbgm_stat &gt;= perc_90, converted_stat * 2, IF(bbgm_stat &gt;= perc_85, converted_stat * 1.5, converted_stat)))))</f>
        <v/>
      </c>
      <c r="W7" s="30" t="str">
        <f t="array" ref="W7">IF($A7="", "", LET(bbgm_stat, INDEX(Players!$A6:$P6, MATCH(W$2, Players!$A$1:$P$1, 0)), perc_75, VLOOKUP(W$2, Percentiles!$A$45:$I$59, 6, FALSE), perc_90, VLOOKUP(W$2, Percentiles!$A$45:$I$59, 7, FALSE), perc_95, VLOOKUP(W$2, Percentiles!$A$45:$I$59, 8, FALSE), perc_85, perc_75 + (perc_90 - perc_75) * (2/3), converted_stat, '2K_Ratings'!W7, IF(bbgm_stat &gt;= perc_95, converted_stat * 3, IF(bbgm_stat &gt;= perc_90, converted_stat * 2, IF(bbgm_stat &gt;= perc_85, converted_stat * 1.5, converted_stat)))))</f>
        <v/>
      </c>
    </row>
    <row r="8">
      <c r="A8" s="30" t="str">
        <f>IF(Players!A7="", "", Players!A7)</f>
        <v/>
      </c>
      <c r="B8" s="30" t="str">
        <f t="array" ref="B8">IF($A8="", "", LET(bbgm_stat, INDEX(Players!$A7:$P7, MATCH(B$2, Players!$A$1:$P$1, 0)), perc_75, VLOOKUP(B$2, Percentiles!$A$45:$I$59, 6, FALSE), perc_90, VLOOKUP(B$2, Percentiles!$A$45:$I$59, 7, FALSE), perc_95, VLOOKUP(B$2, Percentiles!$A$45:$I$59, 8, FALSE), perc_85, perc_75 + (perc_90 - perc_75) * (2/3), converted_stat, '2K_Ratings'!B8, IF(bbgm_stat &gt;= perc_95, converted_stat * 3, IF(bbgm_stat &gt;= perc_90, converted_stat * 2, IF(bbgm_stat &gt;= perc_85, converted_stat * 1.5, converted_stat)))))</f>
        <v/>
      </c>
      <c r="C8" s="30" t="str">
        <f t="array" ref="C8">IF($A8="", "", LET(bbgm_stat, INDEX(Players!$A7:$P7, MATCH(C$2, Players!$A$1:$P$1, 0)), perc_75, VLOOKUP(C$2, Percentiles!$A$45:$I$59, 6, FALSE), perc_90, VLOOKUP(C$2, Percentiles!$A$45:$I$59, 7, FALSE), perc_95, VLOOKUP(C$2, Percentiles!$A$45:$I$59, 8, FALSE), perc_85, perc_75 + (perc_90 - perc_75) * (2/3), converted_stat, '2K_Ratings'!C8, IF(bbgm_stat &gt;= perc_95, converted_stat * 3, IF(bbgm_stat &gt;= perc_90, converted_stat * 2, IF(bbgm_stat &gt;= perc_85, converted_stat * 1.5, converted_stat)))))</f>
        <v/>
      </c>
      <c r="D8" s="30" t="str">
        <f t="array" ref="D8">IF($A8="", "", LET(bbgm_stat, INDEX(Players!$A7:$P7, MATCH(D$2, Players!$A$1:$P$1, 0)), perc_75, VLOOKUP(D$2, Percentiles!$A$45:$I$59, 6, FALSE), perc_90, VLOOKUP(D$2, Percentiles!$A$45:$I$59, 7, FALSE), perc_95, VLOOKUP(D$2, Percentiles!$A$45:$I$59, 8, FALSE), perc_85, perc_75 + (perc_90 - perc_75) * (2/3), converted_stat, '2K_Ratings'!D8, IF(bbgm_stat &gt;= perc_95, converted_stat * 3, IF(bbgm_stat &gt;= perc_90, converted_stat * 2, IF(bbgm_stat &gt;= perc_85, converted_stat * 1.5, converted_stat)))))</f>
        <v/>
      </c>
      <c r="E8" s="30" t="str">
        <f t="array" ref="E8">IF($A8="", "", LET(bbgm_stat, INDEX(Players!$A7:$P7, MATCH(E$2, Players!$A$1:$P$1, 0)), perc_75, VLOOKUP(E$2, Percentiles!$A$45:$I$59, 6, FALSE), perc_90, VLOOKUP(E$2, Percentiles!$A$45:$I$59, 7, FALSE), perc_95, VLOOKUP(E$2, Percentiles!$A$45:$I$59, 8, FALSE), perc_85, perc_75 + (perc_90 - perc_75) * (2/3), converted_stat, '2K_Ratings'!E8, IF(bbgm_stat &gt;= perc_95, converted_stat * 3, IF(bbgm_stat &gt;= perc_90, converted_stat * 2, IF(bbgm_stat &gt;= perc_85, converted_stat * 1.5, converted_stat)))))</f>
        <v/>
      </c>
      <c r="F8" s="30" t="str">
        <f t="array" ref="F8">IF($A8="", "", LET(bbgm_stat, INDEX(Players!$A7:$P7, MATCH(F$2, Players!$A$1:$P$1, 0)), perc_75, VLOOKUP(F$2, Percentiles!$A$45:$I$59, 6, FALSE), perc_90, VLOOKUP(F$2, Percentiles!$A$45:$I$59, 7, FALSE), perc_95, VLOOKUP(F$2, Percentiles!$A$45:$I$59, 8, FALSE), perc_85, perc_75 + (perc_90 - perc_75) * (2/3), converted_stat, '2K_Ratings'!F8, IF(bbgm_stat &gt;= perc_95, converted_stat * 3, IF(bbgm_stat &gt;= perc_90, converted_stat * 2, IF(bbgm_stat &gt;= perc_85, converted_stat * 1.5, converted_stat)))))</f>
        <v/>
      </c>
      <c r="G8" s="30" t="str">
        <f t="array" ref="G8">IF($A8="", "", LET(bbgm_stat, INDEX(Players!$A7:$P7, MATCH(G$2, Players!$A$1:$P$1, 0)), perc_75, VLOOKUP(G$2, Percentiles!$A$45:$I$59, 6, FALSE), perc_90, VLOOKUP(G$2, Percentiles!$A$45:$I$59, 7, FALSE), perc_95, VLOOKUP(G$2, Percentiles!$A$45:$I$59, 8, FALSE), perc_85, perc_75 + (perc_90 - perc_75) * (2/3), converted_stat, '2K_Ratings'!G8, IF(bbgm_stat &gt;= perc_95, converted_stat * 3, IF(bbgm_stat &gt;= perc_90, converted_stat * 2, IF(bbgm_stat &gt;= perc_85, converted_stat * 1.5, converted_stat)))))</f>
        <v/>
      </c>
      <c r="H8" s="30" t="str">
        <f t="array" ref="H8">IF($A8="", "", LET(bbgm_stat, INDEX(Players!$A7:$P7, MATCH(H$2, Players!$A$1:$P$1, 0)), perc_75, VLOOKUP(H$2, Percentiles!$A$45:$I$59, 6, FALSE), perc_90, VLOOKUP(H$2, Percentiles!$A$45:$I$59, 7, FALSE), perc_95, VLOOKUP(H$2, Percentiles!$A$45:$I$59, 8, FALSE), perc_85, perc_75 + (perc_90 - perc_75) * (2/3), converted_stat, '2K_Ratings'!H8, IF(bbgm_stat &gt;= perc_95, converted_stat * 3, IF(bbgm_stat &gt;= perc_90, converted_stat * 2, IF(bbgm_stat &gt;= perc_85, converted_stat * 1.5, converted_stat)))))</f>
        <v/>
      </c>
      <c r="I8" s="30" t="str">
        <f t="array" ref="I8">IF($A8="", "", LET(bbgm_stat, INDEX(Players!$A7:$P7, MATCH(I$2, Players!$A$1:$P$1, 0)), perc_75, VLOOKUP(I$2, Percentiles!$A$45:$I$59, 6, FALSE), perc_90, VLOOKUP(I$2, Percentiles!$A$45:$I$59, 7, FALSE), perc_95, VLOOKUP(I$2, Percentiles!$A$45:$I$59, 8, FALSE), perc_85, perc_75 + (perc_90 - perc_75) * (2/3), converted_stat, '2K_Ratings'!I8, IF(bbgm_stat &gt;= perc_95, converted_stat * 3, IF(bbgm_stat &gt;= perc_90, converted_stat * 2, IF(bbgm_stat &gt;= perc_85, converted_stat * 1.5, converted_stat)))))</f>
        <v/>
      </c>
      <c r="J8" s="30" t="str">
        <f t="array" ref="J8">IF($A8="", "", LET(bbgm_stat, INDEX(Players!$A7:$P7, MATCH(J$2, Players!$A$1:$P$1, 0)), perc_75, VLOOKUP(J$2, Percentiles!$A$45:$I$59, 6, FALSE), perc_90, VLOOKUP(J$2, Percentiles!$A$45:$I$59, 7, FALSE), perc_95, VLOOKUP(J$2, Percentiles!$A$45:$I$59, 8, FALSE), perc_85, perc_75 + (perc_90 - perc_75) * (2/3), converted_stat, '2K_Ratings'!J8, IF(bbgm_stat &gt;= perc_95, converted_stat * 3, IF(bbgm_stat &gt;= perc_90, converted_stat * 2, IF(bbgm_stat &gt;= perc_85, converted_stat * 1.5, converted_stat)))))</f>
        <v/>
      </c>
      <c r="K8" s="30" t="str">
        <f t="array" ref="K8">IF($A8="", "", LET(bbgm_stat, INDEX(Players!$A7:$P7, MATCH(K$2, Players!$A$1:$P$1, 0)), perc_75, VLOOKUP(K$2, Percentiles!$A$45:$I$59, 6, FALSE), perc_90, VLOOKUP(K$2, Percentiles!$A$45:$I$59, 7, FALSE), perc_95, VLOOKUP(K$2, Percentiles!$A$45:$I$59, 8, FALSE), perc_85, perc_75 + (perc_90 - perc_75) * (2/3), converted_stat, '2K_Ratings'!K8, IF(bbgm_stat &gt;= perc_95, converted_stat * 3, IF(bbgm_stat &gt;= perc_90, converted_stat * 2, IF(bbgm_stat &gt;= perc_85, converted_stat * 1.5, converted_stat)))))</f>
        <v/>
      </c>
      <c r="L8" s="30" t="str">
        <f t="array" ref="L8">IF($A8="", "", LET(bbgm_stat, INDEX(Players!$A7:$P7, MATCH(L$2, Players!$A$1:$P$1, 0)), perc_75, VLOOKUP(L$2, Percentiles!$A$45:$I$59, 6, FALSE), perc_90, VLOOKUP(L$2, Percentiles!$A$45:$I$59, 7, FALSE), perc_95, VLOOKUP(L$2, Percentiles!$A$45:$I$59, 8, FALSE), perc_85, perc_75 + (perc_90 - perc_75) * (2/3), converted_stat, '2K_Ratings'!L8, IF(bbgm_stat &gt;= perc_95, converted_stat * 3, IF(bbgm_stat &gt;= perc_90, converted_stat * 2, IF(bbgm_stat &gt;= perc_85, converted_stat * 1.5, converted_stat)))))</f>
        <v/>
      </c>
      <c r="M8" s="30" t="str">
        <f t="array" ref="M8">IF($A8="", "", LET(bbgm_stat, INDEX(Players!$A7:$P7, MATCH(M$2, Players!$A$1:$P$1, 0)), perc_75, VLOOKUP(M$2, Percentiles!$A$45:$I$59, 6, FALSE), perc_90, VLOOKUP(M$2, Percentiles!$A$45:$I$59, 7, FALSE), perc_95, VLOOKUP(M$2, Percentiles!$A$45:$I$59, 8, FALSE), perc_85, perc_75 + (perc_90 - perc_75) * (2/3), converted_stat, '2K_Ratings'!M8, IF(bbgm_stat &gt;= perc_95, converted_stat * 3, IF(bbgm_stat &gt;= perc_90, converted_stat * 2, IF(bbgm_stat &gt;= perc_85, converted_stat * 1.5, converted_stat)))))</f>
        <v/>
      </c>
      <c r="N8" s="30" t="str">
        <f t="array" ref="N8">IF($A8="", "", LET(bbgm_stat, INDEX(Players!$A7:$P7, MATCH(N$2, Players!$A$1:$P$1, 0)), perc_75, VLOOKUP(N$2, Percentiles!$A$45:$I$59, 6, FALSE), perc_90, VLOOKUP(N$2, Percentiles!$A$45:$I$59, 7, FALSE), perc_95, VLOOKUP(N$2, Percentiles!$A$45:$I$59, 8, FALSE), perc_85, perc_75 + (perc_90 - perc_75) * (2/3), converted_stat, '2K_Ratings'!N8, IF(bbgm_stat &gt;= perc_95, converted_stat * 3, IF(bbgm_stat &gt;= perc_90, converted_stat * 2, IF(bbgm_stat &gt;= perc_85, converted_stat * 1.5, converted_stat)))))</f>
        <v/>
      </c>
      <c r="O8" s="30" t="str">
        <f t="array" ref="O8">IF($A8="", "", LET(bbgm_stat, INDEX(Players!$A7:$P7, MATCH(O$2, Players!$A$1:$P$1, 0)), perc_75, VLOOKUP(O$2, Percentiles!$A$45:$I$59, 6, FALSE), perc_90, VLOOKUP(O$2, Percentiles!$A$45:$I$59, 7, FALSE), perc_95, VLOOKUP(O$2, Percentiles!$A$45:$I$59, 8, FALSE), perc_85, perc_75 + (perc_90 - perc_75) * (2/3), converted_stat, '2K_Ratings'!O8, IF(bbgm_stat &gt;= perc_95, converted_stat * 3, IF(bbgm_stat &gt;= perc_90, converted_stat * 2, IF(bbgm_stat &gt;= perc_85, converted_stat * 1.5, converted_stat)))))</f>
        <v/>
      </c>
      <c r="P8" s="30" t="str">
        <f t="array" ref="P8">IF($A8="", "", LET(bbgm_stat, INDEX(Players!$A7:$P7, MATCH(P$2, Players!$A$1:$P$1, 0)), perc_75, VLOOKUP(P$2, Percentiles!$A$45:$I$59, 6, FALSE), perc_90, VLOOKUP(P$2, Percentiles!$A$45:$I$59, 7, FALSE), perc_95, VLOOKUP(P$2, Percentiles!$A$45:$I$59, 8, FALSE), perc_85, perc_75 + (perc_90 - perc_75) * (2/3), converted_stat, '2K_Ratings'!P8, IF(bbgm_stat &gt;= perc_95, converted_stat * 3, IF(bbgm_stat &gt;= perc_90, converted_stat * 2, IF(bbgm_stat &gt;= perc_85, converted_stat * 1.5, converted_stat)))))</f>
        <v/>
      </c>
      <c r="Q8" s="30" t="str">
        <f t="array" ref="Q8">IF($A8="", "", LET(bbgm_stat, INDEX(Players!$A7:$P7, MATCH(Q$2, Players!$A$1:$P$1, 0)), perc_75, VLOOKUP(Q$2, Percentiles!$A$45:$I$59, 6, FALSE), perc_90, VLOOKUP(Q$2, Percentiles!$A$45:$I$59, 7, FALSE), perc_95, VLOOKUP(Q$2, Percentiles!$A$45:$I$59, 8, FALSE), perc_85, perc_75 + (perc_90 - perc_75) * (2/3), converted_stat, '2K_Ratings'!Q8, IF(bbgm_stat &gt;= perc_95, converted_stat * 3, IF(bbgm_stat &gt;= perc_90, converted_stat * 2, IF(bbgm_stat &gt;= perc_85, converted_stat * 1.5, converted_stat)))))</f>
        <v/>
      </c>
      <c r="R8" s="30" t="str">
        <f t="array" ref="R8">IF($A8="", "", LET(bbgm_stat, INDEX(Players!$A7:$P7, MATCH(R$2, Players!$A$1:$P$1, 0)), perc_75, VLOOKUP(R$2, Percentiles!$A$45:$I$59, 6, FALSE), perc_90, VLOOKUP(R$2, Percentiles!$A$45:$I$59, 7, FALSE), perc_95, VLOOKUP(R$2, Percentiles!$A$45:$I$59, 8, FALSE), perc_85, perc_75 + (perc_90 - perc_75) * (2/3), converted_stat, '2K_Ratings'!R8, IF(bbgm_stat &gt;= perc_95, converted_stat * 3, IF(bbgm_stat &gt;= perc_90, converted_stat * 2, IF(bbgm_stat &gt;= perc_85, converted_stat * 1.5, converted_stat)))))</f>
        <v/>
      </c>
      <c r="S8" s="30" t="str">
        <f t="array" ref="S8">IF($A8="", "", LET(bbgm_stat, INDEX(Players!$A7:$P7, MATCH(S$2, Players!$A$1:$P$1, 0)), perc_75, VLOOKUP(S$2, Percentiles!$A$45:$I$59, 6, FALSE), perc_90, VLOOKUP(S$2, Percentiles!$A$45:$I$59, 7, FALSE), perc_95, VLOOKUP(S$2, Percentiles!$A$45:$I$59, 8, FALSE), perc_85, perc_75 + (perc_90 - perc_75) * (2/3), converted_stat, '2K_Ratings'!S8, IF(bbgm_stat &gt;= perc_95, converted_stat * 3, IF(bbgm_stat &gt;= perc_90, converted_stat * 2, IF(bbgm_stat &gt;= perc_85, converted_stat * 1.5, converted_stat)))))</f>
        <v/>
      </c>
      <c r="T8" s="30" t="str">
        <f t="array" ref="T8">IF($A8="", "", LET(bbgm_stat, INDEX(Players!$A7:$P7, MATCH(T$2, Players!$A$1:$P$1, 0)), perc_75, VLOOKUP(T$2, Percentiles!$A$45:$I$59, 6, FALSE), perc_90, VLOOKUP(T$2, Percentiles!$A$45:$I$59, 7, FALSE), perc_95, VLOOKUP(T$2, Percentiles!$A$45:$I$59, 8, FALSE), perc_85, perc_75 + (perc_90 - perc_75) * (2/3), converted_stat, '2K_Ratings'!T8, IF(bbgm_stat &gt;= perc_95, converted_stat * 3, IF(bbgm_stat &gt;= perc_90, converted_stat * 2, IF(bbgm_stat &gt;= perc_85, converted_stat * 1.5, converted_stat)))))</f>
        <v/>
      </c>
      <c r="U8" s="30" t="str">
        <f t="array" ref="U8">IF($A8="", "", LET(bbgm_stat, INDEX(Players!$A7:$P7, MATCH(U$2, Players!$A$1:$P$1, 0)), perc_75, VLOOKUP(U$2, Percentiles!$A$45:$I$59, 6, FALSE), perc_90, VLOOKUP(U$2, Percentiles!$A$45:$I$59, 7, FALSE), perc_95, VLOOKUP(U$2, Percentiles!$A$45:$I$59, 8, FALSE), perc_85, perc_75 + (perc_90 - perc_75) * (2/3), converted_stat, '2K_Ratings'!U8, IF(bbgm_stat &gt;= perc_95, converted_stat * 3, IF(bbgm_stat &gt;= perc_90, converted_stat * 2, IF(bbgm_stat &gt;= perc_85, converted_stat * 1.5, converted_stat)))))</f>
        <v/>
      </c>
      <c r="V8" s="30" t="str">
        <f t="array" ref="V8">IF($A8="", "", LET(bbgm_stat, INDEX(Players!$A7:$P7, MATCH(V$2, Players!$A$1:$P$1, 0)), perc_75, VLOOKUP(V$2, Percentiles!$A$45:$I$59, 6, FALSE), perc_90, VLOOKUP(V$2, Percentiles!$A$45:$I$59, 7, FALSE), perc_95, VLOOKUP(V$2, Percentiles!$A$45:$I$59, 8, FALSE), perc_85, perc_75 + (perc_90 - perc_75) * (2/3), converted_stat, '2K_Ratings'!V8, IF(bbgm_stat &gt;= perc_95, converted_stat * 3, IF(bbgm_stat &gt;= perc_90, converted_stat * 2, IF(bbgm_stat &gt;= perc_85, converted_stat * 1.5, converted_stat)))))</f>
        <v/>
      </c>
      <c r="W8" s="30" t="str">
        <f t="array" ref="W8">IF($A8="", "", LET(bbgm_stat, INDEX(Players!$A7:$P7, MATCH(W$2, Players!$A$1:$P$1, 0)), perc_75, VLOOKUP(W$2, Percentiles!$A$45:$I$59, 6, FALSE), perc_90, VLOOKUP(W$2, Percentiles!$A$45:$I$59, 7, FALSE), perc_95, VLOOKUP(W$2, Percentiles!$A$45:$I$59, 8, FALSE), perc_85, perc_75 + (perc_90 - perc_75) * (2/3), converted_stat, '2K_Ratings'!W8, IF(bbgm_stat &gt;= perc_95, converted_stat * 3, IF(bbgm_stat &gt;= perc_90, converted_stat * 2, IF(bbgm_stat &gt;= perc_85, converted_stat * 1.5, converted_stat)))))</f>
        <v/>
      </c>
    </row>
    <row r="9">
      <c r="A9" s="30" t="str">
        <f>IF(Players!A8="", "", Players!A8)</f>
        <v/>
      </c>
      <c r="B9" s="30" t="str">
        <f t="array" ref="B9">IF($A9="", "", LET(bbgm_stat, INDEX(Players!$A8:$P8, MATCH(B$2, Players!$A$1:$P$1, 0)), perc_75, VLOOKUP(B$2, Percentiles!$A$45:$I$59, 6, FALSE), perc_90, VLOOKUP(B$2, Percentiles!$A$45:$I$59, 7, FALSE), perc_95, VLOOKUP(B$2, Percentiles!$A$45:$I$59, 8, FALSE), perc_85, perc_75 + (perc_90 - perc_75) * (2/3), converted_stat, '2K_Ratings'!B9, IF(bbgm_stat &gt;= perc_95, converted_stat * 3, IF(bbgm_stat &gt;= perc_90, converted_stat * 2, IF(bbgm_stat &gt;= perc_85, converted_stat * 1.5, converted_stat)))))</f>
        <v/>
      </c>
      <c r="C9" s="30" t="str">
        <f t="array" ref="C9">IF($A9="", "", LET(bbgm_stat, INDEX(Players!$A8:$P8, MATCH(C$2, Players!$A$1:$P$1, 0)), perc_75, VLOOKUP(C$2, Percentiles!$A$45:$I$59, 6, FALSE), perc_90, VLOOKUP(C$2, Percentiles!$A$45:$I$59, 7, FALSE), perc_95, VLOOKUP(C$2, Percentiles!$A$45:$I$59, 8, FALSE), perc_85, perc_75 + (perc_90 - perc_75) * (2/3), converted_stat, '2K_Ratings'!C9, IF(bbgm_stat &gt;= perc_95, converted_stat * 3, IF(bbgm_stat &gt;= perc_90, converted_stat * 2, IF(bbgm_stat &gt;= perc_85, converted_stat * 1.5, converted_stat)))))</f>
        <v/>
      </c>
      <c r="D9" s="30" t="str">
        <f t="array" ref="D9">IF($A9="", "", LET(bbgm_stat, INDEX(Players!$A8:$P8, MATCH(D$2, Players!$A$1:$P$1, 0)), perc_75, VLOOKUP(D$2, Percentiles!$A$45:$I$59, 6, FALSE), perc_90, VLOOKUP(D$2, Percentiles!$A$45:$I$59, 7, FALSE), perc_95, VLOOKUP(D$2, Percentiles!$A$45:$I$59, 8, FALSE), perc_85, perc_75 + (perc_90 - perc_75) * (2/3), converted_stat, '2K_Ratings'!D9, IF(bbgm_stat &gt;= perc_95, converted_stat * 3, IF(bbgm_stat &gt;= perc_90, converted_stat * 2, IF(bbgm_stat &gt;= perc_85, converted_stat * 1.5, converted_stat)))))</f>
        <v/>
      </c>
      <c r="E9" s="30" t="str">
        <f t="array" ref="E9">IF($A9="", "", LET(bbgm_stat, INDEX(Players!$A8:$P8, MATCH(E$2, Players!$A$1:$P$1, 0)), perc_75, VLOOKUP(E$2, Percentiles!$A$45:$I$59, 6, FALSE), perc_90, VLOOKUP(E$2, Percentiles!$A$45:$I$59, 7, FALSE), perc_95, VLOOKUP(E$2, Percentiles!$A$45:$I$59, 8, FALSE), perc_85, perc_75 + (perc_90 - perc_75) * (2/3), converted_stat, '2K_Ratings'!E9, IF(bbgm_stat &gt;= perc_95, converted_stat * 3, IF(bbgm_stat &gt;= perc_90, converted_stat * 2, IF(bbgm_stat &gt;= perc_85, converted_stat * 1.5, converted_stat)))))</f>
        <v/>
      </c>
      <c r="F9" s="30" t="str">
        <f t="array" ref="F9">IF($A9="", "", LET(bbgm_stat, INDEX(Players!$A8:$P8, MATCH(F$2, Players!$A$1:$P$1, 0)), perc_75, VLOOKUP(F$2, Percentiles!$A$45:$I$59, 6, FALSE), perc_90, VLOOKUP(F$2, Percentiles!$A$45:$I$59, 7, FALSE), perc_95, VLOOKUP(F$2, Percentiles!$A$45:$I$59, 8, FALSE), perc_85, perc_75 + (perc_90 - perc_75) * (2/3), converted_stat, '2K_Ratings'!F9, IF(bbgm_stat &gt;= perc_95, converted_stat * 3, IF(bbgm_stat &gt;= perc_90, converted_stat * 2, IF(bbgm_stat &gt;= perc_85, converted_stat * 1.5, converted_stat)))))</f>
        <v/>
      </c>
      <c r="G9" s="30" t="str">
        <f t="array" ref="G9">IF($A9="", "", LET(bbgm_stat, INDEX(Players!$A8:$P8, MATCH(G$2, Players!$A$1:$P$1, 0)), perc_75, VLOOKUP(G$2, Percentiles!$A$45:$I$59, 6, FALSE), perc_90, VLOOKUP(G$2, Percentiles!$A$45:$I$59, 7, FALSE), perc_95, VLOOKUP(G$2, Percentiles!$A$45:$I$59, 8, FALSE), perc_85, perc_75 + (perc_90 - perc_75) * (2/3), converted_stat, '2K_Ratings'!G9, IF(bbgm_stat &gt;= perc_95, converted_stat * 3, IF(bbgm_stat &gt;= perc_90, converted_stat * 2, IF(bbgm_stat &gt;= perc_85, converted_stat * 1.5, converted_stat)))))</f>
        <v/>
      </c>
      <c r="H9" s="30" t="str">
        <f t="array" ref="H9">IF($A9="", "", LET(bbgm_stat, INDEX(Players!$A8:$P8, MATCH(H$2, Players!$A$1:$P$1, 0)), perc_75, VLOOKUP(H$2, Percentiles!$A$45:$I$59, 6, FALSE), perc_90, VLOOKUP(H$2, Percentiles!$A$45:$I$59, 7, FALSE), perc_95, VLOOKUP(H$2, Percentiles!$A$45:$I$59, 8, FALSE), perc_85, perc_75 + (perc_90 - perc_75) * (2/3), converted_stat, '2K_Ratings'!H9, IF(bbgm_stat &gt;= perc_95, converted_stat * 3, IF(bbgm_stat &gt;= perc_90, converted_stat * 2, IF(bbgm_stat &gt;= perc_85, converted_stat * 1.5, converted_stat)))))</f>
        <v/>
      </c>
      <c r="I9" s="30" t="str">
        <f t="array" ref="I9">IF($A9="", "", LET(bbgm_stat, INDEX(Players!$A8:$P8, MATCH(I$2, Players!$A$1:$P$1, 0)), perc_75, VLOOKUP(I$2, Percentiles!$A$45:$I$59, 6, FALSE), perc_90, VLOOKUP(I$2, Percentiles!$A$45:$I$59, 7, FALSE), perc_95, VLOOKUP(I$2, Percentiles!$A$45:$I$59, 8, FALSE), perc_85, perc_75 + (perc_90 - perc_75) * (2/3), converted_stat, '2K_Ratings'!I9, IF(bbgm_stat &gt;= perc_95, converted_stat * 3, IF(bbgm_stat &gt;= perc_90, converted_stat * 2, IF(bbgm_stat &gt;= perc_85, converted_stat * 1.5, converted_stat)))))</f>
        <v/>
      </c>
      <c r="J9" s="30" t="str">
        <f t="array" ref="J9">IF($A9="", "", LET(bbgm_stat, INDEX(Players!$A8:$P8, MATCH(J$2, Players!$A$1:$P$1, 0)), perc_75, VLOOKUP(J$2, Percentiles!$A$45:$I$59, 6, FALSE), perc_90, VLOOKUP(J$2, Percentiles!$A$45:$I$59, 7, FALSE), perc_95, VLOOKUP(J$2, Percentiles!$A$45:$I$59, 8, FALSE), perc_85, perc_75 + (perc_90 - perc_75) * (2/3), converted_stat, '2K_Ratings'!J9, IF(bbgm_stat &gt;= perc_95, converted_stat * 3, IF(bbgm_stat &gt;= perc_90, converted_stat * 2, IF(bbgm_stat &gt;= perc_85, converted_stat * 1.5, converted_stat)))))</f>
        <v/>
      </c>
      <c r="K9" s="30" t="str">
        <f t="array" ref="K9">IF($A9="", "", LET(bbgm_stat, INDEX(Players!$A8:$P8, MATCH(K$2, Players!$A$1:$P$1, 0)), perc_75, VLOOKUP(K$2, Percentiles!$A$45:$I$59, 6, FALSE), perc_90, VLOOKUP(K$2, Percentiles!$A$45:$I$59, 7, FALSE), perc_95, VLOOKUP(K$2, Percentiles!$A$45:$I$59, 8, FALSE), perc_85, perc_75 + (perc_90 - perc_75) * (2/3), converted_stat, '2K_Ratings'!K9, IF(bbgm_stat &gt;= perc_95, converted_stat * 3, IF(bbgm_stat &gt;= perc_90, converted_stat * 2, IF(bbgm_stat &gt;= perc_85, converted_stat * 1.5, converted_stat)))))</f>
        <v/>
      </c>
      <c r="L9" s="30" t="str">
        <f t="array" ref="L9">IF($A9="", "", LET(bbgm_stat, INDEX(Players!$A8:$P8, MATCH(L$2, Players!$A$1:$P$1, 0)), perc_75, VLOOKUP(L$2, Percentiles!$A$45:$I$59, 6, FALSE), perc_90, VLOOKUP(L$2, Percentiles!$A$45:$I$59, 7, FALSE), perc_95, VLOOKUP(L$2, Percentiles!$A$45:$I$59, 8, FALSE), perc_85, perc_75 + (perc_90 - perc_75) * (2/3), converted_stat, '2K_Ratings'!L9, IF(bbgm_stat &gt;= perc_95, converted_stat * 3, IF(bbgm_stat &gt;= perc_90, converted_stat * 2, IF(bbgm_stat &gt;= perc_85, converted_stat * 1.5, converted_stat)))))</f>
        <v/>
      </c>
      <c r="M9" s="30" t="str">
        <f t="array" ref="M9">IF($A9="", "", LET(bbgm_stat, INDEX(Players!$A8:$P8, MATCH(M$2, Players!$A$1:$P$1, 0)), perc_75, VLOOKUP(M$2, Percentiles!$A$45:$I$59, 6, FALSE), perc_90, VLOOKUP(M$2, Percentiles!$A$45:$I$59, 7, FALSE), perc_95, VLOOKUP(M$2, Percentiles!$A$45:$I$59, 8, FALSE), perc_85, perc_75 + (perc_90 - perc_75) * (2/3), converted_stat, '2K_Ratings'!M9, IF(bbgm_stat &gt;= perc_95, converted_stat * 3, IF(bbgm_stat &gt;= perc_90, converted_stat * 2, IF(bbgm_stat &gt;= perc_85, converted_stat * 1.5, converted_stat)))))</f>
        <v/>
      </c>
      <c r="N9" s="30" t="str">
        <f t="array" ref="N9">IF($A9="", "", LET(bbgm_stat, INDEX(Players!$A8:$P8, MATCH(N$2, Players!$A$1:$P$1, 0)), perc_75, VLOOKUP(N$2, Percentiles!$A$45:$I$59, 6, FALSE), perc_90, VLOOKUP(N$2, Percentiles!$A$45:$I$59, 7, FALSE), perc_95, VLOOKUP(N$2, Percentiles!$A$45:$I$59, 8, FALSE), perc_85, perc_75 + (perc_90 - perc_75) * (2/3), converted_stat, '2K_Ratings'!N9, IF(bbgm_stat &gt;= perc_95, converted_stat * 3, IF(bbgm_stat &gt;= perc_90, converted_stat * 2, IF(bbgm_stat &gt;= perc_85, converted_stat * 1.5, converted_stat)))))</f>
        <v/>
      </c>
      <c r="O9" s="30" t="str">
        <f t="array" ref="O9">IF($A9="", "", LET(bbgm_stat, INDEX(Players!$A8:$P8, MATCH(O$2, Players!$A$1:$P$1, 0)), perc_75, VLOOKUP(O$2, Percentiles!$A$45:$I$59, 6, FALSE), perc_90, VLOOKUP(O$2, Percentiles!$A$45:$I$59, 7, FALSE), perc_95, VLOOKUP(O$2, Percentiles!$A$45:$I$59, 8, FALSE), perc_85, perc_75 + (perc_90 - perc_75) * (2/3), converted_stat, '2K_Ratings'!O9, IF(bbgm_stat &gt;= perc_95, converted_stat * 3, IF(bbgm_stat &gt;= perc_90, converted_stat * 2, IF(bbgm_stat &gt;= perc_85, converted_stat * 1.5, converted_stat)))))</f>
        <v/>
      </c>
      <c r="P9" s="30" t="str">
        <f t="array" ref="P9">IF($A9="", "", LET(bbgm_stat, INDEX(Players!$A8:$P8, MATCH(P$2, Players!$A$1:$P$1, 0)), perc_75, VLOOKUP(P$2, Percentiles!$A$45:$I$59, 6, FALSE), perc_90, VLOOKUP(P$2, Percentiles!$A$45:$I$59, 7, FALSE), perc_95, VLOOKUP(P$2, Percentiles!$A$45:$I$59, 8, FALSE), perc_85, perc_75 + (perc_90 - perc_75) * (2/3), converted_stat, '2K_Ratings'!P9, IF(bbgm_stat &gt;= perc_95, converted_stat * 3, IF(bbgm_stat &gt;= perc_90, converted_stat * 2, IF(bbgm_stat &gt;= perc_85, converted_stat * 1.5, converted_stat)))))</f>
        <v/>
      </c>
      <c r="Q9" s="30" t="str">
        <f t="array" ref="Q9">IF($A9="", "", LET(bbgm_stat, INDEX(Players!$A8:$P8, MATCH(Q$2, Players!$A$1:$P$1, 0)), perc_75, VLOOKUP(Q$2, Percentiles!$A$45:$I$59, 6, FALSE), perc_90, VLOOKUP(Q$2, Percentiles!$A$45:$I$59, 7, FALSE), perc_95, VLOOKUP(Q$2, Percentiles!$A$45:$I$59, 8, FALSE), perc_85, perc_75 + (perc_90 - perc_75) * (2/3), converted_stat, '2K_Ratings'!Q9, IF(bbgm_stat &gt;= perc_95, converted_stat * 3, IF(bbgm_stat &gt;= perc_90, converted_stat * 2, IF(bbgm_stat &gt;= perc_85, converted_stat * 1.5, converted_stat)))))</f>
        <v/>
      </c>
      <c r="R9" s="30" t="str">
        <f t="array" ref="R9">IF($A9="", "", LET(bbgm_stat, INDEX(Players!$A8:$P8, MATCH(R$2, Players!$A$1:$P$1, 0)), perc_75, VLOOKUP(R$2, Percentiles!$A$45:$I$59, 6, FALSE), perc_90, VLOOKUP(R$2, Percentiles!$A$45:$I$59, 7, FALSE), perc_95, VLOOKUP(R$2, Percentiles!$A$45:$I$59, 8, FALSE), perc_85, perc_75 + (perc_90 - perc_75) * (2/3), converted_stat, '2K_Ratings'!R9, IF(bbgm_stat &gt;= perc_95, converted_stat * 3, IF(bbgm_stat &gt;= perc_90, converted_stat * 2, IF(bbgm_stat &gt;= perc_85, converted_stat * 1.5, converted_stat)))))</f>
        <v/>
      </c>
      <c r="S9" s="30" t="str">
        <f t="array" ref="S9">IF($A9="", "", LET(bbgm_stat, INDEX(Players!$A8:$P8, MATCH(S$2, Players!$A$1:$P$1, 0)), perc_75, VLOOKUP(S$2, Percentiles!$A$45:$I$59, 6, FALSE), perc_90, VLOOKUP(S$2, Percentiles!$A$45:$I$59, 7, FALSE), perc_95, VLOOKUP(S$2, Percentiles!$A$45:$I$59, 8, FALSE), perc_85, perc_75 + (perc_90 - perc_75) * (2/3), converted_stat, '2K_Ratings'!S9, IF(bbgm_stat &gt;= perc_95, converted_stat * 3, IF(bbgm_stat &gt;= perc_90, converted_stat * 2, IF(bbgm_stat &gt;= perc_85, converted_stat * 1.5, converted_stat)))))</f>
        <v/>
      </c>
      <c r="T9" s="30" t="str">
        <f t="array" ref="T9">IF($A9="", "", LET(bbgm_stat, INDEX(Players!$A8:$P8, MATCH(T$2, Players!$A$1:$P$1, 0)), perc_75, VLOOKUP(T$2, Percentiles!$A$45:$I$59, 6, FALSE), perc_90, VLOOKUP(T$2, Percentiles!$A$45:$I$59, 7, FALSE), perc_95, VLOOKUP(T$2, Percentiles!$A$45:$I$59, 8, FALSE), perc_85, perc_75 + (perc_90 - perc_75) * (2/3), converted_stat, '2K_Ratings'!T9, IF(bbgm_stat &gt;= perc_95, converted_stat * 3, IF(bbgm_stat &gt;= perc_90, converted_stat * 2, IF(bbgm_stat &gt;= perc_85, converted_stat * 1.5, converted_stat)))))</f>
        <v/>
      </c>
      <c r="U9" s="30" t="str">
        <f t="array" ref="U9">IF($A9="", "", LET(bbgm_stat, INDEX(Players!$A8:$P8, MATCH(U$2, Players!$A$1:$P$1, 0)), perc_75, VLOOKUP(U$2, Percentiles!$A$45:$I$59, 6, FALSE), perc_90, VLOOKUP(U$2, Percentiles!$A$45:$I$59, 7, FALSE), perc_95, VLOOKUP(U$2, Percentiles!$A$45:$I$59, 8, FALSE), perc_85, perc_75 + (perc_90 - perc_75) * (2/3), converted_stat, '2K_Ratings'!U9, IF(bbgm_stat &gt;= perc_95, converted_stat * 3, IF(bbgm_stat &gt;= perc_90, converted_stat * 2, IF(bbgm_stat &gt;= perc_85, converted_stat * 1.5, converted_stat)))))</f>
        <v/>
      </c>
      <c r="V9" s="30" t="str">
        <f t="array" ref="V9">IF($A9="", "", LET(bbgm_stat, INDEX(Players!$A8:$P8, MATCH(V$2, Players!$A$1:$P$1, 0)), perc_75, VLOOKUP(V$2, Percentiles!$A$45:$I$59, 6, FALSE), perc_90, VLOOKUP(V$2, Percentiles!$A$45:$I$59, 7, FALSE), perc_95, VLOOKUP(V$2, Percentiles!$A$45:$I$59, 8, FALSE), perc_85, perc_75 + (perc_90 - perc_75) * (2/3), converted_stat, '2K_Ratings'!V9, IF(bbgm_stat &gt;= perc_95, converted_stat * 3, IF(bbgm_stat &gt;= perc_90, converted_stat * 2, IF(bbgm_stat &gt;= perc_85, converted_stat * 1.5, converted_stat)))))</f>
        <v/>
      </c>
      <c r="W9" s="30" t="str">
        <f t="array" ref="W9">IF($A9="", "", LET(bbgm_stat, INDEX(Players!$A8:$P8, MATCH(W$2, Players!$A$1:$P$1, 0)), perc_75, VLOOKUP(W$2, Percentiles!$A$45:$I$59, 6, FALSE), perc_90, VLOOKUP(W$2, Percentiles!$A$45:$I$59, 7, FALSE), perc_95, VLOOKUP(W$2, Percentiles!$A$45:$I$59, 8, FALSE), perc_85, perc_75 + (perc_90 - perc_75) * (2/3), converted_stat, '2K_Ratings'!W9, IF(bbgm_stat &gt;= perc_95, converted_stat * 3, IF(bbgm_stat &gt;= perc_90, converted_stat * 2, IF(bbgm_stat &gt;= perc_85, converted_stat * 1.5, converted_stat)))))</f>
        <v/>
      </c>
    </row>
    <row r="10">
      <c r="A10" s="30" t="str">
        <f>IF(Players!A9="", "", Players!A9)</f>
        <v/>
      </c>
      <c r="B10" s="30" t="str">
        <f t="array" ref="B10">IF($A10="", "", LET(bbgm_stat, INDEX(Players!$A9:$P9, MATCH(B$2, Players!$A$1:$P$1, 0)), perc_75, VLOOKUP(B$2, Percentiles!$A$45:$I$59, 6, FALSE), perc_90, VLOOKUP(B$2, Percentiles!$A$45:$I$59, 7, FALSE), perc_95, VLOOKUP(B$2, Percentiles!$A$45:$I$59, 8, FALSE), perc_85, perc_75 + (perc_90 - perc_75) * (2/3), converted_stat, '2K_Ratings'!B10, IF(bbgm_stat &gt;= perc_95, converted_stat * 3, IF(bbgm_stat &gt;= perc_90, converted_stat * 2, IF(bbgm_stat &gt;= perc_85, converted_stat * 1.5, converted_stat)))))</f>
        <v/>
      </c>
      <c r="C10" s="30" t="str">
        <f t="array" ref="C10">IF($A10="", "", LET(bbgm_stat, INDEX(Players!$A9:$P9, MATCH(C$2, Players!$A$1:$P$1, 0)), perc_75, VLOOKUP(C$2, Percentiles!$A$45:$I$59, 6, FALSE), perc_90, VLOOKUP(C$2, Percentiles!$A$45:$I$59, 7, FALSE), perc_95, VLOOKUP(C$2, Percentiles!$A$45:$I$59, 8, FALSE), perc_85, perc_75 + (perc_90 - perc_75) * (2/3), converted_stat, '2K_Ratings'!C10, IF(bbgm_stat &gt;= perc_95, converted_stat * 3, IF(bbgm_stat &gt;= perc_90, converted_stat * 2, IF(bbgm_stat &gt;= perc_85, converted_stat * 1.5, converted_stat)))))</f>
        <v/>
      </c>
      <c r="D10" s="30" t="str">
        <f t="array" ref="D10">IF($A10="", "", LET(bbgm_stat, INDEX(Players!$A9:$P9, MATCH(D$2, Players!$A$1:$P$1, 0)), perc_75, VLOOKUP(D$2, Percentiles!$A$45:$I$59, 6, FALSE), perc_90, VLOOKUP(D$2, Percentiles!$A$45:$I$59, 7, FALSE), perc_95, VLOOKUP(D$2, Percentiles!$A$45:$I$59, 8, FALSE), perc_85, perc_75 + (perc_90 - perc_75) * (2/3), converted_stat, '2K_Ratings'!D10, IF(bbgm_stat &gt;= perc_95, converted_stat * 3, IF(bbgm_stat &gt;= perc_90, converted_stat * 2, IF(bbgm_stat &gt;= perc_85, converted_stat * 1.5, converted_stat)))))</f>
        <v/>
      </c>
      <c r="E10" s="30" t="str">
        <f t="array" ref="E10">IF($A10="", "", LET(bbgm_stat, INDEX(Players!$A9:$P9, MATCH(E$2, Players!$A$1:$P$1, 0)), perc_75, VLOOKUP(E$2, Percentiles!$A$45:$I$59, 6, FALSE), perc_90, VLOOKUP(E$2, Percentiles!$A$45:$I$59, 7, FALSE), perc_95, VLOOKUP(E$2, Percentiles!$A$45:$I$59, 8, FALSE), perc_85, perc_75 + (perc_90 - perc_75) * (2/3), converted_stat, '2K_Ratings'!E10, IF(bbgm_stat &gt;= perc_95, converted_stat * 3, IF(bbgm_stat &gt;= perc_90, converted_stat * 2, IF(bbgm_stat &gt;= perc_85, converted_stat * 1.5, converted_stat)))))</f>
        <v/>
      </c>
      <c r="F10" s="30" t="str">
        <f t="array" ref="F10">IF($A10="", "", LET(bbgm_stat, INDEX(Players!$A9:$P9, MATCH(F$2, Players!$A$1:$P$1, 0)), perc_75, VLOOKUP(F$2, Percentiles!$A$45:$I$59, 6, FALSE), perc_90, VLOOKUP(F$2, Percentiles!$A$45:$I$59, 7, FALSE), perc_95, VLOOKUP(F$2, Percentiles!$A$45:$I$59, 8, FALSE), perc_85, perc_75 + (perc_90 - perc_75) * (2/3), converted_stat, '2K_Ratings'!F10, IF(bbgm_stat &gt;= perc_95, converted_stat * 3, IF(bbgm_stat &gt;= perc_90, converted_stat * 2, IF(bbgm_stat &gt;= perc_85, converted_stat * 1.5, converted_stat)))))</f>
        <v/>
      </c>
      <c r="G10" s="30" t="str">
        <f t="array" ref="G10">IF($A10="", "", LET(bbgm_stat, INDEX(Players!$A9:$P9, MATCH(G$2, Players!$A$1:$P$1, 0)), perc_75, VLOOKUP(G$2, Percentiles!$A$45:$I$59, 6, FALSE), perc_90, VLOOKUP(G$2, Percentiles!$A$45:$I$59, 7, FALSE), perc_95, VLOOKUP(G$2, Percentiles!$A$45:$I$59, 8, FALSE), perc_85, perc_75 + (perc_90 - perc_75) * (2/3), converted_stat, '2K_Ratings'!G10, IF(bbgm_stat &gt;= perc_95, converted_stat * 3, IF(bbgm_stat &gt;= perc_90, converted_stat * 2, IF(bbgm_stat &gt;= perc_85, converted_stat * 1.5, converted_stat)))))</f>
        <v/>
      </c>
      <c r="H10" s="30" t="str">
        <f t="array" ref="H10">IF($A10="", "", LET(bbgm_stat, INDEX(Players!$A9:$P9, MATCH(H$2, Players!$A$1:$P$1, 0)), perc_75, VLOOKUP(H$2, Percentiles!$A$45:$I$59, 6, FALSE), perc_90, VLOOKUP(H$2, Percentiles!$A$45:$I$59, 7, FALSE), perc_95, VLOOKUP(H$2, Percentiles!$A$45:$I$59, 8, FALSE), perc_85, perc_75 + (perc_90 - perc_75) * (2/3), converted_stat, '2K_Ratings'!H10, IF(bbgm_stat &gt;= perc_95, converted_stat * 3, IF(bbgm_stat &gt;= perc_90, converted_stat * 2, IF(bbgm_stat &gt;= perc_85, converted_stat * 1.5, converted_stat)))))</f>
        <v/>
      </c>
      <c r="I10" s="30" t="str">
        <f t="array" ref="I10">IF($A10="", "", LET(bbgm_stat, INDEX(Players!$A9:$P9, MATCH(I$2, Players!$A$1:$P$1, 0)), perc_75, VLOOKUP(I$2, Percentiles!$A$45:$I$59, 6, FALSE), perc_90, VLOOKUP(I$2, Percentiles!$A$45:$I$59, 7, FALSE), perc_95, VLOOKUP(I$2, Percentiles!$A$45:$I$59, 8, FALSE), perc_85, perc_75 + (perc_90 - perc_75) * (2/3), converted_stat, '2K_Ratings'!I10, IF(bbgm_stat &gt;= perc_95, converted_stat * 3, IF(bbgm_stat &gt;= perc_90, converted_stat * 2, IF(bbgm_stat &gt;= perc_85, converted_stat * 1.5, converted_stat)))))</f>
        <v/>
      </c>
      <c r="J10" s="30" t="str">
        <f t="array" ref="J10">IF($A10="", "", LET(bbgm_stat, INDEX(Players!$A9:$P9, MATCH(J$2, Players!$A$1:$P$1, 0)), perc_75, VLOOKUP(J$2, Percentiles!$A$45:$I$59, 6, FALSE), perc_90, VLOOKUP(J$2, Percentiles!$A$45:$I$59, 7, FALSE), perc_95, VLOOKUP(J$2, Percentiles!$A$45:$I$59, 8, FALSE), perc_85, perc_75 + (perc_90 - perc_75) * (2/3), converted_stat, '2K_Ratings'!J10, IF(bbgm_stat &gt;= perc_95, converted_stat * 3, IF(bbgm_stat &gt;= perc_90, converted_stat * 2, IF(bbgm_stat &gt;= perc_85, converted_stat * 1.5, converted_stat)))))</f>
        <v/>
      </c>
      <c r="K10" s="30" t="str">
        <f t="array" ref="K10">IF($A10="", "", LET(bbgm_stat, INDEX(Players!$A9:$P9, MATCH(K$2, Players!$A$1:$P$1, 0)), perc_75, VLOOKUP(K$2, Percentiles!$A$45:$I$59, 6, FALSE), perc_90, VLOOKUP(K$2, Percentiles!$A$45:$I$59, 7, FALSE), perc_95, VLOOKUP(K$2, Percentiles!$A$45:$I$59, 8, FALSE), perc_85, perc_75 + (perc_90 - perc_75) * (2/3), converted_stat, '2K_Ratings'!K10, IF(bbgm_stat &gt;= perc_95, converted_stat * 3, IF(bbgm_stat &gt;= perc_90, converted_stat * 2, IF(bbgm_stat &gt;= perc_85, converted_stat * 1.5, converted_stat)))))</f>
        <v/>
      </c>
      <c r="L10" s="30" t="str">
        <f t="array" ref="L10">IF($A10="", "", LET(bbgm_stat, INDEX(Players!$A9:$P9, MATCH(L$2, Players!$A$1:$P$1, 0)), perc_75, VLOOKUP(L$2, Percentiles!$A$45:$I$59, 6, FALSE), perc_90, VLOOKUP(L$2, Percentiles!$A$45:$I$59, 7, FALSE), perc_95, VLOOKUP(L$2, Percentiles!$A$45:$I$59, 8, FALSE), perc_85, perc_75 + (perc_90 - perc_75) * (2/3), converted_stat, '2K_Ratings'!L10, IF(bbgm_stat &gt;= perc_95, converted_stat * 3, IF(bbgm_stat &gt;= perc_90, converted_stat * 2, IF(bbgm_stat &gt;= perc_85, converted_stat * 1.5, converted_stat)))))</f>
        <v/>
      </c>
      <c r="M10" s="30" t="str">
        <f t="array" ref="M10">IF($A10="", "", LET(bbgm_stat, INDEX(Players!$A9:$P9, MATCH(M$2, Players!$A$1:$P$1, 0)), perc_75, VLOOKUP(M$2, Percentiles!$A$45:$I$59, 6, FALSE), perc_90, VLOOKUP(M$2, Percentiles!$A$45:$I$59, 7, FALSE), perc_95, VLOOKUP(M$2, Percentiles!$A$45:$I$59, 8, FALSE), perc_85, perc_75 + (perc_90 - perc_75) * (2/3), converted_stat, '2K_Ratings'!M10, IF(bbgm_stat &gt;= perc_95, converted_stat * 3, IF(bbgm_stat &gt;= perc_90, converted_stat * 2, IF(bbgm_stat &gt;= perc_85, converted_stat * 1.5, converted_stat)))))</f>
        <v/>
      </c>
      <c r="N10" s="30" t="str">
        <f t="array" ref="N10">IF($A10="", "", LET(bbgm_stat, INDEX(Players!$A9:$P9, MATCH(N$2, Players!$A$1:$P$1, 0)), perc_75, VLOOKUP(N$2, Percentiles!$A$45:$I$59, 6, FALSE), perc_90, VLOOKUP(N$2, Percentiles!$A$45:$I$59, 7, FALSE), perc_95, VLOOKUP(N$2, Percentiles!$A$45:$I$59, 8, FALSE), perc_85, perc_75 + (perc_90 - perc_75) * (2/3), converted_stat, '2K_Ratings'!N10, IF(bbgm_stat &gt;= perc_95, converted_stat * 3, IF(bbgm_stat &gt;= perc_90, converted_stat * 2, IF(bbgm_stat &gt;= perc_85, converted_stat * 1.5, converted_stat)))))</f>
        <v/>
      </c>
      <c r="O10" s="30" t="str">
        <f t="array" ref="O10">IF($A10="", "", LET(bbgm_stat, INDEX(Players!$A9:$P9, MATCH(O$2, Players!$A$1:$P$1, 0)), perc_75, VLOOKUP(O$2, Percentiles!$A$45:$I$59, 6, FALSE), perc_90, VLOOKUP(O$2, Percentiles!$A$45:$I$59, 7, FALSE), perc_95, VLOOKUP(O$2, Percentiles!$A$45:$I$59, 8, FALSE), perc_85, perc_75 + (perc_90 - perc_75) * (2/3), converted_stat, '2K_Ratings'!O10, IF(bbgm_stat &gt;= perc_95, converted_stat * 3, IF(bbgm_stat &gt;= perc_90, converted_stat * 2, IF(bbgm_stat &gt;= perc_85, converted_stat * 1.5, converted_stat)))))</f>
        <v/>
      </c>
      <c r="P10" s="30" t="str">
        <f t="array" ref="P10">IF($A10="", "", LET(bbgm_stat, INDEX(Players!$A9:$P9, MATCH(P$2, Players!$A$1:$P$1, 0)), perc_75, VLOOKUP(P$2, Percentiles!$A$45:$I$59, 6, FALSE), perc_90, VLOOKUP(P$2, Percentiles!$A$45:$I$59, 7, FALSE), perc_95, VLOOKUP(P$2, Percentiles!$A$45:$I$59, 8, FALSE), perc_85, perc_75 + (perc_90 - perc_75) * (2/3), converted_stat, '2K_Ratings'!P10, IF(bbgm_stat &gt;= perc_95, converted_stat * 3, IF(bbgm_stat &gt;= perc_90, converted_stat * 2, IF(bbgm_stat &gt;= perc_85, converted_stat * 1.5, converted_stat)))))</f>
        <v/>
      </c>
      <c r="Q10" s="30" t="str">
        <f t="array" ref="Q10">IF($A10="", "", LET(bbgm_stat, INDEX(Players!$A9:$P9, MATCH(Q$2, Players!$A$1:$P$1, 0)), perc_75, VLOOKUP(Q$2, Percentiles!$A$45:$I$59, 6, FALSE), perc_90, VLOOKUP(Q$2, Percentiles!$A$45:$I$59, 7, FALSE), perc_95, VLOOKUP(Q$2, Percentiles!$A$45:$I$59, 8, FALSE), perc_85, perc_75 + (perc_90 - perc_75) * (2/3), converted_stat, '2K_Ratings'!Q10, IF(bbgm_stat &gt;= perc_95, converted_stat * 3, IF(bbgm_stat &gt;= perc_90, converted_stat * 2, IF(bbgm_stat &gt;= perc_85, converted_stat * 1.5, converted_stat)))))</f>
        <v/>
      </c>
      <c r="R10" s="30" t="str">
        <f t="array" ref="R10">IF($A10="", "", LET(bbgm_stat, INDEX(Players!$A9:$P9, MATCH(R$2, Players!$A$1:$P$1, 0)), perc_75, VLOOKUP(R$2, Percentiles!$A$45:$I$59, 6, FALSE), perc_90, VLOOKUP(R$2, Percentiles!$A$45:$I$59, 7, FALSE), perc_95, VLOOKUP(R$2, Percentiles!$A$45:$I$59, 8, FALSE), perc_85, perc_75 + (perc_90 - perc_75) * (2/3), converted_stat, '2K_Ratings'!R10, IF(bbgm_stat &gt;= perc_95, converted_stat * 3, IF(bbgm_stat &gt;= perc_90, converted_stat * 2, IF(bbgm_stat &gt;= perc_85, converted_stat * 1.5, converted_stat)))))</f>
        <v/>
      </c>
      <c r="S10" s="30" t="str">
        <f t="array" ref="S10">IF($A10="", "", LET(bbgm_stat, INDEX(Players!$A9:$P9, MATCH(S$2, Players!$A$1:$P$1, 0)), perc_75, VLOOKUP(S$2, Percentiles!$A$45:$I$59, 6, FALSE), perc_90, VLOOKUP(S$2, Percentiles!$A$45:$I$59, 7, FALSE), perc_95, VLOOKUP(S$2, Percentiles!$A$45:$I$59, 8, FALSE), perc_85, perc_75 + (perc_90 - perc_75) * (2/3), converted_stat, '2K_Ratings'!S10, IF(bbgm_stat &gt;= perc_95, converted_stat * 3, IF(bbgm_stat &gt;= perc_90, converted_stat * 2, IF(bbgm_stat &gt;= perc_85, converted_stat * 1.5, converted_stat)))))</f>
        <v/>
      </c>
      <c r="T10" s="30" t="str">
        <f t="array" ref="T10">IF($A10="", "", LET(bbgm_stat, INDEX(Players!$A9:$P9, MATCH(T$2, Players!$A$1:$P$1, 0)), perc_75, VLOOKUP(T$2, Percentiles!$A$45:$I$59, 6, FALSE), perc_90, VLOOKUP(T$2, Percentiles!$A$45:$I$59, 7, FALSE), perc_95, VLOOKUP(T$2, Percentiles!$A$45:$I$59, 8, FALSE), perc_85, perc_75 + (perc_90 - perc_75) * (2/3), converted_stat, '2K_Ratings'!T10, IF(bbgm_stat &gt;= perc_95, converted_stat * 3, IF(bbgm_stat &gt;= perc_90, converted_stat * 2, IF(bbgm_stat &gt;= perc_85, converted_stat * 1.5, converted_stat)))))</f>
        <v/>
      </c>
      <c r="U10" s="30" t="str">
        <f t="array" ref="U10">IF($A10="", "", LET(bbgm_stat, INDEX(Players!$A9:$P9, MATCH(U$2, Players!$A$1:$P$1, 0)), perc_75, VLOOKUP(U$2, Percentiles!$A$45:$I$59, 6, FALSE), perc_90, VLOOKUP(U$2, Percentiles!$A$45:$I$59, 7, FALSE), perc_95, VLOOKUP(U$2, Percentiles!$A$45:$I$59, 8, FALSE), perc_85, perc_75 + (perc_90 - perc_75) * (2/3), converted_stat, '2K_Ratings'!U10, IF(bbgm_stat &gt;= perc_95, converted_stat * 3, IF(bbgm_stat &gt;= perc_90, converted_stat * 2, IF(bbgm_stat &gt;= perc_85, converted_stat * 1.5, converted_stat)))))</f>
        <v/>
      </c>
      <c r="V10" s="30" t="str">
        <f t="array" ref="V10">IF($A10="", "", LET(bbgm_stat, INDEX(Players!$A9:$P9, MATCH(V$2, Players!$A$1:$P$1, 0)), perc_75, VLOOKUP(V$2, Percentiles!$A$45:$I$59, 6, FALSE), perc_90, VLOOKUP(V$2, Percentiles!$A$45:$I$59, 7, FALSE), perc_95, VLOOKUP(V$2, Percentiles!$A$45:$I$59, 8, FALSE), perc_85, perc_75 + (perc_90 - perc_75) * (2/3), converted_stat, '2K_Ratings'!V10, IF(bbgm_stat &gt;= perc_95, converted_stat * 3, IF(bbgm_stat &gt;= perc_90, converted_stat * 2, IF(bbgm_stat &gt;= perc_85, converted_stat * 1.5, converted_stat)))))</f>
        <v/>
      </c>
      <c r="W10" s="30" t="str">
        <f t="array" ref="W10">IF($A10="", "", LET(bbgm_stat, INDEX(Players!$A9:$P9, MATCH(W$2, Players!$A$1:$P$1, 0)), perc_75, VLOOKUP(W$2, Percentiles!$A$45:$I$59, 6, FALSE), perc_90, VLOOKUP(W$2, Percentiles!$A$45:$I$59, 7, FALSE), perc_95, VLOOKUP(W$2, Percentiles!$A$45:$I$59, 8, FALSE), perc_85, perc_75 + (perc_90 - perc_75) * (2/3), converted_stat, '2K_Ratings'!W10, IF(bbgm_stat &gt;= perc_95, converted_stat * 3, IF(bbgm_stat &gt;= perc_90, converted_stat * 2, IF(bbgm_stat &gt;= perc_85, converted_stat * 1.5, converted_stat)))))</f>
        <v/>
      </c>
    </row>
    <row r="11">
      <c r="A11" s="30" t="str">
        <f>IF(Players!A10="", "", Players!A10)</f>
        <v/>
      </c>
      <c r="B11" s="30" t="str">
        <f t="array" ref="B11">IF($A11="", "", LET(bbgm_stat, INDEX(Players!$A10:$P10, MATCH(B$2, Players!$A$1:$P$1, 0)), perc_75, VLOOKUP(B$2, Percentiles!$A$45:$I$59, 6, FALSE), perc_90, VLOOKUP(B$2, Percentiles!$A$45:$I$59, 7, FALSE), perc_95, VLOOKUP(B$2, Percentiles!$A$45:$I$59, 8, FALSE), perc_85, perc_75 + (perc_90 - perc_75) * (2/3), converted_stat, '2K_Ratings'!B11, IF(bbgm_stat &gt;= perc_95, converted_stat * 3, IF(bbgm_stat &gt;= perc_90, converted_stat * 2, IF(bbgm_stat &gt;= perc_85, converted_stat * 1.5, converted_stat)))))</f>
        <v/>
      </c>
      <c r="C11" s="30" t="str">
        <f t="array" ref="C11">IF($A11="", "", LET(bbgm_stat, INDEX(Players!$A10:$P10, MATCH(C$2, Players!$A$1:$P$1, 0)), perc_75, VLOOKUP(C$2, Percentiles!$A$45:$I$59, 6, FALSE), perc_90, VLOOKUP(C$2, Percentiles!$A$45:$I$59, 7, FALSE), perc_95, VLOOKUP(C$2, Percentiles!$A$45:$I$59, 8, FALSE), perc_85, perc_75 + (perc_90 - perc_75) * (2/3), converted_stat, '2K_Ratings'!C11, IF(bbgm_stat &gt;= perc_95, converted_stat * 3, IF(bbgm_stat &gt;= perc_90, converted_stat * 2, IF(bbgm_stat &gt;= perc_85, converted_stat * 1.5, converted_stat)))))</f>
        <v/>
      </c>
      <c r="D11" s="30" t="str">
        <f t="array" ref="D11">IF($A11="", "", LET(bbgm_stat, INDEX(Players!$A10:$P10, MATCH(D$2, Players!$A$1:$P$1, 0)), perc_75, VLOOKUP(D$2, Percentiles!$A$45:$I$59, 6, FALSE), perc_90, VLOOKUP(D$2, Percentiles!$A$45:$I$59, 7, FALSE), perc_95, VLOOKUP(D$2, Percentiles!$A$45:$I$59, 8, FALSE), perc_85, perc_75 + (perc_90 - perc_75) * (2/3), converted_stat, '2K_Ratings'!D11, IF(bbgm_stat &gt;= perc_95, converted_stat * 3, IF(bbgm_stat &gt;= perc_90, converted_stat * 2, IF(bbgm_stat &gt;= perc_85, converted_stat * 1.5, converted_stat)))))</f>
        <v/>
      </c>
      <c r="E11" s="30" t="str">
        <f t="array" ref="E11">IF($A11="", "", LET(bbgm_stat, INDEX(Players!$A10:$P10, MATCH(E$2, Players!$A$1:$P$1, 0)), perc_75, VLOOKUP(E$2, Percentiles!$A$45:$I$59, 6, FALSE), perc_90, VLOOKUP(E$2, Percentiles!$A$45:$I$59, 7, FALSE), perc_95, VLOOKUP(E$2, Percentiles!$A$45:$I$59, 8, FALSE), perc_85, perc_75 + (perc_90 - perc_75) * (2/3), converted_stat, '2K_Ratings'!E11, IF(bbgm_stat &gt;= perc_95, converted_stat * 3, IF(bbgm_stat &gt;= perc_90, converted_stat * 2, IF(bbgm_stat &gt;= perc_85, converted_stat * 1.5, converted_stat)))))</f>
        <v/>
      </c>
      <c r="F11" s="30" t="str">
        <f t="array" ref="F11">IF($A11="", "", LET(bbgm_stat, INDEX(Players!$A10:$P10, MATCH(F$2, Players!$A$1:$P$1, 0)), perc_75, VLOOKUP(F$2, Percentiles!$A$45:$I$59, 6, FALSE), perc_90, VLOOKUP(F$2, Percentiles!$A$45:$I$59, 7, FALSE), perc_95, VLOOKUP(F$2, Percentiles!$A$45:$I$59, 8, FALSE), perc_85, perc_75 + (perc_90 - perc_75) * (2/3), converted_stat, '2K_Ratings'!F11, IF(bbgm_stat &gt;= perc_95, converted_stat * 3, IF(bbgm_stat &gt;= perc_90, converted_stat * 2, IF(bbgm_stat &gt;= perc_85, converted_stat * 1.5, converted_stat)))))</f>
        <v/>
      </c>
      <c r="G11" s="30" t="str">
        <f t="array" ref="G11">IF($A11="", "", LET(bbgm_stat, INDEX(Players!$A10:$P10, MATCH(G$2, Players!$A$1:$P$1, 0)), perc_75, VLOOKUP(G$2, Percentiles!$A$45:$I$59, 6, FALSE), perc_90, VLOOKUP(G$2, Percentiles!$A$45:$I$59, 7, FALSE), perc_95, VLOOKUP(G$2, Percentiles!$A$45:$I$59, 8, FALSE), perc_85, perc_75 + (perc_90 - perc_75) * (2/3), converted_stat, '2K_Ratings'!G11, IF(bbgm_stat &gt;= perc_95, converted_stat * 3, IF(bbgm_stat &gt;= perc_90, converted_stat * 2, IF(bbgm_stat &gt;= perc_85, converted_stat * 1.5, converted_stat)))))</f>
        <v/>
      </c>
      <c r="H11" s="30" t="str">
        <f t="array" ref="H11">IF($A11="", "", LET(bbgm_stat, INDEX(Players!$A10:$P10, MATCH(H$2, Players!$A$1:$P$1, 0)), perc_75, VLOOKUP(H$2, Percentiles!$A$45:$I$59, 6, FALSE), perc_90, VLOOKUP(H$2, Percentiles!$A$45:$I$59, 7, FALSE), perc_95, VLOOKUP(H$2, Percentiles!$A$45:$I$59, 8, FALSE), perc_85, perc_75 + (perc_90 - perc_75) * (2/3), converted_stat, '2K_Ratings'!H11, IF(bbgm_stat &gt;= perc_95, converted_stat * 3, IF(bbgm_stat &gt;= perc_90, converted_stat * 2, IF(bbgm_stat &gt;= perc_85, converted_stat * 1.5, converted_stat)))))</f>
        <v/>
      </c>
      <c r="I11" s="30" t="str">
        <f t="array" ref="I11">IF($A11="", "", LET(bbgm_stat, INDEX(Players!$A10:$P10, MATCH(I$2, Players!$A$1:$P$1, 0)), perc_75, VLOOKUP(I$2, Percentiles!$A$45:$I$59, 6, FALSE), perc_90, VLOOKUP(I$2, Percentiles!$A$45:$I$59, 7, FALSE), perc_95, VLOOKUP(I$2, Percentiles!$A$45:$I$59, 8, FALSE), perc_85, perc_75 + (perc_90 - perc_75) * (2/3), converted_stat, '2K_Ratings'!I11, IF(bbgm_stat &gt;= perc_95, converted_stat * 3, IF(bbgm_stat &gt;= perc_90, converted_stat * 2, IF(bbgm_stat &gt;= perc_85, converted_stat * 1.5, converted_stat)))))</f>
        <v/>
      </c>
      <c r="J11" s="30" t="str">
        <f t="array" ref="J11">IF($A11="", "", LET(bbgm_stat, INDEX(Players!$A10:$P10, MATCH(J$2, Players!$A$1:$P$1, 0)), perc_75, VLOOKUP(J$2, Percentiles!$A$45:$I$59, 6, FALSE), perc_90, VLOOKUP(J$2, Percentiles!$A$45:$I$59, 7, FALSE), perc_95, VLOOKUP(J$2, Percentiles!$A$45:$I$59, 8, FALSE), perc_85, perc_75 + (perc_90 - perc_75) * (2/3), converted_stat, '2K_Ratings'!J11, IF(bbgm_stat &gt;= perc_95, converted_stat * 3, IF(bbgm_stat &gt;= perc_90, converted_stat * 2, IF(bbgm_stat &gt;= perc_85, converted_stat * 1.5, converted_stat)))))</f>
        <v/>
      </c>
      <c r="K11" s="30" t="str">
        <f t="array" ref="K11">IF($A11="", "", LET(bbgm_stat, INDEX(Players!$A10:$P10, MATCH(K$2, Players!$A$1:$P$1, 0)), perc_75, VLOOKUP(K$2, Percentiles!$A$45:$I$59, 6, FALSE), perc_90, VLOOKUP(K$2, Percentiles!$A$45:$I$59, 7, FALSE), perc_95, VLOOKUP(K$2, Percentiles!$A$45:$I$59, 8, FALSE), perc_85, perc_75 + (perc_90 - perc_75) * (2/3), converted_stat, '2K_Ratings'!K11, IF(bbgm_stat &gt;= perc_95, converted_stat * 3, IF(bbgm_stat &gt;= perc_90, converted_stat * 2, IF(bbgm_stat &gt;= perc_85, converted_stat * 1.5, converted_stat)))))</f>
        <v/>
      </c>
      <c r="L11" s="30" t="str">
        <f t="array" ref="L11">IF($A11="", "", LET(bbgm_stat, INDEX(Players!$A10:$P10, MATCH(L$2, Players!$A$1:$P$1, 0)), perc_75, VLOOKUP(L$2, Percentiles!$A$45:$I$59, 6, FALSE), perc_90, VLOOKUP(L$2, Percentiles!$A$45:$I$59, 7, FALSE), perc_95, VLOOKUP(L$2, Percentiles!$A$45:$I$59, 8, FALSE), perc_85, perc_75 + (perc_90 - perc_75) * (2/3), converted_stat, '2K_Ratings'!L11, IF(bbgm_stat &gt;= perc_95, converted_stat * 3, IF(bbgm_stat &gt;= perc_90, converted_stat * 2, IF(bbgm_stat &gt;= perc_85, converted_stat * 1.5, converted_stat)))))</f>
        <v/>
      </c>
      <c r="M11" s="30" t="str">
        <f t="array" ref="M11">IF($A11="", "", LET(bbgm_stat, INDEX(Players!$A10:$P10, MATCH(M$2, Players!$A$1:$P$1, 0)), perc_75, VLOOKUP(M$2, Percentiles!$A$45:$I$59, 6, FALSE), perc_90, VLOOKUP(M$2, Percentiles!$A$45:$I$59, 7, FALSE), perc_95, VLOOKUP(M$2, Percentiles!$A$45:$I$59, 8, FALSE), perc_85, perc_75 + (perc_90 - perc_75) * (2/3), converted_stat, '2K_Ratings'!M11, IF(bbgm_stat &gt;= perc_95, converted_stat * 3, IF(bbgm_stat &gt;= perc_90, converted_stat * 2, IF(bbgm_stat &gt;= perc_85, converted_stat * 1.5, converted_stat)))))</f>
        <v/>
      </c>
      <c r="N11" s="30" t="str">
        <f t="array" ref="N11">IF($A11="", "", LET(bbgm_stat, INDEX(Players!$A10:$P10, MATCH(N$2, Players!$A$1:$P$1, 0)), perc_75, VLOOKUP(N$2, Percentiles!$A$45:$I$59, 6, FALSE), perc_90, VLOOKUP(N$2, Percentiles!$A$45:$I$59, 7, FALSE), perc_95, VLOOKUP(N$2, Percentiles!$A$45:$I$59, 8, FALSE), perc_85, perc_75 + (perc_90 - perc_75) * (2/3), converted_stat, '2K_Ratings'!N11, IF(bbgm_stat &gt;= perc_95, converted_stat * 3, IF(bbgm_stat &gt;= perc_90, converted_stat * 2, IF(bbgm_stat &gt;= perc_85, converted_stat * 1.5, converted_stat)))))</f>
        <v/>
      </c>
      <c r="O11" s="30" t="str">
        <f t="array" ref="O11">IF($A11="", "", LET(bbgm_stat, INDEX(Players!$A10:$P10, MATCH(O$2, Players!$A$1:$P$1, 0)), perc_75, VLOOKUP(O$2, Percentiles!$A$45:$I$59, 6, FALSE), perc_90, VLOOKUP(O$2, Percentiles!$A$45:$I$59, 7, FALSE), perc_95, VLOOKUP(O$2, Percentiles!$A$45:$I$59, 8, FALSE), perc_85, perc_75 + (perc_90 - perc_75) * (2/3), converted_stat, '2K_Ratings'!O11, IF(bbgm_stat &gt;= perc_95, converted_stat * 3, IF(bbgm_stat &gt;= perc_90, converted_stat * 2, IF(bbgm_stat &gt;= perc_85, converted_stat * 1.5, converted_stat)))))</f>
        <v/>
      </c>
      <c r="P11" s="30" t="str">
        <f t="array" ref="P11">IF($A11="", "", LET(bbgm_stat, INDEX(Players!$A10:$P10, MATCH(P$2, Players!$A$1:$P$1, 0)), perc_75, VLOOKUP(P$2, Percentiles!$A$45:$I$59, 6, FALSE), perc_90, VLOOKUP(P$2, Percentiles!$A$45:$I$59, 7, FALSE), perc_95, VLOOKUP(P$2, Percentiles!$A$45:$I$59, 8, FALSE), perc_85, perc_75 + (perc_90 - perc_75) * (2/3), converted_stat, '2K_Ratings'!P11, IF(bbgm_stat &gt;= perc_95, converted_stat * 3, IF(bbgm_stat &gt;= perc_90, converted_stat * 2, IF(bbgm_stat &gt;= perc_85, converted_stat * 1.5, converted_stat)))))</f>
        <v/>
      </c>
      <c r="Q11" s="30" t="str">
        <f t="array" ref="Q11">IF($A11="", "", LET(bbgm_stat, INDEX(Players!$A10:$P10, MATCH(Q$2, Players!$A$1:$P$1, 0)), perc_75, VLOOKUP(Q$2, Percentiles!$A$45:$I$59, 6, FALSE), perc_90, VLOOKUP(Q$2, Percentiles!$A$45:$I$59, 7, FALSE), perc_95, VLOOKUP(Q$2, Percentiles!$A$45:$I$59, 8, FALSE), perc_85, perc_75 + (perc_90 - perc_75) * (2/3), converted_stat, '2K_Ratings'!Q11, IF(bbgm_stat &gt;= perc_95, converted_stat * 3, IF(bbgm_stat &gt;= perc_90, converted_stat * 2, IF(bbgm_stat &gt;= perc_85, converted_stat * 1.5, converted_stat)))))</f>
        <v/>
      </c>
      <c r="R11" s="30" t="str">
        <f t="array" ref="R11">IF($A11="", "", LET(bbgm_stat, INDEX(Players!$A10:$P10, MATCH(R$2, Players!$A$1:$P$1, 0)), perc_75, VLOOKUP(R$2, Percentiles!$A$45:$I$59, 6, FALSE), perc_90, VLOOKUP(R$2, Percentiles!$A$45:$I$59, 7, FALSE), perc_95, VLOOKUP(R$2, Percentiles!$A$45:$I$59, 8, FALSE), perc_85, perc_75 + (perc_90 - perc_75) * (2/3), converted_stat, '2K_Ratings'!R11, IF(bbgm_stat &gt;= perc_95, converted_stat * 3, IF(bbgm_stat &gt;= perc_90, converted_stat * 2, IF(bbgm_stat &gt;= perc_85, converted_stat * 1.5, converted_stat)))))</f>
        <v/>
      </c>
      <c r="S11" s="30" t="str">
        <f t="array" ref="S11">IF($A11="", "", LET(bbgm_stat, INDEX(Players!$A10:$P10, MATCH(S$2, Players!$A$1:$P$1, 0)), perc_75, VLOOKUP(S$2, Percentiles!$A$45:$I$59, 6, FALSE), perc_90, VLOOKUP(S$2, Percentiles!$A$45:$I$59, 7, FALSE), perc_95, VLOOKUP(S$2, Percentiles!$A$45:$I$59, 8, FALSE), perc_85, perc_75 + (perc_90 - perc_75) * (2/3), converted_stat, '2K_Ratings'!S11, IF(bbgm_stat &gt;= perc_95, converted_stat * 3, IF(bbgm_stat &gt;= perc_90, converted_stat * 2, IF(bbgm_stat &gt;= perc_85, converted_stat * 1.5, converted_stat)))))</f>
        <v/>
      </c>
      <c r="T11" s="30" t="str">
        <f t="array" ref="T11">IF($A11="", "", LET(bbgm_stat, INDEX(Players!$A10:$P10, MATCH(T$2, Players!$A$1:$P$1, 0)), perc_75, VLOOKUP(T$2, Percentiles!$A$45:$I$59, 6, FALSE), perc_90, VLOOKUP(T$2, Percentiles!$A$45:$I$59, 7, FALSE), perc_95, VLOOKUP(T$2, Percentiles!$A$45:$I$59, 8, FALSE), perc_85, perc_75 + (perc_90 - perc_75) * (2/3), converted_stat, '2K_Ratings'!T11, IF(bbgm_stat &gt;= perc_95, converted_stat * 3, IF(bbgm_stat &gt;= perc_90, converted_stat * 2, IF(bbgm_stat &gt;= perc_85, converted_stat * 1.5, converted_stat)))))</f>
        <v/>
      </c>
      <c r="U11" s="30" t="str">
        <f t="array" ref="U11">IF($A11="", "", LET(bbgm_stat, INDEX(Players!$A10:$P10, MATCH(U$2, Players!$A$1:$P$1, 0)), perc_75, VLOOKUP(U$2, Percentiles!$A$45:$I$59, 6, FALSE), perc_90, VLOOKUP(U$2, Percentiles!$A$45:$I$59, 7, FALSE), perc_95, VLOOKUP(U$2, Percentiles!$A$45:$I$59, 8, FALSE), perc_85, perc_75 + (perc_90 - perc_75) * (2/3), converted_stat, '2K_Ratings'!U11, IF(bbgm_stat &gt;= perc_95, converted_stat * 3, IF(bbgm_stat &gt;= perc_90, converted_stat * 2, IF(bbgm_stat &gt;= perc_85, converted_stat * 1.5, converted_stat)))))</f>
        <v/>
      </c>
      <c r="V11" s="30" t="str">
        <f t="array" ref="V11">IF($A11="", "", LET(bbgm_stat, INDEX(Players!$A10:$P10, MATCH(V$2, Players!$A$1:$P$1, 0)), perc_75, VLOOKUP(V$2, Percentiles!$A$45:$I$59, 6, FALSE), perc_90, VLOOKUP(V$2, Percentiles!$A$45:$I$59, 7, FALSE), perc_95, VLOOKUP(V$2, Percentiles!$A$45:$I$59, 8, FALSE), perc_85, perc_75 + (perc_90 - perc_75) * (2/3), converted_stat, '2K_Ratings'!V11, IF(bbgm_stat &gt;= perc_95, converted_stat * 3, IF(bbgm_stat &gt;= perc_90, converted_stat * 2, IF(bbgm_stat &gt;= perc_85, converted_stat * 1.5, converted_stat)))))</f>
        <v/>
      </c>
      <c r="W11" s="30" t="str">
        <f t="array" ref="W11">IF($A11="", "", LET(bbgm_stat, INDEX(Players!$A10:$P10, MATCH(W$2, Players!$A$1:$P$1, 0)), perc_75, VLOOKUP(W$2, Percentiles!$A$45:$I$59, 6, FALSE), perc_90, VLOOKUP(W$2, Percentiles!$A$45:$I$59, 7, FALSE), perc_95, VLOOKUP(W$2, Percentiles!$A$45:$I$59, 8, FALSE), perc_85, perc_75 + (perc_90 - perc_75) * (2/3), converted_stat, '2K_Ratings'!W11, IF(bbgm_stat &gt;= perc_95, converted_stat * 3, IF(bbgm_stat &gt;= perc_90, converted_stat * 2, IF(bbgm_stat &gt;= perc_85, converted_stat * 1.5, converted_stat)))))</f>
        <v/>
      </c>
    </row>
    <row r="12">
      <c r="A12" s="30" t="str">
        <f>IF(Players!A11="", "", Players!A11)</f>
        <v/>
      </c>
      <c r="B12" s="30" t="str">
        <f t="array" ref="B12">IF($A12="", "", LET(bbgm_stat, INDEX(Players!$A11:$P11, MATCH(B$2, Players!$A$1:$P$1, 0)), perc_75, VLOOKUP(B$2, Percentiles!$A$45:$I$59, 6, FALSE), perc_90, VLOOKUP(B$2, Percentiles!$A$45:$I$59, 7, FALSE), perc_95, VLOOKUP(B$2, Percentiles!$A$45:$I$59, 8, FALSE), perc_85, perc_75 + (perc_90 - perc_75) * (2/3), converted_stat, '2K_Ratings'!B12, IF(bbgm_stat &gt;= perc_95, converted_stat * 3, IF(bbgm_stat &gt;= perc_90, converted_stat * 2, IF(bbgm_stat &gt;= perc_85, converted_stat * 1.5, converted_stat)))))</f>
        <v/>
      </c>
      <c r="C12" s="30" t="str">
        <f t="array" ref="C12">IF($A12="", "", LET(bbgm_stat, INDEX(Players!$A11:$P11, MATCH(C$2, Players!$A$1:$P$1, 0)), perc_75, VLOOKUP(C$2, Percentiles!$A$45:$I$59, 6, FALSE), perc_90, VLOOKUP(C$2, Percentiles!$A$45:$I$59, 7, FALSE), perc_95, VLOOKUP(C$2, Percentiles!$A$45:$I$59, 8, FALSE), perc_85, perc_75 + (perc_90 - perc_75) * (2/3), converted_stat, '2K_Ratings'!C12, IF(bbgm_stat &gt;= perc_95, converted_stat * 3, IF(bbgm_stat &gt;= perc_90, converted_stat * 2, IF(bbgm_stat &gt;= perc_85, converted_stat * 1.5, converted_stat)))))</f>
        <v/>
      </c>
      <c r="D12" s="30" t="str">
        <f t="array" ref="D12">IF($A12="", "", LET(bbgm_stat, INDEX(Players!$A11:$P11, MATCH(D$2, Players!$A$1:$P$1, 0)), perc_75, VLOOKUP(D$2, Percentiles!$A$45:$I$59, 6, FALSE), perc_90, VLOOKUP(D$2, Percentiles!$A$45:$I$59, 7, FALSE), perc_95, VLOOKUP(D$2, Percentiles!$A$45:$I$59, 8, FALSE), perc_85, perc_75 + (perc_90 - perc_75) * (2/3), converted_stat, '2K_Ratings'!D12, IF(bbgm_stat &gt;= perc_95, converted_stat * 3, IF(bbgm_stat &gt;= perc_90, converted_stat * 2, IF(bbgm_stat &gt;= perc_85, converted_stat * 1.5, converted_stat)))))</f>
        <v/>
      </c>
      <c r="E12" s="30" t="str">
        <f t="array" ref="E12">IF($A12="", "", LET(bbgm_stat, INDEX(Players!$A11:$P11, MATCH(E$2, Players!$A$1:$P$1, 0)), perc_75, VLOOKUP(E$2, Percentiles!$A$45:$I$59, 6, FALSE), perc_90, VLOOKUP(E$2, Percentiles!$A$45:$I$59, 7, FALSE), perc_95, VLOOKUP(E$2, Percentiles!$A$45:$I$59, 8, FALSE), perc_85, perc_75 + (perc_90 - perc_75) * (2/3), converted_stat, '2K_Ratings'!E12, IF(bbgm_stat &gt;= perc_95, converted_stat * 3, IF(bbgm_stat &gt;= perc_90, converted_stat * 2, IF(bbgm_stat &gt;= perc_85, converted_stat * 1.5, converted_stat)))))</f>
        <v/>
      </c>
      <c r="F12" s="30" t="str">
        <f t="array" ref="F12">IF($A12="", "", LET(bbgm_stat, INDEX(Players!$A11:$P11, MATCH(F$2, Players!$A$1:$P$1, 0)), perc_75, VLOOKUP(F$2, Percentiles!$A$45:$I$59, 6, FALSE), perc_90, VLOOKUP(F$2, Percentiles!$A$45:$I$59, 7, FALSE), perc_95, VLOOKUP(F$2, Percentiles!$A$45:$I$59, 8, FALSE), perc_85, perc_75 + (perc_90 - perc_75) * (2/3), converted_stat, '2K_Ratings'!F12, IF(bbgm_stat &gt;= perc_95, converted_stat * 3, IF(bbgm_stat &gt;= perc_90, converted_stat * 2, IF(bbgm_stat &gt;= perc_85, converted_stat * 1.5, converted_stat)))))</f>
        <v/>
      </c>
      <c r="G12" s="30" t="str">
        <f t="array" ref="G12">IF($A12="", "", LET(bbgm_stat, INDEX(Players!$A11:$P11, MATCH(G$2, Players!$A$1:$P$1, 0)), perc_75, VLOOKUP(G$2, Percentiles!$A$45:$I$59, 6, FALSE), perc_90, VLOOKUP(G$2, Percentiles!$A$45:$I$59, 7, FALSE), perc_95, VLOOKUP(G$2, Percentiles!$A$45:$I$59, 8, FALSE), perc_85, perc_75 + (perc_90 - perc_75) * (2/3), converted_stat, '2K_Ratings'!G12, IF(bbgm_stat &gt;= perc_95, converted_stat * 3, IF(bbgm_stat &gt;= perc_90, converted_stat * 2, IF(bbgm_stat &gt;= perc_85, converted_stat * 1.5, converted_stat)))))</f>
        <v/>
      </c>
      <c r="H12" s="30" t="str">
        <f t="array" ref="H12">IF($A12="", "", LET(bbgm_stat, INDEX(Players!$A11:$P11, MATCH(H$2, Players!$A$1:$P$1, 0)), perc_75, VLOOKUP(H$2, Percentiles!$A$45:$I$59, 6, FALSE), perc_90, VLOOKUP(H$2, Percentiles!$A$45:$I$59, 7, FALSE), perc_95, VLOOKUP(H$2, Percentiles!$A$45:$I$59, 8, FALSE), perc_85, perc_75 + (perc_90 - perc_75) * (2/3), converted_stat, '2K_Ratings'!H12, IF(bbgm_stat &gt;= perc_95, converted_stat * 3, IF(bbgm_stat &gt;= perc_90, converted_stat * 2, IF(bbgm_stat &gt;= perc_85, converted_stat * 1.5, converted_stat)))))</f>
        <v/>
      </c>
      <c r="I12" s="30" t="str">
        <f t="array" ref="I12">IF($A12="", "", LET(bbgm_stat, INDEX(Players!$A11:$P11, MATCH(I$2, Players!$A$1:$P$1, 0)), perc_75, VLOOKUP(I$2, Percentiles!$A$45:$I$59, 6, FALSE), perc_90, VLOOKUP(I$2, Percentiles!$A$45:$I$59, 7, FALSE), perc_95, VLOOKUP(I$2, Percentiles!$A$45:$I$59, 8, FALSE), perc_85, perc_75 + (perc_90 - perc_75) * (2/3), converted_stat, '2K_Ratings'!I12, IF(bbgm_stat &gt;= perc_95, converted_stat * 3, IF(bbgm_stat &gt;= perc_90, converted_stat * 2, IF(bbgm_stat &gt;= perc_85, converted_stat * 1.5, converted_stat)))))</f>
        <v/>
      </c>
      <c r="J12" s="30" t="str">
        <f t="array" ref="J12">IF($A12="", "", LET(bbgm_stat, INDEX(Players!$A11:$P11, MATCH(J$2, Players!$A$1:$P$1, 0)), perc_75, VLOOKUP(J$2, Percentiles!$A$45:$I$59, 6, FALSE), perc_90, VLOOKUP(J$2, Percentiles!$A$45:$I$59, 7, FALSE), perc_95, VLOOKUP(J$2, Percentiles!$A$45:$I$59, 8, FALSE), perc_85, perc_75 + (perc_90 - perc_75) * (2/3), converted_stat, '2K_Ratings'!J12, IF(bbgm_stat &gt;= perc_95, converted_stat * 3, IF(bbgm_stat &gt;= perc_90, converted_stat * 2, IF(bbgm_stat &gt;= perc_85, converted_stat * 1.5, converted_stat)))))</f>
        <v/>
      </c>
      <c r="K12" s="30" t="str">
        <f t="array" ref="K12">IF($A12="", "", LET(bbgm_stat, INDEX(Players!$A11:$P11, MATCH(K$2, Players!$A$1:$P$1, 0)), perc_75, VLOOKUP(K$2, Percentiles!$A$45:$I$59, 6, FALSE), perc_90, VLOOKUP(K$2, Percentiles!$A$45:$I$59, 7, FALSE), perc_95, VLOOKUP(K$2, Percentiles!$A$45:$I$59, 8, FALSE), perc_85, perc_75 + (perc_90 - perc_75) * (2/3), converted_stat, '2K_Ratings'!K12, IF(bbgm_stat &gt;= perc_95, converted_stat * 3, IF(bbgm_stat &gt;= perc_90, converted_stat * 2, IF(bbgm_stat &gt;= perc_85, converted_stat * 1.5, converted_stat)))))</f>
        <v/>
      </c>
      <c r="L12" s="30" t="str">
        <f t="array" ref="L12">IF($A12="", "", LET(bbgm_stat, INDEX(Players!$A11:$P11, MATCH(L$2, Players!$A$1:$P$1, 0)), perc_75, VLOOKUP(L$2, Percentiles!$A$45:$I$59, 6, FALSE), perc_90, VLOOKUP(L$2, Percentiles!$A$45:$I$59, 7, FALSE), perc_95, VLOOKUP(L$2, Percentiles!$A$45:$I$59, 8, FALSE), perc_85, perc_75 + (perc_90 - perc_75) * (2/3), converted_stat, '2K_Ratings'!L12, IF(bbgm_stat &gt;= perc_95, converted_stat * 3, IF(bbgm_stat &gt;= perc_90, converted_stat * 2, IF(bbgm_stat &gt;= perc_85, converted_stat * 1.5, converted_stat)))))</f>
        <v/>
      </c>
      <c r="M12" s="30" t="str">
        <f t="array" ref="M12">IF($A12="", "", LET(bbgm_stat, INDEX(Players!$A11:$P11, MATCH(M$2, Players!$A$1:$P$1, 0)), perc_75, VLOOKUP(M$2, Percentiles!$A$45:$I$59, 6, FALSE), perc_90, VLOOKUP(M$2, Percentiles!$A$45:$I$59, 7, FALSE), perc_95, VLOOKUP(M$2, Percentiles!$A$45:$I$59, 8, FALSE), perc_85, perc_75 + (perc_90 - perc_75) * (2/3), converted_stat, '2K_Ratings'!M12, IF(bbgm_stat &gt;= perc_95, converted_stat * 3, IF(bbgm_stat &gt;= perc_90, converted_stat * 2, IF(bbgm_stat &gt;= perc_85, converted_stat * 1.5, converted_stat)))))</f>
        <v/>
      </c>
      <c r="N12" s="30" t="str">
        <f t="array" ref="N12">IF($A12="", "", LET(bbgm_stat, INDEX(Players!$A11:$P11, MATCH(N$2, Players!$A$1:$P$1, 0)), perc_75, VLOOKUP(N$2, Percentiles!$A$45:$I$59, 6, FALSE), perc_90, VLOOKUP(N$2, Percentiles!$A$45:$I$59, 7, FALSE), perc_95, VLOOKUP(N$2, Percentiles!$A$45:$I$59, 8, FALSE), perc_85, perc_75 + (perc_90 - perc_75) * (2/3), converted_stat, '2K_Ratings'!N12, IF(bbgm_stat &gt;= perc_95, converted_stat * 3, IF(bbgm_stat &gt;= perc_90, converted_stat * 2, IF(bbgm_stat &gt;= perc_85, converted_stat * 1.5, converted_stat)))))</f>
        <v/>
      </c>
      <c r="O12" s="30" t="str">
        <f t="array" ref="O12">IF($A12="", "", LET(bbgm_stat, INDEX(Players!$A11:$P11, MATCH(O$2, Players!$A$1:$P$1, 0)), perc_75, VLOOKUP(O$2, Percentiles!$A$45:$I$59, 6, FALSE), perc_90, VLOOKUP(O$2, Percentiles!$A$45:$I$59, 7, FALSE), perc_95, VLOOKUP(O$2, Percentiles!$A$45:$I$59, 8, FALSE), perc_85, perc_75 + (perc_90 - perc_75) * (2/3), converted_stat, '2K_Ratings'!O12, IF(bbgm_stat &gt;= perc_95, converted_stat * 3, IF(bbgm_stat &gt;= perc_90, converted_stat * 2, IF(bbgm_stat &gt;= perc_85, converted_stat * 1.5, converted_stat)))))</f>
        <v/>
      </c>
      <c r="P12" s="30" t="str">
        <f t="array" ref="P12">IF($A12="", "", LET(bbgm_stat, INDEX(Players!$A11:$P11, MATCH(P$2, Players!$A$1:$P$1, 0)), perc_75, VLOOKUP(P$2, Percentiles!$A$45:$I$59, 6, FALSE), perc_90, VLOOKUP(P$2, Percentiles!$A$45:$I$59, 7, FALSE), perc_95, VLOOKUP(P$2, Percentiles!$A$45:$I$59, 8, FALSE), perc_85, perc_75 + (perc_90 - perc_75) * (2/3), converted_stat, '2K_Ratings'!P12, IF(bbgm_stat &gt;= perc_95, converted_stat * 3, IF(bbgm_stat &gt;= perc_90, converted_stat * 2, IF(bbgm_stat &gt;= perc_85, converted_stat * 1.5, converted_stat)))))</f>
        <v/>
      </c>
      <c r="Q12" s="30" t="str">
        <f t="array" ref="Q12">IF($A12="", "", LET(bbgm_stat, INDEX(Players!$A11:$P11, MATCH(Q$2, Players!$A$1:$P$1, 0)), perc_75, VLOOKUP(Q$2, Percentiles!$A$45:$I$59, 6, FALSE), perc_90, VLOOKUP(Q$2, Percentiles!$A$45:$I$59, 7, FALSE), perc_95, VLOOKUP(Q$2, Percentiles!$A$45:$I$59, 8, FALSE), perc_85, perc_75 + (perc_90 - perc_75) * (2/3), converted_stat, '2K_Ratings'!Q12, IF(bbgm_stat &gt;= perc_95, converted_stat * 3, IF(bbgm_stat &gt;= perc_90, converted_stat * 2, IF(bbgm_stat &gt;= perc_85, converted_stat * 1.5, converted_stat)))))</f>
        <v/>
      </c>
      <c r="R12" s="30" t="str">
        <f t="array" ref="R12">IF($A12="", "", LET(bbgm_stat, INDEX(Players!$A11:$P11, MATCH(R$2, Players!$A$1:$P$1, 0)), perc_75, VLOOKUP(R$2, Percentiles!$A$45:$I$59, 6, FALSE), perc_90, VLOOKUP(R$2, Percentiles!$A$45:$I$59, 7, FALSE), perc_95, VLOOKUP(R$2, Percentiles!$A$45:$I$59, 8, FALSE), perc_85, perc_75 + (perc_90 - perc_75) * (2/3), converted_stat, '2K_Ratings'!R12, IF(bbgm_stat &gt;= perc_95, converted_stat * 3, IF(bbgm_stat &gt;= perc_90, converted_stat * 2, IF(bbgm_stat &gt;= perc_85, converted_stat * 1.5, converted_stat)))))</f>
        <v/>
      </c>
      <c r="S12" s="30" t="str">
        <f t="array" ref="S12">IF($A12="", "", LET(bbgm_stat, INDEX(Players!$A11:$P11, MATCH(S$2, Players!$A$1:$P$1, 0)), perc_75, VLOOKUP(S$2, Percentiles!$A$45:$I$59, 6, FALSE), perc_90, VLOOKUP(S$2, Percentiles!$A$45:$I$59, 7, FALSE), perc_95, VLOOKUP(S$2, Percentiles!$A$45:$I$59, 8, FALSE), perc_85, perc_75 + (perc_90 - perc_75) * (2/3), converted_stat, '2K_Ratings'!S12, IF(bbgm_stat &gt;= perc_95, converted_stat * 3, IF(bbgm_stat &gt;= perc_90, converted_stat * 2, IF(bbgm_stat &gt;= perc_85, converted_stat * 1.5, converted_stat)))))</f>
        <v/>
      </c>
      <c r="T12" s="30" t="str">
        <f t="array" ref="T12">IF($A12="", "", LET(bbgm_stat, INDEX(Players!$A11:$P11, MATCH(T$2, Players!$A$1:$P$1, 0)), perc_75, VLOOKUP(T$2, Percentiles!$A$45:$I$59, 6, FALSE), perc_90, VLOOKUP(T$2, Percentiles!$A$45:$I$59, 7, FALSE), perc_95, VLOOKUP(T$2, Percentiles!$A$45:$I$59, 8, FALSE), perc_85, perc_75 + (perc_90 - perc_75) * (2/3), converted_stat, '2K_Ratings'!T12, IF(bbgm_stat &gt;= perc_95, converted_stat * 3, IF(bbgm_stat &gt;= perc_90, converted_stat * 2, IF(bbgm_stat &gt;= perc_85, converted_stat * 1.5, converted_stat)))))</f>
        <v/>
      </c>
      <c r="U12" s="30" t="str">
        <f t="array" ref="U12">IF($A12="", "", LET(bbgm_stat, INDEX(Players!$A11:$P11, MATCH(U$2, Players!$A$1:$P$1, 0)), perc_75, VLOOKUP(U$2, Percentiles!$A$45:$I$59, 6, FALSE), perc_90, VLOOKUP(U$2, Percentiles!$A$45:$I$59, 7, FALSE), perc_95, VLOOKUP(U$2, Percentiles!$A$45:$I$59, 8, FALSE), perc_85, perc_75 + (perc_90 - perc_75) * (2/3), converted_stat, '2K_Ratings'!U12, IF(bbgm_stat &gt;= perc_95, converted_stat * 3, IF(bbgm_stat &gt;= perc_90, converted_stat * 2, IF(bbgm_stat &gt;= perc_85, converted_stat * 1.5, converted_stat)))))</f>
        <v/>
      </c>
      <c r="V12" s="30" t="str">
        <f t="array" ref="V12">IF($A12="", "", LET(bbgm_stat, INDEX(Players!$A11:$P11, MATCH(V$2, Players!$A$1:$P$1, 0)), perc_75, VLOOKUP(V$2, Percentiles!$A$45:$I$59, 6, FALSE), perc_90, VLOOKUP(V$2, Percentiles!$A$45:$I$59, 7, FALSE), perc_95, VLOOKUP(V$2, Percentiles!$A$45:$I$59, 8, FALSE), perc_85, perc_75 + (perc_90 - perc_75) * (2/3), converted_stat, '2K_Ratings'!V12, IF(bbgm_stat &gt;= perc_95, converted_stat * 3, IF(bbgm_stat &gt;= perc_90, converted_stat * 2, IF(bbgm_stat &gt;= perc_85, converted_stat * 1.5, converted_stat)))))</f>
        <v/>
      </c>
      <c r="W12" s="30" t="str">
        <f t="array" ref="W12">IF($A12="", "", LET(bbgm_stat, INDEX(Players!$A11:$P11, MATCH(W$2, Players!$A$1:$P$1, 0)), perc_75, VLOOKUP(W$2, Percentiles!$A$45:$I$59, 6, FALSE), perc_90, VLOOKUP(W$2, Percentiles!$A$45:$I$59, 7, FALSE), perc_95, VLOOKUP(W$2, Percentiles!$A$45:$I$59, 8, FALSE), perc_85, perc_75 + (perc_90 - perc_75) * (2/3), converted_stat, '2K_Ratings'!W12, IF(bbgm_stat &gt;= perc_95, converted_stat * 3, IF(bbgm_stat &gt;= perc_90, converted_stat * 2, IF(bbgm_stat &gt;= perc_85, converted_stat * 1.5, converted_stat)))))</f>
        <v/>
      </c>
    </row>
    <row r="13">
      <c r="A13" s="30" t="str">
        <f>IF(Players!A12="", "", Players!A12)</f>
        <v/>
      </c>
      <c r="B13" s="30" t="str">
        <f t="array" ref="B13">IF($A13="", "", LET(bbgm_stat, INDEX(Players!$A12:$P12, MATCH(B$2, Players!$A$1:$P$1, 0)), perc_75, VLOOKUP(B$2, Percentiles!$A$45:$I$59, 6, FALSE), perc_90, VLOOKUP(B$2, Percentiles!$A$45:$I$59, 7, FALSE), perc_95, VLOOKUP(B$2, Percentiles!$A$45:$I$59, 8, FALSE), perc_85, perc_75 + (perc_90 - perc_75) * (2/3), converted_stat, '2K_Ratings'!B13, IF(bbgm_stat &gt;= perc_95, converted_stat * 3, IF(bbgm_stat &gt;= perc_90, converted_stat * 2, IF(bbgm_stat &gt;= perc_85, converted_stat * 1.5, converted_stat)))))</f>
        <v/>
      </c>
      <c r="C13" s="30" t="str">
        <f t="array" ref="C13">IF($A13="", "", LET(bbgm_stat, INDEX(Players!$A12:$P12, MATCH(C$2, Players!$A$1:$P$1, 0)), perc_75, VLOOKUP(C$2, Percentiles!$A$45:$I$59, 6, FALSE), perc_90, VLOOKUP(C$2, Percentiles!$A$45:$I$59, 7, FALSE), perc_95, VLOOKUP(C$2, Percentiles!$A$45:$I$59, 8, FALSE), perc_85, perc_75 + (perc_90 - perc_75) * (2/3), converted_stat, '2K_Ratings'!C13, IF(bbgm_stat &gt;= perc_95, converted_stat * 3, IF(bbgm_stat &gt;= perc_90, converted_stat * 2, IF(bbgm_stat &gt;= perc_85, converted_stat * 1.5, converted_stat)))))</f>
        <v/>
      </c>
      <c r="D13" s="30" t="str">
        <f t="array" ref="D13">IF($A13="", "", LET(bbgm_stat, INDEX(Players!$A12:$P12, MATCH(D$2, Players!$A$1:$P$1, 0)), perc_75, VLOOKUP(D$2, Percentiles!$A$45:$I$59, 6, FALSE), perc_90, VLOOKUP(D$2, Percentiles!$A$45:$I$59, 7, FALSE), perc_95, VLOOKUP(D$2, Percentiles!$A$45:$I$59, 8, FALSE), perc_85, perc_75 + (perc_90 - perc_75) * (2/3), converted_stat, '2K_Ratings'!D13, IF(bbgm_stat &gt;= perc_95, converted_stat * 3, IF(bbgm_stat &gt;= perc_90, converted_stat * 2, IF(bbgm_stat &gt;= perc_85, converted_stat * 1.5, converted_stat)))))</f>
        <v/>
      </c>
      <c r="E13" s="30" t="str">
        <f t="array" ref="E13">IF($A13="", "", LET(bbgm_stat, INDEX(Players!$A12:$P12, MATCH(E$2, Players!$A$1:$P$1, 0)), perc_75, VLOOKUP(E$2, Percentiles!$A$45:$I$59, 6, FALSE), perc_90, VLOOKUP(E$2, Percentiles!$A$45:$I$59, 7, FALSE), perc_95, VLOOKUP(E$2, Percentiles!$A$45:$I$59, 8, FALSE), perc_85, perc_75 + (perc_90 - perc_75) * (2/3), converted_stat, '2K_Ratings'!E13, IF(bbgm_stat &gt;= perc_95, converted_stat * 3, IF(bbgm_stat &gt;= perc_90, converted_stat * 2, IF(bbgm_stat &gt;= perc_85, converted_stat * 1.5, converted_stat)))))</f>
        <v/>
      </c>
      <c r="F13" s="30" t="str">
        <f t="array" ref="F13">IF($A13="", "", LET(bbgm_stat, INDEX(Players!$A12:$P12, MATCH(F$2, Players!$A$1:$P$1, 0)), perc_75, VLOOKUP(F$2, Percentiles!$A$45:$I$59, 6, FALSE), perc_90, VLOOKUP(F$2, Percentiles!$A$45:$I$59, 7, FALSE), perc_95, VLOOKUP(F$2, Percentiles!$A$45:$I$59, 8, FALSE), perc_85, perc_75 + (perc_90 - perc_75) * (2/3), converted_stat, '2K_Ratings'!F13, IF(bbgm_stat &gt;= perc_95, converted_stat * 3, IF(bbgm_stat &gt;= perc_90, converted_stat * 2, IF(bbgm_stat &gt;= perc_85, converted_stat * 1.5, converted_stat)))))</f>
        <v/>
      </c>
      <c r="G13" s="30" t="str">
        <f t="array" ref="G13">IF($A13="", "", LET(bbgm_stat, INDEX(Players!$A12:$P12, MATCH(G$2, Players!$A$1:$P$1, 0)), perc_75, VLOOKUP(G$2, Percentiles!$A$45:$I$59, 6, FALSE), perc_90, VLOOKUP(G$2, Percentiles!$A$45:$I$59, 7, FALSE), perc_95, VLOOKUP(G$2, Percentiles!$A$45:$I$59, 8, FALSE), perc_85, perc_75 + (perc_90 - perc_75) * (2/3), converted_stat, '2K_Ratings'!G13, IF(bbgm_stat &gt;= perc_95, converted_stat * 3, IF(bbgm_stat &gt;= perc_90, converted_stat * 2, IF(bbgm_stat &gt;= perc_85, converted_stat * 1.5, converted_stat)))))</f>
        <v/>
      </c>
      <c r="H13" s="30" t="str">
        <f t="array" ref="H13">IF($A13="", "", LET(bbgm_stat, INDEX(Players!$A12:$P12, MATCH(H$2, Players!$A$1:$P$1, 0)), perc_75, VLOOKUP(H$2, Percentiles!$A$45:$I$59, 6, FALSE), perc_90, VLOOKUP(H$2, Percentiles!$A$45:$I$59, 7, FALSE), perc_95, VLOOKUP(H$2, Percentiles!$A$45:$I$59, 8, FALSE), perc_85, perc_75 + (perc_90 - perc_75) * (2/3), converted_stat, '2K_Ratings'!H13, IF(bbgm_stat &gt;= perc_95, converted_stat * 3, IF(bbgm_stat &gt;= perc_90, converted_stat * 2, IF(bbgm_stat &gt;= perc_85, converted_stat * 1.5, converted_stat)))))</f>
        <v/>
      </c>
      <c r="I13" s="30" t="str">
        <f t="array" ref="I13">IF($A13="", "", LET(bbgm_stat, INDEX(Players!$A12:$P12, MATCH(I$2, Players!$A$1:$P$1, 0)), perc_75, VLOOKUP(I$2, Percentiles!$A$45:$I$59, 6, FALSE), perc_90, VLOOKUP(I$2, Percentiles!$A$45:$I$59, 7, FALSE), perc_95, VLOOKUP(I$2, Percentiles!$A$45:$I$59, 8, FALSE), perc_85, perc_75 + (perc_90 - perc_75) * (2/3), converted_stat, '2K_Ratings'!I13, IF(bbgm_stat &gt;= perc_95, converted_stat * 3, IF(bbgm_stat &gt;= perc_90, converted_stat * 2, IF(bbgm_stat &gt;= perc_85, converted_stat * 1.5, converted_stat)))))</f>
        <v/>
      </c>
      <c r="J13" s="30" t="str">
        <f t="array" ref="J13">IF($A13="", "", LET(bbgm_stat, INDEX(Players!$A12:$P12, MATCH(J$2, Players!$A$1:$P$1, 0)), perc_75, VLOOKUP(J$2, Percentiles!$A$45:$I$59, 6, FALSE), perc_90, VLOOKUP(J$2, Percentiles!$A$45:$I$59, 7, FALSE), perc_95, VLOOKUP(J$2, Percentiles!$A$45:$I$59, 8, FALSE), perc_85, perc_75 + (perc_90 - perc_75) * (2/3), converted_stat, '2K_Ratings'!J13, IF(bbgm_stat &gt;= perc_95, converted_stat * 3, IF(bbgm_stat &gt;= perc_90, converted_stat * 2, IF(bbgm_stat &gt;= perc_85, converted_stat * 1.5, converted_stat)))))</f>
        <v/>
      </c>
      <c r="K13" s="30" t="str">
        <f t="array" ref="K13">IF($A13="", "", LET(bbgm_stat, INDEX(Players!$A12:$P12, MATCH(K$2, Players!$A$1:$P$1, 0)), perc_75, VLOOKUP(K$2, Percentiles!$A$45:$I$59, 6, FALSE), perc_90, VLOOKUP(K$2, Percentiles!$A$45:$I$59, 7, FALSE), perc_95, VLOOKUP(K$2, Percentiles!$A$45:$I$59, 8, FALSE), perc_85, perc_75 + (perc_90 - perc_75) * (2/3), converted_stat, '2K_Ratings'!K13, IF(bbgm_stat &gt;= perc_95, converted_stat * 3, IF(bbgm_stat &gt;= perc_90, converted_stat * 2, IF(bbgm_stat &gt;= perc_85, converted_stat * 1.5, converted_stat)))))</f>
        <v/>
      </c>
      <c r="L13" s="30" t="str">
        <f t="array" ref="L13">IF($A13="", "", LET(bbgm_stat, INDEX(Players!$A12:$P12, MATCH(L$2, Players!$A$1:$P$1, 0)), perc_75, VLOOKUP(L$2, Percentiles!$A$45:$I$59, 6, FALSE), perc_90, VLOOKUP(L$2, Percentiles!$A$45:$I$59, 7, FALSE), perc_95, VLOOKUP(L$2, Percentiles!$A$45:$I$59, 8, FALSE), perc_85, perc_75 + (perc_90 - perc_75) * (2/3), converted_stat, '2K_Ratings'!L13, IF(bbgm_stat &gt;= perc_95, converted_stat * 3, IF(bbgm_stat &gt;= perc_90, converted_stat * 2, IF(bbgm_stat &gt;= perc_85, converted_stat * 1.5, converted_stat)))))</f>
        <v/>
      </c>
      <c r="M13" s="30" t="str">
        <f t="array" ref="M13">IF($A13="", "", LET(bbgm_stat, INDEX(Players!$A12:$P12, MATCH(M$2, Players!$A$1:$P$1, 0)), perc_75, VLOOKUP(M$2, Percentiles!$A$45:$I$59, 6, FALSE), perc_90, VLOOKUP(M$2, Percentiles!$A$45:$I$59, 7, FALSE), perc_95, VLOOKUP(M$2, Percentiles!$A$45:$I$59, 8, FALSE), perc_85, perc_75 + (perc_90 - perc_75) * (2/3), converted_stat, '2K_Ratings'!M13, IF(bbgm_stat &gt;= perc_95, converted_stat * 3, IF(bbgm_stat &gt;= perc_90, converted_stat * 2, IF(bbgm_stat &gt;= perc_85, converted_stat * 1.5, converted_stat)))))</f>
        <v/>
      </c>
      <c r="N13" s="30" t="str">
        <f t="array" ref="N13">IF($A13="", "", LET(bbgm_stat, INDEX(Players!$A12:$P12, MATCH(N$2, Players!$A$1:$P$1, 0)), perc_75, VLOOKUP(N$2, Percentiles!$A$45:$I$59, 6, FALSE), perc_90, VLOOKUP(N$2, Percentiles!$A$45:$I$59, 7, FALSE), perc_95, VLOOKUP(N$2, Percentiles!$A$45:$I$59, 8, FALSE), perc_85, perc_75 + (perc_90 - perc_75) * (2/3), converted_stat, '2K_Ratings'!N13, IF(bbgm_stat &gt;= perc_95, converted_stat * 3, IF(bbgm_stat &gt;= perc_90, converted_stat * 2, IF(bbgm_stat &gt;= perc_85, converted_stat * 1.5, converted_stat)))))</f>
        <v/>
      </c>
      <c r="O13" s="30" t="str">
        <f t="array" ref="O13">IF($A13="", "", LET(bbgm_stat, INDEX(Players!$A12:$P12, MATCH(O$2, Players!$A$1:$P$1, 0)), perc_75, VLOOKUP(O$2, Percentiles!$A$45:$I$59, 6, FALSE), perc_90, VLOOKUP(O$2, Percentiles!$A$45:$I$59, 7, FALSE), perc_95, VLOOKUP(O$2, Percentiles!$A$45:$I$59, 8, FALSE), perc_85, perc_75 + (perc_90 - perc_75) * (2/3), converted_stat, '2K_Ratings'!O13, IF(bbgm_stat &gt;= perc_95, converted_stat * 3, IF(bbgm_stat &gt;= perc_90, converted_stat * 2, IF(bbgm_stat &gt;= perc_85, converted_stat * 1.5, converted_stat)))))</f>
        <v/>
      </c>
      <c r="P13" s="30" t="str">
        <f t="array" ref="P13">IF($A13="", "", LET(bbgm_stat, INDEX(Players!$A12:$P12, MATCH(P$2, Players!$A$1:$P$1, 0)), perc_75, VLOOKUP(P$2, Percentiles!$A$45:$I$59, 6, FALSE), perc_90, VLOOKUP(P$2, Percentiles!$A$45:$I$59, 7, FALSE), perc_95, VLOOKUP(P$2, Percentiles!$A$45:$I$59, 8, FALSE), perc_85, perc_75 + (perc_90 - perc_75) * (2/3), converted_stat, '2K_Ratings'!P13, IF(bbgm_stat &gt;= perc_95, converted_stat * 3, IF(bbgm_stat &gt;= perc_90, converted_stat * 2, IF(bbgm_stat &gt;= perc_85, converted_stat * 1.5, converted_stat)))))</f>
        <v/>
      </c>
      <c r="Q13" s="30" t="str">
        <f t="array" ref="Q13">IF($A13="", "", LET(bbgm_stat, INDEX(Players!$A12:$P12, MATCH(Q$2, Players!$A$1:$P$1, 0)), perc_75, VLOOKUP(Q$2, Percentiles!$A$45:$I$59, 6, FALSE), perc_90, VLOOKUP(Q$2, Percentiles!$A$45:$I$59, 7, FALSE), perc_95, VLOOKUP(Q$2, Percentiles!$A$45:$I$59, 8, FALSE), perc_85, perc_75 + (perc_90 - perc_75) * (2/3), converted_stat, '2K_Ratings'!Q13, IF(bbgm_stat &gt;= perc_95, converted_stat * 3, IF(bbgm_stat &gt;= perc_90, converted_stat * 2, IF(bbgm_stat &gt;= perc_85, converted_stat * 1.5, converted_stat)))))</f>
        <v/>
      </c>
      <c r="R13" s="30" t="str">
        <f t="array" ref="R13">IF($A13="", "", LET(bbgm_stat, INDEX(Players!$A12:$P12, MATCH(R$2, Players!$A$1:$P$1, 0)), perc_75, VLOOKUP(R$2, Percentiles!$A$45:$I$59, 6, FALSE), perc_90, VLOOKUP(R$2, Percentiles!$A$45:$I$59, 7, FALSE), perc_95, VLOOKUP(R$2, Percentiles!$A$45:$I$59, 8, FALSE), perc_85, perc_75 + (perc_90 - perc_75) * (2/3), converted_stat, '2K_Ratings'!R13, IF(bbgm_stat &gt;= perc_95, converted_stat * 3, IF(bbgm_stat &gt;= perc_90, converted_stat * 2, IF(bbgm_stat &gt;= perc_85, converted_stat * 1.5, converted_stat)))))</f>
        <v/>
      </c>
      <c r="S13" s="30" t="str">
        <f t="array" ref="S13">IF($A13="", "", LET(bbgm_stat, INDEX(Players!$A12:$P12, MATCH(S$2, Players!$A$1:$P$1, 0)), perc_75, VLOOKUP(S$2, Percentiles!$A$45:$I$59, 6, FALSE), perc_90, VLOOKUP(S$2, Percentiles!$A$45:$I$59, 7, FALSE), perc_95, VLOOKUP(S$2, Percentiles!$A$45:$I$59, 8, FALSE), perc_85, perc_75 + (perc_90 - perc_75) * (2/3), converted_stat, '2K_Ratings'!S13, IF(bbgm_stat &gt;= perc_95, converted_stat * 3, IF(bbgm_stat &gt;= perc_90, converted_stat * 2, IF(bbgm_stat &gt;= perc_85, converted_stat * 1.5, converted_stat)))))</f>
        <v/>
      </c>
      <c r="T13" s="30" t="str">
        <f t="array" ref="T13">IF($A13="", "", LET(bbgm_stat, INDEX(Players!$A12:$P12, MATCH(T$2, Players!$A$1:$P$1, 0)), perc_75, VLOOKUP(T$2, Percentiles!$A$45:$I$59, 6, FALSE), perc_90, VLOOKUP(T$2, Percentiles!$A$45:$I$59, 7, FALSE), perc_95, VLOOKUP(T$2, Percentiles!$A$45:$I$59, 8, FALSE), perc_85, perc_75 + (perc_90 - perc_75) * (2/3), converted_stat, '2K_Ratings'!T13, IF(bbgm_stat &gt;= perc_95, converted_stat * 3, IF(bbgm_stat &gt;= perc_90, converted_stat * 2, IF(bbgm_stat &gt;= perc_85, converted_stat * 1.5, converted_stat)))))</f>
        <v/>
      </c>
      <c r="U13" s="30" t="str">
        <f t="array" ref="U13">IF($A13="", "", LET(bbgm_stat, INDEX(Players!$A12:$P12, MATCH(U$2, Players!$A$1:$P$1, 0)), perc_75, VLOOKUP(U$2, Percentiles!$A$45:$I$59, 6, FALSE), perc_90, VLOOKUP(U$2, Percentiles!$A$45:$I$59, 7, FALSE), perc_95, VLOOKUP(U$2, Percentiles!$A$45:$I$59, 8, FALSE), perc_85, perc_75 + (perc_90 - perc_75) * (2/3), converted_stat, '2K_Ratings'!U13, IF(bbgm_stat &gt;= perc_95, converted_stat * 3, IF(bbgm_stat &gt;= perc_90, converted_stat * 2, IF(bbgm_stat &gt;= perc_85, converted_stat * 1.5, converted_stat)))))</f>
        <v/>
      </c>
      <c r="V13" s="30" t="str">
        <f t="array" ref="V13">IF($A13="", "", LET(bbgm_stat, INDEX(Players!$A12:$P12, MATCH(V$2, Players!$A$1:$P$1, 0)), perc_75, VLOOKUP(V$2, Percentiles!$A$45:$I$59, 6, FALSE), perc_90, VLOOKUP(V$2, Percentiles!$A$45:$I$59, 7, FALSE), perc_95, VLOOKUP(V$2, Percentiles!$A$45:$I$59, 8, FALSE), perc_85, perc_75 + (perc_90 - perc_75) * (2/3), converted_stat, '2K_Ratings'!V13, IF(bbgm_stat &gt;= perc_95, converted_stat * 3, IF(bbgm_stat &gt;= perc_90, converted_stat * 2, IF(bbgm_stat &gt;= perc_85, converted_stat * 1.5, converted_stat)))))</f>
        <v/>
      </c>
      <c r="W13" s="30" t="str">
        <f t="array" ref="W13">IF($A13="", "", LET(bbgm_stat, INDEX(Players!$A12:$P12, MATCH(W$2, Players!$A$1:$P$1, 0)), perc_75, VLOOKUP(W$2, Percentiles!$A$45:$I$59, 6, FALSE), perc_90, VLOOKUP(W$2, Percentiles!$A$45:$I$59, 7, FALSE), perc_95, VLOOKUP(W$2, Percentiles!$A$45:$I$59, 8, FALSE), perc_85, perc_75 + (perc_90 - perc_75) * (2/3), converted_stat, '2K_Ratings'!W13, IF(bbgm_stat &gt;= perc_95, converted_stat * 3, IF(bbgm_stat &gt;= perc_90, converted_stat * 2, IF(bbgm_stat &gt;= perc_85, converted_stat * 1.5, converted_stat)))))</f>
        <v/>
      </c>
    </row>
    <row r="14">
      <c r="A14" s="30" t="str">
        <f>IF(Players!A13="", "", Players!A13)</f>
        <v/>
      </c>
      <c r="B14" s="30" t="str">
        <f t="array" ref="B14">IF($A14="", "", LET(bbgm_stat, INDEX(Players!$A13:$P13, MATCH(B$2, Players!$A$1:$P$1, 0)), perc_75, VLOOKUP(B$2, Percentiles!$A$45:$I$59, 6, FALSE), perc_90, VLOOKUP(B$2, Percentiles!$A$45:$I$59, 7, FALSE), perc_95, VLOOKUP(B$2, Percentiles!$A$45:$I$59, 8, FALSE), perc_85, perc_75 + (perc_90 - perc_75) * (2/3), converted_stat, '2K_Ratings'!B14, IF(bbgm_stat &gt;= perc_95, converted_stat * 3, IF(bbgm_stat &gt;= perc_90, converted_stat * 2, IF(bbgm_stat &gt;= perc_85, converted_stat * 1.5, converted_stat)))))</f>
        <v/>
      </c>
      <c r="C14" s="30" t="str">
        <f t="array" ref="C14">IF($A14="", "", LET(bbgm_stat, INDEX(Players!$A13:$P13, MATCH(C$2, Players!$A$1:$P$1, 0)), perc_75, VLOOKUP(C$2, Percentiles!$A$45:$I$59, 6, FALSE), perc_90, VLOOKUP(C$2, Percentiles!$A$45:$I$59, 7, FALSE), perc_95, VLOOKUP(C$2, Percentiles!$A$45:$I$59, 8, FALSE), perc_85, perc_75 + (perc_90 - perc_75) * (2/3), converted_stat, '2K_Ratings'!C14, IF(bbgm_stat &gt;= perc_95, converted_stat * 3, IF(bbgm_stat &gt;= perc_90, converted_stat * 2, IF(bbgm_stat &gt;= perc_85, converted_stat * 1.5, converted_stat)))))</f>
        <v/>
      </c>
      <c r="D14" s="30" t="str">
        <f t="array" ref="D14">IF($A14="", "", LET(bbgm_stat, INDEX(Players!$A13:$P13, MATCH(D$2, Players!$A$1:$P$1, 0)), perc_75, VLOOKUP(D$2, Percentiles!$A$45:$I$59, 6, FALSE), perc_90, VLOOKUP(D$2, Percentiles!$A$45:$I$59, 7, FALSE), perc_95, VLOOKUP(D$2, Percentiles!$A$45:$I$59, 8, FALSE), perc_85, perc_75 + (perc_90 - perc_75) * (2/3), converted_stat, '2K_Ratings'!D14, IF(bbgm_stat &gt;= perc_95, converted_stat * 3, IF(bbgm_stat &gt;= perc_90, converted_stat * 2, IF(bbgm_stat &gt;= perc_85, converted_stat * 1.5, converted_stat)))))</f>
        <v/>
      </c>
      <c r="E14" s="30" t="str">
        <f t="array" ref="E14">IF($A14="", "", LET(bbgm_stat, INDEX(Players!$A13:$P13, MATCH(E$2, Players!$A$1:$P$1, 0)), perc_75, VLOOKUP(E$2, Percentiles!$A$45:$I$59, 6, FALSE), perc_90, VLOOKUP(E$2, Percentiles!$A$45:$I$59, 7, FALSE), perc_95, VLOOKUP(E$2, Percentiles!$A$45:$I$59, 8, FALSE), perc_85, perc_75 + (perc_90 - perc_75) * (2/3), converted_stat, '2K_Ratings'!E14, IF(bbgm_stat &gt;= perc_95, converted_stat * 3, IF(bbgm_stat &gt;= perc_90, converted_stat * 2, IF(bbgm_stat &gt;= perc_85, converted_stat * 1.5, converted_stat)))))</f>
        <v/>
      </c>
      <c r="F14" s="30" t="str">
        <f t="array" ref="F14">IF($A14="", "", LET(bbgm_stat, INDEX(Players!$A13:$P13, MATCH(F$2, Players!$A$1:$P$1, 0)), perc_75, VLOOKUP(F$2, Percentiles!$A$45:$I$59, 6, FALSE), perc_90, VLOOKUP(F$2, Percentiles!$A$45:$I$59, 7, FALSE), perc_95, VLOOKUP(F$2, Percentiles!$A$45:$I$59, 8, FALSE), perc_85, perc_75 + (perc_90 - perc_75) * (2/3), converted_stat, '2K_Ratings'!F14, IF(bbgm_stat &gt;= perc_95, converted_stat * 3, IF(bbgm_stat &gt;= perc_90, converted_stat * 2, IF(bbgm_stat &gt;= perc_85, converted_stat * 1.5, converted_stat)))))</f>
        <v/>
      </c>
      <c r="G14" s="30" t="str">
        <f t="array" ref="G14">IF($A14="", "", LET(bbgm_stat, INDEX(Players!$A13:$P13, MATCH(G$2, Players!$A$1:$P$1, 0)), perc_75, VLOOKUP(G$2, Percentiles!$A$45:$I$59, 6, FALSE), perc_90, VLOOKUP(G$2, Percentiles!$A$45:$I$59, 7, FALSE), perc_95, VLOOKUP(G$2, Percentiles!$A$45:$I$59, 8, FALSE), perc_85, perc_75 + (perc_90 - perc_75) * (2/3), converted_stat, '2K_Ratings'!G14, IF(bbgm_stat &gt;= perc_95, converted_stat * 3, IF(bbgm_stat &gt;= perc_90, converted_stat * 2, IF(bbgm_stat &gt;= perc_85, converted_stat * 1.5, converted_stat)))))</f>
        <v/>
      </c>
      <c r="H14" s="30" t="str">
        <f t="array" ref="H14">IF($A14="", "", LET(bbgm_stat, INDEX(Players!$A13:$P13, MATCH(H$2, Players!$A$1:$P$1, 0)), perc_75, VLOOKUP(H$2, Percentiles!$A$45:$I$59, 6, FALSE), perc_90, VLOOKUP(H$2, Percentiles!$A$45:$I$59, 7, FALSE), perc_95, VLOOKUP(H$2, Percentiles!$A$45:$I$59, 8, FALSE), perc_85, perc_75 + (perc_90 - perc_75) * (2/3), converted_stat, '2K_Ratings'!H14, IF(bbgm_stat &gt;= perc_95, converted_stat * 3, IF(bbgm_stat &gt;= perc_90, converted_stat * 2, IF(bbgm_stat &gt;= perc_85, converted_stat * 1.5, converted_stat)))))</f>
        <v/>
      </c>
      <c r="I14" s="30" t="str">
        <f t="array" ref="I14">IF($A14="", "", LET(bbgm_stat, INDEX(Players!$A13:$P13, MATCH(I$2, Players!$A$1:$P$1, 0)), perc_75, VLOOKUP(I$2, Percentiles!$A$45:$I$59, 6, FALSE), perc_90, VLOOKUP(I$2, Percentiles!$A$45:$I$59, 7, FALSE), perc_95, VLOOKUP(I$2, Percentiles!$A$45:$I$59, 8, FALSE), perc_85, perc_75 + (perc_90 - perc_75) * (2/3), converted_stat, '2K_Ratings'!I14, IF(bbgm_stat &gt;= perc_95, converted_stat * 3, IF(bbgm_stat &gt;= perc_90, converted_stat * 2, IF(bbgm_stat &gt;= perc_85, converted_stat * 1.5, converted_stat)))))</f>
        <v/>
      </c>
      <c r="J14" s="30" t="str">
        <f t="array" ref="J14">IF($A14="", "", LET(bbgm_stat, INDEX(Players!$A13:$P13, MATCH(J$2, Players!$A$1:$P$1, 0)), perc_75, VLOOKUP(J$2, Percentiles!$A$45:$I$59, 6, FALSE), perc_90, VLOOKUP(J$2, Percentiles!$A$45:$I$59, 7, FALSE), perc_95, VLOOKUP(J$2, Percentiles!$A$45:$I$59, 8, FALSE), perc_85, perc_75 + (perc_90 - perc_75) * (2/3), converted_stat, '2K_Ratings'!J14, IF(bbgm_stat &gt;= perc_95, converted_stat * 3, IF(bbgm_stat &gt;= perc_90, converted_stat * 2, IF(bbgm_stat &gt;= perc_85, converted_stat * 1.5, converted_stat)))))</f>
        <v/>
      </c>
      <c r="K14" s="30" t="str">
        <f t="array" ref="K14">IF($A14="", "", LET(bbgm_stat, INDEX(Players!$A13:$P13, MATCH(K$2, Players!$A$1:$P$1, 0)), perc_75, VLOOKUP(K$2, Percentiles!$A$45:$I$59, 6, FALSE), perc_90, VLOOKUP(K$2, Percentiles!$A$45:$I$59, 7, FALSE), perc_95, VLOOKUP(K$2, Percentiles!$A$45:$I$59, 8, FALSE), perc_85, perc_75 + (perc_90 - perc_75) * (2/3), converted_stat, '2K_Ratings'!K14, IF(bbgm_stat &gt;= perc_95, converted_stat * 3, IF(bbgm_stat &gt;= perc_90, converted_stat * 2, IF(bbgm_stat &gt;= perc_85, converted_stat * 1.5, converted_stat)))))</f>
        <v/>
      </c>
      <c r="L14" s="30" t="str">
        <f t="array" ref="L14">IF($A14="", "", LET(bbgm_stat, INDEX(Players!$A13:$P13, MATCH(L$2, Players!$A$1:$P$1, 0)), perc_75, VLOOKUP(L$2, Percentiles!$A$45:$I$59, 6, FALSE), perc_90, VLOOKUP(L$2, Percentiles!$A$45:$I$59, 7, FALSE), perc_95, VLOOKUP(L$2, Percentiles!$A$45:$I$59, 8, FALSE), perc_85, perc_75 + (perc_90 - perc_75) * (2/3), converted_stat, '2K_Ratings'!L14, IF(bbgm_stat &gt;= perc_95, converted_stat * 3, IF(bbgm_stat &gt;= perc_90, converted_stat * 2, IF(bbgm_stat &gt;= perc_85, converted_stat * 1.5, converted_stat)))))</f>
        <v/>
      </c>
      <c r="M14" s="30" t="str">
        <f t="array" ref="M14">IF($A14="", "", LET(bbgm_stat, INDEX(Players!$A13:$P13, MATCH(M$2, Players!$A$1:$P$1, 0)), perc_75, VLOOKUP(M$2, Percentiles!$A$45:$I$59, 6, FALSE), perc_90, VLOOKUP(M$2, Percentiles!$A$45:$I$59, 7, FALSE), perc_95, VLOOKUP(M$2, Percentiles!$A$45:$I$59, 8, FALSE), perc_85, perc_75 + (perc_90 - perc_75) * (2/3), converted_stat, '2K_Ratings'!M14, IF(bbgm_stat &gt;= perc_95, converted_stat * 3, IF(bbgm_stat &gt;= perc_90, converted_stat * 2, IF(bbgm_stat &gt;= perc_85, converted_stat * 1.5, converted_stat)))))</f>
        <v/>
      </c>
      <c r="N14" s="30" t="str">
        <f t="array" ref="N14">IF($A14="", "", LET(bbgm_stat, INDEX(Players!$A13:$P13, MATCH(N$2, Players!$A$1:$P$1, 0)), perc_75, VLOOKUP(N$2, Percentiles!$A$45:$I$59, 6, FALSE), perc_90, VLOOKUP(N$2, Percentiles!$A$45:$I$59, 7, FALSE), perc_95, VLOOKUP(N$2, Percentiles!$A$45:$I$59, 8, FALSE), perc_85, perc_75 + (perc_90 - perc_75) * (2/3), converted_stat, '2K_Ratings'!N14, IF(bbgm_stat &gt;= perc_95, converted_stat * 3, IF(bbgm_stat &gt;= perc_90, converted_stat * 2, IF(bbgm_stat &gt;= perc_85, converted_stat * 1.5, converted_stat)))))</f>
        <v/>
      </c>
      <c r="O14" s="30" t="str">
        <f t="array" ref="O14">IF($A14="", "", LET(bbgm_stat, INDEX(Players!$A13:$P13, MATCH(O$2, Players!$A$1:$P$1, 0)), perc_75, VLOOKUP(O$2, Percentiles!$A$45:$I$59, 6, FALSE), perc_90, VLOOKUP(O$2, Percentiles!$A$45:$I$59, 7, FALSE), perc_95, VLOOKUP(O$2, Percentiles!$A$45:$I$59, 8, FALSE), perc_85, perc_75 + (perc_90 - perc_75) * (2/3), converted_stat, '2K_Ratings'!O14, IF(bbgm_stat &gt;= perc_95, converted_stat * 3, IF(bbgm_stat &gt;= perc_90, converted_stat * 2, IF(bbgm_stat &gt;= perc_85, converted_stat * 1.5, converted_stat)))))</f>
        <v/>
      </c>
      <c r="P14" s="30" t="str">
        <f t="array" ref="P14">IF($A14="", "", LET(bbgm_stat, INDEX(Players!$A13:$P13, MATCH(P$2, Players!$A$1:$P$1, 0)), perc_75, VLOOKUP(P$2, Percentiles!$A$45:$I$59, 6, FALSE), perc_90, VLOOKUP(P$2, Percentiles!$A$45:$I$59, 7, FALSE), perc_95, VLOOKUP(P$2, Percentiles!$A$45:$I$59, 8, FALSE), perc_85, perc_75 + (perc_90 - perc_75) * (2/3), converted_stat, '2K_Ratings'!P14, IF(bbgm_stat &gt;= perc_95, converted_stat * 3, IF(bbgm_stat &gt;= perc_90, converted_stat * 2, IF(bbgm_stat &gt;= perc_85, converted_stat * 1.5, converted_stat)))))</f>
        <v/>
      </c>
      <c r="Q14" s="30" t="str">
        <f t="array" ref="Q14">IF($A14="", "", LET(bbgm_stat, INDEX(Players!$A13:$P13, MATCH(Q$2, Players!$A$1:$P$1, 0)), perc_75, VLOOKUP(Q$2, Percentiles!$A$45:$I$59, 6, FALSE), perc_90, VLOOKUP(Q$2, Percentiles!$A$45:$I$59, 7, FALSE), perc_95, VLOOKUP(Q$2, Percentiles!$A$45:$I$59, 8, FALSE), perc_85, perc_75 + (perc_90 - perc_75) * (2/3), converted_stat, '2K_Ratings'!Q14, IF(bbgm_stat &gt;= perc_95, converted_stat * 3, IF(bbgm_stat &gt;= perc_90, converted_stat * 2, IF(bbgm_stat &gt;= perc_85, converted_stat * 1.5, converted_stat)))))</f>
        <v/>
      </c>
      <c r="R14" s="30" t="str">
        <f t="array" ref="R14">IF($A14="", "", LET(bbgm_stat, INDEX(Players!$A13:$P13, MATCH(R$2, Players!$A$1:$P$1, 0)), perc_75, VLOOKUP(R$2, Percentiles!$A$45:$I$59, 6, FALSE), perc_90, VLOOKUP(R$2, Percentiles!$A$45:$I$59, 7, FALSE), perc_95, VLOOKUP(R$2, Percentiles!$A$45:$I$59, 8, FALSE), perc_85, perc_75 + (perc_90 - perc_75) * (2/3), converted_stat, '2K_Ratings'!R14, IF(bbgm_stat &gt;= perc_95, converted_stat * 3, IF(bbgm_stat &gt;= perc_90, converted_stat * 2, IF(bbgm_stat &gt;= perc_85, converted_stat * 1.5, converted_stat)))))</f>
        <v/>
      </c>
      <c r="S14" s="30" t="str">
        <f t="array" ref="S14">IF($A14="", "", LET(bbgm_stat, INDEX(Players!$A13:$P13, MATCH(S$2, Players!$A$1:$P$1, 0)), perc_75, VLOOKUP(S$2, Percentiles!$A$45:$I$59, 6, FALSE), perc_90, VLOOKUP(S$2, Percentiles!$A$45:$I$59, 7, FALSE), perc_95, VLOOKUP(S$2, Percentiles!$A$45:$I$59, 8, FALSE), perc_85, perc_75 + (perc_90 - perc_75) * (2/3), converted_stat, '2K_Ratings'!S14, IF(bbgm_stat &gt;= perc_95, converted_stat * 3, IF(bbgm_stat &gt;= perc_90, converted_stat * 2, IF(bbgm_stat &gt;= perc_85, converted_stat * 1.5, converted_stat)))))</f>
        <v/>
      </c>
      <c r="T14" s="30" t="str">
        <f t="array" ref="T14">IF($A14="", "", LET(bbgm_stat, INDEX(Players!$A13:$P13, MATCH(T$2, Players!$A$1:$P$1, 0)), perc_75, VLOOKUP(T$2, Percentiles!$A$45:$I$59, 6, FALSE), perc_90, VLOOKUP(T$2, Percentiles!$A$45:$I$59, 7, FALSE), perc_95, VLOOKUP(T$2, Percentiles!$A$45:$I$59, 8, FALSE), perc_85, perc_75 + (perc_90 - perc_75) * (2/3), converted_stat, '2K_Ratings'!T14, IF(bbgm_stat &gt;= perc_95, converted_stat * 3, IF(bbgm_stat &gt;= perc_90, converted_stat * 2, IF(bbgm_stat &gt;= perc_85, converted_stat * 1.5, converted_stat)))))</f>
        <v/>
      </c>
      <c r="U14" s="30" t="str">
        <f t="array" ref="U14">IF($A14="", "", LET(bbgm_stat, INDEX(Players!$A13:$P13, MATCH(U$2, Players!$A$1:$P$1, 0)), perc_75, VLOOKUP(U$2, Percentiles!$A$45:$I$59, 6, FALSE), perc_90, VLOOKUP(U$2, Percentiles!$A$45:$I$59, 7, FALSE), perc_95, VLOOKUP(U$2, Percentiles!$A$45:$I$59, 8, FALSE), perc_85, perc_75 + (perc_90 - perc_75) * (2/3), converted_stat, '2K_Ratings'!U14, IF(bbgm_stat &gt;= perc_95, converted_stat * 3, IF(bbgm_stat &gt;= perc_90, converted_stat * 2, IF(bbgm_stat &gt;= perc_85, converted_stat * 1.5, converted_stat)))))</f>
        <v/>
      </c>
      <c r="V14" s="30" t="str">
        <f t="array" ref="V14">IF($A14="", "", LET(bbgm_stat, INDEX(Players!$A13:$P13, MATCH(V$2, Players!$A$1:$P$1, 0)), perc_75, VLOOKUP(V$2, Percentiles!$A$45:$I$59, 6, FALSE), perc_90, VLOOKUP(V$2, Percentiles!$A$45:$I$59, 7, FALSE), perc_95, VLOOKUP(V$2, Percentiles!$A$45:$I$59, 8, FALSE), perc_85, perc_75 + (perc_90 - perc_75) * (2/3), converted_stat, '2K_Ratings'!V14, IF(bbgm_stat &gt;= perc_95, converted_stat * 3, IF(bbgm_stat &gt;= perc_90, converted_stat * 2, IF(bbgm_stat &gt;= perc_85, converted_stat * 1.5, converted_stat)))))</f>
        <v/>
      </c>
      <c r="W14" s="30" t="str">
        <f t="array" ref="W14">IF($A14="", "", LET(bbgm_stat, INDEX(Players!$A13:$P13, MATCH(W$2, Players!$A$1:$P$1, 0)), perc_75, VLOOKUP(W$2, Percentiles!$A$45:$I$59, 6, FALSE), perc_90, VLOOKUP(W$2, Percentiles!$A$45:$I$59, 7, FALSE), perc_95, VLOOKUP(W$2, Percentiles!$A$45:$I$59, 8, FALSE), perc_85, perc_75 + (perc_90 - perc_75) * (2/3), converted_stat, '2K_Ratings'!W14, IF(bbgm_stat &gt;= perc_95, converted_stat * 3, IF(bbgm_stat &gt;= perc_90, converted_stat * 2, IF(bbgm_stat &gt;= perc_85, converted_stat * 1.5, converted_stat)))))</f>
        <v/>
      </c>
    </row>
    <row r="15">
      <c r="A15" s="30" t="str">
        <f>IF(Players!A14="", "", Players!A14)</f>
        <v/>
      </c>
      <c r="B15" s="30" t="str">
        <f t="array" ref="B15">IF($A15="", "", LET(bbgm_stat, INDEX(Players!$A14:$P14, MATCH(B$2, Players!$A$1:$P$1, 0)), perc_75, VLOOKUP(B$2, Percentiles!$A$45:$I$59, 6, FALSE), perc_90, VLOOKUP(B$2, Percentiles!$A$45:$I$59, 7, FALSE), perc_95, VLOOKUP(B$2, Percentiles!$A$45:$I$59, 8, FALSE), perc_85, perc_75 + (perc_90 - perc_75) * (2/3), converted_stat, '2K_Ratings'!B15, IF(bbgm_stat &gt;= perc_95, converted_stat * 3, IF(bbgm_stat &gt;= perc_90, converted_stat * 2, IF(bbgm_stat &gt;= perc_85, converted_stat * 1.5, converted_stat)))))</f>
        <v/>
      </c>
      <c r="C15" s="30" t="str">
        <f t="array" ref="C15">IF($A15="", "", LET(bbgm_stat, INDEX(Players!$A14:$P14, MATCH(C$2, Players!$A$1:$P$1, 0)), perc_75, VLOOKUP(C$2, Percentiles!$A$45:$I$59, 6, FALSE), perc_90, VLOOKUP(C$2, Percentiles!$A$45:$I$59, 7, FALSE), perc_95, VLOOKUP(C$2, Percentiles!$A$45:$I$59, 8, FALSE), perc_85, perc_75 + (perc_90 - perc_75) * (2/3), converted_stat, '2K_Ratings'!C15, IF(bbgm_stat &gt;= perc_95, converted_stat * 3, IF(bbgm_stat &gt;= perc_90, converted_stat * 2, IF(bbgm_stat &gt;= perc_85, converted_stat * 1.5, converted_stat)))))</f>
        <v/>
      </c>
      <c r="D15" s="30" t="str">
        <f t="array" ref="D15">IF($A15="", "", LET(bbgm_stat, INDEX(Players!$A14:$P14, MATCH(D$2, Players!$A$1:$P$1, 0)), perc_75, VLOOKUP(D$2, Percentiles!$A$45:$I$59, 6, FALSE), perc_90, VLOOKUP(D$2, Percentiles!$A$45:$I$59, 7, FALSE), perc_95, VLOOKUP(D$2, Percentiles!$A$45:$I$59, 8, FALSE), perc_85, perc_75 + (perc_90 - perc_75) * (2/3), converted_stat, '2K_Ratings'!D15, IF(bbgm_stat &gt;= perc_95, converted_stat * 3, IF(bbgm_stat &gt;= perc_90, converted_stat * 2, IF(bbgm_stat &gt;= perc_85, converted_stat * 1.5, converted_stat)))))</f>
        <v/>
      </c>
      <c r="E15" s="30" t="str">
        <f t="array" ref="E15">IF($A15="", "", LET(bbgm_stat, INDEX(Players!$A14:$P14, MATCH(E$2, Players!$A$1:$P$1, 0)), perc_75, VLOOKUP(E$2, Percentiles!$A$45:$I$59, 6, FALSE), perc_90, VLOOKUP(E$2, Percentiles!$A$45:$I$59, 7, FALSE), perc_95, VLOOKUP(E$2, Percentiles!$A$45:$I$59, 8, FALSE), perc_85, perc_75 + (perc_90 - perc_75) * (2/3), converted_stat, '2K_Ratings'!E15, IF(bbgm_stat &gt;= perc_95, converted_stat * 3, IF(bbgm_stat &gt;= perc_90, converted_stat * 2, IF(bbgm_stat &gt;= perc_85, converted_stat * 1.5, converted_stat)))))</f>
        <v/>
      </c>
      <c r="F15" s="30" t="str">
        <f t="array" ref="F15">IF($A15="", "", LET(bbgm_stat, INDEX(Players!$A14:$P14, MATCH(F$2, Players!$A$1:$P$1, 0)), perc_75, VLOOKUP(F$2, Percentiles!$A$45:$I$59, 6, FALSE), perc_90, VLOOKUP(F$2, Percentiles!$A$45:$I$59, 7, FALSE), perc_95, VLOOKUP(F$2, Percentiles!$A$45:$I$59, 8, FALSE), perc_85, perc_75 + (perc_90 - perc_75) * (2/3), converted_stat, '2K_Ratings'!F15, IF(bbgm_stat &gt;= perc_95, converted_stat * 3, IF(bbgm_stat &gt;= perc_90, converted_stat * 2, IF(bbgm_stat &gt;= perc_85, converted_stat * 1.5, converted_stat)))))</f>
        <v/>
      </c>
      <c r="G15" s="30" t="str">
        <f t="array" ref="G15">IF($A15="", "", LET(bbgm_stat, INDEX(Players!$A14:$P14, MATCH(G$2, Players!$A$1:$P$1, 0)), perc_75, VLOOKUP(G$2, Percentiles!$A$45:$I$59, 6, FALSE), perc_90, VLOOKUP(G$2, Percentiles!$A$45:$I$59, 7, FALSE), perc_95, VLOOKUP(G$2, Percentiles!$A$45:$I$59, 8, FALSE), perc_85, perc_75 + (perc_90 - perc_75) * (2/3), converted_stat, '2K_Ratings'!G15, IF(bbgm_stat &gt;= perc_95, converted_stat * 3, IF(bbgm_stat &gt;= perc_90, converted_stat * 2, IF(bbgm_stat &gt;= perc_85, converted_stat * 1.5, converted_stat)))))</f>
        <v/>
      </c>
      <c r="H15" s="30" t="str">
        <f t="array" ref="H15">IF($A15="", "", LET(bbgm_stat, INDEX(Players!$A14:$P14, MATCH(H$2, Players!$A$1:$P$1, 0)), perc_75, VLOOKUP(H$2, Percentiles!$A$45:$I$59, 6, FALSE), perc_90, VLOOKUP(H$2, Percentiles!$A$45:$I$59, 7, FALSE), perc_95, VLOOKUP(H$2, Percentiles!$A$45:$I$59, 8, FALSE), perc_85, perc_75 + (perc_90 - perc_75) * (2/3), converted_stat, '2K_Ratings'!H15, IF(bbgm_stat &gt;= perc_95, converted_stat * 3, IF(bbgm_stat &gt;= perc_90, converted_stat * 2, IF(bbgm_stat &gt;= perc_85, converted_stat * 1.5, converted_stat)))))</f>
        <v/>
      </c>
      <c r="I15" s="30" t="str">
        <f t="array" ref="I15">IF($A15="", "", LET(bbgm_stat, INDEX(Players!$A14:$P14, MATCH(I$2, Players!$A$1:$P$1, 0)), perc_75, VLOOKUP(I$2, Percentiles!$A$45:$I$59, 6, FALSE), perc_90, VLOOKUP(I$2, Percentiles!$A$45:$I$59, 7, FALSE), perc_95, VLOOKUP(I$2, Percentiles!$A$45:$I$59, 8, FALSE), perc_85, perc_75 + (perc_90 - perc_75) * (2/3), converted_stat, '2K_Ratings'!I15, IF(bbgm_stat &gt;= perc_95, converted_stat * 3, IF(bbgm_stat &gt;= perc_90, converted_stat * 2, IF(bbgm_stat &gt;= perc_85, converted_stat * 1.5, converted_stat)))))</f>
        <v/>
      </c>
      <c r="J15" s="30" t="str">
        <f t="array" ref="J15">IF($A15="", "", LET(bbgm_stat, INDEX(Players!$A14:$P14, MATCH(J$2, Players!$A$1:$P$1, 0)), perc_75, VLOOKUP(J$2, Percentiles!$A$45:$I$59, 6, FALSE), perc_90, VLOOKUP(J$2, Percentiles!$A$45:$I$59, 7, FALSE), perc_95, VLOOKUP(J$2, Percentiles!$A$45:$I$59, 8, FALSE), perc_85, perc_75 + (perc_90 - perc_75) * (2/3), converted_stat, '2K_Ratings'!J15, IF(bbgm_stat &gt;= perc_95, converted_stat * 3, IF(bbgm_stat &gt;= perc_90, converted_stat * 2, IF(bbgm_stat &gt;= perc_85, converted_stat * 1.5, converted_stat)))))</f>
        <v/>
      </c>
      <c r="K15" s="30" t="str">
        <f t="array" ref="K15">IF($A15="", "", LET(bbgm_stat, INDEX(Players!$A14:$P14, MATCH(K$2, Players!$A$1:$P$1, 0)), perc_75, VLOOKUP(K$2, Percentiles!$A$45:$I$59, 6, FALSE), perc_90, VLOOKUP(K$2, Percentiles!$A$45:$I$59, 7, FALSE), perc_95, VLOOKUP(K$2, Percentiles!$A$45:$I$59, 8, FALSE), perc_85, perc_75 + (perc_90 - perc_75) * (2/3), converted_stat, '2K_Ratings'!K15, IF(bbgm_stat &gt;= perc_95, converted_stat * 3, IF(bbgm_stat &gt;= perc_90, converted_stat * 2, IF(bbgm_stat &gt;= perc_85, converted_stat * 1.5, converted_stat)))))</f>
        <v/>
      </c>
      <c r="L15" s="30" t="str">
        <f t="array" ref="L15">IF($A15="", "", LET(bbgm_stat, INDEX(Players!$A14:$P14, MATCH(L$2, Players!$A$1:$P$1, 0)), perc_75, VLOOKUP(L$2, Percentiles!$A$45:$I$59, 6, FALSE), perc_90, VLOOKUP(L$2, Percentiles!$A$45:$I$59, 7, FALSE), perc_95, VLOOKUP(L$2, Percentiles!$A$45:$I$59, 8, FALSE), perc_85, perc_75 + (perc_90 - perc_75) * (2/3), converted_stat, '2K_Ratings'!L15, IF(bbgm_stat &gt;= perc_95, converted_stat * 3, IF(bbgm_stat &gt;= perc_90, converted_stat * 2, IF(bbgm_stat &gt;= perc_85, converted_stat * 1.5, converted_stat)))))</f>
        <v/>
      </c>
      <c r="M15" s="30" t="str">
        <f t="array" ref="M15">IF($A15="", "", LET(bbgm_stat, INDEX(Players!$A14:$P14, MATCH(M$2, Players!$A$1:$P$1, 0)), perc_75, VLOOKUP(M$2, Percentiles!$A$45:$I$59, 6, FALSE), perc_90, VLOOKUP(M$2, Percentiles!$A$45:$I$59, 7, FALSE), perc_95, VLOOKUP(M$2, Percentiles!$A$45:$I$59, 8, FALSE), perc_85, perc_75 + (perc_90 - perc_75) * (2/3), converted_stat, '2K_Ratings'!M15, IF(bbgm_stat &gt;= perc_95, converted_stat * 3, IF(bbgm_stat &gt;= perc_90, converted_stat * 2, IF(bbgm_stat &gt;= perc_85, converted_stat * 1.5, converted_stat)))))</f>
        <v/>
      </c>
      <c r="N15" s="30" t="str">
        <f t="array" ref="N15">IF($A15="", "", LET(bbgm_stat, INDEX(Players!$A14:$P14, MATCH(N$2, Players!$A$1:$P$1, 0)), perc_75, VLOOKUP(N$2, Percentiles!$A$45:$I$59, 6, FALSE), perc_90, VLOOKUP(N$2, Percentiles!$A$45:$I$59, 7, FALSE), perc_95, VLOOKUP(N$2, Percentiles!$A$45:$I$59, 8, FALSE), perc_85, perc_75 + (perc_90 - perc_75) * (2/3), converted_stat, '2K_Ratings'!N15, IF(bbgm_stat &gt;= perc_95, converted_stat * 3, IF(bbgm_stat &gt;= perc_90, converted_stat * 2, IF(bbgm_stat &gt;= perc_85, converted_stat * 1.5, converted_stat)))))</f>
        <v/>
      </c>
      <c r="O15" s="30" t="str">
        <f t="array" ref="O15">IF($A15="", "", LET(bbgm_stat, INDEX(Players!$A14:$P14, MATCH(O$2, Players!$A$1:$P$1, 0)), perc_75, VLOOKUP(O$2, Percentiles!$A$45:$I$59, 6, FALSE), perc_90, VLOOKUP(O$2, Percentiles!$A$45:$I$59, 7, FALSE), perc_95, VLOOKUP(O$2, Percentiles!$A$45:$I$59, 8, FALSE), perc_85, perc_75 + (perc_90 - perc_75) * (2/3), converted_stat, '2K_Ratings'!O15, IF(bbgm_stat &gt;= perc_95, converted_stat * 3, IF(bbgm_stat &gt;= perc_90, converted_stat * 2, IF(bbgm_stat &gt;= perc_85, converted_stat * 1.5, converted_stat)))))</f>
        <v/>
      </c>
      <c r="P15" s="30" t="str">
        <f t="array" ref="P15">IF($A15="", "", LET(bbgm_stat, INDEX(Players!$A14:$P14, MATCH(P$2, Players!$A$1:$P$1, 0)), perc_75, VLOOKUP(P$2, Percentiles!$A$45:$I$59, 6, FALSE), perc_90, VLOOKUP(P$2, Percentiles!$A$45:$I$59, 7, FALSE), perc_95, VLOOKUP(P$2, Percentiles!$A$45:$I$59, 8, FALSE), perc_85, perc_75 + (perc_90 - perc_75) * (2/3), converted_stat, '2K_Ratings'!P15, IF(bbgm_stat &gt;= perc_95, converted_stat * 3, IF(bbgm_stat &gt;= perc_90, converted_stat * 2, IF(bbgm_stat &gt;= perc_85, converted_stat * 1.5, converted_stat)))))</f>
        <v/>
      </c>
      <c r="Q15" s="30" t="str">
        <f t="array" ref="Q15">IF($A15="", "", LET(bbgm_stat, INDEX(Players!$A14:$P14, MATCH(Q$2, Players!$A$1:$P$1, 0)), perc_75, VLOOKUP(Q$2, Percentiles!$A$45:$I$59, 6, FALSE), perc_90, VLOOKUP(Q$2, Percentiles!$A$45:$I$59, 7, FALSE), perc_95, VLOOKUP(Q$2, Percentiles!$A$45:$I$59, 8, FALSE), perc_85, perc_75 + (perc_90 - perc_75) * (2/3), converted_stat, '2K_Ratings'!Q15, IF(bbgm_stat &gt;= perc_95, converted_stat * 3, IF(bbgm_stat &gt;= perc_90, converted_stat * 2, IF(bbgm_stat &gt;= perc_85, converted_stat * 1.5, converted_stat)))))</f>
        <v/>
      </c>
      <c r="R15" s="30" t="str">
        <f t="array" ref="R15">IF($A15="", "", LET(bbgm_stat, INDEX(Players!$A14:$P14, MATCH(R$2, Players!$A$1:$P$1, 0)), perc_75, VLOOKUP(R$2, Percentiles!$A$45:$I$59, 6, FALSE), perc_90, VLOOKUP(R$2, Percentiles!$A$45:$I$59, 7, FALSE), perc_95, VLOOKUP(R$2, Percentiles!$A$45:$I$59, 8, FALSE), perc_85, perc_75 + (perc_90 - perc_75) * (2/3), converted_stat, '2K_Ratings'!R15, IF(bbgm_stat &gt;= perc_95, converted_stat * 3, IF(bbgm_stat &gt;= perc_90, converted_stat * 2, IF(bbgm_stat &gt;= perc_85, converted_stat * 1.5, converted_stat)))))</f>
        <v/>
      </c>
      <c r="S15" s="30" t="str">
        <f t="array" ref="S15">IF($A15="", "", LET(bbgm_stat, INDEX(Players!$A14:$P14, MATCH(S$2, Players!$A$1:$P$1, 0)), perc_75, VLOOKUP(S$2, Percentiles!$A$45:$I$59, 6, FALSE), perc_90, VLOOKUP(S$2, Percentiles!$A$45:$I$59, 7, FALSE), perc_95, VLOOKUP(S$2, Percentiles!$A$45:$I$59, 8, FALSE), perc_85, perc_75 + (perc_90 - perc_75) * (2/3), converted_stat, '2K_Ratings'!S15, IF(bbgm_stat &gt;= perc_95, converted_stat * 3, IF(bbgm_stat &gt;= perc_90, converted_stat * 2, IF(bbgm_stat &gt;= perc_85, converted_stat * 1.5, converted_stat)))))</f>
        <v/>
      </c>
      <c r="T15" s="30" t="str">
        <f t="array" ref="T15">IF($A15="", "", LET(bbgm_stat, INDEX(Players!$A14:$P14, MATCH(T$2, Players!$A$1:$P$1, 0)), perc_75, VLOOKUP(T$2, Percentiles!$A$45:$I$59, 6, FALSE), perc_90, VLOOKUP(T$2, Percentiles!$A$45:$I$59, 7, FALSE), perc_95, VLOOKUP(T$2, Percentiles!$A$45:$I$59, 8, FALSE), perc_85, perc_75 + (perc_90 - perc_75) * (2/3), converted_stat, '2K_Ratings'!T15, IF(bbgm_stat &gt;= perc_95, converted_stat * 3, IF(bbgm_stat &gt;= perc_90, converted_stat * 2, IF(bbgm_stat &gt;= perc_85, converted_stat * 1.5, converted_stat)))))</f>
        <v/>
      </c>
      <c r="U15" s="30" t="str">
        <f t="array" ref="U15">IF($A15="", "", LET(bbgm_stat, INDEX(Players!$A14:$P14, MATCH(U$2, Players!$A$1:$P$1, 0)), perc_75, VLOOKUP(U$2, Percentiles!$A$45:$I$59, 6, FALSE), perc_90, VLOOKUP(U$2, Percentiles!$A$45:$I$59, 7, FALSE), perc_95, VLOOKUP(U$2, Percentiles!$A$45:$I$59, 8, FALSE), perc_85, perc_75 + (perc_90 - perc_75) * (2/3), converted_stat, '2K_Ratings'!U15, IF(bbgm_stat &gt;= perc_95, converted_stat * 3, IF(bbgm_stat &gt;= perc_90, converted_stat * 2, IF(bbgm_stat &gt;= perc_85, converted_stat * 1.5, converted_stat)))))</f>
        <v/>
      </c>
      <c r="V15" s="30" t="str">
        <f t="array" ref="V15">IF($A15="", "", LET(bbgm_stat, INDEX(Players!$A14:$P14, MATCH(V$2, Players!$A$1:$P$1, 0)), perc_75, VLOOKUP(V$2, Percentiles!$A$45:$I$59, 6, FALSE), perc_90, VLOOKUP(V$2, Percentiles!$A$45:$I$59, 7, FALSE), perc_95, VLOOKUP(V$2, Percentiles!$A$45:$I$59, 8, FALSE), perc_85, perc_75 + (perc_90 - perc_75) * (2/3), converted_stat, '2K_Ratings'!V15, IF(bbgm_stat &gt;= perc_95, converted_stat * 3, IF(bbgm_stat &gt;= perc_90, converted_stat * 2, IF(bbgm_stat &gt;= perc_85, converted_stat * 1.5, converted_stat)))))</f>
        <v/>
      </c>
      <c r="W15" s="30" t="str">
        <f t="array" ref="W15">IF($A15="", "", LET(bbgm_stat, INDEX(Players!$A14:$P14, MATCH(W$2, Players!$A$1:$P$1, 0)), perc_75, VLOOKUP(W$2, Percentiles!$A$45:$I$59, 6, FALSE), perc_90, VLOOKUP(W$2, Percentiles!$A$45:$I$59, 7, FALSE), perc_95, VLOOKUP(W$2, Percentiles!$A$45:$I$59, 8, FALSE), perc_85, perc_75 + (perc_90 - perc_75) * (2/3), converted_stat, '2K_Ratings'!W15, IF(bbgm_stat &gt;= perc_95, converted_stat * 3, IF(bbgm_stat &gt;= perc_90, converted_stat * 2, IF(bbgm_stat &gt;= perc_85, converted_stat * 1.5, converted_stat)))))</f>
        <v/>
      </c>
    </row>
    <row r="16">
      <c r="A16" s="30" t="str">
        <f>IF(Players!A15="", "", Players!A15)</f>
        <v/>
      </c>
      <c r="B16" s="30" t="str">
        <f t="array" ref="B16">IF($A16="", "", LET(bbgm_stat, INDEX(Players!$A15:$P15, MATCH(B$2, Players!$A$1:$P$1, 0)), perc_75, VLOOKUP(B$2, Percentiles!$A$45:$I$59, 6, FALSE), perc_90, VLOOKUP(B$2, Percentiles!$A$45:$I$59, 7, FALSE), perc_95, VLOOKUP(B$2, Percentiles!$A$45:$I$59, 8, FALSE), perc_85, perc_75 + (perc_90 - perc_75) * (2/3), converted_stat, '2K_Ratings'!B16, IF(bbgm_stat &gt;= perc_95, converted_stat * 3, IF(bbgm_stat &gt;= perc_90, converted_stat * 2, IF(bbgm_stat &gt;= perc_85, converted_stat * 1.5, converted_stat)))))</f>
        <v/>
      </c>
      <c r="C16" s="30" t="str">
        <f t="array" ref="C16">IF($A16="", "", LET(bbgm_stat, INDEX(Players!$A15:$P15, MATCH(C$2, Players!$A$1:$P$1, 0)), perc_75, VLOOKUP(C$2, Percentiles!$A$45:$I$59, 6, FALSE), perc_90, VLOOKUP(C$2, Percentiles!$A$45:$I$59, 7, FALSE), perc_95, VLOOKUP(C$2, Percentiles!$A$45:$I$59, 8, FALSE), perc_85, perc_75 + (perc_90 - perc_75) * (2/3), converted_stat, '2K_Ratings'!C16, IF(bbgm_stat &gt;= perc_95, converted_stat * 3, IF(bbgm_stat &gt;= perc_90, converted_stat * 2, IF(bbgm_stat &gt;= perc_85, converted_stat * 1.5, converted_stat)))))</f>
        <v/>
      </c>
      <c r="D16" s="30" t="str">
        <f t="array" ref="D16">IF($A16="", "", LET(bbgm_stat, INDEX(Players!$A15:$P15, MATCH(D$2, Players!$A$1:$P$1, 0)), perc_75, VLOOKUP(D$2, Percentiles!$A$45:$I$59, 6, FALSE), perc_90, VLOOKUP(D$2, Percentiles!$A$45:$I$59, 7, FALSE), perc_95, VLOOKUP(D$2, Percentiles!$A$45:$I$59, 8, FALSE), perc_85, perc_75 + (perc_90 - perc_75) * (2/3), converted_stat, '2K_Ratings'!D16, IF(bbgm_stat &gt;= perc_95, converted_stat * 3, IF(bbgm_stat &gt;= perc_90, converted_stat * 2, IF(bbgm_stat &gt;= perc_85, converted_stat * 1.5, converted_stat)))))</f>
        <v/>
      </c>
      <c r="E16" s="30" t="str">
        <f t="array" ref="E16">IF($A16="", "", LET(bbgm_stat, INDEX(Players!$A15:$P15, MATCH(E$2, Players!$A$1:$P$1, 0)), perc_75, VLOOKUP(E$2, Percentiles!$A$45:$I$59, 6, FALSE), perc_90, VLOOKUP(E$2, Percentiles!$A$45:$I$59, 7, FALSE), perc_95, VLOOKUP(E$2, Percentiles!$A$45:$I$59, 8, FALSE), perc_85, perc_75 + (perc_90 - perc_75) * (2/3), converted_stat, '2K_Ratings'!E16, IF(bbgm_stat &gt;= perc_95, converted_stat * 3, IF(bbgm_stat &gt;= perc_90, converted_stat * 2, IF(bbgm_stat &gt;= perc_85, converted_stat * 1.5, converted_stat)))))</f>
        <v/>
      </c>
      <c r="F16" s="30" t="str">
        <f t="array" ref="F16">IF($A16="", "", LET(bbgm_stat, INDEX(Players!$A15:$P15, MATCH(F$2, Players!$A$1:$P$1, 0)), perc_75, VLOOKUP(F$2, Percentiles!$A$45:$I$59, 6, FALSE), perc_90, VLOOKUP(F$2, Percentiles!$A$45:$I$59, 7, FALSE), perc_95, VLOOKUP(F$2, Percentiles!$A$45:$I$59, 8, FALSE), perc_85, perc_75 + (perc_90 - perc_75) * (2/3), converted_stat, '2K_Ratings'!F16, IF(bbgm_stat &gt;= perc_95, converted_stat * 3, IF(bbgm_stat &gt;= perc_90, converted_stat * 2, IF(bbgm_stat &gt;= perc_85, converted_stat * 1.5, converted_stat)))))</f>
        <v/>
      </c>
      <c r="G16" s="30" t="str">
        <f t="array" ref="G16">IF($A16="", "", LET(bbgm_stat, INDEX(Players!$A15:$P15, MATCH(G$2, Players!$A$1:$P$1, 0)), perc_75, VLOOKUP(G$2, Percentiles!$A$45:$I$59, 6, FALSE), perc_90, VLOOKUP(G$2, Percentiles!$A$45:$I$59, 7, FALSE), perc_95, VLOOKUP(G$2, Percentiles!$A$45:$I$59, 8, FALSE), perc_85, perc_75 + (perc_90 - perc_75) * (2/3), converted_stat, '2K_Ratings'!G16, IF(bbgm_stat &gt;= perc_95, converted_stat * 3, IF(bbgm_stat &gt;= perc_90, converted_stat * 2, IF(bbgm_stat &gt;= perc_85, converted_stat * 1.5, converted_stat)))))</f>
        <v/>
      </c>
      <c r="H16" s="30" t="str">
        <f t="array" ref="H16">IF($A16="", "", LET(bbgm_stat, INDEX(Players!$A15:$P15, MATCH(H$2, Players!$A$1:$P$1, 0)), perc_75, VLOOKUP(H$2, Percentiles!$A$45:$I$59, 6, FALSE), perc_90, VLOOKUP(H$2, Percentiles!$A$45:$I$59, 7, FALSE), perc_95, VLOOKUP(H$2, Percentiles!$A$45:$I$59, 8, FALSE), perc_85, perc_75 + (perc_90 - perc_75) * (2/3), converted_stat, '2K_Ratings'!H16, IF(bbgm_stat &gt;= perc_95, converted_stat * 3, IF(bbgm_stat &gt;= perc_90, converted_stat * 2, IF(bbgm_stat &gt;= perc_85, converted_stat * 1.5, converted_stat)))))</f>
        <v/>
      </c>
      <c r="I16" s="30" t="str">
        <f t="array" ref="I16">IF($A16="", "", LET(bbgm_stat, INDEX(Players!$A15:$P15, MATCH(I$2, Players!$A$1:$P$1, 0)), perc_75, VLOOKUP(I$2, Percentiles!$A$45:$I$59, 6, FALSE), perc_90, VLOOKUP(I$2, Percentiles!$A$45:$I$59, 7, FALSE), perc_95, VLOOKUP(I$2, Percentiles!$A$45:$I$59, 8, FALSE), perc_85, perc_75 + (perc_90 - perc_75) * (2/3), converted_stat, '2K_Ratings'!I16, IF(bbgm_stat &gt;= perc_95, converted_stat * 3, IF(bbgm_stat &gt;= perc_90, converted_stat * 2, IF(bbgm_stat &gt;= perc_85, converted_stat * 1.5, converted_stat)))))</f>
        <v/>
      </c>
      <c r="J16" s="30" t="str">
        <f t="array" ref="J16">IF($A16="", "", LET(bbgm_stat, INDEX(Players!$A15:$P15, MATCH(J$2, Players!$A$1:$P$1, 0)), perc_75, VLOOKUP(J$2, Percentiles!$A$45:$I$59, 6, FALSE), perc_90, VLOOKUP(J$2, Percentiles!$A$45:$I$59, 7, FALSE), perc_95, VLOOKUP(J$2, Percentiles!$A$45:$I$59, 8, FALSE), perc_85, perc_75 + (perc_90 - perc_75) * (2/3), converted_stat, '2K_Ratings'!J16, IF(bbgm_stat &gt;= perc_95, converted_stat * 3, IF(bbgm_stat &gt;= perc_90, converted_stat * 2, IF(bbgm_stat &gt;= perc_85, converted_stat * 1.5, converted_stat)))))</f>
        <v/>
      </c>
      <c r="K16" s="30" t="str">
        <f t="array" ref="K16">IF($A16="", "", LET(bbgm_stat, INDEX(Players!$A15:$P15, MATCH(K$2, Players!$A$1:$P$1, 0)), perc_75, VLOOKUP(K$2, Percentiles!$A$45:$I$59, 6, FALSE), perc_90, VLOOKUP(K$2, Percentiles!$A$45:$I$59, 7, FALSE), perc_95, VLOOKUP(K$2, Percentiles!$A$45:$I$59, 8, FALSE), perc_85, perc_75 + (perc_90 - perc_75) * (2/3), converted_stat, '2K_Ratings'!K16, IF(bbgm_stat &gt;= perc_95, converted_stat * 3, IF(bbgm_stat &gt;= perc_90, converted_stat * 2, IF(bbgm_stat &gt;= perc_85, converted_stat * 1.5, converted_stat)))))</f>
        <v/>
      </c>
      <c r="L16" s="30" t="str">
        <f t="array" ref="L16">IF($A16="", "", LET(bbgm_stat, INDEX(Players!$A15:$P15, MATCH(L$2, Players!$A$1:$P$1, 0)), perc_75, VLOOKUP(L$2, Percentiles!$A$45:$I$59, 6, FALSE), perc_90, VLOOKUP(L$2, Percentiles!$A$45:$I$59, 7, FALSE), perc_95, VLOOKUP(L$2, Percentiles!$A$45:$I$59, 8, FALSE), perc_85, perc_75 + (perc_90 - perc_75) * (2/3), converted_stat, '2K_Ratings'!L16, IF(bbgm_stat &gt;= perc_95, converted_stat * 3, IF(bbgm_stat &gt;= perc_90, converted_stat * 2, IF(bbgm_stat &gt;= perc_85, converted_stat * 1.5, converted_stat)))))</f>
        <v/>
      </c>
      <c r="M16" s="30" t="str">
        <f t="array" ref="M16">IF($A16="", "", LET(bbgm_stat, INDEX(Players!$A15:$P15, MATCH(M$2, Players!$A$1:$P$1, 0)), perc_75, VLOOKUP(M$2, Percentiles!$A$45:$I$59, 6, FALSE), perc_90, VLOOKUP(M$2, Percentiles!$A$45:$I$59, 7, FALSE), perc_95, VLOOKUP(M$2, Percentiles!$A$45:$I$59, 8, FALSE), perc_85, perc_75 + (perc_90 - perc_75) * (2/3), converted_stat, '2K_Ratings'!M16, IF(bbgm_stat &gt;= perc_95, converted_stat * 3, IF(bbgm_stat &gt;= perc_90, converted_stat * 2, IF(bbgm_stat &gt;= perc_85, converted_stat * 1.5, converted_stat)))))</f>
        <v/>
      </c>
      <c r="N16" s="30" t="str">
        <f t="array" ref="N16">IF($A16="", "", LET(bbgm_stat, INDEX(Players!$A15:$P15, MATCH(N$2, Players!$A$1:$P$1, 0)), perc_75, VLOOKUP(N$2, Percentiles!$A$45:$I$59, 6, FALSE), perc_90, VLOOKUP(N$2, Percentiles!$A$45:$I$59, 7, FALSE), perc_95, VLOOKUP(N$2, Percentiles!$A$45:$I$59, 8, FALSE), perc_85, perc_75 + (perc_90 - perc_75) * (2/3), converted_stat, '2K_Ratings'!N16, IF(bbgm_stat &gt;= perc_95, converted_stat * 3, IF(bbgm_stat &gt;= perc_90, converted_stat * 2, IF(bbgm_stat &gt;= perc_85, converted_stat * 1.5, converted_stat)))))</f>
        <v/>
      </c>
      <c r="O16" s="30" t="str">
        <f t="array" ref="O16">IF($A16="", "", LET(bbgm_stat, INDEX(Players!$A15:$P15, MATCH(O$2, Players!$A$1:$P$1, 0)), perc_75, VLOOKUP(O$2, Percentiles!$A$45:$I$59, 6, FALSE), perc_90, VLOOKUP(O$2, Percentiles!$A$45:$I$59, 7, FALSE), perc_95, VLOOKUP(O$2, Percentiles!$A$45:$I$59, 8, FALSE), perc_85, perc_75 + (perc_90 - perc_75) * (2/3), converted_stat, '2K_Ratings'!O16, IF(bbgm_stat &gt;= perc_95, converted_stat * 3, IF(bbgm_stat &gt;= perc_90, converted_stat * 2, IF(bbgm_stat &gt;= perc_85, converted_stat * 1.5, converted_stat)))))</f>
        <v/>
      </c>
      <c r="P16" s="30" t="str">
        <f t="array" ref="P16">IF($A16="", "", LET(bbgm_stat, INDEX(Players!$A15:$P15, MATCH(P$2, Players!$A$1:$P$1, 0)), perc_75, VLOOKUP(P$2, Percentiles!$A$45:$I$59, 6, FALSE), perc_90, VLOOKUP(P$2, Percentiles!$A$45:$I$59, 7, FALSE), perc_95, VLOOKUP(P$2, Percentiles!$A$45:$I$59, 8, FALSE), perc_85, perc_75 + (perc_90 - perc_75) * (2/3), converted_stat, '2K_Ratings'!P16, IF(bbgm_stat &gt;= perc_95, converted_stat * 3, IF(bbgm_stat &gt;= perc_90, converted_stat * 2, IF(bbgm_stat &gt;= perc_85, converted_stat * 1.5, converted_stat)))))</f>
        <v/>
      </c>
      <c r="Q16" s="30" t="str">
        <f t="array" ref="Q16">IF($A16="", "", LET(bbgm_stat, INDEX(Players!$A15:$P15, MATCH(Q$2, Players!$A$1:$P$1, 0)), perc_75, VLOOKUP(Q$2, Percentiles!$A$45:$I$59, 6, FALSE), perc_90, VLOOKUP(Q$2, Percentiles!$A$45:$I$59, 7, FALSE), perc_95, VLOOKUP(Q$2, Percentiles!$A$45:$I$59, 8, FALSE), perc_85, perc_75 + (perc_90 - perc_75) * (2/3), converted_stat, '2K_Ratings'!Q16, IF(bbgm_stat &gt;= perc_95, converted_stat * 3, IF(bbgm_stat &gt;= perc_90, converted_stat * 2, IF(bbgm_stat &gt;= perc_85, converted_stat * 1.5, converted_stat)))))</f>
        <v/>
      </c>
      <c r="R16" s="30" t="str">
        <f t="array" ref="R16">IF($A16="", "", LET(bbgm_stat, INDEX(Players!$A15:$P15, MATCH(R$2, Players!$A$1:$P$1, 0)), perc_75, VLOOKUP(R$2, Percentiles!$A$45:$I$59, 6, FALSE), perc_90, VLOOKUP(R$2, Percentiles!$A$45:$I$59, 7, FALSE), perc_95, VLOOKUP(R$2, Percentiles!$A$45:$I$59, 8, FALSE), perc_85, perc_75 + (perc_90 - perc_75) * (2/3), converted_stat, '2K_Ratings'!R16, IF(bbgm_stat &gt;= perc_95, converted_stat * 3, IF(bbgm_stat &gt;= perc_90, converted_stat * 2, IF(bbgm_stat &gt;= perc_85, converted_stat * 1.5, converted_stat)))))</f>
        <v/>
      </c>
      <c r="S16" s="30" t="str">
        <f t="array" ref="S16">IF($A16="", "", LET(bbgm_stat, INDEX(Players!$A15:$P15, MATCH(S$2, Players!$A$1:$P$1, 0)), perc_75, VLOOKUP(S$2, Percentiles!$A$45:$I$59, 6, FALSE), perc_90, VLOOKUP(S$2, Percentiles!$A$45:$I$59, 7, FALSE), perc_95, VLOOKUP(S$2, Percentiles!$A$45:$I$59, 8, FALSE), perc_85, perc_75 + (perc_90 - perc_75) * (2/3), converted_stat, '2K_Ratings'!S16, IF(bbgm_stat &gt;= perc_95, converted_stat * 3, IF(bbgm_stat &gt;= perc_90, converted_stat * 2, IF(bbgm_stat &gt;= perc_85, converted_stat * 1.5, converted_stat)))))</f>
        <v/>
      </c>
      <c r="T16" s="30" t="str">
        <f t="array" ref="T16">IF($A16="", "", LET(bbgm_stat, INDEX(Players!$A15:$P15, MATCH(T$2, Players!$A$1:$P$1, 0)), perc_75, VLOOKUP(T$2, Percentiles!$A$45:$I$59, 6, FALSE), perc_90, VLOOKUP(T$2, Percentiles!$A$45:$I$59, 7, FALSE), perc_95, VLOOKUP(T$2, Percentiles!$A$45:$I$59, 8, FALSE), perc_85, perc_75 + (perc_90 - perc_75) * (2/3), converted_stat, '2K_Ratings'!T16, IF(bbgm_stat &gt;= perc_95, converted_stat * 3, IF(bbgm_stat &gt;= perc_90, converted_stat * 2, IF(bbgm_stat &gt;= perc_85, converted_stat * 1.5, converted_stat)))))</f>
        <v/>
      </c>
      <c r="U16" s="30" t="str">
        <f t="array" ref="U16">IF($A16="", "", LET(bbgm_stat, INDEX(Players!$A15:$P15, MATCH(U$2, Players!$A$1:$P$1, 0)), perc_75, VLOOKUP(U$2, Percentiles!$A$45:$I$59, 6, FALSE), perc_90, VLOOKUP(U$2, Percentiles!$A$45:$I$59, 7, FALSE), perc_95, VLOOKUP(U$2, Percentiles!$A$45:$I$59, 8, FALSE), perc_85, perc_75 + (perc_90 - perc_75) * (2/3), converted_stat, '2K_Ratings'!U16, IF(bbgm_stat &gt;= perc_95, converted_stat * 3, IF(bbgm_stat &gt;= perc_90, converted_stat * 2, IF(bbgm_stat &gt;= perc_85, converted_stat * 1.5, converted_stat)))))</f>
        <v/>
      </c>
      <c r="V16" s="30" t="str">
        <f t="array" ref="V16">IF($A16="", "", LET(bbgm_stat, INDEX(Players!$A15:$P15, MATCH(V$2, Players!$A$1:$P$1, 0)), perc_75, VLOOKUP(V$2, Percentiles!$A$45:$I$59, 6, FALSE), perc_90, VLOOKUP(V$2, Percentiles!$A$45:$I$59, 7, FALSE), perc_95, VLOOKUP(V$2, Percentiles!$A$45:$I$59, 8, FALSE), perc_85, perc_75 + (perc_90 - perc_75) * (2/3), converted_stat, '2K_Ratings'!V16, IF(bbgm_stat &gt;= perc_95, converted_stat * 3, IF(bbgm_stat &gt;= perc_90, converted_stat * 2, IF(bbgm_stat &gt;= perc_85, converted_stat * 1.5, converted_stat)))))</f>
        <v/>
      </c>
      <c r="W16" s="30" t="str">
        <f t="array" ref="W16">IF($A16="", "", LET(bbgm_stat, INDEX(Players!$A15:$P15, MATCH(W$2, Players!$A$1:$P$1, 0)), perc_75, VLOOKUP(W$2, Percentiles!$A$45:$I$59, 6, FALSE), perc_90, VLOOKUP(W$2, Percentiles!$A$45:$I$59, 7, FALSE), perc_95, VLOOKUP(W$2, Percentiles!$A$45:$I$59, 8, FALSE), perc_85, perc_75 + (perc_90 - perc_75) * (2/3), converted_stat, '2K_Ratings'!W16, IF(bbgm_stat &gt;= perc_95, converted_stat * 3, IF(bbgm_stat &gt;= perc_90, converted_stat * 2, IF(bbgm_stat &gt;= perc_85, converted_stat * 1.5, converted_stat)))))</f>
        <v/>
      </c>
    </row>
    <row r="17">
      <c r="A17" s="30" t="str">
        <f>IF(Players!A16="", "", Players!A16)</f>
        <v/>
      </c>
      <c r="B17" s="30" t="str">
        <f t="array" ref="B17">IF($A17="", "", LET(bbgm_stat, INDEX(Players!$A16:$P16, MATCH(B$2, Players!$A$1:$P$1, 0)), perc_75, VLOOKUP(B$2, Percentiles!$A$45:$I$59, 6, FALSE), perc_90, VLOOKUP(B$2, Percentiles!$A$45:$I$59, 7, FALSE), perc_95, VLOOKUP(B$2, Percentiles!$A$45:$I$59, 8, FALSE), perc_85, perc_75 + (perc_90 - perc_75) * (2/3), converted_stat, '2K_Ratings'!B17, IF(bbgm_stat &gt;= perc_95, converted_stat * 3, IF(bbgm_stat &gt;= perc_90, converted_stat * 2, IF(bbgm_stat &gt;= perc_85, converted_stat * 1.5, converted_stat)))))</f>
        <v/>
      </c>
      <c r="C17" s="30" t="str">
        <f t="array" ref="C17">IF($A17="", "", LET(bbgm_stat, INDEX(Players!$A16:$P16, MATCH(C$2, Players!$A$1:$P$1, 0)), perc_75, VLOOKUP(C$2, Percentiles!$A$45:$I$59, 6, FALSE), perc_90, VLOOKUP(C$2, Percentiles!$A$45:$I$59, 7, FALSE), perc_95, VLOOKUP(C$2, Percentiles!$A$45:$I$59, 8, FALSE), perc_85, perc_75 + (perc_90 - perc_75) * (2/3), converted_stat, '2K_Ratings'!C17, IF(bbgm_stat &gt;= perc_95, converted_stat * 3, IF(bbgm_stat &gt;= perc_90, converted_stat * 2, IF(bbgm_stat &gt;= perc_85, converted_stat * 1.5, converted_stat)))))</f>
        <v/>
      </c>
      <c r="D17" s="30" t="str">
        <f t="array" ref="D17">IF($A17="", "", LET(bbgm_stat, INDEX(Players!$A16:$P16, MATCH(D$2, Players!$A$1:$P$1, 0)), perc_75, VLOOKUP(D$2, Percentiles!$A$45:$I$59, 6, FALSE), perc_90, VLOOKUP(D$2, Percentiles!$A$45:$I$59, 7, FALSE), perc_95, VLOOKUP(D$2, Percentiles!$A$45:$I$59, 8, FALSE), perc_85, perc_75 + (perc_90 - perc_75) * (2/3), converted_stat, '2K_Ratings'!D17, IF(bbgm_stat &gt;= perc_95, converted_stat * 3, IF(bbgm_stat &gt;= perc_90, converted_stat * 2, IF(bbgm_stat &gt;= perc_85, converted_stat * 1.5, converted_stat)))))</f>
        <v/>
      </c>
      <c r="E17" s="30" t="str">
        <f t="array" ref="E17">IF($A17="", "", LET(bbgm_stat, INDEX(Players!$A16:$P16, MATCH(E$2, Players!$A$1:$P$1, 0)), perc_75, VLOOKUP(E$2, Percentiles!$A$45:$I$59, 6, FALSE), perc_90, VLOOKUP(E$2, Percentiles!$A$45:$I$59, 7, FALSE), perc_95, VLOOKUP(E$2, Percentiles!$A$45:$I$59, 8, FALSE), perc_85, perc_75 + (perc_90 - perc_75) * (2/3), converted_stat, '2K_Ratings'!E17, IF(bbgm_stat &gt;= perc_95, converted_stat * 3, IF(bbgm_stat &gt;= perc_90, converted_stat * 2, IF(bbgm_stat &gt;= perc_85, converted_stat * 1.5, converted_stat)))))</f>
        <v/>
      </c>
      <c r="F17" s="30" t="str">
        <f t="array" ref="F17">IF($A17="", "", LET(bbgm_stat, INDEX(Players!$A16:$P16, MATCH(F$2, Players!$A$1:$P$1, 0)), perc_75, VLOOKUP(F$2, Percentiles!$A$45:$I$59, 6, FALSE), perc_90, VLOOKUP(F$2, Percentiles!$A$45:$I$59, 7, FALSE), perc_95, VLOOKUP(F$2, Percentiles!$A$45:$I$59, 8, FALSE), perc_85, perc_75 + (perc_90 - perc_75) * (2/3), converted_stat, '2K_Ratings'!F17, IF(bbgm_stat &gt;= perc_95, converted_stat * 3, IF(bbgm_stat &gt;= perc_90, converted_stat * 2, IF(bbgm_stat &gt;= perc_85, converted_stat * 1.5, converted_stat)))))</f>
        <v/>
      </c>
      <c r="G17" s="30" t="str">
        <f t="array" ref="G17">IF($A17="", "", LET(bbgm_stat, INDEX(Players!$A16:$P16, MATCH(G$2, Players!$A$1:$P$1, 0)), perc_75, VLOOKUP(G$2, Percentiles!$A$45:$I$59, 6, FALSE), perc_90, VLOOKUP(G$2, Percentiles!$A$45:$I$59, 7, FALSE), perc_95, VLOOKUP(G$2, Percentiles!$A$45:$I$59, 8, FALSE), perc_85, perc_75 + (perc_90 - perc_75) * (2/3), converted_stat, '2K_Ratings'!G17, IF(bbgm_stat &gt;= perc_95, converted_stat * 3, IF(bbgm_stat &gt;= perc_90, converted_stat * 2, IF(bbgm_stat &gt;= perc_85, converted_stat * 1.5, converted_stat)))))</f>
        <v/>
      </c>
      <c r="H17" s="30" t="str">
        <f t="array" ref="H17">IF($A17="", "", LET(bbgm_stat, INDEX(Players!$A16:$P16, MATCH(H$2, Players!$A$1:$P$1, 0)), perc_75, VLOOKUP(H$2, Percentiles!$A$45:$I$59, 6, FALSE), perc_90, VLOOKUP(H$2, Percentiles!$A$45:$I$59, 7, FALSE), perc_95, VLOOKUP(H$2, Percentiles!$A$45:$I$59, 8, FALSE), perc_85, perc_75 + (perc_90 - perc_75) * (2/3), converted_stat, '2K_Ratings'!H17, IF(bbgm_stat &gt;= perc_95, converted_stat * 3, IF(bbgm_stat &gt;= perc_90, converted_stat * 2, IF(bbgm_stat &gt;= perc_85, converted_stat * 1.5, converted_stat)))))</f>
        <v/>
      </c>
      <c r="I17" s="30" t="str">
        <f t="array" ref="I17">IF($A17="", "", LET(bbgm_stat, INDEX(Players!$A16:$P16, MATCH(I$2, Players!$A$1:$P$1, 0)), perc_75, VLOOKUP(I$2, Percentiles!$A$45:$I$59, 6, FALSE), perc_90, VLOOKUP(I$2, Percentiles!$A$45:$I$59, 7, FALSE), perc_95, VLOOKUP(I$2, Percentiles!$A$45:$I$59, 8, FALSE), perc_85, perc_75 + (perc_90 - perc_75) * (2/3), converted_stat, '2K_Ratings'!I17, IF(bbgm_stat &gt;= perc_95, converted_stat * 3, IF(bbgm_stat &gt;= perc_90, converted_stat * 2, IF(bbgm_stat &gt;= perc_85, converted_stat * 1.5, converted_stat)))))</f>
        <v/>
      </c>
      <c r="J17" s="30" t="str">
        <f t="array" ref="J17">IF($A17="", "", LET(bbgm_stat, INDEX(Players!$A16:$P16, MATCH(J$2, Players!$A$1:$P$1, 0)), perc_75, VLOOKUP(J$2, Percentiles!$A$45:$I$59, 6, FALSE), perc_90, VLOOKUP(J$2, Percentiles!$A$45:$I$59, 7, FALSE), perc_95, VLOOKUP(J$2, Percentiles!$A$45:$I$59, 8, FALSE), perc_85, perc_75 + (perc_90 - perc_75) * (2/3), converted_stat, '2K_Ratings'!J17, IF(bbgm_stat &gt;= perc_95, converted_stat * 3, IF(bbgm_stat &gt;= perc_90, converted_stat * 2, IF(bbgm_stat &gt;= perc_85, converted_stat * 1.5, converted_stat)))))</f>
        <v/>
      </c>
      <c r="K17" s="30" t="str">
        <f t="array" ref="K17">IF($A17="", "", LET(bbgm_stat, INDEX(Players!$A16:$P16, MATCH(K$2, Players!$A$1:$P$1, 0)), perc_75, VLOOKUP(K$2, Percentiles!$A$45:$I$59, 6, FALSE), perc_90, VLOOKUP(K$2, Percentiles!$A$45:$I$59, 7, FALSE), perc_95, VLOOKUP(K$2, Percentiles!$A$45:$I$59, 8, FALSE), perc_85, perc_75 + (perc_90 - perc_75) * (2/3), converted_stat, '2K_Ratings'!K17, IF(bbgm_stat &gt;= perc_95, converted_stat * 3, IF(bbgm_stat &gt;= perc_90, converted_stat * 2, IF(bbgm_stat &gt;= perc_85, converted_stat * 1.5, converted_stat)))))</f>
        <v/>
      </c>
      <c r="L17" s="30" t="str">
        <f t="array" ref="L17">IF($A17="", "", LET(bbgm_stat, INDEX(Players!$A16:$P16, MATCH(L$2, Players!$A$1:$P$1, 0)), perc_75, VLOOKUP(L$2, Percentiles!$A$45:$I$59, 6, FALSE), perc_90, VLOOKUP(L$2, Percentiles!$A$45:$I$59, 7, FALSE), perc_95, VLOOKUP(L$2, Percentiles!$A$45:$I$59, 8, FALSE), perc_85, perc_75 + (perc_90 - perc_75) * (2/3), converted_stat, '2K_Ratings'!L17, IF(bbgm_stat &gt;= perc_95, converted_stat * 3, IF(bbgm_stat &gt;= perc_90, converted_stat * 2, IF(bbgm_stat &gt;= perc_85, converted_stat * 1.5, converted_stat)))))</f>
        <v/>
      </c>
      <c r="M17" s="30" t="str">
        <f t="array" ref="M17">IF($A17="", "", LET(bbgm_stat, INDEX(Players!$A16:$P16, MATCH(M$2, Players!$A$1:$P$1, 0)), perc_75, VLOOKUP(M$2, Percentiles!$A$45:$I$59, 6, FALSE), perc_90, VLOOKUP(M$2, Percentiles!$A$45:$I$59, 7, FALSE), perc_95, VLOOKUP(M$2, Percentiles!$A$45:$I$59, 8, FALSE), perc_85, perc_75 + (perc_90 - perc_75) * (2/3), converted_stat, '2K_Ratings'!M17, IF(bbgm_stat &gt;= perc_95, converted_stat * 3, IF(bbgm_stat &gt;= perc_90, converted_stat * 2, IF(bbgm_stat &gt;= perc_85, converted_stat * 1.5, converted_stat)))))</f>
        <v/>
      </c>
      <c r="N17" s="30" t="str">
        <f t="array" ref="N17">IF($A17="", "", LET(bbgm_stat, INDEX(Players!$A16:$P16, MATCH(N$2, Players!$A$1:$P$1, 0)), perc_75, VLOOKUP(N$2, Percentiles!$A$45:$I$59, 6, FALSE), perc_90, VLOOKUP(N$2, Percentiles!$A$45:$I$59, 7, FALSE), perc_95, VLOOKUP(N$2, Percentiles!$A$45:$I$59, 8, FALSE), perc_85, perc_75 + (perc_90 - perc_75) * (2/3), converted_stat, '2K_Ratings'!N17, IF(bbgm_stat &gt;= perc_95, converted_stat * 3, IF(bbgm_stat &gt;= perc_90, converted_stat * 2, IF(bbgm_stat &gt;= perc_85, converted_stat * 1.5, converted_stat)))))</f>
        <v/>
      </c>
      <c r="O17" s="30" t="str">
        <f t="array" ref="O17">IF($A17="", "", LET(bbgm_stat, INDEX(Players!$A16:$P16, MATCH(O$2, Players!$A$1:$P$1, 0)), perc_75, VLOOKUP(O$2, Percentiles!$A$45:$I$59, 6, FALSE), perc_90, VLOOKUP(O$2, Percentiles!$A$45:$I$59, 7, FALSE), perc_95, VLOOKUP(O$2, Percentiles!$A$45:$I$59, 8, FALSE), perc_85, perc_75 + (perc_90 - perc_75) * (2/3), converted_stat, '2K_Ratings'!O17, IF(bbgm_stat &gt;= perc_95, converted_stat * 3, IF(bbgm_stat &gt;= perc_90, converted_stat * 2, IF(bbgm_stat &gt;= perc_85, converted_stat * 1.5, converted_stat)))))</f>
        <v/>
      </c>
      <c r="P17" s="30" t="str">
        <f t="array" ref="P17">IF($A17="", "", LET(bbgm_stat, INDEX(Players!$A16:$P16, MATCH(P$2, Players!$A$1:$P$1, 0)), perc_75, VLOOKUP(P$2, Percentiles!$A$45:$I$59, 6, FALSE), perc_90, VLOOKUP(P$2, Percentiles!$A$45:$I$59, 7, FALSE), perc_95, VLOOKUP(P$2, Percentiles!$A$45:$I$59, 8, FALSE), perc_85, perc_75 + (perc_90 - perc_75) * (2/3), converted_stat, '2K_Ratings'!P17, IF(bbgm_stat &gt;= perc_95, converted_stat * 3, IF(bbgm_stat &gt;= perc_90, converted_stat * 2, IF(bbgm_stat &gt;= perc_85, converted_stat * 1.5, converted_stat)))))</f>
        <v/>
      </c>
      <c r="Q17" s="30" t="str">
        <f t="array" ref="Q17">IF($A17="", "", LET(bbgm_stat, INDEX(Players!$A16:$P16, MATCH(Q$2, Players!$A$1:$P$1, 0)), perc_75, VLOOKUP(Q$2, Percentiles!$A$45:$I$59, 6, FALSE), perc_90, VLOOKUP(Q$2, Percentiles!$A$45:$I$59, 7, FALSE), perc_95, VLOOKUP(Q$2, Percentiles!$A$45:$I$59, 8, FALSE), perc_85, perc_75 + (perc_90 - perc_75) * (2/3), converted_stat, '2K_Ratings'!Q17, IF(bbgm_stat &gt;= perc_95, converted_stat * 3, IF(bbgm_stat &gt;= perc_90, converted_stat * 2, IF(bbgm_stat &gt;= perc_85, converted_stat * 1.5, converted_stat)))))</f>
        <v/>
      </c>
      <c r="R17" s="30" t="str">
        <f t="array" ref="R17">IF($A17="", "", LET(bbgm_stat, INDEX(Players!$A16:$P16, MATCH(R$2, Players!$A$1:$P$1, 0)), perc_75, VLOOKUP(R$2, Percentiles!$A$45:$I$59, 6, FALSE), perc_90, VLOOKUP(R$2, Percentiles!$A$45:$I$59, 7, FALSE), perc_95, VLOOKUP(R$2, Percentiles!$A$45:$I$59, 8, FALSE), perc_85, perc_75 + (perc_90 - perc_75) * (2/3), converted_stat, '2K_Ratings'!R17, IF(bbgm_stat &gt;= perc_95, converted_stat * 3, IF(bbgm_stat &gt;= perc_90, converted_stat * 2, IF(bbgm_stat &gt;= perc_85, converted_stat * 1.5, converted_stat)))))</f>
        <v/>
      </c>
      <c r="S17" s="30" t="str">
        <f t="array" ref="S17">IF($A17="", "", LET(bbgm_stat, INDEX(Players!$A16:$P16, MATCH(S$2, Players!$A$1:$P$1, 0)), perc_75, VLOOKUP(S$2, Percentiles!$A$45:$I$59, 6, FALSE), perc_90, VLOOKUP(S$2, Percentiles!$A$45:$I$59, 7, FALSE), perc_95, VLOOKUP(S$2, Percentiles!$A$45:$I$59, 8, FALSE), perc_85, perc_75 + (perc_90 - perc_75) * (2/3), converted_stat, '2K_Ratings'!S17, IF(bbgm_stat &gt;= perc_95, converted_stat * 3, IF(bbgm_stat &gt;= perc_90, converted_stat * 2, IF(bbgm_stat &gt;= perc_85, converted_stat * 1.5, converted_stat)))))</f>
        <v/>
      </c>
      <c r="T17" s="30" t="str">
        <f t="array" ref="T17">IF($A17="", "", LET(bbgm_stat, INDEX(Players!$A16:$P16, MATCH(T$2, Players!$A$1:$P$1, 0)), perc_75, VLOOKUP(T$2, Percentiles!$A$45:$I$59, 6, FALSE), perc_90, VLOOKUP(T$2, Percentiles!$A$45:$I$59, 7, FALSE), perc_95, VLOOKUP(T$2, Percentiles!$A$45:$I$59, 8, FALSE), perc_85, perc_75 + (perc_90 - perc_75) * (2/3), converted_stat, '2K_Ratings'!T17, IF(bbgm_stat &gt;= perc_95, converted_stat * 3, IF(bbgm_stat &gt;= perc_90, converted_stat * 2, IF(bbgm_stat &gt;= perc_85, converted_stat * 1.5, converted_stat)))))</f>
        <v/>
      </c>
      <c r="U17" s="30" t="str">
        <f t="array" ref="U17">IF($A17="", "", LET(bbgm_stat, INDEX(Players!$A16:$P16, MATCH(U$2, Players!$A$1:$P$1, 0)), perc_75, VLOOKUP(U$2, Percentiles!$A$45:$I$59, 6, FALSE), perc_90, VLOOKUP(U$2, Percentiles!$A$45:$I$59, 7, FALSE), perc_95, VLOOKUP(U$2, Percentiles!$A$45:$I$59, 8, FALSE), perc_85, perc_75 + (perc_90 - perc_75) * (2/3), converted_stat, '2K_Ratings'!U17, IF(bbgm_stat &gt;= perc_95, converted_stat * 3, IF(bbgm_stat &gt;= perc_90, converted_stat * 2, IF(bbgm_stat &gt;= perc_85, converted_stat * 1.5, converted_stat)))))</f>
        <v/>
      </c>
      <c r="V17" s="30" t="str">
        <f t="array" ref="V17">IF($A17="", "", LET(bbgm_stat, INDEX(Players!$A16:$P16, MATCH(V$2, Players!$A$1:$P$1, 0)), perc_75, VLOOKUP(V$2, Percentiles!$A$45:$I$59, 6, FALSE), perc_90, VLOOKUP(V$2, Percentiles!$A$45:$I$59, 7, FALSE), perc_95, VLOOKUP(V$2, Percentiles!$A$45:$I$59, 8, FALSE), perc_85, perc_75 + (perc_90 - perc_75) * (2/3), converted_stat, '2K_Ratings'!V17, IF(bbgm_stat &gt;= perc_95, converted_stat * 3, IF(bbgm_stat &gt;= perc_90, converted_stat * 2, IF(bbgm_stat &gt;= perc_85, converted_stat * 1.5, converted_stat)))))</f>
        <v/>
      </c>
      <c r="W17" s="30" t="str">
        <f t="array" ref="W17">IF($A17="", "", LET(bbgm_stat, INDEX(Players!$A16:$P16, MATCH(W$2, Players!$A$1:$P$1, 0)), perc_75, VLOOKUP(W$2, Percentiles!$A$45:$I$59, 6, FALSE), perc_90, VLOOKUP(W$2, Percentiles!$A$45:$I$59, 7, FALSE), perc_95, VLOOKUP(W$2, Percentiles!$A$45:$I$59, 8, FALSE), perc_85, perc_75 + (perc_90 - perc_75) * (2/3), converted_stat, '2K_Ratings'!W17, IF(bbgm_stat &gt;= perc_95, converted_stat * 3, IF(bbgm_stat &gt;= perc_90, converted_stat * 2, IF(bbgm_stat &gt;= perc_85, converted_stat * 1.5, converted_stat)))))</f>
        <v/>
      </c>
    </row>
    <row r="18">
      <c r="A18" s="30" t="str">
        <f>IF(Players!A17="", "", Players!A17)</f>
        <v/>
      </c>
      <c r="B18" s="30" t="str">
        <f t="array" ref="B18">IF($A18="", "", LET(bbgm_stat, INDEX(Players!$A17:$P17, MATCH(B$2, Players!$A$1:$P$1, 0)), perc_75, VLOOKUP(B$2, Percentiles!$A$45:$I$59, 6, FALSE), perc_90, VLOOKUP(B$2, Percentiles!$A$45:$I$59, 7, FALSE), perc_95, VLOOKUP(B$2, Percentiles!$A$45:$I$59, 8, FALSE), perc_85, perc_75 + (perc_90 - perc_75) * (2/3), converted_stat, '2K_Ratings'!B18, IF(bbgm_stat &gt;= perc_95, converted_stat * 3, IF(bbgm_stat &gt;= perc_90, converted_stat * 2, IF(bbgm_stat &gt;= perc_85, converted_stat * 1.5, converted_stat)))))</f>
        <v/>
      </c>
      <c r="C18" s="30" t="str">
        <f t="array" ref="C18">IF($A18="", "", LET(bbgm_stat, INDEX(Players!$A17:$P17, MATCH(C$2, Players!$A$1:$P$1, 0)), perc_75, VLOOKUP(C$2, Percentiles!$A$45:$I$59, 6, FALSE), perc_90, VLOOKUP(C$2, Percentiles!$A$45:$I$59, 7, FALSE), perc_95, VLOOKUP(C$2, Percentiles!$A$45:$I$59, 8, FALSE), perc_85, perc_75 + (perc_90 - perc_75) * (2/3), converted_stat, '2K_Ratings'!C18, IF(bbgm_stat &gt;= perc_95, converted_stat * 3, IF(bbgm_stat &gt;= perc_90, converted_stat * 2, IF(bbgm_stat &gt;= perc_85, converted_stat * 1.5, converted_stat)))))</f>
        <v/>
      </c>
      <c r="D18" s="30" t="str">
        <f t="array" ref="D18">IF($A18="", "", LET(bbgm_stat, INDEX(Players!$A17:$P17, MATCH(D$2, Players!$A$1:$P$1, 0)), perc_75, VLOOKUP(D$2, Percentiles!$A$45:$I$59, 6, FALSE), perc_90, VLOOKUP(D$2, Percentiles!$A$45:$I$59, 7, FALSE), perc_95, VLOOKUP(D$2, Percentiles!$A$45:$I$59, 8, FALSE), perc_85, perc_75 + (perc_90 - perc_75) * (2/3), converted_stat, '2K_Ratings'!D18, IF(bbgm_stat &gt;= perc_95, converted_stat * 3, IF(bbgm_stat &gt;= perc_90, converted_stat * 2, IF(bbgm_stat &gt;= perc_85, converted_stat * 1.5, converted_stat)))))</f>
        <v/>
      </c>
      <c r="E18" s="30" t="str">
        <f t="array" ref="E18">IF($A18="", "", LET(bbgm_stat, INDEX(Players!$A17:$P17, MATCH(E$2, Players!$A$1:$P$1, 0)), perc_75, VLOOKUP(E$2, Percentiles!$A$45:$I$59, 6, FALSE), perc_90, VLOOKUP(E$2, Percentiles!$A$45:$I$59, 7, FALSE), perc_95, VLOOKUP(E$2, Percentiles!$A$45:$I$59, 8, FALSE), perc_85, perc_75 + (perc_90 - perc_75) * (2/3), converted_stat, '2K_Ratings'!E18, IF(bbgm_stat &gt;= perc_95, converted_stat * 3, IF(bbgm_stat &gt;= perc_90, converted_stat * 2, IF(bbgm_stat &gt;= perc_85, converted_stat * 1.5, converted_stat)))))</f>
        <v/>
      </c>
      <c r="F18" s="30" t="str">
        <f t="array" ref="F18">IF($A18="", "", LET(bbgm_stat, INDEX(Players!$A17:$P17, MATCH(F$2, Players!$A$1:$P$1, 0)), perc_75, VLOOKUP(F$2, Percentiles!$A$45:$I$59, 6, FALSE), perc_90, VLOOKUP(F$2, Percentiles!$A$45:$I$59, 7, FALSE), perc_95, VLOOKUP(F$2, Percentiles!$A$45:$I$59, 8, FALSE), perc_85, perc_75 + (perc_90 - perc_75) * (2/3), converted_stat, '2K_Ratings'!F18, IF(bbgm_stat &gt;= perc_95, converted_stat * 3, IF(bbgm_stat &gt;= perc_90, converted_stat * 2, IF(bbgm_stat &gt;= perc_85, converted_stat * 1.5, converted_stat)))))</f>
        <v/>
      </c>
      <c r="G18" s="30" t="str">
        <f t="array" ref="G18">IF($A18="", "", LET(bbgm_stat, INDEX(Players!$A17:$P17, MATCH(G$2, Players!$A$1:$P$1, 0)), perc_75, VLOOKUP(G$2, Percentiles!$A$45:$I$59, 6, FALSE), perc_90, VLOOKUP(G$2, Percentiles!$A$45:$I$59, 7, FALSE), perc_95, VLOOKUP(G$2, Percentiles!$A$45:$I$59, 8, FALSE), perc_85, perc_75 + (perc_90 - perc_75) * (2/3), converted_stat, '2K_Ratings'!G18, IF(bbgm_stat &gt;= perc_95, converted_stat * 3, IF(bbgm_stat &gt;= perc_90, converted_stat * 2, IF(bbgm_stat &gt;= perc_85, converted_stat * 1.5, converted_stat)))))</f>
        <v/>
      </c>
      <c r="H18" s="30" t="str">
        <f t="array" ref="H18">IF($A18="", "", LET(bbgm_stat, INDEX(Players!$A17:$P17, MATCH(H$2, Players!$A$1:$P$1, 0)), perc_75, VLOOKUP(H$2, Percentiles!$A$45:$I$59, 6, FALSE), perc_90, VLOOKUP(H$2, Percentiles!$A$45:$I$59, 7, FALSE), perc_95, VLOOKUP(H$2, Percentiles!$A$45:$I$59, 8, FALSE), perc_85, perc_75 + (perc_90 - perc_75) * (2/3), converted_stat, '2K_Ratings'!H18, IF(bbgm_stat &gt;= perc_95, converted_stat * 3, IF(bbgm_stat &gt;= perc_90, converted_stat * 2, IF(bbgm_stat &gt;= perc_85, converted_stat * 1.5, converted_stat)))))</f>
        <v/>
      </c>
      <c r="I18" s="30" t="str">
        <f t="array" ref="I18">IF($A18="", "", LET(bbgm_stat, INDEX(Players!$A17:$P17, MATCH(I$2, Players!$A$1:$P$1, 0)), perc_75, VLOOKUP(I$2, Percentiles!$A$45:$I$59, 6, FALSE), perc_90, VLOOKUP(I$2, Percentiles!$A$45:$I$59, 7, FALSE), perc_95, VLOOKUP(I$2, Percentiles!$A$45:$I$59, 8, FALSE), perc_85, perc_75 + (perc_90 - perc_75) * (2/3), converted_stat, '2K_Ratings'!I18, IF(bbgm_stat &gt;= perc_95, converted_stat * 3, IF(bbgm_stat &gt;= perc_90, converted_stat * 2, IF(bbgm_stat &gt;= perc_85, converted_stat * 1.5, converted_stat)))))</f>
        <v/>
      </c>
      <c r="J18" s="30" t="str">
        <f t="array" ref="J18">IF($A18="", "", LET(bbgm_stat, INDEX(Players!$A17:$P17, MATCH(J$2, Players!$A$1:$P$1, 0)), perc_75, VLOOKUP(J$2, Percentiles!$A$45:$I$59, 6, FALSE), perc_90, VLOOKUP(J$2, Percentiles!$A$45:$I$59, 7, FALSE), perc_95, VLOOKUP(J$2, Percentiles!$A$45:$I$59, 8, FALSE), perc_85, perc_75 + (perc_90 - perc_75) * (2/3), converted_stat, '2K_Ratings'!J18, IF(bbgm_stat &gt;= perc_95, converted_stat * 3, IF(bbgm_stat &gt;= perc_90, converted_stat * 2, IF(bbgm_stat &gt;= perc_85, converted_stat * 1.5, converted_stat)))))</f>
        <v/>
      </c>
      <c r="K18" s="30" t="str">
        <f t="array" ref="K18">IF($A18="", "", LET(bbgm_stat, INDEX(Players!$A17:$P17, MATCH(K$2, Players!$A$1:$P$1, 0)), perc_75, VLOOKUP(K$2, Percentiles!$A$45:$I$59, 6, FALSE), perc_90, VLOOKUP(K$2, Percentiles!$A$45:$I$59, 7, FALSE), perc_95, VLOOKUP(K$2, Percentiles!$A$45:$I$59, 8, FALSE), perc_85, perc_75 + (perc_90 - perc_75) * (2/3), converted_stat, '2K_Ratings'!K18, IF(bbgm_stat &gt;= perc_95, converted_stat * 3, IF(bbgm_stat &gt;= perc_90, converted_stat * 2, IF(bbgm_stat &gt;= perc_85, converted_stat * 1.5, converted_stat)))))</f>
        <v/>
      </c>
      <c r="L18" s="30" t="str">
        <f t="array" ref="L18">IF($A18="", "", LET(bbgm_stat, INDEX(Players!$A17:$P17, MATCH(L$2, Players!$A$1:$P$1, 0)), perc_75, VLOOKUP(L$2, Percentiles!$A$45:$I$59, 6, FALSE), perc_90, VLOOKUP(L$2, Percentiles!$A$45:$I$59, 7, FALSE), perc_95, VLOOKUP(L$2, Percentiles!$A$45:$I$59, 8, FALSE), perc_85, perc_75 + (perc_90 - perc_75) * (2/3), converted_stat, '2K_Ratings'!L18, IF(bbgm_stat &gt;= perc_95, converted_stat * 3, IF(bbgm_stat &gt;= perc_90, converted_stat * 2, IF(bbgm_stat &gt;= perc_85, converted_stat * 1.5, converted_stat)))))</f>
        <v/>
      </c>
      <c r="M18" s="30" t="str">
        <f t="array" ref="M18">IF($A18="", "", LET(bbgm_stat, INDEX(Players!$A17:$P17, MATCH(M$2, Players!$A$1:$P$1, 0)), perc_75, VLOOKUP(M$2, Percentiles!$A$45:$I$59, 6, FALSE), perc_90, VLOOKUP(M$2, Percentiles!$A$45:$I$59, 7, FALSE), perc_95, VLOOKUP(M$2, Percentiles!$A$45:$I$59, 8, FALSE), perc_85, perc_75 + (perc_90 - perc_75) * (2/3), converted_stat, '2K_Ratings'!M18, IF(bbgm_stat &gt;= perc_95, converted_stat * 3, IF(bbgm_stat &gt;= perc_90, converted_stat * 2, IF(bbgm_stat &gt;= perc_85, converted_stat * 1.5, converted_stat)))))</f>
        <v/>
      </c>
      <c r="N18" s="30" t="str">
        <f t="array" ref="N18">IF($A18="", "", LET(bbgm_stat, INDEX(Players!$A17:$P17, MATCH(N$2, Players!$A$1:$P$1, 0)), perc_75, VLOOKUP(N$2, Percentiles!$A$45:$I$59, 6, FALSE), perc_90, VLOOKUP(N$2, Percentiles!$A$45:$I$59, 7, FALSE), perc_95, VLOOKUP(N$2, Percentiles!$A$45:$I$59, 8, FALSE), perc_85, perc_75 + (perc_90 - perc_75) * (2/3), converted_stat, '2K_Ratings'!N18, IF(bbgm_stat &gt;= perc_95, converted_stat * 3, IF(bbgm_stat &gt;= perc_90, converted_stat * 2, IF(bbgm_stat &gt;= perc_85, converted_stat * 1.5, converted_stat)))))</f>
        <v/>
      </c>
      <c r="O18" s="30" t="str">
        <f t="array" ref="O18">IF($A18="", "", LET(bbgm_stat, INDEX(Players!$A17:$P17, MATCH(O$2, Players!$A$1:$P$1, 0)), perc_75, VLOOKUP(O$2, Percentiles!$A$45:$I$59, 6, FALSE), perc_90, VLOOKUP(O$2, Percentiles!$A$45:$I$59, 7, FALSE), perc_95, VLOOKUP(O$2, Percentiles!$A$45:$I$59, 8, FALSE), perc_85, perc_75 + (perc_90 - perc_75) * (2/3), converted_stat, '2K_Ratings'!O18, IF(bbgm_stat &gt;= perc_95, converted_stat * 3, IF(bbgm_stat &gt;= perc_90, converted_stat * 2, IF(bbgm_stat &gt;= perc_85, converted_stat * 1.5, converted_stat)))))</f>
        <v/>
      </c>
      <c r="P18" s="30" t="str">
        <f t="array" ref="P18">IF($A18="", "", LET(bbgm_stat, INDEX(Players!$A17:$P17, MATCH(P$2, Players!$A$1:$P$1, 0)), perc_75, VLOOKUP(P$2, Percentiles!$A$45:$I$59, 6, FALSE), perc_90, VLOOKUP(P$2, Percentiles!$A$45:$I$59, 7, FALSE), perc_95, VLOOKUP(P$2, Percentiles!$A$45:$I$59, 8, FALSE), perc_85, perc_75 + (perc_90 - perc_75) * (2/3), converted_stat, '2K_Ratings'!P18, IF(bbgm_stat &gt;= perc_95, converted_stat * 3, IF(bbgm_stat &gt;= perc_90, converted_stat * 2, IF(bbgm_stat &gt;= perc_85, converted_stat * 1.5, converted_stat)))))</f>
        <v/>
      </c>
      <c r="Q18" s="30" t="str">
        <f t="array" ref="Q18">IF($A18="", "", LET(bbgm_stat, INDEX(Players!$A17:$P17, MATCH(Q$2, Players!$A$1:$P$1, 0)), perc_75, VLOOKUP(Q$2, Percentiles!$A$45:$I$59, 6, FALSE), perc_90, VLOOKUP(Q$2, Percentiles!$A$45:$I$59, 7, FALSE), perc_95, VLOOKUP(Q$2, Percentiles!$A$45:$I$59, 8, FALSE), perc_85, perc_75 + (perc_90 - perc_75) * (2/3), converted_stat, '2K_Ratings'!Q18, IF(bbgm_stat &gt;= perc_95, converted_stat * 3, IF(bbgm_stat &gt;= perc_90, converted_stat * 2, IF(bbgm_stat &gt;= perc_85, converted_stat * 1.5, converted_stat)))))</f>
        <v/>
      </c>
      <c r="R18" s="30" t="str">
        <f t="array" ref="R18">IF($A18="", "", LET(bbgm_stat, INDEX(Players!$A17:$P17, MATCH(R$2, Players!$A$1:$P$1, 0)), perc_75, VLOOKUP(R$2, Percentiles!$A$45:$I$59, 6, FALSE), perc_90, VLOOKUP(R$2, Percentiles!$A$45:$I$59, 7, FALSE), perc_95, VLOOKUP(R$2, Percentiles!$A$45:$I$59, 8, FALSE), perc_85, perc_75 + (perc_90 - perc_75) * (2/3), converted_stat, '2K_Ratings'!R18, IF(bbgm_stat &gt;= perc_95, converted_stat * 3, IF(bbgm_stat &gt;= perc_90, converted_stat * 2, IF(bbgm_stat &gt;= perc_85, converted_stat * 1.5, converted_stat)))))</f>
        <v/>
      </c>
      <c r="S18" s="30" t="str">
        <f t="array" ref="S18">IF($A18="", "", LET(bbgm_stat, INDEX(Players!$A17:$P17, MATCH(S$2, Players!$A$1:$P$1, 0)), perc_75, VLOOKUP(S$2, Percentiles!$A$45:$I$59, 6, FALSE), perc_90, VLOOKUP(S$2, Percentiles!$A$45:$I$59, 7, FALSE), perc_95, VLOOKUP(S$2, Percentiles!$A$45:$I$59, 8, FALSE), perc_85, perc_75 + (perc_90 - perc_75) * (2/3), converted_stat, '2K_Ratings'!S18, IF(bbgm_stat &gt;= perc_95, converted_stat * 3, IF(bbgm_stat &gt;= perc_90, converted_stat * 2, IF(bbgm_stat &gt;= perc_85, converted_stat * 1.5, converted_stat)))))</f>
        <v/>
      </c>
      <c r="T18" s="30" t="str">
        <f t="array" ref="T18">IF($A18="", "", LET(bbgm_stat, INDEX(Players!$A17:$P17, MATCH(T$2, Players!$A$1:$P$1, 0)), perc_75, VLOOKUP(T$2, Percentiles!$A$45:$I$59, 6, FALSE), perc_90, VLOOKUP(T$2, Percentiles!$A$45:$I$59, 7, FALSE), perc_95, VLOOKUP(T$2, Percentiles!$A$45:$I$59, 8, FALSE), perc_85, perc_75 + (perc_90 - perc_75) * (2/3), converted_stat, '2K_Ratings'!T18, IF(bbgm_stat &gt;= perc_95, converted_stat * 3, IF(bbgm_stat &gt;= perc_90, converted_stat * 2, IF(bbgm_stat &gt;= perc_85, converted_stat * 1.5, converted_stat)))))</f>
        <v/>
      </c>
      <c r="U18" s="30" t="str">
        <f t="array" ref="U18">IF($A18="", "", LET(bbgm_stat, INDEX(Players!$A17:$P17, MATCH(U$2, Players!$A$1:$P$1, 0)), perc_75, VLOOKUP(U$2, Percentiles!$A$45:$I$59, 6, FALSE), perc_90, VLOOKUP(U$2, Percentiles!$A$45:$I$59, 7, FALSE), perc_95, VLOOKUP(U$2, Percentiles!$A$45:$I$59, 8, FALSE), perc_85, perc_75 + (perc_90 - perc_75) * (2/3), converted_stat, '2K_Ratings'!U18, IF(bbgm_stat &gt;= perc_95, converted_stat * 3, IF(bbgm_stat &gt;= perc_90, converted_stat * 2, IF(bbgm_stat &gt;= perc_85, converted_stat * 1.5, converted_stat)))))</f>
        <v/>
      </c>
      <c r="V18" s="30" t="str">
        <f t="array" ref="V18">IF($A18="", "", LET(bbgm_stat, INDEX(Players!$A17:$P17, MATCH(V$2, Players!$A$1:$P$1, 0)), perc_75, VLOOKUP(V$2, Percentiles!$A$45:$I$59, 6, FALSE), perc_90, VLOOKUP(V$2, Percentiles!$A$45:$I$59, 7, FALSE), perc_95, VLOOKUP(V$2, Percentiles!$A$45:$I$59, 8, FALSE), perc_85, perc_75 + (perc_90 - perc_75) * (2/3), converted_stat, '2K_Ratings'!V18, IF(bbgm_stat &gt;= perc_95, converted_stat * 3, IF(bbgm_stat &gt;= perc_90, converted_stat * 2, IF(bbgm_stat &gt;= perc_85, converted_stat * 1.5, converted_stat)))))</f>
        <v/>
      </c>
      <c r="W18" s="30" t="str">
        <f t="array" ref="W18">IF($A18="", "", LET(bbgm_stat, INDEX(Players!$A17:$P17, MATCH(W$2, Players!$A$1:$P$1, 0)), perc_75, VLOOKUP(W$2, Percentiles!$A$45:$I$59, 6, FALSE), perc_90, VLOOKUP(W$2, Percentiles!$A$45:$I$59, 7, FALSE), perc_95, VLOOKUP(W$2, Percentiles!$A$45:$I$59, 8, FALSE), perc_85, perc_75 + (perc_90 - perc_75) * (2/3), converted_stat, '2K_Ratings'!W18, IF(bbgm_stat &gt;= perc_95, converted_stat * 3, IF(bbgm_stat &gt;= perc_90, converted_stat * 2, IF(bbgm_stat &gt;= perc_85, converted_stat * 1.5, converted_stat)))))</f>
        <v/>
      </c>
    </row>
    <row r="19">
      <c r="A19" s="30" t="str">
        <f>IF(Players!A18="", "", Players!A18)</f>
        <v/>
      </c>
      <c r="B19" s="30" t="str">
        <f t="array" ref="B19">IF($A19="", "", LET(bbgm_stat, INDEX(Players!$A18:$P18, MATCH(B$2, Players!$A$1:$P$1, 0)), perc_75, VLOOKUP(B$2, Percentiles!$A$45:$I$59, 6, FALSE), perc_90, VLOOKUP(B$2, Percentiles!$A$45:$I$59, 7, FALSE), perc_95, VLOOKUP(B$2, Percentiles!$A$45:$I$59, 8, FALSE), perc_85, perc_75 + (perc_90 - perc_75) * (2/3), converted_stat, '2K_Ratings'!B19, IF(bbgm_stat &gt;= perc_95, converted_stat * 3, IF(bbgm_stat &gt;= perc_90, converted_stat * 2, IF(bbgm_stat &gt;= perc_85, converted_stat * 1.5, converted_stat)))))</f>
        <v/>
      </c>
      <c r="C19" s="30" t="str">
        <f t="array" ref="C19">IF($A19="", "", LET(bbgm_stat, INDEX(Players!$A18:$P18, MATCH(C$2, Players!$A$1:$P$1, 0)), perc_75, VLOOKUP(C$2, Percentiles!$A$45:$I$59, 6, FALSE), perc_90, VLOOKUP(C$2, Percentiles!$A$45:$I$59, 7, FALSE), perc_95, VLOOKUP(C$2, Percentiles!$A$45:$I$59, 8, FALSE), perc_85, perc_75 + (perc_90 - perc_75) * (2/3), converted_stat, '2K_Ratings'!C19, IF(bbgm_stat &gt;= perc_95, converted_stat * 3, IF(bbgm_stat &gt;= perc_90, converted_stat * 2, IF(bbgm_stat &gt;= perc_85, converted_stat * 1.5, converted_stat)))))</f>
        <v/>
      </c>
      <c r="D19" s="30" t="str">
        <f t="array" ref="D19">IF($A19="", "", LET(bbgm_stat, INDEX(Players!$A18:$P18, MATCH(D$2, Players!$A$1:$P$1, 0)), perc_75, VLOOKUP(D$2, Percentiles!$A$45:$I$59, 6, FALSE), perc_90, VLOOKUP(D$2, Percentiles!$A$45:$I$59, 7, FALSE), perc_95, VLOOKUP(D$2, Percentiles!$A$45:$I$59, 8, FALSE), perc_85, perc_75 + (perc_90 - perc_75) * (2/3), converted_stat, '2K_Ratings'!D19, IF(bbgm_stat &gt;= perc_95, converted_stat * 3, IF(bbgm_stat &gt;= perc_90, converted_stat * 2, IF(bbgm_stat &gt;= perc_85, converted_stat * 1.5, converted_stat)))))</f>
        <v/>
      </c>
      <c r="E19" s="30" t="str">
        <f t="array" ref="E19">IF($A19="", "", LET(bbgm_stat, INDEX(Players!$A18:$P18, MATCH(E$2, Players!$A$1:$P$1, 0)), perc_75, VLOOKUP(E$2, Percentiles!$A$45:$I$59, 6, FALSE), perc_90, VLOOKUP(E$2, Percentiles!$A$45:$I$59, 7, FALSE), perc_95, VLOOKUP(E$2, Percentiles!$A$45:$I$59, 8, FALSE), perc_85, perc_75 + (perc_90 - perc_75) * (2/3), converted_stat, '2K_Ratings'!E19, IF(bbgm_stat &gt;= perc_95, converted_stat * 3, IF(bbgm_stat &gt;= perc_90, converted_stat * 2, IF(bbgm_stat &gt;= perc_85, converted_stat * 1.5, converted_stat)))))</f>
        <v/>
      </c>
      <c r="F19" s="30" t="str">
        <f t="array" ref="F19">IF($A19="", "", LET(bbgm_stat, INDEX(Players!$A18:$P18, MATCH(F$2, Players!$A$1:$P$1, 0)), perc_75, VLOOKUP(F$2, Percentiles!$A$45:$I$59, 6, FALSE), perc_90, VLOOKUP(F$2, Percentiles!$A$45:$I$59, 7, FALSE), perc_95, VLOOKUP(F$2, Percentiles!$A$45:$I$59, 8, FALSE), perc_85, perc_75 + (perc_90 - perc_75) * (2/3), converted_stat, '2K_Ratings'!F19, IF(bbgm_stat &gt;= perc_95, converted_stat * 3, IF(bbgm_stat &gt;= perc_90, converted_stat * 2, IF(bbgm_stat &gt;= perc_85, converted_stat * 1.5, converted_stat)))))</f>
        <v/>
      </c>
      <c r="G19" s="30" t="str">
        <f t="array" ref="G19">IF($A19="", "", LET(bbgm_stat, INDEX(Players!$A18:$P18, MATCH(G$2, Players!$A$1:$P$1, 0)), perc_75, VLOOKUP(G$2, Percentiles!$A$45:$I$59, 6, FALSE), perc_90, VLOOKUP(G$2, Percentiles!$A$45:$I$59, 7, FALSE), perc_95, VLOOKUP(G$2, Percentiles!$A$45:$I$59, 8, FALSE), perc_85, perc_75 + (perc_90 - perc_75) * (2/3), converted_stat, '2K_Ratings'!G19, IF(bbgm_stat &gt;= perc_95, converted_stat * 3, IF(bbgm_stat &gt;= perc_90, converted_stat * 2, IF(bbgm_stat &gt;= perc_85, converted_stat * 1.5, converted_stat)))))</f>
        <v/>
      </c>
      <c r="H19" s="30" t="str">
        <f t="array" ref="H19">IF($A19="", "", LET(bbgm_stat, INDEX(Players!$A18:$P18, MATCH(H$2, Players!$A$1:$P$1, 0)), perc_75, VLOOKUP(H$2, Percentiles!$A$45:$I$59, 6, FALSE), perc_90, VLOOKUP(H$2, Percentiles!$A$45:$I$59, 7, FALSE), perc_95, VLOOKUP(H$2, Percentiles!$A$45:$I$59, 8, FALSE), perc_85, perc_75 + (perc_90 - perc_75) * (2/3), converted_stat, '2K_Ratings'!H19, IF(bbgm_stat &gt;= perc_95, converted_stat * 3, IF(bbgm_stat &gt;= perc_90, converted_stat * 2, IF(bbgm_stat &gt;= perc_85, converted_stat * 1.5, converted_stat)))))</f>
        <v/>
      </c>
      <c r="I19" s="30" t="str">
        <f t="array" ref="I19">IF($A19="", "", LET(bbgm_stat, INDEX(Players!$A18:$P18, MATCH(I$2, Players!$A$1:$P$1, 0)), perc_75, VLOOKUP(I$2, Percentiles!$A$45:$I$59, 6, FALSE), perc_90, VLOOKUP(I$2, Percentiles!$A$45:$I$59, 7, FALSE), perc_95, VLOOKUP(I$2, Percentiles!$A$45:$I$59, 8, FALSE), perc_85, perc_75 + (perc_90 - perc_75) * (2/3), converted_stat, '2K_Ratings'!I19, IF(bbgm_stat &gt;= perc_95, converted_stat * 3, IF(bbgm_stat &gt;= perc_90, converted_stat * 2, IF(bbgm_stat &gt;= perc_85, converted_stat * 1.5, converted_stat)))))</f>
        <v/>
      </c>
      <c r="J19" s="30" t="str">
        <f t="array" ref="J19">IF($A19="", "", LET(bbgm_stat, INDEX(Players!$A18:$P18, MATCH(J$2, Players!$A$1:$P$1, 0)), perc_75, VLOOKUP(J$2, Percentiles!$A$45:$I$59, 6, FALSE), perc_90, VLOOKUP(J$2, Percentiles!$A$45:$I$59, 7, FALSE), perc_95, VLOOKUP(J$2, Percentiles!$A$45:$I$59, 8, FALSE), perc_85, perc_75 + (perc_90 - perc_75) * (2/3), converted_stat, '2K_Ratings'!J19, IF(bbgm_stat &gt;= perc_95, converted_stat * 3, IF(bbgm_stat &gt;= perc_90, converted_stat * 2, IF(bbgm_stat &gt;= perc_85, converted_stat * 1.5, converted_stat)))))</f>
        <v/>
      </c>
      <c r="K19" s="30" t="str">
        <f t="array" ref="K19">IF($A19="", "", LET(bbgm_stat, INDEX(Players!$A18:$P18, MATCH(K$2, Players!$A$1:$P$1, 0)), perc_75, VLOOKUP(K$2, Percentiles!$A$45:$I$59, 6, FALSE), perc_90, VLOOKUP(K$2, Percentiles!$A$45:$I$59, 7, FALSE), perc_95, VLOOKUP(K$2, Percentiles!$A$45:$I$59, 8, FALSE), perc_85, perc_75 + (perc_90 - perc_75) * (2/3), converted_stat, '2K_Ratings'!K19, IF(bbgm_stat &gt;= perc_95, converted_stat * 3, IF(bbgm_stat &gt;= perc_90, converted_stat * 2, IF(bbgm_stat &gt;= perc_85, converted_stat * 1.5, converted_stat)))))</f>
        <v/>
      </c>
      <c r="L19" s="30" t="str">
        <f t="array" ref="L19">IF($A19="", "", LET(bbgm_stat, INDEX(Players!$A18:$P18, MATCH(L$2, Players!$A$1:$P$1, 0)), perc_75, VLOOKUP(L$2, Percentiles!$A$45:$I$59, 6, FALSE), perc_90, VLOOKUP(L$2, Percentiles!$A$45:$I$59, 7, FALSE), perc_95, VLOOKUP(L$2, Percentiles!$A$45:$I$59, 8, FALSE), perc_85, perc_75 + (perc_90 - perc_75) * (2/3), converted_stat, '2K_Ratings'!L19, IF(bbgm_stat &gt;= perc_95, converted_stat * 3, IF(bbgm_stat &gt;= perc_90, converted_stat * 2, IF(bbgm_stat &gt;= perc_85, converted_stat * 1.5, converted_stat)))))</f>
        <v/>
      </c>
      <c r="M19" s="30" t="str">
        <f t="array" ref="M19">IF($A19="", "", LET(bbgm_stat, INDEX(Players!$A18:$P18, MATCH(M$2, Players!$A$1:$P$1, 0)), perc_75, VLOOKUP(M$2, Percentiles!$A$45:$I$59, 6, FALSE), perc_90, VLOOKUP(M$2, Percentiles!$A$45:$I$59, 7, FALSE), perc_95, VLOOKUP(M$2, Percentiles!$A$45:$I$59, 8, FALSE), perc_85, perc_75 + (perc_90 - perc_75) * (2/3), converted_stat, '2K_Ratings'!M19, IF(bbgm_stat &gt;= perc_95, converted_stat * 3, IF(bbgm_stat &gt;= perc_90, converted_stat * 2, IF(bbgm_stat &gt;= perc_85, converted_stat * 1.5, converted_stat)))))</f>
        <v/>
      </c>
      <c r="N19" s="30" t="str">
        <f t="array" ref="N19">IF($A19="", "", LET(bbgm_stat, INDEX(Players!$A18:$P18, MATCH(N$2, Players!$A$1:$P$1, 0)), perc_75, VLOOKUP(N$2, Percentiles!$A$45:$I$59, 6, FALSE), perc_90, VLOOKUP(N$2, Percentiles!$A$45:$I$59, 7, FALSE), perc_95, VLOOKUP(N$2, Percentiles!$A$45:$I$59, 8, FALSE), perc_85, perc_75 + (perc_90 - perc_75) * (2/3), converted_stat, '2K_Ratings'!N19, IF(bbgm_stat &gt;= perc_95, converted_stat * 3, IF(bbgm_stat &gt;= perc_90, converted_stat * 2, IF(bbgm_stat &gt;= perc_85, converted_stat * 1.5, converted_stat)))))</f>
        <v/>
      </c>
      <c r="O19" s="30" t="str">
        <f t="array" ref="O19">IF($A19="", "", LET(bbgm_stat, INDEX(Players!$A18:$P18, MATCH(O$2, Players!$A$1:$P$1, 0)), perc_75, VLOOKUP(O$2, Percentiles!$A$45:$I$59, 6, FALSE), perc_90, VLOOKUP(O$2, Percentiles!$A$45:$I$59, 7, FALSE), perc_95, VLOOKUP(O$2, Percentiles!$A$45:$I$59, 8, FALSE), perc_85, perc_75 + (perc_90 - perc_75) * (2/3), converted_stat, '2K_Ratings'!O19, IF(bbgm_stat &gt;= perc_95, converted_stat * 3, IF(bbgm_stat &gt;= perc_90, converted_stat * 2, IF(bbgm_stat &gt;= perc_85, converted_stat * 1.5, converted_stat)))))</f>
        <v/>
      </c>
      <c r="P19" s="30" t="str">
        <f t="array" ref="P19">IF($A19="", "", LET(bbgm_stat, INDEX(Players!$A18:$P18, MATCH(P$2, Players!$A$1:$P$1, 0)), perc_75, VLOOKUP(P$2, Percentiles!$A$45:$I$59, 6, FALSE), perc_90, VLOOKUP(P$2, Percentiles!$A$45:$I$59, 7, FALSE), perc_95, VLOOKUP(P$2, Percentiles!$A$45:$I$59, 8, FALSE), perc_85, perc_75 + (perc_90 - perc_75) * (2/3), converted_stat, '2K_Ratings'!P19, IF(bbgm_stat &gt;= perc_95, converted_stat * 3, IF(bbgm_stat &gt;= perc_90, converted_stat * 2, IF(bbgm_stat &gt;= perc_85, converted_stat * 1.5, converted_stat)))))</f>
        <v/>
      </c>
      <c r="Q19" s="30" t="str">
        <f t="array" ref="Q19">IF($A19="", "", LET(bbgm_stat, INDEX(Players!$A18:$P18, MATCH(Q$2, Players!$A$1:$P$1, 0)), perc_75, VLOOKUP(Q$2, Percentiles!$A$45:$I$59, 6, FALSE), perc_90, VLOOKUP(Q$2, Percentiles!$A$45:$I$59, 7, FALSE), perc_95, VLOOKUP(Q$2, Percentiles!$A$45:$I$59, 8, FALSE), perc_85, perc_75 + (perc_90 - perc_75) * (2/3), converted_stat, '2K_Ratings'!Q19, IF(bbgm_stat &gt;= perc_95, converted_stat * 3, IF(bbgm_stat &gt;= perc_90, converted_stat * 2, IF(bbgm_stat &gt;= perc_85, converted_stat * 1.5, converted_stat)))))</f>
        <v/>
      </c>
      <c r="R19" s="30" t="str">
        <f t="array" ref="R19">IF($A19="", "", LET(bbgm_stat, INDEX(Players!$A18:$P18, MATCH(R$2, Players!$A$1:$P$1, 0)), perc_75, VLOOKUP(R$2, Percentiles!$A$45:$I$59, 6, FALSE), perc_90, VLOOKUP(R$2, Percentiles!$A$45:$I$59, 7, FALSE), perc_95, VLOOKUP(R$2, Percentiles!$A$45:$I$59, 8, FALSE), perc_85, perc_75 + (perc_90 - perc_75) * (2/3), converted_stat, '2K_Ratings'!R19, IF(bbgm_stat &gt;= perc_95, converted_stat * 3, IF(bbgm_stat &gt;= perc_90, converted_stat * 2, IF(bbgm_stat &gt;= perc_85, converted_stat * 1.5, converted_stat)))))</f>
        <v/>
      </c>
      <c r="S19" s="30" t="str">
        <f t="array" ref="S19">IF($A19="", "", LET(bbgm_stat, INDEX(Players!$A18:$P18, MATCH(S$2, Players!$A$1:$P$1, 0)), perc_75, VLOOKUP(S$2, Percentiles!$A$45:$I$59, 6, FALSE), perc_90, VLOOKUP(S$2, Percentiles!$A$45:$I$59, 7, FALSE), perc_95, VLOOKUP(S$2, Percentiles!$A$45:$I$59, 8, FALSE), perc_85, perc_75 + (perc_90 - perc_75) * (2/3), converted_stat, '2K_Ratings'!S19, IF(bbgm_stat &gt;= perc_95, converted_stat * 3, IF(bbgm_stat &gt;= perc_90, converted_stat * 2, IF(bbgm_stat &gt;= perc_85, converted_stat * 1.5, converted_stat)))))</f>
        <v/>
      </c>
      <c r="T19" s="30" t="str">
        <f t="array" ref="T19">IF($A19="", "", LET(bbgm_stat, INDEX(Players!$A18:$P18, MATCH(T$2, Players!$A$1:$P$1, 0)), perc_75, VLOOKUP(T$2, Percentiles!$A$45:$I$59, 6, FALSE), perc_90, VLOOKUP(T$2, Percentiles!$A$45:$I$59, 7, FALSE), perc_95, VLOOKUP(T$2, Percentiles!$A$45:$I$59, 8, FALSE), perc_85, perc_75 + (perc_90 - perc_75) * (2/3), converted_stat, '2K_Ratings'!T19, IF(bbgm_stat &gt;= perc_95, converted_stat * 3, IF(bbgm_stat &gt;= perc_90, converted_stat * 2, IF(bbgm_stat &gt;= perc_85, converted_stat * 1.5, converted_stat)))))</f>
        <v/>
      </c>
      <c r="U19" s="30" t="str">
        <f t="array" ref="U19">IF($A19="", "", LET(bbgm_stat, INDEX(Players!$A18:$P18, MATCH(U$2, Players!$A$1:$P$1, 0)), perc_75, VLOOKUP(U$2, Percentiles!$A$45:$I$59, 6, FALSE), perc_90, VLOOKUP(U$2, Percentiles!$A$45:$I$59, 7, FALSE), perc_95, VLOOKUP(U$2, Percentiles!$A$45:$I$59, 8, FALSE), perc_85, perc_75 + (perc_90 - perc_75) * (2/3), converted_stat, '2K_Ratings'!U19, IF(bbgm_stat &gt;= perc_95, converted_stat * 3, IF(bbgm_stat &gt;= perc_90, converted_stat * 2, IF(bbgm_stat &gt;= perc_85, converted_stat * 1.5, converted_stat)))))</f>
        <v/>
      </c>
      <c r="V19" s="30" t="str">
        <f t="array" ref="V19">IF($A19="", "", LET(bbgm_stat, INDEX(Players!$A18:$P18, MATCH(V$2, Players!$A$1:$P$1, 0)), perc_75, VLOOKUP(V$2, Percentiles!$A$45:$I$59, 6, FALSE), perc_90, VLOOKUP(V$2, Percentiles!$A$45:$I$59, 7, FALSE), perc_95, VLOOKUP(V$2, Percentiles!$A$45:$I$59, 8, FALSE), perc_85, perc_75 + (perc_90 - perc_75) * (2/3), converted_stat, '2K_Ratings'!V19, IF(bbgm_stat &gt;= perc_95, converted_stat * 3, IF(bbgm_stat &gt;= perc_90, converted_stat * 2, IF(bbgm_stat &gt;= perc_85, converted_stat * 1.5, converted_stat)))))</f>
        <v/>
      </c>
      <c r="W19" s="30" t="str">
        <f t="array" ref="W19">IF($A19="", "", LET(bbgm_stat, INDEX(Players!$A18:$P18, MATCH(W$2, Players!$A$1:$P$1, 0)), perc_75, VLOOKUP(W$2, Percentiles!$A$45:$I$59, 6, FALSE), perc_90, VLOOKUP(W$2, Percentiles!$A$45:$I$59, 7, FALSE), perc_95, VLOOKUP(W$2, Percentiles!$A$45:$I$59, 8, FALSE), perc_85, perc_75 + (perc_90 - perc_75) * (2/3), converted_stat, '2K_Ratings'!W19, IF(bbgm_stat &gt;= perc_95, converted_stat * 3, IF(bbgm_stat &gt;= perc_90, converted_stat * 2, IF(bbgm_stat &gt;= perc_85, converted_stat * 1.5, converted_stat)))))</f>
        <v/>
      </c>
    </row>
    <row r="20">
      <c r="A20" s="30" t="str">
        <f>IF(Players!A19="", "", Players!A19)</f>
        <v/>
      </c>
      <c r="B20" s="30" t="str">
        <f t="array" ref="B20">IF($A20="", "", LET(bbgm_stat, INDEX(Players!$A19:$P19, MATCH(B$2, Players!$A$1:$P$1, 0)), perc_75, VLOOKUP(B$2, Percentiles!$A$45:$I$59, 6, FALSE), perc_90, VLOOKUP(B$2, Percentiles!$A$45:$I$59, 7, FALSE), perc_95, VLOOKUP(B$2, Percentiles!$A$45:$I$59, 8, FALSE), perc_85, perc_75 + (perc_90 - perc_75) * (2/3), converted_stat, '2K_Ratings'!B20, IF(bbgm_stat &gt;= perc_95, converted_stat * 3, IF(bbgm_stat &gt;= perc_90, converted_stat * 2, IF(bbgm_stat &gt;= perc_85, converted_stat * 1.5, converted_stat)))))</f>
        <v/>
      </c>
      <c r="C20" s="30" t="str">
        <f t="array" ref="C20">IF($A20="", "", LET(bbgm_stat, INDEX(Players!$A19:$P19, MATCH(C$2, Players!$A$1:$P$1, 0)), perc_75, VLOOKUP(C$2, Percentiles!$A$45:$I$59, 6, FALSE), perc_90, VLOOKUP(C$2, Percentiles!$A$45:$I$59, 7, FALSE), perc_95, VLOOKUP(C$2, Percentiles!$A$45:$I$59, 8, FALSE), perc_85, perc_75 + (perc_90 - perc_75) * (2/3), converted_stat, '2K_Ratings'!C20, IF(bbgm_stat &gt;= perc_95, converted_stat * 3, IF(bbgm_stat &gt;= perc_90, converted_stat * 2, IF(bbgm_stat &gt;= perc_85, converted_stat * 1.5, converted_stat)))))</f>
        <v/>
      </c>
      <c r="D20" s="30" t="str">
        <f t="array" ref="D20">IF($A20="", "", LET(bbgm_stat, INDEX(Players!$A19:$P19, MATCH(D$2, Players!$A$1:$P$1, 0)), perc_75, VLOOKUP(D$2, Percentiles!$A$45:$I$59, 6, FALSE), perc_90, VLOOKUP(D$2, Percentiles!$A$45:$I$59, 7, FALSE), perc_95, VLOOKUP(D$2, Percentiles!$A$45:$I$59, 8, FALSE), perc_85, perc_75 + (perc_90 - perc_75) * (2/3), converted_stat, '2K_Ratings'!D20, IF(bbgm_stat &gt;= perc_95, converted_stat * 3, IF(bbgm_stat &gt;= perc_90, converted_stat * 2, IF(bbgm_stat &gt;= perc_85, converted_stat * 1.5, converted_stat)))))</f>
        <v/>
      </c>
      <c r="E20" s="30" t="str">
        <f t="array" ref="E20">IF($A20="", "", LET(bbgm_stat, INDEX(Players!$A19:$P19, MATCH(E$2, Players!$A$1:$P$1, 0)), perc_75, VLOOKUP(E$2, Percentiles!$A$45:$I$59, 6, FALSE), perc_90, VLOOKUP(E$2, Percentiles!$A$45:$I$59, 7, FALSE), perc_95, VLOOKUP(E$2, Percentiles!$A$45:$I$59, 8, FALSE), perc_85, perc_75 + (perc_90 - perc_75) * (2/3), converted_stat, '2K_Ratings'!E20, IF(bbgm_stat &gt;= perc_95, converted_stat * 3, IF(bbgm_stat &gt;= perc_90, converted_stat * 2, IF(bbgm_stat &gt;= perc_85, converted_stat * 1.5, converted_stat)))))</f>
        <v/>
      </c>
      <c r="F20" s="30" t="str">
        <f t="array" ref="F20">IF($A20="", "", LET(bbgm_stat, INDEX(Players!$A19:$P19, MATCH(F$2, Players!$A$1:$P$1, 0)), perc_75, VLOOKUP(F$2, Percentiles!$A$45:$I$59, 6, FALSE), perc_90, VLOOKUP(F$2, Percentiles!$A$45:$I$59, 7, FALSE), perc_95, VLOOKUP(F$2, Percentiles!$A$45:$I$59, 8, FALSE), perc_85, perc_75 + (perc_90 - perc_75) * (2/3), converted_stat, '2K_Ratings'!F20, IF(bbgm_stat &gt;= perc_95, converted_stat * 3, IF(bbgm_stat &gt;= perc_90, converted_stat * 2, IF(bbgm_stat &gt;= perc_85, converted_stat * 1.5, converted_stat)))))</f>
        <v/>
      </c>
      <c r="G20" s="30" t="str">
        <f t="array" ref="G20">IF($A20="", "", LET(bbgm_stat, INDEX(Players!$A19:$P19, MATCH(G$2, Players!$A$1:$P$1, 0)), perc_75, VLOOKUP(G$2, Percentiles!$A$45:$I$59, 6, FALSE), perc_90, VLOOKUP(G$2, Percentiles!$A$45:$I$59, 7, FALSE), perc_95, VLOOKUP(G$2, Percentiles!$A$45:$I$59, 8, FALSE), perc_85, perc_75 + (perc_90 - perc_75) * (2/3), converted_stat, '2K_Ratings'!G20, IF(bbgm_stat &gt;= perc_95, converted_stat * 3, IF(bbgm_stat &gt;= perc_90, converted_stat * 2, IF(bbgm_stat &gt;= perc_85, converted_stat * 1.5, converted_stat)))))</f>
        <v/>
      </c>
      <c r="H20" s="30" t="str">
        <f t="array" ref="H20">IF($A20="", "", LET(bbgm_stat, INDEX(Players!$A19:$P19, MATCH(H$2, Players!$A$1:$P$1, 0)), perc_75, VLOOKUP(H$2, Percentiles!$A$45:$I$59, 6, FALSE), perc_90, VLOOKUP(H$2, Percentiles!$A$45:$I$59, 7, FALSE), perc_95, VLOOKUP(H$2, Percentiles!$A$45:$I$59, 8, FALSE), perc_85, perc_75 + (perc_90 - perc_75) * (2/3), converted_stat, '2K_Ratings'!H20, IF(bbgm_stat &gt;= perc_95, converted_stat * 3, IF(bbgm_stat &gt;= perc_90, converted_stat * 2, IF(bbgm_stat &gt;= perc_85, converted_stat * 1.5, converted_stat)))))</f>
        <v/>
      </c>
      <c r="I20" s="30" t="str">
        <f t="array" ref="I20">IF($A20="", "", LET(bbgm_stat, INDEX(Players!$A19:$P19, MATCH(I$2, Players!$A$1:$P$1, 0)), perc_75, VLOOKUP(I$2, Percentiles!$A$45:$I$59, 6, FALSE), perc_90, VLOOKUP(I$2, Percentiles!$A$45:$I$59, 7, FALSE), perc_95, VLOOKUP(I$2, Percentiles!$A$45:$I$59, 8, FALSE), perc_85, perc_75 + (perc_90 - perc_75) * (2/3), converted_stat, '2K_Ratings'!I20, IF(bbgm_stat &gt;= perc_95, converted_stat * 3, IF(bbgm_stat &gt;= perc_90, converted_stat * 2, IF(bbgm_stat &gt;= perc_85, converted_stat * 1.5, converted_stat)))))</f>
        <v/>
      </c>
      <c r="J20" s="30" t="str">
        <f t="array" ref="J20">IF($A20="", "", LET(bbgm_stat, INDEX(Players!$A19:$P19, MATCH(J$2, Players!$A$1:$P$1, 0)), perc_75, VLOOKUP(J$2, Percentiles!$A$45:$I$59, 6, FALSE), perc_90, VLOOKUP(J$2, Percentiles!$A$45:$I$59, 7, FALSE), perc_95, VLOOKUP(J$2, Percentiles!$A$45:$I$59, 8, FALSE), perc_85, perc_75 + (perc_90 - perc_75) * (2/3), converted_stat, '2K_Ratings'!J20, IF(bbgm_stat &gt;= perc_95, converted_stat * 3, IF(bbgm_stat &gt;= perc_90, converted_stat * 2, IF(bbgm_stat &gt;= perc_85, converted_stat * 1.5, converted_stat)))))</f>
        <v/>
      </c>
      <c r="K20" s="30" t="str">
        <f t="array" ref="K20">IF($A20="", "", LET(bbgm_stat, INDEX(Players!$A19:$P19, MATCH(K$2, Players!$A$1:$P$1, 0)), perc_75, VLOOKUP(K$2, Percentiles!$A$45:$I$59, 6, FALSE), perc_90, VLOOKUP(K$2, Percentiles!$A$45:$I$59, 7, FALSE), perc_95, VLOOKUP(K$2, Percentiles!$A$45:$I$59, 8, FALSE), perc_85, perc_75 + (perc_90 - perc_75) * (2/3), converted_stat, '2K_Ratings'!K20, IF(bbgm_stat &gt;= perc_95, converted_stat * 3, IF(bbgm_stat &gt;= perc_90, converted_stat * 2, IF(bbgm_stat &gt;= perc_85, converted_stat * 1.5, converted_stat)))))</f>
        <v/>
      </c>
      <c r="L20" s="30" t="str">
        <f t="array" ref="L20">IF($A20="", "", LET(bbgm_stat, INDEX(Players!$A19:$P19, MATCH(L$2, Players!$A$1:$P$1, 0)), perc_75, VLOOKUP(L$2, Percentiles!$A$45:$I$59, 6, FALSE), perc_90, VLOOKUP(L$2, Percentiles!$A$45:$I$59, 7, FALSE), perc_95, VLOOKUP(L$2, Percentiles!$A$45:$I$59, 8, FALSE), perc_85, perc_75 + (perc_90 - perc_75) * (2/3), converted_stat, '2K_Ratings'!L20, IF(bbgm_stat &gt;= perc_95, converted_stat * 3, IF(bbgm_stat &gt;= perc_90, converted_stat * 2, IF(bbgm_stat &gt;= perc_85, converted_stat * 1.5, converted_stat)))))</f>
        <v/>
      </c>
      <c r="M20" s="30" t="str">
        <f t="array" ref="M20">IF($A20="", "", LET(bbgm_stat, INDEX(Players!$A19:$P19, MATCH(M$2, Players!$A$1:$P$1, 0)), perc_75, VLOOKUP(M$2, Percentiles!$A$45:$I$59, 6, FALSE), perc_90, VLOOKUP(M$2, Percentiles!$A$45:$I$59, 7, FALSE), perc_95, VLOOKUP(M$2, Percentiles!$A$45:$I$59, 8, FALSE), perc_85, perc_75 + (perc_90 - perc_75) * (2/3), converted_stat, '2K_Ratings'!M20, IF(bbgm_stat &gt;= perc_95, converted_stat * 3, IF(bbgm_stat &gt;= perc_90, converted_stat * 2, IF(bbgm_stat &gt;= perc_85, converted_stat * 1.5, converted_stat)))))</f>
        <v/>
      </c>
      <c r="N20" s="30" t="str">
        <f t="array" ref="N20">IF($A20="", "", LET(bbgm_stat, INDEX(Players!$A19:$P19, MATCH(N$2, Players!$A$1:$P$1, 0)), perc_75, VLOOKUP(N$2, Percentiles!$A$45:$I$59, 6, FALSE), perc_90, VLOOKUP(N$2, Percentiles!$A$45:$I$59, 7, FALSE), perc_95, VLOOKUP(N$2, Percentiles!$A$45:$I$59, 8, FALSE), perc_85, perc_75 + (perc_90 - perc_75) * (2/3), converted_stat, '2K_Ratings'!N20, IF(bbgm_stat &gt;= perc_95, converted_stat * 3, IF(bbgm_stat &gt;= perc_90, converted_stat * 2, IF(bbgm_stat &gt;= perc_85, converted_stat * 1.5, converted_stat)))))</f>
        <v/>
      </c>
      <c r="O20" s="30" t="str">
        <f t="array" ref="O20">IF($A20="", "", LET(bbgm_stat, INDEX(Players!$A19:$P19, MATCH(O$2, Players!$A$1:$P$1, 0)), perc_75, VLOOKUP(O$2, Percentiles!$A$45:$I$59, 6, FALSE), perc_90, VLOOKUP(O$2, Percentiles!$A$45:$I$59, 7, FALSE), perc_95, VLOOKUP(O$2, Percentiles!$A$45:$I$59, 8, FALSE), perc_85, perc_75 + (perc_90 - perc_75) * (2/3), converted_stat, '2K_Ratings'!O20, IF(bbgm_stat &gt;= perc_95, converted_stat * 3, IF(bbgm_stat &gt;= perc_90, converted_stat * 2, IF(bbgm_stat &gt;= perc_85, converted_stat * 1.5, converted_stat)))))</f>
        <v/>
      </c>
      <c r="P20" s="30" t="str">
        <f t="array" ref="P20">IF($A20="", "", LET(bbgm_stat, INDEX(Players!$A19:$P19, MATCH(P$2, Players!$A$1:$P$1, 0)), perc_75, VLOOKUP(P$2, Percentiles!$A$45:$I$59, 6, FALSE), perc_90, VLOOKUP(P$2, Percentiles!$A$45:$I$59, 7, FALSE), perc_95, VLOOKUP(P$2, Percentiles!$A$45:$I$59, 8, FALSE), perc_85, perc_75 + (perc_90 - perc_75) * (2/3), converted_stat, '2K_Ratings'!P20, IF(bbgm_stat &gt;= perc_95, converted_stat * 3, IF(bbgm_stat &gt;= perc_90, converted_stat * 2, IF(bbgm_stat &gt;= perc_85, converted_stat * 1.5, converted_stat)))))</f>
        <v/>
      </c>
      <c r="Q20" s="30" t="str">
        <f t="array" ref="Q20">IF($A20="", "", LET(bbgm_stat, INDEX(Players!$A19:$P19, MATCH(Q$2, Players!$A$1:$P$1, 0)), perc_75, VLOOKUP(Q$2, Percentiles!$A$45:$I$59, 6, FALSE), perc_90, VLOOKUP(Q$2, Percentiles!$A$45:$I$59, 7, FALSE), perc_95, VLOOKUP(Q$2, Percentiles!$A$45:$I$59, 8, FALSE), perc_85, perc_75 + (perc_90 - perc_75) * (2/3), converted_stat, '2K_Ratings'!Q20, IF(bbgm_stat &gt;= perc_95, converted_stat * 3, IF(bbgm_stat &gt;= perc_90, converted_stat * 2, IF(bbgm_stat &gt;= perc_85, converted_stat * 1.5, converted_stat)))))</f>
        <v/>
      </c>
      <c r="R20" s="30" t="str">
        <f t="array" ref="R20">IF($A20="", "", LET(bbgm_stat, INDEX(Players!$A19:$P19, MATCH(R$2, Players!$A$1:$P$1, 0)), perc_75, VLOOKUP(R$2, Percentiles!$A$45:$I$59, 6, FALSE), perc_90, VLOOKUP(R$2, Percentiles!$A$45:$I$59, 7, FALSE), perc_95, VLOOKUP(R$2, Percentiles!$A$45:$I$59, 8, FALSE), perc_85, perc_75 + (perc_90 - perc_75) * (2/3), converted_stat, '2K_Ratings'!R20, IF(bbgm_stat &gt;= perc_95, converted_stat * 3, IF(bbgm_stat &gt;= perc_90, converted_stat * 2, IF(bbgm_stat &gt;= perc_85, converted_stat * 1.5, converted_stat)))))</f>
        <v/>
      </c>
      <c r="S20" s="30" t="str">
        <f t="array" ref="S20">IF($A20="", "", LET(bbgm_stat, INDEX(Players!$A19:$P19, MATCH(S$2, Players!$A$1:$P$1, 0)), perc_75, VLOOKUP(S$2, Percentiles!$A$45:$I$59, 6, FALSE), perc_90, VLOOKUP(S$2, Percentiles!$A$45:$I$59, 7, FALSE), perc_95, VLOOKUP(S$2, Percentiles!$A$45:$I$59, 8, FALSE), perc_85, perc_75 + (perc_90 - perc_75) * (2/3), converted_stat, '2K_Ratings'!S20, IF(bbgm_stat &gt;= perc_95, converted_stat * 3, IF(bbgm_stat &gt;= perc_90, converted_stat * 2, IF(bbgm_stat &gt;= perc_85, converted_stat * 1.5, converted_stat)))))</f>
        <v/>
      </c>
      <c r="T20" s="30" t="str">
        <f t="array" ref="T20">IF($A20="", "", LET(bbgm_stat, INDEX(Players!$A19:$P19, MATCH(T$2, Players!$A$1:$P$1, 0)), perc_75, VLOOKUP(T$2, Percentiles!$A$45:$I$59, 6, FALSE), perc_90, VLOOKUP(T$2, Percentiles!$A$45:$I$59, 7, FALSE), perc_95, VLOOKUP(T$2, Percentiles!$A$45:$I$59, 8, FALSE), perc_85, perc_75 + (perc_90 - perc_75) * (2/3), converted_stat, '2K_Ratings'!T20, IF(bbgm_stat &gt;= perc_95, converted_stat * 3, IF(bbgm_stat &gt;= perc_90, converted_stat * 2, IF(bbgm_stat &gt;= perc_85, converted_stat * 1.5, converted_stat)))))</f>
        <v/>
      </c>
      <c r="U20" s="30" t="str">
        <f t="array" ref="U20">IF($A20="", "", LET(bbgm_stat, INDEX(Players!$A19:$P19, MATCH(U$2, Players!$A$1:$P$1, 0)), perc_75, VLOOKUP(U$2, Percentiles!$A$45:$I$59, 6, FALSE), perc_90, VLOOKUP(U$2, Percentiles!$A$45:$I$59, 7, FALSE), perc_95, VLOOKUP(U$2, Percentiles!$A$45:$I$59, 8, FALSE), perc_85, perc_75 + (perc_90 - perc_75) * (2/3), converted_stat, '2K_Ratings'!U20, IF(bbgm_stat &gt;= perc_95, converted_stat * 3, IF(bbgm_stat &gt;= perc_90, converted_stat * 2, IF(bbgm_stat &gt;= perc_85, converted_stat * 1.5, converted_stat)))))</f>
        <v/>
      </c>
      <c r="V20" s="30" t="str">
        <f t="array" ref="V20">IF($A20="", "", LET(bbgm_stat, INDEX(Players!$A19:$P19, MATCH(V$2, Players!$A$1:$P$1, 0)), perc_75, VLOOKUP(V$2, Percentiles!$A$45:$I$59, 6, FALSE), perc_90, VLOOKUP(V$2, Percentiles!$A$45:$I$59, 7, FALSE), perc_95, VLOOKUP(V$2, Percentiles!$A$45:$I$59, 8, FALSE), perc_85, perc_75 + (perc_90 - perc_75) * (2/3), converted_stat, '2K_Ratings'!V20, IF(bbgm_stat &gt;= perc_95, converted_stat * 3, IF(bbgm_stat &gt;= perc_90, converted_stat * 2, IF(bbgm_stat &gt;= perc_85, converted_stat * 1.5, converted_stat)))))</f>
        <v/>
      </c>
      <c r="W20" s="30" t="str">
        <f t="array" ref="W20">IF($A20="", "", LET(bbgm_stat, INDEX(Players!$A19:$P19, MATCH(W$2, Players!$A$1:$P$1, 0)), perc_75, VLOOKUP(W$2, Percentiles!$A$45:$I$59, 6, FALSE), perc_90, VLOOKUP(W$2, Percentiles!$A$45:$I$59, 7, FALSE), perc_95, VLOOKUP(W$2, Percentiles!$A$45:$I$59, 8, FALSE), perc_85, perc_75 + (perc_90 - perc_75) * (2/3), converted_stat, '2K_Ratings'!W20, IF(bbgm_stat &gt;= perc_95, converted_stat * 3, IF(bbgm_stat &gt;= perc_90, converted_stat * 2, IF(bbgm_stat &gt;= perc_85, converted_stat * 1.5, converted_stat)))))</f>
        <v/>
      </c>
    </row>
    <row r="21">
      <c r="A21" s="30" t="str">
        <f>IF(Players!A20="", "", Players!A20)</f>
        <v/>
      </c>
      <c r="B21" s="30" t="str">
        <f t="array" ref="B21">IF($A21="", "", LET(bbgm_stat, INDEX(Players!$A20:$P20, MATCH(B$2, Players!$A$1:$P$1, 0)), perc_75, VLOOKUP(B$2, Percentiles!$A$45:$I$59, 6, FALSE), perc_90, VLOOKUP(B$2, Percentiles!$A$45:$I$59, 7, FALSE), perc_95, VLOOKUP(B$2, Percentiles!$A$45:$I$59, 8, FALSE), perc_85, perc_75 + (perc_90 - perc_75) * (2/3), converted_stat, '2K_Ratings'!B21, IF(bbgm_stat &gt;= perc_95, converted_stat * 3, IF(bbgm_stat &gt;= perc_90, converted_stat * 2, IF(bbgm_stat &gt;= perc_85, converted_stat * 1.5, converted_stat)))))</f>
        <v/>
      </c>
      <c r="C21" s="30" t="str">
        <f t="array" ref="C21">IF($A21="", "", LET(bbgm_stat, INDEX(Players!$A20:$P20, MATCH(C$2, Players!$A$1:$P$1, 0)), perc_75, VLOOKUP(C$2, Percentiles!$A$45:$I$59, 6, FALSE), perc_90, VLOOKUP(C$2, Percentiles!$A$45:$I$59, 7, FALSE), perc_95, VLOOKUP(C$2, Percentiles!$A$45:$I$59, 8, FALSE), perc_85, perc_75 + (perc_90 - perc_75) * (2/3), converted_stat, '2K_Ratings'!C21, IF(bbgm_stat &gt;= perc_95, converted_stat * 3, IF(bbgm_stat &gt;= perc_90, converted_stat * 2, IF(bbgm_stat &gt;= perc_85, converted_stat * 1.5, converted_stat)))))</f>
        <v/>
      </c>
      <c r="D21" s="30" t="str">
        <f t="array" ref="D21">IF($A21="", "", LET(bbgm_stat, INDEX(Players!$A20:$P20, MATCH(D$2, Players!$A$1:$P$1, 0)), perc_75, VLOOKUP(D$2, Percentiles!$A$45:$I$59, 6, FALSE), perc_90, VLOOKUP(D$2, Percentiles!$A$45:$I$59, 7, FALSE), perc_95, VLOOKUP(D$2, Percentiles!$A$45:$I$59, 8, FALSE), perc_85, perc_75 + (perc_90 - perc_75) * (2/3), converted_stat, '2K_Ratings'!D21, IF(bbgm_stat &gt;= perc_95, converted_stat * 3, IF(bbgm_stat &gt;= perc_90, converted_stat * 2, IF(bbgm_stat &gt;= perc_85, converted_stat * 1.5, converted_stat)))))</f>
        <v/>
      </c>
      <c r="E21" s="30" t="str">
        <f t="array" ref="E21">IF($A21="", "", LET(bbgm_stat, INDEX(Players!$A20:$P20, MATCH(E$2, Players!$A$1:$P$1, 0)), perc_75, VLOOKUP(E$2, Percentiles!$A$45:$I$59, 6, FALSE), perc_90, VLOOKUP(E$2, Percentiles!$A$45:$I$59, 7, FALSE), perc_95, VLOOKUP(E$2, Percentiles!$A$45:$I$59, 8, FALSE), perc_85, perc_75 + (perc_90 - perc_75) * (2/3), converted_stat, '2K_Ratings'!E21, IF(bbgm_stat &gt;= perc_95, converted_stat * 3, IF(bbgm_stat &gt;= perc_90, converted_stat * 2, IF(bbgm_stat &gt;= perc_85, converted_stat * 1.5, converted_stat)))))</f>
        <v/>
      </c>
      <c r="F21" s="30" t="str">
        <f t="array" ref="F21">IF($A21="", "", LET(bbgm_stat, INDEX(Players!$A20:$P20, MATCH(F$2, Players!$A$1:$P$1, 0)), perc_75, VLOOKUP(F$2, Percentiles!$A$45:$I$59, 6, FALSE), perc_90, VLOOKUP(F$2, Percentiles!$A$45:$I$59, 7, FALSE), perc_95, VLOOKUP(F$2, Percentiles!$A$45:$I$59, 8, FALSE), perc_85, perc_75 + (perc_90 - perc_75) * (2/3), converted_stat, '2K_Ratings'!F21, IF(bbgm_stat &gt;= perc_95, converted_stat * 3, IF(bbgm_stat &gt;= perc_90, converted_stat * 2, IF(bbgm_stat &gt;= perc_85, converted_stat * 1.5, converted_stat)))))</f>
        <v/>
      </c>
      <c r="G21" s="30" t="str">
        <f t="array" ref="G21">IF($A21="", "", LET(bbgm_stat, INDEX(Players!$A20:$P20, MATCH(G$2, Players!$A$1:$P$1, 0)), perc_75, VLOOKUP(G$2, Percentiles!$A$45:$I$59, 6, FALSE), perc_90, VLOOKUP(G$2, Percentiles!$A$45:$I$59, 7, FALSE), perc_95, VLOOKUP(G$2, Percentiles!$A$45:$I$59, 8, FALSE), perc_85, perc_75 + (perc_90 - perc_75) * (2/3), converted_stat, '2K_Ratings'!G21, IF(bbgm_stat &gt;= perc_95, converted_stat * 3, IF(bbgm_stat &gt;= perc_90, converted_stat * 2, IF(bbgm_stat &gt;= perc_85, converted_stat * 1.5, converted_stat)))))</f>
        <v/>
      </c>
      <c r="H21" s="30" t="str">
        <f t="array" ref="H21">IF($A21="", "", LET(bbgm_stat, INDEX(Players!$A20:$P20, MATCH(H$2, Players!$A$1:$P$1, 0)), perc_75, VLOOKUP(H$2, Percentiles!$A$45:$I$59, 6, FALSE), perc_90, VLOOKUP(H$2, Percentiles!$A$45:$I$59, 7, FALSE), perc_95, VLOOKUP(H$2, Percentiles!$A$45:$I$59, 8, FALSE), perc_85, perc_75 + (perc_90 - perc_75) * (2/3), converted_stat, '2K_Ratings'!H21, IF(bbgm_stat &gt;= perc_95, converted_stat * 3, IF(bbgm_stat &gt;= perc_90, converted_stat * 2, IF(bbgm_stat &gt;= perc_85, converted_stat * 1.5, converted_stat)))))</f>
        <v/>
      </c>
      <c r="I21" s="30" t="str">
        <f t="array" ref="I21">IF($A21="", "", LET(bbgm_stat, INDEX(Players!$A20:$P20, MATCH(I$2, Players!$A$1:$P$1, 0)), perc_75, VLOOKUP(I$2, Percentiles!$A$45:$I$59, 6, FALSE), perc_90, VLOOKUP(I$2, Percentiles!$A$45:$I$59, 7, FALSE), perc_95, VLOOKUP(I$2, Percentiles!$A$45:$I$59, 8, FALSE), perc_85, perc_75 + (perc_90 - perc_75) * (2/3), converted_stat, '2K_Ratings'!I21, IF(bbgm_stat &gt;= perc_95, converted_stat * 3, IF(bbgm_stat &gt;= perc_90, converted_stat * 2, IF(bbgm_stat &gt;= perc_85, converted_stat * 1.5, converted_stat)))))</f>
        <v/>
      </c>
      <c r="J21" s="30" t="str">
        <f t="array" ref="J21">IF($A21="", "", LET(bbgm_stat, INDEX(Players!$A20:$P20, MATCH(J$2, Players!$A$1:$P$1, 0)), perc_75, VLOOKUP(J$2, Percentiles!$A$45:$I$59, 6, FALSE), perc_90, VLOOKUP(J$2, Percentiles!$A$45:$I$59, 7, FALSE), perc_95, VLOOKUP(J$2, Percentiles!$A$45:$I$59, 8, FALSE), perc_85, perc_75 + (perc_90 - perc_75) * (2/3), converted_stat, '2K_Ratings'!J21, IF(bbgm_stat &gt;= perc_95, converted_stat * 3, IF(bbgm_stat &gt;= perc_90, converted_stat * 2, IF(bbgm_stat &gt;= perc_85, converted_stat * 1.5, converted_stat)))))</f>
        <v/>
      </c>
      <c r="K21" s="30" t="str">
        <f t="array" ref="K21">IF($A21="", "", LET(bbgm_stat, INDEX(Players!$A20:$P20, MATCH(K$2, Players!$A$1:$P$1, 0)), perc_75, VLOOKUP(K$2, Percentiles!$A$45:$I$59, 6, FALSE), perc_90, VLOOKUP(K$2, Percentiles!$A$45:$I$59, 7, FALSE), perc_95, VLOOKUP(K$2, Percentiles!$A$45:$I$59, 8, FALSE), perc_85, perc_75 + (perc_90 - perc_75) * (2/3), converted_stat, '2K_Ratings'!K21, IF(bbgm_stat &gt;= perc_95, converted_stat * 3, IF(bbgm_stat &gt;= perc_90, converted_stat * 2, IF(bbgm_stat &gt;= perc_85, converted_stat * 1.5, converted_stat)))))</f>
        <v/>
      </c>
      <c r="L21" s="30" t="str">
        <f t="array" ref="L21">IF($A21="", "", LET(bbgm_stat, INDEX(Players!$A20:$P20, MATCH(L$2, Players!$A$1:$P$1, 0)), perc_75, VLOOKUP(L$2, Percentiles!$A$45:$I$59, 6, FALSE), perc_90, VLOOKUP(L$2, Percentiles!$A$45:$I$59, 7, FALSE), perc_95, VLOOKUP(L$2, Percentiles!$A$45:$I$59, 8, FALSE), perc_85, perc_75 + (perc_90 - perc_75) * (2/3), converted_stat, '2K_Ratings'!L21, IF(bbgm_stat &gt;= perc_95, converted_stat * 3, IF(bbgm_stat &gt;= perc_90, converted_stat * 2, IF(bbgm_stat &gt;= perc_85, converted_stat * 1.5, converted_stat)))))</f>
        <v/>
      </c>
      <c r="M21" s="30" t="str">
        <f t="array" ref="M21">IF($A21="", "", LET(bbgm_stat, INDEX(Players!$A20:$P20, MATCH(M$2, Players!$A$1:$P$1, 0)), perc_75, VLOOKUP(M$2, Percentiles!$A$45:$I$59, 6, FALSE), perc_90, VLOOKUP(M$2, Percentiles!$A$45:$I$59, 7, FALSE), perc_95, VLOOKUP(M$2, Percentiles!$A$45:$I$59, 8, FALSE), perc_85, perc_75 + (perc_90 - perc_75) * (2/3), converted_stat, '2K_Ratings'!M21, IF(bbgm_stat &gt;= perc_95, converted_stat * 3, IF(bbgm_stat &gt;= perc_90, converted_stat * 2, IF(bbgm_stat &gt;= perc_85, converted_stat * 1.5, converted_stat)))))</f>
        <v/>
      </c>
      <c r="N21" s="30" t="str">
        <f t="array" ref="N21">IF($A21="", "", LET(bbgm_stat, INDEX(Players!$A20:$P20, MATCH(N$2, Players!$A$1:$P$1, 0)), perc_75, VLOOKUP(N$2, Percentiles!$A$45:$I$59, 6, FALSE), perc_90, VLOOKUP(N$2, Percentiles!$A$45:$I$59, 7, FALSE), perc_95, VLOOKUP(N$2, Percentiles!$A$45:$I$59, 8, FALSE), perc_85, perc_75 + (perc_90 - perc_75) * (2/3), converted_stat, '2K_Ratings'!N21, IF(bbgm_stat &gt;= perc_95, converted_stat * 3, IF(bbgm_stat &gt;= perc_90, converted_stat * 2, IF(bbgm_stat &gt;= perc_85, converted_stat * 1.5, converted_stat)))))</f>
        <v/>
      </c>
      <c r="O21" s="30" t="str">
        <f t="array" ref="O21">IF($A21="", "", LET(bbgm_stat, INDEX(Players!$A20:$P20, MATCH(O$2, Players!$A$1:$P$1, 0)), perc_75, VLOOKUP(O$2, Percentiles!$A$45:$I$59, 6, FALSE), perc_90, VLOOKUP(O$2, Percentiles!$A$45:$I$59, 7, FALSE), perc_95, VLOOKUP(O$2, Percentiles!$A$45:$I$59, 8, FALSE), perc_85, perc_75 + (perc_90 - perc_75) * (2/3), converted_stat, '2K_Ratings'!O21, IF(bbgm_stat &gt;= perc_95, converted_stat * 3, IF(bbgm_stat &gt;= perc_90, converted_stat * 2, IF(bbgm_stat &gt;= perc_85, converted_stat * 1.5, converted_stat)))))</f>
        <v/>
      </c>
      <c r="P21" s="30" t="str">
        <f t="array" ref="P21">IF($A21="", "", LET(bbgm_stat, INDEX(Players!$A20:$P20, MATCH(P$2, Players!$A$1:$P$1, 0)), perc_75, VLOOKUP(P$2, Percentiles!$A$45:$I$59, 6, FALSE), perc_90, VLOOKUP(P$2, Percentiles!$A$45:$I$59, 7, FALSE), perc_95, VLOOKUP(P$2, Percentiles!$A$45:$I$59, 8, FALSE), perc_85, perc_75 + (perc_90 - perc_75) * (2/3), converted_stat, '2K_Ratings'!P21, IF(bbgm_stat &gt;= perc_95, converted_stat * 3, IF(bbgm_stat &gt;= perc_90, converted_stat * 2, IF(bbgm_stat &gt;= perc_85, converted_stat * 1.5, converted_stat)))))</f>
        <v/>
      </c>
      <c r="Q21" s="30" t="str">
        <f t="array" ref="Q21">IF($A21="", "", LET(bbgm_stat, INDEX(Players!$A20:$P20, MATCH(Q$2, Players!$A$1:$P$1, 0)), perc_75, VLOOKUP(Q$2, Percentiles!$A$45:$I$59, 6, FALSE), perc_90, VLOOKUP(Q$2, Percentiles!$A$45:$I$59, 7, FALSE), perc_95, VLOOKUP(Q$2, Percentiles!$A$45:$I$59, 8, FALSE), perc_85, perc_75 + (perc_90 - perc_75) * (2/3), converted_stat, '2K_Ratings'!Q21, IF(bbgm_stat &gt;= perc_95, converted_stat * 3, IF(bbgm_stat &gt;= perc_90, converted_stat * 2, IF(bbgm_stat &gt;= perc_85, converted_stat * 1.5, converted_stat)))))</f>
        <v/>
      </c>
      <c r="R21" s="30" t="str">
        <f t="array" ref="R21">IF($A21="", "", LET(bbgm_stat, INDEX(Players!$A20:$P20, MATCH(R$2, Players!$A$1:$P$1, 0)), perc_75, VLOOKUP(R$2, Percentiles!$A$45:$I$59, 6, FALSE), perc_90, VLOOKUP(R$2, Percentiles!$A$45:$I$59, 7, FALSE), perc_95, VLOOKUP(R$2, Percentiles!$A$45:$I$59, 8, FALSE), perc_85, perc_75 + (perc_90 - perc_75) * (2/3), converted_stat, '2K_Ratings'!R21, IF(bbgm_stat &gt;= perc_95, converted_stat * 3, IF(bbgm_stat &gt;= perc_90, converted_stat * 2, IF(bbgm_stat &gt;= perc_85, converted_stat * 1.5, converted_stat)))))</f>
        <v/>
      </c>
      <c r="S21" s="30" t="str">
        <f t="array" ref="S21">IF($A21="", "", LET(bbgm_stat, INDEX(Players!$A20:$P20, MATCH(S$2, Players!$A$1:$P$1, 0)), perc_75, VLOOKUP(S$2, Percentiles!$A$45:$I$59, 6, FALSE), perc_90, VLOOKUP(S$2, Percentiles!$A$45:$I$59, 7, FALSE), perc_95, VLOOKUP(S$2, Percentiles!$A$45:$I$59, 8, FALSE), perc_85, perc_75 + (perc_90 - perc_75) * (2/3), converted_stat, '2K_Ratings'!S21, IF(bbgm_stat &gt;= perc_95, converted_stat * 3, IF(bbgm_stat &gt;= perc_90, converted_stat * 2, IF(bbgm_stat &gt;= perc_85, converted_stat * 1.5, converted_stat)))))</f>
        <v/>
      </c>
      <c r="T21" s="30" t="str">
        <f t="array" ref="T21">IF($A21="", "", LET(bbgm_stat, INDEX(Players!$A20:$P20, MATCH(T$2, Players!$A$1:$P$1, 0)), perc_75, VLOOKUP(T$2, Percentiles!$A$45:$I$59, 6, FALSE), perc_90, VLOOKUP(T$2, Percentiles!$A$45:$I$59, 7, FALSE), perc_95, VLOOKUP(T$2, Percentiles!$A$45:$I$59, 8, FALSE), perc_85, perc_75 + (perc_90 - perc_75) * (2/3), converted_stat, '2K_Ratings'!T21, IF(bbgm_stat &gt;= perc_95, converted_stat * 3, IF(bbgm_stat &gt;= perc_90, converted_stat * 2, IF(bbgm_stat &gt;= perc_85, converted_stat * 1.5, converted_stat)))))</f>
        <v/>
      </c>
      <c r="U21" s="30" t="str">
        <f t="array" ref="U21">IF($A21="", "", LET(bbgm_stat, INDEX(Players!$A20:$P20, MATCH(U$2, Players!$A$1:$P$1, 0)), perc_75, VLOOKUP(U$2, Percentiles!$A$45:$I$59, 6, FALSE), perc_90, VLOOKUP(U$2, Percentiles!$A$45:$I$59, 7, FALSE), perc_95, VLOOKUP(U$2, Percentiles!$A$45:$I$59, 8, FALSE), perc_85, perc_75 + (perc_90 - perc_75) * (2/3), converted_stat, '2K_Ratings'!U21, IF(bbgm_stat &gt;= perc_95, converted_stat * 3, IF(bbgm_stat &gt;= perc_90, converted_stat * 2, IF(bbgm_stat &gt;= perc_85, converted_stat * 1.5, converted_stat)))))</f>
        <v/>
      </c>
      <c r="V21" s="30" t="str">
        <f t="array" ref="V21">IF($A21="", "", LET(bbgm_stat, INDEX(Players!$A20:$P20, MATCH(V$2, Players!$A$1:$P$1, 0)), perc_75, VLOOKUP(V$2, Percentiles!$A$45:$I$59, 6, FALSE), perc_90, VLOOKUP(V$2, Percentiles!$A$45:$I$59, 7, FALSE), perc_95, VLOOKUP(V$2, Percentiles!$A$45:$I$59, 8, FALSE), perc_85, perc_75 + (perc_90 - perc_75) * (2/3), converted_stat, '2K_Ratings'!V21, IF(bbgm_stat &gt;= perc_95, converted_stat * 3, IF(bbgm_stat &gt;= perc_90, converted_stat * 2, IF(bbgm_stat &gt;= perc_85, converted_stat * 1.5, converted_stat)))))</f>
        <v/>
      </c>
      <c r="W21" s="30" t="str">
        <f t="array" ref="W21">IF($A21="", "", LET(bbgm_stat, INDEX(Players!$A20:$P20, MATCH(W$2, Players!$A$1:$P$1, 0)), perc_75, VLOOKUP(W$2, Percentiles!$A$45:$I$59, 6, FALSE), perc_90, VLOOKUP(W$2, Percentiles!$A$45:$I$59, 7, FALSE), perc_95, VLOOKUP(W$2, Percentiles!$A$45:$I$59, 8, FALSE), perc_85, perc_75 + (perc_90 - perc_75) * (2/3), converted_stat, '2K_Ratings'!W21, IF(bbgm_stat &gt;= perc_95, converted_stat * 3, IF(bbgm_stat &gt;= perc_90, converted_stat * 2, IF(bbgm_stat &gt;= perc_85, converted_stat * 1.5, converted_stat)))))</f>
        <v/>
      </c>
    </row>
    <row r="22">
      <c r="A22" s="30" t="str">
        <f>IF(Players!A21="", "", Players!A21)</f>
        <v/>
      </c>
      <c r="B22" s="30" t="str">
        <f t="array" ref="B22">IF($A22="", "", LET(bbgm_stat, INDEX(Players!$A21:$P21, MATCH(B$2, Players!$A$1:$P$1, 0)), perc_75, VLOOKUP(B$2, Percentiles!$A$45:$I$59, 6, FALSE), perc_90, VLOOKUP(B$2, Percentiles!$A$45:$I$59, 7, FALSE), perc_95, VLOOKUP(B$2, Percentiles!$A$45:$I$59, 8, FALSE), perc_85, perc_75 + (perc_90 - perc_75) * (2/3), converted_stat, '2K_Ratings'!B22, IF(bbgm_stat &gt;= perc_95, converted_stat * 3, IF(bbgm_stat &gt;= perc_90, converted_stat * 2, IF(bbgm_stat &gt;= perc_85, converted_stat * 1.5, converted_stat)))))</f>
        <v/>
      </c>
      <c r="C22" s="30" t="str">
        <f t="array" ref="C22">IF($A22="", "", LET(bbgm_stat, INDEX(Players!$A21:$P21, MATCH(C$2, Players!$A$1:$P$1, 0)), perc_75, VLOOKUP(C$2, Percentiles!$A$45:$I$59, 6, FALSE), perc_90, VLOOKUP(C$2, Percentiles!$A$45:$I$59, 7, FALSE), perc_95, VLOOKUP(C$2, Percentiles!$A$45:$I$59, 8, FALSE), perc_85, perc_75 + (perc_90 - perc_75) * (2/3), converted_stat, '2K_Ratings'!C22, IF(bbgm_stat &gt;= perc_95, converted_stat * 3, IF(bbgm_stat &gt;= perc_90, converted_stat * 2, IF(bbgm_stat &gt;= perc_85, converted_stat * 1.5, converted_stat)))))</f>
        <v/>
      </c>
      <c r="D22" s="30" t="str">
        <f t="array" ref="D22">IF($A22="", "", LET(bbgm_stat, INDEX(Players!$A21:$P21, MATCH(D$2, Players!$A$1:$P$1, 0)), perc_75, VLOOKUP(D$2, Percentiles!$A$45:$I$59, 6, FALSE), perc_90, VLOOKUP(D$2, Percentiles!$A$45:$I$59, 7, FALSE), perc_95, VLOOKUP(D$2, Percentiles!$A$45:$I$59, 8, FALSE), perc_85, perc_75 + (perc_90 - perc_75) * (2/3), converted_stat, '2K_Ratings'!D22, IF(bbgm_stat &gt;= perc_95, converted_stat * 3, IF(bbgm_stat &gt;= perc_90, converted_stat * 2, IF(bbgm_stat &gt;= perc_85, converted_stat * 1.5, converted_stat)))))</f>
        <v/>
      </c>
      <c r="E22" s="30" t="str">
        <f t="array" ref="E22">IF($A22="", "", LET(bbgm_stat, INDEX(Players!$A21:$P21, MATCH(E$2, Players!$A$1:$P$1, 0)), perc_75, VLOOKUP(E$2, Percentiles!$A$45:$I$59, 6, FALSE), perc_90, VLOOKUP(E$2, Percentiles!$A$45:$I$59, 7, FALSE), perc_95, VLOOKUP(E$2, Percentiles!$A$45:$I$59, 8, FALSE), perc_85, perc_75 + (perc_90 - perc_75) * (2/3), converted_stat, '2K_Ratings'!E22, IF(bbgm_stat &gt;= perc_95, converted_stat * 3, IF(bbgm_stat &gt;= perc_90, converted_stat * 2, IF(bbgm_stat &gt;= perc_85, converted_stat * 1.5, converted_stat)))))</f>
        <v/>
      </c>
      <c r="F22" s="30" t="str">
        <f t="array" ref="F22">IF($A22="", "", LET(bbgm_stat, INDEX(Players!$A21:$P21, MATCH(F$2, Players!$A$1:$P$1, 0)), perc_75, VLOOKUP(F$2, Percentiles!$A$45:$I$59, 6, FALSE), perc_90, VLOOKUP(F$2, Percentiles!$A$45:$I$59, 7, FALSE), perc_95, VLOOKUP(F$2, Percentiles!$A$45:$I$59, 8, FALSE), perc_85, perc_75 + (perc_90 - perc_75) * (2/3), converted_stat, '2K_Ratings'!F22, IF(bbgm_stat &gt;= perc_95, converted_stat * 3, IF(bbgm_stat &gt;= perc_90, converted_stat * 2, IF(bbgm_stat &gt;= perc_85, converted_stat * 1.5, converted_stat)))))</f>
        <v/>
      </c>
      <c r="G22" s="30" t="str">
        <f t="array" ref="G22">IF($A22="", "", LET(bbgm_stat, INDEX(Players!$A21:$P21, MATCH(G$2, Players!$A$1:$P$1, 0)), perc_75, VLOOKUP(G$2, Percentiles!$A$45:$I$59, 6, FALSE), perc_90, VLOOKUP(G$2, Percentiles!$A$45:$I$59, 7, FALSE), perc_95, VLOOKUP(G$2, Percentiles!$A$45:$I$59, 8, FALSE), perc_85, perc_75 + (perc_90 - perc_75) * (2/3), converted_stat, '2K_Ratings'!G22, IF(bbgm_stat &gt;= perc_95, converted_stat * 3, IF(bbgm_stat &gt;= perc_90, converted_stat * 2, IF(bbgm_stat &gt;= perc_85, converted_stat * 1.5, converted_stat)))))</f>
        <v/>
      </c>
      <c r="H22" s="30" t="str">
        <f t="array" ref="H22">IF($A22="", "", LET(bbgm_stat, INDEX(Players!$A21:$P21, MATCH(H$2, Players!$A$1:$P$1, 0)), perc_75, VLOOKUP(H$2, Percentiles!$A$45:$I$59, 6, FALSE), perc_90, VLOOKUP(H$2, Percentiles!$A$45:$I$59, 7, FALSE), perc_95, VLOOKUP(H$2, Percentiles!$A$45:$I$59, 8, FALSE), perc_85, perc_75 + (perc_90 - perc_75) * (2/3), converted_stat, '2K_Ratings'!H22, IF(bbgm_stat &gt;= perc_95, converted_stat * 3, IF(bbgm_stat &gt;= perc_90, converted_stat * 2, IF(bbgm_stat &gt;= perc_85, converted_stat * 1.5, converted_stat)))))</f>
        <v/>
      </c>
      <c r="I22" s="30" t="str">
        <f t="array" ref="I22">IF($A22="", "", LET(bbgm_stat, INDEX(Players!$A21:$P21, MATCH(I$2, Players!$A$1:$P$1, 0)), perc_75, VLOOKUP(I$2, Percentiles!$A$45:$I$59, 6, FALSE), perc_90, VLOOKUP(I$2, Percentiles!$A$45:$I$59, 7, FALSE), perc_95, VLOOKUP(I$2, Percentiles!$A$45:$I$59, 8, FALSE), perc_85, perc_75 + (perc_90 - perc_75) * (2/3), converted_stat, '2K_Ratings'!I22, IF(bbgm_stat &gt;= perc_95, converted_stat * 3, IF(bbgm_stat &gt;= perc_90, converted_stat * 2, IF(bbgm_stat &gt;= perc_85, converted_stat * 1.5, converted_stat)))))</f>
        <v/>
      </c>
      <c r="J22" s="30" t="str">
        <f t="array" ref="J22">IF($A22="", "", LET(bbgm_stat, INDEX(Players!$A21:$P21, MATCH(J$2, Players!$A$1:$P$1, 0)), perc_75, VLOOKUP(J$2, Percentiles!$A$45:$I$59, 6, FALSE), perc_90, VLOOKUP(J$2, Percentiles!$A$45:$I$59, 7, FALSE), perc_95, VLOOKUP(J$2, Percentiles!$A$45:$I$59, 8, FALSE), perc_85, perc_75 + (perc_90 - perc_75) * (2/3), converted_stat, '2K_Ratings'!J22, IF(bbgm_stat &gt;= perc_95, converted_stat * 3, IF(bbgm_stat &gt;= perc_90, converted_stat * 2, IF(bbgm_stat &gt;= perc_85, converted_stat * 1.5, converted_stat)))))</f>
        <v/>
      </c>
      <c r="K22" s="30" t="str">
        <f t="array" ref="K22">IF($A22="", "", LET(bbgm_stat, INDEX(Players!$A21:$P21, MATCH(K$2, Players!$A$1:$P$1, 0)), perc_75, VLOOKUP(K$2, Percentiles!$A$45:$I$59, 6, FALSE), perc_90, VLOOKUP(K$2, Percentiles!$A$45:$I$59, 7, FALSE), perc_95, VLOOKUP(K$2, Percentiles!$A$45:$I$59, 8, FALSE), perc_85, perc_75 + (perc_90 - perc_75) * (2/3), converted_stat, '2K_Ratings'!K22, IF(bbgm_stat &gt;= perc_95, converted_stat * 3, IF(bbgm_stat &gt;= perc_90, converted_stat * 2, IF(bbgm_stat &gt;= perc_85, converted_stat * 1.5, converted_stat)))))</f>
        <v/>
      </c>
      <c r="L22" s="30" t="str">
        <f t="array" ref="L22">IF($A22="", "", LET(bbgm_stat, INDEX(Players!$A21:$P21, MATCH(L$2, Players!$A$1:$P$1, 0)), perc_75, VLOOKUP(L$2, Percentiles!$A$45:$I$59, 6, FALSE), perc_90, VLOOKUP(L$2, Percentiles!$A$45:$I$59, 7, FALSE), perc_95, VLOOKUP(L$2, Percentiles!$A$45:$I$59, 8, FALSE), perc_85, perc_75 + (perc_90 - perc_75) * (2/3), converted_stat, '2K_Ratings'!L22, IF(bbgm_stat &gt;= perc_95, converted_stat * 3, IF(bbgm_stat &gt;= perc_90, converted_stat * 2, IF(bbgm_stat &gt;= perc_85, converted_stat * 1.5, converted_stat)))))</f>
        <v/>
      </c>
      <c r="M22" s="30" t="str">
        <f t="array" ref="M22">IF($A22="", "", LET(bbgm_stat, INDEX(Players!$A21:$P21, MATCH(M$2, Players!$A$1:$P$1, 0)), perc_75, VLOOKUP(M$2, Percentiles!$A$45:$I$59, 6, FALSE), perc_90, VLOOKUP(M$2, Percentiles!$A$45:$I$59, 7, FALSE), perc_95, VLOOKUP(M$2, Percentiles!$A$45:$I$59, 8, FALSE), perc_85, perc_75 + (perc_90 - perc_75) * (2/3), converted_stat, '2K_Ratings'!M22, IF(bbgm_stat &gt;= perc_95, converted_stat * 3, IF(bbgm_stat &gt;= perc_90, converted_stat * 2, IF(bbgm_stat &gt;= perc_85, converted_stat * 1.5, converted_stat)))))</f>
        <v/>
      </c>
      <c r="N22" s="30" t="str">
        <f t="array" ref="N22">IF($A22="", "", LET(bbgm_stat, INDEX(Players!$A21:$P21, MATCH(N$2, Players!$A$1:$P$1, 0)), perc_75, VLOOKUP(N$2, Percentiles!$A$45:$I$59, 6, FALSE), perc_90, VLOOKUP(N$2, Percentiles!$A$45:$I$59, 7, FALSE), perc_95, VLOOKUP(N$2, Percentiles!$A$45:$I$59, 8, FALSE), perc_85, perc_75 + (perc_90 - perc_75) * (2/3), converted_stat, '2K_Ratings'!N22, IF(bbgm_stat &gt;= perc_95, converted_stat * 3, IF(bbgm_stat &gt;= perc_90, converted_stat * 2, IF(bbgm_stat &gt;= perc_85, converted_stat * 1.5, converted_stat)))))</f>
        <v/>
      </c>
      <c r="O22" s="30" t="str">
        <f t="array" ref="O22">IF($A22="", "", LET(bbgm_stat, INDEX(Players!$A21:$P21, MATCH(O$2, Players!$A$1:$P$1, 0)), perc_75, VLOOKUP(O$2, Percentiles!$A$45:$I$59, 6, FALSE), perc_90, VLOOKUP(O$2, Percentiles!$A$45:$I$59, 7, FALSE), perc_95, VLOOKUP(O$2, Percentiles!$A$45:$I$59, 8, FALSE), perc_85, perc_75 + (perc_90 - perc_75) * (2/3), converted_stat, '2K_Ratings'!O22, IF(bbgm_stat &gt;= perc_95, converted_stat * 3, IF(bbgm_stat &gt;= perc_90, converted_stat * 2, IF(bbgm_stat &gt;= perc_85, converted_stat * 1.5, converted_stat)))))</f>
        <v/>
      </c>
      <c r="P22" s="30" t="str">
        <f t="array" ref="P22">IF($A22="", "", LET(bbgm_stat, INDEX(Players!$A21:$P21, MATCH(P$2, Players!$A$1:$P$1, 0)), perc_75, VLOOKUP(P$2, Percentiles!$A$45:$I$59, 6, FALSE), perc_90, VLOOKUP(P$2, Percentiles!$A$45:$I$59, 7, FALSE), perc_95, VLOOKUP(P$2, Percentiles!$A$45:$I$59, 8, FALSE), perc_85, perc_75 + (perc_90 - perc_75) * (2/3), converted_stat, '2K_Ratings'!P22, IF(bbgm_stat &gt;= perc_95, converted_stat * 3, IF(bbgm_stat &gt;= perc_90, converted_stat * 2, IF(bbgm_stat &gt;= perc_85, converted_stat * 1.5, converted_stat)))))</f>
        <v/>
      </c>
      <c r="Q22" s="30" t="str">
        <f t="array" ref="Q22">IF($A22="", "", LET(bbgm_stat, INDEX(Players!$A21:$P21, MATCH(Q$2, Players!$A$1:$P$1, 0)), perc_75, VLOOKUP(Q$2, Percentiles!$A$45:$I$59, 6, FALSE), perc_90, VLOOKUP(Q$2, Percentiles!$A$45:$I$59, 7, FALSE), perc_95, VLOOKUP(Q$2, Percentiles!$A$45:$I$59, 8, FALSE), perc_85, perc_75 + (perc_90 - perc_75) * (2/3), converted_stat, '2K_Ratings'!Q22, IF(bbgm_stat &gt;= perc_95, converted_stat * 3, IF(bbgm_stat &gt;= perc_90, converted_stat * 2, IF(bbgm_stat &gt;= perc_85, converted_stat * 1.5, converted_stat)))))</f>
        <v/>
      </c>
      <c r="R22" s="30" t="str">
        <f t="array" ref="R22">IF($A22="", "", LET(bbgm_stat, INDEX(Players!$A21:$P21, MATCH(R$2, Players!$A$1:$P$1, 0)), perc_75, VLOOKUP(R$2, Percentiles!$A$45:$I$59, 6, FALSE), perc_90, VLOOKUP(R$2, Percentiles!$A$45:$I$59, 7, FALSE), perc_95, VLOOKUP(R$2, Percentiles!$A$45:$I$59, 8, FALSE), perc_85, perc_75 + (perc_90 - perc_75) * (2/3), converted_stat, '2K_Ratings'!R22, IF(bbgm_stat &gt;= perc_95, converted_stat * 3, IF(bbgm_stat &gt;= perc_90, converted_stat * 2, IF(bbgm_stat &gt;= perc_85, converted_stat * 1.5, converted_stat)))))</f>
        <v/>
      </c>
      <c r="S22" s="30" t="str">
        <f t="array" ref="S22">IF($A22="", "", LET(bbgm_stat, INDEX(Players!$A21:$P21, MATCH(S$2, Players!$A$1:$P$1, 0)), perc_75, VLOOKUP(S$2, Percentiles!$A$45:$I$59, 6, FALSE), perc_90, VLOOKUP(S$2, Percentiles!$A$45:$I$59, 7, FALSE), perc_95, VLOOKUP(S$2, Percentiles!$A$45:$I$59, 8, FALSE), perc_85, perc_75 + (perc_90 - perc_75) * (2/3), converted_stat, '2K_Ratings'!S22, IF(bbgm_stat &gt;= perc_95, converted_stat * 3, IF(bbgm_stat &gt;= perc_90, converted_stat * 2, IF(bbgm_stat &gt;= perc_85, converted_stat * 1.5, converted_stat)))))</f>
        <v/>
      </c>
      <c r="T22" s="30" t="str">
        <f t="array" ref="T22">IF($A22="", "", LET(bbgm_stat, INDEX(Players!$A21:$P21, MATCH(T$2, Players!$A$1:$P$1, 0)), perc_75, VLOOKUP(T$2, Percentiles!$A$45:$I$59, 6, FALSE), perc_90, VLOOKUP(T$2, Percentiles!$A$45:$I$59, 7, FALSE), perc_95, VLOOKUP(T$2, Percentiles!$A$45:$I$59, 8, FALSE), perc_85, perc_75 + (perc_90 - perc_75) * (2/3), converted_stat, '2K_Ratings'!T22, IF(bbgm_stat &gt;= perc_95, converted_stat * 3, IF(bbgm_stat &gt;= perc_90, converted_stat * 2, IF(bbgm_stat &gt;= perc_85, converted_stat * 1.5, converted_stat)))))</f>
        <v/>
      </c>
      <c r="U22" s="30" t="str">
        <f t="array" ref="U22">IF($A22="", "", LET(bbgm_stat, INDEX(Players!$A21:$P21, MATCH(U$2, Players!$A$1:$P$1, 0)), perc_75, VLOOKUP(U$2, Percentiles!$A$45:$I$59, 6, FALSE), perc_90, VLOOKUP(U$2, Percentiles!$A$45:$I$59, 7, FALSE), perc_95, VLOOKUP(U$2, Percentiles!$A$45:$I$59, 8, FALSE), perc_85, perc_75 + (perc_90 - perc_75) * (2/3), converted_stat, '2K_Ratings'!U22, IF(bbgm_stat &gt;= perc_95, converted_stat * 3, IF(bbgm_stat &gt;= perc_90, converted_stat * 2, IF(bbgm_stat &gt;= perc_85, converted_stat * 1.5, converted_stat)))))</f>
        <v/>
      </c>
      <c r="V22" s="30" t="str">
        <f t="array" ref="V22">IF($A22="", "", LET(bbgm_stat, INDEX(Players!$A21:$P21, MATCH(V$2, Players!$A$1:$P$1, 0)), perc_75, VLOOKUP(V$2, Percentiles!$A$45:$I$59, 6, FALSE), perc_90, VLOOKUP(V$2, Percentiles!$A$45:$I$59, 7, FALSE), perc_95, VLOOKUP(V$2, Percentiles!$A$45:$I$59, 8, FALSE), perc_85, perc_75 + (perc_90 - perc_75) * (2/3), converted_stat, '2K_Ratings'!V22, IF(bbgm_stat &gt;= perc_95, converted_stat * 3, IF(bbgm_stat &gt;= perc_90, converted_stat * 2, IF(bbgm_stat &gt;= perc_85, converted_stat * 1.5, converted_stat)))))</f>
        <v/>
      </c>
      <c r="W22" s="30" t="str">
        <f t="array" ref="W22">IF($A22="", "", LET(bbgm_stat, INDEX(Players!$A21:$P21, MATCH(W$2, Players!$A$1:$P$1, 0)), perc_75, VLOOKUP(W$2, Percentiles!$A$45:$I$59, 6, FALSE), perc_90, VLOOKUP(W$2, Percentiles!$A$45:$I$59, 7, FALSE), perc_95, VLOOKUP(W$2, Percentiles!$A$45:$I$59, 8, FALSE), perc_85, perc_75 + (perc_90 - perc_75) * (2/3), converted_stat, '2K_Ratings'!W22, IF(bbgm_stat &gt;= perc_95, converted_stat * 3, IF(bbgm_stat &gt;= perc_90, converted_stat * 2, IF(bbgm_stat &gt;= perc_85, converted_stat * 1.5, converted_stat)))))</f>
        <v/>
      </c>
    </row>
    <row r="23">
      <c r="A23" s="30" t="str">
        <f>IF(Players!A22="", "", Players!A22)</f>
        <v/>
      </c>
      <c r="B23" s="30" t="str">
        <f t="array" ref="B23">IF($A23="", "", LET(bbgm_stat, INDEX(Players!$A22:$P22, MATCH(B$2, Players!$A$1:$P$1, 0)), perc_75, VLOOKUP(B$2, Percentiles!$A$45:$I$59, 6, FALSE), perc_90, VLOOKUP(B$2, Percentiles!$A$45:$I$59, 7, FALSE), perc_95, VLOOKUP(B$2, Percentiles!$A$45:$I$59, 8, FALSE), perc_85, perc_75 + (perc_90 - perc_75) * (2/3), converted_stat, '2K_Ratings'!B23, IF(bbgm_stat &gt;= perc_95, converted_stat * 3, IF(bbgm_stat &gt;= perc_90, converted_stat * 2, IF(bbgm_stat &gt;= perc_85, converted_stat * 1.5, converted_stat)))))</f>
        <v/>
      </c>
      <c r="C23" s="30" t="str">
        <f t="array" ref="C23">IF($A23="", "", LET(bbgm_stat, INDEX(Players!$A22:$P22, MATCH(C$2, Players!$A$1:$P$1, 0)), perc_75, VLOOKUP(C$2, Percentiles!$A$45:$I$59, 6, FALSE), perc_90, VLOOKUP(C$2, Percentiles!$A$45:$I$59, 7, FALSE), perc_95, VLOOKUP(C$2, Percentiles!$A$45:$I$59, 8, FALSE), perc_85, perc_75 + (perc_90 - perc_75) * (2/3), converted_stat, '2K_Ratings'!C23, IF(bbgm_stat &gt;= perc_95, converted_stat * 3, IF(bbgm_stat &gt;= perc_90, converted_stat * 2, IF(bbgm_stat &gt;= perc_85, converted_stat * 1.5, converted_stat)))))</f>
        <v/>
      </c>
      <c r="D23" s="30" t="str">
        <f t="array" ref="D23">IF($A23="", "", LET(bbgm_stat, INDEX(Players!$A22:$P22, MATCH(D$2, Players!$A$1:$P$1, 0)), perc_75, VLOOKUP(D$2, Percentiles!$A$45:$I$59, 6, FALSE), perc_90, VLOOKUP(D$2, Percentiles!$A$45:$I$59, 7, FALSE), perc_95, VLOOKUP(D$2, Percentiles!$A$45:$I$59, 8, FALSE), perc_85, perc_75 + (perc_90 - perc_75) * (2/3), converted_stat, '2K_Ratings'!D23, IF(bbgm_stat &gt;= perc_95, converted_stat * 3, IF(bbgm_stat &gt;= perc_90, converted_stat * 2, IF(bbgm_stat &gt;= perc_85, converted_stat * 1.5, converted_stat)))))</f>
        <v/>
      </c>
      <c r="E23" s="30" t="str">
        <f t="array" ref="E23">IF($A23="", "", LET(bbgm_stat, INDEX(Players!$A22:$P22, MATCH(E$2, Players!$A$1:$P$1, 0)), perc_75, VLOOKUP(E$2, Percentiles!$A$45:$I$59, 6, FALSE), perc_90, VLOOKUP(E$2, Percentiles!$A$45:$I$59, 7, FALSE), perc_95, VLOOKUP(E$2, Percentiles!$A$45:$I$59, 8, FALSE), perc_85, perc_75 + (perc_90 - perc_75) * (2/3), converted_stat, '2K_Ratings'!E23, IF(bbgm_stat &gt;= perc_95, converted_stat * 3, IF(bbgm_stat &gt;= perc_90, converted_stat * 2, IF(bbgm_stat &gt;= perc_85, converted_stat * 1.5, converted_stat)))))</f>
        <v/>
      </c>
      <c r="F23" s="30" t="str">
        <f t="array" ref="F23">IF($A23="", "", LET(bbgm_stat, INDEX(Players!$A22:$P22, MATCH(F$2, Players!$A$1:$P$1, 0)), perc_75, VLOOKUP(F$2, Percentiles!$A$45:$I$59, 6, FALSE), perc_90, VLOOKUP(F$2, Percentiles!$A$45:$I$59, 7, FALSE), perc_95, VLOOKUP(F$2, Percentiles!$A$45:$I$59, 8, FALSE), perc_85, perc_75 + (perc_90 - perc_75) * (2/3), converted_stat, '2K_Ratings'!F23, IF(bbgm_stat &gt;= perc_95, converted_stat * 3, IF(bbgm_stat &gt;= perc_90, converted_stat * 2, IF(bbgm_stat &gt;= perc_85, converted_stat * 1.5, converted_stat)))))</f>
        <v/>
      </c>
      <c r="G23" s="30" t="str">
        <f t="array" ref="G23">IF($A23="", "", LET(bbgm_stat, INDEX(Players!$A22:$P22, MATCH(G$2, Players!$A$1:$P$1, 0)), perc_75, VLOOKUP(G$2, Percentiles!$A$45:$I$59, 6, FALSE), perc_90, VLOOKUP(G$2, Percentiles!$A$45:$I$59, 7, FALSE), perc_95, VLOOKUP(G$2, Percentiles!$A$45:$I$59, 8, FALSE), perc_85, perc_75 + (perc_90 - perc_75) * (2/3), converted_stat, '2K_Ratings'!G23, IF(bbgm_stat &gt;= perc_95, converted_stat * 3, IF(bbgm_stat &gt;= perc_90, converted_stat * 2, IF(bbgm_stat &gt;= perc_85, converted_stat * 1.5, converted_stat)))))</f>
        <v/>
      </c>
      <c r="H23" s="30" t="str">
        <f t="array" ref="H23">IF($A23="", "", LET(bbgm_stat, INDEX(Players!$A22:$P22, MATCH(H$2, Players!$A$1:$P$1, 0)), perc_75, VLOOKUP(H$2, Percentiles!$A$45:$I$59, 6, FALSE), perc_90, VLOOKUP(H$2, Percentiles!$A$45:$I$59, 7, FALSE), perc_95, VLOOKUP(H$2, Percentiles!$A$45:$I$59, 8, FALSE), perc_85, perc_75 + (perc_90 - perc_75) * (2/3), converted_stat, '2K_Ratings'!H23, IF(bbgm_stat &gt;= perc_95, converted_stat * 3, IF(bbgm_stat &gt;= perc_90, converted_stat * 2, IF(bbgm_stat &gt;= perc_85, converted_stat * 1.5, converted_stat)))))</f>
        <v/>
      </c>
      <c r="I23" s="30" t="str">
        <f t="array" ref="I23">IF($A23="", "", LET(bbgm_stat, INDEX(Players!$A22:$P22, MATCH(I$2, Players!$A$1:$P$1, 0)), perc_75, VLOOKUP(I$2, Percentiles!$A$45:$I$59, 6, FALSE), perc_90, VLOOKUP(I$2, Percentiles!$A$45:$I$59, 7, FALSE), perc_95, VLOOKUP(I$2, Percentiles!$A$45:$I$59, 8, FALSE), perc_85, perc_75 + (perc_90 - perc_75) * (2/3), converted_stat, '2K_Ratings'!I23, IF(bbgm_stat &gt;= perc_95, converted_stat * 3, IF(bbgm_stat &gt;= perc_90, converted_stat * 2, IF(bbgm_stat &gt;= perc_85, converted_stat * 1.5, converted_stat)))))</f>
        <v/>
      </c>
      <c r="J23" s="30" t="str">
        <f t="array" ref="J23">IF($A23="", "", LET(bbgm_stat, INDEX(Players!$A22:$P22, MATCH(J$2, Players!$A$1:$P$1, 0)), perc_75, VLOOKUP(J$2, Percentiles!$A$45:$I$59, 6, FALSE), perc_90, VLOOKUP(J$2, Percentiles!$A$45:$I$59, 7, FALSE), perc_95, VLOOKUP(J$2, Percentiles!$A$45:$I$59, 8, FALSE), perc_85, perc_75 + (perc_90 - perc_75) * (2/3), converted_stat, '2K_Ratings'!J23, IF(bbgm_stat &gt;= perc_95, converted_stat * 3, IF(bbgm_stat &gt;= perc_90, converted_stat * 2, IF(bbgm_stat &gt;= perc_85, converted_stat * 1.5, converted_stat)))))</f>
        <v/>
      </c>
      <c r="K23" s="30" t="str">
        <f t="array" ref="K23">IF($A23="", "", LET(bbgm_stat, INDEX(Players!$A22:$P22, MATCH(K$2, Players!$A$1:$P$1, 0)), perc_75, VLOOKUP(K$2, Percentiles!$A$45:$I$59, 6, FALSE), perc_90, VLOOKUP(K$2, Percentiles!$A$45:$I$59, 7, FALSE), perc_95, VLOOKUP(K$2, Percentiles!$A$45:$I$59, 8, FALSE), perc_85, perc_75 + (perc_90 - perc_75) * (2/3), converted_stat, '2K_Ratings'!K23, IF(bbgm_stat &gt;= perc_95, converted_stat * 3, IF(bbgm_stat &gt;= perc_90, converted_stat * 2, IF(bbgm_stat &gt;= perc_85, converted_stat * 1.5, converted_stat)))))</f>
        <v/>
      </c>
      <c r="L23" s="30" t="str">
        <f t="array" ref="L23">IF($A23="", "", LET(bbgm_stat, INDEX(Players!$A22:$P22, MATCH(L$2, Players!$A$1:$P$1, 0)), perc_75, VLOOKUP(L$2, Percentiles!$A$45:$I$59, 6, FALSE), perc_90, VLOOKUP(L$2, Percentiles!$A$45:$I$59, 7, FALSE), perc_95, VLOOKUP(L$2, Percentiles!$A$45:$I$59, 8, FALSE), perc_85, perc_75 + (perc_90 - perc_75) * (2/3), converted_stat, '2K_Ratings'!L23, IF(bbgm_stat &gt;= perc_95, converted_stat * 3, IF(bbgm_stat &gt;= perc_90, converted_stat * 2, IF(bbgm_stat &gt;= perc_85, converted_stat * 1.5, converted_stat)))))</f>
        <v/>
      </c>
      <c r="M23" s="30" t="str">
        <f t="array" ref="M23">IF($A23="", "", LET(bbgm_stat, INDEX(Players!$A22:$P22, MATCH(M$2, Players!$A$1:$P$1, 0)), perc_75, VLOOKUP(M$2, Percentiles!$A$45:$I$59, 6, FALSE), perc_90, VLOOKUP(M$2, Percentiles!$A$45:$I$59, 7, FALSE), perc_95, VLOOKUP(M$2, Percentiles!$A$45:$I$59, 8, FALSE), perc_85, perc_75 + (perc_90 - perc_75) * (2/3), converted_stat, '2K_Ratings'!M23, IF(bbgm_stat &gt;= perc_95, converted_stat * 3, IF(bbgm_stat &gt;= perc_90, converted_stat * 2, IF(bbgm_stat &gt;= perc_85, converted_stat * 1.5, converted_stat)))))</f>
        <v/>
      </c>
      <c r="N23" s="30" t="str">
        <f t="array" ref="N23">IF($A23="", "", LET(bbgm_stat, INDEX(Players!$A22:$P22, MATCH(N$2, Players!$A$1:$P$1, 0)), perc_75, VLOOKUP(N$2, Percentiles!$A$45:$I$59, 6, FALSE), perc_90, VLOOKUP(N$2, Percentiles!$A$45:$I$59, 7, FALSE), perc_95, VLOOKUP(N$2, Percentiles!$A$45:$I$59, 8, FALSE), perc_85, perc_75 + (perc_90 - perc_75) * (2/3), converted_stat, '2K_Ratings'!N23, IF(bbgm_stat &gt;= perc_95, converted_stat * 3, IF(bbgm_stat &gt;= perc_90, converted_stat * 2, IF(bbgm_stat &gt;= perc_85, converted_stat * 1.5, converted_stat)))))</f>
        <v/>
      </c>
      <c r="O23" s="30" t="str">
        <f t="array" ref="O23">IF($A23="", "", LET(bbgm_stat, INDEX(Players!$A22:$P22, MATCH(O$2, Players!$A$1:$P$1, 0)), perc_75, VLOOKUP(O$2, Percentiles!$A$45:$I$59, 6, FALSE), perc_90, VLOOKUP(O$2, Percentiles!$A$45:$I$59, 7, FALSE), perc_95, VLOOKUP(O$2, Percentiles!$A$45:$I$59, 8, FALSE), perc_85, perc_75 + (perc_90 - perc_75) * (2/3), converted_stat, '2K_Ratings'!O23, IF(bbgm_stat &gt;= perc_95, converted_stat * 3, IF(bbgm_stat &gt;= perc_90, converted_stat * 2, IF(bbgm_stat &gt;= perc_85, converted_stat * 1.5, converted_stat)))))</f>
        <v/>
      </c>
      <c r="P23" s="30" t="str">
        <f t="array" ref="P23">IF($A23="", "", LET(bbgm_stat, INDEX(Players!$A22:$P22, MATCH(P$2, Players!$A$1:$P$1, 0)), perc_75, VLOOKUP(P$2, Percentiles!$A$45:$I$59, 6, FALSE), perc_90, VLOOKUP(P$2, Percentiles!$A$45:$I$59, 7, FALSE), perc_95, VLOOKUP(P$2, Percentiles!$A$45:$I$59, 8, FALSE), perc_85, perc_75 + (perc_90 - perc_75) * (2/3), converted_stat, '2K_Ratings'!P23, IF(bbgm_stat &gt;= perc_95, converted_stat * 3, IF(bbgm_stat &gt;= perc_90, converted_stat * 2, IF(bbgm_stat &gt;= perc_85, converted_stat * 1.5, converted_stat)))))</f>
        <v/>
      </c>
      <c r="Q23" s="30" t="str">
        <f t="array" ref="Q23">IF($A23="", "", LET(bbgm_stat, INDEX(Players!$A22:$P22, MATCH(Q$2, Players!$A$1:$P$1, 0)), perc_75, VLOOKUP(Q$2, Percentiles!$A$45:$I$59, 6, FALSE), perc_90, VLOOKUP(Q$2, Percentiles!$A$45:$I$59, 7, FALSE), perc_95, VLOOKUP(Q$2, Percentiles!$A$45:$I$59, 8, FALSE), perc_85, perc_75 + (perc_90 - perc_75) * (2/3), converted_stat, '2K_Ratings'!Q23, IF(bbgm_stat &gt;= perc_95, converted_stat * 3, IF(bbgm_stat &gt;= perc_90, converted_stat * 2, IF(bbgm_stat &gt;= perc_85, converted_stat * 1.5, converted_stat)))))</f>
        <v/>
      </c>
      <c r="R23" s="30" t="str">
        <f t="array" ref="R23">IF($A23="", "", LET(bbgm_stat, INDEX(Players!$A22:$P22, MATCH(R$2, Players!$A$1:$P$1, 0)), perc_75, VLOOKUP(R$2, Percentiles!$A$45:$I$59, 6, FALSE), perc_90, VLOOKUP(R$2, Percentiles!$A$45:$I$59, 7, FALSE), perc_95, VLOOKUP(R$2, Percentiles!$A$45:$I$59, 8, FALSE), perc_85, perc_75 + (perc_90 - perc_75) * (2/3), converted_stat, '2K_Ratings'!R23, IF(bbgm_stat &gt;= perc_95, converted_stat * 3, IF(bbgm_stat &gt;= perc_90, converted_stat * 2, IF(bbgm_stat &gt;= perc_85, converted_stat * 1.5, converted_stat)))))</f>
        <v/>
      </c>
      <c r="S23" s="30" t="str">
        <f t="array" ref="S23">IF($A23="", "", LET(bbgm_stat, INDEX(Players!$A22:$P22, MATCH(S$2, Players!$A$1:$P$1, 0)), perc_75, VLOOKUP(S$2, Percentiles!$A$45:$I$59, 6, FALSE), perc_90, VLOOKUP(S$2, Percentiles!$A$45:$I$59, 7, FALSE), perc_95, VLOOKUP(S$2, Percentiles!$A$45:$I$59, 8, FALSE), perc_85, perc_75 + (perc_90 - perc_75) * (2/3), converted_stat, '2K_Ratings'!S23, IF(bbgm_stat &gt;= perc_95, converted_stat * 3, IF(bbgm_stat &gt;= perc_90, converted_stat * 2, IF(bbgm_stat &gt;= perc_85, converted_stat * 1.5, converted_stat)))))</f>
        <v/>
      </c>
      <c r="T23" s="30" t="str">
        <f t="array" ref="T23">IF($A23="", "", LET(bbgm_stat, INDEX(Players!$A22:$P22, MATCH(T$2, Players!$A$1:$P$1, 0)), perc_75, VLOOKUP(T$2, Percentiles!$A$45:$I$59, 6, FALSE), perc_90, VLOOKUP(T$2, Percentiles!$A$45:$I$59, 7, FALSE), perc_95, VLOOKUP(T$2, Percentiles!$A$45:$I$59, 8, FALSE), perc_85, perc_75 + (perc_90 - perc_75) * (2/3), converted_stat, '2K_Ratings'!T23, IF(bbgm_stat &gt;= perc_95, converted_stat * 3, IF(bbgm_stat &gt;= perc_90, converted_stat * 2, IF(bbgm_stat &gt;= perc_85, converted_stat * 1.5, converted_stat)))))</f>
        <v/>
      </c>
      <c r="U23" s="30" t="str">
        <f t="array" ref="U23">IF($A23="", "", LET(bbgm_stat, INDEX(Players!$A22:$P22, MATCH(U$2, Players!$A$1:$P$1, 0)), perc_75, VLOOKUP(U$2, Percentiles!$A$45:$I$59, 6, FALSE), perc_90, VLOOKUP(U$2, Percentiles!$A$45:$I$59, 7, FALSE), perc_95, VLOOKUP(U$2, Percentiles!$A$45:$I$59, 8, FALSE), perc_85, perc_75 + (perc_90 - perc_75) * (2/3), converted_stat, '2K_Ratings'!U23, IF(bbgm_stat &gt;= perc_95, converted_stat * 3, IF(bbgm_stat &gt;= perc_90, converted_stat * 2, IF(bbgm_stat &gt;= perc_85, converted_stat * 1.5, converted_stat)))))</f>
        <v/>
      </c>
      <c r="V23" s="30" t="str">
        <f t="array" ref="V23">IF($A23="", "", LET(bbgm_stat, INDEX(Players!$A22:$P22, MATCH(V$2, Players!$A$1:$P$1, 0)), perc_75, VLOOKUP(V$2, Percentiles!$A$45:$I$59, 6, FALSE), perc_90, VLOOKUP(V$2, Percentiles!$A$45:$I$59, 7, FALSE), perc_95, VLOOKUP(V$2, Percentiles!$A$45:$I$59, 8, FALSE), perc_85, perc_75 + (perc_90 - perc_75) * (2/3), converted_stat, '2K_Ratings'!V23, IF(bbgm_stat &gt;= perc_95, converted_stat * 3, IF(bbgm_stat &gt;= perc_90, converted_stat * 2, IF(bbgm_stat &gt;= perc_85, converted_stat * 1.5, converted_stat)))))</f>
        <v/>
      </c>
      <c r="W23" s="30" t="str">
        <f t="array" ref="W23">IF($A23="", "", LET(bbgm_stat, INDEX(Players!$A22:$P22, MATCH(W$2, Players!$A$1:$P$1, 0)), perc_75, VLOOKUP(W$2, Percentiles!$A$45:$I$59, 6, FALSE), perc_90, VLOOKUP(W$2, Percentiles!$A$45:$I$59, 7, FALSE), perc_95, VLOOKUP(W$2, Percentiles!$A$45:$I$59, 8, FALSE), perc_85, perc_75 + (perc_90 - perc_75) * (2/3), converted_stat, '2K_Ratings'!W23, IF(bbgm_stat &gt;= perc_95, converted_stat * 3, IF(bbgm_stat &gt;= perc_90, converted_stat * 2, IF(bbgm_stat &gt;= perc_85, converted_stat * 1.5, converted_stat)))))</f>
        <v/>
      </c>
    </row>
    <row r="24">
      <c r="A24" s="30" t="str">
        <f>IF(Players!A23="", "", Players!A23)</f>
        <v/>
      </c>
      <c r="B24" s="30" t="str">
        <f t="array" ref="B24">IF($A24="", "", LET(bbgm_stat, INDEX(Players!$A23:$P23, MATCH(B$2, Players!$A$1:$P$1, 0)), perc_75, VLOOKUP(B$2, Percentiles!$A$45:$I$59, 6, FALSE), perc_90, VLOOKUP(B$2, Percentiles!$A$45:$I$59, 7, FALSE), perc_95, VLOOKUP(B$2, Percentiles!$A$45:$I$59, 8, FALSE), perc_85, perc_75 + (perc_90 - perc_75) * (2/3), converted_stat, '2K_Ratings'!B24, IF(bbgm_stat &gt;= perc_95, converted_stat * 3, IF(bbgm_stat &gt;= perc_90, converted_stat * 2, IF(bbgm_stat &gt;= perc_85, converted_stat * 1.5, converted_stat)))))</f>
        <v/>
      </c>
      <c r="C24" s="30" t="str">
        <f t="array" ref="C24">IF($A24="", "", LET(bbgm_stat, INDEX(Players!$A23:$P23, MATCH(C$2, Players!$A$1:$P$1, 0)), perc_75, VLOOKUP(C$2, Percentiles!$A$45:$I$59, 6, FALSE), perc_90, VLOOKUP(C$2, Percentiles!$A$45:$I$59, 7, FALSE), perc_95, VLOOKUP(C$2, Percentiles!$A$45:$I$59, 8, FALSE), perc_85, perc_75 + (perc_90 - perc_75) * (2/3), converted_stat, '2K_Ratings'!C24, IF(bbgm_stat &gt;= perc_95, converted_stat * 3, IF(bbgm_stat &gt;= perc_90, converted_stat * 2, IF(bbgm_stat &gt;= perc_85, converted_stat * 1.5, converted_stat)))))</f>
        <v/>
      </c>
      <c r="D24" s="30" t="str">
        <f t="array" ref="D24">IF($A24="", "", LET(bbgm_stat, INDEX(Players!$A23:$P23, MATCH(D$2, Players!$A$1:$P$1, 0)), perc_75, VLOOKUP(D$2, Percentiles!$A$45:$I$59, 6, FALSE), perc_90, VLOOKUP(D$2, Percentiles!$A$45:$I$59, 7, FALSE), perc_95, VLOOKUP(D$2, Percentiles!$A$45:$I$59, 8, FALSE), perc_85, perc_75 + (perc_90 - perc_75) * (2/3), converted_stat, '2K_Ratings'!D24, IF(bbgm_stat &gt;= perc_95, converted_stat * 3, IF(bbgm_stat &gt;= perc_90, converted_stat * 2, IF(bbgm_stat &gt;= perc_85, converted_stat * 1.5, converted_stat)))))</f>
        <v/>
      </c>
      <c r="E24" s="30" t="str">
        <f t="array" ref="E24">IF($A24="", "", LET(bbgm_stat, INDEX(Players!$A23:$P23, MATCH(E$2, Players!$A$1:$P$1, 0)), perc_75, VLOOKUP(E$2, Percentiles!$A$45:$I$59, 6, FALSE), perc_90, VLOOKUP(E$2, Percentiles!$A$45:$I$59, 7, FALSE), perc_95, VLOOKUP(E$2, Percentiles!$A$45:$I$59, 8, FALSE), perc_85, perc_75 + (perc_90 - perc_75) * (2/3), converted_stat, '2K_Ratings'!E24, IF(bbgm_stat &gt;= perc_95, converted_stat * 3, IF(bbgm_stat &gt;= perc_90, converted_stat * 2, IF(bbgm_stat &gt;= perc_85, converted_stat * 1.5, converted_stat)))))</f>
        <v/>
      </c>
      <c r="F24" s="30" t="str">
        <f t="array" ref="F24">IF($A24="", "", LET(bbgm_stat, INDEX(Players!$A23:$P23, MATCH(F$2, Players!$A$1:$P$1, 0)), perc_75, VLOOKUP(F$2, Percentiles!$A$45:$I$59, 6, FALSE), perc_90, VLOOKUP(F$2, Percentiles!$A$45:$I$59, 7, FALSE), perc_95, VLOOKUP(F$2, Percentiles!$A$45:$I$59, 8, FALSE), perc_85, perc_75 + (perc_90 - perc_75) * (2/3), converted_stat, '2K_Ratings'!F24, IF(bbgm_stat &gt;= perc_95, converted_stat * 3, IF(bbgm_stat &gt;= perc_90, converted_stat * 2, IF(bbgm_stat &gt;= perc_85, converted_stat * 1.5, converted_stat)))))</f>
        <v/>
      </c>
      <c r="G24" s="30" t="str">
        <f t="array" ref="G24">IF($A24="", "", LET(bbgm_stat, INDEX(Players!$A23:$P23, MATCH(G$2, Players!$A$1:$P$1, 0)), perc_75, VLOOKUP(G$2, Percentiles!$A$45:$I$59, 6, FALSE), perc_90, VLOOKUP(G$2, Percentiles!$A$45:$I$59, 7, FALSE), perc_95, VLOOKUP(G$2, Percentiles!$A$45:$I$59, 8, FALSE), perc_85, perc_75 + (perc_90 - perc_75) * (2/3), converted_stat, '2K_Ratings'!G24, IF(bbgm_stat &gt;= perc_95, converted_stat * 3, IF(bbgm_stat &gt;= perc_90, converted_stat * 2, IF(bbgm_stat &gt;= perc_85, converted_stat * 1.5, converted_stat)))))</f>
        <v/>
      </c>
      <c r="H24" s="30" t="str">
        <f t="array" ref="H24">IF($A24="", "", LET(bbgm_stat, INDEX(Players!$A23:$P23, MATCH(H$2, Players!$A$1:$P$1, 0)), perc_75, VLOOKUP(H$2, Percentiles!$A$45:$I$59, 6, FALSE), perc_90, VLOOKUP(H$2, Percentiles!$A$45:$I$59, 7, FALSE), perc_95, VLOOKUP(H$2, Percentiles!$A$45:$I$59, 8, FALSE), perc_85, perc_75 + (perc_90 - perc_75) * (2/3), converted_stat, '2K_Ratings'!H24, IF(bbgm_stat &gt;= perc_95, converted_stat * 3, IF(bbgm_stat &gt;= perc_90, converted_stat * 2, IF(bbgm_stat &gt;= perc_85, converted_stat * 1.5, converted_stat)))))</f>
        <v/>
      </c>
      <c r="I24" s="30" t="str">
        <f t="array" ref="I24">IF($A24="", "", LET(bbgm_stat, INDEX(Players!$A23:$P23, MATCH(I$2, Players!$A$1:$P$1, 0)), perc_75, VLOOKUP(I$2, Percentiles!$A$45:$I$59, 6, FALSE), perc_90, VLOOKUP(I$2, Percentiles!$A$45:$I$59, 7, FALSE), perc_95, VLOOKUP(I$2, Percentiles!$A$45:$I$59, 8, FALSE), perc_85, perc_75 + (perc_90 - perc_75) * (2/3), converted_stat, '2K_Ratings'!I24, IF(bbgm_stat &gt;= perc_95, converted_stat * 3, IF(bbgm_stat &gt;= perc_90, converted_stat * 2, IF(bbgm_stat &gt;= perc_85, converted_stat * 1.5, converted_stat)))))</f>
        <v/>
      </c>
      <c r="J24" s="30" t="str">
        <f t="array" ref="J24">IF($A24="", "", LET(bbgm_stat, INDEX(Players!$A23:$P23, MATCH(J$2, Players!$A$1:$P$1, 0)), perc_75, VLOOKUP(J$2, Percentiles!$A$45:$I$59, 6, FALSE), perc_90, VLOOKUP(J$2, Percentiles!$A$45:$I$59, 7, FALSE), perc_95, VLOOKUP(J$2, Percentiles!$A$45:$I$59, 8, FALSE), perc_85, perc_75 + (perc_90 - perc_75) * (2/3), converted_stat, '2K_Ratings'!J24, IF(bbgm_stat &gt;= perc_95, converted_stat * 3, IF(bbgm_stat &gt;= perc_90, converted_stat * 2, IF(bbgm_stat &gt;= perc_85, converted_stat * 1.5, converted_stat)))))</f>
        <v/>
      </c>
      <c r="K24" s="30" t="str">
        <f t="array" ref="K24">IF($A24="", "", LET(bbgm_stat, INDEX(Players!$A23:$P23, MATCH(K$2, Players!$A$1:$P$1, 0)), perc_75, VLOOKUP(K$2, Percentiles!$A$45:$I$59, 6, FALSE), perc_90, VLOOKUP(K$2, Percentiles!$A$45:$I$59, 7, FALSE), perc_95, VLOOKUP(K$2, Percentiles!$A$45:$I$59, 8, FALSE), perc_85, perc_75 + (perc_90 - perc_75) * (2/3), converted_stat, '2K_Ratings'!K24, IF(bbgm_stat &gt;= perc_95, converted_stat * 3, IF(bbgm_stat &gt;= perc_90, converted_stat * 2, IF(bbgm_stat &gt;= perc_85, converted_stat * 1.5, converted_stat)))))</f>
        <v/>
      </c>
      <c r="L24" s="30" t="str">
        <f t="array" ref="L24">IF($A24="", "", LET(bbgm_stat, INDEX(Players!$A23:$P23, MATCH(L$2, Players!$A$1:$P$1, 0)), perc_75, VLOOKUP(L$2, Percentiles!$A$45:$I$59, 6, FALSE), perc_90, VLOOKUP(L$2, Percentiles!$A$45:$I$59, 7, FALSE), perc_95, VLOOKUP(L$2, Percentiles!$A$45:$I$59, 8, FALSE), perc_85, perc_75 + (perc_90 - perc_75) * (2/3), converted_stat, '2K_Ratings'!L24, IF(bbgm_stat &gt;= perc_95, converted_stat * 3, IF(bbgm_stat &gt;= perc_90, converted_stat * 2, IF(bbgm_stat &gt;= perc_85, converted_stat * 1.5, converted_stat)))))</f>
        <v/>
      </c>
      <c r="M24" s="30" t="str">
        <f t="array" ref="M24">IF($A24="", "", LET(bbgm_stat, INDEX(Players!$A23:$P23, MATCH(M$2, Players!$A$1:$P$1, 0)), perc_75, VLOOKUP(M$2, Percentiles!$A$45:$I$59, 6, FALSE), perc_90, VLOOKUP(M$2, Percentiles!$A$45:$I$59, 7, FALSE), perc_95, VLOOKUP(M$2, Percentiles!$A$45:$I$59, 8, FALSE), perc_85, perc_75 + (perc_90 - perc_75) * (2/3), converted_stat, '2K_Ratings'!M24, IF(bbgm_stat &gt;= perc_95, converted_stat * 3, IF(bbgm_stat &gt;= perc_90, converted_stat * 2, IF(bbgm_stat &gt;= perc_85, converted_stat * 1.5, converted_stat)))))</f>
        <v/>
      </c>
      <c r="N24" s="30" t="str">
        <f t="array" ref="N24">IF($A24="", "", LET(bbgm_stat, INDEX(Players!$A23:$P23, MATCH(N$2, Players!$A$1:$P$1, 0)), perc_75, VLOOKUP(N$2, Percentiles!$A$45:$I$59, 6, FALSE), perc_90, VLOOKUP(N$2, Percentiles!$A$45:$I$59, 7, FALSE), perc_95, VLOOKUP(N$2, Percentiles!$A$45:$I$59, 8, FALSE), perc_85, perc_75 + (perc_90 - perc_75) * (2/3), converted_stat, '2K_Ratings'!N24, IF(bbgm_stat &gt;= perc_95, converted_stat * 3, IF(bbgm_stat &gt;= perc_90, converted_stat * 2, IF(bbgm_stat &gt;= perc_85, converted_stat * 1.5, converted_stat)))))</f>
        <v/>
      </c>
      <c r="O24" s="30" t="str">
        <f t="array" ref="O24">IF($A24="", "", LET(bbgm_stat, INDEX(Players!$A23:$P23, MATCH(O$2, Players!$A$1:$P$1, 0)), perc_75, VLOOKUP(O$2, Percentiles!$A$45:$I$59, 6, FALSE), perc_90, VLOOKUP(O$2, Percentiles!$A$45:$I$59, 7, FALSE), perc_95, VLOOKUP(O$2, Percentiles!$A$45:$I$59, 8, FALSE), perc_85, perc_75 + (perc_90 - perc_75) * (2/3), converted_stat, '2K_Ratings'!O24, IF(bbgm_stat &gt;= perc_95, converted_stat * 3, IF(bbgm_stat &gt;= perc_90, converted_stat * 2, IF(bbgm_stat &gt;= perc_85, converted_stat * 1.5, converted_stat)))))</f>
        <v/>
      </c>
      <c r="P24" s="30" t="str">
        <f t="array" ref="P24">IF($A24="", "", LET(bbgm_stat, INDEX(Players!$A23:$P23, MATCH(P$2, Players!$A$1:$P$1, 0)), perc_75, VLOOKUP(P$2, Percentiles!$A$45:$I$59, 6, FALSE), perc_90, VLOOKUP(P$2, Percentiles!$A$45:$I$59, 7, FALSE), perc_95, VLOOKUP(P$2, Percentiles!$A$45:$I$59, 8, FALSE), perc_85, perc_75 + (perc_90 - perc_75) * (2/3), converted_stat, '2K_Ratings'!P24, IF(bbgm_stat &gt;= perc_95, converted_stat * 3, IF(bbgm_stat &gt;= perc_90, converted_stat * 2, IF(bbgm_stat &gt;= perc_85, converted_stat * 1.5, converted_stat)))))</f>
        <v/>
      </c>
      <c r="Q24" s="30" t="str">
        <f t="array" ref="Q24">IF($A24="", "", LET(bbgm_stat, INDEX(Players!$A23:$P23, MATCH(Q$2, Players!$A$1:$P$1, 0)), perc_75, VLOOKUP(Q$2, Percentiles!$A$45:$I$59, 6, FALSE), perc_90, VLOOKUP(Q$2, Percentiles!$A$45:$I$59, 7, FALSE), perc_95, VLOOKUP(Q$2, Percentiles!$A$45:$I$59, 8, FALSE), perc_85, perc_75 + (perc_90 - perc_75) * (2/3), converted_stat, '2K_Ratings'!Q24, IF(bbgm_stat &gt;= perc_95, converted_stat * 3, IF(bbgm_stat &gt;= perc_90, converted_stat * 2, IF(bbgm_stat &gt;= perc_85, converted_stat * 1.5, converted_stat)))))</f>
        <v/>
      </c>
      <c r="R24" s="30" t="str">
        <f t="array" ref="R24">IF($A24="", "", LET(bbgm_stat, INDEX(Players!$A23:$P23, MATCH(R$2, Players!$A$1:$P$1, 0)), perc_75, VLOOKUP(R$2, Percentiles!$A$45:$I$59, 6, FALSE), perc_90, VLOOKUP(R$2, Percentiles!$A$45:$I$59, 7, FALSE), perc_95, VLOOKUP(R$2, Percentiles!$A$45:$I$59, 8, FALSE), perc_85, perc_75 + (perc_90 - perc_75) * (2/3), converted_stat, '2K_Ratings'!R24, IF(bbgm_stat &gt;= perc_95, converted_stat * 3, IF(bbgm_stat &gt;= perc_90, converted_stat * 2, IF(bbgm_stat &gt;= perc_85, converted_stat * 1.5, converted_stat)))))</f>
        <v/>
      </c>
      <c r="S24" s="30" t="str">
        <f t="array" ref="S24">IF($A24="", "", LET(bbgm_stat, INDEX(Players!$A23:$P23, MATCH(S$2, Players!$A$1:$P$1, 0)), perc_75, VLOOKUP(S$2, Percentiles!$A$45:$I$59, 6, FALSE), perc_90, VLOOKUP(S$2, Percentiles!$A$45:$I$59, 7, FALSE), perc_95, VLOOKUP(S$2, Percentiles!$A$45:$I$59, 8, FALSE), perc_85, perc_75 + (perc_90 - perc_75) * (2/3), converted_stat, '2K_Ratings'!S24, IF(bbgm_stat &gt;= perc_95, converted_stat * 3, IF(bbgm_stat &gt;= perc_90, converted_stat * 2, IF(bbgm_stat &gt;= perc_85, converted_stat * 1.5, converted_stat)))))</f>
        <v/>
      </c>
      <c r="T24" s="30" t="str">
        <f t="array" ref="T24">IF($A24="", "", LET(bbgm_stat, INDEX(Players!$A23:$P23, MATCH(T$2, Players!$A$1:$P$1, 0)), perc_75, VLOOKUP(T$2, Percentiles!$A$45:$I$59, 6, FALSE), perc_90, VLOOKUP(T$2, Percentiles!$A$45:$I$59, 7, FALSE), perc_95, VLOOKUP(T$2, Percentiles!$A$45:$I$59, 8, FALSE), perc_85, perc_75 + (perc_90 - perc_75) * (2/3), converted_stat, '2K_Ratings'!T24, IF(bbgm_stat &gt;= perc_95, converted_stat * 3, IF(bbgm_stat &gt;= perc_90, converted_stat * 2, IF(bbgm_stat &gt;= perc_85, converted_stat * 1.5, converted_stat)))))</f>
        <v/>
      </c>
      <c r="U24" s="30" t="str">
        <f t="array" ref="U24">IF($A24="", "", LET(bbgm_stat, INDEX(Players!$A23:$P23, MATCH(U$2, Players!$A$1:$P$1, 0)), perc_75, VLOOKUP(U$2, Percentiles!$A$45:$I$59, 6, FALSE), perc_90, VLOOKUP(U$2, Percentiles!$A$45:$I$59, 7, FALSE), perc_95, VLOOKUP(U$2, Percentiles!$A$45:$I$59, 8, FALSE), perc_85, perc_75 + (perc_90 - perc_75) * (2/3), converted_stat, '2K_Ratings'!U24, IF(bbgm_stat &gt;= perc_95, converted_stat * 3, IF(bbgm_stat &gt;= perc_90, converted_stat * 2, IF(bbgm_stat &gt;= perc_85, converted_stat * 1.5, converted_stat)))))</f>
        <v/>
      </c>
      <c r="V24" s="30" t="str">
        <f t="array" ref="V24">IF($A24="", "", LET(bbgm_stat, INDEX(Players!$A23:$P23, MATCH(V$2, Players!$A$1:$P$1, 0)), perc_75, VLOOKUP(V$2, Percentiles!$A$45:$I$59, 6, FALSE), perc_90, VLOOKUP(V$2, Percentiles!$A$45:$I$59, 7, FALSE), perc_95, VLOOKUP(V$2, Percentiles!$A$45:$I$59, 8, FALSE), perc_85, perc_75 + (perc_90 - perc_75) * (2/3), converted_stat, '2K_Ratings'!V24, IF(bbgm_stat &gt;= perc_95, converted_stat * 3, IF(bbgm_stat &gt;= perc_90, converted_stat * 2, IF(bbgm_stat &gt;= perc_85, converted_stat * 1.5, converted_stat)))))</f>
        <v/>
      </c>
      <c r="W24" s="30" t="str">
        <f t="array" ref="W24">IF($A24="", "", LET(bbgm_stat, INDEX(Players!$A23:$P23, MATCH(W$2, Players!$A$1:$P$1, 0)), perc_75, VLOOKUP(W$2, Percentiles!$A$45:$I$59, 6, FALSE), perc_90, VLOOKUP(W$2, Percentiles!$A$45:$I$59, 7, FALSE), perc_95, VLOOKUP(W$2, Percentiles!$A$45:$I$59, 8, FALSE), perc_85, perc_75 + (perc_90 - perc_75) * (2/3), converted_stat, '2K_Ratings'!W24, IF(bbgm_stat &gt;= perc_95, converted_stat * 3, IF(bbgm_stat &gt;= perc_90, converted_stat * 2, IF(bbgm_stat &gt;= perc_85, converted_stat * 1.5, converted_stat)))))</f>
        <v/>
      </c>
    </row>
    <row r="25">
      <c r="A25" s="30" t="str">
        <f>IF(Players!A24="", "", Players!A24)</f>
        <v/>
      </c>
      <c r="B25" s="30" t="str">
        <f t="array" ref="B25">IF($A25="", "", LET(bbgm_stat, INDEX(Players!$A24:$P24, MATCH(B$2, Players!$A$1:$P$1, 0)), perc_75, VLOOKUP(B$2, Percentiles!$A$45:$I$59, 6, FALSE), perc_90, VLOOKUP(B$2, Percentiles!$A$45:$I$59, 7, FALSE), perc_95, VLOOKUP(B$2, Percentiles!$A$45:$I$59, 8, FALSE), perc_85, perc_75 + (perc_90 - perc_75) * (2/3), converted_stat, '2K_Ratings'!B25, IF(bbgm_stat &gt;= perc_95, converted_stat * 3, IF(bbgm_stat &gt;= perc_90, converted_stat * 2, IF(bbgm_stat &gt;= perc_85, converted_stat * 1.5, converted_stat)))))</f>
        <v/>
      </c>
      <c r="C25" s="30" t="str">
        <f t="array" ref="C25">IF($A25="", "", LET(bbgm_stat, INDEX(Players!$A24:$P24, MATCH(C$2, Players!$A$1:$P$1, 0)), perc_75, VLOOKUP(C$2, Percentiles!$A$45:$I$59, 6, FALSE), perc_90, VLOOKUP(C$2, Percentiles!$A$45:$I$59, 7, FALSE), perc_95, VLOOKUP(C$2, Percentiles!$A$45:$I$59, 8, FALSE), perc_85, perc_75 + (perc_90 - perc_75) * (2/3), converted_stat, '2K_Ratings'!C25, IF(bbgm_stat &gt;= perc_95, converted_stat * 3, IF(bbgm_stat &gt;= perc_90, converted_stat * 2, IF(bbgm_stat &gt;= perc_85, converted_stat * 1.5, converted_stat)))))</f>
        <v/>
      </c>
      <c r="D25" s="30" t="str">
        <f t="array" ref="D25">IF($A25="", "", LET(bbgm_stat, INDEX(Players!$A24:$P24, MATCH(D$2, Players!$A$1:$P$1, 0)), perc_75, VLOOKUP(D$2, Percentiles!$A$45:$I$59, 6, FALSE), perc_90, VLOOKUP(D$2, Percentiles!$A$45:$I$59, 7, FALSE), perc_95, VLOOKUP(D$2, Percentiles!$A$45:$I$59, 8, FALSE), perc_85, perc_75 + (perc_90 - perc_75) * (2/3), converted_stat, '2K_Ratings'!D25, IF(bbgm_stat &gt;= perc_95, converted_stat * 3, IF(bbgm_stat &gt;= perc_90, converted_stat * 2, IF(bbgm_stat &gt;= perc_85, converted_stat * 1.5, converted_stat)))))</f>
        <v/>
      </c>
      <c r="E25" s="30" t="str">
        <f t="array" ref="E25">IF($A25="", "", LET(bbgm_stat, INDEX(Players!$A24:$P24, MATCH(E$2, Players!$A$1:$P$1, 0)), perc_75, VLOOKUP(E$2, Percentiles!$A$45:$I$59, 6, FALSE), perc_90, VLOOKUP(E$2, Percentiles!$A$45:$I$59, 7, FALSE), perc_95, VLOOKUP(E$2, Percentiles!$A$45:$I$59, 8, FALSE), perc_85, perc_75 + (perc_90 - perc_75) * (2/3), converted_stat, '2K_Ratings'!E25, IF(bbgm_stat &gt;= perc_95, converted_stat * 3, IF(bbgm_stat &gt;= perc_90, converted_stat * 2, IF(bbgm_stat &gt;= perc_85, converted_stat * 1.5, converted_stat)))))</f>
        <v/>
      </c>
      <c r="F25" s="30" t="str">
        <f t="array" ref="F25">IF($A25="", "", LET(bbgm_stat, INDEX(Players!$A24:$P24, MATCH(F$2, Players!$A$1:$P$1, 0)), perc_75, VLOOKUP(F$2, Percentiles!$A$45:$I$59, 6, FALSE), perc_90, VLOOKUP(F$2, Percentiles!$A$45:$I$59, 7, FALSE), perc_95, VLOOKUP(F$2, Percentiles!$A$45:$I$59, 8, FALSE), perc_85, perc_75 + (perc_90 - perc_75) * (2/3), converted_stat, '2K_Ratings'!F25, IF(bbgm_stat &gt;= perc_95, converted_stat * 3, IF(bbgm_stat &gt;= perc_90, converted_stat * 2, IF(bbgm_stat &gt;= perc_85, converted_stat * 1.5, converted_stat)))))</f>
        <v/>
      </c>
      <c r="G25" s="30" t="str">
        <f t="array" ref="G25">IF($A25="", "", LET(bbgm_stat, INDEX(Players!$A24:$P24, MATCH(G$2, Players!$A$1:$P$1, 0)), perc_75, VLOOKUP(G$2, Percentiles!$A$45:$I$59, 6, FALSE), perc_90, VLOOKUP(G$2, Percentiles!$A$45:$I$59, 7, FALSE), perc_95, VLOOKUP(G$2, Percentiles!$A$45:$I$59, 8, FALSE), perc_85, perc_75 + (perc_90 - perc_75) * (2/3), converted_stat, '2K_Ratings'!G25, IF(bbgm_stat &gt;= perc_95, converted_stat * 3, IF(bbgm_stat &gt;= perc_90, converted_stat * 2, IF(bbgm_stat &gt;= perc_85, converted_stat * 1.5, converted_stat)))))</f>
        <v/>
      </c>
      <c r="H25" s="30" t="str">
        <f t="array" ref="H25">IF($A25="", "", LET(bbgm_stat, INDEX(Players!$A24:$P24, MATCH(H$2, Players!$A$1:$P$1, 0)), perc_75, VLOOKUP(H$2, Percentiles!$A$45:$I$59, 6, FALSE), perc_90, VLOOKUP(H$2, Percentiles!$A$45:$I$59, 7, FALSE), perc_95, VLOOKUP(H$2, Percentiles!$A$45:$I$59, 8, FALSE), perc_85, perc_75 + (perc_90 - perc_75) * (2/3), converted_stat, '2K_Ratings'!H25, IF(bbgm_stat &gt;= perc_95, converted_stat * 3, IF(bbgm_stat &gt;= perc_90, converted_stat * 2, IF(bbgm_stat &gt;= perc_85, converted_stat * 1.5, converted_stat)))))</f>
        <v/>
      </c>
      <c r="I25" s="30" t="str">
        <f t="array" ref="I25">IF($A25="", "", LET(bbgm_stat, INDEX(Players!$A24:$P24, MATCH(I$2, Players!$A$1:$P$1, 0)), perc_75, VLOOKUP(I$2, Percentiles!$A$45:$I$59, 6, FALSE), perc_90, VLOOKUP(I$2, Percentiles!$A$45:$I$59, 7, FALSE), perc_95, VLOOKUP(I$2, Percentiles!$A$45:$I$59, 8, FALSE), perc_85, perc_75 + (perc_90 - perc_75) * (2/3), converted_stat, '2K_Ratings'!I25, IF(bbgm_stat &gt;= perc_95, converted_stat * 3, IF(bbgm_stat &gt;= perc_90, converted_stat * 2, IF(bbgm_stat &gt;= perc_85, converted_stat * 1.5, converted_stat)))))</f>
        <v/>
      </c>
      <c r="J25" s="30" t="str">
        <f t="array" ref="J25">IF($A25="", "", LET(bbgm_stat, INDEX(Players!$A24:$P24, MATCH(J$2, Players!$A$1:$P$1, 0)), perc_75, VLOOKUP(J$2, Percentiles!$A$45:$I$59, 6, FALSE), perc_90, VLOOKUP(J$2, Percentiles!$A$45:$I$59, 7, FALSE), perc_95, VLOOKUP(J$2, Percentiles!$A$45:$I$59, 8, FALSE), perc_85, perc_75 + (perc_90 - perc_75) * (2/3), converted_stat, '2K_Ratings'!J25, IF(bbgm_stat &gt;= perc_95, converted_stat * 3, IF(bbgm_stat &gt;= perc_90, converted_stat * 2, IF(bbgm_stat &gt;= perc_85, converted_stat * 1.5, converted_stat)))))</f>
        <v/>
      </c>
      <c r="K25" s="30" t="str">
        <f t="array" ref="K25">IF($A25="", "", LET(bbgm_stat, INDEX(Players!$A24:$P24, MATCH(K$2, Players!$A$1:$P$1, 0)), perc_75, VLOOKUP(K$2, Percentiles!$A$45:$I$59, 6, FALSE), perc_90, VLOOKUP(K$2, Percentiles!$A$45:$I$59, 7, FALSE), perc_95, VLOOKUP(K$2, Percentiles!$A$45:$I$59, 8, FALSE), perc_85, perc_75 + (perc_90 - perc_75) * (2/3), converted_stat, '2K_Ratings'!K25, IF(bbgm_stat &gt;= perc_95, converted_stat * 3, IF(bbgm_stat &gt;= perc_90, converted_stat * 2, IF(bbgm_stat &gt;= perc_85, converted_stat * 1.5, converted_stat)))))</f>
        <v/>
      </c>
      <c r="L25" s="30" t="str">
        <f t="array" ref="L25">IF($A25="", "", LET(bbgm_stat, INDEX(Players!$A24:$P24, MATCH(L$2, Players!$A$1:$P$1, 0)), perc_75, VLOOKUP(L$2, Percentiles!$A$45:$I$59, 6, FALSE), perc_90, VLOOKUP(L$2, Percentiles!$A$45:$I$59, 7, FALSE), perc_95, VLOOKUP(L$2, Percentiles!$A$45:$I$59, 8, FALSE), perc_85, perc_75 + (perc_90 - perc_75) * (2/3), converted_stat, '2K_Ratings'!L25, IF(bbgm_stat &gt;= perc_95, converted_stat * 3, IF(bbgm_stat &gt;= perc_90, converted_stat * 2, IF(bbgm_stat &gt;= perc_85, converted_stat * 1.5, converted_stat)))))</f>
        <v/>
      </c>
      <c r="M25" s="30" t="str">
        <f t="array" ref="M25">IF($A25="", "", LET(bbgm_stat, INDEX(Players!$A24:$P24, MATCH(M$2, Players!$A$1:$P$1, 0)), perc_75, VLOOKUP(M$2, Percentiles!$A$45:$I$59, 6, FALSE), perc_90, VLOOKUP(M$2, Percentiles!$A$45:$I$59, 7, FALSE), perc_95, VLOOKUP(M$2, Percentiles!$A$45:$I$59, 8, FALSE), perc_85, perc_75 + (perc_90 - perc_75) * (2/3), converted_stat, '2K_Ratings'!M25, IF(bbgm_stat &gt;= perc_95, converted_stat * 3, IF(bbgm_stat &gt;= perc_90, converted_stat * 2, IF(bbgm_stat &gt;= perc_85, converted_stat * 1.5, converted_stat)))))</f>
        <v/>
      </c>
      <c r="N25" s="30" t="str">
        <f t="array" ref="N25">IF($A25="", "", LET(bbgm_stat, INDEX(Players!$A24:$P24, MATCH(N$2, Players!$A$1:$P$1, 0)), perc_75, VLOOKUP(N$2, Percentiles!$A$45:$I$59, 6, FALSE), perc_90, VLOOKUP(N$2, Percentiles!$A$45:$I$59, 7, FALSE), perc_95, VLOOKUP(N$2, Percentiles!$A$45:$I$59, 8, FALSE), perc_85, perc_75 + (perc_90 - perc_75) * (2/3), converted_stat, '2K_Ratings'!N25, IF(bbgm_stat &gt;= perc_95, converted_stat * 3, IF(bbgm_stat &gt;= perc_90, converted_stat * 2, IF(bbgm_stat &gt;= perc_85, converted_stat * 1.5, converted_stat)))))</f>
        <v/>
      </c>
      <c r="O25" s="30" t="str">
        <f t="array" ref="O25">IF($A25="", "", LET(bbgm_stat, INDEX(Players!$A24:$P24, MATCH(O$2, Players!$A$1:$P$1, 0)), perc_75, VLOOKUP(O$2, Percentiles!$A$45:$I$59, 6, FALSE), perc_90, VLOOKUP(O$2, Percentiles!$A$45:$I$59, 7, FALSE), perc_95, VLOOKUP(O$2, Percentiles!$A$45:$I$59, 8, FALSE), perc_85, perc_75 + (perc_90 - perc_75) * (2/3), converted_stat, '2K_Ratings'!O25, IF(bbgm_stat &gt;= perc_95, converted_stat * 3, IF(bbgm_stat &gt;= perc_90, converted_stat * 2, IF(bbgm_stat &gt;= perc_85, converted_stat * 1.5, converted_stat)))))</f>
        <v/>
      </c>
      <c r="P25" s="30" t="str">
        <f t="array" ref="P25">IF($A25="", "", LET(bbgm_stat, INDEX(Players!$A24:$P24, MATCH(P$2, Players!$A$1:$P$1, 0)), perc_75, VLOOKUP(P$2, Percentiles!$A$45:$I$59, 6, FALSE), perc_90, VLOOKUP(P$2, Percentiles!$A$45:$I$59, 7, FALSE), perc_95, VLOOKUP(P$2, Percentiles!$A$45:$I$59, 8, FALSE), perc_85, perc_75 + (perc_90 - perc_75) * (2/3), converted_stat, '2K_Ratings'!P25, IF(bbgm_stat &gt;= perc_95, converted_stat * 3, IF(bbgm_stat &gt;= perc_90, converted_stat * 2, IF(bbgm_stat &gt;= perc_85, converted_stat * 1.5, converted_stat)))))</f>
        <v/>
      </c>
      <c r="Q25" s="30" t="str">
        <f t="array" ref="Q25">IF($A25="", "", LET(bbgm_stat, INDEX(Players!$A24:$P24, MATCH(Q$2, Players!$A$1:$P$1, 0)), perc_75, VLOOKUP(Q$2, Percentiles!$A$45:$I$59, 6, FALSE), perc_90, VLOOKUP(Q$2, Percentiles!$A$45:$I$59, 7, FALSE), perc_95, VLOOKUP(Q$2, Percentiles!$A$45:$I$59, 8, FALSE), perc_85, perc_75 + (perc_90 - perc_75) * (2/3), converted_stat, '2K_Ratings'!Q25, IF(bbgm_stat &gt;= perc_95, converted_stat * 3, IF(bbgm_stat &gt;= perc_90, converted_stat * 2, IF(bbgm_stat &gt;= perc_85, converted_stat * 1.5, converted_stat)))))</f>
        <v/>
      </c>
      <c r="R25" s="30" t="str">
        <f t="array" ref="R25">IF($A25="", "", LET(bbgm_stat, INDEX(Players!$A24:$P24, MATCH(R$2, Players!$A$1:$P$1, 0)), perc_75, VLOOKUP(R$2, Percentiles!$A$45:$I$59, 6, FALSE), perc_90, VLOOKUP(R$2, Percentiles!$A$45:$I$59, 7, FALSE), perc_95, VLOOKUP(R$2, Percentiles!$A$45:$I$59, 8, FALSE), perc_85, perc_75 + (perc_90 - perc_75) * (2/3), converted_stat, '2K_Ratings'!R25, IF(bbgm_stat &gt;= perc_95, converted_stat * 3, IF(bbgm_stat &gt;= perc_90, converted_stat * 2, IF(bbgm_stat &gt;= perc_85, converted_stat * 1.5, converted_stat)))))</f>
        <v/>
      </c>
      <c r="S25" s="30" t="str">
        <f t="array" ref="S25">IF($A25="", "", LET(bbgm_stat, INDEX(Players!$A24:$P24, MATCH(S$2, Players!$A$1:$P$1, 0)), perc_75, VLOOKUP(S$2, Percentiles!$A$45:$I$59, 6, FALSE), perc_90, VLOOKUP(S$2, Percentiles!$A$45:$I$59, 7, FALSE), perc_95, VLOOKUP(S$2, Percentiles!$A$45:$I$59, 8, FALSE), perc_85, perc_75 + (perc_90 - perc_75) * (2/3), converted_stat, '2K_Ratings'!S25, IF(bbgm_stat &gt;= perc_95, converted_stat * 3, IF(bbgm_stat &gt;= perc_90, converted_stat * 2, IF(bbgm_stat &gt;= perc_85, converted_stat * 1.5, converted_stat)))))</f>
        <v/>
      </c>
      <c r="T25" s="30" t="str">
        <f t="array" ref="T25">IF($A25="", "", LET(bbgm_stat, INDEX(Players!$A24:$P24, MATCH(T$2, Players!$A$1:$P$1, 0)), perc_75, VLOOKUP(T$2, Percentiles!$A$45:$I$59, 6, FALSE), perc_90, VLOOKUP(T$2, Percentiles!$A$45:$I$59, 7, FALSE), perc_95, VLOOKUP(T$2, Percentiles!$A$45:$I$59, 8, FALSE), perc_85, perc_75 + (perc_90 - perc_75) * (2/3), converted_stat, '2K_Ratings'!T25, IF(bbgm_stat &gt;= perc_95, converted_stat * 3, IF(bbgm_stat &gt;= perc_90, converted_stat * 2, IF(bbgm_stat &gt;= perc_85, converted_stat * 1.5, converted_stat)))))</f>
        <v/>
      </c>
      <c r="U25" s="30" t="str">
        <f t="array" ref="U25">IF($A25="", "", LET(bbgm_stat, INDEX(Players!$A24:$P24, MATCH(U$2, Players!$A$1:$P$1, 0)), perc_75, VLOOKUP(U$2, Percentiles!$A$45:$I$59, 6, FALSE), perc_90, VLOOKUP(U$2, Percentiles!$A$45:$I$59, 7, FALSE), perc_95, VLOOKUP(U$2, Percentiles!$A$45:$I$59, 8, FALSE), perc_85, perc_75 + (perc_90 - perc_75) * (2/3), converted_stat, '2K_Ratings'!U25, IF(bbgm_stat &gt;= perc_95, converted_stat * 3, IF(bbgm_stat &gt;= perc_90, converted_stat * 2, IF(bbgm_stat &gt;= perc_85, converted_stat * 1.5, converted_stat)))))</f>
        <v/>
      </c>
      <c r="V25" s="30" t="str">
        <f t="array" ref="V25">IF($A25="", "", LET(bbgm_stat, INDEX(Players!$A24:$P24, MATCH(V$2, Players!$A$1:$P$1, 0)), perc_75, VLOOKUP(V$2, Percentiles!$A$45:$I$59, 6, FALSE), perc_90, VLOOKUP(V$2, Percentiles!$A$45:$I$59, 7, FALSE), perc_95, VLOOKUP(V$2, Percentiles!$A$45:$I$59, 8, FALSE), perc_85, perc_75 + (perc_90 - perc_75) * (2/3), converted_stat, '2K_Ratings'!V25, IF(bbgm_stat &gt;= perc_95, converted_stat * 3, IF(bbgm_stat &gt;= perc_90, converted_stat * 2, IF(bbgm_stat &gt;= perc_85, converted_stat * 1.5, converted_stat)))))</f>
        <v/>
      </c>
      <c r="W25" s="30" t="str">
        <f t="array" ref="W25">IF($A25="", "", LET(bbgm_stat, INDEX(Players!$A24:$P24, MATCH(W$2, Players!$A$1:$P$1, 0)), perc_75, VLOOKUP(W$2, Percentiles!$A$45:$I$59, 6, FALSE), perc_90, VLOOKUP(W$2, Percentiles!$A$45:$I$59, 7, FALSE), perc_95, VLOOKUP(W$2, Percentiles!$A$45:$I$59, 8, FALSE), perc_85, perc_75 + (perc_90 - perc_75) * (2/3), converted_stat, '2K_Ratings'!W25, IF(bbgm_stat &gt;= perc_95, converted_stat * 3, IF(bbgm_stat &gt;= perc_90, converted_stat * 2, IF(bbgm_stat &gt;= perc_85, converted_stat * 1.5, converted_stat)))))</f>
        <v/>
      </c>
    </row>
    <row r="26">
      <c r="A26" s="30" t="str">
        <f>IF(Players!A25="", "", Players!A25)</f>
        <v/>
      </c>
      <c r="B26" s="30" t="str">
        <f t="array" ref="B26">IF($A26="", "", LET(bbgm_stat, INDEX(Players!$A25:$P25, MATCH(B$2, Players!$A$1:$P$1, 0)), perc_75, VLOOKUP(B$2, Percentiles!$A$45:$I$59, 6, FALSE), perc_90, VLOOKUP(B$2, Percentiles!$A$45:$I$59, 7, FALSE), perc_95, VLOOKUP(B$2, Percentiles!$A$45:$I$59, 8, FALSE), perc_85, perc_75 + (perc_90 - perc_75) * (2/3), converted_stat, '2K_Ratings'!B26, IF(bbgm_stat &gt;= perc_95, converted_stat * 3, IF(bbgm_stat &gt;= perc_90, converted_stat * 2, IF(bbgm_stat &gt;= perc_85, converted_stat * 1.5, converted_stat)))))</f>
        <v/>
      </c>
      <c r="C26" s="30" t="str">
        <f t="array" ref="C26">IF($A26="", "", LET(bbgm_stat, INDEX(Players!$A25:$P25, MATCH(C$2, Players!$A$1:$P$1, 0)), perc_75, VLOOKUP(C$2, Percentiles!$A$45:$I$59, 6, FALSE), perc_90, VLOOKUP(C$2, Percentiles!$A$45:$I$59, 7, FALSE), perc_95, VLOOKUP(C$2, Percentiles!$A$45:$I$59, 8, FALSE), perc_85, perc_75 + (perc_90 - perc_75) * (2/3), converted_stat, '2K_Ratings'!C26, IF(bbgm_stat &gt;= perc_95, converted_stat * 3, IF(bbgm_stat &gt;= perc_90, converted_stat * 2, IF(bbgm_stat &gt;= perc_85, converted_stat * 1.5, converted_stat)))))</f>
        <v/>
      </c>
      <c r="D26" s="30" t="str">
        <f t="array" ref="D26">IF($A26="", "", LET(bbgm_stat, INDEX(Players!$A25:$P25, MATCH(D$2, Players!$A$1:$P$1, 0)), perc_75, VLOOKUP(D$2, Percentiles!$A$45:$I$59, 6, FALSE), perc_90, VLOOKUP(D$2, Percentiles!$A$45:$I$59, 7, FALSE), perc_95, VLOOKUP(D$2, Percentiles!$A$45:$I$59, 8, FALSE), perc_85, perc_75 + (perc_90 - perc_75) * (2/3), converted_stat, '2K_Ratings'!D26, IF(bbgm_stat &gt;= perc_95, converted_stat * 3, IF(bbgm_stat &gt;= perc_90, converted_stat * 2, IF(bbgm_stat &gt;= perc_85, converted_stat * 1.5, converted_stat)))))</f>
        <v/>
      </c>
      <c r="E26" s="30" t="str">
        <f t="array" ref="E26">IF($A26="", "", LET(bbgm_stat, INDEX(Players!$A25:$P25, MATCH(E$2, Players!$A$1:$P$1, 0)), perc_75, VLOOKUP(E$2, Percentiles!$A$45:$I$59, 6, FALSE), perc_90, VLOOKUP(E$2, Percentiles!$A$45:$I$59, 7, FALSE), perc_95, VLOOKUP(E$2, Percentiles!$A$45:$I$59, 8, FALSE), perc_85, perc_75 + (perc_90 - perc_75) * (2/3), converted_stat, '2K_Ratings'!E26, IF(bbgm_stat &gt;= perc_95, converted_stat * 3, IF(bbgm_stat &gt;= perc_90, converted_stat * 2, IF(bbgm_stat &gt;= perc_85, converted_stat * 1.5, converted_stat)))))</f>
        <v/>
      </c>
      <c r="F26" s="30" t="str">
        <f t="array" ref="F26">IF($A26="", "", LET(bbgm_stat, INDEX(Players!$A25:$P25, MATCH(F$2, Players!$A$1:$P$1, 0)), perc_75, VLOOKUP(F$2, Percentiles!$A$45:$I$59, 6, FALSE), perc_90, VLOOKUP(F$2, Percentiles!$A$45:$I$59, 7, FALSE), perc_95, VLOOKUP(F$2, Percentiles!$A$45:$I$59, 8, FALSE), perc_85, perc_75 + (perc_90 - perc_75) * (2/3), converted_stat, '2K_Ratings'!F26, IF(bbgm_stat &gt;= perc_95, converted_stat * 3, IF(bbgm_stat &gt;= perc_90, converted_stat * 2, IF(bbgm_stat &gt;= perc_85, converted_stat * 1.5, converted_stat)))))</f>
        <v/>
      </c>
      <c r="G26" s="30" t="str">
        <f t="array" ref="G26">IF($A26="", "", LET(bbgm_stat, INDEX(Players!$A25:$P25, MATCH(G$2, Players!$A$1:$P$1, 0)), perc_75, VLOOKUP(G$2, Percentiles!$A$45:$I$59, 6, FALSE), perc_90, VLOOKUP(G$2, Percentiles!$A$45:$I$59, 7, FALSE), perc_95, VLOOKUP(G$2, Percentiles!$A$45:$I$59, 8, FALSE), perc_85, perc_75 + (perc_90 - perc_75) * (2/3), converted_stat, '2K_Ratings'!G26, IF(bbgm_stat &gt;= perc_95, converted_stat * 3, IF(bbgm_stat &gt;= perc_90, converted_stat * 2, IF(bbgm_stat &gt;= perc_85, converted_stat * 1.5, converted_stat)))))</f>
        <v/>
      </c>
      <c r="H26" s="30" t="str">
        <f t="array" ref="H26">IF($A26="", "", LET(bbgm_stat, INDEX(Players!$A25:$P25, MATCH(H$2, Players!$A$1:$P$1, 0)), perc_75, VLOOKUP(H$2, Percentiles!$A$45:$I$59, 6, FALSE), perc_90, VLOOKUP(H$2, Percentiles!$A$45:$I$59, 7, FALSE), perc_95, VLOOKUP(H$2, Percentiles!$A$45:$I$59, 8, FALSE), perc_85, perc_75 + (perc_90 - perc_75) * (2/3), converted_stat, '2K_Ratings'!H26, IF(bbgm_stat &gt;= perc_95, converted_stat * 3, IF(bbgm_stat &gt;= perc_90, converted_stat * 2, IF(bbgm_stat &gt;= perc_85, converted_stat * 1.5, converted_stat)))))</f>
        <v/>
      </c>
      <c r="I26" s="30" t="str">
        <f t="array" ref="I26">IF($A26="", "", LET(bbgm_stat, INDEX(Players!$A25:$P25, MATCH(I$2, Players!$A$1:$P$1, 0)), perc_75, VLOOKUP(I$2, Percentiles!$A$45:$I$59, 6, FALSE), perc_90, VLOOKUP(I$2, Percentiles!$A$45:$I$59, 7, FALSE), perc_95, VLOOKUP(I$2, Percentiles!$A$45:$I$59, 8, FALSE), perc_85, perc_75 + (perc_90 - perc_75) * (2/3), converted_stat, '2K_Ratings'!I26, IF(bbgm_stat &gt;= perc_95, converted_stat * 3, IF(bbgm_stat &gt;= perc_90, converted_stat * 2, IF(bbgm_stat &gt;= perc_85, converted_stat * 1.5, converted_stat)))))</f>
        <v/>
      </c>
      <c r="J26" s="30" t="str">
        <f t="array" ref="J26">IF($A26="", "", LET(bbgm_stat, INDEX(Players!$A25:$P25, MATCH(J$2, Players!$A$1:$P$1, 0)), perc_75, VLOOKUP(J$2, Percentiles!$A$45:$I$59, 6, FALSE), perc_90, VLOOKUP(J$2, Percentiles!$A$45:$I$59, 7, FALSE), perc_95, VLOOKUP(J$2, Percentiles!$A$45:$I$59, 8, FALSE), perc_85, perc_75 + (perc_90 - perc_75) * (2/3), converted_stat, '2K_Ratings'!J26, IF(bbgm_stat &gt;= perc_95, converted_stat * 3, IF(bbgm_stat &gt;= perc_90, converted_stat * 2, IF(bbgm_stat &gt;= perc_85, converted_stat * 1.5, converted_stat)))))</f>
        <v/>
      </c>
      <c r="K26" s="30" t="str">
        <f t="array" ref="K26">IF($A26="", "", LET(bbgm_stat, INDEX(Players!$A25:$P25, MATCH(K$2, Players!$A$1:$P$1, 0)), perc_75, VLOOKUP(K$2, Percentiles!$A$45:$I$59, 6, FALSE), perc_90, VLOOKUP(K$2, Percentiles!$A$45:$I$59, 7, FALSE), perc_95, VLOOKUP(K$2, Percentiles!$A$45:$I$59, 8, FALSE), perc_85, perc_75 + (perc_90 - perc_75) * (2/3), converted_stat, '2K_Ratings'!K26, IF(bbgm_stat &gt;= perc_95, converted_stat * 3, IF(bbgm_stat &gt;= perc_90, converted_stat * 2, IF(bbgm_stat &gt;= perc_85, converted_stat * 1.5, converted_stat)))))</f>
        <v/>
      </c>
      <c r="L26" s="30" t="str">
        <f t="array" ref="L26">IF($A26="", "", LET(bbgm_stat, INDEX(Players!$A25:$P25, MATCH(L$2, Players!$A$1:$P$1, 0)), perc_75, VLOOKUP(L$2, Percentiles!$A$45:$I$59, 6, FALSE), perc_90, VLOOKUP(L$2, Percentiles!$A$45:$I$59, 7, FALSE), perc_95, VLOOKUP(L$2, Percentiles!$A$45:$I$59, 8, FALSE), perc_85, perc_75 + (perc_90 - perc_75) * (2/3), converted_stat, '2K_Ratings'!L26, IF(bbgm_stat &gt;= perc_95, converted_stat * 3, IF(bbgm_stat &gt;= perc_90, converted_stat * 2, IF(bbgm_stat &gt;= perc_85, converted_stat * 1.5, converted_stat)))))</f>
        <v/>
      </c>
      <c r="M26" s="30" t="str">
        <f t="array" ref="M26">IF($A26="", "", LET(bbgm_stat, INDEX(Players!$A25:$P25, MATCH(M$2, Players!$A$1:$P$1, 0)), perc_75, VLOOKUP(M$2, Percentiles!$A$45:$I$59, 6, FALSE), perc_90, VLOOKUP(M$2, Percentiles!$A$45:$I$59, 7, FALSE), perc_95, VLOOKUP(M$2, Percentiles!$A$45:$I$59, 8, FALSE), perc_85, perc_75 + (perc_90 - perc_75) * (2/3), converted_stat, '2K_Ratings'!M26, IF(bbgm_stat &gt;= perc_95, converted_stat * 3, IF(bbgm_stat &gt;= perc_90, converted_stat * 2, IF(bbgm_stat &gt;= perc_85, converted_stat * 1.5, converted_stat)))))</f>
        <v/>
      </c>
      <c r="N26" s="30" t="str">
        <f t="array" ref="N26">IF($A26="", "", LET(bbgm_stat, INDEX(Players!$A25:$P25, MATCH(N$2, Players!$A$1:$P$1, 0)), perc_75, VLOOKUP(N$2, Percentiles!$A$45:$I$59, 6, FALSE), perc_90, VLOOKUP(N$2, Percentiles!$A$45:$I$59, 7, FALSE), perc_95, VLOOKUP(N$2, Percentiles!$A$45:$I$59, 8, FALSE), perc_85, perc_75 + (perc_90 - perc_75) * (2/3), converted_stat, '2K_Ratings'!N26, IF(bbgm_stat &gt;= perc_95, converted_stat * 3, IF(bbgm_stat &gt;= perc_90, converted_stat * 2, IF(bbgm_stat &gt;= perc_85, converted_stat * 1.5, converted_stat)))))</f>
        <v/>
      </c>
      <c r="O26" s="30" t="str">
        <f t="array" ref="O26">IF($A26="", "", LET(bbgm_stat, INDEX(Players!$A25:$P25, MATCH(O$2, Players!$A$1:$P$1, 0)), perc_75, VLOOKUP(O$2, Percentiles!$A$45:$I$59, 6, FALSE), perc_90, VLOOKUP(O$2, Percentiles!$A$45:$I$59, 7, FALSE), perc_95, VLOOKUP(O$2, Percentiles!$A$45:$I$59, 8, FALSE), perc_85, perc_75 + (perc_90 - perc_75) * (2/3), converted_stat, '2K_Ratings'!O26, IF(bbgm_stat &gt;= perc_95, converted_stat * 3, IF(bbgm_stat &gt;= perc_90, converted_stat * 2, IF(bbgm_stat &gt;= perc_85, converted_stat * 1.5, converted_stat)))))</f>
        <v/>
      </c>
      <c r="P26" s="30" t="str">
        <f t="array" ref="P26">IF($A26="", "", LET(bbgm_stat, INDEX(Players!$A25:$P25, MATCH(P$2, Players!$A$1:$P$1, 0)), perc_75, VLOOKUP(P$2, Percentiles!$A$45:$I$59, 6, FALSE), perc_90, VLOOKUP(P$2, Percentiles!$A$45:$I$59, 7, FALSE), perc_95, VLOOKUP(P$2, Percentiles!$A$45:$I$59, 8, FALSE), perc_85, perc_75 + (perc_90 - perc_75) * (2/3), converted_stat, '2K_Ratings'!P26, IF(bbgm_stat &gt;= perc_95, converted_stat * 3, IF(bbgm_stat &gt;= perc_90, converted_stat * 2, IF(bbgm_stat &gt;= perc_85, converted_stat * 1.5, converted_stat)))))</f>
        <v/>
      </c>
      <c r="Q26" s="30" t="str">
        <f t="array" ref="Q26">IF($A26="", "", LET(bbgm_stat, INDEX(Players!$A25:$P25, MATCH(Q$2, Players!$A$1:$P$1, 0)), perc_75, VLOOKUP(Q$2, Percentiles!$A$45:$I$59, 6, FALSE), perc_90, VLOOKUP(Q$2, Percentiles!$A$45:$I$59, 7, FALSE), perc_95, VLOOKUP(Q$2, Percentiles!$A$45:$I$59, 8, FALSE), perc_85, perc_75 + (perc_90 - perc_75) * (2/3), converted_stat, '2K_Ratings'!Q26, IF(bbgm_stat &gt;= perc_95, converted_stat * 3, IF(bbgm_stat &gt;= perc_90, converted_stat * 2, IF(bbgm_stat &gt;= perc_85, converted_stat * 1.5, converted_stat)))))</f>
        <v/>
      </c>
      <c r="R26" s="30" t="str">
        <f t="array" ref="R26">IF($A26="", "", LET(bbgm_stat, INDEX(Players!$A25:$P25, MATCH(R$2, Players!$A$1:$P$1, 0)), perc_75, VLOOKUP(R$2, Percentiles!$A$45:$I$59, 6, FALSE), perc_90, VLOOKUP(R$2, Percentiles!$A$45:$I$59, 7, FALSE), perc_95, VLOOKUP(R$2, Percentiles!$A$45:$I$59, 8, FALSE), perc_85, perc_75 + (perc_90 - perc_75) * (2/3), converted_stat, '2K_Ratings'!R26, IF(bbgm_stat &gt;= perc_95, converted_stat * 3, IF(bbgm_stat &gt;= perc_90, converted_stat * 2, IF(bbgm_stat &gt;= perc_85, converted_stat * 1.5, converted_stat)))))</f>
        <v/>
      </c>
      <c r="S26" s="30" t="str">
        <f t="array" ref="S26">IF($A26="", "", LET(bbgm_stat, INDEX(Players!$A25:$P25, MATCH(S$2, Players!$A$1:$P$1, 0)), perc_75, VLOOKUP(S$2, Percentiles!$A$45:$I$59, 6, FALSE), perc_90, VLOOKUP(S$2, Percentiles!$A$45:$I$59, 7, FALSE), perc_95, VLOOKUP(S$2, Percentiles!$A$45:$I$59, 8, FALSE), perc_85, perc_75 + (perc_90 - perc_75) * (2/3), converted_stat, '2K_Ratings'!S26, IF(bbgm_stat &gt;= perc_95, converted_stat * 3, IF(bbgm_stat &gt;= perc_90, converted_stat * 2, IF(bbgm_stat &gt;= perc_85, converted_stat * 1.5, converted_stat)))))</f>
        <v/>
      </c>
      <c r="T26" s="30" t="str">
        <f t="array" ref="T26">IF($A26="", "", LET(bbgm_stat, INDEX(Players!$A25:$P25, MATCH(T$2, Players!$A$1:$P$1, 0)), perc_75, VLOOKUP(T$2, Percentiles!$A$45:$I$59, 6, FALSE), perc_90, VLOOKUP(T$2, Percentiles!$A$45:$I$59, 7, FALSE), perc_95, VLOOKUP(T$2, Percentiles!$A$45:$I$59, 8, FALSE), perc_85, perc_75 + (perc_90 - perc_75) * (2/3), converted_stat, '2K_Ratings'!T26, IF(bbgm_stat &gt;= perc_95, converted_stat * 3, IF(bbgm_stat &gt;= perc_90, converted_stat * 2, IF(bbgm_stat &gt;= perc_85, converted_stat * 1.5, converted_stat)))))</f>
        <v/>
      </c>
      <c r="U26" s="30" t="str">
        <f t="array" ref="U26">IF($A26="", "", LET(bbgm_stat, INDEX(Players!$A25:$P25, MATCH(U$2, Players!$A$1:$P$1, 0)), perc_75, VLOOKUP(U$2, Percentiles!$A$45:$I$59, 6, FALSE), perc_90, VLOOKUP(U$2, Percentiles!$A$45:$I$59, 7, FALSE), perc_95, VLOOKUP(U$2, Percentiles!$A$45:$I$59, 8, FALSE), perc_85, perc_75 + (perc_90 - perc_75) * (2/3), converted_stat, '2K_Ratings'!U26, IF(bbgm_stat &gt;= perc_95, converted_stat * 3, IF(bbgm_stat &gt;= perc_90, converted_stat * 2, IF(bbgm_stat &gt;= perc_85, converted_stat * 1.5, converted_stat)))))</f>
        <v/>
      </c>
      <c r="V26" s="30" t="str">
        <f t="array" ref="V26">IF($A26="", "", LET(bbgm_stat, INDEX(Players!$A25:$P25, MATCH(V$2, Players!$A$1:$P$1, 0)), perc_75, VLOOKUP(V$2, Percentiles!$A$45:$I$59, 6, FALSE), perc_90, VLOOKUP(V$2, Percentiles!$A$45:$I$59, 7, FALSE), perc_95, VLOOKUP(V$2, Percentiles!$A$45:$I$59, 8, FALSE), perc_85, perc_75 + (perc_90 - perc_75) * (2/3), converted_stat, '2K_Ratings'!V26, IF(bbgm_stat &gt;= perc_95, converted_stat * 3, IF(bbgm_stat &gt;= perc_90, converted_stat * 2, IF(bbgm_stat &gt;= perc_85, converted_stat * 1.5, converted_stat)))))</f>
        <v/>
      </c>
      <c r="W26" s="30" t="str">
        <f t="array" ref="W26">IF($A26="", "", LET(bbgm_stat, INDEX(Players!$A25:$P25, MATCH(W$2, Players!$A$1:$P$1, 0)), perc_75, VLOOKUP(W$2, Percentiles!$A$45:$I$59, 6, FALSE), perc_90, VLOOKUP(W$2, Percentiles!$A$45:$I$59, 7, FALSE), perc_95, VLOOKUP(W$2, Percentiles!$A$45:$I$59, 8, FALSE), perc_85, perc_75 + (perc_90 - perc_75) * (2/3), converted_stat, '2K_Ratings'!W26, IF(bbgm_stat &gt;= perc_95, converted_stat * 3, IF(bbgm_stat &gt;= perc_90, converted_stat * 2, IF(bbgm_stat &gt;= perc_85, converted_stat * 1.5, converted_stat)))))</f>
        <v/>
      </c>
    </row>
    <row r="27">
      <c r="A27" s="30" t="str">
        <f>IF(Players!A26="", "", Players!A26)</f>
        <v/>
      </c>
      <c r="B27" s="30" t="str">
        <f t="array" ref="B27">IF($A27="", "", LET(bbgm_stat, INDEX(Players!$A26:$P26, MATCH(B$2, Players!$A$1:$P$1, 0)), perc_75, VLOOKUP(B$2, Percentiles!$A$45:$I$59, 6, FALSE), perc_90, VLOOKUP(B$2, Percentiles!$A$45:$I$59, 7, FALSE), perc_95, VLOOKUP(B$2, Percentiles!$A$45:$I$59, 8, FALSE), perc_85, perc_75 + (perc_90 - perc_75) * (2/3), converted_stat, '2K_Ratings'!B27, IF(bbgm_stat &gt;= perc_95, converted_stat * 3, IF(bbgm_stat &gt;= perc_90, converted_stat * 2, IF(bbgm_stat &gt;= perc_85, converted_stat * 1.5, converted_stat)))))</f>
        <v/>
      </c>
      <c r="C27" s="30" t="str">
        <f t="array" ref="C27">IF($A27="", "", LET(bbgm_stat, INDEX(Players!$A26:$P26, MATCH(C$2, Players!$A$1:$P$1, 0)), perc_75, VLOOKUP(C$2, Percentiles!$A$45:$I$59, 6, FALSE), perc_90, VLOOKUP(C$2, Percentiles!$A$45:$I$59, 7, FALSE), perc_95, VLOOKUP(C$2, Percentiles!$A$45:$I$59, 8, FALSE), perc_85, perc_75 + (perc_90 - perc_75) * (2/3), converted_stat, '2K_Ratings'!C27, IF(bbgm_stat &gt;= perc_95, converted_stat * 3, IF(bbgm_stat &gt;= perc_90, converted_stat * 2, IF(bbgm_stat &gt;= perc_85, converted_stat * 1.5, converted_stat)))))</f>
        <v/>
      </c>
      <c r="D27" s="30" t="str">
        <f t="array" ref="D27">IF($A27="", "", LET(bbgm_stat, INDEX(Players!$A26:$P26, MATCH(D$2, Players!$A$1:$P$1, 0)), perc_75, VLOOKUP(D$2, Percentiles!$A$45:$I$59, 6, FALSE), perc_90, VLOOKUP(D$2, Percentiles!$A$45:$I$59, 7, FALSE), perc_95, VLOOKUP(D$2, Percentiles!$A$45:$I$59, 8, FALSE), perc_85, perc_75 + (perc_90 - perc_75) * (2/3), converted_stat, '2K_Ratings'!D27, IF(bbgm_stat &gt;= perc_95, converted_stat * 3, IF(bbgm_stat &gt;= perc_90, converted_stat * 2, IF(bbgm_stat &gt;= perc_85, converted_stat * 1.5, converted_stat)))))</f>
        <v/>
      </c>
      <c r="E27" s="30" t="str">
        <f t="array" ref="E27">IF($A27="", "", LET(bbgm_stat, INDEX(Players!$A26:$P26, MATCH(E$2, Players!$A$1:$P$1, 0)), perc_75, VLOOKUP(E$2, Percentiles!$A$45:$I$59, 6, FALSE), perc_90, VLOOKUP(E$2, Percentiles!$A$45:$I$59, 7, FALSE), perc_95, VLOOKUP(E$2, Percentiles!$A$45:$I$59, 8, FALSE), perc_85, perc_75 + (perc_90 - perc_75) * (2/3), converted_stat, '2K_Ratings'!E27, IF(bbgm_stat &gt;= perc_95, converted_stat * 3, IF(bbgm_stat &gt;= perc_90, converted_stat * 2, IF(bbgm_stat &gt;= perc_85, converted_stat * 1.5, converted_stat)))))</f>
        <v/>
      </c>
      <c r="F27" s="30" t="str">
        <f t="array" ref="F27">IF($A27="", "", LET(bbgm_stat, INDEX(Players!$A26:$P26, MATCH(F$2, Players!$A$1:$P$1, 0)), perc_75, VLOOKUP(F$2, Percentiles!$A$45:$I$59, 6, FALSE), perc_90, VLOOKUP(F$2, Percentiles!$A$45:$I$59, 7, FALSE), perc_95, VLOOKUP(F$2, Percentiles!$A$45:$I$59, 8, FALSE), perc_85, perc_75 + (perc_90 - perc_75) * (2/3), converted_stat, '2K_Ratings'!F27, IF(bbgm_stat &gt;= perc_95, converted_stat * 3, IF(bbgm_stat &gt;= perc_90, converted_stat * 2, IF(bbgm_stat &gt;= perc_85, converted_stat * 1.5, converted_stat)))))</f>
        <v/>
      </c>
      <c r="G27" s="30" t="str">
        <f t="array" ref="G27">IF($A27="", "", LET(bbgm_stat, INDEX(Players!$A26:$P26, MATCH(G$2, Players!$A$1:$P$1, 0)), perc_75, VLOOKUP(G$2, Percentiles!$A$45:$I$59, 6, FALSE), perc_90, VLOOKUP(G$2, Percentiles!$A$45:$I$59, 7, FALSE), perc_95, VLOOKUP(G$2, Percentiles!$A$45:$I$59, 8, FALSE), perc_85, perc_75 + (perc_90 - perc_75) * (2/3), converted_stat, '2K_Ratings'!G27, IF(bbgm_stat &gt;= perc_95, converted_stat * 3, IF(bbgm_stat &gt;= perc_90, converted_stat * 2, IF(bbgm_stat &gt;= perc_85, converted_stat * 1.5, converted_stat)))))</f>
        <v/>
      </c>
      <c r="H27" s="30" t="str">
        <f t="array" ref="H27">IF($A27="", "", LET(bbgm_stat, INDEX(Players!$A26:$P26, MATCH(H$2, Players!$A$1:$P$1, 0)), perc_75, VLOOKUP(H$2, Percentiles!$A$45:$I$59, 6, FALSE), perc_90, VLOOKUP(H$2, Percentiles!$A$45:$I$59, 7, FALSE), perc_95, VLOOKUP(H$2, Percentiles!$A$45:$I$59, 8, FALSE), perc_85, perc_75 + (perc_90 - perc_75) * (2/3), converted_stat, '2K_Ratings'!H27, IF(bbgm_stat &gt;= perc_95, converted_stat * 3, IF(bbgm_stat &gt;= perc_90, converted_stat * 2, IF(bbgm_stat &gt;= perc_85, converted_stat * 1.5, converted_stat)))))</f>
        <v/>
      </c>
      <c r="I27" s="30" t="str">
        <f t="array" ref="I27">IF($A27="", "", LET(bbgm_stat, INDEX(Players!$A26:$P26, MATCH(I$2, Players!$A$1:$P$1, 0)), perc_75, VLOOKUP(I$2, Percentiles!$A$45:$I$59, 6, FALSE), perc_90, VLOOKUP(I$2, Percentiles!$A$45:$I$59, 7, FALSE), perc_95, VLOOKUP(I$2, Percentiles!$A$45:$I$59, 8, FALSE), perc_85, perc_75 + (perc_90 - perc_75) * (2/3), converted_stat, '2K_Ratings'!I27, IF(bbgm_stat &gt;= perc_95, converted_stat * 3, IF(bbgm_stat &gt;= perc_90, converted_stat * 2, IF(bbgm_stat &gt;= perc_85, converted_stat * 1.5, converted_stat)))))</f>
        <v/>
      </c>
      <c r="J27" s="30" t="str">
        <f t="array" ref="J27">IF($A27="", "", LET(bbgm_stat, INDEX(Players!$A26:$P26, MATCH(J$2, Players!$A$1:$P$1, 0)), perc_75, VLOOKUP(J$2, Percentiles!$A$45:$I$59, 6, FALSE), perc_90, VLOOKUP(J$2, Percentiles!$A$45:$I$59, 7, FALSE), perc_95, VLOOKUP(J$2, Percentiles!$A$45:$I$59, 8, FALSE), perc_85, perc_75 + (perc_90 - perc_75) * (2/3), converted_stat, '2K_Ratings'!J27, IF(bbgm_stat &gt;= perc_95, converted_stat * 3, IF(bbgm_stat &gt;= perc_90, converted_stat * 2, IF(bbgm_stat &gt;= perc_85, converted_stat * 1.5, converted_stat)))))</f>
        <v/>
      </c>
      <c r="K27" s="30" t="str">
        <f t="array" ref="K27">IF($A27="", "", LET(bbgm_stat, INDEX(Players!$A26:$P26, MATCH(K$2, Players!$A$1:$P$1, 0)), perc_75, VLOOKUP(K$2, Percentiles!$A$45:$I$59, 6, FALSE), perc_90, VLOOKUP(K$2, Percentiles!$A$45:$I$59, 7, FALSE), perc_95, VLOOKUP(K$2, Percentiles!$A$45:$I$59, 8, FALSE), perc_85, perc_75 + (perc_90 - perc_75) * (2/3), converted_stat, '2K_Ratings'!K27, IF(bbgm_stat &gt;= perc_95, converted_stat * 3, IF(bbgm_stat &gt;= perc_90, converted_stat * 2, IF(bbgm_stat &gt;= perc_85, converted_stat * 1.5, converted_stat)))))</f>
        <v/>
      </c>
      <c r="L27" s="30" t="str">
        <f t="array" ref="L27">IF($A27="", "", LET(bbgm_stat, INDEX(Players!$A26:$P26, MATCH(L$2, Players!$A$1:$P$1, 0)), perc_75, VLOOKUP(L$2, Percentiles!$A$45:$I$59, 6, FALSE), perc_90, VLOOKUP(L$2, Percentiles!$A$45:$I$59, 7, FALSE), perc_95, VLOOKUP(L$2, Percentiles!$A$45:$I$59, 8, FALSE), perc_85, perc_75 + (perc_90 - perc_75) * (2/3), converted_stat, '2K_Ratings'!L27, IF(bbgm_stat &gt;= perc_95, converted_stat * 3, IF(bbgm_stat &gt;= perc_90, converted_stat * 2, IF(bbgm_stat &gt;= perc_85, converted_stat * 1.5, converted_stat)))))</f>
        <v/>
      </c>
      <c r="M27" s="30" t="str">
        <f t="array" ref="M27">IF($A27="", "", LET(bbgm_stat, INDEX(Players!$A26:$P26, MATCH(M$2, Players!$A$1:$P$1, 0)), perc_75, VLOOKUP(M$2, Percentiles!$A$45:$I$59, 6, FALSE), perc_90, VLOOKUP(M$2, Percentiles!$A$45:$I$59, 7, FALSE), perc_95, VLOOKUP(M$2, Percentiles!$A$45:$I$59, 8, FALSE), perc_85, perc_75 + (perc_90 - perc_75) * (2/3), converted_stat, '2K_Ratings'!M27, IF(bbgm_stat &gt;= perc_95, converted_stat * 3, IF(bbgm_stat &gt;= perc_90, converted_stat * 2, IF(bbgm_stat &gt;= perc_85, converted_stat * 1.5, converted_stat)))))</f>
        <v/>
      </c>
      <c r="N27" s="30" t="str">
        <f t="array" ref="N27">IF($A27="", "", LET(bbgm_stat, INDEX(Players!$A26:$P26, MATCH(N$2, Players!$A$1:$P$1, 0)), perc_75, VLOOKUP(N$2, Percentiles!$A$45:$I$59, 6, FALSE), perc_90, VLOOKUP(N$2, Percentiles!$A$45:$I$59, 7, FALSE), perc_95, VLOOKUP(N$2, Percentiles!$A$45:$I$59, 8, FALSE), perc_85, perc_75 + (perc_90 - perc_75) * (2/3), converted_stat, '2K_Ratings'!N27, IF(bbgm_stat &gt;= perc_95, converted_stat * 3, IF(bbgm_stat &gt;= perc_90, converted_stat * 2, IF(bbgm_stat &gt;= perc_85, converted_stat * 1.5, converted_stat)))))</f>
        <v/>
      </c>
      <c r="O27" s="30" t="str">
        <f t="array" ref="O27">IF($A27="", "", LET(bbgm_stat, INDEX(Players!$A26:$P26, MATCH(O$2, Players!$A$1:$P$1, 0)), perc_75, VLOOKUP(O$2, Percentiles!$A$45:$I$59, 6, FALSE), perc_90, VLOOKUP(O$2, Percentiles!$A$45:$I$59, 7, FALSE), perc_95, VLOOKUP(O$2, Percentiles!$A$45:$I$59, 8, FALSE), perc_85, perc_75 + (perc_90 - perc_75) * (2/3), converted_stat, '2K_Ratings'!O27, IF(bbgm_stat &gt;= perc_95, converted_stat * 3, IF(bbgm_stat &gt;= perc_90, converted_stat * 2, IF(bbgm_stat &gt;= perc_85, converted_stat * 1.5, converted_stat)))))</f>
        <v/>
      </c>
      <c r="P27" s="30" t="str">
        <f t="array" ref="P27">IF($A27="", "", LET(bbgm_stat, INDEX(Players!$A26:$P26, MATCH(P$2, Players!$A$1:$P$1, 0)), perc_75, VLOOKUP(P$2, Percentiles!$A$45:$I$59, 6, FALSE), perc_90, VLOOKUP(P$2, Percentiles!$A$45:$I$59, 7, FALSE), perc_95, VLOOKUP(P$2, Percentiles!$A$45:$I$59, 8, FALSE), perc_85, perc_75 + (perc_90 - perc_75) * (2/3), converted_stat, '2K_Ratings'!P27, IF(bbgm_stat &gt;= perc_95, converted_stat * 3, IF(bbgm_stat &gt;= perc_90, converted_stat * 2, IF(bbgm_stat &gt;= perc_85, converted_stat * 1.5, converted_stat)))))</f>
        <v/>
      </c>
      <c r="Q27" s="30" t="str">
        <f t="array" ref="Q27">IF($A27="", "", LET(bbgm_stat, INDEX(Players!$A26:$P26, MATCH(Q$2, Players!$A$1:$P$1, 0)), perc_75, VLOOKUP(Q$2, Percentiles!$A$45:$I$59, 6, FALSE), perc_90, VLOOKUP(Q$2, Percentiles!$A$45:$I$59, 7, FALSE), perc_95, VLOOKUP(Q$2, Percentiles!$A$45:$I$59, 8, FALSE), perc_85, perc_75 + (perc_90 - perc_75) * (2/3), converted_stat, '2K_Ratings'!Q27, IF(bbgm_stat &gt;= perc_95, converted_stat * 3, IF(bbgm_stat &gt;= perc_90, converted_stat * 2, IF(bbgm_stat &gt;= perc_85, converted_stat * 1.5, converted_stat)))))</f>
        <v/>
      </c>
      <c r="R27" s="30" t="str">
        <f t="array" ref="R27">IF($A27="", "", LET(bbgm_stat, INDEX(Players!$A26:$P26, MATCH(R$2, Players!$A$1:$P$1, 0)), perc_75, VLOOKUP(R$2, Percentiles!$A$45:$I$59, 6, FALSE), perc_90, VLOOKUP(R$2, Percentiles!$A$45:$I$59, 7, FALSE), perc_95, VLOOKUP(R$2, Percentiles!$A$45:$I$59, 8, FALSE), perc_85, perc_75 + (perc_90 - perc_75) * (2/3), converted_stat, '2K_Ratings'!R27, IF(bbgm_stat &gt;= perc_95, converted_stat * 3, IF(bbgm_stat &gt;= perc_90, converted_stat * 2, IF(bbgm_stat &gt;= perc_85, converted_stat * 1.5, converted_stat)))))</f>
        <v/>
      </c>
      <c r="S27" s="30" t="str">
        <f t="array" ref="S27">IF($A27="", "", LET(bbgm_stat, INDEX(Players!$A26:$P26, MATCH(S$2, Players!$A$1:$P$1, 0)), perc_75, VLOOKUP(S$2, Percentiles!$A$45:$I$59, 6, FALSE), perc_90, VLOOKUP(S$2, Percentiles!$A$45:$I$59, 7, FALSE), perc_95, VLOOKUP(S$2, Percentiles!$A$45:$I$59, 8, FALSE), perc_85, perc_75 + (perc_90 - perc_75) * (2/3), converted_stat, '2K_Ratings'!S27, IF(bbgm_stat &gt;= perc_95, converted_stat * 3, IF(bbgm_stat &gt;= perc_90, converted_stat * 2, IF(bbgm_stat &gt;= perc_85, converted_stat * 1.5, converted_stat)))))</f>
        <v/>
      </c>
      <c r="T27" s="30" t="str">
        <f t="array" ref="T27">IF($A27="", "", LET(bbgm_stat, INDEX(Players!$A26:$P26, MATCH(T$2, Players!$A$1:$P$1, 0)), perc_75, VLOOKUP(T$2, Percentiles!$A$45:$I$59, 6, FALSE), perc_90, VLOOKUP(T$2, Percentiles!$A$45:$I$59, 7, FALSE), perc_95, VLOOKUP(T$2, Percentiles!$A$45:$I$59, 8, FALSE), perc_85, perc_75 + (perc_90 - perc_75) * (2/3), converted_stat, '2K_Ratings'!T27, IF(bbgm_stat &gt;= perc_95, converted_stat * 3, IF(bbgm_stat &gt;= perc_90, converted_stat * 2, IF(bbgm_stat &gt;= perc_85, converted_stat * 1.5, converted_stat)))))</f>
        <v/>
      </c>
      <c r="U27" s="30" t="str">
        <f t="array" ref="U27">IF($A27="", "", LET(bbgm_stat, INDEX(Players!$A26:$P26, MATCH(U$2, Players!$A$1:$P$1, 0)), perc_75, VLOOKUP(U$2, Percentiles!$A$45:$I$59, 6, FALSE), perc_90, VLOOKUP(U$2, Percentiles!$A$45:$I$59, 7, FALSE), perc_95, VLOOKUP(U$2, Percentiles!$A$45:$I$59, 8, FALSE), perc_85, perc_75 + (perc_90 - perc_75) * (2/3), converted_stat, '2K_Ratings'!U27, IF(bbgm_stat &gt;= perc_95, converted_stat * 3, IF(bbgm_stat &gt;= perc_90, converted_stat * 2, IF(bbgm_stat &gt;= perc_85, converted_stat * 1.5, converted_stat)))))</f>
        <v/>
      </c>
      <c r="V27" s="30" t="str">
        <f t="array" ref="V27">IF($A27="", "", LET(bbgm_stat, INDEX(Players!$A26:$P26, MATCH(V$2, Players!$A$1:$P$1, 0)), perc_75, VLOOKUP(V$2, Percentiles!$A$45:$I$59, 6, FALSE), perc_90, VLOOKUP(V$2, Percentiles!$A$45:$I$59, 7, FALSE), perc_95, VLOOKUP(V$2, Percentiles!$A$45:$I$59, 8, FALSE), perc_85, perc_75 + (perc_90 - perc_75) * (2/3), converted_stat, '2K_Ratings'!V27, IF(bbgm_stat &gt;= perc_95, converted_stat * 3, IF(bbgm_stat &gt;= perc_90, converted_stat * 2, IF(bbgm_stat &gt;= perc_85, converted_stat * 1.5, converted_stat)))))</f>
        <v/>
      </c>
      <c r="W27" s="30" t="str">
        <f t="array" ref="W27">IF($A27="", "", LET(bbgm_stat, INDEX(Players!$A26:$P26, MATCH(W$2, Players!$A$1:$P$1, 0)), perc_75, VLOOKUP(W$2, Percentiles!$A$45:$I$59, 6, FALSE), perc_90, VLOOKUP(W$2, Percentiles!$A$45:$I$59, 7, FALSE), perc_95, VLOOKUP(W$2, Percentiles!$A$45:$I$59, 8, FALSE), perc_85, perc_75 + (perc_90 - perc_75) * (2/3), converted_stat, '2K_Ratings'!W27, IF(bbgm_stat &gt;= perc_95, converted_stat * 3, IF(bbgm_stat &gt;= perc_90, converted_stat * 2, IF(bbgm_stat &gt;= perc_85, converted_stat * 1.5, converted_stat)))))</f>
        <v/>
      </c>
    </row>
    <row r="28">
      <c r="A28" s="30" t="str">
        <f>IF(Players!A27="", "", Players!A27)</f>
        <v/>
      </c>
      <c r="B28" s="30" t="str">
        <f t="array" ref="B28">IF($A28="", "", LET(bbgm_stat, INDEX(Players!$A27:$P27, MATCH(B$2, Players!$A$1:$P$1, 0)), perc_75, VLOOKUP(B$2, Percentiles!$A$45:$I$59, 6, FALSE), perc_90, VLOOKUP(B$2, Percentiles!$A$45:$I$59, 7, FALSE), perc_95, VLOOKUP(B$2, Percentiles!$A$45:$I$59, 8, FALSE), perc_85, perc_75 + (perc_90 - perc_75) * (2/3), converted_stat, '2K_Ratings'!B28, IF(bbgm_stat &gt;= perc_95, converted_stat * 3, IF(bbgm_stat &gt;= perc_90, converted_stat * 2, IF(bbgm_stat &gt;= perc_85, converted_stat * 1.5, converted_stat)))))</f>
        <v/>
      </c>
      <c r="C28" s="30" t="str">
        <f t="array" ref="C28">IF($A28="", "", LET(bbgm_stat, INDEX(Players!$A27:$P27, MATCH(C$2, Players!$A$1:$P$1, 0)), perc_75, VLOOKUP(C$2, Percentiles!$A$45:$I$59, 6, FALSE), perc_90, VLOOKUP(C$2, Percentiles!$A$45:$I$59, 7, FALSE), perc_95, VLOOKUP(C$2, Percentiles!$A$45:$I$59, 8, FALSE), perc_85, perc_75 + (perc_90 - perc_75) * (2/3), converted_stat, '2K_Ratings'!C28, IF(bbgm_stat &gt;= perc_95, converted_stat * 3, IF(bbgm_stat &gt;= perc_90, converted_stat * 2, IF(bbgm_stat &gt;= perc_85, converted_stat * 1.5, converted_stat)))))</f>
        <v/>
      </c>
      <c r="D28" s="30" t="str">
        <f t="array" ref="D28">IF($A28="", "", LET(bbgm_stat, INDEX(Players!$A27:$P27, MATCH(D$2, Players!$A$1:$P$1, 0)), perc_75, VLOOKUP(D$2, Percentiles!$A$45:$I$59, 6, FALSE), perc_90, VLOOKUP(D$2, Percentiles!$A$45:$I$59, 7, FALSE), perc_95, VLOOKUP(D$2, Percentiles!$A$45:$I$59, 8, FALSE), perc_85, perc_75 + (perc_90 - perc_75) * (2/3), converted_stat, '2K_Ratings'!D28, IF(bbgm_stat &gt;= perc_95, converted_stat * 3, IF(bbgm_stat &gt;= perc_90, converted_stat * 2, IF(bbgm_stat &gt;= perc_85, converted_stat * 1.5, converted_stat)))))</f>
        <v/>
      </c>
      <c r="E28" s="30" t="str">
        <f t="array" ref="E28">IF($A28="", "", LET(bbgm_stat, INDEX(Players!$A27:$P27, MATCH(E$2, Players!$A$1:$P$1, 0)), perc_75, VLOOKUP(E$2, Percentiles!$A$45:$I$59, 6, FALSE), perc_90, VLOOKUP(E$2, Percentiles!$A$45:$I$59, 7, FALSE), perc_95, VLOOKUP(E$2, Percentiles!$A$45:$I$59, 8, FALSE), perc_85, perc_75 + (perc_90 - perc_75) * (2/3), converted_stat, '2K_Ratings'!E28, IF(bbgm_stat &gt;= perc_95, converted_stat * 3, IF(bbgm_stat &gt;= perc_90, converted_stat * 2, IF(bbgm_stat &gt;= perc_85, converted_stat * 1.5, converted_stat)))))</f>
        <v/>
      </c>
      <c r="F28" s="30" t="str">
        <f t="array" ref="F28">IF($A28="", "", LET(bbgm_stat, INDEX(Players!$A27:$P27, MATCH(F$2, Players!$A$1:$P$1, 0)), perc_75, VLOOKUP(F$2, Percentiles!$A$45:$I$59, 6, FALSE), perc_90, VLOOKUP(F$2, Percentiles!$A$45:$I$59, 7, FALSE), perc_95, VLOOKUP(F$2, Percentiles!$A$45:$I$59, 8, FALSE), perc_85, perc_75 + (perc_90 - perc_75) * (2/3), converted_stat, '2K_Ratings'!F28, IF(bbgm_stat &gt;= perc_95, converted_stat * 3, IF(bbgm_stat &gt;= perc_90, converted_stat * 2, IF(bbgm_stat &gt;= perc_85, converted_stat * 1.5, converted_stat)))))</f>
        <v/>
      </c>
      <c r="G28" s="30" t="str">
        <f t="array" ref="G28">IF($A28="", "", LET(bbgm_stat, INDEX(Players!$A27:$P27, MATCH(G$2, Players!$A$1:$P$1, 0)), perc_75, VLOOKUP(G$2, Percentiles!$A$45:$I$59, 6, FALSE), perc_90, VLOOKUP(G$2, Percentiles!$A$45:$I$59, 7, FALSE), perc_95, VLOOKUP(G$2, Percentiles!$A$45:$I$59, 8, FALSE), perc_85, perc_75 + (perc_90 - perc_75) * (2/3), converted_stat, '2K_Ratings'!G28, IF(bbgm_stat &gt;= perc_95, converted_stat * 3, IF(bbgm_stat &gt;= perc_90, converted_stat * 2, IF(bbgm_stat &gt;= perc_85, converted_stat * 1.5, converted_stat)))))</f>
        <v/>
      </c>
      <c r="H28" s="30" t="str">
        <f t="array" ref="H28">IF($A28="", "", LET(bbgm_stat, INDEX(Players!$A27:$P27, MATCH(H$2, Players!$A$1:$P$1, 0)), perc_75, VLOOKUP(H$2, Percentiles!$A$45:$I$59, 6, FALSE), perc_90, VLOOKUP(H$2, Percentiles!$A$45:$I$59, 7, FALSE), perc_95, VLOOKUP(H$2, Percentiles!$A$45:$I$59, 8, FALSE), perc_85, perc_75 + (perc_90 - perc_75) * (2/3), converted_stat, '2K_Ratings'!H28, IF(bbgm_stat &gt;= perc_95, converted_stat * 3, IF(bbgm_stat &gt;= perc_90, converted_stat * 2, IF(bbgm_stat &gt;= perc_85, converted_stat * 1.5, converted_stat)))))</f>
        <v/>
      </c>
      <c r="I28" s="30" t="str">
        <f t="array" ref="I28">IF($A28="", "", LET(bbgm_stat, INDEX(Players!$A27:$P27, MATCH(I$2, Players!$A$1:$P$1, 0)), perc_75, VLOOKUP(I$2, Percentiles!$A$45:$I$59, 6, FALSE), perc_90, VLOOKUP(I$2, Percentiles!$A$45:$I$59, 7, FALSE), perc_95, VLOOKUP(I$2, Percentiles!$A$45:$I$59, 8, FALSE), perc_85, perc_75 + (perc_90 - perc_75) * (2/3), converted_stat, '2K_Ratings'!I28, IF(bbgm_stat &gt;= perc_95, converted_stat * 3, IF(bbgm_stat &gt;= perc_90, converted_stat * 2, IF(bbgm_stat &gt;= perc_85, converted_stat * 1.5, converted_stat)))))</f>
        <v/>
      </c>
      <c r="J28" s="30" t="str">
        <f t="array" ref="J28">IF($A28="", "", LET(bbgm_stat, INDEX(Players!$A27:$P27, MATCH(J$2, Players!$A$1:$P$1, 0)), perc_75, VLOOKUP(J$2, Percentiles!$A$45:$I$59, 6, FALSE), perc_90, VLOOKUP(J$2, Percentiles!$A$45:$I$59, 7, FALSE), perc_95, VLOOKUP(J$2, Percentiles!$A$45:$I$59, 8, FALSE), perc_85, perc_75 + (perc_90 - perc_75) * (2/3), converted_stat, '2K_Ratings'!J28, IF(bbgm_stat &gt;= perc_95, converted_stat * 3, IF(bbgm_stat &gt;= perc_90, converted_stat * 2, IF(bbgm_stat &gt;= perc_85, converted_stat * 1.5, converted_stat)))))</f>
        <v/>
      </c>
      <c r="K28" s="30" t="str">
        <f t="array" ref="K28">IF($A28="", "", LET(bbgm_stat, INDEX(Players!$A27:$P27, MATCH(K$2, Players!$A$1:$P$1, 0)), perc_75, VLOOKUP(K$2, Percentiles!$A$45:$I$59, 6, FALSE), perc_90, VLOOKUP(K$2, Percentiles!$A$45:$I$59, 7, FALSE), perc_95, VLOOKUP(K$2, Percentiles!$A$45:$I$59, 8, FALSE), perc_85, perc_75 + (perc_90 - perc_75) * (2/3), converted_stat, '2K_Ratings'!K28, IF(bbgm_stat &gt;= perc_95, converted_stat * 3, IF(bbgm_stat &gt;= perc_90, converted_stat * 2, IF(bbgm_stat &gt;= perc_85, converted_stat * 1.5, converted_stat)))))</f>
        <v/>
      </c>
      <c r="L28" s="30" t="str">
        <f t="array" ref="L28">IF($A28="", "", LET(bbgm_stat, INDEX(Players!$A27:$P27, MATCH(L$2, Players!$A$1:$P$1, 0)), perc_75, VLOOKUP(L$2, Percentiles!$A$45:$I$59, 6, FALSE), perc_90, VLOOKUP(L$2, Percentiles!$A$45:$I$59, 7, FALSE), perc_95, VLOOKUP(L$2, Percentiles!$A$45:$I$59, 8, FALSE), perc_85, perc_75 + (perc_90 - perc_75) * (2/3), converted_stat, '2K_Ratings'!L28, IF(bbgm_stat &gt;= perc_95, converted_stat * 3, IF(bbgm_stat &gt;= perc_90, converted_stat * 2, IF(bbgm_stat &gt;= perc_85, converted_stat * 1.5, converted_stat)))))</f>
        <v/>
      </c>
      <c r="M28" s="30" t="str">
        <f t="array" ref="M28">IF($A28="", "", LET(bbgm_stat, INDEX(Players!$A27:$P27, MATCH(M$2, Players!$A$1:$P$1, 0)), perc_75, VLOOKUP(M$2, Percentiles!$A$45:$I$59, 6, FALSE), perc_90, VLOOKUP(M$2, Percentiles!$A$45:$I$59, 7, FALSE), perc_95, VLOOKUP(M$2, Percentiles!$A$45:$I$59, 8, FALSE), perc_85, perc_75 + (perc_90 - perc_75) * (2/3), converted_stat, '2K_Ratings'!M28, IF(bbgm_stat &gt;= perc_95, converted_stat * 3, IF(bbgm_stat &gt;= perc_90, converted_stat * 2, IF(bbgm_stat &gt;= perc_85, converted_stat * 1.5, converted_stat)))))</f>
        <v/>
      </c>
      <c r="N28" s="30" t="str">
        <f t="array" ref="N28">IF($A28="", "", LET(bbgm_stat, INDEX(Players!$A27:$P27, MATCH(N$2, Players!$A$1:$P$1, 0)), perc_75, VLOOKUP(N$2, Percentiles!$A$45:$I$59, 6, FALSE), perc_90, VLOOKUP(N$2, Percentiles!$A$45:$I$59, 7, FALSE), perc_95, VLOOKUP(N$2, Percentiles!$A$45:$I$59, 8, FALSE), perc_85, perc_75 + (perc_90 - perc_75) * (2/3), converted_stat, '2K_Ratings'!N28, IF(bbgm_stat &gt;= perc_95, converted_stat * 3, IF(bbgm_stat &gt;= perc_90, converted_stat * 2, IF(bbgm_stat &gt;= perc_85, converted_stat * 1.5, converted_stat)))))</f>
        <v/>
      </c>
      <c r="O28" s="30" t="str">
        <f t="array" ref="O28">IF($A28="", "", LET(bbgm_stat, INDEX(Players!$A27:$P27, MATCH(O$2, Players!$A$1:$P$1, 0)), perc_75, VLOOKUP(O$2, Percentiles!$A$45:$I$59, 6, FALSE), perc_90, VLOOKUP(O$2, Percentiles!$A$45:$I$59, 7, FALSE), perc_95, VLOOKUP(O$2, Percentiles!$A$45:$I$59, 8, FALSE), perc_85, perc_75 + (perc_90 - perc_75) * (2/3), converted_stat, '2K_Ratings'!O28, IF(bbgm_stat &gt;= perc_95, converted_stat * 3, IF(bbgm_stat &gt;= perc_90, converted_stat * 2, IF(bbgm_stat &gt;= perc_85, converted_stat * 1.5, converted_stat)))))</f>
        <v/>
      </c>
      <c r="P28" s="30" t="str">
        <f t="array" ref="P28">IF($A28="", "", LET(bbgm_stat, INDEX(Players!$A27:$P27, MATCH(P$2, Players!$A$1:$P$1, 0)), perc_75, VLOOKUP(P$2, Percentiles!$A$45:$I$59, 6, FALSE), perc_90, VLOOKUP(P$2, Percentiles!$A$45:$I$59, 7, FALSE), perc_95, VLOOKUP(P$2, Percentiles!$A$45:$I$59, 8, FALSE), perc_85, perc_75 + (perc_90 - perc_75) * (2/3), converted_stat, '2K_Ratings'!P28, IF(bbgm_stat &gt;= perc_95, converted_stat * 3, IF(bbgm_stat &gt;= perc_90, converted_stat * 2, IF(bbgm_stat &gt;= perc_85, converted_stat * 1.5, converted_stat)))))</f>
        <v/>
      </c>
      <c r="Q28" s="30" t="str">
        <f t="array" ref="Q28">IF($A28="", "", LET(bbgm_stat, INDEX(Players!$A27:$P27, MATCH(Q$2, Players!$A$1:$P$1, 0)), perc_75, VLOOKUP(Q$2, Percentiles!$A$45:$I$59, 6, FALSE), perc_90, VLOOKUP(Q$2, Percentiles!$A$45:$I$59, 7, FALSE), perc_95, VLOOKUP(Q$2, Percentiles!$A$45:$I$59, 8, FALSE), perc_85, perc_75 + (perc_90 - perc_75) * (2/3), converted_stat, '2K_Ratings'!Q28, IF(bbgm_stat &gt;= perc_95, converted_stat * 3, IF(bbgm_stat &gt;= perc_90, converted_stat * 2, IF(bbgm_stat &gt;= perc_85, converted_stat * 1.5, converted_stat)))))</f>
        <v/>
      </c>
      <c r="R28" s="30" t="str">
        <f t="array" ref="R28">IF($A28="", "", LET(bbgm_stat, INDEX(Players!$A27:$P27, MATCH(R$2, Players!$A$1:$P$1, 0)), perc_75, VLOOKUP(R$2, Percentiles!$A$45:$I$59, 6, FALSE), perc_90, VLOOKUP(R$2, Percentiles!$A$45:$I$59, 7, FALSE), perc_95, VLOOKUP(R$2, Percentiles!$A$45:$I$59, 8, FALSE), perc_85, perc_75 + (perc_90 - perc_75) * (2/3), converted_stat, '2K_Ratings'!R28, IF(bbgm_stat &gt;= perc_95, converted_stat * 3, IF(bbgm_stat &gt;= perc_90, converted_stat * 2, IF(bbgm_stat &gt;= perc_85, converted_stat * 1.5, converted_stat)))))</f>
        <v/>
      </c>
      <c r="S28" s="30" t="str">
        <f t="array" ref="S28">IF($A28="", "", LET(bbgm_stat, INDEX(Players!$A27:$P27, MATCH(S$2, Players!$A$1:$P$1, 0)), perc_75, VLOOKUP(S$2, Percentiles!$A$45:$I$59, 6, FALSE), perc_90, VLOOKUP(S$2, Percentiles!$A$45:$I$59, 7, FALSE), perc_95, VLOOKUP(S$2, Percentiles!$A$45:$I$59, 8, FALSE), perc_85, perc_75 + (perc_90 - perc_75) * (2/3), converted_stat, '2K_Ratings'!S28, IF(bbgm_stat &gt;= perc_95, converted_stat * 3, IF(bbgm_stat &gt;= perc_90, converted_stat * 2, IF(bbgm_stat &gt;= perc_85, converted_stat * 1.5, converted_stat)))))</f>
        <v/>
      </c>
      <c r="T28" s="30" t="str">
        <f t="array" ref="T28">IF($A28="", "", LET(bbgm_stat, INDEX(Players!$A27:$P27, MATCH(T$2, Players!$A$1:$P$1, 0)), perc_75, VLOOKUP(T$2, Percentiles!$A$45:$I$59, 6, FALSE), perc_90, VLOOKUP(T$2, Percentiles!$A$45:$I$59, 7, FALSE), perc_95, VLOOKUP(T$2, Percentiles!$A$45:$I$59, 8, FALSE), perc_85, perc_75 + (perc_90 - perc_75) * (2/3), converted_stat, '2K_Ratings'!T28, IF(bbgm_stat &gt;= perc_95, converted_stat * 3, IF(bbgm_stat &gt;= perc_90, converted_stat * 2, IF(bbgm_stat &gt;= perc_85, converted_stat * 1.5, converted_stat)))))</f>
        <v/>
      </c>
      <c r="U28" s="30" t="str">
        <f t="array" ref="U28">IF($A28="", "", LET(bbgm_stat, INDEX(Players!$A27:$P27, MATCH(U$2, Players!$A$1:$P$1, 0)), perc_75, VLOOKUP(U$2, Percentiles!$A$45:$I$59, 6, FALSE), perc_90, VLOOKUP(U$2, Percentiles!$A$45:$I$59, 7, FALSE), perc_95, VLOOKUP(U$2, Percentiles!$A$45:$I$59, 8, FALSE), perc_85, perc_75 + (perc_90 - perc_75) * (2/3), converted_stat, '2K_Ratings'!U28, IF(bbgm_stat &gt;= perc_95, converted_stat * 3, IF(bbgm_stat &gt;= perc_90, converted_stat * 2, IF(bbgm_stat &gt;= perc_85, converted_stat * 1.5, converted_stat)))))</f>
        <v/>
      </c>
      <c r="V28" s="30" t="str">
        <f t="array" ref="V28">IF($A28="", "", LET(bbgm_stat, INDEX(Players!$A27:$P27, MATCH(V$2, Players!$A$1:$P$1, 0)), perc_75, VLOOKUP(V$2, Percentiles!$A$45:$I$59, 6, FALSE), perc_90, VLOOKUP(V$2, Percentiles!$A$45:$I$59, 7, FALSE), perc_95, VLOOKUP(V$2, Percentiles!$A$45:$I$59, 8, FALSE), perc_85, perc_75 + (perc_90 - perc_75) * (2/3), converted_stat, '2K_Ratings'!V28, IF(bbgm_stat &gt;= perc_95, converted_stat * 3, IF(bbgm_stat &gt;= perc_90, converted_stat * 2, IF(bbgm_stat &gt;= perc_85, converted_stat * 1.5, converted_stat)))))</f>
        <v/>
      </c>
      <c r="W28" s="30" t="str">
        <f t="array" ref="W28">IF($A28="", "", LET(bbgm_stat, INDEX(Players!$A27:$P27, MATCH(W$2, Players!$A$1:$P$1, 0)), perc_75, VLOOKUP(W$2, Percentiles!$A$45:$I$59, 6, FALSE), perc_90, VLOOKUP(W$2, Percentiles!$A$45:$I$59, 7, FALSE), perc_95, VLOOKUP(W$2, Percentiles!$A$45:$I$59, 8, FALSE), perc_85, perc_75 + (perc_90 - perc_75) * (2/3), converted_stat, '2K_Ratings'!W28, IF(bbgm_stat &gt;= perc_95, converted_stat * 3, IF(bbgm_stat &gt;= perc_90, converted_stat * 2, IF(bbgm_stat &gt;= perc_85, converted_stat * 1.5, converted_stat)))))</f>
        <v/>
      </c>
    </row>
    <row r="29">
      <c r="A29" s="30" t="str">
        <f>IF(Players!A28="", "", Players!A28)</f>
        <v/>
      </c>
      <c r="B29" s="30" t="str">
        <f t="array" ref="B29">IF($A29="", "", LET(bbgm_stat, INDEX(Players!$A28:$P28, MATCH(B$2, Players!$A$1:$P$1, 0)), perc_75, VLOOKUP(B$2, Percentiles!$A$45:$I$59, 6, FALSE), perc_90, VLOOKUP(B$2, Percentiles!$A$45:$I$59, 7, FALSE), perc_95, VLOOKUP(B$2, Percentiles!$A$45:$I$59, 8, FALSE), perc_85, perc_75 + (perc_90 - perc_75) * (2/3), converted_stat, '2K_Ratings'!B29, IF(bbgm_stat &gt;= perc_95, converted_stat * 3, IF(bbgm_stat &gt;= perc_90, converted_stat * 2, IF(bbgm_stat &gt;= perc_85, converted_stat * 1.5, converted_stat)))))</f>
        <v/>
      </c>
      <c r="C29" s="30" t="str">
        <f t="array" ref="C29">IF($A29="", "", LET(bbgm_stat, INDEX(Players!$A28:$P28, MATCH(C$2, Players!$A$1:$P$1, 0)), perc_75, VLOOKUP(C$2, Percentiles!$A$45:$I$59, 6, FALSE), perc_90, VLOOKUP(C$2, Percentiles!$A$45:$I$59, 7, FALSE), perc_95, VLOOKUP(C$2, Percentiles!$A$45:$I$59, 8, FALSE), perc_85, perc_75 + (perc_90 - perc_75) * (2/3), converted_stat, '2K_Ratings'!C29, IF(bbgm_stat &gt;= perc_95, converted_stat * 3, IF(bbgm_stat &gt;= perc_90, converted_stat * 2, IF(bbgm_stat &gt;= perc_85, converted_stat * 1.5, converted_stat)))))</f>
        <v/>
      </c>
      <c r="D29" s="30" t="str">
        <f t="array" ref="D29">IF($A29="", "", LET(bbgm_stat, INDEX(Players!$A28:$P28, MATCH(D$2, Players!$A$1:$P$1, 0)), perc_75, VLOOKUP(D$2, Percentiles!$A$45:$I$59, 6, FALSE), perc_90, VLOOKUP(D$2, Percentiles!$A$45:$I$59, 7, FALSE), perc_95, VLOOKUP(D$2, Percentiles!$A$45:$I$59, 8, FALSE), perc_85, perc_75 + (perc_90 - perc_75) * (2/3), converted_stat, '2K_Ratings'!D29, IF(bbgm_stat &gt;= perc_95, converted_stat * 3, IF(bbgm_stat &gt;= perc_90, converted_stat * 2, IF(bbgm_stat &gt;= perc_85, converted_stat * 1.5, converted_stat)))))</f>
        <v/>
      </c>
      <c r="E29" s="30" t="str">
        <f t="array" ref="E29">IF($A29="", "", LET(bbgm_stat, INDEX(Players!$A28:$P28, MATCH(E$2, Players!$A$1:$P$1, 0)), perc_75, VLOOKUP(E$2, Percentiles!$A$45:$I$59, 6, FALSE), perc_90, VLOOKUP(E$2, Percentiles!$A$45:$I$59, 7, FALSE), perc_95, VLOOKUP(E$2, Percentiles!$A$45:$I$59, 8, FALSE), perc_85, perc_75 + (perc_90 - perc_75) * (2/3), converted_stat, '2K_Ratings'!E29, IF(bbgm_stat &gt;= perc_95, converted_stat * 3, IF(bbgm_stat &gt;= perc_90, converted_stat * 2, IF(bbgm_stat &gt;= perc_85, converted_stat * 1.5, converted_stat)))))</f>
        <v/>
      </c>
      <c r="F29" s="30" t="str">
        <f t="array" ref="F29">IF($A29="", "", LET(bbgm_stat, INDEX(Players!$A28:$P28, MATCH(F$2, Players!$A$1:$P$1, 0)), perc_75, VLOOKUP(F$2, Percentiles!$A$45:$I$59, 6, FALSE), perc_90, VLOOKUP(F$2, Percentiles!$A$45:$I$59, 7, FALSE), perc_95, VLOOKUP(F$2, Percentiles!$A$45:$I$59, 8, FALSE), perc_85, perc_75 + (perc_90 - perc_75) * (2/3), converted_stat, '2K_Ratings'!F29, IF(bbgm_stat &gt;= perc_95, converted_stat * 3, IF(bbgm_stat &gt;= perc_90, converted_stat * 2, IF(bbgm_stat &gt;= perc_85, converted_stat * 1.5, converted_stat)))))</f>
        <v/>
      </c>
      <c r="G29" s="30" t="str">
        <f t="array" ref="G29">IF($A29="", "", LET(bbgm_stat, INDEX(Players!$A28:$P28, MATCH(G$2, Players!$A$1:$P$1, 0)), perc_75, VLOOKUP(G$2, Percentiles!$A$45:$I$59, 6, FALSE), perc_90, VLOOKUP(G$2, Percentiles!$A$45:$I$59, 7, FALSE), perc_95, VLOOKUP(G$2, Percentiles!$A$45:$I$59, 8, FALSE), perc_85, perc_75 + (perc_90 - perc_75) * (2/3), converted_stat, '2K_Ratings'!G29, IF(bbgm_stat &gt;= perc_95, converted_stat * 3, IF(bbgm_stat &gt;= perc_90, converted_stat * 2, IF(bbgm_stat &gt;= perc_85, converted_stat * 1.5, converted_stat)))))</f>
        <v/>
      </c>
      <c r="H29" s="30" t="str">
        <f t="array" ref="H29">IF($A29="", "", LET(bbgm_stat, INDEX(Players!$A28:$P28, MATCH(H$2, Players!$A$1:$P$1, 0)), perc_75, VLOOKUP(H$2, Percentiles!$A$45:$I$59, 6, FALSE), perc_90, VLOOKUP(H$2, Percentiles!$A$45:$I$59, 7, FALSE), perc_95, VLOOKUP(H$2, Percentiles!$A$45:$I$59, 8, FALSE), perc_85, perc_75 + (perc_90 - perc_75) * (2/3), converted_stat, '2K_Ratings'!H29, IF(bbgm_stat &gt;= perc_95, converted_stat * 3, IF(bbgm_stat &gt;= perc_90, converted_stat * 2, IF(bbgm_stat &gt;= perc_85, converted_stat * 1.5, converted_stat)))))</f>
        <v/>
      </c>
      <c r="I29" s="30" t="str">
        <f t="array" ref="I29">IF($A29="", "", LET(bbgm_stat, INDEX(Players!$A28:$P28, MATCH(I$2, Players!$A$1:$P$1, 0)), perc_75, VLOOKUP(I$2, Percentiles!$A$45:$I$59, 6, FALSE), perc_90, VLOOKUP(I$2, Percentiles!$A$45:$I$59, 7, FALSE), perc_95, VLOOKUP(I$2, Percentiles!$A$45:$I$59, 8, FALSE), perc_85, perc_75 + (perc_90 - perc_75) * (2/3), converted_stat, '2K_Ratings'!I29, IF(bbgm_stat &gt;= perc_95, converted_stat * 3, IF(bbgm_stat &gt;= perc_90, converted_stat * 2, IF(bbgm_stat &gt;= perc_85, converted_stat * 1.5, converted_stat)))))</f>
        <v/>
      </c>
      <c r="J29" s="30" t="str">
        <f t="array" ref="J29">IF($A29="", "", LET(bbgm_stat, INDEX(Players!$A28:$P28, MATCH(J$2, Players!$A$1:$P$1, 0)), perc_75, VLOOKUP(J$2, Percentiles!$A$45:$I$59, 6, FALSE), perc_90, VLOOKUP(J$2, Percentiles!$A$45:$I$59, 7, FALSE), perc_95, VLOOKUP(J$2, Percentiles!$A$45:$I$59, 8, FALSE), perc_85, perc_75 + (perc_90 - perc_75) * (2/3), converted_stat, '2K_Ratings'!J29, IF(bbgm_stat &gt;= perc_95, converted_stat * 3, IF(bbgm_stat &gt;= perc_90, converted_stat * 2, IF(bbgm_stat &gt;= perc_85, converted_stat * 1.5, converted_stat)))))</f>
        <v/>
      </c>
      <c r="K29" s="30" t="str">
        <f t="array" ref="K29">IF($A29="", "", LET(bbgm_stat, INDEX(Players!$A28:$P28, MATCH(K$2, Players!$A$1:$P$1, 0)), perc_75, VLOOKUP(K$2, Percentiles!$A$45:$I$59, 6, FALSE), perc_90, VLOOKUP(K$2, Percentiles!$A$45:$I$59, 7, FALSE), perc_95, VLOOKUP(K$2, Percentiles!$A$45:$I$59, 8, FALSE), perc_85, perc_75 + (perc_90 - perc_75) * (2/3), converted_stat, '2K_Ratings'!K29, IF(bbgm_stat &gt;= perc_95, converted_stat * 3, IF(bbgm_stat &gt;= perc_90, converted_stat * 2, IF(bbgm_stat &gt;= perc_85, converted_stat * 1.5, converted_stat)))))</f>
        <v/>
      </c>
      <c r="L29" s="30" t="str">
        <f t="array" ref="L29">IF($A29="", "", LET(bbgm_stat, INDEX(Players!$A28:$P28, MATCH(L$2, Players!$A$1:$P$1, 0)), perc_75, VLOOKUP(L$2, Percentiles!$A$45:$I$59, 6, FALSE), perc_90, VLOOKUP(L$2, Percentiles!$A$45:$I$59, 7, FALSE), perc_95, VLOOKUP(L$2, Percentiles!$A$45:$I$59, 8, FALSE), perc_85, perc_75 + (perc_90 - perc_75) * (2/3), converted_stat, '2K_Ratings'!L29, IF(bbgm_stat &gt;= perc_95, converted_stat * 3, IF(bbgm_stat &gt;= perc_90, converted_stat * 2, IF(bbgm_stat &gt;= perc_85, converted_stat * 1.5, converted_stat)))))</f>
        <v/>
      </c>
      <c r="M29" s="30" t="str">
        <f t="array" ref="M29">IF($A29="", "", LET(bbgm_stat, INDEX(Players!$A28:$P28, MATCH(M$2, Players!$A$1:$P$1, 0)), perc_75, VLOOKUP(M$2, Percentiles!$A$45:$I$59, 6, FALSE), perc_90, VLOOKUP(M$2, Percentiles!$A$45:$I$59, 7, FALSE), perc_95, VLOOKUP(M$2, Percentiles!$A$45:$I$59, 8, FALSE), perc_85, perc_75 + (perc_90 - perc_75) * (2/3), converted_stat, '2K_Ratings'!M29, IF(bbgm_stat &gt;= perc_95, converted_stat * 3, IF(bbgm_stat &gt;= perc_90, converted_stat * 2, IF(bbgm_stat &gt;= perc_85, converted_stat * 1.5, converted_stat)))))</f>
        <v/>
      </c>
      <c r="N29" s="30" t="str">
        <f t="array" ref="N29">IF($A29="", "", LET(bbgm_stat, INDEX(Players!$A28:$P28, MATCH(N$2, Players!$A$1:$P$1, 0)), perc_75, VLOOKUP(N$2, Percentiles!$A$45:$I$59, 6, FALSE), perc_90, VLOOKUP(N$2, Percentiles!$A$45:$I$59, 7, FALSE), perc_95, VLOOKUP(N$2, Percentiles!$A$45:$I$59, 8, FALSE), perc_85, perc_75 + (perc_90 - perc_75) * (2/3), converted_stat, '2K_Ratings'!N29, IF(bbgm_stat &gt;= perc_95, converted_stat * 3, IF(bbgm_stat &gt;= perc_90, converted_stat * 2, IF(bbgm_stat &gt;= perc_85, converted_stat * 1.5, converted_stat)))))</f>
        <v/>
      </c>
      <c r="O29" s="30" t="str">
        <f t="array" ref="O29">IF($A29="", "", LET(bbgm_stat, INDEX(Players!$A28:$P28, MATCH(O$2, Players!$A$1:$P$1, 0)), perc_75, VLOOKUP(O$2, Percentiles!$A$45:$I$59, 6, FALSE), perc_90, VLOOKUP(O$2, Percentiles!$A$45:$I$59, 7, FALSE), perc_95, VLOOKUP(O$2, Percentiles!$A$45:$I$59, 8, FALSE), perc_85, perc_75 + (perc_90 - perc_75) * (2/3), converted_stat, '2K_Ratings'!O29, IF(bbgm_stat &gt;= perc_95, converted_stat * 3, IF(bbgm_stat &gt;= perc_90, converted_stat * 2, IF(bbgm_stat &gt;= perc_85, converted_stat * 1.5, converted_stat)))))</f>
        <v/>
      </c>
      <c r="P29" s="30" t="str">
        <f t="array" ref="P29">IF($A29="", "", LET(bbgm_stat, INDEX(Players!$A28:$P28, MATCH(P$2, Players!$A$1:$P$1, 0)), perc_75, VLOOKUP(P$2, Percentiles!$A$45:$I$59, 6, FALSE), perc_90, VLOOKUP(P$2, Percentiles!$A$45:$I$59, 7, FALSE), perc_95, VLOOKUP(P$2, Percentiles!$A$45:$I$59, 8, FALSE), perc_85, perc_75 + (perc_90 - perc_75) * (2/3), converted_stat, '2K_Ratings'!P29, IF(bbgm_stat &gt;= perc_95, converted_stat * 3, IF(bbgm_stat &gt;= perc_90, converted_stat * 2, IF(bbgm_stat &gt;= perc_85, converted_stat * 1.5, converted_stat)))))</f>
        <v/>
      </c>
      <c r="Q29" s="30" t="str">
        <f t="array" ref="Q29">IF($A29="", "", LET(bbgm_stat, INDEX(Players!$A28:$P28, MATCH(Q$2, Players!$A$1:$P$1, 0)), perc_75, VLOOKUP(Q$2, Percentiles!$A$45:$I$59, 6, FALSE), perc_90, VLOOKUP(Q$2, Percentiles!$A$45:$I$59, 7, FALSE), perc_95, VLOOKUP(Q$2, Percentiles!$A$45:$I$59, 8, FALSE), perc_85, perc_75 + (perc_90 - perc_75) * (2/3), converted_stat, '2K_Ratings'!Q29, IF(bbgm_stat &gt;= perc_95, converted_stat * 3, IF(bbgm_stat &gt;= perc_90, converted_stat * 2, IF(bbgm_stat &gt;= perc_85, converted_stat * 1.5, converted_stat)))))</f>
        <v/>
      </c>
      <c r="R29" s="30" t="str">
        <f t="array" ref="R29">IF($A29="", "", LET(bbgm_stat, INDEX(Players!$A28:$P28, MATCH(R$2, Players!$A$1:$P$1, 0)), perc_75, VLOOKUP(R$2, Percentiles!$A$45:$I$59, 6, FALSE), perc_90, VLOOKUP(R$2, Percentiles!$A$45:$I$59, 7, FALSE), perc_95, VLOOKUP(R$2, Percentiles!$A$45:$I$59, 8, FALSE), perc_85, perc_75 + (perc_90 - perc_75) * (2/3), converted_stat, '2K_Ratings'!R29, IF(bbgm_stat &gt;= perc_95, converted_stat * 3, IF(bbgm_stat &gt;= perc_90, converted_stat * 2, IF(bbgm_stat &gt;= perc_85, converted_stat * 1.5, converted_stat)))))</f>
        <v/>
      </c>
      <c r="S29" s="30" t="str">
        <f t="array" ref="S29">IF($A29="", "", LET(bbgm_stat, INDEX(Players!$A28:$P28, MATCH(S$2, Players!$A$1:$P$1, 0)), perc_75, VLOOKUP(S$2, Percentiles!$A$45:$I$59, 6, FALSE), perc_90, VLOOKUP(S$2, Percentiles!$A$45:$I$59, 7, FALSE), perc_95, VLOOKUP(S$2, Percentiles!$A$45:$I$59, 8, FALSE), perc_85, perc_75 + (perc_90 - perc_75) * (2/3), converted_stat, '2K_Ratings'!S29, IF(bbgm_stat &gt;= perc_95, converted_stat * 3, IF(bbgm_stat &gt;= perc_90, converted_stat * 2, IF(bbgm_stat &gt;= perc_85, converted_stat * 1.5, converted_stat)))))</f>
        <v/>
      </c>
      <c r="T29" s="30" t="str">
        <f t="array" ref="T29">IF($A29="", "", LET(bbgm_stat, INDEX(Players!$A28:$P28, MATCH(T$2, Players!$A$1:$P$1, 0)), perc_75, VLOOKUP(T$2, Percentiles!$A$45:$I$59, 6, FALSE), perc_90, VLOOKUP(T$2, Percentiles!$A$45:$I$59, 7, FALSE), perc_95, VLOOKUP(T$2, Percentiles!$A$45:$I$59, 8, FALSE), perc_85, perc_75 + (perc_90 - perc_75) * (2/3), converted_stat, '2K_Ratings'!T29, IF(bbgm_stat &gt;= perc_95, converted_stat * 3, IF(bbgm_stat &gt;= perc_90, converted_stat * 2, IF(bbgm_stat &gt;= perc_85, converted_stat * 1.5, converted_stat)))))</f>
        <v/>
      </c>
      <c r="U29" s="30" t="str">
        <f t="array" ref="U29">IF($A29="", "", LET(bbgm_stat, INDEX(Players!$A28:$P28, MATCH(U$2, Players!$A$1:$P$1, 0)), perc_75, VLOOKUP(U$2, Percentiles!$A$45:$I$59, 6, FALSE), perc_90, VLOOKUP(U$2, Percentiles!$A$45:$I$59, 7, FALSE), perc_95, VLOOKUP(U$2, Percentiles!$A$45:$I$59, 8, FALSE), perc_85, perc_75 + (perc_90 - perc_75) * (2/3), converted_stat, '2K_Ratings'!U29, IF(bbgm_stat &gt;= perc_95, converted_stat * 3, IF(bbgm_stat &gt;= perc_90, converted_stat * 2, IF(bbgm_stat &gt;= perc_85, converted_stat * 1.5, converted_stat)))))</f>
        <v/>
      </c>
      <c r="V29" s="30" t="str">
        <f t="array" ref="V29">IF($A29="", "", LET(bbgm_stat, INDEX(Players!$A28:$P28, MATCH(V$2, Players!$A$1:$P$1, 0)), perc_75, VLOOKUP(V$2, Percentiles!$A$45:$I$59, 6, FALSE), perc_90, VLOOKUP(V$2, Percentiles!$A$45:$I$59, 7, FALSE), perc_95, VLOOKUP(V$2, Percentiles!$A$45:$I$59, 8, FALSE), perc_85, perc_75 + (perc_90 - perc_75) * (2/3), converted_stat, '2K_Ratings'!V29, IF(bbgm_stat &gt;= perc_95, converted_stat * 3, IF(bbgm_stat &gt;= perc_90, converted_stat * 2, IF(bbgm_stat &gt;= perc_85, converted_stat * 1.5, converted_stat)))))</f>
        <v/>
      </c>
      <c r="W29" s="30" t="str">
        <f t="array" ref="W29">IF($A29="", "", LET(bbgm_stat, INDEX(Players!$A28:$P28, MATCH(W$2, Players!$A$1:$P$1, 0)), perc_75, VLOOKUP(W$2, Percentiles!$A$45:$I$59, 6, FALSE), perc_90, VLOOKUP(W$2, Percentiles!$A$45:$I$59, 7, FALSE), perc_95, VLOOKUP(W$2, Percentiles!$A$45:$I$59, 8, FALSE), perc_85, perc_75 + (perc_90 - perc_75) * (2/3), converted_stat, '2K_Ratings'!W29, IF(bbgm_stat &gt;= perc_95, converted_stat * 3, IF(bbgm_stat &gt;= perc_90, converted_stat * 2, IF(bbgm_stat &gt;= perc_85, converted_stat * 1.5, converted_stat)))))</f>
        <v/>
      </c>
    </row>
    <row r="30">
      <c r="A30" s="30" t="str">
        <f>IF(Players!A29="", "", Players!A29)</f>
        <v/>
      </c>
      <c r="B30" s="30" t="str">
        <f t="array" ref="B30">IF($A30="", "", LET(bbgm_stat, INDEX(Players!$A29:$P29, MATCH(B$2, Players!$A$1:$P$1, 0)), perc_75, VLOOKUP(B$2, Percentiles!$A$45:$I$59, 6, FALSE), perc_90, VLOOKUP(B$2, Percentiles!$A$45:$I$59, 7, FALSE), perc_95, VLOOKUP(B$2, Percentiles!$A$45:$I$59, 8, FALSE), perc_85, perc_75 + (perc_90 - perc_75) * (2/3), converted_stat, '2K_Ratings'!B30, IF(bbgm_stat &gt;= perc_95, converted_stat * 3, IF(bbgm_stat &gt;= perc_90, converted_stat * 2, IF(bbgm_stat &gt;= perc_85, converted_stat * 1.5, converted_stat)))))</f>
        <v/>
      </c>
      <c r="C30" s="30" t="str">
        <f t="array" ref="C30">IF($A30="", "", LET(bbgm_stat, INDEX(Players!$A29:$P29, MATCH(C$2, Players!$A$1:$P$1, 0)), perc_75, VLOOKUP(C$2, Percentiles!$A$45:$I$59, 6, FALSE), perc_90, VLOOKUP(C$2, Percentiles!$A$45:$I$59, 7, FALSE), perc_95, VLOOKUP(C$2, Percentiles!$A$45:$I$59, 8, FALSE), perc_85, perc_75 + (perc_90 - perc_75) * (2/3), converted_stat, '2K_Ratings'!C30, IF(bbgm_stat &gt;= perc_95, converted_stat * 3, IF(bbgm_stat &gt;= perc_90, converted_stat * 2, IF(bbgm_stat &gt;= perc_85, converted_stat * 1.5, converted_stat)))))</f>
        <v/>
      </c>
      <c r="D30" s="30" t="str">
        <f t="array" ref="D30">IF($A30="", "", LET(bbgm_stat, INDEX(Players!$A29:$P29, MATCH(D$2, Players!$A$1:$P$1, 0)), perc_75, VLOOKUP(D$2, Percentiles!$A$45:$I$59, 6, FALSE), perc_90, VLOOKUP(D$2, Percentiles!$A$45:$I$59, 7, FALSE), perc_95, VLOOKUP(D$2, Percentiles!$A$45:$I$59, 8, FALSE), perc_85, perc_75 + (perc_90 - perc_75) * (2/3), converted_stat, '2K_Ratings'!D30, IF(bbgm_stat &gt;= perc_95, converted_stat * 3, IF(bbgm_stat &gt;= perc_90, converted_stat * 2, IF(bbgm_stat &gt;= perc_85, converted_stat * 1.5, converted_stat)))))</f>
        <v/>
      </c>
      <c r="E30" s="30" t="str">
        <f t="array" ref="E30">IF($A30="", "", LET(bbgm_stat, INDEX(Players!$A29:$P29, MATCH(E$2, Players!$A$1:$P$1, 0)), perc_75, VLOOKUP(E$2, Percentiles!$A$45:$I$59, 6, FALSE), perc_90, VLOOKUP(E$2, Percentiles!$A$45:$I$59, 7, FALSE), perc_95, VLOOKUP(E$2, Percentiles!$A$45:$I$59, 8, FALSE), perc_85, perc_75 + (perc_90 - perc_75) * (2/3), converted_stat, '2K_Ratings'!E30, IF(bbgm_stat &gt;= perc_95, converted_stat * 3, IF(bbgm_stat &gt;= perc_90, converted_stat * 2, IF(bbgm_stat &gt;= perc_85, converted_stat * 1.5, converted_stat)))))</f>
        <v/>
      </c>
      <c r="F30" s="30" t="str">
        <f t="array" ref="F30">IF($A30="", "", LET(bbgm_stat, INDEX(Players!$A29:$P29, MATCH(F$2, Players!$A$1:$P$1, 0)), perc_75, VLOOKUP(F$2, Percentiles!$A$45:$I$59, 6, FALSE), perc_90, VLOOKUP(F$2, Percentiles!$A$45:$I$59, 7, FALSE), perc_95, VLOOKUP(F$2, Percentiles!$A$45:$I$59, 8, FALSE), perc_85, perc_75 + (perc_90 - perc_75) * (2/3), converted_stat, '2K_Ratings'!F30, IF(bbgm_stat &gt;= perc_95, converted_stat * 3, IF(bbgm_stat &gt;= perc_90, converted_stat * 2, IF(bbgm_stat &gt;= perc_85, converted_stat * 1.5, converted_stat)))))</f>
        <v/>
      </c>
      <c r="G30" s="30" t="str">
        <f t="array" ref="G30">IF($A30="", "", LET(bbgm_stat, INDEX(Players!$A29:$P29, MATCH(G$2, Players!$A$1:$P$1, 0)), perc_75, VLOOKUP(G$2, Percentiles!$A$45:$I$59, 6, FALSE), perc_90, VLOOKUP(G$2, Percentiles!$A$45:$I$59, 7, FALSE), perc_95, VLOOKUP(G$2, Percentiles!$A$45:$I$59, 8, FALSE), perc_85, perc_75 + (perc_90 - perc_75) * (2/3), converted_stat, '2K_Ratings'!G30, IF(bbgm_stat &gt;= perc_95, converted_stat * 3, IF(bbgm_stat &gt;= perc_90, converted_stat * 2, IF(bbgm_stat &gt;= perc_85, converted_stat * 1.5, converted_stat)))))</f>
        <v/>
      </c>
      <c r="H30" s="30" t="str">
        <f t="array" ref="H30">IF($A30="", "", LET(bbgm_stat, INDEX(Players!$A29:$P29, MATCH(H$2, Players!$A$1:$P$1, 0)), perc_75, VLOOKUP(H$2, Percentiles!$A$45:$I$59, 6, FALSE), perc_90, VLOOKUP(H$2, Percentiles!$A$45:$I$59, 7, FALSE), perc_95, VLOOKUP(H$2, Percentiles!$A$45:$I$59, 8, FALSE), perc_85, perc_75 + (perc_90 - perc_75) * (2/3), converted_stat, '2K_Ratings'!H30, IF(bbgm_stat &gt;= perc_95, converted_stat * 3, IF(bbgm_stat &gt;= perc_90, converted_stat * 2, IF(bbgm_stat &gt;= perc_85, converted_stat * 1.5, converted_stat)))))</f>
        <v/>
      </c>
      <c r="I30" s="30" t="str">
        <f t="array" ref="I30">IF($A30="", "", LET(bbgm_stat, INDEX(Players!$A29:$P29, MATCH(I$2, Players!$A$1:$P$1, 0)), perc_75, VLOOKUP(I$2, Percentiles!$A$45:$I$59, 6, FALSE), perc_90, VLOOKUP(I$2, Percentiles!$A$45:$I$59, 7, FALSE), perc_95, VLOOKUP(I$2, Percentiles!$A$45:$I$59, 8, FALSE), perc_85, perc_75 + (perc_90 - perc_75) * (2/3), converted_stat, '2K_Ratings'!I30, IF(bbgm_stat &gt;= perc_95, converted_stat * 3, IF(bbgm_stat &gt;= perc_90, converted_stat * 2, IF(bbgm_stat &gt;= perc_85, converted_stat * 1.5, converted_stat)))))</f>
        <v/>
      </c>
      <c r="J30" s="30" t="str">
        <f t="array" ref="J30">IF($A30="", "", LET(bbgm_stat, INDEX(Players!$A29:$P29, MATCH(J$2, Players!$A$1:$P$1, 0)), perc_75, VLOOKUP(J$2, Percentiles!$A$45:$I$59, 6, FALSE), perc_90, VLOOKUP(J$2, Percentiles!$A$45:$I$59, 7, FALSE), perc_95, VLOOKUP(J$2, Percentiles!$A$45:$I$59, 8, FALSE), perc_85, perc_75 + (perc_90 - perc_75) * (2/3), converted_stat, '2K_Ratings'!J30, IF(bbgm_stat &gt;= perc_95, converted_stat * 3, IF(bbgm_stat &gt;= perc_90, converted_stat * 2, IF(bbgm_stat &gt;= perc_85, converted_stat * 1.5, converted_stat)))))</f>
        <v/>
      </c>
      <c r="K30" s="30" t="str">
        <f t="array" ref="K30">IF($A30="", "", LET(bbgm_stat, INDEX(Players!$A29:$P29, MATCH(K$2, Players!$A$1:$P$1, 0)), perc_75, VLOOKUP(K$2, Percentiles!$A$45:$I$59, 6, FALSE), perc_90, VLOOKUP(K$2, Percentiles!$A$45:$I$59, 7, FALSE), perc_95, VLOOKUP(K$2, Percentiles!$A$45:$I$59, 8, FALSE), perc_85, perc_75 + (perc_90 - perc_75) * (2/3), converted_stat, '2K_Ratings'!K30, IF(bbgm_stat &gt;= perc_95, converted_stat * 3, IF(bbgm_stat &gt;= perc_90, converted_stat * 2, IF(bbgm_stat &gt;= perc_85, converted_stat * 1.5, converted_stat)))))</f>
        <v/>
      </c>
      <c r="L30" s="30" t="str">
        <f t="array" ref="L30">IF($A30="", "", LET(bbgm_stat, INDEX(Players!$A29:$P29, MATCH(L$2, Players!$A$1:$P$1, 0)), perc_75, VLOOKUP(L$2, Percentiles!$A$45:$I$59, 6, FALSE), perc_90, VLOOKUP(L$2, Percentiles!$A$45:$I$59, 7, FALSE), perc_95, VLOOKUP(L$2, Percentiles!$A$45:$I$59, 8, FALSE), perc_85, perc_75 + (perc_90 - perc_75) * (2/3), converted_stat, '2K_Ratings'!L30, IF(bbgm_stat &gt;= perc_95, converted_stat * 3, IF(bbgm_stat &gt;= perc_90, converted_stat * 2, IF(bbgm_stat &gt;= perc_85, converted_stat * 1.5, converted_stat)))))</f>
        <v/>
      </c>
      <c r="M30" s="30" t="str">
        <f t="array" ref="M30">IF($A30="", "", LET(bbgm_stat, INDEX(Players!$A29:$P29, MATCH(M$2, Players!$A$1:$P$1, 0)), perc_75, VLOOKUP(M$2, Percentiles!$A$45:$I$59, 6, FALSE), perc_90, VLOOKUP(M$2, Percentiles!$A$45:$I$59, 7, FALSE), perc_95, VLOOKUP(M$2, Percentiles!$A$45:$I$59, 8, FALSE), perc_85, perc_75 + (perc_90 - perc_75) * (2/3), converted_stat, '2K_Ratings'!M30, IF(bbgm_stat &gt;= perc_95, converted_stat * 3, IF(bbgm_stat &gt;= perc_90, converted_stat * 2, IF(bbgm_stat &gt;= perc_85, converted_stat * 1.5, converted_stat)))))</f>
        <v/>
      </c>
      <c r="N30" s="30" t="str">
        <f t="array" ref="N30">IF($A30="", "", LET(bbgm_stat, INDEX(Players!$A29:$P29, MATCH(N$2, Players!$A$1:$P$1, 0)), perc_75, VLOOKUP(N$2, Percentiles!$A$45:$I$59, 6, FALSE), perc_90, VLOOKUP(N$2, Percentiles!$A$45:$I$59, 7, FALSE), perc_95, VLOOKUP(N$2, Percentiles!$A$45:$I$59, 8, FALSE), perc_85, perc_75 + (perc_90 - perc_75) * (2/3), converted_stat, '2K_Ratings'!N30, IF(bbgm_stat &gt;= perc_95, converted_stat * 3, IF(bbgm_stat &gt;= perc_90, converted_stat * 2, IF(bbgm_stat &gt;= perc_85, converted_stat * 1.5, converted_stat)))))</f>
        <v/>
      </c>
      <c r="O30" s="30" t="str">
        <f t="array" ref="O30">IF($A30="", "", LET(bbgm_stat, INDEX(Players!$A29:$P29, MATCH(O$2, Players!$A$1:$P$1, 0)), perc_75, VLOOKUP(O$2, Percentiles!$A$45:$I$59, 6, FALSE), perc_90, VLOOKUP(O$2, Percentiles!$A$45:$I$59, 7, FALSE), perc_95, VLOOKUP(O$2, Percentiles!$A$45:$I$59, 8, FALSE), perc_85, perc_75 + (perc_90 - perc_75) * (2/3), converted_stat, '2K_Ratings'!O30, IF(bbgm_stat &gt;= perc_95, converted_stat * 3, IF(bbgm_stat &gt;= perc_90, converted_stat * 2, IF(bbgm_stat &gt;= perc_85, converted_stat * 1.5, converted_stat)))))</f>
        <v/>
      </c>
      <c r="P30" s="30" t="str">
        <f t="array" ref="P30">IF($A30="", "", LET(bbgm_stat, INDEX(Players!$A29:$P29, MATCH(P$2, Players!$A$1:$P$1, 0)), perc_75, VLOOKUP(P$2, Percentiles!$A$45:$I$59, 6, FALSE), perc_90, VLOOKUP(P$2, Percentiles!$A$45:$I$59, 7, FALSE), perc_95, VLOOKUP(P$2, Percentiles!$A$45:$I$59, 8, FALSE), perc_85, perc_75 + (perc_90 - perc_75) * (2/3), converted_stat, '2K_Ratings'!P30, IF(bbgm_stat &gt;= perc_95, converted_stat * 3, IF(bbgm_stat &gt;= perc_90, converted_stat * 2, IF(bbgm_stat &gt;= perc_85, converted_stat * 1.5, converted_stat)))))</f>
        <v/>
      </c>
      <c r="Q30" s="30" t="str">
        <f t="array" ref="Q30">IF($A30="", "", LET(bbgm_stat, INDEX(Players!$A29:$P29, MATCH(Q$2, Players!$A$1:$P$1, 0)), perc_75, VLOOKUP(Q$2, Percentiles!$A$45:$I$59, 6, FALSE), perc_90, VLOOKUP(Q$2, Percentiles!$A$45:$I$59, 7, FALSE), perc_95, VLOOKUP(Q$2, Percentiles!$A$45:$I$59, 8, FALSE), perc_85, perc_75 + (perc_90 - perc_75) * (2/3), converted_stat, '2K_Ratings'!Q30, IF(bbgm_stat &gt;= perc_95, converted_stat * 3, IF(bbgm_stat &gt;= perc_90, converted_stat * 2, IF(bbgm_stat &gt;= perc_85, converted_stat * 1.5, converted_stat)))))</f>
        <v/>
      </c>
      <c r="R30" s="30" t="str">
        <f t="array" ref="R30">IF($A30="", "", LET(bbgm_stat, INDEX(Players!$A29:$P29, MATCH(R$2, Players!$A$1:$P$1, 0)), perc_75, VLOOKUP(R$2, Percentiles!$A$45:$I$59, 6, FALSE), perc_90, VLOOKUP(R$2, Percentiles!$A$45:$I$59, 7, FALSE), perc_95, VLOOKUP(R$2, Percentiles!$A$45:$I$59, 8, FALSE), perc_85, perc_75 + (perc_90 - perc_75) * (2/3), converted_stat, '2K_Ratings'!R30, IF(bbgm_stat &gt;= perc_95, converted_stat * 3, IF(bbgm_stat &gt;= perc_90, converted_stat * 2, IF(bbgm_stat &gt;= perc_85, converted_stat * 1.5, converted_stat)))))</f>
        <v/>
      </c>
      <c r="S30" s="30" t="str">
        <f t="array" ref="S30">IF($A30="", "", LET(bbgm_stat, INDEX(Players!$A29:$P29, MATCH(S$2, Players!$A$1:$P$1, 0)), perc_75, VLOOKUP(S$2, Percentiles!$A$45:$I$59, 6, FALSE), perc_90, VLOOKUP(S$2, Percentiles!$A$45:$I$59, 7, FALSE), perc_95, VLOOKUP(S$2, Percentiles!$A$45:$I$59, 8, FALSE), perc_85, perc_75 + (perc_90 - perc_75) * (2/3), converted_stat, '2K_Ratings'!S30, IF(bbgm_stat &gt;= perc_95, converted_stat * 3, IF(bbgm_stat &gt;= perc_90, converted_stat * 2, IF(bbgm_stat &gt;= perc_85, converted_stat * 1.5, converted_stat)))))</f>
        <v/>
      </c>
      <c r="T30" s="30" t="str">
        <f t="array" ref="T30">IF($A30="", "", LET(bbgm_stat, INDEX(Players!$A29:$P29, MATCH(T$2, Players!$A$1:$P$1, 0)), perc_75, VLOOKUP(T$2, Percentiles!$A$45:$I$59, 6, FALSE), perc_90, VLOOKUP(T$2, Percentiles!$A$45:$I$59, 7, FALSE), perc_95, VLOOKUP(T$2, Percentiles!$A$45:$I$59, 8, FALSE), perc_85, perc_75 + (perc_90 - perc_75) * (2/3), converted_stat, '2K_Ratings'!T30, IF(bbgm_stat &gt;= perc_95, converted_stat * 3, IF(bbgm_stat &gt;= perc_90, converted_stat * 2, IF(bbgm_stat &gt;= perc_85, converted_stat * 1.5, converted_stat)))))</f>
        <v/>
      </c>
      <c r="U30" s="30" t="str">
        <f t="array" ref="U30">IF($A30="", "", LET(bbgm_stat, INDEX(Players!$A29:$P29, MATCH(U$2, Players!$A$1:$P$1, 0)), perc_75, VLOOKUP(U$2, Percentiles!$A$45:$I$59, 6, FALSE), perc_90, VLOOKUP(U$2, Percentiles!$A$45:$I$59, 7, FALSE), perc_95, VLOOKUP(U$2, Percentiles!$A$45:$I$59, 8, FALSE), perc_85, perc_75 + (perc_90 - perc_75) * (2/3), converted_stat, '2K_Ratings'!U30, IF(bbgm_stat &gt;= perc_95, converted_stat * 3, IF(bbgm_stat &gt;= perc_90, converted_stat * 2, IF(bbgm_stat &gt;= perc_85, converted_stat * 1.5, converted_stat)))))</f>
        <v/>
      </c>
      <c r="V30" s="30" t="str">
        <f t="array" ref="V30">IF($A30="", "", LET(bbgm_stat, INDEX(Players!$A29:$P29, MATCH(V$2, Players!$A$1:$P$1, 0)), perc_75, VLOOKUP(V$2, Percentiles!$A$45:$I$59, 6, FALSE), perc_90, VLOOKUP(V$2, Percentiles!$A$45:$I$59, 7, FALSE), perc_95, VLOOKUP(V$2, Percentiles!$A$45:$I$59, 8, FALSE), perc_85, perc_75 + (perc_90 - perc_75) * (2/3), converted_stat, '2K_Ratings'!V30, IF(bbgm_stat &gt;= perc_95, converted_stat * 3, IF(bbgm_stat &gt;= perc_90, converted_stat * 2, IF(bbgm_stat &gt;= perc_85, converted_stat * 1.5, converted_stat)))))</f>
        <v/>
      </c>
      <c r="W30" s="30" t="str">
        <f t="array" ref="W30">IF($A30="", "", LET(bbgm_stat, INDEX(Players!$A29:$P29, MATCH(W$2, Players!$A$1:$P$1, 0)), perc_75, VLOOKUP(W$2, Percentiles!$A$45:$I$59, 6, FALSE), perc_90, VLOOKUP(W$2, Percentiles!$A$45:$I$59, 7, FALSE), perc_95, VLOOKUP(W$2, Percentiles!$A$45:$I$59, 8, FALSE), perc_85, perc_75 + (perc_90 - perc_75) * (2/3), converted_stat, '2K_Ratings'!W30, IF(bbgm_stat &gt;= perc_95, converted_stat * 3, IF(bbgm_stat &gt;= perc_90, converted_stat * 2, IF(bbgm_stat &gt;= perc_85, converted_stat * 1.5, converted_stat)))))</f>
        <v/>
      </c>
    </row>
    <row r="31">
      <c r="A31" s="30" t="str">
        <f>IF(Players!A30="", "", Players!A30)</f>
        <v/>
      </c>
      <c r="B31" s="30" t="str">
        <f t="array" ref="B31">IF($A31="", "", LET(bbgm_stat, INDEX(Players!$A30:$P30, MATCH(B$2, Players!$A$1:$P$1, 0)), perc_75, VLOOKUP(B$2, Percentiles!$A$45:$I$59, 6, FALSE), perc_90, VLOOKUP(B$2, Percentiles!$A$45:$I$59, 7, FALSE), perc_95, VLOOKUP(B$2, Percentiles!$A$45:$I$59, 8, FALSE), perc_85, perc_75 + (perc_90 - perc_75) * (2/3), converted_stat, '2K_Ratings'!B31, IF(bbgm_stat &gt;= perc_95, converted_stat * 3, IF(bbgm_stat &gt;= perc_90, converted_stat * 2, IF(bbgm_stat &gt;= perc_85, converted_stat * 1.5, converted_stat)))))</f>
        <v/>
      </c>
      <c r="C31" s="30" t="str">
        <f t="array" ref="C31">IF($A31="", "", LET(bbgm_stat, INDEX(Players!$A30:$P30, MATCH(C$2, Players!$A$1:$P$1, 0)), perc_75, VLOOKUP(C$2, Percentiles!$A$45:$I$59, 6, FALSE), perc_90, VLOOKUP(C$2, Percentiles!$A$45:$I$59, 7, FALSE), perc_95, VLOOKUP(C$2, Percentiles!$A$45:$I$59, 8, FALSE), perc_85, perc_75 + (perc_90 - perc_75) * (2/3), converted_stat, '2K_Ratings'!C31, IF(bbgm_stat &gt;= perc_95, converted_stat * 3, IF(bbgm_stat &gt;= perc_90, converted_stat * 2, IF(bbgm_stat &gt;= perc_85, converted_stat * 1.5, converted_stat)))))</f>
        <v/>
      </c>
      <c r="D31" s="30" t="str">
        <f t="array" ref="D31">IF($A31="", "", LET(bbgm_stat, INDEX(Players!$A30:$P30, MATCH(D$2, Players!$A$1:$P$1, 0)), perc_75, VLOOKUP(D$2, Percentiles!$A$45:$I$59, 6, FALSE), perc_90, VLOOKUP(D$2, Percentiles!$A$45:$I$59, 7, FALSE), perc_95, VLOOKUP(D$2, Percentiles!$A$45:$I$59, 8, FALSE), perc_85, perc_75 + (perc_90 - perc_75) * (2/3), converted_stat, '2K_Ratings'!D31, IF(bbgm_stat &gt;= perc_95, converted_stat * 3, IF(bbgm_stat &gt;= perc_90, converted_stat * 2, IF(bbgm_stat &gt;= perc_85, converted_stat * 1.5, converted_stat)))))</f>
        <v/>
      </c>
      <c r="E31" s="30" t="str">
        <f t="array" ref="E31">IF($A31="", "", LET(bbgm_stat, INDEX(Players!$A30:$P30, MATCH(E$2, Players!$A$1:$P$1, 0)), perc_75, VLOOKUP(E$2, Percentiles!$A$45:$I$59, 6, FALSE), perc_90, VLOOKUP(E$2, Percentiles!$A$45:$I$59, 7, FALSE), perc_95, VLOOKUP(E$2, Percentiles!$A$45:$I$59, 8, FALSE), perc_85, perc_75 + (perc_90 - perc_75) * (2/3), converted_stat, '2K_Ratings'!E31, IF(bbgm_stat &gt;= perc_95, converted_stat * 3, IF(bbgm_stat &gt;= perc_90, converted_stat * 2, IF(bbgm_stat &gt;= perc_85, converted_stat * 1.5, converted_stat)))))</f>
        <v/>
      </c>
      <c r="F31" s="30" t="str">
        <f t="array" ref="F31">IF($A31="", "", LET(bbgm_stat, INDEX(Players!$A30:$P30, MATCH(F$2, Players!$A$1:$P$1, 0)), perc_75, VLOOKUP(F$2, Percentiles!$A$45:$I$59, 6, FALSE), perc_90, VLOOKUP(F$2, Percentiles!$A$45:$I$59, 7, FALSE), perc_95, VLOOKUP(F$2, Percentiles!$A$45:$I$59, 8, FALSE), perc_85, perc_75 + (perc_90 - perc_75) * (2/3), converted_stat, '2K_Ratings'!F31, IF(bbgm_stat &gt;= perc_95, converted_stat * 3, IF(bbgm_stat &gt;= perc_90, converted_stat * 2, IF(bbgm_stat &gt;= perc_85, converted_stat * 1.5, converted_stat)))))</f>
        <v/>
      </c>
      <c r="G31" s="30" t="str">
        <f t="array" ref="G31">IF($A31="", "", LET(bbgm_stat, INDEX(Players!$A30:$P30, MATCH(G$2, Players!$A$1:$P$1, 0)), perc_75, VLOOKUP(G$2, Percentiles!$A$45:$I$59, 6, FALSE), perc_90, VLOOKUP(G$2, Percentiles!$A$45:$I$59, 7, FALSE), perc_95, VLOOKUP(G$2, Percentiles!$A$45:$I$59, 8, FALSE), perc_85, perc_75 + (perc_90 - perc_75) * (2/3), converted_stat, '2K_Ratings'!G31, IF(bbgm_stat &gt;= perc_95, converted_stat * 3, IF(bbgm_stat &gt;= perc_90, converted_stat * 2, IF(bbgm_stat &gt;= perc_85, converted_stat * 1.5, converted_stat)))))</f>
        <v/>
      </c>
      <c r="H31" s="30" t="str">
        <f t="array" ref="H31">IF($A31="", "", LET(bbgm_stat, INDEX(Players!$A30:$P30, MATCH(H$2, Players!$A$1:$P$1, 0)), perc_75, VLOOKUP(H$2, Percentiles!$A$45:$I$59, 6, FALSE), perc_90, VLOOKUP(H$2, Percentiles!$A$45:$I$59, 7, FALSE), perc_95, VLOOKUP(H$2, Percentiles!$A$45:$I$59, 8, FALSE), perc_85, perc_75 + (perc_90 - perc_75) * (2/3), converted_stat, '2K_Ratings'!H31, IF(bbgm_stat &gt;= perc_95, converted_stat * 3, IF(bbgm_stat &gt;= perc_90, converted_stat * 2, IF(bbgm_stat &gt;= perc_85, converted_stat * 1.5, converted_stat)))))</f>
        <v/>
      </c>
      <c r="I31" s="30" t="str">
        <f t="array" ref="I31">IF($A31="", "", LET(bbgm_stat, INDEX(Players!$A30:$P30, MATCH(I$2, Players!$A$1:$P$1, 0)), perc_75, VLOOKUP(I$2, Percentiles!$A$45:$I$59, 6, FALSE), perc_90, VLOOKUP(I$2, Percentiles!$A$45:$I$59, 7, FALSE), perc_95, VLOOKUP(I$2, Percentiles!$A$45:$I$59, 8, FALSE), perc_85, perc_75 + (perc_90 - perc_75) * (2/3), converted_stat, '2K_Ratings'!I31, IF(bbgm_stat &gt;= perc_95, converted_stat * 3, IF(bbgm_stat &gt;= perc_90, converted_stat * 2, IF(bbgm_stat &gt;= perc_85, converted_stat * 1.5, converted_stat)))))</f>
        <v/>
      </c>
      <c r="J31" s="30" t="str">
        <f t="array" ref="J31">IF($A31="", "", LET(bbgm_stat, INDEX(Players!$A30:$P30, MATCH(J$2, Players!$A$1:$P$1, 0)), perc_75, VLOOKUP(J$2, Percentiles!$A$45:$I$59, 6, FALSE), perc_90, VLOOKUP(J$2, Percentiles!$A$45:$I$59, 7, FALSE), perc_95, VLOOKUP(J$2, Percentiles!$A$45:$I$59, 8, FALSE), perc_85, perc_75 + (perc_90 - perc_75) * (2/3), converted_stat, '2K_Ratings'!J31, IF(bbgm_stat &gt;= perc_95, converted_stat * 3, IF(bbgm_stat &gt;= perc_90, converted_stat * 2, IF(bbgm_stat &gt;= perc_85, converted_stat * 1.5, converted_stat)))))</f>
        <v/>
      </c>
      <c r="K31" s="30" t="str">
        <f t="array" ref="K31">IF($A31="", "", LET(bbgm_stat, INDEX(Players!$A30:$P30, MATCH(K$2, Players!$A$1:$P$1, 0)), perc_75, VLOOKUP(K$2, Percentiles!$A$45:$I$59, 6, FALSE), perc_90, VLOOKUP(K$2, Percentiles!$A$45:$I$59, 7, FALSE), perc_95, VLOOKUP(K$2, Percentiles!$A$45:$I$59, 8, FALSE), perc_85, perc_75 + (perc_90 - perc_75) * (2/3), converted_stat, '2K_Ratings'!K31, IF(bbgm_stat &gt;= perc_95, converted_stat * 3, IF(bbgm_stat &gt;= perc_90, converted_stat * 2, IF(bbgm_stat &gt;= perc_85, converted_stat * 1.5, converted_stat)))))</f>
        <v/>
      </c>
      <c r="L31" s="30" t="str">
        <f t="array" ref="L31">IF($A31="", "", LET(bbgm_stat, INDEX(Players!$A30:$P30, MATCH(L$2, Players!$A$1:$P$1, 0)), perc_75, VLOOKUP(L$2, Percentiles!$A$45:$I$59, 6, FALSE), perc_90, VLOOKUP(L$2, Percentiles!$A$45:$I$59, 7, FALSE), perc_95, VLOOKUP(L$2, Percentiles!$A$45:$I$59, 8, FALSE), perc_85, perc_75 + (perc_90 - perc_75) * (2/3), converted_stat, '2K_Ratings'!L31, IF(bbgm_stat &gt;= perc_95, converted_stat * 3, IF(bbgm_stat &gt;= perc_90, converted_stat * 2, IF(bbgm_stat &gt;= perc_85, converted_stat * 1.5, converted_stat)))))</f>
        <v/>
      </c>
      <c r="M31" s="30" t="str">
        <f t="array" ref="M31">IF($A31="", "", LET(bbgm_stat, INDEX(Players!$A30:$P30, MATCH(M$2, Players!$A$1:$P$1, 0)), perc_75, VLOOKUP(M$2, Percentiles!$A$45:$I$59, 6, FALSE), perc_90, VLOOKUP(M$2, Percentiles!$A$45:$I$59, 7, FALSE), perc_95, VLOOKUP(M$2, Percentiles!$A$45:$I$59, 8, FALSE), perc_85, perc_75 + (perc_90 - perc_75) * (2/3), converted_stat, '2K_Ratings'!M31, IF(bbgm_stat &gt;= perc_95, converted_stat * 3, IF(bbgm_stat &gt;= perc_90, converted_stat * 2, IF(bbgm_stat &gt;= perc_85, converted_stat * 1.5, converted_stat)))))</f>
        <v/>
      </c>
      <c r="N31" s="30" t="str">
        <f t="array" ref="N31">IF($A31="", "", LET(bbgm_stat, INDEX(Players!$A30:$P30, MATCH(N$2, Players!$A$1:$P$1, 0)), perc_75, VLOOKUP(N$2, Percentiles!$A$45:$I$59, 6, FALSE), perc_90, VLOOKUP(N$2, Percentiles!$A$45:$I$59, 7, FALSE), perc_95, VLOOKUP(N$2, Percentiles!$A$45:$I$59, 8, FALSE), perc_85, perc_75 + (perc_90 - perc_75) * (2/3), converted_stat, '2K_Ratings'!N31, IF(bbgm_stat &gt;= perc_95, converted_stat * 3, IF(bbgm_stat &gt;= perc_90, converted_stat * 2, IF(bbgm_stat &gt;= perc_85, converted_stat * 1.5, converted_stat)))))</f>
        <v/>
      </c>
      <c r="O31" s="30" t="str">
        <f t="array" ref="O31">IF($A31="", "", LET(bbgm_stat, INDEX(Players!$A30:$P30, MATCH(O$2, Players!$A$1:$P$1, 0)), perc_75, VLOOKUP(O$2, Percentiles!$A$45:$I$59, 6, FALSE), perc_90, VLOOKUP(O$2, Percentiles!$A$45:$I$59, 7, FALSE), perc_95, VLOOKUP(O$2, Percentiles!$A$45:$I$59, 8, FALSE), perc_85, perc_75 + (perc_90 - perc_75) * (2/3), converted_stat, '2K_Ratings'!O31, IF(bbgm_stat &gt;= perc_95, converted_stat * 3, IF(bbgm_stat &gt;= perc_90, converted_stat * 2, IF(bbgm_stat &gt;= perc_85, converted_stat * 1.5, converted_stat)))))</f>
        <v/>
      </c>
      <c r="P31" s="30" t="str">
        <f t="array" ref="P31">IF($A31="", "", LET(bbgm_stat, INDEX(Players!$A30:$P30, MATCH(P$2, Players!$A$1:$P$1, 0)), perc_75, VLOOKUP(P$2, Percentiles!$A$45:$I$59, 6, FALSE), perc_90, VLOOKUP(P$2, Percentiles!$A$45:$I$59, 7, FALSE), perc_95, VLOOKUP(P$2, Percentiles!$A$45:$I$59, 8, FALSE), perc_85, perc_75 + (perc_90 - perc_75) * (2/3), converted_stat, '2K_Ratings'!P31, IF(bbgm_stat &gt;= perc_95, converted_stat * 3, IF(bbgm_stat &gt;= perc_90, converted_stat * 2, IF(bbgm_stat &gt;= perc_85, converted_stat * 1.5, converted_stat)))))</f>
        <v/>
      </c>
      <c r="Q31" s="30" t="str">
        <f t="array" ref="Q31">IF($A31="", "", LET(bbgm_stat, INDEX(Players!$A30:$P30, MATCH(Q$2, Players!$A$1:$P$1, 0)), perc_75, VLOOKUP(Q$2, Percentiles!$A$45:$I$59, 6, FALSE), perc_90, VLOOKUP(Q$2, Percentiles!$A$45:$I$59, 7, FALSE), perc_95, VLOOKUP(Q$2, Percentiles!$A$45:$I$59, 8, FALSE), perc_85, perc_75 + (perc_90 - perc_75) * (2/3), converted_stat, '2K_Ratings'!Q31, IF(bbgm_stat &gt;= perc_95, converted_stat * 3, IF(bbgm_stat &gt;= perc_90, converted_stat * 2, IF(bbgm_stat &gt;= perc_85, converted_stat * 1.5, converted_stat)))))</f>
        <v/>
      </c>
      <c r="R31" s="30" t="str">
        <f t="array" ref="R31">IF($A31="", "", LET(bbgm_stat, INDEX(Players!$A30:$P30, MATCH(R$2, Players!$A$1:$P$1, 0)), perc_75, VLOOKUP(R$2, Percentiles!$A$45:$I$59, 6, FALSE), perc_90, VLOOKUP(R$2, Percentiles!$A$45:$I$59, 7, FALSE), perc_95, VLOOKUP(R$2, Percentiles!$A$45:$I$59, 8, FALSE), perc_85, perc_75 + (perc_90 - perc_75) * (2/3), converted_stat, '2K_Ratings'!R31, IF(bbgm_stat &gt;= perc_95, converted_stat * 3, IF(bbgm_stat &gt;= perc_90, converted_stat * 2, IF(bbgm_stat &gt;= perc_85, converted_stat * 1.5, converted_stat)))))</f>
        <v/>
      </c>
      <c r="S31" s="30" t="str">
        <f t="array" ref="S31">IF($A31="", "", LET(bbgm_stat, INDEX(Players!$A30:$P30, MATCH(S$2, Players!$A$1:$P$1, 0)), perc_75, VLOOKUP(S$2, Percentiles!$A$45:$I$59, 6, FALSE), perc_90, VLOOKUP(S$2, Percentiles!$A$45:$I$59, 7, FALSE), perc_95, VLOOKUP(S$2, Percentiles!$A$45:$I$59, 8, FALSE), perc_85, perc_75 + (perc_90 - perc_75) * (2/3), converted_stat, '2K_Ratings'!S31, IF(bbgm_stat &gt;= perc_95, converted_stat * 3, IF(bbgm_stat &gt;= perc_90, converted_stat * 2, IF(bbgm_stat &gt;= perc_85, converted_stat * 1.5, converted_stat)))))</f>
        <v/>
      </c>
      <c r="T31" s="30" t="str">
        <f t="array" ref="T31">IF($A31="", "", LET(bbgm_stat, INDEX(Players!$A30:$P30, MATCH(T$2, Players!$A$1:$P$1, 0)), perc_75, VLOOKUP(T$2, Percentiles!$A$45:$I$59, 6, FALSE), perc_90, VLOOKUP(T$2, Percentiles!$A$45:$I$59, 7, FALSE), perc_95, VLOOKUP(T$2, Percentiles!$A$45:$I$59, 8, FALSE), perc_85, perc_75 + (perc_90 - perc_75) * (2/3), converted_stat, '2K_Ratings'!T31, IF(bbgm_stat &gt;= perc_95, converted_stat * 3, IF(bbgm_stat &gt;= perc_90, converted_stat * 2, IF(bbgm_stat &gt;= perc_85, converted_stat * 1.5, converted_stat)))))</f>
        <v/>
      </c>
      <c r="U31" s="30" t="str">
        <f t="array" ref="U31">IF($A31="", "", LET(bbgm_stat, INDEX(Players!$A30:$P30, MATCH(U$2, Players!$A$1:$P$1, 0)), perc_75, VLOOKUP(U$2, Percentiles!$A$45:$I$59, 6, FALSE), perc_90, VLOOKUP(U$2, Percentiles!$A$45:$I$59, 7, FALSE), perc_95, VLOOKUP(U$2, Percentiles!$A$45:$I$59, 8, FALSE), perc_85, perc_75 + (perc_90 - perc_75) * (2/3), converted_stat, '2K_Ratings'!U31, IF(bbgm_stat &gt;= perc_95, converted_stat * 3, IF(bbgm_stat &gt;= perc_90, converted_stat * 2, IF(bbgm_stat &gt;= perc_85, converted_stat * 1.5, converted_stat)))))</f>
        <v/>
      </c>
      <c r="V31" s="30" t="str">
        <f t="array" ref="V31">IF($A31="", "", LET(bbgm_stat, INDEX(Players!$A30:$P30, MATCH(V$2, Players!$A$1:$P$1, 0)), perc_75, VLOOKUP(V$2, Percentiles!$A$45:$I$59, 6, FALSE), perc_90, VLOOKUP(V$2, Percentiles!$A$45:$I$59, 7, FALSE), perc_95, VLOOKUP(V$2, Percentiles!$A$45:$I$59, 8, FALSE), perc_85, perc_75 + (perc_90 - perc_75) * (2/3), converted_stat, '2K_Ratings'!V31, IF(bbgm_stat &gt;= perc_95, converted_stat * 3, IF(bbgm_stat &gt;= perc_90, converted_stat * 2, IF(bbgm_stat &gt;= perc_85, converted_stat * 1.5, converted_stat)))))</f>
        <v/>
      </c>
      <c r="W31" s="30" t="str">
        <f t="array" ref="W31">IF($A31="", "", LET(bbgm_stat, INDEX(Players!$A30:$P30, MATCH(W$2, Players!$A$1:$P$1, 0)), perc_75, VLOOKUP(W$2, Percentiles!$A$45:$I$59, 6, FALSE), perc_90, VLOOKUP(W$2, Percentiles!$A$45:$I$59, 7, FALSE), perc_95, VLOOKUP(W$2, Percentiles!$A$45:$I$59, 8, FALSE), perc_85, perc_75 + (perc_90 - perc_75) * (2/3), converted_stat, '2K_Ratings'!W31, IF(bbgm_stat &gt;= perc_95, converted_stat * 3, IF(bbgm_stat &gt;= perc_90, converted_stat * 2, IF(bbgm_stat &gt;= perc_85, converted_stat * 1.5, converted_stat)))))</f>
        <v/>
      </c>
    </row>
    <row r="32">
      <c r="A32" s="30" t="str">
        <f>IF(Players!A31="", "", Players!A31)</f>
        <v/>
      </c>
      <c r="B32" s="30" t="str">
        <f t="array" ref="B32">IF($A32="", "", LET(bbgm_stat, INDEX(Players!$A31:$P31, MATCH(B$2, Players!$A$1:$P$1, 0)), perc_75, VLOOKUP(B$2, Percentiles!$A$45:$I$59, 6, FALSE), perc_90, VLOOKUP(B$2, Percentiles!$A$45:$I$59, 7, FALSE), perc_95, VLOOKUP(B$2, Percentiles!$A$45:$I$59, 8, FALSE), perc_85, perc_75 + (perc_90 - perc_75) * (2/3), converted_stat, '2K_Ratings'!B32, IF(bbgm_stat &gt;= perc_95, converted_stat * 3, IF(bbgm_stat &gt;= perc_90, converted_stat * 2, IF(bbgm_stat &gt;= perc_85, converted_stat * 1.5, converted_stat)))))</f>
        <v/>
      </c>
      <c r="C32" s="30" t="str">
        <f t="array" ref="C32">IF($A32="", "", LET(bbgm_stat, INDEX(Players!$A31:$P31, MATCH(C$2, Players!$A$1:$P$1, 0)), perc_75, VLOOKUP(C$2, Percentiles!$A$45:$I$59, 6, FALSE), perc_90, VLOOKUP(C$2, Percentiles!$A$45:$I$59, 7, FALSE), perc_95, VLOOKUP(C$2, Percentiles!$A$45:$I$59, 8, FALSE), perc_85, perc_75 + (perc_90 - perc_75) * (2/3), converted_stat, '2K_Ratings'!C32, IF(bbgm_stat &gt;= perc_95, converted_stat * 3, IF(bbgm_stat &gt;= perc_90, converted_stat * 2, IF(bbgm_stat &gt;= perc_85, converted_stat * 1.5, converted_stat)))))</f>
        <v/>
      </c>
      <c r="D32" s="30" t="str">
        <f t="array" ref="D32">IF($A32="", "", LET(bbgm_stat, INDEX(Players!$A31:$P31, MATCH(D$2, Players!$A$1:$P$1, 0)), perc_75, VLOOKUP(D$2, Percentiles!$A$45:$I$59, 6, FALSE), perc_90, VLOOKUP(D$2, Percentiles!$A$45:$I$59, 7, FALSE), perc_95, VLOOKUP(D$2, Percentiles!$A$45:$I$59, 8, FALSE), perc_85, perc_75 + (perc_90 - perc_75) * (2/3), converted_stat, '2K_Ratings'!D32, IF(bbgm_stat &gt;= perc_95, converted_stat * 3, IF(bbgm_stat &gt;= perc_90, converted_stat * 2, IF(bbgm_stat &gt;= perc_85, converted_stat * 1.5, converted_stat)))))</f>
        <v/>
      </c>
      <c r="E32" s="30" t="str">
        <f t="array" ref="E32">IF($A32="", "", LET(bbgm_stat, INDEX(Players!$A31:$P31, MATCH(E$2, Players!$A$1:$P$1, 0)), perc_75, VLOOKUP(E$2, Percentiles!$A$45:$I$59, 6, FALSE), perc_90, VLOOKUP(E$2, Percentiles!$A$45:$I$59, 7, FALSE), perc_95, VLOOKUP(E$2, Percentiles!$A$45:$I$59, 8, FALSE), perc_85, perc_75 + (perc_90 - perc_75) * (2/3), converted_stat, '2K_Ratings'!E32, IF(bbgm_stat &gt;= perc_95, converted_stat * 3, IF(bbgm_stat &gt;= perc_90, converted_stat * 2, IF(bbgm_stat &gt;= perc_85, converted_stat * 1.5, converted_stat)))))</f>
        <v/>
      </c>
      <c r="F32" s="30" t="str">
        <f t="array" ref="F32">IF($A32="", "", LET(bbgm_stat, INDEX(Players!$A31:$P31, MATCH(F$2, Players!$A$1:$P$1, 0)), perc_75, VLOOKUP(F$2, Percentiles!$A$45:$I$59, 6, FALSE), perc_90, VLOOKUP(F$2, Percentiles!$A$45:$I$59, 7, FALSE), perc_95, VLOOKUP(F$2, Percentiles!$A$45:$I$59, 8, FALSE), perc_85, perc_75 + (perc_90 - perc_75) * (2/3), converted_stat, '2K_Ratings'!F32, IF(bbgm_stat &gt;= perc_95, converted_stat * 3, IF(bbgm_stat &gt;= perc_90, converted_stat * 2, IF(bbgm_stat &gt;= perc_85, converted_stat * 1.5, converted_stat)))))</f>
        <v/>
      </c>
      <c r="G32" s="30" t="str">
        <f t="array" ref="G32">IF($A32="", "", LET(bbgm_stat, INDEX(Players!$A31:$P31, MATCH(G$2, Players!$A$1:$P$1, 0)), perc_75, VLOOKUP(G$2, Percentiles!$A$45:$I$59, 6, FALSE), perc_90, VLOOKUP(G$2, Percentiles!$A$45:$I$59, 7, FALSE), perc_95, VLOOKUP(G$2, Percentiles!$A$45:$I$59, 8, FALSE), perc_85, perc_75 + (perc_90 - perc_75) * (2/3), converted_stat, '2K_Ratings'!G32, IF(bbgm_stat &gt;= perc_95, converted_stat * 3, IF(bbgm_stat &gt;= perc_90, converted_stat * 2, IF(bbgm_stat &gt;= perc_85, converted_stat * 1.5, converted_stat)))))</f>
        <v/>
      </c>
      <c r="H32" s="30" t="str">
        <f t="array" ref="H32">IF($A32="", "", LET(bbgm_stat, INDEX(Players!$A31:$P31, MATCH(H$2, Players!$A$1:$P$1, 0)), perc_75, VLOOKUP(H$2, Percentiles!$A$45:$I$59, 6, FALSE), perc_90, VLOOKUP(H$2, Percentiles!$A$45:$I$59, 7, FALSE), perc_95, VLOOKUP(H$2, Percentiles!$A$45:$I$59, 8, FALSE), perc_85, perc_75 + (perc_90 - perc_75) * (2/3), converted_stat, '2K_Ratings'!H32, IF(bbgm_stat &gt;= perc_95, converted_stat * 3, IF(bbgm_stat &gt;= perc_90, converted_stat * 2, IF(bbgm_stat &gt;= perc_85, converted_stat * 1.5, converted_stat)))))</f>
        <v/>
      </c>
      <c r="I32" s="30" t="str">
        <f t="array" ref="I32">IF($A32="", "", LET(bbgm_stat, INDEX(Players!$A31:$P31, MATCH(I$2, Players!$A$1:$P$1, 0)), perc_75, VLOOKUP(I$2, Percentiles!$A$45:$I$59, 6, FALSE), perc_90, VLOOKUP(I$2, Percentiles!$A$45:$I$59, 7, FALSE), perc_95, VLOOKUP(I$2, Percentiles!$A$45:$I$59, 8, FALSE), perc_85, perc_75 + (perc_90 - perc_75) * (2/3), converted_stat, '2K_Ratings'!I32, IF(bbgm_stat &gt;= perc_95, converted_stat * 3, IF(bbgm_stat &gt;= perc_90, converted_stat * 2, IF(bbgm_stat &gt;= perc_85, converted_stat * 1.5, converted_stat)))))</f>
        <v/>
      </c>
      <c r="J32" s="30" t="str">
        <f t="array" ref="J32">IF($A32="", "", LET(bbgm_stat, INDEX(Players!$A31:$P31, MATCH(J$2, Players!$A$1:$P$1, 0)), perc_75, VLOOKUP(J$2, Percentiles!$A$45:$I$59, 6, FALSE), perc_90, VLOOKUP(J$2, Percentiles!$A$45:$I$59, 7, FALSE), perc_95, VLOOKUP(J$2, Percentiles!$A$45:$I$59, 8, FALSE), perc_85, perc_75 + (perc_90 - perc_75) * (2/3), converted_stat, '2K_Ratings'!J32, IF(bbgm_stat &gt;= perc_95, converted_stat * 3, IF(bbgm_stat &gt;= perc_90, converted_stat * 2, IF(bbgm_stat &gt;= perc_85, converted_stat * 1.5, converted_stat)))))</f>
        <v/>
      </c>
      <c r="K32" s="30" t="str">
        <f t="array" ref="K32">IF($A32="", "", LET(bbgm_stat, INDEX(Players!$A31:$P31, MATCH(K$2, Players!$A$1:$P$1, 0)), perc_75, VLOOKUP(K$2, Percentiles!$A$45:$I$59, 6, FALSE), perc_90, VLOOKUP(K$2, Percentiles!$A$45:$I$59, 7, FALSE), perc_95, VLOOKUP(K$2, Percentiles!$A$45:$I$59, 8, FALSE), perc_85, perc_75 + (perc_90 - perc_75) * (2/3), converted_stat, '2K_Ratings'!K32, IF(bbgm_stat &gt;= perc_95, converted_stat * 3, IF(bbgm_stat &gt;= perc_90, converted_stat * 2, IF(bbgm_stat &gt;= perc_85, converted_stat * 1.5, converted_stat)))))</f>
        <v/>
      </c>
      <c r="L32" s="30" t="str">
        <f t="array" ref="L32">IF($A32="", "", LET(bbgm_stat, INDEX(Players!$A31:$P31, MATCH(L$2, Players!$A$1:$P$1, 0)), perc_75, VLOOKUP(L$2, Percentiles!$A$45:$I$59, 6, FALSE), perc_90, VLOOKUP(L$2, Percentiles!$A$45:$I$59, 7, FALSE), perc_95, VLOOKUP(L$2, Percentiles!$A$45:$I$59, 8, FALSE), perc_85, perc_75 + (perc_90 - perc_75) * (2/3), converted_stat, '2K_Ratings'!L32, IF(bbgm_stat &gt;= perc_95, converted_stat * 3, IF(bbgm_stat &gt;= perc_90, converted_stat * 2, IF(bbgm_stat &gt;= perc_85, converted_stat * 1.5, converted_stat)))))</f>
        <v/>
      </c>
      <c r="M32" s="30" t="str">
        <f t="array" ref="M32">IF($A32="", "", LET(bbgm_stat, INDEX(Players!$A31:$P31, MATCH(M$2, Players!$A$1:$P$1, 0)), perc_75, VLOOKUP(M$2, Percentiles!$A$45:$I$59, 6, FALSE), perc_90, VLOOKUP(M$2, Percentiles!$A$45:$I$59, 7, FALSE), perc_95, VLOOKUP(M$2, Percentiles!$A$45:$I$59, 8, FALSE), perc_85, perc_75 + (perc_90 - perc_75) * (2/3), converted_stat, '2K_Ratings'!M32, IF(bbgm_stat &gt;= perc_95, converted_stat * 3, IF(bbgm_stat &gt;= perc_90, converted_stat * 2, IF(bbgm_stat &gt;= perc_85, converted_stat * 1.5, converted_stat)))))</f>
        <v/>
      </c>
      <c r="N32" s="30" t="str">
        <f t="array" ref="N32">IF($A32="", "", LET(bbgm_stat, INDEX(Players!$A31:$P31, MATCH(N$2, Players!$A$1:$P$1, 0)), perc_75, VLOOKUP(N$2, Percentiles!$A$45:$I$59, 6, FALSE), perc_90, VLOOKUP(N$2, Percentiles!$A$45:$I$59, 7, FALSE), perc_95, VLOOKUP(N$2, Percentiles!$A$45:$I$59, 8, FALSE), perc_85, perc_75 + (perc_90 - perc_75) * (2/3), converted_stat, '2K_Ratings'!N32, IF(bbgm_stat &gt;= perc_95, converted_stat * 3, IF(bbgm_stat &gt;= perc_90, converted_stat * 2, IF(bbgm_stat &gt;= perc_85, converted_stat * 1.5, converted_stat)))))</f>
        <v/>
      </c>
      <c r="O32" s="30" t="str">
        <f t="array" ref="O32">IF($A32="", "", LET(bbgm_stat, INDEX(Players!$A31:$P31, MATCH(O$2, Players!$A$1:$P$1, 0)), perc_75, VLOOKUP(O$2, Percentiles!$A$45:$I$59, 6, FALSE), perc_90, VLOOKUP(O$2, Percentiles!$A$45:$I$59, 7, FALSE), perc_95, VLOOKUP(O$2, Percentiles!$A$45:$I$59, 8, FALSE), perc_85, perc_75 + (perc_90 - perc_75) * (2/3), converted_stat, '2K_Ratings'!O32, IF(bbgm_stat &gt;= perc_95, converted_stat * 3, IF(bbgm_stat &gt;= perc_90, converted_stat * 2, IF(bbgm_stat &gt;= perc_85, converted_stat * 1.5, converted_stat)))))</f>
        <v/>
      </c>
      <c r="P32" s="30" t="str">
        <f t="array" ref="P32">IF($A32="", "", LET(bbgm_stat, INDEX(Players!$A31:$P31, MATCH(P$2, Players!$A$1:$P$1, 0)), perc_75, VLOOKUP(P$2, Percentiles!$A$45:$I$59, 6, FALSE), perc_90, VLOOKUP(P$2, Percentiles!$A$45:$I$59, 7, FALSE), perc_95, VLOOKUP(P$2, Percentiles!$A$45:$I$59, 8, FALSE), perc_85, perc_75 + (perc_90 - perc_75) * (2/3), converted_stat, '2K_Ratings'!P32, IF(bbgm_stat &gt;= perc_95, converted_stat * 3, IF(bbgm_stat &gt;= perc_90, converted_stat * 2, IF(bbgm_stat &gt;= perc_85, converted_stat * 1.5, converted_stat)))))</f>
        <v/>
      </c>
      <c r="Q32" s="30" t="str">
        <f t="array" ref="Q32">IF($A32="", "", LET(bbgm_stat, INDEX(Players!$A31:$P31, MATCH(Q$2, Players!$A$1:$P$1, 0)), perc_75, VLOOKUP(Q$2, Percentiles!$A$45:$I$59, 6, FALSE), perc_90, VLOOKUP(Q$2, Percentiles!$A$45:$I$59, 7, FALSE), perc_95, VLOOKUP(Q$2, Percentiles!$A$45:$I$59, 8, FALSE), perc_85, perc_75 + (perc_90 - perc_75) * (2/3), converted_stat, '2K_Ratings'!Q32, IF(bbgm_stat &gt;= perc_95, converted_stat * 3, IF(bbgm_stat &gt;= perc_90, converted_stat * 2, IF(bbgm_stat &gt;= perc_85, converted_stat * 1.5, converted_stat)))))</f>
        <v/>
      </c>
      <c r="R32" s="30" t="str">
        <f t="array" ref="R32">IF($A32="", "", LET(bbgm_stat, INDEX(Players!$A31:$P31, MATCH(R$2, Players!$A$1:$P$1, 0)), perc_75, VLOOKUP(R$2, Percentiles!$A$45:$I$59, 6, FALSE), perc_90, VLOOKUP(R$2, Percentiles!$A$45:$I$59, 7, FALSE), perc_95, VLOOKUP(R$2, Percentiles!$A$45:$I$59, 8, FALSE), perc_85, perc_75 + (perc_90 - perc_75) * (2/3), converted_stat, '2K_Ratings'!R32, IF(bbgm_stat &gt;= perc_95, converted_stat * 3, IF(bbgm_stat &gt;= perc_90, converted_stat * 2, IF(bbgm_stat &gt;= perc_85, converted_stat * 1.5, converted_stat)))))</f>
        <v/>
      </c>
      <c r="S32" s="30" t="str">
        <f t="array" ref="S32">IF($A32="", "", LET(bbgm_stat, INDEX(Players!$A31:$P31, MATCH(S$2, Players!$A$1:$P$1, 0)), perc_75, VLOOKUP(S$2, Percentiles!$A$45:$I$59, 6, FALSE), perc_90, VLOOKUP(S$2, Percentiles!$A$45:$I$59, 7, FALSE), perc_95, VLOOKUP(S$2, Percentiles!$A$45:$I$59, 8, FALSE), perc_85, perc_75 + (perc_90 - perc_75) * (2/3), converted_stat, '2K_Ratings'!S32, IF(bbgm_stat &gt;= perc_95, converted_stat * 3, IF(bbgm_stat &gt;= perc_90, converted_stat * 2, IF(bbgm_stat &gt;= perc_85, converted_stat * 1.5, converted_stat)))))</f>
        <v/>
      </c>
      <c r="T32" s="30" t="str">
        <f t="array" ref="T32">IF($A32="", "", LET(bbgm_stat, INDEX(Players!$A31:$P31, MATCH(T$2, Players!$A$1:$P$1, 0)), perc_75, VLOOKUP(T$2, Percentiles!$A$45:$I$59, 6, FALSE), perc_90, VLOOKUP(T$2, Percentiles!$A$45:$I$59, 7, FALSE), perc_95, VLOOKUP(T$2, Percentiles!$A$45:$I$59, 8, FALSE), perc_85, perc_75 + (perc_90 - perc_75) * (2/3), converted_stat, '2K_Ratings'!T32, IF(bbgm_stat &gt;= perc_95, converted_stat * 3, IF(bbgm_stat &gt;= perc_90, converted_stat * 2, IF(bbgm_stat &gt;= perc_85, converted_stat * 1.5, converted_stat)))))</f>
        <v/>
      </c>
      <c r="U32" s="30" t="str">
        <f t="array" ref="U32">IF($A32="", "", LET(bbgm_stat, INDEX(Players!$A31:$P31, MATCH(U$2, Players!$A$1:$P$1, 0)), perc_75, VLOOKUP(U$2, Percentiles!$A$45:$I$59, 6, FALSE), perc_90, VLOOKUP(U$2, Percentiles!$A$45:$I$59, 7, FALSE), perc_95, VLOOKUP(U$2, Percentiles!$A$45:$I$59, 8, FALSE), perc_85, perc_75 + (perc_90 - perc_75) * (2/3), converted_stat, '2K_Ratings'!U32, IF(bbgm_stat &gt;= perc_95, converted_stat * 3, IF(bbgm_stat &gt;= perc_90, converted_stat * 2, IF(bbgm_stat &gt;= perc_85, converted_stat * 1.5, converted_stat)))))</f>
        <v/>
      </c>
      <c r="V32" s="30" t="str">
        <f t="array" ref="V32">IF($A32="", "", LET(bbgm_stat, INDEX(Players!$A31:$P31, MATCH(V$2, Players!$A$1:$P$1, 0)), perc_75, VLOOKUP(V$2, Percentiles!$A$45:$I$59, 6, FALSE), perc_90, VLOOKUP(V$2, Percentiles!$A$45:$I$59, 7, FALSE), perc_95, VLOOKUP(V$2, Percentiles!$A$45:$I$59, 8, FALSE), perc_85, perc_75 + (perc_90 - perc_75) * (2/3), converted_stat, '2K_Ratings'!V32, IF(bbgm_stat &gt;= perc_95, converted_stat * 3, IF(bbgm_stat &gt;= perc_90, converted_stat * 2, IF(bbgm_stat &gt;= perc_85, converted_stat * 1.5, converted_stat)))))</f>
        <v/>
      </c>
      <c r="W32" s="30" t="str">
        <f t="array" ref="W32">IF($A32="", "", LET(bbgm_stat, INDEX(Players!$A31:$P31, MATCH(W$2, Players!$A$1:$P$1, 0)), perc_75, VLOOKUP(W$2, Percentiles!$A$45:$I$59, 6, FALSE), perc_90, VLOOKUP(W$2, Percentiles!$A$45:$I$59, 7, FALSE), perc_95, VLOOKUP(W$2, Percentiles!$A$45:$I$59, 8, FALSE), perc_85, perc_75 + (perc_90 - perc_75) * (2/3), converted_stat, '2K_Ratings'!W32, IF(bbgm_stat &gt;= perc_95, converted_stat * 3, IF(bbgm_stat &gt;= perc_90, converted_stat * 2, IF(bbgm_stat &gt;= perc_85, converted_stat * 1.5, converted_stat)))))</f>
        <v/>
      </c>
    </row>
    <row r="33">
      <c r="A33" s="30" t="str">
        <f>IF(Players!A32="", "", Players!A32)</f>
        <v/>
      </c>
      <c r="B33" s="30" t="str">
        <f t="array" ref="B33">IF($A33="", "", LET(bbgm_stat, INDEX(Players!$A32:$P32, MATCH(B$2, Players!$A$1:$P$1, 0)), perc_75, VLOOKUP(B$2, Percentiles!$A$45:$I$59, 6, FALSE), perc_90, VLOOKUP(B$2, Percentiles!$A$45:$I$59, 7, FALSE), perc_95, VLOOKUP(B$2, Percentiles!$A$45:$I$59, 8, FALSE), perc_85, perc_75 + (perc_90 - perc_75) * (2/3), converted_stat, '2K_Ratings'!B33, IF(bbgm_stat &gt;= perc_95, converted_stat * 3, IF(bbgm_stat &gt;= perc_90, converted_stat * 2, IF(bbgm_stat &gt;= perc_85, converted_stat * 1.5, converted_stat)))))</f>
        <v/>
      </c>
      <c r="C33" s="30" t="str">
        <f t="array" ref="C33">IF($A33="", "", LET(bbgm_stat, INDEX(Players!$A32:$P32, MATCH(C$2, Players!$A$1:$P$1, 0)), perc_75, VLOOKUP(C$2, Percentiles!$A$45:$I$59, 6, FALSE), perc_90, VLOOKUP(C$2, Percentiles!$A$45:$I$59, 7, FALSE), perc_95, VLOOKUP(C$2, Percentiles!$A$45:$I$59, 8, FALSE), perc_85, perc_75 + (perc_90 - perc_75) * (2/3), converted_stat, '2K_Ratings'!C33, IF(bbgm_stat &gt;= perc_95, converted_stat * 3, IF(bbgm_stat &gt;= perc_90, converted_stat * 2, IF(bbgm_stat &gt;= perc_85, converted_stat * 1.5, converted_stat)))))</f>
        <v/>
      </c>
      <c r="D33" s="30" t="str">
        <f t="array" ref="D33">IF($A33="", "", LET(bbgm_stat, INDEX(Players!$A32:$P32, MATCH(D$2, Players!$A$1:$P$1, 0)), perc_75, VLOOKUP(D$2, Percentiles!$A$45:$I$59, 6, FALSE), perc_90, VLOOKUP(D$2, Percentiles!$A$45:$I$59, 7, FALSE), perc_95, VLOOKUP(D$2, Percentiles!$A$45:$I$59, 8, FALSE), perc_85, perc_75 + (perc_90 - perc_75) * (2/3), converted_stat, '2K_Ratings'!D33, IF(bbgm_stat &gt;= perc_95, converted_stat * 3, IF(bbgm_stat &gt;= perc_90, converted_stat * 2, IF(bbgm_stat &gt;= perc_85, converted_stat * 1.5, converted_stat)))))</f>
        <v/>
      </c>
      <c r="E33" s="30" t="str">
        <f t="array" ref="E33">IF($A33="", "", LET(bbgm_stat, INDEX(Players!$A32:$P32, MATCH(E$2, Players!$A$1:$P$1, 0)), perc_75, VLOOKUP(E$2, Percentiles!$A$45:$I$59, 6, FALSE), perc_90, VLOOKUP(E$2, Percentiles!$A$45:$I$59, 7, FALSE), perc_95, VLOOKUP(E$2, Percentiles!$A$45:$I$59, 8, FALSE), perc_85, perc_75 + (perc_90 - perc_75) * (2/3), converted_stat, '2K_Ratings'!E33, IF(bbgm_stat &gt;= perc_95, converted_stat * 3, IF(bbgm_stat &gt;= perc_90, converted_stat * 2, IF(bbgm_stat &gt;= perc_85, converted_stat * 1.5, converted_stat)))))</f>
        <v/>
      </c>
      <c r="F33" s="30" t="str">
        <f t="array" ref="F33">IF($A33="", "", LET(bbgm_stat, INDEX(Players!$A32:$P32, MATCH(F$2, Players!$A$1:$P$1, 0)), perc_75, VLOOKUP(F$2, Percentiles!$A$45:$I$59, 6, FALSE), perc_90, VLOOKUP(F$2, Percentiles!$A$45:$I$59, 7, FALSE), perc_95, VLOOKUP(F$2, Percentiles!$A$45:$I$59, 8, FALSE), perc_85, perc_75 + (perc_90 - perc_75) * (2/3), converted_stat, '2K_Ratings'!F33, IF(bbgm_stat &gt;= perc_95, converted_stat * 3, IF(bbgm_stat &gt;= perc_90, converted_stat * 2, IF(bbgm_stat &gt;= perc_85, converted_stat * 1.5, converted_stat)))))</f>
        <v/>
      </c>
      <c r="G33" s="30" t="str">
        <f t="array" ref="G33">IF($A33="", "", LET(bbgm_stat, INDEX(Players!$A32:$P32, MATCH(G$2, Players!$A$1:$P$1, 0)), perc_75, VLOOKUP(G$2, Percentiles!$A$45:$I$59, 6, FALSE), perc_90, VLOOKUP(G$2, Percentiles!$A$45:$I$59, 7, FALSE), perc_95, VLOOKUP(G$2, Percentiles!$A$45:$I$59, 8, FALSE), perc_85, perc_75 + (perc_90 - perc_75) * (2/3), converted_stat, '2K_Ratings'!G33, IF(bbgm_stat &gt;= perc_95, converted_stat * 3, IF(bbgm_stat &gt;= perc_90, converted_stat * 2, IF(bbgm_stat &gt;= perc_85, converted_stat * 1.5, converted_stat)))))</f>
        <v/>
      </c>
      <c r="H33" s="30" t="str">
        <f t="array" ref="H33">IF($A33="", "", LET(bbgm_stat, INDEX(Players!$A32:$P32, MATCH(H$2, Players!$A$1:$P$1, 0)), perc_75, VLOOKUP(H$2, Percentiles!$A$45:$I$59, 6, FALSE), perc_90, VLOOKUP(H$2, Percentiles!$A$45:$I$59, 7, FALSE), perc_95, VLOOKUP(H$2, Percentiles!$A$45:$I$59, 8, FALSE), perc_85, perc_75 + (perc_90 - perc_75) * (2/3), converted_stat, '2K_Ratings'!H33, IF(bbgm_stat &gt;= perc_95, converted_stat * 3, IF(bbgm_stat &gt;= perc_90, converted_stat * 2, IF(bbgm_stat &gt;= perc_85, converted_stat * 1.5, converted_stat)))))</f>
        <v/>
      </c>
      <c r="I33" s="30" t="str">
        <f t="array" ref="I33">IF($A33="", "", LET(bbgm_stat, INDEX(Players!$A32:$P32, MATCH(I$2, Players!$A$1:$P$1, 0)), perc_75, VLOOKUP(I$2, Percentiles!$A$45:$I$59, 6, FALSE), perc_90, VLOOKUP(I$2, Percentiles!$A$45:$I$59, 7, FALSE), perc_95, VLOOKUP(I$2, Percentiles!$A$45:$I$59, 8, FALSE), perc_85, perc_75 + (perc_90 - perc_75) * (2/3), converted_stat, '2K_Ratings'!I33, IF(bbgm_stat &gt;= perc_95, converted_stat * 3, IF(bbgm_stat &gt;= perc_90, converted_stat * 2, IF(bbgm_stat &gt;= perc_85, converted_stat * 1.5, converted_stat)))))</f>
        <v/>
      </c>
      <c r="J33" s="30" t="str">
        <f t="array" ref="J33">IF($A33="", "", LET(bbgm_stat, INDEX(Players!$A32:$P32, MATCH(J$2, Players!$A$1:$P$1, 0)), perc_75, VLOOKUP(J$2, Percentiles!$A$45:$I$59, 6, FALSE), perc_90, VLOOKUP(J$2, Percentiles!$A$45:$I$59, 7, FALSE), perc_95, VLOOKUP(J$2, Percentiles!$A$45:$I$59, 8, FALSE), perc_85, perc_75 + (perc_90 - perc_75) * (2/3), converted_stat, '2K_Ratings'!J33, IF(bbgm_stat &gt;= perc_95, converted_stat * 3, IF(bbgm_stat &gt;= perc_90, converted_stat * 2, IF(bbgm_stat &gt;= perc_85, converted_stat * 1.5, converted_stat)))))</f>
        <v/>
      </c>
      <c r="K33" s="30" t="str">
        <f t="array" ref="K33">IF($A33="", "", LET(bbgm_stat, INDEX(Players!$A32:$P32, MATCH(K$2, Players!$A$1:$P$1, 0)), perc_75, VLOOKUP(K$2, Percentiles!$A$45:$I$59, 6, FALSE), perc_90, VLOOKUP(K$2, Percentiles!$A$45:$I$59, 7, FALSE), perc_95, VLOOKUP(K$2, Percentiles!$A$45:$I$59, 8, FALSE), perc_85, perc_75 + (perc_90 - perc_75) * (2/3), converted_stat, '2K_Ratings'!K33, IF(bbgm_stat &gt;= perc_95, converted_stat * 3, IF(bbgm_stat &gt;= perc_90, converted_stat * 2, IF(bbgm_stat &gt;= perc_85, converted_stat * 1.5, converted_stat)))))</f>
        <v/>
      </c>
      <c r="L33" s="30" t="str">
        <f t="array" ref="L33">IF($A33="", "", LET(bbgm_stat, INDEX(Players!$A32:$P32, MATCH(L$2, Players!$A$1:$P$1, 0)), perc_75, VLOOKUP(L$2, Percentiles!$A$45:$I$59, 6, FALSE), perc_90, VLOOKUP(L$2, Percentiles!$A$45:$I$59, 7, FALSE), perc_95, VLOOKUP(L$2, Percentiles!$A$45:$I$59, 8, FALSE), perc_85, perc_75 + (perc_90 - perc_75) * (2/3), converted_stat, '2K_Ratings'!L33, IF(bbgm_stat &gt;= perc_95, converted_stat * 3, IF(bbgm_stat &gt;= perc_90, converted_stat * 2, IF(bbgm_stat &gt;= perc_85, converted_stat * 1.5, converted_stat)))))</f>
        <v/>
      </c>
      <c r="M33" s="30" t="str">
        <f t="array" ref="M33">IF($A33="", "", LET(bbgm_stat, INDEX(Players!$A32:$P32, MATCH(M$2, Players!$A$1:$P$1, 0)), perc_75, VLOOKUP(M$2, Percentiles!$A$45:$I$59, 6, FALSE), perc_90, VLOOKUP(M$2, Percentiles!$A$45:$I$59, 7, FALSE), perc_95, VLOOKUP(M$2, Percentiles!$A$45:$I$59, 8, FALSE), perc_85, perc_75 + (perc_90 - perc_75) * (2/3), converted_stat, '2K_Ratings'!M33, IF(bbgm_stat &gt;= perc_95, converted_stat * 3, IF(bbgm_stat &gt;= perc_90, converted_stat * 2, IF(bbgm_stat &gt;= perc_85, converted_stat * 1.5, converted_stat)))))</f>
        <v/>
      </c>
      <c r="N33" s="30" t="str">
        <f t="array" ref="N33">IF($A33="", "", LET(bbgm_stat, INDEX(Players!$A32:$P32, MATCH(N$2, Players!$A$1:$P$1, 0)), perc_75, VLOOKUP(N$2, Percentiles!$A$45:$I$59, 6, FALSE), perc_90, VLOOKUP(N$2, Percentiles!$A$45:$I$59, 7, FALSE), perc_95, VLOOKUP(N$2, Percentiles!$A$45:$I$59, 8, FALSE), perc_85, perc_75 + (perc_90 - perc_75) * (2/3), converted_stat, '2K_Ratings'!N33, IF(bbgm_stat &gt;= perc_95, converted_stat * 3, IF(bbgm_stat &gt;= perc_90, converted_stat * 2, IF(bbgm_stat &gt;= perc_85, converted_stat * 1.5, converted_stat)))))</f>
        <v/>
      </c>
      <c r="O33" s="30" t="str">
        <f t="array" ref="O33">IF($A33="", "", LET(bbgm_stat, INDEX(Players!$A32:$P32, MATCH(O$2, Players!$A$1:$P$1, 0)), perc_75, VLOOKUP(O$2, Percentiles!$A$45:$I$59, 6, FALSE), perc_90, VLOOKUP(O$2, Percentiles!$A$45:$I$59, 7, FALSE), perc_95, VLOOKUP(O$2, Percentiles!$A$45:$I$59, 8, FALSE), perc_85, perc_75 + (perc_90 - perc_75) * (2/3), converted_stat, '2K_Ratings'!O33, IF(bbgm_stat &gt;= perc_95, converted_stat * 3, IF(bbgm_stat &gt;= perc_90, converted_stat * 2, IF(bbgm_stat &gt;= perc_85, converted_stat * 1.5, converted_stat)))))</f>
        <v/>
      </c>
      <c r="P33" s="30" t="str">
        <f t="array" ref="P33">IF($A33="", "", LET(bbgm_stat, INDEX(Players!$A32:$P32, MATCH(P$2, Players!$A$1:$P$1, 0)), perc_75, VLOOKUP(P$2, Percentiles!$A$45:$I$59, 6, FALSE), perc_90, VLOOKUP(P$2, Percentiles!$A$45:$I$59, 7, FALSE), perc_95, VLOOKUP(P$2, Percentiles!$A$45:$I$59, 8, FALSE), perc_85, perc_75 + (perc_90 - perc_75) * (2/3), converted_stat, '2K_Ratings'!P33, IF(bbgm_stat &gt;= perc_95, converted_stat * 3, IF(bbgm_stat &gt;= perc_90, converted_stat * 2, IF(bbgm_stat &gt;= perc_85, converted_stat * 1.5, converted_stat)))))</f>
        <v/>
      </c>
      <c r="Q33" s="30" t="str">
        <f t="array" ref="Q33">IF($A33="", "", LET(bbgm_stat, INDEX(Players!$A32:$P32, MATCH(Q$2, Players!$A$1:$P$1, 0)), perc_75, VLOOKUP(Q$2, Percentiles!$A$45:$I$59, 6, FALSE), perc_90, VLOOKUP(Q$2, Percentiles!$A$45:$I$59, 7, FALSE), perc_95, VLOOKUP(Q$2, Percentiles!$A$45:$I$59, 8, FALSE), perc_85, perc_75 + (perc_90 - perc_75) * (2/3), converted_stat, '2K_Ratings'!Q33, IF(bbgm_stat &gt;= perc_95, converted_stat * 3, IF(bbgm_stat &gt;= perc_90, converted_stat * 2, IF(bbgm_stat &gt;= perc_85, converted_stat * 1.5, converted_stat)))))</f>
        <v/>
      </c>
      <c r="R33" s="30" t="str">
        <f t="array" ref="R33">IF($A33="", "", LET(bbgm_stat, INDEX(Players!$A32:$P32, MATCH(R$2, Players!$A$1:$P$1, 0)), perc_75, VLOOKUP(R$2, Percentiles!$A$45:$I$59, 6, FALSE), perc_90, VLOOKUP(R$2, Percentiles!$A$45:$I$59, 7, FALSE), perc_95, VLOOKUP(R$2, Percentiles!$A$45:$I$59, 8, FALSE), perc_85, perc_75 + (perc_90 - perc_75) * (2/3), converted_stat, '2K_Ratings'!R33, IF(bbgm_stat &gt;= perc_95, converted_stat * 3, IF(bbgm_stat &gt;= perc_90, converted_stat * 2, IF(bbgm_stat &gt;= perc_85, converted_stat * 1.5, converted_stat)))))</f>
        <v/>
      </c>
      <c r="S33" s="30" t="str">
        <f t="array" ref="S33">IF($A33="", "", LET(bbgm_stat, INDEX(Players!$A32:$P32, MATCH(S$2, Players!$A$1:$P$1, 0)), perc_75, VLOOKUP(S$2, Percentiles!$A$45:$I$59, 6, FALSE), perc_90, VLOOKUP(S$2, Percentiles!$A$45:$I$59, 7, FALSE), perc_95, VLOOKUP(S$2, Percentiles!$A$45:$I$59, 8, FALSE), perc_85, perc_75 + (perc_90 - perc_75) * (2/3), converted_stat, '2K_Ratings'!S33, IF(bbgm_stat &gt;= perc_95, converted_stat * 3, IF(bbgm_stat &gt;= perc_90, converted_stat * 2, IF(bbgm_stat &gt;= perc_85, converted_stat * 1.5, converted_stat)))))</f>
        <v/>
      </c>
      <c r="T33" s="30" t="str">
        <f t="array" ref="T33">IF($A33="", "", LET(bbgm_stat, INDEX(Players!$A32:$P32, MATCH(T$2, Players!$A$1:$P$1, 0)), perc_75, VLOOKUP(T$2, Percentiles!$A$45:$I$59, 6, FALSE), perc_90, VLOOKUP(T$2, Percentiles!$A$45:$I$59, 7, FALSE), perc_95, VLOOKUP(T$2, Percentiles!$A$45:$I$59, 8, FALSE), perc_85, perc_75 + (perc_90 - perc_75) * (2/3), converted_stat, '2K_Ratings'!T33, IF(bbgm_stat &gt;= perc_95, converted_stat * 3, IF(bbgm_stat &gt;= perc_90, converted_stat * 2, IF(bbgm_stat &gt;= perc_85, converted_stat * 1.5, converted_stat)))))</f>
        <v/>
      </c>
      <c r="U33" s="30" t="str">
        <f t="array" ref="U33">IF($A33="", "", LET(bbgm_stat, INDEX(Players!$A32:$P32, MATCH(U$2, Players!$A$1:$P$1, 0)), perc_75, VLOOKUP(U$2, Percentiles!$A$45:$I$59, 6, FALSE), perc_90, VLOOKUP(U$2, Percentiles!$A$45:$I$59, 7, FALSE), perc_95, VLOOKUP(U$2, Percentiles!$A$45:$I$59, 8, FALSE), perc_85, perc_75 + (perc_90 - perc_75) * (2/3), converted_stat, '2K_Ratings'!U33, IF(bbgm_stat &gt;= perc_95, converted_stat * 3, IF(bbgm_stat &gt;= perc_90, converted_stat * 2, IF(bbgm_stat &gt;= perc_85, converted_stat * 1.5, converted_stat)))))</f>
        <v/>
      </c>
      <c r="V33" s="30" t="str">
        <f t="array" ref="V33">IF($A33="", "", LET(bbgm_stat, INDEX(Players!$A32:$P32, MATCH(V$2, Players!$A$1:$P$1, 0)), perc_75, VLOOKUP(V$2, Percentiles!$A$45:$I$59, 6, FALSE), perc_90, VLOOKUP(V$2, Percentiles!$A$45:$I$59, 7, FALSE), perc_95, VLOOKUP(V$2, Percentiles!$A$45:$I$59, 8, FALSE), perc_85, perc_75 + (perc_90 - perc_75) * (2/3), converted_stat, '2K_Ratings'!V33, IF(bbgm_stat &gt;= perc_95, converted_stat * 3, IF(bbgm_stat &gt;= perc_90, converted_stat * 2, IF(bbgm_stat &gt;= perc_85, converted_stat * 1.5, converted_stat)))))</f>
        <v/>
      </c>
      <c r="W33" s="30" t="str">
        <f t="array" ref="W33">IF($A33="", "", LET(bbgm_stat, INDEX(Players!$A32:$P32, MATCH(W$2, Players!$A$1:$P$1, 0)), perc_75, VLOOKUP(W$2, Percentiles!$A$45:$I$59, 6, FALSE), perc_90, VLOOKUP(W$2, Percentiles!$A$45:$I$59, 7, FALSE), perc_95, VLOOKUP(W$2, Percentiles!$A$45:$I$59, 8, FALSE), perc_85, perc_75 + (perc_90 - perc_75) * (2/3), converted_stat, '2K_Ratings'!W33, IF(bbgm_stat &gt;= perc_95, converted_stat * 3, IF(bbgm_stat &gt;= perc_90, converted_stat * 2, IF(bbgm_stat &gt;= perc_85, converted_stat * 1.5, converted_stat)))))</f>
        <v/>
      </c>
    </row>
    <row r="34">
      <c r="A34" s="30" t="str">
        <f>IF(Players!A33="", "", Players!A33)</f>
        <v/>
      </c>
      <c r="B34" s="30" t="str">
        <f t="array" ref="B34">IF($A34="", "", LET(bbgm_stat, INDEX(Players!$A33:$P33, MATCH(B$2, Players!$A$1:$P$1, 0)), perc_75, VLOOKUP(B$2, Percentiles!$A$45:$I$59, 6, FALSE), perc_90, VLOOKUP(B$2, Percentiles!$A$45:$I$59, 7, FALSE), perc_95, VLOOKUP(B$2, Percentiles!$A$45:$I$59, 8, FALSE), perc_85, perc_75 + (perc_90 - perc_75) * (2/3), converted_stat, '2K_Ratings'!B34, IF(bbgm_stat &gt;= perc_95, converted_stat * 3, IF(bbgm_stat &gt;= perc_90, converted_stat * 2, IF(bbgm_stat &gt;= perc_85, converted_stat * 1.5, converted_stat)))))</f>
        <v/>
      </c>
      <c r="C34" s="30" t="str">
        <f t="array" ref="C34">IF($A34="", "", LET(bbgm_stat, INDEX(Players!$A33:$P33, MATCH(C$2, Players!$A$1:$P$1, 0)), perc_75, VLOOKUP(C$2, Percentiles!$A$45:$I$59, 6, FALSE), perc_90, VLOOKUP(C$2, Percentiles!$A$45:$I$59, 7, FALSE), perc_95, VLOOKUP(C$2, Percentiles!$A$45:$I$59, 8, FALSE), perc_85, perc_75 + (perc_90 - perc_75) * (2/3), converted_stat, '2K_Ratings'!C34, IF(bbgm_stat &gt;= perc_95, converted_stat * 3, IF(bbgm_stat &gt;= perc_90, converted_stat * 2, IF(bbgm_stat &gt;= perc_85, converted_stat * 1.5, converted_stat)))))</f>
        <v/>
      </c>
      <c r="D34" s="30" t="str">
        <f t="array" ref="D34">IF($A34="", "", LET(bbgm_stat, INDEX(Players!$A33:$P33, MATCH(D$2, Players!$A$1:$P$1, 0)), perc_75, VLOOKUP(D$2, Percentiles!$A$45:$I$59, 6, FALSE), perc_90, VLOOKUP(D$2, Percentiles!$A$45:$I$59, 7, FALSE), perc_95, VLOOKUP(D$2, Percentiles!$A$45:$I$59, 8, FALSE), perc_85, perc_75 + (perc_90 - perc_75) * (2/3), converted_stat, '2K_Ratings'!D34, IF(bbgm_stat &gt;= perc_95, converted_stat * 3, IF(bbgm_stat &gt;= perc_90, converted_stat * 2, IF(bbgm_stat &gt;= perc_85, converted_stat * 1.5, converted_stat)))))</f>
        <v/>
      </c>
      <c r="E34" s="30" t="str">
        <f t="array" ref="E34">IF($A34="", "", LET(bbgm_stat, INDEX(Players!$A33:$P33, MATCH(E$2, Players!$A$1:$P$1, 0)), perc_75, VLOOKUP(E$2, Percentiles!$A$45:$I$59, 6, FALSE), perc_90, VLOOKUP(E$2, Percentiles!$A$45:$I$59, 7, FALSE), perc_95, VLOOKUP(E$2, Percentiles!$A$45:$I$59, 8, FALSE), perc_85, perc_75 + (perc_90 - perc_75) * (2/3), converted_stat, '2K_Ratings'!E34, IF(bbgm_stat &gt;= perc_95, converted_stat * 3, IF(bbgm_stat &gt;= perc_90, converted_stat * 2, IF(bbgm_stat &gt;= perc_85, converted_stat * 1.5, converted_stat)))))</f>
        <v/>
      </c>
      <c r="F34" s="30" t="str">
        <f t="array" ref="F34">IF($A34="", "", LET(bbgm_stat, INDEX(Players!$A33:$P33, MATCH(F$2, Players!$A$1:$P$1, 0)), perc_75, VLOOKUP(F$2, Percentiles!$A$45:$I$59, 6, FALSE), perc_90, VLOOKUP(F$2, Percentiles!$A$45:$I$59, 7, FALSE), perc_95, VLOOKUP(F$2, Percentiles!$A$45:$I$59, 8, FALSE), perc_85, perc_75 + (perc_90 - perc_75) * (2/3), converted_stat, '2K_Ratings'!F34, IF(bbgm_stat &gt;= perc_95, converted_stat * 3, IF(bbgm_stat &gt;= perc_90, converted_stat * 2, IF(bbgm_stat &gt;= perc_85, converted_stat * 1.5, converted_stat)))))</f>
        <v/>
      </c>
      <c r="G34" s="30" t="str">
        <f t="array" ref="G34">IF($A34="", "", LET(bbgm_stat, INDEX(Players!$A33:$P33, MATCH(G$2, Players!$A$1:$P$1, 0)), perc_75, VLOOKUP(G$2, Percentiles!$A$45:$I$59, 6, FALSE), perc_90, VLOOKUP(G$2, Percentiles!$A$45:$I$59, 7, FALSE), perc_95, VLOOKUP(G$2, Percentiles!$A$45:$I$59, 8, FALSE), perc_85, perc_75 + (perc_90 - perc_75) * (2/3), converted_stat, '2K_Ratings'!G34, IF(bbgm_stat &gt;= perc_95, converted_stat * 3, IF(bbgm_stat &gt;= perc_90, converted_stat * 2, IF(bbgm_stat &gt;= perc_85, converted_stat * 1.5, converted_stat)))))</f>
        <v/>
      </c>
      <c r="H34" s="30" t="str">
        <f t="array" ref="H34">IF($A34="", "", LET(bbgm_stat, INDEX(Players!$A33:$P33, MATCH(H$2, Players!$A$1:$P$1, 0)), perc_75, VLOOKUP(H$2, Percentiles!$A$45:$I$59, 6, FALSE), perc_90, VLOOKUP(H$2, Percentiles!$A$45:$I$59, 7, FALSE), perc_95, VLOOKUP(H$2, Percentiles!$A$45:$I$59, 8, FALSE), perc_85, perc_75 + (perc_90 - perc_75) * (2/3), converted_stat, '2K_Ratings'!H34, IF(bbgm_stat &gt;= perc_95, converted_stat * 3, IF(bbgm_stat &gt;= perc_90, converted_stat * 2, IF(bbgm_stat &gt;= perc_85, converted_stat * 1.5, converted_stat)))))</f>
        <v/>
      </c>
      <c r="I34" s="30" t="str">
        <f t="array" ref="I34">IF($A34="", "", LET(bbgm_stat, INDEX(Players!$A33:$P33, MATCH(I$2, Players!$A$1:$P$1, 0)), perc_75, VLOOKUP(I$2, Percentiles!$A$45:$I$59, 6, FALSE), perc_90, VLOOKUP(I$2, Percentiles!$A$45:$I$59, 7, FALSE), perc_95, VLOOKUP(I$2, Percentiles!$A$45:$I$59, 8, FALSE), perc_85, perc_75 + (perc_90 - perc_75) * (2/3), converted_stat, '2K_Ratings'!I34, IF(bbgm_stat &gt;= perc_95, converted_stat * 3, IF(bbgm_stat &gt;= perc_90, converted_stat * 2, IF(bbgm_stat &gt;= perc_85, converted_stat * 1.5, converted_stat)))))</f>
        <v/>
      </c>
      <c r="J34" s="30" t="str">
        <f t="array" ref="J34">IF($A34="", "", LET(bbgm_stat, INDEX(Players!$A33:$P33, MATCH(J$2, Players!$A$1:$P$1, 0)), perc_75, VLOOKUP(J$2, Percentiles!$A$45:$I$59, 6, FALSE), perc_90, VLOOKUP(J$2, Percentiles!$A$45:$I$59, 7, FALSE), perc_95, VLOOKUP(J$2, Percentiles!$A$45:$I$59, 8, FALSE), perc_85, perc_75 + (perc_90 - perc_75) * (2/3), converted_stat, '2K_Ratings'!J34, IF(bbgm_stat &gt;= perc_95, converted_stat * 3, IF(bbgm_stat &gt;= perc_90, converted_stat * 2, IF(bbgm_stat &gt;= perc_85, converted_stat * 1.5, converted_stat)))))</f>
        <v/>
      </c>
      <c r="K34" s="30" t="str">
        <f t="array" ref="K34">IF($A34="", "", LET(bbgm_stat, INDEX(Players!$A33:$P33, MATCH(K$2, Players!$A$1:$P$1, 0)), perc_75, VLOOKUP(K$2, Percentiles!$A$45:$I$59, 6, FALSE), perc_90, VLOOKUP(K$2, Percentiles!$A$45:$I$59, 7, FALSE), perc_95, VLOOKUP(K$2, Percentiles!$A$45:$I$59, 8, FALSE), perc_85, perc_75 + (perc_90 - perc_75) * (2/3), converted_stat, '2K_Ratings'!K34, IF(bbgm_stat &gt;= perc_95, converted_stat * 3, IF(bbgm_stat &gt;= perc_90, converted_stat * 2, IF(bbgm_stat &gt;= perc_85, converted_stat * 1.5, converted_stat)))))</f>
        <v/>
      </c>
      <c r="L34" s="30" t="str">
        <f t="array" ref="L34">IF($A34="", "", LET(bbgm_stat, INDEX(Players!$A33:$P33, MATCH(L$2, Players!$A$1:$P$1, 0)), perc_75, VLOOKUP(L$2, Percentiles!$A$45:$I$59, 6, FALSE), perc_90, VLOOKUP(L$2, Percentiles!$A$45:$I$59, 7, FALSE), perc_95, VLOOKUP(L$2, Percentiles!$A$45:$I$59, 8, FALSE), perc_85, perc_75 + (perc_90 - perc_75) * (2/3), converted_stat, '2K_Ratings'!L34, IF(bbgm_stat &gt;= perc_95, converted_stat * 3, IF(bbgm_stat &gt;= perc_90, converted_stat * 2, IF(bbgm_stat &gt;= perc_85, converted_stat * 1.5, converted_stat)))))</f>
        <v/>
      </c>
      <c r="M34" s="30" t="str">
        <f t="array" ref="M34">IF($A34="", "", LET(bbgm_stat, INDEX(Players!$A33:$P33, MATCH(M$2, Players!$A$1:$P$1, 0)), perc_75, VLOOKUP(M$2, Percentiles!$A$45:$I$59, 6, FALSE), perc_90, VLOOKUP(M$2, Percentiles!$A$45:$I$59, 7, FALSE), perc_95, VLOOKUP(M$2, Percentiles!$A$45:$I$59, 8, FALSE), perc_85, perc_75 + (perc_90 - perc_75) * (2/3), converted_stat, '2K_Ratings'!M34, IF(bbgm_stat &gt;= perc_95, converted_stat * 3, IF(bbgm_stat &gt;= perc_90, converted_stat * 2, IF(bbgm_stat &gt;= perc_85, converted_stat * 1.5, converted_stat)))))</f>
        <v/>
      </c>
      <c r="N34" s="30" t="str">
        <f t="array" ref="N34">IF($A34="", "", LET(bbgm_stat, INDEX(Players!$A33:$P33, MATCH(N$2, Players!$A$1:$P$1, 0)), perc_75, VLOOKUP(N$2, Percentiles!$A$45:$I$59, 6, FALSE), perc_90, VLOOKUP(N$2, Percentiles!$A$45:$I$59, 7, FALSE), perc_95, VLOOKUP(N$2, Percentiles!$A$45:$I$59, 8, FALSE), perc_85, perc_75 + (perc_90 - perc_75) * (2/3), converted_stat, '2K_Ratings'!N34, IF(bbgm_stat &gt;= perc_95, converted_stat * 3, IF(bbgm_stat &gt;= perc_90, converted_stat * 2, IF(bbgm_stat &gt;= perc_85, converted_stat * 1.5, converted_stat)))))</f>
        <v/>
      </c>
      <c r="O34" s="30" t="str">
        <f t="array" ref="O34">IF($A34="", "", LET(bbgm_stat, INDEX(Players!$A33:$P33, MATCH(O$2, Players!$A$1:$P$1, 0)), perc_75, VLOOKUP(O$2, Percentiles!$A$45:$I$59, 6, FALSE), perc_90, VLOOKUP(O$2, Percentiles!$A$45:$I$59, 7, FALSE), perc_95, VLOOKUP(O$2, Percentiles!$A$45:$I$59, 8, FALSE), perc_85, perc_75 + (perc_90 - perc_75) * (2/3), converted_stat, '2K_Ratings'!O34, IF(bbgm_stat &gt;= perc_95, converted_stat * 3, IF(bbgm_stat &gt;= perc_90, converted_stat * 2, IF(bbgm_stat &gt;= perc_85, converted_stat * 1.5, converted_stat)))))</f>
        <v/>
      </c>
      <c r="P34" s="30" t="str">
        <f t="array" ref="P34">IF($A34="", "", LET(bbgm_stat, INDEX(Players!$A33:$P33, MATCH(P$2, Players!$A$1:$P$1, 0)), perc_75, VLOOKUP(P$2, Percentiles!$A$45:$I$59, 6, FALSE), perc_90, VLOOKUP(P$2, Percentiles!$A$45:$I$59, 7, FALSE), perc_95, VLOOKUP(P$2, Percentiles!$A$45:$I$59, 8, FALSE), perc_85, perc_75 + (perc_90 - perc_75) * (2/3), converted_stat, '2K_Ratings'!P34, IF(bbgm_stat &gt;= perc_95, converted_stat * 3, IF(bbgm_stat &gt;= perc_90, converted_stat * 2, IF(bbgm_stat &gt;= perc_85, converted_stat * 1.5, converted_stat)))))</f>
        <v/>
      </c>
      <c r="Q34" s="30" t="str">
        <f t="array" ref="Q34">IF($A34="", "", LET(bbgm_stat, INDEX(Players!$A33:$P33, MATCH(Q$2, Players!$A$1:$P$1, 0)), perc_75, VLOOKUP(Q$2, Percentiles!$A$45:$I$59, 6, FALSE), perc_90, VLOOKUP(Q$2, Percentiles!$A$45:$I$59, 7, FALSE), perc_95, VLOOKUP(Q$2, Percentiles!$A$45:$I$59, 8, FALSE), perc_85, perc_75 + (perc_90 - perc_75) * (2/3), converted_stat, '2K_Ratings'!Q34, IF(bbgm_stat &gt;= perc_95, converted_stat * 3, IF(bbgm_stat &gt;= perc_90, converted_stat * 2, IF(bbgm_stat &gt;= perc_85, converted_stat * 1.5, converted_stat)))))</f>
        <v/>
      </c>
      <c r="R34" s="30" t="str">
        <f t="array" ref="R34">IF($A34="", "", LET(bbgm_stat, INDEX(Players!$A33:$P33, MATCH(R$2, Players!$A$1:$P$1, 0)), perc_75, VLOOKUP(R$2, Percentiles!$A$45:$I$59, 6, FALSE), perc_90, VLOOKUP(R$2, Percentiles!$A$45:$I$59, 7, FALSE), perc_95, VLOOKUP(R$2, Percentiles!$A$45:$I$59, 8, FALSE), perc_85, perc_75 + (perc_90 - perc_75) * (2/3), converted_stat, '2K_Ratings'!R34, IF(bbgm_stat &gt;= perc_95, converted_stat * 3, IF(bbgm_stat &gt;= perc_90, converted_stat * 2, IF(bbgm_stat &gt;= perc_85, converted_stat * 1.5, converted_stat)))))</f>
        <v/>
      </c>
      <c r="S34" s="30" t="str">
        <f t="array" ref="S34">IF($A34="", "", LET(bbgm_stat, INDEX(Players!$A33:$P33, MATCH(S$2, Players!$A$1:$P$1, 0)), perc_75, VLOOKUP(S$2, Percentiles!$A$45:$I$59, 6, FALSE), perc_90, VLOOKUP(S$2, Percentiles!$A$45:$I$59, 7, FALSE), perc_95, VLOOKUP(S$2, Percentiles!$A$45:$I$59, 8, FALSE), perc_85, perc_75 + (perc_90 - perc_75) * (2/3), converted_stat, '2K_Ratings'!S34, IF(bbgm_stat &gt;= perc_95, converted_stat * 3, IF(bbgm_stat &gt;= perc_90, converted_stat * 2, IF(bbgm_stat &gt;= perc_85, converted_stat * 1.5, converted_stat)))))</f>
        <v/>
      </c>
      <c r="T34" s="30" t="str">
        <f t="array" ref="T34">IF($A34="", "", LET(bbgm_stat, INDEX(Players!$A33:$P33, MATCH(T$2, Players!$A$1:$P$1, 0)), perc_75, VLOOKUP(T$2, Percentiles!$A$45:$I$59, 6, FALSE), perc_90, VLOOKUP(T$2, Percentiles!$A$45:$I$59, 7, FALSE), perc_95, VLOOKUP(T$2, Percentiles!$A$45:$I$59, 8, FALSE), perc_85, perc_75 + (perc_90 - perc_75) * (2/3), converted_stat, '2K_Ratings'!T34, IF(bbgm_stat &gt;= perc_95, converted_stat * 3, IF(bbgm_stat &gt;= perc_90, converted_stat * 2, IF(bbgm_stat &gt;= perc_85, converted_stat * 1.5, converted_stat)))))</f>
        <v/>
      </c>
      <c r="U34" s="30" t="str">
        <f t="array" ref="U34">IF($A34="", "", LET(bbgm_stat, INDEX(Players!$A33:$P33, MATCH(U$2, Players!$A$1:$P$1, 0)), perc_75, VLOOKUP(U$2, Percentiles!$A$45:$I$59, 6, FALSE), perc_90, VLOOKUP(U$2, Percentiles!$A$45:$I$59, 7, FALSE), perc_95, VLOOKUP(U$2, Percentiles!$A$45:$I$59, 8, FALSE), perc_85, perc_75 + (perc_90 - perc_75) * (2/3), converted_stat, '2K_Ratings'!U34, IF(bbgm_stat &gt;= perc_95, converted_stat * 3, IF(bbgm_stat &gt;= perc_90, converted_stat * 2, IF(bbgm_stat &gt;= perc_85, converted_stat * 1.5, converted_stat)))))</f>
        <v/>
      </c>
      <c r="V34" s="30" t="str">
        <f t="array" ref="V34">IF($A34="", "", LET(bbgm_stat, INDEX(Players!$A33:$P33, MATCH(V$2, Players!$A$1:$P$1, 0)), perc_75, VLOOKUP(V$2, Percentiles!$A$45:$I$59, 6, FALSE), perc_90, VLOOKUP(V$2, Percentiles!$A$45:$I$59, 7, FALSE), perc_95, VLOOKUP(V$2, Percentiles!$A$45:$I$59, 8, FALSE), perc_85, perc_75 + (perc_90 - perc_75) * (2/3), converted_stat, '2K_Ratings'!V34, IF(bbgm_stat &gt;= perc_95, converted_stat * 3, IF(bbgm_stat &gt;= perc_90, converted_stat * 2, IF(bbgm_stat &gt;= perc_85, converted_stat * 1.5, converted_stat)))))</f>
        <v/>
      </c>
      <c r="W34" s="30" t="str">
        <f t="array" ref="W34">IF($A34="", "", LET(bbgm_stat, INDEX(Players!$A33:$P33, MATCH(W$2, Players!$A$1:$P$1, 0)), perc_75, VLOOKUP(W$2, Percentiles!$A$45:$I$59, 6, FALSE), perc_90, VLOOKUP(W$2, Percentiles!$A$45:$I$59, 7, FALSE), perc_95, VLOOKUP(W$2, Percentiles!$A$45:$I$59, 8, FALSE), perc_85, perc_75 + (perc_90 - perc_75) * (2/3), converted_stat, '2K_Ratings'!W34, IF(bbgm_stat &gt;= perc_95, converted_stat * 3, IF(bbgm_stat &gt;= perc_90, converted_stat * 2, IF(bbgm_stat &gt;= perc_85, converted_stat * 1.5, converted_stat)))))</f>
        <v/>
      </c>
    </row>
    <row r="35">
      <c r="A35" s="30" t="str">
        <f>IF(Players!A34="", "", Players!A34)</f>
        <v/>
      </c>
      <c r="B35" s="30" t="str">
        <f t="array" ref="B35">IF($A35="", "", LET(bbgm_stat, INDEX(Players!$A34:$P34, MATCH(B$2, Players!$A$1:$P$1, 0)), perc_75, VLOOKUP(B$2, Percentiles!$A$45:$I$59, 6, FALSE), perc_90, VLOOKUP(B$2, Percentiles!$A$45:$I$59, 7, FALSE), perc_95, VLOOKUP(B$2, Percentiles!$A$45:$I$59, 8, FALSE), perc_85, perc_75 + (perc_90 - perc_75) * (2/3), converted_stat, '2K_Ratings'!B35, IF(bbgm_stat &gt;= perc_95, converted_stat * 3, IF(bbgm_stat &gt;= perc_90, converted_stat * 2, IF(bbgm_stat &gt;= perc_85, converted_stat * 1.5, converted_stat)))))</f>
        <v/>
      </c>
      <c r="C35" s="30" t="str">
        <f t="array" ref="C35">IF($A35="", "", LET(bbgm_stat, INDEX(Players!$A34:$P34, MATCH(C$2, Players!$A$1:$P$1, 0)), perc_75, VLOOKUP(C$2, Percentiles!$A$45:$I$59, 6, FALSE), perc_90, VLOOKUP(C$2, Percentiles!$A$45:$I$59, 7, FALSE), perc_95, VLOOKUP(C$2, Percentiles!$A$45:$I$59, 8, FALSE), perc_85, perc_75 + (perc_90 - perc_75) * (2/3), converted_stat, '2K_Ratings'!C35, IF(bbgm_stat &gt;= perc_95, converted_stat * 3, IF(bbgm_stat &gt;= perc_90, converted_stat * 2, IF(bbgm_stat &gt;= perc_85, converted_stat * 1.5, converted_stat)))))</f>
        <v/>
      </c>
      <c r="D35" s="30" t="str">
        <f t="array" ref="D35">IF($A35="", "", LET(bbgm_stat, INDEX(Players!$A34:$P34, MATCH(D$2, Players!$A$1:$P$1, 0)), perc_75, VLOOKUP(D$2, Percentiles!$A$45:$I$59, 6, FALSE), perc_90, VLOOKUP(D$2, Percentiles!$A$45:$I$59, 7, FALSE), perc_95, VLOOKUP(D$2, Percentiles!$A$45:$I$59, 8, FALSE), perc_85, perc_75 + (perc_90 - perc_75) * (2/3), converted_stat, '2K_Ratings'!D35, IF(bbgm_stat &gt;= perc_95, converted_stat * 3, IF(bbgm_stat &gt;= perc_90, converted_stat * 2, IF(bbgm_stat &gt;= perc_85, converted_stat * 1.5, converted_stat)))))</f>
        <v/>
      </c>
      <c r="E35" s="30" t="str">
        <f t="array" ref="E35">IF($A35="", "", LET(bbgm_stat, INDEX(Players!$A34:$P34, MATCH(E$2, Players!$A$1:$P$1, 0)), perc_75, VLOOKUP(E$2, Percentiles!$A$45:$I$59, 6, FALSE), perc_90, VLOOKUP(E$2, Percentiles!$A$45:$I$59, 7, FALSE), perc_95, VLOOKUP(E$2, Percentiles!$A$45:$I$59, 8, FALSE), perc_85, perc_75 + (perc_90 - perc_75) * (2/3), converted_stat, '2K_Ratings'!E35, IF(bbgm_stat &gt;= perc_95, converted_stat * 3, IF(bbgm_stat &gt;= perc_90, converted_stat * 2, IF(bbgm_stat &gt;= perc_85, converted_stat * 1.5, converted_stat)))))</f>
        <v/>
      </c>
      <c r="F35" s="30" t="str">
        <f t="array" ref="F35">IF($A35="", "", LET(bbgm_stat, INDEX(Players!$A34:$P34, MATCH(F$2, Players!$A$1:$P$1, 0)), perc_75, VLOOKUP(F$2, Percentiles!$A$45:$I$59, 6, FALSE), perc_90, VLOOKUP(F$2, Percentiles!$A$45:$I$59, 7, FALSE), perc_95, VLOOKUP(F$2, Percentiles!$A$45:$I$59, 8, FALSE), perc_85, perc_75 + (perc_90 - perc_75) * (2/3), converted_stat, '2K_Ratings'!F35, IF(bbgm_stat &gt;= perc_95, converted_stat * 3, IF(bbgm_stat &gt;= perc_90, converted_stat * 2, IF(bbgm_stat &gt;= perc_85, converted_stat * 1.5, converted_stat)))))</f>
        <v/>
      </c>
      <c r="G35" s="30" t="str">
        <f t="array" ref="G35">IF($A35="", "", LET(bbgm_stat, INDEX(Players!$A34:$P34, MATCH(G$2, Players!$A$1:$P$1, 0)), perc_75, VLOOKUP(G$2, Percentiles!$A$45:$I$59, 6, FALSE), perc_90, VLOOKUP(G$2, Percentiles!$A$45:$I$59, 7, FALSE), perc_95, VLOOKUP(G$2, Percentiles!$A$45:$I$59, 8, FALSE), perc_85, perc_75 + (perc_90 - perc_75) * (2/3), converted_stat, '2K_Ratings'!G35, IF(bbgm_stat &gt;= perc_95, converted_stat * 3, IF(bbgm_stat &gt;= perc_90, converted_stat * 2, IF(bbgm_stat &gt;= perc_85, converted_stat * 1.5, converted_stat)))))</f>
        <v/>
      </c>
      <c r="H35" s="30" t="str">
        <f t="array" ref="H35">IF($A35="", "", LET(bbgm_stat, INDEX(Players!$A34:$P34, MATCH(H$2, Players!$A$1:$P$1, 0)), perc_75, VLOOKUP(H$2, Percentiles!$A$45:$I$59, 6, FALSE), perc_90, VLOOKUP(H$2, Percentiles!$A$45:$I$59, 7, FALSE), perc_95, VLOOKUP(H$2, Percentiles!$A$45:$I$59, 8, FALSE), perc_85, perc_75 + (perc_90 - perc_75) * (2/3), converted_stat, '2K_Ratings'!H35, IF(bbgm_stat &gt;= perc_95, converted_stat * 3, IF(bbgm_stat &gt;= perc_90, converted_stat * 2, IF(bbgm_stat &gt;= perc_85, converted_stat * 1.5, converted_stat)))))</f>
        <v/>
      </c>
      <c r="I35" s="30" t="str">
        <f t="array" ref="I35">IF($A35="", "", LET(bbgm_stat, INDEX(Players!$A34:$P34, MATCH(I$2, Players!$A$1:$P$1, 0)), perc_75, VLOOKUP(I$2, Percentiles!$A$45:$I$59, 6, FALSE), perc_90, VLOOKUP(I$2, Percentiles!$A$45:$I$59, 7, FALSE), perc_95, VLOOKUP(I$2, Percentiles!$A$45:$I$59, 8, FALSE), perc_85, perc_75 + (perc_90 - perc_75) * (2/3), converted_stat, '2K_Ratings'!I35, IF(bbgm_stat &gt;= perc_95, converted_stat * 3, IF(bbgm_stat &gt;= perc_90, converted_stat * 2, IF(bbgm_stat &gt;= perc_85, converted_stat * 1.5, converted_stat)))))</f>
        <v/>
      </c>
      <c r="J35" s="30" t="str">
        <f t="array" ref="J35">IF($A35="", "", LET(bbgm_stat, INDEX(Players!$A34:$P34, MATCH(J$2, Players!$A$1:$P$1, 0)), perc_75, VLOOKUP(J$2, Percentiles!$A$45:$I$59, 6, FALSE), perc_90, VLOOKUP(J$2, Percentiles!$A$45:$I$59, 7, FALSE), perc_95, VLOOKUP(J$2, Percentiles!$A$45:$I$59, 8, FALSE), perc_85, perc_75 + (perc_90 - perc_75) * (2/3), converted_stat, '2K_Ratings'!J35, IF(bbgm_stat &gt;= perc_95, converted_stat * 3, IF(bbgm_stat &gt;= perc_90, converted_stat * 2, IF(bbgm_stat &gt;= perc_85, converted_stat * 1.5, converted_stat)))))</f>
        <v/>
      </c>
      <c r="K35" s="30" t="str">
        <f t="array" ref="K35">IF($A35="", "", LET(bbgm_stat, INDEX(Players!$A34:$P34, MATCH(K$2, Players!$A$1:$P$1, 0)), perc_75, VLOOKUP(K$2, Percentiles!$A$45:$I$59, 6, FALSE), perc_90, VLOOKUP(K$2, Percentiles!$A$45:$I$59, 7, FALSE), perc_95, VLOOKUP(K$2, Percentiles!$A$45:$I$59, 8, FALSE), perc_85, perc_75 + (perc_90 - perc_75) * (2/3), converted_stat, '2K_Ratings'!K35, IF(bbgm_stat &gt;= perc_95, converted_stat * 3, IF(bbgm_stat &gt;= perc_90, converted_stat * 2, IF(bbgm_stat &gt;= perc_85, converted_stat * 1.5, converted_stat)))))</f>
        <v/>
      </c>
      <c r="L35" s="30" t="str">
        <f t="array" ref="L35">IF($A35="", "", LET(bbgm_stat, INDEX(Players!$A34:$P34, MATCH(L$2, Players!$A$1:$P$1, 0)), perc_75, VLOOKUP(L$2, Percentiles!$A$45:$I$59, 6, FALSE), perc_90, VLOOKUP(L$2, Percentiles!$A$45:$I$59, 7, FALSE), perc_95, VLOOKUP(L$2, Percentiles!$A$45:$I$59, 8, FALSE), perc_85, perc_75 + (perc_90 - perc_75) * (2/3), converted_stat, '2K_Ratings'!L35, IF(bbgm_stat &gt;= perc_95, converted_stat * 3, IF(bbgm_stat &gt;= perc_90, converted_stat * 2, IF(bbgm_stat &gt;= perc_85, converted_stat * 1.5, converted_stat)))))</f>
        <v/>
      </c>
      <c r="M35" s="30" t="str">
        <f t="array" ref="M35">IF($A35="", "", LET(bbgm_stat, INDEX(Players!$A34:$P34, MATCH(M$2, Players!$A$1:$P$1, 0)), perc_75, VLOOKUP(M$2, Percentiles!$A$45:$I$59, 6, FALSE), perc_90, VLOOKUP(M$2, Percentiles!$A$45:$I$59, 7, FALSE), perc_95, VLOOKUP(M$2, Percentiles!$A$45:$I$59, 8, FALSE), perc_85, perc_75 + (perc_90 - perc_75) * (2/3), converted_stat, '2K_Ratings'!M35, IF(bbgm_stat &gt;= perc_95, converted_stat * 3, IF(bbgm_stat &gt;= perc_90, converted_stat * 2, IF(bbgm_stat &gt;= perc_85, converted_stat * 1.5, converted_stat)))))</f>
        <v/>
      </c>
      <c r="N35" s="30" t="str">
        <f t="array" ref="N35">IF($A35="", "", LET(bbgm_stat, INDEX(Players!$A34:$P34, MATCH(N$2, Players!$A$1:$P$1, 0)), perc_75, VLOOKUP(N$2, Percentiles!$A$45:$I$59, 6, FALSE), perc_90, VLOOKUP(N$2, Percentiles!$A$45:$I$59, 7, FALSE), perc_95, VLOOKUP(N$2, Percentiles!$A$45:$I$59, 8, FALSE), perc_85, perc_75 + (perc_90 - perc_75) * (2/3), converted_stat, '2K_Ratings'!N35, IF(bbgm_stat &gt;= perc_95, converted_stat * 3, IF(bbgm_stat &gt;= perc_90, converted_stat * 2, IF(bbgm_stat &gt;= perc_85, converted_stat * 1.5, converted_stat)))))</f>
        <v/>
      </c>
      <c r="O35" s="30" t="str">
        <f t="array" ref="O35">IF($A35="", "", LET(bbgm_stat, INDEX(Players!$A34:$P34, MATCH(O$2, Players!$A$1:$P$1, 0)), perc_75, VLOOKUP(O$2, Percentiles!$A$45:$I$59, 6, FALSE), perc_90, VLOOKUP(O$2, Percentiles!$A$45:$I$59, 7, FALSE), perc_95, VLOOKUP(O$2, Percentiles!$A$45:$I$59, 8, FALSE), perc_85, perc_75 + (perc_90 - perc_75) * (2/3), converted_stat, '2K_Ratings'!O35, IF(bbgm_stat &gt;= perc_95, converted_stat * 3, IF(bbgm_stat &gt;= perc_90, converted_stat * 2, IF(bbgm_stat &gt;= perc_85, converted_stat * 1.5, converted_stat)))))</f>
        <v/>
      </c>
      <c r="P35" s="30" t="str">
        <f t="array" ref="P35">IF($A35="", "", LET(bbgm_stat, INDEX(Players!$A34:$P34, MATCH(P$2, Players!$A$1:$P$1, 0)), perc_75, VLOOKUP(P$2, Percentiles!$A$45:$I$59, 6, FALSE), perc_90, VLOOKUP(P$2, Percentiles!$A$45:$I$59, 7, FALSE), perc_95, VLOOKUP(P$2, Percentiles!$A$45:$I$59, 8, FALSE), perc_85, perc_75 + (perc_90 - perc_75) * (2/3), converted_stat, '2K_Ratings'!P35, IF(bbgm_stat &gt;= perc_95, converted_stat * 3, IF(bbgm_stat &gt;= perc_90, converted_stat * 2, IF(bbgm_stat &gt;= perc_85, converted_stat * 1.5, converted_stat)))))</f>
        <v/>
      </c>
      <c r="Q35" s="30" t="str">
        <f t="array" ref="Q35">IF($A35="", "", LET(bbgm_stat, INDEX(Players!$A34:$P34, MATCH(Q$2, Players!$A$1:$P$1, 0)), perc_75, VLOOKUP(Q$2, Percentiles!$A$45:$I$59, 6, FALSE), perc_90, VLOOKUP(Q$2, Percentiles!$A$45:$I$59, 7, FALSE), perc_95, VLOOKUP(Q$2, Percentiles!$A$45:$I$59, 8, FALSE), perc_85, perc_75 + (perc_90 - perc_75) * (2/3), converted_stat, '2K_Ratings'!Q35, IF(bbgm_stat &gt;= perc_95, converted_stat * 3, IF(bbgm_stat &gt;= perc_90, converted_stat * 2, IF(bbgm_stat &gt;= perc_85, converted_stat * 1.5, converted_stat)))))</f>
        <v/>
      </c>
      <c r="R35" s="30" t="str">
        <f t="array" ref="R35">IF($A35="", "", LET(bbgm_stat, INDEX(Players!$A34:$P34, MATCH(R$2, Players!$A$1:$P$1, 0)), perc_75, VLOOKUP(R$2, Percentiles!$A$45:$I$59, 6, FALSE), perc_90, VLOOKUP(R$2, Percentiles!$A$45:$I$59, 7, FALSE), perc_95, VLOOKUP(R$2, Percentiles!$A$45:$I$59, 8, FALSE), perc_85, perc_75 + (perc_90 - perc_75) * (2/3), converted_stat, '2K_Ratings'!R35, IF(bbgm_stat &gt;= perc_95, converted_stat * 3, IF(bbgm_stat &gt;= perc_90, converted_stat * 2, IF(bbgm_stat &gt;= perc_85, converted_stat * 1.5, converted_stat)))))</f>
        <v/>
      </c>
      <c r="S35" s="30" t="str">
        <f t="array" ref="S35">IF($A35="", "", LET(bbgm_stat, INDEX(Players!$A34:$P34, MATCH(S$2, Players!$A$1:$P$1, 0)), perc_75, VLOOKUP(S$2, Percentiles!$A$45:$I$59, 6, FALSE), perc_90, VLOOKUP(S$2, Percentiles!$A$45:$I$59, 7, FALSE), perc_95, VLOOKUP(S$2, Percentiles!$A$45:$I$59, 8, FALSE), perc_85, perc_75 + (perc_90 - perc_75) * (2/3), converted_stat, '2K_Ratings'!S35, IF(bbgm_stat &gt;= perc_95, converted_stat * 3, IF(bbgm_stat &gt;= perc_90, converted_stat * 2, IF(bbgm_stat &gt;= perc_85, converted_stat * 1.5, converted_stat)))))</f>
        <v/>
      </c>
      <c r="T35" s="30" t="str">
        <f t="array" ref="T35">IF($A35="", "", LET(bbgm_stat, INDEX(Players!$A34:$P34, MATCH(T$2, Players!$A$1:$P$1, 0)), perc_75, VLOOKUP(T$2, Percentiles!$A$45:$I$59, 6, FALSE), perc_90, VLOOKUP(T$2, Percentiles!$A$45:$I$59, 7, FALSE), perc_95, VLOOKUP(T$2, Percentiles!$A$45:$I$59, 8, FALSE), perc_85, perc_75 + (perc_90 - perc_75) * (2/3), converted_stat, '2K_Ratings'!T35, IF(bbgm_stat &gt;= perc_95, converted_stat * 3, IF(bbgm_stat &gt;= perc_90, converted_stat * 2, IF(bbgm_stat &gt;= perc_85, converted_stat * 1.5, converted_stat)))))</f>
        <v/>
      </c>
      <c r="U35" s="30" t="str">
        <f t="array" ref="U35">IF($A35="", "", LET(bbgm_stat, INDEX(Players!$A34:$P34, MATCH(U$2, Players!$A$1:$P$1, 0)), perc_75, VLOOKUP(U$2, Percentiles!$A$45:$I$59, 6, FALSE), perc_90, VLOOKUP(U$2, Percentiles!$A$45:$I$59, 7, FALSE), perc_95, VLOOKUP(U$2, Percentiles!$A$45:$I$59, 8, FALSE), perc_85, perc_75 + (perc_90 - perc_75) * (2/3), converted_stat, '2K_Ratings'!U35, IF(bbgm_stat &gt;= perc_95, converted_stat * 3, IF(bbgm_stat &gt;= perc_90, converted_stat * 2, IF(bbgm_stat &gt;= perc_85, converted_stat * 1.5, converted_stat)))))</f>
        <v/>
      </c>
      <c r="V35" s="30" t="str">
        <f t="array" ref="V35">IF($A35="", "", LET(bbgm_stat, INDEX(Players!$A34:$P34, MATCH(V$2, Players!$A$1:$P$1, 0)), perc_75, VLOOKUP(V$2, Percentiles!$A$45:$I$59, 6, FALSE), perc_90, VLOOKUP(V$2, Percentiles!$A$45:$I$59, 7, FALSE), perc_95, VLOOKUP(V$2, Percentiles!$A$45:$I$59, 8, FALSE), perc_85, perc_75 + (perc_90 - perc_75) * (2/3), converted_stat, '2K_Ratings'!V35, IF(bbgm_stat &gt;= perc_95, converted_stat * 3, IF(bbgm_stat &gt;= perc_90, converted_stat * 2, IF(bbgm_stat &gt;= perc_85, converted_stat * 1.5, converted_stat)))))</f>
        <v/>
      </c>
      <c r="W35" s="30" t="str">
        <f t="array" ref="W35">IF($A35="", "", LET(bbgm_stat, INDEX(Players!$A34:$P34, MATCH(W$2, Players!$A$1:$P$1, 0)), perc_75, VLOOKUP(W$2, Percentiles!$A$45:$I$59, 6, FALSE), perc_90, VLOOKUP(W$2, Percentiles!$A$45:$I$59, 7, FALSE), perc_95, VLOOKUP(W$2, Percentiles!$A$45:$I$59, 8, FALSE), perc_85, perc_75 + (perc_90 - perc_75) * (2/3), converted_stat, '2K_Ratings'!W35, IF(bbgm_stat &gt;= perc_95, converted_stat * 3, IF(bbgm_stat &gt;= perc_90, converted_stat * 2, IF(bbgm_stat &gt;= perc_85, converted_stat * 1.5, converted_stat)))))</f>
        <v/>
      </c>
    </row>
    <row r="36">
      <c r="A36" s="30" t="str">
        <f>IF(Players!A35="", "", Players!A35)</f>
        <v/>
      </c>
      <c r="B36" s="30" t="str">
        <f t="array" ref="B36">IF($A36="", "", LET(bbgm_stat, INDEX(Players!$A35:$P35, MATCH(B$2, Players!$A$1:$P$1, 0)), perc_75, VLOOKUP(B$2, Percentiles!$A$45:$I$59, 6, FALSE), perc_90, VLOOKUP(B$2, Percentiles!$A$45:$I$59, 7, FALSE), perc_95, VLOOKUP(B$2, Percentiles!$A$45:$I$59, 8, FALSE), perc_85, perc_75 + (perc_90 - perc_75) * (2/3), converted_stat, '2K_Ratings'!B36, IF(bbgm_stat &gt;= perc_95, converted_stat * 3, IF(bbgm_stat &gt;= perc_90, converted_stat * 2, IF(bbgm_stat &gt;= perc_85, converted_stat * 1.5, converted_stat)))))</f>
        <v/>
      </c>
      <c r="C36" s="30" t="str">
        <f t="array" ref="C36">IF($A36="", "", LET(bbgm_stat, INDEX(Players!$A35:$P35, MATCH(C$2, Players!$A$1:$P$1, 0)), perc_75, VLOOKUP(C$2, Percentiles!$A$45:$I$59, 6, FALSE), perc_90, VLOOKUP(C$2, Percentiles!$A$45:$I$59, 7, FALSE), perc_95, VLOOKUP(C$2, Percentiles!$A$45:$I$59, 8, FALSE), perc_85, perc_75 + (perc_90 - perc_75) * (2/3), converted_stat, '2K_Ratings'!C36, IF(bbgm_stat &gt;= perc_95, converted_stat * 3, IF(bbgm_stat &gt;= perc_90, converted_stat * 2, IF(bbgm_stat &gt;= perc_85, converted_stat * 1.5, converted_stat)))))</f>
        <v/>
      </c>
      <c r="D36" s="30" t="str">
        <f t="array" ref="D36">IF($A36="", "", LET(bbgm_stat, INDEX(Players!$A35:$P35, MATCH(D$2, Players!$A$1:$P$1, 0)), perc_75, VLOOKUP(D$2, Percentiles!$A$45:$I$59, 6, FALSE), perc_90, VLOOKUP(D$2, Percentiles!$A$45:$I$59, 7, FALSE), perc_95, VLOOKUP(D$2, Percentiles!$A$45:$I$59, 8, FALSE), perc_85, perc_75 + (perc_90 - perc_75) * (2/3), converted_stat, '2K_Ratings'!D36, IF(bbgm_stat &gt;= perc_95, converted_stat * 3, IF(bbgm_stat &gt;= perc_90, converted_stat * 2, IF(bbgm_stat &gt;= perc_85, converted_stat * 1.5, converted_stat)))))</f>
        <v/>
      </c>
      <c r="E36" s="30" t="str">
        <f t="array" ref="E36">IF($A36="", "", LET(bbgm_stat, INDEX(Players!$A35:$P35, MATCH(E$2, Players!$A$1:$P$1, 0)), perc_75, VLOOKUP(E$2, Percentiles!$A$45:$I$59, 6, FALSE), perc_90, VLOOKUP(E$2, Percentiles!$A$45:$I$59, 7, FALSE), perc_95, VLOOKUP(E$2, Percentiles!$A$45:$I$59, 8, FALSE), perc_85, perc_75 + (perc_90 - perc_75) * (2/3), converted_stat, '2K_Ratings'!E36, IF(bbgm_stat &gt;= perc_95, converted_stat * 3, IF(bbgm_stat &gt;= perc_90, converted_stat * 2, IF(bbgm_stat &gt;= perc_85, converted_stat * 1.5, converted_stat)))))</f>
        <v/>
      </c>
      <c r="F36" s="30" t="str">
        <f t="array" ref="F36">IF($A36="", "", LET(bbgm_stat, INDEX(Players!$A35:$P35, MATCH(F$2, Players!$A$1:$P$1, 0)), perc_75, VLOOKUP(F$2, Percentiles!$A$45:$I$59, 6, FALSE), perc_90, VLOOKUP(F$2, Percentiles!$A$45:$I$59, 7, FALSE), perc_95, VLOOKUP(F$2, Percentiles!$A$45:$I$59, 8, FALSE), perc_85, perc_75 + (perc_90 - perc_75) * (2/3), converted_stat, '2K_Ratings'!F36, IF(bbgm_stat &gt;= perc_95, converted_stat * 3, IF(bbgm_stat &gt;= perc_90, converted_stat * 2, IF(bbgm_stat &gt;= perc_85, converted_stat * 1.5, converted_stat)))))</f>
        <v/>
      </c>
      <c r="G36" s="30" t="str">
        <f t="array" ref="G36">IF($A36="", "", LET(bbgm_stat, INDEX(Players!$A35:$P35, MATCH(G$2, Players!$A$1:$P$1, 0)), perc_75, VLOOKUP(G$2, Percentiles!$A$45:$I$59, 6, FALSE), perc_90, VLOOKUP(G$2, Percentiles!$A$45:$I$59, 7, FALSE), perc_95, VLOOKUP(G$2, Percentiles!$A$45:$I$59, 8, FALSE), perc_85, perc_75 + (perc_90 - perc_75) * (2/3), converted_stat, '2K_Ratings'!G36, IF(bbgm_stat &gt;= perc_95, converted_stat * 3, IF(bbgm_stat &gt;= perc_90, converted_stat * 2, IF(bbgm_stat &gt;= perc_85, converted_stat * 1.5, converted_stat)))))</f>
        <v/>
      </c>
      <c r="H36" s="30" t="str">
        <f t="array" ref="H36">IF($A36="", "", LET(bbgm_stat, INDEX(Players!$A35:$P35, MATCH(H$2, Players!$A$1:$P$1, 0)), perc_75, VLOOKUP(H$2, Percentiles!$A$45:$I$59, 6, FALSE), perc_90, VLOOKUP(H$2, Percentiles!$A$45:$I$59, 7, FALSE), perc_95, VLOOKUP(H$2, Percentiles!$A$45:$I$59, 8, FALSE), perc_85, perc_75 + (perc_90 - perc_75) * (2/3), converted_stat, '2K_Ratings'!H36, IF(bbgm_stat &gt;= perc_95, converted_stat * 3, IF(bbgm_stat &gt;= perc_90, converted_stat * 2, IF(bbgm_stat &gt;= perc_85, converted_stat * 1.5, converted_stat)))))</f>
        <v/>
      </c>
      <c r="I36" s="30" t="str">
        <f t="array" ref="I36">IF($A36="", "", LET(bbgm_stat, INDEX(Players!$A35:$P35, MATCH(I$2, Players!$A$1:$P$1, 0)), perc_75, VLOOKUP(I$2, Percentiles!$A$45:$I$59, 6, FALSE), perc_90, VLOOKUP(I$2, Percentiles!$A$45:$I$59, 7, FALSE), perc_95, VLOOKUP(I$2, Percentiles!$A$45:$I$59, 8, FALSE), perc_85, perc_75 + (perc_90 - perc_75) * (2/3), converted_stat, '2K_Ratings'!I36, IF(bbgm_stat &gt;= perc_95, converted_stat * 3, IF(bbgm_stat &gt;= perc_90, converted_stat * 2, IF(bbgm_stat &gt;= perc_85, converted_stat * 1.5, converted_stat)))))</f>
        <v/>
      </c>
      <c r="J36" s="30" t="str">
        <f t="array" ref="J36">IF($A36="", "", LET(bbgm_stat, INDEX(Players!$A35:$P35, MATCH(J$2, Players!$A$1:$P$1, 0)), perc_75, VLOOKUP(J$2, Percentiles!$A$45:$I$59, 6, FALSE), perc_90, VLOOKUP(J$2, Percentiles!$A$45:$I$59, 7, FALSE), perc_95, VLOOKUP(J$2, Percentiles!$A$45:$I$59, 8, FALSE), perc_85, perc_75 + (perc_90 - perc_75) * (2/3), converted_stat, '2K_Ratings'!J36, IF(bbgm_stat &gt;= perc_95, converted_stat * 3, IF(bbgm_stat &gt;= perc_90, converted_stat * 2, IF(bbgm_stat &gt;= perc_85, converted_stat * 1.5, converted_stat)))))</f>
        <v/>
      </c>
      <c r="K36" s="30" t="str">
        <f t="array" ref="K36">IF($A36="", "", LET(bbgm_stat, INDEX(Players!$A35:$P35, MATCH(K$2, Players!$A$1:$P$1, 0)), perc_75, VLOOKUP(K$2, Percentiles!$A$45:$I$59, 6, FALSE), perc_90, VLOOKUP(K$2, Percentiles!$A$45:$I$59, 7, FALSE), perc_95, VLOOKUP(K$2, Percentiles!$A$45:$I$59, 8, FALSE), perc_85, perc_75 + (perc_90 - perc_75) * (2/3), converted_stat, '2K_Ratings'!K36, IF(bbgm_stat &gt;= perc_95, converted_stat * 3, IF(bbgm_stat &gt;= perc_90, converted_stat * 2, IF(bbgm_stat &gt;= perc_85, converted_stat * 1.5, converted_stat)))))</f>
        <v/>
      </c>
      <c r="L36" s="30" t="str">
        <f t="array" ref="L36">IF($A36="", "", LET(bbgm_stat, INDEX(Players!$A35:$P35, MATCH(L$2, Players!$A$1:$P$1, 0)), perc_75, VLOOKUP(L$2, Percentiles!$A$45:$I$59, 6, FALSE), perc_90, VLOOKUP(L$2, Percentiles!$A$45:$I$59, 7, FALSE), perc_95, VLOOKUP(L$2, Percentiles!$A$45:$I$59, 8, FALSE), perc_85, perc_75 + (perc_90 - perc_75) * (2/3), converted_stat, '2K_Ratings'!L36, IF(bbgm_stat &gt;= perc_95, converted_stat * 3, IF(bbgm_stat &gt;= perc_90, converted_stat * 2, IF(bbgm_stat &gt;= perc_85, converted_stat * 1.5, converted_stat)))))</f>
        <v/>
      </c>
      <c r="M36" s="30" t="str">
        <f t="array" ref="M36">IF($A36="", "", LET(bbgm_stat, INDEX(Players!$A35:$P35, MATCH(M$2, Players!$A$1:$P$1, 0)), perc_75, VLOOKUP(M$2, Percentiles!$A$45:$I$59, 6, FALSE), perc_90, VLOOKUP(M$2, Percentiles!$A$45:$I$59, 7, FALSE), perc_95, VLOOKUP(M$2, Percentiles!$A$45:$I$59, 8, FALSE), perc_85, perc_75 + (perc_90 - perc_75) * (2/3), converted_stat, '2K_Ratings'!M36, IF(bbgm_stat &gt;= perc_95, converted_stat * 3, IF(bbgm_stat &gt;= perc_90, converted_stat * 2, IF(bbgm_stat &gt;= perc_85, converted_stat * 1.5, converted_stat)))))</f>
        <v/>
      </c>
      <c r="N36" s="30" t="str">
        <f t="array" ref="N36">IF($A36="", "", LET(bbgm_stat, INDEX(Players!$A35:$P35, MATCH(N$2, Players!$A$1:$P$1, 0)), perc_75, VLOOKUP(N$2, Percentiles!$A$45:$I$59, 6, FALSE), perc_90, VLOOKUP(N$2, Percentiles!$A$45:$I$59, 7, FALSE), perc_95, VLOOKUP(N$2, Percentiles!$A$45:$I$59, 8, FALSE), perc_85, perc_75 + (perc_90 - perc_75) * (2/3), converted_stat, '2K_Ratings'!N36, IF(bbgm_stat &gt;= perc_95, converted_stat * 3, IF(bbgm_stat &gt;= perc_90, converted_stat * 2, IF(bbgm_stat &gt;= perc_85, converted_stat * 1.5, converted_stat)))))</f>
        <v/>
      </c>
      <c r="O36" s="30" t="str">
        <f t="array" ref="O36">IF($A36="", "", LET(bbgm_stat, INDEX(Players!$A35:$P35, MATCH(O$2, Players!$A$1:$P$1, 0)), perc_75, VLOOKUP(O$2, Percentiles!$A$45:$I$59, 6, FALSE), perc_90, VLOOKUP(O$2, Percentiles!$A$45:$I$59, 7, FALSE), perc_95, VLOOKUP(O$2, Percentiles!$A$45:$I$59, 8, FALSE), perc_85, perc_75 + (perc_90 - perc_75) * (2/3), converted_stat, '2K_Ratings'!O36, IF(bbgm_stat &gt;= perc_95, converted_stat * 3, IF(bbgm_stat &gt;= perc_90, converted_stat * 2, IF(bbgm_stat &gt;= perc_85, converted_stat * 1.5, converted_stat)))))</f>
        <v/>
      </c>
      <c r="P36" s="30" t="str">
        <f t="array" ref="P36">IF($A36="", "", LET(bbgm_stat, INDEX(Players!$A35:$P35, MATCH(P$2, Players!$A$1:$P$1, 0)), perc_75, VLOOKUP(P$2, Percentiles!$A$45:$I$59, 6, FALSE), perc_90, VLOOKUP(P$2, Percentiles!$A$45:$I$59, 7, FALSE), perc_95, VLOOKUP(P$2, Percentiles!$A$45:$I$59, 8, FALSE), perc_85, perc_75 + (perc_90 - perc_75) * (2/3), converted_stat, '2K_Ratings'!P36, IF(bbgm_stat &gt;= perc_95, converted_stat * 3, IF(bbgm_stat &gt;= perc_90, converted_stat * 2, IF(bbgm_stat &gt;= perc_85, converted_stat * 1.5, converted_stat)))))</f>
        <v/>
      </c>
      <c r="Q36" s="30" t="str">
        <f t="array" ref="Q36">IF($A36="", "", LET(bbgm_stat, INDEX(Players!$A35:$P35, MATCH(Q$2, Players!$A$1:$P$1, 0)), perc_75, VLOOKUP(Q$2, Percentiles!$A$45:$I$59, 6, FALSE), perc_90, VLOOKUP(Q$2, Percentiles!$A$45:$I$59, 7, FALSE), perc_95, VLOOKUP(Q$2, Percentiles!$A$45:$I$59, 8, FALSE), perc_85, perc_75 + (perc_90 - perc_75) * (2/3), converted_stat, '2K_Ratings'!Q36, IF(bbgm_stat &gt;= perc_95, converted_stat * 3, IF(bbgm_stat &gt;= perc_90, converted_stat * 2, IF(bbgm_stat &gt;= perc_85, converted_stat * 1.5, converted_stat)))))</f>
        <v/>
      </c>
      <c r="R36" s="30" t="str">
        <f t="array" ref="R36">IF($A36="", "", LET(bbgm_stat, INDEX(Players!$A35:$P35, MATCH(R$2, Players!$A$1:$P$1, 0)), perc_75, VLOOKUP(R$2, Percentiles!$A$45:$I$59, 6, FALSE), perc_90, VLOOKUP(R$2, Percentiles!$A$45:$I$59, 7, FALSE), perc_95, VLOOKUP(R$2, Percentiles!$A$45:$I$59, 8, FALSE), perc_85, perc_75 + (perc_90 - perc_75) * (2/3), converted_stat, '2K_Ratings'!R36, IF(bbgm_stat &gt;= perc_95, converted_stat * 3, IF(bbgm_stat &gt;= perc_90, converted_stat * 2, IF(bbgm_stat &gt;= perc_85, converted_stat * 1.5, converted_stat)))))</f>
        <v/>
      </c>
      <c r="S36" s="30" t="str">
        <f t="array" ref="S36">IF($A36="", "", LET(bbgm_stat, INDEX(Players!$A35:$P35, MATCH(S$2, Players!$A$1:$P$1, 0)), perc_75, VLOOKUP(S$2, Percentiles!$A$45:$I$59, 6, FALSE), perc_90, VLOOKUP(S$2, Percentiles!$A$45:$I$59, 7, FALSE), perc_95, VLOOKUP(S$2, Percentiles!$A$45:$I$59, 8, FALSE), perc_85, perc_75 + (perc_90 - perc_75) * (2/3), converted_stat, '2K_Ratings'!S36, IF(bbgm_stat &gt;= perc_95, converted_stat * 3, IF(bbgm_stat &gt;= perc_90, converted_stat * 2, IF(bbgm_stat &gt;= perc_85, converted_stat * 1.5, converted_stat)))))</f>
        <v/>
      </c>
      <c r="T36" s="30" t="str">
        <f t="array" ref="T36">IF($A36="", "", LET(bbgm_stat, INDEX(Players!$A35:$P35, MATCH(T$2, Players!$A$1:$P$1, 0)), perc_75, VLOOKUP(T$2, Percentiles!$A$45:$I$59, 6, FALSE), perc_90, VLOOKUP(T$2, Percentiles!$A$45:$I$59, 7, FALSE), perc_95, VLOOKUP(T$2, Percentiles!$A$45:$I$59, 8, FALSE), perc_85, perc_75 + (perc_90 - perc_75) * (2/3), converted_stat, '2K_Ratings'!T36, IF(bbgm_stat &gt;= perc_95, converted_stat * 3, IF(bbgm_stat &gt;= perc_90, converted_stat * 2, IF(bbgm_stat &gt;= perc_85, converted_stat * 1.5, converted_stat)))))</f>
        <v/>
      </c>
      <c r="U36" s="30" t="str">
        <f t="array" ref="U36">IF($A36="", "", LET(bbgm_stat, INDEX(Players!$A35:$P35, MATCH(U$2, Players!$A$1:$P$1, 0)), perc_75, VLOOKUP(U$2, Percentiles!$A$45:$I$59, 6, FALSE), perc_90, VLOOKUP(U$2, Percentiles!$A$45:$I$59, 7, FALSE), perc_95, VLOOKUP(U$2, Percentiles!$A$45:$I$59, 8, FALSE), perc_85, perc_75 + (perc_90 - perc_75) * (2/3), converted_stat, '2K_Ratings'!U36, IF(bbgm_stat &gt;= perc_95, converted_stat * 3, IF(bbgm_stat &gt;= perc_90, converted_stat * 2, IF(bbgm_stat &gt;= perc_85, converted_stat * 1.5, converted_stat)))))</f>
        <v/>
      </c>
      <c r="V36" s="30" t="str">
        <f t="array" ref="V36">IF($A36="", "", LET(bbgm_stat, INDEX(Players!$A35:$P35, MATCH(V$2, Players!$A$1:$P$1, 0)), perc_75, VLOOKUP(V$2, Percentiles!$A$45:$I$59, 6, FALSE), perc_90, VLOOKUP(V$2, Percentiles!$A$45:$I$59, 7, FALSE), perc_95, VLOOKUP(V$2, Percentiles!$A$45:$I$59, 8, FALSE), perc_85, perc_75 + (perc_90 - perc_75) * (2/3), converted_stat, '2K_Ratings'!V36, IF(bbgm_stat &gt;= perc_95, converted_stat * 3, IF(bbgm_stat &gt;= perc_90, converted_stat * 2, IF(bbgm_stat &gt;= perc_85, converted_stat * 1.5, converted_stat)))))</f>
        <v/>
      </c>
      <c r="W36" s="30" t="str">
        <f t="array" ref="W36">IF($A36="", "", LET(bbgm_stat, INDEX(Players!$A35:$P35, MATCH(W$2, Players!$A$1:$P$1, 0)), perc_75, VLOOKUP(W$2, Percentiles!$A$45:$I$59, 6, FALSE), perc_90, VLOOKUP(W$2, Percentiles!$A$45:$I$59, 7, FALSE), perc_95, VLOOKUP(W$2, Percentiles!$A$45:$I$59, 8, FALSE), perc_85, perc_75 + (perc_90 - perc_75) * (2/3), converted_stat, '2K_Ratings'!W36, IF(bbgm_stat &gt;= perc_95, converted_stat * 3, IF(bbgm_stat &gt;= perc_90, converted_stat * 2, IF(bbgm_stat &gt;= perc_85, converted_stat * 1.5, converted_stat)))))</f>
        <v/>
      </c>
    </row>
    <row r="37">
      <c r="A37" s="30" t="str">
        <f>IF(Players!A36="", "", Players!A36)</f>
        <v/>
      </c>
      <c r="B37" s="30" t="str">
        <f t="array" ref="B37">IF($A37="", "", LET(bbgm_stat, INDEX(Players!$A36:$P36, MATCH(B$2, Players!$A$1:$P$1, 0)), perc_75, VLOOKUP(B$2, Percentiles!$A$45:$I$59, 6, FALSE), perc_90, VLOOKUP(B$2, Percentiles!$A$45:$I$59, 7, FALSE), perc_95, VLOOKUP(B$2, Percentiles!$A$45:$I$59, 8, FALSE), perc_85, perc_75 + (perc_90 - perc_75) * (2/3), converted_stat, '2K_Ratings'!B37, IF(bbgm_stat &gt;= perc_95, converted_stat * 3, IF(bbgm_stat &gt;= perc_90, converted_stat * 2, IF(bbgm_stat &gt;= perc_85, converted_stat * 1.5, converted_stat)))))</f>
        <v/>
      </c>
      <c r="C37" s="30" t="str">
        <f t="array" ref="C37">IF($A37="", "", LET(bbgm_stat, INDEX(Players!$A36:$P36, MATCH(C$2, Players!$A$1:$P$1, 0)), perc_75, VLOOKUP(C$2, Percentiles!$A$45:$I$59, 6, FALSE), perc_90, VLOOKUP(C$2, Percentiles!$A$45:$I$59, 7, FALSE), perc_95, VLOOKUP(C$2, Percentiles!$A$45:$I$59, 8, FALSE), perc_85, perc_75 + (perc_90 - perc_75) * (2/3), converted_stat, '2K_Ratings'!C37, IF(bbgm_stat &gt;= perc_95, converted_stat * 3, IF(bbgm_stat &gt;= perc_90, converted_stat * 2, IF(bbgm_stat &gt;= perc_85, converted_stat * 1.5, converted_stat)))))</f>
        <v/>
      </c>
      <c r="D37" s="30" t="str">
        <f t="array" ref="D37">IF($A37="", "", LET(bbgm_stat, INDEX(Players!$A36:$P36, MATCH(D$2, Players!$A$1:$P$1, 0)), perc_75, VLOOKUP(D$2, Percentiles!$A$45:$I$59, 6, FALSE), perc_90, VLOOKUP(D$2, Percentiles!$A$45:$I$59, 7, FALSE), perc_95, VLOOKUP(D$2, Percentiles!$A$45:$I$59, 8, FALSE), perc_85, perc_75 + (perc_90 - perc_75) * (2/3), converted_stat, '2K_Ratings'!D37, IF(bbgm_stat &gt;= perc_95, converted_stat * 3, IF(bbgm_stat &gt;= perc_90, converted_stat * 2, IF(bbgm_stat &gt;= perc_85, converted_stat * 1.5, converted_stat)))))</f>
        <v/>
      </c>
      <c r="E37" s="30" t="str">
        <f t="array" ref="E37">IF($A37="", "", LET(bbgm_stat, INDEX(Players!$A36:$P36, MATCH(E$2, Players!$A$1:$P$1, 0)), perc_75, VLOOKUP(E$2, Percentiles!$A$45:$I$59, 6, FALSE), perc_90, VLOOKUP(E$2, Percentiles!$A$45:$I$59, 7, FALSE), perc_95, VLOOKUP(E$2, Percentiles!$A$45:$I$59, 8, FALSE), perc_85, perc_75 + (perc_90 - perc_75) * (2/3), converted_stat, '2K_Ratings'!E37, IF(bbgm_stat &gt;= perc_95, converted_stat * 3, IF(bbgm_stat &gt;= perc_90, converted_stat * 2, IF(bbgm_stat &gt;= perc_85, converted_stat * 1.5, converted_stat)))))</f>
        <v/>
      </c>
      <c r="F37" s="30" t="str">
        <f t="array" ref="F37">IF($A37="", "", LET(bbgm_stat, INDEX(Players!$A36:$P36, MATCH(F$2, Players!$A$1:$P$1, 0)), perc_75, VLOOKUP(F$2, Percentiles!$A$45:$I$59, 6, FALSE), perc_90, VLOOKUP(F$2, Percentiles!$A$45:$I$59, 7, FALSE), perc_95, VLOOKUP(F$2, Percentiles!$A$45:$I$59, 8, FALSE), perc_85, perc_75 + (perc_90 - perc_75) * (2/3), converted_stat, '2K_Ratings'!F37, IF(bbgm_stat &gt;= perc_95, converted_stat * 3, IF(bbgm_stat &gt;= perc_90, converted_stat * 2, IF(bbgm_stat &gt;= perc_85, converted_stat * 1.5, converted_stat)))))</f>
        <v/>
      </c>
      <c r="G37" s="30" t="str">
        <f t="array" ref="G37">IF($A37="", "", LET(bbgm_stat, INDEX(Players!$A36:$P36, MATCH(G$2, Players!$A$1:$P$1, 0)), perc_75, VLOOKUP(G$2, Percentiles!$A$45:$I$59, 6, FALSE), perc_90, VLOOKUP(G$2, Percentiles!$A$45:$I$59, 7, FALSE), perc_95, VLOOKUP(G$2, Percentiles!$A$45:$I$59, 8, FALSE), perc_85, perc_75 + (perc_90 - perc_75) * (2/3), converted_stat, '2K_Ratings'!G37, IF(bbgm_stat &gt;= perc_95, converted_stat * 3, IF(bbgm_stat &gt;= perc_90, converted_stat * 2, IF(bbgm_stat &gt;= perc_85, converted_stat * 1.5, converted_stat)))))</f>
        <v/>
      </c>
      <c r="H37" s="30" t="str">
        <f t="array" ref="H37">IF($A37="", "", LET(bbgm_stat, INDEX(Players!$A36:$P36, MATCH(H$2, Players!$A$1:$P$1, 0)), perc_75, VLOOKUP(H$2, Percentiles!$A$45:$I$59, 6, FALSE), perc_90, VLOOKUP(H$2, Percentiles!$A$45:$I$59, 7, FALSE), perc_95, VLOOKUP(H$2, Percentiles!$A$45:$I$59, 8, FALSE), perc_85, perc_75 + (perc_90 - perc_75) * (2/3), converted_stat, '2K_Ratings'!H37, IF(bbgm_stat &gt;= perc_95, converted_stat * 3, IF(bbgm_stat &gt;= perc_90, converted_stat * 2, IF(bbgm_stat &gt;= perc_85, converted_stat * 1.5, converted_stat)))))</f>
        <v/>
      </c>
      <c r="I37" s="30" t="str">
        <f t="array" ref="I37">IF($A37="", "", LET(bbgm_stat, INDEX(Players!$A36:$P36, MATCH(I$2, Players!$A$1:$P$1, 0)), perc_75, VLOOKUP(I$2, Percentiles!$A$45:$I$59, 6, FALSE), perc_90, VLOOKUP(I$2, Percentiles!$A$45:$I$59, 7, FALSE), perc_95, VLOOKUP(I$2, Percentiles!$A$45:$I$59, 8, FALSE), perc_85, perc_75 + (perc_90 - perc_75) * (2/3), converted_stat, '2K_Ratings'!I37, IF(bbgm_stat &gt;= perc_95, converted_stat * 3, IF(bbgm_stat &gt;= perc_90, converted_stat * 2, IF(bbgm_stat &gt;= perc_85, converted_stat * 1.5, converted_stat)))))</f>
        <v/>
      </c>
      <c r="J37" s="30" t="str">
        <f t="array" ref="J37">IF($A37="", "", LET(bbgm_stat, INDEX(Players!$A36:$P36, MATCH(J$2, Players!$A$1:$P$1, 0)), perc_75, VLOOKUP(J$2, Percentiles!$A$45:$I$59, 6, FALSE), perc_90, VLOOKUP(J$2, Percentiles!$A$45:$I$59, 7, FALSE), perc_95, VLOOKUP(J$2, Percentiles!$A$45:$I$59, 8, FALSE), perc_85, perc_75 + (perc_90 - perc_75) * (2/3), converted_stat, '2K_Ratings'!J37, IF(bbgm_stat &gt;= perc_95, converted_stat * 3, IF(bbgm_stat &gt;= perc_90, converted_stat * 2, IF(bbgm_stat &gt;= perc_85, converted_stat * 1.5, converted_stat)))))</f>
        <v/>
      </c>
      <c r="K37" s="30" t="str">
        <f t="array" ref="K37">IF($A37="", "", LET(bbgm_stat, INDEX(Players!$A36:$P36, MATCH(K$2, Players!$A$1:$P$1, 0)), perc_75, VLOOKUP(K$2, Percentiles!$A$45:$I$59, 6, FALSE), perc_90, VLOOKUP(K$2, Percentiles!$A$45:$I$59, 7, FALSE), perc_95, VLOOKUP(K$2, Percentiles!$A$45:$I$59, 8, FALSE), perc_85, perc_75 + (perc_90 - perc_75) * (2/3), converted_stat, '2K_Ratings'!K37, IF(bbgm_stat &gt;= perc_95, converted_stat * 3, IF(bbgm_stat &gt;= perc_90, converted_stat * 2, IF(bbgm_stat &gt;= perc_85, converted_stat * 1.5, converted_stat)))))</f>
        <v/>
      </c>
      <c r="L37" s="30" t="str">
        <f t="array" ref="L37">IF($A37="", "", LET(bbgm_stat, INDEX(Players!$A36:$P36, MATCH(L$2, Players!$A$1:$P$1, 0)), perc_75, VLOOKUP(L$2, Percentiles!$A$45:$I$59, 6, FALSE), perc_90, VLOOKUP(L$2, Percentiles!$A$45:$I$59, 7, FALSE), perc_95, VLOOKUP(L$2, Percentiles!$A$45:$I$59, 8, FALSE), perc_85, perc_75 + (perc_90 - perc_75) * (2/3), converted_stat, '2K_Ratings'!L37, IF(bbgm_stat &gt;= perc_95, converted_stat * 3, IF(bbgm_stat &gt;= perc_90, converted_stat * 2, IF(bbgm_stat &gt;= perc_85, converted_stat * 1.5, converted_stat)))))</f>
        <v/>
      </c>
      <c r="M37" s="30" t="str">
        <f t="array" ref="M37">IF($A37="", "", LET(bbgm_stat, INDEX(Players!$A36:$P36, MATCH(M$2, Players!$A$1:$P$1, 0)), perc_75, VLOOKUP(M$2, Percentiles!$A$45:$I$59, 6, FALSE), perc_90, VLOOKUP(M$2, Percentiles!$A$45:$I$59, 7, FALSE), perc_95, VLOOKUP(M$2, Percentiles!$A$45:$I$59, 8, FALSE), perc_85, perc_75 + (perc_90 - perc_75) * (2/3), converted_stat, '2K_Ratings'!M37, IF(bbgm_stat &gt;= perc_95, converted_stat * 3, IF(bbgm_stat &gt;= perc_90, converted_stat * 2, IF(bbgm_stat &gt;= perc_85, converted_stat * 1.5, converted_stat)))))</f>
        <v/>
      </c>
      <c r="N37" s="30" t="str">
        <f t="array" ref="N37">IF($A37="", "", LET(bbgm_stat, INDEX(Players!$A36:$P36, MATCH(N$2, Players!$A$1:$P$1, 0)), perc_75, VLOOKUP(N$2, Percentiles!$A$45:$I$59, 6, FALSE), perc_90, VLOOKUP(N$2, Percentiles!$A$45:$I$59, 7, FALSE), perc_95, VLOOKUP(N$2, Percentiles!$A$45:$I$59, 8, FALSE), perc_85, perc_75 + (perc_90 - perc_75) * (2/3), converted_stat, '2K_Ratings'!N37, IF(bbgm_stat &gt;= perc_95, converted_stat * 3, IF(bbgm_stat &gt;= perc_90, converted_stat * 2, IF(bbgm_stat &gt;= perc_85, converted_stat * 1.5, converted_stat)))))</f>
        <v/>
      </c>
      <c r="O37" s="30" t="str">
        <f t="array" ref="O37">IF($A37="", "", LET(bbgm_stat, INDEX(Players!$A36:$P36, MATCH(O$2, Players!$A$1:$P$1, 0)), perc_75, VLOOKUP(O$2, Percentiles!$A$45:$I$59, 6, FALSE), perc_90, VLOOKUP(O$2, Percentiles!$A$45:$I$59, 7, FALSE), perc_95, VLOOKUP(O$2, Percentiles!$A$45:$I$59, 8, FALSE), perc_85, perc_75 + (perc_90 - perc_75) * (2/3), converted_stat, '2K_Ratings'!O37, IF(bbgm_stat &gt;= perc_95, converted_stat * 3, IF(bbgm_stat &gt;= perc_90, converted_stat * 2, IF(bbgm_stat &gt;= perc_85, converted_stat * 1.5, converted_stat)))))</f>
        <v/>
      </c>
      <c r="P37" s="30" t="str">
        <f t="array" ref="P37">IF($A37="", "", LET(bbgm_stat, INDEX(Players!$A36:$P36, MATCH(P$2, Players!$A$1:$P$1, 0)), perc_75, VLOOKUP(P$2, Percentiles!$A$45:$I$59, 6, FALSE), perc_90, VLOOKUP(P$2, Percentiles!$A$45:$I$59, 7, FALSE), perc_95, VLOOKUP(P$2, Percentiles!$A$45:$I$59, 8, FALSE), perc_85, perc_75 + (perc_90 - perc_75) * (2/3), converted_stat, '2K_Ratings'!P37, IF(bbgm_stat &gt;= perc_95, converted_stat * 3, IF(bbgm_stat &gt;= perc_90, converted_stat * 2, IF(bbgm_stat &gt;= perc_85, converted_stat * 1.5, converted_stat)))))</f>
        <v/>
      </c>
      <c r="Q37" s="30" t="str">
        <f t="array" ref="Q37">IF($A37="", "", LET(bbgm_stat, INDEX(Players!$A36:$P36, MATCH(Q$2, Players!$A$1:$P$1, 0)), perc_75, VLOOKUP(Q$2, Percentiles!$A$45:$I$59, 6, FALSE), perc_90, VLOOKUP(Q$2, Percentiles!$A$45:$I$59, 7, FALSE), perc_95, VLOOKUP(Q$2, Percentiles!$A$45:$I$59, 8, FALSE), perc_85, perc_75 + (perc_90 - perc_75) * (2/3), converted_stat, '2K_Ratings'!Q37, IF(bbgm_stat &gt;= perc_95, converted_stat * 3, IF(bbgm_stat &gt;= perc_90, converted_stat * 2, IF(bbgm_stat &gt;= perc_85, converted_stat * 1.5, converted_stat)))))</f>
        <v/>
      </c>
      <c r="R37" s="30" t="str">
        <f t="array" ref="R37">IF($A37="", "", LET(bbgm_stat, INDEX(Players!$A36:$P36, MATCH(R$2, Players!$A$1:$P$1, 0)), perc_75, VLOOKUP(R$2, Percentiles!$A$45:$I$59, 6, FALSE), perc_90, VLOOKUP(R$2, Percentiles!$A$45:$I$59, 7, FALSE), perc_95, VLOOKUP(R$2, Percentiles!$A$45:$I$59, 8, FALSE), perc_85, perc_75 + (perc_90 - perc_75) * (2/3), converted_stat, '2K_Ratings'!R37, IF(bbgm_stat &gt;= perc_95, converted_stat * 3, IF(bbgm_stat &gt;= perc_90, converted_stat * 2, IF(bbgm_stat &gt;= perc_85, converted_stat * 1.5, converted_stat)))))</f>
        <v/>
      </c>
      <c r="S37" s="30" t="str">
        <f t="array" ref="S37">IF($A37="", "", LET(bbgm_stat, INDEX(Players!$A36:$P36, MATCH(S$2, Players!$A$1:$P$1, 0)), perc_75, VLOOKUP(S$2, Percentiles!$A$45:$I$59, 6, FALSE), perc_90, VLOOKUP(S$2, Percentiles!$A$45:$I$59, 7, FALSE), perc_95, VLOOKUP(S$2, Percentiles!$A$45:$I$59, 8, FALSE), perc_85, perc_75 + (perc_90 - perc_75) * (2/3), converted_stat, '2K_Ratings'!S37, IF(bbgm_stat &gt;= perc_95, converted_stat * 3, IF(bbgm_stat &gt;= perc_90, converted_stat * 2, IF(bbgm_stat &gt;= perc_85, converted_stat * 1.5, converted_stat)))))</f>
        <v/>
      </c>
      <c r="T37" s="30" t="str">
        <f t="array" ref="T37">IF($A37="", "", LET(bbgm_stat, INDEX(Players!$A36:$P36, MATCH(T$2, Players!$A$1:$P$1, 0)), perc_75, VLOOKUP(T$2, Percentiles!$A$45:$I$59, 6, FALSE), perc_90, VLOOKUP(T$2, Percentiles!$A$45:$I$59, 7, FALSE), perc_95, VLOOKUP(T$2, Percentiles!$A$45:$I$59, 8, FALSE), perc_85, perc_75 + (perc_90 - perc_75) * (2/3), converted_stat, '2K_Ratings'!T37, IF(bbgm_stat &gt;= perc_95, converted_stat * 3, IF(bbgm_stat &gt;= perc_90, converted_stat * 2, IF(bbgm_stat &gt;= perc_85, converted_stat * 1.5, converted_stat)))))</f>
        <v/>
      </c>
      <c r="U37" s="30" t="str">
        <f t="array" ref="U37">IF($A37="", "", LET(bbgm_stat, INDEX(Players!$A36:$P36, MATCH(U$2, Players!$A$1:$P$1, 0)), perc_75, VLOOKUP(U$2, Percentiles!$A$45:$I$59, 6, FALSE), perc_90, VLOOKUP(U$2, Percentiles!$A$45:$I$59, 7, FALSE), perc_95, VLOOKUP(U$2, Percentiles!$A$45:$I$59, 8, FALSE), perc_85, perc_75 + (perc_90 - perc_75) * (2/3), converted_stat, '2K_Ratings'!U37, IF(bbgm_stat &gt;= perc_95, converted_stat * 3, IF(bbgm_stat &gt;= perc_90, converted_stat * 2, IF(bbgm_stat &gt;= perc_85, converted_stat * 1.5, converted_stat)))))</f>
        <v/>
      </c>
      <c r="V37" s="30" t="str">
        <f t="array" ref="V37">IF($A37="", "", LET(bbgm_stat, INDEX(Players!$A36:$P36, MATCH(V$2, Players!$A$1:$P$1, 0)), perc_75, VLOOKUP(V$2, Percentiles!$A$45:$I$59, 6, FALSE), perc_90, VLOOKUP(V$2, Percentiles!$A$45:$I$59, 7, FALSE), perc_95, VLOOKUP(V$2, Percentiles!$A$45:$I$59, 8, FALSE), perc_85, perc_75 + (perc_90 - perc_75) * (2/3), converted_stat, '2K_Ratings'!V37, IF(bbgm_stat &gt;= perc_95, converted_stat * 3, IF(bbgm_stat &gt;= perc_90, converted_stat * 2, IF(bbgm_stat &gt;= perc_85, converted_stat * 1.5, converted_stat)))))</f>
        <v/>
      </c>
      <c r="W37" s="30" t="str">
        <f t="array" ref="W37">IF($A37="", "", LET(bbgm_stat, INDEX(Players!$A36:$P36, MATCH(W$2, Players!$A$1:$P$1, 0)), perc_75, VLOOKUP(W$2, Percentiles!$A$45:$I$59, 6, FALSE), perc_90, VLOOKUP(W$2, Percentiles!$A$45:$I$59, 7, FALSE), perc_95, VLOOKUP(W$2, Percentiles!$A$45:$I$59, 8, FALSE), perc_85, perc_75 + (perc_90 - perc_75) * (2/3), converted_stat, '2K_Ratings'!W37, IF(bbgm_stat &gt;= perc_95, converted_stat * 3, IF(bbgm_stat &gt;= perc_90, converted_stat * 2, IF(bbgm_stat &gt;= perc_85, converted_stat * 1.5, converted_stat)))))</f>
        <v/>
      </c>
    </row>
    <row r="38">
      <c r="A38" s="30" t="str">
        <f>IF(Players!A37="", "", Players!A37)</f>
        <v/>
      </c>
      <c r="B38" s="30" t="str">
        <f t="array" ref="B38">IF($A38="", "", LET(bbgm_stat, INDEX(Players!$A37:$P37, MATCH(B$2, Players!$A$1:$P$1, 0)), perc_75, VLOOKUP(B$2, Percentiles!$A$45:$I$59, 6, FALSE), perc_90, VLOOKUP(B$2, Percentiles!$A$45:$I$59, 7, FALSE), perc_95, VLOOKUP(B$2, Percentiles!$A$45:$I$59, 8, FALSE), perc_85, perc_75 + (perc_90 - perc_75) * (2/3), converted_stat, '2K_Ratings'!B38, IF(bbgm_stat &gt;= perc_95, converted_stat * 3, IF(bbgm_stat &gt;= perc_90, converted_stat * 2, IF(bbgm_stat &gt;= perc_85, converted_stat * 1.5, converted_stat)))))</f>
        <v/>
      </c>
      <c r="C38" s="30" t="str">
        <f t="array" ref="C38">IF($A38="", "", LET(bbgm_stat, INDEX(Players!$A37:$P37, MATCH(C$2, Players!$A$1:$P$1, 0)), perc_75, VLOOKUP(C$2, Percentiles!$A$45:$I$59, 6, FALSE), perc_90, VLOOKUP(C$2, Percentiles!$A$45:$I$59, 7, FALSE), perc_95, VLOOKUP(C$2, Percentiles!$A$45:$I$59, 8, FALSE), perc_85, perc_75 + (perc_90 - perc_75) * (2/3), converted_stat, '2K_Ratings'!C38, IF(bbgm_stat &gt;= perc_95, converted_stat * 3, IF(bbgm_stat &gt;= perc_90, converted_stat * 2, IF(bbgm_stat &gt;= perc_85, converted_stat * 1.5, converted_stat)))))</f>
        <v/>
      </c>
      <c r="D38" s="30" t="str">
        <f t="array" ref="D38">IF($A38="", "", LET(bbgm_stat, INDEX(Players!$A37:$P37, MATCH(D$2, Players!$A$1:$P$1, 0)), perc_75, VLOOKUP(D$2, Percentiles!$A$45:$I$59, 6, FALSE), perc_90, VLOOKUP(D$2, Percentiles!$A$45:$I$59, 7, FALSE), perc_95, VLOOKUP(D$2, Percentiles!$A$45:$I$59, 8, FALSE), perc_85, perc_75 + (perc_90 - perc_75) * (2/3), converted_stat, '2K_Ratings'!D38, IF(bbgm_stat &gt;= perc_95, converted_stat * 3, IF(bbgm_stat &gt;= perc_90, converted_stat * 2, IF(bbgm_stat &gt;= perc_85, converted_stat * 1.5, converted_stat)))))</f>
        <v/>
      </c>
      <c r="E38" s="30" t="str">
        <f t="array" ref="E38">IF($A38="", "", LET(bbgm_stat, INDEX(Players!$A37:$P37, MATCH(E$2, Players!$A$1:$P$1, 0)), perc_75, VLOOKUP(E$2, Percentiles!$A$45:$I$59, 6, FALSE), perc_90, VLOOKUP(E$2, Percentiles!$A$45:$I$59, 7, FALSE), perc_95, VLOOKUP(E$2, Percentiles!$A$45:$I$59, 8, FALSE), perc_85, perc_75 + (perc_90 - perc_75) * (2/3), converted_stat, '2K_Ratings'!E38, IF(bbgm_stat &gt;= perc_95, converted_stat * 3, IF(bbgm_stat &gt;= perc_90, converted_stat * 2, IF(bbgm_stat &gt;= perc_85, converted_stat * 1.5, converted_stat)))))</f>
        <v/>
      </c>
      <c r="F38" s="30" t="str">
        <f t="array" ref="F38">IF($A38="", "", LET(bbgm_stat, INDEX(Players!$A37:$P37, MATCH(F$2, Players!$A$1:$P$1, 0)), perc_75, VLOOKUP(F$2, Percentiles!$A$45:$I$59, 6, FALSE), perc_90, VLOOKUP(F$2, Percentiles!$A$45:$I$59, 7, FALSE), perc_95, VLOOKUP(F$2, Percentiles!$A$45:$I$59, 8, FALSE), perc_85, perc_75 + (perc_90 - perc_75) * (2/3), converted_stat, '2K_Ratings'!F38, IF(bbgm_stat &gt;= perc_95, converted_stat * 3, IF(bbgm_stat &gt;= perc_90, converted_stat * 2, IF(bbgm_stat &gt;= perc_85, converted_stat * 1.5, converted_stat)))))</f>
        <v/>
      </c>
      <c r="G38" s="30" t="str">
        <f t="array" ref="G38">IF($A38="", "", LET(bbgm_stat, INDEX(Players!$A37:$P37, MATCH(G$2, Players!$A$1:$P$1, 0)), perc_75, VLOOKUP(G$2, Percentiles!$A$45:$I$59, 6, FALSE), perc_90, VLOOKUP(G$2, Percentiles!$A$45:$I$59, 7, FALSE), perc_95, VLOOKUP(G$2, Percentiles!$A$45:$I$59, 8, FALSE), perc_85, perc_75 + (perc_90 - perc_75) * (2/3), converted_stat, '2K_Ratings'!G38, IF(bbgm_stat &gt;= perc_95, converted_stat * 3, IF(bbgm_stat &gt;= perc_90, converted_stat * 2, IF(bbgm_stat &gt;= perc_85, converted_stat * 1.5, converted_stat)))))</f>
        <v/>
      </c>
      <c r="H38" s="30" t="str">
        <f t="array" ref="H38">IF($A38="", "", LET(bbgm_stat, INDEX(Players!$A37:$P37, MATCH(H$2, Players!$A$1:$P$1, 0)), perc_75, VLOOKUP(H$2, Percentiles!$A$45:$I$59, 6, FALSE), perc_90, VLOOKUP(H$2, Percentiles!$A$45:$I$59, 7, FALSE), perc_95, VLOOKUP(H$2, Percentiles!$A$45:$I$59, 8, FALSE), perc_85, perc_75 + (perc_90 - perc_75) * (2/3), converted_stat, '2K_Ratings'!H38, IF(bbgm_stat &gt;= perc_95, converted_stat * 3, IF(bbgm_stat &gt;= perc_90, converted_stat * 2, IF(bbgm_stat &gt;= perc_85, converted_stat * 1.5, converted_stat)))))</f>
        <v/>
      </c>
      <c r="I38" s="30" t="str">
        <f t="array" ref="I38">IF($A38="", "", LET(bbgm_stat, INDEX(Players!$A37:$P37, MATCH(I$2, Players!$A$1:$P$1, 0)), perc_75, VLOOKUP(I$2, Percentiles!$A$45:$I$59, 6, FALSE), perc_90, VLOOKUP(I$2, Percentiles!$A$45:$I$59, 7, FALSE), perc_95, VLOOKUP(I$2, Percentiles!$A$45:$I$59, 8, FALSE), perc_85, perc_75 + (perc_90 - perc_75) * (2/3), converted_stat, '2K_Ratings'!I38, IF(bbgm_stat &gt;= perc_95, converted_stat * 3, IF(bbgm_stat &gt;= perc_90, converted_stat * 2, IF(bbgm_stat &gt;= perc_85, converted_stat * 1.5, converted_stat)))))</f>
        <v/>
      </c>
      <c r="J38" s="30" t="str">
        <f t="array" ref="J38">IF($A38="", "", LET(bbgm_stat, INDEX(Players!$A37:$P37, MATCH(J$2, Players!$A$1:$P$1, 0)), perc_75, VLOOKUP(J$2, Percentiles!$A$45:$I$59, 6, FALSE), perc_90, VLOOKUP(J$2, Percentiles!$A$45:$I$59, 7, FALSE), perc_95, VLOOKUP(J$2, Percentiles!$A$45:$I$59, 8, FALSE), perc_85, perc_75 + (perc_90 - perc_75) * (2/3), converted_stat, '2K_Ratings'!J38, IF(bbgm_stat &gt;= perc_95, converted_stat * 3, IF(bbgm_stat &gt;= perc_90, converted_stat * 2, IF(bbgm_stat &gt;= perc_85, converted_stat * 1.5, converted_stat)))))</f>
        <v/>
      </c>
      <c r="K38" s="30" t="str">
        <f t="array" ref="K38">IF($A38="", "", LET(bbgm_stat, INDEX(Players!$A37:$P37, MATCH(K$2, Players!$A$1:$P$1, 0)), perc_75, VLOOKUP(K$2, Percentiles!$A$45:$I$59, 6, FALSE), perc_90, VLOOKUP(K$2, Percentiles!$A$45:$I$59, 7, FALSE), perc_95, VLOOKUP(K$2, Percentiles!$A$45:$I$59, 8, FALSE), perc_85, perc_75 + (perc_90 - perc_75) * (2/3), converted_stat, '2K_Ratings'!K38, IF(bbgm_stat &gt;= perc_95, converted_stat * 3, IF(bbgm_stat &gt;= perc_90, converted_stat * 2, IF(bbgm_stat &gt;= perc_85, converted_stat * 1.5, converted_stat)))))</f>
        <v/>
      </c>
      <c r="L38" s="30" t="str">
        <f t="array" ref="L38">IF($A38="", "", LET(bbgm_stat, INDEX(Players!$A37:$P37, MATCH(L$2, Players!$A$1:$P$1, 0)), perc_75, VLOOKUP(L$2, Percentiles!$A$45:$I$59, 6, FALSE), perc_90, VLOOKUP(L$2, Percentiles!$A$45:$I$59, 7, FALSE), perc_95, VLOOKUP(L$2, Percentiles!$A$45:$I$59, 8, FALSE), perc_85, perc_75 + (perc_90 - perc_75) * (2/3), converted_stat, '2K_Ratings'!L38, IF(bbgm_stat &gt;= perc_95, converted_stat * 3, IF(bbgm_stat &gt;= perc_90, converted_stat * 2, IF(bbgm_stat &gt;= perc_85, converted_stat * 1.5, converted_stat)))))</f>
        <v/>
      </c>
      <c r="M38" s="30" t="str">
        <f t="array" ref="M38">IF($A38="", "", LET(bbgm_stat, INDEX(Players!$A37:$P37, MATCH(M$2, Players!$A$1:$P$1, 0)), perc_75, VLOOKUP(M$2, Percentiles!$A$45:$I$59, 6, FALSE), perc_90, VLOOKUP(M$2, Percentiles!$A$45:$I$59, 7, FALSE), perc_95, VLOOKUP(M$2, Percentiles!$A$45:$I$59, 8, FALSE), perc_85, perc_75 + (perc_90 - perc_75) * (2/3), converted_stat, '2K_Ratings'!M38, IF(bbgm_stat &gt;= perc_95, converted_stat * 3, IF(bbgm_stat &gt;= perc_90, converted_stat * 2, IF(bbgm_stat &gt;= perc_85, converted_stat * 1.5, converted_stat)))))</f>
        <v/>
      </c>
      <c r="N38" s="30" t="str">
        <f t="array" ref="N38">IF($A38="", "", LET(bbgm_stat, INDEX(Players!$A37:$P37, MATCH(N$2, Players!$A$1:$P$1, 0)), perc_75, VLOOKUP(N$2, Percentiles!$A$45:$I$59, 6, FALSE), perc_90, VLOOKUP(N$2, Percentiles!$A$45:$I$59, 7, FALSE), perc_95, VLOOKUP(N$2, Percentiles!$A$45:$I$59, 8, FALSE), perc_85, perc_75 + (perc_90 - perc_75) * (2/3), converted_stat, '2K_Ratings'!N38, IF(bbgm_stat &gt;= perc_95, converted_stat * 3, IF(bbgm_stat &gt;= perc_90, converted_stat * 2, IF(bbgm_stat &gt;= perc_85, converted_stat * 1.5, converted_stat)))))</f>
        <v/>
      </c>
      <c r="O38" s="30" t="str">
        <f t="array" ref="O38">IF($A38="", "", LET(bbgm_stat, INDEX(Players!$A37:$P37, MATCH(O$2, Players!$A$1:$P$1, 0)), perc_75, VLOOKUP(O$2, Percentiles!$A$45:$I$59, 6, FALSE), perc_90, VLOOKUP(O$2, Percentiles!$A$45:$I$59, 7, FALSE), perc_95, VLOOKUP(O$2, Percentiles!$A$45:$I$59, 8, FALSE), perc_85, perc_75 + (perc_90 - perc_75) * (2/3), converted_stat, '2K_Ratings'!O38, IF(bbgm_stat &gt;= perc_95, converted_stat * 3, IF(bbgm_stat &gt;= perc_90, converted_stat * 2, IF(bbgm_stat &gt;= perc_85, converted_stat * 1.5, converted_stat)))))</f>
        <v/>
      </c>
      <c r="P38" s="30" t="str">
        <f t="array" ref="P38">IF($A38="", "", LET(bbgm_stat, INDEX(Players!$A37:$P37, MATCH(P$2, Players!$A$1:$P$1, 0)), perc_75, VLOOKUP(P$2, Percentiles!$A$45:$I$59, 6, FALSE), perc_90, VLOOKUP(P$2, Percentiles!$A$45:$I$59, 7, FALSE), perc_95, VLOOKUP(P$2, Percentiles!$A$45:$I$59, 8, FALSE), perc_85, perc_75 + (perc_90 - perc_75) * (2/3), converted_stat, '2K_Ratings'!P38, IF(bbgm_stat &gt;= perc_95, converted_stat * 3, IF(bbgm_stat &gt;= perc_90, converted_stat * 2, IF(bbgm_stat &gt;= perc_85, converted_stat * 1.5, converted_stat)))))</f>
        <v/>
      </c>
      <c r="Q38" s="30" t="str">
        <f t="array" ref="Q38">IF($A38="", "", LET(bbgm_stat, INDEX(Players!$A37:$P37, MATCH(Q$2, Players!$A$1:$P$1, 0)), perc_75, VLOOKUP(Q$2, Percentiles!$A$45:$I$59, 6, FALSE), perc_90, VLOOKUP(Q$2, Percentiles!$A$45:$I$59, 7, FALSE), perc_95, VLOOKUP(Q$2, Percentiles!$A$45:$I$59, 8, FALSE), perc_85, perc_75 + (perc_90 - perc_75) * (2/3), converted_stat, '2K_Ratings'!Q38, IF(bbgm_stat &gt;= perc_95, converted_stat * 3, IF(bbgm_stat &gt;= perc_90, converted_stat * 2, IF(bbgm_stat &gt;= perc_85, converted_stat * 1.5, converted_stat)))))</f>
        <v/>
      </c>
      <c r="R38" s="30" t="str">
        <f t="array" ref="R38">IF($A38="", "", LET(bbgm_stat, INDEX(Players!$A37:$P37, MATCH(R$2, Players!$A$1:$P$1, 0)), perc_75, VLOOKUP(R$2, Percentiles!$A$45:$I$59, 6, FALSE), perc_90, VLOOKUP(R$2, Percentiles!$A$45:$I$59, 7, FALSE), perc_95, VLOOKUP(R$2, Percentiles!$A$45:$I$59, 8, FALSE), perc_85, perc_75 + (perc_90 - perc_75) * (2/3), converted_stat, '2K_Ratings'!R38, IF(bbgm_stat &gt;= perc_95, converted_stat * 3, IF(bbgm_stat &gt;= perc_90, converted_stat * 2, IF(bbgm_stat &gt;= perc_85, converted_stat * 1.5, converted_stat)))))</f>
        <v/>
      </c>
      <c r="S38" s="30" t="str">
        <f t="array" ref="S38">IF($A38="", "", LET(bbgm_stat, INDEX(Players!$A37:$P37, MATCH(S$2, Players!$A$1:$P$1, 0)), perc_75, VLOOKUP(S$2, Percentiles!$A$45:$I$59, 6, FALSE), perc_90, VLOOKUP(S$2, Percentiles!$A$45:$I$59, 7, FALSE), perc_95, VLOOKUP(S$2, Percentiles!$A$45:$I$59, 8, FALSE), perc_85, perc_75 + (perc_90 - perc_75) * (2/3), converted_stat, '2K_Ratings'!S38, IF(bbgm_stat &gt;= perc_95, converted_stat * 3, IF(bbgm_stat &gt;= perc_90, converted_stat * 2, IF(bbgm_stat &gt;= perc_85, converted_stat * 1.5, converted_stat)))))</f>
        <v/>
      </c>
      <c r="T38" s="30" t="str">
        <f t="array" ref="T38">IF($A38="", "", LET(bbgm_stat, INDEX(Players!$A37:$P37, MATCH(T$2, Players!$A$1:$P$1, 0)), perc_75, VLOOKUP(T$2, Percentiles!$A$45:$I$59, 6, FALSE), perc_90, VLOOKUP(T$2, Percentiles!$A$45:$I$59, 7, FALSE), perc_95, VLOOKUP(T$2, Percentiles!$A$45:$I$59, 8, FALSE), perc_85, perc_75 + (perc_90 - perc_75) * (2/3), converted_stat, '2K_Ratings'!T38, IF(bbgm_stat &gt;= perc_95, converted_stat * 3, IF(bbgm_stat &gt;= perc_90, converted_stat * 2, IF(bbgm_stat &gt;= perc_85, converted_stat * 1.5, converted_stat)))))</f>
        <v/>
      </c>
      <c r="U38" s="30" t="str">
        <f t="array" ref="U38">IF($A38="", "", LET(bbgm_stat, INDEX(Players!$A37:$P37, MATCH(U$2, Players!$A$1:$P$1, 0)), perc_75, VLOOKUP(U$2, Percentiles!$A$45:$I$59, 6, FALSE), perc_90, VLOOKUP(U$2, Percentiles!$A$45:$I$59, 7, FALSE), perc_95, VLOOKUP(U$2, Percentiles!$A$45:$I$59, 8, FALSE), perc_85, perc_75 + (perc_90 - perc_75) * (2/3), converted_stat, '2K_Ratings'!U38, IF(bbgm_stat &gt;= perc_95, converted_stat * 3, IF(bbgm_stat &gt;= perc_90, converted_stat * 2, IF(bbgm_stat &gt;= perc_85, converted_stat * 1.5, converted_stat)))))</f>
        <v/>
      </c>
      <c r="V38" s="30" t="str">
        <f t="array" ref="V38">IF($A38="", "", LET(bbgm_stat, INDEX(Players!$A37:$P37, MATCH(V$2, Players!$A$1:$P$1, 0)), perc_75, VLOOKUP(V$2, Percentiles!$A$45:$I$59, 6, FALSE), perc_90, VLOOKUP(V$2, Percentiles!$A$45:$I$59, 7, FALSE), perc_95, VLOOKUP(V$2, Percentiles!$A$45:$I$59, 8, FALSE), perc_85, perc_75 + (perc_90 - perc_75) * (2/3), converted_stat, '2K_Ratings'!V38, IF(bbgm_stat &gt;= perc_95, converted_stat * 3, IF(bbgm_stat &gt;= perc_90, converted_stat * 2, IF(bbgm_stat &gt;= perc_85, converted_stat * 1.5, converted_stat)))))</f>
        <v/>
      </c>
      <c r="W38" s="30" t="str">
        <f t="array" ref="W38">IF($A38="", "", LET(bbgm_stat, INDEX(Players!$A37:$P37, MATCH(W$2, Players!$A$1:$P$1, 0)), perc_75, VLOOKUP(W$2, Percentiles!$A$45:$I$59, 6, FALSE), perc_90, VLOOKUP(W$2, Percentiles!$A$45:$I$59, 7, FALSE), perc_95, VLOOKUP(W$2, Percentiles!$A$45:$I$59, 8, FALSE), perc_85, perc_75 + (perc_90 - perc_75) * (2/3), converted_stat, '2K_Ratings'!W38, IF(bbgm_stat &gt;= perc_95, converted_stat * 3, IF(bbgm_stat &gt;= perc_90, converted_stat * 2, IF(bbgm_stat &gt;= perc_85, converted_stat * 1.5, converted_stat)))))</f>
        <v/>
      </c>
    </row>
    <row r="39">
      <c r="A39" s="30" t="str">
        <f>IF(Players!A38="", "", Players!A38)</f>
        <v/>
      </c>
      <c r="B39" s="30" t="str">
        <f t="array" ref="B39">IF($A39="", "", LET(bbgm_stat, INDEX(Players!$A38:$P38, MATCH(B$2, Players!$A$1:$P$1, 0)), perc_75, VLOOKUP(B$2, Percentiles!$A$45:$I$59, 6, FALSE), perc_90, VLOOKUP(B$2, Percentiles!$A$45:$I$59, 7, FALSE), perc_95, VLOOKUP(B$2, Percentiles!$A$45:$I$59, 8, FALSE), perc_85, perc_75 + (perc_90 - perc_75) * (2/3), converted_stat, '2K_Ratings'!B39, IF(bbgm_stat &gt;= perc_95, converted_stat * 3, IF(bbgm_stat &gt;= perc_90, converted_stat * 2, IF(bbgm_stat &gt;= perc_85, converted_stat * 1.5, converted_stat)))))</f>
        <v/>
      </c>
      <c r="C39" s="30" t="str">
        <f t="array" ref="C39">IF($A39="", "", LET(bbgm_stat, INDEX(Players!$A38:$P38, MATCH(C$2, Players!$A$1:$P$1, 0)), perc_75, VLOOKUP(C$2, Percentiles!$A$45:$I$59, 6, FALSE), perc_90, VLOOKUP(C$2, Percentiles!$A$45:$I$59, 7, FALSE), perc_95, VLOOKUP(C$2, Percentiles!$A$45:$I$59, 8, FALSE), perc_85, perc_75 + (perc_90 - perc_75) * (2/3), converted_stat, '2K_Ratings'!C39, IF(bbgm_stat &gt;= perc_95, converted_stat * 3, IF(bbgm_stat &gt;= perc_90, converted_stat * 2, IF(bbgm_stat &gt;= perc_85, converted_stat * 1.5, converted_stat)))))</f>
        <v/>
      </c>
      <c r="D39" s="30" t="str">
        <f t="array" ref="D39">IF($A39="", "", LET(bbgm_stat, INDEX(Players!$A38:$P38, MATCH(D$2, Players!$A$1:$P$1, 0)), perc_75, VLOOKUP(D$2, Percentiles!$A$45:$I$59, 6, FALSE), perc_90, VLOOKUP(D$2, Percentiles!$A$45:$I$59, 7, FALSE), perc_95, VLOOKUP(D$2, Percentiles!$A$45:$I$59, 8, FALSE), perc_85, perc_75 + (perc_90 - perc_75) * (2/3), converted_stat, '2K_Ratings'!D39, IF(bbgm_stat &gt;= perc_95, converted_stat * 3, IF(bbgm_stat &gt;= perc_90, converted_stat * 2, IF(bbgm_stat &gt;= perc_85, converted_stat * 1.5, converted_stat)))))</f>
        <v/>
      </c>
      <c r="E39" s="30" t="str">
        <f t="array" ref="E39">IF($A39="", "", LET(bbgm_stat, INDEX(Players!$A38:$P38, MATCH(E$2, Players!$A$1:$P$1, 0)), perc_75, VLOOKUP(E$2, Percentiles!$A$45:$I$59, 6, FALSE), perc_90, VLOOKUP(E$2, Percentiles!$A$45:$I$59, 7, FALSE), perc_95, VLOOKUP(E$2, Percentiles!$A$45:$I$59, 8, FALSE), perc_85, perc_75 + (perc_90 - perc_75) * (2/3), converted_stat, '2K_Ratings'!E39, IF(bbgm_stat &gt;= perc_95, converted_stat * 3, IF(bbgm_stat &gt;= perc_90, converted_stat * 2, IF(bbgm_stat &gt;= perc_85, converted_stat * 1.5, converted_stat)))))</f>
        <v/>
      </c>
      <c r="F39" s="30" t="str">
        <f t="array" ref="F39">IF($A39="", "", LET(bbgm_stat, INDEX(Players!$A38:$P38, MATCH(F$2, Players!$A$1:$P$1, 0)), perc_75, VLOOKUP(F$2, Percentiles!$A$45:$I$59, 6, FALSE), perc_90, VLOOKUP(F$2, Percentiles!$A$45:$I$59, 7, FALSE), perc_95, VLOOKUP(F$2, Percentiles!$A$45:$I$59, 8, FALSE), perc_85, perc_75 + (perc_90 - perc_75) * (2/3), converted_stat, '2K_Ratings'!F39, IF(bbgm_stat &gt;= perc_95, converted_stat * 3, IF(bbgm_stat &gt;= perc_90, converted_stat * 2, IF(bbgm_stat &gt;= perc_85, converted_stat * 1.5, converted_stat)))))</f>
        <v/>
      </c>
      <c r="G39" s="30" t="str">
        <f t="array" ref="G39">IF($A39="", "", LET(bbgm_stat, INDEX(Players!$A38:$P38, MATCH(G$2, Players!$A$1:$P$1, 0)), perc_75, VLOOKUP(G$2, Percentiles!$A$45:$I$59, 6, FALSE), perc_90, VLOOKUP(G$2, Percentiles!$A$45:$I$59, 7, FALSE), perc_95, VLOOKUP(G$2, Percentiles!$A$45:$I$59, 8, FALSE), perc_85, perc_75 + (perc_90 - perc_75) * (2/3), converted_stat, '2K_Ratings'!G39, IF(bbgm_stat &gt;= perc_95, converted_stat * 3, IF(bbgm_stat &gt;= perc_90, converted_stat * 2, IF(bbgm_stat &gt;= perc_85, converted_stat * 1.5, converted_stat)))))</f>
        <v/>
      </c>
      <c r="H39" s="30" t="str">
        <f t="array" ref="H39">IF($A39="", "", LET(bbgm_stat, INDEX(Players!$A38:$P38, MATCH(H$2, Players!$A$1:$P$1, 0)), perc_75, VLOOKUP(H$2, Percentiles!$A$45:$I$59, 6, FALSE), perc_90, VLOOKUP(H$2, Percentiles!$A$45:$I$59, 7, FALSE), perc_95, VLOOKUP(H$2, Percentiles!$A$45:$I$59, 8, FALSE), perc_85, perc_75 + (perc_90 - perc_75) * (2/3), converted_stat, '2K_Ratings'!H39, IF(bbgm_stat &gt;= perc_95, converted_stat * 3, IF(bbgm_stat &gt;= perc_90, converted_stat * 2, IF(bbgm_stat &gt;= perc_85, converted_stat * 1.5, converted_stat)))))</f>
        <v/>
      </c>
      <c r="I39" s="30" t="str">
        <f t="array" ref="I39">IF($A39="", "", LET(bbgm_stat, INDEX(Players!$A38:$P38, MATCH(I$2, Players!$A$1:$P$1, 0)), perc_75, VLOOKUP(I$2, Percentiles!$A$45:$I$59, 6, FALSE), perc_90, VLOOKUP(I$2, Percentiles!$A$45:$I$59, 7, FALSE), perc_95, VLOOKUP(I$2, Percentiles!$A$45:$I$59, 8, FALSE), perc_85, perc_75 + (perc_90 - perc_75) * (2/3), converted_stat, '2K_Ratings'!I39, IF(bbgm_stat &gt;= perc_95, converted_stat * 3, IF(bbgm_stat &gt;= perc_90, converted_stat * 2, IF(bbgm_stat &gt;= perc_85, converted_stat * 1.5, converted_stat)))))</f>
        <v/>
      </c>
      <c r="J39" s="30" t="str">
        <f t="array" ref="J39">IF($A39="", "", LET(bbgm_stat, INDEX(Players!$A38:$P38, MATCH(J$2, Players!$A$1:$P$1, 0)), perc_75, VLOOKUP(J$2, Percentiles!$A$45:$I$59, 6, FALSE), perc_90, VLOOKUP(J$2, Percentiles!$A$45:$I$59, 7, FALSE), perc_95, VLOOKUP(J$2, Percentiles!$A$45:$I$59, 8, FALSE), perc_85, perc_75 + (perc_90 - perc_75) * (2/3), converted_stat, '2K_Ratings'!J39, IF(bbgm_stat &gt;= perc_95, converted_stat * 3, IF(bbgm_stat &gt;= perc_90, converted_stat * 2, IF(bbgm_stat &gt;= perc_85, converted_stat * 1.5, converted_stat)))))</f>
        <v/>
      </c>
      <c r="K39" s="30" t="str">
        <f t="array" ref="K39">IF($A39="", "", LET(bbgm_stat, INDEX(Players!$A38:$P38, MATCH(K$2, Players!$A$1:$P$1, 0)), perc_75, VLOOKUP(K$2, Percentiles!$A$45:$I$59, 6, FALSE), perc_90, VLOOKUP(K$2, Percentiles!$A$45:$I$59, 7, FALSE), perc_95, VLOOKUP(K$2, Percentiles!$A$45:$I$59, 8, FALSE), perc_85, perc_75 + (perc_90 - perc_75) * (2/3), converted_stat, '2K_Ratings'!K39, IF(bbgm_stat &gt;= perc_95, converted_stat * 3, IF(bbgm_stat &gt;= perc_90, converted_stat * 2, IF(bbgm_stat &gt;= perc_85, converted_stat * 1.5, converted_stat)))))</f>
        <v/>
      </c>
      <c r="L39" s="30" t="str">
        <f t="array" ref="L39">IF($A39="", "", LET(bbgm_stat, INDEX(Players!$A38:$P38, MATCH(L$2, Players!$A$1:$P$1, 0)), perc_75, VLOOKUP(L$2, Percentiles!$A$45:$I$59, 6, FALSE), perc_90, VLOOKUP(L$2, Percentiles!$A$45:$I$59, 7, FALSE), perc_95, VLOOKUP(L$2, Percentiles!$A$45:$I$59, 8, FALSE), perc_85, perc_75 + (perc_90 - perc_75) * (2/3), converted_stat, '2K_Ratings'!L39, IF(bbgm_stat &gt;= perc_95, converted_stat * 3, IF(bbgm_stat &gt;= perc_90, converted_stat * 2, IF(bbgm_stat &gt;= perc_85, converted_stat * 1.5, converted_stat)))))</f>
        <v/>
      </c>
      <c r="M39" s="30" t="str">
        <f t="array" ref="M39">IF($A39="", "", LET(bbgm_stat, INDEX(Players!$A38:$P38, MATCH(M$2, Players!$A$1:$P$1, 0)), perc_75, VLOOKUP(M$2, Percentiles!$A$45:$I$59, 6, FALSE), perc_90, VLOOKUP(M$2, Percentiles!$A$45:$I$59, 7, FALSE), perc_95, VLOOKUP(M$2, Percentiles!$A$45:$I$59, 8, FALSE), perc_85, perc_75 + (perc_90 - perc_75) * (2/3), converted_stat, '2K_Ratings'!M39, IF(bbgm_stat &gt;= perc_95, converted_stat * 3, IF(bbgm_stat &gt;= perc_90, converted_stat * 2, IF(bbgm_stat &gt;= perc_85, converted_stat * 1.5, converted_stat)))))</f>
        <v/>
      </c>
      <c r="N39" s="30" t="str">
        <f t="array" ref="N39">IF($A39="", "", LET(bbgm_stat, INDEX(Players!$A38:$P38, MATCH(N$2, Players!$A$1:$P$1, 0)), perc_75, VLOOKUP(N$2, Percentiles!$A$45:$I$59, 6, FALSE), perc_90, VLOOKUP(N$2, Percentiles!$A$45:$I$59, 7, FALSE), perc_95, VLOOKUP(N$2, Percentiles!$A$45:$I$59, 8, FALSE), perc_85, perc_75 + (perc_90 - perc_75) * (2/3), converted_stat, '2K_Ratings'!N39, IF(bbgm_stat &gt;= perc_95, converted_stat * 3, IF(bbgm_stat &gt;= perc_90, converted_stat * 2, IF(bbgm_stat &gt;= perc_85, converted_stat * 1.5, converted_stat)))))</f>
        <v/>
      </c>
      <c r="O39" s="30" t="str">
        <f t="array" ref="O39">IF($A39="", "", LET(bbgm_stat, INDEX(Players!$A38:$P38, MATCH(O$2, Players!$A$1:$P$1, 0)), perc_75, VLOOKUP(O$2, Percentiles!$A$45:$I$59, 6, FALSE), perc_90, VLOOKUP(O$2, Percentiles!$A$45:$I$59, 7, FALSE), perc_95, VLOOKUP(O$2, Percentiles!$A$45:$I$59, 8, FALSE), perc_85, perc_75 + (perc_90 - perc_75) * (2/3), converted_stat, '2K_Ratings'!O39, IF(bbgm_stat &gt;= perc_95, converted_stat * 3, IF(bbgm_stat &gt;= perc_90, converted_stat * 2, IF(bbgm_stat &gt;= perc_85, converted_stat * 1.5, converted_stat)))))</f>
        <v/>
      </c>
      <c r="P39" s="30" t="str">
        <f t="array" ref="P39">IF($A39="", "", LET(bbgm_stat, INDEX(Players!$A38:$P38, MATCH(P$2, Players!$A$1:$P$1, 0)), perc_75, VLOOKUP(P$2, Percentiles!$A$45:$I$59, 6, FALSE), perc_90, VLOOKUP(P$2, Percentiles!$A$45:$I$59, 7, FALSE), perc_95, VLOOKUP(P$2, Percentiles!$A$45:$I$59, 8, FALSE), perc_85, perc_75 + (perc_90 - perc_75) * (2/3), converted_stat, '2K_Ratings'!P39, IF(bbgm_stat &gt;= perc_95, converted_stat * 3, IF(bbgm_stat &gt;= perc_90, converted_stat * 2, IF(bbgm_stat &gt;= perc_85, converted_stat * 1.5, converted_stat)))))</f>
        <v/>
      </c>
      <c r="Q39" s="30" t="str">
        <f t="array" ref="Q39">IF($A39="", "", LET(bbgm_stat, INDEX(Players!$A38:$P38, MATCH(Q$2, Players!$A$1:$P$1, 0)), perc_75, VLOOKUP(Q$2, Percentiles!$A$45:$I$59, 6, FALSE), perc_90, VLOOKUP(Q$2, Percentiles!$A$45:$I$59, 7, FALSE), perc_95, VLOOKUP(Q$2, Percentiles!$A$45:$I$59, 8, FALSE), perc_85, perc_75 + (perc_90 - perc_75) * (2/3), converted_stat, '2K_Ratings'!Q39, IF(bbgm_stat &gt;= perc_95, converted_stat * 3, IF(bbgm_stat &gt;= perc_90, converted_stat * 2, IF(bbgm_stat &gt;= perc_85, converted_stat * 1.5, converted_stat)))))</f>
        <v/>
      </c>
      <c r="R39" s="30" t="str">
        <f t="array" ref="R39">IF($A39="", "", LET(bbgm_stat, INDEX(Players!$A38:$P38, MATCH(R$2, Players!$A$1:$P$1, 0)), perc_75, VLOOKUP(R$2, Percentiles!$A$45:$I$59, 6, FALSE), perc_90, VLOOKUP(R$2, Percentiles!$A$45:$I$59, 7, FALSE), perc_95, VLOOKUP(R$2, Percentiles!$A$45:$I$59, 8, FALSE), perc_85, perc_75 + (perc_90 - perc_75) * (2/3), converted_stat, '2K_Ratings'!R39, IF(bbgm_stat &gt;= perc_95, converted_stat * 3, IF(bbgm_stat &gt;= perc_90, converted_stat * 2, IF(bbgm_stat &gt;= perc_85, converted_stat * 1.5, converted_stat)))))</f>
        <v/>
      </c>
      <c r="S39" s="30" t="str">
        <f t="array" ref="S39">IF($A39="", "", LET(bbgm_stat, INDEX(Players!$A38:$P38, MATCH(S$2, Players!$A$1:$P$1, 0)), perc_75, VLOOKUP(S$2, Percentiles!$A$45:$I$59, 6, FALSE), perc_90, VLOOKUP(S$2, Percentiles!$A$45:$I$59, 7, FALSE), perc_95, VLOOKUP(S$2, Percentiles!$A$45:$I$59, 8, FALSE), perc_85, perc_75 + (perc_90 - perc_75) * (2/3), converted_stat, '2K_Ratings'!S39, IF(bbgm_stat &gt;= perc_95, converted_stat * 3, IF(bbgm_stat &gt;= perc_90, converted_stat * 2, IF(bbgm_stat &gt;= perc_85, converted_stat * 1.5, converted_stat)))))</f>
        <v/>
      </c>
      <c r="T39" s="30" t="str">
        <f t="array" ref="T39">IF($A39="", "", LET(bbgm_stat, INDEX(Players!$A38:$P38, MATCH(T$2, Players!$A$1:$P$1, 0)), perc_75, VLOOKUP(T$2, Percentiles!$A$45:$I$59, 6, FALSE), perc_90, VLOOKUP(T$2, Percentiles!$A$45:$I$59, 7, FALSE), perc_95, VLOOKUP(T$2, Percentiles!$A$45:$I$59, 8, FALSE), perc_85, perc_75 + (perc_90 - perc_75) * (2/3), converted_stat, '2K_Ratings'!T39, IF(bbgm_stat &gt;= perc_95, converted_stat * 3, IF(bbgm_stat &gt;= perc_90, converted_stat * 2, IF(bbgm_stat &gt;= perc_85, converted_stat * 1.5, converted_stat)))))</f>
        <v/>
      </c>
      <c r="U39" s="30" t="str">
        <f t="array" ref="U39">IF($A39="", "", LET(bbgm_stat, INDEX(Players!$A38:$P38, MATCH(U$2, Players!$A$1:$P$1, 0)), perc_75, VLOOKUP(U$2, Percentiles!$A$45:$I$59, 6, FALSE), perc_90, VLOOKUP(U$2, Percentiles!$A$45:$I$59, 7, FALSE), perc_95, VLOOKUP(U$2, Percentiles!$A$45:$I$59, 8, FALSE), perc_85, perc_75 + (perc_90 - perc_75) * (2/3), converted_stat, '2K_Ratings'!U39, IF(bbgm_stat &gt;= perc_95, converted_stat * 3, IF(bbgm_stat &gt;= perc_90, converted_stat * 2, IF(bbgm_stat &gt;= perc_85, converted_stat * 1.5, converted_stat)))))</f>
        <v/>
      </c>
      <c r="V39" s="30" t="str">
        <f t="array" ref="V39">IF($A39="", "", LET(bbgm_stat, INDEX(Players!$A38:$P38, MATCH(V$2, Players!$A$1:$P$1, 0)), perc_75, VLOOKUP(V$2, Percentiles!$A$45:$I$59, 6, FALSE), perc_90, VLOOKUP(V$2, Percentiles!$A$45:$I$59, 7, FALSE), perc_95, VLOOKUP(V$2, Percentiles!$A$45:$I$59, 8, FALSE), perc_85, perc_75 + (perc_90 - perc_75) * (2/3), converted_stat, '2K_Ratings'!V39, IF(bbgm_stat &gt;= perc_95, converted_stat * 3, IF(bbgm_stat &gt;= perc_90, converted_stat * 2, IF(bbgm_stat &gt;= perc_85, converted_stat * 1.5, converted_stat)))))</f>
        <v/>
      </c>
      <c r="W39" s="30" t="str">
        <f t="array" ref="W39">IF($A39="", "", LET(bbgm_stat, INDEX(Players!$A38:$P38, MATCH(W$2, Players!$A$1:$P$1, 0)), perc_75, VLOOKUP(W$2, Percentiles!$A$45:$I$59, 6, FALSE), perc_90, VLOOKUP(W$2, Percentiles!$A$45:$I$59, 7, FALSE), perc_95, VLOOKUP(W$2, Percentiles!$A$45:$I$59, 8, FALSE), perc_85, perc_75 + (perc_90 - perc_75) * (2/3), converted_stat, '2K_Ratings'!W39, IF(bbgm_stat &gt;= perc_95, converted_stat * 3, IF(bbgm_stat &gt;= perc_90, converted_stat * 2, IF(bbgm_stat &gt;= perc_85, converted_stat * 1.5, converted_stat)))))</f>
        <v/>
      </c>
    </row>
    <row r="40">
      <c r="A40" s="30" t="str">
        <f>IF(Players!A39="", "", Players!A39)</f>
        <v/>
      </c>
      <c r="B40" s="30" t="str">
        <f t="array" ref="B40">IF($A40="", "", LET(bbgm_stat, INDEX(Players!$A39:$P39, MATCH(B$2, Players!$A$1:$P$1, 0)), perc_75, VLOOKUP(B$2, Percentiles!$A$45:$I$59, 6, FALSE), perc_90, VLOOKUP(B$2, Percentiles!$A$45:$I$59, 7, FALSE), perc_95, VLOOKUP(B$2, Percentiles!$A$45:$I$59, 8, FALSE), perc_85, perc_75 + (perc_90 - perc_75) * (2/3), converted_stat, '2K_Ratings'!B40, IF(bbgm_stat &gt;= perc_95, converted_stat * 3, IF(bbgm_stat &gt;= perc_90, converted_stat * 2, IF(bbgm_stat &gt;= perc_85, converted_stat * 1.5, converted_stat)))))</f>
        <v/>
      </c>
      <c r="C40" s="30" t="str">
        <f t="array" ref="C40">IF($A40="", "", LET(bbgm_stat, INDEX(Players!$A39:$P39, MATCH(C$2, Players!$A$1:$P$1, 0)), perc_75, VLOOKUP(C$2, Percentiles!$A$45:$I$59, 6, FALSE), perc_90, VLOOKUP(C$2, Percentiles!$A$45:$I$59, 7, FALSE), perc_95, VLOOKUP(C$2, Percentiles!$A$45:$I$59, 8, FALSE), perc_85, perc_75 + (perc_90 - perc_75) * (2/3), converted_stat, '2K_Ratings'!C40, IF(bbgm_stat &gt;= perc_95, converted_stat * 3, IF(bbgm_stat &gt;= perc_90, converted_stat * 2, IF(bbgm_stat &gt;= perc_85, converted_stat * 1.5, converted_stat)))))</f>
        <v/>
      </c>
      <c r="D40" s="30" t="str">
        <f t="array" ref="D40">IF($A40="", "", LET(bbgm_stat, INDEX(Players!$A39:$P39, MATCH(D$2, Players!$A$1:$P$1, 0)), perc_75, VLOOKUP(D$2, Percentiles!$A$45:$I$59, 6, FALSE), perc_90, VLOOKUP(D$2, Percentiles!$A$45:$I$59, 7, FALSE), perc_95, VLOOKUP(D$2, Percentiles!$A$45:$I$59, 8, FALSE), perc_85, perc_75 + (perc_90 - perc_75) * (2/3), converted_stat, '2K_Ratings'!D40, IF(bbgm_stat &gt;= perc_95, converted_stat * 3, IF(bbgm_stat &gt;= perc_90, converted_stat * 2, IF(bbgm_stat &gt;= perc_85, converted_stat * 1.5, converted_stat)))))</f>
        <v/>
      </c>
      <c r="E40" s="30" t="str">
        <f t="array" ref="E40">IF($A40="", "", LET(bbgm_stat, INDEX(Players!$A39:$P39, MATCH(E$2, Players!$A$1:$P$1, 0)), perc_75, VLOOKUP(E$2, Percentiles!$A$45:$I$59, 6, FALSE), perc_90, VLOOKUP(E$2, Percentiles!$A$45:$I$59, 7, FALSE), perc_95, VLOOKUP(E$2, Percentiles!$A$45:$I$59, 8, FALSE), perc_85, perc_75 + (perc_90 - perc_75) * (2/3), converted_stat, '2K_Ratings'!E40, IF(bbgm_stat &gt;= perc_95, converted_stat * 3, IF(bbgm_stat &gt;= perc_90, converted_stat * 2, IF(bbgm_stat &gt;= perc_85, converted_stat * 1.5, converted_stat)))))</f>
        <v/>
      </c>
      <c r="F40" s="30" t="str">
        <f t="array" ref="F40">IF($A40="", "", LET(bbgm_stat, INDEX(Players!$A39:$P39, MATCH(F$2, Players!$A$1:$P$1, 0)), perc_75, VLOOKUP(F$2, Percentiles!$A$45:$I$59, 6, FALSE), perc_90, VLOOKUP(F$2, Percentiles!$A$45:$I$59, 7, FALSE), perc_95, VLOOKUP(F$2, Percentiles!$A$45:$I$59, 8, FALSE), perc_85, perc_75 + (perc_90 - perc_75) * (2/3), converted_stat, '2K_Ratings'!F40, IF(bbgm_stat &gt;= perc_95, converted_stat * 3, IF(bbgm_stat &gt;= perc_90, converted_stat * 2, IF(bbgm_stat &gt;= perc_85, converted_stat * 1.5, converted_stat)))))</f>
        <v/>
      </c>
      <c r="G40" s="30" t="str">
        <f t="array" ref="G40">IF($A40="", "", LET(bbgm_stat, INDEX(Players!$A39:$P39, MATCH(G$2, Players!$A$1:$P$1, 0)), perc_75, VLOOKUP(G$2, Percentiles!$A$45:$I$59, 6, FALSE), perc_90, VLOOKUP(G$2, Percentiles!$A$45:$I$59, 7, FALSE), perc_95, VLOOKUP(G$2, Percentiles!$A$45:$I$59, 8, FALSE), perc_85, perc_75 + (perc_90 - perc_75) * (2/3), converted_stat, '2K_Ratings'!G40, IF(bbgm_stat &gt;= perc_95, converted_stat * 3, IF(bbgm_stat &gt;= perc_90, converted_stat * 2, IF(bbgm_stat &gt;= perc_85, converted_stat * 1.5, converted_stat)))))</f>
        <v/>
      </c>
      <c r="H40" s="30" t="str">
        <f t="array" ref="H40">IF($A40="", "", LET(bbgm_stat, INDEX(Players!$A39:$P39, MATCH(H$2, Players!$A$1:$P$1, 0)), perc_75, VLOOKUP(H$2, Percentiles!$A$45:$I$59, 6, FALSE), perc_90, VLOOKUP(H$2, Percentiles!$A$45:$I$59, 7, FALSE), perc_95, VLOOKUP(H$2, Percentiles!$A$45:$I$59, 8, FALSE), perc_85, perc_75 + (perc_90 - perc_75) * (2/3), converted_stat, '2K_Ratings'!H40, IF(bbgm_stat &gt;= perc_95, converted_stat * 3, IF(bbgm_stat &gt;= perc_90, converted_stat * 2, IF(bbgm_stat &gt;= perc_85, converted_stat * 1.5, converted_stat)))))</f>
        <v/>
      </c>
      <c r="I40" s="30" t="str">
        <f t="array" ref="I40">IF($A40="", "", LET(bbgm_stat, INDEX(Players!$A39:$P39, MATCH(I$2, Players!$A$1:$P$1, 0)), perc_75, VLOOKUP(I$2, Percentiles!$A$45:$I$59, 6, FALSE), perc_90, VLOOKUP(I$2, Percentiles!$A$45:$I$59, 7, FALSE), perc_95, VLOOKUP(I$2, Percentiles!$A$45:$I$59, 8, FALSE), perc_85, perc_75 + (perc_90 - perc_75) * (2/3), converted_stat, '2K_Ratings'!I40, IF(bbgm_stat &gt;= perc_95, converted_stat * 3, IF(bbgm_stat &gt;= perc_90, converted_stat * 2, IF(bbgm_stat &gt;= perc_85, converted_stat * 1.5, converted_stat)))))</f>
        <v/>
      </c>
      <c r="J40" s="30" t="str">
        <f t="array" ref="J40">IF($A40="", "", LET(bbgm_stat, INDEX(Players!$A39:$P39, MATCH(J$2, Players!$A$1:$P$1, 0)), perc_75, VLOOKUP(J$2, Percentiles!$A$45:$I$59, 6, FALSE), perc_90, VLOOKUP(J$2, Percentiles!$A$45:$I$59, 7, FALSE), perc_95, VLOOKUP(J$2, Percentiles!$A$45:$I$59, 8, FALSE), perc_85, perc_75 + (perc_90 - perc_75) * (2/3), converted_stat, '2K_Ratings'!J40, IF(bbgm_stat &gt;= perc_95, converted_stat * 3, IF(bbgm_stat &gt;= perc_90, converted_stat * 2, IF(bbgm_stat &gt;= perc_85, converted_stat * 1.5, converted_stat)))))</f>
        <v/>
      </c>
      <c r="K40" s="30" t="str">
        <f t="array" ref="K40">IF($A40="", "", LET(bbgm_stat, INDEX(Players!$A39:$P39, MATCH(K$2, Players!$A$1:$P$1, 0)), perc_75, VLOOKUP(K$2, Percentiles!$A$45:$I$59, 6, FALSE), perc_90, VLOOKUP(K$2, Percentiles!$A$45:$I$59, 7, FALSE), perc_95, VLOOKUP(K$2, Percentiles!$A$45:$I$59, 8, FALSE), perc_85, perc_75 + (perc_90 - perc_75) * (2/3), converted_stat, '2K_Ratings'!K40, IF(bbgm_stat &gt;= perc_95, converted_stat * 3, IF(bbgm_stat &gt;= perc_90, converted_stat * 2, IF(bbgm_stat &gt;= perc_85, converted_stat * 1.5, converted_stat)))))</f>
        <v/>
      </c>
      <c r="L40" s="30" t="str">
        <f t="array" ref="L40">IF($A40="", "", LET(bbgm_stat, INDEX(Players!$A39:$P39, MATCH(L$2, Players!$A$1:$P$1, 0)), perc_75, VLOOKUP(L$2, Percentiles!$A$45:$I$59, 6, FALSE), perc_90, VLOOKUP(L$2, Percentiles!$A$45:$I$59, 7, FALSE), perc_95, VLOOKUP(L$2, Percentiles!$A$45:$I$59, 8, FALSE), perc_85, perc_75 + (perc_90 - perc_75) * (2/3), converted_stat, '2K_Ratings'!L40, IF(bbgm_stat &gt;= perc_95, converted_stat * 3, IF(bbgm_stat &gt;= perc_90, converted_stat * 2, IF(bbgm_stat &gt;= perc_85, converted_stat * 1.5, converted_stat)))))</f>
        <v/>
      </c>
      <c r="M40" s="30" t="str">
        <f t="array" ref="M40">IF($A40="", "", LET(bbgm_stat, INDEX(Players!$A39:$P39, MATCH(M$2, Players!$A$1:$P$1, 0)), perc_75, VLOOKUP(M$2, Percentiles!$A$45:$I$59, 6, FALSE), perc_90, VLOOKUP(M$2, Percentiles!$A$45:$I$59, 7, FALSE), perc_95, VLOOKUP(M$2, Percentiles!$A$45:$I$59, 8, FALSE), perc_85, perc_75 + (perc_90 - perc_75) * (2/3), converted_stat, '2K_Ratings'!M40, IF(bbgm_stat &gt;= perc_95, converted_stat * 3, IF(bbgm_stat &gt;= perc_90, converted_stat * 2, IF(bbgm_stat &gt;= perc_85, converted_stat * 1.5, converted_stat)))))</f>
        <v/>
      </c>
      <c r="N40" s="30" t="str">
        <f t="array" ref="N40">IF($A40="", "", LET(bbgm_stat, INDEX(Players!$A39:$P39, MATCH(N$2, Players!$A$1:$P$1, 0)), perc_75, VLOOKUP(N$2, Percentiles!$A$45:$I$59, 6, FALSE), perc_90, VLOOKUP(N$2, Percentiles!$A$45:$I$59, 7, FALSE), perc_95, VLOOKUP(N$2, Percentiles!$A$45:$I$59, 8, FALSE), perc_85, perc_75 + (perc_90 - perc_75) * (2/3), converted_stat, '2K_Ratings'!N40, IF(bbgm_stat &gt;= perc_95, converted_stat * 3, IF(bbgm_stat &gt;= perc_90, converted_stat * 2, IF(bbgm_stat &gt;= perc_85, converted_stat * 1.5, converted_stat)))))</f>
        <v/>
      </c>
      <c r="O40" s="30" t="str">
        <f t="array" ref="O40">IF($A40="", "", LET(bbgm_stat, INDEX(Players!$A39:$P39, MATCH(O$2, Players!$A$1:$P$1, 0)), perc_75, VLOOKUP(O$2, Percentiles!$A$45:$I$59, 6, FALSE), perc_90, VLOOKUP(O$2, Percentiles!$A$45:$I$59, 7, FALSE), perc_95, VLOOKUP(O$2, Percentiles!$A$45:$I$59, 8, FALSE), perc_85, perc_75 + (perc_90 - perc_75) * (2/3), converted_stat, '2K_Ratings'!O40, IF(bbgm_stat &gt;= perc_95, converted_stat * 3, IF(bbgm_stat &gt;= perc_90, converted_stat * 2, IF(bbgm_stat &gt;= perc_85, converted_stat * 1.5, converted_stat)))))</f>
        <v/>
      </c>
      <c r="P40" s="30" t="str">
        <f t="array" ref="P40">IF($A40="", "", LET(bbgm_stat, INDEX(Players!$A39:$P39, MATCH(P$2, Players!$A$1:$P$1, 0)), perc_75, VLOOKUP(P$2, Percentiles!$A$45:$I$59, 6, FALSE), perc_90, VLOOKUP(P$2, Percentiles!$A$45:$I$59, 7, FALSE), perc_95, VLOOKUP(P$2, Percentiles!$A$45:$I$59, 8, FALSE), perc_85, perc_75 + (perc_90 - perc_75) * (2/3), converted_stat, '2K_Ratings'!P40, IF(bbgm_stat &gt;= perc_95, converted_stat * 3, IF(bbgm_stat &gt;= perc_90, converted_stat * 2, IF(bbgm_stat &gt;= perc_85, converted_stat * 1.5, converted_stat)))))</f>
        <v/>
      </c>
      <c r="Q40" s="30" t="str">
        <f t="array" ref="Q40">IF($A40="", "", LET(bbgm_stat, INDEX(Players!$A39:$P39, MATCH(Q$2, Players!$A$1:$P$1, 0)), perc_75, VLOOKUP(Q$2, Percentiles!$A$45:$I$59, 6, FALSE), perc_90, VLOOKUP(Q$2, Percentiles!$A$45:$I$59, 7, FALSE), perc_95, VLOOKUP(Q$2, Percentiles!$A$45:$I$59, 8, FALSE), perc_85, perc_75 + (perc_90 - perc_75) * (2/3), converted_stat, '2K_Ratings'!Q40, IF(bbgm_stat &gt;= perc_95, converted_stat * 3, IF(bbgm_stat &gt;= perc_90, converted_stat * 2, IF(bbgm_stat &gt;= perc_85, converted_stat * 1.5, converted_stat)))))</f>
        <v/>
      </c>
      <c r="R40" s="30" t="str">
        <f t="array" ref="R40">IF($A40="", "", LET(bbgm_stat, INDEX(Players!$A39:$P39, MATCH(R$2, Players!$A$1:$P$1, 0)), perc_75, VLOOKUP(R$2, Percentiles!$A$45:$I$59, 6, FALSE), perc_90, VLOOKUP(R$2, Percentiles!$A$45:$I$59, 7, FALSE), perc_95, VLOOKUP(R$2, Percentiles!$A$45:$I$59, 8, FALSE), perc_85, perc_75 + (perc_90 - perc_75) * (2/3), converted_stat, '2K_Ratings'!R40, IF(bbgm_stat &gt;= perc_95, converted_stat * 3, IF(bbgm_stat &gt;= perc_90, converted_stat * 2, IF(bbgm_stat &gt;= perc_85, converted_stat * 1.5, converted_stat)))))</f>
        <v/>
      </c>
      <c r="S40" s="30" t="str">
        <f t="array" ref="S40">IF($A40="", "", LET(bbgm_stat, INDEX(Players!$A39:$P39, MATCH(S$2, Players!$A$1:$P$1, 0)), perc_75, VLOOKUP(S$2, Percentiles!$A$45:$I$59, 6, FALSE), perc_90, VLOOKUP(S$2, Percentiles!$A$45:$I$59, 7, FALSE), perc_95, VLOOKUP(S$2, Percentiles!$A$45:$I$59, 8, FALSE), perc_85, perc_75 + (perc_90 - perc_75) * (2/3), converted_stat, '2K_Ratings'!S40, IF(bbgm_stat &gt;= perc_95, converted_stat * 3, IF(bbgm_stat &gt;= perc_90, converted_stat * 2, IF(bbgm_stat &gt;= perc_85, converted_stat * 1.5, converted_stat)))))</f>
        <v/>
      </c>
      <c r="T40" s="30" t="str">
        <f t="array" ref="T40">IF($A40="", "", LET(bbgm_stat, INDEX(Players!$A39:$P39, MATCH(T$2, Players!$A$1:$P$1, 0)), perc_75, VLOOKUP(T$2, Percentiles!$A$45:$I$59, 6, FALSE), perc_90, VLOOKUP(T$2, Percentiles!$A$45:$I$59, 7, FALSE), perc_95, VLOOKUP(T$2, Percentiles!$A$45:$I$59, 8, FALSE), perc_85, perc_75 + (perc_90 - perc_75) * (2/3), converted_stat, '2K_Ratings'!T40, IF(bbgm_stat &gt;= perc_95, converted_stat * 3, IF(bbgm_stat &gt;= perc_90, converted_stat * 2, IF(bbgm_stat &gt;= perc_85, converted_stat * 1.5, converted_stat)))))</f>
        <v/>
      </c>
      <c r="U40" s="30" t="str">
        <f t="array" ref="U40">IF($A40="", "", LET(bbgm_stat, INDEX(Players!$A39:$P39, MATCH(U$2, Players!$A$1:$P$1, 0)), perc_75, VLOOKUP(U$2, Percentiles!$A$45:$I$59, 6, FALSE), perc_90, VLOOKUP(U$2, Percentiles!$A$45:$I$59, 7, FALSE), perc_95, VLOOKUP(U$2, Percentiles!$A$45:$I$59, 8, FALSE), perc_85, perc_75 + (perc_90 - perc_75) * (2/3), converted_stat, '2K_Ratings'!U40, IF(bbgm_stat &gt;= perc_95, converted_stat * 3, IF(bbgm_stat &gt;= perc_90, converted_stat * 2, IF(bbgm_stat &gt;= perc_85, converted_stat * 1.5, converted_stat)))))</f>
        <v/>
      </c>
      <c r="V40" s="30" t="str">
        <f t="array" ref="V40">IF($A40="", "", LET(bbgm_stat, INDEX(Players!$A39:$P39, MATCH(V$2, Players!$A$1:$P$1, 0)), perc_75, VLOOKUP(V$2, Percentiles!$A$45:$I$59, 6, FALSE), perc_90, VLOOKUP(V$2, Percentiles!$A$45:$I$59, 7, FALSE), perc_95, VLOOKUP(V$2, Percentiles!$A$45:$I$59, 8, FALSE), perc_85, perc_75 + (perc_90 - perc_75) * (2/3), converted_stat, '2K_Ratings'!V40, IF(bbgm_stat &gt;= perc_95, converted_stat * 3, IF(bbgm_stat &gt;= perc_90, converted_stat * 2, IF(bbgm_stat &gt;= perc_85, converted_stat * 1.5, converted_stat)))))</f>
        <v/>
      </c>
      <c r="W40" s="30" t="str">
        <f t="array" ref="W40">IF($A40="", "", LET(bbgm_stat, INDEX(Players!$A39:$P39, MATCH(W$2, Players!$A$1:$P$1, 0)), perc_75, VLOOKUP(W$2, Percentiles!$A$45:$I$59, 6, FALSE), perc_90, VLOOKUP(W$2, Percentiles!$A$45:$I$59, 7, FALSE), perc_95, VLOOKUP(W$2, Percentiles!$A$45:$I$59, 8, FALSE), perc_85, perc_75 + (perc_90 - perc_75) * (2/3), converted_stat, '2K_Ratings'!W40, IF(bbgm_stat &gt;= perc_95, converted_stat * 3, IF(bbgm_stat &gt;= perc_90, converted_stat * 2, IF(bbgm_stat &gt;= perc_85, converted_stat * 1.5, converted_stat)))))</f>
        <v/>
      </c>
    </row>
    <row r="41">
      <c r="A41" s="30" t="str">
        <f>IF(Players!A40="", "", Players!A40)</f>
        <v/>
      </c>
      <c r="B41" s="30" t="str">
        <f t="array" ref="B41">IF($A41="", "", LET(bbgm_stat, INDEX(Players!$A40:$P40, MATCH(B$2, Players!$A$1:$P$1, 0)), perc_75, VLOOKUP(B$2, Percentiles!$A$45:$I$59, 6, FALSE), perc_90, VLOOKUP(B$2, Percentiles!$A$45:$I$59, 7, FALSE), perc_95, VLOOKUP(B$2, Percentiles!$A$45:$I$59, 8, FALSE), perc_85, perc_75 + (perc_90 - perc_75) * (2/3), converted_stat, '2K_Ratings'!B41, IF(bbgm_stat &gt;= perc_95, converted_stat * 3, IF(bbgm_stat &gt;= perc_90, converted_stat * 2, IF(bbgm_stat &gt;= perc_85, converted_stat * 1.5, converted_stat)))))</f>
        <v/>
      </c>
      <c r="C41" s="30" t="str">
        <f t="array" ref="C41">IF($A41="", "", LET(bbgm_stat, INDEX(Players!$A40:$P40, MATCH(C$2, Players!$A$1:$P$1, 0)), perc_75, VLOOKUP(C$2, Percentiles!$A$45:$I$59, 6, FALSE), perc_90, VLOOKUP(C$2, Percentiles!$A$45:$I$59, 7, FALSE), perc_95, VLOOKUP(C$2, Percentiles!$A$45:$I$59, 8, FALSE), perc_85, perc_75 + (perc_90 - perc_75) * (2/3), converted_stat, '2K_Ratings'!C41, IF(bbgm_stat &gt;= perc_95, converted_stat * 3, IF(bbgm_stat &gt;= perc_90, converted_stat * 2, IF(bbgm_stat &gt;= perc_85, converted_stat * 1.5, converted_stat)))))</f>
        <v/>
      </c>
      <c r="D41" s="30" t="str">
        <f t="array" ref="D41">IF($A41="", "", LET(bbgm_stat, INDEX(Players!$A40:$P40, MATCH(D$2, Players!$A$1:$P$1, 0)), perc_75, VLOOKUP(D$2, Percentiles!$A$45:$I$59, 6, FALSE), perc_90, VLOOKUP(D$2, Percentiles!$A$45:$I$59, 7, FALSE), perc_95, VLOOKUP(D$2, Percentiles!$A$45:$I$59, 8, FALSE), perc_85, perc_75 + (perc_90 - perc_75) * (2/3), converted_stat, '2K_Ratings'!D41, IF(bbgm_stat &gt;= perc_95, converted_stat * 3, IF(bbgm_stat &gt;= perc_90, converted_stat * 2, IF(bbgm_stat &gt;= perc_85, converted_stat * 1.5, converted_stat)))))</f>
        <v/>
      </c>
      <c r="E41" s="30" t="str">
        <f t="array" ref="E41">IF($A41="", "", LET(bbgm_stat, INDEX(Players!$A40:$P40, MATCH(E$2, Players!$A$1:$P$1, 0)), perc_75, VLOOKUP(E$2, Percentiles!$A$45:$I$59, 6, FALSE), perc_90, VLOOKUP(E$2, Percentiles!$A$45:$I$59, 7, FALSE), perc_95, VLOOKUP(E$2, Percentiles!$A$45:$I$59, 8, FALSE), perc_85, perc_75 + (perc_90 - perc_75) * (2/3), converted_stat, '2K_Ratings'!E41, IF(bbgm_stat &gt;= perc_95, converted_stat * 3, IF(bbgm_stat &gt;= perc_90, converted_stat * 2, IF(bbgm_stat &gt;= perc_85, converted_stat * 1.5, converted_stat)))))</f>
        <v/>
      </c>
      <c r="F41" s="30" t="str">
        <f t="array" ref="F41">IF($A41="", "", LET(bbgm_stat, INDEX(Players!$A40:$P40, MATCH(F$2, Players!$A$1:$P$1, 0)), perc_75, VLOOKUP(F$2, Percentiles!$A$45:$I$59, 6, FALSE), perc_90, VLOOKUP(F$2, Percentiles!$A$45:$I$59, 7, FALSE), perc_95, VLOOKUP(F$2, Percentiles!$A$45:$I$59, 8, FALSE), perc_85, perc_75 + (perc_90 - perc_75) * (2/3), converted_stat, '2K_Ratings'!F41, IF(bbgm_stat &gt;= perc_95, converted_stat * 3, IF(bbgm_stat &gt;= perc_90, converted_stat * 2, IF(bbgm_stat &gt;= perc_85, converted_stat * 1.5, converted_stat)))))</f>
        <v/>
      </c>
      <c r="G41" s="30" t="str">
        <f t="array" ref="G41">IF($A41="", "", LET(bbgm_stat, INDEX(Players!$A40:$P40, MATCH(G$2, Players!$A$1:$P$1, 0)), perc_75, VLOOKUP(G$2, Percentiles!$A$45:$I$59, 6, FALSE), perc_90, VLOOKUP(G$2, Percentiles!$A$45:$I$59, 7, FALSE), perc_95, VLOOKUP(G$2, Percentiles!$A$45:$I$59, 8, FALSE), perc_85, perc_75 + (perc_90 - perc_75) * (2/3), converted_stat, '2K_Ratings'!G41, IF(bbgm_stat &gt;= perc_95, converted_stat * 3, IF(bbgm_stat &gt;= perc_90, converted_stat * 2, IF(bbgm_stat &gt;= perc_85, converted_stat * 1.5, converted_stat)))))</f>
        <v/>
      </c>
      <c r="H41" s="30" t="str">
        <f t="array" ref="H41">IF($A41="", "", LET(bbgm_stat, INDEX(Players!$A40:$P40, MATCH(H$2, Players!$A$1:$P$1, 0)), perc_75, VLOOKUP(H$2, Percentiles!$A$45:$I$59, 6, FALSE), perc_90, VLOOKUP(H$2, Percentiles!$A$45:$I$59, 7, FALSE), perc_95, VLOOKUP(H$2, Percentiles!$A$45:$I$59, 8, FALSE), perc_85, perc_75 + (perc_90 - perc_75) * (2/3), converted_stat, '2K_Ratings'!H41, IF(bbgm_stat &gt;= perc_95, converted_stat * 3, IF(bbgm_stat &gt;= perc_90, converted_stat * 2, IF(bbgm_stat &gt;= perc_85, converted_stat * 1.5, converted_stat)))))</f>
        <v/>
      </c>
      <c r="I41" s="30" t="str">
        <f t="array" ref="I41">IF($A41="", "", LET(bbgm_stat, INDEX(Players!$A40:$P40, MATCH(I$2, Players!$A$1:$P$1, 0)), perc_75, VLOOKUP(I$2, Percentiles!$A$45:$I$59, 6, FALSE), perc_90, VLOOKUP(I$2, Percentiles!$A$45:$I$59, 7, FALSE), perc_95, VLOOKUP(I$2, Percentiles!$A$45:$I$59, 8, FALSE), perc_85, perc_75 + (perc_90 - perc_75) * (2/3), converted_stat, '2K_Ratings'!I41, IF(bbgm_stat &gt;= perc_95, converted_stat * 3, IF(bbgm_stat &gt;= perc_90, converted_stat * 2, IF(bbgm_stat &gt;= perc_85, converted_stat * 1.5, converted_stat)))))</f>
        <v/>
      </c>
      <c r="J41" s="30" t="str">
        <f t="array" ref="J41">IF($A41="", "", LET(bbgm_stat, INDEX(Players!$A40:$P40, MATCH(J$2, Players!$A$1:$P$1, 0)), perc_75, VLOOKUP(J$2, Percentiles!$A$45:$I$59, 6, FALSE), perc_90, VLOOKUP(J$2, Percentiles!$A$45:$I$59, 7, FALSE), perc_95, VLOOKUP(J$2, Percentiles!$A$45:$I$59, 8, FALSE), perc_85, perc_75 + (perc_90 - perc_75) * (2/3), converted_stat, '2K_Ratings'!J41, IF(bbgm_stat &gt;= perc_95, converted_stat * 3, IF(bbgm_stat &gt;= perc_90, converted_stat * 2, IF(bbgm_stat &gt;= perc_85, converted_stat * 1.5, converted_stat)))))</f>
        <v/>
      </c>
      <c r="K41" s="30" t="str">
        <f t="array" ref="K41">IF($A41="", "", LET(bbgm_stat, INDEX(Players!$A40:$P40, MATCH(K$2, Players!$A$1:$P$1, 0)), perc_75, VLOOKUP(K$2, Percentiles!$A$45:$I$59, 6, FALSE), perc_90, VLOOKUP(K$2, Percentiles!$A$45:$I$59, 7, FALSE), perc_95, VLOOKUP(K$2, Percentiles!$A$45:$I$59, 8, FALSE), perc_85, perc_75 + (perc_90 - perc_75) * (2/3), converted_stat, '2K_Ratings'!K41, IF(bbgm_stat &gt;= perc_95, converted_stat * 3, IF(bbgm_stat &gt;= perc_90, converted_stat * 2, IF(bbgm_stat &gt;= perc_85, converted_stat * 1.5, converted_stat)))))</f>
        <v/>
      </c>
      <c r="L41" s="30" t="str">
        <f t="array" ref="L41">IF($A41="", "", LET(bbgm_stat, INDEX(Players!$A40:$P40, MATCH(L$2, Players!$A$1:$P$1, 0)), perc_75, VLOOKUP(L$2, Percentiles!$A$45:$I$59, 6, FALSE), perc_90, VLOOKUP(L$2, Percentiles!$A$45:$I$59, 7, FALSE), perc_95, VLOOKUP(L$2, Percentiles!$A$45:$I$59, 8, FALSE), perc_85, perc_75 + (perc_90 - perc_75) * (2/3), converted_stat, '2K_Ratings'!L41, IF(bbgm_stat &gt;= perc_95, converted_stat * 3, IF(bbgm_stat &gt;= perc_90, converted_stat * 2, IF(bbgm_stat &gt;= perc_85, converted_stat * 1.5, converted_stat)))))</f>
        <v/>
      </c>
      <c r="M41" s="30" t="str">
        <f t="array" ref="M41">IF($A41="", "", LET(bbgm_stat, INDEX(Players!$A40:$P40, MATCH(M$2, Players!$A$1:$P$1, 0)), perc_75, VLOOKUP(M$2, Percentiles!$A$45:$I$59, 6, FALSE), perc_90, VLOOKUP(M$2, Percentiles!$A$45:$I$59, 7, FALSE), perc_95, VLOOKUP(M$2, Percentiles!$A$45:$I$59, 8, FALSE), perc_85, perc_75 + (perc_90 - perc_75) * (2/3), converted_stat, '2K_Ratings'!M41, IF(bbgm_stat &gt;= perc_95, converted_stat * 3, IF(bbgm_stat &gt;= perc_90, converted_stat * 2, IF(bbgm_stat &gt;= perc_85, converted_stat * 1.5, converted_stat)))))</f>
        <v/>
      </c>
      <c r="N41" s="30" t="str">
        <f t="array" ref="N41">IF($A41="", "", LET(bbgm_stat, INDEX(Players!$A40:$P40, MATCH(N$2, Players!$A$1:$P$1, 0)), perc_75, VLOOKUP(N$2, Percentiles!$A$45:$I$59, 6, FALSE), perc_90, VLOOKUP(N$2, Percentiles!$A$45:$I$59, 7, FALSE), perc_95, VLOOKUP(N$2, Percentiles!$A$45:$I$59, 8, FALSE), perc_85, perc_75 + (perc_90 - perc_75) * (2/3), converted_stat, '2K_Ratings'!N41, IF(bbgm_stat &gt;= perc_95, converted_stat * 3, IF(bbgm_stat &gt;= perc_90, converted_stat * 2, IF(bbgm_stat &gt;= perc_85, converted_stat * 1.5, converted_stat)))))</f>
        <v/>
      </c>
      <c r="O41" s="30" t="str">
        <f t="array" ref="O41">IF($A41="", "", LET(bbgm_stat, INDEX(Players!$A40:$P40, MATCH(O$2, Players!$A$1:$P$1, 0)), perc_75, VLOOKUP(O$2, Percentiles!$A$45:$I$59, 6, FALSE), perc_90, VLOOKUP(O$2, Percentiles!$A$45:$I$59, 7, FALSE), perc_95, VLOOKUP(O$2, Percentiles!$A$45:$I$59, 8, FALSE), perc_85, perc_75 + (perc_90 - perc_75) * (2/3), converted_stat, '2K_Ratings'!O41, IF(bbgm_stat &gt;= perc_95, converted_stat * 3, IF(bbgm_stat &gt;= perc_90, converted_stat * 2, IF(bbgm_stat &gt;= perc_85, converted_stat * 1.5, converted_stat)))))</f>
        <v/>
      </c>
      <c r="P41" s="30" t="str">
        <f t="array" ref="P41">IF($A41="", "", LET(bbgm_stat, INDEX(Players!$A40:$P40, MATCH(P$2, Players!$A$1:$P$1, 0)), perc_75, VLOOKUP(P$2, Percentiles!$A$45:$I$59, 6, FALSE), perc_90, VLOOKUP(P$2, Percentiles!$A$45:$I$59, 7, FALSE), perc_95, VLOOKUP(P$2, Percentiles!$A$45:$I$59, 8, FALSE), perc_85, perc_75 + (perc_90 - perc_75) * (2/3), converted_stat, '2K_Ratings'!P41, IF(bbgm_stat &gt;= perc_95, converted_stat * 3, IF(bbgm_stat &gt;= perc_90, converted_stat * 2, IF(bbgm_stat &gt;= perc_85, converted_stat * 1.5, converted_stat)))))</f>
        <v/>
      </c>
      <c r="Q41" s="30" t="str">
        <f t="array" ref="Q41">IF($A41="", "", LET(bbgm_stat, INDEX(Players!$A40:$P40, MATCH(Q$2, Players!$A$1:$P$1, 0)), perc_75, VLOOKUP(Q$2, Percentiles!$A$45:$I$59, 6, FALSE), perc_90, VLOOKUP(Q$2, Percentiles!$A$45:$I$59, 7, FALSE), perc_95, VLOOKUP(Q$2, Percentiles!$A$45:$I$59, 8, FALSE), perc_85, perc_75 + (perc_90 - perc_75) * (2/3), converted_stat, '2K_Ratings'!Q41, IF(bbgm_stat &gt;= perc_95, converted_stat * 3, IF(bbgm_stat &gt;= perc_90, converted_stat * 2, IF(bbgm_stat &gt;= perc_85, converted_stat * 1.5, converted_stat)))))</f>
        <v/>
      </c>
      <c r="R41" s="30" t="str">
        <f t="array" ref="R41">IF($A41="", "", LET(bbgm_stat, INDEX(Players!$A40:$P40, MATCH(R$2, Players!$A$1:$P$1, 0)), perc_75, VLOOKUP(R$2, Percentiles!$A$45:$I$59, 6, FALSE), perc_90, VLOOKUP(R$2, Percentiles!$A$45:$I$59, 7, FALSE), perc_95, VLOOKUP(R$2, Percentiles!$A$45:$I$59, 8, FALSE), perc_85, perc_75 + (perc_90 - perc_75) * (2/3), converted_stat, '2K_Ratings'!R41, IF(bbgm_stat &gt;= perc_95, converted_stat * 3, IF(bbgm_stat &gt;= perc_90, converted_stat * 2, IF(bbgm_stat &gt;= perc_85, converted_stat * 1.5, converted_stat)))))</f>
        <v/>
      </c>
      <c r="S41" s="30" t="str">
        <f t="array" ref="S41">IF($A41="", "", LET(bbgm_stat, INDEX(Players!$A40:$P40, MATCH(S$2, Players!$A$1:$P$1, 0)), perc_75, VLOOKUP(S$2, Percentiles!$A$45:$I$59, 6, FALSE), perc_90, VLOOKUP(S$2, Percentiles!$A$45:$I$59, 7, FALSE), perc_95, VLOOKUP(S$2, Percentiles!$A$45:$I$59, 8, FALSE), perc_85, perc_75 + (perc_90 - perc_75) * (2/3), converted_stat, '2K_Ratings'!S41, IF(bbgm_stat &gt;= perc_95, converted_stat * 3, IF(bbgm_stat &gt;= perc_90, converted_stat * 2, IF(bbgm_stat &gt;= perc_85, converted_stat * 1.5, converted_stat)))))</f>
        <v/>
      </c>
      <c r="T41" s="30" t="str">
        <f t="array" ref="T41">IF($A41="", "", LET(bbgm_stat, INDEX(Players!$A40:$P40, MATCH(T$2, Players!$A$1:$P$1, 0)), perc_75, VLOOKUP(T$2, Percentiles!$A$45:$I$59, 6, FALSE), perc_90, VLOOKUP(T$2, Percentiles!$A$45:$I$59, 7, FALSE), perc_95, VLOOKUP(T$2, Percentiles!$A$45:$I$59, 8, FALSE), perc_85, perc_75 + (perc_90 - perc_75) * (2/3), converted_stat, '2K_Ratings'!T41, IF(bbgm_stat &gt;= perc_95, converted_stat * 3, IF(bbgm_stat &gt;= perc_90, converted_stat * 2, IF(bbgm_stat &gt;= perc_85, converted_stat * 1.5, converted_stat)))))</f>
        <v/>
      </c>
      <c r="U41" s="30" t="str">
        <f t="array" ref="U41">IF($A41="", "", LET(bbgm_stat, INDEX(Players!$A40:$P40, MATCH(U$2, Players!$A$1:$P$1, 0)), perc_75, VLOOKUP(U$2, Percentiles!$A$45:$I$59, 6, FALSE), perc_90, VLOOKUP(U$2, Percentiles!$A$45:$I$59, 7, FALSE), perc_95, VLOOKUP(U$2, Percentiles!$A$45:$I$59, 8, FALSE), perc_85, perc_75 + (perc_90 - perc_75) * (2/3), converted_stat, '2K_Ratings'!U41, IF(bbgm_stat &gt;= perc_95, converted_stat * 3, IF(bbgm_stat &gt;= perc_90, converted_stat * 2, IF(bbgm_stat &gt;= perc_85, converted_stat * 1.5, converted_stat)))))</f>
        <v/>
      </c>
      <c r="V41" s="30" t="str">
        <f t="array" ref="V41">IF($A41="", "", LET(bbgm_stat, INDEX(Players!$A40:$P40, MATCH(V$2, Players!$A$1:$P$1, 0)), perc_75, VLOOKUP(V$2, Percentiles!$A$45:$I$59, 6, FALSE), perc_90, VLOOKUP(V$2, Percentiles!$A$45:$I$59, 7, FALSE), perc_95, VLOOKUP(V$2, Percentiles!$A$45:$I$59, 8, FALSE), perc_85, perc_75 + (perc_90 - perc_75) * (2/3), converted_stat, '2K_Ratings'!V41, IF(bbgm_stat &gt;= perc_95, converted_stat * 3, IF(bbgm_stat &gt;= perc_90, converted_stat * 2, IF(bbgm_stat &gt;= perc_85, converted_stat * 1.5, converted_stat)))))</f>
        <v/>
      </c>
      <c r="W41" s="30" t="str">
        <f t="array" ref="W41">IF($A41="", "", LET(bbgm_stat, INDEX(Players!$A40:$P40, MATCH(W$2, Players!$A$1:$P$1, 0)), perc_75, VLOOKUP(W$2, Percentiles!$A$45:$I$59, 6, FALSE), perc_90, VLOOKUP(W$2, Percentiles!$A$45:$I$59, 7, FALSE), perc_95, VLOOKUP(W$2, Percentiles!$A$45:$I$59, 8, FALSE), perc_85, perc_75 + (perc_90 - perc_75) * (2/3), converted_stat, '2K_Ratings'!W41, IF(bbgm_stat &gt;= perc_95, converted_stat * 3, IF(bbgm_stat &gt;= perc_90, converted_stat * 2, IF(bbgm_stat &gt;= perc_85, converted_stat * 1.5, converted_stat)))))</f>
        <v/>
      </c>
    </row>
    <row r="42">
      <c r="A42" s="30" t="str">
        <f>IF(Players!A41="", "", Players!A41)</f>
        <v/>
      </c>
      <c r="B42" s="30" t="str">
        <f t="array" ref="B42">IF($A42="", "", LET(bbgm_stat, INDEX(Players!$A41:$P41, MATCH(B$2, Players!$A$1:$P$1, 0)), perc_75, VLOOKUP(B$2, Percentiles!$A$45:$I$59, 6, FALSE), perc_90, VLOOKUP(B$2, Percentiles!$A$45:$I$59, 7, FALSE), perc_95, VLOOKUP(B$2, Percentiles!$A$45:$I$59, 8, FALSE), perc_85, perc_75 + (perc_90 - perc_75) * (2/3), converted_stat, '2K_Ratings'!B42, IF(bbgm_stat &gt;= perc_95, converted_stat * 3, IF(bbgm_stat &gt;= perc_90, converted_stat * 2, IF(bbgm_stat &gt;= perc_85, converted_stat * 1.5, converted_stat)))))</f>
        <v/>
      </c>
      <c r="C42" s="30" t="str">
        <f t="array" ref="C42">IF($A42="", "", LET(bbgm_stat, INDEX(Players!$A41:$P41, MATCH(C$2, Players!$A$1:$P$1, 0)), perc_75, VLOOKUP(C$2, Percentiles!$A$45:$I$59, 6, FALSE), perc_90, VLOOKUP(C$2, Percentiles!$A$45:$I$59, 7, FALSE), perc_95, VLOOKUP(C$2, Percentiles!$A$45:$I$59, 8, FALSE), perc_85, perc_75 + (perc_90 - perc_75) * (2/3), converted_stat, '2K_Ratings'!C42, IF(bbgm_stat &gt;= perc_95, converted_stat * 3, IF(bbgm_stat &gt;= perc_90, converted_stat * 2, IF(bbgm_stat &gt;= perc_85, converted_stat * 1.5, converted_stat)))))</f>
        <v/>
      </c>
      <c r="D42" s="30" t="str">
        <f t="array" ref="D42">IF($A42="", "", LET(bbgm_stat, INDEX(Players!$A41:$P41, MATCH(D$2, Players!$A$1:$P$1, 0)), perc_75, VLOOKUP(D$2, Percentiles!$A$45:$I$59, 6, FALSE), perc_90, VLOOKUP(D$2, Percentiles!$A$45:$I$59, 7, FALSE), perc_95, VLOOKUP(D$2, Percentiles!$A$45:$I$59, 8, FALSE), perc_85, perc_75 + (perc_90 - perc_75) * (2/3), converted_stat, '2K_Ratings'!D42, IF(bbgm_stat &gt;= perc_95, converted_stat * 3, IF(bbgm_stat &gt;= perc_90, converted_stat * 2, IF(bbgm_stat &gt;= perc_85, converted_stat * 1.5, converted_stat)))))</f>
        <v/>
      </c>
      <c r="E42" s="30" t="str">
        <f t="array" ref="E42">IF($A42="", "", LET(bbgm_stat, INDEX(Players!$A41:$P41, MATCH(E$2, Players!$A$1:$P$1, 0)), perc_75, VLOOKUP(E$2, Percentiles!$A$45:$I$59, 6, FALSE), perc_90, VLOOKUP(E$2, Percentiles!$A$45:$I$59, 7, FALSE), perc_95, VLOOKUP(E$2, Percentiles!$A$45:$I$59, 8, FALSE), perc_85, perc_75 + (perc_90 - perc_75) * (2/3), converted_stat, '2K_Ratings'!E42, IF(bbgm_stat &gt;= perc_95, converted_stat * 3, IF(bbgm_stat &gt;= perc_90, converted_stat * 2, IF(bbgm_stat &gt;= perc_85, converted_stat * 1.5, converted_stat)))))</f>
        <v/>
      </c>
      <c r="F42" s="30" t="str">
        <f t="array" ref="F42">IF($A42="", "", LET(bbgm_stat, INDEX(Players!$A41:$P41, MATCH(F$2, Players!$A$1:$P$1, 0)), perc_75, VLOOKUP(F$2, Percentiles!$A$45:$I$59, 6, FALSE), perc_90, VLOOKUP(F$2, Percentiles!$A$45:$I$59, 7, FALSE), perc_95, VLOOKUP(F$2, Percentiles!$A$45:$I$59, 8, FALSE), perc_85, perc_75 + (perc_90 - perc_75) * (2/3), converted_stat, '2K_Ratings'!F42, IF(bbgm_stat &gt;= perc_95, converted_stat * 3, IF(bbgm_stat &gt;= perc_90, converted_stat * 2, IF(bbgm_stat &gt;= perc_85, converted_stat * 1.5, converted_stat)))))</f>
        <v/>
      </c>
      <c r="G42" s="30" t="str">
        <f t="array" ref="G42">IF($A42="", "", LET(bbgm_stat, INDEX(Players!$A41:$P41, MATCH(G$2, Players!$A$1:$P$1, 0)), perc_75, VLOOKUP(G$2, Percentiles!$A$45:$I$59, 6, FALSE), perc_90, VLOOKUP(G$2, Percentiles!$A$45:$I$59, 7, FALSE), perc_95, VLOOKUP(G$2, Percentiles!$A$45:$I$59, 8, FALSE), perc_85, perc_75 + (perc_90 - perc_75) * (2/3), converted_stat, '2K_Ratings'!G42, IF(bbgm_stat &gt;= perc_95, converted_stat * 3, IF(bbgm_stat &gt;= perc_90, converted_stat * 2, IF(bbgm_stat &gt;= perc_85, converted_stat * 1.5, converted_stat)))))</f>
        <v/>
      </c>
      <c r="H42" s="30" t="str">
        <f t="array" ref="H42">IF($A42="", "", LET(bbgm_stat, INDEX(Players!$A41:$P41, MATCH(H$2, Players!$A$1:$P$1, 0)), perc_75, VLOOKUP(H$2, Percentiles!$A$45:$I$59, 6, FALSE), perc_90, VLOOKUP(H$2, Percentiles!$A$45:$I$59, 7, FALSE), perc_95, VLOOKUP(H$2, Percentiles!$A$45:$I$59, 8, FALSE), perc_85, perc_75 + (perc_90 - perc_75) * (2/3), converted_stat, '2K_Ratings'!H42, IF(bbgm_stat &gt;= perc_95, converted_stat * 3, IF(bbgm_stat &gt;= perc_90, converted_stat * 2, IF(bbgm_stat &gt;= perc_85, converted_stat * 1.5, converted_stat)))))</f>
        <v/>
      </c>
      <c r="I42" s="30" t="str">
        <f t="array" ref="I42">IF($A42="", "", LET(bbgm_stat, INDEX(Players!$A41:$P41, MATCH(I$2, Players!$A$1:$P$1, 0)), perc_75, VLOOKUP(I$2, Percentiles!$A$45:$I$59, 6, FALSE), perc_90, VLOOKUP(I$2, Percentiles!$A$45:$I$59, 7, FALSE), perc_95, VLOOKUP(I$2, Percentiles!$A$45:$I$59, 8, FALSE), perc_85, perc_75 + (perc_90 - perc_75) * (2/3), converted_stat, '2K_Ratings'!I42, IF(bbgm_stat &gt;= perc_95, converted_stat * 3, IF(bbgm_stat &gt;= perc_90, converted_stat * 2, IF(bbgm_stat &gt;= perc_85, converted_stat * 1.5, converted_stat)))))</f>
        <v/>
      </c>
      <c r="J42" s="30" t="str">
        <f t="array" ref="J42">IF($A42="", "", LET(bbgm_stat, INDEX(Players!$A41:$P41, MATCH(J$2, Players!$A$1:$P$1, 0)), perc_75, VLOOKUP(J$2, Percentiles!$A$45:$I$59, 6, FALSE), perc_90, VLOOKUP(J$2, Percentiles!$A$45:$I$59, 7, FALSE), perc_95, VLOOKUP(J$2, Percentiles!$A$45:$I$59, 8, FALSE), perc_85, perc_75 + (perc_90 - perc_75) * (2/3), converted_stat, '2K_Ratings'!J42, IF(bbgm_stat &gt;= perc_95, converted_stat * 3, IF(bbgm_stat &gt;= perc_90, converted_stat * 2, IF(bbgm_stat &gt;= perc_85, converted_stat * 1.5, converted_stat)))))</f>
        <v/>
      </c>
      <c r="K42" s="30" t="str">
        <f t="array" ref="K42">IF($A42="", "", LET(bbgm_stat, INDEX(Players!$A41:$P41, MATCH(K$2, Players!$A$1:$P$1, 0)), perc_75, VLOOKUP(K$2, Percentiles!$A$45:$I$59, 6, FALSE), perc_90, VLOOKUP(K$2, Percentiles!$A$45:$I$59, 7, FALSE), perc_95, VLOOKUP(K$2, Percentiles!$A$45:$I$59, 8, FALSE), perc_85, perc_75 + (perc_90 - perc_75) * (2/3), converted_stat, '2K_Ratings'!K42, IF(bbgm_stat &gt;= perc_95, converted_stat * 3, IF(bbgm_stat &gt;= perc_90, converted_stat * 2, IF(bbgm_stat &gt;= perc_85, converted_stat * 1.5, converted_stat)))))</f>
        <v/>
      </c>
      <c r="L42" s="30" t="str">
        <f t="array" ref="L42">IF($A42="", "", LET(bbgm_stat, INDEX(Players!$A41:$P41, MATCH(L$2, Players!$A$1:$P$1, 0)), perc_75, VLOOKUP(L$2, Percentiles!$A$45:$I$59, 6, FALSE), perc_90, VLOOKUP(L$2, Percentiles!$A$45:$I$59, 7, FALSE), perc_95, VLOOKUP(L$2, Percentiles!$A$45:$I$59, 8, FALSE), perc_85, perc_75 + (perc_90 - perc_75) * (2/3), converted_stat, '2K_Ratings'!L42, IF(bbgm_stat &gt;= perc_95, converted_stat * 3, IF(bbgm_stat &gt;= perc_90, converted_stat * 2, IF(bbgm_stat &gt;= perc_85, converted_stat * 1.5, converted_stat)))))</f>
        <v/>
      </c>
      <c r="M42" s="30" t="str">
        <f t="array" ref="M42">IF($A42="", "", LET(bbgm_stat, INDEX(Players!$A41:$P41, MATCH(M$2, Players!$A$1:$P$1, 0)), perc_75, VLOOKUP(M$2, Percentiles!$A$45:$I$59, 6, FALSE), perc_90, VLOOKUP(M$2, Percentiles!$A$45:$I$59, 7, FALSE), perc_95, VLOOKUP(M$2, Percentiles!$A$45:$I$59, 8, FALSE), perc_85, perc_75 + (perc_90 - perc_75) * (2/3), converted_stat, '2K_Ratings'!M42, IF(bbgm_stat &gt;= perc_95, converted_stat * 3, IF(bbgm_stat &gt;= perc_90, converted_stat * 2, IF(bbgm_stat &gt;= perc_85, converted_stat * 1.5, converted_stat)))))</f>
        <v/>
      </c>
      <c r="N42" s="30" t="str">
        <f t="array" ref="N42">IF($A42="", "", LET(bbgm_stat, INDEX(Players!$A41:$P41, MATCH(N$2, Players!$A$1:$P$1, 0)), perc_75, VLOOKUP(N$2, Percentiles!$A$45:$I$59, 6, FALSE), perc_90, VLOOKUP(N$2, Percentiles!$A$45:$I$59, 7, FALSE), perc_95, VLOOKUP(N$2, Percentiles!$A$45:$I$59, 8, FALSE), perc_85, perc_75 + (perc_90 - perc_75) * (2/3), converted_stat, '2K_Ratings'!N42, IF(bbgm_stat &gt;= perc_95, converted_stat * 3, IF(bbgm_stat &gt;= perc_90, converted_stat * 2, IF(bbgm_stat &gt;= perc_85, converted_stat * 1.5, converted_stat)))))</f>
        <v/>
      </c>
      <c r="O42" s="30" t="str">
        <f t="array" ref="O42">IF($A42="", "", LET(bbgm_stat, INDEX(Players!$A41:$P41, MATCH(O$2, Players!$A$1:$P$1, 0)), perc_75, VLOOKUP(O$2, Percentiles!$A$45:$I$59, 6, FALSE), perc_90, VLOOKUP(O$2, Percentiles!$A$45:$I$59, 7, FALSE), perc_95, VLOOKUP(O$2, Percentiles!$A$45:$I$59, 8, FALSE), perc_85, perc_75 + (perc_90 - perc_75) * (2/3), converted_stat, '2K_Ratings'!O42, IF(bbgm_stat &gt;= perc_95, converted_stat * 3, IF(bbgm_stat &gt;= perc_90, converted_stat * 2, IF(bbgm_stat &gt;= perc_85, converted_stat * 1.5, converted_stat)))))</f>
        <v/>
      </c>
      <c r="P42" s="30" t="str">
        <f t="array" ref="P42">IF($A42="", "", LET(bbgm_stat, INDEX(Players!$A41:$P41, MATCH(P$2, Players!$A$1:$P$1, 0)), perc_75, VLOOKUP(P$2, Percentiles!$A$45:$I$59, 6, FALSE), perc_90, VLOOKUP(P$2, Percentiles!$A$45:$I$59, 7, FALSE), perc_95, VLOOKUP(P$2, Percentiles!$A$45:$I$59, 8, FALSE), perc_85, perc_75 + (perc_90 - perc_75) * (2/3), converted_stat, '2K_Ratings'!P42, IF(bbgm_stat &gt;= perc_95, converted_stat * 3, IF(bbgm_stat &gt;= perc_90, converted_stat * 2, IF(bbgm_stat &gt;= perc_85, converted_stat * 1.5, converted_stat)))))</f>
        <v/>
      </c>
      <c r="Q42" s="30" t="str">
        <f t="array" ref="Q42">IF($A42="", "", LET(bbgm_stat, INDEX(Players!$A41:$P41, MATCH(Q$2, Players!$A$1:$P$1, 0)), perc_75, VLOOKUP(Q$2, Percentiles!$A$45:$I$59, 6, FALSE), perc_90, VLOOKUP(Q$2, Percentiles!$A$45:$I$59, 7, FALSE), perc_95, VLOOKUP(Q$2, Percentiles!$A$45:$I$59, 8, FALSE), perc_85, perc_75 + (perc_90 - perc_75) * (2/3), converted_stat, '2K_Ratings'!Q42, IF(bbgm_stat &gt;= perc_95, converted_stat * 3, IF(bbgm_stat &gt;= perc_90, converted_stat * 2, IF(bbgm_stat &gt;= perc_85, converted_stat * 1.5, converted_stat)))))</f>
        <v/>
      </c>
      <c r="R42" s="30" t="str">
        <f t="array" ref="R42">IF($A42="", "", LET(bbgm_stat, INDEX(Players!$A41:$P41, MATCH(R$2, Players!$A$1:$P$1, 0)), perc_75, VLOOKUP(R$2, Percentiles!$A$45:$I$59, 6, FALSE), perc_90, VLOOKUP(R$2, Percentiles!$A$45:$I$59, 7, FALSE), perc_95, VLOOKUP(R$2, Percentiles!$A$45:$I$59, 8, FALSE), perc_85, perc_75 + (perc_90 - perc_75) * (2/3), converted_stat, '2K_Ratings'!R42, IF(bbgm_stat &gt;= perc_95, converted_stat * 3, IF(bbgm_stat &gt;= perc_90, converted_stat * 2, IF(bbgm_stat &gt;= perc_85, converted_stat * 1.5, converted_stat)))))</f>
        <v/>
      </c>
      <c r="S42" s="30" t="str">
        <f t="array" ref="S42">IF($A42="", "", LET(bbgm_stat, INDEX(Players!$A41:$P41, MATCH(S$2, Players!$A$1:$P$1, 0)), perc_75, VLOOKUP(S$2, Percentiles!$A$45:$I$59, 6, FALSE), perc_90, VLOOKUP(S$2, Percentiles!$A$45:$I$59, 7, FALSE), perc_95, VLOOKUP(S$2, Percentiles!$A$45:$I$59, 8, FALSE), perc_85, perc_75 + (perc_90 - perc_75) * (2/3), converted_stat, '2K_Ratings'!S42, IF(bbgm_stat &gt;= perc_95, converted_stat * 3, IF(bbgm_stat &gt;= perc_90, converted_stat * 2, IF(bbgm_stat &gt;= perc_85, converted_stat * 1.5, converted_stat)))))</f>
        <v/>
      </c>
      <c r="T42" s="30" t="str">
        <f t="array" ref="T42">IF($A42="", "", LET(bbgm_stat, INDEX(Players!$A41:$P41, MATCH(T$2, Players!$A$1:$P$1, 0)), perc_75, VLOOKUP(T$2, Percentiles!$A$45:$I$59, 6, FALSE), perc_90, VLOOKUP(T$2, Percentiles!$A$45:$I$59, 7, FALSE), perc_95, VLOOKUP(T$2, Percentiles!$A$45:$I$59, 8, FALSE), perc_85, perc_75 + (perc_90 - perc_75) * (2/3), converted_stat, '2K_Ratings'!T42, IF(bbgm_stat &gt;= perc_95, converted_stat * 3, IF(bbgm_stat &gt;= perc_90, converted_stat * 2, IF(bbgm_stat &gt;= perc_85, converted_stat * 1.5, converted_stat)))))</f>
        <v/>
      </c>
      <c r="U42" s="30" t="str">
        <f t="array" ref="U42">IF($A42="", "", LET(bbgm_stat, INDEX(Players!$A41:$P41, MATCH(U$2, Players!$A$1:$P$1, 0)), perc_75, VLOOKUP(U$2, Percentiles!$A$45:$I$59, 6, FALSE), perc_90, VLOOKUP(U$2, Percentiles!$A$45:$I$59, 7, FALSE), perc_95, VLOOKUP(U$2, Percentiles!$A$45:$I$59, 8, FALSE), perc_85, perc_75 + (perc_90 - perc_75) * (2/3), converted_stat, '2K_Ratings'!U42, IF(bbgm_stat &gt;= perc_95, converted_stat * 3, IF(bbgm_stat &gt;= perc_90, converted_stat * 2, IF(bbgm_stat &gt;= perc_85, converted_stat * 1.5, converted_stat)))))</f>
        <v/>
      </c>
      <c r="V42" s="30" t="str">
        <f t="array" ref="V42">IF($A42="", "", LET(bbgm_stat, INDEX(Players!$A41:$P41, MATCH(V$2, Players!$A$1:$P$1, 0)), perc_75, VLOOKUP(V$2, Percentiles!$A$45:$I$59, 6, FALSE), perc_90, VLOOKUP(V$2, Percentiles!$A$45:$I$59, 7, FALSE), perc_95, VLOOKUP(V$2, Percentiles!$A$45:$I$59, 8, FALSE), perc_85, perc_75 + (perc_90 - perc_75) * (2/3), converted_stat, '2K_Ratings'!V42, IF(bbgm_stat &gt;= perc_95, converted_stat * 3, IF(bbgm_stat &gt;= perc_90, converted_stat * 2, IF(bbgm_stat &gt;= perc_85, converted_stat * 1.5, converted_stat)))))</f>
        <v/>
      </c>
      <c r="W42" s="30" t="str">
        <f t="array" ref="W42">IF($A42="", "", LET(bbgm_stat, INDEX(Players!$A41:$P41, MATCH(W$2, Players!$A$1:$P$1, 0)), perc_75, VLOOKUP(W$2, Percentiles!$A$45:$I$59, 6, FALSE), perc_90, VLOOKUP(W$2, Percentiles!$A$45:$I$59, 7, FALSE), perc_95, VLOOKUP(W$2, Percentiles!$A$45:$I$59, 8, FALSE), perc_85, perc_75 + (perc_90 - perc_75) * (2/3), converted_stat, '2K_Ratings'!W42, IF(bbgm_stat &gt;= perc_95, converted_stat * 3, IF(bbgm_stat &gt;= perc_90, converted_stat * 2, IF(bbgm_stat &gt;= perc_85, converted_stat * 1.5, converted_stat)))))</f>
        <v/>
      </c>
    </row>
    <row r="43">
      <c r="A43" s="30" t="str">
        <f>IF(Players!A42="", "", Players!A42)</f>
        <v/>
      </c>
      <c r="B43" s="30" t="str">
        <f t="array" ref="B43">IF($A43="", "", LET(bbgm_stat, INDEX(Players!$A42:$P42, MATCH(B$2, Players!$A$1:$P$1, 0)), perc_75, VLOOKUP(B$2, Percentiles!$A$45:$I$59, 6, FALSE), perc_90, VLOOKUP(B$2, Percentiles!$A$45:$I$59, 7, FALSE), perc_95, VLOOKUP(B$2, Percentiles!$A$45:$I$59, 8, FALSE), perc_85, perc_75 + (perc_90 - perc_75) * (2/3), converted_stat, '2K_Ratings'!B43, IF(bbgm_stat &gt;= perc_95, converted_stat * 3, IF(bbgm_stat &gt;= perc_90, converted_stat * 2, IF(bbgm_stat &gt;= perc_85, converted_stat * 1.5, converted_stat)))))</f>
        <v/>
      </c>
      <c r="C43" s="30" t="str">
        <f t="array" ref="C43">IF($A43="", "", LET(bbgm_stat, INDEX(Players!$A42:$P42, MATCH(C$2, Players!$A$1:$P$1, 0)), perc_75, VLOOKUP(C$2, Percentiles!$A$45:$I$59, 6, FALSE), perc_90, VLOOKUP(C$2, Percentiles!$A$45:$I$59, 7, FALSE), perc_95, VLOOKUP(C$2, Percentiles!$A$45:$I$59, 8, FALSE), perc_85, perc_75 + (perc_90 - perc_75) * (2/3), converted_stat, '2K_Ratings'!C43, IF(bbgm_stat &gt;= perc_95, converted_stat * 3, IF(bbgm_stat &gt;= perc_90, converted_stat * 2, IF(bbgm_stat &gt;= perc_85, converted_stat * 1.5, converted_stat)))))</f>
        <v/>
      </c>
      <c r="D43" s="30" t="str">
        <f t="array" ref="D43">IF($A43="", "", LET(bbgm_stat, INDEX(Players!$A42:$P42, MATCH(D$2, Players!$A$1:$P$1, 0)), perc_75, VLOOKUP(D$2, Percentiles!$A$45:$I$59, 6, FALSE), perc_90, VLOOKUP(D$2, Percentiles!$A$45:$I$59, 7, FALSE), perc_95, VLOOKUP(D$2, Percentiles!$A$45:$I$59, 8, FALSE), perc_85, perc_75 + (perc_90 - perc_75) * (2/3), converted_stat, '2K_Ratings'!D43, IF(bbgm_stat &gt;= perc_95, converted_stat * 3, IF(bbgm_stat &gt;= perc_90, converted_stat * 2, IF(bbgm_stat &gt;= perc_85, converted_stat * 1.5, converted_stat)))))</f>
        <v/>
      </c>
      <c r="E43" s="30" t="str">
        <f t="array" ref="E43">IF($A43="", "", LET(bbgm_stat, INDEX(Players!$A42:$P42, MATCH(E$2, Players!$A$1:$P$1, 0)), perc_75, VLOOKUP(E$2, Percentiles!$A$45:$I$59, 6, FALSE), perc_90, VLOOKUP(E$2, Percentiles!$A$45:$I$59, 7, FALSE), perc_95, VLOOKUP(E$2, Percentiles!$A$45:$I$59, 8, FALSE), perc_85, perc_75 + (perc_90 - perc_75) * (2/3), converted_stat, '2K_Ratings'!E43, IF(bbgm_stat &gt;= perc_95, converted_stat * 3, IF(bbgm_stat &gt;= perc_90, converted_stat * 2, IF(bbgm_stat &gt;= perc_85, converted_stat * 1.5, converted_stat)))))</f>
        <v/>
      </c>
      <c r="F43" s="30" t="str">
        <f t="array" ref="F43">IF($A43="", "", LET(bbgm_stat, INDEX(Players!$A42:$P42, MATCH(F$2, Players!$A$1:$P$1, 0)), perc_75, VLOOKUP(F$2, Percentiles!$A$45:$I$59, 6, FALSE), perc_90, VLOOKUP(F$2, Percentiles!$A$45:$I$59, 7, FALSE), perc_95, VLOOKUP(F$2, Percentiles!$A$45:$I$59, 8, FALSE), perc_85, perc_75 + (perc_90 - perc_75) * (2/3), converted_stat, '2K_Ratings'!F43, IF(bbgm_stat &gt;= perc_95, converted_stat * 3, IF(bbgm_stat &gt;= perc_90, converted_stat * 2, IF(bbgm_stat &gt;= perc_85, converted_stat * 1.5, converted_stat)))))</f>
        <v/>
      </c>
      <c r="G43" s="30" t="str">
        <f t="array" ref="G43">IF($A43="", "", LET(bbgm_stat, INDEX(Players!$A42:$P42, MATCH(G$2, Players!$A$1:$P$1, 0)), perc_75, VLOOKUP(G$2, Percentiles!$A$45:$I$59, 6, FALSE), perc_90, VLOOKUP(G$2, Percentiles!$A$45:$I$59, 7, FALSE), perc_95, VLOOKUP(G$2, Percentiles!$A$45:$I$59, 8, FALSE), perc_85, perc_75 + (perc_90 - perc_75) * (2/3), converted_stat, '2K_Ratings'!G43, IF(bbgm_stat &gt;= perc_95, converted_stat * 3, IF(bbgm_stat &gt;= perc_90, converted_stat * 2, IF(bbgm_stat &gt;= perc_85, converted_stat * 1.5, converted_stat)))))</f>
        <v/>
      </c>
      <c r="H43" s="30" t="str">
        <f t="array" ref="H43">IF($A43="", "", LET(bbgm_stat, INDEX(Players!$A42:$P42, MATCH(H$2, Players!$A$1:$P$1, 0)), perc_75, VLOOKUP(H$2, Percentiles!$A$45:$I$59, 6, FALSE), perc_90, VLOOKUP(H$2, Percentiles!$A$45:$I$59, 7, FALSE), perc_95, VLOOKUP(H$2, Percentiles!$A$45:$I$59, 8, FALSE), perc_85, perc_75 + (perc_90 - perc_75) * (2/3), converted_stat, '2K_Ratings'!H43, IF(bbgm_stat &gt;= perc_95, converted_stat * 3, IF(bbgm_stat &gt;= perc_90, converted_stat * 2, IF(bbgm_stat &gt;= perc_85, converted_stat * 1.5, converted_stat)))))</f>
        <v/>
      </c>
      <c r="I43" s="30" t="str">
        <f t="array" ref="I43">IF($A43="", "", LET(bbgm_stat, INDEX(Players!$A42:$P42, MATCH(I$2, Players!$A$1:$P$1, 0)), perc_75, VLOOKUP(I$2, Percentiles!$A$45:$I$59, 6, FALSE), perc_90, VLOOKUP(I$2, Percentiles!$A$45:$I$59, 7, FALSE), perc_95, VLOOKUP(I$2, Percentiles!$A$45:$I$59, 8, FALSE), perc_85, perc_75 + (perc_90 - perc_75) * (2/3), converted_stat, '2K_Ratings'!I43, IF(bbgm_stat &gt;= perc_95, converted_stat * 3, IF(bbgm_stat &gt;= perc_90, converted_stat * 2, IF(bbgm_stat &gt;= perc_85, converted_stat * 1.5, converted_stat)))))</f>
        <v/>
      </c>
      <c r="J43" s="30" t="str">
        <f t="array" ref="J43">IF($A43="", "", LET(bbgm_stat, INDEX(Players!$A42:$P42, MATCH(J$2, Players!$A$1:$P$1, 0)), perc_75, VLOOKUP(J$2, Percentiles!$A$45:$I$59, 6, FALSE), perc_90, VLOOKUP(J$2, Percentiles!$A$45:$I$59, 7, FALSE), perc_95, VLOOKUP(J$2, Percentiles!$A$45:$I$59, 8, FALSE), perc_85, perc_75 + (perc_90 - perc_75) * (2/3), converted_stat, '2K_Ratings'!J43, IF(bbgm_stat &gt;= perc_95, converted_stat * 3, IF(bbgm_stat &gt;= perc_90, converted_stat * 2, IF(bbgm_stat &gt;= perc_85, converted_stat * 1.5, converted_stat)))))</f>
        <v/>
      </c>
      <c r="K43" s="30" t="str">
        <f t="array" ref="K43">IF($A43="", "", LET(bbgm_stat, INDEX(Players!$A42:$P42, MATCH(K$2, Players!$A$1:$P$1, 0)), perc_75, VLOOKUP(K$2, Percentiles!$A$45:$I$59, 6, FALSE), perc_90, VLOOKUP(K$2, Percentiles!$A$45:$I$59, 7, FALSE), perc_95, VLOOKUP(K$2, Percentiles!$A$45:$I$59, 8, FALSE), perc_85, perc_75 + (perc_90 - perc_75) * (2/3), converted_stat, '2K_Ratings'!K43, IF(bbgm_stat &gt;= perc_95, converted_stat * 3, IF(bbgm_stat &gt;= perc_90, converted_stat * 2, IF(bbgm_stat &gt;= perc_85, converted_stat * 1.5, converted_stat)))))</f>
        <v/>
      </c>
      <c r="L43" s="30" t="str">
        <f t="array" ref="L43">IF($A43="", "", LET(bbgm_stat, INDEX(Players!$A42:$P42, MATCH(L$2, Players!$A$1:$P$1, 0)), perc_75, VLOOKUP(L$2, Percentiles!$A$45:$I$59, 6, FALSE), perc_90, VLOOKUP(L$2, Percentiles!$A$45:$I$59, 7, FALSE), perc_95, VLOOKUP(L$2, Percentiles!$A$45:$I$59, 8, FALSE), perc_85, perc_75 + (perc_90 - perc_75) * (2/3), converted_stat, '2K_Ratings'!L43, IF(bbgm_stat &gt;= perc_95, converted_stat * 3, IF(bbgm_stat &gt;= perc_90, converted_stat * 2, IF(bbgm_stat &gt;= perc_85, converted_stat * 1.5, converted_stat)))))</f>
        <v/>
      </c>
      <c r="M43" s="30" t="str">
        <f t="array" ref="M43">IF($A43="", "", LET(bbgm_stat, INDEX(Players!$A42:$P42, MATCH(M$2, Players!$A$1:$P$1, 0)), perc_75, VLOOKUP(M$2, Percentiles!$A$45:$I$59, 6, FALSE), perc_90, VLOOKUP(M$2, Percentiles!$A$45:$I$59, 7, FALSE), perc_95, VLOOKUP(M$2, Percentiles!$A$45:$I$59, 8, FALSE), perc_85, perc_75 + (perc_90 - perc_75) * (2/3), converted_stat, '2K_Ratings'!M43, IF(bbgm_stat &gt;= perc_95, converted_stat * 3, IF(bbgm_stat &gt;= perc_90, converted_stat * 2, IF(bbgm_stat &gt;= perc_85, converted_stat * 1.5, converted_stat)))))</f>
        <v/>
      </c>
      <c r="N43" s="30" t="str">
        <f t="array" ref="N43">IF($A43="", "", LET(bbgm_stat, INDEX(Players!$A42:$P42, MATCH(N$2, Players!$A$1:$P$1, 0)), perc_75, VLOOKUP(N$2, Percentiles!$A$45:$I$59, 6, FALSE), perc_90, VLOOKUP(N$2, Percentiles!$A$45:$I$59, 7, FALSE), perc_95, VLOOKUP(N$2, Percentiles!$A$45:$I$59, 8, FALSE), perc_85, perc_75 + (perc_90 - perc_75) * (2/3), converted_stat, '2K_Ratings'!N43, IF(bbgm_stat &gt;= perc_95, converted_stat * 3, IF(bbgm_stat &gt;= perc_90, converted_stat * 2, IF(bbgm_stat &gt;= perc_85, converted_stat * 1.5, converted_stat)))))</f>
        <v/>
      </c>
      <c r="O43" s="30" t="str">
        <f t="array" ref="O43">IF($A43="", "", LET(bbgm_stat, INDEX(Players!$A42:$P42, MATCH(O$2, Players!$A$1:$P$1, 0)), perc_75, VLOOKUP(O$2, Percentiles!$A$45:$I$59, 6, FALSE), perc_90, VLOOKUP(O$2, Percentiles!$A$45:$I$59, 7, FALSE), perc_95, VLOOKUP(O$2, Percentiles!$A$45:$I$59, 8, FALSE), perc_85, perc_75 + (perc_90 - perc_75) * (2/3), converted_stat, '2K_Ratings'!O43, IF(bbgm_stat &gt;= perc_95, converted_stat * 3, IF(bbgm_stat &gt;= perc_90, converted_stat * 2, IF(bbgm_stat &gt;= perc_85, converted_stat * 1.5, converted_stat)))))</f>
        <v/>
      </c>
      <c r="P43" s="30" t="str">
        <f t="array" ref="P43">IF($A43="", "", LET(bbgm_stat, INDEX(Players!$A42:$P42, MATCH(P$2, Players!$A$1:$P$1, 0)), perc_75, VLOOKUP(P$2, Percentiles!$A$45:$I$59, 6, FALSE), perc_90, VLOOKUP(P$2, Percentiles!$A$45:$I$59, 7, FALSE), perc_95, VLOOKUP(P$2, Percentiles!$A$45:$I$59, 8, FALSE), perc_85, perc_75 + (perc_90 - perc_75) * (2/3), converted_stat, '2K_Ratings'!P43, IF(bbgm_stat &gt;= perc_95, converted_stat * 3, IF(bbgm_stat &gt;= perc_90, converted_stat * 2, IF(bbgm_stat &gt;= perc_85, converted_stat * 1.5, converted_stat)))))</f>
        <v/>
      </c>
      <c r="Q43" s="30" t="str">
        <f t="array" ref="Q43">IF($A43="", "", LET(bbgm_stat, INDEX(Players!$A42:$P42, MATCH(Q$2, Players!$A$1:$P$1, 0)), perc_75, VLOOKUP(Q$2, Percentiles!$A$45:$I$59, 6, FALSE), perc_90, VLOOKUP(Q$2, Percentiles!$A$45:$I$59, 7, FALSE), perc_95, VLOOKUP(Q$2, Percentiles!$A$45:$I$59, 8, FALSE), perc_85, perc_75 + (perc_90 - perc_75) * (2/3), converted_stat, '2K_Ratings'!Q43, IF(bbgm_stat &gt;= perc_95, converted_stat * 3, IF(bbgm_stat &gt;= perc_90, converted_stat * 2, IF(bbgm_stat &gt;= perc_85, converted_stat * 1.5, converted_stat)))))</f>
        <v/>
      </c>
      <c r="R43" s="30" t="str">
        <f t="array" ref="R43">IF($A43="", "", LET(bbgm_stat, INDEX(Players!$A42:$P42, MATCH(R$2, Players!$A$1:$P$1, 0)), perc_75, VLOOKUP(R$2, Percentiles!$A$45:$I$59, 6, FALSE), perc_90, VLOOKUP(R$2, Percentiles!$A$45:$I$59, 7, FALSE), perc_95, VLOOKUP(R$2, Percentiles!$A$45:$I$59, 8, FALSE), perc_85, perc_75 + (perc_90 - perc_75) * (2/3), converted_stat, '2K_Ratings'!R43, IF(bbgm_stat &gt;= perc_95, converted_stat * 3, IF(bbgm_stat &gt;= perc_90, converted_stat * 2, IF(bbgm_stat &gt;= perc_85, converted_stat * 1.5, converted_stat)))))</f>
        <v/>
      </c>
      <c r="S43" s="30" t="str">
        <f t="array" ref="S43">IF($A43="", "", LET(bbgm_stat, INDEX(Players!$A42:$P42, MATCH(S$2, Players!$A$1:$P$1, 0)), perc_75, VLOOKUP(S$2, Percentiles!$A$45:$I$59, 6, FALSE), perc_90, VLOOKUP(S$2, Percentiles!$A$45:$I$59, 7, FALSE), perc_95, VLOOKUP(S$2, Percentiles!$A$45:$I$59, 8, FALSE), perc_85, perc_75 + (perc_90 - perc_75) * (2/3), converted_stat, '2K_Ratings'!S43, IF(bbgm_stat &gt;= perc_95, converted_stat * 3, IF(bbgm_stat &gt;= perc_90, converted_stat * 2, IF(bbgm_stat &gt;= perc_85, converted_stat * 1.5, converted_stat)))))</f>
        <v/>
      </c>
      <c r="T43" s="30" t="str">
        <f t="array" ref="T43">IF($A43="", "", LET(bbgm_stat, INDEX(Players!$A42:$P42, MATCH(T$2, Players!$A$1:$P$1, 0)), perc_75, VLOOKUP(T$2, Percentiles!$A$45:$I$59, 6, FALSE), perc_90, VLOOKUP(T$2, Percentiles!$A$45:$I$59, 7, FALSE), perc_95, VLOOKUP(T$2, Percentiles!$A$45:$I$59, 8, FALSE), perc_85, perc_75 + (perc_90 - perc_75) * (2/3), converted_stat, '2K_Ratings'!T43, IF(bbgm_stat &gt;= perc_95, converted_stat * 3, IF(bbgm_stat &gt;= perc_90, converted_stat * 2, IF(bbgm_stat &gt;= perc_85, converted_stat * 1.5, converted_stat)))))</f>
        <v/>
      </c>
      <c r="U43" s="30" t="str">
        <f t="array" ref="U43">IF($A43="", "", LET(bbgm_stat, INDEX(Players!$A42:$P42, MATCH(U$2, Players!$A$1:$P$1, 0)), perc_75, VLOOKUP(U$2, Percentiles!$A$45:$I$59, 6, FALSE), perc_90, VLOOKUP(U$2, Percentiles!$A$45:$I$59, 7, FALSE), perc_95, VLOOKUP(U$2, Percentiles!$A$45:$I$59, 8, FALSE), perc_85, perc_75 + (perc_90 - perc_75) * (2/3), converted_stat, '2K_Ratings'!U43, IF(bbgm_stat &gt;= perc_95, converted_stat * 3, IF(bbgm_stat &gt;= perc_90, converted_stat * 2, IF(bbgm_stat &gt;= perc_85, converted_stat * 1.5, converted_stat)))))</f>
        <v/>
      </c>
      <c r="V43" s="30" t="str">
        <f t="array" ref="V43">IF($A43="", "", LET(bbgm_stat, INDEX(Players!$A42:$P42, MATCH(V$2, Players!$A$1:$P$1, 0)), perc_75, VLOOKUP(V$2, Percentiles!$A$45:$I$59, 6, FALSE), perc_90, VLOOKUP(V$2, Percentiles!$A$45:$I$59, 7, FALSE), perc_95, VLOOKUP(V$2, Percentiles!$A$45:$I$59, 8, FALSE), perc_85, perc_75 + (perc_90 - perc_75) * (2/3), converted_stat, '2K_Ratings'!V43, IF(bbgm_stat &gt;= perc_95, converted_stat * 3, IF(bbgm_stat &gt;= perc_90, converted_stat * 2, IF(bbgm_stat &gt;= perc_85, converted_stat * 1.5, converted_stat)))))</f>
        <v/>
      </c>
      <c r="W43" s="30" t="str">
        <f t="array" ref="W43">IF($A43="", "", LET(bbgm_stat, INDEX(Players!$A42:$P42, MATCH(W$2, Players!$A$1:$P$1, 0)), perc_75, VLOOKUP(W$2, Percentiles!$A$45:$I$59, 6, FALSE), perc_90, VLOOKUP(W$2, Percentiles!$A$45:$I$59, 7, FALSE), perc_95, VLOOKUP(W$2, Percentiles!$A$45:$I$59, 8, FALSE), perc_85, perc_75 + (perc_90 - perc_75) * (2/3), converted_stat, '2K_Ratings'!W43, IF(bbgm_stat &gt;= perc_95, converted_stat * 3, IF(bbgm_stat &gt;= perc_90, converted_stat * 2, IF(bbgm_stat &gt;= perc_85, converted_stat * 1.5, converted_stat)))))</f>
        <v/>
      </c>
    </row>
    <row r="44">
      <c r="A44" s="30" t="str">
        <f>IF(Players!A43="", "", Players!A43)</f>
        <v/>
      </c>
      <c r="B44" s="30" t="str">
        <f t="array" ref="B44">IF($A44="", "", LET(bbgm_stat, INDEX(Players!$A43:$P43, MATCH(B$2, Players!$A$1:$P$1, 0)), perc_75, VLOOKUP(B$2, Percentiles!$A$45:$I$59, 6, FALSE), perc_90, VLOOKUP(B$2, Percentiles!$A$45:$I$59, 7, FALSE), perc_95, VLOOKUP(B$2, Percentiles!$A$45:$I$59, 8, FALSE), perc_85, perc_75 + (perc_90 - perc_75) * (2/3), converted_stat, '2K_Ratings'!B44, IF(bbgm_stat &gt;= perc_95, converted_stat * 3, IF(bbgm_stat &gt;= perc_90, converted_stat * 2, IF(bbgm_stat &gt;= perc_85, converted_stat * 1.5, converted_stat)))))</f>
        <v/>
      </c>
      <c r="C44" s="30" t="str">
        <f t="array" ref="C44">IF($A44="", "", LET(bbgm_stat, INDEX(Players!$A43:$P43, MATCH(C$2, Players!$A$1:$P$1, 0)), perc_75, VLOOKUP(C$2, Percentiles!$A$45:$I$59, 6, FALSE), perc_90, VLOOKUP(C$2, Percentiles!$A$45:$I$59, 7, FALSE), perc_95, VLOOKUP(C$2, Percentiles!$A$45:$I$59, 8, FALSE), perc_85, perc_75 + (perc_90 - perc_75) * (2/3), converted_stat, '2K_Ratings'!C44, IF(bbgm_stat &gt;= perc_95, converted_stat * 3, IF(bbgm_stat &gt;= perc_90, converted_stat * 2, IF(bbgm_stat &gt;= perc_85, converted_stat * 1.5, converted_stat)))))</f>
        <v/>
      </c>
      <c r="D44" s="30" t="str">
        <f t="array" ref="D44">IF($A44="", "", LET(bbgm_stat, INDEX(Players!$A43:$P43, MATCH(D$2, Players!$A$1:$P$1, 0)), perc_75, VLOOKUP(D$2, Percentiles!$A$45:$I$59, 6, FALSE), perc_90, VLOOKUP(D$2, Percentiles!$A$45:$I$59, 7, FALSE), perc_95, VLOOKUP(D$2, Percentiles!$A$45:$I$59, 8, FALSE), perc_85, perc_75 + (perc_90 - perc_75) * (2/3), converted_stat, '2K_Ratings'!D44, IF(bbgm_stat &gt;= perc_95, converted_stat * 3, IF(bbgm_stat &gt;= perc_90, converted_stat * 2, IF(bbgm_stat &gt;= perc_85, converted_stat * 1.5, converted_stat)))))</f>
        <v/>
      </c>
      <c r="E44" s="30" t="str">
        <f t="array" ref="E44">IF($A44="", "", LET(bbgm_stat, INDEX(Players!$A43:$P43, MATCH(E$2, Players!$A$1:$P$1, 0)), perc_75, VLOOKUP(E$2, Percentiles!$A$45:$I$59, 6, FALSE), perc_90, VLOOKUP(E$2, Percentiles!$A$45:$I$59, 7, FALSE), perc_95, VLOOKUP(E$2, Percentiles!$A$45:$I$59, 8, FALSE), perc_85, perc_75 + (perc_90 - perc_75) * (2/3), converted_stat, '2K_Ratings'!E44, IF(bbgm_stat &gt;= perc_95, converted_stat * 3, IF(bbgm_stat &gt;= perc_90, converted_stat * 2, IF(bbgm_stat &gt;= perc_85, converted_stat * 1.5, converted_stat)))))</f>
        <v/>
      </c>
      <c r="F44" s="30" t="str">
        <f t="array" ref="F44">IF($A44="", "", LET(bbgm_stat, INDEX(Players!$A43:$P43, MATCH(F$2, Players!$A$1:$P$1, 0)), perc_75, VLOOKUP(F$2, Percentiles!$A$45:$I$59, 6, FALSE), perc_90, VLOOKUP(F$2, Percentiles!$A$45:$I$59, 7, FALSE), perc_95, VLOOKUP(F$2, Percentiles!$A$45:$I$59, 8, FALSE), perc_85, perc_75 + (perc_90 - perc_75) * (2/3), converted_stat, '2K_Ratings'!F44, IF(bbgm_stat &gt;= perc_95, converted_stat * 3, IF(bbgm_stat &gt;= perc_90, converted_stat * 2, IF(bbgm_stat &gt;= perc_85, converted_stat * 1.5, converted_stat)))))</f>
        <v/>
      </c>
      <c r="G44" s="30" t="str">
        <f t="array" ref="G44">IF($A44="", "", LET(bbgm_stat, INDEX(Players!$A43:$P43, MATCH(G$2, Players!$A$1:$P$1, 0)), perc_75, VLOOKUP(G$2, Percentiles!$A$45:$I$59, 6, FALSE), perc_90, VLOOKUP(G$2, Percentiles!$A$45:$I$59, 7, FALSE), perc_95, VLOOKUP(G$2, Percentiles!$A$45:$I$59, 8, FALSE), perc_85, perc_75 + (perc_90 - perc_75) * (2/3), converted_stat, '2K_Ratings'!G44, IF(bbgm_stat &gt;= perc_95, converted_stat * 3, IF(bbgm_stat &gt;= perc_90, converted_stat * 2, IF(bbgm_stat &gt;= perc_85, converted_stat * 1.5, converted_stat)))))</f>
        <v/>
      </c>
      <c r="H44" s="30" t="str">
        <f t="array" ref="H44">IF($A44="", "", LET(bbgm_stat, INDEX(Players!$A43:$P43, MATCH(H$2, Players!$A$1:$P$1, 0)), perc_75, VLOOKUP(H$2, Percentiles!$A$45:$I$59, 6, FALSE), perc_90, VLOOKUP(H$2, Percentiles!$A$45:$I$59, 7, FALSE), perc_95, VLOOKUP(H$2, Percentiles!$A$45:$I$59, 8, FALSE), perc_85, perc_75 + (perc_90 - perc_75) * (2/3), converted_stat, '2K_Ratings'!H44, IF(bbgm_stat &gt;= perc_95, converted_stat * 3, IF(bbgm_stat &gt;= perc_90, converted_stat * 2, IF(bbgm_stat &gt;= perc_85, converted_stat * 1.5, converted_stat)))))</f>
        <v/>
      </c>
      <c r="I44" s="30" t="str">
        <f t="array" ref="I44">IF($A44="", "", LET(bbgm_stat, INDEX(Players!$A43:$P43, MATCH(I$2, Players!$A$1:$P$1, 0)), perc_75, VLOOKUP(I$2, Percentiles!$A$45:$I$59, 6, FALSE), perc_90, VLOOKUP(I$2, Percentiles!$A$45:$I$59, 7, FALSE), perc_95, VLOOKUP(I$2, Percentiles!$A$45:$I$59, 8, FALSE), perc_85, perc_75 + (perc_90 - perc_75) * (2/3), converted_stat, '2K_Ratings'!I44, IF(bbgm_stat &gt;= perc_95, converted_stat * 3, IF(bbgm_stat &gt;= perc_90, converted_stat * 2, IF(bbgm_stat &gt;= perc_85, converted_stat * 1.5, converted_stat)))))</f>
        <v/>
      </c>
      <c r="J44" s="30" t="str">
        <f t="array" ref="J44">IF($A44="", "", LET(bbgm_stat, INDEX(Players!$A43:$P43, MATCH(J$2, Players!$A$1:$P$1, 0)), perc_75, VLOOKUP(J$2, Percentiles!$A$45:$I$59, 6, FALSE), perc_90, VLOOKUP(J$2, Percentiles!$A$45:$I$59, 7, FALSE), perc_95, VLOOKUP(J$2, Percentiles!$A$45:$I$59, 8, FALSE), perc_85, perc_75 + (perc_90 - perc_75) * (2/3), converted_stat, '2K_Ratings'!J44, IF(bbgm_stat &gt;= perc_95, converted_stat * 3, IF(bbgm_stat &gt;= perc_90, converted_stat * 2, IF(bbgm_stat &gt;= perc_85, converted_stat * 1.5, converted_stat)))))</f>
        <v/>
      </c>
      <c r="K44" s="30" t="str">
        <f t="array" ref="K44">IF($A44="", "", LET(bbgm_stat, INDEX(Players!$A43:$P43, MATCH(K$2, Players!$A$1:$P$1, 0)), perc_75, VLOOKUP(K$2, Percentiles!$A$45:$I$59, 6, FALSE), perc_90, VLOOKUP(K$2, Percentiles!$A$45:$I$59, 7, FALSE), perc_95, VLOOKUP(K$2, Percentiles!$A$45:$I$59, 8, FALSE), perc_85, perc_75 + (perc_90 - perc_75) * (2/3), converted_stat, '2K_Ratings'!K44, IF(bbgm_stat &gt;= perc_95, converted_stat * 3, IF(bbgm_stat &gt;= perc_90, converted_stat * 2, IF(bbgm_stat &gt;= perc_85, converted_stat * 1.5, converted_stat)))))</f>
        <v/>
      </c>
      <c r="L44" s="30" t="str">
        <f t="array" ref="L44">IF($A44="", "", LET(bbgm_stat, INDEX(Players!$A43:$P43, MATCH(L$2, Players!$A$1:$P$1, 0)), perc_75, VLOOKUP(L$2, Percentiles!$A$45:$I$59, 6, FALSE), perc_90, VLOOKUP(L$2, Percentiles!$A$45:$I$59, 7, FALSE), perc_95, VLOOKUP(L$2, Percentiles!$A$45:$I$59, 8, FALSE), perc_85, perc_75 + (perc_90 - perc_75) * (2/3), converted_stat, '2K_Ratings'!L44, IF(bbgm_stat &gt;= perc_95, converted_stat * 3, IF(bbgm_stat &gt;= perc_90, converted_stat * 2, IF(bbgm_stat &gt;= perc_85, converted_stat * 1.5, converted_stat)))))</f>
        <v/>
      </c>
      <c r="M44" s="30" t="str">
        <f t="array" ref="M44">IF($A44="", "", LET(bbgm_stat, INDEX(Players!$A43:$P43, MATCH(M$2, Players!$A$1:$P$1, 0)), perc_75, VLOOKUP(M$2, Percentiles!$A$45:$I$59, 6, FALSE), perc_90, VLOOKUP(M$2, Percentiles!$A$45:$I$59, 7, FALSE), perc_95, VLOOKUP(M$2, Percentiles!$A$45:$I$59, 8, FALSE), perc_85, perc_75 + (perc_90 - perc_75) * (2/3), converted_stat, '2K_Ratings'!M44, IF(bbgm_stat &gt;= perc_95, converted_stat * 3, IF(bbgm_stat &gt;= perc_90, converted_stat * 2, IF(bbgm_stat &gt;= perc_85, converted_stat * 1.5, converted_stat)))))</f>
        <v/>
      </c>
      <c r="N44" s="30" t="str">
        <f t="array" ref="N44">IF($A44="", "", LET(bbgm_stat, INDEX(Players!$A43:$P43, MATCH(N$2, Players!$A$1:$P$1, 0)), perc_75, VLOOKUP(N$2, Percentiles!$A$45:$I$59, 6, FALSE), perc_90, VLOOKUP(N$2, Percentiles!$A$45:$I$59, 7, FALSE), perc_95, VLOOKUP(N$2, Percentiles!$A$45:$I$59, 8, FALSE), perc_85, perc_75 + (perc_90 - perc_75) * (2/3), converted_stat, '2K_Ratings'!N44, IF(bbgm_stat &gt;= perc_95, converted_stat * 3, IF(bbgm_stat &gt;= perc_90, converted_stat * 2, IF(bbgm_stat &gt;= perc_85, converted_stat * 1.5, converted_stat)))))</f>
        <v/>
      </c>
      <c r="O44" s="30" t="str">
        <f t="array" ref="O44">IF($A44="", "", LET(bbgm_stat, INDEX(Players!$A43:$P43, MATCH(O$2, Players!$A$1:$P$1, 0)), perc_75, VLOOKUP(O$2, Percentiles!$A$45:$I$59, 6, FALSE), perc_90, VLOOKUP(O$2, Percentiles!$A$45:$I$59, 7, FALSE), perc_95, VLOOKUP(O$2, Percentiles!$A$45:$I$59, 8, FALSE), perc_85, perc_75 + (perc_90 - perc_75) * (2/3), converted_stat, '2K_Ratings'!O44, IF(bbgm_stat &gt;= perc_95, converted_stat * 3, IF(bbgm_stat &gt;= perc_90, converted_stat * 2, IF(bbgm_stat &gt;= perc_85, converted_stat * 1.5, converted_stat)))))</f>
        <v/>
      </c>
      <c r="P44" s="30" t="str">
        <f t="array" ref="P44">IF($A44="", "", LET(bbgm_stat, INDEX(Players!$A43:$P43, MATCH(P$2, Players!$A$1:$P$1, 0)), perc_75, VLOOKUP(P$2, Percentiles!$A$45:$I$59, 6, FALSE), perc_90, VLOOKUP(P$2, Percentiles!$A$45:$I$59, 7, FALSE), perc_95, VLOOKUP(P$2, Percentiles!$A$45:$I$59, 8, FALSE), perc_85, perc_75 + (perc_90 - perc_75) * (2/3), converted_stat, '2K_Ratings'!P44, IF(bbgm_stat &gt;= perc_95, converted_stat * 3, IF(bbgm_stat &gt;= perc_90, converted_stat * 2, IF(bbgm_stat &gt;= perc_85, converted_stat * 1.5, converted_stat)))))</f>
        <v/>
      </c>
      <c r="Q44" s="30" t="str">
        <f t="array" ref="Q44">IF($A44="", "", LET(bbgm_stat, INDEX(Players!$A43:$P43, MATCH(Q$2, Players!$A$1:$P$1, 0)), perc_75, VLOOKUP(Q$2, Percentiles!$A$45:$I$59, 6, FALSE), perc_90, VLOOKUP(Q$2, Percentiles!$A$45:$I$59, 7, FALSE), perc_95, VLOOKUP(Q$2, Percentiles!$A$45:$I$59, 8, FALSE), perc_85, perc_75 + (perc_90 - perc_75) * (2/3), converted_stat, '2K_Ratings'!Q44, IF(bbgm_stat &gt;= perc_95, converted_stat * 3, IF(bbgm_stat &gt;= perc_90, converted_stat * 2, IF(bbgm_stat &gt;= perc_85, converted_stat * 1.5, converted_stat)))))</f>
        <v/>
      </c>
      <c r="R44" s="30" t="str">
        <f t="array" ref="R44">IF($A44="", "", LET(bbgm_stat, INDEX(Players!$A43:$P43, MATCH(R$2, Players!$A$1:$P$1, 0)), perc_75, VLOOKUP(R$2, Percentiles!$A$45:$I$59, 6, FALSE), perc_90, VLOOKUP(R$2, Percentiles!$A$45:$I$59, 7, FALSE), perc_95, VLOOKUP(R$2, Percentiles!$A$45:$I$59, 8, FALSE), perc_85, perc_75 + (perc_90 - perc_75) * (2/3), converted_stat, '2K_Ratings'!R44, IF(bbgm_stat &gt;= perc_95, converted_stat * 3, IF(bbgm_stat &gt;= perc_90, converted_stat * 2, IF(bbgm_stat &gt;= perc_85, converted_stat * 1.5, converted_stat)))))</f>
        <v/>
      </c>
      <c r="S44" s="30" t="str">
        <f t="array" ref="S44">IF($A44="", "", LET(bbgm_stat, INDEX(Players!$A43:$P43, MATCH(S$2, Players!$A$1:$P$1, 0)), perc_75, VLOOKUP(S$2, Percentiles!$A$45:$I$59, 6, FALSE), perc_90, VLOOKUP(S$2, Percentiles!$A$45:$I$59, 7, FALSE), perc_95, VLOOKUP(S$2, Percentiles!$A$45:$I$59, 8, FALSE), perc_85, perc_75 + (perc_90 - perc_75) * (2/3), converted_stat, '2K_Ratings'!S44, IF(bbgm_stat &gt;= perc_95, converted_stat * 3, IF(bbgm_stat &gt;= perc_90, converted_stat * 2, IF(bbgm_stat &gt;= perc_85, converted_stat * 1.5, converted_stat)))))</f>
        <v/>
      </c>
      <c r="T44" s="30" t="str">
        <f t="array" ref="T44">IF($A44="", "", LET(bbgm_stat, INDEX(Players!$A43:$P43, MATCH(T$2, Players!$A$1:$P$1, 0)), perc_75, VLOOKUP(T$2, Percentiles!$A$45:$I$59, 6, FALSE), perc_90, VLOOKUP(T$2, Percentiles!$A$45:$I$59, 7, FALSE), perc_95, VLOOKUP(T$2, Percentiles!$A$45:$I$59, 8, FALSE), perc_85, perc_75 + (perc_90 - perc_75) * (2/3), converted_stat, '2K_Ratings'!T44, IF(bbgm_stat &gt;= perc_95, converted_stat * 3, IF(bbgm_stat &gt;= perc_90, converted_stat * 2, IF(bbgm_stat &gt;= perc_85, converted_stat * 1.5, converted_stat)))))</f>
        <v/>
      </c>
      <c r="U44" s="30" t="str">
        <f t="array" ref="U44">IF($A44="", "", LET(bbgm_stat, INDEX(Players!$A43:$P43, MATCH(U$2, Players!$A$1:$P$1, 0)), perc_75, VLOOKUP(U$2, Percentiles!$A$45:$I$59, 6, FALSE), perc_90, VLOOKUP(U$2, Percentiles!$A$45:$I$59, 7, FALSE), perc_95, VLOOKUP(U$2, Percentiles!$A$45:$I$59, 8, FALSE), perc_85, perc_75 + (perc_90 - perc_75) * (2/3), converted_stat, '2K_Ratings'!U44, IF(bbgm_stat &gt;= perc_95, converted_stat * 3, IF(bbgm_stat &gt;= perc_90, converted_stat * 2, IF(bbgm_stat &gt;= perc_85, converted_stat * 1.5, converted_stat)))))</f>
        <v/>
      </c>
      <c r="V44" s="30" t="str">
        <f t="array" ref="V44">IF($A44="", "", LET(bbgm_stat, INDEX(Players!$A43:$P43, MATCH(V$2, Players!$A$1:$P$1, 0)), perc_75, VLOOKUP(V$2, Percentiles!$A$45:$I$59, 6, FALSE), perc_90, VLOOKUP(V$2, Percentiles!$A$45:$I$59, 7, FALSE), perc_95, VLOOKUP(V$2, Percentiles!$A$45:$I$59, 8, FALSE), perc_85, perc_75 + (perc_90 - perc_75) * (2/3), converted_stat, '2K_Ratings'!V44, IF(bbgm_stat &gt;= perc_95, converted_stat * 3, IF(bbgm_stat &gt;= perc_90, converted_stat * 2, IF(bbgm_stat &gt;= perc_85, converted_stat * 1.5, converted_stat)))))</f>
        <v/>
      </c>
      <c r="W44" s="30" t="str">
        <f t="array" ref="W44">IF($A44="", "", LET(bbgm_stat, INDEX(Players!$A43:$P43, MATCH(W$2, Players!$A$1:$P$1, 0)), perc_75, VLOOKUP(W$2, Percentiles!$A$45:$I$59, 6, FALSE), perc_90, VLOOKUP(W$2, Percentiles!$A$45:$I$59, 7, FALSE), perc_95, VLOOKUP(W$2, Percentiles!$A$45:$I$59, 8, FALSE), perc_85, perc_75 + (perc_90 - perc_75) * (2/3), converted_stat, '2K_Ratings'!W44, IF(bbgm_stat &gt;= perc_95, converted_stat * 3, IF(bbgm_stat &gt;= perc_90, converted_stat * 2, IF(bbgm_stat &gt;= perc_85, converted_stat * 1.5, converted_stat)))))</f>
        <v/>
      </c>
    </row>
    <row r="45">
      <c r="A45" s="30" t="str">
        <f>IF(Players!A44="", "", Players!A44)</f>
        <v/>
      </c>
      <c r="B45" s="30" t="str">
        <f t="array" ref="B45">IF($A45="", "", LET(bbgm_stat, INDEX(Players!$A44:$P44, MATCH(B$2, Players!$A$1:$P$1, 0)), perc_75, VLOOKUP(B$2, Percentiles!$A$45:$I$59, 6, FALSE), perc_90, VLOOKUP(B$2, Percentiles!$A$45:$I$59, 7, FALSE), perc_95, VLOOKUP(B$2, Percentiles!$A$45:$I$59, 8, FALSE), perc_85, perc_75 + (perc_90 - perc_75) * (2/3), converted_stat, '2K_Ratings'!B45, IF(bbgm_stat &gt;= perc_95, converted_stat * 3, IF(bbgm_stat &gt;= perc_90, converted_stat * 2, IF(bbgm_stat &gt;= perc_85, converted_stat * 1.5, converted_stat)))))</f>
        <v/>
      </c>
      <c r="C45" s="30" t="str">
        <f t="array" ref="C45">IF($A45="", "", LET(bbgm_stat, INDEX(Players!$A44:$P44, MATCH(C$2, Players!$A$1:$P$1, 0)), perc_75, VLOOKUP(C$2, Percentiles!$A$45:$I$59, 6, FALSE), perc_90, VLOOKUP(C$2, Percentiles!$A$45:$I$59, 7, FALSE), perc_95, VLOOKUP(C$2, Percentiles!$A$45:$I$59, 8, FALSE), perc_85, perc_75 + (perc_90 - perc_75) * (2/3), converted_stat, '2K_Ratings'!C45, IF(bbgm_stat &gt;= perc_95, converted_stat * 3, IF(bbgm_stat &gt;= perc_90, converted_stat * 2, IF(bbgm_stat &gt;= perc_85, converted_stat * 1.5, converted_stat)))))</f>
        <v/>
      </c>
      <c r="D45" s="30" t="str">
        <f t="array" ref="D45">IF($A45="", "", LET(bbgm_stat, INDEX(Players!$A44:$P44, MATCH(D$2, Players!$A$1:$P$1, 0)), perc_75, VLOOKUP(D$2, Percentiles!$A$45:$I$59, 6, FALSE), perc_90, VLOOKUP(D$2, Percentiles!$A$45:$I$59, 7, FALSE), perc_95, VLOOKUP(D$2, Percentiles!$A$45:$I$59, 8, FALSE), perc_85, perc_75 + (perc_90 - perc_75) * (2/3), converted_stat, '2K_Ratings'!D45, IF(bbgm_stat &gt;= perc_95, converted_stat * 3, IF(bbgm_stat &gt;= perc_90, converted_stat * 2, IF(bbgm_stat &gt;= perc_85, converted_stat * 1.5, converted_stat)))))</f>
        <v/>
      </c>
      <c r="E45" s="30" t="str">
        <f t="array" ref="E45">IF($A45="", "", LET(bbgm_stat, INDEX(Players!$A44:$P44, MATCH(E$2, Players!$A$1:$P$1, 0)), perc_75, VLOOKUP(E$2, Percentiles!$A$45:$I$59, 6, FALSE), perc_90, VLOOKUP(E$2, Percentiles!$A$45:$I$59, 7, FALSE), perc_95, VLOOKUP(E$2, Percentiles!$A$45:$I$59, 8, FALSE), perc_85, perc_75 + (perc_90 - perc_75) * (2/3), converted_stat, '2K_Ratings'!E45, IF(bbgm_stat &gt;= perc_95, converted_stat * 3, IF(bbgm_stat &gt;= perc_90, converted_stat * 2, IF(bbgm_stat &gt;= perc_85, converted_stat * 1.5, converted_stat)))))</f>
        <v/>
      </c>
      <c r="F45" s="30" t="str">
        <f t="array" ref="F45">IF($A45="", "", LET(bbgm_stat, INDEX(Players!$A44:$P44, MATCH(F$2, Players!$A$1:$P$1, 0)), perc_75, VLOOKUP(F$2, Percentiles!$A$45:$I$59, 6, FALSE), perc_90, VLOOKUP(F$2, Percentiles!$A$45:$I$59, 7, FALSE), perc_95, VLOOKUP(F$2, Percentiles!$A$45:$I$59, 8, FALSE), perc_85, perc_75 + (perc_90 - perc_75) * (2/3), converted_stat, '2K_Ratings'!F45, IF(bbgm_stat &gt;= perc_95, converted_stat * 3, IF(bbgm_stat &gt;= perc_90, converted_stat * 2, IF(bbgm_stat &gt;= perc_85, converted_stat * 1.5, converted_stat)))))</f>
        <v/>
      </c>
      <c r="G45" s="30" t="str">
        <f t="array" ref="G45">IF($A45="", "", LET(bbgm_stat, INDEX(Players!$A44:$P44, MATCH(G$2, Players!$A$1:$P$1, 0)), perc_75, VLOOKUP(G$2, Percentiles!$A$45:$I$59, 6, FALSE), perc_90, VLOOKUP(G$2, Percentiles!$A$45:$I$59, 7, FALSE), perc_95, VLOOKUP(G$2, Percentiles!$A$45:$I$59, 8, FALSE), perc_85, perc_75 + (perc_90 - perc_75) * (2/3), converted_stat, '2K_Ratings'!G45, IF(bbgm_stat &gt;= perc_95, converted_stat * 3, IF(bbgm_stat &gt;= perc_90, converted_stat * 2, IF(bbgm_stat &gt;= perc_85, converted_stat * 1.5, converted_stat)))))</f>
        <v/>
      </c>
      <c r="H45" s="30" t="str">
        <f t="array" ref="H45">IF($A45="", "", LET(bbgm_stat, INDEX(Players!$A44:$P44, MATCH(H$2, Players!$A$1:$P$1, 0)), perc_75, VLOOKUP(H$2, Percentiles!$A$45:$I$59, 6, FALSE), perc_90, VLOOKUP(H$2, Percentiles!$A$45:$I$59, 7, FALSE), perc_95, VLOOKUP(H$2, Percentiles!$A$45:$I$59, 8, FALSE), perc_85, perc_75 + (perc_90 - perc_75) * (2/3), converted_stat, '2K_Ratings'!H45, IF(bbgm_stat &gt;= perc_95, converted_stat * 3, IF(bbgm_stat &gt;= perc_90, converted_stat * 2, IF(bbgm_stat &gt;= perc_85, converted_stat * 1.5, converted_stat)))))</f>
        <v/>
      </c>
      <c r="I45" s="30" t="str">
        <f t="array" ref="I45">IF($A45="", "", LET(bbgm_stat, INDEX(Players!$A44:$P44, MATCH(I$2, Players!$A$1:$P$1, 0)), perc_75, VLOOKUP(I$2, Percentiles!$A$45:$I$59, 6, FALSE), perc_90, VLOOKUP(I$2, Percentiles!$A$45:$I$59, 7, FALSE), perc_95, VLOOKUP(I$2, Percentiles!$A$45:$I$59, 8, FALSE), perc_85, perc_75 + (perc_90 - perc_75) * (2/3), converted_stat, '2K_Ratings'!I45, IF(bbgm_stat &gt;= perc_95, converted_stat * 3, IF(bbgm_stat &gt;= perc_90, converted_stat * 2, IF(bbgm_stat &gt;= perc_85, converted_stat * 1.5, converted_stat)))))</f>
        <v/>
      </c>
      <c r="J45" s="30" t="str">
        <f t="array" ref="J45">IF($A45="", "", LET(bbgm_stat, INDEX(Players!$A44:$P44, MATCH(J$2, Players!$A$1:$P$1, 0)), perc_75, VLOOKUP(J$2, Percentiles!$A$45:$I$59, 6, FALSE), perc_90, VLOOKUP(J$2, Percentiles!$A$45:$I$59, 7, FALSE), perc_95, VLOOKUP(J$2, Percentiles!$A$45:$I$59, 8, FALSE), perc_85, perc_75 + (perc_90 - perc_75) * (2/3), converted_stat, '2K_Ratings'!J45, IF(bbgm_stat &gt;= perc_95, converted_stat * 3, IF(bbgm_stat &gt;= perc_90, converted_stat * 2, IF(bbgm_stat &gt;= perc_85, converted_stat * 1.5, converted_stat)))))</f>
        <v/>
      </c>
      <c r="K45" s="30" t="str">
        <f t="array" ref="K45">IF($A45="", "", LET(bbgm_stat, INDEX(Players!$A44:$P44, MATCH(K$2, Players!$A$1:$P$1, 0)), perc_75, VLOOKUP(K$2, Percentiles!$A$45:$I$59, 6, FALSE), perc_90, VLOOKUP(K$2, Percentiles!$A$45:$I$59, 7, FALSE), perc_95, VLOOKUP(K$2, Percentiles!$A$45:$I$59, 8, FALSE), perc_85, perc_75 + (perc_90 - perc_75) * (2/3), converted_stat, '2K_Ratings'!K45, IF(bbgm_stat &gt;= perc_95, converted_stat * 3, IF(bbgm_stat &gt;= perc_90, converted_stat * 2, IF(bbgm_stat &gt;= perc_85, converted_stat * 1.5, converted_stat)))))</f>
        <v/>
      </c>
      <c r="L45" s="30" t="str">
        <f t="array" ref="L45">IF($A45="", "", LET(bbgm_stat, INDEX(Players!$A44:$P44, MATCH(L$2, Players!$A$1:$P$1, 0)), perc_75, VLOOKUP(L$2, Percentiles!$A$45:$I$59, 6, FALSE), perc_90, VLOOKUP(L$2, Percentiles!$A$45:$I$59, 7, FALSE), perc_95, VLOOKUP(L$2, Percentiles!$A$45:$I$59, 8, FALSE), perc_85, perc_75 + (perc_90 - perc_75) * (2/3), converted_stat, '2K_Ratings'!L45, IF(bbgm_stat &gt;= perc_95, converted_stat * 3, IF(bbgm_stat &gt;= perc_90, converted_stat * 2, IF(bbgm_stat &gt;= perc_85, converted_stat * 1.5, converted_stat)))))</f>
        <v/>
      </c>
      <c r="M45" s="30" t="str">
        <f t="array" ref="M45">IF($A45="", "", LET(bbgm_stat, INDEX(Players!$A44:$P44, MATCH(M$2, Players!$A$1:$P$1, 0)), perc_75, VLOOKUP(M$2, Percentiles!$A$45:$I$59, 6, FALSE), perc_90, VLOOKUP(M$2, Percentiles!$A$45:$I$59, 7, FALSE), perc_95, VLOOKUP(M$2, Percentiles!$A$45:$I$59, 8, FALSE), perc_85, perc_75 + (perc_90 - perc_75) * (2/3), converted_stat, '2K_Ratings'!M45, IF(bbgm_stat &gt;= perc_95, converted_stat * 3, IF(bbgm_stat &gt;= perc_90, converted_stat * 2, IF(bbgm_stat &gt;= perc_85, converted_stat * 1.5, converted_stat)))))</f>
        <v/>
      </c>
      <c r="N45" s="30" t="str">
        <f t="array" ref="N45">IF($A45="", "", LET(bbgm_stat, INDEX(Players!$A44:$P44, MATCH(N$2, Players!$A$1:$P$1, 0)), perc_75, VLOOKUP(N$2, Percentiles!$A$45:$I$59, 6, FALSE), perc_90, VLOOKUP(N$2, Percentiles!$A$45:$I$59, 7, FALSE), perc_95, VLOOKUP(N$2, Percentiles!$A$45:$I$59, 8, FALSE), perc_85, perc_75 + (perc_90 - perc_75) * (2/3), converted_stat, '2K_Ratings'!N45, IF(bbgm_stat &gt;= perc_95, converted_stat * 3, IF(bbgm_stat &gt;= perc_90, converted_stat * 2, IF(bbgm_stat &gt;= perc_85, converted_stat * 1.5, converted_stat)))))</f>
        <v/>
      </c>
      <c r="O45" s="30" t="str">
        <f t="array" ref="O45">IF($A45="", "", LET(bbgm_stat, INDEX(Players!$A44:$P44, MATCH(O$2, Players!$A$1:$P$1, 0)), perc_75, VLOOKUP(O$2, Percentiles!$A$45:$I$59, 6, FALSE), perc_90, VLOOKUP(O$2, Percentiles!$A$45:$I$59, 7, FALSE), perc_95, VLOOKUP(O$2, Percentiles!$A$45:$I$59, 8, FALSE), perc_85, perc_75 + (perc_90 - perc_75) * (2/3), converted_stat, '2K_Ratings'!O45, IF(bbgm_stat &gt;= perc_95, converted_stat * 3, IF(bbgm_stat &gt;= perc_90, converted_stat * 2, IF(bbgm_stat &gt;= perc_85, converted_stat * 1.5, converted_stat)))))</f>
        <v/>
      </c>
      <c r="P45" s="30" t="str">
        <f t="array" ref="P45">IF($A45="", "", LET(bbgm_stat, INDEX(Players!$A44:$P44, MATCH(P$2, Players!$A$1:$P$1, 0)), perc_75, VLOOKUP(P$2, Percentiles!$A$45:$I$59, 6, FALSE), perc_90, VLOOKUP(P$2, Percentiles!$A$45:$I$59, 7, FALSE), perc_95, VLOOKUP(P$2, Percentiles!$A$45:$I$59, 8, FALSE), perc_85, perc_75 + (perc_90 - perc_75) * (2/3), converted_stat, '2K_Ratings'!P45, IF(bbgm_stat &gt;= perc_95, converted_stat * 3, IF(bbgm_stat &gt;= perc_90, converted_stat * 2, IF(bbgm_stat &gt;= perc_85, converted_stat * 1.5, converted_stat)))))</f>
        <v/>
      </c>
      <c r="Q45" s="30" t="str">
        <f t="array" ref="Q45">IF($A45="", "", LET(bbgm_stat, INDEX(Players!$A44:$P44, MATCH(Q$2, Players!$A$1:$P$1, 0)), perc_75, VLOOKUP(Q$2, Percentiles!$A$45:$I$59, 6, FALSE), perc_90, VLOOKUP(Q$2, Percentiles!$A$45:$I$59, 7, FALSE), perc_95, VLOOKUP(Q$2, Percentiles!$A$45:$I$59, 8, FALSE), perc_85, perc_75 + (perc_90 - perc_75) * (2/3), converted_stat, '2K_Ratings'!Q45, IF(bbgm_stat &gt;= perc_95, converted_stat * 3, IF(bbgm_stat &gt;= perc_90, converted_stat * 2, IF(bbgm_stat &gt;= perc_85, converted_stat * 1.5, converted_stat)))))</f>
        <v/>
      </c>
      <c r="R45" s="30" t="str">
        <f t="array" ref="R45">IF($A45="", "", LET(bbgm_stat, INDEX(Players!$A44:$P44, MATCH(R$2, Players!$A$1:$P$1, 0)), perc_75, VLOOKUP(R$2, Percentiles!$A$45:$I$59, 6, FALSE), perc_90, VLOOKUP(R$2, Percentiles!$A$45:$I$59, 7, FALSE), perc_95, VLOOKUP(R$2, Percentiles!$A$45:$I$59, 8, FALSE), perc_85, perc_75 + (perc_90 - perc_75) * (2/3), converted_stat, '2K_Ratings'!R45, IF(bbgm_stat &gt;= perc_95, converted_stat * 3, IF(bbgm_stat &gt;= perc_90, converted_stat * 2, IF(bbgm_stat &gt;= perc_85, converted_stat * 1.5, converted_stat)))))</f>
        <v/>
      </c>
      <c r="S45" s="30" t="str">
        <f t="array" ref="S45">IF($A45="", "", LET(bbgm_stat, INDEX(Players!$A44:$P44, MATCH(S$2, Players!$A$1:$P$1, 0)), perc_75, VLOOKUP(S$2, Percentiles!$A$45:$I$59, 6, FALSE), perc_90, VLOOKUP(S$2, Percentiles!$A$45:$I$59, 7, FALSE), perc_95, VLOOKUP(S$2, Percentiles!$A$45:$I$59, 8, FALSE), perc_85, perc_75 + (perc_90 - perc_75) * (2/3), converted_stat, '2K_Ratings'!S45, IF(bbgm_stat &gt;= perc_95, converted_stat * 3, IF(bbgm_stat &gt;= perc_90, converted_stat * 2, IF(bbgm_stat &gt;= perc_85, converted_stat * 1.5, converted_stat)))))</f>
        <v/>
      </c>
      <c r="T45" s="30" t="str">
        <f t="array" ref="T45">IF($A45="", "", LET(bbgm_stat, INDEX(Players!$A44:$P44, MATCH(T$2, Players!$A$1:$P$1, 0)), perc_75, VLOOKUP(T$2, Percentiles!$A$45:$I$59, 6, FALSE), perc_90, VLOOKUP(T$2, Percentiles!$A$45:$I$59, 7, FALSE), perc_95, VLOOKUP(T$2, Percentiles!$A$45:$I$59, 8, FALSE), perc_85, perc_75 + (perc_90 - perc_75) * (2/3), converted_stat, '2K_Ratings'!T45, IF(bbgm_stat &gt;= perc_95, converted_stat * 3, IF(bbgm_stat &gt;= perc_90, converted_stat * 2, IF(bbgm_stat &gt;= perc_85, converted_stat * 1.5, converted_stat)))))</f>
        <v/>
      </c>
      <c r="U45" s="30" t="str">
        <f t="array" ref="U45">IF($A45="", "", LET(bbgm_stat, INDEX(Players!$A44:$P44, MATCH(U$2, Players!$A$1:$P$1, 0)), perc_75, VLOOKUP(U$2, Percentiles!$A$45:$I$59, 6, FALSE), perc_90, VLOOKUP(U$2, Percentiles!$A$45:$I$59, 7, FALSE), perc_95, VLOOKUP(U$2, Percentiles!$A$45:$I$59, 8, FALSE), perc_85, perc_75 + (perc_90 - perc_75) * (2/3), converted_stat, '2K_Ratings'!U45, IF(bbgm_stat &gt;= perc_95, converted_stat * 3, IF(bbgm_stat &gt;= perc_90, converted_stat * 2, IF(bbgm_stat &gt;= perc_85, converted_stat * 1.5, converted_stat)))))</f>
        <v/>
      </c>
      <c r="V45" s="30" t="str">
        <f t="array" ref="V45">IF($A45="", "", LET(bbgm_stat, INDEX(Players!$A44:$P44, MATCH(V$2, Players!$A$1:$P$1, 0)), perc_75, VLOOKUP(V$2, Percentiles!$A$45:$I$59, 6, FALSE), perc_90, VLOOKUP(V$2, Percentiles!$A$45:$I$59, 7, FALSE), perc_95, VLOOKUP(V$2, Percentiles!$A$45:$I$59, 8, FALSE), perc_85, perc_75 + (perc_90 - perc_75) * (2/3), converted_stat, '2K_Ratings'!V45, IF(bbgm_stat &gt;= perc_95, converted_stat * 3, IF(bbgm_stat &gt;= perc_90, converted_stat * 2, IF(bbgm_stat &gt;= perc_85, converted_stat * 1.5, converted_stat)))))</f>
        <v/>
      </c>
      <c r="W45" s="30" t="str">
        <f t="array" ref="W45">IF($A45="", "", LET(bbgm_stat, INDEX(Players!$A44:$P44, MATCH(W$2, Players!$A$1:$P$1, 0)), perc_75, VLOOKUP(W$2, Percentiles!$A$45:$I$59, 6, FALSE), perc_90, VLOOKUP(W$2, Percentiles!$A$45:$I$59, 7, FALSE), perc_95, VLOOKUP(W$2, Percentiles!$A$45:$I$59, 8, FALSE), perc_85, perc_75 + (perc_90 - perc_75) * (2/3), converted_stat, '2K_Ratings'!W45, IF(bbgm_stat &gt;= perc_95, converted_stat * 3, IF(bbgm_stat &gt;= perc_90, converted_stat * 2, IF(bbgm_stat &gt;= perc_85, converted_stat * 1.5, converted_stat)))))</f>
        <v/>
      </c>
    </row>
    <row r="46">
      <c r="A46" s="30" t="str">
        <f>IF(Players!A45="", "", Players!A45)</f>
        <v/>
      </c>
      <c r="B46" s="30" t="str">
        <f t="array" ref="B46">IF($A46="", "", LET(bbgm_stat, INDEX(Players!$A45:$P45, MATCH(B$2, Players!$A$1:$P$1, 0)), perc_75, VLOOKUP(B$2, Percentiles!$A$45:$I$59, 6, FALSE), perc_90, VLOOKUP(B$2, Percentiles!$A$45:$I$59, 7, FALSE), perc_95, VLOOKUP(B$2, Percentiles!$A$45:$I$59, 8, FALSE), perc_85, perc_75 + (perc_90 - perc_75) * (2/3), converted_stat, '2K_Ratings'!B46, IF(bbgm_stat &gt;= perc_95, converted_stat * 3, IF(bbgm_stat &gt;= perc_90, converted_stat * 2, IF(bbgm_stat &gt;= perc_85, converted_stat * 1.5, converted_stat)))))</f>
        <v/>
      </c>
      <c r="C46" s="30" t="str">
        <f t="array" ref="C46">IF($A46="", "", LET(bbgm_stat, INDEX(Players!$A45:$P45, MATCH(C$2, Players!$A$1:$P$1, 0)), perc_75, VLOOKUP(C$2, Percentiles!$A$45:$I$59, 6, FALSE), perc_90, VLOOKUP(C$2, Percentiles!$A$45:$I$59, 7, FALSE), perc_95, VLOOKUP(C$2, Percentiles!$A$45:$I$59, 8, FALSE), perc_85, perc_75 + (perc_90 - perc_75) * (2/3), converted_stat, '2K_Ratings'!C46, IF(bbgm_stat &gt;= perc_95, converted_stat * 3, IF(bbgm_stat &gt;= perc_90, converted_stat * 2, IF(bbgm_stat &gt;= perc_85, converted_stat * 1.5, converted_stat)))))</f>
        <v/>
      </c>
      <c r="D46" s="30" t="str">
        <f t="array" ref="D46">IF($A46="", "", LET(bbgm_stat, INDEX(Players!$A45:$P45, MATCH(D$2, Players!$A$1:$P$1, 0)), perc_75, VLOOKUP(D$2, Percentiles!$A$45:$I$59, 6, FALSE), perc_90, VLOOKUP(D$2, Percentiles!$A$45:$I$59, 7, FALSE), perc_95, VLOOKUP(D$2, Percentiles!$A$45:$I$59, 8, FALSE), perc_85, perc_75 + (perc_90 - perc_75) * (2/3), converted_stat, '2K_Ratings'!D46, IF(bbgm_stat &gt;= perc_95, converted_stat * 3, IF(bbgm_stat &gt;= perc_90, converted_stat * 2, IF(bbgm_stat &gt;= perc_85, converted_stat * 1.5, converted_stat)))))</f>
        <v/>
      </c>
      <c r="E46" s="30" t="str">
        <f t="array" ref="E46">IF($A46="", "", LET(bbgm_stat, INDEX(Players!$A45:$P45, MATCH(E$2, Players!$A$1:$P$1, 0)), perc_75, VLOOKUP(E$2, Percentiles!$A$45:$I$59, 6, FALSE), perc_90, VLOOKUP(E$2, Percentiles!$A$45:$I$59, 7, FALSE), perc_95, VLOOKUP(E$2, Percentiles!$A$45:$I$59, 8, FALSE), perc_85, perc_75 + (perc_90 - perc_75) * (2/3), converted_stat, '2K_Ratings'!E46, IF(bbgm_stat &gt;= perc_95, converted_stat * 3, IF(bbgm_stat &gt;= perc_90, converted_stat * 2, IF(bbgm_stat &gt;= perc_85, converted_stat * 1.5, converted_stat)))))</f>
        <v/>
      </c>
      <c r="F46" s="30" t="str">
        <f t="array" ref="F46">IF($A46="", "", LET(bbgm_stat, INDEX(Players!$A45:$P45, MATCH(F$2, Players!$A$1:$P$1, 0)), perc_75, VLOOKUP(F$2, Percentiles!$A$45:$I$59, 6, FALSE), perc_90, VLOOKUP(F$2, Percentiles!$A$45:$I$59, 7, FALSE), perc_95, VLOOKUP(F$2, Percentiles!$A$45:$I$59, 8, FALSE), perc_85, perc_75 + (perc_90 - perc_75) * (2/3), converted_stat, '2K_Ratings'!F46, IF(bbgm_stat &gt;= perc_95, converted_stat * 3, IF(bbgm_stat &gt;= perc_90, converted_stat * 2, IF(bbgm_stat &gt;= perc_85, converted_stat * 1.5, converted_stat)))))</f>
        <v/>
      </c>
      <c r="G46" s="30" t="str">
        <f t="array" ref="G46">IF($A46="", "", LET(bbgm_stat, INDEX(Players!$A45:$P45, MATCH(G$2, Players!$A$1:$P$1, 0)), perc_75, VLOOKUP(G$2, Percentiles!$A$45:$I$59, 6, FALSE), perc_90, VLOOKUP(G$2, Percentiles!$A$45:$I$59, 7, FALSE), perc_95, VLOOKUP(G$2, Percentiles!$A$45:$I$59, 8, FALSE), perc_85, perc_75 + (perc_90 - perc_75) * (2/3), converted_stat, '2K_Ratings'!G46, IF(bbgm_stat &gt;= perc_95, converted_stat * 3, IF(bbgm_stat &gt;= perc_90, converted_stat * 2, IF(bbgm_stat &gt;= perc_85, converted_stat * 1.5, converted_stat)))))</f>
        <v/>
      </c>
      <c r="H46" s="30" t="str">
        <f t="array" ref="H46">IF($A46="", "", LET(bbgm_stat, INDEX(Players!$A45:$P45, MATCH(H$2, Players!$A$1:$P$1, 0)), perc_75, VLOOKUP(H$2, Percentiles!$A$45:$I$59, 6, FALSE), perc_90, VLOOKUP(H$2, Percentiles!$A$45:$I$59, 7, FALSE), perc_95, VLOOKUP(H$2, Percentiles!$A$45:$I$59, 8, FALSE), perc_85, perc_75 + (perc_90 - perc_75) * (2/3), converted_stat, '2K_Ratings'!H46, IF(bbgm_stat &gt;= perc_95, converted_stat * 3, IF(bbgm_stat &gt;= perc_90, converted_stat * 2, IF(bbgm_stat &gt;= perc_85, converted_stat * 1.5, converted_stat)))))</f>
        <v/>
      </c>
      <c r="I46" s="30" t="str">
        <f t="array" ref="I46">IF($A46="", "", LET(bbgm_stat, INDEX(Players!$A45:$P45, MATCH(I$2, Players!$A$1:$P$1, 0)), perc_75, VLOOKUP(I$2, Percentiles!$A$45:$I$59, 6, FALSE), perc_90, VLOOKUP(I$2, Percentiles!$A$45:$I$59, 7, FALSE), perc_95, VLOOKUP(I$2, Percentiles!$A$45:$I$59, 8, FALSE), perc_85, perc_75 + (perc_90 - perc_75) * (2/3), converted_stat, '2K_Ratings'!I46, IF(bbgm_stat &gt;= perc_95, converted_stat * 3, IF(bbgm_stat &gt;= perc_90, converted_stat * 2, IF(bbgm_stat &gt;= perc_85, converted_stat * 1.5, converted_stat)))))</f>
        <v/>
      </c>
      <c r="J46" s="30" t="str">
        <f t="array" ref="J46">IF($A46="", "", LET(bbgm_stat, INDEX(Players!$A45:$P45, MATCH(J$2, Players!$A$1:$P$1, 0)), perc_75, VLOOKUP(J$2, Percentiles!$A$45:$I$59, 6, FALSE), perc_90, VLOOKUP(J$2, Percentiles!$A$45:$I$59, 7, FALSE), perc_95, VLOOKUP(J$2, Percentiles!$A$45:$I$59, 8, FALSE), perc_85, perc_75 + (perc_90 - perc_75) * (2/3), converted_stat, '2K_Ratings'!J46, IF(bbgm_stat &gt;= perc_95, converted_stat * 3, IF(bbgm_stat &gt;= perc_90, converted_stat * 2, IF(bbgm_stat &gt;= perc_85, converted_stat * 1.5, converted_stat)))))</f>
        <v/>
      </c>
      <c r="K46" s="30" t="str">
        <f t="array" ref="K46">IF($A46="", "", LET(bbgm_stat, INDEX(Players!$A45:$P45, MATCH(K$2, Players!$A$1:$P$1, 0)), perc_75, VLOOKUP(K$2, Percentiles!$A$45:$I$59, 6, FALSE), perc_90, VLOOKUP(K$2, Percentiles!$A$45:$I$59, 7, FALSE), perc_95, VLOOKUP(K$2, Percentiles!$A$45:$I$59, 8, FALSE), perc_85, perc_75 + (perc_90 - perc_75) * (2/3), converted_stat, '2K_Ratings'!K46, IF(bbgm_stat &gt;= perc_95, converted_stat * 3, IF(bbgm_stat &gt;= perc_90, converted_stat * 2, IF(bbgm_stat &gt;= perc_85, converted_stat * 1.5, converted_stat)))))</f>
        <v/>
      </c>
      <c r="L46" s="30" t="str">
        <f t="array" ref="L46">IF($A46="", "", LET(bbgm_stat, INDEX(Players!$A45:$P45, MATCH(L$2, Players!$A$1:$P$1, 0)), perc_75, VLOOKUP(L$2, Percentiles!$A$45:$I$59, 6, FALSE), perc_90, VLOOKUP(L$2, Percentiles!$A$45:$I$59, 7, FALSE), perc_95, VLOOKUP(L$2, Percentiles!$A$45:$I$59, 8, FALSE), perc_85, perc_75 + (perc_90 - perc_75) * (2/3), converted_stat, '2K_Ratings'!L46, IF(bbgm_stat &gt;= perc_95, converted_stat * 3, IF(bbgm_stat &gt;= perc_90, converted_stat * 2, IF(bbgm_stat &gt;= perc_85, converted_stat * 1.5, converted_stat)))))</f>
        <v/>
      </c>
      <c r="M46" s="30" t="str">
        <f t="array" ref="M46">IF($A46="", "", LET(bbgm_stat, INDEX(Players!$A45:$P45, MATCH(M$2, Players!$A$1:$P$1, 0)), perc_75, VLOOKUP(M$2, Percentiles!$A$45:$I$59, 6, FALSE), perc_90, VLOOKUP(M$2, Percentiles!$A$45:$I$59, 7, FALSE), perc_95, VLOOKUP(M$2, Percentiles!$A$45:$I$59, 8, FALSE), perc_85, perc_75 + (perc_90 - perc_75) * (2/3), converted_stat, '2K_Ratings'!M46, IF(bbgm_stat &gt;= perc_95, converted_stat * 3, IF(bbgm_stat &gt;= perc_90, converted_stat * 2, IF(bbgm_stat &gt;= perc_85, converted_stat * 1.5, converted_stat)))))</f>
        <v/>
      </c>
      <c r="N46" s="30" t="str">
        <f t="array" ref="N46">IF($A46="", "", LET(bbgm_stat, INDEX(Players!$A45:$P45, MATCH(N$2, Players!$A$1:$P$1, 0)), perc_75, VLOOKUP(N$2, Percentiles!$A$45:$I$59, 6, FALSE), perc_90, VLOOKUP(N$2, Percentiles!$A$45:$I$59, 7, FALSE), perc_95, VLOOKUP(N$2, Percentiles!$A$45:$I$59, 8, FALSE), perc_85, perc_75 + (perc_90 - perc_75) * (2/3), converted_stat, '2K_Ratings'!N46, IF(bbgm_stat &gt;= perc_95, converted_stat * 3, IF(bbgm_stat &gt;= perc_90, converted_stat * 2, IF(bbgm_stat &gt;= perc_85, converted_stat * 1.5, converted_stat)))))</f>
        <v/>
      </c>
      <c r="O46" s="30" t="str">
        <f t="array" ref="O46">IF($A46="", "", LET(bbgm_stat, INDEX(Players!$A45:$P45, MATCH(O$2, Players!$A$1:$P$1, 0)), perc_75, VLOOKUP(O$2, Percentiles!$A$45:$I$59, 6, FALSE), perc_90, VLOOKUP(O$2, Percentiles!$A$45:$I$59, 7, FALSE), perc_95, VLOOKUP(O$2, Percentiles!$A$45:$I$59, 8, FALSE), perc_85, perc_75 + (perc_90 - perc_75) * (2/3), converted_stat, '2K_Ratings'!O46, IF(bbgm_stat &gt;= perc_95, converted_stat * 3, IF(bbgm_stat &gt;= perc_90, converted_stat * 2, IF(bbgm_stat &gt;= perc_85, converted_stat * 1.5, converted_stat)))))</f>
        <v/>
      </c>
      <c r="P46" s="30" t="str">
        <f t="array" ref="P46">IF($A46="", "", LET(bbgm_stat, INDEX(Players!$A45:$P45, MATCH(P$2, Players!$A$1:$P$1, 0)), perc_75, VLOOKUP(P$2, Percentiles!$A$45:$I$59, 6, FALSE), perc_90, VLOOKUP(P$2, Percentiles!$A$45:$I$59, 7, FALSE), perc_95, VLOOKUP(P$2, Percentiles!$A$45:$I$59, 8, FALSE), perc_85, perc_75 + (perc_90 - perc_75) * (2/3), converted_stat, '2K_Ratings'!P46, IF(bbgm_stat &gt;= perc_95, converted_stat * 3, IF(bbgm_stat &gt;= perc_90, converted_stat * 2, IF(bbgm_stat &gt;= perc_85, converted_stat * 1.5, converted_stat)))))</f>
        <v/>
      </c>
      <c r="Q46" s="30" t="str">
        <f t="array" ref="Q46">IF($A46="", "", LET(bbgm_stat, INDEX(Players!$A45:$P45, MATCH(Q$2, Players!$A$1:$P$1, 0)), perc_75, VLOOKUP(Q$2, Percentiles!$A$45:$I$59, 6, FALSE), perc_90, VLOOKUP(Q$2, Percentiles!$A$45:$I$59, 7, FALSE), perc_95, VLOOKUP(Q$2, Percentiles!$A$45:$I$59, 8, FALSE), perc_85, perc_75 + (perc_90 - perc_75) * (2/3), converted_stat, '2K_Ratings'!Q46, IF(bbgm_stat &gt;= perc_95, converted_stat * 3, IF(bbgm_stat &gt;= perc_90, converted_stat * 2, IF(bbgm_stat &gt;= perc_85, converted_stat * 1.5, converted_stat)))))</f>
        <v/>
      </c>
      <c r="R46" s="30" t="str">
        <f t="array" ref="R46">IF($A46="", "", LET(bbgm_stat, INDEX(Players!$A45:$P45, MATCH(R$2, Players!$A$1:$P$1, 0)), perc_75, VLOOKUP(R$2, Percentiles!$A$45:$I$59, 6, FALSE), perc_90, VLOOKUP(R$2, Percentiles!$A$45:$I$59, 7, FALSE), perc_95, VLOOKUP(R$2, Percentiles!$A$45:$I$59, 8, FALSE), perc_85, perc_75 + (perc_90 - perc_75) * (2/3), converted_stat, '2K_Ratings'!R46, IF(bbgm_stat &gt;= perc_95, converted_stat * 3, IF(bbgm_stat &gt;= perc_90, converted_stat * 2, IF(bbgm_stat &gt;= perc_85, converted_stat * 1.5, converted_stat)))))</f>
        <v/>
      </c>
      <c r="S46" s="30" t="str">
        <f t="array" ref="S46">IF($A46="", "", LET(bbgm_stat, INDEX(Players!$A45:$P45, MATCH(S$2, Players!$A$1:$P$1, 0)), perc_75, VLOOKUP(S$2, Percentiles!$A$45:$I$59, 6, FALSE), perc_90, VLOOKUP(S$2, Percentiles!$A$45:$I$59, 7, FALSE), perc_95, VLOOKUP(S$2, Percentiles!$A$45:$I$59, 8, FALSE), perc_85, perc_75 + (perc_90 - perc_75) * (2/3), converted_stat, '2K_Ratings'!S46, IF(bbgm_stat &gt;= perc_95, converted_stat * 3, IF(bbgm_stat &gt;= perc_90, converted_stat * 2, IF(bbgm_stat &gt;= perc_85, converted_stat * 1.5, converted_stat)))))</f>
        <v/>
      </c>
      <c r="T46" s="30" t="str">
        <f t="array" ref="T46">IF($A46="", "", LET(bbgm_stat, INDEX(Players!$A45:$P45, MATCH(T$2, Players!$A$1:$P$1, 0)), perc_75, VLOOKUP(T$2, Percentiles!$A$45:$I$59, 6, FALSE), perc_90, VLOOKUP(T$2, Percentiles!$A$45:$I$59, 7, FALSE), perc_95, VLOOKUP(T$2, Percentiles!$A$45:$I$59, 8, FALSE), perc_85, perc_75 + (perc_90 - perc_75) * (2/3), converted_stat, '2K_Ratings'!T46, IF(bbgm_stat &gt;= perc_95, converted_stat * 3, IF(bbgm_stat &gt;= perc_90, converted_stat * 2, IF(bbgm_stat &gt;= perc_85, converted_stat * 1.5, converted_stat)))))</f>
        <v/>
      </c>
      <c r="U46" s="30" t="str">
        <f t="array" ref="U46">IF($A46="", "", LET(bbgm_stat, INDEX(Players!$A45:$P45, MATCH(U$2, Players!$A$1:$P$1, 0)), perc_75, VLOOKUP(U$2, Percentiles!$A$45:$I$59, 6, FALSE), perc_90, VLOOKUP(U$2, Percentiles!$A$45:$I$59, 7, FALSE), perc_95, VLOOKUP(U$2, Percentiles!$A$45:$I$59, 8, FALSE), perc_85, perc_75 + (perc_90 - perc_75) * (2/3), converted_stat, '2K_Ratings'!U46, IF(bbgm_stat &gt;= perc_95, converted_stat * 3, IF(bbgm_stat &gt;= perc_90, converted_stat * 2, IF(bbgm_stat &gt;= perc_85, converted_stat * 1.5, converted_stat)))))</f>
        <v/>
      </c>
      <c r="V46" s="30" t="str">
        <f t="array" ref="V46">IF($A46="", "", LET(bbgm_stat, INDEX(Players!$A45:$P45, MATCH(V$2, Players!$A$1:$P$1, 0)), perc_75, VLOOKUP(V$2, Percentiles!$A$45:$I$59, 6, FALSE), perc_90, VLOOKUP(V$2, Percentiles!$A$45:$I$59, 7, FALSE), perc_95, VLOOKUP(V$2, Percentiles!$A$45:$I$59, 8, FALSE), perc_85, perc_75 + (perc_90 - perc_75) * (2/3), converted_stat, '2K_Ratings'!V46, IF(bbgm_stat &gt;= perc_95, converted_stat * 3, IF(bbgm_stat &gt;= perc_90, converted_stat * 2, IF(bbgm_stat &gt;= perc_85, converted_stat * 1.5, converted_stat)))))</f>
        <v/>
      </c>
      <c r="W46" s="30" t="str">
        <f t="array" ref="W46">IF($A46="", "", LET(bbgm_stat, INDEX(Players!$A45:$P45, MATCH(W$2, Players!$A$1:$P$1, 0)), perc_75, VLOOKUP(W$2, Percentiles!$A$45:$I$59, 6, FALSE), perc_90, VLOOKUP(W$2, Percentiles!$A$45:$I$59, 7, FALSE), perc_95, VLOOKUP(W$2, Percentiles!$A$45:$I$59, 8, FALSE), perc_85, perc_75 + (perc_90 - perc_75) * (2/3), converted_stat, '2K_Ratings'!W46, IF(bbgm_stat &gt;= perc_95, converted_stat * 3, IF(bbgm_stat &gt;= perc_90, converted_stat * 2, IF(bbgm_stat &gt;= perc_85, converted_stat * 1.5, converted_stat)))))</f>
        <v/>
      </c>
    </row>
    <row r="47">
      <c r="A47" s="30" t="str">
        <f>IF(Players!A46="", "", Players!A46)</f>
        <v/>
      </c>
      <c r="B47" s="30" t="str">
        <f t="array" ref="B47">IF($A47="", "", LET(bbgm_stat, INDEX(Players!$A46:$P46, MATCH(B$2, Players!$A$1:$P$1, 0)), perc_75, VLOOKUP(B$2, Percentiles!$A$45:$I$59, 6, FALSE), perc_90, VLOOKUP(B$2, Percentiles!$A$45:$I$59, 7, FALSE), perc_95, VLOOKUP(B$2, Percentiles!$A$45:$I$59, 8, FALSE), perc_85, perc_75 + (perc_90 - perc_75) * (2/3), converted_stat, '2K_Ratings'!B47, IF(bbgm_stat &gt;= perc_95, converted_stat * 3, IF(bbgm_stat &gt;= perc_90, converted_stat * 2, IF(bbgm_stat &gt;= perc_85, converted_stat * 1.5, converted_stat)))))</f>
        <v/>
      </c>
      <c r="C47" s="30" t="str">
        <f t="array" ref="C47">IF($A47="", "", LET(bbgm_stat, INDEX(Players!$A46:$P46, MATCH(C$2, Players!$A$1:$P$1, 0)), perc_75, VLOOKUP(C$2, Percentiles!$A$45:$I$59, 6, FALSE), perc_90, VLOOKUP(C$2, Percentiles!$A$45:$I$59, 7, FALSE), perc_95, VLOOKUP(C$2, Percentiles!$A$45:$I$59, 8, FALSE), perc_85, perc_75 + (perc_90 - perc_75) * (2/3), converted_stat, '2K_Ratings'!C47, IF(bbgm_stat &gt;= perc_95, converted_stat * 3, IF(bbgm_stat &gt;= perc_90, converted_stat * 2, IF(bbgm_stat &gt;= perc_85, converted_stat * 1.5, converted_stat)))))</f>
        <v/>
      </c>
      <c r="D47" s="30" t="str">
        <f t="array" ref="D47">IF($A47="", "", LET(bbgm_stat, INDEX(Players!$A46:$P46, MATCH(D$2, Players!$A$1:$P$1, 0)), perc_75, VLOOKUP(D$2, Percentiles!$A$45:$I$59, 6, FALSE), perc_90, VLOOKUP(D$2, Percentiles!$A$45:$I$59, 7, FALSE), perc_95, VLOOKUP(D$2, Percentiles!$A$45:$I$59, 8, FALSE), perc_85, perc_75 + (perc_90 - perc_75) * (2/3), converted_stat, '2K_Ratings'!D47, IF(bbgm_stat &gt;= perc_95, converted_stat * 3, IF(bbgm_stat &gt;= perc_90, converted_stat * 2, IF(bbgm_stat &gt;= perc_85, converted_stat * 1.5, converted_stat)))))</f>
        <v/>
      </c>
      <c r="E47" s="30" t="str">
        <f t="array" ref="E47">IF($A47="", "", LET(bbgm_stat, INDEX(Players!$A46:$P46, MATCH(E$2, Players!$A$1:$P$1, 0)), perc_75, VLOOKUP(E$2, Percentiles!$A$45:$I$59, 6, FALSE), perc_90, VLOOKUP(E$2, Percentiles!$A$45:$I$59, 7, FALSE), perc_95, VLOOKUP(E$2, Percentiles!$A$45:$I$59, 8, FALSE), perc_85, perc_75 + (perc_90 - perc_75) * (2/3), converted_stat, '2K_Ratings'!E47, IF(bbgm_stat &gt;= perc_95, converted_stat * 3, IF(bbgm_stat &gt;= perc_90, converted_stat * 2, IF(bbgm_stat &gt;= perc_85, converted_stat * 1.5, converted_stat)))))</f>
        <v/>
      </c>
      <c r="F47" s="30" t="str">
        <f t="array" ref="F47">IF($A47="", "", LET(bbgm_stat, INDEX(Players!$A46:$P46, MATCH(F$2, Players!$A$1:$P$1, 0)), perc_75, VLOOKUP(F$2, Percentiles!$A$45:$I$59, 6, FALSE), perc_90, VLOOKUP(F$2, Percentiles!$A$45:$I$59, 7, FALSE), perc_95, VLOOKUP(F$2, Percentiles!$A$45:$I$59, 8, FALSE), perc_85, perc_75 + (perc_90 - perc_75) * (2/3), converted_stat, '2K_Ratings'!F47, IF(bbgm_stat &gt;= perc_95, converted_stat * 3, IF(bbgm_stat &gt;= perc_90, converted_stat * 2, IF(bbgm_stat &gt;= perc_85, converted_stat * 1.5, converted_stat)))))</f>
        <v/>
      </c>
      <c r="G47" s="30" t="str">
        <f t="array" ref="G47">IF($A47="", "", LET(bbgm_stat, INDEX(Players!$A46:$P46, MATCH(G$2, Players!$A$1:$P$1, 0)), perc_75, VLOOKUP(G$2, Percentiles!$A$45:$I$59, 6, FALSE), perc_90, VLOOKUP(G$2, Percentiles!$A$45:$I$59, 7, FALSE), perc_95, VLOOKUP(G$2, Percentiles!$A$45:$I$59, 8, FALSE), perc_85, perc_75 + (perc_90 - perc_75) * (2/3), converted_stat, '2K_Ratings'!G47, IF(bbgm_stat &gt;= perc_95, converted_stat * 3, IF(bbgm_stat &gt;= perc_90, converted_stat * 2, IF(bbgm_stat &gt;= perc_85, converted_stat * 1.5, converted_stat)))))</f>
        <v/>
      </c>
      <c r="H47" s="30" t="str">
        <f t="array" ref="H47">IF($A47="", "", LET(bbgm_stat, INDEX(Players!$A46:$P46, MATCH(H$2, Players!$A$1:$P$1, 0)), perc_75, VLOOKUP(H$2, Percentiles!$A$45:$I$59, 6, FALSE), perc_90, VLOOKUP(H$2, Percentiles!$A$45:$I$59, 7, FALSE), perc_95, VLOOKUP(H$2, Percentiles!$A$45:$I$59, 8, FALSE), perc_85, perc_75 + (perc_90 - perc_75) * (2/3), converted_stat, '2K_Ratings'!H47, IF(bbgm_stat &gt;= perc_95, converted_stat * 3, IF(bbgm_stat &gt;= perc_90, converted_stat * 2, IF(bbgm_stat &gt;= perc_85, converted_stat * 1.5, converted_stat)))))</f>
        <v/>
      </c>
      <c r="I47" s="30" t="str">
        <f t="array" ref="I47">IF($A47="", "", LET(bbgm_stat, INDEX(Players!$A46:$P46, MATCH(I$2, Players!$A$1:$P$1, 0)), perc_75, VLOOKUP(I$2, Percentiles!$A$45:$I$59, 6, FALSE), perc_90, VLOOKUP(I$2, Percentiles!$A$45:$I$59, 7, FALSE), perc_95, VLOOKUP(I$2, Percentiles!$A$45:$I$59, 8, FALSE), perc_85, perc_75 + (perc_90 - perc_75) * (2/3), converted_stat, '2K_Ratings'!I47, IF(bbgm_stat &gt;= perc_95, converted_stat * 3, IF(bbgm_stat &gt;= perc_90, converted_stat * 2, IF(bbgm_stat &gt;= perc_85, converted_stat * 1.5, converted_stat)))))</f>
        <v/>
      </c>
      <c r="J47" s="30" t="str">
        <f t="array" ref="J47">IF($A47="", "", LET(bbgm_stat, INDEX(Players!$A46:$P46, MATCH(J$2, Players!$A$1:$P$1, 0)), perc_75, VLOOKUP(J$2, Percentiles!$A$45:$I$59, 6, FALSE), perc_90, VLOOKUP(J$2, Percentiles!$A$45:$I$59, 7, FALSE), perc_95, VLOOKUP(J$2, Percentiles!$A$45:$I$59, 8, FALSE), perc_85, perc_75 + (perc_90 - perc_75) * (2/3), converted_stat, '2K_Ratings'!J47, IF(bbgm_stat &gt;= perc_95, converted_stat * 3, IF(bbgm_stat &gt;= perc_90, converted_stat * 2, IF(bbgm_stat &gt;= perc_85, converted_stat * 1.5, converted_stat)))))</f>
        <v/>
      </c>
      <c r="K47" s="30" t="str">
        <f t="array" ref="K47">IF($A47="", "", LET(bbgm_stat, INDEX(Players!$A46:$P46, MATCH(K$2, Players!$A$1:$P$1, 0)), perc_75, VLOOKUP(K$2, Percentiles!$A$45:$I$59, 6, FALSE), perc_90, VLOOKUP(K$2, Percentiles!$A$45:$I$59, 7, FALSE), perc_95, VLOOKUP(K$2, Percentiles!$A$45:$I$59, 8, FALSE), perc_85, perc_75 + (perc_90 - perc_75) * (2/3), converted_stat, '2K_Ratings'!K47, IF(bbgm_stat &gt;= perc_95, converted_stat * 3, IF(bbgm_stat &gt;= perc_90, converted_stat * 2, IF(bbgm_stat &gt;= perc_85, converted_stat * 1.5, converted_stat)))))</f>
        <v/>
      </c>
      <c r="L47" s="30" t="str">
        <f t="array" ref="L47">IF($A47="", "", LET(bbgm_stat, INDEX(Players!$A46:$P46, MATCH(L$2, Players!$A$1:$P$1, 0)), perc_75, VLOOKUP(L$2, Percentiles!$A$45:$I$59, 6, FALSE), perc_90, VLOOKUP(L$2, Percentiles!$A$45:$I$59, 7, FALSE), perc_95, VLOOKUP(L$2, Percentiles!$A$45:$I$59, 8, FALSE), perc_85, perc_75 + (perc_90 - perc_75) * (2/3), converted_stat, '2K_Ratings'!L47, IF(bbgm_stat &gt;= perc_95, converted_stat * 3, IF(bbgm_stat &gt;= perc_90, converted_stat * 2, IF(bbgm_stat &gt;= perc_85, converted_stat * 1.5, converted_stat)))))</f>
        <v/>
      </c>
      <c r="M47" s="30" t="str">
        <f t="array" ref="M47">IF($A47="", "", LET(bbgm_stat, INDEX(Players!$A46:$P46, MATCH(M$2, Players!$A$1:$P$1, 0)), perc_75, VLOOKUP(M$2, Percentiles!$A$45:$I$59, 6, FALSE), perc_90, VLOOKUP(M$2, Percentiles!$A$45:$I$59, 7, FALSE), perc_95, VLOOKUP(M$2, Percentiles!$A$45:$I$59, 8, FALSE), perc_85, perc_75 + (perc_90 - perc_75) * (2/3), converted_stat, '2K_Ratings'!M47, IF(bbgm_stat &gt;= perc_95, converted_stat * 3, IF(bbgm_stat &gt;= perc_90, converted_stat * 2, IF(bbgm_stat &gt;= perc_85, converted_stat * 1.5, converted_stat)))))</f>
        <v/>
      </c>
      <c r="N47" s="30" t="str">
        <f t="array" ref="N47">IF($A47="", "", LET(bbgm_stat, INDEX(Players!$A46:$P46, MATCH(N$2, Players!$A$1:$P$1, 0)), perc_75, VLOOKUP(N$2, Percentiles!$A$45:$I$59, 6, FALSE), perc_90, VLOOKUP(N$2, Percentiles!$A$45:$I$59, 7, FALSE), perc_95, VLOOKUP(N$2, Percentiles!$A$45:$I$59, 8, FALSE), perc_85, perc_75 + (perc_90 - perc_75) * (2/3), converted_stat, '2K_Ratings'!N47, IF(bbgm_stat &gt;= perc_95, converted_stat * 3, IF(bbgm_stat &gt;= perc_90, converted_stat * 2, IF(bbgm_stat &gt;= perc_85, converted_stat * 1.5, converted_stat)))))</f>
        <v/>
      </c>
      <c r="O47" s="30" t="str">
        <f t="array" ref="O47">IF($A47="", "", LET(bbgm_stat, INDEX(Players!$A46:$P46, MATCH(O$2, Players!$A$1:$P$1, 0)), perc_75, VLOOKUP(O$2, Percentiles!$A$45:$I$59, 6, FALSE), perc_90, VLOOKUP(O$2, Percentiles!$A$45:$I$59, 7, FALSE), perc_95, VLOOKUP(O$2, Percentiles!$A$45:$I$59, 8, FALSE), perc_85, perc_75 + (perc_90 - perc_75) * (2/3), converted_stat, '2K_Ratings'!O47, IF(bbgm_stat &gt;= perc_95, converted_stat * 3, IF(bbgm_stat &gt;= perc_90, converted_stat * 2, IF(bbgm_stat &gt;= perc_85, converted_stat * 1.5, converted_stat)))))</f>
        <v/>
      </c>
      <c r="P47" s="30" t="str">
        <f t="array" ref="P47">IF($A47="", "", LET(bbgm_stat, INDEX(Players!$A46:$P46, MATCH(P$2, Players!$A$1:$P$1, 0)), perc_75, VLOOKUP(P$2, Percentiles!$A$45:$I$59, 6, FALSE), perc_90, VLOOKUP(P$2, Percentiles!$A$45:$I$59, 7, FALSE), perc_95, VLOOKUP(P$2, Percentiles!$A$45:$I$59, 8, FALSE), perc_85, perc_75 + (perc_90 - perc_75) * (2/3), converted_stat, '2K_Ratings'!P47, IF(bbgm_stat &gt;= perc_95, converted_stat * 3, IF(bbgm_stat &gt;= perc_90, converted_stat * 2, IF(bbgm_stat &gt;= perc_85, converted_stat * 1.5, converted_stat)))))</f>
        <v/>
      </c>
      <c r="Q47" s="30" t="str">
        <f t="array" ref="Q47">IF($A47="", "", LET(bbgm_stat, INDEX(Players!$A46:$P46, MATCH(Q$2, Players!$A$1:$P$1, 0)), perc_75, VLOOKUP(Q$2, Percentiles!$A$45:$I$59, 6, FALSE), perc_90, VLOOKUP(Q$2, Percentiles!$A$45:$I$59, 7, FALSE), perc_95, VLOOKUP(Q$2, Percentiles!$A$45:$I$59, 8, FALSE), perc_85, perc_75 + (perc_90 - perc_75) * (2/3), converted_stat, '2K_Ratings'!Q47, IF(bbgm_stat &gt;= perc_95, converted_stat * 3, IF(bbgm_stat &gt;= perc_90, converted_stat * 2, IF(bbgm_stat &gt;= perc_85, converted_stat * 1.5, converted_stat)))))</f>
        <v/>
      </c>
      <c r="R47" s="30" t="str">
        <f t="array" ref="R47">IF($A47="", "", LET(bbgm_stat, INDEX(Players!$A46:$P46, MATCH(R$2, Players!$A$1:$P$1, 0)), perc_75, VLOOKUP(R$2, Percentiles!$A$45:$I$59, 6, FALSE), perc_90, VLOOKUP(R$2, Percentiles!$A$45:$I$59, 7, FALSE), perc_95, VLOOKUP(R$2, Percentiles!$A$45:$I$59, 8, FALSE), perc_85, perc_75 + (perc_90 - perc_75) * (2/3), converted_stat, '2K_Ratings'!R47, IF(bbgm_stat &gt;= perc_95, converted_stat * 3, IF(bbgm_stat &gt;= perc_90, converted_stat * 2, IF(bbgm_stat &gt;= perc_85, converted_stat * 1.5, converted_stat)))))</f>
        <v/>
      </c>
      <c r="S47" s="30" t="str">
        <f t="array" ref="S47">IF($A47="", "", LET(bbgm_stat, INDEX(Players!$A46:$P46, MATCH(S$2, Players!$A$1:$P$1, 0)), perc_75, VLOOKUP(S$2, Percentiles!$A$45:$I$59, 6, FALSE), perc_90, VLOOKUP(S$2, Percentiles!$A$45:$I$59, 7, FALSE), perc_95, VLOOKUP(S$2, Percentiles!$A$45:$I$59, 8, FALSE), perc_85, perc_75 + (perc_90 - perc_75) * (2/3), converted_stat, '2K_Ratings'!S47, IF(bbgm_stat &gt;= perc_95, converted_stat * 3, IF(bbgm_stat &gt;= perc_90, converted_stat * 2, IF(bbgm_stat &gt;= perc_85, converted_stat * 1.5, converted_stat)))))</f>
        <v/>
      </c>
      <c r="T47" s="30" t="str">
        <f t="array" ref="T47">IF($A47="", "", LET(bbgm_stat, INDEX(Players!$A46:$P46, MATCH(T$2, Players!$A$1:$P$1, 0)), perc_75, VLOOKUP(T$2, Percentiles!$A$45:$I$59, 6, FALSE), perc_90, VLOOKUP(T$2, Percentiles!$A$45:$I$59, 7, FALSE), perc_95, VLOOKUP(T$2, Percentiles!$A$45:$I$59, 8, FALSE), perc_85, perc_75 + (perc_90 - perc_75) * (2/3), converted_stat, '2K_Ratings'!T47, IF(bbgm_stat &gt;= perc_95, converted_stat * 3, IF(bbgm_stat &gt;= perc_90, converted_stat * 2, IF(bbgm_stat &gt;= perc_85, converted_stat * 1.5, converted_stat)))))</f>
        <v/>
      </c>
      <c r="U47" s="30" t="str">
        <f t="array" ref="U47">IF($A47="", "", LET(bbgm_stat, INDEX(Players!$A46:$P46, MATCH(U$2, Players!$A$1:$P$1, 0)), perc_75, VLOOKUP(U$2, Percentiles!$A$45:$I$59, 6, FALSE), perc_90, VLOOKUP(U$2, Percentiles!$A$45:$I$59, 7, FALSE), perc_95, VLOOKUP(U$2, Percentiles!$A$45:$I$59, 8, FALSE), perc_85, perc_75 + (perc_90 - perc_75) * (2/3), converted_stat, '2K_Ratings'!U47, IF(bbgm_stat &gt;= perc_95, converted_stat * 3, IF(bbgm_stat &gt;= perc_90, converted_stat * 2, IF(bbgm_stat &gt;= perc_85, converted_stat * 1.5, converted_stat)))))</f>
        <v/>
      </c>
      <c r="V47" s="30" t="str">
        <f t="array" ref="V47">IF($A47="", "", LET(bbgm_stat, INDEX(Players!$A46:$P46, MATCH(V$2, Players!$A$1:$P$1, 0)), perc_75, VLOOKUP(V$2, Percentiles!$A$45:$I$59, 6, FALSE), perc_90, VLOOKUP(V$2, Percentiles!$A$45:$I$59, 7, FALSE), perc_95, VLOOKUP(V$2, Percentiles!$A$45:$I$59, 8, FALSE), perc_85, perc_75 + (perc_90 - perc_75) * (2/3), converted_stat, '2K_Ratings'!V47, IF(bbgm_stat &gt;= perc_95, converted_stat * 3, IF(bbgm_stat &gt;= perc_90, converted_stat * 2, IF(bbgm_stat &gt;= perc_85, converted_stat * 1.5, converted_stat)))))</f>
        <v/>
      </c>
      <c r="W47" s="30" t="str">
        <f t="array" ref="W47">IF($A47="", "", LET(bbgm_stat, INDEX(Players!$A46:$P46, MATCH(W$2, Players!$A$1:$P$1, 0)), perc_75, VLOOKUP(W$2, Percentiles!$A$45:$I$59, 6, FALSE), perc_90, VLOOKUP(W$2, Percentiles!$A$45:$I$59, 7, FALSE), perc_95, VLOOKUP(W$2, Percentiles!$A$45:$I$59, 8, FALSE), perc_85, perc_75 + (perc_90 - perc_75) * (2/3), converted_stat, '2K_Ratings'!W47, IF(bbgm_stat &gt;= perc_95, converted_stat * 3, IF(bbgm_stat &gt;= perc_90, converted_stat * 2, IF(bbgm_stat &gt;= perc_85, converted_stat * 1.5, converted_stat)))))</f>
        <v/>
      </c>
    </row>
    <row r="48">
      <c r="A48" s="30" t="str">
        <f>IF(Players!A47="", "", Players!A47)</f>
        <v/>
      </c>
      <c r="B48" s="30" t="str">
        <f t="array" ref="B48">IF($A48="", "", LET(bbgm_stat, INDEX(Players!$A47:$P47, MATCH(B$2, Players!$A$1:$P$1, 0)), perc_75, VLOOKUP(B$2, Percentiles!$A$45:$I$59, 6, FALSE), perc_90, VLOOKUP(B$2, Percentiles!$A$45:$I$59, 7, FALSE), perc_95, VLOOKUP(B$2, Percentiles!$A$45:$I$59, 8, FALSE), perc_85, perc_75 + (perc_90 - perc_75) * (2/3), converted_stat, '2K_Ratings'!B48, IF(bbgm_stat &gt;= perc_95, converted_stat * 3, IF(bbgm_stat &gt;= perc_90, converted_stat * 2, IF(bbgm_stat &gt;= perc_85, converted_stat * 1.5, converted_stat)))))</f>
        <v/>
      </c>
      <c r="C48" s="30" t="str">
        <f t="array" ref="C48">IF($A48="", "", LET(bbgm_stat, INDEX(Players!$A47:$P47, MATCH(C$2, Players!$A$1:$P$1, 0)), perc_75, VLOOKUP(C$2, Percentiles!$A$45:$I$59, 6, FALSE), perc_90, VLOOKUP(C$2, Percentiles!$A$45:$I$59, 7, FALSE), perc_95, VLOOKUP(C$2, Percentiles!$A$45:$I$59, 8, FALSE), perc_85, perc_75 + (perc_90 - perc_75) * (2/3), converted_stat, '2K_Ratings'!C48, IF(bbgm_stat &gt;= perc_95, converted_stat * 3, IF(bbgm_stat &gt;= perc_90, converted_stat * 2, IF(bbgm_stat &gt;= perc_85, converted_stat * 1.5, converted_stat)))))</f>
        <v/>
      </c>
      <c r="D48" s="30" t="str">
        <f t="array" ref="D48">IF($A48="", "", LET(bbgm_stat, INDEX(Players!$A47:$P47, MATCH(D$2, Players!$A$1:$P$1, 0)), perc_75, VLOOKUP(D$2, Percentiles!$A$45:$I$59, 6, FALSE), perc_90, VLOOKUP(D$2, Percentiles!$A$45:$I$59, 7, FALSE), perc_95, VLOOKUP(D$2, Percentiles!$A$45:$I$59, 8, FALSE), perc_85, perc_75 + (perc_90 - perc_75) * (2/3), converted_stat, '2K_Ratings'!D48, IF(bbgm_stat &gt;= perc_95, converted_stat * 3, IF(bbgm_stat &gt;= perc_90, converted_stat * 2, IF(bbgm_stat &gt;= perc_85, converted_stat * 1.5, converted_stat)))))</f>
        <v/>
      </c>
      <c r="E48" s="30" t="str">
        <f t="array" ref="E48">IF($A48="", "", LET(bbgm_stat, INDEX(Players!$A47:$P47, MATCH(E$2, Players!$A$1:$P$1, 0)), perc_75, VLOOKUP(E$2, Percentiles!$A$45:$I$59, 6, FALSE), perc_90, VLOOKUP(E$2, Percentiles!$A$45:$I$59, 7, FALSE), perc_95, VLOOKUP(E$2, Percentiles!$A$45:$I$59, 8, FALSE), perc_85, perc_75 + (perc_90 - perc_75) * (2/3), converted_stat, '2K_Ratings'!E48, IF(bbgm_stat &gt;= perc_95, converted_stat * 3, IF(bbgm_stat &gt;= perc_90, converted_stat * 2, IF(bbgm_stat &gt;= perc_85, converted_stat * 1.5, converted_stat)))))</f>
        <v/>
      </c>
      <c r="F48" s="30" t="str">
        <f t="array" ref="F48">IF($A48="", "", LET(bbgm_stat, INDEX(Players!$A47:$P47, MATCH(F$2, Players!$A$1:$P$1, 0)), perc_75, VLOOKUP(F$2, Percentiles!$A$45:$I$59, 6, FALSE), perc_90, VLOOKUP(F$2, Percentiles!$A$45:$I$59, 7, FALSE), perc_95, VLOOKUP(F$2, Percentiles!$A$45:$I$59, 8, FALSE), perc_85, perc_75 + (perc_90 - perc_75) * (2/3), converted_stat, '2K_Ratings'!F48, IF(bbgm_stat &gt;= perc_95, converted_stat * 3, IF(bbgm_stat &gt;= perc_90, converted_stat * 2, IF(bbgm_stat &gt;= perc_85, converted_stat * 1.5, converted_stat)))))</f>
        <v/>
      </c>
      <c r="G48" s="30" t="str">
        <f t="array" ref="G48">IF($A48="", "", LET(bbgm_stat, INDEX(Players!$A47:$P47, MATCH(G$2, Players!$A$1:$P$1, 0)), perc_75, VLOOKUP(G$2, Percentiles!$A$45:$I$59, 6, FALSE), perc_90, VLOOKUP(G$2, Percentiles!$A$45:$I$59, 7, FALSE), perc_95, VLOOKUP(G$2, Percentiles!$A$45:$I$59, 8, FALSE), perc_85, perc_75 + (perc_90 - perc_75) * (2/3), converted_stat, '2K_Ratings'!G48, IF(bbgm_stat &gt;= perc_95, converted_stat * 3, IF(bbgm_stat &gt;= perc_90, converted_stat * 2, IF(bbgm_stat &gt;= perc_85, converted_stat * 1.5, converted_stat)))))</f>
        <v/>
      </c>
      <c r="H48" s="30" t="str">
        <f t="array" ref="H48">IF($A48="", "", LET(bbgm_stat, INDEX(Players!$A47:$P47, MATCH(H$2, Players!$A$1:$P$1, 0)), perc_75, VLOOKUP(H$2, Percentiles!$A$45:$I$59, 6, FALSE), perc_90, VLOOKUP(H$2, Percentiles!$A$45:$I$59, 7, FALSE), perc_95, VLOOKUP(H$2, Percentiles!$A$45:$I$59, 8, FALSE), perc_85, perc_75 + (perc_90 - perc_75) * (2/3), converted_stat, '2K_Ratings'!H48, IF(bbgm_stat &gt;= perc_95, converted_stat * 3, IF(bbgm_stat &gt;= perc_90, converted_stat * 2, IF(bbgm_stat &gt;= perc_85, converted_stat * 1.5, converted_stat)))))</f>
        <v/>
      </c>
      <c r="I48" s="30" t="str">
        <f t="array" ref="I48">IF($A48="", "", LET(bbgm_stat, INDEX(Players!$A47:$P47, MATCH(I$2, Players!$A$1:$P$1, 0)), perc_75, VLOOKUP(I$2, Percentiles!$A$45:$I$59, 6, FALSE), perc_90, VLOOKUP(I$2, Percentiles!$A$45:$I$59, 7, FALSE), perc_95, VLOOKUP(I$2, Percentiles!$A$45:$I$59, 8, FALSE), perc_85, perc_75 + (perc_90 - perc_75) * (2/3), converted_stat, '2K_Ratings'!I48, IF(bbgm_stat &gt;= perc_95, converted_stat * 3, IF(bbgm_stat &gt;= perc_90, converted_stat * 2, IF(bbgm_stat &gt;= perc_85, converted_stat * 1.5, converted_stat)))))</f>
        <v/>
      </c>
      <c r="J48" s="30" t="str">
        <f t="array" ref="J48">IF($A48="", "", LET(bbgm_stat, INDEX(Players!$A47:$P47, MATCH(J$2, Players!$A$1:$P$1, 0)), perc_75, VLOOKUP(J$2, Percentiles!$A$45:$I$59, 6, FALSE), perc_90, VLOOKUP(J$2, Percentiles!$A$45:$I$59, 7, FALSE), perc_95, VLOOKUP(J$2, Percentiles!$A$45:$I$59, 8, FALSE), perc_85, perc_75 + (perc_90 - perc_75) * (2/3), converted_stat, '2K_Ratings'!J48, IF(bbgm_stat &gt;= perc_95, converted_stat * 3, IF(bbgm_stat &gt;= perc_90, converted_stat * 2, IF(bbgm_stat &gt;= perc_85, converted_stat * 1.5, converted_stat)))))</f>
        <v/>
      </c>
      <c r="K48" s="30" t="str">
        <f t="array" ref="K48">IF($A48="", "", LET(bbgm_stat, INDEX(Players!$A47:$P47, MATCH(K$2, Players!$A$1:$P$1, 0)), perc_75, VLOOKUP(K$2, Percentiles!$A$45:$I$59, 6, FALSE), perc_90, VLOOKUP(K$2, Percentiles!$A$45:$I$59, 7, FALSE), perc_95, VLOOKUP(K$2, Percentiles!$A$45:$I$59, 8, FALSE), perc_85, perc_75 + (perc_90 - perc_75) * (2/3), converted_stat, '2K_Ratings'!K48, IF(bbgm_stat &gt;= perc_95, converted_stat * 3, IF(bbgm_stat &gt;= perc_90, converted_stat * 2, IF(bbgm_stat &gt;= perc_85, converted_stat * 1.5, converted_stat)))))</f>
        <v/>
      </c>
      <c r="L48" s="30" t="str">
        <f t="array" ref="L48">IF($A48="", "", LET(bbgm_stat, INDEX(Players!$A47:$P47, MATCH(L$2, Players!$A$1:$P$1, 0)), perc_75, VLOOKUP(L$2, Percentiles!$A$45:$I$59, 6, FALSE), perc_90, VLOOKUP(L$2, Percentiles!$A$45:$I$59, 7, FALSE), perc_95, VLOOKUP(L$2, Percentiles!$A$45:$I$59, 8, FALSE), perc_85, perc_75 + (perc_90 - perc_75) * (2/3), converted_stat, '2K_Ratings'!L48, IF(bbgm_stat &gt;= perc_95, converted_stat * 3, IF(bbgm_stat &gt;= perc_90, converted_stat * 2, IF(bbgm_stat &gt;= perc_85, converted_stat * 1.5, converted_stat)))))</f>
        <v/>
      </c>
      <c r="M48" s="30" t="str">
        <f t="array" ref="M48">IF($A48="", "", LET(bbgm_stat, INDEX(Players!$A47:$P47, MATCH(M$2, Players!$A$1:$P$1, 0)), perc_75, VLOOKUP(M$2, Percentiles!$A$45:$I$59, 6, FALSE), perc_90, VLOOKUP(M$2, Percentiles!$A$45:$I$59, 7, FALSE), perc_95, VLOOKUP(M$2, Percentiles!$A$45:$I$59, 8, FALSE), perc_85, perc_75 + (perc_90 - perc_75) * (2/3), converted_stat, '2K_Ratings'!M48, IF(bbgm_stat &gt;= perc_95, converted_stat * 3, IF(bbgm_stat &gt;= perc_90, converted_stat * 2, IF(bbgm_stat &gt;= perc_85, converted_stat * 1.5, converted_stat)))))</f>
        <v/>
      </c>
      <c r="N48" s="30" t="str">
        <f t="array" ref="N48">IF($A48="", "", LET(bbgm_stat, INDEX(Players!$A47:$P47, MATCH(N$2, Players!$A$1:$P$1, 0)), perc_75, VLOOKUP(N$2, Percentiles!$A$45:$I$59, 6, FALSE), perc_90, VLOOKUP(N$2, Percentiles!$A$45:$I$59, 7, FALSE), perc_95, VLOOKUP(N$2, Percentiles!$A$45:$I$59, 8, FALSE), perc_85, perc_75 + (perc_90 - perc_75) * (2/3), converted_stat, '2K_Ratings'!N48, IF(bbgm_stat &gt;= perc_95, converted_stat * 3, IF(bbgm_stat &gt;= perc_90, converted_stat * 2, IF(bbgm_stat &gt;= perc_85, converted_stat * 1.5, converted_stat)))))</f>
        <v/>
      </c>
      <c r="O48" s="30" t="str">
        <f t="array" ref="O48">IF($A48="", "", LET(bbgm_stat, INDEX(Players!$A47:$P47, MATCH(O$2, Players!$A$1:$P$1, 0)), perc_75, VLOOKUP(O$2, Percentiles!$A$45:$I$59, 6, FALSE), perc_90, VLOOKUP(O$2, Percentiles!$A$45:$I$59, 7, FALSE), perc_95, VLOOKUP(O$2, Percentiles!$A$45:$I$59, 8, FALSE), perc_85, perc_75 + (perc_90 - perc_75) * (2/3), converted_stat, '2K_Ratings'!O48, IF(bbgm_stat &gt;= perc_95, converted_stat * 3, IF(bbgm_stat &gt;= perc_90, converted_stat * 2, IF(bbgm_stat &gt;= perc_85, converted_stat * 1.5, converted_stat)))))</f>
        <v/>
      </c>
      <c r="P48" s="30" t="str">
        <f t="array" ref="P48">IF($A48="", "", LET(bbgm_stat, INDEX(Players!$A47:$P47, MATCH(P$2, Players!$A$1:$P$1, 0)), perc_75, VLOOKUP(P$2, Percentiles!$A$45:$I$59, 6, FALSE), perc_90, VLOOKUP(P$2, Percentiles!$A$45:$I$59, 7, FALSE), perc_95, VLOOKUP(P$2, Percentiles!$A$45:$I$59, 8, FALSE), perc_85, perc_75 + (perc_90 - perc_75) * (2/3), converted_stat, '2K_Ratings'!P48, IF(bbgm_stat &gt;= perc_95, converted_stat * 3, IF(bbgm_stat &gt;= perc_90, converted_stat * 2, IF(bbgm_stat &gt;= perc_85, converted_stat * 1.5, converted_stat)))))</f>
        <v/>
      </c>
      <c r="Q48" s="30" t="str">
        <f t="array" ref="Q48">IF($A48="", "", LET(bbgm_stat, INDEX(Players!$A47:$P47, MATCH(Q$2, Players!$A$1:$P$1, 0)), perc_75, VLOOKUP(Q$2, Percentiles!$A$45:$I$59, 6, FALSE), perc_90, VLOOKUP(Q$2, Percentiles!$A$45:$I$59, 7, FALSE), perc_95, VLOOKUP(Q$2, Percentiles!$A$45:$I$59, 8, FALSE), perc_85, perc_75 + (perc_90 - perc_75) * (2/3), converted_stat, '2K_Ratings'!Q48, IF(bbgm_stat &gt;= perc_95, converted_stat * 3, IF(bbgm_stat &gt;= perc_90, converted_stat * 2, IF(bbgm_stat &gt;= perc_85, converted_stat * 1.5, converted_stat)))))</f>
        <v/>
      </c>
      <c r="R48" s="30" t="str">
        <f t="array" ref="R48">IF($A48="", "", LET(bbgm_stat, INDEX(Players!$A47:$P47, MATCH(R$2, Players!$A$1:$P$1, 0)), perc_75, VLOOKUP(R$2, Percentiles!$A$45:$I$59, 6, FALSE), perc_90, VLOOKUP(R$2, Percentiles!$A$45:$I$59, 7, FALSE), perc_95, VLOOKUP(R$2, Percentiles!$A$45:$I$59, 8, FALSE), perc_85, perc_75 + (perc_90 - perc_75) * (2/3), converted_stat, '2K_Ratings'!R48, IF(bbgm_stat &gt;= perc_95, converted_stat * 3, IF(bbgm_stat &gt;= perc_90, converted_stat * 2, IF(bbgm_stat &gt;= perc_85, converted_stat * 1.5, converted_stat)))))</f>
        <v/>
      </c>
      <c r="S48" s="30" t="str">
        <f t="array" ref="S48">IF($A48="", "", LET(bbgm_stat, INDEX(Players!$A47:$P47, MATCH(S$2, Players!$A$1:$P$1, 0)), perc_75, VLOOKUP(S$2, Percentiles!$A$45:$I$59, 6, FALSE), perc_90, VLOOKUP(S$2, Percentiles!$A$45:$I$59, 7, FALSE), perc_95, VLOOKUP(S$2, Percentiles!$A$45:$I$59, 8, FALSE), perc_85, perc_75 + (perc_90 - perc_75) * (2/3), converted_stat, '2K_Ratings'!S48, IF(bbgm_stat &gt;= perc_95, converted_stat * 3, IF(bbgm_stat &gt;= perc_90, converted_stat * 2, IF(bbgm_stat &gt;= perc_85, converted_stat * 1.5, converted_stat)))))</f>
        <v/>
      </c>
      <c r="T48" s="30" t="str">
        <f t="array" ref="T48">IF($A48="", "", LET(bbgm_stat, INDEX(Players!$A47:$P47, MATCH(T$2, Players!$A$1:$P$1, 0)), perc_75, VLOOKUP(T$2, Percentiles!$A$45:$I$59, 6, FALSE), perc_90, VLOOKUP(T$2, Percentiles!$A$45:$I$59, 7, FALSE), perc_95, VLOOKUP(T$2, Percentiles!$A$45:$I$59, 8, FALSE), perc_85, perc_75 + (perc_90 - perc_75) * (2/3), converted_stat, '2K_Ratings'!T48, IF(bbgm_stat &gt;= perc_95, converted_stat * 3, IF(bbgm_stat &gt;= perc_90, converted_stat * 2, IF(bbgm_stat &gt;= perc_85, converted_stat * 1.5, converted_stat)))))</f>
        <v/>
      </c>
      <c r="U48" s="30" t="str">
        <f t="array" ref="U48">IF($A48="", "", LET(bbgm_stat, INDEX(Players!$A47:$P47, MATCH(U$2, Players!$A$1:$P$1, 0)), perc_75, VLOOKUP(U$2, Percentiles!$A$45:$I$59, 6, FALSE), perc_90, VLOOKUP(U$2, Percentiles!$A$45:$I$59, 7, FALSE), perc_95, VLOOKUP(U$2, Percentiles!$A$45:$I$59, 8, FALSE), perc_85, perc_75 + (perc_90 - perc_75) * (2/3), converted_stat, '2K_Ratings'!U48, IF(bbgm_stat &gt;= perc_95, converted_stat * 3, IF(bbgm_stat &gt;= perc_90, converted_stat * 2, IF(bbgm_stat &gt;= perc_85, converted_stat * 1.5, converted_stat)))))</f>
        <v/>
      </c>
      <c r="V48" s="30" t="str">
        <f t="array" ref="V48">IF($A48="", "", LET(bbgm_stat, INDEX(Players!$A47:$P47, MATCH(V$2, Players!$A$1:$P$1, 0)), perc_75, VLOOKUP(V$2, Percentiles!$A$45:$I$59, 6, FALSE), perc_90, VLOOKUP(V$2, Percentiles!$A$45:$I$59, 7, FALSE), perc_95, VLOOKUP(V$2, Percentiles!$A$45:$I$59, 8, FALSE), perc_85, perc_75 + (perc_90 - perc_75) * (2/3), converted_stat, '2K_Ratings'!V48, IF(bbgm_stat &gt;= perc_95, converted_stat * 3, IF(bbgm_stat &gt;= perc_90, converted_stat * 2, IF(bbgm_stat &gt;= perc_85, converted_stat * 1.5, converted_stat)))))</f>
        <v/>
      </c>
      <c r="W48" s="30" t="str">
        <f t="array" ref="W48">IF($A48="", "", LET(bbgm_stat, INDEX(Players!$A47:$P47, MATCH(W$2, Players!$A$1:$P$1, 0)), perc_75, VLOOKUP(W$2, Percentiles!$A$45:$I$59, 6, FALSE), perc_90, VLOOKUP(W$2, Percentiles!$A$45:$I$59, 7, FALSE), perc_95, VLOOKUP(W$2, Percentiles!$A$45:$I$59, 8, FALSE), perc_85, perc_75 + (perc_90 - perc_75) * (2/3), converted_stat, '2K_Ratings'!W48, IF(bbgm_stat &gt;= perc_95, converted_stat * 3, IF(bbgm_stat &gt;= perc_90, converted_stat * 2, IF(bbgm_stat &gt;= perc_85, converted_stat * 1.5, converted_stat)))))</f>
        <v/>
      </c>
    </row>
    <row r="49">
      <c r="A49" s="30" t="str">
        <f>IF(Players!A48="", "", Players!A48)</f>
        <v/>
      </c>
      <c r="B49" s="30" t="str">
        <f t="array" ref="B49">IF($A49="", "", LET(bbgm_stat, INDEX(Players!$A48:$P48, MATCH(B$2, Players!$A$1:$P$1, 0)), perc_75, VLOOKUP(B$2, Percentiles!$A$45:$I$59, 6, FALSE), perc_90, VLOOKUP(B$2, Percentiles!$A$45:$I$59, 7, FALSE), perc_95, VLOOKUP(B$2, Percentiles!$A$45:$I$59, 8, FALSE), perc_85, perc_75 + (perc_90 - perc_75) * (2/3), converted_stat, '2K_Ratings'!B49, IF(bbgm_stat &gt;= perc_95, converted_stat * 3, IF(bbgm_stat &gt;= perc_90, converted_stat * 2, IF(bbgm_stat &gt;= perc_85, converted_stat * 1.5, converted_stat)))))</f>
        <v/>
      </c>
      <c r="C49" s="30" t="str">
        <f t="array" ref="C49">IF($A49="", "", LET(bbgm_stat, INDEX(Players!$A48:$P48, MATCH(C$2, Players!$A$1:$P$1, 0)), perc_75, VLOOKUP(C$2, Percentiles!$A$45:$I$59, 6, FALSE), perc_90, VLOOKUP(C$2, Percentiles!$A$45:$I$59, 7, FALSE), perc_95, VLOOKUP(C$2, Percentiles!$A$45:$I$59, 8, FALSE), perc_85, perc_75 + (perc_90 - perc_75) * (2/3), converted_stat, '2K_Ratings'!C49, IF(bbgm_stat &gt;= perc_95, converted_stat * 3, IF(bbgm_stat &gt;= perc_90, converted_stat * 2, IF(bbgm_stat &gt;= perc_85, converted_stat * 1.5, converted_stat)))))</f>
        <v/>
      </c>
      <c r="D49" s="30" t="str">
        <f t="array" ref="D49">IF($A49="", "", LET(bbgm_stat, INDEX(Players!$A48:$P48, MATCH(D$2, Players!$A$1:$P$1, 0)), perc_75, VLOOKUP(D$2, Percentiles!$A$45:$I$59, 6, FALSE), perc_90, VLOOKUP(D$2, Percentiles!$A$45:$I$59, 7, FALSE), perc_95, VLOOKUP(D$2, Percentiles!$A$45:$I$59, 8, FALSE), perc_85, perc_75 + (perc_90 - perc_75) * (2/3), converted_stat, '2K_Ratings'!D49, IF(bbgm_stat &gt;= perc_95, converted_stat * 3, IF(bbgm_stat &gt;= perc_90, converted_stat * 2, IF(bbgm_stat &gt;= perc_85, converted_stat * 1.5, converted_stat)))))</f>
        <v/>
      </c>
      <c r="E49" s="30" t="str">
        <f t="array" ref="E49">IF($A49="", "", LET(bbgm_stat, INDEX(Players!$A48:$P48, MATCH(E$2, Players!$A$1:$P$1, 0)), perc_75, VLOOKUP(E$2, Percentiles!$A$45:$I$59, 6, FALSE), perc_90, VLOOKUP(E$2, Percentiles!$A$45:$I$59, 7, FALSE), perc_95, VLOOKUP(E$2, Percentiles!$A$45:$I$59, 8, FALSE), perc_85, perc_75 + (perc_90 - perc_75) * (2/3), converted_stat, '2K_Ratings'!E49, IF(bbgm_stat &gt;= perc_95, converted_stat * 3, IF(bbgm_stat &gt;= perc_90, converted_stat * 2, IF(bbgm_stat &gt;= perc_85, converted_stat * 1.5, converted_stat)))))</f>
        <v/>
      </c>
      <c r="F49" s="30" t="str">
        <f t="array" ref="F49">IF($A49="", "", LET(bbgm_stat, INDEX(Players!$A48:$P48, MATCH(F$2, Players!$A$1:$P$1, 0)), perc_75, VLOOKUP(F$2, Percentiles!$A$45:$I$59, 6, FALSE), perc_90, VLOOKUP(F$2, Percentiles!$A$45:$I$59, 7, FALSE), perc_95, VLOOKUP(F$2, Percentiles!$A$45:$I$59, 8, FALSE), perc_85, perc_75 + (perc_90 - perc_75) * (2/3), converted_stat, '2K_Ratings'!F49, IF(bbgm_stat &gt;= perc_95, converted_stat * 3, IF(bbgm_stat &gt;= perc_90, converted_stat * 2, IF(bbgm_stat &gt;= perc_85, converted_stat * 1.5, converted_stat)))))</f>
        <v/>
      </c>
      <c r="G49" s="30" t="str">
        <f t="array" ref="G49">IF($A49="", "", LET(bbgm_stat, INDEX(Players!$A48:$P48, MATCH(G$2, Players!$A$1:$P$1, 0)), perc_75, VLOOKUP(G$2, Percentiles!$A$45:$I$59, 6, FALSE), perc_90, VLOOKUP(G$2, Percentiles!$A$45:$I$59, 7, FALSE), perc_95, VLOOKUP(G$2, Percentiles!$A$45:$I$59, 8, FALSE), perc_85, perc_75 + (perc_90 - perc_75) * (2/3), converted_stat, '2K_Ratings'!G49, IF(bbgm_stat &gt;= perc_95, converted_stat * 3, IF(bbgm_stat &gt;= perc_90, converted_stat * 2, IF(bbgm_stat &gt;= perc_85, converted_stat * 1.5, converted_stat)))))</f>
        <v/>
      </c>
      <c r="H49" s="30" t="str">
        <f t="array" ref="H49">IF($A49="", "", LET(bbgm_stat, INDEX(Players!$A48:$P48, MATCH(H$2, Players!$A$1:$P$1, 0)), perc_75, VLOOKUP(H$2, Percentiles!$A$45:$I$59, 6, FALSE), perc_90, VLOOKUP(H$2, Percentiles!$A$45:$I$59, 7, FALSE), perc_95, VLOOKUP(H$2, Percentiles!$A$45:$I$59, 8, FALSE), perc_85, perc_75 + (perc_90 - perc_75) * (2/3), converted_stat, '2K_Ratings'!H49, IF(bbgm_stat &gt;= perc_95, converted_stat * 3, IF(bbgm_stat &gt;= perc_90, converted_stat * 2, IF(bbgm_stat &gt;= perc_85, converted_stat * 1.5, converted_stat)))))</f>
        <v/>
      </c>
      <c r="I49" s="30" t="str">
        <f t="array" ref="I49">IF($A49="", "", LET(bbgm_stat, INDEX(Players!$A48:$P48, MATCH(I$2, Players!$A$1:$P$1, 0)), perc_75, VLOOKUP(I$2, Percentiles!$A$45:$I$59, 6, FALSE), perc_90, VLOOKUP(I$2, Percentiles!$A$45:$I$59, 7, FALSE), perc_95, VLOOKUP(I$2, Percentiles!$A$45:$I$59, 8, FALSE), perc_85, perc_75 + (perc_90 - perc_75) * (2/3), converted_stat, '2K_Ratings'!I49, IF(bbgm_stat &gt;= perc_95, converted_stat * 3, IF(bbgm_stat &gt;= perc_90, converted_stat * 2, IF(bbgm_stat &gt;= perc_85, converted_stat * 1.5, converted_stat)))))</f>
        <v/>
      </c>
      <c r="J49" s="30" t="str">
        <f t="array" ref="J49">IF($A49="", "", LET(bbgm_stat, INDEX(Players!$A48:$P48, MATCH(J$2, Players!$A$1:$P$1, 0)), perc_75, VLOOKUP(J$2, Percentiles!$A$45:$I$59, 6, FALSE), perc_90, VLOOKUP(J$2, Percentiles!$A$45:$I$59, 7, FALSE), perc_95, VLOOKUP(J$2, Percentiles!$A$45:$I$59, 8, FALSE), perc_85, perc_75 + (perc_90 - perc_75) * (2/3), converted_stat, '2K_Ratings'!J49, IF(bbgm_stat &gt;= perc_95, converted_stat * 3, IF(bbgm_stat &gt;= perc_90, converted_stat * 2, IF(bbgm_stat &gt;= perc_85, converted_stat * 1.5, converted_stat)))))</f>
        <v/>
      </c>
      <c r="K49" s="30" t="str">
        <f t="array" ref="K49">IF($A49="", "", LET(bbgm_stat, INDEX(Players!$A48:$P48, MATCH(K$2, Players!$A$1:$P$1, 0)), perc_75, VLOOKUP(K$2, Percentiles!$A$45:$I$59, 6, FALSE), perc_90, VLOOKUP(K$2, Percentiles!$A$45:$I$59, 7, FALSE), perc_95, VLOOKUP(K$2, Percentiles!$A$45:$I$59, 8, FALSE), perc_85, perc_75 + (perc_90 - perc_75) * (2/3), converted_stat, '2K_Ratings'!K49, IF(bbgm_stat &gt;= perc_95, converted_stat * 3, IF(bbgm_stat &gt;= perc_90, converted_stat * 2, IF(bbgm_stat &gt;= perc_85, converted_stat * 1.5, converted_stat)))))</f>
        <v/>
      </c>
      <c r="L49" s="30" t="str">
        <f t="array" ref="L49">IF($A49="", "", LET(bbgm_stat, INDEX(Players!$A48:$P48, MATCH(L$2, Players!$A$1:$P$1, 0)), perc_75, VLOOKUP(L$2, Percentiles!$A$45:$I$59, 6, FALSE), perc_90, VLOOKUP(L$2, Percentiles!$A$45:$I$59, 7, FALSE), perc_95, VLOOKUP(L$2, Percentiles!$A$45:$I$59, 8, FALSE), perc_85, perc_75 + (perc_90 - perc_75) * (2/3), converted_stat, '2K_Ratings'!L49, IF(bbgm_stat &gt;= perc_95, converted_stat * 3, IF(bbgm_stat &gt;= perc_90, converted_stat * 2, IF(bbgm_stat &gt;= perc_85, converted_stat * 1.5, converted_stat)))))</f>
        <v/>
      </c>
      <c r="M49" s="30" t="str">
        <f t="array" ref="M49">IF($A49="", "", LET(bbgm_stat, INDEX(Players!$A48:$P48, MATCH(M$2, Players!$A$1:$P$1, 0)), perc_75, VLOOKUP(M$2, Percentiles!$A$45:$I$59, 6, FALSE), perc_90, VLOOKUP(M$2, Percentiles!$A$45:$I$59, 7, FALSE), perc_95, VLOOKUP(M$2, Percentiles!$A$45:$I$59, 8, FALSE), perc_85, perc_75 + (perc_90 - perc_75) * (2/3), converted_stat, '2K_Ratings'!M49, IF(bbgm_stat &gt;= perc_95, converted_stat * 3, IF(bbgm_stat &gt;= perc_90, converted_stat * 2, IF(bbgm_stat &gt;= perc_85, converted_stat * 1.5, converted_stat)))))</f>
        <v/>
      </c>
      <c r="N49" s="30" t="str">
        <f t="array" ref="N49">IF($A49="", "", LET(bbgm_stat, INDEX(Players!$A48:$P48, MATCH(N$2, Players!$A$1:$P$1, 0)), perc_75, VLOOKUP(N$2, Percentiles!$A$45:$I$59, 6, FALSE), perc_90, VLOOKUP(N$2, Percentiles!$A$45:$I$59, 7, FALSE), perc_95, VLOOKUP(N$2, Percentiles!$A$45:$I$59, 8, FALSE), perc_85, perc_75 + (perc_90 - perc_75) * (2/3), converted_stat, '2K_Ratings'!N49, IF(bbgm_stat &gt;= perc_95, converted_stat * 3, IF(bbgm_stat &gt;= perc_90, converted_stat * 2, IF(bbgm_stat &gt;= perc_85, converted_stat * 1.5, converted_stat)))))</f>
        <v/>
      </c>
      <c r="O49" s="30" t="str">
        <f t="array" ref="O49">IF($A49="", "", LET(bbgm_stat, INDEX(Players!$A48:$P48, MATCH(O$2, Players!$A$1:$P$1, 0)), perc_75, VLOOKUP(O$2, Percentiles!$A$45:$I$59, 6, FALSE), perc_90, VLOOKUP(O$2, Percentiles!$A$45:$I$59, 7, FALSE), perc_95, VLOOKUP(O$2, Percentiles!$A$45:$I$59, 8, FALSE), perc_85, perc_75 + (perc_90 - perc_75) * (2/3), converted_stat, '2K_Ratings'!O49, IF(bbgm_stat &gt;= perc_95, converted_stat * 3, IF(bbgm_stat &gt;= perc_90, converted_stat * 2, IF(bbgm_stat &gt;= perc_85, converted_stat * 1.5, converted_stat)))))</f>
        <v/>
      </c>
      <c r="P49" s="30" t="str">
        <f t="array" ref="P49">IF($A49="", "", LET(bbgm_stat, INDEX(Players!$A48:$P48, MATCH(P$2, Players!$A$1:$P$1, 0)), perc_75, VLOOKUP(P$2, Percentiles!$A$45:$I$59, 6, FALSE), perc_90, VLOOKUP(P$2, Percentiles!$A$45:$I$59, 7, FALSE), perc_95, VLOOKUP(P$2, Percentiles!$A$45:$I$59, 8, FALSE), perc_85, perc_75 + (perc_90 - perc_75) * (2/3), converted_stat, '2K_Ratings'!P49, IF(bbgm_stat &gt;= perc_95, converted_stat * 3, IF(bbgm_stat &gt;= perc_90, converted_stat * 2, IF(bbgm_stat &gt;= perc_85, converted_stat * 1.5, converted_stat)))))</f>
        <v/>
      </c>
      <c r="Q49" s="30" t="str">
        <f t="array" ref="Q49">IF($A49="", "", LET(bbgm_stat, INDEX(Players!$A48:$P48, MATCH(Q$2, Players!$A$1:$P$1, 0)), perc_75, VLOOKUP(Q$2, Percentiles!$A$45:$I$59, 6, FALSE), perc_90, VLOOKUP(Q$2, Percentiles!$A$45:$I$59, 7, FALSE), perc_95, VLOOKUP(Q$2, Percentiles!$A$45:$I$59, 8, FALSE), perc_85, perc_75 + (perc_90 - perc_75) * (2/3), converted_stat, '2K_Ratings'!Q49, IF(bbgm_stat &gt;= perc_95, converted_stat * 3, IF(bbgm_stat &gt;= perc_90, converted_stat * 2, IF(bbgm_stat &gt;= perc_85, converted_stat * 1.5, converted_stat)))))</f>
        <v/>
      </c>
      <c r="R49" s="30" t="str">
        <f t="array" ref="R49">IF($A49="", "", LET(bbgm_stat, INDEX(Players!$A48:$P48, MATCH(R$2, Players!$A$1:$P$1, 0)), perc_75, VLOOKUP(R$2, Percentiles!$A$45:$I$59, 6, FALSE), perc_90, VLOOKUP(R$2, Percentiles!$A$45:$I$59, 7, FALSE), perc_95, VLOOKUP(R$2, Percentiles!$A$45:$I$59, 8, FALSE), perc_85, perc_75 + (perc_90 - perc_75) * (2/3), converted_stat, '2K_Ratings'!R49, IF(bbgm_stat &gt;= perc_95, converted_stat * 3, IF(bbgm_stat &gt;= perc_90, converted_stat * 2, IF(bbgm_stat &gt;= perc_85, converted_stat * 1.5, converted_stat)))))</f>
        <v/>
      </c>
      <c r="S49" s="30" t="str">
        <f t="array" ref="S49">IF($A49="", "", LET(bbgm_stat, INDEX(Players!$A48:$P48, MATCH(S$2, Players!$A$1:$P$1, 0)), perc_75, VLOOKUP(S$2, Percentiles!$A$45:$I$59, 6, FALSE), perc_90, VLOOKUP(S$2, Percentiles!$A$45:$I$59, 7, FALSE), perc_95, VLOOKUP(S$2, Percentiles!$A$45:$I$59, 8, FALSE), perc_85, perc_75 + (perc_90 - perc_75) * (2/3), converted_stat, '2K_Ratings'!S49, IF(bbgm_stat &gt;= perc_95, converted_stat * 3, IF(bbgm_stat &gt;= perc_90, converted_stat * 2, IF(bbgm_stat &gt;= perc_85, converted_stat * 1.5, converted_stat)))))</f>
        <v/>
      </c>
      <c r="T49" s="30" t="str">
        <f t="array" ref="T49">IF($A49="", "", LET(bbgm_stat, INDEX(Players!$A48:$P48, MATCH(T$2, Players!$A$1:$P$1, 0)), perc_75, VLOOKUP(T$2, Percentiles!$A$45:$I$59, 6, FALSE), perc_90, VLOOKUP(T$2, Percentiles!$A$45:$I$59, 7, FALSE), perc_95, VLOOKUP(T$2, Percentiles!$A$45:$I$59, 8, FALSE), perc_85, perc_75 + (perc_90 - perc_75) * (2/3), converted_stat, '2K_Ratings'!T49, IF(bbgm_stat &gt;= perc_95, converted_stat * 3, IF(bbgm_stat &gt;= perc_90, converted_stat * 2, IF(bbgm_stat &gt;= perc_85, converted_stat * 1.5, converted_stat)))))</f>
        <v/>
      </c>
      <c r="U49" s="30" t="str">
        <f t="array" ref="U49">IF($A49="", "", LET(bbgm_stat, INDEX(Players!$A48:$P48, MATCH(U$2, Players!$A$1:$P$1, 0)), perc_75, VLOOKUP(U$2, Percentiles!$A$45:$I$59, 6, FALSE), perc_90, VLOOKUP(U$2, Percentiles!$A$45:$I$59, 7, FALSE), perc_95, VLOOKUP(U$2, Percentiles!$A$45:$I$59, 8, FALSE), perc_85, perc_75 + (perc_90 - perc_75) * (2/3), converted_stat, '2K_Ratings'!U49, IF(bbgm_stat &gt;= perc_95, converted_stat * 3, IF(bbgm_stat &gt;= perc_90, converted_stat * 2, IF(bbgm_stat &gt;= perc_85, converted_stat * 1.5, converted_stat)))))</f>
        <v/>
      </c>
      <c r="V49" s="30" t="str">
        <f t="array" ref="V49">IF($A49="", "", LET(bbgm_stat, INDEX(Players!$A48:$P48, MATCH(V$2, Players!$A$1:$P$1, 0)), perc_75, VLOOKUP(V$2, Percentiles!$A$45:$I$59, 6, FALSE), perc_90, VLOOKUP(V$2, Percentiles!$A$45:$I$59, 7, FALSE), perc_95, VLOOKUP(V$2, Percentiles!$A$45:$I$59, 8, FALSE), perc_85, perc_75 + (perc_90 - perc_75) * (2/3), converted_stat, '2K_Ratings'!V49, IF(bbgm_stat &gt;= perc_95, converted_stat * 3, IF(bbgm_stat &gt;= perc_90, converted_stat * 2, IF(bbgm_stat &gt;= perc_85, converted_stat * 1.5, converted_stat)))))</f>
        <v/>
      </c>
      <c r="W49" s="30" t="str">
        <f t="array" ref="W49">IF($A49="", "", LET(bbgm_stat, INDEX(Players!$A48:$P48, MATCH(W$2, Players!$A$1:$P$1, 0)), perc_75, VLOOKUP(W$2, Percentiles!$A$45:$I$59, 6, FALSE), perc_90, VLOOKUP(W$2, Percentiles!$A$45:$I$59, 7, FALSE), perc_95, VLOOKUP(W$2, Percentiles!$A$45:$I$59, 8, FALSE), perc_85, perc_75 + (perc_90 - perc_75) * (2/3), converted_stat, '2K_Ratings'!W49, IF(bbgm_stat &gt;= perc_95, converted_stat * 3, IF(bbgm_stat &gt;= perc_90, converted_stat * 2, IF(bbgm_stat &gt;= perc_85, converted_stat * 1.5, converted_stat)))))</f>
        <v/>
      </c>
    </row>
    <row r="50">
      <c r="A50" s="30" t="str">
        <f>IF(Players!A49="", "", Players!A49)</f>
        <v/>
      </c>
      <c r="B50" s="30" t="str">
        <f t="array" ref="B50">IF($A50="", "", LET(bbgm_stat, INDEX(Players!$A49:$P49, MATCH(B$2, Players!$A$1:$P$1, 0)), perc_75, VLOOKUP(B$2, Percentiles!$A$45:$I$59, 6, FALSE), perc_90, VLOOKUP(B$2, Percentiles!$A$45:$I$59, 7, FALSE), perc_95, VLOOKUP(B$2, Percentiles!$A$45:$I$59, 8, FALSE), perc_85, perc_75 + (perc_90 - perc_75) * (2/3), converted_stat, '2K_Ratings'!B50, IF(bbgm_stat &gt;= perc_95, converted_stat * 3, IF(bbgm_stat &gt;= perc_90, converted_stat * 2, IF(bbgm_stat &gt;= perc_85, converted_stat * 1.5, converted_stat)))))</f>
        <v/>
      </c>
      <c r="C50" s="30" t="str">
        <f t="array" ref="C50">IF($A50="", "", LET(bbgm_stat, INDEX(Players!$A49:$P49, MATCH(C$2, Players!$A$1:$P$1, 0)), perc_75, VLOOKUP(C$2, Percentiles!$A$45:$I$59, 6, FALSE), perc_90, VLOOKUP(C$2, Percentiles!$A$45:$I$59, 7, FALSE), perc_95, VLOOKUP(C$2, Percentiles!$A$45:$I$59, 8, FALSE), perc_85, perc_75 + (perc_90 - perc_75) * (2/3), converted_stat, '2K_Ratings'!C50, IF(bbgm_stat &gt;= perc_95, converted_stat * 3, IF(bbgm_stat &gt;= perc_90, converted_stat * 2, IF(bbgm_stat &gt;= perc_85, converted_stat * 1.5, converted_stat)))))</f>
        <v/>
      </c>
      <c r="D50" s="30" t="str">
        <f t="array" ref="D50">IF($A50="", "", LET(bbgm_stat, INDEX(Players!$A49:$P49, MATCH(D$2, Players!$A$1:$P$1, 0)), perc_75, VLOOKUP(D$2, Percentiles!$A$45:$I$59, 6, FALSE), perc_90, VLOOKUP(D$2, Percentiles!$A$45:$I$59, 7, FALSE), perc_95, VLOOKUP(D$2, Percentiles!$A$45:$I$59, 8, FALSE), perc_85, perc_75 + (perc_90 - perc_75) * (2/3), converted_stat, '2K_Ratings'!D50, IF(bbgm_stat &gt;= perc_95, converted_stat * 3, IF(bbgm_stat &gt;= perc_90, converted_stat * 2, IF(bbgm_stat &gt;= perc_85, converted_stat * 1.5, converted_stat)))))</f>
        <v/>
      </c>
      <c r="E50" s="30" t="str">
        <f t="array" ref="E50">IF($A50="", "", LET(bbgm_stat, INDEX(Players!$A49:$P49, MATCH(E$2, Players!$A$1:$P$1, 0)), perc_75, VLOOKUP(E$2, Percentiles!$A$45:$I$59, 6, FALSE), perc_90, VLOOKUP(E$2, Percentiles!$A$45:$I$59, 7, FALSE), perc_95, VLOOKUP(E$2, Percentiles!$A$45:$I$59, 8, FALSE), perc_85, perc_75 + (perc_90 - perc_75) * (2/3), converted_stat, '2K_Ratings'!E50, IF(bbgm_stat &gt;= perc_95, converted_stat * 3, IF(bbgm_stat &gt;= perc_90, converted_stat * 2, IF(bbgm_stat &gt;= perc_85, converted_stat * 1.5, converted_stat)))))</f>
        <v/>
      </c>
      <c r="F50" s="30" t="str">
        <f t="array" ref="F50">IF($A50="", "", LET(bbgm_stat, INDEX(Players!$A49:$P49, MATCH(F$2, Players!$A$1:$P$1, 0)), perc_75, VLOOKUP(F$2, Percentiles!$A$45:$I$59, 6, FALSE), perc_90, VLOOKUP(F$2, Percentiles!$A$45:$I$59, 7, FALSE), perc_95, VLOOKUP(F$2, Percentiles!$A$45:$I$59, 8, FALSE), perc_85, perc_75 + (perc_90 - perc_75) * (2/3), converted_stat, '2K_Ratings'!F50, IF(bbgm_stat &gt;= perc_95, converted_stat * 3, IF(bbgm_stat &gt;= perc_90, converted_stat * 2, IF(bbgm_stat &gt;= perc_85, converted_stat * 1.5, converted_stat)))))</f>
        <v/>
      </c>
      <c r="G50" s="30" t="str">
        <f t="array" ref="G50">IF($A50="", "", LET(bbgm_stat, INDEX(Players!$A49:$P49, MATCH(G$2, Players!$A$1:$P$1, 0)), perc_75, VLOOKUP(G$2, Percentiles!$A$45:$I$59, 6, FALSE), perc_90, VLOOKUP(G$2, Percentiles!$A$45:$I$59, 7, FALSE), perc_95, VLOOKUP(G$2, Percentiles!$A$45:$I$59, 8, FALSE), perc_85, perc_75 + (perc_90 - perc_75) * (2/3), converted_stat, '2K_Ratings'!G50, IF(bbgm_stat &gt;= perc_95, converted_stat * 3, IF(bbgm_stat &gt;= perc_90, converted_stat * 2, IF(bbgm_stat &gt;= perc_85, converted_stat * 1.5, converted_stat)))))</f>
        <v/>
      </c>
      <c r="H50" s="30" t="str">
        <f t="array" ref="H50">IF($A50="", "", LET(bbgm_stat, INDEX(Players!$A49:$P49, MATCH(H$2, Players!$A$1:$P$1, 0)), perc_75, VLOOKUP(H$2, Percentiles!$A$45:$I$59, 6, FALSE), perc_90, VLOOKUP(H$2, Percentiles!$A$45:$I$59, 7, FALSE), perc_95, VLOOKUP(H$2, Percentiles!$A$45:$I$59, 8, FALSE), perc_85, perc_75 + (perc_90 - perc_75) * (2/3), converted_stat, '2K_Ratings'!H50, IF(bbgm_stat &gt;= perc_95, converted_stat * 3, IF(bbgm_stat &gt;= perc_90, converted_stat * 2, IF(bbgm_stat &gt;= perc_85, converted_stat * 1.5, converted_stat)))))</f>
        <v/>
      </c>
      <c r="I50" s="30" t="str">
        <f t="array" ref="I50">IF($A50="", "", LET(bbgm_stat, INDEX(Players!$A49:$P49, MATCH(I$2, Players!$A$1:$P$1, 0)), perc_75, VLOOKUP(I$2, Percentiles!$A$45:$I$59, 6, FALSE), perc_90, VLOOKUP(I$2, Percentiles!$A$45:$I$59, 7, FALSE), perc_95, VLOOKUP(I$2, Percentiles!$A$45:$I$59, 8, FALSE), perc_85, perc_75 + (perc_90 - perc_75) * (2/3), converted_stat, '2K_Ratings'!I50, IF(bbgm_stat &gt;= perc_95, converted_stat * 3, IF(bbgm_stat &gt;= perc_90, converted_stat * 2, IF(bbgm_stat &gt;= perc_85, converted_stat * 1.5, converted_stat)))))</f>
        <v/>
      </c>
      <c r="J50" s="30" t="str">
        <f t="array" ref="J50">IF($A50="", "", LET(bbgm_stat, INDEX(Players!$A49:$P49, MATCH(J$2, Players!$A$1:$P$1, 0)), perc_75, VLOOKUP(J$2, Percentiles!$A$45:$I$59, 6, FALSE), perc_90, VLOOKUP(J$2, Percentiles!$A$45:$I$59, 7, FALSE), perc_95, VLOOKUP(J$2, Percentiles!$A$45:$I$59, 8, FALSE), perc_85, perc_75 + (perc_90 - perc_75) * (2/3), converted_stat, '2K_Ratings'!J50, IF(bbgm_stat &gt;= perc_95, converted_stat * 3, IF(bbgm_stat &gt;= perc_90, converted_stat * 2, IF(bbgm_stat &gt;= perc_85, converted_stat * 1.5, converted_stat)))))</f>
        <v/>
      </c>
      <c r="K50" s="30" t="str">
        <f t="array" ref="K50">IF($A50="", "", LET(bbgm_stat, INDEX(Players!$A49:$P49, MATCH(K$2, Players!$A$1:$P$1, 0)), perc_75, VLOOKUP(K$2, Percentiles!$A$45:$I$59, 6, FALSE), perc_90, VLOOKUP(K$2, Percentiles!$A$45:$I$59, 7, FALSE), perc_95, VLOOKUP(K$2, Percentiles!$A$45:$I$59, 8, FALSE), perc_85, perc_75 + (perc_90 - perc_75) * (2/3), converted_stat, '2K_Ratings'!K50, IF(bbgm_stat &gt;= perc_95, converted_stat * 3, IF(bbgm_stat &gt;= perc_90, converted_stat * 2, IF(bbgm_stat &gt;= perc_85, converted_stat * 1.5, converted_stat)))))</f>
        <v/>
      </c>
      <c r="L50" s="30" t="str">
        <f t="array" ref="L50">IF($A50="", "", LET(bbgm_stat, INDEX(Players!$A49:$P49, MATCH(L$2, Players!$A$1:$P$1, 0)), perc_75, VLOOKUP(L$2, Percentiles!$A$45:$I$59, 6, FALSE), perc_90, VLOOKUP(L$2, Percentiles!$A$45:$I$59, 7, FALSE), perc_95, VLOOKUP(L$2, Percentiles!$A$45:$I$59, 8, FALSE), perc_85, perc_75 + (perc_90 - perc_75) * (2/3), converted_stat, '2K_Ratings'!L50, IF(bbgm_stat &gt;= perc_95, converted_stat * 3, IF(bbgm_stat &gt;= perc_90, converted_stat * 2, IF(bbgm_stat &gt;= perc_85, converted_stat * 1.5, converted_stat)))))</f>
        <v/>
      </c>
      <c r="M50" s="30" t="str">
        <f t="array" ref="M50">IF($A50="", "", LET(bbgm_stat, INDEX(Players!$A49:$P49, MATCH(M$2, Players!$A$1:$P$1, 0)), perc_75, VLOOKUP(M$2, Percentiles!$A$45:$I$59, 6, FALSE), perc_90, VLOOKUP(M$2, Percentiles!$A$45:$I$59, 7, FALSE), perc_95, VLOOKUP(M$2, Percentiles!$A$45:$I$59, 8, FALSE), perc_85, perc_75 + (perc_90 - perc_75) * (2/3), converted_stat, '2K_Ratings'!M50, IF(bbgm_stat &gt;= perc_95, converted_stat * 3, IF(bbgm_stat &gt;= perc_90, converted_stat * 2, IF(bbgm_stat &gt;= perc_85, converted_stat * 1.5, converted_stat)))))</f>
        <v/>
      </c>
      <c r="N50" s="30" t="str">
        <f t="array" ref="N50">IF($A50="", "", LET(bbgm_stat, INDEX(Players!$A49:$P49, MATCH(N$2, Players!$A$1:$P$1, 0)), perc_75, VLOOKUP(N$2, Percentiles!$A$45:$I$59, 6, FALSE), perc_90, VLOOKUP(N$2, Percentiles!$A$45:$I$59, 7, FALSE), perc_95, VLOOKUP(N$2, Percentiles!$A$45:$I$59, 8, FALSE), perc_85, perc_75 + (perc_90 - perc_75) * (2/3), converted_stat, '2K_Ratings'!N50, IF(bbgm_stat &gt;= perc_95, converted_stat * 3, IF(bbgm_stat &gt;= perc_90, converted_stat * 2, IF(bbgm_stat &gt;= perc_85, converted_stat * 1.5, converted_stat)))))</f>
        <v/>
      </c>
      <c r="O50" s="30" t="str">
        <f t="array" ref="O50">IF($A50="", "", LET(bbgm_stat, INDEX(Players!$A49:$P49, MATCH(O$2, Players!$A$1:$P$1, 0)), perc_75, VLOOKUP(O$2, Percentiles!$A$45:$I$59, 6, FALSE), perc_90, VLOOKUP(O$2, Percentiles!$A$45:$I$59, 7, FALSE), perc_95, VLOOKUP(O$2, Percentiles!$A$45:$I$59, 8, FALSE), perc_85, perc_75 + (perc_90 - perc_75) * (2/3), converted_stat, '2K_Ratings'!O50, IF(bbgm_stat &gt;= perc_95, converted_stat * 3, IF(bbgm_stat &gt;= perc_90, converted_stat * 2, IF(bbgm_stat &gt;= perc_85, converted_stat * 1.5, converted_stat)))))</f>
        <v/>
      </c>
      <c r="P50" s="30" t="str">
        <f t="array" ref="P50">IF($A50="", "", LET(bbgm_stat, INDEX(Players!$A49:$P49, MATCH(P$2, Players!$A$1:$P$1, 0)), perc_75, VLOOKUP(P$2, Percentiles!$A$45:$I$59, 6, FALSE), perc_90, VLOOKUP(P$2, Percentiles!$A$45:$I$59, 7, FALSE), perc_95, VLOOKUP(P$2, Percentiles!$A$45:$I$59, 8, FALSE), perc_85, perc_75 + (perc_90 - perc_75) * (2/3), converted_stat, '2K_Ratings'!P50, IF(bbgm_stat &gt;= perc_95, converted_stat * 3, IF(bbgm_stat &gt;= perc_90, converted_stat * 2, IF(bbgm_stat &gt;= perc_85, converted_stat * 1.5, converted_stat)))))</f>
        <v/>
      </c>
      <c r="Q50" s="30" t="str">
        <f t="array" ref="Q50">IF($A50="", "", LET(bbgm_stat, INDEX(Players!$A49:$P49, MATCH(Q$2, Players!$A$1:$P$1, 0)), perc_75, VLOOKUP(Q$2, Percentiles!$A$45:$I$59, 6, FALSE), perc_90, VLOOKUP(Q$2, Percentiles!$A$45:$I$59, 7, FALSE), perc_95, VLOOKUP(Q$2, Percentiles!$A$45:$I$59, 8, FALSE), perc_85, perc_75 + (perc_90 - perc_75) * (2/3), converted_stat, '2K_Ratings'!Q50, IF(bbgm_stat &gt;= perc_95, converted_stat * 3, IF(bbgm_stat &gt;= perc_90, converted_stat * 2, IF(bbgm_stat &gt;= perc_85, converted_stat * 1.5, converted_stat)))))</f>
        <v/>
      </c>
      <c r="R50" s="30" t="str">
        <f t="array" ref="R50">IF($A50="", "", LET(bbgm_stat, INDEX(Players!$A49:$P49, MATCH(R$2, Players!$A$1:$P$1, 0)), perc_75, VLOOKUP(R$2, Percentiles!$A$45:$I$59, 6, FALSE), perc_90, VLOOKUP(R$2, Percentiles!$A$45:$I$59, 7, FALSE), perc_95, VLOOKUP(R$2, Percentiles!$A$45:$I$59, 8, FALSE), perc_85, perc_75 + (perc_90 - perc_75) * (2/3), converted_stat, '2K_Ratings'!R50, IF(bbgm_stat &gt;= perc_95, converted_stat * 3, IF(bbgm_stat &gt;= perc_90, converted_stat * 2, IF(bbgm_stat &gt;= perc_85, converted_stat * 1.5, converted_stat)))))</f>
        <v/>
      </c>
      <c r="S50" s="30" t="str">
        <f t="array" ref="S50">IF($A50="", "", LET(bbgm_stat, INDEX(Players!$A49:$P49, MATCH(S$2, Players!$A$1:$P$1, 0)), perc_75, VLOOKUP(S$2, Percentiles!$A$45:$I$59, 6, FALSE), perc_90, VLOOKUP(S$2, Percentiles!$A$45:$I$59, 7, FALSE), perc_95, VLOOKUP(S$2, Percentiles!$A$45:$I$59, 8, FALSE), perc_85, perc_75 + (perc_90 - perc_75) * (2/3), converted_stat, '2K_Ratings'!S50, IF(bbgm_stat &gt;= perc_95, converted_stat * 3, IF(bbgm_stat &gt;= perc_90, converted_stat * 2, IF(bbgm_stat &gt;= perc_85, converted_stat * 1.5, converted_stat)))))</f>
        <v/>
      </c>
      <c r="T50" s="30" t="str">
        <f t="array" ref="T50">IF($A50="", "", LET(bbgm_stat, INDEX(Players!$A49:$P49, MATCH(T$2, Players!$A$1:$P$1, 0)), perc_75, VLOOKUP(T$2, Percentiles!$A$45:$I$59, 6, FALSE), perc_90, VLOOKUP(T$2, Percentiles!$A$45:$I$59, 7, FALSE), perc_95, VLOOKUP(T$2, Percentiles!$A$45:$I$59, 8, FALSE), perc_85, perc_75 + (perc_90 - perc_75) * (2/3), converted_stat, '2K_Ratings'!T50, IF(bbgm_stat &gt;= perc_95, converted_stat * 3, IF(bbgm_stat &gt;= perc_90, converted_stat * 2, IF(bbgm_stat &gt;= perc_85, converted_stat * 1.5, converted_stat)))))</f>
        <v/>
      </c>
      <c r="U50" s="30" t="str">
        <f t="array" ref="U50">IF($A50="", "", LET(bbgm_stat, INDEX(Players!$A49:$P49, MATCH(U$2, Players!$A$1:$P$1, 0)), perc_75, VLOOKUP(U$2, Percentiles!$A$45:$I$59, 6, FALSE), perc_90, VLOOKUP(U$2, Percentiles!$A$45:$I$59, 7, FALSE), perc_95, VLOOKUP(U$2, Percentiles!$A$45:$I$59, 8, FALSE), perc_85, perc_75 + (perc_90 - perc_75) * (2/3), converted_stat, '2K_Ratings'!U50, IF(bbgm_stat &gt;= perc_95, converted_stat * 3, IF(bbgm_stat &gt;= perc_90, converted_stat * 2, IF(bbgm_stat &gt;= perc_85, converted_stat * 1.5, converted_stat)))))</f>
        <v/>
      </c>
      <c r="V50" s="30" t="str">
        <f t="array" ref="V50">IF($A50="", "", LET(bbgm_stat, INDEX(Players!$A49:$P49, MATCH(V$2, Players!$A$1:$P$1, 0)), perc_75, VLOOKUP(V$2, Percentiles!$A$45:$I$59, 6, FALSE), perc_90, VLOOKUP(V$2, Percentiles!$A$45:$I$59, 7, FALSE), perc_95, VLOOKUP(V$2, Percentiles!$A$45:$I$59, 8, FALSE), perc_85, perc_75 + (perc_90 - perc_75) * (2/3), converted_stat, '2K_Ratings'!V50, IF(bbgm_stat &gt;= perc_95, converted_stat * 3, IF(bbgm_stat &gt;= perc_90, converted_stat * 2, IF(bbgm_stat &gt;= perc_85, converted_stat * 1.5, converted_stat)))))</f>
        <v/>
      </c>
      <c r="W50" s="30" t="str">
        <f t="array" ref="W50">IF($A50="", "", LET(bbgm_stat, INDEX(Players!$A49:$P49, MATCH(W$2, Players!$A$1:$P$1, 0)), perc_75, VLOOKUP(W$2, Percentiles!$A$45:$I$59, 6, FALSE), perc_90, VLOOKUP(W$2, Percentiles!$A$45:$I$59, 7, FALSE), perc_95, VLOOKUP(W$2, Percentiles!$A$45:$I$59, 8, FALSE), perc_85, perc_75 + (perc_90 - perc_75) * (2/3), converted_stat, '2K_Ratings'!W50, IF(bbgm_stat &gt;= perc_95, converted_stat * 3, IF(bbgm_stat &gt;= perc_90, converted_stat * 2, IF(bbgm_stat &gt;= perc_85, converted_stat * 1.5, converted_stat)))))</f>
        <v/>
      </c>
    </row>
    <row r="51">
      <c r="A51" s="30" t="str">
        <f>IF(Players!A50="", "", Players!A50)</f>
        <v/>
      </c>
      <c r="B51" s="30" t="str">
        <f t="array" ref="B51">IF($A51="", "", LET(bbgm_stat, INDEX(Players!$A50:$P50, MATCH(B$2, Players!$A$1:$P$1, 0)), perc_75, VLOOKUP(B$2, Percentiles!$A$45:$I$59, 6, FALSE), perc_90, VLOOKUP(B$2, Percentiles!$A$45:$I$59, 7, FALSE), perc_95, VLOOKUP(B$2, Percentiles!$A$45:$I$59, 8, FALSE), perc_85, perc_75 + (perc_90 - perc_75) * (2/3), converted_stat, '2K_Ratings'!B51, IF(bbgm_stat &gt;= perc_95, converted_stat * 3, IF(bbgm_stat &gt;= perc_90, converted_stat * 2, IF(bbgm_stat &gt;= perc_85, converted_stat * 1.5, converted_stat)))))</f>
        <v/>
      </c>
      <c r="C51" s="30" t="str">
        <f t="array" ref="C51">IF($A51="", "", LET(bbgm_stat, INDEX(Players!$A50:$P50, MATCH(C$2, Players!$A$1:$P$1, 0)), perc_75, VLOOKUP(C$2, Percentiles!$A$45:$I$59, 6, FALSE), perc_90, VLOOKUP(C$2, Percentiles!$A$45:$I$59, 7, FALSE), perc_95, VLOOKUP(C$2, Percentiles!$A$45:$I$59, 8, FALSE), perc_85, perc_75 + (perc_90 - perc_75) * (2/3), converted_stat, '2K_Ratings'!C51, IF(bbgm_stat &gt;= perc_95, converted_stat * 3, IF(bbgm_stat &gt;= perc_90, converted_stat * 2, IF(bbgm_stat &gt;= perc_85, converted_stat * 1.5, converted_stat)))))</f>
        <v/>
      </c>
      <c r="D51" s="30" t="str">
        <f t="array" ref="D51">IF($A51="", "", LET(bbgm_stat, INDEX(Players!$A50:$P50, MATCH(D$2, Players!$A$1:$P$1, 0)), perc_75, VLOOKUP(D$2, Percentiles!$A$45:$I$59, 6, FALSE), perc_90, VLOOKUP(D$2, Percentiles!$A$45:$I$59, 7, FALSE), perc_95, VLOOKUP(D$2, Percentiles!$A$45:$I$59, 8, FALSE), perc_85, perc_75 + (perc_90 - perc_75) * (2/3), converted_stat, '2K_Ratings'!D51, IF(bbgm_stat &gt;= perc_95, converted_stat * 3, IF(bbgm_stat &gt;= perc_90, converted_stat * 2, IF(bbgm_stat &gt;= perc_85, converted_stat * 1.5, converted_stat)))))</f>
        <v/>
      </c>
      <c r="E51" s="30" t="str">
        <f t="array" ref="E51">IF($A51="", "", LET(bbgm_stat, INDEX(Players!$A50:$P50, MATCH(E$2, Players!$A$1:$P$1, 0)), perc_75, VLOOKUP(E$2, Percentiles!$A$45:$I$59, 6, FALSE), perc_90, VLOOKUP(E$2, Percentiles!$A$45:$I$59, 7, FALSE), perc_95, VLOOKUP(E$2, Percentiles!$A$45:$I$59, 8, FALSE), perc_85, perc_75 + (perc_90 - perc_75) * (2/3), converted_stat, '2K_Ratings'!E51, IF(bbgm_stat &gt;= perc_95, converted_stat * 3, IF(bbgm_stat &gt;= perc_90, converted_stat * 2, IF(bbgm_stat &gt;= perc_85, converted_stat * 1.5, converted_stat)))))</f>
        <v/>
      </c>
      <c r="F51" s="30" t="str">
        <f t="array" ref="F51">IF($A51="", "", LET(bbgm_stat, INDEX(Players!$A50:$P50, MATCH(F$2, Players!$A$1:$P$1, 0)), perc_75, VLOOKUP(F$2, Percentiles!$A$45:$I$59, 6, FALSE), perc_90, VLOOKUP(F$2, Percentiles!$A$45:$I$59, 7, FALSE), perc_95, VLOOKUP(F$2, Percentiles!$A$45:$I$59, 8, FALSE), perc_85, perc_75 + (perc_90 - perc_75) * (2/3), converted_stat, '2K_Ratings'!F51, IF(bbgm_stat &gt;= perc_95, converted_stat * 3, IF(bbgm_stat &gt;= perc_90, converted_stat * 2, IF(bbgm_stat &gt;= perc_85, converted_stat * 1.5, converted_stat)))))</f>
        <v/>
      </c>
      <c r="G51" s="30" t="str">
        <f t="array" ref="G51">IF($A51="", "", LET(bbgm_stat, INDEX(Players!$A50:$P50, MATCH(G$2, Players!$A$1:$P$1, 0)), perc_75, VLOOKUP(G$2, Percentiles!$A$45:$I$59, 6, FALSE), perc_90, VLOOKUP(G$2, Percentiles!$A$45:$I$59, 7, FALSE), perc_95, VLOOKUP(G$2, Percentiles!$A$45:$I$59, 8, FALSE), perc_85, perc_75 + (perc_90 - perc_75) * (2/3), converted_stat, '2K_Ratings'!G51, IF(bbgm_stat &gt;= perc_95, converted_stat * 3, IF(bbgm_stat &gt;= perc_90, converted_stat * 2, IF(bbgm_stat &gt;= perc_85, converted_stat * 1.5, converted_stat)))))</f>
        <v/>
      </c>
      <c r="H51" s="30" t="str">
        <f t="array" ref="H51">IF($A51="", "", LET(bbgm_stat, INDEX(Players!$A50:$P50, MATCH(H$2, Players!$A$1:$P$1, 0)), perc_75, VLOOKUP(H$2, Percentiles!$A$45:$I$59, 6, FALSE), perc_90, VLOOKUP(H$2, Percentiles!$A$45:$I$59, 7, FALSE), perc_95, VLOOKUP(H$2, Percentiles!$A$45:$I$59, 8, FALSE), perc_85, perc_75 + (perc_90 - perc_75) * (2/3), converted_stat, '2K_Ratings'!H51, IF(bbgm_stat &gt;= perc_95, converted_stat * 3, IF(bbgm_stat &gt;= perc_90, converted_stat * 2, IF(bbgm_stat &gt;= perc_85, converted_stat * 1.5, converted_stat)))))</f>
        <v/>
      </c>
      <c r="I51" s="30" t="str">
        <f t="array" ref="I51">IF($A51="", "", LET(bbgm_stat, INDEX(Players!$A50:$P50, MATCH(I$2, Players!$A$1:$P$1, 0)), perc_75, VLOOKUP(I$2, Percentiles!$A$45:$I$59, 6, FALSE), perc_90, VLOOKUP(I$2, Percentiles!$A$45:$I$59, 7, FALSE), perc_95, VLOOKUP(I$2, Percentiles!$A$45:$I$59, 8, FALSE), perc_85, perc_75 + (perc_90 - perc_75) * (2/3), converted_stat, '2K_Ratings'!I51, IF(bbgm_stat &gt;= perc_95, converted_stat * 3, IF(bbgm_stat &gt;= perc_90, converted_stat * 2, IF(bbgm_stat &gt;= perc_85, converted_stat * 1.5, converted_stat)))))</f>
        <v/>
      </c>
      <c r="J51" s="30" t="str">
        <f t="array" ref="J51">IF($A51="", "", LET(bbgm_stat, INDEX(Players!$A50:$P50, MATCH(J$2, Players!$A$1:$P$1, 0)), perc_75, VLOOKUP(J$2, Percentiles!$A$45:$I$59, 6, FALSE), perc_90, VLOOKUP(J$2, Percentiles!$A$45:$I$59, 7, FALSE), perc_95, VLOOKUP(J$2, Percentiles!$A$45:$I$59, 8, FALSE), perc_85, perc_75 + (perc_90 - perc_75) * (2/3), converted_stat, '2K_Ratings'!J51, IF(bbgm_stat &gt;= perc_95, converted_stat * 3, IF(bbgm_stat &gt;= perc_90, converted_stat * 2, IF(bbgm_stat &gt;= perc_85, converted_stat * 1.5, converted_stat)))))</f>
        <v/>
      </c>
      <c r="K51" s="30" t="str">
        <f t="array" ref="K51">IF($A51="", "", LET(bbgm_stat, INDEX(Players!$A50:$P50, MATCH(K$2, Players!$A$1:$P$1, 0)), perc_75, VLOOKUP(K$2, Percentiles!$A$45:$I$59, 6, FALSE), perc_90, VLOOKUP(K$2, Percentiles!$A$45:$I$59, 7, FALSE), perc_95, VLOOKUP(K$2, Percentiles!$A$45:$I$59, 8, FALSE), perc_85, perc_75 + (perc_90 - perc_75) * (2/3), converted_stat, '2K_Ratings'!K51, IF(bbgm_stat &gt;= perc_95, converted_stat * 3, IF(bbgm_stat &gt;= perc_90, converted_stat * 2, IF(bbgm_stat &gt;= perc_85, converted_stat * 1.5, converted_stat)))))</f>
        <v/>
      </c>
      <c r="L51" s="30" t="str">
        <f t="array" ref="L51">IF($A51="", "", LET(bbgm_stat, INDEX(Players!$A50:$P50, MATCH(L$2, Players!$A$1:$P$1, 0)), perc_75, VLOOKUP(L$2, Percentiles!$A$45:$I$59, 6, FALSE), perc_90, VLOOKUP(L$2, Percentiles!$A$45:$I$59, 7, FALSE), perc_95, VLOOKUP(L$2, Percentiles!$A$45:$I$59, 8, FALSE), perc_85, perc_75 + (perc_90 - perc_75) * (2/3), converted_stat, '2K_Ratings'!L51, IF(bbgm_stat &gt;= perc_95, converted_stat * 3, IF(bbgm_stat &gt;= perc_90, converted_stat * 2, IF(bbgm_stat &gt;= perc_85, converted_stat * 1.5, converted_stat)))))</f>
        <v/>
      </c>
      <c r="M51" s="30" t="str">
        <f t="array" ref="M51">IF($A51="", "", LET(bbgm_stat, INDEX(Players!$A50:$P50, MATCH(M$2, Players!$A$1:$P$1, 0)), perc_75, VLOOKUP(M$2, Percentiles!$A$45:$I$59, 6, FALSE), perc_90, VLOOKUP(M$2, Percentiles!$A$45:$I$59, 7, FALSE), perc_95, VLOOKUP(M$2, Percentiles!$A$45:$I$59, 8, FALSE), perc_85, perc_75 + (perc_90 - perc_75) * (2/3), converted_stat, '2K_Ratings'!M51, IF(bbgm_stat &gt;= perc_95, converted_stat * 3, IF(bbgm_stat &gt;= perc_90, converted_stat * 2, IF(bbgm_stat &gt;= perc_85, converted_stat * 1.5, converted_stat)))))</f>
        <v/>
      </c>
      <c r="N51" s="30" t="str">
        <f t="array" ref="N51">IF($A51="", "", LET(bbgm_stat, INDEX(Players!$A50:$P50, MATCH(N$2, Players!$A$1:$P$1, 0)), perc_75, VLOOKUP(N$2, Percentiles!$A$45:$I$59, 6, FALSE), perc_90, VLOOKUP(N$2, Percentiles!$A$45:$I$59, 7, FALSE), perc_95, VLOOKUP(N$2, Percentiles!$A$45:$I$59, 8, FALSE), perc_85, perc_75 + (perc_90 - perc_75) * (2/3), converted_stat, '2K_Ratings'!N51, IF(bbgm_stat &gt;= perc_95, converted_stat * 3, IF(bbgm_stat &gt;= perc_90, converted_stat * 2, IF(bbgm_stat &gt;= perc_85, converted_stat * 1.5, converted_stat)))))</f>
        <v/>
      </c>
      <c r="O51" s="30" t="str">
        <f t="array" ref="O51">IF($A51="", "", LET(bbgm_stat, INDEX(Players!$A50:$P50, MATCH(O$2, Players!$A$1:$P$1, 0)), perc_75, VLOOKUP(O$2, Percentiles!$A$45:$I$59, 6, FALSE), perc_90, VLOOKUP(O$2, Percentiles!$A$45:$I$59, 7, FALSE), perc_95, VLOOKUP(O$2, Percentiles!$A$45:$I$59, 8, FALSE), perc_85, perc_75 + (perc_90 - perc_75) * (2/3), converted_stat, '2K_Ratings'!O51, IF(bbgm_stat &gt;= perc_95, converted_stat * 3, IF(bbgm_stat &gt;= perc_90, converted_stat * 2, IF(bbgm_stat &gt;= perc_85, converted_stat * 1.5, converted_stat)))))</f>
        <v/>
      </c>
      <c r="P51" s="30" t="str">
        <f t="array" ref="P51">IF($A51="", "", LET(bbgm_stat, INDEX(Players!$A50:$P50, MATCH(P$2, Players!$A$1:$P$1, 0)), perc_75, VLOOKUP(P$2, Percentiles!$A$45:$I$59, 6, FALSE), perc_90, VLOOKUP(P$2, Percentiles!$A$45:$I$59, 7, FALSE), perc_95, VLOOKUP(P$2, Percentiles!$A$45:$I$59, 8, FALSE), perc_85, perc_75 + (perc_90 - perc_75) * (2/3), converted_stat, '2K_Ratings'!P51, IF(bbgm_stat &gt;= perc_95, converted_stat * 3, IF(bbgm_stat &gt;= perc_90, converted_stat * 2, IF(bbgm_stat &gt;= perc_85, converted_stat * 1.5, converted_stat)))))</f>
        <v/>
      </c>
      <c r="Q51" s="30" t="str">
        <f t="array" ref="Q51">IF($A51="", "", LET(bbgm_stat, INDEX(Players!$A50:$P50, MATCH(Q$2, Players!$A$1:$P$1, 0)), perc_75, VLOOKUP(Q$2, Percentiles!$A$45:$I$59, 6, FALSE), perc_90, VLOOKUP(Q$2, Percentiles!$A$45:$I$59, 7, FALSE), perc_95, VLOOKUP(Q$2, Percentiles!$A$45:$I$59, 8, FALSE), perc_85, perc_75 + (perc_90 - perc_75) * (2/3), converted_stat, '2K_Ratings'!Q51, IF(bbgm_stat &gt;= perc_95, converted_stat * 3, IF(bbgm_stat &gt;= perc_90, converted_stat * 2, IF(bbgm_stat &gt;= perc_85, converted_stat * 1.5, converted_stat)))))</f>
        <v/>
      </c>
      <c r="R51" s="30" t="str">
        <f t="array" ref="R51">IF($A51="", "", LET(bbgm_stat, INDEX(Players!$A50:$P50, MATCH(R$2, Players!$A$1:$P$1, 0)), perc_75, VLOOKUP(R$2, Percentiles!$A$45:$I$59, 6, FALSE), perc_90, VLOOKUP(R$2, Percentiles!$A$45:$I$59, 7, FALSE), perc_95, VLOOKUP(R$2, Percentiles!$A$45:$I$59, 8, FALSE), perc_85, perc_75 + (perc_90 - perc_75) * (2/3), converted_stat, '2K_Ratings'!R51, IF(bbgm_stat &gt;= perc_95, converted_stat * 3, IF(bbgm_stat &gt;= perc_90, converted_stat * 2, IF(bbgm_stat &gt;= perc_85, converted_stat * 1.5, converted_stat)))))</f>
        <v/>
      </c>
      <c r="S51" s="30" t="str">
        <f t="array" ref="S51">IF($A51="", "", LET(bbgm_stat, INDEX(Players!$A50:$P50, MATCH(S$2, Players!$A$1:$P$1, 0)), perc_75, VLOOKUP(S$2, Percentiles!$A$45:$I$59, 6, FALSE), perc_90, VLOOKUP(S$2, Percentiles!$A$45:$I$59, 7, FALSE), perc_95, VLOOKUP(S$2, Percentiles!$A$45:$I$59, 8, FALSE), perc_85, perc_75 + (perc_90 - perc_75) * (2/3), converted_stat, '2K_Ratings'!S51, IF(bbgm_stat &gt;= perc_95, converted_stat * 3, IF(bbgm_stat &gt;= perc_90, converted_stat * 2, IF(bbgm_stat &gt;= perc_85, converted_stat * 1.5, converted_stat)))))</f>
        <v/>
      </c>
      <c r="T51" s="30" t="str">
        <f t="array" ref="T51">IF($A51="", "", LET(bbgm_stat, INDEX(Players!$A50:$P50, MATCH(T$2, Players!$A$1:$P$1, 0)), perc_75, VLOOKUP(T$2, Percentiles!$A$45:$I$59, 6, FALSE), perc_90, VLOOKUP(T$2, Percentiles!$A$45:$I$59, 7, FALSE), perc_95, VLOOKUP(T$2, Percentiles!$A$45:$I$59, 8, FALSE), perc_85, perc_75 + (perc_90 - perc_75) * (2/3), converted_stat, '2K_Ratings'!T51, IF(bbgm_stat &gt;= perc_95, converted_stat * 3, IF(bbgm_stat &gt;= perc_90, converted_stat * 2, IF(bbgm_stat &gt;= perc_85, converted_stat * 1.5, converted_stat)))))</f>
        <v/>
      </c>
      <c r="U51" s="30" t="str">
        <f t="array" ref="U51">IF($A51="", "", LET(bbgm_stat, INDEX(Players!$A50:$P50, MATCH(U$2, Players!$A$1:$P$1, 0)), perc_75, VLOOKUP(U$2, Percentiles!$A$45:$I$59, 6, FALSE), perc_90, VLOOKUP(U$2, Percentiles!$A$45:$I$59, 7, FALSE), perc_95, VLOOKUP(U$2, Percentiles!$A$45:$I$59, 8, FALSE), perc_85, perc_75 + (perc_90 - perc_75) * (2/3), converted_stat, '2K_Ratings'!U51, IF(bbgm_stat &gt;= perc_95, converted_stat * 3, IF(bbgm_stat &gt;= perc_90, converted_stat * 2, IF(bbgm_stat &gt;= perc_85, converted_stat * 1.5, converted_stat)))))</f>
        <v/>
      </c>
      <c r="V51" s="30" t="str">
        <f t="array" ref="V51">IF($A51="", "", LET(bbgm_stat, INDEX(Players!$A50:$P50, MATCH(V$2, Players!$A$1:$P$1, 0)), perc_75, VLOOKUP(V$2, Percentiles!$A$45:$I$59, 6, FALSE), perc_90, VLOOKUP(V$2, Percentiles!$A$45:$I$59, 7, FALSE), perc_95, VLOOKUP(V$2, Percentiles!$A$45:$I$59, 8, FALSE), perc_85, perc_75 + (perc_90 - perc_75) * (2/3), converted_stat, '2K_Ratings'!V51, IF(bbgm_stat &gt;= perc_95, converted_stat * 3, IF(bbgm_stat &gt;= perc_90, converted_stat * 2, IF(bbgm_stat &gt;= perc_85, converted_stat * 1.5, converted_stat)))))</f>
        <v/>
      </c>
      <c r="W51" s="30" t="str">
        <f t="array" ref="W51">IF($A51="", "", LET(bbgm_stat, INDEX(Players!$A50:$P50, MATCH(W$2, Players!$A$1:$P$1, 0)), perc_75, VLOOKUP(W$2, Percentiles!$A$45:$I$59, 6, FALSE), perc_90, VLOOKUP(W$2, Percentiles!$A$45:$I$59, 7, FALSE), perc_95, VLOOKUP(W$2, Percentiles!$A$45:$I$59, 8, FALSE), perc_85, perc_75 + (perc_90 - perc_75) * (2/3), converted_stat, '2K_Ratings'!W51, IF(bbgm_stat &gt;= perc_95, converted_stat * 3, IF(bbgm_stat &gt;= perc_90, converted_stat * 2, IF(bbgm_stat &gt;= perc_85, converted_stat * 1.5, converted_stat)))))</f>
        <v/>
      </c>
    </row>
    <row r="52">
      <c r="A52" s="30" t="str">
        <f>IF(Players!A51="", "", Players!A51)</f>
        <v/>
      </c>
      <c r="B52" s="30" t="str">
        <f t="array" ref="B52">IF($A52="", "", LET(bbgm_stat, INDEX(Players!$A51:$P51, MATCH(B$2, Players!$A$1:$P$1, 0)), perc_75, VLOOKUP(B$2, Percentiles!$A$45:$I$59, 6, FALSE), perc_90, VLOOKUP(B$2, Percentiles!$A$45:$I$59, 7, FALSE), perc_95, VLOOKUP(B$2, Percentiles!$A$45:$I$59, 8, FALSE), perc_85, perc_75 + (perc_90 - perc_75) * (2/3), converted_stat, '2K_Ratings'!B52, IF(bbgm_stat &gt;= perc_95, converted_stat * 3, IF(bbgm_stat &gt;= perc_90, converted_stat * 2, IF(bbgm_stat &gt;= perc_85, converted_stat * 1.5, converted_stat)))))</f>
        <v/>
      </c>
      <c r="C52" s="30" t="str">
        <f t="array" ref="C52">IF($A52="", "", LET(bbgm_stat, INDEX(Players!$A51:$P51, MATCH(C$2, Players!$A$1:$P$1, 0)), perc_75, VLOOKUP(C$2, Percentiles!$A$45:$I$59, 6, FALSE), perc_90, VLOOKUP(C$2, Percentiles!$A$45:$I$59, 7, FALSE), perc_95, VLOOKUP(C$2, Percentiles!$A$45:$I$59, 8, FALSE), perc_85, perc_75 + (perc_90 - perc_75) * (2/3), converted_stat, '2K_Ratings'!C52, IF(bbgm_stat &gt;= perc_95, converted_stat * 3, IF(bbgm_stat &gt;= perc_90, converted_stat * 2, IF(bbgm_stat &gt;= perc_85, converted_stat * 1.5, converted_stat)))))</f>
        <v/>
      </c>
      <c r="D52" s="30" t="str">
        <f t="array" ref="D52">IF($A52="", "", LET(bbgm_stat, INDEX(Players!$A51:$P51, MATCH(D$2, Players!$A$1:$P$1, 0)), perc_75, VLOOKUP(D$2, Percentiles!$A$45:$I$59, 6, FALSE), perc_90, VLOOKUP(D$2, Percentiles!$A$45:$I$59, 7, FALSE), perc_95, VLOOKUP(D$2, Percentiles!$A$45:$I$59, 8, FALSE), perc_85, perc_75 + (perc_90 - perc_75) * (2/3), converted_stat, '2K_Ratings'!D52, IF(bbgm_stat &gt;= perc_95, converted_stat * 3, IF(bbgm_stat &gt;= perc_90, converted_stat * 2, IF(bbgm_stat &gt;= perc_85, converted_stat * 1.5, converted_stat)))))</f>
        <v/>
      </c>
      <c r="E52" s="30" t="str">
        <f t="array" ref="E52">IF($A52="", "", LET(bbgm_stat, INDEX(Players!$A51:$P51, MATCH(E$2, Players!$A$1:$P$1, 0)), perc_75, VLOOKUP(E$2, Percentiles!$A$45:$I$59, 6, FALSE), perc_90, VLOOKUP(E$2, Percentiles!$A$45:$I$59, 7, FALSE), perc_95, VLOOKUP(E$2, Percentiles!$A$45:$I$59, 8, FALSE), perc_85, perc_75 + (perc_90 - perc_75) * (2/3), converted_stat, '2K_Ratings'!E52, IF(bbgm_stat &gt;= perc_95, converted_stat * 3, IF(bbgm_stat &gt;= perc_90, converted_stat * 2, IF(bbgm_stat &gt;= perc_85, converted_stat * 1.5, converted_stat)))))</f>
        <v/>
      </c>
      <c r="F52" s="30" t="str">
        <f t="array" ref="F52">IF($A52="", "", LET(bbgm_stat, INDEX(Players!$A51:$P51, MATCH(F$2, Players!$A$1:$P$1, 0)), perc_75, VLOOKUP(F$2, Percentiles!$A$45:$I$59, 6, FALSE), perc_90, VLOOKUP(F$2, Percentiles!$A$45:$I$59, 7, FALSE), perc_95, VLOOKUP(F$2, Percentiles!$A$45:$I$59, 8, FALSE), perc_85, perc_75 + (perc_90 - perc_75) * (2/3), converted_stat, '2K_Ratings'!F52, IF(bbgm_stat &gt;= perc_95, converted_stat * 3, IF(bbgm_stat &gt;= perc_90, converted_stat * 2, IF(bbgm_stat &gt;= perc_85, converted_stat * 1.5, converted_stat)))))</f>
        <v/>
      </c>
      <c r="G52" s="30" t="str">
        <f t="array" ref="G52">IF($A52="", "", LET(bbgm_stat, INDEX(Players!$A51:$P51, MATCH(G$2, Players!$A$1:$P$1, 0)), perc_75, VLOOKUP(G$2, Percentiles!$A$45:$I$59, 6, FALSE), perc_90, VLOOKUP(G$2, Percentiles!$A$45:$I$59, 7, FALSE), perc_95, VLOOKUP(G$2, Percentiles!$A$45:$I$59, 8, FALSE), perc_85, perc_75 + (perc_90 - perc_75) * (2/3), converted_stat, '2K_Ratings'!G52, IF(bbgm_stat &gt;= perc_95, converted_stat * 3, IF(bbgm_stat &gt;= perc_90, converted_stat * 2, IF(bbgm_stat &gt;= perc_85, converted_stat * 1.5, converted_stat)))))</f>
        <v/>
      </c>
      <c r="H52" s="30" t="str">
        <f t="array" ref="H52">IF($A52="", "", LET(bbgm_stat, INDEX(Players!$A51:$P51, MATCH(H$2, Players!$A$1:$P$1, 0)), perc_75, VLOOKUP(H$2, Percentiles!$A$45:$I$59, 6, FALSE), perc_90, VLOOKUP(H$2, Percentiles!$A$45:$I$59, 7, FALSE), perc_95, VLOOKUP(H$2, Percentiles!$A$45:$I$59, 8, FALSE), perc_85, perc_75 + (perc_90 - perc_75) * (2/3), converted_stat, '2K_Ratings'!H52, IF(bbgm_stat &gt;= perc_95, converted_stat * 3, IF(bbgm_stat &gt;= perc_90, converted_stat * 2, IF(bbgm_stat &gt;= perc_85, converted_stat * 1.5, converted_stat)))))</f>
        <v/>
      </c>
      <c r="I52" s="30" t="str">
        <f t="array" ref="I52">IF($A52="", "", LET(bbgm_stat, INDEX(Players!$A51:$P51, MATCH(I$2, Players!$A$1:$P$1, 0)), perc_75, VLOOKUP(I$2, Percentiles!$A$45:$I$59, 6, FALSE), perc_90, VLOOKUP(I$2, Percentiles!$A$45:$I$59, 7, FALSE), perc_95, VLOOKUP(I$2, Percentiles!$A$45:$I$59, 8, FALSE), perc_85, perc_75 + (perc_90 - perc_75) * (2/3), converted_stat, '2K_Ratings'!I52, IF(bbgm_stat &gt;= perc_95, converted_stat * 3, IF(bbgm_stat &gt;= perc_90, converted_stat * 2, IF(bbgm_stat &gt;= perc_85, converted_stat * 1.5, converted_stat)))))</f>
        <v/>
      </c>
      <c r="J52" s="30" t="str">
        <f t="array" ref="J52">IF($A52="", "", LET(bbgm_stat, INDEX(Players!$A51:$P51, MATCH(J$2, Players!$A$1:$P$1, 0)), perc_75, VLOOKUP(J$2, Percentiles!$A$45:$I$59, 6, FALSE), perc_90, VLOOKUP(J$2, Percentiles!$A$45:$I$59, 7, FALSE), perc_95, VLOOKUP(J$2, Percentiles!$A$45:$I$59, 8, FALSE), perc_85, perc_75 + (perc_90 - perc_75) * (2/3), converted_stat, '2K_Ratings'!J52, IF(bbgm_stat &gt;= perc_95, converted_stat * 3, IF(bbgm_stat &gt;= perc_90, converted_stat * 2, IF(bbgm_stat &gt;= perc_85, converted_stat * 1.5, converted_stat)))))</f>
        <v/>
      </c>
      <c r="K52" s="30" t="str">
        <f t="array" ref="K52">IF($A52="", "", LET(bbgm_stat, INDEX(Players!$A51:$P51, MATCH(K$2, Players!$A$1:$P$1, 0)), perc_75, VLOOKUP(K$2, Percentiles!$A$45:$I$59, 6, FALSE), perc_90, VLOOKUP(K$2, Percentiles!$A$45:$I$59, 7, FALSE), perc_95, VLOOKUP(K$2, Percentiles!$A$45:$I$59, 8, FALSE), perc_85, perc_75 + (perc_90 - perc_75) * (2/3), converted_stat, '2K_Ratings'!K52, IF(bbgm_stat &gt;= perc_95, converted_stat * 3, IF(bbgm_stat &gt;= perc_90, converted_stat * 2, IF(bbgm_stat &gt;= perc_85, converted_stat * 1.5, converted_stat)))))</f>
        <v/>
      </c>
      <c r="L52" s="30" t="str">
        <f t="array" ref="L52">IF($A52="", "", LET(bbgm_stat, INDEX(Players!$A51:$P51, MATCH(L$2, Players!$A$1:$P$1, 0)), perc_75, VLOOKUP(L$2, Percentiles!$A$45:$I$59, 6, FALSE), perc_90, VLOOKUP(L$2, Percentiles!$A$45:$I$59, 7, FALSE), perc_95, VLOOKUP(L$2, Percentiles!$A$45:$I$59, 8, FALSE), perc_85, perc_75 + (perc_90 - perc_75) * (2/3), converted_stat, '2K_Ratings'!L52, IF(bbgm_stat &gt;= perc_95, converted_stat * 3, IF(bbgm_stat &gt;= perc_90, converted_stat * 2, IF(bbgm_stat &gt;= perc_85, converted_stat * 1.5, converted_stat)))))</f>
        <v/>
      </c>
      <c r="M52" s="30" t="str">
        <f t="array" ref="M52">IF($A52="", "", LET(bbgm_stat, INDEX(Players!$A51:$P51, MATCH(M$2, Players!$A$1:$P$1, 0)), perc_75, VLOOKUP(M$2, Percentiles!$A$45:$I$59, 6, FALSE), perc_90, VLOOKUP(M$2, Percentiles!$A$45:$I$59, 7, FALSE), perc_95, VLOOKUP(M$2, Percentiles!$A$45:$I$59, 8, FALSE), perc_85, perc_75 + (perc_90 - perc_75) * (2/3), converted_stat, '2K_Ratings'!M52, IF(bbgm_stat &gt;= perc_95, converted_stat * 3, IF(bbgm_stat &gt;= perc_90, converted_stat * 2, IF(bbgm_stat &gt;= perc_85, converted_stat * 1.5, converted_stat)))))</f>
        <v/>
      </c>
      <c r="N52" s="30" t="str">
        <f t="array" ref="N52">IF($A52="", "", LET(bbgm_stat, INDEX(Players!$A51:$P51, MATCH(N$2, Players!$A$1:$P$1, 0)), perc_75, VLOOKUP(N$2, Percentiles!$A$45:$I$59, 6, FALSE), perc_90, VLOOKUP(N$2, Percentiles!$A$45:$I$59, 7, FALSE), perc_95, VLOOKUP(N$2, Percentiles!$A$45:$I$59, 8, FALSE), perc_85, perc_75 + (perc_90 - perc_75) * (2/3), converted_stat, '2K_Ratings'!N52, IF(bbgm_stat &gt;= perc_95, converted_stat * 3, IF(bbgm_stat &gt;= perc_90, converted_stat * 2, IF(bbgm_stat &gt;= perc_85, converted_stat * 1.5, converted_stat)))))</f>
        <v/>
      </c>
      <c r="O52" s="30" t="str">
        <f t="array" ref="O52">IF($A52="", "", LET(bbgm_stat, INDEX(Players!$A51:$P51, MATCH(O$2, Players!$A$1:$P$1, 0)), perc_75, VLOOKUP(O$2, Percentiles!$A$45:$I$59, 6, FALSE), perc_90, VLOOKUP(O$2, Percentiles!$A$45:$I$59, 7, FALSE), perc_95, VLOOKUP(O$2, Percentiles!$A$45:$I$59, 8, FALSE), perc_85, perc_75 + (perc_90 - perc_75) * (2/3), converted_stat, '2K_Ratings'!O52, IF(bbgm_stat &gt;= perc_95, converted_stat * 3, IF(bbgm_stat &gt;= perc_90, converted_stat * 2, IF(bbgm_stat &gt;= perc_85, converted_stat * 1.5, converted_stat)))))</f>
        <v/>
      </c>
      <c r="P52" s="30" t="str">
        <f t="array" ref="P52">IF($A52="", "", LET(bbgm_stat, INDEX(Players!$A51:$P51, MATCH(P$2, Players!$A$1:$P$1, 0)), perc_75, VLOOKUP(P$2, Percentiles!$A$45:$I$59, 6, FALSE), perc_90, VLOOKUP(P$2, Percentiles!$A$45:$I$59, 7, FALSE), perc_95, VLOOKUP(P$2, Percentiles!$A$45:$I$59, 8, FALSE), perc_85, perc_75 + (perc_90 - perc_75) * (2/3), converted_stat, '2K_Ratings'!P52, IF(bbgm_stat &gt;= perc_95, converted_stat * 3, IF(bbgm_stat &gt;= perc_90, converted_stat * 2, IF(bbgm_stat &gt;= perc_85, converted_stat * 1.5, converted_stat)))))</f>
        <v/>
      </c>
      <c r="Q52" s="30" t="str">
        <f t="array" ref="Q52">IF($A52="", "", LET(bbgm_stat, INDEX(Players!$A51:$P51, MATCH(Q$2, Players!$A$1:$P$1, 0)), perc_75, VLOOKUP(Q$2, Percentiles!$A$45:$I$59, 6, FALSE), perc_90, VLOOKUP(Q$2, Percentiles!$A$45:$I$59, 7, FALSE), perc_95, VLOOKUP(Q$2, Percentiles!$A$45:$I$59, 8, FALSE), perc_85, perc_75 + (perc_90 - perc_75) * (2/3), converted_stat, '2K_Ratings'!Q52, IF(bbgm_stat &gt;= perc_95, converted_stat * 3, IF(bbgm_stat &gt;= perc_90, converted_stat * 2, IF(bbgm_stat &gt;= perc_85, converted_stat * 1.5, converted_stat)))))</f>
        <v/>
      </c>
      <c r="R52" s="30" t="str">
        <f t="array" ref="R52">IF($A52="", "", LET(bbgm_stat, INDEX(Players!$A51:$P51, MATCH(R$2, Players!$A$1:$P$1, 0)), perc_75, VLOOKUP(R$2, Percentiles!$A$45:$I$59, 6, FALSE), perc_90, VLOOKUP(R$2, Percentiles!$A$45:$I$59, 7, FALSE), perc_95, VLOOKUP(R$2, Percentiles!$A$45:$I$59, 8, FALSE), perc_85, perc_75 + (perc_90 - perc_75) * (2/3), converted_stat, '2K_Ratings'!R52, IF(bbgm_stat &gt;= perc_95, converted_stat * 3, IF(bbgm_stat &gt;= perc_90, converted_stat * 2, IF(bbgm_stat &gt;= perc_85, converted_stat * 1.5, converted_stat)))))</f>
        <v/>
      </c>
      <c r="S52" s="30" t="str">
        <f t="array" ref="S52">IF($A52="", "", LET(bbgm_stat, INDEX(Players!$A51:$P51, MATCH(S$2, Players!$A$1:$P$1, 0)), perc_75, VLOOKUP(S$2, Percentiles!$A$45:$I$59, 6, FALSE), perc_90, VLOOKUP(S$2, Percentiles!$A$45:$I$59, 7, FALSE), perc_95, VLOOKUP(S$2, Percentiles!$A$45:$I$59, 8, FALSE), perc_85, perc_75 + (perc_90 - perc_75) * (2/3), converted_stat, '2K_Ratings'!S52, IF(bbgm_stat &gt;= perc_95, converted_stat * 3, IF(bbgm_stat &gt;= perc_90, converted_stat * 2, IF(bbgm_stat &gt;= perc_85, converted_stat * 1.5, converted_stat)))))</f>
        <v/>
      </c>
      <c r="T52" s="30" t="str">
        <f t="array" ref="T52">IF($A52="", "", LET(bbgm_stat, INDEX(Players!$A51:$P51, MATCH(T$2, Players!$A$1:$P$1, 0)), perc_75, VLOOKUP(T$2, Percentiles!$A$45:$I$59, 6, FALSE), perc_90, VLOOKUP(T$2, Percentiles!$A$45:$I$59, 7, FALSE), perc_95, VLOOKUP(T$2, Percentiles!$A$45:$I$59, 8, FALSE), perc_85, perc_75 + (perc_90 - perc_75) * (2/3), converted_stat, '2K_Ratings'!T52, IF(bbgm_stat &gt;= perc_95, converted_stat * 3, IF(bbgm_stat &gt;= perc_90, converted_stat * 2, IF(bbgm_stat &gt;= perc_85, converted_stat * 1.5, converted_stat)))))</f>
        <v/>
      </c>
      <c r="U52" s="30" t="str">
        <f t="array" ref="U52">IF($A52="", "", LET(bbgm_stat, INDEX(Players!$A51:$P51, MATCH(U$2, Players!$A$1:$P$1, 0)), perc_75, VLOOKUP(U$2, Percentiles!$A$45:$I$59, 6, FALSE), perc_90, VLOOKUP(U$2, Percentiles!$A$45:$I$59, 7, FALSE), perc_95, VLOOKUP(U$2, Percentiles!$A$45:$I$59, 8, FALSE), perc_85, perc_75 + (perc_90 - perc_75) * (2/3), converted_stat, '2K_Ratings'!U52, IF(bbgm_stat &gt;= perc_95, converted_stat * 3, IF(bbgm_stat &gt;= perc_90, converted_stat * 2, IF(bbgm_stat &gt;= perc_85, converted_stat * 1.5, converted_stat)))))</f>
        <v/>
      </c>
      <c r="V52" s="30" t="str">
        <f t="array" ref="V52">IF($A52="", "", LET(bbgm_stat, INDEX(Players!$A51:$P51, MATCH(V$2, Players!$A$1:$P$1, 0)), perc_75, VLOOKUP(V$2, Percentiles!$A$45:$I$59, 6, FALSE), perc_90, VLOOKUP(V$2, Percentiles!$A$45:$I$59, 7, FALSE), perc_95, VLOOKUP(V$2, Percentiles!$A$45:$I$59, 8, FALSE), perc_85, perc_75 + (perc_90 - perc_75) * (2/3), converted_stat, '2K_Ratings'!V52, IF(bbgm_stat &gt;= perc_95, converted_stat * 3, IF(bbgm_stat &gt;= perc_90, converted_stat * 2, IF(bbgm_stat &gt;= perc_85, converted_stat * 1.5, converted_stat)))))</f>
        <v/>
      </c>
      <c r="W52" s="30" t="str">
        <f t="array" ref="W52">IF($A52="", "", LET(bbgm_stat, INDEX(Players!$A51:$P51, MATCH(W$2, Players!$A$1:$P$1, 0)), perc_75, VLOOKUP(W$2, Percentiles!$A$45:$I$59, 6, FALSE), perc_90, VLOOKUP(W$2, Percentiles!$A$45:$I$59, 7, FALSE), perc_95, VLOOKUP(W$2, Percentiles!$A$45:$I$59, 8, FALSE), perc_85, perc_75 + (perc_90 - perc_75) * (2/3), converted_stat, '2K_Ratings'!W52, IF(bbgm_stat &gt;= perc_95, converted_stat * 3, IF(bbgm_stat &gt;= perc_90, converted_stat * 2, IF(bbgm_stat &gt;= perc_85, converted_stat * 1.5, converted_stat)))))</f>
        <v/>
      </c>
    </row>
    <row r="53">
      <c r="A53" s="30" t="str">
        <f>IF(Players!A52="", "", Players!A52)</f>
        <v/>
      </c>
      <c r="B53" s="30" t="str">
        <f t="array" ref="B53">IF($A53="", "", LET(bbgm_stat, INDEX(Players!$A52:$P52, MATCH(B$2, Players!$A$1:$P$1, 0)), perc_75, VLOOKUP(B$2, Percentiles!$A$45:$I$59, 6, FALSE), perc_90, VLOOKUP(B$2, Percentiles!$A$45:$I$59, 7, FALSE), perc_95, VLOOKUP(B$2, Percentiles!$A$45:$I$59, 8, FALSE), perc_85, perc_75 + (perc_90 - perc_75) * (2/3), converted_stat, '2K_Ratings'!B53, IF(bbgm_stat &gt;= perc_95, converted_stat * 3, IF(bbgm_stat &gt;= perc_90, converted_stat * 2, IF(bbgm_stat &gt;= perc_85, converted_stat * 1.5, converted_stat)))))</f>
        <v/>
      </c>
      <c r="C53" s="30" t="str">
        <f t="array" ref="C53">IF($A53="", "", LET(bbgm_stat, INDEX(Players!$A52:$P52, MATCH(C$2, Players!$A$1:$P$1, 0)), perc_75, VLOOKUP(C$2, Percentiles!$A$45:$I$59, 6, FALSE), perc_90, VLOOKUP(C$2, Percentiles!$A$45:$I$59, 7, FALSE), perc_95, VLOOKUP(C$2, Percentiles!$A$45:$I$59, 8, FALSE), perc_85, perc_75 + (perc_90 - perc_75) * (2/3), converted_stat, '2K_Ratings'!C53, IF(bbgm_stat &gt;= perc_95, converted_stat * 3, IF(bbgm_stat &gt;= perc_90, converted_stat * 2, IF(bbgm_stat &gt;= perc_85, converted_stat * 1.5, converted_stat)))))</f>
        <v/>
      </c>
      <c r="D53" s="30" t="str">
        <f t="array" ref="D53">IF($A53="", "", LET(bbgm_stat, INDEX(Players!$A52:$P52, MATCH(D$2, Players!$A$1:$P$1, 0)), perc_75, VLOOKUP(D$2, Percentiles!$A$45:$I$59, 6, FALSE), perc_90, VLOOKUP(D$2, Percentiles!$A$45:$I$59, 7, FALSE), perc_95, VLOOKUP(D$2, Percentiles!$A$45:$I$59, 8, FALSE), perc_85, perc_75 + (perc_90 - perc_75) * (2/3), converted_stat, '2K_Ratings'!D53, IF(bbgm_stat &gt;= perc_95, converted_stat * 3, IF(bbgm_stat &gt;= perc_90, converted_stat * 2, IF(bbgm_stat &gt;= perc_85, converted_stat * 1.5, converted_stat)))))</f>
        <v/>
      </c>
      <c r="E53" s="30" t="str">
        <f t="array" ref="E53">IF($A53="", "", LET(bbgm_stat, INDEX(Players!$A52:$P52, MATCH(E$2, Players!$A$1:$P$1, 0)), perc_75, VLOOKUP(E$2, Percentiles!$A$45:$I$59, 6, FALSE), perc_90, VLOOKUP(E$2, Percentiles!$A$45:$I$59, 7, FALSE), perc_95, VLOOKUP(E$2, Percentiles!$A$45:$I$59, 8, FALSE), perc_85, perc_75 + (perc_90 - perc_75) * (2/3), converted_stat, '2K_Ratings'!E53, IF(bbgm_stat &gt;= perc_95, converted_stat * 3, IF(bbgm_stat &gt;= perc_90, converted_stat * 2, IF(bbgm_stat &gt;= perc_85, converted_stat * 1.5, converted_stat)))))</f>
        <v/>
      </c>
      <c r="F53" s="30" t="str">
        <f t="array" ref="F53">IF($A53="", "", LET(bbgm_stat, INDEX(Players!$A52:$P52, MATCH(F$2, Players!$A$1:$P$1, 0)), perc_75, VLOOKUP(F$2, Percentiles!$A$45:$I$59, 6, FALSE), perc_90, VLOOKUP(F$2, Percentiles!$A$45:$I$59, 7, FALSE), perc_95, VLOOKUP(F$2, Percentiles!$A$45:$I$59, 8, FALSE), perc_85, perc_75 + (perc_90 - perc_75) * (2/3), converted_stat, '2K_Ratings'!F53, IF(bbgm_stat &gt;= perc_95, converted_stat * 3, IF(bbgm_stat &gt;= perc_90, converted_stat * 2, IF(bbgm_stat &gt;= perc_85, converted_stat * 1.5, converted_stat)))))</f>
        <v/>
      </c>
      <c r="G53" s="30" t="str">
        <f t="array" ref="G53">IF($A53="", "", LET(bbgm_stat, INDEX(Players!$A52:$P52, MATCH(G$2, Players!$A$1:$P$1, 0)), perc_75, VLOOKUP(G$2, Percentiles!$A$45:$I$59, 6, FALSE), perc_90, VLOOKUP(G$2, Percentiles!$A$45:$I$59, 7, FALSE), perc_95, VLOOKUP(G$2, Percentiles!$A$45:$I$59, 8, FALSE), perc_85, perc_75 + (perc_90 - perc_75) * (2/3), converted_stat, '2K_Ratings'!G53, IF(bbgm_stat &gt;= perc_95, converted_stat * 3, IF(bbgm_stat &gt;= perc_90, converted_stat * 2, IF(bbgm_stat &gt;= perc_85, converted_stat * 1.5, converted_stat)))))</f>
        <v/>
      </c>
      <c r="H53" s="30" t="str">
        <f t="array" ref="H53">IF($A53="", "", LET(bbgm_stat, INDEX(Players!$A52:$P52, MATCH(H$2, Players!$A$1:$P$1, 0)), perc_75, VLOOKUP(H$2, Percentiles!$A$45:$I$59, 6, FALSE), perc_90, VLOOKUP(H$2, Percentiles!$A$45:$I$59, 7, FALSE), perc_95, VLOOKUP(H$2, Percentiles!$A$45:$I$59, 8, FALSE), perc_85, perc_75 + (perc_90 - perc_75) * (2/3), converted_stat, '2K_Ratings'!H53, IF(bbgm_stat &gt;= perc_95, converted_stat * 3, IF(bbgm_stat &gt;= perc_90, converted_stat * 2, IF(bbgm_stat &gt;= perc_85, converted_stat * 1.5, converted_stat)))))</f>
        <v/>
      </c>
      <c r="I53" s="30" t="str">
        <f t="array" ref="I53">IF($A53="", "", LET(bbgm_stat, INDEX(Players!$A52:$P52, MATCH(I$2, Players!$A$1:$P$1, 0)), perc_75, VLOOKUP(I$2, Percentiles!$A$45:$I$59, 6, FALSE), perc_90, VLOOKUP(I$2, Percentiles!$A$45:$I$59, 7, FALSE), perc_95, VLOOKUP(I$2, Percentiles!$A$45:$I$59, 8, FALSE), perc_85, perc_75 + (perc_90 - perc_75) * (2/3), converted_stat, '2K_Ratings'!I53, IF(bbgm_stat &gt;= perc_95, converted_stat * 3, IF(bbgm_stat &gt;= perc_90, converted_stat * 2, IF(bbgm_stat &gt;= perc_85, converted_stat * 1.5, converted_stat)))))</f>
        <v/>
      </c>
      <c r="J53" s="30" t="str">
        <f t="array" ref="J53">IF($A53="", "", LET(bbgm_stat, INDEX(Players!$A52:$P52, MATCH(J$2, Players!$A$1:$P$1, 0)), perc_75, VLOOKUP(J$2, Percentiles!$A$45:$I$59, 6, FALSE), perc_90, VLOOKUP(J$2, Percentiles!$A$45:$I$59, 7, FALSE), perc_95, VLOOKUP(J$2, Percentiles!$A$45:$I$59, 8, FALSE), perc_85, perc_75 + (perc_90 - perc_75) * (2/3), converted_stat, '2K_Ratings'!J53, IF(bbgm_stat &gt;= perc_95, converted_stat * 3, IF(bbgm_stat &gt;= perc_90, converted_stat * 2, IF(bbgm_stat &gt;= perc_85, converted_stat * 1.5, converted_stat)))))</f>
        <v/>
      </c>
      <c r="K53" s="30" t="str">
        <f t="array" ref="K53">IF($A53="", "", LET(bbgm_stat, INDEX(Players!$A52:$P52, MATCH(K$2, Players!$A$1:$P$1, 0)), perc_75, VLOOKUP(K$2, Percentiles!$A$45:$I$59, 6, FALSE), perc_90, VLOOKUP(K$2, Percentiles!$A$45:$I$59, 7, FALSE), perc_95, VLOOKUP(K$2, Percentiles!$A$45:$I$59, 8, FALSE), perc_85, perc_75 + (perc_90 - perc_75) * (2/3), converted_stat, '2K_Ratings'!K53, IF(bbgm_stat &gt;= perc_95, converted_stat * 3, IF(bbgm_stat &gt;= perc_90, converted_stat * 2, IF(bbgm_stat &gt;= perc_85, converted_stat * 1.5, converted_stat)))))</f>
        <v/>
      </c>
      <c r="L53" s="30" t="str">
        <f t="array" ref="L53">IF($A53="", "", LET(bbgm_stat, INDEX(Players!$A52:$P52, MATCH(L$2, Players!$A$1:$P$1, 0)), perc_75, VLOOKUP(L$2, Percentiles!$A$45:$I$59, 6, FALSE), perc_90, VLOOKUP(L$2, Percentiles!$A$45:$I$59, 7, FALSE), perc_95, VLOOKUP(L$2, Percentiles!$A$45:$I$59, 8, FALSE), perc_85, perc_75 + (perc_90 - perc_75) * (2/3), converted_stat, '2K_Ratings'!L53, IF(bbgm_stat &gt;= perc_95, converted_stat * 3, IF(bbgm_stat &gt;= perc_90, converted_stat * 2, IF(bbgm_stat &gt;= perc_85, converted_stat * 1.5, converted_stat)))))</f>
        <v/>
      </c>
      <c r="M53" s="30" t="str">
        <f t="array" ref="M53">IF($A53="", "", LET(bbgm_stat, INDEX(Players!$A52:$P52, MATCH(M$2, Players!$A$1:$P$1, 0)), perc_75, VLOOKUP(M$2, Percentiles!$A$45:$I$59, 6, FALSE), perc_90, VLOOKUP(M$2, Percentiles!$A$45:$I$59, 7, FALSE), perc_95, VLOOKUP(M$2, Percentiles!$A$45:$I$59, 8, FALSE), perc_85, perc_75 + (perc_90 - perc_75) * (2/3), converted_stat, '2K_Ratings'!M53, IF(bbgm_stat &gt;= perc_95, converted_stat * 3, IF(bbgm_stat &gt;= perc_90, converted_stat * 2, IF(bbgm_stat &gt;= perc_85, converted_stat * 1.5, converted_stat)))))</f>
        <v/>
      </c>
      <c r="N53" s="30" t="str">
        <f t="array" ref="N53">IF($A53="", "", LET(bbgm_stat, INDEX(Players!$A52:$P52, MATCH(N$2, Players!$A$1:$P$1, 0)), perc_75, VLOOKUP(N$2, Percentiles!$A$45:$I$59, 6, FALSE), perc_90, VLOOKUP(N$2, Percentiles!$A$45:$I$59, 7, FALSE), perc_95, VLOOKUP(N$2, Percentiles!$A$45:$I$59, 8, FALSE), perc_85, perc_75 + (perc_90 - perc_75) * (2/3), converted_stat, '2K_Ratings'!N53, IF(bbgm_stat &gt;= perc_95, converted_stat * 3, IF(bbgm_stat &gt;= perc_90, converted_stat * 2, IF(bbgm_stat &gt;= perc_85, converted_stat * 1.5, converted_stat)))))</f>
        <v/>
      </c>
      <c r="O53" s="30" t="str">
        <f t="array" ref="O53">IF($A53="", "", LET(bbgm_stat, INDEX(Players!$A52:$P52, MATCH(O$2, Players!$A$1:$P$1, 0)), perc_75, VLOOKUP(O$2, Percentiles!$A$45:$I$59, 6, FALSE), perc_90, VLOOKUP(O$2, Percentiles!$A$45:$I$59, 7, FALSE), perc_95, VLOOKUP(O$2, Percentiles!$A$45:$I$59, 8, FALSE), perc_85, perc_75 + (perc_90 - perc_75) * (2/3), converted_stat, '2K_Ratings'!O53, IF(bbgm_stat &gt;= perc_95, converted_stat * 3, IF(bbgm_stat &gt;= perc_90, converted_stat * 2, IF(bbgm_stat &gt;= perc_85, converted_stat * 1.5, converted_stat)))))</f>
        <v/>
      </c>
      <c r="P53" s="30" t="str">
        <f t="array" ref="P53">IF($A53="", "", LET(bbgm_stat, INDEX(Players!$A52:$P52, MATCH(P$2, Players!$A$1:$P$1, 0)), perc_75, VLOOKUP(P$2, Percentiles!$A$45:$I$59, 6, FALSE), perc_90, VLOOKUP(P$2, Percentiles!$A$45:$I$59, 7, FALSE), perc_95, VLOOKUP(P$2, Percentiles!$A$45:$I$59, 8, FALSE), perc_85, perc_75 + (perc_90 - perc_75) * (2/3), converted_stat, '2K_Ratings'!P53, IF(bbgm_stat &gt;= perc_95, converted_stat * 3, IF(bbgm_stat &gt;= perc_90, converted_stat * 2, IF(bbgm_stat &gt;= perc_85, converted_stat * 1.5, converted_stat)))))</f>
        <v/>
      </c>
      <c r="Q53" s="30" t="str">
        <f t="array" ref="Q53">IF($A53="", "", LET(bbgm_stat, INDEX(Players!$A52:$P52, MATCH(Q$2, Players!$A$1:$P$1, 0)), perc_75, VLOOKUP(Q$2, Percentiles!$A$45:$I$59, 6, FALSE), perc_90, VLOOKUP(Q$2, Percentiles!$A$45:$I$59, 7, FALSE), perc_95, VLOOKUP(Q$2, Percentiles!$A$45:$I$59, 8, FALSE), perc_85, perc_75 + (perc_90 - perc_75) * (2/3), converted_stat, '2K_Ratings'!Q53, IF(bbgm_stat &gt;= perc_95, converted_stat * 3, IF(bbgm_stat &gt;= perc_90, converted_stat * 2, IF(bbgm_stat &gt;= perc_85, converted_stat * 1.5, converted_stat)))))</f>
        <v/>
      </c>
      <c r="R53" s="30" t="str">
        <f t="array" ref="R53">IF($A53="", "", LET(bbgm_stat, INDEX(Players!$A52:$P52, MATCH(R$2, Players!$A$1:$P$1, 0)), perc_75, VLOOKUP(R$2, Percentiles!$A$45:$I$59, 6, FALSE), perc_90, VLOOKUP(R$2, Percentiles!$A$45:$I$59, 7, FALSE), perc_95, VLOOKUP(R$2, Percentiles!$A$45:$I$59, 8, FALSE), perc_85, perc_75 + (perc_90 - perc_75) * (2/3), converted_stat, '2K_Ratings'!R53, IF(bbgm_stat &gt;= perc_95, converted_stat * 3, IF(bbgm_stat &gt;= perc_90, converted_stat * 2, IF(bbgm_stat &gt;= perc_85, converted_stat * 1.5, converted_stat)))))</f>
        <v/>
      </c>
      <c r="S53" s="30" t="str">
        <f t="array" ref="S53">IF($A53="", "", LET(bbgm_stat, INDEX(Players!$A52:$P52, MATCH(S$2, Players!$A$1:$P$1, 0)), perc_75, VLOOKUP(S$2, Percentiles!$A$45:$I$59, 6, FALSE), perc_90, VLOOKUP(S$2, Percentiles!$A$45:$I$59, 7, FALSE), perc_95, VLOOKUP(S$2, Percentiles!$A$45:$I$59, 8, FALSE), perc_85, perc_75 + (perc_90 - perc_75) * (2/3), converted_stat, '2K_Ratings'!S53, IF(bbgm_stat &gt;= perc_95, converted_stat * 3, IF(bbgm_stat &gt;= perc_90, converted_stat * 2, IF(bbgm_stat &gt;= perc_85, converted_stat * 1.5, converted_stat)))))</f>
        <v/>
      </c>
      <c r="T53" s="30" t="str">
        <f t="array" ref="T53">IF($A53="", "", LET(bbgm_stat, INDEX(Players!$A52:$P52, MATCH(T$2, Players!$A$1:$P$1, 0)), perc_75, VLOOKUP(T$2, Percentiles!$A$45:$I$59, 6, FALSE), perc_90, VLOOKUP(T$2, Percentiles!$A$45:$I$59, 7, FALSE), perc_95, VLOOKUP(T$2, Percentiles!$A$45:$I$59, 8, FALSE), perc_85, perc_75 + (perc_90 - perc_75) * (2/3), converted_stat, '2K_Ratings'!T53, IF(bbgm_stat &gt;= perc_95, converted_stat * 3, IF(bbgm_stat &gt;= perc_90, converted_stat * 2, IF(bbgm_stat &gt;= perc_85, converted_stat * 1.5, converted_stat)))))</f>
        <v/>
      </c>
      <c r="U53" s="30" t="str">
        <f t="array" ref="U53">IF($A53="", "", LET(bbgm_stat, INDEX(Players!$A52:$P52, MATCH(U$2, Players!$A$1:$P$1, 0)), perc_75, VLOOKUP(U$2, Percentiles!$A$45:$I$59, 6, FALSE), perc_90, VLOOKUP(U$2, Percentiles!$A$45:$I$59, 7, FALSE), perc_95, VLOOKUP(U$2, Percentiles!$A$45:$I$59, 8, FALSE), perc_85, perc_75 + (perc_90 - perc_75) * (2/3), converted_stat, '2K_Ratings'!U53, IF(bbgm_stat &gt;= perc_95, converted_stat * 3, IF(bbgm_stat &gt;= perc_90, converted_stat * 2, IF(bbgm_stat &gt;= perc_85, converted_stat * 1.5, converted_stat)))))</f>
        <v/>
      </c>
      <c r="V53" s="30" t="str">
        <f t="array" ref="V53">IF($A53="", "", LET(bbgm_stat, INDEX(Players!$A52:$P52, MATCH(V$2, Players!$A$1:$P$1, 0)), perc_75, VLOOKUP(V$2, Percentiles!$A$45:$I$59, 6, FALSE), perc_90, VLOOKUP(V$2, Percentiles!$A$45:$I$59, 7, FALSE), perc_95, VLOOKUP(V$2, Percentiles!$A$45:$I$59, 8, FALSE), perc_85, perc_75 + (perc_90 - perc_75) * (2/3), converted_stat, '2K_Ratings'!V53, IF(bbgm_stat &gt;= perc_95, converted_stat * 3, IF(bbgm_stat &gt;= perc_90, converted_stat * 2, IF(bbgm_stat &gt;= perc_85, converted_stat * 1.5, converted_stat)))))</f>
        <v/>
      </c>
      <c r="W53" s="30" t="str">
        <f t="array" ref="W53">IF($A53="", "", LET(bbgm_stat, INDEX(Players!$A52:$P52, MATCH(W$2, Players!$A$1:$P$1, 0)), perc_75, VLOOKUP(W$2, Percentiles!$A$45:$I$59, 6, FALSE), perc_90, VLOOKUP(W$2, Percentiles!$A$45:$I$59, 7, FALSE), perc_95, VLOOKUP(W$2, Percentiles!$A$45:$I$59, 8, FALSE), perc_85, perc_75 + (perc_90 - perc_75) * (2/3), converted_stat, '2K_Ratings'!W53, IF(bbgm_stat &gt;= perc_95, converted_stat * 3, IF(bbgm_stat &gt;= perc_90, converted_stat * 2, IF(bbgm_stat &gt;= perc_85, converted_stat * 1.5, converted_stat)))))</f>
        <v/>
      </c>
    </row>
    <row r="54">
      <c r="A54" s="30" t="str">
        <f>IF(Players!A53="", "", Players!A53)</f>
        <v/>
      </c>
      <c r="B54" s="30" t="str">
        <f t="array" ref="B54">IF($A54="", "", LET(bbgm_stat, INDEX(Players!$A53:$P53, MATCH(B$2, Players!$A$1:$P$1, 0)), perc_75, VLOOKUP(B$2, Percentiles!$A$45:$I$59, 6, FALSE), perc_90, VLOOKUP(B$2, Percentiles!$A$45:$I$59, 7, FALSE), perc_95, VLOOKUP(B$2, Percentiles!$A$45:$I$59, 8, FALSE), perc_85, perc_75 + (perc_90 - perc_75) * (2/3), converted_stat, '2K_Ratings'!B54, IF(bbgm_stat &gt;= perc_95, converted_stat * 3, IF(bbgm_stat &gt;= perc_90, converted_stat * 2, IF(bbgm_stat &gt;= perc_85, converted_stat * 1.5, converted_stat)))))</f>
        <v/>
      </c>
      <c r="C54" s="30" t="str">
        <f t="array" ref="C54">IF($A54="", "", LET(bbgm_stat, INDEX(Players!$A53:$P53, MATCH(C$2, Players!$A$1:$P$1, 0)), perc_75, VLOOKUP(C$2, Percentiles!$A$45:$I$59, 6, FALSE), perc_90, VLOOKUP(C$2, Percentiles!$A$45:$I$59, 7, FALSE), perc_95, VLOOKUP(C$2, Percentiles!$A$45:$I$59, 8, FALSE), perc_85, perc_75 + (perc_90 - perc_75) * (2/3), converted_stat, '2K_Ratings'!C54, IF(bbgm_stat &gt;= perc_95, converted_stat * 3, IF(bbgm_stat &gt;= perc_90, converted_stat * 2, IF(bbgm_stat &gt;= perc_85, converted_stat * 1.5, converted_stat)))))</f>
        <v/>
      </c>
      <c r="D54" s="30" t="str">
        <f t="array" ref="D54">IF($A54="", "", LET(bbgm_stat, INDEX(Players!$A53:$P53, MATCH(D$2, Players!$A$1:$P$1, 0)), perc_75, VLOOKUP(D$2, Percentiles!$A$45:$I$59, 6, FALSE), perc_90, VLOOKUP(D$2, Percentiles!$A$45:$I$59, 7, FALSE), perc_95, VLOOKUP(D$2, Percentiles!$A$45:$I$59, 8, FALSE), perc_85, perc_75 + (perc_90 - perc_75) * (2/3), converted_stat, '2K_Ratings'!D54, IF(bbgm_stat &gt;= perc_95, converted_stat * 3, IF(bbgm_stat &gt;= perc_90, converted_stat * 2, IF(bbgm_stat &gt;= perc_85, converted_stat * 1.5, converted_stat)))))</f>
        <v/>
      </c>
      <c r="E54" s="30" t="str">
        <f t="array" ref="E54">IF($A54="", "", LET(bbgm_stat, INDEX(Players!$A53:$P53, MATCH(E$2, Players!$A$1:$P$1, 0)), perc_75, VLOOKUP(E$2, Percentiles!$A$45:$I$59, 6, FALSE), perc_90, VLOOKUP(E$2, Percentiles!$A$45:$I$59, 7, FALSE), perc_95, VLOOKUP(E$2, Percentiles!$A$45:$I$59, 8, FALSE), perc_85, perc_75 + (perc_90 - perc_75) * (2/3), converted_stat, '2K_Ratings'!E54, IF(bbgm_stat &gt;= perc_95, converted_stat * 3, IF(bbgm_stat &gt;= perc_90, converted_stat * 2, IF(bbgm_stat &gt;= perc_85, converted_stat * 1.5, converted_stat)))))</f>
        <v/>
      </c>
      <c r="F54" s="30" t="str">
        <f t="array" ref="F54">IF($A54="", "", LET(bbgm_stat, INDEX(Players!$A53:$P53, MATCH(F$2, Players!$A$1:$P$1, 0)), perc_75, VLOOKUP(F$2, Percentiles!$A$45:$I$59, 6, FALSE), perc_90, VLOOKUP(F$2, Percentiles!$A$45:$I$59, 7, FALSE), perc_95, VLOOKUP(F$2, Percentiles!$A$45:$I$59, 8, FALSE), perc_85, perc_75 + (perc_90 - perc_75) * (2/3), converted_stat, '2K_Ratings'!F54, IF(bbgm_stat &gt;= perc_95, converted_stat * 3, IF(bbgm_stat &gt;= perc_90, converted_stat * 2, IF(bbgm_stat &gt;= perc_85, converted_stat * 1.5, converted_stat)))))</f>
        <v/>
      </c>
      <c r="G54" s="30" t="str">
        <f t="array" ref="G54">IF($A54="", "", LET(bbgm_stat, INDEX(Players!$A53:$P53, MATCH(G$2, Players!$A$1:$P$1, 0)), perc_75, VLOOKUP(G$2, Percentiles!$A$45:$I$59, 6, FALSE), perc_90, VLOOKUP(G$2, Percentiles!$A$45:$I$59, 7, FALSE), perc_95, VLOOKUP(G$2, Percentiles!$A$45:$I$59, 8, FALSE), perc_85, perc_75 + (perc_90 - perc_75) * (2/3), converted_stat, '2K_Ratings'!G54, IF(bbgm_stat &gt;= perc_95, converted_stat * 3, IF(bbgm_stat &gt;= perc_90, converted_stat * 2, IF(bbgm_stat &gt;= perc_85, converted_stat * 1.5, converted_stat)))))</f>
        <v/>
      </c>
      <c r="H54" s="30" t="str">
        <f t="array" ref="H54">IF($A54="", "", LET(bbgm_stat, INDEX(Players!$A53:$P53, MATCH(H$2, Players!$A$1:$P$1, 0)), perc_75, VLOOKUP(H$2, Percentiles!$A$45:$I$59, 6, FALSE), perc_90, VLOOKUP(H$2, Percentiles!$A$45:$I$59, 7, FALSE), perc_95, VLOOKUP(H$2, Percentiles!$A$45:$I$59, 8, FALSE), perc_85, perc_75 + (perc_90 - perc_75) * (2/3), converted_stat, '2K_Ratings'!H54, IF(bbgm_stat &gt;= perc_95, converted_stat * 3, IF(bbgm_stat &gt;= perc_90, converted_stat * 2, IF(bbgm_stat &gt;= perc_85, converted_stat * 1.5, converted_stat)))))</f>
        <v/>
      </c>
      <c r="I54" s="30" t="str">
        <f t="array" ref="I54">IF($A54="", "", LET(bbgm_stat, INDEX(Players!$A53:$P53, MATCH(I$2, Players!$A$1:$P$1, 0)), perc_75, VLOOKUP(I$2, Percentiles!$A$45:$I$59, 6, FALSE), perc_90, VLOOKUP(I$2, Percentiles!$A$45:$I$59, 7, FALSE), perc_95, VLOOKUP(I$2, Percentiles!$A$45:$I$59, 8, FALSE), perc_85, perc_75 + (perc_90 - perc_75) * (2/3), converted_stat, '2K_Ratings'!I54, IF(bbgm_stat &gt;= perc_95, converted_stat * 3, IF(bbgm_stat &gt;= perc_90, converted_stat * 2, IF(bbgm_stat &gt;= perc_85, converted_stat * 1.5, converted_stat)))))</f>
        <v/>
      </c>
      <c r="J54" s="30" t="str">
        <f t="array" ref="J54">IF($A54="", "", LET(bbgm_stat, INDEX(Players!$A53:$P53, MATCH(J$2, Players!$A$1:$P$1, 0)), perc_75, VLOOKUP(J$2, Percentiles!$A$45:$I$59, 6, FALSE), perc_90, VLOOKUP(J$2, Percentiles!$A$45:$I$59, 7, FALSE), perc_95, VLOOKUP(J$2, Percentiles!$A$45:$I$59, 8, FALSE), perc_85, perc_75 + (perc_90 - perc_75) * (2/3), converted_stat, '2K_Ratings'!J54, IF(bbgm_stat &gt;= perc_95, converted_stat * 3, IF(bbgm_stat &gt;= perc_90, converted_stat * 2, IF(bbgm_stat &gt;= perc_85, converted_stat * 1.5, converted_stat)))))</f>
        <v/>
      </c>
      <c r="K54" s="30" t="str">
        <f t="array" ref="K54">IF($A54="", "", LET(bbgm_stat, INDEX(Players!$A53:$P53, MATCH(K$2, Players!$A$1:$P$1, 0)), perc_75, VLOOKUP(K$2, Percentiles!$A$45:$I$59, 6, FALSE), perc_90, VLOOKUP(K$2, Percentiles!$A$45:$I$59, 7, FALSE), perc_95, VLOOKUP(K$2, Percentiles!$A$45:$I$59, 8, FALSE), perc_85, perc_75 + (perc_90 - perc_75) * (2/3), converted_stat, '2K_Ratings'!K54, IF(bbgm_stat &gt;= perc_95, converted_stat * 3, IF(bbgm_stat &gt;= perc_90, converted_stat * 2, IF(bbgm_stat &gt;= perc_85, converted_stat * 1.5, converted_stat)))))</f>
        <v/>
      </c>
      <c r="L54" s="30" t="str">
        <f t="array" ref="L54">IF($A54="", "", LET(bbgm_stat, INDEX(Players!$A53:$P53, MATCH(L$2, Players!$A$1:$P$1, 0)), perc_75, VLOOKUP(L$2, Percentiles!$A$45:$I$59, 6, FALSE), perc_90, VLOOKUP(L$2, Percentiles!$A$45:$I$59, 7, FALSE), perc_95, VLOOKUP(L$2, Percentiles!$A$45:$I$59, 8, FALSE), perc_85, perc_75 + (perc_90 - perc_75) * (2/3), converted_stat, '2K_Ratings'!L54, IF(bbgm_stat &gt;= perc_95, converted_stat * 3, IF(bbgm_stat &gt;= perc_90, converted_stat * 2, IF(bbgm_stat &gt;= perc_85, converted_stat * 1.5, converted_stat)))))</f>
        <v/>
      </c>
      <c r="M54" s="30" t="str">
        <f t="array" ref="M54">IF($A54="", "", LET(bbgm_stat, INDEX(Players!$A53:$P53, MATCH(M$2, Players!$A$1:$P$1, 0)), perc_75, VLOOKUP(M$2, Percentiles!$A$45:$I$59, 6, FALSE), perc_90, VLOOKUP(M$2, Percentiles!$A$45:$I$59, 7, FALSE), perc_95, VLOOKUP(M$2, Percentiles!$A$45:$I$59, 8, FALSE), perc_85, perc_75 + (perc_90 - perc_75) * (2/3), converted_stat, '2K_Ratings'!M54, IF(bbgm_stat &gt;= perc_95, converted_stat * 3, IF(bbgm_stat &gt;= perc_90, converted_stat * 2, IF(bbgm_stat &gt;= perc_85, converted_stat * 1.5, converted_stat)))))</f>
        <v/>
      </c>
      <c r="N54" s="30" t="str">
        <f t="array" ref="N54">IF($A54="", "", LET(bbgm_stat, INDEX(Players!$A53:$P53, MATCH(N$2, Players!$A$1:$P$1, 0)), perc_75, VLOOKUP(N$2, Percentiles!$A$45:$I$59, 6, FALSE), perc_90, VLOOKUP(N$2, Percentiles!$A$45:$I$59, 7, FALSE), perc_95, VLOOKUP(N$2, Percentiles!$A$45:$I$59, 8, FALSE), perc_85, perc_75 + (perc_90 - perc_75) * (2/3), converted_stat, '2K_Ratings'!N54, IF(bbgm_stat &gt;= perc_95, converted_stat * 3, IF(bbgm_stat &gt;= perc_90, converted_stat * 2, IF(bbgm_stat &gt;= perc_85, converted_stat * 1.5, converted_stat)))))</f>
        <v/>
      </c>
      <c r="O54" s="30" t="str">
        <f t="array" ref="O54">IF($A54="", "", LET(bbgm_stat, INDEX(Players!$A53:$P53, MATCH(O$2, Players!$A$1:$P$1, 0)), perc_75, VLOOKUP(O$2, Percentiles!$A$45:$I$59, 6, FALSE), perc_90, VLOOKUP(O$2, Percentiles!$A$45:$I$59, 7, FALSE), perc_95, VLOOKUP(O$2, Percentiles!$A$45:$I$59, 8, FALSE), perc_85, perc_75 + (perc_90 - perc_75) * (2/3), converted_stat, '2K_Ratings'!O54, IF(bbgm_stat &gt;= perc_95, converted_stat * 3, IF(bbgm_stat &gt;= perc_90, converted_stat * 2, IF(bbgm_stat &gt;= perc_85, converted_stat * 1.5, converted_stat)))))</f>
        <v/>
      </c>
      <c r="P54" s="30" t="str">
        <f t="array" ref="P54">IF($A54="", "", LET(bbgm_stat, INDEX(Players!$A53:$P53, MATCH(P$2, Players!$A$1:$P$1, 0)), perc_75, VLOOKUP(P$2, Percentiles!$A$45:$I$59, 6, FALSE), perc_90, VLOOKUP(P$2, Percentiles!$A$45:$I$59, 7, FALSE), perc_95, VLOOKUP(P$2, Percentiles!$A$45:$I$59, 8, FALSE), perc_85, perc_75 + (perc_90 - perc_75) * (2/3), converted_stat, '2K_Ratings'!P54, IF(bbgm_stat &gt;= perc_95, converted_stat * 3, IF(bbgm_stat &gt;= perc_90, converted_stat * 2, IF(bbgm_stat &gt;= perc_85, converted_stat * 1.5, converted_stat)))))</f>
        <v/>
      </c>
      <c r="Q54" s="30" t="str">
        <f t="array" ref="Q54">IF($A54="", "", LET(bbgm_stat, INDEX(Players!$A53:$P53, MATCH(Q$2, Players!$A$1:$P$1, 0)), perc_75, VLOOKUP(Q$2, Percentiles!$A$45:$I$59, 6, FALSE), perc_90, VLOOKUP(Q$2, Percentiles!$A$45:$I$59, 7, FALSE), perc_95, VLOOKUP(Q$2, Percentiles!$A$45:$I$59, 8, FALSE), perc_85, perc_75 + (perc_90 - perc_75) * (2/3), converted_stat, '2K_Ratings'!Q54, IF(bbgm_stat &gt;= perc_95, converted_stat * 3, IF(bbgm_stat &gt;= perc_90, converted_stat * 2, IF(bbgm_stat &gt;= perc_85, converted_stat * 1.5, converted_stat)))))</f>
        <v/>
      </c>
      <c r="R54" s="30" t="str">
        <f t="array" ref="R54">IF($A54="", "", LET(bbgm_stat, INDEX(Players!$A53:$P53, MATCH(R$2, Players!$A$1:$P$1, 0)), perc_75, VLOOKUP(R$2, Percentiles!$A$45:$I$59, 6, FALSE), perc_90, VLOOKUP(R$2, Percentiles!$A$45:$I$59, 7, FALSE), perc_95, VLOOKUP(R$2, Percentiles!$A$45:$I$59, 8, FALSE), perc_85, perc_75 + (perc_90 - perc_75) * (2/3), converted_stat, '2K_Ratings'!R54, IF(bbgm_stat &gt;= perc_95, converted_stat * 3, IF(bbgm_stat &gt;= perc_90, converted_stat * 2, IF(bbgm_stat &gt;= perc_85, converted_stat * 1.5, converted_stat)))))</f>
        <v/>
      </c>
      <c r="S54" s="30" t="str">
        <f t="array" ref="S54">IF($A54="", "", LET(bbgm_stat, INDEX(Players!$A53:$P53, MATCH(S$2, Players!$A$1:$P$1, 0)), perc_75, VLOOKUP(S$2, Percentiles!$A$45:$I$59, 6, FALSE), perc_90, VLOOKUP(S$2, Percentiles!$A$45:$I$59, 7, FALSE), perc_95, VLOOKUP(S$2, Percentiles!$A$45:$I$59, 8, FALSE), perc_85, perc_75 + (perc_90 - perc_75) * (2/3), converted_stat, '2K_Ratings'!S54, IF(bbgm_stat &gt;= perc_95, converted_stat * 3, IF(bbgm_stat &gt;= perc_90, converted_stat * 2, IF(bbgm_stat &gt;= perc_85, converted_stat * 1.5, converted_stat)))))</f>
        <v/>
      </c>
      <c r="T54" s="30" t="str">
        <f t="array" ref="T54">IF($A54="", "", LET(bbgm_stat, INDEX(Players!$A53:$P53, MATCH(T$2, Players!$A$1:$P$1, 0)), perc_75, VLOOKUP(T$2, Percentiles!$A$45:$I$59, 6, FALSE), perc_90, VLOOKUP(T$2, Percentiles!$A$45:$I$59, 7, FALSE), perc_95, VLOOKUP(T$2, Percentiles!$A$45:$I$59, 8, FALSE), perc_85, perc_75 + (perc_90 - perc_75) * (2/3), converted_stat, '2K_Ratings'!T54, IF(bbgm_stat &gt;= perc_95, converted_stat * 3, IF(bbgm_stat &gt;= perc_90, converted_stat * 2, IF(bbgm_stat &gt;= perc_85, converted_stat * 1.5, converted_stat)))))</f>
        <v/>
      </c>
      <c r="U54" s="30" t="str">
        <f t="array" ref="U54">IF($A54="", "", LET(bbgm_stat, INDEX(Players!$A53:$P53, MATCH(U$2, Players!$A$1:$P$1, 0)), perc_75, VLOOKUP(U$2, Percentiles!$A$45:$I$59, 6, FALSE), perc_90, VLOOKUP(U$2, Percentiles!$A$45:$I$59, 7, FALSE), perc_95, VLOOKUP(U$2, Percentiles!$A$45:$I$59, 8, FALSE), perc_85, perc_75 + (perc_90 - perc_75) * (2/3), converted_stat, '2K_Ratings'!U54, IF(bbgm_stat &gt;= perc_95, converted_stat * 3, IF(bbgm_stat &gt;= perc_90, converted_stat * 2, IF(bbgm_stat &gt;= perc_85, converted_stat * 1.5, converted_stat)))))</f>
        <v/>
      </c>
      <c r="V54" s="30" t="str">
        <f t="array" ref="V54">IF($A54="", "", LET(bbgm_stat, INDEX(Players!$A53:$P53, MATCH(V$2, Players!$A$1:$P$1, 0)), perc_75, VLOOKUP(V$2, Percentiles!$A$45:$I$59, 6, FALSE), perc_90, VLOOKUP(V$2, Percentiles!$A$45:$I$59, 7, FALSE), perc_95, VLOOKUP(V$2, Percentiles!$A$45:$I$59, 8, FALSE), perc_85, perc_75 + (perc_90 - perc_75) * (2/3), converted_stat, '2K_Ratings'!V54, IF(bbgm_stat &gt;= perc_95, converted_stat * 3, IF(bbgm_stat &gt;= perc_90, converted_stat * 2, IF(bbgm_stat &gt;= perc_85, converted_stat * 1.5, converted_stat)))))</f>
        <v/>
      </c>
      <c r="W54" s="30" t="str">
        <f t="array" ref="W54">IF($A54="", "", LET(bbgm_stat, INDEX(Players!$A53:$P53, MATCH(W$2, Players!$A$1:$P$1, 0)), perc_75, VLOOKUP(W$2, Percentiles!$A$45:$I$59, 6, FALSE), perc_90, VLOOKUP(W$2, Percentiles!$A$45:$I$59, 7, FALSE), perc_95, VLOOKUP(W$2, Percentiles!$A$45:$I$59, 8, FALSE), perc_85, perc_75 + (perc_90 - perc_75) * (2/3), converted_stat, '2K_Ratings'!W54, IF(bbgm_stat &gt;= perc_95, converted_stat * 3, IF(bbgm_stat &gt;= perc_90, converted_stat * 2, IF(bbgm_stat &gt;= perc_85, converted_stat * 1.5, converted_stat)))))</f>
        <v/>
      </c>
    </row>
    <row r="55">
      <c r="A55" s="30" t="str">
        <f>IF(Players!A54="", "", Players!A54)</f>
        <v/>
      </c>
      <c r="B55" s="30" t="str">
        <f t="array" ref="B55">IF($A55="", "", LET(bbgm_stat, INDEX(Players!$A54:$P54, MATCH(B$2, Players!$A$1:$P$1, 0)), perc_75, VLOOKUP(B$2, Percentiles!$A$45:$I$59, 6, FALSE), perc_90, VLOOKUP(B$2, Percentiles!$A$45:$I$59, 7, FALSE), perc_95, VLOOKUP(B$2, Percentiles!$A$45:$I$59, 8, FALSE), perc_85, perc_75 + (perc_90 - perc_75) * (2/3), converted_stat, '2K_Ratings'!B55, IF(bbgm_stat &gt;= perc_95, converted_stat * 3, IF(bbgm_stat &gt;= perc_90, converted_stat * 2, IF(bbgm_stat &gt;= perc_85, converted_stat * 1.5, converted_stat)))))</f>
        <v/>
      </c>
      <c r="C55" s="30" t="str">
        <f t="array" ref="C55">IF($A55="", "", LET(bbgm_stat, INDEX(Players!$A54:$P54, MATCH(C$2, Players!$A$1:$P$1, 0)), perc_75, VLOOKUP(C$2, Percentiles!$A$45:$I$59, 6, FALSE), perc_90, VLOOKUP(C$2, Percentiles!$A$45:$I$59, 7, FALSE), perc_95, VLOOKUP(C$2, Percentiles!$A$45:$I$59, 8, FALSE), perc_85, perc_75 + (perc_90 - perc_75) * (2/3), converted_stat, '2K_Ratings'!C55, IF(bbgm_stat &gt;= perc_95, converted_stat * 3, IF(bbgm_stat &gt;= perc_90, converted_stat * 2, IF(bbgm_stat &gt;= perc_85, converted_stat * 1.5, converted_stat)))))</f>
        <v/>
      </c>
      <c r="D55" s="30" t="str">
        <f t="array" ref="D55">IF($A55="", "", LET(bbgm_stat, INDEX(Players!$A54:$P54, MATCH(D$2, Players!$A$1:$P$1, 0)), perc_75, VLOOKUP(D$2, Percentiles!$A$45:$I$59, 6, FALSE), perc_90, VLOOKUP(D$2, Percentiles!$A$45:$I$59, 7, FALSE), perc_95, VLOOKUP(D$2, Percentiles!$A$45:$I$59, 8, FALSE), perc_85, perc_75 + (perc_90 - perc_75) * (2/3), converted_stat, '2K_Ratings'!D55, IF(bbgm_stat &gt;= perc_95, converted_stat * 3, IF(bbgm_stat &gt;= perc_90, converted_stat * 2, IF(bbgm_stat &gt;= perc_85, converted_stat * 1.5, converted_stat)))))</f>
        <v/>
      </c>
      <c r="E55" s="30" t="str">
        <f t="array" ref="E55">IF($A55="", "", LET(bbgm_stat, INDEX(Players!$A54:$P54, MATCH(E$2, Players!$A$1:$P$1, 0)), perc_75, VLOOKUP(E$2, Percentiles!$A$45:$I$59, 6, FALSE), perc_90, VLOOKUP(E$2, Percentiles!$A$45:$I$59, 7, FALSE), perc_95, VLOOKUP(E$2, Percentiles!$A$45:$I$59, 8, FALSE), perc_85, perc_75 + (perc_90 - perc_75) * (2/3), converted_stat, '2K_Ratings'!E55, IF(bbgm_stat &gt;= perc_95, converted_stat * 3, IF(bbgm_stat &gt;= perc_90, converted_stat * 2, IF(bbgm_stat &gt;= perc_85, converted_stat * 1.5, converted_stat)))))</f>
        <v/>
      </c>
      <c r="F55" s="30" t="str">
        <f t="array" ref="F55">IF($A55="", "", LET(bbgm_stat, INDEX(Players!$A54:$P54, MATCH(F$2, Players!$A$1:$P$1, 0)), perc_75, VLOOKUP(F$2, Percentiles!$A$45:$I$59, 6, FALSE), perc_90, VLOOKUP(F$2, Percentiles!$A$45:$I$59, 7, FALSE), perc_95, VLOOKUP(F$2, Percentiles!$A$45:$I$59, 8, FALSE), perc_85, perc_75 + (perc_90 - perc_75) * (2/3), converted_stat, '2K_Ratings'!F55, IF(bbgm_stat &gt;= perc_95, converted_stat * 3, IF(bbgm_stat &gt;= perc_90, converted_stat * 2, IF(bbgm_stat &gt;= perc_85, converted_stat * 1.5, converted_stat)))))</f>
        <v/>
      </c>
      <c r="G55" s="30" t="str">
        <f t="array" ref="G55">IF($A55="", "", LET(bbgm_stat, INDEX(Players!$A54:$P54, MATCH(G$2, Players!$A$1:$P$1, 0)), perc_75, VLOOKUP(G$2, Percentiles!$A$45:$I$59, 6, FALSE), perc_90, VLOOKUP(G$2, Percentiles!$A$45:$I$59, 7, FALSE), perc_95, VLOOKUP(G$2, Percentiles!$A$45:$I$59, 8, FALSE), perc_85, perc_75 + (perc_90 - perc_75) * (2/3), converted_stat, '2K_Ratings'!G55, IF(bbgm_stat &gt;= perc_95, converted_stat * 3, IF(bbgm_stat &gt;= perc_90, converted_stat * 2, IF(bbgm_stat &gt;= perc_85, converted_stat * 1.5, converted_stat)))))</f>
        <v/>
      </c>
      <c r="H55" s="30" t="str">
        <f t="array" ref="H55">IF($A55="", "", LET(bbgm_stat, INDEX(Players!$A54:$P54, MATCH(H$2, Players!$A$1:$P$1, 0)), perc_75, VLOOKUP(H$2, Percentiles!$A$45:$I$59, 6, FALSE), perc_90, VLOOKUP(H$2, Percentiles!$A$45:$I$59, 7, FALSE), perc_95, VLOOKUP(H$2, Percentiles!$A$45:$I$59, 8, FALSE), perc_85, perc_75 + (perc_90 - perc_75) * (2/3), converted_stat, '2K_Ratings'!H55, IF(bbgm_stat &gt;= perc_95, converted_stat * 3, IF(bbgm_stat &gt;= perc_90, converted_stat * 2, IF(bbgm_stat &gt;= perc_85, converted_stat * 1.5, converted_stat)))))</f>
        <v/>
      </c>
      <c r="I55" s="30" t="str">
        <f t="array" ref="I55">IF($A55="", "", LET(bbgm_stat, INDEX(Players!$A54:$P54, MATCH(I$2, Players!$A$1:$P$1, 0)), perc_75, VLOOKUP(I$2, Percentiles!$A$45:$I$59, 6, FALSE), perc_90, VLOOKUP(I$2, Percentiles!$A$45:$I$59, 7, FALSE), perc_95, VLOOKUP(I$2, Percentiles!$A$45:$I$59, 8, FALSE), perc_85, perc_75 + (perc_90 - perc_75) * (2/3), converted_stat, '2K_Ratings'!I55, IF(bbgm_stat &gt;= perc_95, converted_stat * 3, IF(bbgm_stat &gt;= perc_90, converted_stat * 2, IF(bbgm_stat &gt;= perc_85, converted_stat * 1.5, converted_stat)))))</f>
        <v/>
      </c>
      <c r="J55" s="30" t="str">
        <f t="array" ref="J55">IF($A55="", "", LET(bbgm_stat, INDEX(Players!$A54:$P54, MATCH(J$2, Players!$A$1:$P$1, 0)), perc_75, VLOOKUP(J$2, Percentiles!$A$45:$I$59, 6, FALSE), perc_90, VLOOKUP(J$2, Percentiles!$A$45:$I$59, 7, FALSE), perc_95, VLOOKUP(J$2, Percentiles!$A$45:$I$59, 8, FALSE), perc_85, perc_75 + (perc_90 - perc_75) * (2/3), converted_stat, '2K_Ratings'!J55, IF(bbgm_stat &gt;= perc_95, converted_stat * 3, IF(bbgm_stat &gt;= perc_90, converted_stat * 2, IF(bbgm_stat &gt;= perc_85, converted_stat * 1.5, converted_stat)))))</f>
        <v/>
      </c>
      <c r="K55" s="30" t="str">
        <f t="array" ref="K55">IF($A55="", "", LET(bbgm_stat, INDEX(Players!$A54:$P54, MATCH(K$2, Players!$A$1:$P$1, 0)), perc_75, VLOOKUP(K$2, Percentiles!$A$45:$I$59, 6, FALSE), perc_90, VLOOKUP(K$2, Percentiles!$A$45:$I$59, 7, FALSE), perc_95, VLOOKUP(K$2, Percentiles!$A$45:$I$59, 8, FALSE), perc_85, perc_75 + (perc_90 - perc_75) * (2/3), converted_stat, '2K_Ratings'!K55, IF(bbgm_stat &gt;= perc_95, converted_stat * 3, IF(bbgm_stat &gt;= perc_90, converted_stat * 2, IF(bbgm_stat &gt;= perc_85, converted_stat * 1.5, converted_stat)))))</f>
        <v/>
      </c>
      <c r="L55" s="30" t="str">
        <f t="array" ref="L55">IF($A55="", "", LET(bbgm_stat, INDEX(Players!$A54:$P54, MATCH(L$2, Players!$A$1:$P$1, 0)), perc_75, VLOOKUP(L$2, Percentiles!$A$45:$I$59, 6, FALSE), perc_90, VLOOKUP(L$2, Percentiles!$A$45:$I$59, 7, FALSE), perc_95, VLOOKUP(L$2, Percentiles!$A$45:$I$59, 8, FALSE), perc_85, perc_75 + (perc_90 - perc_75) * (2/3), converted_stat, '2K_Ratings'!L55, IF(bbgm_stat &gt;= perc_95, converted_stat * 3, IF(bbgm_stat &gt;= perc_90, converted_stat * 2, IF(bbgm_stat &gt;= perc_85, converted_stat * 1.5, converted_stat)))))</f>
        <v/>
      </c>
      <c r="M55" s="30" t="str">
        <f t="array" ref="M55">IF($A55="", "", LET(bbgm_stat, INDEX(Players!$A54:$P54, MATCH(M$2, Players!$A$1:$P$1, 0)), perc_75, VLOOKUP(M$2, Percentiles!$A$45:$I$59, 6, FALSE), perc_90, VLOOKUP(M$2, Percentiles!$A$45:$I$59, 7, FALSE), perc_95, VLOOKUP(M$2, Percentiles!$A$45:$I$59, 8, FALSE), perc_85, perc_75 + (perc_90 - perc_75) * (2/3), converted_stat, '2K_Ratings'!M55, IF(bbgm_stat &gt;= perc_95, converted_stat * 3, IF(bbgm_stat &gt;= perc_90, converted_stat * 2, IF(bbgm_stat &gt;= perc_85, converted_stat * 1.5, converted_stat)))))</f>
        <v/>
      </c>
      <c r="N55" s="30" t="str">
        <f t="array" ref="N55">IF($A55="", "", LET(bbgm_stat, INDEX(Players!$A54:$P54, MATCH(N$2, Players!$A$1:$P$1, 0)), perc_75, VLOOKUP(N$2, Percentiles!$A$45:$I$59, 6, FALSE), perc_90, VLOOKUP(N$2, Percentiles!$A$45:$I$59, 7, FALSE), perc_95, VLOOKUP(N$2, Percentiles!$A$45:$I$59, 8, FALSE), perc_85, perc_75 + (perc_90 - perc_75) * (2/3), converted_stat, '2K_Ratings'!N55, IF(bbgm_stat &gt;= perc_95, converted_stat * 3, IF(bbgm_stat &gt;= perc_90, converted_stat * 2, IF(bbgm_stat &gt;= perc_85, converted_stat * 1.5, converted_stat)))))</f>
        <v/>
      </c>
      <c r="O55" s="30" t="str">
        <f t="array" ref="O55">IF($A55="", "", LET(bbgm_stat, INDEX(Players!$A54:$P54, MATCH(O$2, Players!$A$1:$P$1, 0)), perc_75, VLOOKUP(O$2, Percentiles!$A$45:$I$59, 6, FALSE), perc_90, VLOOKUP(O$2, Percentiles!$A$45:$I$59, 7, FALSE), perc_95, VLOOKUP(O$2, Percentiles!$A$45:$I$59, 8, FALSE), perc_85, perc_75 + (perc_90 - perc_75) * (2/3), converted_stat, '2K_Ratings'!O55, IF(bbgm_stat &gt;= perc_95, converted_stat * 3, IF(bbgm_stat &gt;= perc_90, converted_stat * 2, IF(bbgm_stat &gt;= perc_85, converted_stat * 1.5, converted_stat)))))</f>
        <v/>
      </c>
      <c r="P55" s="30" t="str">
        <f t="array" ref="P55">IF($A55="", "", LET(bbgm_stat, INDEX(Players!$A54:$P54, MATCH(P$2, Players!$A$1:$P$1, 0)), perc_75, VLOOKUP(P$2, Percentiles!$A$45:$I$59, 6, FALSE), perc_90, VLOOKUP(P$2, Percentiles!$A$45:$I$59, 7, FALSE), perc_95, VLOOKUP(P$2, Percentiles!$A$45:$I$59, 8, FALSE), perc_85, perc_75 + (perc_90 - perc_75) * (2/3), converted_stat, '2K_Ratings'!P55, IF(bbgm_stat &gt;= perc_95, converted_stat * 3, IF(bbgm_stat &gt;= perc_90, converted_stat * 2, IF(bbgm_stat &gt;= perc_85, converted_stat * 1.5, converted_stat)))))</f>
        <v/>
      </c>
      <c r="Q55" s="30" t="str">
        <f t="array" ref="Q55">IF($A55="", "", LET(bbgm_stat, INDEX(Players!$A54:$P54, MATCH(Q$2, Players!$A$1:$P$1, 0)), perc_75, VLOOKUP(Q$2, Percentiles!$A$45:$I$59, 6, FALSE), perc_90, VLOOKUP(Q$2, Percentiles!$A$45:$I$59, 7, FALSE), perc_95, VLOOKUP(Q$2, Percentiles!$A$45:$I$59, 8, FALSE), perc_85, perc_75 + (perc_90 - perc_75) * (2/3), converted_stat, '2K_Ratings'!Q55, IF(bbgm_stat &gt;= perc_95, converted_stat * 3, IF(bbgm_stat &gt;= perc_90, converted_stat * 2, IF(bbgm_stat &gt;= perc_85, converted_stat * 1.5, converted_stat)))))</f>
        <v/>
      </c>
      <c r="R55" s="30" t="str">
        <f t="array" ref="R55">IF($A55="", "", LET(bbgm_stat, INDEX(Players!$A54:$P54, MATCH(R$2, Players!$A$1:$P$1, 0)), perc_75, VLOOKUP(R$2, Percentiles!$A$45:$I$59, 6, FALSE), perc_90, VLOOKUP(R$2, Percentiles!$A$45:$I$59, 7, FALSE), perc_95, VLOOKUP(R$2, Percentiles!$A$45:$I$59, 8, FALSE), perc_85, perc_75 + (perc_90 - perc_75) * (2/3), converted_stat, '2K_Ratings'!R55, IF(bbgm_stat &gt;= perc_95, converted_stat * 3, IF(bbgm_stat &gt;= perc_90, converted_stat * 2, IF(bbgm_stat &gt;= perc_85, converted_stat * 1.5, converted_stat)))))</f>
        <v/>
      </c>
      <c r="S55" s="30" t="str">
        <f t="array" ref="S55">IF($A55="", "", LET(bbgm_stat, INDEX(Players!$A54:$P54, MATCH(S$2, Players!$A$1:$P$1, 0)), perc_75, VLOOKUP(S$2, Percentiles!$A$45:$I$59, 6, FALSE), perc_90, VLOOKUP(S$2, Percentiles!$A$45:$I$59, 7, FALSE), perc_95, VLOOKUP(S$2, Percentiles!$A$45:$I$59, 8, FALSE), perc_85, perc_75 + (perc_90 - perc_75) * (2/3), converted_stat, '2K_Ratings'!S55, IF(bbgm_stat &gt;= perc_95, converted_stat * 3, IF(bbgm_stat &gt;= perc_90, converted_stat * 2, IF(bbgm_stat &gt;= perc_85, converted_stat * 1.5, converted_stat)))))</f>
        <v/>
      </c>
      <c r="T55" s="30" t="str">
        <f t="array" ref="T55">IF($A55="", "", LET(bbgm_stat, INDEX(Players!$A54:$P54, MATCH(T$2, Players!$A$1:$P$1, 0)), perc_75, VLOOKUP(T$2, Percentiles!$A$45:$I$59, 6, FALSE), perc_90, VLOOKUP(T$2, Percentiles!$A$45:$I$59, 7, FALSE), perc_95, VLOOKUP(T$2, Percentiles!$A$45:$I$59, 8, FALSE), perc_85, perc_75 + (perc_90 - perc_75) * (2/3), converted_stat, '2K_Ratings'!T55, IF(bbgm_stat &gt;= perc_95, converted_stat * 3, IF(bbgm_stat &gt;= perc_90, converted_stat * 2, IF(bbgm_stat &gt;= perc_85, converted_stat * 1.5, converted_stat)))))</f>
        <v/>
      </c>
      <c r="U55" s="30" t="str">
        <f t="array" ref="U55">IF($A55="", "", LET(bbgm_stat, INDEX(Players!$A54:$P54, MATCH(U$2, Players!$A$1:$P$1, 0)), perc_75, VLOOKUP(U$2, Percentiles!$A$45:$I$59, 6, FALSE), perc_90, VLOOKUP(U$2, Percentiles!$A$45:$I$59, 7, FALSE), perc_95, VLOOKUP(U$2, Percentiles!$A$45:$I$59, 8, FALSE), perc_85, perc_75 + (perc_90 - perc_75) * (2/3), converted_stat, '2K_Ratings'!U55, IF(bbgm_stat &gt;= perc_95, converted_stat * 3, IF(bbgm_stat &gt;= perc_90, converted_stat * 2, IF(bbgm_stat &gt;= perc_85, converted_stat * 1.5, converted_stat)))))</f>
        <v/>
      </c>
      <c r="V55" s="30" t="str">
        <f t="array" ref="V55">IF($A55="", "", LET(bbgm_stat, INDEX(Players!$A54:$P54, MATCH(V$2, Players!$A$1:$P$1, 0)), perc_75, VLOOKUP(V$2, Percentiles!$A$45:$I$59, 6, FALSE), perc_90, VLOOKUP(V$2, Percentiles!$A$45:$I$59, 7, FALSE), perc_95, VLOOKUP(V$2, Percentiles!$A$45:$I$59, 8, FALSE), perc_85, perc_75 + (perc_90 - perc_75) * (2/3), converted_stat, '2K_Ratings'!V55, IF(bbgm_stat &gt;= perc_95, converted_stat * 3, IF(bbgm_stat &gt;= perc_90, converted_stat * 2, IF(bbgm_stat &gt;= perc_85, converted_stat * 1.5, converted_stat)))))</f>
        <v/>
      </c>
      <c r="W55" s="30" t="str">
        <f t="array" ref="W55">IF($A55="", "", LET(bbgm_stat, INDEX(Players!$A54:$P54, MATCH(W$2, Players!$A$1:$P$1, 0)), perc_75, VLOOKUP(W$2, Percentiles!$A$45:$I$59, 6, FALSE), perc_90, VLOOKUP(W$2, Percentiles!$A$45:$I$59, 7, FALSE), perc_95, VLOOKUP(W$2, Percentiles!$A$45:$I$59, 8, FALSE), perc_85, perc_75 + (perc_90 - perc_75) * (2/3), converted_stat, '2K_Ratings'!W55, IF(bbgm_stat &gt;= perc_95, converted_stat * 3, IF(bbgm_stat &gt;= perc_90, converted_stat * 2, IF(bbgm_stat &gt;= perc_85, converted_stat * 1.5, converted_stat)))))</f>
        <v/>
      </c>
    </row>
    <row r="56">
      <c r="A56" s="30" t="str">
        <f>IF(Players!A55="", "", Players!A55)</f>
        <v/>
      </c>
      <c r="B56" s="30" t="str">
        <f t="array" ref="B56">IF($A56="", "", LET(bbgm_stat, INDEX(Players!$A55:$P55, MATCH(B$2, Players!$A$1:$P$1, 0)), perc_75, VLOOKUP(B$2, Percentiles!$A$45:$I$59, 6, FALSE), perc_90, VLOOKUP(B$2, Percentiles!$A$45:$I$59, 7, FALSE), perc_95, VLOOKUP(B$2, Percentiles!$A$45:$I$59, 8, FALSE), perc_85, perc_75 + (perc_90 - perc_75) * (2/3), converted_stat, '2K_Ratings'!B56, IF(bbgm_stat &gt;= perc_95, converted_stat * 3, IF(bbgm_stat &gt;= perc_90, converted_stat * 2, IF(bbgm_stat &gt;= perc_85, converted_stat * 1.5, converted_stat)))))</f>
        <v/>
      </c>
      <c r="C56" s="30" t="str">
        <f t="array" ref="C56">IF($A56="", "", LET(bbgm_stat, INDEX(Players!$A55:$P55, MATCH(C$2, Players!$A$1:$P$1, 0)), perc_75, VLOOKUP(C$2, Percentiles!$A$45:$I$59, 6, FALSE), perc_90, VLOOKUP(C$2, Percentiles!$A$45:$I$59, 7, FALSE), perc_95, VLOOKUP(C$2, Percentiles!$A$45:$I$59, 8, FALSE), perc_85, perc_75 + (perc_90 - perc_75) * (2/3), converted_stat, '2K_Ratings'!C56, IF(bbgm_stat &gt;= perc_95, converted_stat * 3, IF(bbgm_stat &gt;= perc_90, converted_stat * 2, IF(bbgm_stat &gt;= perc_85, converted_stat * 1.5, converted_stat)))))</f>
        <v/>
      </c>
      <c r="D56" s="30" t="str">
        <f t="array" ref="D56">IF($A56="", "", LET(bbgm_stat, INDEX(Players!$A55:$P55, MATCH(D$2, Players!$A$1:$P$1, 0)), perc_75, VLOOKUP(D$2, Percentiles!$A$45:$I$59, 6, FALSE), perc_90, VLOOKUP(D$2, Percentiles!$A$45:$I$59, 7, FALSE), perc_95, VLOOKUP(D$2, Percentiles!$A$45:$I$59, 8, FALSE), perc_85, perc_75 + (perc_90 - perc_75) * (2/3), converted_stat, '2K_Ratings'!D56, IF(bbgm_stat &gt;= perc_95, converted_stat * 3, IF(bbgm_stat &gt;= perc_90, converted_stat * 2, IF(bbgm_stat &gt;= perc_85, converted_stat * 1.5, converted_stat)))))</f>
        <v/>
      </c>
      <c r="E56" s="30" t="str">
        <f t="array" ref="E56">IF($A56="", "", LET(bbgm_stat, INDEX(Players!$A55:$P55, MATCH(E$2, Players!$A$1:$P$1, 0)), perc_75, VLOOKUP(E$2, Percentiles!$A$45:$I$59, 6, FALSE), perc_90, VLOOKUP(E$2, Percentiles!$A$45:$I$59, 7, FALSE), perc_95, VLOOKUP(E$2, Percentiles!$A$45:$I$59, 8, FALSE), perc_85, perc_75 + (perc_90 - perc_75) * (2/3), converted_stat, '2K_Ratings'!E56, IF(bbgm_stat &gt;= perc_95, converted_stat * 3, IF(bbgm_stat &gt;= perc_90, converted_stat * 2, IF(bbgm_stat &gt;= perc_85, converted_stat * 1.5, converted_stat)))))</f>
        <v/>
      </c>
      <c r="F56" s="30" t="str">
        <f t="array" ref="F56">IF($A56="", "", LET(bbgm_stat, INDEX(Players!$A55:$P55, MATCH(F$2, Players!$A$1:$P$1, 0)), perc_75, VLOOKUP(F$2, Percentiles!$A$45:$I$59, 6, FALSE), perc_90, VLOOKUP(F$2, Percentiles!$A$45:$I$59, 7, FALSE), perc_95, VLOOKUP(F$2, Percentiles!$A$45:$I$59, 8, FALSE), perc_85, perc_75 + (perc_90 - perc_75) * (2/3), converted_stat, '2K_Ratings'!F56, IF(bbgm_stat &gt;= perc_95, converted_stat * 3, IF(bbgm_stat &gt;= perc_90, converted_stat * 2, IF(bbgm_stat &gt;= perc_85, converted_stat * 1.5, converted_stat)))))</f>
        <v/>
      </c>
      <c r="G56" s="30" t="str">
        <f t="array" ref="G56">IF($A56="", "", LET(bbgm_stat, INDEX(Players!$A55:$P55, MATCH(G$2, Players!$A$1:$P$1, 0)), perc_75, VLOOKUP(G$2, Percentiles!$A$45:$I$59, 6, FALSE), perc_90, VLOOKUP(G$2, Percentiles!$A$45:$I$59, 7, FALSE), perc_95, VLOOKUP(G$2, Percentiles!$A$45:$I$59, 8, FALSE), perc_85, perc_75 + (perc_90 - perc_75) * (2/3), converted_stat, '2K_Ratings'!G56, IF(bbgm_stat &gt;= perc_95, converted_stat * 3, IF(bbgm_stat &gt;= perc_90, converted_stat * 2, IF(bbgm_stat &gt;= perc_85, converted_stat * 1.5, converted_stat)))))</f>
        <v/>
      </c>
      <c r="H56" s="30" t="str">
        <f t="array" ref="H56">IF($A56="", "", LET(bbgm_stat, INDEX(Players!$A55:$P55, MATCH(H$2, Players!$A$1:$P$1, 0)), perc_75, VLOOKUP(H$2, Percentiles!$A$45:$I$59, 6, FALSE), perc_90, VLOOKUP(H$2, Percentiles!$A$45:$I$59, 7, FALSE), perc_95, VLOOKUP(H$2, Percentiles!$A$45:$I$59, 8, FALSE), perc_85, perc_75 + (perc_90 - perc_75) * (2/3), converted_stat, '2K_Ratings'!H56, IF(bbgm_stat &gt;= perc_95, converted_stat * 3, IF(bbgm_stat &gt;= perc_90, converted_stat * 2, IF(bbgm_stat &gt;= perc_85, converted_stat * 1.5, converted_stat)))))</f>
        <v/>
      </c>
      <c r="I56" s="30" t="str">
        <f t="array" ref="I56">IF($A56="", "", LET(bbgm_stat, INDEX(Players!$A55:$P55, MATCH(I$2, Players!$A$1:$P$1, 0)), perc_75, VLOOKUP(I$2, Percentiles!$A$45:$I$59, 6, FALSE), perc_90, VLOOKUP(I$2, Percentiles!$A$45:$I$59, 7, FALSE), perc_95, VLOOKUP(I$2, Percentiles!$A$45:$I$59, 8, FALSE), perc_85, perc_75 + (perc_90 - perc_75) * (2/3), converted_stat, '2K_Ratings'!I56, IF(bbgm_stat &gt;= perc_95, converted_stat * 3, IF(bbgm_stat &gt;= perc_90, converted_stat * 2, IF(bbgm_stat &gt;= perc_85, converted_stat * 1.5, converted_stat)))))</f>
        <v/>
      </c>
      <c r="J56" s="30" t="str">
        <f t="array" ref="J56">IF($A56="", "", LET(bbgm_stat, INDEX(Players!$A55:$P55, MATCH(J$2, Players!$A$1:$P$1, 0)), perc_75, VLOOKUP(J$2, Percentiles!$A$45:$I$59, 6, FALSE), perc_90, VLOOKUP(J$2, Percentiles!$A$45:$I$59, 7, FALSE), perc_95, VLOOKUP(J$2, Percentiles!$A$45:$I$59, 8, FALSE), perc_85, perc_75 + (perc_90 - perc_75) * (2/3), converted_stat, '2K_Ratings'!J56, IF(bbgm_stat &gt;= perc_95, converted_stat * 3, IF(bbgm_stat &gt;= perc_90, converted_stat * 2, IF(bbgm_stat &gt;= perc_85, converted_stat * 1.5, converted_stat)))))</f>
        <v/>
      </c>
      <c r="K56" s="30" t="str">
        <f t="array" ref="K56">IF($A56="", "", LET(bbgm_stat, INDEX(Players!$A55:$P55, MATCH(K$2, Players!$A$1:$P$1, 0)), perc_75, VLOOKUP(K$2, Percentiles!$A$45:$I$59, 6, FALSE), perc_90, VLOOKUP(K$2, Percentiles!$A$45:$I$59, 7, FALSE), perc_95, VLOOKUP(K$2, Percentiles!$A$45:$I$59, 8, FALSE), perc_85, perc_75 + (perc_90 - perc_75) * (2/3), converted_stat, '2K_Ratings'!K56, IF(bbgm_stat &gt;= perc_95, converted_stat * 3, IF(bbgm_stat &gt;= perc_90, converted_stat * 2, IF(bbgm_stat &gt;= perc_85, converted_stat * 1.5, converted_stat)))))</f>
        <v/>
      </c>
      <c r="L56" s="30" t="str">
        <f t="array" ref="L56">IF($A56="", "", LET(bbgm_stat, INDEX(Players!$A55:$P55, MATCH(L$2, Players!$A$1:$P$1, 0)), perc_75, VLOOKUP(L$2, Percentiles!$A$45:$I$59, 6, FALSE), perc_90, VLOOKUP(L$2, Percentiles!$A$45:$I$59, 7, FALSE), perc_95, VLOOKUP(L$2, Percentiles!$A$45:$I$59, 8, FALSE), perc_85, perc_75 + (perc_90 - perc_75) * (2/3), converted_stat, '2K_Ratings'!L56, IF(bbgm_stat &gt;= perc_95, converted_stat * 3, IF(bbgm_stat &gt;= perc_90, converted_stat * 2, IF(bbgm_stat &gt;= perc_85, converted_stat * 1.5, converted_stat)))))</f>
        <v/>
      </c>
      <c r="M56" s="30" t="str">
        <f t="array" ref="M56">IF($A56="", "", LET(bbgm_stat, INDEX(Players!$A55:$P55, MATCH(M$2, Players!$A$1:$P$1, 0)), perc_75, VLOOKUP(M$2, Percentiles!$A$45:$I$59, 6, FALSE), perc_90, VLOOKUP(M$2, Percentiles!$A$45:$I$59, 7, FALSE), perc_95, VLOOKUP(M$2, Percentiles!$A$45:$I$59, 8, FALSE), perc_85, perc_75 + (perc_90 - perc_75) * (2/3), converted_stat, '2K_Ratings'!M56, IF(bbgm_stat &gt;= perc_95, converted_stat * 3, IF(bbgm_stat &gt;= perc_90, converted_stat * 2, IF(bbgm_stat &gt;= perc_85, converted_stat * 1.5, converted_stat)))))</f>
        <v/>
      </c>
      <c r="N56" s="30" t="str">
        <f t="array" ref="N56">IF($A56="", "", LET(bbgm_stat, INDEX(Players!$A55:$P55, MATCH(N$2, Players!$A$1:$P$1, 0)), perc_75, VLOOKUP(N$2, Percentiles!$A$45:$I$59, 6, FALSE), perc_90, VLOOKUP(N$2, Percentiles!$A$45:$I$59, 7, FALSE), perc_95, VLOOKUP(N$2, Percentiles!$A$45:$I$59, 8, FALSE), perc_85, perc_75 + (perc_90 - perc_75) * (2/3), converted_stat, '2K_Ratings'!N56, IF(bbgm_stat &gt;= perc_95, converted_stat * 3, IF(bbgm_stat &gt;= perc_90, converted_stat * 2, IF(bbgm_stat &gt;= perc_85, converted_stat * 1.5, converted_stat)))))</f>
        <v/>
      </c>
      <c r="O56" s="30" t="str">
        <f t="array" ref="O56">IF($A56="", "", LET(bbgm_stat, INDEX(Players!$A55:$P55, MATCH(O$2, Players!$A$1:$P$1, 0)), perc_75, VLOOKUP(O$2, Percentiles!$A$45:$I$59, 6, FALSE), perc_90, VLOOKUP(O$2, Percentiles!$A$45:$I$59, 7, FALSE), perc_95, VLOOKUP(O$2, Percentiles!$A$45:$I$59, 8, FALSE), perc_85, perc_75 + (perc_90 - perc_75) * (2/3), converted_stat, '2K_Ratings'!O56, IF(bbgm_stat &gt;= perc_95, converted_stat * 3, IF(bbgm_stat &gt;= perc_90, converted_stat * 2, IF(bbgm_stat &gt;= perc_85, converted_stat * 1.5, converted_stat)))))</f>
        <v/>
      </c>
      <c r="P56" s="30" t="str">
        <f t="array" ref="P56">IF($A56="", "", LET(bbgm_stat, INDEX(Players!$A55:$P55, MATCH(P$2, Players!$A$1:$P$1, 0)), perc_75, VLOOKUP(P$2, Percentiles!$A$45:$I$59, 6, FALSE), perc_90, VLOOKUP(P$2, Percentiles!$A$45:$I$59, 7, FALSE), perc_95, VLOOKUP(P$2, Percentiles!$A$45:$I$59, 8, FALSE), perc_85, perc_75 + (perc_90 - perc_75) * (2/3), converted_stat, '2K_Ratings'!P56, IF(bbgm_stat &gt;= perc_95, converted_stat * 3, IF(bbgm_stat &gt;= perc_90, converted_stat * 2, IF(bbgm_stat &gt;= perc_85, converted_stat * 1.5, converted_stat)))))</f>
        <v/>
      </c>
      <c r="Q56" s="30" t="str">
        <f t="array" ref="Q56">IF($A56="", "", LET(bbgm_stat, INDEX(Players!$A55:$P55, MATCH(Q$2, Players!$A$1:$P$1, 0)), perc_75, VLOOKUP(Q$2, Percentiles!$A$45:$I$59, 6, FALSE), perc_90, VLOOKUP(Q$2, Percentiles!$A$45:$I$59, 7, FALSE), perc_95, VLOOKUP(Q$2, Percentiles!$A$45:$I$59, 8, FALSE), perc_85, perc_75 + (perc_90 - perc_75) * (2/3), converted_stat, '2K_Ratings'!Q56, IF(bbgm_stat &gt;= perc_95, converted_stat * 3, IF(bbgm_stat &gt;= perc_90, converted_stat * 2, IF(bbgm_stat &gt;= perc_85, converted_stat * 1.5, converted_stat)))))</f>
        <v/>
      </c>
      <c r="R56" s="30" t="str">
        <f t="array" ref="R56">IF($A56="", "", LET(bbgm_stat, INDEX(Players!$A55:$P55, MATCH(R$2, Players!$A$1:$P$1, 0)), perc_75, VLOOKUP(R$2, Percentiles!$A$45:$I$59, 6, FALSE), perc_90, VLOOKUP(R$2, Percentiles!$A$45:$I$59, 7, FALSE), perc_95, VLOOKUP(R$2, Percentiles!$A$45:$I$59, 8, FALSE), perc_85, perc_75 + (perc_90 - perc_75) * (2/3), converted_stat, '2K_Ratings'!R56, IF(bbgm_stat &gt;= perc_95, converted_stat * 3, IF(bbgm_stat &gt;= perc_90, converted_stat * 2, IF(bbgm_stat &gt;= perc_85, converted_stat * 1.5, converted_stat)))))</f>
        <v/>
      </c>
      <c r="S56" s="30" t="str">
        <f t="array" ref="S56">IF($A56="", "", LET(bbgm_stat, INDEX(Players!$A55:$P55, MATCH(S$2, Players!$A$1:$P$1, 0)), perc_75, VLOOKUP(S$2, Percentiles!$A$45:$I$59, 6, FALSE), perc_90, VLOOKUP(S$2, Percentiles!$A$45:$I$59, 7, FALSE), perc_95, VLOOKUP(S$2, Percentiles!$A$45:$I$59, 8, FALSE), perc_85, perc_75 + (perc_90 - perc_75) * (2/3), converted_stat, '2K_Ratings'!S56, IF(bbgm_stat &gt;= perc_95, converted_stat * 3, IF(bbgm_stat &gt;= perc_90, converted_stat * 2, IF(bbgm_stat &gt;= perc_85, converted_stat * 1.5, converted_stat)))))</f>
        <v/>
      </c>
      <c r="T56" s="30" t="str">
        <f t="array" ref="T56">IF($A56="", "", LET(bbgm_stat, INDEX(Players!$A55:$P55, MATCH(T$2, Players!$A$1:$P$1, 0)), perc_75, VLOOKUP(T$2, Percentiles!$A$45:$I$59, 6, FALSE), perc_90, VLOOKUP(T$2, Percentiles!$A$45:$I$59, 7, FALSE), perc_95, VLOOKUP(T$2, Percentiles!$A$45:$I$59, 8, FALSE), perc_85, perc_75 + (perc_90 - perc_75) * (2/3), converted_stat, '2K_Ratings'!T56, IF(bbgm_stat &gt;= perc_95, converted_stat * 3, IF(bbgm_stat &gt;= perc_90, converted_stat * 2, IF(bbgm_stat &gt;= perc_85, converted_stat * 1.5, converted_stat)))))</f>
        <v/>
      </c>
      <c r="U56" s="30" t="str">
        <f t="array" ref="U56">IF($A56="", "", LET(bbgm_stat, INDEX(Players!$A55:$P55, MATCH(U$2, Players!$A$1:$P$1, 0)), perc_75, VLOOKUP(U$2, Percentiles!$A$45:$I$59, 6, FALSE), perc_90, VLOOKUP(U$2, Percentiles!$A$45:$I$59, 7, FALSE), perc_95, VLOOKUP(U$2, Percentiles!$A$45:$I$59, 8, FALSE), perc_85, perc_75 + (perc_90 - perc_75) * (2/3), converted_stat, '2K_Ratings'!U56, IF(bbgm_stat &gt;= perc_95, converted_stat * 3, IF(bbgm_stat &gt;= perc_90, converted_stat * 2, IF(bbgm_stat &gt;= perc_85, converted_stat * 1.5, converted_stat)))))</f>
        <v/>
      </c>
      <c r="V56" s="30" t="str">
        <f t="array" ref="V56">IF($A56="", "", LET(bbgm_stat, INDEX(Players!$A55:$P55, MATCH(V$2, Players!$A$1:$P$1, 0)), perc_75, VLOOKUP(V$2, Percentiles!$A$45:$I$59, 6, FALSE), perc_90, VLOOKUP(V$2, Percentiles!$A$45:$I$59, 7, FALSE), perc_95, VLOOKUP(V$2, Percentiles!$A$45:$I$59, 8, FALSE), perc_85, perc_75 + (perc_90 - perc_75) * (2/3), converted_stat, '2K_Ratings'!V56, IF(bbgm_stat &gt;= perc_95, converted_stat * 3, IF(bbgm_stat &gt;= perc_90, converted_stat * 2, IF(bbgm_stat &gt;= perc_85, converted_stat * 1.5, converted_stat)))))</f>
        <v/>
      </c>
      <c r="W56" s="30" t="str">
        <f t="array" ref="W56">IF($A56="", "", LET(bbgm_stat, INDEX(Players!$A55:$P55, MATCH(W$2, Players!$A$1:$P$1, 0)), perc_75, VLOOKUP(W$2, Percentiles!$A$45:$I$59, 6, FALSE), perc_90, VLOOKUP(W$2, Percentiles!$A$45:$I$59, 7, FALSE), perc_95, VLOOKUP(W$2, Percentiles!$A$45:$I$59, 8, FALSE), perc_85, perc_75 + (perc_90 - perc_75) * (2/3), converted_stat, '2K_Ratings'!W56, IF(bbgm_stat &gt;= perc_95, converted_stat * 3, IF(bbgm_stat &gt;= perc_90, converted_stat * 2, IF(bbgm_stat &gt;= perc_85, converted_stat * 1.5, converted_stat)))))</f>
        <v/>
      </c>
    </row>
    <row r="57">
      <c r="A57" s="30" t="str">
        <f>IF(Players!A56="", "", Players!A56)</f>
        <v/>
      </c>
      <c r="B57" s="30" t="str">
        <f t="array" ref="B57">IF($A57="", "", LET(bbgm_stat, INDEX(Players!$A56:$P56, MATCH(B$2, Players!$A$1:$P$1, 0)), perc_75, VLOOKUP(B$2, Percentiles!$A$45:$I$59, 6, FALSE), perc_90, VLOOKUP(B$2, Percentiles!$A$45:$I$59, 7, FALSE), perc_95, VLOOKUP(B$2, Percentiles!$A$45:$I$59, 8, FALSE), perc_85, perc_75 + (perc_90 - perc_75) * (2/3), converted_stat, '2K_Ratings'!B57, IF(bbgm_stat &gt;= perc_95, converted_stat * 3, IF(bbgm_stat &gt;= perc_90, converted_stat * 2, IF(bbgm_stat &gt;= perc_85, converted_stat * 1.5, converted_stat)))))</f>
        <v/>
      </c>
      <c r="C57" s="30" t="str">
        <f t="array" ref="C57">IF($A57="", "", LET(bbgm_stat, INDEX(Players!$A56:$P56, MATCH(C$2, Players!$A$1:$P$1, 0)), perc_75, VLOOKUP(C$2, Percentiles!$A$45:$I$59, 6, FALSE), perc_90, VLOOKUP(C$2, Percentiles!$A$45:$I$59, 7, FALSE), perc_95, VLOOKUP(C$2, Percentiles!$A$45:$I$59, 8, FALSE), perc_85, perc_75 + (perc_90 - perc_75) * (2/3), converted_stat, '2K_Ratings'!C57, IF(bbgm_stat &gt;= perc_95, converted_stat * 3, IF(bbgm_stat &gt;= perc_90, converted_stat * 2, IF(bbgm_stat &gt;= perc_85, converted_stat * 1.5, converted_stat)))))</f>
        <v/>
      </c>
      <c r="D57" s="30" t="str">
        <f t="array" ref="D57">IF($A57="", "", LET(bbgm_stat, INDEX(Players!$A56:$P56, MATCH(D$2, Players!$A$1:$P$1, 0)), perc_75, VLOOKUP(D$2, Percentiles!$A$45:$I$59, 6, FALSE), perc_90, VLOOKUP(D$2, Percentiles!$A$45:$I$59, 7, FALSE), perc_95, VLOOKUP(D$2, Percentiles!$A$45:$I$59, 8, FALSE), perc_85, perc_75 + (perc_90 - perc_75) * (2/3), converted_stat, '2K_Ratings'!D57, IF(bbgm_stat &gt;= perc_95, converted_stat * 3, IF(bbgm_stat &gt;= perc_90, converted_stat * 2, IF(bbgm_stat &gt;= perc_85, converted_stat * 1.5, converted_stat)))))</f>
        <v/>
      </c>
      <c r="E57" s="30" t="str">
        <f t="array" ref="E57">IF($A57="", "", LET(bbgm_stat, INDEX(Players!$A56:$P56, MATCH(E$2, Players!$A$1:$P$1, 0)), perc_75, VLOOKUP(E$2, Percentiles!$A$45:$I$59, 6, FALSE), perc_90, VLOOKUP(E$2, Percentiles!$A$45:$I$59, 7, FALSE), perc_95, VLOOKUP(E$2, Percentiles!$A$45:$I$59, 8, FALSE), perc_85, perc_75 + (perc_90 - perc_75) * (2/3), converted_stat, '2K_Ratings'!E57, IF(bbgm_stat &gt;= perc_95, converted_stat * 3, IF(bbgm_stat &gt;= perc_90, converted_stat * 2, IF(bbgm_stat &gt;= perc_85, converted_stat * 1.5, converted_stat)))))</f>
        <v/>
      </c>
      <c r="F57" s="30" t="str">
        <f t="array" ref="F57">IF($A57="", "", LET(bbgm_stat, INDEX(Players!$A56:$P56, MATCH(F$2, Players!$A$1:$P$1, 0)), perc_75, VLOOKUP(F$2, Percentiles!$A$45:$I$59, 6, FALSE), perc_90, VLOOKUP(F$2, Percentiles!$A$45:$I$59, 7, FALSE), perc_95, VLOOKUP(F$2, Percentiles!$A$45:$I$59, 8, FALSE), perc_85, perc_75 + (perc_90 - perc_75) * (2/3), converted_stat, '2K_Ratings'!F57, IF(bbgm_stat &gt;= perc_95, converted_stat * 3, IF(bbgm_stat &gt;= perc_90, converted_stat * 2, IF(bbgm_stat &gt;= perc_85, converted_stat * 1.5, converted_stat)))))</f>
        <v/>
      </c>
      <c r="G57" s="30" t="str">
        <f t="array" ref="G57">IF($A57="", "", LET(bbgm_stat, INDEX(Players!$A56:$P56, MATCH(G$2, Players!$A$1:$P$1, 0)), perc_75, VLOOKUP(G$2, Percentiles!$A$45:$I$59, 6, FALSE), perc_90, VLOOKUP(G$2, Percentiles!$A$45:$I$59, 7, FALSE), perc_95, VLOOKUP(G$2, Percentiles!$A$45:$I$59, 8, FALSE), perc_85, perc_75 + (perc_90 - perc_75) * (2/3), converted_stat, '2K_Ratings'!G57, IF(bbgm_stat &gt;= perc_95, converted_stat * 3, IF(bbgm_stat &gt;= perc_90, converted_stat * 2, IF(bbgm_stat &gt;= perc_85, converted_stat * 1.5, converted_stat)))))</f>
        <v/>
      </c>
      <c r="H57" s="30" t="str">
        <f t="array" ref="H57">IF($A57="", "", LET(bbgm_stat, INDEX(Players!$A56:$P56, MATCH(H$2, Players!$A$1:$P$1, 0)), perc_75, VLOOKUP(H$2, Percentiles!$A$45:$I$59, 6, FALSE), perc_90, VLOOKUP(H$2, Percentiles!$A$45:$I$59, 7, FALSE), perc_95, VLOOKUP(H$2, Percentiles!$A$45:$I$59, 8, FALSE), perc_85, perc_75 + (perc_90 - perc_75) * (2/3), converted_stat, '2K_Ratings'!H57, IF(bbgm_stat &gt;= perc_95, converted_stat * 3, IF(bbgm_stat &gt;= perc_90, converted_stat * 2, IF(bbgm_stat &gt;= perc_85, converted_stat * 1.5, converted_stat)))))</f>
        <v/>
      </c>
      <c r="I57" s="30" t="str">
        <f t="array" ref="I57">IF($A57="", "", LET(bbgm_stat, INDEX(Players!$A56:$P56, MATCH(I$2, Players!$A$1:$P$1, 0)), perc_75, VLOOKUP(I$2, Percentiles!$A$45:$I$59, 6, FALSE), perc_90, VLOOKUP(I$2, Percentiles!$A$45:$I$59, 7, FALSE), perc_95, VLOOKUP(I$2, Percentiles!$A$45:$I$59, 8, FALSE), perc_85, perc_75 + (perc_90 - perc_75) * (2/3), converted_stat, '2K_Ratings'!I57, IF(bbgm_stat &gt;= perc_95, converted_stat * 3, IF(bbgm_stat &gt;= perc_90, converted_stat * 2, IF(bbgm_stat &gt;= perc_85, converted_stat * 1.5, converted_stat)))))</f>
        <v/>
      </c>
      <c r="J57" s="30" t="str">
        <f t="array" ref="J57">IF($A57="", "", LET(bbgm_stat, INDEX(Players!$A56:$P56, MATCH(J$2, Players!$A$1:$P$1, 0)), perc_75, VLOOKUP(J$2, Percentiles!$A$45:$I$59, 6, FALSE), perc_90, VLOOKUP(J$2, Percentiles!$A$45:$I$59, 7, FALSE), perc_95, VLOOKUP(J$2, Percentiles!$A$45:$I$59, 8, FALSE), perc_85, perc_75 + (perc_90 - perc_75) * (2/3), converted_stat, '2K_Ratings'!J57, IF(bbgm_stat &gt;= perc_95, converted_stat * 3, IF(bbgm_stat &gt;= perc_90, converted_stat * 2, IF(bbgm_stat &gt;= perc_85, converted_stat * 1.5, converted_stat)))))</f>
        <v/>
      </c>
      <c r="K57" s="30" t="str">
        <f t="array" ref="K57">IF($A57="", "", LET(bbgm_stat, INDEX(Players!$A56:$P56, MATCH(K$2, Players!$A$1:$P$1, 0)), perc_75, VLOOKUP(K$2, Percentiles!$A$45:$I$59, 6, FALSE), perc_90, VLOOKUP(K$2, Percentiles!$A$45:$I$59, 7, FALSE), perc_95, VLOOKUP(K$2, Percentiles!$A$45:$I$59, 8, FALSE), perc_85, perc_75 + (perc_90 - perc_75) * (2/3), converted_stat, '2K_Ratings'!K57, IF(bbgm_stat &gt;= perc_95, converted_stat * 3, IF(bbgm_stat &gt;= perc_90, converted_stat * 2, IF(bbgm_stat &gt;= perc_85, converted_stat * 1.5, converted_stat)))))</f>
        <v/>
      </c>
      <c r="L57" s="30" t="str">
        <f t="array" ref="L57">IF($A57="", "", LET(bbgm_stat, INDEX(Players!$A56:$P56, MATCH(L$2, Players!$A$1:$P$1, 0)), perc_75, VLOOKUP(L$2, Percentiles!$A$45:$I$59, 6, FALSE), perc_90, VLOOKUP(L$2, Percentiles!$A$45:$I$59, 7, FALSE), perc_95, VLOOKUP(L$2, Percentiles!$A$45:$I$59, 8, FALSE), perc_85, perc_75 + (perc_90 - perc_75) * (2/3), converted_stat, '2K_Ratings'!L57, IF(bbgm_stat &gt;= perc_95, converted_stat * 3, IF(bbgm_stat &gt;= perc_90, converted_stat * 2, IF(bbgm_stat &gt;= perc_85, converted_stat * 1.5, converted_stat)))))</f>
        <v/>
      </c>
      <c r="M57" s="30" t="str">
        <f t="array" ref="M57">IF($A57="", "", LET(bbgm_stat, INDEX(Players!$A56:$P56, MATCH(M$2, Players!$A$1:$P$1, 0)), perc_75, VLOOKUP(M$2, Percentiles!$A$45:$I$59, 6, FALSE), perc_90, VLOOKUP(M$2, Percentiles!$A$45:$I$59, 7, FALSE), perc_95, VLOOKUP(M$2, Percentiles!$A$45:$I$59, 8, FALSE), perc_85, perc_75 + (perc_90 - perc_75) * (2/3), converted_stat, '2K_Ratings'!M57, IF(bbgm_stat &gt;= perc_95, converted_stat * 3, IF(bbgm_stat &gt;= perc_90, converted_stat * 2, IF(bbgm_stat &gt;= perc_85, converted_stat * 1.5, converted_stat)))))</f>
        <v/>
      </c>
      <c r="N57" s="30" t="str">
        <f t="array" ref="N57">IF($A57="", "", LET(bbgm_stat, INDEX(Players!$A56:$P56, MATCH(N$2, Players!$A$1:$P$1, 0)), perc_75, VLOOKUP(N$2, Percentiles!$A$45:$I$59, 6, FALSE), perc_90, VLOOKUP(N$2, Percentiles!$A$45:$I$59, 7, FALSE), perc_95, VLOOKUP(N$2, Percentiles!$A$45:$I$59, 8, FALSE), perc_85, perc_75 + (perc_90 - perc_75) * (2/3), converted_stat, '2K_Ratings'!N57, IF(bbgm_stat &gt;= perc_95, converted_stat * 3, IF(bbgm_stat &gt;= perc_90, converted_stat * 2, IF(bbgm_stat &gt;= perc_85, converted_stat * 1.5, converted_stat)))))</f>
        <v/>
      </c>
      <c r="O57" s="30" t="str">
        <f t="array" ref="O57">IF($A57="", "", LET(bbgm_stat, INDEX(Players!$A56:$P56, MATCH(O$2, Players!$A$1:$P$1, 0)), perc_75, VLOOKUP(O$2, Percentiles!$A$45:$I$59, 6, FALSE), perc_90, VLOOKUP(O$2, Percentiles!$A$45:$I$59, 7, FALSE), perc_95, VLOOKUP(O$2, Percentiles!$A$45:$I$59, 8, FALSE), perc_85, perc_75 + (perc_90 - perc_75) * (2/3), converted_stat, '2K_Ratings'!O57, IF(bbgm_stat &gt;= perc_95, converted_stat * 3, IF(bbgm_stat &gt;= perc_90, converted_stat * 2, IF(bbgm_stat &gt;= perc_85, converted_stat * 1.5, converted_stat)))))</f>
        <v/>
      </c>
      <c r="P57" s="30" t="str">
        <f t="array" ref="P57">IF($A57="", "", LET(bbgm_stat, INDEX(Players!$A56:$P56, MATCH(P$2, Players!$A$1:$P$1, 0)), perc_75, VLOOKUP(P$2, Percentiles!$A$45:$I$59, 6, FALSE), perc_90, VLOOKUP(P$2, Percentiles!$A$45:$I$59, 7, FALSE), perc_95, VLOOKUP(P$2, Percentiles!$A$45:$I$59, 8, FALSE), perc_85, perc_75 + (perc_90 - perc_75) * (2/3), converted_stat, '2K_Ratings'!P57, IF(bbgm_stat &gt;= perc_95, converted_stat * 3, IF(bbgm_stat &gt;= perc_90, converted_stat * 2, IF(bbgm_stat &gt;= perc_85, converted_stat * 1.5, converted_stat)))))</f>
        <v/>
      </c>
      <c r="Q57" s="30" t="str">
        <f t="array" ref="Q57">IF($A57="", "", LET(bbgm_stat, INDEX(Players!$A56:$P56, MATCH(Q$2, Players!$A$1:$P$1, 0)), perc_75, VLOOKUP(Q$2, Percentiles!$A$45:$I$59, 6, FALSE), perc_90, VLOOKUP(Q$2, Percentiles!$A$45:$I$59, 7, FALSE), perc_95, VLOOKUP(Q$2, Percentiles!$A$45:$I$59, 8, FALSE), perc_85, perc_75 + (perc_90 - perc_75) * (2/3), converted_stat, '2K_Ratings'!Q57, IF(bbgm_stat &gt;= perc_95, converted_stat * 3, IF(bbgm_stat &gt;= perc_90, converted_stat * 2, IF(bbgm_stat &gt;= perc_85, converted_stat * 1.5, converted_stat)))))</f>
        <v/>
      </c>
      <c r="R57" s="30" t="str">
        <f t="array" ref="R57">IF($A57="", "", LET(bbgm_stat, INDEX(Players!$A56:$P56, MATCH(R$2, Players!$A$1:$P$1, 0)), perc_75, VLOOKUP(R$2, Percentiles!$A$45:$I$59, 6, FALSE), perc_90, VLOOKUP(R$2, Percentiles!$A$45:$I$59, 7, FALSE), perc_95, VLOOKUP(R$2, Percentiles!$A$45:$I$59, 8, FALSE), perc_85, perc_75 + (perc_90 - perc_75) * (2/3), converted_stat, '2K_Ratings'!R57, IF(bbgm_stat &gt;= perc_95, converted_stat * 3, IF(bbgm_stat &gt;= perc_90, converted_stat * 2, IF(bbgm_stat &gt;= perc_85, converted_stat * 1.5, converted_stat)))))</f>
        <v/>
      </c>
      <c r="S57" s="30" t="str">
        <f t="array" ref="S57">IF($A57="", "", LET(bbgm_stat, INDEX(Players!$A56:$P56, MATCH(S$2, Players!$A$1:$P$1, 0)), perc_75, VLOOKUP(S$2, Percentiles!$A$45:$I$59, 6, FALSE), perc_90, VLOOKUP(S$2, Percentiles!$A$45:$I$59, 7, FALSE), perc_95, VLOOKUP(S$2, Percentiles!$A$45:$I$59, 8, FALSE), perc_85, perc_75 + (perc_90 - perc_75) * (2/3), converted_stat, '2K_Ratings'!S57, IF(bbgm_stat &gt;= perc_95, converted_stat * 3, IF(bbgm_stat &gt;= perc_90, converted_stat * 2, IF(bbgm_stat &gt;= perc_85, converted_stat * 1.5, converted_stat)))))</f>
        <v/>
      </c>
      <c r="T57" s="30" t="str">
        <f t="array" ref="T57">IF($A57="", "", LET(bbgm_stat, INDEX(Players!$A56:$P56, MATCH(T$2, Players!$A$1:$P$1, 0)), perc_75, VLOOKUP(T$2, Percentiles!$A$45:$I$59, 6, FALSE), perc_90, VLOOKUP(T$2, Percentiles!$A$45:$I$59, 7, FALSE), perc_95, VLOOKUP(T$2, Percentiles!$A$45:$I$59, 8, FALSE), perc_85, perc_75 + (perc_90 - perc_75) * (2/3), converted_stat, '2K_Ratings'!T57, IF(bbgm_stat &gt;= perc_95, converted_stat * 3, IF(bbgm_stat &gt;= perc_90, converted_stat * 2, IF(bbgm_stat &gt;= perc_85, converted_stat * 1.5, converted_stat)))))</f>
        <v/>
      </c>
      <c r="U57" s="30" t="str">
        <f t="array" ref="U57">IF($A57="", "", LET(bbgm_stat, INDEX(Players!$A56:$P56, MATCH(U$2, Players!$A$1:$P$1, 0)), perc_75, VLOOKUP(U$2, Percentiles!$A$45:$I$59, 6, FALSE), perc_90, VLOOKUP(U$2, Percentiles!$A$45:$I$59, 7, FALSE), perc_95, VLOOKUP(U$2, Percentiles!$A$45:$I$59, 8, FALSE), perc_85, perc_75 + (perc_90 - perc_75) * (2/3), converted_stat, '2K_Ratings'!U57, IF(bbgm_stat &gt;= perc_95, converted_stat * 3, IF(bbgm_stat &gt;= perc_90, converted_stat * 2, IF(bbgm_stat &gt;= perc_85, converted_stat * 1.5, converted_stat)))))</f>
        <v/>
      </c>
      <c r="V57" s="30" t="str">
        <f t="array" ref="V57">IF($A57="", "", LET(bbgm_stat, INDEX(Players!$A56:$P56, MATCH(V$2, Players!$A$1:$P$1, 0)), perc_75, VLOOKUP(V$2, Percentiles!$A$45:$I$59, 6, FALSE), perc_90, VLOOKUP(V$2, Percentiles!$A$45:$I$59, 7, FALSE), perc_95, VLOOKUP(V$2, Percentiles!$A$45:$I$59, 8, FALSE), perc_85, perc_75 + (perc_90 - perc_75) * (2/3), converted_stat, '2K_Ratings'!V57, IF(bbgm_stat &gt;= perc_95, converted_stat * 3, IF(bbgm_stat &gt;= perc_90, converted_stat * 2, IF(bbgm_stat &gt;= perc_85, converted_stat * 1.5, converted_stat)))))</f>
        <v/>
      </c>
      <c r="W57" s="30" t="str">
        <f t="array" ref="W57">IF($A57="", "", LET(bbgm_stat, INDEX(Players!$A56:$P56, MATCH(W$2, Players!$A$1:$P$1, 0)), perc_75, VLOOKUP(W$2, Percentiles!$A$45:$I$59, 6, FALSE), perc_90, VLOOKUP(W$2, Percentiles!$A$45:$I$59, 7, FALSE), perc_95, VLOOKUP(W$2, Percentiles!$A$45:$I$59, 8, FALSE), perc_85, perc_75 + (perc_90 - perc_75) * (2/3), converted_stat, '2K_Ratings'!W57, IF(bbgm_stat &gt;= perc_95, converted_stat * 3, IF(bbgm_stat &gt;= perc_90, converted_stat * 2, IF(bbgm_stat &gt;= perc_85, converted_stat * 1.5, converted_stat)))))</f>
        <v/>
      </c>
    </row>
    <row r="58">
      <c r="A58" s="30" t="str">
        <f>IF(Players!A57="", "", Players!A57)</f>
        <v/>
      </c>
      <c r="B58" s="30" t="str">
        <f t="array" ref="B58">IF($A58="", "", LET(bbgm_stat, INDEX(Players!$A57:$P57, MATCH(B$2, Players!$A$1:$P$1, 0)), perc_75, VLOOKUP(B$2, Percentiles!$A$45:$I$59, 6, FALSE), perc_90, VLOOKUP(B$2, Percentiles!$A$45:$I$59, 7, FALSE), perc_95, VLOOKUP(B$2, Percentiles!$A$45:$I$59, 8, FALSE), perc_85, perc_75 + (perc_90 - perc_75) * (2/3), converted_stat, '2K_Ratings'!B58, IF(bbgm_stat &gt;= perc_95, converted_stat * 3, IF(bbgm_stat &gt;= perc_90, converted_stat * 2, IF(bbgm_stat &gt;= perc_85, converted_stat * 1.5, converted_stat)))))</f>
        <v/>
      </c>
      <c r="C58" s="30" t="str">
        <f t="array" ref="C58">IF($A58="", "", LET(bbgm_stat, INDEX(Players!$A57:$P57, MATCH(C$2, Players!$A$1:$P$1, 0)), perc_75, VLOOKUP(C$2, Percentiles!$A$45:$I$59, 6, FALSE), perc_90, VLOOKUP(C$2, Percentiles!$A$45:$I$59, 7, FALSE), perc_95, VLOOKUP(C$2, Percentiles!$A$45:$I$59, 8, FALSE), perc_85, perc_75 + (perc_90 - perc_75) * (2/3), converted_stat, '2K_Ratings'!C58, IF(bbgm_stat &gt;= perc_95, converted_stat * 3, IF(bbgm_stat &gt;= perc_90, converted_stat * 2, IF(bbgm_stat &gt;= perc_85, converted_stat * 1.5, converted_stat)))))</f>
        <v/>
      </c>
      <c r="D58" s="30" t="str">
        <f t="array" ref="D58">IF($A58="", "", LET(bbgm_stat, INDEX(Players!$A57:$P57, MATCH(D$2, Players!$A$1:$P$1, 0)), perc_75, VLOOKUP(D$2, Percentiles!$A$45:$I$59, 6, FALSE), perc_90, VLOOKUP(D$2, Percentiles!$A$45:$I$59, 7, FALSE), perc_95, VLOOKUP(D$2, Percentiles!$A$45:$I$59, 8, FALSE), perc_85, perc_75 + (perc_90 - perc_75) * (2/3), converted_stat, '2K_Ratings'!D58, IF(bbgm_stat &gt;= perc_95, converted_stat * 3, IF(bbgm_stat &gt;= perc_90, converted_stat * 2, IF(bbgm_stat &gt;= perc_85, converted_stat * 1.5, converted_stat)))))</f>
        <v/>
      </c>
      <c r="E58" s="30" t="str">
        <f t="array" ref="E58">IF($A58="", "", LET(bbgm_stat, INDEX(Players!$A57:$P57, MATCH(E$2, Players!$A$1:$P$1, 0)), perc_75, VLOOKUP(E$2, Percentiles!$A$45:$I$59, 6, FALSE), perc_90, VLOOKUP(E$2, Percentiles!$A$45:$I$59, 7, FALSE), perc_95, VLOOKUP(E$2, Percentiles!$A$45:$I$59, 8, FALSE), perc_85, perc_75 + (perc_90 - perc_75) * (2/3), converted_stat, '2K_Ratings'!E58, IF(bbgm_stat &gt;= perc_95, converted_stat * 3, IF(bbgm_stat &gt;= perc_90, converted_stat * 2, IF(bbgm_stat &gt;= perc_85, converted_stat * 1.5, converted_stat)))))</f>
        <v/>
      </c>
      <c r="F58" s="30" t="str">
        <f t="array" ref="F58">IF($A58="", "", LET(bbgm_stat, INDEX(Players!$A57:$P57, MATCH(F$2, Players!$A$1:$P$1, 0)), perc_75, VLOOKUP(F$2, Percentiles!$A$45:$I$59, 6, FALSE), perc_90, VLOOKUP(F$2, Percentiles!$A$45:$I$59, 7, FALSE), perc_95, VLOOKUP(F$2, Percentiles!$A$45:$I$59, 8, FALSE), perc_85, perc_75 + (perc_90 - perc_75) * (2/3), converted_stat, '2K_Ratings'!F58, IF(bbgm_stat &gt;= perc_95, converted_stat * 3, IF(bbgm_stat &gt;= perc_90, converted_stat * 2, IF(bbgm_stat &gt;= perc_85, converted_stat * 1.5, converted_stat)))))</f>
        <v/>
      </c>
      <c r="G58" s="30" t="str">
        <f t="array" ref="G58">IF($A58="", "", LET(bbgm_stat, INDEX(Players!$A57:$P57, MATCH(G$2, Players!$A$1:$P$1, 0)), perc_75, VLOOKUP(G$2, Percentiles!$A$45:$I$59, 6, FALSE), perc_90, VLOOKUP(G$2, Percentiles!$A$45:$I$59, 7, FALSE), perc_95, VLOOKUP(G$2, Percentiles!$A$45:$I$59, 8, FALSE), perc_85, perc_75 + (perc_90 - perc_75) * (2/3), converted_stat, '2K_Ratings'!G58, IF(bbgm_stat &gt;= perc_95, converted_stat * 3, IF(bbgm_stat &gt;= perc_90, converted_stat * 2, IF(bbgm_stat &gt;= perc_85, converted_stat * 1.5, converted_stat)))))</f>
        <v/>
      </c>
      <c r="H58" s="30" t="str">
        <f t="array" ref="H58">IF($A58="", "", LET(bbgm_stat, INDEX(Players!$A57:$P57, MATCH(H$2, Players!$A$1:$P$1, 0)), perc_75, VLOOKUP(H$2, Percentiles!$A$45:$I$59, 6, FALSE), perc_90, VLOOKUP(H$2, Percentiles!$A$45:$I$59, 7, FALSE), perc_95, VLOOKUP(H$2, Percentiles!$A$45:$I$59, 8, FALSE), perc_85, perc_75 + (perc_90 - perc_75) * (2/3), converted_stat, '2K_Ratings'!H58, IF(bbgm_stat &gt;= perc_95, converted_stat * 3, IF(bbgm_stat &gt;= perc_90, converted_stat * 2, IF(bbgm_stat &gt;= perc_85, converted_stat * 1.5, converted_stat)))))</f>
        <v/>
      </c>
      <c r="I58" s="30" t="str">
        <f t="array" ref="I58">IF($A58="", "", LET(bbgm_stat, INDEX(Players!$A57:$P57, MATCH(I$2, Players!$A$1:$P$1, 0)), perc_75, VLOOKUP(I$2, Percentiles!$A$45:$I$59, 6, FALSE), perc_90, VLOOKUP(I$2, Percentiles!$A$45:$I$59, 7, FALSE), perc_95, VLOOKUP(I$2, Percentiles!$A$45:$I$59, 8, FALSE), perc_85, perc_75 + (perc_90 - perc_75) * (2/3), converted_stat, '2K_Ratings'!I58, IF(bbgm_stat &gt;= perc_95, converted_stat * 3, IF(bbgm_stat &gt;= perc_90, converted_stat * 2, IF(bbgm_stat &gt;= perc_85, converted_stat * 1.5, converted_stat)))))</f>
        <v/>
      </c>
      <c r="J58" s="30" t="str">
        <f t="array" ref="J58">IF($A58="", "", LET(bbgm_stat, INDEX(Players!$A57:$P57, MATCH(J$2, Players!$A$1:$P$1, 0)), perc_75, VLOOKUP(J$2, Percentiles!$A$45:$I$59, 6, FALSE), perc_90, VLOOKUP(J$2, Percentiles!$A$45:$I$59, 7, FALSE), perc_95, VLOOKUP(J$2, Percentiles!$A$45:$I$59, 8, FALSE), perc_85, perc_75 + (perc_90 - perc_75) * (2/3), converted_stat, '2K_Ratings'!J58, IF(bbgm_stat &gt;= perc_95, converted_stat * 3, IF(bbgm_stat &gt;= perc_90, converted_stat * 2, IF(bbgm_stat &gt;= perc_85, converted_stat * 1.5, converted_stat)))))</f>
        <v/>
      </c>
      <c r="K58" s="30" t="str">
        <f t="array" ref="K58">IF($A58="", "", LET(bbgm_stat, INDEX(Players!$A57:$P57, MATCH(K$2, Players!$A$1:$P$1, 0)), perc_75, VLOOKUP(K$2, Percentiles!$A$45:$I$59, 6, FALSE), perc_90, VLOOKUP(K$2, Percentiles!$A$45:$I$59, 7, FALSE), perc_95, VLOOKUP(K$2, Percentiles!$A$45:$I$59, 8, FALSE), perc_85, perc_75 + (perc_90 - perc_75) * (2/3), converted_stat, '2K_Ratings'!K58, IF(bbgm_stat &gt;= perc_95, converted_stat * 3, IF(bbgm_stat &gt;= perc_90, converted_stat * 2, IF(bbgm_stat &gt;= perc_85, converted_stat * 1.5, converted_stat)))))</f>
        <v/>
      </c>
      <c r="L58" s="30" t="str">
        <f t="array" ref="L58">IF($A58="", "", LET(bbgm_stat, INDEX(Players!$A57:$P57, MATCH(L$2, Players!$A$1:$P$1, 0)), perc_75, VLOOKUP(L$2, Percentiles!$A$45:$I$59, 6, FALSE), perc_90, VLOOKUP(L$2, Percentiles!$A$45:$I$59, 7, FALSE), perc_95, VLOOKUP(L$2, Percentiles!$A$45:$I$59, 8, FALSE), perc_85, perc_75 + (perc_90 - perc_75) * (2/3), converted_stat, '2K_Ratings'!L58, IF(bbgm_stat &gt;= perc_95, converted_stat * 3, IF(bbgm_stat &gt;= perc_90, converted_stat * 2, IF(bbgm_stat &gt;= perc_85, converted_stat * 1.5, converted_stat)))))</f>
        <v/>
      </c>
      <c r="M58" s="30" t="str">
        <f t="array" ref="M58">IF($A58="", "", LET(bbgm_stat, INDEX(Players!$A57:$P57, MATCH(M$2, Players!$A$1:$P$1, 0)), perc_75, VLOOKUP(M$2, Percentiles!$A$45:$I$59, 6, FALSE), perc_90, VLOOKUP(M$2, Percentiles!$A$45:$I$59, 7, FALSE), perc_95, VLOOKUP(M$2, Percentiles!$A$45:$I$59, 8, FALSE), perc_85, perc_75 + (perc_90 - perc_75) * (2/3), converted_stat, '2K_Ratings'!M58, IF(bbgm_stat &gt;= perc_95, converted_stat * 3, IF(bbgm_stat &gt;= perc_90, converted_stat * 2, IF(bbgm_stat &gt;= perc_85, converted_stat * 1.5, converted_stat)))))</f>
        <v/>
      </c>
      <c r="N58" s="30" t="str">
        <f t="array" ref="N58">IF($A58="", "", LET(bbgm_stat, INDEX(Players!$A57:$P57, MATCH(N$2, Players!$A$1:$P$1, 0)), perc_75, VLOOKUP(N$2, Percentiles!$A$45:$I$59, 6, FALSE), perc_90, VLOOKUP(N$2, Percentiles!$A$45:$I$59, 7, FALSE), perc_95, VLOOKUP(N$2, Percentiles!$A$45:$I$59, 8, FALSE), perc_85, perc_75 + (perc_90 - perc_75) * (2/3), converted_stat, '2K_Ratings'!N58, IF(bbgm_stat &gt;= perc_95, converted_stat * 3, IF(bbgm_stat &gt;= perc_90, converted_stat * 2, IF(bbgm_stat &gt;= perc_85, converted_stat * 1.5, converted_stat)))))</f>
        <v/>
      </c>
      <c r="O58" s="30" t="str">
        <f t="array" ref="O58">IF($A58="", "", LET(bbgm_stat, INDEX(Players!$A57:$P57, MATCH(O$2, Players!$A$1:$P$1, 0)), perc_75, VLOOKUP(O$2, Percentiles!$A$45:$I$59, 6, FALSE), perc_90, VLOOKUP(O$2, Percentiles!$A$45:$I$59, 7, FALSE), perc_95, VLOOKUP(O$2, Percentiles!$A$45:$I$59, 8, FALSE), perc_85, perc_75 + (perc_90 - perc_75) * (2/3), converted_stat, '2K_Ratings'!O58, IF(bbgm_stat &gt;= perc_95, converted_stat * 3, IF(bbgm_stat &gt;= perc_90, converted_stat * 2, IF(bbgm_stat &gt;= perc_85, converted_stat * 1.5, converted_stat)))))</f>
        <v/>
      </c>
      <c r="P58" s="30" t="str">
        <f t="array" ref="P58">IF($A58="", "", LET(bbgm_stat, INDEX(Players!$A57:$P57, MATCH(P$2, Players!$A$1:$P$1, 0)), perc_75, VLOOKUP(P$2, Percentiles!$A$45:$I$59, 6, FALSE), perc_90, VLOOKUP(P$2, Percentiles!$A$45:$I$59, 7, FALSE), perc_95, VLOOKUP(P$2, Percentiles!$A$45:$I$59, 8, FALSE), perc_85, perc_75 + (perc_90 - perc_75) * (2/3), converted_stat, '2K_Ratings'!P58, IF(bbgm_stat &gt;= perc_95, converted_stat * 3, IF(bbgm_stat &gt;= perc_90, converted_stat * 2, IF(bbgm_stat &gt;= perc_85, converted_stat * 1.5, converted_stat)))))</f>
        <v/>
      </c>
      <c r="Q58" s="30" t="str">
        <f t="array" ref="Q58">IF($A58="", "", LET(bbgm_stat, INDEX(Players!$A57:$P57, MATCH(Q$2, Players!$A$1:$P$1, 0)), perc_75, VLOOKUP(Q$2, Percentiles!$A$45:$I$59, 6, FALSE), perc_90, VLOOKUP(Q$2, Percentiles!$A$45:$I$59, 7, FALSE), perc_95, VLOOKUP(Q$2, Percentiles!$A$45:$I$59, 8, FALSE), perc_85, perc_75 + (perc_90 - perc_75) * (2/3), converted_stat, '2K_Ratings'!Q58, IF(bbgm_stat &gt;= perc_95, converted_stat * 3, IF(bbgm_stat &gt;= perc_90, converted_stat * 2, IF(bbgm_stat &gt;= perc_85, converted_stat * 1.5, converted_stat)))))</f>
        <v/>
      </c>
      <c r="R58" s="30" t="str">
        <f t="array" ref="R58">IF($A58="", "", LET(bbgm_stat, INDEX(Players!$A57:$P57, MATCH(R$2, Players!$A$1:$P$1, 0)), perc_75, VLOOKUP(R$2, Percentiles!$A$45:$I$59, 6, FALSE), perc_90, VLOOKUP(R$2, Percentiles!$A$45:$I$59, 7, FALSE), perc_95, VLOOKUP(R$2, Percentiles!$A$45:$I$59, 8, FALSE), perc_85, perc_75 + (perc_90 - perc_75) * (2/3), converted_stat, '2K_Ratings'!R58, IF(bbgm_stat &gt;= perc_95, converted_stat * 3, IF(bbgm_stat &gt;= perc_90, converted_stat * 2, IF(bbgm_stat &gt;= perc_85, converted_stat * 1.5, converted_stat)))))</f>
        <v/>
      </c>
      <c r="S58" s="30" t="str">
        <f t="array" ref="S58">IF($A58="", "", LET(bbgm_stat, INDEX(Players!$A57:$P57, MATCH(S$2, Players!$A$1:$P$1, 0)), perc_75, VLOOKUP(S$2, Percentiles!$A$45:$I$59, 6, FALSE), perc_90, VLOOKUP(S$2, Percentiles!$A$45:$I$59, 7, FALSE), perc_95, VLOOKUP(S$2, Percentiles!$A$45:$I$59, 8, FALSE), perc_85, perc_75 + (perc_90 - perc_75) * (2/3), converted_stat, '2K_Ratings'!S58, IF(bbgm_stat &gt;= perc_95, converted_stat * 3, IF(bbgm_stat &gt;= perc_90, converted_stat * 2, IF(bbgm_stat &gt;= perc_85, converted_stat * 1.5, converted_stat)))))</f>
        <v/>
      </c>
      <c r="T58" s="30" t="str">
        <f t="array" ref="T58">IF($A58="", "", LET(bbgm_stat, INDEX(Players!$A57:$P57, MATCH(T$2, Players!$A$1:$P$1, 0)), perc_75, VLOOKUP(T$2, Percentiles!$A$45:$I$59, 6, FALSE), perc_90, VLOOKUP(T$2, Percentiles!$A$45:$I$59, 7, FALSE), perc_95, VLOOKUP(T$2, Percentiles!$A$45:$I$59, 8, FALSE), perc_85, perc_75 + (perc_90 - perc_75) * (2/3), converted_stat, '2K_Ratings'!T58, IF(bbgm_stat &gt;= perc_95, converted_stat * 3, IF(bbgm_stat &gt;= perc_90, converted_stat * 2, IF(bbgm_stat &gt;= perc_85, converted_stat * 1.5, converted_stat)))))</f>
        <v/>
      </c>
      <c r="U58" s="30" t="str">
        <f t="array" ref="U58">IF($A58="", "", LET(bbgm_stat, INDEX(Players!$A57:$P57, MATCH(U$2, Players!$A$1:$P$1, 0)), perc_75, VLOOKUP(U$2, Percentiles!$A$45:$I$59, 6, FALSE), perc_90, VLOOKUP(U$2, Percentiles!$A$45:$I$59, 7, FALSE), perc_95, VLOOKUP(U$2, Percentiles!$A$45:$I$59, 8, FALSE), perc_85, perc_75 + (perc_90 - perc_75) * (2/3), converted_stat, '2K_Ratings'!U58, IF(bbgm_stat &gt;= perc_95, converted_stat * 3, IF(bbgm_stat &gt;= perc_90, converted_stat * 2, IF(bbgm_stat &gt;= perc_85, converted_stat * 1.5, converted_stat)))))</f>
        <v/>
      </c>
      <c r="V58" s="30" t="str">
        <f t="array" ref="V58">IF($A58="", "", LET(bbgm_stat, INDEX(Players!$A57:$P57, MATCH(V$2, Players!$A$1:$P$1, 0)), perc_75, VLOOKUP(V$2, Percentiles!$A$45:$I$59, 6, FALSE), perc_90, VLOOKUP(V$2, Percentiles!$A$45:$I$59, 7, FALSE), perc_95, VLOOKUP(V$2, Percentiles!$A$45:$I$59, 8, FALSE), perc_85, perc_75 + (perc_90 - perc_75) * (2/3), converted_stat, '2K_Ratings'!V58, IF(bbgm_stat &gt;= perc_95, converted_stat * 3, IF(bbgm_stat &gt;= perc_90, converted_stat * 2, IF(bbgm_stat &gt;= perc_85, converted_stat * 1.5, converted_stat)))))</f>
        <v/>
      </c>
      <c r="W58" s="30" t="str">
        <f t="array" ref="W58">IF($A58="", "", LET(bbgm_stat, INDEX(Players!$A57:$P57, MATCH(W$2, Players!$A$1:$P$1, 0)), perc_75, VLOOKUP(W$2, Percentiles!$A$45:$I$59, 6, FALSE), perc_90, VLOOKUP(W$2, Percentiles!$A$45:$I$59, 7, FALSE), perc_95, VLOOKUP(W$2, Percentiles!$A$45:$I$59, 8, FALSE), perc_85, perc_75 + (perc_90 - perc_75) * (2/3), converted_stat, '2K_Ratings'!W58, IF(bbgm_stat &gt;= perc_95, converted_stat * 3, IF(bbgm_stat &gt;= perc_90, converted_stat * 2, IF(bbgm_stat &gt;= perc_85, converted_stat * 1.5, converted_stat)))))</f>
        <v/>
      </c>
    </row>
    <row r="59">
      <c r="A59" s="30" t="str">
        <f>IF(Players!A58="", "", Players!A58)</f>
        <v/>
      </c>
      <c r="B59" s="30" t="str">
        <f t="array" ref="B59">IF($A59="", "", LET(bbgm_stat, INDEX(Players!$A58:$P58, MATCH(B$2, Players!$A$1:$P$1, 0)), perc_75, VLOOKUP(B$2, Percentiles!$A$45:$I$59, 6, FALSE), perc_90, VLOOKUP(B$2, Percentiles!$A$45:$I$59, 7, FALSE), perc_95, VLOOKUP(B$2, Percentiles!$A$45:$I$59, 8, FALSE), perc_85, perc_75 + (perc_90 - perc_75) * (2/3), converted_stat, '2K_Ratings'!B59, IF(bbgm_stat &gt;= perc_95, converted_stat * 3, IF(bbgm_stat &gt;= perc_90, converted_stat * 2, IF(bbgm_stat &gt;= perc_85, converted_stat * 1.5, converted_stat)))))</f>
        <v/>
      </c>
      <c r="C59" s="30" t="str">
        <f t="array" ref="C59">IF($A59="", "", LET(bbgm_stat, INDEX(Players!$A58:$P58, MATCH(C$2, Players!$A$1:$P$1, 0)), perc_75, VLOOKUP(C$2, Percentiles!$A$45:$I$59, 6, FALSE), perc_90, VLOOKUP(C$2, Percentiles!$A$45:$I$59, 7, FALSE), perc_95, VLOOKUP(C$2, Percentiles!$A$45:$I$59, 8, FALSE), perc_85, perc_75 + (perc_90 - perc_75) * (2/3), converted_stat, '2K_Ratings'!C59, IF(bbgm_stat &gt;= perc_95, converted_stat * 3, IF(bbgm_stat &gt;= perc_90, converted_stat * 2, IF(bbgm_stat &gt;= perc_85, converted_stat * 1.5, converted_stat)))))</f>
        <v/>
      </c>
      <c r="D59" s="30" t="str">
        <f t="array" ref="D59">IF($A59="", "", LET(bbgm_stat, INDEX(Players!$A58:$P58, MATCH(D$2, Players!$A$1:$P$1, 0)), perc_75, VLOOKUP(D$2, Percentiles!$A$45:$I$59, 6, FALSE), perc_90, VLOOKUP(D$2, Percentiles!$A$45:$I$59, 7, FALSE), perc_95, VLOOKUP(D$2, Percentiles!$A$45:$I$59, 8, FALSE), perc_85, perc_75 + (perc_90 - perc_75) * (2/3), converted_stat, '2K_Ratings'!D59, IF(bbgm_stat &gt;= perc_95, converted_stat * 3, IF(bbgm_stat &gt;= perc_90, converted_stat * 2, IF(bbgm_stat &gt;= perc_85, converted_stat * 1.5, converted_stat)))))</f>
        <v/>
      </c>
      <c r="E59" s="30" t="str">
        <f t="array" ref="E59">IF($A59="", "", LET(bbgm_stat, INDEX(Players!$A58:$P58, MATCH(E$2, Players!$A$1:$P$1, 0)), perc_75, VLOOKUP(E$2, Percentiles!$A$45:$I$59, 6, FALSE), perc_90, VLOOKUP(E$2, Percentiles!$A$45:$I$59, 7, FALSE), perc_95, VLOOKUP(E$2, Percentiles!$A$45:$I$59, 8, FALSE), perc_85, perc_75 + (perc_90 - perc_75) * (2/3), converted_stat, '2K_Ratings'!E59, IF(bbgm_stat &gt;= perc_95, converted_stat * 3, IF(bbgm_stat &gt;= perc_90, converted_stat * 2, IF(bbgm_stat &gt;= perc_85, converted_stat * 1.5, converted_stat)))))</f>
        <v/>
      </c>
      <c r="F59" s="30" t="str">
        <f t="array" ref="F59">IF($A59="", "", LET(bbgm_stat, INDEX(Players!$A58:$P58, MATCH(F$2, Players!$A$1:$P$1, 0)), perc_75, VLOOKUP(F$2, Percentiles!$A$45:$I$59, 6, FALSE), perc_90, VLOOKUP(F$2, Percentiles!$A$45:$I$59, 7, FALSE), perc_95, VLOOKUP(F$2, Percentiles!$A$45:$I$59, 8, FALSE), perc_85, perc_75 + (perc_90 - perc_75) * (2/3), converted_stat, '2K_Ratings'!F59, IF(bbgm_stat &gt;= perc_95, converted_stat * 3, IF(bbgm_stat &gt;= perc_90, converted_stat * 2, IF(bbgm_stat &gt;= perc_85, converted_stat * 1.5, converted_stat)))))</f>
        <v/>
      </c>
      <c r="G59" s="30" t="str">
        <f t="array" ref="G59">IF($A59="", "", LET(bbgm_stat, INDEX(Players!$A58:$P58, MATCH(G$2, Players!$A$1:$P$1, 0)), perc_75, VLOOKUP(G$2, Percentiles!$A$45:$I$59, 6, FALSE), perc_90, VLOOKUP(G$2, Percentiles!$A$45:$I$59, 7, FALSE), perc_95, VLOOKUP(G$2, Percentiles!$A$45:$I$59, 8, FALSE), perc_85, perc_75 + (perc_90 - perc_75) * (2/3), converted_stat, '2K_Ratings'!G59, IF(bbgm_stat &gt;= perc_95, converted_stat * 3, IF(bbgm_stat &gt;= perc_90, converted_stat * 2, IF(bbgm_stat &gt;= perc_85, converted_stat * 1.5, converted_stat)))))</f>
        <v/>
      </c>
      <c r="H59" s="30" t="str">
        <f t="array" ref="H59">IF($A59="", "", LET(bbgm_stat, INDEX(Players!$A58:$P58, MATCH(H$2, Players!$A$1:$P$1, 0)), perc_75, VLOOKUP(H$2, Percentiles!$A$45:$I$59, 6, FALSE), perc_90, VLOOKUP(H$2, Percentiles!$A$45:$I$59, 7, FALSE), perc_95, VLOOKUP(H$2, Percentiles!$A$45:$I$59, 8, FALSE), perc_85, perc_75 + (perc_90 - perc_75) * (2/3), converted_stat, '2K_Ratings'!H59, IF(bbgm_stat &gt;= perc_95, converted_stat * 3, IF(bbgm_stat &gt;= perc_90, converted_stat * 2, IF(bbgm_stat &gt;= perc_85, converted_stat * 1.5, converted_stat)))))</f>
        <v/>
      </c>
      <c r="I59" s="30" t="str">
        <f t="array" ref="I59">IF($A59="", "", LET(bbgm_stat, INDEX(Players!$A58:$P58, MATCH(I$2, Players!$A$1:$P$1, 0)), perc_75, VLOOKUP(I$2, Percentiles!$A$45:$I$59, 6, FALSE), perc_90, VLOOKUP(I$2, Percentiles!$A$45:$I$59, 7, FALSE), perc_95, VLOOKUP(I$2, Percentiles!$A$45:$I$59, 8, FALSE), perc_85, perc_75 + (perc_90 - perc_75) * (2/3), converted_stat, '2K_Ratings'!I59, IF(bbgm_stat &gt;= perc_95, converted_stat * 3, IF(bbgm_stat &gt;= perc_90, converted_stat * 2, IF(bbgm_stat &gt;= perc_85, converted_stat * 1.5, converted_stat)))))</f>
        <v/>
      </c>
      <c r="J59" s="30" t="str">
        <f t="array" ref="J59">IF($A59="", "", LET(bbgm_stat, INDEX(Players!$A58:$P58, MATCH(J$2, Players!$A$1:$P$1, 0)), perc_75, VLOOKUP(J$2, Percentiles!$A$45:$I$59, 6, FALSE), perc_90, VLOOKUP(J$2, Percentiles!$A$45:$I$59, 7, FALSE), perc_95, VLOOKUP(J$2, Percentiles!$A$45:$I$59, 8, FALSE), perc_85, perc_75 + (perc_90 - perc_75) * (2/3), converted_stat, '2K_Ratings'!J59, IF(bbgm_stat &gt;= perc_95, converted_stat * 3, IF(bbgm_stat &gt;= perc_90, converted_stat * 2, IF(bbgm_stat &gt;= perc_85, converted_stat * 1.5, converted_stat)))))</f>
        <v/>
      </c>
      <c r="K59" s="30" t="str">
        <f t="array" ref="K59">IF($A59="", "", LET(bbgm_stat, INDEX(Players!$A58:$P58, MATCH(K$2, Players!$A$1:$P$1, 0)), perc_75, VLOOKUP(K$2, Percentiles!$A$45:$I$59, 6, FALSE), perc_90, VLOOKUP(K$2, Percentiles!$A$45:$I$59, 7, FALSE), perc_95, VLOOKUP(K$2, Percentiles!$A$45:$I$59, 8, FALSE), perc_85, perc_75 + (perc_90 - perc_75) * (2/3), converted_stat, '2K_Ratings'!K59, IF(bbgm_stat &gt;= perc_95, converted_stat * 3, IF(bbgm_stat &gt;= perc_90, converted_stat * 2, IF(bbgm_stat &gt;= perc_85, converted_stat * 1.5, converted_stat)))))</f>
        <v/>
      </c>
      <c r="L59" s="30" t="str">
        <f t="array" ref="L59">IF($A59="", "", LET(bbgm_stat, INDEX(Players!$A58:$P58, MATCH(L$2, Players!$A$1:$P$1, 0)), perc_75, VLOOKUP(L$2, Percentiles!$A$45:$I$59, 6, FALSE), perc_90, VLOOKUP(L$2, Percentiles!$A$45:$I$59, 7, FALSE), perc_95, VLOOKUP(L$2, Percentiles!$A$45:$I$59, 8, FALSE), perc_85, perc_75 + (perc_90 - perc_75) * (2/3), converted_stat, '2K_Ratings'!L59, IF(bbgm_stat &gt;= perc_95, converted_stat * 3, IF(bbgm_stat &gt;= perc_90, converted_stat * 2, IF(bbgm_stat &gt;= perc_85, converted_stat * 1.5, converted_stat)))))</f>
        <v/>
      </c>
      <c r="M59" s="30" t="str">
        <f t="array" ref="M59">IF($A59="", "", LET(bbgm_stat, INDEX(Players!$A58:$P58, MATCH(M$2, Players!$A$1:$P$1, 0)), perc_75, VLOOKUP(M$2, Percentiles!$A$45:$I$59, 6, FALSE), perc_90, VLOOKUP(M$2, Percentiles!$A$45:$I$59, 7, FALSE), perc_95, VLOOKUP(M$2, Percentiles!$A$45:$I$59, 8, FALSE), perc_85, perc_75 + (perc_90 - perc_75) * (2/3), converted_stat, '2K_Ratings'!M59, IF(bbgm_stat &gt;= perc_95, converted_stat * 3, IF(bbgm_stat &gt;= perc_90, converted_stat * 2, IF(bbgm_stat &gt;= perc_85, converted_stat * 1.5, converted_stat)))))</f>
        <v/>
      </c>
      <c r="N59" s="30" t="str">
        <f t="array" ref="N59">IF($A59="", "", LET(bbgm_stat, INDEX(Players!$A58:$P58, MATCH(N$2, Players!$A$1:$P$1, 0)), perc_75, VLOOKUP(N$2, Percentiles!$A$45:$I$59, 6, FALSE), perc_90, VLOOKUP(N$2, Percentiles!$A$45:$I$59, 7, FALSE), perc_95, VLOOKUP(N$2, Percentiles!$A$45:$I$59, 8, FALSE), perc_85, perc_75 + (perc_90 - perc_75) * (2/3), converted_stat, '2K_Ratings'!N59, IF(bbgm_stat &gt;= perc_95, converted_stat * 3, IF(bbgm_stat &gt;= perc_90, converted_stat * 2, IF(bbgm_stat &gt;= perc_85, converted_stat * 1.5, converted_stat)))))</f>
        <v/>
      </c>
      <c r="O59" s="30" t="str">
        <f t="array" ref="O59">IF($A59="", "", LET(bbgm_stat, INDEX(Players!$A58:$P58, MATCH(O$2, Players!$A$1:$P$1, 0)), perc_75, VLOOKUP(O$2, Percentiles!$A$45:$I$59, 6, FALSE), perc_90, VLOOKUP(O$2, Percentiles!$A$45:$I$59, 7, FALSE), perc_95, VLOOKUP(O$2, Percentiles!$A$45:$I$59, 8, FALSE), perc_85, perc_75 + (perc_90 - perc_75) * (2/3), converted_stat, '2K_Ratings'!O59, IF(bbgm_stat &gt;= perc_95, converted_stat * 3, IF(bbgm_stat &gt;= perc_90, converted_stat * 2, IF(bbgm_stat &gt;= perc_85, converted_stat * 1.5, converted_stat)))))</f>
        <v/>
      </c>
      <c r="P59" s="30" t="str">
        <f t="array" ref="P59">IF($A59="", "", LET(bbgm_stat, INDEX(Players!$A58:$P58, MATCH(P$2, Players!$A$1:$P$1, 0)), perc_75, VLOOKUP(P$2, Percentiles!$A$45:$I$59, 6, FALSE), perc_90, VLOOKUP(P$2, Percentiles!$A$45:$I$59, 7, FALSE), perc_95, VLOOKUP(P$2, Percentiles!$A$45:$I$59, 8, FALSE), perc_85, perc_75 + (perc_90 - perc_75) * (2/3), converted_stat, '2K_Ratings'!P59, IF(bbgm_stat &gt;= perc_95, converted_stat * 3, IF(bbgm_stat &gt;= perc_90, converted_stat * 2, IF(bbgm_stat &gt;= perc_85, converted_stat * 1.5, converted_stat)))))</f>
        <v/>
      </c>
      <c r="Q59" s="30" t="str">
        <f t="array" ref="Q59">IF($A59="", "", LET(bbgm_stat, INDEX(Players!$A58:$P58, MATCH(Q$2, Players!$A$1:$P$1, 0)), perc_75, VLOOKUP(Q$2, Percentiles!$A$45:$I$59, 6, FALSE), perc_90, VLOOKUP(Q$2, Percentiles!$A$45:$I$59, 7, FALSE), perc_95, VLOOKUP(Q$2, Percentiles!$A$45:$I$59, 8, FALSE), perc_85, perc_75 + (perc_90 - perc_75) * (2/3), converted_stat, '2K_Ratings'!Q59, IF(bbgm_stat &gt;= perc_95, converted_stat * 3, IF(bbgm_stat &gt;= perc_90, converted_stat * 2, IF(bbgm_stat &gt;= perc_85, converted_stat * 1.5, converted_stat)))))</f>
        <v/>
      </c>
      <c r="R59" s="30" t="str">
        <f t="array" ref="R59">IF($A59="", "", LET(bbgm_stat, INDEX(Players!$A58:$P58, MATCH(R$2, Players!$A$1:$P$1, 0)), perc_75, VLOOKUP(R$2, Percentiles!$A$45:$I$59, 6, FALSE), perc_90, VLOOKUP(R$2, Percentiles!$A$45:$I$59, 7, FALSE), perc_95, VLOOKUP(R$2, Percentiles!$A$45:$I$59, 8, FALSE), perc_85, perc_75 + (perc_90 - perc_75) * (2/3), converted_stat, '2K_Ratings'!R59, IF(bbgm_stat &gt;= perc_95, converted_stat * 3, IF(bbgm_stat &gt;= perc_90, converted_stat * 2, IF(bbgm_stat &gt;= perc_85, converted_stat * 1.5, converted_stat)))))</f>
        <v/>
      </c>
      <c r="S59" s="30" t="str">
        <f t="array" ref="S59">IF($A59="", "", LET(bbgm_stat, INDEX(Players!$A58:$P58, MATCH(S$2, Players!$A$1:$P$1, 0)), perc_75, VLOOKUP(S$2, Percentiles!$A$45:$I$59, 6, FALSE), perc_90, VLOOKUP(S$2, Percentiles!$A$45:$I$59, 7, FALSE), perc_95, VLOOKUP(S$2, Percentiles!$A$45:$I$59, 8, FALSE), perc_85, perc_75 + (perc_90 - perc_75) * (2/3), converted_stat, '2K_Ratings'!S59, IF(bbgm_stat &gt;= perc_95, converted_stat * 3, IF(bbgm_stat &gt;= perc_90, converted_stat * 2, IF(bbgm_stat &gt;= perc_85, converted_stat * 1.5, converted_stat)))))</f>
        <v/>
      </c>
      <c r="T59" s="30" t="str">
        <f t="array" ref="T59">IF($A59="", "", LET(bbgm_stat, INDEX(Players!$A58:$P58, MATCH(T$2, Players!$A$1:$P$1, 0)), perc_75, VLOOKUP(T$2, Percentiles!$A$45:$I$59, 6, FALSE), perc_90, VLOOKUP(T$2, Percentiles!$A$45:$I$59, 7, FALSE), perc_95, VLOOKUP(T$2, Percentiles!$A$45:$I$59, 8, FALSE), perc_85, perc_75 + (perc_90 - perc_75) * (2/3), converted_stat, '2K_Ratings'!T59, IF(bbgm_stat &gt;= perc_95, converted_stat * 3, IF(bbgm_stat &gt;= perc_90, converted_stat * 2, IF(bbgm_stat &gt;= perc_85, converted_stat * 1.5, converted_stat)))))</f>
        <v/>
      </c>
      <c r="U59" s="30" t="str">
        <f t="array" ref="U59">IF($A59="", "", LET(bbgm_stat, INDEX(Players!$A58:$P58, MATCH(U$2, Players!$A$1:$P$1, 0)), perc_75, VLOOKUP(U$2, Percentiles!$A$45:$I$59, 6, FALSE), perc_90, VLOOKUP(U$2, Percentiles!$A$45:$I$59, 7, FALSE), perc_95, VLOOKUP(U$2, Percentiles!$A$45:$I$59, 8, FALSE), perc_85, perc_75 + (perc_90 - perc_75) * (2/3), converted_stat, '2K_Ratings'!U59, IF(bbgm_stat &gt;= perc_95, converted_stat * 3, IF(bbgm_stat &gt;= perc_90, converted_stat * 2, IF(bbgm_stat &gt;= perc_85, converted_stat * 1.5, converted_stat)))))</f>
        <v/>
      </c>
      <c r="V59" s="30" t="str">
        <f t="array" ref="V59">IF($A59="", "", LET(bbgm_stat, INDEX(Players!$A58:$P58, MATCH(V$2, Players!$A$1:$P$1, 0)), perc_75, VLOOKUP(V$2, Percentiles!$A$45:$I$59, 6, FALSE), perc_90, VLOOKUP(V$2, Percentiles!$A$45:$I$59, 7, FALSE), perc_95, VLOOKUP(V$2, Percentiles!$A$45:$I$59, 8, FALSE), perc_85, perc_75 + (perc_90 - perc_75) * (2/3), converted_stat, '2K_Ratings'!V59, IF(bbgm_stat &gt;= perc_95, converted_stat * 3, IF(bbgm_stat &gt;= perc_90, converted_stat * 2, IF(bbgm_stat &gt;= perc_85, converted_stat * 1.5, converted_stat)))))</f>
        <v/>
      </c>
      <c r="W59" s="30" t="str">
        <f t="array" ref="W59">IF($A59="", "", LET(bbgm_stat, INDEX(Players!$A58:$P58, MATCH(W$2, Players!$A$1:$P$1, 0)), perc_75, VLOOKUP(W$2, Percentiles!$A$45:$I$59, 6, FALSE), perc_90, VLOOKUP(W$2, Percentiles!$A$45:$I$59, 7, FALSE), perc_95, VLOOKUP(W$2, Percentiles!$A$45:$I$59, 8, FALSE), perc_85, perc_75 + (perc_90 - perc_75) * (2/3), converted_stat, '2K_Ratings'!W59, IF(bbgm_stat &gt;= perc_95, converted_stat * 3, IF(bbgm_stat &gt;= perc_90, converted_stat * 2, IF(bbgm_stat &gt;= perc_85, converted_stat * 1.5, converted_stat)))))</f>
        <v/>
      </c>
    </row>
    <row r="60">
      <c r="A60" s="30" t="str">
        <f>IF(Players!A59="", "", Players!A59)</f>
        <v/>
      </c>
      <c r="B60" s="30" t="str">
        <f t="array" ref="B60">IF($A60="", "", LET(bbgm_stat, INDEX(Players!$A59:$P59, MATCH(B$2, Players!$A$1:$P$1, 0)), perc_75, VLOOKUP(B$2, Percentiles!$A$45:$I$59, 6, FALSE), perc_90, VLOOKUP(B$2, Percentiles!$A$45:$I$59, 7, FALSE), perc_95, VLOOKUP(B$2, Percentiles!$A$45:$I$59, 8, FALSE), perc_85, perc_75 + (perc_90 - perc_75) * (2/3), converted_stat, '2K_Ratings'!B60, IF(bbgm_stat &gt;= perc_95, converted_stat * 3, IF(bbgm_stat &gt;= perc_90, converted_stat * 2, IF(bbgm_stat &gt;= perc_85, converted_stat * 1.5, converted_stat)))))</f>
        <v/>
      </c>
      <c r="C60" s="30" t="str">
        <f t="array" ref="C60">IF($A60="", "", LET(bbgm_stat, INDEX(Players!$A59:$P59, MATCH(C$2, Players!$A$1:$P$1, 0)), perc_75, VLOOKUP(C$2, Percentiles!$A$45:$I$59, 6, FALSE), perc_90, VLOOKUP(C$2, Percentiles!$A$45:$I$59, 7, FALSE), perc_95, VLOOKUP(C$2, Percentiles!$A$45:$I$59, 8, FALSE), perc_85, perc_75 + (perc_90 - perc_75) * (2/3), converted_stat, '2K_Ratings'!C60, IF(bbgm_stat &gt;= perc_95, converted_stat * 3, IF(bbgm_stat &gt;= perc_90, converted_stat * 2, IF(bbgm_stat &gt;= perc_85, converted_stat * 1.5, converted_stat)))))</f>
        <v/>
      </c>
      <c r="D60" s="30" t="str">
        <f t="array" ref="D60">IF($A60="", "", LET(bbgm_stat, INDEX(Players!$A59:$P59, MATCH(D$2, Players!$A$1:$P$1, 0)), perc_75, VLOOKUP(D$2, Percentiles!$A$45:$I$59, 6, FALSE), perc_90, VLOOKUP(D$2, Percentiles!$A$45:$I$59, 7, FALSE), perc_95, VLOOKUP(D$2, Percentiles!$A$45:$I$59, 8, FALSE), perc_85, perc_75 + (perc_90 - perc_75) * (2/3), converted_stat, '2K_Ratings'!D60, IF(bbgm_stat &gt;= perc_95, converted_stat * 3, IF(bbgm_stat &gt;= perc_90, converted_stat * 2, IF(bbgm_stat &gt;= perc_85, converted_stat * 1.5, converted_stat)))))</f>
        <v/>
      </c>
      <c r="E60" s="30" t="str">
        <f t="array" ref="E60">IF($A60="", "", LET(bbgm_stat, INDEX(Players!$A59:$P59, MATCH(E$2, Players!$A$1:$P$1, 0)), perc_75, VLOOKUP(E$2, Percentiles!$A$45:$I$59, 6, FALSE), perc_90, VLOOKUP(E$2, Percentiles!$A$45:$I$59, 7, FALSE), perc_95, VLOOKUP(E$2, Percentiles!$A$45:$I$59, 8, FALSE), perc_85, perc_75 + (perc_90 - perc_75) * (2/3), converted_stat, '2K_Ratings'!E60, IF(bbgm_stat &gt;= perc_95, converted_stat * 3, IF(bbgm_stat &gt;= perc_90, converted_stat * 2, IF(bbgm_stat &gt;= perc_85, converted_stat * 1.5, converted_stat)))))</f>
        <v/>
      </c>
      <c r="F60" s="30" t="str">
        <f t="array" ref="F60">IF($A60="", "", LET(bbgm_stat, INDEX(Players!$A59:$P59, MATCH(F$2, Players!$A$1:$P$1, 0)), perc_75, VLOOKUP(F$2, Percentiles!$A$45:$I$59, 6, FALSE), perc_90, VLOOKUP(F$2, Percentiles!$A$45:$I$59, 7, FALSE), perc_95, VLOOKUP(F$2, Percentiles!$A$45:$I$59, 8, FALSE), perc_85, perc_75 + (perc_90 - perc_75) * (2/3), converted_stat, '2K_Ratings'!F60, IF(bbgm_stat &gt;= perc_95, converted_stat * 3, IF(bbgm_stat &gt;= perc_90, converted_stat * 2, IF(bbgm_stat &gt;= perc_85, converted_stat * 1.5, converted_stat)))))</f>
        <v/>
      </c>
      <c r="G60" s="30" t="str">
        <f t="array" ref="G60">IF($A60="", "", LET(bbgm_stat, INDEX(Players!$A59:$P59, MATCH(G$2, Players!$A$1:$P$1, 0)), perc_75, VLOOKUP(G$2, Percentiles!$A$45:$I$59, 6, FALSE), perc_90, VLOOKUP(G$2, Percentiles!$A$45:$I$59, 7, FALSE), perc_95, VLOOKUP(G$2, Percentiles!$A$45:$I$59, 8, FALSE), perc_85, perc_75 + (perc_90 - perc_75) * (2/3), converted_stat, '2K_Ratings'!G60, IF(bbgm_stat &gt;= perc_95, converted_stat * 3, IF(bbgm_stat &gt;= perc_90, converted_stat * 2, IF(bbgm_stat &gt;= perc_85, converted_stat * 1.5, converted_stat)))))</f>
        <v/>
      </c>
      <c r="H60" s="30" t="str">
        <f t="array" ref="H60">IF($A60="", "", LET(bbgm_stat, INDEX(Players!$A59:$P59, MATCH(H$2, Players!$A$1:$P$1, 0)), perc_75, VLOOKUP(H$2, Percentiles!$A$45:$I$59, 6, FALSE), perc_90, VLOOKUP(H$2, Percentiles!$A$45:$I$59, 7, FALSE), perc_95, VLOOKUP(H$2, Percentiles!$A$45:$I$59, 8, FALSE), perc_85, perc_75 + (perc_90 - perc_75) * (2/3), converted_stat, '2K_Ratings'!H60, IF(bbgm_stat &gt;= perc_95, converted_stat * 3, IF(bbgm_stat &gt;= perc_90, converted_stat * 2, IF(bbgm_stat &gt;= perc_85, converted_stat * 1.5, converted_stat)))))</f>
        <v/>
      </c>
      <c r="I60" s="30" t="str">
        <f t="array" ref="I60">IF($A60="", "", LET(bbgm_stat, INDEX(Players!$A59:$P59, MATCH(I$2, Players!$A$1:$P$1, 0)), perc_75, VLOOKUP(I$2, Percentiles!$A$45:$I$59, 6, FALSE), perc_90, VLOOKUP(I$2, Percentiles!$A$45:$I$59, 7, FALSE), perc_95, VLOOKUP(I$2, Percentiles!$A$45:$I$59, 8, FALSE), perc_85, perc_75 + (perc_90 - perc_75) * (2/3), converted_stat, '2K_Ratings'!I60, IF(bbgm_stat &gt;= perc_95, converted_stat * 3, IF(bbgm_stat &gt;= perc_90, converted_stat * 2, IF(bbgm_stat &gt;= perc_85, converted_stat * 1.5, converted_stat)))))</f>
        <v/>
      </c>
      <c r="J60" s="30" t="str">
        <f t="array" ref="J60">IF($A60="", "", LET(bbgm_stat, INDEX(Players!$A59:$P59, MATCH(J$2, Players!$A$1:$P$1, 0)), perc_75, VLOOKUP(J$2, Percentiles!$A$45:$I$59, 6, FALSE), perc_90, VLOOKUP(J$2, Percentiles!$A$45:$I$59, 7, FALSE), perc_95, VLOOKUP(J$2, Percentiles!$A$45:$I$59, 8, FALSE), perc_85, perc_75 + (perc_90 - perc_75) * (2/3), converted_stat, '2K_Ratings'!J60, IF(bbgm_stat &gt;= perc_95, converted_stat * 3, IF(bbgm_stat &gt;= perc_90, converted_stat * 2, IF(bbgm_stat &gt;= perc_85, converted_stat * 1.5, converted_stat)))))</f>
        <v/>
      </c>
      <c r="K60" s="30" t="str">
        <f t="array" ref="K60">IF($A60="", "", LET(bbgm_stat, INDEX(Players!$A59:$P59, MATCH(K$2, Players!$A$1:$P$1, 0)), perc_75, VLOOKUP(K$2, Percentiles!$A$45:$I$59, 6, FALSE), perc_90, VLOOKUP(K$2, Percentiles!$A$45:$I$59, 7, FALSE), perc_95, VLOOKUP(K$2, Percentiles!$A$45:$I$59, 8, FALSE), perc_85, perc_75 + (perc_90 - perc_75) * (2/3), converted_stat, '2K_Ratings'!K60, IF(bbgm_stat &gt;= perc_95, converted_stat * 3, IF(bbgm_stat &gt;= perc_90, converted_stat * 2, IF(bbgm_stat &gt;= perc_85, converted_stat * 1.5, converted_stat)))))</f>
        <v/>
      </c>
      <c r="L60" s="30" t="str">
        <f t="array" ref="L60">IF($A60="", "", LET(bbgm_stat, INDEX(Players!$A59:$P59, MATCH(L$2, Players!$A$1:$P$1, 0)), perc_75, VLOOKUP(L$2, Percentiles!$A$45:$I$59, 6, FALSE), perc_90, VLOOKUP(L$2, Percentiles!$A$45:$I$59, 7, FALSE), perc_95, VLOOKUP(L$2, Percentiles!$A$45:$I$59, 8, FALSE), perc_85, perc_75 + (perc_90 - perc_75) * (2/3), converted_stat, '2K_Ratings'!L60, IF(bbgm_stat &gt;= perc_95, converted_stat * 3, IF(bbgm_stat &gt;= perc_90, converted_stat * 2, IF(bbgm_stat &gt;= perc_85, converted_stat * 1.5, converted_stat)))))</f>
        <v/>
      </c>
      <c r="M60" s="30" t="str">
        <f t="array" ref="M60">IF($A60="", "", LET(bbgm_stat, INDEX(Players!$A59:$P59, MATCH(M$2, Players!$A$1:$P$1, 0)), perc_75, VLOOKUP(M$2, Percentiles!$A$45:$I$59, 6, FALSE), perc_90, VLOOKUP(M$2, Percentiles!$A$45:$I$59, 7, FALSE), perc_95, VLOOKUP(M$2, Percentiles!$A$45:$I$59, 8, FALSE), perc_85, perc_75 + (perc_90 - perc_75) * (2/3), converted_stat, '2K_Ratings'!M60, IF(bbgm_stat &gt;= perc_95, converted_stat * 3, IF(bbgm_stat &gt;= perc_90, converted_stat * 2, IF(bbgm_stat &gt;= perc_85, converted_stat * 1.5, converted_stat)))))</f>
        <v/>
      </c>
      <c r="N60" s="30" t="str">
        <f t="array" ref="N60">IF($A60="", "", LET(bbgm_stat, INDEX(Players!$A59:$P59, MATCH(N$2, Players!$A$1:$P$1, 0)), perc_75, VLOOKUP(N$2, Percentiles!$A$45:$I$59, 6, FALSE), perc_90, VLOOKUP(N$2, Percentiles!$A$45:$I$59, 7, FALSE), perc_95, VLOOKUP(N$2, Percentiles!$A$45:$I$59, 8, FALSE), perc_85, perc_75 + (perc_90 - perc_75) * (2/3), converted_stat, '2K_Ratings'!N60, IF(bbgm_stat &gt;= perc_95, converted_stat * 3, IF(bbgm_stat &gt;= perc_90, converted_stat * 2, IF(bbgm_stat &gt;= perc_85, converted_stat * 1.5, converted_stat)))))</f>
        <v/>
      </c>
      <c r="O60" s="30" t="str">
        <f t="array" ref="O60">IF($A60="", "", LET(bbgm_stat, INDEX(Players!$A59:$P59, MATCH(O$2, Players!$A$1:$P$1, 0)), perc_75, VLOOKUP(O$2, Percentiles!$A$45:$I$59, 6, FALSE), perc_90, VLOOKUP(O$2, Percentiles!$A$45:$I$59, 7, FALSE), perc_95, VLOOKUP(O$2, Percentiles!$A$45:$I$59, 8, FALSE), perc_85, perc_75 + (perc_90 - perc_75) * (2/3), converted_stat, '2K_Ratings'!O60, IF(bbgm_stat &gt;= perc_95, converted_stat * 3, IF(bbgm_stat &gt;= perc_90, converted_stat * 2, IF(bbgm_stat &gt;= perc_85, converted_stat * 1.5, converted_stat)))))</f>
        <v/>
      </c>
      <c r="P60" s="30" t="str">
        <f t="array" ref="P60">IF($A60="", "", LET(bbgm_stat, INDEX(Players!$A59:$P59, MATCH(P$2, Players!$A$1:$P$1, 0)), perc_75, VLOOKUP(P$2, Percentiles!$A$45:$I$59, 6, FALSE), perc_90, VLOOKUP(P$2, Percentiles!$A$45:$I$59, 7, FALSE), perc_95, VLOOKUP(P$2, Percentiles!$A$45:$I$59, 8, FALSE), perc_85, perc_75 + (perc_90 - perc_75) * (2/3), converted_stat, '2K_Ratings'!P60, IF(bbgm_stat &gt;= perc_95, converted_stat * 3, IF(bbgm_stat &gt;= perc_90, converted_stat * 2, IF(bbgm_stat &gt;= perc_85, converted_stat * 1.5, converted_stat)))))</f>
        <v/>
      </c>
      <c r="Q60" s="30" t="str">
        <f t="array" ref="Q60">IF($A60="", "", LET(bbgm_stat, INDEX(Players!$A59:$P59, MATCH(Q$2, Players!$A$1:$P$1, 0)), perc_75, VLOOKUP(Q$2, Percentiles!$A$45:$I$59, 6, FALSE), perc_90, VLOOKUP(Q$2, Percentiles!$A$45:$I$59, 7, FALSE), perc_95, VLOOKUP(Q$2, Percentiles!$A$45:$I$59, 8, FALSE), perc_85, perc_75 + (perc_90 - perc_75) * (2/3), converted_stat, '2K_Ratings'!Q60, IF(bbgm_stat &gt;= perc_95, converted_stat * 3, IF(bbgm_stat &gt;= perc_90, converted_stat * 2, IF(bbgm_stat &gt;= perc_85, converted_stat * 1.5, converted_stat)))))</f>
        <v/>
      </c>
      <c r="R60" s="30" t="str">
        <f t="array" ref="R60">IF($A60="", "", LET(bbgm_stat, INDEX(Players!$A59:$P59, MATCH(R$2, Players!$A$1:$P$1, 0)), perc_75, VLOOKUP(R$2, Percentiles!$A$45:$I$59, 6, FALSE), perc_90, VLOOKUP(R$2, Percentiles!$A$45:$I$59, 7, FALSE), perc_95, VLOOKUP(R$2, Percentiles!$A$45:$I$59, 8, FALSE), perc_85, perc_75 + (perc_90 - perc_75) * (2/3), converted_stat, '2K_Ratings'!R60, IF(bbgm_stat &gt;= perc_95, converted_stat * 3, IF(bbgm_stat &gt;= perc_90, converted_stat * 2, IF(bbgm_stat &gt;= perc_85, converted_stat * 1.5, converted_stat)))))</f>
        <v/>
      </c>
      <c r="S60" s="30" t="str">
        <f t="array" ref="S60">IF($A60="", "", LET(bbgm_stat, INDEX(Players!$A59:$P59, MATCH(S$2, Players!$A$1:$P$1, 0)), perc_75, VLOOKUP(S$2, Percentiles!$A$45:$I$59, 6, FALSE), perc_90, VLOOKUP(S$2, Percentiles!$A$45:$I$59, 7, FALSE), perc_95, VLOOKUP(S$2, Percentiles!$A$45:$I$59, 8, FALSE), perc_85, perc_75 + (perc_90 - perc_75) * (2/3), converted_stat, '2K_Ratings'!S60, IF(bbgm_stat &gt;= perc_95, converted_stat * 3, IF(bbgm_stat &gt;= perc_90, converted_stat * 2, IF(bbgm_stat &gt;= perc_85, converted_stat * 1.5, converted_stat)))))</f>
        <v/>
      </c>
      <c r="T60" s="30" t="str">
        <f t="array" ref="T60">IF($A60="", "", LET(bbgm_stat, INDEX(Players!$A59:$P59, MATCH(T$2, Players!$A$1:$P$1, 0)), perc_75, VLOOKUP(T$2, Percentiles!$A$45:$I$59, 6, FALSE), perc_90, VLOOKUP(T$2, Percentiles!$A$45:$I$59, 7, FALSE), perc_95, VLOOKUP(T$2, Percentiles!$A$45:$I$59, 8, FALSE), perc_85, perc_75 + (perc_90 - perc_75) * (2/3), converted_stat, '2K_Ratings'!T60, IF(bbgm_stat &gt;= perc_95, converted_stat * 3, IF(bbgm_stat &gt;= perc_90, converted_stat * 2, IF(bbgm_stat &gt;= perc_85, converted_stat * 1.5, converted_stat)))))</f>
        <v/>
      </c>
      <c r="U60" s="30" t="str">
        <f t="array" ref="U60">IF($A60="", "", LET(bbgm_stat, INDEX(Players!$A59:$P59, MATCH(U$2, Players!$A$1:$P$1, 0)), perc_75, VLOOKUP(U$2, Percentiles!$A$45:$I$59, 6, FALSE), perc_90, VLOOKUP(U$2, Percentiles!$A$45:$I$59, 7, FALSE), perc_95, VLOOKUP(U$2, Percentiles!$A$45:$I$59, 8, FALSE), perc_85, perc_75 + (perc_90 - perc_75) * (2/3), converted_stat, '2K_Ratings'!U60, IF(bbgm_stat &gt;= perc_95, converted_stat * 3, IF(bbgm_stat &gt;= perc_90, converted_stat * 2, IF(bbgm_stat &gt;= perc_85, converted_stat * 1.5, converted_stat)))))</f>
        <v/>
      </c>
      <c r="V60" s="30" t="str">
        <f t="array" ref="V60">IF($A60="", "", LET(bbgm_stat, INDEX(Players!$A59:$P59, MATCH(V$2, Players!$A$1:$P$1, 0)), perc_75, VLOOKUP(V$2, Percentiles!$A$45:$I$59, 6, FALSE), perc_90, VLOOKUP(V$2, Percentiles!$A$45:$I$59, 7, FALSE), perc_95, VLOOKUP(V$2, Percentiles!$A$45:$I$59, 8, FALSE), perc_85, perc_75 + (perc_90 - perc_75) * (2/3), converted_stat, '2K_Ratings'!V60, IF(bbgm_stat &gt;= perc_95, converted_stat * 3, IF(bbgm_stat &gt;= perc_90, converted_stat * 2, IF(bbgm_stat &gt;= perc_85, converted_stat * 1.5, converted_stat)))))</f>
        <v/>
      </c>
      <c r="W60" s="30" t="str">
        <f t="array" ref="W60">IF($A60="", "", LET(bbgm_stat, INDEX(Players!$A59:$P59, MATCH(W$2, Players!$A$1:$P$1, 0)), perc_75, VLOOKUP(W$2, Percentiles!$A$45:$I$59, 6, FALSE), perc_90, VLOOKUP(W$2, Percentiles!$A$45:$I$59, 7, FALSE), perc_95, VLOOKUP(W$2, Percentiles!$A$45:$I$59, 8, FALSE), perc_85, perc_75 + (perc_90 - perc_75) * (2/3), converted_stat, '2K_Ratings'!W60, IF(bbgm_stat &gt;= perc_95, converted_stat * 3, IF(bbgm_stat &gt;= perc_90, converted_stat * 2, IF(bbgm_stat &gt;= perc_85, converted_stat * 1.5, converted_stat)))))</f>
        <v/>
      </c>
    </row>
    <row r="61">
      <c r="A61" s="30" t="str">
        <f>IF(Players!A60="", "", Players!A60)</f>
        <v/>
      </c>
      <c r="B61" s="30" t="str">
        <f t="array" ref="B61">IF($A61="", "", LET(bbgm_stat, INDEX(Players!$A60:$P60, MATCH(B$2, Players!$A$1:$P$1, 0)), perc_75, VLOOKUP(B$2, Percentiles!$A$45:$I$59, 6, FALSE), perc_90, VLOOKUP(B$2, Percentiles!$A$45:$I$59, 7, FALSE), perc_95, VLOOKUP(B$2, Percentiles!$A$45:$I$59, 8, FALSE), perc_85, perc_75 + (perc_90 - perc_75) * (2/3), converted_stat, '2K_Ratings'!B61, IF(bbgm_stat &gt;= perc_95, converted_stat * 3, IF(bbgm_stat &gt;= perc_90, converted_stat * 2, IF(bbgm_stat &gt;= perc_85, converted_stat * 1.5, converted_stat)))))</f>
        <v/>
      </c>
      <c r="C61" s="30" t="str">
        <f t="array" ref="C61">IF($A61="", "", LET(bbgm_stat, INDEX(Players!$A60:$P60, MATCH(C$2, Players!$A$1:$P$1, 0)), perc_75, VLOOKUP(C$2, Percentiles!$A$45:$I$59, 6, FALSE), perc_90, VLOOKUP(C$2, Percentiles!$A$45:$I$59, 7, FALSE), perc_95, VLOOKUP(C$2, Percentiles!$A$45:$I$59, 8, FALSE), perc_85, perc_75 + (perc_90 - perc_75) * (2/3), converted_stat, '2K_Ratings'!C61, IF(bbgm_stat &gt;= perc_95, converted_stat * 3, IF(bbgm_stat &gt;= perc_90, converted_stat * 2, IF(bbgm_stat &gt;= perc_85, converted_stat * 1.5, converted_stat)))))</f>
        <v/>
      </c>
      <c r="D61" s="30" t="str">
        <f t="array" ref="D61">IF($A61="", "", LET(bbgm_stat, INDEX(Players!$A60:$P60, MATCH(D$2, Players!$A$1:$P$1, 0)), perc_75, VLOOKUP(D$2, Percentiles!$A$45:$I$59, 6, FALSE), perc_90, VLOOKUP(D$2, Percentiles!$A$45:$I$59, 7, FALSE), perc_95, VLOOKUP(D$2, Percentiles!$A$45:$I$59, 8, FALSE), perc_85, perc_75 + (perc_90 - perc_75) * (2/3), converted_stat, '2K_Ratings'!D61, IF(bbgm_stat &gt;= perc_95, converted_stat * 3, IF(bbgm_stat &gt;= perc_90, converted_stat * 2, IF(bbgm_stat &gt;= perc_85, converted_stat * 1.5, converted_stat)))))</f>
        <v/>
      </c>
      <c r="E61" s="30" t="str">
        <f t="array" ref="E61">IF($A61="", "", LET(bbgm_stat, INDEX(Players!$A60:$P60, MATCH(E$2, Players!$A$1:$P$1, 0)), perc_75, VLOOKUP(E$2, Percentiles!$A$45:$I$59, 6, FALSE), perc_90, VLOOKUP(E$2, Percentiles!$A$45:$I$59, 7, FALSE), perc_95, VLOOKUP(E$2, Percentiles!$A$45:$I$59, 8, FALSE), perc_85, perc_75 + (perc_90 - perc_75) * (2/3), converted_stat, '2K_Ratings'!E61, IF(bbgm_stat &gt;= perc_95, converted_stat * 3, IF(bbgm_stat &gt;= perc_90, converted_stat * 2, IF(bbgm_stat &gt;= perc_85, converted_stat * 1.5, converted_stat)))))</f>
        <v/>
      </c>
      <c r="F61" s="30" t="str">
        <f t="array" ref="F61">IF($A61="", "", LET(bbgm_stat, INDEX(Players!$A60:$P60, MATCH(F$2, Players!$A$1:$P$1, 0)), perc_75, VLOOKUP(F$2, Percentiles!$A$45:$I$59, 6, FALSE), perc_90, VLOOKUP(F$2, Percentiles!$A$45:$I$59, 7, FALSE), perc_95, VLOOKUP(F$2, Percentiles!$A$45:$I$59, 8, FALSE), perc_85, perc_75 + (perc_90 - perc_75) * (2/3), converted_stat, '2K_Ratings'!F61, IF(bbgm_stat &gt;= perc_95, converted_stat * 3, IF(bbgm_stat &gt;= perc_90, converted_stat * 2, IF(bbgm_stat &gt;= perc_85, converted_stat * 1.5, converted_stat)))))</f>
        <v/>
      </c>
      <c r="G61" s="30" t="str">
        <f t="array" ref="G61">IF($A61="", "", LET(bbgm_stat, INDEX(Players!$A60:$P60, MATCH(G$2, Players!$A$1:$P$1, 0)), perc_75, VLOOKUP(G$2, Percentiles!$A$45:$I$59, 6, FALSE), perc_90, VLOOKUP(G$2, Percentiles!$A$45:$I$59, 7, FALSE), perc_95, VLOOKUP(G$2, Percentiles!$A$45:$I$59, 8, FALSE), perc_85, perc_75 + (perc_90 - perc_75) * (2/3), converted_stat, '2K_Ratings'!G61, IF(bbgm_stat &gt;= perc_95, converted_stat * 3, IF(bbgm_stat &gt;= perc_90, converted_stat * 2, IF(bbgm_stat &gt;= perc_85, converted_stat * 1.5, converted_stat)))))</f>
        <v/>
      </c>
      <c r="H61" s="30" t="str">
        <f t="array" ref="H61">IF($A61="", "", LET(bbgm_stat, INDEX(Players!$A60:$P60, MATCH(H$2, Players!$A$1:$P$1, 0)), perc_75, VLOOKUP(H$2, Percentiles!$A$45:$I$59, 6, FALSE), perc_90, VLOOKUP(H$2, Percentiles!$A$45:$I$59, 7, FALSE), perc_95, VLOOKUP(H$2, Percentiles!$A$45:$I$59, 8, FALSE), perc_85, perc_75 + (perc_90 - perc_75) * (2/3), converted_stat, '2K_Ratings'!H61, IF(bbgm_stat &gt;= perc_95, converted_stat * 3, IF(bbgm_stat &gt;= perc_90, converted_stat * 2, IF(bbgm_stat &gt;= perc_85, converted_stat * 1.5, converted_stat)))))</f>
        <v/>
      </c>
      <c r="I61" s="30" t="str">
        <f t="array" ref="I61">IF($A61="", "", LET(bbgm_stat, INDEX(Players!$A60:$P60, MATCH(I$2, Players!$A$1:$P$1, 0)), perc_75, VLOOKUP(I$2, Percentiles!$A$45:$I$59, 6, FALSE), perc_90, VLOOKUP(I$2, Percentiles!$A$45:$I$59, 7, FALSE), perc_95, VLOOKUP(I$2, Percentiles!$A$45:$I$59, 8, FALSE), perc_85, perc_75 + (perc_90 - perc_75) * (2/3), converted_stat, '2K_Ratings'!I61, IF(bbgm_stat &gt;= perc_95, converted_stat * 3, IF(bbgm_stat &gt;= perc_90, converted_stat * 2, IF(bbgm_stat &gt;= perc_85, converted_stat * 1.5, converted_stat)))))</f>
        <v/>
      </c>
      <c r="J61" s="30" t="str">
        <f t="array" ref="J61">IF($A61="", "", LET(bbgm_stat, INDEX(Players!$A60:$P60, MATCH(J$2, Players!$A$1:$P$1, 0)), perc_75, VLOOKUP(J$2, Percentiles!$A$45:$I$59, 6, FALSE), perc_90, VLOOKUP(J$2, Percentiles!$A$45:$I$59, 7, FALSE), perc_95, VLOOKUP(J$2, Percentiles!$A$45:$I$59, 8, FALSE), perc_85, perc_75 + (perc_90 - perc_75) * (2/3), converted_stat, '2K_Ratings'!J61, IF(bbgm_stat &gt;= perc_95, converted_stat * 3, IF(bbgm_stat &gt;= perc_90, converted_stat * 2, IF(bbgm_stat &gt;= perc_85, converted_stat * 1.5, converted_stat)))))</f>
        <v/>
      </c>
      <c r="K61" s="30" t="str">
        <f t="array" ref="K61">IF($A61="", "", LET(bbgm_stat, INDEX(Players!$A60:$P60, MATCH(K$2, Players!$A$1:$P$1, 0)), perc_75, VLOOKUP(K$2, Percentiles!$A$45:$I$59, 6, FALSE), perc_90, VLOOKUP(K$2, Percentiles!$A$45:$I$59, 7, FALSE), perc_95, VLOOKUP(K$2, Percentiles!$A$45:$I$59, 8, FALSE), perc_85, perc_75 + (perc_90 - perc_75) * (2/3), converted_stat, '2K_Ratings'!K61, IF(bbgm_stat &gt;= perc_95, converted_stat * 3, IF(bbgm_stat &gt;= perc_90, converted_stat * 2, IF(bbgm_stat &gt;= perc_85, converted_stat * 1.5, converted_stat)))))</f>
        <v/>
      </c>
      <c r="L61" s="30" t="str">
        <f t="array" ref="L61">IF($A61="", "", LET(bbgm_stat, INDEX(Players!$A60:$P60, MATCH(L$2, Players!$A$1:$P$1, 0)), perc_75, VLOOKUP(L$2, Percentiles!$A$45:$I$59, 6, FALSE), perc_90, VLOOKUP(L$2, Percentiles!$A$45:$I$59, 7, FALSE), perc_95, VLOOKUP(L$2, Percentiles!$A$45:$I$59, 8, FALSE), perc_85, perc_75 + (perc_90 - perc_75) * (2/3), converted_stat, '2K_Ratings'!L61, IF(bbgm_stat &gt;= perc_95, converted_stat * 3, IF(bbgm_stat &gt;= perc_90, converted_stat * 2, IF(bbgm_stat &gt;= perc_85, converted_stat * 1.5, converted_stat)))))</f>
        <v/>
      </c>
      <c r="M61" s="30" t="str">
        <f t="array" ref="M61">IF($A61="", "", LET(bbgm_stat, INDEX(Players!$A60:$P60, MATCH(M$2, Players!$A$1:$P$1, 0)), perc_75, VLOOKUP(M$2, Percentiles!$A$45:$I$59, 6, FALSE), perc_90, VLOOKUP(M$2, Percentiles!$A$45:$I$59, 7, FALSE), perc_95, VLOOKUP(M$2, Percentiles!$A$45:$I$59, 8, FALSE), perc_85, perc_75 + (perc_90 - perc_75) * (2/3), converted_stat, '2K_Ratings'!M61, IF(bbgm_stat &gt;= perc_95, converted_stat * 3, IF(bbgm_stat &gt;= perc_90, converted_stat * 2, IF(bbgm_stat &gt;= perc_85, converted_stat * 1.5, converted_stat)))))</f>
        <v/>
      </c>
      <c r="N61" s="30" t="str">
        <f t="array" ref="N61">IF($A61="", "", LET(bbgm_stat, INDEX(Players!$A60:$P60, MATCH(N$2, Players!$A$1:$P$1, 0)), perc_75, VLOOKUP(N$2, Percentiles!$A$45:$I$59, 6, FALSE), perc_90, VLOOKUP(N$2, Percentiles!$A$45:$I$59, 7, FALSE), perc_95, VLOOKUP(N$2, Percentiles!$A$45:$I$59, 8, FALSE), perc_85, perc_75 + (perc_90 - perc_75) * (2/3), converted_stat, '2K_Ratings'!N61, IF(bbgm_stat &gt;= perc_95, converted_stat * 3, IF(bbgm_stat &gt;= perc_90, converted_stat * 2, IF(bbgm_stat &gt;= perc_85, converted_stat * 1.5, converted_stat)))))</f>
        <v/>
      </c>
      <c r="O61" s="30" t="str">
        <f t="array" ref="O61">IF($A61="", "", LET(bbgm_stat, INDEX(Players!$A60:$P60, MATCH(O$2, Players!$A$1:$P$1, 0)), perc_75, VLOOKUP(O$2, Percentiles!$A$45:$I$59, 6, FALSE), perc_90, VLOOKUP(O$2, Percentiles!$A$45:$I$59, 7, FALSE), perc_95, VLOOKUP(O$2, Percentiles!$A$45:$I$59, 8, FALSE), perc_85, perc_75 + (perc_90 - perc_75) * (2/3), converted_stat, '2K_Ratings'!O61, IF(bbgm_stat &gt;= perc_95, converted_stat * 3, IF(bbgm_stat &gt;= perc_90, converted_stat * 2, IF(bbgm_stat &gt;= perc_85, converted_stat * 1.5, converted_stat)))))</f>
        <v/>
      </c>
      <c r="P61" s="30" t="str">
        <f t="array" ref="P61">IF($A61="", "", LET(bbgm_stat, INDEX(Players!$A60:$P60, MATCH(P$2, Players!$A$1:$P$1, 0)), perc_75, VLOOKUP(P$2, Percentiles!$A$45:$I$59, 6, FALSE), perc_90, VLOOKUP(P$2, Percentiles!$A$45:$I$59, 7, FALSE), perc_95, VLOOKUP(P$2, Percentiles!$A$45:$I$59, 8, FALSE), perc_85, perc_75 + (perc_90 - perc_75) * (2/3), converted_stat, '2K_Ratings'!P61, IF(bbgm_stat &gt;= perc_95, converted_stat * 3, IF(bbgm_stat &gt;= perc_90, converted_stat * 2, IF(bbgm_stat &gt;= perc_85, converted_stat * 1.5, converted_stat)))))</f>
        <v/>
      </c>
      <c r="Q61" s="30" t="str">
        <f t="array" ref="Q61">IF($A61="", "", LET(bbgm_stat, INDEX(Players!$A60:$P60, MATCH(Q$2, Players!$A$1:$P$1, 0)), perc_75, VLOOKUP(Q$2, Percentiles!$A$45:$I$59, 6, FALSE), perc_90, VLOOKUP(Q$2, Percentiles!$A$45:$I$59, 7, FALSE), perc_95, VLOOKUP(Q$2, Percentiles!$A$45:$I$59, 8, FALSE), perc_85, perc_75 + (perc_90 - perc_75) * (2/3), converted_stat, '2K_Ratings'!Q61, IF(bbgm_stat &gt;= perc_95, converted_stat * 3, IF(bbgm_stat &gt;= perc_90, converted_stat * 2, IF(bbgm_stat &gt;= perc_85, converted_stat * 1.5, converted_stat)))))</f>
        <v/>
      </c>
      <c r="R61" s="30" t="str">
        <f t="array" ref="R61">IF($A61="", "", LET(bbgm_stat, INDEX(Players!$A60:$P60, MATCH(R$2, Players!$A$1:$P$1, 0)), perc_75, VLOOKUP(R$2, Percentiles!$A$45:$I$59, 6, FALSE), perc_90, VLOOKUP(R$2, Percentiles!$A$45:$I$59, 7, FALSE), perc_95, VLOOKUP(R$2, Percentiles!$A$45:$I$59, 8, FALSE), perc_85, perc_75 + (perc_90 - perc_75) * (2/3), converted_stat, '2K_Ratings'!R61, IF(bbgm_stat &gt;= perc_95, converted_stat * 3, IF(bbgm_stat &gt;= perc_90, converted_stat * 2, IF(bbgm_stat &gt;= perc_85, converted_stat * 1.5, converted_stat)))))</f>
        <v/>
      </c>
      <c r="S61" s="30" t="str">
        <f t="array" ref="S61">IF($A61="", "", LET(bbgm_stat, INDEX(Players!$A60:$P60, MATCH(S$2, Players!$A$1:$P$1, 0)), perc_75, VLOOKUP(S$2, Percentiles!$A$45:$I$59, 6, FALSE), perc_90, VLOOKUP(S$2, Percentiles!$A$45:$I$59, 7, FALSE), perc_95, VLOOKUP(S$2, Percentiles!$A$45:$I$59, 8, FALSE), perc_85, perc_75 + (perc_90 - perc_75) * (2/3), converted_stat, '2K_Ratings'!S61, IF(bbgm_stat &gt;= perc_95, converted_stat * 3, IF(bbgm_stat &gt;= perc_90, converted_stat * 2, IF(bbgm_stat &gt;= perc_85, converted_stat * 1.5, converted_stat)))))</f>
        <v/>
      </c>
      <c r="T61" s="30" t="str">
        <f t="array" ref="T61">IF($A61="", "", LET(bbgm_stat, INDEX(Players!$A60:$P60, MATCH(T$2, Players!$A$1:$P$1, 0)), perc_75, VLOOKUP(T$2, Percentiles!$A$45:$I$59, 6, FALSE), perc_90, VLOOKUP(T$2, Percentiles!$A$45:$I$59, 7, FALSE), perc_95, VLOOKUP(T$2, Percentiles!$A$45:$I$59, 8, FALSE), perc_85, perc_75 + (perc_90 - perc_75) * (2/3), converted_stat, '2K_Ratings'!T61, IF(bbgm_stat &gt;= perc_95, converted_stat * 3, IF(bbgm_stat &gt;= perc_90, converted_stat * 2, IF(bbgm_stat &gt;= perc_85, converted_stat * 1.5, converted_stat)))))</f>
        <v/>
      </c>
      <c r="U61" s="30" t="str">
        <f t="array" ref="U61">IF($A61="", "", LET(bbgm_stat, INDEX(Players!$A60:$P60, MATCH(U$2, Players!$A$1:$P$1, 0)), perc_75, VLOOKUP(U$2, Percentiles!$A$45:$I$59, 6, FALSE), perc_90, VLOOKUP(U$2, Percentiles!$A$45:$I$59, 7, FALSE), perc_95, VLOOKUP(U$2, Percentiles!$A$45:$I$59, 8, FALSE), perc_85, perc_75 + (perc_90 - perc_75) * (2/3), converted_stat, '2K_Ratings'!U61, IF(bbgm_stat &gt;= perc_95, converted_stat * 3, IF(bbgm_stat &gt;= perc_90, converted_stat * 2, IF(bbgm_stat &gt;= perc_85, converted_stat * 1.5, converted_stat)))))</f>
        <v/>
      </c>
      <c r="V61" s="30" t="str">
        <f t="array" ref="V61">IF($A61="", "", LET(bbgm_stat, INDEX(Players!$A60:$P60, MATCH(V$2, Players!$A$1:$P$1, 0)), perc_75, VLOOKUP(V$2, Percentiles!$A$45:$I$59, 6, FALSE), perc_90, VLOOKUP(V$2, Percentiles!$A$45:$I$59, 7, FALSE), perc_95, VLOOKUP(V$2, Percentiles!$A$45:$I$59, 8, FALSE), perc_85, perc_75 + (perc_90 - perc_75) * (2/3), converted_stat, '2K_Ratings'!V61, IF(bbgm_stat &gt;= perc_95, converted_stat * 3, IF(bbgm_stat &gt;= perc_90, converted_stat * 2, IF(bbgm_stat &gt;= perc_85, converted_stat * 1.5, converted_stat)))))</f>
        <v/>
      </c>
      <c r="W61" s="30" t="str">
        <f t="array" ref="W61">IF($A61="", "", LET(bbgm_stat, INDEX(Players!$A60:$P60, MATCH(W$2, Players!$A$1:$P$1, 0)), perc_75, VLOOKUP(W$2, Percentiles!$A$45:$I$59, 6, FALSE), perc_90, VLOOKUP(W$2, Percentiles!$A$45:$I$59, 7, FALSE), perc_95, VLOOKUP(W$2, Percentiles!$A$45:$I$59, 8, FALSE), perc_85, perc_75 + (perc_90 - perc_75) * (2/3), converted_stat, '2K_Ratings'!W61, IF(bbgm_stat &gt;= perc_95, converted_stat * 3, IF(bbgm_stat &gt;= perc_90, converted_stat * 2, IF(bbgm_stat &gt;= perc_85, converted_stat * 1.5, converted_stat)))))</f>
        <v/>
      </c>
    </row>
    <row r="62">
      <c r="A62" s="30" t="str">
        <f>IF(Players!A61="", "", Players!A61)</f>
        <v/>
      </c>
      <c r="B62" s="30" t="str">
        <f t="array" ref="B62">IF($A62="", "", LET(bbgm_stat, INDEX(Players!$A61:$P61, MATCH(B$2, Players!$A$1:$P$1, 0)), perc_75, VLOOKUP(B$2, Percentiles!$A$45:$I$59, 6, FALSE), perc_90, VLOOKUP(B$2, Percentiles!$A$45:$I$59, 7, FALSE), perc_95, VLOOKUP(B$2, Percentiles!$A$45:$I$59, 8, FALSE), perc_85, perc_75 + (perc_90 - perc_75) * (2/3), converted_stat, '2K_Ratings'!B62, IF(bbgm_stat &gt;= perc_95, converted_stat * 3, IF(bbgm_stat &gt;= perc_90, converted_stat * 2, IF(bbgm_stat &gt;= perc_85, converted_stat * 1.5, converted_stat)))))</f>
        <v/>
      </c>
      <c r="C62" s="30" t="str">
        <f t="array" ref="C62">IF($A62="", "", LET(bbgm_stat, INDEX(Players!$A61:$P61, MATCH(C$2, Players!$A$1:$P$1, 0)), perc_75, VLOOKUP(C$2, Percentiles!$A$45:$I$59, 6, FALSE), perc_90, VLOOKUP(C$2, Percentiles!$A$45:$I$59, 7, FALSE), perc_95, VLOOKUP(C$2, Percentiles!$A$45:$I$59, 8, FALSE), perc_85, perc_75 + (perc_90 - perc_75) * (2/3), converted_stat, '2K_Ratings'!C62, IF(bbgm_stat &gt;= perc_95, converted_stat * 3, IF(bbgm_stat &gt;= perc_90, converted_stat * 2, IF(bbgm_stat &gt;= perc_85, converted_stat * 1.5, converted_stat)))))</f>
        <v/>
      </c>
      <c r="D62" s="30" t="str">
        <f t="array" ref="D62">IF($A62="", "", LET(bbgm_stat, INDEX(Players!$A61:$P61, MATCH(D$2, Players!$A$1:$P$1, 0)), perc_75, VLOOKUP(D$2, Percentiles!$A$45:$I$59, 6, FALSE), perc_90, VLOOKUP(D$2, Percentiles!$A$45:$I$59, 7, FALSE), perc_95, VLOOKUP(D$2, Percentiles!$A$45:$I$59, 8, FALSE), perc_85, perc_75 + (perc_90 - perc_75) * (2/3), converted_stat, '2K_Ratings'!D62, IF(bbgm_stat &gt;= perc_95, converted_stat * 3, IF(bbgm_stat &gt;= perc_90, converted_stat * 2, IF(bbgm_stat &gt;= perc_85, converted_stat * 1.5, converted_stat)))))</f>
        <v/>
      </c>
      <c r="E62" s="30" t="str">
        <f t="array" ref="E62">IF($A62="", "", LET(bbgm_stat, INDEX(Players!$A61:$P61, MATCH(E$2, Players!$A$1:$P$1, 0)), perc_75, VLOOKUP(E$2, Percentiles!$A$45:$I$59, 6, FALSE), perc_90, VLOOKUP(E$2, Percentiles!$A$45:$I$59, 7, FALSE), perc_95, VLOOKUP(E$2, Percentiles!$A$45:$I$59, 8, FALSE), perc_85, perc_75 + (perc_90 - perc_75) * (2/3), converted_stat, '2K_Ratings'!E62, IF(bbgm_stat &gt;= perc_95, converted_stat * 3, IF(bbgm_stat &gt;= perc_90, converted_stat * 2, IF(bbgm_stat &gt;= perc_85, converted_stat * 1.5, converted_stat)))))</f>
        <v/>
      </c>
      <c r="F62" s="30" t="str">
        <f t="array" ref="F62">IF($A62="", "", LET(bbgm_stat, INDEX(Players!$A61:$P61, MATCH(F$2, Players!$A$1:$P$1, 0)), perc_75, VLOOKUP(F$2, Percentiles!$A$45:$I$59, 6, FALSE), perc_90, VLOOKUP(F$2, Percentiles!$A$45:$I$59, 7, FALSE), perc_95, VLOOKUP(F$2, Percentiles!$A$45:$I$59, 8, FALSE), perc_85, perc_75 + (perc_90 - perc_75) * (2/3), converted_stat, '2K_Ratings'!F62, IF(bbgm_stat &gt;= perc_95, converted_stat * 3, IF(bbgm_stat &gt;= perc_90, converted_stat * 2, IF(bbgm_stat &gt;= perc_85, converted_stat * 1.5, converted_stat)))))</f>
        <v/>
      </c>
      <c r="G62" s="30" t="str">
        <f t="array" ref="G62">IF($A62="", "", LET(bbgm_stat, INDEX(Players!$A61:$P61, MATCH(G$2, Players!$A$1:$P$1, 0)), perc_75, VLOOKUP(G$2, Percentiles!$A$45:$I$59, 6, FALSE), perc_90, VLOOKUP(G$2, Percentiles!$A$45:$I$59, 7, FALSE), perc_95, VLOOKUP(G$2, Percentiles!$A$45:$I$59, 8, FALSE), perc_85, perc_75 + (perc_90 - perc_75) * (2/3), converted_stat, '2K_Ratings'!G62, IF(bbgm_stat &gt;= perc_95, converted_stat * 3, IF(bbgm_stat &gt;= perc_90, converted_stat * 2, IF(bbgm_stat &gt;= perc_85, converted_stat * 1.5, converted_stat)))))</f>
        <v/>
      </c>
      <c r="H62" s="30" t="str">
        <f t="array" ref="H62">IF($A62="", "", LET(bbgm_stat, INDEX(Players!$A61:$P61, MATCH(H$2, Players!$A$1:$P$1, 0)), perc_75, VLOOKUP(H$2, Percentiles!$A$45:$I$59, 6, FALSE), perc_90, VLOOKUP(H$2, Percentiles!$A$45:$I$59, 7, FALSE), perc_95, VLOOKUP(H$2, Percentiles!$A$45:$I$59, 8, FALSE), perc_85, perc_75 + (perc_90 - perc_75) * (2/3), converted_stat, '2K_Ratings'!H62, IF(bbgm_stat &gt;= perc_95, converted_stat * 3, IF(bbgm_stat &gt;= perc_90, converted_stat * 2, IF(bbgm_stat &gt;= perc_85, converted_stat * 1.5, converted_stat)))))</f>
        <v/>
      </c>
      <c r="I62" s="30" t="str">
        <f t="array" ref="I62">IF($A62="", "", LET(bbgm_stat, INDEX(Players!$A61:$P61, MATCH(I$2, Players!$A$1:$P$1, 0)), perc_75, VLOOKUP(I$2, Percentiles!$A$45:$I$59, 6, FALSE), perc_90, VLOOKUP(I$2, Percentiles!$A$45:$I$59, 7, FALSE), perc_95, VLOOKUP(I$2, Percentiles!$A$45:$I$59, 8, FALSE), perc_85, perc_75 + (perc_90 - perc_75) * (2/3), converted_stat, '2K_Ratings'!I62, IF(bbgm_stat &gt;= perc_95, converted_stat * 3, IF(bbgm_stat &gt;= perc_90, converted_stat * 2, IF(bbgm_stat &gt;= perc_85, converted_stat * 1.5, converted_stat)))))</f>
        <v/>
      </c>
      <c r="J62" s="30" t="str">
        <f t="array" ref="J62">IF($A62="", "", LET(bbgm_stat, INDEX(Players!$A61:$P61, MATCH(J$2, Players!$A$1:$P$1, 0)), perc_75, VLOOKUP(J$2, Percentiles!$A$45:$I$59, 6, FALSE), perc_90, VLOOKUP(J$2, Percentiles!$A$45:$I$59, 7, FALSE), perc_95, VLOOKUP(J$2, Percentiles!$A$45:$I$59, 8, FALSE), perc_85, perc_75 + (perc_90 - perc_75) * (2/3), converted_stat, '2K_Ratings'!J62, IF(bbgm_stat &gt;= perc_95, converted_stat * 3, IF(bbgm_stat &gt;= perc_90, converted_stat * 2, IF(bbgm_stat &gt;= perc_85, converted_stat * 1.5, converted_stat)))))</f>
        <v/>
      </c>
      <c r="K62" s="30" t="str">
        <f t="array" ref="K62">IF($A62="", "", LET(bbgm_stat, INDEX(Players!$A61:$P61, MATCH(K$2, Players!$A$1:$P$1, 0)), perc_75, VLOOKUP(K$2, Percentiles!$A$45:$I$59, 6, FALSE), perc_90, VLOOKUP(K$2, Percentiles!$A$45:$I$59, 7, FALSE), perc_95, VLOOKUP(K$2, Percentiles!$A$45:$I$59, 8, FALSE), perc_85, perc_75 + (perc_90 - perc_75) * (2/3), converted_stat, '2K_Ratings'!K62, IF(bbgm_stat &gt;= perc_95, converted_stat * 3, IF(bbgm_stat &gt;= perc_90, converted_stat * 2, IF(bbgm_stat &gt;= perc_85, converted_stat * 1.5, converted_stat)))))</f>
        <v/>
      </c>
      <c r="L62" s="30" t="str">
        <f t="array" ref="L62">IF($A62="", "", LET(bbgm_stat, INDEX(Players!$A61:$P61, MATCH(L$2, Players!$A$1:$P$1, 0)), perc_75, VLOOKUP(L$2, Percentiles!$A$45:$I$59, 6, FALSE), perc_90, VLOOKUP(L$2, Percentiles!$A$45:$I$59, 7, FALSE), perc_95, VLOOKUP(L$2, Percentiles!$A$45:$I$59, 8, FALSE), perc_85, perc_75 + (perc_90 - perc_75) * (2/3), converted_stat, '2K_Ratings'!L62, IF(bbgm_stat &gt;= perc_95, converted_stat * 3, IF(bbgm_stat &gt;= perc_90, converted_stat * 2, IF(bbgm_stat &gt;= perc_85, converted_stat * 1.5, converted_stat)))))</f>
        <v/>
      </c>
      <c r="M62" s="30" t="str">
        <f t="array" ref="M62">IF($A62="", "", LET(bbgm_stat, INDEX(Players!$A61:$P61, MATCH(M$2, Players!$A$1:$P$1, 0)), perc_75, VLOOKUP(M$2, Percentiles!$A$45:$I$59, 6, FALSE), perc_90, VLOOKUP(M$2, Percentiles!$A$45:$I$59, 7, FALSE), perc_95, VLOOKUP(M$2, Percentiles!$A$45:$I$59, 8, FALSE), perc_85, perc_75 + (perc_90 - perc_75) * (2/3), converted_stat, '2K_Ratings'!M62, IF(bbgm_stat &gt;= perc_95, converted_stat * 3, IF(bbgm_stat &gt;= perc_90, converted_stat * 2, IF(bbgm_stat &gt;= perc_85, converted_stat * 1.5, converted_stat)))))</f>
        <v/>
      </c>
      <c r="N62" s="30" t="str">
        <f t="array" ref="N62">IF($A62="", "", LET(bbgm_stat, INDEX(Players!$A61:$P61, MATCH(N$2, Players!$A$1:$P$1, 0)), perc_75, VLOOKUP(N$2, Percentiles!$A$45:$I$59, 6, FALSE), perc_90, VLOOKUP(N$2, Percentiles!$A$45:$I$59, 7, FALSE), perc_95, VLOOKUP(N$2, Percentiles!$A$45:$I$59, 8, FALSE), perc_85, perc_75 + (perc_90 - perc_75) * (2/3), converted_stat, '2K_Ratings'!N62, IF(bbgm_stat &gt;= perc_95, converted_stat * 3, IF(bbgm_stat &gt;= perc_90, converted_stat * 2, IF(bbgm_stat &gt;= perc_85, converted_stat * 1.5, converted_stat)))))</f>
        <v/>
      </c>
      <c r="O62" s="30" t="str">
        <f t="array" ref="O62">IF($A62="", "", LET(bbgm_stat, INDEX(Players!$A61:$P61, MATCH(O$2, Players!$A$1:$P$1, 0)), perc_75, VLOOKUP(O$2, Percentiles!$A$45:$I$59, 6, FALSE), perc_90, VLOOKUP(O$2, Percentiles!$A$45:$I$59, 7, FALSE), perc_95, VLOOKUP(O$2, Percentiles!$A$45:$I$59, 8, FALSE), perc_85, perc_75 + (perc_90 - perc_75) * (2/3), converted_stat, '2K_Ratings'!O62, IF(bbgm_stat &gt;= perc_95, converted_stat * 3, IF(bbgm_stat &gt;= perc_90, converted_stat * 2, IF(bbgm_stat &gt;= perc_85, converted_stat * 1.5, converted_stat)))))</f>
        <v/>
      </c>
      <c r="P62" s="30" t="str">
        <f t="array" ref="P62">IF($A62="", "", LET(bbgm_stat, INDEX(Players!$A61:$P61, MATCH(P$2, Players!$A$1:$P$1, 0)), perc_75, VLOOKUP(P$2, Percentiles!$A$45:$I$59, 6, FALSE), perc_90, VLOOKUP(P$2, Percentiles!$A$45:$I$59, 7, FALSE), perc_95, VLOOKUP(P$2, Percentiles!$A$45:$I$59, 8, FALSE), perc_85, perc_75 + (perc_90 - perc_75) * (2/3), converted_stat, '2K_Ratings'!P62, IF(bbgm_stat &gt;= perc_95, converted_stat * 3, IF(bbgm_stat &gt;= perc_90, converted_stat * 2, IF(bbgm_stat &gt;= perc_85, converted_stat * 1.5, converted_stat)))))</f>
        <v/>
      </c>
      <c r="Q62" s="30" t="str">
        <f t="array" ref="Q62">IF($A62="", "", LET(bbgm_stat, INDEX(Players!$A61:$P61, MATCH(Q$2, Players!$A$1:$P$1, 0)), perc_75, VLOOKUP(Q$2, Percentiles!$A$45:$I$59, 6, FALSE), perc_90, VLOOKUP(Q$2, Percentiles!$A$45:$I$59, 7, FALSE), perc_95, VLOOKUP(Q$2, Percentiles!$A$45:$I$59, 8, FALSE), perc_85, perc_75 + (perc_90 - perc_75) * (2/3), converted_stat, '2K_Ratings'!Q62, IF(bbgm_stat &gt;= perc_95, converted_stat * 3, IF(bbgm_stat &gt;= perc_90, converted_stat * 2, IF(bbgm_stat &gt;= perc_85, converted_stat * 1.5, converted_stat)))))</f>
        <v/>
      </c>
      <c r="R62" s="30" t="str">
        <f t="array" ref="R62">IF($A62="", "", LET(bbgm_stat, INDEX(Players!$A61:$P61, MATCH(R$2, Players!$A$1:$P$1, 0)), perc_75, VLOOKUP(R$2, Percentiles!$A$45:$I$59, 6, FALSE), perc_90, VLOOKUP(R$2, Percentiles!$A$45:$I$59, 7, FALSE), perc_95, VLOOKUP(R$2, Percentiles!$A$45:$I$59, 8, FALSE), perc_85, perc_75 + (perc_90 - perc_75) * (2/3), converted_stat, '2K_Ratings'!R62, IF(bbgm_stat &gt;= perc_95, converted_stat * 3, IF(bbgm_stat &gt;= perc_90, converted_stat * 2, IF(bbgm_stat &gt;= perc_85, converted_stat * 1.5, converted_stat)))))</f>
        <v/>
      </c>
      <c r="S62" s="30" t="str">
        <f t="array" ref="S62">IF($A62="", "", LET(bbgm_stat, INDEX(Players!$A61:$P61, MATCH(S$2, Players!$A$1:$P$1, 0)), perc_75, VLOOKUP(S$2, Percentiles!$A$45:$I$59, 6, FALSE), perc_90, VLOOKUP(S$2, Percentiles!$A$45:$I$59, 7, FALSE), perc_95, VLOOKUP(S$2, Percentiles!$A$45:$I$59, 8, FALSE), perc_85, perc_75 + (perc_90 - perc_75) * (2/3), converted_stat, '2K_Ratings'!S62, IF(bbgm_stat &gt;= perc_95, converted_stat * 3, IF(bbgm_stat &gt;= perc_90, converted_stat * 2, IF(bbgm_stat &gt;= perc_85, converted_stat * 1.5, converted_stat)))))</f>
        <v/>
      </c>
      <c r="T62" s="30" t="str">
        <f t="array" ref="T62">IF($A62="", "", LET(bbgm_stat, INDEX(Players!$A61:$P61, MATCH(T$2, Players!$A$1:$P$1, 0)), perc_75, VLOOKUP(T$2, Percentiles!$A$45:$I$59, 6, FALSE), perc_90, VLOOKUP(T$2, Percentiles!$A$45:$I$59, 7, FALSE), perc_95, VLOOKUP(T$2, Percentiles!$A$45:$I$59, 8, FALSE), perc_85, perc_75 + (perc_90 - perc_75) * (2/3), converted_stat, '2K_Ratings'!T62, IF(bbgm_stat &gt;= perc_95, converted_stat * 3, IF(bbgm_stat &gt;= perc_90, converted_stat * 2, IF(bbgm_stat &gt;= perc_85, converted_stat * 1.5, converted_stat)))))</f>
        <v/>
      </c>
      <c r="U62" s="30" t="str">
        <f t="array" ref="U62">IF($A62="", "", LET(bbgm_stat, INDEX(Players!$A61:$P61, MATCH(U$2, Players!$A$1:$P$1, 0)), perc_75, VLOOKUP(U$2, Percentiles!$A$45:$I$59, 6, FALSE), perc_90, VLOOKUP(U$2, Percentiles!$A$45:$I$59, 7, FALSE), perc_95, VLOOKUP(U$2, Percentiles!$A$45:$I$59, 8, FALSE), perc_85, perc_75 + (perc_90 - perc_75) * (2/3), converted_stat, '2K_Ratings'!U62, IF(bbgm_stat &gt;= perc_95, converted_stat * 3, IF(bbgm_stat &gt;= perc_90, converted_stat * 2, IF(bbgm_stat &gt;= perc_85, converted_stat * 1.5, converted_stat)))))</f>
        <v/>
      </c>
      <c r="V62" s="30" t="str">
        <f t="array" ref="V62">IF($A62="", "", LET(bbgm_stat, INDEX(Players!$A61:$P61, MATCH(V$2, Players!$A$1:$P$1, 0)), perc_75, VLOOKUP(V$2, Percentiles!$A$45:$I$59, 6, FALSE), perc_90, VLOOKUP(V$2, Percentiles!$A$45:$I$59, 7, FALSE), perc_95, VLOOKUP(V$2, Percentiles!$A$45:$I$59, 8, FALSE), perc_85, perc_75 + (perc_90 - perc_75) * (2/3), converted_stat, '2K_Ratings'!V62, IF(bbgm_stat &gt;= perc_95, converted_stat * 3, IF(bbgm_stat &gt;= perc_90, converted_stat * 2, IF(bbgm_stat &gt;= perc_85, converted_stat * 1.5, converted_stat)))))</f>
        <v/>
      </c>
      <c r="W62" s="30" t="str">
        <f t="array" ref="W62">IF($A62="", "", LET(bbgm_stat, INDEX(Players!$A61:$P61, MATCH(W$2, Players!$A$1:$P$1, 0)), perc_75, VLOOKUP(W$2, Percentiles!$A$45:$I$59, 6, FALSE), perc_90, VLOOKUP(W$2, Percentiles!$A$45:$I$59, 7, FALSE), perc_95, VLOOKUP(W$2, Percentiles!$A$45:$I$59, 8, FALSE), perc_85, perc_75 + (perc_90 - perc_75) * (2/3), converted_stat, '2K_Ratings'!W62, IF(bbgm_stat &gt;= perc_95, converted_stat * 3, IF(bbgm_stat &gt;= perc_90, converted_stat * 2, IF(bbgm_stat &gt;= perc_85, converted_stat * 1.5, converted_stat)))))</f>
        <v/>
      </c>
    </row>
    <row r="63">
      <c r="A63" s="30" t="str">
        <f>IF(Players!A62="", "", Players!A62)</f>
        <v/>
      </c>
      <c r="B63" s="30" t="str">
        <f t="array" ref="B63">IF($A63="", "", LET(bbgm_stat, INDEX(Players!$A62:$P62, MATCH(B$2, Players!$A$1:$P$1, 0)), perc_75, VLOOKUP(B$2, Percentiles!$A$45:$I$59, 6, FALSE), perc_90, VLOOKUP(B$2, Percentiles!$A$45:$I$59, 7, FALSE), perc_95, VLOOKUP(B$2, Percentiles!$A$45:$I$59, 8, FALSE), perc_85, perc_75 + (perc_90 - perc_75) * (2/3), converted_stat, '2K_Ratings'!B63, IF(bbgm_stat &gt;= perc_95, converted_stat * 3, IF(bbgm_stat &gt;= perc_90, converted_stat * 2, IF(bbgm_stat &gt;= perc_85, converted_stat * 1.5, converted_stat)))))</f>
        <v/>
      </c>
      <c r="C63" s="30" t="str">
        <f t="array" ref="C63">IF($A63="", "", LET(bbgm_stat, INDEX(Players!$A62:$P62, MATCH(C$2, Players!$A$1:$P$1, 0)), perc_75, VLOOKUP(C$2, Percentiles!$A$45:$I$59, 6, FALSE), perc_90, VLOOKUP(C$2, Percentiles!$A$45:$I$59, 7, FALSE), perc_95, VLOOKUP(C$2, Percentiles!$A$45:$I$59, 8, FALSE), perc_85, perc_75 + (perc_90 - perc_75) * (2/3), converted_stat, '2K_Ratings'!C63, IF(bbgm_stat &gt;= perc_95, converted_stat * 3, IF(bbgm_stat &gt;= perc_90, converted_stat * 2, IF(bbgm_stat &gt;= perc_85, converted_stat * 1.5, converted_stat)))))</f>
        <v/>
      </c>
      <c r="D63" s="30" t="str">
        <f t="array" ref="D63">IF($A63="", "", LET(bbgm_stat, INDEX(Players!$A62:$P62, MATCH(D$2, Players!$A$1:$P$1, 0)), perc_75, VLOOKUP(D$2, Percentiles!$A$45:$I$59, 6, FALSE), perc_90, VLOOKUP(D$2, Percentiles!$A$45:$I$59, 7, FALSE), perc_95, VLOOKUP(D$2, Percentiles!$A$45:$I$59, 8, FALSE), perc_85, perc_75 + (perc_90 - perc_75) * (2/3), converted_stat, '2K_Ratings'!D63, IF(bbgm_stat &gt;= perc_95, converted_stat * 3, IF(bbgm_stat &gt;= perc_90, converted_stat * 2, IF(bbgm_stat &gt;= perc_85, converted_stat * 1.5, converted_stat)))))</f>
        <v/>
      </c>
      <c r="E63" s="30" t="str">
        <f t="array" ref="E63">IF($A63="", "", LET(bbgm_stat, INDEX(Players!$A62:$P62, MATCH(E$2, Players!$A$1:$P$1, 0)), perc_75, VLOOKUP(E$2, Percentiles!$A$45:$I$59, 6, FALSE), perc_90, VLOOKUP(E$2, Percentiles!$A$45:$I$59, 7, FALSE), perc_95, VLOOKUP(E$2, Percentiles!$A$45:$I$59, 8, FALSE), perc_85, perc_75 + (perc_90 - perc_75) * (2/3), converted_stat, '2K_Ratings'!E63, IF(bbgm_stat &gt;= perc_95, converted_stat * 3, IF(bbgm_stat &gt;= perc_90, converted_stat * 2, IF(bbgm_stat &gt;= perc_85, converted_stat * 1.5, converted_stat)))))</f>
        <v/>
      </c>
      <c r="F63" s="30" t="str">
        <f t="array" ref="F63">IF($A63="", "", LET(bbgm_stat, INDEX(Players!$A62:$P62, MATCH(F$2, Players!$A$1:$P$1, 0)), perc_75, VLOOKUP(F$2, Percentiles!$A$45:$I$59, 6, FALSE), perc_90, VLOOKUP(F$2, Percentiles!$A$45:$I$59, 7, FALSE), perc_95, VLOOKUP(F$2, Percentiles!$A$45:$I$59, 8, FALSE), perc_85, perc_75 + (perc_90 - perc_75) * (2/3), converted_stat, '2K_Ratings'!F63, IF(bbgm_stat &gt;= perc_95, converted_stat * 3, IF(bbgm_stat &gt;= perc_90, converted_stat * 2, IF(bbgm_stat &gt;= perc_85, converted_stat * 1.5, converted_stat)))))</f>
        <v/>
      </c>
      <c r="G63" s="30" t="str">
        <f t="array" ref="G63">IF($A63="", "", LET(bbgm_stat, INDEX(Players!$A62:$P62, MATCH(G$2, Players!$A$1:$P$1, 0)), perc_75, VLOOKUP(G$2, Percentiles!$A$45:$I$59, 6, FALSE), perc_90, VLOOKUP(G$2, Percentiles!$A$45:$I$59, 7, FALSE), perc_95, VLOOKUP(G$2, Percentiles!$A$45:$I$59, 8, FALSE), perc_85, perc_75 + (perc_90 - perc_75) * (2/3), converted_stat, '2K_Ratings'!G63, IF(bbgm_stat &gt;= perc_95, converted_stat * 3, IF(bbgm_stat &gt;= perc_90, converted_stat * 2, IF(bbgm_stat &gt;= perc_85, converted_stat * 1.5, converted_stat)))))</f>
        <v/>
      </c>
      <c r="H63" s="30" t="str">
        <f t="array" ref="H63">IF($A63="", "", LET(bbgm_stat, INDEX(Players!$A62:$P62, MATCH(H$2, Players!$A$1:$P$1, 0)), perc_75, VLOOKUP(H$2, Percentiles!$A$45:$I$59, 6, FALSE), perc_90, VLOOKUP(H$2, Percentiles!$A$45:$I$59, 7, FALSE), perc_95, VLOOKUP(H$2, Percentiles!$A$45:$I$59, 8, FALSE), perc_85, perc_75 + (perc_90 - perc_75) * (2/3), converted_stat, '2K_Ratings'!H63, IF(bbgm_stat &gt;= perc_95, converted_stat * 3, IF(bbgm_stat &gt;= perc_90, converted_stat * 2, IF(bbgm_stat &gt;= perc_85, converted_stat * 1.5, converted_stat)))))</f>
        <v/>
      </c>
      <c r="I63" s="30" t="str">
        <f t="array" ref="I63">IF($A63="", "", LET(bbgm_stat, INDEX(Players!$A62:$P62, MATCH(I$2, Players!$A$1:$P$1, 0)), perc_75, VLOOKUP(I$2, Percentiles!$A$45:$I$59, 6, FALSE), perc_90, VLOOKUP(I$2, Percentiles!$A$45:$I$59, 7, FALSE), perc_95, VLOOKUP(I$2, Percentiles!$A$45:$I$59, 8, FALSE), perc_85, perc_75 + (perc_90 - perc_75) * (2/3), converted_stat, '2K_Ratings'!I63, IF(bbgm_stat &gt;= perc_95, converted_stat * 3, IF(bbgm_stat &gt;= perc_90, converted_stat * 2, IF(bbgm_stat &gt;= perc_85, converted_stat * 1.5, converted_stat)))))</f>
        <v/>
      </c>
      <c r="J63" s="30" t="str">
        <f t="array" ref="J63">IF($A63="", "", LET(bbgm_stat, INDEX(Players!$A62:$P62, MATCH(J$2, Players!$A$1:$P$1, 0)), perc_75, VLOOKUP(J$2, Percentiles!$A$45:$I$59, 6, FALSE), perc_90, VLOOKUP(J$2, Percentiles!$A$45:$I$59, 7, FALSE), perc_95, VLOOKUP(J$2, Percentiles!$A$45:$I$59, 8, FALSE), perc_85, perc_75 + (perc_90 - perc_75) * (2/3), converted_stat, '2K_Ratings'!J63, IF(bbgm_stat &gt;= perc_95, converted_stat * 3, IF(bbgm_stat &gt;= perc_90, converted_stat * 2, IF(bbgm_stat &gt;= perc_85, converted_stat * 1.5, converted_stat)))))</f>
        <v/>
      </c>
      <c r="K63" s="30" t="str">
        <f t="array" ref="K63">IF($A63="", "", LET(bbgm_stat, INDEX(Players!$A62:$P62, MATCH(K$2, Players!$A$1:$P$1, 0)), perc_75, VLOOKUP(K$2, Percentiles!$A$45:$I$59, 6, FALSE), perc_90, VLOOKUP(K$2, Percentiles!$A$45:$I$59, 7, FALSE), perc_95, VLOOKUP(K$2, Percentiles!$A$45:$I$59, 8, FALSE), perc_85, perc_75 + (perc_90 - perc_75) * (2/3), converted_stat, '2K_Ratings'!K63, IF(bbgm_stat &gt;= perc_95, converted_stat * 3, IF(bbgm_stat &gt;= perc_90, converted_stat * 2, IF(bbgm_stat &gt;= perc_85, converted_stat * 1.5, converted_stat)))))</f>
        <v/>
      </c>
      <c r="L63" s="30" t="str">
        <f t="array" ref="L63">IF($A63="", "", LET(bbgm_stat, INDEX(Players!$A62:$P62, MATCH(L$2, Players!$A$1:$P$1, 0)), perc_75, VLOOKUP(L$2, Percentiles!$A$45:$I$59, 6, FALSE), perc_90, VLOOKUP(L$2, Percentiles!$A$45:$I$59, 7, FALSE), perc_95, VLOOKUP(L$2, Percentiles!$A$45:$I$59, 8, FALSE), perc_85, perc_75 + (perc_90 - perc_75) * (2/3), converted_stat, '2K_Ratings'!L63, IF(bbgm_stat &gt;= perc_95, converted_stat * 3, IF(bbgm_stat &gt;= perc_90, converted_stat * 2, IF(bbgm_stat &gt;= perc_85, converted_stat * 1.5, converted_stat)))))</f>
        <v/>
      </c>
      <c r="M63" s="30" t="str">
        <f t="array" ref="M63">IF($A63="", "", LET(bbgm_stat, INDEX(Players!$A62:$P62, MATCH(M$2, Players!$A$1:$P$1, 0)), perc_75, VLOOKUP(M$2, Percentiles!$A$45:$I$59, 6, FALSE), perc_90, VLOOKUP(M$2, Percentiles!$A$45:$I$59, 7, FALSE), perc_95, VLOOKUP(M$2, Percentiles!$A$45:$I$59, 8, FALSE), perc_85, perc_75 + (perc_90 - perc_75) * (2/3), converted_stat, '2K_Ratings'!M63, IF(bbgm_stat &gt;= perc_95, converted_stat * 3, IF(bbgm_stat &gt;= perc_90, converted_stat * 2, IF(bbgm_stat &gt;= perc_85, converted_stat * 1.5, converted_stat)))))</f>
        <v/>
      </c>
      <c r="N63" s="30" t="str">
        <f t="array" ref="N63">IF($A63="", "", LET(bbgm_stat, INDEX(Players!$A62:$P62, MATCH(N$2, Players!$A$1:$P$1, 0)), perc_75, VLOOKUP(N$2, Percentiles!$A$45:$I$59, 6, FALSE), perc_90, VLOOKUP(N$2, Percentiles!$A$45:$I$59, 7, FALSE), perc_95, VLOOKUP(N$2, Percentiles!$A$45:$I$59, 8, FALSE), perc_85, perc_75 + (perc_90 - perc_75) * (2/3), converted_stat, '2K_Ratings'!N63, IF(bbgm_stat &gt;= perc_95, converted_stat * 3, IF(bbgm_stat &gt;= perc_90, converted_stat * 2, IF(bbgm_stat &gt;= perc_85, converted_stat * 1.5, converted_stat)))))</f>
        <v/>
      </c>
      <c r="O63" s="30" t="str">
        <f t="array" ref="O63">IF($A63="", "", LET(bbgm_stat, INDEX(Players!$A62:$P62, MATCH(O$2, Players!$A$1:$P$1, 0)), perc_75, VLOOKUP(O$2, Percentiles!$A$45:$I$59, 6, FALSE), perc_90, VLOOKUP(O$2, Percentiles!$A$45:$I$59, 7, FALSE), perc_95, VLOOKUP(O$2, Percentiles!$A$45:$I$59, 8, FALSE), perc_85, perc_75 + (perc_90 - perc_75) * (2/3), converted_stat, '2K_Ratings'!O63, IF(bbgm_stat &gt;= perc_95, converted_stat * 3, IF(bbgm_stat &gt;= perc_90, converted_stat * 2, IF(bbgm_stat &gt;= perc_85, converted_stat * 1.5, converted_stat)))))</f>
        <v/>
      </c>
      <c r="P63" s="30" t="str">
        <f t="array" ref="P63">IF($A63="", "", LET(bbgm_stat, INDEX(Players!$A62:$P62, MATCH(P$2, Players!$A$1:$P$1, 0)), perc_75, VLOOKUP(P$2, Percentiles!$A$45:$I$59, 6, FALSE), perc_90, VLOOKUP(P$2, Percentiles!$A$45:$I$59, 7, FALSE), perc_95, VLOOKUP(P$2, Percentiles!$A$45:$I$59, 8, FALSE), perc_85, perc_75 + (perc_90 - perc_75) * (2/3), converted_stat, '2K_Ratings'!P63, IF(bbgm_stat &gt;= perc_95, converted_stat * 3, IF(bbgm_stat &gt;= perc_90, converted_stat * 2, IF(bbgm_stat &gt;= perc_85, converted_stat * 1.5, converted_stat)))))</f>
        <v/>
      </c>
      <c r="Q63" s="30" t="str">
        <f t="array" ref="Q63">IF($A63="", "", LET(bbgm_stat, INDEX(Players!$A62:$P62, MATCH(Q$2, Players!$A$1:$P$1, 0)), perc_75, VLOOKUP(Q$2, Percentiles!$A$45:$I$59, 6, FALSE), perc_90, VLOOKUP(Q$2, Percentiles!$A$45:$I$59, 7, FALSE), perc_95, VLOOKUP(Q$2, Percentiles!$A$45:$I$59, 8, FALSE), perc_85, perc_75 + (perc_90 - perc_75) * (2/3), converted_stat, '2K_Ratings'!Q63, IF(bbgm_stat &gt;= perc_95, converted_stat * 3, IF(bbgm_stat &gt;= perc_90, converted_stat * 2, IF(bbgm_stat &gt;= perc_85, converted_stat * 1.5, converted_stat)))))</f>
        <v/>
      </c>
      <c r="R63" s="30" t="str">
        <f t="array" ref="R63">IF($A63="", "", LET(bbgm_stat, INDEX(Players!$A62:$P62, MATCH(R$2, Players!$A$1:$P$1, 0)), perc_75, VLOOKUP(R$2, Percentiles!$A$45:$I$59, 6, FALSE), perc_90, VLOOKUP(R$2, Percentiles!$A$45:$I$59, 7, FALSE), perc_95, VLOOKUP(R$2, Percentiles!$A$45:$I$59, 8, FALSE), perc_85, perc_75 + (perc_90 - perc_75) * (2/3), converted_stat, '2K_Ratings'!R63, IF(bbgm_stat &gt;= perc_95, converted_stat * 3, IF(bbgm_stat &gt;= perc_90, converted_stat * 2, IF(bbgm_stat &gt;= perc_85, converted_stat * 1.5, converted_stat)))))</f>
        <v/>
      </c>
      <c r="S63" s="30" t="str">
        <f t="array" ref="S63">IF($A63="", "", LET(bbgm_stat, INDEX(Players!$A62:$P62, MATCH(S$2, Players!$A$1:$P$1, 0)), perc_75, VLOOKUP(S$2, Percentiles!$A$45:$I$59, 6, FALSE), perc_90, VLOOKUP(S$2, Percentiles!$A$45:$I$59, 7, FALSE), perc_95, VLOOKUP(S$2, Percentiles!$A$45:$I$59, 8, FALSE), perc_85, perc_75 + (perc_90 - perc_75) * (2/3), converted_stat, '2K_Ratings'!S63, IF(bbgm_stat &gt;= perc_95, converted_stat * 3, IF(bbgm_stat &gt;= perc_90, converted_stat * 2, IF(bbgm_stat &gt;= perc_85, converted_stat * 1.5, converted_stat)))))</f>
        <v/>
      </c>
      <c r="T63" s="30" t="str">
        <f t="array" ref="T63">IF($A63="", "", LET(bbgm_stat, INDEX(Players!$A62:$P62, MATCH(T$2, Players!$A$1:$P$1, 0)), perc_75, VLOOKUP(T$2, Percentiles!$A$45:$I$59, 6, FALSE), perc_90, VLOOKUP(T$2, Percentiles!$A$45:$I$59, 7, FALSE), perc_95, VLOOKUP(T$2, Percentiles!$A$45:$I$59, 8, FALSE), perc_85, perc_75 + (perc_90 - perc_75) * (2/3), converted_stat, '2K_Ratings'!T63, IF(bbgm_stat &gt;= perc_95, converted_stat * 3, IF(bbgm_stat &gt;= perc_90, converted_stat * 2, IF(bbgm_stat &gt;= perc_85, converted_stat * 1.5, converted_stat)))))</f>
        <v/>
      </c>
      <c r="U63" s="30" t="str">
        <f t="array" ref="U63">IF($A63="", "", LET(bbgm_stat, INDEX(Players!$A62:$P62, MATCH(U$2, Players!$A$1:$P$1, 0)), perc_75, VLOOKUP(U$2, Percentiles!$A$45:$I$59, 6, FALSE), perc_90, VLOOKUP(U$2, Percentiles!$A$45:$I$59, 7, FALSE), perc_95, VLOOKUP(U$2, Percentiles!$A$45:$I$59, 8, FALSE), perc_85, perc_75 + (perc_90 - perc_75) * (2/3), converted_stat, '2K_Ratings'!U63, IF(bbgm_stat &gt;= perc_95, converted_stat * 3, IF(bbgm_stat &gt;= perc_90, converted_stat * 2, IF(bbgm_stat &gt;= perc_85, converted_stat * 1.5, converted_stat)))))</f>
        <v/>
      </c>
      <c r="V63" s="30" t="str">
        <f t="array" ref="V63">IF($A63="", "", LET(bbgm_stat, INDEX(Players!$A62:$P62, MATCH(V$2, Players!$A$1:$P$1, 0)), perc_75, VLOOKUP(V$2, Percentiles!$A$45:$I$59, 6, FALSE), perc_90, VLOOKUP(V$2, Percentiles!$A$45:$I$59, 7, FALSE), perc_95, VLOOKUP(V$2, Percentiles!$A$45:$I$59, 8, FALSE), perc_85, perc_75 + (perc_90 - perc_75) * (2/3), converted_stat, '2K_Ratings'!V63, IF(bbgm_stat &gt;= perc_95, converted_stat * 3, IF(bbgm_stat &gt;= perc_90, converted_stat * 2, IF(bbgm_stat &gt;= perc_85, converted_stat * 1.5, converted_stat)))))</f>
        <v/>
      </c>
      <c r="W63" s="30" t="str">
        <f t="array" ref="W63">IF($A63="", "", LET(bbgm_stat, INDEX(Players!$A62:$P62, MATCH(W$2, Players!$A$1:$P$1, 0)), perc_75, VLOOKUP(W$2, Percentiles!$A$45:$I$59, 6, FALSE), perc_90, VLOOKUP(W$2, Percentiles!$A$45:$I$59, 7, FALSE), perc_95, VLOOKUP(W$2, Percentiles!$A$45:$I$59, 8, FALSE), perc_85, perc_75 + (perc_90 - perc_75) * (2/3), converted_stat, '2K_Ratings'!W63, IF(bbgm_stat &gt;= perc_95, converted_stat * 3, IF(bbgm_stat &gt;= perc_90, converted_stat * 2, IF(bbgm_stat &gt;= perc_85, converted_stat * 1.5, converted_stat)))))</f>
        <v/>
      </c>
    </row>
    <row r="64">
      <c r="A64" s="30" t="str">
        <f>IF(Players!A63="", "", Players!A63)</f>
        <v/>
      </c>
      <c r="B64" s="30" t="str">
        <f t="array" ref="B64">IF($A64="", "", LET(bbgm_stat, INDEX(Players!$A63:$P63, MATCH(B$2, Players!$A$1:$P$1, 0)), perc_75, VLOOKUP(B$2, Percentiles!$A$45:$I$59, 6, FALSE), perc_90, VLOOKUP(B$2, Percentiles!$A$45:$I$59, 7, FALSE), perc_95, VLOOKUP(B$2, Percentiles!$A$45:$I$59, 8, FALSE), perc_85, perc_75 + (perc_90 - perc_75) * (2/3), converted_stat, '2K_Ratings'!B64, IF(bbgm_stat &gt;= perc_95, converted_stat * 3, IF(bbgm_stat &gt;= perc_90, converted_stat * 2, IF(bbgm_stat &gt;= perc_85, converted_stat * 1.5, converted_stat)))))</f>
        <v/>
      </c>
      <c r="C64" s="30" t="str">
        <f t="array" ref="C64">IF($A64="", "", LET(bbgm_stat, INDEX(Players!$A63:$P63, MATCH(C$2, Players!$A$1:$P$1, 0)), perc_75, VLOOKUP(C$2, Percentiles!$A$45:$I$59, 6, FALSE), perc_90, VLOOKUP(C$2, Percentiles!$A$45:$I$59, 7, FALSE), perc_95, VLOOKUP(C$2, Percentiles!$A$45:$I$59, 8, FALSE), perc_85, perc_75 + (perc_90 - perc_75) * (2/3), converted_stat, '2K_Ratings'!C64, IF(bbgm_stat &gt;= perc_95, converted_stat * 3, IF(bbgm_stat &gt;= perc_90, converted_stat * 2, IF(bbgm_stat &gt;= perc_85, converted_stat * 1.5, converted_stat)))))</f>
        <v/>
      </c>
      <c r="D64" s="30" t="str">
        <f t="array" ref="D64">IF($A64="", "", LET(bbgm_stat, INDEX(Players!$A63:$P63, MATCH(D$2, Players!$A$1:$P$1, 0)), perc_75, VLOOKUP(D$2, Percentiles!$A$45:$I$59, 6, FALSE), perc_90, VLOOKUP(D$2, Percentiles!$A$45:$I$59, 7, FALSE), perc_95, VLOOKUP(D$2, Percentiles!$A$45:$I$59, 8, FALSE), perc_85, perc_75 + (perc_90 - perc_75) * (2/3), converted_stat, '2K_Ratings'!D64, IF(bbgm_stat &gt;= perc_95, converted_stat * 3, IF(bbgm_stat &gt;= perc_90, converted_stat * 2, IF(bbgm_stat &gt;= perc_85, converted_stat * 1.5, converted_stat)))))</f>
        <v/>
      </c>
      <c r="E64" s="30" t="str">
        <f t="array" ref="E64">IF($A64="", "", LET(bbgm_stat, INDEX(Players!$A63:$P63, MATCH(E$2, Players!$A$1:$P$1, 0)), perc_75, VLOOKUP(E$2, Percentiles!$A$45:$I$59, 6, FALSE), perc_90, VLOOKUP(E$2, Percentiles!$A$45:$I$59, 7, FALSE), perc_95, VLOOKUP(E$2, Percentiles!$A$45:$I$59, 8, FALSE), perc_85, perc_75 + (perc_90 - perc_75) * (2/3), converted_stat, '2K_Ratings'!E64, IF(bbgm_stat &gt;= perc_95, converted_stat * 3, IF(bbgm_stat &gt;= perc_90, converted_stat * 2, IF(bbgm_stat &gt;= perc_85, converted_stat * 1.5, converted_stat)))))</f>
        <v/>
      </c>
      <c r="F64" s="30" t="str">
        <f t="array" ref="F64">IF($A64="", "", LET(bbgm_stat, INDEX(Players!$A63:$P63, MATCH(F$2, Players!$A$1:$P$1, 0)), perc_75, VLOOKUP(F$2, Percentiles!$A$45:$I$59, 6, FALSE), perc_90, VLOOKUP(F$2, Percentiles!$A$45:$I$59, 7, FALSE), perc_95, VLOOKUP(F$2, Percentiles!$A$45:$I$59, 8, FALSE), perc_85, perc_75 + (perc_90 - perc_75) * (2/3), converted_stat, '2K_Ratings'!F64, IF(bbgm_stat &gt;= perc_95, converted_stat * 3, IF(bbgm_stat &gt;= perc_90, converted_stat * 2, IF(bbgm_stat &gt;= perc_85, converted_stat * 1.5, converted_stat)))))</f>
        <v/>
      </c>
      <c r="G64" s="30" t="str">
        <f t="array" ref="G64">IF($A64="", "", LET(bbgm_stat, INDEX(Players!$A63:$P63, MATCH(G$2, Players!$A$1:$P$1, 0)), perc_75, VLOOKUP(G$2, Percentiles!$A$45:$I$59, 6, FALSE), perc_90, VLOOKUP(G$2, Percentiles!$A$45:$I$59, 7, FALSE), perc_95, VLOOKUP(G$2, Percentiles!$A$45:$I$59, 8, FALSE), perc_85, perc_75 + (perc_90 - perc_75) * (2/3), converted_stat, '2K_Ratings'!G64, IF(bbgm_stat &gt;= perc_95, converted_stat * 3, IF(bbgm_stat &gt;= perc_90, converted_stat * 2, IF(bbgm_stat &gt;= perc_85, converted_stat * 1.5, converted_stat)))))</f>
        <v/>
      </c>
      <c r="H64" s="30" t="str">
        <f t="array" ref="H64">IF($A64="", "", LET(bbgm_stat, INDEX(Players!$A63:$P63, MATCH(H$2, Players!$A$1:$P$1, 0)), perc_75, VLOOKUP(H$2, Percentiles!$A$45:$I$59, 6, FALSE), perc_90, VLOOKUP(H$2, Percentiles!$A$45:$I$59, 7, FALSE), perc_95, VLOOKUP(H$2, Percentiles!$A$45:$I$59, 8, FALSE), perc_85, perc_75 + (perc_90 - perc_75) * (2/3), converted_stat, '2K_Ratings'!H64, IF(bbgm_stat &gt;= perc_95, converted_stat * 3, IF(bbgm_stat &gt;= perc_90, converted_stat * 2, IF(bbgm_stat &gt;= perc_85, converted_stat * 1.5, converted_stat)))))</f>
        <v/>
      </c>
      <c r="I64" s="30" t="str">
        <f t="array" ref="I64">IF($A64="", "", LET(bbgm_stat, INDEX(Players!$A63:$P63, MATCH(I$2, Players!$A$1:$P$1, 0)), perc_75, VLOOKUP(I$2, Percentiles!$A$45:$I$59, 6, FALSE), perc_90, VLOOKUP(I$2, Percentiles!$A$45:$I$59, 7, FALSE), perc_95, VLOOKUP(I$2, Percentiles!$A$45:$I$59, 8, FALSE), perc_85, perc_75 + (perc_90 - perc_75) * (2/3), converted_stat, '2K_Ratings'!I64, IF(bbgm_stat &gt;= perc_95, converted_stat * 3, IF(bbgm_stat &gt;= perc_90, converted_stat * 2, IF(bbgm_stat &gt;= perc_85, converted_stat * 1.5, converted_stat)))))</f>
        <v/>
      </c>
      <c r="J64" s="30" t="str">
        <f t="array" ref="J64">IF($A64="", "", LET(bbgm_stat, INDEX(Players!$A63:$P63, MATCH(J$2, Players!$A$1:$P$1, 0)), perc_75, VLOOKUP(J$2, Percentiles!$A$45:$I$59, 6, FALSE), perc_90, VLOOKUP(J$2, Percentiles!$A$45:$I$59, 7, FALSE), perc_95, VLOOKUP(J$2, Percentiles!$A$45:$I$59, 8, FALSE), perc_85, perc_75 + (perc_90 - perc_75) * (2/3), converted_stat, '2K_Ratings'!J64, IF(bbgm_stat &gt;= perc_95, converted_stat * 3, IF(bbgm_stat &gt;= perc_90, converted_stat * 2, IF(bbgm_stat &gt;= perc_85, converted_stat * 1.5, converted_stat)))))</f>
        <v/>
      </c>
      <c r="K64" s="30" t="str">
        <f t="array" ref="K64">IF($A64="", "", LET(bbgm_stat, INDEX(Players!$A63:$P63, MATCH(K$2, Players!$A$1:$P$1, 0)), perc_75, VLOOKUP(K$2, Percentiles!$A$45:$I$59, 6, FALSE), perc_90, VLOOKUP(K$2, Percentiles!$A$45:$I$59, 7, FALSE), perc_95, VLOOKUP(K$2, Percentiles!$A$45:$I$59, 8, FALSE), perc_85, perc_75 + (perc_90 - perc_75) * (2/3), converted_stat, '2K_Ratings'!K64, IF(bbgm_stat &gt;= perc_95, converted_stat * 3, IF(bbgm_stat &gt;= perc_90, converted_stat * 2, IF(bbgm_stat &gt;= perc_85, converted_stat * 1.5, converted_stat)))))</f>
        <v/>
      </c>
      <c r="L64" s="30" t="str">
        <f t="array" ref="L64">IF($A64="", "", LET(bbgm_stat, INDEX(Players!$A63:$P63, MATCH(L$2, Players!$A$1:$P$1, 0)), perc_75, VLOOKUP(L$2, Percentiles!$A$45:$I$59, 6, FALSE), perc_90, VLOOKUP(L$2, Percentiles!$A$45:$I$59, 7, FALSE), perc_95, VLOOKUP(L$2, Percentiles!$A$45:$I$59, 8, FALSE), perc_85, perc_75 + (perc_90 - perc_75) * (2/3), converted_stat, '2K_Ratings'!L64, IF(bbgm_stat &gt;= perc_95, converted_stat * 3, IF(bbgm_stat &gt;= perc_90, converted_stat * 2, IF(bbgm_stat &gt;= perc_85, converted_stat * 1.5, converted_stat)))))</f>
        <v/>
      </c>
      <c r="M64" s="30" t="str">
        <f t="array" ref="M64">IF($A64="", "", LET(bbgm_stat, INDEX(Players!$A63:$P63, MATCH(M$2, Players!$A$1:$P$1, 0)), perc_75, VLOOKUP(M$2, Percentiles!$A$45:$I$59, 6, FALSE), perc_90, VLOOKUP(M$2, Percentiles!$A$45:$I$59, 7, FALSE), perc_95, VLOOKUP(M$2, Percentiles!$A$45:$I$59, 8, FALSE), perc_85, perc_75 + (perc_90 - perc_75) * (2/3), converted_stat, '2K_Ratings'!M64, IF(bbgm_stat &gt;= perc_95, converted_stat * 3, IF(bbgm_stat &gt;= perc_90, converted_stat * 2, IF(bbgm_stat &gt;= perc_85, converted_stat * 1.5, converted_stat)))))</f>
        <v/>
      </c>
      <c r="N64" s="30" t="str">
        <f t="array" ref="N64">IF($A64="", "", LET(bbgm_stat, INDEX(Players!$A63:$P63, MATCH(N$2, Players!$A$1:$P$1, 0)), perc_75, VLOOKUP(N$2, Percentiles!$A$45:$I$59, 6, FALSE), perc_90, VLOOKUP(N$2, Percentiles!$A$45:$I$59, 7, FALSE), perc_95, VLOOKUP(N$2, Percentiles!$A$45:$I$59, 8, FALSE), perc_85, perc_75 + (perc_90 - perc_75) * (2/3), converted_stat, '2K_Ratings'!N64, IF(bbgm_stat &gt;= perc_95, converted_stat * 3, IF(bbgm_stat &gt;= perc_90, converted_stat * 2, IF(bbgm_stat &gt;= perc_85, converted_stat * 1.5, converted_stat)))))</f>
        <v/>
      </c>
      <c r="O64" s="30" t="str">
        <f t="array" ref="O64">IF($A64="", "", LET(bbgm_stat, INDEX(Players!$A63:$P63, MATCH(O$2, Players!$A$1:$P$1, 0)), perc_75, VLOOKUP(O$2, Percentiles!$A$45:$I$59, 6, FALSE), perc_90, VLOOKUP(O$2, Percentiles!$A$45:$I$59, 7, FALSE), perc_95, VLOOKUP(O$2, Percentiles!$A$45:$I$59, 8, FALSE), perc_85, perc_75 + (perc_90 - perc_75) * (2/3), converted_stat, '2K_Ratings'!O64, IF(bbgm_stat &gt;= perc_95, converted_stat * 3, IF(bbgm_stat &gt;= perc_90, converted_stat * 2, IF(bbgm_stat &gt;= perc_85, converted_stat * 1.5, converted_stat)))))</f>
        <v/>
      </c>
      <c r="P64" s="30" t="str">
        <f t="array" ref="P64">IF($A64="", "", LET(bbgm_stat, INDEX(Players!$A63:$P63, MATCH(P$2, Players!$A$1:$P$1, 0)), perc_75, VLOOKUP(P$2, Percentiles!$A$45:$I$59, 6, FALSE), perc_90, VLOOKUP(P$2, Percentiles!$A$45:$I$59, 7, FALSE), perc_95, VLOOKUP(P$2, Percentiles!$A$45:$I$59, 8, FALSE), perc_85, perc_75 + (perc_90 - perc_75) * (2/3), converted_stat, '2K_Ratings'!P64, IF(bbgm_stat &gt;= perc_95, converted_stat * 3, IF(bbgm_stat &gt;= perc_90, converted_stat * 2, IF(bbgm_stat &gt;= perc_85, converted_stat * 1.5, converted_stat)))))</f>
        <v/>
      </c>
      <c r="Q64" s="30" t="str">
        <f t="array" ref="Q64">IF($A64="", "", LET(bbgm_stat, INDEX(Players!$A63:$P63, MATCH(Q$2, Players!$A$1:$P$1, 0)), perc_75, VLOOKUP(Q$2, Percentiles!$A$45:$I$59, 6, FALSE), perc_90, VLOOKUP(Q$2, Percentiles!$A$45:$I$59, 7, FALSE), perc_95, VLOOKUP(Q$2, Percentiles!$A$45:$I$59, 8, FALSE), perc_85, perc_75 + (perc_90 - perc_75) * (2/3), converted_stat, '2K_Ratings'!Q64, IF(bbgm_stat &gt;= perc_95, converted_stat * 3, IF(bbgm_stat &gt;= perc_90, converted_stat * 2, IF(bbgm_stat &gt;= perc_85, converted_stat * 1.5, converted_stat)))))</f>
        <v/>
      </c>
      <c r="R64" s="30" t="str">
        <f t="array" ref="R64">IF($A64="", "", LET(bbgm_stat, INDEX(Players!$A63:$P63, MATCH(R$2, Players!$A$1:$P$1, 0)), perc_75, VLOOKUP(R$2, Percentiles!$A$45:$I$59, 6, FALSE), perc_90, VLOOKUP(R$2, Percentiles!$A$45:$I$59, 7, FALSE), perc_95, VLOOKUP(R$2, Percentiles!$A$45:$I$59, 8, FALSE), perc_85, perc_75 + (perc_90 - perc_75) * (2/3), converted_stat, '2K_Ratings'!R64, IF(bbgm_stat &gt;= perc_95, converted_stat * 3, IF(bbgm_stat &gt;= perc_90, converted_stat * 2, IF(bbgm_stat &gt;= perc_85, converted_stat * 1.5, converted_stat)))))</f>
        <v/>
      </c>
      <c r="S64" s="30" t="str">
        <f t="array" ref="S64">IF($A64="", "", LET(bbgm_stat, INDEX(Players!$A63:$P63, MATCH(S$2, Players!$A$1:$P$1, 0)), perc_75, VLOOKUP(S$2, Percentiles!$A$45:$I$59, 6, FALSE), perc_90, VLOOKUP(S$2, Percentiles!$A$45:$I$59, 7, FALSE), perc_95, VLOOKUP(S$2, Percentiles!$A$45:$I$59, 8, FALSE), perc_85, perc_75 + (perc_90 - perc_75) * (2/3), converted_stat, '2K_Ratings'!S64, IF(bbgm_stat &gt;= perc_95, converted_stat * 3, IF(bbgm_stat &gt;= perc_90, converted_stat * 2, IF(bbgm_stat &gt;= perc_85, converted_stat * 1.5, converted_stat)))))</f>
        <v/>
      </c>
      <c r="T64" s="30" t="str">
        <f t="array" ref="T64">IF($A64="", "", LET(bbgm_stat, INDEX(Players!$A63:$P63, MATCH(T$2, Players!$A$1:$P$1, 0)), perc_75, VLOOKUP(T$2, Percentiles!$A$45:$I$59, 6, FALSE), perc_90, VLOOKUP(T$2, Percentiles!$A$45:$I$59, 7, FALSE), perc_95, VLOOKUP(T$2, Percentiles!$A$45:$I$59, 8, FALSE), perc_85, perc_75 + (perc_90 - perc_75) * (2/3), converted_stat, '2K_Ratings'!T64, IF(bbgm_stat &gt;= perc_95, converted_stat * 3, IF(bbgm_stat &gt;= perc_90, converted_stat * 2, IF(bbgm_stat &gt;= perc_85, converted_stat * 1.5, converted_stat)))))</f>
        <v/>
      </c>
      <c r="U64" s="30" t="str">
        <f t="array" ref="U64">IF($A64="", "", LET(bbgm_stat, INDEX(Players!$A63:$P63, MATCH(U$2, Players!$A$1:$P$1, 0)), perc_75, VLOOKUP(U$2, Percentiles!$A$45:$I$59, 6, FALSE), perc_90, VLOOKUP(U$2, Percentiles!$A$45:$I$59, 7, FALSE), perc_95, VLOOKUP(U$2, Percentiles!$A$45:$I$59, 8, FALSE), perc_85, perc_75 + (perc_90 - perc_75) * (2/3), converted_stat, '2K_Ratings'!U64, IF(bbgm_stat &gt;= perc_95, converted_stat * 3, IF(bbgm_stat &gt;= perc_90, converted_stat * 2, IF(bbgm_stat &gt;= perc_85, converted_stat * 1.5, converted_stat)))))</f>
        <v/>
      </c>
      <c r="V64" s="30" t="str">
        <f t="array" ref="V64">IF($A64="", "", LET(bbgm_stat, INDEX(Players!$A63:$P63, MATCH(V$2, Players!$A$1:$P$1, 0)), perc_75, VLOOKUP(V$2, Percentiles!$A$45:$I$59, 6, FALSE), perc_90, VLOOKUP(V$2, Percentiles!$A$45:$I$59, 7, FALSE), perc_95, VLOOKUP(V$2, Percentiles!$A$45:$I$59, 8, FALSE), perc_85, perc_75 + (perc_90 - perc_75) * (2/3), converted_stat, '2K_Ratings'!V64, IF(bbgm_stat &gt;= perc_95, converted_stat * 3, IF(bbgm_stat &gt;= perc_90, converted_stat * 2, IF(bbgm_stat &gt;= perc_85, converted_stat * 1.5, converted_stat)))))</f>
        <v/>
      </c>
      <c r="W64" s="30" t="str">
        <f t="array" ref="W64">IF($A64="", "", LET(bbgm_stat, INDEX(Players!$A63:$P63, MATCH(W$2, Players!$A$1:$P$1, 0)), perc_75, VLOOKUP(W$2, Percentiles!$A$45:$I$59, 6, FALSE), perc_90, VLOOKUP(W$2, Percentiles!$A$45:$I$59, 7, FALSE), perc_95, VLOOKUP(W$2, Percentiles!$A$45:$I$59, 8, FALSE), perc_85, perc_75 + (perc_90 - perc_75) * (2/3), converted_stat, '2K_Ratings'!W64, IF(bbgm_stat &gt;= perc_95, converted_stat * 3, IF(bbgm_stat &gt;= perc_90, converted_stat * 2, IF(bbgm_stat &gt;= perc_85, converted_stat * 1.5, converted_stat)))))</f>
        <v/>
      </c>
    </row>
    <row r="65">
      <c r="A65" s="30" t="str">
        <f>IF(Players!A64="", "", Players!A64)</f>
        <v/>
      </c>
      <c r="B65" s="30" t="str">
        <f t="array" ref="B65">IF($A65="", "", LET(bbgm_stat, INDEX(Players!$A64:$P64, MATCH(B$2, Players!$A$1:$P$1, 0)), perc_75, VLOOKUP(B$2, Percentiles!$A$45:$I$59, 6, FALSE), perc_90, VLOOKUP(B$2, Percentiles!$A$45:$I$59, 7, FALSE), perc_95, VLOOKUP(B$2, Percentiles!$A$45:$I$59, 8, FALSE), perc_85, perc_75 + (perc_90 - perc_75) * (2/3), converted_stat, '2K_Ratings'!B65, IF(bbgm_stat &gt;= perc_95, converted_stat * 3, IF(bbgm_stat &gt;= perc_90, converted_stat * 2, IF(bbgm_stat &gt;= perc_85, converted_stat * 1.5, converted_stat)))))</f>
        <v/>
      </c>
      <c r="C65" s="30" t="str">
        <f t="array" ref="C65">IF($A65="", "", LET(bbgm_stat, INDEX(Players!$A64:$P64, MATCH(C$2, Players!$A$1:$P$1, 0)), perc_75, VLOOKUP(C$2, Percentiles!$A$45:$I$59, 6, FALSE), perc_90, VLOOKUP(C$2, Percentiles!$A$45:$I$59, 7, FALSE), perc_95, VLOOKUP(C$2, Percentiles!$A$45:$I$59, 8, FALSE), perc_85, perc_75 + (perc_90 - perc_75) * (2/3), converted_stat, '2K_Ratings'!C65, IF(bbgm_stat &gt;= perc_95, converted_stat * 3, IF(bbgm_stat &gt;= perc_90, converted_stat * 2, IF(bbgm_stat &gt;= perc_85, converted_stat * 1.5, converted_stat)))))</f>
        <v/>
      </c>
      <c r="D65" s="30" t="str">
        <f t="array" ref="D65">IF($A65="", "", LET(bbgm_stat, INDEX(Players!$A64:$P64, MATCH(D$2, Players!$A$1:$P$1, 0)), perc_75, VLOOKUP(D$2, Percentiles!$A$45:$I$59, 6, FALSE), perc_90, VLOOKUP(D$2, Percentiles!$A$45:$I$59, 7, FALSE), perc_95, VLOOKUP(D$2, Percentiles!$A$45:$I$59, 8, FALSE), perc_85, perc_75 + (perc_90 - perc_75) * (2/3), converted_stat, '2K_Ratings'!D65, IF(bbgm_stat &gt;= perc_95, converted_stat * 3, IF(bbgm_stat &gt;= perc_90, converted_stat * 2, IF(bbgm_stat &gt;= perc_85, converted_stat * 1.5, converted_stat)))))</f>
        <v/>
      </c>
      <c r="E65" s="30" t="str">
        <f t="array" ref="E65">IF($A65="", "", LET(bbgm_stat, INDEX(Players!$A64:$P64, MATCH(E$2, Players!$A$1:$P$1, 0)), perc_75, VLOOKUP(E$2, Percentiles!$A$45:$I$59, 6, FALSE), perc_90, VLOOKUP(E$2, Percentiles!$A$45:$I$59, 7, FALSE), perc_95, VLOOKUP(E$2, Percentiles!$A$45:$I$59, 8, FALSE), perc_85, perc_75 + (perc_90 - perc_75) * (2/3), converted_stat, '2K_Ratings'!E65, IF(bbgm_stat &gt;= perc_95, converted_stat * 3, IF(bbgm_stat &gt;= perc_90, converted_stat * 2, IF(bbgm_stat &gt;= perc_85, converted_stat * 1.5, converted_stat)))))</f>
        <v/>
      </c>
      <c r="F65" s="30" t="str">
        <f t="array" ref="F65">IF($A65="", "", LET(bbgm_stat, INDEX(Players!$A64:$P64, MATCH(F$2, Players!$A$1:$P$1, 0)), perc_75, VLOOKUP(F$2, Percentiles!$A$45:$I$59, 6, FALSE), perc_90, VLOOKUP(F$2, Percentiles!$A$45:$I$59, 7, FALSE), perc_95, VLOOKUP(F$2, Percentiles!$A$45:$I$59, 8, FALSE), perc_85, perc_75 + (perc_90 - perc_75) * (2/3), converted_stat, '2K_Ratings'!F65, IF(bbgm_stat &gt;= perc_95, converted_stat * 3, IF(bbgm_stat &gt;= perc_90, converted_stat * 2, IF(bbgm_stat &gt;= perc_85, converted_stat * 1.5, converted_stat)))))</f>
        <v/>
      </c>
      <c r="G65" s="30" t="str">
        <f t="array" ref="G65">IF($A65="", "", LET(bbgm_stat, INDEX(Players!$A64:$P64, MATCH(G$2, Players!$A$1:$P$1, 0)), perc_75, VLOOKUP(G$2, Percentiles!$A$45:$I$59, 6, FALSE), perc_90, VLOOKUP(G$2, Percentiles!$A$45:$I$59, 7, FALSE), perc_95, VLOOKUP(G$2, Percentiles!$A$45:$I$59, 8, FALSE), perc_85, perc_75 + (perc_90 - perc_75) * (2/3), converted_stat, '2K_Ratings'!G65, IF(bbgm_stat &gt;= perc_95, converted_stat * 3, IF(bbgm_stat &gt;= perc_90, converted_stat * 2, IF(bbgm_stat &gt;= perc_85, converted_stat * 1.5, converted_stat)))))</f>
        <v/>
      </c>
      <c r="H65" s="30" t="str">
        <f t="array" ref="H65">IF($A65="", "", LET(bbgm_stat, INDEX(Players!$A64:$P64, MATCH(H$2, Players!$A$1:$P$1, 0)), perc_75, VLOOKUP(H$2, Percentiles!$A$45:$I$59, 6, FALSE), perc_90, VLOOKUP(H$2, Percentiles!$A$45:$I$59, 7, FALSE), perc_95, VLOOKUP(H$2, Percentiles!$A$45:$I$59, 8, FALSE), perc_85, perc_75 + (perc_90 - perc_75) * (2/3), converted_stat, '2K_Ratings'!H65, IF(bbgm_stat &gt;= perc_95, converted_stat * 3, IF(bbgm_stat &gt;= perc_90, converted_stat * 2, IF(bbgm_stat &gt;= perc_85, converted_stat * 1.5, converted_stat)))))</f>
        <v/>
      </c>
      <c r="I65" s="30" t="str">
        <f t="array" ref="I65">IF($A65="", "", LET(bbgm_stat, INDEX(Players!$A64:$P64, MATCH(I$2, Players!$A$1:$P$1, 0)), perc_75, VLOOKUP(I$2, Percentiles!$A$45:$I$59, 6, FALSE), perc_90, VLOOKUP(I$2, Percentiles!$A$45:$I$59, 7, FALSE), perc_95, VLOOKUP(I$2, Percentiles!$A$45:$I$59, 8, FALSE), perc_85, perc_75 + (perc_90 - perc_75) * (2/3), converted_stat, '2K_Ratings'!I65, IF(bbgm_stat &gt;= perc_95, converted_stat * 3, IF(bbgm_stat &gt;= perc_90, converted_stat * 2, IF(bbgm_stat &gt;= perc_85, converted_stat * 1.5, converted_stat)))))</f>
        <v/>
      </c>
      <c r="J65" s="30" t="str">
        <f t="array" ref="J65">IF($A65="", "", LET(bbgm_stat, INDEX(Players!$A64:$P64, MATCH(J$2, Players!$A$1:$P$1, 0)), perc_75, VLOOKUP(J$2, Percentiles!$A$45:$I$59, 6, FALSE), perc_90, VLOOKUP(J$2, Percentiles!$A$45:$I$59, 7, FALSE), perc_95, VLOOKUP(J$2, Percentiles!$A$45:$I$59, 8, FALSE), perc_85, perc_75 + (perc_90 - perc_75) * (2/3), converted_stat, '2K_Ratings'!J65, IF(bbgm_stat &gt;= perc_95, converted_stat * 3, IF(bbgm_stat &gt;= perc_90, converted_stat * 2, IF(bbgm_stat &gt;= perc_85, converted_stat * 1.5, converted_stat)))))</f>
        <v/>
      </c>
      <c r="K65" s="30" t="str">
        <f t="array" ref="K65">IF($A65="", "", LET(bbgm_stat, INDEX(Players!$A64:$P64, MATCH(K$2, Players!$A$1:$P$1, 0)), perc_75, VLOOKUP(K$2, Percentiles!$A$45:$I$59, 6, FALSE), perc_90, VLOOKUP(K$2, Percentiles!$A$45:$I$59, 7, FALSE), perc_95, VLOOKUP(K$2, Percentiles!$A$45:$I$59, 8, FALSE), perc_85, perc_75 + (perc_90 - perc_75) * (2/3), converted_stat, '2K_Ratings'!K65, IF(bbgm_stat &gt;= perc_95, converted_stat * 3, IF(bbgm_stat &gt;= perc_90, converted_stat * 2, IF(bbgm_stat &gt;= perc_85, converted_stat * 1.5, converted_stat)))))</f>
        <v/>
      </c>
      <c r="L65" s="30" t="str">
        <f t="array" ref="L65">IF($A65="", "", LET(bbgm_stat, INDEX(Players!$A64:$P64, MATCH(L$2, Players!$A$1:$P$1, 0)), perc_75, VLOOKUP(L$2, Percentiles!$A$45:$I$59, 6, FALSE), perc_90, VLOOKUP(L$2, Percentiles!$A$45:$I$59, 7, FALSE), perc_95, VLOOKUP(L$2, Percentiles!$A$45:$I$59, 8, FALSE), perc_85, perc_75 + (perc_90 - perc_75) * (2/3), converted_stat, '2K_Ratings'!L65, IF(bbgm_stat &gt;= perc_95, converted_stat * 3, IF(bbgm_stat &gt;= perc_90, converted_stat * 2, IF(bbgm_stat &gt;= perc_85, converted_stat * 1.5, converted_stat)))))</f>
        <v/>
      </c>
      <c r="M65" s="30" t="str">
        <f t="array" ref="M65">IF($A65="", "", LET(bbgm_stat, INDEX(Players!$A64:$P64, MATCH(M$2, Players!$A$1:$P$1, 0)), perc_75, VLOOKUP(M$2, Percentiles!$A$45:$I$59, 6, FALSE), perc_90, VLOOKUP(M$2, Percentiles!$A$45:$I$59, 7, FALSE), perc_95, VLOOKUP(M$2, Percentiles!$A$45:$I$59, 8, FALSE), perc_85, perc_75 + (perc_90 - perc_75) * (2/3), converted_stat, '2K_Ratings'!M65, IF(bbgm_stat &gt;= perc_95, converted_stat * 3, IF(bbgm_stat &gt;= perc_90, converted_stat * 2, IF(bbgm_stat &gt;= perc_85, converted_stat * 1.5, converted_stat)))))</f>
        <v/>
      </c>
      <c r="N65" s="30" t="str">
        <f t="array" ref="N65">IF($A65="", "", LET(bbgm_stat, INDEX(Players!$A64:$P64, MATCH(N$2, Players!$A$1:$P$1, 0)), perc_75, VLOOKUP(N$2, Percentiles!$A$45:$I$59, 6, FALSE), perc_90, VLOOKUP(N$2, Percentiles!$A$45:$I$59, 7, FALSE), perc_95, VLOOKUP(N$2, Percentiles!$A$45:$I$59, 8, FALSE), perc_85, perc_75 + (perc_90 - perc_75) * (2/3), converted_stat, '2K_Ratings'!N65, IF(bbgm_stat &gt;= perc_95, converted_stat * 3, IF(bbgm_stat &gt;= perc_90, converted_stat * 2, IF(bbgm_stat &gt;= perc_85, converted_stat * 1.5, converted_stat)))))</f>
        <v/>
      </c>
      <c r="O65" s="30" t="str">
        <f t="array" ref="O65">IF($A65="", "", LET(bbgm_stat, INDEX(Players!$A64:$P64, MATCH(O$2, Players!$A$1:$P$1, 0)), perc_75, VLOOKUP(O$2, Percentiles!$A$45:$I$59, 6, FALSE), perc_90, VLOOKUP(O$2, Percentiles!$A$45:$I$59, 7, FALSE), perc_95, VLOOKUP(O$2, Percentiles!$A$45:$I$59, 8, FALSE), perc_85, perc_75 + (perc_90 - perc_75) * (2/3), converted_stat, '2K_Ratings'!O65, IF(bbgm_stat &gt;= perc_95, converted_stat * 3, IF(bbgm_stat &gt;= perc_90, converted_stat * 2, IF(bbgm_stat &gt;= perc_85, converted_stat * 1.5, converted_stat)))))</f>
        <v/>
      </c>
      <c r="P65" s="30" t="str">
        <f t="array" ref="P65">IF($A65="", "", LET(bbgm_stat, INDEX(Players!$A64:$P64, MATCH(P$2, Players!$A$1:$P$1, 0)), perc_75, VLOOKUP(P$2, Percentiles!$A$45:$I$59, 6, FALSE), perc_90, VLOOKUP(P$2, Percentiles!$A$45:$I$59, 7, FALSE), perc_95, VLOOKUP(P$2, Percentiles!$A$45:$I$59, 8, FALSE), perc_85, perc_75 + (perc_90 - perc_75) * (2/3), converted_stat, '2K_Ratings'!P65, IF(bbgm_stat &gt;= perc_95, converted_stat * 3, IF(bbgm_stat &gt;= perc_90, converted_stat * 2, IF(bbgm_stat &gt;= perc_85, converted_stat * 1.5, converted_stat)))))</f>
        <v/>
      </c>
      <c r="Q65" s="30" t="str">
        <f t="array" ref="Q65">IF($A65="", "", LET(bbgm_stat, INDEX(Players!$A64:$P64, MATCH(Q$2, Players!$A$1:$P$1, 0)), perc_75, VLOOKUP(Q$2, Percentiles!$A$45:$I$59, 6, FALSE), perc_90, VLOOKUP(Q$2, Percentiles!$A$45:$I$59, 7, FALSE), perc_95, VLOOKUP(Q$2, Percentiles!$A$45:$I$59, 8, FALSE), perc_85, perc_75 + (perc_90 - perc_75) * (2/3), converted_stat, '2K_Ratings'!Q65, IF(bbgm_stat &gt;= perc_95, converted_stat * 3, IF(bbgm_stat &gt;= perc_90, converted_stat * 2, IF(bbgm_stat &gt;= perc_85, converted_stat * 1.5, converted_stat)))))</f>
        <v/>
      </c>
      <c r="R65" s="30" t="str">
        <f t="array" ref="R65">IF($A65="", "", LET(bbgm_stat, INDEX(Players!$A64:$P64, MATCH(R$2, Players!$A$1:$P$1, 0)), perc_75, VLOOKUP(R$2, Percentiles!$A$45:$I$59, 6, FALSE), perc_90, VLOOKUP(R$2, Percentiles!$A$45:$I$59, 7, FALSE), perc_95, VLOOKUP(R$2, Percentiles!$A$45:$I$59, 8, FALSE), perc_85, perc_75 + (perc_90 - perc_75) * (2/3), converted_stat, '2K_Ratings'!R65, IF(bbgm_stat &gt;= perc_95, converted_stat * 3, IF(bbgm_stat &gt;= perc_90, converted_stat * 2, IF(bbgm_stat &gt;= perc_85, converted_stat * 1.5, converted_stat)))))</f>
        <v/>
      </c>
      <c r="S65" s="30" t="str">
        <f t="array" ref="S65">IF($A65="", "", LET(bbgm_stat, INDEX(Players!$A64:$P64, MATCH(S$2, Players!$A$1:$P$1, 0)), perc_75, VLOOKUP(S$2, Percentiles!$A$45:$I$59, 6, FALSE), perc_90, VLOOKUP(S$2, Percentiles!$A$45:$I$59, 7, FALSE), perc_95, VLOOKUP(S$2, Percentiles!$A$45:$I$59, 8, FALSE), perc_85, perc_75 + (perc_90 - perc_75) * (2/3), converted_stat, '2K_Ratings'!S65, IF(bbgm_stat &gt;= perc_95, converted_stat * 3, IF(bbgm_stat &gt;= perc_90, converted_stat * 2, IF(bbgm_stat &gt;= perc_85, converted_stat * 1.5, converted_stat)))))</f>
        <v/>
      </c>
      <c r="T65" s="30" t="str">
        <f t="array" ref="T65">IF($A65="", "", LET(bbgm_stat, INDEX(Players!$A64:$P64, MATCH(T$2, Players!$A$1:$P$1, 0)), perc_75, VLOOKUP(T$2, Percentiles!$A$45:$I$59, 6, FALSE), perc_90, VLOOKUP(T$2, Percentiles!$A$45:$I$59, 7, FALSE), perc_95, VLOOKUP(T$2, Percentiles!$A$45:$I$59, 8, FALSE), perc_85, perc_75 + (perc_90 - perc_75) * (2/3), converted_stat, '2K_Ratings'!T65, IF(bbgm_stat &gt;= perc_95, converted_stat * 3, IF(bbgm_stat &gt;= perc_90, converted_stat * 2, IF(bbgm_stat &gt;= perc_85, converted_stat * 1.5, converted_stat)))))</f>
        <v/>
      </c>
      <c r="U65" s="30" t="str">
        <f t="array" ref="U65">IF($A65="", "", LET(bbgm_stat, INDEX(Players!$A64:$P64, MATCH(U$2, Players!$A$1:$P$1, 0)), perc_75, VLOOKUP(U$2, Percentiles!$A$45:$I$59, 6, FALSE), perc_90, VLOOKUP(U$2, Percentiles!$A$45:$I$59, 7, FALSE), perc_95, VLOOKUP(U$2, Percentiles!$A$45:$I$59, 8, FALSE), perc_85, perc_75 + (perc_90 - perc_75) * (2/3), converted_stat, '2K_Ratings'!U65, IF(bbgm_stat &gt;= perc_95, converted_stat * 3, IF(bbgm_stat &gt;= perc_90, converted_stat * 2, IF(bbgm_stat &gt;= perc_85, converted_stat * 1.5, converted_stat)))))</f>
        <v/>
      </c>
      <c r="V65" s="30" t="str">
        <f t="array" ref="V65">IF($A65="", "", LET(bbgm_stat, INDEX(Players!$A64:$P64, MATCH(V$2, Players!$A$1:$P$1, 0)), perc_75, VLOOKUP(V$2, Percentiles!$A$45:$I$59, 6, FALSE), perc_90, VLOOKUP(V$2, Percentiles!$A$45:$I$59, 7, FALSE), perc_95, VLOOKUP(V$2, Percentiles!$A$45:$I$59, 8, FALSE), perc_85, perc_75 + (perc_90 - perc_75) * (2/3), converted_stat, '2K_Ratings'!V65, IF(bbgm_stat &gt;= perc_95, converted_stat * 3, IF(bbgm_stat &gt;= perc_90, converted_stat * 2, IF(bbgm_stat &gt;= perc_85, converted_stat * 1.5, converted_stat)))))</f>
        <v/>
      </c>
      <c r="W65" s="30" t="str">
        <f t="array" ref="W65">IF($A65="", "", LET(bbgm_stat, INDEX(Players!$A64:$P64, MATCH(W$2, Players!$A$1:$P$1, 0)), perc_75, VLOOKUP(W$2, Percentiles!$A$45:$I$59, 6, FALSE), perc_90, VLOOKUP(W$2, Percentiles!$A$45:$I$59, 7, FALSE), perc_95, VLOOKUP(W$2, Percentiles!$A$45:$I$59, 8, FALSE), perc_85, perc_75 + (perc_90 - perc_75) * (2/3), converted_stat, '2K_Ratings'!W65, IF(bbgm_stat &gt;= perc_95, converted_stat * 3, IF(bbgm_stat &gt;= perc_90, converted_stat * 2, IF(bbgm_stat &gt;= perc_85, converted_stat * 1.5, converted_stat)))))</f>
        <v/>
      </c>
    </row>
    <row r="66">
      <c r="A66" s="30" t="str">
        <f>IF(Players!A65="", "", Players!A65)</f>
        <v/>
      </c>
      <c r="B66" s="30" t="str">
        <f t="array" ref="B66">IF($A66="", "", LET(bbgm_stat, INDEX(Players!$A65:$P65, MATCH(B$2, Players!$A$1:$P$1, 0)), perc_75, VLOOKUP(B$2, Percentiles!$A$45:$I$59, 6, FALSE), perc_90, VLOOKUP(B$2, Percentiles!$A$45:$I$59, 7, FALSE), perc_95, VLOOKUP(B$2, Percentiles!$A$45:$I$59, 8, FALSE), perc_85, perc_75 + (perc_90 - perc_75) * (2/3), converted_stat, '2K_Ratings'!B66, IF(bbgm_stat &gt;= perc_95, converted_stat * 3, IF(bbgm_stat &gt;= perc_90, converted_stat * 2, IF(bbgm_stat &gt;= perc_85, converted_stat * 1.5, converted_stat)))))</f>
        <v/>
      </c>
      <c r="C66" s="30" t="str">
        <f t="array" ref="C66">IF($A66="", "", LET(bbgm_stat, INDEX(Players!$A65:$P65, MATCH(C$2, Players!$A$1:$P$1, 0)), perc_75, VLOOKUP(C$2, Percentiles!$A$45:$I$59, 6, FALSE), perc_90, VLOOKUP(C$2, Percentiles!$A$45:$I$59, 7, FALSE), perc_95, VLOOKUP(C$2, Percentiles!$A$45:$I$59, 8, FALSE), perc_85, perc_75 + (perc_90 - perc_75) * (2/3), converted_stat, '2K_Ratings'!C66, IF(bbgm_stat &gt;= perc_95, converted_stat * 3, IF(bbgm_stat &gt;= perc_90, converted_stat * 2, IF(bbgm_stat &gt;= perc_85, converted_stat * 1.5, converted_stat)))))</f>
        <v/>
      </c>
      <c r="D66" s="30" t="str">
        <f t="array" ref="D66">IF($A66="", "", LET(bbgm_stat, INDEX(Players!$A65:$P65, MATCH(D$2, Players!$A$1:$P$1, 0)), perc_75, VLOOKUP(D$2, Percentiles!$A$45:$I$59, 6, FALSE), perc_90, VLOOKUP(D$2, Percentiles!$A$45:$I$59, 7, FALSE), perc_95, VLOOKUP(D$2, Percentiles!$A$45:$I$59, 8, FALSE), perc_85, perc_75 + (perc_90 - perc_75) * (2/3), converted_stat, '2K_Ratings'!D66, IF(bbgm_stat &gt;= perc_95, converted_stat * 3, IF(bbgm_stat &gt;= perc_90, converted_stat * 2, IF(bbgm_stat &gt;= perc_85, converted_stat * 1.5, converted_stat)))))</f>
        <v/>
      </c>
      <c r="E66" s="30" t="str">
        <f t="array" ref="E66">IF($A66="", "", LET(bbgm_stat, INDEX(Players!$A65:$P65, MATCH(E$2, Players!$A$1:$P$1, 0)), perc_75, VLOOKUP(E$2, Percentiles!$A$45:$I$59, 6, FALSE), perc_90, VLOOKUP(E$2, Percentiles!$A$45:$I$59, 7, FALSE), perc_95, VLOOKUP(E$2, Percentiles!$A$45:$I$59, 8, FALSE), perc_85, perc_75 + (perc_90 - perc_75) * (2/3), converted_stat, '2K_Ratings'!E66, IF(bbgm_stat &gt;= perc_95, converted_stat * 3, IF(bbgm_stat &gt;= perc_90, converted_stat * 2, IF(bbgm_stat &gt;= perc_85, converted_stat * 1.5, converted_stat)))))</f>
        <v/>
      </c>
      <c r="F66" s="30" t="str">
        <f t="array" ref="F66">IF($A66="", "", LET(bbgm_stat, INDEX(Players!$A65:$P65, MATCH(F$2, Players!$A$1:$P$1, 0)), perc_75, VLOOKUP(F$2, Percentiles!$A$45:$I$59, 6, FALSE), perc_90, VLOOKUP(F$2, Percentiles!$A$45:$I$59, 7, FALSE), perc_95, VLOOKUP(F$2, Percentiles!$A$45:$I$59, 8, FALSE), perc_85, perc_75 + (perc_90 - perc_75) * (2/3), converted_stat, '2K_Ratings'!F66, IF(bbgm_stat &gt;= perc_95, converted_stat * 3, IF(bbgm_stat &gt;= perc_90, converted_stat * 2, IF(bbgm_stat &gt;= perc_85, converted_stat * 1.5, converted_stat)))))</f>
        <v/>
      </c>
      <c r="G66" s="30" t="str">
        <f t="array" ref="G66">IF($A66="", "", LET(bbgm_stat, INDEX(Players!$A65:$P65, MATCH(G$2, Players!$A$1:$P$1, 0)), perc_75, VLOOKUP(G$2, Percentiles!$A$45:$I$59, 6, FALSE), perc_90, VLOOKUP(G$2, Percentiles!$A$45:$I$59, 7, FALSE), perc_95, VLOOKUP(G$2, Percentiles!$A$45:$I$59, 8, FALSE), perc_85, perc_75 + (perc_90 - perc_75) * (2/3), converted_stat, '2K_Ratings'!G66, IF(bbgm_stat &gt;= perc_95, converted_stat * 3, IF(bbgm_stat &gt;= perc_90, converted_stat * 2, IF(bbgm_stat &gt;= perc_85, converted_stat * 1.5, converted_stat)))))</f>
        <v/>
      </c>
      <c r="H66" s="30" t="str">
        <f t="array" ref="H66">IF($A66="", "", LET(bbgm_stat, INDEX(Players!$A65:$P65, MATCH(H$2, Players!$A$1:$P$1, 0)), perc_75, VLOOKUP(H$2, Percentiles!$A$45:$I$59, 6, FALSE), perc_90, VLOOKUP(H$2, Percentiles!$A$45:$I$59, 7, FALSE), perc_95, VLOOKUP(H$2, Percentiles!$A$45:$I$59, 8, FALSE), perc_85, perc_75 + (perc_90 - perc_75) * (2/3), converted_stat, '2K_Ratings'!H66, IF(bbgm_stat &gt;= perc_95, converted_stat * 3, IF(bbgm_stat &gt;= perc_90, converted_stat * 2, IF(bbgm_stat &gt;= perc_85, converted_stat * 1.5, converted_stat)))))</f>
        <v/>
      </c>
      <c r="I66" s="30" t="str">
        <f t="array" ref="I66">IF($A66="", "", LET(bbgm_stat, INDEX(Players!$A65:$P65, MATCH(I$2, Players!$A$1:$P$1, 0)), perc_75, VLOOKUP(I$2, Percentiles!$A$45:$I$59, 6, FALSE), perc_90, VLOOKUP(I$2, Percentiles!$A$45:$I$59, 7, FALSE), perc_95, VLOOKUP(I$2, Percentiles!$A$45:$I$59, 8, FALSE), perc_85, perc_75 + (perc_90 - perc_75) * (2/3), converted_stat, '2K_Ratings'!I66, IF(bbgm_stat &gt;= perc_95, converted_stat * 3, IF(bbgm_stat &gt;= perc_90, converted_stat * 2, IF(bbgm_stat &gt;= perc_85, converted_stat * 1.5, converted_stat)))))</f>
        <v/>
      </c>
      <c r="J66" s="30" t="str">
        <f t="array" ref="J66">IF($A66="", "", LET(bbgm_stat, INDEX(Players!$A65:$P65, MATCH(J$2, Players!$A$1:$P$1, 0)), perc_75, VLOOKUP(J$2, Percentiles!$A$45:$I$59, 6, FALSE), perc_90, VLOOKUP(J$2, Percentiles!$A$45:$I$59, 7, FALSE), perc_95, VLOOKUP(J$2, Percentiles!$A$45:$I$59, 8, FALSE), perc_85, perc_75 + (perc_90 - perc_75) * (2/3), converted_stat, '2K_Ratings'!J66, IF(bbgm_stat &gt;= perc_95, converted_stat * 3, IF(bbgm_stat &gt;= perc_90, converted_stat * 2, IF(bbgm_stat &gt;= perc_85, converted_stat * 1.5, converted_stat)))))</f>
        <v/>
      </c>
      <c r="K66" s="30" t="str">
        <f t="array" ref="K66">IF($A66="", "", LET(bbgm_stat, INDEX(Players!$A65:$P65, MATCH(K$2, Players!$A$1:$P$1, 0)), perc_75, VLOOKUP(K$2, Percentiles!$A$45:$I$59, 6, FALSE), perc_90, VLOOKUP(K$2, Percentiles!$A$45:$I$59, 7, FALSE), perc_95, VLOOKUP(K$2, Percentiles!$A$45:$I$59, 8, FALSE), perc_85, perc_75 + (perc_90 - perc_75) * (2/3), converted_stat, '2K_Ratings'!K66, IF(bbgm_stat &gt;= perc_95, converted_stat * 3, IF(bbgm_stat &gt;= perc_90, converted_stat * 2, IF(bbgm_stat &gt;= perc_85, converted_stat * 1.5, converted_stat)))))</f>
        <v/>
      </c>
      <c r="L66" s="30" t="str">
        <f t="array" ref="L66">IF($A66="", "", LET(bbgm_stat, INDEX(Players!$A65:$P65, MATCH(L$2, Players!$A$1:$P$1, 0)), perc_75, VLOOKUP(L$2, Percentiles!$A$45:$I$59, 6, FALSE), perc_90, VLOOKUP(L$2, Percentiles!$A$45:$I$59, 7, FALSE), perc_95, VLOOKUP(L$2, Percentiles!$A$45:$I$59, 8, FALSE), perc_85, perc_75 + (perc_90 - perc_75) * (2/3), converted_stat, '2K_Ratings'!L66, IF(bbgm_stat &gt;= perc_95, converted_stat * 3, IF(bbgm_stat &gt;= perc_90, converted_stat * 2, IF(bbgm_stat &gt;= perc_85, converted_stat * 1.5, converted_stat)))))</f>
        <v/>
      </c>
      <c r="M66" s="30" t="str">
        <f t="array" ref="M66">IF($A66="", "", LET(bbgm_stat, INDEX(Players!$A65:$P65, MATCH(M$2, Players!$A$1:$P$1, 0)), perc_75, VLOOKUP(M$2, Percentiles!$A$45:$I$59, 6, FALSE), perc_90, VLOOKUP(M$2, Percentiles!$A$45:$I$59, 7, FALSE), perc_95, VLOOKUP(M$2, Percentiles!$A$45:$I$59, 8, FALSE), perc_85, perc_75 + (perc_90 - perc_75) * (2/3), converted_stat, '2K_Ratings'!M66, IF(bbgm_stat &gt;= perc_95, converted_stat * 3, IF(bbgm_stat &gt;= perc_90, converted_stat * 2, IF(bbgm_stat &gt;= perc_85, converted_stat * 1.5, converted_stat)))))</f>
        <v/>
      </c>
      <c r="N66" s="30" t="str">
        <f t="array" ref="N66">IF($A66="", "", LET(bbgm_stat, INDEX(Players!$A65:$P65, MATCH(N$2, Players!$A$1:$P$1, 0)), perc_75, VLOOKUP(N$2, Percentiles!$A$45:$I$59, 6, FALSE), perc_90, VLOOKUP(N$2, Percentiles!$A$45:$I$59, 7, FALSE), perc_95, VLOOKUP(N$2, Percentiles!$A$45:$I$59, 8, FALSE), perc_85, perc_75 + (perc_90 - perc_75) * (2/3), converted_stat, '2K_Ratings'!N66, IF(bbgm_stat &gt;= perc_95, converted_stat * 3, IF(bbgm_stat &gt;= perc_90, converted_stat * 2, IF(bbgm_stat &gt;= perc_85, converted_stat * 1.5, converted_stat)))))</f>
        <v/>
      </c>
      <c r="O66" s="30" t="str">
        <f t="array" ref="O66">IF($A66="", "", LET(bbgm_stat, INDEX(Players!$A65:$P65, MATCH(O$2, Players!$A$1:$P$1, 0)), perc_75, VLOOKUP(O$2, Percentiles!$A$45:$I$59, 6, FALSE), perc_90, VLOOKUP(O$2, Percentiles!$A$45:$I$59, 7, FALSE), perc_95, VLOOKUP(O$2, Percentiles!$A$45:$I$59, 8, FALSE), perc_85, perc_75 + (perc_90 - perc_75) * (2/3), converted_stat, '2K_Ratings'!O66, IF(bbgm_stat &gt;= perc_95, converted_stat * 3, IF(bbgm_stat &gt;= perc_90, converted_stat * 2, IF(bbgm_stat &gt;= perc_85, converted_stat * 1.5, converted_stat)))))</f>
        <v/>
      </c>
      <c r="P66" s="30" t="str">
        <f t="array" ref="P66">IF($A66="", "", LET(bbgm_stat, INDEX(Players!$A65:$P65, MATCH(P$2, Players!$A$1:$P$1, 0)), perc_75, VLOOKUP(P$2, Percentiles!$A$45:$I$59, 6, FALSE), perc_90, VLOOKUP(P$2, Percentiles!$A$45:$I$59, 7, FALSE), perc_95, VLOOKUP(P$2, Percentiles!$A$45:$I$59, 8, FALSE), perc_85, perc_75 + (perc_90 - perc_75) * (2/3), converted_stat, '2K_Ratings'!P66, IF(bbgm_stat &gt;= perc_95, converted_stat * 3, IF(bbgm_stat &gt;= perc_90, converted_stat * 2, IF(bbgm_stat &gt;= perc_85, converted_stat * 1.5, converted_stat)))))</f>
        <v/>
      </c>
      <c r="Q66" s="30" t="str">
        <f t="array" ref="Q66">IF($A66="", "", LET(bbgm_stat, INDEX(Players!$A65:$P65, MATCH(Q$2, Players!$A$1:$P$1, 0)), perc_75, VLOOKUP(Q$2, Percentiles!$A$45:$I$59, 6, FALSE), perc_90, VLOOKUP(Q$2, Percentiles!$A$45:$I$59, 7, FALSE), perc_95, VLOOKUP(Q$2, Percentiles!$A$45:$I$59, 8, FALSE), perc_85, perc_75 + (perc_90 - perc_75) * (2/3), converted_stat, '2K_Ratings'!Q66, IF(bbgm_stat &gt;= perc_95, converted_stat * 3, IF(bbgm_stat &gt;= perc_90, converted_stat * 2, IF(bbgm_stat &gt;= perc_85, converted_stat * 1.5, converted_stat)))))</f>
        <v/>
      </c>
      <c r="R66" s="30" t="str">
        <f t="array" ref="R66">IF($A66="", "", LET(bbgm_stat, INDEX(Players!$A65:$P65, MATCH(R$2, Players!$A$1:$P$1, 0)), perc_75, VLOOKUP(R$2, Percentiles!$A$45:$I$59, 6, FALSE), perc_90, VLOOKUP(R$2, Percentiles!$A$45:$I$59, 7, FALSE), perc_95, VLOOKUP(R$2, Percentiles!$A$45:$I$59, 8, FALSE), perc_85, perc_75 + (perc_90 - perc_75) * (2/3), converted_stat, '2K_Ratings'!R66, IF(bbgm_stat &gt;= perc_95, converted_stat * 3, IF(bbgm_stat &gt;= perc_90, converted_stat * 2, IF(bbgm_stat &gt;= perc_85, converted_stat * 1.5, converted_stat)))))</f>
        <v/>
      </c>
      <c r="S66" s="30" t="str">
        <f t="array" ref="S66">IF($A66="", "", LET(bbgm_stat, INDEX(Players!$A65:$P65, MATCH(S$2, Players!$A$1:$P$1, 0)), perc_75, VLOOKUP(S$2, Percentiles!$A$45:$I$59, 6, FALSE), perc_90, VLOOKUP(S$2, Percentiles!$A$45:$I$59, 7, FALSE), perc_95, VLOOKUP(S$2, Percentiles!$A$45:$I$59, 8, FALSE), perc_85, perc_75 + (perc_90 - perc_75) * (2/3), converted_stat, '2K_Ratings'!S66, IF(bbgm_stat &gt;= perc_95, converted_stat * 3, IF(bbgm_stat &gt;= perc_90, converted_stat * 2, IF(bbgm_stat &gt;= perc_85, converted_stat * 1.5, converted_stat)))))</f>
        <v/>
      </c>
      <c r="T66" s="30" t="str">
        <f t="array" ref="T66">IF($A66="", "", LET(bbgm_stat, INDEX(Players!$A65:$P65, MATCH(T$2, Players!$A$1:$P$1, 0)), perc_75, VLOOKUP(T$2, Percentiles!$A$45:$I$59, 6, FALSE), perc_90, VLOOKUP(T$2, Percentiles!$A$45:$I$59, 7, FALSE), perc_95, VLOOKUP(T$2, Percentiles!$A$45:$I$59, 8, FALSE), perc_85, perc_75 + (perc_90 - perc_75) * (2/3), converted_stat, '2K_Ratings'!T66, IF(bbgm_stat &gt;= perc_95, converted_stat * 3, IF(bbgm_stat &gt;= perc_90, converted_stat * 2, IF(bbgm_stat &gt;= perc_85, converted_stat * 1.5, converted_stat)))))</f>
        <v/>
      </c>
      <c r="U66" s="30" t="str">
        <f t="array" ref="U66">IF($A66="", "", LET(bbgm_stat, INDEX(Players!$A65:$P65, MATCH(U$2, Players!$A$1:$P$1, 0)), perc_75, VLOOKUP(U$2, Percentiles!$A$45:$I$59, 6, FALSE), perc_90, VLOOKUP(U$2, Percentiles!$A$45:$I$59, 7, FALSE), perc_95, VLOOKUP(U$2, Percentiles!$A$45:$I$59, 8, FALSE), perc_85, perc_75 + (perc_90 - perc_75) * (2/3), converted_stat, '2K_Ratings'!U66, IF(bbgm_stat &gt;= perc_95, converted_stat * 3, IF(bbgm_stat &gt;= perc_90, converted_stat * 2, IF(bbgm_stat &gt;= perc_85, converted_stat * 1.5, converted_stat)))))</f>
        <v/>
      </c>
      <c r="V66" s="30" t="str">
        <f t="array" ref="V66">IF($A66="", "", LET(bbgm_stat, INDEX(Players!$A65:$P65, MATCH(V$2, Players!$A$1:$P$1, 0)), perc_75, VLOOKUP(V$2, Percentiles!$A$45:$I$59, 6, FALSE), perc_90, VLOOKUP(V$2, Percentiles!$A$45:$I$59, 7, FALSE), perc_95, VLOOKUP(V$2, Percentiles!$A$45:$I$59, 8, FALSE), perc_85, perc_75 + (perc_90 - perc_75) * (2/3), converted_stat, '2K_Ratings'!V66, IF(bbgm_stat &gt;= perc_95, converted_stat * 3, IF(bbgm_stat &gt;= perc_90, converted_stat * 2, IF(bbgm_stat &gt;= perc_85, converted_stat * 1.5, converted_stat)))))</f>
        <v/>
      </c>
      <c r="W66" s="30" t="str">
        <f t="array" ref="W66">IF($A66="", "", LET(bbgm_stat, INDEX(Players!$A65:$P65, MATCH(W$2, Players!$A$1:$P$1, 0)), perc_75, VLOOKUP(W$2, Percentiles!$A$45:$I$59, 6, FALSE), perc_90, VLOOKUP(W$2, Percentiles!$A$45:$I$59, 7, FALSE), perc_95, VLOOKUP(W$2, Percentiles!$A$45:$I$59, 8, FALSE), perc_85, perc_75 + (perc_90 - perc_75) * (2/3), converted_stat, '2K_Ratings'!W66, IF(bbgm_stat &gt;= perc_95, converted_stat * 3, IF(bbgm_stat &gt;= perc_90, converted_stat * 2, IF(bbgm_stat &gt;= perc_85, converted_stat * 1.5, converted_stat)))))</f>
        <v/>
      </c>
    </row>
    <row r="67">
      <c r="A67" s="30" t="str">
        <f>IF(Players!A66="", "", Players!A66)</f>
        <v/>
      </c>
      <c r="B67" s="30" t="str">
        <f t="array" ref="B67">IF($A67="", "", LET(bbgm_stat, INDEX(Players!$A66:$P66, MATCH(B$2, Players!$A$1:$P$1, 0)), perc_75, VLOOKUP(B$2, Percentiles!$A$45:$I$59, 6, FALSE), perc_90, VLOOKUP(B$2, Percentiles!$A$45:$I$59, 7, FALSE), perc_95, VLOOKUP(B$2, Percentiles!$A$45:$I$59, 8, FALSE), perc_85, perc_75 + (perc_90 - perc_75) * (2/3), converted_stat, '2K_Ratings'!B67, IF(bbgm_stat &gt;= perc_95, converted_stat * 3, IF(bbgm_stat &gt;= perc_90, converted_stat * 2, IF(bbgm_stat &gt;= perc_85, converted_stat * 1.5, converted_stat)))))</f>
        <v/>
      </c>
      <c r="C67" s="30" t="str">
        <f t="array" ref="C67">IF($A67="", "", LET(bbgm_stat, INDEX(Players!$A66:$P66, MATCH(C$2, Players!$A$1:$P$1, 0)), perc_75, VLOOKUP(C$2, Percentiles!$A$45:$I$59, 6, FALSE), perc_90, VLOOKUP(C$2, Percentiles!$A$45:$I$59, 7, FALSE), perc_95, VLOOKUP(C$2, Percentiles!$A$45:$I$59, 8, FALSE), perc_85, perc_75 + (perc_90 - perc_75) * (2/3), converted_stat, '2K_Ratings'!C67, IF(bbgm_stat &gt;= perc_95, converted_stat * 3, IF(bbgm_stat &gt;= perc_90, converted_stat * 2, IF(bbgm_stat &gt;= perc_85, converted_stat * 1.5, converted_stat)))))</f>
        <v/>
      </c>
      <c r="D67" s="30" t="str">
        <f t="array" ref="D67">IF($A67="", "", LET(bbgm_stat, INDEX(Players!$A66:$P66, MATCH(D$2, Players!$A$1:$P$1, 0)), perc_75, VLOOKUP(D$2, Percentiles!$A$45:$I$59, 6, FALSE), perc_90, VLOOKUP(D$2, Percentiles!$A$45:$I$59, 7, FALSE), perc_95, VLOOKUP(D$2, Percentiles!$A$45:$I$59, 8, FALSE), perc_85, perc_75 + (perc_90 - perc_75) * (2/3), converted_stat, '2K_Ratings'!D67, IF(bbgm_stat &gt;= perc_95, converted_stat * 3, IF(bbgm_stat &gt;= perc_90, converted_stat * 2, IF(bbgm_stat &gt;= perc_85, converted_stat * 1.5, converted_stat)))))</f>
        <v/>
      </c>
      <c r="E67" s="30" t="str">
        <f t="array" ref="E67">IF($A67="", "", LET(bbgm_stat, INDEX(Players!$A66:$P66, MATCH(E$2, Players!$A$1:$P$1, 0)), perc_75, VLOOKUP(E$2, Percentiles!$A$45:$I$59, 6, FALSE), perc_90, VLOOKUP(E$2, Percentiles!$A$45:$I$59, 7, FALSE), perc_95, VLOOKUP(E$2, Percentiles!$A$45:$I$59, 8, FALSE), perc_85, perc_75 + (perc_90 - perc_75) * (2/3), converted_stat, '2K_Ratings'!E67, IF(bbgm_stat &gt;= perc_95, converted_stat * 3, IF(bbgm_stat &gt;= perc_90, converted_stat * 2, IF(bbgm_stat &gt;= perc_85, converted_stat * 1.5, converted_stat)))))</f>
        <v/>
      </c>
      <c r="F67" s="30" t="str">
        <f t="array" ref="F67">IF($A67="", "", LET(bbgm_stat, INDEX(Players!$A66:$P66, MATCH(F$2, Players!$A$1:$P$1, 0)), perc_75, VLOOKUP(F$2, Percentiles!$A$45:$I$59, 6, FALSE), perc_90, VLOOKUP(F$2, Percentiles!$A$45:$I$59, 7, FALSE), perc_95, VLOOKUP(F$2, Percentiles!$A$45:$I$59, 8, FALSE), perc_85, perc_75 + (perc_90 - perc_75) * (2/3), converted_stat, '2K_Ratings'!F67, IF(bbgm_stat &gt;= perc_95, converted_stat * 3, IF(bbgm_stat &gt;= perc_90, converted_stat * 2, IF(bbgm_stat &gt;= perc_85, converted_stat * 1.5, converted_stat)))))</f>
        <v/>
      </c>
      <c r="G67" s="30" t="str">
        <f t="array" ref="G67">IF($A67="", "", LET(bbgm_stat, INDEX(Players!$A66:$P66, MATCH(G$2, Players!$A$1:$P$1, 0)), perc_75, VLOOKUP(G$2, Percentiles!$A$45:$I$59, 6, FALSE), perc_90, VLOOKUP(G$2, Percentiles!$A$45:$I$59, 7, FALSE), perc_95, VLOOKUP(G$2, Percentiles!$A$45:$I$59, 8, FALSE), perc_85, perc_75 + (perc_90 - perc_75) * (2/3), converted_stat, '2K_Ratings'!G67, IF(bbgm_stat &gt;= perc_95, converted_stat * 3, IF(bbgm_stat &gt;= perc_90, converted_stat * 2, IF(bbgm_stat &gt;= perc_85, converted_stat * 1.5, converted_stat)))))</f>
        <v/>
      </c>
      <c r="H67" s="30" t="str">
        <f t="array" ref="H67">IF($A67="", "", LET(bbgm_stat, INDEX(Players!$A66:$P66, MATCH(H$2, Players!$A$1:$P$1, 0)), perc_75, VLOOKUP(H$2, Percentiles!$A$45:$I$59, 6, FALSE), perc_90, VLOOKUP(H$2, Percentiles!$A$45:$I$59, 7, FALSE), perc_95, VLOOKUP(H$2, Percentiles!$A$45:$I$59, 8, FALSE), perc_85, perc_75 + (perc_90 - perc_75) * (2/3), converted_stat, '2K_Ratings'!H67, IF(bbgm_stat &gt;= perc_95, converted_stat * 3, IF(bbgm_stat &gt;= perc_90, converted_stat * 2, IF(bbgm_stat &gt;= perc_85, converted_stat * 1.5, converted_stat)))))</f>
        <v/>
      </c>
      <c r="I67" s="30" t="str">
        <f t="array" ref="I67">IF($A67="", "", LET(bbgm_stat, INDEX(Players!$A66:$P66, MATCH(I$2, Players!$A$1:$P$1, 0)), perc_75, VLOOKUP(I$2, Percentiles!$A$45:$I$59, 6, FALSE), perc_90, VLOOKUP(I$2, Percentiles!$A$45:$I$59, 7, FALSE), perc_95, VLOOKUP(I$2, Percentiles!$A$45:$I$59, 8, FALSE), perc_85, perc_75 + (perc_90 - perc_75) * (2/3), converted_stat, '2K_Ratings'!I67, IF(bbgm_stat &gt;= perc_95, converted_stat * 3, IF(bbgm_stat &gt;= perc_90, converted_stat * 2, IF(bbgm_stat &gt;= perc_85, converted_stat * 1.5, converted_stat)))))</f>
        <v/>
      </c>
      <c r="J67" s="30" t="str">
        <f t="array" ref="J67">IF($A67="", "", LET(bbgm_stat, INDEX(Players!$A66:$P66, MATCH(J$2, Players!$A$1:$P$1, 0)), perc_75, VLOOKUP(J$2, Percentiles!$A$45:$I$59, 6, FALSE), perc_90, VLOOKUP(J$2, Percentiles!$A$45:$I$59, 7, FALSE), perc_95, VLOOKUP(J$2, Percentiles!$A$45:$I$59, 8, FALSE), perc_85, perc_75 + (perc_90 - perc_75) * (2/3), converted_stat, '2K_Ratings'!J67, IF(bbgm_stat &gt;= perc_95, converted_stat * 3, IF(bbgm_stat &gt;= perc_90, converted_stat * 2, IF(bbgm_stat &gt;= perc_85, converted_stat * 1.5, converted_stat)))))</f>
        <v/>
      </c>
      <c r="K67" s="30" t="str">
        <f t="array" ref="K67">IF($A67="", "", LET(bbgm_stat, INDEX(Players!$A66:$P66, MATCH(K$2, Players!$A$1:$P$1, 0)), perc_75, VLOOKUP(K$2, Percentiles!$A$45:$I$59, 6, FALSE), perc_90, VLOOKUP(K$2, Percentiles!$A$45:$I$59, 7, FALSE), perc_95, VLOOKUP(K$2, Percentiles!$A$45:$I$59, 8, FALSE), perc_85, perc_75 + (perc_90 - perc_75) * (2/3), converted_stat, '2K_Ratings'!K67, IF(bbgm_stat &gt;= perc_95, converted_stat * 3, IF(bbgm_stat &gt;= perc_90, converted_stat * 2, IF(bbgm_stat &gt;= perc_85, converted_stat * 1.5, converted_stat)))))</f>
        <v/>
      </c>
      <c r="L67" s="30" t="str">
        <f t="array" ref="L67">IF($A67="", "", LET(bbgm_stat, INDEX(Players!$A66:$P66, MATCH(L$2, Players!$A$1:$P$1, 0)), perc_75, VLOOKUP(L$2, Percentiles!$A$45:$I$59, 6, FALSE), perc_90, VLOOKUP(L$2, Percentiles!$A$45:$I$59, 7, FALSE), perc_95, VLOOKUP(L$2, Percentiles!$A$45:$I$59, 8, FALSE), perc_85, perc_75 + (perc_90 - perc_75) * (2/3), converted_stat, '2K_Ratings'!L67, IF(bbgm_stat &gt;= perc_95, converted_stat * 3, IF(bbgm_stat &gt;= perc_90, converted_stat * 2, IF(bbgm_stat &gt;= perc_85, converted_stat * 1.5, converted_stat)))))</f>
        <v/>
      </c>
      <c r="M67" s="30" t="str">
        <f t="array" ref="M67">IF($A67="", "", LET(bbgm_stat, INDEX(Players!$A66:$P66, MATCH(M$2, Players!$A$1:$P$1, 0)), perc_75, VLOOKUP(M$2, Percentiles!$A$45:$I$59, 6, FALSE), perc_90, VLOOKUP(M$2, Percentiles!$A$45:$I$59, 7, FALSE), perc_95, VLOOKUP(M$2, Percentiles!$A$45:$I$59, 8, FALSE), perc_85, perc_75 + (perc_90 - perc_75) * (2/3), converted_stat, '2K_Ratings'!M67, IF(bbgm_stat &gt;= perc_95, converted_stat * 3, IF(bbgm_stat &gt;= perc_90, converted_stat * 2, IF(bbgm_stat &gt;= perc_85, converted_stat * 1.5, converted_stat)))))</f>
        <v/>
      </c>
      <c r="N67" s="30" t="str">
        <f t="array" ref="N67">IF($A67="", "", LET(bbgm_stat, INDEX(Players!$A66:$P66, MATCH(N$2, Players!$A$1:$P$1, 0)), perc_75, VLOOKUP(N$2, Percentiles!$A$45:$I$59, 6, FALSE), perc_90, VLOOKUP(N$2, Percentiles!$A$45:$I$59, 7, FALSE), perc_95, VLOOKUP(N$2, Percentiles!$A$45:$I$59, 8, FALSE), perc_85, perc_75 + (perc_90 - perc_75) * (2/3), converted_stat, '2K_Ratings'!N67, IF(bbgm_stat &gt;= perc_95, converted_stat * 3, IF(bbgm_stat &gt;= perc_90, converted_stat * 2, IF(bbgm_stat &gt;= perc_85, converted_stat * 1.5, converted_stat)))))</f>
        <v/>
      </c>
      <c r="O67" s="30" t="str">
        <f t="array" ref="O67">IF($A67="", "", LET(bbgm_stat, INDEX(Players!$A66:$P66, MATCH(O$2, Players!$A$1:$P$1, 0)), perc_75, VLOOKUP(O$2, Percentiles!$A$45:$I$59, 6, FALSE), perc_90, VLOOKUP(O$2, Percentiles!$A$45:$I$59, 7, FALSE), perc_95, VLOOKUP(O$2, Percentiles!$A$45:$I$59, 8, FALSE), perc_85, perc_75 + (perc_90 - perc_75) * (2/3), converted_stat, '2K_Ratings'!O67, IF(bbgm_stat &gt;= perc_95, converted_stat * 3, IF(bbgm_stat &gt;= perc_90, converted_stat * 2, IF(bbgm_stat &gt;= perc_85, converted_stat * 1.5, converted_stat)))))</f>
        <v/>
      </c>
      <c r="P67" s="30" t="str">
        <f t="array" ref="P67">IF($A67="", "", LET(bbgm_stat, INDEX(Players!$A66:$P66, MATCH(P$2, Players!$A$1:$P$1, 0)), perc_75, VLOOKUP(P$2, Percentiles!$A$45:$I$59, 6, FALSE), perc_90, VLOOKUP(P$2, Percentiles!$A$45:$I$59, 7, FALSE), perc_95, VLOOKUP(P$2, Percentiles!$A$45:$I$59, 8, FALSE), perc_85, perc_75 + (perc_90 - perc_75) * (2/3), converted_stat, '2K_Ratings'!P67, IF(bbgm_stat &gt;= perc_95, converted_stat * 3, IF(bbgm_stat &gt;= perc_90, converted_stat * 2, IF(bbgm_stat &gt;= perc_85, converted_stat * 1.5, converted_stat)))))</f>
        <v/>
      </c>
      <c r="Q67" s="30" t="str">
        <f t="array" ref="Q67">IF($A67="", "", LET(bbgm_stat, INDEX(Players!$A66:$P66, MATCH(Q$2, Players!$A$1:$P$1, 0)), perc_75, VLOOKUP(Q$2, Percentiles!$A$45:$I$59, 6, FALSE), perc_90, VLOOKUP(Q$2, Percentiles!$A$45:$I$59, 7, FALSE), perc_95, VLOOKUP(Q$2, Percentiles!$A$45:$I$59, 8, FALSE), perc_85, perc_75 + (perc_90 - perc_75) * (2/3), converted_stat, '2K_Ratings'!Q67, IF(bbgm_stat &gt;= perc_95, converted_stat * 3, IF(bbgm_stat &gt;= perc_90, converted_stat * 2, IF(bbgm_stat &gt;= perc_85, converted_stat * 1.5, converted_stat)))))</f>
        <v/>
      </c>
      <c r="R67" s="30" t="str">
        <f t="array" ref="R67">IF($A67="", "", LET(bbgm_stat, INDEX(Players!$A66:$P66, MATCH(R$2, Players!$A$1:$P$1, 0)), perc_75, VLOOKUP(R$2, Percentiles!$A$45:$I$59, 6, FALSE), perc_90, VLOOKUP(R$2, Percentiles!$A$45:$I$59, 7, FALSE), perc_95, VLOOKUP(R$2, Percentiles!$A$45:$I$59, 8, FALSE), perc_85, perc_75 + (perc_90 - perc_75) * (2/3), converted_stat, '2K_Ratings'!R67, IF(bbgm_stat &gt;= perc_95, converted_stat * 3, IF(bbgm_stat &gt;= perc_90, converted_stat * 2, IF(bbgm_stat &gt;= perc_85, converted_stat * 1.5, converted_stat)))))</f>
        <v/>
      </c>
      <c r="S67" s="30" t="str">
        <f t="array" ref="S67">IF($A67="", "", LET(bbgm_stat, INDEX(Players!$A66:$P66, MATCH(S$2, Players!$A$1:$P$1, 0)), perc_75, VLOOKUP(S$2, Percentiles!$A$45:$I$59, 6, FALSE), perc_90, VLOOKUP(S$2, Percentiles!$A$45:$I$59, 7, FALSE), perc_95, VLOOKUP(S$2, Percentiles!$A$45:$I$59, 8, FALSE), perc_85, perc_75 + (perc_90 - perc_75) * (2/3), converted_stat, '2K_Ratings'!S67, IF(bbgm_stat &gt;= perc_95, converted_stat * 3, IF(bbgm_stat &gt;= perc_90, converted_stat * 2, IF(bbgm_stat &gt;= perc_85, converted_stat * 1.5, converted_stat)))))</f>
        <v/>
      </c>
      <c r="T67" s="30" t="str">
        <f t="array" ref="T67">IF($A67="", "", LET(bbgm_stat, INDEX(Players!$A66:$P66, MATCH(T$2, Players!$A$1:$P$1, 0)), perc_75, VLOOKUP(T$2, Percentiles!$A$45:$I$59, 6, FALSE), perc_90, VLOOKUP(T$2, Percentiles!$A$45:$I$59, 7, FALSE), perc_95, VLOOKUP(T$2, Percentiles!$A$45:$I$59, 8, FALSE), perc_85, perc_75 + (perc_90 - perc_75) * (2/3), converted_stat, '2K_Ratings'!T67, IF(bbgm_stat &gt;= perc_95, converted_stat * 3, IF(bbgm_stat &gt;= perc_90, converted_stat * 2, IF(bbgm_stat &gt;= perc_85, converted_stat * 1.5, converted_stat)))))</f>
        <v/>
      </c>
      <c r="U67" s="30" t="str">
        <f t="array" ref="U67">IF($A67="", "", LET(bbgm_stat, INDEX(Players!$A66:$P66, MATCH(U$2, Players!$A$1:$P$1, 0)), perc_75, VLOOKUP(U$2, Percentiles!$A$45:$I$59, 6, FALSE), perc_90, VLOOKUP(U$2, Percentiles!$A$45:$I$59, 7, FALSE), perc_95, VLOOKUP(U$2, Percentiles!$A$45:$I$59, 8, FALSE), perc_85, perc_75 + (perc_90 - perc_75) * (2/3), converted_stat, '2K_Ratings'!U67, IF(bbgm_stat &gt;= perc_95, converted_stat * 3, IF(bbgm_stat &gt;= perc_90, converted_stat * 2, IF(bbgm_stat &gt;= perc_85, converted_stat * 1.5, converted_stat)))))</f>
        <v/>
      </c>
      <c r="V67" s="30" t="str">
        <f t="array" ref="V67">IF($A67="", "", LET(bbgm_stat, INDEX(Players!$A66:$P66, MATCH(V$2, Players!$A$1:$P$1, 0)), perc_75, VLOOKUP(V$2, Percentiles!$A$45:$I$59, 6, FALSE), perc_90, VLOOKUP(V$2, Percentiles!$A$45:$I$59, 7, FALSE), perc_95, VLOOKUP(V$2, Percentiles!$A$45:$I$59, 8, FALSE), perc_85, perc_75 + (perc_90 - perc_75) * (2/3), converted_stat, '2K_Ratings'!V67, IF(bbgm_stat &gt;= perc_95, converted_stat * 3, IF(bbgm_stat &gt;= perc_90, converted_stat * 2, IF(bbgm_stat &gt;= perc_85, converted_stat * 1.5, converted_stat)))))</f>
        <v/>
      </c>
      <c r="W67" s="30" t="str">
        <f t="array" ref="W67">IF($A67="", "", LET(bbgm_stat, INDEX(Players!$A66:$P66, MATCH(W$2, Players!$A$1:$P$1, 0)), perc_75, VLOOKUP(W$2, Percentiles!$A$45:$I$59, 6, FALSE), perc_90, VLOOKUP(W$2, Percentiles!$A$45:$I$59, 7, FALSE), perc_95, VLOOKUP(W$2, Percentiles!$A$45:$I$59, 8, FALSE), perc_85, perc_75 + (perc_90 - perc_75) * (2/3), converted_stat, '2K_Ratings'!W67, IF(bbgm_stat &gt;= perc_95, converted_stat * 3, IF(bbgm_stat &gt;= perc_90, converted_stat * 2, IF(bbgm_stat &gt;= perc_85, converted_stat * 1.5, converted_stat)))))</f>
        <v/>
      </c>
    </row>
    <row r="68">
      <c r="A68" s="30" t="str">
        <f>IF(Players!A67="", "", Players!A67)</f>
        <v/>
      </c>
      <c r="B68" s="30" t="str">
        <f t="array" ref="B68">IF($A68="", "", LET(bbgm_stat, INDEX(Players!$A67:$P67, MATCH(B$2, Players!$A$1:$P$1, 0)), perc_75, VLOOKUP(B$2, Percentiles!$A$45:$I$59, 6, FALSE), perc_90, VLOOKUP(B$2, Percentiles!$A$45:$I$59, 7, FALSE), perc_95, VLOOKUP(B$2, Percentiles!$A$45:$I$59, 8, FALSE), perc_85, perc_75 + (perc_90 - perc_75) * (2/3), converted_stat, '2K_Ratings'!B68, IF(bbgm_stat &gt;= perc_95, converted_stat * 3, IF(bbgm_stat &gt;= perc_90, converted_stat * 2, IF(bbgm_stat &gt;= perc_85, converted_stat * 1.5, converted_stat)))))</f>
        <v/>
      </c>
      <c r="C68" s="30" t="str">
        <f t="array" ref="C68">IF($A68="", "", LET(bbgm_stat, INDEX(Players!$A67:$P67, MATCH(C$2, Players!$A$1:$P$1, 0)), perc_75, VLOOKUP(C$2, Percentiles!$A$45:$I$59, 6, FALSE), perc_90, VLOOKUP(C$2, Percentiles!$A$45:$I$59, 7, FALSE), perc_95, VLOOKUP(C$2, Percentiles!$A$45:$I$59, 8, FALSE), perc_85, perc_75 + (perc_90 - perc_75) * (2/3), converted_stat, '2K_Ratings'!C68, IF(bbgm_stat &gt;= perc_95, converted_stat * 3, IF(bbgm_stat &gt;= perc_90, converted_stat * 2, IF(bbgm_stat &gt;= perc_85, converted_stat * 1.5, converted_stat)))))</f>
        <v/>
      </c>
      <c r="D68" s="30" t="str">
        <f t="array" ref="D68">IF($A68="", "", LET(bbgm_stat, INDEX(Players!$A67:$P67, MATCH(D$2, Players!$A$1:$P$1, 0)), perc_75, VLOOKUP(D$2, Percentiles!$A$45:$I$59, 6, FALSE), perc_90, VLOOKUP(D$2, Percentiles!$A$45:$I$59, 7, FALSE), perc_95, VLOOKUP(D$2, Percentiles!$A$45:$I$59, 8, FALSE), perc_85, perc_75 + (perc_90 - perc_75) * (2/3), converted_stat, '2K_Ratings'!D68, IF(bbgm_stat &gt;= perc_95, converted_stat * 3, IF(bbgm_stat &gt;= perc_90, converted_stat * 2, IF(bbgm_stat &gt;= perc_85, converted_stat * 1.5, converted_stat)))))</f>
        <v/>
      </c>
      <c r="E68" s="30" t="str">
        <f t="array" ref="E68">IF($A68="", "", LET(bbgm_stat, INDEX(Players!$A67:$P67, MATCH(E$2, Players!$A$1:$P$1, 0)), perc_75, VLOOKUP(E$2, Percentiles!$A$45:$I$59, 6, FALSE), perc_90, VLOOKUP(E$2, Percentiles!$A$45:$I$59, 7, FALSE), perc_95, VLOOKUP(E$2, Percentiles!$A$45:$I$59, 8, FALSE), perc_85, perc_75 + (perc_90 - perc_75) * (2/3), converted_stat, '2K_Ratings'!E68, IF(bbgm_stat &gt;= perc_95, converted_stat * 3, IF(bbgm_stat &gt;= perc_90, converted_stat * 2, IF(bbgm_stat &gt;= perc_85, converted_stat * 1.5, converted_stat)))))</f>
        <v/>
      </c>
      <c r="F68" s="30" t="str">
        <f t="array" ref="F68">IF($A68="", "", LET(bbgm_stat, INDEX(Players!$A67:$P67, MATCH(F$2, Players!$A$1:$P$1, 0)), perc_75, VLOOKUP(F$2, Percentiles!$A$45:$I$59, 6, FALSE), perc_90, VLOOKUP(F$2, Percentiles!$A$45:$I$59, 7, FALSE), perc_95, VLOOKUP(F$2, Percentiles!$A$45:$I$59, 8, FALSE), perc_85, perc_75 + (perc_90 - perc_75) * (2/3), converted_stat, '2K_Ratings'!F68, IF(bbgm_stat &gt;= perc_95, converted_stat * 3, IF(bbgm_stat &gt;= perc_90, converted_stat * 2, IF(bbgm_stat &gt;= perc_85, converted_stat * 1.5, converted_stat)))))</f>
        <v/>
      </c>
      <c r="G68" s="30" t="str">
        <f t="array" ref="G68">IF($A68="", "", LET(bbgm_stat, INDEX(Players!$A67:$P67, MATCH(G$2, Players!$A$1:$P$1, 0)), perc_75, VLOOKUP(G$2, Percentiles!$A$45:$I$59, 6, FALSE), perc_90, VLOOKUP(G$2, Percentiles!$A$45:$I$59, 7, FALSE), perc_95, VLOOKUP(G$2, Percentiles!$A$45:$I$59, 8, FALSE), perc_85, perc_75 + (perc_90 - perc_75) * (2/3), converted_stat, '2K_Ratings'!G68, IF(bbgm_stat &gt;= perc_95, converted_stat * 3, IF(bbgm_stat &gt;= perc_90, converted_stat * 2, IF(bbgm_stat &gt;= perc_85, converted_stat * 1.5, converted_stat)))))</f>
        <v/>
      </c>
      <c r="H68" s="30" t="str">
        <f t="array" ref="H68">IF($A68="", "", LET(bbgm_stat, INDEX(Players!$A67:$P67, MATCH(H$2, Players!$A$1:$P$1, 0)), perc_75, VLOOKUP(H$2, Percentiles!$A$45:$I$59, 6, FALSE), perc_90, VLOOKUP(H$2, Percentiles!$A$45:$I$59, 7, FALSE), perc_95, VLOOKUP(H$2, Percentiles!$A$45:$I$59, 8, FALSE), perc_85, perc_75 + (perc_90 - perc_75) * (2/3), converted_stat, '2K_Ratings'!H68, IF(bbgm_stat &gt;= perc_95, converted_stat * 3, IF(bbgm_stat &gt;= perc_90, converted_stat * 2, IF(bbgm_stat &gt;= perc_85, converted_stat * 1.5, converted_stat)))))</f>
        <v/>
      </c>
      <c r="I68" s="30" t="str">
        <f t="array" ref="I68">IF($A68="", "", LET(bbgm_stat, INDEX(Players!$A67:$P67, MATCH(I$2, Players!$A$1:$P$1, 0)), perc_75, VLOOKUP(I$2, Percentiles!$A$45:$I$59, 6, FALSE), perc_90, VLOOKUP(I$2, Percentiles!$A$45:$I$59, 7, FALSE), perc_95, VLOOKUP(I$2, Percentiles!$A$45:$I$59, 8, FALSE), perc_85, perc_75 + (perc_90 - perc_75) * (2/3), converted_stat, '2K_Ratings'!I68, IF(bbgm_stat &gt;= perc_95, converted_stat * 3, IF(bbgm_stat &gt;= perc_90, converted_stat * 2, IF(bbgm_stat &gt;= perc_85, converted_stat * 1.5, converted_stat)))))</f>
        <v/>
      </c>
      <c r="J68" s="30" t="str">
        <f t="array" ref="J68">IF($A68="", "", LET(bbgm_stat, INDEX(Players!$A67:$P67, MATCH(J$2, Players!$A$1:$P$1, 0)), perc_75, VLOOKUP(J$2, Percentiles!$A$45:$I$59, 6, FALSE), perc_90, VLOOKUP(J$2, Percentiles!$A$45:$I$59, 7, FALSE), perc_95, VLOOKUP(J$2, Percentiles!$A$45:$I$59, 8, FALSE), perc_85, perc_75 + (perc_90 - perc_75) * (2/3), converted_stat, '2K_Ratings'!J68, IF(bbgm_stat &gt;= perc_95, converted_stat * 3, IF(bbgm_stat &gt;= perc_90, converted_stat * 2, IF(bbgm_stat &gt;= perc_85, converted_stat * 1.5, converted_stat)))))</f>
        <v/>
      </c>
      <c r="K68" s="30" t="str">
        <f t="array" ref="K68">IF($A68="", "", LET(bbgm_stat, INDEX(Players!$A67:$P67, MATCH(K$2, Players!$A$1:$P$1, 0)), perc_75, VLOOKUP(K$2, Percentiles!$A$45:$I$59, 6, FALSE), perc_90, VLOOKUP(K$2, Percentiles!$A$45:$I$59, 7, FALSE), perc_95, VLOOKUP(K$2, Percentiles!$A$45:$I$59, 8, FALSE), perc_85, perc_75 + (perc_90 - perc_75) * (2/3), converted_stat, '2K_Ratings'!K68, IF(bbgm_stat &gt;= perc_95, converted_stat * 3, IF(bbgm_stat &gt;= perc_90, converted_stat * 2, IF(bbgm_stat &gt;= perc_85, converted_stat * 1.5, converted_stat)))))</f>
        <v/>
      </c>
      <c r="L68" s="30" t="str">
        <f t="array" ref="L68">IF($A68="", "", LET(bbgm_stat, INDEX(Players!$A67:$P67, MATCH(L$2, Players!$A$1:$P$1, 0)), perc_75, VLOOKUP(L$2, Percentiles!$A$45:$I$59, 6, FALSE), perc_90, VLOOKUP(L$2, Percentiles!$A$45:$I$59, 7, FALSE), perc_95, VLOOKUP(L$2, Percentiles!$A$45:$I$59, 8, FALSE), perc_85, perc_75 + (perc_90 - perc_75) * (2/3), converted_stat, '2K_Ratings'!L68, IF(bbgm_stat &gt;= perc_95, converted_stat * 3, IF(bbgm_stat &gt;= perc_90, converted_stat * 2, IF(bbgm_stat &gt;= perc_85, converted_stat * 1.5, converted_stat)))))</f>
        <v/>
      </c>
      <c r="M68" s="30" t="str">
        <f t="array" ref="M68">IF($A68="", "", LET(bbgm_stat, INDEX(Players!$A67:$P67, MATCH(M$2, Players!$A$1:$P$1, 0)), perc_75, VLOOKUP(M$2, Percentiles!$A$45:$I$59, 6, FALSE), perc_90, VLOOKUP(M$2, Percentiles!$A$45:$I$59, 7, FALSE), perc_95, VLOOKUP(M$2, Percentiles!$A$45:$I$59, 8, FALSE), perc_85, perc_75 + (perc_90 - perc_75) * (2/3), converted_stat, '2K_Ratings'!M68, IF(bbgm_stat &gt;= perc_95, converted_stat * 3, IF(bbgm_stat &gt;= perc_90, converted_stat * 2, IF(bbgm_stat &gt;= perc_85, converted_stat * 1.5, converted_stat)))))</f>
        <v/>
      </c>
      <c r="N68" s="30" t="str">
        <f t="array" ref="N68">IF($A68="", "", LET(bbgm_stat, INDEX(Players!$A67:$P67, MATCH(N$2, Players!$A$1:$P$1, 0)), perc_75, VLOOKUP(N$2, Percentiles!$A$45:$I$59, 6, FALSE), perc_90, VLOOKUP(N$2, Percentiles!$A$45:$I$59, 7, FALSE), perc_95, VLOOKUP(N$2, Percentiles!$A$45:$I$59, 8, FALSE), perc_85, perc_75 + (perc_90 - perc_75) * (2/3), converted_stat, '2K_Ratings'!N68, IF(bbgm_stat &gt;= perc_95, converted_stat * 3, IF(bbgm_stat &gt;= perc_90, converted_stat * 2, IF(bbgm_stat &gt;= perc_85, converted_stat * 1.5, converted_stat)))))</f>
        <v/>
      </c>
      <c r="O68" s="30" t="str">
        <f t="array" ref="O68">IF($A68="", "", LET(bbgm_stat, INDEX(Players!$A67:$P67, MATCH(O$2, Players!$A$1:$P$1, 0)), perc_75, VLOOKUP(O$2, Percentiles!$A$45:$I$59, 6, FALSE), perc_90, VLOOKUP(O$2, Percentiles!$A$45:$I$59, 7, FALSE), perc_95, VLOOKUP(O$2, Percentiles!$A$45:$I$59, 8, FALSE), perc_85, perc_75 + (perc_90 - perc_75) * (2/3), converted_stat, '2K_Ratings'!O68, IF(bbgm_stat &gt;= perc_95, converted_stat * 3, IF(bbgm_stat &gt;= perc_90, converted_stat * 2, IF(bbgm_stat &gt;= perc_85, converted_stat * 1.5, converted_stat)))))</f>
        <v/>
      </c>
      <c r="P68" s="30" t="str">
        <f t="array" ref="P68">IF($A68="", "", LET(bbgm_stat, INDEX(Players!$A67:$P67, MATCH(P$2, Players!$A$1:$P$1, 0)), perc_75, VLOOKUP(P$2, Percentiles!$A$45:$I$59, 6, FALSE), perc_90, VLOOKUP(P$2, Percentiles!$A$45:$I$59, 7, FALSE), perc_95, VLOOKUP(P$2, Percentiles!$A$45:$I$59, 8, FALSE), perc_85, perc_75 + (perc_90 - perc_75) * (2/3), converted_stat, '2K_Ratings'!P68, IF(bbgm_stat &gt;= perc_95, converted_stat * 3, IF(bbgm_stat &gt;= perc_90, converted_stat * 2, IF(bbgm_stat &gt;= perc_85, converted_stat * 1.5, converted_stat)))))</f>
        <v/>
      </c>
      <c r="Q68" s="30" t="str">
        <f t="array" ref="Q68">IF($A68="", "", LET(bbgm_stat, INDEX(Players!$A67:$P67, MATCH(Q$2, Players!$A$1:$P$1, 0)), perc_75, VLOOKUP(Q$2, Percentiles!$A$45:$I$59, 6, FALSE), perc_90, VLOOKUP(Q$2, Percentiles!$A$45:$I$59, 7, FALSE), perc_95, VLOOKUP(Q$2, Percentiles!$A$45:$I$59, 8, FALSE), perc_85, perc_75 + (perc_90 - perc_75) * (2/3), converted_stat, '2K_Ratings'!Q68, IF(bbgm_stat &gt;= perc_95, converted_stat * 3, IF(bbgm_stat &gt;= perc_90, converted_stat * 2, IF(bbgm_stat &gt;= perc_85, converted_stat * 1.5, converted_stat)))))</f>
        <v/>
      </c>
      <c r="R68" s="30" t="str">
        <f t="array" ref="R68">IF($A68="", "", LET(bbgm_stat, INDEX(Players!$A67:$P67, MATCH(R$2, Players!$A$1:$P$1, 0)), perc_75, VLOOKUP(R$2, Percentiles!$A$45:$I$59, 6, FALSE), perc_90, VLOOKUP(R$2, Percentiles!$A$45:$I$59, 7, FALSE), perc_95, VLOOKUP(R$2, Percentiles!$A$45:$I$59, 8, FALSE), perc_85, perc_75 + (perc_90 - perc_75) * (2/3), converted_stat, '2K_Ratings'!R68, IF(bbgm_stat &gt;= perc_95, converted_stat * 3, IF(bbgm_stat &gt;= perc_90, converted_stat * 2, IF(bbgm_stat &gt;= perc_85, converted_stat * 1.5, converted_stat)))))</f>
        <v/>
      </c>
      <c r="S68" s="30" t="str">
        <f t="array" ref="S68">IF($A68="", "", LET(bbgm_stat, INDEX(Players!$A67:$P67, MATCH(S$2, Players!$A$1:$P$1, 0)), perc_75, VLOOKUP(S$2, Percentiles!$A$45:$I$59, 6, FALSE), perc_90, VLOOKUP(S$2, Percentiles!$A$45:$I$59, 7, FALSE), perc_95, VLOOKUP(S$2, Percentiles!$A$45:$I$59, 8, FALSE), perc_85, perc_75 + (perc_90 - perc_75) * (2/3), converted_stat, '2K_Ratings'!S68, IF(bbgm_stat &gt;= perc_95, converted_stat * 3, IF(bbgm_stat &gt;= perc_90, converted_stat * 2, IF(bbgm_stat &gt;= perc_85, converted_stat * 1.5, converted_stat)))))</f>
        <v/>
      </c>
      <c r="T68" s="30" t="str">
        <f t="array" ref="T68">IF($A68="", "", LET(bbgm_stat, INDEX(Players!$A67:$P67, MATCH(T$2, Players!$A$1:$P$1, 0)), perc_75, VLOOKUP(T$2, Percentiles!$A$45:$I$59, 6, FALSE), perc_90, VLOOKUP(T$2, Percentiles!$A$45:$I$59, 7, FALSE), perc_95, VLOOKUP(T$2, Percentiles!$A$45:$I$59, 8, FALSE), perc_85, perc_75 + (perc_90 - perc_75) * (2/3), converted_stat, '2K_Ratings'!T68, IF(bbgm_stat &gt;= perc_95, converted_stat * 3, IF(bbgm_stat &gt;= perc_90, converted_stat * 2, IF(bbgm_stat &gt;= perc_85, converted_stat * 1.5, converted_stat)))))</f>
        <v/>
      </c>
      <c r="U68" s="30" t="str">
        <f t="array" ref="U68">IF($A68="", "", LET(bbgm_stat, INDEX(Players!$A67:$P67, MATCH(U$2, Players!$A$1:$P$1, 0)), perc_75, VLOOKUP(U$2, Percentiles!$A$45:$I$59, 6, FALSE), perc_90, VLOOKUP(U$2, Percentiles!$A$45:$I$59, 7, FALSE), perc_95, VLOOKUP(U$2, Percentiles!$A$45:$I$59, 8, FALSE), perc_85, perc_75 + (perc_90 - perc_75) * (2/3), converted_stat, '2K_Ratings'!U68, IF(bbgm_stat &gt;= perc_95, converted_stat * 3, IF(bbgm_stat &gt;= perc_90, converted_stat * 2, IF(bbgm_stat &gt;= perc_85, converted_stat * 1.5, converted_stat)))))</f>
        <v/>
      </c>
      <c r="V68" s="30" t="str">
        <f t="array" ref="V68">IF($A68="", "", LET(bbgm_stat, INDEX(Players!$A67:$P67, MATCH(V$2, Players!$A$1:$P$1, 0)), perc_75, VLOOKUP(V$2, Percentiles!$A$45:$I$59, 6, FALSE), perc_90, VLOOKUP(V$2, Percentiles!$A$45:$I$59, 7, FALSE), perc_95, VLOOKUP(V$2, Percentiles!$A$45:$I$59, 8, FALSE), perc_85, perc_75 + (perc_90 - perc_75) * (2/3), converted_stat, '2K_Ratings'!V68, IF(bbgm_stat &gt;= perc_95, converted_stat * 3, IF(bbgm_stat &gt;= perc_90, converted_stat * 2, IF(bbgm_stat &gt;= perc_85, converted_stat * 1.5, converted_stat)))))</f>
        <v/>
      </c>
      <c r="W68" s="30" t="str">
        <f t="array" ref="W68">IF($A68="", "", LET(bbgm_stat, INDEX(Players!$A67:$P67, MATCH(W$2, Players!$A$1:$P$1, 0)), perc_75, VLOOKUP(W$2, Percentiles!$A$45:$I$59, 6, FALSE), perc_90, VLOOKUP(W$2, Percentiles!$A$45:$I$59, 7, FALSE), perc_95, VLOOKUP(W$2, Percentiles!$A$45:$I$59, 8, FALSE), perc_85, perc_75 + (perc_90 - perc_75) * (2/3), converted_stat, '2K_Ratings'!W68, IF(bbgm_stat &gt;= perc_95, converted_stat * 3, IF(bbgm_stat &gt;= perc_90, converted_stat * 2, IF(bbgm_stat &gt;= perc_85, converted_stat * 1.5, converted_stat)))))</f>
        <v/>
      </c>
    </row>
    <row r="69">
      <c r="A69" s="30" t="str">
        <f>IF(Players!A68="", "", Players!A68)</f>
        <v/>
      </c>
      <c r="B69" s="30" t="str">
        <f t="array" ref="B69">IF($A69="", "", LET(bbgm_stat, INDEX(Players!$A68:$P68, MATCH(B$2, Players!$A$1:$P$1, 0)), perc_75, VLOOKUP(B$2, Percentiles!$A$45:$I$59, 6, FALSE), perc_90, VLOOKUP(B$2, Percentiles!$A$45:$I$59, 7, FALSE), perc_95, VLOOKUP(B$2, Percentiles!$A$45:$I$59, 8, FALSE), perc_85, perc_75 + (perc_90 - perc_75) * (2/3), converted_stat, '2K_Ratings'!B69, IF(bbgm_stat &gt;= perc_95, converted_stat * 3, IF(bbgm_stat &gt;= perc_90, converted_stat * 2, IF(bbgm_stat &gt;= perc_85, converted_stat * 1.5, converted_stat)))))</f>
        <v/>
      </c>
      <c r="C69" s="30" t="str">
        <f t="array" ref="C69">IF($A69="", "", LET(bbgm_stat, INDEX(Players!$A68:$P68, MATCH(C$2, Players!$A$1:$P$1, 0)), perc_75, VLOOKUP(C$2, Percentiles!$A$45:$I$59, 6, FALSE), perc_90, VLOOKUP(C$2, Percentiles!$A$45:$I$59, 7, FALSE), perc_95, VLOOKUP(C$2, Percentiles!$A$45:$I$59, 8, FALSE), perc_85, perc_75 + (perc_90 - perc_75) * (2/3), converted_stat, '2K_Ratings'!C69, IF(bbgm_stat &gt;= perc_95, converted_stat * 3, IF(bbgm_stat &gt;= perc_90, converted_stat * 2, IF(bbgm_stat &gt;= perc_85, converted_stat * 1.5, converted_stat)))))</f>
        <v/>
      </c>
      <c r="D69" s="30" t="str">
        <f t="array" ref="D69">IF($A69="", "", LET(bbgm_stat, INDEX(Players!$A68:$P68, MATCH(D$2, Players!$A$1:$P$1, 0)), perc_75, VLOOKUP(D$2, Percentiles!$A$45:$I$59, 6, FALSE), perc_90, VLOOKUP(D$2, Percentiles!$A$45:$I$59, 7, FALSE), perc_95, VLOOKUP(D$2, Percentiles!$A$45:$I$59, 8, FALSE), perc_85, perc_75 + (perc_90 - perc_75) * (2/3), converted_stat, '2K_Ratings'!D69, IF(bbgm_stat &gt;= perc_95, converted_stat * 3, IF(bbgm_stat &gt;= perc_90, converted_stat * 2, IF(bbgm_stat &gt;= perc_85, converted_stat * 1.5, converted_stat)))))</f>
        <v/>
      </c>
      <c r="E69" s="30" t="str">
        <f t="array" ref="E69">IF($A69="", "", LET(bbgm_stat, INDEX(Players!$A68:$P68, MATCH(E$2, Players!$A$1:$P$1, 0)), perc_75, VLOOKUP(E$2, Percentiles!$A$45:$I$59, 6, FALSE), perc_90, VLOOKUP(E$2, Percentiles!$A$45:$I$59, 7, FALSE), perc_95, VLOOKUP(E$2, Percentiles!$A$45:$I$59, 8, FALSE), perc_85, perc_75 + (perc_90 - perc_75) * (2/3), converted_stat, '2K_Ratings'!E69, IF(bbgm_stat &gt;= perc_95, converted_stat * 3, IF(bbgm_stat &gt;= perc_90, converted_stat * 2, IF(bbgm_stat &gt;= perc_85, converted_stat * 1.5, converted_stat)))))</f>
        <v/>
      </c>
      <c r="F69" s="30" t="str">
        <f t="array" ref="F69">IF($A69="", "", LET(bbgm_stat, INDEX(Players!$A68:$P68, MATCH(F$2, Players!$A$1:$P$1, 0)), perc_75, VLOOKUP(F$2, Percentiles!$A$45:$I$59, 6, FALSE), perc_90, VLOOKUP(F$2, Percentiles!$A$45:$I$59, 7, FALSE), perc_95, VLOOKUP(F$2, Percentiles!$A$45:$I$59, 8, FALSE), perc_85, perc_75 + (perc_90 - perc_75) * (2/3), converted_stat, '2K_Ratings'!F69, IF(bbgm_stat &gt;= perc_95, converted_stat * 3, IF(bbgm_stat &gt;= perc_90, converted_stat * 2, IF(bbgm_stat &gt;= perc_85, converted_stat * 1.5, converted_stat)))))</f>
        <v/>
      </c>
      <c r="G69" s="30" t="str">
        <f t="array" ref="G69">IF($A69="", "", LET(bbgm_stat, INDEX(Players!$A68:$P68, MATCH(G$2, Players!$A$1:$P$1, 0)), perc_75, VLOOKUP(G$2, Percentiles!$A$45:$I$59, 6, FALSE), perc_90, VLOOKUP(G$2, Percentiles!$A$45:$I$59, 7, FALSE), perc_95, VLOOKUP(G$2, Percentiles!$A$45:$I$59, 8, FALSE), perc_85, perc_75 + (perc_90 - perc_75) * (2/3), converted_stat, '2K_Ratings'!G69, IF(bbgm_stat &gt;= perc_95, converted_stat * 3, IF(bbgm_stat &gt;= perc_90, converted_stat * 2, IF(bbgm_stat &gt;= perc_85, converted_stat * 1.5, converted_stat)))))</f>
        <v/>
      </c>
      <c r="H69" s="30" t="str">
        <f t="array" ref="H69">IF($A69="", "", LET(bbgm_stat, INDEX(Players!$A68:$P68, MATCH(H$2, Players!$A$1:$P$1, 0)), perc_75, VLOOKUP(H$2, Percentiles!$A$45:$I$59, 6, FALSE), perc_90, VLOOKUP(H$2, Percentiles!$A$45:$I$59, 7, FALSE), perc_95, VLOOKUP(H$2, Percentiles!$A$45:$I$59, 8, FALSE), perc_85, perc_75 + (perc_90 - perc_75) * (2/3), converted_stat, '2K_Ratings'!H69, IF(bbgm_stat &gt;= perc_95, converted_stat * 3, IF(bbgm_stat &gt;= perc_90, converted_stat * 2, IF(bbgm_stat &gt;= perc_85, converted_stat * 1.5, converted_stat)))))</f>
        <v/>
      </c>
      <c r="I69" s="30" t="str">
        <f t="array" ref="I69">IF($A69="", "", LET(bbgm_stat, INDEX(Players!$A68:$P68, MATCH(I$2, Players!$A$1:$P$1, 0)), perc_75, VLOOKUP(I$2, Percentiles!$A$45:$I$59, 6, FALSE), perc_90, VLOOKUP(I$2, Percentiles!$A$45:$I$59, 7, FALSE), perc_95, VLOOKUP(I$2, Percentiles!$A$45:$I$59, 8, FALSE), perc_85, perc_75 + (perc_90 - perc_75) * (2/3), converted_stat, '2K_Ratings'!I69, IF(bbgm_stat &gt;= perc_95, converted_stat * 3, IF(bbgm_stat &gt;= perc_90, converted_stat * 2, IF(bbgm_stat &gt;= perc_85, converted_stat * 1.5, converted_stat)))))</f>
        <v/>
      </c>
      <c r="J69" s="30" t="str">
        <f t="array" ref="J69">IF($A69="", "", LET(bbgm_stat, INDEX(Players!$A68:$P68, MATCH(J$2, Players!$A$1:$P$1, 0)), perc_75, VLOOKUP(J$2, Percentiles!$A$45:$I$59, 6, FALSE), perc_90, VLOOKUP(J$2, Percentiles!$A$45:$I$59, 7, FALSE), perc_95, VLOOKUP(J$2, Percentiles!$A$45:$I$59, 8, FALSE), perc_85, perc_75 + (perc_90 - perc_75) * (2/3), converted_stat, '2K_Ratings'!J69, IF(bbgm_stat &gt;= perc_95, converted_stat * 3, IF(bbgm_stat &gt;= perc_90, converted_stat * 2, IF(bbgm_stat &gt;= perc_85, converted_stat * 1.5, converted_stat)))))</f>
        <v/>
      </c>
      <c r="K69" s="30" t="str">
        <f t="array" ref="K69">IF($A69="", "", LET(bbgm_stat, INDEX(Players!$A68:$P68, MATCH(K$2, Players!$A$1:$P$1, 0)), perc_75, VLOOKUP(K$2, Percentiles!$A$45:$I$59, 6, FALSE), perc_90, VLOOKUP(K$2, Percentiles!$A$45:$I$59, 7, FALSE), perc_95, VLOOKUP(K$2, Percentiles!$A$45:$I$59, 8, FALSE), perc_85, perc_75 + (perc_90 - perc_75) * (2/3), converted_stat, '2K_Ratings'!K69, IF(bbgm_stat &gt;= perc_95, converted_stat * 3, IF(bbgm_stat &gt;= perc_90, converted_stat * 2, IF(bbgm_stat &gt;= perc_85, converted_stat * 1.5, converted_stat)))))</f>
        <v/>
      </c>
      <c r="L69" s="30" t="str">
        <f t="array" ref="L69">IF($A69="", "", LET(bbgm_stat, INDEX(Players!$A68:$P68, MATCH(L$2, Players!$A$1:$P$1, 0)), perc_75, VLOOKUP(L$2, Percentiles!$A$45:$I$59, 6, FALSE), perc_90, VLOOKUP(L$2, Percentiles!$A$45:$I$59, 7, FALSE), perc_95, VLOOKUP(L$2, Percentiles!$A$45:$I$59, 8, FALSE), perc_85, perc_75 + (perc_90 - perc_75) * (2/3), converted_stat, '2K_Ratings'!L69, IF(bbgm_stat &gt;= perc_95, converted_stat * 3, IF(bbgm_stat &gt;= perc_90, converted_stat * 2, IF(bbgm_stat &gt;= perc_85, converted_stat * 1.5, converted_stat)))))</f>
        <v/>
      </c>
      <c r="M69" s="30" t="str">
        <f t="array" ref="M69">IF($A69="", "", LET(bbgm_stat, INDEX(Players!$A68:$P68, MATCH(M$2, Players!$A$1:$P$1, 0)), perc_75, VLOOKUP(M$2, Percentiles!$A$45:$I$59, 6, FALSE), perc_90, VLOOKUP(M$2, Percentiles!$A$45:$I$59, 7, FALSE), perc_95, VLOOKUP(M$2, Percentiles!$A$45:$I$59, 8, FALSE), perc_85, perc_75 + (perc_90 - perc_75) * (2/3), converted_stat, '2K_Ratings'!M69, IF(bbgm_stat &gt;= perc_95, converted_stat * 3, IF(bbgm_stat &gt;= perc_90, converted_stat * 2, IF(bbgm_stat &gt;= perc_85, converted_stat * 1.5, converted_stat)))))</f>
        <v/>
      </c>
      <c r="N69" s="30" t="str">
        <f t="array" ref="N69">IF($A69="", "", LET(bbgm_stat, INDEX(Players!$A68:$P68, MATCH(N$2, Players!$A$1:$P$1, 0)), perc_75, VLOOKUP(N$2, Percentiles!$A$45:$I$59, 6, FALSE), perc_90, VLOOKUP(N$2, Percentiles!$A$45:$I$59, 7, FALSE), perc_95, VLOOKUP(N$2, Percentiles!$A$45:$I$59, 8, FALSE), perc_85, perc_75 + (perc_90 - perc_75) * (2/3), converted_stat, '2K_Ratings'!N69, IF(bbgm_stat &gt;= perc_95, converted_stat * 3, IF(bbgm_stat &gt;= perc_90, converted_stat * 2, IF(bbgm_stat &gt;= perc_85, converted_stat * 1.5, converted_stat)))))</f>
        <v/>
      </c>
      <c r="O69" s="30" t="str">
        <f t="array" ref="O69">IF($A69="", "", LET(bbgm_stat, INDEX(Players!$A68:$P68, MATCH(O$2, Players!$A$1:$P$1, 0)), perc_75, VLOOKUP(O$2, Percentiles!$A$45:$I$59, 6, FALSE), perc_90, VLOOKUP(O$2, Percentiles!$A$45:$I$59, 7, FALSE), perc_95, VLOOKUP(O$2, Percentiles!$A$45:$I$59, 8, FALSE), perc_85, perc_75 + (perc_90 - perc_75) * (2/3), converted_stat, '2K_Ratings'!O69, IF(bbgm_stat &gt;= perc_95, converted_stat * 3, IF(bbgm_stat &gt;= perc_90, converted_stat * 2, IF(bbgm_stat &gt;= perc_85, converted_stat * 1.5, converted_stat)))))</f>
        <v/>
      </c>
      <c r="P69" s="30" t="str">
        <f t="array" ref="P69">IF($A69="", "", LET(bbgm_stat, INDEX(Players!$A68:$P68, MATCH(P$2, Players!$A$1:$P$1, 0)), perc_75, VLOOKUP(P$2, Percentiles!$A$45:$I$59, 6, FALSE), perc_90, VLOOKUP(P$2, Percentiles!$A$45:$I$59, 7, FALSE), perc_95, VLOOKUP(P$2, Percentiles!$A$45:$I$59, 8, FALSE), perc_85, perc_75 + (perc_90 - perc_75) * (2/3), converted_stat, '2K_Ratings'!P69, IF(bbgm_stat &gt;= perc_95, converted_stat * 3, IF(bbgm_stat &gt;= perc_90, converted_stat * 2, IF(bbgm_stat &gt;= perc_85, converted_stat * 1.5, converted_stat)))))</f>
        <v/>
      </c>
      <c r="Q69" s="30" t="str">
        <f t="array" ref="Q69">IF($A69="", "", LET(bbgm_stat, INDEX(Players!$A68:$P68, MATCH(Q$2, Players!$A$1:$P$1, 0)), perc_75, VLOOKUP(Q$2, Percentiles!$A$45:$I$59, 6, FALSE), perc_90, VLOOKUP(Q$2, Percentiles!$A$45:$I$59, 7, FALSE), perc_95, VLOOKUP(Q$2, Percentiles!$A$45:$I$59, 8, FALSE), perc_85, perc_75 + (perc_90 - perc_75) * (2/3), converted_stat, '2K_Ratings'!Q69, IF(bbgm_stat &gt;= perc_95, converted_stat * 3, IF(bbgm_stat &gt;= perc_90, converted_stat * 2, IF(bbgm_stat &gt;= perc_85, converted_stat * 1.5, converted_stat)))))</f>
        <v/>
      </c>
      <c r="R69" s="30" t="str">
        <f t="array" ref="R69">IF($A69="", "", LET(bbgm_stat, INDEX(Players!$A68:$P68, MATCH(R$2, Players!$A$1:$P$1, 0)), perc_75, VLOOKUP(R$2, Percentiles!$A$45:$I$59, 6, FALSE), perc_90, VLOOKUP(R$2, Percentiles!$A$45:$I$59, 7, FALSE), perc_95, VLOOKUP(R$2, Percentiles!$A$45:$I$59, 8, FALSE), perc_85, perc_75 + (perc_90 - perc_75) * (2/3), converted_stat, '2K_Ratings'!R69, IF(bbgm_stat &gt;= perc_95, converted_stat * 3, IF(bbgm_stat &gt;= perc_90, converted_stat * 2, IF(bbgm_stat &gt;= perc_85, converted_stat * 1.5, converted_stat)))))</f>
        <v/>
      </c>
      <c r="S69" s="30" t="str">
        <f t="array" ref="S69">IF($A69="", "", LET(bbgm_stat, INDEX(Players!$A68:$P68, MATCH(S$2, Players!$A$1:$P$1, 0)), perc_75, VLOOKUP(S$2, Percentiles!$A$45:$I$59, 6, FALSE), perc_90, VLOOKUP(S$2, Percentiles!$A$45:$I$59, 7, FALSE), perc_95, VLOOKUP(S$2, Percentiles!$A$45:$I$59, 8, FALSE), perc_85, perc_75 + (perc_90 - perc_75) * (2/3), converted_stat, '2K_Ratings'!S69, IF(bbgm_stat &gt;= perc_95, converted_stat * 3, IF(bbgm_stat &gt;= perc_90, converted_stat * 2, IF(bbgm_stat &gt;= perc_85, converted_stat * 1.5, converted_stat)))))</f>
        <v/>
      </c>
      <c r="T69" s="30" t="str">
        <f t="array" ref="T69">IF($A69="", "", LET(bbgm_stat, INDEX(Players!$A68:$P68, MATCH(T$2, Players!$A$1:$P$1, 0)), perc_75, VLOOKUP(T$2, Percentiles!$A$45:$I$59, 6, FALSE), perc_90, VLOOKUP(T$2, Percentiles!$A$45:$I$59, 7, FALSE), perc_95, VLOOKUP(T$2, Percentiles!$A$45:$I$59, 8, FALSE), perc_85, perc_75 + (perc_90 - perc_75) * (2/3), converted_stat, '2K_Ratings'!T69, IF(bbgm_stat &gt;= perc_95, converted_stat * 3, IF(bbgm_stat &gt;= perc_90, converted_stat * 2, IF(bbgm_stat &gt;= perc_85, converted_stat * 1.5, converted_stat)))))</f>
        <v/>
      </c>
      <c r="U69" s="30" t="str">
        <f t="array" ref="U69">IF($A69="", "", LET(bbgm_stat, INDEX(Players!$A68:$P68, MATCH(U$2, Players!$A$1:$P$1, 0)), perc_75, VLOOKUP(U$2, Percentiles!$A$45:$I$59, 6, FALSE), perc_90, VLOOKUP(U$2, Percentiles!$A$45:$I$59, 7, FALSE), perc_95, VLOOKUP(U$2, Percentiles!$A$45:$I$59, 8, FALSE), perc_85, perc_75 + (perc_90 - perc_75) * (2/3), converted_stat, '2K_Ratings'!U69, IF(bbgm_stat &gt;= perc_95, converted_stat * 3, IF(bbgm_stat &gt;= perc_90, converted_stat * 2, IF(bbgm_stat &gt;= perc_85, converted_stat * 1.5, converted_stat)))))</f>
        <v/>
      </c>
      <c r="V69" s="30" t="str">
        <f t="array" ref="V69">IF($A69="", "", LET(bbgm_stat, INDEX(Players!$A68:$P68, MATCH(V$2, Players!$A$1:$P$1, 0)), perc_75, VLOOKUP(V$2, Percentiles!$A$45:$I$59, 6, FALSE), perc_90, VLOOKUP(V$2, Percentiles!$A$45:$I$59, 7, FALSE), perc_95, VLOOKUP(V$2, Percentiles!$A$45:$I$59, 8, FALSE), perc_85, perc_75 + (perc_90 - perc_75) * (2/3), converted_stat, '2K_Ratings'!V69, IF(bbgm_stat &gt;= perc_95, converted_stat * 3, IF(bbgm_stat &gt;= perc_90, converted_stat * 2, IF(bbgm_stat &gt;= perc_85, converted_stat * 1.5, converted_stat)))))</f>
        <v/>
      </c>
      <c r="W69" s="30" t="str">
        <f t="array" ref="W69">IF($A69="", "", LET(bbgm_stat, INDEX(Players!$A68:$P68, MATCH(W$2, Players!$A$1:$P$1, 0)), perc_75, VLOOKUP(W$2, Percentiles!$A$45:$I$59, 6, FALSE), perc_90, VLOOKUP(W$2, Percentiles!$A$45:$I$59, 7, FALSE), perc_95, VLOOKUP(W$2, Percentiles!$A$45:$I$59, 8, FALSE), perc_85, perc_75 + (perc_90 - perc_75) * (2/3), converted_stat, '2K_Ratings'!W69, IF(bbgm_stat &gt;= perc_95, converted_stat * 3, IF(bbgm_stat &gt;= perc_90, converted_stat * 2, IF(bbgm_stat &gt;= perc_85, converted_stat * 1.5, converted_stat)))))</f>
        <v/>
      </c>
    </row>
    <row r="70">
      <c r="A70" s="30" t="str">
        <f>IF(Players!A69="", "", Players!A69)</f>
        <v/>
      </c>
      <c r="B70" s="30" t="str">
        <f t="array" ref="B70">IF($A70="", "", LET(bbgm_stat, INDEX(Players!$A69:$P69, MATCH(B$2, Players!$A$1:$P$1, 0)), perc_75, VLOOKUP(B$2, Percentiles!$A$45:$I$59, 6, FALSE), perc_90, VLOOKUP(B$2, Percentiles!$A$45:$I$59, 7, FALSE), perc_95, VLOOKUP(B$2, Percentiles!$A$45:$I$59, 8, FALSE), perc_85, perc_75 + (perc_90 - perc_75) * (2/3), converted_stat, '2K_Ratings'!B70, IF(bbgm_stat &gt;= perc_95, converted_stat * 3, IF(bbgm_stat &gt;= perc_90, converted_stat * 2, IF(bbgm_stat &gt;= perc_85, converted_stat * 1.5, converted_stat)))))</f>
        <v/>
      </c>
      <c r="C70" s="30" t="str">
        <f t="array" ref="C70">IF($A70="", "", LET(bbgm_stat, INDEX(Players!$A69:$P69, MATCH(C$2, Players!$A$1:$P$1, 0)), perc_75, VLOOKUP(C$2, Percentiles!$A$45:$I$59, 6, FALSE), perc_90, VLOOKUP(C$2, Percentiles!$A$45:$I$59, 7, FALSE), perc_95, VLOOKUP(C$2, Percentiles!$A$45:$I$59, 8, FALSE), perc_85, perc_75 + (perc_90 - perc_75) * (2/3), converted_stat, '2K_Ratings'!C70, IF(bbgm_stat &gt;= perc_95, converted_stat * 3, IF(bbgm_stat &gt;= perc_90, converted_stat * 2, IF(bbgm_stat &gt;= perc_85, converted_stat * 1.5, converted_stat)))))</f>
        <v/>
      </c>
      <c r="D70" s="30" t="str">
        <f t="array" ref="D70">IF($A70="", "", LET(bbgm_stat, INDEX(Players!$A69:$P69, MATCH(D$2, Players!$A$1:$P$1, 0)), perc_75, VLOOKUP(D$2, Percentiles!$A$45:$I$59, 6, FALSE), perc_90, VLOOKUP(D$2, Percentiles!$A$45:$I$59, 7, FALSE), perc_95, VLOOKUP(D$2, Percentiles!$A$45:$I$59, 8, FALSE), perc_85, perc_75 + (perc_90 - perc_75) * (2/3), converted_stat, '2K_Ratings'!D70, IF(bbgm_stat &gt;= perc_95, converted_stat * 3, IF(bbgm_stat &gt;= perc_90, converted_stat * 2, IF(bbgm_stat &gt;= perc_85, converted_stat * 1.5, converted_stat)))))</f>
        <v/>
      </c>
      <c r="E70" s="30" t="str">
        <f t="array" ref="E70">IF($A70="", "", LET(bbgm_stat, INDEX(Players!$A69:$P69, MATCH(E$2, Players!$A$1:$P$1, 0)), perc_75, VLOOKUP(E$2, Percentiles!$A$45:$I$59, 6, FALSE), perc_90, VLOOKUP(E$2, Percentiles!$A$45:$I$59, 7, FALSE), perc_95, VLOOKUP(E$2, Percentiles!$A$45:$I$59, 8, FALSE), perc_85, perc_75 + (perc_90 - perc_75) * (2/3), converted_stat, '2K_Ratings'!E70, IF(bbgm_stat &gt;= perc_95, converted_stat * 3, IF(bbgm_stat &gt;= perc_90, converted_stat * 2, IF(bbgm_stat &gt;= perc_85, converted_stat * 1.5, converted_stat)))))</f>
        <v/>
      </c>
      <c r="F70" s="30" t="str">
        <f t="array" ref="F70">IF($A70="", "", LET(bbgm_stat, INDEX(Players!$A69:$P69, MATCH(F$2, Players!$A$1:$P$1, 0)), perc_75, VLOOKUP(F$2, Percentiles!$A$45:$I$59, 6, FALSE), perc_90, VLOOKUP(F$2, Percentiles!$A$45:$I$59, 7, FALSE), perc_95, VLOOKUP(F$2, Percentiles!$A$45:$I$59, 8, FALSE), perc_85, perc_75 + (perc_90 - perc_75) * (2/3), converted_stat, '2K_Ratings'!F70, IF(bbgm_stat &gt;= perc_95, converted_stat * 3, IF(bbgm_stat &gt;= perc_90, converted_stat * 2, IF(bbgm_stat &gt;= perc_85, converted_stat * 1.5, converted_stat)))))</f>
        <v/>
      </c>
      <c r="G70" s="30" t="str">
        <f t="array" ref="G70">IF($A70="", "", LET(bbgm_stat, INDEX(Players!$A69:$P69, MATCH(G$2, Players!$A$1:$P$1, 0)), perc_75, VLOOKUP(G$2, Percentiles!$A$45:$I$59, 6, FALSE), perc_90, VLOOKUP(G$2, Percentiles!$A$45:$I$59, 7, FALSE), perc_95, VLOOKUP(G$2, Percentiles!$A$45:$I$59, 8, FALSE), perc_85, perc_75 + (perc_90 - perc_75) * (2/3), converted_stat, '2K_Ratings'!G70, IF(bbgm_stat &gt;= perc_95, converted_stat * 3, IF(bbgm_stat &gt;= perc_90, converted_stat * 2, IF(bbgm_stat &gt;= perc_85, converted_stat * 1.5, converted_stat)))))</f>
        <v/>
      </c>
      <c r="H70" s="30" t="str">
        <f t="array" ref="H70">IF($A70="", "", LET(bbgm_stat, INDEX(Players!$A69:$P69, MATCH(H$2, Players!$A$1:$P$1, 0)), perc_75, VLOOKUP(H$2, Percentiles!$A$45:$I$59, 6, FALSE), perc_90, VLOOKUP(H$2, Percentiles!$A$45:$I$59, 7, FALSE), perc_95, VLOOKUP(H$2, Percentiles!$A$45:$I$59, 8, FALSE), perc_85, perc_75 + (perc_90 - perc_75) * (2/3), converted_stat, '2K_Ratings'!H70, IF(bbgm_stat &gt;= perc_95, converted_stat * 3, IF(bbgm_stat &gt;= perc_90, converted_stat * 2, IF(bbgm_stat &gt;= perc_85, converted_stat * 1.5, converted_stat)))))</f>
        <v/>
      </c>
      <c r="I70" s="30" t="str">
        <f t="array" ref="I70">IF($A70="", "", LET(bbgm_stat, INDEX(Players!$A69:$P69, MATCH(I$2, Players!$A$1:$P$1, 0)), perc_75, VLOOKUP(I$2, Percentiles!$A$45:$I$59, 6, FALSE), perc_90, VLOOKUP(I$2, Percentiles!$A$45:$I$59, 7, FALSE), perc_95, VLOOKUP(I$2, Percentiles!$A$45:$I$59, 8, FALSE), perc_85, perc_75 + (perc_90 - perc_75) * (2/3), converted_stat, '2K_Ratings'!I70, IF(bbgm_stat &gt;= perc_95, converted_stat * 3, IF(bbgm_stat &gt;= perc_90, converted_stat * 2, IF(bbgm_stat &gt;= perc_85, converted_stat * 1.5, converted_stat)))))</f>
        <v/>
      </c>
      <c r="J70" s="30" t="str">
        <f t="array" ref="J70">IF($A70="", "", LET(bbgm_stat, INDEX(Players!$A69:$P69, MATCH(J$2, Players!$A$1:$P$1, 0)), perc_75, VLOOKUP(J$2, Percentiles!$A$45:$I$59, 6, FALSE), perc_90, VLOOKUP(J$2, Percentiles!$A$45:$I$59, 7, FALSE), perc_95, VLOOKUP(J$2, Percentiles!$A$45:$I$59, 8, FALSE), perc_85, perc_75 + (perc_90 - perc_75) * (2/3), converted_stat, '2K_Ratings'!J70, IF(bbgm_stat &gt;= perc_95, converted_stat * 3, IF(bbgm_stat &gt;= perc_90, converted_stat * 2, IF(bbgm_stat &gt;= perc_85, converted_stat * 1.5, converted_stat)))))</f>
        <v/>
      </c>
      <c r="K70" s="30" t="str">
        <f t="array" ref="K70">IF($A70="", "", LET(bbgm_stat, INDEX(Players!$A69:$P69, MATCH(K$2, Players!$A$1:$P$1, 0)), perc_75, VLOOKUP(K$2, Percentiles!$A$45:$I$59, 6, FALSE), perc_90, VLOOKUP(K$2, Percentiles!$A$45:$I$59, 7, FALSE), perc_95, VLOOKUP(K$2, Percentiles!$A$45:$I$59, 8, FALSE), perc_85, perc_75 + (perc_90 - perc_75) * (2/3), converted_stat, '2K_Ratings'!K70, IF(bbgm_stat &gt;= perc_95, converted_stat * 3, IF(bbgm_stat &gt;= perc_90, converted_stat * 2, IF(bbgm_stat &gt;= perc_85, converted_stat * 1.5, converted_stat)))))</f>
        <v/>
      </c>
      <c r="L70" s="30" t="str">
        <f t="array" ref="L70">IF($A70="", "", LET(bbgm_stat, INDEX(Players!$A69:$P69, MATCH(L$2, Players!$A$1:$P$1, 0)), perc_75, VLOOKUP(L$2, Percentiles!$A$45:$I$59, 6, FALSE), perc_90, VLOOKUP(L$2, Percentiles!$A$45:$I$59, 7, FALSE), perc_95, VLOOKUP(L$2, Percentiles!$A$45:$I$59, 8, FALSE), perc_85, perc_75 + (perc_90 - perc_75) * (2/3), converted_stat, '2K_Ratings'!L70, IF(bbgm_stat &gt;= perc_95, converted_stat * 3, IF(bbgm_stat &gt;= perc_90, converted_stat * 2, IF(bbgm_stat &gt;= perc_85, converted_stat * 1.5, converted_stat)))))</f>
        <v/>
      </c>
      <c r="M70" s="30" t="str">
        <f t="array" ref="M70">IF($A70="", "", LET(bbgm_stat, INDEX(Players!$A69:$P69, MATCH(M$2, Players!$A$1:$P$1, 0)), perc_75, VLOOKUP(M$2, Percentiles!$A$45:$I$59, 6, FALSE), perc_90, VLOOKUP(M$2, Percentiles!$A$45:$I$59, 7, FALSE), perc_95, VLOOKUP(M$2, Percentiles!$A$45:$I$59, 8, FALSE), perc_85, perc_75 + (perc_90 - perc_75) * (2/3), converted_stat, '2K_Ratings'!M70, IF(bbgm_stat &gt;= perc_95, converted_stat * 3, IF(bbgm_stat &gt;= perc_90, converted_stat * 2, IF(bbgm_stat &gt;= perc_85, converted_stat * 1.5, converted_stat)))))</f>
        <v/>
      </c>
      <c r="N70" s="30" t="str">
        <f t="array" ref="N70">IF($A70="", "", LET(bbgm_stat, INDEX(Players!$A69:$P69, MATCH(N$2, Players!$A$1:$P$1, 0)), perc_75, VLOOKUP(N$2, Percentiles!$A$45:$I$59, 6, FALSE), perc_90, VLOOKUP(N$2, Percentiles!$A$45:$I$59, 7, FALSE), perc_95, VLOOKUP(N$2, Percentiles!$A$45:$I$59, 8, FALSE), perc_85, perc_75 + (perc_90 - perc_75) * (2/3), converted_stat, '2K_Ratings'!N70, IF(bbgm_stat &gt;= perc_95, converted_stat * 3, IF(bbgm_stat &gt;= perc_90, converted_stat * 2, IF(bbgm_stat &gt;= perc_85, converted_stat * 1.5, converted_stat)))))</f>
        <v/>
      </c>
      <c r="O70" s="30" t="str">
        <f t="array" ref="O70">IF($A70="", "", LET(bbgm_stat, INDEX(Players!$A69:$P69, MATCH(O$2, Players!$A$1:$P$1, 0)), perc_75, VLOOKUP(O$2, Percentiles!$A$45:$I$59, 6, FALSE), perc_90, VLOOKUP(O$2, Percentiles!$A$45:$I$59, 7, FALSE), perc_95, VLOOKUP(O$2, Percentiles!$A$45:$I$59, 8, FALSE), perc_85, perc_75 + (perc_90 - perc_75) * (2/3), converted_stat, '2K_Ratings'!O70, IF(bbgm_stat &gt;= perc_95, converted_stat * 3, IF(bbgm_stat &gt;= perc_90, converted_stat * 2, IF(bbgm_stat &gt;= perc_85, converted_stat * 1.5, converted_stat)))))</f>
        <v/>
      </c>
      <c r="P70" s="30" t="str">
        <f t="array" ref="P70">IF($A70="", "", LET(bbgm_stat, INDEX(Players!$A69:$P69, MATCH(P$2, Players!$A$1:$P$1, 0)), perc_75, VLOOKUP(P$2, Percentiles!$A$45:$I$59, 6, FALSE), perc_90, VLOOKUP(P$2, Percentiles!$A$45:$I$59, 7, FALSE), perc_95, VLOOKUP(P$2, Percentiles!$A$45:$I$59, 8, FALSE), perc_85, perc_75 + (perc_90 - perc_75) * (2/3), converted_stat, '2K_Ratings'!P70, IF(bbgm_stat &gt;= perc_95, converted_stat * 3, IF(bbgm_stat &gt;= perc_90, converted_stat * 2, IF(bbgm_stat &gt;= perc_85, converted_stat * 1.5, converted_stat)))))</f>
        <v/>
      </c>
      <c r="Q70" s="30" t="str">
        <f t="array" ref="Q70">IF($A70="", "", LET(bbgm_stat, INDEX(Players!$A69:$P69, MATCH(Q$2, Players!$A$1:$P$1, 0)), perc_75, VLOOKUP(Q$2, Percentiles!$A$45:$I$59, 6, FALSE), perc_90, VLOOKUP(Q$2, Percentiles!$A$45:$I$59, 7, FALSE), perc_95, VLOOKUP(Q$2, Percentiles!$A$45:$I$59, 8, FALSE), perc_85, perc_75 + (perc_90 - perc_75) * (2/3), converted_stat, '2K_Ratings'!Q70, IF(bbgm_stat &gt;= perc_95, converted_stat * 3, IF(bbgm_stat &gt;= perc_90, converted_stat * 2, IF(bbgm_stat &gt;= perc_85, converted_stat * 1.5, converted_stat)))))</f>
        <v/>
      </c>
      <c r="R70" s="30" t="str">
        <f t="array" ref="R70">IF($A70="", "", LET(bbgm_stat, INDEX(Players!$A69:$P69, MATCH(R$2, Players!$A$1:$P$1, 0)), perc_75, VLOOKUP(R$2, Percentiles!$A$45:$I$59, 6, FALSE), perc_90, VLOOKUP(R$2, Percentiles!$A$45:$I$59, 7, FALSE), perc_95, VLOOKUP(R$2, Percentiles!$A$45:$I$59, 8, FALSE), perc_85, perc_75 + (perc_90 - perc_75) * (2/3), converted_stat, '2K_Ratings'!R70, IF(bbgm_stat &gt;= perc_95, converted_stat * 3, IF(bbgm_stat &gt;= perc_90, converted_stat * 2, IF(bbgm_stat &gt;= perc_85, converted_stat * 1.5, converted_stat)))))</f>
        <v/>
      </c>
      <c r="S70" s="30" t="str">
        <f t="array" ref="S70">IF($A70="", "", LET(bbgm_stat, INDEX(Players!$A69:$P69, MATCH(S$2, Players!$A$1:$P$1, 0)), perc_75, VLOOKUP(S$2, Percentiles!$A$45:$I$59, 6, FALSE), perc_90, VLOOKUP(S$2, Percentiles!$A$45:$I$59, 7, FALSE), perc_95, VLOOKUP(S$2, Percentiles!$A$45:$I$59, 8, FALSE), perc_85, perc_75 + (perc_90 - perc_75) * (2/3), converted_stat, '2K_Ratings'!S70, IF(bbgm_stat &gt;= perc_95, converted_stat * 3, IF(bbgm_stat &gt;= perc_90, converted_stat * 2, IF(bbgm_stat &gt;= perc_85, converted_stat * 1.5, converted_stat)))))</f>
        <v/>
      </c>
      <c r="T70" s="30" t="str">
        <f t="array" ref="T70">IF($A70="", "", LET(bbgm_stat, INDEX(Players!$A69:$P69, MATCH(T$2, Players!$A$1:$P$1, 0)), perc_75, VLOOKUP(T$2, Percentiles!$A$45:$I$59, 6, FALSE), perc_90, VLOOKUP(T$2, Percentiles!$A$45:$I$59, 7, FALSE), perc_95, VLOOKUP(T$2, Percentiles!$A$45:$I$59, 8, FALSE), perc_85, perc_75 + (perc_90 - perc_75) * (2/3), converted_stat, '2K_Ratings'!T70, IF(bbgm_stat &gt;= perc_95, converted_stat * 3, IF(bbgm_stat &gt;= perc_90, converted_stat * 2, IF(bbgm_stat &gt;= perc_85, converted_stat * 1.5, converted_stat)))))</f>
        <v/>
      </c>
      <c r="U70" s="30" t="str">
        <f t="array" ref="U70">IF($A70="", "", LET(bbgm_stat, INDEX(Players!$A69:$P69, MATCH(U$2, Players!$A$1:$P$1, 0)), perc_75, VLOOKUP(U$2, Percentiles!$A$45:$I$59, 6, FALSE), perc_90, VLOOKUP(U$2, Percentiles!$A$45:$I$59, 7, FALSE), perc_95, VLOOKUP(U$2, Percentiles!$A$45:$I$59, 8, FALSE), perc_85, perc_75 + (perc_90 - perc_75) * (2/3), converted_stat, '2K_Ratings'!U70, IF(bbgm_stat &gt;= perc_95, converted_stat * 3, IF(bbgm_stat &gt;= perc_90, converted_stat * 2, IF(bbgm_stat &gt;= perc_85, converted_stat * 1.5, converted_stat)))))</f>
        <v/>
      </c>
      <c r="V70" s="30" t="str">
        <f t="array" ref="V70">IF($A70="", "", LET(bbgm_stat, INDEX(Players!$A69:$P69, MATCH(V$2, Players!$A$1:$P$1, 0)), perc_75, VLOOKUP(V$2, Percentiles!$A$45:$I$59, 6, FALSE), perc_90, VLOOKUP(V$2, Percentiles!$A$45:$I$59, 7, FALSE), perc_95, VLOOKUP(V$2, Percentiles!$A$45:$I$59, 8, FALSE), perc_85, perc_75 + (perc_90 - perc_75) * (2/3), converted_stat, '2K_Ratings'!V70, IF(bbgm_stat &gt;= perc_95, converted_stat * 3, IF(bbgm_stat &gt;= perc_90, converted_stat * 2, IF(bbgm_stat &gt;= perc_85, converted_stat * 1.5, converted_stat)))))</f>
        <v/>
      </c>
      <c r="W70" s="30" t="str">
        <f t="array" ref="W70">IF($A70="", "", LET(bbgm_stat, INDEX(Players!$A69:$P69, MATCH(W$2, Players!$A$1:$P$1, 0)), perc_75, VLOOKUP(W$2, Percentiles!$A$45:$I$59, 6, FALSE), perc_90, VLOOKUP(W$2, Percentiles!$A$45:$I$59, 7, FALSE), perc_95, VLOOKUP(W$2, Percentiles!$A$45:$I$59, 8, FALSE), perc_85, perc_75 + (perc_90 - perc_75) * (2/3), converted_stat, '2K_Ratings'!W70, IF(bbgm_stat &gt;= perc_95, converted_stat * 3, IF(bbgm_stat &gt;= perc_90, converted_stat * 2, IF(bbgm_stat &gt;= perc_85, converted_stat * 1.5, converted_stat)))))</f>
        <v/>
      </c>
    </row>
    <row r="71">
      <c r="A71" s="30" t="str">
        <f>IF(Players!A70="", "", Players!A70)</f>
        <v/>
      </c>
      <c r="B71" s="30" t="str">
        <f t="array" ref="B71">IF($A71="", "", LET(bbgm_stat, INDEX(Players!$A70:$P70, MATCH(B$2, Players!$A$1:$P$1, 0)), perc_75, VLOOKUP(B$2, Percentiles!$A$45:$I$59, 6, FALSE), perc_90, VLOOKUP(B$2, Percentiles!$A$45:$I$59, 7, FALSE), perc_95, VLOOKUP(B$2, Percentiles!$A$45:$I$59, 8, FALSE), perc_85, perc_75 + (perc_90 - perc_75) * (2/3), converted_stat, '2K_Ratings'!B71, IF(bbgm_stat &gt;= perc_95, converted_stat * 3, IF(bbgm_stat &gt;= perc_90, converted_stat * 2, IF(bbgm_stat &gt;= perc_85, converted_stat * 1.5, converted_stat)))))</f>
        <v/>
      </c>
      <c r="C71" s="30" t="str">
        <f t="array" ref="C71">IF($A71="", "", LET(bbgm_stat, INDEX(Players!$A70:$P70, MATCH(C$2, Players!$A$1:$P$1, 0)), perc_75, VLOOKUP(C$2, Percentiles!$A$45:$I$59, 6, FALSE), perc_90, VLOOKUP(C$2, Percentiles!$A$45:$I$59, 7, FALSE), perc_95, VLOOKUP(C$2, Percentiles!$A$45:$I$59, 8, FALSE), perc_85, perc_75 + (perc_90 - perc_75) * (2/3), converted_stat, '2K_Ratings'!C71, IF(bbgm_stat &gt;= perc_95, converted_stat * 3, IF(bbgm_stat &gt;= perc_90, converted_stat * 2, IF(bbgm_stat &gt;= perc_85, converted_stat * 1.5, converted_stat)))))</f>
        <v/>
      </c>
      <c r="D71" s="30" t="str">
        <f t="array" ref="D71">IF($A71="", "", LET(bbgm_stat, INDEX(Players!$A70:$P70, MATCH(D$2, Players!$A$1:$P$1, 0)), perc_75, VLOOKUP(D$2, Percentiles!$A$45:$I$59, 6, FALSE), perc_90, VLOOKUP(D$2, Percentiles!$A$45:$I$59, 7, FALSE), perc_95, VLOOKUP(D$2, Percentiles!$A$45:$I$59, 8, FALSE), perc_85, perc_75 + (perc_90 - perc_75) * (2/3), converted_stat, '2K_Ratings'!D71, IF(bbgm_stat &gt;= perc_95, converted_stat * 3, IF(bbgm_stat &gt;= perc_90, converted_stat * 2, IF(bbgm_stat &gt;= perc_85, converted_stat * 1.5, converted_stat)))))</f>
        <v/>
      </c>
      <c r="E71" s="30" t="str">
        <f t="array" ref="E71">IF($A71="", "", LET(bbgm_stat, INDEX(Players!$A70:$P70, MATCH(E$2, Players!$A$1:$P$1, 0)), perc_75, VLOOKUP(E$2, Percentiles!$A$45:$I$59, 6, FALSE), perc_90, VLOOKUP(E$2, Percentiles!$A$45:$I$59, 7, FALSE), perc_95, VLOOKUP(E$2, Percentiles!$A$45:$I$59, 8, FALSE), perc_85, perc_75 + (perc_90 - perc_75) * (2/3), converted_stat, '2K_Ratings'!E71, IF(bbgm_stat &gt;= perc_95, converted_stat * 3, IF(bbgm_stat &gt;= perc_90, converted_stat * 2, IF(bbgm_stat &gt;= perc_85, converted_stat * 1.5, converted_stat)))))</f>
        <v/>
      </c>
      <c r="F71" s="30" t="str">
        <f t="array" ref="F71">IF($A71="", "", LET(bbgm_stat, INDEX(Players!$A70:$P70, MATCH(F$2, Players!$A$1:$P$1, 0)), perc_75, VLOOKUP(F$2, Percentiles!$A$45:$I$59, 6, FALSE), perc_90, VLOOKUP(F$2, Percentiles!$A$45:$I$59, 7, FALSE), perc_95, VLOOKUP(F$2, Percentiles!$A$45:$I$59, 8, FALSE), perc_85, perc_75 + (perc_90 - perc_75) * (2/3), converted_stat, '2K_Ratings'!F71, IF(bbgm_stat &gt;= perc_95, converted_stat * 3, IF(bbgm_stat &gt;= perc_90, converted_stat * 2, IF(bbgm_stat &gt;= perc_85, converted_stat * 1.5, converted_stat)))))</f>
        <v/>
      </c>
      <c r="G71" s="30" t="str">
        <f t="array" ref="G71">IF($A71="", "", LET(bbgm_stat, INDEX(Players!$A70:$P70, MATCH(G$2, Players!$A$1:$P$1, 0)), perc_75, VLOOKUP(G$2, Percentiles!$A$45:$I$59, 6, FALSE), perc_90, VLOOKUP(G$2, Percentiles!$A$45:$I$59, 7, FALSE), perc_95, VLOOKUP(G$2, Percentiles!$A$45:$I$59, 8, FALSE), perc_85, perc_75 + (perc_90 - perc_75) * (2/3), converted_stat, '2K_Ratings'!G71, IF(bbgm_stat &gt;= perc_95, converted_stat * 3, IF(bbgm_stat &gt;= perc_90, converted_stat * 2, IF(bbgm_stat &gt;= perc_85, converted_stat * 1.5, converted_stat)))))</f>
        <v/>
      </c>
      <c r="H71" s="30" t="str">
        <f t="array" ref="H71">IF($A71="", "", LET(bbgm_stat, INDEX(Players!$A70:$P70, MATCH(H$2, Players!$A$1:$P$1, 0)), perc_75, VLOOKUP(H$2, Percentiles!$A$45:$I$59, 6, FALSE), perc_90, VLOOKUP(H$2, Percentiles!$A$45:$I$59, 7, FALSE), perc_95, VLOOKUP(H$2, Percentiles!$A$45:$I$59, 8, FALSE), perc_85, perc_75 + (perc_90 - perc_75) * (2/3), converted_stat, '2K_Ratings'!H71, IF(bbgm_stat &gt;= perc_95, converted_stat * 3, IF(bbgm_stat &gt;= perc_90, converted_stat * 2, IF(bbgm_stat &gt;= perc_85, converted_stat * 1.5, converted_stat)))))</f>
        <v/>
      </c>
      <c r="I71" s="30" t="str">
        <f t="array" ref="I71">IF($A71="", "", LET(bbgm_stat, INDEX(Players!$A70:$P70, MATCH(I$2, Players!$A$1:$P$1, 0)), perc_75, VLOOKUP(I$2, Percentiles!$A$45:$I$59, 6, FALSE), perc_90, VLOOKUP(I$2, Percentiles!$A$45:$I$59, 7, FALSE), perc_95, VLOOKUP(I$2, Percentiles!$A$45:$I$59, 8, FALSE), perc_85, perc_75 + (perc_90 - perc_75) * (2/3), converted_stat, '2K_Ratings'!I71, IF(bbgm_stat &gt;= perc_95, converted_stat * 3, IF(bbgm_stat &gt;= perc_90, converted_stat * 2, IF(bbgm_stat &gt;= perc_85, converted_stat * 1.5, converted_stat)))))</f>
        <v/>
      </c>
      <c r="J71" s="30" t="str">
        <f t="array" ref="J71">IF($A71="", "", LET(bbgm_stat, INDEX(Players!$A70:$P70, MATCH(J$2, Players!$A$1:$P$1, 0)), perc_75, VLOOKUP(J$2, Percentiles!$A$45:$I$59, 6, FALSE), perc_90, VLOOKUP(J$2, Percentiles!$A$45:$I$59, 7, FALSE), perc_95, VLOOKUP(J$2, Percentiles!$A$45:$I$59, 8, FALSE), perc_85, perc_75 + (perc_90 - perc_75) * (2/3), converted_stat, '2K_Ratings'!J71, IF(bbgm_stat &gt;= perc_95, converted_stat * 3, IF(bbgm_stat &gt;= perc_90, converted_stat * 2, IF(bbgm_stat &gt;= perc_85, converted_stat * 1.5, converted_stat)))))</f>
        <v/>
      </c>
      <c r="K71" s="30" t="str">
        <f t="array" ref="K71">IF($A71="", "", LET(bbgm_stat, INDEX(Players!$A70:$P70, MATCH(K$2, Players!$A$1:$P$1, 0)), perc_75, VLOOKUP(K$2, Percentiles!$A$45:$I$59, 6, FALSE), perc_90, VLOOKUP(K$2, Percentiles!$A$45:$I$59, 7, FALSE), perc_95, VLOOKUP(K$2, Percentiles!$A$45:$I$59, 8, FALSE), perc_85, perc_75 + (perc_90 - perc_75) * (2/3), converted_stat, '2K_Ratings'!K71, IF(bbgm_stat &gt;= perc_95, converted_stat * 3, IF(bbgm_stat &gt;= perc_90, converted_stat * 2, IF(bbgm_stat &gt;= perc_85, converted_stat * 1.5, converted_stat)))))</f>
        <v/>
      </c>
      <c r="L71" s="30" t="str">
        <f t="array" ref="L71">IF($A71="", "", LET(bbgm_stat, INDEX(Players!$A70:$P70, MATCH(L$2, Players!$A$1:$P$1, 0)), perc_75, VLOOKUP(L$2, Percentiles!$A$45:$I$59, 6, FALSE), perc_90, VLOOKUP(L$2, Percentiles!$A$45:$I$59, 7, FALSE), perc_95, VLOOKUP(L$2, Percentiles!$A$45:$I$59, 8, FALSE), perc_85, perc_75 + (perc_90 - perc_75) * (2/3), converted_stat, '2K_Ratings'!L71, IF(bbgm_stat &gt;= perc_95, converted_stat * 3, IF(bbgm_stat &gt;= perc_90, converted_stat * 2, IF(bbgm_stat &gt;= perc_85, converted_stat * 1.5, converted_stat)))))</f>
        <v/>
      </c>
      <c r="M71" s="30" t="str">
        <f t="array" ref="M71">IF($A71="", "", LET(bbgm_stat, INDEX(Players!$A70:$P70, MATCH(M$2, Players!$A$1:$P$1, 0)), perc_75, VLOOKUP(M$2, Percentiles!$A$45:$I$59, 6, FALSE), perc_90, VLOOKUP(M$2, Percentiles!$A$45:$I$59, 7, FALSE), perc_95, VLOOKUP(M$2, Percentiles!$A$45:$I$59, 8, FALSE), perc_85, perc_75 + (perc_90 - perc_75) * (2/3), converted_stat, '2K_Ratings'!M71, IF(bbgm_stat &gt;= perc_95, converted_stat * 3, IF(bbgm_stat &gt;= perc_90, converted_stat * 2, IF(bbgm_stat &gt;= perc_85, converted_stat * 1.5, converted_stat)))))</f>
        <v/>
      </c>
      <c r="N71" s="30" t="str">
        <f t="array" ref="N71">IF($A71="", "", LET(bbgm_stat, INDEX(Players!$A70:$P70, MATCH(N$2, Players!$A$1:$P$1, 0)), perc_75, VLOOKUP(N$2, Percentiles!$A$45:$I$59, 6, FALSE), perc_90, VLOOKUP(N$2, Percentiles!$A$45:$I$59, 7, FALSE), perc_95, VLOOKUP(N$2, Percentiles!$A$45:$I$59, 8, FALSE), perc_85, perc_75 + (perc_90 - perc_75) * (2/3), converted_stat, '2K_Ratings'!N71, IF(bbgm_stat &gt;= perc_95, converted_stat * 3, IF(bbgm_stat &gt;= perc_90, converted_stat * 2, IF(bbgm_stat &gt;= perc_85, converted_stat * 1.5, converted_stat)))))</f>
        <v/>
      </c>
      <c r="O71" s="30" t="str">
        <f t="array" ref="O71">IF($A71="", "", LET(bbgm_stat, INDEX(Players!$A70:$P70, MATCH(O$2, Players!$A$1:$P$1, 0)), perc_75, VLOOKUP(O$2, Percentiles!$A$45:$I$59, 6, FALSE), perc_90, VLOOKUP(O$2, Percentiles!$A$45:$I$59, 7, FALSE), perc_95, VLOOKUP(O$2, Percentiles!$A$45:$I$59, 8, FALSE), perc_85, perc_75 + (perc_90 - perc_75) * (2/3), converted_stat, '2K_Ratings'!O71, IF(bbgm_stat &gt;= perc_95, converted_stat * 3, IF(bbgm_stat &gt;= perc_90, converted_stat * 2, IF(bbgm_stat &gt;= perc_85, converted_stat * 1.5, converted_stat)))))</f>
        <v/>
      </c>
      <c r="P71" s="30" t="str">
        <f t="array" ref="P71">IF($A71="", "", LET(bbgm_stat, INDEX(Players!$A70:$P70, MATCH(P$2, Players!$A$1:$P$1, 0)), perc_75, VLOOKUP(P$2, Percentiles!$A$45:$I$59, 6, FALSE), perc_90, VLOOKUP(P$2, Percentiles!$A$45:$I$59, 7, FALSE), perc_95, VLOOKUP(P$2, Percentiles!$A$45:$I$59, 8, FALSE), perc_85, perc_75 + (perc_90 - perc_75) * (2/3), converted_stat, '2K_Ratings'!P71, IF(bbgm_stat &gt;= perc_95, converted_stat * 3, IF(bbgm_stat &gt;= perc_90, converted_stat * 2, IF(bbgm_stat &gt;= perc_85, converted_stat * 1.5, converted_stat)))))</f>
        <v/>
      </c>
      <c r="Q71" s="30" t="str">
        <f t="array" ref="Q71">IF($A71="", "", LET(bbgm_stat, INDEX(Players!$A70:$P70, MATCH(Q$2, Players!$A$1:$P$1, 0)), perc_75, VLOOKUP(Q$2, Percentiles!$A$45:$I$59, 6, FALSE), perc_90, VLOOKUP(Q$2, Percentiles!$A$45:$I$59, 7, FALSE), perc_95, VLOOKUP(Q$2, Percentiles!$A$45:$I$59, 8, FALSE), perc_85, perc_75 + (perc_90 - perc_75) * (2/3), converted_stat, '2K_Ratings'!Q71, IF(bbgm_stat &gt;= perc_95, converted_stat * 3, IF(bbgm_stat &gt;= perc_90, converted_stat * 2, IF(bbgm_stat &gt;= perc_85, converted_stat * 1.5, converted_stat)))))</f>
        <v/>
      </c>
      <c r="R71" s="30" t="str">
        <f t="array" ref="R71">IF($A71="", "", LET(bbgm_stat, INDEX(Players!$A70:$P70, MATCH(R$2, Players!$A$1:$P$1, 0)), perc_75, VLOOKUP(R$2, Percentiles!$A$45:$I$59, 6, FALSE), perc_90, VLOOKUP(R$2, Percentiles!$A$45:$I$59, 7, FALSE), perc_95, VLOOKUP(R$2, Percentiles!$A$45:$I$59, 8, FALSE), perc_85, perc_75 + (perc_90 - perc_75) * (2/3), converted_stat, '2K_Ratings'!R71, IF(bbgm_stat &gt;= perc_95, converted_stat * 3, IF(bbgm_stat &gt;= perc_90, converted_stat * 2, IF(bbgm_stat &gt;= perc_85, converted_stat * 1.5, converted_stat)))))</f>
        <v/>
      </c>
      <c r="S71" s="30" t="str">
        <f t="array" ref="S71">IF($A71="", "", LET(bbgm_stat, INDEX(Players!$A70:$P70, MATCH(S$2, Players!$A$1:$P$1, 0)), perc_75, VLOOKUP(S$2, Percentiles!$A$45:$I$59, 6, FALSE), perc_90, VLOOKUP(S$2, Percentiles!$A$45:$I$59, 7, FALSE), perc_95, VLOOKUP(S$2, Percentiles!$A$45:$I$59, 8, FALSE), perc_85, perc_75 + (perc_90 - perc_75) * (2/3), converted_stat, '2K_Ratings'!S71, IF(bbgm_stat &gt;= perc_95, converted_stat * 3, IF(bbgm_stat &gt;= perc_90, converted_stat * 2, IF(bbgm_stat &gt;= perc_85, converted_stat * 1.5, converted_stat)))))</f>
        <v/>
      </c>
      <c r="T71" s="30" t="str">
        <f t="array" ref="T71">IF($A71="", "", LET(bbgm_stat, INDEX(Players!$A70:$P70, MATCH(T$2, Players!$A$1:$P$1, 0)), perc_75, VLOOKUP(T$2, Percentiles!$A$45:$I$59, 6, FALSE), perc_90, VLOOKUP(T$2, Percentiles!$A$45:$I$59, 7, FALSE), perc_95, VLOOKUP(T$2, Percentiles!$A$45:$I$59, 8, FALSE), perc_85, perc_75 + (perc_90 - perc_75) * (2/3), converted_stat, '2K_Ratings'!T71, IF(bbgm_stat &gt;= perc_95, converted_stat * 3, IF(bbgm_stat &gt;= perc_90, converted_stat * 2, IF(bbgm_stat &gt;= perc_85, converted_stat * 1.5, converted_stat)))))</f>
        <v/>
      </c>
      <c r="U71" s="30" t="str">
        <f t="array" ref="U71">IF($A71="", "", LET(bbgm_stat, INDEX(Players!$A70:$P70, MATCH(U$2, Players!$A$1:$P$1, 0)), perc_75, VLOOKUP(U$2, Percentiles!$A$45:$I$59, 6, FALSE), perc_90, VLOOKUP(U$2, Percentiles!$A$45:$I$59, 7, FALSE), perc_95, VLOOKUP(U$2, Percentiles!$A$45:$I$59, 8, FALSE), perc_85, perc_75 + (perc_90 - perc_75) * (2/3), converted_stat, '2K_Ratings'!U71, IF(bbgm_stat &gt;= perc_95, converted_stat * 3, IF(bbgm_stat &gt;= perc_90, converted_stat * 2, IF(bbgm_stat &gt;= perc_85, converted_stat * 1.5, converted_stat)))))</f>
        <v/>
      </c>
      <c r="V71" s="30" t="str">
        <f t="array" ref="V71">IF($A71="", "", LET(bbgm_stat, INDEX(Players!$A70:$P70, MATCH(V$2, Players!$A$1:$P$1, 0)), perc_75, VLOOKUP(V$2, Percentiles!$A$45:$I$59, 6, FALSE), perc_90, VLOOKUP(V$2, Percentiles!$A$45:$I$59, 7, FALSE), perc_95, VLOOKUP(V$2, Percentiles!$A$45:$I$59, 8, FALSE), perc_85, perc_75 + (perc_90 - perc_75) * (2/3), converted_stat, '2K_Ratings'!V71, IF(bbgm_stat &gt;= perc_95, converted_stat * 3, IF(bbgm_stat &gt;= perc_90, converted_stat * 2, IF(bbgm_stat &gt;= perc_85, converted_stat * 1.5, converted_stat)))))</f>
        <v/>
      </c>
      <c r="W71" s="30" t="str">
        <f t="array" ref="W71">IF($A71="", "", LET(bbgm_stat, INDEX(Players!$A70:$P70, MATCH(W$2, Players!$A$1:$P$1, 0)), perc_75, VLOOKUP(W$2, Percentiles!$A$45:$I$59, 6, FALSE), perc_90, VLOOKUP(W$2, Percentiles!$A$45:$I$59, 7, FALSE), perc_95, VLOOKUP(W$2, Percentiles!$A$45:$I$59, 8, FALSE), perc_85, perc_75 + (perc_90 - perc_75) * (2/3), converted_stat, '2K_Ratings'!W71, IF(bbgm_stat &gt;= perc_95, converted_stat * 3, IF(bbgm_stat &gt;= perc_90, converted_stat * 2, IF(bbgm_stat &gt;= perc_85, converted_stat * 1.5, converted_stat)))))</f>
        <v/>
      </c>
    </row>
    <row r="72">
      <c r="A72" s="30" t="str">
        <f>IF(Players!A71="", "", Players!A71)</f>
        <v/>
      </c>
      <c r="B72" s="30" t="str">
        <f t="array" ref="B72">IF($A72="", "", LET(bbgm_stat, INDEX(Players!$A71:$P71, MATCH(B$2, Players!$A$1:$P$1, 0)), perc_75, VLOOKUP(B$2, Percentiles!$A$45:$I$59, 6, FALSE), perc_90, VLOOKUP(B$2, Percentiles!$A$45:$I$59, 7, FALSE), perc_95, VLOOKUP(B$2, Percentiles!$A$45:$I$59, 8, FALSE), perc_85, perc_75 + (perc_90 - perc_75) * (2/3), converted_stat, '2K_Ratings'!B72, IF(bbgm_stat &gt;= perc_95, converted_stat * 3, IF(bbgm_stat &gt;= perc_90, converted_stat * 2, IF(bbgm_stat &gt;= perc_85, converted_stat * 1.5, converted_stat)))))</f>
        <v/>
      </c>
      <c r="C72" s="30" t="str">
        <f t="array" ref="C72">IF($A72="", "", LET(bbgm_stat, INDEX(Players!$A71:$P71, MATCH(C$2, Players!$A$1:$P$1, 0)), perc_75, VLOOKUP(C$2, Percentiles!$A$45:$I$59, 6, FALSE), perc_90, VLOOKUP(C$2, Percentiles!$A$45:$I$59, 7, FALSE), perc_95, VLOOKUP(C$2, Percentiles!$A$45:$I$59, 8, FALSE), perc_85, perc_75 + (perc_90 - perc_75) * (2/3), converted_stat, '2K_Ratings'!C72, IF(bbgm_stat &gt;= perc_95, converted_stat * 3, IF(bbgm_stat &gt;= perc_90, converted_stat * 2, IF(bbgm_stat &gt;= perc_85, converted_stat * 1.5, converted_stat)))))</f>
        <v/>
      </c>
      <c r="D72" s="30" t="str">
        <f t="array" ref="D72">IF($A72="", "", LET(bbgm_stat, INDEX(Players!$A71:$P71, MATCH(D$2, Players!$A$1:$P$1, 0)), perc_75, VLOOKUP(D$2, Percentiles!$A$45:$I$59, 6, FALSE), perc_90, VLOOKUP(D$2, Percentiles!$A$45:$I$59, 7, FALSE), perc_95, VLOOKUP(D$2, Percentiles!$A$45:$I$59, 8, FALSE), perc_85, perc_75 + (perc_90 - perc_75) * (2/3), converted_stat, '2K_Ratings'!D72, IF(bbgm_stat &gt;= perc_95, converted_stat * 3, IF(bbgm_stat &gt;= perc_90, converted_stat * 2, IF(bbgm_stat &gt;= perc_85, converted_stat * 1.5, converted_stat)))))</f>
        <v/>
      </c>
      <c r="E72" s="30" t="str">
        <f t="array" ref="E72">IF($A72="", "", LET(bbgm_stat, INDEX(Players!$A71:$P71, MATCH(E$2, Players!$A$1:$P$1, 0)), perc_75, VLOOKUP(E$2, Percentiles!$A$45:$I$59, 6, FALSE), perc_90, VLOOKUP(E$2, Percentiles!$A$45:$I$59, 7, FALSE), perc_95, VLOOKUP(E$2, Percentiles!$A$45:$I$59, 8, FALSE), perc_85, perc_75 + (perc_90 - perc_75) * (2/3), converted_stat, '2K_Ratings'!E72, IF(bbgm_stat &gt;= perc_95, converted_stat * 3, IF(bbgm_stat &gt;= perc_90, converted_stat * 2, IF(bbgm_stat &gt;= perc_85, converted_stat * 1.5, converted_stat)))))</f>
        <v/>
      </c>
      <c r="F72" s="30" t="str">
        <f t="array" ref="F72">IF($A72="", "", LET(bbgm_stat, INDEX(Players!$A71:$P71, MATCH(F$2, Players!$A$1:$P$1, 0)), perc_75, VLOOKUP(F$2, Percentiles!$A$45:$I$59, 6, FALSE), perc_90, VLOOKUP(F$2, Percentiles!$A$45:$I$59, 7, FALSE), perc_95, VLOOKUP(F$2, Percentiles!$A$45:$I$59, 8, FALSE), perc_85, perc_75 + (perc_90 - perc_75) * (2/3), converted_stat, '2K_Ratings'!F72, IF(bbgm_stat &gt;= perc_95, converted_stat * 3, IF(bbgm_stat &gt;= perc_90, converted_stat * 2, IF(bbgm_stat &gt;= perc_85, converted_stat * 1.5, converted_stat)))))</f>
        <v/>
      </c>
      <c r="G72" s="30" t="str">
        <f t="array" ref="G72">IF($A72="", "", LET(bbgm_stat, INDEX(Players!$A71:$P71, MATCH(G$2, Players!$A$1:$P$1, 0)), perc_75, VLOOKUP(G$2, Percentiles!$A$45:$I$59, 6, FALSE), perc_90, VLOOKUP(G$2, Percentiles!$A$45:$I$59, 7, FALSE), perc_95, VLOOKUP(G$2, Percentiles!$A$45:$I$59, 8, FALSE), perc_85, perc_75 + (perc_90 - perc_75) * (2/3), converted_stat, '2K_Ratings'!G72, IF(bbgm_stat &gt;= perc_95, converted_stat * 3, IF(bbgm_stat &gt;= perc_90, converted_stat * 2, IF(bbgm_stat &gt;= perc_85, converted_stat * 1.5, converted_stat)))))</f>
        <v/>
      </c>
      <c r="H72" s="30" t="str">
        <f t="array" ref="H72">IF($A72="", "", LET(bbgm_stat, INDEX(Players!$A71:$P71, MATCH(H$2, Players!$A$1:$P$1, 0)), perc_75, VLOOKUP(H$2, Percentiles!$A$45:$I$59, 6, FALSE), perc_90, VLOOKUP(H$2, Percentiles!$A$45:$I$59, 7, FALSE), perc_95, VLOOKUP(H$2, Percentiles!$A$45:$I$59, 8, FALSE), perc_85, perc_75 + (perc_90 - perc_75) * (2/3), converted_stat, '2K_Ratings'!H72, IF(bbgm_stat &gt;= perc_95, converted_stat * 3, IF(bbgm_stat &gt;= perc_90, converted_stat * 2, IF(bbgm_stat &gt;= perc_85, converted_stat * 1.5, converted_stat)))))</f>
        <v/>
      </c>
      <c r="I72" s="30" t="str">
        <f t="array" ref="I72">IF($A72="", "", LET(bbgm_stat, INDEX(Players!$A71:$P71, MATCH(I$2, Players!$A$1:$P$1, 0)), perc_75, VLOOKUP(I$2, Percentiles!$A$45:$I$59, 6, FALSE), perc_90, VLOOKUP(I$2, Percentiles!$A$45:$I$59, 7, FALSE), perc_95, VLOOKUP(I$2, Percentiles!$A$45:$I$59, 8, FALSE), perc_85, perc_75 + (perc_90 - perc_75) * (2/3), converted_stat, '2K_Ratings'!I72, IF(bbgm_stat &gt;= perc_95, converted_stat * 3, IF(bbgm_stat &gt;= perc_90, converted_stat * 2, IF(bbgm_stat &gt;= perc_85, converted_stat * 1.5, converted_stat)))))</f>
        <v/>
      </c>
      <c r="J72" s="30" t="str">
        <f t="array" ref="J72">IF($A72="", "", LET(bbgm_stat, INDEX(Players!$A71:$P71, MATCH(J$2, Players!$A$1:$P$1, 0)), perc_75, VLOOKUP(J$2, Percentiles!$A$45:$I$59, 6, FALSE), perc_90, VLOOKUP(J$2, Percentiles!$A$45:$I$59, 7, FALSE), perc_95, VLOOKUP(J$2, Percentiles!$A$45:$I$59, 8, FALSE), perc_85, perc_75 + (perc_90 - perc_75) * (2/3), converted_stat, '2K_Ratings'!J72, IF(bbgm_stat &gt;= perc_95, converted_stat * 3, IF(bbgm_stat &gt;= perc_90, converted_stat * 2, IF(bbgm_stat &gt;= perc_85, converted_stat * 1.5, converted_stat)))))</f>
        <v/>
      </c>
      <c r="K72" s="30" t="str">
        <f t="array" ref="K72">IF($A72="", "", LET(bbgm_stat, INDEX(Players!$A71:$P71, MATCH(K$2, Players!$A$1:$P$1, 0)), perc_75, VLOOKUP(K$2, Percentiles!$A$45:$I$59, 6, FALSE), perc_90, VLOOKUP(K$2, Percentiles!$A$45:$I$59, 7, FALSE), perc_95, VLOOKUP(K$2, Percentiles!$A$45:$I$59, 8, FALSE), perc_85, perc_75 + (perc_90 - perc_75) * (2/3), converted_stat, '2K_Ratings'!K72, IF(bbgm_stat &gt;= perc_95, converted_stat * 3, IF(bbgm_stat &gt;= perc_90, converted_stat * 2, IF(bbgm_stat &gt;= perc_85, converted_stat * 1.5, converted_stat)))))</f>
        <v/>
      </c>
      <c r="L72" s="30" t="str">
        <f t="array" ref="L72">IF($A72="", "", LET(bbgm_stat, INDEX(Players!$A71:$P71, MATCH(L$2, Players!$A$1:$P$1, 0)), perc_75, VLOOKUP(L$2, Percentiles!$A$45:$I$59, 6, FALSE), perc_90, VLOOKUP(L$2, Percentiles!$A$45:$I$59, 7, FALSE), perc_95, VLOOKUP(L$2, Percentiles!$A$45:$I$59, 8, FALSE), perc_85, perc_75 + (perc_90 - perc_75) * (2/3), converted_stat, '2K_Ratings'!L72, IF(bbgm_stat &gt;= perc_95, converted_stat * 3, IF(bbgm_stat &gt;= perc_90, converted_stat * 2, IF(bbgm_stat &gt;= perc_85, converted_stat * 1.5, converted_stat)))))</f>
        <v/>
      </c>
      <c r="M72" s="30" t="str">
        <f t="array" ref="M72">IF($A72="", "", LET(bbgm_stat, INDEX(Players!$A71:$P71, MATCH(M$2, Players!$A$1:$P$1, 0)), perc_75, VLOOKUP(M$2, Percentiles!$A$45:$I$59, 6, FALSE), perc_90, VLOOKUP(M$2, Percentiles!$A$45:$I$59, 7, FALSE), perc_95, VLOOKUP(M$2, Percentiles!$A$45:$I$59, 8, FALSE), perc_85, perc_75 + (perc_90 - perc_75) * (2/3), converted_stat, '2K_Ratings'!M72, IF(bbgm_stat &gt;= perc_95, converted_stat * 3, IF(bbgm_stat &gt;= perc_90, converted_stat * 2, IF(bbgm_stat &gt;= perc_85, converted_stat * 1.5, converted_stat)))))</f>
        <v/>
      </c>
      <c r="N72" s="30" t="str">
        <f t="array" ref="N72">IF($A72="", "", LET(bbgm_stat, INDEX(Players!$A71:$P71, MATCH(N$2, Players!$A$1:$P$1, 0)), perc_75, VLOOKUP(N$2, Percentiles!$A$45:$I$59, 6, FALSE), perc_90, VLOOKUP(N$2, Percentiles!$A$45:$I$59, 7, FALSE), perc_95, VLOOKUP(N$2, Percentiles!$A$45:$I$59, 8, FALSE), perc_85, perc_75 + (perc_90 - perc_75) * (2/3), converted_stat, '2K_Ratings'!N72, IF(bbgm_stat &gt;= perc_95, converted_stat * 3, IF(bbgm_stat &gt;= perc_90, converted_stat * 2, IF(bbgm_stat &gt;= perc_85, converted_stat * 1.5, converted_stat)))))</f>
        <v/>
      </c>
      <c r="O72" s="30" t="str">
        <f t="array" ref="O72">IF($A72="", "", LET(bbgm_stat, INDEX(Players!$A71:$P71, MATCH(O$2, Players!$A$1:$P$1, 0)), perc_75, VLOOKUP(O$2, Percentiles!$A$45:$I$59, 6, FALSE), perc_90, VLOOKUP(O$2, Percentiles!$A$45:$I$59, 7, FALSE), perc_95, VLOOKUP(O$2, Percentiles!$A$45:$I$59, 8, FALSE), perc_85, perc_75 + (perc_90 - perc_75) * (2/3), converted_stat, '2K_Ratings'!O72, IF(bbgm_stat &gt;= perc_95, converted_stat * 3, IF(bbgm_stat &gt;= perc_90, converted_stat * 2, IF(bbgm_stat &gt;= perc_85, converted_stat * 1.5, converted_stat)))))</f>
        <v/>
      </c>
      <c r="P72" s="30" t="str">
        <f t="array" ref="P72">IF($A72="", "", LET(bbgm_stat, INDEX(Players!$A71:$P71, MATCH(P$2, Players!$A$1:$P$1, 0)), perc_75, VLOOKUP(P$2, Percentiles!$A$45:$I$59, 6, FALSE), perc_90, VLOOKUP(P$2, Percentiles!$A$45:$I$59, 7, FALSE), perc_95, VLOOKUP(P$2, Percentiles!$A$45:$I$59, 8, FALSE), perc_85, perc_75 + (perc_90 - perc_75) * (2/3), converted_stat, '2K_Ratings'!P72, IF(bbgm_stat &gt;= perc_95, converted_stat * 3, IF(bbgm_stat &gt;= perc_90, converted_stat * 2, IF(bbgm_stat &gt;= perc_85, converted_stat * 1.5, converted_stat)))))</f>
        <v/>
      </c>
      <c r="Q72" s="30" t="str">
        <f t="array" ref="Q72">IF($A72="", "", LET(bbgm_stat, INDEX(Players!$A71:$P71, MATCH(Q$2, Players!$A$1:$P$1, 0)), perc_75, VLOOKUP(Q$2, Percentiles!$A$45:$I$59, 6, FALSE), perc_90, VLOOKUP(Q$2, Percentiles!$A$45:$I$59, 7, FALSE), perc_95, VLOOKUP(Q$2, Percentiles!$A$45:$I$59, 8, FALSE), perc_85, perc_75 + (perc_90 - perc_75) * (2/3), converted_stat, '2K_Ratings'!Q72, IF(bbgm_stat &gt;= perc_95, converted_stat * 3, IF(bbgm_stat &gt;= perc_90, converted_stat * 2, IF(bbgm_stat &gt;= perc_85, converted_stat * 1.5, converted_stat)))))</f>
        <v/>
      </c>
      <c r="R72" s="30" t="str">
        <f t="array" ref="R72">IF($A72="", "", LET(bbgm_stat, INDEX(Players!$A71:$P71, MATCH(R$2, Players!$A$1:$P$1, 0)), perc_75, VLOOKUP(R$2, Percentiles!$A$45:$I$59, 6, FALSE), perc_90, VLOOKUP(R$2, Percentiles!$A$45:$I$59, 7, FALSE), perc_95, VLOOKUP(R$2, Percentiles!$A$45:$I$59, 8, FALSE), perc_85, perc_75 + (perc_90 - perc_75) * (2/3), converted_stat, '2K_Ratings'!R72, IF(bbgm_stat &gt;= perc_95, converted_stat * 3, IF(bbgm_stat &gt;= perc_90, converted_stat * 2, IF(bbgm_stat &gt;= perc_85, converted_stat * 1.5, converted_stat)))))</f>
        <v/>
      </c>
      <c r="S72" s="30" t="str">
        <f t="array" ref="S72">IF($A72="", "", LET(bbgm_stat, INDEX(Players!$A71:$P71, MATCH(S$2, Players!$A$1:$P$1, 0)), perc_75, VLOOKUP(S$2, Percentiles!$A$45:$I$59, 6, FALSE), perc_90, VLOOKUP(S$2, Percentiles!$A$45:$I$59, 7, FALSE), perc_95, VLOOKUP(S$2, Percentiles!$A$45:$I$59, 8, FALSE), perc_85, perc_75 + (perc_90 - perc_75) * (2/3), converted_stat, '2K_Ratings'!S72, IF(bbgm_stat &gt;= perc_95, converted_stat * 3, IF(bbgm_stat &gt;= perc_90, converted_stat * 2, IF(bbgm_stat &gt;= perc_85, converted_stat * 1.5, converted_stat)))))</f>
        <v/>
      </c>
      <c r="T72" s="30" t="str">
        <f t="array" ref="T72">IF($A72="", "", LET(bbgm_stat, INDEX(Players!$A71:$P71, MATCH(T$2, Players!$A$1:$P$1, 0)), perc_75, VLOOKUP(T$2, Percentiles!$A$45:$I$59, 6, FALSE), perc_90, VLOOKUP(T$2, Percentiles!$A$45:$I$59, 7, FALSE), perc_95, VLOOKUP(T$2, Percentiles!$A$45:$I$59, 8, FALSE), perc_85, perc_75 + (perc_90 - perc_75) * (2/3), converted_stat, '2K_Ratings'!T72, IF(bbgm_stat &gt;= perc_95, converted_stat * 3, IF(bbgm_stat &gt;= perc_90, converted_stat * 2, IF(bbgm_stat &gt;= perc_85, converted_stat * 1.5, converted_stat)))))</f>
        <v/>
      </c>
      <c r="U72" s="30" t="str">
        <f t="array" ref="U72">IF($A72="", "", LET(bbgm_stat, INDEX(Players!$A71:$P71, MATCH(U$2, Players!$A$1:$P$1, 0)), perc_75, VLOOKUP(U$2, Percentiles!$A$45:$I$59, 6, FALSE), perc_90, VLOOKUP(U$2, Percentiles!$A$45:$I$59, 7, FALSE), perc_95, VLOOKUP(U$2, Percentiles!$A$45:$I$59, 8, FALSE), perc_85, perc_75 + (perc_90 - perc_75) * (2/3), converted_stat, '2K_Ratings'!U72, IF(bbgm_stat &gt;= perc_95, converted_stat * 3, IF(bbgm_stat &gt;= perc_90, converted_stat * 2, IF(bbgm_stat &gt;= perc_85, converted_stat * 1.5, converted_stat)))))</f>
        <v/>
      </c>
      <c r="V72" s="30" t="str">
        <f t="array" ref="V72">IF($A72="", "", LET(bbgm_stat, INDEX(Players!$A71:$P71, MATCH(V$2, Players!$A$1:$P$1, 0)), perc_75, VLOOKUP(V$2, Percentiles!$A$45:$I$59, 6, FALSE), perc_90, VLOOKUP(V$2, Percentiles!$A$45:$I$59, 7, FALSE), perc_95, VLOOKUP(V$2, Percentiles!$A$45:$I$59, 8, FALSE), perc_85, perc_75 + (perc_90 - perc_75) * (2/3), converted_stat, '2K_Ratings'!V72, IF(bbgm_stat &gt;= perc_95, converted_stat * 3, IF(bbgm_stat &gt;= perc_90, converted_stat * 2, IF(bbgm_stat &gt;= perc_85, converted_stat * 1.5, converted_stat)))))</f>
        <v/>
      </c>
      <c r="W72" s="30" t="str">
        <f t="array" ref="W72">IF($A72="", "", LET(bbgm_stat, INDEX(Players!$A71:$P71, MATCH(W$2, Players!$A$1:$P$1, 0)), perc_75, VLOOKUP(W$2, Percentiles!$A$45:$I$59, 6, FALSE), perc_90, VLOOKUP(W$2, Percentiles!$A$45:$I$59, 7, FALSE), perc_95, VLOOKUP(W$2, Percentiles!$A$45:$I$59, 8, FALSE), perc_85, perc_75 + (perc_90 - perc_75) * (2/3), converted_stat, '2K_Ratings'!W72, IF(bbgm_stat &gt;= perc_95, converted_stat * 3, IF(bbgm_stat &gt;= perc_90, converted_stat * 2, IF(bbgm_stat &gt;= perc_85, converted_stat * 1.5, converted_stat)))))</f>
        <v/>
      </c>
    </row>
    <row r="73">
      <c r="A73" s="30" t="str">
        <f>IF(Players!A72="", "", Players!A72)</f>
        <v/>
      </c>
      <c r="B73" s="30" t="str">
        <f t="array" ref="B73">IF($A73="", "", LET(bbgm_stat, INDEX(Players!$A72:$P72, MATCH(B$2, Players!$A$1:$P$1, 0)), perc_75, VLOOKUP(B$2, Percentiles!$A$45:$I$59, 6, FALSE), perc_90, VLOOKUP(B$2, Percentiles!$A$45:$I$59, 7, FALSE), perc_95, VLOOKUP(B$2, Percentiles!$A$45:$I$59, 8, FALSE), perc_85, perc_75 + (perc_90 - perc_75) * (2/3), converted_stat, '2K_Ratings'!B73, IF(bbgm_stat &gt;= perc_95, converted_stat * 3, IF(bbgm_stat &gt;= perc_90, converted_stat * 2, IF(bbgm_stat &gt;= perc_85, converted_stat * 1.5, converted_stat)))))</f>
        <v/>
      </c>
      <c r="C73" s="30" t="str">
        <f t="array" ref="C73">IF($A73="", "", LET(bbgm_stat, INDEX(Players!$A72:$P72, MATCH(C$2, Players!$A$1:$P$1, 0)), perc_75, VLOOKUP(C$2, Percentiles!$A$45:$I$59, 6, FALSE), perc_90, VLOOKUP(C$2, Percentiles!$A$45:$I$59, 7, FALSE), perc_95, VLOOKUP(C$2, Percentiles!$A$45:$I$59, 8, FALSE), perc_85, perc_75 + (perc_90 - perc_75) * (2/3), converted_stat, '2K_Ratings'!C73, IF(bbgm_stat &gt;= perc_95, converted_stat * 3, IF(bbgm_stat &gt;= perc_90, converted_stat * 2, IF(bbgm_stat &gt;= perc_85, converted_stat * 1.5, converted_stat)))))</f>
        <v/>
      </c>
      <c r="D73" s="30" t="str">
        <f t="array" ref="D73">IF($A73="", "", LET(bbgm_stat, INDEX(Players!$A72:$P72, MATCH(D$2, Players!$A$1:$P$1, 0)), perc_75, VLOOKUP(D$2, Percentiles!$A$45:$I$59, 6, FALSE), perc_90, VLOOKUP(D$2, Percentiles!$A$45:$I$59, 7, FALSE), perc_95, VLOOKUP(D$2, Percentiles!$A$45:$I$59, 8, FALSE), perc_85, perc_75 + (perc_90 - perc_75) * (2/3), converted_stat, '2K_Ratings'!D73, IF(bbgm_stat &gt;= perc_95, converted_stat * 3, IF(bbgm_stat &gt;= perc_90, converted_stat * 2, IF(bbgm_stat &gt;= perc_85, converted_stat * 1.5, converted_stat)))))</f>
        <v/>
      </c>
      <c r="E73" s="30" t="str">
        <f t="array" ref="E73">IF($A73="", "", LET(bbgm_stat, INDEX(Players!$A72:$P72, MATCH(E$2, Players!$A$1:$P$1, 0)), perc_75, VLOOKUP(E$2, Percentiles!$A$45:$I$59, 6, FALSE), perc_90, VLOOKUP(E$2, Percentiles!$A$45:$I$59, 7, FALSE), perc_95, VLOOKUP(E$2, Percentiles!$A$45:$I$59, 8, FALSE), perc_85, perc_75 + (perc_90 - perc_75) * (2/3), converted_stat, '2K_Ratings'!E73, IF(bbgm_stat &gt;= perc_95, converted_stat * 3, IF(bbgm_stat &gt;= perc_90, converted_stat * 2, IF(bbgm_stat &gt;= perc_85, converted_stat * 1.5, converted_stat)))))</f>
        <v/>
      </c>
      <c r="F73" s="30" t="str">
        <f t="array" ref="F73">IF($A73="", "", LET(bbgm_stat, INDEX(Players!$A72:$P72, MATCH(F$2, Players!$A$1:$P$1, 0)), perc_75, VLOOKUP(F$2, Percentiles!$A$45:$I$59, 6, FALSE), perc_90, VLOOKUP(F$2, Percentiles!$A$45:$I$59, 7, FALSE), perc_95, VLOOKUP(F$2, Percentiles!$A$45:$I$59, 8, FALSE), perc_85, perc_75 + (perc_90 - perc_75) * (2/3), converted_stat, '2K_Ratings'!F73, IF(bbgm_stat &gt;= perc_95, converted_stat * 3, IF(bbgm_stat &gt;= perc_90, converted_stat * 2, IF(bbgm_stat &gt;= perc_85, converted_stat * 1.5, converted_stat)))))</f>
        <v/>
      </c>
      <c r="G73" s="30" t="str">
        <f t="array" ref="G73">IF($A73="", "", LET(bbgm_stat, INDEX(Players!$A72:$P72, MATCH(G$2, Players!$A$1:$P$1, 0)), perc_75, VLOOKUP(G$2, Percentiles!$A$45:$I$59, 6, FALSE), perc_90, VLOOKUP(G$2, Percentiles!$A$45:$I$59, 7, FALSE), perc_95, VLOOKUP(G$2, Percentiles!$A$45:$I$59, 8, FALSE), perc_85, perc_75 + (perc_90 - perc_75) * (2/3), converted_stat, '2K_Ratings'!G73, IF(bbgm_stat &gt;= perc_95, converted_stat * 3, IF(bbgm_stat &gt;= perc_90, converted_stat * 2, IF(bbgm_stat &gt;= perc_85, converted_stat * 1.5, converted_stat)))))</f>
        <v/>
      </c>
      <c r="H73" s="30" t="str">
        <f t="array" ref="H73">IF($A73="", "", LET(bbgm_stat, INDEX(Players!$A72:$P72, MATCH(H$2, Players!$A$1:$P$1, 0)), perc_75, VLOOKUP(H$2, Percentiles!$A$45:$I$59, 6, FALSE), perc_90, VLOOKUP(H$2, Percentiles!$A$45:$I$59, 7, FALSE), perc_95, VLOOKUP(H$2, Percentiles!$A$45:$I$59, 8, FALSE), perc_85, perc_75 + (perc_90 - perc_75) * (2/3), converted_stat, '2K_Ratings'!H73, IF(bbgm_stat &gt;= perc_95, converted_stat * 3, IF(bbgm_stat &gt;= perc_90, converted_stat * 2, IF(bbgm_stat &gt;= perc_85, converted_stat * 1.5, converted_stat)))))</f>
        <v/>
      </c>
      <c r="I73" s="30" t="str">
        <f t="array" ref="I73">IF($A73="", "", LET(bbgm_stat, INDEX(Players!$A72:$P72, MATCH(I$2, Players!$A$1:$P$1, 0)), perc_75, VLOOKUP(I$2, Percentiles!$A$45:$I$59, 6, FALSE), perc_90, VLOOKUP(I$2, Percentiles!$A$45:$I$59, 7, FALSE), perc_95, VLOOKUP(I$2, Percentiles!$A$45:$I$59, 8, FALSE), perc_85, perc_75 + (perc_90 - perc_75) * (2/3), converted_stat, '2K_Ratings'!I73, IF(bbgm_stat &gt;= perc_95, converted_stat * 3, IF(bbgm_stat &gt;= perc_90, converted_stat * 2, IF(bbgm_stat &gt;= perc_85, converted_stat * 1.5, converted_stat)))))</f>
        <v/>
      </c>
      <c r="J73" s="30" t="str">
        <f t="array" ref="J73">IF($A73="", "", LET(bbgm_stat, INDEX(Players!$A72:$P72, MATCH(J$2, Players!$A$1:$P$1, 0)), perc_75, VLOOKUP(J$2, Percentiles!$A$45:$I$59, 6, FALSE), perc_90, VLOOKUP(J$2, Percentiles!$A$45:$I$59, 7, FALSE), perc_95, VLOOKUP(J$2, Percentiles!$A$45:$I$59, 8, FALSE), perc_85, perc_75 + (perc_90 - perc_75) * (2/3), converted_stat, '2K_Ratings'!J73, IF(bbgm_stat &gt;= perc_95, converted_stat * 3, IF(bbgm_stat &gt;= perc_90, converted_stat * 2, IF(bbgm_stat &gt;= perc_85, converted_stat * 1.5, converted_stat)))))</f>
        <v/>
      </c>
      <c r="K73" s="30" t="str">
        <f t="array" ref="K73">IF($A73="", "", LET(bbgm_stat, INDEX(Players!$A72:$P72, MATCH(K$2, Players!$A$1:$P$1, 0)), perc_75, VLOOKUP(K$2, Percentiles!$A$45:$I$59, 6, FALSE), perc_90, VLOOKUP(K$2, Percentiles!$A$45:$I$59, 7, FALSE), perc_95, VLOOKUP(K$2, Percentiles!$A$45:$I$59, 8, FALSE), perc_85, perc_75 + (perc_90 - perc_75) * (2/3), converted_stat, '2K_Ratings'!K73, IF(bbgm_stat &gt;= perc_95, converted_stat * 3, IF(bbgm_stat &gt;= perc_90, converted_stat * 2, IF(bbgm_stat &gt;= perc_85, converted_stat * 1.5, converted_stat)))))</f>
        <v/>
      </c>
      <c r="L73" s="30" t="str">
        <f t="array" ref="L73">IF($A73="", "", LET(bbgm_stat, INDEX(Players!$A72:$P72, MATCH(L$2, Players!$A$1:$P$1, 0)), perc_75, VLOOKUP(L$2, Percentiles!$A$45:$I$59, 6, FALSE), perc_90, VLOOKUP(L$2, Percentiles!$A$45:$I$59, 7, FALSE), perc_95, VLOOKUP(L$2, Percentiles!$A$45:$I$59, 8, FALSE), perc_85, perc_75 + (perc_90 - perc_75) * (2/3), converted_stat, '2K_Ratings'!L73, IF(bbgm_stat &gt;= perc_95, converted_stat * 3, IF(bbgm_stat &gt;= perc_90, converted_stat * 2, IF(bbgm_stat &gt;= perc_85, converted_stat * 1.5, converted_stat)))))</f>
        <v/>
      </c>
      <c r="M73" s="30" t="str">
        <f t="array" ref="M73">IF($A73="", "", LET(bbgm_stat, INDEX(Players!$A72:$P72, MATCH(M$2, Players!$A$1:$P$1, 0)), perc_75, VLOOKUP(M$2, Percentiles!$A$45:$I$59, 6, FALSE), perc_90, VLOOKUP(M$2, Percentiles!$A$45:$I$59, 7, FALSE), perc_95, VLOOKUP(M$2, Percentiles!$A$45:$I$59, 8, FALSE), perc_85, perc_75 + (perc_90 - perc_75) * (2/3), converted_stat, '2K_Ratings'!M73, IF(bbgm_stat &gt;= perc_95, converted_stat * 3, IF(bbgm_stat &gt;= perc_90, converted_stat * 2, IF(bbgm_stat &gt;= perc_85, converted_stat * 1.5, converted_stat)))))</f>
        <v/>
      </c>
      <c r="N73" s="30" t="str">
        <f t="array" ref="N73">IF($A73="", "", LET(bbgm_stat, INDEX(Players!$A72:$P72, MATCH(N$2, Players!$A$1:$P$1, 0)), perc_75, VLOOKUP(N$2, Percentiles!$A$45:$I$59, 6, FALSE), perc_90, VLOOKUP(N$2, Percentiles!$A$45:$I$59, 7, FALSE), perc_95, VLOOKUP(N$2, Percentiles!$A$45:$I$59, 8, FALSE), perc_85, perc_75 + (perc_90 - perc_75) * (2/3), converted_stat, '2K_Ratings'!N73, IF(bbgm_stat &gt;= perc_95, converted_stat * 3, IF(bbgm_stat &gt;= perc_90, converted_stat * 2, IF(bbgm_stat &gt;= perc_85, converted_stat * 1.5, converted_stat)))))</f>
        <v/>
      </c>
      <c r="O73" s="30" t="str">
        <f t="array" ref="O73">IF($A73="", "", LET(bbgm_stat, INDEX(Players!$A72:$P72, MATCH(O$2, Players!$A$1:$P$1, 0)), perc_75, VLOOKUP(O$2, Percentiles!$A$45:$I$59, 6, FALSE), perc_90, VLOOKUP(O$2, Percentiles!$A$45:$I$59, 7, FALSE), perc_95, VLOOKUP(O$2, Percentiles!$A$45:$I$59, 8, FALSE), perc_85, perc_75 + (perc_90 - perc_75) * (2/3), converted_stat, '2K_Ratings'!O73, IF(bbgm_stat &gt;= perc_95, converted_stat * 3, IF(bbgm_stat &gt;= perc_90, converted_stat * 2, IF(bbgm_stat &gt;= perc_85, converted_stat * 1.5, converted_stat)))))</f>
        <v/>
      </c>
      <c r="P73" s="30" t="str">
        <f t="array" ref="P73">IF($A73="", "", LET(bbgm_stat, INDEX(Players!$A72:$P72, MATCH(P$2, Players!$A$1:$P$1, 0)), perc_75, VLOOKUP(P$2, Percentiles!$A$45:$I$59, 6, FALSE), perc_90, VLOOKUP(P$2, Percentiles!$A$45:$I$59, 7, FALSE), perc_95, VLOOKUP(P$2, Percentiles!$A$45:$I$59, 8, FALSE), perc_85, perc_75 + (perc_90 - perc_75) * (2/3), converted_stat, '2K_Ratings'!P73, IF(bbgm_stat &gt;= perc_95, converted_stat * 3, IF(bbgm_stat &gt;= perc_90, converted_stat * 2, IF(bbgm_stat &gt;= perc_85, converted_stat * 1.5, converted_stat)))))</f>
        <v/>
      </c>
      <c r="Q73" s="30" t="str">
        <f t="array" ref="Q73">IF($A73="", "", LET(bbgm_stat, INDEX(Players!$A72:$P72, MATCH(Q$2, Players!$A$1:$P$1, 0)), perc_75, VLOOKUP(Q$2, Percentiles!$A$45:$I$59, 6, FALSE), perc_90, VLOOKUP(Q$2, Percentiles!$A$45:$I$59, 7, FALSE), perc_95, VLOOKUP(Q$2, Percentiles!$A$45:$I$59, 8, FALSE), perc_85, perc_75 + (perc_90 - perc_75) * (2/3), converted_stat, '2K_Ratings'!Q73, IF(bbgm_stat &gt;= perc_95, converted_stat * 3, IF(bbgm_stat &gt;= perc_90, converted_stat * 2, IF(bbgm_stat &gt;= perc_85, converted_stat * 1.5, converted_stat)))))</f>
        <v/>
      </c>
      <c r="R73" s="30" t="str">
        <f t="array" ref="R73">IF($A73="", "", LET(bbgm_stat, INDEX(Players!$A72:$P72, MATCH(R$2, Players!$A$1:$P$1, 0)), perc_75, VLOOKUP(R$2, Percentiles!$A$45:$I$59, 6, FALSE), perc_90, VLOOKUP(R$2, Percentiles!$A$45:$I$59, 7, FALSE), perc_95, VLOOKUP(R$2, Percentiles!$A$45:$I$59, 8, FALSE), perc_85, perc_75 + (perc_90 - perc_75) * (2/3), converted_stat, '2K_Ratings'!R73, IF(bbgm_stat &gt;= perc_95, converted_stat * 3, IF(bbgm_stat &gt;= perc_90, converted_stat * 2, IF(bbgm_stat &gt;= perc_85, converted_stat * 1.5, converted_stat)))))</f>
        <v/>
      </c>
      <c r="S73" s="30" t="str">
        <f t="array" ref="S73">IF($A73="", "", LET(bbgm_stat, INDEX(Players!$A72:$P72, MATCH(S$2, Players!$A$1:$P$1, 0)), perc_75, VLOOKUP(S$2, Percentiles!$A$45:$I$59, 6, FALSE), perc_90, VLOOKUP(S$2, Percentiles!$A$45:$I$59, 7, FALSE), perc_95, VLOOKUP(S$2, Percentiles!$A$45:$I$59, 8, FALSE), perc_85, perc_75 + (perc_90 - perc_75) * (2/3), converted_stat, '2K_Ratings'!S73, IF(bbgm_stat &gt;= perc_95, converted_stat * 3, IF(bbgm_stat &gt;= perc_90, converted_stat * 2, IF(bbgm_stat &gt;= perc_85, converted_stat * 1.5, converted_stat)))))</f>
        <v/>
      </c>
      <c r="T73" s="30" t="str">
        <f t="array" ref="T73">IF($A73="", "", LET(bbgm_stat, INDEX(Players!$A72:$P72, MATCH(T$2, Players!$A$1:$P$1, 0)), perc_75, VLOOKUP(T$2, Percentiles!$A$45:$I$59, 6, FALSE), perc_90, VLOOKUP(T$2, Percentiles!$A$45:$I$59, 7, FALSE), perc_95, VLOOKUP(T$2, Percentiles!$A$45:$I$59, 8, FALSE), perc_85, perc_75 + (perc_90 - perc_75) * (2/3), converted_stat, '2K_Ratings'!T73, IF(bbgm_stat &gt;= perc_95, converted_stat * 3, IF(bbgm_stat &gt;= perc_90, converted_stat * 2, IF(bbgm_stat &gt;= perc_85, converted_stat * 1.5, converted_stat)))))</f>
        <v/>
      </c>
      <c r="U73" s="30" t="str">
        <f t="array" ref="U73">IF($A73="", "", LET(bbgm_stat, INDEX(Players!$A72:$P72, MATCH(U$2, Players!$A$1:$P$1, 0)), perc_75, VLOOKUP(U$2, Percentiles!$A$45:$I$59, 6, FALSE), perc_90, VLOOKUP(U$2, Percentiles!$A$45:$I$59, 7, FALSE), perc_95, VLOOKUP(U$2, Percentiles!$A$45:$I$59, 8, FALSE), perc_85, perc_75 + (perc_90 - perc_75) * (2/3), converted_stat, '2K_Ratings'!U73, IF(bbgm_stat &gt;= perc_95, converted_stat * 3, IF(bbgm_stat &gt;= perc_90, converted_stat * 2, IF(bbgm_stat &gt;= perc_85, converted_stat * 1.5, converted_stat)))))</f>
        <v/>
      </c>
      <c r="V73" s="30" t="str">
        <f t="array" ref="V73">IF($A73="", "", LET(bbgm_stat, INDEX(Players!$A72:$P72, MATCH(V$2, Players!$A$1:$P$1, 0)), perc_75, VLOOKUP(V$2, Percentiles!$A$45:$I$59, 6, FALSE), perc_90, VLOOKUP(V$2, Percentiles!$A$45:$I$59, 7, FALSE), perc_95, VLOOKUP(V$2, Percentiles!$A$45:$I$59, 8, FALSE), perc_85, perc_75 + (perc_90 - perc_75) * (2/3), converted_stat, '2K_Ratings'!V73, IF(bbgm_stat &gt;= perc_95, converted_stat * 3, IF(bbgm_stat &gt;= perc_90, converted_stat * 2, IF(bbgm_stat &gt;= perc_85, converted_stat * 1.5, converted_stat)))))</f>
        <v/>
      </c>
      <c r="W73" s="30" t="str">
        <f t="array" ref="W73">IF($A73="", "", LET(bbgm_stat, INDEX(Players!$A72:$P72, MATCH(W$2, Players!$A$1:$P$1, 0)), perc_75, VLOOKUP(W$2, Percentiles!$A$45:$I$59, 6, FALSE), perc_90, VLOOKUP(W$2, Percentiles!$A$45:$I$59, 7, FALSE), perc_95, VLOOKUP(W$2, Percentiles!$A$45:$I$59, 8, FALSE), perc_85, perc_75 + (perc_90 - perc_75) * (2/3), converted_stat, '2K_Ratings'!W73, IF(bbgm_stat &gt;= perc_95, converted_stat * 3, IF(bbgm_stat &gt;= perc_90, converted_stat * 2, IF(bbgm_stat &gt;= perc_85, converted_stat * 1.5, converted_stat)))))</f>
        <v/>
      </c>
    </row>
    <row r="74">
      <c r="A74" s="30" t="str">
        <f>IF(Players!A73="", "", Players!A73)</f>
        <v/>
      </c>
      <c r="B74" s="30" t="str">
        <f t="array" ref="B74">IF($A74="", "", LET(bbgm_stat, INDEX(Players!$A73:$P73, MATCH(B$2, Players!$A$1:$P$1, 0)), perc_75, VLOOKUP(B$2, Percentiles!$A$45:$I$59, 6, FALSE), perc_90, VLOOKUP(B$2, Percentiles!$A$45:$I$59, 7, FALSE), perc_95, VLOOKUP(B$2, Percentiles!$A$45:$I$59, 8, FALSE), perc_85, perc_75 + (perc_90 - perc_75) * (2/3), converted_stat, '2K_Ratings'!B74, IF(bbgm_stat &gt;= perc_95, converted_stat * 3, IF(bbgm_stat &gt;= perc_90, converted_stat * 2, IF(bbgm_stat &gt;= perc_85, converted_stat * 1.5, converted_stat)))))</f>
        <v/>
      </c>
      <c r="C74" s="30" t="str">
        <f t="array" ref="C74">IF($A74="", "", LET(bbgm_stat, INDEX(Players!$A73:$P73, MATCH(C$2, Players!$A$1:$P$1, 0)), perc_75, VLOOKUP(C$2, Percentiles!$A$45:$I$59, 6, FALSE), perc_90, VLOOKUP(C$2, Percentiles!$A$45:$I$59, 7, FALSE), perc_95, VLOOKUP(C$2, Percentiles!$A$45:$I$59, 8, FALSE), perc_85, perc_75 + (perc_90 - perc_75) * (2/3), converted_stat, '2K_Ratings'!C74, IF(bbgm_stat &gt;= perc_95, converted_stat * 3, IF(bbgm_stat &gt;= perc_90, converted_stat * 2, IF(bbgm_stat &gt;= perc_85, converted_stat * 1.5, converted_stat)))))</f>
        <v/>
      </c>
      <c r="D74" s="30" t="str">
        <f t="array" ref="D74">IF($A74="", "", LET(bbgm_stat, INDEX(Players!$A73:$P73, MATCH(D$2, Players!$A$1:$P$1, 0)), perc_75, VLOOKUP(D$2, Percentiles!$A$45:$I$59, 6, FALSE), perc_90, VLOOKUP(D$2, Percentiles!$A$45:$I$59, 7, FALSE), perc_95, VLOOKUP(D$2, Percentiles!$A$45:$I$59, 8, FALSE), perc_85, perc_75 + (perc_90 - perc_75) * (2/3), converted_stat, '2K_Ratings'!D74, IF(bbgm_stat &gt;= perc_95, converted_stat * 3, IF(bbgm_stat &gt;= perc_90, converted_stat * 2, IF(bbgm_stat &gt;= perc_85, converted_stat * 1.5, converted_stat)))))</f>
        <v/>
      </c>
      <c r="E74" s="30" t="str">
        <f t="array" ref="E74">IF($A74="", "", LET(bbgm_stat, INDEX(Players!$A73:$P73, MATCH(E$2, Players!$A$1:$P$1, 0)), perc_75, VLOOKUP(E$2, Percentiles!$A$45:$I$59, 6, FALSE), perc_90, VLOOKUP(E$2, Percentiles!$A$45:$I$59, 7, FALSE), perc_95, VLOOKUP(E$2, Percentiles!$A$45:$I$59, 8, FALSE), perc_85, perc_75 + (perc_90 - perc_75) * (2/3), converted_stat, '2K_Ratings'!E74, IF(bbgm_stat &gt;= perc_95, converted_stat * 3, IF(bbgm_stat &gt;= perc_90, converted_stat * 2, IF(bbgm_stat &gt;= perc_85, converted_stat * 1.5, converted_stat)))))</f>
        <v/>
      </c>
      <c r="F74" s="30" t="str">
        <f t="array" ref="F74">IF($A74="", "", LET(bbgm_stat, INDEX(Players!$A73:$P73, MATCH(F$2, Players!$A$1:$P$1, 0)), perc_75, VLOOKUP(F$2, Percentiles!$A$45:$I$59, 6, FALSE), perc_90, VLOOKUP(F$2, Percentiles!$A$45:$I$59, 7, FALSE), perc_95, VLOOKUP(F$2, Percentiles!$A$45:$I$59, 8, FALSE), perc_85, perc_75 + (perc_90 - perc_75) * (2/3), converted_stat, '2K_Ratings'!F74, IF(bbgm_stat &gt;= perc_95, converted_stat * 3, IF(bbgm_stat &gt;= perc_90, converted_stat * 2, IF(bbgm_stat &gt;= perc_85, converted_stat * 1.5, converted_stat)))))</f>
        <v/>
      </c>
      <c r="G74" s="30" t="str">
        <f t="array" ref="G74">IF($A74="", "", LET(bbgm_stat, INDEX(Players!$A73:$P73, MATCH(G$2, Players!$A$1:$P$1, 0)), perc_75, VLOOKUP(G$2, Percentiles!$A$45:$I$59, 6, FALSE), perc_90, VLOOKUP(G$2, Percentiles!$A$45:$I$59, 7, FALSE), perc_95, VLOOKUP(G$2, Percentiles!$A$45:$I$59, 8, FALSE), perc_85, perc_75 + (perc_90 - perc_75) * (2/3), converted_stat, '2K_Ratings'!G74, IF(bbgm_stat &gt;= perc_95, converted_stat * 3, IF(bbgm_stat &gt;= perc_90, converted_stat * 2, IF(bbgm_stat &gt;= perc_85, converted_stat * 1.5, converted_stat)))))</f>
        <v/>
      </c>
      <c r="H74" s="30" t="str">
        <f t="array" ref="H74">IF($A74="", "", LET(bbgm_stat, INDEX(Players!$A73:$P73, MATCH(H$2, Players!$A$1:$P$1, 0)), perc_75, VLOOKUP(H$2, Percentiles!$A$45:$I$59, 6, FALSE), perc_90, VLOOKUP(H$2, Percentiles!$A$45:$I$59, 7, FALSE), perc_95, VLOOKUP(H$2, Percentiles!$A$45:$I$59, 8, FALSE), perc_85, perc_75 + (perc_90 - perc_75) * (2/3), converted_stat, '2K_Ratings'!H74, IF(bbgm_stat &gt;= perc_95, converted_stat * 3, IF(bbgm_stat &gt;= perc_90, converted_stat * 2, IF(bbgm_stat &gt;= perc_85, converted_stat * 1.5, converted_stat)))))</f>
        <v/>
      </c>
      <c r="I74" s="30" t="str">
        <f t="array" ref="I74">IF($A74="", "", LET(bbgm_stat, INDEX(Players!$A73:$P73, MATCH(I$2, Players!$A$1:$P$1, 0)), perc_75, VLOOKUP(I$2, Percentiles!$A$45:$I$59, 6, FALSE), perc_90, VLOOKUP(I$2, Percentiles!$A$45:$I$59, 7, FALSE), perc_95, VLOOKUP(I$2, Percentiles!$A$45:$I$59, 8, FALSE), perc_85, perc_75 + (perc_90 - perc_75) * (2/3), converted_stat, '2K_Ratings'!I74, IF(bbgm_stat &gt;= perc_95, converted_stat * 3, IF(bbgm_stat &gt;= perc_90, converted_stat * 2, IF(bbgm_stat &gt;= perc_85, converted_stat * 1.5, converted_stat)))))</f>
        <v/>
      </c>
      <c r="J74" s="30" t="str">
        <f t="array" ref="J74">IF($A74="", "", LET(bbgm_stat, INDEX(Players!$A73:$P73, MATCH(J$2, Players!$A$1:$P$1, 0)), perc_75, VLOOKUP(J$2, Percentiles!$A$45:$I$59, 6, FALSE), perc_90, VLOOKUP(J$2, Percentiles!$A$45:$I$59, 7, FALSE), perc_95, VLOOKUP(J$2, Percentiles!$A$45:$I$59, 8, FALSE), perc_85, perc_75 + (perc_90 - perc_75) * (2/3), converted_stat, '2K_Ratings'!J74, IF(bbgm_stat &gt;= perc_95, converted_stat * 3, IF(bbgm_stat &gt;= perc_90, converted_stat * 2, IF(bbgm_stat &gt;= perc_85, converted_stat * 1.5, converted_stat)))))</f>
        <v/>
      </c>
      <c r="K74" s="30" t="str">
        <f t="array" ref="K74">IF($A74="", "", LET(bbgm_stat, INDEX(Players!$A73:$P73, MATCH(K$2, Players!$A$1:$P$1, 0)), perc_75, VLOOKUP(K$2, Percentiles!$A$45:$I$59, 6, FALSE), perc_90, VLOOKUP(K$2, Percentiles!$A$45:$I$59, 7, FALSE), perc_95, VLOOKUP(K$2, Percentiles!$A$45:$I$59, 8, FALSE), perc_85, perc_75 + (perc_90 - perc_75) * (2/3), converted_stat, '2K_Ratings'!K74, IF(bbgm_stat &gt;= perc_95, converted_stat * 3, IF(bbgm_stat &gt;= perc_90, converted_stat * 2, IF(bbgm_stat &gt;= perc_85, converted_stat * 1.5, converted_stat)))))</f>
        <v/>
      </c>
      <c r="L74" s="30" t="str">
        <f t="array" ref="L74">IF($A74="", "", LET(bbgm_stat, INDEX(Players!$A73:$P73, MATCH(L$2, Players!$A$1:$P$1, 0)), perc_75, VLOOKUP(L$2, Percentiles!$A$45:$I$59, 6, FALSE), perc_90, VLOOKUP(L$2, Percentiles!$A$45:$I$59, 7, FALSE), perc_95, VLOOKUP(L$2, Percentiles!$A$45:$I$59, 8, FALSE), perc_85, perc_75 + (perc_90 - perc_75) * (2/3), converted_stat, '2K_Ratings'!L74, IF(bbgm_stat &gt;= perc_95, converted_stat * 3, IF(bbgm_stat &gt;= perc_90, converted_stat * 2, IF(bbgm_stat &gt;= perc_85, converted_stat * 1.5, converted_stat)))))</f>
        <v/>
      </c>
      <c r="M74" s="30" t="str">
        <f t="array" ref="M74">IF($A74="", "", LET(bbgm_stat, INDEX(Players!$A73:$P73, MATCH(M$2, Players!$A$1:$P$1, 0)), perc_75, VLOOKUP(M$2, Percentiles!$A$45:$I$59, 6, FALSE), perc_90, VLOOKUP(M$2, Percentiles!$A$45:$I$59, 7, FALSE), perc_95, VLOOKUP(M$2, Percentiles!$A$45:$I$59, 8, FALSE), perc_85, perc_75 + (perc_90 - perc_75) * (2/3), converted_stat, '2K_Ratings'!M74, IF(bbgm_stat &gt;= perc_95, converted_stat * 3, IF(bbgm_stat &gt;= perc_90, converted_stat * 2, IF(bbgm_stat &gt;= perc_85, converted_stat * 1.5, converted_stat)))))</f>
        <v/>
      </c>
      <c r="N74" s="30" t="str">
        <f t="array" ref="N74">IF($A74="", "", LET(bbgm_stat, INDEX(Players!$A73:$P73, MATCH(N$2, Players!$A$1:$P$1, 0)), perc_75, VLOOKUP(N$2, Percentiles!$A$45:$I$59, 6, FALSE), perc_90, VLOOKUP(N$2, Percentiles!$A$45:$I$59, 7, FALSE), perc_95, VLOOKUP(N$2, Percentiles!$A$45:$I$59, 8, FALSE), perc_85, perc_75 + (perc_90 - perc_75) * (2/3), converted_stat, '2K_Ratings'!N74, IF(bbgm_stat &gt;= perc_95, converted_stat * 3, IF(bbgm_stat &gt;= perc_90, converted_stat * 2, IF(bbgm_stat &gt;= perc_85, converted_stat * 1.5, converted_stat)))))</f>
        <v/>
      </c>
      <c r="O74" s="30" t="str">
        <f t="array" ref="O74">IF($A74="", "", LET(bbgm_stat, INDEX(Players!$A73:$P73, MATCH(O$2, Players!$A$1:$P$1, 0)), perc_75, VLOOKUP(O$2, Percentiles!$A$45:$I$59, 6, FALSE), perc_90, VLOOKUP(O$2, Percentiles!$A$45:$I$59, 7, FALSE), perc_95, VLOOKUP(O$2, Percentiles!$A$45:$I$59, 8, FALSE), perc_85, perc_75 + (perc_90 - perc_75) * (2/3), converted_stat, '2K_Ratings'!O74, IF(bbgm_stat &gt;= perc_95, converted_stat * 3, IF(bbgm_stat &gt;= perc_90, converted_stat * 2, IF(bbgm_stat &gt;= perc_85, converted_stat * 1.5, converted_stat)))))</f>
        <v/>
      </c>
      <c r="P74" s="30" t="str">
        <f t="array" ref="P74">IF($A74="", "", LET(bbgm_stat, INDEX(Players!$A73:$P73, MATCH(P$2, Players!$A$1:$P$1, 0)), perc_75, VLOOKUP(P$2, Percentiles!$A$45:$I$59, 6, FALSE), perc_90, VLOOKUP(P$2, Percentiles!$A$45:$I$59, 7, FALSE), perc_95, VLOOKUP(P$2, Percentiles!$A$45:$I$59, 8, FALSE), perc_85, perc_75 + (perc_90 - perc_75) * (2/3), converted_stat, '2K_Ratings'!P74, IF(bbgm_stat &gt;= perc_95, converted_stat * 3, IF(bbgm_stat &gt;= perc_90, converted_stat * 2, IF(bbgm_stat &gt;= perc_85, converted_stat * 1.5, converted_stat)))))</f>
        <v/>
      </c>
      <c r="Q74" s="30" t="str">
        <f t="array" ref="Q74">IF($A74="", "", LET(bbgm_stat, INDEX(Players!$A73:$P73, MATCH(Q$2, Players!$A$1:$P$1, 0)), perc_75, VLOOKUP(Q$2, Percentiles!$A$45:$I$59, 6, FALSE), perc_90, VLOOKUP(Q$2, Percentiles!$A$45:$I$59, 7, FALSE), perc_95, VLOOKUP(Q$2, Percentiles!$A$45:$I$59, 8, FALSE), perc_85, perc_75 + (perc_90 - perc_75) * (2/3), converted_stat, '2K_Ratings'!Q74, IF(bbgm_stat &gt;= perc_95, converted_stat * 3, IF(bbgm_stat &gt;= perc_90, converted_stat * 2, IF(bbgm_stat &gt;= perc_85, converted_stat * 1.5, converted_stat)))))</f>
        <v/>
      </c>
      <c r="R74" s="30" t="str">
        <f t="array" ref="R74">IF($A74="", "", LET(bbgm_stat, INDEX(Players!$A73:$P73, MATCH(R$2, Players!$A$1:$P$1, 0)), perc_75, VLOOKUP(R$2, Percentiles!$A$45:$I$59, 6, FALSE), perc_90, VLOOKUP(R$2, Percentiles!$A$45:$I$59, 7, FALSE), perc_95, VLOOKUP(R$2, Percentiles!$A$45:$I$59, 8, FALSE), perc_85, perc_75 + (perc_90 - perc_75) * (2/3), converted_stat, '2K_Ratings'!R74, IF(bbgm_stat &gt;= perc_95, converted_stat * 3, IF(bbgm_stat &gt;= perc_90, converted_stat * 2, IF(bbgm_stat &gt;= perc_85, converted_stat * 1.5, converted_stat)))))</f>
        <v/>
      </c>
      <c r="S74" s="30" t="str">
        <f t="array" ref="S74">IF($A74="", "", LET(bbgm_stat, INDEX(Players!$A73:$P73, MATCH(S$2, Players!$A$1:$P$1, 0)), perc_75, VLOOKUP(S$2, Percentiles!$A$45:$I$59, 6, FALSE), perc_90, VLOOKUP(S$2, Percentiles!$A$45:$I$59, 7, FALSE), perc_95, VLOOKUP(S$2, Percentiles!$A$45:$I$59, 8, FALSE), perc_85, perc_75 + (perc_90 - perc_75) * (2/3), converted_stat, '2K_Ratings'!S74, IF(bbgm_stat &gt;= perc_95, converted_stat * 3, IF(bbgm_stat &gt;= perc_90, converted_stat * 2, IF(bbgm_stat &gt;= perc_85, converted_stat * 1.5, converted_stat)))))</f>
        <v/>
      </c>
      <c r="T74" s="30" t="str">
        <f t="array" ref="T74">IF($A74="", "", LET(bbgm_stat, INDEX(Players!$A73:$P73, MATCH(T$2, Players!$A$1:$P$1, 0)), perc_75, VLOOKUP(T$2, Percentiles!$A$45:$I$59, 6, FALSE), perc_90, VLOOKUP(T$2, Percentiles!$A$45:$I$59, 7, FALSE), perc_95, VLOOKUP(T$2, Percentiles!$A$45:$I$59, 8, FALSE), perc_85, perc_75 + (perc_90 - perc_75) * (2/3), converted_stat, '2K_Ratings'!T74, IF(bbgm_stat &gt;= perc_95, converted_stat * 3, IF(bbgm_stat &gt;= perc_90, converted_stat * 2, IF(bbgm_stat &gt;= perc_85, converted_stat * 1.5, converted_stat)))))</f>
        <v/>
      </c>
      <c r="U74" s="30" t="str">
        <f t="array" ref="U74">IF($A74="", "", LET(bbgm_stat, INDEX(Players!$A73:$P73, MATCH(U$2, Players!$A$1:$P$1, 0)), perc_75, VLOOKUP(U$2, Percentiles!$A$45:$I$59, 6, FALSE), perc_90, VLOOKUP(U$2, Percentiles!$A$45:$I$59, 7, FALSE), perc_95, VLOOKUP(U$2, Percentiles!$A$45:$I$59, 8, FALSE), perc_85, perc_75 + (perc_90 - perc_75) * (2/3), converted_stat, '2K_Ratings'!U74, IF(bbgm_stat &gt;= perc_95, converted_stat * 3, IF(bbgm_stat &gt;= perc_90, converted_stat * 2, IF(bbgm_stat &gt;= perc_85, converted_stat * 1.5, converted_stat)))))</f>
        <v/>
      </c>
      <c r="V74" s="30" t="str">
        <f t="array" ref="V74">IF($A74="", "", LET(bbgm_stat, INDEX(Players!$A73:$P73, MATCH(V$2, Players!$A$1:$P$1, 0)), perc_75, VLOOKUP(V$2, Percentiles!$A$45:$I$59, 6, FALSE), perc_90, VLOOKUP(V$2, Percentiles!$A$45:$I$59, 7, FALSE), perc_95, VLOOKUP(V$2, Percentiles!$A$45:$I$59, 8, FALSE), perc_85, perc_75 + (perc_90 - perc_75) * (2/3), converted_stat, '2K_Ratings'!V74, IF(bbgm_stat &gt;= perc_95, converted_stat * 3, IF(bbgm_stat &gt;= perc_90, converted_stat * 2, IF(bbgm_stat &gt;= perc_85, converted_stat * 1.5, converted_stat)))))</f>
        <v/>
      </c>
      <c r="W74" s="30" t="str">
        <f t="array" ref="W74">IF($A74="", "", LET(bbgm_stat, INDEX(Players!$A73:$P73, MATCH(W$2, Players!$A$1:$P$1, 0)), perc_75, VLOOKUP(W$2, Percentiles!$A$45:$I$59, 6, FALSE), perc_90, VLOOKUP(W$2, Percentiles!$A$45:$I$59, 7, FALSE), perc_95, VLOOKUP(W$2, Percentiles!$A$45:$I$59, 8, FALSE), perc_85, perc_75 + (perc_90 - perc_75) * (2/3), converted_stat, '2K_Ratings'!W74, IF(bbgm_stat &gt;= perc_95, converted_stat * 3, IF(bbgm_stat &gt;= perc_90, converted_stat * 2, IF(bbgm_stat &gt;= perc_85, converted_stat * 1.5, converted_stat)))))</f>
        <v/>
      </c>
    </row>
    <row r="75">
      <c r="A75" s="30" t="str">
        <f>IF(Players!A74="", "", Players!A74)</f>
        <v/>
      </c>
      <c r="B75" s="30" t="str">
        <f t="array" ref="B75">IF($A75="", "", LET(bbgm_stat, INDEX(Players!$A74:$P74, MATCH(B$2, Players!$A$1:$P$1, 0)), perc_75, VLOOKUP(B$2, Percentiles!$A$45:$I$59, 6, FALSE), perc_90, VLOOKUP(B$2, Percentiles!$A$45:$I$59, 7, FALSE), perc_95, VLOOKUP(B$2, Percentiles!$A$45:$I$59, 8, FALSE), perc_85, perc_75 + (perc_90 - perc_75) * (2/3), converted_stat, '2K_Ratings'!B75, IF(bbgm_stat &gt;= perc_95, converted_stat * 3, IF(bbgm_stat &gt;= perc_90, converted_stat * 2, IF(bbgm_stat &gt;= perc_85, converted_stat * 1.5, converted_stat)))))</f>
        <v/>
      </c>
      <c r="C75" s="30" t="str">
        <f t="array" ref="C75">IF($A75="", "", LET(bbgm_stat, INDEX(Players!$A74:$P74, MATCH(C$2, Players!$A$1:$P$1, 0)), perc_75, VLOOKUP(C$2, Percentiles!$A$45:$I$59, 6, FALSE), perc_90, VLOOKUP(C$2, Percentiles!$A$45:$I$59, 7, FALSE), perc_95, VLOOKUP(C$2, Percentiles!$A$45:$I$59, 8, FALSE), perc_85, perc_75 + (perc_90 - perc_75) * (2/3), converted_stat, '2K_Ratings'!C75, IF(bbgm_stat &gt;= perc_95, converted_stat * 3, IF(bbgm_stat &gt;= perc_90, converted_stat * 2, IF(bbgm_stat &gt;= perc_85, converted_stat * 1.5, converted_stat)))))</f>
        <v/>
      </c>
      <c r="D75" s="30" t="str">
        <f t="array" ref="D75">IF($A75="", "", LET(bbgm_stat, INDEX(Players!$A74:$P74, MATCH(D$2, Players!$A$1:$P$1, 0)), perc_75, VLOOKUP(D$2, Percentiles!$A$45:$I$59, 6, FALSE), perc_90, VLOOKUP(D$2, Percentiles!$A$45:$I$59, 7, FALSE), perc_95, VLOOKUP(D$2, Percentiles!$A$45:$I$59, 8, FALSE), perc_85, perc_75 + (perc_90 - perc_75) * (2/3), converted_stat, '2K_Ratings'!D75, IF(bbgm_stat &gt;= perc_95, converted_stat * 3, IF(bbgm_stat &gt;= perc_90, converted_stat * 2, IF(bbgm_stat &gt;= perc_85, converted_stat * 1.5, converted_stat)))))</f>
        <v/>
      </c>
      <c r="E75" s="30" t="str">
        <f t="array" ref="E75">IF($A75="", "", LET(bbgm_stat, INDEX(Players!$A74:$P74, MATCH(E$2, Players!$A$1:$P$1, 0)), perc_75, VLOOKUP(E$2, Percentiles!$A$45:$I$59, 6, FALSE), perc_90, VLOOKUP(E$2, Percentiles!$A$45:$I$59, 7, FALSE), perc_95, VLOOKUP(E$2, Percentiles!$A$45:$I$59, 8, FALSE), perc_85, perc_75 + (perc_90 - perc_75) * (2/3), converted_stat, '2K_Ratings'!E75, IF(bbgm_stat &gt;= perc_95, converted_stat * 3, IF(bbgm_stat &gt;= perc_90, converted_stat * 2, IF(bbgm_stat &gt;= perc_85, converted_stat * 1.5, converted_stat)))))</f>
        <v/>
      </c>
      <c r="F75" s="30" t="str">
        <f t="array" ref="F75">IF($A75="", "", LET(bbgm_stat, INDEX(Players!$A74:$P74, MATCH(F$2, Players!$A$1:$P$1, 0)), perc_75, VLOOKUP(F$2, Percentiles!$A$45:$I$59, 6, FALSE), perc_90, VLOOKUP(F$2, Percentiles!$A$45:$I$59, 7, FALSE), perc_95, VLOOKUP(F$2, Percentiles!$A$45:$I$59, 8, FALSE), perc_85, perc_75 + (perc_90 - perc_75) * (2/3), converted_stat, '2K_Ratings'!F75, IF(bbgm_stat &gt;= perc_95, converted_stat * 3, IF(bbgm_stat &gt;= perc_90, converted_stat * 2, IF(bbgm_stat &gt;= perc_85, converted_stat * 1.5, converted_stat)))))</f>
        <v/>
      </c>
      <c r="G75" s="30" t="str">
        <f t="array" ref="G75">IF($A75="", "", LET(bbgm_stat, INDEX(Players!$A74:$P74, MATCH(G$2, Players!$A$1:$P$1, 0)), perc_75, VLOOKUP(G$2, Percentiles!$A$45:$I$59, 6, FALSE), perc_90, VLOOKUP(G$2, Percentiles!$A$45:$I$59, 7, FALSE), perc_95, VLOOKUP(G$2, Percentiles!$A$45:$I$59, 8, FALSE), perc_85, perc_75 + (perc_90 - perc_75) * (2/3), converted_stat, '2K_Ratings'!G75, IF(bbgm_stat &gt;= perc_95, converted_stat * 3, IF(bbgm_stat &gt;= perc_90, converted_stat * 2, IF(bbgm_stat &gt;= perc_85, converted_stat * 1.5, converted_stat)))))</f>
        <v/>
      </c>
      <c r="H75" s="30" t="str">
        <f t="array" ref="H75">IF($A75="", "", LET(bbgm_stat, INDEX(Players!$A74:$P74, MATCH(H$2, Players!$A$1:$P$1, 0)), perc_75, VLOOKUP(H$2, Percentiles!$A$45:$I$59, 6, FALSE), perc_90, VLOOKUP(H$2, Percentiles!$A$45:$I$59, 7, FALSE), perc_95, VLOOKUP(H$2, Percentiles!$A$45:$I$59, 8, FALSE), perc_85, perc_75 + (perc_90 - perc_75) * (2/3), converted_stat, '2K_Ratings'!H75, IF(bbgm_stat &gt;= perc_95, converted_stat * 3, IF(bbgm_stat &gt;= perc_90, converted_stat * 2, IF(bbgm_stat &gt;= perc_85, converted_stat * 1.5, converted_stat)))))</f>
        <v/>
      </c>
      <c r="I75" s="30" t="str">
        <f t="array" ref="I75">IF($A75="", "", LET(bbgm_stat, INDEX(Players!$A74:$P74, MATCH(I$2, Players!$A$1:$P$1, 0)), perc_75, VLOOKUP(I$2, Percentiles!$A$45:$I$59, 6, FALSE), perc_90, VLOOKUP(I$2, Percentiles!$A$45:$I$59, 7, FALSE), perc_95, VLOOKUP(I$2, Percentiles!$A$45:$I$59, 8, FALSE), perc_85, perc_75 + (perc_90 - perc_75) * (2/3), converted_stat, '2K_Ratings'!I75, IF(bbgm_stat &gt;= perc_95, converted_stat * 3, IF(bbgm_stat &gt;= perc_90, converted_stat * 2, IF(bbgm_stat &gt;= perc_85, converted_stat * 1.5, converted_stat)))))</f>
        <v/>
      </c>
      <c r="J75" s="30" t="str">
        <f t="array" ref="J75">IF($A75="", "", LET(bbgm_stat, INDEX(Players!$A74:$P74, MATCH(J$2, Players!$A$1:$P$1, 0)), perc_75, VLOOKUP(J$2, Percentiles!$A$45:$I$59, 6, FALSE), perc_90, VLOOKUP(J$2, Percentiles!$A$45:$I$59, 7, FALSE), perc_95, VLOOKUP(J$2, Percentiles!$A$45:$I$59, 8, FALSE), perc_85, perc_75 + (perc_90 - perc_75) * (2/3), converted_stat, '2K_Ratings'!J75, IF(bbgm_stat &gt;= perc_95, converted_stat * 3, IF(bbgm_stat &gt;= perc_90, converted_stat * 2, IF(bbgm_stat &gt;= perc_85, converted_stat * 1.5, converted_stat)))))</f>
        <v/>
      </c>
      <c r="K75" s="30" t="str">
        <f t="array" ref="K75">IF($A75="", "", LET(bbgm_stat, INDEX(Players!$A74:$P74, MATCH(K$2, Players!$A$1:$P$1, 0)), perc_75, VLOOKUP(K$2, Percentiles!$A$45:$I$59, 6, FALSE), perc_90, VLOOKUP(K$2, Percentiles!$A$45:$I$59, 7, FALSE), perc_95, VLOOKUP(K$2, Percentiles!$A$45:$I$59, 8, FALSE), perc_85, perc_75 + (perc_90 - perc_75) * (2/3), converted_stat, '2K_Ratings'!K75, IF(bbgm_stat &gt;= perc_95, converted_stat * 3, IF(bbgm_stat &gt;= perc_90, converted_stat * 2, IF(bbgm_stat &gt;= perc_85, converted_stat * 1.5, converted_stat)))))</f>
        <v/>
      </c>
      <c r="L75" s="30" t="str">
        <f t="array" ref="L75">IF($A75="", "", LET(bbgm_stat, INDEX(Players!$A74:$P74, MATCH(L$2, Players!$A$1:$P$1, 0)), perc_75, VLOOKUP(L$2, Percentiles!$A$45:$I$59, 6, FALSE), perc_90, VLOOKUP(L$2, Percentiles!$A$45:$I$59, 7, FALSE), perc_95, VLOOKUP(L$2, Percentiles!$A$45:$I$59, 8, FALSE), perc_85, perc_75 + (perc_90 - perc_75) * (2/3), converted_stat, '2K_Ratings'!L75, IF(bbgm_stat &gt;= perc_95, converted_stat * 3, IF(bbgm_stat &gt;= perc_90, converted_stat * 2, IF(bbgm_stat &gt;= perc_85, converted_stat * 1.5, converted_stat)))))</f>
        <v/>
      </c>
      <c r="M75" s="30" t="str">
        <f t="array" ref="M75">IF($A75="", "", LET(bbgm_stat, INDEX(Players!$A74:$P74, MATCH(M$2, Players!$A$1:$P$1, 0)), perc_75, VLOOKUP(M$2, Percentiles!$A$45:$I$59, 6, FALSE), perc_90, VLOOKUP(M$2, Percentiles!$A$45:$I$59, 7, FALSE), perc_95, VLOOKUP(M$2, Percentiles!$A$45:$I$59, 8, FALSE), perc_85, perc_75 + (perc_90 - perc_75) * (2/3), converted_stat, '2K_Ratings'!M75, IF(bbgm_stat &gt;= perc_95, converted_stat * 3, IF(bbgm_stat &gt;= perc_90, converted_stat * 2, IF(bbgm_stat &gt;= perc_85, converted_stat * 1.5, converted_stat)))))</f>
        <v/>
      </c>
      <c r="N75" s="30" t="str">
        <f t="array" ref="N75">IF($A75="", "", LET(bbgm_stat, INDEX(Players!$A74:$P74, MATCH(N$2, Players!$A$1:$P$1, 0)), perc_75, VLOOKUP(N$2, Percentiles!$A$45:$I$59, 6, FALSE), perc_90, VLOOKUP(N$2, Percentiles!$A$45:$I$59, 7, FALSE), perc_95, VLOOKUP(N$2, Percentiles!$A$45:$I$59, 8, FALSE), perc_85, perc_75 + (perc_90 - perc_75) * (2/3), converted_stat, '2K_Ratings'!N75, IF(bbgm_stat &gt;= perc_95, converted_stat * 3, IF(bbgm_stat &gt;= perc_90, converted_stat * 2, IF(bbgm_stat &gt;= perc_85, converted_stat * 1.5, converted_stat)))))</f>
        <v/>
      </c>
      <c r="O75" s="30" t="str">
        <f t="array" ref="O75">IF($A75="", "", LET(bbgm_stat, INDEX(Players!$A74:$P74, MATCH(O$2, Players!$A$1:$P$1, 0)), perc_75, VLOOKUP(O$2, Percentiles!$A$45:$I$59, 6, FALSE), perc_90, VLOOKUP(O$2, Percentiles!$A$45:$I$59, 7, FALSE), perc_95, VLOOKUP(O$2, Percentiles!$A$45:$I$59, 8, FALSE), perc_85, perc_75 + (perc_90 - perc_75) * (2/3), converted_stat, '2K_Ratings'!O75, IF(bbgm_stat &gt;= perc_95, converted_stat * 3, IF(bbgm_stat &gt;= perc_90, converted_stat * 2, IF(bbgm_stat &gt;= perc_85, converted_stat * 1.5, converted_stat)))))</f>
        <v/>
      </c>
      <c r="P75" s="30" t="str">
        <f t="array" ref="P75">IF($A75="", "", LET(bbgm_stat, INDEX(Players!$A74:$P74, MATCH(P$2, Players!$A$1:$P$1, 0)), perc_75, VLOOKUP(P$2, Percentiles!$A$45:$I$59, 6, FALSE), perc_90, VLOOKUP(P$2, Percentiles!$A$45:$I$59, 7, FALSE), perc_95, VLOOKUP(P$2, Percentiles!$A$45:$I$59, 8, FALSE), perc_85, perc_75 + (perc_90 - perc_75) * (2/3), converted_stat, '2K_Ratings'!P75, IF(bbgm_stat &gt;= perc_95, converted_stat * 3, IF(bbgm_stat &gt;= perc_90, converted_stat * 2, IF(bbgm_stat &gt;= perc_85, converted_stat * 1.5, converted_stat)))))</f>
        <v/>
      </c>
      <c r="Q75" s="30" t="str">
        <f t="array" ref="Q75">IF($A75="", "", LET(bbgm_stat, INDEX(Players!$A74:$P74, MATCH(Q$2, Players!$A$1:$P$1, 0)), perc_75, VLOOKUP(Q$2, Percentiles!$A$45:$I$59, 6, FALSE), perc_90, VLOOKUP(Q$2, Percentiles!$A$45:$I$59, 7, FALSE), perc_95, VLOOKUP(Q$2, Percentiles!$A$45:$I$59, 8, FALSE), perc_85, perc_75 + (perc_90 - perc_75) * (2/3), converted_stat, '2K_Ratings'!Q75, IF(bbgm_stat &gt;= perc_95, converted_stat * 3, IF(bbgm_stat &gt;= perc_90, converted_stat * 2, IF(bbgm_stat &gt;= perc_85, converted_stat * 1.5, converted_stat)))))</f>
        <v/>
      </c>
      <c r="R75" s="30" t="str">
        <f t="array" ref="R75">IF($A75="", "", LET(bbgm_stat, INDEX(Players!$A74:$P74, MATCH(R$2, Players!$A$1:$P$1, 0)), perc_75, VLOOKUP(R$2, Percentiles!$A$45:$I$59, 6, FALSE), perc_90, VLOOKUP(R$2, Percentiles!$A$45:$I$59, 7, FALSE), perc_95, VLOOKUP(R$2, Percentiles!$A$45:$I$59, 8, FALSE), perc_85, perc_75 + (perc_90 - perc_75) * (2/3), converted_stat, '2K_Ratings'!R75, IF(bbgm_stat &gt;= perc_95, converted_stat * 3, IF(bbgm_stat &gt;= perc_90, converted_stat * 2, IF(bbgm_stat &gt;= perc_85, converted_stat * 1.5, converted_stat)))))</f>
        <v/>
      </c>
      <c r="S75" s="30" t="str">
        <f t="array" ref="S75">IF($A75="", "", LET(bbgm_stat, INDEX(Players!$A74:$P74, MATCH(S$2, Players!$A$1:$P$1, 0)), perc_75, VLOOKUP(S$2, Percentiles!$A$45:$I$59, 6, FALSE), perc_90, VLOOKUP(S$2, Percentiles!$A$45:$I$59, 7, FALSE), perc_95, VLOOKUP(S$2, Percentiles!$A$45:$I$59, 8, FALSE), perc_85, perc_75 + (perc_90 - perc_75) * (2/3), converted_stat, '2K_Ratings'!S75, IF(bbgm_stat &gt;= perc_95, converted_stat * 3, IF(bbgm_stat &gt;= perc_90, converted_stat * 2, IF(bbgm_stat &gt;= perc_85, converted_stat * 1.5, converted_stat)))))</f>
        <v/>
      </c>
      <c r="T75" s="30" t="str">
        <f t="array" ref="T75">IF($A75="", "", LET(bbgm_stat, INDEX(Players!$A74:$P74, MATCH(T$2, Players!$A$1:$P$1, 0)), perc_75, VLOOKUP(T$2, Percentiles!$A$45:$I$59, 6, FALSE), perc_90, VLOOKUP(T$2, Percentiles!$A$45:$I$59, 7, FALSE), perc_95, VLOOKUP(T$2, Percentiles!$A$45:$I$59, 8, FALSE), perc_85, perc_75 + (perc_90 - perc_75) * (2/3), converted_stat, '2K_Ratings'!T75, IF(bbgm_stat &gt;= perc_95, converted_stat * 3, IF(bbgm_stat &gt;= perc_90, converted_stat * 2, IF(bbgm_stat &gt;= perc_85, converted_stat * 1.5, converted_stat)))))</f>
        <v/>
      </c>
      <c r="U75" s="30" t="str">
        <f t="array" ref="U75">IF($A75="", "", LET(bbgm_stat, INDEX(Players!$A74:$P74, MATCH(U$2, Players!$A$1:$P$1, 0)), perc_75, VLOOKUP(U$2, Percentiles!$A$45:$I$59, 6, FALSE), perc_90, VLOOKUP(U$2, Percentiles!$A$45:$I$59, 7, FALSE), perc_95, VLOOKUP(U$2, Percentiles!$A$45:$I$59, 8, FALSE), perc_85, perc_75 + (perc_90 - perc_75) * (2/3), converted_stat, '2K_Ratings'!U75, IF(bbgm_stat &gt;= perc_95, converted_stat * 3, IF(bbgm_stat &gt;= perc_90, converted_stat * 2, IF(bbgm_stat &gt;= perc_85, converted_stat * 1.5, converted_stat)))))</f>
        <v/>
      </c>
      <c r="V75" s="30" t="str">
        <f t="array" ref="V75">IF($A75="", "", LET(bbgm_stat, INDEX(Players!$A74:$P74, MATCH(V$2, Players!$A$1:$P$1, 0)), perc_75, VLOOKUP(V$2, Percentiles!$A$45:$I$59, 6, FALSE), perc_90, VLOOKUP(V$2, Percentiles!$A$45:$I$59, 7, FALSE), perc_95, VLOOKUP(V$2, Percentiles!$A$45:$I$59, 8, FALSE), perc_85, perc_75 + (perc_90 - perc_75) * (2/3), converted_stat, '2K_Ratings'!V75, IF(bbgm_stat &gt;= perc_95, converted_stat * 3, IF(bbgm_stat &gt;= perc_90, converted_stat * 2, IF(bbgm_stat &gt;= perc_85, converted_stat * 1.5, converted_stat)))))</f>
        <v/>
      </c>
      <c r="W75" s="30" t="str">
        <f t="array" ref="W75">IF($A75="", "", LET(bbgm_stat, INDEX(Players!$A74:$P74, MATCH(W$2, Players!$A$1:$P$1, 0)), perc_75, VLOOKUP(W$2, Percentiles!$A$45:$I$59, 6, FALSE), perc_90, VLOOKUP(W$2, Percentiles!$A$45:$I$59, 7, FALSE), perc_95, VLOOKUP(W$2, Percentiles!$A$45:$I$59, 8, FALSE), perc_85, perc_75 + (perc_90 - perc_75) * (2/3), converted_stat, '2K_Ratings'!W75, IF(bbgm_stat &gt;= perc_95, converted_stat * 3, IF(bbgm_stat &gt;= perc_90, converted_stat * 2, IF(bbgm_stat &gt;= perc_85, converted_stat * 1.5, converted_stat)))))</f>
        <v/>
      </c>
    </row>
    <row r="76">
      <c r="A76" s="30" t="str">
        <f>IF(Players!A75="", "", Players!A75)</f>
        <v/>
      </c>
      <c r="B76" s="30" t="str">
        <f t="array" ref="B76">IF($A76="", "", LET(bbgm_stat, INDEX(Players!$A75:$P75, MATCH(B$2, Players!$A$1:$P$1, 0)), perc_75, VLOOKUP(B$2, Percentiles!$A$45:$I$59, 6, FALSE), perc_90, VLOOKUP(B$2, Percentiles!$A$45:$I$59, 7, FALSE), perc_95, VLOOKUP(B$2, Percentiles!$A$45:$I$59, 8, FALSE), perc_85, perc_75 + (perc_90 - perc_75) * (2/3), converted_stat, '2K_Ratings'!B76, IF(bbgm_stat &gt;= perc_95, converted_stat * 3, IF(bbgm_stat &gt;= perc_90, converted_stat * 2, IF(bbgm_stat &gt;= perc_85, converted_stat * 1.5, converted_stat)))))</f>
        <v/>
      </c>
      <c r="C76" s="30" t="str">
        <f t="array" ref="C76">IF($A76="", "", LET(bbgm_stat, INDEX(Players!$A75:$P75, MATCH(C$2, Players!$A$1:$P$1, 0)), perc_75, VLOOKUP(C$2, Percentiles!$A$45:$I$59, 6, FALSE), perc_90, VLOOKUP(C$2, Percentiles!$A$45:$I$59, 7, FALSE), perc_95, VLOOKUP(C$2, Percentiles!$A$45:$I$59, 8, FALSE), perc_85, perc_75 + (perc_90 - perc_75) * (2/3), converted_stat, '2K_Ratings'!C76, IF(bbgm_stat &gt;= perc_95, converted_stat * 3, IF(bbgm_stat &gt;= perc_90, converted_stat * 2, IF(bbgm_stat &gt;= perc_85, converted_stat * 1.5, converted_stat)))))</f>
        <v/>
      </c>
      <c r="D76" s="30" t="str">
        <f t="array" ref="D76">IF($A76="", "", LET(bbgm_stat, INDEX(Players!$A75:$P75, MATCH(D$2, Players!$A$1:$P$1, 0)), perc_75, VLOOKUP(D$2, Percentiles!$A$45:$I$59, 6, FALSE), perc_90, VLOOKUP(D$2, Percentiles!$A$45:$I$59, 7, FALSE), perc_95, VLOOKUP(D$2, Percentiles!$A$45:$I$59, 8, FALSE), perc_85, perc_75 + (perc_90 - perc_75) * (2/3), converted_stat, '2K_Ratings'!D76, IF(bbgm_stat &gt;= perc_95, converted_stat * 3, IF(bbgm_stat &gt;= perc_90, converted_stat * 2, IF(bbgm_stat &gt;= perc_85, converted_stat * 1.5, converted_stat)))))</f>
        <v/>
      </c>
      <c r="E76" s="30" t="str">
        <f t="array" ref="E76">IF($A76="", "", LET(bbgm_stat, INDEX(Players!$A75:$P75, MATCH(E$2, Players!$A$1:$P$1, 0)), perc_75, VLOOKUP(E$2, Percentiles!$A$45:$I$59, 6, FALSE), perc_90, VLOOKUP(E$2, Percentiles!$A$45:$I$59, 7, FALSE), perc_95, VLOOKUP(E$2, Percentiles!$A$45:$I$59, 8, FALSE), perc_85, perc_75 + (perc_90 - perc_75) * (2/3), converted_stat, '2K_Ratings'!E76, IF(bbgm_stat &gt;= perc_95, converted_stat * 3, IF(bbgm_stat &gt;= perc_90, converted_stat * 2, IF(bbgm_stat &gt;= perc_85, converted_stat * 1.5, converted_stat)))))</f>
        <v/>
      </c>
      <c r="F76" s="30" t="str">
        <f t="array" ref="F76">IF($A76="", "", LET(bbgm_stat, INDEX(Players!$A75:$P75, MATCH(F$2, Players!$A$1:$P$1, 0)), perc_75, VLOOKUP(F$2, Percentiles!$A$45:$I$59, 6, FALSE), perc_90, VLOOKUP(F$2, Percentiles!$A$45:$I$59, 7, FALSE), perc_95, VLOOKUP(F$2, Percentiles!$A$45:$I$59, 8, FALSE), perc_85, perc_75 + (perc_90 - perc_75) * (2/3), converted_stat, '2K_Ratings'!F76, IF(bbgm_stat &gt;= perc_95, converted_stat * 3, IF(bbgm_stat &gt;= perc_90, converted_stat * 2, IF(bbgm_stat &gt;= perc_85, converted_stat * 1.5, converted_stat)))))</f>
        <v/>
      </c>
      <c r="G76" s="30" t="str">
        <f t="array" ref="G76">IF($A76="", "", LET(bbgm_stat, INDEX(Players!$A75:$P75, MATCH(G$2, Players!$A$1:$P$1, 0)), perc_75, VLOOKUP(G$2, Percentiles!$A$45:$I$59, 6, FALSE), perc_90, VLOOKUP(G$2, Percentiles!$A$45:$I$59, 7, FALSE), perc_95, VLOOKUP(G$2, Percentiles!$A$45:$I$59, 8, FALSE), perc_85, perc_75 + (perc_90 - perc_75) * (2/3), converted_stat, '2K_Ratings'!G76, IF(bbgm_stat &gt;= perc_95, converted_stat * 3, IF(bbgm_stat &gt;= perc_90, converted_stat * 2, IF(bbgm_stat &gt;= perc_85, converted_stat * 1.5, converted_stat)))))</f>
        <v/>
      </c>
      <c r="H76" s="30" t="str">
        <f t="array" ref="H76">IF($A76="", "", LET(bbgm_stat, INDEX(Players!$A75:$P75, MATCH(H$2, Players!$A$1:$P$1, 0)), perc_75, VLOOKUP(H$2, Percentiles!$A$45:$I$59, 6, FALSE), perc_90, VLOOKUP(H$2, Percentiles!$A$45:$I$59, 7, FALSE), perc_95, VLOOKUP(H$2, Percentiles!$A$45:$I$59, 8, FALSE), perc_85, perc_75 + (perc_90 - perc_75) * (2/3), converted_stat, '2K_Ratings'!H76, IF(bbgm_stat &gt;= perc_95, converted_stat * 3, IF(bbgm_stat &gt;= perc_90, converted_stat * 2, IF(bbgm_stat &gt;= perc_85, converted_stat * 1.5, converted_stat)))))</f>
        <v/>
      </c>
      <c r="I76" s="30" t="str">
        <f t="array" ref="I76">IF($A76="", "", LET(bbgm_stat, INDEX(Players!$A75:$P75, MATCH(I$2, Players!$A$1:$P$1, 0)), perc_75, VLOOKUP(I$2, Percentiles!$A$45:$I$59, 6, FALSE), perc_90, VLOOKUP(I$2, Percentiles!$A$45:$I$59, 7, FALSE), perc_95, VLOOKUP(I$2, Percentiles!$A$45:$I$59, 8, FALSE), perc_85, perc_75 + (perc_90 - perc_75) * (2/3), converted_stat, '2K_Ratings'!I76, IF(bbgm_stat &gt;= perc_95, converted_stat * 3, IF(bbgm_stat &gt;= perc_90, converted_stat * 2, IF(bbgm_stat &gt;= perc_85, converted_stat * 1.5, converted_stat)))))</f>
        <v/>
      </c>
      <c r="J76" s="30" t="str">
        <f t="array" ref="J76">IF($A76="", "", LET(bbgm_stat, INDEX(Players!$A75:$P75, MATCH(J$2, Players!$A$1:$P$1, 0)), perc_75, VLOOKUP(J$2, Percentiles!$A$45:$I$59, 6, FALSE), perc_90, VLOOKUP(J$2, Percentiles!$A$45:$I$59, 7, FALSE), perc_95, VLOOKUP(J$2, Percentiles!$A$45:$I$59, 8, FALSE), perc_85, perc_75 + (perc_90 - perc_75) * (2/3), converted_stat, '2K_Ratings'!J76, IF(bbgm_stat &gt;= perc_95, converted_stat * 3, IF(bbgm_stat &gt;= perc_90, converted_stat * 2, IF(bbgm_stat &gt;= perc_85, converted_stat * 1.5, converted_stat)))))</f>
        <v/>
      </c>
      <c r="K76" s="30" t="str">
        <f t="array" ref="K76">IF($A76="", "", LET(bbgm_stat, INDEX(Players!$A75:$P75, MATCH(K$2, Players!$A$1:$P$1, 0)), perc_75, VLOOKUP(K$2, Percentiles!$A$45:$I$59, 6, FALSE), perc_90, VLOOKUP(K$2, Percentiles!$A$45:$I$59, 7, FALSE), perc_95, VLOOKUP(K$2, Percentiles!$A$45:$I$59, 8, FALSE), perc_85, perc_75 + (perc_90 - perc_75) * (2/3), converted_stat, '2K_Ratings'!K76, IF(bbgm_stat &gt;= perc_95, converted_stat * 3, IF(bbgm_stat &gt;= perc_90, converted_stat * 2, IF(bbgm_stat &gt;= perc_85, converted_stat * 1.5, converted_stat)))))</f>
        <v/>
      </c>
      <c r="L76" s="30" t="str">
        <f t="array" ref="L76">IF($A76="", "", LET(bbgm_stat, INDEX(Players!$A75:$P75, MATCH(L$2, Players!$A$1:$P$1, 0)), perc_75, VLOOKUP(L$2, Percentiles!$A$45:$I$59, 6, FALSE), perc_90, VLOOKUP(L$2, Percentiles!$A$45:$I$59, 7, FALSE), perc_95, VLOOKUP(L$2, Percentiles!$A$45:$I$59, 8, FALSE), perc_85, perc_75 + (perc_90 - perc_75) * (2/3), converted_stat, '2K_Ratings'!L76, IF(bbgm_stat &gt;= perc_95, converted_stat * 3, IF(bbgm_stat &gt;= perc_90, converted_stat * 2, IF(bbgm_stat &gt;= perc_85, converted_stat * 1.5, converted_stat)))))</f>
        <v/>
      </c>
      <c r="M76" s="30" t="str">
        <f t="array" ref="M76">IF($A76="", "", LET(bbgm_stat, INDEX(Players!$A75:$P75, MATCH(M$2, Players!$A$1:$P$1, 0)), perc_75, VLOOKUP(M$2, Percentiles!$A$45:$I$59, 6, FALSE), perc_90, VLOOKUP(M$2, Percentiles!$A$45:$I$59, 7, FALSE), perc_95, VLOOKUP(M$2, Percentiles!$A$45:$I$59, 8, FALSE), perc_85, perc_75 + (perc_90 - perc_75) * (2/3), converted_stat, '2K_Ratings'!M76, IF(bbgm_stat &gt;= perc_95, converted_stat * 3, IF(bbgm_stat &gt;= perc_90, converted_stat * 2, IF(bbgm_stat &gt;= perc_85, converted_stat * 1.5, converted_stat)))))</f>
        <v/>
      </c>
      <c r="N76" s="30" t="str">
        <f t="array" ref="N76">IF($A76="", "", LET(bbgm_stat, INDEX(Players!$A75:$P75, MATCH(N$2, Players!$A$1:$P$1, 0)), perc_75, VLOOKUP(N$2, Percentiles!$A$45:$I$59, 6, FALSE), perc_90, VLOOKUP(N$2, Percentiles!$A$45:$I$59, 7, FALSE), perc_95, VLOOKUP(N$2, Percentiles!$A$45:$I$59, 8, FALSE), perc_85, perc_75 + (perc_90 - perc_75) * (2/3), converted_stat, '2K_Ratings'!N76, IF(bbgm_stat &gt;= perc_95, converted_stat * 3, IF(bbgm_stat &gt;= perc_90, converted_stat * 2, IF(bbgm_stat &gt;= perc_85, converted_stat * 1.5, converted_stat)))))</f>
        <v/>
      </c>
      <c r="O76" s="30" t="str">
        <f t="array" ref="O76">IF($A76="", "", LET(bbgm_stat, INDEX(Players!$A75:$P75, MATCH(O$2, Players!$A$1:$P$1, 0)), perc_75, VLOOKUP(O$2, Percentiles!$A$45:$I$59, 6, FALSE), perc_90, VLOOKUP(O$2, Percentiles!$A$45:$I$59, 7, FALSE), perc_95, VLOOKUP(O$2, Percentiles!$A$45:$I$59, 8, FALSE), perc_85, perc_75 + (perc_90 - perc_75) * (2/3), converted_stat, '2K_Ratings'!O76, IF(bbgm_stat &gt;= perc_95, converted_stat * 3, IF(bbgm_stat &gt;= perc_90, converted_stat * 2, IF(bbgm_stat &gt;= perc_85, converted_stat * 1.5, converted_stat)))))</f>
        <v/>
      </c>
      <c r="P76" s="30" t="str">
        <f t="array" ref="P76">IF($A76="", "", LET(bbgm_stat, INDEX(Players!$A75:$P75, MATCH(P$2, Players!$A$1:$P$1, 0)), perc_75, VLOOKUP(P$2, Percentiles!$A$45:$I$59, 6, FALSE), perc_90, VLOOKUP(P$2, Percentiles!$A$45:$I$59, 7, FALSE), perc_95, VLOOKUP(P$2, Percentiles!$A$45:$I$59, 8, FALSE), perc_85, perc_75 + (perc_90 - perc_75) * (2/3), converted_stat, '2K_Ratings'!P76, IF(bbgm_stat &gt;= perc_95, converted_stat * 3, IF(bbgm_stat &gt;= perc_90, converted_stat * 2, IF(bbgm_stat &gt;= perc_85, converted_stat * 1.5, converted_stat)))))</f>
        <v/>
      </c>
      <c r="Q76" s="30" t="str">
        <f t="array" ref="Q76">IF($A76="", "", LET(bbgm_stat, INDEX(Players!$A75:$P75, MATCH(Q$2, Players!$A$1:$P$1, 0)), perc_75, VLOOKUP(Q$2, Percentiles!$A$45:$I$59, 6, FALSE), perc_90, VLOOKUP(Q$2, Percentiles!$A$45:$I$59, 7, FALSE), perc_95, VLOOKUP(Q$2, Percentiles!$A$45:$I$59, 8, FALSE), perc_85, perc_75 + (perc_90 - perc_75) * (2/3), converted_stat, '2K_Ratings'!Q76, IF(bbgm_stat &gt;= perc_95, converted_stat * 3, IF(bbgm_stat &gt;= perc_90, converted_stat * 2, IF(bbgm_stat &gt;= perc_85, converted_stat * 1.5, converted_stat)))))</f>
        <v/>
      </c>
      <c r="R76" s="30" t="str">
        <f t="array" ref="R76">IF($A76="", "", LET(bbgm_stat, INDEX(Players!$A75:$P75, MATCH(R$2, Players!$A$1:$P$1, 0)), perc_75, VLOOKUP(R$2, Percentiles!$A$45:$I$59, 6, FALSE), perc_90, VLOOKUP(R$2, Percentiles!$A$45:$I$59, 7, FALSE), perc_95, VLOOKUP(R$2, Percentiles!$A$45:$I$59, 8, FALSE), perc_85, perc_75 + (perc_90 - perc_75) * (2/3), converted_stat, '2K_Ratings'!R76, IF(bbgm_stat &gt;= perc_95, converted_stat * 3, IF(bbgm_stat &gt;= perc_90, converted_stat * 2, IF(bbgm_stat &gt;= perc_85, converted_stat * 1.5, converted_stat)))))</f>
        <v/>
      </c>
      <c r="S76" s="30" t="str">
        <f t="array" ref="S76">IF($A76="", "", LET(bbgm_stat, INDEX(Players!$A75:$P75, MATCH(S$2, Players!$A$1:$P$1, 0)), perc_75, VLOOKUP(S$2, Percentiles!$A$45:$I$59, 6, FALSE), perc_90, VLOOKUP(S$2, Percentiles!$A$45:$I$59, 7, FALSE), perc_95, VLOOKUP(S$2, Percentiles!$A$45:$I$59, 8, FALSE), perc_85, perc_75 + (perc_90 - perc_75) * (2/3), converted_stat, '2K_Ratings'!S76, IF(bbgm_stat &gt;= perc_95, converted_stat * 3, IF(bbgm_stat &gt;= perc_90, converted_stat * 2, IF(bbgm_stat &gt;= perc_85, converted_stat * 1.5, converted_stat)))))</f>
        <v/>
      </c>
      <c r="T76" s="30" t="str">
        <f t="array" ref="T76">IF($A76="", "", LET(bbgm_stat, INDEX(Players!$A75:$P75, MATCH(T$2, Players!$A$1:$P$1, 0)), perc_75, VLOOKUP(T$2, Percentiles!$A$45:$I$59, 6, FALSE), perc_90, VLOOKUP(T$2, Percentiles!$A$45:$I$59, 7, FALSE), perc_95, VLOOKUP(T$2, Percentiles!$A$45:$I$59, 8, FALSE), perc_85, perc_75 + (perc_90 - perc_75) * (2/3), converted_stat, '2K_Ratings'!T76, IF(bbgm_stat &gt;= perc_95, converted_stat * 3, IF(bbgm_stat &gt;= perc_90, converted_stat * 2, IF(bbgm_stat &gt;= perc_85, converted_stat * 1.5, converted_stat)))))</f>
        <v/>
      </c>
      <c r="U76" s="30" t="str">
        <f t="array" ref="U76">IF($A76="", "", LET(bbgm_stat, INDEX(Players!$A75:$P75, MATCH(U$2, Players!$A$1:$P$1, 0)), perc_75, VLOOKUP(U$2, Percentiles!$A$45:$I$59, 6, FALSE), perc_90, VLOOKUP(U$2, Percentiles!$A$45:$I$59, 7, FALSE), perc_95, VLOOKUP(U$2, Percentiles!$A$45:$I$59, 8, FALSE), perc_85, perc_75 + (perc_90 - perc_75) * (2/3), converted_stat, '2K_Ratings'!U76, IF(bbgm_stat &gt;= perc_95, converted_stat * 3, IF(bbgm_stat &gt;= perc_90, converted_stat * 2, IF(bbgm_stat &gt;= perc_85, converted_stat * 1.5, converted_stat)))))</f>
        <v/>
      </c>
      <c r="V76" s="30" t="str">
        <f t="array" ref="V76">IF($A76="", "", LET(bbgm_stat, INDEX(Players!$A75:$P75, MATCH(V$2, Players!$A$1:$P$1, 0)), perc_75, VLOOKUP(V$2, Percentiles!$A$45:$I$59, 6, FALSE), perc_90, VLOOKUP(V$2, Percentiles!$A$45:$I$59, 7, FALSE), perc_95, VLOOKUP(V$2, Percentiles!$A$45:$I$59, 8, FALSE), perc_85, perc_75 + (perc_90 - perc_75) * (2/3), converted_stat, '2K_Ratings'!V76, IF(bbgm_stat &gt;= perc_95, converted_stat * 3, IF(bbgm_stat &gt;= perc_90, converted_stat * 2, IF(bbgm_stat &gt;= perc_85, converted_stat * 1.5, converted_stat)))))</f>
        <v/>
      </c>
      <c r="W76" s="30" t="str">
        <f t="array" ref="W76">IF($A76="", "", LET(bbgm_stat, INDEX(Players!$A75:$P75, MATCH(W$2, Players!$A$1:$P$1, 0)), perc_75, VLOOKUP(W$2, Percentiles!$A$45:$I$59, 6, FALSE), perc_90, VLOOKUP(W$2, Percentiles!$A$45:$I$59, 7, FALSE), perc_95, VLOOKUP(W$2, Percentiles!$A$45:$I$59, 8, FALSE), perc_85, perc_75 + (perc_90 - perc_75) * (2/3), converted_stat, '2K_Ratings'!W76, IF(bbgm_stat &gt;= perc_95, converted_stat * 3, IF(bbgm_stat &gt;= perc_90, converted_stat * 2, IF(bbgm_stat &gt;= perc_85, converted_stat * 1.5, converted_stat)))))</f>
        <v/>
      </c>
    </row>
    <row r="77">
      <c r="A77" s="30" t="str">
        <f>IF(Players!A76="", "", Players!A76)</f>
        <v/>
      </c>
      <c r="B77" s="30" t="str">
        <f t="array" ref="B77">IF($A77="", "", LET(bbgm_stat, INDEX(Players!$A76:$P76, MATCH(B$2, Players!$A$1:$P$1, 0)), perc_75, VLOOKUP(B$2, Percentiles!$A$45:$I$59, 6, FALSE), perc_90, VLOOKUP(B$2, Percentiles!$A$45:$I$59, 7, FALSE), perc_95, VLOOKUP(B$2, Percentiles!$A$45:$I$59, 8, FALSE), perc_85, perc_75 + (perc_90 - perc_75) * (2/3), converted_stat, '2K_Ratings'!B77, IF(bbgm_stat &gt;= perc_95, converted_stat * 3, IF(bbgm_stat &gt;= perc_90, converted_stat * 2, IF(bbgm_stat &gt;= perc_85, converted_stat * 1.5, converted_stat)))))</f>
        <v/>
      </c>
      <c r="C77" s="30" t="str">
        <f t="array" ref="C77">IF($A77="", "", LET(bbgm_stat, INDEX(Players!$A76:$P76, MATCH(C$2, Players!$A$1:$P$1, 0)), perc_75, VLOOKUP(C$2, Percentiles!$A$45:$I$59, 6, FALSE), perc_90, VLOOKUP(C$2, Percentiles!$A$45:$I$59, 7, FALSE), perc_95, VLOOKUP(C$2, Percentiles!$A$45:$I$59, 8, FALSE), perc_85, perc_75 + (perc_90 - perc_75) * (2/3), converted_stat, '2K_Ratings'!C77, IF(bbgm_stat &gt;= perc_95, converted_stat * 3, IF(bbgm_stat &gt;= perc_90, converted_stat * 2, IF(bbgm_stat &gt;= perc_85, converted_stat * 1.5, converted_stat)))))</f>
        <v/>
      </c>
      <c r="D77" s="30" t="str">
        <f t="array" ref="D77">IF($A77="", "", LET(bbgm_stat, INDEX(Players!$A76:$P76, MATCH(D$2, Players!$A$1:$P$1, 0)), perc_75, VLOOKUP(D$2, Percentiles!$A$45:$I$59, 6, FALSE), perc_90, VLOOKUP(D$2, Percentiles!$A$45:$I$59, 7, FALSE), perc_95, VLOOKUP(D$2, Percentiles!$A$45:$I$59, 8, FALSE), perc_85, perc_75 + (perc_90 - perc_75) * (2/3), converted_stat, '2K_Ratings'!D77, IF(bbgm_stat &gt;= perc_95, converted_stat * 3, IF(bbgm_stat &gt;= perc_90, converted_stat * 2, IF(bbgm_stat &gt;= perc_85, converted_stat * 1.5, converted_stat)))))</f>
        <v/>
      </c>
      <c r="E77" s="30" t="str">
        <f t="array" ref="E77">IF($A77="", "", LET(bbgm_stat, INDEX(Players!$A76:$P76, MATCH(E$2, Players!$A$1:$P$1, 0)), perc_75, VLOOKUP(E$2, Percentiles!$A$45:$I$59, 6, FALSE), perc_90, VLOOKUP(E$2, Percentiles!$A$45:$I$59, 7, FALSE), perc_95, VLOOKUP(E$2, Percentiles!$A$45:$I$59, 8, FALSE), perc_85, perc_75 + (perc_90 - perc_75) * (2/3), converted_stat, '2K_Ratings'!E77, IF(bbgm_stat &gt;= perc_95, converted_stat * 3, IF(bbgm_stat &gt;= perc_90, converted_stat * 2, IF(bbgm_stat &gt;= perc_85, converted_stat * 1.5, converted_stat)))))</f>
        <v/>
      </c>
      <c r="F77" s="30" t="str">
        <f t="array" ref="F77">IF($A77="", "", LET(bbgm_stat, INDEX(Players!$A76:$P76, MATCH(F$2, Players!$A$1:$P$1, 0)), perc_75, VLOOKUP(F$2, Percentiles!$A$45:$I$59, 6, FALSE), perc_90, VLOOKUP(F$2, Percentiles!$A$45:$I$59, 7, FALSE), perc_95, VLOOKUP(F$2, Percentiles!$A$45:$I$59, 8, FALSE), perc_85, perc_75 + (perc_90 - perc_75) * (2/3), converted_stat, '2K_Ratings'!F77, IF(bbgm_stat &gt;= perc_95, converted_stat * 3, IF(bbgm_stat &gt;= perc_90, converted_stat * 2, IF(bbgm_stat &gt;= perc_85, converted_stat * 1.5, converted_stat)))))</f>
        <v/>
      </c>
      <c r="G77" s="30" t="str">
        <f t="array" ref="G77">IF($A77="", "", LET(bbgm_stat, INDEX(Players!$A76:$P76, MATCH(G$2, Players!$A$1:$P$1, 0)), perc_75, VLOOKUP(G$2, Percentiles!$A$45:$I$59, 6, FALSE), perc_90, VLOOKUP(G$2, Percentiles!$A$45:$I$59, 7, FALSE), perc_95, VLOOKUP(G$2, Percentiles!$A$45:$I$59, 8, FALSE), perc_85, perc_75 + (perc_90 - perc_75) * (2/3), converted_stat, '2K_Ratings'!G77, IF(bbgm_stat &gt;= perc_95, converted_stat * 3, IF(bbgm_stat &gt;= perc_90, converted_stat * 2, IF(bbgm_stat &gt;= perc_85, converted_stat * 1.5, converted_stat)))))</f>
        <v/>
      </c>
      <c r="H77" s="30" t="str">
        <f t="array" ref="H77">IF($A77="", "", LET(bbgm_stat, INDEX(Players!$A76:$P76, MATCH(H$2, Players!$A$1:$P$1, 0)), perc_75, VLOOKUP(H$2, Percentiles!$A$45:$I$59, 6, FALSE), perc_90, VLOOKUP(H$2, Percentiles!$A$45:$I$59, 7, FALSE), perc_95, VLOOKUP(H$2, Percentiles!$A$45:$I$59, 8, FALSE), perc_85, perc_75 + (perc_90 - perc_75) * (2/3), converted_stat, '2K_Ratings'!H77, IF(bbgm_stat &gt;= perc_95, converted_stat * 3, IF(bbgm_stat &gt;= perc_90, converted_stat * 2, IF(bbgm_stat &gt;= perc_85, converted_stat * 1.5, converted_stat)))))</f>
        <v/>
      </c>
      <c r="I77" s="30" t="str">
        <f t="array" ref="I77">IF($A77="", "", LET(bbgm_stat, INDEX(Players!$A76:$P76, MATCH(I$2, Players!$A$1:$P$1, 0)), perc_75, VLOOKUP(I$2, Percentiles!$A$45:$I$59, 6, FALSE), perc_90, VLOOKUP(I$2, Percentiles!$A$45:$I$59, 7, FALSE), perc_95, VLOOKUP(I$2, Percentiles!$A$45:$I$59, 8, FALSE), perc_85, perc_75 + (perc_90 - perc_75) * (2/3), converted_stat, '2K_Ratings'!I77, IF(bbgm_stat &gt;= perc_95, converted_stat * 3, IF(bbgm_stat &gt;= perc_90, converted_stat * 2, IF(bbgm_stat &gt;= perc_85, converted_stat * 1.5, converted_stat)))))</f>
        <v/>
      </c>
      <c r="J77" s="30" t="str">
        <f t="array" ref="J77">IF($A77="", "", LET(bbgm_stat, INDEX(Players!$A76:$P76, MATCH(J$2, Players!$A$1:$P$1, 0)), perc_75, VLOOKUP(J$2, Percentiles!$A$45:$I$59, 6, FALSE), perc_90, VLOOKUP(J$2, Percentiles!$A$45:$I$59, 7, FALSE), perc_95, VLOOKUP(J$2, Percentiles!$A$45:$I$59, 8, FALSE), perc_85, perc_75 + (perc_90 - perc_75) * (2/3), converted_stat, '2K_Ratings'!J77, IF(bbgm_stat &gt;= perc_95, converted_stat * 3, IF(bbgm_stat &gt;= perc_90, converted_stat * 2, IF(bbgm_stat &gt;= perc_85, converted_stat * 1.5, converted_stat)))))</f>
        <v/>
      </c>
      <c r="K77" s="30" t="str">
        <f t="array" ref="K77">IF($A77="", "", LET(bbgm_stat, INDEX(Players!$A76:$P76, MATCH(K$2, Players!$A$1:$P$1, 0)), perc_75, VLOOKUP(K$2, Percentiles!$A$45:$I$59, 6, FALSE), perc_90, VLOOKUP(K$2, Percentiles!$A$45:$I$59, 7, FALSE), perc_95, VLOOKUP(K$2, Percentiles!$A$45:$I$59, 8, FALSE), perc_85, perc_75 + (perc_90 - perc_75) * (2/3), converted_stat, '2K_Ratings'!K77, IF(bbgm_stat &gt;= perc_95, converted_stat * 3, IF(bbgm_stat &gt;= perc_90, converted_stat * 2, IF(bbgm_stat &gt;= perc_85, converted_stat * 1.5, converted_stat)))))</f>
        <v/>
      </c>
      <c r="L77" s="30" t="str">
        <f t="array" ref="L77">IF($A77="", "", LET(bbgm_stat, INDEX(Players!$A76:$P76, MATCH(L$2, Players!$A$1:$P$1, 0)), perc_75, VLOOKUP(L$2, Percentiles!$A$45:$I$59, 6, FALSE), perc_90, VLOOKUP(L$2, Percentiles!$A$45:$I$59, 7, FALSE), perc_95, VLOOKUP(L$2, Percentiles!$A$45:$I$59, 8, FALSE), perc_85, perc_75 + (perc_90 - perc_75) * (2/3), converted_stat, '2K_Ratings'!L77, IF(bbgm_stat &gt;= perc_95, converted_stat * 3, IF(bbgm_stat &gt;= perc_90, converted_stat * 2, IF(bbgm_stat &gt;= perc_85, converted_stat * 1.5, converted_stat)))))</f>
        <v/>
      </c>
      <c r="M77" s="30" t="str">
        <f t="array" ref="M77">IF($A77="", "", LET(bbgm_stat, INDEX(Players!$A76:$P76, MATCH(M$2, Players!$A$1:$P$1, 0)), perc_75, VLOOKUP(M$2, Percentiles!$A$45:$I$59, 6, FALSE), perc_90, VLOOKUP(M$2, Percentiles!$A$45:$I$59, 7, FALSE), perc_95, VLOOKUP(M$2, Percentiles!$A$45:$I$59, 8, FALSE), perc_85, perc_75 + (perc_90 - perc_75) * (2/3), converted_stat, '2K_Ratings'!M77, IF(bbgm_stat &gt;= perc_95, converted_stat * 3, IF(bbgm_stat &gt;= perc_90, converted_stat * 2, IF(bbgm_stat &gt;= perc_85, converted_stat * 1.5, converted_stat)))))</f>
        <v/>
      </c>
      <c r="N77" s="30" t="str">
        <f t="array" ref="N77">IF($A77="", "", LET(bbgm_stat, INDEX(Players!$A76:$P76, MATCH(N$2, Players!$A$1:$P$1, 0)), perc_75, VLOOKUP(N$2, Percentiles!$A$45:$I$59, 6, FALSE), perc_90, VLOOKUP(N$2, Percentiles!$A$45:$I$59, 7, FALSE), perc_95, VLOOKUP(N$2, Percentiles!$A$45:$I$59, 8, FALSE), perc_85, perc_75 + (perc_90 - perc_75) * (2/3), converted_stat, '2K_Ratings'!N77, IF(bbgm_stat &gt;= perc_95, converted_stat * 3, IF(bbgm_stat &gt;= perc_90, converted_stat * 2, IF(bbgm_stat &gt;= perc_85, converted_stat * 1.5, converted_stat)))))</f>
        <v/>
      </c>
      <c r="O77" s="30" t="str">
        <f t="array" ref="O77">IF($A77="", "", LET(bbgm_stat, INDEX(Players!$A76:$P76, MATCH(O$2, Players!$A$1:$P$1, 0)), perc_75, VLOOKUP(O$2, Percentiles!$A$45:$I$59, 6, FALSE), perc_90, VLOOKUP(O$2, Percentiles!$A$45:$I$59, 7, FALSE), perc_95, VLOOKUP(O$2, Percentiles!$A$45:$I$59, 8, FALSE), perc_85, perc_75 + (perc_90 - perc_75) * (2/3), converted_stat, '2K_Ratings'!O77, IF(bbgm_stat &gt;= perc_95, converted_stat * 3, IF(bbgm_stat &gt;= perc_90, converted_stat * 2, IF(bbgm_stat &gt;= perc_85, converted_stat * 1.5, converted_stat)))))</f>
        <v/>
      </c>
      <c r="P77" s="30" t="str">
        <f t="array" ref="P77">IF($A77="", "", LET(bbgm_stat, INDEX(Players!$A76:$P76, MATCH(P$2, Players!$A$1:$P$1, 0)), perc_75, VLOOKUP(P$2, Percentiles!$A$45:$I$59, 6, FALSE), perc_90, VLOOKUP(P$2, Percentiles!$A$45:$I$59, 7, FALSE), perc_95, VLOOKUP(P$2, Percentiles!$A$45:$I$59, 8, FALSE), perc_85, perc_75 + (perc_90 - perc_75) * (2/3), converted_stat, '2K_Ratings'!P77, IF(bbgm_stat &gt;= perc_95, converted_stat * 3, IF(bbgm_stat &gt;= perc_90, converted_stat * 2, IF(bbgm_stat &gt;= perc_85, converted_stat * 1.5, converted_stat)))))</f>
        <v/>
      </c>
      <c r="Q77" s="30" t="str">
        <f t="array" ref="Q77">IF($A77="", "", LET(bbgm_stat, INDEX(Players!$A76:$P76, MATCH(Q$2, Players!$A$1:$P$1, 0)), perc_75, VLOOKUP(Q$2, Percentiles!$A$45:$I$59, 6, FALSE), perc_90, VLOOKUP(Q$2, Percentiles!$A$45:$I$59, 7, FALSE), perc_95, VLOOKUP(Q$2, Percentiles!$A$45:$I$59, 8, FALSE), perc_85, perc_75 + (perc_90 - perc_75) * (2/3), converted_stat, '2K_Ratings'!Q77, IF(bbgm_stat &gt;= perc_95, converted_stat * 3, IF(bbgm_stat &gt;= perc_90, converted_stat * 2, IF(bbgm_stat &gt;= perc_85, converted_stat * 1.5, converted_stat)))))</f>
        <v/>
      </c>
      <c r="R77" s="30" t="str">
        <f t="array" ref="R77">IF($A77="", "", LET(bbgm_stat, INDEX(Players!$A76:$P76, MATCH(R$2, Players!$A$1:$P$1, 0)), perc_75, VLOOKUP(R$2, Percentiles!$A$45:$I$59, 6, FALSE), perc_90, VLOOKUP(R$2, Percentiles!$A$45:$I$59, 7, FALSE), perc_95, VLOOKUP(R$2, Percentiles!$A$45:$I$59, 8, FALSE), perc_85, perc_75 + (perc_90 - perc_75) * (2/3), converted_stat, '2K_Ratings'!R77, IF(bbgm_stat &gt;= perc_95, converted_stat * 3, IF(bbgm_stat &gt;= perc_90, converted_stat * 2, IF(bbgm_stat &gt;= perc_85, converted_stat * 1.5, converted_stat)))))</f>
        <v/>
      </c>
      <c r="S77" s="30" t="str">
        <f t="array" ref="S77">IF($A77="", "", LET(bbgm_stat, INDEX(Players!$A76:$P76, MATCH(S$2, Players!$A$1:$P$1, 0)), perc_75, VLOOKUP(S$2, Percentiles!$A$45:$I$59, 6, FALSE), perc_90, VLOOKUP(S$2, Percentiles!$A$45:$I$59, 7, FALSE), perc_95, VLOOKUP(S$2, Percentiles!$A$45:$I$59, 8, FALSE), perc_85, perc_75 + (perc_90 - perc_75) * (2/3), converted_stat, '2K_Ratings'!S77, IF(bbgm_stat &gt;= perc_95, converted_stat * 3, IF(bbgm_stat &gt;= perc_90, converted_stat * 2, IF(bbgm_stat &gt;= perc_85, converted_stat * 1.5, converted_stat)))))</f>
        <v/>
      </c>
      <c r="T77" s="30" t="str">
        <f t="array" ref="T77">IF($A77="", "", LET(bbgm_stat, INDEX(Players!$A76:$P76, MATCH(T$2, Players!$A$1:$P$1, 0)), perc_75, VLOOKUP(T$2, Percentiles!$A$45:$I$59, 6, FALSE), perc_90, VLOOKUP(T$2, Percentiles!$A$45:$I$59, 7, FALSE), perc_95, VLOOKUP(T$2, Percentiles!$A$45:$I$59, 8, FALSE), perc_85, perc_75 + (perc_90 - perc_75) * (2/3), converted_stat, '2K_Ratings'!T77, IF(bbgm_stat &gt;= perc_95, converted_stat * 3, IF(bbgm_stat &gt;= perc_90, converted_stat * 2, IF(bbgm_stat &gt;= perc_85, converted_stat * 1.5, converted_stat)))))</f>
        <v/>
      </c>
      <c r="U77" s="30" t="str">
        <f t="array" ref="U77">IF($A77="", "", LET(bbgm_stat, INDEX(Players!$A76:$P76, MATCH(U$2, Players!$A$1:$P$1, 0)), perc_75, VLOOKUP(U$2, Percentiles!$A$45:$I$59, 6, FALSE), perc_90, VLOOKUP(U$2, Percentiles!$A$45:$I$59, 7, FALSE), perc_95, VLOOKUP(U$2, Percentiles!$A$45:$I$59, 8, FALSE), perc_85, perc_75 + (perc_90 - perc_75) * (2/3), converted_stat, '2K_Ratings'!U77, IF(bbgm_stat &gt;= perc_95, converted_stat * 3, IF(bbgm_stat &gt;= perc_90, converted_stat * 2, IF(bbgm_stat &gt;= perc_85, converted_stat * 1.5, converted_stat)))))</f>
        <v/>
      </c>
      <c r="V77" s="30" t="str">
        <f t="array" ref="V77">IF($A77="", "", LET(bbgm_stat, INDEX(Players!$A76:$P76, MATCH(V$2, Players!$A$1:$P$1, 0)), perc_75, VLOOKUP(V$2, Percentiles!$A$45:$I$59, 6, FALSE), perc_90, VLOOKUP(V$2, Percentiles!$A$45:$I$59, 7, FALSE), perc_95, VLOOKUP(V$2, Percentiles!$A$45:$I$59, 8, FALSE), perc_85, perc_75 + (perc_90 - perc_75) * (2/3), converted_stat, '2K_Ratings'!V77, IF(bbgm_stat &gt;= perc_95, converted_stat * 3, IF(bbgm_stat &gt;= perc_90, converted_stat * 2, IF(bbgm_stat &gt;= perc_85, converted_stat * 1.5, converted_stat)))))</f>
        <v/>
      </c>
      <c r="W77" s="30" t="str">
        <f t="array" ref="W77">IF($A77="", "", LET(bbgm_stat, INDEX(Players!$A76:$P76, MATCH(W$2, Players!$A$1:$P$1, 0)), perc_75, VLOOKUP(W$2, Percentiles!$A$45:$I$59, 6, FALSE), perc_90, VLOOKUP(W$2, Percentiles!$A$45:$I$59, 7, FALSE), perc_95, VLOOKUP(W$2, Percentiles!$A$45:$I$59, 8, FALSE), perc_85, perc_75 + (perc_90 - perc_75) * (2/3), converted_stat, '2K_Ratings'!W77, IF(bbgm_stat &gt;= perc_95, converted_stat * 3, IF(bbgm_stat &gt;= perc_90, converted_stat * 2, IF(bbgm_stat &gt;= perc_85, converted_stat * 1.5, converted_stat)))))</f>
        <v/>
      </c>
    </row>
    <row r="78">
      <c r="A78" s="30" t="str">
        <f>IF(Players!A77="", "", Players!A77)</f>
        <v/>
      </c>
      <c r="B78" s="30" t="str">
        <f t="array" ref="B78">IF($A78="", "", LET(bbgm_stat, INDEX(Players!$A77:$P77, MATCH(B$2, Players!$A$1:$P$1, 0)), perc_75, VLOOKUP(B$2, Percentiles!$A$45:$I$59, 6, FALSE), perc_90, VLOOKUP(B$2, Percentiles!$A$45:$I$59, 7, FALSE), perc_95, VLOOKUP(B$2, Percentiles!$A$45:$I$59, 8, FALSE), perc_85, perc_75 + (perc_90 - perc_75) * (2/3), converted_stat, '2K_Ratings'!B78, IF(bbgm_stat &gt;= perc_95, converted_stat * 3, IF(bbgm_stat &gt;= perc_90, converted_stat * 2, IF(bbgm_stat &gt;= perc_85, converted_stat * 1.5, converted_stat)))))</f>
        <v/>
      </c>
      <c r="C78" s="30" t="str">
        <f t="array" ref="C78">IF($A78="", "", LET(bbgm_stat, INDEX(Players!$A77:$P77, MATCH(C$2, Players!$A$1:$P$1, 0)), perc_75, VLOOKUP(C$2, Percentiles!$A$45:$I$59, 6, FALSE), perc_90, VLOOKUP(C$2, Percentiles!$A$45:$I$59, 7, FALSE), perc_95, VLOOKUP(C$2, Percentiles!$A$45:$I$59, 8, FALSE), perc_85, perc_75 + (perc_90 - perc_75) * (2/3), converted_stat, '2K_Ratings'!C78, IF(bbgm_stat &gt;= perc_95, converted_stat * 3, IF(bbgm_stat &gt;= perc_90, converted_stat * 2, IF(bbgm_stat &gt;= perc_85, converted_stat * 1.5, converted_stat)))))</f>
        <v/>
      </c>
      <c r="D78" s="30" t="str">
        <f t="array" ref="D78">IF($A78="", "", LET(bbgm_stat, INDEX(Players!$A77:$P77, MATCH(D$2, Players!$A$1:$P$1, 0)), perc_75, VLOOKUP(D$2, Percentiles!$A$45:$I$59, 6, FALSE), perc_90, VLOOKUP(D$2, Percentiles!$A$45:$I$59, 7, FALSE), perc_95, VLOOKUP(D$2, Percentiles!$A$45:$I$59, 8, FALSE), perc_85, perc_75 + (perc_90 - perc_75) * (2/3), converted_stat, '2K_Ratings'!D78, IF(bbgm_stat &gt;= perc_95, converted_stat * 3, IF(bbgm_stat &gt;= perc_90, converted_stat * 2, IF(bbgm_stat &gt;= perc_85, converted_stat * 1.5, converted_stat)))))</f>
        <v/>
      </c>
      <c r="E78" s="30" t="str">
        <f t="array" ref="E78">IF($A78="", "", LET(bbgm_stat, INDEX(Players!$A77:$P77, MATCH(E$2, Players!$A$1:$P$1, 0)), perc_75, VLOOKUP(E$2, Percentiles!$A$45:$I$59, 6, FALSE), perc_90, VLOOKUP(E$2, Percentiles!$A$45:$I$59, 7, FALSE), perc_95, VLOOKUP(E$2, Percentiles!$A$45:$I$59, 8, FALSE), perc_85, perc_75 + (perc_90 - perc_75) * (2/3), converted_stat, '2K_Ratings'!E78, IF(bbgm_stat &gt;= perc_95, converted_stat * 3, IF(bbgm_stat &gt;= perc_90, converted_stat * 2, IF(bbgm_stat &gt;= perc_85, converted_stat * 1.5, converted_stat)))))</f>
        <v/>
      </c>
      <c r="F78" s="30" t="str">
        <f t="array" ref="F78">IF($A78="", "", LET(bbgm_stat, INDEX(Players!$A77:$P77, MATCH(F$2, Players!$A$1:$P$1, 0)), perc_75, VLOOKUP(F$2, Percentiles!$A$45:$I$59, 6, FALSE), perc_90, VLOOKUP(F$2, Percentiles!$A$45:$I$59, 7, FALSE), perc_95, VLOOKUP(F$2, Percentiles!$A$45:$I$59, 8, FALSE), perc_85, perc_75 + (perc_90 - perc_75) * (2/3), converted_stat, '2K_Ratings'!F78, IF(bbgm_stat &gt;= perc_95, converted_stat * 3, IF(bbgm_stat &gt;= perc_90, converted_stat * 2, IF(bbgm_stat &gt;= perc_85, converted_stat * 1.5, converted_stat)))))</f>
        <v/>
      </c>
      <c r="G78" s="30" t="str">
        <f t="array" ref="G78">IF($A78="", "", LET(bbgm_stat, INDEX(Players!$A77:$P77, MATCH(G$2, Players!$A$1:$P$1, 0)), perc_75, VLOOKUP(G$2, Percentiles!$A$45:$I$59, 6, FALSE), perc_90, VLOOKUP(G$2, Percentiles!$A$45:$I$59, 7, FALSE), perc_95, VLOOKUP(G$2, Percentiles!$A$45:$I$59, 8, FALSE), perc_85, perc_75 + (perc_90 - perc_75) * (2/3), converted_stat, '2K_Ratings'!G78, IF(bbgm_stat &gt;= perc_95, converted_stat * 3, IF(bbgm_stat &gt;= perc_90, converted_stat * 2, IF(bbgm_stat &gt;= perc_85, converted_stat * 1.5, converted_stat)))))</f>
        <v/>
      </c>
      <c r="H78" s="30" t="str">
        <f t="array" ref="H78">IF($A78="", "", LET(bbgm_stat, INDEX(Players!$A77:$P77, MATCH(H$2, Players!$A$1:$P$1, 0)), perc_75, VLOOKUP(H$2, Percentiles!$A$45:$I$59, 6, FALSE), perc_90, VLOOKUP(H$2, Percentiles!$A$45:$I$59, 7, FALSE), perc_95, VLOOKUP(H$2, Percentiles!$A$45:$I$59, 8, FALSE), perc_85, perc_75 + (perc_90 - perc_75) * (2/3), converted_stat, '2K_Ratings'!H78, IF(bbgm_stat &gt;= perc_95, converted_stat * 3, IF(bbgm_stat &gt;= perc_90, converted_stat * 2, IF(bbgm_stat &gt;= perc_85, converted_stat * 1.5, converted_stat)))))</f>
        <v/>
      </c>
      <c r="I78" s="30" t="str">
        <f t="array" ref="I78">IF($A78="", "", LET(bbgm_stat, INDEX(Players!$A77:$P77, MATCH(I$2, Players!$A$1:$P$1, 0)), perc_75, VLOOKUP(I$2, Percentiles!$A$45:$I$59, 6, FALSE), perc_90, VLOOKUP(I$2, Percentiles!$A$45:$I$59, 7, FALSE), perc_95, VLOOKUP(I$2, Percentiles!$A$45:$I$59, 8, FALSE), perc_85, perc_75 + (perc_90 - perc_75) * (2/3), converted_stat, '2K_Ratings'!I78, IF(bbgm_stat &gt;= perc_95, converted_stat * 3, IF(bbgm_stat &gt;= perc_90, converted_stat * 2, IF(bbgm_stat &gt;= perc_85, converted_stat * 1.5, converted_stat)))))</f>
        <v/>
      </c>
      <c r="J78" s="30" t="str">
        <f t="array" ref="J78">IF($A78="", "", LET(bbgm_stat, INDEX(Players!$A77:$P77, MATCH(J$2, Players!$A$1:$P$1, 0)), perc_75, VLOOKUP(J$2, Percentiles!$A$45:$I$59, 6, FALSE), perc_90, VLOOKUP(J$2, Percentiles!$A$45:$I$59, 7, FALSE), perc_95, VLOOKUP(J$2, Percentiles!$A$45:$I$59, 8, FALSE), perc_85, perc_75 + (perc_90 - perc_75) * (2/3), converted_stat, '2K_Ratings'!J78, IF(bbgm_stat &gt;= perc_95, converted_stat * 3, IF(bbgm_stat &gt;= perc_90, converted_stat * 2, IF(bbgm_stat &gt;= perc_85, converted_stat * 1.5, converted_stat)))))</f>
        <v/>
      </c>
      <c r="K78" s="30" t="str">
        <f t="array" ref="K78">IF($A78="", "", LET(bbgm_stat, INDEX(Players!$A77:$P77, MATCH(K$2, Players!$A$1:$P$1, 0)), perc_75, VLOOKUP(K$2, Percentiles!$A$45:$I$59, 6, FALSE), perc_90, VLOOKUP(K$2, Percentiles!$A$45:$I$59, 7, FALSE), perc_95, VLOOKUP(K$2, Percentiles!$A$45:$I$59, 8, FALSE), perc_85, perc_75 + (perc_90 - perc_75) * (2/3), converted_stat, '2K_Ratings'!K78, IF(bbgm_stat &gt;= perc_95, converted_stat * 3, IF(bbgm_stat &gt;= perc_90, converted_stat * 2, IF(bbgm_stat &gt;= perc_85, converted_stat * 1.5, converted_stat)))))</f>
        <v/>
      </c>
      <c r="L78" s="30" t="str">
        <f t="array" ref="L78">IF($A78="", "", LET(bbgm_stat, INDEX(Players!$A77:$P77, MATCH(L$2, Players!$A$1:$P$1, 0)), perc_75, VLOOKUP(L$2, Percentiles!$A$45:$I$59, 6, FALSE), perc_90, VLOOKUP(L$2, Percentiles!$A$45:$I$59, 7, FALSE), perc_95, VLOOKUP(L$2, Percentiles!$A$45:$I$59, 8, FALSE), perc_85, perc_75 + (perc_90 - perc_75) * (2/3), converted_stat, '2K_Ratings'!L78, IF(bbgm_stat &gt;= perc_95, converted_stat * 3, IF(bbgm_stat &gt;= perc_90, converted_stat * 2, IF(bbgm_stat &gt;= perc_85, converted_stat * 1.5, converted_stat)))))</f>
        <v/>
      </c>
      <c r="M78" s="30" t="str">
        <f t="array" ref="M78">IF($A78="", "", LET(bbgm_stat, INDEX(Players!$A77:$P77, MATCH(M$2, Players!$A$1:$P$1, 0)), perc_75, VLOOKUP(M$2, Percentiles!$A$45:$I$59, 6, FALSE), perc_90, VLOOKUP(M$2, Percentiles!$A$45:$I$59, 7, FALSE), perc_95, VLOOKUP(M$2, Percentiles!$A$45:$I$59, 8, FALSE), perc_85, perc_75 + (perc_90 - perc_75) * (2/3), converted_stat, '2K_Ratings'!M78, IF(bbgm_stat &gt;= perc_95, converted_stat * 3, IF(bbgm_stat &gt;= perc_90, converted_stat * 2, IF(bbgm_stat &gt;= perc_85, converted_stat * 1.5, converted_stat)))))</f>
        <v/>
      </c>
      <c r="N78" s="30" t="str">
        <f t="array" ref="N78">IF($A78="", "", LET(bbgm_stat, INDEX(Players!$A77:$P77, MATCH(N$2, Players!$A$1:$P$1, 0)), perc_75, VLOOKUP(N$2, Percentiles!$A$45:$I$59, 6, FALSE), perc_90, VLOOKUP(N$2, Percentiles!$A$45:$I$59, 7, FALSE), perc_95, VLOOKUP(N$2, Percentiles!$A$45:$I$59, 8, FALSE), perc_85, perc_75 + (perc_90 - perc_75) * (2/3), converted_stat, '2K_Ratings'!N78, IF(bbgm_stat &gt;= perc_95, converted_stat * 3, IF(bbgm_stat &gt;= perc_90, converted_stat * 2, IF(bbgm_stat &gt;= perc_85, converted_stat * 1.5, converted_stat)))))</f>
        <v/>
      </c>
      <c r="O78" s="30" t="str">
        <f t="array" ref="O78">IF($A78="", "", LET(bbgm_stat, INDEX(Players!$A77:$P77, MATCH(O$2, Players!$A$1:$P$1, 0)), perc_75, VLOOKUP(O$2, Percentiles!$A$45:$I$59, 6, FALSE), perc_90, VLOOKUP(O$2, Percentiles!$A$45:$I$59, 7, FALSE), perc_95, VLOOKUP(O$2, Percentiles!$A$45:$I$59, 8, FALSE), perc_85, perc_75 + (perc_90 - perc_75) * (2/3), converted_stat, '2K_Ratings'!O78, IF(bbgm_stat &gt;= perc_95, converted_stat * 3, IF(bbgm_stat &gt;= perc_90, converted_stat * 2, IF(bbgm_stat &gt;= perc_85, converted_stat * 1.5, converted_stat)))))</f>
        <v/>
      </c>
      <c r="P78" s="30" t="str">
        <f t="array" ref="P78">IF($A78="", "", LET(bbgm_stat, INDEX(Players!$A77:$P77, MATCH(P$2, Players!$A$1:$P$1, 0)), perc_75, VLOOKUP(P$2, Percentiles!$A$45:$I$59, 6, FALSE), perc_90, VLOOKUP(P$2, Percentiles!$A$45:$I$59, 7, FALSE), perc_95, VLOOKUP(P$2, Percentiles!$A$45:$I$59, 8, FALSE), perc_85, perc_75 + (perc_90 - perc_75) * (2/3), converted_stat, '2K_Ratings'!P78, IF(bbgm_stat &gt;= perc_95, converted_stat * 3, IF(bbgm_stat &gt;= perc_90, converted_stat * 2, IF(bbgm_stat &gt;= perc_85, converted_stat * 1.5, converted_stat)))))</f>
        <v/>
      </c>
      <c r="Q78" s="30" t="str">
        <f t="array" ref="Q78">IF($A78="", "", LET(bbgm_stat, INDEX(Players!$A77:$P77, MATCH(Q$2, Players!$A$1:$P$1, 0)), perc_75, VLOOKUP(Q$2, Percentiles!$A$45:$I$59, 6, FALSE), perc_90, VLOOKUP(Q$2, Percentiles!$A$45:$I$59, 7, FALSE), perc_95, VLOOKUP(Q$2, Percentiles!$A$45:$I$59, 8, FALSE), perc_85, perc_75 + (perc_90 - perc_75) * (2/3), converted_stat, '2K_Ratings'!Q78, IF(bbgm_stat &gt;= perc_95, converted_stat * 3, IF(bbgm_stat &gt;= perc_90, converted_stat * 2, IF(bbgm_stat &gt;= perc_85, converted_stat * 1.5, converted_stat)))))</f>
        <v/>
      </c>
      <c r="R78" s="30" t="str">
        <f t="array" ref="R78">IF($A78="", "", LET(bbgm_stat, INDEX(Players!$A77:$P77, MATCH(R$2, Players!$A$1:$P$1, 0)), perc_75, VLOOKUP(R$2, Percentiles!$A$45:$I$59, 6, FALSE), perc_90, VLOOKUP(R$2, Percentiles!$A$45:$I$59, 7, FALSE), perc_95, VLOOKUP(R$2, Percentiles!$A$45:$I$59, 8, FALSE), perc_85, perc_75 + (perc_90 - perc_75) * (2/3), converted_stat, '2K_Ratings'!R78, IF(bbgm_stat &gt;= perc_95, converted_stat * 3, IF(bbgm_stat &gt;= perc_90, converted_stat * 2, IF(bbgm_stat &gt;= perc_85, converted_stat * 1.5, converted_stat)))))</f>
        <v/>
      </c>
      <c r="S78" s="30" t="str">
        <f t="array" ref="S78">IF($A78="", "", LET(bbgm_stat, INDEX(Players!$A77:$P77, MATCH(S$2, Players!$A$1:$P$1, 0)), perc_75, VLOOKUP(S$2, Percentiles!$A$45:$I$59, 6, FALSE), perc_90, VLOOKUP(S$2, Percentiles!$A$45:$I$59, 7, FALSE), perc_95, VLOOKUP(S$2, Percentiles!$A$45:$I$59, 8, FALSE), perc_85, perc_75 + (perc_90 - perc_75) * (2/3), converted_stat, '2K_Ratings'!S78, IF(bbgm_stat &gt;= perc_95, converted_stat * 3, IF(bbgm_stat &gt;= perc_90, converted_stat * 2, IF(bbgm_stat &gt;= perc_85, converted_stat * 1.5, converted_stat)))))</f>
        <v/>
      </c>
      <c r="T78" s="30" t="str">
        <f t="array" ref="T78">IF($A78="", "", LET(bbgm_stat, INDEX(Players!$A77:$P77, MATCH(T$2, Players!$A$1:$P$1, 0)), perc_75, VLOOKUP(T$2, Percentiles!$A$45:$I$59, 6, FALSE), perc_90, VLOOKUP(T$2, Percentiles!$A$45:$I$59, 7, FALSE), perc_95, VLOOKUP(T$2, Percentiles!$A$45:$I$59, 8, FALSE), perc_85, perc_75 + (perc_90 - perc_75) * (2/3), converted_stat, '2K_Ratings'!T78, IF(bbgm_stat &gt;= perc_95, converted_stat * 3, IF(bbgm_stat &gt;= perc_90, converted_stat * 2, IF(bbgm_stat &gt;= perc_85, converted_stat * 1.5, converted_stat)))))</f>
        <v/>
      </c>
      <c r="U78" s="30" t="str">
        <f t="array" ref="U78">IF($A78="", "", LET(bbgm_stat, INDEX(Players!$A77:$P77, MATCH(U$2, Players!$A$1:$P$1, 0)), perc_75, VLOOKUP(U$2, Percentiles!$A$45:$I$59, 6, FALSE), perc_90, VLOOKUP(U$2, Percentiles!$A$45:$I$59, 7, FALSE), perc_95, VLOOKUP(U$2, Percentiles!$A$45:$I$59, 8, FALSE), perc_85, perc_75 + (perc_90 - perc_75) * (2/3), converted_stat, '2K_Ratings'!U78, IF(bbgm_stat &gt;= perc_95, converted_stat * 3, IF(bbgm_stat &gt;= perc_90, converted_stat * 2, IF(bbgm_stat &gt;= perc_85, converted_stat * 1.5, converted_stat)))))</f>
        <v/>
      </c>
      <c r="V78" s="30" t="str">
        <f t="array" ref="V78">IF($A78="", "", LET(bbgm_stat, INDEX(Players!$A77:$P77, MATCH(V$2, Players!$A$1:$P$1, 0)), perc_75, VLOOKUP(V$2, Percentiles!$A$45:$I$59, 6, FALSE), perc_90, VLOOKUP(V$2, Percentiles!$A$45:$I$59, 7, FALSE), perc_95, VLOOKUP(V$2, Percentiles!$A$45:$I$59, 8, FALSE), perc_85, perc_75 + (perc_90 - perc_75) * (2/3), converted_stat, '2K_Ratings'!V78, IF(bbgm_stat &gt;= perc_95, converted_stat * 3, IF(bbgm_stat &gt;= perc_90, converted_stat * 2, IF(bbgm_stat &gt;= perc_85, converted_stat * 1.5, converted_stat)))))</f>
        <v/>
      </c>
      <c r="W78" s="30" t="str">
        <f t="array" ref="W78">IF($A78="", "", LET(bbgm_stat, INDEX(Players!$A77:$P77, MATCH(W$2, Players!$A$1:$P$1, 0)), perc_75, VLOOKUP(W$2, Percentiles!$A$45:$I$59, 6, FALSE), perc_90, VLOOKUP(W$2, Percentiles!$A$45:$I$59, 7, FALSE), perc_95, VLOOKUP(W$2, Percentiles!$A$45:$I$59, 8, FALSE), perc_85, perc_75 + (perc_90 - perc_75) * (2/3), converted_stat, '2K_Ratings'!W78, IF(bbgm_stat &gt;= perc_95, converted_stat * 3, IF(bbgm_stat &gt;= perc_90, converted_stat * 2, IF(bbgm_stat &gt;= perc_85, converted_stat * 1.5, converted_stat)))))</f>
        <v/>
      </c>
    </row>
    <row r="79">
      <c r="A79" s="30" t="str">
        <f>IF(Players!A78="", "", Players!A78)</f>
        <v/>
      </c>
      <c r="B79" s="30" t="str">
        <f t="array" ref="B79">IF($A79="", "", LET(bbgm_stat, INDEX(Players!$A78:$P78, MATCH(B$2, Players!$A$1:$P$1, 0)), perc_75, VLOOKUP(B$2, Percentiles!$A$45:$I$59, 6, FALSE), perc_90, VLOOKUP(B$2, Percentiles!$A$45:$I$59, 7, FALSE), perc_95, VLOOKUP(B$2, Percentiles!$A$45:$I$59, 8, FALSE), perc_85, perc_75 + (perc_90 - perc_75) * (2/3), converted_stat, '2K_Ratings'!B79, IF(bbgm_stat &gt;= perc_95, converted_stat * 3, IF(bbgm_stat &gt;= perc_90, converted_stat * 2, IF(bbgm_stat &gt;= perc_85, converted_stat * 1.5, converted_stat)))))</f>
        <v/>
      </c>
      <c r="C79" s="30" t="str">
        <f t="array" ref="C79">IF($A79="", "", LET(bbgm_stat, INDEX(Players!$A78:$P78, MATCH(C$2, Players!$A$1:$P$1, 0)), perc_75, VLOOKUP(C$2, Percentiles!$A$45:$I$59, 6, FALSE), perc_90, VLOOKUP(C$2, Percentiles!$A$45:$I$59, 7, FALSE), perc_95, VLOOKUP(C$2, Percentiles!$A$45:$I$59, 8, FALSE), perc_85, perc_75 + (perc_90 - perc_75) * (2/3), converted_stat, '2K_Ratings'!C79, IF(bbgm_stat &gt;= perc_95, converted_stat * 3, IF(bbgm_stat &gt;= perc_90, converted_stat * 2, IF(bbgm_stat &gt;= perc_85, converted_stat * 1.5, converted_stat)))))</f>
        <v/>
      </c>
      <c r="D79" s="30" t="str">
        <f t="array" ref="D79">IF($A79="", "", LET(bbgm_stat, INDEX(Players!$A78:$P78, MATCH(D$2, Players!$A$1:$P$1, 0)), perc_75, VLOOKUP(D$2, Percentiles!$A$45:$I$59, 6, FALSE), perc_90, VLOOKUP(D$2, Percentiles!$A$45:$I$59, 7, FALSE), perc_95, VLOOKUP(D$2, Percentiles!$A$45:$I$59, 8, FALSE), perc_85, perc_75 + (perc_90 - perc_75) * (2/3), converted_stat, '2K_Ratings'!D79, IF(bbgm_stat &gt;= perc_95, converted_stat * 3, IF(bbgm_stat &gt;= perc_90, converted_stat * 2, IF(bbgm_stat &gt;= perc_85, converted_stat * 1.5, converted_stat)))))</f>
        <v/>
      </c>
      <c r="E79" s="30" t="str">
        <f t="array" ref="E79">IF($A79="", "", LET(bbgm_stat, INDEX(Players!$A78:$P78, MATCH(E$2, Players!$A$1:$P$1, 0)), perc_75, VLOOKUP(E$2, Percentiles!$A$45:$I$59, 6, FALSE), perc_90, VLOOKUP(E$2, Percentiles!$A$45:$I$59, 7, FALSE), perc_95, VLOOKUP(E$2, Percentiles!$A$45:$I$59, 8, FALSE), perc_85, perc_75 + (perc_90 - perc_75) * (2/3), converted_stat, '2K_Ratings'!E79, IF(bbgm_stat &gt;= perc_95, converted_stat * 3, IF(bbgm_stat &gt;= perc_90, converted_stat * 2, IF(bbgm_stat &gt;= perc_85, converted_stat * 1.5, converted_stat)))))</f>
        <v/>
      </c>
      <c r="F79" s="30" t="str">
        <f t="array" ref="F79">IF($A79="", "", LET(bbgm_stat, INDEX(Players!$A78:$P78, MATCH(F$2, Players!$A$1:$P$1, 0)), perc_75, VLOOKUP(F$2, Percentiles!$A$45:$I$59, 6, FALSE), perc_90, VLOOKUP(F$2, Percentiles!$A$45:$I$59, 7, FALSE), perc_95, VLOOKUP(F$2, Percentiles!$A$45:$I$59, 8, FALSE), perc_85, perc_75 + (perc_90 - perc_75) * (2/3), converted_stat, '2K_Ratings'!F79, IF(bbgm_stat &gt;= perc_95, converted_stat * 3, IF(bbgm_stat &gt;= perc_90, converted_stat * 2, IF(bbgm_stat &gt;= perc_85, converted_stat * 1.5, converted_stat)))))</f>
        <v/>
      </c>
      <c r="G79" s="30" t="str">
        <f t="array" ref="G79">IF($A79="", "", LET(bbgm_stat, INDEX(Players!$A78:$P78, MATCH(G$2, Players!$A$1:$P$1, 0)), perc_75, VLOOKUP(G$2, Percentiles!$A$45:$I$59, 6, FALSE), perc_90, VLOOKUP(G$2, Percentiles!$A$45:$I$59, 7, FALSE), perc_95, VLOOKUP(G$2, Percentiles!$A$45:$I$59, 8, FALSE), perc_85, perc_75 + (perc_90 - perc_75) * (2/3), converted_stat, '2K_Ratings'!G79, IF(bbgm_stat &gt;= perc_95, converted_stat * 3, IF(bbgm_stat &gt;= perc_90, converted_stat * 2, IF(bbgm_stat &gt;= perc_85, converted_stat * 1.5, converted_stat)))))</f>
        <v/>
      </c>
      <c r="H79" s="30" t="str">
        <f t="array" ref="H79">IF($A79="", "", LET(bbgm_stat, INDEX(Players!$A78:$P78, MATCH(H$2, Players!$A$1:$P$1, 0)), perc_75, VLOOKUP(H$2, Percentiles!$A$45:$I$59, 6, FALSE), perc_90, VLOOKUP(H$2, Percentiles!$A$45:$I$59, 7, FALSE), perc_95, VLOOKUP(H$2, Percentiles!$A$45:$I$59, 8, FALSE), perc_85, perc_75 + (perc_90 - perc_75) * (2/3), converted_stat, '2K_Ratings'!H79, IF(bbgm_stat &gt;= perc_95, converted_stat * 3, IF(bbgm_stat &gt;= perc_90, converted_stat * 2, IF(bbgm_stat &gt;= perc_85, converted_stat * 1.5, converted_stat)))))</f>
        <v/>
      </c>
      <c r="I79" s="30" t="str">
        <f t="array" ref="I79">IF($A79="", "", LET(bbgm_stat, INDEX(Players!$A78:$P78, MATCH(I$2, Players!$A$1:$P$1, 0)), perc_75, VLOOKUP(I$2, Percentiles!$A$45:$I$59, 6, FALSE), perc_90, VLOOKUP(I$2, Percentiles!$A$45:$I$59, 7, FALSE), perc_95, VLOOKUP(I$2, Percentiles!$A$45:$I$59, 8, FALSE), perc_85, perc_75 + (perc_90 - perc_75) * (2/3), converted_stat, '2K_Ratings'!I79, IF(bbgm_stat &gt;= perc_95, converted_stat * 3, IF(bbgm_stat &gt;= perc_90, converted_stat * 2, IF(bbgm_stat &gt;= perc_85, converted_stat * 1.5, converted_stat)))))</f>
        <v/>
      </c>
      <c r="J79" s="30" t="str">
        <f t="array" ref="J79">IF($A79="", "", LET(bbgm_stat, INDEX(Players!$A78:$P78, MATCH(J$2, Players!$A$1:$P$1, 0)), perc_75, VLOOKUP(J$2, Percentiles!$A$45:$I$59, 6, FALSE), perc_90, VLOOKUP(J$2, Percentiles!$A$45:$I$59, 7, FALSE), perc_95, VLOOKUP(J$2, Percentiles!$A$45:$I$59, 8, FALSE), perc_85, perc_75 + (perc_90 - perc_75) * (2/3), converted_stat, '2K_Ratings'!J79, IF(bbgm_stat &gt;= perc_95, converted_stat * 3, IF(bbgm_stat &gt;= perc_90, converted_stat * 2, IF(bbgm_stat &gt;= perc_85, converted_stat * 1.5, converted_stat)))))</f>
        <v/>
      </c>
      <c r="K79" s="30" t="str">
        <f t="array" ref="K79">IF($A79="", "", LET(bbgm_stat, INDEX(Players!$A78:$P78, MATCH(K$2, Players!$A$1:$P$1, 0)), perc_75, VLOOKUP(K$2, Percentiles!$A$45:$I$59, 6, FALSE), perc_90, VLOOKUP(K$2, Percentiles!$A$45:$I$59, 7, FALSE), perc_95, VLOOKUP(K$2, Percentiles!$A$45:$I$59, 8, FALSE), perc_85, perc_75 + (perc_90 - perc_75) * (2/3), converted_stat, '2K_Ratings'!K79, IF(bbgm_stat &gt;= perc_95, converted_stat * 3, IF(bbgm_stat &gt;= perc_90, converted_stat * 2, IF(bbgm_stat &gt;= perc_85, converted_stat * 1.5, converted_stat)))))</f>
        <v/>
      </c>
      <c r="L79" s="30" t="str">
        <f t="array" ref="L79">IF($A79="", "", LET(bbgm_stat, INDEX(Players!$A78:$P78, MATCH(L$2, Players!$A$1:$P$1, 0)), perc_75, VLOOKUP(L$2, Percentiles!$A$45:$I$59, 6, FALSE), perc_90, VLOOKUP(L$2, Percentiles!$A$45:$I$59, 7, FALSE), perc_95, VLOOKUP(L$2, Percentiles!$A$45:$I$59, 8, FALSE), perc_85, perc_75 + (perc_90 - perc_75) * (2/3), converted_stat, '2K_Ratings'!L79, IF(bbgm_stat &gt;= perc_95, converted_stat * 3, IF(bbgm_stat &gt;= perc_90, converted_stat * 2, IF(bbgm_stat &gt;= perc_85, converted_stat * 1.5, converted_stat)))))</f>
        <v/>
      </c>
      <c r="M79" s="30" t="str">
        <f t="array" ref="M79">IF($A79="", "", LET(bbgm_stat, INDEX(Players!$A78:$P78, MATCH(M$2, Players!$A$1:$P$1, 0)), perc_75, VLOOKUP(M$2, Percentiles!$A$45:$I$59, 6, FALSE), perc_90, VLOOKUP(M$2, Percentiles!$A$45:$I$59, 7, FALSE), perc_95, VLOOKUP(M$2, Percentiles!$A$45:$I$59, 8, FALSE), perc_85, perc_75 + (perc_90 - perc_75) * (2/3), converted_stat, '2K_Ratings'!M79, IF(bbgm_stat &gt;= perc_95, converted_stat * 3, IF(bbgm_stat &gt;= perc_90, converted_stat * 2, IF(bbgm_stat &gt;= perc_85, converted_stat * 1.5, converted_stat)))))</f>
        <v/>
      </c>
      <c r="N79" s="30" t="str">
        <f t="array" ref="N79">IF($A79="", "", LET(bbgm_stat, INDEX(Players!$A78:$P78, MATCH(N$2, Players!$A$1:$P$1, 0)), perc_75, VLOOKUP(N$2, Percentiles!$A$45:$I$59, 6, FALSE), perc_90, VLOOKUP(N$2, Percentiles!$A$45:$I$59, 7, FALSE), perc_95, VLOOKUP(N$2, Percentiles!$A$45:$I$59, 8, FALSE), perc_85, perc_75 + (perc_90 - perc_75) * (2/3), converted_stat, '2K_Ratings'!N79, IF(bbgm_stat &gt;= perc_95, converted_stat * 3, IF(bbgm_stat &gt;= perc_90, converted_stat * 2, IF(bbgm_stat &gt;= perc_85, converted_stat * 1.5, converted_stat)))))</f>
        <v/>
      </c>
      <c r="O79" s="30" t="str">
        <f t="array" ref="O79">IF($A79="", "", LET(bbgm_stat, INDEX(Players!$A78:$P78, MATCH(O$2, Players!$A$1:$P$1, 0)), perc_75, VLOOKUP(O$2, Percentiles!$A$45:$I$59, 6, FALSE), perc_90, VLOOKUP(O$2, Percentiles!$A$45:$I$59, 7, FALSE), perc_95, VLOOKUP(O$2, Percentiles!$A$45:$I$59, 8, FALSE), perc_85, perc_75 + (perc_90 - perc_75) * (2/3), converted_stat, '2K_Ratings'!O79, IF(bbgm_stat &gt;= perc_95, converted_stat * 3, IF(bbgm_stat &gt;= perc_90, converted_stat * 2, IF(bbgm_stat &gt;= perc_85, converted_stat * 1.5, converted_stat)))))</f>
        <v/>
      </c>
      <c r="P79" s="30" t="str">
        <f t="array" ref="P79">IF($A79="", "", LET(bbgm_stat, INDEX(Players!$A78:$P78, MATCH(P$2, Players!$A$1:$P$1, 0)), perc_75, VLOOKUP(P$2, Percentiles!$A$45:$I$59, 6, FALSE), perc_90, VLOOKUP(P$2, Percentiles!$A$45:$I$59, 7, FALSE), perc_95, VLOOKUP(P$2, Percentiles!$A$45:$I$59, 8, FALSE), perc_85, perc_75 + (perc_90 - perc_75) * (2/3), converted_stat, '2K_Ratings'!P79, IF(bbgm_stat &gt;= perc_95, converted_stat * 3, IF(bbgm_stat &gt;= perc_90, converted_stat * 2, IF(bbgm_stat &gt;= perc_85, converted_stat * 1.5, converted_stat)))))</f>
        <v/>
      </c>
      <c r="Q79" s="30" t="str">
        <f t="array" ref="Q79">IF($A79="", "", LET(bbgm_stat, INDEX(Players!$A78:$P78, MATCH(Q$2, Players!$A$1:$P$1, 0)), perc_75, VLOOKUP(Q$2, Percentiles!$A$45:$I$59, 6, FALSE), perc_90, VLOOKUP(Q$2, Percentiles!$A$45:$I$59, 7, FALSE), perc_95, VLOOKUP(Q$2, Percentiles!$A$45:$I$59, 8, FALSE), perc_85, perc_75 + (perc_90 - perc_75) * (2/3), converted_stat, '2K_Ratings'!Q79, IF(bbgm_stat &gt;= perc_95, converted_stat * 3, IF(bbgm_stat &gt;= perc_90, converted_stat * 2, IF(bbgm_stat &gt;= perc_85, converted_stat * 1.5, converted_stat)))))</f>
        <v/>
      </c>
      <c r="R79" s="30" t="str">
        <f t="array" ref="R79">IF($A79="", "", LET(bbgm_stat, INDEX(Players!$A78:$P78, MATCH(R$2, Players!$A$1:$P$1, 0)), perc_75, VLOOKUP(R$2, Percentiles!$A$45:$I$59, 6, FALSE), perc_90, VLOOKUP(R$2, Percentiles!$A$45:$I$59, 7, FALSE), perc_95, VLOOKUP(R$2, Percentiles!$A$45:$I$59, 8, FALSE), perc_85, perc_75 + (perc_90 - perc_75) * (2/3), converted_stat, '2K_Ratings'!R79, IF(bbgm_stat &gt;= perc_95, converted_stat * 3, IF(bbgm_stat &gt;= perc_90, converted_stat * 2, IF(bbgm_stat &gt;= perc_85, converted_stat * 1.5, converted_stat)))))</f>
        <v/>
      </c>
      <c r="S79" s="30" t="str">
        <f t="array" ref="S79">IF($A79="", "", LET(bbgm_stat, INDEX(Players!$A78:$P78, MATCH(S$2, Players!$A$1:$P$1, 0)), perc_75, VLOOKUP(S$2, Percentiles!$A$45:$I$59, 6, FALSE), perc_90, VLOOKUP(S$2, Percentiles!$A$45:$I$59, 7, FALSE), perc_95, VLOOKUP(S$2, Percentiles!$A$45:$I$59, 8, FALSE), perc_85, perc_75 + (perc_90 - perc_75) * (2/3), converted_stat, '2K_Ratings'!S79, IF(bbgm_stat &gt;= perc_95, converted_stat * 3, IF(bbgm_stat &gt;= perc_90, converted_stat * 2, IF(bbgm_stat &gt;= perc_85, converted_stat * 1.5, converted_stat)))))</f>
        <v/>
      </c>
      <c r="T79" s="30" t="str">
        <f t="array" ref="T79">IF($A79="", "", LET(bbgm_stat, INDEX(Players!$A78:$P78, MATCH(T$2, Players!$A$1:$P$1, 0)), perc_75, VLOOKUP(T$2, Percentiles!$A$45:$I$59, 6, FALSE), perc_90, VLOOKUP(T$2, Percentiles!$A$45:$I$59, 7, FALSE), perc_95, VLOOKUP(T$2, Percentiles!$A$45:$I$59, 8, FALSE), perc_85, perc_75 + (perc_90 - perc_75) * (2/3), converted_stat, '2K_Ratings'!T79, IF(bbgm_stat &gt;= perc_95, converted_stat * 3, IF(bbgm_stat &gt;= perc_90, converted_stat * 2, IF(bbgm_stat &gt;= perc_85, converted_stat * 1.5, converted_stat)))))</f>
        <v/>
      </c>
      <c r="U79" s="30" t="str">
        <f t="array" ref="U79">IF($A79="", "", LET(bbgm_stat, INDEX(Players!$A78:$P78, MATCH(U$2, Players!$A$1:$P$1, 0)), perc_75, VLOOKUP(U$2, Percentiles!$A$45:$I$59, 6, FALSE), perc_90, VLOOKUP(U$2, Percentiles!$A$45:$I$59, 7, FALSE), perc_95, VLOOKUP(U$2, Percentiles!$A$45:$I$59, 8, FALSE), perc_85, perc_75 + (perc_90 - perc_75) * (2/3), converted_stat, '2K_Ratings'!U79, IF(bbgm_stat &gt;= perc_95, converted_stat * 3, IF(bbgm_stat &gt;= perc_90, converted_stat * 2, IF(bbgm_stat &gt;= perc_85, converted_stat * 1.5, converted_stat)))))</f>
        <v/>
      </c>
      <c r="V79" s="30" t="str">
        <f t="array" ref="V79">IF($A79="", "", LET(bbgm_stat, INDEX(Players!$A78:$P78, MATCH(V$2, Players!$A$1:$P$1, 0)), perc_75, VLOOKUP(V$2, Percentiles!$A$45:$I$59, 6, FALSE), perc_90, VLOOKUP(V$2, Percentiles!$A$45:$I$59, 7, FALSE), perc_95, VLOOKUP(V$2, Percentiles!$A$45:$I$59, 8, FALSE), perc_85, perc_75 + (perc_90 - perc_75) * (2/3), converted_stat, '2K_Ratings'!V79, IF(bbgm_stat &gt;= perc_95, converted_stat * 3, IF(bbgm_stat &gt;= perc_90, converted_stat * 2, IF(bbgm_stat &gt;= perc_85, converted_stat * 1.5, converted_stat)))))</f>
        <v/>
      </c>
      <c r="W79" s="30" t="str">
        <f t="array" ref="W79">IF($A79="", "", LET(bbgm_stat, INDEX(Players!$A78:$P78, MATCH(W$2, Players!$A$1:$P$1, 0)), perc_75, VLOOKUP(W$2, Percentiles!$A$45:$I$59, 6, FALSE), perc_90, VLOOKUP(W$2, Percentiles!$A$45:$I$59, 7, FALSE), perc_95, VLOOKUP(W$2, Percentiles!$A$45:$I$59, 8, FALSE), perc_85, perc_75 + (perc_90 - perc_75) * (2/3), converted_stat, '2K_Ratings'!W79, IF(bbgm_stat &gt;= perc_95, converted_stat * 3, IF(bbgm_stat &gt;= perc_90, converted_stat * 2, IF(bbgm_stat &gt;= perc_85, converted_stat * 1.5, converted_stat)))))</f>
        <v/>
      </c>
    </row>
    <row r="80">
      <c r="A80" s="30" t="str">
        <f>IF(Players!A79="", "", Players!A79)</f>
        <v/>
      </c>
      <c r="B80" s="30" t="str">
        <f t="array" ref="B80">IF($A80="", "", LET(bbgm_stat, INDEX(Players!$A79:$P79, MATCH(B$2, Players!$A$1:$P$1, 0)), perc_75, VLOOKUP(B$2, Percentiles!$A$45:$I$59, 6, FALSE), perc_90, VLOOKUP(B$2, Percentiles!$A$45:$I$59, 7, FALSE), perc_95, VLOOKUP(B$2, Percentiles!$A$45:$I$59, 8, FALSE), perc_85, perc_75 + (perc_90 - perc_75) * (2/3), converted_stat, '2K_Ratings'!B80, IF(bbgm_stat &gt;= perc_95, converted_stat * 3, IF(bbgm_stat &gt;= perc_90, converted_stat * 2, IF(bbgm_stat &gt;= perc_85, converted_stat * 1.5, converted_stat)))))</f>
        <v/>
      </c>
      <c r="C80" s="30" t="str">
        <f t="array" ref="C80">IF($A80="", "", LET(bbgm_stat, INDEX(Players!$A79:$P79, MATCH(C$2, Players!$A$1:$P$1, 0)), perc_75, VLOOKUP(C$2, Percentiles!$A$45:$I$59, 6, FALSE), perc_90, VLOOKUP(C$2, Percentiles!$A$45:$I$59, 7, FALSE), perc_95, VLOOKUP(C$2, Percentiles!$A$45:$I$59, 8, FALSE), perc_85, perc_75 + (perc_90 - perc_75) * (2/3), converted_stat, '2K_Ratings'!C80, IF(bbgm_stat &gt;= perc_95, converted_stat * 3, IF(bbgm_stat &gt;= perc_90, converted_stat * 2, IF(bbgm_stat &gt;= perc_85, converted_stat * 1.5, converted_stat)))))</f>
        <v/>
      </c>
      <c r="D80" s="30" t="str">
        <f t="array" ref="D80">IF($A80="", "", LET(bbgm_stat, INDEX(Players!$A79:$P79, MATCH(D$2, Players!$A$1:$P$1, 0)), perc_75, VLOOKUP(D$2, Percentiles!$A$45:$I$59, 6, FALSE), perc_90, VLOOKUP(D$2, Percentiles!$A$45:$I$59, 7, FALSE), perc_95, VLOOKUP(D$2, Percentiles!$A$45:$I$59, 8, FALSE), perc_85, perc_75 + (perc_90 - perc_75) * (2/3), converted_stat, '2K_Ratings'!D80, IF(bbgm_stat &gt;= perc_95, converted_stat * 3, IF(bbgm_stat &gt;= perc_90, converted_stat * 2, IF(bbgm_stat &gt;= perc_85, converted_stat * 1.5, converted_stat)))))</f>
        <v/>
      </c>
      <c r="E80" s="30" t="str">
        <f t="array" ref="E80">IF($A80="", "", LET(bbgm_stat, INDEX(Players!$A79:$P79, MATCH(E$2, Players!$A$1:$P$1, 0)), perc_75, VLOOKUP(E$2, Percentiles!$A$45:$I$59, 6, FALSE), perc_90, VLOOKUP(E$2, Percentiles!$A$45:$I$59, 7, FALSE), perc_95, VLOOKUP(E$2, Percentiles!$A$45:$I$59, 8, FALSE), perc_85, perc_75 + (perc_90 - perc_75) * (2/3), converted_stat, '2K_Ratings'!E80, IF(bbgm_stat &gt;= perc_95, converted_stat * 3, IF(bbgm_stat &gt;= perc_90, converted_stat * 2, IF(bbgm_stat &gt;= perc_85, converted_stat * 1.5, converted_stat)))))</f>
        <v/>
      </c>
      <c r="F80" s="30" t="str">
        <f t="array" ref="F80">IF($A80="", "", LET(bbgm_stat, INDEX(Players!$A79:$P79, MATCH(F$2, Players!$A$1:$P$1, 0)), perc_75, VLOOKUP(F$2, Percentiles!$A$45:$I$59, 6, FALSE), perc_90, VLOOKUP(F$2, Percentiles!$A$45:$I$59, 7, FALSE), perc_95, VLOOKUP(F$2, Percentiles!$A$45:$I$59, 8, FALSE), perc_85, perc_75 + (perc_90 - perc_75) * (2/3), converted_stat, '2K_Ratings'!F80, IF(bbgm_stat &gt;= perc_95, converted_stat * 3, IF(bbgm_stat &gt;= perc_90, converted_stat * 2, IF(bbgm_stat &gt;= perc_85, converted_stat * 1.5, converted_stat)))))</f>
        <v/>
      </c>
      <c r="G80" s="30" t="str">
        <f t="array" ref="G80">IF($A80="", "", LET(bbgm_stat, INDEX(Players!$A79:$P79, MATCH(G$2, Players!$A$1:$P$1, 0)), perc_75, VLOOKUP(G$2, Percentiles!$A$45:$I$59, 6, FALSE), perc_90, VLOOKUP(G$2, Percentiles!$A$45:$I$59, 7, FALSE), perc_95, VLOOKUP(G$2, Percentiles!$A$45:$I$59, 8, FALSE), perc_85, perc_75 + (perc_90 - perc_75) * (2/3), converted_stat, '2K_Ratings'!G80, IF(bbgm_stat &gt;= perc_95, converted_stat * 3, IF(bbgm_stat &gt;= perc_90, converted_stat * 2, IF(bbgm_stat &gt;= perc_85, converted_stat * 1.5, converted_stat)))))</f>
        <v/>
      </c>
      <c r="H80" s="30" t="str">
        <f t="array" ref="H80">IF($A80="", "", LET(bbgm_stat, INDEX(Players!$A79:$P79, MATCH(H$2, Players!$A$1:$P$1, 0)), perc_75, VLOOKUP(H$2, Percentiles!$A$45:$I$59, 6, FALSE), perc_90, VLOOKUP(H$2, Percentiles!$A$45:$I$59, 7, FALSE), perc_95, VLOOKUP(H$2, Percentiles!$A$45:$I$59, 8, FALSE), perc_85, perc_75 + (perc_90 - perc_75) * (2/3), converted_stat, '2K_Ratings'!H80, IF(bbgm_stat &gt;= perc_95, converted_stat * 3, IF(bbgm_stat &gt;= perc_90, converted_stat * 2, IF(bbgm_stat &gt;= perc_85, converted_stat * 1.5, converted_stat)))))</f>
        <v/>
      </c>
      <c r="I80" s="30" t="str">
        <f t="array" ref="I80">IF($A80="", "", LET(bbgm_stat, INDEX(Players!$A79:$P79, MATCH(I$2, Players!$A$1:$P$1, 0)), perc_75, VLOOKUP(I$2, Percentiles!$A$45:$I$59, 6, FALSE), perc_90, VLOOKUP(I$2, Percentiles!$A$45:$I$59, 7, FALSE), perc_95, VLOOKUP(I$2, Percentiles!$A$45:$I$59, 8, FALSE), perc_85, perc_75 + (perc_90 - perc_75) * (2/3), converted_stat, '2K_Ratings'!I80, IF(bbgm_stat &gt;= perc_95, converted_stat * 3, IF(bbgm_stat &gt;= perc_90, converted_stat * 2, IF(bbgm_stat &gt;= perc_85, converted_stat * 1.5, converted_stat)))))</f>
        <v/>
      </c>
      <c r="J80" s="30" t="str">
        <f t="array" ref="J80">IF($A80="", "", LET(bbgm_stat, INDEX(Players!$A79:$P79, MATCH(J$2, Players!$A$1:$P$1, 0)), perc_75, VLOOKUP(J$2, Percentiles!$A$45:$I$59, 6, FALSE), perc_90, VLOOKUP(J$2, Percentiles!$A$45:$I$59, 7, FALSE), perc_95, VLOOKUP(J$2, Percentiles!$A$45:$I$59, 8, FALSE), perc_85, perc_75 + (perc_90 - perc_75) * (2/3), converted_stat, '2K_Ratings'!J80, IF(bbgm_stat &gt;= perc_95, converted_stat * 3, IF(bbgm_stat &gt;= perc_90, converted_stat * 2, IF(bbgm_stat &gt;= perc_85, converted_stat * 1.5, converted_stat)))))</f>
        <v/>
      </c>
      <c r="K80" s="30" t="str">
        <f t="array" ref="K80">IF($A80="", "", LET(bbgm_stat, INDEX(Players!$A79:$P79, MATCH(K$2, Players!$A$1:$P$1, 0)), perc_75, VLOOKUP(K$2, Percentiles!$A$45:$I$59, 6, FALSE), perc_90, VLOOKUP(K$2, Percentiles!$A$45:$I$59, 7, FALSE), perc_95, VLOOKUP(K$2, Percentiles!$A$45:$I$59, 8, FALSE), perc_85, perc_75 + (perc_90 - perc_75) * (2/3), converted_stat, '2K_Ratings'!K80, IF(bbgm_stat &gt;= perc_95, converted_stat * 3, IF(bbgm_stat &gt;= perc_90, converted_stat * 2, IF(bbgm_stat &gt;= perc_85, converted_stat * 1.5, converted_stat)))))</f>
        <v/>
      </c>
      <c r="L80" s="30" t="str">
        <f t="array" ref="L80">IF($A80="", "", LET(bbgm_stat, INDEX(Players!$A79:$P79, MATCH(L$2, Players!$A$1:$P$1, 0)), perc_75, VLOOKUP(L$2, Percentiles!$A$45:$I$59, 6, FALSE), perc_90, VLOOKUP(L$2, Percentiles!$A$45:$I$59, 7, FALSE), perc_95, VLOOKUP(L$2, Percentiles!$A$45:$I$59, 8, FALSE), perc_85, perc_75 + (perc_90 - perc_75) * (2/3), converted_stat, '2K_Ratings'!L80, IF(bbgm_stat &gt;= perc_95, converted_stat * 3, IF(bbgm_stat &gt;= perc_90, converted_stat * 2, IF(bbgm_stat &gt;= perc_85, converted_stat * 1.5, converted_stat)))))</f>
        <v/>
      </c>
      <c r="M80" s="30" t="str">
        <f t="array" ref="M80">IF($A80="", "", LET(bbgm_stat, INDEX(Players!$A79:$P79, MATCH(M$2, Players!$A$1:$P$1, 0)), perc_75, VLOOKUP(M$2, Percentiles!$A$45:$I$59, 6, FALSE), perc_90, VLOOKUP(M$2, Percentiles!$A$45:$I$59, 7, FALSE), perc_95, VLOOKUP(M$2, Percentiles!$A$45:$I$59, 8, FALSE), perc_85, perc_75 + (perc_90 - perc_75) * (2/3), converted_stat, '2K_Ratings'!M80, IF(bbgm_stat &gt;= perc_95, converted_stat * 3, IF(bbgm_stat &gt;= perc_90, converted_stat * 2, IF(bbgm_stat &gt;= perc_85, converted_stat * 1.5, converted_stat)))))</f>
        <v/>
      </c>
      <c r="N80" s="30" t="str">
        <f t="array" ref="N80">IF($A80="", "", LET(bbgm_stat, INDEX(Players!$A79:$P79, MATCH(N$2, Players!$A$1:$P$1, 0)), perc_75, VLOOKUP(N$2, Percentiles!$A$45:$I$59, 6, FALSE), perc_90, VLOOKUP(N$2, Percentiles!$A$45:$I$59, 7, FALSE), perc_95, VLOOKUP(N$2, Percentiles!$A$45:$I$59, 8, FALSE), perc_85, perc_75 + (perc_90 - perc_75) * (2/3), converted_stat, '2K_Ratings'!N80, IF(bbgm_stat &gt;= perc_95, converted_stat * 3, IF(bbgm_stat &gt;= perc_90, converted_stat * 2, IF(bbgm_stat &gt;= perc_85, converted_stat * 1.5, converted_stat)))))</f>
        <v/>
      </c>
      <c r="O80" s="30" t="str">
        <f t="array" ref="O80">IF($A80="", "", LET(bbgm_stat, INDEX(Players!$A79:$P79, MATCH(O$2, Players!$A$1:$P$1, 0)), perc_75, VLOOKUP(O$2, Percentiles!$A$45:$I$59, 6, FALSE), perc_90, VLOOKUP(O$2, Percentiles!$A$45:$I$59, 7, FALSE), perc_95, VLOOKUP(O$2, Percentiles!$A$45:$I$59, 8, FALSE), perc_85, perc_75 + (perc_90 - perc_75) * (2/3), converted_stat, '2K_Ratings'!O80, IF(bbgm_stat &gt;= perc_95, converted_stat * 3, IF(bbgm_stat &gt;= perc_90, converted_stat * 2, IF(bbgm_stat &gt;= perc_85, converted_stat * 1.5, converted_stat)))))</f>
        <v/>
      </c>
      <c r="P80" s="30" t="str">
        <f t="array" ref="P80">IF($A80="", "", LET(bbgm_stat, INDEX(Players!$A79:$P79, MATCH(P$2, Players!$A$1:$P$1, 0)), perc_75, VLOOKUP(P$2, Percentiles!$A$45:$I$59, 6, FALSE), perc_90, VLOOKUP(P$2, Percentiles!$A$45:$I$59, 7, FALSE), perc_95, VLOOKUP(P$2, Percentiles!$A$45:$I$59, 8, FALSE), perc_85, perc_75 + (perc_90 - perc_75) * (2/3), converted_stat, '2K_Ratings'!P80, IF(bbgm_stat &gt;= perc_95, converted_stat * 3, IF(bbgm_stat &gt;= perc_90, converted_stat * 2, IF(bbgm_stat &gt;= perc_85, converted_stat * 1.5, converted_stat)))))</f>
        <v/>
      </c>
      <c r="Q80" s="30" t="str">
        <f t="array" ref="Q80">IF($A80="", "", LET(bbgm_stat, INDEX(Players!$A79:$P79, MATCH(Q$2, Players!$A$1:$P$1, 0)), perc_75, VLOOKUP(Q$2, Percentiles!$A$45:$I$59, 6, FALSE), perc_90, VLOOKUP(Q$2, Percentiles!$A$45:$I$59, 7, FALSE), perc_95, VLOOKUP(Q$2, Percentiles!$A$45:$I$59, 8, FALSE), perc_85, perc_75 + (perc_90 - perc_75) * (2/3), converted_stat, '2K_Ratings'!Q80, IF(bbgm_stat &gt;= perc_95, converted_stat * 3, IF(bbgm_stat &gt;= perc_90, converted_stat * 2, IF(bbgm_stat &gt;= perc_85, converted_stat * 1.5, converted_stat)))))</f>
        <v/>
      </c>
      <c r="R80" s="30" t="str">
        <f t="array" ref="R80">IF($A80="", "", LET(bbgm_stat, INDEX(Players!$A79:$P79, MATCH(R$2, Players!$A$1:$P$1, 0)), perc_75, VLOOKUP(R$2, Percentiles!$A$45:$I$59, 6, FALSE), perc_90, VLOOKUP(R$2, Percentiles!$A$45:$I$59, 7, FALSE), perc_95, VLOOKUP(R$2, Percentiles!$A$45:$I$59, 8, FALSE), perc_85, perc_75 + (perc_90 - perc_75) * (2/3), converted_stat, '2K_Ratings'!R80, IF(bbgm_stat &gt;= perc_95, converted_stat * 3, IF(bbgm_stat &gt;= perc_90, converted_stat * 2, IF(bbgm_stat &gt;= perc_85, converted_stat * 1.5, converted_stat)))))</f>
        <v/>
      </c>
      <c r="S80" s="30" t="str">
        <f t="array" ref="S80">IF($A80="", "", LET(bbgm_stat, INDEX(Players!$A79:$P79, MATCH(S$2, Players!$A$1:$P$1, 0)), perc_75, VLOOKUP(S$2, Percentiles!$A$45:$I$59, 6, FALSE), perc_90, VLOOKUP(S$2, Percentiles!$A$45:$I$59, 7, FALSE), perc_95, VLOOKUP(S$2, Percentiles!$A$45:$I$59, 8, FALSE), perc_85, perc_75 + (perc_90 - perc_75) * (2/3), converted_stat, '2K_Ratings'!S80, IF(bbgm_stat &gt;= perc_95, converted_stat * 3, IF(bbgm_stat &gt;= perc_90, converted_stat * 2, IF(bbgm_stat &gt;= perc_85, converted_stat * 1.5, converted_stat)))))</f>
        <v/>
      </c>
      <c r="T80" s="30" t="str">
        <f t="array" ref="T80">IF($A80="", "", LET(bbgm_stat, INDEX(Players!$A79:$P79, MATCH(T$2, Players!$A$1:$P$1, 0)), perc_75, VLOOKUP(T$2, Percentiles!$A$45:$I$59, 6, FALSE), perc_90, VLOOKUP(T$2, Percentiles!$A$45:$I$59, 7, FALSE), perc_95, VLOOKUP(T$2, Percentiles!$A$45:$I$59, 8, FALSE), perc_85, perc_75 + (perc_90 - perc_75) * (2/3), converted_stat, '2K_Ratings'!T80, IF(bbgm_stat &gt;= perc_95, converted_stat * 3, IF(bbgm_stat &gt;= perc_90, converted_stat * 2, IF(bbgm_stat &gt;= perc_85, converted_stat * 1.5, converted_stat)))))</f>
        <v/>
      </c>
      <c r="U80" s="30" t="str">
        <f t="array" ref="U80">IF($A80="", "", LET(bbgm_stat, INDEX(Players!$A79:$P79, MATCH(U$2, Players!$A$1:$P$1, 0)), perc_75, VLOOKUP(U$2, Percentiles!$A$45:$I$59, 6, FALSE), perc_90, VLOOKUP(U$2, Percentiles!$A$45:$I$59, 7, FALSE), perc_95, VLOOKUP(U$2, Percentiles!$A$45:$I$59, 8, FALSE), perc_85, perc_75 + (perc_90 - perc_75) * (2/3), converted_stat, '2K_Ratings'!U80, IF(bbgm_stat &gt;= perc_95, converted_stat * 3, IF(bbgm_stat &gt;= perc_90, converted_stat * 2, IF(bbgm_stat &gt;= perc_85, converted_stat * 1.5, converted_stat)))))</f>
        <v/>
      </c>
      <c r="V80" s="30" t="str">
        <f t="array" ref="V80">IF($A80="", "", LET(bbgm_stat, INDEX(Players!$A79:$P79, MATCH(V$2, Players!$A$1:$P$1, 0)), perc_75, VLOOKUP(V$2, Percentiles!$A$45:$I$59, 6, FALSE), perc_90, VLOOKUP(V$2, Percentiles!$A$45:$I$59, 7, FALSE), perc_95, VLOOKUP(V$2, Percentiles!$A$45:$I$59, 8, FALSE), perc_85, perc_75 + (perc_90 - perc_75) * (2/3), converted_stat, '2K_Ratings'!V80, IF(bbgm_stat &gt;= perc_95, converted_stat * 3, IF(bbgm_stat &gt;= perc_90, converted_stat * 2, IF(bbgm_stat &gt;= perc_85, converted_stat * 1.5, converted_stat)))))</f>
        <v/>
      </c>
      <c r="W80" s="30" t="str">
        <f t="array" ref="W80">IF($A80="", "", LET(bbgm_stat, INDEX(Players!$A79:$P79, MATCH(W$2, Players!$A$1:$P$1, 0)), perc_75, VLOOKUP(W$2, Percentiles!$A$45:$I$59, 6, FALSE), perc_90, VLOOKUP(W$2, Percentiles!$A$45:$I$59, 7, FALSE), perc_95, VLOOKUP(W$2, Percentiles!$A$45:$I$59, 8, FALSE), perc_85, perc_75 + (perc_90 - perc_75) * (2/3), converted_stat, '2K_Ratings'!W80, IF(bbgm_stat &gt;= perc_95, converted_stat * 3, IF(bbgm_stat &gt;= perc_90, converted_stat * 2, IF(bbgm_stat &gt;= perc_85, converted_stat * 1.5, converted_stat)))))</f>
        <v/>
      </c>
    </row>
    <row r="81">
      <c r="A81" s="30" t="str">
        <f>IF(Players!A80="", "", Players!A80)</f>
        <v/>
      </c>
      <c r="B81" s="30" t="str">
        <f t="array" ref="B81">IF($A81="", "", LET(bbgm_stat, INDEX(Players!$A80:$P80, MATCH(B$2, Players!$A$1:$P$1, 0)), perc_75, VLOOKUP(B$2, Percentiles!$A$45:$I$59, 6, FALSE), perc_90, VLOOKUP(B$2, Percentiles!$A$45:$I$59, 7, FALSE), perc_95, VLOOKUP(B$2, Percentiles!$A$45:$I$59, 8, FALSE), perc_85, perc_75 + (perc_90 - perc_75) * (2/3), converted_stat, '2K_Ratings'!B81, IF(bbgm_stat &gt;= perc_95, converted_stat * 3, IF(bbgm_stat &gt;= perc_90, converted_stat * 2, IF(bbgm_stat &gt;= perc_85, converted_stat * 1.5, converted_stat)))))</f>
        <v/>
      </c>
      <c r="C81" s="30" t="str">
        <f t="array" ref="C81">IF($A81="", "", LET(bbgm_stat, INDEX(Players!$A80:$P80, MATCH(C$2, Players!$A$1:$P$1, 0)), perc_75, VLOOKUP(C$2, Percentiles!$A$45:$I$59, 6, FALSE), perc_90, VLOOKUP(C$2, Percentiles!$A$45:$I$59, 7, FALSE), perc_95, VLOOKUP(C$2, Percentiles!$A$45:$I$59, 8, FALSE), perc_85, perc_75 + (perc_90 - perc_75) * (2/3), converted_stat, '2K_Ratings'!C81, IF(bbgm_stat &gt;= perc_95, converted_stat * 3, IF(bbgm_stat &gt;= perc_90, converted_stat * 2, IF(bbgm_stat &gt;= perc_85, converted_stat * 1.5, converted_stat)))))</f>
        <v/>
      </c>
      <c r="D81" s="30" t="str">
        <f t="array" ref="D81">IF($A81="", "", LET(bbgm_stat, INDEX(Players!$A80:$P80, MATCH(D$2, Players!$A$1:$P$1, 0)), perc_75, VLOOKUP(D$2, Percentiles!$A$45:$I$59, 6, FALSE), perc_90, VLOOKUP(D$2, Percentiles!$A$45:$I$59, 7, FALSE), perc_95, VLOOKUP(D$2, Percentiles!$A$45:$I$59, 8, FALSE), perc_85, perc_75 + (perc_90 - perc_75) * (2/3), converted_stat, '2K_Ratings'!D81, IF(bbgm_stat &gt;= perc_95, converted_stat * 3, IF(bbgm_stat &gt;= perc_90, converted_stat * 2, IF(bbgm_stat &gt;= perc_85, converted_stat * 1.5, converted_stat)))))</f>
        <v/>
      </c>
      <c r="E81" s="30" t="str">
        <f t="array" ref="E81">IF($A81="", "", LET(bbgm_stat, INDEX(Players!$A80:$P80, MATCH(E$2, Players!$A$1:$P$1, 0)), perc_75, VLOOKUP(E$2, Percentiles!$A$45:$I$59, 6, FALSE), perc_90, VLOOKUP(E$2, Percentiles!$A$45:$I$59, 7, FALSE), perc_95, VLOOKUP(E$2, Percentiles!$A$45:$I$59, 8, FALSE), perc_85, perc_75 + (perc_90 - perc_75) * (2/3), converted_stat, '2K_Ratings'!E81, IF(bbgm_stat &gt;= perc_95, converted_stat * 3, IF(bbgm_stat &gt;= perc_90, converted_stat * 2, IF(bbgm_stat &gt;= perc_85, converted_stat * 1.5, converted_stat)))))</f>
        <v/>
      </c>
      <c r="F81" s="30" t="str">
        <f t="array" ref="F81">IF($A81="", "", LET(bbgm_stat, INDEX(Players!$A80:$P80, MATCH(F$2, Players!$A$1:$P$1, 0)), perc_75, VLOOKUP(F$2, Percentiles!$A$45:$I$59, 6, FALSE), perc_90, VLOOKUP(F$2, Percentiles!$A$45:$I$59, 7, FALSE), perc_95, VLOOKUP(F$2, Percentiles!$A$45:$I$59, 8, FALSE), perc_85, perc_75 + (perc_90 - perc_75) * (2/3), converted_stat, '2K_Ratings'!F81, IF(bbgm_stat &gt;= perc_95, converted_stat * 3, IF(bbgm_stat &gt;= perc_90, converted_stat * 2, IF(bbgm_stat &gt;= perc_85, converted_stat * 1.5, converted_stat)))))</f>
        <v/>
      </c>
      <c r="G81" s="30" t="str">
        <f t="array" ref="G81">IF($A81="", "", LET(bbgm_stat, INDEX(Players!$A80:$P80, MATCH(G$2, Players!$A$1:$P$1, 0)), perc_75, VLOOKUP(G$2, Percentiles!$A$45:$I$59, 6, FALSE), perc_90, VLOOKUP(G$2, Percentiles!$A$45:$I$59, 7, FALSE), perc_95, VLOOKUP(G$2, Percentiles!$A$45:$I$59, 8, FALSE), perc_85, perc_75 + (perc_90 - perc_75) * (2/3), converted_stat, '2K_Ratings'!G81, IF(bbgm_stat &gt;= perc_95, converted_stat * 3, IF(bbgm_stat &gt;= perc_90, converted_stat * 2, IF(bbgm_stat &gt;= perc_85, converted_stat * 1.5, converted_stat)))))</f>
        <v/>
      </c>
      <c r="H81" s="30" t="str">
        <f t="array" ref="H81">IF($A81="", "", LET(bbgm_stat, INDEX(Players!$A80:$P80, MATCH(H$2, Players!$A$1:$P$1, 0)), perc_75, VLOOKUP(H$2, Percentiles!$A$45:$I$59, 6, FALSE), perc_90, VLOOKUP(H$2, Percentiles!$A$45:$I$59, 7, FALSE), perc_95, VLOOKUP(H$2, Percentiles!$A$45:$I$59, 8, FALSE), perc_85, perc_75 + (perc_90 - perc_75) * (2/3), converted_stat, '2K_Ratings'!H81, IF(bbgm_stat &gt;= perc_95, converted_stat * 3, IF(bbgm_stat &gt;= perc_90, converted_stat * 2, IF(bbgm_stat &gt;= perc_85, converted_stat * 1.5, converted_stat)))))</f>
        <v/>
      </c>
      <c r="I81" s="30" t="str">
        <f t="array" ref="I81">IF($A81="", "", LET(bbgm_stat, INDEX(Players!$A80:$P80, MATCH(I$2, Players!$A$1:$P$1, 0)), perc_75, VLOOKUP(I$2, Percentiles!$A$45:$I$59, 6, FALSE), perc_90, VLOOKUP(I$2, Percentiles!$A$45:$I$59, 7, FALSE), perc_95, VLOOKUP(I$2, Percentiles!$A$45:$I$59, 8, FALSE), perc_85, perc_75 + (perc_90 - perc_75) * (2/3), converted_stat, '2K_Ratings'!I81, IF(bbgm_stat &gt;= perc_95, converted_stat * 3, IF(bbgm_stat &gt;= perc_90, converted_stat * 2, IF(bbgm_stat &gt;= perc_85, converted_stat * 1.5, converted_stat)))))</f>
        <v/>
      </c>
      <c r="J81" s="30" t="str">
        <f t="array" ref="J81">IF($A81="", "", LET(bbgm_stat, INDEX(Players!$A80:$P80, MATCH(J$2, Players!$A$1:$P$1, 0)), perc_75, VLOOKUP(J$2, Percentiles!$A$45:$I$59, 6, FALSE), perc_90, VLOOKUP(J$2, Percentiles!$A$45:$I$59, 7, FALSE), perc_95, VLOOKUP(J$2, Percentiles!$A$45:$I$59, 8, FALSE), perc_85, perc_75 + (perc_90 - perc_75) * (2/3), converted_stat, '2K_Ratings'!J81, IF(bbgm_stat &gt;= perc_95, converted_stat * 3, IF(bbgm_stat &gt;= perc_90, converted_stat * 2, IF(bbgm_stat &gt;= perc_85, converted_stat * 1.5, converted_stat)))))</f>
        <v/>
      </c>
      <c r="K81" s="30" t="str">
        <f t="array" ref="K81">IF($A81="", "", LET(bbgm_stat, INDEX(Players!$A80:$P80, MATCH(K$2, Players!$A$1:$P$1, 0)), perc_75, VLOOKUP(K$2, Percentiles!$A$45:$I$59, 6, FALSE), perc_90, VLOOKUP(K$2, Percentiles!$A$45:$I$59, 7, FALSE), perc_95, VLOOKUP(K$2, Percentiles!$A$45:$I$59, 8, FALSE), perc_85, perc_75 + (perc_90 - perc_75) * (2/3), converted_stat, '2K_Ratings'!K81, IF(bbgm_stat &gt;= perc_95, converted_stat * 3, IF(bbgm_stat &gt;= perc_90, converted_stat * 2, IF(bbgm_stat &gt;= perc_85, converted_stat * 1.5, converted_stat)))))</f>
        <v/>
      </c>
      <c r="L81" s="30" t="str">
        <f t="array" ref="L81">IF($A81="", "", LET(bbgm_stat, INDEX(Players!$A80:$P80, MATCH(L$2, Players!$A$1:$P$1, 0)), perc_75, VLOOKUP(L$2, Percentiles!$A$45:$I$59, 6, FALSE), perc_90, VLOOKUP(L$2, Percentiles!$A$45:$I$59, 7, FALSE), perc_95, VLOOKUP(L$2, Percentiles!$A$45:$I$59, 8, FALSE), perc_85, perc_75 + (perc_90 - perc_75) * (2/3), converted_stat, '2K_Ratings'!L81, IF(bbgm_stat &gt;= perc_95, converted_stat * 3, IF(bbgm_stat &gt;= perc_90, converted_stat * 2, IF(bbgm_stat &gt;= perc_85, converted_stat * 1.5, converted_stat)))))</f>
        <v/>
      </c>
      <c r="M81" s="30" t="str">
        <f t="array" ref="M81">IF($A81="", "", LET(bbgm_stat, INDEX(Players!$A80:$P80, MATCH(M$2, Players!$A$1:$P$1, 0)), perc_75, VLOOKUP(M$2, Percentiles!$A$45:$I$59, 6, FALSE), perc_90, VLOOKUP(M$2, Percentiles!$A$45:$I$59, 7, FALSE), perc_95, VLOOKUP(M$2, Percentiles!$A$45:$I$59, 8, FALSE), perc_85, perc_75 + (perc_90 - perc_75) * (2/3), converted_stat, '2K_Ratings'!M81, IF(bbgm_stat &gt;= perc_95, converted_stat * 3, IF(bbgm_stat &gt;= perc_90, converted_stat * 2, IF(bbgm_stat &gt;= perc_85, converted_stat * 1.5, converted_stat)))))</f>
        <v/>
      </c>
      <c r="N81" s="30" t="str">
        <f t="array" ref="N81">IF($A81="", "", LET(bbgm_stat, INDEX(Players!$A80:$P80, MATCH(N$2, Players!$A$1:$P$1, 0)), perc_75, VLOOKUP(N$2, Percentiles!$A$45:$I$59, 6, FALSE), perc_90, VLOOKUP(N$2, Percentiles!$A$45:$I$59, 7, FALSE), perc_95, VLOOKUP(N$2, Percentiles!$A$45:$I$59, 8, FALSE), perc_85, perc_75 + (perc_90 - perc_75) * (2/3), converted_stat, '2K_Ratings'!N81, IF(bbgm_stat &gt;= perc_95, converted_stat * 3, IF(bbgm_stat &gt;= perc_90, converted_stat * 2, IF(bbgm_stat &gt;= perc_85, converted_stat * 1.5, converted_stat)))))</f>
        <v/>
      </c>
      <c r="O81" s="30" t="str">
        <f t="array" ref="O81">IF($A81="", "", LET(bbgm_stat, INDEX(Players!$A80:$P80, MATCH(O$2, Players!$A$1:$P$1, 0)), perc_75, VLOOKUP(O$2, Percentiles!$A$45:$I$59, 6, FALSE), perc_90, VLOOKUP(O$2, Percentiles!$A$45:$I$59, 7, FALSE), perc_95, VLOOKUP(O$2, Percentiles!$A$45:$I$59, 8, FALSE), perc_85, perc_75 + (perc_90 - perc_75) * (2/3), converted_stat, '2K_Ratings'!O81, IF(bbgm_stat &gt;= perc_95, converted_stat * 3, IF(bbgm_stat &gt;= perc_90, converted_stat * 2, IF(bbgm_stat &gt;= perc_85, converted_stat * 1.5, converted_stat)))))</f>
        <v/>
      </c>
      <c r="P81" s="30" t="str">
        <f t="array" ref="P81">IF($A81="", "", LET(bbgm_stat, INDEX(Players!$A80:$P80, MATCH(P$2, Players!$A$1:$P$1, 0)), perc_75, VLOOKUP(P$2, Percentiles!$A$45:$I$59, 6, FALSE), perc_90, VLOOKUP(P$2, Percentiles!$A$45:$I$59, 7, FALSE), perc_95, VLOOKUP(P$2, Percentiles!$A$45:$I$59, 8, FALSE), perc_85, perc_75 + (perc_90 - perc_75) * (2/3), converted_stat, '2K_Ratings'!P81, IF(bbgm_stat &gt;= perc_95, converted_stat * 3, IF(bbgm_stat &gt;= perc_90, converted_stat * 2, IF(bbgm_stat &gt;= perc_85, converted_stat * 1.5, converted_stat)))))</f>
        <v/>
      </c>
      <c r="Q81" s="30" t="str">
        <f t="array" ref="Q81">IF($A81="", "", LET(bbgm_stat, INDEX(Players!$A80:$P80, MATCH(Q$2, Players!$A$1:$P$1, 0)), perc_75, VLOOKUP(Q$2, Percentiles!$A$45:$I$59, 6, FALSE), perc_90, VLOOKUP(Q$2, Percentiles!$A$45:$I$59, 7, FALSE), perc_95, VLOOKUP(Q$2, Percentiles!$A$45:$I$59, 8, FALSE), perc_85, perc_75 + (perc_90 - perc_75) * (2/3), converted_stat, '2K_Ratings'!Q81, IF(bbgm_stat &gt;= perc_95, converted_stat * 3, IF(bbgm_stat &gt;= perc_90, converted_stat * 2, IF(bbgm_stat &gt;= perc_85, converted_stat * 1.5, converted_stat)))))</f>
        <v/>
      </c>
      <c r="R81" s="30" t="str">
        <f t="array" ref="R81">IF($A81="", "", LET(bbgm_stat, INDEX(Players!$A80:$P80, MATCH(R$2, Players!$A$1:$P$1, 0)), perc_75, VLOOKUP(R$2, Percentiles!$A$45:$I$59, 6, FALSE), perc_90, VLOOKUP(R$2, Percentiles!$A$45:$I$59, 7, FALSE), perc_95, VLOOKUP(R$2, Percentiles!$A$45:$I$59, 8, FALSE), perc_85, perc_75 + (perc_90 - perc_75) * (2/3), converted_stat, '2K_Ratings'!R81, IF(bbgm_stat &gt;= perc_95, converted_stat * 3, IF(bbgm_stat &gt;= perc_90, converted_stat * 2, IF(bbgm_stat &gt;= perc_85, converted_stat * 1.5, converted_stat)))))</f>
        <v/>
      </c>
      <c r="S81" s="30" t="str">
        <f t="array" ref="S81">IF($A81="", "", LET(bbgm_stat, INDEX(Players!$A80:$P80, MATCH(S$2, Players!$A$1:$P$1, 0)), perc_75, VLOOKUP(S$2, Percentiles!$A$45:$I$59, 6, FALSE), perc_90, VLOOKUP(S$2, Percentiles!$A$45:$I$59, 7, FALSE), perc_95, VLOOKUP(S$2, Percentiles!$A$45:$I$59, 8, FALSE), perc_85, perc_75 + (perc_90 - perc_75) * (2/3), converted_stat, '2K_Ratings'!S81, IF(bbgm_stat &gt;= perc_95, converted_stat * 3, IF(bbgm_stat &gt;= perc_90, converted_stat * 2, IF(bbgm_stat &gt;= perc_85, converted_stat * 1.5, converted_stat)))))</f>
        <v/>
      </c>
      <c r="T81" s="30" t="str">
        <f t="array" ref="T81">IF($A81="", "", LET(bbgm_stat, INDEX(Players!$A80:$P80, MATCH(T$2, Players!$A$1:$P$1, 0)), perc_75, VLOOKUP(T$2, Percentiles!$A$45:$I$59, 6, FALSE), perc_90, VLOOKUP(T$2, Percentiles!$A$45:$I$59, 7, FALSE), perc_95, VLOOKUP(T$2, Percentiles!$A$45:$I$59, 8, FALSE), perc_85, perc_75 + (perc_90 - perc_75) * (2/3), converted_stat, '2K_Ratings'!T81, IF(bbgm_stat &gt;= perc_95, converted_stat * 3, IF(bbgm_stat &gt;= perc_90, converted_stat * 2, IF(bbgm_stat &gt;= perc_85, converted_stat * 1.5, converted_stat)))))</f>
        <v/>
      </c>
      <c r="U81" s="30" t="str">
        <f t="array" ref="U81">IF($A81="", "", LET(bbgm_stat, INDEX(Players!$A80:$P80, MATCH(U$2, Players!$A$1:$P$1, 0)), perc_75, VLOOKUP(U$2, Percentiles!$A$45:$I$59, 6, FALSE), perc_90, VLOOKUP(U$2, Percentiles!$A$45:$I$59, 7, FALSE), perc_95, VLOOKUP(U$2, Percentiles!$A$45:$I$59, 8, FALSE), perc_85, perc_75 + (perc_90 - perc_75) * (2/3), converted_stat, '2K_Ratings'!U81, IF(bbgm_stat &gt;= perc_95, converted_stat * 3, IF(bbgm_stat &gt;= perc_90, converted_stat * 2, IF(bbgm_stat &gt;= perc_85, converted_stat * 1.5, converted_stat)))))</f>
        <v/>
      </c>
      <c r="V81" s="30" t="str">
        <f t="array" ref="V81">IF($A81="", "", LET(bbgm_stat, INDEX(Players!$A80:$P80, MATCH(V$2, Players!$A$1:$P$1, 0)), perc_75, VLOOKUP(V$2, Percentiles!$A$45:$I$59, 6, FALSE), perc_90, VLOOKUP(V$2, Percentiles!$A$45:$I$59, 7, FALSE), perc_95, VLOOKUP(V$2, Percentiles!$A$45:$I$59, 8, FALSE), perc_85, perc_75 + (perc_90 - perc_75) * (2/3), converted_stat, '2K_Ratings'!V81, IF(bbgm_stat &gt;= perc_95, converted_stat * 3, IF(bbgm_stat &gt;= perc_90, converted_stat * 2, IF(bbgm_stat &gt;= perc_85, converted_stat * 1.5, converted_stat)))))</f>
        <v/>
      </c>
      <c r="W81" s="30" t="str">
        <f t="array" ref="W81">IF($A81="", "", LET(bbgm_stat, INDEX(Players!$A80:$P80, MATCH(W$2, Players!$A$1:$P$1, 0)), perc_75, VLOOKUP(W$2, Percentiles!$A$45:$I$59, 6, FALSE), perc_90, VLOOKUP(W$2, Percentiles!$A$45:$I$59, 7, FALSE), perc_95, VLOOKUP(W$2, Percentiles!$A$45:$I$59, 8, FALSE), perc_85, perc_75 + (perc_90 - perc_75) * (2/3), converted_stat, '2K_Ratings'!W81, IF(bbgm_stat &gt;= perc_95, converted_stat * 3, IF(bbgm_stat &gt;= perc_90, converted_stat * 2, IF(bbgm_stat &gt;= perc_85, converted_stat * 1.5, converted_stat)))))</f>
        <v/>
      </c>
    </row>
    <row r="82">
      <c r="A82" s="30" t="str">
        <f>IF(Players!A81="", "", Players!A81)</f>
        <v/>
      </c>
      <c r="B82" s="30" t="str">
        <f t="array" ref="B82">IF($A82="", "", LET(bbgm_stat, INDEX(Players!$A81:$P81, MATCH(B$2, Players!$A$1:$P$1, 0)), perc_75, VLOOKUP(B$2, Percentiles!$A$45:$I$59, 6, FALSE), perc_90, VLOOKUP(B$2, Percentiles!$A$45:$I$59, 7, FALSE), perc_95, VLOOKUP(B$2, Percentiles!$A$45:$I$59, 8, FALSE), perc_85, perc_75 + (perc_90 - perc_75) * (2/3), converted_stat, '2K_Ratings'!B82, IF(bbgm_stat &gt;= perc_95, converted_stat * 3, IF(bbgm_stat &gt;= perc_90, converted_stat * 2, IF(bbgm_stat &gt;= perc_85, converted_stat * 1.5, converted_stat)))))</f>
        <v/>
      </c>
      <c r="C82" s="30" t="str">
        <f t="array" ref="C82">IF($A82="", "", LET(bbgm_stat, INDEX(Players!$A81:$P81, MATCH(C$2, Players!$A$1:$P$1, 0)), perc_75, VLOOKUP(C$2, Percentiles!$A$45:$I$59, 6, FALSE), perc_90, VLOOKUP(C$2, Percentiles!$A$45:$I$59, 7, FALSE), perc_95, VLOOKUP(C$2, Percentiles!$A$45:$I$59, 8, FALSE), perc_85, perc_75 + (perc_90 - perc_75) * (2/3), converted_stat, '2K_Ratings'!C82, IF(bbgm_stat &gt;= perc_95, converted_stat * 3, IF(bbgm_stat &gt;= perc_90, converted_stat * 2, IF(bbgm_stat &gt;= perc_85, converted_stat * 1.5, converted_stat)))))</f>
        <v/>
      </c>
      <c r="D82" s="30" t="str">
        <f t="array" ref="D82">IF($A82="", "", LET(bbgm_stat, INDEX(Players!$A81:$P81, MATCH(D$2, Players!$A$1:$P$1, 0)), perc_75, VLOOKUP(D$2, Percentiles!$A$45:$I$59, 6, FALSE), perc_90, VLOOKUP(D$2, Percentiles!$A$45:$I$59, 7, FALSE), perc_95, VLOOKUP(D$2, Percentiles!$A$45:$I$59, 8, FALSE), perc_85, perc_75 + (perc_90 - perc_75) * (2/3), converted_stat, '2K_Ratings'!D82, IF(bbgm_stat &gt;= perc_95, converted_stat * 3, IF(bbgm_stat &gt;= perc_90, converted_stat * 2, IF(bbgm_stat &gt;= perc_85, converted_stat * 1.5, converted_stat)))))</f>
        <v/>
      </c>
      <c r="E82" s="30" t="str">
        <f t="array" ref="E82">IF($A82="", "", LET(bbgm_stat, INDEX(Players!$A81:$P81, MATCH(E$2, Players!$A$1:$P$1, 0)), perc_75, VLOOKUP(E$2, Percentiles!$A$45:$I$59, 6, FALSE), perc_90, VLOOKUP(E$2, Percentiles!$A$45:$I$59, 7, FALSE), perc_95, VLOOKUP(E$2, Percentiles!$A$45:$I$59, 8, FALSE), perc_85, perc_75 + (perc_90 - perc_75) * (2/3), converted_stat, '2K_Ratings'!E82, IF(bbgm_stat &gt;= perc_95, converted_stat * 3, IF(bbgm_stat &gt;= perc_90, converted_stat * 2, IF(bbgm_stat &gt;= perc_85, converted_stat * 1.5, converted_stat)))))</f>
        <v/>
      </c>
      <c r="F82" s="30" t="str">
        <f t="array" ref="F82">IF($A82="", "", LET(bbgm_stat, INDEX(Players!$A81:$P81, MATCH(F$2, Players!$A$1:$P$1, 0)), perc_75, VLOOKUP(F$2, Percentiles!$A$45:$I$59, 6, FALSE), perc_90, VLOOKUP(F$2, Percentiles!$A$45:$I$59, 7, FALSE), perc_95, VLOOKUP(F$2, Percentiles!$A$45:$I$59, 8, FALSE), perc_85, perc_75 + (perc_90 - perc_75) * (2/3), converted_stat, '2K_Ratings'!F82, IF(bbgm_stat &gt;= perc_95, converted_stat * 3, IF(bbgm_stat &gt;= perc_90, converted_stat * 2, IF(bbgm_stat &gt;= perc_85, converted_stat * 1.5, converted_stat)))))</f>
        <v/>
      </c>
      <c r="G82" s="30" t="str">
        <f t="array" ref="G82">IF($A82="", "", LET(bbgm_stat, INDEX(Players!$A81:$P81, MATCH(G$2, Players!$A$1:$P$1, 0)), perc_75, VLOOKUP(G$2, Percentiles!$A$45:$I$59, 6, FALSE), perc_90, VLOOKUP(G$2, Percentiles!$A$45:$I$59, 7, FALSE), perc_95, VLOOKUP(G$2, Percentiles!$A$45:$I$59, 8, FALSE), perc_85, perc_75 + (perc_90 - perc_75) * (2/3), converted_stat, '2K_Ratings'!G82, IF(bbgm_stat &gt;= perc_95, converted_stat * 3, IF(bbgm_stat &gt;= perc_90, converted_stat * 2, IF(bbgm_stat &gt;= perc_85, converted_stat * 1.5, converted_stat)))))</f>
        <v/>
      </c>
      <c r="H82" s="30" t="str">
        <f t="array" ref="H82">IF($A82="", "", LET(bbgm_stat, INDEX(Players!$A81:$P81, MATCH(H$2, Players!$A$1:$P$1, 0)), perc_75, VLOOKUP(H$2, Percentiles!$A$45:$I$59, 6, FALSE), perc_90, VLOOKUP(H$2, Percentiles!$A$45:$I$59, 7, FALSE), perc_95, VLOOKUP(H$2, Percentiles!$A$45:$I$59, 8, FALSE), perc_85, perc_75 + (perc_90 - perc_75) * (2/3), converted_stat, '2K_Ratings'!H82, IF(bbgm_stat &gt;= perc_95, converted_stat * 3, IF(bbgm_stat &gt;= perc_90, converted_stat * 2, IF(bbgm_stat &gt;= perc_85, converted_stat * 1.5, converted_stat)))))</f>
        <v/>
      </c>
      <c r="I82" s="30" t="str">
        <f t="array" ref="I82">IF($A82="", "", LET(bbgm_stat, INDEX(Players!$A81:$P81, MATCH(I$2, Players!$A$1:$P$1, 0)), perc_75, VLOOKUP(I$2, Percentiles!$A$45:$I$59, 6, FALSE), perc_90, VLOOKUP(I$2, Percentiles!$A$45:$I$59, 7, FALSE), perc_95, VLOOKUP(I$2, Percentiles!$A$45:$I$59, 8, FALSE), perc_85, perc_75 + (perc_90 - perc_75) * (2/3), converted_stat, '2K_Ratings'!I82, IF(bbgm_stat &gt;= perc_95, converted_stat * 3, IF(bbgm_stat &gt;= perc_90, converted_stat * 2, IF(bbgm_stat &gt;= perc_85, converted_stat * 1.5, converted_stat)))))</f>
        <v/>
      </c>
      <c r="J82" s="30" t="str">
        <f t="array" ref="J82">IF($A82="", "", LET(bbgm_stat, INDEX(Players!$A81:$P81, MATCH(J$2, Players!$A$1:$P$1, 0)), perc_75, VLOOKUP(J$2, Percentiles!$A$45:$I$59, 6, FALSE), perc_90, VLOOKUP(J$2, Percentiles!$A$45:$I$59, 7, FALSE), perc_95, VLOOKUP(J$2, Percentiles!$A$45:$I$59, 8, FALSE), perc_85, perc_75 + (perc_90 - perc_75) * (2/3), converted_stat, '2K_Ratings'!J82, IF(bbgm_stat &gt;= perc_95, converted_stat * 3, IF(bbgm_stat &gt;= perc_90, converted_stat * 2, IF(bbgm_stat &gt;= perc_85, converted_stat * 1.5, converted_stat)))))</f>
        <v/>
      </c>
      <c r="K82" s="30" t="str">
        <f t="array" ref="K82">IF($A82="", "", LET(bbgm_stat, INDEX(Players!$A81:$P81, MATCH(K$2, Players!$A$1:$P$1, 0)), perc_75, VLOOKUP(K$2, Percentiles!$A$45:$I$59, 6, FALSE), perc_90, VLOOKUP(K$2, Percentiles!$A$45:$I$59, 7, FALSE), perc_95, VLOOKUP(K$2, Percentiles!$A$45:$I$59, 8, FALSE), perc_85, perc_75 + (perc_90 - perc_75) * (2/3), converted_stat, '2K_Ratings'!K82, IF(bbgm_stat &gt;= perc_95, converted_stat * 3, IF(bbgm_stat &gt;= perc_90, converted_stat * 2, IF(bbgm_stat &gt;= perc_85, converted_stat * 1.5, converted_stat)))))</f>
        <v/>
      </c>
      <c r="L82" s="30" t="str">
        <f t="array" ref="L82">IF($A82="", "", LET(bbgm_stat, INDEX(Players!$A81:$P81, MATCH(L$2, Players!$A$1:$P$1, 0)), perc_75, VLOOKUP(L$2, Percentiles!$A$45:$I$59, 6, FALSE), perc_90, VLOOKUP(L$2, Percentiles!$A$45:$I$59, 7, FALSE), perc_95, VLOOKUP(L$2, Percentiles!$A$45:$I$59, 8, FALSE), perc_85, perc_75 + (perc_90 - perc_75) * (2/3), converted_stat, '2K_Ratings'!L82, IF(bbgm_stat &gt;= perc_95, converted_stat * 3, IF(bbgm_stat &gt;= perc_90, converted_stat * 2, IF(bbgm_stat &gt;= perc_85, converted_stat * 1.5, converted_stat)))))</f>
        <v/>
      </c>
      <c r="M82" s="30" t="str">
        <f t="array" ref="M82">IF($A82="", "", LET(bbgm_stat, INDEX(Players!$A81:$P81, MATCH(M$2, Players!$A$1:$P$1, 0)), perc_75, VLOOKUP(M$2, Percentiles!$A$45:$I$59, 6, FALSE), perc_90, VLOOKUP(M$2, Percentiles!$A$45:$I$59, 7, FALSE), perc_95, VLOOKUP(M$2, Percentiles!$A$45:$I$59, 8, FALSE), perc_85, perc_75 + (perc_90 - perc_75) * (2/3), converted_stat, '2K_Ratings'!M82, IF(bbgm_stat &gt;= perc_95, converted_stat * 3, IF(bbgm_stat &gt;= perc_90, converted_stat * 2, IF(bbgm_stat &gt;= perc_85, converted_stat * 1.5, converted_stat)))))</f>
        <v/>
      </c>
      <c r="N82" s="30" t="str">
        <f t="array" ref="N82">IF($A82="", "", LET(bbgm_stat, INDEX(Players!$A81:$P81, MATCH(N$2, Players!$A$1:$P$1, 0)), perc_75, VLOOKUP(N$2, Percentiles!$A$45:$I$59, 6, FALSE), perc_90, VLOOKUP(N$2, Percentiles!$A$45:$I$59, 7, FALSE), perc_95, VLOOKUP(N$2, Percentiles!$A$45:$I$59, 8, FALSE), perc_85, perc_75 + (perc_90 - perc_75) * (2/3), converted_stat, '2K_Ratings'!N82, IF(bbgm_stat &gt;= perc_95, converted_stat * 3, IF(bbgm_stat &gt;= perc_90, converted_stat * 2, IF(bbgm_stat &gt;= perc_85, converted_stat * 1.5, converted_stat)))))</f>
        <v/>
      </c>
      <c r="O82" s="30" t="str">
        <f t="array" ref="O82">IF($A82="", "", LET(bbgm_stat, INDEX(Players!$A81:$P81, MATCH(O$2, Players!$A$1:$P$1, 0)), perc_75, VLOOKUP(O$2, Percentiles!$A$45:$I$59, 6, FALSE), perc_90, VLOOKUP(O$2, Percentiles!$A$45:$I$59, 7, FALSE), perc_95, VLOOKUP(O$2, Percentiles!$A$45:$I$59, 8, FALSE), perc_85, perc_75 + (perc_90 - perc_75) * (2/3), converted_stat, '2K_Ratings'!O82, IF(bbgm_stat &gt;= perc_95, converted_stat * 3, IF(bbgm_stat &gt;= perc_90, converted_stat * 2, IF(bbgm_stat &gt;= perc_85, converted_stat * 1.5, converted_stat)))))</f>
        <v/>
      </c>
      <c r="P82" s="30" t="str">
        <f t="array" ref="P82">IF($A82="", "", LET(bbgm_stat, INDEX(Players!$A81:$P81, MATCH(P$2, Players!$A$1:$P$1, 0)), perc_75, VLOOKUP(P$2, Percentiles!$A$45:$I$59, 6, FALSE), perc_90, VLOOKUP(P$2, Percentiles!$A$45:$I$59, 7, FALSE), perc_95, VLOOKUP(P$2, Percentiles!$A$45:$I$59, 8, FALSE), perc_85, perc_75 + (perc_90 - perc_75) * (2/3), converted_stat, '2K_Ratings'!P82, IF(bbgm_stat &gt;= perc_95, converted_stat * 3, IF(bbgm_stat &gt;= perc_90, converted_stat * 2, IF(bbgm_stat &gt;= perc_85, converted_stat * 1.5, converted_stat)))))</f>
        <v/>
      </c>
      <c r="Q82" s="30" t="str">
        <f t="array" ref="Q82">IF($A82="", "", LET(bbgm_stat, INDEX(Players!$A81:$P81, MATCH(Q$2, Players!$A$1:$P$1, 0)), perc_75, VLOOKUP(Q$2, Percentiles!$A$45:$I$59, 6, FALSE), perc_90, VLOOKUP(Q$2, Percentiles!$A$45:$I$59, 7, FALSE), perc_95, VLOOKUP(Q$2, Percentiles!$A$45:$I$59, 8, FALSE), perc_85, perc_75 + (perc_90 - perc_75) * (2/3), converted_stat, '2K_Ratings'!Q82, IF(bbgm_stat &gt;= perc_95, converted_stat * 3, IF(bbgm_stat &gt;= perc_90, converted_stat * 2, IF(bbgm_stat &gt;= perc_85, converted_stat * 1.5, converted_stat)))))</f>
        <v/>
      </c>
      <c r="R82" s="30" t="str">
        <f t="array" ref="R82">IF($A82="", "", LET(bbgm_stat, INDEX(Players!$A81:$P81, MATCH(R$2, Players!$A$1:$P$1, 0)), perc_75, VLOOKUP(R$2, Percentiles!$A$45:$I$59, 6, FALSE), perc_90, VLOOKUP(R$2, Percentiles!$A$45:$I$59, 7, FALSE), perc_95, VLOOKUP(R$2, Percentiles!$A$45:$I$59, 8, FALSE), perc_85, perc_75 + (perc_90 - perc_75) * (2/3), converted_stat, '2K_Ratings'!R82, IF(bbgm_stat &gt;= perc_95, converted_stat * 3, IF(bbgm_stat &gt;= perc_90, converted_stat * 2, IF(bbgm_stat &gt;= perc_85, converted_stat * 1.5, converted_stat)))))</f>
        <v/>
      </c>
      <c r="S82" s="30" t="str">
        <f t="array" ref="S82">IF($A82="", "", LET(bbgm_stat, INDEX(Players!$A81:$P81, MATCH(S$2, Players!$A$1:$P$1, 0)), perc_75, VLOOKUP(S$2, Percentiles!$A$45:$I$59, 6, FALSE), perc_90, VLOOKUP(S$2, Percentiles!$A$45:$I$59, 7, FALSE), perc_95, VLOOKUP(S$2, Percentiles!$A$45:$I$59, 8, FALSE), perc_85, perc_75 + (perc_90 - perc_75) * (2/3), converted_stat, '2K_Ratings'!S82, IF(bbgm_stat &gt;= perc_95, converted_stat * 3, IF(bbgm_stat &gt;= perc_90, converted_stat * 2, IF(bbgm_stat &gt;= perc_85, converted_stat * 1.5, converted_stat)))))</f>
        <v/>
      </c>
      <c r="T82" s="30" t="str">
        <f t="array" ref="T82">IF($A82="", "", LET(bbgm_stat, INDEX(Players!$A81:$P81, MATCH(T$2, Players!$A$1:$P$1, 0)), perc_75, VLOOKUP(T$2, Percentiles!$A$45:$I$59, 6, FALSE), perc_90, VLOOKUP(T$2, Percentiles!$A$45:$I$59, 7, FALSE), perc_95, VLOOKUP(T$2, Percentiles!$A$45:$I$59, 8, FALSE), perc_85, perc_75 + (perc_90 - perc_75) * (2/3), converted_stat, '2K_Ratings'!T82, IF(bbgm_stat &gt;= perc_95, converted_stat * 3, IF(bbgm_stat &gt;= perc_90, converted_stat * 2, IF(bbgm_stat &gt;= perc_85, converted_stat * 1.5, converted_stat)))))</f>
        <v/>
      </c>
      <c r="U82" s="30" t="str">
        <f t="array" ref="U82">IF($A82="", "", LET(bbgm_stat, INDEX(Players!$A81:$P81, MATCH(U$2, Players!$A$1:$P$1, 0)), perc_75, VLOOKUP(U$2, Percentiles!$A$45:$I$59, 6, FALSE), perc_90, VLOOKUP(U$2, Percentiles!$A$45:$I$59, 7, FALSE), perc_95, VLOOKUP(U$2, Percentiles!$A$45:$I$59, 8, FALSE), perc_85, perc_75 + (perc_90 - perc_75) * (2/3), converted_stat, '2K_Ratings'!U82, IF(bbgm_stat &gt;= perc_95, converted_stat * 3, IF(bbgm_stat &gt;= perc_90, converted_stat * 2, IF(bbgm_stat &gt;= perc_85, converted_stat * 1.5, converted_stat)))))</f>
        <v/>
      </c>
      <c r="V82" s="30" t="str">
        <f t="array" ref="V82">IF($A82="", "", LET(bbgm_stat, INDEX(Players!$A81:$P81, MATCH(V$2, Players!$A$1:$P$1, 0)), perc_75, VLOOKUP(V$2, Percentiles!$A$45:$I$59, 6, FALSE), perc_90, VLOOKUP(V$2, Percentiles!$A$45:$I$59, 7, FALSE), perc_95, VLOOKUP(V$2, Percentiles!$A$45:$I$59, 8, FALSE), perc_85, perc_75 + (perc_90 - perc_75) * (2/3), converted_stat, '2K_Ratings'!V82, IF(bbgm_stat &gt;= perc_95, converted_stat * 3, IF(bbgm_stat &gt;= perc_90, converted_stat * 2, IF(bbgm_stat &gt;= perc_85, converted_stat * 1.5, converted_stat)))))</f>
        <v/>
      </c>
      <c r="W82" s="30" t="str">
        <f t="array" ref="W82">IF($A82="", "", LET(bbgm_stat, INDEX(Players!$A81:$P81, MATCH(W$2, Players!$A$1:$P$1, 0)), perc_75, VLOOKUP(W$2, Percentiles!$A$45:$I$59, 6, FALSE), perc_90, VLOOKUP(W$2, Percentiles!$A$45:$I$59, 7, FALSE), perc_95, VLOOKUP(W$2, Percentiles!$A$45:$I$59, 8, FALSE), perc_85, perc_75 + (perc_90 - perc_75) * (2/3), converted_stat, '2K_Ratings'!W82, IF(bbgm_stat &gt;= perc_95, converted_stat * 3, IF(bbgm_stat &gt;= perc_90, converted_stat * 2, IF(bbgm_stat &gt;= perc_85, converted_stat * 1.5, converted_stat)))))</f>
        <v/>
      </c>
    </row>
    <row r="83">
      <c r="A83" s="30" t="str">
        <f>IF(Players!A82="", "", Players!A82)</f>
        <v/>
      </c>
      <c r="B83" s="30" t="str">
        <f t="array" ref="B83">IF($A83="", "", LET(bbgm_stat, INDEX(Players!$A82:$P82, MATCH(B$2, Players!$A$1:$P$1, 0)), perc_75, VLOOKUP(B$2, Percentiles!$A$45:$I$59, 6, FALSE), perc_90, VLOOKUP(B$2, Percentiles!$A$45:$I$59, 7, FALSE), perc_95, VLOOKUP(B$2, Percentiles!$A$45:$I$59, 8, FALSE), perc_85, perc_75 + (perc_90 - perc_75) * (2/3), converted_stat, '2K_Ratings'!B83, IF(bbgm_stat &gt;= perc_95, converted_stat * 3, IF(bbgm_stat &gt;= perc_90, converted_stat * 2, IF(bbgm_stat &gt;= perc_85, converted_stat * 1.5, converted_stat)))))</f>
        <v/>
      </c>
      <c r="C83" s="30" t="str">
        <f t="array" ref="C83">IF($A83="", "", LET(bbgm_stat, INDEX(Players!$A82:$P82, MATCH(C$2, Players!$A$1:$P$1, 0)), perc_75, VLOOKUP(C$2, Percentiles!$A$45:$I$59, 6, FALSE), perc_90, VLOOKUP(C$2, Percentiles!$A$45:$I$59, 7, FALSE), perc_95, VLOOKUP(C$2, Percentiles!$A$45:$I$59, 8, FALSE), perc_85, perc_75 + (perc_90 - perc_75) * (2/3), converted_stat, '2K_Ratings'!C83, IF(bbgm_stat &gt;= perc_95, converted_stat * 3, IF(bbgm_stat &gt;= perc_90, converted_stat * 2, IF(bbgm_stat &gt;= perc_85, converted_stat * 1.5, converted_stat)))))</f>
        <v/>
      </c>
      <c r="D83" s="30" t="str">
        <f t="array" ref="D83">IF($A83="", "", LET(bbgm_stat, INDEX(Players!$A82:$P82, MATCH(D$2, Players!$A$1:$P$1, 0)), perc_75, VLOOKUP(D$2, Percentiles!$A$45:$I$59, 6, FALSE), perc_90, VLOOKUP(D$2, Percentiles!$A$45:$I$59, 7, FALSE), perc_95, VLOOKUP(D$2, Percentiles!$A$45:$I$59, 8, FALSE), perc_85, perc_75 + (perc_90 - perc_75) * (2/3), converted_stat, '2K_Ratings'!D83, IF(bbgm_stat &gt;= perc_95, converted_stat * 3, IF(bbgm_stat &gt;= perc_90, converted_stat * 2, IF(bbgm_stat &gt;= perc_85, converted_stat * 1.5, converted_stat)))))</f>
        <v/>
      </c>
      <c r="E83" s="30" t="str">
        <f t="array" ref="E83">IF($A83="", "", LET(bbgm_stat, INDEX(Players!$A82:$P82, MATCH(E$2, Players!$A$1:$P$1, 0)), perc_75, VLOOKUP(E$2, Percentiles!$A$45:$I$59, 6, FALSE), perc_90, VLOOKUP(E$2, Percentiles!$A$45:$I$59, 7, FALSE), perc_95, VLOOKUP(E$2, Percentiles!$A$45:$I$59, 8, FALSE), perc_85, perc_75 + (perc_90 - perc_75) * (2/3), converted_stat, '2K_Ratings'!E83, IF(bbgm_stat &gt;= perc_95, converted_stat * 3, IF(bbgm_stat &gt;= perc_90, converted_stat * 2, IF(bbgm_stat &gt;= perc_85, converted_stat * 1.5, converted_stat)))))</f>
        <v/>
      </c>
      <c r="F83" s="30" t="str">
        <f t="array" ref="F83">IF($A83="", "", LET(bbgm_stat, INDEX(Players!$A82:$P82, MATCH(F$2, Players!$A$1:$P$1, 0)), perc_75, VLOOKUP(F$2, Percentiles!$A$45:$I$59, 6, FALSE), perc_90, VLOOKUP(F$2, Percentiles!$A$45:$I$59, 7, FALSE), perc_95, VLOOKUP(F$2, Percentiles!$A$45:$I$59, 8, FALSE), perc_85, perc_75 + (perc_90 - perc_75) * (2/3), converted_stat, '2K_Ratings'!F83, IF(bbgm_stat &gt;= perc_95, converted_stat * 3, IF(bbgm_stat &gt;= perc_90, converted_stat * 2, IF(bbgm_stat &gt;= perc_85, converted_stat * 1.5, converted_stat)))))</f>
        <v/>
      </c>
      <c r="G83" s="30" t="str">
        <f t="array" ref="G83">IF($A83="", "", LET(bbgm_stat, INDEX(Players!$A82:$P82, MATCH(G$2, Players!$A$1:$P$1, 0)), perc_75, VLOOKUP(G$2, Percentiles!$A$45:$I$59, 6, FALSE), perc_90, VLOOKUP(G$2, Percentiles!$A$45:$I$59, 7, FALSE), perc_95, VLOOKUP(G$2, Percentiles!$A$45:$I$59, 8, FALSE), perc_85, perc_75 + (perc_90 - perc_75) * (2/3), converted_stat, '2K_Ratings'!G83, IF(bbgm_stat &gt;= perc_95, converted_stat * 3, IF(bbgm_stat &gt;= perc_90, converted_stat * 2, IF(bbgm_stat &gt;= perc_85, converted_stat * 1.5, converted_stat)))))</f>
        <v/>
      </c>
      <c r="H83" s="30" t="str">
        <f t="array" ref="H83">IF($A83="", "", LET(bbgm_stat, INDEX(Players!$A82:$P82, MATCH(H$2, Players!$A$1:$P$1, 0)), perc_75, VLOOKUP(H$2, Percentiles!$A$45:$I$59, 6, FALSE), perc_90, VLOOKUP(H$2, Percentiles!$A$45:$I$59, 7, FALSE), perc_95, VLOOKUP(H$2, Percentiles!$A$45:$I$59, 8, FALSE), perc_85, perc_75 + (perc_90 - perc_75) * (2/3), converted_stat, '2K_Ratings'!H83, IF(bbgm_stat &gt;= perc_95, converted_stat * 3, IF(bbgm_stat &gt;= perc_90, converted_stat * 2, IF(bbgm_stat &gt;= perc_85, converted_stat * 1.5, converted_stat)))))</f>
        <v/>
      </c>
      <c r="I83" s="30" t="str">
        <f t="array" ref="I83">IF($A83="", "", LET(bbgm_stat, INDEX(Players!$A82:$P82, MATCH(I$2, Players!$A$1:$P$1, 0)), perc_75, VLOOKUP(I$2, Percentiles!$A$45:$I$59, 6, FALSE), perc_90, VLOOKUP(I$2, Percentiles!$A$45:$I$59, 7, FALSE), perc_95, VLOOKUP(I$2, Percentiles!$A$45:$I$59, 8, FALSE), perc_85, perc_75 + (perc_90 - perc_75) * (2/3), converted_stat, '2K_Ratings'!I83, IF(bbgm_stat &gt;= perc_95, converted_stat * 3, IF(bbgm_stat &gt;= perc_90, converted_stat * 2, IF(bbgm_stat &gt;= perc_85, converted_stat * 1.5, converted_stat)))))</f>
        <v/>
      </c>
      <c r="J83" s="30" t="str">
        <f t="array" ref="J83">IF($A83="", "", LET(bbgm_stat, INDEX(Players!$A82:$P82, MATCH(J$2, Players!$A$1:$P$1, 0)), perc_75, VLOOKUP(J$2, Percentiles!$A$45:$I$59, 6, FALSE), perc_90, VLOOKUP(J$2, Percentiles!$A$45:$I$59, 7, FALSE), perc_95, VLOOKUP(J$2, Percentiles!$A$45:$I$59, 8, FALSE), perc_85, perc_75 + (perc_90 - perc_75) * (2/3), converted_stat, '2K_Ratings'!J83, IF(bbgm_stat &gt;= perc_95, converted_stat * 3, IF(bbgm_stat &gt;= perc_90, converted_stat * 2, IF(bbgm_stat &gt;= perc_85, converted_stat * 1.5, converted_stat)))))</f>
        <v/>
      </c>
      <c r="K83" s="30" t="str">
        <f t="array" ref="K83">IF($A83="", "", LET(bbgm_stat, INDEX(Players!$A82:$P82, MATCH(K$2, Players!$A$1:$P$1, 0)), perc_75, VLOOKUP(K$2, Percentiles!$A$45:$I$59, 6, FALSE), perc_90, VLOOKUP(K$2, Percentiles!$A$45:$I$59, 7, FALSE), perc_95, VLOOKUP(K$2, Percentiles!$A$45:$I$59, 8, FALSE), perc_85, perc_75 + (perc_90 - perc_75) * (2/3), converted_stat, '2K_Ratings'!K83, IF(bbgm_stat &gt;= perc_95, converted_stat * 3, IF(bbgm_stat &gt;= perc_90, converted_stat * 2, IF(bbgm_stat &gt;= perc_85, converted_stat * 1.5, converted_stat)))))</f>
        <v/>
      </c>
      <c r="L83" s="30" t="str">
        <f t="array" ref="L83">IF($A83="", "", LET(bbgm_stat, INDEX(Players!$A82:$P82, MATCH(L$2, Players!$A$1:$P$1, 0)), perc_75, VLOOKUP(L$2, Percentiles!$A$45:$I$59, 6, FALSE), perc_90, VLOOKUP(L$2, Percentiles!$A$45:$I$59, 7, FALSE), perc_95, VLOOKUP(L$2, Percentiles!$A$45:$I$59, 8, FALSE), perc_85, perc_75 + (perc_90 - perc_75) * (2/3), converted_stat, '2K_Ratings'!L83, IF(bbgm_stat &gt;= perc_95, converted_stat * 3, IF(bbgm_stat &gt;= perc_90, converted_stat * 2, IF(bbgm_stat &gt;= perc_85, converted_stat * 1.5, converted_stat)))))</f>
        <v/>
      </c>
      <c r="M83" s="30" t="str">
        <f t="array" ref="M83">IF($A83="", "", LET(bbgm_stat, INDEX(Players!$A82:$P82, MATCH(M$2, Players!$A$1:$P$1, 0)), perc_75, VLOOKUP(M$2, Percentiles!$A$45:$I$59, 6, FALSE), perc_90, VLOOKUP(M$2, Percentiles!$A$45:$I$59, 7, FALSE), perc_95, VLOOKUP(M$2, Percentiles!$A$45:$I$59, 8, FALSE), perc_85, perc_75 + (perc_90 - perc_75) * (2/3), converted_stat, '2K_Ratings'!M83, IF(bbgm_stat &gt;= perc_95, converted_stat * 3, IF(bbgm_stat &gt;= perc_90, converted_stat * 2, IF(bbgm_stat &gt;= perc_85, converted_stat * 1.5, converted_stat)))))</f>
        <v/>
      </c>
      <c r="N83" s="30" t="str">
        <f t="array" ref="N83">IF($A83="", "", LET(bbgm_stat, INDEX(Players!$A82:$P82, MATCH(N$2, Players!$A$1:$P$1, 0)), perc_75, VLOOKUP(N$2, Percentiles!$A$45:$I$59, 6, FALSE), perc_90, VLOOKUP(N$2, Percentiles!$A$45:$I$59, 7, FALSE), perc_95, VLOOKUP(N$2, Percentiles!$A$45:$I$59, 8, FALSE), perc_85, perc_75 + (perc_90 - perc_75) * (2/3), converted_stat, '2K_Ratings'!N83, IF(bbgm_stat &gt;= perc_95, converted_stat * 3, IF(bbgm_stat &gt;= perc_90, converted_stat * 2, IF(bbgm_stat &gt;= perc_85, converted_stat * 1.5, converted_stat)))))</f>
        <v/>
      </c>
      <c r="O83" s="30" t="str">
        <f t="array" ref="O83">IF($A83="", "", LET(bbgm_stat, INDEX(Players!$A82:$P82, MATCH(O$2, Players!$A$1:$P$1, 0)), perc_75, VLOOKUP(O$2, Percentiles!$A$45:$I$59, 6, FALSE), perc_90, VLOOKUP(O$2, Percentiles!$A$45:$I$59, 7, FALSE), perc_95, VLOOKUP(O$2, Percentiles!$A$45:$I$59, 8, FALSE), perc_85, perc_75 + (perc_90 - perc_75) * (2/3), converted_stat, '2K_Ratings'!O83, IF(bbgm_stat &gt;= perc_95, converted_stat * 3, IF(bbgm_stat &gt;= perc_90, converted_stat * 2, IF(bbgm_stat &gt;= perc_85, converted_stat * 1.5, converted_stat)))))</f>
        <v/>
      </c>
      <c r="P83" s="30" t="str">
        <f t="array" ref="P83">IF($A83="", "", LET(bbgm_stat, INDEX(Players!$A82:$P82, MATCH(P$2, Players!$A$1:$P$1, 0)), perc_75, VLOOKUP(P$2, Percentiles!$A$45:$I$59, 6, FALSE), perc_90, VLOOKUP(P$2, Percentiles!$A$45:$I$59, 7, FALSE), perc_95, VLOOKUP(P$2, Percentiles!$A$45:$I$59, 8, FALSE), perc_85, perc_75 + (perc_90 - perc_75) * (2/3), converted_stat, '2K_Ratings'!P83, IF(bbgm_stat &gt;= perc_95, converted_stat * 3, IF(bbgm_stat &gt;= perc_90, converted_stat * 2, IF(bbgm_stat &gt;= perc_85, converted_stat * 1.5, converted_stat)))))</f>
        <v/>
      </c>
      <c r="Q83" s="30" t="str">
        <f t="array" ref="Q83">IF($A83="", "", LET(bbgm_stat, INDEX(Players!$A82:$P82, MATCH(Q$2, Players!$A$1:$P$1, 0)), perc_75, VLOOKUP(Q$2, Percentiles!$A$45:$I$59, 6, FALSE), perc_90, VLOOKUP(Q$2, Percentiles!$A$45:$I$59, 7, FALSE), perc_95, VLOOKUP(Q$2, Percentiles!$A$45:$I$59, 8, FALSE), perc_85, perc_75 + (perc_90 - perc_75) * (2/3), converted_stat, '2K_Ratings'!Q83, IF(bbgm_stat &gt;= perc_95, converted_stat * 3, IF(bbgm_stat &gt;= perc_90, converted_stat * 2, IF(bbgm_stat &gt;= perc_85, converted_stat * 1.5, converted_stat)))))</f>
        <v/>
      </c>
      <c r="R83" s="30" t="str">
        <f t="array" ref="R83">IF($A83="", "", LET(bbgm_stat, INDEX(Players!$A82:$P82, MATCH(R$2, Players!$A$1:$P$1, 0)), perc_75, VLOOKUP(R$2, Percentiles!$A$45:$I$59, 6, FALSE), perc_90, VLOOKUP(R$2, Percentiles!$A$45:$I$59, 7, FALSE), perc_95, VLOOKUP(R$2, Percentiles!$A$45:$I$59, 8, FALSE), perc_85, perc_75 + (perc_90 - perc_75) * (2/3), converted_stat, '2K_Ratings'!R83, IF(bbgm_stat &gt;= perc_95, converted_stat * 3, IF(bbgm_stat &gt;= perc_90, converted_stat * 2, IF(bbgm_stat &gt;= perc_85, converted_stat * 1.5, converted_stat)))))</f>
        <v/>
      </c>
      <c r="S83" s="30" t="str">
        <f t="array" ref="S83">IF($A83="", "", LET(bbgm_stat, INDEX(Players!$A82:$P82, MATCH(S$2, Players!$A$1:$P$1, 0)), perc_75, VLOOKUP(S$2, Percentiles!$A$45:$I$59, 6, FALSE), perc_90, VLOOKUP(S$2, Percentiles!$A$45:$I$59, 7, FALSE), perc_95, VLOOKUP(S$2, Percentiles!$A$45:$I$59, 8, FALSE), perc_85, perc_75 + (perc_90 - perc_75) * (2/3), converted_stat, '2K_Ratings'!S83, IF(bbgm_stat &gt;= perc_95, converted_stat * 3, IF(bbgm_stat &gt;= perc_90, converted_stat * 2, IF(bbgm_stat &gt;= perc_85, converted_stat * 1.5, converted_stat)))))</f>
        <v/>
      </c>
      <c r="T83" s="30" t="str">
        <f t="array" ref="T83">IF($A83="", "", LET(bbgm_stat, INDEX(Players!$A82:$P82, MATCH(T$2, Players!$A$1:$P$1, 0)), perc_75, VLOOKUP(T$2, Percentiles!$A$45:$I$59, 6, FALSE), perc_90, VLOOKUP(T$2, Percentiles!$A$45:$I$59, 7, FALSE), perc_95, VLOOKUP(T$2, Percentiles!$A$45:$I$59, 8, FALSE), perc_85, perc_75 + (perc_90 - perc_75) * (2/3), converted_stat, '2K_Ratings'!T83, IF(bbgm_stat &gt;= perc_95, converted_stat * 3, IF(bbgm_stat &gt;= perc_90, converted_stat * 2, IF(bbgm_stat &gt;= perc_85, converted_stat * 1.5, converted_stat)))))</f>
        <v/>
      </c>
      <c r="U83" s="30" t="str">
        <f t="array" ref="U83">IF($A83="", "", LET(bbgm_stat, INDEX(Players!$A82:$P82, MATCH(U$2, Players!$A$1:$P$1, 0)), perc_75, VLOOKUP(U$2, Percentiles!$A$45:$I$59, 6, FALSE), perc_90, VLOOKUP(U$2, Percentiles!$A$45:$I$59, 7, FALSE), perc_95, VLOOKUP(U$2, Percentiles!$A$45:$I$59, 8, FALSE), perc_85, perc_75 + (perc_90 - perc_75) * (2/3), converted_stat, '2K_Ratings'!U83, IF(bbgm_stat &gt;= perc_95, converted_stat * 3, IF(bbgm_stat &gt;= perc_90, converted_stat * 2, IF(bbgm_stat &gt;= perc_85, converted_stat * 1.5, converted_stat)))))</f>
        <v/>
      </c>
      <c r="V83" s="30" t="str">
        <f t="array" ref="V83">IF($A83="", "", LET(bbgm_stat, INDEX(Players!$A82:$P82, MATCH(V$2, Players!$A$1:$P$1, 0)), perc_75, VLOOKUP(V$2, Percentiles!$A$45:$I$59, 6, FALSE), perc_90, VLOOKUP(V$2, Percentiles!$A$45:$I$59, 7, FALSE), perc_95, VLOOKUP(V$2, Percentiles!$A$45:$I$59, 8, FALSE), perc_85, perc_75 + (perc_90 - perc_75) * (2/3), converted_stat, '2K_Ratings'!V83, IF(bbgm_stat &gt;= perc_95, converted_stat * 3, IF(bbgm_stat &gt;= perc_90, converted_stat * 2, IF(bbgm_stat &gt;= perc_85, converted_stat * 1.5, converted_stat)))))</f>
        <v/>
      </c>
      <c r="W83" s="30" t="str">
        <f t="array" ref="W83">IF($A83="", "", LET(bbgm_stat, INDEX(Players!$A82:$P82, MATCH(W$2, Players!$A$1:$P$1, 0)), perc_75, VLOOKUP(W$2, Percentiles!$A$45:$I$59, 6, FALSE), perc_90, VLOOKUP(W$2, Percentiles!$A$45:$I$59, 7, FALSE), perc_95, VLOOKUP(W$2, Percentiles!$A$45:$I$59, 8, FALSE), perc_85, perc_75 + (perc_90 - perc_75) * (2/3), converted_stat, '2K_Ratings'!W83, IF(bbgm_stat &gt;= perc_95, converted_stat * 3, IF(bbgm_stat &gt;= perc_90, converted_stat * 2, IF(bbgm_stat &gt;= perc_85, converted_stat * 1.5, converted_stat)))))</f>
        <v/>
      </c>
    </row>
    <row r="84">
      <c r="A84" s="30" t="str">
        <f>IF(Players!A83="", "", Players!A83)</f>
        <v/>
      </c>
      <c r="B84" s="30" t="str">
        <f t="array" ref="B84">IF($A84="", "", LET(bbgm_stat, INDEX(Players!$A83:$P83, MATCH(B$2, Players!$A$1:$P$1, 0)), perc_75, VLOOKUP(B$2, Percentiles!$A$45:$I$59, 6, FALSE), perc_90, VLOOKUP(B$2, Percentiles!$A$45:$I$59, 7, FALSE), perc_95, VLOOKUP(B$2, Percentiles!$A$45:$I$59, 8, FALSE), perc_85, perc_75 + (perc_90 - perc_75) * (2/3), converted_stat, '2K_Ratings'!B84, IF(bbgm_stat &gt;= perc_95, converted_stat * 3, IF(bbgm_stat &gt;= perc_90, converted_stat * 2, IF(bbgm_stat &gt;= perc_85, converted_stat * 1.5, converted_stat)))))</f>
        <v/>
      </c>
      <c r="C84" s="30" t="str">
        <f t="array" ref="C84">IF($A84="", "", LET(bbgm_stat, INDEX(Players!$A83:$P83, MATCH(C$2, Players!$A$1:$P$1, 0)), perc_75, VLOOKUP(C$2, Percentiles!$A$45:$I$59, 6, FALSE), perc_90, VLOOKUP(C$2, Percentiles!$A$45:$I$59, 7, FALSE), perc_95, VLOOKUP(C$2, Percentiles!$A$45:$I$59, 8, FALSE), perc_85, perc_75 + (perc_90 - perc_75) * (2/3), converted_stat, '2K_Ratings'!C84, IF(bbgm_stat &gt;= perc_95, converted_stat * 3, IF(bbgm_stat &gt;= perc_90, converted_stat * 2, IF(bbgm_stat &gt;= perc_85, converted_stat * 1.5, converted_stat)))))</f>
        <v/>
      </c>
      <c r="D84" s="30" t="str">
        <f t="array" ref="D84">IF($A84="", "", LET(bbgm_stat, INDEX(Players!$A83:$P83, MATCH(D$2, Players!$A$1:$P$1, 0)), perc_75, VLOOKUP(D$2, Percentiles!$A$45:$I$59, 6, FALSE), perc_90, VLOOKUP(D$2, Percentiles!$A$45:$I$59, 7, FALSE), perc_95, VLOOKUP(D$2, Percentiles!$A$45:$I$59, 8, FALSE), perc_85, perc_75 + (perc_90 - perc_75) * (2/3), converted_stat, '2K_Ratings'!D84, IF(bbgm_stat &gt;= perc_95, converted_stat * 3, IF(bbgm_stat &gt;= perc_90, converted_stat * 2, IF(bbgm_stat &gt;= perc_85, converted_stat * 1.5, converted_stat)))))</f>
        <v/>
      </c>
      <c r="E84" s="30" t="str">
        <f t="array" ref="E84">IF($A84="", "", LET(bbgm_stat, INDEX(Players!$A83:$P83, MATCH(E$2, Players!$A$1:$P$1, 0)), perc_75, VLOOKUP(E$2, Percentiles!$A$45:$I$59, 6, FALSE), perc_90, VLOOKUP(E$2, Percentiles!$A$45:$I$59, 7, FALSE), perc_95, VLOOKUP(E$2, Percentiles!$A$45:$I$59, 8, FALSE), perc_85, perc_75 + (perc_90 - perc_75) * (2/3), converted_stat, '2K_Ratings'!E84, IF(bbgm_stat &gt;= perc_95, converted_stat * 3, IF(bbgm_stat &gt;= perc_90, converted_stat * 2, IF(bbgm_stat &gt;= perc_85, converted_stat * 1.5, converted_stat)))))</f>
        <v/>
      </c>
      <c r="F84" s="30" t="str">
        <f t="array" ref="F84">IF($A84="", "", LET(bbgm_stat, INDEX(Players!$A83:$P83, MATCH(F$2, Players!$A$1:$P$1, 0)), perc_75, VLOOKUP(F$2, Percentiles!$A$45:$I$59, 6, FALSE), perc_90, VLOOKUP(F$2, Percentiles!$A$45:$I$59, 7, FALSE), perc_95, VLOOKUP(F$2, Percentiles!$A$45:$I$59, 8, FALSE), perc_85, perc_75 + (perc_90 - perc_75) * (2/3), converted_stat, '2K_Ratings'!F84, IF(bbgm_stat &gt;= perc_95, converted_stat * 3, IF(bbgm_stat &gt;= perc_90, converted_stat * 2, IF(bbgm_stat &gt;= perc_85, converted_stat * 1.5, converted_stat)))))</f>
        <v/>
      </c>
      <c r="G84" s="30" t="str">
        <f t="array" ref="G84">IF($A84="", "", LET(bbgm_stat, INDEX(Players!$A83:$P83, MATCH(G$2, Players!$A$1:$P$1, 0)), perc_75, VLOOKUP(G$2, Percentiles!$A$45:$I$59, 6, FALSE), perc_90, VLOOKUP(G$2, Percentiles!$A$45:$I$59, 7, FALSE), perc_95, VLOOKUP(G$2, Percentiles!$A$45:$I$59, 8, FALSE), perc_85, perc_75 + (perc_90 - perc_75) * (2/3), converted_stat, '2K_Ratings'!G84, IF(bbgm_stat &gt;= perc_95, converted_stat * 3, IF(bbgm_stat &gt;= perc_90, converted_stat * 2, IF(bbgm_stat &gt;= perc_85, converted_stat * 1.5, converted_stat)))))</f>
        <v/>
      </c>
      <c r="H84" s="30" t="str">
        <f t="array" ref="H84">IF($A84="", "", LET(bbgm_stat, INDEX(Players!$A83:$P83, MATCH(H$2, Players!$A$1:$P$1, 0)), perc_75, VLOOKUP(H$2, Percentiles!$A$45:$I$59, 6, FALSE), perc_90, VLOOKUP(H$2, Percentiles!$A$45:$I$59, 7, FALSE), perc_95, VLOOKUP(H$2, Percentiles!$A$45:$I$59, 8, FALSE), perc_85, perc_75 + (perc_90 - perc_75) * (2/3), converted_stat, '2K_Ratings'!H84, IF(bbgm_stat &gt;= perc_95, converted_stat * 3, IF(bbgm_stat &gt;= perc_90, converted_stat * 2, IF(bbgm_stat &gt;= perc_85, converted_stat * 1.5, converted_stat)))))</f>
        <v/>
      </c>
      <c r="I84" s="30" t="str">
        <f t="array" ref="I84">IF($A84="", "", LET(bbgm_stat, INDEX(Players!$A83:$P83, MATCH(I$2, Players!$A$1:$P$1, 0)), perc_75, VLOOKUP(I$2, Percentiles!$A$45:$I$59, 6, FALSE), perc_90, VLOOKUP(I$2, Percentiles!$A$45:$I$59, 7, FALSE), perc_95, VLOOKUP(I$2, Percentiles!$A$45:$I$59, 8, FALSE), perc_85, perc_75 + (perc_90 - perc_75) * (2/3), converted_stat, '2K_Ratings'!I84, IF(bbgm_stat &gt;= perc_95, converted_stat * 3, IF(bbgm_stat &gt;= perc_90, converted_stat * 2, IF(bbgm_stat &gt;= perc_85, converted_stat * 1.5, converted_stat)))))</f>
        <v/>
      </c>
      <c r="J84" s="30" t="str">
        <f t="array" ref="J84">IF($A84="", "", LET(bbgm_stat, INDEX(Players!$A83:$P83, MATCH(J$2, Players!$A$1:$P$1, 0)), perc_75, VLOOKUP(J$2, Percentiles!$A$45:$I$59, 6, FALSE), perc_90, VLOOKUP(J$2, Percentiles!$A$45:$I$59, 7, FALSE), perc_95, VLOOKUP(J$2, Percentiles!$A$45:$I$59, 8, FALSE), perc_85, perc_75 + (perc_90 - perc_75) * (2/3), converted_stat, '2K_Ratings'!J84, IF(bbgm_stat &gt;= perc_95, converted_stat * 3, IF(bbgm_stat &gt;= perc_90, converted_stat * 2, IF(bbgm_stat &gt;= perc_85, converted_stat * 1.5, converted_stat)))))</f>
        <v/>
      </c>
      <c r="K84" s="30" t="str">
        <f t="array" ref="K84">IF($A84="", "", LET(bbgm_stat, INDEX(Players!$A83:$P83, MATCH(K$2, Players!$A$1:$P$1, 0)), perc_75, VLOOKUP(K$2, Percentiles!$A$45:$I$59, 6, FALSE), perc_90, VLOOKUP(K$2, Percentiles!$A$45:$I$59, 7, FALSE), perc_95, VLOOKUP(K$2, Percentiles!$A$45:$I$59, 8, FALSE), perc_85, perc_75 + (perc_90 - perc_75) * (2/3), converted_stat, '2K_Ratings'!K84, IF(bbgm_stat &gt;= perc_95, converted_stat * 3, IF(bbgm_stat &gt;= perc_90, converted_stat * 2, IF(bbgm_stat &gt;= perc_85, converted_stat * 1.5, converted_stat)))))</f>
        <v/>
      </c>
      <c r="L84" s="30" t="str">
        <f t="array" ref="L84">IF($A84="", "", LET(bbgm_stat, INDEX(Players!$A83:$P83, MATCH(L$2, Players!$A$1:$P$1, 0)), perc_75, VLOOKUP(L$2, Percentiles!$A$45:$I$59, 6, FALSE), perc_90, VLOOKUP(L$2, Percentiles!$A$45:$I$59, 7, FALSE), perc_95, VLOOKUP(L$2, Percentiles!$A$45:$I$59, 8, FALSE), perc_85, perc_75 + (perc_90 - perc_75) * (2/3), converted_stat, '2K_Ratings'!L84, IF(bbgm_stat &gt;= perc_95, converted_stat * 3, IF(bbgm_stat &gt;= perc_90, converted_stat * 2, IF(bbgm_stat &gt;= perc_85, converted_stat * 1.5, converted_stat)))))</f>
        <v/>
      </c>
      <c r="M84" s="30" t="str">
        <f t="array" ref="M84">IF($A84="", "", LET(bbgm_stat, INDEX(Players!$A83:$P83, MATCH(M$2, Players!$A$1:$P$1, 0)), perc_75, VLOOKUP(M$2, Percentiles!$A$45:$I$59, 6, FALSE), perc_90, VLOOKUP(M$2, Percentiles!$A$45:$I$59, 7, FALSE), perc_95, VLOOKUP(M$2, Percentiles!$A$45:$I$59, 8, FALSE), perc_85, perc_75 + (perc_90 - perc_75) * (2/3), converted_stat, '2K_Ratings'!M84, IF(bbgm_stat &gt;= perc_95, converted_stat * 3, IF(bbgm_stat &gt;= perc_90, converted_stat * 2, IF(bbgm_stat &gt;= perc_85, converted_stat * 1.5, converted_stat)))))</f>
        <v/>
      </c>
      <c r="N84" s="30" t="str">
        <f t="array" ref="N84">IF($A84="", "", LET(bbgm_stat, INDEX(Players!$A83:$P83, MATCH(N$2, Players!$A$1:$P$1, 0)), perc_75, VLOOKUP(N$2, Percentiles!$A$45:$I$59, 6, FALSE), perc_90, VLOOKUP(N$2, Percentiles!$A$45:$I$59, 7, FALSE), perc_95, VLOOKUP(N$2, Percentiles!$A$45:$I$59, 8, FALSE), perc_85, perc_75 + (perc_90 - perc_75) * (2/3), converted_stat, '2K_Ratings'!N84, IF(bbgm_stat &gt;= perc_95, converted_stat * 3, IF(bbgm_stat &gt;= perc_90, converted_stat * 2, IF(bbgm_stat &gt;= perc_85, converted_stat * 1.5, converted_stat)))))</f>
        <v/>
      </c>
      <c r="O84" s="30" t="str">
        <f t="array" ref="O84">IF($A84="", "", LET(bbgm_stat, INDEX(Players!$A83:$P83, MATCH(O$2, Players!$A$1:$P$1, 0)), perc_75, VLOOKUP(O$2, Percentiles!$A$45:$I$59, 6, FALSE), perc_90, VLOOKUP(O$2, Percentiles!$A$45:$I$59, 7, FALSE), perc_95, VLOOKUP(O$2, Percentiles!$A$45:$I$59, 8, FALSE), perc_85, perc_75 + (perc_90 - perc_75) * (2/3), converted_stat, '2K_Ratings'!O84, IF(bbgm_stat &gt;= perc_95, converted_stat * 3, IF(bbgm_stat &gt;= perc_90, converted_stat * 2, IF(bbgm_stat &gt;= perc_85, converted_stat * 1.5, converted_stat)))))</f>
        <v/>
      </c>
      <c r="P84" s="30" t="str">
        <f t="array" ref="P84">IF($A84="", "", LET(bbgm_stat, INDEX(Players!$A83:$P83, MATCH(P$2, Players!$A$1:$P$1, 0)), perc_75, VLOOKUP(P$2, Percentiles!$A$45:$I$59, 6, FALSE), perc_90, VLOOKUP(P$2, Percentiles!$A$45:$I$59, 7, FALSE), perc_95, VLOOKUP(P$2, Percentiles!$A$45:$I$59, 8, FALSE), perc_85, perc_75 + (perc_90 - perc_75) * (2/3), converted_stat, '2K_Ratings'!P84, IF(bbgm_stat &gt;= perc_95, converted_stat * 3, IF(bbgm_stat &gt;= perc_90, converted_stat * 2, IF(bbgm_stat &gt;= perc_85, converted_stat * 1.5, converted_stat)))))</f>
        <v/>
      </c>
      <c r="Q84" s="30" t="str">
        <f t="array" ref="Q84">IF($A84="", "", LET(bbgm_stat, INDEX(Players!$A83:$P83, MATCH(Q$2, Players!$A$1:$P$1, 0)), perc_75, VLOOKUP(Q$2, Percentiles!$A$45:$I$59, 6, FALSE), perc_90, VLOOKUP(Q$2, Percentiles!$A$45:$I$59, 7, FALSE), perc_95, VLOOKUP(Q$2, Percentiles!$A$45:$I$59, 8, FALSE), perc_85, perc_75 + (perc_90 - perc_75) * (2/3), converted_stat, '2K_Ratings'!Q84, IF(bbgm_stat &gt;= perc_95, converted_stat * 3, IF(bbgm_stat &gt;= perc_90, converted_stat * 2, IF(bbgm_stat &gt;= perc_85, converted_stat * 1.5, converted_stat)))))</f>
        <v/>
      </c>
      <c r="R84" s="30" t="str">
        <f t="array" ref="R84">IF($A84="", "", LET(bbgm_stat, INDEX(Players!$A83:$P83, MATCH(R$2, Players!$A$1:$P$1, 0)), perc_75, VLOOKUP(R$2, Percentiles!$A$45:$I$59, 6, FALSE), perc_90, VLOOKUP(R$2, Percentiles!$A$45:$I$59, 7, FALSE), perc_95, VLOOKUP(R$2, Percentiles!$A$45:$I$59, 8, FALSE), perc_85, perc_75 + (perc_90 - perc_75) * (2/3), converted_stat, '2K_Ratings'!R84, IF(bbgm_stat &gt;= perc_95, converted_stat * 3, IF(bbgm_stat &gt;= perc_90, converted_stat * 2, IF(bbgm_stat &gt;= perc_85, converted_stat * 1.5, converted_stat)))))</f>
        <v/>
      </c>
      <c r="S84" s="30" t="str">
        <f t="array" ref="S84">IF($A84="", "", LET(bbgm_stat, INDEX(Players!$A83:$P83, MATCH(S$2, Players!$A$1:$P$1, 0)), perc_75, VLOOKUP(S$2, Percentiles!$A$45:$I$59, 6, FALSE), perc_90, VLOOKUP(S$2, Percentiles!$A$45:$I$59, 7, FALSE), perc_95, VLOOKUP(S$2, Percentiles!$A$45:$I$59, 8, FALSE), perc_85, perc_75 + (perc_90 - perc_75) * (2/3), converted_stat, '2K_Ratings'!S84, IF(bbgm_stat &gt;= perc_95, converted_stat * 3, IF(bbgm_stat &gt;= perc_90, converted_stat * 2, IF(bbgm_stat &gt;= perc_85, converted_stat * 1.5, converted_stat)))))</f>
        <v/>
      </c>
      <c r="T84" s="30" t="str">
        <f t="array" ref="T84">IF($A84="", "", LET(bbgm_stat, INDEX(Players!$A83:$P83, MATCH(T$2, Players!$A$1:$P$1, 0)), perc_75, VLOOKUP(T$2, Percentiles!$A$45:$I$59, 6, FALSE), perc_90, VLOOKUP(T$2, Percentiles!$A$45:$I$59, 7, FALSE), perc_95, VLOOKUP(T$2, Percentiles!$A$45:$I$59, 8, FALSE), perc_85, perc_75 + (perc_90 - perc_75) * (2/3), converted_stat, '2K_Ratings'!T84, IF(bbgm_stat &gt;= perc_95, converted_stat * 3, IF(bbgm_stat &gt;= perc_90, converted_stat * 2, IF(bbgm_stat &gt;= perc_85, converted_stat * 1.5, converted_stat)))))</f>
        <v/>
      </c>
      <c r="U84" s="30" t="str">
        <f t="array" ref="U84">IF($A84="", "", LET(bbgm_stat, INDEX(Players!$A83:$P83, MATCH(U$2, Players!$A$1:$P$1, 0)), perc_75, VLOOKUP(U$2, Percentiles!$A$45:$I$59, 6, FALSE), perc_90, VLOOKUP(U$2, Percentiles!$A$45:$I$59, 7, FALSE), perc_95, VLOOKUP(U$2, Percentiles!$A$45:$I$59, 8, FALSE), perc_85, perc_75 + (perc_90 - perc_75) * (2/3), converted_stat, '2K_Ratings'!U84, IF(bbgm_stat &gt;= perc_95, converted_stat * 3, IF(bbgm_stat &gt;= perc_90, converted_stat * 2, IF(bbgm_stat &gt;= perc_85, converted_stat * 1.5, converted_stat)))))</f>
        <v/>
      </c>
      <c r="V84" s="30" t="str">
        <f t="array" ref="V84">IF($A84="", "", LET(bbgm_stat, INDEX(Players!$A83:$P83, MATCH(V$2, Players!$A$1:$P$1, 0)), perc_75, VLOOKUP(V$2, Percentiles!$A$45:$I$59, 6, FALSE), perc_90, VLOOKUP(V$2, Percentiles!$A$45:$I$59, 7, FALSE), perc_95, VLOOKUP(V$2, Percentiles!$A$45:$I$59, 8, FALSE), perc_85, perc_75 + (perc_90 - perc_75) * (2/3), converted_stat, '2K_Ratings'!V84, IF(bbgm_stat &gt;= perc_95, converted_stat * 3, IF(bbgm_stat &gt;= perc_90, converted_stat * 2, IF(bbgm_stat &gt;= perc_85, converted_stat * 1.5, converted_stat)))))</f>
        <v/>
      </c>
      <c r="W84" s="30" t="str">
        <f t="array" ref="W84">IF($A84="", "", LET(bbgm_stat, INDEX(Players!$A83:$P83, MATCH(W$2, Players!$A$1:$P$1, 0)), perc_75, VLOOKUP(W$2, Percentiles!$A$45:$I$59, 6, FALSE), perc_90, VLOOKUP(W$2, Percentiles!$A$45:$I$59, 7, FALSE), perc_95, VLOOKUP(W$2, Percentiles!$A$45:$I$59, 8, FALSE), perc_85, perc_75 + (perc_90 - perc_75) * (2/3), converted_stat, '2K_Ratings'!W84, IF(bbgm_stat &gt;= perc_95, converted_stat * 3, IF(bbgm_stat &gt;= perc_90, converted_stat * 2, IF(bbgm_stat &gt;= perc_85, converted_stat * 1.5, converted_stat)))))</f>
        <v/>
      </c>
    </row>
    <row r="85">
      <c r="A85" s="30" t="str">
        <f>IF(Players!A84="", "", Players!A84)</f>
        <v/>
      </c>
      <c r="B85" s="30" t="str">
        <f t="array" ref="B85">IF($A85="", "", LET(bbgm_stat, INDEX(Players!$A84:$P84, MATCH(B$2, Players!$A$1:$P$1, 0)), perc_75, VLOOKUP(B$2, Percentiles!$A$45:$I$59, 6, FALSE), perc_90, VLOOKUP(B$2, Percentiles!$A$45:$I$59, 7, FALSE), perc_95, VLOOKUP(B$2, Percentiles!$A$45:$I$59, 8, FALSE), perc_85, perc_75 + (perc_90 - perc_75) * (2/3), converted_stat, '2K_Ratings'!B85, IF(bbgm_stat &gt;= perc_95, converted_stat * 3, IF(bbgm_stat &gt;= perc_90, converted_stat * 2, IF(bbgm_stat &gt;= perc_85, converted_stat * 1.5, converted_stat)))))</f>
        <v/>
      </c>
      <c r="C85" s="30" t="str">
        <f t="array" ref="C85">IF($A85="", "", LET(bbgm_stat, INDEX(Players!$A84:$P84, MATCH(C$2, Players!$A$1:$P$1, 0)), perc_75, VLOOKUP(C$2, Percentiles!$A$45:$I$59, 6, FALSE), perc_90, VLOOKUP(C$2, Percentiles!$A$45:$I$59, 7, FALSE), perc_95, VLOOKUP(C$2, Percentiles!$A$45:$I$59, 8, FALSE), perc_85, perc_75 + (perc_90 - perc_75) * (2/3), converted_stat, '2K_Ratings'!C85, IF(bbgm_stat &gt;= perc_95, converted_stat * 3, IF(bbgm_stat &gt;= perc_90, converted_stat * 2, IF(bbgm_stat &gt;= perc_85, converted_stat * 1.5, converted_stat)))))</f>
        <v/>
      </c>
      <c r="D85" s="30" t="str">
        <f t="array" ref="D85">IF($A85="", "", LET(bbgm_stat, INDEX(Players!$A84:$P84, MATCH(D$2, Players!$A$1:$P$1, 0)), perc_75, VLOOKUP(D$2, Percentiles!$A$45:$I$59, 6, FALSE), perc_90, VLOOKUP(D$2, Percentiles!$A$45:$I$59, 7, FALSE), perc_95, VLOOKUP(D$2, Percentiles!$A$45:$I$59, 8, FALSE), perc_85, perc_75 + (perc_90 - perc_75) * (2/3), converted_stat, '2K_Ratings'!D85, IF(bbgm_stat &gt;= perc_95, converted_stat * 3, IF(bbgm_stat &gt;= perc_90, converted_stat * 2, IF(bbgm_stat &gt;= perc_85, converted_stat * 1.5, converted_stat)))))</f>
        <v/>
      </c>
      <c r="E85" s="30" t="str">
        <f t="array" ref="E85">IF($A85="", "", LET(bbgm_stat, INDEX(Players!$A84:$P84, MATCH(E$2, Players!$A$1:$P$1, 0)), perc_75, VLOOKUP(E$2, Percentiles!$A$45:$I$59, 6, FALSE), perc_90, VLOOKUP(E$2, Percentiles!$A$45:$I$59, 7, FALSE), perc_95, VLOOKUP(E$2, Percentiles!$A$45:$I$59, 8, FALSE), perc_85, perc_75 + (perc_90 - perc_75) * (2/3), converted_stat, '2K_Ratings'!E85, IF(bbgm_stat &gt;= perc_95, converted_stat * 3, IF(bbgm_stat &gt;= perc_90, converted_stat * 2, IF(bbgm_stat &gt;= perc_85, converted_stat * 1.5, converted_stat)))))</f>
        <v/>
      </c>
      <c r="F85" s="30" t="str">
        <f t="array" ref="F85">IF($A85="", "", LET(bbgm_stat, INDEX(Players!$A84:$P84, MATCH(F$2, Players!$A$1:$P$1, 0)), perc_75, VLOOKUP(F$2, Percentiles!$A$45:$I$59, 6, FALSE), perc_90, VLOOKUP(F$2, Percentiles!$A$45:$I$59, 7, FALSE), perc_95, VLOOKUP(F$2, Percentiles!$A$45:$I$59, 8, FALSE), perc_85, perc_75 + (perc_90 - perc_75) * (2/3), converted_stat, '2K_Ratings'!F85, IF(bbgm_stat &gt;= perc_95, converted_stat * 3, IF(bbgm_stat &gt;= perc_90, converted_stat * 2, IF(bbgm_stat &gt;= perc_85, converted_stat * 1.5, converted_stat)))))</f>
        <v/>
      </c>
      <c r="G85" s="30" t="str">
        <f t="array" ref="G85">IF($A85="", "", LET(bbgm_stat, INDEX(Players!$A84:$P84, MATCH(G$2, Players!$A$1:$P$1, 0)), perc_75, VLOOKUP(G$2, Percentiles!$A$45:$I$59, 6, FALSE), perc_90, VLOOKUP(G$2, Percentiles!$A$45:$I$59, 7, FALSE), perc_95, VLOOKUP(G$2, Percentiles!$A$45:$I$59, 8, FALSE), perc_85, perc_75 + (perc_90 - perc_75) * (2/3), converted_stat, '2K_Ratings'!G85, IF(bbgm_stat &gt;= perc_95, converted_stat * 3, IF(bbgm_stat &gt;= perc_90, converted_stat * 2, IF(bbgm_stat &gt;= perc_85, converted_stat * 1.5, converted_stat)))))</f>
        <v/>
      </c>
      <c r="H85" s="30" t="str">
        <f t="array" ref="H85">IF($A85="", "", LET(bbgm_stat, INDEX(Players!$A84:$P84, MATCH(H$2, Players!$A$1:$P$1, 0)), perc_75, VLOOKUP(H$2, Percentiles!$A$45:$I$59, 6, FALSE), perc_90, VLOOKUP(H$2, Percentiles!$A$45:$I$59, 7, FALSE), perc_95, VLOOKUP(H$2, Percentiles!$A$45:$I$59, 8, FALSE), perc_85, perc_75 + (perc_90 - perc_75) * (2/3), converted_stat, '2K_Ratings'!H85, IF(bbgm_stat &gt;= perc_95, converted_stat * 3, IF(bbgm_stat &gt;= perc_90, converted_stat * 2, IF(bbgm_stat &gt;= perc_85, converted_stat * 1.5, converted_stat)))))</f>
        <v/>
      </c>
      <c r="I85" s="30" t="str">
        <f t="array" ref="I85">IF($A85="", "", LET(bbgm_stat, INDEX(Players!$A84:$P84, MATCH(I$2, Players!$A$1:$P$1, 0)), perc_75, VLOOKUP(I$2, Percentiles!$A$45:$I$59, 6, FALSE), perc_90, VLOOKUP(I$2, Percentiles!$A$45:$I$59, 7, FALSE), perc_95, VLOOKUP(I$2, Percentiles!$A$45:$I$59, 8, FALSE), perc_85, perc_75 + (perc_90 - perc_75) * (2/3), converted_stat, '2K_Ratings'!I85, IF(bbgm_stat &gt;= perc_95, converted_stat * 3, IF(bbgm_stat &gt;= perc_90, converted_stat * 2, IF(bbgm_stat &gt;= perc_85, converted_stat * 1.5, converted_stat)))))</f>
        <v/>
      </c>
      <c r="J85" s="30" t="str">
        <f t="array" ref="J85">IF($A85="", "", LET(bbgm_stat, INDEX(Players!$A84:$P84, MATCH(J$2, Players!$A$1:$P$1, 0)), perc_75, VLOOKUP(J$2, Percentiles!$A$45:$I$59, 6, FALSE), perc_90, VLOOKUP(J$2, Percentiles!$A$45:$I$59, 7, FALSE), perc_95, VLOOKUP(J$2, Percentiles!$A$45:$I$59, 8, FALSE), perc_85, perc_75 + (perc_90 - perc_75) * (2/3), converted_stat, '2K_Ratings'!J85, IF(bbgm_stat &gt;= perc_95, converted_stat * 3, IF(bbgm_stat &gt;= perc_90, converted_stat * 2, IF(bbgm_stat &gt;= perc_85, converted_stat * 1.5, converted_stat)))))</f>
        <v/>
      </c>
      <c r="K85" s="30" t="str">
        <f t="array" ref="K85">IF($A85="", "", LET(bbgm_stat, INDEX(Players!$A84:$P84, MATCH(K$2, Players!$A$1:$P$1, 0)), perc_75, VLOOKUP(K$2, Percentiles!$A$45:$I$59, 6, FALSE), perc_90, VLOOKUP(K$2, Percentiles!$A$45:$I$59, 7, FALSE), perc_95, VLOOKUP(K$2, Percentiles!$A$45:$I$59, 8, FALSE), perc_85, perc_75 + (perc_90 - perc_75) * (2/3), converted_stat, '2K_Ratings'!K85, IF(bbgm_stat &gt;= perc_95, converted_stat * 3, IF(bbgm_stat &gt;= perc_90, converted_stat * 2, IF(bbgm_stat &gt;= perc_85, converted_stat * 1.5, converted_stat)))))</f>
        <v/>
      </c>
      <c r="L85" s="30" t="str">
        <f t="array" ref="L85">IF($A85="", "", LET(bbgm_stat, INDEX(Players!$A84:$P84, MATCH(L$2, Players!$A$1:$P$1, 0)), perc_75, VLOOKUP(L$2, Percentiles!$A$45:$I$59, 6, FALSE), perc_90, VLOOKUP(L$2, Percentiles!$A$45:$I$59, 7, FALSE), perc_95, VLOOKUP(L$2, Percentiles!$A$45:$I$59, 8, FALSE), perc_85, perc_75 + (perc_90 - perc_75) * (2/3), converted_stat, '2K_Ratings'!L85, IF(bbgm_stat &gt;= perc_95, converted_stat * 3, IF(bbgm_stat &gt;= perc_90, converted_stat * 2, IF(bbgm_stat &gt;= perc_85, converted_stat * 1.5, converted_stat)))))</f>
        <v/>
      </c>
      <c r="M85" s="30" t="str">
        <f t="array" ref="M85">IF($A85="", "", LET(bbgm_stat, INDEX(Players!$A84:$P84, MATCH(M$2, Players!$A$1:$P$1, 0)), perc_75, VLOOKUP(M$2, Percentiles!$A$45:$I$59, 6, FALSE), perc_90, VLOOKUP(M$2, Percentiles!$A$45:$I$59, 7, FALSE), perc_95, VLOOKUP(M$2, Percentiles!$A$45:$I$59, 8, FALSE), perc_85, perc_75 + (perc_90 - perc_75) * (2/3), converted_stat, '2K_Ratings'!M85, IF(bbgm_stat &gt;= perc_95, converted_stat * 3, IF(bbgm_stat &gt;= perc_90, converted_stat * 2, IF(bbgm_stat &gt;= perc_85, converted_stat * 1.5, converted_stat)))))</f>
        <v/>
      </c>
      <c r="N85" s="30" t="str">
        <f t="array" ref="N85">IF($A85="", "", LET(bbgm_stat, INDEX(Players!$A84:$P84, MATCH(N$2, Players!$A$1:$P$1, 0)), perc_75, VLOOKUP(N$2, Percentiles!$A$45:$I$59, 6, FALSE), perc_90, VLOOKUP(N$2, Percentiles!$A$45:$I$59, 7, FALSE), perc_95, VLOOKUP(N$2, Percentiles!$A$45:$I$59, 8, FALSE), perc_85, perc_75 + (perc_90 - perc_75) * (2/3), converted_stat, '2K_Ratings'!N85, IF(bbgm_stat &gt;= perc_95, converted_stat * 3, IF(bbgm_stat &gt;= perc_90, converted_stat * 2, IF(bbgm_stat &gt;= perc_85, converted_stat * 1.5, converted_stat)))))</f>
        <v/>
      </c>
      <c r="O85" s="30" t="str">
        <f t="array" ref="O85">IF($A85="", "", LET(bbgm_stat, INDEX(Players!$A84:$P84, MATCH(O$2, Players!$A$1:$P$1, 0)), perc_75, VLOOKUP(O$2, Percentiles!$A$45:$I$59, 6, FALSE), perc_90, VLOOKUP(O$2, Percentiles!$A$45:$I$59, 7, FALSE), perc_95, VLOOKUP(O$2, Percentiles!$A$45:$I$59, 8, FALSE), perc_85, perc_75 + (perc_90 - perc_75) * (2/3), converted_stat, '2K_Ratings'!O85, IF(bbgm_stat &gt;= perc_95, converted_stat * 3, IF(bbgm_stat &gt;= perc_90, converted_stat * 2, IF(bbgm_stat &gt;= perc_85, converted_stat * 1.5, converted_stat)))))</f>
        <v/>
      </c>
      <c r="P85" s="30" t="str">
        <f t="array" ref="P85">IF($A85="", "", LET(bbgm_stat, INDEX(Players!$A84:$P84, MATCH(P$2, Players!$A$1:$P$1, 0)), perc_75, VLOOKUP(P$2, Percentiles!$A$45:$I$59, 6, FALSE), perc_90, VLOOKUP(P$2, Percentiles!$A$45:$I$59, 7, FALSE), perc_95, VLOOKUP(P$2, Percentiles!$A$45:$I$59, 8, FALSE), perc_85, perc_75 + (perc_90 - perc_75) * (2/3), converted_stat, '2K_Ratings'!P85, IF(bbgm_stat &gt;= perc_95, converted_stat * 3, IF(bbgm_stat &gt;= perc_90, converted_stat * 2, IF(bbgm_stat &gt;= perc_85, converted_stat * 1.5, converted_stat)))))</f>
        <v/>
      </c>
      <c r="Q85" s="30" t="str">
        <f t="array" ref="Q85">IF($A85="", "", LET(bbgm_stat, INDEX(Players!$A84:$P84, MATCH(Q$2, Players!$A$1:$P$1, 0)), perc_75, VLOOKUP(Q$2, Percentiles!$A$45:$I$59, 6, FALSE), perc_90, VLOOKUP(Q$2, Percentiles!$A$45:$I$59, 7, FALSE), perc_95, VLOOKUP(Q$2, Percentiles!$A$45:$I$59, 8, FALSE), perc_85, perc_75 + (perc_90 - perc_75) * (2/3), converted_stat, '2K_Ratings'!Q85, IF(bbgm_stat &gt;= perc_95, converted_stat * 3, IF(bbgm_stat &gt;= perc_90, converted_stat * 2, IF(bbgm_stat &gt;= perc_85, converted_stat * 1.5, converted_stat)))))</f>
        <v/>
      </c>
      <c r="R85" s="30" t="str">
        <f t="array" ref="R85">IF($A85="", "", LET(bbgm_stat, INDEX(Players!$A84:$P84, MATCH(R$2, Players!$A$1:$P$1, 0)), perc_75, VLOOKUP(R$2, Percentiles!$A$45:$I$59, 6, FALSE), perc_90, VLOOKUP(R$2, Percentiles!$A$45:$I$59, 7, FALSE), perc_95, VLOOKUP(R$2, Percentiles!$A$45:$I$59, 8, FALSE), perc_85, perc_75 + (perc_90 - perc_75) * (2/3), converted_stat, '2K_Ratings'!R85, IF(bbgm_stat &gt;= perc_95, converted_stat * 3, IF(bbgm_stat &gt;= perc_90, converted_stat * 2, IF(bbgm_stat &gt;= perc_85, converted_stat * 1.5, converted_stat)))))</f>
        <v/>
      </c>
      <c r="S85" s="30" t="str">
        <f t="array" ref="S85">IF($A85="", "", LET(bbgm_stat, INDEX(Players!$A84:$P84, MATCH(S$2, Players!$A$1:$P$1, 0)), perc_75, VLOOKUP(S$2, Percentiles!$A$45:$I$59, 6, FALSE), perc_90, VLOOKUP(S$2, Percentiles!$A$45:$I$59, 7, FALSE), perc_95, VLOOKUP(S$2, Percentiles!$A$45:$I$59, 8, FALSE), perc_85, perc_75 + (perc_90 - perc_75) * (2/3), converted_stat, '2K_Ratings'!S85, IF(bbgm_stat &gt;= perc_95, converted_stat * 3, IF(bbgm_stat &gt;= perc_90, converted_stat * 2, IF(bbgm_stat &gt;= perc_85, converted_stat * 1.5, converted_stat)))))</f>
        <v/>
      </c>
      <c r="T85" s="30" t="str">
        <f t="array" ref="T85">IF($A85="", "", LET(bbgm_stat, INDEX(Players!$A84:$P84, MATCH(T$2, Players!$A$1:$P$1, 0)), perc_75, VLOOKUP(T$2, Percentiles!$A$45:$I$59, 6, FALSE), perc_90, VLOOKUP(T$2, Percentiles!$A$45:$I$59, 7, FALSE), perc_95, VLOOKUP(T$2, Percentiles!$A$45:$I$59, 8, FALSE), perc_85, perc_75 + (perc_90 - perc_75) * (2/3), converted_stat, '2K_Ratings'!T85, IF(bbgm_stat &gt;= perc_95, converted_stat * 3, IF(bbgm_stat &gt;= perc_90, converted_stat * 2, IF(bbgm_stat &gt;= perc_85, converted_stat * 1.5, converted_stat)))))</f>
        <v/>
      </c>
      <c r="U85" s="30" t="str">
        <f t="array" ref="U85">IF($A85="", "", LET(bbgm_stat, INDEX(Players!$A84:$P84, MATCH(U$2, Players!$A$1:$P$1, 0)), perc_75, VLOOKUP(U$2, Percentiles!$A$45:$I$59, 6, FALSE), perc_90, VLOOKUP(U$2, Percentiles!$A$45:$I$59, 7, FALSE), perc_95, VLOOKUP(U$2, Percentiles!$A$45:$I$59, 8, FALSE), perc_85, perc_75 + (perc_90 - perc_75) * (2/3), converted_stat, '2K_Ratings'!U85, IF(bbgm_stat &gt;= perc_95, converted_stat * 3, IF(bbgm_stat &gt;= perc_90, converted_stat * 2, IF(bbgm_stat &gt;= perc_85, converted_stat * 1.5, converted_stat)))))</f>
        <v/>
      </c>
      <c r="V85" s="30" t="str">
        <f t="array" ref="V85">IF($A85="", "", LET(bbgm_stat, INDEX(Players!$A84:$P84, MATCH(V$2, Players!$A$1:$P$1, 0)), perc_75, VLOOKUP(V$2, Percentiles!$A$45:$I$59, 6, FALSE), perc_90, VLOOKUP(V$2, Percentiles!$A$45:$I$59, 7, FALSE), perc_95, VLOOKUP(V$2, Percentiles!$A$45:$I$59, 8, FALSE), perc_85, perc_75 + (perc_90 - perc_75) * (2/3), converted_stat, '2K_Ratings'!V85, IF(bbgm_stat &gt;= perc_95, converted_stat * 3, IF(bbgm_stat &gt;= perc_90, converted_stat * 2, IF(bbgm_stat &gt;= perc_85, converted_stat * 1.5, converted_stat)))))</f>
        <v/>
      </c>
      <c r="W85" s="30" t="str">
        <f t="array" ref="W85">IF($A85="", "", LET(bbgm_stat, INDEX(Players!$A84:$P84, MATCH(W$2, Players!$A$1:$P$1, 0)), perc_75, VLOOKUP(W$2, Percentiles!$A$45:$I$59, 6, FALSE), perc_90, VLOOKUP(W$2, Percentiles!$A$45:$I$59, 7, FALSE), perc_95, VLOOKUP(W$2, Percentiles!$A$45:$I$59, 8, FALSE), perc_85, perc_75 + (perc_90 - perc_75) * (2/3), converted_stat, '2K_Ratings'!W85, IF(bbgm_stat &gt;= perc_95, converted_stat * 3, IF(bbgm_stat &gt;= perc_90, converted_stat * 2, IF(bbgm_stat &gt;= perc_85, converted_stat * 1.5, converted_stat)))))</f>
        <v/>
      </c>
    </row>
    <row r="86">
      <c r="A86" s="30" t="str">
        <f>IF(Players!A85="", "", Players!A85)</f>
        <v/>
      </c>
      <c r="B86" s="30" t="str">
        <f t="array" ref="B86">IF($A86="", "", LET(bbgm_stat, INDEX(Players!$A85:$P85, MATCH(B$2, Players!$A$1:$P$1, 0)), perc_75, VLOOKUP(B$2, Percentiles!$A$45:$I$59, 6, FALSE), perc_90, VLOOKUP(B$2, Percentiles!$A$45:$I$59, 7, FALSE), perc_95, VLOOKUP(B$2, Percentiles!$A$45:$I$59, 8, FALSE), perc_85, perc_75 + (perc_90 - perc_75) * (2/3), converted_stat, '2K_Ratings'!B86, IF(bbgm_stat &gt;= perc_95, converted_stat * 3, IF(bbgm_stat &gt;= perc_90, converted_stat * 2, IF(bbgm_stat &gt;= perc_85, converted_stat * 1.5, converted_stat)))))</f>
        <v/>
      </c>
      <c r="C86" s="30" t="str">
        <f t="array" ref="C86">IF($A86="", "", LET(bbgm_stat, INDEX(Players!$A85:$P85, MATCH(C$2, Players!$A$1:$P$1, 0)), perc_75, VLOOKUP(C$2, Percentiles!$A$45:$I$59, 6, FALSE), perc_90, VLOOKUP(C$2, Percentiles!$A$45:$I$59, 7, FALSE), perc_95, VLOOKUP(C$2, Percentiles!$A$45:$I$59, 8, FALSE), perc_85, perc_75 + (perc_90 - perc_75) * (2/3), converted_stat, '2K_Ratings'!C86, IF(bbgm_stat &gt;= perc_95, converted_stat * 3, IF(bbgm_stat &gt;= perc_90, converted_stat * 2, IF(bbgm_stat &gt;= perc_85, converted_stat * 1.5, converted_stat)))))</f>
        <v/>
      </c>
      <c r="D86" s="30" t="str">
        <f t="array" ref="D86">IF($A86="", "", LET(bbgm_stat, INDEX(Players!$A85:$P85, MATCH(D$2, Players!$A$1:$P$1, 0)), perc_75, VLOOKUP(D$2, Percentiles!$A$45:$I$59, 6, FALSE), perc_90, VLOOKUP(D$2, Percentiles!$A$45:$I$59, 7, FALSE), perc_95, VLOOKUP(D$2, Percentiles!$A$45:$I$59, 8, FALSE), perc_85, perc_75 + (perc_90 - perc_75) * (2/3), converted_stat, '2K_Ratings'!D86, IF(bbgm_stat &gt;= perc_95, converted_stat * 3, IF(bbgm_stat &gt;= perc_90, converted_stat * 2, IF(bbgm_stat &gt;= perc_85, converted_stat * 1.5, converted_stat)))))</f>
        <v/>
      </c>
      <c r="E86" s="30" t="str">
        <f t="array" ref="E86">IF($A86="", "", LET(bbgm_stat, INDEX(Players!$A85:$P85, MATCH(E$2, Players!$A$1:$P$1, 0)), perc_75, VLOOKUP(E$2, Percentiles!$A$45:$I$59, 6, FALSE), perc_90, VLOOKUP(E$2, Percentiles!$A$45:$I$59, 7, FALSE), perc_95, VLOOKUP(E$2, Percentiles!$A$45:$I$59, 8, FALSE), perc_85, perc_75 + (perc_90 - perc_75) * (2/3), converted_stat, '2K_Ratings'!E86, IF(bbgm_stat &gt;= perc_95, converted_stat * 3, IF(bbgm_stat &gt;= perc_90, converted_stat * 2, IF(bbgm_stat &gt;= perc_85, converted_stat * 1.5, converted_stat)))))</f>
        <v/>
      </c>
      <c r="F86" s="30" t="str">
        <f t="array" ref="F86">IF($A86="", "", LET(bbgm_stat, INDEX(Players!$A85:$P85, MATCH(F$2, Players!$A$1:$P$1, 0)), perc_75, VLOOKUP(F$2, Percentiles!$A$45:$I$59, 6, FALSE), perc_90, VLOOKUP(F$2, Percentiles!$A$45:$I$59, 7, FALSE), perc_95, VLOOKUP(F$2, Percentiles!$A$45:$I$59, 8, FALSE), perc_85, perc_75 + (perc_90 - perc_75) * (2/3), converted_stat, '2K_Ratings'!F86, IF(bbgm_stat &gt;= perc_95, converted_stat * 3, IF(bbgm_stat &gt;= perc_90, converted_stat * 2, IF(bbgm_stat &gt;= perc_85, converted_stat * 1.5, converted_stat)))))</f>
        <v/>
      </c>
      <c r="G86" s="30" t="str">
        <f t="array" ref="G86">IF($A86="", "", LET(bbgm_stat, INDEX(Players!$A85:$P85, MATCH(G$2, Players!$A$1:$P$1, 0)), perc_75, VLOOKUP(G$2, Percentiles!$A$45:$I$59, 6, FALSE), perc_90, VLOOKUP(G$2, Percentiles!$A$45:$I$59, 7, FALSE), perc_95, VLOOKUP(G$2, Percentiles!$A$45:$I$59, 8, FALSE), perc_85, perc_75 + (perc_90 - perc_75) * (2/3), converted_stat, '2K_Ratings'!G86, IF(bbgm_stat &gt;= perc_95, converted_stat * 3, IF(bbgm_stat &gt;= perc_90, converted_stat * 2, IF(bbgm_stat &gt;= perc_85, converted_stat * 1.5, converted_stat)))))</f>
        <v/>
      </c>
      <c r="H86" s="30" t="str">
        <f t="array" ref="H86">IF($A86="", "", LET(bbgm_stat, INDEX(Players!$A85:$P85, MATCH(H$2, Players!$A$1:$P$1, 0)), perc_75, VLOOKUP(H$2, Percentiles!$A$45:$I$59, 6, FALSE), perc_90, VLOOKUP(H$2, Percentiles!$A$45:$I$59, 7, FALSE), perc_95, VLOOKUP(H$2, Percentiles!$A$45:$I$59, 8, FALSE), perc_85, perc_75 + (perc_90 - perc_75) * (2/3), converted_stat, '2K_Ratings'!H86, IF(bbgm_stat &gt;= perc_95, converted_stat * 3, IF(bbgm_stat &gt;= perc_90, converted_stat * 2, IF(bbgm_stat &gt;= perc_85, converted_stat * 1.5, converted_stat)))))</f>
        <v/>
      </c>
      <c r="I86" s="30" t="str">
        <f t="array" ref="I86">IF($A86="", "", LET(bbgm_stat, INDEX(Players!$A85:$P85, MATCH(I$2, Players!$A$1:$P$1, 0)), perc_75, VLOOKUP(I$2, Percentiles!$A$45:$I$59, 6, FALSE), perc_90, VLOOKUP(I$2, Percentiles!$A$45:$I$59, 7, FALSE), perc_95, VLOOKUP(I$2, Percentiles!$A$45:$I$59, 8, FALSE), perc_85, perc_75 + (perc_90 - perc_75) * (2/3), converted_stat, '2K_Ratings'!I86, IF(bbgm_stat &gt;= perc_95, converted_stat * 3, IF(bbgm_stat &gt;= perc_90, converted_stat * 2, IF(bbgm_stat &gt;= perc_85, converted_stat * 1.5, converted_stat)))))</f>
        <v/>
      </c>
      <c r="J86" s="30" t="str">
        <f t="array" ref="J86">IF($A86="", "", LET(bbgm_stat, INDEX(Players!$A85:$P85, MATCH(J$2, Players!$A$1:$P$1, 0)), perc_75, VLOOKUP(J$2, Percentiles!$A$45:$I$59, 6, FALSE), perc_90, VLOOKUP(J$2, Percentiles!$A$45:$I$59, 7, FALSE), perc_95, VLOOKUP(J$2, Percentiles!$A$45:$I$59, 8, FALSE), perc_85, perc_75 + (perc_90 - perc_75) * (2/3), converted_stat, '2K_Ratings'!J86, IF(bbgm_stat &gt;= perc_95, converted_stat * 3, IF(bbgm_stat &gt;= perc_90, converted_stat * 2, IF(bbgm_stat &gt;= perc_85, converted_stat * 1.5, converted_stat)))))</f>
        <v/>
      </c>
      <c r="K86" s="30" t="str">
        <f t="array" ref="K86">IF($A86="", "", LET(bbgm_stat, INDEX(Players!$A85:$P85, MATCH(K$2, Players!$A$1:$P$1, 0)), perc_75, VLOOKUP(K$2, Percentiles!$A$45:$I$59, 6, FALSE), perc_90, VLOOKUP(K$2, Percentiles!$A$45:$I$59, 7, FALSE), perc_95, VLOOKUP(K$2, Percentiles!$A$45:$I$59, 8, FALSE), perc_85, perc_75 + (perc_90 - perc_75) * (2/3), converted_stat, '2K_Ratings'!K86, IF(bbgm_stat &gt;= perc_95, converted_stat * 3, IF(bbgm_stat &gt;= perc_90, converted_stat * 2, IF(bbgm_stat &gt;= perc_85, converted_stat * 1.5, converted_stat)))))</f>
        <v/>
      </c>
      <c r="L86" s="30" t="str">
        <f t="array" ref="L86">IF($A86="", "", LET(bbgm_stat, INDEX(Players!$A85:$P85, MATCH(L$2, Players!$A$1:$P$1, 0)), perc_75, VLOOKUP(L$2, Percentiles!$A$45:$I$59, 6, FALSE), perc_90, VLOOKUP(L$2, Percentiles!$A$45:$I$59, 7, FALSE), perc_95, VLOOKUP(L$2, Percentiles!$A$45:$I$59, 8, FALSE), perc_85, perc_75 + (perc_90 - perc_75) * (2/3), converted_stat, '2K_Ratings'!L86, IF(bbgm_stat &gt;= perc_95, converted_stat * 3, IF(bbgm_stat &gt;= perc_90, converted_stat * 2, IF(bbgm_stat &gt;= perc_85, converted_stat * 1.5, converted_stat)))))</f>
        <v/>
      </c>
      <c r="M86" s="30" t="str">
        <f t="array" ref="M86">IF($A86="", "", LET(bbgm_stat, INDEX(Players!$A85:$P85, MATCH(M$2, Players!$A$1:$P$1, 0)), perc_75, VLOOKUP(M$2, Percentiles!$A$45:$I$59, 6, FALSE), perc_90, VLOOKUP(M$2, Percentiles!$A$45:$I$59, 7, FALSE), perc_95, VLOOKUP(M$2, Percentiles!$A$45:$I$59, 8, FALSE), perc_85, perc_75 + (perc_90 - perc_75) * (2/3), converted_stat, '2K_Ratings'!M86, IF(bbgm_stat &gt;= perc_95, converted_stat * 3, IF(bbgm_stat &gt;= perc_90, converted_stat * 2, IF(bbgm_stat &gt;= perc_85, converted_stat * 1.5, converted_stat)))))</f>
        <v/>
      </c>
      <c r="N86" s="30" t="str">
        <f t="array" ref="N86">IF($A86="", "", LET(bbgm_stat, INDEX(Players!$A85:$P85, MATCH(N$2, Players!$A$1:$P$1, 0)), perc_75, VLOOKUP(N$2, Percentiles!$A$45:$I$59, 6, FALSE), perc_90, VLOOKUP(N$2, Percentiles!$A$45:$I$59, 7, FALSE), perc_95, VLOOKUP(N$2, Percentiles!$A$45:$I$59, 8, FALSE), perc_85, perc_75 + (perc_90 - perc_75) * (2/3), converted_stat, '2K_Ratings'!N86, IF(bbgm_stat &gt;= perc_95, converted_stat * 3, IF(bbgm_stat &gt;= perc_90, converted_stat * 2, IF(bbgm_stat &gt;= perc_85, converted_stat * 1.5, converted_stat)))))</f>
        <v/>
      </c>
      <c r="O86" s="30" t="str">
        <f t="array" ref="O86">IF($A86="", "", LET(bbgm_stat, INDEX(Players!$A85:$P85, MATCH(O$2, Players!$A$1:$P$1, 0)), perc_75, VLOOKUP(O$2, Percentiles!$A$45:$I$59, 6, FALSE), perc_90, VLOOKUP(O$2, Percentiles!$A$45:$I$59, 7, FALSE), perc_95, VLOOKUP(O$2, Percentiles!$A$45:$I$59, 8, FALSE), perc_85, perc_75 + (perc_90 - perc_75) * (2/3), converted_stat, '2K_Ratings'!O86, IF(bbgm_stat &gt;= perc_95, converted_stat * 3, IF(bbgm_stat &gt;= perc_90, converted_stat * 2, IF(bbgm_stat &gt;= perc_85, converted_stat * 1.5, converted_stat)))))</f>
        <v/>
      </c>
      <c r="P86" s="30" t="str">
        <f t="array" ref="P86">IF($A86="", "", LET(bbgm_stat, INDEX(Players!$A85:$P85, MATCH(P$2, Players!$A$1:$P$1, 0)), perc_75, VLOOKUP(P$2, Percentiles!$A$45:$I$59, 6, FALSE), perc_90, VLOOKUP(P$2, Percentiles!$A$45:$I$59, 7, FALSE), perc_95, VLOOKUP(P$2, Percentiles!$A$45:$I$59, 8, FALSE), perc_85, perc_75 + (perc_90 - perc_75) * (2/3), converted_stat, '2K_Ratings'!P86, IF(bbgm_stat &gt;= perc_95, converted_stat * 3, IF(bbgm_stat &gt;= perc_90, converted_stat * 2, IF(bbgm_stat &gt;= perc_85, converted_stat * 1.5, converted_stat)))))</f>
        <v/>
      </c>
      <c r="Q86" s="30" t="str">
        <f t="array" ref="Q86">IF($A86="", "", LET(bbgm_stat, INDEX(Players!$A85:$P85, MATCH(Q$2, Players!$A$1:$P$1, 0)), perc_75, VLOOKUP(Q$2, Percentiles!$A$45:$I$59, 6, FALSE), perc_90, VLOOKUP(Q$2, Percentiles!$A$45:$I$59, 7, FALSE), perc_95, VLOOKUP(Q$2, Percentiles!$A$45:$I$59, 8, FALSE), perc_85, perc_75 + (perc_90 - perc_75) * (2/3), converted_stat, '2K_Ratings'!Q86, IF(bbgm_stat &gt;= perc_95, converted_stat * 3, IF(bbgm_stat &gt;= perc_90, converted_stat * 2, IF(bbgm_stat &gt;= perc_85, converted_stat * 1.5, converted_stat)))))</f>
        <v/>
      </c>
      <c r="R86" s="30" t="str">
        <f t="array" ref="R86">IF($A86="", "", LET(bbgm_stat, INDEX(Players!$A85:$P85, MATCH(R$2, Players!$A$1:$P$1, 0)), perc_75, VLOOKUP(R$2, Percentiles!$A$45:$I$59, 6, FALSE), perc_90, VLOOKUP(R$2, Percentiles!$A$45:$I$59, 7, FALSE), perc_95, VLOOKUP(R$2, Percentiles!$A$45:$I$59, 8, FALSE), perc_85, perc_75 + (perc_90 - perc_75) * (2/3), converted_stat, '2K_Ratings'!R86, IF(bbgm_stat &gt;= perc_95, converted_stat * 3, IF(bbgm_stat &gt;= perc_90, converted_stat * 2, IF(bbgm_stat &gt;= perc_85, converted_stat * 1.5, converted_stat)))))</f>
        <v/>
      </c>
      <c r="S86" s="30" t="str">
        <f t="array" ref="S86">IF($A86="", "", LET(bbgm_stat, INDEX(Players!$A85:$P85, MATCH(S$2, Players!$A$1:$P$1, 0)), perc_75, VLOOKUP(S$2, Percentiles!$A$45:$I$59, 6, FALSE), perc_90, VLOOKUP(S$2, Percentiles!$A$45:$I$59, 7, FALSE), perc_95, VLOOKUP(S$2, Percentiles!$A$45:$I$59, 8, FALSE), perc_85, perc_75 + (perc_90 - perc_75) * (2/3), converted_stat, '2K_Ratings'!S86, IF(bbgm_stat &gt;= perc_95, converted_stat * 3, IF(bbgm_stat &gt;= perc_90, converted_stat * 2, IF(bbgm_stat &gt;= perc_85, converted_stat * 1.5, converted_stat)))))</f>
        <v/>
      </c>
      <c r="T86" s="30" t="str">
        <f t="array" ref="T86">IF($A86="", "", LET(bbgm_stat, INDEX(Players!$A85:$P85, MATCH(T$2, Players!$A$1:$P$1, 0)), perc_75, VLOOKUP(T$2, Percentiles!$A$45:$I$59, 6, FALSE), perc_90, VLOOKUP(T$2, Percentiles!$A$45:$I$59, 7, FALSE), perc_95, VLOOKUP(T$2, Percentiles!$A$45:$I$59, 8, FALSE), perc_85, perc_75 + (perc_90 - perc_75) * (2/3), converted_stat, '2K_Ratings'!T86, IF(bbgm_stat &gt;= perc_95, converted_stat * 3, IF(bbgm_stat &gt;= perc_90, converted_stat * 2, IF(bbgm_stat &gt;= perc_85, converted_stat * 1.5, converted_stat)))))</f>
        <v/>
      </c>
      <c r="U86" s="30" t="str">
        <f t="array" ref="U86">IF($A86="", "", LET(bbgm_stat, INDEX(Players!$A85:$P85, MATCH(U$2, Players!$A$1:$P$1, 0)), perc_75, VLOOKUP(U$2, Percentiles!$A$45:$I$59, 6, FALSE), perc_90, VLOOKUP(U$2, Percentiles!$A$45:$I$59, 7, FALSE), perc_95, VLOOKUP(U$2, Percentiles!$A$45:$I$59, 8, FALSE), perc_85, perc_75 + (perc_90 - perc_75) * (2/3), converted_stat, '2K_Ratings'!U86, IF(bbgm_stat &gt;= perc_95, converted_stat * 3, IF(bbgm_stat &gt;= perc_90, converted_stat * 2, IF(bbgm_stat &gt;= perc_85, converted_stat * 1.5, converted_stat)))))</f>
        <v/>
      </c>
      <c r="V86" s="30" t="str">
        <f t="array" ref="V86">IF($A86="", "", LET(bbgm_stat, INDEX(Players!$A85:$P85, MATCH(V$2, Players!$A$1:$P$1, 0)), perc_75, VLOOKUP(V$2, Percentiles!$A$45:$I$59, 6, FALSE), perc_90, VLOOKUP(V$2, Percentiles!$A$45:$I$59, 7, FALSE), perc_95, VLOOKUP(V$2, Percentiles!$A$45:$I$59, 8, FALSE), perc_85, perc_75 + (perc_90 - perc_75) * (2/3), converted_stat, '2K_Ratings'!V86, IF(bbgm_stat &gt;= perc_95, converted_stat * 3, IF(bbgm_stat &gt;= perc_90, converted_stat * 2, IF(bbgm_stat &gt;= perc_85, converted_stat * 1.5, converted_stat)))))</f>
        <v/>
      </c>
      <c r="W86" s="30" t="str">
        <f t="array" ref="W86">IF($A86="", "", LET(bbgm_stat, INDEX(Players!$A85:$P85, MATCH(W$2, Players!$A$1:$P$1, 0)), perc_75, VLOOKUP(W$2, Percentiles!$A$45:$I$59, 6, FALSE), perc_90, VLOOKUP(W$2, Percentiles!$A$45:$I$59, 7, FALSE), perc_95, VLOOKUP(W$2, Percentiles!$A$45:$I$59, 8, FALSE), perc_85, perc_75 + (perc_90 - perc_75) * (2/3), converted_stat, '2K_Ratings'!W86, IF(bbgm_stat &gt;= perc_95, converted_stat * 3, IF(bbgm_stat &gt;= perc_90, converted_stat * 2, IF(bbgm_stat &gt;= perc_85, converted_stat * 1.5, converted_stat)))))</f>
        <v/>
      </c>
    </row>
    <row r="87">
      <c r="A87" s="30" t="str">
        <f>IF(Players!A86="", "", Players!A86)</f>
        <v/>
      </c>
      <c r="B87" s="30" t="str">
        <f t="array" ref="B87">IF($A87="", "", LET(bbgm_stat, INDEX(Players!$A86:$P86, MATCH(B$2, Players!$A$1:$P$1, 0)), perc_75, VLOOKUP(B$2, Percentiles!$A$45:$I$59, 6, FALSE), perc_90, VLOOKUP(B$2, Percentiles!$A$45:$I$59, 7, FALSE), perc_95, VLOOKUP(B$2, Percentiles!$A$45:$I$59, 8, FALSE), perc_85, perc_75 + (perc_90 - perc_75) * (2/3), converted_stat, '2K_Ratings'!B87, IF(bbgm_stat &gt;= perc_95, converted_stat * 3, IF(bbgm_stat &gt;= perc_90, converted_stat * 2, IF(bbgm_stat &gt;= perc_85, converted_stat * 1.5, converted_stat)))))</f>
        <v/>
      </c>
      <c r="C87" s="30" t="str">
        <f t="array" ref="C87">IF($A87="", "", LET(bbgm_stat, INDEX(Players!$A86:$P86, MATCH(C$2, Players!$A$1:$P$1, 0)), perc_75, VLOOKUP(C$2, Percentiles!$A$45:$I$59, 6, FALSE), perc_90, VLOOKUP(C$2, Percentiles!$A$45:$I$59, 7, FALSE), perc_95, VLOOKUP(C$2, Percentiles!$A$45:$I$59, 8, FALSE), perc_85, perc_75 + (perc_90 - perc_75) * (2/3), converted_stat, '2K_Ratings'!C87, IF(bbgm_stat &gt;= perc_95, converted_stat * 3, IF(bbgm_stat &gt;= perc_90, converted_stat * 2, IF(bbgm_stat &gt;= perc_85, converted_stat * 1.5, converted_stat)))))</f>
        <v/>
      </c>
      <c r="D87" s="30" t="str">
        <f t="array" ref="D87">IF($A87="", "", LET(bbgm_stat, INDEX(Players!$A86:$P86, MATCH(D$2, Players!$A$1:$P$1, 0)), perc_75, VLOOKUP(D$2, Percentiles!$A$45:$I$59, 6, FALSE), perc_90, VLOOKUP(D$2, Percentiles!$A$45:$I$59, 7, FALSE), perc_95, VLOOKUP(D$2, Percentiles!$A$45:$I$59, 8, FALSE), perc_85, perc_75 + (perc_90 - perc_75) * (2/3), converted_stat, '2K_Ratings'!D87, IF(bbgm_stat &gt;= perc_95, converted_stat * 3, IF(bbgm_stat &gt;= perc_90, converted_stat * 2, IF(bbgm_stat &gt;= perc_85, converted_stat * 1.5, converted_stat)))))</f>
        <v/>
      </c>
      <c r="E87" s="30" t="str">
        <f t="array" ref="E87">IF($A87="", "", LET(bbgm_stat, INDEX(Players!$A86:$P86, MATCH(E$2, Players!$A$1:$P$1, 0)), perc_75, VLOOKUP(E$2, Percentiles!$A$45:$I$59, 6, FALSE), perc_90, VLOOKUP(E$2, Percentiles!$A$45:$I$59, 7, FALSE), perc_95, VLOOKUP(E$2, Percentiles!$A$45:$I$59, 8, FALSE), perc_85, perc_75 + (perc_90 - perc_75) * (2/3), converted_stat, '2K_Ratings'!E87, IF(bbgm_stat &gt;= perc_95, converted_stat * 3, IF(bbgm_stat &gt;= perc_90, converted_stat * 2, IF(bbgm_stat &gt;= perc_85, converted_stat * 1.5, converted_stat)))))</f>
        <v/>
      </c>
      <c r="F87" s="30" t="str">
        <f t="array" ref="F87">IF($A87="", "", LET(bbgm_stat, INDEX(Players!$A86:$P86, MATCH(F$2, Players!$A$1:$P$1, 0)), perc_75, VLOOKUP(F$2, Percentiles!$A$45:$I$59, 6, FALSE), perc_90, VLOOKUP(F$2, Percentiles!$A$45:$I$59, 7, FALSE), perc_95, VLOOKUP(F$2, Percentiles!$A$45:$I$59, 8, FALSE), perc_85, perc_75 + (perc_90 - perc_75) * (2/3), converted_stat, '2K_Ratings'!F87, IF(bbgm_stat &gt;= perc_95, converted_stat * 3, IF(bbgm_stat &gt;= perc_90, converted_stat * 2, IF(bbgm_stat &gt;= perc_85, converted_stat * 1.5, converted_stat)))))</f>
        <v/>
      </c>
      <c r="G87" s="30" t="str">
        <f t="array" ref="G87">IF($A87="", "", LET(bbgm_stat, INDEX(Players!$A86:$P86, MATCH(G$2, Players!$A$1:$P$1, 0)), perc_75, VLOOKUP(G$2, Percentiles!$A$45:$I$59, 6, FALSE), perc_90, VLOOKUP(G$2, Percentiles!$A$45:$I$59, 7, FALSE), perc_95, VLOOKUP(G$2, Percentiles!$A$45:$I$59, 8, FALSE), perc_85, perc_75 + (perc_90 - perc_75) * (2/3), converted_stat, '2K_Ratings'!G87, IF(bbgm_stat &gt;= perc_95, converted_stat * 3, IF(bbgm_stat &gt;= perc_90, converted_stat * 2, IF(bbgm_stat &gt;= perc_85, converted_stat * 1.5, converted_stat)))))</f>
        <v/>
      </c>
      <c r="H87" s="30" t="str">
        <f t="array" ref="H87">IF($A87="", "", LET(bbgm_stat, INDEX(Players!$A86:$P86, MATCH(H$2, Players!$A$1:$P$1, 0)), perc_75, VLOOKUP(H$2, Percentiles!$A$45:$I$59, 6, FALSE), perc_90, VLOOKUP(H$2, Percentiles!$A$45:$I$59, 7, FALSE), perc_95, VLOOKUP(H$2, Percentiles!$A$45:$I$59, 8, FALSE), perc_85, perc_75 + (perc_90 - perc_75) * (2/3), converted_stat, '2K_Ratings'!H87, IF(bbgm_stat &gt;= perc_95, converted_stat * 3, IF(bbgm_stat &gt;= perc_90, converted_stat * 2, IF(bbgm_stat &gt;= perc_85, converted_stat * 1.5, converted_stat)))))</f>
        <v/>
      </c>
      <c r="I87" s="30" t="str">
        <f t="array" ref="I87">IF($A87="", "", LET(bbgm_stat, INDEX(Players!$A86:$P86, MATCH(I$2, Players!$A$1:$P$1, 0)), perc_75, VLOOKUP(I$2, Percentiles!$A$45:$I$59, 6, FALSE), perc_90, VLOOKUP(I$2, Percentiles!$A$45:$I$59, 7, FALSE), perc_95, VLOOKUP(I$2, Percentiles!$A$45:$I$59, 8, FALSE), perc_85, perc_75 + (perc_90 - perc_75) * (2/3), converted_stat, '2K_Ratings'!I87, IF(bbgm_stat &gt;= perc_95, converted_stat * 3, IF(bbgm_stat &gt;= perc_90, converted_stat * 2, IF(bbgm_stat &gt;= perc_85, converted_stat * 1.5, converted_stat)))))</f>
        <v/>
      </c>
      <c r="J87" s="30" t="str">
        <f t="array" ref="J87">IF($A87="", "", LET(bbgm_stat, INDEX(Players!$A86:$P86, MATCH(J$2, Players!$A$1:$P$1, 0)), perc_75, VLOOKUP(J$2, Percentiles!$A$45:$I$59, 6, FALSE), perc_90, VLOOKUP(J$2, Percentiles!$A$45:$I$59, 7, FALSE), perc_95, VLOOKUP(J$2, Percentiles!$A$45:$I$59, 8, FALSE), perc_85, perc_75 + (perc_90 - perc_75) * (2/3), converted_stat, '2K_Ratings'!J87, IF(bbgm_stat &gt;= perc_95, converted_stat * 3, IF(bbgm_stat &gt;= perc_90, converted_stat * 2, IF(bbgm_stat &gt;= perc_85, converted_stat * 1.5, converted_stat)))))</f>
        <v/>
      </c>
      <c r="K87" s="30" t="str">
        <f t="array" ref="K87">IF($A87="", "", LET(bbgm_stat, INDEX(Players!$A86:$P86, MATCH(K$2, Players!$A$1:$P$1, 0)), perc_75, VLOOKUP(K$2, Percentiles!$A$45:$I$59, 6, FALSE), perc_90, VLOOKUP(K$2, Percentiles!$A$45:$I$59, 7, FALSE), perc_95, VLOOKUP(K$2, Percentiles!$A$45:$I$59, 8, FALSE), perc_85, perc_75 + (perc_90 - perc_75) * (2/3), converted_stat, '2K_Ratings'!K87, IF(bbgm_stat &gt;= perc_95, converted_stat * 3, IF(bbgm_stat &gt;= perc_90, converted_stat * 2, IF(bbgm_stat &gt;= perc_85, converted_stat * 1.5, converted_stat)))))</f>
        <v/>
      </c>
      <c r="L87" s="30" t="str">
        <f t="array" ref="L87">IF($A87="", "", LET(bbgm_stat, INDEX(Players!$A86:$P86, MATCH(L$2, Players!$A$1:$P$1, 0)), perc_75, VLOOKUP(L$2, Percentiles!$A$45:$I$59, 6, FALSE), perc_90, VLOOKUP(L$2, Percentiles!$A$45:$I$59, 7, FALSE), perc_95, VLOOKUP(L$2, Percentiles!$A$45:$I$59, 8, FALSE), perc_85, perc_75 + (perc_90 - perc_75) * (2/3), converted_stat, '2K_Ratings'!L87, IF(bbgm_stat &gt;= perc_95, converted_stat * 3, IF(bbgm_stat &gt;= perc_90, converted_stat * 2, IF(bbgm_stat &gt;= perc_85, converted_stat * 1.5, converted_stat)))))</f>
        <v/>
      </c>
      <c r="M87" s="30" t="str">
        <f t="array" ref="M87">IF($A87="", "", LET(bbgm_stat, INDEX(Players!$A86:$P86, MATCH(M$2, Players!$A$1:$P$1, 0)), perc_75, VLOOKUP(M$2, Percentiles!$A$45:$I$59, 6, FALSE), perc_90, VLOOKUP(M$2, Percentiles!$A$45:$I$59, 7, FALSE), perc_95, VLOOKUP(M$2, Percentiles!$A$45:$I$59, 8, FALSE), perc_85, perc_75 + (perc_90 - perc_75) * (2/3), converted_stat, '2K_Ratings'!M87, IF(bbgm_stat &gt;= perc_95, converted_stat * 3, IF(bbgm_stat &gt;= perc_90, converted_stat * 2, IF(bbgm_stat &gt;= perc_85, converted_stat * 1.5, converted_stat)))))</f>
        <v/>
      </c>
      <c r="N87" s="30" t="str">
        <f t="array" ref="N87">IF($A87="", "", LET(bbgm_stat, INDEX(Players!$A86:$P86, MATCH(N$2, Players!$A$1:$P$1, 0)), perc_75, VLOOKUP(N$2, Percentiles!$A$45:$I$59, 6, FALSE), perc_90, VLOOKUP(N$2, Percentiles!$A$45:$I$59, 7, FALSE), perc_95, VLOOKUP(N$2, Percentiles!$A$45:$I$59, 8, FALSE), perc_85, perc_75 + (perc_90 - perc_75) * (2/3), converted_stat, '2K_Ratings'!N87, IF(bbgm_stat &gt;= perc_95, converted_stat * 3, IF(bbgm_stat &gt;= perc_90, converted_stat * 2, IF(bbgm_stat &gt;= perc_85, converted_stat * 1.5, converted_stat)))))</f>
        <v/>
      </c>
      <c r="O87" s="30" t="str">
        <f t="array" ref="O87">IF($A87="", "", LET(bbgm_stat, INDEX(Players!$A86:$P86, MATCH(O$2, Players!$A$1:$P$1, 0)), perc_75, VLOOKUP(O$2, Percentiles!$A$45:$I$59, 6, FALSE), perc_90, VLOOKUP(O$2, Percentiles!$A$45:$I$59, 7, FALSE), perc_95, VLOOKUP(O$2, Percentiles!$A$45:$I$59, 8, FALSE), perc_85, perc_75 + (perc_90 - perc_75) * (2/3), converted_stat, '2K_Ratings'!O87, IF(bbgm_stat &gt;= perc_95, converted_stat * 3, IF(bbgm_stat &gt;= perc_90, converted_stat * 2, IF(bbgm_stat &gt;= perc_85, converted_stat * 1.5, converted_stat)))))</f>
        <v/>
      </c>
      <c r="P87" s="30" t="str">
        <f t="array" ref="P87">IF($A87="", "", LET(bbgm_stat, INDEX(Players!$A86:$P86, MATCH(P$2, Players!$A$1:$P$1, 0)), perc_75, VLOOKUP(P$2, Percentiles!$A$45:$I$59, 6, FALSE), perc_90, VLOOKUP(P$2, Percentiles!$A$45:$I$59, 7, FALSE), perc_95, VLOOKUP(P$2, Percentiles!$A$45:$I$59, 8, FALSE), perc_85, perc_75 + (perc_90 - perc_75) * (2/3), converted_stat, '2K_Ratings'!P87, IF(bbgm_stat &gt;= perc_95, converted_stat * 3, IF(bbgm_stat &gt;= perc_90, converted_stat * 2, IF(bbgm_stat &gt;= perc_85, converted_stat * 1.5, converted_stat)))))</f>
        <v/>
      </c>
      <c r="Q87" s="30" t="str">
        <f t="array" ref="Q87">IF($A87="", "", LET(bbgm_stat, INDEX(Players!$A86:$P86, MATCH(Q$2, Players!$A$1:$P$1, 0)), perc_75, VLOOKUP(Q$2, Percentiles!$A$45:$I$59, 6, FALSE), perc_90, VLOOKUP(Q$2, Percentiles!$A$45:$I$59, 7, FALSE), perc_95, VLOOKUP(Q$2, Percentiles!$A$45:$I$59, 8, FALSE), perc_85, perc_75 + (perc_90 - perc_75) * (2/3), converted_stat, '2K_Ratings'!Q87, IF(bbgm_stat &gt;= perc_95, converted_stat * 3, IF(bbgm_stat &gt;= perc_90, converted_stat * 2, IF(bbgm_stat &gt;= perc_85, converted_stat * 1.5, converted_stat)))))</f>
        <v/>
      </c>
      <c r="R87" s="30" t="str">
        <f t="array" ref="R87">IF($A87="", "", LET(bbgm_stat, INDEX(Players!$A86:$P86, MATCH(R$2, Players!$A$1:$P$1, 0)), perc_75, VLOOKUP(R$2, Percentiles!$A$45:$I$59, 6, FALSE), perc_90, VLOOKUP(R$2, Percentiles!$A$45:$I$59, 7, FALSE), perc_95, VLOOKUP(R$2, Percentiles!$A$45:$I$59, 8, FALSE), perc_85, perc_75 + (perc_90 - perc_75) * (2/3), converted_stat, '2K_Ratings'!R87, IF(bbgm_stat &gt;= perc_95, converted_stat * 3, IF(bbgm_stat &gt;= perc_90, converted_stat * 2, IF(bbgm_stat &gt;= perc_85, converted_stat * 1.5, converted_stat)))))</f>
        <v/>
      </c>
      <c r="S87" s="30" t="str">
        <f t="array" ref="S87">IF($A87="", "", LET(bbgm_stat, INDEX(Players!$A86:$P86, MATCH(S$2, Players!$A$1:$P$1, 0)), perc_75, VLOOKUP(S$2, Percentiles!$A$45:$I$59, 6, FALSE), perc_90, VLOOKUP(S$2, Percentiles!$A$45:$I$59, 7, FALSE), perc_95, VLOOKUP(S$2, Percentiles!$A$45:$I$59, 8, FALSE), perc_85, perc_75 + (perc_90 - perc_75) * (2/3), converted_stat, '2K_Ratings'!S87, IF(bbgm_stat &gt;= perc_95, converted_stat * 3, IF(bbgm_stat &gt;= perc_90, converted_stat * 2, IF(bbgm_stat &gt;= perc_85, converted_stat * 1.5, converted_stat)))))</f>
        <v/>
      </c>
      <c r="T87" s="30" t="str">
        <f t="array" ref="T87">IF($A87="", "", LET(bbgm_stat, INDEX(Players!$A86:$P86, MATCH(T$2, Players!$A$1:$P$1, 0)), perc_75, VLOOKUP(T$2, Percentiles!$A$45:$I$59, 6, FALSE), perc_90, VLOOKUP(T$2, Percentiles!$A$45:$I$59, 7, FALSE), perc_95, VLOOKUP(T$2, Percentiles!$A$45:$I$59, 8, FALSE), perc_85, perc_75 + (perc_90 - perc_75) * (2/3), converted_stat, '2K_Ratings'!T87, IF(bbgm_stat &gt;= perc_95, converted_stat * 3, IF(bbgm_stat &gt;= perc_90, converted_stat * 2, IF(bbgm_stat &gt;= perc_85, converted_stat * 1.5, converted_stat)))))</f>
        <v/>
      </c>
      <c r="U87" s="30" t="str">
        <f t="array" ref="U87">IF($A87="", "", LET(bbgm_stat, INDEX(Players!$A86:$P86, MATCH(U$2, Players!$A$1:$P$1, 0)), perc_75, VLOOKUP(U$2, Percentiles!$A$45:$I$59, 6, FALSE), perc_90, VLOOKUP(U$2, Percentiles!$A$45:$I$59, 7, FALSE), perc_95, VLOOKUP(U$2, Percentiles!$A$45:$I$59, 8, FALSE), perc_85, perc_75 + (perc_90 - perc_75) * (2/3), converted_stat, '2K_Ratings'!U87, IF(bbgm_stat &gt;= perc_95, converted_stat * 3, IF(bbgm_stat &gt;= perc_90, converted_stat * 2, IF(bbgm_stat &gt;= perc_85, converted_stat * 1.5, converted_stat)))))</f>
        <v/>
      </c>
      <c r="V87" s="30" t="str">
        <f t="array" ref="V87">IF($A87="", "", LET(bbgm_stat, INDEX(Players!$A86:$P86, MATCH(V$2, Players!$A$1:$P$1, 0)), perc_75, VLOOKUP(V$2, Percentiles!$A$45:$I$59, 6, FALSE), perc_90, VLOOKUP(V$2, Percentiles!$A$45:$I$59, 7, FALSE), perc_95, VLOOKUP(V$2, Percentiles!$A$45:$I$59, 8, FALSE), perc_85, perc_75 + (perc_90 - perc_75) * (2/3), converted_stat, '2K_Ratings'!V87, IF(bbgm_stat &gt;= perc_95, converted_stat * 3, IF(bbgm_stat &gt;= perc_90, converted_stat * 2, IF(bbgm_stat &gt;= perc_85, converted_stat * 1.5, converted_stat)))))</f>
        <v/>
      </c>
      <c r="W87" s="30" t="str">
        <f t="array" ref="W87">IF($A87="", "", LET(bbgm_stat, INDEX(Players!$A86:$P86, MATCH(W$2, Players!$A$1:$P$1, 0)), perc_75, VLOOKUP(W$2, Percentiles!$A$45:$I$59, 6, FALSE), perc_90, VLOOKUP(W$2, Percentiles!$A$45:$I$59, 7, FALSE), perc_95, VLOOKUP(W$2, Percentiles!$A$45:$I$59, 8, FALSE), perc_85, perc_75 + (perc_90 - perc_75) * (2/3), converted_stat, '2K_Ratings'!W87, IF(bbgm_stat &gt;= perc_95, converted_stat * 3, IF(bbgm_stat &gt;= perc_90, converted_stat * 2, IF(bbgm_stat &gt;= perc_85, converted_stat * 1.5, converted_stat)))))</f>
        <v/>
      </c>
    </row>
    <row r="88">
      <c r="A88" s="30" t="str">
        <f>IF(Players!A87="", "", Players!A87)</f>
        <v/>
      </c>
      <c r="B88" s="30" t="str">
        <f t="array" ref="B88">IF($A88="", "", LET(bbgm_stat, INDEX(Players!$A87:$P87, MATCH(B$2, Players!$A$1:$P$1, 0)), perc_75, VLOOKUP(B$2, Percentiles!$A$45:$I$59, 6, FALSE), perc_90, VLOOKUP(B$2, Percentiles!$A$45:$I$59, 7, FALSE), perc_95, VLOOKUP(B$2, Percentiles!$A$45:$I$59, 8, FALSE), perc_85, perc_75 + (perc_90 - perc_75) * (2/3), converted_stat, '2K_Ratings'!B88, IF(bbgm_stat &gt;= perc_95, converted_stat * 3, IF(bbgm_stat &gt;= perc_90, converted_stat * 2, IF(bbgm_stat &gt;= perc_85, converted_stat * 1.5, converted_stat)))))</f>
        <v/>
      </c>
      <c r="C88" s="30" t="str">
        <f t="array" ref="C88">IF($A88="", "", LET(bbgm_stat, INDEX(Players!$A87:$P87, MATCH(C$2, Players!$A$1:$P$1, 0)), perc_75, VLOOKUP(C$2, Percentiles!$A$45:$I$59, 6, FALSE), perc_90, VLOOKUP(C$2, Percentiles!$A$45:$I$59, 7, FALSE), perc_95, VLOOKUP(C$2, Percentiles!$A$45:$I$59, 8, FALSE), perc_85, perc_75 + (perc_90 - perc_75) * (2/3), converted_stat, '2K_Ratings'!C88, IF(bbgm_stat &gt;= perc_95, converted_stat * 3, IF(bbgm_stat &gt;= perc_90, converted_stat * 2, IF(bbgm_stat &gt;= perc_85, converted_stat * 1.5, converted_stat)))))</f>
        <v/>
      </c>
      <c r="D88" s="30" t="str">
        <f t="array" ref="D88">IF($A88="", "", LET(bbgm_stat, INDEX(Players!$A87:$P87, MATCH(D$2, Players!$A$1:$P$1, 0)), perc_75, VLOOKUP(D$2, Percentiles!$A$45:$I$59, 6, FALSE), perc_90, VLOOKUP(D$2, Percentiles!$A$45:$I$59, 7, FALSE), perc_95, VLOOKUP(D$2, Percentiles!$A$45:$I$59, 8, FALSE), perc_85, perc_75 + (perc_90 - perc_75) * (2/3), converted_stat, '2K_Ratings'!D88, IF(bbgm_stat &gt;= perc_95, converted_stat * 3, IF(bbgm_stat &gt;= perc_90, converted_stat * 2, IF(bbgm_stat &gt;= perc_85, converted_stat * 1.5, converted_stat)))))</f>
        <v/>
      </c>
      <c r="E88" s="30" t="str">
        <f t="array" ref="E88">IF($A88="", "", LET(bbgm_stat, INDEX(Players!$A87:$P87, MATCH(E$2, Players!$A$1:$P$1, 0)), perc_75, VLOOKUP(E$2, Percentiles!$A$45:$I$59, 6, FALSE), perc_90, VLOOKUP(E$2, Percentiles!$A$45:$I$59, 7, FALSE), perc_95, VLOOKUP(E$2, Percentiles!$A$45:$I$59, 8, FALSE), perc_85, perc_75 + (perc_90 - perc_75) * (2/3), converted_stat, '2K_Ratings'!E88, IF(bbgm_stat &gt;= perc_95, converted_stat * 3, IF(bbgm_stat &gt;= perc_90, converted_stat * 2, IF(bbgm_stat &gt;= perc_85, converted_stat * 1.5, converted_stat)))))</f>
        <v/>
      </c>
      <c r="F88" s="30" t="str">
        <f t="array" ref="F88">IF($A88="", "", LET(bbgm_stat, INDEX(Players!$A87:$P87, MATCH(F$2, Players!$A$1:$P$1, 0)), perc_75, VLOOKUP(F$2, Percentiles!$A$45:$I$59, 6, FALSE), perc_90, VLOOKUP(F$2, Percentiles!$A$45:$I$59, 7, FALSE), perc_95, VLOOKUP(F$2, Percentiles!$A$45:$I$59, 8, FALSE), perc_85, perc_75 + (perc_90 - perc_75) * (2/3), converted_stat, '2K_Ratings'!F88, IF(bbgm_stat &gt;= perc_95, converted_stat * 3, IF(bbgm_stat &gt;= perc_90, converted_stat * 2, IF(bbgm_stat &gt;= perc_85, converted_stat * 1.5, converted_stat)))))</f>
        <v/>
      </c>
      <c r="G88" s="30" t="str">
        <f t="array" ref="G88">IF($A88="", "", LET(bbgm_stat, INDEX(Players!$A87:$P87, MATCH(G$2, Players!$A$1:$P$1, 0)), perc_75, VLOOKUP(G$2, Percentiles!$A$45:$I$59, 6, FALSE), perc_90, VLOOKUP(G$2, Percentiles!$A$45:$I$59, 7, FALSE), perc_95, VLOOKUP(G$2, Percentiles!$A$45:$I$59, 8, FALSE), perc_85, perc_75 + (perc_90 - perc_75) * (2/3), converted_stat, '2K_Ratings'!G88, IF(bbgm_stat &gt;= perc_95, converted_stat * 3, IF(bbgm_stat &gt;= perc_90, converted_stat * 2, IF(bbgm_stat &gt;= perc_85, converted_stat * 1.5, converted_stat)))))</f>
        <v/>
      </c>
      <c r="H88" s="30" t="str">
        <f t="array" ref="H88">IF($A88="", "", LET(bbgm_stat, INDEX(Players!$A87:$P87, MATCH(H$2, Players!$A$1:$P$1, 0)), perc_75, VLOOKUP(H$2, Percentiles!$A$45:$I$59, 6, FALSE), perc_90, VLOOKUP(H$2, Percentiles!$A$45:$I$59, 7, FALSE), perc_95, VLOOKUP(H$2, Percentiles!$A$45:$I$59, 8, FALSE), perc_85, perc_75 + (perc_90 - perc_75) * (2/3), converted_stat, '2K_Ratings'!H88, IF(bbgm_stat &gt;= perc_95, converted_stat * 3, IF(bbgm_stat &gt;= perc_90, converted_stat * 2, IF(bbgm_stat &gt;= perc_85, converted_stat * 1.5, converted_stat)))))</f>
        <v/>
      </c>
      <c r="I88" s="30" t="str">
        <f t="array" ref="I88">IF($A88="", "", LET(bbgm_stat, INDEX(Players!$A87:$P87, MATCH(I$2, Players!$A$1:$P$1, 0)), perc_75, VLOOKUP(I$2, Percentiles!$A$45:$I$59, 6, FALSE), perc_90, VLOOKUP(I$2, Percentiles!$A$45:$I$59, 7, FALSE), perc_95, VLOOKUP(I$2, Percentiles!$A$45:$I$59, 8, FALSE), perc_85, perc_75 + (perc_90 - perc_75) * (2/3), converted_stat, '2K_Ratings'!I88, IF(bbgm_stat &gt;= perc_95, converted_stat * 3, IF(bbgm_stat &gt;= perc_90, converted_stat * 2, IF(bbgm_stat &gt;= perc_85, converted_stat * 1.5, converted_stat)))))</f>
        <v/>
      </c>
      <c r="J88" s="30" t="str">
        <f t="array" ref="J88">IF($A88="", "", LET(bbgm_stat, INDEX(Players!$A87:$P87, MATCH(J$2, Players!$A$1:$P$1, 0)), perc_75, VLOOKUP(J$2, Percentiles!$A$45:$I$59, 6, FALSE), perc_90, VLOOKUP(J$2, Percentiles!$A$45:$I$59, 7, FALSE), perc_95, VLOOKUP(J$2, Percentiles!$A$45:$I$59, 8, FALSE), perc_85, perc_75 + (perc_90 - perc_75) * (2/3), converted_stat, '2K_Ratings'!J88, IF(bbgm_stat &gt;= perc_95, converted_stat * 3, IF(bbgm_stat &gt;= perc_90, converted_stat * 2, IF(bbgm_stat &gt;= perc_85, converted_stat * 1.5, converted_stat)))))</f>
        <v/>
      </c>
      <c r="K88" s="30" t="str">
        <f t="array" ref="K88">IF($A88="", "", LET(bbgm_stat, INDEX(Players!$A87:$P87, MATCH(K$2, Players!$A$1:$P$1, 0)), perc_75, VLOOKUP(K$2, Percentiles!$A$45:$I$59, 6, FALSE), perc_90, VLOOKUP(K$2, Percentiles!$A$45:$I$59, 7, FALSE), perc_95, VLOOKUP(K$2, Percentiles!$A$45:$I$59, 8, FALSE), perc_85, perc_75 + (perc_90 - perc_75) * (2/3), converted_stat, '2K_Ratings'!K88, IF(bbgm_stat &gt;= perc_95, converted_stat * 3, IF(bbgm_stat &gt;= perc_90, converted_stat * 2, IF(bbgm_stat &gt;= perc_85, converted_stat * 1.5, converted_stat)))))</f>
        <v/>
      </c>
      <c r="L88" s="30" t="str">
        <f t="array" ref="L88">IF($A88="", "", LET(bbgm_stat, INDEX(Players!$A87:$P87, MATCH(L$2, Players!$A$1:$P$1, 0)), perc_75, VLOOKUP(L$2, Percentiles!$A$45:$I$59, 6, FALSE), perc_90, VLOOKUP(L$2, Percentiles!$A$45:$I$59, 7, FALSE), perc_95, VLOOKUP(L$2, Percentiles!$A$45:$I$59, 8, FALSE), perc_85, perc_75 + (perc_90 - perc_75) * (2/3), converted_stat, '2K_Ratings'!L88, IF(bbgm_stat &gt;= perc_95, converted_stat * 3, IF(bbgm_stat &gt;= perc_90, converted_stat * 2, IF(bbgm_stat &gt;= perc_85, converted_stat * 1.5, converted_stat)))))</f>
        <v/>
      </c>
      <c r="M88" s="30" t="str">
        <f t="array" ref="M88">IF($A88="", "", LET(bbgm_stat, INDEX(Players!$A87:$P87, MATCH(M$2, Players!$A$1:$P$1, 0)), perc_75, VLOOKUP(M$2, Percentiles!$A$45:$I$59, 6, FALSE), perc_90, VLOOKUP(M$2, Percentiles!$A$45:$I$59, 7, FALSE), perc_95, VLOOKUP(M$2, Percentiles!$A$45:$I$59, 8, FALSE), perc_85, perc_75 + (perc_90 - perc_75) * (2/3), converted_stat, '2K_Ratings'!M88, IF(bbgm_stat &gt;= perc_95, converted_stat * 3, IF(bbgm_stat &gt;= perc_90, converted_stat * 2, IF(bbgm_stat &gt;= perc_85, converted_stat * 1.5, converted_stat)))))</f>
        <v/>
      </c>
      <c r="N88" s="30" t="str">
        <f t="array" ref="N88">IF($A88="", "", LET(bbgm_stat, INDEX(Players!$A87:$P87, MATCH(N$2, Players!$A$1:$P$1, 0)), perc_75, VLOOKUP(N$2, Percentiles!$A$45:$I$59, 6, FALSE), perc_90, VLOOKUP(N$2, Percentiles!$A$45:$I$59, 7, FALSE), perc_95, VLOOKUP(N$2, Percentiles!$A$45:$I$59, 8, FALSE), perc_85, perc_75 + (perc_90 - perc_75) * (2/3), converted_stat, '2K_Ratings'!N88, IF(bbgm_stat &gt;= perc_95, converted_stat * 3, IF(bbgm_stat &gt;= perc_90, converted_stat * 2, IF(bbgm_stat &gt;= perc_85, converted_stat * 1.5, converted_stat)))))</f>
        <v/>
      </c>
      <c r="O88" s="30" t="str">
        <f t="array" ref="O88">IF($A88="", "", LET(bbgm_stat, INDEX(Players!$A87:$P87, MATCH(O$2, Players!$A$1:$P$1, 0)), perc_75, VLOOKUP(O$2, Percentiles!$A$45:$I$59, 6, FALSE), perc_90, VLOOKUP(O$2, Percentiles!$A$45:$I$59, 7, FALSE), perc_95, VLOOKUP(O$2, Percentiles!$A$45:$I$59, 8, FALSE), perc_85, perc_75 + (perc_90 - perc_75) * (2/3), converted_stat, '2K_Ratings'!O88, IF(bbgm_stat &gt;= perc_95, converted_stat * 3, IF(bbgm_stat &gt;= perc_90, converted_stat * 2, IF(bbgm_stat &gt;= perc_85, converted_stat * 1.5, converted_stat)))))</f>
        <v/>
      </c>
      <c r="P88" s="30" t="str">
        <f t="array" ref="P88">IF($A88="", "", LET(bbgm_stat, INDEX(Players!$A87:$P87, MATCH(P$2, Players!$A$1:$P$1, 0)), perc_75, VLOOKUP(P$2, Percentiles!$A$45:$I$59, 6, FALSE), perc_90, VLOOKUP(P$2, Percentiles!$A$45:$I$59, 7, FALSE), perc_95, VLOOKUP(P$2, Percentiles!$A$45:$I$59, 8, FALSE), perc_85, perc_75 + (perc_90 - perc_75) * (2/3), converted_stat, '2K_Ratings'!P88, IF(bbgm_stat &gt;= perc_95, converted_stat * 3, IF(bbgm_stat &gt;= perc_90, converted_stat * 2, IF(bbgm_stat &gt;= perc_85, converted_stat * 1.5, converted_stat)))))</f>
        <v/>
      </c>
      <c r="Q88" s="30" t="str">
        <f t="array" ref="Q88">IF($A88="", "", LET(bbgm_stat, INDEX(Players!$A87:$P87, MATCH(Q$2, Players!$A$1:$P$1, 0)), perc_75, VLOOKUP(Q$2, Percentiles!$A$45:$I$59, 6, FALSE), perc_90, VLOOKUP(Q$2, Percentiles!$A$45:$I$59, 7, FALSE), perc_95, VLOOKUP(Q$2, Percentiles!$A$45:$I$59, 8, FALSE), perc_85, perc_75 + (perc_90 - perc_75) * (2/3), converted_stat, '2K_Ratings'!Q88, IF(bbgm_stat &gt;= perc_95, converted_stat * 3, IF(bbgm_stat &gt;= perc_90, converted_stat * 2, IF(bbgm_stat &gt;= perc_85, converted_stat * 1.5, converted_stat)))))</f>
        <v/>
      </c>
      <c r="R88" s="30" t="str">
        <f t="array" ref="R88">IF($A88="", "", LET(bbgm_stat, INDEX(Players!$A87:$P87, MATCH(R$2, Players!$A$1:$P$1, 0)), perc_75, VLOOKUP(R$2, Percentiles!$A$45:$I$59, 6, FALSE), perc_90, VLOOKUP(R$2, Percentiles!$A$45:$I$59, 7, FALSE), perc_95, VLOOKUP(R$2, Percentiles!$A$45:$I$59, 8, FALSE), perc_85, perc_75 + (perc_90 - perc_75) * (2/3), converted_stat, '2K_Ratings'!R88, IF(bbgm_stat &gt;= perc_95, converted_stat * 3, IF(bbgm_stat &gt;= perc_90, converted_stat * 2, IF(bbgm_stat &gt;= perc_85, converted_stat * 1.5, converted_stat)))))</f>
        <v/>
      </c>
      <c r="S88" s="30" t="str">
        <f t="array" ref="S88">IF($A88="", "", LET(bbgm_stat, INDEX(Players!$A87:$P87, MATCH(S$2, Players!$A$1:$P$1, 0)), perc_75, VLOOKUP(S$2, Percentiles!$A$45:$I$59, 6, FALSE), perc_90, VLOOKUP(S$2, Percentiles!$A$45:$I$59, 7, FALSE), perc_95, VLOOKUP(S$2, Percentiles!$A$45:$I$59, 8, FALSE), perc_85, perc_75 + (perc_90 - perc_75) * (2/3), converted_stat, '2K_Ratings'!S88, IF(bbgm_stat &gt;= perc_95, converted_stat * 3, IF(bbgm_stat &gt;= perc_90, converted_stat * 2, IF(bbgm_stat &gt;= perc_85, converted_stat * 1.5, converted_stat)))))</f>
        <v/>
      </c>
      <c r="T88" s="30" t="str">
        <f t="array" ref="T88">IF($A88="", "", LET(bbgm_stat, INDEX(Players!$A87:$P87, MATCH(T$2, Players!$A$1:$P$1, 0)), perc_75, VLOOKUP(T$2, Percentiles!$A$45:$I$59, 6, FALSE), perc_90, VLOOKUP(T$2, Percentiles!$A$45:$I$59, 7, FALSE), perc_95, VLOOKUP(T$2, Percentiles!$A$45:$I$59, 8, FALSE), perc_85, perc_75 + (perc_90 - perc_75) * (2/3), converted_stat, '2K_Ratings'!T88, IF(bbgm_stat &gt;= perc_95, converted_stat * 3, IF(bbgm_stat &gt;= perc_90, converted_stat * 2, IF(bbgm_stat &gt;= perc_85, converted_stat * 1.5, converted_stat)))))</f>
        <v/>
      </c>
      <c r="U88" s="30" t="str">
        <f t="array" ref="U88">IF($A88="", "", LET(bbgm_stat, INDEX(Players!$A87:$P87, MATCH(U$2, Players!$A$1:$P$1, 0)), perc_75, VLOOKUP(U$2, Percentiles!$A$45:$I$59, 6, FALSE), perc_90, VLOOKUP(U$2, Percentiles!$A$45:$I$59, 7, FALSE), perc_95, VLOOKUP(U$2, Percentiles!$A$45:$I$59, 8, FALSE), perc_85, perc_75 + (perc_90 - perc_75) * (2/3), converted_stat, '2K_Ratings'!U88, IF(bbgm_stat &gt;= perc_95, converted_stat * 3, IF(bbgm_stat &gt;= perc_90, converted_stat * 2, IF(bbgm_stat &gt;= perc_85, converted_stat * 1.5, converted_stat)))))</f>
        <v/>
      </c>
      <c r="V88" s="30" t="str">
        <f t="array" ref="V88">IF($A88="", "", LET(bbgm_stat, INDEX(Players!$A87:$P87, MATCH(V$2, Players!$A$1:$P$1, 0)), perc_75, VLOOKUP(V$2, Percentiles!$A$45:$I$59, 6, FALSE), perc_90, VLOOKUP(V$2, Percentiles!$A$45:$I$59, 7, FALSE), perc_95, VLOOKUP(V$2, Percentiles!$A$45:$I$59, 8, FALSE), perc_85, perc_75 + (perc_90 - perc_75) * (2/3), converted_stat, '2K_Ratings'!V88, IF(bbgm_stat &gt;= perc_95, converted_stat * 3, IF(bbgm_stat &gt;= perc_90, converted_stat * 2, IF(bbgm_stat &gt;= perc_85, converted_stat * 1.5, converted_stat)))))</f>
        <v/>
      </c>
      <c r="W88" s="30" t="str">
        <f t="array" ref="W88">IF($A88="", "", LET(bbgm_stat, INDEX(Players!$A87:$P87, MATCH(W$2, Players!$A$1:$P$1, 0)), perc_75, VLOOKUP(W$2, Percentiles!$A$45:$I$59, 6, FALSE), perc_90, VLOOKUP(W$2, Percentiles!$A$45:$I$59, 7, FALSE), perc_95, VLOOKUP(W$2, Percentiles!$A$45:$I$59, 8, FALSE), perc_85, perc_75 + (perc_90 - perc_75) * (2/3), converted_stat, '2K_Ratings'!W88, IF(bbgm_stat &gt;= perc_95, converted_stat * 3, IF(bbgm_stat &gt;= perc_90, converted_stat * 2, IF(bbgm_stat &gt;= perc_85, converted_stat * 1.5, converted_stat)))))</f>
        <v/>
      </c>
    </row>
    <row r="89">
      <c r="A89" s="30" t="str">
        <f>IF(Players!A88="", "", Players!A88)</f>
        <v/>
      </c>
      <c r="B89" s="30" t="str">
        <f t="array" ref="B89">IF($A89="", "", LET(bbgm_stat, INDEX(Players!$A88:$P88, MATCH(B$2, Players!$A$1:$P$1, 0)), perc_75, VLOOKUP(B$2, Percentiles!$A$45:$I$59, 6, FALSE), perc_90, VLOOKUP(B$2, Percentiles!$A$45:$I$59, 7, FALSE), perc_95, VLOOKUP(B$2, Percentiles!$A$45:$I$59, 8, FALSE), perc_85, perc_75 + (perc_90 - perc_75) * (2/3), converted_stat, '2K_Ratings'!B89, IF(bbgm_stat &gt;= perc_95, converted_stat * 3, IF(bbgm_stat &gt;= perc_90, converted_stat * 2, IF(bbgm_stat &gt;= perc_85, converted_stat * 1.5, converted_stat)))))</f>
        <v/>
      </c>
      <c r="C89" s="30" t="str">
        <f t="array" ref="C89">IF($A89="", "", LET(bbgm_stat, INDEX(Players!$A88:$P88, MATCH(C$2, Players!$A$1:$P$1, 0)), perc_75, VLOOKUP(C$2, Percentiles!$A$45:$I$59, 6, FALSE), perc_90, VLOOKUP(C$2, Percentiles!$A$45:$I$59, 7, FALSE), perc_95, VLOOKUP(C$2, Percentiles!$A$45:$I$59, 8, FALSE), perc_85, perc_75 + (perc_90 - perc_75) * (2/3), converted_stat, '2K_Ratings'!C89, IF(bbgm_stat &gt;= perc_95, converted_stat * 3, IF(bbgm_stat &gt;= perc_90, converted_stat * 2, IF(bbgm_stat &gt;= perc_85, converted_stat * 1.5, converted_stat)))))</f>
        <v/>
      </c>
      <c r="D89" s="30" t="str">
        <f t="array" ref="D89">IF($A89="", "", LET(bbgm_stat, INDEX(Players!$A88:$P88, MATCH(D$2, Players!$A$1:$P$1, 0)), perc_75, VLOOKUP(D$2, Percentiles!$A$45:$I$59, 6, FALSE), perc_90, VLOOKUP(D$2, Percentiles!$A$45:$I$59, 7, FALSE), perc_95, VLOOKUP(D$2, Percentiles!$A$45:$I$59, 8, FALSE), perc_85, perc_75 + (perc_90 - perc_75) * (2/3), converted_stat, '2K_Ratings'!D89, IF(bbgm_stat &gt;= perc_95, converted_stat * 3, IF(bbgm_stat &gt;= perc_90, converted_stat * 2, IF(bbgm_stat &gt;= perc_85, converted_stat * 1.5, converted_stat)))))</f>
        <v/>
      </c>
      <c r="E89" s="30" t="str">
        <f t="array" ref="E89">IF($A89="", "", LET(bbgm_stat, INDEX(Players!$A88:$P88, MATCH(E$2, Players!$A$1:$P$1, 0)), perc_75, VLOOKUP(E$2, Percentiles!$A$45:$I$59, 6, FALSE), perc_90, VLOOKUP(E$2, Percentiles!$A$45:$I$59, 7, FALSE), perc_95, VLOOKUP(E$2, Percentiles!$A$45:$I$59, 8, FALSE), perc_85, perc_75 + (perc_90 - perc_75) * (2/3), converted_stat, '2K_Ratings'!E89, IF(bbgm_stat &gt;= perc_95, converted_stat * 3, IF(bbgm_stat &gt;= perc_90, converted_stat * 2, IF(bbgm_stat &gt;= perc_85, converted_stat * 1.5, converted_stat)))))</f>
        <v/>
      </c>
      <c r="F89" s="30" t="str">
        <f t="array" ref="F89">IF($A89="", "", LET(bbgm_stat, INDEX(Players!$A88:$P88, MATCH(F$2, Players!$A$1:$P$1, 0)), perc_75, VLOOKUP(F$2, Percentiles!$A$45:$I$59, 6, FALSE), perc_90, VLOOKUP(F$2, Percentiles!$A$45:$I$59, 7, FALSE), perc_95, VLOOKUP(F$2, Percentiles!$A$45:$I$59, 8, FALSE), perc_85, perc_75 + (perc_90 - perc_75) * (2/3), converted_stat, '2K_Ratings'!F89, IF(bbgm_stat &gt;= perc_95, converted_stat * 3, IF(bbgm_stat &gt;= perc_90, converted_stat * 2, IF(bbgm_stat &gt;= perc_85, converted_stat * 1.5, converted_stat)))))</f>
        <v/>
      </c>
      <c r="G89" s="30" t="str">
        <f t="array" ref="G89">IF($A89="", "", LET(bbgm_stat, INDEX(Players!$A88:$P88, MATCH(G$2, Players!$A$1:$P$1, 0)), perc_75, VLOOKUP(G$2, Percentiles!$A$45:$I$59, 6, FALSE), perc_90, VLOOKUP(G$2, Percentiles!$A$45:$I$59, 7, FALSE), perc_95, VLOOKUP(G$2, Percentiles!$A$45:$I$59, 8, FALSE), perc_85, perc_75 + (perc_90 - perc_75) * (2/3), converted_stat, '2K_Ratings'!G89, IF(bbgm_stat &gt;= perc_95, converted_stat * 3, IF(bbgm_stat &gt;= perc_90, converted_stat * 2, IF(bbgm_stat &gt;= perc_85, converted_stat * 1.5, converted_stat)))))</f>
        <v/>
      </c>
      <c r="H89" s="30" t="str">
        <f t="array" ref="H89">IF($A89="", "", LET(bbgm_stat, INDEX(Players!$A88:$P88, MATCH(H$2, Players!$A$1:$P$1, 0)), perc_75, VLOOKUP(H$2, Percentiles!$A$45:$I$59, 6, FALSE), perc_90, VLOOKUP(H$2, Percentiles!$A$45:$I$59, 7, FALSE), perc_95, VLOOKUP(H$2, Percentiles!$A$45:$I$59, 8, FALSE), perc_85, perc_75 + (perc_90 - perc_75) * (2/3), converted_stat, '2K_Ratings'!H89, IF(bbgm_stat &gt;= perc_95, converted_stat * 3, IF(bbgm_stat &gt;= perc_90, converted_stat * 2, IF(bbgm_stat &gt;= perc_85, converted_stat * 1.5, converted_stat)))))</f>
        <v/>
      </c>
      <c r="I89" s="30" t="str">
        <f t="array" ref="I89">IF($A89="", "", LET(bbgm_stat, INDEX(Players!$A88:$P88, MATCH(I$2, Players!$A$1:$P$1, 0)), perc_75, VLOOKUP(I$2, Percentiles!$A$45:$I$59, 6, FALSE), perc_90, VLOOKUP(I$2, Percentiles!$A$45:$I$59, 7, FALSE), perc_95, VLOOKUP(I$2, Percentiles!$A$45:$I$59, 8, FALSE), perc_85, perc_75 + (perc_90 - perc_75) * (2/3), converted_stat, '2K_Ratings'!I89, IF(bbgm_stat &gt;= perc_95, converted_stat * 3, IF(bbgm_stat &gt;= perc_90, converted_stat * 2, IF(bbgm_stat &gt;= perc_85, converted_stat * 1.5, converted_stat)))))</f>
        <v/>
      </c>
      <c r="J89" s="30" t="str">
        <f t="array" ref="J89">IF($A89="", "", LET(bbgm_stat, INDEX(Players!$A88:$P88, MATCH(J$2, Players!$A$1:$P$1, 0)), perc_75, VLOOKUP(J$2, Percentiles!$A$45:$I$59, 6, FALSE), perc_90, VLOOKUP(J$2, Percentiles!$A$45:$I$59, 7, FALSE), perc_95, VLOOKUP(J$2, Percentiles!$A$45:$I$59, 8, FALSE), perc_85, perc_75 + (perc_90 - perc_75) * (2/3), converted_stat, '2K_Ratings'!J89, IF(bbgm_stat &gt;= perc_95, converted_stat * 3, IF(bbgm_stat &gt;= perc_90, converted_stat * 2, IF(bbgm_stat &gt;= perc_85, converted_stat * 1.5, converted_stat)))))</f>
        <v/>
      </c>
      <c r="K89" s="30" t="str">
        <f t="array" ref="K89">IF($A89="", "", LET(bbgm_stat, INDEX(Players!$A88:$P88, MATCH(K$2, Players!$A$1:$P$1, 0)), perc_75, VLOOKUP(K$2, Percentiles!$A$45:$I$59, 6, FALSE), perc_90, VLOOKUP(K$2, Percentiles!$A$45:$I$59, 7, FALSE), perc_95, VLOOKUP(K$2, Percentiles!$A$45:$I$59, 8, FALSE), perc_85, perc_75 + (perc_90 - perc_75) * (2/3), converted_stat, '2K_Ratings'!K89, IF(bbgm_stat &gt;= perc_95, converted_stat * 3, IF(bbgm_stat &gt;= perc_90, converted_stat * 2, IF(bbgm_stat &gt;= perc_85, converted_stat * 1.5, converted_stat)))))</f>
        <v/>
      </c>
      <c r="L89" s="30" t="str">
        <f t="array" ref="L89">IF($A89="", "", LET(bbgm_stat, INDEX(Players!$A88:$P88, MATCH(L$2, Players!$A$1:$P$1, 0)), perc_75, VLOOKUP(L$2, Percentiles!$A$45:$I$59, 6, FALSE), perc_90, VLOOKUP(L$2, Percentiles!$A$45:$I$59, 7, FALSE), perc_95, VLOOKUP(L$2, Percentiles!$A$45:$I$59, 8, FALSE), perc_85, perc_75 + (perc_90 - perc_75) * (2/3), converted_stat, '2K_Ratings'!L89, IF(bbgm_stat &gt;= perc_95, converted_stat * 3, IF(bbgm_stat &gt;= perc_90, converted_stat * 2, IF(bbgm_stat &gt;= perc_85, converted_stat * 1.5, converted_stat)))))</f>
        <v/>
      </c>
      <c r="M89" s="30" t="str">
        <f t="array" ref="M89">IF($A89="", "", LET(bbgm_stat, INDEX(Players!$A88:$P88, MATCH(M$2, Players!$A$1:$P$1, 0)), perc_75, VLOOKUP(M$2, Percentiles!$A$45:$I$59, 6, FALSE), perc_90, VLOOKUP(M$2, Percentiles!$A$45:$I$59, 7, FALSE), perc_95, VLOOKUP(M$2, Percentiles!$A$45:$I$59, 8, FALSE), perc_85, perc_75 + (perc_90 - perc_75) * (2/3), converted_stat, '2K_Ratings'!M89, IF(bbgm_stat &gt;= perc_95, converted_stat * 3, IF(bbgm_stat &gt;= perc_90, converted_stat * 2, IF(bbgm_stat &gt;= perc_85, converted_stat * 1.5, converted_stat)))))</f>
        <v/>
      </c>
      <c r="N89" s="30" t="str">
        <f t="array" ref="N89">IF($A89="", "", LET(bbgm_stat, INDEX(Players!$A88:$P88, MATCH(N$2, Players!$A$1:$P$1, 0)), perc_75, VLOOKUP(N$2, Percentiles!$A$45:$I$59, 6, FALSE), perc_90, VLOOKUP(N$2, Percentiles!$A$45:$I$59, 7, FALSE), perc_95, VLOOKUP(N$2, Percentiles!$A$45:$I$59, 8, FALSE), perc_85, perc_75 + (perc_90 - perc_75) * (2/3), converted_stat, '2K_Ratings'!N89, IF(bbgm_stat &gt;= perc_95, converted_stat * 3, IF(bbgm_stat &gt;= perc_90, converted_stat * 2, IF(bbgm_stat &gt;= perc_85, converted_stat * 1.5, converted_stat)))))</f>
        <v/>
      </c>
      <c r="O89" s="30" t="str">
        <f t="array" ref="O89">IF($A89="", "", LET(bbgm_stat, INDEX(Players!$A88:$P88, MATCH(O$2, Players!$A$1:$P$1, 0)), perc_75, VLOOKUP(O$2, Percentiles!$A$45:$I$59, 6, FALSE), perc_90, VLOOKUP(O$2, Percentiles!$A$45:$I$59, 7, FALSE), perc_95, VLOOKUP(O$2, Percentiles!$A$45:$I$59, 8, FALSE), perc_85, perc_75 + (perc_90 - perc_75) * (2/3), converted_stat, '2K_Ratings'!O89, IF(bbgm_stat &gt;= perc_95, converted_stat * 3, IF(bbgm_stat &gt;= perc_90, converted_stat * 2, IF(bbgm_stat &gt;= perc_85, converted_stat * 1.5, converted_stat)))))</f>
        <v/>
      </c>
      <c r="P89" s="30" t="str">
        <f t="array" ref="P89">IF($A89="", "", LET(bbgm_stat, INDEX(Players!$A88:$P88, MATCH(P$2, Players!$A$1:$P$1, 0)), perc_75, VLOOKUP(P$2, Percentiles!$A$45:$I$59, 6, FALSE), perc_90, VLOOKUP(P$2, Percentiles!$A$45:$I$59, 7, FALSE), perc_95, VLOOKUP(P$2, Percentiles!$A$45:$I$59, 8, FALSE), perc_85, perc_75 + (perc_90 - perc_75) * (2/3), converted_stat, '2K_Ratings'!P89, IF(bbgm_stat &gt;= perc_95, converted_stat * 3, IF(bbgm_stat &gt;= perc_90, converted_stat * 2, IF(bbgm_stat &gt;= perc_85, converted_stat * 1.5, converted_stat)))))</f>
        <v/>
      </c>
      <c r="Q89" s="30" t="str">
        <f t="array" ref="Q89">IF($A89="", "", LET(bbgm_stat, INDEX(Players!$A88:$P88, MATCH(Q$2, Players!$A$1:$P$1, 0)), perc_75, VLOOKUP(Q$2, Percentiles!$A$45:$I$59, 6, FALSE), perc_90, VLOOKUP(Q$2, Percentiles!$A$45:$I$59, 7, FALSE), perc_95, VLOOKUP(Q$2, Percentiles!$A$45:$I$59, 8, FALSE), perc_85, perc_75 + (perc_90 - perc_75) * (2/3), converted_stat, '2K_Ratings'!Q89, IF(bbgm_stat &gt;= perc_95, converted_stat * 3, IF(bbgm_stat &gt;= perc_90, converted_stat * 2, IF(bbgm_stat &gt;= perc_85, converted_stat * 1.5, converted_stat)))))</f>
        <v/>
      </c>
      <c r="R89" s="30" t="str">
        <f t="array" ref="R89">IF($A89="", "", LET(bbgm_stat, INDEX(Players!$A88:$P88, MATCH(R$2, Players!$A$1:$P$1, 0)), perc_75, VLOOKUP(R$2, Percentiles!$A$45:$I$59, 6, FALSE), perc_90, VLOOKUP(R$2, Percentiles!$A$45:$I$59, 7, FALSE), perc_95, VLOOKUP(R$2, Percentiles!$A$45:$I$59, 8, FALSE), perc_85, perc_75 + (perc_90 - perc_75) * (2/3), converted_stat, '2K_Ratings'!R89, IF(bbgm_stat &gt;= perc_95, converted_stat * 3, IF(bbgm_stat &gt;= perc_90, converted_stat * 2, IF(bbgm_stat &gt;= perc_85, converted_stat * 1.5, converted_stat)))))</f>
        <v/>
      </c>
      <c r="S89" s="30" t="str">
        <f t="array" ref="S89">IF($A89="", "", LET(bbgm_stat, INDEX(Players!$A88:$P88, MATCH(S$2, Players!$A$1:$P$1, 0)), perc_75, VLOOKUP(S$2, Percentiles!$A$45:$I$59, 6, FALSE), perc_90, VLOOKUP(S$2, Percentiles!$A$45:$I$59, 7, FALSE), perc_95, VLOOKUP(S$2, Percentiles!$A$45:$I$59, 8, FALSE), perc_85, perc_75 + (perc_90 - perc_75) * (2/3), converted_stat, '2K_Ratings'!S89, IF(bbgm_stat &gt;= perc_95, converted_stat * 3, IF(bbgm_stat &gt;= perc_90, converted_stat * 2, IF(bbgm_stat &gt;= perc_85, converted_stat * 1.5, converted_stat)))))</f>
        <v/>
      </c>
      <c r="T89" s="30" t="str">
        <f t="array" ref="T89">IF($A89="", "", LET(bbgm_stat, INDEX(Players!$A88:$P88, MATCH(T$2, Players!$A$1:$P$1, 0)), perc_75, VLOOKUP(T$2, Percentiles!$A$45:$I$59, 6, FALSE), perc_90, VLOOKUP(T$2, Percentiles!$A$45:$I$59, 7, FALSE), perc_95, VLOOKUP(T$2, Percentiles!$A$45:$I$59, 8, FALSE), perc_85, perc_75 + (perc_90 - perc_75) * (2/3), converted_stat, '2K_Ratings'!T89, IF(bbgm_stat &gt;= perc_95, converted_stat * 3, IF(bbgm_stat &gt;= perc_90, converted_stat * 2, IF(bbgm_stat &gt;= perc_85, converted_stat * 1.5, converted_stat)))))</f>
        <v/>
      </c>
      <c r="U89" s="30" t="str">
        <f t="array" ref="U89">IF($A89="", "", LET(bbgm_stat, INDEX(Players!$A88:$P88, MATCH(U$2, Players!$A$1:$P$1, 0)), perc_75, VLOOKUP(U$2, Percentiles!$A$45:$I$59, 6, FALSE), perc_90, VLOOKUP(U$2, Percentiles!$A$45:$I$59, 7, FALSE), perc_95, VLOOKUP(U$2, Percentiles!$A$45:$I$59, 8, FALSE), perc_85, perc_75 + (perc_90 - perc_75) * (2/3), converted_stat, '2K_Ratings'!U89, IF(bbgm_stat &gt;= perc_95, converted_stat * 3, IF(bbgm_stat &gt;= perc_90, converted_stat * 2, IF(bbgm_stat &gt;= perc_85, converted_stat * 1.5, converted_stat)))))</f>
        <v/>
      </c>
      <c r="V89" s="30" t="str">
        <f t="array" ref="V89">IF($A89="", "", LET(bbgm_stat, INDEX(Players!$A88:$P88, MATCH(V$2, Players!$A$1:$P$1, 0)), perc_75, VLOOKUP(V$2, Percentiles!$A$45:$I$59, 6, FALSE), perc_90, VLOOKUP(V$2, Percentiles!$A$45:$I$59, 7, FALSE), perc_95, VLOOKUP(V$2, Percentiles!$A$45:$I$59, 8, FALSE), perc_85, perc_75 + (perc_90 - perc_75) * (2/3), converted_stat, '2K_Ratings'!V89, IF(bbgm_stat &gt;= perc_95, converted_stat * 3, IF(bbgm_stat &gt;= perc_90, converted_stat * 2, IF(bbgm_stat &gt;= perc_85, converted_stat * 1.5, converted_stat)))))</f>
        <v/>
      </c>
      <c r="W89" s="30" t="str">
        <f t="array" ref="W89">IF($A89="", "", LET(bbgm_stat, INDEX(Players!$A88:$P88, MATCH(W$2, Players!$A$1:$P$1, 0)), perc_75, VLOOKUP(W$2, Percentiles!$A$45:$I$59, 6, FALSE), perc_90, VLOOKUP(W$2, Percentiles!$A$45:$I$59, 7, FALSE), perc_95, VLOOKUP(W$2, Percentiles!$A$45:$I$59, 8, FALSE), perc_85, perc_75 + (perc_90 - perc_75) * (2/3), converted_stat, '2K_Ratings'!W89, IF(bbgm_stat &gt;= perc_95, converted_stat * 3, IF(bbgm_stat &gt;= perc_90, converted_stat * 2, IF(bbgm_stat &gt;= perc_85, converted_stat * 1.5, converted_stat)))))</f>
        <v/>
      </c>
    </row>
    <row r="90">
      <c r="A90" s="30" t="str">
        <f>IF(Players!A89="", "", Players!A89)</f>
        <v/>
      </c>
      <c r="B90" s="30" t="str">
        <f t="array" ref="B90">IF($A90="", "", LET(bbgm_stat, INDEX(Players!$A89:$P89, MATCH(B$2, Players!$A$1:$P$1, 0)), perc_75, VLOOKUP(B$2, Percentiles!$A$45:$I$59, 6, FALSE), perc_90, VLOOKUP(B$2, Percentiles!$A$45:$I$59, 7, FALSE), perc_95, VLOOKUP(B$2, Percentiles!$A$45:$I$59, 8, FALSE), perc_85, perc_75 + (perc_90 - perc_75) * (2/3), converted_stat, '2K_Ratings'!B90, IF(bbgm_stat &gt;= perc_95, converted_stat * 3, IF(bbgm_stat &gt;= perc_90, converted_stat * 2, IF(bbgm_stat &gt;= perc_85, converted_stat * 1.5, converted_stat)))))</f>
        <v/>
      </c>
      <c r="C90" s="30" t="str">
        <f t="array" ref="C90">IF($A90="", "", LET(bbgm_stat, INDEX(Players!$A89:$P89, MATCH(C$2, Players!$A$1:$P$1, 0)), perc_75, VLOOKUP(C$2, Percentiles!$A$45:$I$59, 6, FALSE), perc_90, VLOOKUP(C$2, Percentiles!$A$45:$I$59, 7, FALSE), perc_95, VLOOKUP(C$2, Percentiles!$A$45:$I$59, 8, FALSE), perc_85, perc_75 + (perc_90 - perc_75) * (2/3), converted_stat, '2K_Ratings'!C90, IF(bbgm_stat &gt;= perc_95, converted_stat * 3, IF(bbgm_stat &gt;= perc_90, converted_stat * 2, IF(bbgm_stat &gt;= perc_85, converted_stat * 1.5, converted_stat)))))</f>
        <v/>
      </c>
      <c r="D90" s="30" t="str">
        <f t="array" ref="D90">IF($A90="", "", LET(bbgm_stat, INDEX(Players!$A89:$P89, MATCH(D$2, Players!$A$1:$P$1, 0)), perc_75, VLOOKUP(D$2, Percentiles!$A$45:$I$59, 6, FALSE), perc_90, VLOOKUP(D$2, Percentiles!$A$45:$I$59, 7, FALSE), perc_95, VLOOKUP(D$2, Percentiles!$A$45:$I$59, 8, FALSE), perc_85, perc_75 + (perc_90 - perc_75) * (2/3), converted_stat, '2K_Ratings'!D90, IF(bbgm_stat &gt;= perc_95, converted_stat * 3, IF(bbgm_stat &gt;= perc_90, converted_stat * 2, IF(bbgm_stat &gt;= perc_85, converted_stat * 1.5, converted_stat)))))</f>
        <v/>
      </c>
      <c r="E90" s="30" t="str">
        <f t="array" ref="E90">IF($A90="", "", LET(bbgm_stat, INDEX(Players!$A89:$P89, MATCH(E$2, Players!$A$1:$P$1, 0)), perc_75, VLOOKUP(E$2, Percentiles!$A$45:$I$59, 6, FALSE), perc_90, VLOOKUP(E$2, Percentiles!$A$45:$I$59, 7, FALSE), perc_95, VLOOKUP(E$2, Percentiles!$A$45:$I$59, 8, FALSE), perc_85, perc_75 + (perc_90 - perc_75) * (2/3), converted_stat, '2K_Ratings'!E90, IF(bbgm_stat &gt;= perc_95, converted_stat * 3, IF(bbgm_stat &gt;= perc_90, converted_stat * 2, IF(bbgm_stat &gt;= perc_85, converted_stat * 1.5, converted_stat)))))</f>
        <v/>
      </c>
      <c r="F90" s="30" t="str">
        <f t="array" ref="F90">IF($A90="", "", LET(bbgm_stat, INDEX(Players!$A89:$P89, MATCH(F$2, Players!$A$1:$P$1, 0)), perc_75, VLOOKUP(F$2, Percentiles!$A$45:$I$59, 6, FALSE), perc_90, VLOOKUP(F$2, Percentiles!$A$45:$I$59, 7, FALSE), perc_95, VLOOKUP(F$2, Percentiles!$A$45:$I$59, 8, FALSE), perc_85, perc_75 + (perc_90 - perc_75) * (2/3), converted_stat, '2K_Ratings'!F90, IF(bbgm_stat &gt;= perc_95, converted_stat * 3, IF(bbgm_stat &gt;= perc_90, converted_stat * 2, IF(bbgm_stat &gt;= perc_85, converted_stat * 1.5, converted_stat)))))</f>
        <v/>
      </c>
      <c r="G90" s="30" t="str">
        <f t="array" ref="G90">IF($A90="", "", LET(bbgm_stat, INDEX(Players!$A89:$P89, MATCH(G$2, Players!$A$1:$P$1, 0)), perc_75, VLOOKUP(G$2, Percentiles!$A$45:$I$59, 6, FALSE), perc_90, VLOOKUP(G$2, Percentiles!$A$45:$I$59, 7, FALSE), perc_95, VLOOKUP(G$2, Percentiles!$A$45:$I$59, 8, FALSE), perc_85, perc_75 + (perc_90 - perc_75) * (2/3), converted_stat, '2K_Ratings'!G90, IF(bbgm_stat &gt;= perc_95, converted_stat * 3, IF(bbgm_stat &gt;= perc_90, converted_stat * 2, IF(bbgm_stat &gt;= perc_85, converted_stat * 1.5, converted_stat)))))</f>
        <v/>
      </c>
      <c r="H90" s="30" t="str">
        <f t="array" ref="H90">IF($A90="", "", LET(bbgm_stat, INDEX(Players!$A89:$P89, MATCH(H$2, Players!$A$1:$P$1, 0)), perc_75, VLOOKUP(H$2, Percentiles!$A$45:$I$59, 6, FALSE), perc_90, VLOOKUP(H$2, Percentiles!$A$45:$I$59, 7, FALSE), perc_95, VLOOKUP(H$2, Percentiles!$A$45:$I$59, 8, FALSE), perc_85, perc_75 + (perc_90 - perc_75) * (2/3), converted_stat, '2K_Ratings'!H90, IF(bbgm_stat &gt;= perc_95, converted_stat * 3, IF(bbgm_stat &gt;= perc_90, converted_stat * 2, IF(bbgm_stat &gt;= perc_85, converted_stat * 1.5, converted_stat)))))</f>
        <v/>
      </c>
      <c r="I90" s="30" t="str">
        <f t="array" ref="I90">IF($A90="", "", LET(bbgm_stat, INDEX(Players!$A89:$P89, MATCH(I$2, Players!$A$1:$P$1, 0)), perc_75, VLOOKUP(I$2, Percentiles!$A$45:$I$59, 6, FALSE), perc_90, VLOOKUP(I$2, Percentiles!$A$45:$I$59, 7, FALSE), perc_95, VLOOKUP(I$2, Percentiles!$A$45:$I$59, 8, FALSE), perc_85, perc_75 + (perc_90 - perc_75) * (2/3), converted_stat, '2K_Ratings'!I90, IF(bbgm_stat &gt;= perc_95, converted_stat * 3, IF(bbgm_stat &gt;= perc_90, converted_stat * 2, IF(bbgm_stat &gt;= perc_85, converted_stat * 1.5, converted_stat)))))</f>
        <v/>
      </c>
      <c r="J90" s="30" t="str">
        <f t="array" ref="J90">IF($A90="", "", LET(bbgm_stat, INDEX(Players!$A89:$P89, MATCH(J$2, Players!$A$1:$P$1, 0)), perc_75, VLOOKUP(J$2, Percentiles!$A$45:$I$59, 6, FALSE), perc_90, VLOOKUP(J$2, Percentiles!$A$45:$I$59, 7, FALSE), perc_95, VLOOKUP(J$2, Percentiles!$A$45:$I$59, 8, FALSE), perc_85, perc_75 + (perc_90 - perc_75) * (2/3), converted_stat, '2K_Ratings'!J90, IF(bbgm_stat &gt;= perc_95, converted_stat * 3, IF(bbgm_stat &gt;= perc_90, converted_stat * 2, IF(bbgm_stat &gt;= perc_85, converted_stat * 1.5, converted_stat)))))</f>
        <v/>
      </c>
      <c r="K90" s="30" t="str">
        <f t="array" ref="K90">IF($A90="", "", LET(bbgm_stat, INDEX(Players!$A89:$P89, MATCH(K$2, Players!$A$1:$P$1, 0)), perc_75, VLOOKUP(K$2, Percentiles!$A$45:$I$59, 6, FALSE), perc_90, VLOOKUP(K$2, Percentiles!$A$45:$I$59, 7, FALSE), perc_95, VLOOKUP(K$2, Percentiles!$A$45:$I$59, 8, FALSE), perc_85, perc_75 + (perc_90 - perc_75) * (2/3), converted_stat, '2K_Ratings'!K90, IF(bbgm_stat &gt;= perc_95, converted_stat * 3, IF(bbgm_stat &gt;= perc_90, converted_stat * 2, IF(bbgm_stat &gt;= perc_85, converted_stat * 1.5, converted_stat)))))</f>
        <v/>
      </c>
      <c r="L90" s="30" t="str">
        <f t="array" ref="L90">IF($A90="", "", LET(bbgm_stat, INDEX(Players!$A89:$P89, MATCH(L$2, Players!$A$1:$P$1, 0)), perc_75, VLOOKUP(L$2, Percentiles!$A$45:$I$59, 6, FALSE), perc_90, VLOOKUP(L$2, Percentiles!$A$45:$I$59, 7, FALSE), perc_95, VLOOKUP(L$2, Percentiles!$A$45:$I$59, 8, FALSE), perc_85, perc_75 + (perc_90 - perc_75) * (2/3), converted_stat, '2K_Ratings'!L90, IF(bbgm_stat &gt;= perc_95, converted_stat * 3, IF(bbgm_stat &gt;= perc_90, converted_stat * 2, IF(bbgm_stat &gt;= perc_85, converted_stat * 1.5, converted_stat)))))</f>
        <v/>
      </c>
      <c r="M90" s="30" t="str">
        <f t="array" ref="M90">IF($A90="", "", LET(bbgm_stat, INDEX(Players!$A89:$P89, MATCH(M$2, Players!$A$1:$P$1, 0)), perc_75, VLOOKUP(M$2, Percentiles!$A$45:$I$59, 6, FALSE), perc_90, VLOOKUP(M$2, Percentiles!$A$45:$I$59, 7, FALSE), perc_95, VLOOKUP(M$2, Percentiles!$A$45:$I$59, 8, FALSE), perc_85, perc_75 + (perc_90 - perc_75) * (2/3), converted_stat, '2K_Ratings'!M90, IF(bbgm_stat &gt;= perc_95, converted_stat * 3, IF(bbgm_stat &gt;= perc_90, converted_stat * 2, IF(bbgm_stat &gt;= perc_85, converted_stat * 1.5, converted_stat)))))</f>
        <v/>
      </c>
      <c r="N90" s="30" t="str">
        <f t="array" ref="N90">IF($A90="", "", LET(bbgm_stat, INDEX(Players!$A89:$P89, MATCH(N$2, Players!$A$1:$P$1, 0)), perc_75, VLOOKUP(N$2, Percentiles!$A$45:$I$59, 6, FALSE), perc_90, VLOOKUP(N$2, Percentiles!$A$45:$I$59, 7, FALSE), perc_95, VLOOKUP(N$2, Percentiles!$A$45:$I$59, 8, FALSE), perc_85, perc_75 + (perc_90 - perc_75) * (2/3), converted_stat, '2K_Ratings'!N90, IF(bbgm_stat &gt;= perc_95, converted_stat * 3, IF(bbgm_stat &gt;= perc_90, converted_stat * 2, IF(bbgm_stat &gt;= perc_85, converted_stat * 1.5, converted_stat)))))</f>
        <v/>
      </c>
      <c r="O90" s="30" t="str">
        <f t="array" ref="O90">IF($A90="", "", LET(bbgm_stat, INDEX(Players!$A89:$P89, MATCH(O$2, Players!$A$1:$P$1, 0)), perc_75, VLOOKUP(O$2, Percentiles!$A$45:$I$59, 6, FALSE), perc_90, VLOOKUP(O$2, Percentiles!$A$45:$I$59, 7, FALSE), perc_95, VLOOKUP(O$2, Percentiles!$A$45:$I$59, 8, FALSE), perc_85, perc_75 + (perc_90 - perc_75) * (2/3), converted_stat, '2K_Ratings'!O90, IF(bbgm_stat &gt;= perc_95, converted_stat * 3, IF(bbgm_stat &gt;= perc_90, converted_stat * 2, IF(bbgm_stat &gt;= perc_85, converted_stat * 1.5, converted_stat)))))</f>
        <v/>
      </c>
      <c r="P90" s="30" t="str">
        <f t="array" ref="P90">IF($A90="", "", LET(bbgm_stat, INDEX(Players!$A89:$P89, MATCH(P$2, Players!$A$1:$P$1, 0)), perc_75, VLOOKUP(P$2, Percentiles!$A$45:$I$59, 6, FALSE), perc_90, VLOOKUP(P$2, Percentiles!$A$45:$I$59, 7, FALSE), perc_95, VLOOKUP(P$2, Percentiles!$A$45:$I$59, 8, FALSE), perc_85, perc_75 + (perc_90 - perc_75) * (2/3), converted_stat, '2K_Ratings'!P90, IF(bbgm_stat &gt;= perc_95, converted_stat * 3, IF(bbgm_stat &gt;= perc_90, converted_stat * 2, IF(bbgm_stat &gt;= perc_85, converted_stat * 1.5, converted_stat)))))</f>
        <v/>
      </c>
      <c r="Q90" s="30" t="str">
        <f t="array" ref="Q90">IF($A90="", "", LET(bbgm_stat, INDEX(Players!$A89:$P89, MATCH(Q$2, Players!$A$1:$P$1, 0)), perc_75, VLOOKUP(Q$2, Percentiles!$A$45:$I$59, 6, FALSE), perc_90, VLOOKUP(Q$2, Percentiles!$A$45:$I$59, 7, FALSE), perc_95, VLOOKUP(Q$2, Percentiles!$A$45:$I$59, 8, FALSE), perc_85, perc_75 + (perc_90 - perc_75) * (2/3), converted_stat, '2K_Ratings'!Q90, IF(bbgm_stat &gt;= perc_95, converted_stat * 3, IF(bbgm_stat &gt;= perc_90, converted_stat * 2, IF(bbgm_stat &gt;= perc_85, converted_stat * 1.5, converted_stat)))))</f>
        <v/>
      </c>
      <c r="R90" s="30" t="str">
        <f t="array" ref="R90">IF($A90="", "", LET(bbgm_stat, INDEX(Players!$A89:$P89, MATCH(R$2, Players!$A$1:$P$1, 0)), perc_75, VLOOKUP(R$2, Percentiles!$A$45:$I$59, 6, FALSE), perc_90, VLOOKUP(R$2, Percentiles!$A$45:$I$59, 7, FALSE), perc_95, VLOOKUP(R$2, Percentiles!$A$45:$I$59, 8, FALSE), perc_85, perc_75 + (perc_90 - perc_75) * (2/3), converted_stat, '2K_Ratings'!R90, IF(bbgm_stat &gt;= perc_95, converted_stat * 3, IF(bbgm_stat &gt;= perc_90, converted_stat * 2, IF(bbgm_stat &gt;= perc_85, converted_stat * 1.5, converted_stat)))))</f>
        <v/>
      </c>
      <c r="S90" s="30" t="str">
        <f t="array" ref="S90">IF($A90="", "", LET(bbgm_stat, INDEX(Players!$A89:$P89, MATCH(S$2, Players!$A$1:$P$1, 0)), perc_75, VLOOKUP(S$2, Percentiles!$A$45:$I$59, 6, FALSE), perc_90, VLOOKUP(S$2, Percentiles!$A$45:$I$59, 7, FALSE), perc_95, VLOOKUP(S$2, Percentiles!$A$45:$I$59, 8, FALSE), perc_85, perc_75 + (perc_90 - perc_75) * (2/3), converted_stat, '2K_Ratings'!S90, IF(bbgm_stat &gt;= perc_95, converted_stat * 3, IF(bbgm_stat &gt;= perc_90, converted_stat * 2, IF(bbgm_stat &gt;= perc_85, converted_stat * 1.5, converted_stat)))))</f>
        <v/>
      </c>
      <c r="T90" s="30" t="str">
        <f t="array" ref="T90">IF($A90="", "", LET(bbgm_stat, INDEX(Players!$A89:$P89, MATCH(T$2, Players!$A$1:$P$1, 0)), perc_75, VLOOKUP(T$2, Percentiles!$A$45:$I$59, 6, FALSE), perc_90, VLOOKUP(T$2, Percentiles!$A$45:$I$59, 7, FALSE), perc_95, VLOOKUP(T$2, Percentiles!$A$45:$I$59, 8, FALSE), perc_85, perc_75 + (perc_90 - perc_75) * (2/3), converted_stat, '2K_Ratings'!T90, IF(bbgm_stat &gt;= perc_95, converted_stat * 3, IF(bbgm_stat &gt;= perc_90, converted_stat * 2, IF(bbgm_stat &gt;= perc_85, converted_stat * 1.5, converted_stat)))))</f>
        <v/>
      </c>
      <c r="U90" s="30" t="str">
        <f t="array" ref="U90">IF($A90="", "", LET(bbgm_stat, INDEX(Players!$A89:$P89, MATCH(U$2, Players!$A$1:$P$1, 0)), perc_75, VLOOKUP(U$2, Percentiles!$A$45:$I$59, 6, FALSE), perc_90, VLOOKUP(U$2, Percentiles!$A$45:$I$59, 7, FALSE), perc_95, VLOOKUP(U$2, Percentiles!$A$45:$I$59, 8, FALSE), perc_85, perc_75 + (perc_90 - perc_75) * (2/3), converted_stat, '2K_Ratings'!U90, IF(bbgm_stat &gt;= perc_95, converted_stat * 3, IF(bbgm_stat &gt;= perc_90, converted_stat * 2, IF(bbgm_stat &gt;= perc_85, converted_stat * 1.5, converted_stat)))))</f>
        <v/>
      </c>
      <c r="V90" s="30" t="str">
        <f t="array" ref="V90">IF($A90="", "", LET(bbgm_stat, INDEX(Players!$A89:$P89, MATCH(V$2, Players!$A$1:$P$1, 0)), perc_75, VLOOKUP(V$2, Percentiles!$A$45:$I$59, 6, FALSE), perc_90, VLOOKUP(V$2, Percentiles!$A$45:$I$59, 7, FALSE), perc_95, VLOOKUP(V$2, Percentiles!$A$45:$I$59, 8, FALSE), perc_85, perc_75 + (perc_90 - perc_75) * (2/3), converted_stat, '2K_Ratings'!V90, IF(bbgm_stat &gt;= perc_95, converted_stat * 3, IF(bbgm_stat &gt;= perc_90, converted_stat * 2, IF(bbgm_stat &gt;= perc_85, converted_stat * 1.5, converted_stat)))))</f>
        <v/>
      </c>
      <c r="W90" s="30" t="str">
        <f t="array" ref="W90">IF($A90="", "", LET(bbgm_stat, INDEX(Players!$A89:$P89, MATCH(W$2, Players!$A$1:$P$1, 0)), perc_75, VLOOKUP(W$2, Percentiles!$A$45:$I$59, 6, FALSE), perc_90, VLOOKUP(W$2, Percentiles!$A$45:$I$59, 7, FALSE), perc_95, VLOOKUP(W$2, Percentiles!$A$45:$I$59, 8, FALSE), perc_85, perc_75 + (perc_90 - perc_75) * (2/3), converted_stat, '2K_Ratings'!W90, IF(bbgm_stat &gt;= perc_95, converted_stat * 3, IF(bbgm_stat &gt;= perc_90, converted_stat * 2, IF(bbgm_stat &gt;= perc_85, converted_stat * 1.5, converted_stat)))))</f>
        <v/>
      </c>
    </row>
    <row r="91">
      <c r="A91" s="30" t="str">
        <f>IF(Players!A90="", "", Players!A90)</f>
        <v/>
      </c>
      <c r="B91" s="30" t="str">
        <f t="array" ref="B91">IF($A91="", "", LET(bbgm_stat, INDEX(Players!$A90:$P90, MATCH(B$2, Players!$A$1:$P$1, 0)), perc_75, VLOOKUP(B$2, Percentiles!$A$45:$I$59, 6, FALSE), perc_90, VLOOKUP(B$2, Percentiles!$A$45:$I$59, 7, FALSE), perc_95, VLOOKUP(B$2, Percentiles!$A$45:$I$59, 8, FALSE), perc_85, perc_75 + (perc_90 - perc_75) * (2/3), converted_stat, '2K_Ratings'!B91, IF(bbgm_stat &gt;= perc_95, converted_stat * 3, IF(bbgm_stat &gt;= perc_90, converted_stat * 2, IF(bbgm_stat &gt;= perc_85, converted_stat * 1.5, converted_stat)))))</f>
        <v/>
      </c>
      <c r="C91" s="30" t="str">
        <f t="array" ref="C91">IF($A91="", "", LET(bbgm_stat, INDEX(Players!$A90:$P90, MATCH(C$2, Players!$A$1:$P$1, 0)), perc_75, VLOOKUP(C$2, Percentiles!$A$45:$I$59, 6, FALSE), perc_90, VLOOKUP(C$2, Percentiles!$A$45:$I$59, 7, FALSE), perc_95, VLOOKUP(C$2, Percentiles!$A$45:$I$59, 8, FALSE), perc_85, perc_75 + (perc_90 - perc_75) * (2/3), converted_stat, '2K_Ratings'!C91, IF(bbgm_stat &gt;= perc_95, converted_stat * 3, IF(bbgm_stat &gt;= perc_90, converted_stat * 2, IF(bbgm_stat &gt;= perc_85, converted_stat * 1.5, converted_stat)))))</f>
        <v/>
      </c>
      <c r="D91" s="30" t="str">
        <f t="array" ref="D91">IF($A91="", "", LET(bbgm_stat, INDEX(Players!$A90:$P90, MATCH(D$2, Players!$A$1:$P$1, 0)), perc_75, VLOOKUP(D$2, Percentiles!$A$45:$I$59, 6, FALSE), perc_90, VLOOKUP(D$2, Percentiles!$A$45:$I$59, 7, FALSE), perc_95, VLOOKUP(D$2, Percentiles!$A$45:$I$59, 8, FALSE), perc_85, perc_75 + (perc_90 - perc_75) * (2/3), converted_stat, '2K_Ratings'!D91, IF(bbgm_stat &gt;= perc_95, converted_stat * 3, IF(bbgm_stat &gt;= perc_90, converted_stat * 2, IF(bbgm_stat &gt;= perc_85, converted_stat * 1.5, converted_stat)))))</f>
        <v/>
      </c>
      <c r="E91" s="30" t="str">
        <f t="array" ref="E91">IF($A91="", "", LET(bbgm_stat, INDEX(Players!$A90:$P90, MATCH(E$2, Players!$A$1:$P$1, 0)), perc_75, VLOOKUP(E$2, Percentiles!$A$45:$I$59, 6, FALSE), perc_90, VLOOKUP(E$2, Percentiles!$A$45:$I$59, 7, FALSE), perc_95, VLOOKUP(E$2, Percentiles!$A$45:$I$59, 8, FALSE), perc_85, perc_75 + (perc_90 - perc_75) * (2/3), converted_stat, '2K_Ratings'!E91, IF(bbgm_stat &gt;= perc_95, converted_stat * 3, IF(bbgm_stat &gt;= perc_90, converted_stat * 2, IF(bbgm_stat &gt;= perc_85, converted_stat * 1.5, converted_stat)))))</f>
        <v/>
      </c>
      <c r="F91" s="30" t="str">
        <f t="array" ref="F91">IF($A91="", "", LET(bbgm_stat, INDEX(Players!$A90:$P90, MATCH(F$2, Players!$A$1:$P$1, 0)), perc_75, VLOOKUP(F$2, Percentiles!$A$45:$I$59, 6, FALSE), perc_90, VLOOKUP(F$2, Percentiles!$A$45:$I$59, 7, FALSE), perc_95, VLOOKUP(F$2, Percentiles!$A$45:$I$59, 8, FALSE), perc_85, perc_75 + (perc_90 - perc_75) * (2/3), converted_stat, '2K_Ratings'!F91, IF(bbgm_stat &gt;= perc_95, converted_stat * 3, IF(bbgm_stat &gt;= perc_90, converted_stat * 2, IF(bbgm_stat &gt;= perc_85, converted_stat * 1.5, converted_stat)))))</f>
        <v/>
      </c>
      <c r="G91" s="30" t="str">
        <f t="array" ref="G91">IF($A91="", "", LET(bbgm_stat, INDEX(Players!$A90:$P90, MATCH(G$2, Players!$A$1:$P$1, 0)), perc_75, VLOOKUP(G$2, Percentiles!$A$45:$I$59, 6, FALSE), perc_90, VLOOKUP(G$2, Percentiles!$A$45:$I$59, 7, FALSE), perc_95, VLOOKUP(G$2, Percentiles!$A$45:$I$59, 8, FALSE), perc_85, perc_75 + (perc_90 - perc_75) * (2/3), converted_stat, '2K_Ratings'!G91, IF(bbgm_stat &gt;= perc_95, converted_stat * 3, IF(bbgm_stat &gt;= perc_90, converted_stat * 2, IF(bbgm_stat &gt;= perc_85, converted_stat * 1.5, converted_stat)))))</f>
        <v/>
      </c>
      <c r="H91" s="30" t="str">
        <f t="array" ref="H91">IF($A91="", "", LET(bbgm_stat, INDEX(Players!$A90:$P90, MATCH(H$2, Players!$A$1:$P$1, 0)), perc_75, VLOOKUP(H$2, Percentiles!$A$45:$I$59, 6, FALSE), perc_90, VLOOKUP(H$2, Percentiles!$A$45:$I$59, 7, FALSE), perc_95, VLOOKUP(H$2, Percentiles!$A$45:$I$59, 8, FALSE), perc_85, perc_75 + (perc_90 - perc_75) * (2/3), converted_stat, '2K_Ratings'!H91, IF(bbgm_stat &gt;= perc_95, converted_stat * 3, IF(bbgm_stat &gt;= perc_90, converted_stat * 2, IF(bbgm_stat &gt;= perc_85, converted_stat * 1.5, converted_stat)))))</f>
        <v/>
      </c>
      <c r="I91" s="30" t="str">
        <f t="array" ref="I91">IF($A91="", "", LET(bbgm_stat, INDEX(Players!$A90:$P90, MATCH(I$2, Players!$A$1:$P$1, 0)), perc_75, VLOOKUP(I$2, Percentiles!$A$45:$I$59, 6, FALSE), perc_90, VLOOKUP(I$2, Percentiles!$A$45:$I$59, 7, FALSE), perc_95, VLOOKUP(I$2, Percentiles!$A$45:$I$59, 8, FALSE), perc_85, perc_75 + (perc_90 - perc_75) * (2/3), converted_stat, '2K_Ratings'!I91, IF(bbgm_stat &gt;= perc_95, converted_stat * 3, IF(bbgm_stat &gt;= perc_90, converted_stat * 2, IF(bbgm_stat &gt;= perc_85, converted_stat * 1.5, converted_stat)))))</f>
        <v/>
      </c>
      <c r="J91" s="30" t="str">
        <f t="array" ref="J91">IF($A91="", "", LET(bbgm_stat, INDEX(Players!$A90:$P90, MATCH(J$2, Players!$A$1:$P$1, 0)), perc_75, VLOOKUP(J$2, Percentiles!$A$45:$I$59, 6, FALSE), perc_90, VLOOKUP(J$2, Percentiles!$A$45:$I$59, 7, FALSE), perc_95, VLOOKUP(J$2, Percentiles!$A$45:$I$59, 8, FALSE), perc_85, perc_75 + (perc_90 - perc_75) * (2/3), converted_stat, '2K_Ratings'!J91, IF(bbgm_stat &gt;= perc_95, converted_stat * 3, IF(bbgm_stat &gt;= perc_90, converted_stat * 2, IF(bbgm_stat &gt;= perc_85, converted_stat * 1.5, converted_stat)))))</f>
        <v/>
      </c>
      <c r="K91" s="30" t="str">
        <f t="array" ref="K91">IF($A91="", "", LET(bbgm_stat, INDEX(Players!$A90:$P90, MATCH(K$2, Players!$A$1:$P$1, 0)), perc_75, VLOOKUP(K$2, Percentiles!$A$45:$I$59, 6, FALSE), perc_90, VLOOKUP(K$2, Percentiles!$A$45:$I$59, 7, FALSE), perc_95, VLOOKUP(K$2, Percentiles!$A$45:$I$59, 8, FALSE), perc_85, perc_75 + (perc_90 - perc_75) * (2/3), converted_stat, '2K_Ratings'!K91, IF(bbgm_stat &gt;= perc_95, converted_stat * 3, IF(bbgm_stat &gt;= perc_90, converted_stat * 2, IF(bbgm_stat &gt;= perc_85, converted_stat * 1.5, converted_stat)))))</f>
        <v/>
      </c>
      <c r="L91" s="30" t="str">
        <f t="array" ref="L91">IF($A91="", "", LET(bbgm_stat, INDEX(Players!$A90:$P90, MATCH(L$2, Players!$A$1:$P$1, 0)), perc_75, VLOOKUP(L$2, Percentiles!$A$45:$I$59, 6, FALSE), perc_90, VLOOKUP(L$2, Percentiles!$A$45:$I$59, 7, FALSE), perc_95, VLOOKUP(L$2, Percentiles!$A$45:$I$59, 8, FALSE), perc_85, perc_75 + (perc_90 - perc_75) * (2/3), converted_stat, '2K_Ratings'!L91, IF(bbgm_stat &gt;= perc_95, converted_stat * 3, IF(bbgm_stat &gt;= perc_90, converted_stat * 2, IF(bbgm_stat &gt;= perc_85, converted_stat * 1.5, converted_stat)))))</f>
        <v/>
      </c>
      <c r="M91" s="30" t="str">
        <f t="array" ref="M91">IF($A91="", "", LET(bbgm_stat, INDEX(Players!$A90:$P90, MATCH(M$2, Players!$A$1:$P$1, 0)), perc_75, VLOOKUP(M$2, Percentiles!$A$45:$I$59, 6, FALSE), perc_90, VLOOKUP(M$2, Percentiles!$A$45:$I$59, 7, FALSE), perc_95, VLOOKUP(M$2, Percentiles!$A$45:$I$59, 8, FALSE), perc_85, perc_75 + (perc_90 - perc_75) * (2/3), converted_stat, '2K_Ratings'!M91, IF(bbgm_stat &gt;= perc_95, converted_stat * 3, IF(bbgm_stat &gt;= perc_90, converted_stat * 2, IF(bbgm_stat &gt;= perc_85, converted_stat * 1.5, converted_stat)))))</f>
        <v/>
      </c>
      <c r="N91" s="30" t="str">
        <f t="array" ref="N91">IF($A91="", "", LET(bbgm_stat, INDEX(Players!$A90:$P90, MATCH(N$2, Players!$A$1:$P$1, 0)), perc_75, VLOOKUP(N$2, Percentiles!$A$45:$I$59, 6, FALSE), perc_90, VLOOKUP(N$2, Percentiles!$A$45:$I$59, 7, FALSE), perc_95, VLOOKUP(N$2, Percentiles!$A$45:$I$59, 8, FALSE), perc_85, perc_75 + (perc_90 - perc_75) * (2/3), converted_stat, '2K_Ratings'!N91, IF(bbgm_stat &gt;= perc_95, converted_stat * 3, IF(bbgm_stat &gt;= perc_90, converted_stat * 2, IF(bbgm_stat &gt;= perc_85, converted_stat * 1.5, converted_stat)))))</f>
        <v/>
      </c>
      <c r="O91" s="30" t="str">
        <f t="array" ref="O91">IF($A91="", "", LET(bbgm_stat, INDEX(Players!$A90:$P90, MATCH(O$2, Players!$A$1:$P$1, 0)), perc_75, VLOOKUP(O$2, Percentiles!$A$45:$I$59, 6, FALSE), perc_90, VLOOKUP(O$2, Percentiles!$A$45:$I$59, 7, FALSE), perc_95, VLOOKUP(O$2, Percentiles!$A$45:$I$59, 8, FALSE), perc_85, perc_75 + (perc_90 - perc_75) * (2/3), converted_stat, '2K_Ratings'!O91, IF(bbgm_stat &gt;= perc_95, converted_stat * 3, IF(bbgm_stat &gt;= perc_90, converted_stat * 2, IF(bbgm_stat &gt;= perc_85, converted_stat * 1.5, converted_stat)))))</f>
        <v/>
      </c>
      <c r="P91" s="30" t="str">
        <f t="array" ref="P91">IF($A91="", "", LET(bbgm_stat, INDEX(Players!$A90:$P90, MATCH(P$2, Players!$A$1:$P$1, 0)), perc_75, VLOOKUP(P$2, Percentiles!$A$45:$I$59, 6, FALSE), perc_90, VLOOKUP(P$2, Percentiles!$A$45:$I$59, 7, FALSE), perc_95, VLOOKUP(P$2, Percentiles!$A$45:$I$59, 8, FALSE), perc_85, perc_75 + (perc_90 - perc_75) * (2/3), converted_stat, '2K_Ratings'!P91, IF(bbgm_stat &gt;= perc_95, converted_stat * 3, IF(bbgm_stat &gt;= perc_90, converted_stat * 2, IF(bbgm_stat &gt;= perc_85, converted_stat * 1.5, converted_stat)))))</f>
        <v/>
      </c>
      <c r="Q91" s="30" t="str">
        <f t="array" ref="Q91">IF($A91="", "", LET(bbgm_stat, INDEX(Players!$A90:$P90, MATCH(Q$2, Players!$A$1:$P$1, 0)), perc_75, VLOOKUP(Q$2, Percentiles!$A$45:$I$59, 6, FALSE), perc_90, VLOOKUP(Q$2, Percentiles!$A$45:$I$59, 7, FALSE), perc_95, VLOOKUP(Q$2, Percentiles!$A$45:$I$59, 8, FALSE), perc_85, perc_75 + (perc_90 - perc_75) * (2/3), converted_stat, '2K_Ratings'!Q91, IF(bbgm_stat &gt;= perc_95, converted_stat * 3, IF(bbgm_stat &gt;= perc_90, converted_stat * 2, IF(bbgm_stat &gt;= perc_85, converted_stat * 1.5, converted_stat)))))</f>
        <v/>
      </c>
      <c r="R91" s="30" t="str">
        <f t="array" ref="R91">IF($A91="", "", LET(bbgm_stat, INDEX(Players!$A90:$P90, MATCH(R$2, Players!$A$1:$P$1, 0)), perc_75, VLOOKUP(R$2, Percentiles!$A$45:$I$59, 6, FALSE), perc_90, VLOOKUP(R$2, Percentiles!$A$45:$I$59, 7, FALSE), perc_95, VLOOKUP(R$2, Percentiles!$A$45:$I$59, 8, FALSE), perc_85, perc_75 + (perc_90 - perc_75) * (2/3), converted_stat, '2K_Ratings'!R91, IF(bbgm_stat &gt;= perc_95, converted_stat * 3, IF(bbgm_stat &gt;= perc_90, converted_stat * 2, IF(bbgm_stat &gt;= perc_85, converted_stat * 1.5, converted_stat)))))</f>
        <v/>
      </c>
      <c r="S91" s="30" t="str">
        <f t="array" ref="S91">IF($A91="", "", LET(bbgm_stat, INDEX(Players!$A90:$P90, MATCH(S$2, Players!$A$1:$P$1, 0)), perc_75, VLOOKUP(S$2, Percentiles!$A$45:$I$59, 6, FALSE), perc_90, VLOOKUP(S$2, Percentiles!$A$45:$I$59, 7, FALSE), perc_95, VLOOKUP(S$2, Percentiles!$A$45:$I$59, 8, FALSE), perc_85, perc_75 + (perc_90 - perc_75) * (2/3), converted_stat, '2K_Ratings'!S91, IF(bbgm_stat &gt;= perc_95, converted_stat * 3, IF(bbgm_stat &gt;= perc_90, converted_stat * 2, IF(bbgm_stat &gt;= perc_85, converted_stat * 1.5, converted_stat)))))</f>
        <v/>
      </c>
      <c r="T91" s="30" t="str">
        <f t="array" ref="T91">IF($A91="", "", LET(bbgm_stat, INDEX(Players!$A90:$P90, MATCH(T$2, Players!$A$1:$P$1, 0)), perc_75, VLOOKUP(T$2, Percentiles!$A$45:$I$59, 6, FALSE), perc_90, VLOOKUP(T$2, Percentiles!$A$45:$I$59, 7, FALSE), perc_95, VLOOKUP(T$2, Percentiles!$A$45:$I$59, 8, FALSE), perc_85, perc_75 + (perc_90 - perc_75) * (2/3), converted_stat, '2K_Ratings'!T91, IF(bbgm_stat &gt;= perc_95, converted_stat * 3, IF(bbgm_stat &gt;= perc_90, converted_stat * 2, IF(bbgm_stat &gt;= perc_85, converted_stat * 1.5, converted_stat)))))</f>
        <v/>
      </c>
      <c r="U91" s="30" t="str">
        <f t="array" ref="U91">IF($A91="", "", LET(bbgm_stat, INDEX(Players!$A90:$P90, MATCH(U$2, Players!$A$1:$P$1, 0)), perc_75, VLOOKUP(U$2, Percentiles!$A$45:$I$59, 6, FALSE), perc_90, VLOOKUP(U$2, Percentiles!$A$45:$I$59, 7, FALSE), perc_95, VLOOKUP(U$2, Percentiles!$A$45:$I$59, 8, FALSE), perc_85, perc_75 + (perc_90 - perc_75) * (2/3), converted_stat, '2K_Ratings'!U91, IF(bbgm_stat &gt;= perc_95, converted_stat * 3, IF(bbgm_stat &gt;= perc_90, converted_stat * 2, IF(bbgm_stat &gt;= perc_85, converted_stat * 1.5, converted_stat)))))</f>
        <v/>
      </c>
      <c r="V91" s="30" t="str">
        <f t="array" ref="V91">IF($A91="", "", LET(bbgm_stat, INDEX(Players!$A90:$P90, MATCH(V$2, Players!$A$1:$P$1, 0)), perc_75, VLOOKUP(V$2, Percentiles!$A$45:$I$59, 6, FALSE), perc_90, VLOOKUP(V$2, Percentiles!$A$45:$I$59, 7, FALSE), perc_95, VLOOKUP(V$2, Percentiles!$A$45:$I$59, 8, FALSE), perc_85, perc_75 + (perc_90 - perc_75) * (2/3), converted_stat, '2K_Ratings'!V91, IF(bbgm_stat &gt;= perc_95, converted_stat * 3, IF(bbgm_stat &gt;= perc_90, converted_stat * 2, IF(bbgm_stat &gt;= perc_85, converted_stat * 1.5, converted_stat)))))</f>
        <v/>
      </c>
      <c r="W91" s="30" t="str">
        <f t="array" ref="W91">IF($A91="", "", LET(bbgm_stat, INDEX(Players!$A90:$P90, MATCH(W$2, Players!$A$1:$P$1, 0)), perc_75, VLOOKUP(W$2, Percentiles!$A$45:$I$59, 6, FALSE), perc_90, VLOOKUP(W$2, Percentiles!$A$45:$I$59, 7, FALSE), perc_95, VLOOKUP(W$2, Percentiles!$A$45:$I$59, 8, FALSE), perc_85, perc_75 + (perc_90 - perc_75) * (2/3), converted_stat, '2K_Ratings'!W91, IF(bbgm_stat &gt;= perc_95, converted_stat * 3, IF(bbgm_stat &gt;= perc_90, converted_stat * 2, IF(bbgm_stat &gt;= perc_85, converted_stat * 1.5, converted_stat)))))</f>
        <v/>
      </c>
    </row>
    <row r="92">
      <c r="A92" s="30" t="str">
        <f>IF(Players!A91="", "", Players!A91)</f>
        <v/>
      </c>
      <c r="B92" s="30" t="str">
        <f t="array" ref="B92">IF($A92="", "", LET(bbgm_stat, INDEX(Players!$A91:$P91, MATCH(B$2, Players!$A$1:$P$1, 0)), perc_75, VLOOKUP(B$2, Percentiles!$A$45:$I$59, 6, FALSE), perc_90, VLOOKUP(B$2, Percentiles!$A$45:$I$59, 7, FALSE), perc_95, VLOOKUP(B$2, Percentiles!$A$45:$I$59, 8, FALSE), perc_85, perc_75 + (perc_90 - perc_75) * (2/3), converted_stat, '2K_Ratings'!B92, IF(bbgm_stat &gt;= perc_95, converted_stat * 3, IF(bbgm_stat &gt;= perc_90, converted_stat * 2, IF(bbgm_stat &gt;= perc_85, converted_stat * 1.5, converted_stat)))))</f>
        <v/>
      </c>
      <c r="C92" s="30" t="str">
        <f t="array" ref="C92">IF($A92="", "", LET(bbgm_stat, INDEX(Players!$A91:$P91, MATCH(C$2, Players!$A$1:$P$1, 0)), perc_75, VLOOKUP(C$2, Percentiles!$A$45:$I$59, 6, FALSE), perc_90, VLOOKUP(C$2, Percentiles!$A$45:$I$59, 7, FALSE), perc_95, VLOOKUP(C$2, Percentiles!$A$45:$I$59, 8, FALSE), perc_85, perc_75 + (perc_90 - perc_75) * (2/3), converted_stat, '2K_Ratings'!C92, IF(bbgm_stat &gt;= perc_95, converted_stat * 3, IF(bbgm_stat &gt;= perc_90, converted_stat * 2, IF(bbgm_stat &gt;= perc_85, converted_stat * 1.5, converted_stat)))))</f>
        <v/>
      </c>
      <c r="D92" s="30" t="str">
        <f t="array" ref="D92">IF($A92="", "", LET(bbgm_stat, INDEX(Players!$A91:$P91, MATCH(D$2, Players!$A$1:$P$1, 0)), perc_75, VLOOKUP(D$2, Percentiles!$A$45:$I$59, 6, FALSE), perc_90, VLOOKUP(D$2, Percentiles!$A$45:$I$59, 7, FALSE), perc_95, VLOOKUP(D$2, Percentiles!$A$45:$I$59, 8, FALSE), perc_85, perc_75 + (perc_90 - perc_75) * (2/3), converted_stat, '2K_Ratings'!D92, IF(bbgm_stat &gt;= perc_95, converted_stat * 3, IF(bbgm_stat &gt;= perc_90, converted_stat * 2, IF(bbgm_stat &gt;= perc_85, converted_stat * 1.5, converted_stat)))))</f>
        <v/>
      </c>
      <c r="E92" s="30" t="str">
        <f t="array" ref="E92">IF($A92="", "", LET(bbgm_stat, INDEX(Players!$A91:$P91, MATCH(E$2, Players!$A$1:$P$1, 0)), perc_75, VLOOKUP(E$2, Percentiles!$A$45:$I$59, 6, FALSE), perc_90, VLOOKUP(E$2, Percentiles!$A$45:$I$59, 7, FALSE), perc_95, VLOOKUP(E$2, Percentiles!$A$45:$I$59, 8, FALSE), perc_85, perc_75 + (perc_90 - perc_75) * (2/3), converted_stat, '2K_Ratings'!E92, IF(bbgm_stat &gt;= perc_95, converted_stat * 3, IF(bbgm_stat &gt;= perc_90, converted_stat * 2, IF(bbgm_stat &gt;= perc_85, converted_stat * 1.5, converted_stat)))))</f>
        <v/>
      </c>
      <c r="F92" s="30" t="str">
        <f t="array" ref="F92">IF($A92="", "", LET(bbgm_stat, INDEX(Players!$A91:$P91, MATCH(F$2, Players!$A$1:$P$1, 0)), perc_75, VLOOKUP(F$2, Percentiles!$A$45:$I$59, 6, FALSE), perc_90, VLOOKUP(F$2, Percentiles!$A$45:$I$59, 7, FALSE), perc_95, VLOOKUP(F$2, Percentiles!$A$45:$I$59, 8, FALSE), perc_85, perc_75 + (perc_90 - perc_75) * (2/3), converted_stat, '2K_Ratings'!F92, IF(bbgm_stat &gt;= perc_95, converted_stat * 3, IF(bbgm_stat &gt;= perc_90, converted_stat * 2, IF(bbgm_stat &gt;= perc_85, converted_stat * 1.5, converted_stat)))))</f>
        <v/>
      </c>
      <c r="G92" s="30" t="str">
        <f t="array" ref="G92">IF($A92="", "", LET(bbgm_stat, INDEX(Players!$A91:$P91, MATCH(G$2, Players!$A$1:$P$1, 0)), perc_75, VLOOKUP(G$2, Percentiles!$A$45:$I$59, 6, FALSE), perc_90, VLOOKUP(G$2, Percentiles!$A$45:$I$59, 7, FALSE), perc_95, VLOOKUP(G$2, Percentiles!$A$45:$I$59, 8, FALSE), perc_85, perc_75 + (perc_90 - perc_75) * (2/3), converted_stat, '2K_Ratings'!G92, IF(bbgm_stat &gt;= perc_95, converted_stat * 3, IF(bbgm_stat &gt;= perc_90, converted_stat * 2, IF(bbgm_stat &gt;= perc_85, converted_stat * 1.5, converted_stat)))))</f>
        <v/>
      </c>
      <c r="H92" s="30" t="str">
        <f t="array" ref="H92">IF($A92="", "", LET(bbgm_stat, INDEX(Players!$A91:$P91, MATCH(H$2, Players!$A$1:$P$1, 0)), perc_75, VLOOKUP(H$2, Percentiles!$A$45:$I$59, 6, FALSE), perc_90, VLOOKUP(H$2, Percentiles!$A$45:$I$59, 7, FALSE), perc_95, VLOOKUP(H$2, Percentiles!$A$45:$I$59, 8, FALSE), perc_85, perc_75 + (perc_90 - perc_75) * (2/3), converted_stat, '2K_Ratings'!H92, IF(bbgm_stat &gt;= perc_95, converted_stat * 3, IF(bbgm_stat &gt;= perc_90, converted_stat * 2, IF(bbgm_stat &gt;= perc_85, converted_stat * 1.5, converted_stat)))))</f>
        <v/>
      </c>
      <c r="I92" s="30" t="str">
        <f t="array" ref="I92">IF($A92="", "", LET(bbgm_stat, INDEX(Players!$A91:$P91, MATCH(I$2, Players!$A$1:$P$1, 0)), perc_75, VLOOKUP(I$2, Percentiles!$A$45:$I$59, 6, FALSE), perc_90, VLOOKUP(I$2, Percentiles!$A$45:$I$59, 7, FALSE), perc_95, VLOOKUP(I$2, Percentiles!$A$45:$I$59, 8, FALSE), perc_85, perc_75 + (perc_90 - perc_75) * (2/3), converted_stat, '2K_Ratings'!I92, IF(bbgm_stat &gt;= perc_95, converted_stat * 3, IF(bbgm_stat &gt;= perc_90, converted_stat * 2, IF(bbgm_stat &gt;= perc_85, converted_stat * 1.5, converted_stat)))))</f>
        <v/>
      </c>
      <c r="J92" s="30" t="str">
        <f t="array" ref="J92">IF($A92="", "", LET(bbgm_stat, INDEX(Players!$A91:$P91, MATCH(J$2, Players!$A$1:$P$1, 0)), perc_75, VLOOKUP(J$2, Percentiles!$A$45:$I$59, 6, FALSE), perc_90, VLOOKUP(J$2, Percentiles!$A$45:$I$59, 7, FALSE), perc_95, VLOOKUP(J$2, Percentiles!$A$45:$I$59, 8, FALSE), perc_85, perc_75 + (perc_90 - perc_75) * (2/3), converted_stat, '2K_Ratings'!J92, IF(bbgm_stat &gt;= perc_95, converted_stat * 3, IF(bbgm_stat &gt;= perc_90, converted_stat * 2, IF(bbgm_stat &gt;= perc_85, converted_stat * 1.5, converted_stat)))))</f>
        <v/>
      </c>
      <c r="K92" s="30" t="str">
        <f t="array" ref="K92">IF($A92="", "", LET(bbgm_stat, INDEX(Players!$A91:$P91, MATCH(K$2, Players!$A$1:$P$1, 0)), perc_75, VLOOKUP(K$2, Percentiles!$A$45:$I$59, 6, FALSE), perc_90, VLOOKUP(K$2, Percentiles!$A$45:$I$59, 7, FALSE), perc_95, VLOOKUP(K$2, Percentiles!$A$45:$I$59, 8, FALSE), perc_85, perc_75 + (perc_90 - perc_75) * (2/3), converted_stat, '2K_Ratings'!K92, IF(bbgm_stat &gt;= perc_95, converted_stat * 3, IF(bbgm_stat &gt;= perc_90, converted_stat * 2, IF(bbgm_stat &gt;= perc_85, converted_stat * 1.5, converted_stat)))))</f>
        <v/>
      </c>
      <c r="L92" s="30" t="str">
        <f t="array" ref="L92">IF($A92="", "", LET(bbgm_stat, INDEX(Players!$A91:$P91, MATCH(L$2, Players!$A$1:$P$1, 0)), perc_75, VLOOKUP(L$2, Percentiles!$A$45:$I$59, 6, FALSE), perc_90, VLOOKUP(L$2, Percentiles!$A$45:$I$59, 7, FALSE), perc_95, VLOOKUP(L$2, Percentiles!$A$45:$I$59, 8, FALSE), perc_85, perc_75 + (perc_90 - perc_75) * (2/3), converted_stat, '2K_Ratings'!L92, IF(bbgm_stat &gt;= perc_95, converted_stat * 3, IF(bbgm_stat &gt;= perc_90, converted_stat * 2, IF(bbgm_stat &gt;= perc_85, converted_stat * 1.5, converted_stat)))))</f>
        <v/>
      </c>
      <c r="M92" s="30" t="str">
        <f t="array" ref="M92">IF($A92="", "", LET(bbgm_stat, INDEX(Players!$A91:$P91, MATCH(M$2, Players!$A$1:$P$1, 0)), perc_75, VLOOKUP(M$2, Percentiles!$A$45:$I$59, 6, FALSE), perc_90, VLOOKUP(M$2, Percentiles!$A$45:$I$59, 7, FALSE), perc_95, VLOOKUP(M$2, Percentiles!$A$45:$I$59, 8, FALSE), perc_85, perc_75 + (perc_90 - perc_75) * (2/3), converted_stat, '2K_Ratings'!M92, IF(bbgm_stat &gt;= perc_95, converted_stat * 3, IF(bbgm_stat &gt;= perc_90, converted_stat * 2, IF(bbgm_stat &gt;= perc_85, converted_stat * 1.5, converted_stat)))))</f>
        <v/>
      </c>
      <c r="N92" s="30" t="str">
        <f t="array" ref="N92">IF($A92="", "", LET(bbgm_stat, INDEX(Players!$A91:$P91, MATCH(N$2, Players!$A$1:$P$1, 0)), perc_75, VLOOKUP(N$2, Percentiles!$A$45:$I$59, 6, FALSE), perc_90, VLOOKUP(N$2, Percentiles!$A$45:$I$59, 7, FALSE), perc_95, VLOOKUP(N$2, Percentiles!$A$45:$I$59, 8, FALSE), perc_85, perc_75 + (perc_90 - perc_75) * (2/3), converted_stat, '2K_Ratings'!N92, IF(bbgm_stat &gt;= perc_95, converted_stat * 3, IF(bbgm_stat &gt;= perc_90, converted_stat * 2, IF(bbgm_stat &gt;= perc_85, converted_stat * 1.5, converted_stat)))))</f>
        <v/>
      </c>
      <c r="O92" s="30" t="str">
        <f t="array" ref="O92">IF($A92="", "", LET(bbgm_stat, INDEX(Players!$A91:$P91, MATCH(O$2, Players!$A$1:$P$1, 0)), perc_75, VLOOKUP(O$2, Percentiles!$A$45:$I$59, 6, FALSE), perc_90, VLOOKUP(O$2, Percentiles!$A$45:$I$59, 7, FALSE), perc_95, VLOOKUP(O$2, Percentiles!$A$45:$I$59, 8, FALSE), perc_85, perc_75 + (perc_90 - perc_75) * (2/3), converted_stat, '2K_Ratings'!O92, IF(bbgm_stat &gt;= perc_95, converted_stat * 3, IF(bbgm_stat &gt;= perc_90, converted_stat * 2, IF(bbgm_stat &gt;= perc_85, converted_stat * 1.5, converted_stat)))))</f>
        <v/>
      </c>
      <c r="P92" s="30" t="str">
        <f t="array" ref="P92">IF($A92="", "", LET(bbgm_stat, INDEX(Players!$A91:$P91, MATCH(P$2, Players!$A$1:$P$1, 0)), perc_75, VLOOKUP(P$2, Percentiles!$A$45:$I$59, 6, FALSE), perc_90, VLOOKUP(P$2, Percentiles!$A$45:$I$59, 7, FALSE), perc_95, VLOOKUP(P$2, Percentiles!$A$45:$I$59, 8, FALSE), perc_85, perc_75 + (perc_90 - perc_75) * (2/3), converted_stat, '2K_Ratings'!P92, IF(bbgm_stat &gt;= perc_95, converted_stat * 3, IF(bbgm_stat &gt;= perc_90, converted_stat * 2, IF(bbgm_stat &gt;= perc_85, converted_stat * 1.5, converted_stat)))))</f>
        <v/>
      </c>
      <c r="Q92" s="30" t="str">
        <f t="array" ref="Q92">IF($A92="", "", LET(bbgm_stat, INDEX(Players!$A91:$P91, MATCH(Q$2, Players!$A$1:$P$1, 0)), perc_75, VLOOKUP(Q$2, Percentiles!$A$45:$I$59, 6, FALSE), perc_90, VLOOKUP(Q$2, Percentiles!$A$45:$I$59, 7, FALSE), perc_95, VLOOKUP(Q$2, Percentiles!$A$45:$I$59, 8, FALSE), perc_85, perc_75 + (perc_90 - perc_75) * (2/3), converted_stat, '2K_Ratings'!Q92, IF(bbgm_stat &gt;= perc_95, converted_stat * 3, IF(bbgm_stat &gt;= perc_90, converted_stat * 2, IF(bbgm_stat &gt;= perc_85, converted_stat * 1.5, converted_stat)))))</f>
        <v/>
      </c>
      <c r="R92" s="30" t="str">
        <f t="array" ref="R92">IF($A92="", "", LET(bbgm_stat, INDEX(Players!$A91:$P91, MATCH(R$2, Players!$A$1:$P$1, 0)), perc_75, VLOOKUP(R$2, Percentiles!$A$45:$I$59, 6, FALSE), perc_90, VLOOKUP(R$2, Percentiles!$A$45:$I$59, 7, FALSE), perc_95, VLOOKUP(R$2, Percentiles!$A$45:$I$59, 8, FALSE), perc_85, perc_75 + (perc_90 - perc_75) * (2/3), converted_stat, '2K_Ratings'!R92, IF(bbgm_stat &gt;= perc_95, converted_stat * 3, IF(bbgm_stat &gt;= perc_90, converted_stat * 2, IF(bbgm_stat &gt;= perc_85, converted_stat * 1.5, converted_stat)))))</f>
        <v/>
      </c>
      <c r="S92" s="30" t="str">
        <f t="array" ref="S92">IF($A92="", "", LET(bbgm_stat, INDEX(Players!$A91:$P91, MATCH(S$2, Players!$A$1:$P$1, 0)), perc_75, VLOOKUP(S$2, Percentiles!$A$45:$I$59, 6, FALSE), perc_90, VLOOKUP(S$2, Percentiles!$A$45:$I$59, 7, FALSE), perc_95, VLOOKUP(S$2, Percentiles!$A$45:$I$59, 8, FALSE), perc_85, perc_75 + (perc_90 - perc_75) * (2/3), converted_stat, '2K_Ratings'!S92, IF(bbgm_stat &gt;= perc_95, converted_stat * 3, IF(bbgm_stat &gt;= perc_90, converted_stat * 2, IF(bbgm_stat &gt;= perc_85, converted_stat * 1.5, converted_stat)))))</f>
        <v/>
      </c>
      <c r="T92" s="30" t="str">
        <f t="array" ref="T92">IF($A92="", "", LET(bbgm_stat, INDEX(Players!$A91:$P91, MATCH(T$2, Players!$A$1:$P$1, 0)), perc_75, VLOOKUP(T$2, Percentiles!$A$45:$I$59, 6, FALSE), perc_90, VLOOKUP(T$2, Percentiles!$A$45:$I$59, 7, FALSE), perc_95, VLOOKUP(T$2, Percentiles!$A$45:$I$59, 8, FALSE), perc_85, perc_75 + (perc_90 - perc_75) * (2/3), converted_stat, '2K_Ratings'!T92, IF(bbgm_stat &gt;= perc_95, converted_stat * 3, IF(bbgm_stat &gt;= perc_90, converted_stat * 2, IF(bbgm_stat &gt;= perc_85, converted_stat * 1.5, converted_stat)))))</f>
        <v/>
      </c>
      <c r="U92" s="30" t="str">
        <f t="array" ref="U92">IF($A92="", "", LET(bbgm_stat, INDEX(Players!$A91:$P91, MATCH(U$2, Players!$A$1:$P$1, 0)), perc_75, VLOOKUP(U$2, Percentiles!$A$45:$I$59, 6, FALSE), perc_90, VLOOKUP(U$2, Percentiles!$A$45:$I$59, 7, FALSE), perc_95, VLOOKUP(U$2, Percentiles!$A$45:$I$59, 8, FALSE), perc_85, perc_75 + (perc_90 - perc_75) * (2/3), converted_stat, '2K_Ratings'!U92, IF(bbgm_stat &gt;= perc_95, converted_stat * 3, IF(bbgm_stat &gt;= perc_90, converted_stat * 2, IF(bbgm_stat &gt;= perc_85, converted_stat * 1.5, converted_stat)))))</f>
        <v/>
      </c>
      <c r="V92" s="30" t="str">
        <f t="array" ref="V92">IF($A92="", "", LET(bbgm_stat, INDEX(Players!$A91:$P91, MATCH(V$2, Players!$A$1:$P$1, 0)), perc_75, VLOOKUP(V$2, Percentiles!$A$45:$I$59, 6, FALSE), perc_90, VLOOKUP(V$2, Percentiles!$A$45:$I$59, 7, FALSE), perc_95, VLOOKUP(V$2, Percentiles!$A$45:$I$59, 8, FALSE), perc_85, perc_75 + (perc_90 - perc_75) * (2/3), converted_stat, '2K_Ratings'!V92, IF(bbgm_stat &gt;= perc_95, converted_stat * 3, IF(bbgm_stat &gt;= perc_90, converted_stat * 2, IF(bbgm_stat &gt;= perc_85, converted_stat * 1.5, converted_stat)))))</f>
        <v/>
      </c>
      <c r="W92" s="30" t="str">
        <f t="array" ref="W92">IF($A92="", "", LET(bbgm_stat, INDEX(Players!$A91:$P91, MATCH(W$2, Players!$A$1:$P$1, 0)), perc_75, VLOOKUP(W$2, Percentiles!$A$45:$I$59, 6, FALSE), perc_90, VLOOKUP(W$2, Percentiles!$A$45:$I$59, 7, FALSE), perc_95, VLOOKUP(W$2, Percentiles!$A$45:$I$59, 8, FALSE), perc_85, perc_75 + (perc_90 - perc_75) * (2/3), converted_stat, '2K_Ratings'!W92, IF(bbgm_stat &gt;= perc_95, converted_stat * 3, IF(bbgm_stat &gt;= perc_90, converted_stat * 2, IF(bbgm_stat &gt;= perc_85, converted_stat * 1.5, converted_stat)))))</f>
        <v/>
      </c>
    </row>
    <row r="93">
      <c r="A93" s="30" t="str">
        <f>IF(Players!A92="", "", Players!A92)</f>
        <v/>
      </c>
      <c r="B93" s="30" t="str">
        <f t="array" ref="B93">IF($A93="", "", LET(bbgm_stat, INDEX(Players!$A92:$P92, MATCH(B$2, Players!$A$1:$P$1, 0)), perc_75, VLOOKUP(B$2, Percentiles!$A$45:$I$59, 6, FALSE), perc_90, VLOOKUP(B$2, Percentiles!$A$45:$I$59, 7, FALSE), perc_95, VLOOKUP(B$2, Percentiles!$A$45:$I$59, 8, FALSE), perc_85, perc_75 + (perc_90 - perc_75) * (2/3), converted_stat, '2K_Ratings'!B93, IF(bbgm_stat &gt;= perc_95, converted_stat * 3, IF(bbgm_stat &gt;= perc_90, converted_stat * 2, IF(bbgm_stat &gt;= perc_85, converted_stat * 1.5, converted_stat)))))</f>
        <v/>
      </c>
      <c r="C93" s="30" t="str">
        <f t="array" ref="C93">IF($A93="", "", LET(bbgm_stat, INDEX(Players!$A92:$P92, MATCH(C$2, Players!$A$1:$P$1, 0)), perc_75, VLOOKUP(C$2, Percentiles!$A$45:$I$59, 6, FALSE), perc_90, VLOOKUP(C$2, Percentiles!$A$45:$I$59, 7, FALSE), perc_95, VLOOKUP(C$2, Percentiles!$A$45:$I$59, 8, FALSE), perc_85, perc_75 + (perc_90 - perc_75) * (2/3), converted_stat, '2K_Ratings'!C93, IF(bbgm_stat &gt;= perc_95, converted_stat * 3, IF(bbgm_stat &gt;= perc_90, converted_stat * 2, IF(bbgm_stat &gt;= perc_85, converted_stat * 1.5, converted_stat)))))</f>
        <v/>
      </c>
      <c r="D93" s="30" t="str">
        <f t="array" ref="D93">IF($A93="", "", LET(bbgm_stat, INDEX(Players!$A92:$P92, MATCH(D$2, Players!$A$1:$P$1, 0)), perc_75, VLOOKUP(D$2, Percentiles!$A$45:$I$59, 6, FALSE), perc_90, VLOOKUP(D$2, Percentiles!$A$45:$I$59, 7, FALSE), perc_95, VLOOKUP(D$2, Percentiles!$A$45:$I$59, 8, FALSE), perc_85, perc_75 + (perc_90 - perc_75) * (2/3), converted_stat, '2K_Ratings'!D93, IF(bbgm_stat &gt;= perc_95, converted_stat * 3, IF(bbgm_stat &gt;= perc_90, converted_stat * 2, IF(bbgm_stat &gt;= perc_85, converted_stat * 1.5, converted_stat)))))</f>
        <v/>
      </c>
      <c r="E93" s="30" t="str">
        <f t="array" ref="E93">IF($A93="", "", LET(bbgm_stat, INDEX(Players!$A92:$P92, MATCH(E$2, Players!$A$1:$P$1, 0)), perc_75, VLOOKUP(E$2, Percentiles!$A$45:$I$59, 6, FALSE), perc_90, VLOOKUP(E$2, Percentiles!$A$45:$I$59, 7, FALSE), perc_95, VLOOKUP(E$2, Percentiles!$A$45:$I$59, 8, FALSE), perc_85, perc_75 + (perc_90 - perc_75) * (2/3), converted_stat, '2K_Ratings'!E93, IF(bbgm_stat &gt;= perc_95, converted_stat * 3, IF(bbgm_stat &gt;= perc_90, converted_stat * 2, IF(bbgm_stat &gt;= perc_85, converted_stat * 1.5, converted_stat)))))</f>
        <v/>
      </c>
      <c r="F93" s="30" t="str">
        <f t="array" ref="F93">IF($A93="", "", LET(bbgm_stat, INDEX(Players!$A92:$P92, MATCH(F$2, Players!$A$1:$P$1, 0)), perc_75, VLOOKUP(F$2, Percentiles!$A$45:$I$59, 6, FALSE), perc_90, VLOOKUP(F$2, Percentiles!$A$45:$I$59, 7, FALSE), perc_95, VLOOKUP(F$2, Percentiles!$A$45:$I$59, 8, FALSE), perc_85, perc_75 + (perc_90 - perc_75) * (2/3), converted_stat, '2K_Ratings'!F93, IF(bbgm_stat &gt;= perc_95, converted_stat * 3, IF(bbgm_stat &gt;= perc_90, converted_stat * 2, IF(bbgm_stat &gt;= perc_85, converted_stat * 1.5, converted_stat)))))</f>
        <v/>
      </c>
      <c r="G93" s="30" t="str">
        <f t="array" ref="G93">IF($A93="", "", LET(bbgm_stat, INDEX(Players!$A92:$P92, MATCH(G$2, Players!$A$1:$P$1, 0)), perc_75, VLOOKUP(G$2, Percentiles!$A$45:$I$59, 6, FALSE), perc_90, VLOOKUP(G$2, Percentiles!$A$45:$I$59, 7, FALSE), perc_95, VLOOKUP(G$2, Percentiles!$A$45:$I$59, 8, FALSE), perc_85, perc_75 + (perc_90 - perc_75) * (2/3), converted_stat, '2K_Ratings'!G93, IF(bbgm_stat &gt;= perc_95, converted_stat * 3, IF(bbgm_stat &gt;= perc_90, converted_stat * 2, IF(bbgm_stat &gt;= perc_85, converted_stat * 1.5, converted_stat)))))</f>
        <v/>
      </c>
      <c r="H93" s="30" t="str">
        <f t="array" ref="H93">IF($A93="", "", LET(bbgm_stat, INDEX(Players!$A92:$P92, MATCH(H$2, Players!$A$1:$P$1, 0)), perc_75, VLOOKUP(H$2, Percentiles!$A$45:$I$59, 6, FALSE), perc_90, VLOOKUP(H$2, Percentiles!$A$45:$I$59, 7, FALSE), perc_95, VLOOKUP(H$2, Percentiles!$A$45:$I$59, 8, FALSE), perc_85, perc_75 + (perc_90 - perc_75) * (2/3), converted_stat, '2K_Ratings'!H93, IF(bbgm_stat &gt;= perc_95, converted_stat * 3, IF(bbgm_stat &gt;= perc_90, converted_stat * 2, IF(bbgm_stat &gt;= perc_85, converted_stat * 1.5, converted_stat)))))</f>
        <v/>
      </c>
      <c r="I93" s="30" t="str">
        <f t="array" ref="I93">IF($A93="", "", LET(bbgm_stat, INDEX(Players!$A92:$P92, MATCH(I$2, Players!$A$1:$P$1, 0)), perc_75, VLOOKUP(I$2, Percentiles!$A$45:$I$59, 6, FALSE), perc_90, VLOOKUP(I$2, Percentiles!$A$45:$I$59, 7, FALSE), perc_95, VLOOKUP(I$2, Percentiles!$A$45:$I$59, 8, FALSE), perc_85, perc_75 + (perc_90 - perc_75) * (2/3), converted_stat, '2K_Ratings'!I93, IF(bbgm_stat &gt;= perc_95, converted_stat * 3, IF(bbgm_stat &gt;= perc_90, converted_stat * 2, IF(bbgm_stat &gt;= perc_85, converted_stat * 1.5, converted_stat)))))</f>
        <v/>
      </c>
      <c r="J93" s="30" t="str">
        <f t="array" ref="J93">IF($A93="", "", LET(bbgm_stat, INDEX(Players!$A92:$P92, MATCH(J$2, Players!$A$1:$P$1, 0)), perc_75, VLOOKUP(J$2, Percentiles!$A$45:$I$59, 6, FALSE), perc_90, VLOOKUP(J$2, Percentiles!$A$45:$I$59, 7, FALSE), perc_95, VLOOKUP(J$2, Percentiles!$A$45:$I$59, 8, FALSE), perc_85, perc_75 + (perc_90 - perc_75) * (2/3), converted_stat, '2K_Ratings'!J93, IF(bbgm_stat &gt;= perc_95, converted_stat * 3, IF(bbgm_stat &gt;= perc_90, converted_stat * 2, IF(bbgm_stat &gt;= perc_85, converted_stat * 1.5, converted_stat)))))</f>
        <v/>
      </c>
      <c r="K93" s="30" t="str">
        <f t="array" ref="K93">IF($A93="", "", LET(bbgm_stat, INDEX(Players!$A92:$P92, MATCH(K$2, Players!$A$1:$P$1, 0)), perc_75, VLOOKUP(K$2, Percentiles!$A$45:$I$59, 6, FALSE), perc_90, VLOOKUP(K$2, Percentiles!$A$45:$I$59, 7, FALSE), perc_95, VLOOKUP(K$2, Percentiles!$A$45:$I$59, 8, FALSE), perc_85, perc_75 + (perc_90 - perc_75) * (2/3), converted_stat, '2K_Ratings'!K93, IF(bbgm_stat &gt;= perc_95, converted_stat * 3, IF(bbgm_stat &gt;= perc_90, converted_stat * 2, IF(bbgm_stat &gt;= perc_85, converted_stat * 1.5, converted_stat)))))</f>
        <v/>
      </c>
      <c r="L93" s="30" t="str">
        <f t="array" ref="L93">IF($A93="", "", LET(bbgm_stat, INDEX(Players!$A92:$P92, MATCH(L$2, Players!$A$1:$P$1, 0)), perc_75, VLOOKUP(L$2, Percentiles!$A$45:$I$59, 6, FALSE), perc_90, VLOOKUP(L$2, Percentiles!$A$45:$I$59, 7, FALSE), perc_95, VLOOKUP(L$2, Percentiles!$A$45:$I$59, 8, FALSE), perc_85, perc_75 + (perc_90 - perc_75) * (2/3), converted_stat, '2K_Ratings'!L93, IF(bbgm_stat &gt;= perc_95, converted_stat * 3, IF(bbgm_stat &gt;= perc_90, converted_stat * 2, IF(bbgm_stat &gt;= perc_85, converted_stat * 1.5, converted_stat)))))</f>
        <v/>
      </c>
      <c r="M93" s="30" t="str">
        <f t="array" ref="M93">IF($A93="", "", LET(bbgm_stat, INDEX(Players!$A92:$P92, MATCH(M$2, Players!$A$1:$P$1, 0)), perc_75, VLOOKUP(M$2, Percentiles!$A$45:$I$59, 6, FALSE), perc_90, VLOOKUP(M$2, Percentiles!$A$45:$I$59, 7, FALSE), perc_95, VLOOKUP(M$2, Percentiles!$A$45:$I$59, 8, FALSE), perc_85, perc_75 + (perc_90 - perc_75) * (2/3), converted_stat, '2K_Ratings'!M93, IF(bbgm_stat &gt;= perc_95, converted_stat * 3, IF(bbgm_stat &gt;= perc_90, converted_stat * 2, IF(bbgm_stat &gt;= perc_85, converted_stat * 1.5, converted_stat)))))</f>
        <v/>
      </c>
      <c r="N93" s="30" t="str">
        <f t="array" ref="N93">IF($A93="", "", LET(bbgm_stat, INDEX(Players!$A92:$P92, MATCH(N$2, Players!$A$1:$P$1, 0)), perc_75, VLOOKUP(N$2, Percentiles!$A$45:$I$59, 6, FALSE), perc_90, VLOOKUP(N$2, Percentiles!$A$45:$I$59, 7, FALSE), perc_95, VLOOKUP(N$2, Percentiles!$A$45:$I$59, 8, FALSE), perc_85, perc_75 + (perc_90 - perc_75) * (2/3), converted_stat, '2K_Ratings'!N93, IF(bbgm_stat &gt;= perc_95, converted_stat * 3, IF(bbgm_stat &gt;= perc_90, converted_stat * 2, IF(bbgm_stat &gt;= perc_85, converted_stat * 1.5, converted_stat)))))</f>
        <v/>
      </c>
      <c r="O93" s="30" t="str">
        <f t="array" ref="O93">IF($A93="", "", LET(bbgm_stat, INDEX(Players!$A92:$P92, MATCH(O$2, Players!$A$1:$P$1, 0)), perc_75, VLOOKUP(O$2, Percentiles!$A$45:$I$59, 6, FALSE), perc_90, VLOOKUP(O$2, Percentiles!$A$45:$I$59, 7, FALSE), perc_95, VLOOKUP(O$2, Percentiles!$A$45:$I$59, 8, FALSE), perc_85, perc_75 + (perc_90 - perc_75) * (2/3), converted_stat, '2K_Ratings'!O93, IF(bbgm_stat &gt;= perc_95, converted_stat * 3, IF(bbgm_stat &gt;= perc_90, converted_stat * 2, IF(bbgm_stat &gt;= perc_85, converted_stat * 1.5, converted_stat)))))</f>
        <v/>
      </c>
      <c r="P93" s="30" t="str">
        <f t="array" ref="P93">IF($A93="", "", LET(bbgm_stat, INDEX(Players!$A92:$P92, MATCH(P$2, Players!$A$1:$P$1, 0)), perc_75, VLOOKUP(P$2, Percentiles!$A$45:$I$59, 6, FALSE), perc_90, VLOOKUP(P$2, Percentiles!$A$45:$I$59, 7, FALSE), perc_95, VLOOKUP(P$2, Percentiles!$A$45:$I$59, 8, FALSE), perc_85, perc_75 + (perc_90 - perc_75) * (2/3), converted_stat, '2K_Ratings'!P93, IF(bbgm_stat &gt;= perc_95, converted_stat * 3, IF(bbgm_stat &gt;= perc_90, converted_stat * 2, IF(bbgm_stat &gt;= perc_85, converted_stat * 1.5, converted_stat)))))</f>
        <v/>
      </c>
      <c r="Q93" s="30" t="str">
        <f t="array" ref="Q93">IF($A93="", "", LET(bbgm_stat, INDEX(Players!$A92:$P92, MATCH(Q$2, Players!$A$1:$P$1, 0)), perc_75, VLOOKUP(Q$2, Percentiles!$A$45:$I$59, 6, FALSE), perc_90, VLOOKUP(Q$2, Percentiles!$A$45:$I$59, 7, FALSE), perc_95, VLOOKUP(Q$2, Percentiles!$A$45:$I$59, 8, FALSE), perc_85, perc_75 + (perc_90 - perc_75) * (2/3), converted_stat, '2K_Ratings'!Q93, IF(bbgm_stat &gt;= perc_95, converted_stat * 3, IF(bbgm_stat &gt;= perc_90, converted_stat * 2, IF(bbgm_stat &gt;= perc_85, converted_stat * 1.5, converted_stat)))))</f>
        <v/>
      </c>
      <c r="R93" s="30" t="str">
        <f t="array" ref="R93">IF($A93="", "", LET(bbgm_stat, INDEX(Players!$A92:$P92, MATCH(R$2, Players!$A$1:$P$1, 0)), perc_75, VLOOKUP(R$2, Percentiles!$A$45:$I$59, 6, FALSE), perc_90, VLOOKUP(R$2, Percentiles!$A$45:$I$59, 7, FALSE), perc_95, VLOOKUP(R$2, Percentiles!$A$45:$I$59, 8, FALSE), perc_85, perc_75 + (perc_90 - perc_75) * (2/3), converted_stat, '2K_Ratings'!R93, IF(bbgm_stat &gt;= perc_95, converted_stat * 3, IF(bbgm_stat &gt;= perc_90, converted_stat * 2, IF(bbgm_stat &gt;= perc_85, converted_stat * 1.5, converted_stat)))))</f>
        <v/>
      </c>
      <c r="S93" s="30" t="str">
        <f t="array" ref="S93">IF($A93="", "", LET(bbgm_stat, INDEX(Players!$A92:$P92, MATCH(S$2, Players!$A$1:$P$1, 0)), perc_75, VLOOKUP(S$2, Percentiles!$A$45:$I$59, 6, FALSE), perc_90, VLOOKUP(S$2, Percentiles!$A$45:$I$59, 7, FALSE), perc_95, VLOOKUP(S$2, Percentiles!$A$45:$I$59, 8, FALSE), perc_85, perc_75 + (perc_90 - perc_75) * (2/3), converted_stat, '2K_Ratings'!S93, IF(bbgm_stat &gt;= perc_95, converted_stat * 3, IF(bbgm_stat &gt;= perc_90, converted_stat * 2, IF(bbgm_stat &gt;= perc_85, converted_stat * 1.5, converted_stat)))))</f>
        <v/>
      </c>
      <c r="T93" s="30" t="str">
        <f t="array" ref="T93">IF($A93="", "", LET(bbgm_stat, INDEX(Players!$A92:$P92, MATCH(T$2, Players!$A$1:$P$1, 0)), perc_75, VLOOKUP(T$2, Percentiles!$A$45:$I$59, 6, FALSE), perc_90, VLOOKUP(T$2, Percentiles!$A$45:$I$59, 7, FALSE), perc_95, VLOOKUP(T$2, Percentiles!$A$45:$I$59, 8, FALSE), perc_85, perc_75 + (perc_90 - perc_75) * (2/3), converted_stat, '2K_Ratings'!T93, IF(bbgm_stat &gt;= perc_95, converted_stat * 3, IF(bbgm_stat &gt;= perc_90, converted_stat * 2, IF(bbgm_stat &gt;= perc_85, converted_stat * 1.5, converted_stat)))))</f>
        <v/>
      </c>
      <c r="U93" s="30" t="str">
        <f t="array" ref="U93">IF($A93="", "", LET(bbgm_stat, INDEX(Players!$A92:$P92, MATCH(U$2, Players!$A$1:$P$1, 0)), perc_75, VLOOKUP(U$2, Percentiles!$A$45:$I$59, 6, FALSE), perc_90, VLOOKUP(U$2, Percentiles!$A$45:$I$59, 7, FALSE), perc_95, VLOOKUP(U$2, Percentiles!$A$45:$I$59, 8, FALSE), perc_85, perc_75 + (perc_90 - perc_75) * (2/3), converted_stat, '2K_Ratings'!U93, IF(bbgm_stat &gt;= perc_95, converted_stat * 3, IF(bbgm_stat &gt;= perc_90, converted_stat * 2, IF(bbgm_stat &gt;= perc_85, converted_stat * 1.5, converted_stat)))))</f>
        <v/>
      </c>
      <c r="V93" s="30" t="str">
        <f t="array" ref="V93">IF($A93="", "", LET(bbgm_stat, INDEX(Players!$A92:$P92, MATCH(V$2, Players!$A$1:$P$1, 0)), perc_75, VLOOKUP(V$2, Percentiles!$A$45:$I$59, 6, FALSE), perc_90, VLOOKUP(V$2, Percentiles!$A$45:$I$59, 7, FALSE), perc_95, VLOOKUP(V$2, Percentiles!$A$45:$I$59, 8, FALSE), perc_85, perc_75 + (perc_90 - perc_75) * (2/3), converted_stat, '2K_Ratings'!V93, IF(bbgm_stat &gt;= perc_95, converted_stat * 3, IF(bbgm_stat &gt;= perc_90, converted_stat * 2, IF(bbgm_stat &gt;= perc_85, converted_stat * 1.5, converted_stat)))))</f>
        <v/>
      </c>
      <c r="W93" s="30" t="str">
        <f t="array" ref="W93">IF($A93="", "", LET(bbgm_stat, INDEX(Players!$A92:$P92, MATCH(W$2, Players!$A$1:$P$1, 0)), perc_75, VLOOKUP(W$2, Percentiles!$A$45:$I$59, 6, FALSE), perc_90, VLOOKUP(W$2, Percentiles!$A$45:$I$59, 7, FALSE), perc_95, VLOOKUP(W$2, Percentiles!$A$45:$I$59, 8, FALSE), perc_85, perc_75 + (perc_90 - perc_75) * (2/3), converted_stat, '2K_Ratings'!W93, IF(bbgm_stat &gt;= perc_95, converted_stat * 3, IF(bbgm_stat &gt;= perc_90, converted_stat * 2, IF(bbgm_stat &gt;= perc_85, converted_stat * 1.5, converted_stat)))))</f>
        <v/>
      </c>
    </row>
    <row r="94">
      <c r="A94" s="30" t="str">
        <f>IF(Players!A93="", "", Players!A93)</f>
        <v/>
      </c>
      <c r="B94" s="30" t="str">
        <f t="array" ref="B94">IF($A94="", "", LET(bbgm_stat, INDEX(Players!$A93:$P93, MATCH(B$2, Players!$A$1:$P$1, 0)), perc_75, VLOOKUP(B$2, Percentiles!$A$45:$I$59, 6, FALSE), perc_90, VLOOKUP(B$2, Percentiles!$A$45:$I$59, 7, FALSE), perc_95, VLOOKUP(B$2, Percentiles!$A$45:$I$59, 8, FALSE), perc_85, perc_75 + (perc_90 - perc_75) * (2/3), converted_stat, '2K_Ratings'!B94, IF(bbgm_stat &gt;= perc_95, converted_stat * 3, IF(bbgm_stat &gt;= perc_90, converted_stat * 2, IF(bbgm_stat &gt;= perc_85, converted_stat * 1.5, converted_stat)))))</f>
        <v/>
      </c>
      <c r="C94" s="30" t="str">
        <f t="array" ref="C94">IF($A94="", "", LET(bbgm_stat, INDEX(Players!$A93:$P93, MATCH(C$2, Players!$A$1:$P$1, 0)), perc_75, VLOOKUP(C$2, Percentiles!$A$45:$I$59, 6, FALSE), perc_90, VLOOKUP(C$2, Percentiles!$A$45:$I$59, 7, FALSE), perc_95, VLOOKUP(C$2, Percentiles!$A$45:$I$59, 8, FALSE), perc_85, perc_75 + (perc_90 - perc_75) * (2/3), converted_stat, '2K_Ratings'!C94, IF(bbgm_stat &gt;= perc_95, converted_stat * 3, IF(bbgm_stat &gt;= perc_90, converted_stat * 2, IF(bbgm_stat &gt;= perc_85, converted_stat * 1.5, converted_stat)))))</f>
        <v/>
      </c>
      <c r="D94" s="30" t="str">
        <f t="array" ref="D94">IF($A94="", "", LET(bbgm_stat, INDEX(Players!$A93:$P93, MATCH(D$2, Players!$A$1:$P$1, 0)), perc_75, VLOOKUP(D$2, Percentiles!$A$45:$I$59, 6, FALSE), perc_90, VLOOKUP(D$2, Percentiles!$A$45:$I$59, 7, FALSE), perc_95, VLOOKUP(D$2, Percentiles!$A$45:$I$59, 8, FALSE), perc_85, perc_75 + (perc_90 - perc_75) * (2/3), converted_stat, '2K_Ratings'!D94, IF(bbgm_stat &gt;= perc_95, converted_stat * 3, IF(bbgm_stat &gt;= perc_90, converted_stat * 2, IF(bbgm_stat &gt;= perc_85, converted_stat * 1.5, converted_stat)))))</f>
        <v/>
      </c>
      <c r="E94" s="30" t="str">
        <f t="array" ref="E94">IF($A94="", "", LET(bbgm_stat, INDEX(Players!$A93:$P93, MATCH(E$2, Players!$A$1:$P$1, 0)), perc_75, VLOOKUP(E$2, Percentiles!$A$45:$I$59, 6, FALSE), perc_90, VLOOKUP(E$2, Percentiles!$A$45:$I$59, 7, FALSE), perc_95, VLOOKUP(E$2, Percentiles!$A$45:$I$59, 8, FALSE), perc_85, perc_75 + (perc_90 - perc_75) * (2/3), converted_stat, '2K_Ratings'!E94, IF(bbgm_stat &gt;= perc_95, converted_stat * 3, IF(bbgm_stat &gt;= perc_90, converted_stat * 2, IF(bbgm_stat &gt;= perc_85, converted_stat * 1.5, converted_stat)))))</f>
        <v/>
      </c>
      <c r="F94" s="30" t="str">
        <f t="array" ref="F94">IF($A94="", "", LET(bbgm_stat, INDEX(Players!$A93:$P93, MATCH(F$2, Players!$A$1:$P$1, 0)), perc_75, VLOOKUP(F$2, Percentiles!$A$45:$I$59, 6, FALSE), perc_90, VLOOKUP(F$2, Percentiles!$A$45:$I$59, 7, FALSE), perc_95, VLOOKUP(F$2, Percentiles!$A$45:$I$59, 8, FALSE), perc_85, perc_75 + (perc_90 - perc_75) * (2/3), converted_stat, '2K_Ratings'!F94, IF(bbgm_stat &gt;= perc_95, converted_stat * 3, IF(bbgm_stat &gt;= perc_90, converted_stat * 2, IF(bbgm_stat &gt;= perc_85, converted_stat * 1.5, converted_stat)))))</f>
        <v/>
      </c>
      <c r="G94" s="30" t="str">
        <f t="array" ref="G94">IF($A94="", "", LET(bbgm_stat, INDEX(Players!$A93:$P93, MATCH(G$2, Players!$A$1:$P$1, 0)), perc_75, VLOOKUP(G$2, Percentiles!$A$45:$I$59, 6, FALSE), perc_90, VLOOKUP(G$2, Percentiles!$A$45:$I$59, 7, FALSE), perc_95, VLOOKUP(G$2, Percentiles!$A$45:$I$59, 8, FALSE), perc_85, perc_75 + (perc_90 - perc_75) * (2/3), converted_stat, '2K_Ratings'!G94, IF(bbgm_stat &gt;= perc_95, converted_stat * 3, IF(bbgm_stat &gt;= perc_90, converted_stat * 2, IF(bbgm_stat &gt;= perc_85, converted_stat * 1.5, converted_stat)))))</f>
        <v/>
      </c>
      <c r="H94" s="30" t="str">
        <f t="array" ref="H94">IF($A94="", "", LET(bbgm_stat, INDEX(Players!$A93:$P93, MATCH(H$2, Players!$A$1:$P$1, 0)), perc_75, VLOOKUP(H$2, Percentiles!$A$45:$I$59, 6, FALSE), perc_90, VLOOKUP(H$2, Percentiles!$A$45:$I$59, 7, FALSE), perc_95, VLOOKUP(H$2, Percentiles!$A$45:$I$59, 8, FALSE), perc_85, perc_75 + (perc_90 - perc_75) * (2/3), converted_stat, '2K_Ratings'!H94, IF(bbgm_stat &gt;= perc_95, converted_stat * 3, IF(bbgm_stat &gt;= perc_90, converted_stat * 2, IF(bbgm_stat &gt;= perc_85, converted_stat * 1.5, converted_stat)))))</f>
        <v/>
      </c>
      <c r="I94" s="30" t="str">
        <f t="array" ref="I94">IF($A94="", "", LET(bbgm_stat, INDEX(Players!$A93:$P93, MATCH(I$2, Players!$A$1:$P$1, 0)), perc_75, VLOOKUP(I$2, Percentiles!$A$45:$I$59, 6, FALSE), perc_90, VLOOKUP(I$2, Percentiles!$A$45:$I$59, 7, FALSE), perc_95, VLOOKUP(I$2, Percentiles!$A$45:$I$59, 8, FALSE), perc_85, perc_75 + (perc_90 - perc_75) * (2/3), converted_stat, '2K_Ratings'!I94, IF(bbgm_stat &gt;= perc_95, converted_stat * 3, IF(bbgm_stat &gt;= perc_90, converted_stat * 2, IF(bbgm_stat &gt;= perc_85, converted_stat * 1.5, converted_stat)))))</f>
        <v/>
      </c>
      <c r="J94" s="30" t="str">
        <f t="array" ref="J94">IF($A94="", "", LET(bbgm_stat, INDEX(Players!$A93:$P93, MATCH(J$2, Players!$A$1:$P$1, 0)), perc_75, VLOOKUP(J$2, Percentiles!$A$45:$I$59, 6, FALSE), perc_90, VLOOKUP(J$2, Percentiles!$A$45:$I$59, 7, FALSE), perc_95, VLOOKUP(J$2, Percentiles!$A$45:$I$59, 8, FALSE), perc_85, perc_75 + (perc_90 - perc_75) * (2/3), converted_stat, '2K_Ratings'!J94, IF(bbgm_stat &gt;= perc_95, converted_stat * 3, IF(bbgm_stat &gt;= perc_90, converted_stat * 2, IF(bbgm_stat &gt;= perc_85, converted_stat * 1.5, converted_stat)))))</f>
        <v/>
      </c>
      <c r="K94" s="30" t="str">
        <f t="array" ref="K94">IF($A94="", "", LET(bbgm_stat, INDEX(Players!$A93:$P93, MATCH(K$2, Players!$A$1:$P$1, 0)), perc_75, VLOOKUP(K$2, Percentiles!$A$45:$I$59, 6, FALSE), perc_90, VLOOKUP(K$2, Percentiles!$A$45:$I$59, 7, FALSE), perc_95, VLOOKUP(K$2, Percentiles!$A$45:$I$59, 8, FALSE), perc_85, perc_75 + (perc_90 - perc_75) * (2/3), converted_stat, '2K_Ratings'!K94, IF(bbgm_stat &gt;= perc_95, converted_stat * 3, IF(bbgm_stat &gt;= perc_90, converted_stat * 2, IF(bbgm_stat &gt;= perc_85, converted_stat * 1.5, converted_stat)))))</f>
        <v/>
      </c>
      <c r="L94" s="30" t="str">
        <f t="array" ref="L94">IF($A94="", "", LET(bbgm_stat, INDEX(Players!$A93:$P93, MATCH(L$2, Players!$A$1:$P$1, 0)), perc_75, VLOOKUP(L$2, Percentiles!$A$45:$I$59, 6, FALSE), perc_90, VLOOKUP(L$2, Percentiles!$A$45:$I$59, 7, FALSE), perc_95, VLOOKUP(L$2, Percentiles!$A$45:$I$59, 8, FALSE), perc_85, perc_75 + (perc_90 - perc_75) * (2/3), converted_stat, '2K_Ratings'!L94, IF(bbgm_stat &gt;= perc_95, converted_stat * 3, IF(bbgm_stat &gt;= perc_90, converted_stat * 2, IF(bbgm_stat &gt;= perc_85, converted_stat * 1.5, converted_stat)))))</f>
        <v/>
      </c>
      <c r="M94" s="30" t="str">
        <f t="array" ref="M94">IF($A94="", "", LET(bbgm_stat, INDEX(Players!$A93:$P93, MATCH(M$2, Players!$A$1:$P$1, 0)), perc_75, VLOOKUP(M$2, Percentiles!$A$45:$I$59, 6, FALSE), perc_90, VLOOKUP(M$2, Percentiles!$A$45:$I$59, 7, FALSE), perc_95, VLOOKUP(M$2, Percentiles!$A$45:$I$59, 8, FALSE), perc_85, perc_75 + (perc_90 - perc_75) * (2/3), converted_stat, '2K_Ratings'!M94, IF(bbgm_stat &gt;= perc_95, converted_stat * 3, IF(bbgm_stat &gt;= perc_90, converted_stat * 2, IF(bbgm_stat &gt;= perc_85, converted_stat * 1.5, converted_stat)))))</f>
        <v/>
      </c>
      <c r="N94" s="30" t="str">
        <f t="array" ref="N94">IF($A94="", "", LET(bbgm_stat, INDEX(Players!$A93:$P93, MATCH(N$2, Players!$A$1:$P$1, 0)), perc_75, VLOOKUP(N$2, Percentiles!$A$45:$I$59, 6, FALSE), perc_90, VLOOKUP(N$2, Percentiles!$A$45:$I$59, 7, FALSE), perc_95, VLOOKUP(N$2, Percentiles!$A$45:$I$59, 8, FALSE), perc_85, perc_75 + (perc_90 - perc_75) * (2/3), converted_stat, '2K_Ratings'!N94, IF(bbgm_stat &gt;= perc_95, converted_stat * 3, IF(bbgm_stat &gt;= perc_90, converted_stat * 2, IF(bbgm_stat &gt;= perc_85, converted_stat * 1.5, converted_stat)))))</f>
        <v/>
      </c>
      <c r="O94" s="30" t="str">
        <f t="array" ref="O94">IF($A94="", "", LET(bbgm_stat, INDEX(Players!$A93:$P93, MATCH(O$2, Players!$A$1:$P$1, 0)), perc_75, VLOOKUP(O$2, Percentiles!$A$45:$I$59, 6, FALSE), perc_90, VLOOKUP(O$2, Percentiles!$A$45:$I$59, 7, FALSE), perc_95, VLOOKUP(O$2, Percentiles!$A$45:$I$59, 8, FALSE), perc_85, perc_75 + (perc_90 - perc_75) * (2/3), converted_stat, '2K_Ratings'!O94, IF(bbgm_stat &gt;= perc_95, converted_stat * 3, IF(bbgm_stat &gt;= perc_90, converted_stat * 2, IF(bbgm_stat &gt;= perc_85, converted_stat * 1.5, converted_stat)))))</f>
        <v/>
      </c>
      <c r="P94" s="30" t="str">
        <f t="array" ref="P94">IF($A94="", "", LET(bbgm_stat, INDEX(Players!$A93:$P93, MATCH(P$2, Players!$A$1:$P$1, 0)), perc_75, VLOOKUP(P$2, Percentiles!$A$45:$I$59, 6, FALSE), perc_90, VLOOKUP(P$2, Percentiles!$A$45:$I$59, 7, FALSE), perc_95, VLOOKUP(P$2, Percentiles!$A$45:$I$59, 8, FALSE), perc_85, perc_75 + (perc_90 - perc_75) * (2/3), converted_stat, '2K_Ratings'!P94, IF(bbgm_stat &gt;= perc_95, converted_stat * 3, IF(bbgm_stat &gt;= perc_90, converted_stat * 2, IF(bbgm_stat &gt;= perc_85, converted_stat * 1.5, converted_stat)))))</f>
        <v/>
      </c>
      <c r="Q94" s="30" t="str">
        <f t="array" ref="Q94">IF($A94="", "", LET(bbgm_stat, INDEX(Players!$A93:$P93, MATCH(Q$2, Players!$A$1:$P$1, 0)), perc_75, VLOOKUP(Q$2, Percentiles!$A$45:$I$59, 6, FALSE), perc_90, VLOOKUP(Q$2, Percentiles!$A$45:$I$59, 7, FALSE), perc_95, VLOOKUP(Q$2, Percentiles!$A$45:$I$59, 8, FALSE), perc_85, perc_75 + (perc_90 - perc_75) * (2/3), converted_stat, '2K_Ratings'!Q94, IF(bbgm_stat &gt;= perc_95, converted_stat * 3, IF(bbgm_stat &gt;= perc_90, converted_stat * 2, IF(bbgm_stat &gt;= perc_85, converted_stat * 1.5, converted_stat)))))</f>
        <v/>
      </c>
      <c r="R94" s="30" t="str">
        <f t="array" ref="R94">IF($A94="", "", LET(bbgm_stat, INDEX(Players!$A93:$P93, MATCH(R$2, Players!$A$1:$P$1, 0)), perc_75, VLOOKUP(R$2, Percentiles!$A$45:$I$59, 6, FALSE), perc_90, VLOOKUP(R$2, Percentiles!$A$45:$I$59, 7, FALSE), perc_95, VLOOKUP(R$2, Percentiles!$A$45:$I$59, 8, FALSE), perc_85, perc_75 + (perc_90 - perc_75) * (2/3), converted_stat, '2K_Ratings'!R94, IF(bbgm_stat &gt;= perc_95, converted_stat * 3, IF(bbgm_stat &gt;= perc_90, converted_stat * 2, IF(bbgm_stat &gt;= perc_85, converted_stat * 1.5, converted_stat)))))</f>
        <v/>
      </c>
      <c r="S94" s="30" t="str">
        <f t="array" ref="S94">IF($A94="", "", LET(bbgm_stat, INDEX(Players!$A93:$P93, MATCH(S$2, Players!$A$1:$P$1, 0)), perc_75, VLOOKUP(S$2, Percentiles!$A$45:$I$59, 6, FALSE), perc_90, VLOOKUP(S$2, Percentiles!$A$45:$I$59, 7, FALSE), perc_95, VLOOKUP(S$2, Percentiles!$A$45:$I$59, 8, FALSE), perc_85, perc_75 + (perc_90 - perc_75) * (2/3), converted_stat, '2K_Ratings'!S94, IF(bbgm_stat &gt;= perc_95, converted_stat * 3, IF(bbgm_stat &gt;= perc_90, converted_stat * 2, IF(bbgm_stat &gt;= perc_85, converted_stat * 1.5, converted_stat)))))</f>
        <v/>
      </c>
      <c r="T94" s="30" t="str">
        <f t="array" ref="T94">IF($A94="", "", LET(bbgm_stat, INDEX(Players!$A93:$P93, MATCH(T$2, Players!$A$1:$P$1, 0)), perc_75, VLOOKUP(T$2, Percentiles!$A$45:$I$59, 6, FALSE), perc_90, VLOOKUP(T$2, Percentiles!$A$45:$I$59, 7, FALSE), perc_95, VLOOKUP(T$2, Percentiles!$A$45:$I$59, 8, FALSE), perc_85, perc_75 + (perc_90 - perc_75) * (2/3), converted_stat, '2K_Ratings'!T94, IF(bbgm_stat &gt;= perc_95, converted_stat * 3, IF(bbgm_stat &gt;= perc_90, converted_stat * 2, IF(bbgm_stat &gt;= perc_85, converted_stat * 1.5, converted_stat)))))</f>
        <v/>
      </c>
      <c r="U94" s="30" t="str">
        <f t="array" ref="U94">IF($A94="", "", LET(bbgm_stat, INDEX(Players!$A93:$P93, MATCH(U$2, Players!$A$1:$P$1, 0)), perc_75, VLOOKUP(U$2, Percentiles!$A$45:$I$59, 6, FALSE), perc_90, VLOOKUP(U$2, Percentiles!$A$45:$I$59, 7, FALSE), perc_95, VLOOKUP(U$2, Percentiles!$A$45:$I$59, 8, FALSE), perc_85, perc_75 + (perc_90 - perc_75) * (2/3), converted_stat, '2K_Ratings'!U94, IF(bbgm_stat &gt;= perc_95, converted_stat * 3, IF(bbgm_stat &gt;= perc_90, converted_stat * 2, IF(bbgm_stat &gt;= perc_85, converted_stat * 1.5, converted_stat)))))</f>
        <v/>
      </c>
      <c r="V94" s="30" t="str">
        <f t="array" ref="V94">IF($A94="", "", LET(bbgm_stat, INDEX(Players!$A93:$P93, MATCH(V$2, Players!$A$1:$P$1, 0)), perc_75, VLOOKUP(V$2, Percentiles!$A$45:$I$59, 6, FALSE), perc_90, VLOOKUP(V$2, Percentiles!$A$45:$I$59, 7, FALSE), perc_95, VLOOKUP(V$2, Percentiles!$A$45:$I$59, 8, FALSE), perc_85, perc_75 + (perc_90 - perc_75) * (2/3), converted_stat, '2K_Ratings'!V94, IF(bbgm_stat &gt;= perc_95, converted_stat * 3, IF(bbgm_stat &gt;= perc_90, converted_stat * 2, IF(bbgm_stat &gt;= perc_85, converted_stat * 1.5, converted_stat)))))</f>
        <v/>
      </c>
      <c r="W94" s="30" t="str">
        <f t="array" ref="W94">IF($A94="", "", LET(bbgm_stat, INDEX(Players!$A93:$P93, MATCH(W$2, Players!$A$1:$P$1, 0)), perc_75, VLOOKUP(W$2, Percentiles!$A$45:$I$59, 6, FALSE), perc_90, VLOOKUP(W$2, Percentiles!$A$45:$I$59, 7, FALSE), perc_95, VLOOKUP(W$2, Percentiles!$A$45:$I$59, 8, FALSE), perc_85, perc_75 + (perc_90 - perc_75) * (2/3), converted_stat, '2K_Ratings'!W94, IF(bbgm_stat &gt;= perc_95, converted_stat * 3, IF(bbgm_stat &gt;= perc_90, converted_stat * 2, IF(bbgm_stat &gt;= perc_85, converted_stat * 1.5, converted_stat)))))</f>
        <v/>
      </c>
    </row>
    <row r="95">
      <c r="A95" s="30" t="str">
        <f>IF(Players!A94="", "", Players!A94)</f>
        <v/>
      </c>
      <c r="B95" s="30" t="str">
        <f t="array" ref="B95">IF($A95="", "", LET(bbgm_stat, INDEX(Players!$A94:$P94, MATCH(B$2, Players!$A$1:$P$1, 0)), perc_75, VLOOKUP(B$2, Percentiles!$A$45:$I$59, 6, FALSE), perc_90, VLOOKUP(B$2, Percentiles!$A$45:$I$59, 7, FALSE), perc_95, VLOOKUP(B$2, Percentiles!$A$45:$I$59, 8, FALSE), perc_85, perc_75 + (perc_90 - perc_75) * (2/3), converted_stat, '2K_Ratings'!B95, IF(bbgm_stat &gt;= perc_95, converted_stat * 3, IF(bbgm_stat &gt;= perc_90, converted_stat * 2, IF(bbgm_stat &gt;= perc_85, converted_stat * 1.5, converted_stat)))))</f>
        <v/>
      </c>
      <c r="C95" s="30" t="str">
        <f t="array" ref="C95">IF($A95="", "", LET(bbgm_stat, INDEX(Players!$A94:$P94, MATCH(C$2, Players!$A$1:$P$1, 0)), perc_75, VLOOKUP(C$2, Percentiles!$A$45:$I$59, 6, FALSE), perc_90, VLOOKUP(C$2, Percentiles!$A$45:$I$59, 7, FALSE), perc_95, VLOOKUP(C$2, Percentiles!$A$45:$I$59, 8, FALSE), perc_85, perc_75 + (perc_90 - perc_75) * (2/3), converted_stat, '2K_Ratings'!C95, IF(bbgm_stat &gt;= perc_95, converted_stat * 3, IF(bbgm_stat &gt;= perc_90, converted_stat * 2, IF(bbgm_stat &gt;= perc_85, converted_stat * 1.5, converted_stat)))))</f>
        <v/>
      </c>
      <c r="D95" s="30" t="str">
        <f t="array" ref="D95">IF($A95="", "", LET(bbgm_stat, INDEX(Players!$A94:$P94, MATCH(D$2, Players!$A$1:$P$1, 0)), perc_75, VLOOKUP(D$2, Percentiles!$A$45:$I$59, 6, FALSE), perc_90, VLOOKUP(D$2, Percentiles!$A$45:$I$59, 7, FALSE), perc_95, VLOOKUP(D$2, Percentiles!$A$45:$I$59, 8, FALSE), perc_85, perc_75 + (perc_90 - perc_75) * (2/3), converted_stat, '2K_Ratings'!D95, IF(bbgm_stat &gt;= perc_95, converted_stat * 3, IF(bbgm_stat &gt;= perc_90, converted_stat * 2, IF(bbgm_stat &gt;= perc_85, converted_stat * 1.5, converted_stat)))))</f>
        <v/>
      </c>
      <c r="E95" s="30" t="str">
        <f t="array" ref="E95">IF($A95="", "", LET(bbgm_stat, INDEX(Players!$A94:$P94, MATCH(E$2, Players!$A$1:$P$1, 0)), perc_75, VLOOKUP(E$2, Percentiles!$A$45:$I$59, 6, FALSE), perc_90, VLOOKUP(E$2, Percentiles!$A$45:$I$59, 7, FALSE), perc_95, VLOOKUP(E$2, Percentiles!$A$45:$I$59, 8, FALSE), perc_85, perc_75 + (perc_90 - perc_75) * (2/3), converted_stat, '2K_Ratings'!E95, IF(bbgm_stat &gt;= perc_95, converted_stat * 3, IF(bbgm_stat &gt;= perc_90, converted_stat * 2, IF(bbgm_stat &gt;= perc_85, converted_stat * 1.5, converted_stat)))))</f>
        <v/>
      </c>
      <c r="F95" s="30" t="str">
        <f t="array" ref="F95">IF($A95="", "", LET(bbgm_stat, INDEX(Players!$A94:$P94, MATCH(F$2, Players!$A$1:$P$1, 0)), perc_75, VLOOKUP(F$2, Percentiles!$A$45:$I$59, 6, FALSE), perc_90, VLOOKUP(F$2, Percentiles!$A$45:$I$59, 7, FALSE), perc_95, VLOOKUP(F$2, Percentiles!$A$45:$I$59, 8, FALSE), perc_85, perc_75 + (perc_90 - perc_75) * (2/3), converted_stat, '2K_Ratings'!F95, IF(bbgm_stat &gt;= perc_95, converted_stat * 3, IF(bbgm_stat &gt;= perc_90, converted_stat * 2, IF(bbgm_stat &gt;= perc_85, converted_stat * 1.5, converted_stat)))))</f>
        <v/>
      </c>
      <c r="G95" s="30" t="str">
        <f t="array" ref="G95">IF($A95="", "", LET(bbgm_stat, INDEX(Players!$A94:$P94, MATCH(G$2, Players!$A$1:$P$1, 0)), perc_75, VLOOKUP(G$2, Percentiles!$A$45:$I$59, 6, FALSE), perc_90, VLOOKUP(G$2, Percentiles!$A$45:$I$59, 7, FALSE), perc_95, VLOOKUP(G$2, Percentiles!$A$45:$I$59, 8, FALSE), perc_85, perc_75 + (perc_90 - perc_75) * (2/3), converted_stat, '2K_Ratings'!G95, IF(bbgm_stat &gt;= perc_95, converted_stat * 3, IF(bbgm_stat &gt;= perc_90, converted_stat * 2, IF(bbgm_stat &gt;= perc_85, converted_stat * 1.5, converted_stat)))))</f>
        <v/>
      </c>
      <c r="H95" s="30" t="str">
        <f t="array" ref="H95">IF($A95="", "", LET(bbgm_stat, INDEX(Players!$A94:$P94, MATCH(H$2, Players!$A$1:$P$1, 0)), perc_75, VLOOKUP(H$2, Percentiles!$A$45:$I$59, 6, FALSE), perc_90, VLOOKUP(H$2, Percentiles!$A$45:$I$59, 7, FALSE), perc_95, VLOOKUP(H$2, Percentiles!$A$45:$I$59, 8, FALSE), perc_85, perc_75 + (perc_90 - perc_75) * (2/3), converted_stat, '2K_Ratings'!H95, IF(bbgm_stat &gt;= perc_95, converted_stat * 3, IF(bbgm_stat &gt;= perc_90, converted_stat * 2, IF(bbgm_stat &gt;= perc_85, converted_stat * 1.5, converted_stat)))))</f>
        <v/>
      </c>
      <c r="I95" s="30" t="str">
        <f t="array" ref="I95">IF($A95="", "", LET(bbgm_stat, INDEX(Players!$A94:$P94, MATCH(I$2, Players!$A$1:$P$1, 0)), perc_75, VLOOKUP(I$2, Percentiles!$A$45:$I$59, 6, FALSE), perc_90, VLOOKUP(I$2, Percentiles!$A$45:$I$59, 7, FALSE), perc_95, VLOOKUP(I$2, Percentiles!$A$45:$I$59, 8, FALSE), perc_85, perc_75 + (perc_90 - perc_75) * (2/3), converted_stat, '2K_Ratings'!I95, IF(bbgm_stat &gt;= perc_95, converted_stat * 3, IF(bbgm_stat &gt;= perc_90, converted_stat * 2, IF(bbgm_stat &gt;= perc_85, converted_stat * 1.5, converted_stat)))))</f>
        <v/>
      </c>
      <c r="J95" s="30" t="str">
        <f t="array" ref="J95">IF($A95="", "", LET(bbgm_stat, INDEX(Players!$A94:$P94, MATCH(J$2, Players!$A$1:$P$1, 0)), perc_75, VLOOKUP(J$2, Percentiles!$A$45:$I$59, 6, FALSE), perc_90, VLOOKUP(J$2, Percentiles!$A$45:$I$59, 7, FALSE), perc_95, VLOOKUP(J$2, Percentiles!$A$45:$I$59, 8, FALSE), perc_85, perc_75 + (perc_90 - perc_75) * (2/3), converted_stat, '2K_Ratings'!J95, IF(bbgm_stat &gt;= perc_95, converted_stat * 3, IF(bbgm_stat &gt;= perc_90, converted_stat * 2, IF(bbgm_stat &gt;= perc_85, converted_stat * 1.5, converted_stat)))))</f>
        <v/>
      </c>
      <c r="K95" s="30" t="str">
        <f t="array" ref="K95">IF($A95="", "", LET(bbgm_stat, INDEX(Players!$A94:$P94, MATCH(K$2, Players!$A$1:$P$1, 0)), perc_75, VLOOKUP(K$2, Percentiles!$A$45:$I$59, 6, FALSE), perc_90, VLOOKUP(K$2, Percentiles!$A$45:$I$59, 7, FALSE), perc_95, VLOOKUP(K$2, Percentiles!$A$45:$I$59, 8, FALSE), perc_85, perc_75 + (perc_90 - perc_75) * (2/3), converted_stat, '2K_Ratings'!K95, IF(bbgm_stat &gt;= perc_95, converted_stat * 3, IF(bbgm_stat &gt;= perc_90, converted_stat * 2, IF(bbgm_stat &gt;= perc_85, converted_stat * 1.5, converted_stat)))))</f>
        <v/>
      </c>
      <c r="L95" s="30" t="str">
        <f t="array" ref="L95">IF($A95="", "", LET(bbgm_stat, INDEX(Players!$A94:$P94, MATCH(L$2, Players!$A$1:$P$1, 0)), perc_75, VLOOKUP(L$2, Percentiles!$A$45:$I$59, 6, FALSE), perc_90, VLOOKUP(L$2, Percentiles!$A$45:$I$59, 7, FALSE), perc_95, VLOOKUP(L$2, Percentiles!$A$45:$I$59, 8, FALSE), perc_85, perc_75 + (perc_90 - perc_75) * (2/3), converted_stat, '2K_Ratings'!L95, IF(bbgm_stat &gt;= perc_95, converted_stat * 3, IF(bbgm_stat &gt;= perc_90, converted_stat * 2, IF(bbgm_stat &gt;= perc_85, converted_stat * 1.5, converted_stat)))))</f>
        <v/>
      </c>
      <c r="M95" s="30" t="str">
        <f t="array" ref="M95">IF($A95="", "", LET(bbgm_stat, INDEX(Players!$A94:$P94, MATCH(M$2, Players!$A$1:$P$1, 0)), perc_75, VLOOKUP(M$2, Percentiles!$A$45:$I$59, 6, FALSE), perc_90, VLOOKUP(M$2, Percentiles!$A$45:$I$59, 7, FALSE), perc_95, VLOOKUP(M$2, Percentiles!$A$45:$I$59, 8, FALSE), perc_85, perc_75 + (perc_90 - perc_75) * (2/3), converted_stat, '2K_Ratings'!M95, IF(bbgm_stat &gt;= perc_95, converted_stat * 3, IF(bbgm_stat &gt;= perc_90, converted_stat * 2, IF(bbgm_stat &gt;= perc_85, converted_stat * 1.5, converted_stat)))))</f>
        <v/>
      </c>
      <c r="N95" s="30" t="str">
        <f t="array" ref="N95">IF($A95="", "", LET(bbgm_stat, INDEX(Players!$A94:$P94, MATCH(N$2, Players!$A$1:$P$1, 0)), perc_75, VLOOKUP(N$2, Percentiles!$A$45:$I$59, 6, FALSE), perc_90, VLOOKUP(N$2, Percentiles!$A$45:$I$59, 7, FALSE), perc_95, VLOOKUP(N$2, Percentiles!$A$45:$I$59, 8, FALSE), perc_85, perc_75 + (perc_90 - perc_75) * (2/3), converted_stat, '2K_Ratings'!N95, IF(bbgm_stat &gt;= perc_95, converted_stat * 3, IF(bbgm_stat &gt;= perc_90, converted_stat * 2, IF(bbgm_stat &gt;= perc_85, converted_stat * 1.5, converted_stat)))))</f>
        <v/>
      </c>
      <c r="O95" s="30" t="str">
        <f t="array" ref="O95">IF($A95="", "", LET(bbgm_stat, INDEX(Players!$A94:$P94, MATCH(O$2, Players!$A$1:$P$1, 0)), perc_75, VLOOKUP(O$2, Percentiles!$A$45:$I$59, 6, FALSE), perc_90, VLOOKUP(O$2, Percentiles!$A$45:$I$59, 7, FALSE), perc_95, VLOOKUP(O$2, Percentiles!$A$45:$I$59, 8, FALSE), perc_85, perc_75 + (perc_90 - perc_75) * (2/3), converted_stat, '2K_Ratings'!O95, IF(bbgm_stat &gt;= perc_95, converted_stat * 3, IF(bbgm_stat &gt;= perc_90, converted_stat * 2, IF(bbgm_stat &gt;= perc_85, converted_stat * 1.5, converted_stat)))))</f>
        <v/>
      </c>
      <c r="P95" s="30" t="str">
        <f t="array" ref="P95">IF($A95="", "", LET(bbgm_stat, INDEX(Players!$A94:$P94, MATCH(P$2, Players!$A$1:$P$1, 0)), perc_75, VLOOKUP(P$2, Percentiles!$A$45:$I$59, 6, FALSE), perc_90, VLOOKUP(P$2, Percentiles!$A$45:$I$59, 7, FALSE), perc_95, VLOOKUP(P$2, Percentiles!$A$45:$I$59, 8, FALSE), perc_85, perc_75 + (perc_90 - perc_75) * (2/3), converted_stat, '2K_Ratings'!P95, IF(bbgm_stat &gt;= perc_95, converted_stat * 3, IF(bbgm_stat &gt;= perc_90, converted_stat * 2, IF(bbgm_stat &gt;= perc_85, converted_stat * 1.5, converted_stat)))))</f>
        <v/>
      </c>
      <c r="Q95" s="30" t="str">
        <f t="array" ref="Q95">IF($A95="", "", LET(bbgm_stat, INDEX(Players!$A94:$P94, MATCH(Q$2, Players!$A$1:$P$1, 0)), perc_75, VLOOKUP(Q$2, Percentiles!$A$45:$I$59, 6, FALSE), perc_90, VLOOKUP(Q$2, Percentiles!$A$45:$I$59, 7, FALSE), perc_95, VLOOKUP(Q$2, Percentiles!$A$45:$I$59, 8, FALSE), perc_85, perc_75 + (perc_90 - perc_75) * (2/3), converted_stat, '2K_Ratings'!Q95, IF(bbgm_stat &gt;= perc_95, converted_stat * 3, IF(bbgm_stat &gt;= perc_90, converted_stat * 2, IF(bbgm_stat &gt;= perc_85, converted_stat * 1.5, converted_stat)))))</f>
        <v/>
      </c>
      <c r="R95" s="30" t="str">
        <f t="array" ref="R95">IF($A95="", "", LET(bbgm_stat, INDEX(Players!$A94:$P94, MATCH(R$2, Players!$A$1:$P$1, 0)), perc_75, VLOOKUP(R$2, Percentiles!$A$45:$I$59, 6, FALSE), perc_90, VLOOKUP(R$2, Percentiles!$A$45:$I$59, 7, FALSE), perc_95, VLOOKUP(R$2, Percentiles!$A$45:$I$59, 8, FALSE), perc_85, perc_75 + (perc_90 - perc_75) * (2/3), converted_stat, '2K_Ratings'!R95, IF(bbgm_stat &gt;= perc_95, converted_stat * 3, IF(bbgm_stat &gt;= perc_90, converted_stat * 2, IF(bbgm_stat &gt;= perc_85, converted_stat * 1.5, converted_stat)))))</f>
        <v/>
      </c>
      <c r="S95" s="30" t="str">
        <f t="array" ref="S95">IF($A95="", "", LET(bbgm_stat, INDEX(Players!$A94:$P94, MATCH(S$2, Players!$A$1:$P$1, 0)), perc_75, VLOOKUP(S$2, Percentiles!$A$45:$I$59, 6, FALSE), perc_90, VLOOKUP(S$2, Percentiles!$A$45:$I$59, 7, FALSE), perc_95, VLOOKUP(S$2, Percentiles!$A$45:$I$59, 8, FALSE), perc_85, perc_75 + (perc_90 - perc_75) * (2/3), converted_stat, '2K_Ratings'!S95, IF(bbgm_stat &gt;= perc_95, converted_stat * 3, IF(bbgm_stat &gt;= perc_90, converted_stat * 2, IF(bbgm_stat &gt;= perc_85, converted_stat * 1.5, converted_stat)))))</f>
        <v/>
      </c>
      <c r="T95" s="30" t="str">
        <f t="array" ref="T95">IF($A95="", "", LET(bbgm_stat, INDEX(Players!$A94:$P94, MATCH(T$2, Players!$A$1:$P$1, 0)), perc_75, VLOOKUP(T$2, Percentiles!$A$45:$I$59, 6, FALSE), perc_90, VLOOKUP(T$2, Percentiles!$A$45:$I$59, 7, FALSE), perc_95, VLOOKUP(T$2, Percentiles!$A$45:$I$59, 8, FALSE), perc_85, perc_75 + (perc_90 - perc_75) * (2/3), converted_stat, '2K_Ratings'!T95, IF(bbgm_stat &gt;= perc_95, converted_stat * 3, IF(bbgm_stat &gt;= perc_90, converted_stat * 2, IF(bbgm_stat &gt;= perc_85, converted_stat * 1.5, converted_stat)))))</f>
        <v/>
      </c>
      <c r="U95" s="30" t="str">
        <f t="array" ref="U95">IF($A95="", "", LET(bbgm_stat, INDEX(Players!$A94:$P94, MATCH(U$2, Players!$A$1:$P$1, 0)), perc_75, VLOOKUP(U$2, Percentiles!$A$45:$I$59, 6, FALSE), perc_90, VLOOKUP(U$2, Percentiles!$A$45:$I$59, 7, FALSE), perc_95, VLOOKUP(U$2, Percentiles!$A$45:$I$59, 8, FALSE), perc_85, perc_75 + (perc_90 - perc_75) * (2/3), converted_stat, '2K_Ratings'!U95, IF(bbgm_stat &gt;= perc_95, converted_stat * 3, IF(bbgm_stat &gt;= perc_90, converted_stat * 2, IF(bbgm_stat &gt;= perc_85, converted_stat * 1.5, converted_stat)))))</f>
        <v/>
      </c>
      <c r="V95" s="30" t="str">
        <f t="array" ref="V95">IF($A95="", "", LET(bbgm_stat, INDEX(Players!$A94:$P94, MATCH(V$2, Players!$A$1:$P$1, 0)), perc_75, VLOOKUP(V$2, Percentiles!$A$45:$I$59, 6, FALSE), perc_90, VLOOKUP(V$2, Percentiles!$A$45:$I$59, 7, FALSE), perc_95, VLOOKUP(V$2, Percentiles!$A$45:$I$59, 8, FALSE), perc_85, perc_75 + (perc_90 - perc_75) * (2/3), converted_stat, '2K_Ratings'!V95, IF(bbgm_stat &gt;= perc_95, converted_stat * 3, IF(bbgm_stat &gt;= perc_90, converted_stat * 2, IF(bbgm_stat &gt;= perc_85, converted_stat * 1.5, converted_stat)))))</f>
        <v/>
      </c>
      <c r="W95" s="30" t="str">
        <f t="array" ref="W95">IF($A95="", "", LET(bbgm_stat, INDEX(Players!$A94:$P94, MATCH(W$2, Players!$A$1:$P$1, 0)), perc_75, VLOOKUP(W$2, Percentiles!$A$45:$I$59, 6, FALSE), perc_90, VLOOKUP(W$2, Percentiles!$A$45:$I$59, 7, FALSE), perc_95, VLOOKUP(W$2, Percentiles!$A$45:$I$59, 8, FALSE), perc_85, perc_75 + (perc_90 - perc_75) * (2/3), converted_stat, '2K_Ratings'!W95, IF(bbgm_stat &gt;= perc_95, converted_stat * 3, IF(bbgm_stat &gt;= perc_90, converted_stat * 2, IF(bbgm_stat &gt;= perc_85, converted_stat * 1.5, converted_stat)))))</f>
        <v/>
      </c>
    </row>
    <row r="96">
      <c r="A96" s="30" t="str">
        <f>IF(Players!A95="", "", Players!A95)</f>
        <v/>
      </c>
      <c r="B96" s="30" t="str">
        <f t="array" ref="B96">IF($A96="", "", LET(bbgm_stat, INDEX(Players!$A95:$P95, MATCH(B$2, Players!$A$1:$P$1, 0)), perc_75, VLOOKUP(B$2, Percentiles!$A$45:$I$59, 6, FALSE), perc_90, VLOOKUP(B$2, Percentiles!$A$45:$I$59, 7, FALSE), perc_95, VLOOKUP(B$2, Percentiles!$A$45:$I$59, 8, FALSE), perc_85, perc_75 + (perc_90 - perc_75) * (2/3), converted_stat, '2K_Ratings'!B96, IF(bbgm_stat &gt;= perc_95, converted_stat * 3, IF(bbgm_stat &gt;= perc_90, converted_stat * 2, IF(bbgm_stat &gt;= perc_85, converted_stat * 1.5, converted_stat)))))</f>
        <v/>
      </c>
      <c r="C96" s="30" t="str">
        <f t="array" ref="C96">IF($A96="", "", LET(bbgm_stat, INDEX(Players!$A95:$P95, MATCH(C$2, Players!$A$1:$P$1, 0)), perc_75, VLOOKUP(C$2, Percentiles!$A$45:$I$59, 6, FALSE), perc_90, VLOOKUP(C$2, Percentiles!$A$45:$I$59, 7, FALSE), perc_95, VLOOKUP(C$2, Percentiles!$A$45:$I$59, 8, FALSE), perc_85, perc_75 + (perc_90 - perc_75) * (2/3), converted_stat, '2K_Ratings'!C96, IF(bbgm_stat &gt;= perc_95, converted_stat * 3, IF(bbgm_stat &gt;= perc_90, converted_stat * 2, IF(bbgm_stat &gt;= perc_85, converted_stat * 1.5, converted_stat)))))</f>
        <v/>
      </c>
      <c r="D96" s="30" t="str">
        <f t="array" ref="D96">IF($A96="", "", LET(bbgm_stat, INDEX(Players!$A95:$P95, MATCH(D$2, Players!$A$1:$P$1, 0)), perc_75, VLOOKUP(D$2, Percentiles!$A$45:$I$59, 6, FALSE), perc_90, VLOOKUP(D$2, Percentiles!$A$45:$I$59, 7, FALSE), perc_95, VLOOKUP(D$2, Percentiles!$A$45:$I$59, 8, FALSE), perc_85, perc_75 + (perc_90 - perc_75) * (2/3), converted_stat, '2K_Ratings'!D96, IF(bbgm_stat &gt;= perc_95, converted_stat * 3, IF(bbgm_stat &gt;= perc_90, converted_stat * 2, IF(bbgm_stat &gt;= perc_85, converted_stat * 1.5, converted_stat)))))</f>
        <v/>
      </c>
      <c r="E96" s="30" t="str">
        <f t="array" ref="E96">IF($A96="", "", LET(bbgm_stat, INDEX(Players!$A95:$P95, MATCH(E$2, Players!$A$1:$P$1, 0)), perc_75, VLOOKUP(E$2, Percentiles!$A$45:$I$59, 6, FALSE), perc_90, VLOOKUP(E$2, Percentiles!$A$45:$I$59, 7, FALSE), perc_95, VLOOKUP(E$2, Percentiles!$A$45:$I$59, 8, FALSE), perc_85, perc_75 + (perc_90 - perc_75) * (2/3), converted_stat, '2K_Ratings'!E96, IF(bbgm_stat &gt;= perc_95, converted_stat * 3, IF(bbgm_stat &gt;= perc_90, converted_stat * 2, IF(bbgm_stat &gt;= perc_85, converted_stat * 1.5, converted_stat)))))</f>
        <v/>
      </c>
      <c r="F96" s="30" t="str">
        <f t="array" ref="F96">IF($A96="", "", LET(bbgm_stat, INDEX(Players!$A95:$P95, MATCH(F$2, Players!$A$1:$P$1, 0)), perc_75, VLOOKUP(F$2, Percentiles!$A$45:$I$59, 6, FALSE), perc_90, VLOOKUP(F$2, Percentiles!$A$45:$I$59, 7, FALSE), perc_95, VLOOKUP(F$2, Percentiles!$A$45:$I$59, 8, FALSE), perc_85, perc_75 + (perc_90 - perc_75) * (2/3), converted_stat, '2K_Ratings'!F96, IF(bbgm_stat &gt;= perc_95, converted_stat * 3, IF(bbgm_stat &gt;= perc_90, converted_stat * 2, IF(bbgm_stat &gt;= perc_85, converted_stat * 1.5, converted_stat)))))</f>
        <v/>
      </c>
      <c r="G96" s="30" t="str">
        <f t="array" ref="G96">IF($A96="", "", LET(bbgm_stat, INDEX(Players!$A95:$P95, MATCH(G$2, Players!$A$1:$P$1, 0)), perc_75, VLOOKUP(G$2, Percentiles!$A$45:$I$59, 6, FALSE), perc_90, VLOOKUP(G$2, Percentiles!$A$45:$I$59, 7, FALSE), perc_95, VLOOKUP(G$2, Percentiles!$A$45:$I$59, 8, FALSE), perc_85, perc_75 + (perc_90 - perc_75) * (2/3), converted_stat, '2K_Ratings'!G96, IF(bbgm_stat &gt;= perc_95, converted_stat * 3, IF(bbgm_stat &gt;= perc_90, converted_stat * 2, IF(bbgm_stat &gt;= perc_85, converted_stat * 1.5, converted_stat)))))</f>
        <v/>
      </c>
      <c r="H96" s="30" t="str">
        <f t="array" ref="H96">IF($A96="", "", LET(bbgm_stat, INDEX(Players!$A95:$P95, MATCH(H$2, Players!$A$1:$P$1, 0)), perc_75, VLOOKUP(H$2, Percentiles!$A$45:$I$59, 6, FALSE), perc_90, VLOOKUP(H$2, Percentiles!$A$45:$I$59, 7, FALSE), perc_95, VLOOKUP(H$2, Percentiles!$A$45:$I$59, 8, FALSE), perc_85, perc_75 + (perc_90 - perc_75) * (2/3), converted_stat, '2K_Ratings'!H96, IF(bbgm_stat &gt;= perc_95, converted_stat * 3, IF(bbgm_stat &gt;= perc_90, converted_stat * 2, IF(bbgm_stat &gt;= perc_85, converted_stat * 1.5, converted_stat)))))</f>
        <v/>
      </c>
      <c r="I96" s="30" t="str">
        <f t="array" ref="I96">IF($A96="", "", LET(bbgm_stat, INDEX(Players!$A95:$P95, MATCH(I$2, Players!$A$1:$P$1, 0)), perc_75, VLOOKUP(I$2, Percentiles!$A$45:$I$59, 6, FALSE), perc_90, VLOOKUP(I$2, Percentiles!$A$45:$I$59, 7, FALSE), perc_95, VLOOKUP(I$2, Percentiles!$A$45:$I$59, 8, FALSE), perc_85, perc_75 + (perc_90 - perc_75) * (2/3), converted_stat, '2K_Ratings'!I96, IF(bbgm_stat &gt;= perc_95, converted_stat * 3, IF(bbgm_stat &gt;= perc_90, converted_stat * 2, IF(bbgm_stat &gt;= perc_85, converted_stat * 1.5, converted_stat)))))</f>
        <v/>
      </c>
      <c r="J96" s="30" t="str">
        <f t="array" ref="J96">IF($A96="", "", LET(bbgm_stat, INDEX(Players!$A95:$P95, MATCH(J$2, Players!$A$1:$P$1, 0)), perc_75, VLOOKUP(J$2, Percentiles!$A$45:$I$59, 6, FALSE), perc_90, VLOOKUP(J$2, Percentiles!$A$45:$I$59, 7, FALSE), perc_95, VLOOKUP(J$2, Percentiles!$A$45:$I$59, 8, FALSE), perc_85, perc_75 + (perc_90 - perc_75) * (2/3), converted_stat, '2K_Ratings'!J96, IF(bbgm_stat &gt;= perc_95, converted_stat * 3, IF(bbgm_stat &gt;= perc_90, converted_stat * 2, IF(bbgm_stat &gt;= perc_85, converted_stat * 1.5, converted_stat)))))</f>
        <v/>
      </c>
      <c r="K96" s="30" t="str">
        <f t="array" ref="K96">IF($A96="", "", LET(bbgm_stat, INDEX(Players!$A95:$P95, MATCH(K$2, Players!$A$1:$P$1, 0)), perc_75, VLOOKUP(K$2, Percentiles!$A$45:$I$59, 6, FALSE), perc_90, VLOOKUP(K$2, Percentiles!$A$45:$I$59, 7, FALSE), perc_95, VLOOKUP(K$2, Percentiles!$A$45:$I$59, 8, FALSE), perc_85, perc_75 + (perc_90 - perc_75) * (2/3), converted_stat, '2K_Ratings'!K96, IF(bbgm_stat &gt;= perc_95, converted_stat * 3, IF(bbgm_stat &gt;= perc_90, converted_stat * 2, IF(bbgm_stat &gt;= perc_85, converted_stat * 1.5, converted_stat)))))</f>
        <v/>
      </c>
      <c r="L96" s="30" t="str">
        <f t="array" ref="L96">IF($A96="", "", LET(bbgm_stat, INDEX(Players!$A95:$P95, MATCH(L$2, Players!$A$1:$P$1, 0)), perc_75, VLOOKUP(L$2, Percentiles!$A$45:$I$59, 6, FALSE), perc_90, VLOOKUP(L$2, Percentiles!$A$45:$I$59, 7, FALSE), perc_95, VLOOKUP(L$2, Percentiles!$A$45:$I$59, 8, FALSE), perc_85, perc_75 + (perc_90 - perc_75) * (2/3), converted_stat, '2K_Ratings'!L96, IF(bbgm_stat &gt;= perc_95, converted_stat * 3, IF(bbgm_stat &gt;= perc_90, converted_stat * 2, IF(bbgm_stat &gt;= perc_85, converted_stat * 1.5, converted_stat)))))</f>
        <v/>
      </c>
      <c r="M96" s="30" t="str">
        <f t="array" ref="M96">IF($A96="", "", LET(bbgm_stat, INDEX(Players!$A95:$P95, MATCH(M$2, Players!$A$1:$P$1, 0)), perc_75, VLOOKUP(M$2, Percentiles!$A$45:$I$59, 6, FALSE), perc_90, VLOOKUP(M$2, Percentiles!$A$45:$I$59, 7, FALSE), perc_95, VLOOKUP(M$2, Percentiles!$A$45:$I$59, 8, FALSE), perc_85, perc_75 + (perc_90 - perc_75) * (2/3), converted_stat, '2K_Ratings'!M96, IF(bbgm_stat &gt;= perc_95, converted_stat * 3, IF(bbgm_stat &gt;= perc_90, converted_stat * 2, IF(bbgm_stat &gt;= perc_85, converted_stat * 1.5, converted_stat)))))</f>
        <v/>
      </c>
      <c r="N96" s="30" t="str">
        <f t="array" ref="N96">IF($A96="", "", LET(bbgm_stat, INDEX(Players!$A95:$P95, MATCH(N$2, Players!$A$1:$P$1, 0)), perc_75, VLOOKUP(N$2, Percentiles!$A$45:$I$59, 6, FALSE), perc_90, VLOOKUP(N$2, Percentiles!$A$45:$I$59, 7, FALSE), perc_95, VLOOKUP(N$2, Percentiles!$A$45:$I$59, 8, FALSE), perc_85, perc_75 + (perc_90 - perc_75) * (2/3), converted_stat, '2K_Ratings'!N96, IF(bbgm_stat &gt;= perc_95, converted_stat * 3, IF(bbgm_stat &gt;= perc_90, converted_stat * 2, IF(bbgm_stat &gt;= perc_85, converted_stat * 1.5, converted_stat)))))</f>
        <v/>
      </c>
      <c r="O96" s="30" t="str">
        <f t="array" ref="O96">IF($A96="", "", LET(bbgm_stat, INDEX(Players!$A95:$P95, MATCH(O$2, Players!$A$1:$P$1, 0)), perc_75, VLOOKUP(O$2, Percentiles!$A$45:$I$59, 6, FALSE), perc_90, VLOOKUP(O$2, Percentiles!$A$45:$I$59, 7, FALSE), perc_95, VLOOKUP(O$2, Percentiles!$A$45:$I$59, 8, FALSE), perc_85, perc_75 + (perc_90 - perc_75) * (2/3), converted_stat, '2K_Ratings'!O96, IF(bbgm_stat &gt;= perc_95, converted_stat * 3, IF(bbgm_stat &gt;= perc_90, converted_stat * 2, IF(bbgm_stat &gt;= perc_85, converted_stat * 1.5, converted_stat)))))</f>
        <v/>
      </c>
      <c r="P96" s="30" t="str">
        <f t="array" ref="P96">IF($A96="", "", LET(bbgm_stat, INDEX(Players!$A95:$P95, MATCH(P$2, Players!$A$1:$P$1, 0)), perc_75, VLOOKUP(P$2, Percentiles!$A$45:$I$59, 6, FALSE), perc_90, VLOOKUP(P$2, Percentiles!$A$45:$I$59, 7, FALSE), perc_95, VLOOKUP(P$2, Percentiles!$A$45:$I$59, 8, FALSE), perc_85, perc_75 + (perc_90 - perc_75) * (2/3), converted_stat, '2K_Ratings'!P96, IF(bbgm_stat &gt;= perc_95, converted_stat * 3, IF(bbgm_stat &gt;= perc_90, converted_stat * 2, IF(bbgm_stat &gt;= perc_85, converted_stat * 1.5, converted_stat)))))</f>
        <v/>
      </c>
      <c r="Q96" s="30" t="str">
        <f t="array" ref="Q96">IF($A96="", "", LET(bbgm_stat, INDEX(Players!$A95:$P95, MATCH(Q$2, Players!$A$1:$P$1, 0)), perc_75, VLOOKUP(Q$2, Percentiles!$A$45:$I$59, 6, FALSE), perc_90, VLOOKUP(Q$2, Percentiles!$A$45:$I$59, 7, FALSE), perc_95, VLOOKUP(Q$2, Percentiles!$A$45:$I$59, 8, FALSE), perc_85, perc_75 + (perc_90 - perc_75) * (2/3), converted_stat, '2K_Ratings'!Q96, IF(bbgm_stat &gt;= perc_95, converted_stat * 3, IF(bbgm_stat &gt;= perc_90, converted_stat * 2, IF(bbgm_stat &gt;= perc_85, converted_stat * 1.5, converted_stat)))))</f>
        <v/>
      </c>
      <c r="R96" s="30" t="str">
        <f t="array" ref="R96">IF($A96="", "", LET(bbgm_stat, INDEX(Players!$A95:$P95, MATCH(R$2, Players!$A$1:$P$1, 0)), perc_75, VLOOKUP(R$2, Percentiles!$A$45:$I$59, 6, FALSE), perc_90, VLOOKUP(R$2, Percentiles!$A$45:$I$59, 7, FALSE), perc_95, VLOOKUP(R$2, Percentiles!$A$45:$I$59, 8, FALSE), perc_85, perc_75 + (perc_90 - perc_75) * (2/3), converted_stat, '2K_Ratings'!R96, IF(bbgm_stat &gt;= perc_95, converted_stat * 3, IF(bbgm_stat &gt;= perc_90, converted_stat * 2, IF(bbgm_stat &gt;= perc_85, converted_stat * 1.5, converted_stat)))))</f>
        <v/>
      </c>
      <c r="S96" s="30" t="str">
        <f t="array" ref="S96">IF($A96="", "", LET(bbgm_stat, INDEX(Players!$A95:$P95, MATCH(S$2, Players!$A$1:$P$1, 0)), perc_75, VLOOKUP(S$2, Percentiles!$A$45:$I$59, 6, FALSE), perc_90, VLOOKUP(S$2, Percentiles!$A$45:$I$59, 7, FALSE), perc_95, VLOOKUP(S$2, Percentiles!$A$45:$I$59, 8, FALSE), perc_85, perc_75 + (perc_90 - perc_75) * (2/3), converted_stat, '2K_Ratings'!S96, IF(bbgm_stat &gt;= perc_95, converted_stat * 3, IF(bbgm_stat &gt;= perc_90, converted_stat * 2, IF(bbgm_stat &gt;= perc_85, converted_stat * 1.5, converted_stat)))))</f>
        <v/>
      </c>
      <c r="T96" s="30" t="str">
        <f t="array" ref="T96">IF($A96="", "", LET(bbgm_stat, INDEX(Players!$A95:$P95, MATCH(T$2, Players!$A$1:$P$1, 0)), perc_75, VLOOKUP(T$2, Percentiles!$A$45:$I$59, 6, FALSE), perc_90, VLOOKUP(T$2, Percentiles!$A$45:$I$59, 7, FALSE), perc_95, VLOOKUP(T$2, Percentiles!$A$45:$I$59, 8, FALSE), perc_85, perc_75 + (perc_90 - perc_75) * (2/3), converted_stat, '2K_Ratings'!T96, IF(bbgm_stat &gt;= perc_95, converted_stat * 3, IF(bbgm_stat &gt;= perc_90, converted_stat * 2, IF(bbgm_stat &gt;= perc_85, converted_stat * 1.5, converted_stat)))))</f>
        <v/>
      </c>
      <c r="U96" s="30" t="str">
        <f t="array" ref="U96">IF($A96="", "", LET(bbgm_stat, INDEX(Players!$A95:$P95, MATCH(U$2, Players!$A$1:$P$1, 0)), perc_75, VLOOKUP(U$2, Percentiles!$A$45:$I$59, 6, FALSE), perc_90, VLOOKUP(U$2, Percentiles!$A$45:$I$59, 7, FALSE), perc_95, VLOOKUP(U$2, Percentiles!$A$45:$I$59, 8, FALSE), perc_85, perc_75 + (perc_90 - perc_75) * (2/3), converted_stat, '2K_Ratings'!U96, IF(bbgm_stat &gt;= perc_95, converted_stat * 3, IF(bbgm_stat &gt;= perc_90, converted_stat * 2, IF(bbgm_stat &gt;= perc_85, converted_stat * 1.5, converted_stat)))))</f>
        <v/>
      </c>
      <c r="V96" s="30" t="str">
        <f t="array" ref="V96">IF($A96="", "", LET(bbgm_stat, INDEX(Players!$A95:$P95, MATCH(V$2, Players!$A$1:$P$1, 0)), perc_75, VLOOKUP(V$2, Percentiles!$A$45:$I$59, 6, FALSE), perc_90, VLOOKUP(V$2, Percentiles!$A$45:$I$59, 7, FALSE), perc_95, VLOOKUP(V$2, Percentiles!$A$45:$I$59, 8, FALSE), perc_85, perc_75 + (perc_90 - perc_75) * (2/3), converted_stat, '2K_Ratings'!V96, IF(bbgm_stat &gt;= perc_95, converted_stat * 3, IF(bbgm_stat &gt;= perc_90, converted_stat * 2, IF(bbgm_stat &gt;= perc_85, converted_stat * 1.5, converted_stat)))))</f>
        <v/>
      </c>
      <c r="W96" s="30" t="str">
        <f t="array" ref="W96">IF($A96="", "", LET(bbgm_stat, INDEX(Players!$A95:$P95, MATCH(W$2, Players!$A$1:$P$1, 0)), perc_75, VLOOKUP(W$2, Percentiles!$A$45:$I$59, 6, FALSE), perc_90, VLOOKUP(W$2, Percentiles!$A$45:$I$59, 7, FALSE), perc_95, VLOOKUP(W$2, Percentiles!$A$45:$I$59, 8, FALSE), perc_85, perc_75 + (perc_90 - perc_75) * (2/3), converted_stat, '2K_Ratings'!W96, IF(bbgm_stat &gt;= perc_95, converted_stat * 3, IF(bbgm_stat &gt;= perc_90, converted_stat * 2, IF(bbgm_stat &gt;= perc_85, converted_stat * 1.5, converted_stat)))))</f>
        <v/>
      </c>
    </row>
    <row r="97">
      <c r="A97" s="30" t="str">
        <f>IF(Players!A96="", "", Players!A96)</f>
        <v/>
      </c>
      <c r="B97" s="30" t="str">
        <f t="array" ref="B97">IF($A97="", "", LET(bbgm_stat, INDEX(Players!$A96:$P96, MATCH(B$2, Players!$A$1:$P$1, 0)), perc_75, VLOOKUP(B$2, Percentiles!$A$45:$I$59, 6, FALSE), perc_90, VLOOKUP(B$2, Percentiles!$A$45:$I$59, 7, FALSE), perc_95, VLOOKUP(B$2, Percentiles!$A$45:$I$59, 8, FALSE), perc_85, perc_75 + (perc_90 - perc_75) * (2/3), converted_stat, '2K_Ratings'!B97, IF(bbgm_stat &gt;= perc_95, converted_stat * 3, IF(bbgm_stat &gt;= perc_90, converted_stat * 2, IF(bbgm_stat &gt;= perc_85, converted_stat * 1.5, converted_stat)))))</f>
        <v/>
      </c>
      <c r="C97" s="30" t="str">
        <f t="array" ref="C97">IF($A97="", "", LET(bbgm_stat, INDEX(Players!$A96:$P96, MATCH(C$2, Players!$A$1:$P$1, 0)), perc_75, VLOOKUP(C$2, Percentiles!$A$45:$I$59, 6, FALSE), perc_90, VLOOKUP(C$2, Percentiles!$A$45:$I$59, 7, FALSE), perc_95, VLOOKUP(C$2, Percentiles!$A$45:$I$59, 8, FALSE), perc_85, perc_75 + (perc_90 - perc_75) * (2/3), converted_stat, '2K_Ratings'!C97, IF(bbgm_stat &gt;= perc_95, converted_stat * 3, IF(bbgm_stat &gt;= perc_90, converted_stat * 2, IF(bbgm_stat &gt;= perc_85, converted_stat * 1.5, converted_stat)))))</f>
        <v/>
      </c>
      <c r="D97" s="30" t="str">
        <f t="array" ref="D97">IF($A97="", "", LET(bbgm_stat, INDEX(Players!$A96:$P96, MATCH(D$2, Players!$A$1:$P$1, 0)), perc_75, VLOOKUP(D$2, Percentiles!$A$45:$I$59, 6, FALSE), perc_90, VLOOKUP(D$2, Percentiles!$A$45:$I$59, 7, FALSE), perc_95, VLOOKUP(D$2, Percentiles!$A$45:$I$59, 8, FALSE), perc_85, perc_75 + (perc_90 - perc_75) * (2/3), converted_stat, '2K_Ratings'!D97, IF(bbgm_stat &gt;= perc_95, converted_stat * 3, IF(bbgm_stat &gt;= perc_90, converted_stat * 2, IF(bbgm_stat &gt;= perc_85, converted_stat * 1.5, converted_stat)))))</f>
        <v/>
      </c>
      <c r="E97" s="30" t="str">
        <f t="array" ref="E97">IF($A97="", "", LET(bbgm_stat, INDEX(Players!$A96:$P96, MATCH(E$2, Players!$A$1:$P$1, 0)), perc_75, VLOOKUP(E$2, Percentiles!$A$45:$I$59, 6, FALSE), perc_90, VLOOKUP(E$2, Percentiles!$A$45:$I$59, 7, FALSE), perc_95, VLOOKUP(E$2, Percentiles!$A$45:$I$59, 8, FALSE), perc_85, perc_75 + (perc_90 - perc_75) * (2/3), converted_stat, '2K_Ratings'!E97, IF(bbgm_stat &gt;= perc_95, converted_stat * 3, IF(bbgm_stat &gt;= perc_90, converted_stat * 2, IF(bbgm_stat &gt;= perc_85, converted_stat * 1.5, converted_stat)))))</f>
        <v/>
      </c>
      <c r="F97" s="30" t="str">
        <f t="array" ref="F97">IF($A97="", "", LET(bbgm_stat, INDEX(Players!$A96:$P96, MATCH(F$2, Players!$A$1:$P$1, 0)), perc_75, VLOOKUP(F$2, Percentiles!$A$45:$I$59, 6, FALSE), perc_90, VLOOKUP(F$2, Percentiles!$A$45:$I$59, 7, FALSE), perc_95, VLOOKUP(F$2, Percentiles!$A$45:$I$59, 8, FALSE), perc_85, perc_75 + (perc_90 - perc_75) * (2/3), converted_stat, '2K_Ratings'!F97, IF(bbgm_stat &gt;= perc_95, converted_stat * 3, IF(bbgm_stat &gt;= perc_90, converted_stat * 2, IF(bbgm_stat &gt;= perc_85, converted_stat * 1.5, converted_stat)))))</f>
        <v/>
      </c>
      <c r="G97" s="30" t="str">
        <f t="array" ref="G97">IF($A97="", "", LET(bbgm_stat, INDEX(Players!$A96:$P96, MATCH(G$2, Players!$A$1:$P$1, 0)), perc_75, VLOOKUP(G$2, Percentiles!$A$45:$I$59, 6, FALSE), perc_90, VLOOKUP(G$2, Percentiles!$A$45:$I$59, 7, FALSE), perc_95, VLOOKUP(G$2, Percentiles!$A$45:$I$59, 8, FALSE), perc_85, perc_75 + (perc_90 - perc_75) * (2/3), converted_stat, '2K_Ratings'!G97, IF(bbgm_stat &gt;= perc_95, converted_stat * 3, IF(bbgm_stat &gt;= perc_90, converted_stat * 2, IF(bbgm_stat &gt;= perc_85, converted_stat * 1.5, converted_stat)))))</f>
        <v/>
      </c>
      <c r="H97" s="30" t="str">
        <f t="array" ref="H97">IF($A97="", "", LET(bbgm_stat, INDEX(Players!$A96:$P96, MATCH(H$2, Players!$A$1:$P$1, 0)), perc_75, VLOOKUP(H$2, Percentiles!$A$45:$I$59, 6, FALSE), perc_90, VLOOKUP(H$2, Percentiles!$A$45:$I$59, 7, FALSE), perc_95, VLOOKUP(H$2, Percentiles!$A$45:$I$59, 8, FALSE), perc_85, perc_75 + (perc_90 - perc_75) * (2/3), converted_stat, '2K_Ratings'!H97, IF(bbgm_stat &gt;= perc_95, converted_stat * 3, IF(bbgm_stat &gt;= perc_90, converted_stat * 2, IF(bbgm_stat &gt;= perc_85, converted_stat * 1.5, converted_stat)))))</f>
        <v/>
      </c>
      <c r="I97" s="30" t="str">
        <f t="array" ref="I97">IF($A97="", "", LET(bbgm_stat, INDEX(Players!$A96:$P96, MATCH(I$2, Players!$A$1:$P$1, 0)), perc_75, VLOOKUP(I$2, Percentiles!$A$45:$I$59, 6, FALSE), perc_90, VLOOKUP(I$2, Percentiles!$A$45:$I$59, 7, FALSE), perc_95, VLOOKUP(I$2, Percentiles!$A$45:$I$59, 8, FALSE), perc_85, perc_75 + (perc_90 - perc_75) * (2/3), converted_stat, '2K_Ratings'!I97, IF(bbgm_stat &gt;= perc_95, converted_stat * 3, IF(bbgm_stat &gt;= perc_90, converted_stat * 2, IF(bbgm_stat &gt;= perc_85, converted_stat * 1.5, converted_stat)))))</f>
        <v/>
      </c>
      <c r="J97" s="30" t="str">
        <f t="array" ref="J97">IF($A97="", "", LET(bbgm_stat, INDEX(Players!$A96:$P96, MATCH(J$2, Players!$A$1:$P$1, 0)), perc_75, VLOOKUP(J$2, Percentiles!$A$45:$I$59, 6, FALSE), perc_90, VLOOKUP(J$2, Percentiles!$A$45:$I$59, 7, FALSE), perc_95, VLOOKUP(J$2, Percentiles!$A$45:$I$59, 8, FALSE), perc_85, perc_75 + (perc_90 - perc_75) * (2/3), converted_stat, '2K_Ratings'!J97, IF(bbgm_stat &gt;= perc_95, converted_stat * 3, IF(bbgm_stat &gt;= perc_90, converted_stat * 2, IF(bbgm_stat &gt;= perc_85, converted_stat * 1.5, converted_stat)))))</f>
        <v/>
      </c>
      <c r="K97" s="30" t="str">
        <f t="array" ref="K97">IF($A97="", "", LET(bbgm_stat, INDEX(Players!$A96:$P96, MATCH(K$2, Players!$A$1:$P$1, 0)), perc_75, VLOOKUP(K$2, Percentiles!$A$45:$I$59, 6, FALSE), perc_90, VLOOKUP(K$2, Percentiles!$A$45:$I$59, 7, FALSE), perc_95, VLOOKUP(K$2, Percentiles!$A$45:$I$59, 8, FALSE), perc_85, perc_75 + (perc_90 - perc_75) * (2/3), converted_stat, '2K_Ratings'!K97, IF(bbgm_stat &gt;= perc_95, converted_stat * 3, IF(bbgm_stat &gt;= perc_90, converted_stat * 2, IF(bbgm_stat &gt;= perc_85, converted_stat * 1.5, converted_stat)))))</f>
        <v/>
      </c>
      <c r="L97" s="30" t="str">
        <f t="array" ref="L97">IF($A97="", "", LET(bbgm_stat, INDEX(Players!$A96:$P96, MATCH(L$2, Players!$A$1:$P$1, 0)), perc_75, VLOOKUP(L$2, Percentiles!$A$45:$I$59, 6, FALSE), perc_90, VLOOKUP(L$2, Percentiles!$A$45:$I$59, 7, FALSE), perc_95, VLOOKUP(L$2, Percentiles!$A$45:$I$59, 8, FALSE), perc_85, perc_75 + (perc_90 - perc_75) * (2/3), converted_stat, '2K_Ratings'!L97, IF(bbgm_stat &gt;= perc_95, converted_stat * 3, IF(bbgm_stat &gt;= perc_90, converted_stat * 2, IF(bbgm_stat &gt;= perc_85, converted_stat * 1.5, converted_stat)))))</f>
        <v/>
      </c>
      <c r="M97" s="30" t="str">
        <f t="array" ref="M97">IF($A97="", "", LET(bbgm_stat, INDEX(Players!$A96:$P96, MATCH(M$2, Players!$A$1:$P$1, 0)), perc_75, VLOOKUP(M$2, Percentiles!$A$45:$I$59, 6, FALSE), perc_90, VLOOKUP(M$2, Percentiles!$A$45:$I$59, 7, FALSE), perc_95, VLOOKUP(M$2, Percentiles!$A$45:$I$59, 8, FALSE), perc_85, perc_75 + (perc_90 - perc_75) * (2/3), converted_stat, '2K_Ratings'!M97, IF(bbgm_stat &gt;= perc_95, converted_stat * 3, IF(bbgm_stat &gt;= perc_90, converted_stat * 2, IF(bbgm_stat &gt;= perc_85, converted_stat * 1.5, converted_stat)))))</f>
        <v/>
      </c>
      <c r="N97" s="30" t="str">
        <f t="array" ref="N97">IF($A97="", "", LET(bbgm_stat, INDEX(Players!$A96:$P96, MATCH(N$2, Players!$A$1:$P$1, 0)), perc_75, VLOOKUP(N$2, Percentiles!$A$45:$I$59, 6, FALSE), perc_90, VLOOKUP(N$2, Percentiles!$A$45:$I$59, 7, FALSE), perc_95, VLOOKUP(N$2, Percentiles!$A$45:$I$59, 8, FALSE), perc_85, perc_75 + (perc_90 - perc_75) * (2/3), converted_stat, '2K_Ratings'!N97, IF(bbgm_stat &gt;= perc_95, converted_stat * 3, IF(bbgm_stat &gt;= perc_90, converted_stat * 2, IF(bbgm_stat &gt;= perc_85, converted_stat * 1.5, converted_stat)))))</f>
        <v/>
      </c>
      <c r="O97" s="30" t="str">
        <f t="array" ref="O97">IF($A97="", "", LET(bbgm_stat, INDEX(Players!$A96:$P96, MATCH(O$2, Players!$A$1:$P$1, 0)), perc_75, VLOOKUP(O$2, Percentiles!$A$45:$I$59, 6, FALSE), perc_90, VLOOKUP(O$2, Percentiles!$A$45:$I$59, 7, FALSE), perc_95, VLOOKUP(O$2, Percentiles!$A$45:$I$59, 8, FALSE), perc_85, perc_75 + (perc_90 - perc_75) * (2/3), converted_stat, '2K_Ratings'!O97, IF(bbgm_stat &gt;= perc_95, converted_stat * 3, IF(bbgm_stat &gt;= perc_90, converted_stat * 2, IF(bbgm_stat &gt;= perc_85, converted_stat * 1.5, converted_stat)))))</f>
        <v/>
      </c>
      <c r="P97" s="30" t="str">
        <f t="array" ref="P97">IF($A97="", "", LET(bbgm_stat, INDEX(Players!$A96:$P96, MATCH(P$2, Players!$A$1:$P$1, 0)), perc_75, VLOOKUP(P$2, Percentiles!$A$45:$I$59, 6, FALSE), perc_90, VLOOKUP(P$2, Percentiles!$A$45:$I$59, 7, FALSE), perc_95, VLOOKUP(P$2, Percentiles!$A$45:$I$59, 8, FALSE), perc_85, perc_75 + (perc_90 - perc_75) * (2/3), converted_stat, '2K_Ratings'!P97, IF(bbgm_stat &gt;= perc_95, converted_stat * 3, IF(bbgm_stat &gt;= perc_90, converted_stat * 2, IF(bbgm_stat &gt;= perc_85, converted_stat * 1.5, converted_stat)))))</f>
        <v/>
      </c>
      <c r="Q97" s="30" t="str">
        <f t="array" ref="Q97">IF($A97="", "", LET(bbgm_stat, INDEX(Players!$A96:$P96, MATCH(Q$2, Players!$A$1:$P$1, 0)), perc_75, VLOOKUP(Q$2, Percentiles!$A$45:$I$59, 6, FALSE), perc_90, VLOOKUP(Q$2, Percentiles!$A$45:$I$59, 7, FALSE), perc_95, VLOOKUP(Q$2, Percentiles!$A$45:$I$59, 8, FALSE), perc_85, perc_75 + (perc_90 - perc_75) * (2/3), converted_stat, '2K_Ratings'!Q97, IF(bbgm_stat &gt;= perc_95, converted_stat * 3, IF(bbgm_stat &gt;= perc_90, converted_stat * 2, IF(bbgm_stat &gt;= perc_85, converted_stat * 1.5, converted_stat)))))</f>
        <v/>
      </c>
      <c r="R97" s="30" t="str">
        <f t="array" ref="R97">IF($A97="", "", LET(bbgm_stat, INDEX(Players!$A96:$P96, MATCH(R$2, Players!$A$1:$P$1, 0)), perc_75, VLOOKUP(R$2, Percentiles!$A$45:$I$59, 6, FALSE), perc_90, VLOOKUP(R$2, Percentiles!$A$45:$I$59, 7, FALSE), perc_95, VLOOKUP(R$2, Percentiles!$A$45:$I$59, 8, FALSE), perc_85, perc_75 + (perc_90 - perc_75) * (2/3), converted_stat, '2K_Ratings'!R97, IF(bbgm_stat &gt;= perc_95, converted_stat * 3, IF(bbgm_stat &gt;= perc_90, converted_stat * 2, IF(bbgm_stat &gt;= perc_85, converted_stat * 1.5, converted_stat)))))</f>
        <v/>
      </c>
      <c r="S97" s="30" t="str">
        <f t="array" ref="S97">IF($A97="", "", LET(bbgm_stat, INDEX(Players!$A96:$P96, MATCH(S$2, Players!$A$1:$P$1, 0)), perc_75, VLOOKUP(S$2, Percentiles!$A$45:$I$59, 6, FALSE), perc_90, VLOOKUP(S$2, Percentiles!$A$45:$I$59, 7, FALSE), perc_95, VLOOKUP(S$2, Percentiles!$A$45:$I$59, 8, FALSE), perc_85, perc_75 + (perc_90 - perc_75) * (2/3), converted_stat, '2K_Ratings'!S97, IF(bbgm_stat &gt;= perc_95, converted_stat * 3, IF(bbgm_stat &gt;= perc_90, converted_stat * 2, IF(bbgm_stat &gt;= perc_85, converted_stat * 1.5, converted_stat)))))</f>
        <v/>
      </c>
      <c r="T97" s="30" t="str">
        <f t="array" ref="T97">IF($A97="", "", LET(bbgm_stat, INDEX(Players!$A96:$P96, MATCH(T$2, Players!$A$1:$P$1, 0)), perc_75, VLOOKUP(T$2, Percentiles!$A$45:$I$59, 6, FALSE), perc_90, VLOOKUP(T$2, Percentiles!$A$45:$I$59, 7, FALSE), perc_95, VLOOKUP(T$2, Percentiles!$A$45:$I$59, 8, FALSE), perc_85, perc_75 + (perc_90 - perc_75) * (2/3), converted_stat, '2K_Ratings'!T97, IF(bbgm_stat &gt;= perc_95, converted_stat * 3, IF(bbgm_stat &gt;= perc_90, converted_stat * 2, IF(bbgm_stat &gt;= perc_85, converted_stat * 1.5, converted_stat)))))</f>
        <v/>
      </c>
      <c r="U97" s="30" t="str">
        <f t="array" ref="U97">IF($A97="", "", LET(bbgm_stat, INDEX(Players!$A96:$P96, MATCH(U$2, Players!$A$1:$P$1, 0)), perc_75, VLOOKUP(U$2, Percentiles!$A$45:$I$59, 6, FALSE), perc_90, VLOOKUP(U$2, Percentiles!$A$45:$I$59, 7, FALSE), perc_95, VLOOKUP(U$2, Percentiles!$A$45:$I$59, 8, FALSE), perc_85, perc_75 + (perc_90 - perc_75) * (2/3), converted_stat, '2K_Ratings'!U97, IF(bbgm_stat &gt;= perc_95, converted_stat * 3, IF(bbgm_stat &gt;= perc_90, converted_stat * 2, IF(bbgm_stat &gt;= perc_85, converted_stat * 1.5, converted_stat)))))</f>
        <v/>
      </c>
      <c r="V97" s="30" t="str">
        <f t="array" ref="V97">IF($A97="", "", LET(bbgm_stat, INDEX(Players!$A96:$P96, MATCH(V$2, Players!$A$1:$P$1, 0)), perc_75, VLOOKUP(V$2, Percentiles!$A$45:$I$59, 6, FALSE), perc_90, VLOOKUP(V$2, Percentiles!$A$45:$I$59, 7, FALSE), perc_95, VLOOKUP(V$2, Percentiles!$A$45:$I$59, 8, FALSE), perc_85, perc_75 + (perc_90 - perc_75) * (2/3), converted_stat, '2K_Ratings'!V97, IF(bbgm_stat &gt;= perc_95, converted_stat * 3, IF(bbgm_stat &gt;= perc_90, converted_stat * 2, IF(bbgm_stat &gt;= perc_85, converted_stat * 1.5, converted_stat)))))</f>
        <v/>
      </c>
      <c r="W97" s="30" t="str">
        <f t="array" ref="W97">IF($A97="", "", LET(bbgm_stat, INDEX(Players!$A96:$P96, MATCH(W$2, Players!$A$1:$P$1, 0)), perc_75, VLOOKUP(W$2, Percentiles!$A$45:$I$59, 6, FALSE), perc_90, VLOOKUP(W$2, Percentiles!$A$45:$I$59, 7, FALSE), perc_95, VLOOKUP(W$2, Percentiles!$A$45:$I$59, 8, FALSE), perc_85, perc_75 + (perc_90 - perc_75) * (2/3), converted_stat, '2K_Ratings'!W97, IF(bbgm_stat &gt;= perc_95, converted_stat * 3, IF(bbgm_stat &gt;= perc_90, converted_stat * 2, IF(bbgm_stat &gt;= perc_85, converted_stat * 1.5, converted_stat)))))</f>
        <v/>
      </c>
    </row>
    <row r="98">
      <c r="A98" s="30" t="str">
        <f>IF(Players!A97="", "", Players!A97)</f>
        <v/>
      </c>
      <c r="B98" s="30" t="str">
        <f t="array" ref="B98">IF($A98="", "", LET(bbgm_stat, INDEX(Players!$A97:$P97, MATCH(B$2, Players!$A$1:$P$1, 0)), perc_75, VLOOKUP(B$2, Percentiles!$A$45:$I$59, 6, FALSE), perc_90, VLOOKUP(B$2, Percentiles!$A$45:$I$59, 7, FALSE), perc_95, VLOOKUP(B$2, Percentiles!$A$45:$I$59, 8, FALSE), perc_85, perc_75 + (perc_90 - perc_75) * (2/3), converted_stat, '2K_Ratings'!B98, IF(bbgm_stat &gt;= perc_95, converted_stat * 3, IF(bbgm_stat &gt;= perc_90, converted_stat * 2, IF(bbgm_stat &gt;= perc_85, converted_stat * 1.5, converted_stat)))))</f>
        <v/>
      </c>
      <c r="C98" s="30" t="str">
        <f t="array" ref="C98">IF($A98="", "", LET(bbgm_stat, INDEX(Players!$A97:$P97, MATCH(C$2, Players!$A$1:$P$1, 0)), perc_75, VLOOKUP(C$2, Percentiles!$A$45:$I$59, 6, FALSE), perc_90, VLOOKUP(C$2, Percentiles!$A$45:$I$59, 7, FALSE), perc_95, VLOOKUP(C$2, Percentiles!$A$45:$I$59, 8, FALSE), perc_85, perc_75 + (perc_90 - perc_75) * (2/3), converted_stat, '2K_Ratings'!C98, IF(bbgm_stat &gt;= perc_95, converted_stat * 3, IF(bbgm_stat &gt;= perc_90, converted_stat * 2, IF(bbgm_stat &gt;= perc_85, converted_stat * 1.5, converted_stat)))))</f>
        <v/>
      </c>
      <c r="D98" s="30" t="str">
        <f t="array" ref="D98">IF($A98="", "", LET(bbgm_stat, INDEX(Players!$A97:$P97, MATCH(D$2, Players!$A$1:$P$1, 0)), perc_75, VLOOKUP(D$2, Percentiles!$A$45:$I$59, 6, FALSE), perc_90, VLOOKUP(D$2, Percentiles!$A$45:$I$59, 7, FALSE), perc_95, VLOOKUP(D$2, Percentiles!$A$45:$I$59, 8, FALSE), perc_85, perc_75 + (perc_90 - perc_75) * (2/3), converted_stat, '2K_Ratings'!D98, IF(bbgm_stat &gt;= perc_95, converted_stat * 3, IF(bbgm_stat &gt;= perc_90, converted_stat * 2, IF(bbgm_stat &gt;= perc_85, converted_stat * 1.5, converted_stat)))))</f>
        <v/>
      </c>
      <c r="E98" s="30" t="str">
        <f t="array" ref="E98">IF($A98="", "", LET(bbgm_stat, INDEX(Players!$A97:$P97, MATCH(E$2, Players!$A$1:$P$1, 0)), perc_75, VLOOKUP(E$2, Percentiles!$A$45:$I$59, 6, FALSE), perc_90, VLOOKUP(E$2, Percentiles!$A$45:$I$59, 7, FALSE), perc_95, VLOOKUP(E$2, Percentiles!$A$45:$I$59, 8, FALSE), perc_85, perc_75 + (perc_90 - perc_75) * (2/3), converted_stat, '2K_Ratings'!E98, IF(bbgm_stat &gt;= perc_95, converted_stat * 3, IF(bbgm_stat &gt;= perc_90, converted_stat * 2, IF(bbgm_stat &gt;= perc_85, converted_stat * 1.5, converted_stat)))))</f>
        <v/>
      </c>
      <c r="F98" s="30" t="str">
        <f t="array" ref="F98">IF($A98="", "", LET(bbgm_stat, INDEX(Players!$A97:$P97, MATCH(F$2, Players!$A$1:$P$1, 0)), perc_75, VLOOKUP(F$2, Percentiles!$A$45:$I$59, 6, FALSE), perc_90, VLOOKUP(F$2, Percentiles!$A$45:$I$59, 7, FALSE), perc_95, VLOOKUP(F$2, Percentiles!$A$45:$I$59, 8, FALSE), perc_85, perc_75 + (perc_90 - perc_75) * (2/3), converted_stat, '2K_Ratings'!F98, IF(bbgm_stat &gt;= perc_95, converted_stat * 3, IF(bbgm_stat &gt;= perc_90, converted_stat * 2, IF(bbgm_stat &gt;= perc_85, converted_stat * 1.5, converted_stat)))))</f>
        <v/>
      </c>
      <c r="G98" s="30" t="str">
        <f t="array" ref="G98">IF($A98="", "", LET(bbgm_stat, INDEX(Players!$A97:$P97, MATCH(G$2, Players!$A$1:$P$1, 0)), perc_75, VLOOKUP(G$2, Percentiles!$A$45:$I$59, 6, FALSE), perc_90, VLOOKUP(G$2, Percentiles!$A$45:$I$59, 7, FALSE), perc_95, VLOOKUP(G$2, Percentiles!$A$45:$I$59, 8, FALSE), perc_85, perc_75 + (perc_90 - perc_75) * (2/3), converted_stat, '2K_Ratings'!G98, IF(bbgm_stat &gt;= perc_95, converted_stat * 3, IF(bbgm_stat &gt;= perc_90, converted_stat * 2, IF(bbgm_stat &gt;= perc_85, converted_stat * 1.5, converted_stat)))))</f>
        <v/>
      </c>
      <c r="H98" s="30" t="str">
        <f t="array" ref="H98">IF($A98="", "", LET(bbgm_stat, INDEX(Players!$A97:$P97, MATCH(H$2, Players!$A$1:$P$1, 0)), perc_75, VLOOKUP(H$2, Percentiles!$A$45:$I$59, 6, FALSE), perc_90, VLOOKUP(H$2, Percentiles!$A$45:$I$59, 7, FALSE), perc_95, VLOOKUP(H$2, Percentiles!$A$45:$I$59, 8, FALSE), perc_85, perc_75 + (perc_90 - perc_75) * (2/3), converted_stat, '2K_Ratings'!H98, IF(bbgm_stat &gt;= perc_95, converted_stat * 3, IF(bbgm_stat &gt;= perc_90, converted_stat * 2, IF(bbgm_stat &gt;= perc_85, converted_stat * 1.5, converted_stat)))))</f>
        <v/>
      </c>
      <c r="I98" s="30" t="str">
        <f t="array" ref="I98">IF($A98="", "", LET(bbgm_stat, INDEX(Players!$A97:$P97, MATCH(I$2, Players!$A$1:$P$1, 0)), perc_75, VLOOKUP(I$2, Percentiles!$A$45:$I$59, 6, FALSE), perc_90, VLOOKUP(I$2, Percentiles!$A$45:$I$59, 7, FALSE), perc_95, VLOOKUP(I$2, Percentiles!$A$45:$I$59, 8, FALSE), perc_85, perc_75 + (perc_90 - perc_75) * (2/3), converted_stat, '2K_Ratings'!I98, IF(bbgm_stat &gt;= perc_95, converted_stat * 3, IF(bbgm_stat &gt;= perc_90, converted_stat * 2, IF(bbgm_stat &gt;= perc_85, converted_stat * 1.5, converted_stat)))))</f>
        <v/>
      </c>
      <c r="J98" s="30" t="str">
        <f t="array" ref="J98">IF($A98="", "", LET(bbgm_stat, INDEX(Players!$A97:$P97, MATCH(J$2, Players!$A$1:$P$1, 0)), perc_75, VLOOKUP(J$2, Percentiles!$A$45:$I$59, 6, FALSE), perc_90, VLOOKUP(J$2, Percentiles!$A$45:$I$59, 7, FALSE), perc_95, VLOOKUP(J$2, Percentiles!$A$45:$I$59, 8, FALSE), perc_85, perc_75 + (perc_90 - perc_75) * (2/3), converted_stat, '2K_Ratings'!J98, IF(bbgm_stat &gt;= perc_95, converted_stat * 3, IF(bbgm_stat &gt;= perc_90, converted_stat * 2, IF(bbgm_stat &gt;= perc_85, converted_stat * 1.5, converted_stat)))))</f>
        <v/>
      </c>
      <c r="K98" s="30" t="str">
        <f t="array" ref="K98">IF($A98="", "", LET(bbgm_stat, INDEX(Players!$A97:$P97, MATCH(K$2, Players!$A$1:$P$1, 0)), perc_75, VLOOKUP(K$2, Percentiles!$A$45:$I$59, 6, FALSE), perc_90, VLOOKUP(K$2, Percentiles!$A$45:$I$59, 7, FALSE), perc_95, VLOOKUP(K$2, Percentiles!$A$45:$I$59, 8, FALSE), perc_85, perc_75 + (perc_90 - perc_75) * (2/3), converted_stat, '2K_Ratings'!K98, IF(bbgm_stat &gt;= perc_95, converted_stat * 3, IF(bbgm_stat &gt;= perc_90, converted_stat * 2, IF(bbgm_stat &gt;= perc_85, converted_stat * 1.5, converted_stat)))))</f>
        <v/>
      </c>
      <c r="L98" s="30" t="str">
        <f t="array" ref="L98">IF($A98="", "", LET(bbgm_stat, INDEX(Players!$A97:$P97, MATCH(L$2, Players!$A$1:$P$1, 0)), perc_75, VLOOKUP(L$2, Percentiles!$A$45:$I$59, 6, FALSE), perc_90, VLOOKUP(L$2, Percentiles!$A$45:$I$59, 7, FALSE), perc_95, VLOOKUP(L$2, Percentiles!$A$45:$I$59, 8, FALSE), perc_85, perc_75 + (perc_90 - perc_75) * (2/3), converted_stat, '2K_Ratings'!L98, IF(bbgm_stat &gt;= perc_95, converted_stat * 3, IF(bbgm_stat &gt;= perc_90, converted_stat * 2, IF(bbgm_stat &gt;= perc_85, converted_stat * 1.5, converted_stat)))))</f>
        <v/>
      </c>
      <c r="M98" s="30" t="str">
        <f t="array" ref="M98">IF($A98="", "", LET(bbgm_stat, INDEX(Players!$A97:$P97, MATCH(M$2, Players!$A$1:$P$1, 0)), perc_75, VLOOKUP(M$2, Percentiles!$A$45:$I$59, 6, FALSE), perc_90, VLOOKUP(M$2, Percentiles!$A$45:$I$59, 7, FALSE), perc_95, VLOOKUP(M$2, Percentiles!$A$45:$I$59, 8, FALSE), perc_85, perc_75 + (perc_90 - perc_75) * (2/3), converted_stat, '2K_Ratings'!M98, IF(bbgm_stat &gt;= perc_95, converted_stat * 3, IF(bbgm_stat &gt;= perc_90, converted_stat * 2, IF(bbgm_stat &gt;= perc_85, converted_stat * 1.5, converted_stat)))))</f>
        <v/>
      </c>
      <c r="N98" s="30" t="str">
        <f t="array" ref="N98">IF($A98="", "", LET(bbgm_stat, INDEX(Players!$A97:$P97, MATCH(N$2, Players!$A$1:$P$1, 0)), perc_75, VLOOKUP(N$2, Percentiles!$A$45:$I$59, 6, FALSE), perc_90, VLOOKUP(N$2, Percentiles!$A$45:$I$59, 7, FALSE), perc_95, VLOOKUP(N$2, Percentiles!$A$45:$I$59, 8, FALSE), perc_85, perc_75 + (perc_90 - perc_75) * (2/3), converted_stat, '2K_Ratings'!N98, IF(bbgm_stat &gt;= perc_95, converted_stat * 3, IF(bbgm_stat &gt;= perc_90, converted_stat * 2, IF(bbgm_stat &gt;= perc_85, converted_stat * 1.5, converted_stat)))))</f>
        <v/>
      </c>
      <c r="O98" s="30" t="str">
        <f t="array" ref="O98">IF($A98="", "", LET(bbgm_stat, INDEX(Players!$A97:$P97, MATCH(O$2, Players!$A$1:$P$1, 0)), perc_75, VLOOKUP(O$2, Percentiles!$A$45:$I$59, 6, FALSE), perc_90, VLOOKUP(O$2, Percentiles!$A$45:$I$59, 7, FALSE), perc_95, VLOOKUP(O$2, Percentiles!$A$45:$I$59, 8, FALSE), perc_85, perc_75 + (perc_90 - perc_75) * (2/3), converted_stat, '2K_Ratings'!O98, IF(bbgm_stat &gt;= perc_95, converted_stat * 3, IF(bbgm_stat &gt;= perc_90, converted_stat * 2, IF(bbgm_stat &gt;= perc_85, converted_stat * 1.5, converted_stat)))))</f>
        <v/>
      </c>
      <c r="P98" s="30" t="str">
        <f t="array" ref="P98">IF($A98="", "", LET(bbgm_stat, INDEX(Players!$A97:$P97, MATCH(P$2, Players!$A$1:$P$1, 0)), perc_75, VLOOKUP(P$2, Percentiles!$A$45:$I$59, 6, FALSE), perc_90, VLOOKUP(P$2, Percentiles!$A$45:$I$59, 7, FALSE), perc_95, VLOOKUP(P$2, Percentiles!$A$45:$I$59, 8, FALSE), perc_85, perc_75 + (perc_90 - perc_75) * (2/3), converted_stat, '2K_Ratings'!P98, IF(bbgm_stat &gt;= perc_95, converted_stat * 3, IF(bbgm_stat &gt;= perc_90, converted_stat * 2, IF(bbgm_stat &gt;= perc_85, converted_stat * 1.5, converted_stat)))))</f>
        <v/>
      </c>
      <c r="Q98" s="30" t="str">
        <f t="array" ref="Q98">IF($A98="", "", LET(bbgm_stat, INDEX(Players!$A97:$P97, MATCH(Q$2, Players!$A$1:$P$1, 0)), perc_75, VLOOKUP(Q$2, Percentiles!$A$45:$I$59, 6, FALSE), perc_90, VLOOKUP(Q$2, Percentiles!$A$45:$I$59, 7, FALSE), perc_95, VLOOKUP(Q$2, Percentiles!$A$45:$I$59, 8, FALSE), perc_85, perc_75 + (perc_90 - perc_75) * (2/3), converted_stat, '2K_Ratings'!Q98, IF(bbgm_stat &gt;= perc_95, converted_stat * 3, IF(bbgm_stat &gt;= perc_90, converted_stat * 2, IF(bbgm_stat &gt;= perc_85, converted_stat * 1.5, converted_stat)))))</f>
        <v/>
      </c>
      <c r="R98" s="30" t="str">
        <f t="array" ref="R98">IF($A98="", "", LET(bbgm_stat, INDEX(Players!$A97:$P97, MATCH(R$2, Players!$A$1:$P$1, 0)), perc_75, VLOOKUP(R$2, Percentiles!$A$45:$I$59, 6, FALSE), perc_90, VLOOKUP(R$2, Percentiles!$A$45:$I$59, 7, FALSE), perc_95, VLOOKUP(R$2, Percentiles!$A$45:$I$59, 8, FALSE), perc_85, perc_75 + (perc_90 - perc_75) * (2/3), converted_stat, '2K_Ratings'!R98, IF(bbgm_stat &gt;= perc_95, converted_stat * 3, IF(bbgm_stat &gt;= perc_90, converted_stat * 2, IF(bbgm_stat &gt;= perc_85, converted_stat * 1.5, converted_stat)))))</f>
        <v/>
      </c>
      <c r="S98" s="30" t="str">
        <f t="array" ref="S98">IF($A98="", "", LET(bbgm_stat, INDEX(Players!$A97:$P97, MATCH(S$2, Players!$A$1:$P$1, 0)), perc_75, VLOOKUP(S$2, Percentiles!$A$45:$I$59, 6, FALSE), perc_90, VLOOKUP(S$2, Percentiles!$A$45:$I$59, 7, FALSE), perc_95, VLOOKUP(S$2, Percentiles!$A$45:$I$59, 8, FALSE), perc_85, perc_75 + (perc_90 - perc_75) * (2/3), converted_stat, '2K_Ratings'!S98, IF(bbgm_stat &gt;= perc_95, converted_stat * 3, IF(bbgm_stat &gt;= perc_90, converted_stat * 2, IF(bbgm_stat &gt;= perc_85, converted_stat * 1.5, converted_stat)))))</f>
        <v/>
      </c>
      <c r="T98" s="30" t="str">
        <f t="array" ref="T98">IF($A98="", "", LET(bbgm_stat, INDEX(Players!$A97:$P97, MATCH(T$2, Players!$A$1:$P$1, 0)), perc_75, VLOOKUP(T$2, Percentiles!$A$45:$I$59, 6, FALSE), perc_90, VLOOKUP(T$2, Percentiles!$A$45:$I$59, 7, FALSE), perc_95, VLOOKUP(T$2, Percentiles!$A$45:$I$59, 8, FALSE), perc_85, perc_75 + (perc_90 - perc_75) * (2/3), converted_stat, '2K_Ratings'!T98, IF(bbgm_stat &gt;= perc_95, converted_stat * 3, IF(bbgm_stat &gt;= perc_90, converted_stat * 2, IF(bbgm_stat &gt;= perc_85, converted_stat * 1.5, converted_stat)))))</f>
        <v/>
      </c>
      <c r="U98" s="30" t="str">
        <f t="array" ref="U98">IF($A98="", "", LET(bbgm_stat, INDEX(Players!$A97:$P97, MATCH(U$2, Players!$A$1:$P$1, 0)), perc_75, VLOOKUP(U$2, Percentiles!$A$45:$I$59, 6, FALSE), perc_90, VLOOKUP(U$2, Percentiles!$A$45:$I$59, 7, FALSE), perc_95, VLOOKUP(U$2, Percentiles!$A$45:$I$59, 8, FALSE), perc_85, perc_75 + (perc_90 - perc_75) * (2/3), converted_stat, '2K_Ratings'!U98, IF(bbgm_stat &gt;= perc_95, converted_stat * 3, IF(bbgm_stat &gt;= perc_90, converted_stat * 2, IF(bbgm_stat &gt;= perc_85, converted_stat * 1.5, converted_stat)))))</f>
        <v/>
      </c>
      <c r="V98" s="30" t="str">
        <f t="array" ref="V98">IF($A98="", "", LET(bbgm_stat, INDEX(Players!$A97:$P97, MATCH(V$2, Players!$A$1:$P$1, 0)), perc_75, VLOOKUP(V$2, Percentiles!$A$45:$I$59, 6, FALSE), perc_90, VLOOKUP(V$2, Percentiles!$A$45:$I$59, 7, FALSE), perc_95, VLOOKUP(V$2, Percentiles!$A$45:$I$59, 8, FALSE), perc_85, perc_75 + (perc_90 - perc_75) * (2/3), converted_stat, '2K_Ratings'!V98, IF(bbgm_stat &gt;= perc_95, converted_stat * 3, IF(bbgm_stat &gt;= perc_90, converted_stat * 2, IF(bbgm_stat &gt;= perc_85, converted_stat * 1.5, converted_stat)))))</f>
        <v/>
      </c>
      <c r="W98" s="30" t="str">
        <f t="array" ref="W98">IF($A98="", "", LET(bbgm_stat, INDEX(Players!$A97:$P97, MATCH(W$2, Players!$A$1:$P$1, 0)), perc_75, VLOOKUP(W$2, Percentiles!$A$45:$I$59, 6, FALSE), perc_90, VLOOKUP(W$2, Percentiles!$A$45:$I$59, 7, FALSE), perc_95, VLOOKUP(W$2, Percentiles!$A$45:$I$59, 8, FALSE), perc_85, perc_75 + (perc_90 - perc_75) * (2/3), converted_stat, '2K_Ratings'!W98, IF(bbgm_stat &gt;= perc_95, converted_stat * 3, IF(bbgm_stat &gt;= perc_90, converted_stat * 2, IF(bbgm_stat &gt;= perc_85, converted_stat * 1.5, converted_stat)))))</f>
        <v/>
      </c>
    </row>
    <row r="99">
      <c r="A99" s="30" t="str">
        <f>IF(Players!A98="", "", Players!A98)</f>
        <v/>
      </c>
      <c r="B99" s="30" t="str">
        <f t="array" ref="B99">IF($A99="", "", LET(bbgm_stat, INDEX(Players!$A98:$P98, MATCH(B$2, Players!$A$1:$P$1, 0)), perc_75, VLOOKUP(B$2, Percentiles!$A$45:$I$59, 6, FALSE), perc_90, VLOOKUP(B$2, Percentiles!$A$45:$I$59, 7, FALSE), perc_95, VLOOKUP(B$2, Percentiles!$A$45:$I$59, 8, FALSE), perc_85, perc_75 + (perc_90 - perc_75) * (2/3), converted_stat, '2K_Ratings'!B99, IF(bbgm_stat &gt;= perc_95, converted_stat * 3, IF(bbgm_stat &gt;= perc_90, converted_stat * 2, IF(bbgm_stat &gt;= perc_85, converted_stat * 1.5, converted_stat)))))</f>
        <v/>
      </c>
      <c r="C99" s="30" t="str">
        <f t="array" ref="C99">IF($A99="", "", LET(bbgm_stat, INDEX(Players!$A98:$P98, MATCH(C$2, Players!$A$1:$P$1, 0)), perc_75, VLOOKUP(C$2, Percentiles!$A$45:$I$59, 6, FALSE), perc_90, VLOOKUP(C$2, Percentiles!$A$45:$I$59, 7, FALSE), perc_95, VLOOKUP(C$2, Percentiles!$A$45:$I$59, 8, FALSE), perc_85, perc_75 + (perc_90 - perc_75) * (2/3), converted_stat, '2K_Ratings'!C99, IF(bbgm_stat &gt;= perc_95, converted_stat * 3, IF(bbgm_stat &gt;= perc_90, converted_stat * 2, IF(bbgm_stat &gt;= perc_85, converted_stat * 1.5, converted_stat)))))</f>
        <v/>
      </c>
      <c r="D99" s="30" t="str">
        <f t="array" ref="D99">IF($A99="", "", LET(bbgm_stat, INDEX(Players!$A98:$P98, MATCH(D$2, Players!$A$1:$P$1, 0)), perc_75, VLOOKUP(D$2, Percentiles!$A$45:$I$59, 6, FALSE), perc_90, VLOOKUP(D$2, Percentiles!$A$45:$I$59, 7, FALSE), perc_95, VLOOKUP(D$2, Percentiles!$A$45:$I$59, 8, FALSE), perc_85, perc_75 + (perc_90 - perc_75) * (2/3), converted_stat, '2K_Ratings'!D99, IF(bbgm_stat &gt;= perc_95, converted_stat * 3, IF(bbgm_stat &gt;= perc_90, converted_stat * 2, IF(bbgm_stat &gt;= perc_85, converted_stat * 1.5, converted_stat)))))</f>
        <v/>
      </c>
      <c r="E99" s="30" t="str">
        <f t="array" ref="E99">IF($A99="", "", LET(bbgm_stat, INDEX(Players!$A98:$P98, MATCH(E$2, Players!$A$1:$P$1, 0)), perc_75, VLOOKUP(E$2, Percentiles!$A$45:$I$59, 6, FALSE), perc_90, VLOOKUP(E$2, Percentiles!$A$45:$I$59, 7, FALSE), perc_95, VLOOKUP(E$2, Percentiles!$A$45:$I$59, 8, FALSE), perc_85, perc_75 + (perc_90 - perc_75) * (2/3), converted_stat, '2K_Ratings'!E99, IF(bbgm_stat &gt;= perc_95, converted_stat * 3, IF(bbgm_stat &gt;= perc_90, converted_stat * 2, IF(bbgm_stat &gt;= perc_85, converted_stat * 1.5, converted_stat)))))</f>
        <v/>
      </c>
      <c r="F99" s="30" t="str">
        <f t="array" ref="F99">IF($A99="", "", LET(bbgm_stat, INDEX(Players!$A98:$P98, MATCH(F$2, Players!$A$1:$P$1, 0)), perc_75, VLOOKUP(F$2, Percentiles!$A$45:$I$59, 6, FALSE), perc_90, VLOOKUP(F$2, Percentiles!$A$45:$I$59, 7, FALSE), perc_95, VLOOKUP(F$2, Percentiles!$A$45:$I$59, 8, FALSE), perc_85, perc_75 + (perc_90 - perc_75) * (2/3), converted_stat, '2K_Ratings'!F99, IF(bbgm_stat &gt;= perc_95, converted_stat * 3, IF(bbgm_stat &gt;= perc_90, converted_stat * 2, IF(bbgm_stat &gt;= perc_85, converted_stat * 1.5, converted_stat)))))</f>
        <v/>
      </c>
      <c r="G99" s="30" t="str">
        <f t="array" ref="G99">IF($A99="", "", LET(bbgm_stat, INDEX(Players!$A98:$P98, MATCH(G$2, Players!$A$1:$P$1, 0)), perc_75, VLOOKUP(G$2, Percentiles!$A$45:$I$59, 6, FALSE), perc_90, VLOOKUP(G$2, Percentiles!$A$45:$I$59, 7, FALSE), perc_95, VLOOKUP(G$2, Percentiles!$A$45:$I$59, 8, FALSE), perc_85, perc_75 + (perc_90 - perc_75) * (2/3), converted_stat, '2K_Ratings'!G99, IF(bbgm_stat &gt;= perc_95, converted_stat * 3, IF(bbgm_stat &gt;= perc_90, converted_stat * 2, IF(bbgm_stat &gt;= perc_85, converted_stat * 1.5, converted_stat)))))</f>
        <v/>
      </c>
      <c r="H99" s="30" t="str">
        <f t="array" ref="H99">IF($A99="", "", LET(bbgm_stat, INDEX(Players!$A98:$P98, MATCH(H$2, Players!$A$1:$P$1, 0)), perc_75, VLOOKUP(H$2, Percentiles!$A$45:$I$59, 6, FALSE), perc_90, VLOOKUP(H$2, Percentiles!$A$45:$I$59, 7, FALSE), perc_95, VLOOKUP(H$2, Percentiles!$A$45:$I$59, 8, FALSE), perc_85, perc_75 + (perc_90 - perc_75) * (2/3), converted_stat, '2K_Ratings'!H99, IF(bbgm_stat &gt;= perc_95, converted_stat * 3, IF(bbgm_stat &gt;= perc_90, converted_stat * 2, IF(bbgm_stat &gt;= perc_85, converted_stat * 1.5, converted_stat)))))</f>
        <v/>
      </c>
      <c r="I99" s="30" t="str">
        <f t="array" ref="I99">IF($A99="", "", LET(bbgm_stat, INDEX(Players!$A98:$P98, MATCH(I$2, Players!$A$1:$P$1, 0)), perc_75, VLOOKUP(I$2, Percentiles!$A$45:$I$59, 6, FALSE), perc_90, VLOOKUP(I$2, Percentiles!$A$45:$I$59, 7, FALSE), perc_95, VLOOKUP(I$2, Percentiles!$A$45:$I$59, 8, FALSE), perc_85, perc_75 + (perc_90 - perc_75) * (2/3), converted_stat, '2K_Ratings'!I99, IF(bbgm_stat &gt;= perc_95, converted_stat * 3, IF(bbgm_stat &gt;= perc_90, converted_stat * 2, IF(bbgm_stat &gt;= perc_85, converted_stat * 1.5, converted_stat)))))</f>
        <v/>
      </c>
      <c r="J99" s="30" t="str">
        <f t="array" ref="J99">IF($A99="", "", LET(bbgm_stat, INDEX(Players!$A98:$P98, MATCH(J$2, Players!$A$1:$P$1, 0)), perc_75, VLOOKUP(J$2, Percentiles!$A$45:$I$59, 6, FALSE), perc_90, VLOOKUP(J$2, Percentiles!$A$45:$I$59, 7, FALSE), perc_95, VLOOKUP(J$2, Percentiles!$A$45:$I$59, 8, FALSE), perc_85, perc_75 + (perc_90 - perc_75) * (2/3), converted_stat, '2K_Ratings'!J99, IF(bbgm_stat &gt;= perc_95, converted_stat * 3, IF(bbgm_stat &gt;= perc_90, converted_stat * 2, IF(bbgm_stat &gt;= perc_85, converted_stat * 1.5, converted_stat)))))</f>
        <v/>
      </c>
      <c r="K99" s="30" t="str">
        <f t="array" ref="K99">IF($A99="", "", LET(bbgm_stat, INDEX(Players!$A98:$P98, MATCH(K$2, Players!$A$1:$P$1, 0)), perc_75, VLOOKUP(K$2, Percentiles!$A$45:$I$59, 6, FALSE), perc_90, VLOOKUP(K$2, Percentiles!$A$45:$I$59, 7, FALSE), perc_95, VLOOKUP(K$2, Percentiles!$A$45:$I$59, 8, FALSE), perc_85, perc_75 + (perc_90 - perc_75) * (2/3), converted_stat, '2K_Ratings'!K99, IF(bbgm_stat &gt;= perc_95, converted_stat * 3, IF(bbgm_stat &gt;= perc_90, converted_stat * 2, IF(bbgm_stat &gt;= perc_85, converted_stat * 1.5, converted_stat)))))</f>
        <v/>
      </c>
      <c r="L99" s="30" t="str">
        <f t="array" ref="L99">IF($A99="", "", LET(bbgm_stat, INDEX(Players!$A98:$P98, MATCH(L$2, Players!$A$1:$P$1, 0)), perc_75, VLOOKUP(L$2, Percentiles!$A$45:$I$59, 6, FALSE), perc_90, VLOOKUP(L$2, Percentiles!$A$45:$I$59, 7, FALSE), perc_95, VLOOKUP(L$2, Percentiles!$A$45:$I$59, 8, FALSE), perc_85, perc_75 + (perc_90 - perc_75) * (2/3), converted_stat, '2K_Ratings'!L99, IF(bbgm_stat &gt;= perc_95, converted_stat * 3, IF(bbgm_stat &gt;= perc_90, converted_stat * 2, IF(bbgm_stat &gt;= perc_85, converted_stat * 1.5, converted_stat)))))</f>
        <v/>
      </c>
      <c r="M99" s="30" t="str">
        <f t="array" ref="M99">IF($A99="", "", LET(bbgm_stat, INDEX(Players!$A98:$P98, MATCH(M$2, Players!$A$1:$P$1, 0)), perc_75, VLOOKUP(M$2, Percentiles!$A$45:$I$59, 6, FALSE), perc_90, VLOOKUP(M$2, Percentiles!$A$45:$I$59, 7, FALSE), perc_95, VLOOKUP(M$2, Percentiles!$A$45:$I$59, 8, FALSE), perc_85, perc_75 + (perc_90 - perc_75) * (2/3), converted_stat, '2K_Ratings'!M99, IF(bbgm_stat &gt;= perc_95, converted_stat * 3, IF(bbgm_stat &gt;= perc_90, converted_stat * 2, IF(bbgm_stat &gt;= perc_85, converted_stat * 1.5, converted_stat)))))</f>
        <v/>
      </c>
      <c r="N99" s="30" t="str">
        <f t="array" ref="N99">IF($A99="", "", LET(bbgm_stat, INDEX(Players!$A98:$P98, MATCH(N$2, Players!$A$1:$P$1, 0)), perc_75, VLOOKUP(N$2, Percentiles!$A$45:$I$59, 6, FALSE), perc_90, VLOOKUP(N$2, Percentiles!$A$45:$I$59, 7, FALSE), perc_95, VLOOKUP(N$2, Percentiles!$A$45:$I$59, 8, FALSE), perc_85, perc_75 + (perc_90 - perc_75) * (2/3), converted_stat, '2K_Ratings'!N99, IF(bbgm_stat &gt;= perc_95, converted_stat * 3, IF(bbgm_stat &gt;= perc_90, converted_stat * 2, IF(bbgm_stat &gt;= perc_85, converted_stat * 1.5, converted_stat)))))</f>
        <v/>
      </c>
      <c r="O99" s="30" t="str">
        <f t="array" ref="O99">IF($A99="", "", LET(bbgm_stat, INDEX(Players!$A98:$P98, MATCH(O$2, Players!$A$1:$P$1, 0)), perc_75, VLOOKUP(O$2, Percentiles!$A$45:$I$59, 6, FALSE), perc_90, VLOOKUP(O$2, Percentiles!$A$45:$I$59, 7, FALSE), perc_95, VLOOKUP(O$2, Percentiles!$A$45:$I$59, 8, FALSE), perc_85, perc_75 + (perc_90 - perc_75) * (2/3), converted_stat, '2K_Ratings'!O99, IF(bbgm_stat &gt;= perc_95, converted_stat * 3, IF(bbgm_stat &gt;= perc_90, converted_stat * 2, IF(bbgm_stat &gt;= perc_85, converted_stat * 1.5, converted_stat)))))</f>
        <v/>
      </c>
      <c r="P99" s="30" t="str">
        <f t="array" ref="P99">IF($A99="", "", LET(bbgm_stat, INDEX(Players!$A98:$P98, MATCH(P$2, Players!$A$1:$P$1, 0)), perc_75, VLOOKUP(P$2, Percentiles!$A$45:$I$59, 6, FALSE), perc_90, VLOOKUP(P$2, Percentiles!$A$45:$I$59, 7, FALSE), perc_95, VLOOKUP(P$2, Percentiles!$A$45:$I$59, 8, FALSE), perc_85, perc_75 + (perc_90 - perc_75) * (2/3), converted_stat, '2K_Ratings'!P99, IF(bbgm_stat &gt;= perc_95, converted_stat * 3, IF(bbgm_stat &gt;= perc_90, converted_stat * 2, IF(bbgm_stat &gt;= perc_85, converted_stat * 1.5, converted_stat)))))</f>
        <v/>
      </c>
      <c r="Q99" s="30" t="str">
        <f t="array" ref="Q99">IF($A99="", "", LET(bbgm_stat, INDEX(Players!$A98:$P98, MATCH(Q$2, Players!$A$1:$P$1, 0)), perc_75, VLOOKUP(Q$2, Percentiles!$A$45:$I$59, 6, FALSE), perc_90, VLOOKUP(Q$2, Percentiles!$A$45:$I$59, 7, FALSE), perc_95, VLOOKUP(Q$2, Percentiles!$A$45:$I$59, 8, FALSE), perc_85, perc_75 + (perc_90 - perc_75) * (2/3), converted_stat, '2K_Ratings'!Q99, IF(bbgm_stat &gt;= perc_95, converted_stat * 3, IF(bbgm_stat &gt;= perc_90, converted_stat * 2, IF(bbgm_stat &gt;= perc_85, converted_stat * 1.5, converted_stat)))))</f>
        <v/>
      </c>
      <c r="R99" s="30" t="str">
        <f t="array" ref="R99">IF($A99="", "", LET(bbgm_stat, INDEX(Players!$A98:$P98, MATCH(R$2, Players!$A$1:$P$1, 0)), perc_75, VLOOKUP(R$2, Percentiles!$A$45:$I$59, 6, FALSE), perc_90, VLOOKUP(R$2, Percentiles!$A$45:$I$59, 7, FALSE), perc_95, VLOOKUP(R$2, Percentiles!$A$45:$I$59, 8, FALSE), perc_85, perc_75 + (perc_90 - perc_75) * (2/3), converted_stat, '2K_Ratings'!R99, IF(bbgm_stat &gt;= perc_95, converted_stat * 3, IF(bbgm_stat &gt;= perc_90, converted_stat * 2, IF(bbgm_stat &gt;= perc_85, converted_stat * 1.5, converted_stat)))))</f>
        <v/>
      </c>
      <c r="S99" s="30" t="str">
        <f t="array" ref="S99">IF($A99="", "", LET(bbgm_stat, INDEX(Players!$A98:$P98, MATCH(S$2, Players!$A$1:$P$1, 0)), perc_75, VLOOKUP(S$2, Percentiles!$A$45:$I$59, 6, FALSE), perc_90, VLOOKUP(S$2, Percentiles!$A$45:$I$59, 7, FALSE), perc_95, VLOOKUP(S$2, Percentiles!$A$45:$I$59, 8, FALSE), perc_85, perc_75 + (perc_90 - perc_75) * (2/3), converted_stat, '2K_Ratings'!S99, IF(bbgm_stat &gt;= perc_95, converted_stat * 3, IF(bbgm_stat &gt;= perc_90, converted_stat * 2, IF(bbgm_stat &gt;= perc_85, converted_stat * 1.5, converted_stat)))))</f>
        <v/>
      </c>
      <c r="T99" s="30" t="str">
        <f t="array" ref="T99">IF($A99="", "", LET(bbgm_stat, INDEX(Players!$A98:$P98, MATCH(T$2, Players!$A$1:$P$1, 0)), perc_75, VLOOKUP(T$2, Percentiles!$A$45:$I$59, 6, FALSE), perc_90, VLOOKUP(T$2, Percentiles!$A$45:$I$59, 7, FALSE), perc_95, VLOOKUP(T$2, Percentiles!$A$45:$I$59, 8, FALSE), perc_85, perc_75 + (perc_90 - perc_75) * (2/3), converted_stat, '2K_Ratings'!T99, IF(bbgm_stat &gt;= perc_95, converted_stat * 3, IF(bbgm_stat &gt;= perc_90, converted_stat * 2, IF(bbgm_stat &gt;= perc_85, converted_stat * 1.5, converted_stat)))))</f>
        <v/>
      </c>
      <c r="U99" s="30" t="str">
        <f t="array" ref="U99">IF($A99="", "", LET(bbgm_stat, INDEX(Players!$A98:$P98, MATCH(U$2, Players!$A$1:$P$1, 0)), perc_75, VLOOKUP(U$2, Percentiles!$A$45:$I$59, 6, FALSE), perc_90, VLOOKUP(U$2, Percentiles!$A$45:$I$59, 7, FALSE), perc_95, VLOOKUP(U$2, Percentiles!$A$45:$I$59, 8, FALSE), perc_85, perc_75 + (perc_90 - perc_75) * (2/3), converted_stat, '2K_Ratings'!U99, IF(bbgm_stat &gt;= perc_95, converted_stat * 3, IF(bbgm_stat &gt;= perc_90, converted_stat * 2, IF(bbgm_stat &gt;= perc_85, converted_stat * 1.5, converted_stat)))))</f>
        <v/>
      </c>
      <c r="V99" s="30" t="str">
        <f t="array" ref="V99">IF($A99="", "", LET(bbgm_stat, INDEX(Players!$A98:$P98, MATCH(V$2, Players!$A$1:$P$1, 0)), perc_75, VLOOKUP(V$2, Percentiles!$A$45:$I$59, 6, FALSE), perc_90, VLOOKUP(V$2, Percentiles!$A$45:$I$59, 7, FALSE), perc_95, VLOOKUP(V$2, Percentiles!$A$45:$I$59, 8, FALSE), perc_85, perc_75 + (perc_90 - perc_75) * (2/3), converted_stat, '2K_Ratings'!V99, IF(bbgm_stat &gt;= perc_95, converted_stat * 3, IF(bbgm_stat &gt;= perc_90, converted_stat * 2, IF(bbgm_stat &gt;= perc_85, converted_stat * 1.5, converted_stat)))))</f>
        <v/>
      </c>
      <c r="W99" s="30" t="str">
        <f t="array" ref="W99">IF($A99="", "", LET(bbgm_stat, INDEX(Players!$A98:$P98, MATCH(W$2, Players!$A$1:$P$1, 0)), perc_75, VLOOKUP(W$2, Percentiles!$A$45:$I$59, 6, FALSE), perc_90, VLOOKUP(W$2, Percentiles!$A$45:$I$59, 7, FALSE), perc_95, VLOOKUP(W$2, Percentiles!$A$45:$I$59, 8, FALSE), perc_85, perc_75 + (perc_90 - perc_75) * (2/3), converted_stat, '2K_Ratings'!W99, IF(bbgm_stat &gt;= perc_95, converted_stat * 3, IF(bbgm_stat &gt;= perc_90, converted_stat * 2, IF(bbgm_stat &gt;= perc_85, converted_stat * 1.5, converted_stat)))))</f>
        <v/>
      </c>
    </row>
    <row r="100">
      <c r="A100" s="30" t="str">
        <f>IF(Players!A99="", "", Players!A99)</f>
        <v/>
      </c>
      <c r="B100" s="30" t="str">
        <f t="array" ref="B100">IF($A100="", "", LET(bbgm_stat, INDEX(Players!$A99:$P99, MATCH(B$2, Players!$A$1:$P$1, 0)), perc_75, VLOOKUP(B$2, Percentiles!$A$45:$I$59, 6, FALSE), perc_90, VLOOKUP(B$2, Percentiles!$A$45:$I$59, 7, FALSE), perc_95, VLOOKUP(B$2, Percentiles!$A$45:$I$59, 8, FALSE), perc_85, perc_75 + (perc_90 - perc_75) * (2/3), converted_stat, '2K_Ratings'!B100, IF(bbgm_stat &gt;= perc_95, converted_stat * 3, IF(bbgm_stat &gt;= perc_90, converted_stat * 2, IF(bbgm_stat &gt;= perc_85, converted_stat * 1.5, converted_stat)))))</f>
        <v/>
      </c>
      <c r="C100" s="30" t="str">
        <f t="array" ref="C100">IF($A100="", "", LET(bbgm_stat, INDEX(Players!$A99:$P99, MATCH(C$2, Players!$A$1:$P$1, 0)), perc_75, VLOOKUP(C$2, Percentiles!$A$45:$I$59, 6, FALSE), perc_90, VLOOKUP(C$2, Percentiles!$A$45:$I$59, 7, FALSE), perc_95, VLOOKUP(C$2, Percentiles!$A$45:$I$59, 8, FALSE), perc_85, perc_75 + (perc_90 - perc_75) * (2/3), converted_stat, '2K_Ratings'!C100, IF(bbgm_stat &gt;= perc_95, converted_stat * 3, IF(bbgm_stat &gt;= perc_90, converted_stat * 2, IF(bbgm_stat &gt;= perc_85, converted_stat * 1.5, converted_stat)))))</f>
        <v/>
      </c>
      <c r="D100" s="30" t="str">
        <f t="array" ref="D100">IF($A100="", "", LET(bbgm_stat, INDEX(Players!$A99:$P99, MATCH(D$2, Players!$A$1:$P$1, 0)), perc_75, VLOOKUP(D$2, Percentiles!$A$45:$I$59, 6, FALSE), perc_90, VLOOKUP(D$2, Percentiles!$A$45:$I$59, 7, FALSE), perc_95, VLOOKUP(D$2, Percentiles!$A$45:$I$59, 8, FALSE), perc_85, perc_75 + (perc_90 - perc_75) * (2/3), converted_stat, '2K_Ratings'!D100, IF(bbgm_stat &gt;= perc_95, converted_stat * 3, IF(bbgm_stat &gt;= perc_90, converted_stat * 2, IF(bbgm_stat &gt;= perc_85, converted_stat * 1.5, converted_stat)))))</f>
        <v/>
      </c>
      <c r="E100" s="30" t="str">
        <f t="array" ref="E100">IF($A100="", "", LET(bbgm_stat, INDEX(Players!$A99:$P99, MATCH(E$2, Players!$A$1:$P$1, 0)), perc_75, VLOOKUP(E$2, Percentiles!$A$45:$I$59, 6, FALSE), perc_90, VLOOKUP(E$2, Percentiles!$A$45:$I$59, 7, FALSE), perc_95, VLOOKUP(E$2, Percentiles!$A$45:$I$59, 8, FALSE), perc_85, perc_75 + (perc_90 - perc_75) * (2/3), converted_stat, '2K_Ratings'!E100, IF(bbgm_stat &gt;= perc_95, converted_stat * 3, IF(bbgm_stat &gt;= perc_90, converted_stat * 2, IF(bbgm_stat &gt;= perc_85, converted_stat * 1.5, converted_stat)))))</f>
        <v/>
      </c>
      <c r="F100" s="30" t="str">
        <f t="array" ref="F100">IF($A100="", "", LET(bbgm_stat, INDEX(Players!$A99:$P99, MATCH(F$2, Players!$A$1:$P$1, 0)), perc_75, VLOOKUP(F$2, Percentiles!$A$45:$I$59, 6, FALSE), perc_90, VLOOKUP(F$2, Percentiles!$A$45:$I$59, 7, FALSE), perc_95, VLOOKUP(F$2, Percentiles!$A$45:$I$59, 8, FALSE), perc_85, perc_75 + (perc_90 - perc_75) * (2/3), converted_stat, '2K_Ratings'!F100, IF(bbgm_stat &gt;= perc_95, converted_stat * 3, IF(bbgm_stat &gt;= perc_90, converted_stat * 2, IF(bbgm_stat &gt;= perc_85, converted_stat * 1.5, converted_stat)))))</f>
        <v/>
      </c>
      <c r="G100" s="30" t="str">
        <f t="array" ref="G100">IF($A100="", "", LET(bbgm_stat, INDEX(Players!$A99:$P99, MATCH(G$2, Players!$A$1:$P$1, 0)), perc_75, VLOOKUP(G$2, Percentiles!$A$45:$I$59, 6, FALSE), perc_90, VLOOKUP(G$2, Percentiles!$A$45:$I$59, 7, FALSE), perc_95, VLOOKUP(G$2, Percentiles!$A$45:$I$59, 8, FALSE), perc_85, perc_75 + (perc_90 - perc_75) * (2/3), converted_stat, '2K_Ratings'!G100, IF(bbgm_stat &gt;= perc_95, converted_stat * 3, IF(bbgm_stat &gt;= perc_90, converted_stat * 2, IF(bbgm_stat &gt;= perc_85, converted_stat * 1.5, converted_stat)))))</f>
        <v/>
      </c>
      <c r="H100" s="30" t="str">
        <f t="array" ref="H100">IF($A100="", "", LET(bbgm_stat, INDEX(Players!$A99:$P99, MATCH(H$2, Players!$A$1:$P$1, 0)), perc_75, VLOOKUP(H$2, Percentiles!$A$45:$I$59, 6, FALSE), perc_90, VLOOKUP(H$2, Percentiles!$A$45:$I$59, 7, FALSE), perc_95, VLOOKUP(H$2, Percentiles!$A$45:$I$59, 8, FALSE), perc_85, perc_75 + (perc_90 - perc_75) * (2/3), converted_stat, '2K_Ratings'!H100, IF(bbgm_stat &gt;= perc_95, converted_stat * 3, IF(bbgm_stat &gt;= perc_90, converted_stat * 2, IF(bbgm_stat &gt;= perc_85, converted_stat * 1.5, converted_stat)))))</f>
        <v/>
      </c>
      <c r="I100" s="30" t="str">
        <f t="array" ref="I100">IF($A100="", "", LET(bbgm_stat, INDEX(Players!$A99:$P99, MATCH(I$2, Players!$A$1:$P$1, 0)), perc_75, VLOOKUP(I$2, Percentiles!$A$45:$I$59, 6, FALSE), perc_90, VLOOKUP(I$2, Percentiles!$A$45:$I$59, 7, FALSE), perc_95, VLOOKUP(I$2, Percentiles!$A$45:$I$59, 8, FALSE), perc_85, perc_75 + (perc_90 - perc_75) * (2/3), converted_stat, '2K_Ratings'!I100, IF(bbgm_stat &gt;= perc_95, converted_stat * 3, IF(bbgm_stat &gt;= perc_90, converted_stat * 2, IF(bbgm_stat &gt;= perc_85, converted_stat * 1.5, converted_stat)))))</f>
        <v/>
      </c>
      <c r="J100" s="30" t="str">
        <f t="array" ref="J100">IF($A100="", "", LET(bbgm_stat, INDEX(Players!$A99:$P99, MATCH(J$2, Players!$A$1:$P$1, 0)), perc_75, VLOOKUP(J$2, Percentiles!$A$45:$I$59, 6, FALSE), perc_90, VLOOKUP(J$2, Percentiles!$A$45:$I$59, 7, FALSE), perc_95, VLOOKUP(J$2, Percentiles!$A$45:$I$59, 8, FALSE), perc_85, perc_75 + (perc_90 - perc_75) * (2/3), converted_stat, '2K_Ratings'!J100, IF(bbgm_stat &gt;= perc_95, converted_stat * 3, IF(bbgm_stat &gt;= perc_90, converted_stat * 2, IF(bbgm_stat &gt;= perc_85, converted_stat * 1.5, converted_stat)))))</f>
        <v/>
      </c>
      <c r="K100" s="30" t="str">
        <f t="array" ref="K100">IF($A100="", "", LET(bbgm_stat, INDEX(Players!$A99:$P99, MATCH(K$2, Players!$A$1:$P$1, 0)), perc_75, VLOOKUP(K$2, Percentiles!$A$45:$I$59, 6, FALSE), perc_90, VLOOKUP(K$2, Percentiles!$A$45:$I$59, 7, FALSE), perc_95, VLOOKUP(K$2, Percentiles!$A$45:$I$59, 8, FALSE), perc_85, perc_75 + (perc_90 - perc_75) * (2/3), converted_stat, '2K_Ratings'!K100, IF(bbgm_stat &gt;= perc_95, converted_stat * 3, IF(bbgm_stat &gt;= perc_90, converted_stat * 2, IF(bbgm_stat &gt;= perc_85, converted_stat * 1.5, converted_stat)))))</f>
        <v/>
      </c>
      <c r="L100" s="30" t="str">
        <f t="array" ref="L100">IF($A100="", "", LET(bbgm_stat, INDEX(Players!$A99:$P99, MATCH(L$2, Players!$A$1:$P$1, 0)), perc_75, VLOOKUP(L$2, Percentiles!$A$45:$I$59, 6, FALSE), perc_90, VLOOKUP(L$2, Percentiles!$A$45:$I$59, 7, FALSE), perc_95, VLOOKUP(L$2, Percentiles!$A$45:$I$59, 8, FALSE), perc_85, perc_75 + (perc_90 - perc_75) * (2/3), converted_stat, '2K_Ratings'!L100, IF(bbgm_stat &gt;= perc_95, converted_stat * 3, IF(bbgm_stat &gt;= perc_90, converted_stat * 2, IF(bbgm_stat &gt;= perc_85, converted_stat * 1.5, converted_stat)))))</f>
        <v/>
      </c>
      <c r="M100" s="30" t="str">
        <f t="array" ref="M100">IF($A100="", "", LET(bbgm_stat, INDEX(Players!$A99:$P99, MATCH(M$2, Players!$A$1:$P$1, 0)), perc_75, VLOOKUP(M$2, Percentiles!$A$45:$I$59, 6, FALSE), perc_90, VLOOKUP(M$2, Percentiles!$A$45:$I$59, 7, FALSE), perc_95, VLOOKUP(M$2, Percentiles!$A$45:$I$59, 8, FALSE), perc_85, perc_75 + (perc_90 - perc_75) * (2/3), converted_stat, '2K_Ratings'!M100, IF(bbgm_stat &gt;= perc_95, converted_stat * 3, IF(bbgm_stat &gt;= perc_90, converted_stat * 2, IF(bbgm_stat &gt;= perc_85, converted_stat * 1.5, converted_stat)))))</f>
        <v/>
      </c>
      <c r="N100" s="30" t="str">
        <f t="array" ref="N100">IF($A100="", "", LET(bbgm_stat, INDEX(Players!$A99:$P99, MATCH(N$2, Players!$A$1:$P$1, 0)), perc_75, VLOOKUP(N$2, Percentiles!$A$45:$I$59, 6, FALSE), perc_90, VLOOKUP(N$2, Percentiles!$A$45:$I$59, 7, FALSE), perc_95, VLOOKUP(N$2, Percentiles!$A$45:$I$59, 8, FALSE), perc_85, perc_75 + (perc_90 - perc_75) * (2/3), converted_stat, '2K_Ratings'!N100, IF(bbgm_stat &gt;= perc_95, converted_stat * 3, IF(bbgm_stat &gt;= perc_90, converted_stat * 2, IF(bbgm_stat &gt;= perc_85, converted_stat * 1.5, converted_stat)))))</f>
        <v/>
      </c>
      <c r="O100" s="30" t="str">
        <f t="array" ref="O100">IF($A100="", "", LET(bbgm_stat, INDEX(Players!$A99:$P99, MATCH(O$2, Players!$A$1:$P$1, 0)), perc_75, VLOOKUP(O$2, Percentiles!$A$45:$I$59, 6, FALSE), perc_90, VLOOKUP(O$2, Percentiles!$A$45:$I$59, 7, FALSE), perc_95, VLOOKUP(O$2, Percentiles!$A$45:$I$59, 8, FALSE), perc_85, perc_75 + (perc_90 - perc_75) * (2/3), converted_stat, '2K_Ratings'!O100, IF(bbgm_stat &gt;= perc_95, converted_stat * 3, IF(bbgm_stat &gt;= perc_90, converted_stat * 2, IF(bbgm_stat &gt;= perc_85, converted_stat * 1.5, converted_stat)))))</f>
        <v/>
      </c>
      <c r="P100" s="30" t="str">
        <f t="array" ref="P100">IF($A100="", "", LET(bbgm_stat, INDEX(Players!$A99:$P99, MATCH(P$2, Players!$A$1:$P$1, 0)), perc_75, VLOOKUP(P$2, Percentiles!$A$45:$I$59, 6, FALSE), perc_90, VLOOKUP(P$2, Percentiles!$A$45:$I$59, 7, FALSE), perc_95, VLOOKUP(P$2, Percentiles!$A$45:$I$59, 8, FALSE), perc_85, perc_75 + (perc_90 - perc_75) * (2/3), converted_stat, '2K_Ratings'!P100, IF(bbgm_stat &gt;= perc_95, converted_stat * 3, IF(bbgm_stat &gt;= perc_90, converted_stat * 2, IF(bbgm_stat &gt;= perc_85, converted_stat * 1.5, converted_stat)))))</f>
        <v/>
      </c>
      <c r="Q100" s="30" t="str">
        <f t="array" ref="Q100">IF($A100="", "", LET(bbgm_stat, INDEX(Players!$A99:$P99, MATCH(Q$2, Players!$A$1:$P$1, 0)), perc_75, VLOOKUP(Q$2, Percentiles!$A$45:$I$59, 6, FALSE), perc_90, VLOOKUP(Q$2, Percentiles!$A$45:$I$59, 7, FALSE), perc_95, VLOOKUP(Q$2, Percentiles!$A$45:$I$59, 8, FALSE), perc_85, perc_75 + (perc_90 - perc_75) * (2/3), converted_stat, '2K_Ratings'!Q100, IF(bbgm_stat &gt;= perc_95, converted_stat * 3, IF(bbgm_stat &gt;= perc_90, converted_stat * 2, IF(bbgm_stat &gt;= perc_85, converted_stat * 1.5, converted_stat)))))</f>
        <v/>
      </c>
      <c r="R100" s="30" t="str">
        <f t="array" ref="R100">IF($A100="", "", LET(bbgm_stat, INDEX(Players!$A99:$P99, MATCH(R$2, Players!$A$1:$P$1, 0)), perc_75, VLOOKUP(R$2, Percentiles!$A$45:$I$59, 6, FALSE), perc_90, VLOOKUP(R$2, Percentiles!$A$45:$I$59, 7, FALSE), perc_95, VLOOKUP(R$2, Percentiles!$A$45:$I$59, 8, FALSE), perc_85, perc_75 + (perc_90 - perc_75) * (2/3), converted_stat, '2K_Ratings'!R100, IF(bbgm_stat &gt;= perc_95, converted_stat * 3, IF(bbgm_stat &gt;= perc_90, converted_stat * 2, IF(bbgm_stat &gt;= perc_85, converted_stat * 1.5, converted_stat)))))</f>
        <v/>
      </c>
      <c r="S100" s="30" t="str">
        <f t="array" ref="S100">IF($A100="", "", LET(bbgm_stat, INDEX(Players!$A99:$P99, MATCH(S$2, Players!$A$1:$P$1, 0)), perc_75, VLOOKUP(S$2, Percentiles!$A$45:$I$59, 6, FALSE), perc_90, VLOOKUP(S$2, Percentiles!$A$45:$I$59, 7, FALSE), perc_95, VLOOKUP(S$2, Percentiles!$A$45:$I$59, 8, FALSE), perc_85, perc_75 + (perc_90 - perc_75) * (2/3), converted_stat, '2K_Ratings'!S100, IF(bbgm_stat &gt;= perc_95, converted_stat * 3, IF(bbgm_stat &gt;= perc_90, converted_stat * 2, IF(bbgm_stat &gt;= perc_85, converted_stat * 1.5, converted_stat)))))</f>
        <v/>
      </c>
      <c r="T100" s="30" t="str">
        <f t="array" ref="T100">IF($A100="", "", LET(bbgm_stat, INDEX(Players!$A99:$P99, MATCH(T$2, Players!$A$1:$P$1, 0)), perc_75, VLOOKUP(T$2, Percentiles!$A$45:$I$59, 6, FALSE), perc_90, VLOOKUP(T$2, Percentiles!$A$45:$I$59, 7, FALSE), perc_95, VLOOKUP(T$2, Percentiles!$A$45:$I$59, 8, FALSE), perc_85, perc_75 + (perc_90 - perc_75) * (2/3), converted_stat, '2K_Ratings'!T100, IF(bbgm_stat &gt;= perc_95, converted_stat * 3, IF(bbgm_stat &gt;= perc_90, converted_stat * 2, IF(bbgm_stat &gt;= perc_85, converted_stat * 1.5, converted_stat)))))</f>
        <v/>
      </c>
      <c r="U100" s="30" t="str">
        <f t="array" ref="U100">IF($A100="", "", LET(bbgm_stat, INDEX(Players!$A99:$P99, MATCH(U$2, Players!$A$1:$P$1, 0)), perc_75, VLOOKUP(U$2, Percentiles!$A$45:$I$59, 6, FALSE), perc_90, VLOOKUP(U$2, Percentiles!$A$45:$I$59, 7, FALSE), perc_95, VLOOKUP(U$2, Percentiles!$A$45:$I$59, 8, FALSE), perc_85, perc_75 + (perc_90 - perc_75) * (2/3), converted_stat, '2K_Ratings'!U100, IF(bbgm_stat &gt;= perc_95, converted_stat * 3, IF(bbgm_stat &gt;= perc_90, converted_stat * 2, IF(bbgm_stat &gt;= perc_85, converted_stat * 1.5, converted_stat)))))</f>
        <v/>
      </c>
      <c r="V100" s="30" t="str">
        <f t="array" ref="V100">IF($A100="", "", LET(bbgm_stat, INDEX(Players!$A99:$P99, MATCH(V$2, Players!$A$1:$P$1, 0)), perc_75, VLOOKUP(V$2, Percentiles!$A$45:$I$59, 6, FALSE), perc_90, VLOOKUP(V$2, Percentiles!$A$45:$I$59, 7, FALSE), perc_95, VLOOKUP(V$2, Percentiles!$A$45:$I$59, 8, FALSE), perc_85, perc_75 + (perc_90 - perc_75) * (2/3), converted_stat, '2K_Ratings'!V100, IF(bbgm_stat &gt;= perc_95, converted_stat * 3, IF(bbgm_stat &gt;= perc_90, converted_stat * 2, IF(bbgm_stat &gt;= perc_85, converted_stat * 1.5, converted_stat)))))</f>
        <v/>
      </c>
      <c r="W100" s="30" t="str">
        <f t="array" ref="W100">IF($A100="", "", LET(bbgm_stat, INDEX(Players!$A99:$P99, MATCH(W$2, Players!$A$1:$P$1, 0)), perc_75, VLOOKUP(W$2, Percentiles!$A$45:$I$59, 6, FALSE), perc_90, VLOOKUP(W$2, Percentiles!$A$45:$I$59, 7, FALSE), perc_95, VLOOKUP(W$2, Percentiles!$A$45:$I$59, 8, FALSE), perc_85, perc_75 + (perc_90 - perc_75) * (2/3), converted_stat, '2K_Ratings'!W100, IF(bbgm_stat &gt;= perc_95, converted_stat * 3, IF(bbgm_stat &gt;= perc_90, converted_stat * 2, IF(bbgm_stat &gt;= perc_85, converted_stat * 1.5, converted_stat)))))</f>
        <v/>
      </c>
    </row>
    <row r="101">
      <c r="A101" s="30"/>
      <c r="B101" s="30" t="str">
        <f t="array" ref="B101">IF($A101="", "", LET(bbgm_stat, INDEX(Players!$A100:$P100, MATCH(B$2, Players!$A$1:$P$1, 0)), perc_75, VLOOKUP(B$2, Percentiles!$A$45:$I$59, 6, FALSE), perc_90, VLOOKUP(B$2, Percentiles!$A$45:$I$59, 7, FALSE), perc_95, VLOOKUP(B$2, Percentiles!$A$45:$I$59, 8, FALSE), perc_85, perc_75 + (perc_90 - perc_75) * (2/3), converted_stat, '2K_Ratings'!B101, IF(bbgm_stat &gt;= perc_95, converted_stat * 3, IF(bbgm_stat &gt;= perc_90, converted_stat * 2, IF(bbgm_stat &gt;= perc_85, converted_stat * 1.5, converted_stat)))))</f>
        <v/>
      </c>
      <c r="C101" s="30" t="str">
        <f t="array" ref="C101">IF($A101="", "", LET(bbgm_stat, INDEX(Players!$A100:$P100, MATCH(C$2, Players!$A$1:$P$1, 0)), perc_75, VLOOKUP(C$2, Percentiles!$A$45:$I$59, 6, FALSE), perc_90, VLOOKUP(C$2, Percentiles!$A$45:$I$59, 7, FALSE), perc_95, VLOOKUP(C$2, Percentiles!$A$45:$I$59, 8, FALSE), perc_85, perc_75 + (perc_90 - perc_75) * (2/3), converted_stat, '2K_Ratings'!C101, IF(bbgm_stat &gt;= perc_95, converted_stat * 3, IF(bbgm_stat &gt;= perc_90, converted_stat * 2, IF(bbgm_stat &gt;= perc_85, converted_stat * 1.5, converted_stat)))))</f>
        <v/>
      </c>
      <c r="D101" s="30" t="str">
        <f t="array" ref="D101">IF($A101="", "", LET(bbgm_stat, INDEX(Players!$A100:$P100, MATCH(D$2, Players!$A$1:$P$1, 0)), perc_75, VLOOKUP(D$2, Percentiles!$A$45:$I$59, 6, FALSE), perc_90, VLOOKUP(D$2, Percentiles!$A$45:$I$59, 7, FALSE), perc_95, VLOOKUP(D$2, Percentiles!$A$45:$I$59, 8, FALSE), perc_85, perc_75 + (perc_90 - perc_75) * (2/3), converted_stat, '2K_Ratings'!D101, IF(bbgm_stat &gt;= perc_95, converted_stat * 3, IF(bbgm_stat &gt;= perc_90, converted_stat * 2, IF(bbgm_stat &gt;= perc_85, converted_stat * 1.5, converted_stat)))))</f>
        <v/>
      </c>
      <c r="E101" s="30" t="str">
        <f t="array" ref="E101">IF($A101="", "", LET(bbgm_stat, INDEX(Players!$A100:$P100, MATCH(E$2, Players!$A$1:$P$1, 0)), perc_75, VLOOKUP(E$2, Percentiles!$A$45:$I$59, 6, FALSE), perc_90, VLOOKUP(E$2, Percentiles!$A$45:$I$59, 7, FALSE), perc_95, VLOOKUP(E$2, Percentiles!$A$45:$I$59, 8, FALSE), perc_85, perc_75 + (perc_90 - perc_75) * (2/3), converted_stat, '2K_Ratings'!E101, IF(bbgm_stat &gt;= perc_95, converted_stat * 3, IF(bbgm_stat &gt;= perc_90, converted_stat * 2, IF(bbgm_stat &gt;= perc_85, converted_stat * 1.5, converted_stat)))))</f>
        <v/>
      </c>
      <c r="F101" s="30" t="str">
        <f t="array" ref="F101">IF($A101="", "", LET(bbgm_stat, INDEX(Players!$A100:$P100, MATCH(F$2, Players!$A$1:$P$1, 0)), perc_75, VLOOKUP(F$2, Percentiles!$A$45:$I$59, 6, FALSE), perc_90, VLOOKUP(F$2, Percentiles!$A$45:$I$59, 7, FALSE), perc_95, VLOOKUP(F$2, Percentiles!$A$45:$I$59, 8, FALSE), perc_85, perc_75 + (perc_90 - perc_75) * (2/3), converted_stat, '2K_Ratings'!F101, IF(bbgm_stat &gt;= perc_95, converted_stat * 3, IF(bbgm_stat &gt;= perc_90, converted_stat * 2, IF(bbgm_stat &gt;= perc_85, converted_stat * 1.5, converted_stat)))))</f>
        <v/>
      </c>
      <c r="G101" s="30" t="str">
        <f t="array" ref="G101">IF($A101="", "", LET(bbgm_stat, INDEX(Players!$A100:$P100, MATCH(G$2, Players!$A$1:$P$1, 0)), perc_75, VLOOKUP(G$2, Percentiles!$A$45:$I$59, 6, FALSE), perc_90, VLOOKUP(G$2, Percentiles!$A$45:$I$59, 7, FALSE), perc_95, VLOOKUP(G$2, Percentiles!$A$45:$I$59, 8, FALSE), perc_85, perc_75 + (perc_90 - perc_75) * (2/3), converted_stat, '2K_Ratings'!G101, IF(bbgm_stat &gt;= perc_95, converted_stat * 3, IF(bbgm_stat &gt;= perc_90, converted_stat * 2, IF(bbgm_stat &gt;= perc_85, converted_stat * 1.5, converted_stat)))))</f>
        <v/>
      </c>
      <c r="H101" s="30" t="str">
        <f t="array" ref="H101">IF($A101="", "", LET(bbgm_stat, INDEX(Players!$A100:$P100, MATCH(H$2, Players!$A$1:$P$1, 0)), perc_75, VLOOKUP(H$2, Percentiles!$A$45:$I$59, 6, FALSE), perc_90, VLOOKUP(H$2, Percentiles!$A$45:$I$59, 7, FALSE), perc_95, VLOOKUP(H$2, Percentiles!$A$45:$I$59, 8, FALSE), perc_85, perc_75 + (perc_90 - perc_75) * (2/3), converted_stat, '2K_Ratings'!H101, IF(bbgm_stat &gt;= perc_95, converted_stat * 3, IF(bbgm_stat &gt;= perc_90, converted_stat * 2, IF(bbgm_stat &gt;= perc_85, converted_stat * 1.5, converted_stat)))))</f>
        <v/>
      </c>
      <c r="I101" s="30" t="str">
        <f t="array" ref="I101">IF($A101="", "", LET(bbgm_stat, INDEX(Players!$A100:$P100, MATCH(I$2, Players!$A$1:$P$1, 0)), perc_75, VLOOKUP(I$2, Percentiles!$A$45:$I$59, 6, FALSE), perc_90, VLOOKUP(I$2, Percentiles!$A$45:$I$59, 7, FALSE), perc_95, VLOOKUP(I$2, Percentiles!$A$45:$I$59, 8, FALSE), perc_85, perc_75 + (perc_90 - perc_75) * (2/3), converted_stat, '2K_Ratings'!I101, IF(bbgm_stat &gt;= perc_95, converted_stat * 3, IF(bbgm_stat &gt;= perc_90, converted_stat * 2, IF(bbgm_stat &gt;= perc_85, converted_stat * 1.5, converted_stat)))))</f>
        <v/>
      </c>
      <c r="J101" s="30" t="str">
        <f t="array" ref="J101">IF($A101="", "", LET(bbgm_stat, INDEX(Players!$A100:$P100, MATCH(J$2, Players!$A$1:$P$1, 0)), perc_75, VLOOKUP(J$2, Percentiles!$A$45:$I$59, 6, FALSE), perc_90, VLOOKUP(J$2, Percentiles!$A$45:$I$59, 7, FALSE), perc_95, VLOOKUP(J$2, Percentiles!$A$45:$I$59, 8, FALSE), perc_85, perc_75 + (perc_90 - perc_75) * (2/3), converted_stat, '2K_Ratings'!J101, IF(bbgm_stat &gt;= perc_95, converted_stat * 3, IF(bbgm_stat &gt;= perc_90, converted_stat * 2, IF(bbgm_stat &gt;= perc_85, converted_stat * 1.5, converted_stat)))))</f>
        <v/>
      </c>
      <c r="K101" s="30" t="str">
        <f t="array" ref="K101">IF($A101="", "", LET(bbgm_stat, INDEX(Players!$A100:$P100, MATCH(K$2, Players!$A$1:$P$1, 0)), perc_75, VLOOKUP(K$2, Percentiles!$A$45:$I$59, 6, FALSE), perc_90, VLOOKUP(K$2, Percentiles!$A$45:$I$59, 7, FALSE), perc_95, VLOOKUP(K$2, Percentiles!$A$45:$I$59, 8, FALSE), perc_85, perc_75 + (perc_90 - perc_75) * (2/3), converted_stat, '2K_Ratings'!K101, IF(bbgm_stat &gt;= perc_95, converted_stat * 3, IF(bbgm_stat &gt;= perc_90, converted_stat * 2, IF(bbgm_stat &gt;= perc_85, converted_stat * 1.5, converted_stat)))))</f>
        <v/>
      </c>
      <c r="L101" s="30" t="str">
        <f t="array" ref="L101">IF($A101="", "", LET(bbgm_stat, INDEX(Players!$A100:$P100, MATCH(L$2, Players!$A$1:$P$1, 0)), perc_75, VLOOKUP(L$2, Percentiles!$A$45:$I$59, 6, FALSE), perc_90, VLOOKUP(L$2, Percentiles!$A$45:$I$59, 7, FALSE), perc_95, VLOOKUP(L$2, Percentiles!$A$45:$I$59, 8, FALSE), perc_85, perc_75 + (perc_90 - perc_75) * (2/3), converted_stat, '2K_Ratings'!L101, IF(bbgm_stat &gt;= perc_95, converted_stat * 3, IF(bbgm_stat &gt;= perc_90, converted_stat * 2, IF(bbgm_stat &gt;= perc_85, converted_stat * 1.5, converted_stat)))))</f>
        <v/>
      </c>
      <c r="M101" s="30" t="str">
        <f t="array" ref="M101">IF($A101="", "", LET(bbgm_stat, INDEX(Players!$A100:$P100, MATCH(M$2, Players!$A$1:$P$1, 0)), perc_75, VLOOKUP(M$2, Percentiles!$A$45:$I$59, 6, FALSE), perc_90, VLOOKUP(M$2, Percentiles!$A$45:$I$59, 7, FALSE), perc_95, VLOOKUP(M$2, Percentiles!$A$45:$I$59, 8, FALSE), perc_85, perc_75 + (perc_90 - perc_75) * (2/3), converted_stat, '2K_Ratings'!M101, IF(bbgm_stat &gt;= perc_95, converted_stat * 3, IF(bbgm_stat &gt;= perc_90, converted_stat * 2, IF(bbgm_stat &gt;= perc_85, converted_stat * 1.5, converted_stat)))))</f>
        <v/>
      </c>
      <c r="N101" s="30" t="str">
        <f t="array" ref="N101">IF($A101="", "", LET(bbgm_stat, INDEX(Players!$A100:$P100, MATCH(N$2, Players!$A$1:$P$1, 0)), perc_75, VLOOKUP(N$2, Percentiles!$A$45:$I$59, 6, FALSE), perc_90, VLOOKUP(N$2, Percentiles!$A$45:$I$59, 7, FALSE), perc_95, VLOOKUP(N$2, Percentiles!$A$45:$I$59, 8, FALSE), perc_85, perc_75 + (perc_90 - perc_75) * (2/3), converted_stat, '2K_Ratings'!N101, IF(bbgm_stat &gt;= perc_95, converted_stat * 3, IF(bbgm_stat &gt;= perc_90, converted_stat * 2, IF(bbgm_stat &gt;= perc_85, converted_stat * 1.5, converted_stat)))))</f>
        <v/>
      </c>
      <c r="O101" s="30" t="str">
        <f t="array" ref="O101">IF($A101="", "", LET(bbgm_stat, INDEX(Players!$A100:$P100, MATCH(O$2, Players!$A$1:$P$1, 0)), perc_75, VLOOKUP(O$2, Percentiles!$A$45:$I$59, 6, FALSE), perc_90, VLOOKUP(O$2, Percentiles!$A$45:$I$59, 7, FALSE), perc_95, VLOOKUP(O$2, Percentiles!$A$45:$I$59, 8, FALSE), perc_85, perc_75 + (perc_90 - perc_75) * (2/3), converted_stat, '2K_Ratings'!O101, IF(bbgm_stat &gt;= perc_95, converted_stat * 3, IF(bbgm_stat &gt;= perc_90, converted_stat * 2, IF(bbgm_stat &gt;= perc_85, converted_stat * 1.5, converted_stat)))))</f>
        <v/>
      </c>
      <c r="P101" s="30" t="str">
        <f t="array" ref="P101">IF($A101="", "", LET(bbgm_stat, INDEX(Players!$A100:$P100, MATCH(P$2, Players!$A$1:$P$1, 0)), perc_75, VLOOKUP(P$2, Percentiles!$A$45:$I$59, 6, FALSE), perc_90, VLOOKUP(P$2, Percentiles!$A$45:$I$59, 7, FALSE), perc_95, VLOOKUP(P$2, Percentiles!$A$45:$I$59, 8, FALSE), perc_85, perc_75 + (perc_90 - perc_75) * (2/3), converted_stat, '2K_Ratings'!P101, IF(bbgm_stat &gt;= perc_95, converted_stat * 3, IF(bbgm_stat &gt;= perc_90, converted_stat * 2, IF(bbgm_stat &gt;= perc_85, converted_stat * 1.5, converted_stat)))))</f>
        <v/>
      </c>
      <c r="Q101" s="30" t="str">
        <f t="array" ref="Q101">IF($A101="", "", LET(bbgm_stat, INDEX(Players!$A100:$P100, MATCH(Q$2, Players!$A$1:$P$1, 0)), perc_75, VLOOKUP(Q$2, Percentiles!$A$45:$I$59, 6, FALSE), perc_90, VLOOKUP(Q$2, Percentiles!$A$45:$I$59, 7, FALSE), perc_95, VLOOKUP(Q$2, Percentiles!$A$45:$I$59, 8, FALSE), perc_85, perc_75 + (perc_90 - perc_75) * (2/3), converted_stat, '2K_Ratings'!Q101, IF(bbgm_stat &gt;= perc_95, converted_stat * 3, IF(bbgm_stat &gt;= perc_90, converted_stat * 2, IF(bbgm_stat &gt;= perc_85, converted_stat * 1.5, converted_stat)))))</f>
        <v/>
      </c>
      <c r="R101" s="30" t="str">
        <f t="array" ref="R101">IF($A101="", "", LET(bbgm_stat, INDEX(Players!$A100:$P100, MATCH(R$2, Players!$A$1:$P$1, 0)), perc_75, VLOOKUP(R$2, Percentiles!$A$45:$I$59, 6, FALSE), perc_90, VLOOKUP(R$2, Percentiles!$A$45:$I$59, 7, FALSE), perc_95, VLOOKUP(R$2, Percentiles!$A$45:$I$59, 8, FALSE), perc_85, perc_75 + (perc_90 - perc_75) * (2/3), converted_stat, '2K_Ratings'!R101, IF(bbgm_stat &gt;= perc_95, converted_stat * 3, IF(bbgm_stat &gt;= perc_90, converted_stat * 2, IF(bbgm_stat &gt;= perc_85, converted_stat * 1.5, converted_stat)))))</f>
        <v/>
      </c>
      <c r="S101" s="30" t="str">
        <f t="array" ref="S101">IF($A101="", "", LET(bbgm_stat, INDEX(Players!$A100:$P100, MATCH(S$2, Players!$A$1:$P$1, 0)), perc_75, VLOOKUP(S$2, Percentiles!$A$45:$I$59, 6, FALSE), perc_90, VLOOKUP(S$2, Percentiles!$A$45:$I$59, 7, FALSE), perc_95, VLOOKUP(S$2, Percentiles!$A$45:$I$59, 8, FALSE), perc_85, perc_75 + (perc_90 - perc_75) * (2/3), converted_stat, '2K_Ratings'!S101, IF(bbgm_stat &gt;= perc_95, converted_stat * 3, IF(bbgm_stat &gt;= perc_90, converted_stat * 2, IF(bbgm_stat &gt;= perc_85, converted_stat * 1.5, converted_stat)))))</f>
        <v/>
      </c>
      <c r="T101" s="30" t="str">
        <f t="array" ref="T101">IF($A101="", "", LET(bbgm_stat, INDEX(Players!$A100:$P100, MATCH(T$2, Players!$A$1:$P$1, 0)), perc_75, VLOOKUP(T$2, Percentiles!$A$45:$I$59, 6, FALSE), perc_90, VLOOKUP(T$2, Percentiles!$A$45:$I$59, 7, FALSE), perc_95, VLOOKUP(T$2, Percentiles!$A$45:$I$59, 8, FALSE), perc_85, perc_75 + (perc_90 - perc_75) * (2/3), converted_stat, '2K_Ratings'!T101, IF(bbgm_stat &gt;= perc_95, converted_stat * 3, IF(bbgm_stat &gt;= perc_90, converted_stat * 2, IF(bbgm_stat &gt;= perc_85, converted_stat * 1.5, converted_stat)))))</f>
        <v/>
      </c>
      <c r="U101" s="30" t="str">
        <f t="array" ref="U101">IF($A101="", "", LET(bbgm_stat, INDEX(Players!$A100:$P100, MATCH(U$2, Players!$A$1:$P$1, 0)), perc_75, VLOOKUP(U$2, Percentiles!$A$45:$I$59, 6, FALSE), perc_90, VLOOKUP(U$2, Percentiles!$A$45:$I$59, 7, FALSE), perc_95, VLOOKUP(U$2, Percentiles!$A$45:$I$59, 8, FALSE), perc_85, perc_75 + (perc_90 - perc_75) * (2/3), converted_stat, '2K_Ratings'!U101, IF(bbgm_stat &gt;= perc_95, converted_stat * 3, IF(bbgm_stat &gt;= perc_90, converted_stat * 2, IF(bbgm_stat &gt;= perc_85, converted_stat * 1.5, converted_stat)))))</f>
        <v/>
      </c>
      <c r="V101" s="30" t="str">
        <f t="array" ref="V101">IF($A101="", "", LET(bbgm_stat, INDEX(Players!$A100:$P100, MATCH(V$2, Players!$A$1:$P$1, 0)), perc_75, VLOOKUP(V$2, Percentiles!$A$45:$I$59, 6, FALSE), perc_90, VLOOKUP(V$2, Percentiles!$A$45:$I$59, 7, FALSE), perc_95, VLOOKUP(V$2, Percentiles!$A$45:$I$59, 8, FALSE), perc_85, perc_75 + (perc_90 - perc_75) * (2/3), converted_stat, '2K_Ratings'!V101, IF(bbgm_stat &gt;= perc_95, converted_stat * 3, IF(bbgm_stat &gt;= perc_90, converted_stat * 2, IF(bbgm_stat &gt;= perc_85, converted_stat * 1.5, converted_stat)))))</f>
        <v/>
      </c>
      <c r="W101" s="30" t="str">
        <f t="array" ref="W101">IF($A101="", "", LET(bbgm_stat, INDEX(Players!$A100:$P100, MATCH(W$2, Players!$A$1:$P$1, 0)), perc_75, VLOOKUP(W$2, Percentiles!$A$45:$I$59, 6, FALSE), perc_90, VLOOKUP(W$2, Percentiles!$A$45:$I$59, 7, FALSE), perc_95, VLOOKUP(W$2, Percentiles!$A$45:$I$59, 8, FALSE), perc_85, perc_75 + (perc_90 - perc_75) * (2/3), converted_stat, '2K_Ratings'!W101, IF(bbgm_stat &gt;= perc_95, converted_stat * 3, IF(bbgm_stat &gt;= perc_90, converted_stat * 2, IF(bbgm_stat &gt;= perc_85, converted_stat * 1.5, converted_stat)))))</f>
        <v/>
      </c>
    </row>
    <row r="102">
      <c r="A102" s="30"/>
      <c r="B102" s="30" t="str">
        <f t="array" ref="B102">IF($A102="", "", LET(bbgm_stat, INDEX(Players!$A101:$P101, MATCH(B$2, Players!$A$1:$P$1, 0)), perc_75, VLOOKUP(B$2, Percentiles!$A$45:$I$59, 6, FALSE), perc_90, VLOOKUP(B$2, Percentiles!$A$45:$I$59, 7, FALSE), perc_95, VLOOKUP(B$2, Percentiles!$A$45:$I$59, 8, FALSE), perc_85, perc_75 + (perc_90 - perc_75) * (2/3), converted_stat, '2K_Ratings'!B102, IF(bbgm_stat &gt;= perc_95, converted_stat * 3, IF(bbgm_stat &gt;= perc_90, converted_stat * 2, IF(bbgm_stat &gt;= perc_85, converted_stat * 1.5, converted_stat)))))</f>
        <v/>
      </c>
      <c r="C102" s="30" t="str">
        <f t="array" ref="C102">IF($A102="", "", LET(bbgm_stat, INDEX(Players!$A101:$P101, MATCH(C$2, Players!$A$1:$P$1, 0)), perc_75, VLOOKUP(C$2, Percentiles!$A$45:$I$59, 6, FALSE), perc_90, VLOOKUP(C$2, Percentiles!$A$45:$I$59, 7, FALSE), perc_95, VLOOKUP(C$2, Percentiles!$A$45:$I$59, 8, FALSE), perc_85, perc_75 + (perc_90 - perc_75) * (2/3), converted_stat, '2K_Ratings'!C102, IF(bbgm_stat &gt;= perc_95, converted_stat * 3, IF(bbgm_stat &gt;= perc_90, converted_stat * 2, IF(bbgm_stat &gt;= perc_85, converted_stat * 1.5, converted_stat)))))</f>
        <v/>
      </c>
      <c r="D102" s="30" t="str">
        <f t="array" ref="D102">IF($A102="", "", LET(bbgm_stat, INDEX(Players!$A101:$P101, MATCH(D$2, Players!$A$1:$P$1, 0)), perc_75, VLOOKUP(D$2, Percentiles!$A$45:$I$59, 6, FALSE), perc_90, VLOOKUP(D$2, Percentiles!$A$45:$I$59, 7, FALSE), perc_95, VLOOKUP(D$2, Percentiles!$A$45:$I$59, 8, FALSE), perc_85, perc_75 + (perc_90 - perc_75) * (2/3), converted_stat, '2K_Ratings'!D102, IF(bbgm_stat &gt;= perc_95, converted_stat * 3, IF(bbgm_stat &gt;= perc_90, converted_stat * 2, IF(bbgm_stat &gt;= perc_85, converted_stat * 1.5, converted_stat)))))</f>
        <v/>
      </c>
      <c r="E102" s="30" t="str">
        <f t="array" ref="E102">IF($A102="", "", LET(bbgm_stat, INDEX(Players!$A101:$P101, MATCH(E$2, Players!$A$1:$P$1, 0)), perc_75, VLOOKUP(E$2, Percentiles!$A$45:$I$59, 6, FALSE), perc_90, VLOOKUP(E$2, Percentiles!$A$45:$I$59, 7, FALSE), perc_95, VLOOKUP(E$2, Percentiles!$A$45:$I$59, 8, FALSE), perc_85, perc_75 + (perc_90 - perc_75) * (2/3), converted_stat, '2K_Ratings'!E102, IF(bbgm_stat &gt;= perc_95, converted_stat * 3, IF(bbgm_stat &gt;= perc_90, converted_stat * 2, IF(bbgm_stat &gt;= perc_85, converted_stat * 1.5, converted_stat)))))</f>
        <v/>
      </c>
      <c r="F102" s="30" t="str">
        <f t="array" ref="F102">IF($A102="", "", LET(bbgm_stat, INDEX(Players!$A101:$P101, MATCH(F$2, Players!$A$1:$P$1, 0)), perc_75, VLOOKUP(F$2, Percentiles!$A$45:$I$59, 6, FALSE), perc_90, VLOOKUP(F$2, Percentiles!$A$45:$I$59, 7, FALSE), perc_95, VLOOKUP(F$2, Percentiles!$A$45:$I$59, 8, FALSE), perc_85, perc_75 + (perc_90 - perc_75) * (2/3), converted_stat, '2K_Ratings'!F102, IF(bbgm_stat &gt;= perc_95, converted_stat * 3, IF(bbgm_stat &gt;= perc_90, converted_stat * 2, IF(bbgm_stat &gt;= perc_85, converted_stat * 1.5, converted_stat)))))</f>
        <v/>
      </c>
      <c r="G102" s="30" t="str">
        <f t="array" ref="G102">IF($A102="", "", LET(bbgm_stat, INDEX(Players!$A101:$P101, MATCH(G$2, Players!$A$1:$P$1, 0)), perc_75, VLOOKUP(G$2, Percentiles!$A$45:$I$59, 6, FALSE), perc_90, VLOOKUP(G$2, Percentiles!$A$45:$I$59, 7, FALSE), perc_95, VLOOKUP(G$2, Percentiles!$A$45:$I$59, 8, FALSE), perc_85, perc_75 + (perc_90 - perc_75) * (2/3), converted_stat, '2K_Ratings'!G102, IF(bbgm_stat &gt;= perc_95, converted_stat * 3, IF(bbgm_stat &gt;= perc_90, converted_stat * 2, IF(bbgm_stat &gt;= perc_85, converted_stat * 1.5, converted_stat)))))</f>
        <v/>
      </c>
      <c r="H102" s="30" t="str">
        <f t="array" ref="H102">IF($A102="", "", LET(bbgm_stat, INDEX(Players!$A101:$P101, MATCH(H$2, Players!$A$1:$P$1, 0)), perc_75, VLOOKUP(H$2, Percentiles!$A$45:$I$59, 6, FALSE), perc_90, VLOOKUP(H$2, Percentiles!$A$45:$I$59, 7, FALSE), perc_95, VLOOKUP(H$2, Percentiles!$A$45:$I$59, 8, FALSE), perc_85, perc_75 + (perc_90 - perc_75) * (2/3), converted_stat, '2K_Ratings'!H102, IF(bbgm_stat &gt;= perc_95, converted_stat * 3, IF(bbgm_stat &gt;= perc_90, converted_stat * 2, IF(bbgm_stat &gt;= perc_85, converted_stat * 1.5, converted_stat)))))</f>
        <v/>
      </c>
      <c r="I102" s="30" t="str">
        <f t="array" ref="I102">IF($A102="", "", LET(bbgm_stat, INDEX(Players!$A101:$P101, MATCH(I$2, Players!$A$1:$P$1, 0)), perc_75, VLOOKUP(I$2, Percentiles!$A$45:$I$59, 6, FALSE), perc_90, VLOOKUP(I$2, Percentiles!$A$45:$I$59, 7, FALSE), perc_95, VLOOKUP(I$2, Percentiles!$A$45:$I$59, 8, FALSE), perc_85, perc_75 + (perc_90 - perc_75) * (2/3), converted_stat, '2K_Ratings'!I102, IF(bbgm_stat &gt;= perc_95, converted_stat * 3, IF(bbgm_stat &gt;= perc_90, converted_stat * 2, IF(bbgm_stat &gt;= perc_85, converted_stat * 1.5, converted_stat)))))</f>
        <v/>
      </c>
      <c r="J102" s="30" t="str">
        <f t="array" ref="J102">IF($A102="", "", LET(bbgm_stat, INDEX(Players!$A101:$P101, MATCH(J$2, Players!$A$1:$P$1, 0)), perc_75, VLOOKUP(J$2, Percentiles!$A$45:$I$59, 6, FALSE), perc_90, VLOOKUP(J$2, Percentiles!$A$45:$I$59, 7, FALSE), perc_95, VLOOKUP(J$2, Percentiles!$A$45:$I$59, 8, FALSE), perc_85, perc_75 + (perc_90 - perc_75) * (2/3), converted_stat, '2K_Ratings'!J102, IF(bbgm_stat &gt;= perc_95, converted_stat * 3, IF(bbgm_stat &gt;= perc_90, converted_stat * 2, IF(bbgm_stat &gt;= perc_85, converted_stat * 1.5, converted_stat)))))</f>
        <v/>
      </c>
      <c r="K102" s="30" t="str">
        <f t="array" ref="K102">IF($A102="", "", LET(bbgm_stat, INDEX(Players!$A101:$P101, MATCH(K$2, Players!$A$1:$P$1, 0)), perc_75, VLOOKUP(K$2, Percentiles!$A$45:$I$59, 6, FALSE), perc_90, VLOOKUP(K$2, Percentiles!$A$45:$I$59, 7, FALSE), perc_95, VLOOKUP(K$2, Percentiles!$A$45:$I$59, 8, FALSE), perc_85, perc_75 + (perc_90 - perc_75) * (2/3), converted_stat, '2K_Ratings'!K102, IF(bbgm_stat &gt;= perc_95, converted_stat * 3, IF(bbgm_stat &gt;= perc_90, converted_stat * 2, IF(bbgm_stat &gt;= perc_85, converted_stat * 1.5, converted_stat)))))</f>
        <v/>
      </c>
      <c r="L102" s="30" t="str">
        <f t="array" ref="L102">IF($A102="", "", LET(bbgm_stat, INDEX(Players!$A101:$P101, MATCH(L$2, Players!$A$1:$P$1, 0)), perc_75, VLOOKUP(L$2, Percentiles!$A$45:$I$59, 6, FALSE), perc_90, VLOOKUP(L$2, Percentiles!$A$45:$I$59, 7, FALSE), perc_95, VLOOKUP(L$2, Percentiles!$A$45:$I$59, 8, FALSE), perc_85, perc_75 + (perc_90 - perc_75) * (2/3), converted_stat, '2K_Ratings'!L102, IF(bbgm_stat &gt;= perc_95, converted_stat * 3, IF(bbgm_stat &gt;= perc_90, converted_stat * 2, IF(bbgm_stat &gt;= perc_85, converted_stat * 1.5, converted_stat)))))</f>
        <v/>
      </c>
      <c r="M102" s="30" t="str">
        <f t="array" ref="M102">IF($A102="", "", LET(bbgm_stat, INDEX(Players!$A101:$P101, MATCH(M$2, Players!$A$1:$P$1, 0)), perc_75, VLOOKUP(M$2, Percentiles!$A$45:$I$59, 6, FALSE), perc_90, VLOOKUP(M$2, Percentiles!$A$45:$I$59, 7, FALSE), perc_95, VLOOKUP(M$2, Percentiles!$A$45:$I$59, 8, FALSE), perc_85, perc_75 + (perc_90 - perc_75) * (2/3), converted_stat, '2K_Ratings'!M102, IF(bbgm_stat &gt;= perc_95, converted_stat * 3, IF(bbgm_stat &gt;= perc_90, converted_stat * 2, IF(bbgm_stat &gt;= perc_85, converted_stat * 1.5, converted_stat)))))</f>
        <v/>
      </c>
      <c r="N102" s="30" t="str">
        <f t="array" ref="N102">IF($A102="", "", LET(bbgm_stat, INDEX(Players!$A101:$P101, MATCH(N$2, Players!$A$1:$P$1, 0)), perc_75, VLOOKUP(N$2, Percentiles!$A$45:$I$59, 6, FALSE), perc_90, VLOOKUP(N$2, Percentiles!$A$45:$I$59, 7, FALSE), perc_95, VLOOKUP(N$2, Percentiles!$A$45:$I$59, 8, FALSE), perc_85, perc_75 + (perc_90 - perc_75) * (2/3), converted_stat, '2K_Ratings'!N102, IF(bbgm_stat &gt;= perc_95, converted_stat * 3, IF(bbgm_stat &gt;= perc_90, converted_stat * 2, IF(bbgm_stat &gt;= perc_85, converted_stat * 1.5, converted_stat)))))</f>
        <v/>
      </c>
      <c r="O102" s="30" t="str">
        <f t="array" ref="O102">IF($A102="", "", LET(bbgm_stat, INDEX(Players!$A101:$P101, MATCH(O$2, Players!$A$1:$P$1, 0)), perc_75, VLOOKUP(O$2, Percentiles!$A$45:$I$59, 6, FALSE), perc_90, VLOOKUP(O$2, Percentiles!$A$45:$I$59, 7, FALSE), perc_95, VLOOKUP(O$2, Percentiles!$A$45:$I$59, 8, FALSE), perc_85, perc_75 + (perc_90 - perc_75) * (2/3), converted_stat, '2K_Ratings'!O102, IF(bbgm_stat &gt;= perc_95, converted_stat * 3, IF(bbgm_stat &gt;= perc_90, converted_stat * 2, IF(bbgm_stat &gt;= perc_85, converted_stat * 1.5, converted_stat)))))</f>
        <v/>
      </c>
      <c r="P102" s="30" t="str">
        <f t="array" ref="P102">IF($A102="", "", LET(bbgm_stat, INDEX(Players!$A101:$P101, MATCH(P$2, Players!$A$1:$P$1, 0)), perc_75, VLOOKUP(P$2, Percentiles!$A$45:$I$59, 6, FALSE), perc_90, VLOOKUP(P$2, Percentiles!$A$45:$I$59, 7, FALSE), perc_95, VLOOKUP(P$2, Percentiles!$A$45:$I$59, 8, FALSE), perc_85, perc_75 + (perc_90 - perc_75) * (2/3), converted_stat, '2K_Ratings'!P102, IF(bbgm_stat &gt;= perc_95, converted_stat * 3, IF(bbgm_stat &gt;= perc_90, converted_stat * 2, IF(bbgm_stat &gt;= perc_85, converted_stat * 1.5, converted_stat)))))</f>
        <v/>
      </c>
      <c r="Q102" s="30" t="str">
        <f t="array" ref="Q102">IF($A102="", "", LET(bbgm_stat, INDEX(Players!$A101:$P101, MATCH(Q$2, Players!$A$1:$P$1, 0)), perc_75, VLOOKUP(Q$2, Percentiles!$A$45:$I$59, 6, FALSE), perc_90, VLOOKUP(Q$2, Percentiles!$A$45:$I$59, 7, FALSE), perc_95, VLOOKUP(Q$2, Percentiles!$A$45:$I$59, 8, FALSE), perc_85, perc_75 + (perc_90 - perc_75) * (2/3), converted_stat, '2K_Ratings'!Q102, IF(bbgm_stat &gt;= perc_95, converted_stat * 3, IF(bbgm_stat &gt;= perc_90, converted_stat * 2, IF(bbgm_stat &gt;= perc_85, converted_stat * 1.5, converted_stat)))))</f>
        <v/>
      </c>
      <c r="R102" s="30" t="str">
        <f t="array" ref="R102">IF($A102="", "", LET(bbgm_stat, INDEX(Players!$A101:$P101, MATCH(R$2, Players!$A$1:$P$1, 0)), perc_75, VLOOKUP(R$2, Percentiles!$A$45:$I$59, 6, FALSE), perc_90, VLOOKUP(R$2, Percentiles!$A$45:$I$59, 7, FALSE), perc_95, VLOOKUP(R$2, Percentiles!$A$45:$I$59, 8, FALSE), perc_85, perc_75 + (perc_90 - perc_75) * (2/3), converted_stat, '2K_Ratings'!R102, IF(bbgm_stat &gt;= perc_95, converted_stat * 3, IF(bbgm_stat &gt;= perc_90, converted_stat * 2, IF(bbgm_stat &gt;= perc_85, converted_stat * 1.5, converted_stat)))))</f>
        <v/>
      </c>
      <c r="S102" s="30" t="str">
        <f t="array" ref="S102">IF($A102="", "", LET(bbgm_stat, INDEX(Players!$A101:$P101, MATCH(S$2, Players!$A$1:$P$1, 0)), perc_75, VLOOKUP(S$2, Percentiles!$A$45:$I$59, 6, FALSE), perc_90, VLOOKUP(S$2, Percentiles!$A$45:$I$59, 7, FALSE), perc_95, VLOOKUP(S$2, Percentiles!$A$45:$I$59, 8, FALSE), perc_85, perc_75 + (perc_90 - perc_75) * (2/3), converted_stat, '2K_Ratings'!S102, IF(bbgm_stat &gt;= perc_95, converted_stat * 3, IF(bbgm_stat &gt;= perc_90, converted_stat * 2, IF(bbgm_stat &gt;= perc_85, converted_stat * 1.5, converted_stat)))))</f>
        <v/>
      </c>
      <c r="T102" s="30" t="str">
        <f t="array" ref="T102">IF($A102="", "", LET(bbgm_stat, INDEX(Players!$A101:$P101, MATCH(T$2, Players!$A$1:$P$1, 0)), perc_75, VLOOKUP(T$2, Percentiles!$A$45:$I$59, 6, FALSE), perc_90, VLOOKUP(T$2, Percentiles!$A$45:$I$59, 7, FALSE), perc_95, VLOOKUP(T$2, Percentiles!$A$45:$I$59, 8, FALSE), perc_85, perc_75 + (perc_90 - perc_75) * (2/3), converted_stat, '2K_Ratings'!T102, IF(bbgm_stat &gt;= perc_95, converted_stat * 3, IF(bbgm_stat &gt;= perc_90, converted_stat * 2, IF(bbgm_stat &gt;= perc_85, converted_stat * 1.5, converted_stat)))))</f>
        <v/>
      </c>
      <c r="U102" s="30" t="str">
        <f t="array" ref="U102">IF($A102="", "", LET(bbgm_stat, INDEX(Players!$A101:$P101, MATCH(U$2, Players!$A$1:$P$1, 0)), perc_75, VLOOKUP(U$2, Percentiles!$A$45:$I$59, 6, FALSE), perc_90, VLOOKUP(U$2, Percentiles!$A$45:$I$59, 7, FALSE), perc_95, VLOOKUP(U$2, Percentiles!$A$45:$I$59, 8, FALSE), perc_85, perc_75 + (perc_90 - perc_75) * (2/3), converted_stat, '2K_Ratings'!U102, IF(bbgm_stat &gt;= perc_95, converted_stat * 3, IF(bbgm_stat &gt;= perc_90, converted_stat * 2, IF(bbgm_stat &gt;= perc_85, converted_stat * 1.5, converted_stat)))))</f>
        <v/>
      </c>
      <c r="V102" s="30" t="str">
        <f t="array" ref="V102">IF($A102="", "", LET(bbgm_stat, INDEX(Players!$A101:$P101, MATCH(V$2, Players!$A$1:$P$1, 0)), perc_75, VLOOKUP(V$2, Percentiles!$A$45:$I$59, 6, FALSE), perc_90, VLOOKUP(V$2, Percentiles!$A$45:$I$59, 7, FALSE), perc_95, VLOOKUP(V$2, Percentiles!$A$45:$I$59, 8, FALSE), perc_85, perc_75 + (perc_90 - perc_75) * (2/3), converted_stat, '2K_Ratings'!V102, IF(bbgm_stat &gt;= perc_95, converted_stat * 3, IF(bbgm_stat &gt;= perc_90, converted_stat * 2, IF(bbgm_stat &gt;= perc_85, converted_stat * 1.5, converted_stat)))))</f>
        <v/>
      </c>
      <c r="W102" s="30" t="str">
        <f t="array" ref="W102">IF($A102="", "", LET(bbgm_stat, INDEX(Players!$A101:$P101, MATCH(W$2, Players!$A$1:$P$1, 0)), perc_75, VLOOKUP(W$2, Percentiles!$A$45:$I$59, 6, FALSE), perc_90, VLOOKUP(W$2, Percentiles!$A$45:$I$59, 7, FALSE), perc_95, VLOOKUP(W$2, Percentiles!$A$45:$I$59, 8, FALSE), perc_85, perc_75 + (perc_90 - perc_75) * (2/3), converted_stat, '2K_Ratings'!W102, IF(bbgm_stat &gt;= perc_95, converted_stat * 3, IF(bbgm_stat &gt;= perc_90, converted_stat * 2, IF(bbgm_stat &gt;= perc_85, converted_stat * 1.5, converted_stat)))))</f>
        <v/>
      </c>
    </row>
    <row r="103">
      <c r="A103" s="30"/>
      <c r="B103" s="30" t="str">
        <f t="array" ref="B103">IF($A103="", "", LET(bbgm_stat, INDEX(Players!$A102:$P102, MATCH(B$2, Players!$A$1:$P$1, 0)), perc_75, VLOOKUP(B$2, Percentiles!$A$45:$I$59, 6, FALSE), perc_90, VLOOKUP(B$2, Percentiles!$A$45:$I$59, 7, FALSE), perc_95, VLOOKUP(B$2, Percentiles!$A$45:$I$59, 8, FALSE), perc_85, perc_75 + (perc_90 - perc_75) * (2/3), converted_stat, '2K_Ratings'!B103, IF(bbgm_stat &gt;= perc_95, converted_stat * 3, IF(bbgm_stat &gt;= perc_90, converted_stat * 2, IF(bbgm_stat &gt;= perc_85, converted_stat * 1.5, converted_stat)))))</f>
        <v/>
      </c>
      <c r="C103" s="30" t="str">
        <f t="array" ref="C103">IF($A103="", "", LET(bbgm_stat, INDEX(Players!$A102:$P102, MATCH(C$2, Players!$A$1:$P$1, 0)), perc_75, VLOOKUP(C$2, Percentiles!$A$45:$I$59, 6, FALSE), perc_90, VLOOKUP(C$2, Percentiles!$A$45:$I$59, 7, FALSE), perc_95, VLOOKUP(C$2, Percentiles!$A$45:$I$59, 8, FALSE), perc_85, perc_75 + (perc_90 - perc_75) * (2/3), converted_stat, '2K_Ratings'!C103, IF(bbgm_stat &gt;= perc_95, converted_stat * 3, IF(bbgm_stat &gt;= perc_90, converted_stat * 2, IF(bbgm_stat &gt;= perc_85, converted_stat * 1.5, converted_stat)))))</f>
        <v/>
      </c>
      <c r="D103" s="30" t="str">
        <f t="array" ref="D103">IF($A103="", "", LET(bbgm_stat, INDEX(Players!$A102:$P102, MATCH(D$2, Players!$A$1:$P$1, 0)), perc_75, VLOOKUP(D$2, Percentiles!$A$45:$I$59, 6, FALSE), perc_90, VLOOKUP(D$2, Percentiles!$A$45:$I$59, 7, FALSE), perc_95, VLOOKUP(D$2, Percentiles!$A$45:$I$59, 8, FALSE), perc_85, perc_75 + (perc_90 - perc_75) * (2/3), converted_stat, '2K_Ratings'!D103, IF(bbgm_stat &gt;= perc_95, converted_stat * 3, IF(bbgm_stat &gt;= perc_90, converted_stat * 2, IF(bbgm_stat &gt;= perc_85, converted_stat * 1.5, converted_stat)))))</f>
        <v/>
      </c>
      <c r="E103" s="30" t="str">
        <f t="array" ref="E103">IF($A103="", "", LET(bbgm_stat, INDEX(Players!$A102:$P102, MATCH(E$2, Players!$A$1:$P$1, 0)), perc_75, VLOOKUP(E$2, Percentiles!$A$45:$I$59, 6, FALSE), perc_90, VLOOKUP(E$2, Percentiles!$A$45:$I$59, 7, FALSE), perc_95, VLOOKUP(E$2, Percentiles!$A$45:$I$59, 8, FALSE), perc_85, perc_75 + (perc_90 - perc_75) * (2/3), converted_stat, '2K_Ratings'!E103, IF(bbgm_stat &gt;= perc_95, converted_stat * 3, IF(bbgm_stat &gt;= perc_90, converted_stat * 2, IF(bbgm_stat &gt;= perc_85, converted_stat * 1.5, converted_stat)))))</f>
        <v/>
      </c>
      <c r="F103" s="30" t="str">
        <f t="array" ref="F103">IF($A103="", "", LET(bbgm_stat, INDEX(Players!$A102:$P102, MATCH(F$2, Players!$A$1:$P$1, 0)), perc_75, VLOOKUP(F$2, Percentiles!$A$45:$I$59, 6, FALSE), perc_90, VLOOKUP(F$2, Percentiles!$A$45:$I$59, 7, FALSE), perc_95, VLOOKUP(F$2, Percentiles!$A$45:$I$59, 8, FALSE), perc_85, perc_75 + (perc_90 - perc_75) * (2/3), converted_stat, '2K_Ratings'!F103, IF(bbgm_stat &gt;= perc_95, converted_stat * 3, IF(bbgm_stat &gt;= perc_90, converted_stat * 2, IF(bbgm_stat &gt;= perc_85, converted_stat * 1.5, converted_stat)))))</f>
        <v/>
      </c>
      <c r="G103" s="30" t="str">
        <f t="array" ref="G103">IF($A103="", "", LET(bbgm_stat, INDEX(Players!$A102:$P102, MATCH(G$2, Players!$A$1:$P$1, 0)), perc_75, VLOOKUP(G$2, Percentiles!$A$45:$I$59, 6, FALSE), perc_90, VLOOKUP(G$2, Percentiles!$A$45:$I$59, 7, FALSE), perc_95, VLOOKUP(G$2, Percentiles!$A$45:$I$59, 8, FALSE), perc_85, perc_75 + (perc_90 - perc_75) * (2/3), converted_stat, '2K_Ratings'!G103, IF(bbgm_stat &gt;= perc_95, converted_stat * 3, IF(bbgm_stat &gt;= perc_90, converted_stat * 2, IF(bbgm_stat &gt;= perc_85, converted_stat * 1.5, converted_stat)))))</f>
        <v/>
      </c>
      <c r="H103" s="30" t="str">
        <f t="array" ref="H103">IF($A103="", "", LET(bbgm_stat, INDEX(Players!$A102:$P102, MATCH(H$2, Players!$A$1:$P$1, 0)), perc_75, VLOOKUP(H$2, Percentiles!$A$45:$I$59, 6, FALSE), perc_90, VLOOKUP(H$2, Percentiles!$A$45:$I$59, 7, FALSE), perc_95, VLOOKUP(H$2, Percentiles!$A$45:$I$59, 8, FALSE), perc_85, perc_75 + (perc_90 - perc_75) * (2/3), converted_stat, '2K_Ratings'!H103, IF(bbgm_stat &gt;= perc_95, converted_stat * 3, IF(bbgm_stat &gt;= perc_90, converted_stat * 2, IF(bbgm_stat &gt;= perc_85, converted_stat * 1.5, converted_stat)))))</f>
        <v/>
      </c>
      <c r="I103" s="30" t="str">
        <f t="array" ref="I103">IF($A103="", "", LET(bbgm_stat, INDEX(Players!$A102:$P102, MATCH(I$2, Players!$A$1:$P$1, 0)), perc_75, VLOOKUP(I$2, Percentiles!$A$45:$I$59, 6, FALSE), perc_90, VLOOKUP(I$2, Percentiles!$A$45:$I$59, 7, FALSE), perc_95, VLOOKUP(I$2, Percentiles!$A$45:$I$59, 8, FALSE), perc_85, perc_75 + (perc_90 - perc_75) * (2/3), converted_stat, '2K_Ratings'!I103, IF(bbgm_stat &gt;= perc_95, converted_stat * 3, IF(bbgm_stat &gt;= perc_90, converted_stat * 2, IF(bbgm_stat &gt;= perc_85, converted_stat * 1.5, converted_stat)))))</f>
        <v/>
      </c>
      <c r="J103" s="30" t="str">
        <f t="array" ref="J103">IF($A103="", "", LET(bbgm_stat, INDEX(Players!$A102:$P102, MATCH(J$2, Players!$A$1:$P$1, 0)), perc_75, VLOOKUP(J$2, Percentiles!$A$45:$I$59, 6, FALSE), perc_90, VLOOKUP(J$2, Percentiles!$A$45:$I$59, 7, FALSE), perc_95, VLOOKUP(J$2, Percentiles!$A$45:$I$59, 8, FALSE), perc_85, perc_75 + (perc_90 - perc_75) * (2/3), converted_stat, '2K_Ratings'!J103, IF(bbgm_stat &gt;= perc_95, converted_stat * 3, IF(bbgm_stat &gt;= perc_90, converted_stat * 2, IF(bbgm_stat &gt;= perc_85, converted_stat * 1.5, converted_stat)))))</f>
        <v/>
      </c>
      <c r="K103" s="30" t="str">
        <f t="array" ref="K103">IF($A103="", "", LET(bbgm_stat, INDEX(Players!$A102:$P102, MATCH(K$2, Players!$A$1:$P$1, 0)), perc_75, VLOOKUP(K$2, Percentiles!$A$45:$I$59, 6, FALSE), perc_90, VLOOKUP(K$2, Percentiles!$A$45:$I$59, 7, FALSE), perc_95, VLOOKUP(K$2, Percentiles!$A$45:$I$59, 8, FALSE), perc_85, perc_75 + (perc_90 - perc_75) * (2/3), converted_stat, '2K_Ratings'!K103, IF(bbgm_stat &gt;= perc_95, converted_stat * 3, IF(bbgm_stat &gt;= perc_90, converted_stat * 2, IF(bbgm_stat &gt;= perc_85, converted_stat * 1.5, converted_stat)))))</f>
        <v/>
      </c>
      <c r="L103" s="30" t="str">
        <f t="array" ref="L103">IF($A103="", "", LET(bbgm_stat, INDEX(Players!$A102:$P102, MATCH(L$2, Players!$A$1:$P$1, 0)), perc_75, VLOOKUP(L$2, Percentiles!$A$45:$I$59, 6, FALSE), perc_90, VLOOKUP(L$2, Percentiles!$A$45:$I$59, 7, FALSE), perc_95, VLOOKUP(L$2, Percentiles!$A$45:$I$59, 8, FALSE), perc_85, perc_75 + (perc_90 - perc_75) * (2/3), converted_stat, '2K_Ratings'!L103, IF(bbgm_stat &gt;= perc_95, converted_stat * 3, IF(bbgm_stat &gt;= perc_90, converted_stat * 2, IF(bbgm_stat &gt;= perc_85, converted_stat * 1.5, converted_stat)))))</f>
        <v/>
      </c>
      <c r="M103" s="30" t="str">
        <f t="array" ref="M103">IF($A103="", "", LET(bbgm_stat, INDEX(Players!$A102:$P102, MATCH(M$2, Players!$A$1:$P$1, 0)), perc_75, VLOOKUP(M$2, Percentiles!$A$45:$I$59, 6, FALSE), perc_90, VLOOKUP(M$2, Percentiles!$A$45:$I$59, 7, FALSE), perc_95, VLOOKUP(M$2, Percentiles!$A$45:$I$59, 8, FALSE), perc_85, perc_75 + (perc_90 - perc_75) * (2/3), converted_stat, '2K_Ratings'!M103, IF(bbgm_stat &gt;= perc_95, converted_stat * 3, IF(bbgm_stat &gt;= perc_90, converted_stat * 2, IF(bbgm_stat &gt;= perc_85, converted_stat * 1.5, converted_stat)))))</f>
        <v/>
      </c>
      <c r="N103" s="30" t="str">
        <f t="array" ref="N103">IF($A103="", "", LET(bbgm_stat, INDEX(Players!$A102:$P102, MATCH(N$2, Players!$A$1:$P$1, 0)), perc_75, VLOOKUP(N$2, Percentiles!$A$45:$I$59, 6, FALSE), perc_90, VLOOKUP(N$2, Percentiles!$A$45:$I$59, 7, FALSE), perc_95, VLOOKUP(N$2, Percentiles!$A$45:$I$59, 8, FALSE), perc_85, perc_75 + (perc_90 - perc_75) * (2/3), converted_stat, '2K_Ratings'!N103, IF(bbgm_stat &gt;= perc_95, converted_stat * 3, IF(bbgm_stat &gt;= perc_90, converted_stat * 2, IF(bbgm_stat &gt;= perc_85, converted_stat * 1.5, converted_stat)))))</f>
        <v/>
      </c>
      <c r="O103" s="30" t="str">
        <f t="array" ref="O103">IF($A103="", "", LET(bbgm_stat, INDEX(Players!$A102:$P102, MATCH(O$2, Players!$A$1:$P$1, 0)), perc_75, VLOOKUP(O$2, Percentiles!$A$45:$I$59, 6, FALSE), perc_90, VLOOKUP(O$2, Percentiles!$A$45:$I$59, 7, FALSE), perc_95, VLOOKUP(O$2, Percentiles!$A$45:$I$59, 8, FALSE), perc_85, perc_75 + (perc_90 - perc_75) * (2/3), converted_stat, '2K_Ratings'!O103, IF(bbgm_stat &gt;= perc_95, converted_stat * 3, IF(bbgm_stat &gt;= perc_90, converted_stat * 2, IF(bbgm_stat &gt;= perc_85, converted_stat * 1.5, converted_stat)))))</f>
        <v/>
      </c>
      <c r="P103" s="30" t="str">
        <f t="array" ref="P103">IF($A103="", "", LET(bbgm_stat, INDEX(Players!$A102:$P102, MATCH(P$2, Players!$A$1:$P$1, 0)), perc_75, VLOOKUP(P$2, Percentiles!$A$45:$I$59, 6, FALSE), perc_90, VLOOKUP(P$2, Percentiles!$A$45:$I$59, 7, FALSE), perc_95, VLOOKUP(P$2, Percentiles!$A$45:$I$59, 8, FALSE), perc_85, perc_75 + (perc_90 - perc_75) * (2/3), converted_stat, '2K_Ratings'!P103, IF(bbgm_stat &gt;= perc_95, converted_stat * 3, IF(bbgm_stat &gt;= perc_90, converted_stat * 2, IF(bbgm_stat &gt;= perc_85, converted_stat * 1.5, converted_stat)))))</f>
        <v/>
      </c>
      <c r="Q103" s="30" t="str">
        <f t="array" ref="Q103">IF($A103="", "", LET(bbgm_stat, INDEX(Players!$A102:$P102, MATCH(Q$2, Players!$A$1:$P$1, 0)), perc_75, VLOOKUP(Q$2, Percentiles!$A$45:$I$59, 6, FALSE), perc_90, VLOOKUP(Q$2, Percentiles!$A$45:$I$59, 7, FALSE), perc_95, VLOOKUP(Q$2, Percentiles!$A$45:$I$59, 8, FALSE), perc_85, perc_75 + (perc_90 - perc_75) * (2/3), converted_stat, '2K_Ratings'!Q103, IF(bbgm_stat &gt;= perc_95, converted_stat * 3, IF(bbgm_stat &gt;= perc_90, converted_stat * 2, IF(bbgm_stat &gt;= perc_85, converted_stat * 1.5, converted_stat)))))</f>
        <v/>
      </c>
      <c r="R103" s="30" t="str">
        <f t="array" ref="R103">IF($A103="", "", LET(bbgm_stat, INDEX(Players!$A102:$P102, MATCH(R$2, Players!$A$1:$P$1, 0)), perc_75, VLOOKUP(R$2, Percentiles!$A$45:$I$59, 6, FALSE), perc_90, VLOOKUP(R$2, Percentiles!$A$45:$I$59, 7, FALSE), perc_95, VLOOKUP(R$2, Percentiles!$A$45:$I$59, 8, FALSE), perc_85, perc_75 + (perc_90 - perc_75) * (2/3), converted_stat, '2K_Ratings'!R103, IF(bbgm_stat &gt;= perc_95, converted_stat * 3, IF(bbgm_stat &gt;= perc_90, converted_stat * 2, IF(bbgm_stat &gt;= perc_85, converted_stat * 1.5, converted_stat)))))</f>
        <v/>
      </c>
      <c r="S103" s="30" t="str">
        <f t="array" ref="S103">IF($A103="", "", LET(bbgm_stat, INDEX(Players!$A102:$P102, MATCH(S$2, Players!$A$1:$P$1, 0)), perc_75, VLOOKUP(S$2, Percentiles!$A$45:$I$59, 6, FALSE), perc_90, VLOOKUP(S$2, Percentiles!$A$45:$I$59, 7, FALSE), perc_95, VLOOKUP(S$2, Percentiles!$A$45:$I$59, 8, FALSE), perc_85, perc_75 + (perc_90 - perc_75) * (2/3), converted_stat, '2K_Ratings'!S103, IF(bbgm_stat &gt;= perc_95, converted_stat * 3, IF(bbgm_stat &gt;= perc_90, converted_stat * 2, IF(bbgm_stat &gt;= perc_85, converted_stat * 1.5, converted_stat)))))</f>
        <v/>
      </c>
      <c r="T103" s="30" t="str">
        <f t="array" ref="T103">IF($A103="", "", LET(bbgm_stat, INDEX(Players!$A102:$P102, MATCH(T$2, Players!$A$1:$P$1, 0)), perc_75, VLOOKUP(T$2, Percentiles!$A$45:$I$59, 6, FALSE), perc_90, VLOOKUP(T$2, Percentiles!$A$45:$I$59, 7, FALSE), perc_95, VLOOKUP(T$2, Percentiles!$A$45:$I$59, 8, FALSE), perc_85, perc_75 + (perc_90 - perc_75) * (2/3), converted_stat, '2K_Ratings'!T103, IF(bbgm_stat &gt;= perc_95, converted_stat * 3, IF(bbgm_stat &gt;= perc_90, converted_stat * 2, IF(bbgm_stat &gt;= perc_85, converted_stat * 1.5, converted_stat)))))</f>
        <v/>
      </c>
      <c r="U103" s="30" t="str">
        <f t="array" ref="U103">IF($A103="", "", LET(bbgm_stat, INDEX(Players!$A102:$P102, MATCH(U$2, Players!$A$1:$P$1, 0)), perc_75, VLOOKUP(U$2, Percentiles!$A$45:$I$59, 6, FALSE), perc_90, VLOOKUP(U$2, Percentiles!$A$45:$I$59, 7, FALSE), perc_95, VLOOKUP(U$2, Percentiles!$A$45:$I$59, 8, FALSE), perc_85, perc_75 + (perc_90 - perc_75) * (2/3), converted_stat, '2K_Ratings'!U103, IF(bbgm_stat &gt;= perc_95, converted_stat * 3, IF(bbgm_stat &gt;= perc_90, converted_stat * 2, IF(bbgm_stat &gt;= perc_85, converted_stat * 1.5, converted_stat)))))</f>
        <v/>
      </c>
      <c r="V103" s="30" t="str">
        <f t="array" ref="V103">IF($A103="", "", LET(bbgm_stat, INDEX(Players!$A102:$P102, MATCH(V$2, Players!$A$1:$P$1, 0)), perc_75, VLOOKUP(V$2, Percentiles!$A$45:$I$59, 6, FALSE), perc_90, VLOOKUP(V$2, Percentiles!$A$45:$I$59, 7, FALSE), perc_95, VLOOKUP(V$2, Percentiles!$A$45:$I$59, 8, FALSE), perc_85, perc_75 + (perc_90 - perc_75) * (2/3), converted_stat, '2K_Ratings'!V103, IF(bbgm_stat &gt;= perc_95, converted_stat * 3, IF(bbgm_stat &gt;= perc_90, converted_stat * 2, IF(bbgm_stat &gt;= perc_85, converted_stat * 1.5, converted_stat)))))</f>
        <v/>
      </c>
      <c r="W103" s="30" t="str">
        <f t="array" ref="W103">IF($A103="", "", LET(bbgm_stat, INDEX(Players!$A102:$P102, MATCH(W$2, Players!$A$1:$P$1, 0)), perc_75, VLOOKUP(W$2, Percentiles!$A$45:$I$59, 6, FALSE), perc_90, VLOOKUP(W$2, Percentiles!$A$45:$I$59, 7, FALSE), perc_95, VLOOKUP(W$2, Percentiles!$A$45:$I$59, 8, FALSE), perc_85, perc_75 + (perc_90 - perc_75) * (2/3), converted_stat, '2K_Ratings'!W103, IF(bbgm_stat &gt;= perc_95, converted_stat * 3, IF(bbgm_stat &gt;= perc_90, converted_stat * 2, IF(bbgm_stat &gt;= perc_85, converted_stat * 1.5, converted_stat)))))</f>
        <v/>
      </c>
    </row>
    <row r="104">
      <c r="A104" s="30"/>
      <c r="B104" s="30" t="str">
        <f t="array" ref="B104">IF($A104="", "", LET(bbgm_stat, INDEX(Players!$A103:$P103, MATCH(B$2, Players!$A$1:$P$1, 0)), perc_75, VLOOKUP(B$2, Percentiles!$A$45:$I$59, 6, FALSE), perc_90, VLOOKUP(B$2, Percentiles!$A$45:$I$59, 7, FALSE), perc_95, VLOOKUP(B$2, Percentiles!$A$45:$I$59, 8, FALSE), perc_85, perc_75 + (perc_90 - perc_75) * (2/3), converted_stat, '2K_Ratings'!B104, IF(bbgm_stat &gt;= perc_95, converted_stat * 3, IF(bbgm_stat &gt;= perc_90, converted_stat * 2, IF(bbgm_stat &gt;= perc_85, converted_stat * 1.5, converted_stat)))))</f>
        <v/>
      </c>
      <c r="C104" s="30" t="str">
        <f t="array" ref="C104">IF($A104="", "", LET(bbgm_stat, INDEX(Players!$A103:$P103, MATCH(C$2, Players!$A$1:$P$1, 0)), perc_75, VLOOKUP(C$2, Percentiles!$A$45:$I$59, 6, FALSE), perc_90, VLOOKUP(C$2, Percentiles!$A$45:$I$59, 7, FALSE), perc_95, VLOOKUP(C$2, Percentiles!$A$45:$I$59, 8, FALSE), perc_85, perc_75 + (perc_90 - perc_75) * (2/3), converted_stat, '2K_Ratings'!C104, IF(bbgm_stat &gt;= perc_95, converted_stat * 3, IF(bbgm_stat &gt;= perc_90, converted_stat * 2, IF(bbgm_stat &gt;= perc_85, converted_stat * 1.5, converted_stat)))))</f>
        <v/>
      </c>
      <c r="D104" s="30" t="str">
        <f t="array" ref="D104">IF($A104="", "", LET(bbgm_stat, INDEX(Players!$A103:$P103, MATCH(D$2, Players!$A$1:$P$1, 0)), perc_75, VLOOKUP(D$2, Percentiles!$A$45:$I$59, 6, FALSE), perc_90, VLOOKUP(D$2, Percentiles!$A$45:$I$59, 7, FALSE), perc_95, VLOOKUP(D$2, Percentiles!$A$45:$I$59, 8, FALSE), perc_85, perc_75 + (perc_90 - perc_75) * (2/3), converted_stat, '2K_Ratings'!D104, IF(bbgm_stat &gt;= perc_95, converted_stat * 3, IF(bbgm_stat &gt;= perc_90, converted_stat * 2, IF(bbgm_stat &gt;= perc_85, converted_stat * 1.5, converted_stat)))))</f>
        <v/>
      </c>
      <c r="E104" s="30" t="str">
        <f t="array" ref="E104">IF($A104="", "", LET(bbgm_stat, INDEX(Players!$A103:$P103, MATCH(E$2, Players!$A$1:$P$1, 0)), perc_75, VLOOKUP(E$2, Percentiles!$A$45:$I$59, 6, FALSE), perc_90, VLOOKUP(E$2, Percentiles!$A$45:$I$59, 7, FALSE), perc_95, VLOOKUP(E$2, Percentiles!$A$45:$I$59, 8, FALSE), perc_85, perc_75 + (perc_90 - perc_75) * (2/3), converted_stat, '2K_Ratings'!E104, IF(bbgm_stat &gt;= perc_95, converted_stat * 3, IF(bbgm_stat &gt;= perc_90, converted_stat * 2, IF(bbgm_stat &gt;= perc_85, converted_stat * 1.5, converted_stat)))))</f>
        <v/>
      </c>
      <c r="F104" s="30" t="str">
        <f t="array" ref="F104">IF($A104="", "", LET(bbgm_stat, INDEX(Players!$A103:$P103, MATCH(F$2, Players!$A$1:$P$1, 0)), perc_75, VLOOKUP(F$2, Percentiles!$A$45:$I$59, 6, FALSE), perc_90, VLOOKUP(F$2, Percentiles!$A$45:$I$59, 7, FALSE), perc_95, VLOOKUP(F$2, Percentiles!$A$45:$I$59, 8, FALSE), perc_85, perc_75 + (perc_90 - perc_75) * (2/3), converted_stat, '2K_Ratings'!F104, IF(bbgm_stat &gt;= perc_95, converted_stat * 3, IF(bbgm_stat &gt;= perc_90, converted_stat * 2, IF(bbgm_stat &gt;= perc_85, converted_stat * 1.5, converted_stat)))))</f>
        <v/>
      </c>
      <c r="G104" s="30" t="str">
        <f t="array" ref="G104">IF($A104="", "", LET(bbgm_stat, INDEX(Players!$A103:$P103, MATCH(G$2, Players!$A$1:$P$1, 0)), perc_75, VLOOKUP(G$2, Percentiles!$A$45:$I$59, 6, FALSE), perc_90, VLOOKUP(G$2, Percentiles!$A$45:$I$59, 7, FALSE), perc_95, VLOOKUP(G$2, Percentiles!$A$45:$I$59, 8, FALSE), perc_85, perc_75 + (perc_90 - perc_75) * (2/3), converted_stat, '2K_Ratings'!G104, IF(bbgm_stat &gt;= perc_95, converted_stat * 3, IF(bbgm_stat &gt;= perc_90, converted_stat * 2, IF(bbgm_stat &gt;= perc_85, converted_stat * 1.5, converted_stat)))))</f>
        <v/>
      </c>
      <c r="H104" s="30" t="str">
        <f t="array" ref="H104">IF($A104="", "", LET(bbgm_stat, INDEX(Players!$A103:$P103, MATCH(H$2, Players!$A$1:$P$1, 0)), perc_75, VLOOKUP(H$2, Percentiles!$A$45:$I$59, 6, FALSE), perc_90, VLOOKUP(H$2, Percentiles!$A$45:$I$59, 7, FALSE), perc_95, VLOOKUP(H$2, Percentiles!$A$45:$I$59, 8, FALSE), perc_85, perc_75 + (perc_90 - perc_75) * (2/3), converted_stat, '2K_Ratings'!H104, IF(bbgm_stat &gt;= perc_95, converted_stat * 3, IF(bbgm_stat &gt;= perc_90, converted_stat * 2, IF(bbgm_stat &gt;= perc_85, converted_stat * 1.5, converted_stat)))))</f>
        <v/>
      </c>
      <c r="I104" s="30" t="str">
        <f t="array" ref="I104">IF($A104="", "", LET(bbgm_stat, INDEX(Players!$A103:$P103, MATCH(I$2, Players!$A$1:$P$1, 0)), perc_75, VLOOKUP(I$2, Percentiles!$A$45:$I$59, 6, FALSE), perc_90, VLOOKUP(I$2, Percentiles!$A$45:$I$59, 7, FALSE), perc_95, VLOOKUP(I$2, Percentiles!$A$45:$I$59, 8, FALSE), perc_85, perc_75 + (perc_90 - perc_75) * (2/3), converted_stat, '2K_Ratings'!I104, IF(bbgm_stat &gt;= perc_95, converted_stat * 3, IF(bbgm_stat &gt;= perc_90, converted_stat * 2, IF(bbgm_stat &gt;= perc_85, converted_stat * 1.5, converted_stat)))))</f>
        <v/>
      </c>
      <c r="J104" s="30" t="str">
        <f t="array" ref="J104">IF($A104="", "", LET(bbgm_stat, INDEX(Players!$A103:$P103, MATCH(J$2, Players!$A$1:$P$1, 0)), perc_75, VLOOKUP(J$2, Percentiles!$A$45:$I$59, 6, FALSE), perc_90, VLOOKUP(J$2, Percentiles!$A$45:$I$59, 7, FALSE), perc_95, VLOOKUP(J$2, Percentiles!$A$45:$I$59, 8, FALSE), perc_85, perc_75 + (perc_90 - perc_75) * (2/3), converted_stat, '2K_Ratings'!J104, IF(bbgm_stat &gt;= perc_95, converted_stat * 3, IF(bbgm_stat &gt;= perc_90, converted_stat * 2, IF(bbgm_stat &gt;= perc_85, converted_stat * 1.5, converted_stat)))))</f>
        <v/>
      </c>
      <c r="K104" s="30" t="str">
        <f t="array" ref="K104">IF($A104="", "", LET(bbgm_stat, INDEX(Players!$A103:$P103, MATCH(K$2, Players!$A$1:$P$1, 0)), perc_75, VLOOKUP(K$2, Percentiles!$A$45:$I$59, 6, FALSE), perc_90, VLOOKUP(K$2, Percentiles!$A$45:$I$59, 7, FALSE), perc_95, VLOOKUP(K$2, Percentiles!$A$45:$I$59, 8, FALSE), perc_85, perc_75 + (perc_90 - perc_75) * (2/3), converted_stat, '2K_Ratings'!K104, IF(bbgm_stat &gt;= perc_95, converted_stat * 3, IF(bbgm_stat &gt;= perc_90, converted_stat * 2, IF(bbgm_stat &gt;= perc_85, converted_stat * 1.5, converted_stat)))))</f>
        <v/>
      </c>
      <c r="L104" s="30" t="str">
        <f t="array" ref="L104">IF($A104="", "", LET(bbgm_stat, INDEX(Players!$A103:$P103, MATCH(L$2, Players!$A$1:$P$1, 0)), perc_75, VLOOKUP(L$2, Percentiles!$A$45:$I$59, 6, FALSE), perc_90, VLOOKUP(L$2, Percentiles!$A$45:$I$59, 7, FALSE), perc_95, VLOOKUP(L$2, Percentiles!$A$45:$I$59, 8, FALSE), perc_85, perc_75 + (perc_90 - perc_75) * (2/3), converted_stat, '2K_Ratings'!L104, IF(bbgm_stat &gt;= perc_95, converted_stat * 3, IF(bbgm_stat &gt;= perc_90, converted_stat * 2, IF(bbgm_stat &gt;= perc_85, converted_stat * 1.5, converted_stat)))))</f>
        <v/>
      </c>
      <c r="M104" s="30" t="str">
        <f t="array" ref="M104">IF($A104="", "", LET(bbgm_stat, INDEX(Players!$A103:$P103, MATCH(M$2, Players!$A$1:$P$1, 0)), perc_75, VLOOKUP(M$2, Percentiles!$A$45:$I$59, 6, FALSE), perc_90, VLOOKUP(M$2, Percentiles!$A$45:$I$59, 7, FALSE), perc_95, VLOOKUP(M$2, Percentiles!$A$45:$I$59, 8, FALSE), perc_85, perc_75 + (perc_90 - perc_75) * (2/3), converted_stat, '2K_Ratings'!M104, IF(bbgm_stat &gt;= perc_95, converted_stat * 3, IF(bbgm_stat &gt;= perc_90, converted_stat * 2, IF(bbgm_stat &gt;= perc_85, converted_stat * 1.5, converted_stat)))))</f>
        <v/>
      </c>
      <c r="N104" s="30" t="str">
        <f t="array" ref="N104">IF($A104="", "", LET(bbgm_stat, INDEX(Players!$A103:$P103, MATCH(N$2, Players!$A$1:$P$1, 0)), perc_75, VLOOKUP(N$2, Percentiles!$A$45:$I$59, 6, FALSE), perc_90, VLOOKUP(N$2, Percentiles!$A$45:$I$59, 7, FALSE), perc_95, VLOOKUP(N$2, Percentiles!$A$45:$I$59, 8, FALSE), perc_85, perc_75 + (perc_90 - perc_75) * (2/3), converted_stat, '2K_Ratings'!N104, IF(bbgm_stat &gt;= perc_95, converted_stat * 3, IF(bbgm_stat &gt;= perc_90, converted_stat * 2, IF(bbgm_stat &gt;= perc_85, converted_stat * 1.5, converted_stat)))))</f>
        <v/>
      </c>
      <c r="O104" s="30" t="str">
        <f t="array" ref="O104">IF($A104="", "", LET(bbgm_stat, INDEX(Players!$A103:$P103, MATCH(O$2, Players!$A$1:$P$1, 0)), perc_75, VLOOKUP(O$2, Percentiles!$A$45:$I$59, 6, FALSE), perc_90, VLOOKUP(O$2, Percentiles!$A$45:$I$59, 7, FALSE), perc_95, VLOOKUP(O$2, Percentiles!$A$45:$I$59, 8, FALSE), perc_85, perc_75 + (perc_90 - perc_75) * (2/3), converted_stat, '2K_Ratings'!O104, IF(bbgm_stat &gt;= perc_95, converted_stat * 3, IF(bbgm_stat &gt;= perc_90, converted_stat * 2, IF(bbgm_stat &gt;= perc_85, converted_stat * 1.5, converted_stat)))))</f>
        <v/>
      </c>
      <c r="P104" s="30" t="str">
        <f t="array" ref="P104">IF($A104="", "", LET(bbgm_stat, INDEX(Players!$A103:$P103, MATCH(P$2, Players!$A$1:$P$1, 0)), perc_75, VLOOKUP(P$2, Percentiles!$A$45:$I$59, 6, FALSE), perc_90, VLOOKUP(P$2, Percentiles!$A$45:$I$59, 7, FALSE), perc_95, VLOOKUP(P$2, Percentiles!$A$45:$I$59, 8, FALSE), perc_85, perc_75 + (perc_90 - perc_75) * (2/3), converted_stat, '2K_Ratings'!P104, IF(bbgm_stat &gt;= perc_95, converted_stat * 3, IF(bbgm_stat &gt;= perc_90, converted_stat * 2, IF(bbgm_stat &gt;= perc_85, converted_stat * 1.5, converted_stat)))))</f>
        <v/>
      </c>
      <c r="Q104" s="30" t="str">
        <f t="array" ref="Q104">IF($A104="", "", LET(bbgm_stat, INDEX(Players!$A103:$P103, MATCH(Q$2, Players!$A$1:$P$1, 0)), perc_75, VLOOKUP(Q$2, Percentiles!$A$45:$I$59, 6, FALSE), perc_90, VLOOKUP(Q$2, Percentiles!$A$45:$I$59, 7, FALSE), perc_95, VLOOKUP(Q$2, Percentiles!$A$45:$I$59, 8, FALSE), perc_85, perc_75 + (perc_90 - perc_75) * (2/3), converted_stat, '2K_Ratings'!Q104, IF(bbgm_stat &gt;= perc_95, converted_stat * 3, IF(bbgm_stat &gt;= perc_90, converted_stat * 2, IF(bbgm_stat &gt;= perc_85, converted_stat * 1.5, converted_stat)))))</f>
        <v/>
      </c>
      <c r="R104" s="30" t="str">
        <f t="array" ref="R104">IF($A104="", "", LET(bbgm_stat, INDEX(Players!$A103:$P103, MATCH(R$2, Players!$A$1:$P$1, 0)), perc_75, VLOOKUP(R$2, Percentiles!$A$45:$I$59, 6, FALSE), perc_90, VLOOKUP(R$2, Percentiles!$A$45:$I$59, 7, FALSE), perc_95, VLOOKUP(R$2, Percentiles!$A$45:$I$59, 8, FALSE), perc_85, perc_75 + (perc_90 - perc_75) * (2/3), converted_stat, '2K_Ratings'!R104, IF(bbgm_stat &gt;= perc_95, converted_stat * 3, IF(bbgm_stat &gt;= perc_90, converted_stat * 2, IF(bbgm_stat &gt;= perc_85, converted_stat * 1.5, converted_stat)))))</f>
        <v/>
      </c>
      <c r="S104" s="30" t="str">
        <f t="array" ref="S104">IF($A104="", "", LET(bbgm_stat, INDEX(Players!$A103:$P103, MATCH(S$2, Players!$A$1:$P$1, 0)), perc_75, VLOOKUP(S$2, Percentiles!$A$45:$I$59, 6, FALSE), perc_90, VLOOKUP(S$2, Percentiles!$A$45:$I$59, 7, FALSE), perc_95, VLOOKUP(S$2, Percentiles!$A$45:$I$59, 8, FALSE), perc_85, perc_75 + (perc_90 - perc_75) * (2/3), converted_stat, '2K_Ratings'!S104, IF(bbgm_stat &gt;= perc_95, converted_stat * 3, IF(bbgm_stat &gt;= perc_90, converted_stat * 2, IF(bbgm_stat &gt;= perc_85, converted_stat * 1.5, converted_stat)))))</f>
        <v/>
      </c>
      <c r="T104" s="30" t="str">
        <f t="array" ref="T104">IF($A104="", "", LET(bbgm_stat, INDEX(Players!$A103:$P103, MATCH(T$2, Players!$A$1:$P$1, 0)), perc_75, VLOOKUP(T$2, Percentiles!$A$45:$I$59, 6, FALSE), perc_90, VLOOKUP(T$2, Percentiles!$A$45:$I$59, 7, FALSE), perc_95, VLOOKUP(T$2, Percentiles!$A$45:$I$59, 8, FALSE), perc_85, perc_75 + (perc_90 - perc_75) * (2/3), converted_stat, '2K_Ratings'!T104, IF(bbgm_stat &gt;= perc_95, converted_stat * 3, IF(bbgm_stat &gt;= perc_90, converted_stat * 2, IF(bbgm_stat &gt;= perc_85, converted_stat * 1.5, converted_stat)))))</f>
        <v/>
      </c>
      <c r="U104" s="30" t="str">
        <f t="array" ref="U104">IF($A104="", "", LET(bbgm_stat, INDEX(Players!$A103:$P103, MATCH(U$2, Players!$A$1:$P$1, 0)), perc_75, VLOOKUP(U$2, Percentiles!$A$45:$I$59, 6, FALSE), perc_90, VLOOKUP(U$2, Percentiles!$A$45:$I$59, 7, FALSE), perc_95, VLOOKUP(U$2, Percentiles!$A$45:$I$59, 8, FALSE), perc_85, perc_75 + (perc_90 - perc_75) * (2/3), converted_stat, '2K_Ratings'!U104, IF(bbgm_stat &gt;= perc_95, converted_stat * 3, IF(bbgm_stat &gt;= perc_90, converted_stat * 2, IF(bbgm_stat &gt;= perc_85, converted_stat * 1.5, converted_stat)))))</f>
        <v/>
      </c>
      <c r="V104" s="30" t="str">
        <f t="array" ref="V104">IF($A104="", "", LET(bbgm_stat, INDEX(Players!$A103:$P103, MATCH(V$2, Players!$A$1:$P$1, 0)), perc_75, VLOOKUP(V$2, Percentiles!$A$45:$I$59, 6, FALSE), perc_90, VLOOKUP(V$2, Percentiles!$A$45:$I$59, 7, FALSE), perc_95, VLOOKUP(V$2, Percentiles!$A$45:$I$59, 8, FALSE), perc_85, perc_75 + (perc_90 - perc_75) * (2/3), converted_stat, '2K_Ratings'!V104, IF(bbgm_stat &gt;= perc_95, converted_stat * 3, IF(bbgm_stat &gt;= perc_90, converted_stat * 2, IF(bbgm_stat &gt;= perc_85, converted_stat * 1.5, converted_stat)))))</f>
        <v/>
      </c>
      <c r="W104" s="30" t="str">
        <f t="array" ref="W104">IF($A104="", "", LET(bbgm_stat, INDEX(Players!$A103:$P103, MATCH(W$2, Players!$A$1:$P$1, 0)), perc_75, VLOOKUP(W$2, Percentiles!$A$45:$I$59, 6, FALSE), perc_90, VLOOKUP(W$2, Percentiles!$A$45:$I$59, 7, FALSE), perc_95, VLOOKUP(W$2, Percentiles!$A$45:$I$59, 8, FALSE), perc_85, perc_75 + (perc_90 - perc_75) * (2/3), converted_stat, '2K_Ratings'!W104, IF(bbgm_stat &gt;= perc_95, converted_stat * 3, IF(bbgm_stat &gt;= perc_90, converted_stat * 2, IF(bbgm_stat &gt;= perc_85, converted_stat * 1.5, converted_stat)))))</f>
        <v/>
      </c>
    </row>
    <row r="105">
      <c r="A105" s="30"/>
      <c r="B105" s="30" t="str">
        <f t="array" ref="B105">IF($A105="", "", LET(bbgm_stat, INDEX(Players!$A104:$P104, MATCH(B$2, Players!$A$1:$P$1, 0)), perc_75, VLOOKUP(B$2, Percentiles!$A$45:$I$59, 6, FALSE), perc_90, VLOOKUP(B$2, Percentiles!$A$45:$I$59, 7, FALSE), perc_95, VLOOKUP(B$2, Percentiles!$A$45:$I$59, 8, FALSE), perc_85, perc_75 + (perc_90 - perc_75) * (2/3), converted_stat, '2K_Ratings'!B105, IF(bbgm_stat &gt;= perc_95, converted_stat * 3, IF(bbgm_stat &gt;= perc_90, converted_stat * 2, IF(bbgm_stat &gt;= perc_85, converted_stat * 1.5, converted_stat)))))</f>
        <v/>
      </c>
      <c r="C105" s="30" t="str">
        <f t="array" ref="C105">IF($A105="", "", LET(bbgm_stat, INDEX(Players!$A104:$P104, MATCH(C$2, Players!$A$1:$P$1, 0)), perc_75, VLOOKUP(C$2, Percentiles!$A$45:$I$59, 6, FALSE), perc_90, VLOOKUP(C$2, Percentiles!$A$45:$I$59, 7, FALSE), perc_95, VLOOKUP(C$2, Percentiles!$A$45:$I$59, 8, FALSE), perc_85, perc_75 + (perc_90 - perc_75) * (2/3), converted_stat, '2K_Ratings'!C105, IF(bbgm_stat &gt;= perc_95, converted_stat * 3, IF(bbgm_stat &gt;= perc_90, converted_stat * 2, IF(bbgm_stat &gt;= perc_85, converted_stat * 1.5, converted_stat)))))</f>
        <v/>
      </c>
      <c r="D105" s="30" t="str">
        <f t="array" ref="D105">IF($A105="", "", LET(bbgm_stat, INDEX(Players!$A104:$P104, MATCH(D$2, Players!$A$1:$P$1, 0)), perc_75, VLOOKUP(D$2, Percentiles!$A$45:$I$59, 6, FALSE), perc_90, VLOOKUP(D$2, Percentiles!$A$45:$I$59, 7, FALSE), perc_95, VLOOKUP(D$2, Percentiles!$A$45:$I$59, 8, FALSE), perc_85, perc_75 + (perc_90 - perc_75) * (2/3), converted_stat, '2K_Ratings'!D105, IF(bbgm_stat &gt;= perc_95, converted_stat * 3, IF(bbgm_stat &gt;= perc_90, converted_stat * 2, IF(bbgm_stat &gt;= perc_85, converted_stat * 1.5, converted_stat)))))</f>
        <v/>
      </c>
      <c r="E105" s="30" t="str">
        <f t="array" ref="E105">IF($A105="", "", LET(bbgm_stat, INDEX(Players!$A104:$P104, MATCH(E$2, Players!$A$1:$P$1, 0)), perc_75, VLOOKUP(E$2, Percentiles!$A$45:$I$59, 6, FALSE), perc_90, VLOOKUP(E$2, Percentiles!$A$45:$I$59, 7, FALSE), perc_95, VLOOKUP(E$2, Percentiles!$A$45:$I$59, 8, FALSE), perc_85, perc_75 + (perc_90 - perc_75) * (2/3), converted_stat, '2K_Ratings'!E105, IF(bbgm_stat &gt;= perc_95, converted_stat * 3, IF(bbgm_stat &gt;= perc_90, converted_stat * 2, IF(bbgm_stat &gt;= perc_85, converted_stat * 1.5, converted_stat)))))</f>
        <v/>
      </c>
      <c r="F105" s="30" t="str">
        <f t="array" ref="F105">IF($A105="", "", LET(bbgm_stat, INDEX(Players!$A104:$P104, MATCH(F$2, Players!$A$1:$P$1, 0)), perc_75, VLOOKUP(F$2, Percentiles!$A$45:$I$59, 6, FALSE), perc_90, VLOOKUP(F$2, Percentiles!$A$45:$I$59, 7, FALSE), perc_95, VLOOKUP(F$2, Percentiles!$A$45:$I$59, 8, FALSE), perc_85, perc_75 + (perc_90 - perc_75) * (2/3), converted_stat, '2K_Ratings'!F105, IF(bbgm_stat &gt;= perc_95, converted_stat * 3, IF(bbgm_stat &gt;= perc_90, converted_stat * 2, IF(bbgm_stat &gt;= perc_85, converted_stat * 1.5, converted_stat)))))</f>
        <v/>
      </c>
      <c r="G105" s="30" t="str">
        <f t="array" ref="G105">IF($A105="", "", LET(bbgm_stat, INDEX(Players!$A104:$P104, MATCH(G$2, Players!$A$1:$P$1, 0)), perc_75, VLOOKUP(G$2, Percentiles!$A$45:$I$59, 6, FALSE), perc_90, VLOOKUP(G$2, Percentiles!$A$45:$I$59, 7, FALSE), perc_95, VLOOKUP(G$2, Percentiles!$A$45:$I$59, 8, FALSE), perc_85, perc_75 + (perc_90 - perc_75) * (2/3), converted_stat, '2K_Ratings'!G105, IF(bbgm_stat &gt;= perc_95, converted_stat * 3, IF(bbgm_stat &gt;= perc_90, converted_stat * 2, IF(bbgm_stat &gt;= perc_85, converted_stat * 1.5, converted_stat)))))</f>
        <v/>
      </c>
      <c r="H105" s="30" t="str">
        <f t="array" ref="H105">IF($A105="", "", LET(bbgm_stat, INDEX(Players!$A104:$P104, MATCH(H$2, Players!$A$1:$P$1, 0)), perc_75, VLOOKUP(H$2, Percentiles!$A$45:$I$59, 6, FALSE), perc_90, VLOOKUP(H$2, Percentiles!$A$45:$I$59, 7, FALSE), perc_95, VLOOKUP(H$2, Percentiles!$A$45:$I$59, 8, FALSE), perc_85, perc_75 + (perc_90 - perc_75) * (2/3), converted_stat, '2K_Ratings'!H105, IF(bbgm_stat &gt;= perc_95, converted_stat * 3, IF(bbgm_stat &gt;= perc_90, converted_stat * 2, IF(bbgm_stat &gt;= perc_85, converted_stat * 1.5, converted_stat)))))</f>
        <v/>
      </c>
      <c r="I105" s="30" t="str">
        <f t="array" ref="I105">IF($A105="", "", LET(bbgm_stat, INDEX(Players!$A104:$P104, MATCH(I$2, Players!$A$1:$P$1, 0)), perc_75, VLOOKUP(I$2, Percentiles!$A$45:$I$59, 6, FALSE), perc_90, VLOOKUP(I$2, Percentiles!$A$45:$I$59, 7, FALSE), perc_95, VLOOKUP(I$2, Percentiles!$A$45:$I$59, 8, FALSE), perc_85, perc_75 + (perc_90 - perc_75) * (2/3), converted_stat, '2K_Ratings'!I105, IF(bbgm_stat &gt;= perc_95, converted_stat * 3, IF(bbgm_stat &gt;= perc_90, converted_stat * 2, IF(bbgm_stat &gt;= perc_85, converted_stat * 1.5, converted_stat)))))</f>
        <v/>
      </c>
      <c r="J105" s="30" t="str">
        <f t="array" ref="J105">IF($A105="", "", LET(bbgm_stat, INDEX(Players!$A104:$P104, MATCH(J$2, Players!$A$1:$P$1, 0)), perc_75, VLOOKUP(J$2, Percentiles!$A$45:$I$59, 6, FALSE), perc_90, VLOOKUP(J$2, Percentiles!$A$45:$I$59, 7, FALSE), perc_95, VLOOKUP(J$2, Percentiles!$A$45:$I$59, 8, FALSE), perc_85, perc_75 + (perc_90 - perc_75) * (2/3), converted_stat, '2K_Ratings'!J105, IF(bbgm_stat &gt;= perc_95, converted_stat * 3, IF(bbgm_stat &gt;= perc_90, converted_stat * 2, IF(bbgm_stat &gt;= perc_85, converted_stat * 1.5, converted_stat)))))</f>
        <v/>
      </c>
      <c r="K105" s="30" t="str">
        <f t="array" ref="K105">IF($A105="", "", LET(bbgm_stat, INDEX(Players!$A104:$P104, MATCH(K$2, Players!$A$1:$P$1, 0)), perc_75, VLOOKUP(K$2, Percentiles!$A$45:$I$59, 6, FALSE), perc_90, VLOOKUP(K$2, Percentiles!$A$45:$I$59, 7, FALSE), perc_95, VLOOKUP(K$2, Percentiles!$A$45:$I$59, 8, FALSE), perc_85, perc_75 + (perc_90 - perc_75) * (2/3), converted_stat, '2K_Ratings'!K105, IF(bbgm_stat &gt;= perc_95, converted_stat * 3, IF(bbgm_stat &gt;= perc_90, converted_stat * 2, IF(bbgm_stat &gt;= perc_85, converted_stat * 1.5, converted_stat)))))</f>
        <v/>
      </c>
      <c r="L105" s="30" t="str">
        <f t="array" ref="L105">IF($A105="", "", LET(bbgm_stat, INDEX(Players!$A104:$P104, MATCH(L$2, Players!$A$1:$P$1, 0)), perc_75, VLOOKUP(L$2, Percentiles!$A$45:$I$59, 6, FALSE), perc_90, VLOOKUP(L$2, Percentiles!$A$45:$I$59, 7, FALSE), perc_95, VLOOKUP(L$2, Percentiles!$A$45:$I$59, 8, FALSE), perc_85, perc_75 + (perc_90 - perc_75) * (2/3), converted_stat, '2K_Ratings'!L105, IF(bbgm_stat &gt;= perc_95, converted_stat * 3, IF(bbgm_stat &gt;= perc_90, converted_stat * 2, IF(bbgm_stat &gt;= perc_85, converted_stat * 1.5, converted_stat)))))</f>
        <v/>
      </c>
      <c r="M105" s="30" t="str">
        <f t="array" ref="M105">IF($A105="", "", LET(bbgm_stat, INDEX(Players!$A104:$P104, MATCH(M$2, Players!$A$1:$P$1, 0)), perc_75, VLOOKUP(M$2, Percentiles!$A$45:$I$59, 6, FALSE), perc_90, VLOOKUP(M$2, Percentiles!$A$45:$I$59, 7, FALSE), perc_95, VLOOKUP(M$2, Percentiles!$A$45:$I$59, 8, FALSE), perc_85, perc_75 + (perc_90 - perc_75) * (2/3), converted_stat, '2K_Ratings'!M105, IF(bbgm_stat &gt;= perc_95, converted_stat * 3, IF(bbgm_stat &gt;= perc_90, converted_stat * 2, IF(bbgm_stat &gt;= perc_85, converted_stat * 1.5, converted_stat)))))</f>
        <v/>
      </c>
      <c r="N105" s="30" t="str">
        <f t="array" ref="N105">IF($A105="", "", LET(bbgm_stat, INDEX(Players!$A104:$P104, MATCH(N$2, Players!$A$1:$P$1, 0)), perc_75, VLOOKUP(N$2, Percentiles!$A$45:$I$59, 6, FALSE), perc_90, VLOOKUP(N$2, Percentiles!$A$45:$I$59, 7, FALSE), perc_95, VLOOKUP(N$2, Percentiles!$A$45:$I$59, 8, FALSE), perc_85, perc_75 + (perc_90 - perc_75) * (2/3), converted_stat, '2K_Ratings'!N105, IF(bbgm_stat &gt;= perc_95, converted_stat * 3, IF(bbgm_stat &gt;= perc_90, converted_stat * 2, IF(bbgm_stat &gt;= perc_85, converted_stat * 1.5, converted_stat)))))</f>
        <v/>
      </c>
      <c r="O105" s="30" t="str">
        <f t="array" ref="O105">IF($A105="", "", LET(bbgm_stat, INDEX(Players!$A104:$P104, MATCH(O$2, Players!$A$1:$P$1, 0)), perc_75, VLOOKUP(O$2, Percentiles!$A$45:$I$59, 6, FALSE), perc_90, VLOOKUP(O$2, Percentiles!$A$45:$I$59, 7, FALSE), perc_95, VLOOKUP(O$2, Percentiles!$A$45:$I$59, 8, FALSE), perc_85, perc_75 + (perc_90 - perc_75) * (2/3), converted_stat, '2K_Ratings'!O105, IF(bbgm_stat &gt;= perc_95, converted_stat * 3, IF(bbgm_stat &gt;= perc_90, converted_stat * 2, IF(bbgm_stat &gt;= perc_85, converted_stat * 1.5, converted_stat)))))</f>
        <v/>
      </c>
      <c r="P105" s="30" t="str">
        <f t="array" ref="P105">IF($A105="", "", LET(bbgm_stat, INDEX(Players!$A104:$P104, MATCH(P$2, Players!$A$1:$P$1, 0)), perc_75, VLOOKUP(P$2, Percentiles!$A$45:$I$59, 6, FALSE), perc_90, VLOOKUP(P$2, Percentiles!$A$45:$I$59, 7, FALSE), perc_95, VLOOKUP(P$2, Percentiles!$A$45:$I$59, 8, FALSE), perc_85, perc_75 + (perc_90 - perc_75) * (2/3), converted_stat, '2K_Ratings'!P105, IF(bbgm_stat &gt;= perc_95, converted_stat * 3, IF(bbgm_stat &gt;= perc_90, converted_stat * 2, IF(bbgm_stat &gt;= perc_85, converted_stat * 1.5, converted_stat)))))</f>
        <v/>
      </c>
      <c r="Q105" s="30" t="str">
        <f t="array" ref="Q105">IF($A105="", "", LET(bbgm_stat, INDEX(Players!$A104:$P104, MATCH(Q$2, Players!$A$1:$P$1, 0)), perc_75, VLOOKUP(Q$2, Percentiles!$A$45:$I$59, 6, FALSE), perc_90, VLOOKUP(Q$2, Percentiles!$A$45:$I$59, 7, FALSE), perc_95, VLOOKUP(Q$2, Percentiles!$A$45:$I$59, 8, FALSE), perc_85, perc_75 + (perc_90 - perc_75) * (2/3), converted_stat, '2K_Ratings'!Q105, IF(bbgm_stat &gt;= perc_95, converted_stat * 3, IF(bbgm_stat &gt;= perc_90, converted_stat * 2, IF(bbgm_stat &gt;= perc_85, converted_stat * 1.5, converted_stat)))))</f>
        <v/>
      </c>
      <c r="R105" s="30" t="str">
        <f t="array" ref="R105">IF($A105="", "", LET(bbgm_stat, INDEX(Players!$A104:$P104, MATCH(R$2, Players!$A$1:$P$1, 0)), perc_75, VLOOKUP(R$2, Percentiles!$A$45:$I$59, 6, FALSE), perc_90, VLOOKUP(R$2, Percentiles!$A$45:$I$59, 7, FALSE), perc_95, VLOOKUP(R$2, Percentiles!$A$45:$I$59, 8, FALSE), perc_85, perc_75 + (perc_90 - perc_75) * (2/3), converted_stat, '2K_Ratings'!R105, IF(bbgm_stat &gt;= perc_95, converted_stat * 3, IF(bbgm_stat &gt;= perc_90, converted_stat * 2, IF(bbgm_stat &gt;= perc_85, converted_stat * 1.5, converted_stat)))))</f>
        <v/>
      </c>
      <c r="S105" s="30" t="str">
        <f t="array" ref="S105">IF($A105="", "", LET(bbgm_stat, INDEX(Players!$A104:$P104, MATCH(S$2, Players!$A$1:$P$1, 0)), perc_75, VLOOKUP(S$2, Percentiles!$A$45:$I$59, 6, FALSE), perc_90, VLOOKUP(S$2, Percentiles!$A$45:$I$59, 7, FALSE), perc_95, VLOOKUP(S$2, Percentiles!$A$45:$I$59, 8, FALSE), perc_85, perc_75 + (perc_90 - perc_75) * (2/3), converted_stat, '2K_Ratings'!S105, IF(bbgm_stat &gt;= perc_95, converted_stat * 3, IF(bbgm_stat &gt;= perc_90, converted_stat * 2, IF(bbgm_stat &gt;= perc_85, converted_stat * 1.5, converted_stat)))))</f>
        <v/>
      </c>
      <c r="T105" s="30" t="str">
        <f t="array" ref="T105">IF($A105="", "", LET(bbgm_stat, INDEX(Players!$A104:$P104, MATCH(T$2, Players!$A$1:$P$1, 0)), perc_75, VLOOKUP(T$2, Percentiles!$A$45:$I$59, 6, FALSE), perc_90, VLOOKUP(T$2, Percentiles!$A$45:$I$59, 7, FALSE), perc_95, VLOOKUP(T$2, Percentiles!$A$45:$I$59, 8, FALSE), perc_85, perc_75 + (perc_90 - perc_75) * (2/3), converted_stat, '2K_Ratings'!T105, IF(bbgm_stat &gt;= perc_95, converted_stat * 3, IF(bbgm_stat &gt;= perc_90, converted_stat * 2, IF(bbgm_stat &gt;= perc_85, converted_stat * 1.5, converted_stat)))))</f>
        <v/>
      </c>
      <c r="U105" s="30" t="str">
        <f t="array" ref="U105">IF($A105="", "", LET(bbgm_stat, INDEX(Players!$A104:$P104, MATCH(U$2, Players!$A$1:$P$1, 0)), perc_75, VLOOKUP(U$2, Percentiles!$A$45:$I$59, 6, FALSE), perc_90, VLOOKUP(U$2, Percentiles!$A$45:$I$59, 7, FALSE), perc_95, VLOOKUP(U$2, Percentiles!$A$45:$I$59, 8, FALSE), perc_85, perc_75 + (perc_90 - perc_75) * (2/3), converted_stat, '2K_Ratings'!U105, IF(bbgm_stat &gt;= perc_95, converted_stat * 3, IF(bbgm_stat &gt;= perc_90, converted_stat * 2, IF(bbgm_stat &gt;= perc_85, converted_stat * 1.5, converted_stat)))))</f>
        <v/>
      </c>
      <c r="V105" s="30" t="str">
        <f t="array" ref="V105">IF($A105="", "", LET(bbgm_stat, INDEX(Players!$A104:$P104, MATCH(V$2, Players!$A$1:$P$1, 0)), perc_75, VLOOKUP(V$2, Percentiles!$A$45:$I$59, 6, FALSE), perc_90, VLOOKUP(V$2, Percentiles!$A$45:$I$59, 7, FALSE), perc_95, VLOOKUP(V$2, Percentiles!$A$45:$I$59, 8, FALSE), perc_85, perc_75 + (perc_90 - perc_75) * (2/3), converted_stat, '2K_Ratings'!V105, IF(bbgm_stat &gt;= perc_95, converted_stat * 3, IF(bbgm_stat &gt;= perc_90, converted_stat * 2, IF(bbgm_stat &gt;= perc_85, converted_stat * 1.5, converted_stat)))))</f>
        <v/>
      </c>
      <c r="W105" s="30" t="str">
        <f t="array" ref="W105">IF($A105="", "", LET(bbgm_stat, INDEX(Players!$A104:$P104, MATCH(W$2, Players!$A$1:$P$1, 0)), perc_75, VLOOKUP(W$2, Percentiles!$A$45:$I$59, 6, FALSE), perc_90, VLOOKUP(W$2, Percentiles!$A$45:$I$59, 7, FALSE), perc_95, VLOOKUP(W$2, Percentiles!$A$45:$I$59, 8, FALSE), perc_85, perc_75 + (perc_90 - perc_75) * (2/3), converted_stat, '2K_Ratings'!W105, IF(bbgm_stat &gt;= perc_95, converted_stat * 3, IF(bbgm_stat &gt;= perc_90, converted_stat * 2, IF(bbgm_stat &gt;= perc_85, converted_stat * 1.5, converted_stat)))))</f>
        <v/>
      </c>
    </row>
    <row r="106">
      <c r="A106" s="30"/>
      <c r="B106" s="30" t="str">
        <f t="array" ref="B106">IF($A106="", "", LET(bbgm_stat, INDEX(Players!$A105:$P105, MATCH(B$2, Players!$A$1:$P$1, 0)), perc_75, VLOOKUP(B$2, Percentiles!$A$45:$I$59, 6, FALSE), perc_90, VLOOKUP(B$2, Percentiles!$A$45:$I$59, 7, FALSE), perc_95, VLOOKUP(B$2, Percentiles!$A$45:$I$59, 8, FALSE), perc_85, perc_75 + (perc_90 - perc_75) * (2/3), converted_stat, '2K_Ratings'!B106, IF(bbgm_stat &gt;= perc_95, converted_stat * 3, IF(bbgm_stat &gt;= perc_90, converted_stat * 2, IF(bbgm_stat &gt;= perc_85, converted_stat * 1.5, converted_stat)))))</f>
        <v/>
      </c>
      <c r="C106" s="30" t="str">
        <f t="array" ref="C106">IF($A106="", "", LET(bbgm_stat, INDEX(Players!$A105:$P105, MATCH(C$2, Players!$A$1:$P$1, 0)), perc_75, VLOOKUP(C$2, Percentiles!$A$45:$I$59, 6, FALSE), perc_90, VLOOKUP(C$2, Percentiles!$A$45:$I$59, 7, FALSE), perc_95, VLOOKUP(C$2, Percentiles!$A$45:$I$59, 8, FALSE), perc_85, perc_75 + (perc_90 - perc_75) * (2/3), converted_stat, '2K_Ratings'!C106, IF(bbgm_stat &gt;= perc_95, converted_stat * 3, IF(bbgm_stat &gt;= perc_90, converted_stat * 2, IF(bbgm_stat &gt;= perc_85, converted_stat * 1.5, converted_stat)))))</f>
        <v/>
      </c>
      <c r="D106" s="30" t="str">
        <f t="array" ref="D106">IF($A106="", "", LET(bbgm_stat, INDEX(Players!$A105:$P105, MATCH(D$2, Players!$A$1:$P$1, 0)), perc_75, VLOOKUP(D$2, Percentiles!$A$45:$I$59, 6, FALSE), perc_90, VLOOKUP(D$2, Percentiles!$A$45:$I$59, 7, FALSE), perc_95, VLOOKUP(D$2, Percentiles!$A$45:$I$59, 8, FALSE), perc_85, perc_75 + (perc_90 - perc_75) * (2/3), converted_stat, '2K_Ratings'!D106, IF(bbgm_stat &gt;= perc_95, converted_stat * 3, IF(bbgm_stat &gt;= perc_90, converted_stat * 2, IF(bbgm_stat &gt;= perc_85, converted_stat * 1.5, converted_stat)))))</f>
        <v/>
      </c>
      <c r="E106" s="30" t="str">
        <f t="array" ref="E106">IF($A106="", "", LET(bbgm_stat, INDEX(Players!$A105:$P105, MATCH(E$2, Players!$A$1:$P$1, 0)), perc_75, VLOOKUP(E$2, Percentiles!$A$45:$I$59, 6, FALSE), perc_90, VLOOKUP(E$2, Percentiles!$A$45:$I$59, 7, FALSE), perc_95, VLOOKUP(E$2, Percentiles!$A$45:$I$59, 8, FALSE), perc_85, perc_75 + (perc_90 - perc_75) * (2/3), converted_stat, '2K_Ratings'!E106, IF(bbgm_stat &gt;= perc_95, converted_stat * 3, IF(bbgm_stat &gt;= perc_90, converted_stat * 2, IF(bbgm_stat &gt;= perc_85, converted_stat * 1.5, converted_stat)))))</f>
        <v/>
      </c>
      <c r="F106" s="30" t="str">
        <f t="array" ref="F106">IF($A106="", "", LET(bbgm_stat, INDEX(Players!$A105:$P105, MATCH(F$2, Players!$A$1:$P$1, 0)), perc_75, VLOOKUP(F$2, Percentiles!$A$45:$I$59, 6, FALSE), perc_90, VLOOKUP(F$2, Percentiles!$A$45:$I$59, 7, FALSE), perc_95, VLOOKUP(F$2, Percentiles!$A$45:$I$59, 8, FALSE), perc_85, perc_75 + (perc_90 - perc_75) * (2/3), converted_stat, '2K_Ratings'!F106, IF(bbgm_stat &gt;= perc_95, converted_stat * 3, IF(bbgm_stat &gt;= perc_90, converted_stat * 2, IF(bbgm_stat &gt;= perc_85, converted_stat * 1.5, converted_stat)))))</f>
        <v/>
      </c>
      <c r="G106" s="30" t="str">
        <f t="array" ref="G106">IF($A106="", "", LET(bbgm_stat, INDEX(Players!$A105:$P105, MATCH(G$2, Players!$A$1:$P$1, 0)), perc_75, VLOOKUP(G$2, Percentiles!$A$45:$I$59, 6, FALSE), perc_90, VLOOKUP(G$2, Percentiles!$A$45:$I$59, 7, FALSE), perc_95, VLOOKUP(G$2, Percentiles!$A$45:$I$59, 8, FALSE), perc_85, perc_75 + (perc_90 - perc_75) * (2/3), converted_stat, '2K_Ratings'!G106, IF(bbgm_stat &gt;= perc_95, converted_stat * 3, IF(bbgm_stat &gt;= perc_90, converted_stat * 2, IF(bbgm_stat &gt;= perc_85, converted_stat * 1.5, converted_stat)))))</f>
        <v/>
      </c>
      <c r="H106" s="30" t="str">
        <f t="array" ref="H106">IF($A106="", "", LET(bbgm_stat, INDEX(Players!$A105:$P105, MATCH(H$2, Players!$A$1:$P$1, 0)), perc_75, VLOOKUP(H$2, Percentiles!$A$45:$I$59, 6, FALSE), perc_90, VLOOKUP(H$2, Percentiles!$A$45:$I$59, 7, FALSE), perc_95, VLOOKUP(H$2, Percentiles!$A$45:$I$59, 8, FALSE), perc_85, perc_75 + (perc_90 - perc_75) * (2/3), converted_stat, '2K_Ratings'!H106, IF(bbgm_stat &gt;= perc_95, converted_stat * 3, IF(bbgm_stat &gt;= perc_90, converted_stat * 2, IF(bbgm_stat &gt;= perc_85, converted_stat * 1.5, converted_stat)))))</f>
        <v/>
      </c>
      <c r="I106" s="30" t="str">
        <f t="array" ref="I106">IF($A106="", "", LET(bbgm_stat, INDEX(Players!$A105:$P105, MATCH(I$2, Players!$A$1:$P$1, 0)), perc_75, VLOOKUP(I$2, Percentiles!$A$45:$I$59, 6, FALSE), perc_90, VLOOKUP(I$2, Percentiles!$A$45:$I$59, 7, FALSE), perc_95, VLOOKUP(I$2, Percentiles!$A$45:$I$59, 8, FALSE), perc_85, perc_75 + (perc_90 - perc_75) * (2/3), converted_stat, '2K_Ratings'!I106, IF(bbgm_stat &gt;= perc_95, converted_stat * 3, IF(bbgm_stat &gt;= perc_90, converted_stat * 2, IF(bbgm_stat &gt;= perc_85, converted_stat * 1.5, converted_stat)))))</f>
        <v/>
      </c>
      <c r="J106" s="30" t="str">
        <f t="array" ref="J106">IF($A106="", "", LET(bbgm_stat, INDEX(Players!$A105:$P105, MATCH(J$2, Players!$A$1:$P$1, 0)), perc_75, VLOOKUP(J$2, Percentiles!$A$45:$I$59, 6, FALSE), perc_90, VLOOKUP(J$2, Percentiles!$A$45:$I$59, 7, FALSE), perc_95, VLOOKUP(J$2, Percentiles!$A$45:$I$59, 8, FALSE), perc_85, perc_75 + (perc_90 - perc_75) * (2/3), converted_stat, '2K_Ratings'!J106, IF(bbgm_stat &gt;= perc_95, converted_stat * 3, IF(bbgm_stat &gt;= perc_90, converted_stat * 2, IF(bbgm_stat &gt;= perc_85, converted_stat * 1.5, converted_stat)))))</f>
        <v/>
      </c>
      <c r="K106" s="30" t="str">
        <f t="array" ref="K106">IF($A106="", "", LET(bbgm_stat, INDEX(Players!$A105:$P105, MATCH(K$2, Players!$A$1:$P$1, 0)), perc_75, VLOOKUP(K$2, Percentiles!$A$45:$I$59, 6, FALSE), perc_90, VLOOKUP(K$2, Percentiles!$A$45:$I$59, 7, FALSE), perc_95, VLOOKUP(K$2, Percentiles!$A$45:$I$59, 8, FALSE), perc_85, perc_75 + (perc_90 - perc_75) * (2/3), converted_stat, '2K_Ratings'!K106, IF(bbgm_stat &gt;= perc_95, converted_stat * 3, IF(bbgm_stat &gt;= perc_90, converted_stat * 2, IF(bbgm_stat &gt;= perc_85, converted_stat * 1.5, converted_stat)))))</f>
        <v/>
      </c>
      <c r="L106" s="30" t="str">
        <f t="array" ref="L106">IF($A106="", "", LET(bbgm_stat, INDEX(Players!$A105:$P105, MATCH(L$2, Players!$A$1:$P$1, 0)), perc_75, VLOOKUP(L$2, Percentiles!$A$45:$I$59, 6, FALSE), perc_90, VLOOKUP(L$2, Percentiles!$A$45:$I$59, 7, FALSE), perc_95, VLOOKUP(L$2, Percentiles!$A$45:$I$59, 8, FALSE), perc_85, perc_75 + (perc_90 - perc_75) * (2/3), converted_stat, '2K_Ratings'!L106, IF(bbgm_stat &gt;= perc_95, converted_stat * 3, IF(bbgm_stat &gt;= perc_90, converted_stat * 2, IF(bbgm_stat &gt;= perc_85, converted_stat * 1.5, converted_stat)))))</f>
        <v/>
      </c>
      <c r="M106" s="30" t="str">
        <f t="array" ref="M106">IF($A106="", "", LET(bbgm_stat, INDEX(Players!$A105:$P105, MATCH(M$2, Players!$A$1:$P$1, 0)), perc_75, VLOOKUP(M$2, Percentiles!$A$45:$I$59, 6, FALSE), perc_90, VLOOKUP(M$2, Percentiles!$A$45:$I$59, 7, FALSE), perc_95, VLOOKUP(M$2, Percentiles!$A$45:$I$59, 8, FALSE), perc_85, perc_75 + (perc_90 - perc_75) * (2/3), converted_stat, '2K_Ratings'!M106, IF(bbgm_stat &gt;= perc_95, converted_stat * 3, IF(bbgm_stat &gt;= perc_90, converted_stat * 2, IF(bbgm_stat &gt;= perc_85, converted_stat * 1.5, converted_stat)))))</f>
        <v/>
      </c>
      <c r="N106" s="30" t="str">
        <f t="array" ref="N106">IF($A106="", "", LET(bbgm_stat, INDEX(Players!$A105:$P105, MATCH(N$2, Players!$A$1:$P$1, 0)), perc_75, VLOOKUP(N$2, Percentiles!$A$45:$I$59, 6, FALSE), perc_90, VLOOKUP(N$2, Percentiles!$A$45:$I$59, 7, FALSE), perc_95, VLOOKUP(N$2, Percentiles!$A$45:$I$59, 8, FALSE), perc_85, perc_75 + (perc_90 - perc_75) * (2/3), converted_stat, '2K_Ratings'!N106, IF(bbgm_stat &gt;= perc_95, converted_stat * 3, IF(bbgm_stat &gt;= perc_90, converted_stat * 2, IF(bbgm_stat &gt;= perc_85, converted_stat * 1.5, converted_stat)))))</f>
        <v/>
      </c>
      <c r="O106" s="30" t="str">
        <f t="array" ref="O106">IF($A106="", "", LET(bbgm_stat, INDEX(Players!$A105:$P105, MATCH(O$2, Players!$A$1:$P$1, 0)), perc_75, VLOOKUP(O$2, Percentiles!$A$45:$I$59, 6, FALSE), perc_90, VLOOKUP(O$2, Percentiles!$A$45:$I$59, 7, FALSE), perc_95, VLOOKUP(O$2, Percentiles!$A$45:$I$59, 8, FALSE), perc_85, perc_75 + (perc_90 - perc_75) * (2/3), converted_stat, '2K_Ratings'!O106, IF(bbgm_stat &gt;= perc_95, converted_stat * 3, IF(bbgm_stat &gt;= perc_90, converted_stat * 2, IF(bbgm_stat &gt;= perc_85, converted_stat * 1.5, converted_stat)))))</f>
        <v/>
      </c>
      <c r="P106" s="30" t="str">
        <f t="array" ref="P106">IF($A106="", "", LET(bbgm_stat, INDEX(Players!$A105:$P105, MATCH(P$2, Players!$A$1:$P$1, 0)), perc_75, VLOOKUP(P$2, Percentiles!$A$45:$I$59, 6, FALSE), perc_90, VLOOKUP(P$2, Percentiles!$A$45:$I$59, 7, FALSE), perc_95, VLOOKUP(P$2, Percentiles!$A$45:$I$59, 8, FALSE), perc_85, perc_75 + (perc_90 - perc_75) * (2/3), converted_stat, '2K_Ratings'!P106, IF(bbgm_stat &gt;= perc_95, converted_stat * 3, IF(bbgm_stat &gt;= perc_90, converted_stat * 2, IF(bbgm_stat &gt;= perc_85, converted_stat * 1.5, converted_stat)))))</f>
        <v/>
      </c>
      <c r="Q106" s="30" t="str">
        <f t="array" ref="Q106">IF($A106="", "", LET(bbgm_stat, INDEX(Players!$A105:$P105, MATCH(Q$2, Players!$A$1:$P$1, 0)), perc_75, VLOOKUP(Q$2, Percentiles!$A$45:$I$59, 6, FALSE), perc_90, VLOOKUP(Q$2, Percentiles!$A$45:$I$59, 7, FALSE), perc_95, VLOOKUP(Q$2, Percentiles!$A$45:$I$59, 8, FALSE), perc_85, perc_75 + (perc_90 - perc_75) * (2/3), converted_stat, '2K_Ratings'!Q106, IF(bbgm_stat &gt;= perc_95, converted_stat * 3, IF(bbgm_stat &gt;= perc_90, converted_stat * 2, IF(bbgm_stat &gt;= perc_85, converted_stat * 1.5, converted_stat)))))</f>
        <v/>
      </c>
      <c r="R106" s="30" t="str">
        <f t="array" ref="R106">IF($A106="", "", LET(bbgm_stat, INDEX(Players!$A105:$P105, MATCH(R$2, Players!$A$1:$P$1, 0)), perc_75, VLOOKUP(R$2, Percentiles!$A$45:$I$59, 6, FALSE), perc_90, VLOOKUP(R$2, Percentiles!$A$45:$I$59, 7, FALSE), perc_95, VLOOKUP(R$2, Percentiles!$A$45:$I$59, 8, FALSE), perc_85, perc_75 + (perc_90 - perc_75) * (2/3), converted_stat, '2K_Ratings'!R106, IF(bbgm_stat &gt;= perc_95, converted_stat * 3, IF(bbgm_stat &gt;= perc_90, converted_stat * 2, IF(bbgm_stat &gt;= perc_85, converted_stat * 1.5, converted_stat)))))</f>
        <v/>
      </c>
      <c r="S106" s="30" t="str">
        <f t="array" ref="S106">IF($A106="", "", LET(bbgm_stat, INDEX(Players!$A105:$P105, MATCH(S$2, Players!$A$1:$P$1, 0)), perc_75, VLOOKUP(S$2, Percentiles!$A$45:$I$59, 6, FALSE), perc_90, VLOOKUP(S$2, Percentiles!$A$45:$I$59, 7, FALSE), perc_95, VLOOKUP(S$2, Percentiles!$A$45:$I$59, 8, FALSE), perc_85, perc_75 + (perc_90 - perc_75) * (2/3), converted_stat, '2K_Ratings'!S106, IF(bbgm_stat &gt;= perc_95, converted_stat * 3, IF(bbgm_stat &gt;= perc_90, converted_stat * 2, IF(bbgm_stat &gt;= perc_85, converted_stat * 1.5, converted_stat)))))</f>
        <v/>
      </c>
      <c r="T106" s="30" t="str">
        <f t="array" ref="T106">IF($A106="", "", LET(bbgm_stat, INDEX(Players!$A105:$P105, MATCH(T$2, Players!$A$1:$P$1, 0)), perc_75, VLOOKUP(T$2, Percentiles!$A$45:$I$59, 6, FALSE), perc_90, VLOOKUP(T$2, Percentiles!$A$45:$I$59, 7, FALSE), perc_95, VLOOKUP(T$2, Percentiles!$A$45:$I$59, 8, FALSE), perc_85, perc_75 + (perc_90 - perc_75) * (2/3), converted_stat, '2K_Ratings'!T106, IF(bbgm_stat &gt;= perc_95, converted_stat * 3, IF(bbgm_stat &gt;= perc_90, converted_stat * 2, IF(bbgm_stat &gt;= perc_85, converted_stat * 1.5, converted_stat)))))</f>
        <v/>
      </c>
      <c r="U106" s="30" t="str">
        <f t="array" ref="U106">IF($A106="", "", LET(bbgm_stat, INDEX(Players!$A105:$P105, MATCH(U$2, Players!$A$1:$P$1, 0)), perc_75, VLOOKUP(U$2, Percentiles!$A$45:$I$59, 6, FALSE), perc_90, VLOOKUP(U$2, Percentiles!$A$45:$I$59, 7, FALSE), perc_95, VLOOKUP(U$2, Percentiles!$A$45:$I$59, 8, FALSE), perc_85, perc_75 + (perc_90 - perc_75) * (2/3), converted_stat, '2K_Ratings'!U106, IF(bbgm_stat &gt;= perc_95, converted_stat * 3, IF(bbgm_stat &gt;= perc_90, converted_stat * 2, IF(bbgm_stat &gt;= perc_85, converted_stat * 1.5, converted_stat)))))</f>
        <v/>
      </c>
      <c r="V106" s="30" t="str">
        <f t="array" ref="V106">IF($A106="", "", LET(bbgm_stat, INDEX(Players!$A105:$P105, MATCH(V$2, Players!$A$1:$P$1, 0)), perc_75, VLOOKUP(V$2, Percentiles!$A$45:$I$59, 6, FALSE), perc_90, VLOOKUP(V$2, Percentiles!$A$45:$I$59, 7, FALSE), perc_95, VLOOKUP(V$2, Percentiles!$A$45:$I$59, 8, FALSE), perc_85, perc_75 + (perc_90 - perc_75) * (2/3), converted_stat, '2K_Ratings'!V106, IF(bbgm_stat &gt;= perc_95, converted_stat * 3, IF(bbgm_stat &gt;= perc_90, converted_stat * 2, IF(bbgm_stat &gt;= perc_85, converted_stat * 1.5, converted_stat)))))</f>
        <v/>
      </c>
      <c r="W106" s="30" t="str">
        <f t="array" ref="W106">IF($A106="", "", LET(bbgm_stat, INDEX(Players!$A105:$P105, MATCH(W$2, Players!$A$1:$P$1, 0)), perc_75, VLOOKUP(W$2, Percentiles!$A$45:$I$59, 6, FALSE), perc_90, VLOOKUP(W$2, Percentiles!$A$45:$I$59, 7, FALSE), perc_95, VLOOKUP(W$2, Percentiles!$A$45:$I$59, 8, FALSE), perc_85, perc_75 + (perc_90 - perc_75) * (2/3), converted_stat, '2K_Ratings'!W106, IF(bbgm_stat &gt;= perc_95, converted_stat * 3, IF(bbgm_stat &gt;= perc_90, converted_stat * 2, IF(bbgm_stat &gt;= perc_85, converted_stat * 1.5, converted_stat)))))</f>
        <v/>
      </c>
    </row>
    <row r="107">
      <c r="A107" s="30"/>
      <c r="B107" s="30" t="str">
        <f t="array" ref="B107">IF($A107="", "", LET(bbgm_stat, INDEX(Players!$A106:$P106, MATCH(B$2, Players!$A$1:$P$1, 0)), perc_75, VLOOKUP(B$2, Percentiles!$A$45:$I$59, 6, FALSE), perc_90, VLOOKUP(B$2, Percentiles!$A$45:$I$59, 7, FALSE), perc_95, VLOOKUP(B$2, Percentiles!$A$45:$I$59, 8, FALSE), perc_85, perc_75 + (perc_90 - perc_75) * (2/3), converted_stat, '2K_Ratings'!B107, IF(bbgm_stat &gt;= perc_95, converted_stat * 3, IF(bbgm_stat &gt;= perc_90, converted_stat * 2, IF(bbgm_stat &gt;= perc_85, converted_stat * 1.5, converted_stat)))))</f>
        <v/>
      </c>
      <c r="C107" s="30" t="str">
        <f t="array" ref="C107">IF($A107="", "", LET(bbgm_stat, INDEX(Players!$A106:$P106, MATCH(C$2, Players!$A$1:$P$1, 0)), perc_75, VLOOKUP(C$2, Percentiles!$A$45:$I$59, 6, FALSE), perc_90, VLOOKUP(C$2, Percentiles!$A$45:$I$59, 7, FALSE), perc_95, VLOOKUP(C$2, Percentiles!$A$45:$I$59, 8, FALSE), perc_85, perc_75 + (perc_90 - perc_75) * (2/3), converted_stat, '2K_Ratings'!C107, IF(bbgm_stat &gt;= perc_95, converted_stat * 3, IF(bbgm_stat &gt;= perc_90, converted_stat * 2, IF(bbgm_stat &gt;= perc_85, converted_stat * 1.5, converted_stat)))))</f>
        <v/>
      </c>
      <c r="D107" s="30" t="str">
        <f t="array" ref="D107">IF($A107="", "", LET(bbgm_stat, INDEX(Players!$A106:$P106, MATCH(D$2, Players!$A$1:$P$1, 0)), perc_75, VLOOKUP(D$2, Percentiles!$A$45:$I$59, 6, FALSE), perc_90, VLOOKUP(D$2, Percentiles!$A$45:$I$59, 7, FALSE), perc_95, VLOOKUP(D$2, Percentiles!$A$45:$I$59, 8, FALSE), perc_85, perc_75 + (perc_90 - perc_75) * (2/3), converted_stat, '2K_Ratings'!D107, IF(bbgm_stat &gt;= perc_95, converted_stat * 3, IF(bbgm_stat &gt;= perc_90, converted_stat * 2, IF(bbgm_stat &gt;= perc_85, converted_stat * 1.5, converted_stat)))))</f>
        <v/>
      </c>
      <c r="E107" s="30" t="str">
        <f t="array" ref="E107">IF($A107="", "", LET(bbgm_stat, INDEX(Players!$A106:$P106, MATCH(E$2, Players!$A$1:$P$1, 0)), perc_75, VLOOKUP(E$2, Percentiles!$A$45:$I$59, 6, FALSE), perc_90, VLOOKUP(E$2, Percentiles!$A$45:$I$59, 7, FALSE), perc_95, VLOOKUP(E$2, Percentiles!$A$45:$I$59, 8, FALSE), perc_85, perc_75 + (perc_90 - perc_75) * (2/3), converted_stat, '2K_Ratings'!E107, IF(bbgm_stat &gt;= perc_95, converted_stat * 3, IF(bbgm_stat &gt;= perc_90, converted_stat * 2, IF(bbgm_stat &gt;= perc_85, converted_stat * 1.5, converted_stat)))))</f>
        <v/>
      </c>
      <c r="F107" s="30" t="str">
        <f t="array" ref="F107">IF($A107="", "", LET(bbgm_stat, INDEX(Players!$A106:$P106, MATCH(F$2, Players!$A$1:$P$1, 0)), perc_75, VLOOKUP(F$2, Percentiles!$A$45:$I$59, 6, FALSE), perc_90, VLOOKUP(F$2, Percentiles!$A$45:$I$59, 7, FALSE), perc_95, VLOOKUP(F$2, Percentiles!$A$45:$I$59, 8, FALSE), perc_85, perc_75 + (perc_90 - perc_75) * (2/3), converted_stat, '2K_Ratings'!F107, IF(bbgm_stat &gt;= perc_95, converted_stat * 3, IF(bbgm_stat &gt;= perc_90, converted_stat * 2, IF(bbgm_stat &gt;= perc_85, converted_stat * 1.5, converted_stat)))))</f>
        <v/>
      </c>
      <c r="G107" s="30" t="str">
        <f t="array" ref="G107">IF($A107="", "", LET(bbgm_stat, INDEX(Players!$A106:$P106, MATCH(G$2, Players!$A$1:$P$1, 0)), perc_75, VLOOKUP(G$2, Percentiles!$A$45:$I$59, 6, FALSE), perc_90, VLOOKUP(G$2, Percentiles!$A$45:$I$59, 7, FALSE), perc_95, VLOOKUP(G$2, Percentiles!$A$45:$I$59, 8, FALSE), perc_85, perc_75 + (perc_90 - perc_75) * (2/3), converted_stat, '2K_Ratings'!G107, IF(bbgm_stat &gt;= perc_95, converted_stat * 3, IF(bbgm_stat &gt;= perc_90, converted_stat * 2, IF(bbgm_stat &gt;= perc_85, converted_stat * 1.5, converted_stat)))))</f>
        <v/>
      </c>
      <c r="H107" s="30" t="str">
        <f t="array" ref="H107">IF($A107="", "", LET(bbgm_stat, INDEX(Players!$A106:$P106, MATCH(H$2, Players!$A$1:$P$1, 0)), perc_75, VLOOKUP(H$2, Percentiles!$A$45:$I$59, 6, FALSE), perc_90, VLOOKUP(H$2, Percentiles!$A$45:$I$59, 7, FALSE), perc_95, VLOOKUP(H$2, Percentiles!$A$45:$I$59, 8, FALSE), perc_85, perc_75 + (perc_90 - perc_75) * (2/3), converted_stat, '2K_Ratings'!H107, IF(bbgm_stat &gt;= perc_95, converted_stat * 3, IF(bbgm_stat &gt;= perc_90, converted_stat * 2, IF(bbgm_stat &gt;= perc_85, converted_stat * 1.5, converted_stat)))))</f>
        <v/>
      </c>
      <c r="I107" s="30" t="str">
        <f t="array" ref="I107">IF($A107="", "", LET(bbgm_stat, INDEX(Players!$A106:$P106, MATCH(I$2, Players!$A$1:$P$1, 0)), perc_75, VLOOKUP(I$2, Percentiles!$A$45:$I$59, 6, FALSE), perc_90, VLOOKUP(I$2, Percentiles!$A$45:$I$59, 7, FALSE), perc_95, VLOOKUP(I$2, Percentiles!$A$45:$I$59, 8, FALSE), perc_85, perc_75 + (perc_90 - perc_75) * (2/3), converted_stat, '2K_Ratings'!I107, IF(bbgm_stat &gt;= perc_95, converted_stat * 3, IF(bbgm_stat &gt;= perc_90, converted_stat * 2, IF(bbgm_stat &gt;= perc_85, converted_stat * 1.5, converted_stat)))))</f>
        <v/>
      </c>
      <c r="J107" s="30" t="str">
        <f t="array" ref="J107">IF($A107="", "", LET(bbgm_stat, INDEX(Players!$A106:$P106, MATCH(J$2, Players!$A$1:$P$1, 0)), perc_75, VLOOKUP(J$2, Percentiles!$A$45:$I$59, 6, FALSE), perc_90, VLOOKUP(J$2, Percentiles!$A$45:$I$59, 7, FALSE), perc_95, VLOOKUP(J$2, Percentiles!$A$45:$I$59, 8, FALSE), perc_85, perc_75 + (perc_90 - perc_75) * (2/3), converted_stat, '2K_Ratings'!J107, IF(bbgm_stat &gt;= perc_95, converted_stat * 3, IF(bbgm_stat &gt;= perc_90, converted_stat * 2, IF(bbgm_stat &gt;= perc_85, converted_stat * 1.5, converted_stat)))))</f>
        <v/>
      </c>
      <c r="K107" s="30" t="str">
        <f t="array" ref="K107">IF($A107="", "", LET(bbgm_stat, INDEX(Players!$A106:$P106, MATCH(K$2, Players!$A$1:$P$1, 0)), perc_75, VLOOKUP(K$2, Percentiles!$A$45:$I$59, 6, FALSE), perc_90, VLOOKUP(K$2, Percentiles!$A$45:$I$59, 7, FALSE), perc_95, VLOOKUP(K$2, Percentiles!$A$45:$I$59, 8, FALSE), perc_85, perc_75 + (perc_90 - perc_75) * (2/3), converted_stat, '2K_Ratings'!K107, IF(bbgm_stat &gt;= perc_95, converted_stat * 3, IF(bbgm_stat &gt;= perc_90, converted_stat * 2, IF(bbgm_stat &gt;= perc_85, converted_stat * 1.5, converted_stat)))))</f>
        <v/>
      </c>
      <c r="L107" s="30" t="str">
        <f t="array" ref="L107">IF($A107="", "", LET(bbgm_stat, INDEX(Players!$A106:$P106, MATCH(L$2, Players!$A$1:$P$1, 0)), perc_75, VLOOKUP(L$2, Percentiles!$A$45:$I$59, 6, FALSE), perc_90, VLOOKUP(L$2, Percentiles!$A$45:$I$59, 7, FALSE), perc_95, VLOOKUP(L$2, Percentiles!$A$45:$I$59, 8, FALSE), perc_85, perc_75 + (perc_90 - perc_75) * (2/3), converted_stat, '2K_Ratings'!L107, IF(bbgm_stat &gt;= perc_95, converted_stat * 3, IF(bbgm_stat &gt;= perc_90, converted_stat * 2, IF(bbgm_stat &gt;= perc_85, converted_stat * 1.5, converted_stat)))))</f>
        <v/>
      </c>
      <c r="M107" s="30" t="str">
        <f t="array" ref="M107">IF($A107="", "", LET(bbgm_stat, INDEX(Players!$A106:$P106, MATCH(M$2, Players!$A$1:$P$1, 0)), perc_75, VLOOKUP(M$2, Percentiles!$A$45:$I$59, 6, FALSE), perc_90, VLOOKUP(M$2, Percentiles!$A$45:$I$59, 7, FALSE), perc_95, VLOOKUP(M$2, Percentiles!$A$45:$I$59, 8, FALSE), perc_85, perc_75 + (perc_90 - perc_75) * (2/3), converted_stat, '2K_Ratings'!M107, IF(bbgm_stat &gt;= perc_95, converted_stat * 3, IF(bbgm_stat &gt;= perc_90, converted_stat * 2, IF(bbgm_stat &gt;= perc_85, converted_stat * 1.5, converted_stat)))))</f>
        <v/>
      </c>
      <c r="N107" s="30" t="str">
        <f t="array" ref="N107">IF($A107="", "", LET(bbgm_stat, INDEX(Players!$A106:$P106, MATCH(N$2, Players!$A$1:$P$1, 0)), perc_75, VLOOKUP(N$2, Percentiles!$A$45:$I$59, 6, FALSE), perc_90, VLOOKUP(N$2, Percentiles!$A$45:$I$59, 7, FALSE), perc_95, VLOOKUP(N$2, Percentiles!$A$45:$I$59, 8, FALSE), perc_85, perc_75 + (perc_90 - perc_75) * (2/3), converted_stat, '2K_Ratings'!N107, IF(bbgm_stat &gt;= perc_95, converted_stat * 3, IF(bbgm_stat &gt;= perc_90, converted_stat * 2, IF(bbgm_stat &gt;= perc_85, converted_stat * 1.5, converted_stat)))))</f>
        <v/>
      </c>
      <c r="O107" s="30" t="str">
        <f t="array" ref="O107">IF($A107="", "", LET(bbgm_stat, INDEX(Players!$A106:$P106, MATCH(O$2, Players!$A$1:$P$1, 0)), perc_75, VLOOKUP(O$2, Percentiles!$A$45:$I$59, 6, FALSE), perc_90, VLOOKUP(O$2, Percentiles!$A$45:$I$59, 7, FALSE), perc_95, VLOOKUP(O$2, Percentiles!$A$45:$I$59, 8, FALSE), perc_85, perc_75 + (perc_90 - perc_75) * (2/3), converted_stat, '2K_Ratings'!O107, IF(bbgm_stat &gt;= perc_95, converted_stat * 3, IF(bbgm_stat &gt;= perc_90, converted_stat * 2, IF(bbgm_stat &gt;= perc_85, converted_stat * 1.5, converted_stat)))))</f>
        <v/>
      </c>
      <c r="P107" s="30" t="str">
        <f t="array" ref="P107">IF($A107="", "", LET(bbgm_stat, INDEX(Players!$A106:$P106, MATCH(P$2, Players!$A$1:$P$1, 0)), perc_75, VLOOKUP(P$2, Percentiles!$A$45:$I$59, 6, FALSE), perc_90, VLOOKUP(P$2, Percentiles!$A$45:$I$59, 7, FALSE), perc_95, VLOOKUP(P$2, Percentiles!$A$45:$I$59, 8, FALSE), perc_85, perc_75 + (perc_90 - perc_75) * (2/3), converted_stat, '2K_Ratings'!P107, IF(bbgm_stat &gt;= perc_95, converted_stat * 3, IF(bbgm_stat &gt;= perc_90, converted_stat * 2, IF(bbgm_stat &gt;= perc_85, converted_stat * 1.5, converted_stat)))))</f>
        <v/>
      </c>
      <c r="Q107" s="30" t="str">
        <f t="array" ref="Q107">IF($A107="", "", LET(bbgm_stat, INDEX(Players!$A106:$P106, MATCH(Q$2, Players!$A$1:$P$1, 0)), perc_75, VLOOKUP(Q$2, Percentiles!$A$45:$I$59, 6, FALSE), perc_90, VLOOKUP(Q$2, Percentiles!$A$45:$I$59, 7, FALSE), perc_95, VLOOKUP(Q$2, Percentiles!$A$45:$I$59, 8, FALSE), perc_85, perc_75 + (perc_90 - perc_75) * (2/3), converted_stat, '2K_Ratings'!Q107, IF(bbgm_stat &gt;= perc_95, converted_stat * 3, IF(bbgm_stat &gt;= perc_90, converted_stat * 2, IF(bbgm_stat &gt;= perc_85, converted_stat * 1.5, converted_stat)))))</f>
        <v/>
      </c>
      <c r="R107" s="30" t="str">
        <f t="array" ref="R107">IF($A107="", "", LET(bbgm_stat, INDEX(Players!$A106:$P106, MATCH(R$2, Players!$A$1:$P$1, 0)), perc_75, VLOOKUP(R$2, Percentiles!$A$45:$I$59, 6, FALSE), perc_90, VLOOKUP(R$2, Percentiles!$A$45:$I$59, 7, FALSE), perc_95, VLOOKUP(R$2, Percentiles!$A$45:$I$59, 8, FALSE), perc_85, perc_75 + (perc_90 - perc_75) * (2/3), converted_stat, '2K_Ratings'!R107, IF(bbgm_stat &gt;= perc_95, converted_stat * 3, IF(bbgm_stat &gt;= perc_90, converted_stat * 2, IF(bbgm_stat &gt;= perc_85, converted_stat * 1.5, converted_stat)))))</f>
        <v/>
      </c>
      <c r="S107" s="30" t="str">
        <f t="array" ref="S107">IF($A107="", "", LET(bbgm_stat, INDEX(Players!$A106:$P106, MATCH(S$2, Players!$A$1:$P$1, 0)), perc_75, VLOOKUP(S$2, Percentiles!$A$45:$I$59, 6, FALSE), perc_90, VLOOKUP(S$2, Percentiles!$A$45:$I$59, 7, FALSE), perc_95, VLOOKUP(S$2, Percentiles!$A$45:$I$59, 8, FALSE), perc_85, perc_75 + (perc_90 - perc_75) * (2/3), converted_stat, '2K_Ratings'!S107, IF(bbgm_stat &gt;= perc_95, converted_stat * 3, IF(bbgm_stat &gt;= perc_90, converted_stat * 2, IF(bbgm_stat &gt;= perc_85, converted_stat * 1.5, converted_stat)))))</f>
        <v/>
      </c>
      <c r="T107" s="30" t="str">
        <f t="array" ref="T107">IF($A107="", "", LET(bbgm_stat, INDEX(Players!$A106:$P106, MATCH(T$2, Players!$A$1:$P$1, 0)), perc_75, VLOOKUP(T$2, Percentiles!$A$45:$I$59, 6, FALSE), perc_90, VLOOKUP(T$2, Percentiles!$A$45:$I$59, 7, FALSE), perc_95, VLOOKUP(T$2, Percentiles!$A$45:$I$59, 8, FALSE), perc_85, perc_75 + (perc_90 - perc_75) * (2/3), converted_stat, '2K_Ratings'!T107, IF(bbgm_stat &gt;= perc_95, converted_stat * 3, IF(bbgm_stat &gt;= perc_90, converted_stat * 2, IF(bbgm_stat &gt;= perc_85, converted_stat * 1.5, converted_stat)))))</f>
        <v/>
      </c>
      <c r="U107" s="30" t="str">
        <f t="array" ref="U107">IF($A107="", "", LET(bbgm_stat, INDEX(Players!$A106:$P106, MATCH(U$2, Players!$A$1:$P$1, 0)), perc_75, VLOOKUP(U$2, Percentiles!$A$45:$I$59, 6, FALSE), perc_90, VLOOKUP(U$2, Percentiles!$A$45:$I$59, 7, FALSE), perc_95, VLOOKUP(U$2, Percentiles!$A$45:$I$59, 8, FALSE), perc_85, perc_75 + (perc_90 - perc_75) * (2/3), converted_stat, '2K_Ratings'!U107, IF(bbgm_stat &gt;= perc_95, converted_stat * 3, IF(bbgm_stat &gt;= perc_90, converted_stat * 2, IF(bbgm_stat &gt;= perc_85, converted_stat * 1.5, converted_stat)))))</f>
        <v/>
      </c>
      <c r="V107" s="30" t="str">
        <f t="array" ref="V107">IF($A107="", "", LET(bbgm_stat, INDEX(Players!$A106:$P106, MATCH(V$2, Players!$A$1:$P$1, 0)), perc_75, VLOOKUP(V$2, Percentiles!$A$45:$I$59, 6, FALSE), perc_90, VLOOKUP(V$2, Percentiles!$A$45:$I$59, 7, FALSE), perc_95, VLOOKUP(V$2, Percentiles!$A$45:$I$59, 8, FALSE), perc_85, perc_75 + (perc_90 - perc_75) * (2/3), converted_stat, '2K_Ratings'!V107, IF(bbgm_stat &gt;= perc_95, converted_stat * 3, IF(bbgm_stat &gt;= perc_90, converted_stat * 2, IF(bbgm_stat &gt;= perc_85, converted_stat * 1.5, converted_stat)))))</f>
        <v/>
      </c>
      <c r="W107" s="30" t="str">
        <f t="array" ref="W107">IF($A107="", "", LET(bbgm_stat, INDEX(Players!$A106:$P106, MATCH(W$2, Players!$A$1:$P$1, 0)), perc_75, VLOOKUP(W$2, Percentiles!$A$45:$I$59, 6, FALSE), perc_90, VLOOKUP(W$2, Percentiles!$A$45:$I$59, 7, FALSE), perc_95, VLOOKUP(W$2, Percentiles!$A$45:$I$59, 8, FALSE), perc_85, perc_75 + (perc_90 - perc_75) * (2/3), converted_stat, '2K_Ratings'!W107, IF(bbgm_stat &gt;= perc_95, converted_stat * 3, IF(bbgm_stat &gt;= perc_90, converted_stat * 2, IF(bbgm_stat &gt;= perc_85, converted_stat * 1.5, converted_stat)))))</f>
        <v/>
      </c>
    </row>
    <row r="108">
      <c r="A108" s="30"/>
      <c r="B108" s="30" t="str">
        <f t="array" ref="B108">IF($A108="", "", LET(bbgm_stat, INDEX(Players!$A107:$P107, MATCH(B$2, Players!$A$1:$P$1, 0)), perc_75, VLOOKUP(B$2, Percentiles!$A$45:$I$59, 6, FALSE), perc_90, VLOOKUP(B$2, Percentiles!$A$45:$I$59, 7, FALSE), perc_95, VLOOKUP(B$2, Percentiles!$A$45:$I$59, 8, FALSE), perc_85, perc_75 + (perc_90 - perc_75) * (2/3), converted_stat, '2K_Ratings'!B108, IF(bbgm_stat &gt;= perc_95, converted_stat * 3, IF(bbgm_stat &gt;= perc_90, converted_stat * 2, IF(bbgm_stat &gt;= perc_85, converted_stat * 1.5, converted_stat)))))</f>
        <v/>
      </c>
      <c r="C108" s="30" t="str">
        <f t="array" ref="C108">IF($A108="", "", LET(bbgm_stat, INDEX(Players!$A107:$P107, MATCH(C$2, Players!$A$1:$P$1, 0)), perc_75, VLOOKUP(C$2, Percentiles!$A$45:$I$59, 6, FALSE), perc_90, VLOOKUP(C$2, Percentiles!$A$45:$I$59, 7, FALSE), perc_95, VLOOKUP(C$2, Percentiles!$A$45:$I$59, 8, FALSE), perc_85, perc_75 + (perc_90 - perc_75) * (2/3), converted_stat, '2K_Ratings'!C108, IF(bbgm_stat &gt;= perc_95, converted_stat * 3, IF(bbgm_stat &gt;= perc_90, converted_stat * 2, IF(bbgm_stat &gt;= perc_85, converted_stat * 1.5, converted_stat)))))</f>
        <v/>
      </c>
      <c r="D108" s="30" t="str">
        <f t="array" ref="D108">IF($A108="", "", LET(bbgm_stat, INDEX(Players!$A107:$P107, MATCH(D$2, Players!$A$1:$P$1, 0)), perc_75, VLOOKUP(D$2, Percentiles!$A$45:$I$59, 6, FALSE), perc_90, VLOOKUP(D$2, Percentiles!$A$45:$I$59, 7, FALSE), perc_95, VLOOKUP(D$2, Percentiles!$A$45:$I$59, 8, FALSE), perc_85, perc_75 + (perc_90 - perc_75) * (2/3), converted_stat, '2K_Ratings'!D108, IF(bbgm_stat &gt;= perc_95, converted_stat * 3, IF(bbgm_stat &gt;= perc_90, converted_stat * 2, IF(bbgm_stat &gt;= perc_85, converted_stat * 1.5, converted_stat)))))</f>
        <v/>
      </c>
      <c r="E108" s="30" t="str">
        <f t="array" ref="E108">IF($A108="", "", LET(bbgm_stat, INDEX(Players!$A107:$P107, MATCH(E$2, Players!$A$1:$P$1, 0)), perc_75, VLOOKUP(E$2, Percentiles!$A$45:$I$59, 6, FALSE), perc_90, VLOOKUP(E$2, Percentiles!$A$45:$I$59, 7, FALSE), perc_95, VLOOKUP(E$2, Percentiles!$A$45:$I$59, 8, FALSE), perc_85, perc_75 + (perc_90 - perc_75) * (2/3), converted_stat, '2K_Ratings'!E108, IF(bbgm_stat &gt;= perc_95, converted_stat * 3, IF(bbgm_stat &gt;= perc_90, converted_stat * 2, IF(bbgm_stat &gt;= perc_85, converted_stat * 1.5, converted_stat)))))</f>
        <v/>
      </c>
      <c r="F108" s="30" t="str">
        <f t="array" ref="F108">IF($A108="", "", LET(bbgm_stat, INDEX(Players!$A107:$P107, MATCH(F$2, Players!$A$1:$P$1, 0)), perc_75, VLOOKUP(F$2, Percentiles!$A$45:$I$59, 6, FALSE), perc_90, VLOOKUP(F$2, Percentiles!$A$45:$I$59, 7, FALSE), perc_95, VLOOKUP(F$2, Percentiles!$A$45:$I$59, 8, FALSE), perc_85, perc_75 + (perc_90 - perc_75) * (2/3), converted_stat, '2K_Ratings'!F108, IF(bbgm_stat &gt;= perc_95, converted_stat * 3, IF(bbgm_stat &gt;= perc_90, converted_stat * 2, IF(bbgm_stat &gt;= perc_85, converted_stat * 1.5, converted_stat)))))</f>
        <v/>
      </c>
      <c r="G108" s="30" t="str">
        <f t="array" ref="G108">IF($A108="", "", LET(bbgm_stat, INDEX(Players!$A107:$P107, MATCH(G$2, Players!$A$1:$P$1, 0)), perc_75, VLOOKUP(G$2, Percentiles!$A$45:$I$59, 6, FALSE), perc_90, VLOOKUP(G$2, Percentiles!$A$45:$I$59, 7, FALSE), perc_95, VLOOKUP(G$2, Percentiles!$A$45:$I$59, 8, FALSE), perc_85, perc_75 + (perc_90 - perc_75) * (2/3), converted_stat, '2K_Ratings'!G108, IF(bbgm_stat &gt;= perc_95, converted_stat * 3, IF(bbgm_stat &gt;= perc_90, converted_stat * 2, IF(bbgm_stat &gt;= perc_85, converted_stat * 1.5, converted_stat)))))</f>
        <v/>
      </c>
      <c r="H108" s="30" t="str">
        <f t="array" ref="H108">IF($A108="", "", LET(bbgm_stat, INDEX(Players!$A107:$P107, MATCH(H$2, Players!$A$1:$P$1, 0)), perc_75, VLOOKUP(H$2, Percentiles!$A$45:$I$59, 6, FALSE), perc_90, VLOOKUP(H$2, Percentiles!$A$45:$I$59, 7, FALSE), perc_95, VLOOKUP(H$2, Percentiles!$A$45:$I$59, 8, FALSE), perc_85, perc_75 + (perc_90 - perc_75) * (2/3), converted_stat, '2K_Ratings'!H108, IF(bbgm_stat &gt;= perc_95, converted_stat * 3, IF(bbgm_stat &gt;= perc_90, converted_stat * 2, IF(bbgm_stat &gt;= perc_85, converted_stat * 1.5, converted_stat)))))</f>
        <v/>
      </c>
      <c r="I108" s="30" t="str">
        <f t="array" ref="I108">IF($A108="", "", LET(bbgm_stat, INDEX(Players!$A107:$P107, MATCH(I$2, Players!$A$1:$P$1, 0)), perc_75, VLOOKUP(I$2, Percentiles!$A$45:$I$59, 6, FALSE), perc_90, VLOOKUP(I$2, Percentiles!$A$45:$I$59, 7, FALSE), perc_95, VLOOKUP(I$2, Percentiles!$A$45:$I$59, 8, FALSE), perc_85, perc_75 + (perc_90 - perc_75) * (2/3), converted_stat, '2K_Ratings'!I108, IF(bbgm_stat &gt;= perc_95, converted_stat * 3, IF(bbgm_stat &gt;= perc_90, converted_stat * 2, IF(bbgm_stat &gt;= perc_85, converted_stat * 1.5, converted_stat)))))</f>
        <v/>
      </c>
      <c r="J108" s="30" t="str">
        <f t="array" ref="J108">IF($A108="", "", LET(bbgm_stat, INDEX(Players!$A107:$P107, MATCH(J$2, Players!$A$1:$P$1, 0)), perc_75, VLOOKUP(J$2, Percentiles!$A$45:$I$59, 6, FALSE), perc_90, VLOOKUP(J$2, Percentiles!$A$45:$I$59, 7, FALSE), perc_95, VLOOKUP(J$2, Percentiles!$A$45:$I$59, 8, FALSE), perc_85, perc_75 + (perc_90 - perc_75) * (2/3), converted_stat, '2K_Ratings'!J108, IF(bbgm_stat &gt;= perc_95, converted_stat * 3, IF(bbgm_stat &gt;= perc_90, converted_stat * 2, IF(bbgm_stat &gt;= perc_85, converted_stat * 1.5, converted_stat)))))</f>
        <v/>
      </c>
      <c r="K108" s="30" t="str">
        <f t="array" ref="K108">IF($A108="", "", LET(bbgm_stat, INDEX(Players!$A107:$P107, MATCH(K$2, Players!$A$1:$P$1, 0)), perc_75, VLOOKUP(K$2, Percentiles!$A$45:$I$59, 6, FALSE), perc_90, VLOOKUP(K$2, Percentiles!$A$45:$I$59, 7, FALSE), perc_95, VLOOKUP(K$2, Percentiles!$A$45:$I$59, 8, FALSE), perc_85, perc_75 + (perc_90 - perc_75) * (2/3), converted_stat, '2K_Ratings'!K108, IF(bbgm_stat &gt;= perc_95, converted_stat * 3, IF(bbgm_stat &gt;= perc_90, converted_stat * 2, IF(bbgm_stat &gt;= perc_85, converted_stat * 1.5, converted_stat)))))</f>
        <v/>
      </c>
      <c r="L108" s="30" t="str">
        <f t="array" ref="L108">IF($A108="", "", LET(bbgm_stat, INDEX(Players!$A107:$P107, MATCH(L$2, Players!$A$1:$P$1, 0)), perc_75, VLOOKUP(L$2, Percentiles!$A$45:$I$59, 6, FALSE), perc_90, VLOOKUP(L$2, Percentiles!$A$45:$I$59, 7, FALSE), perc_95, VLOOKUP(L$2, Percentiles!$A$45:$I$59, 8, FALSE), perc_85, perc_75 + (perc_90 - perc_75) * (2/3), converted_stat, '2K_Ratings'!L108, IF(bbgm_stat &gt;= perc_95, converted_stat * 3, IF(bbgm_stat &gt;= perc_90, converted_stat * 2, IF(bbgm_stat &gt;= perc_85, converted_stat * 1.5, converted_stat)))))</f>
        <v/>
      </c>
      <c r="M108" s="30" t="str">
        <f t="array" ref="M108">IF($A108="", "", LET(bbgm_stat, INDEX(Players!$A107:$P107, MATCH(M$2, Players!$A$1:$P$1, 0)), perc_75, VLOOKUP(M$2, Percentiles!$A$45:$I$59, 6, FALSE), perc_90, VLOOKUP(M$2, Percentiles!$A$45:$I$59, 7, FALSE), perc_95, VLOOKUP(M$2, Percentiles!$A$45:$I$59, 8, FALSE), perc_85, perc_75 + (perc_90 - perc_75) * (2/3), converted_stat, '2K_Ratings'!M108, IF(bbgm_stat &gt;= perc_95, converted_stat * 3, IF(bbgm_stat &gt;= perc_90, converted_stat * 2, IF(bbgm_stat &gt;= perc_85, converted_stat * 1.5, converted_stat)))))</f>
        <v/>
      </c>
      <c r="N108" s="30" t="str">
        <f t="array" ref="N108">IF($A108="", "", LET(bbgm_stat, INDEX(Players!$A107:$P107, MATCH(N$2, Players!$A$1:$P$1, 0)), perc_75, VLOOKUP(N$2, Percentiles!$A$45:$I$59, 6, FALSE), perc_90, VLOOKUP(N$2, Percentiles!$A$45:$I$59, 7, FALSE), perc_95, VLOOKUP(N$2, Percentiles!$A$45:$I$59, 8, FALSE), perc_85, perc_75 + (perc_90 - perc_75) * (2/3), converted_stat, '2K_Ratings'!N108, IF(bbgm_stat &gt;= perc_95, converted_stat * 3, IF(bbgm_stat &gt;= perc_90, converted_stat * 2, IF(bbgm_stat &gt;= perc_85, converted_stat * 1.5, converted_stat)))))</f>
        <v/>
      </c>
      <c r="O108" s="30" t="str">
        <f t="array" ref="O108">IF($A108="", "", LET(bbgm_stat, INDEX(Players!$A107:$P107, MATCH(O$2, Players!$A$1:$P$1, 0)), perc_75, VLOOKUP(O$2, Percentiles!$A$45:$I$59, 6, FALSE), perc_90, VLOOKUP(O$2, Percentiles!$A$45:$I$59, 7, FALSE), perc_95, VLOOKUP(O$2, Percentiles!$A$45:$I$59, 8, FALSE), perc_85, perc_75 + (perc_90 - perc_75) * (2/3), converted_stat, '2K_Ratings'!O108, IF(bbgm_stat &gt;= perc_95, converted_stat * 3, IF(bbgm_stat &gt;= perc_90, converted_stat * 2, IF(bbgm_stat &gt;= perc_85, converted_stat * 1.5, converted_stat)))))</f>
        <v/>
      </c>
      <c r="P108" s="30" t="str">
        <f t="array" ref="P108">IF($A108="", "", LET(bbgm_stat, INDEX(Players!$A107:$P107, MATCH(P$2, Players!$A$1:$P$1, 0)), perc_75, VLOOKUP(P$2, Percentiles!$A$45:$I$59, 6, FALSE), perc_90, VLOOKUP(P$2, Percentiles!$A$45:$I$59, 7, FALSE), perc_95, VLOOKUP(P$2, Percentiles!$A$45:$I$59, 8, FALSE), perc_85, perc_75 + (perc_90 - perc_75) * (2/3), converted_stat, '2K_Ratings'!P108, IF(bbgm_stat &gt;= perc_95, converted_stat * 3, IF(bbgm_stat &gt;= perc_90, converted_stat * 2, IF(bbgm_stat &gt;= perc_85, converted_stat * 1.5, converted_stat)))))</f>
        <v/>
      </c>
      <c r="Q108" s="30" t="str">
        <f t="array" ref="Q108">IF($A108="", "", LET(bbgm_stat, INDEX(Players!$A107:$P107, MATCH(Q$2, Players!$A$1:$P$1, 0)), perc_75, VLOOKUP(Q$2, Percentiles!$A$45:$I$59, 6, FALSE), perc_90, VLOOKUP(Q$2, Percentiles!$A$45:$I$59, 7, FALSE), perc_95, VLOOKUP(Q$2, Percentiles!$A$45:$I$59, 8, FALSE), perc_85, perc_75 + (perc_90 - perc_75) * (2/3), converted_stat, '2K_Ratings'!Q108, IF(bbgm_stat &gt;= perc_95, converted_stat * 3, IF(bbgm_stat &gt;= perc_90, converted_stat * 2, IF(bbgm_stat &gt;= perc_85, converted_stat * 1.5, converted_stat)))))</f>
        <v/>
      </c>
      <c r="R108" s="30" t="str">
        <f t="array" ref="R108">IF($A108="", "", LET(bbgm_stat, INDEX(Players!$A107:$P107, MATCH(R$2, Players!$A$1:$P$1, 0)), perc_75, VLOOKUP(R$2, Percentiles!$A$45:$I$59, 6, FALSE), perc_90, VLOOKUP(R$2, Percentiles!$A$45:$I$59, 7, FALSE), perc_95, VLOOKUP(R$2, Percentiles!$A$45:$I$59, 8, FALSE), perc_85, perc_75 + (perc_90 - perc_75) * (2/3), converted_stat, '2K_Ratings'!R108, IF(bbgm_stat &gt;= perc_95, converted_stat * 3, IF(bbgm_stat &gt;= perc_90, converted_stat * 2, IF(bbgm_stat &gt;= perc_85, converted_stat * 1.5, converted_stat)))))</f>
        <v/>
      </c>
      <c r="S108" s="30" t="str">
        <f t="array" ref="S108">IF($A108="", "", LET(bbgm_stat, INDEX(Players!$A107:$P107, MATCH(S$2, Players!$A$1:$P$1, 0)), perc_75, VLOOKUP(S$2, Percentiles!$A$45:$I$59, 6, FALSE), perc_90, VLOOKUP(S$2, Percentiles!$A$45:$I$59, 7, FALSE), perc_95, VLOOKUP(S$2, Percentiles!$A$45:$I$59, 8, FALSE), perc_85, perc_75 + (perc_90 - perc_75) * (2/3), converted_stat, '2K_Ratings'!S108, IF(bbgm_stat &gt;= perc_95, converted_stat * 3, IF(bbgm_stat &gt;= perc_90, converted_stat * 2, IF(bbgm_stat &gt;= perc_85, converted_stat * 1.5, converted_stat)))))</f>
        <v/>
      </c>
      <c r="T108" s="30" t="str">
        <f t="array" ref="T108">IF($A108="", "", LET(bbgm_stat, INDEX(Players!$A107:$P107, MATCH(T$2, Players!$A$1:$P$1, 0)), perc_75, VLOOKUP(T$2, Percentiles!$A$45:$I$59, 6, FALSE), perc_90, VLOOKUP(T$2, Percentiles!$A$45:$I$59, 7, FALSE), perc_95, VLOOKUP(T$2, Percentiles!$A$45:$I$59, 8, FALSE), perc_85, perc_75 + (perc_90 - perc_75) * (2/3), converted_stat, '2K_Ratings'!T108, IF(bbgm_stat &gt;= perc_95, converted_stat * 3, IF(bbgm_stat &gt;= perc_90, converted_stat * 2, IF(bbgm_stat &gt;= perc_85, converted_stat * 1.5, converted_stat)))))</f>
        <v/>
      </c>
      <c r="U108" s="30" t="str">
        <f t="array" ref="U108">IF($A108="", "", LET(bbgm_stat, INDEX(Players!$A107:$P107, MATCH(U$2, Players!$A$1:$P$1, 0)), perc_75, VLOOKUP(U$2, Percentiles!$A$45:$I$59, 6, FALSE), perc_90, VLOOKUP(U$2, Percentiles!$A$45:$I$59, 7, FALSE), perc_95, VLOOKUP(U$2, Percentiles!$A$45:$I$59, 8, FALSE), perc_85, perc_75 + (perc_90 - perc_75) * (2/3), converted_stat, '2K_Ratings'!U108, IF(bbgm_stat &gt;= perc_95, converted_stat * 3, IF(bbgm_stat &gt;= perc_90, converted_stat * 2, IF(bbgm_stat &gt;= perc_85, converted_stat * 1.5, converted_stat)))))</f>
        <v/>
      </c>
      <c r="V108" s="30" t="str">
        <f t="array" ref="V108">IF($A108="", "", LET(bbgm_stat, INDEX(Players!$A107:$P107, MATCH(V$2, Players!$A$1:$P$1, 0)), perc_75, VLOOKUP(V$2, Percentiles!$A$45:$I$59, 6, FALSE), perc_90, VLOOKUP(V$2, Percentiles!$A$45:$I$59, 7, FALSE), perc_95, VLOOKUP(V$2, Percentiles!$A$45:$I$59, 8, FALSE), perc_85, perc_75 + (perc_90 - perc_75) * (2/3), converted_stat, '2K_Ratings'!V108, IF(bbgm_stat &gt;= perc_95, converted_stat * 3, IF(bbgm_stat &gt;= perc_90, converted_stat * 2, IF(bbgm_stat &gt;= perc_85, converted_stat * 1.5, converted_stat)))))</f>
        <v/>
      </c>
      <c r="W108" s="30" t="str">
        <f t="array" ref="W108">IF($A108="", "", LET(bbgm_stat, INDEX(Players!$A107:$P107, MATCH(W$2, Players!$A$1:$P$1, 0)), perc_75, VLOOKUP(W$2, Percentiles!$A$45:$I$59, 6, FALSE), perc_90, VLOOKUP(W$2, Percentiles!$A$45:$I$59, 7, FALSE), perc_95, VLOOKUP(W$2, Percentiles!$A$45:$I$59, 8, FALSE), perc_85, perc_75 + (perc_90 - perc_75) * (2/3), converted_stat, '2K_Ratings'!W108, IF(bbgm_stat &gt;= perc_95, converted_stat * 3, IF(bbgm_stat &gt;= perc_90, converted_stat * 2, IF(bbgm_stat &gt;= perc_85, converted_stat * 1.5, converted_stat)))))</f>
        <v/>
      </c>
    </row>
    <row r="109">
      <c r="A109" s="30"/>
      <c r="B109" s="30" t="str">
        <f t="array" ref="B109">IF($A109="", "", LET(bbgm_stat, INDEX(Players!$A108:$P108, MATCH(B$2, Players!$A$1:$P$1, 0)), perc_75, VLOOKUP(B$2, Percentiles!$A$45:$I$59, 6, FALSE), perc_90, VLOOKUP(B$2, Percentiles!$A$45:$I$59, 7, FALSE), perc_95, VLOOKUP(B$2, Percentiles!$A$45:$I$59, 8, FALSE), perc_85, perc_75 + (perc_90 - perc_75) * (2/3), converted_stat, '2K_Ratings'!B109, IF(bbgm_stat &gt;= perc_95, converted_stat * 3, IF(bbgm_stat &gt;= perc_90, converted_stat * 2, IF(bbgm_stat &gt;= perc_85, converted_stat * 1.5, converted_stat)))))</f>
        <v/>
      </c>
      <c r="C109" s="30" t="str">
        <f t="array" ref="C109">IF($A109="", "", LET(bbgm_stat, INDEX(Players!$A108:$P108, MATCH(C$2, Players!$A$1:$P$1, 0)), perc_75, VLOOKUP(C$2, Percentiles!$A$45:$I$59, 6, FALSE), perc_90, VLOOKUP(C$2, Percentiles!$A$45:$I$59, 7, FALSE), perc_95, VLOOKUP(C$2, Percentiles!$A$45:$I$59, 8, FALSE), perc_85, perc_75 + (perc_90 - perc_75) * (2/3), converted_stat, '2K_Ratings'!C109, IF(bbgm_stat &gt;= perc_95, converted_stat * 3, IF(bbgm_stat &gt;= perc_90, converted_stat * 2, IF(bbgm_stat &gt;= perc_85, converted_stat * 1.5, converted_stat)))))</f>
        <v/>
      </c>
      <c r="D109" s="30" t="str">
        <f t="array" ref="D109">IF($A109="", "", LET(bbgm_stat, INDEX(Players!$A108:$P108, MATCH(D$2, Players!$A$1:$P$1, 0)), perc_75, VLOOKUP(D$2, Percentiles!$A$45:$I$59, 6, FALSE), perc_90, VLOOKUP(D$2, Percentiles!$A$45:$I$59, 7, FALSE), perc_95, VLOOKUP(D$2, Percentiles!$A$45:$I$59, 8, FALSE), perc_85, perc_75 + (perc_90 - perc_75) * (2/3), converted_stat, '2K_Ratings'!D109, IF(bbgm_stat &gt;= perc_95, converted_stat * 3, IF(bbgm_stat &gt;= perc_90, converted_stat * 2, IF(bbgm_stat &gt;= perc_85, converted_stat * 1.5, converted_stat)))))</f>
        <v/>
      </c>
      <c r="E109" s="30" t="str">
        <f t="array" ref="E109">IF($A109="", "", LET(bbgm_stat, INDEX(Players!$A108:$P108, MATCH(E$2, Players!$A$1:$P$1, 0)), perc_75, VLOOKUP(E$2, Percentiles!$A$45:$I$59, 6, FALSE), perc_90, VLOOKUP(E$2, Percentiles!$A$45:$I$59, 7, FALSE), perc_95, VLOOKUP(E$2, Percentiles!$A$45:$I$59, 8, FALSE), perc_85, perc_75 + (perc_90 - perc_75) * (2/3), converted_stat, '2K_Ratings'!E109, IF(bbgm_stat &gt;= perc_95, converted_stat * 3, IF(bbgm_stat &gt;= perc_90, converted_stat * 2, IF(bbgm_stat &gt;= perc_85, converted_stat * 1.5, converted_stat)))))</f>
        <v/>
      </c>
      <c r="F109" s="30" t="str">
        <f t="array" ref="F109">IF($A109="", "", LET(bbgm_stat, INDEX(Players!$A108:$P108, MATCH(F$2, Players!$A$1:$P$1, 0)), perc_75, VLOOKUP(F$2, Percentiles!$A$45:$I$59, 6, FALSE), perc_90, VLOOKUP(F$2, Percentiles!$A$45:$I$59, 7, FALSE), perc_95, VLOOKUP(F$2, Percentiles!$A$45:$I$59, 8, FALSE), perc_85, perc_75 + (perc_90 - perc_75) * (2/3), converted_stat, '2K_Ratings'!F109, IF(bbgm_stat &gt;= perc_95, converted_stat * 3, IF(bbgm_stat &gt;= perc_90, converted_stat * 2, IF(bbgm_stat &gt;= perc_85, converted_stat * 1.5, converted_stat)))))</f>
        <v/>
      </c>
      <c r="G109" s="30" t="str">
        <f t="array" ref="G109">IF($A109="", "", LET(bbgm_stat, INDEX(Players!$A108:$P108, MATCH(G$2, Players!$A$1:$P$1, 0)), perc_75, VLOOKUP(G$2, Percentiles!$A$45:$I$59, 6, FALSE), perc_90, VLOOKUP(G$2, Percentiles!$A$45:$I$59, 7, FALSE), perc_95, VLOOKUP(G$2, Percentiles!$A$45:$I$59, 8, FALSE), perc_85, perc_75 + (perc_90 - perc_75) * (2/3), converted_stat, '2K_Ratings'!G109, IF(bbgm_stat &gt;= perc_95, converted_stat * 3, IF(bbgm_stat &gt;= perc_90, converted_stat * 2, IF(bbgm_stat &gt;= perc_85, converted_stat * 1.5, converted_stat)))))</f>
        <v/>
      </c>
      <c r="H109" s="30" t="str">
        <f t="array" ref="H109">IF($A109="", "", LET(bbgm_stat, INDEX(Players!$A108:$P108, MATCH(H$2, Players!$A$1:$P$1, 0)), perc_75, VLOOKUP(H$2, Percentiles!$A$45:$I$59, 6, FALSE), perc_90, VLOOKUP(H$2, Percentiles!$A$45:$I$59, 7, FALSE), perc_95, VLOOKUP(H$2, Percentiles!$A$45:$I$59, 8, FALSE), perc_85, perc_75 + (perc_90 - perc_75) * (2/3), converted_stat, '2K_Ratings'!H109, IF(bbgm_stat &gt;= perc_95, converted_stat * 3, IF(bbgm_stat &gt;= perc_90, converted_stat * 2, IF(bbgm_stat &gt;= perc_85, converted_stat * 1.5, converted_stat)))))</f>
        <v/>
      </c>
      <c r="I109" s="30" t="str">
        <f t="array" ref="I109">IF($A109="", "", LET(bbgm_stat, INDEX(Players!$A108:$P108, MATCH(I$2, Players!$A$1:$P$1, 0)), perc_75, VLOOKUP(I$2, Percentiles!$A$45:$I$59, 6, FALSE), perc_90, VLOOKUP(I$2, Percentiles!$A$45:$I$59, 7, FALSE), perc_95, VLOOKUP(I$2, Percentiles!$A$45:$I$59, 8, FALSE), perc_85, perc_75 + (perc_90 - perc_75) * (2/3), converted_stat, '2K_Ratings'!I109, IF(bbgm_stat &gt;= perc_95, converted_stat * 3, IF(bbgm_stat &gt;= perc_90, converted_stat * 2, IF(bbgm_stat &gt;= perc_85, converted_stat * 1.5, converted_stat)))))</f>
        <v/>
      </c>
      <c r="J109" s="30" t="str">
        <f t="array" ref="J109">IF($A109="", "", LET(bbgm_stat, INDEX(Players!$A108:$P108, MATCH(J$2, Players!$A$1:$P$1, 0)), perc_75, VLOOKUP(J$2, Percentiles!$A$45:$I$59, 6, FALSE), perc_90, VLOOKUP(J$2, Percentiles!$A$45:$I$59, 7, FALSE), perc_95, VLOOKUP(J$2, Percentiles!$A$45:$I$59, 8, FALSE), perc_85, perc_75 + (perc_90 - perc_75) * (2/3), converted_stat, '2K_Ratings'!J109, IF(bbgm_stat &gt;= perc_95, converted_stat * 3, IF(bbgm_stat &gt;= perc_90, converted_stat * 2, IF(bbgm_stat &gt;= perc_85, converted_stat * 1.5, converted_stat)))))</f>
        <v/>
      </c>
      <c r="K109" s="30" t="str">
        <f t="array" ref="K109">IF($A109="", "", LET(bbgm_stat, INDEX(Players!$A108:$P108, MATCH(K$2, Players!$A$1:$P$1, 0)), perc_75, VLOOKUP(K$2, Percentiles!$A$45:$I$59, 6, FALSE), perc_90, VLOOKUP(K$2, Percentiles!$A$45:$I$59, 7, FALSE), perc_95, VLOOKUP(K$2, Percentiles!$A$45:$I$59, 8, FALSE), perc_85, perc_75 + (perc_90 - perc_75) * (2/3), converted_stat, '2K_Ratings'!K109, IF(bbgm_stat &gt;= perc_95, converted_stat * 3, IF(bbgm_stat &gt;= perc_90, converted_stat * 2, IF(bbgm_stat &gt;= perc_85, converted_stat * 1.5, converted_stat)))))</f>
        <v/>
      </c>
      <c r="L109" s="30" t="str">
        <f t="array" ref="L109">IF($A109="", "", LET(bbgm_stat, INDEX(Players!$A108:$P108, MATCH(L$2, Players!$A$1:$P$1, 0)), perc_75, VLOOKUP(L$2, Percentiles!$A$45:$I$59, 6, FALSE), perc_90, VLOOKUP(L$2, Percentiles!$A$45:$I$59, 7, FALSE), perc_95, VLOOKUP(L$2, Percentiles!$A$45:$I$59, 8, FALSE), perc_85, perc_75 + (perc_90 - perc_75) * (2/3), converted_stat, '2K_Ratings'!L109, IF(bbgm_stat &gt;= perc_95, converted_stat * 3, IF(bbgm_stat &gt;= perc_90, converted_stat * 2, IF(bbgm_stat &gt;= perc_85, converted_stat * 1.5, converted_stat)))))</f>
        <v/>
      </c>
      <c r="M109" s="30" t="str">
        <f t="array" ref="M109">IF($A109="", "", LET(bbgm_stat, INDEX(Players!$A108:$P108, MATCH(M$2, Players!$A$1:$P$1, 0)), perc_75, VLOOKUP(M$2, Percentiles!$A$45:$I$59, 6, FALSE), perc_90, VLOOKUP(M$2, Percentiles!$A$45:$I$59, 7, FALSE), perc_95, VLOOKUP(M$2, Percentiles!$A$45:$I$59, 8, FALSE), perc_85, perc_75 + (perc_90 - perc_75) * (2/3), converted_stat, '2K_Ratings'!M109, IF(bbgm_stat &gt;= perc_95, converted_stat * 3, IF(bbgm_stat &gt;= perc_90, converted_stat * 2, IF(bbgm_stat &gt;= perc_85, converted_stat * 1.5, converted_stat)))))</f>
        <v/>
      </c>
      <c r="N109" s="30" t="str">
        <f t="array" ref="N109">IF($A109="", "", LET(bbgm_stat, INDEX(Players!$A108:$P108, MATCH(N$2, Players!$A$1:$P$1, 0)), perc_75, VLOOKUP(N$2, Percentiles!$A$45:$I$59, 6, FALSE), perc_90, VLOOKUP(N$2, Percentiles!$A$45:$I$59, 7, FALSE), perc_95, VLOOKUP(N$2, Percentiles!$A$45:$I$59, 8, FALSE), perc_85, perc_75 + (perc_90 - perc_75) * (2/3), converted_stat, '2K_Ratings'!N109, IF(bbgm_stat &gt;= perc_95, converted_stat * 3, IF(bbgm_stat &gt;= perc_90, converted_stat * 2, IF(bbgm_stat &gt;= perc_85, converted_stat * 1.5, converted_stat)))))</f>
        <v/>
      </c>
      <c r="O109" s="30" t="str">
        <f t="array" ref="O109">IF($A109="", "", LET(bbgm_stat, INDEX(Players!$A108:$P108, MATCH(O$2, Players!$A$1:$P$1, 0)), perc_75, VLOOKUP(O$2, Percentiles!$A$45:$I$59, 6, FALSE), perc_90, VLOOKUP(O$2, Percentiles!$A$45:$I$59, 7, FALSE), perc_95, VLOOKUP(O$2, Percentiles!$A$45:$I$59, 8, FALSE), perc_85, perc_75 + (perc_90 - perc_75) * (2/3), converted_stat, '2K_Ratings'!O109, IF(bbgm_stat &gt;= perc_95, converted_stat * 3, IF(bbgm_stat &gt;= perc_90, converted_stat * 2, IF(bbgm_stat &gt;= perc_85, converted_stat * 1.5, converted_stat)))))</f>
        <v/>
      </c>
      <c r="P109" s="30" t="str">
        <f t="array" ref="P109">IF($A109="", "", LET(bbgm_stat, INDEX(Players!$A108:$P108, MATCH(P$2, Players!$A$1:$P$1, 0)), perc_75, VLOOKUP(P$2, Percentiles!$A$45:$I$59, 6, FALSE), perc_90, VLOOKUP(P$2, Percentiles!$A$45:$I$59, 7, FALSE), perc_95, VLOOKUP(P$2, Percentiles!$A$45:$I$59, 8, FALSE), perc_85, perc_75 + (perc_90 - perc_75) * (2/3), converted_stat, '2K_Ratings'!P109, IF(bbgm_stat &gt;= perc_95, converted_stat * 3, IF(bbgm_stat &gt;= perc_90, converted_stat * 2, IF(bbgm_stat &gt;= perc_85, converted_stat * 1.5, converted_stat)))))</f>
        <v/>
      </c>
      <c r="Q109" s="30" t="str">
        <f t="array" ref="Q109">IF($A109="", "", LET(bbgm_stat, INDEX(Players!$A108:$P108, MATCH(Q$2, Players!$A$1:$P$1, 0)), perc_75, VLOOKUP(Q$2, Percentiles!$A$45:$I$59, 6, FALSE), perc_90, VLOOKUP(Q$2, Percentiles!$A$45:$I$59, 7, FALSE), perc_95, VLOOKUP(Q$2, Percentiles!$A$45:$I$59, 8, FALSE), perc_85, perc_75 + (perc_90 - perc_75) * (2/3), converted_stat, '2K_Ratings'!Q109, IF(bbgm_stat &gt;= perc_95, converted_stat * 3, IF(bbgm_stat &gt;= perc_90, converted_stat * 2, IF(bbgm_stat &gt;= perc_85, converted_stat * 1.5, converted_stat)))))</f>
        <v/>
      </c>
      <c r="R109" s="30" t="str">
        <f t="array" ref="R109">IF($A109="", "", LET(bbgm_stat, INDEX(Players!$A108:$P108, MATCH(R$2, Players!$A$1:$P$1, 0)), perc_75, VLOOKUP(R$2, Percentiles!$A$45:$I$59, 6, FALSE), perc_90, VLOOKUP(R$2, Percentiles!$A$45:$I$59, 7, FALSE), perc_95, VLOOKUP(R$2, Percentiles!$A$45:$I$59, 8, FALSE), perc_85, perc_75 + (perc_90 - perc_75) * (2/3), converted_stat, '2K_Ratings'!R109, IF(bbgm_stat &gt;= perc_95, converted_stat * 3, IF(bbgm_stat &gt;= perc_90, converted_stat * 2, IF(bbgm_stat &gt;= perc_85, converted_stat * 1.5, converted_stat)))))</f>
        <v/>
      </c>
      <c r="S109" s="30" t="str">
        <f t="array" ref="S109">IF($A109="", "", LET(bbgm_stat, INDEX(Players!$A108:$P108, MATCH(S$2, Players!$A$1:$P$1, 0)), perc_75, VLOOKUP(S$2, Percentiles!$A$45:$I$59, 6, FALSE), perc_90, VLOOKUP(S$2, Percentiles!$A$45:$I$59, 7, FALSE), perc_95, VLOOKUP(S$2, Percentiles!$A$45:$I$59, 8, FALSE), perc_85, perc_75 + (perc_90 - perc_75) * (2/3), converted_stat, '2K_Ratings'!S109, IF(bbgm_stat &gt;= perc_95, converted_stat * 3, IF(bbgm_stat &gt;= perc_90, converted_stat * 2, IF(bbgm_stat &gt;= perc_85, converted_stat * 1.5, converted_stat)))))</f>
        <v/>
      </c>
      <c r="T109" s="30" t="str">
        <f t="array" ref="T109">IF($A109="", "", LET(bbgm_stat, INDEX(Players!$A108:$P108, MATCH(T$2, Players!$A$1:$P$1, 0)), perc_75, VLOOKUP(T$2, Percentiles!$A$45:$I$59, 6, FALSE), perc_90, VLOOKUP(T$2, Percentiles!$A$45:$I$59, 7, FALSE), perc_95, VLOOKUP(T$2, Percentiles!$A$45:$I$59, 8, FALSE), perc_85, perc_75 + (perc_90 - perc_75) * (2/3), converted_stat, '2K_Ratings'!T109, IF(bbgm_stat &gt;= perc_95, converted_stat * 3, IF(bbgm_stat &gt;= perc_90, converted_stat * 2, IF(bbgm_stat &gt;= perc_85, converted_stat * 1.5, converted_stat)))))</f>
        <v/>
      </c>
      <c r="U109" s="30" t="str">
        <f t="array" ref="U109">IF($A109="", "", LET(bbgm_stat, INDEX(Players!$A108:$P108, MATCH(U$2, Players!$A$1:$P$1, 0)), perc_75, VLOOKUP(U$2, Percentiles!$A$45:$I$59, 6, FALSE), perc_90, VLOOKUP(U$2, Percentiles!$A$45:$I$59, 7, FALSE), perc_95, VLOOKUP(U$2, Percentiles!$A$45:$I$59, 8, FALSE), perc_85, perc_75 + (perc_90 - perc_75) * (2/3), converted_stat, '2K_Ratings'!U109, IF(bbgm_stat &gt;= perc_95, converted_stat * 3, IF(bbgm_stat &gt;= perc_90, converted_stat * 2, IF(bbgm_stat &gt;= perc_85, converted_stat * 1.5, converted_stat)))))</f>
        <v/>
      </c>
      <c r="V109" s="30" t="str">
        <f t="array" ref="V109">IF($A109="", "", LET(bbgm_stat, INDEX(Players!$A108:$P108, MATCH(V$2, Players!$A$1:$P$1, 0)), perc_75, VLOOKUP(V$2, Percentiles!$A$45:$I$59, 6, FALSE), perc_90, VLOOKUP(V$2, Percentiles!$A$45:$I$59, 7, FALSE), perc_95, VLOOKUP(V$2, Percentiles!$A$45:$I$59, 8, FALSE), perc_85, perc_75 + (perc_90 - perc_75) * (2/3), converted_stat, '2K_Ratings'!V109, IF(bbgm_stat &gt;= perc_95, converted_stat * 3, IF(bbgm_stat &gt;= perc_90, converted_stat * 2, IF(bbgm_stat &gt;= perc_85, converted_stat * 1.5, converted_stat)))))</f>
        <v/>
      </c>
      <c r="W109" s="30" t="str">
        <f t="array" ref="W109">IF($A109="", "", LET(bbgm_stat, INDEX(Players!$A108:$P108, MATCH(W$2, Players!$A$1:$P$1, 0)), perc_75, VLOOKUP(W$2, Percentiles!$A$45:$I$59, 6, FALSE), perc_90, VLOOKUP(W$2, Percentiles!$A$45:$I$59, 7, FALSE), perc_95, VLOOKUP(W$2, Percentiles!$A$45:$I$59, 8, FALSE), perc_85, perc_75 + (perc_90 - perc_75) * (2/3), converted_stat, '2K_Ratings'!W109, IF(bbgm_stat &gt;= perc_95, converted_stat * 3, IF(bbgm_stat &gt;= perc_90, converted_stat * 2, IF(bbgm_stat &gt;= perc_85, converted_stat * 1.5, converted_stat)))))</f>
        <v/>
      </c>
    </row>
    <row r="110">
      <c r="A110" s="30"/>
      <c r="B110" s="30" t="str">
        <f t="array" ref="B110">IF($A110="", "", LET(bbgm_stat, INDEX(Players!$A109:$P109, MATCH(B$2, Players!$A$1:$P$1, 0)), perc_75, VLOOKUP(B$2, Percentiles!$A$45:$I$59, 6, FALSE), perc_90, VLOOKUP(B$2, Percentiles!$A$45:$I$59, 7, FALSE), perc_95, VLOOKUP(B$2, Percentiles!$A$45:$I$59, 8, FALSE), perc_85, perc_75 + (perc_90 - perc_75) * (2/3), converted_stat, '2K_Ratings'!B110, IF(bbgm_stat &gt;= perc_95, converted_stat * 3, IF(bbgm_stat &gt;= perc_90, converted_stat * 2, IF(bbgm_stat &gt;= perc_85, converted_stat * 1.5, converted_stat)))))</f>
        <v/>
      </c>
      <c r="C110" s="30" t="str">
        <f t="array" ref="C110">IF($A110="", "", LET(bbgm_stat, INDEX(Players!$A109:$P109, MATCH(C$2, Players!$A$1:$P$1, 0)), perc_75, VLOOKUP(C$2, Percentiles!$A$45:$I$59, 6, FALSE), perc_90, VLOOKUP(C$2, Percentiles!$A$45:$I$59, 7, FALSE), perc_95, VLOOKUP(C$2, Percentiles!$A$45:$I$59, 8, FALSE), perc_85, perc_75 + (perc_90 - perc_75) * (2/3), converted_stat, '2K_Ratings'!C110, IF(bbgm_stat &gt;= perc_95, converted_stat * 3, IF(bbgm_stat &gt;= perc_90, converted_stat * 2, IF(bbgm_stat &gt;= perc_85, converted_stat * 1.5, converted_stat)))))</f>
        <v/>
      </c>
      <c r="D110" s="30" t="str">
        <f t="array" ref="D110">IF($A110="", "", LET(bbgm_stat, INDEX(Players!$A109:$P109, MATCH(D$2, Players!$A$1:$P$1, 0)), perc_75, VLOOKUP(D$2, Percentiles!$A$45:$I$59, 6, FALSE), perc_90, VLOOKUP(D$2, Percentiles!$A$45:$I$59, 7, FALSE), perc_95, VLOOKUP(D$2, Percentiles!$A$45:$I$59, 8, FALSE), perc_85, perc_75 + (perc_90 - perc_75) * (2/3), converted_stat, '2K_Ratings'!D110, IF(bbgm_stat &gt;= perc_95, converted_stat * 3, IF(bbgm_stat &gt;= perc_90, converted_stat * 2, IF(bbgm_stat &gt;= perc_85, converted_stat * 1.5, converted_stat)))))</f>
        <v/>
      </c>
      <c r="E110" s="30" t="str">
        <f t="array" ref="E110">IF($A110="", "", LET(bbgm_stat, INDEX(Players!$A109:$P109, MATCH(E$2, Players!$A$1:$P$1, 0)), perc_75, VLOOKUP(E$2, Percentiles!$A$45:$I$59, 6, FALSE), perc_90, VLOOKUP(E$2, Percentiles!$A$45:$I$59, 7, FALSE), perc_95, VLOOKUP(E$2, Percentiles!$A$45:$I$59, 8, FALSE), perc_85, perc_75 + (perc_90 - perc_75) * (2/3), converted_stat, '2K_Ratings'!E110, IF(bbgm_stat &gt;= perc_95, converted_stat * 3, IF(bbgm_stat &gt;= perc_90, converted_stat * 2, IF(bbgm_stat &gt;= perc_85, converted_stat * 1.5, converted_stat)))))</f>
        <v/>
      </c>
      <c r="F110" s="30" t="str">
        <f t="array" ref="F110">IF($A110="", "", LET(bbgm_stat, INDEX(Players!$A109:$P109, MATCH(F$2, Players!$A$1:$P$1, 0)), perc_75, VLOOKUP(F$2, Percentiles!$A$45:$I$59, 6, FALSE), perc_90, VLOOKUP(F$2, Percentiles!$A$45:$I$59, 7, FALSE), perc_95, VLOOKUP(F$2, Percentiles!$A$45:$I$59, 8, FALSE), perc_85, perc_75 + (perc_90 - perc_75) * (2/3), converted_stat, '2K_Ratings'!F110, IF(bbgm_stat &gt;= perc_95, converted_stat * 3, IF(bbgm_stat &gt;= perc_90, converted_stat * 2, IF(bbgm_stat &gt;= perc_85, converted_stat * 1.5, converted_stat)))))</f>
        <v/>
      </c>
      <c r="G110" s="30" t="str">
        <f t="array" ref="G110">IF($A110="", "", LET(bbgm_stat, INDEX(Players!$A109:$P109, MATCH(G$2, Players!$A$1:$P$1, 0)), perc_75, VLOOKUP(G$2, Percentiles!$A$45:$I$59, 6, FALSE), perc_90, VLOOKUP(G$2, Percentiles!$A$45:$I$59, 7, FALSE), perc_95, VLOOKUP(G$2, Percentiles!$A$45:$I$59, 8, FALSE), perc_85, perc_75 + (perc_90 - perc_75) * (2/3), converted_stat, '2K_Ratings'!G110, IF(bbgm_stat &gt;= perc_95, converted_stat * 3, IF(bbgm_stat &gt;= perc_90, converted_stat * 2, IF(bbgm_stat &gt;= perc_85, converted_stat * 1.5, converted_stat)))))</f>
        <v/>
      </c>
      <c r="H110" s="30" t="str">
        <f t="array" ref="H110">IF($A110="", "", LET(bbgm_stat, INDEX(Players!$A109:$P109, MATCH(H$2, Players!$A$1:$P$1, 0)), perc_75, VLOOKUP(H$2, Percentiles!$A$45:$I$59, 6, FALSE), perc_90, VLOOKUP(H$2, Percentiles!$A$45:$I$59, 7, FALSE), perc_95, VLOOKUP(H$2, Percentiles!$A$45:$I$59, 8, FALSE), perc_85, perc_75 + (perc_90 - perc_75) * (2/3), converted_stat, '2K_Ratings'!H110, IF(bbgm_stat &gt;= perc_95, converted_stat * 3, IF(bbgm_stat &gt;= perc_90, converted_stat * 2, IF(bbgm_stat &gt;= perc_85, converted_stat * 1.5, converted_stat)))))</f>
        <v/>
      </c>
      <c r="I110" s="30" t="str">
        <f t="array" ref="I110">IF($A110="", "", LET(bbgm_stat, INDEX(Players!$A109:$P109, MATCH(I$2, Players!$A$1:$P$1, 0)), perc_75, VLOOKUP(I$2, Percentiles!$A$45:$I$59, 6, FALSE), perc_90, VLOOKUP(I$2, Percentiles!$A$45:$I$59, 7, FALSE), perc_95, VLOOKUP(I$2, Percentiles!$A$45:$I$59, 8, FALSE), perc_85, perc_75 + (perc_90 - perc_75) * (2/3), converted_stat, '2K_Ratings'!I110, IF(bbgm_stat &gt;= perc_95, converted_stat * 3, IF(bbgm_stat &gt;= perc_90, converted_stat * 2, IF(bbgm_stat &gt;= perc_85, converted_stat * 1.5, converted_stat)))))</f>
        <v/>
      </c>
      <c r="J110" s="30" t="str">
        <f t="array" ref="J110">IF($A110="", "", LET(bbgm_stat, INDEX(Players!$A109:$P109, MATCH(J$2, Players!$A$1:$P$1, 0)), perc_75, VLOOKUP(J$2, Percentiles!$A$45:$I$59, 6, FALSE), perc_90, VLOOKUP(J$2, Percentiles!$A$45:$I$59, 7, FALSE), perc_95, VLOOKUP(J$2, Percentiles!$A$45:$I$59, 8, FALSE), perc_85, perc_75 + (perc_90 - perc_75) * (2/3), converted_stat, '2K_Ratings'!J110, IF(bbgm_stat &gt;= perc_95, converted_stat * 3, IF(bbgm_stat &gt;= perc_90, converted_stat * 2, IF(bbgm_stat &gt;= perc_85, converted_stat * 1.5, converted_stat)))))</f>
        <v/>
      </c>
      <c r="K110" s="30" t="str">
        <f t="array" ref="K110">IF($A110="", "", LET(bbgm_stat, INDEX(Players!$A109:$P109, MATCH(K$2, Players!$A$1:$P$1, 0)), perc_75, VLOOKUP(K$2, Percentiles!$A$45:$I$59, 6, FALSE), perc_90, VLOOKUP(K$2, Percentiles!$A$45:$I$59, 7, FALSE), perc_95, VLOOKUP(K$2, Percentiles!$A$45:$I$59, 8, FALSE), perc_85, perc_75 + (perc_90 - perc_75) * (2/3), converted_stat, '2K_Ratings'!K110, IF(bbgm_stat &gt;= perc_95, converted_stat * 3, IF(bbgm_stat &gt;= perc_90, converted_stat * 2, IF(bbgm_stat &gt;= perc_85, converted_stat * 1.5, converted_stat)))))</f>
        <v/>
      </c>
      <c r="L110" s="30" t="str">
        <f t="array" ref="L110">IF($A110="", "", LET(bbgm_stat, INDEX(Players!$A109:$P109, MATCH(L$2, Players!$A$1:$P$1, 0)), perc_75, VLOOKUP(L$2, Percentiles!$A$45:$I$59, 6, FALSE), perc_90, VLOOKUP(L$2, Percentiles!$A$45:$I$59, 7, FALSE), perc_95, VLOOKUP(L$2, Percentiles!$A$45:$I$59, 8, FALSE), perc_85, perc_75 + (perc_90 - perc_75) * (2/3), converted_stat, '2K_Ratings'!L110, IF(bbgm_stat &gt;= perc_95, converted_stat * 3, IF(bbgm_stat &gt;= perc_90, converted_stat * 2, IF(bbgm_stat &gt;= perc_85, converted_stat * 1.5, converted_stat)))))</f>
        <v/>
      </c>
      <c r="M110" s="30" t="str">
        <f t="array" ref="M110">IF($A110="", "", LET(bbgm_stat, INDEX(Players!$A109:$P109, MATCH(M$2, Players!$A$1:$P$1, 0)), perc_75, VLOOKUP(M$2, Percentiles!$A$45:$I$59, 6, FALSE), perc_90, VLOOKUP(M$2, Percentiles!$A$45:$I$59, 7, FALSE), perc_95, VLOOKUP(M$2, Percentiles!$A$45:$I$59, 8, FALSE), perc_85, perc_75 + (perc_90 - perc_75) * (2/3), converted_stat, '2K_Ratings'!M110, IF(bbgm_stat &gt;= perc_95, converted_stat * 3, IF(bbgm_stat &gt;= perc_90, converted_stat * 2, IF(bbgm_stat &gt;= perc_85, converted_stat * 1.5, converted_stat)))))</f>
        <v/>
      </c>
      <c r="N110" s="30" t="str">
        <f t="array" ref="N110">IF($A110="", "", LET(bbgm_stat, INDEX(Players!$A109:$P109, MATCH(N$2, Players!$A$1:$P$1, 0)), perc_75, VLOOKUP(N$2, Percentiles!$A$45:$I$59, 6, FALSE), perc_90, VLOOKUP(N$2, Percentiles!$A$45:$I$59, 7, FALSE), perc_95, VLOOKUP(N$2, Percentiles!$A$45:$I$59, 8, FALSE), perc_85, perc_75 + (perc_90 - perc_75) * (2/3), converted_stat, '2K_Ratings'!N110, IF(bbgm_stat &gt;= perc_95, converted_stat * 3, IF(bbgm_stat &gt;= perc_90, converted_stat * 2, IF(bbgm_stat &gt;= perc_85, converted_stat * 1.5, converted_stat)))))</f>
        <v/>
      </c>
      <c r="O110" s="30" t="str">
        <f t="array" ref="O110">IF($A110="", "", LET(bbgm_stat, INDEX(Players!$A109:$P109, MATCH(O$2, Players!$A$1:$P$1, 0)), perc_75, VLOOKUP(O$2, Percentiles!$A$45:$I$59, 6, FALSE), perc_90, VLOOKUP(O$2, Percentiles!$A$45:$I$59, 7, FALSE), perc_95, VLOOKUP(O$2, Percentiles!$A$45:$I$59, 8, FALSE), perc_85, perc_75 + (perc_90 - perc_75) * (2/3), converted_stat, '2K_Ratings'!O110, IF(bbgm_stat &gt;= perc_95, converted_stat * 3, IF(bbgm_stat &gt;= perc_90, converted_stat * 2, IF(bbgm_stat &gt;= perc_85, converted_stat * 1.5, converted_stat)))))</f>
        <v/>
      </c>
      <c r="P110" s="30" t="str">
        <f t="array" ref="P110">IF($A110="", "", LET(bbgm_stat, INDEX(Players!$A109:$P109, MATCH(P$2, Players!$A$1:$P$1, 0)), perc_75, VLOOKUP(P$2, Percentiles!$A$45:$I$59, 6, FALSE), perc_90, VLOOKUP(P$2, Percentiles!$A$45:$I$59, 7, FALSE), perc_95, VLOOKUP(P$2, Percentiles!$A$45:$I$59, 8, FALSE), perc_85, perc_75 + (perc_90 - perc_75) * (2/3), converted_stat, '2K_Ratings'!P110, IF(bbgm_stat &gt;= perc_95, converted_stat * 3, IF(bbgm_stat &gt;= perc_90, converted_stat * 2, IF(bbgm_stat &gt;= perc_85, converted_stat * 1.5, converted_stat)))))</f>
        <v/>
      </c>
      <c r="Q110" s="30" t="str">
        <f t="array" ref="Q110">IF($A110="", "", LET(bbgm_stat, INDEX(Players!$A109:$P109, MATCH(Q$2, Players!$A$1:$P$1, 0)), perc_75, VLOOKUP(Q$2, Percentiles!$A$45:$I$59, 6, FALSE), perc_90, VLOOKUP(Q$2, Percentiles!$A$45:$I$59, 7, FALSE), perc_95, VLOOKUP(Q$2, Percentiles!$A$45:$I$59, 8, FALSE), perc_85, perc_75 + (perc_90 - perc_75) * (2/3), converted_stat, '2K_Ratings'!Q110, IF(bbgm_stat &gt;= perc_95, converted_stat * 3, IF(bbgm_stat &gt;= perc_90, converted_stat * 2, IF(bbgm_stat &gt;= perc_85, converted_stat * 1.5, converted_stat)))))</f>
        <v/>
      </c>
      <c r="R110" s="30" t="str">
        <f t="array" ref="R110">IF($A110="", "", LET(bbgm_stat, INDEX(Players!$A109:$P109, MATCH(R$2, Players!$A$1:$P$1, 0)), perc_75, VLOOKUP(R$2, Percentiles!$A$45:$I$59, 6, FALSE), perc_90, VLOOKUP(R$2, Percentiles!$A$45:$I$59, 7, FALSE), perc_95, VLOOKUP(R$2, Percentiles!$A$45:$I$59, 8, FALSE), perc_85, perc_75 + (perc_90 - perc_75) * (2/3), converted_stat, '2K_Ratings'!R110, IF(bbgm_stat &gt;= perc_95, converted_stat * 3, IF(bbgm_stat &gt;= perc_90, converted_stat * 2, IF(bbgm_stat &gt;= perc_85, converted_stat * 1.5, converted_stat)))))</f>
        <v/>
      </c>
      <c r="S110" s="30" t="str">
        <f t="array" ref="S110">IF($A110="", "", LET(bbgm_stat, INDEX(Players!$A109:$P109, MATCH(S$2, Players!$A$1:$P$1, 0)), perc_75, VLOOKUP(S$2, Percentiles!$A$45:$I$59, 6, FALSE), perc_90, VLOOKUP(S$2, Percentiles!$A$45:$I$59, 7, FALSE), perc_95, VLOOKUP(S$2, Percentiles!$A$45:$I$59, 8, FALSE), perc_85, perc_75 + (perc_90 - perc_75) * (2/3), converted_stat, '2K_Ratings'!S110, IF(bbgm_stat &gt;= perc_95, converted_stat * 3, IF(bbgm_stat &gt;= perc_90, converted_stat * 2, IF(bbgm_stat &gt;= perc_85, converted_stat * 1.5, converted_stat)))))</f>
        <v/>
      </c>
      <c r="T110" s="30" t="str">
        <f t="array" ref="T110">IF($A110="", "", LET(bbgm_stat, INDEX(Players!$A109:$P109, MATCH(T$2, Players!$A$1:$P$1, 0)), perc_75, VLOOKUP(T$2, Percentiles!$A$45:$I$59, 6, FALSE), perc_90, VLOOKUP(T$2, Percentiles!$A$45:$I$59, 7, FALSE), perc_95, VLOOKUP(T$2, Percentiles!$A$45:$I$59, 8, FALSE), perc_85, perc_75 + (perc_90 - perc_75) * (2/3), converted_stat, '2K_Ratings'!T110, IF(bbgm_stat &gt;= perc_95, converted_stat * 3, IF(bbgm_stat &gt;= perc_90, converted_stat * 2, IF(bbgm_stat &gt;= perc_85, converted_stat * 1.5, converted_stat)))))</f>
        <v/>
      </c>
      <c r="U110" s="30" t="str">
        <f t="array" ref="U110">IF($A110="", "", LET(bbgm_stat, INDEX(Players!$A109:$P109, MATCH(U$2, Players!$A$1:$P$1, 0)), perc_75, VLOOKUP(U$2, Percentiles!$A$45:$I$59, 6, FALSE), perc_90, VLOOKUP(U$2, Percentiles!$A$45:$I$59, 7, FALSE), perc_95, VLOOKUP(U$2, Percentiles!$A$45:$I$59, 8, FALSE), perc_85, perc_75 + (perc_90 - perc_75) * (2/3), converted_stat, '2K_Ratings'!U110, IF(bbgm_stat &gt;= perc_95, converted_stat * 3, IF(bbgm_stat &gt;= perc_90, converted_stat * 2, IF(bbgm_stat &gt;= perc_85, converted_stat * 1.5, converted_stat)))))</f>
        <v/>
      </c>
      <c r="V110" s="30" t="str">
        <f t="array" ref="V110">IF($A110="", "", LET(bbgm_stat, INDEX(Players!$A109:$P109, MATCH(V$2, Players!$A$1:$P$1, 0)), perc_75, VLOOKUP(V$2, Percentiles!$A$45:$I$59, 6, FALSE), perc_90, VLOOKUP(V$2, Percentiles!$A$45:$I$59, 7, FALSE), perc_95, VLOOKUP(V$2, Percentiles!$A$45:$I$59, 8, FALSE), perc_85, perc_75 + (perc_90 - perc_75) * (2/3), converted_stat, '2K_Ratings'!V110, IF(bbgm_stat &gt;= perc_95, converted_stat * 3, IF(bbgm_stat &gt;= perc_90, converted_stat * 2, IF(bbgm_stat &gt;= perc_85, converted_stat * 1.5, converted_stat)))))</f>
        <v/>
      </c>
      <c r="W110" s="30" t="str">
        <f t="array" ref="W110">IF($A110="", "", LET(bbgm_stat, INDEX(Players!$A109:$P109, MATCH(W$2, Players!$A$1:$P$1, 0)), perc_75, VLOOKUP(W$2, Percentiles!$A$45:$I$59, 6, FALSE), perc_90, VLOOKUP(W$2, Percentiles!$A$45:$I$59, 7, FALSE), perc_95, VLOOKUP(W$2, Percentiles!$A$45:$I$59, 8, FALSE), perc_85, perc_75 + (perc_90 - perc_75) * (2/3), converted_stat, '2K_Ratings'!W110, IF(bbgm_stat &gt;= perc_95, converted_stat * 3, IF(bbgm_stat &gt;= perc_90, converted_stat * 2, IF(bbgm_stat &gt;= perc_85, converted_stat * 1.5, converted_stat)))))</f>
        <v/>
      </c>
    </row>
    <row r="111">
      <c r="A111" s="30"/>
      <c r="B111" s="30" t="str">
        <f t="array" ref="B111">IF($A111="", "", LET(bbgm_stat, INDEX(Players!$A110:$P110, MATCH(B$2, Players!$A$1:$P$1, 0)), perc_75, VLOOKUP(B$2, Percentiles!$A$45:$I$59, 6, FALSE), perc_90, VLOOKUP(B$2, Percentiles!$A$45:$I$59, 7, FALSE), perc_95, VLOOKUP(B$2, Percentiles!$A$45:$I$59, 8, FALSE), perc_85, perc_75 + (perc_90 - perc_75) * (2/3), converted_stat, '2K_Ratings'!B111, IF(bbgm_stat &gt;= perc_95, converted_stat * 3, IF(bbgm_stat &gt;= perc_90, converted_stat * 2, IF(bbgm_stat &gt;= perc_85, converted_stat * 1.5, converted_stat)))))</f>
        <v/>
      </c>
      <c r="C111" s="30" t="str">
        <f t="array" ref="C111">IF($A111="", "", LET(bbgm_stat, INDEX(Players!$A110:$P110, MATCH(C$2, Players!$A$1:$P$1, 0)), perc_75, VLOOKUP(C$2, Percentiles!$A$45:$I$59, 6, FALSE), perc_90, VLOOKUP(C$2, Percentiles!$A$45:$I$59, 7, FALSE), perc_95, VLOOKUP(C$2, Percentiles!$A$45:$I$59, 8, FALSE), perc_85, perc_75 + (perc_90 - perc_75) * (2/3), converted_stat, '2K_Ratings'!C111, IF(bbgm_stat &gt;= perc_95, converted_stat * 3, IF(bbgm_stat &gt;= perc_90, converted_stat * 2, IF(bbgm_stat &gt;= perc_85, converted_stat * 1.5, converted_stat)))))</f>
        <v/>
      </c>
      <c r="D111" s="30" t="str">
        <f t="array" ref="D111">IF($A111="", "", LET(bbgm_stat, INDEX(Players!$A110:$P110, MATCH(D$2, Players!$A$1:$P$1, 0)), perc_75, VLOOKUP(D$2, Percentiles!$A$45:$I$59, 6, FALSE), perc_90, VLOOKUP(D$2, Percentiles!$A$45:$I$59, 7, FALSE), perc_95, VLOOKUP(D$2, Percentiles!$A$45:$I$59, 8, FALSE), perc_85, perc_75 + (perc_90 - perc_75) * (2/3), converted_stat, '2K_Ratings'!D111, IF(bbgm_stat &gt;= perc_95, converted_stat * 3, IF(bbgm_stat &gt;= perc_90, converted_stat * 2, IF(bbgm_stat &gt;= perc_85, converted_stat * 1.5, converted_stat)))))</f>
        <v/>
      </c>
      <c r="E111" s="30" t="str">
        <f t="array" ref="E111">IF($A111="", "", LET(bbgm_stat, INDEX(Players!$A110:$P110, MATCH(E$2, Players!$A$1:$P$1, 0)), perc_75, VLOOKUP(E$2, Percentiles!$A$45:$I$59, 6, FALSE), perc_90, VLOOKUP(E$2, Percentiles!$A$45:$I$59, 7, FALSE), perc_95, VLOOKUP(E$2, Percentiles!$A$45:$I$59, 8, FALSE), perc_85, perc_75 + (perc_90 - perc_75) * (2/3), converted_stat, '2K_Ratings'!E111, IF(bbgm_stat &gt;= perc_95, converted_stat * 3, IF(bbgm_stat &gt;= perc_90, converted_stat * 2, IF(bbgm_stat &gt;= perc_85, converted_stat * 1.5, converted_stat)))))</f>
        <v/>
      </c>
      <c r="F111" s="30" t="str">
        <f t="array" ref="F111">IF($A111="", "", LET(bbgm_stat, INDEX(Players!$A110:$P110, MATCH(F$2, Players!$A$1:$P$1, 0)), perc_75, VLOOKUP(F$2, Percentiles!$A$45:$I$59, 6, FALSE), perc_90, VLOOKUP(F$2, Percentiles!$A$45:$I$59, 7, FALSE), perc_95, VLOOKUP(F$2, Percentiles!$A$45:$I$59, 8, FALSE), perc_85, perc_75 + (perc_90 - perc_75) * (2/3), converted_stat, '2K_Ratings'!F111, IF(bbgm_stat &gt;= perc_95, converted_stat * 3, IF(bbgm_stat &gt;= perc_90, converted_stat * 2, IF(bbgm_stat &gt;= perc_85, converted_stat * 1.5, converted_stat)))))</f>
        <v/>
      </c>
      <c r="G111" s="30" t="str">
        <f t="array" ref="G111">IF($A111="", "", LET(bbgm_stat, INDEX(Players!$A110:$P110, MATCH(G$2, Players!$A$1:$P$1, 0)), perc_75, VLOOKUP(G$2, Percentiles!$A$45:$I$59, 6, FALSE), perc_90, VLOOKUP(G$2, Percentiles!$A$45:$I$59, 7, FALSE), perc_95, VLOOKUP(G$2, Percentiles!$A$45:$I$59, 8, FALSE), perc_85, perc_75 + (perc_90 - perc_75) * (2/3), converted_stat, '2K_Ratings'!G111, IF(bbgm_stat &gt;= perc_95, converted_stat * 3, IF(bbgm_stat &gt;= perc_90, converted_stat * 2, IF(bbgm_stat &gt;= perc_85, converted_stat * 1.5, converted_stat)))))</f>
        <v/>
      </c>
      <c r="H111" s="30" t="str">
        <f t="array" ref="H111">IF($A111="", "", LET(bbgm_stat, INDEX(Players!$A110:$P110, MATCH(H$2, Players!$A$1:$P$1, 0)), perc_75, VLOOKUP(H$2, Percentiles!$A$45:$I$59, 6, FALSE), perc_90, VLOOKUP(H$2, Percentiles!$A$45:$I$59, 7, FALSE), perc_95, VLOOKUP(H$2, Percentiles!$A$45:$I$59, 8, FALSE), perc_85, perc_75 + (perc_90 - perc_75) * (2/3), converted_stat, '2K_Ratings'!H111, IF(bbgm_stat &gt;= perc_95, converted_stat * 3, IF(bbgm_stat &gt;= perc_90, converted_stat * 2, IF(bbgm_stat &gt;= perc_85, converted_stat * 1.5, converted_stat)))))</f>
        <v/>
      </c>
      <c r="I111" s="30" t="str">
        <f t="array" ref="I111">IF($A111="", "", LET(bbgm_stat, INDEX(Players!$A110:$P110, MATCH(I$2, Players!$A$1:$P$1, 0)), perc_75, VLOOKUP(I$2, Percentiles!$A$45:$I$59, 6, FALSE), perc_90, VLOOKUP(I$2, Percentiles!$A$45:$I$59, 7, FALSE), perc_95, VLOOKUP(I$2, Percentiles!$A$45:$I$59, 8, FALSE), perc_85, perc_75 + (perc_90 - perc_75) * (2/3), converted_stat, '2K_Ratings'!I111, IF(bbgm_stat &gt;= perc_95, converted_stat * 3, IF(bbgm_stat &gt;= perc_90, converted_stat * 2, IF(bbgm_stat &gt;= perc_85, converted_stat * 1.5, converted_stat)))))</f>
        <v/>
      </c>
      <c r="J111" s="30" t="str">
        <f t="array" ref="J111">IF($A111="", "", LET(bbgm_stat, INDEX(Players!$A110:$P110, MATCH(J$2, Players!$A$1:$P$1, 0)), perc_75, VLOOKUP(J$2, Percentiles!$A$45:$I$59, 6, FALSE), perc_90, VLOOKUP(J$2, Percentiles!$A$45:$I$59, 7, FALSE), perc_95, VLOOKUP(J$2, Percentiles!$A$45:$I$59, 8, FALSE), perc_85, perc_75 + (perc_90 - perc_75) * (2/3), converted_stat, '2K_Ratings'!J111, IF(bbgm_stat &gt;= perc_95, converted_stat * 3, IF(bbgm_stat &gt;= perc_90, converted_stat * 2, IF(bbgm_stat &gt;= perc_85, converted_stat * 1.5, converted_stat)))))</f>
        <v/>
      </c>
      <c r="K111" s="30" t="str">
        <f t="array" ref="K111">IF($A111="", "", LET(bbgm_stat, INDEX(Players!$A110:$P110, MATCH(K$2, Players!$A$1:$P$1, 0)), perc_75, VLOOKUP(K$2, Percentiles!$A$45:$I$59, 6, FALSE), perc_90, VLOOKUP(K$2, Percentiles!$A$45:$I$59, 7, FALSE), perc_95, VLOOKUP(K$2, Percentiles!$A$45:$I$59, 8, FALSE), perc_85, perc_75 + (perc_90 - perc_75) * (2/3), converted_stat, '2K_Ratings'!K111, IF(bbgm_stat &gt;= perc_95, converted_stat * 3, IF(bbgm_stat &gt;= perc_90, converted_stat * 2, IF(bbgm_stat &gt;= perc_85, converted_stat * 1.5, converted_stat)))))</f>
        <v/>
      </c>
      <c r="L111" s="30" t="str">
        <f t="array" ref="L111">IF($A111="", "", LET(bbgm_stat, INDEX(Players!$A110:$P110, MATCH(L$2, Players!$A$1:$P$1, 0)), perc_75, VLOOKUP(L$2, Percentiles!$A$45:$I$59, 6, FALSE), perc_90, VLOOKUP(L$2, Percentiles!$A$45:$I$59, 7, FALSE), perc_95, VLOOKUP(L$2, Percentiles!$A$45:$I$59, 8, FALSE), perc_85, perc_75 + (perc_90 - perc_75) * (2/3), converted_stat, '2K_Ratings'!L111, IF(bbgm_stat &gt;= perc_95, converted_stat * 3, IF(bbgm_stat &gt;= perc_90, converted_stat * 2, IF(bbgm_stat &gt;= perc_85, converted_stat * 1.5, converted_stat)))))</f>
        <v/>
      </c>
      <c r="M111" s="30" t="str">
        <f t="array" ref="M111">IF($A111="", "", LET(bbgm_stat, INDEX(Players!$A110:$P110, MATCH(M$2, Players!$A$1:$P$1, 0)), perc_75, VLOOKUP(M$2, Percentiles!$A$45:$I$59, 6, FALSE), perc_90, VLOOKUP(M$2, Percentiles!$A$45:$I$59, 7, FALSE), perc_95, VLOOKUP(M$2, Percentiles!$A$45:$I$59, 8, FALSE), perc_85, perc_75 + (perc_90 - perc_75) * (2/3), converted_stat, '2K_Ratings'!M111, IF(bbgm_stat &gt;= perc_95, converted_stat * 3, IF(bbgm_stat &gt;= perc_90, converted_stat * 2, IF(bbgm_stat &gt;= perc_85, converted_stat * 1.5, converted_stat)))))</f>
        <v/>
      </c>
      <c r="N111" s="30" t="str">
        <f t="array" ref="N111">IF($A111="", "", LET(bbgm_stat, INDEX(Players!$A110:$P110, MATCH(N$2, Players!$A$1:$P$1, 0)), perc_75, VLOOKUP(N$2, Percentiles!$A$45:$I$59, 6, FALSE), perc_90, VLOOKUP(N$2, Percentiles!$A$45:$I$59, 7, FALSE), perc_95, VLOOKUP(N$2, Percentiles!$A$45:$I$59, 8, FALSE), perc_85, perc_75 + (perc_90 - perc_75) * (2/3), converted_stat, '2K_Ratings'!N111, IF(bbgm_stat &gt;= perc_95, converted_stat * 3, IF(bbgm_stat &gt;= perc_90, converted_stat * 2, IF(bbgm_stat &gt;= perc_85, converted_stat * 1.5, converted_stat)))))</f>
        <v/>
      </c>
      <c r="O111" s="30" t="str">
        <f t="array" ref="O111">IF($A111="", "", LET(bbgm_stat, INDEX(Players!$A110:$P110, MATCH(O$2, Players!$A$1:$P$1, 0)), perc_75, VLOOKUP(O$2, Percentiles!$A$45:$I$59, 6, FALSE), perc_90, VLOOKUP(O$2, Percentiles!$A$45:$I$59, 7, FALSE), perc_95, VLOOKUP(O$2, Percentiles!$A$45:$I$59, 8, FALSE), perc_85, perc_75 + (perc_90 - perc_75) * (2/3), converted_stat, '2K_Ratings'!O111, IF(bbgm_stat &gt;= perc_95, converted_stat * 3, IF(bbgm_stat &gt;= perc_90, converted_stat * 2, IF(bbgm_stat &gt;= perc_85, converted_stat * 1.5, converted_stat)))))</f>
        <v/>
      </c>
      <c r="P111" s="30" t="str">
        <f t="array" ref="P111">IF($A111="", "", LET(bbgm_stat, INDEX(Players!$A110:$P110, MATCH(P$2, Players!$A$1:$P$1, 0)), perc_75, VLOOKUP(P$2, Percentiles!$A$45:$I$59, 6, FALSE), perc_90, VLOOKUP(P$2, Percentiles!$A$45:$I$59, 7, FALSE), perc_95, VLOOKUP(P$2, Percentiles!$A$45:$I$59, 8, FALSE), perc_85, perc_75 + (perc_90 - perc_75) * (2/3), converted_stat, '2K_Ratings'!P111, IF(bbgm_stat &gt;= perc_95, converted_stat * 3, IF(bbgm_stat &gt;= perc_90, converted_stat * 2, IF(bbgm_stat &gt;= perc_85, converted_stat * 1.5, converted_stat)))))</f>
        <v/>
      </c>
      <c r="Q111" s="30" t="str">
        <f t="array" ref="Q111">IF($A111="", "", LET(bbgm_stat, INDEX(Players!$A110:$P110, MATCH(Q$2, Players!$A$1:$P$1, 0)), perc_75, VLOOKUP(Q$2, Percentiles!$A$45:$I$59, 6, FALSE), perc_90, VLOOKUP(Q$2, Percentiles!$A$45:$I$59, 7, FALSE), perc_95, VLOOKUP(Q$2, Percentiles!$A$45:$I$59, 8, FALSE), perc_85, perc_75 + (perc_90 - perc_75) * (2/3), converted_stat, '2K_Ratings'!Q111, IF(bbgm_stat &gt;= perc_95, converted_stat * 3, IF(bbgm_stat &gt;= perc_90, converted_stat * 2, IF(bbgm_stat &gt;= perc_85, converted_stat * 1.5, converted_stat)))))</f>
        <v/>
      </c>
      <c r="R111" s="30" t="str">
        <f t="array" ref="R111">IF($A111="", "", LET(bbgm_stat, INDEX(Players!$A110:$P110, MATCH(R$2, Players!$A$1:$P$1, 0)), perc_75, VLOOKUP(R$2, Percentiles!$A$45:$I$59, 6, FALSE), perc_90, VLOOKUP(R$2, Percentiles!$A$45:$I$59, 7, FALSE), perc_95, VLOOKUP(R$2, Percentiles!$A$45:$I$59, 8, FALSE), perc_85, perc_75 + (perc_90 - perc_75) * (2/3), converted_stat, '2K_Ratings'!R111, IF(bbgm_stat &gt;= perc_95, converted_stat * 3, IF(bbgm_stat &gt;= perc_90, converted_stat * 2, IF(bbgm_stat &gt;= perc_85, converted_stat * 1.5, converted_stat)))))</f>
        <v/>
      </c>
      <c r="S111" s="30" t="str">
        <f t="array" ref="S111">IF($A111="", "", LET(bbgm_stat, INDEX(Players!$A110:$P110, MATCH(S$2, Players!$A$1:$P$1, 0)), perc_75, VLOOKUP(S$2, Percentiles!$A$45:$I$59, 6, FALSE), perc_90, VLOOKUP(S$2, Percentiles!$A$45:$I$59, 7, FALSE), perc_95, VLOOKUP(S$2, Percentiles!$A$45:$I$59, 8, FALSE), perc_85, perc_75 + (perc_90 - perc_75) * (2/3), converted_stat, '2K_Ratings'!S111, IF(bbgm_stat &gt;= perc_95, converted_stat * 3, IF(bbgm_stat &gt;= perc_90, converted_stat * 2, IF(bbgm_stat &gt;= perc_85, converted_stat * 1.5, converted_stat)))))</f>
        <v/>
      </c>
      <c r="T111" s="30" t="str">
        <f t="array" ref="T111">IF($A111="", "", LET(bbgm_stat, INDEX(Players!$A110:$P110, MATCH(T$2, Players!$A$1:$P$1, 0)), perc_75, VLOOKUP(T$2, Percentiles!$A$45:$I$59, 6, FALSE), perc_90, VLOOKUP(T$2, Percentiles!$A$45:$I$59, 7, FALSE), perc_95, VLOOKUP(T$2, Percentiles!$A$45:$I$59, 8, FALSE), perc_85, perc_75 + (perc_90 - perc_75) * (2/3), converted_stat, '2K_Ratings'!T111, IF(bbgm_stat &gt;= perc_95, converted_stat * 3, IF(bbgm_stat &gt;= perc_90, converted_stat * 2, IF(bbgm_stat &gt;= perc_85, converted_stat * 1.5, converted_stat)))))</f>
        <v/>
      </c>
      <c r="U111" s="30" t="str">
        <f t="array" ref="U111">IF($A111="", "", LET(bbgm_stat, INDEX(Players!$A110:$P110, MATCH(U$2, Players!$A$1:$P$1, 0)), perc_75, VLOOKUP(U$2, Percentiles!$A$45:$I$59, 6, FALSE), perc_90, VLOOKUP(U$2, Percentiles!$A$45:$I$59, 7, FALSE), perc_95, VLOOKUP(U$2, Percentiles!$A$45:$I$59, 8, FALSE), perc_85, perc_75 + (perc_90 - perc_75) * (2/3), converted_stat, '2K_Ratings'!U111, IF(bbgm_stat &gt;= perc_95, converted_stat * 3, IF(bbgm_stat &gt;= perc_90, converted_stat * 2, IF(bbgm_stat &gt;= perc_85, converted_stat * 1.5, converted_stat)))))</f>
        <v/>
      </c>
      <c r="V111" s="30" t="str">
        <f t="array" ref="V111">IF($A111="", "", LET(bbgm_stat, INDEX(Players!$A110:$P110, MATCH(V$2, Players!$A$1:$P$1, 0)), perc_75, VLOOKUP(V$2, Percentiles!$A$45:$I$59, 6, FALSE), perc_90, VLOOKUP(V$2, Percentiles!$A$45:$I$59, 7, FALSE), perc_95, VLOOKUP(V$2, Percentiles!$A$45:$I$59, 8, FALSE), perc_85, perc_75 + (perc_90 - perc_75) * (2/3), converted_stat, '2K_Ratings'!V111, IF(bbgm_stat &gt;= perc_95, converted_stat * 3, IF(bbgm_stat &gt;= perc_90, converted_stat * 2, IF(bbgm_stat &gt;= perc_85, converted_stat * 1.5, converted_stat)))))</f>
        <v/>
      </c>
      <c r="W111" s="30" t="str">
        <f t="array" ref="W111">IF($A111="", "", LET(bbgm_stat, INDEX(Players!$A110:$P110, MATCH(W$2, Players!$A$1:$P$1, 0)), perc_75, VLOOKUP(W$2, Percentiles!$A$45:$I$59, 6, FALSE), perc_90, VLOOKUP(W$2, Percentiles!$A$45:$I$59, 7, FALSE), perc_95, VLOOKUP(W$2, Percentiles!$A$45:$I$59, 8, FALSE), perc_85, perc_75 + (perc_90 - perc_75) * (2/3), converted_stat, '2K_Ratings'!W111, IF(bbgm_stat &gt;= perc_95, converted_stat * 3, IF(bbgm_stat &gt;= perc_90, converted_stat * 2, IF(bbgm_stat &gt;= perc_85, converted_stat * 1.5, converted_stat)))))</f>
        <v/>
      </c>
    </row>
    <row r="112">
      <c r="A112" s="30"/>
      <c r="B112" s="30" t="str">
        <f t="array" ref="B112">IF($A112="", "", LET(bbgm_stat, INDEX(Players!$A111:$P111, MATCH(B$2, Players!$A$1:$P$1, 0)), perc_75, VLOOKUP(B$2, Percentiles!$A$45:$I$59, 6, FALSE), perc_90, VLOOKUP(B$2, Percentiles!$A$45:$I$59, 7, FALSE), perc_95, VLOOKUP(B$2, Percentiles!$A$45:$I$59, 8, FALSE), perc_85, perc_75 + (perc_90 - perc_75) * (2/3), converted_stat, '2K_Ratings'!B112, IF(bbgm_stat &gt;= perc_95, converted_stat * 3, IF(bbgm_stat &gt;= perc_90, converted_stat * 2, IF(bbgm_stat &gt;= perc_85, converted_stat * 1.5, converted_stat)))))</f>
        <v/>
      </c>
      <c r="C112" s="30" t="str">
        <f t="array" ref="C112">IF($A112="", "", LET(bbgm_stat, INDEX(Players!$A111:$P111, MATCH(C$2, Players!$A$1:$P$1, 0)), perc_75, VLOOKUP(C$2, Percentiles!$A$45:$I$59, 6, FALSE), perc_90, VLOOKUP(C$2, Percentiles!$A$45:$I$59, 7, FALSE), perc_95, VLOOKUP(C$2, Percentiles!$A$45:$I$59, 8, FALSE), perc_85, perc_75 + (perc_90 - perc_75) * (2/3), converted_stat, '2K_Ratings'!C112, IF(bbgm_stat &gt;= perc_95, converted_stat * 3, IF(bbgm_stat &gt;= perc_90, converted_stat * 2, IF(bbgm_stat &gt;= perc_85, converted_stat * 1.5, converted_stat)))))</f>
        <v/>
      </c>
      <c r="D112" s="30" t="str">
        <f t="array" ref="D112">IF($A112="", "", LET(bbgm_stat, INDEX(Players!$A111:$P111, MATCH(D$2, Players!$A$1:$P$1, 0)), perc_75, VLOOKUP(D$2, Percentiles!$A$45:$I$59, 6, FALSE), perc_90, VLOOKUP(D$2, Percentiles!$A$45:$I$59, 7, FALSE), perc_95, VLOOKUP(D$2, Percentiles!$A$45:$I$59, 8, FALSE), perc_85, perc_75 + (perc_90 - perc_75) * (2/3), converted_stat, '2K_Ratings'!D112, IF(bbgm_stat &gt;= perc_95, converted_stat * 3, IF(bbgm_stat &gt;= perc_90, converted_stat * 2, IF(bbgm_stat &gt;= perc_85, converted_stat * 1.5, converted_stat)))))</f>
        <v/>
      </c>
      <c r="E112" s="30" t="str">
        <f t="array" ref="E112">IF($A112="", "", LET(bbgm_stat, INDEX(Players!$A111:$P111, MATCH(E$2, Players!$A$1:$P$1, 0)), perc_75, VLOOKUP(E$2, Percentiles!$A$45:$I$59, 6, FALSE), perc_90, VLOOKUP(E$2, Percentiles!$A$45:$I$59, 7, FALSE), perc_95, VLOOKUP(E$2, Percentiles!$A$45:$I$59, 8, FALSE), perc_85, perc_75 + (perc_90 - perc_75) * (2/3), converted_stat, '2K_Ratings'!E112, IF(bbgm_stat &gt;= perc_95, converted_stat * 3, IF(bbgm_stat &gt;= perc_90, converted_stat * 2, IF(bbgm_stat &gt;= perc_85, converted_stat * 1.5, converted_stat)))))</f>
        <v/>
      </c>
      <c r="F112" s="30" t="str">
        <f t="array" ref="F112">IF($A112="", "", LET(bbgm_stat, INDEX(Players!$A111:$P111, MATCH(F$2, Players!$A$1:$P$1, 0)), perc_75, VLOOKUP(F$2, Percentiles!$A$45:$I$59, 6, FALSE), perc_90, VLOOKUP(F$2, Percentiles!$A$45:$I$59, 7, FALSE), perc_95, VLOOKUP(F$2, Percentiles!$A$45:$I$59, 8, FALSE), perc_85, perc_75 + (perc_90 - perc_75) * (2/3), converted_stat, '2K_Ratings'!F112, IF(bbgm_stat &gt;= perc_95, converted_stat * 3, IF(bbgm_stat &gt;= perc_90, converted_stat * 2, IF(bbgm_stat &gt;= perc_85, converted_stat * 1.5, converted_stat)))))</f>
        <v/>
      </c>
      <c r="G112" s="30" t="str">
        <f t="array" ref="G112">IF($A112="", "", LET(bbgm_stat, INDEX(Players!$A111:$P111, MATCH(G$2, Players!$A$1:$P$1, 0)), perc_75, VLOOKUP(G$2, Percentiles!$A$45:$I$59, 6, FALSE), perc_90, VLOOKUP(G$2, Percentiles!$A$45:$I$59, 7, FALSE), perc_95, VLOOKUP(G$2, Percentiles!$A$45:$I$59, 8, FALSE), perc_85, perc_75 + (perc_90 - perc_75) * (2/3), converted_stat, '2K_Ratings'!G112, IF(bbgm_stat &gt;= perc_95, converted_stat * 3, IF(bbgm_stat &gt;= perc_90, converted_stat * 2, IF(bbgm_stat &gt;= perc_85, converted_stat * 1.5, converted_stat)))))</f>
        <v/>
      </c>
      <c r="H112" s="30" t="str">
        <f t="array" ref="H112">IF($A112="", "", LET(bbgm_stat, INDEX(Players!$A111:$P111, MATCH(H$2, Players!$A$1:$P$1, 0)), perc_75, VLOOKUP(H$2, Percentiles!$A$45:$I$59, 6, FALSE), perc_90, VLOOKUP(H$2, Percentiles!$A$45:$I$59, 7, FALSE), perc_95, VLOOKUP(H$2, Percentiles!$A$45:$I$59, 8, FALSE), perc_85, perc_75 + (perc_90 - perc_75) * (2/3), converted_stat, '2K_Ratings'!H112, IF(bbgm_stat &gt;= perc_95, converted_stat * 3, IF(bbgm_stat &gt;= perc_90, converted_stat * 2, IF(bbgm_stat &gt;= perc_85, converted_stat * 1.5, converted_stat)))))</f>
        <v/>
      </c>
      <c r="I112" s="30" t="str">
        <f t="array" ref="I112">IF($A112="", "", LET(bbgm_stat, INDEX(Players!$A111:$P111, MATCH(I$2, Players!$A$1:$P$1, 0)), perc_75, VLOOKUP(I$2, Percentiles!$A$45:$I$59, 6, FALSE), perc_90, VLOOKUP(I$2, Percentiles!$A$45:$I$59, 7, FALSE), perc_95, VLOOKUP(I$2, Percentiles!$A$45:$I$59, 8, FALSE), perc_85, perc_75 + (perc_90 - perc_75) * (2/3), converted_stat, '2K_Ratings'!I112, IF(bbgm_stat &gt;= perc_95, converted_stat * 3, IF(bbgm_stat &gt;= perc_90, converted_stat * 2, IF(bbgm_stat &gt;= perc_85, converted_stat * 1.5, converted_stat)))))</f>
        <v/>
      </c>
      <c r="J112" s="30" t="str">
        <f t="array" ref="J112">IF($A112="", "", LET(bbgm_stat, INDEX(Players!$A111:$P111, MATCH(J$2, Players!$A$1:$P$1, 0)), perc_75, VLOOKUP(J$2, Percentiles!$A$45:$I$59, 6, FALSE), perc_90, VLOOKUP(J$2, Percentiles!$A$45:$I$59, 7, FALSE), perc_95, VLOOKUP(J$2, Percentiles!$A$45:$I$59, 8, FALSE), perc_85, perc_75 + (perc_90 - perc_75) * (2/3), converted_stat, '2K_Ratings'!J112, IF(bbgm_stat &gt;= perc_95, converted_stat * 3, IF(bbgm_stat &gt;= perc_90, converted_stat * 2, IF(bbgm_stat &gt;= perc_85, converted_stat * 1.5, converted_stat)))))</f>
        <v/>
      </c>
      <c r="K112" s="30" t="str">
        <f t="array" ref="K112">IF($A112="", "", LET(bbgm_stat, INDEX(Players!$A111:$P111, MATCH(K$2, Players!$A$1:$P$1, 0)), perc_75, VLOOKUP(K$2, Percentiles!$A$45:$I$59, 6, FALSE), perc_90, VLOOKUP(K$2, Percentiles!$A$45:$I$59, 7, FALSE), perc_95, VLOOKUP(K$2, Percentiles!$A$45:$I$59, 8, FALSE), perc_85, perc_75 + (perc_90 - perc_75) * (2/3), converted_stat, '2K_Ratings'!K112, IF(bbgm_stat &gt;= perc_95, converted_stat * 3, IF(bbgm_stat &gt;= perc_90, converted_stat * 2, IF(bbgm_stat &gt;= perc_85, converted_stat * 1.5, converted_stat)))))</f>
        <v/>
      </c>
      <c r="L112" s="30" t="str">
        <f t="array" ref="L112">IF($A112="", "", LET(bbgm_stat, INDEX(Players!$A111:$P111, MATCH(L$2, Players!$A$1:$P$1, 0)), perc_75, VLOOKUP(L$2, Percentiles!$A$45:$I$59, 6, FALSE), perc_90, VLOOKUP(L$2, Percentiles!$A$45:$I$59, 7, FALSE), perc_95, VLOOKUP(L$2, Percentiles!$A$45:$I$59, 8, FALSE), perc_85, perc_75 + (perc_90 - perc_75) * (2/3), converted_stat, '2K_Ratings'!L112, IF(bbgm_stat &gt;= perc_95, converted_stat * 3, IF(bbgm_stat &gt;= perc_90, converted_stat * 2, IF(bbgm_stat &gt;= perc_85, converted_stat * 1.5, converted_stat)))))</f>
        <v/>
      </c>
      <c r="M112" s="30" t="str">
        <f t="array" ref="M112">IF($A112="", "", LET(bbgm_stat, INDEX(Players!$A111:$P111, MATCH(M$2, Players!$A$1:$P$1, 0)), perc_75, VLOOKUP(M$2, Percentiles!$A$45:$I$59, 6, FALSE), perc_90, VLOOKUP(M$2, Percentiles!$A$45:$I$59, 7, FALSE), perc_95, VLOOKUP(M$2, Percentiles!$A$45:$I$59, 8, FALSE), perc_85, perc_75 + (perc_90 - perc_75) * (2/3), converted_stat, '2K_Ratings'!M112, IF(bbgm_stat &gt;= perc_95, converted_stat * 3, IF(bbgm_stat &gt;= perc_90, converted_stat * 2, IF(bbgm_stat &gt;= perc_85, converted_stat * 1.5, converted_stat)))))</f>
        <v/>
      </c>
      <c r="N112" s="30" t="str">
        <f t="array" ref="N112">IF($A112="", "", LET(bbgm_stat, INDEX(Players!$A111:$P111, MATCH(N$2, Players!$A$1:$P$1, 0)), perc_75, VLOOKUP(N$2, Percentiles!$A$45:$I$59, 6, FALSE), perc_90, VLOOKUP(N$2, Percentiles!$A$45:$I$59, 7, FALSE), perc_95, VLOOKUP(N$2, Percentiles!$A$45:$I$59, 8, FALSE), perc_85, perc_75 + (perc_90 - perc_75) * (2/3), converted_stat, '2K_Ratings'!N112, IF(bbgm_stat &gt;= perc_95, converted_stat * 3, IF(bbgm_stat &gt;= perc_90, converted_stat * 2, IF(bbgm_stat &gt;= perc_85, converted_stat * 1.5, converted_stat)))))</f>
        <v/>
      </c>
      <c r="O112" s="30" t="str">
        <f t="array" ref="O112">IF($A112="", "", LET(bbgm_stat, INDEX(Players!$A111:$P111, MATCH(O$2, Players!$A$1:$P$1, 0)), perc_75, VLOOKUP(O$2, Percentiles!$A$45:$I$59, 6, FALSE), perc_90, VLOOKUP(O$2, Percentiles!$A$45:$I$59, 7, FALSE), perc_95, VLOOKUP(O$2, Percentiles!$A$45:$I$59, 8, FALSE), perc_85, perc_75 + (perc_90 - perc_75) * (2/3), converted_stat, '2K_Ratings'!O112, IF(bbgm_stat &gt;= perc_95, converted_stat * 3, IF(bbgm_stat &gt;= perc_90, converted_stat * 2, IF(bbgm_stat &gt;= perc_85, converted_stat * 1.5, converted_stat)))))</f>
        <v/>
      </c>
      <c r="P112" s="30" t="str">
        <f t="array" ref="P112">IF($A112="", "", LET(bbgm_stat, INDEX(Players!$A111:$P111, MATCH(P$2, Players!$A$1:$P$1, 0)), perc_75, VLOOKUP(P$2, Percentiles!$A$45:$I$59, 6, FALSE), perc_90, VLOOKUP(P$2, Percentiles!$A$45:$I$59, 7, FALSE), perc_95, VLOOKUP(P$2, Percentiles!$A$45:$I$59, 8, FALSE), perc_85, perc_75 + (perc_90 - perc_75) * (2/3), converted_stat, '2K_Ratings'!P112, IF(bbgm_stat &gt;= perc_95, converted_stat * 3, IF(bbgm_stat &gt;= perc_90, converted_stat * 2, IF(bbgm_stat &gt;= perc_85, converted_stat * 1.5, converted_stat)))))</f>
        <v/>
      </c>
      <c r="Q112" s="30" t="str">
        <f t="array" ref="Q112">IF($A112="", "", LET(bbgm_stat, INDEX(Players!$A111:$P111, MATCH(Q$2, Players!$A$1:$P$1, 0)), perc_75, VLOOKUP(Q$2, Percentiles!$A$45:$I$59, 6, FALSE), perc_90, VLOOKUP(Q$2, Percentiles!$A$45:$I$59, 7, FALSE), perc_95, VLOOKUP(Q$2, Percentiles!$A$45:$I$59, 8, FALSE), perc_85, perc_75 + (perc_90 - perc_75) * (2/3), converted_stat, '2K_Ratings'!Q112, IF(bbgm_stat &gt;= perc_95, converted_stat * 3, IF(bbgm_stat &gt;= perc_90, converted_stat * 2, IF(bbgm_stat &gt;= perc_85, converted_stat * 1.5, converted_stat)))))</f>
        <v/>
      </c>
      <c r="R112" s="30" t="str">
        <f t="array" ref="R112">IF($A112="", "", LET(bbgm_stat, INDEX(Players!$A111:$P111, MATCH(R$2, Players!$A$1:$P$1, 0)), perc_75, VLOOKUP(R$2, Percentiles!$A$45:$I$59, 6, FALSE), perc_90, VLOOKUP(R$2, Percentiles!$A$45:$I$59, 7, FALSE), perc_95, VLOOKUP(R$2, Percentiles!$A$45:$I$59, 8, FALSE), perc_85, perc_75 + (perc_90 - perc_75) * (2/3), converted_stat, '2K_Ratings'!R112, IF(bbgm_stat &gt;= perc_95, converted_stat * 3, IF(bbgm_stat &gt;= perc_90, converted_stat * 2, IF(bbgm_stat &gt;= perc_85, converted_stat * 1.5, converted_stat)))))</f>
        <v/>
      </c>
      <c r="S112" s="30" t="str">
        <f t="array" ref="S112">IF($A112="", "", LET(bbgm_stat, INDEX(Players!$A111:$P111, MATCH(S$2, Players!$A$1:$P$1, 0)), perc_75, VLOOKUP(S$2, Percentiles!$A$45:$I$59, 6, FALSE), perc_90, VLOOKUP(S$2, Percentiles!$A$45:$I$59, 7, FALSE), perc_95, VLOOKUP(S$2, Percentiles!$A$45:$I$59, 8, FALSE), perc_85, perc_75 + (perc_90 - perc_75) * (2/3), converted_stat, '2K_Ratings'!S112, IF(bbgm_stat &gt;= perc_95, converted_stat * 3, IF(bbgm_stat &gt;= perc_90, converted_stat * 2, IF(bbgm_stat &gt;= perc_85, converted_stat * 1.5, converted_stat)))))</f>
        <v/>
      </c>
      <c r="T112" s="30" t="str">
        <f t="array" ref="T112">IF($A112="", "", LET(bbgm_stat, INDEX(Players!$A111:$P111, MATCH(T$2, Players!$A$1:$P$1, 0)), perc_75, VLOOKUP(T$2, Percentiles!$A$45:$I$59, 6, FALSE), perc_90, VLOOKUP(T$2, Percentiles!$A$45:$I$59, 7, FALSE), perc_95, VLOOKUP(T$2, Percentiles!$A$45:$I$59, 8, FALSE), perc_85, perc_75 + (perc_90 - perc_75) * (2/3), converted_stat, '2K_Ratings'!T112, IF(bbgm_stat &gt;= perc_95, converted_stat * 3, IF(bbgm_stat &gt;= perc_90, converted_stat * 2, IF(bbgm_stat &gt;= perc_85, converted_stat * 1.5, converted_stat)))))</f>
        <v/>
      </c>
      <c r="U112" s="30" t="str">
        <f t="array" ref="U112">IF($A112="", "", LET(bbgm_stat, INDEX(Players!$A111:$P111, MATCH(U$2, Players!$A$1:$P$1, 0)), perc_75, VLOOKUP(U$2, Percentiles!$A$45:$I$59, 6, FALSE), perc_90, VLOOKUP(U$2, Percentiles!$A$45:$I$59, 7, FALSE), perc_95, VLOOKUP(U$2, Percentiles!$A$45:$I$59, 8, FALSE), perc_85, perc_75 + (perc_90 - perc_75) * (2/3), converted_stat, '2K_Ratings'!U112, IF(bbgm_stat &gt;= perc_95, converted_stat * 3, IF(bbgm_stat &gt;= perc_90, converted_stat * 2, IF(bbgm_stat &gt;= perc_85, converted_stat * 1.5, converted_stat)))))</f>
        <v/>
      </c>
      <c r="V112" s="30" t="str">
        <f t="array" ref="V112">IF($A112="", "", LET(bbgm_stat, INDEX(Players!$A111:$P111, MATCH(V$2, Players!$A$1:$P$1, 0)), perc_75, VLOOKUP(V$2, Percentiles!$A$45:$I$59, 6, FALSE), perc_90, VLOOKUP(V$2, Percentiles!$A$45:$I$59, 7, FALSE), perc_95, VLOOKUP(V$2, Percentiles!$A$45:$I$59, 8, FALSE), perc_85, perc_75 + (perc_90 - perc_75) * (2/3), converted_stat, '2K_Ratings'!V112, IF(bbgm_stat &gt;= perc_95, converted_stat * 3, IF(bbgm_stat &gt;= perc_90, converted_stat * 2, IF(bbgm_stat &gt;= perc_85, converted_stat * 1.5, converted_stat)))))</f>
        <v/>
      </c>
      <c r="W112" s="30" t="str">
        <f t="array" ref="W112">IF($A112="", "", LET(bbgm_stat, INDEX(Players!$A111:$P111, MATCH(W$2, Players!$A$1:$P$1, 0)), perc_75, VLOOKUP(W$2, Percentiles!$A$45:$I$59, 6, FALSE), perc_90, VLOOKUP(W$2, Percentiles!$A$45:$I$59, 7, FALSE), perc_95, VLOOKUP(W$2, Percentiles!$A$45:$I$59, 8, FALSE), perc_85, perc_75 + (perc_90 - perc_75) * (2/3), converted_stat, '2K_Ratings'!W112, IF(bbgm_stat &gt;= perc_95, converted_stat * 3, IF(bbgm_stat &gt;= perc_90, converted_stat * 2, IF(bbgm_stat &gt;= perc_85, converted_stat * 1.5, converted_stat)))))</f>
        <v/>
      </c>
    </row>
    <row r="113">
      <c r="A113" s="30"/>
      <c r="B113" s="30" t="str">
        <f t="array" ref="B113">IF($A113="", "", LET(bbgm_stat, INDEX(Players!$A112:$P112, MATCH(B$2, Players!$A$1:$P$1, 0)), perc_75, VLOOKUP(B$2, Percentiles!$A$45:$I$59, 6, FALSE), perc_90, VLOOKUP(B$2, Percentiles!$A$45:$I$59, 7, FALSE), perc_95, VLOOKUP(B$2, Percentiles!$A$45:$I$59, 8, FALSE), perc_85, perc_75 + (perc_90 - perc_75) * (2/3), converted_stat, '2K_Ratings'!B113, IF(bbgm_stat &gt;= perc_95, converted_stat * 3, IF(bbgm_stat &gt;= perc_90, converted_stat * 2, IF(bbgm_stat &gt;= perc_85, converted_stat * 1.5, converted_stat)))))</f>
        <v/>
      </c>
      <c r="C113" s="30" t="str">
        <f t="array" ref="C113">IF($A113="", "", LET(bbgm_stat, INDEX(Players!$A112:$P112, MATCH(C$2, Players!$A$1:$P$1, 0)), perc_75, VLOOKUP(C$2, Percentiles!$A$45:$I$59, 6, FALSE), perc_90, VLOOKUP(C$2, Percentiles!$A$45:$I$59, 7, FALSE), perc_95, VLOOKUP(C$2, Percentiles!$A$45:$I$59, 8, FALSE), perc_85, perc_75 + (perc_90 - perc_75) * (2/3), converted_stat, '2K_Ratings'!C113, IF(bbgm_stat &gt;= perc_95, converted_stat * 3, IF(bbgm_stat &gt;= perc_90, converted_stat * 2, IF(bbgm_stat &gt;= perc_85, converted_stat * 1.5, converted_stat)))))</f>
        <v/>
      </c>
      <c r="D113" s="30" t="str">
        <f t="array" ref="D113">IF($A113="", "", LET(bbgm_stat, INDEX(Players!$A112:$P112, MATCH(D$2, Players!$A$1:$P$1, 0)), perc_75, VLOOKUP(D$2, Percentiles!$A$45:$I$59, 6, FALSE), perc_90, VLOOKUP(D$2, Percentiles!$A$45:$I$59, 7, FALSE), perc_95, VLOOKUP(D$2, Percentiles!$A$45:$I$59, 8, FALSE), perc_85, perc_75 + (perc_90 - perc_75) * (2/3), converted_stat, '2K_Ratings'!D113, IF(bbgm_stat &gt;= perc_95, converted_stat * 3, IF(bbgm_stat &gt;= perc_90, converted_stat * 2, IF(bbgm_stat &gt;= perc_85, converted_stat * 1.5, converted_stat)))))</f>
        <v/>
      </c>
      <c r="E113" s="30" t="str">
        <f t="array" ref="E113">IF($A113="", "", LET(bbgm_stat, INDEX(Players!$A112:$P112, MATCH(E$2, Players!$A$1:$P$1, 0)), perc_75, VLOOKUP(E$2, Percentiles!$A$45:$I$59, 6, FALSE), perc_90, VLOOKUP(E$2, Percentiles!$A$45:$I$59, 7, FALSE), perc_95, VLOOKUP(E$2, Percentiles!$A$45:$I$59, 8, FALSE), perc_85, perc_75 + (perc_90 - perc_75) * (2/3), converted_stat, '2K_Ratings'!E113, IF(bbgm_stat &gt;= perc_95, converted_stat * 3, IF(bbgm_stat &gt;= perc_90, converted_stat * 2, IF(bbgm_stat &gt;= perc_85, converted_stat * 1.5, converted_stat)))))</f>
        <v/>
      </c>
      <c r="F113" s="30" t="str">
        <f t="array" ref="F113">IF($A113="", "", LET(bbgm_stat, INDEX(Players!$A112:$P112, MATCH(F$2, Players!$A$1:$P$1, 0)), perc_75, VLOOKUP(F$2, Percentiles!$A$45:$I$59, 6, FALSE), perc_90, VLOOKUP(F$2, Percentiles!$A$45:$I$59, 7, FALSE), perc_95, VLOOKUP(F$2, Percentiles!$A$45:$I$59, 8, FALSE), perc_85, perc_75 + (perc_90 - perc_75) * (2/3), converted_stat, '2K_Ratings'!F113, IF(bbgm_stat &gt;= perc_95, converted_stat * 3, IF(bbgm_stat &gt;= perc_90, converted_stat * 2, IF(bbgm_stat &gt;= perc_85, converted_stat * 1.5, converted_stat)))))</f>
        <v/>
      </c>
      <c r="G113" s="30" t="str">
        <f t="array" ref="G113">IF($A113="", "", LET(bbgm_stat, INDEX(Players!$A112:$P112, MATCH(G$2, Players!$A$1:$P$1, 0)), perc_75, VLOOKUP(G$2, Percentiles!$A$45:$I$59, 6, FALSE), perc_90, VLOOKUP(G$2, Percentiles!$A$45:$I$59, 7, FALSE), perc_95, VLOOKUP(G$2, Percentiles!$A$45:$I$59, 8, FALSE), perc_85, perc_75 + (perc_90 - perc_75) * (2/3), converted_stat, '2K_Ratings'!G113, IF(bbgm_stat &gt;= perc_95, converted_stat * 3, IF(bbgm_stat &gt;= perc_90, converted_stat * 2, IF(bbgm_stat &gt;= perc_85, converted_stat * 1.5, converted_stat)))))</f>
        <v/>
      </c>
      <c r="H113" s="30" t="str">
        <f t="array" ref="H113">IF($A113="", "", LET(bbgm_stat, INDEX(Players!$A112:$P112, MATCH(H$2, Players!$A$1:$P$1, 0)), perc_75, VLOOKUP(H$2, Percentiles!$A$45:$I$59, 6, FALSE), perc_90, VLOOKUP(H$2, Percentiles!$A$45:$I$59, 7, FALSE), perc_95, VLOOKUP(H$2, Percentiles!$A$45:$I$59, 8, FALSE), perc_85, perc_75 + (perc_90 - perc_75) * (2/3), converted_stat, '2K_Ratings'!H113, IF(bbgm_stat &gt;= perc_95, converted_stat * 3, IF(bbgm_stat &gt;= perc_90, converted_stat * 2, IF(bbgm_stat &gt;= perc_85, converted_stat * 1.5, converted_stat)))))</f>
        <v/>
      </c>
      <c r="I113" s="30" t="str">
        <f t="array" ref="I113">IF($A113="", "", LET(bbgm_stat, INDEX(Players!$A112:$P112, MATCH(I$2, Players!$A$1:$P$1, 0)), perc_75, VLOOKUP(I$2, Percentiles!$A$45:$I$59, 6, FALSE), perc_90, VLOOKUP(I$2, Percentiles!$A$45:$I$59, 7, FALSE), perc_95, VLOOKUP(I$2, Percentiles!$A$45:$I$59, 8, FALSE), perc_85, perc_75 + (perc_90 - perc_75) * (2/3), converted_stat, '2K_Ratings'!I113, IF(bbgm_stat &gt;= perc_95, converted_stat * 3, IF(bbgm_stat &gt;= perc_90, converted_stat * 2, IF(bbgm_stat &gt;= perc_85, converted_stat * 1.5, converted_stat)))))</f>
        <v/>
      </c>
      <c r="J113" s="30" t="str">
        <f t="array" ref="J113">IF($A113="", "", LET(bbgm_stat, INDEX(Players!$A112:$P112, MATCH(J$2, Players!$A$1:$P$1, 0)), perc_75, VLOOKUP(J$2, Percentiles!$A$45:$I$59, 6, FALSE), perc_90, VLOOKUP(J$2, Percentiles!$A$45:$I$59, 7, FALSE), perc_95, VLOOKUP(J$2, Percentiles!$A$45:$I$59, 8, FALSE), perc_85, perc_75 + (perc_90 - perc_75) * (2/3), converted_stat, '2K_Ratings'!J113, IF(bbgm_stat &gt;= perc_95, converted_stat * 3, IF(bbgm_stat &gt;= perc_90, converted_stat * 2, IF(bbgm_stat &gt;= perc_85, converted_stat * 1.5, converted_stat)))))</f>
        <v/>
      </c>
      <c r="K113" s="30" t="str">
        <f t="array" ref="K113">IF($A113="", "", LET(bbgm_stat, INDEX(Players!$A112:$P112, MATCH(K$2, Players!$A$1:$P$1, 0)), perc_75, VLOOKUP(K$2, Percentiles!$A$45:$I$59, 6, FALSE), perc_90, VLOOKUP(K$2, Percentiles!$A$45:$I$59, 7, FALSE), perc_95, VLOOKUP(K$2, Percentiles!$A$45:$I$59, 8, FALSE), perc_85, perc_75 + (perc_90 - perc_75) * (2/3), converted_stat, '2K_Ratings'!K113, IF(bbgm_stat &gt;= perc_95, converted_stat * 3, IF(bbgm_stat &gt;= perc_90, converted_stat * 2, IF(bbgm_stat &gt;= perc_85, converted_stat * 1.5, converted_stat)))))</f>
        <v/>
      </c>
      <c r="L113" s="30" t="str">
        <f t="array" ref="L113">IF($A113="", "", LET(bbgm_stat, INDEX(Players!$A112:$P112, MATCH(L$2, Players!$A$1:$P$1, 0)), perc_75, VLOOKUP(L$2, Percentiles!$A$45:$I$59, 6, FALSE), perc_90, VLOOKUP(L$2, Percentiles!$A$45:$I$59, 7, FALSE), perc_95, VLOOKUP(L$2, Percentiles!$A$45:$I$59, 8, FALSE), perc_85, perc_75 + (perc_90 - perc_75) * (2/3), converted_stat, '2K_Ratings'!L113, IF(bbgm_stat &gt;= perc_95, converted_stat * 3, IF(bbgm_stat &gt;= perc_90, converted_stat * 2, IF(bbgm_stat &gt;= perc_85, converted_stat * 1.5, converted_stat)))))</f>
        <v/>
      </c>
      <c r="M113" s="30" t="str">
        <f t="array" ref="M113">IF($A113="", "", LET(bbgm_stat, INDEX(Players!$A112:$P112, MATCH(M$2, Players!$A$1:$P$1, 0)), perc_75, VLOOKUP(M$2, Percentiles!$A$45:$I$59, 6, FALSE), perc_90, VLOOKUP(M$2, Percentiles!$A$45:$I$59, 7, FALSE), perc_95, VLOOKUP(M$2, Percentiles!$A$45:$I$59, 8, FALSE), perc_85, perc_75 + (perc_90 - perc_75) * (2/3), converted_stat, '2K_Ratings'!M113, IF(bbgm_stat &gt;= perc_95, converted_stat * 3, IF(bbgm_stat &gt;= perc_90, converted_stat * 2, IF(bbgm_stat &gt;= perc_85, converted_stat * 1.5, converted_stat)))))</f>
        <v/>
      </c>
      <c r="N113" s="30" t="str">
        <f t="array" ref="N113">IF($A113="", "", LET(bbgm_stat, INDEX(Players!$A112:$P112, MATCH(N$2, Players!$A$1:$P$1, 0)), perc_75, VLOOKUP(N$2, Percentiles!$A$45:$I$59, 6, FALSE), perc_90, VLOOKUP(N$2, Percentiles!$A$45:$I$59, 7, FALSE), perc_95, VLOOKUP(N$2, Percentiles!$A$45:$I$59, 8, FALSE), perc_85, perc_75 + (perc_90 - perc_75) * (2/3), converted_stat, '2K_Ratings'!N113, IF(bbgm_stat &gt;= perc_95, converted_stat * 3, IF(bbgm_stat &gt;= perc_90, converted_stat * 2, IF(bbgm_stat &gt;= perc_85, converted_stat * 1.5, converted_stat)))))</f>
        <v/>
      </c>
      <c r="O113" s="30" t="str">
        <f t="array" ref="O113">IF($A113="", "", LET(bbgm_stat, INDEX(Players!$A112:$P112, MATCH(O$2, Players!$A$1:$P$1, 0)), perc_75, VLOOKUP(O$2, Percentiles!$A$45:$I$59, 6, FALSE), perc_90, VLOOKUP(O$2, Percentiles!$A$45:$I$59, 7, FALSE), perc_95, VLOOKUP(O$2, Percentiles!$A$45:$I$59, 8, FALSE), perc_85, perc_75 + (perc_90 - perc_75) * (2/3), converted_stat, '2K_Ratings'!O113, IF(bbgm_stat &gt;= perc_95, converted_stat * 3, IF(bbgm_stat &gt;= perc_90, converted_stat * 2, IF(bbgm_stat &gt;= perc_85, converted_stat * 1.5, converted_stat)))))</f>
        <v/>
      </c>
      <c r="P113" s="30" t="str">
        <f t="array" ref="P113">IF($A113="", "", LET(bbgm_stat, INDEX(Players!$A112:$P112, MATCH(P$2, Players!$A$1:$P$1, 0)), perc_75, VLOOKUP(P$2, Percentiles!$A$45:$I$59, 6, FALSE), perc_90, VLOOKUP(P$2, Percentiles!$A$45:$I$59, 7, FALSE), perc_95, VLOOKUP(P$2, Percentiles!$A$45:$I$59, 8, FALSE), perc_85, perc_75 + (perc_90 - perc_75) * (2/3), converted_stat, '2K_Ratings'!P113, IF(bbgm_stat &gt;= perc_95, converted_stat * 3, IF(bbgm_stat &gt;= perc_90, converted_stat * 2, IF(bbgm_stat &gt;= perc_85, converted_stat * 1.5, converted_stat)))))</f>
        <v/>
      </c>
      <c r="Q113" s="30" t="str">
        <f t="array" ref="Q113">IF($A113="", "", LET(bbgm_stat, INDEX(Players!$A112:$P112, MATCH(Q$2, Players!$A$1:$P$1, 0)), perc_75, VLOOKUP(Q$2, Percentiles!$A$45:$I$59, 6, FALSE), perc_90, VLOOKUP(Q$2, Percentiles!$A$45:$I$59, 7, FALSE), perc_95, VLOOKUP(Q$2, Percentiles!$A$45:$I$59, 8, FALSE), perc_85, perc_75 + (perc_90 - perc_75) * (2/3), converted_stat, '2K_Ratings'!Q113, IF(bbgm_stat &gt;= perc_95, converted_stat * 3, IF(bbgm_stat &gt;= perc_90, converted_stat * 2, IF(bbgm_stat &gt;= perc_85, converted_stat * 1.5, converted_stat)))))</f>
        <v/>
      </c>
      <c r="R113" s="30" t="str">
        <f t="array" ref="R113">IF($A113="", "", LET(bbgm_stat, INDEX(Players!$A112:$P112, MATCH(R$2, Players!$A$1:$P$1, 0)), perc_75, VLOOKUP(R$2, Percentiles!$A$45:$I$59, 6, FALSE), perc_90, VLOOKUP(R$2, Percentiles!$A$45:$I$59, 7, FALSE), perc_95, VLOOKUP(R$2, Percentiles!$A$45:$I$59, 8, FALSE), perc_85, perc_75 + (perc_90 - perc_75) * (2/3), converted_stat, '2K_Ratings'!R113, IF(bbgm_stat &gt;= perc_95, converted_stat * 3, IF(bbgm_stat &gt;= perc_90, converted_stat * 2, IF(bbgm_stat &gt;= perc_85, converted_stat * 1.5, converted_stat)))))</f>
        <v/>
      </c>
      <c r="S113" s="30" t="str">
        <f t="array" ref="S113">IF($A113="", "", LET(bbgm_stat, INDEX(Players!$A112:$P112, MATCH(S$2, Players!$A$1:$P$1, 0)), perc_75, VLOOKUP(S$2, Percentiles!$A$45:$I$59, 6, FALSE), perc_90, VLOOKUP(S$2, Percentiles!$A$45:$I$59, 7, FALSE), perc_95, VLOOKUP(S$2, Percentiles!$A$45:$I$59, 8, FALSE), perc_85, perc_75 + (perc_90 - perc_75) * (2/3), converted_stat, '2K_Ratings'!S113, IF(bbgm_stat &gt;= perc_95, converted_stat * 3, IF(bbgm_stat &gt;= perc_90, converted_stat * 2, IF(bbgm_stat &gt;= perc_85, converted_stat * 1.5, converted_stat)))))</f>
        <v/>
      </c>
      <c r="T113" s="30" t="str">
        <f t="array" ref="T113">IF($A113="", "", LET(bbgm_stat, INDEX(Players!$A112:$P112, MATCH(T$2, Players!$A$1:$P$1, 0)), perc_75, VLOOKUP(T$2, Percentiles!$A$45:$I$59, 6, FALSE), perc_90, VLOOKUP(T$2, Percentiles!$A$45:$I$59, 7, FALSE), perc_95, VLOOKUP(T$2, Percentiles!$A$45:$I$59, 8, FALSE), perc_85, perc_75 + (perc_90 - perc_75) * (2/3), converted_stat, '2K_Ratings'!T113, IF(bbgm_stat &gt;= perc_95, converted_stat * 3, IF(bbgm_stat &gt;= perc_90, converted_stat * 2, IF(bbgm_stat &gt;= perc_85, converted_stat * 1.5, converted_stat)))))</f>
        <v/>
      </c>
      <c r="U113" s="30" t="str">
        <f t="array" ref="U113">IF($A113="", "", LET(bbgm_stat, INDEX(Players!$A112:$P112, MATCH(U$2, Players!$A$1:$P$1, 0)), perc_75, VLOOKUP(U$2, Percentiles!$A$45:$I$59, 6, FALSE), perc_90, VLOOKUP(U$2, Percentiles!$A$45:$I$59, 7, FALSE), perc_95, VLOOKUP(U$2, Percentiles!$A$45:$I$59, 8, FALSE), perc_85, perc_75 + (perc_90 - perc_75) * (2/3), converted_stat, '2K_Ratings'!U113, IF(bbgm_stat &gt;= perc_95, converted_stat * 3, IF(bbgm_stat &gt;= perc_90, converted_stat * 2, IF(bbgm_stat &gt;= perc_85, converted_stat * 1.5, converted_stat)))))</f>
        <v/>
      </c>
      <c r="V113" s="30" t="str">
        <f t="array" ref="V113">IF($A113="", "", LET(bbgm_stat, INDEX(Players!$A112:$P112, MATCH(V$2, Players!$A$1:$P$1, 0)), perc_75, VLOOKUP(V$2, Percentiles!$A$45:$I$59, 6, FALSE), perc_90, VLOOKUP(V$2, Percentiles!$A$45:$I$59, 7, FALSE), perc_95, VLOOKUP(V$2, Percentiles!$A$45:$I$59, 8, FALSE), perc_85, perc_75 + (perc_90 - perc_75) * (2/3), converted_stat, '2K_Ratings'!V113, IF(bbgm_stat &gt;= perc_95, converted_stat * 3, IF(bbgm_stat &gt;= perc_90, converted_stat * 2, IF(bbgm_stat &gt;= perc_85, converted_stat * 1.5, converted_stat)))))</f>
        <v/>
      </c>
      <c r="W113" s="30" t="str">
        <f t="array" ref="W113">IF($A113="", "", LET(bbgm_stat, INDEX(Players!$A112:$P112, MATCH(W$2, Players!$A$1:$P$1, 0)), perc_75, VLOOKUP(W$2, Percentiles!$A$45:$I$59, 6, FALSE), perc_90, VLOOKUP(W$2, Percentiles!$A$45:$I$59, 7, FALSE), perc_95, VLOOKUP(W$2, Percentiles!$A$45:$I$59, 8, FALSE), perc_85, perc_75 + (perc_90 - perc_75) * (2/3), converted_stat, '2K_Ratings'!W113, IF(bbgm_stat &gt;= perc_95, converted_stat * 3, IF(bbgm_stat &gt;= perc_90, converted_stat * 2, IF(bbgm_stat &gt;= perc_85, converted_stat * 1.5, converted_stat)))))</f>
        <v/>
      </c>
    </row>
    <row r="114">
      <c r="A114" s="30"/>
      <c r="B114" s="30" t="str">
        <f t="array" ref="B114">IF($A114="", "", LET(bbgm_stat, INDEX(Players!$A113:$P113, MATCH(B$2, Players!$A$1:$P$1, 0)), perc_75, VLOOKUP(B$2, Percentiles!$A$45:$I$59, 6, FALSE), perc_90, VLOOKUP(B$2, Percentiles!$A$45:$I$59, 7, FALSE), perc_95, VLOOKUP(B$2, Percentiles!$A$45:$I$59, 8, FALSE), perc_85, perc_75 + (perc_90 - perc_75) * (2/3), converted_stat, '2K_Ratings'!B114, IF(bbgm_stat &gt;= perc_95, converted_stat * 3, IF(bbgm_stat &gt;= perc_90, converted_stat * 2, IF(bbgm_stat &gt;= perc_85, converted_stat * 1.5, converted_stat)))))</f>
        <v/>
      </c>
      <c r="C114" s="30" t="str">
        <f t="array" ref="C114">IF($A114="", "", LET(bbgm_stat, INDEX(Players!$A113:$P113, MATCH(C$2, Players!$A$1:$P$1, 0)), perc_75, VLOOKUP(C$2, Percentiles!$A$45:$I$59, 6, FALSE), perc_90, VLOOKUP(C$2, Percentiles!$A$45:$I$59, 7, FALSE), perc_95, VLOOKUP(C$2, Percentiles!$A$45:$I$59, 8, FALSE), perc_85, perc_75 + (perc_90 - perc_75) * (2/3), converted_stat, '2K_Ratings'!C114, IF(bbgm_stat &gt;= perc_95, converted_stat * 3, IF(bbgm_stat &gt;= perc_90, converted_stat * 2, IF(bbgm_stat &gt;= perc_85, converted_stat * 1.5, converted_stat)))))</f>
        <v/>
      </c>
      <c r="D114" s="30" t="str">
        <f t="array" ref="D114">IF($A114="", "", LET(bbgm_stat, INDEX(Players!$A113:$P113, MATCH(D$2, Players!$A$1:$P$1, 0)), perc_75, VLOOKUP(D$2, Percentiles!$A$45:$I$59, 6, FALSE), perc_90, VLOOKUP(D$2, Percentiles!$A$45:$I$59, 7, FALSE), perc_95, VLOOKUP(D$2, Percentiles!$A$45:$I$59, 8, FALSE), perc_85, perc_75 + (perc_90 - perc_75) * (2/3), converted_stat, '2K_Ratings'!D114, IF(bbgm_stat &gt;= perc_95, converted_stat * 3, IF(bbgm_stat &gt;= perc_90, converted_stat * 2, IF(bbgm_stat &gt;= perc_85, converted_stat * 1.5, converted_stat)))))</f>
        <v/>
      </c>
      <c r="E114" s="30" t="str">
        <f t="array" ref="E114">IF($A114="", "", LET(bbgm_stat, INDEX(Players!$A113:$P113, MATCH(E$2, Players!$A$1:$P$1, 0)), perc_75, VLOOKUP(E$2, Percentiles!$A$45:$I$59, 6, FALSE), perc_90, VLOOKUP(E$2, Percentiles!$A$45:$I$59, 7, FALSE), perc_95, VLOOKUP(E$2, Percentiles!$A$45:$I$59, 8, FALSE), perc_85, perc_75 + (perc_90 - perc_75) * (2/3), converted_stat, '2K_Ratings'!E114, IF(bbgm_stat &gt;= perc_95, converted_stat * 3, IF(bbgm_stat &gt;= perc_90, converted_stat * 2, IF(bbgm_stat &gt;= perc_85, converted_stat * 1.5, converted_stat)))))</f>
        <v/>
      </c>
      <c r="F114" s="30" t="str">
        <f t="array" ref="F114">IF($A114="", "", LET(bbgm_stat, INDEX(Players!$A113:$P113, MATCH(F$2, Players!$A$1:$P$1, 0)), perc_75, VLOOKUP(F$2, Percentiles!$A$45:$I$59, 6, FALSE), perc_90, VLOOKUP(F$2, Percentiles!$A$45:$I$59, 7, FALSE), perc_95, VLOOKUP(F$2, Percentiles!$A$45:$I$59, 8, FALSE), perc_85, perc_75 + (perc_90 - perc_75) * (2/3), converted_stat, '2K_Ratings'!F114, IF(bbgm_stat &gt;= perc_95, converted_stat * 3, IF(bbgm_stat &gt;= perc_90, converted_stat * 2, IF(bbgm_stat &gt;= perc_85, converted_stat * 1.5, converted_stat)))))</f>
        <v/>
      </c>
      <c r="G114" s="30" t="str">
        <f t="array" ref="G114">IF($A114="", "", LET(bbgm_stat, INDEX(Players!$A113:$P113, MATCH(G$2, Players!$A$1:$P$1, 0)), perc_75, VLOOKUP(G$2, Percentiles!$A$45:$I$59, 6, FALSE), perc_90, VLOOKUP(G$2, Percentiles!$A$45:$I$59, 7, FALSE), perc_95, VLOOKUP(G$2, Percentiles!$A$45:$I$59, 8, FALSE), perc_85, perc_75 + (perc_90 - perc_75) * (2/3), converted_stat, '2K_Ratings'!G114, IF(bbgm_stat &gt;= perc_95, converted_stat * 3, IF(bbgm_stat &gt;= perc_90, converted_stat * 2, IF(bbgm_stat &gt;= perc_85, converted_stat * 1.5, converted_stat)))))</f>
        <v/>
      </c>
      <c r="H114" s="30" t="str">
        <f t="array" ref="H114">IF($A114="", "", LET(bbgm_stat, INDEX(Players!$A113:$P113, MATCH(H$2, Players!$A$1:$P$1, 0)), perc_75, VLOOKUP(H$2, Percentiles!$A$45:$I$59, 6, FALSE), perc_90, VLOOKUP(H$2, Percentiles!$A$45:$I$59, 7, FALSE), perc_95, VLOOKUP(H$2, Percentiles!$A$45:$I$59, 8, FALSE), perc_85, perc_75 + (perc_90 - perc_75) * (2/3), converted_stat, '2K_Ratings'!H114, IF(bbgm_stat &gt;= perc_95, converted_stat * 3, IF(bbgm_stat &gt;= perc_90, converted_stat * 2, IF(bbgm_stat &gt;= perc_85, converted_stat * 1.5, converted_stat)))))</f>
        <v/>
      </c>
      <c r="I114" s="30" t="str">
        <f t="array" ref="I114">IF($A114="", "", LET(bbgm_stat, INDEX(Players!$A113:$P113, MATCH(I$2, Players!$A$1:$P$1, 0)), perc_75, VLOOKUP(I$2, Percentiles!$A$45:$I$59, 6, FALSE), perc_90, VLOOKUP(I$2, Percentiles!$A$45:$I$59, 7, FALSE), perc_95, VLOOKUP(I$2, Percentiles!$A$45:$I$59, 8, FALSE), perc_85, perc_75 + (perc_90 - perc_75) * (2/3), converted_stat, '2K_Ratings'!I114, IF(bbgm_stat &gt;= perc_95, converted_stat * 3, IF(bbgm_stat &gt;= perc_90, converted_stat * 2, IF(bbgm_stat &gt;= perc_85, converted_stat * 1.5, converted_stat)))))</f>
        <v/>
      </c>
      <c r="J114" s="30" t="str">
        <f t="array" ref="J114">IF($A114="", "", LET(bbgm_stat, INDEX(Players!$A113:$P113, MATCH(J$2, Players!$A$1:$P$1, 0)), perc_75, VLOOKUP(J$2, Percentiles!$A$45:$I$59, 6, FALSE), perc_90, VLOOKUP(J$2, Percentiles!$A$45:$I$59, 7, FALSE), perc_95, VLOOKUP(J$2, Percentiles!$A$45:$I$59, 8, FALSE), perc_85, perc_75 + (perc_90 - perc_75) * (2/3), converted_stat, '2K_Ratings'!J114, IF(bbgm_stat &gt;= perc_95, converted_stat * 3, IF(bbgm_stat &gt;= perc_90, converted_stat * 2, IF(bbgm_stat &gt;= perc_85, converted_stat * 1.5, converted_stat)))))</f>
        <v/>
      </c>
      <c r="K114" s="30" t="str">
        <f t="array" ref="K114">IF($A114="", "", LET(bbgm_stat, INDEX(Players!$A113:$P113, MATCH(K$2, Players!$A$1:$P$1, 0)), perc_75, VLOOKUP(K$2, Percentiles!$A$45:$I$59, 6, FALSE), perc_90, VLOOKUP(K$2, Percentiles!$A$45:$I$59, 7, FALSE), perc_95, VLOOKUP(K$2, Percentiles!$A$45:$I$59, 8, FALSE), perc_85, perc_75 + (perc_90 - perc_75) * (2/3), converted_stat, '2K_Ratings'!K114, IF(bbgm_stat &gt;= perc_95, converted_stat * 3, IF(bbgm_stat &gt;= perc_90, converted_stat * 2, IF(bbgm_stat &gt;= perc_85, converted_stat * 1.5, converted_stat)))))</f>
        <v/>
      </c>
      <c r="L114" s="30" t="str">
        <f t="array" ref="L114">IF($A114="", "", LET(bbgm_stat, INDEX(Players!$A113:$P113, MATCH(L$2, Players!$A$1:$P$1, 0)), perc_75, VLOOKUP(L$2, Percentiles!$A$45:$I$59, 6, FALSE), perc_90, VLOOKUP(L$2, Percentiles!$A$45:$I$59, 7, FALSE), perc_95, VLOOKUP(L$2, Percentiles!$A$45:$I$59, 8, FALSE), perc_85, perc_75 + (perc_90 - perc_75) * (2/3), converted_stat, '2K_Ratings'!L114, IF(bbgm_stat &gt;= perc_95, converted_stat * 3, IF(bbgm_stat &gt;= perc_90, converted_stat * 2, IF(bbgm_stat &gt;= perc_85, converted_stat * 1.5, converted_stat)))))</f>
        <v/>
      </c>
      <c r="M114" s="30" t="str">
        <f t="array" ref="M114">IF($A114="", "", LET(bbgm_stat, INDEX(Players!$A113:$P113, MATCH(M$2, Players!$A$1:$P$1, 0)), perc_75, VLOOKUP(M$2, Percentiles!$A$45:$I$59, 6, FALSE), perc_90, VLOOKUP(M$2, Percentiles!$A$45:$I$59, 7, FALSE), perc_95, VLOOKUP(M$2, Percentiles!$A$45:$I$59, 8, FALSE), perc_85, perc_75 + (perc_90 - perc_75) * (2/3), converted_stat, '2K_Ratings'!M114, IF(bbgm_stat &gt;= perc_95, converted_stat * 3, IF(bbgm_stat &gt;= perc_90, converted_stat * 2, IF(bbgm_stat &gt;= perc_85, converted_stat * 1.5, converted_stat)))))</f>
        <v/>
      </c>
      <c r="N114" s="30" t="str">
        <f t="array" ref="N114">IF($A114="", "", LET(bbgm_stat, INDEX(Players!$A113:$P113, MATCH(N$2, Players!$A$1:$P$1, 0)), perc_75, VLOOKUP(N$2, Percentiles!$A$45:$I$59, 6, FALSE), perc_90, VLOOKUP(N$2, Percentiles!$A$45:$I$59, 7, FALSE), perc_95, VLOOKUP(N$2, Percentiles!$A$45:$I$59, 8, FALSE), perc_85, perc_75 + (perc_90 - perc_75) * (2/3), converted_stat, '2K_Ratings'!N114, IF(bbgm_stat &gt;= perc_95, converted_stat * 3, IF(bbgm_stat &gt;= perc_90, converted_stat * 2, IF(bbgm_stat &gt;= perc_85, converted_stat * 1.5, converted_stat)))))</f>
        <v/>
      </c>
      <c r="O114" s="30" t="str">
        <f t="array" ref="O114">IF($A114="", "", LET(bbgm_stat, INDEX(Players!$A113:$P113, MATCH(O$2, Players!$A$1:$P$1, 0)), perc_75, VLOOKUP(O$2, Percentiles!$A$45:$I$59, 6, FALSE), perc_90, VLOOKUP(O$2, Percentiles!$A$45:$I$59, 7, FALSE), perc_95, VLOOKUP(O$2, Percentiles!$A$45:$I$59, 8, FALSE), perc_85, perc_75 + (perc_90 - perc_75) * (2/3), converted_stat, '2K_Ratings'!O114, IF(bbgm_stat &gt;= perc_95, converted_stat * 3, IF(bbgm_stat &gt;= perc_90, converted_stat * 2, IF(bbgm_stat &gt;= perc_85, converted_stat * 1.5, converted_stat)))))</f>
        <v/>
      </c>
      <c r="P114" s="30" t="str">
        <f t="array" ref="P114">IF($A114="", "", LET(bbgm_stat, INDEX(Players!$A113:$P113, MATCH(P$2, Players!$A$1:$P$1, 0)), perc_75, VLOOKUP(P$2, Percentiles!$A$45:$I$59, 6, FALSE), perc_90, VLOOKUP(P$2, Percentiles!$A$45:$I$59, 7, FALSE), perc_95, VLOOKUP(P$2, Percentiles!$A$45:$I$59, 8, FALSE), perc_85, perc_75 + (perc_90 - perc_75) * (2/3), converted_stat, '2K_Ratings'!P114, IF(bbgm_stat &gt;= perc_95, converted_stat * 3, IF(bbgm_stat &gt;= perc_90, converted_stat * 2, IF(bbgm_stat &gt;= perc_85, converted_stat * 1.5, converted_stat)))))</f>
        <v/>
      </c>
      <c r="Q114" s="30" t="str">
        <f t="array" ref="Q114">IF($A114="", "", LET(bbgm_stat, INDEX(Players!$A113:$P113, MATCH(Q$2, Players!$A$1:$P$1, 0)), perc_75, VLOOKUP(Q$2, Percentiles!$A$45:$I$59, 6, FALSE), perc_90, VLOOKUP(Q$2, Percentiles!$A$45:$I$59, 7, FALSE), perc_95, VLOOKUP(Q$2, Percentiles!$A$45:$I$59, 8, FALSE), perc_85, perc_75 + (perc_90 - perc_75) * (2/3), converted_stat, '2K_Ratings'!Q114, IF(bbgm_stat &gt;= perc_95, converted_stat * 3, IF(bbgm_stat &gt;= perc_90, converted_stat * 2, IF(bbgm_stat &gt;= perc_85, converted_stat * 1.5, converted_stat)))))</f>
        <v/>
      </c>
      <c r="R114" s="30" t="str">
        <f t="array" ref="R114">IF($A114="", "", LET(bbgm_stat, INDEX(Players!$A113:$P113, MATCH(R$2, Players!$A$1:$P$1, 0)), perc_75, VLOOKUP(R$2, Percentiles!$A$45:$I$59, 6, FALSE), perc_90, VLOOKUP(R$2, Percentiles!$A$45:$I$59, 7, FALSE), perc_95, VLOOKUP(R$2, Percentiles!$A$45:$I$59, 8, FALSE), perc_85, perc_75 + (perc_90 - perc_75) * (2/3), converted_stat, '2K_Ratings'!R114, IF(bbgm_stat &gt;= perc_95, converted_stat * 3, IF(bbgm_stat &gt;= perc_90, converted_stat * 2, IF(bbgm_stat &gt;= perc_85, converted_stat * 1.5, converted_stat)))))</f>
        <v/>
      </c>
      <c r="S114" s="30" t="str">
        <f t="array" ref="S114">IF($A114="", "", LET(bbgm_stat, INDEX(Players!$A113:$P113, MATCH(S$2, Players!$A$1:$P$1, 0)), perc_75, VLOOKUP(S$2, Percentiles!$A$45:$I$59, 6, FALSE), perc_90, VLOOKUP(S$2, Percentiles!$A$45:$I$59, 7, FALSE), perc_95, VLOOKUP(S$2, Percentiles!$A$45:$I$59, 8, FALSE), perc_85, perc_75 + (perc_90 - perc_75) * (2/3), converted_stat, '2K_Ratings'!S114, IF(bbgm_stat &gt;= perc_95, converted_stat * 3, IF(bbgm_stat &gt;= perc_90, converted_stat * 2, IF(bbgm_stat &gt;= perc_85, converted_stat * 1.5, converted_stat)))))</f>
        <v/>
      </c>
      <c r="T114" s="30" t="str">
        <f t="array" ref="T114">IF($A114="", "", LET(bbgm_stat, INDEX(Players!$A113:$P113, MATCH(T$2, Players!$A$1:$P$1, 0)), perc_75, VLOOKUP(T$2, Percentiles!$A$45:$I$59, 6, FALSE), perc_90, VLOOKUP(T$2, Percentiles!$A$45:$I$59, 7, FALSE), perc_95, VLOOKUP(T$2, Percentiles!$A$45:$I$59, 8, FALSE), perc_85, perc_75 + (perc_90 - perc_75) * (2/3), converted_stat, '2K_Ratings'!T114, IF(bbgm_stat &gt;= perc_95, converted_stat * 3, IF(bbgm_stat &gt;= perc_90, converted_stat * 2, IF(bbgm_stat &gt;= perc_85, converted_stat * 1.5, converted_stat)))))</f>
        <v/>
      </c>
      <c r="U114" s="30" t="str">
        <f t="array" ref="U114">IF($A114="", "", LET(bbgm_stat, INDEX(Players!$A113:$P113, MATCH(U$2, Players!$A$1:$P$1, 0)), perc_75, VLOOKUP(U$2, Percentiles!$A$45:$I$59, 6, FALSE), perc_90, VLOOKUP(U$2, Percentiles!$A$45:$I$59, 7, FALSE), perc_95, VLOOKUP(U$2, Percentiles!$A$45:$I$59, 8, FALSE), perc_85, perc_75 + (perc_90 - perc_75) * (2/3), converted_stat, '2K_Ratings'!U114, IF(bbgm_stat &gt;= perc_95, converted_stat * 3, IF(bbgm_stat &gt;= perc_90, converted_stat * 2, IF(bbgm_stat &gt;= perc_85, converted_stat * 1.5, converted_stat)))))</f>
        <v/>
      </c>
      <c r="V114" s="30" t="str">
        <f t="array" ref="V114">IF($A114="", "", LET(bbgm_stat, INDEX(Players!$A113:$P113, MATCH(V$2, Players!$A$1:$P$1, 0)), perc_75, VLOOKUP(V$2, Percentiles!$A$45:$I$59, 6, FALSE), perc_90, VLOOKUP(V$2, Percentiles!$A$45:$I$59, 7, FALSE), perc_95, VLOOKUP(V$2, Percentiles!$A$45:$I$59, 8, FALSE), perc_85, perc_75 + (perc_90 - perc_75) * (2/3), converted_stat, '2K_Ratings'!V114, IF(bbgm_stat &gt;= perc_95, converted_stat * 3, IF(bbgm_stat &gt;= perc_90, converted_stat * 2, IF(bbgm_stat &gt;= perc_85, converted_stat * 1.5, converted_stat)))))</f>
        <v/>
      </c>
      <c r="W114" s="30" t="str">
        <f t="array" ref="W114">IF($A114="", "", LET(bbgm_stat, INDEX(Players!$A113:$P113, MATCH(W$2, Players!$A$1:$P$1, 0)), perc_75, VLOOKUP(W$2, Percentiles!$A$45:$I$59, 6, FALSE), perc_90, VLOOKUP(W$2, Percentiles!$A$45:$I$59, 7, FALSE), perc_95, VLOOKUP(W$2, Percentiles!$A$45:$I$59, 8, FALSE), perc_85, perc_75 + (perc_90 - perc_75) * (2/3), converted_stat, '2K_Ratings'!W114, IF(bbgm_stat &gt;= perc_95, converted_stat * 3, IF(bbgm_stat &gt;= perc_90, converted_stat * 2, IF(bbgm_stat &gt;= perc_85, converted_stat * 1.5, converted_stat)))))</f>
        <v/>
      </c>
    </row>
    <row r="115">
      <c r="A115" s="30"/>
      <c r="B115" s="30" t="str">
        <f t="array" ref="B115">IF($A115="", "", LET(bbgm_stat, INDEX(Players!$A114:$P114, MATCH(B$2, Players!$A$1:$P$1, 0)), perc_75, VLOOKUP(B$2, Percentiles!$A$45:$I$59, 6, FALSE), perc_90, VLOOKUP(B$2, Percentiles!$A$45:$I$59, 7, FALSE), perc_95, VLOOKUP(B$2, Percentiles!$A$45:$I$59, 8, FALSE), perc_85, perc_75 + (perc_90 - perc_75) * (2/3), converted_stat, '2K_Ratings'!B115, IF(bbgm_stat &gt;= perc_95, converted_stat * 3, IF(bbgm_stat &gt;= perc_90, converted_stat * 2, IF(bbgm_stat &gt;= perc_85, converted_stat * 1.5, converted_stat)))))</f>
        <v/>
      </c>
      <c r="C115" s="30" t="str">
        <f t="array" ref="C115">IF($A115="", "", LET(bbgm_stat, INDEX(Players!$A114:$P114, MATCH(C$2, Players!$A$1:$P$1, 0)), perc_75, VLOOKUP(C$2, Percentiles!$A$45:$I$59, 6, FALSE), perc_90, VLOOKUP(C$2, Percentiles!$A$45:$I$59, 7, FALSE), perc_95, VLOOKUP(C$2, Percentiles!$A$45:$I$59, 8, FALSE), perc_85, perc_75 + (perc_90 - perc_75) * (2/3), converted_stat, '2K_Ratings'!C115, IF(bbgm_stat &gt;= perc_95, converted_stat * 3, IF(bbgm_stat &gt;= perc_90, converted_stat * 2, IF(bbgm_stat &gt;= perc_85, converted_stat * 1.5, converted_stat)))))</f>
        <v/>
      </c>
      <c r="D115" s="30" t="str">
        <f t="array" ref="D115">IF($A115="", "", LET(bbgm_stat, INDEX(Players!$A114:$P114, MATCH(D$2, Players!$A$1:$P$1, 0)), perc_75, VLOOKUP(D$2, Percentiles!$A$45:$I$59, 6, FALSE), perc_90, VLOOKUP(D$2, Percentiles!$A$45:$I$59, 7, FALSE), perc_95, VLOOKUP(D$2, Percentiles!$A$45:$I$59, 8, FALSE), perc_85, perc_75 + (perc_90 - perc_75) * (2/3), converted_stat, '2K_Ratings'!D115, IF(bbgm_stat &gt;= perc_95, converted_stat * 3, IF(bbgm_stat &gt;= perc_90, converted_stat * 2, IF(bbgm_stat &gt;= perc_85, converted_stat * 1.5, converted_stat)))))</f>
        <v/>
      </c>
      <c r="E115" s="30" t="str">
        <f t="array" ref="E115">IF($A115="", "", LET(bbgm_stat, INDEX(Players!$A114:$P114, MATCH(E$2, Players!$A$1:$P$1, 0)), perc_75, VLOOKUP(E$2, Percentiles!$A$45:$I$59, 6, FALSE), perc_90, VLOOKUP(E$2, Percentiles!$A$45:$I$59, 7, FALSE), perc_95, VLOOKUP(E$2, Percentiles!$A$45:$I$59, 8, FALSE), perc_85, perc_75 + (perc_90 - perc_75) * (2/3), converted_stat, '2K_Ratings'!E115, IF(bbgm_stat &gt;= perc_95, converted_stat * 3, IF(bbgm_stat &gt;= perc_90, converted_stat * 2, IF(bbgm_stat &gt;= perc_85, converted_stat * 1.5, converted_stat)))))</f>
        <v/>
      </c>
      <c r="F115" s="30" t="str">
        <f t="array" ref="F115">IF($A115="", "", LET(bbgm_stat, INDEX(Players!$A114:$P114, MATCH(F$2, Players!$A$1:$P$1, 0)), perc_75, VLOOKUP(F$2, Percentiles!$A$45:$I$59, 6, FALSE), perc_90, VLOOKUP(F$2, Percentiles!$A$45:$I$59, 7, FALSE), perc_95, VLOOKUP(F$2, Percentiles!$A$45:$I$59, 8, FALSE), perc_85, perc_75 + (perc_90 - perc_75) * (2/3), converted_stat, '2K_Ratings'!F115, IF(bbgm_stat &gt;= perc_95, converted_stat * 3, IF(bbgm_stat &gt;= perc_90, converted_stat * 2, IF(bbgm_stat &gt;= perc_85, converted_stat * 1.5, converted_stat)))))</f>
        <v/>
      </c>
      <c r="G115" s="30" t="str">
        <f t="array" ref="G115">IF($A115="", "", LET(bbgm_stat, INDEX(Players!$A114:$P114, MATCH(G$2, Players!$A$1:$P$1, 0)), perc_75, VLOOKUP(G$2, Percentiles!$A$45:$I$59, 6, FALSE), perc_90, VLOOKUP(G$2, Percentiles!$A$45:$I$59, 7, FALSE), perc_95, VLOOKUP(G$2, Percentiles!$A$45:$I$59, 8, FALSE), perc_85, perc_75 + (perc_90 - perc_75) * (2/3), converted_stat, '2K_Ratings'!G115, IF(bbgm_stat &gt;= perc_95, converted_stat * 3, IF(bbgm_stat &gt;= perc_90, converted_stat * 2, IF(bbgm_stat &gt;= perc_85, converted_stat * 1.5, converted_stat)))))</f>
        <v/>
      </c>
      <c r="H115" s="30" t="str">
        <f t="array" ref="H115">IF($A115="", "", LET(bbgm_stat, INDEX(Players!$A114:$P114, MATCH(H$2, Players!$A$1:$P$1, 0)), perc_75, VLOOKUP(H$2, Percentiles!$A$45:$I$59, 6, FALSE), perc_90, VLOOKUP(H$2, Percentiles!$A$45:$I$59, 7, FALSE), perc_95, VLOOKUP(H$2, Percentiles!$A$45:$I$59, 8, FALSE), perc_85, perc_75 + (perc_90 - perc_75) * (2/3), converted_stat, '2K_Ratings'!H115, IF(bbgm_stat &gt;= perc_95, converted_stat * 3, IF(bbgm_stat &gt;= perc_90, converted_stat * 2, IF(bbgm_stat &gt;= perc_85, converted_stat * 1.5, converted_stat)))))</f>
        <v/>
      </c>
      <c r="I115" s="30" t="str">
        <f t="array" ref="I115">IF($A115="", "", LET(bbgm_stat, INDEX(Players!$A114:$P114, MATCH(I$2, Players!$A$1:$P$1, 0)), perc_75, VLOOKUP(I$2, Percentiles!$A$45:$I$59, 6, FALSE), perc_90, VLOOKUP(I$2, Percentiles!$A$45:$I$59, 7, FALSE), perc_95, VLOOKUP(I$2, Percentiles!$A$45:$I$59, 8, FALSE), perc_85, perc_75 + (perc_90 - perc_75) * (2/3), converted_stat, '2K_Ratings'!I115, IF(bbgm_stat &gt;= perc_95, converted_stat * 3, IF(bbgm_stat &gt;= perc_90, converted_stat * 2, IF(bbgm_stat &gt;= perc_85, converted_stat * 1.5, converted_stat)))))</f>
        <v/>
      </c>
      <c r="J115" s="30" t="str">
        <f t="array" ref="J115">IF($A115="", "", LET(bbgm_stat, INDEX(Players!$A114:$P114, MATCH(J$2, Players!$A$1:$P$1, 0)), perc_75, VLOOKUP(J$2, Percentiles!$A$45:$I$59, 6, FALSE), perc_90, VLOOKUP(J$2, Percentiles!$A$45:$I$59, 7, FALSE), perc_95, VLOOKUP(J$2, Percentiles!$A$45:$I$59, 8, FALSE), perc_85, perc_75 + (perc_90 - perc_75) * (2/3), converted_stat, '2K_Ratings'!J115, IF(bbgm_stat &gt;= perc_95, converted_stat * 3, IF(bbgm_stat &gt;= perc_90, converted_stat * 2, IF(bbgm_stat &gt;= perc_85, converted_stat * 1.5, converted_stat)))))</f>
        <v/>
      </c>
      <c r="K115" s="30" t="str">
        <f t="array" ref="K115">IF($A115="", "", LET(bbgm_stat, INDEX(Players!$A114:$P114, MATCH(K$2, Players!$A$1:$P$1, 0)), perc_75, VLOOKUP(K$2, Percentiles!$A$45:$I$59, 6, FALSE), perc_90, VLOOKUP(K$2, Percentiles!$A$45:$I$59, 7, FALSE), perc_95, VLOOKUP(K$2, Percentiles!$A$45:$I$59, 8, FALSE), perc_85, perc_75 + (perc_90 - perc_75) * (2/3), converted_stat, '2K_Ratings'!K115, IF(bbgm_stat &gt;= perc_95, converted_stat * 3, IF(bbgm_stat &gt;= perc_90, converted_stat * 2, IF(bbgm_stat &gt;= perc_85, converted_stat * 1.5, converted_stat)))))</f>
        <v/>
      </c>
      <c r="L115" s="30" t="str">
        <f t="array" ref="L115">IF($A115="", "", LET(bbgm_stat, INDEX(Players!$A114:$P114, MATCH(L$2, Players!$A$1:$P$1, 0)), perc_75, VLOOKUP(L$2, Percentiles!$A$45:$I$59, 6, FALSE), perc_90, VLOOKUP(L$2, Percentiles!$A$45:$I$59, 7, FALSE), perc_95, VLOOKUP(L$2, Percentiles!$A$45:$I$59, 8, FALSE), perc_85, perc_75 + (perc_90 - perc_75) * (2/3), converted_stat, '2K_Ratings'!L115, IF(bbgm_stat &gt;= perc_95, converted_stat * 3, IF(bbgm_stat &gt;= perc_90, converted_stat * 2, IF(bbgm_stat &gt;= perc_85, converted_stat * 1.5, converted_stat)))))</f>
        <v/>
      </c>
      <c r="M115" s="30" t="str">
        <f t="array" ref="M115">IF($A115="", "", LET(bbgm_stat, INDEX(Players!$A114:$P114, MATCH(M$2, Players!$A$1:$P$1, 0)), perc_75, VLOOKUP(M$2, Percentiles!$A$45:$I$59, 6, FALSE), perc_90, VLOOKUP(M$2, Percentiles!$A$45:$I$59, 7, FALSE), perc_95, VLOOKUP(M$2, Percentiles!$A$45:$I$59, 8, FALSE), perc_85, perc_75 + (perc_90 - perc_75) * (2/3), converted_stat, '2K_Ratings'!M115, IF(bbgm_stat &gt;= perc_95, converted_stat * 3, IF(bbgm_stat &gt;= perc_90, converted_stat * 2, IF(bbgm_stat &gt;= perc_85, converted_stat * 1.5, converted_stat)))))</f>
        <v/>
      </c>
      <c r="N115" s="30" t="str">
        <f t="array" ref="N115">IF($A115="", "", LET(bbgm_stat, INDEX(Players!$A114:$P114, MATCH(N$2, Players!$A$1:$P$1, 0)), perc_75, VLOOKUP(N$2, Percentiles!$A$45:$I$59, 6, FALSE), perc_90, VLOOKUP(N$2, Percentiles!$A$45:$I$59, 7, FALSE), perc_95, VLOOKUP(N$2, Percentiles!$A$45:$I$59, 8, FALSE), perc_85, perc_75 + (perc_90 - perc_75) * (2/3), converted_stat, '2K_Ratings'!N115, IF(bbgm_stat &gt;= perc_95, converted_stat * 3, IF(bbgm_stat &gt;= perc_90, converted_stat * 2, IF(bbgm_stat &gt;= perc_85, converted_stat * 1.5, converted_stat)))))</f>
        <v/>
      </c>
      <c r="O115" s="30" t="str">
        <f t="array" ref="O115">IF($A115="", "", LET(bbgm_stat, INDEX(Players!$A114:$P114, MATCH(O$2, Players!$A$1:$P$1, 0)), perc_75, VLOOKUP(O$2, Percentiles!$A$45:$I$59, 6, FALSE), perc_90, VLOOKUP(O$2, Percentiles!$A$45:$I$59, 7, FALSE), perc_95, VLOOKUP(O$2, Percentiles!$A$45:$I$59, 8, FALSE), perc_85, perc_75 + (perc_90 - perc_75) * (2/3), converted_stat, '2K_Ratings'!O115, IF(bbgm_stat &gt;= perc_95, converted_stat * 3, IF(bbgm_stat &gt;= perc_90, converted_stat * 2, IF(bbgm_stat &gt;= perc_85, converted_stat * 1.5, converted_stat)))))</f>
        <v/>
      </c>
      <c r="P115" s="30" t="str">
        <f t="array" ref="P115">IF($A115="", "", LET(bbgm_stat, INDEX(Players!$A114:$P114, MATCH(P$2, Players!$A$1:$P$1, 0)), perc_75, VLOOKUP(P$2, Percentiles!$A$45:$I$59, 6, FALSE), perc_90, VLOOKUP(P$2, Percentiles!$A$45:$I$59, 7, FALSE), perc_95, VLOOKUP(P$2, Percentiles!$A$45:$I$59, 8, FALSE), perc_85, perc_75 + (perc_90 - perc_75) * (2/3), converted_stat, '2K_Ratings'!P115, IF(bbgm_stat &gt;= perc_95, converted_stat * 3, IF(bbgm_stat &gt;= perc_90, converted_stat * 2, IF(bbgm_stat &gt;= perc_85, converted_stat * 1.5, converted_stat)))))</f>
        <v/>
      </c>
      <c r="Q115" s="30" t="str">
        <f t="array" ref="Q115">IF($A115="", "", LET(bbgm_stat, INDEX(Players!$A114:$P114, MATCH(Q$2, Players!$A$1:$P$1, 0)), perc_75, VLOOKUP(Q$2, Percentiles!$A$45:$I$59, 6, FALSE), perc_90, VLOOKUP(Q$2, Percentiles!$A$45:$I$59, 7, FALSE), perc_95, VLOOKUP(Q$2, Percentiles!$A$45:$I$59, 8, FALSE), perc_85, perc_75 + (perc_90 - perc_75) * (2/3), converted_stat, '2K_Ratings'!Q115, IF(bbgm_stat &gt;= perc_95, converted_stat * 3, IF(bbgm_stat &gt;= perc_90, converted_stat * 2, IF(bbgm_stat &gt;= perc_85, converted_stat * 1.5, converted_stat)))))</f>
        <v/>
      </c>
      <c r="R115" s="30" t="str">
        <f t="array" ref="R115">IF($A115="", "", LET(bbgm_stat, INDEX(Players!$A114:$P114, MATCH(R$2, Players!$A$1:$P$1, 0)), perc_75, VLOOKUP(R$2, Percentiles!$A$45:$I$59, 6, FALSE), perc_90, VLOOKUP(R$2, Percentiles!$A$45:$I$59, 7, FALSE), perc_95, VLOOKUP(R$2, Percentiles!$A$45:$I$59, 8, FALSE), perc_85, perc_75 + (perc_90 - perc_75) * (2/3), converted_stat, '2K_Ratings'!R115, IF(bbgm_stat &gt;= perc_95, converted_stat * 3, IF(bbgm_stat &gt;= perc_90, converted_stat * 2, IF(bbgm_stat &gt;= perc_85, converted_stat * 1.5, converted_stat)))))</f>
        <v/>
      </c>
      <c r="S115" s="30" t="str">
        <f t="array" ref="S115">IF($A115="", "", LET(bbgm_stat, INDEX(Players!$A114:$P114, MATCH(S$2, Players!$A$1:$P$1, 0)), perc_75, VLOOKUP(S$2, Percentiles!$A$45:$I$59, 6, FALSE), perc_90, VLOOKUP(S$2, Percentiles!$A$45:$I$59, 7, FALSE), perc_95, VLOOKUP(S$2, Percentiles!$A$45:$I$59, 8, FALSE), perc_85, perc_75 + (perc_90 - perc_75) * (2/3), converted_stat, '2K_Ratings'!S115, IF(bbgm_stat &gt;= perc_95, converted_stat * 3, IF(bbgm_stat &gt;= perc_90, converted_stat * 2, IF(bbgm_stat &gt;= perc_85, converted_stat * 1.5, converted_stat)))))</f>
        <v/>
      </c>
      <c r="T115" s="30" t="str">
        <f t="array" ref="T115">IF($A115="", "", LET(bbgm_stat, INDEX(Players!$A114:$P114, MATCH(T$2, Players!$A$1:$P$1, 0)), perc_75, VLOOKUP(T$2, Percentiles!$A$45:$I$59, 6, FALSE), perc_90, VLOOKUP(T$2, Percentiles!$A$45:$I$59, 7, FALSE), perc_95, VLOOKUP(T$2, Percentiles!$A$45:$I$59, 8, FALSE), perc_85, perc_75 + (perc_90 - perc_75) * (2/3), converted_stat, '2K_Ratings'!T115, IF(bbgm_stat &gt;= perc_95, converted_stat * 3, IF(bbgm_stat &gt;= perc_90, converted_stat * 2, IF(bbgm_stat &gt;= perc_85, converted_stat * 1.5, converted_stat)))))</f>
        <v/>
      </c>
      <c r="U115" s="30" t="str">
        <f t="array" ref="U115">IF($A115="", "", LET(bbgm_stat, INDEX(Players!$A114:$P114, MATCH(U$2, Players!$A$1:$P$1, 0)), perc_75, VLOOKUP(U$2, Percentiles!$A$45:$I$59, 6, FALSE), perc_90, VLOOKUP(U$2, Percentiles!$A$45:$I$59, 7, FALSE), perc_95, VLOOKUP(U$2, Percentiles!$A$45:$I$59, 8, FALSE), perc_85, perc_75 + (perc_90 - perc_75) * (2/3), converted_stat, '2K_Ratings'!U115, IF(bbgm_stat &gt;= perc_95, converted_stat * 3, IF(bbgm_stat &gt;= perc_90, converted_stat * 2, IF(bbgm_stat &gt;= perc_85, converted_stat * 1.5, converted_stat)))))</f>
        <v/>
      </c>
      <c r="V115" s="30" t="str">
        <f t="array" ref="V115">IF($A115="", "", LET(bbgm_stat, INDEX(Players!$A114:$P114, MATCH(V$2, Players!$A$1:$P$1, 0)), perc_75, VLOOKUP(V$2, Percentiles!$A$45:$I$59, 6, FALSE), perc_90, VLOOKUP(V$2, Percentiles!$A$45:$I$59, 7, FALSE), perc_95, VLOOKUP(V$2, Percentiles!$A$45:$I$59, 8, FALSE), perc_85, perc_75 + (perc_90 - perc_75) * (2/3), converted_stat, '2K_Ratings'!V115, IF(bbgm_stat &gt;= perc_95, converted_stat * 3, IF(bbgm_stat &gt;= perc_90, converted_stat * 2, IF(bbgm_stat &gt;= perc_85, converted_stat * 1.5, converted_stat)))))</f>
        <v/>
      </c>
      <c r="W115" s="30" t="str">
        <f t="array" ref="W115">IF($A115="", "", LET(bbgm_stat, INDEX(Players!$A114:$P114, MATCH(W$2, Players!$A$1:$P$1, 0)), perc_75, VLOOKUP(W$2, Percentiles!$A$45:$I$59, 6, FALSE), perc_90, VLOOKUP(W$2, Percentiles!$A$45:$I$59, 7, FALSE), perc_95, VLOOKUP(W$2, Percentiles!$A$45:$I$59, 8, FALSE), perc_85, perc_75 + (perc_90 - perc_75) * (2/3), converted_stat, '2K_Ratings'!W115, IF(bbgm_stat &gt;= perc_95, converted_stat * 3, IF(bbgm_stat &gt;= perc_90, converted_stat * 2, IF(bbgm_stat &gt;= perc_85, converted_stat * 1.5, converted_stat)))))</f>
        <v/>
      </c>
    </row>
    <row r="116">
      <c r="A116" s="30"/>
      <c r="B116" s="30" t="str">
        <f t="array" ref="B116">IF($A116="", "", LET(bbgm_stat, INDEX(Players!$A115:$P115, MATCH(B$2, Players!$A$1:$P$1, 0)), perc_75, VLOOKUP(B$2, Percentiles!$A$45:$I$59, 6, FALSE), perc_90, VLOOKUP(B$2, Percentiles!$A$45:$I$59, 7, FALSE), perc_95, VLOOKUP(B$2, Percentiles!$A$45:$I$59, 8, FALSE), perc_85, perc_75 + (perc_90 - perc_75) * (2/3), converted_stat, '2K_Ratings'!B116, IF(bbgm_stat &gt;= perc_95, converted_stat * 3, IF(bbgm_stat &gt;= perc_90, converted_stat * 2, IF(bbgm_stat &gt;= perc_85, converted_stat * 1.5, converted_stat)))))</f>
        <v/>
      </c>
      <c r="C116" s="30" t="str">
        <f t="array" ref="C116">IF($A116="", "", LET(bbgm_stat, INDEX(Players!$A115:$P115, MATCH(C$2, Players!$A$1:$P$1, 0)), perc_75, VLOOKUP(C$2, Percentiles!$A$45:$I$59, 6, FALSE), perc_90, VLOOKUP(C$2, Percentiles!$A$45:$I$59, 7, FALSE), perc_95, VLOOKUP(C$2, Percentiles!$A$45:$I$59, 8, FALSE), perc_85, perc_75 + (perc_90 - perc_75) * (2/3), converted_stat, '2K_Ratings'!C116, IF(bbgm_stat &gt;= perc_95, converted_stat * 3, IF(bbgm_stat &gt;= perc_90, converted_stat * 2, IF(bbgm_stat &gt;= perc_85, converted_stat * 1.5, converted_stat)))))</f>
        <v/>
      </c>
      <c r="D116" s="30" t="str">
        <f t="array" ref="D116">IF($A116="", "", LET(bbgm_stat, INDEX(Players!$A115:$P115, MATCH(D$2, Players!$A$1:$P$1, 0)), perc_75, VLOOKUP(D$2, Percentiles!$A$45:$I$59, 6, FALSE), perc_90, VLOOKUP(D$2, Percentiles!$A$45:$I$59, 7, FALSE), perc_95, VLOOKUP(D$2, Percentiles!$A$45:$I$59, 8, FALSE), perc_85, perc_75 + (perc_90 - perc_75) * (2/3), converted_stat, '2K_Ratings'!D116, IF(bbgm_stat &gt;= perc_95, converted_stat * 3, IF(bbgm_stat &gt;= perc_90, converted_stat * 2, IF(bbgm_stat &gt;= perc_85, converted_stat * 1.5, converted_stat)))))</f>
        <v/>
      </c>
      <c r="E116" s="30" t="str">
        <f t="array" ref="E116">IF($A116="", "", LET(bbgm_stat, INDEX(Players!$A115:$P115, MATCH(E$2, Players!$A$1:$P$1, 0)), perc_75, VLOOKUP(E$2, Percentiles!$A$45:$I$59, 6, FALSE), perc_90, VLOOKUP(E$2, Percentiles!$A$45:$I$59, 7, FALSE), perc_95, VLOOKUP(E$2, Percentiles!$A$45:$I$59, 8, FALSE), perc_85, perc_75 + (perc_90 - perc_75) * (2/3), converted_stat, '2K_Ratings'!E116, IF(bbgm_stat &gt;= perc_95, converted_stat * 3, IF(bbgm_stat &gt;= perc_90, converted_stat * 2, IF(bbgm_stat &gt;= perc_85, converted_stat * 1.5, converted_stat)))))</f>
        <v/>
      </c>
      <c r="F116" s="30" t="str">
        <f t="array" ref="F116">IF($A116="", "", LET(bbgm_stat, INDEX(Players!$A115:$P115, MATCH(F$2, Players!$A$1:$P$1, 0)), perc_75, VLOOKUP(F$2, Percentiles!$A$45:$I$59, 6, FALSE), perc_90, VLOOKUP(F$2, Percentiles!$A$45:$I$59, 7, FALSE), perc_95, VLOOKUP(F$2, Percentiles!$A$45:$I$59, 8, FALSE), perc_85, perc_75 + (perc_90 - perc_75) * (2/3), converted_stat, '2K_Ratings'!F116, IF(bbgm_stat &gt;= perc_95, converted_stat * 3, IF(bbgm_stat &gt;= perc_90, converted_stat * 2, IF(bbgm_stat &gt;= perc_85, converted_stat * 1.5, converted_stat)))))</f>
        <v/>
      </c>
      <c r="G116" s="30" t="str">
        <f t="array" ref="G116">IF($A116="", "", LET(bbgm_stat, INDEX(Players!$A115:$P115, MATCH(G$2, Players!$A$1:$P$1, 0)), perc_75, VLOOKUP(G$2, Percentiles!$A$45:$I$59, 6, FALSE), perc_90, VLOOKUP(G$2, Percentiles!$A$45:$I$59, 7, FALSE), perc_95, VLOOKUP(G$2, Percentiles!$A$45:$I$59, 8, FALSE), perc_85, perc_75 + (perc_90 - perc_75) * (2/3), converted_stat, '2K_Ratings'!G116, IF(bbgm_stat &gt;= perc_95, converted_stat * 3, IF(bbgm_stat &gt;= perc_90, converted_stat * 2, IF(bbgm_stat &gt;= perc_85, converted_stat * 1.5, converted_stat)))))</f>
        <v/>
      </c>
      <c r="H116" s="30" t="str">
        <f t="array" ref="H116">IF($A116="", "", LET(bbgm_stat, INDEX(Players!$A115:$P115, MATCH(H$2, Players!$A$1:$P$1, 0)), perc_75, VLOOKUP(H$2, Percentiles!$A$45:$I$59, 6, FALSE), perc_90, VLOOKUP(H$2, Percentiles!$A$45:$I$59, 7, FALSE), perc_95, VLOOKUP(H$2, Percentiles!$A$45:$I$59, 8, FALSE), perc_85, perc_75 + (perc_90 - perc_75) * (2/3), converted_stat, '2K_Ratings'!H116, IF(bbgm_stat &gt;= perc_95, converted_stat * 3, IF(bbgm_stat &gt;= perc_90, converted_stat * 2, IF(bbgm_stat &gt;= perc_85, converted_stat * 1.5, converted_stat)))))</f>
        <v/>
      </c>
      <c r="I116" s="30" t="str">
        <f t="array" ref="I116">IF($A116="", "", LET(bbgm_stat, INDEX(Players!$A115:$P115, MATCH(I$2, Players!$A$1:$P$1, 0)), perc_75, VLOOKUP(I$2, Percentiles!$A$45:$I$59, 6, FALSE), perc_90, VLOOKUP(I$2, Percentiles!$A$45:$I$59, 7, FALSE), perc_95, VLOOKUP(I$2, Percentiles!$A$45:$I$59, 8, FALSE), perc_85, perc_75 + (perc_90 - perc_75) * (2/3), converted_stat, '2K_Ratings'!I116, IF(bbgm_stat &gt;= perc_95, converted_stat * 3, IF(bbgm_stat &gt;= perc_90, converted_stat * 2, IF(bbgm_stat &gt;= perc_85, converted_stat * 1.5, converted_stat)))))</f>
        <v/>
      </c>
      <c r="J116" s="30" t="str">
        <f t="array" ref="J116">IF($A116="", "", LET(bbgm_stat, INDEX(Players!$A115:$P115, MATCH(J$2, Players!$A$1:$P$1, 0)), perc_75, VLOOKUP(J$2, Percentiles!$A$45:$I$59, 6, FALSE), perc_90, VLOOKUP(J$2, Percentiles!$A$45:$I$59, 7, FALSE), perc_95, VLOOKUP(J$2, Percentiles!$A$45:$I$59, 8, FALSE), perc_85, perc_75 + (perc_90 - perc_75) * (2/3), converted_stat, '2K_Ratings'!J116, IF(bbgm_stat &gt;= perc_95, converted_stat * 3, IF(bbgm_stat &gt;= perc_90, converted_stat * 2, IF(bbgm_stat &gt;= perc_85, converted_stat * 1.5, converted_stat)))))</f>
        <v/>
      </c>
      <c r="K116" s="30" t="str">
        <f t="array" ref="K116">IF($A116="", "", LET(bbgm_stat, INDEX(Players!$A115:$P115, MATCH(K$2, Players!$A$1:$P$1, 0)), perc_75, VLOOKUP(K$2, Percentiles!$A$45:$I$59, 6, FALSE), perc_90, VLOOKUP(K$2, Percentiles!$A$45:$I$59, 7, FALSE), perc_95, VLOOKUP(K$2, Percentiles!$A$45:$I$59, 8, FALSE), perc_85, perc_75 + (perc_90 - perc_75) * (2/3), converted_stat, '2K_Ratings'!K116, IF(bbgm_stat &gt;= perc_95, converted_stat * 3, IF(bbgm_stat &gt;= perc_90, converted_stat * 2, IF(bbgm_stat &gt;= perc_85, converted_stat * 1.5, converted_stat)))))</f>
        <v/>
      </c>
      <c r="L116" s="30" t="str">
        <f t="array" ref="L116">IF($A116="", "", LET(bbgm_stat, INDEX(Players!$A115:$P115, MATCH(L$2, Players!$A$1:$P$1, 0)), perc_75, VLOOKUP(L$2, Percentiles!$A$45:$I$59, 6, FALSE), perc_90, VLOOKUP(L$2, Percentiles!$A$45:$I$59, 7, FALSE), perc_95, VLOOKUP(L$2, Percentiles!$A$45:$I$59, 8, FALSE), perc_85, perc_75 + (perc_90 - perc_75) * (2/3), converted_stat, '2K_Ratings'!L116, IF(bbgm_stat &gt;= perc_95, converted_stat * 3, IF(bbgm_stat &gt;= perc_90, converted_stat * 2, IF(bbgm_stat &gt;= perc_85, converted_stat * 1.5, converted_stat)))))</f>
        <v/>
      </c>
      <c r="M116" s="30" t="str">
        <f t="array" ref="M116">IF($A116="", "", LET(bbgm_stat, INDEX(Players!$A115:$P115, MATCH(M$2, Players!$A$1:$P$1, 0)), perc_75, VLOOKUP(M$2, Percentiles!$A$45:$I$59, 6, FALSE), perc_90, VLOOKUP(M$2, Percentiles!$A$45:$I$59, 7, FALSE), perc_95, VLOOKUP(M$2, Percentiles!$A$45:$I$59, 8, FALSE), perc_85, perc_75 + (perc_90 - perc_75) * (2/3), converted_stat, '2K_Ratings'!M116, IF(bbgm_stat &gt;= perc_95, converted_stat * 3, IF(bbgm_stat &gt;= perc_90, converted_stat * 2, IF(bbgm_stat &gt;= perc_85, converted_stat * 1.5, converted_stat)))))</f>
        <v/>
      </c>
      <c r="N116" s="30" t="str">
        <f t="array" ref="N116">IF($A116="", "", LET(bbgm_stat, INDEX(Players!$A115:$P115, MATCH(N$2, Players!$A$1:$P$1, 0)), perc_75, VLOOKUP(N$2, Percentiles!$A$45:$I$59, 6, FALSE), perc_90, VLOOKUP(N$2, Percentiles!$A$45:$I$59, 7, FALSE), perc_95, VLOOKUP(N$2, Percentiles!$A$45:$I$59, 8, FALSE), perc_85, perc_75 + (perc_90 - perc_75) * (2/3), converted_stat, '2K_Ratings'!N116, IF(bbgm_stat &gt;= perc_95, converted_stat * 3, IF(bbgm_stat &gt;= perc_90, converted_stat * 2, IF(bbgm_stat &gt;= perc_85, converted_stat * 1.5, converted_stat)))))</f>
        <v/>
      </c>
      <c r="O116" s="30" t="str">
        <f t="array" ref="O116">IF($A116="", "", LET(bbgm_stat, INDEX(Players!$A115:$P115, MATCH(O$2, Players!$A$1:$P$1, 0)), perc_75, VLOOKUP(O$2, Percentiles!$A$45:$I$59, 6, FALSE), perc_90, VLOOKUP(O$2, Percentiles!$A$45:$I$59, 7, FALSE), perc_95, VLOOKUP(O$2, Percentiles!$A$45:$I$59, 8, FALSE), perc_85, perc_75 + (perc_90 - perc_75) * (2/3), converted_stat, '2K_Ratings'!O116, IF(bbgm_stat &gt;= perc_95, converted_stat * 3, IF(bbgm_stat &gt;= perc_90, converted_stat * 2, IF(bbgm_stat &gt;= perc_85, converted_stat * 1.5, converted_stat)))))</f>
        <v/>
      </c>
      <c r="P116" s="30" t="str">
        <f t="array" ref="P116">IF($A116="", "", LET(bbgm_stat, INDEX(Players!$A115:$P115, MATCH(P$2, Players!$A$1:$P$1, 0)), perc_75, VLOOKUP(P$2, Percentiles!$A$45:$I$59, 6, FALSE), perc_90, VLOOKUP(P$2, Percentiles!$A$45:$I$59, 7, FALSE), perc_95, VLOOKUP(P$2, Percentiles!$A$45:$I$59, 8, FALSE), perc_85, perc_75 + (perc_90 - perc_75) * (2/3), converted_stat, '2K_Ratings'!P116, IF(bbgm_stat &gt;= perc_95, converted_stat * 3, IF(bbgm_stat &gt;= perc_90, converted_stat * 2, IF(bbgm_stat &gt;= perc_85, converted_stat * 1.5, converted_stat)))))</f>
        <v/>
      </c>
      <c r="Q116" s="30" t="str">
        <f t="array" ref="Q116">IF($A116="", "", LET(bbgm_stat, INDEX(Players!$A115:$P115, MATCH(Q$2, Players!$A$1:$P$1, 0)), perc_75, VLOOKUP(Q$2, Percentiles!$A$45:$I$59, 6, FALSE), perc_90, VLOOKUP(Q$2, Percentiles!$A$45:$I$59, 7, FALSE), perc_95, VLOOKUP(Q$2, Percentiles!$A$45:$I$59, 8, FALSE), perc_85, perc_75 + (perc_90 - perc_75) * (2/3), converted_stat, '2K_Ratings'!Q116, IF(bbgm_stat &gt;= perc_95, converted_stat * 3, IF(bbgm_stat &gt;= perc_90, converted_stat * 2, IF(bbgm_stat &gt;= perc_85, converted_stat * 1.5, converted_stat)))))</f>
        <v/>
      </c>
      <c r="R116" s="30" t="str">
        <f t="array" ref="R116">IF($A116="", "", LET(bbgm_stat, INDEX(Players!$A115:$P115, MATCH(R$2, Players!$A$1:$P$1, 0)), perc_75, VLOOKUP(R$2, Percentiles!$A$45:$I$59, 6, FALSE), perc_90, VLOOKUP(R$2, Percentiles!$A$45:$I$59, 7, FALSE), perc_95, VLOOKUP(R$2, Percentiles!$A$45:$I$59, 8, FALSE), perc_85, perc_75 + (perc_90 - perc_75) * (2/3), converted_stat, '2K_Ratings'!R116, IF(bbgm_stat &gt;= perc_95, converted_stat * 3, IF(bbgm_stat &gt;= perc_90, converted_stat * 2, IF(bbgm_stat &gt;= perc_85, converted_stat * 1.5, converted_stat)))))</f>
        <v/>
      </c>
      <c r="S116" s="30" t="str">
        <f t="array" ref="S116">IF($A116="", "", LET(bbgm_stat, INDEX(Players!$A115:$P115, MATCH(S$2, Players!$A$1:$P$1, 0)), perc_75, VLOOKUP(S$2, Percentiles!$A$45:$I$59, 6, FALSE), perc_90, VLOOKUP(S$2, Percentiles!$A$45:$I$59, 7, FALSE), perc_95, VLOOKUP(S$2, Percentiles!$A$45:$I$59, 8, FALSE), perc_85, perc_75 + (perc_90 - perc_75) * (2/3), converted_stat, '2K_Ratings'!S116, IF(bbgm_stat &gt;= perc_95, converted_stat * 3, IF(bbgm_stat &gt;= perc_90, converted_stat * 2, IF(bbgm_stat &gt;= perc_85, converted_stat * 1.5, converted_stat)))))</f>
        <v/>
      </c>
      <c r="T116" s="30" t="str">
        <f t="array" ref="T116">IF($A116="", "", LET(bbgm_stat, INDEX(Players!$A115:$P115, MATCH(T$2, Players!$A$1:$P$1, 0)), perc_75, VLOOKUP(T$2, Percentiles!$A$45:$I$59, 6, FALSE), perc_90, VLOOKUP(T$2, Percentiles!$A$45:$I$59, 7, FALSE), perc_95, VLOOKUP(T$2, Percentiles!$A$45:$I$59, 8, FALSE), perc_85, perc_75 + (perc_90 - perc_75) * (2/3), converted_stat, '2K_Ratings'!T116, IF(bbgm_stat &gt;= perc_95, converted_stat * 3, IF(bbgm_stat &gt;= perc_90, converted_stat * 2, IF(bbgm_stat &gt;= perc_85, converted_stat * 1.5, converted_stat)))))</f>
        <v/>
      </c>
      <c r="U116" s="30" t="str">
        <f t="array" ref="U116">IF($A116="", "", LET(bbgm_stat, INDEX(Players!$A115:$P115, MATCH(U$2, Players!$A$1:$P$1, 0)), perc_75, VLOOKUP(U$2, Percentiles!$A$45:$I$59, 6, FALSE), perc_90, VLOOKUP(U$2, Percentiles!$A$45:$I$59, 7, FALSE), perc_95, VLOOKUP(U$2, Percentiles!$A$45:$I$59, 8, FALSE), perc_85, perc_75 + (perc_90 - perc_75) * (2/3), converted_stat, '2K_Ratings'!U116, IF(bbgm_stat &gt;= perc_95, converted_stat * 3, IF(bbgm_stat &gt;= perc_90, converted_stat * 2, IF(bbgm_stat &gt;= perc_85, converted_stat * 1.5, converted_stat)))))</f>
        <v/>
      </c>
      <c r="V116" s="30" t="str">
        <f t="array" ref="V116">IF($A116="", "", LET(bbgm_stat, INDEX(Players!$A115:$P115, MATCH(V$2, Players!$A$1:$P$1, 0)), perc_75, VLOOKUP(V$2, Percentiles!$A$45:$I$59, 6, FALSE), perc_90, VLOOKUP(V$2, Percentiles!$A$45:$I$59, 7, FALSE), perc_95, VLOOKUP(V$2, Percentiles!$A$45:$I$59, 8, FALSE), perc_85, perc_75 + (perc_90 - perc_75) * (2/3), converted_stat, '2K_Ratings'!V116, IF(bbgm_stat &gt;= perc_95, converted_stat * 3, IF(bbgm_stat &gt;= perc_90, converted_stat * 2, IF(bbgm_stat &gt;= perc_85, converted_stat * 1.5, converted_stat)))))</f>
        <v/>
      </c>
      <c r="W116" s="30" t="str">
        <f t="array" ref="W116">IF($A116="", "", LET(bbgm_stat, INDEX(Players!$A115:$P115, MATCH(W$2, Players!$A$1:$P$1, 0)), perc_75, VLOOKUP(W$2, Percentiles!$A$45:$I$59, 6, FALSE), perc_90, VLOOKUP(W$2, Percentiles!$A$45:$I$59, 7, FALSE), perc_95, VLOOKUP(W$2, Percentiles!$A$45:$I$59, 8, FALSE), perc_85, perc_75 + (perc_90 - perc_75) * (2/3), converted_stat, '2K_Ratings'!W116, IF(bbgm_stat &gt;= perc_95, converted_stat * 3, IF(bbgm_stat &gt;= perc_90, converted_stat * 2, IF(bbgm_stat &gt;= perc_85, converted_stat * 1.5, converted_stat)))))</f>
        <v/>
      </c>
    </row>
    <row r="117">
      <c r="A117" s="30"/>
      <c r="B117" s="30" t="str">
        <f t="array" ref="B117">IF($A117="", "", LET(bbgm_stat, INDEX(Players!$A116:$P116, MATCH(B$2, Players!$A$1:$P$1, 0)), perc_75, VLOOKUP(B$2, Percentiles!$A$45:$I$59, 6, FALSE), perc_90, VLOOKUP(B$2, Percentiles!$A$45:$I$59, 7, FALSE), perc_95, VLOOKUP(B$2, Percentiles!$A$45:$I$59, 8, FALSE), perc_85, perc_75 + (perc_90 - perc_75) * (2/3), converted_stat, '2K_Ratings'!B117, IF(bbgm_stat &gt;= perc_95, converted_stat * 3, IF(bbgm_stat &gt;= perc_90, converted_stat * 2, IF(bbgm_stat &gt;= perc_85, converted_stat * 1.5, converted_stat)))))</f>
        <v/>
      </c>
      <c r="C117" s="30" t="str">
        <f t="array" ref="C117">IF($A117="", "", LET(bbgm_stat, INDEX(Players!$A116:$P116, MATCH(C$2, Players!$A$1:$P$1, 0)), perc_75, VLOOKUP(C$2, Percentiles!$A$45:$I$59, 6, FALSE), perc_90, VLOOKUP(C$2, Percentiles!$A$45:$I$59, 7, FALSE), perc_95, VLOOKUP(C$2, Percentiles!$A$45:$I$59, 8, FALSE), perc_85, perc_75 + (perc_90 - perc_75) * (2/3), converted_stat, '2K_Ratings'!C117, IF(bbgm_stat &gt;= perc_95, converted_stat * 3, IF(bbgm_stat &gt;= perc_90, converted_stat * 2, IF(bbgm_stat &gt;= perc_85, converted_stat * 1.5, converted_stat)))))</f>
        <v/>
      </c>
      <c r="D117" s="30" t="str">
        <f t="array" ref="D117">IF($A117="", "", LET(bbgm_stat, INDEX(Players!$A116:$P116, MATCH(D$2, Players!$A$1:$P$1, 0)), perc_75, VLOOKUP(D$2, Percentiles!$A$45:$I$59, 6, FALSE), perc_90, VLOOKUP(D$2, Percentiles!$A$45:$I$59, 7, FALSE), perc_95, VLOOKUP(D$2, Percentiles!$A$45:$I$59, 8, FALSE), perc_85, perc_75 + (perc_90 - perc_75) * (2/3), converted_stat, '2K_Ratings'!D117, IF(bbgm_stat &gt;= perc_95, converted_stat * 3, IF(bbgm_stat &gt;= perc_90, converted_stat * 2, IF(bbgm_stat &gt;= perc_85, converted_stat * 1.5, converted_stat)))))</f>
        <v/>
      </c>
      <c r="E117" s="30" t="str">
        <f t="array" ref="E117">IF($A117="", "", LET(bbgm_stat, INDEX(Players!$A116:$P116, MATCH(E$2, Players!$A$1:$P$1, 0)), perc_75, VLOOKUP(E$2, Percentiles!$A$45:$I$59, 6, FALSE), perc_90, VLOOKUP(E$2, Percentiles!$A$45:$I$59, 7, FALSE), perc_95, VLOOKUP(E$2, Percentiles!$A$45:$I$59, 8, FALSE), perc_85, perc_75 + (perc_90 - perc_75) * (2/3), converted_stat, '2K_Ratings'!E117, IF(bbgm_stat &gt;= perc_95, converted_stat * 3, IF(bbgm_stat &gt;= perc_90, converted_stat * 2, IF(bbgm_stat &gt;= perc_85, converted_stat * 1.5, converted_stat)))))</f>
        <v/>
      </c>
      <c r="F117" s="30" t="str">
        <f t="array" ref="F117">IF($A117="", "", LET(bbgm_stat, INDEX(Players!$A116:$P116, MATCH(F$2, Players!$A$1:$P$1, 0)), perc_75, VLOOKUP(F$2, Percentiles!$A$45:$I$59, 6, FALSE), perc_90, VLOOKUP(F$2, Percentiles!$A$45:$I$59, 7, FALSE), perc_95, VLOOKUP(F$2, Percentiles!$A$45:$I$59, 8, FALSE), perc_85, perc_75 + (perc_90 - perc_75) * (2/3), converted_stat, '2K_Ratings'!F117, IF(bbgm_stat &gt;= perc_95, converted_stat * 3, IF(bbgm_stat &gt;= perc_90, converted_stat * 2, IF(bbgm_stat &gt;= perc_85, converted_stat * 1.5, converted_stat)))))</f>
        <v/>
      </c>
      <c r="G117" s="30" t="str">
        <f t="array" ref="G117">IF($A117="", "", LET(bbgm_stat, INDEX(Players!$A116:$P116, MATCH(G$2, Players!$A$1:$P$1, 0)), perc_75, VLOOKUP(G$2, Percentiles!$A$45:$I$59, 6, FALSE), perc_90, VLOOKUP(G$2, Percentiles!$A$45:$I$59, 7, FALSE), perc_95, VLOOKUP(G$2, Percentiles!$A$45:$I$59, 8, FALSE), perc_85, perc_75 + (perc_90 - perc_75) * (2/3), converted_stat, '2K_Ratings'!G117, IF(bbgm_stat &gt;= perc_95, converted_stat * 3, IF(bbgm_stat &gt;= perc_90, converted_stat * 2, IF(bbgm_stat &gt;= perc_85, converted_stat * 1.5, converted_stat)))))</f>
        <v/>
      </c>
      <c r="H117" s="30" t="str">
        <f t="array" ref="H117">IF($A117="", "", LET(bbgm_stat, INDEX(Players!$A116:$P116, MATCH(H$2, Players!$A$1:$P$1, 0)), perc_75, VLOOKUP(H$2, Percentiles!$A$45:$I$59, 6, FALSE), perc_90, VLOOKUP(H$2, Percentiles!$A$45:$I$59, 7, FALSE), perc_95, VLOOKUP(H$2, Percentiles!$A$45:$I$59, 8, FALSE), perc_85, perc_75 + (perc_90 - perc_75) * (2/3), converted_stat, '2K_Ratings'!H117, IF(bbgm_stat &gt;= perc_95, converted_stat * 3, IF(bbgm_stat &gt;= perc_90, converted_stat * 2, IF(bbgm_stat &gt;= perc_85, converted_stat * 1.5, converted_stat)))))</f>
        <v/>
      </c>
      <c r="I117" s="30" t="str">
        <f t="array" ref="I117">IF($A117="", "", LET(bbgm_stat, INDEX(Players!$A116:$P116, MATCH(I$2, Players!$A$1:$P$1, 0)), perc_75, VLOOKUP(I$2, Percentiles!$A$45:$I$59, 6, FALSE), perc_90, VLOOKUP(I$2, Percentiles!$A$45:$I$59, 7, FALSE), perc_95, VLOOKUP(I$2, Percentiles!$A$45:$I$59, 8, FALSE), perc_85, perc_75 + (perc_90 - perc_75) * (2/3), converted_stat, '2K_Ratings'!I117, IF(bbgm_stat &gt;= perc_95, converted_stat * 3, IF(bbgm_stat &gt;= perc_90, converted_stat * 2, IF(bbgm_stat &gt;= perc_85, converted_stat * 1.5, converted_stat)))))</f>
        <v/>
      </c>
      <c r="J117" s="30" t="str">
        <f t="array" ref="J117">IF($A117="", "", LET(bbgm_stat, INDEX(Players!$A116:$P116, MATCH(J$2, Players!$A$1:$P$1, 0)), perc_75, VLOOKUP(J$2, Percentiles!$A$45:$I$59, 6, FALSE), perc_90, VLOOKUP(J$2, Percentiles!$A$45:$I$59, 7, FALSE), perc_95, VLOOKUP(J$2, Percentiles!$A$45:$I$59, 8, FALSE), perc_85, perc_75 + (perc_90 - perc_75) * (2/3), converted_stat, '2K_Ratings'!J117, IF(bbgm_stat &gt;= perc_95, converted_stat * 3, IF(bbgm_stat &gt;= perc_90, converted_stat * 2, IF(bbgm_stat &gt;= perc_85, converted_stat * 1.5, converted_stat)))))</f>
        <v/>
      </c>
      <c r="K117" s="30" t="str">
        <f t="array" ref="K117">IF($A117="", "", LET(bbgm_stat, INDEX(Players!$A116:$P116, MATCH(K$2, Players!$A$1:$P$1, 0)), perc_75, VLOOKUP(K$2, Percentiles!$A$45:$I$59, 6, FALSE), perc_90, VLOOKUP(K$2, Percentiles!$A$45:$I$59, 7, FALSE), perc_95, VLOOKUP(K$2, Percentiles!$A$45:$I$59, 8, FALSE), perc_85, perc_75 + (perc_90 - perc_75) * (2/3), converted_stat, '2K_Ratings'!K117, IF(bbgm_stat &gt;= perc_95, converted_stat * 3, IF(bbgm_stat &gt;= perc_90, converted_stat * 2, IF(bbgm_stat &gt;= perc_85, converted_stat * 1.5, converted_stat)))))</f>
        <v/>
      </c>
      <c r="L117" s="30" t="str">
        <f t="array" ref="L117">IF($A117="", "", LET(bbgm_stat, INDEX(Players!$A116:$P116, MATCH(L$2, Players!$A$1:$P$1, 0)), perc_75, VLOOKUP(L$2, Percentiles!$A$45:$I$59, 6, FALSE), perc_90, VLOOKUP(L$2, Percentiles!$A$45:$I$59, 7, FALSE), perc_95, VLOOKUP(L$2, Percentiles!$A$45:$I$59, 8, FALSE), perc_85, perc_75 + (perc_90 - perc_75) * (2/3), converted_stat, '2K_Ratings'!L117, IF(bbgm_stat &gt;= perc_95, converted_stat * 3, IF(bbgm_stat &gt;= perc_90, converted_stat * 2, IF(bbgm_stat &gt;= perc_85, converted_stat * 1.5, converted_stat)))))</f>
        <v/>
      </c>
      <c r="M117" s="30" t="str">
        <f t="array" ref="M117">IF($A117="", "", LET(bbgm_stat, INDEX(Players!$A116:$P116, MATCH(M$2, Players!$A$1:$P$1, 0)), perc_75, VLOOKUP(M$2, Percentiles!$A$45:$I$59, 6, FALSE), perc_90, VLOOKUP(M$2, Percentiles!$A$45:$I$59, 7, FALSE), perc_95, VLOOKUP(M$2, Percentiles!$A$45:$I$59, 8, FALSE), perc_85, perc_75 + (perc_90 - perc_75) * (2/3), converted_stat, '2K_Ratings'!M117, IF(bbgm_stat &gt;= perc_95, converted_stat * 3, IF(bbgm_stat &gt;= perc_90, converted_stat * 2, IF(bbgm_stat &gt;= perc_85, converted_stat * 1.5, converted_stat)))))</f>
        <v/>
      </c>
      <c r="N117" s="30" t="str">
        <f t="array" ref="N117">IF($A117="", "", LET(bbgm_stat, INDEX(Players!$A116:$P116, MATCH(N$2, Players!$A$1:$P$1, 0)), perc_75, VLOOKUP(N$2, Percentiles!$A$45:$I$59, 6, FALSE), perc_90, VLOOKUP(N$2, Percentiles!$A$45:$I$59, 7, FALSE), perc_95, VLOOKUP(N$2, Percentiles!$A$45:$I$59, 8, FALSE), perc_85, perc_75 + (perc_90 - perc_75) * (2/3), converted_stat, '2K_Ratings'!N117, IF(bbgm_stat &gt;= perc_95, converted_stat * 3, IF(bbgm_stat &gt;= perc_90, converted_stat * 2, IF(bbgm_stat &gt;= perc_85, converted_stat * 1.5, converted_stat)))))</f>
        <v/>
      </c>
      <c r="O117" s="30" t="str">
        <f t="array" ref="O117">IF($A117="", "", LET(bbgm_stat, INDEX(Players!$A116:$P116, MATCH(O$2, Players!$A$1:$P$1, 0)), perc_75, VLOOKUP(O$2, Percentiles!$A$45:$I$59, 6, FALSE), perc_90, VLOOKUP(O$2, Percentiles!$A$45:$I$59, 7, FALSE), perc_95, VLOOKUP(O$2, Percentiles!$A$45:$I$59, 8, FALSE), perc_85, perc_75 + (perc_90 - perc_75) * (2/3), converted_stat, '2K_Ratings'!O117, IF(bbgm_stat &gt;= perc_95, converted_stat * 3, IF(bbgm_stat &gt;= perc_90, converted_stat * 2, IF(bbgm_stat &gt;= perc_85, converted_stat * 1.5, converted_stat)))))</f>
        <v/>
      </c>
      <c r="P117" s="30" t="str">
        <f t="array" ref="P117">IF($A117="", "", LET(bbgm_stat, INDEX(Players!$A116:$P116, MATCH(P$2, Players!$A$1:$P$1, 0)), perc_75, VLOOKUP(P$2, Percentiles!$A$45:$I$59, 6, FALSE), perc_90, VLOOKUP(P$2, Percentiles!$A$45:$I$59, 7, FALSE), perc_95, VLOOKUP(P$2, Percentiles!$A$45:$I$59, 8, FALSE), perc_85, perc_75 + (perc_90 - perc_75) * (2/3), converted_stat, '2K_Ratings'!P117, IF(bbgm_stat &gt;= perc_95, converted_stat * 3, IF(bbgm_stat &gt;= perc_90, converted_stat * 2, IF(bbgm_stat &gt;= perc_85, converted_stat * 1.5, converted_stat)))))</f>
        <v/>
      </c>
      <c r="Q117" s="30" t="str">
        <f t="array" ref="Q117">IF($A117="", "", LET(bbgm_stat, INDEX(Players!$A116:$P116, MATCH(Q$2, Players!$A$1:$P$1, 0)), perc_75, VLOOKUP(Q$2, Percentiles!$A$45:$I$59, 6, FALSE), perc_90, VLOOKUP(Q$2, Percentiles!$A$45:$I$59, 7, FALSE), perc_95, VLOOKUP(Q$2, Percentiles!$A$45:$I$59, 8, FALSE), perc_85, perc_75 + (perc_90 - perc_75) * (2/3), converted_stat, '2K_Ratings'!Q117, IF(bbgm_stat &gt;= perc_95, converted_stat * 3, IF(bbgm_stat &gt;= perc_90, converted_stat * 2, IF(bbgm_stat &gt;= perc_85, converted_stat * 1.5, converted_stat)))))</f>
        <v/>
      </c>
      <c r="R117" s="30" t="str">
        <f t="array" ref="R117">IF($A117="", "", LET(bbgm_stat, INDEX(Players!$A116:$P116, MATCH(R$2, Players!$A$1:$P$1, 0)), perc_75, VLOOKUP(R$2, Percentiles!$A$45:$I$59, 6, FALSE), perc_90, VLOOKUP(R$2, Percentiles!$A$45:$I$59, 7, FALSE), perc_95, VLOOKUP(R$2, Percentiles!$A$45:$I$59, 8, FALSE), perc_85, perc_75 + (perc_90 - perc_75) * (2/3), converted_stat, '2K_Ratings'!R117, IF(bbgm_stat &gt;= perc_95, converted_stat * 3, IF(bbgm_stat &gt;= perc_90, converted_stat * 2, IF(bbgm_stat &gt;= perc_85, converted_stat * 1.5, converted_stat)))))</f>
        <v/>
      </c>
      <c r="S117" s="30" t="str">
        <f t="array" ref="S117">IF($A117="", "", LET(bbgm_stat, INDEX(Players!$A116:$P116, MATCH(S$2, Players!$A$1:$P$1, 0)), perc_75, VLOOKUP(S$2, Percentiles!$A$45:$I$59, 6, FALSE), perc_90, VLOOKUP(S$2, Percentiles!$A$45:$I$59, 7, FALSE), perc_95, VLOOKUP(S$2, Percentiles!$A$45:$I$59, 8, FALSE), perc_85, perc_75 + (perc_90 - perc_75) * (2/3), converted_stat, '2K_Ratings'!S117, IF(bbgm_stat &gt;= perc_95, converted_stat * 3, IF(bbgm_stat &gt;= perc_90, converted_stat * 2, IF(bbgm_stat &gt;= perc_85, converted_stat * 1.5, converted_stat)))))</f>
        <v/>
      </c>
      <c r="T117" s="30" t="str">
        <f t="array" ref="T117">IF($A117="", "", LET(bbgm_stat, INDEX(Players!$A116:$P116, MATCH(T$2, Players!$A$1:$P$1, 0)), perc_75, VLOOKUP(T$2, Percentiles!$A$45:$I$59, 6, FALSE), perc_90, VLOOKUP(T$2, Percentiles!$A$45:$I$59, 7, FALSE), perc_95, VLOOKUP(T$2, Percentiles!$A$45:$I$59, 8, FALSE), perc_85, perc_75 + (perc_90 - perc_75) * (2/3), converted_stat, '2K_Ratings'!T117, IF(bbgm_stat &gt;= perc_95, converted_stat * 3, IF(bbgm_stat &gt;= perc_90, converted_stat * 2, IF(bbgm_stat &gt;= perc_85, converted_stat * 1.5, converted_stat)))))</f>
        <v/>
      </c>
      <c r="U117" s="30" t="str">
        <f t="array" ref="U117">IF($A117="", "", LET(bbgm_stat, INDEX(Players!$A116:$P116, MATCH(U$2, Players!$A$1:$P$1, 0)), perc_75, VLOOKUP(U$2, Percentiles!$A$45:$I$59, 6, FALSE), perc_90, VLOOKUP(U$2, Percentiles!$A$45:$I$59, 7, FALSE), perc_95, VLOOKUP(U$2, Percentiles!$A$45:$I$59, 8, FALSE), perc_85, perc_75 + (perc_90 - perc_75) * (2/3), converted_stat, '2K_Ratings'!U117, IF(bbgm_stat &gt;= perc_95, converted_stat * 3, IF(bbgm_stat &gt;= perc_90, converted_stat * 2, IF(bbgm_stat &gt;= perc_85, converted_stat * 1.5, converted_stat)))))</f>
        <v/>
      </c>
      <c r="V117" s="30" t="str">
        <f t="array" ref="V117">IF($A117="", "", LET(bbgm_stat, INDEX(Players!$A116:$P116, MATCH(V$2, Players!$A$1:$P$1, 0)), perc_75, VLOOKUP(V$2, Percentiles!$A$45:$I$59, 6, FALSE), perc_90, VLOOKUP(V$2, Percentiles!$A$45:$I$59, 7, FALSE), perc_95, VLOOKUP(V$2, Percentiles!$A$45:$I$59, 8, FALSE), perc_85, perc_75 + (perc_90 - perc_75) * (2/3), converted_stat, '2K_Ratings'!V117, IF(bbgm_stat &gt;= perc_95, converted_stat * 3, IF(bbgm_stat &gt;= perc_90, converted_stat * 2, IF(bbgm_stat &gt;= perc_85, converted_stat * 1.5, converted_stat)))))</f>
        <v/>
      </c>
      <c r="W117" s="30" t="str">
        <f t="array" ref="W117">IF($A117="", "", LET(bbgm_stat, INDEX(Players!$A116:$P116, MATCH(W$2, Players!$A$1:$P$1, 0)), perc_75, VLOOKUP(W$2, Percentiles!$A$45:$I$59, 6, FALSE), perc_90, VLOOKUP(W$2, Percentiles!$A$45:$I$59, 7, FALSE), perc_95, VLOOKUP(W$2, Percentiles!$A$45:$I$59, 8, FALSE), perc_85, perc_75 + (perc_90 - perc_75) * (2/3), converted_stat, '2K_Ratings'!W117, IF(bbgm_stat &gt;= perc_95, converted_stat * 3, IF(bbgm_stat &gt;= perc_90, converted_stat * 2, IF(bbgm_stat &gt;= perc_85, converted_stat * 1.5, converted_stat)))))</f>
        <v/>
      </c>
    </row>
    <row r="118">
      <c r="A118" s="30"/>
      <c r="B118" s="30" t="str">
        <f t="array" ref="B118">IF($A118="", "", LET(bbgm_stat, INDEX(Players!$A117:$P117, MATCH(B$2, Players!$A$1:$P$1, 0)), perc_75, VLOOKUP(B$2, Percentiles!$A$45:$I$59, 6, FALSE), perc_90, VLOOKUP(B$2, Percentiles!$A$45:$I$59, 7, FALSE), perc_95, VLOOKUP(B$2, Percentiles!$A$45:$I$59, 8, FALSE), perc_85, perc_75 + (perc_90 - perc_75) * (2/3), converted_stat, '2K_Ratings'!B118, IF(bbgm_stat &gt;= perc_95, converted_stat * 3, IF(bbgm_stat &gt;= perc_90, converted_stat * 2, IF(bbgm_stat &gt;= perc_85, converted_stat * 1.5, converted_stat)))))</f>
        <v/>
      </c>
      <c r="C118" s="30" t="str">
        <f t="array" ref="C118">IF($A118="", "", LET(bbgm_stat, INDEX(Players!$A117:$P117, MATCH(C$2, Players!$A$1:$P$1, 0)), perc_75, VLOOKUP(C$2, Percentiles!$A$45:$I$59, 6, FALSE), perc_90, VLOOKUP(C$2, Percentiles!$A$45:$I$59, 7, FALSE), perc_95, VLOOKUP(C$2, Percentiles!$A$45:$I$59, 8, FALSE), perc_85, perc_75 + (perc_90 - perc_75) * (2/3), converted_stat, '2K_Ratings'!C118, IF(bbgm_stat &gt;= perc_95, converted_stat * 3, IF(bbgm_stat &gt;= perc_90, converted_stat * 2, IF(bbgm_stat &gt;= perc_85, converted_stat * 1.5, converted_stat)))))</f>
        <v/>
      </c>
      <c r="D118" s="30" t="str">
        <f t="array" ref="D118">IF($A118="", "", LET(bbgm_stat, INDEX(Players!$A117:$P117, MATCH(D$2, Players!$A$1:$P$1, 0)), perc_75, VLOOKUP(D$2, Percentiles!$A$45:$I$59, 6, FALSE), perc_90, VLOOKUP(D$2, Percentiles!$A$45:$I$59, 7, FALSE), perc_95, VLOOKUP(D$2, Percentiles!$A$45:$I$59, 8, FALSE), perc_85, perc_75 + (perc_90 - perc_75) * (2/3), converted_stat, '2K_Ratings'!D118, IF(bbgm_stat &gt;= perc_95, converted_stat * 3, IF(bbgm_stat &gt;= perc_90, converted_stat * 2, IF(bbgm_stat &gt;= perc_85, converted_stat * 1.5, converted_stat)))))</f>
        <v/>
      </c>
      <c r="E118" s="30" t="str">
        <f t="array" ref="E118">IF($A118="", "", LET(bbgm_stat, INDEX(Players!$A117:$P117, MATCH(E$2, Players!$A$1:$P$1, 0)), perc_75, VLOOKUP(E$2, Percentiles!$A$45:$I$59, 6, FALSE), perc_90, VLOOKUP(E$2, Percentiles!$A$45:$I$59, 7, FALSE), perc_95, VLOOKUP(E$2, Percentiles!$A$45:$I$59, 8, FALSE), perc_85, perc_75 + (perc_90 - perc_75) * (2/3), converted_stat, '2K_Ratings'!E118, IF(bbgm_stat &gt;= perc_95, converted_stat * 3, IF(bbgm_stat &gt;= perc_90, converted_stat * 2, IF(bbgm_stat &gt;= perc_85, converted_stat * 1.5, converted_stat)))))</f>
        <v/>
      </c>
      <c r="F118" s="30" t="str">
        <f t="array" ref="F118">IF($A118="", "", LET(bbgm_stat, INDEX(Players!$A117:$P117, MATCH(F$2, Players!$A$1:$P$1, 0)), perc_75, VLOOKUP(F$2, Percentiles!$A$45:$I$59, 6, FALSE), perc_90, VLOOKUP(F$2, Percentiles!$A$45:$I$59, 7, FALSE), perc_95, VLOOKUP(F$2, Percentiles!$A$45:$I$59, 8, FALSE), perc_85, perc_75 + (perc_90 - perc_75) * (2/3), converted_stat, '2K_Ratings'!F118, IF(bbgm_stat &gt;= perc_95, converted_stat * 3, IF(bbgm_stat &gt;= perc_90, converted_stat * 2, IF(bbgm_stat &gt;= perc_85, converted_stat * 1.5, converted_stat)))))</f>
        <v/>
      </c>
      <c r="G118" s="30" t="str">
        <f t="array" ref="G118">IF($A118="", "", LET(bbgm_stat, INDEX(Players!$A117:$P117, MATCH(G$2, Players!$A$1:$P$1, 0)), perc_75, VLOOKUP(G$2, Percentiles!$A$45:$I$59, 6, FALSE), perc_90, VLOOKUP(G$2, Percentiles!$A$45:$I$59, 7, FALSE), perc_95, VLOOKUP(G$2, Percentiles!$A$45:$I$59, 8, FALSE), perc_85, perc_75 + (perc_90 - perc_75) * (2/3), converted_stat, '2K_Ratings'!G118, IF(bbgm_stat &gt;= perc_95, converted_stat * 3, IF(bbgm_stat &gt;= perc_90, converted_stat * 2, IF(bbgm_stat &gt;= perc_85, converted_stat * 1.5, converted_stat)))))</f>
        <v/>
      </c>
      <c r="H118" s="30" t="str">
        <f t="array" ref="H118">IF($A118="", "", LET(bbgm_stat, INDEX(Players!$A117:$P117, MATCH(H$2, Players!$A$1:$P$1, 0)), perc_75, VLOOKUP(H$2, Percentiles!$A$45:$I$59, 6, FALSE), perc_90, VLOOKUP(H$2, Percentiles!$A$45:$I$59, 7, FALSE), perc_95, VLOOKUP(H$2, Percentiles!$A$45:$I$59, 8, FALSE), perc_85, perc_75 + (perc_90 - perc_75) * (2/3), converted_stat, '2K_Ratings'!H118, IF(bbgm_stat &gt;= perc_95, converted_stat * 3, IF(bbgm_stat &gt;= perc_90, converted_stat * 2, IF(bbgm_stat &gt;= perc_85, converted_stat * 1.5, converted_stat)))))</f>
        <v/>
      </c>
      <c r="I118" s="30" t="str">
        <f t="array" ref="I118">IF($A118="", "", LET(bbgm_stat, INDEX(Players!$A117:$P117, MATCH(I$2, Players!$A$1:$P$1, 0)), perc_75, VLOOKUP(I$2, Percentiles!$A$45:$I$59, 6, FALSE), perc_90, VLOOKUP(I$2, Percentiles!$A$45:$I$59, 7, FALSE), perc_95, VLOOKUP(I$2, Percentiles!$A$45:$I$59, 8, FALSE), perc_85, perc_75 + (perc_90 - perc_75) * (2/3), converted_stat, '2K_Ratings'!I118, IF(bbgm_stat &gt;= perc_95, converted_stat * 3, IF(bbgm_stat &gt;= perc_90, converted_stat * 2, IF(bbgm_stat &gt;= perc_85, converted_stat * 1.5, converted_stat)))))</f>
        <v/>
      </c>
      <c r="J118" s="30" t="str">
        <f t="array" ref="J118">IF($A118="", "", LET(bbgm_stat, INDEX(Players!$A117:$P117, MATCH(J$2, Players!$A$1:$P$1, 0)), perc_75, VLOOKUP(J$2, Percentiles!$A$45:$I$59, 6, FALSE), perc_90, VLOOKUP(J$2, Percentiles!$A$45:$I$59, 7, FALSE), perc_95, VLOOKUP(J$2, Percentiles!$A$45:$I$59, 8, FALSE), perc_85, perc_75 + (perc_90 - perc_75) * (2/3), converted_stat, '2K_Ratings'!J118, IF(bbgm_stat &gt;= perc_95, converted_stat * 3, IF(bbgm_stat &gt;= perc_90, converted_stat * 2, IF(bbgm_stat &gt;= perc_85, converted_stat * 1.5, converted_stat)))))</f>
        <v/>
      </c>
      <c r="K118" s="30" t="str">
        <f t="array" ref="K118">IF($A118="", "", LET(bbgm_stat, INDEX(Players!$A117:$P117, MATCH(K$2, Players!$A$1:$P$1, 0)), perc_75, VLOOKUP(K$2, Percentiles!$A$45:$I$59, 6, FALSE), perc_90, VLOOKUP(K$2, Percentiles!$A$45:$I$59, 7, FALSE), perc_95, VLOOKUP(K$2, Percentiles!$A$45:$I$59, 8, FALSE), perc_85, perc_75 + (perc_90 - perc_75) * (2/3), converted_stat, '2K_Ratings'!K118, IF(bbgm_stat &gt;= perc_95, converted_stat * 3, IF(bbgm_stat &gt;= perc_90, converted_stat * 2, IF(bbgm_stat &gt;= perc_85, converted_stat * 1.5, converted_stat)))))</f>
        <v/>
      </c>
      <c r="L118" s="30" t="str">
        <f t="array" ref="L118">IF($A118="", "", LET(bbgm_stat, INDEX(Players!$A117:$P117, MATCH(L$2, Players!$A$1:$P$1, 0)), perc_75, VLOOKUP(L$2, Percentiles!$A$45:$I$59, 6, FALSE), perc_90, VLOOKUP(L$2, Percentiles!$A$45:$I$59, 7, FALSE), perc_95, VLOOKUP(L$2, Percentiles!$A$45:$I$59, 8, FALSE), perc_85, perc_75 + (perc_90 - perc_75) * (2/3), converted_stat, '2K_Ratings'!L118, IF(bbgm_stat &gt;= perc_95, converted_stat * 3, IF(bbgm_stat &gt;= perc_90, converted_stat * 2, IF(bbgm_stat &gt;= perc_85, converted_stat * 1.5, converted_stat)))))</f>
        <v/>
      </c>
      <c r="M118" s="30" t="str">
        <f t="array" ref="M118">IF($A118="", "", LET(bbgm_stat, INDEX(Players!$A117:$P117, MATCH(M$2, Players!$A$1:$P$1, 0)), perc_75, VLOOKUP(M$2, Percentiles!$A$45:$I$59, 6, FALSE), perc_90, VLOOKUP(M$2, Percentiles!$A$45:$I$59, 7, FALSE), perc_95, VLOOKUP(M$2, Percentiles!$A$45:$I$59, 8, FALSE), perc_85, perc_75 + (perc_90 - perc_75) * (2/3), converted_stat, '2K_Ratings'!M118, IF(bbgm_stat &gt;= perc_95, converted_stat * 3, IF(bbgm_stat &gt;= perc_90, converted_stat * 2, IF(bbgm_stat &gt;= perc_85, converted_stat * 1.5, converted_stat)))))</f>
        <v/>
      </c>
      <c r="N118" s="30" t="str">
        <f t="array" ref="N118">IF($A118="", "", LET(bbgm_stat, INDEX(Players!$A117:$P117, MATCH(N$2, Players!$A$1:$P$1, 0)), perc_75, VLOOKUP(N$2, Percentiles!$A$45:$I$59, 6, FALSE), perc_90, VLOOKUP(N$2, Percentiles!$A$45:$I$59, 7, FALSE), perc_95, VLOOKUP(N$2, Percentiles!$A$45:$I$59, 8, FALSE), perc_85, perc_75 + (perc_90 - perc_75) * (2/3), converted_stat, '2K_Ratings'!N118, IF(bbgm_stat &gt;= perc_95, converted_stat * 3, IF(bbgm_stat &gt;= perc_90, converted_stat * 2, IF(bbgm_stat &gt;= perc_85, converted_stat * 1.5, converted_stat)))))</f>
        <v/>
      </c>
      <c r="O118" s="30" t="str">
        <f t="array" ref="O118">IF($A118="", "", LET(bbgm_stat, INDEX(Players!$A117:$P117, MATCH(O$2, Players!$A$1:$P$1, 0)), perc_75, VLOOKUP(O$2, Percentiles!$A$45:$I$59, 6, FALSE), perc_90, VLOOKUP(O$2, Percentiles!$A$45:$I$59, 7, FALSE), perc_95, VLOOKUP(O$2, Percentiles!$A$45:$I$59, 8, FALSE), perc_85, perc_75 + (perc_90 - perc_75) * (2/3), converted_stat, '2K_Ratings'!O118, IF(bbgm_stat &gt;= perc_95, converted_stat * 3, IF(bbgm_stat &gt;= perc_90, converted_stat * 2, IF(bbgm_stat &gt;= perc_85, converted_stat * 1.5, converted_stat)))))</f>
        <v/>
      </c>
      <c r="P118" s="30" t="str">
        <f t="array" ref="P118">IF($A118="", "", LET(bbgm_stat, INDEX(Players!$A117:$P117, MATCH(P$2, Players!$A$1:$P$1, 0)), perc_75, VLOOKUP(P$2, Percentiles!$A$45:$I$59, 6, FALSE), perc_90, VLOOKUP(P$2, Percentiles!$A$45:$I$59, 7, FALSE), perc_95, VLOOKUP(P$2, Percentiles!$A$45:$I$59, 8, FALSE), perc_85, perc_75 + (perc_90 - perc_75) * (2/3), converted_stat, '2K_Ratings'!P118, IF(bbgm_stat &gt;= perc_95, converted_stat * 3, IF(bbgm_stat &gt;= perc_90, converted_stat * 2, IF(bbgm_stat &gt;= perc_85, converted_stat * 1.5, converted_stat)))))</f>
        <v/>
      </c>
      <c r="Q118" s="30" t="str">
        <f t="array" ref="Q118">IF($A118="", "", LET(bbgm_stat, INDEX(Players!$A117:$P117, MATCH(Q$2, Players!$A$1:$P$1, 0)), perc_75, VLOOKUP(Q$2, Percentiles!$A$45:$I$59, 6, FALSE), perc_90, VLOOKUP(Q$2, Percentiles!$A$45:$I$59, 7, FALSE), perc_95, VLOOKUP(Q$2, Percentiles!$A$45:$I$59, 8, FALSE), perc_85, perc_75 + (perc_90 - perc_75) * (2/3), converted_stat, '2K_Ratings'!Q118, IF(bbgm_stat &gt;= perc_95, converted_stat * 3, IF(bbgm_stat &gt;= perc_90, converted_stat * 2, IF(bbgm_stat &gt;= perc_85, converted_stat * 1.5, converted_stat)))))</f>
        <v/>
      </c>
      <c r="R118" s="30" t="str">
        <f t="array" ref="R118">IF($A118="", "", LET(bbgm_stat, INDEX(Players!$A117:$P117, MATCH(R$2, Players!$A$1:$P$1, 0)), perc_75, VLOOKUP(R$2, Percentiles!$A$45:$I$59, 6, FALSE), perc_90, VLOOKUP(R$2, Percentiles!$A$45:$I$59, 7, FALSE), perc_95, VLOOKUP(R$2, Percentiles!$A$45:$I$59, 8, FALSE), perc_85, perc_75 + (perc_90 - perc_75) * (2/3), converted_stat, '2K_Ratings'!R118, IF(bbgm_stat &gt;= perc_95, converted_stat * 3, IF(bbgm_stat &gt;= perc_90, converted_stat * 2, IF(bbgm_stat &gt;= perc_85, converted_stat * 1.5, converted_stat)))))</f>
        <v/>
      </c>
      <c r="S118" s="30" t="str">
        <f t="array" ref="S118">IF($A118="", "", LET(bbgm_stat, INDEX(Players!$A117:$P117, MATCH(S$2, Players!$A$1:$P$1, 0)), perc_75, VLOOKUP(S$2, Percentiles!$A$45:$I$59, 6, FALSE), perc_90, VLOOKUP(S$2, Percentiles!$A$45:$I$59, 7, FALSE), perc_95, VLOOKUP(S$2, Percentiles!$A$45:$I$59, 8, FALSE), perc_85, perc_75 + (perc_90 - perc_75) * (2/3), converted_stat, '2K_Ratings'!S118, IF(bbgm_stat &gt;= perc_95, converted_stat * 3, IF(bbgm_stat &gt;= perc_90, converted_stat * 2, IF(bbgm_stat &gt;= perc_85, converted_stat * 1.5, converted_stat)))))</f>
        <v/>
      </c>
      <c r="T118" s="30" t="str">
        <f t="array" ref="T118">IF($A118="", "", LET(bbgm_stat, INDEX(Players!$A117:$P117, MATCH(T$2, Players!$A$1:$P$1, 0)), perc_75, VLOOKUP(T$2, Percentiles!$A$45:$I$59, 6, FALSE), perc_90, VLOOKUP(T$2, Percentiles!$A$45:$I$59, 7, FALSE), perc_95, VLOOKUP(T$2, Percentiles!$A$45:$I$59, 8, FALSE), perc_85, perc_75 + (perc_90 - perc_75) * (2/3), converted_stat, '2K_Ratings'!T118, IF(bbgm_stat &gt;= perc_95, converted_stat * 3, IF(bbgm_stat &gt;= perc_90, converted_stat * 2, IF(bbgm_stat &gt;= perc_85, converted_stat * 1.5, converted_stat)))))</f>
        <v/>
      </c>
      <c r="U118" s="30" t="str">
        <f t="array" ref="U118">IF($A118="", "", LET(bbgm_stat, INDEX(Players!$A117:$P117, MATCH(U$2, Players!$A$1:$P$1, 0)), perc_75, VLOOKUP(U$2, Percentiles!$A$45:$I$59, 6, FALSE), perc_90, VLOOKUP(U$2, Percentiles!$A$45:$I$59, 7, FALSE), perc_95, VLOOKUP(U$2, Percentiles!$A$45:$I$59, 8, FALSE), perc_85, perc_75 + (perc_90 - perc_75) * (2/3), converted_stat, '2K_Ratings'!U118, IF(bbgm_stat &gt;= perc_95, converted_stat * 3, IF(bbgm_stat &gt;= perc_90, converted_stat * 2, IF(bbgm_stat &gt;= perc_85, converted_stat * 1.5, converted_stat)))))</f>
        <v/>
      </c>
      <c r="V118" s="30" t="str">
        <f t="array" ref="V118">IF($A118="", "", LET(bbgm_stat, INDEX(Players!$A117:$P117, MATCH(V$2, Players!$A$1:$P$1, 0)), perc_75, VLOOKUP(V$2, Percentiles!$A$45:$I$59, 6, FALSE), perc_90, VLOOKUP(V$2, Percentiles!$A$45:$I$59, 7, FALSE), perc_95, VLOOKUP(V$2, Percentiles!$A$45:$I$59, 8, FALSE), perc_85, perc_75 + (perc_90 - perc_75) * (2/3), converted_stat, '2K_Ratings'!V118, IF(bbgm_stat &gt;= perc_95, converted_stat * 3, IF(bbgm_stat &gt;= perc_90, converted_stat * 2, IF(bbgm_stat &gt;= perc_85, converted_stat * 1.5, converted_stat)))))</f>
        <v/>
      </c>
      <c r="W118" s="30" t="str">
        <f t="array" ref="W118">IF($A118="", "", LET(bbgm_stat, INDEX(Players!$A117:$P117, MATCH(W$2, Players!$A$1:$P$1, 0)), perc_75, VLOOKUP(W$2, Percentiles!$A$45:$I$59, 6, FALSE), perc_90, VLOOKUP(W$2, Percentiles!$A$45:$I$59, 7, FALSE), perc_95, VLOOKUP(W$2, Percentiles!$A$45:$I$59, 8, FALSE), perc_85, perc_75 + (perc_90 - perc_75) * (2/3), converted_stat, '2K_Ratings'!W118, IF(bbgm_stat &gt;= perc_95, converted_stat * 3, IF(bbgm_stat &gt;= perc_90, converted_stat * 2, IF(bbgm_stat &gt;= perc_85, converted_stat * 1.5, converted_stat)))))</f>
        <v/>
      </c>
    </row>
    <row r="119">
      <c r="A119" s="30"/>
      <c r="B119" s="30" t="str">
        <f t="array" ref="B119">IF($A119="", "", LET(bbgm_stat, INDEX(Players!$A118:$P118, MATCH(B$2, Players!$A$1:$P$1, 0)), perc_75, VLOOKUP(B$2, Percentiles!$A$45:$I$59, 6, FALSE), perc_90, VLOOKUP(B$2, Percentiles!$A$45:$I$59, 7, FALSE), perc_95, VLOOKUP(B$2, Percentiles!$A$45:$I$59, 8, FALSE), perc_85, perc_75 + (perc_90 - perc_75) * (2/3), converted_stat, '2K_Ratings'!B119, IF(bbgm_stat &gt;= perc_95, converted_stat * 3, IF(bbgm_stat &gt;= perc_90, converted_stat * 2, IF(bbgm_stat &gt;= perc_85, converted_stat * 1.5, converted_stat)))))</f>
        <v/>
      </c>
      <c r="C119" s="30" t="str">
        <f t="array" ref="C119">IF($A119="", "", LET(bbgm_stat, INDEX(Players!$A118:$P118, MATCH(C$2, Players!$A$1:$P$1, 0)), perc_75, VLOOKUP(C$2, Percentiles!$A$45:$I$59, 6, FALSE), perc_90, VLOOKUP(C$2, Percentiles!$A$45:$I$59, 7, FALSE), perc_95, VLOOKUP(C$2, Percentiles!$A$45:$I$59, 8, FALSE), perc_85, perc_75 + (perc_90 - perc_75) * (2/3), converted_stat, '2K_Ratings'!C119, IF(bbgm_stat &gt;= perc_95, converted_stat * 3, IF(bbgm_stat &gt;= perc_90, converted_stat * 2, IF(bbgm_stat &gt;= perc_85, converted_stat * 1.5, converted_stat)))))</f>
        <v/>
      </c>
      <c r="D119" s="30" t="str">
        <f t="array" ref="D119">IF($A119="", "", LET(bbgm_stat, INDEX(Players!$A118:$P118, MATCH(D$2, Players!$A$1:$P$1, 0)), perc_75, VLOOKUP(D$2, Percentiles!$A$45:$I$59, 6, FALSE), perc_90, VLOOKUP(D$2, Percentiles!$A$45:$I$59, 7, FALSE), perc_95, VLOOKUP(D$2, Percentiles!$A$45:$I$59, 8, FALSE), perc_85, perc_75 + (perc_90 - perc_75) * (2/3), converted_stat, '2K_Ratings'!D119, IF(bbgm_stat &gt;= perc_95, converted_stat * 3, IF(bbgm_stat &gt;= perc_90, converted_stat * 2, IF(bbgm_stat &gt;= perc_85, converted_stat * 1.5, converted_stat)))))</f>
        <v/>
      </c>
      <c r="E119" s="30" t="str">
        <f t="array" ref="E119">IF($A119="", "", LET(bbgm_stat, INDEX(Players!$A118:$P118, MATCH(E$2, Players!$A$1:$P$1, 0)), perc_75, VLOOKUP(E$2, Percentiles!$A$45:$I$59, 6, FALSE), perc_90, VLOOKUP(E$2, Percentiles!$A$45:$I$59, 7, FALSE), perc_95, VLOOKUP(E$2, Percentiles!$A$45:$I$59, 8, FALSE), perc_85, perc_75 + (perc_90 - perc_75) * (2/3), converted_stat, '2K_Ratings'!E119, IF(bbgm_stat &gt;= perc_95, converted_stat * 3, IF(bbgm_stat &gt;= perc_90, converted_stat * 2, IF(bbgm_stat &gt;= perc_85, converted_stat * 1.5, converted_stat)))))</f>
        <v/>
      </c>
      <c r="F119" s="30" t="str">
        <f t="array" ref="F119">IF($A119="", "", LET(bbgm_stat, INDEX(Players!$A118:$P118, MATCH(F$2, Players!$A$1:$P$1, 0)), perc_75, VLOOKUP(F$2, Percentiles!$A$45:$I$59, 6, FALSE), perc_90, VLOOKUP(F$2, Percentiles!$A$45:$I$59, 7, FALSE), perc_95, VLOOKUP(F$2, Percentiles!$A$45:$I$59, 8, FALSE), perc_85, perc_75 + (perc_90 - perc_75) * (2/3), converted_stat, '2K_Ratings'!F119, IF(bbgm_stat &gt;= perc_95, converted_stat * 3, IF(bbgm_stat &gt;= perc_90, converted_stat * 2, IF(bbgm_stat &gt;= perc_85, converted_stat * 1.5, converted_stat)))))</f>
        <v/>
      </c>
      <c r="G119" s="30" t="str">
        <f t="array" ref="G119">IF($A119="", "", LET(bbgm_stat, INDEX(Players!$A118:$P118, MATCH(G$2, Players!$A$1:$P$1, 0)), perc_75, VLOOKUP(G$2, Percentiles!$A$45:$I$59, 6, FALSE), perc_90, VLOOKUP(G$2, Percentiles!$A$45:$I$59, 7, FALSE), perc_95, VLOOKUP(G$2, Percentiles!$A$45:$I$59, 8, FALSE), perc_85, perc_75 + (perc_90 - perc_75) * (2/3), converted_stat, '2K_Ratings'!G119, IF(bbgm_stat &gt;= perc_95, converted_stat * 3, IF(bbgm_stat &gt;= perc_90, converted_stat * 2, IF(bbgm_stat &gt;= perc_85, converted_stat * 1.5, converted_stat)))))</f>
        <v/>
      </c>
      <c r="H119" s="30" t="str">
        <f t="array" ref="H119">IF($A119="", "", LET(bbgm_stat, INDEX(Players!$A118:$P118, MATCH(H$2, Players!$A$1:$P$1, 0)), perc_75, VLOOKUP(H$2, Percentiles!$A$45:$I$59, 6, FALSE), perc_90, VLOOKUP(H$2, Percentiles!$A$45:$I$59, 7, FALSE), perc_95, VLOOKUP(H$2, Percentiles!$A$45:$I$59, 8, FALSE), perc_85, perc_75 + (perc_90 - perc_75) * (2/3), converted_stat, '2K_Ratings'!H119, IF(bbgm_stat &gt;= perc_95, converted_stat * 3, IF(bbgm_stat &gt;= perc_90, converted_stat * 2, IF(bbgm_stat &gt;= perc_85, converted_stat * 1.5, converted_stat)))))</f>
        <v/>
      </c>
      <c r="I119" s="30" t="str">
        <f t="array" ref="I119">IF($A119="", "", LET(bbgm_stat, INDEX(Players!$A118:$P118, MATCH(I$2, Players!$A$1:$P$1, 0)), perc_75, VLOOKUP(I$2, Percentiles!$A$45:$I$59, 6, FALSE), perc_90, VLOOKUP(I$2, Percentiles!$A$45:$I$59, 7, FALSE), perc_95, VLOOKUP(I$2, Percentiles!$A$45:$I$59, 8, FALSE), perc_85, perc_75 + (perc_90 - perc_75) * (2/3), converted_stat, '2K_Ratings'!I119, IF(bbgm_stat &gt;= perc_95, converted_stat * 3, IF(bbgm_stat &gt;= perc_90, converted_stat * 2, IF(bbgm_stat &gt;= perc_85, converted_stat * 1.5, converted_stat)))))</f>
        <v/>
      </c>
      <c r="J119" s="30" t="str">
        <f t="array" ref="J119">IF($A119="", "", LET(bbgm_stat, INDEX(Players!$A118:$P118, MATCH(J$2, Players!$A$1:$P$1, 0)), perc_75, VLOOKUP(J$2, Percentiles!$A$45:$I$59, 6, FALSE), perc_90, VLOOKUP(J$2, Percentiles!$A$45:$I$59, 7, FALSE), perc_95, VLOOKUP(J$2, Percentiles!$A$45:$I$59, 8, FALSE), perc_85, perc_75 + (perc_90 - perc_75) * (2/3), converted_stat, '2K_Ratings'!J119, IF(bbgm_stat &gt;= perc_95, converted_stat * 3, IF(bbgm_stat &gt;= perc_90, converted_stat * 2, IF(bbgm_stat &gt;= perc_85, converted_stat * 1.5, converted_stat)))))</f>
        <v/>
      </c>
      <c r="K119" s="30" t="str">
        <f t="array" ref="K119">IF($A119="", "", LET(bbgm_stat, INDEX(Players!$A118:$P118, MATCH(K$2, Players!$A$1:$P$1, 0)), perc_75, VLOOKUP(K$2, Percentiles!$A$45:$I$59, 6, FALSE), perc_90, VLOOKUP(K$2, Percentiles!$A$45:$I$59, 7, FALSE), perc_95, VLOOKUP(K$2, Percentiles!$A$45:$I$59, 8, FALSE), perc_85, perc_75 + (perc_90 - perc_75) * (2/3), converted_stat, '2K_Ratings'!K119, IF(bbgm_stat &gt;= perc_95, converted_stat * 3, IF(bbgm_stat &gt;= perc_90, converted_stat * 2, IF(bbgm_stat &gt;= perc_85, converted_stat * 1.5, converted_stat)))))</f>
        <v/>
      </c>
      <c r="L119" s="30" t="str">
        <f t="array" ref="L119">IF($A119="", "", LET(bbgm_stat, INDEX(Players!$A118:$P118, MATCH(L$2, Players!$A$1:$P$1, 0)), perc_75, VLOOKUP(L$2, Percentiles!$A$45:$I$59, 6, FALSE), perc_90, VLOOKUP(L$2, Percentiles!$A$45:$I$59, 7, FALSE), perc_95, VLOOKUP(L$2, Percentiles!$A$45:$I$59, 8, FALSE), perc_85, perc_75 + (perc_90 - perc_75) * (2/3), converted_stat, '2K_Ratings'!L119, IF(bbgm_stat &gt;= perc_95, converted_stat * 3, IF(bbgm_stat &gt;= perc_90, converted_stat * 2, IF(bbgm_stat &gt;= perc_85, converted_stat * 1.5, converted_stat)))))</f>
        <v/>
      </c>
      <c r="M119" s="30" t="str">
        <f t="array" ref="M119">IF($A119="", "", LET(bbgm_stat, INDEX(Players!$A118:$P118, MATCH(M$2, Players!$A$1:$P$1, 0)), perc_75, VLOOKUP(M$2, Percentiles!$A$45:$I$59, 6, FALSE), perc_90, VLOOKUP(M$2, Percentiles!$A$45:$I$59, 7, FALSE), perc_95, VLOOKUP(M$2, Percentiles!$A$45:$I$59, 8, FALSE), perc_85, perc_75 + (perc_90 - perc_75) * (2/3), converted_stat, '2K_Ratings'!M119, IF(bbgm_stat &gt;= perc_95, converted_stat * 3, IF(bbgm_stat &gt;= perc_90, converted_stat * 2, IF(bbgm_stat &gt;= perc_85, converted_stat * 1.5, converted_stat)))))</f>
        <v/>
      </c>
      <c r="N119" s="30" t="str">
        <f t="array" ref="N119">IF($A119="", "", LET(bbgm_stat, INDEX(Players!$A118:$P118, MATCH(N$2, Players!$A$1:$P$1, 0)), perc_75, VLOOKUP(N$2, Percentiles!$A$45:$I$59, 6, FALSE), perc_90, VLOOKUP(N$2, Percentiles!$A$45:$I$59, 7, FALSE), perc_95, VLOOKUP(N$2, Percentiles!$A$45:$I$59, 8, FALSE), perc_85, perc_75 + (perc_90 - perc_75) * (2/3), converted_stat, '2K_Ratings'!N119, IF(bbgm_stat &gt;= perc_95, converted_stat * 3, IF(bbgm_stat &gt;= perc_90, converted_stat * 2, IF(bbgm_stat &gt;= perc_85, converted_stat * 1.5, converted_stat)))))</f>
        <v/>
      </c>
      <c r="O119" s="30" t="str">
        <f t="array" ref="O119">IF($A119="", "", LET(bbgm_stat, INDEX(Players!$A118:$P118, MATCH(O$2, Players!$A$1:$P$1, 0)), perc_75, VLOOKUP(O$2, Percentiles!$A$45:$I$59, 6, FALSE), perc_90, VLOOKUP(O$2, Percentiles!$A$45:$I$59, 7, FALSE), perc_95, VLOOKUP(O$2, Percentiles!$A$45:$I$59, 8, FALSE), perc_85, perc_75 + (perc_90 - perc_75) * (2/3), converted_stat, '2K_Ratings'!O119, IF(bbgm_stat &gt;= perc_95, converted_stat * 3, IF(bbgm_stat &gt;= perc_90, converted_stat * 2, IF(bbgm_stat &gt;= perc_85, converted_stat * 1.5, converted_stat)))))</f>
        <v/>
      </c>
      <c r="P119" s="30" t="str">
        <f t="array" ref="P119">IF($A119="", "", LET(bbgm_stat, INDEX(Players!$A118:$P118, MATCH(P$2, Players!$A$1:$P$1, 0)), perc_75, VLOOKUP(P$2, Percentiles!$A$45:$I$59, 6, FALSE), perc_90, VLOOKUP(P$2, Percentiles!$A$45:$I$59, 7, FALSE), perc_95, VLOOKUP(P$2, Percentiles!$A$45:$I$59, 8, FALSE), perc_85, perc_75 + (perc_90 - perc_75) * (2/3), converted_stat, '2K_Ratings'!P119, IF(bbgm_stat &gt;= perc_95, converted_stat * 3, IF(bbgm_stat &gt;= perc_90, converted_stat * 2, IF(bbgm_stat &gt;= perc_85, converted_stat * 1.5, converted_stat)))))</f>
        <v/>
      </c>
      <c r="Q119" s="30" t="str">
        <f t="array" ref="Q119">IF($A119="", "", LET(bbgm_stat, INDEX(Players!$A118:$P118, MATCH(Q$2, Players!$A$1:$P$1, 0)), perc_75, VLOOKUP(Q$2, Percentiles!$A$45:$I$59, 6, FALSE), perc_90, VLOOKUP(Q$2, Percentiles!$A$45:$I$59, 7, FALSE), perc_95, VLOOKUP(Q$2, Percentiles!$A$45:$I$59, 8, FALSE), perc_85, perc_75 + (perc_90 - perc_75) * (2/3), converted_stat, '2K_Ratings'!Q119, IF(bbgm_stat &gt;= perc_95, converted_stat * 3, IF(bbgm_stat &gt;= perc_90, converted_stat * 2, IF(bbgm_stat &gt;= perc_85, converted_stat * 1.5, converted_stat)))))</f>
        <v/>
      </c>
      <c r="R119" s="30" t="str">
        <f t="array" ref="R119">IF($A119="", "", LET(bbgm_stat, INDEX(Players!$A118:$P118, MATCH(R$2, Players!$A$1:$P$1, 0)), perc_75, VLOOKUP(R$2, Percentiles!$A$45:$I$59, 6, FALSE), perc_90, VLOOKUP(R$2, Percentiles!$A$45:$I$59, 7, FALSE), perc_95, VLOOKUP(R$2, Percentiles!$A$45:$I$59, 8, FALSE), perc_85, perc_75 + (perc_90 - perc_75) * (2/3), converted_stat, '2K_Ratings'!R119, IF(bbgm_stat &gt;= perc_95, converted_stat * 3, IF(bbgm_stat &gt;= perc_90, converted_stat * 2, IF(bbgm_stat &gt;= perc_85, converted_stat * 1.5, converted_stat)))))</f>
        <v/>
      </c>
      <c r="S119" s="30" t="str">
        <f t="array" ref="S119">IF($A119="", "", LET(bbgm_stat, INDEX(Players!$A118:$P118, MATCH(S$2, Players!$A$1:$P$1, 0)), perc_75, VLOOKUP(S$2, Percentiles!$A$45:$I$59, 6, FALSE), perc_90, VLOOKUP(S$2, Percentiles!$A$45:$I$59, 7, FALSE), perc_95, VLOOKUP(S$2, Percentiles!$A$45:$I$59, 8, FALSE), perc_85, perc_75 + (perc_90 - perc_75) * (2/3), converted_stat, '2K_Ratings'!S119, IF(bbgm_stat &gt;= perc_95, converted_stat * 3, IF(bbgm_stat &gt;= perc_90, converted_stat * 2, IF(bbgm_stat &gt;= perc_85, converted_stat * 1.5, converted_stat)))))</f>
        <v/>
      </c>
      <c r="T119" s="30" t="str">
        <f t="array" ref="T119">IF($A119="", "", LET(bbgm_stat, INDEX(Players!$A118:$P118, MATCH(T$2, Players!$A$1:$P$1, 0)), perc_75, VLOOKUP(T$2, Percentiles!$A$45:$I$59, 6, FALSE), perc_90, VLOOKUP(T$2, Percentiles!$A$45:$I$59, 7, FALSE), perc_95, VLOOKUP(T$2, Percentiles!$A$45:$I$59, 8, FALSE), perc_85, perc_75 + (perc_90 - perc_75) * (2/3), converted_stat, '2K_Ratings'!T119, IF(bbgm_stat &gt;= perc_95, converted_stat * 3, IF(bbgm_stat &gt;= perc_90, converted_stat * 2, IF(bbgm_stat &gt;= perc_85, converted_stat * 1.5, converted_stat)))))</f>
        <v/>
      </c>
      <c r="U119" s="30" t="str">
        <f t="array" ref="U119">IF($A119="", "", LET(bbgm_stat, INDEX(Players!$A118:$P118, MATCH(U$2, Players!$A$1:$P$1, 0)), perc_75, VLOOKUP(U$2, Percentiles!$A$45:$I$59, 6, FALSE), perc_90, VLOOKUP(U$2, Percentiles!$A$45:$I$59, 7, FALSE), perc_95, VLOOKUP(U$2, Percentiles!$A$45:$I$59, 8, FALSE), perc_85, perc_75 + (perc_90 - perc_75) * (2/3), converted_stat, '2K_Ratings'!U119, IF(bbgm_stat &gt;= perc_95, converted_stat * 3, IF(bbgm_stat &gt;= perc_90, converted_stat * 2, IF(bbgm_stat &gt;= perc_85, converted_stat * 1.5, converted_stat)))))</f>
        <v/>
      </c>
      <c r="V119" s="30" t="str">
        <f t="array" ref="V119">IF($A119="", "", LET(bbgm_stat, INDEX(Players!$A118:$P118, MATCH(V$2, Players!$A$1:$P$1, 0)), perc_75, VLOOKUP(V$2, Percentiles!$A$45:$I$59, 6, FALSE), perc_90, VLOOKUP(V$2, Percentiles!$A$45:$I$59, 7, FALSE), perc_95, VLOOKUP(V$2, Percentiles!$A$45:$I$59, 8, FALSE), perc_85, perc_75 + (perc_90 - perc_75) * (2/3), converted_stat, '2K_Ratings'!V119, IF(bbgm_stat &gt;= perc_95, converted_stat * 3, IF(bbgm_stat &gt;= perc_90, converted_stat * 2, IF(bbgm_stat &gt;= perc_85, converted_stat * 1.5, converted_stat)))))</f>
        <v/>
      </c>
      <c r="W119" s="30" t="str">
        <f t="array" ref="W119">IF($A119="", "", LET(bbgm_stat, INDEX(Players!$A118:$P118, MATCH(W$2, Players!$A$1:$P$1, 0)), perc_75, VLOOKUP(W$2, Percentiles!$A$45:$I$59, 6, FALSE), perc_90, VLOOKUP(W$2, Percentiles!$A$45:$I$59, 7, FALSE), perc_95, VLOOKUP(W$2, Percentiles!$A$45:$I$59, 8, FALSE), perc_85, perc_75 + (perc_90 - perc_75) * (2/3), converted_stat, '2K_Ratings'!W119, IF(bbgm_stat &gt;= perc_95, converted_stat * 3, IF(bbgm_stat &gt;= perc_90, converted_stat * 2, IF(bbgm_stat &gt;= perc_85, converted_stat * 1.5, converted_stat)))))</f>
        <v/>
      </c>
    </row>
    <row r="120">
      <c r="A120" s="30"/>
      <c r="B120" s="30" t="str">
        <f t="array" ref="B120">IF($A120="", "", LET(bbgm_stat, INDEX(Players!$A119:$P119, MATCH(B$2, Players!$A$1:$P$1, 0)), perc_75, VLOOKUP(B$2, Percentiles!$A$45:$I$59, 6, FALSE), perc_90, VLOOKUP(B$2, Percentiles!$A$45:$I$59, 7, FALSE), perc_95, VLOOKUP(B$2, Percentiles!$A$45:$I$59, 8, FALSE), perc_85, perc_75 + (perc_90 - perc_75) * (2/3), converted_stat, '2K_Ratings'!B120, IF(bbgm_stat &gt;= perc_95, converted_stat * 3, IF(bbgm_stat &gt;= perc_90, converted_stat * 2, IF(bbgm_stat &gt;= perc_85, converted_stat * 1.5, converted_stat)))))</f>
        <v/>
      </c>
      <c r="C120" s="30" t="str">
        <f t="array" ref="C120">IF($A120="", "", LET(bbgm_stat, INDEX(Players!$A119:$P119, MATCH(C$2, Players!$A$1:$P$1, 0)), perc_75, VLOOKUP(C$2, Percentiles!$A$45:$I$59, 6, FALSE), perc_90, VLOOKUP(C$2, Percentiles!$A$45:$I$59, 7, FALSE), perc_95, VLOOKUP(C$2, Percentiles!$A$45:$I$59, 8, FALSE), perc_85, perc_75 + (perc_90 - perc_75) * (2/3), converted_stat, '2K_Ratings'!C120, IF(bbgm_stat &gt;= perc_95, converted_stat * 3, IF(bbgm_stat &gt;= perc_90, converted_stat * 2, IF(bbgm_stat &gt;= perc_85, converted_stat * 1.5, converted_stat)))))</f>
        <v/>
      </c>
      <c r="D120" s="30" t="str">
        <f t="array" ref="D120">IF($A120="", "", LET(bbgm_stat, INDEX(Players!$A119:$P119, MATCH(D$2, Players!$A$1:$P$1, 0)), perc_75, VLOOKUP(D$2, Percentiles!$A$45:$I$59, 6, FALSE), perc_90, VLOOKUP(D$2, Percentiles!$A$45:$I$59, 7, FALSE), perc_95, VLOOKUP(D$2, Percentiles!$A$45:$I$59, 8, FALSE), perc_85, perc_75 + (perc_90 - perc_75) * (2/3), converted_stat, '2K_Ratings'!D120, IF(bbgm_stat &gt;= perc_95, converted_stat * 3, IF(bbgm_stat &gt;= perc_90, converted_stat * 2, IF(bbgm_stat &gt;= perc_85, converted_stat * 1.5, converted_stat)))))</f>
        <v/>
      </c>
      <c r="E120" s="30" t="str">
        <f t="array" ref="E120">IF($A120="", "", LET(bbgm_stat, INDEX(Players!$A119:$P119, MATCH(E$2, Players!$A$1:$P$1, 0)), perc_75, VLOOKUP(E$2, Percentiles!$A$45:$I$59, 6, FALSE), perc_90, VLOOKUP(E$2, Percentiles!$A$45:$I$59, 7, FALSE), perc_95, VLOOKUP(E$2, Percentiles!$A$45:$I$59, 8, FALSE), perc_85, perc_75 + (perc_90 - perc_75) * (2/3), converted_stat, '2K_Ratings'!E120, IF(bbgm_stat &gt;= perc_95, converted_stat * 3, IF(bbgm_stat &gt;= perc_90, converted_stat * 2, IF(bbgm_stat &gt;= perc_85, converted_stat * 1.5, converted_stat)))))</f>
        <v/>
      </c>
      <c r="F120" s="30" t="str">
        <f t="array" ref="F120">IF($A120="", "", LET(bbgm_stat, INDEX(Players!$A119:$P119, MATCH(F$2, Players!$A$1:$P$1, 0)), perc_75, VLOOKUP(F$2, Percentiles!$A$45:$I$59, 6, FALSE), perc_90, VLOOKUP(F$2, Percentiles!$A$45:$I$59, 7, FALSE), perc_95, VLOOKUP(F$2, Percentiles!$A$45:$I$59, 8, FALSE), perc_85, perc_75 + (perc_90 - perc_75) * (2/3), converted_stat, '2K_Ratings'!F120, IF(bbgm_stat &gt;= perc_95, converted_stat * 3, IF(bbgm_stat &gt;= perc_90, converted_stat * 2, IF(bbgm_stat &gt;= perc_85, converted_stat * 1.5, converted_stat)))))</f>
        <v/>
      </c>
      <c r="G120" s="30" t="str">
        <f t="array" ref="G120">IF($A120="", "", LET(bbgm_stat, INDEX(Players!$A119:$P119, MATCH(G$2, Players!$A$1:$P$1, 0)), perc_75, VLOOKUP(G$2, Percentiles!$A$45:$I$59, 6, FALSE), perc_90, VLOOKUP(G$2, Percentiles!$A$45:$I$59, 7, FALSE), perc_95, VLOOKUP(G$2, Percentiles!$A$45:$I$59, 8, FALSE), perc_85, perc_75 + (perc_90 - perc_75) * (2/3), converted_stat, '2K_Ratings'!G120, IF(bbgm_stat &gt;= perc_95, converted_stat * 3, IF(bbgm_stat &gt;= perc_90, converted_stat * 2, IF(bbgm_stat &gt;= perc_85, converted_stat * 1.5, converted_stat)))))</f>
        <v/>
      </c>
      <c r="H120" s="30" t="str">
        <f t="array" ref="H120">IF($A120="", "", LET(bbgm_stat, INDEX(Players!$A119:$P119, MATCH(H$2, Players!$A$1:$P$1, 0)), perc_75, VLOOKUP(H$2, Percentiles!$A$45:$I$59, 6, FALSE), perc_90, VLOOKUP(H$2, Percentiles!$A$45:$I$59, 7, FALSE), perc_95, VLOOKUP(H$2, Percentiles!$A$45:$I$59, 8, FALSE), perc_85, perc_75 + (perc_90 - perc_75) * (2/3), converted_stat, '2K_Ratings'!H120, IF(bbgm_stat &gt;= perc_95, converted_stat * 3, IF(bbgm_stat &gt;= perc_90, converted_stat * 2, IF(bbgm_stat &gt;= perc_85, converted_stat * 1.5, converted_stat)))))</f>
        <v/>
      </c>
      <c r="I120" s="30" t="str">
        <f t="array" ref="I120">IF($A120="", "", LET(bbgm_stat, INDEX(Players!$A119:$P119, MATCH(I$2, Players!$A$1:$P$1, 0)), perc_75, VLOOKUP(I$2, Percentiles!$A$45:$I$59, 6, FALSE), perc_90, VLOOKUP(I$2, Percentiles!$A$45:$I$59, 7, FALSE), perc_95, VLOOKUP(I$2, Percentiles!$A$45:$I$59, 8, FALSE), perc_85, perc_75 + (perc_90 - perc_75) * (2/3), converted_stat, '2K_Ratings'!I120, IF(bbgm_stat &gt;= perc_95, converted_stat * 3, IF(bbgm_stat &gt;= perc_90, converted_stat * 2, IF(bbgm_stat &gt;= perc_85, converted_stat * 1.5, converted_stat)))))</f>
        <v/>
      </c>
      <c r="J120" s="30" t="str">
        <f t="array" ref="J120">IF($A120="", "", LET(bbgm_stat, INDEX(Players!$A119:$P119, MATCH(J$2, Players!$A$1:$P$1, 0)), perc_75, VLOOKUP(J$2, Percentiles!$A$45:$I$59, 6, FALSE), perc_90, VLOOKUP(J$2, Percentiles!$A$45:$I$59, 7, FALSE), perc_95, VLOOKUP(J$2, Percentiles!$A$45:$I$59, 8, FALSE), perc_85, perc_75 + (perc_90 - perc_75) * (2/3), converted_stat, '2K_Ratings'!J120, IF(bbgm_stat &gt;= perc_95, converted_stat * 3, IF(bbgm_stat &gt;= perc_90, converted_stat * 2, IF(bbgm_stat &gt;= perc_85, converted_stat * 1.5, converted_stat)))))</f>
        <v/>
      </c>
      <c r="K120" s="30" t="str">
        <f t="array" ref="K120">IF($A120="", "", LET(bbgm_stat, INDEX(Players!$A119:$P119, MATCH(K$2, Players!$A$1:$P$1, 0)), perc_75, VLOOKUP(K$2, Percentiles!$A$45:$I$59, 6, FALSE), perc_90, VLOOKUP(K$2, Percentiles!$A$45:$I$59, 7, FALSE), perc_95, VLOOKUP(K$2, Percentiles!$A$45:$I$59, 8, FALSE), perc_85, perc_75 + (perc_90 - perc_75) * (2/3), converted_stat, '2K_Ratings'!K120, IF(bbgm_stat &gt;= perc_95, converted_stat * 3, IF(bbgm_stat &gt;= perc_90, converted_stat * 2, IF(bbgm_stat &gt;= perc_85, converted_stat * 1.5, converted_stat)))))</f>
        <v/>
      </c>
      <c r="L120" s="30" t="str">
        <f t="array" ref="L120">IF($A120="", "", LET(bbgm_stat, INDEX(Players!$A119:$P119, MATCH(L$2, Players!$A$1:$P$1, 0)), perc_75, VLOOKUP(L$2, Percentiles!$A$45:$I$59, 6, FALSE), perc_90, VLOOKUP(L$2, Percentiles!$A$45:$I$59, 7, FALSE), perc_95, VLOOKUP(L$2, Percentiles!$A$45:$I$59, 8, FALSE), perc_85, perc_75 + (perc_90 - perc_75) * (2/3), converted_stat, '2K_Ratings'!L120, IF(bbgm_stat &gt;= perc_95, converted_stat * 3, IF(bbgm_stat &gt;= perc_90, converted_stat * 2, IF(bbgm_stat &gt;= perc_85, converted_stat * 1.5, converted_stat)))))</f>
        <v/>
      </c>
      <c r="M120" s="30" t="str">
        <f t="array" ref="M120">IF($A120="", "", LET(bbgm_stat, INDEX(Players!$A119:$P119, MATCH(M$2, Players!$A$1:$P$1, 0)), perc_75, VLOOKUP(M$2, Percentiles!$A$45:$I$59, 6, FALSE), perc_90, VLOOKUP(M$2, Percentiles!$A$45:$I$59, 7, FALSE), perc_95, VLOOKUP(M$2, Percentiles!$A$45:$I$59, 8, FALSE), perc_85, perc_75 + (perc_90 - perc_75) * (2/3), converted_stat, '2K_Ratings'!M120, IF(bbgm_stat &gt;= perc_95, converted_stat * 3, IF(bbgm_stat &gt;= perc_90, converted_stat * 2, IF(bbgm_stat &gt;= perc_85, converted_stat * 1.5, converted_stat)))))</f>
        <v/>
      </c>
      <c r="N120" s="30" t="str">
        <f t="array" ref="N120">IF($A120="", "", LET(bbgm_stat, INDEX(Players!$A119:$P119, MATCH(N$2, Players!$A$1:$P$1, 0)), perc_75, VLOOKUP(N$2, Percentiles!$A$45:$I$59, 6, FALSE), perc_90, VLOOKUP(N$2, Percentiles!$A$45:$I$59, 7, FALSE), perc_95, VLOOKUP(N$2, Percentiles!$A$45:$I$59, 8, FALSE), perc_85, perc_75 + (perc_90 - perc_75) * (2/3), converted_stat, '2K_Ratings'!N120, IF(bbgm_stat &gt;= perc_95, converted_stat * 3, IF(bbgm_stat &gt;= perc_90, converted_stat * 2, IF(bbgm_stat &gt;= perc_85, converted_stat * 1.5, converted_stat)))))</f>
        <v/>
      </c>
      <c r="O120" s="30" t="str">
        <f t="array" ref="O120">IF($A120="", "", LET(bbgm_stat, INDEX(Players!$A119:$P119, MATCH(O$2, Players!$A$1:$P$1, 0)), perc_75, VLOOKUP(O$2, Percentiles!$A$45:$I$59, 6, FALSE), perc_90, VLOOKUP(O$2, Percentiles!$A$45:$I$59, 7, FALSE), perc_95, VLOOKUP(O$2, Percentiles!$A$45:$I$59, 8, FALSE), perc_85, perc_75 + (perc_90 - perc_75) * (2/3), converted_stat, '2K_Ratings'!O120, IF(bbgm_stat &gt;= perc_95, converted_stat * 3, IF(bbgm_stat &gt;= perc_90, converted_stat * 2, IF(bbgm_stat &gt;= perc_85, converted_stat * 1.5, converted_stat)))))</f>
        <v/>
      </c>
      <c r="P120" s="30" t="str">
        <f t="array" ref="P120">IF($A120="", "", LET(bbgm_stat, INDEX(Players!$A119:$P119, MATCH(P$2, Players!$A$1:$P$1, 0)), perc_75, VLOOKUP(P$2, Percentiles!$A$45:$I$59, 6, FALSE), perc_90, VLOOKUP(P$2, Percentiles!$A$45:$I$59, 7, FALSE), perc_95, VLOOKUP(P$2, Percentiles!$A$45:$I$59, 8, FALSE), perc_85, perc_75 + (perc_90 - perc_75) * (2/3), converted_stat, '2K_Ratings'!P120, IF(bbgm_stat &gt;= perc_95, converted_stat * 3, IF(bbgm_stat &gt;= perc_90, converted_stat * 2, IF(bbgm_stat &gt;= perc_85, converted_stat * 1.5, converted_stat)))))</f>
        <v/>
      </c>
      <c r="Q120" s="30" t="str">
        <f t="array" ref="Q120">IF($A120="", "", LET(bbgm_stat, INDEX(Players!$A119:$P119, MATCH(Q$2, Players!$A$1:$P$1, 0)), perc_75, VLOOKUP(Q$2, Percentiles!$A$45:$I$59, 6, FALSE), perc_90, VLOOKUP(Q$2, Percentiles!$A$45:$I$59, 7, FALSE), perc_95, VLOOKUP(Q$2, Percentiles!$A$45:$I$59, 8, FALSE), perc_85, perc_75 + (perc_90 - perc_75) * (2/3), converted_stat, '2K_Ratings'!Q120, IF(bbgm_stat &gt;= perc_95, converted_stat * 3, IF(bbgm_stat &gt;= perc_90, converted_stat * 2, IF(bbgm_stat &gt;= perc_85, converted_stat * 1.5, converted_stat)))))</f>
        <v/>
      </c>
      <c r="R120" s="30" t="str">
        <f t="array" ref="R120">IF($A120="", "", LET(bbgm_stat, INDEX(Players!$A119:$P119, MATCH(R$2, Players!$A$1:$P$1, 0)), perc_75, VLOOKUP(R$2, Percentiles!$A$45:$I$59, 6, FALSE), perc_90, VLOOKUP(R$2, Percentiles!$A$45:$I$59, 7, FALSE), perc_95, VLOOKUP(R$2, Percentiles!$A$45:$I$59, 8, FALSE), perc_85, perc_75 + (perc_90 - perc_75) * (2/3), converted_stat, '2K_Ratings'!R120, IF(bbgm_stat &gt;= perc_95, converted_stat * 3, IF(bbgm_stat &gt;= perc_90, converted_stat * 2, IF(bbgm_stat &gt;= perc_85, converted_stat * 1.5, converted_stat)))))</f>
        <v/>
      </c>
      <c r="S120" s="30" t="str">
        <f t="array" ref="S120">IF($A120="", "", LET(bbgm_stat, INDEX(Players!$A119:$P119, MATCH(S$2, Players!$A$1:$P$1, 0)), perc_75, VLOOKUP(S$2, Percentiles!$A$45:$I$59, 6, FALSE), perc_90, VLOOKUP(S$2, Percentiles!$A$45:$I$59, 7, FALSE), perc_95, VLOOKUP(S$2, Percentiles!$A$45:$I$59, 8, FALSE), perc_85, perc_75 + (perc_90 - perc_75) * (2/3), converted_stat, '2K_Ratings'!S120, IF(bbgm_stat &gt;= perc_95, converted_stat * 3, IF(bbgm_stat &gt;= perc_90, converted_stat * 2, IF(bbgm_stat &gt;= perc_85, converted_stat * 1.5, converted_stat)))))</f>
        <v/>
      </c>
      <c r="T120" s="30" t="str">
        <f t="array" ref="T120">IF($A120="", "", LET(bbgm_stat, INDEX(Players!$A119:$P119, MATCH(T$2, Players!$A$1:$P$1, 0)), perc_75, VLOOKUP(T$2, Percentiles!$A$45:$I$59, 6, FALSE), perc_90, VLOOKUP(T$2, Percentiles!$A$45:$I$59, 7, FALSE), perc_95, VLOOKUP(T$2, Percentiles!$A$45:$I$59, 8, FALSE), perc_85, perc_75 + (perc_90 - perc_75) * (2/3), converted_stat, '2K_Ratings'!T120, IF(bbgm_stat &gt;= perc_95, converted_stat * 3, IF(bbgm_stat &gt;= perc_90, converted_stat * 2, IF(bbgm_stat &gt;= perc_85, converted_stat * 1.5, converted_stat)))))</f>
        <v/>
      </c>
      <c r="U120" s="30" t="str">
        <f t="array" ref="U120">IF($A120="", "", LET(bbgm_stat, INDEX(Players!$A119:$P119, MATCH(U$2, Players!$A$1:$P$1, 0)), perc_75, VLOOKUP(U$2, Percentiles!$A$45:$I$59, 6, FALSE), perc_90, VLOOKUP(U$2, Percentiles!$A$45:$I$59, 7, FALSE), perc_95, VLOOKUP(U$2, Percentiles!$A$45:$I$59, 8, FALSE), perc_85, perc_75 + (perc_90 - perc_75) * (2/3), converted_stat, '2K_Ratings'!U120, IF(bbgm_stat &gt;= perc_95, converted_stat * 3, IF(bbgm_stat &gt;= perc_90, converted_stat * 2, IF(bbgm_stat &gt;= perc_85, converted_stat * 1.5, converted_stat)))))</f>
        <v/>
      </c>
      <c r="V120" s="30" t="str">
        <f t="array" ref="V120">IF($A120="", "", LET(bbgm_stat, INDEX(Players!$A119:$P119, MATCH(V$2, Players!$A$1:$P$1, 0)), perc_75, VLOOKUP(V$2, Percentiles!$A$45:$I$59, 6, FALSE), perc_90, VLOOKUP(V$2, Percentiles!$A$45:$I$59, 7, FALSE), perc_95, VLOOKUP(V$2, Percentiles!$A$45:$I$59, 8, FALSE), perc_85, perc_75 + (perc_90 - perc_75) * (2/3), converted_stat, '2K_Ratings'!V120, IF(bbgm_stat &gt;= perc_95, converted_stat * 3, IF(bbgm_stat &gt;= perc_90, converted_stat * 2, IF(bbgm_stat &gt;= perc_85, converted_stat * 1.5, converted_stat)))))</f>
        <v/>
      </c>
      <c r="W120" s="30" t="str">
        <f t="array" ref="W120">IF($A120="", "", LET(bbgm_stat, INDEX(Players!$A119:$P119, MATCH(W$2, Players!$A$1:$P$1, 0)), perc_75, VLOOKUP(W$2, Percentiles!$A$45:$I$59, 6, FALSE), perc_90, VLOOKUP(W$2, Percentiles!$A$45:$I$59, 7, FALSE), perc_95, VLOOKUP(W$2, Percentiles!$A$45:$I$59, 8, FALSE), perc_85, perc_75 + (perc_90 - perc_75) * (2/3), converted_stat, '2K_Ratings'!W120, IF(bbgm_stat &gt;= perc_95, converted_stat * 3, IF(bbgm_stat &gt;= perc_90, converted_stat * 2, IF(bbgm_stat &gt;= perc_85, converted_stat * 1.5, converted_stat)))))</f>
        <v/>
      </c>
    </row>
    <row r="121">
      <c r="A121" s="30"/>
      <c r="B121" s="30" t="str">
        <f t="array" ref="B121">IF($A121="", "", LET(bbgm_stat, INDEX(Players!$A120:$P120, MATCH(B$2, Players!$A$1:$P$1, 0)), perc_75, VLOOKUP(B$2, Percentiles!$A$45:$I$59, 6, FALSE), perc_90, VLOOKUP(B$2, Percentiles!$A$45:$I$59, 7, FALSE), perc_95, VLOOKUP(B$2, Percentiles!$A$45:$I$59, 8, FALSE), perc_85, perc_75 + (perc_90 - perc_75) * (2/3), converted_stat, '2K_Ratings'!B121, IF(bbgm_stat &gt;= perc_95, converted_stat * 3, IF(bbgm_stat &gt;= perc_90, converted_stat * 2, IF(bbgm_stat &gt;= perc_85, converted_stat * 1.5, converted_stat)))))</f>
        <v/>
      </c>
      <c r="C121" s="30" t="str">
        <f t="array" ref="C121">IF($A121="", "", LET(bbgm_stat, INDEX(Players!$A120:$P120, MATCH(C$2, Players!$A$1:$P$1, 0)), perc_75, VLOOKUP(C$2, Percentiles!$A$45:$I$59, 6, FALSE), perc_90, VLOOKUP(C$2, Percentiles!$A$45:$I$59, 7, FALSE), perc_95, VLOOKUP(C$2, Percentiles!$A$45:$I$59, 8, FALSE), perc_85, perc_75 + (perc_90 - perc_75) * (2/3), converted_stat, '2K_Ratings'!C121, IF(bbgm_stat &gt;= perc_95, converted_stat * 3, IF(bbgm_stat &gt;= perc_90, converted_stat * 2, IF(bbgm_stat &gt;= perc_85, converted_stat * 1.5, converted_stat)))))</f>
        <v/>
      </c>
      <c r="D121" s="30" t="str">
        <f t="array" ref="D121">IF($A121="", "", LET(bbgm_stat, INDEX(Players!$A120:$P120, MATCH(D$2, Players!$A$1:$P$1, 0)), perc_75, VLOOKUP(D$2, Percentiles!$A$45:$I$59, 6, FALSE), perc_90, VLOOKUP(D$2, Percentiles!$A$45:$I$59, 7, FALSE), perc_95, VLOOKUP(D$2, Percentiles!$A$45:$I$59, 8, FALSE), perc_85, perc_75 + (perc_90 - perc_75) * (2/3), converted_stat, '2K_Ratings'!D121, IF(bbgm_stat &gt;= perc_95, converted_stat * 3, IF(bbgm_stat &gt;= perc_90, converted_stat * 2, IF(bbgm_stat &gt;= perc_85, converted_stat * 1.5, converted_stat)))))</f>
        <v/>
      </c>
      <c r="E121" s="30" t="str">
        <f t="array" ref="E121">IF($A121="", "", LET(bbgm_stat, INDEX(Players!$A120:$P120, MATCH(E$2, Players!$A$1:$P$1, 0)), perc_75, VLOOKUP(E$2, Percentiles!$A$45:$I$59, 6, FALSE), perc_90, VLOOKUP(E$2, Percentiles!$A$45:$I$59, 7, FALSE), perc_95, VLOOKUP(E$2, Percentiles!$A$45:$I$59, 8, FALSE), perc_85, perc_75 + (perc_90 - perc_75) * (2/3), converted_stat, '2K_Ratings'!E121, IF(bbgm_stat &gt;= perc_95, converted_stat * 3, IF(bbgm_stat &gt;= perc_90, converted_stat * 2, IF(bbgm_stat &gt;= perc_85, converted_stat * 1.5, converted_stat)))))</f>
        <v/>
      </c>
      <c r="F121" s="30" t="str">
        <f t="array" ref="F121">IF($A121="", "", LET(bbgm_stat, INDEX(Players!$A120:$P120, MATCH(F$2, Players!$A$1:$P$1, 0)), perc_75, VLOOKUP(F$2, Percentiles!$A$45:$I$59, 6, FALSE), perc_90, VLOOKUP(F$2, Percentiles!$A$45:$I$59, 7, FALSE), perc_95, VLOOKUP(F$2, Percentiles!$A$45:$I$59, 8, FALSE), perc_85, perc_75 + (perc_90 - perc_75) * (2/3), converted_stat, '2K_Ratings'!F121, IF(bbgm_stat &gt;= perc_95, converted_stat * 3, IF(bbgm_stat &gt;= perc_90, converted_stat * 2, IF(bbgm_stat &gt;= perc_85, converted_stat * 1.5, converted_stat)))))</f>
        <v/>
      </c>
      <c r="G121" s="30" t="str">
        <f t="array" ref="G121">IF($A121="", "", LET(bbgm_stat, INDEX(Players!$A120:$P120, MATCH(G$2, Players!$A$1:$P$1, 0)), perc_75, VLOOKUP(G$2, Percentiles!$A$45:$I$59, 6, FALSE), perc_90, VLOOKUP(G$2, Percentiles!$A$45:$I$59, 7, FALSE), perc_95, VLOOKUP(G$2, Percentiles!$A$45:$I$59, 8, FALSE), perc_85, perc_75 + (perc_90 - perc_75) * (2/3), converted_stat, '2K_Ratings'!G121, IF(bbgm_stat &gt;= perc_95, converted_stat * 3, IF(bbgm_stat &gt;= perc_90, converted_stat * 2, IF(bbgm_stat &gt;= perc_85, converted_stat * 1.5, converted_stat)))))</f>
        <v/>
      </c>
      <c r="H121" s="30" t="str">
        <f t="array" ref="H121">IF($A121="", "", LET(bbgm_stat, INDEX(Players!$A120:$P120, MATCH(H$2, Players!$A$1:$P$1, 0)), perc_75, VLOOKUP(H$2, Percentiles!$A$45:$I$59, 6, FALSE), perc_90, VLOOKUP(H$2, Percentiles!$A$45:$I$59, 7, FALSE), perc_95, VLOOKUP(H$2, Percentiles!$A$45:$I$59, 8, FALSE), perc_85, perc_75 + (perc_90 - perc_75) * (2/3), converted_stat, '2K_Ratings'!H121, IF(bbgm_stat &gt;= perc_95, converted_stat * 3, IF(bbgm_stat &gt;= perc_90, converted_stat * 2, IF(bbgm_stat &gt;= perc_85, converted_stat * 1.5, converted_stat)))))</f>
        <v/>
      </c>
      <c r="I121" s="30" t="str">
        <f t="array" ref="I121">IF($A121="", "", LET(bbgm_stat, INDEX(Players!$A120:$P120, MATCH(I$2, Players!$A$1:$P$1, 0)), perc_75, VLOOKUP(I$2, Percentiles!$A$45:$I$59, 6, FALSE), perc_90, VLOOKUP(I$2, Percentiles!$A$45:$I$59, 7, FALSE), perc_95, VLOOKUP(I$2, Percentiles!$A$45:$I$59, 8, FALSE), perc_85, perc_75 + (perc_90 - perc_75) * (2/3), converted_stat, '2K_Ratings'!I121, IF(bbgm_stat &gt;= perc_95, converted_stat * 3, IF(bbgm_stat &gt;= perc_90, converted_stat * 2, IF(bbgm_stat &gt;= perc_85, converted_stat * 1.5, converted_stat)))))</f>
        <v/>
      </c>
      <c r="J121" s="30" t="str">
        <f t="array" ref="J121">IF($A121="", "", LET(bbgm_stat, INDEX(Players!$A120:$P120, MATCH(J$2, Players!$A$1:$P$1, 0)), perc_75, VLOOKUP(J$2, Percentiles!$A$45:$I$59, 6, FALSE), perc_90, VLOOKUP(J$2, Percentiles!$A$45:$I$59, 7, FALSE), perc_95, VLOOKUP(J$2, Percentiles!$A$45:$I$59, 8, FALSE), perc_85, perc_75 + (perc_90 - perc_75) * (2/3), converted_stat, '2K_Ratings'!J121, IF(bbgm_stat &gt;= perc_95, converted_stat * 3, IF(bbgm_stat &gt;= perc_90, converted_stat * 2, IF(bbgm_stat &gt;= perc_85, converted_stat * 1.5, converted_stat)))))</f>
        <v/>
      </c>
      <c r="K121" s="30" t="str">
        <f t="array" ref="K121">IF($A121="", "", LET(bbgm_stat, INDEX(Players!$A120:$P120, MATCH(K$2, Players!$A$1:$P$1, 0)), perc_75, VLOOKUP(K$2, Percentiles!$A$45:$I$59, 6, FALSE), perc_90, VLOOKUP(K$2, Percentiles!$A$45:$I$59, 7, FALSE), perc_95, VLOOKUP(K$2, Percentiles!$A$45:$I$59, 8, FALSE), perc_85, perc_75 + (perc_90 - perc_75) * (2/3), converted_stat, '2K_Ratings'!K121, IF(bbgm_stat &gt;= perc_95, converted_stat * 3, IF(bbgm_stat &gt;= perc_90, converted_stat * 2, IF(bbgm_stat &gt;= perc_85, converted_stat * 1.5, converted_stat)))))</f>
        <v/>
      </c>
      <c r="L121" s="30" t="str">
        <f t="array" ref="L121">IF($A121="", "", LET(bbgm_stat, INDEX(Players!$A120:$P120, MATCH(L$2, Players!$A$1:$P$1, 0)), perc_75, VLOOKUP(L$2, Percentiles!$A$45:$I$59, 6, FALSE), perc_90, VLOOKUP(L$2, Percentiles!$A$45:$I$59, 7, FALSE), perc_95, VLOOKUP(L$2, Percentiles!$A$45:$I$59, 8, FALSE), perc_85, perc_75 + (perc_90 - perc_75) * (2/3), converted_stat, '2K_Ratings'!L121, IF(bbgm_stat &gt;= perc_95, converted_stat * 3, IF(bbgm_stat &gt;= perc_90, converted_stat * 2, IF(bbgm_stat &gt;= perc_85, converted_stat * 1.5, converted_stat)))))</f>
        <v/>
      </c>
      <c r="M121" s="30" t="str">
        <f t="array" ref="M121">IF($A121="", "", LET(bbgm_stat, INDEX(Players!$A120:$P120, MATCH(M$2, Players!$A$1:$P$1, 0)), perc_75, VLOOKUP(M$2, Percentiles!$A$45:$I$59, 6, FALSE), perc_90, VLOOKUP(M$2, Percentiles!$A$45:$I$59, 7, FALSE), perc_95, VLOOKUP(M$2, Percentiles!$A$45:$I$59, 8, FALSE), perc_85, perc_75 + (perc_90 - perc_75) * (2/3), converted_stat, '2K_Ratings'!M121, IF(bbgm_stat &gt;= perc_95, converted_stat * 3, IF(bbgm_stat &gt;= perc_90, converted_stat * 2, IF(bbgm_stat &gt;= perc_85, converted_stat * 1.5, converted_stat)))))</f>
        <v/>
      </c>
      <c r="N121" s="30" t="str">
        <f t="array" ref="N121">IF($A121="", "", LET(bbgm_stat, INDEX(Players!$A120:$P120, MATCH(N$2, Players!$A$1:$P$1, 0)), perc_75, VLOOKUP(N$2, Percentiles!$A$45:$I$59, 6, FALSE), perc_90, VLOOKUP(N$2, Percentiles!$A$45:$I$59, 7, FALSE), perc_95, VLOOKUP(N$2, Percentiles!$A$45:$I$59, 8, FALSE), perc_85, perc_75 + (perc_90 - perc_75) * (2/3), converted_stat, '2K_Ratings'!N121, IF(bbgm_stat &gt;= perc_95, converted_stat * 3, IF(bbgm_stat &gt;= perc_90, converted_stat * 2, IF(bbgm_stat &gt;= perc_85, converted_stat * 1.5, converted_stat)))))</f>
        <v/>
      </c>
      <c r="O121" s="30" t="str">
        <f t="array" ref="O121">IF($A121="", "", LET(bbgm_stat, INDEX(Players!$A120:$P120, MATCH(O$2, Players!$A$1:$P$1, 0)), perc_75, VLOOKUP(O$2, Percentiles!$A$45:$I$59, 6, FALSE), perc_90, VLOOKUP(O$2, Percentiles!$A$45:$I$59, 7, FALSE), perc_95, VLOOKUP(O$2, Percentiles!$A$45:$I$59, 8, FALSE), perc_85, perc_75 + (perc_90 - perc_75) * (2/3), converted_stat, '2K_Ratings'!O121, IF(bbgm_stat &gt;= perc_95, converted_stat * 3, IF(bbgm_stat &gt;= perc_90, converted_stat * 2, IF(bbgm_stat &gt;= perc_85, converted_stat * 1.5, converted_stat)))))</f>
        <v/>
      </c>
      <c r="P121" s="30" t="str">
        <f t="array" ref="P121">IF($A121="", "", LET(bbgm_stat, INDEX(Players!$A120:$P120, MATCH(P$2, Players!$A$1:$P$1, 0)), perc_75, VLOOKUP(P$2, Percentiles!$A$45:$I$59, 6, FALSE), perc_90, VLOOKUP(P$2, Percentiles!$A$45:$I$59, 7, FALSE), perc_95, VLOOKUP(P$2, Percentiles!$A$45:$I$59, 8, FALSE), perc_85, perc_75 + (perc_90 - perc_75) * (2/3), converted_stat, '2K_Ratings'!P121, IF(bbgm_stat &gt;= perc_95, converted_stat * 3, IF(bbgm_stat &gt;= perc_90, converted_stat * 2, IF(bbgm_stat &gt;= perc_85, converted_stat * 1.5, converted_stat)))))</f>
        <v/>
      </c>
      <c r="Q121" s="30" t="str">
        <f t="array" ref="Q121">IF($A121="", "", LET(bbgm_stat, INDEX(Players!$A120:$P120, MATCH(Q$2, Players!$A$1:$P$1, 0)), perc_75, VLOOKUP(Q$2, Percentiles!$A$45:$I$59, 6, FALSE), perc_90, VLOOKUP(Q$2, Percentiles!$A$45:$I$59, 7, FALSE), perc_95, VLOOKUP(Q$2, Percentiles!$A$45:$I$59, 8, FALSE), perc_85, perc_75 + (perc_90 - perc_75) * (2/3), converted_stat, '2K_Ratings'!Q121, IF(bbgm_stat &gt;= perc_95, converted_stat * 3, IF(bbgm_stat &gt;= perc_90, converted_stat * 2, IF(bbgm_stat &gt;= perc_85, converted_stat * 1.5, converted_stat)))))</f>
        <v/>
      </c>
      <c r="R121" s="30" t="str">
        <f t="array" ref="R121">IF($A121="", "", LET(bbgm_stat, INDEX(Players!$A120:$P120, MATCH(R$2, Players!$A$1:$P$1, 0)), perc_75, VLOOKUP(R$2, Percentiles!$A$45:$I$59, 6, FALSE), perc_90, VLOOKUP(R$2, Percentiles!$A$45:$I$59, 7, FALSE), perc_95, VLOOKUP(R$2, Percentiles!$A$45:$I$59, 8, FALSE), perc_85, perc_75 + (perc_90 - perc_75) * (2/3), converted_stat, '2K_Ratings'!R121, IF(bbgm_stat &gt;= perc_95, converted_stat * 3, IF(bbgm_stat &gt;= perc_90, converted_stat * 2, IF(bbgm_stat &gt;= perc_85, converted_stat * 1.5, converted_stat)))))</f>
        <v/>
      </c>
      <c r="S121" s="30" t="str">
        <f t="array" ref="S121">IF($A121="", "", LET(bbgm_stat, INDEX(Players!$A120:$P120, MATCH(S$2, Players!$A$1:$P$1, 0)), perc_75, VLOOKUP(S$2, Percentiles!$A$45:$I$59, 6, FALSE), perc_90, VLOOKUP(S$2, Percentiles!$A$45:$I$59, 7, FALSE), perc_95, VLOOKUP(S$2, Percentiles!$A$45:$I$59, 8, FALSE), perc_85, perc_75 + (perc_90 - perc_75) * (2/3), converted_stat, '2K_Ratings'!S121, IF(bbgm_stat &gt;= perc_95, converted_stat * 3, IF(bbgm_stat &gt;= perc_90, converted_stat * 2, IF(bbgm_stat &gt;= perc_85, converted_stat * 1.5, converted_stat)))))</f>
        <v/>
      </c>
      <c r="T121" s="30" t="str">
        <f t="array" ref="T121">IF($A121="", "", LET(bbgm_stat, INDEX(Players!$A120:$P120, MATCH(T$2, Players!$A$1:$P$1, 0)), perc_75, VLOOKUP(T$2, Percentiles!$A$45:$I$59, 6, FALSE), perc_90, VLOOKUP(T$2, Percentiles!$A$45:$I$59, 7, FALSE), perc_95, VLOOKUP(T$2, Percentiles!$A$45:$I$59, 8, FALSE), perc_85, perc_75 + (perc_90 - perc_75) * (2/3), converted_stat, '2K_Ratings'!T121, IF(bbgm_stat &gt;= perc_95, converted_stat * 3, IF(bbgm_stat &gt;= perc_90, converted_stat * 2, IF(bbgm_stat &gt;= perc_85, converted_stat * 1.5, converted_stat)))))</f>
        <v/>
      </c>
      <c r="U121" s="30" t="str">
        <f t="array" ref="U121">IF($A121="", "", LET(bbgm_stat, INDEX(Players!$A120:$P120, MATCH(U$2, Players!$A$1:$P$1, 0)), perc_75, VLOOKUP(U$2, Percentiles!$A$45:$I$59, 6, FALSE), perc_90, VLOOKUP(U$2, Percentiles!$A$45:$I$59, 7, FALSE), perc_95, VLOOKUP(U$2, Percentiles!$A$45:$I$59, 8, FALSE), perc_85, perc_75 + (perc_90 - perc_75) * (2/3), converted_stat, '2K_Ratings'!U121, IF(bbgm_stat &gt;= perc_95, converted_stat * 3, IF(bbgm_stat &gt;= perc_90, converted_stat * 2, IF(bbgm_stat &gt;= perc_85, converted_stat * 1.5, converted_stat)))))</f>
        <v/>
      </c>
      <c r="V121" s="30" t="str">
        <f t="array" ref="V121">IF($A121="", "", LET(bbgm_stat, INDEX(Players!$A120:$P120, MATCH(V$2, Players!$A$1:$P$1, 0)), perc_75, VLOOKUP(V$2, Percentiles!$A$45:$I$59, 6, FALSE), perc_90, VLOOKUP(V$2, Percentiles!$A$45:$I$59, 7, FALSE), perc_95, VLOOKUP(V$2, Percentiles!$A$45:$I$59, 8, FALSE), perc_85, perc_75 + (perc_90 - perc_75) * (2/3), converted_stat, '2K_Ratings'!V121, IF(bbgm_stat &gt;= perc_95, converted_stat * 3, IF(bbgm_stat &gt;= perc_90, converted_stat * 2, IF(bbgm_stat &gt;= perc_85, converted_stat * 1.5, converted_stat)))))</f>
        <v/>
      </c>
      <c r="W121" s="30" t="str">
        <f t="array" ref="W121">IF($A121="", "", LET(bbgm_stat, INDEX(Players!$A120:$P120, MATCH(W$2, Players!$A$1:$P$1, 0)), perc_75, VLOOKUP(W$2, Percentiles!$A$45:$I$59, 6, FALSE), perc_90, VLOOKUP(W$2, Percentiles!$A$45:$I$59, 7, FALSE), perc_95, VLOOKUP(W$2, Percentiles!$A$45:$I$59, 8, FALSE), perc_85, perc_75 + (perc_90 - perc_75) * (2/3), converted_stat, '2K_Ratings'!W121, IF(bbgm_stat &gt;= perc_95, converted_stat * 3, IF(bbgm_stat &gt;= perc_90, converted_stat * 2, IF(bbgm_stat &gt;= perc_85, converted_stat * 1.5, converted_stat)))))</f>
        <v/>
      </c>
    </row>
    <row r="122">
      <c r="A122" s="30"/>
      <c r="B122" s="30" t="str">
        <f t="array" ref="B122">IF($A122="", "", LET(bbgm_stat, INDEX(Players!$A121:$P121, MATCH(B$2, Players!$A$1:$P$1, 0)), perc_75, VLOOKUP(B$2, Percentiles!$A$45:$I$59, 6, FALSE), perc_90, VLOOKUP(B$2, Percentiles!$A$45:$I$59, 7, FALSE), perc_95, VLOOKUP(B$2, Percentiles!$A$45:$I$59, 8, FALSE), perc_85, perc_75 + (perc_90 - perc_75) * (2/3), converted_stat, '2K_Ratings'!B122, IF(bbgm_stat &gt;= perc_95, converted_stat * 3, IF(bbgm_stat &gt;= perc_90, converted_stat * 2, IF(bbgm_stat &gt;= perc_85, converted_stat * 1.5, converted_stat)))))</f>
        <v/>
      </c>
      <c r="C122" s="30" t="str">
        <f t="array" ref="C122">IF($A122="", "", LET(bbgm_stat, INDEX(Players!$A121:$P121, MATCH(C$2, Players!$A$1:$P$1, 0)), perc_75, VLOOKUP(C$2, Percentiles!$A$45:$I$59, 6, FALSE), perc_90, VLOOKUP(C$2, Percentiles!$A$45:$I$59, 7, FALSE), perc_95, VLOOKUP(C$2, Percentiles!$A$45:$I$59, 8, FALSE), perc_85, perc_75 + (perc_90 - perc_75) * (2/3), converted_stat, '2K_Ratings'!C122, IF(bbgm_stat &gt;= perc_95, converted_stat * 3, IF(bbgm_stat &gt;= perc_90, converted_stat * 2, IF(bbgm_stat &gt;= perc_85, converted_stat * 1.5, converted_stat)))))</f>
        <v/>
      </c>
      <c r="D122" s="30" t="str">
        <f t="array" ref="D122">IF($A122="", "", LET(bbgm_stat, INDEX(Players!$A121:$P121, MATCH(D$2, Players!$A$1:$P$1, 0)), perc_75, VLOOKUP(D$2, Percentiles!$A$45:$I$59, 6, FALSE), perc_90, VLOOKUP(D$2, Percentiles!$A$45:$I$59, 7, FALSE), perc_95, VLOOKUP(D$2, Percentiles!$A$45:$I$59, 8, FALSE), perc_85, perc_75 + (perc_90 - perc_75) * (2/3), converted_stat, '2K_Ratings'!D122, IF(bbgm_stat &gt;= perc_95, converted_stat * 3, IF(bbgm_stat &gt;= perc_90, converted_stat * 2, IF(bbgm_stat &gt;= perc_85, converted_stat * 1.5, converted_stat)))))</f>
        <v/>
      </c>
      <c r="E122" s="30" t="str">
        <f t="array" ref="E122">IF($A122="", "", LET(bbgm_stat, INDEX(Players!$A121:$P121, MATCH(E$2, Players!$A$1:$P$1, 0)), perc_75, VLOOKUP(E$2, Percentiles!$A$45:$I$59, 6, FALSE), perc_90, VLOOKUP(E$2, Percentiles!$A$45:$I$59, 7, FALSE), perc_95, VLOOKUP(E$2, Percentiles!$A$45:$I$59, 8, FALSE), perc_85, perc_75 + (perc_90 - perc_75) * (2/3), converted_stat, '2K_Ratings'!E122, IF(bbgm_stat &gt;= perc_95, converted_stat * 3, IF(bbgm_stat &gt;= perc_90, converted_stat * 2, IF(bbgm_stat &gt;= perc_85, converted_stat * 1.5, converted_stat)))))</f>
        <v/>
      </c>
      <c r="F122" s="30" t="str">
        <f t="array" ref="F122">IF($A122="", "", LET(bbgm_stat, INDEX(Players!$A121:$P121, MATCH(F$2, Players!$A$1:$P$1, 0)), perc_75, VLOOKUP(F$2, Percentiles!$A$45:$I$59, 6, FALSE), perc_90, VLOOKUP(F$2, Percentiles!$A$45:$I$59, 7, FALSE), perc_95, VLOOKUP(F$2, Percentiles!$A$45:$I$59, 8, FALSE), perc_85, perc_75 + (perc_90 - perc_75) * (2/3), converted_stat, '2K_Ratings'!F122, IF(bbgm_stat &gt;= perc_95, converted_stat * 3, IF(bbgm_stat &gt;= perc_90, converted_stat * 2, IF(bbgm_stat &gt;= perc_85, converted_stat * 1.5, converted_stat)))))</f>
        <v/>
      </c>
      <c r="G122" s="30" t="str">
        <f t="array" ref="G122">IF($A122="", "", LET(bbgm_stat, INDEX(Players!$A121:$P121, MATCH(G$2, Players!$A$1:$P$1, 0)), perc_75, VLOOKUP(G$2, Percentiles!$A$45:$I$59, 6, FALSE), perc_90, VLOOKUP(G$2, Percentiles!$A$45:$I$59, 7, FALSE), perc_95, VLOOKUP(G$2, Percentiles!$A$45:$I$59, 8, FALSE), perc_85, perc_75 + (perc_90 - perc_75) * (2/3), converted_stat, '2K_Ratings'!G122, IF(bbgm_stat &gt;= perc_95, converted_stat * 3, IF(bbgm_stat &gt;= perc_90, converted_stat * 2, IF(bbgm_stat &gt;= perc_85, converted_stat * 1.5, converted_stat)))))</f>
        <v/>
      </c>
      <c r="H122" s="30" t="str">
        <f t="array" ref="H122">IF($A122="", "", LET(bbgm_stat, INDEX(Players!$A121:$P121, MATCH(H$2, Players!$A$1:$P$1, 0)), perc_75, VLOOKUP(H$2, Percentiles!$A$45:$I$59, 6, FALSE), perc_90, VLOOKUP(H$2, Percentiles!$A$45:$I$59, 7, FALSE), perc_95, VLOOKUP(H$2, Percentiles!$A$45:$I$59, 8, FALSE), perc_85, perc_75 + (perc_90 - perc_75) * (2/3), converted_stat, '2K_Ratings'!H122, IF(bbgm_stat &gt;= perc_95, converted_stat * 3, IF(bbgm_stat &gt;= perc_90, converted_stat * 2, IF(bbgm_stat &gt;= perc_85, converted_stat * 1.5, converted_stat)))))</f>
        <v/>
      </c>
      <c r="I122" s="30" t="str">
        <f t="array" ref="I122">IF($A122="", "", LET(bbgm_stat, INDEX(Players!$A121:$P121, MATCH(I$2, Players!$A$1:$P$1, 0)), perc_75, VLOOKUP(I$2, Percentiles!$A$45:$I$59, 6, FALSE), perc_90, VLOOKUP(I$2, Percentiles!$A$45:$I$59, 7, FALSE), perc_95, VLOOKUP(I$2, Percentiles!$A$45:$I$59, 8, FALSE), perc_85, perc_75 + (perc_90 - perc_75) * (2/3), converted_stat, '2K_Ratings'!I122, IF(bbgm_stat &gt;= perc_95, converted_stat * 3, IF(bbgm_stat &gt;= perc_90, converted_stat * 2, IF(bbgm_stat &gt;= perc_85, converted_stat * 1.5, converted_stat)))))</f>
        <v/>
      </c>
      <c r="J122" s="30" t="str">
        <f t="array" ref="J122">IF($A122="", "", LET(bbgm_stat, INDEX(Players!$A121:$P121, MATCH(J$2, Players!$A$1:$P$1, 0)), perc_75, VLOOKUP(J$2, Percentiles!$A$45:$I$59, 6, FALSE), perc_90, VLOOKUP(J$2, Percentiles!$A$45:$I$59, 7, FALSE), perc_95, VLOOKUP(J$2, Percentiles!$A$45:$I$59, 8, FALSE), perc_85, perc_75 + (perc_90 - perc_75) * (2/3), converted_stat, '2K_Ratings'!J122, IF(bbgm_stat &gt;= perc_95, converted_stat * 3, IF(bbgm_stat &gt;= perc_90, converted_stat * 2, IF(bbgm_stat &gt;= perc_85, converted_stat * 1.5, converted_stat)))))</f>
        <v/>
      </c>
      <c r="K122" s="30" t="str">
        <f t="array" ref="K122">IF($A122="", "", LET(bbgm_stat, INDEX(Players!$A121:$P121, MATCH(K$2, Players!$A$1:$P$1, 0)), perc_75, VLOOKUP(K$2, Percentiles!$A$45:$I$59, 6, FALSE), perc_90, VLOOKUP(K$2, Percentiles!$A$45:$I$59, 7, FALSE), perc_95, VLOOKUP(K$2, Percentiles!$A$45:$I$59, 8, FALSE), perc_85, perc_75 + (perc_90 - perc_75) * (2/3), converted_stat, '2K_Ratings'!K122, IF(bbgm_stat &gt;= perc_95, converted_stat * 3, IF(bbgm_stat &gt;= perc_90, converted_stat * 2, IF(bbgm_stat &gt;= perc_85, converted_stat * 1.5, converted_stat)))))</f>
        <v/>
      </c>
      <c r="L122" s="30" t="str">
        <f t="array" ref="L122">IF($A122="", "", LET(bbgm_stat, INDEX(Players!$A121:$P121, MATCH(L$2, Players!$A$1:$P$1, 0)), perc_75, VLOOKUP(L$2, Percentiles!$A$45:$I$59, 6, FALSE), perc_90, VLOOKUP(L$2, Percentiles!$A$45:$I$59, 7, FALSE), perc_95, VLOOKUP(L$2, Percentiles!$A$45:$I$59, 8, FALSE), perc_85, perc_75 + (perc_90 - perc_75) * (2/3), converted_stat, '2K_Ratings'!L122, IF(bbgm_stat &gt;= perc_95, converted_stat * 3, IF(bbgm_stat &gt;= perc_90, converted_stat * 2, IF(bbgm_stat &gt;= perc_85, converted_stat * 1.5, converted_stat)))))</f>
        <v/>
      </c>
      <c r="M122" s="30" t="str">
        <f t="array" ref="M122">IF($A122="", "", LET(bbgm_stat, INDEX(Players!$A121:$P121, MATCH(M$2, Players!$A$1:$P$1, 0)), perc_75, VLOOKUP(M$2, Percentiles!$A$45:$I$59, 6, FALSE), perc_90, VLOOKUP(M$2, Percentiles!$A$45:$I$59, 7, FALSE), perc_95, VLOOKUP(M$2, Percentiles!$A$45:$I$59, 8, FALSE), perc_85, perc_75 + (perc_90 - perc_75) * (2/3), converted_stat, '2K_Ratings'!M122, IF(bbgm_stat &gt;= perc_95, converted_stat * 3, IF(bbgm_stat &gt;= perc_90, converted_stat * 2, IF(bbgm_stat &gt;= perc_85, converted_stat * 1.5, converted_stat)))))</f>
        <v/>
      </c>
      <c r="N122" s="30" t="str">
        <f t="array" ref="N122">IF($A122="", "", LET(bbgm_stat, INDEX(Players!$A121:$P121, MATCH(N$2, Players!$A$1:$P$1, 0)), perc_75, VLOOKUP(N$2, Percentiles!$A$45:$I$59, 6, FALSE), perc_90, VLOOKUP(N$2, Percentiles!$A$45:$I$59, 7, FALSE), perc_95, VLOOKUP(N$2, Percentiles!$A$45:$I$59, 8, FALSE), perc_85, perc_75 + (perc_90 - perc_75) * (2/3), converted_stat, '2K_Ratings'!N122, IF(bbgm_stat &gt;= perc_95, converted_stat * 3, IF(bbgm_stat &gt;= perc_90, converted_stat * 2, IF(bbgm_stat &gt;= perc_85, converted_stat * 1.5, converted_stat)))))</f>
        <v/>
      </c>
      <c r="O122" s="30" t="str">
        <f t="array" ref="O122">IF($A122="", "", LET(bbgm_stat, INDEX(Players!$A121:$P121, MATCH(O$2, Players!$A$1:$P$1, 0)), perc_75, VLOOKUP(O$2, Percentiles!$A$45:$I$59, 6, FALSE), perc_90, VLOOKUP(O$2, Percentiles!$A$45:$I$59, 7, FALSE), perc_95, VLOOKUP(O$2, Percentiles!$A$45:$I$59, 8, FALSE), perc_85, perc_75 + (perc_90 - perc_75) * (2/3), converted_stat, '2K_Ratings'!O122, IF(bbgm_stat &gt;= perc_95, converted_stat * 3, IF(bbgm_stat &gt;= perc_90, converted_stat * 2, IF(bbgm_stat &gt;= perc_85, converted_stat * 1.5, converted_stat)))))</f>
        <v/>
      </c>
      <c r="P122" s="30" t="str">
        <f t="array" ref="P122">IF($A122="", "", LET(bbgm_stat, INDEX(Players!$A121:$P121, MATCH(P$2, Players!$A$1:$P$1, 0)), perc_75, VLOOKUP(P$2, Percentiles!$A$45:$I$59, 6, FALSE), perc_90, VLOOKUP(P$2, Percentiles!$A$45:$I$59, 7, FALSE), perc_95, VLOOKUP(P$2, Percentiles!$A$45:$I$59, 8, FALSE), perc_85, perc_75 + (perc_90 - perc_75) * (2/3), converted_stat, '2K_Ratings'!P122, IF(bbgm_stat &gt;= perc_95, converted_stat * 3, IF(bbgm_stat &gt;= perc_90, converted_stat * 2, IF(bbgm_stat &gt;= perc_85, converted_stat * 1.5, converted_stat)))))</f>
        <v/>
      </c>
      <c r="Q122" s="30" t="str">
        <f t="array" ref="Q122">IF($A122="", "", LET(bbgm_stat, INDEX(Players!$A121:$P121, MATCH(Q$2, Players!$A$1:$P$1, 0)), perc_75, VLOOKUP(Q$2, Percentiles!$A$45:$I$59, 6, FALSE), perc_90, VLOOKUP(Q$2, Percentiles!$A$45:$I$59, 7, FALSE), perc_95, VLOOKUP(Q$2, Percentiles!$A$45:$I$59, 8, FALSE), perc_85, perc_75 + (perc_90 - perc_75) * (2/3), converted_stat, '2K_Ratings'!Q122, IF(bbgm_stat &gt;= perc_95, converted_stat * 3, IF(bbgm_stat &gt;= perc_90, converted_stat * 2, IF(bbgm_stat &gt;= perc_85, converted_stat * 1.5, converted_stat)))))</f>
        <v/>
      </c>
      <c r="R122" s="30" t="str">
        <f t="array" ref="R122">IF($A122="", "", LET(bbgm_stat, INDEX(Players!$A121:$P121, MATCH(R$2, Players!$A$1:$P$1, 0)), perc_75, VLOOKUP(R$2, Percentiles!$A$45:$I$59, 6, FALSE), perc_90, VLOOKUP(R$2, Percentiles!$A$45:$I$59, 7, FALSE), perc_95, VLOOKUP(R$2, Percentiles!$A$45:$I$59, 8, FALSE), perc_85, perc_75 + (perc_90 - perc_75) * (2/3), converted_stat, '2K_Ratings'!R122, IF(bbgm_stat &gt;= perc_95, converted_stat * 3, IF(bbgm_stat &gt;= perc_90, converted_stat * 2, IF(bbgm_stat &gt;= perc_85, converted_stat * 1.5, converted_stat)))))</f>
        <v/>
      </c>
      <c r="S122" s="30" t="str">
        <f t="array" ref="S122">IF($A122="", "", LET(bbgm_stat, INDEX(Players!$A121:$P121, MATCH(S$2, Players!$A$1:$P$1, 0)), perc_75, VLOOKUP(S$2, Percentiles!$A$45:$I$59, 6, FALSE), perc_90, VLOOKUP(S$2, Percentiles!$A$45:$I$59, 7, FALSE), perc_95, VLOOKUP(S$2, Percentiles!$A$45:$I$59, 8, FALSE), perc_85, perc_75 + (perc_90 - perc_75) * (2/3), converted_stat, '2K_Ratings'!S122, IF(bbgm_stat &gt;= perc_95, converted_stat * 3, IF(bbgm_stat &gt;= perc_90, converted_stat * 2, IF(bbgm_stat &gt;= perc_85, converted_stat * 1.5, converted_stat)))))</f>
        <v/>
      </c>
      <c r="T122" s="30" t="str">
        <f t="array" ref="T122">IF($A122="", "", LET(bbgm_stat, INDEX(Players!$A121:$P121, MATCH(T$2, Players!$A$1:$P$1, 0)), perc_75, VLOOKUP(T$2, Percentiles!$A$45:$I$59, 6, FALSE), perc_90, VLOOKUP(T$2, Percentiles!$A$45:$I$59, 7, FALSE), perc_95, VLOOKUP(T$2, Percentiles!$A$45:$I$59, 8, FALSE), perc_85, perc_75 + (perc_90 - perc_75) * (2/3), converted_stat, '2K_Ratings'!T122, IF(bbgm_stat &gt;= perc_95, converted_stat * 3, IF(bbgm_stat &gt;= perc_90, converted_stat * 2, IF(bbgm_stat &gt;= perc_85, converted_stat * 1.5, converted_stat)))))</f>
        <v/>
      </c>
      <c r="U122" s="30" t="str">
        <f t="array" ref="U122">IF($A122="", "", LET(bbgm_stat, INDEX(Players!$A121:$P121, MATCH(U$2, Players!$A$1:$P$1, 0)), perc_75, VLOOKUP(U$2, Percentiles!$A$45:$I$59, 6, FALSE), perc_90, VLOOKUP(U$2, Percentiles!$A$45:$I$59, 7, FALSE), perc_95, VLOOKUP(U$2, Percentiles!$A$45:$I$59, 8, FALSE), perc_85, perc_75 + (perc_90 - perc_75) * (2/3), converted_stat, '2K_Ratings'!U122, IF(bbgm_stat &gt;= perc_95, converted_stat * 3, IF(bbgm_stat &gt;= perc_90, converted_stat * 2, IF(bbgm_stat &gt;= perc_85, converted_stat * 1.5, converted_stat)))))</f>
        <v/>
      </c>
      <c r="V122" s="30" t="str">
        <f t="array" ref="V122">IF($A122="", "", LET(bbgm_stat, INDEX(Players!$A121:$P121, MATCH(V$2, Players!$A$1:$P$1, 0)), perc_75, VLOOKUP(V$2, Percentiles!$A$45:$I$59, 6, FALSE), perc_90, VLOOKUP(V$2, Percentiles!$A$45:$I$59, 7, FALSE), perc_95, VLOOKUP(V$2, Percentiles!$A$45:$I$59, 8, FALSE), perc_85, perc_75 + (perc_90 - perc_75) * (2/3), converted_stat, '2K_Ratings'!V122, IF(bbgm_stat &gt;= perc_95, converted_stat * 3, IF(bbgm_stat &gt;= perc_90, converted_stat * 2, IF(bbgm_stat &gt;= perc_85, converted_stat * 1.5, converted_stat)))))</f>
        <v/>
      </c>
      <c r="W122" s="30" t="str">
        <f t="array" ref="W122">IF($A122="", "", LET(bbgm_stat, INDEX(Players!$A121:$P121, MATCH(W$2, Players!$A$1:$P$1, 0)), perc_75, VLOOKUP(W$2, Percentiles!$A$45:$I$59, 6, FALSE), perc_90, VLOOKUP(W$2, Percentiles!$A$45:$I$59, 7, FALSE), perc_95, VLOOKUP(W$2, Percentiles!$A$45:$I$59, 8, FALSE), perc_85, perc_75 + (perc_90 - perc_75) * (2/3), converted_stat, '2K_Ratings'!W122, IF(bbgm_stat &gt;= perc_95, converted_stat * 3, IF(bbgm_stat &gt;= perc_90, converted_stat * 2, IF(bbgm_stat &gt;= perc_85, converted_stat * 1.5, converted_stat)))))</f>
        <v/>
      </c>
    </row>
    <row r="123">
      <c r="A123" s="30"/>
      <c r="B123" s="30" t="str">
        <f t="array" ref="B123">IF($A123="", "", LET(bbgm_stat, INDEX(Players!$A122:$P122, MATCH(B$2, Players!$A$1:$P$1, 0)), perc_75, VLOOKUP(B$2, Percentiles!$A$45:$I$59, 6, FALSE), perc_90, VLOOKUP(B$2, Percentiles!$A$45:$I$59, 7, FALSE), perc_95, VLOOKUP(B$2, Percentiles!$A$45:$I$59, 8, FALSE), perc_85, perc_75 + (perc_90 - perc_75) * (2/3), converted_stat, '2K_Ratings'!B123, IF(bbgm_stat &gt;= perc_95, converted_stat * 3, IF(bbgm_stat &gt;= perc_90, converted_stat * 2, IF(bbgm_stat &gt;= perc_85, converted_stat * 1.5, converted_stat)))))</f>
        <v/>
      </c>
      <c r="C123" s="30" t="str">
        <f t="array" ref="C123">IF($A123="", "", LET(bbgm_stat, INDEX(Players!$A122:$P122, MATCH(C$2, Players!$A$1:$P$1, 0)), perc_75, VLOOKUP(C$2, Percentiles!$A$45:$I$59, 6, FALSE), perc_90, VLOOKUP(C$2, Percentiles!$A$45:$I$59, 7, FALSE), perc_95, VLOOKUP(C$2, Percentiles!$A$45:$I$59, 8, FALSE), perc_85, perc_75 + (perc_90 - perc_75) * (2/3), converted_stat, '2K_Ratings'!C123, IF(bbgm_stat &gt;= perc_95, converted_stat * 3, IF(bbgm_stat &gt;= perc_90, converted_stat * 2, IF(bbgm_stat &gt;= perc_85, converted_stat * 1.5, converted_stat)))))</f>
        <v/>
      </c>
      <c r="D123" s="30" t="str">
        <f t="array" ref="D123">IF($A123="", "", LET(bbgm_stat, INDEX(Players!$A122:$P122, MATCH(D$2, Players!$A$1:$P$1, 0)), perc_75, VLOOKUP(D$2, Percentiles!$A$45:$I$59, 6, FALSE), perc_90, VLOOKUP(D$2, Percentiles!$A$45:$I$59, 7, FALSE), perc_95, VLOOKUP(D$2, Percentiles!$A$45:$I$59, 8, FALSE), perc_85, perc_75 + (perc_90 - perc_75) * (2/3), converted_stat, '2K_Ratings'!D123, IF(bbgm_stat &gt;= perc_95, converted_stat * 3, IF(bbgm_stat &gt;= perc_90, converted_stat * 2, IF(bbgm_stat &gt;= perc_85, converted_stat * 1.5, converted_stat)))))</f>
        <v/>
      </c>
      <c r="E123" s="30" t="str">
        <f t="array" ref="E123">IF($A123="", "", LET(bbgm_stat, INDEX(Players!$A122:$P122, MATCH(E$2, Players!$A$1:$P$1, 0)), perc_75, VLOOKUP(E$2, Percentiles!$A$45:$I$59, 6, FALSE), perc_90, VLOOKUP(E$2, Percentiles!$A$45:$I$59, 7, FALSE), perc_95, VLOOKUP(E$2, Percentiles!$A$45:$I$59, 8, FALSE), perc_85, perc_75 + (perc_90 - perc_75) * (2/3), converted_stat, '2K_Ratings'!E123, IF(bbgm_stat &gt;= perc_95, converted_stat * 3, IF(bbgm_stat &gt;= perc_90, converted_stat * 2, IF(bbgm_stat &gt;= perc_85, converted_stat * 1.5, converted_stat)))))</f>
        <v/>
      </c>
      <c r="F123" s="30" t="str">
        <f t="array" ref="F123">IF($A123="", "", LET(bbgm_stat, INDEX(Players!$A122:$P122, MATCH(F$2, Players!$A$1:$P$1, 0)), perc_75, VLOOKUP(F$2, Percentiles!$A$45:$I$59, 6, FALSE), perc_90, VLOOKUP(F$2, Percentiles!$A$45:$I$59, 7, FALSE), perc_95, VLOOKUP(F$2, Percentiles!$A$45:$I$59, 8, FALSE), perc_85, perc_75 + (perc_90 - perc_75) * (2/3), converted_stat, '2K_Ratings'!F123, IF(bbgm_stat &gt;= perc_95, converted_stat * 3, IF(bbgm_stat &gt;= perc_90, converted_stat * 2, IF(bbgm_stat &gt;= perc_85, converted_stat * 1.5, converted_stat)))))</f>
        <v/>
      </c>
      <c r="G123" s="30" t="str">
        <f t="array" ref="G123">IF($A123="", "", LET(bbgm_stat, INDEX(Players!$A122:$P122, MATCH(G$2, Players!$A$1:$P$1, 0)), perc_75, VLOOKUP(G$2, Percentiles!$A$45:$I$59, 6, FALSE), perc_90, VLOOKUP(G$2, Percentiles!$A$45:$I$59, 7, FALSE), perc_95, VLOOKUP(G$2, Percentiles!$A$45:$I$59, 8, FALSE), perc_85, perc_75 + (perc_90 - perc_75) * (2/3), converted_stat, '2K_Ratings'!G123, IF(bbgm_stat &gt;= perc_95, converted_stat * 3, IF(bbgm_stat &gt;= perc_90, converted_stat * 2, IF(bbgm_stat &gt;= perc_85, converted_stat * 1.5, converted_stat)))))</f>
        <v/>
      </c>
      <c r="H123" s="30" t="str">
        <f t="array" ref="H123">IF($A123="", "", LET(bbgm_stat, INDEX(Players!$A122:$P122, MATCH(H$2, Players!$A$1:$P$1, 0)), perc_75, VLOOKUP(H$2, Percentiles!$A$45:$I$59, 6, FALSE), perc_90, VLOOKUP(H$2, Percentiles!$A$45:$I$59, 7, FALSE), perc_95, VLOOKUP(H$2, Percentiles!$A$45:$I$59, 8, FALSE), perc_85, perc_75 + (perc_90 - perc_75) * (2/3), converted_stat, '2K_Ratings'!H123, IF(bbgm_stat &gt;= perc_95, converted_stat * 3, IF(bbgm_stat &gt;= perc_90, converted_stat * 2, IF(bbgm_stat &gt;= perc_85, converted_stat * 1.5, converted_stat)))))</f>
        <v/>
      </c>
      <c r="I123" s="30" t="str">
        <f t="array" ref="I123">IF($A123="", "", LET(bbgm_stat, INDEX(Players!$A122:$P122, MATCH(I$2, Players!$A$1:$P$1, 0)), perc_75, VLOOKUP(I$2, Percentiles!$A$45:$I$59, 6, FALSE), perc_90, VLOOKUP(I$2, Percentiles!$A$45:$I$59, 7, FALSE), perc_95, VLOOKUP(I$2, Percentiles!$A$45:$I$59, 8, FALSE), perc_85, perc_75 + (perc_90 - perc_75) * (2/3), converted_stat, '2K_Ratings'!I123, IF(bbgm_stat &gt;= perc_95, converted_stat * 3, IF(bbgm_stat &gt;= perc_90, converted_stat * 2, IF(bbgm_stat &gt;= perc_85, converted_stat * 1.5, converted_stat)))))</f>
        <v/>
      </c>
      <c r="J123" s="30" t="str">
        <f t="array" ref="J123">IF($A123="", "", LET(bbgm_stat, INDEX(Players!$A122:$P122, MATCH(J$2, Players!$A$1:$P$1, 0)), perc_75, VLOOKUP(J$2, Percentiles!$A$45:$I$59, 6, FALSE), perc_90, VLOOKUP(J$2, Percentiles!$A$45:$I$59, 7, FALSE), perc_95, VLOOKUP(J$2, Percentiles!$A$45:$I$59, 8, FALSE), perc_85, perc_75 + (perc_90 - perc_75) * (2/3), converted_stat, '2K_Ratings'!J123, IF(bbgm_stat &gt;= perc_95, converted_stat * 3, IF(bbgm_stat &gt;= perc_90, converted_stat * 2, IF(bbgm_stat &gt;= perc_85, converted_stat * 1.5, converted_stat)))))</f>
        <v/>
      </c>
      <c r="K123" s="30" t="str">
        <f t="array" ref="K123">IF($A123="", "", LET(bbgm_stat, INDEX(Players!$A122:$P122, MATCH(K$2, Players!$A$1:$P$1, 0)), perc_75, VLOOKUP(K$2, Percentiles!$A$45:$I$59, 6, FALSE), perc_90, VLOOKUP(K$2, Percentiles!$A$45:$I$59, 7, FALSE), perc_95, VLOOKUP(K$2, Percentiles!$A$45:$I$59, 8, FALSE), perc_85, perc_75 + (perc_90 - perc_75) * (2/3), converted_stat, '2K_Ratings'!K123, IF(bbgm_stat &gt;= perc_95, converted_stat * 3, IF(bbgm_stat &gt;= perc_90, converted_stat * 2, IF(bbgm_stat &gt;= perc_85, converted_stat * 1.5, converted_stat)))))</f>
        <v/>
      </c>
      <c r="L123" s="30" t="str">
        <f t="array" ref="L123">IF($A123="", "", LET(bbgm_stat, INDEX(Players!$A122:$P122, MATCH(L$2, Players!$A$1:$P$1, 0)), perc_75, VLOOKUP(L$2, Percentiles!$A$45:$I$59, 6, FALSE), perc_90, VLOOKUP(L$2, Percentiles!$A$45:$I$59, 7, FALSE), perc_95, VLOOKUP(L$2, Percentiles!$A$45:$I$59, 8, FALSE), perc_85, perc_75 + (perc_90 - perc_75) * (2/3), converted_stat, '2K_Ratings'!L123, IF(bbgm_stat &gt;= perc_95, converted_stat * 3, IF(bbgm_stat &gt;= perc_90, converted_stat * 2, IF(bbgm_stat &gt;= perc_85, converted_stat * 1.5, converted_stat)))))</f>
        <v/>
      </c>
      <c r="M123" s="30" t="str">
        <f t="array" ref="M123">IF($A123="", "", LET(bbgm_stat, INDEX(Players!$A122:$P122, MATCH(M$2, Players!$A$1:$P$1, 0)), perc_75, VLOOKUP(M$2, Percentiles!$A$45:$I$59, 6, FALSE), perc_90, VLOOKUP(M$2, Percentiles!$A$45:$I$59, 7, FALSE), perc_95, VLOOKUP(M$2, Percentiles!$A$45:$I$59, 8, FALSE), perc_85, perc_75 + (perc_90 - perc_75) * (2/3), converted_stat, '2K_Ratings'!M123, IF(bbgm_stat &gt;= perc_95, converted_stat * 3, IF(bbgm_stat &gt;= perc_90, converted_stat * 2, IF(bbgm_stat &gt;= perc_85, converted_stat * 1.5, converted_stat)))))</f>
        <v/>
      </c>
      <c r="N123" s="30" t="str">
        <f t="array" ref="N123">IF($A123="", "", LET(bbgm_stat, INDEX(Players!$A122:$P122, MATCH(N$2, Players!$A$1:$P$1, 0)), perc_75, VLOOKUP(N$2, Percentiles!$A$45:$I$59, 6, FALSE), perc_90, VLOOKUP(N$2, Percentiles!$A$45:$I$59, 7, FALSE), perc_95, VLOOKUP(N$2, Percentiles!$A$45:$I$59, 8, FALSE), perc_85, perc_75 + (perc_90 - perc_75) * (2/3), converted_stat, '2K_Ratings'!N123, IF(bbgm_stat &gt;= perc_95, converted_stat * 3, IF(bbgm_stat &gt;= perc_90, converted_stat * 2, IF(bbgm_stat &gt;= perc_85, converted_stat * 1.5, converted_stat)))))</f>
        <v/>
      </c>
      <c r="O123" s="30" t="str">
        <f t="array" ref="O123">IF($A123="", "", LET(bbgm_stat, INDEX(Players!$A122:$P122, MATCH(O$2, Players!$A$1:$P$1, 0)), perc_75, VLOOKUP(O$2, Percentiles!$A$45:$I$59, 6, FALSE), perc_90, VLOOKUP(O$2, Percentiles!$A$45:$I$59, 7, FALSE), perc_95, VLOOKUP(O$2, Percentiles!$A$45:$I$59, 8, FALSE), perc_85, perc_75 + (perc_90 - perc_75) * (2/3), converted_stat, '2K_Ratings'!O123, IF(bbgm_stat &gt;= perc_95, converted_stat * 3, IF(bbgm_stat &gt;= perc_90, converted_stat * 2, IF(bbgm_stat &gt;= perc_85, converted_stat * 1.5, converted_stat)))))</f>
        <v/>
      </c>
      <c r="P123" s="30" t="str">
        <f t="array" ref="P123">IF($A123="", "", LET(bbgm_stat, INDEX(Players!$A122:$P122, MATCH(P$2, Players!$A$1:$P$1, 0)), perc_75, VLOOKUP(P$2, Percentiles!$A$45:$I$59, 6, FALSE), perc_90, VLOOKUP(P$2, Percentiles!$A$45:$I$59, 7, FALSE), perc_95, VLOOKUP(P$2, Percentiles!$A$45:$I$59, 8, FALSE), perc_85, perc_75 + (perc_90 - perc_75) * (2/3), converted_stat, '2K_Ratings'!P123, IF(bbgm_stat &gt;= perc_95, converted_stat * 3, IF(bbgm_stat &gt;= perc_90, converted_stat * 2, IF(bbgm_stat &gt;= perc_85, converted_stat * 1.5, converted_stat)))))</f>
        <v/>
      </c>
      <c r="Q123" s="30" t="str">
        <f t="array" ref="Q123">IF($A123="", "", LET(bbgm_stat, INDEX(Players!$A122:$P122, MATCH(Q$2, Players!$A$1:$P$1, 0)), perc_75, VLOOKUP(Q$2, Percentiles!$A$45:$I$59, 6, FALSE), perc_90, VLOOKUP(Q$2, Percentiles!$A$45:$I$59, 7, FALSE), perc_95, VLOOKUP(Q$2, Percentiles!$A$45:$I$59, 8, FALSE), perc_85, perc_75 + (perc_90 - perc_75) * (2/3), converted_stat, '2K_Ratings'!Q123, IF(bbgm_stat &gt;= perc_95, converted_stat * 3, IF(bbgm_stat &gt;= perc_90, converted_stat * 2, IF(bbgm_stat &gt;= perc_85, converted_stat * 1.5, converted_stat)))))</f>
        <v/>
      </c>
      <c r="R123" s="30" t="str">
        <f t="array" ref="R123">IF($A123="", "", LET(bbgm_stat, INDEX(Players!$A122:$P122, MATCH(R$2, Players!$A$1:$P$1, 0)), perc_75, VLOOKUP(R$2, Percentiles!$A$45:$I$59, 6, FALSE), perc_90, VLOOKUP(R$2, Percentiles!$A$45:$I$59, 7, FALSE), perc_95, VLOOKUP(R$2, Percentiles!$A$45:$I$59, 8, FALSE), perc_85, perc_75 + (perc_90 - perc_75) * (2/3), converted_stat, '2K_Ratings'!R123, IF(bbgm_stat &gt;= perc_95, converted_stat * 3, IF(bbgm_stat &gt;= perc_90, converted_stat * 2, IF(bbgm_stat &gt;= perc_85, converted_stat * 1.5, converted_stat)))))</f>
        <v/>
      </c>
      <c r="S123" s="30" t="str">
        <f t="array" ref="S123">IF($A123="", "", LET(bbgm_stat, INDEX(Players!$A122:$P122, MATCH(S$2, Players!$A$1:$P$1, 0)), perc_75, VLOOKUP(S$2, Percentiles!$A$45:$I$59, 6, FALSE), perc_90, VLOOKUP(S$2, Percentiles!$A$45:$I$59, 7, FALSE), perc_95, VLOOKUP(S$2, Percentiles!$A$45:$I$59, 8, FALSE), perc_85, perc_75 + (perc_90 - perc_75) * (2/3), converted_stat, '2K_Ratings'!S123, IF(bbgm_stat &gt;= perc_95, converted_stat * 3, IF(bbgm_stat &gt;= perc_90, converted_stat * 2, IF(bbgm_stat &gt;= perc_85, converted_stat * 1.5, converted_stat)))))</f>
        <v/>
      </c>
      <c r="T123" s="30" t="str">
        <f t="array" ref="T123">IF($A123="", "", LET(bbgm_stat, INDEX(Players!$A122:$P122, MATCH(T$2, Players!$A$1:$P$1, 0)), perc_75, VLOOKUP(T$2, Percentiles!$A$45:$I$59, 6, FALSE), perc_90, VLOOKUP(T$2, Percentiles!$A$45:$I$59, 7, FALSE), perc_95, VLOOKUP(T$2, Percentiles!$A$45:$I$59, 8, FALSE), perc_85, perc_75 + (perc_90 - perc_75) * (2/3), converted_stat, '2K_Ratings'!T123, IF(bbgm_stat &gt;= perc_95, converted_stat * 3, IF(bbgm_stat &gt;= perc_90, converted_stat * 2, IF(bbgm_stat &gt;= perc_85, converted_stat * 1.5, converted_stat)))))</f>
        <v/>
      </c>
      <c r="U123" s="30" t="str">
        <f t="array" ref="U123">IF($A123="", "", LET(bbgm_stat, INDEX(Players!$A122:$P122, MATCH(U$2, Players!$A$1:$P$1, 0)), perc_75, VLOOKUP(U$2, Percentiles!$A$45:$I$59, 6, FALSE), perc_90, VLOOKUP(U$2, Percentiles!$A$45:$I$59, 7, FALSE), perc_95, VLOOKUP(U$2, Percentiles!$A$45:$I$59, 8, FALSE), perc_85, perc_75 + (perc_90 - perc_75) * (2/3), converted_stat, '2K_Ratings'!U123, IF(bbgm_stat &gt;= perc_95, converted_stat * 3, IF(bbgm_stat &gt;= perc_90, converted_stat * 2, IF(bbgm_stat &gt;= perc_85, converted_stat * 1.5, converted_stat)))))</f>
        <v/>
      </c>
      <c r="V123" s="30" t="str">
        <f t="array" ref="V123">IF($A123="", "", LET(bbgm_stat, INDEX(Players!$A122:$P122, MATCH(V$2, Players!$A$1:$P$1, 0)), perc_75, VLOOKUP(V$2, Percentiles!$A$45:$I$59, 6, FALSE), perc_90, VLOOKUP(V$2, Percentiles!$A$45:$I$59, 7, FALSE), perc_95, VLOOKUP(V$2, Percentiles!$A$45:$I$59, 8, FALSE), perc_85, perc_75 + (perc_90 - perc_75) * (2/3), converted_stat, '2K_Ratings'!V123, IF(bbgm_stat &gt;= perc_95, converted_stat * 3, IF(bbgm_stat &gt;= perc_90, converted_stat * 2, IF(bbgm_stat &gt;= perc_85, converted_stat * 1.5, converted_stat)))))</f>
        <v/>
      </c>
      <c r="W123" s="30" t="str">
        <f t="array" ref="W123">IF($A123="", "", LET(bbgm_stat, INDEX(Players!$A122:$P122, MATCH(W$2, Players!$A$1:$P$1, 0)), perc_75, VLOOKUP(W$2, Percentiles!$A$45:$I$59, 6, FALSE), perc_90, VLOOKUP(W$2, Percentiles!$A$45:$I$59, 7, FALSE), perc_95, VLOOKUP(W$2, Percentiles!$A$45:$I$59, 8, FALSE), perc_85, perc_75 + (perc_90 - perc_75) * (2/3), converted_stat, '2K_Ratings'!W123, IF(bbgm_stat &gt;= perc_95, converted_stat * 3, IF(bbgm_stat &gt;= perc_90, converted_stat * 2, IF(bbgm_stat &gt;= perc_85, converted_stat * 1.5, converted_stat)))))</f>
        <v/>
      </c>
    </row>
    <row r="124">
      <c r="A124" s="30"/>
      <c r="B124" s="30" t="str">
        <f t="array" ref="B124">IF($A124="", "", LET(bbgm_stat, INDEX(Players!$A123:$P123, MATCH(B$2, Players!$A$1:$P$1, 0)), perc_75, VLOOKUP(B$2, Percentiles!$A$45:$I$59, 6, FALSE), perc_90, VLOOKUP(B$2, Percentiles!$A$45:$I$59, 7, FALSE), perc_95, VLOOKUP(B$2, Percentiles!$A$45:$I$59, 8, FALSE), perc_85, perc_75 + (perc_90 - perc_75) * (2/3), converted_stat, '2K_Ratings'!B124, IF(bbgm_stat &gt;= perc_95, converted_stat * 3, IF(bbgm_stat &gt;= perc_90, converted_stat * 2, IF(bbgm_stat &gt;= perc_85, converted_stat * 1.5, converted_stat)))))</f>
        <v/>
      </c>
      <c r="C124" s="30" t="str">
        <f t="array" ref="C124">IF($A124="", "", LET(bbgm_stat, INDEX(Players!$A123:$P123, MATCH(C$2, Players!$A$1:$P$1, 0)), perc_75, VLOOKUP(C$2, Percentiles!$A$45:$I$59, 6, FALSE), perc_90, VLOOKUP(C$2, Percentiles!$A$45:$I$59, 7, FALSE), perc_95, VLOOKUP(C$2, Percentiles!$A$45:$I$59, 8, FALSE), perc_85, perc_75 + (perc_90 - perc_75) * (2/3), converted_stat, '2K_Ratings'!C124, IF(bbgm_stat &gt;= perc_95, converted_stat * 3, IF(bbgm_stat &gt;= perc_90, converted_stat * 2, IF(bbgm_stat &gt;= perc_85, converted_stat * 1.5, converted_stat)))))</f>
        <v/>
      </c>
      <c r="D124" s="30" t="str">
        <f t="array" ref="D124">IF($A124="", "", LET(bbgm_stat, INDEX(Players!$A123:$P123, MATCH(D$2, Players!$A$1:$P$1, 0)), perc_75, VLOOKUP(D$2, Percentiles!$A$45:$I$59, 6, FALSE), perc_90, VLOOKUP(D$2, Percentiles!$A$45:$I$59, 7, FALSE), perc_95, VLOOKUP(D$2, Percentiles!$A$45:$I$59, 8, FALSE), perc_85, perc_75 + (perc_90 - perc_75) * (2/3), converted_stat, '2K_Ratings'!D124, IF(bbgm_stat &gt;= perc_95, converted_stat * 3, IF(bbgm_stat &gt;= perc_90, converted_stat * 2, IF(bbgm_stat &gt;= perc_85, converted_stat * 1.5, converted_stat)))))</f>
        <v/>
      </c>
      <c r="E124" s="30" t="str">
        <f t="array" ref="E124">IF($A124="", "", LET(bbgm_stat, INDEX(Players!$A123:$P123, MATCH(E$2, Players!$A$1:$P$1, 0)), perc_75, VLOOKUP(E$2, Percentiles!$A$45:$I$59, 6, FALSE), perc_90, VLOOKUP(E$2, Percentiles!$A$45:$I$59, 7, FALSE), perc_95, VLOOKUP(E$2, Percentiles!$A$45:$I$59, 8, FALSE), perc_85, perc_75 + (perc_90 - perc_75) * (2/3), converted_stat, '2K_Ratings'!E124, IF(bbgm_stat &gt;= perc_95, converted_stat * 3, IF(bbgm_stat &gt;= perc_90, converted_stat * 2, IF(bbgm_stat &gt;= perc_85, converted_stat * 1.5, converted_stat)))))</f>
        <v/>
      </c>
      <c r="F124" s="30" t="str">
        <f t="array" ref="F124">IF($A124="", "", LET(bbgm_stat, INDEX(Players!$A123:$P123, MATCH(F$2, Players!$A$1:$P$1, 0)), perc_75, VLOOKUP(F$2, Percentiles!$A$45:$I$59, 6, FALSE), perc_90, VLOOKUP(F$2, Percentiles!$A$45:$I$59, 7, FALSE), perc_95, VLOOKUP(F$2, Percentiles!$A$45:$I$59, 8, FALSE), perc_85, perc_75 + (perc_90 - perc_75) * (2/3), converted_stat, '2K_Ratings'!F124, IF(bbgm_stat &gt;= perc_95, converted_stat * 3, IF(bbgm_stat &gt;= perc_90, converted_stat * 2, IF(bbgm_stat &gt;= perc_85, converted_stat * 1.5, converted_stat)))))</f>
        <v/>
      </c>
      <c r="G124" s="30" t="str">
        <f t="array" ref="G124">IF($A124="", "", LET(bbgm_stat, INDEX(Players!$A123:$P123, MATCH(G$2, Players!$A$1:$P$1, 0)), perc_75, VLOOKUP(G$2, Percentiles!$A$45:$I$59, 6, FALSE), perc_90, VLOOKUP(G$2, Percentiles!$A$45:$I$59, 7, FALSE), perc_95, VLOOKUP(G$2, Percentiles!$A$45:$I$59, 8, FALSE), perc_85, perc_75 + (perc_90 - perc_75) * (2/3), converted_stat, '2K_Ratings'!G124, IF(bbgm_stat &gt;= perc_95, converted_stat * 3, IF(bbgm_stat &gt;= perc_90, converted_stat * 2, IF(bbgm_stat &gt;= perc_85, converted_stat * 1.5, converted_stat)))))</f>
        <v/>
      </c>
      <c r="H124" s="30" t="str">
        <f t="array" ref="H124">IF($A124="", "", LET(bbgm_stat, INDEX(Players!$A123:$P123, MATCH(H$2, Players!$A$1:$P$1, 0)), perc_75, VLOOKUP(H$2, Percentiles!$A$45:$I$59, 6, FALSE), perc_90, VLOOKUP(H$2, Percentiles!$A$45:$I$59, 7, FALSE), perc_95, VLOOKUP(H$2, Percentiles!$A$45:$I$59, 8, FALSE), perc_85, perc_75 + (perc_90 - perc_75) * (2/3), converted_stat, '2K_Ratings'!H124, IF(bbgm_stat &gt;= perc_95, converted_stat * 3, IF(bbgm_stat &gt;= perc_90, converted_stat * 2, IF(bbgm_stat &gt;= perc_85, converted_stat * 1.5, converted_stat)))))</f>
        <v/>
      </c>
      <c r="I124" s="30" t="str">
        <f t="array" ref="I124">IF($A124="", "", LET(bbgm_stat, INDEX(Players!$A123:$P123, MATCH(I$2, Players!$A$1:$P$1, 0)), perc_75, VLOOKUP(I$2, Percentiles!$A$45:$I$59, 6, FALSE), perc_90, VLOOKUP(I$2, Percentiles!$A$45:$I$59, 7, FALSE), perc_95, VLOOKUP(I$2, Percentiles!$A$45:$I$59, 8, FALSE), perc_85, perc_75 + (perc_90 - perc_75) * (2/3), converted_stat, '2K_Ratings'!I124, IF(bbgm_stat &gt;= perc_95, converted_stat * 3, IF(bbgm_stat &gt;= perc_90, converted_stat * 2, IF(bbgm_stat &gt;= perc_85, converted_stat * 1.5, converted_stat)))))</f>
        <v/>
      </c>
      <c r="J124" s="30" t="str">
        <f t="array" ref="J124">IF($A124="", "", LET(bbgm_stat, INDEX(Players!$A123:$P123, MATCH(J$2, Players!$A$1:$P$1, 0)), perc_75, VLOOKUP(J$2, Percentiles!$A$45:$I$59, 6, FALSE), perc_90, VLOOKUP(J$2, Percentiles!$A$45:$I$59, 7, FALSE), perc_95, VLOOKUP(J$2, Percentiles!$A$45:$I$59, 8, FALSE), perc_85, perc_75 + (perc_90 - perc_75) * (2/3), converted_stat, '2K_Ratings'!J124, IF(bbgm_stat &gt;= perc_95, converted_stat * 3, IF(bbgm_stat &gt;= perc_90, converted_stat * 2, IF(bbgm_stat &gt;= perc_85, converted_stat * 1.5, converted_stat)))))</f>
        <v/>
      </c>
      <c r="K124" s="30" t="str">
        <f t="array" ref="K124">IF($A124="", "", LET(bbgm_stat, INDEX(Players!$A123:$P123, MATCH(K$2, Players!$A$1:$P$1, 0)), perc_75, VLOOKUP(K$2, Percentiles!$A$45:$I$59, 6, FALSE), perc_90, VLOOKUP(K$2, Percentiles!$A$45:$I$59, 7, FALSE), perc_95, VLOOKUP(K$2, Percentiles!$A$45:$I$59, 8, FALSE), perc_85, perc_75 + (perc_90 - perc_75) * (2/3), converted_stat, '2K_Ratings'!K124, IF(bbgm_stat &gt;= perc_95, converted_stat * 3, IF(bbgm_stat &gt;= perc_90, converted_stat * 2, IF(bbgm_stat &gt;= perc_85, converted_stat * 1.5, converted_stat)))))</f>
        <v/>
      </c>
      <c r="L124" s="30" t="str">
        <f t="array" ref="L124">IF($A124="", "", LET(bbgm_stat, INDEX(Players!$A123:$P123, MATCH(L$2, Players!$A$1:$P$1, 0)), perc_75, VLOOKUP(L$2, Percentiles!$A$45:$I$59, 6, FALSE), perc_90, VLOOKUP(L$2, Percentiles!$A$45:$I$59, 7, FALSE), perc_95, VLOOKUP(L$2, Percentiles!$A$45:$I$59, 8, FALSE), perc_85, perc_75 + (perc_90 - perc_75) * (2/3), converted_stat, '2K_Ratings'!L124, IF(bbgm_stat &gt;= perc_95, converted_stat * 3, IF(bbgm_stat &gt;= perc_90, converted_stat * 2, IF(bbgm_stat &gt;= perc_85, converted_stat * 1.5, converted_stat)))))</f>
        <v/>
      </c>
      <c r="M124" s="30" t="str">
        <f t="array" ref="M124">IF($A124="", "", LET(bbgm_stat, INDEX(Players!$A123:$P123, MATCH(M$2, Players!$A$1:$P$1, 0)), perc_75, VLOOKUP(M$2, Percentiles!$A$45:$I$59, 6, FALSE), perc_90, VLOOKUP(M$2, Percentiles!$A$45:$I$59, 7, FALSE), perc_95, VLOOKUP(M$2, Percentiles!$A$45:$I$59, 8, FALSE), perc_85, perc_75 + (perc_90 - perc_75) * (2/3), converted_stat, '2K_Ratings'!M124, IF(bbgm_stat &gt;= perc_95, converted_stat * 3, IF(bbgm_stat &gt;= perc_90, converted_stat * 2, IF(bbgm_stat &gt;= perc_85, converted_stat * 1.5, converted_stat)))))</f>
        <v/>
      </c>
      <c r="N124" s="30" t="str">
        <f t="array" ref="N124">IF($A124="", "", LET(bbgm_stat, INDEX(Players!$A123:$P123, MATCH(N$2, Players!$A$1:$P$1, 0)), perc_75, VLOOKUP(N$2, Percentiles!$A$45:$I$59, 6, FALSE), perc_90, VLOOKUP(N$2, Percentiles!$A$45:$I$59, 7, FALSE), perc_95, VLOOKUP(N$2, Percentiles!$A$45:$I$59, 8, FALSE), perc_85, perc_75 + (perc_90 - perc_75) * (2/3), converted_stat, '2K_Ratings'!N124, IF(bbgm_stat &gt;= perc_95, converted_stat * 3, IF(bbgm_stat &gt;= perc_90, converted_stat * 2, IF(bbgm_stat &gt;= perc_85, converted_stat * 1.5, converted_stat)))))</f>
        <v/>
      </c>
      <c r="O124" s="30" t="str">
        <f t="array" ref="O124">IF($A124="", "", LET(bbgm_stat, INDEX(Players!$A123:$P123, MATCH(O$2, Players!$A$1:$P$1, 0)), perc_75, VLOOKUP(O$2, Percentiles!$A$45:$I$59, 6, FALSE), perc_90, VLOOKUP(O$2, Percentiles!$A$45:$I$59, 7, FALSE), perc_95, VLOOKUP(O$2, Percentiles!$A$45:$I$59, 8, FALSE), perc_85, perc_75 + (perc_90 - perc_75) * (2/3), converted_stat, '2K_Ratings'!O124, IF(bbgm_stat &gt;= perc_95, converted_stat * 3, IF(bbgm_stat &gt;= perc_90, converted_stat * 2, IF(bbgm_stat &gt;= perc_85, converted_stat * 1.5, converted_stat)))))</f>
        <v/>
      </c>
      <c r="P124" s="30" t="str">
        <f t="array" ref="P124">IF($A124="", "", LET(bbgm_stat, INDEX(Players!$A123:$P123, MATCH(P$2, Players!$A$1:$P$1, 0)), perc_75, VLOOKUP(P$2, Percentiles!$A$45:$I$59, 6, FALSE), perc_90, VLOOKUP(P$2, Percentiles!$A$45:$I$59, 7, FALSE), perc_95, VLOOKUP(P$2, Percentiles!$A$45:$I$59, 8, FALSE), perc_85, perc_75 + (perc_90 - perc_75) * (2/3), converted_stat, '2K_Ratings'!P124, IF(bbgm_stat &gt;= perc_95, converted_stat * 3, IF(bbgm_stat &gt;= perc_90, converted_stat * 2, IF(bbgm_stat &gt;= perc_85, converted_stat * 1.5, converted_stat)))))</f>
        <v/>
      </c>
      <c r="Q124" s="30" t="str">
        <f t="array" ref="Q124">IF($A124="", "", LET(bbgm_stat, INDEX(Players!$A123:$P123, MATCH(Q$2, Players!$A$1:$P$1, 0)), perc_75, VLOOKUP(Q$2, Percentiles!$A$45:$I$59, 6, FALSE), perc_90, VLOOKUP(Q$2, Percentiles!$A$45:$I$59, 7, FALSE), perc_95, VLOOKUP(Q$2, Percentiles!$A$45:$I$59, 8, FALSE), perc_85, perc_75 + (perc_90 - perc_75) * (2/3), converted_stat, '2K_Ratings'!Q124, IF(bbgm_stat &gt;= perc_95, converted_stat * 3, IF(bbgm_stat &gt;= perc_90, converted_stat * 2, IF(bbgm_stat &gt;= perc_85, converted_stat * 1.5, converted_stat)))))</f>
        <v/>
      </c>
      <c r="R124" s="30" t="str">
        <f t="array" ref="R124">IF($A124="", "", LET(bbgm_stat, INDEX(Players!$A123:$P123, MATCH(R$2, Players!$A$1:$P$1, 0)), perc_75, VLOOKUP(R$2, Percentiles!$A$45:$I$59, 6, FALSE), perc_90, VLOOKUP(R$2, Percentiles!$A$45:$I$59, 7, FALSE), perc_95, VLOOKUP(R$2, Percentiles!$A$45:$I$59, 8, FALSE), perc_85, perc_75 + (perc_90 - perc_75) * (2/3), converted_stat, '2K_Ratings'!R124, IF(bbgm_stat &gt;= perc_95, converted_stat * 3, IF(bbgm_stat &gt;= perc_90, converted_stat * 2, IF(bbgm_stat &gt;= perc_85, converted_stat * 1.5, converted_stat)))))</f>
        <v/>
      </c>
      <c r="S124" s="30" t="str">
        <f t="array" ref="S124">IF($A124="", "", LET(bbgm_stat, INDEX(Players!$A123:$P123, MATCH(S$2, Players!$A$1:$P$1, 0)), perc_75, VLOOKUP(S$2, Percentiles!$A$45:$I$59, 6, FALSE), perc_90, VLOOKUP(S$2, Percentiles!$A$45:$I$59, 7, FALSE), perc_95, VLOOKUP(S$2, Percentiles!$A$45:$I$59, 8, FALSE), perc_85, perc_75 + (perc_90 - perc_75) * (2/3), converted_stat, '2K_Ratings'!S124, IF(bbgm_stat &gt;= perc_95, converted_stat * 3, IF(bbgm_stat &gt;= perc_90, converted_stat * 2, IF(bbgm_stat &gt;= perc_85, converted_stat * 1.5, converted_stat)))))</f>
        <v/>
      </c>
      <c r="T124" s="30" t="str">
        <f t="array" ref="T124">IF($A124="", "", LET(bbgm_stat, INDEX(Players!$A123:$P123, MATCH(T$2, Players!$A$1:$P$1, 0)), perc_75, VLOOKUP(T$2, Percentiles!$A$45:$I$59, 6, FALSE), perc_90, VLOOKUP(T$2, Percentiles!$A$45:$I$59, 7, FALSE), perc_95, VLOOKUP(T$2, Percentiles!$A$45:$I$59, 8, FALSE), perc_85, perc_75 + (perc_90 - perc_75) * (2/3), converted_stat, '2K_Ratings'!T124, IF(bbgm_stat &gt;= perc_95, converted_stat * 3, IF(bbgm_stat &gt;= perc_90, converted_stat * 2, IF(bbgm_stat &gt;= perc_85, converted_stat * 1.5, converted_stat)))))</f>
        <v/>
      </c>
      <c r="U124" s="30" t="str">
        <f t="array" ref="U124">IF($A124="", "", LET(bbgm_stat, INDEX(Players!$A123:$P123, MATCH(U$2, Players!$A$1:$P$1, 0)), perc_75, VLOOKUP(U$2, Percentiles!$A$45:$I$59, 6, FALSE), perc_90, VLOOKUP(U$2, Percentiles!$A$45:$I$59, 7, FALSE), perc_95, VLOOKUP(U$2, Percentiles!$A$45:$I$59, 8, FALSE), perc_85, perc_75 + (perc_90 - perc_75) * (2/3), converted_stat, '2K_Ratings'!U124, IF(bbgm_stat &gt;= perc_95, converted_stat * 3, IF(bbgm_stat &gt;= perc_90, converted_stat * 2, IF(bbgm_stat &gt;= perc_85, converted_stat * 1.5, converted_stat)))))</f>
        <v/>
      </c>
      <c r="V124" s="30" t="str">
        <f t="array" ref="V124">IF($A124="", "", LET(bbgm_stat, INDEX(Players!$A123:$P123, MATCH(V$2, Players!$A$1:$P$1, 0)), perc_75, VLOOKUP(V$2, Percentiles!$A$45:$I$59, 6, FALSE), perc_90, VLOOKUP(V$2, Percentiles!$A$45:$I$59, 7, FALSE), perc_95, VLOOKUP(V$2, Percentiles!$A$45:$I$59, 8, FALSE), perc_85, perc_75 + (perc_90 - perc_75) * (2/3), converted_stat, '2K_Ratings'!V124, IF(bbgm_stat &gt;= perc_95, converted_stat * 3, IF(bbgm_stat &gt;= perc_90, converted_stat * 2, IF(bbgm_stat &gt;= perc_85, converted_stat * 1.5, converted_stat)))))</f>
        <v/>
      </c>
      <c r="W124" s="30" t="str">
        <f t="array" ref="W124">IF($A124="", "", LET(bbgm_stat, INDEX(Players!$A123:$P123, MATCH(W$2, Players!$A$1:$P$1, 0)), perc_75, VLOOKUP(W$2, Percentiles!$A$45:$I$59, 6, FALSE), perc_90, VLOOKUP(W$2, Percentiles!$A$45:$I$59, 7, FALSE), perc_95, VLOOKUP(W$2, Percentiles!$A$45:$I$59, 8, FALSE), perc_85, perc_75 + (perc_90 - perc_75) * (2/3), converted_stat, '2K_Ratings'!W124, IF(bbgm_stat &gt;= perc_95, converted_stat * 3, IF(bbgm_stat &gt;= perc_90, converted_stat * 2, IF(bbgm_stat &gt;= perc_85, converted_stat * 1.5, converted_stat)))))</f>
        <v/>
      </c>
    </row>
    <row r="125">
      <c r="A125" s="30"/>
      <c r="B125" s="30" t="str">
        <f t="array" ref="B125">IF($A125="", "", LET(bbgm_stat, INDEX(Players!$A124:$P124, MATCH(B$2, Players!$A$1:$P$1, 0)), perc_75, VLOOKUP(B$2, Percentiles!$A$45:$I$59, 6, FALSE), perc_90, VLOOKUP(B$2, Percentiles!$A$45:$I$59, 7, FALSE), perc_95, VLOOKUP(B$2, Percentiles!$A$45:$I$59, 8, FALSE), perc_85, perc_75 + (perc_90 - perc_75) * (2/3), converted_stat, '2K_Ratings'!B125, IF(bbgm_stat &gt;= perc_95, converted_stat * 3, IF(bbgm_stat &gt;= perc_90, converted_stat * 2, IF(bbgm_stat &gt;= perc_85, converted_stat * 1.5, converted_stat)))))</f>
        <v/>
      </c>
      <c r="C125" s="30" t="str">
        <f t="array" ref="C125">IF($A125="", "", LET(bbgm_stat, INDEX(Players!$A124:$P124, MATCH(C$2, Players!$A$1:$P$1, 0)), perc_75, VLOOKUP(C$2, Percentiles!$A$45:$I$59, 6, FALSE), perc_90, VLOOKUP(C$2, Percentiles!$A$45:$I$59, 7, FALSE), perc_95, VLOOKUP(C$2, Percentiles!$A$45:$I$59, 8, FALSE), perc_85, perc_75 + (perc_90 - perc_75) * (2/3), converted_stat, '2K_Ratings'!C125, IF(bbgm_stat &gt;= perc_95, converted_stat * 3, IF(bbgm_stat &gt;= perc_90, converted_stat * 2, IF(bbgm_stat &gt;= perc_85, converted_stat * 1.5, converted_stat)))))</f>
        <v/>
      </c>
      <c r="D125" s="30" t="str">
        <f t="array" ref="D125">IF($A125="", "", LET(bbgm_stat, INDEX(Players!$A124:$P124, MATCH(D$2, Players!$A$1:$P$1, 0)), perc_75, VLOOKUP(D$2, Percentiles!$A$45:$I$59, 6, FALSE), perc_90, VLOOKUP(D$2, Percentiles!$A$45:$I$59, 7, FALSE), perc_95, VLOOKUP(D$2, Percentiles!$A$45:$I$59, 8, FALSE), perc_85, perc_75 + (perc_90 - perc_75) * (2/3), converted_stat, '2K_Ratings'!D125, IF(bbgm_stat &gt;= perc_95, converted_stat * 3, IF(bbgm_stat &gt;= perc_90, converted_stat * 2, IF(bbgm_stat &gt;= perc_85, converted_stat * 1.5, converted_stat)))))</f>
        <v/>
      </c>
      <c r="E125" s="30" t="str">
        <f t="array" ref="E125">IF($A125="", "", LET(bbgm_stat, INDEX(Players!$A124:$P124, MATCH(E$2, Players!$A$1:$P$1, 0)), perc_75, VLOOKUP(E$2, Percentiles!$A$45:$I$59, 6, FALSE), perc_90, VLOOKUP(E$2, Percentiles!$A$45:$I$59, 7, FALSE), perc_95, VLOOKUP(E$2, Percentiles!$A$45:$I$59, 8, FALSE), perc_85, perc_75 + (perc_90 - perc_75) * (2/3), converted_stat, '2K_Ratings'!E125, IF(bbgm_stat &gt;= perc_95, converted_stat * 3, IF(bbgm_stat &gt;= perc_90, converted_stat * 2, IF(bbgm_stat &gt;= perc_85, converted_stat * 1.5, converted_stat)))))</f>
        <v/>
      </c>
      <c r="F125" s="30" t="str">
        <f t="array" ref="F125">IF($A125="", "", LET(bbgm_stat, INDEX(Players!$A124:$P124, MATCH(F$2, Players!$A$1:$P$1, 0)), perc_75, VLOOKUP(F$2, Percentiles!$A$45:$I$59, 6, FALSE), perc_90, VLOOKUP(F$2, Percentiles!$A$45:$I$59, 7, FALSE), perc_95, VLOOKUP(F$2, Percentiles!$A$45:$I$59, 8, FALSE), perc_85, perc_75 + (perc_90 - perc_75) * (2/3), converted_stat, '2K_Ratings'!F125, IF(bbgm_stat &gt;= perc_95, converted_stat * 3, IF(bbgm_stat &gt;= perc_90, converted_stat * 2, IF(bbgm_stat &gt;= perc_85, converted_stat * 1.5, converted_stat)))))</f>
        <v/>
      </c>
      <c r="G125" s="30" t="str">
        <f t="array" ref="G125">IF($A125="", "", LET(bbgm_stat, INDEX(Players!$A124:$P124, MATCH(G$2, Players!$A$1:$P$1, 0)), perc_75, VLOOKUP(G$2, Percentiles!$A$45:$I$59, 6, FALSE), perc_90, VLOOKUP(G$2, Percentiles!$A$45:$I$59, 7, FALSE), perc_95, VLOOKUP(G$2, Percentiles!$A$45:$I$59, 8, FALSE), perc_85, perc_75 + (perc_90 - perc_75) * (2/3), converted_stat, '2K_Ratings'!G125, IF(bbgm_stat &gt;= perc_95, converted_stat * 3, IF(bbgm_stat &gt;= perc_90, converted_stat * 2, IF(bbgm_stat &gt;= perc_85, converted_stat * 1.5, converted_stat)))))</f>
        <v/>
      </c>
      <c r="H125" s="30" t="str">
        <f t="array" ref="H125">IF($A125="", "", LET(bbgm_stat, INDEX(Players!$A124:$P124, MATCH(H$2, Players!$A$1:$P$1, 0)), perc_75, VLOOKUP(H$2, Percentiles!$A$45:$I$59, 6, FALSE), perc_90, VLOOKUP(H$2, Percentiles!$A$45:$I$59, 7, FALSE), perc_95, VLOOKUP(H$2, Percentiles!$A$45:$I$59, 8, FALSE), perc_85, perc_75 + (perc_90 - perc_75) * (2/3), converted_stat, '2K_Ratings'!H125, IF(bbgm_stat &gt;= perc_95, converted_stat * 3, IF(bbgm_stat &gt;= perc_90, converted_stat * 2, IF(bbgm_stat &gt;= perc_85, converted_stat * 1.5, converted_stat)))))</f>
        <v/>
      </c>
      <c r="I125" s="30" t="str">
        <f t="array" ref="I125">IF($A125="", "", LET(bbgm_stat, INDEX(Players!$A124:$P124, MATCH(I$2, Players!$A$1:$P$1, 0)), perc_75, VLOOKUP(I$2, Percentiles!$A$45:$I$59, 6, FALSE), perc_90, VLOOKUP(I$2, Percentiles!$A$45:$I$59, 7, FALSE), perc_95, VLOOKUP(I$2, Percentiles!$A$45:$I$59, 8, FALSE), perc_85, perc_75 + (perc_90 - perc_75) * (2/3), converted_stat, '2K_Ratings'!I125, IF(bbgm_stat &gt;= perc_95, converted_stat * 3, IF(bbgm_stat &gt;= perc_90, converted_stat * 2, IF(bbgm_stat &gt;= perc_85, converted_stat * 1.5, converted_stat)))))</f>
        <v/>
      </c>
      <c r="J125" s="30" t="str">
        <f t="array" ref="J125">IF($A125="", "", LET(bbgm_stat, INDEX(Players!$A124:$P124, MATCH(J$2, Players!$A$1:$P$1, 0)), perc_75, VLOOKUP(J$2, Percentiles!$A$45:$I$59, 6, FALSE), perc_90, VLOOKUP(J$2, Percentiles!$A$45:$I$59, 7, FALSE), perc_95, VLOOKUP(J$2, Percentiles!$A$45:$I$59, 8, FALSE), perc_85, perc_75 + (perc_90 - perc_75) * (2/3), converted_stat, '2K_Ratings'!J125, IF(bbgm_stat &gt;= perc_95, converted_stat * 3, IF(bbgm_stat &gt;= perc_90, converted_stat * 2, IF(bbgm_stat &gt;= perc_85, converted_stat * 1.5, converted_stat)))))</f>
        <v/>
      </c>
      <c r="K125" s="30" t="str">
        <f t="array" ref="K125">IF($A125="", "", LET(bbgm_stat, INDEX(Players!$A124:$P124, MATCH(K$2, Players!$A$1:$P$1, 0)), perc_75, VLOOKUP(K$2, Percentiles!$A$45:$I$59, 6, FALSE), perc_90, VLOOKUP(K$2, Percentiles!$A$45:$I$59, 7, FALSE), perc_95, VLOOKUP(K$2, Percentiles!$A$45:$I$59, 8, FALSE), perc_85, perc_75 + (perc_90 - perc_75) * (2/3), converted_stat, '2K_Ratings'!K125, IF(bbgm_stat &gt;= perc_95, converted_stat * 3, IF(bbgm_stat &gt;= perc_90, converted_stat * 2, IF(bbgm_stat &gt;= perc_85, converted_stat * 1.5, converted_stat)))))</f>
        <v/>
      </c>
      <c r="L125" s="30" t="str">
        <f t="array" ref="L125">IF($A125="", "", LET(bbgm_stat, INDEX(Players!$A124:$P124, MATCH(L$2, Players!$A$1:$P$1, 0)), perc_75, VLOOKUP(L$2, Percentiles!$A$45:$I$59, 6, FALSE), perc_90, VLOOKUP(L$2, Percentiles!$A$45:$I$59, 7, FALSE), perc_95, VLOOKUP(L$2, Percentiles!$A$45:$I$59, 8, FALSE), perc_85, perc_75 + (perc_90 - perc_75) * (2/3), converted_stat, '2K_Ratings'!L125, IF(bbgm_stat &gt;= perc_95, converted_stat * 3, IF(bbgm_stat &gt;= perc_90, converted_stat * 2, IF(bbgm_stat &gt;= perc_85, converted_stat * 1.5, converted_stat)))))</f>
        <v/>
      </c>
      <c r="M125" s="30" t="str">
        <f t="array" ref="M125">IF($A125="", "", LET(bbgm_stat, INDEX(Players!$A124:$P124, MATCH(M$2, Players!$A$1:$P$1, 0)), perc_75, VLOOKUP(M$2, Percentiles!$A$45:$I$59, 6, FALSE), perc_90, VLOOKUP(M$2, Percentiles!$A$45:$I$59, 7, FALSE), perc_95, VLOOKUP(M$2, Percentiles!$A$45:$I$59, 8, FALSE), perc_85, perc_75 + (perc_90 - perc_75) * (2/3), converted_stat, '2K_Ratings'!M125, IF(bbgm_stat &gt;= perc_95, converted_stat * 3, IF(bbgm_stat &gt;= perc_90, converted_stat * 2, IF(bbgm_stat &gt;= perc_85, converted_stat * 1.5, converted_stat)))))</f>
        <v/>
      </c>
      <c r="N125" s="30" t="str">
        <f t="array" ref="N125">IF($A125="", "", LET(bbgm_stat, INDEX(Players!$A124:$P124, MATCH(N$2, Players!$A$1:$P$1, 0)), perc_75, VLOOKUP(N$2, Percentiles!$A$45:$I$59, 6, FALSE), perc_90, VLOOKUP(N$2, Percentiles!$A$45:$I$59, 7, FALSE), perc_95, VLOOKUP(N$2, Percentiles!$A$45:$I$59, 8, FALSE), perc_85, perc_75 + (perc_90 - perc_75) * (2/3), converted_stat, '2K_Ratings'!N125, IF(bbgm_stat &gt;= perc_95, converted_stat * 3, IF(bbgm_stat &gt;= perc_90, converted_stat * 2, IF(bbgm_stat &gt;= perc_85, converted_stat * 1.5, converted_stat)))))</f>
        <v/>
      </c>
      <c r="O125" s="30" t="str">
        <f t="array" ref="O125">IF($A125="", "", LET(bbgm_stat, INDEX(Players!$A124:$P124, MATCH(O$2, Players!$A$1:$P$1, 0)), perc_75, VLOOKUP(O$2, Percentiles!$A$45:$I$59, 6, FALSE), perc_90, VLOOKUP(O$2, Percentiles!$A$45:$I$59, 7, FALSE), perc_95, VLOOKUP(O$2, Percentiles!$A$45:$I$59, 8, FALSE), perc_85, perc_75 + (perc_90 - perc_75) * (2/3), converted_stat, '2K_Ratings'!O125, IF(bbgm_stat &gt;= perc_95, converted_stat * 3, IF(bbgm_stat &gt;= perc_90, converted_stat * 2, IF(bbgm_stat &gt;= perc_85, converted_stat * 1.5, converted_stat)))))</f>
        <v/>
      </c>
      <c r="P125" s="30" t="str">
        <f t="array" ref="P125">IF($A125="", "", LET(bbgm_stat, INDEX(Players!$A124:$P124, MATCH(P$2, Players!$A$1:$P$1, 0)), perc_75, VLOOKUP(P$2, Percentiles!$A$45:$I$59, 6, FALSE), perc_90, VLOOKUP(P$2, Percentiles!$A$45:$I$59, 7, FALSE), perc_95, VLOOKUP(P$2, Percentiles!$A$45:$I$59, 8, FALSE), perc_85, perc_75 + (perc_90 - perc_75) * (2/3), converted_stat, '2K_Ratings'!P125, IF(bbgm_stat &gt;= perc_95, converted_stat * 3, IF(bbgm_stat &gt;= perc_90, converted_stat * 2, IF(bbgm_stat &gt;= perc_85, converted_stat * 1.5, converted_stat)))))</f>
        <v/>
      </c>
      <c r="Q125" s="30" t="str">
        <f t="array" ref="Q125">IF($A125="", "", LET(bbgm_stat, INDEX(Players!$A124:$P124, MATCH(Q$2, Players!$A$1:$P$1, 0)), perc_75, VLOOKUP(Q$2, Percentiles!$A$45:$I$59, 6, FALSE), perc_90, VLOOKUP(Q$2, Percentiles!$A$45:$I$59, 7, FALSE), perc_95, VLOOKUP(Q$2, Percentiles!$A$45:$I$59, 8, FALSE), perc_85, perc_75 + (perc_90 - perc_75) * (2/3), converted_stat, '2K_Ratings'!Q125, IF(bbgm_stat &gt;= perc_95, converted_stat * 3, IF(bbgm_stat &gt;= perc_90, converted_stat * 2, IF(bbgm_stat &gt;= perc_85, converted_stat * 1.5, converted_stat)))))</f>
        <v/>
      </c>
      <c r="R125" s="30" t="str">
        <f t="array" ref="R125">IF($A125="", "", LET(bbgm_stat, INDEX(Players!$A124:$P124, MATCH(R$2, Players!$A$1:$P$1, 0)), perc_75, VLOOKUP(R$2, Percentiles!$A$45:$I$59, 6, FALSE), perc_90, VLOOKUP(R$2, Percentiles!$A$45:$I$59, 7, FALSE), perc_95, VLOOKUP(R$2, Percentiles!$A$45:$I$59, 8, FALSE), perc_85, perc_75 + (perc_90 - perc_75) * (2/3), converted_stat, '2K_Ratings'!R125, IF(bbgm_stat &gt;= perc_95, converted_stat * 3, IF(bbgm_stat &gt;= perc_90, converted_stat * 2, IF(bbgm_stat &gt;= perc_85, converted_stat * 1.5, converted_stat)))))</f>
        <v/>
      </c>
      <c r="S125" s="30" t="str">
        <f t="array" ref="S125">IF($A125="", "", LET(bbgm_stat, INDEX(Players!$A124:$P124, MATCH(S$2, Players!$A$1:$P$1, 0)), perc_75, VLOOKUP(S$2, Percentiles!$A$45:$I$59, 6, FALSE), perc_90, VLOOKUP(S$2, Percentiles!$A$45:$I$59, 7, FALSE), perc_95, VLOOKUP(S$2, Percentiles!$A$45:$I$59, 8, FALSE), perc_85, perc_75 + (perc_90 - perc_75) * (2/3), converted_stat, '2K_Ratings'!S125, IF(bbgm_stat &gt;= perc_95, converted_stat * 3, IF(bbgm_stat &gt;= perc_90, converted_stat * 2, IF(bbgm_stat &gt;= perc_85, converted_stat * 1.5, converted_stat)))))</f>
        <v/>
      </c>
      <c r="T125" s="30" t="str">
        <f t="array" ref="T125">IF($A125="", "", LET(bbgm_stat, INDEX(Players!$A124:$P124, MATCH(T$2, Players!$A$1:$P$1, 0)), perc_75, VLOOKUP(T$2, Percentiles!$A$45:$I$59, 6, FALSE), perc_90, VLOOKUP(T$2, Percentiles!$A$45:$I$59, 7, FALSE), perc_95, VLOOKUP(T$2, Percentiles!$A$45:$I$59, 8, FALSE), perc_85, perc_75 + (perc_90 - perc_75) * (2/3), converted_stat, '2K_Ratings'!T125, IF(bbgm_stat &gt;= perc_95, converted_stat * 3, IF(bbgm_stat &gt;= perc_90, converted_stat * 2, IF(bbgm_stat &gt;= perc_85, converted_stat * 1.5, converted_stat)))))</f>
        <v/>
      </c>
      <c r="U125" s="30" t="str">
        <f t="array" ref="U125">IF($A125="", "", LET(bbgm_stat, INDEX(Players!$A124:$P124, MATCH(U$2, Players!$A$1:$P$1, 0)), perc_75, VLOOKUP(U$2, Percentiles!$A$45:$I$59, 6, FALSE), perc_90, VLOOKUP(U$2, Percentiles!$A$45:$I$59, 7, FALSE), perc_95, VLOOKUP(U$2, Percentiles!$A$45:$I$59, 8, FALSE), perc_85, perc_75 + (perc_90 - perc_75) * (2/3), converted_stat, '2K_Ratings'!U125, IF(bbgm_stat &gt;= perc_95, converted_stat * 3, IF(bbgm_stat &gt;= perc_90, converted_stat * 2, IF(bbgm_stat &gt;= perc_85, converted_stat * 1.5, converted_stat)))))</f>
        <v/>
      </c>
      <c r="V125" s="30" t="str">
        <f t="array" ref="V125">IF($A125="", "", LET(bbgm_stat, INDEX(Players!$A124:$P124, MATCH(V$2, Players!$A$1:$P$1, 0)), perc_75, VLOOKUP(V$2, Percentiles!$A$45:$I$59, 6, FALSE), perc_90, VLOOKUP(V$2, Percentiles!$A$45:$I$59, 7, FALSE), perc_95, VLOOKUP(V$2, Percentiles!$A$45:$I$59, 8, FALSE), perc_85, perc_75 + (perc_90 - perc_75) * (2/3), converted_stat, '2K_Ratings'!V125, IF(bbgm_stat &gt;= perc_95, converted_stat * 3, IF(bbgm_stat &gt;= perc_90, converted_stat * 2, IF(bbgm_stat &gt;= perc_85, converted_stat * 1.5, converted_stat)))))</f>
        <v/>
      </c>
      <c r="W125" s="30" t="str">
        <f t="array" ref="W125">IF($A125="", "", LET(bbgm_stat, INDEX(Players!$A124:$P124, MATCH(W$2, Players!$A$1:$P$1, 0)), perc_75, VLOOKUP(W$2, Percentiles!$A$45:$I$59, 6, FALSE), perc_90, VLOOKUP(W$2, Percentiles!$A$45:$I$59, 7, FALSE), perc_95, VLOOKUP(W$2, Percentiles!$A$45:$I$59, 8, FALSE), perc_85, perc_75 + (perc_90 - perc_75) * (2/3), converted_stat, '2K_Ratings'!W125, IF(bbgm_stat &gt;= perc_95, converted_stat * 3, IF(bbgm_stat &gt;= perc_90, converted_stat * 2, IF(bbgm_stat &gt;= perc_85, converted_stat * 1.5, converted_stat)))))</f>
        <v/>
      </c>
    </row>
    <row r="126">
      <c r="A126" s="30"/>
      <c r="B126" s="30" t="str">
        <f t="array" ref="B126">IF($A126="", "", LET(bbgm_stat, INDEX(Players!$A125:$P125, MATCH(B$2, Players!$A$1:$P$1, 0)), perc_75, VLOOKUP(B$2, Percentiles!$A$45:$I$59, 6, FALSE), perc_90, VLOOKUP(B$2, Percentiles!$A$45:$I$59, 7, FALSE), perc_95, VLOOKUP(B$2, Percentiles!$A$45:$I$59, 8, FALSE), perc_85, perc_75 + (perc_90 - perc_75) * (2/3), converted_stat, '2K_Ratings'!B126, IF(bbgm_stat &gt;= perc_95, converted_stat * 3, IF(bbgm_stat &gt;= perc_90, converted_stat * 2, IF(bbgm_stat &gt;= perc_85, converted_stat * 1.5, converted_stat)))))</f>
        <v/>
      </c>
      <c r="C126" s="30" t="str">
        <f t="array" ref="C126">IF($A126="", "", LET(bbgm_stat, INDEX(Players!$A125:$P125, MATCH(C$2, Players!$A$1:$P$1, 0)), perc_75, VLOOKUP(C$2, Percentiles!$A$45:$I$59, 6, FALSE), perc_90, VLOOKUP(C$2, Percentiles!$A$45:$I$59, 7, FALSE), perc_95, VLOOKUP(C$2, Percentiles!$A$45:$I$59, 8, FALSE), perc_85, perc_75 + (perc_90 - perc_75) * (2/3), converted_stat, '2K_Ratings'!C126, IF(bbgm_stat &gt;= perc_95, converted_stat * 3, IF(bbgm_stat &gt;= perc_90, converted_stat * 2, IF(bbgm_stat &gt;= perc_85, converted_stat * 1.5, converted_stat)))))</f>
        <v/>
      </c>
      <c r="D126" s="30" t="str">
        <f t="array" ref="D126">IF($A126="", "", LET(bbgm_stat, INDEX(Players!$A125:$P125, MATCH(D$2, Players!$A$1:$P$1, 0)), perc_75, VLOOKUP(D$2, Percentiles!$A$45:$I$59, 6, FALSE), perc_90, VLOOKUP(D$2, Percentiles!$A$45:$I$59, 7, FALSE), perc_95, VLOOKUP(D$2, Percentiles!$A$45:$I$59, 8, FALSE), perc_85, perc_75 + (perc_90 - perc_75) * (2/3), converted_stat, '2K_Ratings'!D126, IF(bbgm_stat &gt;= perc_95, converted_stat * 3, IF(bbgm_stat &gt;= perc_90, converted_stat * 2, IF(bbgm_stat &gt;= perc_85, converted_stat * 1.5, converted_stat)))))</f>
        <v/>
      </c>
      <c r="E126" s="30" t="str">
        <f t="array" ref="E126">IF($A126="", "", LET(bbgm_stat, INDEX(Players!$A125:$P125, MATCH(E$2, Players!$A$1:$P$1, 0)), perc_75, VLOOKUP(E$2, Percentiles!$A$45:$I$59, 6, FALSE), perc_90, VLOOKUP(E$2, Percentiles!$A$45:$I$59, 7, FALSE), perc_95, VLOOKUP(E$2, Percentiles!$A$45:$I$59, 8, FALSE), perc_85, perc_75 + (perc_90 - perc_75) * (2/3), converted_stat, '2K_Ratings'!E126, IF(bbgm_stat &gt;= perc_95, converted_stat * 3, IF(bbgm_stat &gt;= perc_90, converted_stat * 2, IF(bbgm_stat &gt;= perc_85, converted_stat * 1.5, converted_stat)))))</f>
        <v/>
      </c>
      <c r="F126" s="30" t="str">
        <f t="array" ref="F126">IF($A126="", "", LET(bbgm_stat, INDEX(Players!$A125:$P125, MATCH(F$2, Players!$A$1:$P$1, 0)), perc_75, VLOOKUP(F$2, Percentiles!$A$45:$I$59, 6, FALSE), perc_90, VLOOKUP(F$2, Percentiles!$A$45:$I$59, 7, FALSE), perc_95, VLOOKUP(F$2, Percentiles!$A$45:$I$59, 8, FALSE), perc_85, perc_75 + (perc_90 - perc_75) * (2/3), converted_stat, '2K_Ratings'!F126, IF(bbgm_stat &gt;= perc_95, converted_stat * 3, IF(bbgm_stat &gt;= perc_90, converted_stat * 2, IF(bbgm_stat &gt;= perc_85, converted_stat * 1.5, converted_stat)))))</f>
        <v/>
      </c>
      <c r="G126" s="30" t="str">
        <f t="array" ref="G126">IF($A126="", "", LET(bbgm_stat, INDEX(Players!$A125:$P125, MATCH(G$2, Players!$A$1:$P$1, 0)), perc_75, VLOOKUP(G$2, Percentiles!$A$45:$I$59, 6, FALSE), perc_90, VLOOKUP(G$2, Percentiles!$A$45:$I$59, 7, FALSE), perc_95, VLOOKUP(G$2, Percentiles!$A$45:$I$59, 8, FALSE), perc_85, perc_75 + (perc_90 - perc_75) * (2/3), converted_stat, '2K_Ratings'!G126, IF(bbgm_stat &gt;= perc_95, converted_stat * 3, IF(bbgm_stat &gt;= perc_90, converted_stat * 2, IF(bbgm_stat &gt;= perc_85, converted_stat * 1.5, converted_stat)))))</f>
        <v/>
      </c>
      <c r="H126" s="30" t="str">
        <f t="array" ref="H126">IF($A126="", "", LET(bbgm_stat, INDEX(Players!$A125:$P125, MATCH(H$2, Players!$A$1:$P$1, 0)), perc_75, VLOOKUP(H$2, Percentiles!$A$45:$I$59, 6, FALSE), perc_90, VLOOKUP(H$2, Percentiles!$A$45:$I$59, 7, FALSE), perc_95, VLOOKUP(H$2, Percentiles!$A$45:$I$59, 8, FALSE), perc_85, perc_75 + (perc_90 - perc_75) * (2/3), converted_stat, '2K_Ratings'!H126, IF(bbgm_stat &gt;= perc_95, converted_stat * 3, IF(bbgm_stat &gt;= perc_90, converted_stat * 2, IF(bbgm_stat &gt;= perc_85, converted_stat * 1.5, converted_stat)))))</f>
        <v/>
      </c>
      <c r="I126" s="30" t="str">
        <f t="array" ref="I126">IF($A126="", "", LET(bbgm_stat, INDEX(Players!$A125:$P125, MATCH(I$2, Players!$A$1:$P$1, 0)), perc_75, VLOOKUP(I$2, Percentiles!$A$45:$I$59, 6, FALSE), perc_90, VLOOKUP(I$2, Percentiles!$A$45:$I$59, 7, FALSE), perc_95, VLOOKUP(I$2, Percentiles!$A$45:$I$59, 8, FALSE), perc_85, perc_75 + (perc_90 - perc_75) * (2/3), converted_stat, '2K_Ratings'!I126, IF(bbgm_stat &gt;= perc_95, converted_stat * 3, IF(bbgm_stat &gt;= perc_90, converted_stat * 2, IF(bbgm_stat &gt;= perc_85, converted_stat * 1.5, converted_stat)))))</f>
        <v/>
      </c>
      <c r="J126" s="30" t="str">
        <f t="array" ref="J126">IF($A126="", "", LET(bbgm_stat, INDEX(Players!$A125:$P125, MATCH(J$2, Players!$A$1:$P$1, 0)), perc_75, VLOOKUP(J$2, Percentiles!$A$45:$I$59, 6, FALSE), perc_90, VLOOKUP(J$2, Percentiles!$A$45:$I$59, 7, FALSE), perc_95, VLOOKUP(J$2, Percentiles!$A$45:$I$59, 8, FALSE), perc_85, perc_75 + (perc_90 - perc_75) * (2/3), converted_stat, '2K_Ratings'!J126, IF(bbgm_stat &gt;= perc_95, converted_stat * 3, IF(bbgm_stat &gt;= perc_90, converted_stat * 2, IF(bbgm_stat &gt;= perc_85, converted_stat * 1.5, converted_stat)))))</f>
        <v/>
      </c>
      <c r="K126" s="30" t="str">
        <f t="array" ref="K126">IF($A126="", "", LET(bbgm_stat, INDEX(Players!$A125:$P125, MATCH(K$2, Players!$A$1:$P$1, 0)), perc_75, VLOOKUP(K$2, Percentiles!$A$45:$I$59, 6, FALSE), perc_90, VLOOKUP(K$2, Percentiles!$A$45:$I$59, 7, FALSE), perc_95, VLOOKUP(K$2, Percentiles!$A$45:$I$59, 8, FALSE), perc_85, perc_75 + (perc_90 - perc_75) * (2/3), converted_stat, '2K_Ratings'!K126, IF(bbgm_stat &gt;= perc_95, converted_stat * 3, IF(bbgm_stat &gt;= perc_90, converted_stat * 2, IF(bbgm_stat &gt;= perc_85, converted_stat * 1.5, converted_stat)))))</f>
        <v/>
      </c>
      <c r="L126" s="30" t="str">
        <f t="array" ref="L126">IF($A126="", "", LET(bbgm_stat, INDEX(Players!$A125:$P125, MATCH(L$2, Players!$A$1:$P$1, 0)), perc_75, VLOOKUP(L$2, Percentiles!$A$45:$I$59, 6, FALSE), perc_90, VLOOKUP(L$2, Percentiles!$A$45:$I$59, 7, FALSE), perc_95, VLOOKUP(L$2, Percentiles!$A$45:$I$59, 8, FALSE), perc_85, perc_75 + (perc_90 - perc_75) * (2/3), converted_stat, '2K_Ratings'!L126, IF(bbgm_stat &gt;= perc_95, converted_stat * 3, IF(bbgm_stat &gt;= perc_90, converted_stat * 2, IF(bbgm_stat &gt;= perc_85, converted_stat * 1.5, converted_stat)))))</f>
        <v/>
      </c>
      <c r="M126" s="30" t="str">
        <f t="array" ref="M126">IF($A126="", "", LET(bbgm_stat, INDEX(Players!$A125:$P125, MATCH(M$2, Players!$A$1:$P$1, 0)), perc_75, VLOOKUP(M$2, Percentiles!$A$45:$I$59, 6, FALSE), perc_90, VLOOKUP(M$2, Percentiles!$A$45:$I$59, 7, FALSE), perc_95, VLOOKUP(M$2, Percentiles!$A$45:$I$59, 8, FALSE), perc_85, perc_75 + (perc_90 - perc_75) * (2/3), converted_stat, '2K_Ratings'!M126, IF(bbgm_stat &gt;= perc_95, converted_stat * 3, IF(bbgm_stat &gt;= perc_90, converted_stat * 2, IF(bbgm_stat &gt;= perc_85, converted_stat * 1.5, converted_stat)))))</f>
        <v/>
      </c>
      <c r="N126" s="30" t="str">
        <f t="array" ref="N126">IF($A126="", "", LET(bbgm_stat, INDEX(Players!$A125:$P125, MATCH(N$2, Players!$A$1:$P$1, 0)), perc_75, VLOOKUP(N$2, Percentiles!$A$45:$I$59, 6, FALSE), perc_90, VLOOKUP(N$2, Percentiles!$A$45:$I$59, 7, FALSE), perc_95, VLOOKUP(N$2, Percentiles!$A$45:$I$59, 8, FALSE), perc_85, perc_75 + (perc_90 - perc_75) * (2/3), converted_stat, '2K_Ratings'!N126, IF(bbgm_stat &gt;= perc_95, converted_stat * 3, IF(bbgm_stat &gt;= perc_90, converted_stat * 2, IF(bbgm_stat &gt;= perc_85, converted_stat * 1.5, converted_stat)))))</f>
        <v/>
      </c>
      <c r="O126" s="30" t="str">
        <f t="array" ref="O126">IF($A126="", "", LET(bbgm_stat, INDEX(Players!$A125:$P125, MATCH(O$2, Players!$A$1:$P$1, 0)), perc_75, VLOOKUP(O$2, Percentiles!$A$45:$I$59, 6, FALSE), perc_90, VLOOKUP(O$2, Percentiles!$A$45:$I$59, 7, FALSE), perc_95, VLOOKUP(O$2, Percentiles!$A$45:$I$59, 8, FALSE), perc_85, perc_75 + (perc_90 - perc_75) * (2/3), converted_stat, '2K_Ratings'!O126, IF(bbgm_stat &gt;= perc_95, converted_stat * 3, IF(bbgm_stat &gt;= perc_90, converted_stat * 2, IF(bbgm_stat &gt;= perc_85, converted_stat * 1.5, converted_stat)))))</f>
        <v/>
      </c>
      <c r="P126" s="30" t="str">
        <f t="array" ref="P126">IF($A126="", "", LET(bbgm_stat, INDEX(Players!$A125:$P125, MATCH(P$2, Players!$A$1:$P$1, 0)), perc_75, VLOOKUP(P$2, Percentiles!$A$45:$I$59, 6, FALSE), perc_90, VLOOKUP(P$2, Percentiles!$A$45:$I$59, 7, FALSE), perc_95, VLOOKUP(P$2, Percentiles!$A$45:$I$59, 8, FALSE), perc_85, perc_75 + (perc_90 - perc_75) * (2/3), converted_stat, '2K_Ratings'!P126, IF(bbgm_stat &gt;= perc_95, converted_stat * 3, IF(bbgm_stat &gt;= perc_90, converted_stat * 2, IF(bbgm_stat &gt;= perc_85, converted_stat * 1.5, converted_stat)))))</f>
        <v/>
      </c>
      <c r="Q126" s="30" t="str">
        <f t="array" ref="Q126">IF($A126="", "", LET(bbgm_stat, INDEX(Players!$A125:$P125, MATCH(Q$2, Players!$A$1:$P$1, 0)), perc_75, VLOOKUP(Q$2, Percentiles!$A$45:$I$59, 6, FALSE), perc_90, VLOOKUP(Q$2, Percentiles!$A$45:$I$59, 7, FALSE), perc_95, VLOOKUP(Q$2, Percentiles!$A$45:$I$59, 8, FALSE), perc_85, perc_75 + (perc_90 - perc_75) * (2/3), converted_stat, '2K_Ratings'!Q126, IF(bbgm_stat &gt;= perc_95, converted_stat * 3, IF(bbgm_stat &gt;= perc_90, converted_stat * 2, IF(bbgm_stat &gt;= perc_85, converted_stat * 1.5, converted_stat)))))</f>
        <v/>
      </c>
      <c r="R126" s="30" t="str">
        <f t="array" ref="R126">IF($A126="", "", LET(bbgm_stat, INDEX(Players!$A125:$P125, MATCH(R$2, Players!$A$1:$P$1, 0)), perc_75, VLOOKUP(R$2, Percentiles!$A$45:$I$59, 6, FALSE), perc_90, VLOOKUP(R$2, Percentiles!$A$45:$I$59, 7, FALSE), perc_95, VLOOKUP(R$2, Percentiles!$A$45:$I$59, 8, FALSE), perc_85, perc_75 + (perc_90 - perc_75) * (2/3), converted_stat, '2K_Ratings'!R126, IF(bbgm_stat &gt;= perc_95, converted_stat * 3, IF(bbgm_stat &gt;= perc_90, converted_stat * 2, IF(bbgm_stat &gt;= perc_85, converted_stat * 1.5, converted_stat)))))</f>
        <v/>
      </c>
      <c r="S126" s="30" t="str">
        <f t="array" ref="S126">IF($A126="", "", LET(bbgm_stat, INDEX(Players!$A125:$P125, MATCH(S$2, Players!$A$1:$P$1, 0)), perc_75, VLOOKUP(S$2, Percentiles!$A$45:$I$59, 6, FALSE), perc_90, VLOOKUP(S$2, Percentiles!$A$45:$I$59, 7, FALSE), perc_95, VLOOKUP(S$2, Percentiles!$A$45:$I$59, 8, FALSE), perc_85, perc_75 + (perc_90 - perc_75) * (2/3), converted_stat, '2K_Ratings'!S126, IF(bbgm_stat &gt;= perc_95, converted_stat * 3, IF(bbgm_stat &gt;= perc_90, converted_stat * 2, IF(bbgm_stat &gt;= perc_85, converted_stat * 1.5, converted_stat)))))</f>
        <v/>
      </c>
      <c r="T126" s="30" t="str">
        <f t="array" ref="T126">IF($A126="", "", LET(bbgm_stat, INDEX(Players!$A125:$P125, MATCH(T$2, Players!$A$1:$P$1, 0)), perc_75, VLOOKUP(T$2, Percentiles!$A$45:$I$59, 6, FALSE), perc_90, VLOOKUP(T$2, Percentiles!$A$45:$I$59, 7, FALSE), perc_95, VLOOKUP(T$2, Percentiles!$A$45:$I$59, 8, FALSE), perc_85, perc_75 + (perc_90 - perc_75) * (2/3), converted_stat, '2K_Ratings'!T126, IF(bbgm_stat &gt;= perc_95, converted_stat * 3, IF(bbgm_stat &gt;= perc_90, converted_stat * 2, IF(bbgm_stat &gt;= perc_85, converted_stat * 1.5, converted_stat)))))</f>
        <v/>
      </c>
      <c r="U126" s="30" t="str">
        <f t="array" ref="U126">IF($A126="", "", LET(bbgm_stat, INDEX(Players!$A125:$P125, MATCH(U$2, Players!$A$1:$P$1, 0)), perc_75, VLOOKUP(U$2, Percentiles!$A$45:$I$59, 6, FALSE), perc_90, VLOOKUP(U$2, Percentiles!$A$45:$I$59, 7, FALSE), perc_95, VLOOKUP(U$2, Percentiles!$A$45:$I$59, 8, FALSE), perc_85, perc_75 + (perc_90 - perc_75) * (2/3), converted_stat, '2K_Ratings'!U126, IF(bbgm_stat &gt;= perc_95, converted_stat * 3, IF(bbgm_stat &gt;= perc_90, converted_stat * 2, IF(bbgm_stat &gt;= perc_85, converted_stat * 1.5, converted_stat)))))</f>
        <v/>
      </c>
      <c r="V126" s="30" t="str">
        <f t="array" ref="V126">IF($A126="", "", LET(bbgm_stat, INDEX(Players!$A125:$P125, MATCH(V$2, Players!$A$1:$P$1, 0)), perc_75, VLOOKUP(V$2, Percentiles!$A$45:$I$59, 6, FALSE), perc_90, VLOOKUP(V$2, Percentiles!$A$45:$I$59, 7, FALSE), perc_95, VLOOKUP(V$2, Percentiles!$A$45:$I$59, 8, FALSE), perc_85, perc_75 + (perc_90 - perc_75) * (2/3), converted_stat, '2K_Ratings'!V126, IF(bbgm_stat &gt;= perc_95, converted_stat * 3, IF(bbgm_stat &gt;= perc_90, converted_stat * 2, IF(bbgm_stat &gt;= perc_85, converted_stat * 1.5, converted_stat)))))</f>
        <v/>
      </c>
      <c r="W126" s="30" t="str">
        <f t="array" ref="W126">IF($A126="", "", LET(bbgm_stat, INDEX(Players!$A125:$P125, MATCH(W$2, Players!$A$1:$P$1, 0)), perc_75, VLOOKUP(W$2, Percentiles!$A$45:$I$59, 6, FALSE), perc_90, VLOOKUP(W$2, Percentiles!$A$45:$I$59, 7, FALSE), perc_95, VLOOKUP(W$2, Percentiles!$A$45:$I$59, 8, FALSE), perc_85, perc_75 + (perc_90 - perc_75) * (2/3), converted_stat, '2K_Ratings'!W126, IF(bbgm_stat &gt;= perc_95, converted_stat * 3, IF(bbgm_stat &gt;= perc_90, converted_stat * 2, IF(bbgm_stat &gt;= perc_85, converted_stat * 1.5, converted_stat)))))</f>
        <v/>
      </c>
    </row>
    <row r="127">
      <c r="A127" s="30"/>
      <c r="B127" s="30" t="str">
        <f t="array" ref="B127">IF($A127="", "", LET(bbgm_stat, INDEX(Players!$A126:$P126, MATCH(B$2, Players!$A$1:$P$1, 0)), perc_75, VLOOKUP(B$2, Percentiles!$A$45:$I$59, 6, FALSE), perc_90, VLOOKUP(B$2, Percentiles!$A$45:$I$59, 7, FALSE), perc_95, VLOOKUP(B$2, Percentiles!$A$45:$I$59, 8, FALSE), perc_85, perc_75 + (perc_90 - perc_75) * (2/3), converted_stat, '2K_Ratings'!B127, IF(bbgm_stat &gt;= perc_95, converted_stat * 3, IF(bbgm_stat &gt;= perc_90, converted_stat * 2, IF(bbgm_stat &gt;= perc_85, converted_stat * 1.5, converted_stat)))))</f>
        <v/>
      </c>
      <c r="C127" s="30" t="str">
        <f t="array" ref="C127">IF($A127="", "", LET(bbgm_stat, INDEX(Players!$A126:$P126, MATCH(C$2, Players!$A$1:$P$1, 0)), perc_75, VLOOKUP(C$2, Percentiles!$A$45:$I$59, 6, FALSE), perc_90, VLOOKUP(C$2, Percentiles!$A$45:$I$59, 7, FALSE), perc_95, VLOOKUP(C$2, Percentiles!$A$45:$I$59, 8, FALSE), perc_85, perc_75 + (perc_90 - perc_75) * (2/3), converted_stat, '2K_Ratings'!C127, IF(bbgm_stat &gt;= perc_95, converted_stat * 3, IF(bbgm_stat &gt;= perc_90, converted_stat * 2, IF(bbgm_stat &gt;= perc_85, converted_stat * 1.5, converted_stat)))))</f>
        <v/>
      </c>
      <c r="D127" s="30" t="str">
        <f t="array" ref="D127">IF($A127="", "", LET(bbgm_stat, INDEX(Players!$A126:$P126, MATCH(D$2, Players!$A$1:$P$1, 0)), perc_75, VLOOKUP(D$2, Percentiles!$A$45:$I$59, 6, FALSE), perc_90, VLOOKUP(D$2, Percentiles!$A$45:$I$59, 7, FALSE), perc_95, VLOOKUP(D$2, Percentiles!$A$45:$I$59, 8, FALSE), perc_85, perc_75 + (perc_90 - perc_75) * (2/3), converted_stat, '2K_Ratings'!D127, IF(bbgm_stat &gt;= perc_95, converted_stat * 3, IF(bbgm_stat &gt;= perc_90, converted_stat * 2, IF(bbgm_stat &gt;= perc_85, converted_stat * 1.5, converted_stat)))))</f>
        <v/>
      </c>
      <c r="E127" s="30" t="str">
        <f t="array" ref="E127">IF($A127="", "", LET(bbgm_stat, INDEX(Players!$A126:$P126, MATCH(E$2, Players!$A$1:$P$1, 0)), perc_75, VLOOKUP(E$2, Percentiles!$A$45:$I$59, 6, FALSE), perc_90, VLOOKUP(E$2, Percentiles!$A$45:$I$59, 7, FALSE), perc_95, VLOOKUP(E$2, Percentiles!$A$45:$I$59, 8, FALSE), perc_85, perc_75 + (perc_90 - perc_75) * (2/3), converted_stat, '2K_Ratings'!E127, IF(bbgm_stat &gt;= perc_95, converted_stat * 3, IF(bbgm_stat &gt;= perc_90, converted_stat * 2, IF(bbgm_stat &gt;= perc_85, converted_stat * 1.5, converted_stat)))))</f>
        <v/>
      </c>
      <c r="F127" s="30" t="str">
        <f t="array" ref="F127">IF($A127="", "", LET(bbgm_stat, INDEX(Players!$A126:$P126, MATCH(F$2, Players!$A$1:$P$1, 0)), perc_75, VLOOKUP(F$2, Percentiles!$A$45:$I$59, 6, FALSE), perc_90, VLOOKUP(F$2, Percentiles!$A$45:$I$59, 7, FALSE), perc_95, VLOOKUP(F$2, Percentiles!$A$45:$I$59, 8, FALSE), perc_85, perc_75 + (perc_90 - perc_75) * (2/3), converted_stat, '2K_Ratings'!F127, IF(bbgm_stat &gt;= perc_95, converted_stat * 3, IF(bbgm_stat &gt;= perc_90, converted_stat * 2, IF(bbgm_stat &gt;= perc_85, converted_stat * 1.5, converted_stat)))))</f>
        <v/>
      </c>
      <c r="G127" s="30" t="str">
        <f t="array" ref="G127">IF($A127="", "", LET(bbgm_stat, INDEX(Players!$A126:$P126, MATCH(G$2, Players!$A$1:$P$1, 0)), perc_75, VLOOKUP(G$2, Percentiles!$A$45:$I$59, 6, FALSE), perc_90, VLOOKUP(G$2, Percentiles!$A$45:$I$59, 7, FALSE), perc_95, VLOOKUP(G$2, Percentiles!$A$45:$I$59, 8, FALSE), perc_85, perc_75 + (perc_90 - perc_75) * (2/3), converted_stat, '2K_Ratings'!G127, IF(bbgm_stat &gt;= perc_95, converted_stat * 3, IF(bbgm_stat &gt;= perc_90, converted_stat * 2, IF(bbgm_stat &gt;= perc_85, converted_stat * 1.5, converted_stat)))))</f>
        <v/>
      </c>
      <c r="H127" s="30" t="str">
        <f t="array" ref="H127">IF($A127="", "", LET(bbgm_stat, INDEX(Players!$A126:$P126, MATCH(H$2, Players!$A$1:$P$1, 0)), perc_75, VLOOKUP(H$2, Percentiles!$A$45:$I$59, 6, FALSE), perc_90, VLOOKUP(H$2, Percentiles!$A$45:$I$59, 7, FALSE), perc_95, VLOOKUP(H$2, Percentiles!$A$45:$I$59, 8, FALSE), perc_85, perc_75 + (perc_90 - perc_75) * (2/3), converted_stat, '2K_Ratings'!H127, IF(bbgm_stat &gt;= perc_95, converted_stat * 3, IF(bbgm_stat &gt;= perc_90, converted_stat * 2, IF(bbgm_stat &gt;= perc_85, converted_stat * 1.5, converted_stat)))))</f>
        <v/>
      </c>
      <c r="I127" s="30" t="str">
        <f t="array" ref="I127">IF($A127="", "", LET(bbgm_stat, INDEX(Players!$A126:$P126, MATCH(I$2, Players!$A$1:$P$1, 0)), perc_75, VLOOKUP(I$2, Percentiles!$A$45:$I$59, 6, FALSE), perc_90, VLOOKUP(I$2, Percentiles!$A$45:$I$59, 7, FALSE), perc_95, VLOOKUP(I$2, Percentiles!$A$45:$I$59, 8, FALSE), perc_85, perc_75 + (perc_90 - perc_75) * (2/3), converted_stat, '2K_Ratings'!I127, IF(bbgm_stat &gt;= perc_95, converted_stat * 3, IF(bbgm_stat &gt;= perc_90, converted_stat * 2, IF(bbgm_stat &gt;= perc_85, converted_stat * 1.5, converted_stat)))))</f>
        <v/>
      </c>
      <c r="J127" s="30" t="str">
        <f t="array" ref="J127">IF($A127="", "", LET(bbgm_stat, INDEX(Players!$A126:$P126, MATCH(J$2, Players!$A$1:$P$1, 0)), perc_75, VLOOKUP(J$2, Percentiles!$A$45:$I$59, 6, FALSE), perc_90, VLOOKUP(J$2, Percentiles!$A$45:$I$59, 7, FALSE), perc_95, VLOOKUP(J$2, Percentiles!$A$45:$I$59, 8, FALSE), perc_85, perc_75 + (perc_90 - perc_75) * (2/3), converted_stat, '2K_Ratings'!J127, IF(bbgm_stat &gt;= perc_95, converted_stat * 3, IF(bbgm_stat &gt;= perc_90, converted_stat * 2, IF(bbgm_stat &gt;= perc_85, converted_stat * 1.5, converted_stat)))))</f>
        <v/>
      </c>
      <c r="K127" s="30" t="str">
        <f t="array" ref="K127">IF($A127="", "", LET(bbgm_stat, INDEX(Players!$A126:$P126, MATCH(K$2, Players!$A$1:$P$1, 0)), perc_75, VLOOKUP(K$2, Percentiles!$A$45:$I$59, 6, FALSE), perc_90, VLOOKUP(K$2, Percentiles!$A$45:$I$59, 7, FALSE), perc_95, VLOOKUP(K$2, Percentiles!$A$45:$I$59, 8, FALSE), perc_85, perc_75 + (perc_90 - perc_75) * (2/3), converted_stat, '2K_Ratings'!K127, IF(bbgm_stat &gt;= perc_95, converted_stat * 3, IF(bbgm_stat &gt;= perc_90, converted_stat * 2, IF(bbgm_stat &gt;= perc_85, converted_stat * 1.5, converted_stat)))))</f>
        <v/>
      </c>
      <c r="L127" s="30" t="str">
        <f t="array" ref="L127">IF($A127="", "", LET(bbgm_stat, INDEX(Players!$A126:$P126, MATCH(L$2, Players!$A$1:$P$1, 0)), perc_75, VLOOKUP(L$2, Percentiles!$A$45:$I$59, 6, FALSE), perc_90, VLOOKUP(L$2, Percentiles!$A$45:$I$59, 7, FALSE), perc_95, VLOOKUP(L$2, Percentiles!$A$45:$I$59, 8, FALSE), perc_85, perc_75 + (perc_90 - perc_75) * (2/3), converted_stat, '2K_Ratings'!L127, IF(bbgm_stat &gt;= perc_95, converted_stat * 3, IF(bbgm_stat &gt;= perc_90, converted_stat * 2, IF(bbgm_stat &gt;= perc_85, converted_stat * 1.5, converted_stat)))))</f>
        <v/>
      </c>
      <c r="M127" s="30" t="str">
        <f t="array" ref="M127">IF($A127="", "", LET(bbgm_stat, INDEX(Players!$A126:$P126, MATCH(M$2, Players!$A$1:$P$1, 0)), perc_75, VLOOKUP(M$2, Percentiles!$A$45:$I$59, 6, FALSE), perc_90, VLOOKUP(M$2, Percentiles!$A$45:$I$59, 7, FALSE), perc_95, VLOOKUP(M$2, Percentiles!$A$45:$I$59, 8, FALSE), perc_85, perc_75 + (perc_90 - perc_75) * (2/3), converted_stat, '2K_Ratings'!M127, IF(bbgm_stat &gt;= perc_95, converted_stat * 3, IF(bbgm_stat &gt;= perc_90, converted_stat * 2, IF(bbgm_stat &gt;= perc_85, converted_stat * 1.5, converted_stat)))))</f>
        <v/>
      </c>
      <c r="N127" s="30" t="str">
        <f t="array" ref="N127">IF($A127="", "", LET(bbgm_stat, INDEX(Players!$A126:$P126, MATCH(N$2, Players!$A$1:$P$1, 0)), perc_75, VLOOKUP(N$2, Percentiles!$A$45:$I$59, 6, FALSE), perc_90, VLOOKUP(N$2, Percentiles!$A$45:$I$59, 7, FALSE), perc_95, VLOOKUP(N$2, Percentiles!$A$45:$I$59, 8, FALSE), perc_85, perc_75 + (perc_90 - perc_75) * (2/3), converted_stat, '2K_Ratings'!N127, IF(bbgm_stat &gt;= perc_95, converted_stat * 3, IF(bbgm_stat &gt;= perc_90, converted_stat * 2, IF(bbgm_stat &gt;= perc_85, converted_stat * 1.5, converted_stat)))))</f>
        <v/>
      </c>
      <c r="O127" s="30" t="str">
        <f t="array" ref="O127">IF($A127="", "", LET(bbgm_stat, INDEX(Players!$A126:$P126, MATCH(O$2, Players!$A$1:$P$1, 0)), perc_75, VLOOKUP(O$2, Percentiles!$A$45:$I$59, 6, FALSE), perc_90, VLOOKUP(O$2, Percentiles!$A$45:$I$59, 7, FALSE), perc_95, VLOOKUP(O$2, Percentiles!$A$45:$I$59, 8, FALSE), perc_85, perc_75 + (perc_90 - perc_75) * (2/3), converted_stat, '2K_Ratings'!O127, IF(bbgm_stat &gt;= perc_95, converted_stat * 3, IF(bbgm_stat &gt;= perc_90, converted_stat * 2, IF(bbgm_stat &gt;= perc_85, converted_stat * 1.5, converted_stat)))))</f>
        <v/>
      </c>
      <c r="P127" s="30" t="str">
        <f t="array" ref="P127">IF($A127="", "", LET(bbgm_stat, INDEX(Players!$A126:$P126, MATCH(P$2, Players!$A$1:$P$1, 0)), perc_75, VLOOKUP(P$2, Percentiles!$A$45:$I$59, 6, FALSE), perc_90, VLOOKUP(P$2, Percentiles!$A$45:$I$59, 7, FALSE), perc_95, VLOOKUP(P$2, Percentiles!$A$45:$I$59, 8, FALSE), perc_85, perc_75 + (perc_90 - perc_75) * (2/3), converted_stat, '2K_Ratings'!P127, IF(bbgm_stat &gt;= perc_95, converted_stat * 3, IF(bbgm_stat &gt;= perc_90, converted_stat * 2, IF(bbgm_stat &gt;= perc_85, converted_stat * 1.5, converted_stat)))))</f>
        <v/>
      </c>
      <c r="Q127" s="30" t="str">
        <f t="array" ref="Q127">IF($A127="", "", LET(bbgm_stat, INDEX(Players!$A126:$P126, MATCH(Q$2, Players!$A$1:$P$1, 0)), perc_75, VLOOKUP(Q$2, Percentiles!$A$45:$I$59, 6, FALSE), perc_90, VLOOKUP(Q$2, Percentiles!$A$45:$I$59, 7, FALSE), perc_95, VLOOKUP(Q$2, Percentiles!$A$45:$I$59, 8, FALSE), perc_85, perc_75 + (perc_90 - perc_75) * (2/3), converted_stat, '2K_Ratings'!Q127, IF(bbgm_stat &gt;= perc_95, converted_stat * 3, IF(bbgm_stat &gt;= perc_90, converted_stat * 2, IF(bbgm_stat &gt;= perc_85, converted_stat * 1.5, converted_stat)))))</f>
        <v/>
      </c>
      <c r="R127" s="30" t="str">
        <f t="array" ref="R127">IF($A127="", "", LET(bbgm_stat, INDEX(Players!$A126:$P126, MATCH(R$2, Players!$A$1:$P$1, 0)), perc_75, VLOOKUP(R$2, Percentiles!$A$45:$I$59, 6, FALSE), perc_90, VLOOKUP(R$2, Percentiles!$A$45:$I$59, 7, FALSE), perc_95, VLOOKUP(R$2, Percentiles!$A$45:$I$59, 8, FALSE), perc_85, perc_75 + (perc_90 - perc_75) * (2/3), converted_stat, '2K_Ratings'!R127, IF(bbgm_stat &gt;= perc_95, converted_stat * 3, IF(bbgm_stat &gt;= perc_90, converted_stat * 2, IF(bbgm_stat &gt;= perc_85, converted_stat * 1.5, converted_stat)))))</f>
        <v/>
      </c>
      <c r="S127" s="30" t="str">
        <f t="array" ref="S127">IF($A127="", "", LET(bbgm_stat, INDEX(Players!$A126:$P126, MATCH(S$2, Players!$A$1:$P$1, 0)), perc_75, VLOOKUP(S$2, Percentiles!$A$45:$I$59, 6, FALSE), perc_90, VLOOKUP(S$2, Percentiles!$A$45:$I$59, 7, FALSE), perc_95, VLOOKUP(S$2, Percentiles!$A$45:$I$59, 8, FALSE), perc_85, perc_75 + (perc_90 - perc_75) * (2/3), converted_stat, '2K_Ratings'!S127, IF(bbgm_stat &gt;= perc_95, converted_stat * 3, IF(bbgm_stat &gt;= perc_90, converted_stat * 2, IF(bbgm_stat &gt;= perc_85, converted_stat * 1.5, converted_stat)))))</f>
        <v/>
      </c>
      <c r="T127" s="30" t="str">
        <f t="array" ref="T127">IF($A127="", "", LET(bbgm_stat, INDEX(Players!$A126:$P126, MATCH(T$2, Players!$A$1:$P$1, 0)), perc_75, VLOOKUP(T$2, Percentiles!$A$45:$I$59, 6, FALSE), perc_90, VLOOKUP(T$2, Percentiles!$A$45:$I$59, 7, FALSE), perc_95, VLOOKUP(T$2, Percentiles!$A$45:$I$59, 8, FALSE), perc_85, perc_75 + (perc_90 - perc_75) * (2/3), converted_stat, '2K_Ratings'!T127, IF(bbgm_stat &gt;= perc_95, converted_stat * 3, IF(bbgm_stat &gt;= perc_90, converted_stat * 2, IF(bbgm_stat &gt;= perc_85, converted_stat * 1.5, converted_stat)))))</f>
        <v/>
      </c>
      <c r="U127" s="30" t="str">
        <f t="array" ref="U127">IF($A127="", "", LET(bbgm_stat, INDEX(Players!$A126:$P126, MATCH(U$2, Players!$A$1:$P$1, 0)), perc_75, VLOOKUP(U$2, Percentiles!$A$45:$I$59, 6, FALSE), perc_90, VLOOKUP(U$2, Percentiles!$A$45:$I$59, 7, FALSE), perc_95, VLOOKUP(U$2, Percentiles!$A$45:$I$59, 8, FALSE), perc_85, perc_75 + (perc_90 - perc_75) * (2/3), converted_stat, '2K_Ratings'!U127, IF(bbgm_stat &gt;= perc_95, converted_stat * 3, IF(bbgm_stat &gt;= perc_90, converted_stat * 2, IF(bbgm_stat &gt;= perc_85, converted_stat * 1.5, converted_stat)))))</f>
        <v/>
      </c>
      <c r="V127" s="30" t="str">
        <f t="array" ref="V127">IF($A127="", "", LET(bbgm_stat, INDEX(Players!$A126:$P126, MATCH(V$2, Players!$A$1:$P$1, 0)), perc_75, VLOOKUP(V$2, Percentiles!$A$45:$I$59, 6, FALSE), perc_90, VLOOKUP(V$2, Percentiles!$A$45:$I$59, 7, FALSE), perc_95, VLOOKUP(V$2, Percentiles!$A$45:$I$59, 8, FALSE), perc_85, perc_75 + (perc_90 - perc_75) * (2/3), converted_stat, '2K_Ratings'!V127, IF(bbgm_stat &gt;= perc_95, converted_stat * 3, IF(bbgm_stat &gt;= perc_90, converted_stat * 2, IF(bbgm_stat &gt;= perc_85, converted_stat * 1.5, converted_stat)))))</f>
        <v/>
      </c>
      <c r="W127" s="30" t="str">
        <f t="array" ref="W127">IF($A127="", "", LET(bbgm_stat, INDEX(Players!$A126:$P126, MATCH(W$2, Players!$A$1:$P$1, 0)), perc_75, VLOOKUP(W$2, Percentiles!$A$45:$I$59, 6, FALSE), perc_90, VLOOKUP(W$2, Percentiles!$A$45:$I$59, 7, FALSE), perc_95, VLOOKUP(W$2, Percentiles!$A$45:$I$59, 8, FALSE), perc_85, perc_75 + (perc_90 - perc_75) * (2/3), converted_stat, '2K_Ratings'!W127, IF(bbgm_stat &gt;= perc_95, converted_stat * 3, IF(bbgm_stat &gt;= perc_90, converted_stat * 2, IF(bbgm_stat &gt;= perc_85, converted_stat * 1.5, converted_stat)))))</f>
        <v/>
      </c>
    </row>
    <row r="128">
      <c r="A128" s="30"/>
      <c r="B128" s="30" t="str">
        <f t="array" ref="B128">IF($A128="", "", LET(bbgm_stat, INDEX(Players!$A127:$P127, MATCH(B$2, Players!$A$1:$P$1, 0)), perc_75, VLOOKUP(B$2, Percentiles!$A$45:$I$59, 6, FALSE), perc_90, VLOOKUP(B$2, Percentiles!$A$45:$I$59, 7, FALSE), perc_95, VLOOKUP(B$2, Percentiles!$A$45:$I$59, 8, FALSE), perc_85, perc_75 + (perc_90 - perc_75) * (2/3), converted_stat, '2K_Ratings'!B128, IF(bbgm_stat &gt;= perc_95, converted_stat * 3, IF(bbgm_stat &gt;= perc_90, converted_stat * 2, IF(bbgm_stat &gt;= perc_85, converted_stat * 1.5, converted_stat)))))</f>
        <v/>
      </c>
      <c r="C128" s="30" t="str">
        <f t="array" ref="C128">IF($A128="", "", LET(bbgm_stat, INDEX(Players!$A127:$P127, MATCH(C$2, Players!$A$1:$P$1, 0)), perc_75, VLOOKUP(C$2, Percentiles!$A$45:$I$59, 6, FALSE), perc_90, VLOOKUP(C$2, Percentiles!$A$45:$I$59, 7, FALSE), perc_95, VLOOKUP(C$2, Percentiles!$A$45:$I$59, 8, FALSE), perc_85, perc_75 + (perc_90 - perc_75) * (2/3), converted_stat, '2K_Ratings'!C128, IF(bbgm_stat &gt;= perc_95, converted_stat * 3, IF(bbgm_stat &gt;= perc_90, converted_stat * 2, IF(bbgm_stat &gt;= perc_85, converted_stat * 1.5, converted_stat)))))</f>
        <v/>
      </c>
      <c r="D128" s="30" t="str">
        <f t="array" ref="D128">IF($A128="", "", LET(bbgm_stat, INDEX(Players!$A127:$P127, MATCH(D$2, Players!$A$1:$P$1, 0)), perc_75, VLOOKUP(D$2, Percentiles!$A$45:$I$59, 6, FALSE), perc_90, VLOOKUP(D$2, Percentiles!$A$45:$I$59, 7, FALSE), perc_95, VLOOKUP(D$2, Percentiles!$A$45:$I$59, 8, FALSE), perc_85, perc_75 + (perc_90 - perc_75) * (2/3), converted_stat, '2K_Ratings'!D128, IF(bbgm_stat &gt;= perc_95, converted_stat * 3, IF(bbgm_stat &gt;= perc_90, converted_stat * 2, IF(bbgm_stat &gt;= perc_85, converted_stat * 1.5, converted_stat)))))</f>
        <v/>
      </c>
      <c r="E128" s="30" t="str">
        <f t="array" ref="E128">IF($A128="", "", LET(bbgm_stat, INDEX(Players!$A127:$P127, MATCH(E$2, Players!$A$1:$P$1, 0)), perc_75, VLOOKUP(E$2, Percentiles!$A$45:$I$59, 6, FALSE), perc_90, VLOOKUP(E$2, Percentiles!$A$45:$I$59, 7, FALSE), perc_95, VLOOKUP(E$2, Percentiles!$A$45:$I$59, 8, FALSE), perc_85, perc_75 + (perc_90 - perc_75) * (2/3), converted_stat, '2K_Ratings'!E128, IF(bbgm_stat &gt;= perc_95, converted_stat * 3, IF(bbgm_stat &gt;= perc_90, converted_stat * 2, IF(bbgm_stat &gt;= perc_85, converted_stat * 1.5, converted_stat)))))</f>
        <v/>
      </c>
      <c r="F128" s="30" t="str">
        <f t="array" ref="F128">IF($A128="", "", LET(bbgm_stat, INDEX(Players!$A127:$P127, MATCH(F$2, Players!$A$1:$P$1, 0)), perc_75, VLOOKUP(F$2, Percentiles!$A$45:$I$59, 6, FALSE), perc_90, VLOOKUP(F$2, Percentiles!$A$45:$I$59, 7, FALSE), perc_95, VLOOKUP(F$2, Percentiles!$A$45:$I$59, 8, FALSE), perc_85, perc_75 + (perc_90 - perc_75) * (2/3), converted_stat, '2K_Ratings'!F128, IF(bbgm_stat &gt;= perc_95, converted_stat * 3, IF(bbgm_stat &gt;= perc_90, converted_stat * 2, IF(bbgm_stat &gt;= perc_85, converted_stat * 1.5, converted_stat)))))</f>
        <v/>
      </c>
      <c r="G128" s="30" t="str">
        <f t="array" ref="G128">IF($A128="", "", LET(bbgm_stat, INDEX(Players!$A127:$P127, MATCH(G$2, Players!$A$1:$P$1, 0)), perc_75, VLOOKUP(G$2, Percentiles!$A$45:$I$59, 6, FALSE), perc_90, VLOOKUP(G$2, Percentiles!$A$45:$I$59, 7, FALSE), perc_95, VLOOKUP(G$2, Percentiles!$A$45:$I$59, 8, FALSE), perc_85, perc_75 + (perc_90 - perc_75) * (2/3), converted_stat, '2K_Ratings'!G128, IF(bbgm_stat &gt;= perc_95, converted_stat * 3, IF(bbgm_stat &gt;= perc_90, converted_stat * 2, IF(bbgm_stat &gt;= perc_85, converted_stat * 1.5, converted_stat)))))</f>
        <v/>
      </c>
      <c r="H128" s="30" t="str">
        <f t="array" ref="H128">IF($A128="", "", LET(bbgm_stat, INDEX(Players!$A127:$P127, MATCH(H$2, Players!$A$1:$P$1, 0)), perc_75, VLOOKUP(H$2, Percentiles!$A$45:$I$59, 6, FALSE), perc_90, VLOOKUP(H$2, Percentiles!$A$45:$I$59, 7, FALSE), perc_95, VLOOKUP(H$2, Percentiles!$A$45:$I$59, 8, FALSE), perc_85, perc_75 + (perc_90 - perc_75) * (2/3), converted_stat, '2K_Ratings'!H128, IF(bbgm_stat &gt;= perc_95, converted_stat * 3, IF(bbgm_stat &gt;= perc_90, converted_stat * 2, IF(bbgm_stat &gt;= perc_85, converted_stat * 1.5, converted_stat)))))</f>
        <v/>
      </c>
      <c r="I128" s="30" t="str">
        <f t="array" ref="I128">IF($A128="", "", LET(bbgm_stat, INDEX(Players!$A127:$P127, MATCH(I$2, Players!$A$1:$P$1, 0)), perc_75, VLOOKUP(I$2, Percentiles!$A$45:$I$59, 6, FALSE), perc_90, VLOOKUP(I$2, Percentiles!$A$45:$I$59, 7, FALSE), perc_95, VLOOKUP(I$2, Percentiles!$A$45:$I$59, 8, FALSE), perc_85, perc_75 + (perc_90 - perc_75) * (2/3), converted_stat, '2K_Ratings'!I128, IF(bbgm_stat &gt;= perc_95, converted_stat * 3, IF(bbgm_stat &gt;= perc_90, converted_stat * 2, IF(bbgm_stat &gt;= perc_85, converted_stat * 1.5, converted_stat)))))</f>
        <v/>
      </c>
      <c r="J128" s="30" t="str">
        <f t="array" ref="J128">IF($A128="", "", LET(bbgm_stat, INDEX(Players!$A127:$P127, MATCH(J$2, Players!$A$1:$P$1, 0)), perc_75, VLOOKUP(J$2, Percentiles!$A$45:$I$59, 6, FALSE), perc_90, VLOOKUP(J$2, Percentiles!$A$45:$I$59, 7, FALSE), perc_95, VLOOKUP(J$2, Percentiles!$A$45:$I$59, 8, FALSE), perc_85, perc_75 + (perc_90 - perc_75) * (2/3), converted_stat, '2K_Ratings'!J128, IF(bbgm_stat &gt;= perc_95, converted_stat * 3, IF(bbgm_stat &gt;= perc_90, converted_stat * 2, IF(bbgm_stat &gt;= perc_85, converted_stat * 1.5, converted_stat)))))</f>
        <v/>
      </c>
      <c r="K128" s="30" t="str">
        <f t="array" ref="K128">IF($A128="", "", LET(bbgm_stat, INDEX(Players!$A127:$P127, MATCH(K$2, Players!$A$1:$P$1, 0)), perc_75, VLOOKUP(K$2, Percentiles!$A$45:$I$59, 6, FALSE), perc_90, VLOOKUP(K$2, Percentiles!$A$45:$I$59, 7, FALSE), perc_95, VLOOKUP(K$2, Percentiles!$A$45:$I$59, 8, FALSE), perc_85, perc_75 + (perc_90 - perc_75) * (2/3), converted_stat, '2K_Ratings'!K128, IF(bbgm_stat &gt;= perc_95, converted_stat * 3, IF(bbgm_stat &gt;= perc_90, converted_stat * 2, IF(bbgm_stat &gt;= perc_85, converted_stat * 1.5, converted_stat)))))</f>
        <v/>
      </c>
      <c r="L128" s="30" t="str">
        <f t="array" ref="L128">IF($A128="", "", LET(bbgm_stat, INDEX(Players!$A127:$P127, MATCH(L$2, Players!$A$1:$P$1, 0)), perc_75, VLOOKUP(L$2, Percentiles!$A$45:$I$59, 6, FALSE), perc_90, VLOOKUP(L$2, Percentiles!$A$45:$I$59, 7, FALSE), perc_95, VLOOKUP(L$2, Percentiles!$A$45:$I$59, 8, FALSE), perc_85, perc_75 + (perc_90 - perc_75) * (2/3), converted_stat, '2K_Ratings'!L128, IF(bbgm_stat &gt;= perc_95, converted_stat * 3, IF(bbgm_stat &gt;= perc_90, converted_stat * 2, IF(bbgm_stat &gt;= perc_85, converted_stat * 1.5, converted_stat)))))</f>
        <v/>
      </c>
      <c r="M128" s="30" t="str">
        <f t="array" ref="M128">IF($A128="", "", LET(bbgm_stat, INDEX(Players!$A127:$P127, MATCH(M$2, Players!$A$1:$P$1, 0)), perc_75, VLOOKUP(M$2, Percentiles!$A$45:$I$59, 6, FALSE), perc_90, VLOOKUP(M$2, Percentiles!$A$45:$I$59, 7, FALSE), perc_95, VLOOKUP(M$2, Percentiles!$A$45:$I$59, 8, FALSE), perc_85, perc_75 + (perc_90 - perc_75) * (2/3), converted_stat, '2K_Ratings'!M128, IF(bbgm_stat &gt;= perc_95, converted_stat * 3, IF(bbgm_stat &gt;= perc_90, converted_stat * 2, IF(bbgm_stat &gt;= perc_85, converted_stat * 1.5, converted_stat)))))</f>
        <v/>
      </c>
      <c r="N128" s="30" t="str">
        <f t="array" ref="N128">IF($A128="", "", LET(bbgm_stat, INDEX(Players!$A127:$P127, MATCH(N$2, Players!$A$1:$P$1, 0)), perc_75, VLOOKUP(N$2, Percentiles!$A$45:$I$59, 6, FALSE), perc_90, VLOOKUP(N$2, Percentiles!$A$45:$I$59, 7, FALSE), perc_95, VLOOKUP(N$2, Percentiles!$A$45:$I$59, 8, FALSE), perc_85, perc_75 + (perc_90 - perc_75) * (2/3), converted_stat, '2K_Ratings'!N128, IF(bbgm_stat &gt;= perc_95, converted_stat * 3, IF(bbgm_stat &gt;= perc_90, converted_stat * 2, IF(bbgm_stat &gt;= perc_85, converted_stat * 1.5, converted_stat)))))</f>
        <v/>
      </c>
      <c r="O128" s="30" t="str">
        <f t="array" ref="O128">IF($A128="", "", LET(bbgm_stat, INDEX(Players!$A127:$P127, MATCH(O$2, Players!$A$1:$P$1, 0)), perc_75, VLOOKUP(O$2, Percentiles!$A$45:$I$59, 6, FALSE), perc_90, VLOOKUP(O$2, Percentiles!$A$45:$I$59, 7, FALSE), perc_95, VLOOKUP(O$2, Percentiles!$A$45:$I$59, 8, FALSE), perc_85, perc_75 + (perc_90 - perc_75) * (2/3), converted_stat, '2K_Ratings'!O128, IF(bbgm_stat &gt;= perc_95, converted_stat * 3, IF(bbgm_stat &gt;= perc_90, converted_stat * 2, IF(bbgm_stat &gt;= perc_85, converted_stat * 1.5, converted_stat)))))</f>
        <v/>
      </c>
      <c r="P128" s="30" t="str">
        <f t="array" ref="P128">IF($A128="", "", LET(bbgm_stat, INDEX(Players!$A127:$P127, MATCH(P$2, Players!$A$1:$P$1, 0)), perc_75, VLOOKUP(P$2, Percentiles!$A$45:$I$59, 6, FALSE), perc_90, VLOOKUP(P$2, Percentiles!$A$45:$I$59, 7, FALSE), perc_95, VLOOKUP(P$2, Percentiles!$A$45:$I$59, 8, FALSE), perc_85, perc_75 + (perc_90 - perc_75) * (2/3), converted_stat, '2K_Ratings'!P128, IF(bbgm_stat &gt;= perc_95, converted_stat * 3, IF(bbgm_stat &gt;= perc_90, converted_stat * 2, IF(bbgm_stat &gt;= perc_85, converted_stat * 1.5, converted_stat)))))</f>
        <v/>
      </c>
      <c r="Q128" s="30" t="str">
        <f t="array" ref="Q128">IF($A128="", "", LET(bbgm_stat, INDEX(Players!$A127:$P127, MATCH(Q$2, Players!$A$1:$P$1, 0)), perc_75, VLOOKUP(Q$2, Percentiles!$A$45:$I$59, 6, FALSE), perc_90, VLOOKUP(Q$2, Percentiles!$A$45:$I$59, 7, FALSE), perc_95, VLOOKUP(Q$2, Percentiles!$A$45:$I$59, 8, FALSE), perc_85, perc_75 + (perc_90 - perc_75) * (2/3), converted_stat, '2K_Ratings'!Q128, IF(bbgm_stat &gt;= perc_95, converted_stat * 3, IF(bbgm_stat &gt;= perc_90, converted_stat * 2, IF(bbgm_stat &gt;= perc_85, converted_stat * 1.5, converted_stat)))))</f>
        <v/>
      </c>
      <c r="R128" s="30" t="str">
        <f t="array" ref="R128">IF($A128="", "", LET(bbgm_stat, INDEX(Players!$A127:$P127, MATCH(R$2, Players!$A$1:$P$1, 0)), perc_75, VLOOKUP(R$2, Percentiles!$A$45:$I$59, 6, FALSE), perc_90, VLOOKUP(R$2, Percentiles!$A$45:$I$59, 7, FALSE), perc_95, VLOOKUP(R$2, Percentiles!$A$45:$I$59, 8, FALSE), perc_85, perc_75 + (perc_90 - perc_75) * (2/3), converted_stat, '2K_Ratings'!R128, IF(bbgm_stat &gt;= perc_95, converted_stat * 3, IF(bbgm_stat &gt;= perc_90, converted_stat * 2, IF(bbgm_stat &gt;= perc_85, converted_stat * 1.5, converted_stat)))))</f>
        <v/>
      </c>
      <c r="S128" s="30" t="str">
        <f t="array" ref="S128">IF($A128="", "", LET(bbgm_stat, INDEX(Players!$A127:$P127, MATCH(S$2, Players!$A$1:$P$1, 0)), perc_75, VLOOKUP(S$2, Percentiles!$A$45:$I$59, 6, FALSE), perc_90, VLOOKUP(S$2, Percentiles!$A$45:$I$59, 7, FALSE), perc_95, VLOOKUP(S$2, Percentiles!$A$45:$I$59, 8, FALSE), perc_85, perc_75 + (perc_90 - perc_75) * (2/3), converted_stat, '2K_Ratings'!S128, IF(bbgm_stat &gt;= perc_95, converted_stat * 3, IF(bbgm_stat &gt;= perc_90, converted_stat * 2, IF(bbgm_stat &gt;= perc_85, converted_stat * 1.5, converted_stat)))))</f>
        <v/>
      </c>
      <c r="T128" s="30" t="str">
        <f t="array" ref="T128">IF($A128="", "", LET(bbgm_stat, INDEX(Players!$A127:$P127, MATCH(T$2, Players!$A$1:$P$1, 0)), perc_75, VLOOKUP(T$2, Percentiles!$A$45:$I$59, 6, FALSE), perc_90, VLOOKUP(T$2, Percentiles!$A$45:$I$59, 7, FALSE), perc_95, VLOOKUP(T$2, Percentiles!$A$45:$I$59, 8, FALSE), perc_85, perc_75 + (perc_90 - perc_75) * (2/3), converted_stat, '2K_Ratings'!T128, IF(bbgm_stat &gt;= perc_95, converted_stat * 3, IF(bbgm_stat &gt;= perc_90, converted_stat * 2, IF(bbgm_stat &gt;= perc_85, converted_stat * 1.5, converted_stat)))))</f>
        <v/>
      </c>
      <c r="U128" s="30" t="str">
        <f t="array" ref="U128">IF($A128="", "", LET(bbgm_stat, INDEX(Players!$A127:$P127, MATCH(U$2, Players!$A$1:$P$1, 0)), perc_75, VLOOKUP(U$2, Percentiles!$A$45:$I$59, 6, FALSE), perc_90, VLOOKUP(U$2, Percentiles!$A$45:$I$59, 7, FALSE), perc_95, VLOOKUP(U$2, Percentiles!$A$45:$I$59, 8, FALSE), perc_85, perc_75 + (perc_90 - perc_75) * (2/3), converted_stat, '2K_Ratings'!U128, IF(bbgm_stat &gt;= perc_95, converted_stat * 3, IF(bbgm_stat &gt;= perc_90, converted_stat * 2, IF(bbgm_stat &gt;= perc_85, converted_stat * 1.5, converted_stat)))))</f>
        <v/>
      </c>
      <c r="V128" s="30" t="str">
        <f t="array" ref="V128">IF($A128="", "", LET(bbgm_stat, INDEX(Players!$A127:$P127, MATCH(V$2, Players!$A$1:$P$1, 0)), perc_75, VLOOKUP(V$2, Percentiles!$A$45:$I$59, 6, FALSE), perc_90, VLOOKUP(V$2, Percentiles!$A$45:$I$59, 7, FALSE), perc_95, VLOOKUP(V$2, Percentiles!$A$45:$I$59, 8, FALSE), perc_85, perc_75 + (perc_90 - perc_75) * (2/3), converted_stat, '2K_Ratings'!V128, IF(bbgm_stat &gt;= perc_95, converted_stat * 3, IF(bbgm_stat &gt;= perc_90, converted_stat * 2, IF(bbgm_stat &gt;= perc_85, converted_stat * 1.5, converted_stat)))))</f>
        <v/>
      </c>
      <c r="W128" s="30" t="str">
        <f t="array" ref="W128">IF($A128="", "", LET(bbgm_stat, INDEX(Players!$A127:$P127, MATCH(W$2, Players!$A$1:$P$1, 0)), perc_75, VLOOKUP(W$2, Percentiles!$A$45:$I$59, 6, FALSE), perc_90, VLOOKUP(W$2, Percentiles!$A$45:$I$59, 7, FALSE), perc_95, VLOOKUP(W$2, Percentiles!$A$45:$I$59, 8, FALSE), perc_85, perc_75 + (perc_90 - perc_75) * (2/3), converted_stat, '2K_Ratings'!W128, IF(bbgm_stat &gt;= perc_95, converted_stat * 3, IF(bbgm_stat &gt;= perc_90, converted_stat * 2, IF(bbgm_stat &gt;= perc_85, converted_stat * 1.5, converted_stat)))))</f>
        <v/>
      </c>
    </row>
    <row r="129">
      <c r="A129" s="30"/>
      <c r="B129" s="30" t="str">
        <f t="array" ref="B129">IF($A129="", "", LET(bbgm_stat, INDEX(Players!$A128:$P128, MATCH(B$2, Players!$A$1:$P$1, 0)), perc_75, VLOOKUP(B$2, Percentiles!$A$45:$I$59, 6, FALSE), perc_90, VLOOKUP(B$2, Percentiles!$A$45:$I$59, 7, FALSE), perc_95, VLOOKUP(B$2, Percentiles!$A$45:$I$59, 8, FALSE), perc_85, perc_75 + (perc_90 - perc_75) * (2/3), converted_stat, '2K_Ratings'!B129, IF(bbgm_stat &gt;= perc_95, converted_stat * 3, IF(bbgm_stat &gt;= perc_90, converted_stat * 2, IF(bbgm_stat &gt;= perc_85, converted_stat * 1.5, converted_stat)))))</f>
        <v/>
      </c>
      <c r="C129" s="30" t="str">
        <f t="array" ref="C129">IF($A129="", "", LET(bbgm_stat, INDEX(Players!$A128:$P128, MATCH(C$2, Players!$A$1:$P$1, 0)), perc_75, VLOOKUP(C$2, Percentiles!$A$45:$I$59, 6, FALSE), perc_90, VLOOKUP(C$2, Percentiles!$A$45:$I$59, 7, FALSE), perc_95, VLOOKUP(C$2, Percentiles!$A$45:$I$59, 8, FALSE), perc_85, perc_75 + (perc_90 - perc_75) * (2/3), converted_stat, '2K_Ratings'!C129, IF(bbgm_stat &gt;= perc_95, converted_stat * 3, IF(bbgm_stat &gt;= perc_90, converted_stat * 2, IF(bbgm_stat &gt;= perc_85, converted_stat * 1.5, converted_stat)))))</f>
        <v/>
      </c>
      <c r="D129" s="30" t="str">
        <f t="array" ref="D129">IF($A129="", "", LET(bbgm_stat, INDEX(Players!$A128:$P128, MATCH(D$2, Players!$A$1:$P$1, 0)), perc_75, VLOOKUP(D$2, Percentiles!$A$45:$I$59, 6, FALSE), perc_90, VLOOKUP(D$2, Percentiles!$A$45:$I$59, 7, FALSE), perc_95, VLOOKUP(D$2, Percentiles!$A$45:$I$59, 8, FALSE), perc_85, perc_75 + (perc_90 - perc_75) * (2/3), converted_stat, '2K_Ratings'!D129, IF(bbgm_stat &gt;= perc_95, converted_stat * 3, IF(bbgm_stat &gt;= perc_90, converted_stat * 2, IF(bbgm_stat &gt;= perc_85, converted_stat * 1.5, converted_stat)))))</f>
        <v/>
      </c>
      <c r="E129" s="30" t="str">
        <f t="array" ref="E129">IF($A129="", "", LET(bbgm_stat, INDEX(Players!$A128:$P128, MATCH(E$2, Players!$A$1:$P$1, 0)), perc_75, VLOOKUP(E$2, Percentiles!$A$45:$I$59, 6, FALSE), perc_90, VLOOKUP(E$2, Percentiles!$A$45:$I$59, 7, FALSE), perc_95, VLOOKUP(E$2, Percentiles!$A$45:$I$59, 8, FALSE), perc_85, perc_75 + (perc_90 - perc_75) * (2/3), converted_stat, '2K_Ratings'!E129, IF(bbgm_stat &gt;= perc_95, converted_stat * 3, IF(bbgm_stat &gt;= perc_90, converted_stat * 2, IF(bbgm_stat &gt;= perc_85, converted_stat * 1.5, converted_stat)))))</f>
        <v/>
      </c>
      <c r="F129" s="30" t="str">
        <f t="array" ref="F129">IF($A129="", "", LET(bbgm_stat, INDEX(Players!$A128:$P128, MATCH(F$2, Players!$A$1:$P$1, 0)), perc_75, VLOOKUP(F$2, Percentiles!$A$45:$I$59, 6, FALSE), perc_90, VLOOKUP(F$2, Percentiles!$A$45:$I$59, 7, FALSE), perc_95, VLOOKUP(F$2, Percentiles!$A$45:$I$59, 8, FALSE), perc_85, perc_75 + (perc_90 - perc_75) * (2/3), converted_stat, '2K_Ratings'!F129, IF(bbgm_stat &gt;= perc_95, converted_stat * 3, IF(bbgm_stat &gt;= perc_90, converted_stat * 2, IF(bbgm_stat &gt;= perc_85, converted_stat * 1.5, converted_stat)))))</f>
        <v/>
      </c>
      <c r="G129" s="30" t="str">
        <f t="array" ref="G129">IF($A129="", "", LET(bbgm_stat, INDEX(Players!$A128:$P128, MATCH(G$2, Players!$A$1:$P$1, 0)), perc_75, VLOOKUP(G$2, Percentiles!$A$45:$I$59, 6, FALSE), perc_90, VLOOKUP(G$2, Percentiles!$A$45:$I$59, 7, FALSE), perc_95, VLOOKUP(G$2, Percentiles!$A$45:$I$59, 8, FALSE), perc_85, perc_75 + (perc_90 - perc_75) * (2/3), converted_stat, '2K_Ratings'!G129, IF(bbgm_stat &gt;= perc_95, converted_stat * 3, IF(bbgm_stat &gt;= perc_90, converted_stat * 2, IF(bbgm_stat &gt;= perc_85, converted_stat * 1.5, converted_stat)))))</f>
        <v/>
      </c>
      <c r="H129" s="30" t="str">
        <f t="array" ref="H129">IF($A129="", "", LET(bbgm_stat, INDEX(Players!$A128:$P128, MATCH(H$2, Players!$A$1:$P$1, 0)), perc_75, VLOOKUP(H$2, Percentiles!$A$45:$I$59, 6, FALSE), perc_90, VLOOKUP(H$2, Percentiles!$A$45:$I$59, 7, FALSE), perc_95, VLOOKUP(H$2, Percentiles!$A$45:$I$59, 8, FALSE), perc_85, perc_75 + (perc_90 - perc_75) * (2/3), converted_stat, '2K_Ratings'!H129, IF(bbgm_stat &gt;= perc_95, converted_stat * 3, IF(bbgm_stat &gt;= perc_90, converted_stat * 2, IF(bbgm_stat &gt;= perc_85, converted_stat * 1.5, converted_stat)))))</f>
        <v/>
      </c>
      <c r="I129" s="30" t="str">
        <f t="array" ref="I129">IF($A129="", "", LET(bbgm_stat, INDEX(Players!$A128:$P128, MATCH(I$2, Players!$A$1:$P$1, 0)), perc_75, VLOOKUP(I$2, Percentiles!$A$45:$I$59, 6, FALSE), perc_90, VLOOKUP(I$2, Percentiles!$A$45:$I$59, 7, FALSE), perc_95, VLOOKUP(I$2, Percentiles!$A$45:$I$59, 8, FALSE), perc_85, perc_75 + (perc_90 - perc_75) * (2/3), converted_stat, '2K_Ratings'!I129, IF(bbgm_stat &gt;= perc_95, converted_stat * 3, IF(bbgm_stat &gt;= perc_90, converted_stat * 2, IF(bbgm_stat &gt;= perc_85, converted_stat * 1.5, converted_stat)))))</f>
        <v/>
      </c>
      <c r="J129" s="30" t="str">
        <f t="array" ref="J129">IF($A129="", "", LET(bbgm_stat, INDEX(Players!$A128:$P128, MATCH(J$2, Players!$A$1:$P$1, 0)), perc_75, VLOOKUP(J$2, Percentiles!$A$45:$I$59, 6, FALSE), perc_90, VLOOKUP(J$2, Percentiles!$A$45:$I$59, 7, FALSE), perc_95, VLOOKUP(J$2, Percentiles!$A$45:$I$59, 8, FALSE), perc_85, perc_75 + (perc_90 - perc_75) * (2/3), converted_stat, '2K_Ratings'!J129, IF(bbgm_stat &gt;= perc_95, converted_stat * 3, IF(bbgm_stat &gt;= perc_90, converted_stat * 2, IF(bbgm_stat &gt;= perc_85, converted_stat * 1.5, converted_stat)))))</f>
        <v/>
      </c>
      <c r="K129" s="30" t="str">
        <f t="array" ref="K129">IF($A129="", "", LET(bbgm_stat, INDEX(Players!$A128:$P128, MATCH(K$2, Players!$A$1:$P$1, 0)), perc_75, VLOOKUP(K$2, Percentiles!$A$45:$I$59, 6, FALSE), perc_90, VLOOKUP(K$2, Percentiles!$A$45:$I$59, 7, FALSE), perc_95, VLOOKUP(K$2, Percentiles!$A$45:$I$59, 8, FALSE), perc_85, perc_75 + (perc_90 - perc_75) * (2/3), converted_stat, '2K_Ratings'!K129, IF(bbgm_stat &gt;= perc_95, converted_stat * 3, IF(bbgm_stat &gt;= perc_90, converted_stat * 2, IF(bbgm_stat &gt;= perc_85, converted_stat * 1.5, converted_stat)))))</f>
        <v/>
      </c>
      <c r="L129" s="30" t="str">
        <f t="array" ref="L129">IF($A129="", "", LET(bbgm_stat, INDEX(Players!$A128:$P128, MATCH(L$2, Players!$A$1:$P$1, 0)), perc_75, VLOOKUP(L$2, Percentiles!$A$45:$I$59, 6, FALSE), perc_90, VLOOKUP(L$2, Percentiles!$A$45:$I$59, 7, FALSE), perc_95, VLOOKUP(L$2, Percentiles!$A$45:$I$59, 8, FALSE), perc_85, perc_75 + (perc_90 - perc_75) * (2/3), converted_stat, '2K_Ratings'!L129, IF(bbgm_stat &gt;= perc_95, converted_stat * 3, IF(bbgm_stat &gt;= perc_90, converted_stat * 2, IF(bbgm_stat &gt;= perc_85, converted_stat * 1.5, converted_stat)))))</f>
        <v/>
      </c>
      <c r="M129" s="30" t="str">
        <f t="array" ref="M129">IF($A129="", "", LET(bbgm_stat, INDEX(Players!$A128:$P128, MATCH(M$2, Players!$A$1:$P$1, 0)), perc_75, VLOOKUP(M$2, Percentiles!$A$45:$I$59, 6, FALSE), perc_90, VLOOKUP(M$2, Percentiles!$A$45:$I$59, 7, FALSE), perc_95, VLOOKUP(M$2, Percentiles!$A$45:$I$59, 8, FALSE), perc_85, perc_75 + (perc_90 - perc_75) * (2/3), converted_stat, '2K_Ratings'!M129, IF(bbgm_stat &gt;= perc_95, converted_stat * 3, IF(bbgm_stat &gt;= perc_90, converted_stat * 2, IF(bbgm_stat &gt;= perc_85, converted_stat * 1.5, converted_stat)))))</f>
        <v/>
      </c>
      <c r="N129" s="30" t="str">
        <f t="array" ref="N129">IF($A129="", "", LET(bbgm_stat, INDEX(Players!$A128:$P128, MATCH(N$2, Players!$A$1:$P$1, 0)), perc_75, VLOOKUP(N$2, Percentiles!$A$45:$I$59, 6, FALSE), perc_90, VLOOKUP(N$2, Percentiles!$A$45:$I$59, 7, FALSE), perc_95, VLOOKUP(N$2, Percentiles!$A$45:$I$59, 8, FALSE), perc_85, perc_75 + (perc_90 - perc_75) * (2/3), converted_stat, '2K_Ratings'!N129, IF(bbgm_stat &gt;= perc_95, converted_stat * 3, IF(bbgm_stat &gt;= perc_90, converted_stat * 2, IF(bbgm_stat &gt;= perc_85, converted_stat * 1.5, converted_stat)))))</f>
        <v/>
      </c>
      <c r="O129" s="30" t="str">
        <f t="array" ref="O129">IF($A129="", "", LET(bbgm_stat, INDEX(Players!$A128:$P128, MATCH(O$2, Players!$A$1:$P$1, 0)), perc_75, VLOOKUP(O$2, Percentiles!$A$45:$I$59, 6, FALSE), perc_90, VLOOKUP(O$2, Percentiles!$A$45:$I$59, 7, FALSE), perc_95, VLOOKUP(O$2, Percentiles!$A$45:$I$59, 8, FALSE), perc_85, perc_75 + (perc_90 - perc_75) * (2/3), converted_stat, '2K_Ratings'!O129, IF(bbgm_stat &gt;= perc_95, converted_stat * 3, IF(bbgm_stat &gt;= perc_90, converted_stat * 2, IF(bbgm_stat &gt;= perc_85, converted_stat * 1.5, converted_stat)))))</f>
        <v/>
      </c>
      <c r="P129" s="30" t="str">
        <f t="array" ref="P129">IF($A129="", "", LET(bbgm_stat, INDEX(Players!$A128:$P128, MATCH(P$2, Players!$A$1:$P$1, 0)), perc_75, VLOOKUP(P$2, Percentiles!$A$45:$I$59, 6, FALSE), perc_90, VLOOKUP(P$2, Percentiles!$A$45:$I$59, 7, FALSE), perc_95, VLOOKUP(P$2, Percentiles!$A$45:$I$59, 8, FALSE), perc_85, perc_75 + (perc_90 - perc_75) * (2/3), converted_stat, '2K_Ratings'!P129, IF(bbgm_stat &gt;= perc_95, converted_stat * 3, IF(bbgm_stat &gt;= perc_90, converted_stat * 2, IF(bbgm_stat &gt;= perc_85, converted_stat * 1.5, converted_stat)))))</f>
        <v/>
      </c>
      <c r="Q129" s="30" t="str">
        <f t="array" ref="Q129">IF($A129="", "", LET(bbgm_stat, INDEX(Players!$A128:$P128, MATCH(Q$2, Players!$A$1:$P$1, 0)), perc_75, VLOOKUP(Q$2, Percentiles!$A$45:$I$59, 6, FALSE), perc_90, VLOOKUP(Q$2, Percentiles!$A$45:$I$59, 7, FALSE), perc_95, VLOOKUP(Q$2, Percentiles!$A$45:$I$59, 8, FALSE), perc_85, perc_75 + (perc_90 - perc_75) * (2/3), converted_stat, '2K_Ratings'!Q129, IF(bbgm_stat &gt;= perc_95, converted_stat * 3, IF(bbgm_stat &gt;= perc_90, converted_stat * 2, IF(bbgm_stat &gt;= perc_85, converted_stat * 1.5, converted_stat)))))</f>
        <v/>
      </c>
      <c r="R129" s="30" t="str">
        <f t="array" ref="R129">IF($A129="", "", LET(bbgm_stat, INDEX(Players!$A128:$P128, MATCH(R$2, Players!$A$1:$P$1, 0)), perc_75, VLOOKUP(R$2, Percentiles!$A$45:$I$59, 6, FALSE), perc_90, VLOOKUP(R$2, Percentiles!$A$45:$I$59, 7, FALSE), perc_95, VLOOKUP(R$2, Percentiles!$A$45:$I$59, 8, FALSE), perc_85, perc_75 + (perc_90 - perc_75) * (2/3), converted_stat, '2K_Ratings'!R129, IF(bbgm_stat &gt;= perc_95, converted_stat * 3, IF(bbgm_stat &gt;= perc_90, converted_stat * 2, IF(bbgm_stat &gt;= perc_85, converted_stat * 1.5, converted_stat)))))</f>
        <v/>
      </c>
      <c r="S129" s="30" t="str">
        <f t="array" ref="S129">IF($A129="", "", LET(bbgm_stat, INDEX(Players!$A128:$P128, MATCH(S$2, Players!$A$1:$P$1, 0)), perc_75, VLOOKUP(S$2, Percentiles!$A$45:$I$59, 6, FALSE), perc_90, VLOOKUP(S$2, Percentiles!$A$45:$I$59, 7, FALSE), perc_95, VLOOKUP(S$2, Percentiles!$A$45:$I$59, 8, FALSE), perc_85, perc_75 + (perc_90 - perc_75) * (2/3), converted_stat, '2K_Ratings'!S129, IF(bbgm_stat &gt;= perc_95, converted_stat * 3, IF(bbgm_stat &gt;= perc_90, converted_stat * 2, IF(bbgm_stat &gt;= perc_85, converted_stat * 1.5, converted_stat)))))</f>
        <v/>
      </c>
      <c r="T129" s="30" t="str">
        <f t="array" ref="T129">IF($A129="", "", LET(bbgm_stat, INDEX(Players!$A128:$P128, MATCH(T$2, Players!$A$1:$P$1, 0)), perc_75, VLOOKUP(T$2, Percentiles!$A$45:$I$59, 6, FALSE), perc_90, VLOOKUP(T$2, Percentiles!$A$45:$I$59, 7, FALSE), perc_95, VLOOKUP(T$2, Percentiles!$A$45:$I$59, 8, FALSE), perc_85, perc_75 + (perc_90 - perc_75) * (2/3), converted_stat, '2K_Ratings'!T129, IF(bbgm_stat &gt;= perc_95, converted_stat * 3, IF(bbgm_stat &gt;= perc_90, converted_stat * 2, IF(bbgm_stat &gt;= perc_85, converted_stat * 1.5, converted_stat)))))</f>
        <v/>
      </c>
      <c r="U129" s="30" t="str">
        <f t="array" ref="U129">IF($A129="", "", LET(bbgm_stat, INDEX(Players!$A128:$P128, MATCH(U$2, Players!$A$1:$P$1, 0)), perc_75, VLOOKUP(U$2, Percentiles!$A$45:$I$59, 6, FALSE), perc_90, VLOOKUP(U$2, Percentiles!$A$45:$I$59, 7, FALSE), perc_95, VLOOKUP(U$2, Percentiles!$A$45:$I$59, 8, FALSE), perc_85, perc_75 + (perc_90 - perc_75) * (2/3), converted_stat, '2K_Ratings'!U129, IF(bbgm_stat &gt;= perc_95, converted_stat * 3, IF(bbgm_stat &gt;= perc_90, converted_stat * 2, IF(bbgm_stat &gt;= perc_85, converted_stat * 1.5, converted_stat)))))</f>
        <v/>
      </c>
      <c r="V129" s="30" t="str">
        <f t="array" ref="V129">IF($A129="", "", LET(bbgm_stat, INDEX(Players!$A128:$P128, MATCH(V$2, Players!$A$1:$P$1, 0)), perc_75, VLOOKUP(V$2, Percentiles!$A$45:$I$59, 6, FALSE), perc_90, VLOOKUP(V$2, Percentiles!$A$45:$I$59, 7, FALSE), perc_95, VLOOKUP(V$2, Percentiles!$A$45:$I$59, 8, FALSE), perc_85, perc_75 + (perc_90 - perc_75) * (2/3), converted_stat, '2K_Ratings'!V129, IF(bbgm_stat &gt;= perc_95, converted_stat * 3, IF(bbgm_stat &gt;= perc_90, converted_stat * 2, IF(bbgm_stat &gt;= perc_85, converted_stat * 1.5, converted_stat)))))</f>
        <v/>
      </c>
      <c r="W129" s="30" t="str">
        <f t="array" ref="W129">IF($A129="", "", LET(bbgm_stat, INDEX(Players!$A128:$P128, MATCH(W$2, Players!$A$1:$P$1, 0)), perc_75, VLOOKUP(W$2, Percentiles!$A$45:$I$59, 6, FALSE), perc_90, VLOOKUP(W$2, Percentiles!$A$45:$I$59, 7, FALSE), perc_95, VLOOKUP(W$2, Percentiles!$A$45:$I$59, 8, FALSE), perc_85, perc_75 + (perc_90 - perc_75) * (2/3), converted_stat, '2K_Ratings'!W129, IF(bbgm_stat &gt;= perc_95, converted_stat * 3, IF(bbgm_stat &gt;= perc_90, converted_stat * 2, IF(bbgm_stat &gt;= perc_85, converted_stat * 1.5, converted_stat)))))</f>
        <v/>
      </c>
    </row>
    <row r="130">
      <c r="A130" s="30"/>
      <c r="B130" s="30" t="str">
        <f t="array" ref="B130">IF($A130="", "", LET(bbgm_stat, INDEX(Players!$A129:$P129, MATCH(B$2, Players!$A$1:$P$1, 0)), perc_75, VLOOKUP(B$2, Percentiles!$A$45:$I$59, 6, FALSE), perc_90, VLOOKUP(B$2, Percentiles!$A$45:$I$59, 7, FALSE), perc_95, VLOOKUP(B$2, Percentiles!$A$45:$I$59, 8, FALSE), perc_85, perc_75 + (perc_90 - perc_75) * (2/3), converted_stat, '2K_Ratings'!B130, IF(bbgm_stat &gt;= perc_95, converted_stat * 3, IF(bbgm_stat &gt;= perc_90, converted_stat * 2, IF(bbgm_stat &gt;= perc_85, converted_stat * 1.5, converted_stat)))))</f>
        <v/>
      </c>
      <c r="C130" s="30" t="str">
        <f t="array" ref="C130">IF($A130="", "", LET(bbgm_stat, INDEX(Players!$A129:$P129, MATCH(C$2, Players!$A$1:$P$1, 0)), perc_75, VLOOKUP(C$2, Percentiles!$A$45:$I$59, 6, FALSE), perc_90, VLOOKUP(C$2, Percentiles!$A$45:$I$59, 7, FALSE), perc_95, VLOOKUP(C$2, Percentiles!$A$45:$I$59, 8, FALSE), perc_85, perc_75 + (perc_90 - perc_75) * (2/3), converted_stat, '2K_Ratings'!C130, IF(bbgm_stat &gt;= perc_95, converted_stat * 3, IF(bbgm_stat &gt;= perc_90, converted_stat * 2, IF(bbgm_stat &gt;= perc_85, converted_stat * 1.5, converted_stat)))))</f>
        <v/>
      </c>
      <c r="D130" s="30" t="str">
        <f t="array" ref="D130">IF($A130="", "", LET(bbgm_stat, INDEX(Players!$A129:$P129, MATCH(D$2, Players!$A$1:$P$1, 0)), perc_75, VLOOKUP(D$2, Percentiles!$A$45:$I$59, 6, FALSE), perc_90, VLOOKUP(D$2, Percentiles!$A$45:$I$59, 7, FALSE), perc_95, VLOOKUP(D$2, Percentiles!$A$45:$I$59, 8, FALSE), perc_85, perc_75 + (perc_90 - perc_75) * (2/3), converted_stat, '2K_Ratings'!D130, IF(bbgm_stat &gt;= perc_95, converted_stat * 3, IF(bbgm_stat &gt;= perc_90, converted_stat * 2, IF(bbgm_stat &gt;= perc_85, converted_stat * 1.5, converted_stat)))))</f>
        <v/>
      </c>
      <c r="E130" s="30" t="str">
        <f t="array" ref="E130">IF($A130="", "", LET(bbgm_stat, INDEX(Players!$A129:$P129, MATCH(E$2, Players!$A$1:$P$1, 0)), perc_75, VLOOKUP(E$2, Percentiles!$A$45:$I$59, 6, FALSE), perc_90, VLOOKUP(E$2, Percentiles!$A$45:$I$59, 7, FALSE), perc_95, VLOOKUP(E$2, Percentiles!$A$45:$I$59, 8, FALSE), perc_85, perc_75 + (perc_90 - perc_75) * (2/3), converted_stat, '2K_Ratings'!E130, IF(bbgm_stat &gt;= perc_95, converted_stat * 3, IF(bbgm_stat &gt;= perc_90, converted_stat * 2, IF(bbgm_stat &gt;= perc_85, converted_stat * 1.5, converted_stat)))))</f>
        <v/>
      </c>
      <c r="F130" s="30" t="str">
        <f t="array" ref="F130">IF($A130="", "", LET(bbgm_stat, INDEX(Players!$A129:$P129, MATCH(F$2, Players!$A$1:$P$1, 0)), perc_75, VLOOKUP(F$2, Percentiles!$A$45:$I$59, 6, FALSE), perc_90, VLOOKUP(F$2, Percentiles!$A$45:$I$59, 7, FALSE), perc_95, VLOOKUP(F$2, Percentiles!$A$45:$I$59, 8, FALSE), perc_85, perc_75 + (perc_90 - perc_75) * (2/3), converted_stat, '2K_Ratings'!F130, IF(bbgm_stat &gt;= perc_95, converted_stat * 3, IF(bbgm_stat &gt;= perc_90, converted_stat * 2, IF(bbgm_stat &gt;= perc_85, converted_stat * 1.5, converted_stat)))))</f>
        <v/>
      </c>
      <c r="G130" s="30" t="str">
        <f t="array" ref="G130">IF($A130="", "", LET(bbgm_stat, INDEX(Players!$A129:$P129, MATCH(G$2, Players!$A$1:$P$1, 0)), perc_75, VLOOKUP(G$2, Percentiles!$A$45:$I$59, 6, FALSE), perc_90, VLOOKUP(G$2, Percentiles!$A$45:$I$59, 7, FALSE), perc_95, VLOOKUP(G$2, Percentiles!$A$45:$I$59, 8, FALSE), perc_85, perc_75 + (perc_90 - perc_75) * (2/3), converted_stat, '2K_Ratings'!G130, IF(bbgm_stat &gt;= perc_95, converted_stat * 3, IF(bbgm_stat &gt;= perc_90, converted_stat * 2, IF(bbgm_stat &gt;= perc_85, converted_stat * 1.5, converted_stat)))))</f>
        <v/>
      </c>
      <c r="H130" s="30" t="str">
        <f t="array" ref="H130">IF($A130="", "", LET(bbgm_stat, INDEX(Players!$A129:$P129, MATCH(H$2, Players!$A$1:$P$1, 0)), perc_75, VLOOKUP(H$2, Percentiles!$A$45:$I$59, 6, FALSE), perc_90, VLOOKUP(H$2, Percentiles!$A$45:$I$59, 7, FALSE), perc_95, VLOOKUP(H$2, Percentiles!$A$45:$I$59, 8, FALSE), perc_85, perc_75 + (perc_90 - perc_75) * (2/3), converted_stat, '2K_Ratings'!H130, IF(bbgm_stat &gt;= perc_95, converted_stat * 3, IF(bbgm_stat &gt;= perc_90, converted_stat * 2, IF(bbgm_stat &gt;= perc_85, converted_stat * 1.5, converted_stat)))))</f>
        <v/>
      </c>
      <c r="I130" s="30" t="str">
        <f t="array" ref="I130">IF($A130="", "", LET(bbgm_stat, INDEX(Players!$A129:$P129, MATCH(I$2, Players!$A$1:$P$1, 0)), perc_75, VLOOKUP(I$2, Percentiles!$A$45:$I$59, 6, FALSE), perc_90, VLOOKUP(I$2, Percentiles!$A$45:$I$59, 7, FALSE), perc_95, VLOOKUP(I$2, Percentiles!$A$45:$I$59, 8, FALSE), perc_85, perc_75 + (perc_90 - perc_75) * (2/3), converted_stat, '2K_Ratings'!I130, IF(bbgm_stat &gt;= perc_95, converted_stat * 3, IF(bbgm_stat &gt;= perc_90, converted_stat * 2, IF(bbgm_stat &gt;= perc_85, converted_stat * 1.5, converted_stat)))))</f>
        <v/>
      </c>
      <c r="J130" s="30" t="str">
        <f t="array" ref="J130">IF($A130="", "", LET(bbgm_stat, INDEX(Players!$A129:$P129, MATCH(J$2, Players!$A$1:$P$1, 0)), perc_75, VLOOKUP(J$2, Percentiles!$A$45:$I$59, 6, FALSE), perc_90, VLOOKUP(J$2, Percentiles!$A$45:$I$59, 7, FALSE), perc_95, VLOOKUP(J$2, Percentiles!$A$45:$I$59, 8, FALSE), perc_85, perc_75 + (perc_90 - perc_75) * (2/3), converted_stat, '2K_Ratings'!J130, IF(bbgm_stat &gt;= perc_95, converted_stat * 3, IF(bbgm_stat &gt;= perc_90, converted_stat * 2, IF(bbgm_stat &gt;= perc_85, converted_stat * 1.5, converted_stat)))))</f>
        <v/>
      </c>
      <c r="K130" s="30" t="str">
        <f t="array" ref="K130">IF($A130="", "", LET(bbgm_stat, INDEX(Players!$A129:$P129, MATCH(K$2, Players!$A$1:$P$1, 0)), perc_75, VLOOKUP(K$2, Percentiles!$A$45:$I$59, 6, FALSE), perc_90, VLOOKUP(K$2, Percentiles!$A$45:$I$59, 7, FALSE), perc_95, VLOOKUP(K$2, Percentiles!$A$45:$I$59, 8, FALSE), perc_85, perc_75 + (perc_90 - perc_75) * (2/3), converted_stat, '2K_Ratings'!K130, IF(bbgm_stat &gt;= perc_95, converted_stat * 3, IF(bbgm_stat &gt;= perc_90, converted_stat * 2, IF(bbgm_stat &gt;= perc_85, converted_stat * 1.5, converted_stat)))))</f>
        <v/>
      </c>
      <c r="L130" s="30" t="str">
        <f t="array" ref="L130">IF($A130="", "", LET(bbgm_stat, INDEX(Players!$A129:$P129, MATCH(L$2, Players!$A$1:$P$1, 0)), perc_75, VLOOKUP(L$2, Percentiles!$A$45:$I$59, 6, FALSE), perc_90, VLOOKUP(L$2, Percentiles!$A$45:$I$59, 7, FALSE), perc_95, VLOOKUP(L$2, Percentiles!$A$45:$I$59, 8, FALSE), perc_85, perc_75 + (perc_90 - perc_75) * (2/3), converted_stat, '2K_Ratings'!L130, IF(bbgm_stat &gt;= perc_95, converted_stat * 3, IF(bbgm_stat &gt;= perc_90, converted_stat * 2, IF(bbgm_stat &gt;= perc_85, converted_stat * 1.5, converted_stat)))))</f>
        <v/>
      </c>
      <c r="M130" s="30" t="str">
        <f t="array" ref="M130">IF($A130="", "", LET(bbgm_stat, INDEX(Players!$A129:$P129, MATCH(M$2, Players!$A$1:$P$1, 0)), perc_75, VLOOKUP(M$2, Percentiles!$A$45:$I$59, 6, FALSE), perc_90, VLOOKUP(M$2, Percentiles!$A$45:$I$59, 7, FALSE), perc_95, VLOOKUP(M$2, Percentiles!$A$45:$I$59, 8, FALSE), perc_85, perc_75 + (perc_90 - perc_75) * (2/3), converted_stat, '2K_Ratings'!M130, IF(bbgm_stat &gt;= perc_95, converted_stat * 3, IF(bbgm_stat &gt;= perc_90, converted_stat * 2, IF(bbgm_stat &gt;= perc_85, converted_stat * 1.5, converted_stat)))))</f>
        <v/>
      </c>
      <c r="N130" s="30" t="str">
        <f t="array" ref="N130">IF($A130="", "", LET(bbgm_stat, INDEX(Players!$A129:$P129, MATCH(N$2, Players!$A$1:$P$1, 0)), perc_75, VLOOKUP(N$2, Percentiles!$A$45:$I$59, 6, FALSE), perc_90, VLOOKUP(N$2, Percentiles!$A$45:$I$59, 7, FALSE), perc_95, VLOOKUP(N$2, Percentiles!$A$45:$I$59, 8, FALSE), perc_85, perc_75 + (perc_90 - perc_75) * (2/3), converted_stat, '2K_Ratings'!N130, IF(bbgm_stat &gt;= perc_95, converted_stat * 3, IF(bbgm_stat &gt;= perc_90, converted_stat * 2, IF(bbgm_stat &gt;= perc_85, converted_stat * 1.5, converted_stat)))))</f>
        <v/>
      </c>
      <c r="O130" s="30" t="str">
        <f t="array" ref="O130">IF($A130="", "", LET(bbgm_stat, INDEX(Players!$A129:$P129, MATCH(O$2, Players!$A$1:$P$1, 0)), perc_75, VLOOKUP(O$2, Percentiles!$A$45:$I$59, 6, FALSE), perc_90, VLOOKUP(O$2, Percentiles!$A$45:$I$59, 7, FALSE), perc_95, VLOOKUP(O$2, Percentiles!$A$45:$I$59, 8, FALSE), perc_85, perc_75 + (perc_90 - perc_75) * (2/3), converted_stat, '2K_Ratings'!O130, IF(bbgm_stat &gt;= perc_95, converted_stat * 3, IF(bbgm_stat &gt;= perc_90, converted_stat * 2, IF(bbgm_stat &gt;= perc_85, converted_stat * 1.5, converted_stat)))))</f>
        <v/>
      </c>
      <c r="P130" s="30" t="str">
        <f t="array" ref="P130">IF($A130="", "", LET(bbgm_stat, INDEX(Players!$A129:$P129, MATCH(P$2, Players!$A$1:$P$1, 0)), perc_75, VLOOKUP(P$2, Percentiles!$A$45:$I$59, 6, FALSE), perc_90, VLOOKUP(P$2, Percentiles!$A$45:$I$59, 7, FALSE), perc_95, VLOOKUP(P$2, Percentiles!$A$45:$I$59, 8, FALSE), perc_85, perc_75 + (perc_90 - perc_75) * (2/3), converted_stat, '2K_Ratings'!P130, IF(bbgm_stat &gt;= perc_95, converted_stat * 3, IF(bbgm_stat &gt;= perc_90, converted_stat * 2, IF(bbgm_stat &gt;= perc_85, converted_stat * 1.5, converted_stat)))))</f>
        <v/>
      </c>
      <c r="Q130" s="30" t="str">
        <f t="array" ref="Q130">IF($A130="", "", LET(bbgm_stat, INDEX(Players!$A129:$P129, MATCH(Q$2, Players!$A$1:$P$1, 0)), perc_75, VLOOKUP(Q$2, Percentiles!$A$45:$I$59, 6, FALSE), perc_90, VLOOKUP(Q$2, Percentiles!$A$45:$I$59, 7, FALSE), perc_95, VLOOKUP(Q$2, Percentiles!$A$45:$I$59, 8, FALSE), perc_85, perc_75 + (perc_90 - perc_75) * (2/3), converted_stat, '2K_Ratings'!Q130, IF(bbgm_stat &gt;= perc_95, converted_stat * 3, IF(bbgm_stat &gt;= perc_90, converted_stat * 2, IF(bbgm_stat &gt;= perc_85, converted_stat * 1.5, converted_stat)))))</f>
        <v/>
      </c>
      <c r="R130" s="30" t="str">
        <f t="array" ref="R130">IF($A130="", "", LET(bbgm_stat, INDEX(Players!$A129:$P129, MATCH(R$2, Players!$A$1:$P$1, 0)), perc_75, VLOOKUP(R$2, Percentiles!$A$45:$I$59, 6, FALSE), perc_90, VLOOKUP(R$2, Percentiles!$A$45:$I$59, 7, FALSE), perc_95, VLOOKUP(R$2, Percentiles!$A$45:$I$59, 8, FALSE), perc_85, perc_75 + (perc_90 - perc_75) * (2/3), converted_stat, '2K_Ratings'!R130, IF(bbgm_stat &gt;= perc_95, converted_stat * 3, IF(bbgm_stat &gt;= perc_90, converted_stat * 2, IF(bbgm_stat &gt;= perc_85, converted_stat * 1.5, converted_stat)))))</f>
        <v/>
      </c>
      <c r="S130" s="30" t="str">
        <f t="array" ref="S130">IF($A130="", "", LET(bbgm_stat, INDEX(Players!$A129:$P129, MATCH(S$2, Players!$A$1:$P$1, 0)), perc_75, VLOOKUP(S$2, Percentiles!$A$45:$I$59, 6, FALSE), perc_90, VLOOKUP(S$2, Percentiles!$A$45:$I$59, 7, FALSE), perc_95, VLOOKUP(S$2, Percentiles!$A$45:$I$59, 8, FALSE), perc_85, perc_75 + (perc_90 - perc_75) * (2/3), converted_stat, '2K_Ratings'!S130, IF(bbgm_stat &gt;= perc_95, converted_stat * 3, IF(bbgm_stat &gt;= perc_90, converted_stat * 2, IF(bbgm_stat &gt;= perc_85, converted_stat * 1.5, converted_stat)))))</f>
        <v/>
      </c>
      <c r="T130" s="30" t="str">
        <f t="array" ref="T130">IF($A130="", "", LET(bbgm_stat, INDEX(Players!$A129:$P129, MATCH(T$2, Players!$A$1:$P$1, 0)), perc_75, VLOOKUP(T$2, Percentiles!$A$45:$I$59, 6, FALSE), perc_90, VLOOKUP(T$2, Percentiles!$A$45:$I$59, 7, FALSE), perc_95, VLOOKUP(T$2, Percentiles!$A$45:$I$59, 8, FALSE), perc_85, perc_75 + (perc_90 - perc_75) * (2/3), converted_stat, '2K_Ratings'!T130, IF(bbgm_stat &gt;= perc_95, converted_stat * 3, IF(bbgm_stat &gt;= perc_90, converted_stat * 2, IF(bbgm_stat &gt;= perc_85, converted_stat * 1.5, converted_stat)))))</f>
        <v/>
      </c>
      <c r="U130" s="30" t="str">
        <f t="array" ref="U130">IF($A130="", "", LET(bbgm_stat, INDEX(Players!$A129:$P129, MATCH(U$2, Players!$A$1:$P$1, 0)), perc_75, VLOOKUP(U$2, Percentiles!$A$45:$I$59, 6, FALSE), perc_90, VLOOKUP(U$2, Percentiles!$A$45:$I$59, 7, FALSE), perc_95, VLOOKUP(U$2, Percentiles!$A$45:$I$59, 8, FALSE), perc_85, perc_75 + (perc_90 - perc_75) * (2/3), converted_stat, '2K_Ratings'!U130, IF(bbgm_stat &gt;= perc_95, converted_stat * 3, IF(bbgm_stat &gt;= perc_90, converted_stat * 2, IF(bbgm_stat &gt;= perc_85, converted_stat * 1.5, converted_stat)))))</f>
        <v/>
      </c>
      <c r="V130" s="30" t="str">
        <f t="array" ref="V130">IF($A130="", "", LET(bbgm_stat, INDEX(Players!$A129:$P129, MATCH(V$2, Players!$A$1:$P$1, 0)), perc_75, VLOOKUP(V$2, Percentiles!$A$45:$I$59, 6, FALSE), perc_90, VLOOKUP(V$2, Percentiles!$A$45:$I$59, 7, FALSE), perc_95, VLOOKUP(V$2, Percentiles!$A$45:$I$59, 8, FALSE), perc_85, perc_75 + (perc_90 - perc_75) * (2/3), converted_stat, '2K_Ratings'!V130, IF(bbgm_stat &gt;= perc_95, converted_stat * 3, IF(bbgm_stat &gt;= perc_90, converted_stat * 2, IF(bbgm_stat &gt;= perc_85, converted_stat * 1.5, converted_stat)))))</f>
        <v/>
      </c>
      <c r="W130" s="30" t="str">
        <f t="array" ref="W130">IF($A130="", "", LET(bbgm_stat, INDEX(Players!$A129:$P129, MATCH(W$2, Players!$A$1:$P$1, 0)), perc_75, VLOOKUP(W$2, Percentiles!$A$45:$I$59, 6, FALSE), perc_90, VLOOKUP(W$2, Percentiles!$A$45:$I$59, 7, FALSE), perc_95, VLOOKUP(W$2, Percentiles!$A$45:$I$59, 8, FALSE), perc_85, perc_75 + (perc_90 - perc_75) * (2/3), converted_stat, '2K_Ratings'!W130, IF(bbgm_stat &gt;= perc_95, converted_stat * 3, IF(bbgm_stat &gt;= perc_90, converted_stat * 2, IF(bbgm_stat &gt;= perc_85, converted_stat * 1.5, converted_stat)))))</f>
        <v/>
      </c>
    </row>
    <row r="131">
      <c r="A131" s="30"/>
      <c r="B131" s="30" t="str">
        <f t="array" ref="B131">IF($A131="", "", LET(bbgm_stat, INDEX(Players!$A130:$P130, MATCH(B$2, Players!$A$1:$P$1, 0)), perc_75, VLOOKUP(B$2, Percentiles!$A$45:$I$59, 6, FALSE), perc_90, VLOOKUP(B$2, Percentiles!$A$45:$I$59, 7, FALSE), perc_95, VLOOKUP(B$2, Percentiles!$A$45:$I$59, 8, FALSE), perc_85, perc_75 + (perc_90 - perc_75) * (2/3), converted_stat, '2K_Ratings'!B131, IF(bbgm_stat &gt;= perc_95, converted_stat * 3, IF(bbgm_stat &gt;= perc_90, converted_stat * 2, IF(bbgm_stat &gt;= perc_85, converted_stat * 1.5, converted_stat)))))</f>
        <v/>
      </c>
      <c r="C131" s="30" t="str">
        <f t="array" ref="C131">IF($A131="", "", LET(bbgm_stat, INDEX(Players!$A130:$P130, MATCH(C$2, Players!$A$1:$P$1, 0)), perc_75, VLOOKUP(C$2, Percentiles!$A$45:$I$59, 6, FALSE), perc_90, VLOOKUP(C$2, Percentiles!$A$45:$I$59, 7, FALSE), perc_95, VLOOKUP(C$2, Percentiles!$A$45:$I$59, 8, FALSE), perc_85, perc_75 + (perc_90 - perc_75) * (2/3), converted_stat, '2K_Ratings'!C131, IF(bbgm_stat &gt;= perc_95, converted_stat * 3, IF(bbgm_stat &gt;= perc_90, converted_stat * 2, IF(bbgm_stat &gt;= perc_85, converted_stat * 1.5, converted_stat)))))</f>
        <v/>
      </c>
      <c r="D131" s="30" t="str">
        <f t="array" ref="D131">IF($A131="", "", LET(bbgm_stat, INDEX(Players!$A130:$P130, MATCH(D$2, Players!$A$1:$P$1, 0)), perc_75, VLOOKUP(D$2, Percentiles!$A$45:$I$59, 6, FALSE), perc_90, VLOOKUP(D$2, Percentiles!$A$45:$I$59, 7, FALSE), perc_95, VLOOKUP(D$2, Percentiles!$A$45:$I$59, 8, FALSE), perc_85, perc_75 + (perc_90 - perc_75) * (2/3), converted_stat, '2K_Ratings'!D131, IF(bbgm_stat &gt;= perc_95, converted_stat * 3, IF(bbgm_stat &gt;= perc_90, converted_stat * 2, IF(bbgm_stat &gt;= perc_85, converted_stat * 1.5, converted_stat)))))</f>
        <v/>
      </c>
      <c r="E131" s="30" t="str">
        <f t="array" ref="E131">IF($A131="", "", LET(bbgm_stat, INDEX(Players!$A130:$P130, MATCH(E$2, Players!$A$1:$P$1, 0)), perc_75, VLOOKUP(E$2, Percentiles!$A$45:$I$59, 6, FALSE), perc_90, VLOOKUP(E$2, Percentiles!$A$45:$I$59, 7, FALSE), perc_95, VLOOKUP(E$2, Percentiles!$A$45:$I$59, 8, FALSE), perc_85, perc_75 + (perc_90 - perc_75) * (2/3), converted_stat, '2K_Ratings'!E131, IF(bbgm_stat &gt;= perc_95, converted_stat * 3, IF(bbgm_stat &gt;= perc_90, converted_stat * 2, IF(bbgm_stat &gt;= perc_85, converted_stat * 1.5, converted_stat)))))</f>
        <v/>
      </c>
      <c r="F131" s="30" t="str">
        <f t="array" ref="F131">IF($A131="", "", LET(bbgm_stat, INDEX(Players!$A130:$P130, MATCH(F$2, Players!$A$1:$P$1, 0)), perc_75, VLOOKUP(F$2, Percentiles!$A$45:$I$59, 6, FALSE), perc_90, VLOOKUP(F$2, Percentiles!$A$45:$I$59, 7, FALSE), perc_95, VLOOKUP(F$2, Percentiles!$A$45:$I$59, 8, FALSE), perc_85, perc_75 + (perc_90 - perc_75) * (2/3), converted_stat, '2K_Ratings'!F131, IF(bbgm_stat &gt;= perc_95, converted_stat * 3, IF(bbgm_stat &gt;= perc_90, converted_stat * 2, IF(bbgm_stat &gt;= perc_85, converted_stat * 1.5, converted_stat)))))</f>
        <v/>
      </c>
      <c r="G131" s="30" t="str">
        <f t="array" ref="G131">IF($A131="", "", LET(bbgm_stat, INDEX(Players!$A130:$P130, MATCH(G$2, Players!$A$1:$P$1, 0)), perc_75, VLOOKUP(G$2, Percentiles!$A$45:$I$59, 6, FALSE), perc_90, VLOOKUP(G$2, Percentiles!$A$45:$I$59, 7, FALSE), perc_95, VLOOKUP(G$2, Percentiles!$A$45:$I$59, 8, FALSE), perc_85, perc_75 + (perc_90 - perc_75) * (2/3), converted_stat, '2K_Ratings'!G131, IF(bbgm_stat &gt;= perc_95, converted_stat * 3, IF(bbgm_stat &gt;= perc_90, converted_stat * 2, IF(bbgm_stat &gt;= perc_85, converted_stat * 1.5, converted_stat)))))</f>
        <v/>
      </c>
      <c r="H131" s="30" t="str">
        <f t="array" ref="H131">IF($A131="", "", LET(bbgm_stat, INDEX(Players!$A130:$P130, MATCH(H$2, Players!$A$1:$P$1, 0)), perc_75, VLOOKUP(H$2, Percentiles!$A$45:$I$59, 6, FALSE), perc_90, VLOOKUP(H$2, Percentiles!$A$45:$I$59, 7, FALSE), perc_95, VLOOKUP(H$2, Percentiles!$A$45:$I$59, 8, FALSE), perc_85, perc_75 + (perc_90 - perc_75) * (2/3), converted_stat, '2K_Ratings'!H131, IF(bbgm_stat &gt;= perc_95, converted_stat * 3, IF(bbgm_stat &gt;= perc_90, converted_stat * 2, IF(bbgm_stat &gt;= perc_85, converted_stat * 1.5, converted_stat)))))</f>
        <v/>
      </c>
      <c r="I131" s="30" t="str">
        <f t="array" ref="I131">IF($A131="", "", LET(bbgm_stat, INDEX(Players!$A130:$P130, MATCH(I$2, Players!$A$1:$P$1, 0)), perc_75, VLOOKUP(I$2, Percentiles!$A$45:$I$59, 6, FALSE), perc_90, VLOOKUP(I$2, Percentiles!$A$45:$I$59, 7, FALSE), perc_95, VLOOKUP(I$2, Percentiles!$A$45:$I$59, 8, FALSE), perc_85, perc_75 + (perc_90 - perc_75) * (2/3), converted_stat, '2K_Ratings'!I131, IF(bbgm_stat &gt;= perc_95, converted_stat * 3, IF(bbgm_stat &gt;= perc_90, converted_stat * 2, IF(bbgm_stat &gt;= perc_85, converted_stat * 1.5, converted_stat)))))</f>
        <v/>
      </c>
      <c r="J131" s="30" t="str">
        <f t="array" ref="J131">IF($A131="", "", LET(bbgm_stat, INDEX(Players!$A130:$P130, MATCH(J$2, Players!$A$1:$P$1, 0)), perc_75, VLOOKUP(J$2, Percentiles!$A$45:$I$59, 6, FALSE), perc_90, VLOOKUP(J$2, Percentiles!$A$45:$I$59, 7, FALSE), perc_95, VLOOKUP(J$2, Percentiles!$A$45:$I$59, 8, FALSE), perc_85, perc_75 + (perc_90 - perc_75) * (2/3), converted_stat, '2K_Ratings'!J131, IF(bbgm_stat &gt;= perc_95, converted_stat * 3, IF(bbgm_stat &gt;= perc_90, converted_stat * 2, IF(bbgm_stat &gt;= perc_85, converted_stat * 1.5, converted_stat)))))</f>
        <v/>
      </c>
      <c r="K131" s="30" t="str">
        <f t="array" ref="K131">IF($A131="", "", LET(bbgm_stat, INDEX(Players!$A130:$P130, MATCH(K$2, Players!$A$1:$P$1, 0)), perc_75, VLOOKUP(K$2, Percentiles!$A$45:$I$59, 6, FALSE), perc_90, VLOOKUP(K$2, Percentiles!$A$45:$I$59, 7, FALSE), perc_95, VLOOKUP(K$2, Percentiles!$A$45:$I$59, 8, FALSE), perc_85, perc_75 + (perc_90 - perc_75) * (2/3), converted_stat, '2K_Ratings'!K131, IF(bbgm_stat &gt;= perc_95, converted_stat * 3, IF(bbgm_stat &gt;= perc_90, converted_stat * 2, IF(bbgm_stat &gt;= perc_85, converted_stat * 1.5, converted_stat)))))</f>
        <v/>
      </c>
      <c r="L131" s="30" t="str">
        <f t="array" ref="L131">IF($A131="", "", LET(bbgm_stat, INDEX(Players!$A130:$P130, MATCH(L$2, Players!$A$1:$P$1, 0)), perc_75, VLOOKUP(L$2, Percentiles!$A$45:$I$59, 6, FALSE), perc_90, VLOOKUP(L$2, Percentiles!$A$45:$I$59, 7, FALSE), perc_95, VLOOKUP(L$2, Percentiles!$A$45:$I$59, 8, FALSE), perc_85, perc_75 + (perc_90 - perc_75) * (2/3), converted_stat, '2K_Ratings'!L131, IF(bbgm_stat &gt;= perc_95, converted_stat * 3, IF(bbgm_stat &gt;= perc_90, converted_stat * 2, IF(bbgm_stat &gt;= perc_85, converted_stat * 1.5, converted_stat)))))</f>
        <v/>
      </c>
      <c r="M131" s="30" t="str">
        <f t="array" ref="M131">IF($A131="", "", LET(bbgm_stat, INDEX(Players!$A130:$P130, MATCH(M$2, Players!$A$1:$P$1, 0)), perc_75, VLOOKUP(M$2, Percentiles!$A$45:$I$59, 6, FALSE), perc_90, VLOOKUP(M$2, Percentiles!$A$45:$I$59, 7, FALSE), perc_95, VLOOKUP(M$2, Percentiles!$A$45:$I$59, 8, FALSE), perc_85, perc_75 + (perc_90 - perc_75) * (2/3), converted_stat, '2K_Ratings'!M131, IF(bbgm_stat &gt;= perc_95, converted_stat * 3, IF(bbgm_stat &gt;= perc_90, converted_stat * 2, IF(bbgm_stat &gt;= perc_85, converted_stat * 1.5, converted_stat)))))</f>
        <v/>
      </c>
      <c r="N131" s="30" t="str">
        <f t="array" ref="N131">IF($A131="", "", LET(bbgm_stat, INDEX(Players!$A130:$P130, MATCH(N$2, Players!$A$1:$P$1, 0)), perc_75, VLOOKUP(N$2, Percentiles!$A$45:$I$59, 6, FALSE), perc_90, VLOOKUP(N$2, Percentiles!$A$45:$I$59, 7, FALSE), perc_95, VLOOKUP(N$2, Percentiles!$A$45:$I$59, 8, FALSE), perc_85, perc_75 + (perc_90 - perc_75) * (2/3), converted_stat, '2K_Ratings'!N131, IF(bbgm_stat &gt;= perc_95, converted_stat * 3, IF(bbgm_stat &gt;= perc_90, converted_stat * 2, IF(bbgm_stat &gt;= perc_85, converted_stat * 1.5, converted_stat)))))</f>
        <v/>
      </c>
      <c r="O131" s="30" t="str">
        <f t="array" ref="O131">IF($A131="", "", LET(bbgm_stat, INDEX(Players!$A130:$P130, MATCH(O$2, Players!$A$1:$P$1, 0)), perc_75, VLOOKUP(O$2, Percentiles!$A$45:$I$59, 6, FALSE), perc_90, VLOOKUP(O$2, Percentiles!$A$45:$I$59, 7, FALSE), perc_95, VLOOKUP(O$2, Percentiles!$A$45:$I$59, 8, FALSE), perc_85, perc_75 + (perc_90 - perc_75) * (2/3), converted_stat, '2K_Ratings'!O131, IF(bbgm_stat &gt;= perc_95, converted_stat * 3, IF(bbgm_stat &gt;= perc_90, converted_stat * 2, IF(bbgm_stat &gt;= perc_85, converted_stat * 1.5, converted_stat)))))</f>
        <v/>
      </c>
      <c r="P131" s="30" t="str">
        <f t="array" ref="P131">IF($A131="", "", LET(bbgm_stat, INDEX(Players!$A130:$P130, MATCH(P$2, Players!$A$1:$P$1, 0)), perc_75, VLOOKUP(P$2, Percentiles!$A$45:$I$59, 6, FALSE), perc_90, VLOOKUP(P$2, Percentiles!$A$45:$I$59, 7, FALSE), perc_95, VLOOKUP(P$2, Percentiles!$A$45:$I$59, 8, FALSE), perc_85, perc_75 + (perc_90 - perc_75) * (2/3), converted_stat, '2K_Ratings'!P131, IF(bbgm_stat &gt;= perc_95, converted_stat * 3, IF(bbgm_stat &gt;= perc_90, converted_stat * 2, IF(bbgm_stat &gt;= perc_85, converted_stat * 1.5, converted_stat)))))</f>
        <v/>
      </c>
      <c r="Q131" s="30" t="str">
        <f t="array" ref="Q131">IF($A131="", "", LET(bbgm_stat, INDEX(Players!$A130:$P130, MATCH(Q$2, Players!$A$1:$P$1, 0)), perc_75, VLOOKUP(Q$2, Percentiles!$A$45:$I$59, 6, FALSE), perc_90, VLOOKUP(Q$2, Percentiles!$A$45:$I$59, 7, FALSE), perc_95, VLOOKUP(Q$2, Percentiles!$A$45:$I$59, 8, FALSE), perc_85, perc_75 + (perc_90 - perc_75) * (2/3), converted_stat, '2K_Ratings'!Q131, IF(bbgm_stat &gt;= perc_95, converted_stat * 3, IF(bbgm_stat &gt;= perc_90, converted_stat * 2, IF(bbgm_stat &gt;= perc_85, converted_stat * 1.5, converted_stat)))))</f>
        <v/>
      </c>
      <c r="R131" s="30" t="str">
        <f t="array" ref="R131">IF($A131="", "", LET(bbgm_stat, INDEX(Players!$A130:$P130, MATCH(R$2, Players!$A$1:$P$1, 0)), perc_75, VLOOKUP(R$2, Percentiles!$A$45:$I$59, 6, FALSE), perc_90, VLOOKUP(R$2, Percentiles!$A$45:$I$59, 7, FALSE), perc_95, VLOOKUP(R$2, Percentiles!$A$45:$I$59, 8, FALSE), perc_85, perc_75 + (perc_90 - perc_75) * (2/3), converted_stat, '2K_Ratings'!R131, IF(bbgm_stat &gt;= perc_95, converted_stat * 3, IF(bbgm_stat &gt;= perc_90, converted_stat * 2, IF(bbgm_stat &gt;= perc_85, converted_stat * 1.5, converted_stat)))))</f>
        <v/>
      </c>
      <c r="S131" s="30" t="str">
        <f t="array" ref="S131">IF($A131="", "", LET(bbgm_stat, INDEX(Players!$A130:$P130, MATCH(S$2, Players!$A$1:$P$1, 0)), perc_75, VLOOKUP(S$2, Percentiles!$A$45:$I$59, 6, FALSE), perc_90, VLOOKUP(S$2, Percentiles!$A$45:$I$59, 7, FALSE), perc_95, VLOOKUP(S$2, Percentiles!$A$45:$I$59, 8, FALSE), perc_85, perc_75 + (perc_90 - perc_75) * (2/3), converted_stat, '2K_Ratings'!S131, IF(bbgm_stat &gt;= perc_95, converted_stat * 3, IF(bbgm_stat &gt;= perc_90, converted_stat * 2, IF(bbgm_stat &gt;= perc_85, converted_stat * 1.5, converted_stat)))))</f>
        <v/>
      </c>
      <c r="T131" s="30" t="str">
        <f t="array" ref="T131">IF($A131="", "", LET(bbgm_stat, INDEX(Players!$A130:$P130, MATCH(T$2, Players!$A$1:$P$1, 0)), perc_75, VLOOKUP(T$2, Percentiles!$A$45:$I$59, 6, FALSE), perc_90, VLOOKUP(T$2, Percentiles!$A$45:$I$59, 7, FALSE), perc_95, VLOOKUP(T$2, Percentiles!$A$45:$I$59, 8, FALSE), perc_85, perc_75 + (perc_90 - perc_75) * (2/3), converted_stat, '2K_Ratings'!T131, IF(bbgm_stat &gt;= perc_95, converted_stat * 3, IF(bbgm_stat &gt;= perc_90, converted_stat * 2, IF(bbgm_stat &gt;= perc_85, converted_stat * 1.5, converted_stat)))))</f>
        <v/>
      </c>
      <c r="U131" s="30" t="str">
        <f t="array" ref="U131">IF($A131="", "", LET(bbgm_stat, INDEX(Players!$A130:$P130, MATCH(U$2, Players!$A$1:$P$1, 0)), perc_75, VLOOKUP(U$2, Percentiles!$A$45:$I$59, 6, FALSE), perc_90, VLOOKUP(U$2, Percentiles!$A$45:$I$59, 7, FALSE), perc_95, VLOOKUP(U$2, Percentiles!$A$45:$I$59, 8, FALSE), perc_85, perc_75 + (perc_90 - perc_75) * (2/3), converted_stat, '2K_Ratings'!U131, IF(bbgm_stat &gt;= perc_95, converted_stat * 3, IF(bbgm_stat &gt;= perc_90, converted_stat * 2, IF(bbgm_stat &gt;= perc_85, converted_stat * 1.5, converted_stat)))))</f>
        <v/>
      </c>
      <c r="V131" s="30" t="str">
        <f t="array" ref="V131">IF($A131="", "", LET(bbgm_stat, INDEX(Players!$A130:$P130, MATCH(V$2, Players!$A$1:$P$1, 0)), perc_75, VLOOKUP(V$2, Percentiles!$A$45:$I$59, 6, FALSE), perc_90, VLOOKUP(V$2, Percentiles!$A$45:$I$59, 7, FALSE), perc_95, VLOOKUP(V$2, Percentiles!$A$45:$I$59, 8, FALSE), perc_85, perc_75 + (perc_90 - perc_75) * (2/3), converted_stat, '2K_Ratings'!V131, IF(bbgm_stat &gt;= perc_95, converted_stat * 3, IF(bbgm_stat &gt;= perc_90, converted_stat * 2, IF(bbgm_stat &gt;= perc_85, converted_stat * 1.5, converted_stat)))))</f>
        <v/>
      </c>
      <c r="W131" s="30" t="str">
        <f t="array" ref="W131">IF($A131="", "", LET(bbgm_stat, INDEX(Players!$A130:$P130, MATCH(W$2, Players!$A$1:$P$1, 0)), perc_75, VLOOKUP(W$2, Percentiles!$A$45:$I$59, 6, FALSE), perc_90, VLOOKUP(W$2, Percentiles!$A$45:$I$59, 7, FALSE), perc_95, VLOOKUP(W$2, Percentiles!$A$45:$I$59, 8, FALSE), perc_85, perc_75 + (perc_90 - perc_75) * (2/3), converted_stat, '2K_Ratings'!W131, IF(bbgm_stat &gt;= perc_95, converted_stat * 3, IF(bbgm_stat &gt;= perc_90, converted_stat * 2, IF(bbgm_stat &gt;= perc_85, converted_stat * 1.5, converted_stat)))))</f>
        <v/>
      </c>
    </row>
    <row r="132">
      <c r="A132" s="30"/>
      <c r="B132" s="30" t="str">
        <f t="array" ref="B132">IF($A132="", "", LET(bbgm_stat, INDEX(Players!$A131:$P131, MATCH(B$2, Players!$A$1:$P$1, 0)), perc_75, VLOOKUP(B$2, Percentiles!$A$45:$I$59, 6, FALSE), perc_90, VLOOKUP(B$2, Percentiles!$A$45:$I$59, 7, FALSE), perc_95, VLOOKUP(B$2, Percentiles!$A$45:$I$59, 8, FALSE), perc_85, perc_75 + (perc_90 - perc_75) * (2/3), converted_stat, '2K_Ratings'!B132, IF(bbgm_stat &gt;= perc_95, converted_stat * 3, IF(bbgm_stat &gt;= perc_90, converted_stat * 2, IF(bbgm_stat &gt;= perc_85, converted_stat * 1.5, converted_stat)))))</f>
        <v/>
      </c>
      <c r="C132" s="30" t="str">
        <f t="array" ref="C132">IF($A132="", "", LET(bbgm_stat, INDEX(Players!$A131:$P131, MATCH(C$2, Players!$A$1:$P$1, 0)), perc_75, VLOOKUP(C$2, Percentiles!$A$45:$I$59, 6, FALSE), perc_90, VLOOKUP(C$2, Percentiles!$A$45:$I$59, 7, FALSE), perc_95, VLOOKUP(C$2, Percentiles!$A$45:$I$59, 8, FALSE), perc_85, perc_75 + (perc_90 - perc_75) * (2/3), converted_stat, '2K_Ratings'!C132, IF(bbgm_stat &gt;= perc_95, converted_stat * 3, IF(bbgm_stat &gt;= perc_90, converted_stat * 2, IF(bbgm_stat &gt;= perc_85, converted_stat * 1.5, converted_stat)))))</f>
        <v/>
      </c>
      <c r="D132" s="30" t="str">
        <f t="array" ref="D132">IF($A132="", "", LET(bbgm_stat, INDEX(Players!$A131:$P131, MATCH(D$2, Players!$A$1:$P$1, 0)), perc_75, VLOOKUP(D$2, Percentiles!$A$45:$I$59, 6, FALSE), perc_90, VLOOKUP(D$2, Percentiles!$A$45:$I$59, 7, FALSE), perc_95, VLOOKUP(D$2, Percentiles!$A$45:$I$59, 8, FALSE), perc_85, perc_75 + (perc_90 - perc_75) * (2/3), converted_stat, '2K_Ratings'!D132, IF(bbgm_stat &gt;= perc_95, converted_stat * 3, IF(bbgm_stat &gt;= perc_90, converted_stat * 2, IF(bbgm_stat &gt;= perc_85, converted_stat * 1.5, converted_stat)))))</f>
        <v/>
      </c>
      <c r="E132" s="30" t="str">
        <f t="array" ref="E132">IF($A132="", "", LET(bbgm_stat, INDEX(Players!$A131:$P131, MATCH(E$2, Players!$A$1:$P$1, 0)), perc_75, VLOOKUP(E$2, Percentiles!$A$45:$I$59, 6, FALSE), perc_90, VLOOKUP(E$2, Percentiles!$A$45:$I$59, 7, FALSE), perc_95, VLOOKUP(E$2, Percentiles!$A$45:$I$59, 8, FALSE), perc_85, perc_75 + (perc_90 - perc_75) * (2/3), converted_stat, '2K_Ratings'!E132, IF(bbgm_stat &gt;= perc_95, converted_stat * 3, IF(bbgm_stat &gt;= perc_90, converted_stat * 2, IF(bbgm_stat &gt;= perc_85, converted_stat * 1.5, converted_stat)))))</f>
        <v/>
      </c>
      <c r="F132" s="30" t="str">
        <f t="array" ref="F132">IF($A132="", "", LET(bbgm_stat, INDEX(Players!$A131:$P131, MATCH(F$2, Players!$A$1:$P$1, 0)), perc_75, VLOOKUP(F$2, Percentiles!$A$45:$I$59, 6, FALSE), perc_90, VLOOKUP(F$2, Percentiles!$A$45:$I$59, 7, FALSE), perc_95, VLOOKUP(F$2, Percentiles!$A$45:$I$59, 8, FALSE), perc_85, perc_75 + (perc_90 - perc_75) * (2/3), converted_stat, '2K_Ratings'!F132, IF(bbgm_stat &gt;= perc_95, converted_stat * 3, IF(bbgm_stat &gt;= perc_90, converted_stat * 2, IF(bbgm_stat &gt;= perc_85, converted_stat * 1.5, converted_stat)))))</f>
        <v/>
      </c>
      <c r="G132" s="30" t="str">
        <f t="array" ref="G132">IF($A132="", "", LET(bbgm_stat, INDEX(Players!$A131:$P131, MATCH(G$2, Players!$A$1:$P$1, 0)), perc_75, VLOOKUP(G$2, Percentiles!$A$45:$I$59, 6, FALSE), perc_90, VLOOKUP(G$2, Percentiles!$A$45:$I$59, 7, FALSE), perc_95, VLOOKUP(G$2, Percentiles!$A$45:$I$59, 8, FALSE), perc_85, perc_75 + (perc_90 - perc_75) * (2/3), converted_stat, '2K_Ratings'!G132, IF(bbgm_stat &gt;= perc_95, converted_stat * 3, IF(bbgm_stat &gt;= perc_90, converted_stat * 2, IF(bbgm_stat &gt;= perc_85, converted_stat * 1.5, converted_stat)))))</f>
        <v/>
      </c>
      <c r="H132" s="30" t="str">
        <f t="array" ref="H132">IF($A132="", "", LET(bbgm_stat, INDEX(Players!$A131:$P131, MATCH(H$2, Players!$A$1:$P$1, 0)), perc_75, VLOOKUP(H$2, Percentiles!$A$45:$I$59, 6, FALSE), perc_90, VLOOKUP(H$2, Percentiles!$A$45:$I$59, 7, FALSE), perc_95, VLOOKUP(H$2, Percentiles!$A$45:$I$59, 8, FALSE), perc_85, perc_75 + (perc_90 - perc_75) * (2/3), converted_stat, '2K_Ratings'!H132, IF(bbgm_stat &gt;= perc_95, converted_stat * 3, IF(bbgm_stat &gt;= perc_90, converted_stat * 2, IF(bbgm_stat &gt;= perc_85, converted_stat * 1.5, converted_stat)))))</f>
        <v/>
      </c>
      <c r="I132" s="30" t="str">
        <f t="array" ref="I132">IF($A132="", "", LET(bbgm_stat, INDEX(Players!$A131:$P131, MATCH(I$2, Players!$A$1:$P$1, 0)), perc_75, VLOOKUP(I$2, Percentiles!$A$45:$I$59, 6, FALSE), perc_90, VLOOKUP(I$2, Percentiles!$A$45:$I$59, 7, FALSE), perc_95, VLOOKUP(I$2, Percentiles!$A$45:$I$59, 8, FALSE), perc_85, perc_75 + (perc_90 - perc_75) * (2/3), converted_stat, '2K_Ratings'!I132, IF(bbgm_stat &gt;= perc_95, converted_stat * 3, IF(bbgm_stat &gt;= perc_90, converted_stat * 2, IF(bbgm_stat &gt;= perc_85, converted_stat * 1.5, converted_stat)))))</f>
        <v/>
      </c>
      <c r="J132" s="30" t="str">
        <f t="array" ref="J132">IF($A132="", "", LET(bbgm_stat, INDEX(Players!$A131:$P131, MATCH(J$2, Players!$A$1:$P$1, 0)), perc_75, VLOOKUP(J$2, Percentiles!$A$45:$I$59, 6, FALSE), perc_90, VLOOKUP(J$2, Percentiles!$A$45:$I$59, 7, FALSE), perc_95, VLOOKUP(J$2, Percentiles!$A$45:$I$59, 8, FALSE), perc_85, perc_75 + (perc_90 - perc_75) * (2/3), converted_stat, '2K_Ratings'!J132, IF(bbgm_stat &gt;= perc_95, converted_stat * 3, IF(bbgm_stat &gt;= perc_90, converted_stat * 2, IF(bbgm_stat &gt;= perc_85, converted_stat * 1.5, converted_stat)))))</f>
        <v/>
      </c>
      <c r="K132" s="30" t="str">
        <f t="array" ref="K132">IF($A132="", "", LET(bbgm_stat, INDEX(Players!$A131:$P131, MATCH(K$2, Players!$A$1:$P$1, 0)), perc_75, VLOOKUP(K$2, Percentiles!$A$45:$I$59, 6, FALSE), perc_90, VLOOKUP(K$2, Percentiles!$A$45:$I$59, 7, FALSE), perc_95, VLOOKUP(K$2, Percentiles!$A$45:$I$59, 8, FALSE), perc_85, perc_75 + (perc_90 - perc_75) * (2/3), converted_stat, '2K_Ratings'!K132, IF(bbgm_stat &gt;= perc_95, converted_stat * 3, IF(bbgm_stat &gt;= perc_90, converted_stat * 2, IF(bbgm_stat &gt;= perc_85, converted_stat * 1.5, converted_stat)))))</f>
        <v/>
      </c>
      <c r="L132" s="30" t="str">
        <f t="array" ref="L132">IF($A132="", "", LET(bbgm_stat, INDEX(Players!$A131:$P131, MATCH(L$2, Players!$A$1:$P$1, 0)), perc_75, VLOOKUP(L$2, Percentiles!$A$45:$I$59, 6, FALSE), perc_90, VLOOKUP(L$2, Percentiles!$A$45:$I$59, 7, FALSE), perc_95, VLOOKUP(L$2, Percentiles!$A$45:$I$59, 8, FALSE), perc_85, perc_75 + (perc_90 - perc_75) * (2/3), converted_stat, '2K_Ratings'!L132, IF(bbgm_stat &gt;= perc_95, converted_stat * 3, IF(bbgm_stat &gt;= perc_90, converted_stat * 2, IF(bbgm_stat &gt;= perc_85, converted_stat * 1.5, converted_stat)))))</f>
        <v/>
      </c>
      <c r="M132" s="30" t="str">
        <f t="array" ref="M132">IF($A132="", "", LET(bbgm_stat, INDEX(Players!$A131:$P131, MATCH(M$2, Players!$A$1:$P$1, 0)), perc_75, VLOOKUP(M$2, Percentiles!$A$45:$I$59, 6, FALSE), perc_90, VLOOKUP(M$2, Percentiles!$A$45:$I$59, 7, FALSE), perc_95, VLOOKUP(M$2, Percentiles!$A$45:$I$59, 8, FALSE), perc_85, perc_75 + (perc_90 - perc_75) * (2/3), converted_stat, '2K_Ratings'!M132, IF(bbgm_stat &gt;= perc_95, converted_stat * 3, IF(bbgm_stat &gt;= perc_90, converted_stat * 2, IF(bbgm_stat &gt;= perc_85, converted_stat * 1.5, converted_stat)))))</f>
        <v/>
      </c>
      <c r="N132" s="30" t="str">
        <f t="array" ref="N132">IF($A132="", "", LET(bbgm_stat, INDEX(Players!$A131:$P131, MATCH(N$2, Players!$A$1:$P$1, 0)), perc_75, VLOOKUP(N$2, Percentiles!$A$45:$I$59, 6, FALSE), perc_90, VLOOKUP(N$2, Percentiles!$A$45:$I$59, 7, FALSE), perc_95, VLOOKUP(N$2, Percentiles!$A$45:$I$59, 8, FALSE), perc_85, perc_75 + (perc_90 - perc_75) * (2/3), converted_stat, '2K_Ratings'!N132, IF(bbgm_stat &gt;= perc_95, converted_stat * 3, IF(bbgm_stat &gt;= perc_90, converted_stat * 2, IF(bbgm_stat &gt;= perc_85, converted_stat * 1.5, converted_stat)))))</f>
        <v/>
      </c>
      <c r="O132" s="30" t="str">
        <f t="array" ref="O132">IF($A132="", "", LET(bbgm_stat, INDEX(Players!$A131:$P131, MATCH(O$2, Players!$A$1:$P$1, 0)), perc_75, VLOOKUP(O$2, Percentiles!$A$45:$I$59, 6, FALSE), perc_90, VLOOKUP(O$2, Percentiles!$A$45:$I$59, 7, FALSE), perc_95, VLOOKUP(O$2, Percentiles!$A$45:$I$59, 8, FALSE), perc_85, perc_75 + (perc_90 - perc_75) * (2/3), converted_stat, '2K_Ratings'!O132, IF(bbgm_stat &gt;= perc_95, converted_stat * 3, IF(bbgm_stat &gt;= perc_90, converted_stat * 2, IF(bbgm_stat &gt;= perc_85, converted_stat * 1.5, converted_stat)))))</f>
        <v/>
      </c>
      <c r="P132" s="30" t="str">
        <f t="array" ref="P132">IF($A132="", "", LET(bbgm_stat, INDEX(Players!$A131:$P131, MATCH(P$2, Players!$A$1:$P$1, 0)), perc_75, VLOOKUP(P$2, Percentiles!$A$45:$I$59, 6, FALSE), perc_90, VLOOKUP(P$2, Percentiles!$A$45:$I$59, 7, FALSE), perc_95, VLOOKUP(P$2, Percentiles!$A$45:$I$59, 8, FALSE), perc_85, perc_75 + (perc_90 - perc_75) * (2/3), converted_stat, '2K_Ratings'!P132, IF(bbgm_stat &gt;= perc_95, converted_stat * 3, IF(bbgm_stat &gt;= perc_90, converted_stat * 2, IF(bbgm_stat &gt;= perc_85, converted_stat * 1.5, converted_stat)))))</f>
        <v/>
      </c>
      <c r="Q132" s="30" t="str">
        <f t="array" ref="Q132">IF($A132="", "", LET(bbgm_stat, INDEX(Players!$A131:$P131, MATCH(Q$2, Players!$A$1:$P$1, 0)), perc_75, VLOOKUP(Q$2, Percentiles!$A$45:$I$59, 6, FALSE), perc_90, VLOOKUP(Q$2, Percentiles!$A$45:$I$59, 7, FALSE), perc_95, VLOOKUP(Q$2, Percentiles!$A$45:$I$59, 8, FALSE), perc_85, perc_75 + (perc_90 - perc_75) * (2/3), converted_stat, '2K_Ratings'!Q132, IF(bbgm_stat &gt;= perc_95, converted_stat * 3, IF(bbgm_stat &gt;= perc_90, converted_stat * 2, IF(bbgm_stat &gt;= perc_85, converted_stat * 1.5, converted_stat)))))</f>
        <v/>
      </c>
      <c r="R132" s="30" t="str">
        <f t="array" ref="R132">IF($A132="", "", LET(bbgm_stat, INDEX(Players!$A131:$P131, MATCH(R$2, Players!$A$1:$P$1, 0)), perc_75, VLOOKUP(R$2, Percentiles!$A$45:$I$59, 6, FALSE), perc_90, VLOOKUP(R$2, Percentiles!$A$45:$I$59, 7, FALSE), perc_95, VLOOKUP(R$2, Percentiles!$A$45:$I$59, 8, FALSE), perc_85, perc_75 + (perc_90 - perc_75) * (2/3), converted_stat, '2K_Ratings'!R132, IF(bbgm_stat &gt;= perc_95, converted_stat * 3, IF(bbgm_stat &gt;= perc_90, converted_stat * 2, IF(bbgm_stat &gt;= perc_85, converted_stat * 1.5, converted_stat)))))</f>
        <v/>
      </c>
      <c r="S132" s="30" t="str">
        <f t="array" ref="S132">IF($A132="", "", LET(bbgm_stat, INDEX(Players!$A131:$P131, MATCH(S$2, Players!$A$1:$P$1, 0)), perc_75, VLOOKUP(S$2, Percentiles!$A$45:$I$59, 6, FALSE), perc_90, VLOOKUP(S$2, Percentiles!$A$45:$I$59, 7, FALSE), perc_95, VLOOKUP(S$2, Percentiles!$A$45:$I$59, 8, FALSE), perc_85, perc_75 + (perc_90 - perc_75) * (2/3), converted_stat, '2K_Ratings'!S132, IF(bbgm_stat &gt;= perc_95, converted_stat * 3, IF(bbgm_stat &gt;= perc_90, converted_stat * 2, IF(bbgm_stat &gt;= perc_85, converted_stat * 1.5, converted_stat)))))</f>
        <v/>
      </c>
      <c r="T132" s="30" t="str">
        <f t="array" ref="T132">IF($A132="", "", LET(bbgm_stat, INDEX(Players!$A131:$P131, MATCH(T$2, Players!$A$1:$P$1, 0)), perc_75, VLOOKUP(T$2, Percentiles!$A$45:$I$59, 6, FALSE), perc_90, VLOOKUP(T$2, Percentiles!$A$45:$I$59, 7, FALSE), perc_95, VLOOKUP(T$2, Percentiles!$A$45:$I$59, 8, FALSE), perc_85, perc_75 + (perc_90 - perc_75) * (2/3), converted_stat, '2K_Ratings'!T132, IF(bbgm_stat &gt;= perc_95, converted_stat * 3, IF(bbgm_stat &gt;= perc_90, converted_stat * 2, IF(bbgm_stat &gt;= perc_85, converted_stat * 1.5, converted_stat)))))</f>
        <v/>
      </c>
      <c r="U132" s="30" t="str">
        <f t="array" ref="U132">IF($A132="", "", LET(bbgm_stat, INDEX(Players!$A131:$P131, MATCH(U$2, Players!$A$1:$P$1, 0)), perc_75, VLOOKUP(U$2, Percentiles!$A$45:$I$59, 6, FALSE), perc_90, VLOOKUP(U$2, Percentiles!$A$45:$I$59, 7, FALSE), perc_95, VLOOKUP(U$2, Percentiles!$A$45:$I$59, 8, FALSE), perc_85, perc_75 + (perc_90 - perc_75) * (2/3), converted_stat, '2K_Ratings'!U132, IF(bbgm_stat &gt;= perc_95, converted_stat * 3, IF(bbgm_stat &gt;= perc_90, converted_stat * 2, IF(bbgm_stat &gt;= perc_85, converted_stat * 1.5, converted_stat)))))</f>
        <v/>
      </c>
      <c r="V132" s="30" t="str">
        <f t="array" ref="V132">IF($A132="", "", LET(bbgm_stat, INDEX(Players!$A131:$P131, MATCH(V$2, Players!$A$1:$P$1, 0)), perc_75, VLOOKUP(V$2, Percentiles!$A$45:$I$59, 6, FALSE), perc_90, VLOOKUP(V$2, Percentiles!$A$45:$I$59, 7, FALSE), perc_95, VLOOKUP(V$2, Percentiles!$A$45:$I$59, 8, FALSE), perc_85, perc_75 + (perc_90 - perc_75) * (2/3), converted_stat, '2K_Ratings'!V132, IF(bbgm_stat &gt;= perc_95, converted_stat * 3, IF(bbgm_stat &gt;= perc_90, converted_stat * 2, IF(bbgm_stat &gt;= perc_85, converted_stat * 1.5, converted_stat)))))</f>
        <v/>
      </c>
      <c r="W132" s="30" t="str">
        <f t="array" ref="W132">IF($A132="", "", LET(bbgm_stat, INDEX(Players!$A131:$P131, MATCH(W$2, Players!$A$1:$P$1, 0)), perc_75, VLOOKUP(W$2, Percentiles!$A$45:$I$59, 6, FALSE), perc_90, VLOOKUP(W$2, Percentiles!$A$45:$I$59, 7, FALSE), perc_95, VLOOKUP(W$2, Percentiles!$A$45:$I$59, 8, FALSE), perc_85, perc_75 + (perc_90 - perc_75) * (2/3), converted_stat, '2K_Ratings'!W132, IF(bbgm_stat &gt;= perc_95, converted_stat * 3, IF(bbgm_stat &gt;= perc_90, converted_stat * 2, IF(bbgm_stat &gt;= perc_85, converted_stat * 1.5, converted_stat)))))</f>
        <v/>
      </c>
    </row>
    <row r="133">
      <c r="A133" s="30"/>
      <c r="B133" s="30" t="str">
        <f t="array" ref="B133">IF($A133="", "", LET(bbgm_stat, INDEX(Players!$A132:$P132, MATCH(B$2, Players!$A$1:$P$1, 0)), perc_75, VLOOKUP(B$2, Percentiles!$A$45:$I$59, 6, FALSE), perc_90, VLOOKUP(B$2, Percentiles!$A$45:$I$59, 7, FALSE), perc_95, VLOOKUP(B$2, Percentiles!$A$45:$I$59, 8, FALSE), perc_85, perc_75 + (perc_90 - perc_75) * (2/3), converted_stat, '2K_Ratings'!B133, IF(bbgm_stat &gt;= perc_95, converted_stat * 3, IF(bbgm_stat &gt;= perc_90, converted_stat * 2, IF(bbgm_stat &gt;= perc_85, converted_stat * 1.5, converted_stat)))))</f>
        <v/>
      </c>
      <c r="C133" s="30" t="str">
        <f t="array" ref="C133">IF($A133="", "", LET(bbgm_stat, INDEX(Players!$A132:$P132, MATCH(C$2, Players!$A$1:$P$1, 0)), perc_75, VLOOKUP(C$2, Percentiles!$A$45:$I$59, 6, FALSE), perc_90, VLOOKUP(C$2, Percentiles!$A$45:$I$59, 7, FALSE), perc_95, VLOOKUP(C$2, Percentiles!$A$45:$I$59, 8, FALSE), perc_85, perc_75 + (perc_90 - perc_75) * (2/3), converted_stat, '2K_Ratings'!C133, IF(bbgm_stat &gt;= perc_95, converted_stat * 3, IF(bbgm_stat &gt;= perc_90, converted_stat * 2, IF(bbgm_stat &gt;= perc_85, converted_stat * 1.5, converted_stat)))))</f>
        <v/>
      </c>
      <c r="D133" s="30" t="str">
        <f t="array" ref="D133">IF($A133="", "", LET(bbgm_stat, INDEX(Players!$A132:$P132, MATCH(D$2, Players!$A$1:$P$1, 0)), perc_75, VLOOKUP(D$2, Percentiles!$A$45:$I$59, 6, FALSE), perc_90, VLOOKUP(D$2, Percentiles!$A$45:$I$59, 7, FALSE), perc_95, VLOOKUP(D$2, Percentiles!$A$45:$I$59, 8, FALSE), perc_85, perc_75 + (perc_90 - perc_75) * (2/3), converted_stat, '2K_Ratings'!D133, IF(bbgm_stat &gt;= perc_95, converted_stat * 3, IF(bbgm_stat &gt;= perc_90, converted_stat * 2, IF(bbgm_stat &gt;= perc_85, converted_stat * 1.5, converted_stat)))))</f>
        <v/>
      </c>
      <c r="E133" s="30" t="str">
        <f t="array" ref="E133">IF($A133="", "", LET(bbgm_stat, INDEX(Players!$A132:$P132, MATCH(E$2, Players!$A$1:$P$1, 0)), perc_75, VLOOKUP(E$2, Percentiles!$A$45:$I$59, 6, FALSE), perc_90, VLOOKUP(E$2, Percentiles!$A$45:$I$59, 7, FALSE), perc_95, VLOOKUP(E$2, Percentiles!$A$45:$I$59, 8, FALSE), perc_85, perc_75 + (perc_90 - perc_75) * (2/3), converted_stat, '2K_Ratings'!E133, IF(bbgm_stat &gt;= perc_95, converted_stat * 3, IF(bbgm_stat &gt;= perc_90, converted_stat * 2, IF(bbgm_stat &gt;= perc_85, converted_stat * 1.5, converted_stat)))))</f>
        <v/>
      </c>
      <c r="F133" s="30" t="str">
        <f t="array" ref="F133">IF($A133="", "", LET(bbgm_stat, INDEX(Players!$A132:$P132, MATCH(F$2, Players!$A$1:$P$1, 0)), perc_75, VLOOKUP(F$2, Percentiles!$A$45:$I$59, 6, FALSE), perc_90, VLOOKUP(F$2, Percentiles!$A$45:$I$59, 7, FALSE), perc_95, VLOOKUP(F$2, Percentiles!$A$45:$I$59, 8, FALSE), perc_85, perc_75 + (perc_90 - perc_75) * (2/3), converted_stat, '2K_Ratings'!F133, IF(bbgm_stat &gt;= perc_95, converted_stat * 3, IF(bbgm_stat &gt;= perc_90, converted_stat * 2, IF(bbgm_stat &gt;= perc_85, converted_stat * 1.5, converted_stat)))))</f>
        <v/>
      </c>
      <c r="G133" s="30" t="str">
        <f t="array" ref="G133">IF($A133="", "", LET(bbgm_stat, INDEX(Players!$A132:$P132, MATCH(G$2, Players!$A$1:$P$1, 0)), perc_75, VLOOKUP(G$2, Percentiles!$A$45:$I$59, 6, FALSE), perc_90, VLOOKUP(G$2, Percentiles!$A$45:$I$59, 7, FALSE), perc_95, VLOOKUP(G$2, Percentiles!$A$45:$I$59, 8, FALSE), perc_85, perc_75 + (perc_90 - perc_75) * (2/3), converted_stat, '2K_Ratings'!G133, IF(bbgm_stat &gt;= perc_95, converted_stat * 3, IF(bbgm_stat &gt;= perc_90, converted_stat * 2, IF(bbgm_stat &gt;= perc_85, converted_stat * 1.5, converted_stat)))))</f>
        <v/>
      </c>
      <c r="H133" s="30" t="str">
        <f t="array" ref="H133">IF($A133="", "", LET(bbgm_stat, INDEX(Players!$A132:$P132, MATCH(H$2, Players!$A$1:$P$1, 0)), perc_75, VLOOKUP(H$2, Percentiles!$A$45:$I$59, 6, FALSE), perc_90, VLOOKUP(H$2, Percentiles!$A$45:$I$59, 7, FALSE), perc_95, VLOOKUP(H$2, Percentiles!$A$45:$I$59, 8, FALSE), perc_85, perc_75 + (perc_90 - perc_75) * (2/3), converted_stat, '2K_Ratings'!H133, IF(bbgm_stat &gt;= perc_95, converted_stat * 3, IF(bbgm_stat &gt;= perc_90, converted_stat * 2, IF(bbgm_stat &gt;= perc_85, converted_stat * 1.5, converted_stat)))))</f>
        <v/>
      </c>
      <c r="I133" s="30" t="str">
        <f t="array" ref="I133">IF($A133="", "", LET(bbgm_stat, INDEX(Players!$A132:$P132, MATCH(I$2, Players!$A$1:$P$1, 0)), perc_75, VLOOKUP(I$2, Percentiles!$A$45:$I$59, 6, FALSE), perc_90, VLOOKUP(I$2, Percentiles!$A$45:$I$59, 7, FALSE), perc_95, VLOOKUP(I$2, Percentiles!$A$45:$I$59, 8, FALSE), perc_85, perc_75 + (perc_90 - perc_75) * (2/3), converted_stat, '2K_Ratings'!I133, IF(bbgm_stat &gt;= perc_95, converted_stat * 3, IF(bbgm_stat &gt;= perc_90, converted_stat * 2, IF(bbgm_stat &gt;= perc_85, converted_stat * 1.5, converted_stat)))))</f>
        <v/>
      </c>
      <c r="J133" s="30" t="str">
        <f t="array" ref="J133">IF($A133="", "", LET(bbgm_stat, INDEX(Players!$A132:$P132, MATCH(J$2, Players!$A$1:$P$1, 0)), perc_75, VLOOKUP(J$2, Percentiles!$A$45:$I$59, 6, FALSE), perc_90, VLOOKUP(J$2, Percentiles!$A$45:$I$59, 7, FALSE), perc_95, VLOOKUP(J$2, Percentiles!$A$45:$I$59, 8, FALSE), perc_85, perc_75 + (perc_90 - perc_75) * (2/3), converted_stat, '2K_Ratings'!J133, IF(bbgm_stat &gt;= perc_95, converted_stat * 3, IF(bbgm_stat &gt;= perc_90, converted_stat * 2, IF(bbgm_stat &gt;= perc_85, converted_stat * 1.5, converted_stat)))))</f>
        <v/>
      </c>
      <c r="K133" s="30" t="str">
        <f t="array" ref="K133">IF($A133="", "", LET(bbgm_stat, INDEX(Players!$A132:$P132, MATCH(K$2, Players!$A$1:$P$1, 0)), perc_75, VLOOKUP(K$2, Percentiles!$A$45:$I$59, 6, FALSE), perc_90, VLOOKUP(K$2, Percentiles!$A$45:$I$59, 7, FALSE), perc_95, VLOOKUP(K$2, Percentiles!$A$45:$I$59, 8, FALSE), perc_85, perc_75 + (perc_90 - perc_75) * (2/3), converted_stat, '2K_Ratings'!K133, IF(bbgm_stat &gt;= perc_95, converted_stat * 3, IF(bbgm_stat &gt;= perc_90, converted_stat * 2, IF(bbgm_stat &gt;= perc_85, converted_stat * 1.5, converted_stat)))))</f>
        <v/>
      </c>
      <c r="L133" s="30" t="str">
        <f t="array" ref="L133">IF($A133="", "", LET(bbgm_stat, INDEX(Players!$A132:$P132, MATCH(L$2, Players!$A$1:$P$1, 0)), perc_75, VLOOKUP(L$2, Percentiles!$A$45:$I$59, 6, FALSE), perc_90, VLOOKUP(L$2, Percentiles!$A$45:$I$59, 7, FALSE), perc_95, VLOOKUP(L$2, Percentiles!$A$45:$I$59, 8, FALSE), perc_85, perc_75 + (perc_90 - perc_75) * (2/3), converted_stat, '2K_Ratings'!L133, IF(bbgm_stat &gt;= perc_95, converted_stat * 3, IF(bbgm_stat &gt;= perc_90, converted_stat * 2, IF(bbgm_stat &gt;= perc_85, converted_stat * 1.5, converted_stat)))))</f>
        <v/>
      </c>
      <c r="M133" s="30" t="str">
        <f t="array" ref="M133">IF($A133="", "", LET(bbgm_stat, INDEX(Players!$A132:$P132, MATCH(M$2, Players!$A$1:$P$1, 0)), perc_75, VLOOKUP(M$2, Percentiles!$A$45:$I$59, 6, FALSE), perc_90, VLOOKUP(M$2, Percentiles!$A$45:$I$59, 7, FALSE), perc_95, VLOOKUP(M$2, Percentiles!$A$45:$I$59, 8, FALSE), perc_85, perc_75 + (perc_90 - perc_75) * (2/3), converted_stat, '2K_Ratings'!M133, IF(bbgm_stat &gt;= perc_95, converted_stat * 3, IF(bbgm_stat &gt;= perc_90, converted_stat * 2, IF(bbgm_stat &gt;= perc_85, converted_stat * 1.5, converted_stat)))))</f>
        <v/>
      </c>
      <c r="N133" s="30" t="str">
        <f t="array" ref="N133">IF($A133="", "", LET(bbgm_stat, INDEX(Players!$A132:$P132, MATCH(N$2, Players!$A$1:$P$1, 0)), perc_75, VLOOKUP(N$2, Percentiles!$A$45:$I$59, 6, FALSE), perc_90, VLOOKUP(N$2, Percentiles!$A$45:$I$59, 7, FALSE), perc_95, VLOOKUP(N$2, Percentiles!$A$45:$I$59, 8, FALSE), perc_85, perc_75 + (perc_90 - perc_75) * (2/3), converted_stat, '2K_Ratings'!N133, IF(bbgm_stat &gt;= perc_95, converted_stat * 3, IF(bbgm_stat &gt;= perc_90, converted_stat * 2, IF(bbgm_stat &gt;= perc_85, converted_stat * 1.5, converted_stat)))))</f>
        <v/>
      </c>
      <c r="O133" s="30" t="str">
        <f t="array" ref="O133">IF($A133="", "", LET(bbgm_stat, INDEX(Players!$A132:$P132, MATCH(O$2, Players!$A$1:$P$1, 0)), perc_75, VLOOKUP(O$2, Percentiles!$A$45:$I$59, 6, FALSE), perc_90, VLOOKUP(O$2, Percentiles!$A$45:$I$59, 7, FALSE), perc_95, VLOOKUP(O$2, Percentiles!$A$45:$I$59, 8, FALSE), perc_85, perc_75 + (perc_90 - perc_75) * (2/3), converted_stat, '2K_Ratings'!O133, IF(bbgm_stat &gt;= perc_95, converted_stat * 3, IF(bbgm_stat &gt;= perc_90, converted_stat * 2, IF(bbgm_stat &gt;= perc_85, converted_stat * 1.5, converted_stat)))))</f>
        <v/>
      </c>
      <c r="P133" s="30" t="str">
        <f t="array" ref="P133">IF($A133="", "", LET(bbgm_stat, INDEX(Players!$A132:$P132, MATCH(P$2, Players!$A$1:$P$1, 0)), perc_75, VLOOKUP(P$2, Percentiles!$A$45:$I$59, 6, FALSE), perc_90, VLOOKUP(P$2, Percentiles!$A$45:$I$59, 7, FALSE), perc_95, VLOOKUP(P$2, Percentiles!$A$45:$I$59, 8, FALSE), perc_85, perc_75 + (perc_90 - perc_75) * (2/3), converted_stat, '2K_Ratings'!P133, IF(bbgm_stat &gt;= perc_95, converted_stat * 3, IF(bbgm_stat &gt;= perc_90, converted_stat * 2, IF(bbgm_stat &gt;= perc_85, converted_stat * 1.5, converted_stat)))))</f>
        <v/>
      </c>
      <c r="Q133" s="30" t="str">
        <f t="array" ref="Q133">IF($A133="", "", LET(bbgm_stat, INDEX(Players!$A132:$P132, MATCH(Q$2, Players!$A$1:$P$1, 0)), perc_75, VLOOKUP(Q$2, Percentiles!$A$45:$I$59, 6, FALSE), perc_90, VLOOKUP(Q$2, Percentiles!$A$45:$I$59, 7, FALSE), perc_95, VLOOKUP(Q$2, Percentiles!$A$45:$I$59, 8, FALSE), perc_85, perc_75 + (perc_90 - perc_75) * (2/3), converted_stat, '2K_Ratings'!Q133, IF(bbgm_stat &gt;= perc_95, converted_stat * 3, IF(bbgm_stat &gt;= perc_90, converted_stat * 2, IF(bbgm_stat &gt;= perc_85, converted_stat * 1.5, converted_stat)))))</f>
        <v/>
      </c>
      <c r="R133" s="30" t="str">
        <f t="array" ref="R133">IF($A133="", "", LET(bbgm_stat, INDEX(Players!$A132:$P132, MATCH(R$2, Players!$A$1:$P$1, 0)), perc_75, VLOOKUP(R$2, Percentiles!$A$45:$I$59, 6, FALSE), perc_90, VLOOKUP(R$2, Percentiles!$A$45:$I$59, 7, FALSE), perc_95, VLOOKUP(R$2, Percentiles!$A$45:$I$59, 8, FALSE), perc_85, perc_75 + (perc_90 - perc_75) * (2/3), converted_stat, '2K_Ratings'!R133, IF(bbgm_stat &gt;= perc_95, converted_stat * 3, IF(bbgm_stat &gt;= perc_90, converted_stat * 2, IF(bbgm_stat &gt;= perc_85, converted_stat * 1.5, converted_stat)))))</f>
        <v/>
      </c>
      <c r="S133" s="30" t="str">
        <f t="array" ref="S133">IF($A133="", "", LET(bbgm_stat, INDEX(Players!$A132:$P132, MATCH(S$2, Players!$A$1:$P$1, 0)), perc_75, VLOOKUP(S$2, Percentiles!$A$45:$I$59, 6, FALSE), perc_90, VLOOKUP(S$2, Percentiles!$A$45:$I$59, 7, FALSE), perc_95, VLOOKUP(S$2, Percentiles!$A$45:$I$59, 8, FALSE), perc_85, perc_75 + (perc_90 - perc_75) * (2/3), converted_stat, '2K_Ratings'!S133, IF(bbgm_stat &gt;= perc_95, converted_stat * 3, IF(bbgm_stat &gt;= perc_90, converted_stat * 2, IF(bbgm_stat &gt;= perc_85, converted_stat * 1.5, converted_stat)))))</f>
        <v/>
      </c>
      <c r="T133" s="30" t="str">
        <f t="array" ref="T133">IF($A133="", "", LET(bbgm_stat, INDEX(Players!$A132:$P132, MATCH(T$2, Players!$A$1:$P$1, 0)), perc_75, VLOOKUP(T$2, Percentiles!$A$45:$I$59, 6, FALSE), perc_90, VLOOKUP(T$2, Percentiles!$A$45:$I$59, 7, FALSE), perc_95, VLOOKUP(T$2, Percentiles!$A$45:$I$59, 8, FALSE), perc_85, perc_75 + (perc_90 - perc_75) * (2/3), converted_stat, '2K_Ratings'!T133, IF(bbgm_stat &gt;= perc_95, converted_stat * 3, IF(bbgm_stat &gt;= perc_90, converted_stat * 2, IF(bbgm_stat &gt;= perc_85, converted_stat * 1.5, converted_stat)))))</f>
        <v/>
      </c>
      <c r="U133" s="30" t="str">
        <f t="array" ref="U133">IF($A133="", "", LET(bbgm_stat, INDEX(Players!$A132:$P132, MATCH(U$2, Players!$A$1:$P$1, 0)), perc_75, VLOOKUP(U$2, Percentiles!$A$45:$I$59, 6, FALSE), perc_90, VLOOKUP(U$2, Percentiles!$A$45:$I$59, 7, FALSE), perc_95, VLOOKUP(U$2, Percentiles!$A$45:$I$59, 8, FALSE), perc_85, perc_75 + (perc_90 - perc_75) * (2/3), converted_stat, '2K_Ratings'!U133, IF(bbgm_stat &gt;= perc_95, converted_stat * 3, IF(bbgm_stat &gt;= perc_90, converted_stat * 2, IF(bbgm_stat &gt;= perc_85, converted_stat * 1.5, converted_stat)))))</f>
        <v/>
      </c>
      <c r="V133" s="30" t="str">
        <f t="array" ref="V133">IF($A133="", "", LET(bbgm_stat, INDEX(Players!$A132:$P132, MATCH(V$2, Players!$A$1:$P$1, 0)), perc_75, VLOOKUP(V$2, Percentiles!$A$45:$I$59, 6, FALSE), perc_90, VLOOKUP(V$2, Percentiles!$A$45:$I$59, 7, FALSE), perc_95, VLOOKUP(V$2, Percentiles!$A$45:$I$59, 8, FALSE), perc_85, perc_75 + (perc_90 - perc_75) * (2/3), converted_stat, '2K_Ratings'!V133, IF(bbgm_stat &gt;= perc_95, converted_stat * 3, IF(bbgm_stat &gt;= perc_90, converted_stat * 2, IF(bbgm_stat &gt;= perc_85, converted_stat * 1.5, converted_stat)))))</f>
        <v/>
      </c>
      <c r="W133" s="30" t="str">
        <f t="array" ref="W133">IF($A133="", "", LET(bbgm_stat, INDEX(Players!$A132:$P132, MATCH(W$2, Players!$A$1:$P$1, 0)), perc_75, VLOOKUP(W$2, Percentiles!$A$45:$I$59, 6, FALSE), perc_90, VLOOKUP(W$2, Percentiles!$A$45:$I$59, 7, FALSE), perc_95, VLOOKUP(W$2, Percentiles!$A$45:$I$59, 8, FALSE), perc_85, perc_75 + (perc_90 - perc_75) * (2/3), converted_stat, '2K_Ratings'!W133, IF(bbgm_stat &gt;= perc_95, converted_stat * 3, IF(bbgm_stat &gt;= perc_90, converted_stat * 2, IF(bbgm_stat &gt;= perc_85, converted_stat * 1.5, converted_stat)))))</f>
        <v/>
      </c>
    </row>
    <row r="134">
      <c r="A134" s="30"/>
      <c r="B134" s="30" t="str">
        <f t="array" ref="B134">IF($A134="", "", LET(bbgm_stat, INDEX(Players!$A133:$P133, MATCH(B$2, Players!$A$1:$P$1, 0)), perc_75, VLOOKUP(B$2, Percentiles!$A$45:$I$59, 6, FALSE), perc_90, VLOOKUP(B$2, Percentiles!$A$45:$I$59, 7, FALSE), perc_95, VLOOKUP(B$2, Percentiles!$A$45:$I$59, 8, FALSE), perc_85, perc_75 + (perc_90 - perc_75) * (2/3), converted_stat, '2K_Ratings'!B134, IF(bbgm_stat &gt;= perc_95, converted_stat * 3, IF(bbgm_stat &gt;= perc_90, converted_stat * 2, IF(bbgm_stat &gt;= perc_85, converted_stat * 1.5, converted_stat)))))</f>
        <v/>
      </c>
      <c r="C134" s="30" t="str">
        <f t="array" ref="C134">IF($A134="", "", LET(bbgm_stat, INDEX(Players!$A133:$P133, MATCH(C$2, Players!$A$1:$P$1, 0)), perc_75, VLOOKUP(C$2, Percentiles!$A$45:$I$59, 6, FALSE), perc_90, VLOOKUP(C$2, Percentiles!$A$45:$I$59, 7, FALSE), perc_95, VLOOKUP(C$2, Percentiles!$A$45:$I$59, 8, FALSE), perc_85, perc_75 + (perc_90 - perc_75) * (2/3), converted_stat, '2K_Ratings'!C134, IF(bbgm_stat &gt;= perc_95, converted_stat * 3, IF(bbgm_stat &gt;= perc_90, converted_stat * 2, IF(bbgm_stat &gt;= perc_85, converted_stat * 1.5, converted_stat)))))</f>
        <v/>
      </c>
      <c r="D134" s="30" t="str">
        <f t="array" ref="D134">IF($A134="", "", LET(bbgm_stat, INDEX(Players!$A133:$P133, MATCH(D$2, Players!$A$1:$P$1, 0)), perc_75, VLOOKUP(D$2, Percentiles!$A$45:$I$59, 6, FALSE), perc_90, VLOOKUP(D$2, Percentiles!$A$45:$I$59, 7, FALSE), perc_95, VLOOKUP(D$2, Percentiles!$A$45:$I$59, 8, FALSE), perc_85, perc_75 + (perc_90 - perc_75) * (2/3), converted_stat, '2K_Ratings'!D134, IF(bbgm_stat &gt;= perc_95, converted_stat * 3, IF(bbgm_stat &gt;= perc_90, converted_stat * 2, IF(bbgm_stat &gt;= perc_85, converted_stat * 1.5, converted_stat)))))</f>
        <v/>
      </c>
      <c r="E134" s="30" t="str">
        <f t="array" ref="E134">IF($A134="", "", LET(bbgm_stat, INDEX(Players!$A133:$P133, MATCH(E$2, Players!$A$1:$P$1, 0)), perc_75, VLOOKUP(E$2, Percentiles!$A$45:$I$59, 6, FALSE), perc_90, VLOOKUP(E$2, Percentiles!$A$45:$I$59, 7, FALSE), perc_95, VLOOKUP(E$2, Percentiles!$A$45:$I$59, 8, FALSE), perc_85, perc_75 + (perc_90 - perc_75) * (2/3), converted_stat, '2K_Ratings'!E134, IF(bbgm_stat &gt;= perc_95, converted_stat * 3, IF(bbgm_stat &gt;= perc_90, converted_stat * 2, IF(bbgm_stat &gt;= perc_85, converted_stat * 1.5, converted_stat)))))</f>
        <v/>
      </c>
      <c r="F134" s="30" t="str">
        <f t="array" ref="F134">IF($A134="", "", LET(bbgm_stat, INDEX(Players!$A133:$P133, MATCH(F$2, Players!$A$1:$P$1, 0)), perc_75, VLOOKUP(F$2, Percentiles!$A$45:$I$59, 6, FALSE), perc_90, VLOOKUP(F$2, Percentiles!$A$45:$I$59, 7, FALSE), perc_95, VLOOKUP(F$2, Percentiles!$A$45:$I$59, 8, FALSE), perc_85, perc_75 + (perc_90 - perc_75) * (2/3), converted_stat, '2K_Ratings'!F134, IF(bbgm_stat &gt;= perc_95, converted_stat * 3, IF(bbgm_stat &gt;= perc_90, converted_stat * 2, IF(bbgm_stat &gt;= perc_85, converted_stat * 1.5, converted_stat)))))</f>
        <v/>
      </c>
      <c r="G134" s="30" t="str">
        <f t="array" ref="G134">IF($A134="", "", LET(bbgm_stat, INDEX(Players!$A133:$P133, MATCH(G$2, Players!$A$1:$P$1, 0)), perc_75, VLOOKUP(G$2, Percentiles!$A$45:$I$59, 6, FALSE), perc_90, VLOOKUP(G$2, Percentiles!$A$45:$I$59, 7, FALSE), perc_95, VLOOKUP(G$2, Percentiles!$A$45:$I$59, 8, FALSE), perc_85, perc_75 + (perc_90 - perc_75) * (2/3), converted_stat, '2K_Ratings'!G134, IF(bbgm_stat &gt;= perc_95, converted_stat * 3, IF(bbgm_stat &gt;= perc_90, converted_stat * 2, IF(bbgm_stat &gt;= perc_85, converted_stat * 1.5, converted_stat)))))</f>
        <v/>
      </c>
      <c r="H134" s="30" t="str">
        <f t="array" ref="H134">IF($A134="", "", LET(bbgm_stat, INDEX(Players!$A133:$P133, MATCH(H$2, Players!$A$1:$P$1, 0)), perc_75, VLOOKUP(H$2, Percentiles!$A$45:$I$59, 6, FALSE), perc_90, VLOOKUP(H$2, Percentiles!$A$45:$I$59, 7, FALSE), perc_95, VLOOKUP(H$2, Percentiles!$A$45:$I$59, 8, FALSE), perc_85, perc_75 + (perc_90 - perc_75) * (2/3), converted_stat, '2K_Ratings'!H134, IF(bbgm_stat &gt;= perc_95, converted_stat * 3, IF(bbgm_stat &gt;= perc_90, converted_stat * 2, IF(bbgm_stat &gt;= perc_85, converted_stat * 1.5, converted_stat)))))</f>
        <v/>
      </c>
      <c r="I134" s="30" t="str">
        <f t="array" ref="I134">IF($A134="", "", LET(bbgm_stat, INDEX(Players!$A133:$P133, MATCH(I$2, Players!$A$1:$P$1, 0)), perc_75, VLOOKUP(I$2, Percentiles!$A$45:$I$59, 6, FALSE), perc_90, VLOOKUP(I$2, Percentiles!$A$45:$I$59, 7, FALSE), perc_95, VLOOKUP(I$2, Percentiles!$A$45:$I$59, 8, FALSE), perc_85, perc_75 + (perc_90 - perc_75) * (2/3), converted_stat, '2K_Ratings'!I134, IF(bbgm_stat &gt;= perc_95, converted_stat * 3, IF(bbgm_stat &gt;= perc_90, converted_stat * 2, IF(bbgm_stat &gt;= perc_85, converted_stat * 1.5, converted_stat)))))</f>
        <v/>
      </c>
      <c r="J134" s="30" t="str">
        <f t="array" ref="J134">IF($A134="", "", LET(bbgm_stat, INDEX(Players!$A133:$P133, MATCH(J$2, Players!$A$1:$P$1, 0)), perc_75, VLOOKUP(J$2, Percentiles!$A$45:$I$59, 6, FALSE), perc_90, VLOOKUP(J$2, Percentiles!$A$45:$I$59, 7, FALSE), perc_95, VLOOKUP(J$2, Percentiles!$A$45:$I$59, 8, FALSE), perc_85, perc_75 + (perc_90 - perc_75) * (2/3), converted_stat, '2K_Ratings'!J134, IF(bbgm_stat &gt;= perc_95, converted_stat * 3, IF(bbgm_stat &gt;= perc_90, converted_stat * 2, IF(bbgm_stat &gt;= perc_85, converted_stat * 1.5, converted_stat)))))</f>
        <v/>
      </c>
      <c r="K134" s="30" t="str">
        <f t="array" ref="K134">IF($A134="", "", LET(bbgm_stat, INDEX(Players!$A133:$P133, MATCH(K$2, Players!$A$1:$P$1, 0)), perc_75, VLOOKUP(K$2, Percentiles!$A$45:$I$59, 6, FALSE), perc_90, VLOOKUP(K$2, Percentiles!$A$45:$I$59, 7, FALSE), perc_95, VLOOKUP(K$2, Percentiles!$A$45:$I$59, 8, FALSE), perc_85, perc_75 + (perc_90 - perc_75) * (2/3), converted_stat, '2K_Ratings'!K134, IF(bbgm_stat &gt;= perc_95, converted_stat * 3, IF(bbgm_stat &gt;= perc_90, converted_stat * 2, IF(bbgm_stat &gt;= perc_85, converted_stat * 1.5, converted_stat)))))</f>
        <v/>
      </c>
      <c r="L134" s="30" t="str">
        <f t="array" ref="L134">IF($A134="", "", LET(bbgm_stat, INDEX(Players!$A133:$P133, MATCH(L$2, Players!$A$1:$P$1, 0)), perc_75, VLOOKUP(L$2, Percentiles!$A$45:$I$59, 6, FALSE), perc_90, VLOOKUP(L$2, Percentiles!$A$45:$I$59, 7, FALSE), perc_95, VLOOKUP(L$2, Percentiles!$A$45:$I$59, 8, FALSE), perc_85, perc_75 + (perc_90 - perc_75) * (2/3), converted_stat, '2K_Ratings'!L134, IF(bbgm_stat &gt;= perc_95, converted_stat * 3, IF(bbgm_stat &gt;= perc_90, converted_stat * 2, IF(bbgm_stat &gt;= perc_85, converted_stat * 1.5, converted_stat)))))</f>
        <v/>
      </c>
      <c r="M134" s="30" t="str">
        <f t="array" ref="M134">IF($A134="", "", LET(bbgm_stat, INDEX(Players!$A133:$P133, MATCH(M$2, Players!$A$1:$P$1, 0)), perc_75, VLOOKUP(M$2, Percentiles!$A$45:$I$59, 6, FALSE), perc_90, VLOOKUP(M$2, Percentiles!$A$45:$I$59, 7, FALSE), perc_95, VLOOKUP(M$2, Percentiles!$A$45:$I$59, 8, FALSE), perc_85, perc_75 + (perc_90 - perc_75) * (2/3), converted_stat, '2K_Ratings'!M134, IF(bbgm_stat &gt;= perc_95, converted_stat * 3, IF(bbgm_stat &gt;= perc_90, converted_stat * 2, IF(bbgm_stat &gt;= perc_85, converted_stat * 1.5, converted_stat)))))</f>
        <v/>
      </c>
      <c r="N134" s="30" t="str">
        <f t="array" ref="N134">IF($A134="", "", LET(bbgm_stat, INDEX(Players!$A133:$P133, MATCH(N$2, Players!$A$1:$P$1, 0)), perc_75, VLOOKUP(N$2, Percentiles!$A$45:$I$59, 6, FALSE), perc_90, VLOOKUP(N$2, Percentiles!$A$45:$I$59, 7, FALSE), perc_95, VLOOKUP(N$2, Percentiles!$A$45:$I$59, 8, FALSE), perc_85, perc_75 + (perc_90 - perc_75) * (2/3), converted_stat, '2K_Ratings'!N134, IF(bbgm_stat &gt;= perc_95, converted_stat * 3, IF(bbgm_stat &gt;= perc_90, converted_stat * 2, IF(bbgm_stat &gt;= perc_85, converted_stat * 1.5, converted_stat)))))</f>
        <v/>
      </c>
      <c r="O134" s="30" t="str">
        <f t="array" ref="O134">IF($A134="", "", LET(bbgm_stat, INDEX(Players!$A133:$P133, MATCH(O$2, Players!$A$1:$P$1, 0)), perc_75, VLOOKUP(O$2, Percentiles!$A$45:$I$59, 6, FALSE), perc_90, VLOOKUP(O$2, Percentiles!$A$45:$I$59, 7, FALSE), perc_95, VLOOKUP(O$2, Percentiles!$A$45:$I$59, 8, FALSE), perc_85, perc_75 + (perc_90 - perc_75) * (2/3), converted_stat, '2K_Ratings'!O134, IF(bbgm_stat &gt;= perc_95, converted_stat * 3, IF(bbgm_stat &gt;= perc_90, converted_stat * 2, IF(bbgm_stat &gt;= perc_85, converted_stat * 1.5, converted_stat)))))</f>
        <v/>
      </c>
      <c r="P134" s="30" t="str">
        <f t="array" ref="P134">IF($A134="", "", LET(bbgm_stat, INDEX(Players!$A133:$P133, MATCH(P$2, Players!$A$1:$P$1, 0)), perc_75, VLOOKUP(P$2, Percentiles!$A$45:$I$59, 6, FALSE), perc_90, VLOOKUP(P$2, Percentiles!$A$45:$I$59, 7, FALSE), perc_95, VLOOKUP(P$2, Percentiles!$A$45:$I$59, 8, FALSE), perc_85, perc_75 + (perc_90 - perc_75) * (2/3), converted_stat, '2K_Ratings'!P134, IF(bbgm_stat &gt;= perc_95, converted_stat * 3, IF(bbgm_stat &gt;= perc_90, converted_stat * 2, IF(bbgm_stat &gt;= perc_85, converted_stat * 1.5, converted_stat)))))</f>
        <v/>
      </c>
      <c r="Q134" s="30" t="str">
        <f t="array" ref="Q134">IF($A134="", "", LET(bbgm_stat, INDEX(Players!$A133:$P133, MATCH(Q$2, Players!$A$1:$P$1, 0)), perc_75, VLOOKUP(Q$2, Percentiles!$A$45:$I$59, 6, FALSE), perc_90, VLOOKUP(Q$2, Percentiles!$A$45:$I$59, 7, FALSE), perc_95, VLOOKUP(Q$2, Percentiles!$A$45:$I$59, 8, FALSE), perc_85, perc_75 + (perc_90 - perc_75) * (2/3), converted_stat, '2K_Ratings'!Q134, IF(bbgm_stat &gt;= perc_95, converted_stat * 3, IF(bbgm_stat &gt;= perc_90, converted_stat * 2, IF(bbgm_stat &gt;= perc_85, converted_stat * 1.5, converted_stat)))))</f>
        <v/>
      </c>
      <c r="R134" s="30" t="str">
        <f t="array" ref="R134">IF($A134="", "", LET(bbgm_stat, INDEX(Players!$A133:$P133, MATCH(R$2, Players!$A$1:$P$1, 0)), perc_75, VLOOKUP(R$2, Percentiles!$A$45:$I$59, 6, FALSE), perc_90, VLOOKUP(R$2, Percentiles!$A$45:$I$59, 7, FALSE), perc_95, VLOOKUP(R$2, Percentiles!$A$45:$I$59, 8, FALSE), perc_85, perc_75 + (perc_90 - perc_75) * (2/3), converted_stat, '2K_Ratings'!R134, IF(bbgm_stat &gt;= perc_95, converted_stat * 3, IF(bbgm_stat &gt;= perc_90, converted_stat * 2, IF(bbgm_stat &gt;= perc_85, converted_stat * 1.5, converted_stat)))))</f>
        <v/>
      </c>
      <c r="S134" s="30" t="str">
        <f t="array" ref="S134">IF($A134="", "", LET(bbgm_stat, INDEX(Players!$A133:$P133, MATCH(S$2, Players!$A$1:$P$1, 0)), perc_75, VLOOKUP(S$2, Percentiles!$A$45:$I$59, 6, FALSE), perc_90, VLOOKUP(S$2, Percentiles!$A$45:$I$59, 7, FALSE), perc_95, VLOOKUP(S$2, Percentiles!$A$45:$I$59, 8, FALSE), perc_85, perc_75 + (perc_90 - perc_75) * (2/3), converted_stat, '2K_Ratings'!S134, IF(bbgm_stat &gt;= perc_95, converted_stat * 3, IF(bbgm_stat &gt;= perc_90, converted_stat * 2, IF(bbgm_stat &gt;= perc_85, converted_stat * 1.5, converted_stat)))))</f>
        <v/>
      </c>
      <c r="T134" s="30" t="str">
        <f t="array" ref="T134">IF($A134="", "", LET(bbgm_stat, INDEX(Players!$A133:$P133, MATCH(T$2, Players!$A$1:$P$1, 0)), perc_75, VLOOKUP(T$2, Percentiles!$A$45:$I$59, 6, FALSE), perc_90, VLOOKUP(T$2, Percentiles!$A$45:$I$59, 7, FALSE), perc_95, VLOOKUP(T$2, Percentiles!$A$45:$I$59, 8, FALSE), perc_85, perc_75 + (perc_90 - perc_75) * (2/3), converted_stat, '2K_Ratings'!T134, IF(bbgm_stat &gt;= perc_95, converted_stat * 3, IF(bbgm_stat &gt;= perc_90, converted_stat * 2, IF(bbgm_stat &gt;= perc_85, converted_stat * 1.5, converted_stat)))))</f>
        <v/>
      </c>
      <c r="U134" s="30" t="str">
        <f t="array" ref="U134">IF($A134="", "", LET(bbgm_stat, INDEX(Players!$A133:$P133, MATCH(U$2, Players!$A$1:$P$1, 0)), perc_75, VLOOKUP(U$2, Percentiles!$A$45:$I$59, 6, FALSE), perc_90, VLOOKUP(U$2, Percentiles!$A$45:$I$59, 7, FALSE), perc_95, VLOOKUP(U$2, Percentiles!$A$45:$I$59, 8, FALSE), perc_85, perc_75 + (perc_90 - perc_75) * (2/3), converted_stat, '2K_Ratings'!U134, IF(bbgm_stat &gt;= perc_95, converted_stat * 3, IF(bbgm_stat &gt;= perc_90, converted_stat * 2, IF(bbgm_stat &gt;= perc_85, converted_stat * 1.5, converted_stat)))))</f>
        <v/>
      </c>
      <c r="V134" s="30" t="str">
        <f t="array" ref="V134">IF($A134="", "", LET(bbgm_stat, INDEX(Players!$A133:$P133, MATCH(V$2, Players!$A$1:$P$1, 0)), perc_75, VLOOKUP(V$2, Percentiles!$A$45:$I$59, 6, FALSE), perc_90, VLOOKUP(V$2, Percentiles!$A$45:$I$59, 7, FALSE), perc_95, VLOOKUP(V$2, Percentiles!$A$45:$I$59, 8, FALSE), perc_85, perc_75 + (perc_90 - perc_75) * (2/3), converted_stat, '2K_Ratings'!V134, IF(bbgm_stat &gt;= perc_95, converted_stat * 3, IF(bbgm_stat &gt;= perc_90, converted_stat * 2, IF(bbgm_stat &gt;= perc_85, converted_stat * 1.5, converted_stat)))))</f>
        <v/>
      </c>
      <c r="W134" s="30" t="str">
        <f t="array" ref="W134">IF($A134="", "", LET(bbgm_stat, INDEX(Players!$A133:$P133, MATCH(W$2, Players!$A$1:$P$1, 0)), perc_75, VLOOKUP(W$2, Percentiles!$A$45:$I$59, 6, FALSE), perc_90, VLOOKUP(W$2, Percentiles!$A$45:$I$59, 7, FALSE), perc_95, VLOOKUP(W$2, Percentiles!$A$45:$I$59, 8, FALSE), perc_85, perc_75 + (perc_90 - perc_75) * (2/3), converted_stat, '2K_Ratings'!W134, IF(bbgm_stat &gt;= perc_95, converted_stat * 3, IF(bbgm_stat &gt;= perc_90, converted_stat * 2, IF(bbgm_stat &gt;= perc_85, converted_stat * 1.5, converted_stat)))))</f>
        <v/>
      </c>
    </row>
    <row r="135">
      <c r="A135" s="30"/>
      <c r="B135" s="30" t="str">
        <f t="array" ref="B135">IF($A135="", "", LET(bbgm_stat, INDEX(Players!$A134:$P134, MATCH(B$2, Players!$A$1:$P$1, 0)), perc_75, VLOOKUP(B$2, Percentiles!$A$45:$I$59, 6, FALSE), perc_90, VLOOKUP(B$2, Percentiles!$A$45:$I$59, 7, FALSE), perc_95, VLOOKUP(B$2, Percentiles!$A$45:$I$59, 8, FALSE), perc_85, perc_75 + (perc_90 - perc_75) * (2/3), converted_stat, '2K_Ratings'!B135, IF(bbgm_stat &gt;= perc_95, converted_stat * 3, IF(bbgm_stat &gt;= perc_90, converted_stat * 2, IF(bbgm_stat &gt;= perc_85, converted_stat * 1.5, converted_stat)))))</f>
        <v/>
      </c>
      <c r="C135" s="30" t="str">
        <f t="array" ref="C135">IF($A135="", "", LET(bbgm_stat, INDEX(Players!$A134:$P134, MATCH(C$2, Players!$A$1:$P$1, 0)), perc_75, VLOOKUP(C$2, Percentiles!$A$45:$I$59, 6, FALSE), perc_90, VLOOKUP(C$2, Percentiles!$A$45:$I$59, 7, FALSE), perc_95, VLOOKUP(C$2, Percentiles!$A$45:$I$59, 8, FALSE), perc_85, perc_75 + (perc_90 - perc_75) * (2/3), converted_stat, '2K_Ratings'!C135, IF(bbgm_stat &gt;= perc_95, converted_stat * 3, IF(bbgm_stat &gt;= perc_90, converted_stat * 2, IF(bbgm_stat &gt;= perc_85, converted_stat * 1.5, converted_stat)))))</f>
        <v/>
      </c>
      <c r="D135" s="30" t="str">
        <f t="array" ref="D135">IF($A135="", "", LET(bbgm_stat, INDEX(Players!$A134:$P134, MATCH(D$2, Players!$A$1:$P$1, 0)), perc_75, VLOOKUP(D$2, Percentiles!$A$45:$I$59, 6, FALSE), perc_90, VLOOKUP(D$2, Percentiles!$A$45:$I$59, 7, FALSE), perc_95, VLOOKUP(D$2, Percentiles!$A$45:$I$59, 8, FALSE), perc_85, perc_75 + (perc_90 - perc_75) * (2/3), converted_stat, '2K_Ratings'!D135, IF(bbgm_stat &gt;= perc_95, converted_stat * 3, IF(bbgm_stat &gt;= perc_90, converted_stat * 2, IF(bbgm_stat &gt;= perc_85, converted_stat * 1.5, converted_stat)))))</f>
        <v/>
      </c>
      <c r="E135" s="30" t="str">
        <f t="array" ref="E135">IF($A135="", "", LET(bbgm_stat, INDEX(Players!$A134:$P134, MATCH(E$2, Players!$A$1:$P$1, 0)), perc_75, VLOOKUP(E$2, Percentiles!$A$45:$I$59, 6, FALSE), perc_90, VLOOKUP(E$2, Percentiles!$A$45:$I$59, 7, FALSE), perc_95, VLOOKUP(E$2, Percentiles!$A$45:$I$59, 8, FALSE), perc_85, perc_75 + (perc_90 - perc_75) * (2/3), converted_stat, '2K_Ratings'!E135, IF(bbgm_stat &gt;= perc_95, converted_stat * 3, IF(bbgm_stat &gt;= perc_90, converted_stat * 2, IF(bbgm_stat &gt;= perc_85, converted_stat * 1.5, converted_stat)))))</f>
        <v/>
      </c>
      <c r="F135" s="30" t="str">
        <f t="array" ref="F135">IF($A135="", "", LET(bbgm_stat, INDEX(Players!$A134:$P134, MATCH(F$2, Players!$A$1:$P$1, 0)), perc_75, VLOOKUP(F$2, Percentiles!$A$45:$I$59, 6, FALSE), perc_90, VLOOKUP(F$2, Percentiles!$A$45:$I$59, 7, FALSE), perc_95, VLOOKUP(F$2, Percentiles!$A$45:$I$59, 8, FALSE), perc_85, perc_75 + (perc_90 - perc_75) * (2/3), converted_stat, '2K_Ratings'!F135, IF(bbgm_stat &gt;= perc_95, converted_stat * 3, IF(bbgm_stat &gt;= perc_90, converted_stat * 2, IF(bbgm_stat &gt;= perc_85, converted_stat * 1.5, converted_stat)))))</f>
        <v/>
      </c>
      <c r="G135" s="30" t="str">
        <f t="array" ref="G135">IF($A135="", "", LET(bbgm_stat, INDEX(Players!$A134:$P134, MATCH(G$2, Players!$A$1:$P$1, 0)), perc_75, VLOOKUP(G$2, Percentiles!$A$45:$I$59, 6, FALSE), perc_90, VLOOKUP(G$2, Percentiles!$A$45:$I$59, 7, FALSE), perc_95, VLOOKUP(G$2, Percentiles!$A$45:$I$59, 8, FALSE), perc_85, perc_75 + (perc_90 - perc_75) * (2/3), converted_stat, '2K_Ratings'!G135, IF(bbgm_stat &gt;= perc_95, converted_stat * 3, IF(bbgm_stat &gt;= perc_90, converted_stat * 2, IF(bbgm_stat &gt;= perc_85, converted_stat * 1.5, converted_stat)))))</f>
        <v/>
      </c>
      <c r="H135" s="30" t="str">
        <f t="array" ref="H135">IF($A135="", "", LET(bbgm_stat, INDEX(Players!$A134:$P134, MATCH(H$2, Players!$A$1:$P$1, 0)), perc_75, VLOOKUP(H$2, Percentiles!$A$45:$I$59, 6, FALSE), perc_90, VLOOKUP(H$2, Percentiles!$A$45:$I$59, 7, FALSE), perc_95, VLOOKUP(H$2, Percentiles!$A$45:$I$59, 8, FALSE), perc_85, perc_75 + (perc_90 - perc_75) * (2/3), converted_stat, '2K_Ratings'!H135, IF(bbgm_stat &gt;= perc_95, converted_stat * 3, IF(bbgm_stat &gt;= perc_90, converted_stat * 2, IF(bbgm_stat &gt;= perc_85, converted_stat * 1.5, converted_stat)))))</f>
        <v/>
      </c>
      <c r="I135" s="30" t="str">
        <f t="array" ref="I135">IF($A135="", "", LET(bbgm_stat, INDEX(Players!$A134:$P134, MATCH(I$2, Players!$A$1:$P$1, 0)), perc_75, VLOOKUP(I$2, Percentiles!$A$45:$I$59, 6, FALSE), perc_90, VLOOKUP(I$2, Percentiles!$A$45:$I$59, 7, FALSE), perc_95, VLOOKUP(I$2, Percentiles!$A$45:$I$59, 8, FALSE), perc_85, perc_75 + (perc_90 - perc_75) * (2/3), converted_stat, '2K_Ratings'!I135, IF(bbgm_stat &gt;= perc_95, converted_stat * 3, IF(bbgm_stat &gt;= perc_90, converted_stat * 2, IF(bbgm_stat &gt;= perc_85, converted_stat * 1.5, converted_stat)))))</f>
        <v/>
      </c>
      <c r="J135" s="30" t="str">
        <f t="array" ref="J135">IF($A135="", "", LET(bbgm_stat, INDEX(Players!$A134:$P134, MATCH(J$2, Players!$A$1:$P$1, 0)), perc_75, VLOOKUP(J$2, Percentiles!$A$45:$I$59, 6, FALSE), perc_90, VLOOKUP(J$2, Percentiles!$A$45:$I$59, 7, FALSE), perc_95, VLOOKUP(J$2, Percentiles!$A$45:$I$59, 8, FALSE), perc_85, perc_75 + (perc_90 - perc_75) * (2/3), converted_stat, '2K_Ratings'!J135, IF(bbgm_stat &gt;= perc_95, converted_stat * 3, IF(bbgm_stat &gt;= perc_90, converted_stat * 2, IF(bbgm_stat &gt;= perc_85, converted_stat * 1.5, converted_stat)))))</f>
        <v/>
      </c>
      <c r="K135" s="30" t="str">
        <f t="array" ref="K135">IF($A135="", "", LET(bbgm_stat, INDEX(Players!$A134:$P134, MATCH(K$2, Players!$A$1:$P$1, 0)), perc_75, VLOOKUP(K$2, Percentiles!$A$45:$I$59, 6, FALSE), perc_90, VLOOKUP(K$2, Percentiles!$A$45:$I$59, 7, FALSE), perc_95, VLOOKUP(K$2, Percentiles!$A$45:$I$59, 8, FALSE), perc_85, perc_75 + (perc_90 - perc_75) * (2/3), converted_stat, '2K_Ratings'!K135, IF(bbgm_stat &gt;= perc_95, converted_stat * 3, IF(bbgm_stat &gt;= perc_90, converted_stat * 2, IF(bbgm_stat &gt;= perc_85, converted_stat * 1.5, converted_stat)))))</f>
        <v/>
      </c>
      <c r="L135" s="30" t="str">
        <f t="array" ref="L135">IF($A135="", "", LET(bbgm_stat, INDEX(Players!$A134:$P134, MATCH(L$2, Players!$A$1:$P$1, 0)), perc_75, VLOOKUP(L$2, Percentiles!$A$45:$I$59, 6, FALSE), perc_90, VLOOKUP(L$2, Percentiles!$A$45:$I$59, 7, FALSE), perc_95, VLOOKUP(L$2, Percentiles!$A$45:$I$59, 8, FALSE), perc_85, perc_75 + (perc_90 - perc_75) * (2/3), converted_stat, '2K_Ratings'!L135, IF(bbgm_stat &gt;= perc_95, converted_stat * 3, IF(bbgm_stat &gt;= perc_90, converted_stat * 2, IF(bbgm_stat &gt;= perc_85, converted_stat * 1.5, converted_stat)))))</f>
        <v/>
      </c>
      <c r="M135" s="30" t="str">
        <f t="array" ref="M135">IF($A135="", "", LET(bbgm_stat, INDEX(Players!$A134:$P134, MATCH(M$2, Players!$A$1:$P$1, 0)), perc_75, VLOOKUP(M$2, Percentiles!$A$45:$I$59, 6, FALSE), perc_90, VLOOKUP(M$2, Percentiles!$A$45:$I$59, 7, FALSE), perc_95, VLOOKUP(M$2, Percentiles!$A$45:$I$59, 8, FALSE), perc_85, perc_75 + (perc_90 - perc_75) * (2/3), converted_stat, '2K_Ratings'!M135, IF(bbgm_stat &gt;= perc_95, converted_stat * 3, IF(bbgm_stat &gt;= perc_90, converted_stat * 2, IF(bbgm_stat &gt;= perc_85, converted_stat * 1.5, converted_stat)))))</f>
        <v/>
      </c>
      <c r="N135" s="30" t="str">
        <f t="array" ref="N135">IF($A135="", "", LET(bbgm_stat, INDEX(Players!$A134:$P134, MATCH(N$2, Players!$A$1:$P$1, 0)), perc_75, VLOOKUP(N$2, Percentiles!$A$45:$I$59, 6, FALSE), perc_90, VLOOKUP(N$2, Percentiles!$A$45:$I$59, 7, FALSE), perc_95, VLOOKUP(N$2, Percentiles!$A$45:$I$59, 8, FALSE), perc_85, perc_75 + (perc_90 - perc_75) * (2/3), converted_stat, '2K_Ratings'!N135, IF(bbgm_stat &gt;= perc_95, converted_stat * 3, IF(bbgm_stat &gt;= perc_90, converted_stat * 2, IF(bbgm_stat &gt;= perc_85, converted_stat * 1.5, converted_stat)))))</f>
        <v/>
      </c>
      <c r="O135" s="30" t="str">
        <f t="array" ref="O135">IF($A135="", "", LET(bbgm_stat, INDEX(Players!$A134:$P134, MATCH(O$2, Players!$A$1:$P$1, 0)), perc_75, VLOOKUP(O$2, Percentiles!$A$45:$I$59, 6, FALSE), perc_90, VLOOKUP(O$2, Percentiles!$A$45:$I$59, 7, FALSE), perc_95, VLOOKUP(O$2, Percentiles!$A$45:$I$59, 8, FALSE), perc_85, perc_75 + (perc_90 - perc_75) * (2/3), converted_stat, '2K_Ratings'!O135, IF(bbgm_stat &gt;= perc_95, converted_stat * 3, IF(bbgm_stat &gt;= perc_90, converted_stat * 2, IF(bbgm_stat &gt;= perc_85, converted_stat * 1.5, converted_stat)))))</f>
        <v/>
      </c>
      <c r="P135" s="30" t="str">
        <f t="array" ref="P135">IF($A135="", "", LET(bbgm_stat, INDEX(Players!$A134:$P134, MATCH(P$2, Players!$A$1:$P$1, 0)), perc_75, VLOOKUP(P$2, Percentiles!$A$45:$I$59, 6, FALSE), perc_90, VLOOKUP(P$2, Percentiles!$A$45:$I$59, 7, FALSE), perc_95, VLOOKUP(P$2, Percentiles!$A$45:$I$59, 8, FALSE), perc_85, perc_75 + (perc_90 - perc_75) * (2/3), converted_stat, '2K_Ratings'!P135, IF(bbgm_stat &gt;= perc_95, converted_stat * 3, IF(bbgm_stat &gt;= perc_90, converted_stat * 2, IF(bbgm_stat &gt;= perc_85, converted_stat * 1.5, converted_stat)))))</f>
        <v/>
      </c>
      <c r="Q135" s="30" t="str">
        <f t="array" ref="Q135">IF($A135="", "", LET(bbgm_stat, INDEX(Players!$A134:$P134, MATCH(Q$2, Players!$A$1:$P$1, 0)), perc_75, VLOOKUP(Q$2, Percentiles!$A$45:$I$59, 6, FALSE), perc_90, VLOOKUP(Q$2, Percentiles!$A$45:$I$59, 7, FALSE), perc_95, VLOOKUP(Q$2, Percentiles!$A$45:$I$59, 8, FALSE), perc_85, perc_75 + (perc_90 - perc_75) * (2/3), converted_stat, '2K_Ratings'!Q135, IF(bbgm_stat &gt;= perc_95, converted_stat * 3, IF(bbgm_stat &gt;= perc_90, converted_stat * 2, IF(bbgm_stat &gt;= perc_85, converted_stat * 1.5, converted_stat)))))</f>
        <v/>
      </c>
      <c r="R135" s="30" t="str">
        <f t="array" ref="R135">IF($A135="", "", LET(bbgm_stat, INDEX(Players!$A134:$P134, MATCH(R$2, Players!$A$1:$P$1, 0)), perc_75, VLOOKUP(R$2, Percentiles!$A$45:$I$59, 6, FALSE), perc_90, VLOOKUP(R$2, Percentiles!$A$45:$I$59, 7, FALSE), perc_95, VLOOKUP(R$2, Percentiles!$A$45:$I$59, 8, FALSE), perc_85, perc_75 + (perc_90 - perc_75) * (2/3), converted_stat, '2K_Ratings'!R135, IF(bbgm_stat &gt;= perc_95, converted_stat * 3, IF(bbgm_stat &gt;= perc_90, converted_stat * 2, IF(bbgm_stat &gt;= perc_85, converted_stat * 1.5, converted_stat)))))</f>
        <v/>
      </c>
      <c r="S135" s="30" t="str">
        <f t="array" ref="S135">IF($A135="", "", LET(bbgm_stat, INDEX(Players!$A134:$P134, MATCH(S$2, Players!$A$1:$P$1, 0)), perc_75, VLOOKUP(S$2, Percentiles!$A$45:$I$59, 6, FALSE), perc_90, VLOOKUP(S$2, Percentiles!$A$45:$I$59, 7, FALSE), perc_95, VLOOKUP(S$2, Percentiles!$A$45:$I$59, 8, FALSE), perc_85, perc_75 + (perc_90 - perc_75) * (2/3), converted_stat, '2K_Ratings'!S135, IF(bbgm_stat &gt;= perc_95, converted_stat * 3, IF(bbgm_stat &gt;= perc_90, converted_stat * 2, IF(bbgm_stat &gt;= perc_85, converted_stat * 1.5, converted_stat)))))</f>
        <v/>
      </c>
      <c r="T135" s="30" t="str">
        <f t="array" ref="T135">IF($A135="", "", LET(bbgm_stat, INDEX(Players!$A134:$P134, MATCH(T$2, Players!$A$1:$P$1, 0)), perc_75, VLOOKUP(T$2, Percentiles!$A$45:$I$59, 6, FALSE), perc_90, VLOOKUP(T$2, Percentiles!$A$45:$I$59, 7, FALSE), perc_95, VLOOKUP(T$2, Percentiles!$A$45:$I$59, 8, FALSE), perc_85, perc_75 + (perc_90 - perc_75) * (2/3), converted_stat, '2K_Ratings'!T135, IF(bbgm_stat &gt;= perc_95, converted_stat * 3, IF(bbgm_stat &gt;= perc_90, converted_stat * 2, IF(bbgm_stat &gt;= perc_85, converted_stat * 1.5, converted_stat)))))</f>
        <v/>
      </c>
      <c r="U135" s="30" t="str">
        <f t="array" ref="U135">IF($A135="", "", LET(bbgm_stat, INDEX(Players!$A134:$P134, MATCH(U$2, Players!$A$1:$P$1, 0)), perc_75, VLOOKUP(U$2, Percentiles!$A$45:$I$59, 6, FALSE), perc_90, VLOOKUP(U$2, Percentiles!$A$45:$I$59, 7, FALSE), perc_95, VLOOKUP(U$2, Percentiles!$A$45:$I$59, 8, FALSE), perc_85, perc_75 + (perc_90 - perc_75) * (2/3), converted_stat, '2K_Ratings'!U135, IF(bbgm_stat &gt;= perc_95, converted_stat * 3, IF(bbgm_stat &gt;= perc_90, converted_stat * 2, IF(bbgm_stat &gt;= perc_85, converted_stat * 1.5, converted_stat)))))</f>
        <v/>
      </c>
      <c r="V135" s="30" t="str">
        <f t="array" ref="V135">IF($A135="", "", LET(bbgm_stat, INDEX(Players!$A134:$P134, MATCH(V$2, Players!$A$1:$P$1, 0)), perc_75, VLOOKUP(V$2, Percentiles!$A$45:$I$59, 6, FALSE), perc_90, VLOOKUP(V$2, Percentiles!$A$45:$I$59, 7, FALSE), perc_95, VLOOKUP(V$2, Percentiles!$A$45:$I$59, 8, FALSE), perc_85, perc_75 + (perc_90 - perc_75) * (2/3), converted_stat, '2K_Ratings'!V135, IF(bbgm_stat &gt;= perc_95, converted_stat * 3, IF(bbgm_stat &gt;= perc_90, converted_stat * 2, IF(bbgm_stat &gt;= perc_85, converted_stat * 1.5, converted_stat)))))</f>
        <v/>
      </c>
      <c r="W135" s="30" t="str">
        <f t="array" ref="W135">IF($A135="", "", LET(bbgm_stat, INDEX(Players!$A134:$P134, MATCH(W$2, Players!$A$1:$P$1, 0)), perc_75, VLOOKUP(W$2, Percentiles!$A$45:$I$59, 6, FALSE), perc_90, VLOOKUP(W$2, Percentiles!$A$45:$I$59, 7, FALSE), perc_95, VLOOKUP(W$2, Percentiles!$A$45:$I$59, 8, FALSE), perc_85, perc_75 + (perc_90 - perc_75) * (2/3), converted_stat, '2K_Ratings'!W135, IF(bbgm_stat &gt;= perc_95, converted_stat * 3, IF(bbgm_stat &gt;= perc_90, converted_stat * 2, IF(bbgm_stat &gt;= perc_85, converted_stat * 1.5, converted_stat)))))</f>
        <v/>
      </c>
    </row>
    <row r="136">
      <c r="A136" s="30"/>
      <c r="B136" s="30" t="str">
        <f t="array" ref="B136">IF($A136="", "", LET(bbgm_stat, INDEX(Players!$A135:$P135, MATCH(B$2, Players!$A$1:$P$1, 0)), perc_75, VLOOKUP(B$2, Percentiles!$A$45:$I$59, 6, FALSE), perc_90, VLOOKUP(B$2, Percentiles!$A$45:$I$59, 7, FALSE), perc_95, VLOOKUP(B$2, Percentiles!$A$45:$I$59, 8, FALSE), perc_85, perc_75 + (perc_90 - perc_75) * (2/3), converted_stat, '2K_Ratings'!B136, IF(bbgm_stat &gt;= perc_95, converted_stat * 3, IF(bbgm_stat &gt;= perc_90, converted_stat * 2, IF(bbgm_stat &gt;= perc_85, converted_stat * 1.5, converted_stat)))))</f>
        <v/>
      </c>
      <c r="C136" s="30" t="str">
        <f t="array" ref="C136">IF($A136="", "", LET(bbgm_stat, INDEX(Players!$A135:$P135, MATCH(C$2, Players!$A$1:$P$1, 0)), perc_75, VLOOKUP(C$2, Percentiles!$A$45:$I$59, 6, FALSE), perc_90, VLOOKUP(C$2, Percentiles!$A$45:$I$59, 7, FALSE), perc_95, VLOOKUP(C$2, Percentiles!$A$45:$I$59, 8, FALSE), perc_85, perc_75 + (perc_90 - perc_75) * (2/3), converted_stat, '2K_Ratings'!C136, IF(bbgm_stat &gt;= perc_95, converted_stat * 3, IF(bbgm_stat &gt;= perc_90, converted_stat * 2, IF(bbgm_stat &gt;= perc_85, converted_stat * 1.5, converted_stat)))))</f>
        <v/>
      </c>
      <c r="D136" s="30" t="str">
        <f t="array" ref="D136">IF($A136="", "", LET(bbgm_stat, INDEX(Players!$A135:$P135, MATCH(D$2, Players!$A$1:$P$1, 0)), perc_75, VLOOKUP(D$2, Percentiles!$A$45:$I$59, 6, FALSE), perc_90, VLOOKUP(D$2, Percentiles!$A$45:$I$59, 7, FALSE), perc_95, VLOOKUP(D$2, Percentiles!$A$45:$I$59, 8, FALSE), perc_85, perc_75 + (perc_90 - perc_75) * (2/3), converted_stat, '2K_Ratings'!D136, IF(bbgm_stat &gt;= perc_95, converted_stat * 3, IF(bbgm_stat &gt;= perc_90, converted_stat * 2, IF(bbgm_stat &gt;= perc_85, converted_stat * 1.5, converted_stat)))))</f>
        <v/>
      </c>
      <c r="E136" s="30" t="str">
        <f t="array" ref="E136">IF($A136="", "", LET(bbgm_stat, INDEX(Players!$A135:$P135, MATCH(E$2, Players!$A$1:$P$1, 0)), perc_75, VLOOKUP(E$2, Percentiles!$A$45:$I$59, 6, FALSE), perc_90, VLOOKUP(E$2, Percentiles!$A$45:$I$59, 7, FALSE), perc_95, VLOOKUP(E$2, Percentiles!$A$45:$I$59, 8, FALSE), perc_85, perc_75 + (perc_90 - perc_75) * (2/3), converted_stat, '2K_Ratings'!E136, IF(bbgm_stat &gt;= perc_95, converted_stat * 3, IF(bbgm_stat &gt;= perc_90, converted_stat * 2, IF(bbgm_stat &gt;= perc_85, converted_stat * 1.5, converted_stat)))))</f>
        <v/>
      </c>
      <c r="F136" s="30" t="str">
        <f t="array" ref="F136">IF($A136="", "", LET(bbgm_stat, INDEX(Players!$A135:$P135, MATCH(F$2, Players!$A$1:$P$1, 0)), perc_75, VLOOKUP(F$2, Percentiles!$A$45:$I$59, 6, FALSE), perc_90, VLOOKUP(F$2, Percentiles!$A$45:$I$59, 7, FALSE), perc_95, VLOOKUP(F$2, Percentiles!$A$45:$I$59, 8, FALSE), perc_85, perc_75 + (perc_90 - perc_75) * (2/3), converted_stat, '2K_Ratings'!F136, IF(bbgm_stat &gt;= perc_95, converted_stat * 3, IF(bbgm_stat &gt;= perc_90, converted_stat * 2, IF(bbgm_stat &gt;= perc_85, converted_stat * 1.5, converted_stat)))))</f>
        <v/>
      </c>
      <c r="G136" s="30" t="str">
        <f t="array" ref="G136">IF($A136="", "", LET(bbgm_stat, INDEX(Players!$A135:$P135, MATCH(G$2, Players!$A$1:$P$1, 0)), perc_75, VLOOKUP(G$2, Percentiles!$A$45:$I$59, 6, FALSE), perc_90, VLOOKUP(G$2, Percentiles!$A$45:$I$59, 7, FALSE), perc_95, VLOOKUP(G$2, Percentiles!$A$45:$I$59, 8, FALSE), perc_85, perc_75 + (perc_90 - perc_75) * (2/3), converted_stat, '2K_Ratings'!G136, IF(bbgm_stat &gt;= perc_95, converted_stat * 3, IF(bbgm_stat &gt;= perc_90, converted_stat * 2, IF(bbgm_stat &gt;= perc_85, converted_stat * 1.5, converted_stat)))))</f>
        <v/>
      </c>
      <c r="H136" s="30" t="str">
        <f t="array" ref="H136">IF($A136="", "", LET(bbgm_stat, INDEX(Players!$A135:$P135, MATCH(H$2, Players!$A$1:$P$1, 0)), perc_75, VLOOKUP(H$2, Percentiles!$A$45:$I$59, 6, FALSE), perc_90, VLOOKUP(H$2, Percentiles!$A$45:$I$59, 7, FALSE), perc_95, VLOOKUP(H$2, Percentiles!$A$45:$I$59, 8, FALSE), perc_85, perc_75 + (perc_90 - perc_75) * (2/3), converted_stat, '2K_Ratings'!H136, IF(bbgm_stat &gt;= perc_95, converted_stat * 3, IF(bbgm_stat &gt;= perc_90, converted_stat * 2, IF(bbgm_stat &gt;= perc_85, converted_stat * 1.5, converted_stat)))))</f>
        <v/>
      </c>
      <c r="I136" s="30" t="str">
        <f t="array" ref="I136">IF($A136="", "", LET(bbgm_stat, INDEX(Players!$A135:$P135, MATCH(I$2, Players!$A$1:$P$1, 0)), perc_75, VLOOKUP(I$2, Percentiles!$A$45:$I$59, 6, FALSE), perc_90, VLOOKUP(I$2, Percentiles!$A$45:$I$59, 7, FALSE), perc_95, VLOOKUP(I$2, Percentiles!$A$45:$I$59, 8, FALSE), perc_85, perc_75 + (perc_90 - perc_75) * (2/3), converted_stat, '2K_Ratings'!I136, IF(bbgm_stat &gt;= perc_95, converted_stat * 3, IF(bbgm_stat &gt;= perc_90, converted_stat * 2, IF(bbgm_stat &gt;= perc_85, converted_stat * 1.5, converted_stat)))))</f>
        <v/>
      </c>
      <c r="J136" s="30" t="str">
        <f t="array" ref="J136">IF($A136="", "", LET(bbgm_stat, INDEX(Players!$A135:$P135, MATCH(J$2, Players!$A$1:$P$1, 0)), perc_75, VLOOKUP(J$2, Percentiles!$A$45:$I$59, 6, FALSE), perc_90, VLOOKUP(J$2, Percentiles!$A$45:$I$59, 7, FALSE), perc_95, VLOOKUP(J$2, Percentiles!$A$45:$I$59, 8, FALSE), perc_85, perc_75 + (perc_90 - perc_75) * (2/3), converted_stat, '2K_Ratings'!J136, IF(bbgm_stat &gt;= perc_95, converted_stat * 3, IF(bbgm_stat &gt;= perc_90, converted_stat * 2, IF(bbgm_stat &gt;= perc_85, converted_stat * 1.5, converted_stat)))))</f>
        <v/>
      </c>
      <c r="K136" s="30" t="str">
        <f t="array" ref="K136">IF($A136="", "", LET(bbgm_stat, INDEX(Players!$A135:$P135, MATCH(K$2, Players!$A$1:$P$1, 0)), perc_75, VLOOKUP(K$2, Percentiles!$A$45:$I$59, 6, FALSE), perc_90, VLOOKUP(K$2, Percentiles!$A$45:$I$59, 7, FALSE), perc_95, VLOOKUP(K$2, Percentiles!$A$45:$I$59, 8, FALSE), perc_85, perc_75 + (perc_90 - perc_75) * (2/3), converted_stat, '2K_Ratings'!K136, IF(bbgm_stat &gt;= perc_95, converted_stat * 3, IF(bbgm_stat &gt;= perc_90, converted_stat * 2, IF(bbgm_stat &gt;= perc_85, converted_stat * 1.5, converted_stat)))))</f>
        <v/>
      </c>
      <c r="L136" s="30" t="str">
        <f t="array" ref="L136">IF($A136="", "", LET(bbgm_stat, INDEX(Players!$A135:$P135, MATCH(L$2, Players!$A$1:$P$1, 0)), perc_75, VLOOKUP(L$2, Percentiles!$A$45:$I$59, 6, FALSE), perc_90, VLOOKUP(L$2, Percentiles!$A$45:$I$59, 7, FALSE), perc_95, VLOOKUP(L$2, Percentiles!$A$45:$I$59, 8, FALSE), perc_85, perc_75 + (perc_90 - perc_75) * (2/3), converted_stat, '2K_Ratings'!L136, IF(bbgm_stat &gt;= perc_95, converted_stat * 3, IF(bbgm_stat &gt;= perc_90, converted_stat * 2, IF(bbgm_stat &gt;= perc_85, converted_stat * 1.5, converted_stat)))))</f>
        <v/>
      </c>
      <c r="M136" s="30" t="str">
        <f t="array" ref="M136">IF($A136="", "", LET(bbgm_stat, INDEX(Players!$A135:$P135, MATCH(M$2, Players!$A$1:$P$1, 0)), perc_75, VLOOKUP(M$2, Percentiles!$A$45:$I$59, 6, FALSE), perc_90, VLOOKUP(M$2, Percentiles!$A$45:$I$59, 7, FALSE), perc_95, VLOOKUP(M$2, Percentiles!$A$45:$I$59, 8, FALSE), perc_85, perc_75 + (perc_90 - perc_75) * (2/3), converted_stat, '2K_Ratings'!M136, IF(bbgm_stat &gt;= perc_95, converted_stat * 3, IF(bbgm_stat &gt;= perc_90, converted_stat * 2, IF(bbgm_stat &gt;= perc_85, converted_stat * 1.5, converted_stat)))))</f>
        <v/>
      </c>
      <c r="N136" s="30" t="str">
        <f t="array" ref="N136">IF($A136="", "", LET(bbgm_stat, INDEX(Players!$A135:$P135, MATCH(N$2, Players!$A$1:$P$1, 0)), perc_75, VLOOKUP(N$2, Percentiles!$A$45:$I$59, 6, FALSE), perc_90, VLOOKUP(N$2, Percentiles!$A$45:$I$59, 7, FALSE), perc_95, VLOOKUP(N$2, Percentiles!$A$45:$I$59, 8, FALSE), perc_85, perc_75 + (perc_90 - perc_75) * (2/3), converted_stat, '2K_Ratings'!N136, IF(bbgm_stat &gt;= perc_95, converted_stat * 3, IF(bbgm_stat &gt;= perc_90, converted_stat * 2, IF(bbgm_stat &gt;= perc_85, converted_stat * 1.5, converted_stat)))))</f>
        <v/>
      </c>
      <c r="O136" s="30" t="str">
        <f t="array" ref="O136">IF($A136="", "", LET(bbgm_stat, INDEX(Players!$A135:$P135, MATCH(O$2, Players!$A$1:$P$1, 0)), perc_75, VLOOKUP(O$2, Percentiles!$A$45:$I$59, 6, FALSE), perc_90, VLOOKUP(O$2, Percentiles!$A$45:$I$59, 7, FALSE), perc_95, VLOOKUP(O$2, Percentiles!$A$45:$I$59, 8, FALSE), perc_85, perc_75 + (perc_90 - perc_75) * (2/3), converted_stat, '2K_Ratings'!O136, IF(bbgm_stat &gt;= perc_95, converted_stat * 3, IF(bbgm_stat &gt;= perc_90, converted_stat * 2, IF(bbgm_stat &gt;= perc_85, converted_stat * 1.5, converted_stat)))))</f>
        <v/>
      </c>
      <c r="P136" s="30" t="str">
        <f t="array" ref="P136">IF($A136="", "", LET(bbgm_stat, INDEX(Players!$A135:$P135, MATCH(P$2, Players!$A$1:$P$1, 0)), perc_75, VLOOKUP(P$2, Percentiles!$A$45:$I$59, 6, FALSE), perc_90, VLOOKUP(P$2, Percentiles!$A$45:$I$59, 7, FALSE), perc_95, VLOOKUP(P$2, Percentiles!$A$45:$I$59, 8, FALSE), perc_85, perc_75 + (perc_90 - perc_75) * (2/3), converted_stat, '2K_Ratings'!P136, IF(bbgm_stat &gt;= perc_95, converted_stat * 3, IF(bbgm_stat &gt;= perc_90, converted_stat * 2, IF(bbgm_stat &gt;= perc_85, converted_stat * 1.5, converted_stat)))))</f>
        <v/>
      </c>
      <c r="Q136" s="30" t="str">
        <f t="array" ref="Q136">IF($A136="", "", LET(bbgm_stat, INDEX(Players!$A135:$P135, MATCH(Q$2, Players!$A$1:$P$1, 0)), perc_75, VLOOKUP(Q$2, Percentiles!$A$45:$I$59, 6, FALSE), perc_90, VLOOKUP(Q$2, Percentiles!$A$45:$I$59, 7, FALSE), perc_95, VLOOKUP(Q$2, Percentiles!$A$45:$I$59, 8, FALSE), perc_85, perc_75 + (perc_90 - perc_75) * (2/3), converted_stat, '2K_Ratings'!Q136, IF(bbgm_stat &gt;= perc_95, converted_stat * 3, IF(bbgm_stat &gt;= perc_90, converted_stat * 2, IF(bbgm_stat &gt;= perc_85, converted_stat * 1.5, converted_stat)))))</f>
        <v/>
      </c>
      <c r="R136" s="30" t="str">
        <f t="array" ref="R136">IF($A136="", "", LET(bbgm_stat, INDEX(Players!$A135:$P135, MATCH(R$2, Players!$A$1:$P$1, 0)), perc_75, VLOOKUP(R$2, Percentiles!$A$45:$I$59, 6, FALSE), perc_90, VLOOKUP(R$2, Percentiles!$A$45:$I$59, 7, FALSE), perc_95, VLOOKUP(R$2, Percentiles!$A$45:$I$59, 8, FALSE), perc_85, perc_75 + (perc_90 - perc_75) * (2/3), converted_stat, '2K_Ratings'!R136, IF(bbgm_stat &gt;= perc_95, converted_stat * 3, IF(bbgm_stat &gt;= perc_90, converted_stat * 2, IF(bbgm_stat &gt;= perc_85, converted_stat * 1.5, converted_stat)))))</f>
        <v/>
      </c>
      <c r="S136" s="30" t="str">
        <f t="array" ref="S136">IF($A136="", "", LET(bbgm_stat, INDEX(Players!$A135:$P135, MATCH(S$2, Players!$A$1:$P$1, 0)), perc_75, VLOOKUP(S$2, Percentiles!$A$45:$I$59, 6, FALSE), perc_90, VLOOKUP(S$2, Percentiles!$A$45:$I$59, 7, FALSE), perc_95, VLOOKUP(S$2, Percentiles!$A$45:$I$59, 8, FALSE), perc_85, perc_75 + (perc_90 - perc_75) * (2/3), converted_stat, '2K_Ratings'!S136, IF(bbgm_stat &gt;= perc_95, converted_stat * 3, IF(bbgm_stat &gt;= perc_90, converted_stat * 2, IF(bbgm_stat &gt;= perc_85, converted_stat * 1.5, converted_stat)))))</f>
        <v/>
      </c>
      <c r="T136" s="30" t="str">
        <f t="array" ref="T136">IF($A136="", "", LET(bbgm_stat, INDEX(Players!$A135:$P135, MATCH(T$2, Players!$A$1:$P$1, 0)), perc_75, VLOOKUP(T$2, Percentiles!$A$45:$I$59, 6, FALSE), perc_90, VLOOKUP(T$2, Percentiles!$A$45:$I$59, 7, FALSE), perc_95, VLOOKUP(T$2, Percentiles!$A$45:$I$59, 8, FALSE), perc_85, perc_75 + (perc_90 - perc_75) * (2/3), converted_stat, '2K_Ratings'!T136, IF(bbgm_stat &gt;= perc_95, converted_stat * 3, IF(bbgm_stat &gt;= perc_90, converted_stat * 2, IF(bbgm_stat &gt;= perc_85, converted_stat * 1.5, converted_stat)))))</f>
        <v/>
      </c>
      <c r="U136" s="30" t="str">
        <f t="array" ref="U136">IF($A136="", "", LET(bbgm_stat, INDEX(Players!$A135:$P135, MATCH(U$2, Players!$A$1:$P$1, 0)), perc_75, VLOOKUP(U$2, Percentiles!$A$45:$I$59, 6, FALSE), perc_90, VLOOKUP(U$2, Percentiles!$A$45:$I$59, 7, FALSE), perc_95, VLOOKUP(U$2, Percentiles!$A$45:$I$59, 8, FALSE), perc_85, perc_75 + (perc_90 - perc_75) * (2/3), converted_stat, '2K_Ratings'!U136, IF(bbgm_stat &gt;= perc_95, converted_stat * 3, IF(bbgm_stat &gt;= perc_90, converted_stat * 2, IF(bbgm_stat &gt;= perc_85, converted_stat * 1.5, converted_stat)))))</f>
        <v/>
      </c>
      <c r="V136" s="30" t="str">
        <f t="array" ref="V136">IF($A136="", "", LET(bbgm_stat, INDEX(Players!$A135:$P135, MATCH(V$2, Players!$A$1:$P$1, 0)), perc_75, VLOOKUP(V$2, Percentiles!$A$45:$I$59, 6, FALSE), perc_90, VLOOKUP(V$2, Percentiles!$A$45:$I$59, 7, FALSE), perc_95, VLOOKUP(V$2, Percentiles!$A$45:$I$59, 8, FALSE), perc_85, perc_75 + (perc_90 - perc_75) * (2/3), converted_stat, '2K_Ratings'!V136, IF(bbgm_stat &gt;= perc_95, converted_stat * 3, IF(bbgm_stat &gt;= perc_90, converted_stat * 2, IF(bbgm_stat &gt;= perc_85, converted_stat * 1.5, converted_stat)))))</f>
        <v/>
      </c>
      <c r="W136" s="30" t="str">
        <f t="array" ref="W136">IF($A136="", "", LET(bbgm_stat, INDEX(Players!$A135:$P135, MATCH(W$2, Players!$A$1:$P$1, 0)), perc_75, VLOOKUP(W$2, Percentiles!$A$45:$I$59, 6, FALSE), perc_90, VLOOKUP(W$2, Percentiles!$A$45:$I$59, 7, FALSE), perc_95, VLOOKUP(W$2, Percentiles!$A$45:$I$59, 8, FALSE), perc_85, perc_75 + (perc_90 - perc_75) * (2/3), converted_stat, '2K_Ratings'!W136, IF(bbgm_stat &gt;= perc_95, converted_stat * 3, IF(bbgm_stat &gt;= perc_90, converted_stat * 2, IF(bbgm_stat &gt;= perc_85, converted_stat * 1.5, converted_stat)))))</f>
        <v/>
      </c>
    </row>
    <row r="137">
      <c r="A137" s="30"/>
      <c r="B137" s="30" t="str">
        <f t="array" ref="B137">IF($A137="", "", LET(bbgm_stat, INDEX(Players!$A136:$P136, MATCH(B$2, Players!$A$1:$P$1, 0)), perc_75, VLOOKUP(B$2, Percentiles!$A$45:$I$59, 6, FALSE), perc_90, VLOOKUP(B$2, Percentiles!$A$45:$I$59, 7, FALSE), perc_95, VLOOKUP(B$2, Percentiles!$A$45:$I$59, 8, FALSE), perc_85, perc_75 + (perc_90 - perc_75) * (2/3), converted_stat, '2K_Ratings'!B137, IF(bbgm_stat &gt;= perc_95, converted_stat * 3, IF(bbgm_stat &gt;= perc_90, converted_stat * 2, IF(bbgm_stat &gt;= perc_85, converted_stat * 1.5, converted_stat)))))</f>
        <v/>
      </c>
      <c r="C137" s="30" t="str">
        <f t="array" ref="C137">IF($A137="", "", LET(bbgm_stat, INDEX(Players!$A136:$P136, MATCH(C$2, Players!$A$1:$P$1, 0)), perc_75, VLOOKUP(C$2, Percentiles!$A$45:$I$59, 6, FALSE), perc_90, VLOOKUP(C$2, Percentiles!$A$45:$I$59, 7, FALSE), perc_95, VLOOKUP(C$2, Percentiles!$A$45:$I$59, 8, FALSE), perc_85, perc_75 + (perc_90 - perc_75) * (2/3), converted_stat, '2K_Ratings'!C137, IF(bbgm_stat &gt;= perc_95, converted_stat * 3, IF(bbgm_stat &gt;= perc_90, converted_stat * 2, IF(bbgm_stat &gt;= perc_85, converted_stat * 1.5, converted_stat)))))</f>
        <v/>
      </c>
      <c r="D137" s="30" t="str">
        <f t="array" ref="D137">IF($A137="", "", LET(bbgm_stat, INDEX(Players!$A136:$P136, MATCH(D$2, Players!$A$1:$P$1, 0)), perc_75, VLOOKUP(D$2, Percentiles!$A$45:$I$59, 6, FALSE), perc_90, VLOOKUP(D$2, Percentiles!$A$45:$I$59, 7, FALSE), perc_95, VLOOKUP(D$2, Percentiles!$A$45:$I$59, 8, FALSE), perc_85, perc_75 + (perc_90 - perc_75) * (2/3), converted_stat, '2K_Ratings'!D137, IF(bbgm_stat &gt;= perc_95, converted_stat * 3, IF(bbgm_stat &gt;= perc_90, converted_stat * 2, IF(bbgm_stat &gt;= perc_85, converted_stat * 1.5, converted_stat)))))</f>
        <v/>
      </c>
      <c r="E137" s="30" t="str">
        <f t="array" ref="E137">IF($A137="", "", LET(bbgm_stat, INDEX(Players!$A136:$P136, MATCH(E$2, Players!$A$1:$P$1, 0)), perc_75, VLOOKUP(E$2, Percentiles!$A$45:$I$59, 6, FALSE), perc_90, VLOOKUP(E$2, Percentiles!$A$45:$I$59, 7, FALSE), perc_95, VLOOKUP(E$2, Percentiles!$A$45:$I$59, 8, FALSE), perc_85, perc_75 + (perc_90 - perc_75) * (2/3), converted_stat, '2K_Ratings'!E137, IF(bbgm_stat &gt;= perc_95, converted_stat * 3, IF(bbgm_stat &gt;= perc_90, converted_stat * 2, IF(bbgm_stat &gt;= perc_85, converted_stat * 1.5, converted_stat)))))</f>
        <v/>
      </c>
      <c r="F137" s="30" t="str">
        <f t="array" ref="F137">IF($A137="", "", LET(bbgm_stat, INDEX(Players!$A136:$P136, MATCH(F$2, Players!$A$1:$P$1, 0)), perc_75, VLOOKUP(F$2, Percentiles!$A$45:$I$59, 6, FALSE), perc_90, VLOOKUP(F$2, Percentiles!$A$45:$I$59, 7, FALSE), perc_95, VLOOKUP(F$2, Percentiles!$A$45:$I$59, 8, FALSE), perc_85, perc_75 + (perc_90 - perc_75) * (2/3), converted_stat, '2K_Ratings'!F137, IF(bbgm_stat &gt;= perc_95, converted_stat * 3, IF(bbgm_stat &gt;= perc_90, converted_stat * 2, IF(bbgm_stat &gt;= perc_85, converted_stat * 1.5, converted_stat)))))</f>
        <v/>
      </c>
      <c r="G137" s="30" t="str">
        <f t="array" ref="G137">IF($A137="", "", LET(bbgm_stat, INDEX(Players!$A136:$P136, MATCH(G$2, Players!$A$1:$P$1, 0)), perc_75, VLOOKUP(G$2, Percentiles!$A$45:$I$59, 6, FALSE), perc_90, VLOOKUP(G$2, Percentiles!$A$45:$I$59, 7, FALSE), perc_95, VLOOKUP(G$2, Percentiles!$A$45:$I$59, 8, FALSE), perc_85, perc_75 + (perc_90 - perc_75) * (2/3), converted_stat, '2K_Ratings'!G137, IF(bbgm_stat &gt;= perc_95, converted_stat * 3, IF(bbgm_stat &gt;= perc_90, converted_stat * 2, IF(bbgm_stat &gt;= perc_85, converted_stat * 1.5, converted_stat)))))</f>
        <v/>
      </c>
      <c r="H137" s="30" t="str">
        <f t="array" ref="H137">IF($A137="", "", LET(bbgm_stat, INDEX(Players!$A136:$P136, MATCH(H$2, Players!$A$1:$P$1, 0)), perc_75, VLOOKUP(H$2, Percentiles!$A$45:$I$59, 6, FALSE), perc_90, VLOOKUP(H$2, Percentiles!$A$45:$I$59, 7, FALSE), perc_95, VLOOKUP(H$2, Percentiles!$A$45:$I$59, 8, FALSE), perc_85, perc_75 + (perc_90 - perc_75) * (2/3), converted_stat, '2K_Ratings'!H137, IF(bbgm_stat &gt;= perc_95, converted_stat * 3, IF(bbgm_stat &gt;= perc_90, converted_stat * 2, IF(bbgm_stat &gt;= perc_85, converted_stat * 1.5, converted_stat)))))</f>
        <v/>
      </c>
      <c r="I137" s="30" t="str">
        <f t="array" ref="I137">IF($A137="", "", LET(bbgm_stat, INDEX(Players!$A136:$P136, MATCH(I$2, Players!$A$1:$P$1, 0)), perc_75, VLOOKUP(I$2, Percentiles!$A$45:$I$59, 6, FALSE), perc_90, VLOOKUP(I$2, Percentiles!$A$45:$I$59, 7, FALSE), perc_95, VLOOKUP(I$2, Percentiles!$A$45:$I$59, 8, FALSE), perc_85, perc_75 + (perc_90 - perc_75) * (2/3), converted_stat, '2K_Ratings'!I137, IF(bbgm_stat &gt;= perc_95, converted_stat * 3, IF(bbgm_stat &gt;= perc_90, converted_stat * 2, IF(bbgm_stat &gt;= perc_85, converted_stat * 1.5, converted_stat)))))</f>
        <v/>
      </c>
      <c r="J137" s="30" t="str">
        <f t="array" ref="J137">IF($A137="", "", LET(bbgm_stat, INDEX(Players!$A136:$P136, MATCH(J$2, Players!$A$1:$P$1, 0)), perc_75, VLOOKUP(J$2, Percentiles!$A$45:$I$59, 6, FALSE), perc_90, VLOOKUP(J$2, Percentiles!$A$45:$I$59, 7, FALSE), perc_95, VLOOKUP(J$2, Percentiles!$A$45:$I$59, 8, FALSE), perc_85, perc_75 + (perc_90 - perc_75) * (2/3), converted_stat, '2K_Ratings'!J137, IF(bbgm_stat &gt;= perc_95, converted_stat * 3, IF(bbgm_stat &gt;= perc_90, converted_stat * 2, IF(bbgm_stat &gt;= perc_85, converted_stat * 1.5, converted_stat)))))</f>
        <v/>
      </c>
      <c r="K137" s="30" t="str">
        <f t="array" ref="K137">IF($A137="", "", LET(bbgm_stat, INDEX(Players!$A136:$P136, MATCH(K$2, Players!$A$1:$P$1, 0)), perc_75, VLOOKUP(K$2, Percentiles!$A$45:$I$59, 6, FALSE), perc_90, VLOOKUP(K$2, Percentiles!$A$45:$I$59, 7, FALSE), perc_95, VLOOKUP(K$2, Percentiles!$A$45:$I$59, 8, FALSE), perc_85, perc_75 + (perc_90 - perc_75) * (2/3), converted_stat, '2K_Ratings'!K137, IF(bbgm_stat &gt;= perc_95, converted_stat * 3, IF(bbgm_stat &gt;= perc_90, converted_stat * 2, IF(bbgm_stat &gt;= perc_85, converted_stat * 1.5, converted_stat)))))</f>
        <v/>
      </c>
      <c r="L137" s="30" t="str">
        <f t="array" ref="L137">IF($A137="", "", LET(bbgm_stat, INDEX(Players!$A136:$P136, MATCH(L$2, Players!$A$1:$P$1, 0)), perc_75, VLOOKUP(L$2, Percentiles!$A$45:$I$59, 6, FALSE), perc_90, VLOOKUP(L$2, Percentiles!$A$45:$I$59, 7, FALSE), perc_95, VLOOKUP(L$2, Percentiles!$A$45:$I$59, 8, FALSE), perc_85, perc_75 + (perc_90 - perc_75) * (2/3), converted_stat, '2K_Ratings'!L137, IF(bbgm_stat &gt;= perc_95, converted_stat * 3, IF(bbgm_stat &gt;= perc_90, converted_stat * 2, IF(bbgm_stat &gt;= perc_85, converted_stat * 1.5, converted_stat)))))</f>
        <v/>
      </c>
      <c r="M137" s="30" t="str">
        <f t="array" ref="M137">IF($A137="", "", LET(bbgm_stat, INDEX(Players!$A136:$P136, MATCH(M$2, Players!$A$1:$P$1, 0)), perc_75, VLOOKUP(M$2, Percentiles!$A$45:$I$59, 6, FALSE), perc_90, VLOOKUP(M$2, Percentiles!$A$45:$I$59, 7, FALSE), perc_95, VLOOKUP(M$2, Percentiles!$A$45:$I$59, 8, FALSE), perc_85, perc_75 + (perc_90 - perc_75) * (2/3), converted_stat, '2K_Ratings'!M137, IF(bbgm_stat &gt;= perc_95, converted_stat * 3, IF(bbgm_stat &gt;= perc_90, converted_stat * 2, IF(bbgm_stat &gt;= perc_85, converted_stat * 1.5, converted_stat)))))</f>
        <v/>
      </c>
      <c r="N137" s="30" t="str">
        <f t="array" ref="N137">IF($A137="", "", LET(bbgm_stat, INDEX(Players!$A136:$P136, MATCH(N$2, Players!$A$1:$P$1, 0)), perc_75, VLOOKUP(N$2, Percentiles!$A$45:$I$59, 6, FALSE), perc_90, VLOOKUP(N$2, Percentiles!$A$45:$I$59, 7, FALSE), perc_95, VLOOKUP(N$2, Percentiles!$A$45:$I$59, 8, FALSE), perc_85, perc_75 + (perc_90 - perc_75) * (2/3), converted_stat, '2K_Ratings'!N137, IF(bbgm_stat &gt;= perc_95, converted_stat * 3, IF(bbgm_stat &gt;= perc_90, converted_stat * 2, IF(bbgm_stat &gt;= perc_85, converted_stat * 1.5, converted_stat)))))</f>
        <v/>
      </c>
      <c r="O137" s="30" t="str">
        <f t="array" ref="O137">IF($A137="", "", LET(bbgm_stat, INDEX(Players!$A136:$P136, MATCH(O$2, Players!$A$1:$P$1, 0)), perc_75, VLOOKUP(O$2, Percentiles!$A$45:$I$59, 6, FALSE), perc_90, VLOOKUP(O$2, Percentiles!$A$45:$I$59, 7, FALSE), perc_95, VLOOKUP(O$2, Percentiles!$A$45:$I$59, 8, FALSE), perc_85, perc_75 + (perc_90 - perc_75) * (2/3), converted_stat, '2K_Ratings'!O137, IF(bbgm_stat &gt;= perc_95, converted_stat * 3, IF(bbgm_stat &gt;= perc_90, converted_stat * 2, IF(bbgm_stat &gt;= perc_85, converted_stat * 1.5, converted_stat)))))</f>
        <v/>
      </c>
      <c r="P137" s="30" t="str">
        <f t="array" ref="P137">IF($A137="", "", LET(bbgm_stat, INDEX(Players!$A136:$P136, MATCH(P$2, Players!$A$1:$P$1, 0)), perc_75, VLOOKUP(P$2, Percentiles!$A$45:$I$59, 6, FALSE), perc_90, VLOOKUP(P$2, Percentiles!$A$45:$I$59, 7, FALSE), perc_95, VLOOKUP(P$2, Percentiles!$A$45:$I$59, 8, FALSE), perc_85, perc_75 + (perc_90 - perc_75) * (2/3), converted_stat, '2K_Ratings'!P137, IF(bbgm_stat &gt;= perc_95, converted_stat * 3, IF(bbgm_stat &gt;= perc_90, converted_stat * 2, IF(bbgm_stat &gt;= perc_85, converted_stat * 1.5, converted_stat)))))</f>
        <v/>
      </c>
      <c r="Q137" s="30" t="str">
        <f t="array" ref="Q137">IF($A137="", "", LET(bbgm_stat, INDEX(Players!$A136:$P136, MATCH(Q$2, Players!$A$1:$P$1, 0)), perc_75, VLOOKUP(Q$2, Percentiles!$A$45:$I$59, 6, FALSE), perc_90, VLOOKUP(Q$2, Percentiles!$A$45:$I$59, 7, FALSE), perc_95, VLOOKUP(Q$2, Percentiles!$A$45:$I$59, 8, FALSE), perc_85, perc_75 + (perc_90 - perc_75) * (2/3), converted_stat, '2K_Ratings'!Q137, IF(bbgm_stat &gt;= perc_95, converted_stat * 3, IF(bbgm_stat &gt;= perc_90, converted_stat * 2, IF(bbgm_stat &gt;= perc_85, converted_stat * 1.5, converted_stat)))))</f>
        <v/>
      </c>
      <c r="R137" s="30" t="str">
        <f t="array" ref="R137">IF($A137="", "", LET(bbgm_stat, INDEX(Players!$A136:$P136, MATCH(R$2, Players!$A$1:$P$1, 0)), perc_75, VLOOKUP(R$2, Percentiles!$A$45:$I$59, 6, FALSE), perc_90, VLOOKUP(R$2, Percentiles!$A$45:$I$59, 7, FALSE), perc_95, VLOOKUP(R$2, Percentiles!$A$45:$I$59, 8, FALSE), perc_85, perc_75 + (perc_90 - perc_75) * (2/3), converted_stat, '2K_Ratings'!R137, IF(bbgm_stat &gt;= perc_95, converted_stat * 3, IF(bbgm_stat &gt;= perc_90, converted_stat * 2, IF(bbgm_stat &gt;= perc_85, converted_stat * 1.5, converted_stat)))))</f>
        <v/>
      </c>
      <c r="S137" s="30" t="str">
        <f t="array" ref="S137">IF($A137="", "", LET(bbgm_stat, INDEX(Players!$A136:$P136, MATCH(S$2, Players!$A$1:$P$1, 0)), perc_75, VLOOKUP(S$2, Percentiles!$A$45:$I$59, 6, FALSE), perc_90, VLOOKUP(S$2, Percentiles!$A$45:$I$59, 7, FALSE), perc_95, VLOOKUP(S$2, Percentiles!$A$45:$I$59, 8, FALSE), perc_85, perc_75 + (perc_90 - perc_75) * (2/3), converted_stat, '2K_Ratings'!S137, IF(bbgm_stat &gt;= perc_95, converted_stat * 3, IF(bbgm_stat &gt;= perc_90, converted_stat * 2, IF(bbgm_stat &gt;= perc_85, converted_stat * 1.5, converted_stat)))))</f>
        <v/>
      </c>
      <c r="T137" s="30" t="str">
        <f t="array" ref="T137">IF($A137="", "", LET(bbgm_stat, INDEX(Players!$A136:$P136, MATCH(T$2, Players!$A$1:$P$1, 0)), perc_75, VLOOKUP(T$2, Percentiles!$A$45:$I$59, 6, FALSE), perc_90, VLOOKUP(T$2, Percentiles!$A$45:$I$59, 7, FALSE), perc_95, VLOOKUP(T$2, Percentiles!$A$45:$I$59, 8, FALSE), perc_85, perc_75 + (perc_90 - perc_75) * (2/3), converted_stat, '2K_Ratings'!T137, IF(bbgm_stat &gt;= perc_95, converted_stat * 3, IF(bbgm_stat &gt;= perc_90, converted_stat * 2, IF(bbgm_stat &gt;= perc_85, converted_stat * 1.5, converted_stat)))))</f>
        <v/>
      </c>
      <c r="U137" s="30" t="str">
        <f t="array" ref="U137">IF($A137="", "", LET(bbgm_stat, INDEX(Players!$A136:$P136, MATCH(U$2, Players!$A$1:$P$1, 0)), perc_75, VLOOKUP(U$2, Percentiles!$A$45:$I$59, 6, FALSE), perc_90, VLOOKUP(U$2, Percentiles!$A$45:$I$59, 7, FALSE), perc_95, VLOOKUP(U$2, Percentiles!$A$45:$I$59, 8, FALSE), perc_85, perc_75 + (perc_90 - perc_75) * (2/3), converted_stat, '2K_Ratings'!U137, IF(bbgm_stat &gt;= perc_95, converted_stat * 3, IF(bbgm_stat &gt;= perc_90, converted_stat * 2, IF(bbgm_stat &gt;= perc_85, converted_stat * 1.5, converted_stat)))))</f>
        <v/>
      </c>
      <c r="V137" s="30" t="str">
        <f t="array" ref="V137">IF($A137="", "", LET(bbgm_stat, INDEX(Players!$A136:$P136, MATCH(V$2, Players!$A$1:$P$1, 0)), perc_75, VLOOKUP(V$2, Percentiles!$A$45:$I$59, 6, FALSE), perc_90, VLOOKUP(V$2, Percentiles!$A$45:$I$59, 7, FALSE), perc_95, VLOOKUP(V$2, Percentiles!$A$45:$I$59, 8, FALSE), perc_85, perc_75 + (perc_90 - perc_75) * (2/3), converted_stat, '2K_Ratings'!V137, IF(bbgm_stat &gt;= perc_95, converted_stat * 3, IF(bbgm_stat &gt;= perc_90, converted_stat * 2, IF(bbgm_stat &gt;= perc_85, converted_stat * 1.5, converted_stat)))))</f>
        <v/>
      </c>
      <c r="W137" s="30" t="str">
        <f t="array" ref="W137">IF($A137="", "", LET(bbgm_stat, INDEX(Players!$A136:$P136, MATCH(W$2, Players!$A$1:$P$1, 0)), perc_75, VLOOKUP(W$2, Percentiles!$A$45:$I$59, 6, FALSE), perc_90, VLOOKUP(W$2, Percentiles!$A$45:$I$59, 7, FALSE), perc_95, VLOOKUP(W$2, Percentiles!$A$45:$I$59, 8, FALSE), perc_85, perc_75 + (perc_90 - perc_75) * (2/3), converted_stat, '2K_Ratings'!W137, IF(bbgm_stat &gt;= perc_95, converted_stat * 3, IF(bbgm_stat &gt;= perc_90, converted_stat * 2, IF(bbgm_stat &gt;= perc_85, converted_stat * 1.5, converted_stat)))))</f>
        <v/>
      </c>
    </row>
    <row r="138">
      <c r="A138" s="30"/>
      <c r="B138" s="30" t="str">
        <f t="array" ref="B138">IF($A138="", "", LET(bbgm_stat, INDEX(Players!$A137:$P137, MATCH(B$2, Players!$A$1:$P$1, 0)), perc_75, VLOOKUP(B$2, Percentiles!$A$45:$I$59, 6, FALSE), perc_90, VLOOKUP(B$2, Percentiles!$A$45:$I$59, 7, FALSE), perc_95, VLOOKUP(B$2, Percentiles!$A$45:$I$59, 8, FALSE), perc_85, perc_75 + (perc_90 - perc_75) * (2/3), converted_stat, '2K_Ratings'!B138, IF(bbgm_stat &gt;= perc_95, converted_stat * 3, IF(bbgm_stat &gt;= perc_90, converted_stat * 2, IF(bbgm_stat &gt;= perc_85, converted_stat * 1.5, converted_stat)))))</f>
        <v/>
      </c>
      <c r="C138" s="30" t="str">
        <f t="array" ref="C138">IF($A138="", "", LET(bbgm_stat, INDEX(Players!$A137:$P137, MATCH(C$2, Players!$A$1:$P$1, 0)), perc_75, VLOOKUP(C$2, Percentiles!$A$45:$I$59, 6, FALSE), perc_90, VLOOKUP(C$2, Percentiles!$A$45:$I$59, 7, FALSE), perc_95, VLOOKUP(C$2, Percentiles!$A$45:$I$59, 8, FALSE), perc_85, perc_75 + (perc_90 - perc_75) * (2/3), converted_stat, '2K_Ratings'!C138, IF(bbgm_stat &gt;= perc_95, converted_stat * 3, IF(bbgm_stat &gt;= perc_90, converted_stat * 2, IF(bbgm_stat &gt;= perc_85, converted_stat * 1.5, converted_stat)))))</f>
        <v/>
      </c>
      <c r="D138" s="30" t="str">
        <f t="array" ref="D138">IF($A138="", "", LET(bbgm_stat, INDEX(Players!$A137:$P137, MATCH(D$2, Players!$A$1:$P$1, 0)), perc_75, VLOOKUP(D$2, Percentiles!$A$45:$I$59, 6, FALSE), perc_90, VLOOKUP(D$2, Percentiles!$A$45:$I$59, 7, FALSE), perc_95, VLOOKUP(D$2, Percentiles!$A$45:$I$59, 8, FALSE), perc_85, perc_75 + (perc_90 - perc_75) * (2/3), converted_stat, '2K_Ratings'!D138, IF(bbgm_stat &gt;= perc_95, converted_stat * 3, IF(bbgm_stat &gt;= perc_90, converted_stat * 2, IF(bbgm_stat &gt;= perc_85, converted_stat * 1.5, converted_stat)))))</f>
        <v/>
      </c>
      <c r="E138" s="30" t="str">
        <f t="array" ref="E138">IF($A138="", "", LET(bbgm_stat, INDEX(Players!$A137:$P137, MATCH(E$2, Players!$A$1:$P$1, 0)), perc_75, VLOOKUP(E$2, Percentiles!$A$45:$I$59, 6, FALSE), perc_90, VLOOKUP(E$2, Percentiles!$A$45:$I$59, 7, FALSE), perc_95, VLOOKUP(E$2, Percentiles!$A$45:$I$59, 8, FALSE), perc_85, perc_75 + (perc_90 - perc_75) * (2/3), converted_stat, '2K_Ratings'!E138, IF(bbgm_stat &gt;= perc_95, converted_stat * 3, IF(bbgm_stat &gt;= perc_90, converted_stat * 2, IF(bbgm_stat &gt;= perc_85, converted_stat * 1.5, converted_stat)))))</f>
        <v/>
      </c>
      <c r="F138" s="30" t="str">
        <f t="array" ref="F138">IF($A138="", "", LET(bbgm_stat, INDEX(Players!$A137:$P137, MATCH(F$2, Players!$A$1:$P$1, 0)), perc_75, VLOOKUP(F$2, Percentiles!$A$45:$I$59, 6, FALSE), perc_90, VLOOKUP(F$2, Percentiles!$A$45:$I$59, 7, FALSE), perc_95, VLOOKUP(F$2, Percentiles!$A$45:$I$59, 8, FALSE), perc_85, perc_75 + (perc_90 - perc_75) * (2/3), converted_stat, '2K_Ratings'!F138, IF(bbgm_stat &gt;= perc_95, converted_stat * 3, IF(bbgm_stat &gt;= perc_90, converted_stat * 2, IF(bbgm_stat &gt;= perc_85, converted_stat * 1.5, converted_stat)))))</f>
        <v/>
      </c>
      <c r="G138" s="30" t="str">
        <f t="array" ref="G138">IF($A138="", "", LET(bbgm_stat, INDEX(Players!$A137:$P137, MATCH(G$2, Players!$A$1:$P$1, 0)), perc_75, VLOOKUP(G$2, Percentiles!$A$45:$I$59, 6, FALSE), perc_90, VLOOKUP(G$2, Percentiles!$A$45:$I$59, 7, FALSE), perc_95, VLOOKUP(G$2, Percentiles!$A$45:$I$59, 8, FALSE), perc_85, perc_75 + (perc_90 - perc_75) * (2/3), converted_stat, '2K_Ratings'!G138, IF(bbgm_stat &gt;= perc_95, converted_stat * 3, IF(bbgm_stat &gt;= perc_90, converted_stat * 2, IF(bbgm_stat &gt;= perc_85, converted_stat * 1.5, converted_stat)))))</f>
        <v/>
      </c>
      <c r="H138" s="30" t="str">
        <f t="array" ref="H138">IF($A138="", "", LET(bbgm_stat, INDEX(Players!$A137:$P137, MATCH(H$2, Players!$A$1:$P$1, 0)), perc_75, VLOOKUP(H$2, Percentiles!$A$45:$I$59, 6, FALSE), perc_90, VLOOKUP(H$2, Percentiles!$A$45:$I$59, 7, FALSE), perc_95, VLOOKUP(H$2, Percentiles!$A$45:$I$59, 8, FALSE), perc_85, perc_75 + (perc_90 - perc_75) * (2/3), converted_stat, '2K_Ratings'!H138, IF(bbgm_stat &gt;= perc_95, converted_stat * 3, IF(bbgm_stat &gt;= perc_90, converted_stat * 2, IF(bbgm_stat &gt;= perc_85, converted_stat * 1.5, converted_stat)))))</f>
        <v/>
      </c>
      <c r="I138" s="30" t="str">
        <f t="array" ref="I138">IF($A138="", "", LET(bbgm_stat, INDEX(Players!$A137:$P137, MATCH(I$2, Players!$A$1:$P$1, 0)), perc_75, VLOOKUP(I$2, Percentiles!$A$45:$I$59, 6, FALSE), perc_90, VLOOKUP(I$2, Percentiles!$A$45:$I$59, 7, FALSE), perc_95, VLOOKUP(I$2, Percentiles!$A$45:$I$59, 8, FALSE), perc_85, perc_75 + (perc_90 - perc_75) * (2/3), converted_stat, '2K_Ratings'!I138, IF(bbgm_stat &gt;= perc_95, converted_stat * 3, IF(bbgm_stat &gt;= perc_90, converted_stat * 2, IF(bbgm_stat &gt;= perc_85, converted_stat * 1.5, converted_stat)))))</f>
        <v/>
      </c>
      <c r="J138" s="30" t="str">
        <f t="array" ref="J138">IF($A138="", "", LET(bbgm_stat, INDEX(Players!$A137:$P137, MATCH(J$2, Players!$A$1:$P$1, 0)), perc_75, VLOOKUP(J$2, Percentiles!$A$45:$I$59, 6, FALSE), perc_90, VLOOKUP(J$2, Percentiles!$A$45:$I$59, 7, FALSE), perc_95, VLOOKUP(J$2, Percentiles!$A$45:$I$59, 8, FALSE), perc_85, perc_75 + (perc_90 - perc_75) * (2/3), converted_stat, '2K_Ratings'!J138, IF(bbgm_stat &gt;= perc_95, converted_stat * 3, IF(bbgm_stat &gt;= perc_90, converted_stat * 2, IF(bbgm_stat &gt;= perc_85, converted_stat * 1.5, converted_stat)))))</f>
        <v/>
      </c>
      <c r="K138" s="30" t="str">
        <f t="array" ref="K138">IF($A138="", "", LET(bbgm_stat, INDEX(Players!$A137:$P137, MATCH(K$2, Players!$A$1:$P$1, 0)), perc_75, VLOOKUP(K$2, Percentiles!$A$45:$I$59, 6, FALSE), perc_90, VLOOKUP(K$2, Percentiles!$A$45:$I$59, 7, FALSE), perc_95, VLOOKUP(K$2, Percentiles!$A$45:$I$59, 8, FALSE), perc_85, perc_75 + (perc_90 - perc_75) * (2/3), converted_stat, '2K_Ratings'!K138, IF(bbgm_stat &gt;= perc_95, converted_stat * 3, IF(bbgm_stat &gt;= perc_90, converted_stat * 2, IF(bbgm_stat &gt;= perc_85, converted_stat * 1.5, converted_stat)))))</f>
        <v/>
      </c>
      <c r="L138" s="30" t="str">
        <f t="array" ref="L138">IF($A138="", "", LET(bbgm_stat, INDEX(Players!$A137:$P137, MATCH(L$2, Players!$A$1:$P$1, 0)), perc_75, VLOOKUP(L$2, Percentiles!$A$45:$I$59, 6, FALSE), perc_90, VLOOKUP(L$2, Percentiles!$A$45:$I$59, 7, FALSE), perc_95, VLOOKUP(L$2, Percentiles!$A$45:$I$59, 8, FALSE), perc_85, perc_75 + (perc_90 - perc_75) * (2/3), converted_stat, '2K_Ratings'!L138, IF(bbgm_stat &gt;= perc_95, converted_stat * 3, IF(bbgm_stat &gt;= perc_90, converted_stat * 2, IF(bbgm_stat &gt;= perc_85, converted_stat * 1.5, converted_stat)))))</f>
        <v/>
      </c>
      <c r="M138" s="30" t="str">
        <f t="array" ref="M138">IF($A138="", "", LET(bbgm_stat, INDEX(Players!$A137:$P137, MATCH(M$2, Players!$A$1:$P$1, 0)), perc_75, VLOOKUP(M$2, Percentiles!$A$45:$I$59, 6, FALSE), perc_90, VLOOKUP(M$2, Percentiles!$A$45:$I$59, 7, FALSE), perc_95, VLOOKUP(M$2, Percentiles!$A$45:$I$59, 8, FALSE), perc_85, perc_75 + (perc_90 - perc_75) * (2/3), converted_stat, '2K_Ratings'!M138, IF(bbgm_stat &gt;= perc_95, converted_stat * 3, IF(bbgm_stat &gt;= perc_90, converted_stat * 2, IF(bbgm_stat &gt;= perc_85, converted_stat * 1.5, converted_stat)))))</f>
        <v/>
      </c>
      <c r="N138" s="30" t="str">
        <f t="array" ref="N138">IF($A138="", "", LET(bbgm_stat, INDEX(Players!$A137:$P137, MATCH(N$2, Players!$A$1:$P$1, 0)), perc_75, VLOOKUP(N$2, Percentiles!$A$45:$I$59, 6, FALSE), perc_90, VLOOKUP(N$2, Percentiles!$A$45:$I$59, 7, FALSE), perc_95, VLOOKUP(N$2, Percentiles!$A$45:$I$59, 8, FALSE), perc_85, perc_75 + (perc_90 - perc_75) * (2/3), converted_stat, '2K_Ratings'!N138, IF(bbgm_stat &gt;= perc_95, converted_stat * 3, IF(bbgm_stat &gt;= perc_90, converted_stat * 2, IF(bbgm_stat &gt;= perc_85, converted_stat * 1.5, converted_stat)))))</f>
        <v/>
      </c>
      <c r="O138" s="30" t="str">
        <f t="array" ref="O138">IF($A138="", "", LET(bbgm_stat, INDEX(Players!$A137:$P137, MATCH(O$2, Players!$A$1:$P$1, 0)), perc_75, VLOOKUP(O$2, Percentiles!$A$45:$I$59, 6, FALSE), perc_90, VLOOKUP(O$2, Percentiles!$A$45:$I$59, 7, FALSE), perc_95, VLOOKUP(O$2, Percentiles!$A$45:$I$59, 8, FALSE), perc_85, perc_75 + (perc_90 - perc_75) * (2/3), converted_stat, '2K_Ratings'!O138, IF(bbgm_stat &gt;= perc_95, converted_stat * 3, IF(bbgm_stat &gt;= perc_90, converted_stat * 2, IF(bbgm_stat &gt;= perc_85, converted_stat * 1.5, converted_stat)))))</f>
        <v/>
      </c>
      <c r="P138" s="30" t="str">
        <f t="array" ref="P138">IF($A138="", "", LET(bbgm_stat, INDEX(Players!$A137:$P137, MATCH(P$2, Players!$A$1:$P$1, 0)), perc_75, VLOOKUP(P$2, Percentiles!$A$45:$I$59, 6, FALSE), perc_90, VLOOKUP(P$2, Percentiles!$A$45:$I$59, 7, FALSE), perc_95, VLOOKUP(P$2, Percentiles!$A$45:$I$59, 8, FALSE), perc_85, perc_75 + (perc_90 - perc_75) * (2/3), converted_stat, '2K_Ratings'!P138, IF(bbgm_stat &gt;= perc_95, converted_stat * 3, IF(bbgm_stat &gt;= perc_90, converted_stat * 2, IF(bbgm_stat &gt;= perc_85, converted_stat * 1.5, converted_stat)))))</f>
        <v/>
      </c>
      <c r="Q138" s="30" t="str">
        <f t="array" ref="Q138">IF($A138="", "", LET(bbgm_stat, INDEX(Players!$A137:$P137, MATCH(Q$2, Players!$A$1:$P$1, 0)), perc_75, VLOOKUP(Q$2, Percentiles!$A$45:$I$59, 6, FALSE), perc_90, VLOOKUP(Q$2, Percentiles!$A$45:$I$59, 7, FALSE), perc_95, VLOOKUP(Q$2, Percentiles!$A$45:$I$59, 8, FALSE), perc_85, perc_75 + (perc_90 - perc_75) * (2/3), converted_stat, '2K_Ratings'!Q138, IF(bbgm_stat &gt;= perc_95, converted_stat * 3, IF(bbgm_stat &gt;= perc_90, converted_stat * 2, IF(bbgm_stat &gt;= perc_85, converted_stat * 1.5, converted_stat)))))</f>
        <v/>
      </c>
      <c r="R138" s="30" t="str">
        <f t="array" ref="R138">IF($A138="", "", LET(bbgm_stat, INDEX(Players!$A137:$P137, MATCH(R$2, Players!$A$1:$P$1, 0)), perc_75, VLOOKUP(R$2, Percentiles!$A$45:$I$59, 6, FALSE), perc_90, VLOOKUP(R$2, Percentiles!$A$45:$I$59, 7, FALSE), perc_95, VLOOKUP(R$2, Percentiles!$A$45:$I$59, 8, FALSE), perc_85, perc_75 + (perc_90 - perc_75) * (2/3), converted_stat, '2K_Ratings'!R138, IF(bbgm_stat &gt;= perc_95, converted_stat * 3, IF(bbgm_stat &gt;= perc_90, converted_stat * 2, IF(bbgm_stat &gt;= perc_85, converted_stat * 1.5, converted_stat)))))</f>
        <v/>
      </c>
      <c r="S138" s="30" t="str">
        <f t="array" ref="S138">IF($A138="", "", LET(bbgm_stat, INDEX(Players!$A137:$P137, MATCH(S$2, Players!$A$1:$P$1, 0)), perc_75, VLOOKUP(S$2, Percentiles!$A$45:$I$59, 6, FALSE), perc_90, VLOOKUP(S$2, Percentiles!$A$45:$I$59, 7, FALSE), perc_95, VLOOKUP(S$2, Percentiles!$A$45:$I$59, 8, FALSE), perc_85, perc_75 + (perc_90 - perc_75) * (2/3), converted_stat, '2K_Ratings'!S138, IF(bbgm_stat &gt;= perc_95, converted_stat * 3, IF(bbgm_stat &gt;= perc_90, converted_stat * 2, IF(bbgm_stat &gt;= perc_85, converted_stat * 1.5, converted_stat)))))</f>
        <v/>
      </c>
      <c r="T138" s="30" t="str">
        <f t="array" ref="T138">IF($A138="", "", LET(bbgm_stat, INDEX(Players!$A137:$P137, MATCH(T$2, Players!$A$1:$P$1, 0)), perc_75, VLOOKUP(T$2, Percentiles!$A$45:$I$59, 6, FALSE), perc_90, VLOOKUP(T$2, Percentiles!$A$45:$I$59, 7, FALSE), perc_95, VLOOKUP(T$2, Percentiles!$A$45:$I$59, 8, FALSE), perc_85, perc_75 + (perc_90 - perc_75) * (2/3), converted_stat, '2K_Ratings'!T138, IF(bbgm_stat &gt;= perc_95, converted_stat * 3, IF(bbgm_stat &gt;= perc_90, converted_stat * 2, IF(bbgm_stat &gt;= perc_85, converted_stat * 1.5, converted_stat)))))</f>
        <v/>
      </c>
      <c r="U138" s="30" t="str">
        <f t="array" ref="U138">IF($A138="", "", LET(bbgm_stat, INDEX(Players!$A137:$P137, MATCH(U$2, Players!$A$1:$P$1, 0)), perc_75, VLOOKUP(U$2, Percentiles!$A$45:$I$59, 6, FALSE), perc_90, VLOOKUP(U$2, Percentiles!$A$45:$I$59, 7, FALSE), perc_95, VLOOKUP(U$2, Percentiles!$A$45:$I$59, 8, FALSE), perc_85, perc_75 + (perc_90 - perc_75) * (2/3), converted_stat, '2K_Ratings'!U138, IF(bbgm_stat &gt;= perc_95, converted_stat * 3, IF(bbgm_stat &gt;= perc_90, converted_stat * 2, IF(bbgm_stat &gt;= perc_85, converted_stat * 1.5, converted_stat)))))</f>
        <v/>
      </c>
      <c r="V138" s="30" t="str">
        <f t="array" ref="V138">IF($A138="", "", LET(bbgm_stat, INDEX(Players!$A137:$P137, MATCH(V$2, Players!$A$1:$P$1, 0)), perc_75, VLOOKUP(V$2, Percentiles!$A$45:$I$59, 6, FALSE), perc_90, VLOOKUP(V$2, Percentiles!$A$45:$I$59, 7, FALSE), perc_95, VLOOKUP(V$2, Percentiles!$A$45:$I$59, 8, FALSE), perc_85, perc_75 + (perc_90 - perc_75) * (2/3), converted_stat, '2K_Ratings'!V138, IF(bbgm_stat &gt;= perc_95, converted_stat * 3, IF(bbgm_stat &gt;= perc_90, converted_stat * 2, IF(bbgm_stat &gt;= perc_85, converted_stat * 1.5, converted_stat)))))</f>
        <v/>
      </c>
      <c r="W138" s="30" t="str">
        <f t="array" ref="W138">IF($A138="", "", LET(bbgm_stat, INDEX(Players!$A137:$P137, MATCH(W$2, Players!$A$1:$P$1, 0)), perc_75, VLOOKUP(W$2, Percentiles!$A$45:$I$59, 6, FALSE), perc_90, VLOOKUP(W$2, Percentiles!$A$45:$I$59, 7, FALSE), perc_95, VLOOKUP(W$2, Percentiles!$A$45:$I$59, 8, FALSE), perc_85, perc_75 + (perc_90 - perc_75) * (2/3), converted_stat, '2K_Ratings'!W138, IF(bbgm_stat &gt;= perc_95, converted_stat * 3, IF(bbgm_stat &gt;= perc_90, converted_stat * 2, IF(bbgm_stat &gt;= perc_85, converted_stat * 1.5, converted_stat)))))</f>
        <v/>
      </c>
    </row>
    <row r="139">
      <c r="A139" s="30"/>
      <c r="B139" s="30" t="str">
        <f t="array" ref="B139">IF($A139="", "", LET(bbgm_stat, INDEX(Players!$A138:$P138, MATCH(B$2, Players!$A$1:$P$1, 0)), perc_75, VLOOKUP(B$2, Percentiles!$A$45:$I$59, 6, FALSE), perc_90, VLOOKUP(B$2, Percentiles!$A$45:$I$59, 7, FALSE), perc_95, VLOOKUP(B$2, Percentiles!$A$45:$I$59, 8, FALSE), perc_85, perc_75 + (perc_90 - perc_75) * (2/3), converted_stat, '2K_Ratings'!B139, IF(bbgm_stat &gt;= perc_95, converted_stat * 3, IF(bbgm_stat &gt;= perc_90, converted_stat * 2, IF(bbgm_stat &gt;= perc_85, converted_stat * 1.5, converted_stat)))))</f>
        <v/>
      </c>
      <c r="C139" s="30" t="str">
        <f t="array" ref="C139">IF($A139="", "", LET(bbgm_stat, INDEX(Players!$A138:$P138, MATCH(C$2, Players!$A$1:$P$1, 0)), perc_75, VLOOKUP(C$2, Percentiles!$A$45:$I$59, 6, FALSE), perc_90, VLOOKUP(C$2, Percentiles!$A$45:$I$59, 7, FALSE), perc_95, VLOOKUP(C$2, Percentiles!$A$45:$I$59, 8, FALSE), perc_85, perc_75 + (perc_90 - perc_75) * (2/3), converted_stat, '2K_Ratings'!C139, IF(bbgm_stat &gt;= perc_95, converted_stat * 3, IF(bbgm_stat &gt;= perc_90, converted_stat * 2, IF(bbgm_stat &gt;= perc_85, converted_stat * 1.5, converted_stat)))))</f>
        <v/>
      </c>
      <c r="D139" s="30" t="str">
        <f t="array" ref="D139">IF($A139="", "", LET(bbgm_stat, INDEX(Players!$A138:$P138, MATCH(D$2, Players!$A$1:$P$1, 0)), perc_75, VLOOKUP(D$2, Percentiles!$A$45:$I$59, 6, FALSE), perc_90, VLOOKUP(D$2, Percentiles!$A$45:$I$59, 7, FALSE), perc_95, VLOOKUP(D$2, Percentiles!$A$45:$I$59, 8, FALSE), perc_85, perc_75 + (perc_90 - perc_75) * (2/3), converted_stat, '2K_Ratings'!D139, IF(bbgm_stat &gt;= perc_95, converted_stat * 3, IF(bbgm_stat &gt;= perc_90, converted_stat * 2, IF(bbgm_stat &gt;= perc_85, converted_stat * 1.5, converted_stat)))))</f>
        <v/>
      </c>
      <c r="E139" s="30" t="str">
        <f t="array" ref="E139">IF($A139="", "", LET(bbgm_stat, INDEX(Players!$A138:$P138, MATCH(E$2, Players!$A$1:$P$1, 0)), perc_75, VLOOKUP(E$2, Percentiles!$A$45:$I$59, 6, FALSE), perc_90, VLOOKUP(E$2, Percentiles!$A$45:$I$59, 7, FALSE), perc_95, VLOOKUP(E$2, Percentiles!$A$45:$I$59, 8, FALSE), perc_85, perc_75 + (perc_90 - perc_75) * (2/3), converted_stat, '2K_Ratings'!E139, IF(bbgm_stat &gt;= perc_95, converted_stat * 3, IF(bbgm_stat &gt;= perc_90, converted_stat * 2, IF(bbgm_stat &gt;= perc_85, converted_stat * 1.5, converted_stat)))))</f>
        <v/>
      </c>
      <c r="F139" s="30" t="str">
        <f t="array" ref="F139">IF($A139="", "", LET(bbgm_stat, INDEX(Players!$A138:$P138, MATCH(F$2, Players!$A$1:$P$1, 0)), perc_75, VLOOKUP(F$2, Percentiles!$A$45:$I$59, 6, FALSE), perc_90, VLOOKUP(F$2, Percentiles!$A$45:$I$59, 7, FALSE), perc_95, VLOOKUP(F$2, Percentiles!$A$45:$I$59, 8, FALSE), perc_85, perc_75 + (perc_90 - perc_75) * (2/3), converted_stat, '2K_Ratings'!F139, IF(bbgm_stat &gt;= perc_95, converted_stat * 3, IF(bbgm_stat &gt;= perc_90, converted_stat * 2, IF(bbgm_stat &gt;= perc_85, converted_stat * 1.5, converted_stat)))))</f>
        <v/>
      </c>
      <c r="G139" s="30" t="str">
        <f t="array" ref="G139">IF($A139="", "", LET(bbgm_stat, INDEX(Players!$A138:$P138, MATCH(G$2, Players!$A$1:$P$1, 0)), perc_75, VLOOKUP(G$2, Percentiles!$A$45:$I$59, 6, FALSE), perc_90, VLOOKUP(G$2, Percentiles!$A$45:$I$59, 7, FALSE), perc_95, VLOOKUP(G$2, Percentiles!$A$45:$I$59, 8, FALSE), perc_85, perc_75 + (perc_90 - perc_75) * (2/3), converted_stat, '2K_Ratings'!G139, IF(bbgm_stat &gt;= perc_95, converted_stat * 3, IF(bbgm_stat &gt;= perc_90, converted_stat * 2, IF(bbgm_stat &gt;= perc_85, converted_stat * 1.5, converted_stat)))))</f>
        <v/>
      </c>
      <c r="H139" s="30" t="str">
        <f t="array" ref="H139">IF($A139="", "", LET(bbgm_stat, INDEX(Players!$A138:$P138, MATCH(H$2, Players!$A$1:$P$1, 0)), perc_75, VLOOKUP(H$2, Percentiles!$A$45:$I$59, 6, FALSE), perc_90, VLOOKUP(H$2, Percentiles!$A$45:$I$59, 7, FALSE), perc_95, VLOOKUP(H$2, Percentiles!$A$45:$I$59, 8, FALSE), perc_85, perc_75 + (perc_90 - perc_75) * (2/3), converted_stat, '2K_Ratings'!H139, IF(bbgm_stat &gt;= perc_95, converted_stat * 3, IF(bbgm_stat &gt;= perc_90, converted_stat * 2, IF(bbgm_stat &gt;= perc_85, converted_stat * 1.5, converted_stat)))))</f>
        <v/>
      </c>
      <c r="I139" s="30" t="str">
        <f t="array" ref="I139">IF($A139="", "", LET(bbgm_stat, INDEX(Players!$A138:$P138, MATCH(I$2, Players!$A$1:$P$1, 0)), perc_75, VLOOKUP(I$2, Percentiles!$A$45:$I$59, 6, FALSE), perc_90, VLOOKUP(I$2, Percentiles!$A$45:$I$59, 7, FALSE), perc_95, VLOOKUP(I$2, Percentiles!$A$45:$I$59, 8, FALSE), perc_85, perc_75 + (perc_90 - perc_75) * (2/3), converted_stat, '2K_Ratings'!I139, IF(bbgm_stat &gt;= perc_95, converted_stat * 3, IF(bbgm_stat &gt;= perc_90, converted_stat * 2, IF(bbgm_stat &gt;= perc_85, converted_stat * 1.5, converted_stat)))))</f>
        <v/>
      </c>
      <c r="J139" s="30" t="str">
        <f t="array" ref="J139">IF($A139="", "", LET(bbgm_stat, INDEX(Players!$A138:$P138, MATCH(J$2, Players!$A$1:$P$1, 0)), perc_75, VLOOKUP(J$2, Percentiles!$A$45:$I$59, 6, FALSE), perc_90, VLOOKUP(J$2, Percentiles!$A$45:$I$59, 7, FALSE), perc_95, VLOOKUP(J$2, Percentiles!$A$45:$I$59, 8, FALSE), perc_85, perc_75 + (perc_90 - perc_75) * (2/3), converted_stat, '2K_Ratings'!J139, IF(bbgm_stat &gt;= perc_95, converted_stat * 3, IF(bbgm_stat &gt;= perc_90, converted_stat * 2, IF(bbgm_stat &gt;= perc_85, converted_stat * 1.5, converted_stat)))))</f>
        <v/>
      </c>
      <c r="K139" s="30" t="str">
        <f t="array" ref="K139">IF($A139="", "", LET(bbgm_stat, INDEX(Players!$A138:$P138, MATCH(K$2, Players!$A$1:$P$1, 0)), perc_75, VLOOKUP(K$2, Percentiles!$A$45:$I$59, 6, FALSE), perc_90, VLOOKUP(K$2, Percentiles!$A$45:$I$59, 7, FALSE), perc_95, VLOOKUP(K$2, Percentiles!$A$45:$I$59, 8, FALSE), perc_85, perc_75 + (perc_90 - perc_75) * (2/3), converted_stat, '2K_Ratings'!K139, IF(bbgm_stat &gt;= perc_95, converted_stat * 3, IF(bbgm_stat &gt;= perc_90, converted_stat * 2, IF(bbgm_stat &gt;= perc_85, converted_stat * 1.5, converted_stat)))))</f>
        <v/>
      </c>
      <c r="L139" s="30" t="str">
        <f t="array" ref="L139">IF($A139="", "", LET(bbgm_stat, INDEX(Players!$A138:$P138, MATCH(L$2, Players!$A$1:$P$1, 0)), perc_75, VLOOKUP(L$2, Percentiles!$A$45:$I$59, 6, FALSE), perc_90, VLOOKUP(L$2, Percentiles!$A$45:$I$59, 7, FALSE), perc_95, VLOOKUP(L$2, Percentiles!$A$45:$I$59, 8, FALSE), perc_85, perc_75 + (perc_90 - perc_75) * (2/3), converted_stat, '2K_Ratings'!L139, IF(bbgm_stat &gt;= perc_95, converted_stat * 3, IF(bbgm_stat &gt;= perc_90, converted_stat * 2, IF(bbgm_stat &gt;= perc_85, converted_stat * 1.5, converted_stat)))))</f>
        <v/>
      </c>
      <c r="M139" s="30" t="str">
        <f t="array" ref="M139">IF($A139="", "", LET(bbgm_stat, INDEX(Players!$A138:$P138, MATCH(M$2, Players!$A$1:$P$1, 0)), perc_75, VLOOKUP(M$2, Percentiles!$A$45:$I$59, 6, FALSE), perc_90, VLOOKUP(M$2, Percentiles!$A$45:$I$59, 7, FALSE), perc_95, VLOOKUP(M$2, Percentiles!$A$45:$I$59, 8, FALSE), perc_85, perc_75 + (perc_90 - perc_75) * (2/3), converted_stat, '2K_Ratings'!M139, IF(bbgm_stat &gt;= perc_95, converted_stat * 3, IF(bbgm_stat &gt;= perc_90, converted_stat * 2, IF(bbgm_stat &gt;= perc_85, converted_stat * 1.5, converted_stat)))))</f>
        <v/>
      </c>
      <c r="N139" s="30" t="str">
        <f t="array" ref="N139">IF($A139="", "", LET(bbgm_stat, INDEX(Players!$A138:$P138, MATCH(N$2, Players!$A$1:$P$1, 0)), perc_75, VLOOKUP(N$2, Percentiles!$A$45:$I$59, 6, FALSE), perc_90, VLOOKUP(N$2, Percentiles!$A$45:$I$59, 7, FALSE), perc_95, VLOOKUP(N$2, Percentiles!$A$45:$I$59, 8, FALSE), perc_85, perc_75 + (perc_90 - perc_75) * (2/3), converted_stat, '2K_Ratings'!N139, IF(bbgm_stat &gt;= perc_95, converted_stat * 3, IF(bbgm_stat &gt;= perc_90, converted_stat * 2, IF(bbgm_stat &gt;= perc_85, converted_stat * 1.5, converted_stat)))))</f>
        <v/>
      </c>
      <c r="O139" s="30" t="str">
        <f t="array" ref="O139">IF($A139="", "", LET(bbgm_stat, INDEX(Players!$A138:$P138, MATCH(O$2, Players!$A$1:$P$1, 0)), perc_75, VLOOKUP(O$2, Percentiles!$A$45:$I$59, 6, FALSE), perc_90, VLOOKUP(O$2, Percentiles!$A$45:$I$59, 7, FALSE), perc_95, VLOOKUP(O$2, Percentiles!$A$45:$I$59, 8, FALSE), perc_85, perc_75 + (perc_90 - perc_75) * (2/3), converted_stat, '2K_Ratings'!O139, IF(bbgm_stat &gt;= perc_95, converted_stat * 3, IF(bbgm_stat &gt;= perc_90, converted_stat * 2, IF(bbgm_stat &gt;= perc_85, converted_stat * 1.5, converted_stat)))))</f>
        <v/>
      </c>
      <c r="P139" s="30" t="str">
        <f t="array" ref="P139">IF($A139="", "", LET(bbgm_stat, INDEX(Players!$A138:$P138, MATCH(P$2, Players!$A$1:$P$1, 0)), perc_75, VLOOKUP(P$2, Percentiles!$A$45:$I$59, 6, FALSE), perc_90, VLOOKUP(P$2, Percentiles!$A$45:$I$59, 7, FALSE), perc_95, VLOOKUP(P$2, Percentiles!$A$45:$I$59, 8, FALSE), perc_85, perc_75 + (perc_90 - perc_75) * (2/3), converted_stat, '2K_Ratings'!P139, IF(bbgm_stat &gt;= perc_95, converted_stat * 3, IF(bbgm_stat &gt;= perc_90, converted_stat * 2, IF(bbgm_stat &gt;= perc_85, converted_stat * 1.5, converted_stat)))))</f>
        <v/>
      </c>
      <c r="Q139" s="30" t="str">
        <f t="array" ref="Q139">IF($A139="", "", LET(bbgm_stat, INDEX(Players!$A138:$P138, MATCH(Q$2, Players!$A$1:$P$1, 0)), perc_75, VLOOKUP(Q$2, Percentiles!$A$45:$I$59, 6, FALSE), perc_90, VLOOKUP(Q$2, Percentiles!$A$45:$I$59, 7, FALSE), perc_95, VLOOKUP(Q$2, Percentiles!$A$45:$I$59, 8, FALSE), perc_85, perc_75 + (perc_90 - perc_75) * (2/3), converted_stat, '2K_Ratings'!Q139, IF(bbgm_stat &gt;= perc_95, converted_stat * 3, IF(bbgm_stat &gt;= perc_90, converted_stat * 2, IF(bbgm_stat &gt;= perc_85, converted_stat * 1.5, converted_stat)))))</f>
        <v/>
      </c>
      <c r="R139" s="30" t="str">
        <f t="array" ref="R139">IF($A139="", "", LET(bbgm_stat, INDEX(Players!$A138:$P138, MATCH(R$2, Players!$A$1:$P$1, 0)), perc_75, VLOOKUP(R$2, Percentiles!$A$45:$I$59, 6, FALSE), perc_90, VLOOKUP(R$2, Percentiles!$A$45:$I$59, 7, FALSE), perc_95, VLOOKUP(R$2, Percentiles!$A$45:$I$59, 8, FALSE), perc_85, perc_75 + (perc_90 - perc_75) * (2/3), converted_stat, '2K_Ratings'!R139, IF(bbgm_stat &gt;= perc_95, converted_stat * 3, IF(bbgm_stat &gt;= perc_90, converted_stat * 2, IF(bbgm_stat &gt;= perc_85, converted_stat * 1.5, converted_stat)))))</f>
        <v/>
      </c>
      <c r="S139" s="30" t="str">
        <f t="array" ref="S139">IF($A139="", "", LET(bbgm_stat, INDEX(Players!$A138:$P138, MATCH(S$2, Players!$A$1:$P$1, 0)), perc_75, VLOOKUP(S$2, Percentiles!$A$45:$I$59, 6, FALSE), perc_90, VLOOKUP(S$2, Percentiles!$A$45:$I$59, 7, FALSE), perc_95, VLOOKUP(S$2, Percentiles!$A$45:$I$59, 8, FALSE), perc_85, perc_75 + (perc_90 - perc_75) * (2/3), converted_stat, '2K_Ratings'!S139, IF(bbgm_stat &gt;= perc_95, converted_stat * 3, IF(bbgm_stat &gt;= perc_90, converted_stat * 2, IF(bbgm_stat &gt;= perc_85, converted_stat * 1.5, converted_stat)))))</f>
        <v/>
      </c>
      <c r="T139" s="30" t="str">
        <f t="array" ref="T139">IF($A139="", "", LET(bbgm_stat, INDEX(Players!$A138:$P138, MATCH(T$2, Players!$A$1:$P$1, 0)), perc_75, VLOOKUP(T$2, Percentiles!$A$45:$I$59, 6, FALSE), perc_90, VLOOKUP(T$2, Percentiles!$A$45:$I$59, 7, FALSE), perc_95, VLOOKUP(T$2, Percentiles!$A$45:$I$59, 8, FALSE), perc_85, perc_75 + (perc_90 - perc_75) * (2/3), converted_stat, '2K_Ratings'!T139, IF(bbgm_stat &gt;= perc_95, converted_stat * 3, IF(bbgm_stat &gt;= perc_90, converted_stat * 2, IF(bbgm_stat &gt;= perc_85, converted_stat * 1.5, converted_stat)))))</f>
        <v/>
      </c>
      <c r="U139" s="30" t="str">
        <f t="array" ref="U139">IF($A139="", "", LET(bbgm_stat, INDEX(Players!$A138:$P138, MATCH(U$2, Players!$A$1:$P$1, 0)), perc_75, VLOOKUP(U$2, Percentiles!$A$45:$I$59, 6, FALSE), perc_90, VLOOKUP(U$2, Percentiles!$A$45:$I$59, 7, FALSE), perc_95, VLOOKUP(U$2, Percentiles!$A$45:$I$59, 8, FALSE), perc_85, perc_75 + (perc_90 - perc_75) * (2/3), converted_stat, '2K_Ratings'!U139, IF(bbgm_stat &gt;= perc_95, converted_stat * 3, IF(bbgm_stat &gt;= perc_90, converted_stat * 2, IF(bbgm_stat &gt;= perc_85, converted_stat * 1.5, converted_stat)))))</f>
        <v/>
      </c>
      <c r="V139" s="30" t="str">
        <f t="array" ref="V139">IF($A139="", "", LET(bbgm_stat, INDEX(Players!$A138:$P138, MATCH(V$2, Players!$A$1:$P$1, 0)), perc_75, VLOOKUP(V$2, Percentiles!$A$45:$I$59, 6, FALSE), perc_90, VLOOKUP(V$2, Percentiles!$A$45:$I$59, 7, FALSE), perc_95, VLOOKUP(V$2, Percentiles!$A$45:$I$59, 8, FALSE), perc_85, perc_75 + (perc_90 - perc_75) * (2/3), converted_stat, '2K_Ratings'!V139, IF(bbgm_stat &gt;= perc_95, converted_stat * 3, IF(bbgm_stat &gt;= perc_90, converted_stat * 2, IF(bbgm_stat &gt;= perc_85, converted_stat * 1.5, converted_stat)))))</f>
        <v/>
      </c>
      <c r="W139" s="30" t="str">
        <f t="array" ref="W139">IF($A139="", "", LET(bbgm_stat, INDEX(Players!$A138:$P138, MATCH(W$2, Players!$A$1:$P$1, 0)), perc_75, VLOOKUP(W$2, Percentiles!$A$45:$I$59, 6, FALSE), perc_90, VLOOKUP(W$2, Percentiles!$A$45:$I$59, 7, FALSE), perc_95, VLOOKUP(W$2, Percentiles!$A$45:$I$59, 8, FALSE), perc_85, perc_75 + (perc_90 - perc_75) * (2/3), converted_stat, '2K_Ratings'!W139, IF(bbgm_stat &gt;= perc_95, converted_stat * 3, IF(bbgm_stat &gt;= perc_90, converted_stat * 2, IF(bbgm_stat &gt;= perc_85, converted_stat * 1.5, converted_stat)))))</f>
        <v/>
      </c>
    </row>
    <row r="140">
      <c r="A140" s="30"/>
      <c r="B140" s="30" t="str">
        <f t="array" ref="B140">IF($A140="", "", LET(bbgm_stat, INDEX(Players!$A139:$P139, MATCH(B$2, Players!$A$1:$P$1, 0)), perc_75, VLOOKUP(B$2, Percentiles!$A$45:$I$59, 6, FALSE), perc_90, VLOOKUP(B$2, Percentiles!$A$45:$I$59, 7, FALSE), perc_95, VLOOKUP(B$2, Percentiles!$A$45:$I$59, 8, FALSE), perc_85, perc_75 + (perc_90 - perc_75) * (2/3), converted_stat, '2K_Ratings'!B140, IF(bbgm_stat &gt;= perc_95, converted_stat * 3, IF(bbgm_stat &gt;= perc_90, converted_stat * 2, IF(bbgm_stat &gt;= perc_85, converted_stat * 1.5, converted_stat)))))</f>
        <v/>
      </c>
      <c r="C140" s="30" t="str">
        <f t="array" ref="C140">IF($A140="", "", LET(bbgm_stat, INDEX(Players!$A139:$P139, MATCH(C$2, Players!$A$1:$P$1, 0)), perc_75, VLOOKUP(C$2, Percentiles!$A$45:$I$59, 6, FALSE), perc_90, VLOOKUP(C$2, Percentiles!$A$45:$I$59, 7, FALSE), perc_95, VLOOKUP(C$2, Percentiles!$A$45:$I$59, 8, FALSE), perc_85, perc_75 + (perc_90 - perc_75) * (2/3), converted_stat, '2K_Ratings'!C140, IF(bbgm_stat &gt;= perc_95, converted_stat * 3, IF(bbgm_stat &gt;= perc_90, converted_stat * 2, IF(bbgm_stat &gt;= perc_85, converted_stat * 1.5, converted_stat)))))</f>
        <v/>
      </c>
      <c r="D140" s="30" t="str">
        <f t="array" ref="D140">IF($A140="", "", LET(bbgm_stat, INDEX(Players!$A139:$P139, MATCH(D$2, Players!$A$1:$P$1, 0)), perc_75, VLOOKUP(D$2, Percentiles!$A$45:$I$59, 6, FALSE), perc_90, VLOOKUP(D$2, Percentiles!$A$45:$I$59, 7, FALSE), perc_95, VLOOKUP(D$2, Percentiles!$A$45:$I$59, 8, FALSE), perc_85, perc_75 + (perc_90 - perc_75) * (2/3), converted_stat, '2K_Ratings'!D140, IF(bbgm_stat &gt;= perc_95, converted_stat * 3, IF(bbgm_stat &gt;= perc_90, converted_stat * 2, IF(bbgm_stat &gt;= perc_85, converted_stat * 1.5, converted_stat)))))</f>
        <v/>
      </c>
      <c r="E140" s="30" t="str">
        <f t="array" ref="E140">IF($A140="", "", LET(bbgm_stat, INDEX(Players!$A139:$P139, MATCH(E$2, Players!$A$1:$P$1, 0)), perc_75, VLOOKUP(E$2, Percentiles!$A$45:$I$59, 6, FALSE), perc_90, VLOOKUP(E$2, Percentiles!$A$45:$I$59, 7, FALSE), perc_95, VLOOKUP(E$2, Percentiles!$A$45:$I$59, 8, FALSE), perc_85, perc_75 + (perc_90 - perc_75) * (2/3), converted_stat, '2K_Ratings'!E140, IF(bbgm_stat &gt;= perc_95, converted_stat * 3, IF(bbgm_stat &gt;= perc_90, converted_stat * 2, IF(bbgm_stat &gt;= perc_85, converted_stat * 1.5, converted_stat)))))</f>
        <v/>
      </c>
      <c r="F140" s="30" t="str">
        <f t="array" ref="F140">IF($A140="", "", LET(bbgm_stat, INDEX(Players!$A139:$P139, MATCH(F$2, Players!$A$1:$P$1, 0)), perc_75, VLOOKUP(F$2, Percentiles!$A$45:$I$59, 6, FALSE), perc_90, VLOOKUP(F$2, Percentiles!$A$45:$I$59, 7, FALSE), perc_95, VLOOKUP(F$2, Percentiles!$A$45:$I$59, 8, FALSE), perc_85, perc_75 + (perc_90 - perc_75) * (2/3), converted_stat, '2K_Ratings'!F140, IF(bbgm_stat &gt;= perc_95, converted_stat * 3, IF(bbgm_stat &gt;= perc_90, converted_stat * 2, IF(bbgm_stat &gt;= perc_85, converted_stat * 1.5, converted_stat)))))</f>
        <v/>
      </c>
      <c r="G140" s="30" t="str">
        <f t="array" ref="G140">IF($A140="", "", LET(bbgm_stat, INDEX(Players!$A139:$P139, MATCH(G$2, Players!$A$1:$P$1, 0)), perc_75, VLOOKUP(G$2, Percentiles!$A$45:$I$59, 6, FALSE), perc_90, VLOOKUP(G$2, Percentiles!$A$45:$I$59, 7, FALSE), perc_95, VLOOKUP(G$2, Percentiles!$A$45:$I$59, 8, FALSE), perc_85, perc_75 + (perc_90 - perc_75) * (2/3), converted_stat, '2K_Ratings'!G140, IF(bbgm_stat &gt;= perc_95, converted_stat * 3, IF(bbgm_stat &gt;= perc_90, converted_stat * 2, IF(bbgm_stat &gt;= perc_85, converted_stat * 1.5, converted_stat)))))</f>
        <v/>
      </c>
      <c r="H140" s="30" t="str">
        <f t="array" ref="H140">IF($A140="", "", LET(bbgm_stat, INDEX(Players!$A139:$P139, MATCH(H$2, Players!$A$1:$P$1, 0)), perc_75, VLOOKUP(H$2, Percentiles!$A$45:$I$59, 6, FALSE), perc_90, VLOOKUP(H$2, Percentiles!$A$45:$I$59, 7, FALSE), perc_95, VLOOKUP(H$2, Percentiles!$A$45:$I$59, 8, FALSE), perc_85, perc_75 + (perc_90 - perc_75) * (2/3), converted_stat, '2K_Ratings'!H140, IF(bbgm_stat &gt;= perc_95, converted_stat * 3, IF(bbgm_stat &gt;= perc_90, converted_stat * 2, IF(bbgm_stat &gt;= perc_85, converted_stat * 1.5, converted_stat)))))</f>
        <v/>
      </c>
      <c r="I140" s="30" t="str">
        <f t="array" ref="I140">IF($A140="", "", LET(bbgm_stat, INDEX(Players!$A139:$P139, MATCH(I$2, Players!$A$1:$P$1, 0)), perc_75, VLOOKUP(I$2, Percentiles!$A$45:$I$59, 6, FALSE), perc_90, VLOOKUP(I$2, Percentiles!$A$45:$I$59, 7, FALSE), perc_95, VLOOKUP(I$2, Percentiles!$A$45:$I$59, 8, FALSE), perc_85, perc_75 + (perc_90 - perc_75) * (2/3), converted_stat, '2K_Ratings'!I140, IF(bbgm_stat &gt;= perc_95, converted_stat * 3, IF(bbgm_stat &gt;= perc_90, converted_stat * 2, IF(bbgm_stat &gt;= perc_85, converted_stat * 1.5, converted_stat)))))</f>
        <v/>
      </c>
      <c r="J140" s="30" t="str">
        <f t="array" ref="J140">IF($A140="", "", LET(bbgm_stat, INDEX(Players!$A139:$P139, MATCH(J$2, Players!$A$1:$P$1, 0)), perc_75, VLOOKUP(J$2, Percentiles!$A$45:$I$59, 6, FALSE), perc_90, VLOOKUP(J$2, Percentiles!$A$45:$I$59, 7, FALSE), perc_95, VLOOKUP(J$2, Percentiles!$A$45:$I$59, 8, FALSE), perc_85, perc_75 + (perc_90 - perc_75) * (2/3), converted_stat, '2K_Ratings'!J140, IF(bbgm_stat &gt;= perc_95, converted_stat * 3, IF(bbgm_stat &gt;= perc_90, converted_stat * 2, IF(bbgm_stat &gt;= perc_85, converted_stat * 1.5, converted_stat)))))</f>
        <v/>
      </c>
      <c r="K140" s="30" t="str">
        <f t="array" ref="K140">IF($A140="", "", LET(bbgm_stat, INDEX(Players!$A139:$P139, MATCH(K$2, Players!$A$1:$P$1, 0)), perc_75, VLOOKUP(K$2, Percentiles!$A$45:$I$59, 6, FALSE), perc_90, VLOOKUP(K$2, Percentiles!$A$45:$I$59, 7, FALSE), perc_95, VLOOKUP(K$2, Percentiles!$A$45:$I$59, 8, FALSE), perc_85, perc_75 + (perc_90 - perc_75) * (2/3), converted_stat, '2K_Ratings'!K140, IF(bbgm_stat &gt;= perc_95, converted_stat * 3, IF(bbgm_stat &gt;= perc_90, converted_stat * 2, IF(bbgm_stat &gt;= perc_85, converted_stat * 1.5, converted_stat)))))</f>
        <v/>
      </c>
      <c r="L140" s="30" t="str">
        <f t="array" ref="L140">IF($A140="", "", LET(bbgm_stat, INDEX(Players!$A139:$P139, MATCH(L$2, Players!$A$1:$P$1, 0)), perc_75, VLOOKUP(L$2, Percentiles!$A$45:$I$59, 6, FALSE), perc_90, VLOOKUP(L$2, Percentiles!$A$45:$I$59, 7, FALSE), perc_95, VLOOKUP(L$2, Percentiles!$A$45:$I$59, 8, FALSE), perc_85, perc_75 + (perc_90 - perc_75) * (2/3), converted_stat, '2K_Ratings'!L140, IF(bbgm_stat &gt;= perc_95, converted_stat * 3, IF(bbgm_stat &gt;= perc_90, converted_stat * 2, IF(bbgm_stat &gt;= perc_85, converted_stat * 1.5, converted_stat)))))</f>
        <v/>
      </c>
      <c r="M140" s="30" t="str">
        <f t="array" ref="M140">IF($A140="", "", LET(bbgm_stat, INDEX(Players!$A139:$P139, MATCH(M$2, Players!$A$1:$P$1, 0)), perc_75, VLOOKUP(M$2, Percentiles!$A$45:$I$59, 6, FALSE), perc_90, VLOOKUP(M$2, Percentiles!$A$45:$I$59, 7, FALSE), perc_95, VLOOKUP(M$2, Percentiles!$A$45:$I$59, 8, FALSE), perc_85, perc_75 + (perc_90 - perc_75) * (2/3), converted_stat, '2K_Ratings'!M140, IF(bbgm_stat &gt;= perc_95, converted_stat * 3, IF(bbgm_stat &gt;= perc_90, converted_stat * 2, IF(bbgm_stat &gt;= perc_85, converted_stat * 1.5, converted_stat)))))</f>
        <v/>
      </c>
      <c r="N140" s="30" t="str">
        <f t="array" ref="N140">IF($A140="", "", LET(bbgm_stat, INDEX(Players!$A139:$P139, MATCH(N$2, Players!$A$1:$P$1, 0)), perc_75, VLOOKUP(N$2, Percentiles!$A$45:$I$59, 6, FALSE), perc_90, VLOOKUP(N$2, Percentiles!$A$45:$I$59, 7, FALSE), perc_95, VLOOKUP(N$2, Percentiles!$A$45:$I$59, 8, FALSE), perc_85, perc_75 + (perc_90 - perc_75) * (2/3), converted_stat, '2K_Ratings'!N140, IF(bbgm_stat &gt;= perc_95, converted_stat * 3, IF(bbgm_stat &gt;= perc_90, converted_stat * 2, IF(bbgm_stat &gt;= perc_85, converted_stat * 1.5, converted_stat)))))</f>
        <v/>
      </c>
      <c r="O140" s="30" t="str">
        <f t="array" ref="O140">IF($A140="", "", LET(bbgm_stat, INDEX(Players!$A139:$P139, MATCH(O$2, Players!$A$1:$P$1, 0)), perc_75, VLOOKUP(O$2, Percentiles!$A$45:$I$59, 6, FALSE), perc_90, VLOOKUP(O$2, Percentiles!$A$45:$I$59, 7, FALSE), perc_95, VLOOKUP(O$2, Percentiles!$A$45:$I$59, 8, FALSE), perc_85, perc_75 + (perc_90 - perc_75) * (2/3), converted_stat, '2K_Ratings'!O140, IF(bbgm_stat &gt;= perc_95, converted_stat * 3, IF(bbgm_stat &gt;= perc_90, converted_stat * 2, IF(bbgm_stat &gt;= perc_85, converted_stat * 1.5, converted_stat)))))</f>
        <v/>
      </c>
      <c r="P140" s="30" t="str">
        <f t="array" ref="P140">IF($A140="", "", LET(bbgm_stat, INDEX(Players!$A139:$P139, MATCH(P$2, Players!$A$1:$P$1, 0)), perc_75, VLOOKUP(P$2, Percentiles!$A$45:$I$59, 6, FALSE), perc_90, VLOOKUP(P$2, Percentiles!$A$45:$I$59, 7, FALSE), perc_95, VLOOKUP(P$2, Percentiles!$A$45:$I$59, 8, FALSE), perc_85, perc_75 + (perc_90 - perc_75) * (2/3), converted_stat, '2K_Ratings'!P140, IF(bbgm_stat &gt;= perc_95, converted_stat * 3, IF(bbgm_stat &gt;= perc_90, converted_stat * 2, IF(bbgm_stat &gt;= perc_85, converted_stat * 1.5, converted_stat)))))</f>
        <v/>
      </c>
      <c r="Q140" s="30" t="str">
        <f t="array" ref="Q140">IF($A140="", "", LET(bbgm_stat, INDEX(Players!$A139:$P139, MATCH(Q$2, Players!$A$1:$P$1, 0)), perc_75, VLOOKUP(Q$2, Percentiles!$A$45:$I$59, 6, FALSE), perc_90, VLOOKUP(Q$2, Percentiles!$A$45:$I$59, 7, FALSE), perc_95, VLOOKUP(Q$2, Percentiles!$A$45:$I$59, 8, FALSE), perc_85, perc_75 + (perc_90 - perc_75) * (2/3), converted_stat, '2K_Ratings'!Q140, IF(bbgm_stat &gt;= perc_95, converted_stat * 3, IF(bbgm_stat &gt;= perc_90, converted_stat * 2, IF(bbgm_stat &gt;= perc_85, converted_stat * 1.5, converted_stat)))))</f>
        <v/>
      </c>
      <c r="R140" s="30" t="str">
        <f t="array" ref="R140">IF($A140="", "", LET(bbgm_stat, INDEX(Players!$A139:$P139, MATCH(R$2, Players!$A$1:$P$1, 0)), perc_75, VLOOKUP(R$2, Percentiles!$A$45:$I$59, 6, FALSE), perc_90, VLOOKUP(R$2, Percentiles!$A$45:$I$59, 7, FALSE), perc_95, VLOOKUP(R$2, Percentiles!$A$45:$I$59, 8, FALSE), perc_85, perc_75 + (perc_90 - perc_75) * (2/3), converted_stat, '2K_Ratings'!R140, IF(bbgm_stat &gt;= perc_95, converted_stat * 3, IF(bbgm_stat &gt;= perc_90, converted_stat * 2, IF(bbgm_stat &gt;= perc_85, converted_stat * 1.5, converted_stat)))))</f>
        <v/>
      </c>
      <c r="S140" s="30" t="str">
        <f t="array" ref="S140">IF($A140="", "", LET(bbgm_stat, INDEX(Players!$A139:$P139, MATCH(S$2, Players!$A$1:$P$1, 0)), perc_75, VLOOKUP(S$2, Percentiles!$A$45:$I$59, 6, FALSE), perc_90, VLOOKUP(S$2, Percentiles!$A$45:$I$59, 7, FALSE), perc_95, VLOOKUP(S$2, Percentiles!$A$45:$I$59, 8, FALSE), perc_85, perc_75 + (perc_90 - perc_75) * (2/3), converted_stat, '2K_Ratings'!S140, IF(bbgm_stat &gt;= perc_95, converted_stat * 3, IF(bbgm_stat &gt;= perc_90, converted_stat * 2, IF(bbgm_stat &gt;= perc_85, converted_stat * 1.5, converted_stat)))))</f>
        <v/>
      </c>
      <c r="T140" s="30" t="str">
        <f t="array" ref="T140">IF($A140="", "", LET(bbgm_stat, INDEX(Players!$A139:$P139, MATCH(T$2, Players!$A$1:$P$1, 0)), perc_75, VLOOKUP(T$2, Percentiles!$A$45:$I$59, 6, FALSE), perc_90, VLOOKUP(T$2, Percentiles!$A$45:$I$59, 7, FALSE), perc_95, VLOOKUP(T$2, Percentiles!$A$45:$I$59, 8, FALSE), perc_85, perc_75 + (perc_90 - perc_75) * (2/3), converted_stat, '2K_Ratings'!T140, IF(bbgm_stat &gt;= perc_95, converted_stat * 3, IF(bbgm_stat &gt;= perc_90, converted_stat * 2, IF(bbgm_stat &gt;= perc_85, converted_stat * 1.5, converted_stat)))))</f>
        <v/>
      </c>
      <c r="U140" s="30" t="str">
        <f t="array" ref="U140">IF($A140="", "", LET(bbgm_stat, INDEX(Players!$A139:$P139, MATCH(U$2, Players!$A$1:$P$1, 0)), perc_75, VLOOKUP(U$2, Percentiles!$A$45:$I$59, 6, FALSE), perc_90, VLOOKUP(U$2, Percentiles!$A$45:$I$59, 7, FALSE), perc_95, VLOOKUP(U$2, Percentiles!$A$45:$I$59, 8, FALSE), perc_85, perc_75 + (perc_90 - perc_75) * (2/3), converted_stat, '2K_Ratings'!U140, IF(bbgm_stat &gt;= perc_95, converted_stat * 3, IF(bbgm_stat &gt;= perc_90, converted_stat * 2, IF(bbgm_stat &gt;= perc_85, converted_stat * 1.5, converted_stat)))))</f>
        <v/>
      </c>
      <c r="V140" s="30" t="str">
        <f t="array" ref="V140">IF($A140="", "", LET(bbgm_stat, INDEX(Players!$A139:$P139, MATCH(V$2, Players!$A$1:$P$1, 0)), perc_75, VLOOKUP(V$2, Percentiles!$A$45:$I$59, 6, FALSE), perc_90, VLOOKUP(V$2, Percentiles!$A$45:$I$59, 7, FALSE), perc_95, VLOOKUP(V$2, Percentiles!$A$45:$I$59, 8, FALSE), perc_85, perc_75 + (perc_90 - perc_75) * (2/3), converted_stat, '2K_Ratings'!V140, IF(bbgm_stat &gt;= perc_95, converted_stat * 3, IF(bbgm_stat &gt;= perc_90, converted_stat * 2, IF(bbgm_stat &gt;= perc_85, converted_stat * 1.5, converted_stat)))))</f>
        <v/>
      </c>
      <c r="W140" s="30" t="str">
        <f t="array" ref="W140">IF($A140="", "", LET(bbgm_stat, INDEX(Players!$A139:$P139, MATCH(W$2, Players!$A$1:$P$1, 0)), perc_75, VLOOKUP(W$2, Percentiles!$A$45:$I$59, 6, FALSE), perc_90, VLOOKUP(W$2, Percentiles!$A$45:$I$59, 7, FALSE), perc_95, VLOOKUP(W$2, Percentiles!$A$45:$I$59, 8, FALSE), perc_85, perc_75 + (perc_90 - perc_75) * (2/3), converted_stat, '2K_Ratings'!W140, IF(bbgm_stat &gt;= perc_95, converted_stat * 3, IF(bbgm_stat &gt;= perc_90, converted_stat * 2, IF(bbgm_stat &gt;= perc_85, converted_stat * 1.5, converted_stat)))))</f>
        <v/>
      </c>
    </row>
    <row r="141">
      <c r="A141" s="30"/>
      <c r="B141" s="30" t="str">
        <f t="array" ref="B141">IF($A141="", "", LET(bbgm_stat, INDEX(Players!$A140:$P140, MATCH(B$2, Players!$A$1:$P$1, 0)), perc_75, VLOOKUP(B$2, Percentiles!$A$45:$I$59, 6, FALSE), perc_90, VLOOKUP(B$2, Percentiles!$A$45:$I$59, 7, FALSE), perc_95, VLOOKUP(B$2, Percentiles!$A$45:$I$59, 8, FALSE), perc_85, perc_75 + (perc_90 - perc_75) * (2/3), converted_stat, '2K_Ratings'!B141, IF(bbgm_stat &gt;= perc_95, converted_stat * 3, IF(bbgm_stat &gt;= perc_90, converted_stat * 2, IF(bbgm_stat &gt;= perc_85, converted_stat * 1.5, converted_stat)))))</f>
        <v/>
      </c>
      <c r="C141" s="30" t="str">
        <f t="array" ref="C141">IF($A141="", "", LET(bbgm_stat, INDEX(Players!$A140:$P140, MATCH(C$2, Players!$A$1:$P$1, 0)), perc_75, VLOOKUP(C$2, Percentiles!$A$45:$I$59, 6, FALSE), perc_90, VLOOKUP(C$2, Percentiles!$A$45:$I$59, 7, FALSE), perc_95, VLOOKUP(C$2, Percentiles!$A$45:$I$59, 8, FALSE), perc_85, perc_75 + (perc_90 - perc_75) * (2/3), converted_stat, '2K_Ratings'!C141, IF(bbgm_stat &gt;= perc_95, converted_stat * 3, IF(bbgm_stat &gt;= perc_90, converted_stat * 2, IF(bbgm_stat &gt;= perc_85, converted_stat * 1.5, converted_stat)))))</f>
        <v/>
      </c>
      <c r="D141" s="30" t="str">
        <f t="array" ref="D141">IF($A141="", "", LET(bbgm_stat, INDEX(Players!$A140:$P140, MATCH(D$2, Players!$A$1:$P$1, 0)), perc_75, VLOOKUP(D$2, Percentiles!$A$45:$I$59, 6, FALSE), perc_90, VLOOKUP(D$2, Percentiles!$A$45:$I$59, 7, FALSE), perc_95, VLOOKUP(D$2, Percentiles!$A$45:$I$59, 8, FALSE), perc_85, perc_75 + (perc_90 - perc_75) * (2/3), converted_stat, '2K_Ratings'!D141, IF(bbgm_stat &gt;= perc_95, converted_stat * 3, IF(bbgm_stat &gt;= perc_90, converted_stat * 2, IF(bbgm_stat &gt;= perc_85, converted_stat * 1.5, converted_stat)))))</f>
        <v/>
      </c>
      <c r="E141" s="30" t="str">
        <f t="array" ref="E141">IF($A141="", "", LET(bbgm_stat, INDEX(Players!$A140:$P140, MATCH(E$2, Players!$A$1:$P$1, 0)), perc_75, VLOOKUP(E$2, Percentiles!$A$45:$I$59, 6, FALSE), perc_90, VLOOKUP(E$2, Percentiles!$A$45:$I$59, 7, FALSE), perc_95, VLOOKUP(E$2, Percentiles!$A$45:$I$59, 8, FALSE), perc_85, perc_75 + (perc_90 - perc_75) * (2/3), converted_stat, '2K_Ratings'!E141, IF(bbgm_stat &gt;= perc_95, converted_stat * 3, IF(bbgm_stat &gt;= perc_90, converted_stat * 2, IF(bbgm_stat &gt;= perc_85, converted_stat * 1.5, converted_stat)))))</f>
        <v/>
      </c>
      <c r="F141" s="30" t="str">
        <f t="array" ref="F141">IF($A141="", "", LET(bbgm_stat, INDEX(Players!$A140:$P140, MATCH(F$2, Players!$A$1:$P$1, 0)), perc_75, VLOOKUP(F$2, Percentiles!$A$45:$I$59, 6, FALSE), perc_90, VLOOKUP(F$2, Percentiles!$A$45:$I$59, 7, FALSE), perc_95, VLOOKUP(F$2, Percentiles!$A$45:$I$59, 8, FALSE), perc_85, perc_75 + (perc_90 - perc_75) * (2/3), converted_stat, '2K_Ratings'!F141, IF(bbgm_stat &gt;= perc_95, converted_stat * 3, IF(bbgm_stat &gt;= perc_90, converted_stat * 2, IF(bbgm_stat &gt;= perc_85, converted_stat * 1.5, converted_stat)))))</f>
        <v/>
      </c>
      <c r="G141" s="30" t="str">
        <f t="array" ref="G141">IF($A141="", "", LET(bbgm_stat, INDEX(Players!$A140:$P140, MATCH(G$2, Players!$A$1:$P$1, 0)), perc_75, VLOOKUP(G$2, Percentiles!$A$45:$I$59, 6, FALSE), perc_90, VLOOKUP(G$2, Percentiles!$A$45:$I$59, 7, FALSE), perc_95, VLOOKUP(G$2, Percentiles!$A$45:$I$59, 8, FALSE), perc_85, perc_75 + (perc_90 - perc_75) * (2/3), converted_stat, '2K_Ratings'!G141, IF(bbgm_stat &gt;= perc_95, converted_stat * 3, IF(bbgm_stat &gt;= perc_90, converted_stat * 2, IF(bbgm_stat &gt;= perc_85, converted_stat * 1.5, converted_stat)))))</f>
        <v/>
      </c>
      <c r="H141" s="30" t="str">
        <f t="array" ref="H141">IF($A141="", "", LET(bbgm_stat, INDEX(Players!$A140:$P140, MATCH(H$2, Players!$A$1:$P$1, 0)), perc_75, VLOOKUP(H$2, Percentiles!$A$45:$I$59, 6, FALSE), perc_90, VLOOKUP(H$2, Percentiles!$A$45:$I$59, 7, FALSE), perc_95, VLOOKUP(H$2, Percentiles!$A$45:$I$59, 8, FALSE), perc_85, perc_75 + (perc_90 - perc_75) * (2/3), converted_stat, '2K_Ratings'!H141, IF(bbgm_stat &gt;= perc_95, converted_stat * 3, IF(bbgm_stat &gt;= perc_90, converted_stat * 2, IF(bbgm_stat &gt;= perc_85, converted_stat * 1.5, converted_stat)))))</f>
        <v/>
      </c>
      <c r="I141" s="30" t="str">
        <f t="array" ref="I141">IF($A141="", "", LET(bbgm_stat, INDEX(Players!$A140:$P140, MATCH(I$2, Players!$A$1:$P$1, 0)), perc_75, VLOOKUP(I$2, Percentiles!$A$45:$I$59, 6, FALSE), perc_90, VLOOKUP(I$2, Percentiles!$A$45:$I$59, 7, FALSE), perc_95, VLOOKUP(I$2, Percentiles!$A$45:$I$59, 8, FALSE), perc_85, perc_75 + (perc_90 - perc_75) * (2/3), converted_stat, '2K_Ratings'!I141, IF(bbgm_stat &gt;= perc_95, converted_stat * 3, IF(bbgm_stat &gt;= perc_90, converted_stat * 2, IF(bbgm_stat &gt;= perc_85, converted_stat * 1.5, converted_stat)))))</f>
        <v/>
      </c>
      <c r="J141" s="30" t="str">
        <f t="array" ref="J141">IF($A141="", "", LET(bbgm_stat, INDEX(Players!$A140:$P140, MATCH(J$2, Players!$A$1:$P$1, 0)), perc_75, VLOOKUP(J$2, Percentiles!$A$45:$I$59, 6, FALSE), perc_90, VLOOKUP(J$2, Percentiles!$A$45:$I$59, 7, FALSE), perc_95, VLOOKUP(J$2, Percentiles!$A$45:$I$59, 8, FALSE), perc_85, perc_75 + (perc_90 - perc_75) * (2/3), converted_stat, '2K_Ratings'!J141, IF(bbgm_stat &gt;= perc_95, converted_stat * 3, IF(bbgm_stat &gt;= perc_90, converted_stat * 2, IF(bbgm_stat &gt;= perc_85, converted_stat * 1.5, converted_stat)))))</f>
        <v/>
      </c>
      <c r="K141" s="30" t="str">
        <f t="array" ref="K141">IF($A141="", "", LET(bbgm_stat, INDEX(Players!$A140:$P140, MATCH(K$2, Players!$A$1:$P$1, 0)), perc_75, VLOOKUP(K$2, Percentiles!$A$45:$I$59, 6, FALSE), perc_90, VLOOKUP(K$2, Percentiles!$A$45:$I$59, 7, FALSE), perc_95, VLOOKUP(K$2, Percentiles!$A$45:$I$59, 8, FALSE), perc_85, perc_75 + (perc_90 - perc_75) * (2/3), converted_stat, '2K_Ratings'!K141, IF(bbgm_stat &gt;= perc_95, converted_stat * 3, IF(bbgm_stat &gt;= perc_90, converted_stat * 2, IF(bbgm_stat &gt;= perc_85, converted_stat * 1.5, converted_stat)))))</f>
        <v/>
      </c>
      <c r="L141" s="30" t="str">
        <f t="array" ref="L141">IF($A141="", "", LET(bbgm_stat, INDEX(Players!$A140:$P140, MATCH(L$2, Players!$A$1:$P$1, 0)), perc_75, VLOOKUP(L$2, Percentiles!$A$45:$I$59, 6, FALSE), perc_90, VLOOKUP(L$2, Percentiles!$A$45:$I$59, 7, FALSE), perc_95, VLOOKUP(L$2, Percentiles!$A$45:$I$59, 8, FALSE), perc_85, perc_75 + (perc_90 - perc_75) * (2/3), converted_stat, '2K_Ratings'!L141, IF(bbgm_stat &gt;= perc_95, converted_stat * 3, IF(bbgm_stat &gt;= perc_90, converted_stat * 2, IF(bbgm_stat &gt;= perc_85, converted_stat * 1.5, converted_stat)))))</f>
        <v/>
      </c>
      <c r="M141" s="30" t="str">
        <f t="array" ref="M141">IF($A141="", "", LET(bbgm_stat, INDEX(Players!$A140:$P140, MATCH(M$2, Players!$A$1:$P$1, 0)), perc_75, VLOOKUP(M$2, Percentiles!$A$45:$I$59, 6, FALSE), perc_90, VLOOKUP(M$2, Percentiles!$A$45:$I$59, 7, FALSE), perc_95, VLOOKUP(M$2, Percentiles!$A$45:$I$59, 8, FALSE), perc_85, perc_75 + (perc_90 - perc_75) * (2/3), converted_stat, '2K_Ratings'!M141, IF(bbgm_stat &gt;= perc_95, converted_stat * 3, IF(bbgm_stat &gt;= perc_90, converted_stat * 2, IF(bbgm_stat &gt;= perc_85, converted_stat * 1.5, converted_stat)))))</f>
        <v/>
      </c>
      <c r="N141" s="30" t="str">
        <f t="array" ref="N141">IF($A141="", "", LET(bbgm_stat, INDEX(Players!$A140:$P140, MATCH(N$2, Players!$A$1:$P$1, 0)), perc_75, VLOOKUP(N$2, Percentiles!$A$45:$I$59, 6, FALSE), perc_90, VLOOKUP(N$2, Percentiles!$A$45:$I$59, 7, FALSE), perc_95, VLOOKUP(N$2, Percentiles!$A$45:$I$59, 8, FALSE), perc_85, perc_75 + (perc_90 - perc_75) * (2/3), converted_stat, '2K_Ratings'!N141, IF(bbgm_stat &gt;= perc_95, converted_stat * 3, IF(bbgm_stat &gt;= perc_90, converted_stat * 2, IF(bbgm_stat &gt;= perc_85, converted_stat * 1.5, converted_stat)))))</f>
        <v/>
      </c>
      <c r="O141" s="30" t="str">
        <f t="array" ref="O141">IF($A141="", "", LET(bbgm_stat, INDEX(Players!$A140:$P140, MATCH(O$2, Players!$A$1:$P$1, 0)), perc_75, VLOOKUP(O$2, Percentiles!$A$45:$I$59, 6, FALSE), perc_90, VLOOKUP(O$2, Percentiles!$A$45:$I$59, 7, FALSE), perc_95, VLOOKUP(O$2, Percentiles!$A$45:$I$59, 8, FALSE), perc_85, perc_75 + (perc_90 - perc_75) * (2/3), converted_stat, '2K_Ratings'!O141, IF(bbgm_stat &gt;= perc_95, converted_stat * 3, IF(bbgm_stat &gt;= perc_90, converted_stat * 2, IF(bbgm_stat &gt;= perc_85, converted_stat * 1.5, converted_stat)))))</f>
        <v/>
      </c>
      <c r="P141" s="30" t="str">
        <f t="array" ref="P141">IF($A141="", "", LET(bbgm_stat, INDEX(Players!$A140:$P140, MATCH(P$2, Players!$A$1:$P$1, 0)), perc_75, VLOOKUP(P$2, Percentiles!$A$45:$I$59, 6, FALSE), perc_90, VLOOKUP(P$2, Percentiles!$A$45:$I$59, 7, FALSE), perc_95, VLOOKUP(P$2, Percentiles!$A$45:$I$59, 8, FALSE), perc_85, perc_75 + (perc_90 - perc_75) * (2/3), converted_stat, '2K_Ratings'!P141, IF(bbgm_stat &gt;= perc_95, converted_stat * 3, IF(bbgm_stat &gt;= perc_90, converted_stat * 2, IF(bbgm_stat &gt;= perc_85, converted_stat * 1.5, converted_stat)))))</f>
        <v/>
      </c>
      <c r="Q141" s="30" t="str">
        <f t="array" ref="Q141">IF($A141="", "", LET(bbgm_stat, INDEX(Players!$A140:$P140, MATCH(Q$2, Players!$A$1:$P$1, 0)), perc_75, VLOOKUP(Q$2, Percentiles!$A$45:$I$59, 6, FALSE), perc_90, VLOOKUP(Q$2, Percentiles!$A$45:$I$59, 7, FALSE), perc_95, VLOOKUP(Q$2, Percentiles!$A$45:$I$59, 8, FALSE), perc_85, perc_75 + (perc_90 - perc_75) * (2/3), converted_stat, '2K_Ratings'!Q141, IF(bbgm_stat &gt;= perc_95, converted_stat * 3, IF(bbgm_stat &gt;= perc_90, converted_stat * 2, IF(bbgm_stat &gt;= perc_85, converted_stat * 1.5, converted_stat)))))</f>
        <v/>
      </c>
      <c r="R141" s="30" t="str">
        <f t="array" ref="R141">IF($A141="", "", LET(bbgm_stat, INDEX(Players!$A140:$P140, MATCH(R$2, Players!$A$1:$P$1, 0)), perc_75, VLOOKUP(R$2, Percentiles!$A$45:$I$59, 6, FALSE), perc_90, VLOOKUP(R$2, Percentiles!$A$45:$I$59, 7, FALSE), perc_95, VLOOKUP(R$2, Percentiles!$A$45:$I$59, 8, FALSE), perc_85, perc_75 + (perc_90 - perc_75) * (2/3), converted_stat, '2K_Ratings'!R141, IF(bbgm_stat &gt;= perc_95, converted_stat * 3, IF(bbgm_stat &gt;= perc_90, converted_stat * 2, IF(bbgm_stat &gt;= perc_85, converted_stat * 1.5, converted_stat)))))</f>
        <v/>
      </c>
      <c r="S141" s="30" t="str">
        <f t="array" ref="S141">IF($A141="", "", LET(bbgm_stat, INDEX(Players!$A140:$P140, MATCH(S$2, Players!$A$1:$P$1, 0)), perc_75, VLOOKUP(S$2, Percentiles!$A$45:$I$59, 6, FALSE), perc_90, VLOOKUP(S$2, Percentiles!$A$45:$I$59, 7, FALSE), perc_95, VLOOKUP(S$2, Percentiles!$A$45:$I$59, 8, FALSE), perc_85, perc_75 + (perc_90 - perc_75) * (2/3), converted_stat, '2K_Ratings'!S141, IF(bbgm_stat &gt;= perc_95, converted_stat * 3, IF(bbgm_stat &gt;= perc_90, converted_stat * 2, IF(bbgm_stat &gt;= perc_85, converted_stat * 1.5, converted_stat)))))</f>
        <v/>
      </c>
      <c r="T141" s="30" t="str">
        <f t="array" ref="T141">IF($A141="", "", LET(bbgm_stat, INDEX(Players!$A140:$P140, MATCH(T$2, Players!$A$1:$P$1, 0)), perc_75, VLOOKUP(T$2, Percentiles!$A$45:$I$59, 6, FALSE), perc_90, VLOOKUP(T$2, Percentiles!$A$45:$I$59, 7, FALSE), perc_95, VLOOKUP(T$2, Percentiles!$A$45:$I$59, 8, FALSE), perc_85, perc_75 + (perc_90 - perc_75) * (2/3), converted_stat, '2K_Ratings'!T141, IF(bbgm_stat &gt;= perc_95, converted_stat * 3, IF(bbgm_stat &gt;= perc_90, converted_stat * 2, IF(bbgm_stat &gt;= perc_85, converted_stat * 1.5, converted_stat)))))</f>
        <v/>
      </c>
      <c r="U141" s="30" t="str">
        <f t="array" ref="U141">IF($A141="", "", LET(bbgm_stat, INDEX(Players!$A140:$P140, MATCH(U$2, Players!$A$1:$P$1, 0)), perc_75, VLOOKUP(U$2, Percentiles!$A$45:$I$59, 6, FALSE), perc_90, VLOOKUP(U$2, Percentiles!$A$45:$I$59, 7, FALSE), perc_95, VLOOKUP(U$2, Percentiles!$A$45:$I$59, 8, FALSE), perc_85, perc_75 + (perc_90 - perc_75) * (2/3), converted_stat, '2K_Ratings'!U141, IF(bbgm_stat &gt;= perc_95, converted_stat * 3, IF(bbgm_stat &gt;= perc_90, converted_stat * 2, IF(bbgm_stat &gt;= perc_85, converted_stat * 1.5, converted_stat)))))</f>
        <v/>
      </c>
      <c r="V141" s="30" t="str">
        <f t="array" ref="V141">IF($A141="", "", LET(bbgm_stat, INDEX(Players!$A140:$P140, MATCH(V$2, Players!$A$1:$P$1, 0)), perc_75, VLOOKUP(V$2, Percentiles!$A$45:$I$59, 6, FALSE), perc_90, VLOOKUP(V$2, Percentiles!$A$45:$I$59, 7, FALSE), perc_95, VLOOKUP(V$2, Percentiles!$A$45:$I$59, 8, FALSE), perc_85, perc_75 + (perc_90 - perc_75) * (2/3), converted_stat, '2K_Ratings'!V141, IF(bbgm_stat &gt;= perc_95, converted_stat * 3, IF(bbgm_stat &gt;= perc_90, converted_stat * 2, IF(bbgm_stat &gt;= perc_85, converted_stat * 1.5, converted_stat)))))</f>
        <v/>
      </c>
      <c r="W141" s="30" t="str">
        <f t="array" ref="W141">IF($A141="", "", LET(bbgm_stat, INDEX(Players!$A140:$P140, MATCH(W$2, Players!$A$1:$P$1, 0)), perc_75, VLOOKUP(W$2, Percentiles!$A$45:$I$59, 6, FALSE), perc_90, VLOOKUP(W$2, Percentiles!$A$45:$I$59, 7, FALSE), perc_95, VLOOKUP(W$2, Percentiles!$A$45:$I$59, 8, FALSE), perc_85, perc_75 + (perc_90 - perc_75) * (2/3), converted_stat, '2K_Ratings'!W141, IF(bbgm_stat &gt;= perc_95, converted_stat * 3, IF(bbgm_stat &gt;= perc_90, converted_stat * 2, IF(bbgm_stat &gt;= perc_85, converted_stat * 1.5, converted_stat)))))</f>
        <v/>
      </c>
    </row>
    <row r="142">
      <c r="A142" s="30"/>
      <c r="B142" s="30" t="str">
        <f t="array" ref="B142">IF($A142="", "", LET(bbgm_stat, INDEX(Players!$A141:$P141, MATCH(B$2, Players!$A$1:$P$1, 0)), perc_75, VLOOKUP(B$2, Percentiles!$A$45:$I$59, 6, FALSE), perc_90, VLOOKUP(B$2, Percentiles!$A$45:$I$59, 7, FALSE), perc_95, VLOOKUP(B$2, Percentiles!$A$45:$I$59, 8, FALSE), perc_85, perc_75 + (perc_90 - perc_75) * (2/3), converted_stat, '2K_Ratings'!B142, IF(bbgm_stat &gt;= perc_95, converted_stat * 3, IF(bbgm_stat &gt;= perc_90, converted_stat * 2, IF(bbgm_stat &gt;= perc_85, converted_stat * 1.5, converted_stat)))))</f>
        <v/>
      </c>
      <c r="C142" s="30" t="str">
        <f t="array" ref="C142">IF($A142="", "", LET(bbgm_stat, INDEX(Players!$A141:$P141, MATCH(C$2, Players!$A$1:$P$1, 0)), perc_75, VLOOKUP(C$2, Percentiles!$A$45:$I$59, 6, FALSE), perc_90, VLOOKUP(C$2, Percentiles!$A$45:$I$59, 7, FALSE), perc_95, VLOOKUP(C$2, Percentiles!$A$45:$I$59, 8, FALSE), perc_85, perc_75 + (perc_90 - perc_75) * (2/3), converted_stat, '2K_Ratings'!C142, IF(bbgm_stat &gt;= perc_95, converted_stat * 3, IF(bbgm_stat &gt;= perc_90, converted_stat * 2, IF(bbgm_stat &gt;= perc_85, converted_stat * 1.5, converted_stat)))))</f>
        <v/>
      </c>
      <c r="D142" s="30" t="str">
        <f t="array" ref="D142">IF($A142="", "", LET(bbgm_stat, INDEX(Players!$A141:$P141, MATCH(D$2, Players!$A$1:$P$1, 0)), perc_75, VLOOKUP(D$2, Percentiles!$A$45:$I$59, 6, FALSE), perc_90, VLOOKUP(D$2, Percentiles!$A$45:$I$59, 7, FALSE), perc_95, VLOOKUP(D$2, Percentiles!$A$45:$I$59, 8, FALSE), perc_85, perc_75 + (perc_90 - perc_75) * (2/3), converted_stat, '2K_Ratings'!D142, IF(bbgm_stat &gt;= perc_95, converted_stat * 3, IF(bbgm_stat &gt;= perc_90, converted_stat * 2, IF(bbgm_stat &gt;= perc_85, converted_stat * 1.5, converted_stat)))))</f>
        <v/>
      </c>
      <c r="E142" s="30" t="str">
        <f t="array" ref="E142">IF($A142="", "", LET(bbgm_stat, INDEX(Players!$A141:$P141, MATCH(E$2, Players!$A$1:$P$1, 0)), perc_75, VLOOKUP(E$2, Percentiles!$A$45:$I$59, 6, FALSE), perc_90, VLOOKUP(E$2, Percentiles!$A$45:$I$59, 7, FALSE), perc_95, VLOOKUP(E$2, Percentiles!$A$45:$I$59, 8, FALSE), perc_85, perc_75 + (perc_90 - perc_75) * (2/3), converted_stat, '2K_Ratings'!E142, IF(bbgm_stat &gt;= perc_95, converted_stat * 3, IF(bbgm_stat &gt;= perc_90, converted_stat * 2, IF(bbgm_stat &gt;= perc_85, converted_stat * 1.5, converted_stat)))))</f>
        <v/>
      </c>
      <c r="F142" s="30" t="str">
        <f t="array" ref="F142">IF($A142="", "", LET(bbgm_stat, INDEX(Players!$A141:$P141, MATCH(F$2, Players!$A$1:$P$1, 0)), perc_75, VLOOKUP(F$2, Percentiles!$A$45:$I$59, 6, FALSE), perc_90, VLOOKUP(F$2, Percentiles!$A$45:$I$59, 7, FALSE), perc_95, VLOOKUP(F$2, Percentiles!$A$45:$I$59, 8, FALSE), perc_85, perc_75 + (perc_90 - perc_75) * (2/3), converted_stat, '2K_Ratings'!F142, IF(bbgm_stat &gt;= perc_95, converted_stat * 3, IF(bbgm_stat &gt;= perc_90, converted_stat * 2, IF(bbgm_stat &gt;= perc_85, converted_stat * 1.5, converted_stat)))))</f>
        <v/>
      </c>
      <c r="G142" s="30" t="str">
        <f t="array" ref="G142">IF($A142="", "", LET(bbgm_stat, INDEX(Players!$A141:$P141, MATCH(G$2, Players!$A$1:$P$1, 0)), perc_75, VLOOKUP(G$2, Percentiles!$A$45:$I$59, 6, FALSE), perc_90, VLOOKUP(G$2, Percentiles!$A$45:$I$59, 7, FALSE), perc_95, VLOOKUP(G$2, Percentiles!$A$45:$I$59, 8, FALSE), perc_85, perc_75 + (perc_90 - perc_75) * (2/3), converted_stat, '2K_Ratings'!G142, IF(bbgm_stat &gt;= perc_95, converted_stat * 3, IF(bbgm_stat &gt;= perc_90, converted_stat * 2, IF(bbgm_stat &gt;= perc_85, converted_stat * 1.5, converted_stat)))))</f>
        <v/>
      </c>
      <c r="H142" s="30" t="str">
        <f t="array" ref="H142">IF($A142="", "", LET(bbgm_stat, INDEX(Players!$A141:$P141, MATCH(H$2, Players!$A$1:$P$1, 0)), perc_75, VLOOKUP(H$2, Percentiles!$A$45:$I$59, 6, FALSE), perc_90, VLOOKUP(H$2, Percentiles!$A$45:$I$59, 7, FALSE), perc_95, VLOOKUP(H$2, Percentiles!$A$45:$I$59, 8, FALSE), perc_85, perc_75 + (perc_90 - perc_75) * (2/3), converted_stat, '2K_Ratings'!H142, IF(bbgm_stat &gt;= perc_95, converted_stat * 3, IF(bbgm_stat &gt;= perc_90, converted_stat * 2, IF(bbgm_stat &gt;= perc_85, converted_stat * 1.5, converted_stat)))))</f>
        <v/>
      </c>
      <c r="I142" s="30" t="str">
        <f t="array" ref="I142">IF($A142="", "", LET(bbgm_stat, INDEX(Players!$A141:$P141, MATCH(I$2, Players!$A$1:$P$1, 0)), perc_75, VLOOKUP(I$2, Percentiles!$A$45:$I$59, 6, FALSE), perc_90, VLOOKUP(I$2, Percentiles!$A$45:$I$59, 7, FALSE), perc_95, VLOOKUP(I$2, Percentiles!$A$45:$I$59, 8, FALSE), perc_85, perc_75 + (perc_90 - perc_75) * (2/3), converted_stat, '2K_Ratings'!I142, IF(bbgm_stat &gt;= perc_95, converted_stat * 3, IF(bbgm_stat &gt;= perc_90, converted_stat * 2, IF(bbgm_stat &gt;= perc_85, converted_stat * 1.5, converted_stat)))))</f>
        <v/>
      </c>
      <c r="J142" s="30" t="str">
        <f t="array" ref="J142">IF($A142="", "", LET(bbgm_stat, INDEX(Players!$A141:$P141, MATCH(J$2, Players!$A$1:$P$1, 0)), perc_75, VLOOKUP(J$2, Percentiles!$A$45:$I$59, 6, FALSE), perc_90, VLOOKUP(J$2, Percentiles!$A$45:$I$59, 7, FALSE), perc_95, VLOOKUP(J$2, Percentiles!$A$45:$I$59, 8, FALSE), perc_85, perc_75 + (perc_90 - perc_75) * (2/3), converted_stat, '2K_Ratings'!J142, IF(bbgm_stat &gt;= perc_95, converted_stat * 3, IF(bbgm_stat &gt;= perc_90, converted_stat * 2, IF(bbgm_stat &gt;= perc_85, converted_stat * 1.5, converted_stat)))))</f>
        <v/>
      </c>
      <c r="K142" s="30" t="str">
        <f t="array" ref="K142">IF($A142="", "", LET(bbgm_stat, INDEX(Players!$A141:$P141, MATCH(K$2, Players!$A$1:$P$1, 0)), perc_75, VLOOKUP(K$2, Percentiles!$A$45:$I$59, 6, FALSE), perc_90, VLOOKUP(K$2, Percentiles!$A$45:$I$59, 7, FALSE), perc_95, VLOOKUP(K$2, Percentiles!$A$45:$I$59, 8, FALSE), perc_85, perc_75 + (perc_90 - perc_75) * (2/3), converted_stat, '2K_Ratings'!K142, IF(bbgm_stat &gt;= perc_95, converted_stat * 3, IF(bbgm_stat &gt;= perc_90, converted_stat * 2, IF(bbgm_stat &gt;= perc_85, converted_stat * 1.5, converted_stat)))))</f>
        <v/>
      </c>
      <c r="L142" s="30" t="str">
        <f t="array" ref="L142">IF($A142="", "", LET(bbgm_stat, INDEX(Players!$A141:$P141, MATCH(L$2, Players!$A$1:$P$1, 0)), perc_75, VLOOKUP(L$2, Percentiles!$A$45:$I$59, 6, FALSE), perc_90, VLOOKUP(L$2, Percentiles!$A$45:$I$59, 7, FALSE), perc_95, VLOOKUP(L$2, Percentiles!$A$45:$I$59, 8, FALSE), perc_85, perc_75 + (perc_90 - perc_75) * (2/3), converted_stat, '2K_Ratings'!L142, IF(bbgm_stat &gt;= perc_95, converted_stat * 3, IF(bbgm_stat &gt;= perc_90, converted_stat * 2, IF(bbgm_stat &gt;= perc_85, converted_stat * 1.5, converted_stat)))))</f>
        <v/>
      </c>
      <c r="M142" s="30" t="str">
        <f t="array" ref="M142">IF($A142="", "", LET(bbgm_stat, INDEX(Players!$A141:$P141, MATCH(M$2, Players!$A$1:$P$1, 0)), perc_75, VLOOKUP(M$2, Percentiles!$A$45:$I$59, 6, FALSE), perc_90, VLOOKUP(M$2, Percentiles!$A$45:$I$59, 7, FALSE), perc_95, VLOOKUP(M$2, Percentiles!$A$45:$I$59, 8, FALSE), perc_85, perc_75 + (perc_90 - perc_75) * (2/3), converted_stat, '2K_Ratings'!M142, IF(bbgm_stat &gt;= perc_95, converted_stat * 3, IF(bbgm_stat &gt;= perc_90, converted_stat * 2, IF(bbgm_stat &gt;= perc_85, converted_stat * 1.5, converted_stat)))))</f>
        <v/>
      </c>
      <c r="N142" s="30" t="str">
        <f t="array" ref="N142">IF($A142="", "", LET(bbgm_stat, INDEX(Players!$A141:$P141, MATCH(N$2, Players!$A$1:$P$1, 0)), perc_75, VLOOKUP(N$2, Percentiles!$A$45:$I$59, 6, FALSE), perc_90, VLOOKUP(N$2, Percentiles!$A$45:$I$59, 7, FALSE), perc_95, VLOOKUP(N$2, Percentiles!$A$45:$I$59, 8, FALSE), perc_85, perc_75 + (perc_90 - perc_75) * (2/3), converted_stat, '2K_Ratings'!N142, IF(bbgm_stat &gt;= perc_95, converted_stat * 3, IF(bbgm_stat &gt;= perc_90, converted_stat * 2, IF(bbgm_stat &gt;= perc_85, converted_stat * 1.5, converted_stat)))))</f>
        <v/>
      </c>
      <c r="O142" s="30" t="str">
        <f t="array" ref="O142">IF($A142="", "", LET(bbgm_stat, INDEX(Players!$A141:$P141, MATCH(O$2, Players!$A$1:$P$1, 0)), perc_75, VLOOKUP(O$2, Percentiles!$A$45:$I$59, 6, FALSE), perc_90, VLOOKUP(O$2, Percentiles!$A$45:$I$59, 7, FALSE), perc_95, VLOOKUP(O$2, Percentiles!$A$45:$I$59, 8, FALSE), perc_85, perc_75 + (perc_90 - perc_75) * (2/3), converted_stat, '2K_Ratings'!O142, IF(bbgm_stat &gt;= perc_95, converted_stat * 3, IF(bbgm_stat &gt;= perc_90, converted_stat * 2, IF(bbgm_stat &gt;= perc_85, converted_stat * 1.5, converted_stat)))))</f>
        <v/>
      </c>
      <c r="P142" s="30" t="str">
        <f t="array" ref="P142">IF($A142="", "", LET(bbgm_stat, INDEX(Players!$A141:$P141, MATCH(P$2, Players!$A$1:$P$1, 0)), perc_75, VLOOKUP(P$2, Percentiles!$A$45:$I$59, 6, FALSE), perc_90, VLOOKUP(P$2, Percentiles!$A$45:$I$59, 7, FALSE), perc_95, VLOOKUP(P$2, Percentiles!$A$45:$I$59, 8, FALSE), perc_85, perc_75 + (perc_90 - perc_75) * (2/3), converted_stat, '2K_Ratings'!P142, IF(bbgm_stat &gt;= perc_95, converted_stat * 3, IF(bbgm_stat &gt;= perc_90, converted_stat * 2, IF(bbgm_stat &gt;= perc_85, converted_stat * 1.5, converted_stat)))))</f>
        <v/>
      </c>
      <c r="Q142" s="30" t="str">
        <f t="array" ref="Q142">IF($A142="", "", LET(bbgm_stat, INDEX(Players!$A141:$P141, MATCH(Q$2, Players!$A$1:$P$1, 0)), perc_75, VLOOKUP(Q$2, Percentiles!$A$45:$I$59, 6, FALSE), perc_90, VLOOKUP(Q$2, Percentiles!$A$45:$I$59, 7, FALSE), perc_95, VLOOKUP(Q$2, Percentiles!$A$45:$I$59, 8, FALSE), perc_85, perc_75 + (perc_90 - perc_75) * (2/3), converted_stat, '2K_Ratings'!Q142, IF(bbgm_stat &gt;= perc_95, converted_stat * 3, IF(bbgm_stat &gt;= perc_90, converted_stat * 2, IF(bbgm_stat &gt;= perc_85, converted_stat * 1.5, converted_stat)))))</f>
        <v/>
      </c>
      <c r="R142" s="30" t="str">
        <f t="array" ref="R142">IF($A142="", "", LET(bbgm_stat, INDEX(Players!$A141:$P141, MATCH(R$2, Players!$A$1:$P$1, 0)), perc_75, VLOOKUP(R$2, Percentiles!$A$45:$I$59, 6, FALSE), perc_90, VLOOKUP(R$2, Percentiles!$A$45:$I$59, 7, FALSE), perc_95, VLOOKUP(R$2, Percentiles!$A$45:$I$59, 8, FALSE), perc_85, perc_75 + (perc_90 - perc_75) * (2/3), converted_stat, '2K_Ratings'!R142, IF(bbgm_stat &gt;= perc_95, converted_stat * 3, IF(bbgm_stat &gt;= perc_90, converted_stat * 2, IF(bbgm_stat &gt;= perc_85, converted_stat * 1.5, converted_stat)))))</f>
        <v/>
      </c>
      <c r="S142" s="30" t="str">
        <f t="array" ref="S142">IF($A142="", "", LET(bbgm_stat, INDEX(Players!$A141:$P141, MATCH(S$2, Players!$A$1:$P$1, 0)), perc_75, VLOOKUP(S$2, Percentiles!$A$45:$I$59, 6, FALSE), perc_90, VLOOKUP(S$2, Percentiles!$A$45:$I$59, 7, FALSE), perc_95, VLOOKUP(S$2, Percentiles!$A$45:$I$59, 8, FALSE), perc_85, perc_75 + (perc_90 - perc_75) * (2/3), converted_stat, '2K_Ratings'!S142, IF(bbgm_stat &gt;= perc_95, converted_stat * 3, IF(bbgm_stat &gt;= perc_90, converted_stat * 2, IF(bbgm_stat &gt;= perc_85, converted_stat * 1.5, converted_stat)))))</f>
        <v/>
      </c>
      <c r="T142" s="30" t="str">
        <f t="array" ref="T142">IF($A142="", "", LET(bbgm_stat, INDEX(Players!$A141:$P141, MATCH(T$2, Players!$A$1:$P$1, 0)), perc_75, VLOOKUP(T$2, Percentiles!$A$45:$I$59, 6, FALSE), perc_90, VLOOKUP(T$2, Percentiles!$A$45:$I$59, 7, FALSE), perc_95, VLOOKUP(T$2, Percentiles!$A$45:$I$59, 8, FALSE), perc_85, perc_75 + (perc_90 - perc_75) * (2/3), converted_stat, '2K_Ratings'!T142, IF(bbgm_stat &gt;= perc_95, converted_stat * 3, IF(bbgm_stat &gt;= perc_90, converted_stat * 2, IF(bbgm_stat &gt;= perc_85, converted_stat * 1.5, converted_stat)))))</f>
        <v/>
      </c>
      <c r="U142" s="30" t="str">
        <f t="array" ref="U142">IF($A142="", "", LET(bbgm_stat, INDEX(Players!$A141:$P141, MATCH(U$2, Players!$A$1:$P$1, 0)), perc_75, VLOOKUP(U$2, Percentiles!$A$45:$I$59, 6, FALSE), perc_90, VLOOKUP(U$2, Percentiles!$A$45:$I$59, 7, FALSE), perc_95, VLOOKUP(U$2, Percentiles!$A$45:$I$59, 8, FALSE), perc_85, perc_75 + (perc_90 - perc_75) * (2/3), converted_stat, '2K_Ratings'!U142, IF(bbgm_stat &gt;= perc_95, converted_stat * 3, IF(bbgm_stat &gt;= perc_90, converted_stat * 2, IF(bbgm_stat &gt;= perc_85, converted_stat * 1.5, converted_stat)))))</f>
        <v/>
      </c>
      <c r="V142" s="30" t="str">
        <f t="array" ref="V142">IF($A142="", "", LET(bbgm_stat, INDEX(Players!$A141:$P141, MATCH(V$2, Players!$A$1:$P$1, 0)), perc_75, VLOOKUP(V$2, Percentiles!$A$45:$I$59, 6, FALSE), perc_90, VLOOKUP(V$2, Percentiles!$A$45:$I$59, 7, FALSE), perc_95, VLOOKUP(V$2, Percentiles!$A$45:$I$59, 8, FALSE), perc_85, perc_75 + (perc_90 - perc_75) * (2/3), converted_stat, '2K_Ratings'!V142, IF(bbgm_stat &gt;= perc_95, converted_stat * 3, IF(bbgm_stat &gt;= perc_90, converted_stat * 2, IF(bbgm_stat &gt;= perc_85, converted_stat * 1.5, converted_stat)))))</f>
        <v/>
      </c>
      <c r="W142" s="30" t="str">
        <f t="array" ref="W142">IF($A142="", "", LET(bbgm_stat, INDEX(Players!$A141:$P141, MATCH(W$2, Players!$A$1:$P$1, 0)), perc_75, VLOOKUP(W$2, Percentiles!$A$45:$I$59, 6, FALSE), perc_90, VLOOKUP(W$2, Percentiles!$A$45:$I$59, 7, FALSE), perc_95, VLOOKUP(W$2, Percentiles!$A$45:$I$59, 8, FALSE), perc_85, perc_75 + (perc_90 - perc_75) * (2/3), converted_stat, '2K_Ratings'!W142, IF(bbgm_stat &gt;= perc_95, converted_stat * 3, IF(bbgm_stat &gt;= perc_90, converted_stat * 2, IF(bbgm_stat &gt;= perc_85, converted_stat * 1.5, converted_stat)))))</f>
        <v/>
      </c>
    </row>
    <row r="143">
      <c r="A143" s="30"/>
      <c r="B143" s="30" t="str">
        <f t="array" ref="B143">IF($A143="", "", LET(bbgm_stat, INDEX(Players!$A142:$P142, MATCH(B$2, Players!$A$1:$P$1, 0)), perc_75, VLOOKUP(B$2, Percentiles!$A$45:$I$59, 6, FALSE), perc_90, VLOOKUP(B$2, Percentiles!$A$45:$I$59, 7, FALSE), perc_95, VLOOKUP(B$2, Percentiles!$A$45:$I$59, 8, FALSE), perc_85, perc_75 + (perc_90 - perc_75) * (2/3), converted_stat, '2K_Ratings'!B143, IF(bbgm_stat &gt;= perc_95, converted_stat * 3, IF(bbgm_stat &gt;= perc_90, converted_stat * 2, IF(bbgm_stat &gt;= perc_85, converted_stat * 1.5, converted_stat)))))</f>
        <v/>
      </c>
      <c r="C143" s="30" t="str">
        <f t="array" ref="C143">IF($A143="", "", LET(bbgm_stat, INDEX(Players!$A142:$P142, MATCH(C$2, Players!$A$1:$P$1, 0)), perc_75, VLOOKUP(C$2, Percentiles!$A$45:$I$59, 6, FALSE), perc_90, VLOOKUP(C$2, Percentiles!$A$45:$I$59, 7, FALSE), perc_95, VLOOKUP(C$2, Percentiles!$A$45:$I$59, 8, FALSE), perc_85, perc_75 + (perc_90 - perc_75) * (2/3), converted_stat, '2K_Ratings'!C143, IF(bbgm_stat &gt;= perc_95, converted_stat * 3, IF(bbgm_stat &gt;= perc_90, converted_stat * 2, IF(bbgm_stat &gt;= perc_85, converted_stat * 1.5, converted_stat)))))</f>
        <v/>
      </c>
      <c r="D143" s="30" t="str">
        <f t="array" ref="D143">IF($A143="", "", LET(bbgm_stat, INDEX(Players!$A142:$P142, MATCH(D$2, Players!$A$1:$P$1, 0)), perc_75, VLOOKUP(D$2, Percentiles!$A$45:$I$59, 6, FALSE), perc_90, VLOOKUP(D$2, Percentiles!$A$45:$I$59, 7, FALSE), perc_95, VLOOKUP(D$2, Percentiles!$A$45:$I$59, 8, FALSE), perc_85, perc_75 + (perc_90 - perc_75) * (2/3), converted_stat, '2K_Ratings'!D143, IF(bbgm_stat &gt;= perc_95, converted_stat * 3, IF(bbgm_stat &gt;= perc_90, converted_stat * 2, IF(bbgm_stat &gt;= perc_85, converted_stat * 1.5, converted_stat)))))</f>
        <v/>
      </c>
      <c r="E143" s="30" t="str">
        <f t="array" ref="E143">IF($A143="", "", LET(bbgm_stat, INDEX(Players!$A142:$P142, MATCH(E$2, Players!$A$1:$P$1, 0)), perc_75, VLOOKUP(E$2, Percentiles!$A$45:$I$59, 6, FALSE), perc_90, VLOOKUP(E$2, Percentiles!$A$45:$I$59, 7, FALSE), perc_95, VLOOKUP(E$2, Percentiles!$A$45:$I$59, 8, FALSE), perc_85, perc_75 + (perc_90 - perc_75) * (2/3), converted_stat, '2K_Ratings'!E143, IF(bbgm_stat &gt;= perc_95, converted_stat * 3, IF(bbgm_stat &gt;= perc_90, converted_stat * 2, IF(bbgm_stat &gt;= perc_85, converted_stat * 1.5, converted_stat)))))</f>
        <v/>
      </c>
      <c r="F143" s="30" t="str">
        <f t="array" ref="F143">IF($A143="", "", LET(bbgm_stat, INDEX(Players!$A142:$P142, MATCH(F$2, Players!$A$1:$P$1, 0)), perc_75, VLOOKUP(F$2, Percentiles!$A$45:$I$59, 6, FALSE), perc_90, VLOOKUP(F$2, Percentiles!$A$45:$I$59, 7, FALSE), perc_95, VLOOKUP(F$2, Percentiles!$A$45:$I$59, 8, FALSE), perc_85, perc_75 + (perc_90 - perc_75) * (2/3), converted_stat, '2K_Ratings'!F143, IF(bbgm_stat &gt;= perc_95, converted_stat * 3, IF(bbgm_stat &gt;= perc_90, converted_stat * 2, IF(bbgm_stat &gt;= perc_85, converted_stat * 1.5, converted_stat)))))</f>
        <v/>
      </c>
      <c r="G143" s="30" t="str">
        <f t="array" ref="G143">IF($A143="", "", LET(bbgm_stat, INDEX(Players!$A142:$P142, MATCH(G$2, Players!$A$1:$P$1, 0)), perc_75, VLOOKUP(G$2, Percentiles!$A$45:$I$59, 6, FALSE), perc_90, VLOOKUP(G$2, Percentiles!$A$45:$I$59, 7, FALSE), perc_95, VLOOKUP(G$2, Percentiles!$A$45:$I$59, 8, FALSE), perc_85, perc_75 + (perc_90 - perc_75) * (2/3), converted_stat, '2K_Ratings'!G143, IF(bbgm_stat &gt;= perc_95, converted_stat * 3, IF(bbgm_stat &gt;= perc_90, converted_stat * 2, IF(bbgm_stat &gt;= perc_85, converted_stat * 1.5, converted_stat)))))</f>
        <v/>
      </c>
      <c r="H143" s="30" t="str">
        <f t="array" ref="H143">IF($A143="", "", LET(bbgm_stat, INDEX(Players!$A142:$P142, MATCH(H$2, Players!$A$1:$P$1, 0)), perc_75, VLOOKUP(H$2, Percentiles!$A$45:$I$59, 6, FALSE), perc_90, VLOOKUP(H$2, Percentiles!$A$45:$I$59, 7, FALSE), perc_95, VLOOKUP(H$2, Percentiles!$A$45:$I$59, 8, FALSE), perc_85, perc_75 + (perc_90 - perc_75) * (2/3), converted_stat, '2K_Ratings'!H143, IF(bbgm_stat &gt;= perc_95, converted_stat * 3, IF(bbgm_stat &gt;= perc_90, converted_stat * 2, IF(bbgm_stat &gt;= perc_85, converted_stat * 1.5, converted_stat)))))</f>
        <v/>
      </c>
      <c r="I143" s="30" t="str">
        <f t="array" ref="I143">IF($A143="", "", LET(bbgm_stat, INDEX(Players!$A142:$P142, MATCH(I$2, Players!$A$1:$P$1, 0)), perc_75, VLOOKUP(I$2, Percentiles!$A$45:$I$59, 6, FALSE), perc_90, VLOOKUP(I$2, Percentiles!$A$45:$I$59, 7, FALSE), perc_95, VLOOKUP(I$2, Percentiles!$A$45:$I$59, 8, FALSE), perc_85, perc_75 + (perc_90 - perc_75) * (2/3), converted_stat, '2K_Ratings'!I143, IF(bbgm_stat &gt;= perc_95, converted_stat * 3, IF(bbgm_stat &gt;= perc_90, converted_stat * 2, IF(bbgm_stat &gt;= perc_85, converted_stat * 1.5, converted_stat)))))</f>
        <v/>
      </c>
      <c r="J143" s="30" t="str">
        <f t="array" ref="J143">IF($A143="", "", LET(bbgm_stat, INDEX(Players!$A142:$P142, MATCH(J$2, Players!$A$1:$P$1, 0)), perc_75, VLOOKUP(J$2, Percentiles!$A$45:$I$59, 6, FALSE), perc_90, VLOOKUP(J$2, Percentiles!$A$45:$I$59, 7, FALSE), perc_95, VLOOKUP(J$2, Percentiles!$A$45:$I$59, 8, FALSE), perc_85, perc_75 + (perc_90 - perc_75) * (2/3), converted_stat, '2K_Ratings'!J143, IF(bbgm_stat &gt;= perc_95, converted_stat * 3, IF(bbgm_stat &gt;= perc_90, converted_stat * 2, IF(bbgm_stat &gt;= perc_85, converted_stat * 1.5, converted_stat)))))</f>
        <v/>
      </c>
      <c r="K143" s="30" t="str">
        <f t="array" ref="K143">IF($A143="", "", LET(bbgm_stat, INDEX(Players!$A142:$P142, MATCH(K$2, Players!$A$1:$P$1, 0)), perc_75, VLOOKUP(K$2, Percentiles!$A$45:$I$59, 6, FALSE), perc_90, VLOOKUP(K$2, Percentiles!$A$45:$I$59, 7, FALSE), perc_95, VLOOKUP(K$2, Percentiles!$A$45:$I$59, 8, FALSE), perc_85, perc_75 + (perc_90 - perc_75) * (2/3), converted_stat, '2K_Ratings'!K143, IF(bbgm_stat &gt;= perc_95, converted_stat * 3, IF(bbgm_stat &gt;= perc_90, converted_stat * 2, IF(bbgm_stat &gt;= perc_85, converted_stat * 1.5, converted_stat)))))</f>
        <v/>
      </c>
      <c r="L143" s="30" t="str">
        <f t="array" ref="L143">IF($A143="", "", LET(bbgm_stat, INDEX(Players!$A142:$P142, MATCH(L$2, Players!$A$1:$P$1, 0)), perc_75, VLOOKUP(L$2, Percentiles!$A$45:$I$59, 6, FALSE), perc_90, VLOOKUP(L$2, Percentiles!$A$45:$I$59, 7, FALSE), perc_95, VLOOKUP(L$2, Percentiles!$A$45:$I$59, 8, FALSE), perc_85, perc_75 + (perc_90 - perc_75) * (2/3), converted_stat, '2K_Ratings'!L143, IF(bbgm_stat &gt;= perc_95, converted_stat * 3, IF(bbgm_stat &gt;= perc_90, converted_stat * 2, IF(bbgm_stat &gt;= perc_85, converted_stat * 1.5, converted_stat)))))</f>
        <v/>
      </c>
      <c r="M143" s="30" t="str">
        <f t="array" ref="M143">IF($A143="", "", LET(bbgm_stat, INDEX(Players!$A142:$P142, MATCH(M$2, Players!$A$1:$P$1, 0)), perc_75, VLOOKUP(M$2, Percentiles!$A$45:$I$59, 6, FALSE), perc_90, VLOOKUP(M$2, Percentiles!$A$45:$I$59, 7, FALSE), perc_95, VLOOKUP(M$2, Percentiles!$A$45:$I$59, 8, FALSE), perc_85, perc_75 + (perc_90 - perc_75) * (2/3), converted_stat, '2K_Ratings'!M143, IF(bbgm_stat &gt;= perc_95, converted_stat * 3, IF(bbgm_stat &gt;= perc_90, converted_stat * 2, IF(bbgm_stat &gt;= perc_85, converted_stat * 1.5, converted_stat)))))</f>
        <v/>
      </c>
      <c r="N143" s="30" t="str">
        <f t="array" ref="N143">IF($A143="", "", LET(bbgm_stat, INDEX(Players!$A142:$P142, MATCH(N$2, Players!$A$1:$P$1, 0)), perc_75, VLOOKUP(N$2, Percentiles!$A$45:$I$59, 6, FALSE), perc_90, VLOOKUP(N$2, Percentiles!$A$45:$I$59, 7, FALSE), perc_95, VLOOKUP(N$2, Percentiles!$A$45:$I$59, 8, FALSE), perc_85, perc_75 + (perc_90 - perc_75) * (2/3), converted_stat, '2K_Ratings'!N143, IF(bbgm_stat &gt;= perc_95, converted_stat * 3, IF(bbgm_stat &gt;= perc_90, converted_stat * 2, IF(bbgm_stat &gt;= perc_85, converted_stat * 1.5, converted_stat)))))</f>
        <v/>
      </c>
      <c r="O143" s="30" t="str">
        <f t="array" ref="O143">IF($A143="", "", LET(bbgm_stat, INDEX(Players!$A142:$P142, MATCH(O$2, Players!$A$1:$P$1, 0)), perc_75, VLOOKUP(O$2, Percentiles!$A$45:$I$59, 6, FALSE), perc_90, VLOOKUP(O$2, Percentiles!$A$45:$I$59, 7, FALSE), perc_95, VLOOKUP(O$2, Percentiles!$A$45:$I$59, 8, FALSE), perc_85, perc_75 + (perc_90 - perc_75) * (2/3), converted_stat, '2K_Ratings'!O143, IF(bbgm_stat &gt;= perc_95, converted_stat * 3, IF(bbgm_stat &gt;= perc_90, converted_stat * 2, IF(bbgm_stat &gt;= perc_85, converted_stat * 1.5, converted_stat)))))</f>
        <v/>
      </c>
      <c r="P143" s="30" t="str">
        <f t="array" ref="P143">IF($A143="", "", LET(bbgm_stat, INDEX(Players!$A142:$P142, MATCH(P$2, Players!$A$1:$P$1, 0)), perc_75, VLOOKUP(P$2, Percentiles!$A$45:$I$59, 6, FALSE), perc_90, VLOOKUP(P$2, Percentiles!$A$45:$I$59, 7, FALSE), perc_95, VLOOKUP(P$2, Percentiles!$A$45:$I$59, 8, FALSE), perc_85, perc_75 + (perc_90 - perc_75) * (2/3), converted_stat, '2K_Ratings'!P143, IF(bbgm_stat &gt;= perc_95, converted_stat * 3, IF(bbgm_stat &gt;= perc_90, converted_stat * 2, IF(bbgm_stat &gt;= perc_85, converted_stat * 1.5, converted_stat)))))</f>
        <v/>
      </c>
      <c r="Q143" s="30" t="str">
        <f t="array" ref="Q143">IF($A143="", "", LET(bbgm_stat, INDEX(Players!$A142:$P142, MATCH(Q$2, Players!$A$1:$P$1, 0)), perc_75, VLOOKUP(Q$2, Percentiles!$A$45:$I$59, 6, FALSE), perc_90, VLOOKUP(Q$2, Percentiles!$A$45:$I$59, 7, FALSE), perc_95, VLOOKUP(Q$2, Percentiles!$A$45:$I$59, 8, FALSE), perc_85, perc_75 + (perc_90 - perc_75) * (2/3), converted_stat, '2K_Ratings'!Q143, IF(bbgm_stat &gt;= perc_95, converted_stat * 3, IF(bbgm_stat &gt;= perc_90, converted_stat * 2, IF(bbgm_stat &gt;= perc_85, converted_stat * 1.5, converted_stat)))))</f>
        <v/>
      </c>
      <c r="R143" s="30" t="str">
        <f t="array" ref="R143">IF($A143="", "", LET(bbgm_stat, INDEX(Players!$A142:$P142, MATCH(R$2, Players!$A$1:$P$1, 0)), perc_75, VLOOKUP(R$2, Percentiles!$A$45:$I$59, 6, FALSE), perc_90, VLOOKUP(R$2, Percentiles!$A$45:$I$59, 7, FALSE), perc_95, VLOOKUP(R$2, Percentiles!$A$45:$I$59, 8, FALSE), perc_85, perc_75 + (perc_90 - perc_75) * (2/3), converted_stat, '2K_Ratings'!R143, IF(bbgm_stat &gt;= perc_95, converted_stat * 3, IF(bbgm_stat &gt;= perc_90, converted_stat * 2, IF(bbgm_stat &gt;= perc_85, converted_stat * 1.5, converted_stat)))))</f>
        <v/>
      </c>
      <c r="S143" s="30" t="str">
        <f t="array" ref="S143">IF($A143="", "", LET(bbgm_stat, INDEX(Players!$A142:$P142, MATCH(S$2, Players!$A$1:$P$1, 0)), perc_75, VLOOKUP(S$2, Percentiles!$A$45:$I$59, 6, FALSE), perc_90, VLOOKUP(S$2, Percentiles!$A$45:$I$59, 7, FALSE), perc_95, VLOOKUP(S$2, Percentiles!$A$45:$I$59, 8, FALSE), perc_85, perc_75 + (perc_90 - perc_75) * (2/3), converted_stat, '2K_Ratings'!S143, IF(bbgm_stat &gt;= perc_95, converted_stat * 3, IF(bbgm_stat &gt;= perc_90, converted_stat * 2, IF(bbgm_stat &gt;= perc_85, converted_stat * 1.5, converted_stat)))))</f>
        <v/>
      </c>
      <c r="T143" s="30" t="str">
        <f t="array" ref="T143">IF($A143="", "", LET(bbgm_stat, INDEX(Players!$A142:$P142, MATCH(T$2, Players!$A$1:$P$1, 0)), perc_75, VLOOKUP(T$2, Percentiles!$A$45:$I$59, 6, FALSE), perc_90, VLOOKUP(T$2, Percentiles!$A$45:$I$59, 7, FALSE), perc_95, VLOOKUP(T$2, Percentiles!$A$45:$I$59, 8, FALSE), perc_85, perc_75 + (perc_90 - perc_75) * (2/3), converted_stat, '2K_Ratings'!T143, IF(bbgm_stat &gt;= perc_95, converted_stat * 3, IF(bbgm_stat &gt;= perc_90, converted_stat * 2, IF(bbgm_stat &gt;= perc_85, converted_stat * 1.5, converted_stat)))))</f>
        <v/>
      </c>
      <c r="U143" s="30" t="str">
        <f t="array" ref="U143">IF($A143="", "", LET(bbgm_stat, INDEX(Players!$A142:$P142, MATCH(U$2, Players!$A$1:$P$1, 0)), perc_75, VLOOKUP(U$2, Percentiles!$A$45:$I$59, 6, FALSE), perc_90, VLOOKUP(U$2, Percentiles!$A$45:$I$59, 7, FALSE), perc_95, VLOOKUP(U$2, Percentiles!$A$45:$I$59, 8, FALSE), perc_85, perc_75 + (perc_90 - perc_75) * (2/3), converted_stat, '2K_Ratings'!U143, IF(bbgm_stat &gt;= perc_95, converted_stat * 3, IF(bbgm_stat &gt;= perc_90, converted_stat * 2, IF(bbgm_stat &gt;= perc_85, converted_stat * 1.5, converted_stat)))))</f>
        <v/>
      </c>
      <c r="V143" s="30" t="str">
        <f t="array" ref="V143">IF($A143="", "", LET(bbgm_stat, INDEX(Players!$A142:$P142, MATCH(V$2, Players!$A$1:$P$1, 0)), perc_75, VLOOKUP(V$2, Percentiles!$A$45:$I$59, 6, FALSE), perc_90, VLOOKUP(V$2, Percentiles!$A$45:$I$59, 7, FALSE), perc_95, VLOOKUP(V$2, Percentiles!$A$45:$I$59, 8, FALSE), perc_85, perc_75 + (perc_90 - perc_75) * (2/3), converted_stat, '2K_Ratings'!V143, IF(bbgm_stat &gt;= perc_95, converted_stat * 3, IF(bbgm_stat &gt;= perc_90, converted_stat * 2, IF(bbgm_stat &gt;= perc_85, converted_stat * 1.5, converted_stat)))))</f>
        <v/>
      </c>
      <c r="W143" s="30" t="str">
        <f t="array" ref="W143">IF($A143="", "", LET(bbgm_stat, INDEX(Players!$A142:$P142, MATCH(W$2, Players!$A$1:$P$1, 0)), perc_75, VLOOKUP(W$2, Percentiles!$A$45:$I$59, 6, FALSE), perc_90, VLOOKUP(W$2, Percentiles!$A$45:$I$59, 7, FALSE), perc_95, VLOOKUP(W$2, Percentiles!$A$45:$I$59, 8, FALSE), perc_85, perc_75 + (perc_90 - perc_75) * (2/3), converted_stat, '2K_Ratings'!W143, IF(bbgm_stat &gt;= perc_95, converted_stat * 3, IF(bbgm_stat &gt;= perc_90, converted_stat * 2, IF(bbgm_stat &gt;= perc_85, converted_stat * 1.5, converted_stat)))))</f>
        <v/>
      </c>
    </row>
    <row r="144">
      <c r="A144" s="30"/>
      <c r="B144" s="30" t="str">
        <f t="array" ref="B144">IF($A144="", "", LET(bbgm_stat, INDEX(Players!$A143:$P143, MATCH(B$2, Players!$A$1:$P$1, 0)), perc_75, VLOOKUP(B$2, Percentiles!$A$45:$I$59, 6, FALSE), perc_90, VLOOKUP(B$2, Percentiles!$A$45:$I$59, 7, FALSE), perc_95, VLOOKUP(B$2, Percentiles!$A$45:$I$59, 8, FALSE), perc_85, perc_75 + (perc_90 - perc_75) * (2/3), converted_stat, '2K_Ratings'!B144, IF(bbgm_stat &gt;= perc_95, converted_stat * 3, IF(bbgm_stat &gt;= perc_90, converted_stat * 2, IF(bbgm_stat &gt;= perc_85, converted_stat * 1.5, converted_stat)))))</f>
        <v/>
      </c>
      <c r="C144" s="30" t="str">
        <f t="array" ref="C144">IF($A144="", "", LET(bbgm_stat, INDEX(Players!$A143:$P143, MATCH(C$2, Players!$A$1:$P$1, 0)), perc_75, VLOOKUP(C$2, Percentiles!$A$45:$I$59, 6, FALSE), perc_90, VLOOKUP(C$2, Percentiles!$A$45:$I$59, 7, FALSE), perc_95, VLOOKUP(C$2, Percentiles!$A$45:$I$59, 8, FALSE), perc_85, perc_75 + (perc_90 - perc_75) * (2/3), converted_stat, '2K_Ratings'!C144, IF(bbgm_stat &gt;= perc_95, converted_stat * 3, IF(bbgm_stat &gt;= perc_90, converted_stat * 2, IF(bbgm_stat &gt;= perc_85, converted_stat * 1.5, converted_stat)))))</f>
        <v/>
      </c>
      <c r="D144" s="30" t="str">
        <f t="array" ref="D144">IF($A144="", "", LET(bbgm_stat, INDEX(Players!$A143:$P143, MATCH(D$2, Players!$A$1:$P$1, 0)), perc_75, VLOOKUP(D$2, Percentiles!$A$45:$I$59, 6, FALSE), perc_90, VLOOKUP(D$2, Percentiles!$A$45:$I$59, 7, FALSE), perc_95, VLOOKUP(D$2, Percentiles!$A$45:$I$59, 8, FALSE), perc_85, perc_75 + (perc_90 - perc_75) * (2/3), converted_stat, '2K_Ratings'!D144, IF(bbgm_stat &gt;= perc_95, converted_stat * 3, IF(bbgm_stat &gt;= perc_90, converted_stat * 2, IF(bbgm_stat &gt;= perc_85, converted_stat * 1.5, converted_stat)))))</f>
        <v/>
      </c>
      <c r="E144" s="30" t="str">
        <f t="array" ref="E144">IF($A144="", "", LET(bbgm_stat, INDEX(Players!$A143:$P143, MATCH(E$2, Players!$A$1:$P$1, 0)), perc_75, VLOOKUP(E$2, Percentiles!$A$45:$I$59, 6, FALSE), perc_90, VLOOKUP(E$2, Percentiles!$A$45:$I$59, 7, FALSE), perc_95, VLOOKUP(E$2, Percentiles!$A$45:$I$59, 8, FALSE), perc_85, perc_75 + (perc_90 - perc_75) * (2/3), converted_stat, '2K_Ratings'!E144, IF(bbgm_stat &gt;= perc_95, converted_stat * 3, IF(bbgm_stat &gt;= perc_90, converted_stat * 2, IF(bbgm_stat &gt;= perc_85, converted_stat * 1.5, converted_stat)))))</f>
        <v/>
      </c>
      <c r="F144" s="30" t="str">
        <f t="array" ref="F144">IF($A144="", "", LET(bbgm_stat, INDEX(Players!$A143:$P143, MATCH(F$2, Players!$A$1:$P$1, 0)), perc_75, VLOOKUP(F$2, Percentiles!$A$45:$I$59, 6, FALSE), perc_90, VLOOKUP(F$2, Percentiles!$A$45:$I$59, 7, FALSE), perc_95, VLOOKUP(F$2, Percentiles!$A$45:$I$59, 8, FALSE), perc_85, perc_75 + (perc_90 - perc_75) * (2/3), converted_stat, '2K_Ratings'!F144, IF(bbgm_stat &gt;= perc_95, converted_stat * 3, IF(bbgm_stat &gt;= perc_90, converted_stat * 2, IF(bbgm_stat &gt;= perc_85, converted_stat * 1.5, converted_stat)))))</f>
        <v/>
      </c>
      <c r="G144" s="30" t="str">
        <f t="array" ref="G144">IF($A144="", "", LET(bbgm_stat, INDEX(Players!$A143:$P143, MATCH(G$2, Players!$A$1:$P$1, 0)), perc_75, VLOOKUP(G$2, Percentiles!$A$45:$I$59, 6, FALSE), perc_90, VLOOKUP(G$2, Percentiles!$A$45:$I$59, 7, FALSE), perc_95, VLOOKUP(G$2, Percentiles!$A$45:$I$59, 8, FALSE), perc_85, perc_75 + (perc_90 - perc_75) * (2/3), converted_stat, '2K_Ratings'!G144, IF(bbgm_stat &gt;= perc_95, converted_stat * 3, IF(bbgm_stat &gt;= perc_90, converted_stat * 2, IF(bbgm_stat &gt;= perc_85, converted_stat * 1.5, converted_stat)))))</f>
        <v/>
      </c>
      <c r="H144" s="30" t="str">
        <f t="array" ref="H144">IF($A144="", "", LET(bbgm_stat, INDEX(Players!$A143:$P143, MATCH(H$2, Players!$A$1:$P$1, 0)), perc_75, VLOOKUP(H$2, Percentiles!$A$45:$I$59, 6, FALSE), perc_90, VLOOKUP(H$2, Percentiles!$A$45:$I$59, 7, FALSE), perc_95, VLOOKUP(H$2, Percentiles!$A$45:$I$59, 8, FALSE), perc_85, perc_75 + (perc_90 - perc_75) * (2/3), converted_stat, '2K_Ratings'!H144, IF(bbgm_stat &gt;= perc_95, converted_stat * 3, IF(bbgm_stat &gt;= perc_90, converted_stat * 2, IF(bbgm_stat &gt;= perc_85, converted_stat * 1.5, converted_stat)))))</f>
        <v/>
      </c>
      <c r="I144" s="30" t="str">
        <f t="array" ref="I144">IF($A144="", "", LET(bbgm_stat, INDEX(Players!$A143:$P143, MATCH(I$2, Players!$A$1:$P$1, 0)), perc_75, VLOOKUP(I$2, Percentiles!$A$45:$I$59, 6, FALSE), perc_90, VLOOKUP(I$2, Percentiles!$A$45:$I$59, 7, FALSE), perc_95, VLOOKUP(I$2, Percentiles!$A$45:$I$59, 8, FALSE), perc_85, perc_75 + (perc_90 - perc_75) * (2/3), converted_stat, '2K_Ratings'!I144, IF(bbgm_stat &gt;= perc_95, converted_stat * 3, IF(bbgm_stat &gt;= perc_90, converted_stat * 2, IF(bbgm_stat &gt;= perc_85, converted_stat * 1.5, converted_stat)))))</f>
        <v/>
      </c>
      <c r="J144" s="30" t="str">
        <f t="array" ref="J144">IF($A144="", "", LET(bbgm_stat, INDEX(Players!$A143:$P143, MATCH(J$2, Players!$A$1:$P$1, 0)), perc_75, VLOOKUP(J$2, Percentiles!$A$45:$I$59, 6, FALSE), perc_90, VLOOKUP(J$2, Percentiles!$A$45:$I$59, 7, FALSE), perc_95, VLOOKUP(J$2, Percentiles!$A$45:$I$59, 8, FALSE), perc_85, perc_75 + (perc_90 - perc_75) * (2/3), converted_stat, '2K_Ratings'!J144, IF(bbgm_stat &gt;= perc_95, converted_stat * 3, IF(bbgm_stat &gt;= perc_90, converted_stat * 2, IF(bbgm_stat &gt;= perc_85, converted_stat * 1.5, converted_stat)))))</f>
        <v/>
      </c>
      <c r="K144" s="30" t="str">
        <f t="array" ref="K144">IF($A144="", "", LET(bbgm_stat, INDEX(Players!$A143:$P143, MATCH(K$2, Players!$A$1:$P$1, 0)), perc_75, VLOOKUP(K$2, Percentiles!$A$45:$I$59, 6, FALSE), perc_90, VLOOKUP(K$2, Percentiles!$A$45:$I$59, 7, FALSE), perc_95, VLOOKUP(K$2, Percentiles!$A$45:$I$59, 8, FALSE), perc_85, perc_75 + (perc_90 - perc_75) * (2/3), converted_stat, '2K_Ratings'!K144, IF(bbgm_stat &gt;= perc_95, converted_stat * 3, IF(bbgm_stat &gt;= perc_90, converted_stat * 2, IF(bbgm_stat &gt;= perc_85, converted_stat * 1.5, converted_stat)))))</f>
        <v/>
      </c>
      <c r="L144" s="30" t="str">
        <f t="array" ref="L144">IF($A144="", "", LET(bbgm_stat, INDEX(Players!$A143:$P143, MATCH(L$2, Players!$A$1:$P$1, 0)), perc_75, VLOOKUP(L$2, Percentiles!$A$45:$I$59, 6, FALSE), perc_90, VLOOKUP(L$2, Percentiles!$A$45:$I$59, 7, FALSE), perc_95, VLOOKUP(L$2, Percentiles!$A$45:$I$59, 8, FALSE), perc_85, perc_75 + (perc_90 - perc_75) * (2/3), converted_stat, '2K_Ratings'!L144, IF(bbgm_stat &gt;= perc_95, converted_stat * 3, IF(bbgm_stat &gt;= perc_90, converted_stat * 2, IF(bbgm_stat &gt;= perc_85, converted_stat * 1.5, converted_stat)))))</f>
        <v/>
      </c>
      <c r="M144" s="30" t="str">
        <f t="array" ref="M144">IF($A144="", "", LET(bbgm_stat, INDEX(Players!$A143:$P143, MATCH(M$2, Players!$A$1:$P$1, 0)), perc_75, VLOOKUP(M$2, Percentiles!$A$45:$I$59, 6, FALSE), perc_90, VLOOKUP(M$2, Percentiles!$A$45:$I$59, 7, FALSE), perc_95, VLOOKUP(M$2, Percentiles!$A$45:$I$59, 8, FALSE), perc_85, perc_75 + (perc_90 - perc_75) * (2/3), converted_stat, '2K_Ratings'!M144, IF(bbgm_stat &gt;= perc_95, converted_stat * 3, IF(bbgm_stat &gt;= perc_90, converted_stat * 2, IF(bbgm_stat &gt;= perc_85, converted_stat * 1.5, converted_stat)))))</f>
        <v/>
      </c>
      <c r="N144" s="30" t="str">
        <f t="array" ref="N144">IF($A144="", "", LET(bbgm_stat, INDEX(Players!$A143:$P143, MATCH(N$2, Players!$A$1:$P$1, 0)), perc_75, VLOOKUP(N$2, Percentiles!$A$45:$I$59, 6, FALSE), perc_90, VLOOKUP(N$2, Percentiles!$A$45:$I$59, 7, FALSE), perc_95, VLOOKUP(N$2, Percentiles!$A$45:$I$59, 8, FALSE), perc_85, perc_75 + (perc_90 - perc_75) * (2/3), converted_stat, '2K_Ratings'!N144, IF(bbgm_stat &gt;= perc_95, converted_stat * 3, IF(bbgm_stat &gt;= perc_90, converted_stat * 2, IF(bbgm_stat &gt;= perc_85, converted_stat * 1.5, converted_stat)))))</f>
        <v/>
      </c>
      <c r="O144" s="30" t="str">
        <f t="array" ref="O144">IF($A144="", "", LET(bbgm_stat, INDEX(Players!$A143:$P143, MATCH(O$2, Players!$A$1:$P$1, 0)), perc_75, VLOOKUP(O$2, Percentiles!$A$45:$I$59, 6, FALSE), perc_90, VLOOKUP(O$2, Percentiles!$A$45:$I$59, 7, FALSE), perc_95, VLOOKUP(O$2, Percentiles!$A$45:$I$59, 8, FALSE), perc_85, perc_75 + (perc_90 - perc_75) * (2/3), converted_stat, '2K_Ratings'!O144, IF(bbgm_stat &gt;= perc_95, converted_stat * 3, IF(bbgm_stat &gt;= perc_90, converted_stat * 2, IF(bbgm_stat &gt;= perc_85, converted_stat * 1.5, converted_stat)))))</f>
        <v/>
      </c>
      <c r="P144" s="30" t="str">
        <f t="array" ref="P144">IF($A144="", "", LET(bbgm_stat, INDEX(Players!$A143:$P143, MATCH(P$2, Players!$A$1:$P$1, 0)), perc_75, VLOOKUP(P$2, Percentiles!$A$45:$I$59, 6, FALSE), perc_90, VLOOKUP(P$2, Percentiles!$A$45:$I$59, 7, FALSE), perc_95, VLOOKUP(P$2, Percentiles!$A$45:$I$59, 8, FALSE), perc_85, perc_75 + (perc_90 - perc_75) * (2/3), converted_stat, '2K_Ratings'!P144, IF(bbgm_stat &gt;= perc_95, converted_stat * 3, IF(bbgm_stat &gt;= perc_90, converted_stat * 2, IF(bbgm_stat &gt;= perc_85, converted_stat * 1.5, converted_stat)))))</f>
        <v/>
      </c>
      <c r="Q144" s="30" t="str">
        <f t="array" ref="Q144">IF($A144="", "", LET(bbgm_stat, INDEX(Players!$A143:$P143, MATCH(Q$2, Players!$A$1:$P$1, 0)), perc_75, VLOOKUP(Q$2, Percentiles!$A$45:$I$59, 6, FALSE), perc_90, VLOOKUP(Q$2, Percentiles!$A$45:$I$59, 7, FALSE), perc_95, VLOOKUP(Q$2, Percentiles!$A$45:$I$59, 8, FALSE), perc_85, perc_75 + (perc_90 - perc_75) * (2/3), converted_stat, '2K_Ratings'!Q144, IF(bbgm_stat &gt;= perc_95, converted_stat * 3, IF(bbgm_stat &gt;= perc_90, converted_stat * 2, IF(bbgm_stat &gt;= perc_85, converted_stat * 1.5, converted_stat)))))</f>
        <v/>
      </c>
      <c r="R144" s="30" t="str">
        <f t="array" ref="R144">IF($A144="", "", LET(bbgm_stat, INDEX(Players!$A143:$P143, MATCH(R$2, Players!$A$1:$P$1, 0)), perc_75, VLOOKUP(R$2, Percentiles!$A$45:$I$59, 6, FALSE), perc_90, VLOOKUP(R$2, Percentiles!$A$45:$I$59, 7, FALSE), perc_95, VLOOKUP(R$2, Percentiles!$A$45:$I$59, 8, FALSE), perc_85, perc_75 + (perc_90 - perc_75) * (2/3), converted_stat, '2K_Ratings'!R144, IF(bbgm_stat &gt;= perc_95, converted_stat * 3, IF(bbgm_stat &gt;= perc_90, converted_stat * 2, IF(bbgm_stat &gt;= perc_85, converted_stat * 1.5, converted_stat)))))</f>
        <v/>
      </c>
      <c r="S144" s="30" t="str">
        <f t="array" ref="S144">IF($A144="", "", LET(bbgm_stat, INDEX(Players!$A143:$P143, MATCH(S$2, Players!$A$1:$P$1, 0)), perc_75, VLOOKUP(S$2, Percentiles!$A$45:$I$59, 6, FALSE), perc_90, VLOOKUP(S$2, Percentiles!$A$45:$I$59, 7, FALSE), perc_95, VLOOKUP(S$2, Percentiles!$A$45:$I$59, 8, FALSE), perc_85, perc_75 + (perc_90 - perc_75) * (2/3), converted_stat, '2K_Ratings'!S144, IF(bbgm_stat &gt;= perc_95, converted_stat * 3, IF(bbgm_stat &gt;= perc_90, converted_stat * 2, IF(bbgm_stat &gt;= perc_85, converted_stat * 1.5, converted_stat)))))</f>
        <v/>
      </c>
      <c r="T144" s="30" t="str">
        <f t="array" ref="T144">IF($A144="", "", LET(bbgm_stat, INDEX(Players!$A143:$P143, MATCH(T$2, Players!$A$1:$P$1, 0)), perc_75, VLOOKUP(T$2, Percentiles!$A$45:$I$59, 6, FALSE), perc_90, VLOOKUP(T$2, Percentiles!$A$45:$I$59, 7, FALSE), perc_95, VLOOKUP(T$2, Percentiles!$A$45:$I$59, 8, FALSE), perc_85, perc_75 + (perc_90 - perc_75) * (2/3), converted_stat, '2K_Ratings'!T144, IF(bbgm_stat &gt;= perc_95, converted_stat * 3, IF(bbgm_stat &gt;= perc_90, converted_stat * 2, IF(bbgm_stat &gt;= perc_85, converted_stat * 1.5, converted_stat)))))</f>
        <v/>
      </c>
      <c r="U144" s="30" t="str">
        <f t="array" ref="U144">IF($A144="", "", LET(bbgm_stat, INDEX(Players!$A143:$P143, MATCH(U$2, Players!$A$1:$P$1, 0)), perc_75, VLOOKUP(U$2, Percentiles!$A$45:$I$59, 6, FALSE), perc_90, VLOOKUP(U$2, Percentiles!$A$45:$I$59, 7, FALSE), perc_95, VLOOKUP(U$2, Percentiles!$A$45:$I$59, 8, FALSE), perc_85, perc_75 + (perc_90 - perc_75) * (2/3), converted_stat, '2K_Ratings'!U144, IF(bbgm_stat &gt;= perc_95, converted_stat * 3, IF(bbgm_stat &gt;= perc_90, converted_stat * 2, IF(bbgm_stat &gt;= perc_85, converted_stat * 1.5, converted_stat)))))</f>
        <v/>
      </c>
      <c r="V144" s="30" t="str">
        <f t="array" ref="V144">IF($A144="", "", LET(bbgm_stat, INDEX(Players!$A143:$P143, MATCH(V$2, Players!$A$1:$P$1, 0)), perc_75, VLOOKUP(V$2, Percentiles!$A$45:$I$59, 6, FALSE), perc_90, VLOOKUP(V$2, Percentiles!$A$45:$I$59, 7, FALSE), perc_95, VLOOKUP(V$2, Percentiles!$A$45:$I$59, 8, FALSE), perc_85, perc_75 + (perc_90 - perc_75) * (2/3), converted_stat, '2K_Ratings'!V144, IF(bbgm_stat &gt;= perc_95, converted_stat * 3, IF(bbgm_stat &gt;= perc_90, converted_stat * 2, IF(bbgm_stat &gt;= perc_85, converted_stat * 1.5, converted_stat)))))</f>
        <v/>
      </c>
      <c r="W144" s="30" t="str">
        <f t="array" ref="W144">IF($A144="", "", LET(bbgm_stat, INDEX(Players!$A143:$P143, MATCH(W$2, Players!$A$1:$P$1, 0)), perc_75, VLOOKUP(W$2, Percentiles!$A$45:$I$59, 6, FALSE), perc_90, VLOOKUP(W$2, Percentiles!$A$45:$I$59, 7, FALSE), perc_95, VLOOKUP(W$2, Percentiles!$A$45:$I$59, 8, FALSE), perc_85, perc_75 + (perc_90 - perc_75) * (2/3), converted_stat, '2K_Ratings'!W144, IF(bbgm_stat &gt;= perc_95, converted_stat * 3, IF(bbgm_stat &gt;= perc_90, converted_stat * 2, IF(bbgm_stat &gt;= perc_85, converted_stat * 1.5, converted_stat)))))</f>
        <v/>
      </c>
    </row>
    <row r="145">
      <c r="A145" s="30"/>
      <c r="B145" s="30" t="str">
        <f t="array" ref="B145">IF($A145="", "", LET(bbgm_stat, INDEX(Players!$A144:$P144, MATCH(B$2, Players!$A$1:$P$1, 0)), perc_75, VLOOKUP(B$2, Percentiles!$A$45:$I$59, 6, FALSE), perc_90, VLOOKUP(B$2, Percentiles!$A$45:$I$59, 7, FALSE), perc_95, VLOOKUP(B$2, Percentiles!$A$45:$I$59, 8, FALSE), perc_85, perc_75 + (perc_90 - perc_75) * (2/3), converted_stat, '2K_Ratings'!B145, IF(bbgm_stat &gt;= perc_95, converted_stat * 3, IF(bbgm_stat &gt;= perc_90, converted_stat * 2, IF(bbgm_stat &gt;= perc_85, converted_stat * 1.5, converted_stat)))))</f>
        <v/>
      </c>
      <c r="C145" s="30" t="str">
        <f t="array" ref="C145">IF($A145="", "", LET(bbgm_stat, INDEX(Players!$A144:$P144, MATCH(C$2, Players!$A$1:$P$1, 0)), perc_75, VLOOKUP(C$2, Percentiles!$A$45:$I$59, 6, FALSE), perc_90, VLOOKUP(C$2, Percentiles!$A$45:$I$59, 7, FALSE), perc_95, VLOOKUP(C$2, Percentiles!$A$45:$I$59, 8, FALSE), perc_85, perc_75 + (perc_90 - perc_75) * (2/3), converted_stat, '2K_Ratings'!C145, IF(bbgm_stat &gt;= perc_95, converted_stat * 3, IF(bbgm_stat &gt;= perc_90, converted_stat * 2, IF(bbgm_stat &gt;= perc_85, converted_stat * 1.5, converted_stat)))))</f>
        <v/>
      </c>
      <c r="D145" s="30" t="str">
        <f t="array" ref="D145">IF($A145="", "", LET(bbgm_stat, INDEX(Players!$A144:$P144, MATCH(D$2, Players!$A$1:$P$1, 0)), perc_75, VLOOKUP(D$2, Percentiles!$A$45:$I$59, 6, FALSE), perc_90, VLOOKUP(D$2, Percentiles!$A$45:$I$59, 7, FALSE), perc_95, VLOOKUP(D$2, Percentiles!$A$45:$I$59, 8, FALSE), perc_85, perc_75 + (perc_90 - perc_75) * (2/3), converted_stat, '2K_Ratings'!D145, IF(bbgm_stat &gt;= perc_95, converted_stat * 3, IF(bbgm_stat &gt;= perc_90, converted_stat * 2, IF(bbgm_stat &gt;= perc_85, converted_stat * 1.5, converted_stat)))))</f>
        <v/>
      </c>
      <c r="E145" s="30" t="str">
        <f t="array" ref="E145">IF($A145="", "", LET(bbgm_stat, INDEX(Players!$A144:$P144, MATCH(E$2, Players!$A$1:$P$1, 0)), perc_75, VLOOKUP(E$2, Percentiles!$A$45:$I$59, 6, FALSE), perc_90, VLOOKUP(E$2, Percentiles!$A$45:$I$59, 7, FALSE), perc_95, VLOOKUP(E$2, Percentiles!$A$45:$I$59, 8, FALSE), perc_85, perc_75 + (perc_90 - perc_75) * (2/3), converted_stat, '2K_Ratings'!E145, IF(bbgm_stat &gt;= perc_95, converted_stat * 3, IF(bbgm_stat &gt;= perc_90, converted_stat * 2, IF(bbgm_stat &gt;= perc_85, converted_stat * 1.5, converted_stat)))))</f>
        <v/>
      </c>
      <c r="F145" s="30" t="str">
        <f t="array" ref="F145">IF($A145="", "", LET(bbgm_stat, INDEX(Players!$A144:$P144, MATCH(F$2, Players!$A$1:$P$1, 0)), perc_75, VLOOKUP(F$2, Percentiles!$A$45:$I$59, 6, FALSE), perc_90, VLOOKUP(F$2, Percentiles!$A$45:$I$59, 7, FALSE), perc_95, VLOOKUP(F$2, Percentiles!$A$45:$I$59, 8, FALSE), perc_85, perc_75 + (perc_90 - perc_75) * (2/3), converted_stat, '2K_Ratings'!F145, IF(bbgm_stat &gt;= perc_95, converted_stat * 3, IF(bbgm_stat &gt;= perc_90, converted_stat * 2, IF(bbgm_stat &gt;= perc_85, converted_stat * 1.5, converted_stat)))))</f>
        <v/>
      </c>
      <c r="G145" s="30" t="str">
        <f t="array" ref="G145">IF($A145="", "", LET(bbgm_stat, INDEX(Players!$A144:$P144, MATCH(G$2, Players!$A$1:$P$1, 0)), perc_75, VLOOKUP(G$2, Percentiles!$A$45:$I$59, 6, FALSE), perc_90, VLOOKUP(G$2, Percentiles!$A$45:$I$59, 7, FALSE), perc_95, VLOOKUP(G$2, Percentiles!$A$45:$I$59, 8, FALSE), perc_85, perc_75 + (perc_90 - perc_75) * (2/3), converted_stat, '2K_Ratings'!G145, IF(bbgm_stat &gt;= perc_95, converted_stat * 3, IF(bbgm_stat &gt;= perc_90, converted_stat * 2, IF(bbgm_stat &gt;= perc_85, converted_stat * 1.5, converted_stat)))))</f>
        <v/>
      </c>
      <c r="H145" s="30" t="str">
        <f t="array" ref="H145">IF($A145="", "", LET(bbgm_stat, INDEX(Players!$A144:$P144, MATCH(H$2, Players!$A$1:$P$1, 0)), perc_75, VLOOKUP(H$2, Percentiles!$A$45:$I$59, 6, FALSE), perc_90, VLOOKUP(H$2, Percentiles!$A$45:$I$59, 7, FALSE), perc_95, VLOOKUP(H$2, Percentiles!$A$45:$I$59, 8, FALSE), perc_85, perc_75 + (perc_90 - perc_75) * (2/3), converted_stat, '2K_Ratings'!H145, IF(bbgm_stat &gt;= perc_95, converted_stat * 3, IF(bbgm_stat &gt;= perc_90, converted_stat * 2, IF(bbgm_stat &gt;= perc_85, converted_stat * 1.5, converted_stat)))))</f>
        <v/>
      </c>
      <c r="I145" s="30" t="str">
        <f t="array" ref="I145">IF($A145="", "", LET(bbgm_stat, INDEX(Players!$A144:$P144, MATCH(I$2, Players!$A$1:$P$1, 0)), perc_75, VLOOKUP(I$2, Percentiles!$A$45:$I$59, 6, FALSE), perc_90, VLOOKUP(I$2, Percentiles!$A$45:$I$59, 7, FALSE), perc_95, VLOOKUP(I$2, Percentiles!$A$45:$I$59, 8, FALSE), perc_85, perc_75 + (perc_90 - perc_75) * (2/3), converted_stat, '2K_Ratings'!I145, IF(bbgm_stat &gt;= perc_95, converted_stat * 3, IF(bbgm_stat &gt;= perc_90, converted_stat * 2, IF(bbgm_stat &gt;= perc_85, converted_stat * 1.5, converted_stat)))))</f>
        <v/>
      </c>
      <c r="J145" s="30" t="str">
        <f t="array" ref="J145">IF($A145="", "", LET(bbgm_stat, INDEX(Players!$A144:$P144, MATCH(J$2, Players!$A$1:$P$1, 0)), perc_75, VLOOKUP(J$2, Percentiles!$A$45:$I$59, 6, FALSE), perc_90, VLOOKUP(J$2, Percentiles!$A$45:$I$59, 7, FALSE), perc_95, VLOOKUP(J$2, Percentiles!$A$45:$I$59, 8, FALSE), perc_85, perc_75 + (perc_90 - perc_75) * (2/3), converted_stat, '2K_Ratings'!J145, IF(bbgm_stat &gt;= perc_95, converted_stat * 3, IF(bbgm_stat &gt;= perc_90, converted_stat * 2, IF(bbgm_stat &gt;= perc_85, converted_stat * 1.5, converted_stat)))))</f>
        <v/>
      </c>
      <c r="K145" s="30" t="str">
        <f t="array" ref="K145">IF($A145="", "", LET(bbgm_stat, INDEX(Players!$A144:$P144, MATCH(K$2, Players!$A$1:$P$1, 0)), perc_75, VLOOKUP(K$2, Percentiles!$A$45:$I$59, 6, FALSE), perc_90, VLOOKUP(K$2, Percentiles!$A$45:$I$59, 7, FALSE), perc_95, VLOOKUP(K$2, Percentiles!$A$45:$I$59, 8, FALSE), perc_85, perc_75 + (perc_90 - perc_75) * (2/3), converted_stat, '2K_Ratings'!K145, IF(bbgm_stat &gt;= perc_95, converted_stat * 3, IF(bbgm_stat &gt;= perc_90, converted_stat * 2, IF(bbgm_stat &gt;= perc_85, converted_stat * 1.5, converted_stat)))))</f>
        <v/>
      </c>
      <c r="L145" s="30" t="str">
        <f t="array" ref="L145">IF($A145="", "", LET(bbgm_stat, INDEX(Players!$A144:$P144, MATCH(L$2, Players!$A$1:$P$1, 0)), perc_75, VLOOKUP(L$2, Percentiles!$A$45:$I$59, 6, FALSE), perc_90, VLOOKUP(L$2, Percentiles!$A$45:$I$59, 7, FALSE), perc_95, VLOOKUP(L$2, Percentiles!$A$45:$I$59, 8, FALSE), perc_85, perc_75 + (perc_90 - perc_75) * (2/3), converted_stat, '2K_Ratings'!L145, IF(bbgm_stat &gt;= perc_95, converted_stat * 3, IF(bbgm_stat &gt;= perc_90, converted_stat * 2, IF(bbgm_stat &gt;= perc_85, converted_stat * 1.5, converted_stat)))))</f>
        <v/>
      </c>
      <c r="M145" s="30" t="str">
        <f t="array" ref="M145">IF($A145="", "", LET(bbgm_stat, INDEX(Players!$A144:$P144, MATCH(M$2, Players!$A$1:$P$1, 0)), perc_75, VLOOKUP(M$2, Percentiles!$A$45:$I$59, 6, FALSE), perc_90, VLOOKUP(M$2, Percentiles!$A$45:$I$59, 7, FALSE), perc_95, VLOOKUP(M$2, Percentiles!$A$45:$I$59, 8, FALSE), perc_85, perc_75 + (perc_90 - perc_75) * (2/3), converted_stat, '2K_Ratings'!M145, IF(bbgm_stat &gt;= perc_95, converted_stat * 3, IF(bbgm_stat &gt;= perc_90, converted_stat * 2, IF(bbgm_stat &gt;= perc_85, converted_stat * 1.5, converted_stat)))))</f>
        <v/>
      </c>
      <c r="N145" s="30" t="str">
        <f t="array" ref="N145">IF($A145="", "", LET(bbgm_stat, INDEX(Players!$A144:$P144, MATCH(N$2, Players!$A$1:$P$1, 0)), perc_75, VLOOKUP(N$2, Percentiles!$A$45:$I$59, 6, FALSE), perc_90, VLOOKUP(N$2, Percentiles!$A$45:$I$59, 7, FALSE), perc_95, VLOOKUP(N$2, Percentiles!$A$45:$I$59, 8, FALSE), perc_85, perc_75 + (perc_90 - perc_75) * (2/3), converted_stat, '2K_Ratings'!N145, IF(bbgm_stat &gt;= perc_95, converted_stat * 3, IF(bbgm_stat &gt;= perc_90, converted_stat * 2, IF(bbgm_stat &gt;= perc_85, converted_stat * 1.5, converted_stat)))))</f>
        <v/>
      </c>
      <c r="O145" s="30" t="str">
        <f t="array" ref="O145">IF($A145="", "", LET(bbgm_stat, INDEX(Players!$A144:$P144, MATCH(O$2, Players!$A$1:$P$1, 0)), perc_75, VLOOKUP(O$2, Percentiles!$A$45:$I$59, 6, FALSE), perc_90, VLOOKUP(O$2, Percentiles!$A$45:$I$59, 7, FALSE), perc_95, VLOOKUP(O$2, Percentiles!$A$45:$I$59, 8, FALSE), perc_85, perc_75 + (perc_90 - perc_75) * (2/3), converted_stat, '2K_Ratings'!O145, IF(bbgm_stat &gt;= perc_95, converted_stat * 3, IF(bbgm_stat &gt;= perc_90, converted_stat * 2, IF(bbgm_stat &gt;= perc_85, converted_stat * 1.5, converted_stat)))))</f>
        <v/>
      </c>
      <c r="P145" s="30" t="str">
        <f t="array" ref="P145">IF($A145="", "", LET(bbgm_stat, INDEX(Players!$A144:$P144, MATCH(P$2, Players!$A$1:$P$1, 0)), perc_75, VLOOKUP(P$2, Percentiles!$A$45:$I$59, 6, FALSE), perc_90, VLOOKUP(P$2, Percentiles!$A$45:$I$59, 7, FALSE), perc_95, VLOOKUP(P$2, Percentiles!$A$45:$I$59, 8, FALSE), perc_85, perc_75 + (perc_90 - perc_75) * (2/3), converted_stat, '2K_Ratings'!P145, IF(bbgm_stat &gt;= perc_95, converted_stat * 3, IF(bbgm_stat &gt;= perc_90, converted_stat * 2, IF(bbgm_stat &gt;= perc_85, converted_stat * 1.5, converted_stat)))))</f>
        <v/>
      </c>
      <c r="Q145" s="30" t="str">
        <f t="array" ref="Q145">IF($A145="", "", LET(bbgm_stat, INDEX(Players!$A144:$P144, MATCH(Q$2, Players!$A$1:$P$1, 0)), perc_75, VLOOKUP(Q$2, Percentiles!$A$45:$I$59, 6, FALSE), perc_90, VLOOKUP(Q$2, Percentiles!$A$45:$I$59, 7, FALSE), perc_95, VLOOKUP(Q$2, Percentiles!$A$45:$I$59, 8, FALSE), perc_85, perc_75 + (perc_90 - perc_75) * (2/3), converted_stat, '2K_Ratings'!Q145, IF(bbgm_stat &gt;= perc_95, converted_stat * 3, IF(bbgm_stat &gt;= perc_90, converted_stat * 2, IF(bbgm_stat &gt;= perc_85, converted_stat * 1.5, converted_stat)))))</f>
        <v/>
      </c>
      <c r="R145" s="30" t="str">
        <f t="array" ref="R145">IF($A145="", "", LET(bbgm_stat, INDEX(Players!$A144:$P144, MATCH(R$2, Players!$A$1:$P$1, 0)), perc_75, VLOOKUP(R$2, Percentiles!$A$45:$I$59, 6, FALSE), perc_90, VLOOKUP(R$2, Percentiles!$A$45:$I$59, 7, FALSE), perc_95, VLOOKUP(R$2, Percentiles!$A$45:$I$59, 8, FALSE), perc_85, perc_75 + (perc_90 - perc_75) * (2/3), converted_stat, '2K_Ratings'!R145, IF(bbgm_stat &gt;= perc_95, converted_stat * 3, IF(bbgm_stat &gt;= perc_90, converted_stat * 2, IF(bbgm_stat &gt;= perc_85, converted_stat * 1.5, converted_stat)))))</f>
        <v/>
      </c>
      <c r="S145" s="30" t="str">
        <f t="array" ref="S145">IF($A145="", "", LET(bbgm_stat, INDEX(Players!$A144:$P144, MATCH(S$2, Players!$A$1:$P$1, 0)), perc_75, VLOOKUP(S$2, Percentiles!$A$45:$I$59, 6, FALSE), perc_90, VLOOKUP(S$2, Percentiles!$A$45:$I$59, 7, FALSE), perc_95, VLOOKUP(S$2, Percentiles!$A$45:$I$59, 8, FALSE), perc_85, perc_75 + (perc_90 - perc_75) * (2/3), converted_stat, '2K_Ratings'!S145, IF(bbgm_stat &gt;= perc_95, converted_stat * 3, IF(bbgm_stat &gt;= perc_90, converted_stat * 2, IF(bbgm_stat &gt;= perc_85, converted_stat * 1.5, converted_stat)))))</f>
        <v/>
      </c>
      <c r="T145" s="30" t="str">
        <f t="array" ref="T145">IF($A145="", "", LET(bbgm_stat, INDEX(Players!$A144:$P144, MATCH(T$2, Players!$A$1:$P$1, 0)), perc_75, VLOOKUP(T$2, Percentiles!$A$45:$I$59, 6, FALSE), perc_90, VLOOKUP(T$2, Percentiles!$A$45:$I$59, 7, FALSE), perc_95, VLOOKUP(T$2, Percentiles!$A$45:$I$59, 8, FALSE), perc_85, perc_75 + (perc_90 - perc_75) * (2/3), converted_stat, '2K_Ratings'!T145, IF(bbgm_stat &gt;= perc_95, converted_stat * 3, IF(bbgm_stat &gt;= perc_90, converted_stat * 2, IF(bbgm_stat &gt;= perc_85, converted_stat * 1.5, converted_stat)))))</f>
        <v/>
      </c>
      <c r="U145" s="30" t="str">
        <f t="array" ref="U145">IF($A145="", "", LET(bbgm_stat, INDEX(Players!$A144:$P144, MATCH(U$2, Players!$A$1:$P$1, 0)), perc_75, VLOOKUP(U$2, Percentiles!$A$45:$I$59, 6, FALSE), perc_90, VLOOKUP(U$2, Percentiles!$A$45:$I$59, 7, FALSE), perc_95, VLOOKUP(U$2, Percentiles!$A$45:$I$59, 8, FALSE), perc_85, perc_75 + (perc_90 - perc_75) * (2/3), converted_stat, '2K_Ratings'!U145, IF(bbgm_stat &gt;= perc_95, converted_stat * 3, IF(bbgm_stat &gt;= perc_90, converted_stat * 2, IF(bbgm_stat &gt;= perc_85, converted_stat * 1.5, converted_stat)))))</f>
        <v/>
      </c>
      <c r="V145" s="30" t="str">
        <f t="array" ref="V145">IF($A145="", "", LET(bbgm_stat, INDEX(Players!$A144:$P144, MATCH(V$2, Players!$A$1:$P$1, 0)), perc_75, VLOOKUP(V$2, Percentiles!$A$45:$I$59, 6, FALSE), perc_90, VLOOKUP(V$2, Percentiles!$A$45:$I$59, 7, FALSE), perc_95, VLOOKUP(V$2, Percentiles!$A$45:$I$59, 8, FALSE), perc_85, perc_75 + (perc_90 - perc_75) * (2/3), converted_stat, '2K_Ratings'!V145, IF(bbgm_stat &gt;= perc_95, converted_stat * 3, IF(bbgm_stat &gt;= perc_90, converted_stat * 2, IF(bbgm_stat &gt;= perc_85, converted_stat * 1.5, converted_stat)))))</f>
        <v/>
      </c>
      <c r="W145" s="30" t="str">
        <f t="array" ref="W145">IF($A145="", "", LET(bbgm_stat, INDEX(Players!$A144:$P144, MATCH(W$2, Players!$A$1:$P$1, 0)), perc_75, VLOOKUP(W$2, Percentiles!$A$45:$I$59, 6, FALSE), perc_90, VLOOKUP(W$2, Percentiles!$A$45:$I$59, 7, FALSE), perc_95, VLOOKUP(W$2, Percentiles!$A$45:$I$59, 8, FALSE), perc_85, perc_75 + (perc_90 - perc_75) * (2/3), converted_stat, '2K_Ratings'!W145, IF(bbgm_stat &gt;= perc_95, converted_stat * 3, IF(bbgm_stat &gt;= perc_90, converted_stat * 2, IF(bbgm_stat &gt;= perc_85, converted_stat * 1.5, converted_stat)))))</f>
        <v/>
      </c>
    </row>
    <row r="146">
      <c r="A146" s="30"/>
      <c r="B146" s="30" t="str">
        <f t="array" ref="B146">IF($A146="", "", LET(bbgm_stat, INDEX(Players!$A145:$P145, MATCH(B$2, Players!$A$1:$P$1, 0)), perc_75, VLOOKUP(B$2, Percentiles!$A$45:$I$59, 6, FALSE), perc_90, VLOOKUP(B$2, Percentiles!$A$45:$I$59, 7, FALSE), perc_95, VLOOKUP(B$2, Percentiles!$A$45:$I$59, 8, FALSE), perc_85, perc_75 + (perc_90 - perc_75) * (2/3), converted_stat, '2K_Ratings'!B146, IF(bbgm_stat &gt;= perc_95, converted_stat * 3, IF(bbgm_stat &gt;= perc_90, converted_stat * 2, IF(bbgm_stat &gt;= perc_85, converted_stat * 1.5, converted_stat)))))</f>
        <v/>
      </c>
      <c r="C146" s="30" t="str">
        <f t="array" ref="C146">IF($A146="", "", LET(bbgm_stat, INDEX(Players!$A145:$P145, MATCH(C$2, Players!$A$1:$P$1, 0)), perc_75, VLOOKUP(C$2, Percentiles!$A$45:$I$59, 6, FALSE), perc_90, VLOOKUP(C$2, Percentiles!$A$45:$I$59, 7, FALSE), perc_95, VLOOKUP(C$2, Percentiles!$A$45:$I$59, 8, FALSE), perc_85, perc_75 + (perc_90 - perc_75) * (2/3), converted_stat, '2K_Ratings'!C146, IF(bbgm_stat &gt;= perc_95, converted_stat * 3, IF(bbgm_stat &gt;= perc_90, converted_stat * 2, IF(bbgm_stat &gt;= perc_85, converted_stat * 1.5, converted_stat)))))</f>
        <v/>
      </c>
      <c r="D146" s="30" t="str">
        <f t="array" ref="D146">IF($A146="", "", LET(bbgm_stat, INDEX(Players!$A145:$P145, MATCH(D$2, Players!$A$1:$P$1, 0)), perc_75, VLOOKUP(D$2, Percentiles!$A$45:$I$59, 6, FALSE), perc_90, VLOOKUP(D$2, Percentiles!$A$45:$I$59, 7, FALSE), perc_95, VLOOKUP(D$2, Percentiles!$A$45:$I$59, 8, FALSE), perc_85, perc_75 + (perc_90 - perc_75) * (2/3), converted_stat, '2K_Ratings'!D146, IF(bbgm_stat &gt;= perc_95, converted_stat * 3, IF(bbgm_stat &gt;= perc_90, converted_stat * 2, IF(bbgm_stat &gt;= perc_85, converted_stat * 1.5, converted_stat)))))</f>
        <v/>
      </c>
      <c r="E146" s="30" t="str">
        <f t="array" ref="E146">IF($A146="", "", LET(bbgm_stat, INDEX(Players!$A145:$P145, MATCH(E$2, Players!$A$1:$P$1, 0)), perc_75, VLOOKUP(E$2, Percentiles!$A$45:$I$59, 6, FALSE), perc_90, VLOOKUP(E$2, Percentiles!$A$45:$I$59, 7, FALSE), perc_95, VLOOKUP(E$2, Percentiles!$A$45:$I$59, 8, FALSE), perc_85, perc_75 + (perc_90 - perc_75) * (2/3), converted_stat, '2K_Ratings'!E146, IF(bbgm_stat &gt;= perc_95, converted_stat * 3, IF(bbgm_stat &gt;= perc_90, converted_stat * 2, IF(bbgm_stat &gt;= perc_85, converted_stat * 1.5, converted_stat)))))</f>
        <v/>
      </c>
      <c r="F146" s="30" t="str">
        <f t="array" ref="F146">IF($A146="", "", LET(bbgm_stat, INDEX(Players!$A145:$P145, MATCH(F$2, Players!$A$1:$P$1, 0)), perc_75, VLOOKUP(F$2, Percentiles!$A$45:$I$59, 6, FALSE), perc_90, VLOOKUP(F$2, Percentiles!$A$45:$I$59, 7, FALSE), perc_95, VLOOKUP(F$2, Percentiles!$A$45:$I$59, 8, FALSE), perc_85, perc_75 + (perc_90 - perc_75) * (2/3), converted_stat, '2K_Ratings'!F146, IF(bbgm_stat &gt;= perc_95, converted_stat * 3, IF(bbgm_stat &gt;= perc_90, converted_stat * 2, IF(bbgm_stat &gt;= perc_85, converted_stat * 1.5, converted_stat)))))</f>
        <v/>
      </c>
      <c r="G146" s="30" t="str">
        <f t="array" ref="G146">IF($A146="", "", LET(bbgm_stat, INDEX(Players!$A145:$P145, MATCH(G$2, Players!$A$1:$P$1, 0)), perc_75, VLOOKUP(G$2, Percentiles!$A$45:$I$59, 6, FALSE), perc_90, VLOOKUP(G$2, Percentiles!$A$45:$I$59, 7, FALSE), perc_95, VLOOKUP(G$2, Percentiles!$A$45:$I$59, 8, FALSE), perc_85, perc_75 + (perc_90 - perc_75) * (2/3), converted_stat, '2K_Ratings'!G146, IF(bbgm_stat &gt;= perc_95, converted_stat * 3, IF(bbgm_stat &gt;= perc_90, converted_stat * 2, IF(bbgm_stat &gt;= perc_85, converted_stat * 1.5, converted_stat)))))</f>
        <v/>
      </c>
      <c r="H146" s="30" t="str">
        <f t="array" ref="H146">IF($A146="", "", LET(bbgm_stat, INDEX(Players!$A145:$P145, MATCH(H$2, Players!$A$1:$P$1, 0)), perc_75, VLOOKUP(H$2, Percentiles!$A$45:$I$59, 6, FALSE), perc_90, VLOOKUP(H$2, Percentiles!$A$45:$I$59, 7, FALSE), perc_95, VLOOKUP(H$2, Percentiles!$A$45:$I$59, 8, FALSE), perc_85, perc_75 + (perc_90 - perc_75) * (2/3), converted_stat, '2K_Ratings'!H146, IF(bbgm_stat &gt;= perc_95, converted_stat * 3, IF(bbgm_stat &gt;= perc_90, converted_stat * 2, IF(bbgm_stat &gt;= perc_85, converted_stat * 1.5, converted_stat)))))</f>
        <v/>
      </c>
      <c r="I146" s="30" t="str">
        <f t="array" ref="I146">IF($A146="", "", LET(bbgm_stat, INDEX(Players!$A145:$P145, MATCH(I$2, Players!$A$1:$P$1, 0)), perc_75, VLOOKUP(I$2, Percentiles!$A$45:$I$59, 6, FALSE), perc_90, VLOOKUP(I$2, Percentiles!$A$45:$I$59, 7, FALSE), perc_95, VLOOKUP(I$2, Percentiles!$A$45:$I$59, 8, FALSE), perc_85, perc_75 + (perc_90 - perc_75) * (2/3), converted_stat, '2K_Ratings'!I146, IF(bbgm_stat &gt;= perc_95, converted_stat * 3, IF(bbgm_stat &gt;= perc_90, converted_stat * 2, IF(bbgm_stat &gt;= perc_85, converted_stat * 1.5, converted_stat)))))</f>
        <v/>
      </c>
      <c r="J146" s="30" t="str">
        <f t="array" ref="J146">IF($A146="", "", LET(bbgm_stat, INDEX(Players!$A145:$P145, MATCH(J$2, Players!$A$1:$P$1, 0)), perc_75, VLOOKUP(J$2, Percentiles!$A$45:$I$59, 6, FALSE), perc_90, VLOOKUP(J$2, Percentiles!$A$45:$I$59, 7, FALSE), perc_95, VLOOKUP(J$2, Percentiles!$A$45:$I$59, 8, FALSE), perc_85, perc_75 + (perc_90 - perc_75) * (2/3), converted_stat, '2K_Ratings'!J146, IF(bbgm_stat &gt;= perc_95, converted_stat * 3, IF(bbgm_stat &gt;= perc_90, converted_stat * 2, IF(bbgm_stat &gt;= perc_85, converted_stat * 1.5, converted_stat)))))</f>
        <v/>
      </c>
      <c r="K146" s="30" t="str">
        <f t="array" ref="K146">IF($A146="", "", LET(bbgm_stat, INDEX(Players!$A145:$P145, MATCH(K$2, Players!$A$1:$P$1, 0)), perc_75, VLOOKUP(K$2, Percentiles!$A$45:$I$59, 6, FALSE), perc_90, VLOOKUP(K$2, Percentiles!$A$45:$I$59, 7, FALSE), perc_95, VLOOKUP(K$2, Percentiles!$A$45:$I$59, 8, FALSE), perc_85, perc_75 + (perc_90 - perc_75) * (2/3), converted_stat, '2K_Ratings'!K146, IF(bbgm_stat &gt;= perc_95, converted_stat * 3, IF(bbgm_stat &gt;= perc_90, converted_stat * 2, IF(bbgm_stat &gt;= perc_85, converted_stat * 1.5, converted_stat)))))</f>
        <v/>
      </c>
      <c r="L146" s="30" t="str">
        <f t="array" ref="L146">IF($A146="", "", LET(bbgm_stat, INDEX(Players!$A145:$P145, MATCH(L$2, Players!$A$1:$P$1, 0)), perc_75, VLOOKUP(L$2, Percentiles!$A$45:$I$59, 6, FALSE), perc_90, VLOOKUP(L$2, Percentiles!$A$45:$I$59, 7, FALSE), perc_95, VLOOKUP(L$2, Percentiles!$A$45:$I$59, 8, FALSE), perc_85, perc_75 + (perc_90 - perc_75) * (2/3), converted_stat, '2K_Ratings'!L146, IF(bbgm_stat &gt;= perc_95, converted_stat * 3, IF(bbgm_stat &gt;= perc_90, converted_stat * 2, IF(bbgm_stat &gt;= perc_85, converted_stat * 1.5, converted_stat)))))</f>
        <v/>
      </c>
      <c r="M146" s="30" t="str">
        <f t="array" ref="M146">IF($A146="", "", LET(bbgm_stat, INDEX(Players!$A145:$P145, MATCH(M$2, Players!$A$1:$P$1, 0)), perc_75, VLOOKUP(M$2, Percentiles!$A$45:$I$59, 6, FALSE), perc_90, VLOOKUP(M$2, Percentiles!$A$45:$I$59, 7, FALSE), perc_95, VLOOKUP(M$2, Percentiles!$A$45:$I$59, 8, FALSE), perc_85, perc_75 + (perc_90 - perc_75) * (2/3), converted_stat, '2K_Ratings'!M146, IF(bbgm_stat &gt;= perc_95, converted_stat * 3, IF(bbgm_stat &gt;= perc_90, converted_stat * 2, IF(bbgm_stat &gt;= perc_85, converted_stat * 1.5, converted_stat)))))</f>
        <v/>
      </c>
      <c r="N146" s="30" t="str">
        <f t="array" ref="N146">IF($A146="", "", LET(bbgm_stat, INDEX(Players!$A145:$P145, MATCH(N$2, Players!$A$1:$P$1, 0)), perc_75, VLOOKUP(N$2, Percentiles!$A$45:$I$59, 6, FALSE), perc_90, VLOOKUP(N$2, Percentiles!$A$45:$I$59, 7, FALSE), perc_95, VLOOKUP(N$2, Percentiles!$A$45:$I$59, 8, FALSE), perc_85, perc_75 + (perc_90 - perc_75) * (2/3), converted_stat, '2K_Ratings'!N146, IF(bbgm_stat &gt;= perc_95, converted_stat * 3, IF(bbgm_stat &gt;= perc_90, converted_stat * 2, IF(bbgm_stat &gt;= perc_85, converted_stat * 1.5, converted_stat)))))</f>
        <v/>
      </c>
      <c r="O146" s="30" t="str">
        <f t="array" ref="O146">IF($A146="", "", LET(bbgm_stat, INDEX(Players!$A145:$P145, MATCH(O$2, Players!$A$1:$P$1, 0)), perc_75, VLOOKUP(O$2, Percentiles!$A$45:$I$59, 6, FALSE), perc_90, VLOOKUP(O$2, Percentiles!$A$45:$I$59, 7, FALSE), perc_95, VLOOKUP(O$2, Percentiles!$A$45:$I$59, 8, FALSE), perc_85, perc_75 + (perc_90 - perc_75) * (2/3), converted_stat, '2K_Ratings'!O146, IF(bbgm_stat &gt;= perc_95, converted_stat * 3, IF(bbgm_stat &gt;= perc_90, converted_stat * 2, IF(bbgm_stat &gt;= perc_85, converted_stat * 1.5, converted_stat)))))</f>
        <v/>
      </c>
      <c r="P146" s="30" t="str">
        <f t="array" ref="P146">IF($A146="", "", LET(bbgm_stat, INDEX(Players!$A145:$P145, MATCH(P$2, Players!$A$1:$P$1, 0)), perc_75, VLOOKUP(P$2, Percentiles!$A$45:$I$59, 6, FALSE), perc_90, VLOOKUP(P$2, Percentiles!$A$45:$I$59, 7, FALSE), perc_95, VLOOKUP(P$2, Percentiles!$A$45:$I$59, 8, FALSE), perc_85, perc_75 + (perc_90 - perc_75) * (2/3), converted_stat, '2K_Ratings'!P146, IF(bbgm_stat &gt;= perc_95, converted_stat * 3, IF(bbgm_stat &gt;= perc_90, converted_stat * 2, IF(bbgm_stat &gt;= perc_85, converted_stat * 1.5, converted_stat)))))</f>
        <v/>
      </c>
      <c r="Q146" s="30" t="str">
        <f t="array" ref="Q146">IF($A146="", "", LET(bbgm_stat, INDEX(Players!$A145:$P145, MATCH(Q$2, Players!$A$1:$P$1, 0)), perc_75, VLOOKUP(Q$2, Percentiles!$A$45:$I$59, 6, FALSE), perc_90, VLOOKUP(Q$2, Percentiles!$A$45:$I$59, 7, FALSE), perc_95, VLOOKUP(Q$2, Percentiles!$A$45:$I$59, 8, FALSE), perc_85, perc_75 + (perc_90 - perc_75) * (2/3), converted_stat, '2K_Ratings'!Q146, IF(bbgm_stat &gt;= perc_95, converted_stat * 3, IF(bbgm_stat &gt;= perc_90, converted_stat * 2, IF(bbgm_stat &gt;= perc_85, converted_stat * 1.5, converted_stat)))))</f>
        <v/>
      </c>
      <c r="R146" s="30" t="str">
        <f t="array" ref="R146">IF($A146="", "", LET(bbgm_stat, INDEX(Players!$A145:$P145, MATCH(R$2, Players!$A$1:$P$1, 0)), perc_75, VLOOKUP(R$2, Percentiles!$A$45:$I$59, 6, FALSE), perc_90, VLOOKUP(R$2, Percentiles!$A$45:$I$59, 7, FALSE), perc_95, VLOOKUP(R$2, Percentiles!$A$45:$I$59, 8, FALSE), perc_85, perc_75 + (perc_90 - perc_75) * (2/3), converted_stat, '2K_Ratings'!R146, IF(bbgm_stat &gt;= perc_95, converted_stat * 3, IF(bbgm_stat &gt;= perc_90, converted_stat * 2, IF(bbgm_stat &gt;= perc_85, converted_stat * 1.5, converted_stat)))))</f>
        <v/>
      </c>
      <c r="S146" s="30" t="str">
        <f t="array" ref="S146">IF($A146="", "", LET(bbgm_stat, INDEX(Players!$A145:$P145, MATCH(S$2, Players!$A$1:$P$1, 0)), perc_75, VLOOKUP(S$2, Percentiles!$A$45:$I$59, 6, FALSE), perc_90, VLOOKUP(S$2, Percentiles!$A$45:$I$59, 7, FALSE), perc_95, VLOOKUP(S$2, Percentiles!$A$45:$I$59, 8, FALSE), perc_85, perc_75 + (perc_90 - perc_75) * (2/3), converted_stat, '2K_Ratings'!S146, IF(bbgm_stat &gt;= perc_95, converted_stat * 3, IF(bbgm_stat &gt;= perc_90, converted_stat * 2, IF(bbgm_stat &gt;= perc_85, converted_stat * 1.5, converted_stat)))))</f>
        <v/>
      </c>
      <c r="T146" s="30" t="str">
        <f t="array" ref="T146">IF($A146="", "", LET(bbgm_stat, INDEX(Players!$A145:$P145, MATCH(T$2, Players!$A$1:$P$1, 0)), perc_75, VLOOKUP(T$2, Percentiles!$A$45:$I$59, 6, FALSE), perc_90, VLOOKUP(T$2, Percentiles!$A$45:$I$59, 7, FALSE), perc_95, VLOOKUP(T$2, Percentiles!$A$45:$I$59, 8, FALSE), perc_85, perc_75 + (perc_90 - perc_75) * (2/3), converted_stat, '2K_Ratings'!T146, IF(bbgm_stat &gt;= perc_95, converted_stat * 3, IF(bbgm_stat &gt;= perc_90, converted_stat * 2, IF(bbgm_stat &gt;= perc_85, converted_stat * 1.5, converted_stat)))))</f>
        <v/>
      </c>
      <c r="U146" s="30" t="str">
        <f t="array" ref="U146">IF($A146="", "", LET(bbgm_stat, INDEX(Players!$A145:$P145, MATCH(U$2, Players!$A$1:$P$1, 0)), perc_75, VLOOKUP(U$2, Percentiles!$A$45:$I$59, 6, FALSE), perc_90, VLOOKUP(U$2, Percentiles!$A$45:$I$59, 7, FALSE), perc_95, VLOOKUP(U$2, Percentiles!$A$45:$I$59, 8, FALSE), perc_85, perc_75 + (perc_90 - perc_75) * (2/3), converted_stat, '2K_Ratings'!U146, IF(bbgm_stat &gt;= perc_95, converted_stat * 3, IF(bbgm_stat &gt;= perc_90, converted_stat * 2, IF(bbgm_stat &gt;= perc_85, converted_stat * 1.5, converted_stat)))))</f>
        <v/>
      </c>
      <c r="V146" s="30" t="str">
        <f t="array" ref="V146">IF($A146="", "", LET(bbgm_stat, INDEX(Players!$A145:$P145, MATCH(V$2, Players!$A$1:$P$1, 0)), perc_75, VLOOKUP(V$2, Percentiles!$A$45:$I$59, 6, FALSE), perc_90, VLOOKUP(V$2, Percentiles!$A$45:$I$59, 7, FALSE), perc_95, VLOOKUP(V$2, Percentiles!$A$45:$I$59, 8, FALSE), perc_85, perc_75 + (perc_90 - perc_75) * (2/3), converted_stat, '2K_Ratings'!V146, IF(bbgm_stat &gt;= perc_95, converted_stat * 3, IF(bbgm_stat &gt;= perc_90, converted_stat * 2, IF(bbgm_stat &gt;= perc_85, converted_stat * 1.5, converted_stat)))))</f>
        <v/>
      </c>
      <c r="W146" s="30" t="str">
        <f t="array" ref="W146">IF($A146="", "", LET(bbgm_stat, INDEX(Players!$A145:$P145, MATCH(W$2, Players!$A$1:$P$1, 0)), perc_75, VLOOKUP(W$2, Percentiles!$A$45:$I$59, 6, FALSE), perc_90, VLOOKUP(W$2, Percentiles!$A$45:$I$59, 7, FALSE), perc_95, VLOOKUP(W$2, Percentiles!$A$45:$I$59, 8, FALSE), perc_85, perc_75 + (perc_90 - perc_75) * (2/3), converted_stat, '2K_Ratings'!W146, IF(bbgm_stat &gt;= perc_95, converted_stat * 3, IF(bbgm_stat &gt;= perc_90, converted_stat * 2, IF(bbgm_stat &gt;= perc_85, converted_stat * 1.5, converted_stat)))))</f>
        <v/>
      </c>
    </row>
    <row r="147">
      <c r="A147" s="30"/>
      <c r="B147" s="30" t="str">
        <f t="array" ref="B147">IF($A147="", "", LET(bbgm_stat, INDEX(Players!$A146:$P146, MATCH(B$2, Players!$A$1:$P$1, 0)), perc_75, VLOOKUP(B$2, Percentiles!$A$45:$I$59, 6, FALSE), perc_90, VLOOKUP(B$2, Percentiles!$A$45:$I$59, 7, FALSE), perc_95, VLOOKUP(B$2, Percentiles!$A$45:$I$59, 8, FALSE), perc_85, perc_75 + (perc_90 - perc_75) * (2/3), converted_stat, '2K_Ratings'!B147, IF(bbgm_stat &gt;= perc_95, converted_stat * 3, IF(bbgm_stat &gt;= perc_90, converted_stat * 2, IF(bbgm_stat &gt;= perc_85, converted_stat * 1.5, converted_stat)))))</f>
        <v/>
      </c>
      <c r="C147" s="30" t="str">
        <f t="array" ref="C147">IF($A147="", "", LET(bbgm_stat, INDEX(Players!$A146:$P146, MATCH(C$2, Players!$A$1:$P$1, 0)), perc_75, VLOOKUP(C$2, Percentiles!$A$45:$I$59, 6, FALSE), perc_90, VLOOKUP(C$2, Percentiles!$A$45:$I$59, 7, FALSE), perc_95, VLOOKUP(C$2, Percentiles!$A$45:$I$59, 8, FALSE), perc_85, perc_75 + (perc_90 - perc_75) * (2/3), converted_stat, '2K_Ratings'!C147, IF(bbgm_stat &gt;= perc_95, converted_stat * 3, IF(bbgm_stat &gt;= perc_90, converted_stat * 2, IF(bbgm_stat &gt;= perc_85, converted_stat * 1.5, converted_stat)))))</f>
        <v/>
      </c>
      <c r="D147" s="30" t="str">
        <f t="array" ref="D147">IF($A147="", "", LET(bbgm_stat, INDEX(Players!$A146:$P146, MATCH(D$2, Players!$A$1:$P$1, 0)), perc_75, VLOOKUP(D$2, Percentiles!$A$45:$I$59, 6, FALSE), perc_90, VLOOKUP(D$2, Percentiles!$A$45:$I$59, 7, FALSE), perc_95, VLOOKUP(D$2, Percentiles!$A$45:$I$59, 8, FALSE), perc_85, perc_75 + (perc_90 - perc_75) * (2/3), converted_stat, '2K_Ratings'!D147, IF(bbgm_stat &gt;= perc_95, converted_stat * 3, IF(bbgm_stat &gt;= perc_90, converted_stat * 2, IF(bbgm_stat &gt;= perc_85, converted_stat * 1.5, converted_stat)))))</f>
        <v/>
      </c>
      <c r="E147" s="30" t="str">
        <f t="array" ref="E147">IF($A147="", "", LET(bbgm_stat, INDEX(Players!$A146:$P146, MATCH(E$2, Players!$A$1:$P$1, 0)), perc_75, VLOOKUP(E$2, Percentiles!$A$45:$I$59, 6, FALSE), perc_90, VLOOKUP(E$2, Percentiles!$A$45:$I$59, 7, FALSE), perc_95, VLOOKUP(E$2, Percentiles!$A$45:$I$59, 8, FALSE), perc_85, perc_75 + (perc_90 - perc_75) * (2/3), converted_stat, '2K_Ratings'!E147, IF(bbgm_stat &gt;= perc_95, converted_stat * 3, IF(bbgm_stat &gt;= perc_90, converted_stat * 2, IF(bbgm_stat &gt;= perc_85, converted_stat * 1.5, converted_stat)))))</f>
        <v/>
      </c>
      <c r="F147" s="30" t="str">
        <f t="array" ref="F147">IF($A147="", "", LET(bbgm_stat, INDEX(Players!$A146:$P146, MATCH(F$2, Players!$A$1:$P$1, 0)), perc_75, VLOOKUP(F$2, Percentiles!$A$45:$I$59, 6, FALSE), perc_90, VLOOKUP(F$2, Percentiles!$A$45:$I$59, 7, FALSE), perc_95, VLOOKUP(F$2, Percentiles!$A$45:$I$59, 8, FALSE), perc_85, perc_75 + (perc_90 - perc_75) * (2/3), converted_stat, '2K_Ratings'!F147, IF(bbgm_stat &gt;= perc_95, converted_stat * 3, IF(bbgm_stat &gt;= perc_90, converted_stat * 2, IF(bbgm_stat &gt;= perc_85, converted_stat * 1.5, converted_stat)))))</f>
        <v/>
      </c>
      <c r="G147" s="30" t="str">
        <f t="array" ref="G147">IF($A147="", "", LET(bbgm_stat, INDEX(Players!$A146:$P146, MATCH(G$2, Players!$A$1:$P$1, 0)), perc_75, VLOOKUP(G$2, Percentiles!$A$45:$I$59, 6, FALSE), perc_90, VLOOKUP(G$2, Percentiles!$A$45:$I$59, 7, FALSE), perc_95, VLOOKUP(G$2, Percentiles!$A$45:$I$59, 8, FALSE), perc_85, perc_75 + (perc_90 - perc_75) * (2/3), converted_stat, '2K_Ratings'!G147, IF(bbgm_stat &gt;= perc_95, converted_stat * 3, IF(bbgm_stat &gt;= perc_90, converted_stat * 2, IF(bbgm_stat &gt;= perc_85, converted_stat * 1.5, converted_stat)))))</f>
        <v/>
      </c>
      <c r="H147" s="30" t="str">
        <f t="array" ref="H147">IF($A147="", "", LET(bbgm_stat, INDEX(Players!$A146:$P146, MATCH(H$2, Players!$A$1:$P$1, 0)), perc_75, VLOOKUP(H$2, Percentiles!$A$45:$I$59, 6, FALSE), perc_90, VLOOKUP(H$2, Percentiles!$A$45:$I$59, 7, FALSE), perc_95, VLOOKUP(H$2, Percentiles!$A$45:$I$59, 8, FALSE), perc_85, perc_75 + (perc_90 - perc_75) * (2/3), converted_stat, '2K_Ratings'!H147, IF(bbgm_stat &gt;= perc_95, converted_stat * 3, IF(bbgm_stat &gt;= perc_90, converted_stat * 2, IF(bbgm_stat &gt;= perc_85, converted_stat * 1.5, converted_stat)))))</f>
        <v/>
      </c>
      <c r="I147" s="30" t="str">
        <f t="array" ref="I147">IF($A147="", "", LET(bbgm_stat, INDEX(Players!$A146:$P146, MATCH(I$2, Players!$A$1:$P$1, 0)), perc_75, VLOOKUP(I$2, Percentiles!$A$45:$I$59, 6, FALSE), perc_90, VLOOKUP(I$2, Percentiles!$A$45:$I$59, 7, FALSE), perc_95, VLOOKUP(I$2, Percentiles!$A$45:$I$59, 8, FALSE), perc_85, perc_75 + (perc_90 - perc_75) * (2/3), converted_stat, '2K_Ratings'!I147, IF(bbgm_stat &gt;= perc_95, converted_stat * 3, IF(bbgm_stat &gt;= perc_90, converted_stat * 2, IF(bbgm_stat &gt;= perc_85, converted_stat * 1.5, converted_stat)))))</f>
        <v/>
      </c>
      <c r="J147" s="30" t="str">
        <f t="array" ref="J147">IF($A147="", "", LET(bbgm_stat, INDEX(Players!$A146:$P146, MATCH(J$2, Players!$A$1:$P$1, 0)), perc_75, VLOOKUP(J$2, Percentiles!$A$45:$I$59, 6, FALSE), perc_90, VLOOKUP(J$2, Percentiles!$A$45:$I$59, 7, FALSE), perc_95, VLOOKUP(J$2, Percentiles!$A$45:$I$59, 8, FALSE), perc_85, perc_75 + (perc_90 - perc_75) * (2/3), converted_stat, '2K_Ratings'!J147, IF(bbgm_stat &gt;= perc_95, converted_stat * 3, IF(bbgm_stat &gt;= perc_90, converted_stat * 2, IF(bbgm_stat &gt;= perc_85, converted_stat * 1.5, converted_stat)))))</f>
        <v/>
      </c>
      <c r="K147" s="30" t="str">
        <f t="array" ref="K147">IF($A147="", "", LET(bbgm_stat, INDEX(Players!$A146:$P146, MATCH(K$2, Players!$A$1:$P$1, 0)), perc_75, VLOOKUP(K$2, Percentiles!$A$45:$I$59, 6, FALSE), perc_90, VLOOKUP(K$2, Percentiles!$A$45:$I$59, 7, FALSE), perc_95, VLOOKUP(K$2, Percentiles!$A$45:$I$59, 8, FALSE), perc_85, perc_75 + (perc_90 - perc_75) * (2/3), converted_stat, '2K_Ratings'!K147, IF(bbgm_stat &gt;= perc_95, converted_stat * 3, IF(bbgm_stat &gt;= perc_90, converted_stat * 2, IF(bbgm_stat &gt;= perc_85, converted_stat * 1.5, converted_stat)))))</f>
        <v/>
      </c>
      <c r="L147" s="30" t="str">
        <f t="array" ref="L147">IF($A147="", "", LET(bbgm_stat, INDEX(Players!$A146:$P146, MATCH(L$2, Players!$A$1:$P$1, 0)), perc_75, VLOOKUP(L$2, Percentiles!$A$45:$I$59, 6, FALSE), perc_90, VLOOKUP(L$2, Percentiles!$A$45:$I$59, 7, FALSE), perc_95, VLOOKUP(L$2, Percentiles!$A$45:$I$59, 8, FALSE), perc_85, perc_75 + (perc_90 - perc_75) * (2/3), converted_stat, '2K_Ratings'!L147, IF(bbgm_stat &gt;= perc_95, converted_stat * 3, IF(bbgm_stat &gt;= perc_90, converted_stat * 2, IF(bbgm_stat &gt;= perc_85, converted_stat * 1.5, converted_stat)))))</f>
        <v/>
      </c>
      <c r="M147" s="30" t="str">
        <f t="array" ref="M147">IF($A147="", "", LET(bbgm_stat, INDEX(Players!$A146:$P146, MATCH(M$2, Players!$A$1:$P$1, 0)), perc_75, VLOOKUP(M$2, Percentiles!$A$45:$I$59, 6, FALSE), perc_90, VLOOKUP(M$2, Percentiles!$A$45:$I$59, 7, FALSE), perc_95, VLOOKUP(M$2, Percentiles!$A$45:$I$59, 8, FALSE), perc_85, perc_75 + (perc_90 - perc_75) * (2/3), converted_stat, '2K_Ratings'!M147, IF(bbgm_stat &gt;= perc_95, converted_stat * 3, IF(bbgm_stat &gt;= perc_90, converted_stat * 2, IF(bbgm_stat &gt;= perc_85, converted_stat * 1.5, converted_stat)))))</f>
        <v/>
      </c>
      <c r="N147" s="30" t="str">
        <f t="array" ref="N147">IF($A147="", "", LET(bbgm_stat, INDEX(Players!$A146:$P146, MATCH(N$2, Players!$A$1:$P$1, 0)), perc_75, VLOOKUP(N$2, Percentiles!$A$45:$I$59, 6, FALSE), perc_90, VLOOKUP(N$2, Percentiles!$A$45:$I$59, 7, FALSE), perc_95, VLOOKUP(N$2, Percentiles!$A$45:$I$59, 8, FALSE), perc_85, perc_75 + (perc_90 - perc_75) * (2/3), converted_stat, '2K_Ratings'!N147, IF(bbgm_stat &gt;= perc_95, converted_stat * 3, IF(bbgm_stat &gt;= perc_90, converted_stat * 2, IF(bbgm_stat &gt;= perc_85, converted_stat * 1.5, converted_stat)))))</f>
        <v/>
      </c>
      <c r="O147" s="30" t="str">
        <f t="array" ref="O147">IF($A147="", "", LET(bbgm_stat, INDEX(Players!$A146:$P146, MATCH(O$2, Players!$A$1:$P$1, 0)), perc_75, VLOOKUP(O$2, Percentiles!$A$45:$I$59, 6, FALSE), perc_90, VLOOKUP(O$2, Percentiles!$A$45:$I$59, 7, FALSE), perc_95, VLOOKUP(O$2, Percentiles!$A$45:$I$59, 8, FALSE), perc_85, perc_75 + (perc_90 - perc_75) * (2/3), converted_stat, '2K_Ratings'!O147, IF(bbgm_stat &gt;= perc_95, converted_stat * 3, IF(bbgm_stat &gt;= perc_90, converted_stat * 2, IF(bbgm_stat &gt;= perc_85, converted_stat * 1.5, converted_stat)))))</f>
        <v/>
      </c>
      <c r="P147" s="30" t="str">
        <f t="array" ref="P147">IF($A147="", "", LET(bbgm_stat, INDEX(Players!$A146:$P146, MATCH(P$2, Players!$A$1:$P$1, 0)), perc_75, VLOOKUP(P$2, Percentiles!$A$45:$I$59, 6, FALSE), perc_90, VLOOKUP(P$2, Percentiles!$A$45:$I$59, 7, FALSE), perc_95, VLOOKUP(P$2, Percentiles!$A$45:$I$59, 8, FALSE), perc_85, perc_75 + (perc_90 - perc_75) * (2/3), converted_stat, '2K_Ratings'!P147, IF(bbgm_stat &gt;= perc_95, converted_stat * 3, IF(bbgm_stat &gt;= perc_90, converted_stat * 2, IF(bbgm_stat &gt;= perc_85, converted_stat * 1.5, converted_stat)))))</f>
        <v/>
      </c>
      <c r="Q147" s="30" t="str">
        <f t="array" ref="Q147">IF($A147="", "", LET(bbgm_stat, INDEX(Players!$A146:$P146, MATCH(Q$2, Players!$A$1:$P$1, 0)), perc_75, VLOOKUP(Q$2, Percentiles!$A$45:$I$59, 6, FALSE), perc_90, VLOOKUP(Q$2, Percentiles!$A$45:$I$59, 7, FALSE), perc_95, VLOOKUP(Q$2, Percentiles!$A$45:$I$59, 8, FALSE), perc_85, perc_75 + (perc_90 - perc_75) * (2/3), converted_stat, '2K_Ratings'!Q147, IF(bbgm_stat &gt;= perc_95, converted_stat * 3, IF(bbgm_stat &gt;= perc_90, converted_stat * 2, IF(bbgm_stat &gt;= perc_85, converted_stat * 1.5, converted_stat)))))</f>
        <v/>
      </c>
      <c r="R147" s="30" t="str">
        <f t="array" ref="R147">IF($A147="", "", LET(bbgm_stat, INDEX(Players!$A146:$P146, MATCH(R$2, Players!$A$1:$P$1, 0)), perc_75, VLOOKUP(R$2, Percentiles!$A$45:$I$59, 6, FALSE), perc_90, VLOOKUP(R$2, Percentiles!$A$45:$I$59, 7, FALSE), perc_95, VLOOKUP(R$2, Percentiles!$A$45:$I$59, 8, FALSE), perc_85, perc_75 + (perc_90 - perc_75) * (2/3), converted_stat, '2K_Ratings'!R147, IF(bbgm_stat &gt;= perc_95, converted_stat * 3, IF(bbgm_stat &gt;= perc_90, converted_stat * 2, IF(bbgm_stat &gt;= perc_85, converted_stat * 1.5, converted_stat)))))</f>
        <v/>
      </c>
      <c r="S147" s="30" t="str">
        <f t="array" ref="S147">IF($A147="", "", LET(bbgm_stat, INDEX(Players!$A146:$P146, MATCH(S$2, Players!$A$1:$P$1, 0)), perc_75, VLOOKUP(S$2, Percentiles!$A$45:$I$59, 6, FALSE), perc_90, VLOOKUP(S$2, Percentiles!$A$45:$I$59, 7, FALSE), perc_95, VLOOKUP(S$2, Percentiles!$A$45:$I$59, 8, FALSE), perc_85, perc_75 + (perc_90 - perc_75) * (2/3), converted_stat, '2K_Ratings'!S147, IF(bbgm_stat &gt;= perc_95, converted_stat * 3, IF(bbgm_stat &gt;= perc_90, converted_stat * 2, IF(bbgm_stat &gt;= perc_85, converted_stat * 1.5, converted_stat)))))</f>
        <v/>
      </c>
      <c r="T147" s="30" t="str">
        <f t="array" ref="T147">IF($A147="", "", LET(bbgm_stat, INDEX(Players!$A146:$P146, MATCH(T$2, Players!$A$1:$P$1, 0)), perc_75, VLOOKUP(T$2, Percentiles!$A$45:$I$59, 6, FALSE), perc_90, VLOOKUP(T$2, Percentiles!$A$45:$I$59, 7, FALSE), perc_95, VLOOKUP(T$2, Percentiles!$A$45:$I$59, 8, FALSE), perc_85, perc_75 + (perc_90 - perc_75) * (2/3), converted_stat, '2K_Ratings'!T147, IF(bbgm_stat &gt;= perc_95, converted_stat * 3, IF(bbgm_stat &gt;= perc_90, converted_stat * 2, IF(bbgm_stat &gt;= perc_85, converted_stat * 1.5, converted_stat)))))</f>
        <v/>
      </c>
      <c r="U147" s="30" t="str">
        <f t="array" ref="U147">IF($A147="", "", LET(bbgm_stat, INDEX(Players!$A146:$P146, MATCH(U$2, Players!$A$1:$P$1, 0)), perc_75, VLOOKUP(U$2, Percentiles!$A$45:$I$59, 6, FALSE), perc_90, VLOOKUP(U$2, Percentiles!$A$45:$I$59, 7, FALSE), perc_95, VLOOKUP(U$2, Percentiles!$A$45:$I$59, 8, FALSE), perc_85, perc_75 + (perc_90 - perc_75) * (2/3), converted_stat, '2K_Ratings'!U147, IF(bbgm_stat &gt;= perc_95, converted_stat * 3, IF(bbgm_stat &gt;= perc_90, converted_stat * 2, IF(bbgm_stat &gt;= perc_85, converted_stat * 1.5, converted_stat)))))</f>
        <v/>
      </c>
      <c r="V147" s="30" t="str">
        <f t="array" ref="V147">IF($A147="", "", LET(bbgm_stat, INDEX(Players!$A146:$P146, MATCH(V$2, Players!$A$1:$P$1, 0)), perc_75, VLOOKUP(V$2, Percentiles!$A$45:$I$59, 6, FALSE), perc_90, VLOOKUP(V$2, Percentiles!$A$45:$I$59, 7, FALSE), perc_95, VLOOKUP(V$2, Percentiles!$A$45:$I$59, 8, FALSE), perc_85, perc_75 + (perc_90 - perc_75) * (2/3), converted_stat, '2K_Ratings'!V147, IF(bbgm_stat &gt;= perc_95, converted_stat * 3, IF(bbgm_stat &gt;= perc_90, converted_stat * 2, IF(bbgm_stat &gt;= perc_85, converted_stat * 1.5, converted_stat)))))</f>
        <v/>
      </c>
      <c r="W147" s="30" t="str">
        <f t="array" ref="W147">IF($A147="", "", LET(bbgm_stat, INDEX(Players!$A146:$P146, MATCH(W$2, Players!$A$1:$P$1, 0)), perc_75, VLOOKUP(W$2, Percentiles!$A$45:$I$59, 6, FALSE), perc_90, VLOOKUP(W$2, Percentiles!$A$45:$I$59, 7, FALSE), perc_95, VLOOKUP(W$2, Percentiles!$A$45:$I$59, 8, FALSE), perc_85, perc_75 + (perc_90 - perc_75) * (2/3), converted_stat, '2K_Ratings'!W147, IF(bbgm_stat &gt;= perc_95, converted_stat * 3, IF(bbgm_stat &gt;= perc_90, converted_stat * 2, IF(bbgm_stat &gt;= perc_85, converted_stat * 1.5, converted_stat)))))</f>
        <v/>
      </c>
    </row>
    <row r="148">
      <c r="A148" s="30"/>
      <c r="B148" s="30" t="str">
        <f t="array" ref="B148">IF($A148="", "", LET(bbgm_stat, INDEX(Players!$A147:$P147, MATCH(B$2, Players!$A$1:$P$1, 0)), perc_75, VLOOKUP(B$2, Percentiles!$A$45:$I$59, 6, FALSE), perc_90, VLOOKUP(B$2, Percentiles!$A$45:$I$59, 7, FALSE), perc_95, VLOOKUP(B$2, Percentiles!$A$45:$I$59, 8, FALSE), perc_85, perc_75 + (perc_90 - perc_75) * (2/3), converted_stat, '2K_Ratings'!B148, IF(bbgm_stat &gt;= perc_95, converted_stat * 3, IF(bbgm_stat &gt;= perc_90, converted_stat * 2, IF(bbgm_stat &gt;= perc_85, converted_stat * 1.5, converted_stat)))))</f>
        <v/>
      </c>
      <c r="C148" s="30" t="str">
        <f t="array" ref="C148">IF($A148="", "", LET(bbgm_stat, INDEX(Players!$A147:$P147, MATCH(C$2, Players!$A$1:$P$1, 0)), perc_75, VLOOKUP(C$2, Percentiles!$A$45:$I$59, 6, FALSE), perc_90, VLOOKUP(C$2, Percentiles!$A$45:$I$59, 7, FALSE), perc_95, VLOOKUP(C$2, Percentiles!$A$45:$I$59, 8, FALSE), perc_85, perc_75 + (perc_90 - perc_75) * (2/3), converted_stat, '2K_Ratings'!C148, IF(bbgm_stat &gt;= perc_95, converted_stat * 3, IF(bbgm_stat &gt;= perc_90, converted_stat * 2, IF(bbgm_stat &gt;= perc_85, converted_stat * 1.5, converted_stat)))))</f>
        <v/>
      </c>
      <c r="D148" s="30" t="str">
        <f t="array" ref="D148">IF($A148="", "", LET(bbgm_stat, INDEX(Players!$A147:$P147, MATCH(D$2, Players!$A$1:$P$1, 0)), perc_75, VLOOKUP(D$2, Percentiles!$A$45:$I$59, 6, FALSE), perc_90, VLOOKUP(D$2, Percentiles!$A$45:$I$59, 7, FALSE), perc_95, VLOOKUP(D$2, Percentiles!$A$45:$I$59, 8, FALSE), perc_85, perc_75 + (perc_90 - perc_75) * (2/3), converted_stat, '2K_Ratings'!D148, IF(bbgm_stat &gt;= perc_95, converted_stat * 3, IF(bbgm_stat &gt;= perc_90, converted_stat * 2, IF(bbgm_stat &gt;= perc_85, converted_stat * 1.5, converted_stat)))))</f>
        <v/>
      </c>
      <c r="E148" s="30" t="str">
        <f t="array" ref="E148">IF($A148="", "", LET(bbgm_stat, INDEX(Players!$A147:$P147, MATCH(E$2, Players!$A$1:$P$1, 0)), perc_75, VLOOKUP(E$2, Percentiles!$A$45:$I$59, 6, FALSE), perc_90, VLOOKUP(E$2, Percentiles!$A$45:$I$59, 7, FALSE), perc_95, VLOOKUP(E$2, Percentiles!$A$45:$I$59, 8, FALSE), perc_85, perc_75 + (perc_90 - perc_75) * (2/3), converted_stat, '2K_Ratings'!E148, IF(bbgm_stat &gt;= perc_95, converted_stat * 3, IF(bbgm_stat &gt;= perc_90, converted_stat * 2, IF(bbgm_stat &gt;= perc_85, converted_stat * 1.5, converted_stat)))))</f>
        <v/>
      </c>
      <c r="F148" s="30" t="str">
        <f t="array" ref="F148">IF($A148="", "", LET(bbgm_stat, INDEX(Players!$A147:$P147, MATCH(F$2, Players!$A$1:$P$1, 0)), perc_75, VLOOKUP(F$2, Percentiles!$A$45:$I$59, 6, FALSE), perc_90, VLOOKUP(F$2, Percentiles!$A$45:$I$59, 7, FALSE), perc_95, VLOOKUP(F$2, Percentiles!$A$45:$I$59, 8, FALSE), perc_85, perc_75 + (perc_90 - perc_75) * (2/3), converted_stat, '2K_Ratings'!F148, IF(bbgm_stat &gt;= perc_95, converted_stat * 3, IF(bbgm_stat &gt;= perc_90, converted_stat * 2, IF(bbgm_stat &gt;= perc_85, converted_stat * 1.5, converted_stat)))))</f>
        <v/>
      </c>
      <c r="G148" s="30" t="str">
        <f t="array" ref="G148">IF($A148="", "", LET(bbgm_stat, INDEX(Players!$A147:$P147, MATCH(G$2, Players!$A$1:$P$1, 0)), perc_75, VLOOKUP(G$2, Percentiles!$A$45:$I$59, 6, FALSE), perc_90, VLOOKUP(G$2, Percentiles!$A$45:$I$59, 7, FALSE), perc_95, VLOOKUP(G$2, Percentiles!$A$45:$I$59, 8, FALSE), perc_85, perc_75 + (perc_90 - perc_75) * (2/3), converted_stat, '2K_Ratings'!G148, IF(bbgm_stat &gt;= perc_95, converted_stat * 3, IF(bbgm_stat &gt;= perc_90, converted_stat * 2, IF(bbgm_stat &gt;= perc_85, converted_stat * 1.5, converted_stat)))))</f>
        <v/>
      </c>
      <c r="H148" s="30" t="str">
        <f t="array" ref="H148">IF($A148="", "", LET(bbgm_stat, INDEX(Players!$A147:$P147, MATCH(H$2, Players!$A$1:$P$1, 0)), perc_75, VLOOKUP(H$2, Percentiles!$A$45:$I$59, 6, FALSE), perc_90, VLOOKUP(H$2, Percentiles!$A$45:$I$59, 7, FALSE), perc_95, VLOOKUP(H$2, Percentiles!$A$45:$I$59, 8, FALSE), perc_85, perc_75 + (perc_90 - perc_75) * (2/3), converted_stat, '2K_Ratings'!H148, IF(bbgm_stat &gt;= perc_95, converted_stat * 3, IF(bbgm_stat &gt;= perc_90, converted_stat * 2, IF(bbgm_stat &gt;= perc_85, converted_stat * 1.5, converted_stat)))))</f>
        <v/>
      </c>
      <c r="I148" s="30" t="str">
        <f t="array" ref="I148">IF($A148="", "", LET(bbgm_stat, INDEX(Players!$A147:$P147, MATCH(I$2, Players!$A$1:$P$1, 0)), perc_75, VLOOKUP(I$2, Percentiles!$A$45:$I$59, 6, FALSE), perc_90, VLOOKUP(I$2, Percentiles!$A$45:$I$59, 7, FALSE), perc_95, VLOOKUP(I$2, Percentiles!$A$45:$I$59, 8, FALSE), perc_85, perc_75 + (perc_90 - perc_75) * (2/3), converted_stat, '2K_Ratings'!I148, IF(bbgm_stat &gt;= perc_95, converted_stat * 3, IF(bbgm_stat &gt;= perc_90, converted_stat * 2, IF(bbgm_stat &gt;= perc_85, converted_stat * 1.5, converted_stat)))))</f>
        <v/>
      </c>
      <c r="J148" s="30" t="str">
        <f t="array" ref="J148">IF($A148="", "", LET(bbgm_stat, INDEX(Players!$A147:$P147, MATCH(J$2, Players!$A$1:$P$1, 0)), perc_75, VLOOKUP(J$2, Percentiles!$A$45:$I$59, 6, FALSE), perc_90, VLOOKUP(J$2, Percentiles!$A$45:$I$59, 7, FALSE), perc_95, VLOOKUP(J$2, Percentiles!$A$45:$I$59, 8, FALSE), perc_85, perc_75 + (perc_90 - perc_75) * (2/3), converted_stat, '2K_Ratings'!J148, IF(bbgm_stat &gt;= perc_95, converted_stat * 3, IF(bbgm_stat &gt;= perc_90, converted_stat * 2, IF(bbgm_stat &gt;= perc_85, converted_stat * 1.5, converted_stat)))))</f>
        <v/>
      </c>
      <c r="K148" s="30" t="str">
        <f t="array" ref="K148">IF($A148="", "", LET(bbgm_stat, INDEX(Players!$A147:$P147, MATCH(K$2, Players!$A$1:$P$1, 0)), perc_75, VLOOKUP(K$2, Percentiles!$A$45:$I$59, 6, FALSE), perc_90, VLOOKUP(K$2, Percentiles!$A$45:$I$59, 7, FALSE), perc_95, VLOOKUP(K$2, Percentiles!$A$45:$I$59, 8, FALSE), perc_85, perc_75 + (perc_90 - perc_75) * (2/3), converted_stat, '2K_Ratings'!K148, IF(bbgm_stat &gt;= perc_95, converted_stat * 3, IF(bbgm_stat &gt;= perc_90, converted_stat * 2, IF(bbgm_stat &gt;= perc_85, converted_stat * 1.5, converted_stat)))))</f>
        <v/>
      </c>
      <c r="L148" s="30" t="str">
        <f t="array" ref="L148">IF($A148="", "", LET(bbgm_stat, INDEX(Players!$A147:$P147, MATCH(L$2, Players!$A$1:$P$1, 0)), perc_75, VLOOKUP(L$2, Percentiles!$A$45:$I$59, 6, FALSE), perc_90, VLOOKUP(L$2, Percentiles!$A$45:$I$59, 7, FALSE), perc_95, VLOOKUP(L$2, Percentiles!$A$45:$I$59, 8, FALSE), perc_85, perc_75 + (perc_90 - perc_75) * (2/3), converted_stat, '2K_Ratings'!L148, IF(bbgm_stat &gt;= perc_95, converted_stat * 3, IF(bbgm_stat &gt;= perc_90, converted_stat * 2, IF(bbgm_stat &gt;= perc_85, converted_stat * 1.5, converted_stat)))))</f>
        <v/>
      </c>
      <c r="M148" s="30" t="str">
        <f t="array" ref="M148">IF($A148="", "", LET(bbgm_stat, INDEX(Players!$A147:$P147, MATCH(M$2, Players!$A$1:$P$1, 0)), perc_75, VLOOKUP(M$2, Percentiles!$A$45:$I$59, 6, FALSE), perc_90, VLOOKUP(M$2, Percentiles!$A$45:$I$59, 7, FALSE), perc_95, VLOOKUP(M$2, Percentiles!$A$45:$I$59, 8, FALSE), perc_85, perc_75 + (perc_90 - perc_75) * (2/3), converted_stat, '2K_Ratings'!M148, IF(bbgm_stat &gt;= perc_95, converted_stat * 3, IF(bbgm_stat &gt;= perc_90, converted_stat * 2, IF(bbgm_stat &gt;= perc_85, converted_stat * 1.5, converted_stat)))))</f>
        <v/>
      </c>
      <c r="N148" s="30" t="str">
        <f t="array" ref="N148">IF($A148="", "", LET(bbgm_stat, INDEX(Players!$A147:$P147, MATCH(N$2, Players!$A$1:$P$1, 0)), perc_75, VLOOKUP(N$2, Percentiles!$A$45:$I$59, 6, FALSE), perc_90, VLOOKUP(N$2, Percentiles!$A$45:$I$59, 7, FALSE), perc_95, VLOOKUP(N$2, Percentiles!$A$45:$I$59, 8, FALSE), perc_85, perc_75 + (perc_90 - perc_75) * (2/3), converted_stat, '2K_Ratings'!N148, IF(bbgm_stat &gt;= perc_95, converted_stat * 3, IF(bbgm_stat &gt;= perc_90, converted_stat * 2, IF(bbgm_stat &gt;= perc_85, converted_stat * 1.5, converted_stat)))))</f>
        <v/>
      </c>
      <c r="O148" s="30" t="str">
        <f t="array" ref="O148">IF($A148="", "", LET(bbgm_stat, INDEX(Players!$A147:$P147, MATCH(O$2, Players!$A$1:$P$1, 0)), perc_75, VLOOKUP(O$2, Percentiles!$A$45:$I$59, 6, FALSE), perc_90, VLOOKUP(O$2, Percentiles!$A$45:$I$59, 7, FALSE), perc_95, VLOOKUP(O$2, Percentiles!$A$45:$I$59, 8, FALSE), perc_85, perc_75 + (perc_90 - perc_75) * (2/3), converted_stat, '2K_Ratings'!O148, IF(bbgm_stat &gt;= perc_95, converted_stat * 3, IF(bbgm_stat &gt;= perc_90, converted_stat * 2, IF(bbgm_stat &gt;= perc_85, converted_stat * 1.5, converted_stat)))))</f>
        <v/>
      </c>
      <c r="P148" s="30" t="str">
        <f t="array" ref="P148">IF($A148="", "", LET(bbgm_stat, INDEX(Players!$A147:$P147, MATCH(P$2, Players!$A$1:$P$1, 0)), perc_75, VLOOKUP(P$2, Percentiles!$A$45:$I$59, 6, FALSE), perc_90, VLOOKUP(P$2, Percentiles!$A$45:$I$59, 7, FALSE), perc_95, VLOOKUP(P$2, Percentiles!$A$45:$I$59, 8, FALSE), perc_85, perc_75 + (perc_90 - perc_75) * (2/3), converted_stat, '2K_Ratings'!P148, IF(bbgm_stat &gt;= perc_95, converted_stat * 3, IF(bbgm_stat &gt;= perc_90, converted_stat * 2, IF(bbgm_stat &gt;= perc_85, converted_stat * 1.5, converted_stat)))))</f>
        <v/>
      </c>
      <c r="Q148" s="30" t="str">
        <f t="array" ref="Q148">IF($A148="", "", LET(bbgm_stat, INDEX(Players!$A147:$P147, MATCH(Q$2, Players!$A$1:$P$1, 0)), perc_75, VLOOKUP(Q$2, Percentiles!$A$45:$I$59, 6, FALSE), perc_90, VLOOKUP(Q$2, Percentiles!$A$45:$I$59, 7, FALSE), perc_95, VLOOKUP(Q$2, Percentiles!$A$45:$I$59, 8, FALSE), perc_85, perc_75 + (perc_90 - perc_75) * (2/3), converted_stat, '2K_Ratings'!Q148, IF(bbgm_stat &gt;= perc_95, converted_stat * 3, IF(bbgm_stat &gt;= perc_90, converted_stat * 2, IF(bbgm_stat &gt;= perc_85, converted_stat * 1.5, converted_stat)))))</f>
        <v/>
      </c>
      <c r="R148" s="30" t="str">
        <f t="array" ref="R148">IF($A148="", "", LET(bbgm_stat, INDEX(Players!$A147:$P147, MATCH(R$2, Players!$A$1:$P$1, 0)), perc_75, VLOOKUP(R$2, Percentiles!$A$45:$I$59, 6, FALSE), perc_90, VLOOKUP(R$2, Percentiles!$A$45:$I$59, 7, FALSE), perc_95, VLOOKUP(R$2, Percentiles!$A$45:$I$59, 8, FALSE), perc_85, perc_75 + (perc_90 - perc_75) * (2/3), converted_stat, '2K_Ratings'!R148, IF(bbgm_stat &gt;= perc_95, converted_stat * 3, IF(bbgm_stat &gt;= perc_90, converted_stat * 2, IF(bbgm_stat &gt;= perc_85, converted_stat * 1.5, converted_stat)))))</f>
        <v/>
      </c>
      <c r="S148" s="30" t="str">
        <f t="array" ref="S148">IF($A148="", "", LET(bbgm_stat, INDEX(Players!$A147:$P147, MATCH(S$2, Players!$A$1:$P$1, 0)), perc_75, VLOOKUP(S$2, Percentiles!$A$45:$I$59, 6, FALSE), perc_90, VLOOKUP(S$2, Percentiles!$A$45:$I$59, 7, FALSE), perc_95, VLOOKUP(S$2, Percentiles!$A$45:$I$59, 8, FALSE), perc_85, perc_75 + (perc_90 - perc_75) * (2/3), converted_stat, '2K_Ratings'!S148, IF(bbgm_stat &gt;= perc_95, converted_stat * 3, IF(bbgm_stat &gt;= perc_90, converted_stat * 2, IF(bbgm_stat &gt;= perc_85, converted_stat * 1.5, converted_stat)))))</f>
        <v/>
      </c>
      <c r="T148" s="30" t="str">
        <f t="array" ref="T148">IF($A148="", "", LET(bbgm_stat, INDEX(Players!$A147:$P147, MATCH(T$2, Players!$A$1:$P$1, 0)), perc_75, VLOOKUP(T$2, Percentiles!$A$45:$I$59, 6, FALSE), perc_90, VLOOKUP(T$2, Percentiles!$A$45:$I$59, 7, FALSE), perc_95, VLOOKUP(T$2, Percentiles!$A$45:$I$59, 8, FALSE), perc_85, perc_75 + (perc_90 - perc_75) * (2/3), converted_stat, '2K_Ratings'!T148, IF(bbgm_stat &gt;= perc_95, converted_stat * 3, IF(bbgm_stat &gt;= perc_90, converted_stat * 2, IF(bbgm_stat &gt;= perc_85, converted_stat * 1.5, converted_stat)))))</f>
        <v/>
      </c>
      <c r="U148" s="30" t="str">
        <f t="array" ref="U148">IF($A148="", "", LET(bbgm_stat, INDEX(Players!$A147:$P147, MATCH(U$2, Players!$A$1:$P$1, 0)), perc_75, VLOOKUP(U$2, Percentiles!$A$45:$I$59, 6, FALSE), perc_90, VLOOKUP(U$2, Percentiles!$A$45:$I$59, 7, FALSE), perc_95, VLOOKUP(U$2, Percentiles!$A$45:$I$59, 8, FALSE), perc_85, perc_75 + (perc_90 - perc_75) * (2/3), converted_stat, '2K_Ratings'!U148, IF(bbgm_stat &gt;= perc_95, converted_stat * 3, IF(bbgm_stat &gt;= perc_90, converted_stat * 2, IF(bbgm_stat &gt;= perc_85, converted_stat * 1.5, converted_stat)))))</f>
        <v/>
      </c>
      <c r="V148" s="30" t="str">
        <f t="array" ref="V148">IF($A148="", "", LET(bbgm_stat, INDEX(Players!$A147:$P147, MATCH(V$2, Players!$A$1:$P$1, 0)), perc_75, VLOOKUP(V$2, Percentiles!$A$45:$I$59, 6, FALSE), perc_90, VLOOKUP(V$2, Percentiles!$A$45:$I$59, 7, FALSE), perc_95, VLOOKUP(V$2, Percentiles!$A$45:$I$59, 8, FALSE), perc_85, perc_75 + (perc_90 - perc_75) * (2/3), converted_stat, '2K_Ratings'!V148, IF(bbgm_stat &gt;= perc_95, converted_stat * 3, IF(bbgm_stat &gt;= perc_90, converted_stat * 2, IF(bbgm_stat &gt;= perc_85, converted_stat * 1.5, converted_stat)))))</f>
        <v/>
      </c>
      <c r="W148" s="30" t="str">
        <f t="array" ref="W148">IF($A148="", "", LET(bbgm_stat, INDEX(Players!$A147:$P147, MATCH(W$2, Players!$A$1:$P$1, 0)), perc_75, VLOOKUP(W$2, Percentiles!$A$45:$I$59, 6, FALSE), perc_90, VLOOKUP(W$2, Percentiles!$A$45:$I$59, 7, FALSE), perc_95, VLOOKUP(W$2, Percentiles!$A$45:$I$59, 8, FALSE), perc_85, perc_75 + (perc_90 - perc_75) * (2/3), converted_stat, '2K_Ratings'!W148, IF(bbgm_stat &gt;= perc_95, converted_stat * 3, IF(bbgm_stat &gt;= perc_90, converted_stat * 2, IF(bbgm_stat &gt;= perc_85, converted_stat * 1.5, converted_stat)))))</f>
        <v/>
      </c>
    </row>
    <row r="149">
      <c r="A149" s="30"/>
      <c r="B149" s="30" t="str">
        <f t="array" ref="B149">IF($A149="", "", LET(bbgm_stat, INDEX(Players!$A148:$P148, MATCH(B$2, Players!$A$1:$P$1, 0)), perc_75, VLOOKUP(B$2, Percentiles!$A$45:$I$59, 6, FALSE), perc_90, VLOOKUP(B$2, Percentiles!$A$45:$I$59, 7, FALSE), perc_95, VLOOKUP(B$2, Percentiles!$A$45:$I$59, 8, FALSE), perc_85, perc_75 + (perc_90 - perc_75) * (2/3), converted_stat, '2K_Ratings'!B149, IF(bbgm_stat &gt;= perc_95, converted_stat * 3, IF(bbgm_stat &gt;= perc_90, converted_stat * 2, IF(bbgm_stat &gt;= perc_85, converted_stat * 1.5, converted_stat)))))</f>
        <v/>
      </c>
      <c r="C149" s="30" t="str">
        <f t="array" ref="C149">IF($A149="", "", LET(bbgm_stat, INDEX(Players!$A148:$P148, MATCH(C$2, Players!$A$1:$P$1, 0)), perc_75, VLOOKUP(C$2, Percentiles!$A$45:$I$59, 6, FALSE), perc_90, VLOOKUP(C$2, Percentiles!$A$45:$I$59, 7, FALSE), perc_95, VLOOKUP(C$2, Percentiles!$A$45:$I$59, 8, FALSE), perc_85, perc_75 + (perc_90 - perc_75) * (2/3), converted_stat, '2K_Ratings'!C149, IF(bbgm_stat &gt;= perc_95, converted_stat * 3, IF(bbgm_stat &gt;= perc_90, converted_stat * 2, IF(bbgm_stat &gt;= perc_85, converted_stat * 1.5, converted_stat)))))</f>
        <v/>
      </c>
      <c r="D149" s="30" t="str">
        <f t="array" ref="D149">IF($A149="", "", LET(bbgm_stat, INDEX(Players!$A148:$P148, MATCH(D$2, Players!$A$1:$P$1, 0)), perc_75, VLOOKUP(D$2, Percentiles!$A$45:$I$59, 6, FALSE), perc_90, VLOOKUP(D$2, Percentiles!$A$45:$I$59, 7, FALSE), perc_95, VLOOKUP(D$2, Percentiles!$A$45:$I$59, 8, FALSE), perc_85, perc_75 + (perc_90 - perc_75) * (2/3), converted_stat, '2K_Ratings'!D149, IF(bbgm_stat &gt;= perc_95, converted_stat * 3, IF(bbgm_stat &gt;= perc_90, converted_stat * 2, IF(bbgm_stat &gt;= perc_85, converted_stat * 1.5, converted_stat)))))</f>
        <v/>
      </c>
      <c r="E149" s="30" t="str">
        <f t="array" ref="E149">IF($A149="", "", LET(bbgm_stat, INDEX(Players!$A148:$P148, MATCH(E$2, Players!$A$1:$P$1, 0)), perc_75, VLOOKUP(E$2, Percentiles!$A$45:$I$59, 6, FALSE), perc_90, VLOOKUP(E$2, Percentiles!$A$45:$I$59, 7, FALSE), perc_95, VLOOKUP(E$2, Percentiles!$A$45:$I$59, 8, FALSE), perc_85, perc_75 + (perc_90 - perc_75) * (2/3), converted_stat, '2K_Ratings'!E149, IF(bbgm_stat &gt;= perc_95, converted_stat * 3, IF(bbgm_stat &gt;= perc_90, converted_stat * 2, IF(bbgm_stat &gt;= perc_85, converted_stat * 1.5, converted_stat)))))</f>
        <v/>
      </c>
      <c r="F149" s="30" t="str">
        <f t="array" ref="F149">IF($A149="", "", LET(bbgm_stat, INDEX(Players!$A148:$P148, MATCH(F$2, Players!$A$1:$P$1, 0)), perc_75, VLOOKUP(F$2, Percentiles!$A$45:$I$59, 6, FALSE), perc_90, VLOOKUP(F$2, Percentiles!$A$45:$I$59, 7, FALSE), perc_95, VLOOKUP(F$2, Percentiles!$A$45:$I$59, 8, FALSE), perc_85, perc_75 + (perc_90 - perc_75) * (2/3), converted_stat, '2K_Ratings'!F149, IF(bbgm_stat &gt;= perc_95, converted_stat * 3, IF(bbgm_stat &gt;= perc_90, converted_stat * 2, IF(bbgm_stat &gt;= perc_85, converted_stat * 1.5, converted_stat)))))</f>
        <v/>
      </c>
      <c r="G149" s="30" t="str">
        <f t="array" ref="G149">IF($A149="", "", LET(bbgm_stat, INDEX(Players!$A148:$P148, MATCH(G$2, Players!$A$1:$P$1, 0)), perc_75, VLOOKUP(G$2, Percentiles!$A$45:$I$59, 6, FALSE), perc_90, VLOOKUP(G$2, Percentiles!$A$45:$I$59, 7, FALSE), perc_95, VLOOKUP(G$2, Percentiles!$A$45:$I$59, 8, FALSE), perc_85, perc_75 + (perc_90 - perc_75) * (2/3), converted_stat, '2K_Ratings'!G149, IF(bbgm_stat &gt;= perc_95, converted_stat * 3, IF(bbgm_stat &gt;= perc_90, converted_stat * 2, IF(bbgm_stat &gt;= perc_85, converted_stat * 1.5, converted_stat)))))</f>
        <v/>
      </c>
      <c r="H149" s="30" t="str">
        <f t="array" ref="H149">IF($A149="", "", LET(bbgm_stat, INDEX(Players!$A148:$P148, MATCH(H$2, Players!$A$1:$P$1, 0)), perc_75, VLOOKUP(H$2, Percentiles!$A$45:$I$59, 6, FALSE), perc_90, VLOOKUP(H$2, Percentiles!$A$45:$I$59, 7, FALSE), perc_95, VLOOKUP(H$2, Percentiles!$A$45:$I$59, 8, FALSE), perc_85, perc_75 + (perc_90 - perc_75) * (2/3), converted_stat, '2K_Ratings'!H149, IF(bbgm_stat &gt;= perc_95, converted_stat * 3, IF(bbgm_stat &gt;= perc_90, converted_stat * 2, IF(bbgm_stat &gt;= perc_85, converted_stat * 1.5, converted_stat)))))</f>
        <v/>
      </c>
      <c r="I149" s="30" t="str">
        <f t="array" ref="I149">IF($A149="", "", LET(bbgm_stat, INDEX(Players!$A148:$P148, MATCH(I$2, Players!$A$1:$P$1, 0)), perc_75, VLOOKUP(I$2, Percentiles!$A$45:$I$59, 6, FALSE), perc_90, VLOOKUP(I$2, Percentiles!$A$45:$I$59, 7, FALSE), perc_95, VLOOKUP(I$2, Percentiles!$A$45:$I$59, 8, FALSE), perc_85, perc_75 + (perc_90 - perc_75) * (2/3), converted_stat, '2K_Ratings'!I149, IF(bbgm_stat &gt;= perc_95, converted_stat * 3, IF(bbgm_stat &gt;= perc_90, converted_stat * 2, IF(bbgm_stat &gt;= perc_85, converted_stat * 1.5, converted_stat)))))</f>
        <v/>
      </c>
      <c r="J149" s="30" t="str">
        <f t="array" ref="J149">IF($A149="", "", LET(bbgm_stat, INDEX(Players!$A148:$P148, MATCH(J$2, Players!$A$1:$P$1, 0)), perc_75, VLOOKUP(J$2, Percentiles!$A$45:$I$59, 6, FALSE), perc_90, VLOOKUP(J$2, Percentiles!$A$45:$I$59, 7, FALSE), perc_95, VLOOKUP(J$2, Percentiles!$A$45:$I$59, 8, FALSE), perc_85, perc_75 + (perc_90 - perc_75) * (2/3), converted_stat, '2K_Ratings'!J149, IF(bbgm_stat &gt;= perc_95, converted_stat * 3, IF(bbgm_stat &gt;= perc_90, converted_stat * 2, IF(bbgm_stat &gt;= perc_85, converted_stat * 1.5, converted_stat)))))</f>
        <v/>
      </c>
      <c r="K149" s="30" t="str">
        <f t="array" ref="K149">IF($A149="", "", LET(bbgm_stat, INDEX(Players!$A148:$P148, MATCH(K$2, Players!$A$1:$P$1, 0)), perc_75, VLOOKUP(K$2, Percentiles!$A$45:$I$59, 6, FALSE), perc_90, VLOOKUP(K$2, Percentiles!$A$45:$I$59, 7, FALSE), perc_95, VLOOKUP(K$2, Percentiles!$A$45:$I$59, 8, FALSE), perc_85, perc_75 + (perc_90 - perc_75) * (2/3), converted_stat, '2K_Ratings'!K149, IF(bbgm_stat &gt;= perc_95, converted_stat * 3, IF(bbgm_stat &gt;= perc_90, converted_stat * 2, IF(bbgm_stat &gt;= perc_85, converted_stat * 1.5, converted_stat)))))</f>
        <v/>
      </c>
      <c r="L149" s="30" t="str">
        <f t="array" ref="L149">IF($A149="", "", LET(bbgm_stat, INDEX(Players!$A148:$P148, MATCH(L$2, Players!$A$1:$P$1, 0)), perc_75, VLOOKUP(L$2, Percentiles!$A$45:$I$59, 6, FALSE), perc_90, VLOOKUP(L$2, Percentiles!$A$45:$I$59, 7, FALSE), perc_95, VLOOKUP(L$2, Percentiles!$A$45:$I$59, 8, FALSE), perc_85, perc_75 + (perc_90 - perc_75) * (2/3), converted_stat, '2K_Ratings'!L149, IF(bbgm_stat &gt;= perc_95, converted_stat * 3, IF(bbgm_stat &gt;= perc_90, converted_stat * 2, IF(bbgm_stat &gt;= perc_85, converted_stat * 1.5, converted_stat)))))</f>
        <v/>
      </c>
      <c r="M149" s="30" t="str">
        <f t="array" ref="M149">IF($A149="", "", LET(bbgm_stat, INDEX(Players!$A148:$P148, MATCH(M$2, Players!$A$1:$P$1, 0)), perc_75, VLOOKUP(M$2, Percentiles!$A$45:$I$59, 6, FALSE), perc_90, VLOOKUP(M$2, Percentiles!$A$45:$I$59, 7, FALSE), perc_95, VLOOKUP(M$2, Percentiles!$A$45:$I$59, 8, FALSE), perc_85, perc_75 + (perc_90 - perc_75) * (2/3), converted_stat, '2K_Ratings'!M149, IF(bbgm_stat &gt;= perc_95, converted_stat * 3, IF(bbgm_stat &gt;= perc_90, converted_stat * 2, IF(bbgm_stat &gt;= perc_85, converted_stat * 1.5, converted_stat)))))</f>
        <v/>
      </c>
      <c r="N149" s="30" t="str">
        <f t="array" ref="N149">IF($A149="", "", LET(bbgm_stat, INDEX(Players!$A148:$P148, MATCH(N$2, Players!$A$1:$P$1, 0)), perc_75, VLOOKUP(N$2, Percentiles!$A$45:$I$59, 6, FALSE), perc_90, VLOOKUP(N$2, Percentiles!$A$45:$I$59, 7, FALSE), perc_95, VLOOKUP(N$2, Percentiles!$A$45:$I$59, 8, FALSE), perc_85, perc_75 + (perc_90 - perc_75) * (2/3), converted_stat, '2K_Ratings'!N149, IF(bbgm_stat &gt;= perc_95, converted_stat * 3, IF(bbgm_stat &gt;= perc_90, converted_stat * 2, IF(bbgm_stat &gt;= perc_85, converted_stat * 1.5, converted_stat)))))</f>
        <v/>
      </c>
      <c r="O149" s="30" t="str">
        <f t="array" ref="O149">IF($A149="", "", LET(bbgm_stat, INDEX(Players!$A148:$P148, MATCH(O$2, Players!$A$1:$P$1, 0)), perc_75, VLOOKUP(O$2, Percentiles!$A$45:$I$59, 6, FALSE), perc_90, VLOOKUP(O$2, Percentiles!$A$45:$I$59, 7, FALSE), perc_95, VLOOKUP(O$2, Percentiles!$A$45:$I$59, 8, FALSE), perc_85, perc_75 + (perc_90 - perc_75) * (2/3), converted_stat, '2K_Ratings'!O149, IF(bbgm_stat &gt;= perc_95, converted_stat * 3, IF(bbgm_stat &gt;= perc_90, converted_stat * 2, IF(bbgm_stat &gt;= perc_85, converted_stat * 1.5, converted_stat)))))</f>
        <v/>
      </c>
      <c r="P149" s="30" t="str">
        <f t="array" ref="P149">IF($A149="", "", LET(bbgm_stat, INDEX(Players!$A148:$P148, MATCH(P$2, Players!$A$1:$P$1, 0)), perc_75, VLOOKUP(P$2, Percentiles!$A$45:$I$59, 6, FALSE), perc_90, VLOOKUP(P$2, Percentiles!$A$45:$I$59, 7, FALSE), perc_95, VLOOKUP(P$2, Percentiles!$A$45:$I$59, 8, FALSE), perc_85, perc_75 + (perc_90 - perc_75) * (2/3), converted_stat, '2K_Ratings'!P149, IF(bbgm_stat &gt;= perc_95, converted_stat * 3, IF(bbgm_stat &gt;= perc_90, converted_stat * 2, IF(bbgm_stat &gt;= perc_85, converted_stat * 1.5, converted_stat)))))</f>
        <v/>
      </c>
      <c r="Q149" s="30" t="str">
        <f t="array" ref="Q149">IF($A149="", "", LET(bbgm_stat, INDEX(Players!$A148:$P148, MATCH(Q$2, Players!$A$1:$P$1, 0)), perc_75, VLOOKUP(Q$2, Percentiles!$A$45:$I$59, 6, FALSE), perc_90, VLOOKUP(Q$2, Percentiles!$A$45:$I$59, 7, FALSE), perc_95, VLOOKUP(Q$2, Percentiles!$A$45:$I$59, 8, FALSE), perc_85, perc_75 + (perc_90 - perc_75) * (2/3), converted_stat, '2K_Ratings'!Q149, IF(bbgm_stat &gt;= perc_95, converted_stat * 3, IF(bbgm_stat &gt;= perc_90, converted_stat * 2, IF(bbgm_stat &gt;= perc_85, converted_stat * 1.5, converted_stat)))))</f>
        <v/>
      </c>
      <c r="R149" s="30" t="str">
        <f t="array" ref="R149">IF($A149="", "", LET(bbgm_stat, INDEX(Players!$A148:$P148, MATCH(R$2, Players!$A$1:$P$1, 0)), perc_75, VLOOKUP(R$2, Percentiles!$A$45:$I$59, 6, FALSE), perc_90, VLOOKUP(R$2, Percentiles!$A$45:$I$59, 7, FALSE), perc_95, VLOOKUP(R$2, Percentiles!$A$45:$I$59, 8, FALSE), perc_85, perc_75 + (perc_90 - perc_75) * (2/3), converted_stat, '2K_Ratings'!R149, IF(bbgm_stat &gt;= perc_95, converted_stat * 3, IF(bbgm_stat &gt;= perc_90, converted_stat * 2, IF(bbgm_stat &gt;= perc_85, converted_stat * 1.5, converted_stat)))))</f>
        <v/>
      </c>
      <c r="S149" s="30" t="str">
        <f t="array" ref="S149">IF($A149="", "", LET(bbgm_stat, INDEX(Players!$A148:$P148, MATCH(S$2, Players!$A$1:$P$1, 0)), perc_75, VLOOKUP(S$2, Percentiles!$A$45:$I$59, 6, FALSE), perc_90, VLOOKUP(S$2, Percentiles!$A$45:$I$59, 7, FALSE), perc_95, VLOOKUP(S$2, Percentiles!$A$45:$I$59, 8, FALSE), perc_85, perc_75 + (perc_90 - perc_75) * (2/3), converted_stat, '2K_Ratings'!S149, IF(bbgm_stat &gt;= perc_95, converted_stat * 3, IF(bbgm_stat &gt;= perc_90, converted_stat * 2, IF(bbgm_stat &gt;= perc_85, converted_stat * 1.5, converted_stat)))))</f>
        <v/>
      </c>
      <c r="T149" s="30" t="str">
        <f t="array" ref="T149">IF($A149="", "", LET(bbgm_stat, INDEX(Players!$A148:$P148, MATCH(T$2, Players!$A$1:$P$1, 0)), perc_75, VLOOKUP(T$2, Percentiles!$A$45:$I$59, 6, FALSE), perc_90, VLOOKUP(T$2, Percentiles!$A$45:$I$59, 7, FALSE), perc_95, VLOOKUP(T$2, Percentiles!$A$45:$I$59, 8, FALSE), perc_85, perc_75 + (perc_90 - perc_75) * (2/3), converted_stat, '2K_Ratings'!T149, IF(bbgm_stat &gt;= perc_95, converted_stat * 3, IF(bbgm_stat &gt;= perc_90, converted_stat * 2, IF(bbgm_stat &gt;= perc_85, converted_stat * 1.5, converted_stat)))))</f>
        <v/>
      </c>
      <c r="U149" s="30" t="str">
        <f t="array" ref="U149">IF($A149="", "", LET(bbgm_stat, INDEX(Players!$A148:$P148, MATCH(U$2, Players!$A$1:$P$1, 0)), perc_75, VLOOKUP(U$2, Percentiles!$A$45:$I$59, 6, FALSE), perc_90, VLOOKUP(U$2, Percentiles!$A$45:$I$59, 7, FALSE), perc_95, VLOOKUP(U$2, Percentiles!$A$45:$I$59, 8, FALSE), perc_85, perc_75 + (perc_90 - perc_75) * (2/3), converted_stat, '2K_Ratings'!U149, IF(bbgm_stat &gt;= perc_95, converted_stat * 3, IF(bbgm_stat &gt;= perc_90, converted_stat * 2, IF(bbgm_stat &gt;= perc_85, converted_stat * 1.5, converted_stat)))))</f>
        <v/>
      </c>
      <c r="V149" s="30" t="str">
        <f t="array" ref="V149">IF($A149="", "", LET(bbgm_stat, INDEX(Players!$A148:$P148, MATCH(V$2, Players!$A$1:$P$1, 0)), perc_75, VLOOKUP(V$2, Percentiles!$A$45:$I$59, 6, FALSE), perc_90, VLOOKUP(V$2, Percentiles!$A$45:$I$59, 7, FALSE), perc_95, VLOOKUP(V$2, Percentiles!$A$45:$I$59, 8, FALSE), perc_85, perc_75 + (perc_90 - perc_75) * (2/3), converted_stat, '2K_Ratings'!V149, IF(bbgm_stat &gt;= perc_95, converted_stat * 3, IF(bbgm_stat &gt;= perc_90, converted_stat * 2, IF(bbgm_stat &gt;= perc_85, converted_stat * 1.5, converted_stat)))))</f>
        <v/>
      </c>
      <c r="W149" s="30" t="str">
        <f t="array" ref="W149">IF($A149="", "", LET(bbgm_stat, INDEX(Players!$A148:$P148, MATCH(W$2, Players!$A$1:$P$1, 0)), perc_75, VLOOKUP(W$2, Percentiles!$A$45:$I$59, 6, FALSE), perc_90, VLOOKUP(W$2, Percentiles!$A$45:$I$59, 7, FALSE), perc_95, VLOOKUP(W$2, Percentiles!$A$45:$I$59, 8, FALSE), perc_85, perc_75 + (perc_90 - perc_75) * (2/3), converted_stat, '2K_Ratings'!W149, IF(bbgm_stat &gt;= perc_95, converted_stat * 3, IF(bbgm_stat &gt;= perc_90, converted_stat * 2, IF(bbgm_stat &gt;= perc_85, converted_stat * 1.5, converted_stat)))))</f>
        <v/>
      </c>
    </row>
    <row r="150">
      <c r="A150" s="30"/>
      <c r="B150" s="30" t="str">
        <f t="array" ref="B150">IF($A150="", "", LET(bbgm_stat, INDEX(Players!$A149:$P149, MATCH(B$2, Players!$A$1:$P$1, 0)), perc_75, VLOOKUP(B$2, Percentiles!$A$45:$I$59, 6, FALSE), perc_90, VLOOKUP(B$2, Percentiles!$A$45:$I$59, 7, FALSE), perc_95, VLOOKUP(B$2, Percentiles!$A$45:$I$59, 8, FALSE), perc_85, perc_75 + (perc_90 - perc_75) * (2/3), converted_stat, '2K_Ratings'!B150, IF(bbgm_stat &gt;= perc_95, converted_stat * 3, IF(bbgm_stat &gt;= perc_90, converted_stat * 2, IF(bbgm_stat &gt;= perc_85, converted_stat * 1.5, converted_stat)))))</f>
        <v/>
      </c>
      <c r="C150" s="30" t="str">
        <f t="array" ref="C150">IF($A150="", "", LET(bbgm_stat, INDEX(Players!$A149:$P149, MATCH(C$2, Players!$A$1:$P$1, 0)), perc_75, VLOOKUP(C$2, Percentiles!$A$45:$I$59, 6, FALSE), perc_90, VLOOKUP(C$2, Percentiles!$A$45:$I$59, 7, FALSE), perc_95, VLOOKUP(C$2, Percentiles!$A$45:$I$59, 8, FALSE), perc_85, perc_75 + (perc_90 - perc_75) * (2/3), converted_stat, '2K_Ratings'!C150, IF(bbgm_stat &gt;= perc_95, converted_stat * 3, IF(bbgm_stat &gt;= perc_90, converted_stat * 2, IF(bbgm_stat &gt;= perc_85, converted_stat * 1.5, converted_stat)))))</f>
        <v/>
      </c>
      <c r="D150" s="30" t="str">
        <f t="array" ref="D150">IF($A150="", "", LET(bbgm_stat, INDEX(Players!$A149:$P149, MATCH(D$2, Players!$A$1:$P$1, 0)), perc_75, VLOOKUP(D$2, Percentiles!$A$45:$I$59, 6, FALSE), perc_90, VLOOKUP(D$2, Percentiles!$A$45:$I$59, 7, FALSE), perc_95, VLOOKUP(D$2, Percentiles!$A$45:$I$59, 8, FALSE), perc_85, perc_75 + (perc_90 - perc_75) * (2/3), converted_stat, '2K_Ratings'!D150, IF(bbgm_stat &gt;= perc_95, converted_stat * 3, IF(bbgm_stat &gt;= perc_90, converted_stat * 2, IF(bbgm_stat &gt;= perc_85, converted_stat * 1.5, converted_stat)))))</f>
        <v/>
      </c>
      <c r="E150" s="30" t="str">
        <f t="array" ref="E150">IF($A150="", "", LET(bbgm_stat, INDEX(Players!$A149:$P149, MATCH(E$2, Players!$A$1:$P$1, 0)), perc_75, VLOOKUP(E$2, Percentiles!$A$45:$I$59, 6, FALSE), perc_90, VLOOKUP(E$2, Percentiles!$A$45:$I$59, 7, FALSE), perc_95, VLOOKUP(E$2, Percentiles!$A$45:$I$59, 8, FALSE), perc_85, perc_75 + (perc_90 - perc_75) * (2/3), converted_stat, '2K_Ratings'!E150, IF(bbgm_stat &gt;= perc_95, converted_stat * 3, IF(bbgm_stat &gt;= perc_90, converted_stat * 2, IF(bbgm_stat &gt;= perc_85, converted_stat * 1.5, converted_stat)))))</f>
        <v/>
      </c>
      <c r="F150" s="30" t="str">
        <f t="array" ref="F150">IF($A150="", "", LET(bbgm_stat, INDEX(Players!$A149:$P149, MATCH(F$2, Players!$A$1:$P$1, 0)), perc_75, VLOOKUP(F$2, Percentiles!$A$45:$I$59, 6, FALSE), perc_90, VLOOKUP(F$2, Percentiles!$A$45:$I$59, 7, FALSE), perc_95, VLOOKUP(F$2, Percentiles!$A$45:$I$59, 8, FALSE), perc_85, perc_75 + (perc_90 - perc_75) * (2/3), converted_stat, '2K_Ratings'!F150, IF(bbgm_stat &gt;= perc_95, converted_stat * 3, IF(bbgm_stat &gt;= perc_90, converted_stat * 2, IF(bbgm_stat &gt;= perc_85, converted_stat * 1.5, converted_stat)))))</f>
        <v/>
      </c>
      <c r="G150" s="30" t="str">
        <f t="array" ref="G150">IF($A150="", "", LET(bbgm_stat, INDEX(Players!$A149:$P149, MATCH(G$2, Players!$A$1:$P$1, 0)), perc_75, VLOOKUP(G$2, Percentiles!$A$45:$I$59, 6, FALSE), perc_90, VLOOKUP(G$2, Percentiles!$A$45:$I$59, 7, FALSE), perc_95, VLOOKUP(G$2, Percentiles!$A$45:$I$59, 8, FALSE), perc_85, perc_75 + (perc_90 - perc_75) * (2/3), converted_stat, '2K_Ratings'!G150, IF(bbgm_stat &gt;= perc_95, converted_stat * 3, IF(bbgm_stat &gt;= perc_90, converted_stat * 2, IF(bbgm_stat &gt;= perc_85, converted_stat * 1.5, converted_stat)))))</f>
        <v/>
      </c>
      <c r="H150" s="30" t="str">
        <f t="array" ref="H150">IF($A150="", "", LET(bbgm_stat, INDEX(Players!$A149:$P149, MATCH(H$2, Players!$A$1:$P$1, 0)), perc_75, VLOOKUP(H$2, Percentiles!$A$45:$I$59, 6, FALSE), perc_90, VLOOKUP(H$2, Percentiles!$A$45:$I$59, 7, FALSE), perc_95, VLOOKUP(H$2, Percentiles!$A$45:$I$59, 8, FALSE), perc_85, perc_75 + (perc_90 - perc_75) * (2/3), converted_stat, '2K_Ratings'!H150, IF(bbgm_stat &gt;= perc_95, converted_stat * 3, IF(bbgm_stat &gt;= perc_90, converted_stat * 2, IF(bbgm_stat &gt;= perc_85, converted_stat * 1.5, converted_stat)))))</f>
        <v/>
      </c>
      <c r="I150" s="30" t="str">
        <f t="array" ref="I150">IF($A150="", "", LET(bbgm_stat, INDEX(Players!$A149:$P149, MATCH(I$2, Players!$A$1:$P$1, 0)), perc_75, VLOOKUP(I$2, Percentiles!$A$45:$I$59, 6, FALSE), perc_90, VLOOKUP(I$2, Percentiles!$A$45:$I$59, 7, FALSE), perc_95, VLOOKUP(I$2, Percentiles!$A$45:$I$59, 8, FALSE), perc_85, perc_75 + (perc_90 - perc_75) * (2/3), converted_stat, '2K_Ratings'!I150, IF(bbgm_stat &gt;= perc_95, converted_stat * 3, IF(bbgm_stat &gt;= perc_90, converted_stat * 2, IF(bbgm_stat &gt;= perc_85, converted_stat * 1.5, converted_stat)))))</f>
        <v/>
      </c>
      <c r="J150" s="30" t="str">
        <f t="array" ref="J150">IF($A150="", "", LET(bbgm_stat, INDEX(Players!$A149:$P149, MATCH(J$2, Players!$A$1:$P$1, 0)), perc_75, VLOOKUP(J$2, Percentiles!$A$45:$I$59, 6, FALSE), perc_90, VLOOKUP(J$2, Percentiles!$A$45:$I$59, 7, FALSE), perc_95, VLOOKUP(J$2, Percentiles!$A$45:$I$59, 8, FALSE), perc_85, perc_75 + (perc_90 - perc_75) * (2/3), converted_stat, '2K_Ratings'!J150, IF(bbgm_stat &gt;= perc_95, converted_stat * 3, IF(bbgm_stat &gt;= perc_90, converted_stat * 2, IF(bbgm_stat &gt;= perc_85, converted_stat * 1.5, converted_stat)))))</f>
        <v/>
      </c>
      <c r="K150" s="30" t="str">
        <f t="array" ref="K150">IF($A150="", "", LET(bbgm_stat, INDEX(Players!$A149:$P149, MATCH(K$2, Players!$A$1:$P$1, 0)), perc_75, VLOOKUP(K$2, Percentiles!$A$45:$I$59, 6, FALSE), perc_90, VLOOKUP(K$2, Percentiles!$A$45:$I$59, 7, FALSE), perc_95, VLOOKUP(K$2, Percentiles!$A$45:$I$59, 8, FALSE), perc_85, perc_75 + (perc_90 - perc_75) * (2/3), converted_stat, '2K_Ratings'!K150, IF(bbgm_stat &gt;= perc_95, converted_stat * 3, IF(bbgm_stat &gt;= perc_90, converted_stat * 2, IF(bbgm_stat &gt;= perc_85, converted_stat * 1.5, converted_stat)))))</f>
        <v/>
      </c>
      <c r="L150" s="30" t="str">
        <f t="array" ref="L150">IF($A150="", "", LET(bbgm_stat, INDEX(Players!$A149:$P149, MATCH(L$2, Players!$A$1:$P$1, 0)), perc_75, VLOOKUP(L$2, Percentiles!$A$45:$I$59, 6, FALSE), perc_90, VLOOKUP(L$2, Percentiles!$A$45:$I$59, 7, FALSE), perc_95, VLOOKUP(L$2, Percentiles!$A$45:$I$59, 8, FALSE), perc_85, perc_75 + (perc_90 - perc_75) * (2/3), converted_stat, '2K_Ratings'!L150, IF(bbgm_stat &gt;= perc_95, converted_stat * 3, IF(bbgm_stat &gt;= perc_90, converted_stat * 2, IF(bbgm_stat &gt;= perc_85, converted_stat * 1.5, converted_stat)))))</f>
        <v/>
      </c>
      <c r="M150" s="30" t="str">
        <f t="array" ref="M150">IF($A150="", "", LET(bbgm_stat, INDEX(Players!$A149:$P149, MATCH(M$2, Players!$A$1:$P$1, 0)), perc_75, VLOOKUP(M$2, Percentiles!$A$45:$I$59, 6, FALSE), perc_90, VLOOKUP(M$2, Percentiles!$A$45:$I$59, 7, FALSE), perc_95, VLOOKUP(M$2, Percentiles!$A$45:$I$59, 8, FALSE), perc_85, perc_75 + (perc_90 - perc_75) * (2/3), converted_stat, '2K_Ratings'!M150, IF(bbgm_stat &gt;= perc_95, converted_stat * 3, IF(bbgm_stat &gt;= perc_90, converted_stat * 2, IF(bbgm_stat &gt;= perc_85, converted_stat * 1.5, converted_stat)))))</f>
        <v/>
      </c>
      <c r="N150" s="30" t="str">
        <f t="array" ref="N150">IF($A150="", "", LET(bbgm_stat, INDEX(Players!$A149:$P149, MATCH(N$2, Players!$A$1:$P$1, 0)), perc_75, VLOOKUP(N$2, Percentiles!$A$45:$I$59, 6, FALSE), perc_90, VLOOKUP(N$2, Percentiles!$A$45:$I$59, 7, FALSE), perc_95, VLOOKUP(N$2, Percentiles!$A$45:$I$59, 8, FALSE), perc_85, perc_75 + (perc_90 - perc_75) * (2/3), converted_stat, '2K_Ratings'!N150, IF(bbgm_stat &gt;= perc_95, converted_stat * 3, IF(bbgm_stat &gt;= perc_90, converted_stat * 2, IF(bbgm_stat &gt;= perc_85, converted_stat * 1.5, converted_stat)))))</f>
        <v/>
      </c>
      <c r="O150" s="30" t="str">
        <f t="array" ref="O150">IF($A150="", "", LET(bbgm_stat, INDEX(Players!$A149:$P149, MATCH(O$2, Players!$A$1:$P$1, 0)), perc_75, VLOOKUP(O$2, Percentiles!$A$45:$I$59, 6, FALSE), perc_90, VLOOKUP(O$2, Percentiles!$A$45:$I$59, 7, FALSE), perc_95, VLOOKUP(O$2, Percentiles!$A$45:$I$59, 8, FALSE), perc_85, perc_75 + (perc_90 - perc_75) * (2/3), converted_stat, '2K_Ratings'!O150, IF(bbgm_stat &gt;= perc_95, converted_stat * 3, IF(bbgm_stat &gt;= perc_90, converted_stat * 2, IF(bbgm_stat &gt;= perc_85, converted_stat * 1.5, converted_stat)))))</f>
        <v/>
      </c>
      <c r="P150" s="30" t="str">
        <f t="array" ref="P150">IF($A150="", "", LET(bbgm_stat, INDEX(Players!$A149:$P149, MATCH(P$2, Players!$A$1:$P$1, 0)), perc_75, VLOOKUP(P$2, Percentiles!$A$45:$I$59, 6, FALSE), perc_90, VLOOKUP(P$2, Percentiles!$A$45:$I$59, 7, FALSE), perc_95, VLOOKUP(P$2, Percentiles!$A$45:$I$59, 8, FALSE), perc_85, perc_75 + (perc_90 - perc_75) * (2/3), converted_stat, '2K_Ratings'!P150, IF(bbgm_stat &gt;= perc_95, converted_stat * 3, IF(bbgm_stat &gt;= perc_90, converted_stat * 2, IF(bbgm_stat &gt;= perc_85, converted_stat * 1.5, converted_stat)))))</f>
        <v/>
      </c>
      <c r="Q150" s="30" t="str">
        <f t="array" ref="Q150">IF($A150="", "", LET(bbgm_stat, INDEX(Players!$A149:$P149, MATCH(Q$2, Players!$A$1:$P$1, 0)), perc_75, VLOOKUP(Q$2, Percentiles!$A$45:$I$59, 6, FALSE), perc_90, VLOOKUP(Q$2, Percentiles!$A$45:$I$59, 7, FALSE), perc_95, VLOOKUP(Q$2, Percentiles!$A$45:$I$59, 8, FALSE), perc_85, perc_75 + (perc_90 - perc_75) * (2/3), converted_stat, '2K_Ratings'!Q150, IF(bbgm_stat &gt;= perc_95, converted_stat * 3, IF(bbgm_stat &gt;= perc_90, converted_stat * 2, IF(bbgm_stat &gt;= perc_85, converted_stat * 1.5, converted_stat)))))</f>
        <v/>
      </c>
      <c r="R150" s="30" t="str">
        <f t="array" ref="R150">IF($A150="", "", LET(bbgm_stat, INDEX(Players!$A149:$P149, MATCH(R$2, Players!$A$1:$P$1, 0)), perc_75, VLOOKUP(R$2, Percentiles!$A$45:$I$59, 6, FALSE), perc_90, VLOOKUP(R$2, Percentiles!$A$45:$I$59, 7, FALSE), perc_95, VLOOKUP(R$2, Percentiles!$A$45:$I$59, 8, FALSE), perc_85, perc_75 + (perc_90 - perc_75) * (2/3), converted_stat, '2K_Ratings'!R150, IF(bbgm_stat &gt;= perc_95, converted_stat * 3, IF(bbgm_stat &gt;= perc_90, converted_stat * 2, IF(bbgm_stat &gt;= perc_85, converted_stat * 1.5, converted_stat)))))</f>
        <v/>
      </c>
      <c r="S150" s="30" t="str">
        <f t="array" ref="S150">IF($A150="", "", LET(bbgm_stat, INDEX(Players!$A149:$P149, MATCH(S$2, Players!$A$1:$P$1, 0)), perc_75, VLOOKUP(S$2, Percentiles!$A$45:$I$59, 6, FALSE), perc_90, VLOOKUP(S$2, Percentiles!$A$45:$I$59, 7, FALSE), perc_95, VLOOKUP(S$2, Percentiles!$A$45:$I$59, 8, FALSE), perc_85, perc_75 + (perc_90 - perc_75) * (2/3), converted_stat, '2K_Ratings'!S150, IF(bbgm_stat &gt;= perc_95, converted_stat * 3, IF(bbgm_stat &gt;= perc_90, converted_stat * 2, IF(bbgm_stat &gt;= perc_85, converted_stat * 1.5, converted_stat)))))</f>
        <v/>
      </c>
      <c r="T150" s="30" t="str">
        <f t="array" ref="T150">IF($A150="", "", LET(bbgm_stat, INDEX(Players!$A149:$P149, MATCH(T$2, Players!$A$1:$P$1, 0)), perc_75, VLOOKUP(T$2, Percentiles!$A$45:$I$59, 6, FALSE), perc_90, VLOOKUP(T$2, Percentiles!$A$45:$I$59, 7, FALSE), perc_95, VLOOKUP(T$2, Percentiles!$A$45:$I$59, 8, FALSE), perc_85, perc_75 + (perc_90 - perc_75) * (2/3), converted_stat, '2K_Ratings'!T150, IF(bbgm_stat &gt;= perc_95, converted_stat * 3, IF(bbgm_stat &gt;= perc_90, converted_stat * 2, IF(bbgm_stat &gt;= perc_85, converted_stat * 1.5, converted_stat)))))</f>
        <v/>
      </c>
      <c r="U150" s="30" t="str">
        <f t="array" ref="U150">IF($A150="", "", LET(bbgm_stat, INDEX(Players!$A149:$P149, MATCH(U$2, Players!$A$1:$P$1, 0)), perc_75, VLOOKUP(U$2, Percentiles!$A$45:$I$59, 6, FALSE), perc_90, VLOOKUP(U$2, Percentiles!$A$45:$I$59, 7, FALSE), perc_95, VLOOKUP(U$2, Percentiles!$A$45:$I$59, 8, FALSE), perc_85, perc_75 + (perc_90 - perc_75) * (2/3), converted_stat, '2K_Ratings'!U150, IF(bbgm_stat &gt;= perc_95, converted_stat * 3, IF(bbgm_stat &gt;= perc_90, converted_stat * 2, IF(bbgm_stat &gt;= perc_85, converted_stat * 1.5, converted_stat)))))</f>
        <v/>
      </c>
      <c r="V150" s="30" t="str">
        <f t="array" ref="V150">IF($A150="", "", LET(bbgm_stat, INDEX(Players!$A149:$P149, MATCH(V$2, Players!$A$1:$P$1, 0)), perc_75, VLOOKUP(V$2, Percentiles!$A$45:$I$59, 6, FALSE), perc_90, VLOOKUP(V$2, Percentiles!$A$45:$I$59, 7, FALSE), perc_95, VLOOKUP(V$2, Percentiles!$A$45:$I$59, 8, FALSE), perc_85, perc_75 + (perc_90 - perc_75) * (2/3), converted_stat, '2K_Ratings'!V150, IF(bbgm_stat &gt;= perc_95, converted_stat * 3, IF(bbgm_stat &gt;= perc_90, converted_stat * 2, IF(bbgm_stat &gt;= perc_85, converted_stat * 1.5, converted_stat)))))</f>
        <v/>
      </c>
      <c r="W150" s="30" t="str">
        <f t="array" ref="W150">IF($A150="", "", LET(bbgm_stat, INDEX(Players!$A149:$P149, MATCH(W$2, Players!$A$1:$P$1, 0)), perc_75, VLOOKUP(W$2, Percentiles!$A$45:$I$59, 6, FALSE), perc_90, VLOOKUP(W$2, Percentiles!$A$45:$I$59, 7, FALSE), perc_95, VLOOKUP(W$2, Percentiles!$A$45:$I$59, 8, FALSE), perc_85, perc_75 + (perc_90 - perc_75) * (2/3), converted_stat, '2K_Ratings'!W150, IF(bbgm_stat &gt;= perc_95, converted_stat * 3, IF(bbgm_stat &gt;= perc_90, converted_stat * 2, IF(bbgm_stat &gt;= perc_85, converted_stat * 1.5, converted_stat)))))</f>
        <v/>
      </c>
    </row>
    <row r="151">
      <c r="A151" s="30"/>
      <c r="B151" s="30" t="str">
        <f t="array" ref="B151">IF($A151="", "", LET(bbgm_stat, INDEX(Players!$A150:$P150, MATCH(B$2, Players!$A$1:$P$1, 0)), perc_75, VLOOKUP(B$2, Percentiles!$A$45:$I$59, 6, FALSE), perc_90, VLOOKUP(B$2, Percentiles!$A$45:$I$59, 7, FALSE), perc_95, VLOOKUP(B$2, Percentiles!$A$45:$I$59, 8, FALSE), perc_85, perc_75 + (perc_90 - perc_75) * (2/3), converted_stat, '2K_Ratings'!B151, IF(bbgm_stat &gt;= perc_95, converted_stat * 3, IF(bbgm_stat &gt;= perc_90, converted_stat * 2, IF(bbgm_stat &gt;= perc_85, converted_stat * 1.5, converted_stat)))))</f>
        <v/>
      </c>
      <c r="C151" s="30" t="str">
        <f t="array" ref="C151">IF($A151="", "", LET(bbgm_stat, INDEX(Players!$A150:$P150, MATCH(C$2, Players!$A$1:$P$1, 0)), perc_75, VLOOKUP(C$2, Percentiles!$A$45:$I$59, 6, FALSE), perc_90, VLOOKUP(C$2, Percentiles!$A$45:$I$59, 7, FALSE), perc_95, VLOOKUP(C$2, Percentiles!$A$45:$I$59, 8, FALSE), perc_85, perc_75 + (perc_90 - perc_75) * (2/3), converted_stat, '2K_Ratings'!C151, IF(bbgm_stat &gt;= perc_95, converted_stat * 3, IF(bbgm_stat &gt;= perc_90, converted_stat * 2, IF(bbgm_stat &gt;= perc_85, converted_stat * 1.5, converted_stat)))))</f>
        <v/>
      </c>
      <c r="D151" s="30" t="str">
        <f t="array" ref="D151">IF($A151="", "", LET(bbgm_stat, INDEX(Players!$A150:$P150, MATCH(D$2, Players!$A$1:$P$1, 0)), perc_75, VLOOKUP(D$2, Percentiles!$A$45:$I$59, 6, FALSE), perc_90, VLOOKUP(D$2, Percentiles!$A$45:$I$59, 7, FALSE), perc_95, VLOOKUP(D$2, Percentiles!$A$45:$I$59, 8, FALSE), perc_85, perc_75 + (perc_90 - perc_75) * (2/3), converted_stat, '2K_Ratings'!D151, IF(bbgm_stat &gt;= perc_95, converted_stat * 3, IF(bbgm_stat &gt;= perc_90, converted_stat * 2, IF(bbgm_stat &gt;= perc_85, converted_stat * 1.5, converted_stat)))))</f>
        <v/>
      </c>
      <c r="E151" s="30" t="str">
        <f t="array" ref="E151">IF($A151="", "", LET(bbgm_stat, INDEX(Players!$A150:$P150, MATCH(E$2, Players!$A$1:$P$1, 0)), perc_75, VLOOKUP(E$2, Percentiles!$A$45:$I$59, 6, FALSE), perc_90, VLOOKUP(E$2, Percentiles!$A$45:$I$59, 7, FALSE), perc_95, VLOOKUP(E$2, Percentiles!$A$45:$I$59, 8, FALSE), perc_85, perc_75 + (perc_90 - perc_75) * (2/3), converted_stat, '2K_Ratings'!E151, IF(bbgm_stat &gt;= perc_95, converted_stat * 3, IF(bbgm_stat &gt;= perc_90, converted_stat * 2, IF(bbgm_stat &gt;= perc_85, converted_stat * 1.5, converted_stat)))))</f>
        <v/>
      </c>
      <c r="F151" s="30" t="str">
        <f t="array" ref="F151">IF($A151="", "", LET(bbgm_stat, INDEX(Players!$A150:$P150, MATCH(F$2, Players!$A$1:$P$1, 0)), perc_75, VLOOKUP(F$2, Percentiles!$A$45:$I$59, 6, FALSE), perc_90, VLOOKUP(F$2, Percentiles!$A$45:$I$59, 7, FALSE), perc_95, VLOOKUP(F$2, Percentiles!$A$45:$I$59, 8, FALSE), perc_85, perc_75 + (perc_90 - perc_75) * (2/3), converted_stat, '2K_Ratings'!F151, IF(bbgm_stat &gt;= perc_95, converted_stat * 3, IF(bbgm_stat &gt;= perc_90, converted_stat * 2, IF(bbgm_stat &gt;= perc_85, converted_stat * 1.5, converted_stat)))))</f>
        <v/>
      </c>
      <c r="G151" s="30" t="str">
        <f t="array" ref="G151">IF($A151="", "", LET(bbgm_stat, INDEX(Players!$A150:$P150, MATCH(G$2, Players!$A$1:$P$1, 0)), perc_75, VLOOKUP(G$2, Percentiles!$A$45:$I$59, 6, FALSE), perc_90, VLOOKUP(G$2, Percentiles!$A$45:$I$59, 7, FALSE), perc_95, VLOOKUP(G$2, Percentiles!$A$45:$I$59, 8, FALSE), perc_85, perc_75 + (perc_90 - perc_75) * (2/3), converted_stat, '2K_Ratings'!G151, IF(bbgm_stat &gt;= perc_95, converted_stat * 3, IF(bbgm_stat &gt;= perc_90, converted_stat * 2, IF(bbgm_stat &gt;= perc_85, converted_stat * 1.5, converted_stat)))))</f>
        <v/>
      </c>
      <c r="H151" s="30" t="str">
        <f t="array" ref="H151">IF($A151="", "", LET(bbgm_stat, INDEX(Players!$A150:$P150, MATCH(H$2, Players!$A$1:$P$1, 0)), perc_75, VLOOKUP(H$2, Percentiles!$A$45:$I$59, 6, FALSE), perc_90, VLOOKUP(H$2, Percentiles!$A$45:$I$59, 7, FALSE), perc_95, VLOOKUP(H$2, Percentiles!$A$45:$I$59, 8, FALSE), perc_85, perc_75 + (perc_90 - perc_75) * (2/3), converted_stat, '2K_Ratings'!H151, IF(bbgm_stat &gt;= perc_95, converted_stat * 3, IF(bbgm_stat &gt;= perc_90, converted_stat * 2, IF(bbgm_stat &gt;= perc_85, converted_stat * 1.5, converted_stat)))))</f>
        <v/>
      </c>
      <c r="I151" s="30" t="str">
        <f t="array" ref="I151">IF($A151="", "", LET(bbgm_stat, INDEX(Players!$A150:$P150, MATCH(I$2, Players!$A$1:$P$1, 0)), perc_75, VLOOKUP(I$2, Percentiles!$A$45:$I$59, 6, FALSE), perc_90, VLOOKUP(I$2, Percentiles!$A$45:$I$59, 7, FALSE), perc_95, VLOOKUP(I$2, Percentiles!$A$45:$I$59, 8, FALSE), perc_85, perc_75 + (perc_90 - perc_75) * (2/3), converted_stat, '2K_Ratings'!I151, IF(bbgm_stat &gt;= perc_95, converted_stat * 3, IF(bbgm_stat &gt;= perc_90, converted_stat * 2, IF(bbgm_stat &gt;= perc_85, converted_stat * 1.5, converted_stat)))))</f>
        <v/>
      </c>
      <c r="J151" s="30" t="str">
        <f t="array" ref="J151">IF($A151="", "", LET(bbgm_stat, INDEX(Players!$A150:$P150, MATCH(J$2, Players!$A$1:$P$1, 0)), perc_75, VLOOKUP(J$2, Percentiles!$A$45:$I$59, 6, FALSE), perc_90, VLOOKUP(J$2, Percentiles!$A$45:$I$59, 7, FALSE), perc_95, VLOOKUP(J$2, Percentiles!$A$45:$I$59, 8, FALSE), perc_85, perc_75 + (perc_90 - perc_75) * (2/3), converted_stat, '2K_Ratings'!J151, IF(bbgm_stat &gt;= perc_95, converted_stat * 3, IF(bbgm_stat &gt;= perc_90, converted_stat * 2, IF(bbgm_stat &gt;= perc_85, converted_stat * 1.5, converted_stat)))))</f>
        <v/>
      </c>
      <c r="K151" s="30" t="str">
        <f t="array" ref="K151">IF($A151="", "", LET(bbgm_stat, INDEX(Players!$A150:$P150, MATCH(K$2, Players!$A$1:$P$1, 0)), perc_75, VLOOKUP(K$2, Percentiles!$A$45:$I$59, 6, FALSE), perc_90, VLOOKUP(K$2, Percentiles!$A$45:$I$59, 7, FALSE), perc_95, VLOOKUP(K$2, Percentiles!$A$45:$I$59, 8, FALSE), perc_85, perc_75 + (perc_90 - perc_75) * (2/3), converted_stat, '2K_Ratings'!K151, IF(bbgm_stat &gt;= perc_95, converted_stat * 3, IF(bbgm_stat &gt;= perc_90, converted_stat * 2, IF(bbgm_stat &gt;= perc_85, converted_stat * 1.5, converted_stat)))))</f>
        <v/>
      </c>
      <c r="L151" s="30" t="str">
        <f t="array" ref="L151">IF($A151="", "", LET(bbgm_stat, INDEX(Players!$A150:$P150, MATCH(L$2, Players!$A$1:$P$1, 0)), perc_75, VLOOKUP(L$2, Percentiles!$A$45:$I$59, 6, FALSE), perc_90, VLOOKUP(L$2, Percentiles!$A$45:$I$59, 7, FALSE), perc_95, VLOOKUP(L$2, Percentiles!$A$45:$I$59, 8, FALSE), perc_85, perc_75 + (perc_90 - perc_75) * (2/3), converted_stat, '2K_Ratings'!L151, IF(bbgm_stat &gt;= perc_95, converted_stat * 3, IF(bbgm_stat &gt;= perc_90, converted_stat * 2, IF(bbgm_stat &gt;= perc_85, converted_stat * 1.5, converted_stat)))))</f>
        <v/>
      </c>
      <c r="M151" s="30" t="str">
        <f t="array" ref="M151">IF($A151="", "", LET(bbgm_stat, INDEX(Players!$A150:$P150, MATCH(M$2, Players!$A$1:$P$1, 0)), perc_75, VLOOKUP(M$2, Percentiles!$A$45:$I$59, 6, FALSE), perc_90, VLOOKUP(M$2, Percentiles!$A$45:$I$59, 7, FALSE), perc_95, VLOOKUP(M$2, Percentiles!$A$45:$I$59, 8, FALSE), perc_85, perc_75 + (perc_90 - perc_75) * (2/3), converted_stat, '2K_Ratings'!M151, IF(bbgm_stat &gt;= perc_95, converted_stat * 3, IF(bbgm_stat &gt;= perc_90, converted_stat * 2, IF(bbgm_stat &gt;= perc_85, converted_stat * 1.5, converted_stat)))))</f>
        <v/>
      </c>
      <c r="N151" s="30" t="str">
        <f t="array" ref="N151">IF($A151="", "", LET(bbgm_stat, INDEX(Players!$A150:$P150, MATCH(N$2, Players!$A$1:$P$1, 0)), perc_75, VLOOKUP(N$2, Percentiles!$A$45:$I$59, 6, FALSE), perc_90, VLOOKUP(N$2, Percentiles!$A$45:$I$59, 7, FALSE), perc_95, VLOOKUP(N$2, Percentiles!$A$45:$I$59, 8, FALSE), perc_85, perc_75 + (perc_90 - perc_75) * (2/3), converted_stat, '2K_Ratings'!N151, IF(bbgm_stat &gt;= perc_95, converted_stat * 3, IF(bbgm_stat &gt;= perc_90, converted_stat * 2, IF(bbgm_stat &gt;= perc_85, converted_stat * 1.5, converted_stat)))))</f>
        <v/>
      </c>
      <c r="O151" s="30" t="str">
        <f t="array" ref="O151">IF($A151="", "", LET(bbgm_stat, INDEX(Players!$A150:$P150, MATCH(O$2, Players!$A$1:$P$1, 0)), perc_75, VLOOKUP(O$2, Percentiles!$A$45:$I$59, 6, FALSE), perc_90, VLOOKUP(O$2, Percentiles!$A$45:$I$59, 7, FALSE), perc_95, VLOOKUP(O$2, Percentiles!$A$45:$I$59, 8, FALSE), perc_85, perc_75 + (perc_90 - perc_75) * (2/3), converted_stat, '2K_Ratings'!O151, IF(bbgm_stat &gt;= perc_95, converted_stat * 3, IF(bbgm_stat &gt;= perc_90, converted_stat * 2, IF(bbgm_stat &gt;= perc_85, converted_stat * 1.5, converted_stat)))))</f>
        <v/>
      </c>
      <c r="P151" s="30" t="str">
        <f t="array" ref="P151">IF($A151="", "", LET(bbgm_stat, INDEX(Players!$A150:$P150, MATCH(P$2, Players!$A$1:$P$1, 0)), perc_75, VLOOKUP(P$2, Percentiles!$A$45:$I$59, 6, FALSE), perc_90, VLOOKUP(P$2, Percentiles!$A$45:$I$59, 7, FALSE), perc_95, VLOOKUP(P$2, Percentiles!$A$45:$I$59, 8, FALSE), perc_85, perc_75 + (perc_90 - perc_75) * (2/3), converted_stat, '2K_Ratings'!P151, IF(bbgm_stat &gt;= perc_95, converted_stat * 3, IF(bbgm_stat &gt;= perc_90, converted_stat * 2, IF(bbgm_stat &gt;= perc_85, converted_stat * 1.5, converted_stat)))))</f>
        <v/>
      </c>
      <c r="Q151" s="30" t="str">
        <f t="array" ref="Q151">IF($A151="", "", LET(bbgm_stat, INDEX(Players!$A150:$P150, MATCH(Q$2, Players!$A$1:$P$1, 0)), perc_75, VLOOKUP(Q$2, Percentiles!$A$45:$I$59, 6, FALSE), perc_90, VLOOKUP(Q$2, Percentiles!$A$45:$I$59, 7, FALSE), perc_95, VLOOKUP(Q$2, Percentiles!$A$45:$I$59, 8, FALSE), perc_85, perc_75 + (perc_90 - perc_75) * (2/3), converted_stat, '2K_Ratings'!Q151, IF(bbgm_stat &gt;= perc_95, converted_stat * 3, IF(bbgm_stat &gt;= perc_90, converted_stat * 2, IF(bbgm_stat &gt;= perc_85, converted_stat * 1.5, converted_stat)))))</f>
        <v/>
      </c>
      <c r="R151" s="30" t="str">
        <f t="array" ref="R151">IF($A151="", "", LET(bbgm_stat, INDEX(Players!$A150:$P150, MATCH(R$2, Players!$A$1:$P$1, 0)), perc_75, VLOOKUP(R$2, Percentiles!$A$45:$I$59, 6, FALSE), perc_90, VLOOKUP(R$2, Percentiles!$A$45:$I$59, 7, FALSE), perc_95, VLOOKUP(R$2, Percentiles!$A$45:$I$59, 8, FALSE), perc_85, perc_75 + (perc_90 - perc_75) * (2/3), converted_stat, '2K_Ratings'!R151, IF(bbgm_stat &gt;= perc_95, converted_stat * 3, IF(bbgm_stat &gt;= perc_90, converted_stat * 2, IF(bbgm_stat &gt;= perc_85, converted_stat * 1.5, converted_stat)))))</f>
        <v/>
      </c>
      <c r="S151" s="30" t="str">
        <f t="array" ref="S151">IF($A151="", "", LET(bbgm_stat, INDEX(Players!$A150:$P150, MATCH(S$2, Players!$A$1:$P$1, 0)), perc_75, VLOOKUP(S$2, Percentiles!$A$45:$I$59, 6, FALSE), perc_90, VLOOKUP(S$2, Percentiles!$A$45:$I$59, 7, FALSE), perc_95, VLOOKUP(S$2, Percentiles!$A$45:$I$59, 8, FALSE), perc_85, perc_75 + (perc_90 - perc_75) * (2/3), converted_stat, '2K_Ratings'!S151, IF(bbgm_stat &gt;= perc_95, converted_stat * 3, IF(bbgm_stat &gt;= perc_90, converted_stat * 2, IF(bbgm_stat &gt;= perc_85, converted_stat * 1.5, converted_stat)))))</f>
        <v/>
      </c>
      <c r="T151" s="30" t="str">
        <f t="array" ref="T151">IF($A151="", "", LET(bbgm_stat, INDEX(Players!$A150:$P150, MATCH(T$2, Players!$A$1:$P$1, 0)), perc_75, VLOOKUP(T$2, Percentiles!$A$45:$I$59, 6, FALSE), perc_90, VLOOKUP(T$2, Percentiles!$A$45:$I$59, 7, FALSE), perc_95, VLOOKUP(T$2, Percentiles!$A$45:$I$59, 8, FALSE), perc_85, perc_75 + (perc_90 - perc_75) * (2/3), converted_stat, '2K_Ratings'!T151, IF(bbgm_stat &gt;= perc_95, converted_stat * 3, IF(bbgm_stat &gt;= perc_90, converted_stat * 2, IF(bbgm_stat &gt;= perc_85, converted_stat * 1.5, converted_stat)))))</f>
        <v/>
      </c>
      <c r="U151" s="30" t="str">
        <f t="array" ref="U151">IF($A151="", "", LET(bbgm_stat, INDEX(Players!$A150:$P150, MATCH(U$2, Players!$A$1:$P$1, 0)), perc_75, VLOOKUP(U$2, Percentiles!$A$45:$I$59, 6, FALSE), perc_90, VLOOKUP(U$2, Percentiles!$A$45:$I$59, 7, FALSE), perc_95, VLOOKUP(U$2, Percentiles!$A$45:$I$59, 8, FALSE), perc_85, perc_75 + (perc_90 - perc_75) * (2/3), converted_stat, '2K_Ratings'!U151, IF(bbgm_stat &gt;= perc_95, converted_stat * 3, IF(bbgm_stat &gt;= perc_90, converted_stat * 2, IF(bbgm_stat &gt;= perc_85, converted_stat * 1.5, converted_stat)))))</f>
        <v/>
      </c>
      <c r="V151" s="30" t="str">
        <f t="array" ref="V151">IF($A151="", "", LET(bbgm_stat, INDEX(Players!$A150:$P150, MATCH(V$2, Players!$A$1:$P$1, 0)), perc_75, VLOOKUP(V$2, Percentiles!$A$45:$I$59, 6, FALSE), perc_90, VLOOKUP(V$2, Percentiles!$A$45:$I$59, 7, FALSE), perc_95, VLOOKUP(V$2, Percentiles!$A$45:$I$59, 8, FALSE), perc_85, perc_75 + (perc_90 - perc_75) * (2/3), converted_stat, '2K_Ratings'!V151, IF(bbgm_stat &gt;= perc_95, converted_stat * 3, IF(bbgm_stat &gt;= perc_90, converted_stat * 2, IF(bbgm_stat &gt;= perc_85, converted_stat * 1.5, converted_stat)))))</f>
        <v/>
      </c>
      <c r="W151" s="30" t="str">
        <f t="array" ref="W151">IF($A151="", "", LET(bbgm_stat, INDEX(Players!$A150:$P150, MATCH(W$2, Players!$A$1:$P$1, 0)), perc_75, VLOOKUP(W$2, Percentiles!$A$45:$I$59, 6, FALSE), perc_90, VLOOKUP(W$2, Percentiles!$A$45:$I$59, 7, FALSE), perc_95, VLOOKUP(W$2, Percentiles!$A$45:$I$59, 8, FALSE), perc_85, perc_75 + (perc_90 - perc_75) * (2/3), converted_stat, '2K_Ratings'!W151, IF(bbgm_stat &gt;= perc_95, converted_stat * 3, IF(bbgm_stat &gt;= perc_90, converted_stat * 2, IF(bbgm_stat &gt;= perc_85, converted_stat * 1.5, converted_stat)))))</f>
        <v/>
      </c>
    </row>
    <row r="152">
      <c r="A152" s="30"/>
      <c r="B152" s="30" t="str">
        <f t="array" ref="B152">IF($A152="", "", LET(bbgm_stat, INDEX(Players!$A151:$P151, MATCH(B$2, Players!$A$1:$P$1, 0)), perc_75, VLOOKUP(B$2, Percentiles!$A$45:$I$59, 6, FALSE), perc_90, VLOOKUP(B$2, Percentiles!$A$45:$I$59, 7, FALSE), perc_95, VLOOKUP(B$2, Percentiles!$A$45:$I$59, 8, FALSE), perc_85, perc_75 + (perc_90 - perc_75) * (2/3), converted_stat, '2K_Ratings'!B152, IF(bbgm_stat &gt;= perc_95, converted_stat * 3, IF(bbgm_stat &gt;= perc_90, converted_stat * 2, IF(bbgm_stat &gt;= perc_85, converted_stat * 1.5, converted_stat)))))</f>
        <v/>
      </c>
      <c r="C152" s="30" t="str">
        <f t="array" ref="C152">IF($A152="", "", LET(bbgm_stat, INDEX(Players!$A151:$P151, MATCH(C$2, Players!$A$1:$P$1, 0)), perc_75, VLOOKUP(C$2, Percentiles!$A$45:$I$59, 6, FALSE), perc_90, VLOOKUP(C$2, Percentiles!$A$45:$I$59, 7, FALSE), perc_95, VLOOKUP(C$2, Percentiles!$A$45:$I$59, 8, FALSE), perc_85, perc_75 + (perc_90 - perc_75) * (2/3), converted_stat, '2K_Ratings'!C152, IF(bbgm_stat &gt;= perc_95, converted_stat * 3, IF(bbgm_stat &gt;= perc_90, converted_stat * 2, IF(bbgm_stat &gt;= perc_85, converted_stat * 1.5, converted_stat)))))</f>
        <v/>
      </c>
      <c r="D152" s="30" t="str">
        <f t="array" ref="D152">IF($A152="", "", LET(bbgm_stat, INDEX(Players!$A151:$P151, MATCH(D$2, Players!$A$1:$P$1, 0)), perc_75, VLOOKUP(D$2, Percentiles!$A$45:$I$59, 6, FALSE), perc_90, VLOOKUP(D$2, Percentiles!$A$45:$I$59, 7, FALSE), perc_95, VLOOKUP(D$2, Percentiles!$A$45:$I$59, 8, FALSE), perc_85, perc_75 + (perc_90 - perc_75) * (2/3), converted_stat, '2K_Ratings'!D152, IF(bbgm_stat &gt;= perc_95, converted_stat * 3, IF(bbgm_stat &gt;= perc_90, converted_stat * 2, IF(bbgm_stat &gt;= perc_85, converted_stat * 1.5, converted_stat)))))</f>
        <v/>
      </c>
      <c r="E152" s="30" t="str">
        <f t="array" ref="E152">IF($A152="", "", LET(bbgm_stat, INDEX(Players!$A151:$P151, MATCH(E$2, Players!$A$1:$P$1, 0)), perc_75, VLOOKUP(E$2, Percentiles!$A$45:$I$59, 6, FALSE), perc_90, VLOOKUP(E$2, Percentiles!$A$45:$I$59, 7, FALSE), perc_95, VLOOKUP(E$2, Percentiles!$A$45:$I$59, 8, FALSE), perc_85, perc_75 + (perc_90 - perc_75) * (2/3), converted_stat, '2K_Ratings'!E152, IF(bbgm_stat &gt;= perc_95, converted_stat * 3, IF(bbgm_stat &gt;= perc_90, converted_stat * 2, IF(bbgm_stat &gt;= perc_85, converted_stat * 1.5, converted_stat)))))</f>
        <v/>
      </c>
      <c r="F152" s="30" t="str">
        <f t="array" ref="F152">IF($A152="", "", LET(bbgm_stat, INDEX(Players!$A151:$P151, MATCH(F$2, Players!$A$1:$P$1, 0)), perc_75, VLOOKUP(F$2, Percentiles!$A$45:$I$59, 6, FALSE), perc_90, VLOOKUP(F$2, Percentiles!$A$45:$I$59, 7, FALSE), perc_95, VLOOKUP(F$2, Percentiles!$A$45:$I$59, 8, FALSE), perc_85, perc_75 + (perc_90 - perc_75) * (2/3), converted_stat, '2K_Ratings'!F152, IF(bbgm_stat &gt;= perc_95, converted_stat * 3, IF(bbgm_stat &gt;= perc_90, converted_stat * 2, IF(bbgm_stat &gt;= perc_85, converted_stat * 1.5, converted_stat)))))</f>
        <v/>
      </c>
      <c r="G152" s="30" t="str">
        <f t="array" ref="G152">IF($A152="", "", LET(bbgm_stat, INDEX(Players!$A151:$P151, MATCH(G$2, Players!$A$1:$P$1, 0)), perc_75, VLOOKUP(G$2, Percentiles!$A$45:$I$59, 6, FALSE), perc_90, VLOOKUP(G$2, Percentiles!$A$45:$I$59, 7, FALSE), perc_95, VLOOKUP(G$2, Percentiles!$A$45:$I$59, 8, FALSE), perc_85, perc_75 + (perc_90 - perc_75) * (2/3), converted_stat, '2K_Ratings'!G152, IF(bbgm_stat &gt;= perc_95, converted_stat * 3, IF(bbgm_stat &gt;= perc_90, converted_stat * 2, IF(bbgm_stat &gt;= perc_85, converted_stat * 1.5, converted_stat)))))</f>
        <v/>
      </c>
      <c r="H152" s="30" t="str">
        <f t="array" ref="H152">IF($A152="", "", LET(bbgm_stat, INDEX(Players!$A151:$P151, MATCH(H$2, Players!$A$1:$P$1, 0)), perc_75, VLOOKUP(H$2, Percentiles!$A$45:$I$59, 6, FALSE), perc_90, VLOOKUP(H$2, Percentiles!$A$45:$I$59, 7, FALSE), perc_95, VLOOKUP(H$2, Percentiles!$A$45:$I$59, 8, FALSE), perc_85, perc_75 + (perc_90 - perc_75) * (2/3), converted_stat, '2K_Ratings'!H152, IF(bbgm_stat &gt;= perc_95, converted_stat * 3, IF(bbgm_stat &gt;= perc_90, converted_stat * 2, IF(bbgm_stat &gt;= perc_85, converted_stat * 1.5, converted_stat)))))</f>
        <v/>
      </c>
      <c r="I152" s="30" t="str">
        <f t="array" ref="I152">IF($A152="", "", LET(bbgm_stat, INDEX(Players!$A151:$P151, MATCH(I$2, Players!$A$1:$P$1, 0)), perc_75, VLOOKUP(I$2, Percentiles!$A$45:$I$59, 6, FALSE), perc_90, VLOOKUP(I$2, Percentiles!$A$45:$I$59, 7, FALSE), perc_95, VLOOKUP(I$2, Percentiles!$A$45:$I$59, 8, FALSE), perc_85, perc_75 + (perc_90 - perc_75) * (2/3), converted_stat, '2K_Ratings'!I152, IF(bbgm_stat &gt;= perc_95, converted_stat * 3, IF(bbgm_stat &gt;= perc_90, converted_stat * 2, IF(bbgm_stat &gt;= perc_85, converted_stat * 1.5, converted_stat)))))</f>
        <v/>
      </c>
      <c r="J152" s="30" t="str">
        <f t="array" ref="J152">IF($A152="", "", LET(bbgm_stat, INDEX(Players!$A151:$P151, MATCH(J$2, Players!$A$1:$P$1, 0)), perc_75, VLOOKUP(J$2, Percentiles!$A$45:$I$59, 6, FALSE), perc_90, VLOOKUP(J$2, Percentiles!$A$45:$I$59, 7, FALSE), perc_95, VLOOKUP(J$2, Percentiles!$A$45:$I$59, 8, FALSE), perc_85, perc_75 + (perc_90 - perc_75) * (2/3), converted_stat, '2K_Ratings'!J152, IF(bbgm_stat &gt;= perc_95, converted_stat * 3, IF(bbgm_stat &gt;= perc_90, converted_stat * 2, IF(bbgm_stat &gt;= perc_85, converted_stat * 1.5, converted_stat)))))</f>
        <v/>
      </c>
      <c r="K152" s="30" t="str">
        <f t="array" ref="K152">IF($A152="", "", LET(bbgm_stat, INDEX(Players!$A151:$P151, MATCH(K$2, Players!$A$1:$P$1, 0)), perc_75, VLOOKUP(K$2, Percentiles!$A$45:$I$59, 6, FALSE), perc_90, VLOOKUP(K$2, Percentiles!$A$45:$I$59, 7, FALSE), perc_95, VLOOKUP(K$2, Percentiles!$A$45:$I$59, 8, FALSE), perc_85, perc_75 + (perc_90 - perc_75) * (2/3), converted_stat, '2K_Ratings'!K152, IF(bbgm_stat &gt;= perc_95, converted_stat * 3, IF(bbgm_stat &gt;= perc_90, converted_stat * 2, IF(bbgm_stat &gt;= perc_85, converted_stat * 1.5, converted_stat)))))</f>
        <v/>
      </c>
      <c r="L152" s="30" t="str">
        <f t="array" ref="L152">IF($A152="", "", LET(bbgm_stat, INDEX(Players!$A151:$P151, MATCH(L$2, Players!$A$1:$P$1, 0)), perc_75, VLOOKUP(L$2, Percentiles!$A$45:$I$59, 6, FALSE), perc_90, VLOOKUP(L$2, Percentiles!$A$45:$I$59, 7, FALSE), perc_95, VLOOKUP(L$2, Percentiles!$A$45:$I$59, 8, FALSE), perc_85, perc_75 + (perc_90 - perc_75) * (2/3), converted_stat, '2K_Ratings'!L152, IF(bbgm_stat &gt;= perc_95, converted_stat * 3, IF(bbgm_stat &gt;= perc_90, converted_stat * 2, IF(bbgm_stat &gt;= perc_85, converted_stat * 1.5, converted_stat)))))</f>
        <v/>
      </c>
      <c r="M152" s="30" t="str">
        <f t="array" ref="M152">IF($A152="", "", LET(bbgm_stat, INDEX(Players!$A151:$P151, MATCH(M$2, Players!$A$1:$P$1, 0)), perc_75, VLOOKUP(M$2, Percentiles!$A$45:$I$59, 6, FALSE), perc_90, VLOOKUP(M$2, Percentiles!$A$45:$I$59, 7, FALSE), perc_95, VLOOKUP(M$2, Percentiles!$A$45:$I$59, 8, FALSE), perc_85, perc_75 + (perc_90 - perc_75) * (2/3), converted_stat, '2K_Ratings'!M152, IF(bbgm_stat &gt;= perc_95, converted_stat * 3, IF(bbgm_stat &gt;= perc_90, converted_stat * 2, IF(bbgm_stat &gt;= perc_85, converted_stat * 1.5, converted_stat)))))</f>
        <v/>
      </c>
      <c r="N152" s="30" t="str">
        <f t="array" ref="N152">IF($A152="", "", LET(bbgm_stat, INDEX(Players!$A151:$P151, MATCH(N$2, Players!$A$1:$P$1, 0)), perc_75, VLOOKUP(N$2, Percentiles!$A$45:$I$59, 6, FALSE), perc_90, VLOOKUP(N$2, Percentiles!$A$45:$I$59, 7, FALSE), perc_95, VLOOKUP(N$2, Percentiles!$A$45:$I$59, 8, FALSE), perc_85, perc_75 + (perc_90 - perc_75) * (2/3), converted_stat, '2K_Ratings'!N152, IF(bbgm_stat &gt;= perc_95, converted_stat * 3, IF(bbgm_stat &gt;= perc_90, converted_stat * 2, IF(bbgm_stat &gt;= perc_85, converted_stat * 1.5, converted_stat)))))</f>
        <v/>
      </c>
      <c r="O152" s="30" t="str">
        <f t="array" ref="O152">IF($A152="", "", LET(bbgm_stat, INDEX(Players!$A151:$P151, MATCH(O$2, Players!$A$1:$P$1, 0)), perc_75, VLOOKUP(O$2, Percentiles!$A$45:$I$59, 6, FALSE), perc_90, VLOOKUP(O$2, Percentiles!$A$45:$I$59, 7, FALSE), perc_95, VLOOKUP(O$2, Percentiles!$A$45:$I$59, 8, FALSE), perc_85, perc_75 + (perc_90 - perc_75) * (2/3), converted_stat, '2K_Ratings'!O152, IF(bbgm_stat &gt;= perc_95, converted_stat * 3, IF(bbgm_stat &gt;= perc_90, converted_stat * 2, IF(bbgm_stat &gt;= perc_85, converted_stat * 1.5, converted_stat)))))</f>
        <v/>
      </c>
      <c r="P152" s="30" t="str">
        <f t="array" ref="P152">IF($A152="", "", LET(bbgm_stat, INDEX(Players!$A151:$P151, MATCH(P$2, Players!$A$1:$P$1, 0)), perc_75, VLOOKUP(P$2, Percentiles!$A$45:$I$59, 6, FALSE), perc_90, VLOOKUP(P$2, Percentiles!$A$45:$I$59, 7, FALSE), perc_95, VLOOKUP(P$2, Percentiles!$A$45:$I$59, 8, FALSE), perc_85, perc_75 + (perc_90 - perc_75) * (2/3), converted_stat, '2K_Ratings'!P152, IF(bbgm_stat &gt;= perc_95, converted_stat * 3, IF(bbgm_stat &gt;= perc_90, converted_stat * 2, IF(bbgm_stat &gt;= perc_85, converted_stat * 1.5, converted_stat)))))</f>
        <v/>
      </c>
      <c r="Q152" s="30" t="str">
        <f t="array" ref="Q152">IF($A152="", "", LET(bbgm_stat, INDEX(Players!$A151:$P151, MATCH(Q$2, Players!$A$1:$P$1, 0)), perc_75, VLOOKUP(Q$2, Percentiles!$A$45:$I$59, 6, FALSE), perc_90, VLOOKUP(Q$2, Percentiles!$A$45:$I$59, 7, FALSE), perc_95, VLOOKUP(Q$2, Percentiles!$A$45:$I$59, 8, FALSE), perc_85, perc_75 + (perc_90 - perc_75) * (2/3), converted_stat, '2K_Ratings'!Q152, IF(bbgm_stat &gt;= perc_95, converted_stat * 3, IF(bbgm_stat &gt;= perc_90, converted_stat * 2, IF(bbgm_stat &gt;= perc_85, converted_stat * 1.5, converted_stat)))))</f>
        <v/>
      </c>
      <c r="R152" s="30" t="str">
        <f t="array" ref="R152">IF($A152="", "", LET(bbgm_stat, INDEX(Players!$A151:$P151, MATCH(R$2, Players!$A$1:$P$1, 0)), perc_75, VLOOKUP(R$2, Percentiles!$A$45:$I$59, 6, FALSE), perc_90, VLOOKUP(R$2, Percentiles!$A$45:$I$59, 7, FALSE), perc_95, VLOOKUP(R$2, Percentiles!$A$45:$I$59, 8, FALSE), perc_85, perc_75 + (perc_90 - perc_75) * (2/3), converted_stat, '2K_Ratings'!R152, IF(bbgm_stat &gt;= perc_95, converted_stat * 3, IF(bbgm_stat &gt;= perc_90, converted_stat * 2, IF(bbgm_stat &gt;= perc_85, converted_stat * 1.5, converted_stat)))))</f>
        <v/>
      </c>
      <c r="S152" s="30" t="str">
        <f t="array" ref="S152">IF($A152="", "", LET(bbgm_stat, INDEX(Players!$A151:$P151, MATCH(S$2, Players!$A$1:$P$1, 0)), perc_75, VLOOKUP(S$2, Percentiles!$A$45:$I$59, 6, FALSE), perc_90, VLOOKUP(S$2, Percentiles!$A$45:$I$59, 7, FALSE), perc_95, VLOOKUP(S$2, Percentiles!$A$45:$I$59, 8, FALSE), perc_85, perc_75 + (perc_90 - perc_75) * (2/3), converted_stat, '2K_Ratings'!S152, IF(bbgm_stat &gt;= perc_95, converted_stat * 3, IF(bbgm_stat &gt;= perc_90, converted_stat * 2, IF(bbgm_stat &gt;= perc_85, converted_stat * 1.5, converted_stat)))))</f>
        <v/>
      </c>
      <c r="T152" s="30" t="str">
        <f t="array" ref="T152">IF($A152="", "", LET(bbgm_stat, INDEX(Players!$A151:$P151, MATCH(T$2, Players!$A$1:$P$1, 0)), perc_75, VLOOKUP(T$2, Percentiles!$A$45:$I$59, 6, FALSE), perc_90, VLOOKUP(T$2, Percentiles!$A$45:$I$59, 7, FALSE), perc_95, VLOOKUP(T$2, Percentiles!$A$45:$I$59, 8, FALSE), perc_85, perc_75 + (perc_90 - perc_75) * (2/3), converted_stat, '2K_Ratings'!T152, IF(bbgm_stat &gt;= perc_95, converted_stat * 3, IF(bbgm_stat &gt;= perc_90, converted_stat * 2, IF(bbgm_stat &gt;= perc_85, converted_stat * 1.5, converted_stat)))))</f>
        <v/>
      </c>
      <c r="U152" s="30" t="str">
        <f t="array" ref="U152">IF($A152="", "", LET(bbgm_stat, INDEX(Players!$A151:$P151, MATCH(U$2, Players!$A$1:$P$1, 0)), perc_75, VLOOKUP(U$2, Percentiles!$A$45:$I$59, 6, FALSE), perc_90, VLOOKUP(U$2, Percentiles!$A$45:$I$59, 7, FALSE), perc_95, VLOOKUP(U$2, Percentiles!$A$45:$I$59, 8, FALSE), perc_85, perc_75 + (perc_90 - perc_75) * (2/3), converted_stat, '2K_Ratings'!U152, IF(bbgm_stat &gt;= perc_95, converted_stat * 3, IF(bbgm_stat &gt;= perc_90, converted_stat * 2, IF(bbgm_stat &gt;= perc_85, converted_stat * 1.5, converted_stat)))))</f>
        <v/>
      </c>
      <c r="V152" s="30" t="str">
        <f t="array" ref="V152">IF($A152="", "", LET(bbgm_stat, INDEX(Players!$A151:$P151, MATCH(V$2, Players!$A$1:$P$1, 0)), perc_75, VLOOKUP(V$2, Percentiles!$A$45:$I$59, 6, FALSE), perc_90, VLOOKUP(V$2, Percentiles!$A$45:$I$59, 7, FALSE), perc_95, VLOOKUP(V$2, Percentiles!$A$45:$I$59, 8, FALSE), perc_85, perc_75 + (perc_90 - perc_75) * (2/3), converted_stat, '2K_Ratings'!V152, IF(bbgm_stat &gt;= perc_95, converted_stat * 3, IF(bbgm_stat &gt;= perc_90, converted_stat * 2, IF(bbgm_stat &gt;= perc_85, converted_stat * 1.5, converted_stat)))))</f>
        <v/>
      </c>
      <c r="W152" s="30" t="str">
        <f t="array" ref="W152">IF($A152="", "", LET(bbgm_stat, INDEX(Players!$A151:$P151, MATCH(W$2, Players!$A$1:$P$1, 0)), perc_75, VLOOKUP(W$2, Percentiles!$A$45:$I$59, 6, FALSE), perc_90, VLOOKUP(W$2, Percentiles!$A$45:$I$59, 7, FALSE), perc_95, VLOOKUP(W$2, Percentiles!$A$45:$I$59, 8, FALSE), perc_85, perc_75 + (perc_90 - perc_75) * (2/3), converted_stat, '2K_Ratings'!W152, IF(bbgm_stat &gt;= perc_95, converted_stat * 3, IF(bbgm_stat &gt;= perc_90, converted_stat * 2, IF(bbgm_stat &gt;= perc_85, converted_stat * 1.5, converted_stat)))))</f>
        <v/>
      </c>
    </row>
    <row r="153">
      <c r="A153" s="30"/>
      <c r="B153" s="30" t="str">
        <f t="array" ref="B153">IF($A153="", "", LET(bbgm_stat, INDEX(Players!$A152:$P152, MATCH(B$2, Players!$A$1:$P$1, 0)), perc_75, VLOOKUP(B$2, Percentiles!$A$45:$I$59, 6, FALSE), perc_90, VLOOKUP(B$2, Percentiles!$A$45:$I$59, 7, FALSE), perc_95, VLOOKUP(B$2, Percentiles!$A$45:$I$59, 8, FALSE), perc_85, perc_75 + (perc_90 - perc_75) * (2/3), converted_stat, '2K_Ratings'!B153, IF(bbgm_stat &gt;= perc_95, converted_stat * 3, IF(bbgm_stat &gt;= perc_90, converted_stat * 2, IF(bbgm_stat &gt;= perc_85, converted_stat * 1.5, converted_stat)))))</f>
        <v/>
      </c>
      <c r="C153" s="30" t="str">
        <f t="array" ref="C153">IF($A153="", "", LET(bbgm_stat, INDEX(Players!$A152:$P152, MATCH(C$2, Players!$A$1:$P$1, 0)), perc_75, VLOOKUP(C$2, Percentiles!$A$45:$I$59, 6, FALSE), perc_90, VLOOKUP(C$2, Percentiles!$A$45:$I$59, 7, FALSE), perc_95, VLOOKUP(C$2, Percentiles!$A$45:$I$59, 8, FALSE), perc_85, perc_75 + (perc_90 - perc_75) * (2/3), converted_stat, '2K_Ratings'!C153, IF(bbgm_stat &gt;= perc_95, converted_stat * 3, IF(bbgm_stat &gt;= perc_90, converted_stat * 2, IF(bbgm_stat &gt;= perc_85, converted_stat * 1.5, converted_stat)))))</f>
        <v/>
      </c>
      <c r="D153" s="30" t="str">
        <f t="array" ref="D153">IF($A153="", "", LET(bbgm_stat, INDEX(Players!$A152:$P152, MATCH(D$2, Players!$A$1:$P$1, 0)), perc_75, VLOOKUP(D$2, Percentiles!$A$45:$I$59, 6, FALSE), perc_90, VLOOKUP(D$2, Percentiles!$A$45:$I$59, 7, FALSE), perc_95, VLOOKUP(D$2, Percentiles!$A$45:$I$59, 8, FALSE), perc_85, perc_75 + (perc_90 - perc_75) * (2/3), converted_stat, '2K_Ratings'!D153, IF(bbgm_stat &gt;= perc_95, converted_stat * 3, IF(bbgm_stat &gt;= perc_90, converted_stat * 2, IF(bbgm_stat &gt;= perc_85, converted_stat * 1.5, converted_stat)))))</f>
        <v/>
      </c>
      <c r="E153" s="30" t="str">
        <f t="array" ref="E153">IF($A153="", "", LET(bbgm_stat, INDEX(Players!$A152:$P152, MATCH(E$2, Players!$A$1:$P$1, 0)), perc_75, VLOOKUP(E$2, Percentiles!$A$45:$I$59, 6, FALSE), perc_90, VLOOKUP(E$2, Percentiles!$A$45:$I$59, 7, FALSE), perc_95, VLOOKUP(E$2, Percentiles!$A$45:$I$59, 8, FALSE), perc_85, perc_75 + (perc_90 - perc_75) * (2/3), converted_stat, '2K_Ratings'!E153, IF(bbgm_stat &gt;= perc_95, converted_stat * 3, IF(bbgm_stat &gt;= perc_90, converted_stat * 2, IF(bbgm_stat &gt;= perc_85, converted_stat * 1.5, converted_stat)))))</f>
        <v/>
      </c>
      <c r="F153" s="30" t="str">
        <f t="array" ref="F153">IF($A153="", "", LET(bbgm_stat, INDEX(Players!$A152:$P152, MATCH(F$2, Players!$A$1:$P$1, 0)), perc_75, VLOOKUP(F$2, Percentiles!$A$45:$I$59, 6, FALSE), perc_90, VLOOKUP(F$2, Percentiles!$A$45:$I$59, 7, FALSE), perc_95, VLOOKUP(F$2, Percentiles!$A$45:$I$59, 8, FALSE), perc_85, perc_75 + (perc_90 - perc_75) * (2/3), converted_stat, '2K_Ratings'!F153, IF(bbgm_stat &gt;= perc_95, converted_stat * 3, IF(bbgm_stat &gt;= perc_90, converted_stat * 2, IF(bbgm_stat &gt;= perc_85, converted_stat * 1.5, converted_stat)))))</f>
        <v/>
      </c>
      <c r="G153" s="30" t="str">
        <f t="array" ref="G153">IF($A153="", "", LET(bbgm_stat, INDEX(Players!$A152:$P152, MATCH(G$2, Players!$A$1:$P$1, 0)), perc_75, VLOOKUP(G$2, Percentiles!$A$45:$I$59, 6, FALSE), perc_90, VLOOKUP(G$2, Percentiles!$A$45:$I$59, 7, FALSE), perc_95, VLOOKUP(G$2, Percentiles!$A$45:$I$59, 8, FALSE), perc_85, perc_75 + (perc_90 - perc_75) * (2/3), converted_stat, '2K_Ratings'!G153, IF(bbgm_stat &gt;= perc_95, converted_stat * 3, IF(bbgm_stat &gt;= perc_90, converted_stat * 2, IF(bbgm_stat &gt;= perc_85, converted_stat * 1.5, converted_stat)))))</f>
        <v/>
      </c>
      <c r="H153" s="30" t="str">
        <f t="array" ref="H153">IF($A153="", "", LET(bbgm_stat, INDEX(Players!$A152:$P152, MATCH(H$2, Players!$A$1:$P$1, 0)), perc_75, VLOOKUP(H$2, Percentiles!$A$45:$I$59, 6, FALSE), perc_90, VLOOKUP(H$2, Percentiles!$A$45:$I$59, 7, FALSE), perc_95, VLOOKUP(H$2, Percentiles!$A$45:$I$59, 8, FALSE), perc_85, perc_75 + (perc_90 - perc_75) * (2/3), converted_stat, '2K_Ratings'!H153, IF(bbgm_stat &gt;= perc_95, converted_stat * 3, IF(bbgm_stat &gt;= perc_90, converted_stat * 2, IF(bbgm_stat &gt;= perc_85, converted_stat * 1.5, converted_stat)))))</f>
        <v/>
      </c>
      <c r="I153" s="30" t="str">
        <f t="array" ref="I153">IF($A153="", "", LET(bbgm_stat, INDEX(Players!$A152:$P152, MATCH(I$2, Players!$A$1:$P$1, 0)), perc_75, VLOOKUP(I$2, Percentiles!$A$45:$I$59, 6, FALSE), perc_90, VLOOKUP(I$2, Percentiles!$A$45:$I$59, 7, FALSE), perc_95, VLOOKUP(I$2, Percentiles!$A$45:$I$59, 8, FALSE), perc_85, perc_75 + (perc_90 - perc_75) * (2/3), converted_stat, '2K_Ratings'!I153, IF(bbgm_stat &gt;= perc_95, converted_stat * 3, IF(bbgm_stat &gt;= perc_90, converted_stat * 2, IF(bbgm_stat &gt;= perc_85, converted_stat * 1.5, converted_stat)))))</f>
        <v/>
      </c>
      <c r="J153" s="30" t="str">
        <f t="array" ref="J153">IF($A153="", "", LET(bbgm_stat, INDEX(Players!$A152:$P152, MATCH(J$2, Players!$A$1:$P$1, 0)), perc_75, VLOOKUP(J$2, Percentiles!$A$45:$I$59, 6, FALSE), perc_90, VLOOKUP(J$2, Percentiles!$A$45:$I$59, 7, FALSE), perc_95, VLOOKUP(J$2, Percentiles!$A$45:$I$59, 8, FALSE), perc_85, perc_75 + (perc_90 - perc_75) * (2/3), converted_stat, '2K_Ratings'!J153, IF(bbgm_stat &gt;= perc_95, converted_stat * 3, IF(bbgm_stat &gt;= perc_90, converted_stat * 2, IF(bbgm_stat &gt;= perc_85, converted_stat * 1.5, converted_stat)))))</f>
        <v/>
      </c>
      <c r="K153" s="30" t="str">
        <f t="array" ref="K153">IF($A153="", "", LET(bbgm_stat, INDEX(Players!$A152:$P152, MATCH(K$2, Players!$A$1:$P$1, 0)), perc_75, VLOOKUP(K$2, Percentiles!$A$45:$I$59, 6, FALSE), perc_90, VLOOKUP(K$2, Percentiles!$A$45:$I$59, 7, FALSE), perc_95, VLOOKUP(K$2, Percentiles!$A$45:$I$59, 8, FALSE), perc_85, perc_75 + (perc_90 - perc_75) * (2/3), converted_stat, '2K_Ratings'!K153, IF(bbgm_stat &gt;= perc_95, converted_stat * 3, IF(bbgm_stat &gt;= perc_90, converted_stat * 2, IF(bbgm_stat &gt;= perc_85, converted_stat * 1.5, converted_stat)))))</f>
        <v/>
      </c>
      <c r="L153" s="30" t="str">
        <f t="array" ref="L153">IF($A153="", "", LET(bbgm_stat, INDEX(Players!$A152:$P152, MATCH(L$2, Players!$A$1:$P$1, 0)), perc_75, VLOOKUP(L$2, Percentiles!$A$45:$I$59, 6, FALSE), perc_90, VLOOKUP(L$2, Percentiles!$A$45:$I$59, 7, FALSE), perc_95, VLOOKUP(L$2, Percentiles!$A$45:$I$59, 8, FALSE), perc_85, perc_75 + (perc_90 - perc_75) * (2/3), converted_stat, '2K_Ratings'!L153, IF(bbgm_stat &gt;= perc_95, converted_stat * 3, IF(bbgm_stat &gt;= perc_90, converted_stat * 2, IF(bbgm_stat &gt;= perc_85, converted_stat * 1.5, converted_stat)))))</f>
        <v/>
      </c>
      <c r="M153" s="30" t="str">
        <f t="array" ref="M153">IF($A153="", "", LET(bbgm_stat, INDEX(Players!$A152:$P152, MATCH(M$2, Players!$A$1:$P$1, 0)), perc_75, VLOOKUP(M$2, Percentiles!$A$45:$I$59, 6, FALSE), perc_90, VLOOKUP(M$2, Percentiles!$A$45:$I$59, 7, FALSE), perc_95, VLOOKUP(M$2, Percentiles!$A$45:$I$59, 8, FALSE), perc_85, perc_75 + (perc_90 - perc_75) * (2/3), converted_stat, '2K_Ratings'!M153, IF(bbgm_stat &gt;= perc_95, converted_stat * 3, IF(bbgm_stat &gt;= perc_90, converted_stat * 2, IF(bbgm_stat &gt;= perc_85, converted_stat * 1.5, converted_stat)))))</f>
        <v/>
      </c>
      <c r="N153" s="30" t="str">
        <f t="array" ref="N153">IF($A153="", "", LET(bbgm_stat, INDEX(Players!$A152:$P152, MATCH(N$2, Players!$A$1:$P$1, 0)), perc_75, VLOOKUP(N$2, Percentiles!$A$45:$I$59, 6, FALSE), perc_90, VLOOKUP(N$2, Percentiles!$A$45:$I$59, 7, FALSE), perc_95, VLOOKUP(N$2, Percentiles!$A$45:$I$59, 8, FALSE), perc_85, perc_75 + (perc_90 - perc_75) * (2/3), converted_stat, '2K_Ratings'!N153, IF(bbgm_stat &gt;= perc_95, converted_stat * 3, IF(bbgm_stat &gt;= perc_90, converted_stat * 2, IF(bbgm_stat &gt;= perc_85, converted_stat * 1.5, converted_stat)))))</f>
        <v/>
      </c>
      <c r="O153" s="30" t="str">
        <f t="array" ref="O153">IF($A153="", "", LET(bbgm_stat, INDEX(Players!$A152:$P152, MATCH(O$2, Players!$A$1:$P$1, 0)), perc_75, VLOOKUP(O$2, Percentiles!$A$45:$I$59, 6, FALSE), perc_90, VLOOKUP(O$2, Percentiles!$A$45:$I$59, 7, FALSE), perc_95, VLOOKUP(O$2, Percentiles!$A$45:$I$59, 8, FALSE), perc_85, perc_75 + (perc_90 - perc_75) * (2/3), converted_stat, '2K_Ratings'!O153, IF(bbgm_stat &gt;= perc_95, converted_stat * 3, IF(bbgm_stat &gt;= perc_90, converted_stat * 2, IF(bbgm_stat &gt;= perc_85, converted_stat * 1.5, converted_stat)))))</f>
        <v/>
      </c>
      <c r="P153" s="30" t="str">
        <f t="array" ref="P153">IF($A153="", "", LET(bbgm_stat, INDEX(Players!$A152:$P152, MATCH(P$2, Players!$A$1:$P$1, 0)), perc_75, VLOOKUP(P$2, Percentiles!$A$45:$I$59, 6, FALSE), perc_90, VLOOKUP(P$2, Percentiles!$A$45:$I$59, 7, FALSE), perc_95, VLOOKUP(P$2, Percentiles!$A$45:$I$59, 8, FALSE), perc_85, perc_75 + (perc_90 - perc_75) * (2/3), converted_stat, '2K_Ratings'!P153, IF(bbgm_stat &gt;= perc_95, converted_stat * 3, IF(bbgm_stat &gt;= perc_90, converted_stat * 2, IF(bbgm_stat &gt;= perc_85, converted_stat * 1.5, converted_stat)))))</f>
        <v/>
      </c>
      <c r="Q153" s="30" t="str">
        <f t="array" ref="Q153">IF($A153="", "", LET(bbgm_stat, INDEX(Players!$A152:$P152, MATCH(Q$2, Players!$A$1:$P$1, 0)), perc_75, VLOOKUP(Q$2, Percentiles!$A$45:$I$59, 6, FALSE), perc_90, VLOOKUP(Q$2, Percentiles!$A$45:$I$59, 7, FALSE), perc_95, VLOOKUP(Q$2, Percentiles!$A$45:$I$59, 8, FALSE), perc_85, perc_75 + (perc_90 - perc_75) * (2/3), converted_stat, '2K_Ratings'!Q153, IF(bbgm_stat &gt;= perc_95, converted_stat * 3, IF(bbgm_stat &gt;= perc_90, converted_stat * 2, IF(bbgm_stat &gt;= perc_85, converted_stat * 1.5, converted_stat)))))</f>
        <v/>
      </c>
      <c r="R153" s="30" t="str">
        <f t="array" ref="R153">IF($A153="", "", LET(bbgm_stat, INDEX(Players!$A152:$P152, MATCH(R$2, Players!$A$1:$P$1, 0)), perc_75, VLOOKUP(R$2, Percentiles!$A$45:$I$59, 6, FALSE), perc_90, VLOOKUP(R$2, Percentiles!$A$45:$I$59, 7, FALSE), perc_95, VLOOKUP(R$2, Percentiles!$A$45:$I$59, 8, FALSE), perc_85, perc_75 + (perc_90 - perc_75) * (2/3), converted_stat, '2K_Ratings'!R153, IF(bbgm_stat &gt;= perc_95, converted_stat * 3, IF(bbgm_stat &gt;= perc_90, converted_stat * 2, IF(bbgm_stat &gt;= perc_85, converted_stat * 1.5, converted_stat)))))</f>
        <v/>
      </c>
      <c r="S153" s="30" t="str">
        <f t="array" ref="S153">IF($A153="", "", LET(bbgm_stat, INDEX(Players!$A152:$P152, MATCH(S$2, Players!$A$1:$P$1, 0)), perc_75, VLOOKUP(S$2, Percentiles!$A$45:$I$59, 6, FALSE), perc_90, VLOOKUP(S$2, Percentiles!$A$45:$I$59, 7, FALSE), perc_95, VLOOKUP(S$2, Percentiles!$A$45:$I$59, 8, FALSE), perc_85, perc_75 + (perc_90 - perc_75) * (2/3), converted_stat, '2K_Ratings'!S153, IF(bbgm_stat &gt;= perc_95, converted_stat * 3, IF(bbgm_stat &gt;= perc_90, converted_stat * 2, IF(bbgm_stat &gt;= perc_85, converted_stat * 1.5, converted_stat)))))</f>
        <v/>
      </c>
      <c r="T153" s="30" t="str">
        <f t="array" ref="T153">IF($A153="", "", LET(bbgm_stat, INDEX(Players!$A152:$P152, MATCH(T$2, Players!$A$1:$P$1, 0)), perc_75, VLOOKUP(T$2, Percentiles!$A$45:$I$59, 6, FALSE), perc_90, VLOOKUP(T$2, Percentiles!$A$45:$I$59, 7, FALSE), perc_95, VLOOKUP(T$2, Percentiles!$A$45:$I$59, 8, FALSE), perc_85, perc_75 + (perc_90 - perc_75) * (2/3), converted_stat, '2K_Ratings'!T153, IF(bbgm_stat &gt;= perc_95, converted_stat * 3, IF(bbgm_stat &gt;= perc_90, converted_stat * 2, IF(bbgm_stat &gt;= perc_85, converted_stat * 1.5, converted_stat)))))</f>
        <v/>
      </c>
      <c r="U153" s="30" t="str">
        <f t="array" ref="U153">IF($A153="", "", LET(bbgm_stat, INDEX(Players!$A152:$P152, MATCH(U$2, Players!$A$1:$P$1, 0)), perc_75, VLOOKUP(U$2, Percentiles!$A$45:$I$59, 6, FALSE), perc_90, VLOOKUP(U$2, Percentiles!$A$45:$I$59, 7, FALSE), perc_95, VLOOKUP(U$2, Percentiles!$A$45:$I$59, 8, FALSE), perc_85, perc_75 + (perc_90 - perc_75) * (2/3), converted_stat, '2K_Ratings'!U153, IF(bbgm_stat &gt;= perc_95, converted_stat * 3, IF(bbgm_stat &gt;= perc_90, converted_stat * 2, IF(bbgm_stat &gt;= perc_85, converted_stat * 1.5, converted_stat)))))</f>
        <v/>
      </c>
      <c r="V153" s="30" t="str">
        <f t="array" ref="V153">IF($A153="", "", LET(bbgm_stat, INDEX(Players!$A152:$P152, MATCH(V$2, Players!$A$1:$P$1, 0)), perc_75, VLOOKUP(V$2, Percentiles!$A$45:$I$59, 6, FALSE), perc_90, VLOOKUP(V$2, Percentiles!$A$45:$I$59, 7, FALSE), perc_95, VLOOKUP(V$2, Percentiles!$A$45:$I$59, 8, FALSE), perc_85, perc_75 + (perc_90 - perc_75) * (2/3), converted_stat, '2K_Ratings'!V153, IF(bbgm_stat &gt;= perc_95, converted_stat * 3, IF(bbgm_stat &gt;= perc_90, converted_stat * 2, IF(bbgm_stat &gt;= perc_85, converted_stat * 1.5, converted_stat)))))</f>
        <v/>
      </c>
      <c r="W153" s="30" t="str">
        <f t="array" ref="W153">IF($A153="", "", LET(bbgm_stat, INDEX(Players!$A152:$P152, MATCH(W$2, Players!$A$1:$P$1, 0)), perc_75, VLOOKUP(W$2, Percentiles!$A$45:$I$59, 6, FALSE), perc_90, VLOOKUP(W$2, Percentiles!$A$45:$I$59, 7, FALSE), perc_95, VLOOKUP(W$2, Percentiles!$A$45:$I$59, 8, FALSE), perc_85, perc_75 + (perc_90 - perc_75) * (2/3), converted_stat, '2K_Ratings'!W153, IF(bbgm_stat &gt;= perc_95, converted_stat * 3, IF(bbgm_stat &gt;= perc_90, converted_stat * 2, IF(bbgm_stat &gt;= perc_85, converted_stat * 1.5, converted_stat)))))</f>
        <v/>
      </c>
    </row>
    <row r="154">
      <c r="A154" s="30"/>
      <c r="B154" s="30" t="str">
        <f t="array" ref="B154">IF($A154="", "", LET(bbgm_stat, INDEX(Players!$A153:$P153, MATCH(B$2, Players!$A$1:$P$1, 0)), perc_75, VLOOKUP(B$2, Percentiles!$A$45:$I$59, 6, FALSE), perc_90, VLOOKUP(B$2, Percentiles!$A$45:$I$59, 7, FALSE), perc_95, VLOOKUP(B$2, Percentiles!$A$45:$I$59, 8, FALSE), perc_85, perc_75 + (perc_90 - perc_75) * (2/3), converted_stat, '2K_Ratings'!B154, IF(bbgm_stat &gt;= perc_95, converted_stat * 3, IF(bbgm_stat &gt;= perc_90, converted_stat * 2, IF(bbgm_stat &gt;= perc_85, converted_stat * 1.5, converted_stat)))))</f>
        <v/>
      </c>
      <c r="C154" s="30" t="str">
        <f t="array" ref="C154">IF($A154="", "", LET(bbgm_stat, INDEX(Players!$A153:$P153, MATCH(C$2, Players!$A$1:$P$1, 0)), perc_75, VLOOKUP(C$2, Percentiles!$A$45:$I$59, 6, FALSE), perc_90, VLOOKUP(C$2, Percentiles!$A$45:$I$59, 7, FALSE), perc_95, VLOOKUP(C$2, Percentiles!$A$45:$I$59, 8, FALSE), perc_85, perc_75 + (perc_90 - perc_75) * (2/3), converted_stat, '2K_Ratings'!C154, IF(bbgm_stat &gt;= perc_95, converted_stat * 3, IF(bbgm_stat &gt;= perc_90, converted_stat * 2, IF(bbgm_stat &gt;= perc_85, converted_stat * 1.5, converted_stat)))))</f>
        <v/>
      </c>
      <c r="D154" s="30" t="str">
        <f t="array" ref="D154">IF($A154="", "", LET(bbgm_stat, INDEX(Players!$A153:$P153, MATCH(D$2, Players!$A$1:$P$1, 0)), perc_75, VLOOKUP(D$2, Percentiles!$A$45:$I$59, 6, FALSE), perc_90, VLOOKUP(D$2, Percentiles!$A$45:$I$59, 7, FALSE), perc_95, VLOOKUP(D$2, Percentiles!$A$45:$I$59, 8, FALSE), perc_85, perc_75 + (perc_90 - perc_75) * (2/3), converted_stat, '2K_Ratings'!D154, IF(bbgm_stat &gt;= perc_95, converted_stat * 3, IF(bbgm_stat &gt;= perc_90, converted_stat * 2, IF(bbgm_stat &gt;= perc_85, converted_stat * 1.5, converted_stat)))))</f>
        <v/>
      </c>
      <c r="E154" s="30" t="str">
        <f t="array" ref="E154">IF($A154="", "", LET(bbgm_stat, INDEX(Players!$A153:$P153, MATCH(E$2, Players!$A$1:$P$1, 0)), perc_75, VLOOKUP(E$2, Percentiles!$A$45:$I$59, 6, FALSE), perc_90, VLOOKUP(E$2, Percentiles!$A$45:$I$59, 7, FALSE), perc_95, VLOOKUP(E$2, Percentiles!$A$45:$I$59, 8, FALSE), perc_85, perc_75 + (perc_90 - perc_75) * (2/3), converted_stat, '2K_Ratings'!E154, IF(bbgm_stat &gt;= perc_95, converted_stat * 3, IF(bbgm_stat &gt;= perc_90, converted_stat * 2, IF(bbgm_stat &gt;= perc_85, converted_stat * 1.5, converted_stat)))))</f>
        <v/>
      </c>
      <c r="F154" s="30" t="str">
        <f t="array" ref="F154">IF($A154="", "", LET(bbgm_stat, INDEX(Players!$A153:$P153, MATCH(F$2, Players!$A$1:$P$1, 0)), perc_75, VLOOKUP(F$2, Percentiles!$A$45:$I$59, 6, FALSE), perc_90, VLOOKUP(F$2, Percentiles!$A$45:$I$59, 7, FALSE), perc_95, VLOOKUP(F$2, Percentiles!$A$45:$I$59, 8, FALSE), perc_85, perc_75 + (perc_90 - perc_75) * (2/3), converted_stat, '2K_Ratings'!F154, IF(bbgm_stat &gt;= perc_95, converted_stat * 3, IF(bbgm_stat &gt;= perc_90, converted_stat * 2, IF(bbgm_stat &gt;= perc_85, converted_stat * 1.5, converted_stat)))))</f>
        <v/>
      </c>
      <c r="G154" s="30" t="str">
        <f t="array" ref="G154">IF($A154="", "", LET(bbgm_stat, INDEX(Players!$A153:$P153, MATCH(G$2, Players!$A$1:$P$1, 0)), perc_75, VLOOKUP(G$2, Percentiles!$A$45:$I$59, 6, FALSE), perc_90, VLOOKUP(G$2, Percentiles!$A$45:$I$59, 7, FALSE), perc_95, VLOOKUP(G$2, Percentiles!$A$45:$I$59, 8, FALSE), perc_85, perc_75 + (perc_90 - perc_75) * (2/3), converted_stat, '2K_Ratings'!G154, IF(bbgm_stat &gt;= perc_95, converted_stat * 3, IF(bbgm_stat &gt;= perc_90, converted_stat * 2, IF(bbgm_stat &gt;= perc_85, converted_stat * 1.5, converted_stat)))))</f>
        <v/>
      </c>
      <c r="H154" s="30" t="str">
        <f t="array" ref="H154">IF($A154="", "", LET(bbgm_stat, INDEX(Players!$A153:$P153, MATCH(H$2, Players!$A$1:$P$1, 0)), perc_75, VLOOKUP(H$2, Percentiles!$A$45:$I$59, 6, FALSE), perc_90, VLOOKUP(H$2, Percentiles!$A$45:$I$59, 7, FALSE), perc_95, VLOOKUP(H$2, Percentiles!$A$45:$I$59, 8, FALSE), perc_85, perc_75 + (perc_90 - perc_75) * (2/3), converted_stat, '2K_Ratings'!H154, IF(bbgm_stat &gt;= perc_95, converted_stat * 3, IF(bbgm_stat &gt;= perc_90, converted_stat * 2, IF(bbgm_stat &gt;= perc_85, converted_stat * 1.5, converted_stat)))))</f>
        <v/>
      </c>
      <c r="I154" s="30" t="str">
        <f t="array" ref="I154">IF($A154="", "", LET(bbgm_stat, INDEX(Players!$A153:$P153, MATCH(I$2, Players!$A$1:$P$1, 0)), perc_75, VLOOKUP(I$2, Percentiles!$A$45:$I$59, 6, FALSE), perc_90, VLOOKUP(I$2, Percentiles!$A$45:$I$59, 7, FALSE), perc_95, VLOOKUP(I$2, Percentiles!$A$45:$I$59, 8, FALSE), perc_85, perc_75 + (perc_90 - perc_75) * (2/3), converted_stat, '2K_Ratings'!I154, IF(bbgm_stat &gt;= perc_95, converted_stat * 3, IF(bbgm_stat &gt;= perc_90, converted_stat * 2, IF(bbgm_stat &gt;= perc_85, converted_stat * 1.5, converted_stat)))))</f>
        <v/>
      </c>
      <c r="J154" s="30" t="str">
        <f t="array" ref="J154">IF($A154="", "", LET(bbgm_stat, INDEX(Players!$A153:$P153, MATCH(J$2, Players!$A$1:$P$1, 0)), perc_75, VLOOKUP(J$2, Percentiles!$A$45:$I$59, 6, FALSE), perc_90, VLOOKUP(J$2, Percentiles!$A$45:$I$59, 7, FALSE), perc_95, VLOOKUP(J$2, Percentiles!$A$45:$I$59, 8, FALSE), perc_85, perc_75 + (perc_90 - perc_75) * (2/3), converted_stat, '2K_Ratings'!J154, IF(bbgm_stat &gt;= perc_95, converted_stat * 3, IF(bbgm_stat &gt;= perc_90, converted_stat * 2, IF(bbgm_stat &gt;= perc_85, converted_stat * 1.5, converted_stat)))))</f>
        <v/>
      </c>
      <c r="K154" s="30" t="str">
        <f t="array" ref="K154">IF($A154="", "", LET(bbgm_stat, INDEX(Players!$A153:$P153, MATCH(K$2, Players!$A$1:$P$1, 0)), perc_75, VLOOKUP(K$2, Percentiles!$A$45:$I$59, 6, FALSE), perc_90, VLOOKUP(K$2, Percentiles!$A$45:$I$59, 7, FALSE), perc_95, VLOOKUP(K$2, Percentiles!$A$45:$I$59, 8, FALSE), perc_85, perc_75 + (perc_90 - perc_75) * (2/3), converted_stat, '2K_Ratings'!K154, IF(bbgm_stat &gt;= perc_95, converted_stat * 3, IF(bbgm_stat &gt;= perc_90, converted_stat * 2, IF(bbgm_stat &gt;= perc_85, converted_stat * 1.5, converted_stat)))))</f>
        <v/>
      </c>
      <c r="L154" s="30" t="str">
        <f t="array" ref="L154">IF($A154="", "", LET(bbgm_stat, INDEX(Players!$A153:$P153, MATCH(L$2, Players!$A$1:$P$1, 0)), perc_75, VLOOKUP(L$2, Percentiles!$A$45:$I$59, 6, FALSE), perc_90, VLOOKUP(L$2, Percentiles!$A$45:$I$59, 7, FALSE), perc_95, VLOOKUP(L$2, Percentiles!$A$45:$I$59, 8, FALSE), perc_85, perc_75 + (perc_90 - perc_75) * (2/3), converted_stat, '2K_Ratings'!L154, IF(bbgm_stat &gt;= perc_95, converted_stat * 3, IF(bbgm_stat &gt;= perc_90, converted_stat * 2, IF(bbgm_stat &gt;= perc_85, converted_stat * 1.5, converted_stat)))))</f>
        <v/>
      </c>
      <c r="M154" s="30" t="str">
        <f t="array" ref="M154">IF($A154="", "", LET(bbgm_stat, INDEX(Players!$A153:$P153, MATCH(M$2, Players!$A$1:$P$1, 0)), perc_75, VLOOKUP(M$2, Percentiles!$A$45:$I$59, 6, FALSE), perc_90, VLOOKUP(M$2, Percentiles!$A$45:$I$59, 7, FALSE), perc_95, VLOOKUP(M$2, Percentiles!$A$45:$I$59, 8, FALSE), perc_85, perc_75 + (perc_90 - perc_75) * (2/3), converted_stat, '2K_Ratings'!M154, IF(bbgm_stat &gt;= perc_95, converted_stat * 3, IF(bbgm_stat &gt;= perc_90, converted_stat * 2, IF(bbgm_stat &gt;= perc_85, converted_stat * 1.5, converted_stat)))))</f>
        <v/>
      </c>
      <c r="N154" s="30" t="str">
        <f t="array" ref="N154">IF($A154="", "", LET(bbgm_stat, INDEX(Players!$A153:$P153, MATCH(N$2, Players!$A$1:$P$1, 0)), perc_75, VLOOKUP(N$2, Percentiles!$A$45:$I$59, 6, FALSE), perc_90, VLOOKUP(N$2, Percentiles!$A$45:$I$59, 7, FALSE), perc_95, VLOOKUP(N$2, Percentiles!$A$45:$I$59, 8, FALSE), perc_85, perc_75 + (perc_90 - perc_75) * (2/3), converted_stat, '2K_Ratings'!N154, IF(bbgm_stat &gt;= perc_95, converted_stat * 3, IF(bbgm_stat &gt;= perc_90, converted_stat * 2, IF(bbgm_stat &gt;= perc_85, converted_stat * 1.5, converted_stat)))))</f>
        <v/>
      </c>
      <c r="O154" s="30" t="str">
        <f t="array" ref="O154">IF($A154="", "", LET(bbgm_stat, INDEX(Players!$A153:$P153, MATCH(O$2, Players!$A$1:$P$1, 0)), perc_75, VLOOKUP(O$2, Percentiles!$A$45:$I$59, 6, FALSE), perc_90, VLOOKUP(O$2, Percentiles!$A$45:$I$59, 7, FALSE), perc_95, VLOOKUP(O$2, Percentiles!$A$45:$I$59, 8, FALSE), perc_85, perc_75 + (perc_90 - perc_75) * (2/3), converted_stat, '2K_Ratings'!O154, IF(bbgm_stat &gt;= perc_95, converted_stat * 3, IF(bbgm_stat &gt;= perc_90, converted_stat * 2, IF(bbgm_stat &gt;= perc_85, converted_stat * 1.5, converted_stat)))))</f>
        <v/>
      </c>
      <c r="P154" s="30" t="str">
        <f t="array" ref="P154">IF($A154="", "", LET(bbgm_stat, INDEX(Players!$A153:$P153, MATCH(P$2, Players!$A$1:$P$1, 0)), perc_75, VLOOKUP(P$2, Percentiles!$A$45:$I$59, 6, FALSE), perc_90, VLOOKUP(P$2, Percentiles!$A$45:$I$59, 7, FALSE), perc_95, VLOOKUP(P$2, Percentiles!$A$45:$I$59, 8, FALSE), perc_85, perc_75 + (perc_90 - perc_75) * (2/3), converted_stat, '2K_Ratings'!P154, IF(bbgm_stat &gt;= perc_95, converted_stat * 3, IF(bbgm_stat &gt;= perc_90, converted_stat * 2, IF(bbgm_stat &gt;= perc_85, converted_stat * 1.5, converted_stat)))))</f>
        <v/>
      </c>
      <c r="Q154" s="30" t="str">
        <f t="array" ref="Q154">IF($A154="", "", LET(bbgm_stat, INDEX(Players!$A153:$P153, MATCH(Q$2, Players!$A$1:$P$1, 0)), perc_75, VLOOKUP(Q$2, Percentiles!$A$45:$I$59, 6, FALSE), perc_90, VLOOKUP(Q$2, Percentiles!$A$45:$I$59, 7, FALSE), perc_95, VLOOKUP(Q$2, Percentiles!$A$45:$I$59, 8, FALSE), perc_85, perc_75 + (perc_90 - perc_75) * (2/3), converted_stat, '2K_Ratings'!Q154, IF(bbgm_stat &gt;= perc_95, converted_stat * 3, IF(bbgm_stat &gt;= perc_90, converted_stat * 2, IF(bbgm_stat &gt;= perc_85, converted_stat * 1.5, converted_stat)))))</f>
        <v/>
      </c>
      <c r="R154" s="30" t="str">
        <f t="array" ref="R154">IF($A154="", "", LET(bbgm_stat, INDEX(Players!$A153:$P153, MATCH(R$2, Players!$A$1:$P$1, 0)), perc_75, VLOOKUP(R$2, Percentiles!$A$45:$I$59, 6, FALSE), perc_90, VLOOKUP(R$2, Percentiles!$A$45:$I$59, 7, FALSE), perc_95, VLOOKUP(R$2, Percentiles!$A$45:$I$59, 8, FALSE), perc_85, perc_75 + (perc_90 - perc_75) * (2/3), converted_stat, '2K_Ratings'!R154, IF(bbgm_stat &gt;= perc_95, converted_stat * 3, IF(bbgm_stat &gt;= perc_90, converted_stat * 2, IF(bbgm_stat &gt;= perc_85, converted_stat * 1.5, converted_stat)))))</f>
        <v/>
      </c>
      <c r="S154" s="30" t="str">
        <f t="array" ref="S154">IF($A154="", "", LET(bbgm_stat, INDEX(Players!$A153:$P153, MATCH(S$2, Players!$A$1:$P$1, 0)), perc_75, VLOOKUP(S$2, Percentiles!$A$45:$I$59, 6, FALSE), perc_90, VLOOKUP(S$2, Percentiles!$A$45:$I$59, 7, FALSE), perc_95, VLOOKUP(S$2, Percentiles!$A$45:$I$59, 8, FALSE), perc_85, perc_75 + (perc_90 - perc_75) * (2/3), converted_stat, '2K_Ratings'!S154, IF(bbgm_stat &gt;= perc_95, converted_stat * 3, IF(bbgm_stat &gt;= perc_90, converted_stat * 2, IF(bbgm_stat &gt;= perc_85, converted_stat * 1.5, converted_stat)))))</f>
        <v/>
      </c>
      <c r="T154" s="30" t="str">
        <f t="array" ref="T154">IF($A154="", "", LET(bbgm_stat, INDEX(Players!$A153:$P153, MATCH(T$2, Players!$A$1:$P$1, 0)), perc_75, VLOOKUP(T$2, Percentiles!$A$45:$I$59, 6, FALSE), perc_90, VLOOKUP(T$2, Percentiles!$A$45:$I$59, 7, FALSE), perc_95, VLOOKUP(T$2, Percentiles!$A$45:$I$59, 8, FALSE), perc_85, perc_75 + (perc_90 - perc_75) * (2/3), converted_stat, '2K_Ratings'!T154, IF(bbgm_stat &gt;= perc_95, converted_stat * 3, IF(bbgm_stat &gt;= perc_90, converted_stat * 2, IF(bbgm_stat &gt;= perc_85, converted_stat * 1.5, converted_stat)))))</f>
        <v/>
      </c>
      <c r="U154" s="30" t="str">
        <f t="array" ref="U154">IF($A154="", "", LET(bbgm_stat, INDEX(Players!$A153:$P153, MATCH(U$2, Players!$A$1:$P$1, 0)), perc_75, VLOOKUP(U$2, Percentiles!$A$45:$I$59, 6, FALSE), perc_90, VLOOKUP(U$2, Percentiles!$A$45:$I$59, 7, FALSE), perc_95, VLOOKUP(U$2, Percentiles!$A$45:$I$59, 8, FALSE), perc_85, perc_75 + (perc_90 - perc_75) * (2/3), converted_stat, '2K_Ratings'!U154, IF(bbgm_stat &gt;= perc_95, converted_stat * 3, IF(bbgm_stat &gt;= perc_90, converted_stat * 2, IF(bbgm_stat &gt;= perc_85, converted_stat * 1.5, converted_stat)))))</f>
        <v/>
      </c>
      <c r="V154" s="30" t="str">
        <f t="array" ref="V154">IF($A154="", "", LET(bbgm_stat, INDEX(Players!$A153:$P153, MATCH(V$2, Players!$A$1:$P$1, 0)), perc_75, VLOOKUP(V$2, Percentiles!$A$45:$I$59, 6, FALSE), perc_90, VLOOKUP(V$2, Percentiles!$A$45:$I$59, 7, FALSE), perc_95, VLOOKUP(V$2, Percentiles!$A$45:$I$59, 8, FALSE), perc_85, perc_75 + (perc_90 - perc_75) * (2/3), converted_stat, '2K_Ratings'!V154, IF(bbgm_stat &gt;= perc_95, converted_stat * 3, IF(bbgm_stat &gt;= perc_90, converted_stat * 2, IF(bbgm_stat &gt;= perc_85, converted_stat * 1.5, converted_stat)))))</f>
        <v/>
      </c>
      <c r="W154" s="30" t="str">
        <f t="array" ref="W154">IF($A154="", "", LET(bbgm_stat, INDEX(Players!$A153:$P153, MATCH(W$2, Players!$A$1:$P$1, 0)), perc_75, VLOOKUP(W$2, Percentiles!$A$45:$I$59, 6, FALSE), perc_90, VLOOKUP(W$2, Percentiles!$A$45:$I$59, 7, FALSE), perc_95, VLOOKUP(W$2, Percentiles!$A$45:$I$59, 8, FALSE), perc_85, perc_75 + (perc_90 - perc_75) * (2/3), converted_stat, '2K_Ratings'!W154, IF(bbgm_stat &gt;= perc_95, converted_stat * 3, IF(bbgm_stat &gt;= perc_90, converted_stat * 2, IF(bbgm_stat &gt;= perc_85, converted_stat * 1.5, converted_stat)))))</f>
        <v/>
      </c>
    </row>
    <row r="155">
      <c r="A155" s="30"/>
      <c r="B155" s="30" t="str">
        <f t="array" ref="B155">IF($A155="", "", LET(bbgm_stat, INDEX(Players!$A154:$P154, MATCH(B$2, Players!$A$1:$P$1, 0)), perc_75, VLOOKUP(B$2, Percentiles!$A$45:$I$59, 6, FALSE), perc_90, VLOOKUP(B$2, Percentiles!$A$45:$I$59, 7, FALSE), perc_95, VLOOKUP(B$2, Percentiles!$A$45:$I$59, 8, FALSE), perc_85, perc_75 + (perc_90 - perc_75) * (2/3), converted_stat, '2K_Ratings'!B155, IF(bbgm_stat &gt;= perc_95, converted_stat * 3, IF(bbgm_stat &gt;= perc_90, converted_stat * 2, IF(bbgm_stat &gt;= perc_85, converted_stat * 1.5, converted_stat)))))</f>
        <v/>
      </c>
      <c r="C155" s="30" t="str">
        <f t="array" ref="C155">IF($A155="", "", LET(bbgm_stat, INDEX(Players!$A154:$P154, MATCH(C$2, Players!$A$1:$P$1, 0)), perc_75, VLOOKUP(C$2, Percentiles!$A$45:$I$59, 6, FALSE), perc_90, VLOOKUP(C$2, Percentiles!$A$45:$I$59, 7, FALSE), perc_95, VLOOKUP(C$2, Percentiles!$A$45:$I$59, 8, FALSE), perc_85, perc_75 + (perc_90 - perc_75) * (2/3), converted_stat, '2K_Ratings'!C155, IF(bbgm_stat &gt;= perc_95, converted_stat * 3, IF(bbgm_stat &gt;= perc_90, converted_stat * 2, IF(bbgm_stat &gt;= perc_85, converted_stat * 1.5, converted_stat)))))</f>
        <v/>
      </c>
      <c r="D155" s="30" t="str">
        <f t="array" ref="D155">IF($A155="", "", LET(bbgm_stat, INDEX(Players!$A154:$P154, MATCH(D$2, Players!$A$1:$P$1, 0)), perc_75, VLOOKUP(D$2, Percentiles!$A$45:$I$59, 6, FALSE), perc_90, VLOOKUP(D$2, Percentiles!$A$45:$I$59, 7, FALSE), perc_95, VLOOKUP(D$2, Percentiles!$A$45:$I$59, 8, FALSE), perc_85, perc_75 + (perc_90 - perc_75) * (2/3), converted_stat, '2K_Ratings'!D155, IF(bbgm_stat &gt;= perc_95, converted_stat * 3, IF(bbgm_stat &gt;= perc_90, converted_stat * 2, IF(bbgm_stat &gt;= perc_85, converted_stat * 1.5, converted_stat)))))</f>
        <v/>
      </c>
      <c r="E155" s="30" t="str">
        <f t="array" ref="E155">IF($A155="", "", LET(bbgm_stat, INDEX(Players!$A154:$P154, MATCH(E$2, Players!$A$1:$P$1, 0)), perc_75, VLOOKUP(E$2, Percentiles!$A$45:$I$59, 6, FALSE), perc_90, VLOOKUP(E$2, Percentiles!$A$45:$I$59, 7, FALSE), perc_95, VLOOKUP(E$2, Percentiles!$A$45:$I$59, 8, FALSE), perc_85, perc_75 + (perc_90 - perc_75) * (2/3), converted_stat, '2K_Ratings'!E155, IF(bbgm_stat &gt;= perc_95, converted_stat * 3, IF(bbgm_stat &gt;= perc_90, converted_stat * 2, IF(bbgm_stat &gt;= perc_85, converted_stat * 1.5, converted_stat)))))</f>
        <v/>
      </c>
      <c r="F155" s="30" t="str">
        <f t="array" ref="F155">IF($A155="", "", LET(bbgm_stat, INDEX(Players!$A154:$P154, MATCH(F$2, Players!$A$1:$P$1, 0)), perc_75, VLOOKUP(F$2, Percentiles!$A$45:$I$59, 6, FALSE), perc_90, VLOOKUP(F$2, Percentiles!$A$45:$I$59, 7, FALSE), perc_95, VLOOKUP(F$2, Percentiles!$A$45:$I$59, 8, FALSE), perc_85, perc_75 + (perc_90 - perc_75) * (2/3), converted_stat, '2K_Ratings'!F155, IF(bbgm_stat &gt;= perc_95, converted_stat * 3, IF(bbgm_stat &gt;= perc_90, converted_stat * 2, IF(bbgm_stat &gt;= perc_85, converted_stat * 1.5, converted_stat)))))</f>
        <v/>
      </c>
      <c r="G155" s="30" t="str">
        <f t="array" ref="G155">IF($A155="", "", LET(bbgm_stat, INDEX(Players!$A154:$P154, MATCH(G$2, Players!$A$1:$P$1, 0)), perc_75, VLOOKUP(G$2, Percentiles!$A$45:$I$59, 6, FALSE), perc_90, VLOOKUP(G$2, Percentiles!$A$45:$I$59, 7, FALSE), perc_95, VLOOKUP(G$2, Percentiles!$A$45:$I$59, 8, FALSE), perc_85, perc_75 + (perc_90 - perc_75) * (2/3), converted_stat, '2K_Ratings'!G155, IF(bbgm_stat &gt;= perc_95, converted_stat * 3, IF(bbgm_stat &gt;= perc_90, converted_stat * 2, IF(bbgm_stat &gt;= perc_85, converted_stat * 1.5, converted_stat)))))</f>
        <v/>
      </c>
      <c r="H155" s="30" t="str">
        <f t="array" ref="H155">IF($A155="", "", LET(bbgm_stat, INDEX(Players!$A154:$P154, MATCH(H$2, Players!$A$1:$P$1, 0)), perc_75, VLOOKUP(H$2, Percentiles!$A$45:$I$59, 6, FALSE), perc_90, VLOOKUP(H$2, Percentiles!$A$45:$I$59, 7, FALSE), perc_95, VLOOKUP(H$2, Percentiles!$A$45:$I$59, 8, FALSE), perc_85, perc_75 + (perc_90 - perc_75) * (2/3), converted_stat, '2K_Ratings'!H155, IF(bbgm_stat &gt;= perc_95, converted_stat * 3, IF(bbgm_stat &gt;= perc_90, converted_stat * 2, IF(bbgm_stat &gt;= perc_85, converted_stat * 1.5, converted_stat)))))</f>
        <v/>
      </c>
      <c r="I155" s="30" t="str">
        <f t="array" ref="I155">IF($A155="", "", LET(bbgm_stat, INDEX(Players!$A154:$P154, MATCH(I$2, Players!$A$1:$P$1, 0)), perc_75, VLOOKUP(I$2, Percentiles!$A$45:$I$59, 6, FALSE), perc_90, VLOOKUP(I$2, Percentiles!$A$45:$I$59, 7, FALSE), perc_95, VLOOKUP(I$2, Percentiles!$A$45:$I$59, 8, FALSE), perc_85, perc_75 + (perc_90 - perc_75) * (2/3), converted_stat, '2K_Ratings'!I155, IF(bbgm_stat &gt;= perc_95, converted_stat * 3, IF(bbgm_stat &gt;= perc_90, converted_stat * 2, IF(bbgm_stat &gt;= perc_85, converted_stat * 1.5, converted_stat)))))</f>
        <v/>
      </c>
      <c r="J155" s="30" t="str">
        <f t="array" ref="J155">IF($A155="", "", LET(bbgm_stat, INDEX(Players!$A154:$P154, MATCH(J$2, Players!$A$1:$P$1, 0)), perc_75, VLOOKUP(J$2, Percentiles!$A$45:$I$59, 6, FALSE), perc_90, VLOOKUP(J$2, Percentiles!$A$45:$I$59, 7, FALSE), perc_95, VLOOKUP(J$2, Percentiles!$A$45:$I$59, 8, FALSE), perc_85, perc_75 + (perc_90 - perc_75) * (2/3), converted_stat, '2K_Ratings'!J155, IF(bbgm_stat &gt;= perc_95, converted_stat * 3, IF(bbgm_stat &gt;= perc_90, converted_stat * 2, IF(bbgm_stat &gt;= perc_85, converted_stat * 1.5, converted_stat)))))</f>
        <v/>
      </c>
      <c r="K155" s="30" t="str">
        <f t="array" ref="K155">IF($A155="", "", LET(bbgm_stat, INDEX(Players!$A154:$P154, MATCH(K$2, Players!$A$1:$P$1, 0)), perc_75, VLOOKUP(K$2, Percentiles!$A$45:$I$59, 6, FALSE), perc_90, VLOOKUP(K$2, Percentiles!$A$45:$I$59, 7, FALSE), perc_95, VLOOKUP(K$2, Percentiles!$A$45:$I$59, 8, FALSE), perc_85, perc_75 + (perc_90 - perc_75) * (2/3), converted_stat, '2K_Ratings'!K155, IF(bbgm_stat &gt;= perc_95, converted_stat * 3, IF(bbgm_stat &gt;= perc_90, converted_stat * 2, IF(bbgm_stat &gt;= perc_85, converted_stat * 1.5, converted_stat)))))</f>
        <v/>
      </c>
      <c r="L155" s="30" t="str">
        <f t="array" ref="L155">IF($A155="", "", LET(bbgm_stat, INDEX(Players!$A154:$P154, MATCH(L$2, Players!$A$1:$P$1, 0)), perc_75, VLOOKUP(L$2, Percentiles!$A$45:$I$59, 6, FALSE), perc_90, VLOOKUP(L$2, Percentiles!$A$45:$I$59, 7, FALSE), perc_95, VLOOKUP(L$2, Percentiles!$A$45:$I$59, 8, FALSE), perc_85, perc_75 + (perc_90 - perc_75) * (2/3), converted_stat, '2K_Ratings'!L155, IF(bbgm_stat &gt;= perc_95, converted_stat * 3, IF(bbgm_stat &gt;= perc_90, converted_stat * 2, IF(bbgm_stat &gt;= perc_85, converted_stat * 1.5, converted_stat)))))</f>
        <v/>
      </c>
      <c r="M155" s="30" t="str">
        <f t="array" ref="M155">IF($A155="", "", LET(bbgm_stat, INDEX(Players!$A154:$P154, MATCH(M$2, Players!$A$1:$P$1, 0)), perc_75, VLOOKUP(M$2, Percentiles!$A$45:$I$59, 6, FALSE), perc_90, VLOOKUP(M$2, Percentiles!$A$45:$I$59, 7, FALSE), perc_95, VLOOKUP(M$2, Percentiles!$A$45:$I$59, 8, FALSE), perc_85, perc_75 + (perc_90 - perc_75) * (2/3), converted_stat, '2K_Ratings'!M155, IF(bbgm_stat &gt;= perc_95, converted_stat * 3, IF(bbgm_stat &gt;= perc_90, converted_stat * 2, IF(bbgm_stat &gt;= perc_85, converted_stat * 1.5, converted_stat)))))</f>
        <v/>
      </c>
      <c r="N155" s="30" t="str">
        <f t="array" ref="N155">IF($A155="", "", LET(bbgm_stat, INDEX(Players!$A154:$P154, MATCH(N$2, Players!$A$1:$P$1, 0)), perc_75, VLOOKUP(N$2, Percentiles!$A$45:$I$59, 6, FALSE), perc_90, VLOOKUP(N$2, Percentiles!$A$45:$I$59, 7, FALSE), perc_95, VLOOKUP(N$2, Percentiles!$A$45:$I$59, 8, FALSE), perc_85, perc_75 + (perc_90 - perc_75) * (2/3), converted_stat, '2K_Ratings'!N155, IF(bbgm_stat &gt;= perc_95, converted_stat * 3, IF(bbgm_stat &gt;= perc_90, converted_stat * 2, IF(bbgm_stat &gt;= perc_85, converted_stat * 1.5, converted_stat)))))</f>
        <v/>
      </c>
      <c r="O155" s="30" t="str">
        <f t="array" ref="O155">IF($A155="", "", LET(bbgm_stat, INDEX(Players!$A154:$P154, MATCH(O$2, Players!$A$1:$P$1, 0)), perc_75, VLOOKUP(O$2, Percentiles!$A$45:$I$59, 6, FALSE), perc_90, VLOOKUP(O$2, Percentiles!$A$45:$I$59, 7, FALSE), perc_95, VLOOKUP(O$2, Percentiles!$A$45:$I$59, 8, FALSE), perc_85, perc_75 + (perc_90 - perc_75) * (2/3), converted_stat, '2K_Ratings'!O155, IF(bbgm_stat &gt;= perc_95, converted_stat * 3, IF(bbgm_stat &gt;= perc_90, converted_stat * 2, IF(bbgm_stat &gt;= perc_85, converted_stat * 1.5, converted_stat)))))</f>
        <v/>
      </c>
      <c r="P155" s="30" t="str">
        <f t="array" ref="P155">IF($A155="", "", LET(bbgm_stat, INDEX(Players!$A154:$P154, MATCH(P$2, Players!$A$1:$P$1, 0)), perc_75, VLOOKUP(P$2, Percentiles!$A$45:$I$59, 6, FALSE), perc_90, VLOOKUP(P$2, Percentiles!$A$45:$I$59, 7, FALSE), perc_95, VLOOKUP(P$2, Percentiles!$A$45:$I$59, 8, FALSE), perc_85, perc_75 + (perc_90 - perc_75) * (2/3), converted_stat, '2K_Ratings'!P155, IF(bbgm_stat &gt;= perc_95, converted_stat * 3, IF(bbgm_stat &gt;= perc_90, converted_stat * 2, IF(bbgm_stat &gt;= perc_85, converted_stat * 1.5, converted_stat)))))</f>
        <v/>
      </c>
      <c r="Q155" s="30" t="str">
        <f t="array" ref="Q155">IF($A155="", "", LET(bbgm_stat, INDEX(Players!$A154:$P154, MATCH(Q$2, Players!$A$1:$P$1, 0)), perc_75, VLOOKUP(Q$2, Percentiles!$A$45:$I$59, 6, FALSE), perc_90, VLOOKUP(Q$2, Percentiles!$A$45:$I$59, 7, FALSE), perc_95, VLOOKUP(Q$2, Percentiles!$A$45:$I$59, 8, FALSE), perc_85, perc_75 + (perc_90 - perc_75) * (2/3), converted_stat, '2K_Ratings'!Q155, IF(bbgm_stat &gt;= perc_95, converted_stat * 3, IF(bbgm_stat &gt;= perc_90, converted_stat * 2, IF(bbgm_stat &gt;= perc_85, converted_stat * 1.5, converted_stat)))))</f>
        <v/>
      </c>
      <c r="R155" s="30" t="str">
        <f t="array" ref="R155">IF($A155="", "", LET(bbgm_stat, INDEX(Players!$A154:$P154, MATCH(R$2, Players!$A$1:$P$1, 0)), perc_75, VLOOKUP(R$2, Percentiles!$A$45:$I$59, 6, FALSE), perc_90, VLOOKUP(R$2, Percentiles!$A$45:$I$59, 7, FALSE), perc_95, VLOOKUP(R$2, Percentiles!$A$45:$I$59, 8, FALSE), perc_85, perc_75 + (perc_90 - perc_75) * (2/3), converted_stat, '2K_Ratings'!R155, IF(bbgm_stat &gt;= perc_95, converted_stat * 3, IF(bbgm_stat &gt;= perc_90, converted_stat * 2, IF(bbgm_stat &gt;= perc_85, converted_stat * 1.5, converted_stat)))))</f>
        <v/>
      </c>
      <c r="S155" s="30" t="str">
        <f t="array" ref="S155">IF($A155="", "", LET(bbgm_stat, INDEX(Players!$A154:$P154, MATCH(S$2, Players!$A$1:$P$1, 0)), perc_75, VLOOKUP(S$2, Percentiles!$A$45:$I$59, 6, FALSE), perc_90, VLOOKUP(S$2, Percentiles!$A$45:$I$59, 7, FALSE), perc_95, VLOOKUP(S$2, Percentiles!$A$45:$I$59, 8, FALSE), perc_85, perc_75 + (perc_90 - perc_75) * (2/3), converted_stat, '2K_Ratings'!S155, IF(bbgm_stat &gt;= perc_95, converted_stat * 3, IF(bbgm_stat &gt;= perc_90, converted_stat * 2, IF(bbgm_stat &gt;= perc_85, converted_stat * 1.5, converted_stat)))))</f>
        <v/>
      </c>
      <c r="T155" s="30" t="str">
        <f t="array" ref="T155">IF($A155="", "", LET(bbgm_stat, INDEX(Players!$A154:$P154, MATCH(T$2, Players!$A$1:$P$1, 0)), perc_75, VLOOKUP(T$2, Percentiles!$A$45:$I$59, 6, FALSE), perc_90, VLOOKUP(T$2, Percentiles!$A$45:$I$59, 7, FALSE), perc_95, VLOOKUP(T$2, Percentiles!$A$45:$I$59, 8, FALSE), perc_85, perc_75 + (perc_90 - perc_75) * (2/3), converted_stat, '2K_Ratings'!T155, IF(bbgm_stat &gt;= perc_95, converted_stat * 3, IF(bbgm_stat &gt;= perc_90, converted_stat * 2, IF(bbgm_stat &gt;= perc_85, converted_stat * 1.5, converted_stat)))))</f>
        <v/>
      </c>
      <c r="U155" s="30" t="str">
        <f t="array" ref="U155">IF($A155="", "", LET(bbgm_stat, INDEX(Players!$A154:$P154, MATCH(U$2, Players!$A$1:$P$1, 0)), perc_75, VLOOKUP(U$2, Percentiles!$A$45:$I$59, 6, FALSE), perc_90, VLOOKUP(U$2, Percentiles!$A$45:$I$59, 7, FALSE), perc_95, VLOOKUP(U$2, Percentiles!$A$45:$I$59, 8, FALSE), perc_85, perc_75 + (perc_90 - perc_75) * (2/3), converted_stat, '2K_Ratings'!U155, IF(bbgm_stat &gt;= perc_95, converted_stat * 3, IF(bbgm_stat &gt;= perc_90, converted_stat * 2, IF(bbgm_stat &gt;= perc_85, converted_stat * 1.5, converted_stat)))))</f>
        <v/>
      </c>
      <c r="V155" s="30" t="str">
        <f t="array" ref="V155">IF($A155="", "", LET(bbgm_stat, INDEX(Players!$A154:$P154, MATCH(V$2, Players!$A$1:$P$1, 0)), perc_75, VLOOKUP(V$2, Percentiles!$A$45:$I$59, 6, FALSE), perc_90, VLOOKUP(V$2, Percentiles!$A$45:$I$59, 7, FALSE), perc_95, VLOOKUP(V$2, Percentiles!$A$45:$I$59, 8, FALSE), perc_85, perc_75 + (perc_90 - perc_75) * (2/3), converted_stat, '2K_Ratings'!V155, IF(bbgm_stat &gt;= perc_95, converted_stat * 3, IF(bbgm_stat &gt;= perc_90, converted_stat * 2, IF(bbgm_stat &gt;= perc_85, converted_stat * 1.5, converted_stat)))))</f>
        <v/>
      </c>
      <c r="W155" s="30" t="str">
        <f t="array" ref="W155">IF($A155="", "", LET(bbgm_stat, INDEX(Players!$A154:$P154, MATCH(W$2, Players!$A$1:$P$1, 0)), perc_75, VLOOKUP(W$2, Percentiles!$A$45:$I$59, 6, FALSE), perc_90, VLOOKUP(W$2, Percentiles!$A$45:$I$59, 7, FALSE), perc_95, VLOOKUP(W$2, Percentiles!$A$45:$I$59, 8, FALSE), perc_85, perc_75 + (perc_90 - perc_75) * (2/3), converted_stat, '2K_Ratings'!W155, IF(bbgm_stat &gt;= perc_95, converted_stat * 3, IF(bbgm_stat &gt;= perc_90, converted_stat * 2, IF(bbgm_stat &gt;= perc_85, converted_stat * 1.5, converted_stat)))))</f>
        <v/>
      </c>
    </row>
    <row r="156">
      <c r="A156" s="30"/>
      <c r="B156" s="30" t="str">
        <f t="array" ref="B156">IF($A156="", "", LET(bbgm_stat, INDEX(Players!$A155:$P155, MATCH(B$2, Players!$A$1:$P$1, 0)), perc_75, VLOOKUP(B$2, Percentiles!$A$45:$I$59, 6, FALSE), perc_90, VLOOKUP(B$2, Percentiles!$A$45:$I$59, 7, FALSE), perc_95, VLOOKUP(B$2, Percentiles!$A$45:$I$59, 8, FALSE), perc_85, perc_75 + (perc_90 - perc_75) * (2/3), converted_stat, '2K_Ratings'!B156, IF(bbgm_stat &gt;= perc_95, converted_stat * 3, IF(bbgm_stat &gt;= perc_90, converted_stat * 2, IF(bbgm_stat &gt;= perc_85, converted_stat * 1.5, converted_stat)))))</f>
        <v/>
      </c>
      <c r="C156" s="30" t="str">
        <f t="array" ref="C156">IF($A156="", "", LET(bbgm_stat, INDEX(Players!$A155:$P155, MATCH(C$2, Players!$A$1:$P$1, 0)), perc_75, VLOOKUP(C$2, Percentiles!$A$45:$I$59, 6, FALSE), perc_90, VLOOKUP(C$2, Percentiles!$A$45:$I$59, 7, FALSE), perc_95, VLOOKUP(C$2, Percentiles!$A$45:$I$59, 8, FALSE), perc_85, perc_75 + (perc_90 - perc_75) * (2/3), converted_stat, '2K_Ratings'!C156, IF(bbgm_stat &gt;= perc_95, converted_stat * 3, IF(bbgm_stat &gt;= perc_90, converted_stat * 2, IF(bbgm_stat &gt;= perc_85, converted_stat * 1.5, converted_stat)))))</f>
        <v/>
      </c>
      <c r="D156" s="30" t="str">
        <f t="array" ref="D156">IF($A156="", "", LET(bbgm_stat, INDEX(Players!$A155:$P155, MATCH(D$2, Players!$A$1:$P$1, 0)), perc_75, VLOOKUP(D$2, Percentiles!$A$45:$I$59, 6, FALSE), perc_90, VLOOKUP(D$2, Percentiles!$A$45:$I$59, 7, FALSE), perc_95, VLOOKUP(D$2, Percentiles!$A$45:$I$59, 8, FALSE), perc_85, perc_75 + (perc_90 - perc_75) * (2/3), converted_stat, '2K_Ratings'!D156, IF(bbgm_stat &gt;= perc_95, converted_stat * 3, IF(bbgm_stat &gt;= perc_90, converted_stat * 2, IF(bbgm_stat &gt;= perc_85, converted_stat * 1.5, converted_stat)))))</f>
        <v/>
      </c>
      <c r="E156" s="30" t="str">
        <f t="array" ref="E156">IF($A156="", "", LET(bbgm_stat, INDEX(Players!$A155:$P155, MATCH(E$2, Players!$A$1:$P$1, 0)), perc_75, VLOOKUP(E$2, Percentiles!$A$45:$I$59, 6, FALSE), perc_90, VLOOKUP(E$2, Percentiles!$A$45:$I$59, 7, FALSE), perc_95, VLOOKUP(E$2, Percentiles!$A$45:$I$59, 8, FALSE), perc_85, perc_75 + (perc_90 - perc_75) * (2/3), converted_stat, '2K_Ratings'!E156, IF(bbgm_stat &gt;= perc_95, converted_stat * 3, IF(bbgm_stat &gt;= perc_90, converted_stat * 2, IF(bbgm_stat &gt;= perc_85, converted_stat * 1.5, converted_stat)))))</f>
        <v/>
      </c>
      <c r="F156" s="30" t="str">
        <f t="array" ref="F156">IF($A156="", "", LET(bbgm_stat, INDEX(Players!$A155:$P155, MATCH(F$2, Players!$A$1:$P$1, 0)), perc_75, VLOOKUP(F$2, Percentiles!$A$45:$I$59, 6, FALSE), perc_90, VLOOKUP(F$2, Percentiles!$A$45:$I$59, 7, FALSE), perc_95, VLOOKUP(F$2, Percentiles!$A$45:$I$59, 8, FALSE), perc_85, perc_75 + (perc_90 - perc_75) * (2/3), converted_stat, '2K_Ratings'!F156, IF(bbgm_stat &gt;= perc_95, converted_stat * 3, IF(bbgm_stat &gt;= perc_90, converted_stat * 2, IF(bbgm_stat &gt;= perc_85, converted_stat * 1.5, converted_stat)))))</f>
        <v/>
      </c>
      <c r="G156" s="30" t="str">
        <f t="array" ref="G156">IF($A156="", "", LET(bbgm_stat, INDEX(Players!$A155:$P155, MATCH(G$2, Players!$A$1:$P$1, 0)), perc_75, VLOOKUP(G$2, Percentiles!$A$45:$I$59, 6, FALSE), perc_90, VLOOKUP(G$2, Percentiles!$A$45:$I$59, 7, FALSE), perc_95, VLOOKUP(G$2, Percentiles!$A$45:$I$59, 8, FALSE), perc_85, perc_75 + (perc_90 - perc_75) * (2/3), converted_stat, '2K_Ratings'!G156, IF(bbgm_stat &gt;= perc_95, converted_stat * 3, IF(bbgm_stat &gt;= perc_90, converted_stat * 2, IF(bbgm_stat &gt;= perc_85, converted_stat * 1.5, converted_stat)))))</f>
        <v/>
      </c>
      <c r="H156" s="30" t="str">
        <f t="array" ref="H156">IF($A156="", "", LET(bbgm_stat, INDEX(Players!$A155:$P155, MATCH(H$2, Players!$A$1:$P$1, 0)), perc_75, VLOOKUP(H$2, Percentiles!$A$45:$I$59, 6, FALSE), perc_90, VLOOKUP(H$2, Percentiles!$A$45:$I$59, 7, FALSE), perc_95, VLOOKUP(H$2, Percentiles!$A$45:$I$59, 8, FALSE), perc_85, perc_75 + (perc_90 - perc_75) * (2/3), converted_stat, '2K_Ratings'!H156, IF(bbgm_stat &gt;= perc_95, converted_stat * 3, IF(bbgm_stat &gt;= perc_90, converted_stat * 2, IF(bbgm_stat &gt;= perc_85, converted_stat * 1.5, converted_stat)))))</f>
        <v/>
      </c>
      <c r="I156" s="30" t="str">
        <f t="array" ref="I156">IF($A156="", "", LET(bbgm_stat, INDEX(Players!$A155:$P155, MATCH(I$2, Players!$A$1:$P$1, 0)), perc_75, VLOOKUP(I$2, Percentiles!$A$45:$I$59, 6, FALSE), perc_90, VLOOKUP(I$2, Percentiles!$A$45:$I$59, 7, FALSE), perc_95, VLOOKUP(I$2, Percentiles!$A$45:$I$59, 8, FALSE), perc_85, perc_75 + (perc_90 - perc_75) * (2/3), converted_stat, '2K_Ratings'!I156, IF(bbgm_stat &gt;= perc_95, converted_stat * 3, IF(bbgm_stat &gt;= perc_90, converted_stat * 2, IF(bbgm_stat &gt;= perc_85, converted_stat * 1.5, converted_stat)))))</f>
        <v/>
      </c>
      <c r="J156" s="30" t="str">
        <f t="array" ref="J156">IF($A156="", "", LET(bbgm_stat, INDEX(Players!$A155:$P155, MATCH(J$2, Players!$A$1:$P$1, 0)), perc_75, VLOOKUP(J$2, Percentiles!$A$45:$I$59, 6, FALSE), perc_90, VLOOKUP(J$2, Percentiles!$A$45:$I$59, 7, FALSE), perc_95, VLOOKUP(J$2, Percentiles!$A$45:$I$59, 8, FALSE), perc_85, perc_75 + (perc_90 - perc_75) * (2/3), converted_stat, '2K_Ratings'!J156, IF(bbgm_stat &gt;= perc_95, converted_stat * 3, IF(bbgm_stat &gt;= perc_90, converted_stat * 2, IF(bbgm_stat &gt;= perc_85, converted_stat * 1.5, converted_stat)))))</f>
        <v/>
      </c>
      <c r="K156" s="30" t="str">
        <f t="array" ref="K156">IF($A156="", "", LET(bbgm_stat, INDEX(Players!$A155:$P155, MATCH(K$2, Players!$A$1:$P$1, 0)), perc_75, VLOOKUP(K$2, Percentiles!$A$45:$I$59, 6, FALSE), perc_90, VLOOKUP(K$2, Percentiles!$A$45:$I$59, 7, FALSE), perc_95, VLOOKUP(K$2, Percentiles!$A$45:$I$59, 8, FALSE), perc_85, perc_75 + (perc_90 - perc_75) * (2/3), converted_stat, '2K_Ratings'!K156, IF(bbgm_stat &gt;= perc_95, converted_stat * 3, IF(bbgm_stat &gt;= perc_90, converted_stat * 2, IF(bbgm_stat &gt;= perc_85, converted_stat * 1.5, converted_stat)))))</f>
        <v/>
      </c>
      <c r="L156" s="30" t="str">
        <f t="array" ref="L156">IF($A156="", "", LET(bbgm_stat, INDEX(Players!$A155:$P155, MATCH(L$2, Players!$A$1:$P$1, 0)), perc_75, VLOOKUP(L$2, Percentiles!$A$45:$I$59, 6, FALSE), perc_90, VLOOKUP(L$2, Percentiles!$A$45:$I$59, 7, FALSE), perc_95, VLOOKUP(L$2, Percentiles!$A$45:$I$59, 8, FALSE), perc_85, perc_75 + (perc_90 - perc_75) * (2/3), converted_stat, '2K_Ratings'!L156, IF(bbgm_stat &gt;= perc_95, converted_stat * 3, IF(bbgm_stat &gt;= perc_90, converted_stat * 2, IF(bbgm_stat &gt;= perc_85, converted_stat * 1.5, converted_stat)))))</f>
        <v/>
      </c>
      <c r="M156" s="30" t="str">
        <f t="array" ref="M156">IF($A156="", "", LET(bbgm_stat, INDEX(Players!$A155:$P155, MATCH(M$2, Players!$A$1:$P$1, 0)), perc_75, VLOOKUP(M$2, Percentiles!$A$45:$I$59, 6, FALSE), perc_90, VLOOKUP(M$2, Percentiles!$A$45:$I$59, 7, FALSE), perc_95, VLOOKUP(M$2, Percentiles!$A$45:$I$59, 8, FALSE), perc_85, perc_75 + (perc_90 - perc_75) * (2/3), converted_stat, '2K_Ratings'!M156, IF(bbgm_stat &gt;= perc_95, converted_stat * 3, IF(bbgm_stat &gt;= perc_90, converted_stat * 2, IF(bbgm_stat &gt;= perc_85, converted_stat * 1.5, converted_stat)))))</f>
        <v/>
      </c>
      <c r="N156" s="30" t="str">
        <f t="array" ref="N156">IF($A156="", "", LET(bbgm_stat, INDEX(Players!$A155:$P155, MATCH(N$2, Players!$A$1:$P$1, 0)), perc_75, VLOOKUP(N$2, Percentiles!$A$45:$I$59, 6, FALSE), perc_90, VLOOKUP(N$2, Percentiles!$A$45:$I$59, 7, FALSE), perc_95, VLOOKUP(N$2, Percentiles!$A$45:$I$59, 8, FALSE), perc_85, perc_75 + (perc_90 - perc_75) * (2/3), converted_stat, '2K_Ratings'!N156, IF(bbgm_stat &gt;= perc_95, converted_stat * 3, IF(bbgm_stat &gt;= perc_90, converted_stat * 2, IF(bbgm_stat &gt;= perc_85, converted_stat * 1.5, converted_stat)))))</f>
        <v/>
      </c>
      <c r="O156" s="30" t="str">
        <f t="array" ref="O156">IF($A156="", "", LET(bbgm_stat, INDEX(Players!$A155:$P155, MATCH(O$2, Players!$A$1:$P$1, 0)), perc_75, VLOOKUP(O$2, Percentiles!$A$45:$I$59, 6, FALSE), perc_90, VLOOKUP(O$2, Percentiles!$A$45:$I$59, 7, FALSE), perc_95, VLOOKUP(O$2, Percentiles!$A$45:$I$59, 8, FALSE), perc_85, perc_75 + (perc_90 - perc_75) * (2/3), converted_stat, '2K_Ratings'!O156, IF(bbgm_stat &gt;= perc_95, converted_stat * 3, IF(bbgm_stat &gt;= perc_90, converted_stat * 2, IF(bbgm_stat &gt;= perc_85, converted_stat * 1.5, converted_stat)))))</f>
        <v/>
      </c>
      <c r="P156" s="30" t="str">
        <f t="array" ref="P156">IF($A156="", "", LET(bbgm_stat, INDEX(Players!$A155:$P155, MATCH(P$2, Players!$A$1:$P$1, 0)), perc_75, VLOOKUP(P$2, Percentiles!$A$45:$I$59, 6, FALSE), perc_90, VLOOKUP(P$2, Percentiles!$A$45:$I$59, 7, FALSE), perc_95, VLOOKUP(P$2, Percentiles!$A$45:$I$59, 8, FALSE), perc_85, perc_75 + (perc_90 - perc_75) * (2/3), converted_stat, '2K_Ratings'!P156, IF(bbgm_stat &gt;= perc_95, converted_stat * 3, IF(bbgm_stat &gt;= perc_90, converted_stat * 2, IF(bbgm_stat &gt;= perc_85, converted_stat * 1.5, converted_stat)))))</f>
        <v/>
      </c>
      <c r="Q156" s="30" t="str">
        <f t="array" ref="Q156">IF($A156="", "", LET(bbgm_stat, INDEX(Players!$A155:$P155, MATCH(Q$2, Players!$A$1:$P$1, 0)), perc_75, VLOOKUP(Q$2, Percentiles!$A$45:$I$59, 6, FALSE), perc_90, VLOOKUP(Q$2, Percentiles!$A$45:$I$59, 7, FALSE), perc_95, VLOOKUP(Q$2, Percentiles!$A$45:$I$59, 8, FALSE), perc_85, perc_75 + (perc_90 - perc_75) * (2/3), converted_stat, '2K_Ratings'!Q156, IF(bbgm_stat &gt;= perc_95, converted_stat * 3, IF(bbgm_stat &gt;= perc_90, converted_stat * 2, IF(bbgm_stat &gt;= perc_85, converted_stat * 1.5, converted_stat)))))</f>
        <v/>
      </c>
      <c r="R156" s="30" t="str">
        <f t="array" ref="R156">IF($A156="", "", LET(bbgm_stat, INDEX(Players!$A155:$P155, MATCH(R$2, Players!$A$1:$P$1, 0)), perc_75, VLOOKUP(R$2, Percentiles!$A$45:$I$59, 6, FALSE), perc_90, VLOOKUP(R$2, Percentiles!$A$45:$I$59, 7, FALSE), perc_95, VLOOKUP(R$2, Percentiles!$A$45:$I$59, 8, FALSE), perc_85, perc_75 + (perc_90 - perc_75) * (2/3), converted_stat, '2K_Ratings'!R156, IF(bbgm_stat &gt;= perc_95, converted_stat * 3, IF(bbgm_stat &gt;= perc_90, converted_stat * 2, IF(bbgm_stat &gt;= perc_85, converted_stat * 1.5, converted_stat)))))</f>
        <v/>
      </c>
      <c r="S156" s="30" t="str">
        <f t="array" ref="S156">IF($A156="", "", LET(bbgm_stat, INDEX(Players!$A155:$P155, MATCH(S$2, Players!$A$1:$P$1, 0)), perc_75, VLOOKUP(S$2, Percentiles!$A$45:$I$59, 6, FALSE), perc_90, VLOOKUP(S$2, Percentiles!$A$45:$I$59, 7, FALSE), perc_95, VLOOKUP(S$2, Percentiles!$A$45:$I$59, 8, FALSE), perc_85, perc_75 + (perc_90 - perc_75) * (2/3), converted_stat, '2K_Ratings'!S156, IF(bbgm_stat &gt;= perc_95, converted_stat * 3, IF(bbgm_stat &gt;= perc_90, converted_stat * 2, IF(bbgm_stat &gt;= perc_85, converted_stat * 1.5, converted_stat)))))</f>
        <v/>
      </c>
      <c r="T156" s="30" t="str">
        <f t="array" ref="T156">IF($A156="", "", LET(bbgm_stat, INDEX(Players!$A155:$P155, MATCH(T$2, Players!$A$1:$P$1, 0)), perc_75, VLOOKUP(T$2, Percentiles!$A$45:$I$59, 6, FALSE), perc_90, VLOOKUP(T$2, Percentiles!$A$45:$I$59, 7, FALSE), perc_95, VLOOKUP(T$2, Percentiles!$A$45:$I$59, 8, FALSE), perc_85, perc_75 + (perc_90 - perc_75) * (2/3), converted_stat, '2K_Ratings'!T156, IF(bbgm_stat &gt;= perc_95, converted_stat * 3, IF(bbgm_stat &gt;= perc_90, converted_stat * 2, IF(bbgm_stat &gt;= perc_85, converted_stat * 1.5, converted_stat)))))</f>
        <v/>
      </c>
      <c r="U156" s="30" t="str">
        <f t="array" ref="U156">IF($A156="", "", LET(bbgm_stat, INDEX(Players!$A155:$P155, MATCH(U$2, Players!$A$1:$P$1, 0)), perc_75, VLOOKUP(U$2, Percentiles!$A$45:$I$59, 6, FALSE), perc_90, VLOOKUP(U$2, Percentiles!$A$45:$I$59, 7, FALSE), perc_95, VLOOKUP(U$2, Percentiles!$A$45:$I$59, 8, FALSE), perc_85, perc_75 + (perc_90 - perc_75) * (2/3), converted_stat, '2K_Ratings'!U156, IF(bbgm_stat &gt;= perc_95, converted_stat * 3, IF(bbgm_stat &gt;= perc_90, converted_stat * 2, IF(bbgm_stat &gt;= perc_85, converted_stat * 1.5, converted_stat)))))</f>
        <v/>
      </c>
      <c r="V156" s="30" t="str">
        <f t="array" ref="V156">IF($A156="", "", LET(bbgm_stat, INDEX(Players!$A155:$P155, MATCH(V$2, Players!$A$1:$P$1, 0)), perc_75, VLOOKUP(V$2, Percentiles!$A$45:$I$59, 6, FALSE), perc_90, VLOOKUP(V$2, Percentiles!$A$45:$I$59, 7, FALSE), perc_95, VLOOKUP(V$2, Percentiles!$A$45:$I$59, 8, FALSE), perc_85, perc_75 + (perc_90 - perc_75) * (2/3), converted_stat, '2K_Ratings'!V156, IF(bbgm_stat &gt;= perc_95, converted_stat * 3, IF(bbgm_stat &gt;= perc_90, converted_stat * 2, IF(bbgm_stat &gt;= perc_85, converted_stat * 1.5, converted_stat)))))</f>
        <v/>
      </c>
      <c r="W156" s="30" t="str">
        <f t="array" ref="W156">IF($A156="", "", LET(bbgm_stat, INDEX(Players!$A155:$P155, MATCH(W$2, Players!$A$1:$P$1, 0)), perc_75, VLOOKUP(W$2, Percentiles!$A$45:$I$59, 6, FALSE), perc_90, VLOOKUP(W$2, Percentiles!$A$45:$I$59, 7, FALSE), perc_95, VLOOKUP(W$2, Percentiles!$A$45:$I$59, 8, FALSE), perc_85, perc_75 + (perc_90 - perc_75) * (2/3), converted_stat, '2K_Ratings'!W156, IF(bbgm_stat &gt;= perc_95, converted_stat * 3, IF(bbgm_stat &gt;= perc_90, converted_stat * 2, IF(bbgm_stat &gt;= perc_85, converted_stat * 1.5, converted_stat)))))</f>
        <v/>
      </c>
    </row>
    <row r="157">
      <c r="A157" s="30"/>
      <c r="B157" s="30" t="str">
        <f t="array" ref="B157">IF($A157="", "", LET(bbgm_stat, INDEX(Players!$A156:$P156, MATCH(B$2, Players!$A$1:$P$1, 0)), perc_75, VLOOKUP(B$2, Percentiles!$A$45:$I$59, 6, FALSE), perc_90, VLOOKUP(B$2, Percentiles!$A$45:$I$59, 7, FALSE), perc_95, VLOOKUP(B$2, Percentiles!$A$45:$I$59, 8, FALSE), perc_85, perc_75 + (perc_90 - perc_75) * (2/3), converted_stat, '2K_Ratings'!B157, IF(bbgm_stat &gt;= perc_95, converted_stat * 3, IF(bbgm_stat &gt;= perc_90, converted_stat * 2, IF(bbgm_stat &gt;= perc_85, converted_stat * 1.5, converted_stat)))))</f>
        <v/>
      </c>
      <c r="C157" s="30" t="str">
        <f t="array" ref="C157">IF($A157="", "", LET(bbgm_stat, INDEX(Players!$A156:$P156, MATCH(C$2, Players!$A$1:$P$1, 0)), perc_75, VLOOKUP(C$2, Percentiles!$A$45:$I$59, 6, FALSE), perc_90, VLOOKUP(C$2, Percentiles!$A$45:$I$59, 7, FALSE), perc_95, VLOOKUP(C$2, Percentiles!$A$45:$I$59, 8, FALSE), perc_85, perc_75 + (perc_90 - perc_75) * (2/3), converted_stat, '2K_Ratings'!C157, IF(bbgm_stat &gt;= perc_95, converted_stat * 3, IF(bbgm_stat &gt;= perc_90, converted_stat * 2, IF(bbgm_stat &gt;= perc_85, converted_stat * 1.5, converted_stat)))))</f>
        <v/>
      </c>
      <c r="D157" s="30" t="str">
        <f t="array" ref="D157">IF($A157="", "", LET(bbgm_stat, INDEX(Players!$A156:$P156, MATCH(D$2, Players!$A$1:$P$1, 0)), perc_75, VLOOKUP(D$2, Percentiles!$A$45:$I$59, 6, FALSE), perc_90, VLOOKUP(D$2, Percentiles!$A$45:$I$59, 7, FALSE), perc_95, VLOOKUP(D$2, Percentiles!$A$45:$I$59, 8, FALSE), perc_85, perc_75 + (perc_90 - perc_75) * (2/3), converted_stat, '2K_Ratings'!D157, IF(bbgm_stat &gt;= perc_95, converted_stat * 3, IF(bbgm_stat &gt;= perc_90, converted_stat * 2, IF(bbgm_stat &gt;= perc_85, converted_stat * 1.5, converted_stat)))))</f>
        <v/>
      </c>
      <c r="E157" s="30" t="str">
        <f t="array" ref="E157">IF($A157="", "", LET(bbgm_stat, INDEX(Players!$A156:$P156, MATCH(E$2, Players!$A$1:$P$1, 0)), perc_75, VLOOKUP(E$2, Percentiles!$A$45:$I$59, 6, FALSE), perc_90, VLOOKUP(E$2, Percentiles!$A$45:$I$59, 7, FALSE), perc_95, VLOOKUP(E$2, Percentiles!$A$45:$I$59, 8, FALSE), perc_85, perc_75 + (perc_90 - perc_75) * (2/3), converted_stat, '2K_Ratings'!E157, IF(bbgm_stat &gt;= perc_95, converted_stat * 3, IF(bbgm_stat &gt;= perc_90, converted_stat * 2, IF(bbgm_stat &gt;= perc_85, converted_stat * 1.5, converted_stat)))))</f>
        <v/>
      </c>
      <c r="F157" s="30" t="str">
        <f t="array" ref="F157">IF($A157="", "", LET(bbgm_stat, INDEX(Players!$A156:$P156, MATCH(F$2, Players!$A$1:$P$1, 0)), perc_75, VLOOKUP(F$2, Percentiles!$A$45:$I$59, 6, FALSE), perc_90, VLOOKUP(F$2, Percentiles!$A$45:$I$59, 7, FALSE), perc_95, VLOOKUP(F$2, Percentiles!$A$45:$I$59, 8, FALSE), perc_85, perc_75 + (perc_90 - perc_75) * (2/3), converted_stat, '2K_Ratings'!F157, IF(bbgm_stat &gt;= perc_95, converted_stat * 3, IF(bbgm_stat &gt;= perc_90, converted_stat * 2, IF(bbgm_stat &gt;= perc_85, converted_stat * 1.5, converted_stat)))))</f>
        <v/>
      </c>
      <c r="G157" s="30" t="str">
        <f t="array" ref="G157">IF($A157="", "", LET(bbgm_stat, INDEX(Players!$A156:$P156, MATCH(G$2, Players!$A$1:$P$1, 0)), perc_75, VLOOKUP(G$2, Percentiles!$A$45:$I$59, 6, FALSE), perc_90, VLOOKUP(G$2, Percentiles!$A$45:$I$59, 7, FALSE), perc_95, VLOOKUP(G$2, Percentiles!$A$45:$I$59, 8, FALSE), perc_85, perc_75 + (perc_90 - perc_75) * (2/3), converted_stat, '2K_Ratings'!G157, IF(bbgm_stat &gt;= perc_95, converted_stat * 3, IF(bbgm_stat &gt;= perc_90, converted_stat * 2, IF(bbgm_stat &gt;= perc_85, converted_stat * 1.5, converted_stat)))))</f>
        <v/>
      </c>
      <c r="H157" s="30" t="str">
        <f t="array" ref="H157">IF($A157="", "", LET(bbgm_stat, INDEX(Players!$A156:$P156, MATCH(H$2, Players!$A$1:$P$1, 0)), perc_75, VLOOKUP(H$2, Percentiles!$A$45:$I$59, 6, FALSE), perc_90, VLOOKUP(H$2, Percentiles!$A$45:$I$59, 7, FALSE), perc_95, VLOOKUP(H$2, Percentiles!$A$45:$I$59, 8, FALSE), perc_85, perc_75 + (perc_90 - perc_75) * (2/3), converted_stat, '2K_Ratings'!H157, IF(bbgm_stat &gt;= perc_95, converted_stat * 3, IF(bbgm_stat &gt;= perc_90, converted_stat * 2, IF(bbgm_stat &gt;= perc_85, converted_stat * 1.5, converted_stat)))))</f>
        <v/>
      </c>
      <c r="I157" s="30" t="str">
        <f t="array" ref="I157">IF($A157="", "", LET(bbgm_stat, INDEX(Players!$A156:$P156, MATCH(I$2, Players!$A$1:$P$1, 0)), perc_75, VLOOKUP(I$2, Percentiles!$A$45:$I$59, 6, FALSE), perc_90, VLOOKUP(I$2, Percentiles!$A$45:$I$59, 7, FALSE), perc_95, VLOOKUP(I$2, Percentiles!$A$45:$I$59, 8, FALSE), perc_85, perc_75 + (perc_90 - perc_75) * (2/3), converted_stat, '2K_Ratings'!I157, IF(bbgm_stat &gt;= perc_95, converted_stat * 3, IF(bbgm_stat &gt;= perc_90, converted_stat * 2, IF(bbgm_stat &gt;= perc_85, converted_stat * 1.5, converted_stat)))))</f>
        <v/>
      </c>
      <c r="J157" s="30" t="str">
        <f t="array" ref="J157">IF($A157="", "", LET(bbgm_stat, INDEX(Players!$A156:$P156, MATCH(J$2, Players!$A$1:$P$1, 0)), perc_75, VLOOKUP(J$2, Percentiles!$A$45:$I$59, 6, FALSE), perc_90, VLOOKUP(J$2, Percentiles!$A$45:$I$59, 7, FALSE), perc_95, VLOOKUP(J$2, Percentiles!$A$45:$I$59, 8, FALSE), perc_85, perc_75 + (perc_90 - perc_75) * (2/3), converted_stat, '2K_Ratings'!J157, IF(bbgm_stat &gt;= perc_95, converted_stat * 3, IF(bbgm_stat &gt;= perc_90, converted_stat * 2, IF(bbgm_stat &gt;= perc_85, converted_stat * 1.5, converted_stat)))))</f>
        <v/>
      </c>
      <c r="K157" s="30" t="str">
        <f t="array" ref="K157">IF($A157="", "", LET(bbgm_stat, INDEX(Players!$A156:$P156, MATCH(K$2, Players!$A$1:$P$1, 0)), perc_75, VLOOKUP(K$2, Percentiles!$A$45:$I$59, 6, FALSE), perc_90, VLOOKUP(K$2, Percentiles!$A$45:$I$59, 7, FALSE), perc_95, VLOOKUP(K$2, Percentiles!$A$45:$I$59, 8, FALSE), perc_85, perc_75 + (perc_90 - perc_75) * (2/3), converted_stat, '2K_Ratings'!K157, IF(bbgm_stat &gt;= perc_95, converted_stat * 3, IF(bbgm_stat &gt;= perc_90, converted_stat * 2, IF(bbgm_stat &gt;= perc_85, converted_stat * 1.5, converted_stat)))))</f>
        <v/>
      </c>
      <c r="L157" s="30" t="str">
        <f t="array" ref="L157">IF($A157="", "", LET(bbgm_stat, INDEX(Players!$A156:$P156, MATCH(L$2, Players!$A$1:$P$1, 0)), perc_75, VLOOKUP(L$2, Percentiles!$A$45:$I$59, 6, FALSE), perc_90, VLOOKUP(L$2, Percentiles!$A$45:$I$59, 7, FALSE), perc_95, VLOOKUP(L$2, Percentiles!$A$45:$I$59, 8, FALSE), perc_85, perc_75 + (perc_90 - perc_75) * (2/3), converted_stat, '2K_Ratings'!L157, IF(bbgm_stat &gt;= perc_95, converted_stat * 3, IF(bbgm_stat &gt;= perc_90, converted_stat * 2, IF(bbgm_stat &gt;= perc_85, converted_stat * 1.5, converted_stat)))))</f>
        <v/>
      </c>
      <c r="M157" s="30" t="str">
        <f t="array" ref="M157">IF($A157="", "", LET(bbgm_stat, INDEX(Players!$A156:$P156, MATCH(M$2, Players!$A$1:$P$1, 0)), perc_75, VLOOKUP(M$2, Percentiles!$A$45:$I$59, 6, FALSE), perc_90, VLOOKUP(M$2, Percentiles!$A$45:$I$59, 7, FALSE), perc_95, VLOOKUP(M$2, Percentiles!$A$45:$I$59, 8, FALSE), perc_85, perc_75 + (perc_90 - perc_75) * (2/3), converted_stat, '2K_Ratings'!M157, IF(bbgm_stat &gt;= perc_95, converted_stat * 3, IF(bbgm_stat &gt;= perc_90, converted_stat * 2, IF(bbgm_stat &gt;= perc_85, converted_stat * 1.5, converted_stat)))))</f>
        <v/>
      </c>
      <c r="N157" s="30" t="str">
        <f t="array" ref="N157">IF($A157="", "", LET(bbgm_stat, INDEX(Players!$A156:$P156, MATCH(N$2, Players!$A$1:$P$1, 0)), perc_75, VLOOKUP(N$2, Percentiles!$A$45:$I$59, 6, FALSE), perc_90, VLOOKUP(N$2, Percentiles!$A$45:$I$59, 7, FALSE), perc_95, VLOOKUP(N$2, Percentiles!$A$45:$I$59, 8, FALSE), perc_85, perc_75 + (perc_90 - perc_75) * (2/3), converted_stat, '2K_Ratings'!N157, IF(bbgm_stat &gt;= perc_95, converted_stat * 3, IF(bbgm_stat &gt;= perc_90, converted_stat * 2, IF(bbgm_stat &gt;= perc_85, converted_stat * 1.5, converted_stat)))))</f>
        <v/>
      </c>
      <c r="O157" s="30" t="str">
        <f t="array" ref="O157">IF($A157="", "", LET(bbgm_stat, INDEX(Players!$A156:$P156, MATCH(O$2, Players!$A$1:$P$1, 0)), perc_75, VLOOKUP(O$2, Percentiles!$A$45:$I$59, 6, FALSE), perc_90, VLOOKUP(O$2, Percentiles!$A$45:$I$59, 7, FALSE), perc_95, VLOOKUP(O$2, Percentiles!$A$45:$I$59, 8, FALSE), perc_85, perc_75 + (perc_90 - perc_75) * (2/3), converted_stat, '2K_Ratings'!O157, IF(bbgm_stat &gt;= perc_95, converted_stat * 3, IF(bbgm_stat &gt;= perc_90, converted_stat * 2, IF(bbgm_stat &gt;= perc_85, converted_stat * 1.5, converted_stat)))))</f>
        <v/>
      </c>
      <c r="P157" s="30" t="str">
        <f t="array" ref="P157">IF($A157="", "", LET(bbgm_stat, INDEX(Players!$A156:$P156, MATCH(P$2, Players!$A$1:$P$1, 0)), perc_75, VLOOKUP(P$2, Percentiles!$A$45:$I$59, 6, FALSE), perc_90, VLOOKUP(P$2, Percentiles!$A$45:$I$59, 7, FALSE), perc_95, VLOOKUP(P$2, Percentiles!$A$45:$I$59, 8, FALSE), perc_85, perc_75 + (perc_90 - perc_75) * (2/3), converted_stat, '2K_Ratings'!P157, IF(bbgm_stat &gt;= perc_95, converted_stat * 3, IF(bbgm_stat &gt;= perc_90, converted_stat * 2, IF(bbgm_stat &gt;= perc_85, converted_stat * 1.5, converted_stat)))))</f>
        <v/>
      </c>
      <c r="Q157" s="30" t="str">
        <f t="array" ref="Q157">IF($A157="", "", LET(bbgm_stat, INDEX(Players!$A156:$P156, MATCH(Q$2, Players!$A$1:$P$1, 0)), perc_75, VLOOKUP(Q$2, Percentiles!$A$45:$I$59, 6, FALSE), perc_90, VLOOKUP(Q$2, Percentiles!$A$45:$I$59, 7, FALSE), perc_95, VLOOKUP(Q$2, Percentiles!$A$45:$I$59, 8, FALSE), perc_85, perc_75 + (perc_90 - perc_75) * (2/3), converted_stat, '2K_Ratings'!Q157, IF(bbgm_stat &gt;= perc_95, converted_stat * 3, IF(bbgm_stat &gt;= perc_90, converted_stat * 2, IF(bbgm_stat &gt;= perc_85, converted_stat * 1.5, converted_stat)))))</f>
        <v/>
      </c>
      <c r="R157" s="30" t="str">
        <f t="array" ref="R157">IF($A157="", "", LET(bbgm_stat, INDEX(Players!$A156:$P156, MATCH(R$2, Players!$A$1:$P$1, 0)), perc_75, VLOOKUP(R$2, Percentiles!$A$45:$I$59, 6, FALSE), perc_90, VLOOKUP(R$2, Percentiles!$A$45:$I$59, 7, FALSE), perc_95, VLOOKUP(R$2, Percentiles!$A$45:$I$59, 8, FALSE), perc_85, perc_75 + (perc_90 - perc_75) * (2/3), converted_stat, '2K_Ratings'!R157, IF(bbgm_stat &gt;= perc_95, converted_stat * 3, IF(bbgm_stat &gt;= perc_90, converted_stat * 2, IF(bbgm_stat &gt;= perc_85, converted_stat * 1.5, converted_stat)))))</f>
        <v/>
      </c>
      <c r="S157" s="30" t="str">
        <f t="array" ref="S157">IF($A157="", "", LET(bbgm_stat, INDEX(Players!$A156:$P156, MATCH(S$2, Players!$A$1:$P$1, 0)), perc_75, VLOOKUP(S$2, Percentiles!$A$45:$I$59, 6, FALSE), perc_90, VLOOKUP(S$2, Percentiles!$A$45:$I$59, 7, FALSE), perc_95, VLOOKUP(S$2, Percentiles!$A$45:$I$59, 8, FALSE), perc_85, perc_75 + (perc_90 - perc_75) * (2/3), converted_stat, '2K_Ratings'!S157, IF(bbgm_stat &gt;= perc_95, converted_stat * 3, IF(bbgm_stat &gt;= perc_90, converted_stat * 2, IF(bbgm_stat &gt;= perc_85, converted_stat * 1.5, converted_stat)))))</f>
        <v/>
      </c>
      <c r="T157" s="30" t="str">
        <f t="array" ref="T157">IF($A157="", "", LET(bbgm_stat, INDEX(Players!$A156:$P156, MATCH(T$2, Players!$A$1:$P$1, 0)), perc_75, VLOOKUP(T$2, Percentiles!$A$45:$I$59, 6, FALSE), perc_90, VLOOKUP(T$2, Percentiles!$A$45:$I$59, 7, FALSE), perc_95, VLOOKUP(T$2, Percentiles!$A$45:$I$59, 8, FALSE), perc_85, perc_75 + (perc_90 - perc_75) * (2/3), converted_stat, '2K_Ratings'!T157, IF(bbgm_stat &gt;= perc_95, converted_stat * 3, IF(bbgm_stat &gt;= perc_90, converted_stat * 2, IF(bbgm_stat &gt;= perc_85, converted_stat * 1.5, converted_stat)))))</f>
        <v/>
      </c>
      <c r="U157" s="30" t="str">
        <f t="array" ref="U157">IF($A157="", "", LET(bbgm_stat, INDEX(Players!$A156:$P156, MATCH(U$2, Players!$A$1:$P$1, 0)), perc_75, VLOOKUP(U$2, Percentiles!$A$45:$I$59, 6, FALSE), perc_90, VLOOKUP(U$2, Percentiles!$A$45:$I$59, 7, FALSE), perc_95, VLOOKUP(U$2, Percentiles!$A$45:$I$59, 8, FALSE), perc_85, perc_75 + (perc_90 - perc_75) * (2/3), converted_stat, '2K_Ratings'!U157, IF(bbgm_stat &gt;= perc_95, converted_stat * 3, IF(bbgm_stat &gt;= perc_90, converted_stat * 2, IF(bbgm_stat &gt;= perc_85, converted_stat * 1.5, converted_stat)))))</f>
        <v/>
      </c>
      <c r="V157" s="30" t="str">
        <f t="array" ref="V157">IF($A157="", "", LET(bbgm_stat, INDEX(Players!$A156:$P156, MATCH(V$2, Players!$A$1:$P$1, 0)), perc_75, VLOOKUP(V$2, Percentiles!$A$45:$I$59, 6, FALSE), perc_90, VLOOKUP(V$2, Percentiles!$A$45:$I$59, 7, FALSE), perc_95, VLOOKUP(V$2, Percentiles!$A$45:$I$59, 8, FALSE), perc_85, perc_75 + (perc_90 - perc_75) * (2/3), converted_stat, '2K_Ratings'!V157, IF(bbgm_stat &gt;= perc_95, converted_stat * 3, IF(bbgm_stat &gt;= perc_90, converted_stat * 2, IF(bbgm_stat &gt;= perc_85, converted_stat * 1.5, converted_stat)))))</f>
        <v/>
      </c>
      <c r="W157" s="30" t="str">
        <f t="array" ref="W157">IF($A157="", "", LET(bbgm_stat, INDEX(Players!$A156:$P156, MATCH(W$2, Players!$A$1:$P$1, 0)), perc_75, VLOOKUP(W$2, Percentiles!$A$45:$I$59, 6, FALSE), perc_90, VLOOKUP(W$2, Percentiles!$A$45:$I$59, 7, FALSE), perc_95, VLOOKUP(W$2, Percentiles!$A$45:$I$59, 8, FALSE), perc_85, perc_75 + (perc_90 - perc_75) * (2/3), converted_stat, '2K_Ratings'!W157, IF(bbgm_stat &gt;= perc_95, converted_stat * 3, IF(bbgm_stat &gt;= perc_90, converted_stat * 2, IF(bbgm_stat &gt;= perc_85, converted_stat * 1.5, converted_stat)))))</f>
        <v/>
      </c>
    </row>
    <row r="158">
      <c r="A158" s="30"/>
      <c r="B158" s="30" t="str">
        <f t="array" ref="B158">IF($A158="", "", LET(bbgm_stat, INDEX(Players!$A157:$P157, MATCH(B$2, Players!$A$1:$P$1, 0)), perc_75, VLOOKUP(B$2, Percentiles!$A$45:$I$59, 6, FALSE), perc_90, VLOOKUP(B$2, Percentiles!$A$45:$I$59, 7, FALSE), perc_95, VLOOKUP(B$2, Percentiles!$A$45:$I$59, 8, FALSE), perc_85, perc_75 + (perc_90 - perc_75) * (2/3), converted_stat, '2K_Ratings'!B158, IF(bbgm_stat &gt;= perc_95, converted_stat * 3, IF(bbgm_stat &gt;= perc_90, converted_stat * 2, IF(bbgm_stat &gt;= perc_85, converted_stat * 1.5, converted_stat)))))</f>
        <v/>
      </c>
      <c r="C158" s="30" t="str">
        <f t="array" ref="C158">IF($A158="", "", LET(bbgm_stat, INDEX(Players!$A157:$P157, MATCH(C$2, Players!$A$1:$P$1, 0)), perc_75, VLOOKUP(C$2, Percentiles!$A$45:$I$59, 6, FALSE), perc_90, VLOOKUP(C$2, Percentiles!$A$45:$I$59, 7, FALSE), perc_95, VLOOKUP(C$2, Percentiles!$A$45:$I$59, 8, FALSE), perc_85, perc_75 + (perc_90 - perc_75) * (2/3), converted_stat, '2K_Ratings'!C158, IF(bbgm_stat &gt;= perc_95, converted_stat * 3, IF(bbgm_stat &gt;= perc_90, converted_stat * 2, IF(bbgm_stat &gt;= perc_85, converted_stat * 1.5, converted_stat)))))</f>
        <v/>
      </c>
      <c r="D158" s="30" t="str">
        <f t="array" ref="D158">IF($A158="", "", LET(bbgm_stat, INDEX(Players!$A157:$P157, MATCH(D$2, Players!$A$1:$P$1, 0)), perc_75, VLOOKUP(D$2, Percentiles!$A$45:$I$59, 6, FALSE), perc_90, VLOOKUP(D$2, Percentiles!$A$45:$I$59, 7, FALSE), perc_95, VLOOKUP(D$2, Percentiles!$A$45:$I$59, 8, FALSE), perc_85, perc_75 + (perc_90 - perc_75) * (2/3), converted_stat, '2K_Ratings'!D158, IF(bbgm_stat &gt;= perc_95, converted_stat * 3, IF(bbgm_stat &gt;= perc_90, converted_stat * 2, IF(bbgm_stat &gt;= perc_85, converted_stat * 1.5, converted_stat)))))</f>
        <v/>
      </c>
      <c r="E158" s="30" t="str">
        <f t="array" ref="E158">IF($A158="", "", LET(bbgm_stat, INDEX(Players!$A157:$P157, MATCH(E$2, Players!$A$1:$P$1, 0)), perc_75, VLOOKUP(E$2, Percentiles!$A$45:$I$59, 6, FALSE), perc_90, VLOOKUP(E$2, Percentiles!$A$45:$I$59, 7, FALSE), perc_95, VLOOKUP(E$2, Percentiles!$A$45:$I$59, 8, FALSE), perc_85, perc_75 + (perc_90 - perc_75) * (2/3), converted_stat, '2K_Ratings'!E158, IF(bbgm_stat &gt;= perc_95, converted_stat * 3, IF(bbgm_stat &gt;= perc_90, converted_stat * 2, IF(bbgm_stat &gt;= perc_85, converted_stat * 1.5, converted_stat)))))</f>
        <v/>
      </c>
      <c r="F158" s="30" t="str">
        <f t="array" ref="F158">IF($A158="", "", LET(bbgm_stat, INDEX(Players!$A157:$P157, MATCH(F$2, Players!$A$1:$P$1, 0)), perc_75, VLOOKUP(F$2, Percentiles!$A$45:$I$59, 6, FALSE), perc_90, VLOOKUP(F$2, Percentiles!$A$45:$I$59, 7, FALSE), perc_95, VLOOKUP(F$2, Percentiles!$A$45:$I$59, 8, FALSE), perc_85, perc_75 + (perc_90 - perc_75) * (2/3), converted_stat, '2K_Ratings'!F158, IF(bbgm_stat &gt;= perc_95, converted_stat * 3, IF(bbgm_stat &gt;= perc_90, converted_stat * 2, IF(bbgm_stat &gt;= perc_85, converted_stat * 1.5, converted_stat)))))</f>
        <v/>
      </c>
      <c r="G158" s="30" t="str">
        <f t="array" ref="G158">IF($A158="", "", LET(bbgm_stat, INDEX(Players!$A157:$P157, MATCH(G$2, Players!$A$1:$P$1, 0)), perc_75, VLOOKUP(G$2, Percentiles!$A$45:$I$59, 6, FALSE), perc_90, VLOOKUP(G$2, Percentiles!$A$45:$I$59, 7, FALSE), perc_95, VLOOKUP(G$2, Percentiles!$A$45:$I$59, 8, FALSE), perc_85, perc_75 + (perc_90 - perc_75) * (2/3), converted_stat, '2K_Ratings'!G158, IF(bbgm_stat &gt;= perc_95, converted_stat * 3, IF(bbgm_stat &gt;= perc_90, converted_stat * 2, IF(bbgm_stat &gt;= perc_85, converted_stat * 1.5, converted_stat)))))</f>
        <v/>
      </c>
      <c r="H158" s="30" t="str">
        <f t="array" ref="H158">IF($A158="", "", LET(bbgm_stat, INDEX(Players!$A157:$P157, MATCH(H$2, Players!$A$1:$P$1, 0)), perc_75, VLOOKUP(H$2, Percentiles!$A$45:$I$59, 6, FALSE), perc_90, VLOOKUP(H$2, Percentiles!$A$45:$I$59, 7, FALSE), perc_95, VLOOKUP(H$2, Percentiles!$A$45:$I$59, 8, FALSE), perc_85, perc_75 + (perc_90 - perc_75) * (2/3), converted_stat, '2K_Ratings'!H158, IF(bbgm_stat &gt;= perc_95, converted_stat * 3, IF(bbgm_stat &gt;= perc_90, converted_stat * 2, IF(bbgm_stat &gt;= perc_85, converted_stat * 1.5, converted_stat)))))</f>
        <v/>
      </c>
      <c r="I158" s="30" t="str">
        <f t="array" ref="I158">IF($A158="", "", LET(bbgm_stat, INDEX(Players!$A157:$P157, MATCH(I$2, Players!$A$1:$P$1, 0)), perc_75, VLOOKUP(I$2, Percentiles!$A$45:$I$59, 6, FALSE), perc_90, VLOOKUP(I$2, Percentiles!$A$45:$I$59, 7, FALSE), perc_95, VLOOKUP(I$2, Percentiles!$A$45:$I$59, 8, FALSE), perc_85, perc_75 + (perc_90 - perc_75) * (2/3), converted_stat, '2K_Ratings'!I158, IF(bbgm_stat &gt;= perc_95, converted_stat * 3, IF(bbgm_stat &gt;= perc_90, converted_stat * 2, IF(bbgm_stat &gt;= perc_85, converted_stat * 1.5, converted_stat)))))</f>
        <v/>
      </c>
      <c r="J158" s="30" t="str">
        <f t="array" ref="J158">IF($A158="", "", LET(bbgm_stat, INDEX(Players!$A157:$P157, MATCH(J$2, Players!$A$1:$P$1, 0)), perc_75, VLOOKUP(J$2, Percentiles!$A$45:$I$59, 6, FALSE), perc_90, VLOOKUP(J$2, Percentiles!$A$45:$I$59, 7, FALSE), perc_95, VLOOKUP(J$2, Percentiles!$A$45:$I$59, 8, FALSE), perc_85, perc_75 + (perc_90 - perc_75) * (2/3), converted_stat, '2K_Ratings'!J158, IF(bbgm_stat &gt;= perc_95, converted_stat * 3, IF(bbgm_stat &gt;= perc_90, converted_stat * 2, IF(bbgm_stat &gt;= perc_85, converted_stat * 1.5, converted_stat)))))</f>
        <v/>
      </c>
      <c r="K158" s="30" t="str">
        <f t="array" ref="K158">IF($A158="", "", LET(bbgm_stat, INDEX(Players!$A157:$P157, MATCH(K$2, Players!$A$1:$P$1, 0)), perc_75, VLOOKUP(K$2, Percentiles!$A$45:$I$59, 6, FALSE), perc_90, VLOOKUP(K$2, Percentiles!$A$45:$I$59, 7, FALSE), perc_95, VLOOKUP(K$2, Percentiles!$A$45:$I$59, 8, FALSE), perc_85, perc_75 + (perc_90 - perc_75) * (2/3), converted_stat, '2K_Ratings'!K158, IF(bbgm_stat &gt;= perc_95, converted_stat * 3, IF(bbgm_stat &gt;= perc_90, converted_stat * 2, IF(bbgm_stat &gt;= perc_85, converted_stat * 1.5, converted_stat)))))</f>
        <v/>
      </c>
      <c r="L158" s="30" t="str">
        <f t="array" ref="L158">IF($A158="", "", LET(bbgm_stat, INDEX(Players!$A157:$P157, MATCH(L$2, Players!$A$1:$P$1, 0)), perc_75, VLOOKUP(L$2, Percentiles!$A$45:$I$59, 6, FALSE), perc_90, VLOOKUP(L$2, Percentiles!$A$45:$I$59, 7, FALSE), perc_95, VLOOKUP(L$2, Percentiles!$A$45:$I$59, 8, FALSE), perc_85, perc_75 + (perc_90 - perc_75) * (2/3), converted_stat, '2K_Ratings'!L158, IF(bbgm_stat &gt;= perc_95, converted_stat * 3, IF(bbgm_stat &gt;= perc_90, converted_stat * 2, IF(bbgm_stat &gt;= perc_85, converted_stat * 1.5, converted_stat)))))</f>
        <v/>
      </c>
      <c r="M158" s="30" t="str">
        <f t="array" ref="M158">IF($A158="", "", LET(bbgm_stat, INDEX(Players!$A157:$P157, MATCH(M$2, Players!$A$1:$P$1, 0)), perc_75, VLOOKUP(M$2, Percentiles!$A$45:$I$59, 6, FALSE), perc_90, VLOOKUP(M$2, Percentiles!$A$45:$I$59, 7, FALSE), perc_95, VLOOKUP(M$2, Percentiles!$A$45:$I$59, 8, FALSE), perc_85, perc_75 + (perc_90 - perc_75) * (2/3), converted_stat, '2K_Ratings'!M158, IF(bbgm_stat &gt;= perc_95, converted_stat * 3, IF(bbgm_stat &gt;= perc_90, converted_stat * 2, IF(bbgm_stat &gt;= perc_85, converted_stat * 1.5, converted_stat)))))</f>
        <v/>
      </c>
      <c r="N158" s="30" t="str">
        <f t="array" ref="N158">IF($A158="", "", LET(bbgm_stat, INDEX(Players!$A157:$P157, MATCH(N$2, Players!$A$1:$P$1, 0)), perc_75, VLOOKUP(N$2, Percentiles!$A$45:$I$59, 6, FALSE), perc_90, VLOOKUP(N$2, Percentiles!$A$45:$I$59, 7, FALSE), perc_95, VLOOKUP(N$2, Percentiles!$A$45:$I$59, 8, FALSE), perc_85, perc_75 + (perc_90 - perc_75) * (2/3), converted_stat, '2K_Ratings'!N158, IF(bbgm_stat &gt;= perc_95, converted_stat * 3, IF(bbgm_stat &gt;= perc_90, converted_stat * 2, IF(bbgm_stat &gt;= perc_85, converted_stat * 1.5, converted_stat)))))</f>
        <v/>
      </c>
      <c r="O158" s="30" t="str">
        <f t="array" ref="O158">IF($A158="", "", LET(bbgm_stat, INDEX(Players!$A157:$P157, MATCH(O$2, Players!$A$1:$P$1, 0)), perc_75, VLOOKUP(O$2, Percentiles!$A$45:$I$59, 6, FALSE), perc_90, VLOOKUP(O$2, Percentiles!$A$45:$I$59, 7, FALSE), perc_95, VLOOKUP(O$2, Percentiles!$A$45:$I$59, 8, FALSE), perc_85, perc_75 + (perc_90 - perc_75) * (2/3), converted_stat, '2K_Ratings'!O158, IF(bbgm_stat &gt;= perc_95, converted_stat * 3, IF(bbgm_stat &gt;= perc_90, converted_stat * 2, IF(bbgm_stat &gt;= perc_85, converted_stat * 1.5, converted_stat)))))</f>
        <v/>
      </c>
      <c r="P158" s="30" t="str">
        <f t="array" ref="P158">IF($A158="", "", LET(bbgm_stat, INDEX(Players!$A157:$P157, MATCH(P$2, Players!$A$1:$P$1, 0)), perc_75, VLOOKUP(P$2, Percentiles!$A$45:$I$59, 6, FALSE), perc_90, VLOOKUP(P$2, Percentiles!$A$45:$I$59, 7, FALSE), perc_95, VLOOKUP(P$2, Percentiles!$A$45:$I$59, 8, FALSE), perc_85, perc_75 + (perc_90 - perc_75) * (2/3), converted_stat, '2K_Ratings'!P158, IF(bbgm_stat &gt;= perc_95, converted_stat * 3, IF(bbgm_stat &gt;= perc_90, converted_stat * 2, IF(bbgm_stat &gt;= perc_85, converted_stat * 1.5, converted_stat)))))</f>
        <v/>
      </c>
      <c r="Q158" s="30" t="str">
        <f t="array" ref="Q158">IF($A158="", "", LET(bbgm_stat, INDEX(Players!$A157:$P157, MATCH(Q$2, Players!$A$1:$P$1, 0)), perc_75, VLOOKUP(Q$2, Percentiles!$A$45:$I$59, 6, FALSE), perc_90, VLOOKUP(Q$2, Percentiles!$A$45:$I$59, 7, FALSE), perc_95, VLOOKUP(Q$2, Percentiles!$A$45:$I$59, 8, FALSE), perc_85, perc_75 + (perc_90 - perc_75) * (2/3), converted_stat, '2K_Ratings'!Q158, IF(bbgm_stat &gt;= perc_95, converted_stat * 3, IF(bbgm_stat &gt;= perc_90, converted_stat * 2, IF(bbgm_stat &gt;= perc_85, converted_stat * 1.5, converted_stat)))))</f>
        <v/>
      </c>
      <c r="R158" s="30" t="str">
        <f t="array" ref="R158">IF($A158="", "", LET(bbgm_stat, INDEX(Players!$A157:$P157, MATCH(R$2, Players!$A$1:$P$1, 0)), perc_75, VLOOKUP(R$2, Percentiles!$A$45:$I$59, 6, FALSE), perc_90, VLOOKUP(R$2, Percentiles!$A$45:$I$59, 7, FALSE), perc_95, VLOOKUP(R$2, Percentiles!$A$45:$I$59, 8, FALSE), perc_85, perc_75 + (perc_90 - perc_75) * (2/3), converted_stat, '2K_Ratings'!R158, IF(bbgm_stat &gt;= perc_95, converted_stat * 3, IF(bbgm_stat &gt;= perc_90, converted_stat * 2, IF(bbgm_stat &gt;= perc_85, converted_stat * 1.5, converted_stat)))))</f>
        <v/>
      </c>
      <c r="S158" s="30" t="str">
        <f t="array" ref="S158">IF($A158="", "", LET(bbgm_stat, INDEX(Players!$A157:$P157, MATCH(S$2, Players!$A$1:$P$1, 0)), perc_75, VLOOKUP(S$2, Percentiles!$A$45:$I$59, 6, FALSE), perc_90, VLOOKUP(S$2, Percentiles!$A$45:$I$59, 7, FALSE), perc_95, VLOOKUP(S$2, Percentiles!$A$45:$I$59, 8, FALSE), perc_85, perc_75 + (perc_90 - perc_75) * (2/3), converted_stat, '2K_Ratings'!S158, IF(bbgm_stat &gt;= perc_95, converted_stat * 3, IF(bbgm_stat &gt;= perc_90, converted_stat * 2, IF(bbgm_stat &gt;= perc_85, converted_stat * 1.5, converted_stat)))))</f>
        <v/>
      </c>
      <c r="T158" s="30" t="str">
        <f t="array" ref="T158">IF($A158="", "", LET(bbgm_stat, INDEX(Players!$A157:$P157, MATCH(T$2, Players!$A$1:$P$1, 0)), perc_75, VLOOKUP(T$2, Percentiles!$A$45:$I$59, 6, FALSE), perc_90, VLOOKUP(T$2, Percentiles!$A$45:$I$59, 7, FALSE), perc_95, VLOOKUP(T$2, Percentiles!$A$45:$I$59, 8, FALSE), perc_85, perc_75 + (perc_90 - perc_75) * (2/3), converted_stat, '2K_Ratings'!T158, IF(bbgm_stat &gt;= perc_95, converted_stat * 3, IF(bbgm_stat &gt;= perc_90, converted_stat * 2, IF(bbgm_stat &gt;= perc_85, converted_stat * 1.5, converted_stat)))))</f>
        <v/>
      </c>
      <c r="U158" s="30" t="str">
        <f t="array" ref="U158">IF($A158="", "", LET(bbgm_stat, INDEX(Players!$A157:$P157, MATCH(U$2, Players!$A$1:$P$1, 0)), perc_75, VLOOKUP(U$2, Percentiles!$A$45:$I$59, 6, FALSE), perc_90, VLOOKUP(U$2, Percentiles!$A$45:$I$59, 7, FALSE), perc_95, VLOOKUP(U$2, Percentiles!$A$45:$I$59, 8, FALSE), perc_85, perc_75 + (perc_90 - perc_75) * (2/3), converted_stat, '2K_Ratings'!U158, IF(bbgm_stat &gt;= perc_95, converted_stat * 3, IF(bbgm_stat &gt;= perc_90, converted_stat * 2, IF(bbgm_stat &gt;= perc_85, converted_stat * 1.5, converted_stat)))))</f>
        <v/>
      </c>
      <c r="V158" s="30" t="str">
        <f t="array" ref="V158">IF($A158="", "", LET(bbgm_stat, INDEX(Players!$A157:$P157, MATCH(V$2, Players!$A$1:$P$1, 0)), perc_75, VLOOKUP(V$2, Percentiles!$A$45:$I$59, 6, FALSE), perc_90, VLOOKUP(V$2, Percentiles!$A$45:$I$59, 7, FALSE), perc_95, VLOOKUP(V$2, Percentiles!$A$45:$I$59, 8, FALSE), perc_85, perc_75 + (perc_90 - perc_75) * (2/3), converted_stat, '2K_Ratings'!V158, IF(bbgm_stat &gt;= perc_95, converted_stat * 3, IF(bbgm_stat &gt;= perc_90, converted_stat * 2, IF(bbgm_stat &gt;= perc_85, converted_stat * 1.5, converted_stat)))))</f>
        <v/>
      </c>
      <c r="W158" s="30" t="str">
        <f t="array" ref="W158">IF($A158="", "", LET(bbgm_stat, INDEX(Players!$A157:$P157, MATCH(W$2, Players!$A$1:$P$1, 0)), perc_75, VLOOKUP(W$2, Percentiles!$A$45:$I$59, 6, FALSE), perc_90, VLOOKUP(W$2, Percentiles!$A$45:$I$59, 7, FALSE), perc_95, VLOOKUP(W$2, Percentiles!$A$45:$I$59, 8, FALSE), perc_85, perc_75 + (perc_90 - perc_75) * (2/3), converted_stat, '2K_Ratings'!W158, IF(bbgm_stat &gt;= perc_95, converted_stat * 3, IF(bbgm_stat &gt;= perc_90, converted_stat * 2, IF(bbgm_stat &gt;= perc_85, converted_stat * 1.5, converted_stat)))))</f>
        <v/>
      </c>
    </row>
    <row r="159">
      <c r="A159" s="30"/>
      <c r="B159" s="30" t="str">
        <f t="array" ref="B159">IF($A159="", "", LET(bbgm_stat, INDEX(Players!$A158:$P158, MATCH(B$2, Players!$A$1:$P$1, 0)), perc_75, VLOOKUP(B$2, Percentiles!$A$45:$I$59, 6, FALSE), perc_90, VLOOKUP(B$2, Percentiles!$A$45:$I$59, 7, FALSE), perc_95, VLOOKUP(B$2, Percentiles!$A$45:$I$59, 8, FALSE), perc_85, perc_75 + (perc_90 - perc_75) * (2/3), converted_stat, '2K_Ratings'!B159, IF(bbgm_stat &gt;= perc_95, converted_stat * 3, IF(bbgm_stat &gt;= perc_90, converted_stat * 2, IF(bbgm_stat &gt;= perc_85, converted_stat * 1.5, converted_stat)))))</f>
        <v/>
      </c>
      <c r="C159" s="30" t="str">
        <f t="array" ref="C159">IF($A159="", "", LET(bbgm_stat, INDEX(Players!$A158:$P158, MATCH(C$2, Players!$A$1:$P$1, 0)), perc_75, VLOOKUP(C$2, Percentiles!$A$45:$I$59, 6, FALSE), perc_90, VLOOKUP(C$2, Percentiles!$A$45:$I$59, 7, FALSE), perc_95, VLOOKUP(C$2, Percentiles!$A$45:$I$59, 8, FALSE), perc_85, perc_75 + (perc_90 - perc_75) * (2/3), converted_stat, '2K_Ratings'!C159, IF(bbgm_stat &gt;= perc_95, converted_stat * 3, IF(bbgm_stat &gt;= perc_90, converted_stat * 2, IF(bbgm_stat &gt;= perc_85, converted_stat * 1.5, converted_stat)))))</f>
        <v/>
      </c>
      <c r="D159" s="30" t="str">
        <f t="array" ref="D159">IF($A159="", "", LET(bbgm_stat, INDEX(Players!$A158:$P158, MATCH(D$2, Players!$A$1:$P$1, 0)), perc_75, VLOOKUP(D$2, Percentiles!$A$45:$I$59, 6, FALSE), perc_90, VLOOKUP(D$2, Percentiles!$A$45:$I$59, 7, FALSE), perc_95, VLOOKUP(D$2, Percentiles!$A$45:$I$59, 8, FALSE), perc_85, perc_75 + (perc_90 - perc_75) * (2/3), converted_stat, '2K_Ratings'!D159, IF(bbgm_stat &gt;= perc_95, converted_stat * 3, IF(bbgm_stat &gt;= perc_90, converted_stat * 2, IF(bbgm_stat &gt;= perc_85, converted_stat * 1.5, converted_stat)))))</f>
        <v/>
      </c>
      <c r="E159" s="30" t="str">
        <f t="array" ref="E159">IF($A159="", "", LET(bbgm_stat, INDEX(Players!$A158:$P158, MATCH(E$2, Players!$A$1:$P$1, 0)), perc_75, VLOOKUP(E$2, Percentiles!$A$45:$I$59, 6, FALSE), perc_90, VLOOKUP(E$2, Percentiles!$A$45:$I$59, 7, FALSE), perc_95, VLOOKUP(E$2, Percentiles!$A$45:$I$59, 8, FALSE), perc_85, perc_75 + (perc_90 - perc_75) * (2/3), converted_stat, '2K_Ratings'!E159, IF(bbgm_stat &gt;= perc_95, converted_stat * 3, IF(bbgm_stat &gt;= perc_90, converted_stat * 2, IF(bbgm_stat &gt;= perc_85, converted_stat * 1.5, converted_stat)))))</f>
        <v/>
      </c>
      <c r="F159" s="30" t="str">
        <f t="array" ref="F159">IF($A159="", "", LET(bbgm_stat, INDEX(Players!$A158:$P158, MATCH(F$2, Players!$A$1:$P$1, 0)), perc_75, VLOOKUP(F$2, Percentiles!$A$45:$I$59, 6, FALSE), perc_90, VLOOKUP(F$2, Percentiles!$A$45:$I$59, 7, FALSE), perc_95, VLOOKUP(F$2, Percentiles!$A$45:$I$59, 8, FALSE), perc_85, perc_75 + (perc_90 - perc_75) * (2/3), converted_stat, '2K_Ratings'!F159, IF(bbgm_stat &gt;= perc_95, converted_stat * 3, IF(bbgm_stat &gt;= perc_90, converted_stat * 2, IF(bbgm_stat &gt;= perc_85, converted_stat * 1.5, converted_stat)))))</f>
        <v/>
      </c>
      <c r="G159" s="30" t="str">
        <f t="array" ref="G159">IF($A159="", "", LET(bbgm_stat, INDEX(Players!$A158:$P158, MATCH(G$2, Players!$A$1:$P$1, 0)), perc_75, VLOOKUP(G$2, Percentiles!$A$45:$I$59, 6, FALSE), perc_90, VLOOKUP(G$2, Percentiles!$A$45:$I$59, 7, FALSE), perc_95, VLOOKUP(G$2, Percentiles!$A$45:$I$59, 8, FALSE), perc_85, perc_75 + (perc_90 - perc_75) * (2/3), converted_stat, '2K_Ratings'!G159, IF(bbgm_stat &gt;= perc_95, converted_stat * 3, IF(bbgm_stat &gt;= perc_90, converted_stat * 2, IF(bbgm_stat &gt;= perc_85, converted_stat * 1.5, converted_stat)))))</f>
        <v/>
      </c>
      <c r="H159" s="30" t="str">
        <f t="array" ref="H159">IF($A159="", "", LET(bbgm_stat, INDEX(Players!$A158:$P158, MATCH(H$2, Players!$A$1:$P$1, 0)), perc_75, VLOOKUP(H$2, Percentiles!$A$45:$I$59, 6, FALSE), perc_90, VLOOKUP(H$2, Percentiles!$A$45:$I$59, 7, FALSE), perc_95, VLOOKUP(H$2, Percentiles!$A$45:$I$59, 8, FALSE), perc_85, perc_75 + (perc_90 - perc_75) * (2/3), converted_stat, '2K_Ratings'!H159, IF(bbgm_stat &gt;= perc_95, converted_stat * 3, IF(bbgm_stat &gt;= perc_90, converted_stat * 2, IF(bbgm_stat &gt;= perc_85, converted_stat * 1.5, converted_stat)))))</f>
        <v/>
      </c>
      <c r="I159" s="30" t="str">
        <f t="array" ref="I159">IF($A159="", "", LET(bbgm_stat, INDEX(Players!$A158:$P158, MATCH(I$2, Players!$A$1:$P$1, 0)), perc_75, VLOOKUP(I$2, Percentiles!$A$45:$I$59, 6, FALSE), perc_90, VLOOKUP(I$2, Percentiles!$A$45:$I$59, 7, FALSE), perc_95, VLOOKUP(I$2, Percentiles!$A$45:$I$59, 8, FALSE), perc_85, perc_75 + (perc_90 - perc_75) * (2/3), converted_stat, '2K_Ratings'!I159, IF(bbgm_stat &gt;= perc_95, converted_stat * 3, IF(bbgm_stat &gt;= perc_90, converted_stat * 2, IF(bbgm_stat &gt;= perc_85, converted_stat * 1.5, converted_stat)))))</f>
        <v/>
      </c>
      <c r="J159" s="30" t="str">
        <f t="array" ref="J159">IF($A159="", "", LET(bbgm_stat, INDEX(Players!$A158:$P158, MATCH(J$2, Players!$A$1:$P$1, 0)), perc_75, VLOOKUP(J$2, Percentiles!$A$45:$I$59, 6, FALSE), perc_90, VLOOKUP(J$2, Percentiles!$A$45:$I$59, 7, FALSE), perc_95, VLOOKUP(J$2, Percentiles!$A$45:$I$59, 8, FALSE), perc_85, perc_75 + (perc_90 - perc_75) * (2/3), converted_stat, '2K_Ratings'!J159, IF(bbgm_stat &gt;= perc_95, converted_stat * 3, IF(bbgm_stat &gt;= perc_90, converted_stat * 2, IF(bbgm_stat &gt;= perc_85, converted_stat * 1.5, converted_stat)))))</f>
        <v/>
      </c>
      <c r="K159" s="30" t="str">
        <f t="array" ref="K159">IF($A159="", "", LET(bbgm_stat, INDEX(Players!$A158:$P158, MATCH(K$2, Players!$A$1:$P$1, 0)), perc_75, VLOOKUP(K$2, Percentiles!$A$45:$I$59, 6, FALSE), perc_90, VLOOKUP(K$2, Percentiles!$A$45:$I$59, 7, FALSE), perc_95, VLOOKUP(K$2, Percentiles!$A$45:$I$59, 8, FALSE), perc_85, perc_75 + (perc_90 - perc_75) * (2/3), converted_stat, '2K_Ratings'!K159, IF(bbgm_stat &gt;= perc_95, converted_stat * 3, IF(bbgm_stat &gt;= perc_90, converted_stat * 2, IF(bbgm_stat &gt;= perc_85, converted_stat * 1.5, converted_stat)))))</f>
        <v/>
      </c>
      <c r="L159" s="30" t="str">
        <f t="array" ref="L159">IF($A159="", "", LET(bbgm_stat, INDEX(Players!$A158:$P158, MATCH(L$2, Players!$A$1:$P$1, 0)), perc_75, VLOOKUP(L$2, Percentiles!$A$45:$I$59, 6, FALSE), perc_90, VLOOKUP(L$2, Percentiles!$A$45:$I$59, 7, FALSE), perc_95, VLOOKUP(L$2, Percentiles!$A$45:$I$59, 8, FALSE), perc_85, perc_75 + (perc_90 - perc_75) * (2/3), converted_stat, '2K_Ratings'!L159, IF(bbgm_stat &gt;= perc_95, converted_stat * 3, IF(bbgm_stat &gt;= perc_90, converted_stat * 2, IF(bbgm_stat &gt;= perc_85, converted_stat * 1.5, converted_stat)))))</f>
        <v/>
      </c>
      <c r="M159" s="30" t="str">
        <f t="array" ref="M159">IF($A159="", "", LET(bbgm_stat, INDEX(Players!$A158:$P158, MATCH(M$2, Players!$A$1:$P$1, 0)), perc_75, VLOOKUP(M$2, Percentiles!$A$45:$I$59, 6, FALSE), perc_90, VLOOKUP(M$2, Percentiles!$A$45:$I$59, 7, FALSE), perc_95, VLOOKUP(M$2, Percentiles!$A$45:$I$59, 8, FALSE), perc_85, perc_75 + (perc_90 - perc_75) * (2/3), converted_stat, '2K_Ratings'!M159, IF(bbgm_stat &gt;= perc_95, converted_stat * 3, IF(bbgm_stat &gt;= perc_90, converted_stat * 2, IF(bbgm_stat &gt;= perc_85, converted_stat * 1.5, converted_stat)))))</f>
        <v/>
      </c>
      <c r="N159" s="30" t="str">
        <f t="array" ref="N159">IF($A159="", "", LET(bbgm_stat, INDEX(Players!$A158:$P158, MATCH(N$2, Players!$A$1:$P$1, 0)), perc_75, VLOOKUP(N$2, Percentiles!$A$45:$I$59, 6, FALSE), perc_90, VLOOKUP(N$2, Percentiles!$A$45:$I$59, 7, FALSE), perc_95, VLOOKUP(N$2, Percentiles!$A$45:$I$59, 8, FALSE), perc_85, perc_75 + (perc_90 - perc_75) * (2/3), converted_stat, '2K_Ratings'!N159, IF(bbgm_stat &gt;= perc_95, converted_stat * 3, IF(bbgm_stat &gt;= perc_90, converted_stat * 2, IF(bbgm_stat &gt;= perc_85, converted_stat * 1.5, converted_stat)))))</f>
        <v/>
      </c>
      <c r="O159" s="30" t="str">
        <f t="array" ref="O159">IF($A159="", "", LET(bbgm_stat, INDEX(Players!$A158:$P158, MATCH(O$2, Players!$A$1:$P$1, 0)), perc_75, VLOOKUP(O$2, Percentiles!$A$45:$I$59, 6, FALSE), perc_90, VLOOKUP(O$2, Percentiles!$A$45:$I$59, 7, FALSE), perc_95, VLOOKUP(O$2, Percentiles!$A$45:$I$59, 8, FALSE), perc_85, perc_75 + (perc_90 - perc_75) * (2/3), converted_stat, '2K_Ratings'!O159, IF(bbgm_stat &gt;= perc_95, converted_stat * 3, IF(bbgm_stat &gt;= perc_90, converted_stat * 2, IF(bbgm_stat &gt;= perc_85, converted_stat * 1.5, converted_stat)))))</f>
        <v/>
      </c>
      <c r="P159" s="30" t="str">
        <f t="array" ref="P159">IF($A159="", "", LET(bbgm_stat, INDEX(Players!$A158:$P158, MATCH(P$2, Players!$A$1:$P$1, 0)), perc_75, VLOOKUP(P$2, Percentiles!$A$45:$I$59, 6, FALSE), perc_90, VLOOKUP(P$2, Percentiles!$A$45:$I$59, 7, FALSE), perc_95, VLOOKUP(P$2, Percentiles!$A$45:$I$59, 8, FALSE), perc_85, perc_75 + (perc_90 - perc_75) * (2/3), converted_stat, '2K_Ratings'!P159, IF(bbgm_stat &gt;= perc_95, converted_stat * 3, IF(bbgm_stat &gt;= perc_90, converted_stat * 2, IF(bbgm_stat &gt;= perc_85, converted_stat * 1.5, converted_stat)))))</f>
        <v/>
      </c>
      <c r="Q159" s="30" t="str">
        <f t="array" ref="Q159">IF($A159="", "", LET(bbgm_stat, INDEX(Players!$A158:$P158, MATCH(Q$2, Players!$A$1:$P$1, 0)), perc_75, VLOOKUP(Q$2, Percentiles!$A$45:$I$59, 6, FALSE), perc_90, VLOOKUP(Q$2, Percentiles!$A$45:$I$59, 7, FALSE), perc_95, VLOOKUP(Q$2, Percentiles!$A$45:$I$59, 8, FALSE), perc_85, perc_75 + (perc_90 - perc_75) * (2/3), converted_stat, '2K_Ratings'!Q159, IF(bbgm_stat &gt;= perc_95, converted_stat * 3, IF(bbgm_stat &gt;= perc_90, converted_stat * 2, IF(bbgm_stat &gt;= perc_85, converted_stat * 1.5, converted_stat)))))</f>
        <v/>
      </c>
      <c r="R159" s="30" t="str">
        <f t="array" ref="R159">IF($A159="", "", LET(bbgm_stat, INDEX(Players!$A158:$P158, MATCH(R$2, Players!$A$1:$P$1, 0)), perc_75, VLOOKUP(R$2, Percentiles!$A$45:$I$59, 6, FALSE), perc_90, VLOOKUP(R$2, Percentiles!$A$45:$I$59, 7, FALSE), perc_95, VLOOKUP(R$2, Percentiles!$A$45:$I$59, 8, FALSE), perc_85, perc_75 + (perc_90 - perc_75) * (2/3), converted_stat, '2K_Ratings'!R159, IF(bbgm_stat &gt;= perc_95, converted_stat * 3, IF(bbgm_stat &gt;= perc_90, converted_stat * 2, IF(bbgm_stat &gt;= perc_85, converted_stat * 1.5, converted_stat)))))</f>
        <v/>
      </c>
      <c r="S159" s="30" t="str">
        <f t="array" ref="S159">IF($A159="", "", LET(bbgm_stat, INDEX(Players!$A158:$P158, MATCH(S$2, Players!$A$1:$P$1, 0)), perc_75, VLOOKUP(S$2, Percentiles!$A$45:$I$59, 6, FALSE), perc_90, VLOOKUP(S$2, Percentiles!$A$45:$I$59, 7, FALSE), perc_95, VLOOKUP(S$2, Percentiles!$A$45:$I$59, 8, FALSE), perc_85, perc_75 + (perc_90 - perc_75) * (2/3), converted_stat, '2K_Ratings'!S159, IF(bbgm_stat &gt;= perc_95, converted_stat * 3, IF(bbgm_stat &gt;= perc_90, converted_stat * 2, IF(bbgm_stat &gt;= perc_85, converted_stat * 1.5, converted_stat)))))</f>
        <v/>
      </c>
      <c r="T159" s="30" t="str">
        <f t="array" ref="T159">IF($A159="", "", LET(bbgm_stat, INDEX(Players!$A158:$P158, MATCH(T$2, Players!$A$1:$P$1, 0)), perc_75, VLOOKUP(T$2, Percentiles!$A$45:$I$59, 6, FALSE), perc_90, VLOOKUP(T$2, Percentiles!$A$45:$I$59, 7, FALSE), perc_95, VLOOKUP(T$2, Percentiles!$A$45:$I$59, 8, FALSE), perc_85, perc_75 + (perc_90 - perc_75) * (2/3), converted_stat, '2K_Ratings'!T159, IF(bbgm_stat &gt;= perc_95, converted_stat * 3, IF(bbgm_stat &gt;= perc_90, converted_stat * 2, IF(bbgm_stat &gt;= perc_85, converted_stat * 1.5, converted_stat)))))</f>
        <v/>
      </c>
      <c r="U159" s="30" t="str">
        <f t="array" ref="U159">IF($A159="", "", LET(bbgm_stat, INDEX(Players!$A158:$P158, MATCH(U$2, Players!$A$1:$P$1, 0)), perc_75, VLOOKUP(U$2, Percentiles!$A$45:$I$59, 6, FALSE), perc_90, VLOOKUP(U$2, Percentiles!$A$45:$I$59, 7, FALSE), perc_95, VLOOKUP(U$2, Percentiles!$A$45:$I$59, 8, FALSE), perc_85, perc_75 + (perc_90 - perc_75) * (2/3), converted_stat, '2K_Ratings'!U159, IF(bbgm_stat &gt;= perc_95, converted_stat * 3, IF(bbgm_stat &gt;= perc_90, converted_stat * 2, IF(bbgm_stat &gt;= perc_85, converted_stat * 1.5, converted_stat)))))</f>
        <v/>
      </c>
      <c r="V159" s="30" t="str">
        <f t="array" ref="V159">IF($A159="", "", LET(bbgm_stat, INDEX(Players!$A158:$P158, MATCH(V$2, Players!$A$1:$P$1, 0)), perc_75, VLOOKUP(V$2, Percentiles!$A$45:$I$59, 6, FALSE), perc_90, VLOOKUP(V$2, Percentiles!$A$45:$I$59, 7, FALSE), perc_95, VLOOKUP(V$2, Percentiles!$A$45:$I$59, 8, FALSE), perc_85, perc_75 + (perc_90 - perc_75) * (2/3), converted_stat, '2K_Ratings'!V159, IF(bbgm_stat &gt;= perc_95, converted_stat * 3, IF(bbgm_stat &gt;= perc_90, converted_stat * 2, IF(bbgm_stat &gt;= perc_85, converted_stat * 1.5, converted_stat)))))</f>
        <v/>
      </c>
      <c r="W159" s="30" t="str">
        <f t="array" ref="W159">IF($A159="", "", LET(bbgm_stat, INDEX(Players!$A158:$P158, MATCH(W$2, Players!$A$1:$P$1, 0)), perc_75, VLOOKUP(W$2, Percentiles!$A$45:$I$59, 6, FALSE), perc_90, VLOOKUP(W$2, Percentiles!$A$45:$I$59, 7, FALSE), perc_95, VLOOKUP(W$2, Percentiles!$A$45:$I$59, 8, FALSE), perc_85, perc_75 + (perc_90 - perc_75) * (2/3), converted_stat, '2K_Ratings'!W159, IF(bbgm_stat &gt;= perc_95, converted_stat * 3, IF(bbgm_stat &gt;= perc_90, converted_stat * 2, IF(bbgm_stat &gt;= perc_85, converted_stat * 1.5, converted_stat)))))</f>
        <v/>
      </c>
    </row>
    <row r="160">
      <c r="A160" s="30"/>
      <c r="B160" s="30" t="str">
        <f t="array" ref="B160">IF($A160="", "", LET(bbgm_stat, INDEX(Players!$A159:$P159, MATCH(B$2, Players!$A$1:$P$1, 0)), perc_75, VLOOKUP(B$2, Percentiles!$A$45:$I$59, 6, FALSE), perc_90, VLOOKUP(B$2, Percentiles!$A$45:$I$59, 7, FALSE), perc_95, VLOOKUP(B$2, Percentiles!$A$45:$I$59, 8, FALSE), perc_85, perc_75 + (perc_90 - perc_75) * (2/3), converted_stat, '2K_Ratings'!B160, IF(bbgm_stat &gt;= perc_95, converted_stat * 3, IF(bbgm_stat &gt;= perc_90, converted_stat * 2, IF(bbgm_stat &gt;= perc_85, converted_stat * 1.5, converted_stat)))))</f>
        <v/>
      </c>
      <c r="C160" s="30" t="str">
        <f t="array" ref="C160">IF($A160="", "", LET(bbgm_stat, INDEX(Players!$A159:$P159, MATCH(C$2, Players!$A$1:$P$1, 0)), perc_75, VLOOKUP(C$2, Percentiles!$A$45:$I$59, 6, FALSE), perc_90, VLOOKUP(C$2, Percentiles!$A$45:$I$59, 7, FALSE), perc_95, VLOOKUP(C$2, Percentiles!$A$45:$I$59, 8, FALSE), perc_85, perc_75 + (perc_90 - perc_75) * (2/3), converted_stat, '2K_Ratings'!C160, IF(bbgm_stat &gt;= perc_95, converted_stat * 3, IF(bbgm_stat &gt;= perc_90, converted_stat * 2, IF(bbgm_stat &gt;= perc_85, converted_stat * 1.5, converted_stat)))))</f>
        <v/>
      </c>
      <c r="D160" s="30" t="str">
        <f t="array" ref="D160">IF($A160="", "", LET(bbgm_stat, INDEX(Players!$A159:$P159, MATCH(D$2, Players!$A$1:$P$1, 0)), perc_75, VLOOKUP(D$2, Percentiles!$A$45:$I$59, 6, FALSE), perc_90, VLOOKUP(D$2, Percentiles!$A$45:$I$59, 7, FALSE), perc_95, VLOOKUP(D$2, Percentiles!$A$45:$I$59, 8, FALSE), perc_85, perc_75 + (perc_90 - perc_75) * (2/3), converted_stat, '2K_Ratings'!D160, IF(bbgm_stat &gt;= perc_95, converted_stat * 3, IF(bbgm_stat &gt;= perc_90, converted_stat * 2, IF(bbgm_stat &gt;= perc_85, converted_stat * 1.5, converted_stat)))))</f>
        <v/>
      </c>
      <c r="E160" s="30" t="str">
        <f t="array" ref="E160">IF($A160="", "", LET(bbgm_stat, INDEX(Players!$A159:$P159, MATCH(E$2, Players!$A$1:$P$1, 0)), perc_75, VLOOKUP(E$2, Percentiles!$A$45:$I$59, 6, FALSE), perc_90, VLOOKUP(E$2, Percentiles!$A$45:$I$59, 7, FALSE), perc_95, VLOOKUP(E$2, Percentiles!$A$45:$I$59, 8, FALSE), perc_85, perc_75 + (perc_90 - perc_75) * (2/3), converted_stat, '2K_Ratings'!E160, IF(bbgm_stat &gt;= perc_95, converted_stat * 3, IF(bbgm_stat &gt;= perc_90, converted_stat * 2, IF(bbgm_stat &gt;= perc_85, converted_stat * 1.5, converted_stat)))))</f>
        <v/>
      </c>
      <c r="F160" s="30" t="str">
        <f t="array" ref="F160">IF($A160="", "", LET(bbgm_stat, INDEX(Players!$A159:$P159, MATCH(F$2, Players!$A$1:$P$1, 0)), perc_75, VLOOKUP(F$2, Percentiles!$A$45:$I$59, 6, FALSE), perc_90, VLOOKUP(F$2, Percentiles!$A$45:$I$59, 7, FALSE), perc_95, VLOOKUP(F$2, Percentiles!$A$45:$I$59, 8, FALSE), perc_85, perc_75 + (perc_90 - perc_75) * (2/3), converted_stat, '2K_Ratings'!F160, IF(bbgm_stat &gt;= perc_95, converted_stat * 3, IF(bbgm_stat &gt;= perc_90, converted_stat * 2, IF(bbgm_stat &gt;= perc_85, converted_stat * 1.5, converted_stat)))))</f>
        <v/>
      </c>
      <c r="G160" s="30" t="str">
        <f t="array" ref="G160">IF($A160="", "", LET(bbgm_stat, INDEX(Players!$A159:$P159, MATCH(G$2, Players!$A$1:$P$1, 0)), perc_75, VLOOKUP(G$2, Percentiles!$A$45:$I$59, 6, FALSE), perc_90, VLOOKUP(G$2, Percentiles!$A$45:$I$59, 7, FALSE), perc_95, VLOOKUP(G$2, Percentiles!$A$45:$I$59, 8, FALSE), perc_85, perc_75 + (perc_90 - perc_75) * (2/3), converted_stat, '2K_Ratings'!G160, IF(bbgm_stat &gt;= perc_95, converted_stat * 3, IF(bbgm_stat &gt;= perc_90, converted_stat * 2, IF(bbgm_stat &gt;= perc_85, converted_stat * 1.5, converted_stat)))))</f>
        <v/>
      </c>
      <c r="H160" s="30" t="str">
        <f t="array" ref="H160">IF($A160="", "", LET(bbgm_stat, INDEX(Players!$A159:$P159, MATCH(H$2, Players!$A$1:$P$1, 0)), perc_75, VLOOKUP(H$2, Percentiles!$A$45:$I$59, 6, FALSE), perc_90, VLOOKUP(H$2, Percentiles!$A$45:$I$59, 7, FALSE), perc_95, VLOOKUP(H$2, Percentiles!$A$45:$I$59, 8, FALSE), perc_85, perc_75 + (perc_90 - perc_75) * (2/3), converted_stat, '2K_Ratings'!H160, IF(bbgm_stat &gt;= perc_95, converted_stat * 3, IF(bbgm_stat &gt;= perc_90, converted_stat * 2, IF(bbgm_stat &gt;= perc_85, converted_stat * 1.5, converted_stat)))))</f>
        <v/>
      </c>
      <c r="I160" s="30" t="str">
        <f t="array" ref="I160">IF($A160="", "", LET(bbgm_stat, INDEX(Players!$A159:$P159, MATCH(I$2, Players!$A$1:$P$1, 0)), perc_75, VLOOKUP(I$2, Percentiles!$A$45:$I$59, 6, FALSE), perc_90, VLOOKUP(I$2, Percentiles!$A$45:$I$59, 7, FALSE), perc_95, VLOOKUP(I$2, Percentiles!$A$45:$I$59, 8, FALSE), perc_85, perc_75 + (perc_90 - perc_75) * (2/3), converted_stat, '2K_Ratings'!I160, IF(bbgm_stat &gt;= perc_95, converted_stat * 3, IF(bbgm_stat &gt;= perc_90, converted_stat * 2, IF(bbgm_stat &gt;= perc_85, converted_stat * 1.5, converted_stat)))))</f>
        <v/>
      </c>
      <c r="J160" s="30" t="str">
        <f t="array" ref="J160">IF($A160="", "", LET(bbgm_stat, INDEX(Players!$A159:$P159, MATCH(J$2, Players!$A$1:$P$1, 0)), perc_75, VLOOKUP(J$2, Percentiles!$A$45:$I$59, 6, FALSE), perc_90, VLOOKUP(J$2, Percentiles!$A$45:$I$59, 7, FALSE), perc_95, VLOOKUP(J$2, Percentiles!$A$45:$I$59, 8, FALSE), perc_85, perc_75 + (perc_90 - perc_75) * (2/3), converted_stat, '2K_Ratings'!J160, IF(bbgm_stat &gt;= perc_95, converted_stat * 3, IF(bbgm_stat &gt;= perc_90, converted_stat * 2, IF(bbgm_stat &gt;= perc_85, converted_stat * 1.5, converted_stat)))))</f>
        <v/>
      </c>
      <c r="K160" s="30" t="str">
        <f t="array" ref="K160">IF($A160="", "", LET(bbgm_stat, INDEX(Players!$A159:$P159, MATCH(K$2, Players!$A$1:$P$1, 0)), perc_75, VLOOKUP(K$2, Percentiles!$A$45:$I$59, 6, FALSE), perc_90, VLOOKUP(K$2, Percentiles!$A$45:$I$59, 7, FALSE), perc_95, VLOOKUP(K$2, Percentiles!$A$45:$I$59, 8, FALSE), perc_85, perc_75 + (perc_90 - perc_75) * (2/3), converted_stat, '2K_Ratings'!K160, IF(bbgm_stat &gt;= perc_95, converted_stat * 3, IF(bbgm_stat &gt;= perc_90, converted_stat * 2, IF(bbgm_stat &gt;= perc_85, converted_stat * 1.5, converted_stat)))))</f>
        <v/>
      </c>
      <c r="L160" s="30" t="str">
        <f t="array" ref="L160">IF($A160="", "", LET(bbgm_stat, INDEX(Players!$A159:$P159, MATCH(L$2, Players!$A$1:$P$1, 0)), perc_75, VLOOKUP(L$2, Percentiles!$A$45:$I$59, 6, FALSE), perc_90, VLOOKUP(L$2, Percentiles!$A$45:$I$59, 7, FALSE), perc_95, VLOOKUP(L$2, Percentiles!$A$45:$I$59, 8, FALSE), perc_85, perc_75 + (perc_90 - perc_75) * (2/3), converted_stat, '2K_Ratings'!L160, IF(bbgm_stat &gt;= perc_95, converted_stat * 3, IF(bbgm_stat &gt;= perc_90, converted_stat * 2, IF(bbgm_stat &gt;= perc_85, converted_stat * 1.5, converted_stat)))))</f>
        <v/>
      </c>
      <c r="M160" s="30" t="str">
        <f t="array" ref="M160">IF($A160="", "", LET(bbgm_stat, INDEX(Players!$A159:$P159, MATCH(M$2, Players!$A$1:$P$1, 0)), perc_75, VLOOKUP(M$2, Percentiles!$A$45:$I$59, 6, FALSE), perc_90, VLOOKUP(M$2, Percentiles!$A$45:$I$59, 7, FALSE), perc_95, VLOOKUP(M$2, Percentiles!$A$45:$I$59, 8, FALSE), perc_85, perc_75 + (perc_90 - perc_75) * (2/3), converted_stat, '2K_Ratings'!M160, IF(bbgm_stat &gt;= perc_95, converted_stat * 3, IF(bbgm_stat &gt;= perc_90, converted_stat * 2, IF(bbgm_stat &gt;= perc_85, converted_stat * 1.5, converted_stat)))))</f>
        <v/>
      </c>
      <c r="N160" s="30" t="str">
        <f t="array" ref="N160">IF($A160="", "", LET(bbgm_stat, INDEX(Players!$A159:$P159, MATCH(N$2, Players!$A$1:$P$1, 0)), perc_75, VLOOKUP(N$2, Percentiles!$A$45:$I$59, 6, FALSE), perc_90, VLOOKUP(N$2, Percentiles!$A$45:$I$59, 7, FALSE), perc_95, VLOOKUP(N$2, Percentiles!$A$45:$I$59, 8, FALSE), perc_85, perc_75 + (perc_90 - perc_75) * (2/3), converted_stat, '2K_Ratings'!N160, IF(bbgm_stat &gt;= perc_95, converted_stat * 3, IF(bbgm_stat &gt;= perc_90, converted_stat * 2, IF(bbgm_stat &gt;= perc_85, converted_stat * 1.5, converted_stat)))))</f>
        <v/>
      </c>
      <c r="O160" s="30" t="str">
        <f t="array" ref="O160">IF($A160="", "", LET(bbgm_stat, INDEX(Players!$A159:$P159, MATCH(O$2, Players!$A$1:$P$1, 0)), perc_75, VLOOKUP(O$2, Percentiles!$A$45:$I$59, 6, FALSE), perc_90, VLOOKUP(O$2, Percentiles!$A$45:$I$59, 7, FALSE), perc_95, VLOOKUP(O$2, Percentiles!$A$45:$I$59, 8, FALSE), perc_85, perc_75 + (perc_90 - perc_75) * (2/3), converted_stat, '2K_Ratings'!O160, IF(bbgm_stat &gt;= perc_95, converted_stat * 3, IF(bbgm_stat &gt;= perc_90, converted_stat * 2, IF(bbgm_stat &gt;= perc_85, converted_stat * 1.5, converted_stat)))))</f>
        <v/>
      </c>
      <c r="P160" s="30" t="str">
        <f t="array" ref="P160">IF($A160="", "", LET(bbgm_stat, INDEX(Players!$A159:$P159, MATCH(P$2, Players!$A$1:$P$1, 0)), perc_75, VLOOKUP(P$2, Percentiles!$A$45:$I$59, 6, FALSE), perc_90, VLOOKUP(P$2, Percentiles!$A$45:$I$59, 7, FALSE), perc_95, VLOOKUP(P$2, Percentiles!$A$45:$I$59, 8, FALSE), perc_85, perc_75 + (perc_90 - perc_75) * (2/3), converted_stat, '2K_Ratings'!P160, IF(bbgm_stat &gt;= perc_95, converted_stat * 3, IF(bbgm_stat &gt;= perc_90, converted_stat * 2, IF(bbgm_stat &gt;= perc_85, converted_stat * 1.5, converted_stat)))))</f>
        <v/>
      </c>
      <c r="Q160" s="30" t="str">
        <f t="array" ref="Q160">IF($A160="", "", LET(bbgm_stat, INDEX(Players!$A159:$P159, MATCH(Q$2, Players!$A$1:$P$1, 0)), perc_75, VLOOKUP(Q$2, Percentiles!$A$45:$I$59, 6, FALSE), perc_90, VLOOKUP(Q$2, Percentiles!$A$45:$I$59, 7, FALSE), perc_95, VLOOKUP(Q$2, Percentiles!$A$45:$I$59, 8, FALSE), perc_85, perc_75 + (perc_90 - perc_75) * (2/3), converted_stat, '2K_Ratings'!Q160, IF(bbgm_stat &gt;= perc_95, converted_stat * 3, IF(bbgm_stat &gt;= perc_90, converted_stat * 2, IF(bbgm_stat &gt;= perc_85, converted_stat * 1.5, converted_stat)))))</f>
        <v/>
      </c>
      <c r="R160" s="30" t="str">
        <f t="array" ref="R160">IF($A160="", "", LET(bbgm_stat, INDEX(Players!$A159:$P159, MATCH(R$2, Players!$A$1:$P$1, 0)), perc_75, VLOOKUP(R$2, Percentiles!$A$45:$I$59, 6, FALSE), perc_90, VLOOKUP(R$2, Percentiles!$A$45:$I$59, 7, FALSE), perc_95, VLOOKUP(R$2, Percentiles!$A$45:$I$59, 8, FALSE), perc_85, perc_75 + (perc_90 - perc_75) * (2/3), converted_stat, '2K_Ratings'!R160, IF(bbgm_stat &gt;= perc_95, converted_stat * 3, IF(bbgm_stat &gt;= perc_90, converted_stat * 2, IF(bbgm_stat &gt;= perc_85, converted_stat * 1.5, converted_stat)))))</f>
        <v/>
      </c>
      <c r="S160" s="30" t="str">
        <f t="array" ref="S160">IF($A160="", "", LET(bbgm_stat, INDEX(Players!$A159:$P159, MATCH(S$2, Players!$A$1:$P$1, 0)), perc_75, VLOOKUP(S$2, Percentiles!$A$45:$I$59, 6, FALSE), perc_90, VLOOKUP(S$2, Percentiles!$A$45:$I$59, 7, FALSE), perc_95, VLOOKUP(S$2, Percentiles!$A$45:$I$59, 8, FALSE), perc_85, perc_75 + (perc_90 - perc_75) * (2/3), converted_stat, '2K_Ratings'!S160, IF(bbgm_stat &gt;= perc_95, converted_stat * 3, IF(bbgm_stat &gt;= perc_90, converted_stat * 2, IF(bbgm_stat &gt;= perc_85, converted_stat * 1.5, converted_stat)))))</f>
        <v/>
      </c>
      <c r="T160" s="30" t="str">
        <f t="array" ref="T160">IF($A160="", "", LET(bbgm_stat, INDEX(Players!$A159:$P159, MATCH(T$2, Players!$A$1:$P$1, 0)), perc_75, VLOOKUP(T$2, Percentiles!$A$45:$I$59, 6, FALSE), perc_90, VLOOKUP(T$2, Percentiles!$A$45:$I$59, 7, FALSE), perc_95, VLOOKUP(T$2, Percentiles!$A$45:$I$59, 8, FALSE), perc_85, perc_75 + (perc_90 - perc_75) * (2/3), converted_stat, '2K_Ratings'!T160, IF(bbgm_stat &gt;= perc_95, converted_stat * 3, IF(bbgm_stat &gt;= perc_90, converted_stat * 2, IF(bbgm_stat &gt;= perc_85, converted_stat * 1.5, converted_stat)))))</f>
        <v/>
      </c>
      <c r="U160" s="30" t="str">
        <f t="array" ref="U160">IF($A160="", "", LET(bbgm_stat, INDEX(Players!$A159:$P159, MATCH(U$2, Players!$A$1:$P$1, 0)), perc_75, VLOOKUP(U$2, Percentiles!$A$45:$I$59, 6, FALSE), perc_90, VLOOKUP(U$2, Percentiles!$A$45:$I$59, 7, FALSE), perc_95, VLOOKUP(U$2, Percentiles!$A$45:$I$59, 8, FALSE), perc_85, perc_75 + (perc_90 - perc_75) * (2/3), converted_stat, '2K_Ratings'!U160, IF(bbgm_stat &gt;= perc_95, converted_stat * 3, IF(bbgm_stat &gt;= perc_90, converted_stat * 2, IF(bbgm_stat &gt;= perc_85, converted_stat * 1.5, converted_stat)))))</f>
        <v/>
      </c>
      <c r="V160" s="30" t="str">
        <f t="array" ref="V160">IF($A160="", "", LET(bbgm_stat, INDEX(Players!$A159:$P159, MATCH(V$2, Players!$A$1:$P$1, 0)), perc_75, VLOOKUP(V$2, Percentiles!$A$45:$I$59, 6, FALSE), perc_90, VLOOKUP(V$2, Percentiles!$A$45:$I$59, 7, FALSE), perc_95, VLOOKUP(V$2, Percentiles!$A$45:$I$59, 8, FALSE), perc_85, perc_75 + (perc_90 - perc_75) * (2/3), converted_stat, '2K_Ratings'!V160, IF(bbgm_stat &gt;= perc_95, converted_stat * 3, IF(bbgm_stat &gt;= perc_90, converted_stat * 2, IF(bbgm_stat &gt;= perc_85, converted_stat * 1.5, converted_stat)))))</f>
        <v/>
      </c>
      <c r="W160" s="30" t="str">
        <f t="array" ref="W160">IF($A160="", "", LET(bbgm_stat, INDEX(Players!$A159:$P159, MATCH(W$2, Players!$A$1:$P$1, 0)), perc_75, VLOOKUP(W$2, Percentiles!$A$45:$I$59, 6, FALSE), perc_90, VLOOKUP(W$2, Percentiles!$A$45:$I$59, 7, FALSE), perc_95, VLOOKUP(W$2, Percentiles!$A$45:$I$59, 8, FALSE), perc_85, perc_75 + (perc_90 - perc_75) * (2/3), converted_stat, '2K_Ratings'!W160, IF(bbgm_stat &gt;= perc_95, converted_stat * 3, IF(bbgm_stat &gt;= perc_90, converted_stat * 2, IF(bbgm_stat &gt;= perc_85, converted_stat * 1.5, converted_stat)))))</f>
        <v/>
      </c>
    </row>
    <row r="161">
      <c r="A161" s="30"/>
      <c r="B161" s="30" t="str">
        <f t="array" ref="B161">IF($A161="", "", LET(bbgm_stat, INDEX(Players!$A160:$P160, MATCH(B$2, Players!$A$1:$P$1, 0)), perc_75, VLOOKUP(B$2, Percentiles!$A$45:$I$59, 6, FALSE), perc_90, VLOOKUP(B$2, Percentiles!$A$45:$I$59, 7, FALSE), perc_95, VLOOKUP(B$2, Percentiles!$A$45:$I$59, 8, FALSE), perc_85, perc_75 + (perc_90 - perc_75) * (2/3), converted_stat, '2K_Ratings'!B161, IF(bbgm_stat &gt;= perc_95, converted_stat * 3, IF(bbgm_stat &gt;= perc_90, converted_stat * 2, IF(bbgm_stat &gt;= perc_85, converted_stat * 1.5, converted_stat)))))</f>
        <v/>
      </c>
      <c r="C161" s="30" t="str">
        <f t="array" ref="C161">IF($A161="", "", LET(bbgm_stat, INDEX(Players!$A160:$P160, MATCH(C$2, Players!$A$1:$P$1, 0)), perc_75, VLOOKUP(C$2, Percentiles!$A$45:$I$59, 6, FALSE), perc_90, VLOOKUP(C$2, Percentiles!$A$45:$I$59, 7, FALSE), perc_95, VLOOKUP(C$2, Percentiles!$A$45:$I$59, 8, FALSE), perc_85, perc_75 + (perc_90 - perc_75) * (2/3), converted_stat, '2K_Ratings'!C161, IF(bbgm_stat &gt;= perc_95, converted_stat * 3, IF(bbgm_stat &gt;= perc_90, converted_stat * 2, IF(bbgm_stat &gt;= perc_85, converted_stat * 1.5, converted_stat)))))</f>
        <v/>
      </c>
      <c r="D161" s="30" t="str">
        <f t="array" ref="D161">IF($A161="", "", LET(bbgm_stat, INDEX(Players!$A160:$P160, MATCH(D$2, Players!$A$1:$P$1, 0)), perc_75, VLOOKUP(D$2, Percentiles!$A$45:$I$59, 6, FALSE), perc_90, VLOOKUP(D$2, Percentiles!$A$45:$I$59, 7, FALSE), perc_95, VLOOKUP(D$2, Percentiles!$A$45:$I$59, 8, FALSE), perc_85, perc_75 + (perc_90 - perc_75) * (2/3), converted_stat, '2K_Ratings'!D161, IF(bbgm_stat &gt;= perc_95, converted_stat * 3, IF(bbgm_stat &gt;= perc_90, converted_stat * 2, IF(bbgm_stat &gt;= perc_85, converted_stat * 1.5, converted_stat)))))</f>
        <v/>
      </c>
      <c r="E161" s="30" t="str">
        <f t="array" ref="E161">IF($A161="", "", LET(bbgm_stat, INDEX(Players!$A160:$P160, MATCH(E$2, Players!$A$1:$P$1, 0)), perc_75, VLOOKUP(E$2, Percentiles!$A$45:$I$59, 6, FALSE), perc_90, VLOOKUP(E$2, Percentiles!$A$45:$I$59, 7, FALSE), perc_95, VLOOKUP(E$2, Percentiles!$A$45:$I$59, 8, FALSE), perc_85, perc_75 + (perc_90 - perc_75) * (2/3), converted_stat, '2K_Ratings'!E161, IF(bbgm_stat &gt;= perc_95, converted_stat * 3, IF(bbgm_stat &gt;= perc_90, converted_stat * 2, IF(bbgm_stat &gt;= perc_85, converted_stat * 1.5, converted_stat)))))</f>
        <v/>
      </c>
      <c r="F161" s="30" t="str">
        <f t="array" ref="F161">IF($A161="", "", LET(bbgm_stat, INDEX(Players!$A160:$P160, MATCH(F$2, Players!$A$1:$P$1, 0)), perc_75, VLOOKUP(F$2, Percentiles!$A$45:$I$59, 6, FALSE), perc_90, VLOOKUP(F$2, Percentiles!$A$45:$I$59, 7, FALSE), perc_95, VLOOKUP(F$2, Percentiles!$A$45:$I$59, 8, FALSE), perc_85, perc_75 + (perc_90 - perc_75) * (2/3), converted_stat, '2K_Ratings'!F161, IF(bbgm_stat &gt;= perc_95, converted_stat * 3, IF(bbgm_stat &gt;= perc_90, converted_stat * 2, IF(bbgm_stat &gt;= perc_85, converted_stat * 1.5, converted_stat)))))</f>
        <v/>
      </c>
      <c r="G161" s="30" t="str">
        <f t="array" ref="G161">IF($A161="", "", LET(bbgm_stat, INDEX(Players!$A160:$P160, MATCH(G$2, Players!$A$1:$P$1, 0)), perc_75, VLOOKUP(G$2, Percentiles!$A$45:$I$59, 6, FALSE), perc_90, VLOOKUP(G$2, Percentiles!$A$45:$I$59, 7, FALSE), perc_95, VLOOKUP(G$2, Percentiles!$A$45:$I$59, 8, FALSE), perc_85, perc_75 + (perc_90 - perc_75) * (2/3), converted_stat, '2K_Ratings'!G161, IF(bbgm_stat &gt;= perc_95, converted_stat * 3, IF(bbgm_stat &gt;= perc_90, converted_stat * 2, IF(bbgm_stat &gt;= perc_85, converted_stat * 1.5, converted_stat)))))</f>
        <v/>
      </c>
      <c r="H161" s="30" t="str">
        <f t="array" ref="H161">IF($A161="", "", LET(bbgm_stat, INDEX(Players!$A160:$P160, MATCH(H$2, Players!$A$1:$P$1, 0)), perc_75, VLOOKUP(H$2, Percentiles!$A$45:$I$59, 6, FALSE), perc_90, VLOOKUP(H$2, Percentiles!$A$45:$I$59, 7, FALSE), perc_95, VLOOKUP(H$2, Percentiles!$A$45:$I$59, 8, FALSE), perc_85, perc_75 + (perc_90 - perc_75) * (2/3), converted_stat, '2K_Ratings'!H161, IF(bbgm_stat &gt;= perc_95, converted_stat * 3, IF(bbgm_stat &gt;= perc_90, converted_stat * 2, IF(bbgm_stat &gt;= perc_85, converted_stat * 1.5, converted_stat)))))</f>
        <v/>
      </c>
      <c r="I161" s="30" t="str">
        <f t="array" ref="I161">IF($A161="", "", LET(bbgm_stat, INDEX(Players!$A160:$P160, MATCH(I$2, Players!$A$1:$P$1, 0)), perc_75, VLOOKUP(I$2, Percentiles!$A$45:$I$59, 6, FALSE), perc_90, VLOOKUP(I$2, Percentiles!$A$45:$I$59, 7, FALSE), perc_95, VLOOKUP(I$2, Percentiles!$A$45:$I$59, 8, FALSE), perc_85, perc_75 + (perc_90 - perc_75) * (2/3), converted_stat, '2K_Ratings'!I161, IF(bbgm_stat &gt;= perc_95, converted_stat * 3, IF(bbgm_stat &gt;= perc_90, converted_stat * 2, IF(bbgm_stat &gt;= perc_85, converted_stat * 1.5, converted_stat)))))</f>
        <v/>
      </c>
      <c r="J161" s="30" t="str">
        <f t="array" ref="J161">IF($A161="", "", LET(bbgm_stat, INDEX(Players!$A160:$P160, MATCH(J$2, Players!$A$1:$P$1, 0)), perc_75, VLOOKUP(J$2, Percentiles!$A$45:$I$59, 6, FALSE), perc_90, VLOOKUP(J$2, Percentiles!$A$45:$I$59, 7, FALSE), perc_95, VLOOKUP(J$2, Percentiles!$A$45:$I$59, 8, FALSE), perc_85, perc_75 + (perc_90 - perc_75) * (2/3), converted_stat, '2K_Ratings'!J161, IF(bbgm_stat &gt;= perc_95, converted_stat * 3, IF(bbgm_stat &gt;= perc_90, converted_stat * 2, IF(bbgm_stat &gt;= perc_85, converted_stat * 1.5, converted_stat)))))</f>
        <v/>
      </c>
      <c r="K161" s="30" t="str">
        <f t="array" ref="K161">IF($A161="", "", LET(bbgm_stat, INDEX(Players!$A160:$P160, MATCH(K$2, Players!$A$1:$P$1, 0)), perc_75, VLOOKUP(K$2, Percentiles!$A$45:$I$59, 6, FALSE), perc_90, VLOOKUP(K$2, Percentiles!$A$45:$I$59, 7, FALSE), perc_95, VLOOKUP(K$2, Percentiles!$A$45:$I$59, 8, FALSE), perc_85, perc_75 + (perc_90 - perc_75) * (2/3), converted_stat, '2K_Ratings'!K161, IF(bbgm_stat &gt;= perc_95, converted_stat * 3, IF(bbgm_stat &gt;= perc_90, converted_stat * 2, IF(bbgm_stat &gt;= perc_85, converted_stat * 1.5, converted_stat)))))</f>
        <v/>
      </c>
      <c r="L161" s="30" t="str">
        <f t="array" ref="L161">IF($A161="", "", LET(bbgm_stat, INDEX(Players!$A160:$P160, MATCH(L$2, Players!$A$1:$P$1, 0)), perc_75, VLOOKUP(L$2, Percentiles!$A$45:$I$59, 6, FALSE), perc_90, VLOOKUP(L$2, Percentiles!$A$45:$I$59, 7, FALSE), perc_95, VLOOKUP(L$2, Percentiles!$A$45:$I$59, 8, FALSE), perc_85, perc_75 + (perc_90 - perc_75) * (2/3), converted_stat, '2K_Ratings'!L161, IF(bbgm_stat &gt;= perc_95, converted_stat * 3, IF(bbgm_stat &gt;= perc_90, converted_stat * 2, IF(bbgm_stat &gt;= perc_85, converted_stat * 1.5, converted_stat)))))</f>
        <v/>
      </c>
      <c r="M161" s="30" t="str">
        <f t="array" ref="M161">IF($A161="", "", LET(bbgm_stat, INDEX(Players!$A160:$P160, MATCH(M$2, Players!$A$1:$P$1, 0)), perc_75, VLOOKUP(M$2, Percentiles!$A$45:$I$59, 6, FALSE), perc_90, VLOOKUP(M$2, Percentiles!$A$45:$I$59, 7, FALSE), perc_95, VLOOKUP(M$2, Percentiles!$A$45:$I$59, 8, FALSE), perc_85, perc_75 + (perc_90 - perc_75) * (2/3), converted_stat, '2K_Ratings'!M161, IF(bbgm_stat &gt;= perc_95, converted_stat * 3, IF(bbgm_stat &gt;= perc_90, converted_stat * 2, IF(bbgm_stat &gt;= perc_85, converted_stat * 1.5, converted_stat)))))</f>
        <v/>
      </c>
      <c r="N161" s="30" t="str">
        <f t="array" ref="N161">IF($A161="", "", LET(bbgm_stat, INDEX(Players!$A160:$P160, MATCH(N$2, Players!$A$1:$P$1, 0)), perc_75, VLOOKUP(N$2, Percentiles!$A$45:$I$59, 6, FALSE), perc_90, VLOOKUP(N$2, Percentiles!$A$45:$I$59, 7, FALSE), perc_95, VLOOKUP(N$2, Percentiles!$A$45:$I$59, 8, FALSE), perc_85, perc_75 + (perc_90 - perc_75) * (2/3), converted_stat, '2K_Ratings'!N161, IF(bbgm_stat &gt;= perc_95, converted_stat * 3, IF(bbgm_stat &gt;= perc_90, converted_stat * 2, IF(bbgm_stat &gt;= perc_85, converted_stat * 1.5, converted_stat)))))</f>
        <v/>
      </c>
      <c r="O161" s="30" t="str">
        <f t="array" ref="O161">IF($A161="", "", LET(bbgm_stat, INDEX(Players!$A160:$P160, MATCH(O$2, Players!$A$1:$P$1, 0)), perc_75, VLOOKUP(O$2, Percentiles!$A$45:$I$59, 6, FALSE), perc_90, VLOOKUP(O$2, Percentiles!$A$45:$I$59, 7, FALSE), perc_95, VLOOKUP(O$2, Percentiles!$A$45:$I$59, 8, FALSE), perc_85, perc_75 + (perc_90 - perc_75) * (2/3), converted_stat, '2K_Ratings'!O161, IF(bbgm_stat &gt;= perc_95, converted_stat * 3, IF(bbgm_stat &gt;= perc_90, converted_stat * 2, IF(bbgm_stat &gt;= perc_85, converted_stat * 1.5, converted_stat)))))</f>
        <v/>
      </c>
      <c r="P161" s="30" t="str">
        <f t="array" ref="P161">IF($A161="", "", LET(bbgm_stat, INDEX(Players!$A160:$P160, MATCH(P$2, Players!$A$1:$P$1, 0)), perc_75, VLOOKUP(P$2, Percentiles!$A$45:$I$59, 6, FALSE), perc_90, VLOOKUP(P$2, Percentiles!$A$45:$I$59, 7, FALSE), perc_95, VLOOKUP(P$2, Percentiles!$A$45:$I$59, 8, FALSE), perc_85, perc_75 + (perc_90 - perc_75) * (2/3), converted_stat, '2K_Ratings'!P161, IF(bbgm_stat &gt;= perc_95, converted_stat * 3, IF(bbgm_stat &gt;= perc_90, converted_stat * 2, IF(bbgm_stat &gt;= perc_85, converted_stat * 1.5, converted_stat)))))</f>
        <v/>
      </c>
      <c r="Q161" s="30" t="str">
        <f t="array" ref="Q161">IF($A161="", "", LET(bbgm_stat, INDEX(Players!$A160:$P160, MATCH(Q$2, Players!$A$1:$P$1, 0)), perc_75, VLOOKUP(Q$2, Percentiles!$A$45:$I$59, 6, FALSE), perc_90, VLOOKUP(Q$2, Percentiles!$A$45:$I$59, 7, FALSE), perc_95, VLOOKUP(Q$2, Percentiles!$A$45:$I$59, 8, FALSE), perc_85, perc_75 + (perc_90 - perc_75) * (2/3), converted_stat, '2K_Ratings'!Q161, IF(bbgm_stat &gt;= perc_95, converted_stat * 3, IF(bbgm_stat &gt;= perc_90, converted_stat * 2, IF(bbgm_stat &gt;= perc_85, converted_stat * 1.5, converted_stat)))))</f>
        <v/>
      </c>
      <c r="R161" s="30" t="str">
        <f t="array" ref="R161">IF($A161="", "", LET(bbgm_stat, INDEX(Players!$A160:$P160, MATCH(R$2, Players!$A$1:$P$1, 0)), perc_75, VLOOKUP(R$2, Percentiles!$A$45:$I$59, 6, FALSE), perc_90, VLOOKUP(R$2, Percentiles!$A$45:$I$59, 7, FALSE), perc_95, VLOOKUP(R$2, Percentiles!$A$45:$I$59, 8, FALSE), perc_85, perc_75 + (perc_90 - perc_75) * (2/3), converted_stat, '2K_Ratings'!R161, IF(bbgm_stat &gt;= perc_95, converted_stat * 3, IF(bbgm_stat &gt;= perc_90, converted_stat * 2, IF(bbgm_stat &gt;= perc_85, converted_stat * 1.5, converted_stat)))))</f>
        <v/>
      </c>
      <c r="S161" s="30" t="str">
        <f t="array" ref="S161">IF($A161="", "", LET(bbgm_stat, INDEX(Players!$A160:$P160, MATCH(S$2, Players!$A$1:$P$1, 0)), perc_75, VLOOKUP(S$2, Percentiles!$A$45:$I$59, 6, FALSE), perc_90, VLOOKUP(S$2, Percentiles!$A$45:$I$59, 7, FALSE), perc_95, VLOOKUP(S$2, Percentiles!$A$45:$I$59, 8, FALSE), perc_85, perc_75 + (perc_90 - perc_75) * (2/3), converted_stat, '2K_Ratings'!S161, IF(bbgm_stat &gt;= perc_95, converted_stat * 3, IF(bbgm_stat &gt;= perc_90, converted_stat * 2, IF(bbgm_stat &gt;= perc_85, converted_stat * 1.5, converted_stat)))))</f>
        <v/>
      </c>
      <c r="T161" s="30" t="str">
        <f t="array" ref="T161">IF($A161="", "", LET(bbgm_stat, INDEX(Players!$A160:$P160, MATCH(T$2, Players!$A$1:$P$1, 0)), perc_75, VLOOKUP(T$2, Percentiles!$A$45:$I$59, 6, FALSE), perc_90, VLOOKUP(T$2, Percentiles!$A$45:$I$59, 7, FALSE), perc_95, VLOOKUP(T$2, Percentiles!$A$45:$I$59, 8, FALSE), perc_85, perc_75 + (perc_90 - perc_75) * (2/3), converted_stat, '2K_Ratings'!T161, IF(bbgm_stat &gt;= perc_95, converted_stat * 3, IF(bbgm_stat &gt;= perc_90, converted_stat * 2, IF(bbgm_stat &gt;= perc_85, converted_stat * 1.5, converted_stat)))))</f>
        <v/>
      </c>
      <c r="U161" s="30" t="str">
        <f t="array" ref="U161">IF($A161="", "", LET(bbgm_stat, INDEX(Players!$A160:$P160, MATCH(U$2, Players!$A$1:$P$1, 0)), perc_75, VLOOKUP(U$2, Percentiles!$A$45:$I$59, 6, FALSE), perc_90, VLOOKUP(U$2, Percentiles!$A$45:$I$59, 7, FALSE), perc_95, VLOOKUP(U$2, Percentiles!$A$45:$I$59, 8, FALSE), perc_85, perc_75 + (perc_90 - perc_75) * (2/3), converted_stat, '2K_Ratings'!U161, IF(bbgm_stat &gt;= perc_95, converted_stat * 3, IF(bbgm_stat &gt;= perc_90, converted_stat * 2, IF(bbgm_stat &gt;= perc_85, converted_stat * 1.5, converted_stat)))))</f>
        <v/>
      </c>
      <c r="V161" s="30" t="str">
        <f t="array" ref="V161">IF($A161="", "", LET(bbgm_stat, INDEX(Players!$A160:$P160, MATCH(V$2, Players!$A$1:$P$1, 0)), perc_75, VLOOKUP(V$2, Percentiles!$A$45:$I$59, 6, FALSE), perc_90, VLOOKUP(V$2, Percentiles!$A$45:$I$59, 7, FALSE), perc_95, VLOOKUP(V$2, Percentiles!$A$45:$I$59, 8, FALSE), perc_85, perc_75 + (perc_90 - perc_75) * (2/3), converted_stat, '2K_Ratings'!V161, IF(bbgm_stat &gt;= perc_95, converted_stat * 3, IF(bbgm_stat &gt;= perc_90, converted_stat * 2, IF(bbgm_stat &gt;= perc_85, converted_stat * 1.5, converted_stat)))))</f>
        <v/>
      </c>
      <c r="W161" s="30" t="str">
        <f t="array" ref="W161">IF($A161="", "", LET(bbgm_stat, INDEX(Players!$A160:$P160, MATCH(W$2, Players!$A$1:$P$1, 0)), perc_75, VLOOKUP(W$2, Percentiles!$A$45:$I$59, 6, FALSE), perc_90, VLOOKUP(W$2, Percentiles!$A$45:$I$59, 7, FALSE), perc_95, VLOOKUP(W$2, Percentiles!$A$45:$I$59, 8, FALSE), perc_85, perc_75 + (perc_90 - perc_75) * (2/3), converted_stat, '2K_Ratings'!W161, IF(bbgm_stat &gt;= perc_95, converted_stat * 3, IF(bbgm_stat &gt;= perc_90, converted_stat * 2, IF(bbgm_stat &gt;= perc_85, converted_stat * 1.5, converted_stat)))))</f>
        <v/>
      </c>
    </row>
    <row r="162">
      <c r="A162" s="30"/>
      <c r="B162" s="30" t="str">
        <f t="array" ref="B162">IF($A162="", "", LET(bbgm_stat, INDEX(Players!$A161:$P161, MATCH(B$2, Players!$A$1:$P$1, 0)), perc_75, VLOOKUP(B$2, Percentiles!$A$45:$I$59, 6, FALSE), perc_90, VLOOKUP(B$2, Percentiles!$A$45:$I$59, 7, FALSE), perc_95, VLOOKUP(B$2, Percentiles!$A$45:$I$59, 8, FALSE), perc_85, perc_75 + (perc_90 - perc_75) * (2/3), converted_stat, '2K_Ratings'!B162, IF(bbgm_stat &gt;= perc_95, converted_stat * 3, IF(bbgm_stat &gt;= perc_90, converted_stat * 2, IF(bbgm_stat &gt;= perc_85, converted_stat * 1.5, converted_stat)))))</f>
        <v/>
      </c>
      <c r="C162" s="30" t="str">
        <f t="array" ref="C162">IF($A162="", "", LET(bbgm_stat, INDEX(Players!$A161:$P161, MATCH(C$2, Players!$A$1:$P$1, 0)), perc_75, VLOOKUP(C$2, Percentiles!$A$45:$I$59, 6, FALSE), perc_90, VLOOKUP(C$2, Percentiles!$A$45:$I$59, 7, FALSE), perc_95, VLOOKUP(C$2, Percentiles!$A$45:$I$59, 8, FALSE), perc_85, perc_75 + (perc_90 - perc_75) * (2/3), converted_stat, '2K_Ratings'!C162, IF(bbgm_stat &gt;= perc_95, converted_stat * 3, IF(bbgm_stat &gt;= perc_90, converted_stat * 2, IF(bbgm_stat &gt;= perc_85, converted_stat * 1.5, converted_stat)))))</f>
        <v/>
      </c>
      <c r="D162" s="30" t="str">
        <f t="array" ref="D162">IF($A162="", "", LET(bbgm_stat, INDEX(Players!$A161:$P161, MATCH(D$2, Players!$A$1:$P$1, 0)), perc_75, VLOOKUP(D$2, Percentiles!$A$45:$I$59, 6, FALSE), perc_90, VLOOKUP(D$2, Percentiles!$A$45:$I$59, 7, FALSE), perc_95, VLOOKUP(D$2, Percentiles!$A$45:$I$59, 8, FALSE), perc_85, perc_75 + (perc_90 - perc_75) * (2/3), converted_stat, '2K_Ratings'!D162, IF(bbgm_stat &gt;= perc_95, converted_stat * 3, IF(bbgm_stat &gt;= perc_90, converted_stat * 2, IF(bbgm_stat &gt;= perc_85, converted_stat * 1.5, converted_stat)))))</f>
        <v/>
      </c>
      <c r="E162" s="30" t="str">
        <f t="array" ref="E162">IF($A162="", "", LET(bbgm_stat, INDEX(Players!$A161:$P161, MATCH(E$2, Players!$A$1:$P$1, 0)), perc_75, VLOOKUP(E$2, Percentiles!$A$45:$I$59, 6, FALSE), perc_90, VLOOKUP(E$2, Percentiles!$A$45:$I$59, 7, FALSE), perc_95, VLOOKUP(E$2, Percentiles!$A$45:$I$59, 8, FALSE), perc_85, perc_75 + (perc_90 - perc_75) * (2/3), converted_stat, '2K_Ratings'!E162, IF(bbgm_stat &gt;= perc_95, converted_stat * 3, IF(bbgm_stat &gt;= perc_90, converted_stat * 2, IF(bbgm_stat &gt;= perc_85, converted_stat * 1.5, converted_stat)))))</f>
        <v/>
      </c>
      <c r="F162" s="30" t="str">
        <f t="array" ref="F162">IF($A162="", "", LET(bbgm_stat, INDEX(Players!$A161:$P161, MATCH(F$2, Players!$A$1:$P$1, 0)), perc_75, VLOOKUP(F$2, Percentiles!$A$45:$I$59, 6, FALSE), perc_90, VLOOKUP(F$2, Percentiles!$A$45:$I$59, 7, FALSE), perc_95, VLOOKUP(F$2, Percentiles!$A$45:$I$59, 8, FALSE), perc_85, perc_75 + (perc_90 - perc_75) * (2/3), converted_stat, '2K_Ratings'!F162, IF(bbgm_stat &gt;= perc_95, converted_stat * 3, IF(bbgm_stat &gt;= perc_90, converted_stat * 2, IF(bbgm_stat &gt;= perc_85, converted_stat * 1.5, converted_stat)))))</f>
        <v/>
      </c>
      <c r="G162" s="30" t="str">
        <f t="array" ref="G162">IF($A162="", "", LET(bbgm_stat, INDEX(Players!$A161:$P161, MATCH(G$2, Players!$A$1:$P$1, 0)), perc_75, VLOOKUP(G$2, Percentiles!$A$45:$I$59, 6, FALSE), perc_90, VLOOKUP(G$2, Percentiles!$A$45:$I$59, 7, FALSE), perc_95, VLOOKUP(G$2, Percentiles!$A$45:$I$59, 8, FALSE), perc_85, perc_75 + (perc_90 - perc_75) * (2/3), converted_stat, '2K_Ratings'!G162, IF(bbgm_stat &gt;= perc_95, converted_stat * 3, IF(bbgm_stat &gt;= perc_90, converted_stat * 2, IF(bbgm_stat &gt;= perc_85, converted_stat * 1.5, converted_stat)))))</f>
        <v/>
      </c>
      <c r="H162" s="30" t="str">
        <f t="array" ref="H162">IF($A162="", "", LET(bbgm_stat, INDEX(Players!$A161:$P161, MATCH(H$2, Players!$A$1:$P$1, 0)), perc_75, VLOOKUP(H$2, Percentiles!$A$45:$I$59, 6, FALSE), perc_90, VLOOKUP(H$2, Percentiles!$A$45:$I$59, 7, FALSE), perc_95, VLOOKUP(H$2, Percentiles!$A$45:$I$59, 8, FALSE), perc_85, perc_75 + (perc_90 - perc_75) * (2/3), converted_stat, '2K_Ratings'!H162, IF(bbgm_stat &gt;= perc_95, converted_stat * 3, IF(bbgm_stat &gt;= perc_90, converted_stat * 2, IF(bbgm_stat &gt;= perc_85, converted_stat * 1.5, converted_stat)))))</f>
        <v/>
      </c>
      <c r="I162" s="30" t="str">
        <f t="array" ref="I162">IF($A162="", "", LET(bbgm_stat, INDEX(Players!$A161:$P161, MATCH(I$2, Players!$A$1:$P$1, 0)), perc_75, VLOOKUP(I$2, Percentiles!$A$45:$I$59, 6, FALSE), perc_90, VLOOKUP(I$2, Percentiles!$A$45:$I$59, 7, FALSE), perc_95, VLOOKUP(I$2, Percentiles!$A$45:$I$59, 8, FALSE), perc_85, perc_75 + (perc_90 - perc_75) * (2/3), converted_stat, '2K_Ratings'!I162, IF(bbgm_stat &gt;= perc_95, converted_stat * 3, IF(bbgm_stat &gt;= perc_90, converted_stat * 2, IF(bbgm_stat &gt;= perc_85, converted_stat * 1.5, converted_stat)))))</f>
        <v/>
      </c>
      <c r="J162" s="30" t="str">
        <f t="array" ref="J162">IF($A162="", "", LET(bbgm_stat, INDEX(Players!$A161:$P161, MATCH(J$2, Players!$A$1:$P$1, 0)), perc_75, VLOOKUP(J$2, Percentiles!$A$45:$I$59, 6, FALSE), perc_90, VLOOKUP(J$2, Percentiles!$A$45:$I$59, 7, FALSE), perc_95, VLOOKUP(J$2, Percentiles!$A$45:$I$59, 8, FALSE), perc_85, perc_75 + (perc_90 - perc_75) * (2/3), converted_stat, '2K_Ratings'!J162, IF(bbgm_stat &gt;= perc_95, converted_stat * 3, IF(bbgm_stat &gt;= perc_90, converted_stat * 2, IF(bbgm_stat &gt;= perc_85, converted_stat * 1.5, converted_stat)))))</f>
        <v/>
      </c>
      <c r="K162" s="30" t="str">
        <f t="array" ref="K162">IF($A162="", "", LET(bbgm_stat, INDEX(Players!$A161:$P161, MATCH(K$2, Players!$A$1:$P$1, 0)), perc_75, VLOOKUP(K$2, Percentiles!$A$45:$I$59, 6, FALSE), perc_90, VLOOKUP(K$2, Percentiles!$A$45:$I$59, 7, FALSE), perc_95, VLOOKUP(K$2, Percentiles!$A$45:$I$59, 8, FALSE), perc_85, perc_75 + (perc_90 - perc_75) * (2/3), converted_stat, '2K_Ratings'!K162, IF(bbgm_stat &gt;= perc_95, converted_stat * 3, IF(bbgm_stat &gt;= perc_90, converted_stat * 2, IF(bbgm_stat &gt;= perc_85, converted_stat * 1.5, converted_stat)))))</f>
        <v/>
      </c>
      <c r="L162" s="30" t="str">
        <f t="array" ref="L162">IF($A162="", "", LET(bbgm_stat, INDEX(Players!$A161:$P161, MATCH(L$2, Players!$A$1:$P$1, 0)), perc_75, VLOOKUP(L$2, Percentiles!$A$45:$I$59, 6, FALSE), perc_90, VLOOKUP(L$2, Percentiles!$A$45:$I$59, 7, FALSE), perc_95, VLOOKUP(L$2, Percentiles!$A$45:$I$59, 8, FALSE), perc_85, perc_75 + (perc_90 - perc_75) * (2/3), converted_stat, '2K_Ratings'!L162, IF(bbgm_stat &gt;= perc_95, converted_stat * 3, IF(bbgm_stat &gt;= perc_90, converted_stat * 2, IF(bbgm_stat &gt;= perc_85, converted_stat * 1.5, converted_stat)))))</f>
        <v/>
      </c>
      <c r="M162" s="30" t="str">
        <f t="array" ref="M162">IF($A162="", "", LET(bbgm_stat, INDEX(Players!$A161:$P161, MATCH(M$2, Players!$A$1:$P$1, 0)), perc_75, VLOOKUP(M$2, Percentiles!$A$45:$I$59, 6, FALSE), perc_90, VLOOKUP(M$2, Percentiles!$A$45:$I$59, 7, FALSE), perc_95, VLOOKUP(M$2, Percentiles!$A$45:$I$59, 8, FALSE), perc_85, perc_75 + (perc_90 - perc_75) * (2/3), converted_stat, '2K_Ratings'!M162, IF(bbgm_stat &gt;= perc_95, converted_stat * 3, IF(bbgm_stat &gt;= perc_90, converted_stat * 2, IF(bbgm_stat &gt;= perc_85, converted_stat * 1.5, converted_stat)))))</f>
        <v/>
      </c>
      <c r="N162" s="30" t="str">
        <f t="array" ref="N162">IF($A162="", "", LET(bbgm_stat, INDEX(Players!$A161:$P161, MATCH(N$2, Players!$A$1:$P$1, 0)), perc_75, VLOOKUP(N$2, Percentiles!$A$45:$I$59, 6, FALSE), perc_90, VLOOKUP(N$2, Percentiles!$A$45:$I$59, 7, FALSE), perc_95, VLOOKUP(N$2, Percentiles!$A$45:$I$59, 8, FALSE), perc_85, perc_75 + (perc_90 - perc_75) * (2/3), converted_stat, '2K_Ratings'!N162, IF(bbgm_stat &gt;= perc_95, converted_stat * 3, IF(bbgm_stat &gt;= perc_90, converted_stat * 2, IF(bbgm_stat &gt;= perc_85, converted_stat * 1.5, converted_stat)))))</f>
        <v/>
      </c>
      <c r="O162" s="30" t="str">
        <f t="array" ref="O162">IF($A162="", "", LET(bbgm_stat, INDEX(Players!$A161:$P161, MATCH(O$2, Players!$A$1:$P$1, 0)), perc_75, VLOOKUP(O$2, Percentiles!$A$45:$I$59, 6, FALSE), perc_90, VLOOKUP(O$2, Percentiles!$A$45:$I$59, 7, FALSE), perc_95, VLOOKUP(O$2, Percentiles!$A$45:$I$59, 8, FALSE), perc_85, perc_75 + (perc_90 - perc_75) * (2/3), converted_stat, '2K_Ratings'!O162, IF(bbgm_stat &gt;= perc_95, converted_stat * 3, IF(bbgm_stat &gt;= perc_90, converted_stat * 2, IF(bbgm_stat &gt;= perc_85, converted_stat * 1.5, converted_stat)))))</f>
        <v/>
      </c>
      <c r="P162" s="30" t="str">
        <f t="array" ref="P162">IF($A162="", "", LET(bbgm_stat, INDEX(Players!$A161:$P161, MATCH(P$2, Players!$A$1:$P$1, 0)), perc_75, VLOOKUP(P$2, Percentiles!$A$45:$I$59, 6, FALSE), perc_90, VLOOKUP(P$2, Percentiles!$A$45:$I$59, 7, FALSE), perc_95, VLOOKUP(P$2, Percentiles!$A$45:$I$59, 8, FALSE), perc_85, perc_75 + (perc_90 - perc_75) * (2/3), converted_stat, '2K_Ratings'!P162, IF(bbgm_stat &gt;= perc_95, converted_stat * 3, IF(bbgm_stat &gt;= perc_90, converted_stat * 2, IF(bbgm_stat &gt;= perc_85, converted_stat * 1.5, converted_stat)))))</f>
        <v/>
      </c>
      <c r="Q162" s="30" t="str">
        <f t="array" ref="Q162">IF($A162="", "", LET(bbgm_stat, INDEX(Players!$A161:$P161, MATCH(Q$2, Players!$A$1:$P$1, 0)), perc_75, VLOOKUP(Q$2, Percentiles!$A$45:$I$59, 6, FALSE), perc_90, VLOOKUP(Q$2, Percentiles!$A$45:$I$59, 7, FALSE), perc_95, VLOOKUP(Q$2, Percentiles!$A$45:$I$59, 8, FALSE), perc_85, perc_75 + (perc_90 - perc_75) * (2/3), converted_stat, '2K_Ratings'!Q162, IF(bbgm_stat &gt;= perc_95, converted_stat * 3, IF(bbgm_stat &gt;= perc_90, converted_stat * 2, IF(bbgm_stat &gt;= perc_85, converted_stat * 1.5, converted_stat)))))</f>
        <v/>
      </c>
      <c r="R162" s="30" t="str">
        <f t="array" ref="R162">IF($A162="", "", LET(bbgm_stat, INDEX(Players!$A161:$P161, MATCH(R$2, Players!$A$1:$P$1, 0)), perc_75, VLOOKUP(R$2, Percentiles!$A$45:$I$59, 6, FALSE), perc_90, VLOOKUP(R$2, Percentiles!$A$45:$I$59, 7, FALSE), perc_95, VLOOKUP(R$2, Percentiles!$A$45:$I$59, 8, FALSE), perc_85, perc_75 + (perc_90 - perc_75) * (2/3), converted_stat, '2K_Ratings'!R162, IF(bbgm_stat &gt;= perc_95, converted_stat * 3, IF(bbgm_stat &gt;= perc_90, converted_stat * 2, IF(bbgm_stat &gt;= perc_85, converted_stat * 1.5, converted_stat)))))</f>
        <v/>
      </c>
      <c r="S162" s="30" t="str">
        <f t="array" ref="S162">IF($A162="", "", LET(bbgm_stat, INDEX(Players!$A161:$P161, MATCH(S$2, Players!$A$1:$P$1, 0)), perc_75, VLOOKUP(S$2, Percentiles!$A$45:$I$59, 6, FALSE), perc_90, VLOOKUP(S$2, Percentiles!$A$45:$I$59, 7, FALSE), perc_95, VLOOKUP(S$2, Percentiles!$A$45:$I$59, 8, FALSE), perc_85, perc_75 + (perc_90 - perc_75) * (2/3), converted_stat, '2K_Ratings'!S162, IF(bbgm_stat &gt;= perc_95, converted_stat * 3, IF(bbgm_stat &gt;= perc_90, converted_stat * 2, IF(bbgm_stat &gt;= perc_85, converted_stat * 1.5, converted_stat)))))</f>
        <v/>
      </c>
      <c r="T162" s="30" t="str">
        <f t="array" ref="T162">IF($A162="", "", LET(bbgm_stat, INDEX(Players!$A161:$P161, MATCH(T$2, Players!$A$1:$P$1, 0)), perc_75, VLOOKUP(T$2, Percentiles!$A$45:$I$59, 6, FALSE), perc_90, VLOOKUP(T$2, Percentiles!$A$45:$I$59, 7, FALSE), perc_95, VLOOKUP(T$2, Percentiles!$A$45:$I$59, 8, FALSE), perc_85, perc_75 + (perc_90 - perc_75) * (2/3), converted_stat, '2K_Ratings'!T162, IF(bbgm_stat &gt;= perc_95, converted_stat * 3, IF(bbgm_stat &gt;= perc_90, converted_stat * 2, IF(bbgm_stat &gt;= perc_85, converted_stat * 1.5, converted_stat)))))</f>
        <v/>
      </c>
      <c r="U162" s="30" t="str">
        <f t="array" ref="U162">IF($A162="", "", LET(bbgm_stat, INDEX(Players!$A161:$P161, MATCH(U$2, Players!$A$1:$P$1, 0)), perc_75, VLOOKUP(U$2, Percentiles!$A$45:$I$59, 6, FALSE), perc_90, VLOOKUP(U$2, Percentiles!$A$45:$I$59, 7, FALSE), perc_95, VLOOKUP(U$2, Percentiles!$A$45:$I$59, 8, FALSE), perc_85, perc_75 + (perc_90 - perc_75) * (2/3), converted_stat, '2K_Ratings'!U162, IF(bbgm_stat &gt;= perc_95, converted_stat * 3, IF(bbgm_stat &gt;= perc_90, converted_stat * 2, IF(bbgm_stat &gt;= perc_85, converted_stat * 1.5, converted_stat)))))</f>
        <v/>
      </c>
      <c r="V162" s="30" t="str">
        <f t="array" ref="V162">IF($A162="", "", LET(bbgm_stat, INDEX(Players!$A161:$P161, MATCH(V$2, Players!$A$1:$P$1, 0)), perc_75, VLOOKUP(V$2, Percentiles!$A$45:$I$59, 6, FALSE), perc_90, VLOOKUP(V$2, Percentiles!$A$45:$I$59, 7, FALSE), perc_95, VLOOKUP(V$2, Percentiles!$A$45:$I$59, 8, FALSE), perc_85, perc_75 + (perc_90 - perc_75) * (2/3), converted_stat, '2K_Ratings'!V162, IF(bbgm_stat &gt;= perc_95, converted_stat * 3, IF(bbgm_stat &gt;= perc_90, converted_stat * 2, IF(bbgm_stat &gt;= perc_85, converted_stat * 1.5, converted_stat)))))</f>
        <v/>
      </c>
      <c r="W162" s="30" t="str">
        <f t="array" ref="W162">IF($A162="", "", LET(bbgm_stat, INDEX(Players!$A161:$P161, MATCH(W$2, Players!$A$1:$P$1, 0)), perc_75, VLOOKUP(W$2, Percentiles!$A$45:$I$59, 6, FALSE), perc_90, VLOOKUP(W$2, Percentiles!$A$45:$I$59, 7, FALSE), perc_95, VLOOKUP(W$2, Percentiles!$A$45:$I$59, 8, FALSE), perc_85, perc_75 + (perc_90 - perc_75) * (2/3), converted_stat, '2K_Ratings'!W162, IF(bbgm_stat &gt;= perc_95, converted_stat * 3, IF(bbgm_stat &gt;= perc_90, converted_stat * 2, IF(bbgm_stat &gt;= perc_85, converted_stat * 1.5, converted_stat)))))</f>
        <v/>
      </c>
    </row>
    <row r="163">
      <c r="A163" s="30"/>
      <c r="B163" s="30" t="str">
        <f t="array" ref="B163">IF($A163="", "", LET(bbgm_stat, INDEX(Players!$A162:$P162, MATCH(B$2, Players!$A$1:$P$1, 0)), perc_75, VLOOKUP(B$2, Percentiles!$A$45:$I$59, 6, FALSE), perc_90, VLOOKUP(B$2, Percentiles!$A$45:$I$59, 7, FALSE), perc_95, VLOOKUP(B$2, Percentiles!$A$45:$I$59, 8, FALSE), perc_85, perc_75 + (perc_90 - perc_75) * (2/3), converted_stat, '2K_Ratings'!B163, IF(bbgm_stat &gt;= perc_95, converted_stat * 3, IF(bbgm_stat &gt;= perc_90, converted_stat * 2, IF(bbgm_stat &gt;= perc_85, converted_stat * 1.5, converted_stat)))))</f>
        <v/>
      </c>
      <c r="C163" s="30" t="str">
        <f t="array" ref="C163">IF($A163="", "", LET(bbgm_stat, INDEX(Players!$A162:$P162, MATCH(C$2, Players!$A$1:$P$1, 0)), perc_75, VLOOKUP(C$2, Percentiles!$A$45:$I$59, 6, FALSE), perc_90, VLOOKUP(C$2, Percentiles!$A$45:$I$59, 7, FALSE), perc_95, VLOOKUP(C$2, Percentiles!$A$45:$I$59, 8, FALSE), perc_85, perc_75 + (perc_90 - perc_75) * (2/3), converted_stat, '2K_Ratings'!C163, IF(bbgm_stat &gt;= perc_95, converted_stat * 3, IF(bbgm_stat &gt;= perc_90, converted_stat * 2, IF(bbgm_stat &gt;= perc_85, converted_stat * 1.5, converted_stat)))))</f>
        <v/>
      </c>
      <c r="D163" s="30" t="str">
        <f t="array" ref="D163">IF($A163="", "", LET(bbgm_stat, INDEX(Players!$A162:$P162, MATCH(D$2, Players!$A$1:$P$1, 0)), perc_75, VLOOKUP(D$2, Percentiles!$A$45:$I$59, 6, FALSE), perc_90, VLOOKUP(D$2, Percentiles!$A$45:$I$59, 7, FALSE), perc_95, VLOOKUP(D$2, Percentiles!$A$45:$I$59, 8, FALSE), perc_85, perc_75 + (perc_90 - perc_75) * (2/3), converted_stat, '2K_Ratings'!D163, IF(bbgm_stat &gt;= perc_95, converted_stat * 3, IF(bbgm_stat &gt;= perc_90, converted_stat * 2, IF(bbgm_stat &gt;= perc_85, converted_stat * 1.5, converted_stat)))))</f>
        <v/>
      </c>
      <c r="E163" s="30" t="str">
        <f t="array" ref="E163">IF($A163="", "", LET(bbgm_stat, INDEX(Players!$A162:$P162, MATCH(E$2, Players!$A$1:$P$1, 0)), perc_75, VLOOKUP(E$2, Percentiles!$A$45:$I$59, 6, FALSE), perc_90, VLOOKUP(E$2, Percentiles!$A$45:$I$59, 7, FALSE), perc_95, VLOOKUP(E$2, Percentiles!$A$45:$I$59, 8, FALSE), perc_85, perc_75 + (perc_90 - perc_75) * (2/3), converted_stat, '2K_Ratings'!E163, IF(bbgm_stat &gt;= perc_95, converted_stat * 3, IF(bbgm_stat &gt;= perc_90, converted_stat * 2, IF(bbgm_stat &gt;= perc_85, converted_stat * 1.5, converted_stat)))))</f>
        <v/>
      </c>
      <c r="F163" s="30" t="str">
        <f t="array" ref="F163">IF($A163="", "", LET(bbgm_stat, INDEX(Players!$A162:$P162, MATCH(F$2, Players!$A$1:$P$1, 0)), perc_75, VLOOKUP(F$2, Percentiles!$A$45:$I$59, 6, FALSE), perc_90, VLOOKUP(F$2, Percentiles!$A$45:$I$59, 7, FALSE), perc_95, VLOOKUP(F$2, Percentiles!$A$45:$I$59, 8, FALSE), perc_85, perc_75 + (perc_90 - perc_75) * (2/3), converted_stat, '2K_Ratings'!F163, IF(bbgm_stat &gt;= perc_95, converted_stat * 3, IF(bbgm_stat &gt;= perc_90, converted_stat * 2, IF(bbgm_stat &gt;= perc_85, converted_stat * 1.5, converted_stat)))))</f>
        <v/>
      </c>
      <c r="G163" s="30" t="str">
        <f t="array" ref="G163">IF($A163="", "", LET(bbgm_stat, INDEX(Players!$A162:$P162, MATCH(G$2, Players!$A$1:$P$1, 0)), perc_75, VLOOKUP(G$2, Percentiles!$A$45:$I$59, 6, FALSE), perc_90, VLOOKUP(G$2, Percentiles!$A$45:$I$59, 7, FALSE), perc_95, VLOOKUP(G$2, Percentiles!$A$45:$I$59, 8, FALSE), perc_85, perc_75 + (perc_90 - perc_75) * (2/3), converted_stat, '2K_Ratings'!G163, IF(bbgm_stat &gt;= perc_95, converted_stat * 3, IF(bbgm_stat &gt;= perc_90, converted_stat * 2, IF(bbgm_stat &gt;= perc_85, converted_stat * 1.5, converted_stat)))))</f>
        <v/>
      </c>
      <c r="H163" s="30" t="str">
        <f t="array" ref="H163">IF($A163="", "", LET(bbgm_stat, INDEX(Players!$A162:$P162, MATCH(H$2, Players!$A$1:$P$1, 0)), perc_75, VLOOKUP(H$2, Percentiles!$A$45:$I$59, 6, FALSE), perc_90, VLOOKUP(H$2, Percentiles!$A$45:$I$59, 7, FALSE), perc_95, VLOOKUP(H$2, Percentiles!$A$45:$I$59, 8, FALSE), perc_85, perc_75 + (perc_90 - perc_75) * (2/3), converted_stat, '2K_Ratings'!H163, IF(bbgm_stat &gt;= perc_95, converted_stat * 3, IF(bbgm_stat &gt;= perc_90, converted_stat * 2, IF(bbgm_stat &gt;= perc_85, converted_stat * 1.5, converted_stat)))))</f>
        <v/>
      </c>
      <c r="I163" s="30" t="str">
        <f t="array" ref="I163">IF($A163="", "", LET(bbgm_stat, INDEX(Players!$A162:$P162, MATCH(I$2, Players!$A$1:$P$1, 0)), perc_75, VLOOKUP(I$2, Percentiles!$A$45:$I$59, 6, FALSE), perc_90, VLOOKUP(I$2, Percentiles!$A$45:$I$59, 7, FALSE), perc_95, VLOOKUP(I$2, Percentiles!$A$45:$I$59, 8, FALSE), perc_85, perc_75 + (perc_90 - perc_75) * (2/3), converted_stat, '2K_Ratings'!I163, IF(bbgm_stat &gt;= perc_95, converted_stat * 3, IF(bbgm_stat &gt;= perc_90, converted_stat * 2, IF(bbgm_stat &gt;= perc_85, converted_stat * 1.5, converted_stat)))))</f>
        <v/>
      </c>
      <c r="J163" s="30" t="str">
        <f t="array" ref="J163">IF($A163="", "", LET(bbgm_stat, INDEX(Players!$A162:$P162, MATCH(J$2, Players!$A$1:$P$1, 0)), perc_75, VLOOKUP(J$2, Percentiles!$A$45:$I$59, 6, FALSE), perc_90, VLOOKUP(J$2, Percentiles!$A$45:$I$59, 7, FALSE), perc_95, VLOOKUP(J$2, Percentiles!$A$45:$I$59, 8, FALSE), perc_85, perc_75 + (perc_90 - perc_75) * (2/3), converted_stat, '2K_Ratings'!J163, IF(bbgm_stat &gt;= perc_95, converted_stat * 3, IF(bbgm_stat &gt;= perc_90, converted_stat * 2, IF(bbgm_stat &gt;= perc_85, converted_stat * 1.5, converted_stat)))))</f>
        <v/>
      </c>
      <c r="K163" s="30" t="str">
        <f t="array" ref="K163">IF($A163="", "", LET(bbgm_stat, INDEX(Players!$A162:$P162, MATCH(K$2, Players!$A$1:$P$1, 0)), perc_75, VLOOKUP(K$2, Percentiles!$A$45:$I$59, 6, FALSE), perc_90, VLOOKUP(K$2, Percentiles!$A$45:$I$59, 7, FALSE), perc_95, VLOOKUP(K$2, Percentiles!$A$45:$I$59, 8, FALSE), perc_85, perc_75 + (perc_90 - perc_75) * (2/3), converted_stat, '2K_Ratings'!K163, IF(bbgm_stat &gt;= perc_95, converted_stat * 3, IF(bbgm_stat &gt;= perc_90, converted_stat * 2, IF(bbgm_stat &gt;= perc_85, converted_stat * 1.5, converted_stat)))))</f>
        <v/>
      </c>
      <c r="L163" s="30" t="str">
        <f t="array" ref="L163">IF($A163="", "", LET(bbgm_stat, INDEX(Players!$A162:$P162, MATCH(L$2, Players!$A$1:$P$1, 0)), perc_75, VLOOKUP(L$2, Percentiles!$A$45:$I$59, 6, FALSE), perc_90, VLOOKUP(L$2, Percentiles!$A$45:$I$59, 7, FALSE), perc_95, VLOOKUP(L$2, Percentiles!$A$45:$I$59, 8, FALSE), perc_85, perc_75 + (perc_90 - perc_75) * (2/3), converted_stat, '2K_Ratings'!L163, IF(bbgm_stat &gt;= perc_95, converted_stat * 3, IF(bbgm_stat &gt;= perc_90, converted_stat * 2, IF(bbgm_stat &gt;= perc_85, converted_stat * 1.5, converted_stat)))))</f>
        <v/>
      </c>
      <c r="M163" s="30" t="str">
        <f t="array" ref="M163">IF($A163="", "", LET(bbgm_stat, INDEX(Players!$A162:$P162, MATCH(M$2, Players!$A$1:$P$1, 0)), perc_75, VLOOKUP(M$2, Percentiles!$A$45:$I$59, 6, FALSE), perc_90, VLOOKUP(M$2, Percentiles!$A$45:$I$59, 7, FALSE), perc_95, VLOOKUP(M$2, Percentiles!$A$45:$I$59, 8, FALSE), perc_85, perc_75 + (perc_90 - perc_75) * (2/3), converted_stat, '2K_Ratings'!M163, IF(bbgm_stat &gt;= perc_95, converted_stat * 3, IF(bbgm_stat &gt;= perc_90, converted_stat * 2, IF(bbgm_stat &gt;= perc_85, converted_stat * 1.5, converted_stat)))))</f>
        <v/>
      </c>
      <c r="N163" s="30" t="str">
        <f t="array" ref="N163">IF($A163="", "", LET(bbgm_stat, INDEX(Players!$A162:$P162, MATCH(N$2, Players!$A$1:$P$1, 0)), perc_75, VLOOKUP(N$2, Percentiles!$A$45:$I$59, 6, FALSE), perc_90, VLOOKUP(N$2, Percentiles!$A$45:$I$59, 7, FALSE), perc_95, VLOOKUP(N$2, Percentiles!$A$45:$I$59, 8, FALSE), perc_85, perc_75 + (perc_90 - perc_75) * (2/3), converted_stat, '2K_Ratings'!N163, IF(bbgm_stat &gt;= perc_95, converted_stat * 3, IF(bbgm_stat &gt;= perc_90, converted_stat * 2, IF(bbgm_stat &gt;= perc_85, converted_stat * 1.5, converted_stat)))))</f>
        <v/>
      </c>
      <c r="O163" s="30" t="str">
        <f t="array" ref="O163">IF($A163="", "", LET(bbgm_stat, INDEX(Players!$A162:$P162, MATCH(O$2, Players!$A$1:$P$1, 0)), perc_75, VLOOKUP(O$2, Percentiles!$A$45:$I$59, 6, FALSE), perc_90, VLOOKUP(O$2, Percentiles!$A$45:$I$59, 7, FALSE), perc_95, VLOOKUP(O$2, Percentiles!$A$45:$I$59, 8, FALSE), perc_85, perc_75 + (perc_90 - perc_75) * (2/3), converted_stat, '2K_Ratings'!O163, IF(bbgm_stat &gt;= perc_95, converted_stat * 3, IF(bbgm_stat &gt;= perc_90, converted_stat * 2, IF(bbgm_stat &gt;= perc_85, converted_stat * 1.5, converted_stat)))))</f>
        <v/>
      </c>
      <c r="P163" s="30" t="str">
        <f t="array" ref="P163">IF($A163="", "", LET(bbgm_stat, INDEX(Players!$A162:$P162, MATCH(P$2, Players!$A$1:$P$1, 0)), perc_75, VLOOKUP(P$2, Percentiles!$A$45:$I$59, 6, FALSE), perc_90, VLOOKUP(P$2, Percentiles!$A$45:$I$59, 7, FALSE), perc_95, VLOOKUP(P$2, Percentiles!$A$45:$I$59, 8, FALSE), perc_85, perc_75 + (perc_90 - perc_75) * (2/3), converted_stat, '2K_Ratings'!P163, IF(bbgm_stat &gt;= perc_95, converted_stat * 3, IF(bbgm_stat &gt;= perc_90, converted_stat * 2, IF(bbgm_stat &gt;= perc_85, converted_stat * 1.5, converted_stat)))))</f>
        <v/>
      </c>
      <c r="Q163" s="30" t="str">
        <f t="array" ref="Q163">IF($A163="", "", LET(bbgm_stat, INDEX(Players!$A162:$P162, MATCH(Q$2, Players!$A$1:$P$1, 0)), perc_75, VLOOKUP(Q$2, Percentiles!$A$45:$I$59, 6, FALSE), perc_90, VLOOKUP(Q$2, Percentiles!$A$45:$I$59, 7, FALSE), perc_95, VLOOKUP(Q$2, Percentiles!$A$45:$I$59, 8, FALSE), perc_85, perc_75 + (perc_90 - perc_75) * (2/3), converted_stat, '2K_Ratings'!Q163, IF(bbgm_stat &gt;= perc_95, converted_stat * 3, IF(bbgm_stat &gt;= perc_90, converted_stat * 2, IF(bbgm_stat &gt;= perc_85, converted_stat * 1.5, converted_stat)))))</f>
        <v/>
      </c>
      <c r="R163" s="30" t="str">
        <f t="array" ref="R163">IF($A163="", "", LET(bbgm_stat, INDEX(Players!$A162:$P162, MATCH(R$2, Players!$A$1:$P$1, 0)), perc_75, VLOOKUP(R$2, Percentiles!$A$45:$I$59, 6, FALSE), perc_90, VLOOKUP(R$2, Percentiles!$A$45:$I$59, 7, FALSE), perc_95, VLOOKUP(R$2, Percentiles!$A$45:$I$59, 8, FALSE), perc_85, perc_75 + (perc_90 - perc_75) * (2/3), converted_stat, '2K_Ratings'!R163, IF(bbgm_stat &gt;= perc_95, converted_stat * 3, IF(bbgm_stat &gt;= perc_90, converted_stat * 2, IF(bbgm_stat &gt;= perc_85, converted_stat * 1.5, converted_stat)))))</f>
        <v/>
      </c>
      <c r="S163" s="30" t="str">
        <f t="array" ref="S163">IF($A163="", "", LET(bbgm_stat, INDEX(Players!$A162:$P162, MATCH(S$2, Players!$A$1:$P$1, 0)), perc_75, VLOOKUP(S$2, Percentiles!$A$45:$I$59, 6, FALSE), perc_90, VLOOKUP(S$2, Percentiles!$A$45:$I$59, 7, FALSE), perc_95, VLOOKUP(S$2, Percentiles!$A$45:$I$59, 8, FALSE), perc_85, perc_75 + (perc_90 - perc_75) * (2/3), converted_stat, '2K_Ratings'!S163, IF(bbgm_stat &gt;= perc_95, converted_stat * 3, IF(bbgm_stat &gt;= perc_90, converted_stat * 2, IF(bbgm_stat &gt;= perc_85, converted_stat * 1.5, converted_stat)))))</f>
        <v/>
      </c>
      <c r="T163" s="30" t="str">
        <f t="array" ref="T163">IF($A163="", "", LET(bbgm_stat, INDEX(Players!$A162:$P162, MATCH(T$2, Players!$A$1:$P$1, 0)), perc_75, VLOOKUP(T$2, Percentiles!$A$45:$I$59, 6, FALSE), perc_90, VLOOKUP(T$2, Percentiles!$A$45:$I$59, 7, FALSE), perc_95, VLOOKUP(T$2, Percentiles!$A$45:$I$59, 8, FALSE), perc_85, perc_75 + (perc_90 - perc_75) * (2/3), converted_stat, '2K_Ratings'!T163, IF(bbgm_stat &gt;= perc_95, converted_stat * 3, IF(bbgm_stat &gt;= perc_90, converted_stat * 2, IF(bbgm_stat &gt;= perc_85, converted_stat * 1.5, converted_stat)))))</f>
        <v/>
      </c>
      <c r="U163" s="30" t="str">
        <f t="array" ref="U163">IF($A163="", "", LET(bbgm_stat, INDEX(Players!$A162:$P162, MATCH(U$2, Players!$A$1:$P$1, 0)), perc_75, VLOOKUP(U$2, Percentiles!$A$45:$I$59, 6, FALSE), perc_90, VLOOKUP(U$2, Percentiles!$A$45:$I$59, 7, FALSE), perc_95, VLOOKUP(U$2, Percentiles!$A$45:$I$59, 8, FALSE), perc_85, perc_75 + (perc_90 - perc_75) * (2/3), converted_stat, '2K_Ratings'!U163, IF(bbgm_stat &gt;= perc_95, converted_stat * 3, IF(bbgm_stat &gt;= perc_90, converted_stat * 2, IF(bbgm_stat &gt;= perc_85, converted_stat * 1.5, converted_stat)))))</f>
        <v/>
      </c>
      <c r="V163" s="30" t="str">
        <f t="array" ref="V163">IF($A163="", "", LET(bbgm_stat, INDEX(Players!$A162:$P162, MATCH(V$2, Players!$A$1:$P$1, 0)), perc_75, VLOOKUP(V$2, Percentiles!$A$45:$I$59, 6, FALSE), perc_90, VLOOKUP(V$2, Percentiles!$A$45:$I$59, 7, FALSE), perc_95, VLOOKUP(V$2, Percentiles!$A$45:$I$59, 8, FALSE), perc_85, perc_75 + (perc_90 - perc_75) * (2/3), converted_stat, '2K_Ratings'!V163, IF(bbgm_stat &gt;= perc_95, converted_stat * 3, IF(bbgm_stat &gt;= perc_90, converted_stat * 2, IF(bbgm_stat &gt;= perc_85, converted_stat * 1.5, converted_stat)))))</f>
        <v/>
      </c>
      <c r="W163" s="30" t="str">
        <f t="array" ref="W163">IF($A163="", "", LET(bbgm_stat, INDEX(Players!$A162:$P162, MATCH(W$2, Players!$A$1:$P$1, 0)), perc_75, VLOOKUP(W$2, Percentiles!$A$45:$I$59, 6, FALSE), perc_90, VLOOKUP(W$2, Percentiles!$A$45:$I$59, 7, FALSE), perc_95, VLOOKUP(W$2, Percentiles!$A$45:$I$59, 8, FALSE), perc_85, perc_75 + (perc_90 - perc_75) * (2/3), converted_stat, '2K_Ratings'!W163, IF(bbgm_stat &gt;= perc_95, converted_stat * 3, IF(bbgm_stat &gt;= perc_90, converted_stat * 2, IF(bbgm_stat &gt;= perc_85, converted_stat * 1.5, converted_stat)))))</f>
        <v/>
      </c>
    </row>
    <row r="164">
      <c r="A164" s="30"/>
      <c r="B164" s="30" t="str">
        <f t="array" ref="B164">IF($A164="", "", LET(bbgm_stat, INDEX(Players!$A163:$P163, MATCH(B$2, Players!$A$1:$P$1, 0)), perc_75, VLOOKUP(B$2, Percentiles!$A$45:$I$59, 6, FALSE), perc_90, VLOOKUP(B$2, Percentiles!$A$45:$I$59, 7, FALSE), perc_95, VLOOKUP(B$2, Percentiles!$A$45:$I$59, 8, FALSE), perc_85, perc_75 + (perc_90 - perc_75) * (2/3), converted_stat, '2K_Ratings'!B164, IF(bbgm_stat &gt;= perc_95, converted_stat * 3, IF(bbgm_stat &gt;= perc_90, converted_stat * 2, IF(bbgm_stat &gt;= perc_85, converted_stat * 1.5, converted_stat)))))</f>
        <v/>
      </c>
      <c r="C164" s="30" t="str">
        <f t="array" ref="C164">IF($A164="", "", LET(bbgm_stat, INDEX(Players!$A163:$P163, MATCH(C$2, Players!$A$1:$P$1, 0)), perc_75, VLOOKUP(C$2, Percentiles!$A$45:$I$59, 6, FALSE), perc_90, VLOOKUP(C$2, Percentiles!$A$45:$I$59, 7, FALSE), perc_95, VLOOKUP(C$2, Percentiles!$A$45:$I$59, 8, FALSE), perc_85, perc_75 + (perc_90 - perc_75) * (2/3), converted_stat, '2K_Ratings'!C164, IF(bbgm_stat &gt;= perc_95, converted_stat * 3, IF(bbgm_stat &gt;= perc_90, converted_stat * 2, IF(bbgm_stat &gt;= perc_85, converted_stat * 1.5, converted_stat)))))</f>
        <v/>
      </c>
      <c r="D164" s="30" t="str">
        <f t="array" ref="D164">IF($A164="", "", LET(bbgm_stat, INDEX(Players!$A163:$P163, MATCH(D$2, Players!$A$1:$P$1, 0)), perc_75, VLOOKUP(D$2, Percentiles!$A$45:$I$59, 6, FALSE), perc_90, VLOOKUP(D$2, Percentiles!$A$45:$I$59, 7, FALSE), perc_95, VLOOKUP(D$2, Percentiles!$A$45:$I$59, 8, FALSE), perc_85, perc_75 + (perc_90 - perc_75) * (2/3), converted_stat, '2K_Ratings'!D164, IF(bbgm_stat &gt;= perc_95, converted_stat * 3, IF(bbgm_stat &gt;= perc_90, converted_stat * 2, IF(bbgm_stat &gt;= perc_85, converted_stat * 1.5, converted_stat)))))</f>
        <v/>
      </c>
      <c r="E164" s="30" t="str">
        <f t="array" ref="E164">IF($A164="", "", LET(bbgm_stat, INDEX(Players!$A163:$P163, MATCH(E$2, Players!$A$1:$P$1, 0)), perc_75, VLOOKUP(E$2, Percentiles!$A$45:$I$59, 6, FALSE), perc_90, VLOOKUP(E$2, Percentiles!$A$45:$I$59, 7, FALSE), perc_95, VLOOKUP(E$2, Percentiles!$A$45:$I$59, 8, FALSE), perc_85, perc_75 + (perc_90 - perc_75) * (2/3), converted_stat, '2K_Ratings'!E164, IF(bbgm_stat &gt;= perc_95, converted_stat * 3, IF(bbgm_stat &gt;= perc_90, converted_stat * 2, IF(bbgm_stat &gt;= perc_85, converted_stat * 1.5, converted_stat)))))</f>
        <v/>
      </c>
      <c r="F164" s="30" t="str">
        <f t="array" ref="F164">IF($A164="", "", LET(bbgm_stat, INDEX(Players!$A163:$P163, MATCH(F$2, Players!$A$1:$P$1, 0)), perc_75, VLOOKUP(F$2, Percentiles!$A$45:$I$59, 6, FALSE), perc_90, VLOOKUP(F$2, Percentiles!$A$45:$I$59, 7, FALSE), perc_95, VLOOKUP(F$2, Percentiles!$A$45:$I$59, 8, FALSE), perc_85, perc_75 + (perc_90 - perc_75) * (2/3), converted_stat, '2K_Ratings'!F164, IF(bbgm_stat &gt;= perc_95, converted_stat * 3, IF(bbgm_stat &gt;= perc_90, converted_stat * 2, IF(bbgm_stat &gt;= perc_85, converted_stat * 1.5, converted_stat)))))</f>
        <v/>
      </c>
      <c r="G164" s="30" t="str">
        <f t="array" ref="G164">IF($A164="", "", LET(bbgm_stat, INDEX(Players!$A163:$P163, MATCH(G$2, Players!$A$1:$P$1, 0)), perc_75, VLOOKUP(G$2, Percentiles!$A$45:$I$59, 6, FALSE), perc_90, VLOOKUP(G$2, Percentiles!$A$45:$I$59, 7, FALSE), perc_95, VLOOKUP(G$2, Percentiles!$A$45:$I$59, 8, FALSE), perc_85, perc_75 + (perc_90 - perc_75) * (2/3), converted_stat, '2K_Ratings'!G164, IF(bbgm_stat &gt;= perc_95, converted_stat * 3, IF(bbgm_stat &gt;= perc_90, converted_stat * 2, IF(bbgm_stat &gt;= perc_85, converted_stat * 1.5, converted_stat)))))</f>
        <v/>
      </c>
      <c r="H164" s="30" t="str">
        <f t="array" ref="H164">IF($A164="", "", LET(bbgm_stat, INDEX(Players!$A163:$P163, MATCH(H$2, Players!$A$1:$P$1, 0)), perc_75, VLOOKUP(H$2, Percentiles!$A$45:$I$59, 6, FALSE), perc_90, VLOOKUP(H$2, Percentiles!$A$45:$I$59, 7, FALSE), perc_95, VLOOKUP(H$2, Percentiles!$A$45:$I$59, 8, FALSE), perc_85, perc_75 + (perc_90 - perc_75) * (2/3), converted_stat, '2K_Ratings'!H164, IF(bbgm_stat &gt;= perc_95, converted_stat * 3, IF(bbgm_stat &gt;= perc_90, converted_stat * 2, IF(bbgm_stat &gt;= perc_85, converted_stat * 1.5, converted_stat)))))</f>
        <v/>
      </c>
      <c r="I164" s="30" t="str">
        <f t="array" ref="I164">IF($A164="", "", LET(bbgm_stat, INDEX(Players!$A163:$P163, MATCH(I$2, Players!$A$1:$P$1, 0)), perc_75, VLOOKUP(I$2, Percentiles!$A$45:$I$59, 6, FALSE), perc_90, VLOOKUP(I$2, Percentiles!$A$45:$I$59, 7, FALSE), perc_95, VLOOKUP(I$2, Percentiles!$A$45:$I$59, 8, FALSE), perc_85, perc_75 + (perc_90 - perc_75) * (2/3), converted_stat, '2K_Ratings'!I164, IF(bbgm_stat &gt;= perc_95, converted_stat * 3, IF(bbgm_stat &gt;= perc_90, converted_stat * 2, IF(bbgm_stat &gt;= perc_85, converted_stat * 1.5, converted_stat)))))</f>
        <v/>
      </c>
      <c r="J164" s="30" t="str">
        <f t="array" ref="J164">IF($A164="", "", LET(bbgm_stat, INDEX(Players!$A163:$P163, MATCH(J$2, Players!$A$1:$P$1, 0)), perc_75, VLOOKUP(J$2, Percentiles!$A$45:$I$59, 6, FALSE), perc_90, VLOOKUP(J$2, Percentiles!$A$45:$I$59, 7, FALSE), perc_95, VLOOKUP(J$2, Percentiles!$A$45:$I$59, 8, FALSE), perc_85, perc_75 + (perc_90 - perc_75) * (2/3), converted_stat, '2K_Ratings'!J164, IF(bbgm_stat &gt;= perc_95, converted_stat * 3, IF(bbgm_stat &gt;= perc_90, converted_stat * 2, IF(bbgm_stat &gt;= perc_85, converted_stat * 1.5, converted_stat)))))</f>
        <v/>
      </c>
      <c r="K164" s="30" t="str">
        <f t="array" ref="K164">IF($A164="", "", LET(bbgm_stat, INDEX(Players!$A163:$P163, MATCH(K$2, Players!$A$1:$P$1, 0)), perc_75, VLOOKUP(K$2, Percentiles!$A$45:$I$59, 6, FALSE), perc_90, VLOOKUP(K$2, Percentiles!$A$45:$I$59, 7, FALSE), perc_95, VLOOKUP(K$2, Percentiles!$A$45:$I$59, 8, FALSE), perc_85, perc_75 + (perc_90 - perc_75) * (2/3), converted_stat, '2K_Ratings'!K164, IF(bbgm_stat &gt;= perc_95, converted_stat * 3, IF(bbgm_stat &gt;= perc_90, converted_stat * 2, IF(bbgm_stat &gt;= perc_85, converted_stat * 1.5, converted_stat)))))</f>
        <v/>
      </c>
      <c r="L164" s="30" t="str">
        <f t="array" ref="L164">IF($A164="", "", LET(bbgm_stat, INDEX(Players!$A163:$P163, MATCH(L$2, Players!$A$1:$P$1, 0)), perc_75, VLOOKUP(L$2, Percentiles!$A$45:$I$59, 6, FALSE), perc_90, VLOOKUP(L$2, Percentiles!$A$45:$I$59, 7, FALSE), perc_95, VLOOKUP(L$2, Percentiles!$A$45:$I$59, 8, FALSE), perc_85, perc_75 + (perc_90 - perc_75) * (2/3), converted_stat, '2K_Ratings'!L164, IF(bbgm_stat &gt;= perc_95, converted_stat * 3, IF(bbgm_stat &gt;= perc_90, converted_stat * 2, IF(bbgm_stat &gt;= perc_85, converted_stat * 1.5, converted_stat)))))</f>
        <v/>
      </c>
      <c r="M164" s="30" t="str">
        <f t="array" ref="M164">IF($A164="", "", LET(bbgm_stat, INDEX(Players!$A163:$P163, MATCH(M$2, Players!$A$1:$P$1, 0)), perc_75, VLOOKUP(M$2, Percentiles!$A$45:$I$59, 6, FALSE), perc_90, VLOOKUP(M$2, Percentiles!$A$45:$I$59, 7, FALSE), perc_95, VLOOKUP(M$2, Percentiles!$A$45:$I$59, 8, FALSE), perc_85, perc_75 + (perc_90 - perc_75) * (2/3), converted_stat, '2K_Ratings'!M164, IF(bbgm_stat &gt;= perc_95, converted_stat * 3, IF(bbgm_stat &gt;= perc_90, converted_stat * 2, IF(bbgm_stat &gt;= perc_85, converted_stat * 1.5, converted_stat)))))</f>
        <v/>
      </c>
      <c r="N164" s="30" t="str">
        <f t="array" ref="N164">IF($A164="", "", LET(bbgm_stat, INDEX(Players!$A163:$P163, MATCH(N$2, Players!$A$1:$P$1, 0)), perc_75, VLOOKUP(N$2, Percentiles!$A$45:$I$59, 6, FALSE), perc_90, VLOOKUP(N$2, Percentiles!$A$45:$I$59, 7, FALSE), perc_95, VLOOKUP(N$2, Percentiles!$A$45:$I$59, 8, FALSE), perc_85, perc_75 + (perc_90 - perc_75) * (2/3), converted_stat, '2K_Ratings'!N164, IF(bbgm_stat &gt;= perc_95, converted_stat * 3, IF(bbgm_stat &gt;= perc_90, converted_stat * 2, IF(bbgm_stat &gt;= perc_85, converted_stat * 1.5, converted_stat)))))</f>
        <v/>
      </c>
      <c r="O164" s="30" t="str">
        <f t="array" ref="O164">IF($A164="", "", LET(bbgm_stat, INDEX(Players!$A163:$P163, MATCH(O$2, Players!$A$1:$P$1, 0)), perc_75, VLOOKUP(O$2, Percentiles!$A$45:$I$59, 6, FALSE), perc_90, VLOOKUP(O$2, Percentiles!$A$45:$I$59, 7, FALSE), perc_95, VLOOKUP(O$2, Percentiles!$A$45:$I$59, 8, FALSE), perc_85, perc_75 + (perc_90 - perc_75) * (2/3), converted_stat, '2K_Ratings'!O164, IF(bbgm_stat &gt;= perc_95, converted_stat * 3, IF(bbgm_stat &gt;= perc_90, converted_stat * 2, IF(bbgm_stat &gt;= perc_85, converted_stat * 1.5, converted_stat)))))</f>
        <v/>
      </c>
      <c r="P164" s="30" t="str">
        <f t="array" ref="P164">IF($A164="", "", LET(bbgm_stat, INDEX(Players!$A163:$P163, MATCH(P$2, Players!$A$1:$P$1, 0)), perc_75, VLOOKUP(P$2, Percentiles!$A$45:$I$59, 6, FALSE), perc_90, VLOOKUP(P$2, Percentiles!$A$45:$I$59, 7, FALSE), perc_95, VLOOKUP(P$2, Percentiles!$A$45:$I$59, 8, FALSE), perc_85, perc_75 + (perc_90 - perc_75) * (2/3), converted_stat, '2K_Ratings'!P164, IF(bbgm_stat &gt;= perc_95, converted_stat * 3, IF(bbgm_stat &gt;= perc_90, converted_stat * 2, IF(bbgm_stat &gt;= perc_85, converted_stat * 1.5, converted_stat)))))</f>
        <v/>
      </c>
      <c r="Q164" s="30" t="str">
        <f t="array" ref="Q164">IF($A164="", "", LET(bbgm_stat, INDEX(Players!$A163:$P163, MATCH(Q$2, Players!$A$1:$P$1, 0)), perc_75, VLOOKUP(Q$2, Percentiles!$A$45:$I$59, 6, FALSE), perc_90, VLOOKUP(Q$2, Percentiles!$A$45:$I$59, 7, FALSE), perc_95, VLOOKUP(Q$2, Percentiles!$A$45:$I$59, 8, FALSE), perc_85, perc_75 + (perc_90 - perc_75) * (2/3), converted_stat, '2K_Ratings'!Q164, IF(bbgm_stat &gt;= perc_95, converted_stat * 3, IF(bbgm_stat &gt;= perc_90, converted_stat * 2, IF(bbgm_stat &gt;= perc_85, converted_stat * 1.5, converted_stat)))))</f>
        <v/>
      </c>
      <c r="R164" s="30" t="str">
        <f t="array" ref="R164">IF($A164="", "", LET(bbgm_stat, INDEX(Players!$A163:$P163, MATCH(R$2, Players!$A$1:$P$1, 0)), perc_75, VLOOKUP(R$2, Percentiles!$A$45:$I$59, 6, FALSE), perc_90, VLOOKUP(R$2, Percentiles!$A$45:$I$59, 7, FALSE), perc_95, VLOOKUP(R$2, Percentiles!$A$45:$I$59, 8, FALSE), perc_85, perc_75 + (perc_90 - perc_75) * (2/3), converted_stat, '2K_Ratings'!R164, IF(bbgm_stat &gt;= perc_95, converted_stat * 3, IF(bbgm_stat &gt;= perc_90, converted_stat * 2, IF(bbgm_stat &gt;= perc_85, converted_stat * 1.5, converted_stat)))))</f>
        <v/>
      </c>
      <c r="S164" s="30" t="str">
        <f t="array" ref="S164">IF($A164="", "", LET(bbgm_stat, INDEX(Players!$A163:$P163, MATCH(S$2, Players!$A$1:$P$1, 0)), perc_75, VLOOKUP(S$2, Percentiles!$A$45:$I$59, 6, FALSE), perc_90, VLOOKUP(S$2, Percentiles!$A$45:$I$59, 7, FALSE), perc_95, VLOOKUP(S$2, Percentiles!$A$45:$I$59, 8, FALSE), perc_85, perc_75 + (perc_90 - perc_75) * (2/3), converted_stat, '2K_Ratings'!S164, IF(bbgm_stat &gt;= perc_95, converted_stat * 3, IF(bbgm_stat &gt;= perc_90, converted_stat * 2, IF(bbgm_stat &gt;= perc_85, converted_stat * 1.5, converted_stat)))))</f>
        <v/>
      </c>
      <c r="T164" s="30" t="str">
        <f t="array" ref="T164">IF($A164="", "", LET(bbgm_stat, INDEX(Players!$A163:$P163, MATCH(T$2, Players!$A$1:$P$1, 0)), perc_75, VLOOKUP(T$2, Percentiles!$A$45:$I$59, 6, FALSE), perc_90, VLOOKUP(T$2, Percentiles!$A$45:$I$59, 7, FALSE), perc_95, VLOOKUP(T$2, Percentiles!$A$45:$I$59, 8, FALSE), perc_85, perc_75 + (perc_90 - perc_75) * (2/3), converted_stat, '2K_Ratings'!T164, IF(bbgm_stat &gt;= perc_95, converted_stat * 3, IF(bbgm_stat &gt;= perc_90, converted_stat * 2, IF(bbgm_stat &gt;= perc_85, converted_stat * 1.5, converted_stat)))))</f>
        <v/>
      </c>
      <c r="U164" s="30" t="str">
        <f t="array" ref="U164">IF($A164="", "", LET(bbgm_stat, INDEX(Players!$A163:$P163, MATCH(U$2, Players!$A$1:$P$1, 0)), perc_75, VLOOKUP(U$2, Percentiles!$A$45:$I$59, 6, FALSE), perc_90, VLOOKUP(U$2, Percentiles!$A$45:$I$59, 7, FALSE), perc_95, VLOOKUP(U$2, Percentiles!$A$45:$I$59, 8, FALSE), perc_85, perc_75 + (perc_90 - perc_75) * (2/3), converted_stat, '2K_Ratings'!U164, IF(bbgm_stat &gt;= perc_95, converted_stat * 3, IF(bbgm_stat &gt;= perc_90, converted_stat * 2, IF(bbgm_stat &gt;= perc_85, converted_stat * 1.5, converted_stat)))))</f>
        <v/>
      </c>
      <c r="V164" s="30" t="str">
        <f t="array" ref="V164">IF($A164="", "", LET(bbgm_stat, INDEX(Players!$A163:$P163, MATCH(V$2, Players!$A$1:$P$1, 0)), perc_75, VLOOKUP(V$2, Percentiles!$A$45:$I$59, 6, FALSE), perc_90, VLOOKUP(V$2, Percentiles!$A$45:$I$59, 7, FALSE), perc_95, VLOOKUP(V$2, Percentiles!$A$45:$I$59, 8, FALSE), perc_85, perc_75 + (perc_90 - perc_75) * (2/3), converted_stat, '2K_Ratings'!V164, IF(bbgm_stat &gt;= perc_95, converted_stat * 3, IF(bbgm_stat &gt;= perc_90, converted_stat * 2, IF(bbgm_stat &gt;= perc_85, converted_stat * 1.5, converted_stat)))))</f>
        <v/>
      </c>
      <c r="W164" s="30" t="str">
        <f t="array" ref="W164">IF($A164="", "", LET(bbgm_stat, INDEX(Players!$A163:$P163, MATCH(W$2, Players!$A$1:$P$1, 0)), perc_75, VLOOKUP(W$2, Percentiles!$A$45:$I$59, 6, FALSE), perc_90, VLOOKUP(W$2, Percentiles!$A$45:$I$59, 7, FALSE), perc_95, VLOOKUP(W$2, Percentiles!$A$45:$I$59, 8, FALSE), perc_85, perc_75 + (perc_90 - perc_75) * (2/3), converted_stat, '2K_Ratings'!W164, IF(bbgm_stat &gt;= perc_95, converted_stat * 3, IF(bbgm_stat &gt;= perc_90, converted_stat * 2, IF(bbgm_stat &gt;= perc_85, converted_stat * 1.5, converted_stat)))))</f>
        <v/>
      </c>
    </row>
    <row r="165">
      <c r="A165" s="30"/>
      <c r="B165" s="30" t="str">
        <f t="array" ref="B165">IF($A165="", "", LET(bbgm_stat, INDEX(Players!$A164:$P164, MATCH(B$2, Players!$A$1:$P$1, 0)), perc_75, VLOOKUP(B$2, Percentiles!$A$45:$I$59, 6, FALSE), perc_90, VLOOKUP(B$2, Percentiles!$A$45:$I$59, 7, FALSE), perc_95, VLOOKUP(B$2, Percentiles!$A$45:$I$59, 8, FALSE), perc_85, perc_75 + (perc_90 - perc_75) * (2/3), converted_stat, '2K_Ratings'!B165, IF(bbgm_stat &gt;= perc_95, converted_stat * 3, IF(bbgm_stat &gt;= perc_90, converted_stat * 2, IF(bbgm_stat &gt;= perc_85, converted_stat * 1.5, converted_stat)))))</f>
        <v/>
      </c>
      <c r="C165" s="30" t="str">
        <f t="array" ref="C165">IF($A165="", "", LET(bbgm_stat, INDEX(Players!$A164:$P164, MATCH(C$2, Players!$A$1:$P$1, 0)), perc_75, VLOOKUP(C$2, Percentiles!$A$45:$I$59, 6, FALSE), perc_90, VLOOKUP(C$2, Percentiles!$A$45:$I$59, 7, FALSE), perc_95, VLOOKUP(C$2, Percentiles!$A$45:$I$59, 8, FALSE), perc_85, perc_75 + (perc_90 - perc_75) * (2/3), converted_stat, '2K_Ratings'!C165, IF(bbgm_stat &gt;= perc_95, converted_stat * 3, IF(bbgm_stat &gt;= perc_90, converted_stat * 2, IF(bbgm_stat &gt;= perc_85, converted_stat * 1.5, converted_stat)))))</f>
        <v/>
      </c>
      <c r="D165" s="30" t="str">
        <f t="array" ref="D165">IF($A165="", "", LET(bbgm_stat, INDEX(Players!$A164:$P164, MATCH(D$2, Players!$A$1:$P$1, 0)), perc_75, VLOOKUP(D$2, Percentiles!$A$45:$I$59, 6, FALSE), perc_90, VLOOKUP(D$2, Percentiles!$A$45:$I$59, 7, FALSE), perc_95, VLOOKUP(D$2, Percentiles!$A$45:$I$59, 8, FALSE), perc_85, perc_75 + (perc_90 - perc_75) * (2/3), converted_stat, '2K_Ratings'!D165, IF(bbgm_stat &gt;= perc_95, converted_stat * 3, IF(bbgm_stat &gt;= perc_90, converted_stat * 2, IF(bbgm_stat &gt;= perc_85, converted_stat * 1.5, converted_stat)))))</f>
        <v/>
      </c>
      <c r="E165" s="30" t="str">
        <f t="array" ref="E165">IF($A165="", "", LET(bbgm_stat, INDEX(Players!$A164:$P164, MATCH(E$2, Players!$A$1:$P$1, 0)), perc_75, VLOOKUP(E$2, Percentiles!$A$45:$I$59, 6, FALSE), perc_90, VLOOKUP(E$2, Percentiles!$A$45:$I$59, 7, FALSE), perc_95, VLOOKUP(E$2, Percentiles!$A$45:$I$59, 8, FALSE), perc_85, perc_75 + (perc_90 - perc_75) * (2/3), converted_stat, '2K_Ratings'!E165, IF(bbgm_stat &gt;= perc_95, converted_stat * 3, IF(bbgm_stat &gt;= perc_90, converted_stat * 2, IF(bbgm_stat &gt;= perc_85, converted_stat * 1.5, converted_stat)))))</f>
        <v/>
      </c>
      <c r="F165" s="30" t="str">
        <f t="array" ref="F165">IF($A165="", "", LET(bbgm_stat, INDEX(Players!$A164:$P164, MATCH(F$2, Players!$A$1:$P$1, 0)), perc_75, VLOOKUP(F$2, Percentiles!$A$45:$I$59, 6, FALSE), perc_90, VLOOKUP(F$2, Percentiles!$A$45:$I$59, 7, FALSE), perc_95, VLOOKUP(F$2, Percentiles!$A$45:$I$59, 8, FALSE), perc_85, perc_75 + (perc_90 - perc_75) * (2/3), converted_stat, '2K_Ratings'!F165, IF(bbgm_stat &gt;= perc_95, converted_stat * 3, IF(bbgm_stat &gt;= perc_90, converted_stat * 2, IF(bbgm_stat &gt;= perc_85, converted_stat * 1.5, converted_stat)))))</f>
        <v/>
      </c>
      <c r="G165" s="30" t="str">
        <f t="array" ref="G165">IF($A165="", "", LET(bbgm_stat, INDEX(Players!$A164:$P164, MATCH(G$2, Players!$A$1:$P$1, 0)), perc_75, VLOOKUP(G$2, Percentiles!$A$45:$I$59, 6, FALSE), perc_90, VLOOKUP(G$2, Percentiles!$A$45:$I$59, 7, FALSE), perc_95, VLOOKUP(G$2, Percentiles!$A$45:$I$59, 8, FALSE), perc_85, perc_75 + (perc_90 - perc_75) * (2/3), converted_stat, '2K_Ratings'!G165, IF(bbgm_stat &gt;= perc_95, converted_stat * 3, IF(bbgm_stat &gt;= perc_90, converted_stat * 2, IF(bbgm_stat &gt;= perc_85, converted_stat * 1.5, converted_stat)))))</f>
        <v/>
      </c>
      <c r="H165" s="30" t="str">
        <f t="array" ref="H165">IF($A165="", "", LET(bbgm_stat, INDEX(Players!$A164:$P164, MATCH(H$2, Players!$A$1:$P$1, 0)), perc_75, VLOOKUP(H$2, Percentiles!$A$45:$I$59, 6, FALSE), perc_90, VLOOKUP(H$2, Percentiles!$A$45:$I$59, 7, FALSE), perc_95, VLOOKUP(H$2, Percentiles!$A$45:$I$59, 8, FALSE), perc_85, perc_75 + (perc_90 - perc_75) * (2/3), converted_stat, '2K_Ratings'!H165, IF(bbgm_stat &gt;= perc_95, converted_stat * 3, IF(bbgm_stat &gt;= perc_90, converted_stat * 2, IF(bbgm_stat &gt;= perc_85, converted_stat * 1.5, converted_stat)))))</f>
        <v/>
      </c>
      <c r="I165" s="30" t="str">
        <f t="array" ref="I165">IF($A165="", "", LET(bbgm_stat, INDEX(Players!$A164:$P164, MATCH(I$2, Players!$A$1:$P$1, 0)), perc_75, VLOOKUP(I$2, Percentiles!$A$45:$I$59, 6, FALSE), perc_90, VLOOKUP(I$2, Percentiles!$A$45:$I$59, 7, FALSE), perc_95, VLOOKUP(I$2, Percentiles!$A$45:$I$59, 8, FALSE), perc_85, perc_75 + (perc_90 - perc_75) * (2/3), converted_stat, '2K_Ratings'!I165, IF(bbgm_stat &gt;= perc_95, converted_stat * 3, IF(bbgm_stat &gt;= perc_90, converted_stat * 2, IF(bbgm_stat &gt;= perc_85, converted_stat * 1.5, converted_stat)))))</f>
        <v/>
      </c>
      <c r="J165" s="30" t="str">
        <f t="array" ref="J165">IF($A165="", "", LET(bbgm_stat, INDEX(Players!$A164:$P164, MATCH(J$2, Players!$A$1:$P$1, 0)), perc_75, VLOOKUP(J$2, Percentiles!$A$45:$I$59, 6, FALSE), perc_90, VLOOKUP(J$2, Percentiles!$A$45:$I$59, 7, FALSE), perc_95, VLOOKUP(J$2, Percentiles!$A$45:$I$59, 8, FALSE), perc_85, perc_75 + (perc_90 - perc_75) * (2/3), converted_stat, '2K_Ratings'!J165, IF(bbgm_stat &gt;= perc_95, converted_stat * 3, IF(bbgm_stat &gt;= perc_90, converted_stat * 2, IF(bbgm_stat &gt;= perc_85, converted_stat * 1.5, converted_stat)))))</f>
        <v/>
      </c>
      <c r="K165" s="30" t="str">
        <f t="array" ref="K165">IF($A165="", "", LET(bbgm_stat, INDEX(Players!$A164:$P164, MATCH(K$2, Players!$A$1:$P$1, 0)), perc_75, VLOOKUP(K$2, Percentiles!$A$45:$I$59, 6, FALSE), perc_90, VLOOKUP(K$2, Percentiles!$A$45:$I$59, 7, FALSE), perc_95, VLOOKUP(K$2, Percentiles!$A$45:$I$59, 8, FALSE), perc_85, perc_75 + (perc_90 - perc_75) * (2/3), converted_stat, '2K_Ratings'!K165, IF(bbgm_stat &gt;= perc_95, converted_stat * 3, IF(bbgm_stat &gt;= perc_90, converted_stat * 2, IF(bbgm_stat &gt;= perc_85, converted_stat * 1.5, converted_stat)))))</f>
        <v/>
      </c>
      <c r="L165" s="30" t="str">
        <f t="array" ref="L165">IF($A165="", "", LET(bbgm_stat, INDEX(Players!$A164:$P164, MATCH(L$2, Players!$A$1:$P$1, 0)), perc_75, VLOOKUP(L$2, Percentiles!$A$45:$I$59, 6, FALSE), perc_90, VLOOKUP(L$2, Percentiles!$A$45:$I$59, 7, FALSE), perc_95, VLOOKUP(L$2, Percentiles!$A$45:$I$59, 8, FALSE), perc_85, perc_75 + (perc_90 - perc_75) * (2/3), converted_stat, '2K_Ratings'!L165, IF(bbgm_stat &gt;= perc_95, converted_stat * 3, IF(bbgm_stat &gt;= perc_90, converted_stat * 2, IF(bbgm_stat &gt;= perc_85, converted_stat * 1.5, converted_stat)))))</f>
        <v/>
      </c>
      <c r="M165" s="30" t="str">
        <f t="array" ref="M165">IF($A165="", "", LET(bbgm_stat, INDEX(Players!$A164:$P164, MATCH(M$2, Players!$A$1:$P$1, 0)), perc_75, VLOOKUP(M$2, Percentiles!$A$45:$I$59, 6, FALSE), perc_90, VLOOKUP(M$2, Percentiles!$A$45:$I$59, 7, FALSE), perc_95, VLOOKUP(M$2, Percentiles!$A$45:$I$59, 8, FALSE), perc_85, perc_75 + (perc_90 - perc_75) * (2/3), converted_stat, '2K_Ratings'!M165, IF(bbgm_stat &gt;= perc_95, converted_stat * 3, IF(bbgm_stat &gt;= perc_90, converted_stat * 2, IF(bbgm_stat &gt;= perc_85, converted_stat * 1.5, converted_stat)))))</f>
        <v/>
      </c>
      <c r="N165" s="30" t="str">
        <f t="array" ref="N165">IF($A165="", "", LET(bbgm_stat, INDEX(Players!$A164:$P164, MATCH(N$2, Players!$A$1:$P$1, 0)), perc_75, VLOOKUP(N$2, Percentiles!$A$45:$I$59, 6, FALSE), perc_90, VLOOKUP(N$2, Percentiles!$A$45:$I$59, 7, FALSE), perc_95, VLOOKUP(N$2, Percentiles!$A$45:$I$59, 8, FALSE), perc_85, perc_75 + (perc_90 - perc_75) * (2/3), converted_stat, '2K_Ratings'!N165, IF(bbgm_stat &gt;= perc_95, converted_stat * 3, IF(bbgm_stat &gt;= perc_90, converted_stat * 2, IF(bbgm_stat &gt;= perc_85, converted_stat * 1.5, converted_stat)))))</f>
        <v/>
      </c>
      <c r="O165" s="30" t="str">
        <f t="array" ref="O165">IF($A165="", "", LET(bbgm_stat, INDEX(Players!$A164:$P164, MATCH(O$2, Players!$A$1:$P$1, 0)), perc_75, VLOOKUP(O$2, Percentiles!$A$45:$I$59, 6, FALSE), perc_90, VLOOKUP(O$2, Percentiles!$A$45:$I$59, 7, FALSE), perc_95, VLOOKUP(O$2, Percentiles!$A$45:$I$59, 8, FALSE), perc_85, perc_75 + (perc_90 - perc_75) * (2/3), converted_stat, '2K_Ratings'!O165, IF(bbgm_stat &gt;= perc_95, converted_stat * 3, IF(bbgm_stat &gt;= perc_90, converted_stat * 2, IF(bbgm_stat &gt;= perc_85, converted_stat * 1.5, converted_stat)))))</f>
        <v/>
      </c>
      <c r="P165" s="30" t="str">
        <f t="array" ref="P165">IF($A165="", "", LET(bbgm_stat, INDEX(Players!$A164:$P164, MATCH(P$2, Players!$A$1:$P$1, 0)), perc_75, VLOOKUP(P$2, Percentiles!$A$45:$I$59, 6, FALSE), perc_90, VLOOKUP(P$2, Percentiles!$A$45:$I$59, 7, FALSE), perc_95, VLOOKUP(P$2, Percentiles!$A$45:$I$59, 8, FALSE), perc_85, perc_75 + (perc_90 - perc_75) * (2/3), converted_stat, '2K_Ratings'!P165, IF(bbgm_stat &gt;= perc_95, converted_stat * 3, IF(bbgm_stat &gt;= perc_90, converted_stat * 2, IF(bbgm_stat &gt;= perc_85, converted_stat * 1.5, converted_stat)))))</f>
        <v/>
      </c>
      <c r="Q165" s="30" t="str">
        <f t="array" ref="Q165">IF($A165="", "", LET(bbgm_stat, INDEX(Players!$A164:$P164, MATCH(Q$2, Players!$A$1:$P$1, 0)), perc_75, VLOOKUP(Q$2, Percentiles!$A$45:$I$59, 6, FALSE), perc_90, VLOOKUP(Q$2, Percentiles!$A$45:$I$59, 7, FALSE), perc_95, VLOOKUP(Q$2, Percentiles!$A$45:$I$59, 8, FALSE), perc_85, perc_75 + (perc_90 - perc_75) * (2/3), converted_stat, '2K_Ratings'!Q165, IF(bbgm_stat &gt;= perc_95, converted_stat * 3, IF(bbgm_stat &gt;= perc_90, converted_stat * 2, IF(bbgm_stat &gt;= perc_85, converted_stat * 1.5, converted_stat)))))</f>
        <v/>
      </c>
      <c r="R165" s="30" t="str">
        <f t="array" ref="R165">IF($A165="", "", LET(bbgm_stat, INDEX(Players!$A164:$P164, MATCH(R$2, Players!$A$1:$P$1, 0)), perc_75, VLOOKUP(R$2, Percentiles!$A$45:$I$59, 6, FALSE), perc_90, VLOOKUP(R$2, Percentiles!$A$45:$I$59, 7, FALSE), perc_95, VLOOKUP(R$2, Percentiles!$A$45:$I$59, 8, FALSE), perc_85, perc_75 + (perc_90 - perc_75) * (2/3), converted_stat, '2K_Ratings'!R165, IF(bbgm_stat &gt;= perc_95, converted_stat * 3, IF(bbgm_stat &gt;= perc_90, converted_stat * 2, IF(bbgm_stat &gt;= perc_85, converted_stat * 1.5, converted_stat)))))</f>
        <v/>
      </c>
      <c r="S165" s="30" t="str">
        <f t="array" ref="S165">IF($A165="", "", LET(bbgm_stat, INDEX(Players!$A164:$P164, MATCH(S$2, Players!$A$1:$P$1, 0)), perc_75, VLOOKUP(S$2, Percentiles!$A$45:$I$59, 6, FALSE), perc_90, VLOOKUP(S$2, Percentiles!$A$45:$I$59, 7, FALSE), perc_95, VLOOKUP(S$2, Percentiles!$A$45:$I$59, 8, FALSE), perc_85, perc_75 + (perc_90 - perc_75) * (2/3), converted_stat, '2K_Ratings'!S165, IF(bbgm_stat &gt;= perc_95, converted_stat * 3, IF(bbgm_stat &gt;= perc_90, converted_stat * 2, IF(bbgm_stat &gt;= perc_85, converted_stat * 1.5, converted_stat)))))</f>
        <v/>
      </c>
      <c r="T165" s="30" t="str">
        <f t="array" ref="T165">IF($A165="", "", LET(bbgm_stat, INDEX(Players!$A164:$P164, MATCH(T$2, Players!$A$1:$P$1, 0)), perc_75, VLOOKUP(T$2, Percentiles!$A$45:$I$59, 6, FALSE), perc_90, VLOOKUP(T$2, Percentiles!$A$45:$I$59, 7, FALSE), perc_95, VLOOKUP(T$2, Percentiles!$A$45:$I$59, 8, FALSE), perc_85, perc_75 + (perc_90 - perc_75) * (2/3), converted_stat, '2K_Ratings'!T165, IF(bbgm_stat &gt;= perc_95, converted_stat * 3, IF(bbgm_stat &gt;= perc_90, converted_stat * 2, IF(bbgm_stat &gt;= perc_85, converted_stat * 1.5, converted_stat)))))</f>
        <v/>
      </c>
      <c r="U165" s="30" t="str">
        <f t="array" ref="U165">IF($A165="", "", LET(bbgm_stat, INDEX(Players!$A164:$P164, MATCH(U$2, Players!$A$1:$P$1, 0)), perc_75, VLOOKUP(U$2, Percentiles!$A$45:$I$59, 6, FALSE), perc_90, VLOOKUP(U$2, Percentiles!$A$45:$I$59, 7, FALSE), perc_95, VLOOKUP(U$2, Percentiles!$A$45:$I$59, 8, FALSE), perc_85, perc_75 + (perc_90 - perc_75) * (2/3), converted_stat, '2K_Ratings'!U165, IF(bbgm_stat &gt;= perc_95, converted_stat * 3, IF(bbgm_stat &gt;= perc_90, converted_stat * 2, IF(bbgm_stat &gt;= perc_85, converted_stat * 1.5, converted_stat)))))</f>
        <v/>
      </c>
      <c r="V165" s="30" t="str">
        <f t="array" ref="V165">IF($A165="", "", LET(bbgm_stat, INDEX(Players!$A164:$P164, MATCH(V$2, Players!$A$1:$P$1, 0)), perc_75, VLOOKUP(V$2, Percentiles!$A$45:$I$59, 6, FALSE), perc_90, VLOOKUP(V$2, Percentiles!$A$45:$I$59, 7, FALSE), perc_95, VLOOKUP(V$2, Percentiles!$A$45:$I$59, 8, FALSE), perc_85, perc_75 + (perc_90 - perc_75) * (2/3), converted_stat, '2K_Ratings'!V165, IF(bbgm_stat &gt;= perc_95, converted_stat * 3, IF(bbgm_stat &gt;= perc_90, converted_stat * 2, IF(bbgm_stat &gt;= perc_85, converted_stat * 1.5, converted_stat)))))</f>
        <v/>
      </c>
      <c r="W165" s="30" t="str">
        <f t="array" ref="W165">IF($A165="", "", LET(bbgm_stat, INDEX(Players!$A164:$P164, MATCH(W$2, Players!$A$1:$P$1, 0)), perc_75, VLOOKUP(W$2, Percentiles!$A$45:$I$59, 6, FALSE), perc_90, VLOOKUP(W$2, Percentiles!$A$45:$I$59, 7, FALSE), perc_95, VLOOKUP(W$2, Percentiles!$A$45:$I$59, 8, FALSE), perc_85, perc_75 + (perc_90 - perc_75) * (2/3), converted_stat, '2K_Ratings'!W165, IF(bbgm_stat &gt;= perc_95, converted_stat * 3, IF(bbgm_stat &gt;= perc_90, converted_stat * 2, IF(bbgm_stat &gt;= perc_85, converted_stat * 1.5, converted_stat)))))</f>
        <v/>
      </c>
    </row>
    <row r="166">
      <c r="A166" s="30"/>
      <c r="B166" s="30" t="str">
        <f t="array" ref="B166">IF($A166="", "", LET(bbgm_stat, INDEX(Players!$A165:$P165, MATCH(B$2, Players!$A$1:$P$1, 0)), perc_75, VLOOKUP(B$2, Percentiles!$A$45:$I$59, 6, FALSE), perc_90, VLOOKUP(B$2, Percentiles!$A$45:$I$59, 7, FALSE), perc_95, VLOOKUP(B$2, Percentiles!$A$45:$I$59, 8, FALSE), perc_85, perc_75 + (perc_90 - perc_75) * (2/3), converted_stat, '2K_Ratings'!B166, IF(bbgm_stat &gt;= perc_95, converted_stat * 3, IF(bbgm_stat &gt;= perc_90, converted_stat * 2, IF(bbgm_stat &gt;= perc_85, converted_stat * 1.5, converted_stat)))))</f>
        <v/>
      </c>
      <c r="C166" s="30" t="str">
        <f t="array" ref="C166">IF($A166="", "", LET(bbgm_stat, INDEX(Players!$A165:$P165, MATCH(C$2, Players!$A$1:$P$1, 0)), perc_75, VLOOKUP(C$2, Percentiles!$A$45:$I$59, 6, FALSE), perc_90, VLOOKUP(C$2, Percentiles!$A$45:$I$59, 7, FALSE), perc_95, VLOOKUP(C$2, Percentiles!$A$45:$I$59, 8, FALSE), perc_85, perc_75 + (perc_90 - perc_75) * (2/3), converted_stat, '2K_Ratings'!C166, IF(bbgm_stat &gt;= perc_95, converted_stat * 3, IF(bbgm_stat &gt;= perc_90, converted_stat * 2, IF(bbgm_stat &gt;= perc_85, converted_stat * 1.5, converted_stat)))))</f>
        <v/>
      </c>
      <c r="D166" s="30" t="str">
        <f t="array" ref="D166">IF($A166="", "", LET(bbgm_stat, INDEX(Players!$A165:$P165, MATCH(D$2, Players!$A$1:$P$1, 0)), perc_75, VLOOKUP(D$2, Percentiles!$A$45:$I$59, 6, FALSE), perc_90, VLOOKUP(D$2, Percentiles!$A$45:$I$59, 7, FALSE), perc_95, VLOOKUP(D$2, Percentiles!$A$45:$I$59, 8, FALSE), perc_85, perc_75 + (perc_90 - perc_75) * (2/3), converted_stat, '2K_Ratings'!D166, IF(bbgm_stat &gt;= perc_95, converted_stat * 3, IF(bbgm_stat &gt;= perc_90, converted_stat * 2, IF(bbgm_stat &gt;= perc_85, converted_stat * 1.5, converted_stat)))))</f>
        <v/>
      </c>
      <c r="E166" s="30" t="str">
        <f t="array" ref="E166">IF($A166="", "", LET(bbgm_stat, INDEX(Players!$A165:$P165, MATCH(E$2, Players!$A$1:$P$1, 0)), perc_75, VLOOKUP(E$2, Percentiles!$A$45:$I$59, 6, FALSE), perc_90, VLOOKUP(E$2, Percentiles!$A$45:$I$59, 7, FALSE), perc_95, VLOOKUP(E$2, Percentiles!$A$45:$I$59, 8, FALSE), perc_85, perc_75 + (perc_90 - perc_75) * (2/3), converted_stat, '2K_Ratings'!E166, IF(bbgm_stat &gt;= perc_95, converted_stat * 3, IF(bbgm_stat &gt;= perc_90, converted_stat * 2, IF(bbgm_stat &gt;= perc_85, converted_stat * 1.5, converted_stat)))))</f>
        <v/>
      </c>
      <c r="F166" s="30" t="str">
        <f t="array" ref="F166">IF($A166="", "", LET(bbgm_stat, INDEX(Players!$A165:$P165, MATCH(F$2, Players!$A$1:$P$1, 0)), perc_75, VLOOKUP(F$2, Percentiles!$A$45:$I$59, 6, FALSE), perc_90, VLOOKUP(F$2, Percentiles!$A$45:$I$59, 7, FALSE), perc_95, VLOOKUP(F$2, Percentiles!$A$45:$I$59, 8, FALSE), perc_85, perc_75 + (perc_90 - perc_75) * (2/3), converted_stat, '2K_Ratings'!F166, IF(bbgm_stat &gt;= perc_95, converted_stat * 3, IF(bbgm_stat &gt;= perc_90, converted_stat * 2, IF(bbgm_stat &gt;= perc_85, converted_stat * 1.5, converted_stat)))))</f>
        <v/>
      </c>
      <c r="G166" s="30" t="str">
        <f t="array" ref="G166">IF($A166="", "", LET(bbgm_stat, INDEX(Players!$A165:$P165, MATCH(G$2, Players!$A$1:$P$1, 0)), perc_75, VLOOKUP(G$2, Percentiles!$A$45:$I$59, 6, FALSE), perc_90, VLOOKUP(G$2, Percentiles!$A$45:$I$59, 7, FALSE), perc_95, VLOOKUP(G$2, Percentiles!$A$45:$I$59, 8, FALSE), perc_85, perc_75 + (perc_90 - perc_75) * (2/3), converted_stat, '2K_Ratings'!G166, IF(bbgm_stat &gt;= perc_95, converted_stat * 3, IF(bbgm_stat &gt;= perc_90, converted_stat * 2, IF(bbgm_stat &gt;= perc_85, converted_stat * 1.5, converted_stat)))))</f>
        <v/>
      </c>
      <c r="H166" s="30" t="str">
        <f t="array" ref="H166">IF($A166="", "", LET(bbgm_stat, INDEX(Players!$A165:$P165, MATCH(H$2, Players!$A$1:$P$1, 0)), perc_75, VLOOKUP(H$2, Percentiles!$A$45:$I$59, 6, FALSE), perc_90, VLOOKUP(H$2, Percentiles!$A$45:$I$59, 7, FALSE), perc_95, VLOOKUP(H$2, Percentiles!$A$45:$I$59, 8, FALSE), perc_85, perc_75 + (perc_90 - perc_75) * (2/3), converted_stat, '2K_Ratings'!H166, IF(bbgm_stat &gt;= perc_95, converted_stat * 3, IF(bbgm_stat &gt;= perc_90, converted_stat * 2, IF(bbgm_stat &gt;= perc_85, converted_stat * 1.5, converted_stat)))))</f>
        <v/>
      </c>
      <c r="I166" s="30" t="str">
        <f t="array" ref="I166">IF($A166="", "", LET(bbgm_stat, INDEX(Players!$A165:$P165, MATCH(I$2, Players!$A$1:$P$1, 0)), perc_75, VLOOKUP(I$2, Percentiles!$A$45:$I$59, 6, FALSE), perc_90, VLOOKUP(I$2, Percentiles!$A$45:$I$59, 7, FALSE), perc_95, VLOOKUP(I$2, Percentiles!$A$45:$I$59, 8, FALSE), perc_85, perc_75 + (perc_90 - perc_75) * (2/3), converted_stat, '2K_Ratings'!I166, IF(bbgm_stat &gt;= perc_95, converted_stat * 3, IF(bbgm_stat &gt;= perc_90, converted_stat * 2, IF(bbgm_stat &gt;= perc_85, converted_stat * 1.5, converted_stat)))))</f>
        <v/>
      </c>
      <c r="J166" s="30" t="str">
        <f t="array" ref="J166">IF($A166="", "", LET(bbgm_stat, INDEX(Players!$A165:$P165, MATCH(J$2, Players!$A$1:$P$1, 0)), perc_75, VLOOKUP(J$2, Percentiles!$A$45:$I$59, 6, FALSE), perc_90, VLOOKUP(J$2, Percentiles!$A$45:$I$59, 7, FALSE), perc_95, VLOOKUP(J$2, Percentiles!$A$45:$I$59, 8, FALSE), perc_85, perc_75 + (perc_90 - perc_75) * (2/3), converted_stat, '2K_Ratings'!J166, IF(bbgm_stat &gt;= perc_95, converted_stat * 3, IF(bbgm_stat &gt;= perc_90, converted_stat * 2, IF(bbgm_stat &gt;= perc_85, converted_stat * 1.5, converted_stat)))))</f>
        <v/>
      </c>
      <c r="K166" s="30" t="str">
        <f t="array" ref="K166">IF($A166="", "", LET(bbgm_stat, INDEX(Players!$A165:$P165, MATCH(K$2, Players!$A$1:$P$1, 0)), perc_75, VLOOKUP(K$2, Percentiles!$A$45:$I$59, 6, FALSE), perc_90, VLOOKUP(K$2, Percentiles!$A$45:$I$59, 7, FALSE), perc_95, VLOOKUP(K$2, Percentiles!$A$45:$I$59, 8, FALSE), perc_85, perc_75 + (perc_90 - perc_75) * (2/3), converted_stat, '2K_Ratings'!K166, IF(bbgm_stat &gt;= perc_95, converted_stat * 3, IF(bbgm_stat &gt;= perc_90, converted_stat * 2, IF(bbgm_stat &gt;= perc_85, converted_stat * 1.5, converted_stat)))))</f>
        <v/>
      </c>
      <c r="L166" s="30" t="str">
        <f t="array" ref="L166">IF($A166="", "", LET(bbgm_stat, INDEX(Players!$A165:$P165, MATCH(L$2, Players!$A$1:$P$1, 0)), perc_75, VLOOKUP(L$2, Percentiles!$A$45:$I$59, 6, FALSE), perc_90, VLOOKUP(L$2, Percentiles!$A$45:$I$59, 7, FALSE), perc_95, VLOOKUP(L$2, Percentiles!$A$45:$I$59, 8, FALSE), perc_85, perc_75 + (perc_90 - perc_75) * (2/3), converted_stat, '2K_Ratings'!L166, IF(bbgm_stat &gt;= perc_95, converted_stat * 3, IF(bbgm_stat &gt;= perc_90, converted_stat * 2, IF(bbgm_stat &gt;= perc_85, converted_stat * 1.5, converted_stat)))))</f>
        <v/>
      </c>
      <c r="M166" s="30" t="str">
        <f t="array" ref="M166">IF($A166="", "", LET(bbgm_stat, INDEX(Players!$A165:$P165, MATCH(M$2, Players!$A$1:$P$1, 0)), perc_75, VLOOKUP(M$2, Percentiles!$A$45:$I$59, 6, FALSE), perc_90, VLOOKUP(M$2, Percentiles!$A$45:$I$59, 7, FALSE), perc_95, VLOOKUP(M$2, Percentiles!$A$45:$I$59, 8, FALSE), perc_85, perc_75 + (perc_90 - perc_75) * (2/3), converted_stat, '2K_Ratings'!M166, IF(bbgm_stat &gt;= perc_95, converted_stat * 3, IF(bbgm_stat &gt;= perc_90, converted_stat * 2, IF(bbgm_stat &gt;= perc_85, converted_stat * 1.5, converted_stat)))))</f>
        <v/>
      </c>
      <c r="N166" s="30" t="str">
        <f t="array" ref="N166">IF($A166="", "", LET(bbgm_stat, INDEX(Players!$A165:$P165, MATCH(N$2, Players!$A$1:$P$1, 0)), perc_75, VLOOKUP(N$2, Percentiles!$A$45:$I$59, 6, FALSE), perc_90, VLOOKUP(N$2, Percentiles!$A$45:$I$59, 7, FALSE), perc_95, VLOOKUP(N$2, Percentiles!$A$45:$I$59, 8, FALSE), perc_85, perc_75 + (perc_90 - perc_75) * (2/3), converted_stat, '2K_Ratings'!N166, IF(bbgm_stat &gt;= perc_95, converted_stat * 3, IF(bbgm_stat &gt;= perc_90, converted_stat * 2, IF(bbgm_stat &gt;= perc_85, converted_stat * 1.5, converted_stat)))))</f>
        <v/>
      </c>
      <c r="O166" s="30" t="str">
        <f t="array" ref="O166">IF($A166="", "", LET(bbgm_stat, INDEX(Players!$A165:$P165, MATCH(O$2, Players!$A$1:$P$1, 0)), perc_75, VLOOKUP(O$2, Percentiles!$A$45:$I$59, 6, FALSE), perc_90, VLOOKUP(O$2, Percentiles!$A$45:$I$59, 7, FALSE), perc_95, VLOOKUP(O$2, Percentiles!$A$45:$I$59, 8, FALSE), perc_85, perc_75 + (perc_90 - perc_75) * (2/3), converted_stat, '2K_Ratings'!O166, IF(bbgm_stat &gt;= perc_95, converted_stat * 3, IF(bbgm_stat &gt;= perc_90, converted_stat * 2, IF(bbgm_stat &gt;= perc_85, converted_stat * 1.5, converted_stat)))))</f>
        <v/>
      </c>
      <c r="P166" s="30" t="str">
        <f t="array" ref="P166">IF($A166="", "", LET(bbgm_stat, INDEX(Players!$A165:$P165, MATCH(P$2, Players!$A$1:$P$1, 0)), perc_75, VLOOKUP(P$2, Percentiles!$A$45:$I$59, 6, FALSE), perc_90, VLOOKUP(P$2, Percentiles!$A$45:$I$59, 7, FALSE), perc_95, VLOOKUP(P$2, Percentiles!$A$45:$I$59, 8, FALSE), perc_85, perc_75 + (perc_90 - perc_75) * (2/3), converted_stat, '2K_Ratings'!P166, IF(bbgm_stat &gt;= perc_95, converted_stat * 3, IF(bbgm_stat &gt;= perc_90, converted_stat * 2, IF(bbgm_stat &gt;= perc_85, converted_stat * 1.5, converted_stat)))))</f>
        <v/>
      </c>
      <c r="Q166" s="30" t="str">
        <f t="array" ref="Q166">IF($A166="", "", LET(bbgm_stat, INDEX(Players!$A165:$P165, MATCH(Q$2, Players!$A$1:$P$1, 0)), perc_75, VLOOKUP(Q$2, Percentiles!$A$45:$I$59, 6, FALSE), perc_90, VLOOKUP(Q$2, Percentiles!$A$45:$I$59, 7, FALSE), perc_95, VLOOKUP(Q$2, Percentiles!$A$45:$I$59, 8, FALSE), perc_85, perc_75 + (perc_90 - perc_75) * (2/3), converted_stat, '2K_Ratings'!Q166, IF(bbgm_stat &gt;= perc_95, converted_stat * 3, IF(bbgm_stat &gt;= perc_90, converted_stat * 2, IF(bbgm_stat &gt;= perc_85, converted_stat * 1.5, converted_stat)))))</f>
        <v/>
      </c>
      <c r="R166" s="30" t="str">
        <f t="array" ref="R166">IF($A166="", "", LET(bbgm_stat, INDEX(Players!$A165:$P165, MATCH(R$2, Players!$A$1:$P$1, 0)), perc_75, VLOOKUP(R$2, Percentiles!$A$45:$I$59, 6, FALSE), perc_90, VLOOKUP(R$2, Percentiles!$A$45:$I$59, 7, FALSE), perc_95, VLOOKUP(R$2, Percentiles!$A$45:$I$59, 8, FALSE), perc_85, perc_75 + (perc_90 - perc_75) * (2/3), converted_stat, '2K_Ratings'!R166, IF(bbgm_stat &gt;= perc_95, converted_stat * 3, IF(bbgm_stat &gt;= perc_90, converted_stat * 2, IF(bbgm_stat &gt;= perc_85, converted_stat * 1.5, converted_stat)))))</f>
        <v/>
      </c>
      <c r="S166" s="30" t="str">
        <f t="array" ref="S166">IF($A166="", "", LET(bbgm_stat, INDEX(Players!$A165:$P165, MATCH(S$2, Players!$A$1:$P$1, 0)), perc_75, VLOOKUP(S$2, Percentiles!$A$45:$I$59, 6, FALSE), perc_90, VLOOKUP(S$2, Percentiles!$A$45:$I$59, 7, FALSE), perc_95, VLOOKUP(S$2, Percentiles!$A$45:$I$59, 8, FALSE), perc_85, perc_75 + (perc_90 - perc_75) * (2/3), converted_stat, '2K_Ratings'!S166, IF(bbgm_stat &gt;= perc_95, converted_stat * 3, IF(bbgm_stat &gt;= perc_90, converted_stat * 2, IF(bbgm_stat &gt;= perc_85, converted_stat * 1.5, converted_stat)))))</f>
        <v/>
      </c>
      <c r="T166" s="30" t="str">
        <f t="array" ref="T166">IF($A166="", "", LET(bbgm_stat, INDEX(Players!$A165:$P165, MATCH(T$2, Players!$A$1:$P$1, 0)), perc_75, VLOOKUP(T$2, Percentiles!$A$45:$I$59, 6, FALSE), perc_90, VLOOKUP(T$2, Percentiles!$A$45:$I$59, 7, FALSE), perc_95, VLOOKUP(T$2, Percentiles!$A$45:$I$59, 8, FALSE), perc_85, perc_75 + (perc_90 - perc_75) * (2/3), converted_stat, '2K_Ratings'!T166, IF(bbgm_stat &gt;= perc_95, converted_stat * 3, IF(bbgm_stat &gt;= perc_90, converted_stat * 2, IF(bbgm_stat &gt;= perc_85, converted_stat * 1.5, converted_stat)))))</f>
        <v/>
      </c>
      <c r="U166" s="30" t="str">
        <f t="array" ref="U166">IF($A166="", "", LET(bbgm_stat, INDEX(Players!$A165:$P165, MATCH(U$2, Players!$A$1:$P$1, 0)), perc_75, VLOOKUP(U$2, Percentiles!$A$45:$I$59, 6, FALSE), perc_90, VLOOKUP(U$2, Percentiles!$A$45:$I$59, 7, FALSE), perc_95, VLOOKUP(U$2, Percentiles!$A$45:$I$59, 8, FALSE), perc_85, perc_75 + (perc_90 - perc_75) * (2/3), converted_stat, '2K_Ratings'!U166, IF(bbgm_stat &gt;= perc_95, converted_stat * 3, IF(bbgm_stat &gt;= perc_90, converted_stat * 2, IF(bbgm_stat &gt;= perc_85, converted_stat * 1.5, converted_stat)))))</f>
        <v/>
      </c>
      <c r="V166" s="30" t="str">
        <f t="array" ref="V166">IF($A166="", "", LET(bbgm_stat, INDEX(Players!$A165:$P165, MATCH(V$2, Players!$A$1:$P$1, 0)), perc_75, VLOOKUP(V$2, Percentiles!$A$45:$I$59, 6, FALSE), perc_90, VLOOKUP(V$2, Percentiles!$A$45:$I$59, 7, FALSE), perc_95, VLOOKUP(V$2, Percentiles!$A$45:$I$59, 8, FALSE), perc_85, perc_75 + (perc_90 - perc_75) * (2/3), converted_stat, '2K_Ratings'!V166, IF(bbgm_stat &gt;= perc_95, converted_stat * 3, IF(bbgm_stat &gt;= perc_90, converted_stat * 2, IF(bbgm_stat &gt;= perc_85, converted_stat * 1.5, converted_stat)))))</f>
        <v/>
      </c>
      <c r="W166" s="30" t="str">
        <f t="array" ref="W166">IF($A166="", "", LET(bbgm_stat, INDEX(Players!$A165:$P165, MATCH(W$2, Players!$A$1:$P$1, 0)), perc_75, VLOOKUP(W$2, Percentiles!$A$45:$I$59, 6, FALSE), perc_90, VLOOKUP(W$2, Percentiles!$A$45:$I$59, 7, FALSE), perc_95, VLOOKUP(W$2, Percentiles!$A$45:$I$59, 8, FALSE), perc_85, perc_75 + (perc_90 - perc_75) * (2/3), converted_stat, '2K_Ratings'!W166, IF(bbgm_stat &gt;= perc_95, converted_stat * 3, IF(bbgm_stat &gt;= perc_90, converted_stat * 2, IF(bbgm_stat &gt;= perc_85, converted_stat * 1.5, converted_stat)))))</f>
        <v/>
      </c>
    </row>
    <row r="167">
      <c r="A167" s="30"/>
      <c r="B167" s="30" t="str">
        <f t="array" ref="B167">IF($A167="", "", LET(bbgm_stat, INDEX(Players!$A166:$P166, MATCH(B$2, Players!$A$1:$P$1, 0)), perc_75, VLOOKUP(B$2, Percentiles!$A$45:$I$59, 6, FALSE), perc_90, VLOOKUP(B$2, Percentiles!$A$45:$I$59, 7, FALSE), perc_95, VLOOKUP(B$2, Percentiles!$A$45:$I$59, 8, FALSE), perc_85, perc_75 + (perc_90 - perc_75) * (2/3), converted_stat, '2K_Ratings'!B167, IF(bbgm_stat &gt;= perc_95, converted_stat * 3, IF(bbgm_stat &gt;= perc_90, converted_stat * 2, IF(bbgm_stat &gt;= perc_85, converted_stat * 1.5, converted_stat)))))</f>
        <v/>
      </c>
      <c r="C167" s="30" t="str">
        <f t="array" ref="C167">IF($A167="", "", LET(bbgm_stat, INDEX(Players!$A166:$P166, MATCH(C$2, Players!$A$1:$P$1, 0)), perc_75, VLOOKUP(C$2, Percentiles!$A$45:$I$59, 6, FALSE), perc_90, VLOOKUP(C$2, Percentiles!$A$45:$I$59, 7, FALSE), perc_95, VLOOKUP(C$2, Percentiles!$A$45:$I$59, 8, FALSE), perc_85, perc_75 + (perc_90 - perc_75) * (2/3), converted_stat, '2K_Ratings'!C167, IF(bbgm_stat &gt;= perc_95, converted_stat * 3, IF(bbgm_stat &gt;= perc_90, converted_stat * 2, IF(bbgm_stat &gt;= perc_85, converted_stat * 1.5, converted_stat)))))</f>
        <v/>
      </c>
      <c r="D167" s="30" t="str">
        <f t="array" ref="D167">IF($A167="", "", LET(bbgm_stat, INDEX(Players!$A166:$P166, MATCH(D$2, Players!$A$1:$P$1, 0)), perc_75, VLOOKUP(D$2, Percentiles!$A$45:$I$59, 6, FALSE), perc_90, VLOOKUP(D$2, Percentiles!$A$45:$I$59, 7, FALSE), perc_95, VLOOKUP(D$2, Percentiles!$A$45:$I$59, 8, FALSE), perc_85, perc_75 + (perc_90 - perc_75) * (2/3), converted_stat, '2K_Ratings'!D167, IF(bbgm_stat &gt;= perc_95, converted_stat * 3, IF(bbgm_stat &gt;= perc_90, converted_stat * 2, IF(bbgm_stat &gt;= perc_85, converted_stat * 1.5, converted_stat)))))</f>
        <v/>
      </c>
      <c r="E167" s="30" t="str">
        <f t="array" ref="E167">IF($A167="", "", LET(bbgm_stat, INDEX(Players!$A166:$P166, MATCH(E$2, Players!$A$1:$P$1, 0)), perc_75, VLOOKUP(E$2, Percentiles!$A$45:$I$59, 6, FALSE), perc_90, VLOOKUP(E$2, Percentiles!$A$45:$I$59, 7, FALSE), perc_95, VLOOKUP(E$2, Percentiles!$A$45:$I$59, 8, FALSE), perc_85, perc_75 + (perc_90 - perc_75) * (2/3), converted_stat, '2K_Ratings'!E167, IF(bbgm_stat &gt;= perc_95, converted_stat * 3, IF(bbgm_stat &gt;= perc_90, converted_stat * 2, IF(bbgm_stat &gt;= perc_85, converted_stat * 1.5, converted_stat)))))</f>
        <v/>
      </c>
      <c r="F167" s="30" t="str">
        <f t="array" ref="F167">IF($A167="", "", LET(bbgm_stat, INDEX(Players!$A166:$P166, MATCH(F$2, Players!$A$1:$P$1, 0)), perc_75, VLOOKUP(F$2, Percentiles!$A$45:$I$59, 6, FALSE), perc_90, VLOOKUP(F$2, Percentiles!$A$45:$I$59, 7, FALSE), perc_95, VLOOKUP(F$2, Percentiles!$A$45:$I$59, 8, FALSE), perc_85, perc_75 + (perc_90 - perc_75) * (2/3), converted_stat, '2K_Ratings'!F167, IF(bbgm_stat &gt;= perc_95, converted_stat * 3, IF(bbgm_stat &gt;= perc_90, converted_stat * 2, IF(bbgm_stat &gt;= perc_85, converted_stat * 1.5, converted_stat)))))</f>
        <v/>
      </c>
      <c r="G167" s="30" t="str">
        <f t="array" ref="G167">IF($A167="", "", LET(bbgm_stat, INDEX(Players!$A166:$P166, MATCH(G$2, Players!$A$1:$P$1, 0)), perc_75, VLOOKUP(G$2, Percentiles!$A$45:$I$59, 6, FALSE), perc_90, VLOOKUP(G$2, Percentiles!$A$45:$I$59, 7, FALSE), perc_95, VLOOKUP(G$2, Percentiles!$A$45:$I$59, 8, FALSE), perc_85, perc_75 + (perc_90 - perc_75) * (2/3), converted_stat, '2K_Ratings'!G167, IF(bbgm_stat &gt;= perc_95, converted_stat * 3, IF(bbgm_stat &gt;= perc_90, converted_stat * 2, IF(bbgm_stat &gt;= perc_85, converted_stat * 1.5, converted_stat)))))</f>
        <v/>
      </c>
      <c r="H167" s="30" t="str">
        <f t="array" ref="H167">IF($A167="", "", LET(bbgm_stat, INDEX(Players!$A166:$P166, MATCH(H$2, Players!$A$1:$P$1, 0)), perc_75, VLOOKUP(H$2, Percentiles!$A$45:$I$59, 6, FALSE), perc_90, VLOOKUP(H$2, Percentiles!$A$45:$I$59, 7, FALSE), perc_95, VLOOKUP(H$2, Percentiles!$A$45:$I$59, 8, FALSE), perc_85, perc_75 + (perc_90 - perc_75) * (2/3), converted_stat, '2K_Ratings'!H167, IF(bbgm_stat &gt;= perc_95, converted_stat * 3, IF(bbgm_stat &gt;= perc_90, converted_stat * 2, IF(bbgm_stat &gt;= perc_85, converted_stat * 1.5, converted_stat)))))</f>
        <v/>
      </c>
      <c r="I167" s="30" t="str">
        <f t="array" ref="I167">IF($A167="", "", LET(bbgm_stat, INDEX(Players!$A166:$P166, MATCH(I$2, Players!$A$1:$P$1, 0)), perc_75, VLOOKUP(I$2, Percentiles!$A$45:$I$59, 6, FALSE), perc_90, VLOOKUP(I$2, Percentiles!$A$45:$I$59, 7, FALSE), perc_95, VLOOKUP(I$2, Percentiles!$A$45:$I$59, 8, FALSE), perc_85, perc_75 + (perc_90 - perc_75) * (2/3), converted_stat, '2K_Ratings'!I167, IF(bbgm_stat &gt;= perc_95, converted_stat * 3, IF(bbgm_stat &gt;= perc_90, converted_stat * 2, IF(bbgm_stat &gt;= perc_85, converted_stat * 1.5, converted_stat)))))</f>
        <v/>
      </c>
      <c r="J167" s="30" t="str">
        <f t="array" ref="J167">IF($A167="", "", LET(bbgm_stat, INDEX(Players!$A166:$P166, MATCH(J$2, Players!$A$1:$P$1, 0)), perc_75, VLOOKUP(J$2, Percentiles!$A$45:$I$59, 6, FALSE), perc_90, VLOOKUP(J$2, Percentiles!$A$45:$I$59, 7, FALSE), perc_95, VLOOKUP(J$2, Percentiles!$A$45:$I$59, 8, FALSE), perc_85, perc_75 + (perc_90 - perc_75) * (2/3), converted_stat, '2K_Ratings'!J167, IF(bbgm_stat &gt;= perc_95, converted_stat * 3, IF(bbgm_stat &gt;= perc_90, converted_stat * 2, IF(bbgm_stat &gt;= perc_85, converted_stat * 1.5, converted_stat)))))</f>
        <v/>
      </c>
      <c r="K167" s="30" t="str">
        <f t="array" ref="K167">IF($A167="", "", LET(bbgm_stat, INDEX(Players!$A166:$P166, MATCH(K$2, Players!$A$1:$P$1, 0)), perc_75, VLOOKUP(K$2, Percentiles!$A$45:$I$59, 6, FALSE), perc_90, VLOOKUP(K$2, Percentiles!$A$45:$I$59, 7, FALSE), perc_95, VLOOKUP(K$2, Percentiles!$A$45:$I$59, 8, FALSE), perc_85, perc_75 + (perc_90 - perc_75) * (2/3), converted_stat, '2K_Ratings'!K167, IF(bbgm_stat &gt;= perc_95, converted_stat * 3, IF(bbgm_stat &gt;= perc_90, converted_stat * 2, IF(bbgm_stat &gt;= perc_85, converted_stat * 1.5, converted_stat)))))</f>
        <v/>
      </c>
      <c r="L167" s="30" t="str">
        <f t="array" ref="L167">IF($A167="", "", LET(bbgm_stat, INDEX(Players!$A166:$P166, MATCH(L$2, Players!$A$1:$P$1, 0)), perc_75, VLOOKUP(L$2, Percentiles!$A$45:$I$59, 6, FALSE), perc_90, VLOOKUP(L$2, Percentiles!$A$45:$I$59, 7, FALSE), perc_95, VLOOKUP(L$2, Percentiles!$A$45:$I$59, 8, FALSE), perc_85, perc_75 + (perc_90 - perc_75) * (2/3), converted_stat, '2K_Ratings'!L167, IF(bbgm_stat &gt;= perc_95, converted_stat * 3, IF(bbgm_stat &gt;= perc_90, converted_stat * 2, IF(bbgm_stat &gt;= perc_85, converted_stat * 1.5, converted_stat)))))</f>
        <v/>
      </c>
      <c r="M167" s="30" t="str">
        <f t="array" ref="M167">IF($A167="", "", LET(bbgm_stat, INDEX(Players!$A166:$P166, MATCH(M$2, Players!$A$1:$P$1, 0)), perc_75, VLOOKUP(M$2, Percentiles!$A$45:$I$59, 6, FALSE), perc_90, VLOOKUP(M$2, Percentiles!$A$45:$I$59, 7, FALSE), perc_95, VLOOKUP(M$2, Percentiles!$A$45:$I$59, 8, FALSE), perc_85, perc_75 + (perc_90 - perc_75) * (2/3), converted_stat, '2K_Ratings'!M167, IF(bbgm_stat &gt;= perc_95, converted_stat * 3, IF(bbgm_stat &gt;= perc_90, converted_stat * 2, IF(bbgm_stat &gt;= perc_85, converted_stat * 1.5, converted_stat)))))</f>
        <v/>
      </c>
      <c r="N167" s="30" t="str">
        <f t="array" ref="N167">IF($A167="", "", LET(bbgm_stat, INDEX(Players!$A166:$P166, MATCH(N$2, Players!$A$1:$P$1, 0)), perc_75, VLOOKUP(N$2, Percentiles!$A$45:$I$59, 6, FALSE), perc_90, VLOOKUP(N$2, Percentiles!$A$45:$I$59, 7, FALSE), perc_95, VLOOKUP(N$2, Percentiles!$A$45:$I$59, 8, FALSE), perc_85, perc_75 + (perc_90 - perc_75) * (2/3), converted_stat, '2K_Ratings'!N167, IF(bbgm_stat &gt;= perc_95, converted_stat * 3, IF(bbgm_stat &gt;= perc_90, converted_stat * 2, IF(bbgm_stat &gt;= perc_85, converted_stat * 1.5, converted_stat)))))</f>
        <v/>
      </c>
      <c r="O167" s="30" t="str">
        <f t="array" ref="O167">IF($A167="", "", LET(bbgm_stat, INDEX(Players!$A166:$P166, MATCH(O$2, Players!$A$1:$P$1, 0)), perc_75, VLOOKUP(O$2, Percentiles!$A$45:$I$59, 6, FALSE), perc_90, VLOOKUP(O$2, Percentiles!$A$45:$I$59, 7, FALSE), perc_95, VLOOKUP(O$2, Percentiles!$A$45:$I$59, 8, FALSE), perc_85, perc_75 + (perc_90 - perc_75) * (2/3), converted_stat, '2K_Ratings'!O167, IF(bbgm_stat &gt;= perc_95, converted_stat * 3, IF(bbgm_stat &gt;= perc_90, converted_stat * 2, IF(bbgm_stat &gt;= perc_85, converted_stat * 1.5, converted_stat)))))</f>
        <v/>
      </c>
      <c r="P167" s="30" t="str">
        <f t="array" ref="P167">IF($A167="", "", LET(bbgm_stat, INDEX(Players!$A166:$P166, MATCH(P$2, Players!$A$1:$P$1, 0)), perc_75, VLOOKUP(P$2, Percentiles!$A$45:$I$59, 6, FALSE), perc_90, VLOOKUP(P$2, Percentiles!$A$45:$I$59, 7, FALSE), perc_95, VLOOKUP(P$2, Percentiles!$A$45:$I$59, 8, FALSE), perc_85, perc_75 + (perc_90 - perc_75) * (2/3), converted_stat, '2K_Ratings'!P167, IF(bbgm_stat &gt;= perc_95, converted_stat * 3, IF(bbgm_stat &gt;= perc_90, converted_stat * 2, IF(bbgm_stat &gt;= perc_85, converted_stat * 1.5, converted_stat)))))</f>
        <v/>
      </c>
      <c r="Q167" s="30" t="str">
        <f t="array" ref="Q167">IF($A167="", "", LET(bbgm_stat, INDEX(Players!$A166:$P166, MATCH(Q$2, Players!$A$1:$P$1, 0)), perc_75, VLOOKUP(Q$2, Percentiles!$A$45:$I$59, 6, FALSE), perc_90, VLOOKUP(Q$2, Percentiles!$A$45:$I$59, 7, FALSE), perc_95, VLOOKUP(Q$2, Percentiles!$A$45:$I$59, 8, FALSE), perc_85, perc_75 + (perc_90 - perc_75) * (2/3), converted_stat, '2K_Ratings'!Q167, IF(bbgm_stat &gt;= perc_95, converted_stat * 3, IF(bbgm_stat &gt;= perc_90, converted_stat * 2, IF(bbgm_stat &gt;= perc_85, converted_stat * 1.5, converted_stat)))))</f>
        <v/>
      </c>
      <c r="R167" s="30" t="str">
        <f t="array" ref="R167">IF($A167="", "", LET(bbgm_stat, INDEX(Players!$A166:$P166, MATCH(R$2, Players!$A$1:$P$1, 0)), perc_75, VLOOKUP(R$2, Percentiles!$A$45:$I$59, 6, FALSE), perc_90, VLOOKUP(R$2, Percentiles!$A$45:$I$59, 7, FALSE), perc_95, VLOOKUP(R$2, Percentiles!$A$45:$I$59, 8, FALSE), perc_85, perc_75 + (perc_90 - perc_75) * (2/3), converted_stat, '2K_Ratings'!R167, IF(bbgm_stat &gt;= perc_95, converted_stat * 3, IF(bbgm_stat &gt;= perc_90, converted_stat * 2, IF(bbgm_stat &gt;= perc_85, converted_stat * 1.5, converted_stat)))))</f>
        <v/>
      </c>
      <c r="S167" s="30" t="str">
        <f t="array" ref="S167">IF($A167="", "", LET(bbgm_stat, INDEX(Players!$A166:$P166, MATCH(S$2, Players!$A$1:$P$1, 0)), perc_75, VLOOKUP(S$2, Percentiles!$A$45:$I$59, 6, FALSE), perc_90, VLOOKUP(S$2, Percentiles!$A$45:$I$59, 7, FALSE), perc_95, VLOOKUP(S$2, Percentiles!$A$45:$I$59, 8, FALSE), perc_85, perc_75 + (perc_90 - perc_75) * (2/3), converted_stat, '2K_Ratings'!S167, IF(bbgm_stat &gt;= perc_95, converted_stat * 3, IF(bbgm_stat &gt;= perc_90, converted_stat * 2, IF(bbgm_stat &gt;= perc_85, converted_stat * 1.5, converted_stat)))))</f>
        <v/>
      </c>
      <c r="T167" s="30" t="str">
        <f t="array" ref="T167">IF($A167="", "", LET(bbgm_stat, INDEX(Players!$A166:$P166, MATCH(T$2, Players!$A$1:$P$1, 0)), perc_75, VLOOKUP(T$2, Percentiles!$A$45:$I$59, 6, FALSE), perc_90, VLOOKUP(T$2, Percentiles!$A$45:$I$59, 7, FALSE), perc_95, VLOOKUP(T$2, Percentiles!$A$45:$I$59, 8, FALSE), perc_85, perc_75 + (perc_90 - perc_75) * (2/3), converted_stat, '2K_Ratings'!T167, IF(bbgm_stat &gt;= perc_95, converted_stat * 3, IF(bbgm_stat &gt;= perc_90, converted_stat * 2, IF(bbgm_stat &gt;= perc_85, converted_stat * 1.5, converted_stat)))))</f>
        <v/>
      </c>
      <c r="U167" s="30" t="str">
        <f t="array" ref="U167">IF($A167="", "", LET(bbgm_stat, INDEX(Players!$A166:$P166, MATCH(U$2, Players!$A$1:$P$1, 0)), perc_75, VLOOKUP(U$2, Percentiles!$A$45:$I$59, 6, FALSE), perc_90, VLOOKUP(U$2, Percentiles!$A$45:$I$59, 7, FALSE), perc_95, VLOOKUP(U$2, Percentiles!$A$45:$I$59, 8, FALSE), perc_85, perc_75 + (perc_90 - perc_75) * (2/3), converted_stat, '2K_Ratings'!U167, IF(bbgm_stat &gt;= perc_95, converted_stat * 3, IF(bbgm_stat &gt;= perc_90, converted_stat * 2, IF(bbgm_stat &gt;= perc_85, converted_stat * 1.5, converted_stat)))))</f>
        <v/>
      </c>
      <c r="V167" s="30" t="str">
        <f t="array" ref="V167">IF($A167="", "", LET(bbgm_stat, INDEX(Players!$A166:$P166, MATCH(V$2, Players!$A$1:$P$1, 0)), perc_75, VLOOKUP(V$2, Percentiles!$A$45:$I$59, 6, FALSE), perc_90, VLOOKUP(V$2, Percentiles!$A$45:$I$59, 7, FALSE), perc_95, VLOOKUP(V$2, Percentiles!$A$45:$I$59, 8, FALSE), perc_85, perc_75 + (perc_90 - perc_75) * (2/3), converted_stat, '2K_Ratings'!V167, IF(bbgm_stat &gt;= perc_95, converted_stat * 3, IF(bbgm_stat &gt;= perc_90, converted_stat * 2, IF(bbgm_stat &gt;= perc_85, converted_stat * 1.5, converted_stat)))))</f>
        <v/>
      </c>
      <c r="W167" s="30" t="str">
        <f t="array" ref="W167">IF($A167="", "", LET(bbgm_stat, INDEX(Players!$A166:$P166, MATCH(W$2, Players!$A$1:$P$1, 0)), perc_75, VLOOKUP(W$2, Percentiles!$A$45:$I$59, 6, FALSE), perc_90, VLOOKUP(W$2, Percentiles!$A$45:$I$59, 7, FALSE), perc_95, VLOOKUP(W$2, Percentiles!$A$45:$I$59, 8, FALSE), perc_85, perc_75 + (perc_90 - perc_75) * (2/3), converted_stat, '2K_Ratings'!W167, IF(bbgm_stat &gt;= perc_95, converted_stat * 3, IF(bbgm_stat &gt;= perc_90, converted_stat * 2, IF(bbgm_stat &gt;= perc_85, converted_stat * 1.5, converted_stat)))))</f>
        <v/>
      </c>
    </row>
    <row r="168">
      <c r="A168" s="30"/>
      <c r="B168" s="30" t="str">
        <f t="array" ref="B168">IF($A168="", "", LET(bbgm_stat, INDEX(Players!$A167:$P167, MATCH(B$2, Players!$A$1:$P$1, 0)), perc_75, VLOOKUP(B$2, Percentiles!$A$45:$I$59, 6, FALSE), perc_90, VLOOKUP(B$2, Percentiles!$A$45:$I$59, 7, FALSE), perc_95, VLOOKUP(B$2, Percentiles!$A$45:$I$59, 8, FALSE), perc_85, perc_75 + (perc_90 - perc_75) * (2/3), converted_stat, '2K_Ratings'!B168, IF(bbgm_stat &gt;= perc_95, converted_stat * 3, IF(bbgm_stat &gt;= perc_90, converted_stat * 2, IF(bbgm_stat &gt;= perc_85, converted_stat * 1.5, converted_stat)))))</f>
        <v/>
      </c>
      <c r="C168" s="30" t="str">
        <f t="array" ref="C168">IF($A168="", "", LET(bbgm_stat, INDEX(Players!$A167:$P167, MATCH(C$2, Players!$A$1:$P$1, 0)), perc_75, VLOOKUP(C$2, Percentiles!$A$45:$I$59, 6, FALSE), perc_90, VLOOKUP(C$2, Percentiles!$A$45:$I$59, 7, FALSE), perc_95, VLOOKUP(C$2, Percentiles!$A$45:$I$59, 8, FALSE), perc_85, perc_75 + (perc_90 - perc_75) * (2/3), converted_stat, '2K_Ratings'!C168, IF(bbgm_stat &gt;= perc_95, converted_stat * 3, IF(bbgm_stat &gt;= perc_90, converted_stat * 2, IF(bbgm_stat &gt;= perc_85, converted_stat * 1.5, converted_stat)))))</f>
        <v/>
      </c>
      <c r="D168" s="30" t="str">
        <f t="array" ref="D168">IF($A168="", "", LET(bbgm_stat, INDEX(Players!$A167:$P167, MATCH(D$2, Players!$A$1:$P$1, 0)), perc_75, VLOOKUP(D$2, Percentiles!$A$45:$I$59, 6, FALSE), perc_90, VLOOKUP(D$2, Percentiles!$A$45:$I$59, 7, FALSE), perc_95, VLOOKUP(D$2, Percentiles!$A$45:$I$59, 8, FALSE), perc_85, perc_75 + (perc_90 - perc_75) * (2/3), converted_stat, '2K_Ratings'!D168, IF(bbgm_stat &gt;= perc_95, converted_stat * 3, IF(bbgm_stat &gt;= perc_90, converted_stat * 2, IF(bbgm_stat &gt;= perc_85, converted_stat * 1.5, converted_stat)))))</f>
        <v/>
      </c>
      <c r="E168" s="30" t="str">
        <f t="array" ref="E168">IF($A168="", "", LET(bbgm_stat, INDEX(Players!$A167:$P167, MATCH(E$2, Players!$A$1:$P$1, 0)), perc_75, VLOOKUP(E$2, Percentiles!$A$45:$I$59, 6, FALSE), perc_90, VLOOKUP(E$2, Percentiles!$A$45:$I$59, 7, FALSE), perc_95, VLOOKUP(E$2, Percentiles!$A$45:$I$59, 8, FALSE), perc_85, perc_75 + (perc_90 - perc_75) * (2/3), converted_stat, '2K_Ratings'!E168, IF(bbgm_stat &gt;= perc_95, converted_stat * 3, IF(bbgm_stat &gt;= perc_90, converted_stat * 2, IF(bbgm_stat &gt;= perc_85, converted_stat * 1.5, converted_stat)))))</f>
        <v/>
      </c>
      <c r="F168" s="30" t="str">
        <f t="array" ref="F168">IF($A168="", "", LET(bbgm_stat, INDEX(Players!$A167:$P167, MATCH(F$2, Players!$A$1:$P$1, 0)), perc_75, VLOOKUP(F$2, Percentiles!$A$45:$I$59, 6, FALSE), perc_90, VLOOKUP(F$2, Percentiles!$A$45:$I$59, 7, FALSE), perc_95, VLOOKUP(F$2, Percentiles!$A$45:$I$59, 8, FALSE), perc_85, perc_75 + (perc_90 - perc_75) * (2/3), converted_stat, '2K_Ratings'!F168, IF(bbgm_stat &gt;= perc_95, converted_stat * 3, IF(bbgm_stat &gt;= perc_90, converted_stat * 2, IF(bbgm_stat &gt;= perc_85, converted_stat * 1.5, converted_stat)))))</f>
        <v/>
      </c>
      <c r="G168" s="30" t="str">
        <f t="array" ref="G168">IF($A168="", "", LET(bbgm_stat, INDEX(Players!$A167:$P167, MATCH(G$2, Players!$A$1:$P$1, 0)), perc_75, VLOOKUP(G$2, Percentiles!$A$45:$I$59, 6, FALSE), perc_90, VLOOKUP(G$2, Percentiles!$A$45:$I$59, 7, FALSE), perc_95, VLOOKUP(G$2, Percentiles!$A$45:$I$59, 8, FALSE), perc_85, perc_75 + (perc_90 - perc_75) * (2/3), converted_stat, '2K_Ratings'!G168, IF(bbgm_stat &gt;= perc_95, converted_stat * 3, IF(bbgm_stat &gt;= perc_90, converted_stat * 2, IF(bbgm_stat &gt;= perc_85, converted_stat * 1.5, converted_stat)))))</f>
        <v/>
      </c>
      <c r="H168" s="30" t="str">
        <f t="array" ref="H168">IF($A168="", "", LET(bbgm_stat, INDEX(Players!$A167:$P167, MATCH(H$2, Players!$A$1:$P$1, 0)), perc_75, VLOOKUP(H$2, Percentiles!$A$45:$I$59, 6, FALSE), perc_90, VLOOKUP(H$2, Percentiles!$A$45:$I$59, 7, FALSE), perc_95, VLOOKUP(H$2, Percentiles!$A$45:$I$59, 8, FALSE), perc_85, perc_75 + (perc_90 - perc_75) * (2/3), converted_stat, '2K_Ratings'!H168, IF(bbgm_stat &gt;= perc_95, converted_stat * 3, IF(bbgm_stat &gt;= perc_90, converted_stat * 2, IF(bbgm_stat &gt;= perc_85, converted_stat * 1.5, converted_stat)))))</f>
        <v/>
      </c>
      <c r="I168" s="30" t="str">
        <f t="array" ref="I168">IF($A168="", "", LET(bbgm_stat, INDEX(Players!$A167:$P167, MATCH(I$2, Players!$A$1:$P$1, 0)), perc_75, VLOOKUP(I$2, Percentiles!$A$45:$I$59, 6, FALSE), perc_90, VLOOKUP(I$2, Percentiles!$A$45:$I$59, 7, FALSE), perc_95, VLOOKUP(I$2, Percentiles!$A$45:$I$59, 8, FALSE), perc_85, perc_75 + (perc_90 - perc_75) * (2/3), converted_stat, '2K_Ratings'!I168, IF(bbgm_stat &gt;= perc_95, converted_stat * 3, IF(bbgm_stat &gt;= perc_90, converted_stat * 2, IF(bbgm_stat &gt;= perc_85, converted_stat * 1.5, converted_stat)))))</f>
        <v/>
      </c>
      <c r="J168" s="30" t="str">
        <f t="array" ref="J168">IF($A168="", "", LET(bbgm_stat, INDEX(Players!$A167:$P167, MATCH(J$2, Players!$A$1:$P$1, 0)), perc_75, VLOOKUP(J$2, Percentiles!$A$45:$I$59, 6, FALSE), perc_90, VLOOKUP(J$2, Percentiles!$A$45:$I$59, 7, FALSE), perc_95, VLOOKUP(J$2, Percentiles!$A$45:$I$59, 8, FALSE), perc_85, perc_75 + (perc_90 - perc_75) * (2/3), converted_stat, '2K_Ratings'!J168, IF(bbgm_stat &gt;= perc_95, converted_stat * 3, IF(bbgm_stat &gt;= perc_90, converted_stat * 2, IF(bbgm_stat &gt;= perc_85, converted_stat * 1.5, converted_stat)))))</f>
        <v/>
      </c>
      <c r="K168" s="30" t="str">
        <f t="array" ref="K168">IF($A168="", "", LET(bbgm_stat, INDEX(Players!$A167:$P167, MATCH(K$2, Players!$A$1:$P$1, 0)), perc_75, VLOOKUP(K$2, Percentiles!$A$45:$I$59, 6, FALSE), perc_90, VLOOKUP(K$2, Percentiles!$A$45:$I$59, 7, FALSE), perc_95, VLOOKUP(K$2, Percentiles!$A$45:$I$59, 8, FALSE), perc_85, perc_75 + (perc_90 - perc_75) * (2/3), converted_stat, '2K_Ratings'!K168, IF(bbgm_stat &gt;= perc_95, converted_stat * 3, IF(bbgm_stat &gt;= perc_90, converted_stat * 2, IF(bbgm_stat &gt;= perc_85, converted_stat * 1.5, converted_stat)))))</f>
        <v/>
      </c>
      <c r="L168" s="30" t="str">
        <f t="array" ref="L168">IF($A168="", "", LET(bbgm_stat, INDEX(Players!$A167:$P167, MATCH(L$2, Players!$A$1:$P$1, 0)), perc_75, VLOOKUP(L$2, Percentiles!$A$45:$I$59, 6, FALSE), perc_90, VLOOKUP(L$2, Percentiles!$A$45:$I$59, 7, FALSE), perc_95, VLOOKUP(L$2, Percentiles!$A$45:$I$59, 8, FALSE), perc_85, perc_75 + (perc_90 - perc_75) * (2/3), converted_stat, '2K_Ratings'!L168, IF(bbgm_stat &gt;= perc_95, converted_stat * 3, IF(bbgm_stat &gt;= perc_90, converted_stat * 2, IF(bbgm_stat &gt;= perc_85, converted_stat * 1.5, converted_stat)))))</f>
        <v/>
      </c>
      <c r="M168" s="30" t="str">
        <f t="array" ref="M168">IF($A168="", "", LET(bbgm_stat, INDEX(Players!$A167:$P167, MATCH(M$2, Players!$A$1:$P$1, 0)), perc_75, VLOOKUP(M$2, Percentiles!$A$45:$I$59, 6, FALSE), perc_90, VLOOKUP(M$2, Percentiles!$A$45:$I$59, 7, FALSE), perc_95, VLOOKUP(M$2, Percentiles!$A$45:$I$59, 8, FALSE), perc_85, perc_75 + (perc_90 - perc_75) * (2/3), converted_stat, '2K_Ratings'!M168, IF(bbgm_stat &gt;= perc_95, converted_stat * 3, IF(bbgm_stat &gt;= perc_90, converted_stat * 2, IF(bbgm_stat &gt;= perc_85, converted_stat * 1.5, converted_stat)))))</f>
        <v/>
      </c>
      <c r="N168" s="30" t="str">
        <f t="array" ref="N168">IF($A168="", "", LET(bbgm_stat, INDEX(Players!$A167:$P167, MATCH(N$2, Players!$A$1:$P$1, 0)), perc_75, VLOOKUP(N$2, Percentiles!$A$45:$I$59, 6, FALSE), perc_90, VLOOKUP(N$2, Percentiles!$A$45:$I$59, 7, FALSE), perc_95, VLOOKUP(N$2, Percentiles!$A$45:$I$59, 8, FALSE), perc_85, perc_75 + (perc_90 - perc_75) * (2/3), converted_stat, '2K_Ratings'!N168, IF(bbgm_stat &gt;= perc_95, converted_stat * 3, IF(bbgm_stat &gt;= perc_90, converted_stat * 2, IF(bbgm_stat &gt;= perc_85, converted_stat * 1.5, converted_stat)))))</f>
        <v/>
      </c>
      <c r="O168" s="30" t="str">
        <f t="array" ref="O168">IF($A168="", "", LET(bbgm_stat, INDEX(Players!$A167:$P167, MATCH(O$2, Players!$A$1:$P$1, 0)), perc_75, VLOOKUP(O$2, Percentiles!$A$45:$I$59, 6, FALSE), perc_90, VLOOKUP(O$2, Percentiles!$A$45:$I$59, 7, FALSE), perc_95, VLOOKUP(O$2, Percentiles!$A$45:$I$59, 8, FALSE), perc_85, perc_75 + (perc_90 - perc_75) * (2/3), converted_stat, '2K_Ratings'!O168, IF(bbgm_stat &gt;= perc_95, converted_stat * 3, IF(bbgm_stat &gt;= perc_90, converted_stat * 2, IF(bbgm_stat &gt;= perc_85, converted_stat * 1.5, converted_stat)))))</f>
        <v/>
      </c>
      <c r="P168" s="30" t="str">
        <f t="array" ref="P168">IF($A168="", "", LET(bbgm_stat, INDEX(Players!$A167:$P167, MATCH(P$2, Players!$A$1:$P$1, 0)), perc_75, VLOOKUP(P$2, Percentiles!$A$45:$I$59, 6, FALSE), perc_90, VLOOKUP(P$2, Percentiles!$A$45:$I$59, 7, FALSE), perc_95, VLOOKUP(P$2, Percentiles!$A$45:$I$59, 8, FALSE), perc_85, perc_75 + (perc_90 - perc_75) * (2/3), converted_stat, '2K_Ratings'!P168, IF(bbgm_stat &gt;= perc_95, converted_stat * 3, IF(bbgm_stat &gt;= perc_90, converted_stat * 2, IF(bbgm_stat &gt;= perc_85, converted_stat * 1.5, converted_stat)))))</f>
        <v/>
      </c>
      <c r="Q168" s="30" t="str">
        <f t="array" ref="Q168">IF($A168="", "", LET(bbgm_stat, INDEX(Players!$A167:$P167, MATCH(Q$2, Players!$A$1:$P$1, 0)), perc_75, VLOOKUP(Q$2, Percentiles!$A$45:$I$59, 6, FALSE), perc_90, VLOOKUP(Q$2, Percentiles!$A$45:$I$59, 7, FALSE), perc_95, VLOOKUP(Q$2, Percentiles!$A$45:$I$59, 8, FALSE), perc_85, perc_75 + (perc_90 - perc_75) * (2/3), converted_stat, '2K_Ratings'!Q168, IF(bbgm_stat &gt;= perc_95, converted_stat * 3, IF(bbgm_stat &gt;= perc_90, converted_stat * 2, IF(bbgm_stat &gt;= perc_85, converted_stat * 1.5, converted_stat)))))</f>
        <v/>
      </c>
      <c r="R168" s="30" t="str">
        <f t="array" ref="R168">IF($A168="", "", LET(bbgm_stat, INDEX(Players!$A167:$P167, MATCH(R$2, Players!$A$1:$P$1, 0)), perc_75, VLOOKUP(R$2, Percentiles!$A$45:$I$59, 6, FALSE), perc_90, VLOOKUP(R$2, Percentiles!$A$45:$I$59, 7, FALSE), perc_95, VLOOKUP(R$2, Percentiles!$A$45:$I$59, 8, FALSE), perc_85, perc_75 + (perc_90 - perc_75) * (2/3), converted_stat, '2K_Ratings'!R168, IF(bbgm_stat &gt;= perc_95, converted_stat * 3, IF(bbgm_stat &gt;= perc_90, converted_stat * 2, IF(bbgm_stat &gt;= perc_85, converted_stat * 1.5, converted_stat)))))</f>
        <v/>
      </c>
      <c r="S168" s="30" t="str">
        <f t="array" ref="S168">IF($A168="", "", LET(bbgm_stat, INDEX(Players!$A167:$P167, MATCH(S$2, Players!$A$1:$P$1, 0)), perc_75, VLOOKUP(S$2, Percentiles!$A$45:$I$59, 6, FALSE), perc_90, VLOOKUP(S$2, Percentiles!$A$45:$I$59, 7, FALSE), perc_95, VLOOKUP(S$2, Percentiles!$A$45:$I$59, 8, FALSE), perc_85, perc_75 + (perc_90 - perc_75) * (2/3), converted_stat, '2K_Ratings'!S168, IF(bbgm_stat &gt;= perc_95, converted_stat * 3, IF(bbgm_stat &gt;= perc_90, converted_stat * 2, IF(bbgm_stat &gt;= perc_85, converted_stat * 1.5, converted_stat)))))</f>
        <v/>
      </c>
      <c r="T168" s="30" t="str">
        <f t="array" ref="T168">IF($A168="", "", LET(bbgm_stat, INDEX(Players!$A167:$P167, MATCH(T$2, Players!$A$1:$P$1, 0)), perc_75, VLOOKUP(T$2, Percentiles!$A$45:$I$59, 6, FALSE), perc_90, VLOOKUP(T$2, Percentiles!$A$45:$I$59, 7, FALSE), perc_95, VLOOKUP(T$2, Percentiles!$A$45:$I$59, 8, FALSE), perc_85, perc_75 + (perc_90 - perc_75) * (2/3), converted_stat, '2K_Ratings'!T168, IF(bbgm_stat &gt;= perc_95, converted_stat * 3, IF(bbgm_stat &gt;= perc_90, converted_stat * 2, IF(bbgm_stat &gt;= perc_85, converted_stat * 1.5, converted_stat)))))</f>
        <v/>
      </c>
      <c r="U168" s="30" t="str">
        <f t="array" ref="U168">IF($A168="", "", LET(bbgm_stat, INDEX(Players!$A167:$P167, MATCH(U$2, Players!$A$1:$P$1, 0)), perc_75, VLOOKUP(U$2, Percentiles!$A$45:$I$59, 6, FALSE), perc_90, VLOOKUP(U$2, Percentiles!$A$45:$I$59, 7, FALSE), perc_95, VLOOKUP(U$2, Percentiles!$A$45:$I$59, 8, FALSE), perc_85, perc_75 + (perc_90 - perc_75) * (2/3), converted_stat, '2K_Ratings'!U168, IF(bbgm_stat &gt;= perc_95, converted_stat * 3, IF(bbgm_stat &gt;= perc_90, converted_stat * 2, IF(bbgm_stat &gt;= perc_85, converted_stat * 1.5, converted_stat)))))</f>
        <v/>
      </c>
      <c r="V168" s="30" t="str">
        <f t="array" ref="V168">IF($A168="", "", LET(bbgm_stat, INDEX(Players!$A167:$P167, MATCH(V$2, Players!$A$1:$P$1, 0)), perc_75, VLOOKUP(V$2, Percentiles!$A$45:$I$59, 6, FALSE), perc_90, VLOOKUP(V$2, Percentiles!$A$45:$I$59, 7, FALSE), perc_95, VLOOKUP(V$2, Percentiles!$A$45:$I$59, 8, FALSE), perc_85, perc_75 + (perc_90 - perc_75) * (2/3), converted_stat, '2K_Ratings'!V168, IF(bbgm_stat &gt;= perc_95, converted_stat * 3, IF(bbgm_stat &gt;= perc_90, converted_stat * 2, IF(bbgm_stat &gt;= perc_85, converted_stat * 1.5, converted_stat)))))</f>
        <v/>
      </c>
      <c r="W168" s="30" t="str">
        <f t="array" ref="W168">IF($A168="", "", LET(bbgm_stat, INDEX(Players!$A167:$P167, MATCH(W$2, Players!$A$1:$P$1, 0)), perc_75, VLOOKUP(W$2, Percentiles!$A$45:$I$59, 6, FALSE), perc_90, VLOOKUP(W$2, Percentiles!$A$45:$I$59, 7, FALSE), perc_95, VLOOKUP(W$2, Percentiles!$A$45:$I$59, 8, FALSE), perc_85, perc_75 + (perc_90 - perc_75) * (2/3), converted_stat, '2K_Ratings'!W168, IF(bbgm_stat &gt;= perc_95, converted_stat * 3, IF(bbgm_stat &gt;= perc_90, converted_stat * 2, IF(bbgm_stat &gt;= perc_85, converted_stat * 1.5, converted_stat)))))</f>
        <v/>
      </c>
    </row>
    <row r="169">
      <c r="A169" s="30"/>
      <c r="B169" s="30" t="str">
        <f t="array" ref="B169">IF($A169="", "", LET(bbgm_stat, INDEX(Players!$A168:$P168, MATCH(B$2, Players!$A$1:$P$1, 0)), perc_75, VLOOKUP(B$2, Percentiles!$A$45:$I$59, 6, FALSE), perc_90, VLOOKUP(B$2, Percentiles!$A$45:$I$59, 7, FALSE), perc_95, VLOOKUP(B$2, Percentiles!$A$45:$I$59, 8, FALSE), perc_85, perc_75 + (perc_90 - perc_75) * (2/3), converted_stat, '2K_Ratings'!B169, IF(bbgm_stat &gt;= perc_95, converted_stat * 3, IF(bbgm_stat &gt;= perc_90, converted_stat * 2, IF(bbgm_stat &gt;= perc_85, converted_stat * 1.5, converted_stat)))))</f>
        <v/>
      </c>
      <c r="C169" s="30" t="str">
        <f t="array" ref="C169">IF($A169="", "", LET(bbgm_stat, INDEX(Players!$A168:$P168, MATCH(C$2, Players!$A$1:$P$1, 0)), perc_75, VLOOKUP(C$2, Percentiles!$A$45:$I$59, 6, FALSE), perc_90, VLOOKUP(C$2, Percentiles!$A$45:$I$59, 7, FALSE), perc_95, VLOOKUP(C$2, Percentiles!$A$45:$I$59, 8, FALSE), perc_85, perc_75 + (perc_90 - perc_75) * (2/3), converted_stat, '2K_Ratings'!C169, IF(bbgm_stat &gt;= perc_95, converted_stat * 3, IF(bbgm_stat &gt;= perc_90, converted_stat * 2, IF(bbgm_stat &gt;= perc_85, converted_stat * 1.5, converted_stat)))))</f>
        <v/>
      </c>
      <c r="D169" s="30" t="str">
        <f t="array" ref="D169">IF($A169="", "", LET(bbgm_stat, INDEX(Players!$A168:$P168, MATCH(D$2, Players!$A$1:$P$1, 0)), perc_75, VLOOKUP(D$2, Percentiles!$A$45:$I$59, 6, FALSE), perc_90, VLOOKUP(D$2, Percentiles!$A$45:$I$59, 7, FALSE), perc_95, VLOOKUP(D$2, Percentiles!$A$45:$I$59, 8, FALSE), perc_85, perc_75 + (perc_90 - perc_75) * (2/3), converted_stat, '2K_Ratings'!D169, IF(bbgm_stat &gt;= perc_95, converted_stat * 3, IF(bbgm_stat &gt;= perc_90, converted_stat * 2, IF(bbgm_stat &gt;= perc_85, converted_stat * 1.5, converted_stat)))))</f>
        <v/>
      </c>
      <c r="E169" s="30" t="str">
        <f t="array" ref="E169">IF($A169="", "", LET(bbgm_stat, INDEX(Players!$A168:$P168, MATCH(E$2, Players!$A$1:$P$1, 0)), perc_75, VLOOKUP(E$2, Percentiles!$A$45:$I$59, 6, FALSE), perc_90, VLOOKUP(E$2, Percentiles!$A$45:$I$59, 7, FALSE), perc_95, VLOOKUP(E$2, Percentiles!$A$45:$I$59, 8, FALSE), perc_85, perc_75 + (perc_90 - perc_75) * (2/3), converted_stat, '2K_Ratings'!E169, IF(bbgm_stat &gt;= perc_95, converted_stat * 3, IF(bbgm_stat &gt;= perc_90, converted_stat * 2, IF(bbgm_stat &gt;= perc_85, converted_stat * 1.5, converted_stat)))))</f>
        <v/>
      </c>
      <c r="F169" s="30" t="str">
        <f t="array" ref="F169">IF($A169="", "", LET(bbgm_stat, INDEX(Players!$A168:$P168, MATCH(F$2, Players!$A$1:$P$1, 0)), perc_75, VLOOKUP(F$2, Percentiles!$A$45:$I$59, 6, FALSE), perc_90, VLOOKUP(F$2, Percentiles!$A$45:$I$59, 7, FALSE), perc_95, VLOOKUP(F$2, Percentiles!$A$45:$I$59, 8, FALSE), perc_85, perc_75 + (perc_90 - perc_75) * (2/3), converted_stat, '2K_Ratings'!F169, IF(bbgm_stat &gt;= perc_95, converted_stat * 3, IF(bbgm_stat &gt;= perc_90, converted_stat * 2, IF(bbgm_stat &gt;= perc_85, converted_stat * 1.5, converted_stat)))))</f>
        <v/>
      </c>
      <c r="G169" s="30" t="str">
        <f t="array" ref="G169">IF($A169="", "", LET(bbgm_stat, INDEX(Players!$A168:$P168, MATCH(G$2, Players!$A$1:$P$1, 0)), perc_75, VLOOKUP(G$2, Percentiles!$A$45:$I$59, 6, FALSE), perc_90, VLOOKUP(G$2, Percentiles!$A$45:$I$59, 7, FALSE), perc_95, VLOOKUP(G$2, Percentiles!$A$45:$I$59, 8, FALSE), perc_85, perc_75 + (perc_90 - perc_75) * (2/3), converted_stat, '2K_Ratings'!G169, IF(bbgm_stat &gt;= perc_95, converted_stat * 3, IF(bbgm_stat &gt;= perc_90, converted_stat * 2, IF(bbgm_stat &gt;= perc_85, converted_stat * 1.5, converted_stat)))))</f>
        <v/>
      </c>
      <c r="H169" s="30" t="str">
        <f t="array" ref="H169">IF($A169="", "", LET(bbgm_stat, INDEX(Players!$A168:$P168, MATCH(H$2, Players!$A$1:$P$1, 0)), perc_75, VLOOKUP(H$2, Percentiles!$A$45:$I$59, 6, FALSE), perc_90, VLOOKUP(H$2, Percentiles!$A$45:$I$59, 7, FALSE), perc_95, VLOOKUP(H$2, Percentiles!$A$45:$I$59, 8, FALSE), perc_85, perc_75 + (perc_90 - perc_75) * (2/3), converted_stat, '2K_Ratings'!H169, IF(bbgm_stat &gt;= perc_95, converted_stat * 3, IF(bbgm_stat &gt;= perc_90, converted_stat * 2, IF(bbgm_stat &gt;= perc_85, converted_stat * 1.5, converted_stat)))))</f>
        <v/>
      </c>
      <c r="I169" s="30" t="str">
        <f t="array" ref="I169">IF($A169="", "", LET(bbgm_stat, INDEX(Players!$A168:$P168, MATCH(I$2, Players!$A$1:$P$1, 0)), perc_75, VLOOKUP(I$2, Percentiles!$A$45:$I$59, 6, FALSE), perc_90, VLOOKUP(I$2, Percentiles!$A$45:$I$59, 7, FALSE), perc_95, VLOOKUP(I$2, Percentiles!$A$45:$I$59, 8, FALSE), perc_85, perc_75 + (perc_90 - perc_75) * (2/3), converted_stat, '2K_Ratings'!I169, IF(bbgm_stat &gt;= perc_95, converted_stat * 3, IF(bbgm_stat &gt;= perc_90, converted_stat * 2, IF(bbgm_stat &gt;= perc_85, converted_stat * 1.5, converted_stat)))))</f>
        <v/>
      </c>
      <c r="J169" s="30" t="str">
        <f t="array" ref="J169">IF($A169="", "", LET(bbgm_stat, INDEX(Players!$A168:$P168, MATCH(J$2, Players!$A$1:$P$1, 0)), perc_75, VLOOKUP(J$2, Percentiles!$A$45:$I$59, 6, FALSE), perc_90, VLOOKUP(J$2, Percentiles!$A$45:$I$59, 7, FALSE), perc_95, VLOOKUP(J$2, Percentiles!$A$45:$I$59, 8, FALSE), perc_85, perc_75 + (perc_90 - perc_75) * (2/3), converted_stat, '2K_Ratings'!J169, IF(bbgm_stat &gt;= perc_95, converted_stat * 3, IF(bbgm_stat &gt;= perc_90, converted_stat * 2, IF(bbgm_stat &gt;= perc_85, converted_stat * 1.5, converted_stat)))))</f>
        <v/>
      </c>
      <c r="K169" s="30" t="str">
        <f t="array" ref="K169">IF($A169="", "", LET(bbgm_stat, INDEX(Players!$A168:$P168, MATCH(K$2, Players!$A$1:$P$1, 0)), perc_75, VLOOKUP(K$2, Percentiles!$A$45:$I$59, 6, FALSE), perc_90, VLOOKUP(K$2, Percentiles!$A$45:$I$59, 7, FALSE), perc_95, VLOOKUP(K$2, Percentiles!$A$45:$I$59, 8, FALSE), perc_85, perc_75 + (perc_90 - perc_75) * (2/3), converted_stat, '2K_Ratings'!K169, IF(bbgm_stat &gt;= perc_95, converted_stat * 3, IF(bbgm_stat &gt;= perc_90, converted_stat * 2, IF(bbgm_stat &gt;= perc_85, converted_stat * 1.5, converted_stat)))))</f>
        <v/>
      </c>
      <c r="L169" s="30" t="str">
        <f t="array" ref="L169">IF($A169="", "", LET(bbgm_stat, INDEX(Players!$A168:$P168, MATCH(L$2, Players!$A$1:$P$1, 0)), perc_75, VLOOKUP(L$2, Percentiles!$A$45:$I$59, 6, FALSE), perc_90, VLOOKUP(L$2, Percentiles!$A$45:$I$59, 7, FALSE), perc_95, VLOOKUP(L$2, Percentiles!$A$45:$I$59, 8, FALSE), perc_85, perc_75 + (perc_90 - perc_75) * (2/3), converted_stat, '2K_Ratings'!L169, IF(bbgm_stat &gt;= perc_95, converted_stat * 3, IF(bbgm_stat &gt;= perc_90, converted_stat * 2, IF(bbgm_stat &gt;= perc_85, converted_stat * 1.5, converted_stat)))))</f>
        <v/>
      </c>
      <c r="M169" s="30" t="str">
        <f t="array" ref="M169">IF($A169="", "", LET(bbgm_stat, INDEX(Players!$A168:$P168, MATCH(M$2, Players!$A$1:$P$1, 0)), perc_75, VLOOKUP(M$2, Percentiles!$A$45:$I$59, 6, FALSE), perc_90, VLOOKUP(M$2, Percentiles!$A$45:$I$59, 7, FALSE), perc_95, VLOOKUP(M$2, Percentiles!$A$45:$I$59, 8, FALSE), perc_85, perc_75 + (perc_90 - perc_75) * (2/3), converted_stat, '2K_Ratings'!M169, IF(bbgm_stat &gt;= perc_95, converted_stat * 3, IF(bbgm_stat &gt;= perc_90, converted_stat * 2, IF(bbgm_stat &gt;= perc_85, converted_stat * 1.5, converted_stat)))))</f>
        <v/>
      </c>
      <c r="N169" s="30" t="str">
        <f t="array" ref="N169">IF($A169="", "", LET(bbgm_stat, INDEX(Players!$A168:$P168, MATCH(N$2, Players!$A$1:$P$1, 0)), perc_75, VLOOKUP(N$2, Percentiles!$A$45:$I$59, 6, FALSE), perc_90, VLOOKUP(N$2, Percentiles!$A$45:$I$59, 7, FALSE), perc_95, VLOOKUP(N$2, Percentiles!$A$45:$I$59, 8, FALSE), perc_85, perc_75 + (perc_90 - perc_75) * (2/3), converted_stat, '2K_Ratings'!N169, IF(bbgm_stat &gt;= perc_95, converted_stat * 3, IF(bbgm_stat &gt;= perc_90, converted_stat * 2, IF(bbgm_stat &gt;= perc_85, converted_stat * 1.5, converted_stat)))))</f>
        <v/>
      </c>
      <c r="O169" s="30" t="str">
        <f t="array" ref="O169">IF($A169="", "", LET(bbgm_stat, INDEX(Players!$A168:$P168, MATCH(O$2, Players!$A$1:$P$1, 0)), perc_75, VLOOKUP(O$2, Percentiles!$A$45:$I$59, 6, FALSE), perc_90, VLOOKUP(O$2, Percentiles!$A$45:$I$59, 7, FALSE), perc_95, VLOOKUP(O$2, Percentiles!$A$45:$I$59, 8, FALSE), perc_85, perc_75 + (perc_90 - perc_75) * (2/3), converted_stat, '2K_Ratings'!O169, IF(bbgm_stat &gt;= perc_95, converted_stat * 3, IF(bbgm_stat &gt;= perc_90, converted_stat * 2, IF(bbgm_stat &gt;= perc_85, converted_stat * 1.5, converted_stat)))))</f>
        <v/>
      </c>
      <c r="P169" s="30" t="str">
        <f t="array" ref="P169">IF($A169="", "", LET(bbgm_stat, INDEX(Players!$A168:$P168, MATCH(P$2, Players!$A$1:$P$1, 0)), perc_75, VLOOKUP(P$2, Percentiles!$A$45:$I$59, 6, FALSE), perc_90, VLOOKUP(P$2, Percentiles!$A$45:$I$59, 7, FALSE), perc_95, VLOOKUP(P$2, Percentiles!$A$45:$I$59, 8, FALSE), perc_85, perc_75 + (perc_90 - perc_75) * (2/3), converted_stat, '2K_Ratings'!P169, IF(bbgm_stat &gt;= perc_95, converted_stat * 3, IF(bbgm_stat &gt;= perc_90, converted_stat * 2, IF(bbgm_stat &gt;= perc_85, converted_stat * 1.5, converted_stat)))))</f>
        <v/>
      </c>
      <c r="Q169" s="30" t="str">
        <f t="array" ref="Q169">IF($A169="", "", LET(bbgm_stat, INDEX(Players!$A168:$P168, MATCH(Q$2, Players!$A$1:$P$1, 0)), perc_75, VLOOKUP(Q$2, Percentiles!$A$45:$I$59, 6, FALSE), perc_90, VLOOKUP(Q$2, Percentiles!$A$45:$I$59, 7, FALSE), perc_95, VLOOKUP(Q$2, Percentiles!$A$45:$I$59, 8, FALSE), perc_85, perc_75 + (perc_90 - perc_75) * (2/3), converted_stat, '2K_Ratings'!Q169, IF(bbgm_stat &gt;= perc_95, converted_stat * 3, IF(bbgm_stat &gt;= perc_90, converted_stat * 2, IF(bbgm_stat &gt;= perc_85, converted_stat * 1.5, converted_stat)))))</f>
        <v/>
      </c>
      <c r="R169" s="30" t="str">
        <f t="array" ref="R169">IF($A169="", "", LET(bbgm_stat, INDEX(Players!$A168:$P168, MATCH(R$2, Players!$A$1:$P$1, 0)), perc_75, VLOOKUP(R$2, Percentiles!$A$45:$I$59, 6, FALSE), perc_90, VLOOKUP(R$2, Percentiles!$A$45:$I$59, 7, FALSE), perc_95, VLOOKUP(R$2, Percentiles!$A$45:$I$59, 8, FALSE), perc_85, perc_75 + (perc_90 - perc_75) * (2/3), converted_stat, '2K_Ratings'!R169, IF(bbgm_stat &gt;= perc_95, converted_stat * 3, IF(bbgm_stat &gt;= perc_90, converted_stat * 2, IF(bbgm_stat &gt;= perc_85, converted_stat * 1.5, converted_stat)))))</f>
        <v/>
      </c>
      <c r="S169" s="30" t="str">
        <f t="array" ref="S169">IF($A169="", "", LET(bbgm_stat, INDEX(Players!$A168:$P168, MATCH(S$2, Players!$A$1:$P$1, 0)), perc_75, VLOOKUP(S$2, Percentiles!$A$45:$I$59, 6, FALSE), perc_90, VLOOKUP(S$2, Percentiles!$A$45:$I$59, 7, FALSE), perc_95, VLOOKUP(S$2, Percentiles!$A$45:$I$59, 8, FALSE), perc_85, perc_75 + (perc_90 - perc_75) * (2/3), converted_stat, '2K_Ratings'!S169, IF(bbgm_stat &gt;= perc_95, converted_stat * 3, IF(bbgm_stat &gt;= perc_90, converted_stat * 2, IF(bbgm_stat &gt;= perc_85, converted_stat * 1.5, converted_stat)))))</f>
        <v/>
      </c>
      <c r="T169" s="30" t="str">
        <f t="array" ref="T169">IF($A169="", "", LET(bbgm_stat, INDEX(Players!$A168:$P168, MATCH(T$2, Players!$A$1:$P$1, 0)), perc_75, VLOOKUP(T$2, Percentiles!$A$45:$I$59, 6, FALSE), perc_90, VLOOKUP(T$2, Percentiles!$A$45:$I$59, 7, FALSE), perc_95, VLOOKUP(T$2, Percentiles!$A$45:$I$59, 8, FALSE), perc_85, perc_75 + (perc_90 - perc_75) * (2/3), converted_stat, '2K_Ratings'!T169, IF(bbgm_stat &gt;= perc_95, converted_stat * 3, IF(bbgm_stat &gt;= perc_90, converted_stat * 2, IF(bbgm_stat &gt;= perc_85, converted_stat * 1.5, converted_stat)))))</f>
        <v/>
      </c>
      <c r="U169" s="30" t="str">
        <f t="array" ref="U169">IF($A169="", "", LET(bbgm_stat, INDEX(Players!$A168:$P168, MATCH(U$2, Players!$A$1:$P$1, 0)), perc_75, VLOOKUP(U$2, Percentiles!$A$45:$I$59, 6, FALSE), perc_90, VLOOKUP(U$2, Percentiles!$A$45:$I$59, 7, FALSE), perc_95, VLOOKUP(U$2, Percentiles!$A$45:$I$59, 8, FALSE), perc_85, perc_75 + (perc_90 - perc_75) * (2/3), converted_stat, '2K_Ratings'!U169, IF(bbgm_stat &gt;= perc_95, converted_stat * 3, IF(bbgm_stat &gt;= perc_90, converted_stat * 2, IF(bbgm_stat &gt;= perc_85, converted_stat * 1.5, converted_stat)))))</f>
        <v/>
      </c>
      <c r="V169" s="30" t="str">
        <f t="array" ref="V169">IF($A169="", "", LET(bbgm_stat, INDEX(Players!$A168:$P168, MATCH(V$2, Players!$A$1:$P$1, 0)), perc_75, VLOOKUP(V$2, Percentiles!$A$45:$I$59, 6, FALSE), perc_90, VLOOKUP(V$2, Percentiles!$A$45:$I$59, 7, FALSE), perc_95, VLOOKUP(V$2, Percentiles!$A$45:$I$59, 8, FALSE), perc_85, perc_75 + (perc_90 - perc_75) * (2/3), converted_stat, '2K_Ratings'!V169, IF(bbgm_stat &gt;= perc_95, converted_stat * 3, IF(bbgm_stat &gt;= perc_90, converted_stat * 2, IF(bbgm_stat &gt;= perc_85, converted_stat * 1.5, converted_stat)))))</f>
        <v/>
      </c>
      <c r="W169" s="30" t="str">
        <f t="array" ref="W169">IF($A169="", "", LET(bbgm_stat, INDEX(Players!$A168:$P168, MATCH(W$2, Players!$A$1:$P$1, 0)), perc_75, VLOOKUP(W$2, Percentiles!$A$45:$I$59, 6, FALSE), perc_90, VLOOKUP(W$2, Percentiles!$A$45:$I$59, 7, FALSE), perc_95, VLOOKUP(W$2, Percentiles!$A$45:$I$59, 8, FALSE), perc_85, perc_75 + (perc_90 - perc_75) * (2/3), converted_stat, '2K_Ratings'!W169, IF(bbgm_stat &gt;= perc_95, converted_stat * 3, IF(bbgm_stat &gt;= perc_90, converted_stat * 2, IF(bbgm_stat &gt;= perc_85, converted_stat * 1.5, converted_stat)))))</f>
        <v/>
      </c>
    </row>
    <row r="170">
      <c r="A170" s="30"/>
      <c r="B170" s="30" t="str">
        <f t="array" ref="B170">IF($A170="", "", LET(bbgm_stat, INDEX(Players!$A169:$P169, MATCH(B$2, Players!$A$1:$P$1, 0)), perc_75, VLOOKUP(B$2, Percentiles!$A$45:$I$59, 6, FALSE), perc_90, VLOOKUP(B$2, Percentiles!$A$45:$I$59, 7, FALSE), perc_95, VLOOKUP(B$2, Percentiles!$A$45:$I$59, 8, FALSE), perc_85, perc_75 + (perc_90 - perc_75) * (2/3), converted_stat, '2K_Ratings'!B170, IF(bbgm_stat &gt;= perc_95, converted_stat * 3, IF(bbgm_stat &gt;= perc_90, converted_stat * 2, IF(bbgm_stat &gt;= perc_85, converted_stat * 1.5, converted_stat)))))</f>
        <v/>
      </c>
      <c r="C170" s="30" t="str">
        <f t="array" ref="C170">IF($A170="", "", LET(bbgm_stat, INDEX(Players!$A169:$P169, MATCH(C$2, Players!$A$1:$P$1, 0)), perc_75, VLOOKUP(C$2, Percentiles!$A$45:$I$59, 6, FALSE), perc_90, VLOOKUP(C$2, Percentiles!$A$45:$I$59, 7, FALSE), perc_95, VLOOKUP(C$2, Percentiles!$A$45:$I$59, 8, FALSE), perc_85, perc_75 + (perc_90 - perc_75) * (2/3), converted_stat, '2K_Ratings'!C170, IF(bbgm_stat &gt;= perc_95, converted_stat * 3, IF(bbgm_stat &gt;= perc_90, converted_stat * 2, IF(bbgm_stat &gt;= perc_85, converted_stat * 1.5, converted_stat)))))</f>
        <v/>
      </c>
      <c r="D170" s="30" t="str">
        <f t="array" ref="D170">IF($A170="", "", LET(bbgm_stat, INDEX(Players!$A169:$P169, MATCH(D$2, Players!$A$1:$P$1, 0)), perc_75, VLOOKUP(D$2, Percentiles!$A$45:$I$59, 6, FALSE), perc_90, VLOOKUP(D$2, Percentiles!$A$45:$I$59, 7, FALSE), perc_95, VLOOKUP(D$2, Percentiles!$A$45:$I$59, 8, FALSE), perc_85, perc_75 + (perc_90 - perc_75) * (2/3), converted_stat, '2K_Ratings'!D170, IF(bbgm_stat &gt;= perc_95, converted_stat * 3, IF(bbgm_stat &gt;= perc_90, converted_stat * 2, IF(bbgm_stat &gt;= perc_85, converted_stat * 1.5, converted_stat)))))</f>
        <v/>
      </c>
      <c r="E170" s="30" t="str">
        <f t="array" ref="E170">IF($A170="", "", LET(bbgm_stat, INDEX(Players!$A169:$P169, MATCH(E$2, Players!$A$1:$P$1, 0)), perc_75, VLOOKUP(E$2, Percentiles!$A$45:$I$59, 6, FALSE), perc_90, VLOOKUP(E$2, Percentiles!$A$45:$I$59, 7, FALSE), perc_95, VLOOKUP(E$2, Percentiles!$A$45:$I$59, 8, FALSE), perc_85, perc_75 + (perc_90 - perc_75) * (2/3), converted_stat, '2K_Ratings'!E170, IF(bbgm_stat &gt;= perc_95, converted_stat * 3, IF(bbgm_stat &gt;= perc_90, converted_stat * 2, IF(bbgm_stat &gt;= perc_85, converted_stat * 1.5, converted_stat)))))</f>
        <v/>
      </c>
      <c r="F170" s="30" t="str">
        <f t="array" ref="F170">IF($A170="", "", LET(bbgm_stat, INDEX(Players!$A169:$P169, MATCH(F$2, Players!$A$1:$P$1, 0)), perc_75, VLOOKUP(F$2, Percentiles!$A$45:$I$59, 6, FALSE), perc_90, VLOOKUP(F$2, Percentiles!$A$45:$I$59, 7, FALSE), perc_95, VLOOKUP(F$2, Percentiles!$A$45:$I$59, 8, FALSE), perc_85, perc_75 + (perc_90 - perc_75) * (2/3), converted_stat, '2K_Ratings'!F170, IF(bbgm_stat &gt;= perc_95, converted_stat * 3, IF(bbgm_stat &gt;= perc_90, converted_stat * 2, IF(bbgm_stat &gt;= perc_85, converted_stat * 1.5, converted_stat)))))</f>
        <v/>
      </c>
      <c r="G170" s="30" t="str">
        <f t="array" ref="G170">IF($A170="", "", LET(bbgm_stat, INDEX(Players!$A169:$P169, MATCH(G$2, Players!$A$1:$P$1, 0)), perc_75, VLOOKUP(G$2, Percentiles!$A$45:$I$59, 6, FALSE), perc_90, VLOOKUP(G$2, Percentiles!$A$45:$I$59, 7, FALSE), perc_95, VLOOKUP(G$2, Percentiles!$A$45:$I$59, 8, FALSE), perc_85, perc_75 + (perc_90 - perc_75) * (2/3), converted_stat, '2K_Ratings'!G170, IF(bbgm_stat &gt;= perc_95, converted_stat * 3, IF(bbgm_stat &gt;= perc_90, converted_stat * 2, IF(bbgm_stat &gt;= perc_85, converted_stat * 1.5, converted_stat)))))</f>
        <v/>
      </c>
      <c r="H170" s="30" t="str">
        <f t="array" ref="H170">IF($A170="", "", LET(bbgm_stat, INDEX(Players!$A169:$P169, MATCH(H$2, Players!$A$1:$P$1, 0)), perc_75, VLOOKUP(H$2, Percentiles!$A$45:$I$59, 6, FALSE), perc_90, VLOOKUP(H$2, Percentiles!$A$45:$I$59, 7, FALSE), perc_95, VLOOKUP(H$2, Percentiles!$A$45:$I$59, 8, FALSE), perc_85, perc_75 + (perc_90 - perc_75) * (2/3), converted_stat, '2K_Ratings'!H170, IF(bbgm_stat &gt;= perc_95, converted_stat * 3, IF(bbgm_stat &gt;= perc_90, converted_stat * 2, IF(bbgm_stat &gt;= perc_85, converted_stat * 1.5, converted_stat)))))</f>
        <v/>
      </c>
      <c r="I170" s="30" t="str">
        <f t="array" ref="I170">IF($A170="", "", LET(bbgm_stat, INDEX(Players!$A169:$P169, MATCH(I$2, Players!$A$1:$P$1, 0)), perc_75, VLOOKUP(I$2, Percentiles!$A$45:$I$59, 6, FALSE), perc_90, VLOOKUP(I$2, Percentiles!$A$45:$I$59, 7, FALSE), perc_95, VLOOKUP(I$2, Percentiles!$A$45:$I$59, 8, FALSE), perc_85, perc_75 + (perc_90 - perc_75) * (2/3), converted_stat, '2K_Ratings'!I170, IF(bbgm_stat &gt;= perc_95, converted_stat * 3, IF(bbgm_stat &gt;= perc_90, converted_stat * 2, IF(bbgm_stat &gt;= perc_85, converted_stat * 1.5, converted_stat)))))</f>
        <v/>
      </c>
      <c r="J170" s="30" t="str">
        <f t="array" ref="J170">IF($A170="", "", LET(bbgm_stat, INDEX(Players!$A169:$P169, MATCH(J$2, Players!$A$1:$P$1, 0)), perc_75, VLOOKUP(J$2, Percentiles!$A$45:$I$59, 6, FALSE), perc_90, VLOOKUP(J$2, Percentiles!$A$45:$I$59, 7, FALSE), perc_95, VLOOKUP(J$2, Percentiles!$A$45:$I$59, 8, FALSE), perc_85, perc_75 + (perc_90 - perc_75) * (2/3), converted_stat, '2K_Ratings'!J170, IF(bbgm_stat &gt;= perc_95, converted_stat * 3, IF(bbgm_stat &gt;= perc_90, converted_stat * 2, IF(bbgm_stat &gt;= perc_85, converted_stat * 1.5, converted_stat)))))</f>
        <v/>
      </c>
      <c r="K170" s="30" t="str">
        <f t="array" ref="K170">IF($A170="", "", LET(bbgm_stat, INDEX(Players!$A169:$P169, MATCH(K$2, Players!$A$1:$P$1, 0)), perc_75, VLOOKUP(K$2, Percentiles!$A$45:$I$59, 6, FALSE), perc_90, VLOOKUP(K$2, Percentiles!$A$45:$I$59, 7, FALSE), perc_95, VLOOKUP(K$2, Percentiles!$A$45:$I$59, 8, FALSE), perc_85, perc_75 + (perc_90 - perc_75) * (2/3), converted_stat, '2K_Ratings'!K170, IF(bbgm_stat &gt;= perc_95, converted_stat * 3, IF(bbgm_stat &gt;= perc_90, converted_stat * 2, IF(bbgm_stat &gt;= perc_85, converted_stat * 1.5, converted_stat)))))</f>
        <v/>
      </c>
      <c r="L170" s="30" t="str">
        <f t="array" ref="L170">IF($A170="", "", LET(bbgm_stat, INDEX(Players!$A169:$P169, MATCH(L$2, Players!$A$1:$P$1, 0)), perc_75, VLOOKUP(L$2, Percentiles!$A$45:$I$59, 6, FALSE), perc_90, VLOOKUP(L$2, Percentiles!$A$45:$I$59, 7, FALSE), perc_95, VLOOKUP(L$2, Percentiles!$A$45:$I$59, 8, FALSE), perc_85, perc_75 + (perc_90 - perc_75) * (2/3), converted_stat, '2K_Ratings'!L170, IF(bbgm_stat &gt;= perc_95, converted_stat * 3, IF(bbgm_stat &gt;= perc_90, converted_stat * 2, IF(bbgm_stat &gt;= perc_85, converted_stat * 1.5, converted_stat)))))</f>
        <v/>
      </c>
      <c r="M170" s="30" t="str">
        <f t="array" ref="M170">IF($A170="", "", LET(bbgm_stat, INDEX(Players!$A169:$P169, MATCH(M$2, Players!$A$1:$P$1, 0)), perc_75, VLOOKUP(M$2, Percentiles!$A$45:$I$59, 6, FALSE), perc_90, VLOOKUP(M$2, Percentiles!$A$45:$I$59, 7, FALSE), perc_95, VLOOKUP(M$2, Percentiles!$A$45:$I$59, 8, FALSE), perc_85, perc_75 + (perc_90 - perc_75) * (2/3), converted_stat, '2K_Ratings'!M170, IF(bbgm_stat &gt;= perc_95, converted_stat * 3, IF(bbgm_stat &gt;= perc_90, converted_stat * 2, IF(bbgm_stat &gt;= perc_85, converted_stat * 1.5, converted_stat)))))</f>
        <v/>
      </c>
      <c r="N170" s="30" t="str">
        <f t="array" ref="N170">IF($A170="", "", LET(bbgm_stat, INDEX(Players!$A169:$P169, MATCH(N$2, Players!$A$1:$P$1, 0)), perc_75, VLOOKUP(N$2, Percentiles!$A$45:$I$59, 6, FALSE), perc_90, VLOOKUP(N$2, Percentiles!$A$45:$I$59, 7, FALSE), perc_95, VLOOKUP(N$2, Percentiles!$A$45:$I$59, 8, FALSE), perc_85, perc_75 + (perc_90 - perc_75) * (2/3), converted_stat, '2K_Ratings'!N170, IF(bbgm_stat &gt;= perc_95, converted_stat * 3, IF(bbgm_stat &gt;= perc_90, converted_stat * 2, IF(bbgm_stat &gt;= perc_85, converted_stat * 1.5, converted_stat)))))</f>
        <v/>
      </c>
      <c r="O170" s="30" t="str">
        <f t="array" ref="O170">IF($A170="", "", LET(bbgm_stat, INDEX(Players!$A169:$P169, MATCH(O$2, Players!$A$1:$P$1, 0)), perc_75, VLOOKUP(O$2, Percentiles!$A$45:$I$59, 6, FALSE), perc_90, VLOOKUP(O$2, Percentiles!$A$45:$I$59, 7, FALSE), perc_95, VLOOKUP(O$2, Percentiles!$A$45:$I$59, 8, FALSE), perc_85, perc_75 + (perc_90 - perc_75) * (2/3), converted_stat, '2K_Ratings'!O170, IF(bbgm_stat &gt;= perc_95, converted_stat * 3, IF(bbgm_stat &gt;= perc_90, converted_stat * 2, IF(bbgm_stat &gt;= perc_85, converted_stat * 1.5, converted_stat)))))</f>
        <v/>
      </c>
      <c r="P170" s="30" t="str">
        <f t="array" ref="P170">IF($A170="", "", LET(bbgm_stat, INDEX(Players!$A169:$P169, MATCH(P$2, Players!$A$1:$P$1, 0)), perc_75, VLOOKUP(P$2, Percentiles!$A$45:$I$59, 6, FALSE), perc_90, VLOOKUP(P$2, Percentiles!$A$45:$I$59, 7, FALSE), perc_95, VLOOKUP(P$2, Percentiles!$A$45:$I$59, 8, FALSE), perc_85, perc_75 + (perc_90 - perc_75) * (2/3), converted_stat, '2K_Ratings'!P170, IF(bbgm_stat &gt;= perc_95, converted_stat * 3, IF(bbgm_stat &gt;= perc_90, converted_stat * 2, IF(bbgm_stat &gt;= perc_85, converted_stat * 1.5, converted_stat)))))</f>
        <v/>
      </c>
      <c r="Q170" s="30" t="str">
        <f t="array" ref="Q170">IF($A170="", "", LET(bbgm_stat, INDEX(Players!$A169:$P169, MATCH(Q$2, Players!$A$1:$P$1, 0)), perc_75, VLOOKUP(Q$2, Percentiles!$A$45:$I$59, 6, FALSE), perc_90, VLOOKUP(Q$2, Percentiles!$A$45:$I$59, 7, FALSE), perc_95, VLOOKUP(Q$2, Percentiles!$A$45:$I$59, 8, FALSE), perc_85, perc_75 + (perc_90 - perc_75) * (2/3), converted_stat, '2K_Ratings'!Q170, IF(bbgm_stat &gt;= perc_95, converted_stat * 3, IF(bbgm_stat &gt;= perc_90, converted_stat * 2, IF(bbgm_stat &gt;= perc_85, converted_stat * 1.5, converted_stat)))))</f>
        <v/>
      </c>
      <c r="R170" s="30" t="str">
        <f t="array" ref="R170">IF($A170="", "", LET(bbgm_stat, INDEX(Players!$A169:$P169, MATCH(R$2, Players!$A$1:$P$1, 0)), perc_75, VLOOKUP(R$2, Percentiles!$A$45:$I$59, 6, FALSE), perc_90, VLOOKUP(R$2, Percentiles!$A$45:$I$59, 7, FALSE), perc_95, VLOOKUP(R$2, Percentiles!$A$45:$I$59, 8, FALSE), perc_85, perc_75 + (perc_90 - perc_75) * (2/3), converted_stat, '2K_Ratings'!R170, IF(bbgm_stat &gt;= perc_95, converted_stat * 3, IF(bbgm_stat &gt;= perc_90, converted_stat * 2, IF(bbgm_stat &gt;= perc_85, converted_stat * 1.5, converted_stat)))))</f>
        <v/>
      </c>
      <c r="S170" s="30" t="str">
        <f t="array" ref="S170">IF($A170="", "", LET(bbgm_stat, INDEX(Players!$A169:$P169, MATCH(S$2, Players!$A$1:$P$1, 0)), perc_75, VLOOKUP(S$2, Percentiles!$A$45:$I$59, 6, FALSE), perc_90, VLOOKUP(S$2, Percentiles!$A$45:$I$59, 7, FALSE), perc_95, VLOOKUP(S$2, Percentiles!$A$45:$I$59, 8, FALSE), perc_85, perc_75 + (perc_90 - perc_75) * (2/3), converted_stat, '2K_Ratings'!S170, IF(bbgm_stat &gt;= perc_95, converted_stat * 3, IF(bbgm_stat &gt;= perc_90, converted_stat * 2, IF(bbgm_stat &gt;= perc_85, converted_stat * 1.5, converted_stat)))))</f>
        <v/>
      </c>
      <c r="T170" s="30" t="str">
        <f t="array" ref="T170">IF($A170="", "", LET(bbgm_stat, INDEX(Players!$A169:$P169, MATCH(T$2, Players!$A$1:$P$1, 0)), perc_75, VLOOKUP(T$2, Percentiles!$A$45:$I$59, 6, FALSE), perc_90, VLOOKUP(T$2, Percentiles!$A$45:$I$59, 7, FALSE), perc_95, VLOOKUP(T$2, Percentiles!$A$45:$I$59, 8, FALSE), perc_85, perc_75 + (perc_90 - perc_75) * (2/3), converted_stat, '2K_Ratings'!T170, IF(bbgm_stat &gt;= perc_95, converted_stat * 3, IF(bbgm_stat &gt;= perc_90, converted_stat * 2, IF(bbgm_stat &gt;= perc_85, converted_stat * 1.5, converted_stat)))))</f>
        <v/>
      </c>
      <c r="U170" s="30" t="str">
        <f t="array" ref="U170">IF($A170="", "", LET(bbgm_stat, INDEX(Players!$A169:$P169, MATCH(U$2, Players!$A$1:$P$1, 0)), perc_75, VLOOKUP(U$2, Percentiles!$A$45:$I$59, 6, FALSE), perc_90, VLOOKUP(U$2, Percentiles!$A$45:$I$59, 7, FALSE), perc_95, VLOOKUP(U$2, Percentiles!$A$45:$I$59, 8, FALSE), perc_85, perc_75 + (perc_90 - perc_75) * (2/3), converted_stat, '2K_Ratings'!U170, IF(bbgm_stat &gt;= perc_95, converted_stat * 3, IF(bbgm_stat &gt;= perc_90, converted_stat * 2, IF(bbgm_stat &gt;= perc_85, converted_stat * 1.5, converted_stat)))))</f>
        <v/>
      </c>
      <c r="V170" s="30" t="str">
        <f t="array" ref="V170">IF($A170="", "", LET(bbgm_stat, INDEX(Players!$A169:$P169, MATCH(V$2, Players!$A$1:$P$1, 0)), perc_75, VLOOKUP(V$2, Percentiles!$A$45:$I$59, 6, FALSE), perc_90, VLOOKUP(V$2, Percentiles!$A$45:$I$59, 7, FALSE), perc_95, VLOOKUP(V$2, Percentiles!$A$45:$I$59, 8, FALSE), perc_85, perc_75 + (perc_90 - perc_75) * (2/3), converted_stat, '2K_Ratings'!V170, IF(bbgm_stat &gt;= perc_95, converted_stat * 3, IF(bbgm_stat &gt;= perc_90, converted_stat * 2, IF(bbgm_stat &gt;= perc_85, converted_stat * 1.5, converted_stat)))))</f>
        <v/>
      </c>
      <c r="W170" s="30" t="str">
        <f t="array" ref="W170">IF($A170="", "", LET(bbgm_stat, INDEX(Players!$A169:$P169, MATCH(W$2, Players!$A$1:$P$1, 0)), perc_75, VLOOKUP(W$2, Percentiles!$A$45:$I$59, 6, FALSE), perc_90, VLOOKUP(W$2, Percentiles!$A$45:$I$59, 7, FALSE), perc_95, VLOOKUP(W$2, Percentiles!$A$45:$I$59, 8, FALSE), perc_85, perc_75 + (perc_90 - perc_75) * (2/3), converted_stat, '2K_Ratings'!W170, IF(bbgm_stat &gt;= perc_95, converted_stat * 3, IF(bbgm_stat &gt;= perc_90, converted_stat * 2, IF(bbgm_stat &gt;= perc_85, converted_stat * 1.5, converted_stat)))))</f>
        <v/>
      </c>
    </row>
    <row r="171">
      <c r="A171" s="30"/>
      <c r="B171" s="30" t="str">
        <f t="array" ref="B171">IF($A171="", "", LET(bbgm_stat, INDEX(Players!$A170:$P170, MATCH(B$2, Players!$A$1:$P$1, 0)), perc_75, VLOOKUP(B$2, Percentiles!$A$45:$I$59, 6, FALSE), perc_90, VLOOKUP(B$2, Percentiles!$A$45:$I$59, 7, FALSE), perc_95, VLOOKUP(B$2, Percentiles!$A$45:$I$59, 8, FALSE), perc_85, perc_75 + (perc_90 - perc_75) * (2/3), converted_stat, '2K_Ratings'!B171, IF(bbgm_stat &gt;= perc_95, converted_stat * 3, IF(bbgm_stat &gt;= perc_90, converted_stat * 2, IF(bbgm_stat &gt;= perc_85, converted_stat * 1.5, converted_stat)))))</f>
        <v/>
      </c>
      <c r="C171" s="30" t="str">
        <f t="array" ref="C171">IF($A171="", "", LET(bbgm_stat, INDEX(Players!$A170:$P170, MATCH(C$2, Players!$A$1:$P$1, 0)), perc_75, VLOOKUP(C$2, Percentiles!$A$45:$I$59, 6, FALSE), perc_90, VLOOKUP(C$2, Percentiles!$A$45:$I$59, 7, FALSE), perc_95, VLOOKUP(C$2, Percentiles!$A$45:$I$59, 8, FALSE), perc_85, perc_75 + (perc_90 - perc_75) * (2/3), converted_stat, '2K_Ratings'!C171, IF(bbgm_stat &gt;= perc_95, converted_stat * 3, IF(bbgm_stat &gt;= perc_90, converted_stat * 2, IF(bbgm_stat &gt;= perc_85, converted_stat * 1.5, converted_stat)))))</f>
        <v/>
      </c>
      <c r="D171" s="30" t="str">
        <f t="array" ref="D171">IF($A171="", "", LET(bbgm_stat, INDEX(Players!$A170:$P170, MATCH(D$2, Players!$A$1:$P$1, 0)), perc_75, VLOOKUP(D$2, Percentiles!$A$45:$I$59, 6, FALSE), perc_90, VLOOKUP(D$2, Percentiles!$A$45:$I$59, 7, FALSE), perc_95, VLOOKUP(D$2, Percentiles!$A$45:$I$59, 8, FALSE), perc_85, perc_75 + (perc_90 - perc_75) * (2/3), converted_stat, '2K_Ratings'!D171, IF(bbgm_stat &gt;= perc_95, converted_stat * 3, IF(bbgm_stat &gt;= perc_90, converted_stat * 2, IF(bbgm_stat &gt;= perc_85, converted_stat * 1.5, converted_stat)))))</f>
        <v/>
      </c>
      <c r="E171" s="30" t="str">
        <f t="array" ref="E171">IF($A171="", "", LET(bbgm_stat, INDEX(Players!$A170:$P170, MATCH(E$2, Players!$A$1:$P$1, 0)), perc_75, VLOOKUP(E$2, Percentiles!$A$45:$I$59, 6, FALSE), perc_90, VLOOKUP(E$2, Percentiles!$A$45:$I$59, 7, FALSE), perc_95, VLOOKUP(E$2, Percentiles!$A$45:$I$59, 8, FALSE), perc_85, perc_75 + (perc_90 - perc_75) * (2/3), converted_stat, '2K_Ratings'!E171, IF(bbgm_stat &gt;= perc_95, converted_stat * 3, IF(bbgm_stat &gt;= perc_90, converted_stat * 2, IF(bbgm_stat &gt;= perc_85, converted_stat * 1.5, converted_stat)))))</f>
        <v/>
      </c>
      <c r="F171" s="30" t="str">
        <f t="array" ref="F171">IF($A171="", "", LET(bbgm_stat, INDEX(Players!$A170:$P170, MATCH(F$2, Players!$A$1:$P$1, 0)), perc_75, VLOOKUP(F$2, Percentiles!$A$45:$I$59, 6, FALSE), perc_90, VLOOKUP(F$2, Percentiles!$A$45:$I$59, 7, FALSE), perc_95, VLOOKUP(F$2, Percentiles!$A$45:$I$59, 8, FALSE), perc_85, perc_75 + (perc_90 - perc_75) * (2/3), converted_stat, '2K_Ratings'!F171, IF(bbgm_stat &gt;= perc_95, converted_stat * 3, IF(bbgm_stat &gt;= perc_90, converted_stat * 2, IF(bbgm_stat &gt;= perc_85, converted_stat * 1.5, converted_stat)))))</f>
        <v/>
      </c>
      <c r="G171" s="30" t="str">
        <f t="array" ref="G171">IF($A171="", "", LET(bbgm_stat, INDEX(Players!$A170:$P170, MATCH(G$2, Players!$A$1:$P$1, 0)), perc_75, VLOOKUP(G$2, Percentiles!$A$45:$I$59, 6, FALSE), perc_90, VLOOKUP(G$2, Percentiles!$A$45:$I$59, 7, FALSE), perc_95, VLOOKUP(G$2, Percentiles!$A$45:$I$59, 8, FALSE), perc_85, perc_75 + (perc_90 - perc_75) * (2/3), converted_stat, '2K_Ratings'!G171, IF(bbgm_stat &gt;= perc_95, converted_stat * 3, IF(bbgm_stat &gt;= perc_90, converted_stat * 2, IF(bbgm_stat &gt;= perc_85, converted_stat * 1.5, converted_stat)))))</f>
        <v/>
      </c>
      <c r="H171" s="30" t="str">
        <f t="array" ref="H171">IF($A171="", "", LET(bbgm_stat, INDEX(Players!$A170:$P170, MATCH(H$2, Players!$A$1:$P$1, 0)), perc_75, VLOOKUP(H$2, Percentiles!$A$45:$I$59, 6, FALSE), perc_90, VLOOKUP(H$2, Percentiles!$A$45:$I$59, 7, FALSE), perc_95, VLOOKUP(H$2, Percentiles!$A$45:$I$59, 8, FALSE), perc_85, perc_75 + (perc_90 - perc_75) * (2/3), converted_stat, '2K_Ratings'!H171, IF(bbgm_stat &gt;= perc_95, converted_stat * 3, IF(bbgm_stat &gt;= perc_90, converted_stat * 2, IF(bbgm_stat &gt;= perc_85, converted_stat * 1.5, converted_stat)))))</f>
        <v/>
      </c>
      <c r="I171" s="30" t="str">
        <f t="array" ref="I171">IF($A171="", "", LET(bbgm_stat, INDEX(Players!$A170:$P170, MATCH(I$2, Players!$A$1:$P$1, 0)), perc_75, VLOOKUP(I$2, Percentiles!$A$45:$I$59, 6, FALSE), perc_90, VLOOKUP(I$2, Percentiles!$A$45:$I$59, 7, FALSE), perc_95, VLOOKUP(I$2, Percentiles!$A$45:$I$59, 8, FALSE), perc_85, perc_75 + (perc_90 - perc_75) * (2/3), converted_stat, '2K_Ratings'!I171, IF(bbgm_stat &gt;= perc_95, converted_stat * 3, IF(bbgm_stat &gt;= perc_90, converted_stat * 2, IF(bbgm_stat &gt;= perc_85, converted_stat * 1.5, converted_stat)))))</f>
        <v/>
      </c>
      <c r="J171" s="30" t="str">
        <f t="array" ref="J171">IF($A171="", "", LET(bbgm_stat, INDEX(Players!$A170:$P170, MATCH(J$2, Players!$A$1:$P$1, 0)), perc_75, VLOOKUP(J$2, Percentiles!$A$45:$I$59, 6, FALSE), perc_90, VLOOKUP(J$2, Percentiles!$A$45:$I$59, 7, FALSE), perc_95, VLOOKUP(J$2, Percentiles!$A$45:$I$59, 8, FALSE), perc_85, perc_75 + (perc_90 - perc_75) * (2/3), converted_stat, '2K_Ratings'!J171, IF(bbgm_stat &gt;= perc_95, converted_stat * 3, IF(bbgm_stat &gt;= perc_90, converted_stat * 2, IF(bbgm_stat &gt;= perc_85, converted_stat * 1.5, converted_stat)))))</f>
        <v/>
      </c>
      <c r="K171" s="30" t="str">
        <f t="array" ref="K171">IF($A171="", "", LET(bbgm_stat, INDEX(Players!$A170:$P170, MATCH(K$2, Players!$A$1:$P$1, 0)), perc_75, VLOOKUP(K$2, Percentiles!$A$45:$I$59, 6, FALSE), perc_90, VLOOKUP(K$2, Percentiles!$A$45:$I$59, 7, FALSE), perc_95, VLOOKUP(K$2, Percentiles!$A$45:$I$59, 8, FALSE), perc_85, perc_75 + (perc_90 - perc_75) * (2/3), converted_stat, '2K_Ratings'!K171, IF(bbgm_stat &gt;= perc_95, converted_stat * 3, IF(bbgm_stat &gt;= perc_90, converted_stat * 2, IF(bbgm_stat &gt;= perc_85, converted_stat * 1.5, converted_stat)))))</f>
        <v/>
      </c>
      <c r="L171" s="30" t="str">
        <f t="array" ref="L171">IF($A171="", "", LET(bbgm_stat, INDEX(Players!$A170:$P170, MATCH(L$2, Players!$A$1:$P$1, 0)), perc_75, VLOOKUP(L$2, Percentiles!$A$45:$I$59, 6, FALSE), perc_90, VLOOKUP(L$2, Percentiles!$A$45:$I$59, 7, FALSE), perc_95, VLOOKUP(L$2, Percentiles!$A$45:$I$59, 8, FALSE), perc_85, perc_75 + (perc_90 - perc_75) * (2/3), converted_stat, '2K_Ratings'!L171, IF(bbgm_stat &gt;= perc_95, converted_stat * 3, IF(bbgm_stat &gt;= perc_90, converted_stat * 2, IF(bbgm_stat &gt;= perc_85, converted_stat * 1.5, converted_stat)))))</f>
        <v/>
      </c>
      <c r="M171" s="30" t="str">
        <f t="array" ref="M171">IF($A171="", "", LET(bbgm_stat, INDEX(Players!$A170:$P170, MATCH(M$2, Players!$A$1:$P$1, 0)), perc_75, VLOOKUP(M$2, Percentiles!$A$45:$I$59, 6, FALSE), perc_90, VLOOKUP(M$2, Percentiles!$A$45:$I$59, 7, FALSE), perc_95, VLOOKUP(M$2, Percentiles!$A$45:$I$59, 8, FALSE), perc_85, perc_75 + (perc_90 - perc_75) * (2/3), converted_stat, '2K_Ratings'!M171, IF(bbgm_stat &gt;= perc_95, converted_stat * 3, IF(bbgm_stat &gt;= perc_90, converted_stat * 2, IF(bbgm_stat &gt;= perc_85, converted_stat * 1.5, converted_stat)))))</f>
        <v/>
      </c>
      <c r="N171" s="30" t="str">
        <f t="array" ref="N171">IF($A171="", "", LET(bbgm_stat, INDEX(Players!$A170:$P170, MATCH(N$2, Players!$A$1:$P$1, 0)), perc_75, VLOOKUP(N$2, Percentiles!$A$45:$I$59, 6, FALSE), perc_90, VLOOKUP(N$2, Percentiles!$A$45:$I$59, 7, FALSE), perc_95, VLOOKUP(N$2, Percentiles!$A$45:$I$59, 8, FALSE), perc_85, perc_75 + (perc_90 - perc_75) * (2/3), converted_stat, '2K_Ratings'!N171, IF(bbgm_stat &gt;= perc_95, converted_stat * 3, IF(bbgm_stat &gt;= perc_90, converted_stat * 2, IF(bbgm_stat &gt;= perc_85, converted_stat * 1.5, converted_stat)))))</f>
        <v/>
      </c>
      <c r="O171" s="30" t="str">
        <f t="array" ref="O171">IF($A171="", "", LET(bbgm_stat, INDEX(Players!$A170:$P170, MATCH(O$2, Players!$A$1:$P$1, 0)), perc_75, VLOOKUP(O$2, Percentiles!$A$45:$I$59, 6, FALSE), perc_90, VLOOKUP(O$2, Percentiles!$A$45:$I$59, 7, FALSE), perc_95, VLOOKUP(O$2, Percentiles!$A$45:$I$59, 8, FALSE), perc_85, perc_75 + (perc_90 - perc_75) * (2/3), converted_stat, '2K_Ratings'!O171, IF(bbgm_stat &gt;= perc_95, converted_stat * 3, IF(bbgm_stat &gt;= perc_90, converted_stat * 2, IF(bbgm_stat &gt;= perc_85, converted_stat * 1.5, converted_stat)))))</f>
        <v/>
      </c>
      <c r="P171" s="30" t="str">
        <f t="array" ref="P171">IF($A171="", "", LET(bbgm_stat, INDEX(Players!$A170:$P170, MATCH(P$2, Players!$A$1:$P$1, 0)), perc_75, VLOOKUP(P$2, Percentiles!$A$45:$I$59, 6, FALSE), perc_90, VLOOKUP(P$2, Percentiles!$A$45:$I$59, 7, FALSE), perc_95, VLOOKUP(P$2, Percentiles!$A$45:$I$59, 8, FALSE), perc_85, perc_75 + (perc_90 - perc_75) * (2/3), converted_stat, '2K_Ratings'!P171, IF(bbgm_stat &gt;= perc_95, converted_stat * 3, IF(bbgm_stat &gt;= perc_90, converted_stat * 2, IF(bbgm_stat &gt;= perc_85, converted_stat * 1.5, converted_stat)))))</f>
        <v/>
      </c>
      <c r="Q171" s="30" t="str">
        <f t="array" ref="Q171">IF($A171="", "", LET(bbgm_stat, INDEX(Players!$A170:$P170, MATCH(Q$2, Players!$A$1:$P$1, 0)), perc_75, VLOOKUP(Q$2, Percentiles!$A$45:$I$59, 6, FALSE), perc_90, VLOOKUP(Q$2, Percentiles!$A$45:$I$59, 7, FALSE), perc_95, VLOOKUP(Q$2, Percentiles!$A$45:$I$59, 8, FALSE), perc_85, perc_75 + (perc_90 - perc_75) * (2/3), converted_stat, '2K_Ratings'!Q171, IF(bbgm_stat &gt;= perc_95, converted_stat * 3, IF(bbgm_stat &gt;= perc_90, converted_stat * 2, IF(bbgm_stat &gt;= perc_85, converted_stat * 1.5, converted_stat)))))</f>
        <v/>
      </c>
      <c r="R171" s="30" t="str">
        <f t="array" ref="R171">IF($A171="", "", LET(bbgm_stat, INDEX(Players!$A170:$P170, MATCH(R$2, Players!$A$1:$P$1, 0)), perc_75, VLOOKUP(R$2, Percentiles!$A$45:$I$59, 6, FALSE), perc_90, VLOOKUP(R$2, Percentiles!$A$45:$I$59, 7, FALSE), perc_95, VLOOKUP(R$2, Percentiles!$A$45:$I$59, 8, FALSE), perc_85, perc_75 + (perc_90 - perc_75) * (2/3), converted_stat, '2K_Ratings'!R171, IF(bbgm_stat &gt;= perc_95, converted_stat * 3, IF(bbgm_stat &gt;= perc_90, converted_stat * 2, IF(bbgm_stat &gt;= perc_85, converted_stat * 1.5, converted_stat)))))</f>
        <v/>
      </c>
      <c r="S171" s="30" t="str">
        <f t="array" ref="S171">IF($A171="", "", LET(bbgm_stat, INDEX(Players!$A170:$P170, MATCH(S$2, Players!$A$1:$P$1, 0)), perc_75, VLOOKUP(S$2, Percentiles!$A$45:$I$59, 6, FALSE), perc_90, VLOOKUP(S$2, Percentiles!$A$45:$I$59, 7, FALSE), perc_95, VLOOKUP(S$2, Percentiles!$A$45:$I$59, 8, FALSE), perc_85, perc_75 + (perc_90 - perc_75) * (2/3), converted_stat, '2K_Ratings'!S171, IF(bbgm_stat &gt;= perc_95, converted_stat * 3, IF(bbgm_stat &gt;= perc_90, converted_stat * 2, IF(bbgm_stat &gt;= perc_85, converted_stat * 1.5, converted_stat)))))</f>
        <v/>
      </c>
      <c r="T171" s="30" t="str">
        <f t="array" ref="T171">IF($A171="", "", LET(bbgm_stat, INDEX(Players!$A170:$P170, MATCH(T$2, Players!$A$1:$P$1, 0)), perc_75, VLOOKUP(T$2, Percentiles!$A$45:$I$59, 6, FALSE), perc_90, VLOOKUP(T$2, Percentiles!$A$45:$I$59, 7, FALSE), perc_95, VLOOKUP(T$2, Percentiles!$A$45:$I$59, 8, FALSE), perc_85, perc_75 + (perc_90 - perc_75) * (2/3), converted_stat, '2K_Ratings'!T171, IF(bbgm_stat &gt;= perc_95, converted_stat * 3, IF(bbgm_stat &gt;= perc_90, converted_stat * 2, IF(bbgm_stat &gt;= perc_85, converted_stat * 1.5, converted_stat)))))</f>
        <v/>
      </c>
      <c r="U171" s="30" t="str">
        <f t="array" ref="U171">IF($A171="", "", LET(bbgm_stat, INDEX(Players!$A170:$P170, MATCH(U$2, Players!$A$1:$P$1, 0)), perc_75, VLOOKUP(U$2, Percentiles!$A$45:$I$59, 6, FALSE), perc_90, VLOOKUP(U$2, Percentiles!$A$45:$I$59, 7, FALSE), perc_95, VLOOKUP(U$2, Percentiles!$A$45:$I$59, 8, FALSE), perc_85, perc_75 + (perc_90 - perc_75) * (2/3), converted_stat, '2K_Ratings'!U171, IF(bbgm_stat &gt;= perc_95, converted_stat * 3, IF(bbgm_stat &gt;= perc_90, converted_stat * 2, IF(bbgm_stat &gt;= perc_85, converted_stat * 1.5, converted_stat)))))</f>
        <v/>
      </c>
      <c r="V171" s="30" t="str">
        <f t="array" ref="V171">IF($A171="", "", LET(bbgm_stat, INDEX(Players!$A170:$P170, MATCH(V$2, Players!$A$1:$P$1, 0)), perc_75, VLOOKUP(V$2, Percentiles!$A$45:$I$59, 6, FALSE), perc_90, VLOOKUP(V$2, Percentiles!$A$45:$I$59, 7, FALSE), perc_95, VLOOKUP(V$2, Percentiles!$A$45:$I$59, 8, FALSE), perc_85, perc_75 + (perc_90 - perc_75) * (2/3), converted_stat, '2K_Ratings'!V171, IF(bbgm_stat &gt;= perc_95, converted_stat * 3, IF(bbgm_stat &gt;= perc_90, converted_stat * 2, IF(bbgm_stat &gt;= perc_85, converted_stat * 1.5, converted_stat)))))</f>
        <v/>
      </c>
      <c r="W171" s="30" t="str">
        <f t="array" ref="W171">IF($A171="", "", LET(bbgm_stat, INDEX(Players!$A170:$P170, MATCH(W$2, Players!$A$1:$P$1, 0)), perc_75, VLOOKUP(W$2, Percentiles!$A$45:$I$59, 6, FALSE), perc_90, VLOOKUP(W$2, Percentiles!$A$45:$I$59, 7, FALSE), perc_95, VLOOKUP(W$2, Percentiles!$A$45:$I$59, 8, FALSE), perc_85, perc_75 + (perc_90 - perc_75) * (2/3), converted_stat, '2K_Ratings'!W171, IF(bbgm_stat &gt;= perc_95, converted_stat * 3, IF(bbgm_stat &gt;= perc_90, converted_stat * 2, IF(bbgm_stat &gt;= perc_85, converted_stat * 1.5, converted_stat)))))</f>
        <v/>
      </c>
    </row>
    <row r="172">
      <c r="A172" s="30"/>
      <c r="B172" s="30" t="str">
        <f t="array" ref="B172">IF($A172="", "", LET(bbgm_stat, INDEX(Players!$A171:$P171, MATCH(B$2, Players!$A$1:$P$1, 0)), perc_75, VLOOKUP(B$2, Percentiles!$A$45:$I$59, 6, FALSE), perc_90, VLOOKUP(B$2, Percentiles!$A$45:$I$59, 7, FALSE), perc_95, VLOOKUP(B$2, Percentiles!$A$45:$I$59, 8, FALSE), perc_85, perc_75 + (perc_90 - perc_75) * (2/3), converted_stat, '2K_Ratings'!B172, IF(bbgm_stat &gt;= perc_95, converted_stat * 3, IF(bbgm_stat &gt;= perc_90, converted_stat * 2, IF(bbgm_stat &gt;= perc_85, converted_stat * 1.5, converted_stat)))))</f>
        <v/>
      </c>
      <c r="C172" s="30" t="str">
        <f t="array" ref="C172">IF($A172="", "", LET(bbgm_stat, INDEX(Players!$A171:$P171, MATCH(C$2, Players!$A$1:$P$1, 0)), perc_75, VLOOKUP(C$2, Percentiles!$A$45:$I$59, 6, FALSE), perc_90, VLOOKUP(C$2, Percentiles!$A$45:$I$59, 7, FALSE), perc_95, VLOOKUP(C$2, Percentiles!$A$45:$I$59, 8, FALSE), perc_85, perc_75 + (perc_90 - perc_75) * (2/3), converted_stat, '2K_Ratings'!C172, IF(bbgm_stat &gt;= perc_95, converted_stat * 3, IF(bbgm_stat &gt;= perc_90, converted_stat * 2, IF(bbgm_stat &gt;= perc_85, converted_stat * 1.5, converted_stat)))))</f>
        <v/>
      </c>
      <c r="D172" s="30" t="str">
        <f t="array" ref="D172">IF($A172="", "", LET(bbgm_stat, INDEX(Players!$A171:$P171, MATCH(D$2, Players!$A$1:$P$1, 0)), perc_75, VLOOKUP(D$2, Percentiles!$A$45:$I$59, 6, FALSE), perc_90, VLOOKUP(D$2, Percentiles!$A$45:$I$59, 7, FALSE), perc_95, VLOOKUP(D$2, Percentiles!$A$45:$I$59, 8, FALSE), perc_85, perc_75 + (perc_90 - perc_75) * (2/3), converted_stat, '2K_Ratings'!D172, IF(bbgm_stat &gt;= perc_95, converted_stat * 3, IF(bbgm_stat &gt;= perc_90, converted_stat * 2, IF(bbgm_stat &gt;= perc_85, converted_stat * 1.5, converted_stat)))))</f>
        <v/>
      </c>
      <c r="E172" s="30" t="str">
        <f t="array" ref="E172">IF($A172="", "", LET(bbgm_stat, INDEX(Players!$A171:$P171, MATCH(E$2, Players!$A$1:$P$1, 0)), perc_75, VLOOKUP(E$2, Percentiles!$A$45:$I$59, 6, FALSE), perc_90, VLOOKUP(E$2, Percentiles!$A$45:$I$59, 7, FALSE), perc_95, VLOOKUP(E$2, Percentiles!$A$45:$I$59, 8, FALSE), perc_85, perc_75 + (perc_90 - perc_75) * (2/3), converted_stat, '2K_Ratings'!E172, IF(bbgm_stat &gt;= perc_95, converted_stat * 3, IF(bbgm_stat &gt;= perc_90, converted_stat * 2, IF(bbgm_stat &gt;= perc_85, converted_stat * 1.5, converted_stat)))))</f>
        <v/>
      </c>
      <c r="F172" s="30" t="str">
        <f t="array" ref="F172">IF($A172="", "", LET(bbgm_stat, INDEX(Players!$A171:$P171, MATCH(F$2, Players!$A$1:$P$1, 0)), perc_75, VLOOKUP(F$2, Percentiles!$A$45:$I$59, 6, FALSE), perc_90, VLOOKUP(F$2, Percentiles!$A$45:$I$59, 7, FALSE), perc_95, VLOOKUP(F$2, Percentiles!$A$45:$I$59, 8, FALSE), perc_85, perc_75 + (perc_90 - perc_75) * (2/3), converted_stat, '2K_Ratings'!F172, IF(bbgm_stat &gt;= perc_95, converted_stat * 3, IF(bbgm_stat &gt;= perc_90, converted_stat * 2, IF(bbgm_stat &gt;= perc_85, converted_stat * 1.5, converted_stat)))))</f>
        <v/>
      </c>
      <c r="G172" s="30" t="str">
        <f t="array" ref="G172">IF($A172="", "", LET(bbgm_stat, INDEX(Players!$A171:$P171, MATCH(G$2, Players!$A$1:$P$1, 0)), perc_75, VLOOKUP(G$2, Percentiles!$A$45:$I$59, 6, FALSE), perc_90, VLOOKUP(G$2, Percentiles!$A$45:$I$59, 7, FALSE), perc_95, VLOOKUP(G$2, Percentiles!$A$45:$I$59, 8, FALSE), perc_85, perc_75 + (perc_90 - perc_75) * (2/3), converted_stat, '2K_Ratings'!G172, IF(bbgm_stat &gt;= perc_95, converted_stat * 3, IF(bbgm_stat &gt;= perc_90, converted_stat * 2, IF(bbgm_stat &gt;= perc_85, converted_stat * 1.5, converted_stat)))))</f>
        <v/>
      </c>
      <c r="H172" s="30" t="str">
        <f t="array" ref="H172">IF($A172="", "", LET(bbgm_stat, INDEX(Players!$A171:$P171, MATCH(H$2, Players!$A$1:$P$1, 0)), perc_75, VLOOKUP(H$2, Percentiles!$A$45:$I$59, 6, FALSE), perc_90, VLOOKUP(H$2, Percentiles!$A$45:$I$59, 7, FALSE), perc_95, VLOOKUP(H$2, Percentiles!$A$45:$I$59, 8, FALSE), perc_85, perc_75 + (perc_90 - perc_75) * (2/3), converted_stat, '2K_Ratings'!H172, IF(bbgm_stat &gt;= perc_95, converted_stat * 3, IF(bbgm_stat &gt;= perc_90, converted_stat * 2, IF(bbgm_stat &gt;= perc_85, converted_stat * 1.5, converted_stat)))))</f>
        <v/>
      </c>
      <c r="I172" s="30" t="str">
        <f t="array" ref="I172">IF($A172="", "", LET(bbgm_stat, INDEX(Players!$A171:$P171, MATCH(I$2, Players!$A$1:$P$1, 0)), perc_75, VLOOKUP(I$2, Percentiles!$A$45:$I$59, 6, FALSE), perc_90, VLOOKUP(I$2, Percentiles!$A$45:$I$59, 7, FALSE), perc_95, VLOOKUP(I$2, Percentiles!$A$45:$I$59, 8, FALSE), perc_85, perc_75 + (perc_90 - perc_75) * (2/3), converted_stat, '2K_Ratings'!I172, IF(bbgm_stat &gt;= perc_95, converted_stat * 3, IF(bbgm_stat &gt;= perc_90, converted_stat * 2, IF(bbgm_stat &gt;= perc_85, converted_stat * 1.5, converted_stat)))))</f>
        <v/>
      </c>
      <c r="J172" s="30" t="str">
        <f t="array" ref="J172">IF($A172="", "", LET(bbgm_stat, INDEX(Players!$A171:$P171, MATCH(J$2, Players!$A$1:$P$1, 0)), perc_75, VLOOKUP(J$2, Percentiles!$A$45:$I$59, 6, FALSE), perc_90, VLOOKUP(J$2, Percentiles!$A$45:$I$59, 7, FALSE), perc_95, VLOOKUP(J$2, Percentiles!$A$45:$I$59, 8, FALSE), perc_85, perc_75 + (perc_90 - perc_75) * (2/3), converted_stat, '2K_Ratings'!J172, IF(bbgm_stat &gt;= perc_95, converted_stat * 3, IF(bbgm_stat &gt;= perc_90, converted_stat * 2, IF(bbgm_stat &gt;= perc_85, converted_stat * 1.5, converted_stat)))))</f>
        <v/>
      </c>
      <c r="K172" s="30" t="str">
        <f t="array" ref="K172">IF($A172="", "", LET(bbgm_stat, INDEX(Players!$A171:$P171, MATCH(K$2, Players!$A$1:$P$1, 0)), perc_75, VLOOKUP(K$2, Percentiles!$A$45:$I$59, 6, FALSE), perc_90, VLOOKUP(K$2, Percentiles!$A$45:$I$59, 7, FALSE), perc_95, VLOOKUP(K$2, Percentiles!$A$45:$I$59, 8, FALSE), perc_85, perc_75 + (perc_90 - perc_75) * (2/3), converted_stat, '2K_Ratings'!K172, IF(bbgm_stat &gt;= perc_95, converted_stat * 3, IF(bbgm_stat &gt;= perc_90, converted_stat * 2, IF(bbgm_stat &gt;= perc_85, converted_stat * 1.5, converted_stat)))))</f>
        <v/>
      </c>
      <c r="L172" s="30" t="str">
        <f t="array" ref="L172">IF($A172="", "", LET(bbgm_stat, INDEX(Players!$A171:$P171, MATCH(L$2, Players!$A$1:$P$1, 0)), perc_75, VLOOKUP(L$2, Percentiles!$A$45:$I$59, 6, FALSE), perc_90, VLOOKUP(L$2, Percentiles!$A$45:$I$59, 7, FALSE), perc_95, VLOOKUP(L$2, Percentiles!$A$45:$I$59, 8, FALSE), perc_85, perc_75 + (perc_90 - perc_75) * (2/3), converted_stat, '2K_Ratings'!L172, IF(bbgm_stat &gt;= perc_95, converted_stat * 3, IF(bbgm_stat &gt;= perc_90, converted_stat * 2, IF(bbgm_stat &gt;= perc_85, converted_stat * 1.5, converted_stat)))))</f>
        <v/>
      </c>
      <c r="M172" s="30" t="str">
        <f t="array" ref="M172">IF($A172="", "", LET(bbgm_stat, INDEX(Players!$A171:$P171, MATCH(M$2, Players!$A$1:$P$1, 0)), perc_75, VLOOKUP(M$2, Percentiles!$A$45:$I$59, 6, FALSE), perc_90, VLOOKUP(M$2, Percentiles!$A$45:$I$59, 7, FALSE), perc_95, VLOOKUP(M$2, Percentiles!$A$45:$I$59, 8, FALSE), perc_85, perc_75 + (perc_90 - perc_75) * (2/3), converted_stat, '2K_Ratings'!M172, IF(bbgm_stat &gt;= perc_95, converted_stat * 3, IF(bbgm_stat &gt;= perc_90, converted_stat * 2, IF(bbgm_stat &gt;= perc_85, converted_stat * 1.5, converted_stat)))))</f>
        <v/>
      </c>
      <c r="N172" s="30" t="str">
        <f t="array" ref="N172">IF($A172="", "", LET(bbgm_stat, INDEX(Players!$A171:$P171, MATCH(N$2, Players!$A$1:$P$1, 0)), perc_75, VLOOKUP(N$2, Percentiles!$A$45:$I$59, 6, FALSE), perc_90, VLOOKUP(N$2, Percentiles!$A$45:$I$59, 7, FALSE), perc_95, VLOOKUP(N$2, Percentiles!$A$45:$I$59, 8, FALSE), perc_85, perc_75 + (perc_90 - perc_75) * (2/3), converted_stat, '2K_Ratings'!N172, IF(bbgm_stat &gt;= perc_95, converted_stat * 3, IF(bbgm_stat &gt;= perc_90, converted_stat * 2, IF(bbgm_stat &gt;= perc_85, converted_stat * 1.5, converted_stat)))))</f>
        <v/>
      </c>
      <c r="O172" s="30" t="str">
        <f t="array" ref="O172">IF($A172="", "", LET(bbgm_stat, INDEX(Players!$A171:$P171, MATCH(O$2, Players!$A$1:$P$1, 0)), perc_75, VLOOKUP(O$2, Percentiles!$A$45:$I$59, 6, FALSE), perc_90, VLOOKUP(O$2, Percentiles!$A$45:$I$59, 7, FALSE), perc_95, VLOOKUP(O$2, Percentiles!$A$45:$I$59, 8, FALSE), perc_85, perc_75 + (perc_90 - perc_75) * (2/3), converted_stat, '2K_Ratings'!O172, IF(bbgm_stat &gt;= perc_95, converted_stat * 3, IF(bbgm_stat &gt;= perc_90, converted_stat * 2, IF(bbgm_stat &gt;= perc_85, converted_stat * 1.5, converted_stat)))))</f>
        <v/>
      </c>
      <c r="P172" s="30" t="str">
        <f t="array" ref="P172">IF($A172="", "", LET(bbgm_stat, INDEX(Players!$A171:$P171, MATCH(P$2, Players!$A$1:$P$1, 0)), perc_75, VLOOKUP(P$2, Percentiles!$A$45:$I$59, 6, FALSE), perc_90, VLOOKUP(P$2, Percentiles!$A$45:$I$59, 7, FALSE), perc_95, VLOOKUP(P$2, Percentiles!$A$45:$I$59, 8, FALSE), perc_85, perc_75 + (perc_90 - perc_75) * (2/3), converted_stat, '2K_Ratings'!P172, IF(bbgm_stat &gt;= perc_95, converted_stat * 3, IF(bbgm_stat &gt;= perc_90, converted_stat * 2, IF(bbgm_stat &gt;= perc_85, converted_stat * 1.5, converted_stat)))))</f>
        <v/>
      </c>
      <c r="Q172" s="30" t="str">
        <f t="array" ref="Q172">IF($A172="", "", LET(bbgm_stat, INDEX(Players!$A171:$P171, MATCH(Q$2, Players!$A$1:$P$1, 0)), perc_75, VLOOKUP(Q$2, Percentiles!$A$45:$I$59, 6, FALSE), perc_90, VLOOKUP(Q$2, Percentiles!$A$45:$I$59, 7, FALSE), perc_95, VLOOKUP(Q$2, Percentiles!$A$45:$I$59, 8, FALSE), perc_85, perc_75 + (perc_90 - perc_75) * (2/3), converted_stat, '2K_Ratings'!Q172, IF(bbgm_stat &gt;= perc_95, converted_stat * 3, IF(bbgm_stat &gt;= perc_90, converted_stat * 2, IF(bbgm_stat &gt;= perc_85, converted_stat * 1.5, converted_stat)))))</f>
        <v/>
      </c>
      <c r="R172" s="30" t="str">
        <f t="array" ref="R172">IF($A172="", "", LET(bbgm_stat, INDEX(Players!$A171:$P171, MATCH(R$2, Players!$A$1:$P$1, 0)), perc_75, VLOOKUP(R$2, Percentiles!$A$45:$I$59, 6, FALSE), perc_90, VLOOKUP(R$2, Percentiles!$A$45:$I$59, 7, FALSE), perc_95, VLOOKUP(R$2, Percentiles!$A$45:$I$59, 8, FALSE), perc_85, perc_75 + (perc_90 - perc_75) * (2/3), converted_stat, '2K_Ratings'!R172, IF(bbgm_stat &gt;= perc_95, converted_stat * 3, IF(bbgm_stat &gt;= perc_90, converted_stat * 2, IF(bbgm_stat &gt;= perc_85, converted_stat * 1.5, converted_stat)))))</f>
        <v/>
      </c>
      <c r="S172" s="30" t="str">
        <f t="array" ref="S172">IF($A172="", "", LET(bbgm_stat, INDEX(Players!$A171:$P171, MATCH(S$2, Players!$A$1:$P$1, 0)), perc_75, VLOOKUP(S$2, Percentiles!$A$45:$I$59, 6, FALSE), perc_90, VLOOKUP(S$2, Percentiles!$A$45:$I$59, 7, FALSE), perc_95, VLOOKUP(S$2, Percentiles!$A$45:$I$59, 8, FALSE), perc_85, perc_75 + (perc_90 - perc_75) * (2/3), converted_stat, '2K_Ratings'!S172, IF(bbgm_stat &gt;= perc_95, converted_stat * 3, IF(bbgm_stat &gt;= perc_90, converted_stat * 2, IF(bbgm_stat &gt;= perc_85, converted_stat * 1.5, converted_stat)))))</f>
        <v/>
      </c>
      <c r="T172" s="30" t="str">
        <f t="array" ref="T172">IF($A172="", "", LET(bbgm_stat, INDEX(Players!$A171:$P171, MATCH(T$2, Players!$A$1:$P$1, 0)), perc_75, VLOOKUP(T$2, Percentiles!$A$45:$I$59, 6, FALSE), perc_90, VLOOKUP(T$2, Percentiles!$A$45:$I$59, 7, FALSE), perc_95, VLOOKUP(T$2, Percentiles!$A$45:$I$59, 8, FALSE), perc_85, perc_75 + (perc_90 - perc_75) * (2/3), converted_stat, '2K_Ratings'!T172, IF(bbgm_stat &gt;= perc_95, converted_stat * 3, IF(bbgm_stat &gt;= perc_90, converted_stat * 2, IF(bbgm_stat &gt;= perc_85, converted_stat * 1.5, converted_stat)))))</f>
        <v/>
      </c>
      <c r="U172" s="30" t="str">
        <f t="array" ref="U172">IF($A172="", "", LET(bbgm_stat, INDEX(Players!$A171:$P171, MATCH(U$2, Players!$A$1:$P$1, 0)), perc_75, VLOOKUP(U$2, Percentiles!$A$45:$I$59, 6, FALSE), perc_90, VLOOKUP(U$2, Percentiles!$A$45:$I$59, 7, FALSE), perc_95, VLOOKUP(U$2, Percentiles!$A$45:$I$59, 8, FALSE), perc_85, perc_75 + (perc_90 - perc_75) * (2/3), converted_stat, '2K_Ratings'!U172, IF(bbgm_stat &gt;= perc_95, converted_stat * 3, IF(bbgm_stat &gt;= perc_90, converted_stat * 2, IF(bbgm_stat &gt;= perc_85, converted_stat * 1.5, converted_stat)))))</f>
        <v/>
      </c>
      <c r="V172" s="30" t="str">
        <f t="array" ref="V172">IF($A172="", "", LET(bbgm_stat, INDEX(Players!$A171:$P171, MATCH(V$2, Players!$A$1:$P$1, 0)), perc_75, VLOOKUP(V$2, Percentiles!$A$45:$I$59, 6, FALSE), perc_90, VLOOKUP(V$2, Percentiles!$A$45:$I$59, 7, FALSE), perc_95, VLOOKUP(V$2, Percentiles!$A$45:$I$59, 8, FALSE), perc_85, perc_75 + (perc_90 - perc_75) * (2/3), converted_stat, '2K_Ratings'!V172, IF(bbgm_stat &gt;= perc_95, converted_stat * 3, IF(bbgm_stat &gt;= perc_90, converted_stat * 2, IF(bbgm_stat &gt;= perc_85, converted_stat * 1.5, converted_stat)))))</f>
        <v/>
      </c>
      <c r="W172" s="30" t="str">
        <f t="array" ref="W172">IF($A172="", "", LET(bbgm_stat, INDEX(Players!$A171:$P171, MATCH(W$2, Players!$A$1:$P$1, 0)), perc_75, VLOOKUP(W$2, Percentiles!$A$45:$I$59, 6, FALSE), perc_90, VLOOKUP(W$2, Percentiles!$A$45:$I$59, 7, FALSE), perc_95, VLOOKUP(W$2, Percentiles!$A$45:$I$59, 8, FALSE), perc_85, perc_75 + (perc_90 - perc_75) * (2/3), converted_stat, '2K_Ratings'!W172, IF(bbgm_stat &gt;= perc_95, converted_stat * 3, IF(bbgm_stat &gt;= perc_90, converted_stat * 2, IF(bbgm_stat &gt;= perc_85, converted_stat * 1.5, converted_stat)))))</f>
        <v/>
      </c>
    </row>
    <row r="173">
      <c r="A173" s="30"/>
      <c r="B173" s="30" t="str">
        <f t="array" ref="B173">IF($A173="", "", LET(bbgm_stat, INDEX(Players!$A172:$P172, MATCH(B$2, Players!$A$1:$P$1, 0)), perc_75, VLOOKUP(B$2, Percentiles!$A$45:$I$59, 6, FALSE), perc_90, VLOOKUP(B$2, Percentiles!$A$45:$I$59, 7, FALSE), perc_95, VLOOKUP(B$2, Percentiles!$A$45:$I$59, 8, FALSE), perc_85, perc_75 + (perc_90 - perc_75) * (2/3), converted_stat, '2K_Ratings'!B173, IF(bbgm_stat &gt;= perc_95, converted_stat * 3, IF(bbgm_stat &gt;= perc_90, converted_stat * 2, IF(bbgm_stat &gt;= perc_85, converted_stat * 1.5, converted_stat)))))</f>
        <v/>
      </c>
      <c r="C173" s="30" t="str">
        <f t="array" ref="C173">IF($A173="", "", LET(bbgm_stat, INDEX(Players!$A172:$P172, MATCH(C$2, Players!$A$1:$P$1, 0)), perc_75, VLOOKUP(C$2, Percentiles!$A$45:$I$59, 6, FALSE), perc_90, VLOOKUP(C$2, Percentiles!$A$45:$I$59, 7, FALSE), perc_95, VLOOKUP(C$2, Percentiles!$A$45:$I$59, 8, FALSE), perc_85, perc_75 + (perc_90 - perc_75) * (2/3), converted_stat, '2K_Ratings'!C173, IF(bbgm_stat &gt;= perc_95, converted_stat * 3, IF(bbgm_stat &gt;= perc_90, converted_stat * 2, IF(bbgm_stat &gt;= perc_85, converted_stat * 1.5, converted_stat)))))</f>
        <v/>
      </c>
      <c r="D173" s="30" t="str">
        <f t="array" ref="D173">IF($A173="", "", LET(bbgm_stat, INDEX(Players!$A172:$P172, MATCH(D$2, Players!$A$1:$P$1, 0)), perc_75, VLOOKUP(D$2, Percentiles!$A$45:$I$59, 6, FALSE), perc_90, VLOOKUP(D$2, Percentiles!$A$45:$I$59, 7, FALSE), perc_95, VLOOKUP(D$2, Percentiles!$A$45:$I$59, 8, FALSE), perc_85, perc_75 + (perc_90 - perc_75) * (2/3), converted_stat, '2K_Ratings'!D173, IF(bbgm_stat &gt;= perc_95, converted_stat * 3, IF(bbgm_stat &gt;= perc_90, converted_stat * 2, IF(bbgm_stat &gt;= perc_85, converted_stat * 1.5, converted_stat)))))</f>
        <v/>
      </c>
      <c r="E173" s="30" t="str">
        <f t="array" ref="E173">IF($A173="", "", LET(bbgm_stat, INDEX(Players!$A172:$P172, MATCH(E$2, Players!$A$1:$P$1, 0)), perc_75, VLOOKUP(E$2, Percentiles!$A$45:$I$59, 6, FALSE), perc_90, VLOOKUP(E$2, Percentiles!$A$45:$I$59, 7, FALSE), perc_95, VLOOKUP(E$2, Percentiles!$A$45:$I$59, 8, FALSE), perc_85, perc_75 + (perc_90 - perc_75) * (2/3), converted_stat, '2K_Ratings'!E173, IF(bbgm_stat &gt;= perc_95, converted_stat * 3, IF(bbgm_stat &gt;= perc_90, converted_stat * 2, IF(bbgm_stat &gt;= perc_85, converted_stat * 1.5, converted_stat)))))</f>
        <v/>
      </c>
      <c r="F173" s="30" t="str">
        <f t="array" ref="F173">IF($A173="", "", LET(bbgm_stat, INDEX(Players!$A172:$P172, MATCH(F$2, Players!$A$1:$P$1, 0)), perc_75, VLOOKUP(F$2, Percentiles!$A$45:$I$59, 6, FALSE), perc_90, VLOOKUP(F$2, Percentiles!$A$45:$I$59, 7, FALSE), perc_95, VLOOKUP(F$2, Percentiles!$A$45:$I$59, 8, FALSE), perc_85, perc_75 + (perc_90 - perc_75) * (2/3), converted_stat, '2K_Ratings'!F173, IF(bbgm_stat &gt;= perc_95, converted_stat * 3, IF(bbgm_stat &gt;= perc_90, converted_stat * 2, IF(bbgm_stat &gt;= perc_85, converted_stat * 1.5, converted_stat)))))</f>
        <v/>
      </c>
      <c r="G173" s="30" t="str">
        <f t="array" ref="G173">IF($A173="", "", LET(bbgm_stat, INDEX(Players!$A172:$P172, MATCH(G$2, Players!$A$1:$P$1, 0)), perc_75, VLOOKUP(G$2, Percentiles!$A$45:$I$59, 6, FALSE), perc_90, VLOOKUP(G$2, Percentiles!$A$45:$I$59, 7, FALSE), perc_95, VLOOKUP(G$2, Percentiles!$A$45:$I$59, 8, FALSE), perc_85, perc_75 + (perc_90 - perc_75) * (2/3), converted_stat, '2K_Ratings'!G173, IF(bbgm_stat &gt;= perc_95, converted_stat * 3, IF(bbgm_stat &gt;= perc_90, converted_stat * 2, IF(bbgm_stat &gt;= perc_85, converted_stat * 1.5, converted_stat)))))</f>
        <v/>
      </c>
      <c r="H173" s="30" t="str">
        <f t="array" ref="H173">IF($A173="", "", LET(bbgm_stat, INDEX(Players!$A172:$P172, MATCH(H$2, Players!$A$1:$P$1, 0)), perc_75, VLOOKUP(H$2, Percentiles!$A$45:$I$59, 6, FALSE), perc_90, VLOOKUP(H$2, Percentiles!$A$45:$I$59, 7, FALSE), perc_95, VLOOKUP(H$2, Percentiles!$A$45:$I$59, 8, FALSE), perc_85, perc_75 + (perc_90 - perc_75) * (2/3), converted_stat, '2K_Ratings'!H173, IF(bbgm_stat &gt;= perc_95, converted_stat * 3, IF(bbgm_stat &gt;= perc_90, converted_stat * 2, IF(bbgm_stat &gt;= perc_85, converted_stat * 1.5, converted_stat)))))</f>
        <v/>
      </c>
      <c r="I173" s="30" t="str">
        <f t="array" ref="I173">IF($A173="", "", LET(bbgm_stat, INDEX(Players!$A172:$P172, MATCH(I$2, Players!$A$1:$P$1, 0)), perc_75, VLOOKUP(I$2, Percentiles!$A$45:$I$59, 6, FALSE), perc_90, VLOOKUP(I$2, Percentiles!$A$45:$I$59, 7, FALSE), perc_95, VLOOKUP(I$2, Percentiles!$A$45:$I$59, 8, FALSE), perc_85, perc_75 + (perc_90 - perc_75) * (2/3), converted_stat, '2K_Ratings'!I173, IF(bbgm_stat &gt;= perc_95, converted_stat * 3, IF(bbgm_stat &gt;= perc_90, converted_stat * 2, IF(bbgm_stat &gt;= perc_85, converted_stat * 1.5, converted_stat)))))</f>
        <v/>
      </c>
      <c r="J173" s="30" t="str">
        <f t="array" ref="J173">IF($A173="", "", LET(bbgm_stat, INDEX(Players!$A172:$P172, MATCH(J$2, Players!$A$1:$P$1, 0)), perc_75, VLOOKUP(J$2, Percentiles!$A$45:$I$59, 6, FALSE), perc_90, VLOOKUP(J$2, Percentiles!$A$45:$I$59, 7, FALSE), perc_95, VLOOKUP(J$2, Percentiles!$A$45:$I$59, 8, FALSE), perc_85, perc_75 + (perc_90 - perc_75) * (2/3), converted_stat, '2K_Ratings'!J173, IF(bbgm_stat &gt;= perc_95, converted_stat * 3, IF(bbgm_stat &gt;= perc_90, converted_stat * 2, IF(bbgm_stat &gt;= perc_85, converted_stat * 1.5, converted_stat)))))</f>
        <v/>
      </c>
      <c r="K173" s="30" t="str">
        <f t="array" ref="K173">IF($A173="", "", LET(bbgm_stat, INDEX(Players!$A172:$P172, MATCH(K$2, Players!$A$1:$P$1, 0)), perc_75, VLOOKUP(K$2, Percentiles!$A$45:$I$59, 6, FALSE), perc_90, VLOOKUP(K$2, Percentiles!$A$45:$I$59, 7, FALSE), perc_95, VLOOKUP(K$2, Percentiles!$A$45:$I$59, 8, FALSE), perc_85, perc_75 + (perc_90 - perc_75) * (2/3), converted_stat, '2K_Ratings'!K173, IF(bbgm_stat &gt;= perc_95, converted_stat * 3, IF(bbgm_stat &gt;= perc_90, converted_stat * 2, IF(bbgm_stat &gt;= perc_85, converted_stat * 1.5, converted_stat)))))</f>
        <v/>
      </c>
      <c r="L173" s="30" t="str">
        <f t="array" ref="L173">IF($A173="", "", LET(bbgm_stat, INDEX(Players!$A172:$P172, MATCH(L$2, Players!$A$1:$P$1, 0)), perc_75, VLOOKUP(L$2, Percentiles!$A$45:$I$59, 6, FALSE), perc_90, VLOOKUP(L$2, Percentiles!$A$45:$I$59, 7, FALSE), perc_95, VLOOKUP(L$2, Percentiles!$A$45:$I$59, 8, FALSE), perc_85, perc_75 + (perc_90 - perc_75) * (2/3), converted_stat, '2K_Ratings'!L173, IF(bbgm_stat &gt;= perc_95, converted_stat * 3, IF(bbgm_stat &gt;= perc_90, converted_stat * 2, IF(bbgm_stat &gt;= perc_85, converted_stat * 1.5, converted_stat)))))</f>
        <v/>
      </c>
      <c r="M173" s="30" t="str">
        <f t="array" ref="M173">IF($A173="", "", LET(bbgm_stat, INDEX(Players!$A172:$P172, MATCH(M$2, Players!$A$1:$P$1, 0)), perc_75, VLOOKUP(M$2, Percentiles!$A$45:$I$59, 6, FALSE), perc_90, VLOOKUP(M$2, Percentiles!$A$45:$I$59, 7, FALSE), perc_95, VLOOKUP(M$2, Percentiles!$A$45:$I$59, 8, FALSE), perc_85, perc_75 + (perc_90 - perc_75) * (2/3), converted_stat, '2K_Ratings'!M173, IF(bbgm_stat &gt;= perc_95, converted_stat * 3, IF(bbgm_stat &gt;= perc_90, converted_stat * 2, IF(bbgm_stat &gt;= perc_85, converted_stat * 1.5, converted_stat)))))</f>
        <v/>
      </c>
      <c r="N173" s="30" t="str">
        <f t="array" ref="N173">IF($A173="", "", LET(bbgm_stat, INDEX(Players!$A172:$P172, MATCH(N$2, Players!$A$1:$P$1, 0)), perc_75, VLOOKUP(N$2, Percentiles!$A$45:$I$59, 6, FALSE), perc_90, VLOOKUP(N$2, Percentiles!$A$45:$I$59, 7, FALSE), perc_95, VLOOKUP(N$2, Percentiles!$A$45:$I$59, 8, FALSE), perc_85, perc_75 + (perc_90 - perc_75) * (2/3), converted_stat, '2K_Ratings'!N173, IF(bbgm_stat &gt;= perc_95, converted_stat * 3, IF(bbgm_stat &gt;= perc_90, converted_stat * 2, IF(bbgm_stat &gt;= perc_85, converted_stat * 1.5, converted_stat)))))</f>
        <v/>
      </c>
      <c r="O173" s="30" t="str">
        <f t="array" ref="O173">IF($A173="", "", LET(bbgm_stat, INDEX(Players!$A172:$P172, MATCH(O$2, Players!$A$1:$P$1, 0)), perc_75, VLOOKUP(O$2, Percentiles!$A$45:$I$59, 6, FALSE), perc_90, VLOOKUP(O$2, Percentiles!$A$45:$I$59, 7, FALSE), perc_95, VLOOKUP(O$2, Percentiles!$A$45:$I$59, 8, FALSE), perc_85, perc_75 + (perc_90 - perc_75) * (2/3), converted_stat, '2K_Ratings'!O173, IF(bbgm_stat &gt;= perc_95, converted_stat * 3, IF(bbgm_stat &gt;= perc_90, converted_stat * 2, IF(bbgm_stat &gt;= perc_85, converted_stat * 1.5, converted_stat)))))</f>
        <v/>
      </c>
      <c r="P173" s="30" t="str">
        <f t="array" ref="P173">IF($A173="", "", LET(bbgm_stat, INDEX(Players!$A172:$P172, MATCH(P$2, Players!$A$1:$P$1, 0)), perc_75, VLOOKUP(P$2, Percentiles!$A$45:$I$59, 6, FALSE), perc_90, VLOOKUP(P$2, Percentiles!$A$45:$I$59, 7, FALSE), perc_95, VLOOKUP(P$2, Percentiles!$A$45:$I$59, 8, FALSE), perc_85, perc_75 + (perc_90 - perc_75) * (2/3), converted_stat, '2K_Ratings'!P173, IF(bbgm_stat &gt;= perc_95, converted_stat * 3, IF(bbgm_stat &gt;= perc_90, converted_stat * 2, IF(bbgm_stat &gt;= perc_85, converted_stat * 1.5, converted_stat)))))</f>
        <v/>
      </c>
      <c r="Q173" s="30" t="str">
        <f t="array" ref="Q173">IF($A173="", "", LET(bbgm_stat, INDEX(Players!$A172:$P172, MATCH(Q$2, Players!$A$1:$P$1, 0)), perc_75, VLOOKUP(Q$2, Percentiles!$A$45:$I$59, 6, FALSE), perc_90, VLOOKUP(Q$2, Percentiles!$A$45:$I$59, 7, FALSE), perc_95, VLOOKUP(Q$2, Percentiles!$A$45:$I$59, 8, FALSE), perc_85, perc_75 + (perc_90 - perc_75) * (2/3), converted_stat, '2K_Ratings'!Q173, IF(bbgm_stat &gt;= perc_95, converted_stat * 3, IF(bbgm_stat &gt;= perc_90, converted_stat * 2, IF(bbgm_stat &gt;= perc_85, converted_stat * 1.5, converted_stat)))))</f>
        <v/>
      </c>
      <c r="R173" s="30" t="str">
        <f t="array" ref="R173">IF($A173="", "", LET(bbgm_stat, INDEX(Players!$A172:$P172, MATCH(R$2, Players!$A$1:$P$1, 0)), perc_75, VLOOKUP(R$2, Percentiles!$A$45:$I$59, 6, FALSE), perc_90, VLOOKUP(R$2, Percentiles!$A$45:$I$59, 7, FALSE), perc_95, VLOOKUP(R$2, Percentiles!$A$45:$I$59, 8, FALSE), perc_85, perc_75 + (perc_90 - perc_75) * (2/3), converted_stat, '2K_Ratings'!R173, IF(bbgm_stat &gt;= perc_95, converted_stat * 3, IF(bbgm_stat &gt;= perc_90, converted_stat * 2, IF(bbgm_stat &gt;= perc_85, converted_stat * 1.5, converted_stat)))))</f>
        <v/>
      </c>
      <c r="S173" s="30" t="str">
        <f t="array" ref="S173">IF($A173="", "", LET(bbgm_stat, INDEX(Players!$A172:$P172, MATCH(S$2, Players!$A$1:$P$1, 0)), perc_75, VLOOKUP(S$2, Percentiles!$A$45:$I$59, 6, FALSE), perc_90, VLOOKUP(S$2, Percentiles!$A$45:$I$59, 7, FALSE), perc_95, VLOOKUP(S$2, Percentiles!$A$45:$I$59, 8, FALSE), perc_85, perc_75 + (perc_90 - perc_75) * (2/3), converted_stat, '2K_Ratings'!S173, IF(bbgm_stat &gt;= perc_95, converted_stat * 3, IF(bbgm_stat &gt;= perc_90, converted_stat * 2, IF(bbgm_stat &gt;= perc_85, converted_stat * 1.5, converted_stat)))))</f>
        <v/>
      </c>
      <c r="T173" s="30" t="str">
        <f t="array" ref="T173">IF($A173="", "", LET(bbgm_stat, INDEX(Players!$A172:$P172, MATCH(T$2, Players!$A$1:$P$1, 0)), perc_75, VLOOKUP(T$2, Percentiles!$A$45:$I$59, 6, FALSE), perc_90, VLOOKUP(T$2, Percentiles!$A$45:$I$59, 7, FALSE), perc_95, VLOOKUP(T$2, Percentiles!$A$45:$I$59, 8, FALSE), perc_85, perc_75 + (perc_90 - perc_75) * (2/3), converted_stat, '2K_Ratings'!T173, IF(bbgm_stat &gt;= perc_95, converted_stat * 3, IF(bbgm_stat &gt;= perc_90, converted_stat * 2, IF(bbgm_stat &gt;= perc_85, converted_stat * 1.5, converted_stat)))))</f>
        <v/>
      </c>
      <c r="U173" s="30" t="str">
        <f t="array" ref="U173">IF($A173="", "", LET(bbgm_stat, INDEX(Players!$A172:$P172, MATCH(U$2, Players!$A$1:$P$1, 0)), perc_75, VLOOKUP(U$2, Percentiles!$A$45:$I$59, 6, FALSE), perc_90, VLOOKUP(U$2, Percentiles!$A$45:$I$59, 7, FALSE), perc_95, VLOOKUP(U$2, Percentiles!$A$45:$I$59, 8, FALSE), perc_85, perc_75 + (perc_90 - perc_75) * (2/3), converted_stat, '2K_Ratings'!U173, IF(bbgm_stat &gt;= perc_95, converted_stat * 3, IF(bbgm_stat &gt;= perc_90, converted_stat * 2, IF(bbgm_stat &gt;= perc_85, converted_stat * 1.5, converted_stat)))))</f>
        <v/>
      </c>
      <c r="V173" s="30" t="str">
        <f t="array" ref="V173">IF($A173="", "", LET(bbgm_stat, INDEX(Players!$A172:$P172, MATCH(V$2, Players!$A$1:$P$1, 0)), perc_75, VLOOKUP(V$2, Percentiles!$A$45:$I$59, 6, FALSE), perc_90, VLOOKUP(V$2, Percentiles!$A$45:$I$59, 7, FALSE), perc_95, VLOOKUP(V$2, Percentiles!$A$45:$I$59, 8, FALSE), perc_85, perc_75 + (perc_90 - perc_75) * (2/3), converted_stat, '2K_Ratings'!V173, IF(bbgm_stat &gt;= perc_95, converted_stat * 3, IF(bbgm_stat &gt;= perc_90, converted_stat * 2, IF(bbgm_stat &gt;= perc_85, converted_stat * 1.5, converted_stat)))))</f>
        <v/>
      </c>
      <c r="W173" s="30" t="str">
        <f t="array" ref="W173">IF($A173="", "", LET(bbgm_stat, INDEX(Players!$A172:$P172, MATCH(W$2, Players!$A$1:$P$1, 0)), perc_75, VLOOKUP(W$2, Percentiles!$A$45:$I$59, 6, FALSE), perc_90, VLOOKUP(W$2, Percentiles!$A$45:$I$59, 7, FALSE), perc_95, VLOOKUP(W$2, Percentiles!$A$45:$I$59, 8, FALSE), perc_85, perc_75 + (perc_90 - perc_75) * (2/3), converted_stat, '2K_Ratings'!W173, IF(bbgm_stat &gt;= perc_95, converted_stat * 3, IF(bbgm_stat &gt;= perc_90, converted_stat * 2, IF(bbgm_stat &gt;= perc_85, converted_stat * 1.5, converted_stat)))))</f>
        <v/>
      </c>
    </row>
    <row r="174">
      <c r="A174" s="30"/>
      <c r="B174" s="30" t="str">
        <f t="array" ref="B174">IF($A174="", "", LET(bbgm_stat, INDEX(Players!$A173:$P173, MATCH(B$2, Players!$A$1:$P$1, 0)), perc_75, VLOOKUP(B$2, Percentiles!$A$45:$I$59, 6, FALSE), perc_90, VLOOKUP(B$2, Percentiles!$A$45:$I$59, 7, FALSE), perc_95, VLOOKUP(B$2, Percentiles!$A$45:$I$59, 8, FALSE), perc_85, perc_75 + (perc_90 - perc_75) * (2/3), converted_stat, '2K_Ratings'!B174, IF(bbgm_stat &gt;= perc_95, converted_stat * 3, IF(bbgm_stat &gt;= perc_90, converted_stat * 2, IF(bbgm_stat &gt;= perc_85, converted_stat * 1.5, converted_stat)))))</f>
        <v/>
      </c>
      <c r="C174" s="30" t="str">
        <f t="array" ref="C174">IF($A174="", "", LET(bbgm_stat, INDEX(Players!$A173:$P173, MATCH(C$2, Players!$A$1:$P$1, 0)), perc_75, VLOOKUP(C$2, Percentiles!$A$45:$I$59, 6, FALSE), perc_90, VLOOKUP(C$2, Percentiles!$A$45:$I$59, 7, FALSE), perc_95, VLOOKUP(C$2, Percentiles!$A$45:$I$59, 8, FALSE), perc_85, perc_75 + (perc_90 - perc_75) * (2/3), converted_stat, '2K_Ratings'!C174, IF(bbgm_stat &gt;= perc_95, converted_stat * 3, IF(bbgm_stat &gt;= perc_90, converted_stat * 2, IF(bbgm_stat &gt;= perc_85, converted_stat * 1.5, converted_stat)))))</f>
        <v/>
      </c>
      <c r="D174" s="30" t="str">
        <f t="array" ref="D174">IF($A174="", "", LET(bbgm_stat, INDEX(Players!$A173:$P173, MATCH(D$2, Players!$A$1:$P$1, 0)), perc_75, VLOOKUP(D$2, Percentiles!$A$45:$I$59, 6, FALSE), perc_90, VLOOKUP(D$2, Percentiles!$A$45:$I$59, 7, FALSE), perc_95, VLOOKUP(D$2, Percentiles!$A$45:$I$59, 8, FALSE), perc_85, perc_75 + (perc_90 - perc_75) * (2/3), converted_stat, '2K_Ratings'!D174, IF(bbgm_stat &gt;= perc_95, converted_stat * 3, IF(bbgm_stat &gt;= perc_90, converted_stat * 2, IF(bbgm_stat &gt;= perc_85, converted_stat * 1.5, converted_stat)))))</f>
        <v/>
      </c>
      <c r="E174" s="30" t="str">
        <f t="array" ref="E174">IF($A174="", "", LET(bbgm_stat, INDEX(Players!$A173:$P173, MATCH(E$2, Players!$A$1:$P$1, 0)), perc_75, VLOOKUP(E$2, Percentiles!$A$45:$I$59, 6, FALSE), perc_90, VLOOKUP(E$2, Percentiles!$A$45:$I$59, 7, FALSE), perc_95, VLOOKUP(E$2, Percentiles!$A$45:$I$59, 8, FALSE), perc_85, perc_75 + (perc_90 - perc_75) * (2/3), converted_stat, '2K_Ratings'!E174, IF(bbgm_stat &gt;= perc_95, converted_stat * 3, IF(bbgm_stat &gt;= perc_90, converted_stat * 2, IF(bbgm_stat &gt;= perc_85, converted_stat * 1.5, converted_stat)))))</f>
        <v/>
      </c>
      <c r="F174" s="30" t="str">
        <f t="array" ref="F174">IF($A174="", "", LET(bbgm_stat, INDEX(Players!$A173:$P173, MATCH(F$2, Players!$A$1:$P$1, 0)), perc_75, VLOOKUP(F$2, Percentiles!$A$45:$I$59, 6, FALSE), perc_90, VLOOKUP(F$2, Percentiles!$A$45:$I$59, 7, FALSE), perc_95, VLOOKUP(F$2, Percentiles!$A$45:$I$59, 8, FALSE), perc_85, perc_75 + (perc_90 - perc_75) * (2/3), converted_stat, '2K_Ratings'!F174, IF(bbgm_stat &gt;= perc_95, converted_stat * 3, IF(bbgm_stat &gt;= perc_90, converted_stat * 2, IF(bbgm_stat &gt;= perc_85, converted_stat * 1.5, converted_stat)))))</f>
        <v/>
      </c>
      <c r="G174" s="30" t="str">
        <f t="array" ref="G174">IF($A174="", "", LET(bbgm_stat, INDEX(Players!$A173:$P173, MATCH(G$2, Players!$A$1:$P$1, 0)), perc_75, VLOOKUP(G$2, Percentiles!$A$45:$I$59, 6, FALSE), perc_90, VLOOKUP(G$2, Percentiles!$A$45:$I$59, 7, FALSE), perc_95, VLOOKUP(G$2, Percentiles!$A$45:$I$59, 8, FALSE), perc_85, perc_75 + (perc_90 - perc_75) * (2/3), converted_stat, '2K_Ratings'!G174, IF(bbgm_stat &gt;= perc_95, converted_stat * 3, IF(bbgm_stat &gt;= perc_90, converted_stat * 2, IF(bbgm_stat &gt;= perc_85, converted_stat * 1.5, converted_stat)))))</f>
        <v/>
      </c>
      <c r="H174" s="30" t="str">
        <f t="array" ref="H174">IF($A174="", "", LET(bbgm_stat, INDEX(Players!$A173:$P173, MATCH(H$2, Players!$A$1:$P$1, 0)), perc_75, VLOOKUP(H$2, Percentiles!$A$45:$I$59, 6, FALSE), perc_90, VLOOKUP(H$2, Percentiles!$A$45:$I$59, 7, FALSE), perc_95, VLOOKUP(H$2, Percentiles!$A$45:$I$59, 8, FALSE), perc_85, perc_75 + (perc_90 - perc_75) * (2/3), converted_stat, '2K_Ratings'!H174, IF(bbgm_stat &gt;= perc_95, converted_stat * 3, IF(bbgm_stat &gt;= perc_90, converted_stat * 2, IF(bbgm_stat &gt;= perc_85, converted_stat * 1.5, converted_stat)))))</f>
        <v/>
      </c>
      <c r="I174" s="30" t="str">
        <f t="array" ref="I174">IF($A174="", "", LET(bbgm_stat, INDEX(Players!$A173:$P173, MATCH(I$2, Players!$A$1:$P$1, 0)), perc_75, VLOOKUP(I$2, Percentiles!$A$45:$I$59, 6, FALSE), perc_90, VLOOKUP(I$2, Percentiles!$A$45:$I$59, 7, FALSE), perc_95, VLOOKUP(I$2, Percentiles!$A$45:$I$59, 8, FALSE), perc_85, perc_75 + (perc_90 - perc_75) * (2/3), converted_stat, '2K_Ratings'!I174, IF(bbgm_stat &gt;= perc_95, converted_stat * 3, IF(bbgm_stat &gt;= perc_90, converted_stat * 2, IF(bbgm_stat &gt;= perc_85, converted_stat * 1.5, converted_stat)))))</f>
        <v/>
      </c>
      <c r="J174" s="30" t="str">
        <f t="array" ref="J174">IF($A174="", "", LET(bbgm_stat, INDEX(Players!$A173:$P173, MATCH(J$2, Players!$A$1:$P$1, 0)), perc_75, VLOOKUP(J$2, Percentiles!$A$45:$I$59, 6, FALSE), perc_90, VLOOKUP(J$2, Percentiles!$A$45:$I$59, 7, FALSE), perc_95, VLOOKUP(J$2, Percentiles!$A$45:$I$59, 8, FALSE), perc_85, perc_75 + (perc_90 - perc_75) * (2/3), converted_stat, '2K_Ratings'!J174, IF(bbgm_stat &gt;= perc_95, converted_stat * 3, IF(bbgm_stat &gt;= perc_90, converted_stat * 2, IF(bbgm_stat &gt;= perc_85, converted_stat * 1.5, converted_stat)))))</f>
        <v/>
      </c>
      <c r="K174" s="30" t="str">
        <f t="array" ref="K174">IF($A174="", "", LET(bbgm_stat, INDEX(Players!$A173:$P173, MATCH(K$2, Players!$A$1:$P$1, 0)), perc_75, VLOOKUP(K$2, Percentiles!$A$45:$I$59, 6, FALSE), perc_90, VLOOKUP(K$2, Percentiles!$A$45:$I$59, 7, FALSE), perc_95, VLOOKUP(K$2, Percentiles!$A$45:$I$59, 8, FALSE), perc_85, perc_75 + (perc_90 - perc_75) * (2/3), converted_stat, '2K_Ratings'!K174, IF(bbgm_stat &gt;= perc_95, converted_stat * 3, IF(bbgm_stat &gt;= perc_90, converted_stat * 2, IF(bbgm_stat &gt;= perc_85, converted_stat * 1.5, converted_stat)))))</f>
        <v/>
      </c>
      <c r="L174" s="30" t="str">
        <f t="array" ref="L174">IF($A174="", "", LET(bbgm_stat, INDEX(Players!$A173:$P173, MATCH(L$2, Players!$A$1:$P$1, 0)), perc_75, VLOOKUP(L$2, Percentiles!$A$45:$I$59, 6, FALSE), perc_90, VLOOKUP(L$2, Percentiles!$A$45:$I$59, 7, FALSE), perc_95, VLOOKUP(L$2, Percentiles!$A$45:$I$59, 8, FALSE), perc_85, perc_75 + (perc_90 - perc_75) * (2/3), converted_stat, '2K_Ratings'!L174, IF(bbgm_stat &gt;= perc_95, converted_stat * 3, IF(bbgm_stat &gt;= perc_90, converted_stat * 2, IF(bbgm_stat &gt;= perc_85, converted_stat * 1.5, converted_stat)))))</f>
        <v/>
      </c>
      <c r="M174" s="30" t="str">
        <f t="array" ref="M174">IF($A174="", "", LET(bbgm_stat, INDEX(Players!$A173:$P173, MATCH(M$2, Players!$A$1:$P$1, 0)), perc_75, VLOOKUP(M$2, Percentiles!$A$45:$I$59, 6, FALSE), perc_90, VLOOKUP(M$2, Percentiles!$A$45:$I$59, 7, FALSE), perc_95, VLOOKUP(M$2, Percentiles!$A$45:$I$59, 8, FALSE), perc_85, perc_75 + (perc_90 - perc_75) * (2/3), converted_stat, '2K_Ratings'!M174, IF(bbgm_stat &gt;= perc_95, converted_stat * 3, IF(bbgm_stat &gt;= perc_90, converted_stat * 2, IF(bbgm_stat &gt;= perc_85, converted_stat * 1.5, converted_stat)))))</f>
        <v/>
      </c>
      <c r="N174" s="30" t="str">
        <f t="array" ref="N174">IF($A174="", "", LET(bbgm_stat, INDEX(Players!$A173:$P173, MATCH(N$2, Players!$A$1:$P$1, 0)), perc_75, VLOOKUP(N$2, Percentiles!$A$45:$I$59, 6, FALSE), perc_90, VLOOKUP(N$2, Percentiles!$A$45:$I$59, 7, FALSE), perc_95, VLOOKUP(N$2, Percentiles!$A$45:$I$59, 8, FALSE), perc_85, perc_75 + (perc_90 - perc_75) * (2/3), converted_stat, '2K_Ratings'!N174, IF(bbgm_stat &gt;= perc_95, converted_stat * 3, IF(bbgm_stat &gt;= perc_90, converted_stat * 2, IF(bbgm_stat &gt;= perc_85, converted_stat * 1.5, converted_stat)))))</f>
        <v/>
      </c>
      <c r="O174" s="30" t="str">
        <f t="array" ref="O174">IF($A174="", "", LET(bbgm_stat, INDEX(Players!$A173:$P173, MATCH(O$2, Players!$A$1:$P$1, 0)), perc_75, VLOOKUP(O$2, Percentiles!$A$45:$I$59, 6, FALSE), perc_90, VLOOKUP(O$2, Percentiles!$A$45:$I$59, 7, FALSE), perc_95, VLOOKUP(O$2, Percentiles!$A$45:$I$59, 8, FALSE), perc_85, perc_75 + (perc_90 - perc_75) * (2/3), converted_stat, '2K_Ratings'!O174, IF(bbgm_stat &gt;= perc_95, converted_stat * 3, IF(bbgm_stat &gt;= perc_90, converted_stat * 2, IF(bbgm_stat &gt;= perc_85, converted_stat * 1.5, converted_stat)))))</f>
        <v/>
      </c>
      <c r="P174" s="30" t="str">
        <f t="array" ref="P174">IF($A174="", "", LET(bbgm_stat, INDEX(Players!$A173:$P173, MATCH(P$2, Players!$A$1:$P$1, 0)), perc_75, VLOOKUP(P$2, Percentiles!$A$45:$I$59, 6, FALSE), perc_90, VLOOKUP(P$2, Percentiles!$A$45:$I$59, 7, FALSE), perc_95, VLOOKUP(P$2, Percentiles!$A$45:$I$59, 8, FALSE), perc_85, perc_75 + (perc_90 - perc_75) * (2/3), converted_stat, '2K_Ratings'!P174, IF(bbgm_stat &gt;= perc_95, converted_stat * 3, IF(bbgm_stat &gt;= perc_90, converted_stat * 2, IF(bbgm_stat &gt;= perc_85, converted_stat * 1.5, converted_stat)))))</f>
        <v/>
      </c>
      <c r="Q174" s="30" t="str">
        <f t="array" ref="Q174">IF($A174="", "", LET(bbgm_stat, INDEX(Players!$A173:$P173, MATCH(Q$2, Players!$A$1:$P$1, 0)), perc_75, VLOOKUP(Q$2, Percentiles!$A$45:$I$59, 6, FALSE), perc_90, VLOOKUP(Q$2, Percentiles!$A$45:$I$59, 7, FALSE), perc_95, VLOOKUP(Q$2, Percentiles!$A$45:$I$59, 8, FALSE), perc_85, perc_75 + (perc_90 - perc_75) * (2/3), converted_stat, '2K_Ratings'!Q174, IF(bbgm_stat &gt;= perc_95, converted_stat * 3, IF(bbgm_stat &gt;= perc_90, converted_stat * 2, IF(bbgm_stat &gt;= perc_85, converted_stat * 1.5, converted_stat)))))</f>
        <v/>
      </c>
      <c r="R174" s="30" t="str">
        <f t="array" ref="R174">IF($A174="", "", LET(bbgm_stat, INDEX(Players!$A173:$P173, MATCH(R$2, Players!$A$1:$P$1, 0)), perc_75, VLOOKUP(R$2, Percentiles!$A$45:$I$59, 6, FALSE), perc_90, VLOOKUP(R$2, Percentiles!$A$45:$I$59, 7, FALSE), perc_95, VLOOKUP(R$2, Percentiles!$A$45:$I$59, 8, FALSE), perc_85, perc_75 + (perc_90 - perc_75) * (2/3), converted_stat, '2K_Ratings'!R174, IF(bbgm_stat &gt;= perc_95, converted_stat * 3, IF(bbgm_stat &gt;= perc_90, converted_stat * 2, IF(bbgm_stat &gt;= perc_85, converted_stat * 1.5, converted_stat)))))</f>
        <v/>
      </c>
      <c r="S174" s="30" t="str">
        <f t="array" ref="S174">IF($A174="", "", LET(bbgm_stat, INDEX(Players!$A173:$P173, MATCH(S$2, Players!$A$1:$P$1, 0)), perc_75, VLOOKUP(S$2, Percentiles!$A$45:$I$59, 6, FALSE), perc_90, VLOOKUP(S$2, Percentiles!$A$45:$I$59, 7, FALSE), perc_95, VLOOKUP(S$2, Percentiles!$A$45:$I$59, 8, FALSE), perc_85, perc_75 + (perc_90 - perc_75) * (2/3), converted_stat, '2K_Ratings'!S174, IF(bbgm_stat &gt;= perc_95, converted_stat * 3, IF(bbgm_stat &gt;= perc_90, converted_stat * 2, IF(bbgm_stat &gt;= perc_85, converted_stat * 1.5, converted_stat)))))</f>
        <v/>
      </c>
      <c r="T174" s="30" t="str">
        <f t="array" ref="T174">IF($A174="", "", LET(bbgm_stat, INDEX(Players!$A173:$P173, MATCH(T$2, Players!$A$1:$P$1, 0)), perc_75, VLOOKUP(T$2, Percentiles!$A$45:$I$59, 6, FALSE), perc_90, VLOOKUP(T$2, Percentiles!$A$45:$I$59, 7, FALSE), perc_95, VLOOKUP(T$2, Percentiles!$A$45:$I$59, 8, FALSE), perc_85, perc_75 + (perc_90 - perc_75) * (2/3), converted_stat, '2K_Ratings'!T174, IF(bbgm_stat &gt;= perc_95, converted_stat * 3, IF(bbgm_stat &gt;= perc_90, converted_stat * 2, IF(bbgm_stat &gt;= perc_85, converted_stat * 1.5, converted_stat)))))</f>
        <v/>
      </c>
      <c r="U174" s="30" t="str">
        <f t="array" ref="U174">IF($A174="", "", LET(bbgm_stat, INDEX(Players!$A173:$P173, MATCH(U$2, Players!$A$1:$P$1, 0)), perc_75, VLOOKUP(U$2, Percentiles!$A$45:$I$59, 6, FALSE), perc_90, VLOOKUP(U$2, Percentiles!$A$45:$I$59, 7, FALSE), perc_95, VLOOKUP(U$2, Percentiles!$A$45:$I$59, 8, FALSE), perc_85, perc_75 + (perc_90 - perc_75) * (2/3), converted_stat, '2K_Ratings'!U174, IF(bbgm_stat &gt;= perc_95, converted_stat * 3, IF(bbgm_stat &gt;= perc_90, converted_stat * 2, IF(bbgm_stat &gt;= perc_85, converted_stat * 1.5, converted_stat)))))</f>
        <v/>
      </c>
      <c r="V174" s="30" t="str">
        <f t="array" ref="V174">IF($A174="", "", LET(bbgm_stat, INDEX(Players!$A173:$P173, MATCH(V$2, Players!$A$1:$P$1, 0)), perc_75, VLOOKUP(V$2, Percentiles!$A$45:$I$59, 6, FALSE), perc_90, VLOOKUP(V$2, Percentiles!$A$45:$I$59, 7, FALSE), perc_95, VLOOKUP(V$2, Percentiles!$A$45:$I$59, 8, FALSE), perc_85, perc_75 + (perc_90 - perc_75) * (2/3), converted_stat, '2K_Ratings'!V174, IF(bbgm_stat &gt;= perc_95, converted_stat * 3, IF(bbgm_stat &gt;= perc_90, converted_stat * 2, IF(bbgm_stat &gt;= perc_85, converted_stat * 1.5, converted_stat)))))</f>
        <v/>
      </c>
      <c r="W174" s="30" t="str">
        <f t="array" ref="W174">IF($A174="", "", LET(bbgm_stat, INDEX(Players!$A173:$P173, MATCH(W$2, Players!$A$1:$P$1, 0)), perc_75, VLOOKUP(W$2, Percentiles!$A$45:$I$59, 6, FALSE), perc_90, VLOOKUP(W$2, Percentiles!$A$45:$I$59, 7, FALSE), perc_95, VLOOKUP(W$2, Percentiles!$A$45:$I$59, 8, FALSE), perc_85, perc_75 + (perc_90 - perc_75) * (2/3), converted_stat, '2K_Ratings'!W174, IF(bbgm_stat &gt;= perc_95, converted_stat * 3, IF(bbgm_stat &gt;= perc_90, converted_stat * 2, IF(bbgm_stat &gt;= perc_85, converted_stat * 1.5, converted_stat)))))</f>
        <v/>
      </c>
    </row>
    <row r="175">
      <c r="A175" s="30"/>
      <c r="B175" s="30" t="str">
        <f t="array" ref="B175">IF($A175="", "", LET(bbgm_stat, INDEX(Players!$A174:$P174, MATCH(B$2, Players!$A$1:$P$1, 0)), perc_75, VLOOKUP(B$2, Percentiles!$A$45:$I$59, 6, FALSE), perc_90, VLOOKUP(B$2, Percentiles!$A$45:$I$59, 7, FALSE), perc_95, VLOOKUP(B$2, Percentiles!$A$45:$I$59, 8, FALSE), perc_85, perc_75 + (perc_90 - perc_75) * (2/3), converted_stat, '2K_Ratings'!B175, IF(bbgm_stat &gt;= perc_95, converted_stat * 3, IF(bbgm_stat &gt;= perc_90, converted_stat * 2, IF(bbgm_stat &gt;= perc_85, converted_stat * 1.5, converted_stat)))))</f>
        <v/>
      </c>
      <c r="C175" s="30" t="str">
        <f t="array" ref="C175">IF($A175="", "", LET(bbgm_stat, INDEX(Players!$A174:$P174, MATCH(C$2, Players!$A$1:$P$1, 0)), perc_75, VLOOKUP(C$2, Percentiles!$A$45:$I$59, 6, FALSE), perc_90, VLOOKUP(C$2, Percentiles!$A$45:$I$59, 7, FALSE), perc_95, VLOOKUP(C$2, Percentiles!$A$45:$I$59, 8, FALSE), perc_85, perc_75 + (perc_90 - perc_75) * (2/3), converted_stat, '2K_Ratings'!C175, IF(bbgm_stat &gt;= perc_95, converted_stat * 3, IF(bbgm_stat &gt;= perc_90, converted_stat * 2, IF(bbgm_stat &gt;= perc_85, converted_stat * 1.5, converted_stat)))))</f>
        <v/>
      </c>
      <c r="D175" s="30" t="str">
        <f t="array" ref="D175">IF($A175="", "", LET(bbgm_stat, INDEX(Players!$A174:$P174, MATCH(D$2, Players!$A$1:$P$1, 0)), perc_75, VLOOKUP(D$2, Percentiles!$A$45:$I$59, 6, FALSE), perc_90, VLOOKUP(D$2, Percentiles!$A$45:$I$59, 7, FALSE), perc_95, VLOOKUP(D$2, Percentiles!$A$45:$I$59, 8, FALSE), perc_85, perc_75 + (perc_90 - perc_75) * (2/3), converted_stat, '2K_Ratings'!D175, IF(bbgm_stat &gt;= perc_95, converted_stat * 3, IF(bbgm_stat &gt;= perc_90, converted_stat * 2, IF(bbgm_stat &gt;= perc_85, converted_stat * 1.5, converted_stat)))))</f>
        <v/>
      </c>
      <c r="E175" s="30" t="str">
        <f t="array" ref="E175">IF($A175="", "", LET(bbgm_stat, INDEX(Players!$A174:$P174, MATCH(E$2, Players!$A$1:$P$1, 0)), perc_75, VLOOKUP(E$2, Percentiles!$A$45:$I$59, 6, FALSE), perc_90, VLOOKUP(E$2, Percentiles!$A$45:$I$59, 7, FALSE), perc_95, VLOOKUP(E$2, Percentiles!$A$45:$I$59, 8, FALSE), perc_85, perc_75 + (perc_90 - perc_75) * (2/3), converted_stat, '2K_Ratings'!E175, IF(bbgm_stat &gt;= perc_95, converted_stat * 3, IF(bbgm_stat &gt;= perc_90, converted_stat * 2, IF(bbgm_stat &gt;= perc_85, converted_stat * 1.5, converted_stat)))))</f>
        <v/>
      </c>
      <c r="F175" s="30" t="str">
        <f t="array" ref="F175">IF($A175="", "", LET(bbgm_stat, INDEX(Players!$A174:$P174, MATCH(F$2, Players!$A$1:$P$1, 0)), perc_75, VLOOKUP(F$2, Percentiles!$A$45:$I$59, 6, FALSE), perc_90, VLOOKUP(F$2, Percentiles!$A$45:$I$59, 7, FALSE), perc_95, VLOOKUP(F$2, Percentiles!$A$45:$I$59, 8, FALSE), perc_85, perc_75 + (perc_90 - perc_75) * (2/3), converted_stat, '2K_Ratings'!F175, IF(bbgm_stat &gt;= perc_95, converted_stat * 3, IF(bbgm_stat &gt;= perc_90, converted_stat * 2, IF(bbgm_stat &gt;= perc_85, converted_stat * 1.5, converted_stat)))))</f>
        <v/>
      </c>
      <c r="G175" s="30" t="str">
        <f t="array" ref="G175">IF($A175="", "", LET(bbgm_stat, INDEX(Players!$A174:$P174, MATCH(G$2, Players!$A$1:$P$1, 0)), perc_75, VLOOKUP(G$2, Percentiles!$A$45:$I$59, 6, FALSE), perc_90, VLOOKUP(G$2, Percentiles!$A$45:$I$59, 7, FALSE), perc_95, VLOOKUP(G$2, Percentiles!$A$45:$I$59, 8, FALSE), perc_85, perc_75 + (perc_90 - perc_75) * (2/3), converted_stat, '2K_Ratings'!G175, IF(bbgm_stat &gt;= perc_95, converted_stat * 3, IF(bbgm_stat &gt;= perc_90, converted_stat * 2, IF(bbgm_stat &gt;= perc_85, converted_stat * 1.5, converted_stat)))))</f>
        <v/>
      </c>
      <c r="H175" s="30" t="str">
        <f t="array" ref="H175">IF($A175="", "", LET(bbgm_stat, INDEX(Players!$A174:$P174, MATCH(H$2, Players!$A$1:$P$1, 0)), perc_75, VLOOKUP(H$2, Percentiles!$A$45:$I$59, 6, FALSE), perc_90, VLOOKUP(H$2, Percentiles!$A$45:$I$59, 7, FALSE), perc_95, VLOOKUP(H$2, Percentiles!$A$45:$I$59, 8, FALSE), perc_85, perc_75 + (perc_90 - perc_75) * (2/3), converted_stat, '2K_Ratings'!H175, IF(bbgm_stat &gt;= perc_95, converted_stat * 3, IF(bbgm_stat &gt;= perc_90, converted_stat * 2, IF(bbgm_stat &gt;= perc_85, converted_stat * 1.5, converted_stat)))))</f>
        <v/>
      </c>
      <c r="I175" s="30" t="str">
        <f t="array" ref="I175">IF($A175="", "", LET(bbgm_stat, INDEX(Players!$A174:$P174, MATCH(I$2, Players!$A$1:$P$1, 0)), perc_75, VLOOKUP(I$2, Percentiles!$A$45:$I$59, 6, FALSE), perc_90, VLOOKUP(I$2, Percentiles!$A$45:$I$59, 7, FALSE), perc_95, VLOOKUP(I$2, Percentiles!$A$45:$I$59, 8, FALSE), perc_85, perc_75 + (perc_90 - perc_75) * (2/3), converted_stat, '2K_Ratings'!I175, IF(bbgm_stat &gt;= perc_95, converted_stat * 3, IF(bbgm_stat &gt;= perc_90, converted_stat * 2, IF(bbgm_stat &gt;= perc_85, converted_stat * 1.5, converted_stat)))))</f>
        <v/>
      </c>
      <c r="J175" s="30" t="str">
        <f t="array" ref="J175">IF($A175="", "", LET(bbgm_stat, INDEX(Players!$A174:$P174, MATCH(J$2, Players!$A$1:$P$1, 0)), perc_75, VLOOKUP(J$2, Percentiles!$A$45:$I$59, 6, FALSE), perc_90, VLOOKUP(J$2, Percentiles!$A$45:$I$59, 7, FALSE), perc_95, VLOOKUP(J$2, Percentiles!$A$45:$I$59, 8, FALSE), perc_85, perc_75 + (perc_90 - perc_75) * (2/3), converted_stat, '2K_Ratings'!J175, IF(bbgm_stat &gt;= perc_95, converted_stat * 3, IF(bbgm_stat &gt;= perc_90, converted_stat * 2, IF(bbgm_stat &gt;= perc_85, converted_stat * 1.5, converted_stat)))))</f>
        <v/>
      </c>
      <c r="K175" s="30" t="str">
        <f t="array" ref="K175">IF($A175="", "", LET(bbgm_stat, INDEX(Players!$A174:$P174, MATCH(K$2, Players!$A$1:$P$1, 0)), perc_75, VLOOKUP(K$2, Percentiles!$A$45:$I$59, 6, FALSE), perc_90, VLOOKUP(K$2, Percentiles!$A$45:$I$59, 7, FALSE), perc_95, VLOOKUP(K$2, Percentiles!$A$45:$I$59, 8, FALSE), perc_85, perc_75 + (perc_90 - perc_75) * (2/3), converted_stat, '2K_Ratings'!K175, IF(bbgm_stat &gt;= perc_95, converted_stat * 3, IF(bbgm_stat &gt;= perc_90, converted_stat * 2, IF(bbgm_stat &gt;= perc_85, converted_stat * 1.5, converted_stat)))))</f>
        <v/>
      </c>
      <c r="L175" s="30" t="str">
        <f t="array" ref="L175">IF($A175="", "", LET(bbgm_stat, INDEX(Players!$A174:$P174, MATCH(L$2, Players!$A$1:$P$1, 0)), perc_75, VLOOKUP(L$2, Percentiles!$A$45:$I$59, 6, FALSE), perc_90, VLOOKUP(L$2, Percentiles!$A$45:$I$59, 7, FALSE), perc_95, VLOOKUP(L$2, Percentiles!$A$45:$I$59, 8, FALSE), perc_85, perc_75 + (perc_90 - perc_75) * (2/3), converted_stat, '2K_Ratings'!L175, IF(bbgm_stat &gt;= perc_95, converted_stat * 3, IF(bbgm_stat &gt;= perc_90, converted_stat * 2, IF(bbgm_stat &gt;= perc_85, converted_stat * 1.5, converted_stat)))))</f>
        <v/>
      </c>
      <c r="M175" s="30" t="str">
        <f t="array" ref="M175">IF($A175="", "", LET(bbgm_stat, INDEX(Players!$A174:$P174, MATCH(M$2, Players!$A$1:$P$1, 0)), perc_75, VLOOKUP(M$2, Percentiles!$A$45:$I$59, 6, FALSE), perc_90, VLOOKUP(M$2, Percentiles!$A$45:$I$59, 7, FALSE), perc_95, VLOOKUP(M$2, Percentiles!$A$45:$I$59, 8, FALSE), perc_85, perc_75 + (perc_90 - perc_75) * (2/3), converted_stat, '2K_Ratings'!M175, IF(bbgm_stat &gt;= perc_95, converted_stat * 3, IF(bbgm_stat &gt;= perc_90, converted_stat * 2, IF(bbgm_stat &gt;= perc_85, converted_stat * 1.5, converted_stat)))))</f>
        <v/>
      </c>
      <c r="N175" s="30" t="str">
        <f t="array" ref="N175">IF($A175="", "", LET(bbgm_stat, INDEX(Players!$A174:$P174, MATCH(N$2, Players!$A$1:$P$1, 0)), perc_75, VLOOKUP(N$2, Percentiles!$A$45:$I$59, 6, FALSE), perc_90, VLOOKUP(N$2, Percentiles!$A$45:$I$59, 7, FALSE), perc_95, VLOOKUP(N$2, Percentiles!$A$45:$I$59, 8, FALSE), perc_85, perc_75 + (perc_90 - perc_75) * (2/3), converted_stat, '2K_Ratings'!N175, IF(bbgm_stat &gt;= perc_95, converted_stat * 3, IF(bbgm_stat &gt;= perc_90, converted_stat * 2, IF(bbgm_stat &gt;= perc_85, converted_stat * 1.5, converted_stat)))))</f>
        <v/>
      </c>
      <c r="O175" s="30" t="str">
        <f t="array" ref="O175">IF($A175="", "", LET(bbgm_stat, INDEX(Players!$A174:$P174, MATCH(O$2, Players!$A$1:$P$1, 0)), perc_75, VLOOKUP(O$2, Percentiles!$A$45:$I$59, 6, FALSE), perc_90, VLOOKUP(O$2, Percentiles!$A$45:$I$59, 7, FALSE), perc_95, VLOOKUP(O$2, Percentiles!$A$45:$I$59, 8, FALSE), perc_85, perc_75 + (perc_90 - perc_75) * (2/3), converted_stat, '2K_Ratings'!O175, IF(bbgm_stat &gt;= perc_95, converted_stat * 3, IF(bbgm_stat &gt;= perc_90, converted_stat * 2, IF(bbgm_stat &gt;= perc_85, converted_stat * 1.5, converted_stat)))))</f>
        <v/>
      </c>
      <c r="P175" s="30" t="str">
        <f t="array" ref="P175">IF($A175="", "", LET(bbgm_stat, INDEX(Players!$A174:$P174, MATCH(P$2, Players!$A$1:$P$1, 0)), perc_75, VLOOKUP(P$2, Percentiles!$A$45:$I$59, 6, FALSE), perc_90, VLOOKUP(P$2, Percentiles!$A$45:$I$59, 7, FALSE), perc_95, VLOOKUP(P$2, Percentiles!$A$45:$I$59, 8, FALSE), perc_85, perc_75 + (perc_90 - perc_75) * (2/3), converted_stat, '2K_Ratings'!P175, IF(bbgm_stat &gt;= perc_95, converted_stat * 3, IF(bbgm_stat &gt;= perc_90, converted_stat * 2, IF(bbgm_stat &gt;= perc_85, converted_stat * 1.5, converted_stat)))))</f>
        <v/>
      </c>
      <c r="Q175" s="30" t="str">
        <f t="array" ref="Q175">IF($A175="", "", LET(bbgm_stat, INDEX(Players!$A174:$P174, MATCH(Q$2, Players!$A$1:$P$1, 0)), perc_75, VLOOKUP(Q$2, Percentiles!$A$45:$I$59, 6, FALSE), perc_90, VLOOKUP(Q$2, Percentiles!$A$45:$I$59, 7, FALSE), perc_95, VLOOKUP(Q$2, Percentiles!$A$45:$I$59, 8, FALSE), perc_85, perc_75 + (perc_90 - perc_75) * (2/3), converted_stat, '2K_Ratings'!Q175, IF(bbgm_stat &gt;= perc_95, converted_stat * 3, IF(bbgm_stat &gt;= perc_90, converted_stat * 2, IF(bbgm_stat &gt;= perc_85, converted_stat * 1.5, converted_stat)))))</f>
        <v/>
      </c>
      <c r="R175" s="30" t="str">
        <f t="array" ref="R175">IF($A175="", "", LET(bbgm_stat, INDEX(Players!$A174:$P174, MATCH(R$2, Players!$A$1:$P$1, 0)), perc_75, VLOOKUP(R$2, Percentiles!$A$45:$I$59, 6, FALSE), perc_90, VLOOKUP(R$2, Percentiles!$A$45:$I$59, 7, FALSE), perc_95, VLOOKUP(R$2, Percentiles!$A$45:$I$59, 8, FALSE), perc_85, perc_75 + (perc_90 - perc_75) * (2/3), converted_stat, '2K_Ratings'!R175, IF(bbgm_stat &gt;= perc_95, converted_stat * 3, IF(bbgm_stat &gt;= perc_90, converted_stat * 2, IF(bbgm_stat &gt;= perc_85, converted_stat * 1.5, converted_stat)))))</f>
        <v/>
      </c>
      <c r="S175" s="30" t="str">
        <f t="array" ref="S175">IF($A175="", "", LET(bbgm_stat, INDEX(Players!$A174:$P174, MATCH(S$2, Players!$A$1:$P$1, 0)), perc_75, VLOOKUP(S$2, Percentiles!$A$45:$I$59, 6, FALSE), perc_90, VLOOKUP(S$2, Percentiles!$A$45:$I$59, 7, FALSE), perc_95, VLOOKUP(S$2, Percentiles!$A$45:$I$59, 8, FALSE), perc_85, perc_75 + (perc_90 - perc_75) * (2/3), converted_stat, '2K_Ratings'!S175, IF(bbgm_stat &gt;= perc_95, converted_stat * 3, IF(bbgm_stat &gt;= perc_90, converted_stat * 2, IF(bbgm_stat &gt;= perc_85, converted_stat * 1.5, converted_stat)))))</f>
        <v/>
      </c>
      <c r="T175" s="30" t="str">
        <f t="array" ref="T175">IF($A175="", "", LET(bbgm_stat, INDEX(Players!$A174:$P174, MATCH(T$2, Players!$A$1:$P$1, 0)), perc_75, VLOOKUP(T$2, Percentiles!$A$45:$I$59, 6, FALSE), perc_90, VLOOKUP(T$2, Percentiles!$A$45:$I$59, 7, FALSE), perc_95, VLOOKUP(T$2, Percentiles!$A$45:$I$59, 8, FALSE), perc_85, perc_75 + (perc_90 - perc_75) * (2/3), converted_stat, '2K_Ratings'!T175, IF(bbgm_stat &gt;= perc_95, converted_stat * 3, IF(bbgm_stat &gt;= perc_90, converted_stat * 2, IF(bbgm_stat &gt;= perc_85, converted_stat * 1.5, converted_stat)))))</f>
        <v/>
      </c>
      <c r="U175" s="30" t="str">
        <f t="array" ref="U175">IF($A175="", "", LET(bbgm_stat, INDEX(Players!$A174:$P174, MATCH(U$2, Players!$A$1:$P$1, 0)), perc_75, VLOOKUP(U$2, Percentiles!$A$45:$I$59, 6, FALSE), perc_90, VLOOKUP(U$2, Percentiles!$A$45:$I$59, 7, FALSE), perc_95, VLOOKUP(U$2, Percentiles!$A$45:$I$59, 8, FALSE), perc_85, perc_75 + (perc_90 - perc_75) * (2/3), converted_stat, '2K_Ratings'!U175, IF(bbgm_stat &gt;= perc_95, converted_stat * 3, IF(bbgm_stat &gt;= perc_90, converted_stat * 2, IF(bbgm_stat &gt;= perc_85, converted_stat * 1.5, converted_stat)))))</f>
        <v/>
      </c>
      <c r="V175" s="30" t="str">
        <f t="array" ref="V175">IF($A175="", "", LET(bbgm_stat, INDEX(Players!$A174:$P174, MATCH(V$2, Players!$A$1:$P$1, 0)), perc_75, VLOOKUP(V$2, Percentiles!$A$45:$I$59, 6, FALSE), perc_90, VLOOKUP(V$2, Percentiles!$A$45:$I$59, 7, FALSE), perc_95, VLOOKUP(V$2, Percentiles!$A$45:$I$59, 8, FALSE), perc_85, perc_75 + (perc_90 - perc_75) * (2/3), converted_stat, '2K_Ratings'!V175, IF(bbgm_stat &gt;= perc_95, converted_stat * 3, IF(bbgm_stat &gt;= perc_90, converted_stat * 2, IF(bbgm_stat &gt;= perc_85, converted_stat * 1.5, converted_stat)))))</f>
        <v/>
      </c>
      <c r="W175" s="30" t="str">
        <f t="array" ref="W175">IF($A175="", "", LET(bbgm_stat, INDEX(Players!$A174:$P174, MATCH(W$2, Players!$A$1:$P$1, 0)), perc_75, VLOOKUP(W$2, Percentiles!$A$45:$I$59, 6, FALSE), perc_90, VLOOKUP(W$2, Percentiles!$A$45:$I$59, 7, FALSE), perc_95, VLOOKUP(W$2, Percentiles!$A$45:$I$59, 8, FALSE), perc_85, perc_75 + (perc_90 - perc_75) * (2/3), converted_stat, '2K_Ratings'!W175, IF(bbgm_stat &gt;= perc_95, converted_stat * 3, IF(bbgm_stat &gt;= perc_90, converted_stat * 2, IF(bbgm_stat &gt;= perc_85, converted_stat * 1.5, converted_stat)))))</f>
        <v/>
      </c>
    </row>
    <row r="176">
      <c r="A176" s="30"/>
      <c r="B176" s="30" t="str">
        <f t="array" ref="B176">IF($A176="", "", LET(bbgm_stat, INDEX(Players!$A175:$P175, MATCH(B$2, Players!$A$1:$P$1, 0)), perc_75, VLOOKUP(B$2, Percentiles!$A$45:$I$59, 6, FALSE), perc_90, VLOOKUP(B$2, Percentiles!$A$45:$I$59, 7, FALSE), perc_95, VLOOKUP(B$2, Percentiles!$A$45:$I$59, 8, FALSE), perc_85, perc_75 + (perc_90 - perc_75) * (2/3), converted_stat, '2K_Ratings'!B176, IF(bbgm_stat &gt;= perc_95, converted_stat * 3, IF(bbgm_stat &gt;= perc_90, converted_stat * 2, IF(bbgm_stat &gt;= perc_85, converted_stat * 1.5, converted_stat)))))</f>
        <v/>
      </c>
      <c r="C176" s="30" t="str">
        <f t="array" ref="C176">IF($A176="", "", LET(bbgm_stat, INDEX(Players!$A175:$P175, MATCH(C$2, Players!$A$1:$P$1, 0)), perc_75, VLOOKUP(C$2, Percentiles!$A$45:$I$59, 6, FALSE), perc_90, VLOOKUP(C$2, Percentiles!$A$45:$I$59, 7, FALSE), perc_95, VLOOKUP(C$2, Percentiles!$A$45:$I$59, 8, FALSE), perc_85, perc_75 + (perc_90 - perc_75) * (2/3), converted_stat, '2K_Ratings'!C176, IF(bbgm_stat &gt;= perc_95, converted_stat * 3, IF(bbgm_stat &gt;= perc_90, converted_stat * 2, IF(bbgm_stat &gt;= perc_85, converted_stat * 1.5, converted_stat)))))</f>
        <v/>
      </c>
      <c r="D176" s="30" t="str">
        <f t="array" ref="D176">IF($A176="", "", LET(bbgm_stat, INDEX(Players!$A175:$P175, MATCH(D$2, Players!$A$1:$P$1, 0)), perc_75, VLOOKUP(D$2, Percentiles!$A$45:$I$59, 6, FALSE), perc_90, VLOOKUP(D$2, Percentiles!$A$45:$I$59, 7, FALSE), perc_95, VLOOKUP(D$2, Percentiles!$A$45:$I$59, 8, FALSE), perc_85, perc_75 + (perc_90 - perc_75) * (2/3), converted_stat, '2K_Ratings'!D176, IF(bbgm_stat &gt;= perc_95, converted_stat * 3, IF(bbgm_stat &gt;= perc_90, converted_stat * 2, IF(bbgm_stat &gt;= perc_85, converted_stat * 1.5, converted_stat)))))</f>
        <v/>
      </c>
      <c r="E176" s="30" t="str">
        <f t="array" ref="E176">IF($A176="", "", LET(bbgm_stat, INDEX(Players!$A175:$P175, MATCH(E$2, Players!$A$1:$P$1, 0)), perc_75, VLOOKUP(E$2, Percentiles!$A$45:$I$59, 6, FALSE), perc_90, VLOOKUP(E$2, Percentiles!$A$45:$I$59, 7, FALSE), perc_95, VLOOKUP(E$2, Percentiles!$A$45:$I$59, 8, FALSE), perc_85, perc_75 + (perc_90 - perc_75) * (2/3), converted_stat, '2K_Ratings'!E176, IF(bbgm_stat &gt;= perc_95, converted_stat * 3, IF(bbgm_stat &gt;= perc_90, converted_stat * 2, IF(bbgm_stat &gt;= perc_85, converted_stat * 1.5, converted_stat)))))</f>
        <v/>
      </c>
      <c r="F176" s="30" t="str">
        <f t="array" ref="F176">IF($A176="", "", LET(bbgm_stat, INDEX(Players!$A175:$P175, MATCH(F$2, Players!$A$1:$P$1, 0)), perc_75, VLOOKUP(F$2, Percentiles!$A$45:$I$59, 6, FALSE), perc_90, VLOOKUP(F$2, Percentiles!$A$45:$I$59, 7, FALSE), perc_95, VLOOKUP(F$2, Percentiles!$A$45:$I$59, 8, FALSE), perc_85, perc_75 + (perc_90 - perc_75) * (2/3), converted_stat, '2K_Ratings'!F176, IF(bbgm_stat &gt;= perc_95, converted_stat * 3, IF(bbgm_stat &gt;= perc_90, converted_stat * 2, IF(bbgm_stat &gt;= perc_85, converted_stat * 1.5, converted_stat)))))</f>
        <v/>
      </c>
      <c r="G176" s="30" t="str">
        <f t="array" ref="G176">IF($A176="", "", LET(bbgm_stat, INDEX(Players!$A175:$P175, MATCH(G$2, Players!$A$1:$P$1, 0)), perc_75, VLOOKUP(G$2, Percentiles!$A$45:$I$59, 6, FALSE), perc_90, VLOOKUP(G$2, Percentiles!$A$45:$I$59, 7, FALSE), perc_95, VLOOKUP(G$2, Percentiles!$A$45:$I$59, 8, FALSE), perc_85, perc_75 + (perc_90 - perc_75) * (2/3), converted_stat, '2K_Ratings'!G176, IF(bbgm_stat &gt;= perc_95, converted_stat * 3, IF(bbgm_stat &gt;= perc_90, converted_stat * 2, IF(bbgm_stat &gt;= perc_85, converted_stat * 1.5, converted_stat)))))</f>
        <v/>
      </c>
      <c r="H176" s="30" t="str">
        <f t="array" ref="H176">IF($A176="", "", LET(bbgm_stat, INDEX(Players!$A175:$P175, MATCH(H$2, Players!$A$1:$P$1, 0)), perc_75, VLOOKUP(H$2, Percentiles!$A$45:$I$59, 6, FALSE), perc_90, VLOOKUP(H$2, Percentiles!$A$45:$I$59, 7, FALSE), perc_95, VLOOKUP(H$2, Percentiles!$A$45:$I$59, 8, FALSE), perc_85, perc_75 + (perc_90 - perc_75) * (2/3), converted_stat, '2K_Ratings'!H176, IF(bbgm_stat &gt;= perc_95, converted_stat * 3, IF(bbgm_stat &gt;= perc_90, converted_stat * 2, IF(bbgm_stat &gt;= perc_85, converted_stat * 1.5, converted_stat)))))</f>
        <v/>
      </c>
      <c r="I176" s="30" t="str">
        <f t="array" ref="I176">IF($A176="", "", LET(bbgm_stat, INDEX(Players!$A175:$P175, MATCH(I$2, Players!$A$1:$P$1, 0)), perc_75, VLOOKUP(I$2, Percentiles!$A$45:$I$59, 6, FALSE), perc_90, VLOOKUP(I$2, Percentiles!$A$45:$I$59, 7, FALSE), perc_95, VLOOKUP(I$2, Percentiles!$A$45:$I$59, 8, FALSE), perc_85, perc_75 + (perc_90 - perc_75) * (2/3), converted_stat, '2K_Ratings'!I176, IF(bbgm_stat &gt;= perc_95, converted_stat * 3, IF(bbgm_stat &gt;= perc_90, converted_stat * 2, IF(bbgm_stat &gt;= perc_85, converted_stat * 1.5, converted_stat)))))</f>
        <v/>
      </c>
      <c r="J176" s="30" t="str">
        <f t="array" ref="J176">IF($A176="", "", LET(bbgm_stat, INDEX(Players!$A175:$P175, MATCH(J$2, Players!$A$1:$P$1, 0)), perc_75, VLOOKUP(J$2, Percentiles!$A$45:$I$59, 6, FALSE), perc_90, VLOOKUP(J$2, Percentiles!$A$45:$I$59, 7, FALSE), perc_95, VLOOKUP(J$2, Percentiles!$A$45:$I$59, 8, FALSE), perc_85, perc_75 + (perc_90 - perc_75) * (2/3), converted_stat, '2K_Ratings'!J176, IF(bbgm_stat &gt;= perc_95, converted_stat * 3, IF(bbgm_stat &gt;= perc_90, converted_stat * 2, IF(bbgm_stat &gt;= perc_85, converted_stat * 1.5, converted_stat)))))</f>
        <v/>
      </c>
      <c r="K176" s="30" t="str">
        <f t="array" ref="K176">IF($A176="", "", LET(bbgm_stat, INDEX(Players!$A175:$P175, MATCH(K$2, Players!$A$1:$P$1, 0)), perc_75, VLOOKUP(K$2, Percentiles!$A$45:$I$59, 6, FALSE), perc_90, VLOOKUP(K$2, Percentiles!$A$45:$I$59, 7, FALSE), perc_95, VLOOKUP(K$2, Percentiles!$A$45:$I$59, 8, FALSE), perc_85, perc_75 + (perc_90 - perc_75) * (2/3), converted_stat, '2K_Ratings'!K176, IF(bbgm_stat &gt;= perc_95, converted_stat * 3, IF(bbgm_stat &gt;= perc_90, converted_stat * 2, IF(bbgm_stat &gt;= perc_85, converted_stat * 1.5, converted_stat)))))</f>
        <v/>
      </c>
      <c r="L176" s="30" t="str">
        <f t="array" ref="L176">IF($A176="", "", LET(bbgm_stat, INDEX(Players!$A175:$P175, MATCH(L$2, Players!$A$1:$P$1, 0)), perc_75, VLOOKUP(L$2, Percentiles!$A$45:$I$59, 6, FALSE), perc_90, VLOOKUP(L$2, Percentiles!$A$45:$I$59, 7, FALSE), perc_95, VLOOKUP(L$2, Percentiles!$A$45:$I$59, 8, FALSE), perc_85, perc_75 + (perc_90 - perc_75) * (2/3), converted_stat, '2K_Ratings'!L176, IF(bbgm_stat &gt;= perc_95, converted_stat * 3, IF(bbgm_stat &gt;= perc_90, converted_stat * 2, IF(bbgm_stat &gt;= perc_85, converted_stat * 1.5, converted_stat)))))</f>
        <v/>
      </c>
      <c r="M176" s="30" t="str">
        <f t="array" ref="M176">IF($A176="", "", LET(bbgm_stat, INDEX(Players!$A175:$P175, MATCH(M$2, Players!$A$1:$P$1, 0)), perc_75, VLOOKUP(M$2, Percentiles!$A$45:$I$59, 6, FALSE), perc_90, VLOOKUP(M$2, Percentiles!$A$45:$I$59, 7, FALSE), perc_95, VLOOKUP(M$2, Percentiles!$A$45:$I$59, 8, FALSE), perc_85, perc_75 + (perc_90 - perc_75) * (2/3), converted_stat, '2K_Ratings'!M176, IF(bbgm_stat &gt;= perc_95, converted_stat * 3, IF(bbgm_stat &gt;= perc_90, converted_stat * 2, IF(bbgm_stat &gt;= perc_85, converted_stat * 1.5, converted_stat)))))</f>
        <v/>
      </c>
      <c r="N176" s="30" t="str">
        <f t="array" ref="N176">IF($A176="", "", LET(bbgm_stat, INDEX(Players!$A175:$P175, MATCH(N$2, Players!$A$1:$P$1, 0)), perc_75, VLOOKUP(N$2, Percentiles!$A$45:$I$59, 6, FALSE), perc_90, VLOOKUP(N$2, Percentiles!$A$45:$I$59, 7, FALSE), perc_95, VLOOKUP(N$2, Percentiles!$A$45:$I$59, 8, FALSE), perc_85, perc_75 + (perc_90 - perc_75) * (2/3), converted_stat, '2K_Ratings'!N176, IF(bbgm_stat &gt;= perc_95, converted_stat * 3, IF(bbgm_stat &gt;= perc_90, converted_stat * 2, IF(bbgm_stat &gt;= perc_85, converted_stat * 1.5, converted_stat)))))</f>
        <v/>
      </c>
      <c r="O176" s="30" t="str">
        <f t="array" ref="O176">IF($A176="", "", LET(bbgm_stat, INDEX(Players!$A175:$P175, MATCH(O$2, Players!$A$1:$P$1, 0)), perc_75, VLOOKUP(O$2, Percentiles!$A$45:$I$59, 6, FALSE), perc_90, VLOOKUP(O$2, Percentiles!$A$45:$I$59, 7, FALSE), perc_95, VLOOKUP(O$2, Percentiles!$A$45:$I$59, 8, FALSE), perc_85, perc_75 + (perc_90 - perc_75) * (2/3), converted_stat, '2K_Ratings'!O176, IF(bbgm_stat &gt;= perc_95, converted_stat * 3, IF(bbgm_stat &gt;= perc_90, converted_stat * 2, IF(bbgm_stat &gt;= perc_85, converted_stat * 1.5, converted_stat)))))</f>
        <v/>
      </c>
      <c r="P176" s="30" t="str">
        <f t="array" ref="P176">IF($A176="", "", LET(bbgm_stat, INDEX(Players!$A175:$P175, MATCH(P$2, Players!$A$1:$P$1, 0)), perc_75, VLOOKUP(P$2, Percentiles!$A$45:$I$59, 6, FALSE), perc_90, VLOOKUP(P$2, Percentiles!$A$45:$I$59, 7, FALSE), perc_95, VLOOKUP(P$2, Percentiles!$A$45:$I$59, 8, FALSE), perc_85, perc_75 + (perc_90 - perc_75) * (2/3), converted_stat, '2K_Ratings'!P176, IF(bbgm_stat &gt;= perc_95, converted_stat * 3, IF(bbgm_stat &gt;= perc_90, converted_stat * 2, IF(bbgm_stat &gt;= perc_85, converted_stat * 1.5, converted_stat)))))</f>
        <v/>
      </c>
      <c r="Q176" s="30" t="str">
        <f t="array" ref="Q176">IF($A176="", "", LET(bbgm_stat, INDEX(Players!$A175:$P175, MATCH(Q$2, Players!$A$1:$P$1, 0)), perc_75, VLOOKUP(Q$2, Percentiles!$A$45:$I$59, 6, FALSE), perc_90, VLOOKUP(Q$2, Percentiles!$A$45:$I$59, 7, FALSE), perc_95, VLOOKUP(Q$2, Percentiles!$A$45:$I$59, 8, FALSE), perc_85, perc_75 + (perc_90 - perc_75) * (2/3), converted_stat, '2K_Ratings'!Q176, IF(bbgm_stat &gt;= perc_95, converted_stat * 3, IF(bbgm_stat &gt;= perc_90, converted_stat * 2, IF(bbgm_stat &gt;= perc_85, converted_stat * 1.5, converted_stat)))))</f>
        <v/>
      </c>
      <c r="R176" s="30" t="str">
        <f t="array" ref="R176">IF($A176="", "", LET(bbgm_stat, INDEX(Players!$A175:$P175, MATCH(R$2, Players!$A$1:$P$1, 0)), perc_75, VLOOKUP(R$2, Percentiles!$A$45:$I$59, 6, FALSE), perc_90, VLOOKUP(R$2, Percentiles!$A$45:$I$59, 7, FALSE), perc_95, VLOOKUP(R$2, Percentiles!$A$45:$I$59, 8, FALSE), perc_85, perc_75 + (perc_90 - perc_75) * (2/3), converted_stat, '2K_Ratings'!R176, IF(bbgm_stat &gt;= perc_95, converted_stat * 3, IF(bbgm_stat &gt;= perc_90, converted_stat * 2, IF(bbgm_stat &gt;= perc_85, converted_stat * 1.5, converted_stat)))))</f>
        <v/>
      </c>
      <c r="S176" s="30" t="str">
        <f t="array" ref="S176">IF($A176="", "", LET(bbgm_stat, INDEX(Players!$A175:$P175, MATCH(S$2, Players!$A$1:$P$1, 0)), perc_75, VLOOKUP(S$2, Percentiles!$A$45:$I$59, 6, FALSE), perc_90, VLOOKUP(S$2, Percentiles!$A$45:$I$59, 7, FALSE), perc_95, VLOOKUP(S$2, Percentiles!$A$45:$I$59, 8, FALSE), perc_85, perc_75 + (perc_90 - perc_75) * (2/3), converted_stat, '2K_Ratings'!S176, IF(bbgm_stat &gt;= perc_95, converted_stat * 3, IF(bbgm_stat &gt;= perc_90, converted_stat * 2, IF(bbgm_stat &gt;= perc_85, converted_stat * 1.5, converted_stat)))))</f>
        <v/>
      </c>
      <c r="T176" s="30" t="str">
        <f t="array" ref="T176">IF($A176="", "", LET(bbgm_stat, INDEX(Players!$A175:$P175, MATCH(T$2, Players!$A$1:$P$1, 0)), perc_75, VLOOKUP(T$2, Percentiles!$A$45:$I$59, 6, FALSE), perc_90, VLOOKUP(T$2, Percentiles!$A$45:$I$59, 7, FALSE), perc_95, VLOOKUP(T$2, Percentiles!$A$45:$I$59, 8, FALSE), perc_85, perc_75 + (perc_90 - perc_75) * (2/3), converted_stat, '2K_Ratings'!T176, IF(bbgm_stat &gt;= perc_95, converted_stat * 3, IF(bbgm_stat &gt;= perc_90, converted_stat * 2, IF(bbgm_stat &gt;= perc_85, converted_stat * 1.5, converted_stat)))))</f>
        <v/>
      </c>
      <c r="U176" s="30" t="str">
        <f t="array" ref="U176">IF($A176="", "", LET(bbgm_stat, INDEX(Players!$A175:$P175, MATCH(U$2, Players!$A$1:$P$1, 0)), perc_75, VLOOKUP(U$2, Percentiles!$A$45:$I$59, 6, FALSE), perc_90, VLOOKUP(U$2, Percentiles!$A$45:$I$59, 7, FALSE), perc_95, VLOOKUP(U$2, Percentiles!$A$45:$I$59, 8, FALSE), perc_85, perc_75 + (perc_90 - perc_75) * (2/3), converted_stat, '2K_Ratings'!U176, IF(bbgm_stat &gt;= perc_95, converted_stat * 3, IF(bbgm_stat &gt;= perc_90, converted_stat * 2, IF(bbgm_stat &gt;= perc_85, converted_stat * 1.5, converted_stat)))))</f>
        <v/>
      </c>
      <c r="V176" s="30" t="str">
        <f t="array" ref="V176">IF($A176="", "", LET(bbgm_stat, INDEX(Players!$A175:$P175, MATCH(V$2, Players!$A$1:$P$1, 0)), perc_75, VLOOKUP(V$2, Percentiles!$A$45:$I$59, 6, FALSE), perc_90, VLOOKUP(V$2, Percentiles!$A$45:$I$59, 7, FALSE), perc_95, VLOOKUP(V$2, Percentiles!$A$45:$I$59, 8, FALSE), perc_85, perc_75 + (perc_90 - perc_75) * (2/3), converted_stat, '2K_Ratings'!V176, IF(bbgm_stat &gt;= perc_95, converted_stat * 3, IF(bbgm_stat &gt;= perc_90, converted_stat * 2, IF(bbgm_stat &gt;= perc_85, converted_stat * 1.5, converted_stat)))))</f>
        <v/>
      </c>
      <c r="W176" s="30" t="str">
        <f t="array" ref="W176">IF($A176="", "", LET(bbgm_stat, INDEX(Players!$A175:$P175, MATCH(W$2, Players!$A$1:$P$1, 0)), perc_75, VLOOKUP(W$2, Percentiles!$A$45:$I$59, 6, FALSE), perc_90, VLOOKUP(W$2, Percentiles!$A$45:$I$59, 7, FALSE), perc_95, VLOOKUP(W$2, Percentiles!$A$45:$I$59, 8, FALSE), perc_85, perc_75 + (perc_90 - perc_75) * (2/3), converted_stat, '2K_Ratings'!W176, IF(bbgm_stat &gt;= perc_95, converted_stat * 3, IF(bbgm_stat &gt;= perc_90, converted_stat * 2, IF(bbgm_stat &gt;= perc_85, converted_stat * 1.5, converted_stat)))))</f>
        <v/>
      </c>
    </row>
    <row r="177">
      <c r="A177" s="30"/>
      <c r="B177" s="30" t="str">
        <f t="array" ref="B177">IF($A177="", "", LET(bbgm_stat, INDEX(Players!$A176:$P176, MATCH(B$2, Players!$A$1:$P$1, 0)), perc_75, VLOOKUP(B$2, Percentiles!$A$45:$I$59, 6, FALSE), perc_90, VLOOKUP(B$2, Percentiles!$A$45:$I$59, 7, FALSE), perc_95, VLOOKUP(B$2, Percentiles!$A$45:$I$59, 8, FALSE), perc_85, perc_75 + (perc_90 - perc_75) * (2/3), converted_stat, '2K_Ratings'!B177, IF(bbgm_stat &gt;= perc_95, converted_stat * 3, IF(bbgm_stat &gt;= perc_90, converted_stat * 2, IF(bbgm_stat &gt;= perc_85, converted_stat * 1.5, converted_stat)))))</f>
        <v/>
      </c>
      <c r="C177" s="30" t="str">
        <f t="array" ref="C177">IF($A177="", "", LET(bbgm_stat, INDEX(Players!$A176:$P176, MATCH(C$2, Players!$A$1:$P$1, 0)), perc_75, VLOOKUP(C$2, Percentiles!$A$45:$I$59, 6, FALSE), perc_90, VLOOKUP(C$2, Percentiles!$A$45:$I$59, 7, FALSE), perc_95, VLOOKUP(C$2, Percentiles!$A$45:$I$59, 8, FALSE), perc_85, perc_75 + (perc_90 - perc_75) * (2/3), converted_stat, '2K_Ratings'!C177, IF(bbgm_stat &gt;= perc_95, converted_stat * 3, IF(bbgm_stat &gt;= perc_90, converted_stat * 2, IF(bbgm_stat &gt;= perc_85, converted_stat * 1.5, converted_stat)))))</f>
        <v/>
      </c>
      <c r="D177" s="30" t="str">
        <f t="array" ref="D177">IF($A177="", "", LET(bbgm_stat, INDEX(Players!$A176:$P176, MATCH(D$2, Players!$A$1:$P$1, 0)), perc_75, VLOOKUP(D$2, Percentiles!$A$45:$I$59, 6, FALSE), perc_90, VLOOKUP(D$2, Percentiles!$A$45:$I$59, 7, FALSE), perc_95, VLOOKUP(D$2, Percentiles!$A$45:$I$59, 8, FALSE), perc_85, perc_75 + (perc_90 - perc_75) * (2/3), converted_stat, '2K_Ratings'!D177, IF(bbgm_stat &gt;= perc_95, converted_stat * 3, IF(bbgm_stat &gt;= perc_90, converted_stat * 2, IF(bbgm_stat &gt;= perc_85, converted_stat * 1.5, converted_stat)))))</f>
        <v/>
      </c>
      <c r="E177" s="30" t="str">
        <f t="array" ref="E177">IF($A177="", "", LET(bbgm_stat, INDEX(Players!$A176:$P176, MATCH(E$2, Players!$A$1:$P$1, 0)), perc_75, VLOOKUP(E$2, Percentiles!$A$45:$I$59, 6, FALSE), perc_90, VLOOKUP(E$2, Percentiles!$A$45:$I$59, 7, FALSE), perc_95, VLOOKUP(E$2, Percentiles!$A$45:$I$59, 8, FALSE), perc_85, perc_75 + (perc_90 - perc_75) * (2/3), converted_stat, '2K_Ratings'!E177, IF(bbgm_stat &gt;= perc_95, converted_stat * 3, IF(bbgm_stat &gt;= perc_90, converted_stat * 2, IF(bbgm_stat &gt;= perc_85, converted_stat * 1.5, converted_stat)))))</f>
        <v/>
      </c>
      <c r="F177" s="30" t="str">
        <f t="array" ref="F177">IF($A177="", "", LET(bbgm_stat, INDEX(Players!$A176:$P176, MATCH(F$2, Players!$A$1:$P$1, 0)), perc_75, VLOOKUP(F$2, Percentiles!$A$45:$I$59, 6, FALSE), perc_90, VLOOKUP(F$2, Percentiles!$A$45:$I$59, 7, FALSE), perc_95, VLOOKUP(F$2, Percentiles!$A$45:$I$59, 8, FALSE), perc_85, perc_75 + (perc_90 - perc_75) * (2/3), converted_stat, '2K_Ratings'!F177, IF(bbgm_stat &gt;= perc_95, converted_stat * 3, IF(bbgm_stat &gt;= perc_90, converted_stat * 2, IF(bbgm_stat &gt;= perc_85, converted_stat * 1.5, converted_stat)))))</f>
        <v/>
      </c>
      <c r="G177" s="30" t="str">
        <f t="array" ref="G177">IF($A177="", "", LET(bbgm_stat, INDEX(Players!$A176:$P176, MATCH(G$2, Players!$A$1:$P$1, 0)), perc_75, VLOOKUP(G$2, Percentiles!$A$45:$I$59, 6, FALSE), perc_90, VLOOKUP(G$2, Percentiles!$A$45:$I$59, 7, FALSE), perc_95, VLOOKUP(G$2, Percentiles!$A$45:$I$59, 8, FALSE), perc_85, perc_75 + (perc_90 - perc_75) * (2/3), converted_stat, '2K_Ratings'!G177, IF(bbgm_stat &gt;= perc_95, converted_stat * 3, IF(bbgm_stat &gt;= perc_90, converted_stat * 2, IF(bbgm_stat &gt;= perc_85, converted_stat * 1.5, converted_stat)))))</f>
        <v/>
      </c>
      <c r="H177" s="30" t="str">
        <f t="array" ref="H177">IF($A177="", "", LET(bbgm_stat, INDEX(Players!$A176:$P176, MATCH(H$2, Players!$A$1:$P$1, 0)), perc_75, VLOOKUP(H$2, Percentiles!$A$45:$I$59, 6, FALSE), perc_90, VLOOKUP(H$2, Percentiles!$A$45:$I$59, 7, FALSE), perc_95, VLOOKUP(H$2, Percentiles!$A$45:$I$59, 8, FALSE), perc_85, perc_75 + (perc_90 - perc_75) * (2/3), converted_stat, '2K_Ratings'!H177, IF(bbgm_stat &gt;= perc_95, converted_stat * 3, IF(bbgm_stat &gt;= perc_90, converted_stat * 2, IF(bbgm_stat &gt;= perc_85, converted_stat * 1.5, converted_stat)))))</f>
        <v/>
      </c>
      <c r="I177" s="30" t="str">
        <f t="array" ref="I177">IF($A177="", "", LET(bbgm_stat, INDEX(Players!$A176:$P176, MATCH(I$2, Players!$A$1:$P$1, 0)), perc_75, VLOOKUP(I$2, Percentiles!$A$45:$I$59, 6, FALSE), perc_90, VLOOKUP(I$2, Percentiles!$A$45:$I$59, 7, FALSE), perc_95, VLOOKUP(I$2, Percentiles!$A$45:$I$59, 8, FALSE), perc_85, perc_75 + (perc_90 - perc_75) * (2/3), converted_stat, '2K_Ratings'!I177, IF(bbgm_stat &gt;= perc_95, converted_stat * 3, IF(bbgm_stat &gt;= perc_90, converted_stat * 2, IF(bbgm_stat &gt;= perc_85, converted_stat * 1.5, converted_stat)))))</f>
        <v/>
      </c>
      <c r="J177" s="30" t="str">
        <f t="array" ref="J177">IF($A177="", "", LET(bbgm_stat, INDEX(Players!$A176:$P176, MATCH(J$2, Players!$A$1:$P$1, 0)), perc_75, VLOOKUP(J$2, Percentiles!$A$45:$I$59, 6, FALSE), perc_90, VLOOKUP(J$2, Percentiles!$A$45:$I$59, 7, FALSE), perc_95, VLOOKUP(J$2, Percentiles!$A$45:$I$59, 8, FALSE), perc_85, perc_75 + (perc_90 - perc_75) * (2/3), converted_stat, '2K_Ratings'!J177, IF(bbgm_stat &gt;= perc_95, converted_stat * 3, IF(bbgm_stat &gt;= perc_90, converted_stat * 2, IF(bbgm_stat &gt;= perc_85, converted_stat * 1.5, converted_stat)))))</f>
        <v/>
      </c>
      <c r="K177" s="30" t="str">
        <f t="array" ref="K177">IF($A177="", "", LET(bbgm_stat, INDEX(Players!$A176:$P176, MATCH(K$2, Players!$A$1:$P$1, 0)), perc_75, VLOOKUP(K$2, Percentiles!$A$45:$I$59, 6, FALSE), perc_90, VLOOKUP(K$2, Percentiles!$A$45:$I$59, 7, FALSE), perc_95, VLOOKUP(K$2, Percentiles!$A$45:$I$59, 8, FALSE), perc_85, perc_75 + (perc_90 - perc_75) * (2/3), converted_stat, '2K_Ratings'!K177, IF(bbgm_stat &gt;= perc_95, converted_stat * 3, IF(bbgm_stat &gt;= perc_90, converted_stat * 2, IF(bbgm_stat &gt;= perc_85, converted_stat * 1.5, converted_stat)))))</f>
        <v/>
      </c>
      <c r="L177" s="30" t="str">
        <f t="array" ref="L177">IF($A177="", "", LET(bbgm_stat, INDEX(Players!$A176:$P176, MATCH(L$2, Players!$A$1:$P$1, 0)), perc_75, VLOOKUP(L$2, Percentiles!$A$45:$I$59, 6, FALSE), perc_90, VLOOKUP(L$2, Percentiles!$A$45:$I$59, 7, FALSE), perc_95, VLOOKUP(L$2, Percentiles!$A$45:$I$59, 8, FALSE), perc_85, perc_75 + (perc_90 - perc_75) * (2/3), converted_stat, '2K_Ratings'!L177, IF(bbgm_stat &gt;= perc_95, converted_stat * 3, IF(bbgm_stat &gt;= perc_90, converted_stat * 2, IF(bbgm_stat &gt;= perc_85, converted_stat * 1.5, converted_stat)))))</f>
        <v/>
      </c>
      <c r="M177" s="30" t="str">
        <f t="array" ref="M177">IF($A177="", "", LET(bbgm_stat, INDEX(Players!$A176:$P176, MATCH(M$2, Players!$A$1:$P$1, 0)), perc_75, VLOOKUP(M$2, Percentiles!$A$45:$I$59, 6, FALSE), perc_90, VLOOKUP(M$2, Percentiles!$A$45:$I$59, 7, FALSE), perc_95, VLOOKUP(M$2, Percentiles!$A$45:$I$59, 8, FALSE), perc_85, perc_75 + (perc_90 - perc_75) * (2/3), converted_stat, '2K_Ratings'!M177, IF(bbgm_stat &gt;= perc_95, converted_stat * 3, IF(bbgm_stat &gt;= perc_90, converted_stat * 2, IF(bbgm_stat &gt;= perc_85, converted_stat * 1.5, converted_stat)))))</f>
        <v/>
      </c>
      <c r="N177" s="30" t="str">
        <f t="array" ref="N177">IF($A177="", "", LET(bbgm_stat, INDEX(Players!$A176:$P176, MATCH(N$2, Players!$A$1:$P$1, 0)), perc_75, VLOOKUP(N$2, Percentiles!$A$45:$I$59, 6, FALSE), perc_90, VLOOKUP(N$2, Percentiles!$A$45:$I$59, 7, FALSE), perc_95, VLOOKUP(N$2, Percentiles!$A$45:$I$59, 8, FALSE), perc_85, perc_75 + (perc_90 - perc_75) * (2/3), converted_stat, '2K_Ratings'!N177, IF(bbgm_stat &gt;= perc_95, converted_stat * 3, IF(bbgm_stat &gt;= perc_90, converted_stat * 2, IF(bbgm_stat &gt;= perc_85, converted_stat * 1.5, converted_stat)))))</f>
        <v/>
      </c>
      <c r="O177" s="30" t="str">
        <f t="array" ref="O177">IF($A177="", "", LET(bbgm_stat, INDEX(Players!$A176:$P176, MATCH(O$2, Players!$A$1:$P$1, 0)), perc_75, VLOOKUP(O$2, Percentiles!$A$45:$I$59, 6, FALSE), perc_90, VLOOKUP(O$2, Percentiles!$A$45:$I$59, 7, FALSE), perc_95, VLOOKUP(O$2, Percentiles!$A$45:$I$59, 8, FALSE), perc_85, perc_75 + (perc_90 - perc_75) * (2/3), converted_stat, '2K_Ratings'!O177, IF(bbgm_stat &gt;= perc_95, converted_stat * 3, IF(bbgm_stat &gt;= perc_90, converted_stat * 2, IF(bbgm_stat &gt;= perc_85, converted_stat * 1.5, converted_stat)))))</f>
        <v/>
      </c>
      <c r="P177" s="30" t="str">
        <f t="array" ref="P177">IF($A177="", "", LET(bbgm_stat, INDEX(Players!$A176:$P176, MATCH(P$2, Players!$A$1:$P$1, 0)), perc_75, VLOOKUP(P$2, Percentiles!$A$45:$I$59, 6, FALSE), perc_90, VLOOKUP(P$2, Percentiles!$A$45:$I$59, 7, FALSE), perc_95, VLOOKUP(P$2, Percentiles!$A$45:$I$59, 8, FALSE), perc_85, perc_75 + (perc_90 - perc_75) * (2/3), converted_stat, '2K_Ratings'!P177, IF(bbgm_stat &gt;= perc_95, converted_stat * 3, IF(bbgm_stat &gt;= perc_90, converted_stat * 2, IF(bbgm_stat &gt;= perc_85, converted_stat * 1.5, converted_stat)))))</f>
        <v/>
      </c>
      <c r="Q177" s="30" t="str">
        <f t="array" ref="Q177">IF($A177="", "", LET(bbgm_stat, INDEX(Players!$A176:$P176, MATCH(Q$2, Players!$A$1:$P$1, 0)), perc_75, VLOOKUP(Q$2, Percentiles!$A$45:$I$59, 6, FALSE), perc_90, VLOOKUP(Q$2, Percentiles!$A$45:$I$59, 7, FALSE), perc_95, VLOOKUP(Q$2, Percentiles!$A$45:$I$59, 8, FALSE), perc_85, perc_75 + (perc_90 - perc_75) * (2/3), converted_stat, '2K_Ratings'!Q177, IF(bbgm_stat &gt;= perc_95, converted_stat * 3, IF(bbgm_stat &gt;= perc_90, converted_stat * 2, IF(bbgm_stat &gt;= perc_85, converted_stat * 1.5, converted_stat)))))</f>
        <v/>
      </c>
      <c r="R177" s="30" t="str">
        <f t="array" ref="R177">IF($A177="", "", LET(bbgm_stat, INDEX(Players!$A176:$P176, MATCH(R$2, Players!$A$1:$P$1, 0)), perc_75, VLOOKUP(R$2, Percentiles!$A$45:$I$59, 6, FALSE), perc_90, VLOOKUP(R$2, Percentiles!$A$45:$I$59, 7, FALSE), perc_95, VLOOKUP(R$2, Percentiles!$A$45:$I$59, 8, FALSE), perc_85, perc_75 + (perc_90 - perc_75) * (2/3), converted_stat, '2K_Ratings'!R177, IF(bbgm_stat &gt;= perc_95, converted_stat * 3, IF(bbgm_stat &gt;= perc_90, converted_stat * 2, IF(bbgm_stat &gt;= perc_85, converted_stat * 1.5, converted_stat)))))</f>
        <v/>
      </c>
      <c r="S177" s="30" t="str">
        <f t="array" ref="S177">IF($A177="", "", LET(bbgm_stat, INDEX(Players!$A176:$P176, MATCH(S$2, Players!$A$1:$P$1, 0)), perc_75, VLOOKUP(S$2, Percentiles!$A$45:$I$59, 6, FALSE), perc_90, VLOOKUP(S$2, Percentiles!$A$45:$I$59, 7, FALSE), perc_95, VLOOKUP(S$2, Percentiles!$A$45:$I$59, 8, FALSE), perc_85, perc_75 + (perc_90 - perc_75) * (2/3), converted_stat, '2K_Ratings'!S177, IF(bbgm_stat &gt;= perc_95, converted_stat * 3, IF(bbgm_stat &gt;= perc_90, converted_stat * 2, IF(bbgm_stat &gt;= perc_85, converted_stat * 1.5, converted_stat)))))</f>
        <v/>
      </c>
      <c r="T177" s="30" t="str">
        <f t="array" ref="T177">IF($A177="", "", LET(bbgm_stat, INDEX(Players!$A176:$P176, MATCH(T$2, Players!$A$1:$P$1, 0)), perc_75, VLOOKUP(T$2, Percentiles!$A$45:$I$59, 6, FALSE), perc_90, VLOOKUP(T$2, Percentiles!$A$45:$I$59, 7, FALSE), perc_95, VLOOKUP(T$2, Percentiles!$A$45:$I$59, 8, FALSE), perc_85, perc_75 + (perc_90 - perc_75) * (2/3), converted_stat, '2K_Ratings'!T177, IF(bbgm_stat &gt;= perc_95, converted_stat * 3, IF(bbgm_stat &gt;= perc_90, converted_stat * 2, IF(bbgm_stat &gt;= perc_85, converted_stat * 1.5, converted_stat)))))</f>
        <v/>
      </c>
      <c r="U177" s="30" t="str">
        <f t="array" ref="U177">IF($A177="", "", LET(bbgm_stat, INDEX(Players!$A176:$P176, MATCH(U$2, Players!$A$1:$P$1, 0)), perc_75, VLOOKUP(U$2, Percentiles!$A$45:$I$59, 6, FALSE), perc_90, VLOOKUP(U$2, Percentiles!$A$45:$I$59, 7, FALSE), perc_95, VLOOKUP(U$2, Percentiles!$A$45:$I$59, 8, FALSE), perc_85, perc_75 + (perc_90 - perc_75) * (2/3), converted_stat, '2K_Ratings'!U177, IF(bbgm_stat &gt;= perc_95, converted_stat * 3, IF(bbgm_stat &gt;= perc_90, converted_stat * 2, IF(bbgm_stat &gt;= perc_85, converted_stat * 1.5, converted_stat)))))</f>
        <v/>
      </c>
      <c r="V177" s="30" t="str">
        <f t="array" ref="V177">IF($A177="", "", LET(bbgm_stat, INDEX(Players!$A176:$P176, MATCH(V$2, Players!$A$1:$P$1, 0)), perc_75, VLOOKUP(V$2, Percentiles!$A$45:$I$59, 6, FALSE), perc_90, VLOOKUP(V$2, Percentiles!$A$45:$I$59, 7, FALSE), perc_95, VLOOKUP(V$2, Percentiles!$A$45:$I$59, 8, FALSE), perc_85, perc_75 + (perc_90 - perc_75) * (2/3), converted_stat, '2K_Ratings'!V177, IF(bbgm_stat &gt;= perc_95, converted_stat * 3, IF(bbgm_stat &gt;= perc_90, converted_stat * 2, IF(bbgm_stat &gt;= perc_85, converted_stat * 1.5, converted_stat)))))</f>
        <v/>
      </c>
      <c r="W177" s="30" t="str">
        <f t="array" ref="W177">IF($A177="", "", LET(bbgm_stat, INDEX(Players!$A176:$P176, MATCH(W$2, Players!$A$1:$P$1, 0)), perc_75, VLOOKUP(W$2, Percentiles!$A$45:$I$59, 6, FALSE), perc_90, VLOOKUP(W$2, Percentiles!$A$45:$I$59, 7, FALSE), perc_95, VLOOKUP(W$2, Percentiles!$A$45:$I$59, 8, FALSE), perc_85, perc_75 + (perc_90 - perc_75) * (2/3), converted_stat, '2K_Ratings'!W177, IF(bbgm_stat &gt;= perc_95, converted_stat * 3, IF(bbgm_stat &gt;= perc_90, converted_stat * 2, IF(bbgm_stat &gt;= perc_85, converted_stat * 1.5, converted_stat)))))</f>
        <v/>
      </c>
    </row>
    <row r="178">
      <c r="A178" s="30"/>
      <c r="B178" s="30" t="str">
        <f t="array" ref="B178">IF($A178="", "", LET(bbgm_stat, INDEX(Players!$A177:$P177, MATCH(B$2, Players!$A$1:$P$1, 0)), perc_75, VLOOKUP(B$2, Percentiles!$A$45:$I$59, 6, FALSE), perc_90, VLOOKUP(B$2, Percentiles!$A$45:$I$59, 7, FALSE), perc_95, VLOOKUP(B$2, Percentiles!$A$45:$I$59, 8, FALSE), perc_85, perc_75 + (perc_90 - perc_75) * (2/3), converted_stat, '2K_Ratings'!B178, IF(bbgm_stat &gt;= perc_95, converted_stat * 3, IF(bbgm_stat &gt;= perc_90, converted_stat * 2, IF(bbgm_stat &gt;= perc_85, converted_stat * 1.5, converted_stat)))))</f>
        <v/>
      </c>
      <c r="C178" s="30" t="str">
        <f t="array" ref="C178">IF($A178="", "", LET(bbgm_stat, INDEX(Players!$A177:$P177, MATCH(C$2, Players!$A$1:$P$1, 0)), perc_75, VLOOKUP(C$2, Percentiles!$A$45:$I$59, 6, FALSE), perc_90, VLOOKUP(C$2, Percentiles!$A$45:$I$59, 7, FALSE), perc_95, VLOOKUP(C$2, Percentiles!$A$45:$I$59, 8, FALSE), perc_85, perc_75 + (perc_90 - perc_75) * (2/3), converted_stat, '2K_Ratings'!C178, IF(bbgm_stat &gt;= perc_95, converted_stat * 3, IF(bbgm_stat &gt;= perc_90, converted_stat * 2, IF(bbgm_stat &gt;= perc_85, converted_stat * 1.5, converted_stat)))))</f>
        <v/>
      </c>
      <c r="D178" s="30" t="str">
        <f t="array" ref="D178">IF($A178="", "", LET(bbgm_stat, INDEX(Players!$A177:$P177, MATCH(D$2, Players!$A$1:$P$1, 0)), perc_75, VLOOKUP(D$2, Percentiles!$A$45:$I$59, 6, FALSE), perc_90, VLOOKUP(D$2, Percentiles!$A$45:$I$59, 7, FALSE), perc_95, VLOOKUP(D$2, Percentiles!$A$45:$I$59, 8, FALSE), perc_85, perc_75 + (perc_90 - perc_75) * (2/3), converted_stat, '2K_Ratings'!D178, IF(bbgm_stat &gt;= perc_95, converted_stat * 3, IF(bbgm_stat &gt;= perc_90, converted_stat * 2, IF(bbgm_stat &gt;= perc_85, converted_stat * 1.5, converted_stat)))))</f>
        <v/>
      </c>
      <c r="E178" s="30" t="str">
        <f t="array" ref="E178">IF($A178="", "", LET(bbgm_stat, INDEX(Players!$A177:$P177, MATCH(E$2, Players!$A$1:$P$1, 0)), perc_75, VLOOKUP(E$2, Percentiles!$A$45:$I$59, 6, FALSE), perc_90, VLOOKUP(E$2, Percentiles!$A$45:$I$59, 7, FALSE), perc_95, VLOOKUP(E$2, Percentiles!$A$45:$I$59, 8, FALSE), perc_85, perc_75 + (perc_90 - perc_75) * (2/3), converted_stat, '2K_Ratings'!E178, IF(bbgm_stat &gt;= perc_95, converted_stat * 3, IF(bbgm_stat &gt;= perc_90, converted_stat * 2, IF(bbgm_stat &gt;= perc_85, converted_stat * 1.5, converted_stat)))))</f>
        <v/>
      </c>
      <c r="F178" s="30" t="str">
        <f t="array" ref="F178">IF($A178="", "", LET(bbgm_stat, INDEX(Players!$A177:$P177, MATCH(F$2, Players!$A$1:$P$1, 0)), perc_75, VLOOKUP(F$2, Percentiles!$A$45:$I$59, 6, FALSE), perc_90, VLOOKUP(F$2, Percentiles!$A$45:$I$59, 7, FALSE), perc_95, VLOOKUP(F$2, Percentiles!$A$45:$I$59, 8, FALSE), perc_85, perc_75 + (perc_90 - perc_75) * (2/3), converted_stat, '2K_Ratings'!F178, IF(bbgm_stat &gt;= perc_95, converted_stat * 3, IF(bbgm_stat &gt;= perc_90, converted_stat * 2, IF(bbgm_stat &gt;= perc_85, converted_stat * 1.5, converted_stat)))))</f>
        <v/>
      </c>
      <c r="G178" s="30" t="str">
        <f t="array" ref="G178">IF($A178="", "", LET(bbgm_stat, INDEX(Players!$A177:$P177, MATCH(G$2, Players!$A$1:$P$1, 0)), perc_75, VLOOKUP(G$2, Percentiles!$A$45:$I$59, 6, FALSE), perc_90, VLOOKUP(G$2, Percentiles!$A$45:$I$59, 7, FALSE), perc_95, VLOOKUP(G$2, Percentiles!$A$45:$I$59, 8, FALSE), perc_85, perc_75 + (perc_90 - perc_75) * (2/3), converted_stat, '2K_Ratings'!G178, IF(bbgm_stat &gt;= perc_95, converted_stat * 3, IF(bbgm_stat &gt;= perc_90, converted_stat * 2, IF(bbgm_stat &gt;= perc_85, converted_stat * 1.5, converted_stat)))))</f>
        <v/>
      </c>
      <c r="H178" s="30" t="str">
        <f t="array" ref="H178">IF($A178="", "", LET(bbgm_stat, INDEX(Players!$A177:$P177, MATCH(H$2, Players!$A$1:$P$1, 0)), perc_75, VLOOKUP(H$2, Percentiles!$A$45:$I$59, 6, FALSE), perc_90, VLOOKUP(H$2, Percentiles!$A$45:$I$59, 7, FALSE), perc_95, VLOOKUP(H$2, Percentiles!$A$45:$I$59, 8, FALSE), perc_85, perc_75 + (perc_90 - perc_75) * (2/3), converted_stat, '2K_Ratings'!H178, IF(bbgm_stat &gt;= perc_95, converted_stat * 3, IF(bbgm_stat &gt;= perc_90, converted_stat * 2, IF(bbgm_stat &gt;= perc_85, converted_stat * 1.5, converted_stat)))))</f>
        <v/>
      </c>
      <c r="I178" s="30" t="str">
        <f t="array" ref="I178">IF($A178="", "", LET(bbgm_stat, INDEX(Players!$A177:$P177, MATCH(I$2, Players!$A$1:$P$1, 0)), perc_75, VLOOKUP(I$2, Percentiles!$A$45:$I$59, 6, FALSE), perc_90, VLOOKUP(I$2, Percentiles!$A$45:$I$59, 7, FALSE), perc_95, VLOOKUP(I$2, Percentiles!$A$45:$I$59, 8, FALSE), perc_85, perc_75 + (perc_90 - perc_75) * (2/3), converted_stat, '2K_Ratings'!I178, IF(bbgm_stat &gt;= perc_95, converted_stat * 3, IF(bbgm_stat &gt;= perc_90, converted_stat * 2, IF(bbgm_stat &gt;= perc_85, converted_stat * 1.5, converted_stat)))))</f>
        <v/>
      </c>
      <c r="J178" s="30" t="str">
        <f t="array" ref="J178">IF($A178="", "", LET(bbgm_stat, INDEX(Players!$A177:$P177, MATCH(J$2, Players!$A$1:$P$1, 0)), perc_75, VLOOKUP(J$2, Percentiles!$A$45:$I$59, 6, FALSE), perc_90, VLOOKUP(J$2, Percentiles!$A$45:$I$59, 7, FALSE), perc_95, VLOOKUP(J$2, Percentiles!$A$45:$I$59, 8, FALSE), perc_85, perc_75 + (perc_90 - perc_75) * (2/3), converted_stat, '2K_Ratings'!J178, IF(bbgm_stat &gt;= perc_95, converted_stat * 3, IF(bbgm_stat &gt;= perc_90, converted_stat * 2, IF(bbgm_stat &gt;= perc_85, converted_stat * 1.5, converted_stat)))))</f>
        <v/>
      </c>
      <c r="K178" s="30" t="str">
        <f t="array" ref="K178">IF($A178="", "", LET(bbgm_stat, INDEX(Players!$A177:$P177, MATCH(K$2, Players!$A$1:$P$1, 0)), perc_75, VLOOKUP(K$2, Percentiles!$A$45:$I$59, 6, FALSE), perc_90, VLOOKUP(K$2, Percentiles!$A$45:$I$59, 7, FALSE), perc_95, VLOOKUP(K$2, Percentiles!$A$45:$I$59, 8, FALSE), perc_85, perc_75 + (perc_90 - perc_75) * (2/3), converted_stat, '2K_Ratings'!K178, IF(bbgm_stat &gt;= perc_95, converted_stat * 3, IF(bbgm_stat &gt;= perc_90, converted_stat * 2, IF(bbgm_stat &gt;= perc_85, converted_stat * 1.5, converted_stat)))))</f>
        <v/>
      </c>
      <c r="L178" s="30" t="str">
        <f t="array" ref="L178">IF($A178="", "", LET(bbgm_stat, INDEX(Players!$A177:$P177, MATCH(L$2, Players!$A$1:$P$1, 0)), perc_75, VLOOKUP(L$2, Percentiles!$A$45:$I$59, 6, FALSE), perc_90, VLOOKUP(L$2, Percentiles!$A$45:$I$59, 7, FALSE), perc_95, VLOOKUP(L$2, Percentiles!$A$45:$I$59, 8, FALSE), perc_85, perc_75 + (perc_90 - perc_75) * (2/3), converted_stat, '2K_Ratings'!L178, IF(bbgm_stat &gt;= perc_95, converted_stat * 3, IF(bbgm_stat &gt;= perc_90, converted_stat * 2, IF(bbgm_stat &gt;= perc_85, converted_stat * 1.5, converted_stat)))))</f>
        <v/>
      </c>
      <c r="M178" s="30" t="str">
        <f t="array" ref="M178">IF($A178="", "", LET(bbgm_stat, INDEX(Players!$A177:$P177, MATCH(M$2, Players!$A$1:$P$1, 0)), perc_75, VLOOKUP(M$2, Percentiles!$A$45:$I$59, 6, FALSE), perc_90, VLOOKUP(M$2, Percentiles!$A$45:$I$59, 7, FALSE), perc_95, VLOOKUP(M$2, Percentiles!$A$45:$I$59, 8, FALSE), perc_85, perc_75 + (perc_90 - perc_75) * (2/3), converted_stat, '2K_Ratings'!M178, IF(bbgm_stat &gt;= perc_95, converted_stat * 3, IF(bbgm_stat &gt;= perc_90, converted_stat * 2, IF(bbgm_stat &gt;= perc_85, converted_stat * 1.5, converted_stat)))))</f>
        <v/>
      </c>
      <c r="N178" s="30" t="str">
        <f t="array" ref="N178">IF($A178="", "", LET(bbgm_stat, INDEX(Players!$A177:$P177, MATCH(N$2, Players!$A$1:$P$1, 0)), perc_75, VLOOKUP(N$2, Percentiles!$A$45:$I$59, 6, FALSE), perc_90, VLOOKUP(N$2, Percentiles!$A$45:$I$59, 7, FALSE), perc_95, VLOOKUP(N$2, Percentiles!$A$45:$I$59, 8, FALSE), perc_85, perc_75 + (perc_90 - perc_75) * (2/3), converted_stat, '2K_Ratings'!N178, IF(bbgm_stat &gt;= perc_95, converted_stat * 3, IF(bbgm_stat &gt;= perc_90, converted_stat * 2, IF(bbgm_stat &gt;= perc_85, converted_stat * 1.5, converted_stat)))))</f>
        <v/>
      </c>
      <c r="O178" s="30" t="str">
        <f t="array" ref="O178">IF($A178="", "", LET(bbgm_stat, INDEX(Players!$A177:$P177, MATCH(O$2, Players!$A$1:$P$1, 0)), perc_75, VLOOKUP(O$2, Percentiles!$A$45:$I$59, 6, FALSE), perc_90, VLOOKUP(O$2, Percentiles!$A$45:$I$59, 7, FALSE), perc_95, VLOOKUP(O$2, Percentiles!$A$45:$I$59, 8, FALSE), perc_85, perc_75 + (perc_90 - perc_75) * (2/3), converted_stat, '2K_Ratings'!O178, IF(bbgm_stat &gt;= perc_95, converted_stat * 3, IF(bbgm_stat &gt;= perc_90, converted_stat * 2, IF(bbgm_stat &gt;= perc_85, converted_stat * 1.5, converted_stat)))))</f>
        <v/>
      </c>
      <c r="P178" s="30" t="str">
        <f t="array" ref="P178">IF($A178="", "", LET(bbgm_stat, INDEX(Players!$A177:$P177, MATCH(P$2, Players!$A$1:$P$1, 0)), perc_75, VLOOKUP(P$2, Percentiles!$A$45:$I$59, 6, FALSE), perc_90, VLOOKUP(P$2, Percentiles!$A$45:$I$59, 7, FALSE), perc_95, VLOOKUP(P$2, Percentiles!$A$45:$I$59, 8, FALSE), perc_85, perc_75 + (perc_90 - perc_75) * (2/3), converted_stat, '2K_Ratings'!P178, IF(bbgm_stat &gt;= perc_95, converted_stat * 3, IF(bbgm_stat &gt;= perc_90, converted_stat * 2, IF(bbgm_stat &gt;= perc_85, converted_stat * 1.5, converted_stat)))))</f>
        <v/>
      </c>
      <c r="Q178" s="30" t="str">
        <f t="array" ref="Q178">IF($A178="", "", LET(bbgm_stat, INDEX(Players!$A177:$P177, MATCH(Q$2, Players!$A$1:$P$1, 0)), perc_75, VLOOKUP(Q$2, Percentiles!$A$45:$I$59, 6, FALSE), perc_90, VLOOKUP(Q$2, Percentiles!$A$45:$I$59, 7, FALSE), perc_95, VLOOKUP(Q$2, Percentiles!$A$45:$I$59, 8, FALSE), perc_85, perc_75 + (perc_90 - perc_75) * (2/3), converted_stat, '2K_Ratings'!Q178, IF(bbgm_stat &gt;= perc_95, converted_stat * 3, IF(bbgm_stat &gt;= perc_90, converted_stat * 2, IF(bbgm_stat &gt;= perc_85, converted_stat * 1.5, converted_stat)))))</f>
        <v/>
      </c>
      <c r="R178" s="30" t="str">
        <f t="array" ref="R178">IF($A178="", "", LET(bbgm_stat, INDEX(Players!$A177:$P177, MATCH(R$2, Players!$A$1:$P$1, 0)), perc_75, VLOOKUP(R$2, Percentiles!$A$45:$I$59, 6, FALSE), perc_90, VLOOKUP(R$2, Percentiles!$A$45:$I$59, 7, FALSE), perc_95, VLOOKUP(R$2, Percentiles!$A$45:$I$59, 8, FALSE), perc_85, perc_75 + (perc_90 - perc_75) * (2/3), converted_stat, '2K_Ratings'!R178, IF(bbgm_stat &gt;= perc_95, converted_stat * 3, IF(bbgm_stat &gt;= perc_90, converted_stat * 2, IF(bbgm_stat &gt;= perc_85, converted_stat * 1.5, converted_stat)))))</f>
        <v/>
      </c>
      <c r="S178" s="30" t="str">
        <f t="array" ref="S178">IF($A178="", "", LET(bbgm_stat, INDEX(Players!$A177:$P177, MATCH(S$2, Players!$A$1:$P$1, 0)), perc_75, VLOOKUP(S$2, Percentiles!$A$45:$I$59, 6, FALSE), perc_90, VLOOKUP(S$2, Percentiles!$A$45:$I$59, 7, FALSE), perc_95, VLOOKUP(S$2, Percentiles!$A$45:$I$59, 8, FALSE), perc_85, perc_75 + (perc_90 - perc_75) * (2/3), converted_stat, '2K_Ratings'!S178, IF(bbgm_stat &gt;= perc_95, converted_stat * 3, IF(bbgm_stat &gt;= perc_90, converted_stat * 2, IF(bbgm_stat &gt;= perc_85, converted_stat * 1.5, converted_stat)))))</f>
        <v/>
      </c>
      <c r="T178" s="30" t="str">
        <f t="array" ref="T178">IF($A178="", "", LET(bbgm_stat, INDEX(Players!$A177:$P177, MATCH(T$2, Players!$A$1:$P$1, 0)), perc_75, VLOOKUP(T$2, Percentiles!$A$45:$I$59, 6, FALSE), perc_90, VLOOKUP(T$2, Percentiles!$A$45:$I$59, 7, FALSE), perc_95, VLOOKUP(T$2, Percentiles!$A$45:$I$59, 8, FALSE), perc_85, perc_75 + (perc_90 - perc_75) * (2/3), converted_stat, '2K_Ratings'!T178, IF(bbgm_stat &gt;= perc_95, converted_stat * 3, IF(bbgm_stat &gt;= perc_90, converted_stat * 2, IF(bbgm_stat &gt;= perc_85, converted_stat * 1.5, converted_stat)))))</f>
        <v/>
      </c>
      <c r="U178" s="30" t="str">
        <f t="array" ref="U178">IF($A178="", "", LET(bbgm_stat, INDEX(Players!$A177:$P177, MATCH(U$2, Players!$A$1:$P$1, 0)), perc_75, VLOOKUP(U$2, Percentiles!$A$45:$I$59, 6, FALSE), perc_90, VLOOKUP(U$2, Percentiles!$A$45:$I$59, 7, FALSE), perc_95, VLOOKUP(U$2, Percentiles!$A$45:$I$59, 8, FALSE), perc_85, perc_75 + (perc_90 - perc_75) * (2/3), converted_stat, '2K_Ratings'!U178, IF(bbgm_stat &gt;= perc_95, converted_stat * 3, IF(bbgm_stat &gt;= perc_90, converted_stat * 2, IF(bbgm_stat &gt;= perc_85, converted_stat * 1.5, converted_stat)))))</f>
        <v/>
      </c>
      <c r="V178" s="30" t="str">
        <f t="array" ref="V178">IF($A178="", "", LET(bbgm_stat, INDEX(Players!$A177:$P177, MATCH(V$2, Players!$A$1:$P$1, 0)), perc_75, VLOOKUP(V$2, Percentiles!$A$45:$I$59, 6, FALSE), perc_90, VLOOKUP(V$2, Percentiles!$A$45:$I$59, 7, FALSE), perc_95, VLOOKUP(V$2, Percentiles!$A$45:$I$59, 8, FALSE), perc_85, perc_75 + (perc_90 - perc_75) * (2/3), converted_stat, '2K_Ratings'!V178, IF(bbgm_stat &gt;= perc_95, converted_stat * 3, IF(bbgm_stat &gt;= perc_90, converted_stat * 2, IF(bbgm_stat &gt;= perc_85, converted_stat * 1.5, converted_stat)))))</f>
        <v/>
      </c>
      <c r="W178" s="30" t="str">
        <f t="array" ref="W178">IF($A178="", "", LET(bbgm_stat, INDEX(Players!$A177:$P177, MATCH(W$2, Players!$A$1:$P$1, 0)), perc_75, VLOOKUP(W$2, Percentiles!$A$45:$I$59, 6, FALSE), perc_90, VLOOKUP(W$2, Percentiles!$A$45:$I$59, 7, FALSE), perc_95, VLOOKUP(W$2, Percentiles!$A$45:$I$59, 8, FALSE), perc_85, perc_75 + (perc_90 - perc_75) * (2/3), converted_stat, '2K_Ratings'!W178, IF(bbgm_stat &gt;= perc_95, converted_stat * 3, IF(bbgm_stat &gt;= perc_90, converted_stat * 2, IF(bbgm_stat &gt;= perc_85, converted_stat * 1.5, converted_stat)))))</f>
        <v/>
      </c>
    </row>
    <row r="179">
      <c r="A179" s="30"/>
      <c r="B179" s="30" t="str">
        <f t="array" ref="B179">IF($A179="", "", LET(bbgm_stat, INDEX(Players!$A178:$P178, MATCH(B$2, Players!$A$1:$P$1, 0)), perc_75, VLOOKUP(B$2, Percentiles!$A$45:$I$59, 6, FALSE), perc_90, VLOOKUP(B$2, Percentiles!$A$45:$I$59, 7, FALSE), perc_95, VLOOKUP(B$2, Percentiles!$A$45:$I$59, 8, FALSE), perc_85, perc_75 + (perc_90 - perc_75) * (2/3), converted_stat, '2K_Ratings'!B179, IF(bbgm_stat &gt;= perc_95, converted_stat * 3, IF(bbgm_stat &gt;= perc_90, converted_stat * 2, IF(bbgm_stat &gt;= perc_85, converted_stat * 1.5, converted_stat)))))</f>
        <v/>
      </c>
      <c r="C179" s="30" t="str">
        <f t="array" ref="C179">IF($A179="", "", LET(bbgm_stat, INDEX(Players!$A178:$P178, MATCH(C$2, Players!$A$1:$P$1, 0)), perc_75, VLOOKUP(C$2, Percentiles!$A$45:$I$59, 6, FALSE), perc_90, VLOOKUP(C$2, Percentiles!$A$45:$I$59, 7, FALSE), perc_95, VLOOKUP(C$2, Percentiles!$A$45:$I$59, 8, FALSE), perc_85, perc_75 + (perc_90 - perc_75) * (2/3), converted_stat, '2K_Ratings'!C179, IF(bbgm_stat &gt;= perc_95, converted_stat * 3, IF(bbgm_stat &gt;= perc_90, converted_stat * 2, IF(bbgm_stat &gt;= perc_85, converted_stat * 1.5, converted_stat)))))</f>
        <v/>
      </c>
      <c r="D179" s="30" t="str">
        <f t="array" ref="D179">IF($A179="", "", LET(bbgm_stat, INDEX(Players!$A178:$P178, MATCH(D$2, Players!$A$1:$P$1, 0)), perc_75, VLOOKUP(D$2, Percentiles!$A$45:$I$59, 6, FALSE), perc_90, VLOOKUP(D$2, Percentiles!$A$45:$I$59, 7, FALSE), perc_95, VLOOKUP(D$2, Percentiles!$A$45:$I$59, 8, FALSE), perc_85, perc_75 + (perc_90 - perc_75) * (2/3), converted_stat, '2K_Ratings'!D179, IF(bbgm_stat &gt;= perc_95, converted_stat * 3, IF(bbgm_stat &gt;= perc_90, converted_stat * 2, IF(bbgm_stat &gt;= perc_85, converted_stat * 1.5, converted_stat)))))</f>
        <v/>
      </c>
      <c r="E179" s="30" t="str">
        <f t="array" ref="E179">IF($A179="", "", LET(bbgm_stat, INDEX(Players!$A178:$P178, MATCH(E$2, Players!$A$1:$P$1, 0)), perc_75, VLOOKUP(E$2, Percentiles!$A$45:$I$59, 6, FALSE), perc_90, VLOOKUP(E$2, Percentiles!$A$45:$I$59, 7, FALSE), perc_95, VLOOKUP(E$2, Percentiles!$A$45:$I$59, 8, FALSE), perc_85, perc_75 + (perc_90 - perc_75) * (2/3), converted_stat, '2K_Ratings'!E179, IF(bbgm_stat &gt;= perc_95, converted_stat * 3, IF(bbgm_stat &gt;= perc_90, converted_stat * 2, IF(bbgm_stat &gt;= perc_85, converted_stat * 1.5, converted_stat)))))</f>
        <v/>
      </c>
      <c r="F179" s="30" t="str">
        <f t="array" ref="F179">IF($A179="", "", LET(bbgm_stat, INDEX(Players!$A178:$P178, MATCH(F$2, Players!$A$1:$P$1, 0)), perc_75, VLOOKUP(F$2, Percentiles!$A$45:$I$59, 6, FALSE), perc_90, VLOOKUP(F$2, Percentiles!$A$45:$I$59, 7, FALSE), perc_95, VLOOKUP(F$2, Percentiles!$A$45:$I$59, 8, FALSE), perc_85, perc_75 + (perc_90 - perc_75) * (2/3), converted_stat, '2K_Ratings'!F179, IF(bbgm_stat &gt;= perc_95, converted_stat * 3, IF(bbgm_stat &gt;= perc_90, converted_stat * 2, IF(bbgm_stat &gt;= perc_85, converted_stat * 1.5, converted_stat)))))</f>
        <v/>
      </c>
      <c r="G179" s="30" t="str">
        <f t="array" ref="G179">IF($A179="", "", LET(bbgm_stat, INDEX(Players!$A178:$P178, MATCH(G$2, Players!$A$1:$P$1, 0)), perc_75, VLOOKUP(G$2, Percentiles!$A$45:$I$59, 6, FALSE), perc_90, VLOOKUP(G$2, Percentiles!$A$45:$I$59, 7, FALSE), perc_95, VLOOKUP(G$2, Percentiles!$A$45:$I$59, 8, FALSE), perc_85, perc_75 + (perc_90 - perc_75) * (2/3), converted_stat, '2K_Ratings'!G179, IF(bbgm_stat &gt;= perc_95, converted_stat * 3, IF(bbgm_stat &gt;= perc_90, converted_stat * 2, IF(bbgm_stat &gt;= perc_85, converted_stat * 1.5, converted_stat)))))</f>
        <v/>
      </c>
      <c r="H179" s="30" t="str">
        <f t="array" ref="H179">IF($A179="", "", LET(bbgm_stat, INDEX(Players!$A178:$P178, MATCH(H$2, Players!$A$1:$P$1, 0)), perc_75, VLOOKUP(H$2, Percentiles!$A$45:$I$59, 6, FALSE), perc_90, VLOOKUP(H$2, Percentiles!$A$45:$I$59, 7, FALSE), perc_95, VLOOKUP(H$2, Percentiles!$A$45:$I$59, 8, FALSE), perc_85, perc_75 + (perc_90 - perc_75) * (2/3), converted_stat, '2K_Ratings'!H179, IF(bbgm_stat &gt;= perc_95, converted_stat * 3, IF(bbgm_stat &gt;= perc_90, converted_stat * 2, IF(bbgm_stat &gt;= perc_85, converted_stat * 1.5, converted_stat)))))</f>
        <v/>
      </c>
      <c r="I179" s="30" t="str">
        <f t="array" ref="I179">IF($A179="", "", LET(bbgm_stat, INDEX(Players!$A178:$P178, MATCH(I$2, Players!$A$1:$P$1, 0)), perc_75, VLOOKUP(I$2, Percentiles!$A$45:$I$59, 6, FALSE), perc_90, VLOOKUP(I$2, Percentiles!$A$45:$I$59, 7, FALSE), perc_95, VLOOKUP(I$2, Percentiles!$A$45:$I$59, 8, FALSE), perc_85, perc_75 + (perc_90 - perc_75) * (2/3), converted_stat, '2K_Ratings'!I179, IF(bbgm_stat &gt;= perc_95, converted_stat * 3, IF(bbgm_stat &gt;= perc_90, converted_stat * 2, IF(bbgm_stat &gt;= perc_85, converted_stat * 1.5, converted_stat)))))</f>
        <v/>
      </c>
      <c r="J179" s="30" t="str">
        <f t="array" ref="J179">IF($A179="", "", LET(bbgm_stat, INDEX(Players!$A178:$P178, MATCH(J$2, Players!$A$1:$P$1, 0)), perc_75, VLOOKUP(J$2, Percentiles!$A$45:$I$59, 6, FALSE), perc_90, VLOOKUP(J$2, Percentiles!$A$45:$I$59, 7, FALSE), perc_95, VLOOKUP(J$2, Percentiles!$A$45:$I$59, 8, FALSE), perc_85, perc_75 + (perc_90 - perc_75) * (2/3), converted_stat, '2K_Ratings'!J179, IF(bbgm_stat &gt;= perc_95, converted_stat * 3, IF(bbgm_stat &gt;= perc_90, converted_stat * 2, IF(bbgm_stat &gt;= perc_85, converted_stat * 1.5, converted_stat)))))</f>
        <v/>
      </c>
      <c r="K179" s="30" t="str">
        <f t="array" ref="K179">IF($A179="", "", LET(bbgm_stat, INDEX(Players!$A178:$P178, MATCH(K$2, Players!$A$1:$P$1, 0)), perc_75, VLOOKUP(K$2, Percentiles!$A$45:$I$59, 6, FALSE), perc_90, VLOOKUP(K$2, Percentiles!$A$45:$I$59, 7, FALSE), perc_95, VLOOKUP(K$2, Percentiles!$A$45:$I$59, 8, FALSE), perc_85, perc_75 + (perc_90 - perc_75) * (2/3), converted_stat, '2K_Ratings'!K179, IF(bbgm_stat &gt;= perc_95, converted_stat * 3, IF(bbgm_stat &gt;= perc_90, converted_stat * 2, IF(bbgm_stat &gt;= perc_85, converted_stat * 1.5, converted_stat)))))</f>
        <v/>
      </c>
      <c r="L179" s="30" t="str">
        <f t="array" ref="L179">IF($A179="", "", LET(bbgm_stat, INDEX(Players!$A178:$P178, MATCH(L$2, Players!$A$1:$P$1, 0)), perc_75, VLOOKUP(L$2, Percentiles!$A$45:$I$59, 6, FALSE), perc_90, VLOOKUP(L$2, Percentiles!$A$45:$I$59, 7, FALSE), perc_95, VLOOKUP(L$2, Percentiles!$A$45:$I$59, 8, FALSE), perc_85, perc_75 + (perc_90 - perc_75) * (2/3), converted_stat, '2K_Ratings'!L179, IF(bbgm_stat &gt;= perc_95, converted_stat * 3, IF(bbgm_stat &gt;= perc_90, converted_stat * 2, IF(bbgm_stat &gt;= perc_85, converted_stat * 1.5, converted_stat)))))</f>
        <v/>
      </c>
      <c r="M179" s="30" t="str">
        <f t="array" ref="M179">IF($A179="", "", LET(bbgm_stat, INDEX(Players!$A178:$P178, MATCH(M$2, Players!$A$1:$P$1, 0)), perc_75, VLOOKUP(M$2, Percentiles!$A$45:$I$59, 6, FALSE), perc_90, VLOOKUP(M$2, Percentiles!$A$45:$I$59, 7, FALSE), perc_95, VLOOKUP(M$2, Percentiles!$A$45:$I$59, 8, FALSE), perc_85, perc_75 + (perc_90 - perc_75) * (2/3), converted_stat, '2K_Ratings'!M179, IF(bbgm_stat &gt;= perc_95, converted_stat * 3, IF(bbgm_stat &gt;= perc_90, converted_stat * 2, IF(bbgm_stat &gt;= perc_85, converted_stat * 1.5, converted_stat)))))</f>
        <v/>
      </c>
      <c r="N179" s="30" t="str">
        <f t="array" ref="N179">IF($A179="", "", LET(bbgm_stat, INDEX(Players!$A178:$P178, MATCH(N$2, Players!$A$1:$P$1, 0)), perc_75, VLOOKUP(N$2, Percentiles!$A$45:$I$59, 6, FALSE), perc_90, VLOOKUP(N$2, Percentiles!$A$45:$I$59, 7, FALSE), perc_95, VLOOKUP(N$2, Percentiles!$A$45:$I$59, 8, FALSE), perc_85, perc_75 + (perc_90 - perc_75) * (2/3), converted_stat, '2K_Ratings'!N179, IF(bbgm_stat &gt;= perc_95, converted_stat * 3, IF(bbgm_stat &gt;= perc_90, converted_stat * 2, IF(bbgm_stat &gt;= perc_85, converted_stat * 1.5, converted_stat)))))</f>
        <v/>
      </c>
      <c r="O179" s="30" t="str">
        <f t="array" ref="O179">IF($A179="", "", LET(bbgm_stat, INDEX(Players!$A178:$P178, MATCH(O$2, Players!$A$1:$P$1, 0)), perc_75, VLOOKUP(O$2, Percentiles!$A$45:$I$59, 6, FALSE), perc_90, VLOOKUP(O$2, Percentiles!$A$45:$I$59, 7, FALSE), perc_95, VLOOKUP(O$2, Percentiles!$A$45:$I$59, 8, FALSE), perc_85, perc_75 + (perc_90 - perc_75) * (2/3), converted_stat, '2K_Ratings'!O179, IF(bbgm_stat &gt;= perc_95, converted_stat * 3, IF(bbgm_stat &gt;= perc_90, converted_stat * 2, IF(bbgm_stat &gt;= perc_85, converted_stat * 1.5, converted_stat)))))</f>
        <v/>
      </c>
      <c r="P179" s="30" t="str">
        <f t="array" ref="P179">IF($A179="", "", LET(bbgm_stat, INDEX(Players!$A178:$P178, MATCH(P$2, Players!$A$1:$P$1, 0)), perc_75, VLOOKUP(P$2, Percentiles!$A$45:$I$59, 6, FALSE), perc_90, VLOOKUP(P$2, Percentiles!$A$45:$I$59, 7, FALSE), perc_95, VLOOKUP(P$2, Percentiles!$A$45:$I$59, 8, FALSE), perc_85, perc_75 + (perc_90 - perc_75) * (2/3), converted_stat, '2K_Ratings'!P179, IF(bbgm_stat &gt;= perc_95, converted_stat * 3, IF(bbgm_stat &gt;= perc_90, converted_stat * 2, IF(bbgm_stat &gt;= perc_85, converted_stat * 1.5, converted_stat)))))</f>
        <v/>
      </c>
      <c r="Q179" s="30" t="str">
        <f t="array" ref="Q179">IF($A179="", "", LET(bbgm_stat, INDEX(Players!$A178:$P178, MATCH(Q$2, Players!$A$1:$P$1, 0)), perc_75, VLOOKUP(Q$2, Percentiles!$A$45:$I$59, 6, FALSE), perc_90, VLOOKUP(Q$2, Percentiles!$A$45:$I$59, 7, FALSE), perc_95, VLOOKUP(Q$2, Percentiles!$A$45:$I$59, 8, FALSE), perc_85, perc_75 + (perc_90 - perc_75) * (2/3), converted_stat, '2K_Ratings'!Q179, IF(bbgm_stat &gt;= perc_95, converted_stat * 3, IF(bbgm_stat &gt;= perc_90, converted_stat * 2, IF(bbgm_stat &gt;= perc_85, converted_stat * 1.5, converted_stat)))))</f>
        <v/>
      </c>
      <c r="R179" s="30" t="str">
        <f t="array" ref="R179">IF($A179="", "", LET(bbgm_stat, INDEX(Players!$A178:$P178, MATCH(R$2, Players!$A$1:$P$1, 0)), perc_75, VLOOKUP(R$2, Percentiles!$A$45:$I$59, 6, FALSE), perc_90, VLOOKUP(R$2, Percentiles!$A$45:$I$59, 7, FALSE), perc_95, VLOOKUP(R$2, Percentiles!$A$45:$I$59, 8, FALSE), perc_85, perc_75 + (perc_90 - perc_75) * (2/3), converted_stat, '2K_Ratings'!R179, IF(bbgm_stat &gt;= perc_95, converted_stat * 3, IF(bbgm_stat &gt;= perc_90, converted_stat * 2, IF(bbgm_stat &gt;= perc_85, converted_stat * 1.5, converted_stat)))))</f>
        <v/>
      </c>
      <c r="S179" s="30" t="str">
        <f t="array" ref="S179">IF($A179="", "", LET(bbgm_stat, INDEX(Players!$A178:$P178, MATCH(S$2, Players!$A$1:$P$1, 0)), perc_75, VLOOKUP(S$2, Percentiles!$A$45:$I$59, 6, FALSE), perc_90, VLOOKUP(S$2, Percentiles!$A$45:$I$59, 7, FALSE), perc_95, VLOOKUP(S$2, Percentiles!$A$45:$I$59, 8, FALSE), perc_85, perc_75 + (perc_90 - perc_75) * (2/3), converted_stat, '2K_Ratings'!S179, IF(bbgm_stat &gt;= perc_95, converted_stat * 3, IF(bbgm_stat &gt;= perc_90, converted_stat * 2, IF(bbgm_stat &gt;= perc_85, converted_stat * 1.5, converted_stat)))))</f>
        <v/>
      </c>
      <c r="T179" s="30" t="str">
        <f t="array" ref="T179">IF($A179="", "", LET(bbgm_stat, INDEX(Players!$A178:$P178, MATCH(T$2, Players!$A$1:$P$1, 0)), perc_75, VLOOKUP(T$2, Percentiles!$A$45:$I$59, 6, FALSE), perc_90, VLOOKUP(T$2, Percentiles!$A$45:$I$59, 7, FALSE), perc_95, VLOOKUP(T$2, Percentiles!$A$45:$I$59, 8, FALSE), perc_85, perc_75 + (perc_90 - perc_75) * (2/3), converted_stat, '2K_Ratings'!T179, IF(bbgm_stat &gt;= perc_95, converted_stat * 3, IF(bbgm_stat &gt;= perc_90, converted_stat * 2, IF(bbgm_stat &gt;= perc_85, converted_stat * 1.5, converted_stat)))))</f>
        <v/>
      </c>
      <c r="U179" s="30" t="str">
        <f t="array" ref="U179">IF($A179="", "", LET(bbgm_stat, INDEX(Players!$A178:$P178, MATCH(U$2, Players!$A$1:$P$1, 0)), perc_75, VLOOKUP(U$2, Percentiles!$A$45:$I$59, 6, FALSE), perc_90, VLOOKUP(U$2, Percentiles!$A$45:$I$59, 7, FALSE), perc_95, VLOOKUP(U$2, Percentiles!$A$45:$I$59, 8, FALSE), perc_85, perc_75 + (perc_90 - perc_75) * (2/3), converted_stat, '2K_Ratings'!U179, IF(bbgm_stat &gt;= perc_95, converted_stat * 3, IF(bbgm_stat &gt;= perc_90, converted_stat * 2, IF(bbgm_stat &gt;= perc_85, converted_stat * 1.5, converted_stat)))))</f>
        <v/>
      </c>
      <c r="V179" s="30" t="str">
        <f t="array" ref="V179">IF($A179="", "", LET(bbgm_stat, INDEX(Players!$A178:$P178, MATCH(V$2, Players!$A$1:$P$1, 0)), perc_75, VLOOKUP(V$2, Percentiles!$A$45:$I$59, 6, FALSE), perc_90, VLOOKUP(V$2, Percentiles!$A$45:$I$59, 7, FALSE), perc_95, VLOOKUP(V$2, Percentiles!$A$45:$I$59, 8, FALSE), perc_85, perc_75 + (perc_90 - perc_75) * (2/3), converted_stat, '2K_Ratings'!V179, IF(bbgm_stat &gt;= perc_95, converted_stat * 3, IF(bbgm_stat &gt;= perc_90, converted_stat * 2, IF(bbgm_stat &gt;= perc_85, converted_stat * 1.5, converted_stat)))))</f>
        <v/>
      </c>
      <c r="W179" s="30" t="str">
        <f t="array" ref="W179">IF($A179="", "", LET(bbgm_stat, INDEX(Players!$A178:$P178, MATCH(W$2, Players!$A$1:$P$1, 0)), perc_75, VLOOKUP(W$2, Percentiles!$A$45:$I$59, 6, FALSE), perc_90, VLOOKUP(W$2, Percentiles!$A$45:$I$59, 7, FALSE), perc_95, VLOOKUP(W$2, Percentiles!$A$45:$I$59, 8, FALSE), perc_85, perc_75 + (perc_90 - perc_75) * (2/3), converted_stat, '2K_Ratings'!W179, IF(bbgm_stat &gt;= perc_95, converted_stat * 3, IF(bbgm_stat &gt;= perc_90, converted_stat * 2, IF(bbgm_stat &gt;= perc_85, converted_stat * 1.5, converted_stat)))))</f>
        <v/>
      </c>
    </row>
    <row r="180">
      <c r="A180" s="30"/>
      <c r="B180" s="30" t="str">
        <f t="array" ref="B180">IF($A180="", "", LET(bbgm_stat, INDEX(Players!$A179:$P179, MATCH(B$2, Players!$A$1:$P$1, 0)), perc_75, VLOOKUP(B$2, Percentiles!$A$45:$I$59, 6, FALSE), perc_90, VLOOKUP(B$2, Percentiles!$A$45:$I$59, 7, FALSE), perc_95, VLOOKUP(B$2, Percentiles!$A$45:$I$59, 8, FALSE), perc_85, perc_75 + (perc_90 - perc_75) * (2/3), converted_stat, '2K_Ratings'!B180, IF(bbgm_stat &gt;= perc_95, converted_stat * 3, IF(bbgm_stat &gt;= perc_90, converted_stat * 2, IF(bbgm_stat &gt;= perc_85, converted_stat * 1.5, converted_stat)))))</f>
        <v/>
      </c>
      <c r="C180" s="30" t="str">
        <f t="array" ref="C180">IF($A180="", "", LET(bbgm_stat, INDEX(Players!$A179:$P179, MATCH(C$2, Players!$A$1:$P$1, 0)), perc_75, VLOOKUP(C$2, Percentiles!$A$45:$I$59, 6, FALSE), perc_90, VLOOKUP(C$2, Percentiles!$A$45:$I$59, 7, FALSE), perc_95, VLOOKUP(C$2, Percentiles!$A$45:$I$59, 8, FALSE), perc_85, perc_75 + (perc_90 - perc_75) * (2/3), converted_stat, '2K_Ratings'!C180, IF(bbgm_stat &gt;= perc_95, converted_stat * 3, IF(bbgm_stat &gt;= perc_90, converted_stat * 2, IF(bbgm_stat &gt;= perc_85, converted_stat * 1.5, converted_stat)))))</f>
        <v/>
      </c>
      <c r="D180" s="30" t="str">
        <f t="array" ref="D180">IF($A180="", "", LET(bbgm_stat, INDEX(Players!$A179:$P179, MATCH(D$2, Players!$A$1:$P$1, 0)), perc_75, VLOOKUP(D$2, Percentiles!$A$45:$I$59, 6, FALSE), perc_90, VLOOKUP(D$2, Percentiles!$A$45:$I$59, 7, FALSE), perc_95, VLOOKUP(D$2, Percentiles!$A$45:$I$59, 8, FALSE), perc_85, perc_75 + (perc_90 - perc_75) * (2/3), converted_stat, '2K_Ratings'!D180, IF(bbgm_stat &gt;= perc_95, converted_stat * 3, IF(bbgm_stat &gt;= perc_90, converted_stat * 2, IF(bbgm_stat &gt;= perc_85, converted_stat * 1.5, converted_stat)))))</f>
        <v/>
      </c>
      <c r="E180" s="30" t="str">
        <f t="array" ref="E180">IF($A180="", "", LET(bbgm_stat, INDEX(Players!$A179:$P179, MATCH(E$2, Players!$A$1:$P$1, 0)), perc_75, VLOOKUP(E$2, Percentiles!$A$45:$I$59, 6, FALSE), perc_90, VLOOKUP(E$2, Percentiles!$A$45:$I$59, 7, FALSE), perc_95, VLOOKUP(E$2, Percentiles!$A$45:$I$59, 8, FALSE), perc_85, perc_75 + (perc_90 - perc_75) * (2/3), converted_stat, '2K_Ratings'!E180, IF(bbgm_stat &gt;= perc_95, converted_stat * 3, IF(bbgm_stat &gt;= perc_90, converted_stat * 2, IF(bbgm_stat &gt;= perc_85, converted_stat * 1.5, converted_stat)))))</f>
        <v/>
      </c>
      <c r="F180" s="30" t="str">
        <f t="array" ref="F180">IF($A180="", "", LET(bbgm_stat, INDEX(Players!$A179:$P179, MATCH(F$2, Players!$A$1:$P$1, 0)), perc_75, VLOOKUP(F$2, Percentiles!$A$45:$I$59, 6, FALSE), perc_90, VLOOKUP(F$2, Percentiles!$A$45:$I$59, 7, FALSE), perc_95, VLOOKUP(F$2, Percentiles!$A$45:$I$59, 8, FALSE), perc_85, perc_75 + (perc_90 - perc_75) * (2/3), converted_stat, '2K_Ratings'!F180, IF(bbgm_stat &gt;= perc_95, converted_stat * 3, IF(bbgm_stat &gt;= perc_90, converted_stat * 2, IF(bbgm_stat &gt;= perc_85, converted_stat * 1.5, converted_stat)))))</f>
        <v/>
      </c>
      <c r="G180" s="30" t="str">
        <f t="array" ref="G180">IF($A180="", "", LET(bbgm_stat, INDEX(Players!$A179:$P179, MATCH(G$2, Players!$A$1:$P$1, 0)), perc_75, VLOOKUP(G$2, Percentiles!$A$45:$I$59, 6, FALSE), perc_90, VLOOKUP(G$2, Percentiles!$A$45:$I$59, 7, FALSE), perc_95, VLOOKUP(G$2, Percentiles!$A$45:$I$59, 8, FALSE), perc_85, perc_75 + (perc_90 - perc_75) * (2/3), converted_stat, '2K_Ratings'!G180, IF(bbgm_stat &gt;= perc_95, converted_stat * 3, IF(bbgm_stat &gt;= perc_90, converted_stat * 2, IF(bbgm_stat &gt;= perc_85, converted_stat * 1.5, converted_stat)))))</f>
        <v/>
      </c>
      <c r="H180" s="30" t="str">
        <f t="array" ref="H180">IF($A180="", "", LET(bbgm_stat, INDEX(Players!$A179:$P179, MATCH(H$2, Players!$A$1:$P$1, 0)), perc_75, VLOOKUP(H$2, Percentiles!$A$45:$I$59, 6, FALSE), perc_90, VLOOKUP(H$2, Percentiles!$A$45:$I$59, 7, FALSE), perc_95, VLOOKUP(H$2, Percentiles!$A$45:$I$59, 8, FALSE), perc_85, perc_75 + (perc_90 - perc_75) * (2/3), converted_stat, '2K_Ratings'!H180, IF(bbgm_stat &gt;= perc_95, converted_stat * 3, IF(bbgm_stat &gt;= perc_90, converted_stat * 2, IF(bbgm_stat &gt;= perc_85, converted_stat * 1.5, converted_stat)))))</f>
        <v/>
      </c>
      <c r="I180" s="30" t="str">
        <f t="array" ref="I180">IF($A180="", "", LET(bbgm_stat, INDEX(Players!$A179:$P179, MATCH(I$2, Players!$A$1:$P$1, 0)), perc_75, VLOOKUP(I$2, Percentiles!$A$45:$I$59, 6, FALSE), perc_90, VLOOKUP(I$2, Percentiles!$A$45:$I$59, 7, FALSE), perc_95, VLOOKUP(I$2, Percentiles!$A$45:$I$59, 8, FALSE), perc_85, perc_75 + (perc_90 - perc_75) * (2/3), converted_stat, '2K_Ratings'!I180, IF(bbgm_stat &gt;= perc_95, converted_stat * 3, IF(bbgm_stat &gt;= perc_90, converted_stat * 2, IF(bbgm_stat &gt;= perc_85, converted_stat * 1.5, converted_stat)))))</f>
        <v/>
      </c>
      <c r="J180" s="30" t="str">
        <f t="array" ref="J180">IF($A180="", "", LET(bbgm_stat, INDEX(Players!$A179:$P179, MATCH(J$2, Players!$A$1:$P$1, 0)), perc_75, VLOOKUP(J$2, Percentiles!$A$45:$I$59, 6, FALSE), perc_90, VLOOKUP(J$2, Percentiles!$A$45:$I$59, 7, FALSE), perc_95, VLOOKUP(J$2, Percentiles!$A$45:$I$59, 8, FALSE), perc_85, perc_75 + (perc_90 - perc_75) * (2/3), converted_stat, '2K_Ratings'!J180, IF(bbgm_stat &gt;= perc_95, converted_stat * 3, IF(bbgm_stat &gt;= perc_90, converted_stat * 2, IF(bbgm_stat &gt;= perc_85, converted_stat * 1.5, converted_stat)))))</f>
        <v/>
      </c>
      <c r="K180" s="30" t="str">
        <f t="array" ref="K180">IF($A180="", "", LET(bbgm_stat, INDEX(Players!$A179:$P179, MATCH(K$2, Players!$A$1:$P$1, 0)), perc_75, VLOOKUP(K$2, Percentiles!$A$45:$I$59, 6, FALSE), perc_90, VLOOKUP(K$2, Percentiles!$A$45:$I$59, 7, FALSE), perc_95, VLOOKUP(K$2, Percentiles!$A$45:$I$59, 8, FALSE), perc_85, perc_75 + (perc_90 - perc_75) * (2/3), converted_stat, '2K_Ratings'!K180, IF(bbgm_stat &gt;= perc_95, converted_stat * 3, IF(bbgm_stat &gt;= perc_90, converted_stat * 2, IF(bbgm_stat &gt;= perc_85, converted_stat * 1.5, converted_stat)))))</f>
        <v/>
      </c>
      <c r="L180" s="30" t="str">
        <f t="array" ref="L180">IF($A180="", "", LET(bbgm_stat, INDEX(Players!$A179:$P179, MATCH(L$2, Players!$A$1:$P$1, 0)), perc_75, VLOOKUP(L$2, Percentiles!$A$45:$I$59, 6, FALSE), perc_90, VLOOKUP(L$2, Percentiles!$A$45:$I$59, 7, FALSE), perc_95, VLOOKUP(L$2, Percentiles!$A$45:$I$59, 8, FALSE), perc_85, perc_75 + (perc_90 - perc_75) * (2/3), converted_stat, '2K_Ratings'!L180, IF(bbgm_stat &gt;= perc_95, converted_stat * 3, IF(bbgm_stat &gt;= perc_90, converted_stat * 2, IF(bbgm_stat &gt;= perc_85, converted_stat * 1.5, converted_stat)))))</f>
        <v/>
      </c>
      <c r="M180" s="30" t="str">
        <f t="array" ref="M180">IF($A180="", "", LET(bbgm_stat, INDEX(Players!$A179:$P179, MATCH(M$2, Players!$A$1:$P$1, 0)), perc_75, VLOOKUP(M$2, Percentiles!$A$45:$I$59, 6, FALSE), perc_90, VLOOKUP(M$2, Percentiles!$A$45:$I$59, 7, FALSE), perc_95, VLOOKUP(M$2, Percentiles!$A$45:$I$59, 8, FALSE), perc_85, perc_75 + (perc_90 - perc_75) * (2/3), converted_stat, '2K_Ratings'!M180, IF(bbgm_stat &gt;= perc_95, converted_stat * 3, IF(bbgm_stat &gt;= perc_90, converted_stat * 2, IF(bbgm_stat &gt;= perc_85, converted_stat * 1.5, converted_stat)))))</f>
        <v/>
      </c>
      <c r="N180" s="30" t="str">
        <f t="array" ref="N180">IF($A180="", "", LET(bbgm_stat, INDEX(Players!$A179:$P179, MATCH(N$2, Players!$A$1:$P$1, 0)), perc_75, VLOOKUP(N$2, Percentiles!$A$45:$I$59, 6, FALSE), perc_90, VLOOKUP(N$2, Percentiles!$A$45:$I$59, 7, FALSE), perc_95, VLOOKUP(N$2, Percentiles!$A$45:$I$59, 8, FALSE), perc_85, perc_75 + (perc_90 - perc_75) * (2/3), converted_stat, '2K_Ratings'!N180, IF(bbgm_stat &gt;= perc_95, converted_stat * 3, IF(bbgm_stat &gt;= perc_90, converted_stat * 2, IF(bbgm_stat &gt;= perc_85, converted_stat * 1.5, converted_stat)))))</f>
        <v/>
      </c>
      <c r="O180" s="30" t="str">
        <f t="array" ref="O180">IF($A180="", "", LET(bbgm_stat, INDEX(Players!$A179:$P179, MATCH(O$2, Players!$A$1:$P$1, 0)), perc_75, VLOOKUP(O$2, Percentiles!$A$45:$I$59, 6, FALSE), perc_90, VLOOKUP(O$2, Percentiles!$A$45:$I$59, 7, FALSE), perc_95, VLOOKUP(O$2, Percentiles!$A$45:$I$59, 8, FALSE), perc_85, perc_75 + (perc_90 - perc_75) * (2/3), converted_stat, '2K_Ratings'!O180, IF(bbgm_stat &gt;= perc_95, converted_stat * 3, IF(bbgm_stat &gt;= perc_90, converted_stat * 2, IF(bbgm_stat &gt;= perc_85, converted_stat * 1.5, converted_stat)))))</f>
        <v/>
      </c>
      <c r="P180" s="30" t="str">
        <f t="array" ref="P180">IF($A180="", "", LET(bbgm_stat, INDEX(Players!$A179:$P179, MATCH(P$2, Players!$A$1:$P$1, 0)), perc_75, VLOOKUP(P$2, Percentiles!$A$45:$I$59, 6, FALSE), perc_90, VLOOKUP(P$2, Percentiles!$A$45:$I$59, 7, FALSE), perc_95, VLOOKUP(P$2, Percentiles!$A$45:$I$59, 8, FALSE), perc_85, perc_75 + (perc_90 - perc_75) * (2/3), converted_stat, '2K_Ratings'!P180, IF(bbgm_stat &gt;= perc_95, converted_stat * 3, IF(bbgm_stat &gt;= perc_90, converted_stat * 2, IF(bbgm_stat &gt;= perc_85, converted_stat * 1.5, converted_stat)))))</f>
        <v/>
      </c>
      <c r="Q180" s="30" t="str">
        <f t="array" ref="Q180">IF($A180="", "", LET(bbgm_stat, INDEX(Players!$A179:$P179, MATCH(Q$2, Players!$A$1:$P$1, 0)), perc_75, VLOOKUP(Q$2, Percentiles!$A$45:$I$59, 6, FALSE), perc_90, VLOOKUP(Q$2, Percentiles!$A$45:$I$59, 7, FALSE), perc_95, VLOOKUP(Q$2, Percentiles!$A$45:$I$59, 8, FALSE), perc_85, perc_75 + (perc_90 - perc_75) * (2/3), converted_stat, '2K_Ratings'!Q180, IF(bbgm_stat &gt;= perc_95, converted_stat * 3, IF(bbgm_stat &gt;= perc_90, converted_stat * 2, IF(bbgm_stat &gt;= perc_85, converted_stat * 1.5, converted_stat)))))</f>
        <v/>
      </c>
      <c r="R180" s="30" t="str">
        <f t="array" ref="R180">IF($A180="", "", LET(bbgm_stat, INDEX(Players!$A179:$P179, MATCH(R$2, Players!$A$1:$P$1, 0)), perc_75, VLOOKUP(R$2, Percentiles!$A$45:$I$59, 6, FALSE), perc_90, VLOOKUP(R$2, Percentiles!$A$45:$I$59, 7, FALSE), perc_95, VLOOKUP(R$2, Percentiles!$A$45:$I$59, 8, FALSE), perc_85, perc_75 + (perc_90 - perc_75) * (2/3), converted_stat, '2K_Ratings'!R180, IF(bbgm_stat &gt;= perc_95, converted_stat * 3, IF(bbgm_stat &gt;= perc_90, converted_stat * 2, IF(bbgm_stat &gt;= perc_85, converted_stat * 1.5, converted_stat)))))</f>
        <v/>
      </c>
      <c r="S180" s="30" t="str">
        <f t="array" ref="S180">IF($A180="", "", LET(bbgm_stat, INDEX(Players!$A179:$P179, MATCH(S$2, Players!$A$1:$P$1, 0)), perc_75, VLOOKUP(S$2, Percentiles!$A$45:$I$59, 6, FALSE), perc_90, VLOOKUP(S$2, Percentiles!$A$45:$I$59, 7, FALSE), perc_95, VLOOKUP(S$2, Percentiles!$A$45:$I$59, 8, FALSE), perc_85, perc_75 + (perc_90 - perc_75) * (2/3), converted_stat, '2K_Ratings'!S180, IF(bbgm_stat &gt;= perc_95, converted_stat * 3, IF(bbgm_stat &gt;= perc_90, converted_stat * 2, IF(bbgm_stat &gt;= perc_85, converted_stat * 1.5, converted_stat)))))</f>
        <v/>
      </c>
      <c r="T180" s="30" t="str">
        <f t="array" ref="T180">IF($A180="", "", LET(bbgm_stat, INDEX(Players!$A179:$P179, MATCH(T$2, Players!$A$1:$P$1, 0)), perc_75, VLOOKUP(T$2, Percentiles!$A$45:$I$59, 6, FALSE), perc_90, VLOOKUP(T$2, Percentiles!$A$45:$I$59, 7, FALSE), perc_95, VLOOKUP(T$2, Percentiles!$A$45:$I$59, 8, FALSE), perc_85, perc_75 + (perc_90 - perc_75) * (2/3), converted_stat, '2K_Ratings'!T180, IF(bbgm_stat &gt;= perc_95, converted_stat * 3, IF(bbgm_stat &gt;= perc_90, converted_stat * 2, IF(bbgm_stat &gt;= perc_85, converted_stat * 1.5, converted_stat)))))</f>
        <v/>
      </c>
      <c r="U180" s="30" t="str">
        <f t="array" ref="U180">IF($A180="", "", LET(bbgm_stat, INDEX(Players!$A179:$P179, MATCH(U$2, Players!$A$1:$P$1, 0)), perc_75, VLOOKUP(U$2, Percentiles!$A$45:$I$59, 6, FALSE), perc_90, VLOOKUP(U$2, Percentiles!$A$45:$I$59, 7, FALSE), perc_95, VLOOKUP(U$2, Percentiles!$A$45:$I$59, 8, FALSE), perc_85, perc_75 + (perc_90 - perc_75) * (2/3), converted_stat, '2K_Ratings'!U180, IF(bbgm_stat &gt;= perc_95, converted_stat * 3, IF(bbgm_stat &gt;= perc_90, converted_stat * 2, IF(bbgm_stat &gt;= perc_85, converted_stat * 1.5, converted_stat)))))</f>
        <v/>
      </c>
      <c r="V180" s="30" t="str">
        <f t="array" ref="V180">IF($A180="", "", LET(bbgm_stat, INDEX(Players!$A179:$P179, MATCH(V$2, Players!$A$1:$P$1, 0)), perc_75, VLOOKUP(V$2, Percentiles!$A$45:$I$59, 6, FALSE), perc_90, VLOOKUP(V$2, Percentiles!$A$45:$I$59, 7, FALSE), perc_95, VLOOKUP(V$2, Percentiles!$A$45:$I$59, 8, FALSE), perc_85, perc_75 + (perc_90 - perc_75) * (2/3), converted_stat, '2K_Ratings'!V180, IF(bbgm_stat &gt;= perc_95, converted_stat * 3, IF(bbgm_stat &gt;= perc_90, converted_stat * 2, IF(bbgm_stat &gt;= perc_85, converted_stat * 1.5, converted_stat)))))</f>
        <v/>
      </c>
      <c r="W180" s="30" t="str">
        <f t="array" ref="W180">IF($A180="", "", LET(bbgm_stat, INDEX(Players!$A179:$P179, MATCH(W$2, Players!$A$1:$P$1, 0)), perc_75, VLOOKUP(W$2, Percentiles!$A$45:$I$59, 6, FALSE), perc_90, VLOOKUP(W$2, Percentiles!$A$45:$I$59, 7, FALSE), perc_95, VLOOKUP(W$2, Percentiles!$A$45:$I$59, 8, FALSE), perc_85, perc_75 + (perc_90 - perc_75) * (2/3), converted_stat, '2K_Ratings'!W180, IF(bbgm_stat &gt;= perc_95, converted_stat * 3, IF(bbgm_stat &gt;= perc_90, converted_stat * 2, IF(bbgm_stat &gt;= perc_85, converted_stat * 1.5, converted_stat)))))</f>
        <v/>
      </c>
    </row>
    <row r="181">
      <c r="A181" s="30"/>
      <c r="B181" s="30" t="str">
        <f t="array" ref="B181">IF($A181="", "", LET(bbgm_stat, INDEX(Players!$A180:$P180, MATCH(B$2, Players!$A$1:$P$1, 0)), perc_75, VLOOKUP(B$2, Percentiles!$A$45:$I$59, 6, FALSE), perc_90, VLOOKUP(B$2, Percentiles!$A$45:$I$59, 7, FALSE), perc_95, VLOOKUP(B$2, Percentiles!$A$45:$I$59, 8, FALSE), perc_85, perc_75 + (perc_90 - perc_75) * (2/3), converted_stat, '2K_Ratings'!B181, IF(bbgm_stat &gt;= perc_95, converted_stat * 3, IF(bbgm_stat &gt;= perc_90, converted_stat * 2, IF(bbgm_stat &gt;= perc_85, converted_stat * 1.5, converted_stat)))))</f>
        <v/>
      </c>
      <c r="C181" s="30" t="str">
        <f t="array" ref="C181">IF($A181="", "", LET(bbgm_stat, INDEX(Players!$A180:$P180, MATCH(C$2, Players!$A$1:$P$1, 0)), perc_75, VLOOKUP(C$2, Percentiles!$A$45:$I$59, 6, FALSE), perc_90, VLOOKUP(C$2, Percentiles!$A$45:$I$59, 7, FALSE), perc_95, VLOOKUP(C$2, Percentiles!$A$45:$I$59, 8, FALSE), perc_85, perc_75 + (perc_90 - perc_75) * (2/3), converted_stat, '2K_Ratings'!C181, IF(bbgm_stat &gt;= perc_95, converted_stat * 3, IF(bbgm_stat &gt;= perc_90, converted_stat * 2, IF(bbgm_stat &gt;= perc_85, converted_stat * 1.5, converted_stat)))))</f>
        <v/>
      </c>
      <c r="D181" s="30" t="str">
        <f t="array" ref="D181">IF($A181="", "", LET(bbgm_stat, INDEX(Players!$A180:$P180, MATCH(D$2, Players!$A$1:$P$1, 0)), perc_75, VLOOKUP(D$2, Percentiles!$A$45:$I$59, 6, FALSE), perc_90, VLOOKUP(D$2, Percentiles!$A$45:$I$59, 7, FALSE), perc_95, VLOOKUP(D$2, Percentiles!$A$45:$I$59, 8, FALSE), perc_85, perc_75 + (perc_90 - perc_75) * (2/3), converted_stat, '2K_Ratings'!D181, IF(bbgm_stat &gt;= perc_95, converted_stat * 3, IF(bbgm_stat &gt;= perc_90, converted_stat * 2, IF(bbgm_stat &gt;= perc_85, converted_stat * 1.5, converted_stat)))))</f>
        <v/>
      </c>
      <c r="E181" s="30" t="str">
        <f t="array" ref="E181">IF($A181="", "", LET(bbgm_stat, INDEX(Players!$A180:$P180, MATCH(E$2, Players!$A$1:$P$1, 0)), perc_75, VLOOKUP(E$2, Percentiles!$A$45:$I$59, 6, FALSE), perc_90, VLOOKUP(E$2, Percentiles!$A$45:$I$59, 7, FALSE), perc_95, VLOOKUP(E$2, Percentiles!$A$45:$I$59, 8, FALSE), perc_85, perc_75 + (perc_90 - perc_75) * (2/3), converted_stat, '2K_Ratings'!E181, IF(bbgm_stat &gt;= perc_95, converted_stat * 3, IF(bbgm_stat &gt;= perc_90, converted_stat * 2, IF(bbgm_stat &gt;= perc_85, converted_stat * 1.5, converted_stat)))))</f>
        <v/>
      </c>
      <c r="F181" s="30" t="str">
        <f t="array" ref="F181">IF($A181="", "", LET(bbgm_stat, INDEX(Players!$A180:$P180, MATCH(F$2, Players!$A$1:$P$1, 0)), perc_75, VLOOKUP(F$2, Percentiles!$A$45:$I$59, 6, FALSE), perc_90, VLOOKUP(F$2, Percentiles!$A$45:$I$59, 7, FALSE), perc_95, VLOOKUP(F$2, Percentiles!$A$45:$I$59, 8, FALSE), perc_85, perc_75 + (perc_90 - perc_75) * (2/3), converted_stat, '2K_Ratings'!F181, IF(bbgm_stat &gt;= perc_95, converted_stat * 3, IF(bbgm_stat &gt;= perc_90, converted_stat * 2, IF(bbgm_stat &gt;= perc_85, converted_stat * 1.5, converted_stat)))))</f>
        <v/>
      </c>
      <c r="G181" s="30" t="str">
        <f t="array" ref="G181">IF($A181="", "", LET(bbgm_stat, INDEX(Players!$A180:$P180, MATCH(G$2, Players!$A$1:$P$1, 0)), perc_75, VLOOKUP(G$2, Percentiles!$A$45:$I$59, 6, FALSE), perc_90, VLOOKUP(G$2, Percentiles!$A$45:$I$59, 7, FALSE), perc_95, VLOOKUP(G$2, Percentiles!$A$45:$I$59, 8, FALSE), perc_85, perc_75 + (perc_90 - perc_75) * (2/3), converted_stat, '2K_Ratings'!G181, IF(bbgm_stat &gt;= perc_95, converted_stat * 3, IF(bbgm_stat &gt;= perc_90, converted_stat * 2, IF(bbgm_stat &gt;= perc_85, converted_stat * 1.5, converted_stat)))))</f>
        <v/>
      </c>
      <c r="H181" s="30" t="str">
        <f t="array" ref="H181">IF($A181="", "", LET(bbgm_stat, INDEX(Players!$A180:$P180, MATCH(H$2, Players!$A$1:$P$1, 0)), perc_75, VLOOKUP(H$2, Percentiles!$A$45:$I$59, 6, FALSE), perc_90, VLOOKUP(H$2, Percentiles!$A$45:$I$59, 7, FALSE), perc_95, VLOOKUP(H$2, Percentiles!$A$45:$I$59, 8, FALSE), perc_85, perc_75 + (perc_90 - perc_75) * (2/3), converted_stat, '2K_Ratings'!H181, IF(bbgm_stat &gt;= perc_95, converted_stat * 3, IF(bbgm_stat &gt;= perc_90, converted_stat * 2, IF(bbgm_stat &gt;= perc_85, converted_stat * 1.5, converted_stat)))))</f>
        <v/>
      </c>
      <c r="I181" s="30" t="str">
        <f t="array" ref="I181">IF($A181="", "", LET(bbgm_stat, INDEX(Players!$A180:$P180, MATCH(I$2, Players!$A$1:$P$1, 0)), perc_75, VLOOKUP(I$2, Percentiles!$A$45:$I$59, 6, FALSE), perc_90, VLOOKUP(I$2, Percentiles!$A$45:$I$59, 7, FALSE), perc_95, VLOOKUP(I$2, Percentiles!$A$45:$I$59, 8, FALSE), perc_85, perc_75 + (perc_90 - perc_75) * (2/3), converted_stat, '2K_Ratings'!I181, IF(bbgm_stat &gt;= perc_95, converted_stat * 3, IF(bbgm_stat &gt;= perc_90, converted_stat * 2, IF(bbgm_stat &gt;= perc_85, converted_stat * 1.5, converted_stat)))))</f>
        <v/>
      </c>
      <c r="J181" s="30" t="str">
        <f t="array" ref="J181">IF($A181="", "", LET(bbgm_stat, INDEX(Players!$A180:$P180, MATCH(J$2, Players!$A$1:$P$1, 0)), perc_75, VLOOKUP(J$2, Percentiles!$A$45:$I$59, 6, FALSE), perc_90, VLOOKUP(J$2, Percentiles!$A$45:$I$59, 7, FALSE), perc_95, VLOOKUP(J$2, Percentiles!$A$45:$I$59, 8, FALSE), perc_85, perc_75 + (perc_90 - perc_75) * (2/3), converted_stat, '2K_Ratings'!J181, IF(bbgm_stat &gt;= perc_95, converted_stat * 3, IF(bbgm_stat &gt;= perc_90, converted_stat * 2, IF(bbgm_stat &gt;= perc_85, converted_stat * 1.5, converted_stat)))))</f>
        <v/>
      </c>
      <c r="K181" s="30" t="str">
        <f t="array" ref="K181">IF($A181="", "", LET(bbgm_stat, INDEX(Players!$A180:$P180, MATCH(K$2, Players!$A$1:$P$1, 0)), perc_75, VLOOKUP(K$2, Percentiles!$A$45:$I$59, 6, FALSE), perc_90, VLOOKUP(K$2, Percentiles!$A$45:$I$59, 7, FALSE), perc_95, VLOOKUP(K$2, Percentiles!$A$45:$I$59, 8, FALSE), perc_85, perc_75 + (perc_90 - perc_75) * (2/3), converted_stat, '2K_Ratings'!K181, IF(bbgm_stat &gt;= perc_95, converted_stat * 3, IF(bbgm_stat &gt;= perc_90, converted_stat * 2, IF(bbgm_stat &gt;= perc_85, converted_stat * 1.5, converted_stat)))))</f>
        <v/>
      </c>
      <c r="L181" s="30" t="str">
        <f t="array" ref="L181">IF($A181="", "", LET(bbgm_stat, INDEX(Players!$A180:$P180, MATCH(L$2, Players!$A$1:$P$1, 0)), perc_75, VLOOKUP(L$2, Percentiles!$A$45:$I$59, 6, FALSE), perc_90, VLOOKUP(L$2, Percentiles!$A$45:$I$59, 7, FALSE), perc_95, VLOOKUP(L$2, Percentiles!$A$45:$I$59, 8, FALSE), perc_85, perc_75 + (perc_90 - perc_75) * (2/3), converted_stat, '2K_Ratings'!L181, IF(bbgm_stat &gt;= perc_95, converted_stat * 3, IF(bbgm_stat &gt;= perc_90, converted_stat * 2, IF(bbgm_stat &gt;= perc_85, converted_stat * 1.5, converted_stat)))))</f>
        <v/>
      </c>
      <c r="M181" s="30" t="str">
        <f t="array" ref="M181">IF($A181="", "", LET(bbgm_stat, INDEX(Players!$A180:$P180, MATCH(M$2, Players!$A$1:$P$1, 0)), perc_75, VLOOKUP(M$2, Percentiles!$A$45:$I$59, 6, FALSE), perc_90, VLOOKUP(M$2, Percentiles!$A$45:$I$59, 7, FALSE), perc_95, VLOOKUP(M$2, Percentiles!$A$45:$I$59, 8, FALSE), perc_85, perc_75 + (perc_90 - perc_75) * (2/3), converted_stat, '2K_Ratings'!M181, IF(bbgm_stat &gt;= perc_95, converted_stat * 3, IF(bbgm_stat &gt;= perc_90, converted_stat * 2, IF(bbgm_stat &gt;= perc_85, converted_stat * 1.5, converted_stat)))))</f>
        <v/>
      </c>
      <c r="N181" s="30" t="str">
        <f t="array" ref="N181">IF($A181="", "", LET(bbgm_stat, INDEX(Players!$A180:$P180, MATCH(N$2, Players!$A$1:$P$1, 0)), perc_75, VLOOKUP(N$2, Percentiles!$A$45:$I$59, 6, FALSE), perc_90, VLOOKUP(N$2, Percentiles!$A$45:$I$59, 7, FALSE), perc_95, VLOOKUP(N$2, Percentiles!$A$45:$I$59, 8, FALSE), perc_85, perc_75 + (perc_90 - perc_75) * (2/3), converted_stat, '2K_Ratings'!N181, IF(bbgm_stat &gt;= perc_95, converted_stat * 3, IF(bbgm_stat &gt;= perc_90, converted_stat * 2, IF(bbgm_stat &gt;= perc_85, converted_stat * 1.5, converted_stat)))))</f>
        <v/>
      </c>
      <c r="O181" s="30" t="str">
        <f t="array" ref="O181">IF($A181="", "", LET(bbgm_stat, INDEX(Players!$A180:$P180, MATCH(O$2, Players!$A$1:$P$1, 0)), perc_75, VLOOKUP(O$2, Percentiles!$A$45:$I$59, 6, FALSE), perc_90, VLOOKUP(O$2, Percentiles!$A$45:$I$59, 7, FALSE), perc_95, VLOOKUP(O$2, Percentiles!$A$45:$I$59, 8, FALSE), perc_85, perc_75 + (perc_90 - perc_75) * (2/3), converted_stat, '2K_Ratings'!O181, IF(bbgm_stat &gt;= perc_95, converted_stat * 3, IF(bbgm_stat &gt;= perc_90, converted_stat * 2, IF(bbgm_stat &gt;= perc_85, converted_stat * 1.5, converted_stat)))))</f>
        <v/>
      </c>
      <c r="P181" s="30" t="str">
        <f t="array" ref="P181">IF($A181="", "", LET(bbgm_stat, INDEX(Players!$A180:$P180, MATCH(P$2, Players!$A$1:$P$1, 0)), perc_75, VLOOKUP(P$2, Percentiles!$A$45:$I$59, 6, FALSE), perc_90, VLOOKUP(P$2, Percentiles!$A$45:$I$59, 7, FALSE), perc_95, VLOOKUP(P$2, Percentiles!$A$45:$I$59, 8, FALSE), perc_85, perc_75 + (perc_90 - perc_75) * (2/3), converted_stat, '2K_Ratings'!P181, IF(bbgm_stat &gt;= perc_95, converted_stat * 3, IF(bbgm_stat &gt;= perc_90, converted_stat * 2, IF(bbgm_stat &gt;= perc_85, converted_stat * 1.5, converted_stat)))))</f>
        <v/>
      </c>
      <c r="Q181" s="30" t="str">
        <f t="array" ref="Q181">IF($A181="", "", LET(bbgm_stat, INDEX(Players!$A180:$P180, MATCH(Q$2, Players!$A$1:$P$1, 0)), perc_75, VLOOKUP(Q$2, Percentiles!$A$45:$I$59, 6, FALSE), perc_90, VLOOKUP(Q$2, Percentiles!$A$45:$I$59, 7, FALSE), perc_95, VLOOKUP(Q$2, Percentiles!$A$45:$I$59, 8, FALSE), perc_85, perc_75 + (perc_90 - perc_75) * (2/3), converted_stat, '2K_Ratings'!Q181, IF(bbgm_stat &gt;= perc_95, converted_stat * 3, IF(bbgm_stat &gt;= perc_90, converted_stat * 2, IF(bbgm_stat &gt;= perc_85, converted_stat * 1.5, converted_stat)))))</f>
        <v/>
      </c>
      <c r="R181" s="30" t="str">
        <f t="array" ref="R181">IF($A181="", "", LET(bbgm_stat, INDEX(Players!$A180:$P180, MATCH(R$2, Players!$A$1:$P$1, 0)), perc_75, VLOOKUP(R$2, Percentiles!$A$45:$I$59, 6, FALSE), perc_90, VLOOKUP(R$2, Percentiles!$A$45:$I$59, 7, FALSE), perc_95, VLOOKUP(R$2, Percentiles!$A$45:$I$59, 8, FALSE), perc_85, perc_75 + (perc_90 - perc_75) * (2/3), converted_stat, '2K_Ratings'!R181, IF(bbgm_stat &gt;= perc_95, converted_stat * 3, IF(bbgm_stat &gt;= perc_90, converted_stat * 2, IF(bbgm_stat &gt;= perc_85, converted_stat * 1.5, converted_stat)))))</f>
        <v/>
      </c>
      <c r="S181" s="30" t="str">
        <f t="array" ref="S181">IF($A181="", "", LET(bbgm_stat, INDEX(Players!$A180:$P180, MATCH(S$2, Players!$A$1:$P$1, 0)), perc_75, VLOOKUP(S$2, Percentiles!$A$45:$I$59, 6, FALSE), perc_90, VLOOKUP(S$2, Percentiles!$A$45:$I$59, 7, FALSE), perc_95, VLOOKUP(S$2, Percentiles!$A$45:$I$59, 8, FALSE), perc_85, perc_75 + (perc_90 - perc_75) * (2/3), converted_stat, '2K_Ratings'!S181, IF(bbgm_stat &gt;= perc_95, converted_stat * 3, IF(bbgm_stat &gt;= perc_90, converted_stat * 2, IF(bbgm_stat &gt;= perc_85, converted_stat * 1.5, converted_stat)))))</f>
        <v/>
      </c>
      <c r="T181" s="30" t="str">
        <f t="array" ref="T181">IF($A181="", "", LET(bbgm_stat, INDEX(Players!$A180:$P180, MATCH(T$2, Players!$A$1:$P$1, 0)), perc_75, VLOOKUP(T$2, Percentiles!$A$45:$I$59, 6, FALSE), perc_90, VLOOKUP(T$2, Percentiles!$A$45:$I$59, 7, FALSE), perc_95, VLOOKUP(T$2, Percentiles!$A$45:$I$59, 8, FALSE), perc_85, perc_75 + (perc_90 - perc_75) * (2/3), converted_stat, '2K_Ratings'!T181, IF(bbgm_stat &gt;= perc_95, converted_stat * 3, IF(bbgm_stat &gt;= perc_90, converted_stat * 2, IF(bbgm_stat &gt;= perc_85, converted_stat * 1.5, converted_stat)))))</f>
        <v/>
      </c>
      <c r="U181" s="30" t="str">
        <f t="array" ref="U181">IF($A181="", "", LET(bbgm_stat, INDEX(Players!$A180:$P180, MATCH(U$2, Players!$A$1:$P$1, 0)), perc_75, VLOOKUP(U$2, Percentiles!$A$45:$I$59, 6, FALSE), perc_90, VLOOKUP(U$2, Percentiles!$A$45:$I$59, 7, FALSE), perc_95, VLOOKUP(U$2, Percentiles!$A$45:$I$59, 8, FALSE), perc_85, perc_75 + (perc_90 - perc_75) * (2/3), converted_stat, '2K_Ratings'!U181, IF(bbgm_stat &gt;= perc_95, converted_stat * 3, IF(bbgm_stat &gt;= perc_90, converted_stat * 2, IF(bbgm_stat &gt;= perc_85, converted_stat * 1.5, converted_stat)))))</f>
        <v/>
      </c>
      <c r="V181" s="30" t="str">
        <f t="array" ref="V181">IF($A181="", "", LET(bbgm_stat, INDEX(Players!$A180:$P180, MATCH(V$2, Players!$A$1:$P$1, 0)), perc_75, VLOOKUP(V$2, Percentiles!$A$45:$I$59, 6, FALSE), perc_90, VLOOKUP(V$2, Percentiles!$A$45:$I$59, 7, FALSE), perc_95, VLOOKUP(V$2, Percentiles!$A$45:$I$59, 8, FALSE), perc_85, perc_75 + (perc_90 - perc_75) * (2/3), converted_stat, '2K_Ratings'!V181, IF(bbgm_stat &gt;= perc_95, converted_stat * 3, IF(bbgm_stat &gt;= perc_90, converted_stat * 2, IF(bbgm_stat &gt;= perc_85, converted_stat * 1.5, converted_stat)))))</f>
        <v/>
      </c>
      <c r="W181" s="30" t="str">
        <f t="array" ref="W181">IF($A181="", "", LET(bbgm_stat, INDEX(Players!$A180:$P180, MATCH(W$2, Players!$A$1:$P$1, 0)), perc_75, VLOOKUP(W$2, Percentiles!$A$45:$I$59, 6, FALSE), perc_90, VLOOKUP(W$2, Percentiles!$A$45:$I$59, 7, FALSE), perc_95, VLOOKUP(W$2, Percentiles!$A$45:$I$59, 8, FALSE), perc_85, perc_75 + (perc_90 - perc_75) * (2/3), converted_stat, '2K_Ratings'!W181, IF(bbgm_stat &gt;= perc_95, converted_stat * 3, IF(bbgm_stat &gt;= perc_90, converted_stat * 2, IF(bbgm_stat &gt;= perc_85, converted_stat * 1.5, converted_stat)))))</f>
        <v/>
      </c>
    </row>
    <row r="182">
      <c r="A182" s="30"/>
      <c r="B182" s="30" t="str">
        <f t="array" ref="B182">IF($A182="", "", LET(bbgm_stat, INDEX(Players!$A181:$P181, MATCH(B$2, Players!$A$1:$P$1, 0)), perc_75, VLOOKUP(B$2, Percentiles!$A$45:$I$59, 6, FALSE), perc_90, VLOOKUP(B$2, Percentiles!$A$45:$I$59, 7, FALSE), perc_95, VLOOKUP(B$2, Percentiles!$A$45:$I$59, 8, FALSE), perc_85, perc_75 + (perc_90 - perc_75) * (2/3), converted_stat, '2K_Ratings'!B182, IF(bbgm_stat &gt;= perc_95, converted_stat * 3, IF(bbgm_stat &gt;= perc_90, converted_stat * 2, IF(bbgm_stat &gt;= perc_85, converted_stat * 1.5, converted_stat)))))</f>
        <v/>
      </c>
      <c r="C182" s="30" t="str">
        <f t="array" ref="C182">IF($A182="", "", LET(bbgm_stat, INDEX(Players!$A181:$P181, MATCH(C$2, Players!$A$1:$P$1, 0)), perc_75, VLOOKUP(C$2, Percentiles!$A$45:$I$59, 6, FALSE), perc_90, VLOOKUP(C$2, Percentiles!$A$45:$I$59, 7, FALSE), perc_95, VLOOKUP(C$2, Percentiles!$A$45:$I$59, 8, FALSE), perc_85, perc_75 + (perc_90 - perc_75) * (2/3), converted_stat, '2K_Ratings'!C182, IF(bbgm_stat &gt;= perc_95, converted_stat * 3, IF(bbgm_stat &gt;= perc_90, converted_stat * 2, IF(bbgm_stat &gt;= perc_85, converted_stat * 1.5, converted_stat)))))</f>
        <v/>
      </c>
      <c r="D182" s="30" t="str">
        <f t="array" ref="D182">IF($A182="", "", LET(bbgm_stat, INDEX(Players!$A181:$P181, MATCH(D$2, Players!$A$1:$P$1, 0)), perc_75, VLOOKUP(D$2, Percentiles!$A$45:$I$59, 6, FALSE), perc_90, VLOOKUP(D$2, Percentiles!$A$45:$I$59, 7, FALSE), perc_95, VLOOKUP(D$2, Percentiles!$A$45:$I$59, 8, FALSE), perc_85, perc_75 + (perc_90 - perc_75) * (2/3), converted_stat, '2K_Ratings'!D182, IF(bbgm_stat &gt;= perc_95, converted_stat * 3, IF(bbgm_stat &gt;= perc_90, converted_stat * 2, IF(bbgm_stat &gt;= perc_85, converted_stat * 1.5, converted_stat)))))</f>
        <v/>
      </c>
      <c r="E182" s="30" t="str">
        <f t="array" ref="E182">IF($A182="", "", LET(bbgm_stat, INDEX(Players!$A181:$P181, MATCH(E$2, Players!$A$1:$P$1, 0)), perc_75, VLOOKUP(E$2, Percentiles!$A$45:$I$59, 6, FALSE), perc_90, VLOOKUP(E$2, Percentiles!$A$45:$I$59, 7, FALSE), perc_95, VLOOKUP(E$2, Percentiles!$A$45:$I$59, 8, FALSE), perc_85, perc_75 + (perc_90 - perc_75) * (2/3), converted_stat, '2K_Ratings'!E182, IF(bbgm_stat &gt;= perc_95, converted_stat * 3, IF(bbgm_stat &gt;= perc_90, converted_stat * 2, IF(bbgm_stat &gt;= perc_85, converted_stat * 1.5, converted_stat)))))</f>
        <v/>
      </c>
      <c r="F182" s="30" t="str">
        <f t="array" ref="F182">IF($A182="", "", LET(bbgm_stat, INDEX(Players!$A181:$P181, MATCH(F$2, Players!$A$1:$P$1, 0)), perc_75, VLOOKUP(F$2, Percentiles!$A$45:$I$59, 6, FALSE), perc_90, VLOOKUP(F$2, Percentiles!$A$45:$I$59, 7, FALSE), perc_95, VLOOKUP(F$2, Percentiles!$A$45:$I$59, 8, FALSE), perc_85, perc_75 + (perc_90 - perc_75) * (2/3), converted_stat, '2K_Ratings'!F182, IF(bbgm_stat &gt;= perc_95, converted_stat * 3, IF(bbgm_stat &gt;= perc_90, converted_stat * 2, IF(bbgm_stat &gt;= perc_85, converted_stat * 1.5, converted_stat)))))</f>
        <v/>
      </c>
      <c r="G182" s="30" t="str">
        <f t="array" ref="G182">IF($A182="", "", LET(bbgm_stat, INDEX(Players!$A181:$P181, MATCH(G$2, Players!$A$1:$P$1, 0)), perc_75, VLOOKUP(G$2, Percentiles!$A$45:$I$59, 6, FALSE), perc_90, VLOOKUP(G$2, Percentiles!$A$45:$I$59, 7, FALSE), perc_95, VLOOKUP(G$2, Percentiles!$A$45:$I$59, 8, FALSE), perc_85, perc_75 + (perc_90 - perc_75) * (2/3), converted_stat, '2K_Ratings'!G182, IF(bbgm_stat &gt;= perc_95, converted_stat * 3, IF(bbgm_stat &gt;= perc_90, converted_stat * 2, IF(bbgm_stat &gt;= perc_85, converted_stat * 1.5, converted_stat)))))</f>
        <v/>
      </c>
      <c r="H182" s="30" t="str">
        <f t="array" ref="H182">IF($A182="", "", LET(bbgm_stat, INDEX(Players!$A181:$P181, MATCH(H$2, Players!$A$1:$P$1, 0)), perc_75, VLOOKUP(H$2, Percentiles!$A$45:$I$59, 6, FALSE), perc_90, VLOOKUP(H$2, Percentiles!$A$45:$I$59, 7, FALSE), perc_95, VLOOKUP(H$2, Percentiles!$A$45:$I$59, 8, FALSE), perc_85, perc_75 + (perc_90 - perc_75) * (2/3), converted_stat, '2K_Ratings'!H182, IF(bbgm_stat &gt;= perc_95, converted_stat * 3, IF(bbgm_stat &gt;= perc_90, converted_stat * 2, IF(bbgm_stat &gt;= perc_85, converted_stat * 1.5, converted_stat)))))</f>
        <v/>
      </c>
      <c r="I182" s="30" t="str">
        <f t="array" ref="I182">IF($A182="", "", LET(bbgm_stat, INDEX(Players!$A181:$P181, MATCH(I$2, Players!$A$1:$P$1, 0)), perc_75, VLOOKUP(I$2, Percentiles!$A$45:$I$59, 6, FALSE), perc_90, VLOOKUP(I$2, Percentiles!$A$45:$I$59, 7, FALSE), perc_95, VLOOKUP(I$2, Percentiles!$A$45:$I$59, 8, FALSE), perc_85, perc_75 + (perc_90 - perc_75) * (2/3), converted_stat, '2K_Ratings'!I182, IF(bbgm_stat &gt;= perc_95, converted_stat * 3, IF(bbgm_stat &gt;= perc_90, converted_stat * 2, IF(bbgm_stat &gt;= perc_85, converted_stat * 1.5, converted_stat)))))</f>
        <v/>
      </c>
      <c r="J182" s="30" t="str">
        <f t="array" ref="J182">IF($A182="", "", LET(bbgm_stat, INDEX(Players!$A181:$P181, MATCH(J$2, Players!$A$1:$P$1, 0)), perc_75, VLOOKUP(J$2, Percentiles!$A$45:$I$59, 6, FALSE), perc_90, VLOOKUP(J$2, Percentiles!$A$45:$I$59, 7, FALSE), perc_95, VLOOKUP(J$2, Percentiles!$A$45:$I$59, 8, FALSE), perc_85, perc_75 + (perc_90 - perc_75) * (2/3), converted_stat, '2K_Ratings'!J182, IF(bbgm_stat &gt;= perc_95, converted_stat * 3, IF(bbgm_stat &gt;= perc_90, converted_stat * 2, IF(bbgm_stat &gt;= perc_85, converted_stat * 1.5, converted_stat)))))</f>
        <v/>
      </c>
      <c r="K182" s="30" t="str">
        <f t="array" ref="K182">IF($A182="", "", LET(bbgm_stat, INDEX(Players!$A181:$P181, MATCH(K$2, Players!$A$1:$P$1, 0)), perc_75, VLOOKUP(K$2, Percentiles!$A$45:$I$59, 6, FALSE), perc_90, VLOOKUP(K$2, Percentiles!$A$45:$I$59, 7, FALSE), perc_95, VLOOKUP(K$2, Percentiles!$A$45:$I$59, 8, FALSE), perc_85, perc_75 + (perc_90 - perc_75) * (2/3), converted_stat, '2K_Ratings'!K182, IF(bbgm_stat &gt;= perc_95, converted_stat * 3, IF(bbgm_stat &gt;= perc_90, converted_stat * 2, IF(bbgm_stat &gt;= perc_85, converted_stat * 1.5, converted_stat)))))</f>
        <v/>
      </c>
      <c r="L182" s="30" t="str">
        <f t="array" ref="L182">IF($A182="", "", LET(bbgm_stat, INDEX(Players!$A181:$P181, MATCH(L$2, Players!$A$1:$P$1, 0)), perc_75, VLOOKUP(L$2, Percentiles!$A$45:$I$59, 6, FALSE), perc_90, VLOOKUP(L$2, Percentiles!$A$45:$I$59, 7, FALSE), perc_95, VLOOKUP(L$2, Percentiles!$A$45:$I$59, 8, FALSE), perc_85, perc_75 + (perc_90 - perc_75) * (2/3), converted_stat, '2K_Ratings'!L182, IF(bbgm_stat &gt;= perc_95, converted_stat * 3, IF(bbgm_stat &gt;= perc_90, converted_stat * 2, IF(bbgm_stat &gt;= perc_85, converted_stat * 1.5, converted_stat)))))</f>
        <v/>
      </c>
      <c r="M182" s="30" t="str">
        <f t="array" ref="M182">IF($A182="", "", LET(bbgm_stat, INDEX(Players!$A181:$P181, MATCH(M$2, Players!$A$1:$P$1, 0)), perc_75, VLOOKUP(M$2, Percentiles!$A$45:$I$59, 6, FALSE), perc_90, VLOOKUP(M$2, Percentiles!$A$45:$I$59, 7, FALSE), perc_95, VLOOKUP(M$2, Percentiles!$A$45:$I$59, 8, FALSE), perc_85, perc_75 + (perc_90 - perc_75) * (2/3), converted_stat, '2K_Ratings'!M182, IF(bbgm_stat &gt;= perc_95, converted_stat * 3, IF(bbgm_stat &gt;= perc_90, converted_stat * 2, IF(bbgm_stat &gt;= perc_85, converted_stat * 1.5, converted_stat)))))</f>
        <v/>
      </c>
      <c r="N182" s="30" t="str">
        <f t="array" ref="N182">IF($A182="", "", LET(bbgm_stat, INDEX(Players!$A181:$P181, MATCH(N$2, Players!$A$1:$P$1, 0)), perc_75, VLOOKUP(N$2, Percentiles!$A$45:$I$59, 6, FALSE), perc_90, VLOOKUP(N$2, Percentiles!$A$45:$I$59, 7, FALSE), perc_95, VLOOKUP(N$2, Percentiles!$A$45:$I$59, 8, FALSE), perc_85, perc_75 + (perc_90 - perc_75) * (2/3), converted_stat, '2K_Ratings'!N182, IF(bbgm_stat &gt;= perc_95, converted_stat * 3, IF(bbgm_stat &gt;= perc_90, converted_stat * 2, IF(bbgm_stat &gt;= perc_85, converted_stat * 1.5, converted_stat)))))</f>
        <v/>
      </c>
      <c r="O182" s="30" t="str">
        <f t="array" ref="O182">IF($A182="", "", LET(bbgm_stat, INDEX(Players!$A181:$P181, MATCH(O$2, Players!$A$1:$P$1, 0)), perc_75, VLOOKUP(O$2, Percentiles!$A$45:$I$59, 6, FALSE), perc_90, VLOOKUP(O$2, Percentiles!$A$45:$I$59, 7, FALSE), perc_95, VLOOKUP(O$2, Percentiles!$A$45:$I$59, 8, FALSE), perc_85, perc_75 + (perc_90 - perc_75) * (2/3), converted_stat, '2K_Ratings'!O182, IF(bbgm_stat &gt;= perc_95, converted_stat * 3, IF(bbgm_stat &gt;= perc_90, converted_stat * 2, IF(bbgm_stat &gt;= perc_85, converted_stat * 1.5, converted_stat)))))</f>
        <v/>
      </c>
      <c r="P182" s="30" t="str">
        <f t="array" ref="P182">IF($A182="", "", LET(bbgm_stat, INDEX(Players!$A181:$P181, MATCH(P$2, Players!$A$1:$P$1, 0)), perc_75, VLOOKUP(P$2, Percentiles!$A$45:$I$59, 6, FALSE), perc_90, VLOOKUP(P$2, Percentiles!$A$45:$I$59, 7, FALSE), perc_95, VLOOKUP(P$2, Percentiles!$A$45:$I$59, 8, FALSE), perc_85, perc_75 + (perc_90 - perc_75) * (2/3), converted_stat, '2K_Ratings'!P182, IF(bbgm_stat &gt;= perc_95, converted_stat * 3, IF(bbgm_stat &gt;= perc_90, converted_stat * 2, IF(bbgm_stat &gt;= perc_85, converted_stat * 1.5, converted_stat)))))</f>
        <v/>
      </c>
      <c r="Q182" s="30" t="str">
        <f t="array" ref="Q182">IF($A182="", "", LET(bbgm_stat, INDEX(Players!$A181:$P181, MATCH(Q$2, Players!$A$1:$P$1, 0)), perc_75, VLOOKUP(Q$2, Percentiles!$A$45:$I$59, 6, FALSE), perc_90, VLOOKUP(Q$2, Percentiles!$A$45:$I$59, 7, FALSE), perc_95, VLOOKUP(Q$2, Percentiles!$A$45:$I$59, 8, FALSE), perc_85, perc_75 + (perc_90 - perc_75) * (2/3), converted_stat, '2K_Ratings'!Q182, IF(bbgm_stat &gt;= perc_95, converted_stat * 3, IF(bbgm_stat &gt;= perc_90, converted_stat * 2, IF(bbgm_stat &gt;= perc_85, converted_stat * 1.5, converted_stat)))))</f>
        <v/>
      </c>
      <c r="R182" s="30" t="str">
        <f t="array" ref="R182">IF($A182="", "", LET(bbgm_stat, INDEX(Players!$A181:$P181, MATCH(R$2, Players!$A$1:$P$1, 0)), perc_75, VLOOKUP(R$2, Percentiles!$A$45:$I$59, 6, FALSE), perc_90, VLOOKUP(R$2, Percentiles!$A$45:$I$59, 7, FALSE), perc_95, VLOOKUP(R$2, Percentiles!$A$45:$I$59, 8, FALSE), perc_85, perc_75 + (perc_90 - perc_75) * (2/3), converted_stat, '2K_Ratings'!R182, IF(bbgm_stat &gt;= perc_95, converted_stat * 3, IF(bbgm_stat &gt;= perc_90, converted_stat * 2, IF(bbgm_stat &gt;= perc_85, converted_stat * 1.5, converted_stat)))))</f>
        <v/>
      </c>
      <c r="S182" s="30" t="str">
        <f t="array" ref="S182">IF($A182="", "", LET(bbgm_stat, INDEX(Players!$A181:$P181, MATCH(S$2, Players!$A$1:$P$1, 0)), perc_75, VLOOKUP(S$2, Percentiles!$A$45:$I$59, 6, FALSE), perc_90, VLOOKUP(S$2, Percentiles!$A$45:$I$59, 7, FALSE), perc_95, VLOOKUP(S$2, Percentiles!$A$45:$I$59, 8, FALSE), perc_85, perc_75 + (perc_90 - perc_75) * (2/3), converted_stat, '2K_Ratings'!S182, IF(bbgm_stat &gt;= perc_95, converted_stat * 3, IF(bbgm_stat &gt;= perc_90, converted_stat * 2, IF(bbgm_stat &gt;= perc_85, converted_stat * 1.5, converted_stat)))))</f>
        <v/>
      </c>
      <c r="T182" s="30" t="str">
        <f t="array" ref="T182">IF($A182="", "", LET(bbgm_stat, INDEX(Players!$A181:$P181, MATCH(T$2, Players!$A$1:$P$1, 0)), perc_75, VLOOKUP(T$2, Percentiles!$A$45:$I$59, 6, FALSE), perc_90, VLOOKUP(T$2, Percentiles!$A$45:$I$59, 7, FALSE), perc_95, VLOOKUP(T$2, Percentiles!$A$45:$I$59, 8, FALSE), perc_85, perc_75 + (perc_90 - perc_75) * (2/3), converted_stat, '2K_Ratings'!T182, IF(bbgm_stat &gt;= perc_95, converted_stat * 3, IF(bbgm_stat &gt;= perc_90, converted_stat * 2, IF(bbgm_stat &gt;= perc_85, converted_stat * 1.5, converted_stat)))))</f>
        <v/>
      </c>
      <c r="U182" s="30" t="str">
        <f t="array" ref="U182">IF($A182="", "", LET(bbgm_stat, INDEX(Players!$A181:$P181, MATCH(U$2, Players!$A$1:$P$1, 0)), perc_75, VLOOKUP(U$2, Percentiles!$A$45:$I$59, 6, FALSE), perc_90, VLOOKUP(U$2, Percentiles!$A$45:$I$59, 7, FALSE), perc_95, VLOOKUP(U$2, Percentiles!$A$45:$I$59, 8, FALSE), perc_85, perc_75 + (perc_90 - perc_75) * (2/3), converted_stat, '2K_Ratings'!U182, IF(bbgm_stat &gt;= perc_95, converted_stat * 3, IF(bbgm_stat &gt;= perc_90, converted_stat * 2, IF(bbgm_stat &gt;= perc_85, converted_stat * 1.5, converted_stat)))))</f>
        <v/>
      </c>
      <c r="V182" s="30" t="str">
        <f t="array" ref="V182">IF($A182="", "", LET(bbgm_stat, INDEX(Players!$A181:$P181, MATCH(V$2, Players!$A$1:$P$1, 0)), perc_75, VLOOKUP(V$2, Percentiles!$A$45:$I$59, 6, FALSE), perc_90, VLOOKUP(V$2, Percentiles!$A$45:$I$59, 7, FALSE), perc_95, VLOOKUP(V$2, Percentiles!$A$45:$I$59, 8, FALSE), perc_85, perc_75 + (perc_90 - perc_75) * (2/3), converted_stat, '2K_Ratings'!V182, IF(bbgm_stat &gt;= perc_95, converted_stat * 3, IF(bbgm_stat &gt;= perc_90, converted_stat * 2, IF(bbgm_stat &gt;= perc_85, converted_stat * 1.5, converted_stat)))))</f>
        <v/>
      </c>
      <c r="W182" s="30" t="str">
        <f t="array" ref="W182">IF($A182="", "", LET(bbgm_stat, INDEX(Players!$A181:$P181, MATCH(W$2, Players!$A$1:$P$1, 0)), perc_75, VLOOKUP(W$2, Percentiles!$A$45:$I$59, 6, FALSE), perc_90, VLOOKUP(W$2, Percentiles!$A$45:$I$59, 7, FALSE), perc_95, VLOOKUP(W$2, Percentiles!$A$45:$I$59, 8, FALSE), perc_85, perc_75 + (perc_90 - perc_75) * (2/3), converted_stat, '2K_Ratings'!W182, IF(bbgm_stat &gt;= perc_95, converted_stat * 3, IF(bbgm_stat &gt;= perc_90, converted_stat * 2, IF(bbgm_stat &gt;= perc_85, converted_stat * 1.5, converted_stat)))))</f>
        <v/>
      </c>
    </row>
    <row r="183">
      <c r="A183" s="30"/>
      <c r="B183" s="30" t="str">
        <f t="array" ref="B183">IF($A183="", "", LET(bbgm_stat, INDEX(Players!$A182:$P182, MATCH(B$2, Players!$A$1:$P$1, 0)), perc_75, VLOOKUP(B$2, Percentiles!$A$45:$I$59, 6, FALSE), perc_90, VLOOKUP(B$2, Percentiles!$A$45:$I$59, 7, FALSE), perc_95, VLOOKUP(B$2, Percentiles!$A$45:$I$59, 8, FALSE), perc_85, perc_75 + (perc_90 - perc_75) * (2/3), converted_stat, '2K_Ratings'!B183, IF(bbgm_stat &gt;= perc_95, converted_stat * 3, IF(bbgm_stat &gt;= perc_90, converted_stat * 2, IF(bbgm_stat &gt;= perc_85, converted_stat * 1.5, converted_stat)))))</f>
        <v/>
      </c>
      <c r="C183" s="30" t="str">
        <f t="array" ref="C183">IF($A183="", "", LET(bbgm_stat, INDEX(Players!$A182:$P182, MATCH(C$2, Players!$A$1:$P$1, 0)), perc_75, VLOOKUP(C$2, Percentiles!$A$45:$I$59, 6, FALSE), perc_90, VLOOKUP(C$2, Percentiles!$A$45:$I$59, 7, FALSE), perc_95, VLOOKUP(C$2, Percentiles!$A$45:$I$59, 8, FALSE), perc_85, perc_75 + (perc_90 - perc_75) * (2/3), converted_stat, '2K_Ratings'!C183, IF(bbgm_stat &gt;= perc_95, converted_stat * 3, IF(bbgm_stat &gt;= perc_90, converted_stat * 2, IF(bbgm_stat &gt;= perc_85, converted_stat * 1.5, converted_stat)))))</f>
        <v/>
      </c>
      <c r="D183" s="30" t="str">
        <f t="array" ref="D183">IF($A183="", "", LET(bbgm_stat, INDEX(Players!$A182:$P182, MATCH(D$2, Players!$A$1:$P$1, 0)), perc_75, VLOOKUP(D$2, Percentiles!$A$45:$I$59, 6, FALSE), perc_90, VLOOKUP(D$2, Percentiles!$A$45:$I$59, 7, FALSE), perc_95, VLOOKUP(D$2, Percentiles!$A$45:$I$59, 8, FALSE), perc_85, perc_75 + (perc_90 - perc_75) * (2/3), converted_stat, '2K_Ratings'!D183, IF(bbgm_stat &gt;= perc_95, converted_stat * 3, IF(bbgm_stat &gt;= perc_90, converted_stat * 2, IF(bbgm_stat &gt;= perc_85, converted_stat * 1.5, converted_stat)))))</f>
        <v/>
      </c>
      <c r="E183" s="30" t="str">
        <f t="array" ref="E183">IF($A183="", "", LET(bbgm_stat, INDEX(Players!$A182:$P182, MATCH(E$2, Players!$A$1:$P$1, 0)), perc_75, VLOOKUP(E$2, Percentiles!$A$45:$I$59, 6, FALSE), perc_90, VLOOKUP(E$2, Percentiles!$A$45:$I$59, 7, FALSE), perc_95, VLOOKUP(E$2, Percentiles!$A$45:$I$59, 8, FALSE), perc_85, perc_75 + (perc_90 - perc_75) * (2/3), converted_stat, '2K_Ratings'!E183, IF(bbgm_stat &gt;= perc_95, converted_stat * 3, IF(bbgm_stat &gt;= perc_90, converted_stat * 2, IF(bbgm_stat &gt;= perc_85, converted_stat * 1.5, converted_stat)))))</f>
        <v/>
      </c>
      <c r="F183" s="30" t="str">
        <f t="array" ref="F183">IF($A183="", "", LET(bbgm_stat, INDEX(Players!$A182:$P182, MATCH(F$2, Players!$A$1:$P$1, 0)), perc_75, VLOOKUP(F$2, Percentiles!$A$45:$I$59, 6, FALSE), perc_90, VLOOKUP(F$2, Percentiles!$A$45:$I$59, 7, FALSE), perc_95, VLOOKUP(F$2, Percentiles!$A$45:$I$59, 8, FALSE), perc_85, perc_75 + (perc_90 - perc_75) * (2/3), converted_stat, '2K_Ratings'!F183, IF(bbgm_stat &gt;= perc_95, converted_stat * 3, IF(bbgm_stat &gt;= perc_90, converted_stat * 2, IF(bbgm_stat &gt;= perc_85, converted_stat * 1.5, converted_stat)))))</f>
        <v/>
      </c>
      <c r="G183" s="30" t="str">
        <f t="array" ref="G183">IF($A183="", "", LET(bbgm_stat, INDEX(Players!$A182:$P182, MATCH(G$2, Players!$A$1:$P$1, 0)), perc_75, VLOOKUP(G$2, Percentiles!$A$45:$I$59, 6, FALSE), perc_90, VLOOKUP(G$2, Percentiles!$A$45:$I$59, 7, FALSE), perc_95, VLOOKUP(G$2, Percentiles!$A$45:$I$59, 8, FALSE), perc_85, perc_75 + (perc_90 - perc_75) * (2/3), converted_stat, '2K_Ratings'!G183, IF(bbgm_stat &gt;= perc_95, converted_stat * 3, IF(bbgm_stat &gt;= perc_90, converted_stat * 2, IF(bbgm_stat &gt;= perc_85, converted_stat * 1.5, converted_stat)))))</f>
        <v/>
      </c>
      <c r="H183" s="30" t="str">
        <f t="array" ref="H183">IF($A183="", "", LET(bbgm_stat, INDEX(Players!$A182:$P182, MATCH(H$2, Players!$A$1:$P$1, 0)), perc_75, VLOOKUP(H$2, Percentiles!$A$45:$I$59, 6, FALSE), perc_90, VLOOKUP(H$2, Percentiles!$A$45:$I$59, 7, FALSE), perc_95, VLOOKUP(H$2, Percentiles!$A$45:$I$59, 8, FALSE), perc_85, perc_75 + (perc_90 - perc_75) * (2/3), converted_stat, '2K_Ratings'!H183, IF(bbgm_stat &gt;= perc_95, converted_stat * 3, IF(bbgm_stat &gt;= perc_90, converted_stat * 2, IF(bbgm_stat &gt;= perc_85, converted_stat * 1.5, converted_stat)))))</f>
        <v/>
      </c>
      <c r="I183" s="30" t="str">
        <f t="array" ref="I183">IF($A183="", "", LET(bbgm_stat, INDEX(Players!$A182:$P182, MATCH(I$2, Players!$A$1:$P$1, 0)), perc_75, VLOOKUP(I$2, Percentiles!$A$45:$I$59, 6, FALSE), perc_90, VLOOKUP(I$2, Percentiles!$A$45:$I$59, 7, FALSE), perc_95, VLOOKUP(I$2, Percentiles!$A$45:$I$59, 8, FALSE), perc_85, perc_75 + (perc_90 - perc_75) * (2/3), converted_stat, '2K_Ratings'!I183, IF(bbgm_stat &gt;= perc_95, converted_stat * 3, IF(bbgm_stat &gt;= perc_90, converted_stat * 2, IF(bbgm_stat &gt;= perc_85, converted_stat * 1.5, converted_stat)))))</f>
        <v/>
      </c>
      <c r="J183" s="30" t="str">
        <f t="array" ref="J183">IF($A183="", "", LET(bbgm_stat, INDEX(Players!$A182:$P182, MATCH(J$2, Players!$A$1:$P$1, 0)), perc_75, VLOOKUP(J$2, Percentiles!$A$45:$I$59, 6, FALSE), perc_90, VLOOKUP(J$2, Percentiles!$A$45:$I$59, 7, FALSE), perc_95, VLOOKUP(J$2, Percentiles!$A$45:$I$59, 8, FALSE), perc_85, perc_75 + (perc_90 - perc_75) * (2/3), converted_stat, '2K_Ratings'!J183, IF(bbgm_stat &gt;= perc_95, converted_stat * 3, IF(bbgm_stat &gt;= perc_90, converted_stat * 2, IF(bbgm_stat &gt;= perc_85, converted_stat * 1.5, converted_stat)))))</f>
        <v/>
      </c>
      <c r="K183" s="30" t="str">
        <f t="array" ref="K183">IF($A183="", "", LET(bbgm_stat, INDEX(Players!$A182:$P182, MATCH(K$2, Players!$A$1:$P$1, 0)), perc_75, VLOOKUP(K$2, Percentiles!$A$45:$I$59, 6, FALSE), perc_90, VLOOKUP(K$2, Percentiles!$A$45:$I$59, 7, FALSE), perc_95, VLOOKUP(K$2, Percentiles!$A$45:$I$59, 8, FALSE), perc_85, perc_75 + (perc_90 - perc_75) * (2/3), converted_stat, '2K_Ratings'!K183, IF(bbgm_stat &gt;= perc_95, converted_stat * 3, IF(bbgm_stat &gt;= perc_90, converted_stat * 2, IF(bbgm_stat &gt;= perc_85, converted_stat * 1.5, converted_stat)))))</f>
        <v/>
      </c>
      <c r="L183" s="30" t="str">
        <f t="array" ref="L183">IF($A183="", "", LET(bbgm_stat, INDEX(Players!$A182:$P182, MATCH(L$2, Players!$A$1:$P$1, 0)), perc_75, VLOOKUP(L$2, Percentiles!$A$45:$I$59, 6, FALSE), perc_90, VLOOKUP(L$2, Percentiles!$A$45:$I$59, 7, FALSE), perc_95, VLOOKUP(L$2, Percentiles!$A$45:$I$59, 8, FALSE), perc_85, perc_75 + (perc_90 - perc_75) * (2/3), converted_stat, '2K_Ratings'!L183, IF(bbgm_stat &gt;= perc_95, converted_stat * 3, IF(bbgm_stat &gt;= perc_90, converted_stat * 2, IF(bbgm_stat &gt;= perc_85, converted_stat * 1.5, converted_stat)))))</f>
        <v/>
      </c>
      <c r="M183" s="30" t="str">
        <f t="array" ref="M183">IF($A183="", "", LET(bbgm_stat, INDEX(Players!$A182:$P182, MATCH(M$2, Players!$A$1:$P$1, 0)), perc_75, VLOOKUP(M$2, Percentiles!$A$45:$I$59, 6, FALSE), perc_90, VLOOKUP(M$2, Percentiles!$A$45:$I$59, 7, FALSE), perc_95, VLOOKUP(M$2, Percentiles!$A$45:$I$59, 8, FALSE), perc_85, perc_75 + (perc_90 - perc_75) * (2/3), converted_stat, '2K_Ratings'!M183, IF(bbgm_stat &gt;= perc_95, converted_stat * 3, IF(bbgm_stat &gt;= perc_90, converted_stat * 2, IF(bbgm_stat &gt;= perc_85, converted_stat * 1.5, converted_stat)))))</f>
        <v/>
      </c>
      <c r="N183" s="30" t="str">
        <f t="array" ref="N183">IF($A183="", "", LET(bbgm_stat, INDEX(Players!$A182:$P182, MATCH(N$2, Players!$A$1:$P$1, 0)), perc_75, VLOOKUP(N$2, Percentiles!$A$45:$I$59, 6, FALSE), perc_90, VLOOKUP(N$2, Percentiles!$A$45:$I$59, 7, FALSE), perc_95, VLOOKUP(N$2, Percentiles!$A$45:$I$59, 8, FALSE), perc_85, perc_75 + (perc_90 - perc_75) * (2/3), converted_stat, '2K_Ratings'!N183, IF(bbgm_stat &gt;= perc_95, converted_stat * 3, IF(bbgm_stat &gt;= perc_90, converted_stat * 2, IF(bbgm_stat &gt;= perc_85, converted_stat * 1.5, converted_stat)))))</f>
        <v/>
      </c>
      <c r="O183" s="30" t="str">
        <f t="array" ref="O183">IF($A183="", "", LET(bbgm_stat, INDEX(Players!$A182:$P182, MATCH(O$2, Players!$A$1:$P$1, 0)), perc_75, VLOOKUP(O$2, Percentiles!$A$45:$I$59, 6, FALSE), perc_90, VLOOKUP(O$2, Percentiles!$A$45:$I$59, 7, FALSE), perc_95, VLOOKUP(O$2, Percentiles!$A$45:$I$59, 8, FALSE), perc_85, perc_75 + (perc_90 - perc_75) * (2/3), converted_stat, '2K_Ratings'!O183, IF(bbgm_stat &gt;= perc_95, converted_stat * 3, IF(bbgm_stat &gt;= perc_90, converted_stat * 2, IF(bbgm_stat &gt;= perc_85, converted_stat * 1.5, converted_stat)))))</f>
        <v/>
      </c>
      <c r="P183" s="30" t="str">
        <f t="array" ref="P183">IF($A183="", "", LET(bbgm_stat, INDEX(Players!$A182:$P182, MATCH(P$2, Players!$A$1:$P$1, 0)), perc_75, VLOOKUP(P$2, Percentiles!$A$45:$I$59, 6, FALSE), perc_90, VLOOKUP(P$2, Percentiles!$A$45:$I$59, 7, FALSE), perc_95, VLOOKUP(P$2, Percentiles!$A$45:$I$59, 8, FALSE), perc_85, perc_75 + (perc_90 - perc_75) * (2/3), converted_stat, '2K_Ratings'!P183, IF(bbgm_stat &gt;= perc_95, converted_stat * 3, IF(bbgm_stat &gt;= perc_90, converted_stat * 2, IF(bbgm_stat &gt;= perc_85, converted_stat * 1.5, converted_stat)))))</f>
        <v/>
      </c>
      <c r="Q183" s="30" t="str">
        <f t="array" ref="Q183">IF($A183="", "", LET(bbgm_stat, INDEX(Players!$A182:$P182, MATCH(Q$2, Players!$A$1:$P$1, 0)), perc_75, VLOOKUP(Q$2, Percentiles!$A$45:$I$59, 6, FALSE), perc_90, VLOOKUP(Q$2, Percentiles!$A$45:$I$59, 7, FALSE), perc_95, VLOOKUP(Q$2, Percentiles!$A$45:$I$59, 8, FALSE), perc_85, perc_75 + (perc_90 - perc_75) * (2/3), converted_stat, '2K_Ratings'!Q183, IF(bbgm_stat &gt;= perc_95, converted_stat * 3, IF(bbgm_stat &gt;= perc_90, converted_stat * 2, IF(bbgm_stat &gt;= perc_85, converted_stat * 1.5, converted_stat)))))</f>
        <v/>
      </c>
      <c r="R183" s="30" t="str">
        <f t="array" ref="R183">IF($A183="", "", LET(bbgm_stat, INDEX(Players!$A182:$P182, MATCH(R$2, Players!$A$1:$P$1, 0)), perc_75, VLOOKUP(R$2, Percentiles!$A$45:$I$59, 6, FALSE), perc_90, VLOOKUP(R$2, Percentiles!$A$45:$I$59, 7, FALSE), perc_95, VLOOKUP(R$2, Percentiles!$A$45:$I$59, 8, FALSE), perc_85, perc_75 + (perc_90 - perc_75) * (2/3), converted_stat, '2K_Ratings'!R183, IF(bbgm_stat &gt;= perc_95, converted_stat * 3, IF(bbgm_stat &gt;= perc_90, converted_stat * 2, IF(bbgm_stat &gt;= perc_85, converted_stat * 1.5, converted_stat)))))</f>
        <v/>
      </c>
      <c r="S183" s="30" t="str">
        <f t="array" ref="S183">IF($A183="", "", LET(bbgm_stat, INDEX(Players!$A182:$P182, MATCH(S$2, Players!$A$1:$P$1, 0)), perc_75, VLOOKUP(S$2, Percentiles!$A$45:$I$59, 6, FALSE), perc_90, VLOOKUP(S$2, Percentiles!$A$45:$I$59, 7, FALSE), perc_95, VLOOKUP(S$2, Percentiles!$A$45:$I$59, 8, FALSE), perc_85, perc_75 + (perc_90 - perc_75) * (2/3), converted_stat, '2K_Ratings'!S183, IF(bbgm_stat &gt;= perc_95, converted_stat * 3, IF(bbgm_stat &gt;= perc_90, converted_stat * 2, IF(bbgm_stat &gt;= perc_85, converted_stat * 1.5, converted_stat)))))</f>
        <v/>
      </c>
      <c r="T183" s="30" t="str">
        <f t="array" ref="T183">IF($A183="", "", LET(bbgm_stat, INDEX(Players!$A182:$P182, MATCH(T$2, Players!$A$1:$P$1, 0)), perc_75, VLOOKUP(T$2, Percentiles!$A$45:$I$59, 6, FALSE), perc_90, VLOOKUP(T$2, Percentiles!$A$45:$I$59, 7, FALSE), perc_95, VLOOKUP(T$2, Percentiles!$A$45:$I$59, 8, FALSE), perc_85, perc_75 + (perc_90 - perc_75) * (2/3), converted_stat, '2K_Ratings'!T183, IF(bbgm_stat &gt;= perc_95, converted_stat * 3, IF(bbgm_stat &gt;= perc_90, converted_stat * 2, IF(bbgm_stat &gt;= perc_85, converted_stat * 1.5, converted_stat)))))</f>
        <v/>
      </c>
      <c r="U183" s="30" t="str">
        <f t="array" ref="U183">IF($A183="", "", LET(bbgm_stat, INDEX(Players!$A182:$P182, MATCH(U$2, Players!$A$1:$P$1, 0)), perc_75, VLOOKUP(U$2, Percentiles!$A$45:$I$59, 6, FALSE), perc_90, VLOOKUP(U$2, Percentiles!$A$45:$I$59, 7, FALSE), perc_95, VLOOKUP(U$2, Percentiles!$A$45:$I$59, 8, FALSE), perc_85, perc_75 + (perc_90 - perc_75) * (2/3), converted_stat, '2K_Ratings'!U183, IF(bbgm_stat &gt;= perc_95, converted_stat * 3, IF(bbgm_stat &gt;= perc_90, converted_stat * 2, IF(bbgm_stat &gt;= perc_85, converted_stat * 1.5, converted_stat)))))</f>
        <v/>
      </c>
      <c r="V183" s="30" t="str">
        <f t="array" ref="V183">IF($A183="", "", LET(bbgm_stat, INDEX(Players!$A182:$P182, MATCH(V$2, Players!$A$1:$P$1, 0)), perc_75, VLOOKUP(V$2, Percentiles!$A$45:$I$59, 6, FALSE), perc_90, VLOOKUP(V$2, Percentiles!$A$45:$I$59, 7, FALSE), perc_95, VLOOKUP(V$2, Percentiles!$A$45:$I$59, 8, FALSE), perc_85, perc_75 + (perc_90 - perc_75) * (2/3), converted_stat, '2K_Ratings'!V183, IF(bbgm_stat &gt;= perc_95, converted_stat * 3, IF(bbgm_stat &gt;= perc_90, converted_stat * 2, IF(bbgm_stat &gt;= perc_85, converted_stat * 1.5, converted_stat)))))</f>
        <v/>
      </c>
      <c r="W183" s="30" t="str">
        <f t="array" ref="W183">IF($A183="", "", LET(bbgm_stat, INDEX(Players!$A182:$P182, MATCH(W$2, Players!$A$1:$P$1, 0)), perc_75, VLOOKUP(W$2, Percentiles!$A$45:$I$59, 6, FALSE), perc_90, VLOOKUP(W$2, Percentiles!$A$45:$I$59, 7, FALSE), perc_95, VLOOKUP(W$2, Percentiles!$A$45:$I$59, 8, FALSE), perc_85, perc_75 + (perc_90 - perc_75) * (2/3), converted_stat, '2K_Ratings'!W183, IF(bbgm_stat &gt;= perc_95, converted_stat * 3, IF(bbgm_stat &gt;= perc_90, converted_stat * 2, IF(bbgm_stat &gt;= perc_85, converted_stat * 1.5, converted_stat)))))</f>
        <v/>
      </c>
    </row>
    <row r="184">
      <c r="A184" s="30"/>
      <c r="B184" s="30" t="str">
        <f t="array" ref="B184">IF($A184="", "", LET(bbgm_stat, INDEX(Players!$A183:$P183, MATCH(B$2, Players!$A$1:$P$1, 0)), perc_75, VLOOKUP(B$2, Percentiles!$A$45:$I$59, 6, FALSE), perc_90, VLOOKUP(B$2, Percentiles!$A$45:$I$59, 7, FALSE), perc_95, VLOOKUP(B$2, Percentiles!$A$45:$I$59, 8, FALSE), perc_85, perc_75 + (perc_90 - perc_75) * (2/3), converted_stat, '2K_Ratings'!B184, IF(bbgm_stat &gt;= perc_95, converted_stat * 3, IF(bbgm_stat &gt;= perc_90, converted_stat * 2, IF(bbgm_stat &gt;= perc_85, converted_stat * 1.5, converted_stat)))))</f>
        <v/>
      </c>
      <c r="C184" s="30" t="str">
        <f t="array" ref="C184">IF($A184="", "", LET(bbgm_stat, INDEX(Players!$A183:$P183, MATCH(C$2, Players!$A$1:$P$1, 0)), perc_75, VLOOKUP(C$2, Percentiles!$A$45:$I$59, 6, FALSE), perc_90, VLOOKUP(C$2, Percentiles!$A$45:$I$59, 7, FALSE), perc_95, VLOOKUP(C$2, Percentiles!$A$45:$I$59, 8, FALSE), perc_85, perc_75 + (perc_90 - perc_75) * (2/3), converted_stat, '2K_Ratings'!C184, IF(bbgm_stat &gt;= perc_95, converted_stat * 3, IF(bbgm_stat &gt;= perc_90, converted_stat * 2, IF(bbgm_stat &gt;= perc_85, converted_stat * 1.5, converted_stat)))))</f>
        <v/>
      </c>
      <c r="D184" s="30" t="str">
        <f t="array" ref="D184">IF($A184="", "", LET(bbgm_stat, INDEX(Players!$A183:$P183, MATCH(D$2, Players!$A$1:$P$1, 0)), perc_75, VLOOKUP(D$2, Percentiles!$A$45:$I$59, 6, FALSE), perc_90, VLOOKUP(D$2, Percentiles!$A$45:$I$59, 7, FALSE), perc_95, VLOOKUP(D$2, Percentiles!$A$45:$I$59, 8, FALSE), perc_85, perc_75 + (perc_90 - perc_75) * (2/3), converted_stat, '2K_Ratings'!D184, IF(bbgm_stat &gt;= perc_95, converted_stat * 3, IF(bbgm_stat &gt;= perc_90, converted_stat * 2, IF(bbgm_stat &gt;= perc_85, converted_stat * 1.5, converted_stat)))))</f>
        <v/>
      </c>
      <c r="E184" s="30" t="str">
        <f t="array" ref="E184">IF($A184="", "", LET(bbgm_stat, INDEX(Players!$A183:$P183, MATCH(E$2, Players!$A$1:$P$1, 0)), perc_75, VLOOKUP(E$2, Percentiles!$A$45:$I$59, 6, FALSE), perc_90, VLOOKUP(E$2, Percentiles!$A$45:$I$59, 7, FALSE), perc_95, VLOOKUP(E$2, Percentiles!$A$45:$I$59, 8, FALSE), perc_85, perc_75 + (perc_90 - perc_75) * (2/3), converted_stat, '2K_Ratings'!E184, IF(bbgm_stat &gt;= perc_95, converted_stat * 3, IF(bbgm_stat &gt;= perc_90, converted_stat * 2, IF(bbgm_stat &gt;= perc_85, converted_stat * 1.5, converted_stat)))))</f>
        <v/>
      </c>
      <c r="F184" s="30" t="str">
        <f t="array" ref="F184">IF($A184="", "", LET(bbgm_stat, INDEX(Players!$A183:$P183, MATCH(F$2, Players!$A$1:$P$1, 0)), perc_75, VLOOKUP(F$2, Percentiles!$A$45:$I$59, 6, FALSE), perc_90, VLOOKUP(F$2, Percentiles!$A$45:$I$59, 7, FALSE), perc_95, VLOOKUP(F$2, Percentiles!$A$45:$I$59, 8, FALSE), perc_85, perc_75 + (perc_90 - perc_75) * (2/3), converted_stat, '2K_Ratings'!F184, IF(bbgm_stat &gt;= perc_95, converted_stat * 3, IF(bbgm_stat &gt;= perc_90, converted_stat * 2, IF(bbgm_stat &gt;= perc_85, converted_stat * 1.5, converted_stat)))))</f>
        <v/>
      </c>
      <c r="G184" s="30" t="str">
        <f t="array" ref="G184">IF($A184="", "", LET(bbgm_stat, INDEX(Players!$A183:$P183, MATCH(G$2, Players!$A$1:$P$1, 0)), perc_75, VLOOKUP(G$2, Percentiles!$A$45:$I$59, 6, FALSE), perc_90, VLOOKUP(G$2, Percentiles!$A$45:$I$59, 7, FALSE), perc_95, VLOOKUP(G$2, Percentiles!$A$45:$I$59, 8, FALSE), perc_85, perc_75 + (perc_90 - perc_75) * (2/3), converted_stat, '2K_Ratings'!G184, IF(bbgm_stat &gt;= perc_95, converted_stat * 3, IF(bbgm_stat &gt;= perc_90, converted_stat * 2, IF(bbgm_stat &gt;= perc_85, converted_stat * 1.5, converted_stat)))))</f>
        <v/>
      </c>
      <c r="H184" s="30" t="str">
        <f t="array" ref="H184">IF($A184="", "", LET(bbgm_stat, INDEX(Players!$A183:$P183, MATCH(H$2, Players!$A$1:$P$1, 0)), perc_75, VLOOKUP(H$2, Percentiles!$A$45:$I$59, 6, FALSE), perc_90, VLOOKUP(H$2, Percentiles!$A$45:$I$59, 7, FALSE), perc_95, VLOOKUP(H$2, Percentiles!$A$45:$I$59, 8, FALSE), perc_85, perc_75 + (perc_90 - perc_75) * (2/3), converted_stat, '2K_Ratings'!H184, IF(bbgm_stat &gt;= perc_95, converted_stat * 3, IF(bbgm_stat &gt;= perc_90, converted_stat * 2, IF(bbgm_stat &gt;= perc_85, converted_stat * 1.5, converted_stat)))))</f>
        <v/>
      </c>
      <c r="I184" s="30" t="str">
        <f t="array" ref="I184">IF($A184="", "", LET(bbgm_stat, INDEX(Players!$A183:$P183, MATCH(I$2, Players!$A$1:$P$1, 0)), perc_75, VLOOKUP(I$2, Percentiles!$A$45:$I$59, 6, FALSE), perc_90, VLOOKUP(I$2, Percentiles!$A$45:$I$59, 7, FALSE), perc_95, VLOOKUP(I$2, Percentiles!$A$45:$I$59, 8, FALSE), perc_85, perc_75 + (perc_90 - perc_75) * (2/3), converted_stat, '2K_Ratings'!I184, IF(bbgm_stat &gt;= perc_95, converted_stat * 3, IF(bbgm_stat &gt;= perc_90, converted_stat * 2, IF(bbgm_stat &gt;= perc_85, converted_stat * 1.5, converted_stat)))))</f>
        <v/>
      </c>
      <c r="J184" s="30" t="str">
        <f t="array" ref="J184">IF($A184="", "", LET(bbgm_stat, INDEX(Players!$A183:$P183, MATCH(J$2, Players!$A$1:$P$1, 0)), perc_75, VLOOKUP(J$2, Percentiles!$A$45:$I$59, 6, FALSE), perc_90, VLOOKUP(J$2, Percentiles!$A$45:$I$59, 7, FALSE), perc_95, VLOOKUP(J$2, Percentiles!$A$45:$I$59, 8, FALSE), perc_85, perc_75 + (perc_90 - perc_75) * (2/3), converted_stat, '2K_Ratings'!J184, IF(bbgm_stat &gt;= perc_95, converted_stat * 3, IF(bbgm_stat &gt;= perc_90, converted_stat * 2, IF(bbgm_stat &gt;= perc_85, converted_stat * 1.5, converted_stat)))))</f>
        <v/>
      </c>
      <c r="K184" s="30" t="str">
        <f t="array" ref="K184">IF($A184="", "", LET(bbgm_stat, INDEX(Players!$A183:$P183, MATCH(K$2, Players!$A$1:$P$1, 0)), perc_75, VLOOKUP(K$2, Percentiles!$A$45:$I$59, 6, FALSE), perc_90, VLOOKUP(K$2, Percentiles!$A$45:$I$59, 7, FALSE), perc_95, VLOOKUP(K$2, Percentiles!$A$45:$I$59, 8, FALSE), perc_85, perc_75 + (perc_90 - perc_75) * (2/3), converted_stat, '2K_Ratings'!K184, IF(bbgm_stat &gt;= perc_95, converted_stat * 3, IF(bbgm_stat &gt;= perc_90, converted_stat * 2, IF(bbgm_stat &gt;= perc_85, converted_stat * 1.5, converted_stat)))))</f>
        <v/>
      </c>
      <c r="L184" s="30" t="str">
        <f t="array" ref="L184">IF($A184="", "", LET(bbgm_stat, INDEX(Players!$A183:$P183, MATCH(L$2, Players!$A$1:$P$1, 0)), perc_75, VLOOKUP(L$2, Percentiles!$A$45:$I$59, 6, FALSE), perc_90, VLOOKUP(L$2, Percentiles!$A$45:$I$59, 7, FALSE), perc_95, VLOOKUP(L$2, Percentiles!$A$45:$I$59, 8, FALSE), perc_85, perc_75 + (perc_90 - perc_75) * (2/3), converted_stat, '2K_Ratings'!L184, IF(bbgm_stat &gt;= perc_95, converted_stat * 3, IF(bbgm_stat &gt;= perc_90, converted_stat * 2, IF(bbgm_stat &gt;= perc_85, converted_stat * 1.5, converted_stat)))))</f>
        <v/>
      </c>
      <c r="M184" s="30" t="str">
        <f t="array" ref="M184">IF($A184="", "", LET(bbgm_stat, INDEX(Players!$A183:$P183, MATCH(M$2, Players!$A$1:$P$1, 0)), perc_75, VLOOKUP(M$2, Percentiles!$A$45:$I$59, 6, FALSE), perc_90, VLOOKUP(M$2, Percentiles!$A$45:$I$59, 7, FALSE), perc_95, VLOOKUP(M$2, Percentiles!$A$45:$I$59, 8, FALSE), perc_85, perc_75 + (perc_90 - perc_75) * (2/3), converted_stat, '2K_Ratings'!M184, IF(bbgm_stat &gt;= perc_95, converted_stat * 3, IF(bbgm_stat &gt;= perc_90, converted_stat * 2, IF(bbgm_stat &gt;= perc_85, converted_stat * 1.5, converted_stat)))))</f>
        <v/>
      </c>
      <c r="N184" s="30" t="str">
        <f t="array" ref="N184">IF($A184="", "", LET(bbgm_stat, INDEX(Players!$A183:$P183, MATCH(N$2, Players!$A$1:$P$1, 0)), perc_75, VLOOKUP(N$2, Percentiles!$A$45:$I$59, 6, FALSE), perc_90, VLOOKUP(N$2, Percentiles!$A$45:$I$59, 7, FALSE), perc_95, VLOOKUP(N$2, Percentiles!$A$45:$I$59, 8, FALSE), perc_85, perc_75 + (perc_90 - perc_75) * (2/3), converted_stat, '2K_Ratings'!N184, IF(bbgm_stat &gt;= perc_95, converted_stat * 3, IF(bbgm_stat &gt;= perc_90, converted_stat * 2, IF(bbgm_stat &gt;= perc_85, converted_stat * 1.5, converted_stat)))))</f>
        <v/>
      </c>
      <c r="O184" s="30" t="str">
        <f t="array" ref="O184">IF($A184="", "", LET(bbgm_stat, INDEX(Players!$A183:$P183, MATCH(O$2, Players!$A$1:$P$1, 0)), perc_75, VLOOKUP(O$2, Percentiles!$A$45:$I$59, 6, FALSE), perc_90, VLOOKUP(O$2, Percentiles!$A$45:$I$59, 7, FALSE), perc_95, VLOOKUP(O$2, Percentiles!$A$45:$I$59, 8, FALSE), perc_85, perc_75 + (perc_90 - perc_75) * (2/3), converted_stat, '2K_Ratings'!O184, IF(bbgm_stat &gt;= perc_95, converted_stat * 3, IF(bbgm_stat &gt;= perc_90, converted_stat * 2, IF(bbgm_stat &gt;= perc_85, converted_stat * 1.5, converted_stat)))))</f>
        <v/>
      </c>
      <c r="P184" s="30" t="str">
        <f t="array" ref="P184">IF($A184="", "", LET(bbgm_stat, INDEX(Players!$A183:$P183, MATCH(P$2, Players!$A$1:$P$1, 0)), perc_75, VLOOKUP(P$2, Percentiles!$A$45:$I$59, 6, FALSE), perc_90, VLOOKUP(P$2, Percentiles!$A$45:$I$59, 7, FALSE), perc_95, VLOOKUP(P$2, Percentiles!$A$45:$I$59, 8, FALSE), perc_85, perc_75 + (perc_90 - perc_75) * (2/3), converted_stat, '2K_Ratings'!P184, IF(bbgm_stat &gt;= perc_95, converted_stat * 3, IF(bbgm_stat &gt;= perc_90, converted_stat * 2, IF(bbgm_stat &gt;= perc_85, converted_stat * 1.5, converted_stat)))))</f>
        <v/>
      </c>
      <c r="Q184" s="30" t="str">
        <f t="array" ref="Q184">IF($A184="", "", LET(bbgm_stat, INDEX(Players!$A183:$P183, MATCH(Q$2, Players!$A$1:$P$1, 0)), perc_75, VLOOKUP(Q$2, Percentiles!$A$45:$I$59, 6, FALSE), perc_90, VLOOKUP(Q$2, Percentiles!$A$45:$I$59, 7, FALSE), perc_95, VLOOKUP(Q$2, Percentiles!$A$45:$I$59, 8, FALSE), perc_85, perc_75 + (perc_90 - perc_75) * (2/3), converted_stat, '2K_Ratings'!Q184, IF(bbgm_stat &gt;= perc_95, converted_stat * 3, IF(bbgm_stat &gt;= perc_90, converted_stat * 2, IF(bbgm_stat &gt;= perc_85, converted_stat * 1.5, converted_stat)))))</f>
        <v/>
      </c>
      <c r="R184" s="30" t="str">
        <f t="array" ref="R184">IF($A184="", "", LET(bbgm_stat, INDEX(Players!$A183:$P183, MATCH(R$2, Players!$A$1:$P$1, 0)), perc_75, VLOOKUP(R$2, Percentiles!$A$45:$I$59, 6, FALSE), perc_90, VLOOKUP(R$2, Percentiles!$A$45:$I$59, 7, FALSE), perc_95, VLOOKUP(R$2, Percentiles!$A$45:$I$59, 8, FALSE), perc_85, perc_75 + (perc_90 - perc_75) * (2/3), converted_stat, '2K_Ratings'!R184, IF(bbgm_stat &gt;= perc_95, converted_stat * 3, IF(bbgm_stat &gt;= perc_90, converted_stat * 2, IF(bbgm_stat &gt;= perc_85, converted_stat * 1.5, converted_stat)))))</f>
        <v/>
      </c>
      <c r="S184" s="30" t="str">
        <f t="array" ref="S184">IF($A184="", "", LET(bbgm_stat, INDEX(Players!$A183:$P183, MATCH(S$2, Players!$A$1:$P$1, 0)), perc_75, VLOOKUP(S$2, Percentiles!$A$45:$I$59, 6, FALSE), perc_90, VLOOKUP(S$2, Percentiles!$A$45:$I$59, 7, FALSE), perc_95, VLOOKUP(S$2, Percentiles!$A$45:$I$59, 8, FALSE), perc_85, perc_75 + (perc_90 - perc_75) * (2/3), converted_stat, '2K_Ratings'!S184, IF(bbgm_stat &gt;= perc_95, converted_stat * 3, IF(bbgm_stat &gt;= perc_90, converted_stat * 2, IF(bbgm_stat &gt;= perc_85, converted_stat * 1.5, converted_stat)))))</f>
        <v/>
      </c>
      <c r="T184" s="30" t="str">
        <f t="array" ref="T184">IF($A184="", "", LET(bbgm_stat, INDEX(Players!$A183:$P183, MATCH(T$2, Players!$A$1:$P$1, 0)), perc_75, VLOOKUP(T$2, Percentiles!$A$45:$I$59, 6, FALSE), perc_90, VLOOKUP(T$2, Percentiles!$A$45:$I$59, 7, FALSE), perc_95, VLOOKUP(T$2, Percentiles!$A$45:$I$59, 8, FALSE), perc_85, perc_75 + (perc_90 - perc_75) * (2/3), converted_stat, '2K_Ratings'!T184, IF(bbgm_stat &gt;= perc_95, converted_stat * 3, IF(bbgm_stat &gt;= perc_90, converted_stat * 2, IF(bbgm_stat &gt;= perc_85, converted_stat * 1.5, converted_stat)))))</f>
        <v/>
      </c>
      <c r="U184" s="30" t="str">
        <f t="array" ref="U184">IF($A184="", "", LET(bbgm_stat, INDEX(Players!$A183:$P183, MATCH(U$2, Players!$A$1:$P$1, 0)), perc_75, VLOOKUP(U$2, Percentiles!$A$45:$I$59, 6, FALSE), perc_90, VLOOKUP(U$2, Percentiles!$A$45:$I$59, 7, FALSE), perc_95, VLOOKUP(U$2, Percentiles!$A$45:$I$59, 8, FALSE), perc_85, perc_75 + (perc_90 - perc_75) * (2/3), converted_stat, '2K_Ratings'!U184, IF(bbgm_stat &gt;= perc_95, converted_stat * 3, IF(bbgm_stat &gt;= perc_90, converted_stat * 2, IF(bbgm_stat &gt;= perc_85, converted_stat * 1.5, converted_stat)))))</f>
        <v/>
      </c>
      <c r="V184" s="30" t="str">
        <f t="array" ref="V184">IF($A184="", "", LET(bbgm_stat, INDEX(Players!$A183:$P183, MATCH(V$2, Players!$A$1:$P$1, 0)), perc_75, VLOOKUP(V$2, Percentiles!$A$45:$I$59, 6, FALSE), perc_90, VLOOKUP(V$2, Percentiles!$A$45:$I$59, 7, FALSE), perc_95, VLOOKUP(V$2, Percentiles!$A$45:$I$59, 8, FALSE), perc_85, perc_75 + (perc_90 - perc_75) * (2/3), converted_stat, '2K_Ratings'!V184, IF(bbgm_stat &gt;= perc_95, converted_stat * 3, IF(bbgm_stat &gt;= perc_90, converted_stat * 2, IF(bbgm_stat &gt;= perc_85, converted_stat * 1.5, converted_stat)))))</f>
        <v/>
      </c>
      <c r="W184" s="30" t="str">
        <f t="array" ref="W184">IF($A184="", "", LET(bbgm_stat, INDEX(Players!$A183:$P183, MATCH(W$2, Players!$A$1:$P$1, 0)), perc_75, VLOOKUP(W$2, Percentiles!$A$45:$I$59, 6, FALSE), perc_90, VLOOKUP(W$2, Percentiles!$A$45:$I$59, 7, FALSE), perc_95, VLOOKUP(W$2, Percentiles!$A$45:$I$59, 8, FALSE), perc_85, perc_75 + (perc_90 - perc_75) * (2/3), converted_stat, '2K_Ratings'!W184, IF(bbgm_stat &gt;= perc_95, converted_stat * 3, IF(bbgm_stat &gt;= perc_90, converted_stat * 2, IF(bbgm_stat &gt;= perc_85, converted_stat * 1.5, converted_stat)))))</f>
        <v/>
      </c>
    </row>
    <row r="185">
      <c r="A185" s="30"/>
      <c r="B185" s="30" t="str">
        <f t="array" ref="B185">IF($A185="", "", LET(bbgm_stat, INDEX(Players!$A184:$P184, MATCH(B$2, Players!$A$1:$P$1, 0)), perc_75, VLOOKUP(B$2, Percentiles!$A$45:$I$59, 6, FALSE), perc_90, VLOOKUP(B$2, Percentiles!$A$45:$I$59, 7, FALSE), perc_95, VLOOKUP(B$2, Percentiles!$A$45:$I$59, 8, FALSE), perc_85, perc_75 + (perc_90 - perc_75) * (2/3), converted_stat, '2K_Ratings'!B185, IF(bbgm_stat &gt;= perc_95, converted_stat * 3, IF(bbgm_stat &gt;= perc_90, converted_stat * 2, IF(bbgm_stat &gt;= perc_85, converted_stat * 1.5, converted_stat)))))</f>
        <v/>
      </c>
      <c r="C185" s="30" t="str">
        <f t="array" ref="C185">IF($A185="", "", LET(bbgm_stat, INDEX(Players!$A184:$P184, MATCH(C$2, Players!$A$1:$P$1, 0)), perc_75, VLOOKUP(C$2, Percentiles!$A$45:$I$59, 6, FALSE), perc_90, VLOOKUP(C$2, Percentiles!$A$45:$I$59, 7, FALSE), perc_95, VLOOKUP(C$2, Percentiles!$A$45:$I$59, 8, FALSE), perc_85, perc_75 + (perc_90 - perc_75) * (2/3), converted_stat, '2K_Ratings'!C185, IF(bbgm_stat &gt;= perc_95, converted_stat * 3, IF(bbgm_stat &gt;= perc_90, converted_stat * 2, IF(bbgm_stat &gt;= perc_85, converted_stat * 1.5, converted_stat)))))</f>
        <v/>
      </c>
      <c r="D185" s="30" t="str">
        <f t="array" ref="D185">IF($A185="", "", LET(bbgm_stat, INDEX(Players!$A184:$P184, MATCH(D$2, Players!$A$1:$P$1, 0)), perc_75, VLOOKUP(D$2, Percentiles!$A$45:$I$59, 6, FALSE), perc_90, VLOOKUP(D$2, Percentiles!$A$45:$I$59, 7, FALSE), perc_95, VLOOKUP(D$2, Percentiles!$A$45:$I$59, 8, FALSE), perc_85, perc_75 + (perc_90 - perc_75) * (2/3), converted_stat, '2K_Ratings'!D185, IF(bbgm_stat &gt;= perc_95, converted_stat * 3, IF(bbgm_stat &gt;= perc_90, converted_stat * 2, IF(bbgm_stat &gt;= perc_85, converted_stat * 1.5, converted_stat)))))</f>
        <v/>
      </c>
      <c r="E185" s="30" t="str">
        <f t="array" ref="E185">IF($A185="", "", LET(bbgm_stat, INDEX(Players!$A184:$P184, MATCH(E$2, Players!$A$1:$P$1, 0)), perc_75, VLOOKUP(E$2, Percentiles!$A$45:$I$59, 6, FALSE), perc_90, VLOOKUP(E$2, Percentiles!$A$45:$I$59, 7, FALSE), perc_95, VLOOKUP(E$2, Percentiles!$A$45:$I$59, 8, FALSE), perc_85, perc_75 + (perc_90 - perc_75) * (2/3), converted_stat, '2K_Ratings'!E185, IF(bbgm_stat &gt;= perc_95, converted_stat * 3, IF(bbgm_stat &gt;= perc_90, converted_stat * 2, IF(bbgm_stat &gt;= perc_85, converted_stat * 1.5, converted_stat)))))</f>
        <v/>
      </c>
      <c r="F185" s="30" t="str">
        <f t="array" ref="F185">IF($A185="", "", LET(bbgm_stat, INDEX(Players!$A184:$P184, MATCH(F$2, Players!$A$1:$P$1, 0)), perc_75, VLOOKUP(F$2, Percentiles!$A$45:$I$59, 6, FALSE), perc_90, VLOOKUP(F$2, Percentiles!$A$45:$I$59, 7, FALSE), perc_95, VLOOKUP(F$2, Percentiles!$A$45:$I$59, 8, FALSE), perc_85, perc_75 + (perc_90 - perc_75) * (2/3), converted_stat, '2K_Ratings'!F185, IF(bbgm_stat &gt;= perc_95, converted_stat * 3, IF(bbgm_stat &gt;= perc_90, converted_stat * 2, IF(bbgm_stat &gt;= perc_85, converted_stat * 1.5, converted_stat)))))</f>
        <v/>
      </c>
      <c r="G185" s="30" t="str">
        <f t="array" ref="G185">IF($A185="", "", LET(bbgm_stat, INDEX(Players!$A184:$P184, MATCH(G$2, Players!$A$1:$P$1, 0)), perc_75, VLOOKUP(G$2, Percentiles!$A$45:$I$59, 6, FALSE), perc_90, VLOOKUP(G$2, Percentiles!$A$45:$I$59, 7, FALSE), perc_95, VLOOKUP(G$2, Percentiles!$A$45:$I$59, 8, FALSE), perc_85, perc_75 + (perc_90 - perc_75) * (2/3), converted_stat, '2K_Ratings'!G185, IF(bbgm_stat &gt;= perc_95, converted_stat * 3, IF(bbgm_stat &gt;= perc_90, converted_stat * 2, IF(bbgm_stat &gt;= perc_85, converted_stat * 1.5, converted_stat)))))</f>
        <v/>
      </c>
      <c r="H185" s="30" t="str">
        <f t="array" ref="H185">IF($A185="", "", LET(bbgm_stat, INDEX(Players!$A184:$P184, MATCH(H$2, Players!$A$1:$P$1, 0)), perc_75, VLOOKUP(H$2, Percentiles!$A$45:$I$59, 6, FALSE), perc_90, VLOOKUP(H$2, Percentiles!$A$45:$I$59, 7, FALSE), perc_95, VLOOKUP(H$2, Percentiles!$A$45:$I$59, 8, FALSE), perc_85, perc_75 + (perc_90 - perc_75) * (2/3), converted_stat, '2K_Ratings'!H185, IF(bbgm_stat &gt;= perc_95, converted_stat * 3, IF(bbgm_stat &gt;= perc_90, converted_stat * 2, IF(bbgm_stat &gt;= perc_85, converted_stat * 1.5, converted_stat)))))</f>
        <v/>
      </c>
      <c r="I185" s="30" t="str">
        <f t="array" ref="I185">IF($A185="", "", LET(bbgm_stat, INDEX(Players!$A184:$P184, MATCH(I$2, Players!$A$1:$P$1, 0)), perc_75, VLOOKUP(I$2, Percentiles!$A$45:$I$59, 6, FALSE), perc_90, VLOOKUP(I$2, Percentiles!$A$45:$I$59, 7, FALSE), perc_95, VLOOKUP(I$2, Percentiles!$A$45:$I$59, 8, FALSE), perc_85, perc_75 + (perc_90 - perc_75) * (2/3), converted_stat, '2K_Ratings'!I185, IF(bbgm_stat &gt;= perc_95, converted_stat * 3, IF(bbgm_stat &gt;= perc_90, converted_stat * 2, IF(bbgm_stat &gt;= perc_85, converted_stat * 1.5, converted_stat)))))</f>
        <v/>
      </c>
      <c r="J185" s="30" t="str">
        <f t="array" ref="J185">IF($A185="", "", LET(bbgm_stat, INDEX(Players!$A184:$P184, MATCH(J$2, Players!$A$1:$P$1, 0)), perc_75, VLOOKUP(J$2, Percentiles!$A$45:$I$59, 6, FALSE), perc_90, VLOOKUP(J$2, Percentiles!$A$45:$I$59, 7, FALSE), perc_95, VLOOKUP(J$2, Percentiles!$A$45:$I$59, 8, FALSE), perc_85, perc_75 + (perc_90 - perc_75) * (2/3), converted_stat, '2K_Ratings'!J185, IF(bbgm_stat &gt;= perc_95, converted_stat * 3, IF(bbgm_stat &gt;= perc_90, converted_stat * 2, IF(bbgm_stat &gt;= perc_85, converted_stat * 1.5, converted_stat)))))</f>
        <v/>
      </c>
      <c r="K185" s="30" t="str">
        <f t="array" ref="K185">IF($A185="", "", LET(bbgm_stat, INDEX(Players!$A184:$P184, MATCH(K$2, Players!$A$1:$P$1, 0)), perc_75, VLOOKUP(K$2, Percentiles!$A$45:$I$59, 6, FALSE), perc_90, VLOOKUP(K$2, Percentiles!$A$45:$I$59, 7, FALSE), perc_95, VLOOKUP(K$2, Percentiles!$A$45:$I$59, 8, FALSE), perc_85, perc_75 + (perc_90 - perc_75) * (2/3), converted_stat, '2K_Ratings'!K185, IF(bbgm_stat &gt;= perc_95, converted_stat * 3, IF(bbgm_stat &gt;= perc_90, converted_stat * 2, IF(bbgm_stat &gt;= perc_85, converted_stat * 1.5, converted_stat)))))</f>
        <v/>
      </c>
      <c r="L185" s="30" t="str">
        <f t="array" ref="L185">IF($A185="", "", LET(bbgm_stat, INDEX(Players!$A184:$P184, MATCH(L$2, Players!$A$1:$P$1, 0)), perc_75, VLOOKUP(L$2, Percentiles!$A$45:$I$59, 6, FALSE), perc_90, VLOOKUP(L$2, Percentiles!$A$45:$I$59, 7, FALSE), perc_95, VLOOKUP(L$2, Percentiles!$A$45:$I$59, 8, FALSE), perc_85, perc_75 + (perc_90 - perc_75) * (2/3), converted_stat, '2K_Ratings'!L185, IF(bbgm_stat &gt;= perc_95, converted_stat * 3, IF(bbgm_stat &gt;= perc_90, converted_stat * 2, IF(bbgm_stat &gt;= perc_85, converted_stat * 1.5, converted_stat)))))</f>
        <v/>
      </c>
      <c r="M185" s="30" t="str">
        <f t="array" ref="M185">IF($A185="", "", LET(bbgm_stat, INDEX(Players!$A184:$P184, MATCH(M$2, Players!$A$1:$P$1, 0)), perc_75, VLOOKUP(M$2, Percentiles!$A$45:$I$59, 6, FALSE), perc_90, VLOOKUP(M$2, Percentiles!$A$45:$I$59, 7, FALSE), perc_95, VLOOKUP(M$2, Percentiles!$A$45:$I$59, 8, FALSE), perc_85, perc_75 + (perc_90 - perc_75) * (2/3), converted_stat, '2K_Ratings'!M185, IF(bbgm_stat &gt;= perc_95, converted_stat * 3, IF(bbgm_stat &gt;= perc_90, converted_stat * 2, IF(bbgm_stat &gt;= perc_85, converted_stat * 1.5, converted_stat)))))</f>
        <v/>
      </c>
      <c r="N185" s="30" t="str">
        <f t="array" ref="N185">IF($A185="", "", LET(bbgm_stat, INDEX(Players!$A184:$P184, MATCH(N$2, Players!$A$1:$P$1, 0)), perc_75, VLOOKUP(N$2, Percentiles!$A$45:$I$59, 6, FALSE), perc_90, VLOOKUP(N$2, Percentiles!$A$45:$I$59, 7, FALSE), perc_95, VLOOKUP(N$2, Percentiles!$A$45:$I$59, 8, FALSE), perc_85, perc_75 + (perc_90 - perc_75) * (2/3), converted_stat, '2K_Ratings'!N185, IF(bbgm_stat &gt;= perc_95, converted_stat * 3, IF(bbgm_stat &gt;= perc_90, converted_stat * 2, IF(bbgm_stat &gt;= perc_85, converted_stat * 1.5, converted_stat)))))</f>
        <v/>
      </c>
      <c r="O185" s="30" t="str">
        <f t="array" ref="O185">IF($A185="", "", LET(bbgm_stat, INDEX(Players!$A184:$P184, MATCH(O$2, Players!$A$1:$P$1, 0)), perc_75, VLOOKUP(O$2, Percentiles!$A$45:$I$59, 6, FALSE), perc_90, VLOOKUP(O$2, Percentiles!$A$45:$I$59, 7, FALSE), perc_95, VLOOKUP(O$2, Percentiles!$A$45:$I$59, 8, FALSE), perc_85, perc_75 + (perc_90 - perc_75) * (2/3), converted_stat, '2K_Ratings'!O185, IF(bbgm_stat &gt;= perc_95, converted_stat * 3, IF(bbgm_stat &gt;= perc_90, converted_stat * 2, IF(bbgm_stat &gt;= perc_85, converted_stat * 1.5, converted_stat)))))</f>
        <v/>
      </c>
      <c r="P185" s="30" t="str">
        <f t="array" ref="P185">IF($A185="", "", LET(bbgm_stat, INDEX(Players!$A184:$P184, MATCH(P$2, Players!$A$1:$P$1, 0)), perc_75, VLOOKUP(P$2, Percentiles!$A$45:$I$59, 6, FALSE), perc_90, VLOOKUP(P$2, Percentiles!$A$45:$I$59, 7, FALSE), perc_95, VLOOKUP(P$2, Percentiles!$A$45:$I$59, 8, FALSE), perc_85, perc_75 + (perc_90 - perc_75) * (2/3), converted_stat, '2K_Ratings'!P185, IF(bbgm_stat &gt;= perc_95, converted_stat * 3, IF(bbgm_stat &gt;= perc_90, converted_stat * 2, IF(bbgm_stat &gt;= perc_85, converted_stat * 1.5, converted_stat)))))</f>
        <v/>
      </c>
      <c r="Q185" s="30" t="str">
        <f t="array" ref="Q185">IF($A185="", "", LET(bbgm_stat, INDEX(Players!$A184:$P184, MATCH(Q$2, Players!$A$1:$P$1, 0)), perc_75, VLOOKUP(Q$2, Percentiles!$A$45:$I$59, 6, FALSE), perc_90, VLOOKUP(Q$2, Percentiles!$A$45:$I$59, 7, FALSE), perc_95, VLOOKUP(Q$2, Percentiles!$A$45:$I$59, 8, FALSE), perc_85, perc_75 + (perc_90 - perc_75) * (2/3), converted_stat, '2K_Ratings'!Q185, IF(bbgm_stat &gt;= perc_95, converted_stat * 3, IF(bbgm_stat &gt;= perc_90, converted_stat * 2, IF(bbgm_stat &gt;= perc_85, converted_stat * 1.5, converted_stat)))))</f>
        <v/>
      </c>
      <c r="R185" s="30" t="str">
        <f t="array" ref="R185">IF($A185="", "", LET(bbgm_stat, INDEX(Players!$A184:$P184, MATCH(R$2, Players!$A$1:$P$1, 0)), perc_75, VLOOKUP(R$2, Percentiles!$A$45:$I$59, 6, FALSE), perc_90, VLOOKUP(R$2, Percentiles!$A$45:$I$59, 7, FALSE), perc_95, VLOOKUP(R$2, Percentiles!$A$45:$I$59, 8, FALSE), perc_85, perc_75 + (perc_90 - perc_75) * (2/3), converted_stat, '2K_Ratings'!R185, IF(bbgm_stat &gt;= perc_95, converted_stat * 3, IF(bbgm_stat &gt;= perc_90, converted_stat * 2, IF(bbgm_stat &gt;= perc_85, converted_stat * 1.5, converted_stat)))))</f>
        <v/>
      </c>
      <c r="S185" s="30" t="str">
        <f t="array" ref="S185">IF($A185="", "", LET(bbgm_stat, INDEX(Players!$A184:$P184, MATCH(S$2, Players!$A$1:$P$1, 0)), perc_75, VLOOKUP(S$2, Percentiles!$A$45:$I$59, 6, FALSE), perc_90, VLOOKUP(S$2, Percentiles!$A$45:$I$59, 7, FALSE), perc_95, VLOOKUP(S$2, Percentiles!$A$45:$I$59, 8, FALSE), perc_85, perc_75 + (perc_90 - perc_75) * (2/3), converted_stat, '2K_Ratings'!S185, IF(bbgm_stat &gt;= perc_95, converted_stat * 3, IF(bbgm_stat &gt;= perc_90, converted_stat * 2, IF(bbgm_stat &gt;= perc_85, converted_stat * 1.5, converted_stat)))))</f>
        <v/>
      </c>
      <c r="T185" s="30" t="str">
        <f t="array" ref="T185">IF($A185="", "", LET(bbgm_stat, INDEX(Players!$A184:$P184, MATCH(T$2, Players!$A$1:$P$1, 0)), perc_75, VLOOKUP(T$2, Percentiles!$A$45:$I$59, 6, FALSE), perc_90, VLOOKUP(T$2, Percentiles!$A$45:$I$59, 7, FALSE), perc_95, VLOOKUP(T$2, Percentiles!$A$45:$I$59, 8, FALSE), perc_85, perc_75 + (perc_90 - perc_75) * (2/3), converted_stat, '2K_Ratings'!T185, IF(bbgm_stat &gt;= perc_95, converted_stat * 3, IF(bbgm_stat &gt;= perc_90, converted_stat * 2, IF(bbgm_stat &gt;= perc_85, converted_stat * 1.5, converted_stat)))))</f>
        <v/>
      </c>
      <c r="U185" s="30" t="str">
        <f t="array" ref="U185">IF($A185="", "", LET(bbgm_stat, INDEX(Players!$A184:$P184, MATCH(U$2, Players!$A$1:$P$1, 0)), perc_75, VLOOKUP(U$2, Percentiles!$A$45:$I$59, 6, FALSE), perc_90, VLOOKUP(U$2, Percentiles!$A$45:$I$59, 7, FALSE), perc_95, VLOOKUP(U$2, Percentiles!$A$45:$I$59, 8, FALSE), perc_85, perc_75 + (perc_90 - perc_75) * (2/3), converted_stat, '2K_Ratings'!U185, IF(bbgm_stat &gt;= perc_95, converted_stat * 3, IF(bbgm_stat &gt;= perc_90, converted_stat * 2, IF(bbgm_stat &gt;= perc_85, converted_stat * 1.5, converted_stat)))))</f>
        <v/>
      </c>
      <c r="V185" s="30" t="str">
        <f t="array" ref="V185">IF($A185="", "", LET(bbgm_stat, INDEX(Players!$A184:$P184, MATCH(V$2, Players!$A$1:$P$1, 0)), perc_75, VLOOKUP(V$2, Percentiles!$A$45:$I$59, 6, FALSE), perc_90, VLOOKUP(V$2, Percentiles!$A$45:$I$59, 7, FALSE), perc_95, VLOOKUP(V$2, Percentiles!$A$45:$I$59, 8, FALSE), perc_85, perc_75 + (perc_90 - perc_75) * (2/3), converted_stat, '2K_Ratings'!V185, IF(bbgm_stat &gt;= perc_95, converted_stat * 3, IF(bbgm_stat &gt;= perc_90, converted_stat * 2, IF(bbgm_stat &gt;= perc_85, converted_stat * 1.5, converted_stat)))))</f>
        <v/>
      </c>
      <c r="W185" s="30" t="str">
        <f t="array" ref="W185">IF($A185="", "", LET(bbgm_stat, INDEX(Players!$A184:$P184, MATCH(W$2, Players!$A$1:$P$1, 0)), perc_75, VLOOKUP(W$2, Percentiles!$A$45:$I$59, 6, FALSE), perc_90, VLOOKUP(W$2, Percentiles!$A$45:$I$59, 7, FALSE), perc_95, VLOOKUP(W$2, Percentiles!$A$45:$I$59, 8, FALSE), perc_85, perc_75 + (perc_90 - perc_75) * (2/3), converted_stat, '2K_Ratings'!W185, IF(bbgm_stat &gt;= perc_95, converted_stat * 3, IF(bbgm_stat &gt;= perc_90, converted_stat * 2, IF(bbgm_stat &gt;= perc_85, converted_stat * 1.5, converted_stat)))))</f>
        <v/>
      </c>
    </row>
    <row r="186">
      <c r="A186" s="30"/>
      <c r="B186" s="30" t="str">
        <f t="array" ref="B186">IF($A186="", "", LET(bbgm_stat, INDEX(Players!$A185:$P185, MATCH(B$2, Players!$A$1:$P$1, 0)), perc_75, VLOOKUP(B$2, Percentiles!$A$45:$I$59, 6, FALSE), perc_90, VLOOKUP(B$2, Percentiles!$A$45:$I$59, 7, FALSE), perc_95, VLOOKUP(B$2, Percentiles!$A$45:$I$59, 8, FALSE), perc_85, perc_75 + (perc_90 - perc_75) * (2/3), converted_stat, '2K_Ratings'!B186, IF(bbgm_stat &gt;= perc_95, converted_stat * 3, IF(bbgm_stat &gt;= perc_90, converted_stat * 2, IF(bbgm_stat &gt;= perc_85, converted_stat * 1.5, converted_stat)))))</f>
        <v/>
      </c>
      <c r="C186" s="30" t="str">
        <f t="array" ref="C186">IF($A186="", "", LET(bbgm_stat, INDEX(Players!$A185:$P185, MATCH(C$2, Players!$A$1:$P$1, 0)), perc_75, VLOOKUP(C$2, Percentiles!$A$45:$I$59, 6, FALSE), perc_90, VLOOKUP(C$2, Percentiles!$A$45:$I$59, 7, FALSE), perc_95, VLOOKUP(C$2, Percentiles!$A$45:$I$59, 8, FALSE), perc_85, perc_75 + (perc_90 - perc_75) * (2/3), converted_stat, '2K_Ratings'!C186, IF(bbgm_stat &gt;= perc_95, converted_stat * 3, IF(bbgm_stat &gt;= perc_90, converted_stat * 2, IF(bbgm_stat &gt;= perc_85, converted_stat * 1.5, converted_stat)))))</f>
        <v/>
      </c>
      <c r="D186" s="30" t="str">
        <f t="array" ref="D186">IF($A186="", "", LET(bbgm_stat, INDEX(Players!$A185:$P185, MATCH(D$2, Players!$A$1:$P$1, 0)), perc_75, VLOOKUP(D$2, Percentiles!$A$45:$I$59, 6, FALSE), perc_90, VLOOKUP(D$2, Percentiles!$A$45:$I$59, 7, FALSE), perc_95, VLOOKUP(D$2, Percentiles!$A$45:$I$59, 8, FALSE), perc_85, perc_75 + (perc_90 - perc_75) * (2/3), converted_stat, '2K_Ratings'!D186, IF(bbgm_stat &gt;= perc_95, converted_stat * 3, IF(bbgm_stat &gt;= perc_90, converted_stat * 2, IF(bbgm_stat &gt;= perc_85, converted_stat * 1.5, converted_stat)))))</f>
        <v/>
      </c>
      <c r="E186" s="30" t="str">
        <f t="array" ref="E186">IF($A186="", "", LET(bbgm_stat, INDEX(Players!$A185:$P185, MATCH(E$2, Players!$A$1:$P$1, 0)), perc_75, VLOOKUP(E$2, Percentiles!$A$45:$I$59, 6, FALSE), perc_90, VLOOKUP(E$2, Percentiles!$A$45:$I$59, 7, FALSE), perc_95, VLOOKUP(E$2, Percentiles!$A$45:$I$59, 8, FALSE), perc_85, perc_75 + (perc_90 - perc_75) * (2/3), converted_stat, '2K_Ratings'!E186, IF(bbgm_stat &gt;= perc_95, converted_stat * 3, IF(bbgm_stat &gt;= perc_90, converted_stat * 2, IF(bbgm_stat &gt;= perc_85, converted_stat * 1.5, converted_stat)))))</f>
        <v/>
      </c>
      <c r="F186" s="30" t="str">
        <f t="array" ref="F186">IF($A186="", "", LET(bbgm_stat, INDEX(Players!$A185:$P185, MATCH(F$2, Players!$A$1:$P$1, 0)), perc_75, VLOOKUP(F$2, Percentiles!$A$45:$I$59, 6, FALSE), perc_90, VLOOKUP(F$2, Percentiles!$A$45:$I$59, 7, FALSE), perc_95, VLOOKUP(F$2, Percentiles!$A$45:$I$59, 8, FALSE), perc_85, perc_75 + (perc_90 - perc_75) * (2/3), converted_stat, '2K_Ratings'!F186, IF(bbgm_stat &gt;= perc_95, converted_stat * 3, IF(bbgm_stat &gt;= perc_90, converted_stat * 2, IF(bbgm_stat &gt;= perc_85, converted_stat * 1.5, converted_stat)))))</f>
        <v/>
      </c>
      <c r="G186" s="30" t="str">
        <f t="array" ref="G186">IF($A186="", "", LET(bbgm_stat, INDEX(Players!$A185:$P185, MATCH(G$2, Players!$A$1:$P$1, 0)), perc_75, VLOOKUP(G$2, Percentiles!$A$45:$I$59, 6, FALSE), perc_90, VLOOKUP(G$2, Percentiles!$A$45:$I$59, 7, FALSE), perc_95, VLOOKUP(G$2, Percentiles!$A$45:$I$59, 8, FALSE), perc_85, perc_75 + (perc_90 - perc_75) * (2/3), converted_stat, '2K_Ratings'!G186, IF(bbgm_stat &gt;= perc_95, converted_stat * 3, IF(bbgm_stat &gt;= perc_90, converted_stat * 2, IF(bbgm_stat &gt;= perc_85, converted_stat * 1.5, converted_stat)))))</f>
        <v/>
      </c>
      <c r="H186" s="30" t="str">
        <f t="array" ref="H186">IF($A186="", "", LET(bbgm_stat, INDEX(Players!$A185:$P185, MATCH(H$2, Players!$A$1:$P$1, 0)), perc_75, VLOOKUP(H$2, Percentiles!$A$45:$I$59, 6, FALSE), perc_90, VLOOKUP(H$2, Percentiles!$A$45:$I$59, 7, FALSE), perc_95, VLOOKUP(H$2, Percentiles!$A$45:$I$59, 8, FALSE), perc_85, perc_75 + (perc_90 - perc_75) * (2/3), converted_stat, '2K_Ratings'!H186, IF(bbgm_stat &gt;= perc_95, converted_stat * 3, IF(bbgm_stat &gt;= perc_90, converted_stat * 2, IF(bbgm_stat &gt;= perc_85, converted_stat * 1.5, converted_stat)))))</f>
        <v/>
      </c>
      <c r="I186" s="30" t="str">
        <f t="array" ref="I186">IF($A186="", "", LET(bbgm_stat, INDEX(Players!$A185:$P185, MATCH(I$2, Players!$A$1:$P$1, 0)), perc_75, VLOOKUP(I$2, Percentiles!$A$45:$I$59, 6, FALSE), perc_90, VLOOKUP(I$2, Percentiles!$A$45:$I$59, 7, FALSE), perc_95, VLOOKUP(I$2, Percentiles!$A$45:$I$59, 8, FALSE), perc_85, perc_75 + (perc_90 - perc_75) * (2/3), converted_stat, '2K_Ratings'!I186, IF(bbgm_stat &gt;= perc_95, converted_stat * 3, IF(bbgm_stat &gt;= perc_90, converted_stat * 2, IF(bbgm_stat &gt;= perc_85, converted_stat * 1.5, converted_stat)))))</f>
        <v/>
      </c>
      <c r="J186" s="30" t="str">
        <f t="array" ref="J186">IF($A186="", "", LET(bbgm_stat, INDEX(Players!$A185:$P185, MATCH(J$2, Players!$A$1:$P$1, 0)), perc_75, VLOOKUP(J$2, Percentiles!$A$45:$I$59, 6, FALSE), perc_90, VLOOKUP(J$2, Percentiles!$A$45:$I$59, 7, FALSE), perc_95, VLOOKUP(J$2, Percentiles!$A$45:$I$59, 8, FALSE), perc_85, perc_75 + (perc_90 - perc_75) * (2/3), converted_stat, '2K_Ratings'!J186, IF(bbgm_stat &gt;= perc_95, converted_stat * 3, IF(bbgm_stat &gt;= perc_90, converted_stat * 2, IF(bbgm_stat &gt;= perc_85, converted_stat * 1.5, converted_stat)))))</f>
        <v/>
      </c>
      <c r="K186" s="30" t="str">
        <f t="array" ref="K186">IF($A186="", "", LET(bbgm_stat, INDEX(Players!$A185:$P185, MATCH(K$2, Players!$A$1:$P$1, 0)), perc_75, VLOOKUP(K$2, Percentiles!$A$45:$I$59, 6, FALSE), perc_90, VLOOKUP(K$2, Percentiles!$A$45:$I$59, 7, FALSE), perc_95, VLOOKUP(K$2, Percentiles!$A$45:$I$59, 8, FALSE), perc_85, perc_75 + (perc_90 - perc_75) * (2/3), converted_stat, '2K_Ratings'!K186, IF(bbgm_stat &gt;= perc_95, converted_stat * 3, IF(bbgm_stat &gt;= perc_90, converted_stat * 2, IF(bbgm_stat &gt;= perc_85, converted_stat * 1.5, converted_stat)))))</f>
        <v/>
      </c>
      <c r="L186" s="30" t="str">
        <f t="array" ref="L186">IF($A186="", "", LET(bbgm_stat, INDEX(Players!$A185:$P185, MATCH(L$2, Players!$A$1:$P$1, 0)), perc_75, VLOOKUP(L$2, Percentiles!$A$45:$I$59, 6, FALSE), perc_90, VLOOKUP(L$2, Percentiles!$A$45:$I$59, 7, FALSE), perc_95, VLOOKUP(L$2, Percentiles!$A$45:$I$59, 8, FALSE), perc_85, perc_75 + (perc_90 - perc_75) * (2/3), converted_stat, '2K_Ratings'!L186, IF(bbgm_stat &gt;= perc_95, converted_stat * 3, IF(bbgm_stat &gt;= perc_90, converted_stat * 2, IF(bbgm_stat &gt;= perc_85, converted_stat * 1.5, converted_stat)))))</f>
        <v/>
      </c>
      <c r="M186" s="30" t="str">
        <f t="array" ref="M186">IF($A186="", "", LET(bbgm_stat, INDEX(Players!$A185:$P185, MATCH(M$2, Players!$A$1:$P$1, 0)), perc_75, VLOOKUP(M$2, Percentiles!$A$45:$I$59, 6, FALSE), perc_90, VLOOKUP(M$2, Percentiles!$A$45:$I$59, 7, FALSE), perc_95, VLOOKUP(M$2, Percentiles!$A$45:$I$59, 8, FALSE), perc_85, perc_75 + (perc_90 - perc_75) * (2/3), converted_stat, '2K_Ratings'!M186, IF(bbgm_stat &gt;= perc_95, converted_stat * 3, IF(bbgm_stat &gt;= perc_90, converted_stat * 2, IF(bbgm_stat &gt;= perc_85, converted_stat * 1.5, converted_stat)))))</f>
        <v/>
      </c>
      <c r="N186" s="30" t="str">
        <f t="array" ref="N186">IF($A186="", "", LET(bbgm_stat, INDEX(Players!$A185:$P185, MATCH(N$2, Players!$A$1:$P$1, 0)), perc_75, VLOOKUP(N$2, Percentiles!$A$45:$I$59, 6, FALSE), perc_90, VLOOKUP(N$2, Percentiles!$A$45:$I$59, 7, FALSE), perc_95, VLOOKUP(N$2, Percentiles!$A$45:$I$59, 8, FALSE), perc_85, perc_75 + (perc_90 - perc_75) * (2/3), converted_stat, '2K_Ratings'!N186, IF(bbgm_stat &gt;= perc_95, converted_stat * 3, IF(bbgm_stat &gt;= perc_90, converted_stat * 2, IF(bbgm_stat &gt;= perc_85, converted_stat * 1.5, converted_stat)))))</f>
        <v/>
      </c>
      <c r="O186" s="30" t="str">
        <f t="array" ref="O186">IF($A186="", "", LET(bbgm_stat, INDEX(Players!$A185:$P185, MATCH(O$2, Players!$A$1:$P$1, 0)), perc_75, VLOOKUP(O$2, Percentiles!$A$45:$I$59, 6, FALSE), perc_90, VLOOKUP(O$2, Percentiles!$A$45:$I$59, 7, FALSE), perc_95, VLOOKUP(O$2, Percentiles!$A$45:$I$59, 8, FALSE), perc_85, perc_75 + (perc_90 - perc_75) * (2/3), converted_stat, '2K_Ratings'!O186, IF(bbgm_stat &gt;= perc_95, converted_stat * 3, IF(bbgm_stat &gt;= perc_90, converted_stat * 2, IF(bbgm_stat &gt;= perc_85, converted_stat * 1.5, converted_stat)))))</f>
        <v/>
      </c>
      <c r="P186" s="30" t="str">
        <f t="array" ref="P186">IF($A186="", "", LET(bbgm_stat, INDEX(Players!$A185:$P185, MATCH(P$2, Players!$A$1:$P$1, 0)), perc_75, VLOOKUP(P$2, Percentiles!$A$45:$I$59, 6, FALSE), perc_90, VLOOKUP(P$2, Percentiles!$A$45:$I$59, 7, FALSE), perc_95, VLOOKUP(P$2, Percentiles!$A$45:$I$59, 8, FALSE), perc_85, perc_75 + (perc_90 - perc_75) * (2/3), converted_stat, '2K_Ratings'!P186, IF(bbgm_stat &gt;= perc_95, converted_stat * 3, IF(bbgm_stat &gt;= perc_90, converted_stat * 2, IF(bbgm_stat &gt;= perc_85, converted_stat * 1.5, converted_stat)))))</f>
        <v/>
      </c>
      <c r="Q186" s="30" t="str">
        <f t="array" ref="Q186">IF($A186="", "", LET(bbgm_stat, INDEX(Players!$A185:$P185, MATCH(Q$2, Players!$A$1:$P$1, 0)), perc_75, VLOOKUP(Q$2, Percentiles!$A$45:$I$59, 6, FALSE), perc_90, VLOOKUP(Q$2, Percentiles!$A$45:$I$59, 7, FALSE), perc_95, VLOOKUP(Q$2, Percentiles!$A$45:$I$59, 8, FALSE), perc_85, perc_75 + (perc_90 - perc_75) * (2/3), converted_stat, '2K_Ratings'!Q186, IF(bbgm_stat &gt;= perc_95, converted_stat * 3, IF(bbgm_stat &gt;= perc_90, converted_stat * 2, IF(bbgm_stat &gt;= perc_85, converted_stat * 1.5, converted_stat)))))</f>
        <v/>
      </c>
      <c r="R186" s="30" t="str">
        <f t="array" ref="R186">IF($A186="", "", LET(bbgm_stat, INDEX(Players!$A185:$P185, MATCH(R$2, Players!$A$1:$P$1, 0)), perc_75, VLOOKUP(R$2, Percentiles!$A$45:$I$59, 6, FALSE), perc_90, VLOOKUP(R$2, Percentiles!$A$45:$I$59, 7, FALSE), perc_95, VLOOKUP(R$2, Percentiles!$A$45:$I$59, 8, FALSE), perc_85, perc_75 + (perc_90 - perc_75) * (2/3), converted_stat, '2K_Ratings'!R186, IF(bbgm_stat &gt;= perc_95, converted_stat * 3, IF(bbgm_stat &gt;= perc_90, converted_stat * 2, IF(bbgm_stat &gt;= perc_85, converted_stat * 1.5, converted_stat)))))</f>
        <v/>
      </c>
      <c r="S186" s="30" t="str">
        <f t="array" ref="S186">IF($A186="", "", LET(bbgm_stat, INDEX(Players!$A185:$P185, MATCH(S$2, Players!$A$1:$P$1, 0)), perc_75, VLOOKUP(S$2, Percentiles!$A$45:$I$59, 6, FALSE), perc_90, VLOOKUP(S$2, Percentiles!$A$45:$I$59, 7, FALSE), perc_95, VLOOKUP(S$2, Percentiles!$A$45:$I$59, 8, FALSE), perc_85, perc_75 + (perc_90 - perc_75) * (2/3), converted_stat, '2K_Ratings'!S186, IF(bbgm_stat &gt;= perc_95, converted_stat * 3, IF(bbgm_stat &gt;= perc_90, converted_stat * 2, IF(bbgm_stat &gt;= perc_85, converted_stat * 1.5, converted_stat)))))</f>
        <v/>
      </c>
      <c r="T186" s="30" t="str">
        <f t="array" ref="T186">IF($A186="", "", LET(bbgm_stat, INDEX(Players!$A185:$P185, MATCH(T$2, Players!$A$1:$P$1, 0)), perc_75, VLOOKUP(T$2, Percentiles!$A$45:$I$59, 6, FALSE), perc_90, VLOOKUP(T$2, Percentiles!$A$45:$I$59, 7, FALSE), perc_95, VLOOKUP(T$2, Percentiles!$A$45:$I$59, 8, FALSE), perc_85, perc_75 + (perc_90 - perc_75) * (2/3), converted_stat, '2K_Ratings'!T186, IF(bbgm_stat &gt;= perc_95, converted_stat * 3, IF(bbgm_stat &gt;= perc_90, converted_stat * 2, IF(bbgm_stat &gt;= perc_85, converted_stat * 1.5, converted_stat)))))</f>
        <v/>
      </c>
      <c r="U186" s="30" t="str">
        <f t="array" ref="U186">IF($A186="", "", LET(bbgm_stat, INDEX(Players!$A185:$P185, MATCH(U$2, Players!$A$1:$P$1, 0)), perc_75, VLOOKUP(U$2, Percentiles!$A$45:$I$59, 6, FALSE), perc_90, VLOOKUP(U$2, Percentiles!$A$45:$I$59, 7, FALSE), perc_95, VLOOKUP(U$2, Percentiles!$A$45:$I$59, 8, FALSE), perc_85, perc_75 + (perc_90 - perc_75) * (2/3), converted_stat, '2K_Ratings'!U186, IF(bbgm_stat &gt;= perc_95, converted_stat * 3, IF(bbgm_stat &gt;= perc_90, converted_stat * 2, IF(bbgm_stat &gt;= perc_85, converted_stat * 1.5, converted_stat)))))</f>
        <v/>
      </c>
      <c r="V186" s="30" t="str">
        <f t="array" ref="V186">IF($A186="", "", LET(bbgm_stat, INDEX(Players!$A185:$P185, MATCH(V$2, Players!$A$1:$P$1, 0)), perc_75, VLOOKUP(V$2, Percentiles!$A$45:$I$59, 6, FALSE), perc_90, VLOOKUP(V$2, Percentiles!$A$45:$I$59, 7, FALSE), perc_95, VLOOKUP(V$2, Percentiles!$A$45:$I$59, 8, FALSE), perc_85, perc_75 + (perc_90 - perc_75) * (2/3), converted_stat, '2K_Ratings'!V186, IF(bbgm_stat &gt;= perc_95, converted_stat * 3, IF(bbgm_stat &gt;= perc_90, converted_stat * 2, IF(bbgm_stat &gt;= perc_85, converted_stat * 1.5, converted_stat)))))</f>
        <v/>
      </c>
      <c r="W186" s="30" t="str">
        <f t="array" ref="W186">IF($A186="", "", LET(bbgm_stat, INDEX(Players!$A185:$P185, MATCH(W$2, Players!$A$1:$P$1, 0)), perc_75, VLOOKUP(W$2, Percentiles!$A$45:$I$59, 6, FALSE), perc_90, VLOOKUP(W$2, Percentiles!$A$45:$I$59, 7, FALSE), perc_95, VLOOKUP(W$2, Percentiles!$A$45:$I$59, 8, FALSE), perc_85, perc_75 + (perc_90 - perc_75) * (2/3), converted_stat, '2K_Ratings'!W186, IF(bbgm_stat &gt;= perc_95, converted_stat * 3, IF(bbgm_stat &gt;= perc_90, converted_stat * 2, IF(bbgm_stat &gt;= perc_85, converted_stat * 1.5, converted_stat)))))</f>
        <v/>
      </c>
    </row>
    <row r="187">
      <c r="A187" s="30"/>
      <c r="B187" s="30" t="str">
        <f t="array" ref="B187">IF($A187="", "", LET(bbgm_stat, INDEX(Players!$A186:$P186, MATCH(B$2, Players!$A$1:$P$1, 0)), perc_75, VLOOKUP(B$2, Percentiles!$A$45:$I$59, 6, FALSE), perc_90, VLOOKUP(B$2, Percentiles!$A$45:$I$59, 7, FALSE), perc_95, VLOOKUP(B$2, Percentiles!$A$45:$I$59, 8, FALSE), perc_85, perc_75 + (perc_90 - perc_75) * (2/3), converted_stat, '2K_Ratings'!B187, IF(bbgm_stat &gt;= perc_95, converted_stat * 3, IF(bbgm_stat &gt;= perc_90, converted_stat * 2, IF(bbgm_stat &gt;= perc_85, converted_stat * 1.5, converted_stat)))))</f>
        <v/>
      </c>
      <c r="C187" s="30" t="str">
        <f t="array" ref="C187">IF($A187="", "", LET(bbgm_stat, INDEX(Players!$A186:$P186, MATCH(C$2, Players!$A$1:$P$1, 0)), perc_75, VLOOKUP(C$2, Percentiles!$A$45:$I$59, 6, FALSE), perc_90, VLOOKUP(C$2, Percentiles!$A$45:$I$59, 7, FALSE), perc_95, VLOOKUP(C$2, Percentiles!$A$45:$I$59, 8, FALSE), perc_85, perc_75 + (perc_90 - perc_75) * (2/3), converted_stat, '2K_Ratings'!C187, IF(bbgm_stat &gt;= perc_95, converted_stat * 3, IF(bbgm_stat &gt;= perc_90, converted_stat * 2, IF(bbgm_stat &gt;= perc_85, converted_stat * 1.5, converted_stat)))))</f>
        <v/>
      </c>
      <c r="D187" s="30" t="str">
        <f t="array" ref="D187">IF($A187="", "", LET(bbgm_stat, INDEX(Players!$A186:$P186, MATCH(D$2, Players!$A$1:$P$1, 0)), perc_75, VLOOKUP(D$2, Percentiles!$A$45:$I$59, 6, FALSE), perc_90, VLOOKUP(D$2, Percentiles!$A$45:$I$59, 7, FALSE), perc_95, VLOOKUP(D$2, Percentiles!$A$45:$I$59, 8, FALSE), perc_85, perc_75 + (perc_90 - perc_75) * (2/3), converted_stat, '2K_Ratings'!D187, IF(bbgm_stat &gt;= perc_95, converted_stat * 3, IF(bbgm_stat &gt;= perc_90, converted_stat * 2, IF(bbgm_stat &gt;= perc_85, converted_stat * 1.5, converted_stat)))))</f>
        <v/>
      </c>
      <c r="E187" s="30" t="str">
        <f t="array" ref="E187">IF($A187="", "", LET(bbgm_stat, INDEX(Players!$A186:$P186, MATCH(E$2, Players!$A$1:$P$1, 0)), perc_75, VLOOKUP(E$2, Percentiles!$A$45:$I$59, 6, FALSE), perc_90, VLOOKUP(E$2, Percentiles!$A$45:$I$59, 7, FALSE), perc_95, VLOOKUP(E$2, Percentiles!$A$45:$I$59, 8, FALSE), perc_85, perc_75 + (perc_90 - perc_75) * (2/3), converted_stat, '2K_Ratings'!E187, IF(bbgm_stat &gt;= perc_95, converted_stat * 3, IF(bbgm_stat &gt;= perc_90, converted_stat * 2, IF(bbgm_stat &gt;= perc_85, converted_stat * 1.5, converted_stat)))))</f>
        <v/>
      </c>
      <c r="F187" s="30" t="str">
        <f t="array" ref="F187">IF($A187="", "", LET(bbgm_stat, INDEX(Players!$A186:$P186, MATCH(F$2, Players!$A$1:$P$1, 0)), perc_75, VLOOKUP(F$2, Percentiles!$A$45:$I$59, 6, FALSE), perc_90, VLOOKUP(F$2, Percentiles!$A$45:$I$59, 7, FALSE), perc_95, VLOOKUP(F$2, Percentiles!$A$45:$I$59, 8, FALSE), perc_85, perc_75 + (perc_90 - perc_75) * (2/3), converted_stat, '2K_Ratings'!F187, IF(bbgm_stat &gt;= perc_95, converted_stat * 3, IF(bbgm_stat &gt;= perc_90, converted_stat * 2, IF(bbgm_stat &gt;= perc_85, converted_stat * 1.5, converted_stat)))))</f>
        <v/>
      </c>
      <c r="G187" s="30" t="str">
        <f t="array" ref="G187">IF($A187="", "", LET(bbgm_stat, INDEX(Players!$A186:$P186, MATCH(G$2, Players!$A$1:$P$1, 0)), perc_75, VLOOKUP(G$2, Percentiles!$A$45:$I$59, 6, FALSE), perc_90, VLOOKUP(G$2, Percentiles!$A$45:$I$59, 7, FALSE), perc_95, VLOOKUP(G$2, Percentiles!$A$45:$I$59, 8, FALSE), perc_85, perc_75 + (perc_90 - perc_75) * (2/3), converted_stat, '2K_Ratings'!G187, IF(bbgm_stat &gt;= perc_95, converted_stat * 3, IF(bbgm_stat &gt;= perc_90, converted_stat * 2, IF(bbgm_stat &gt;= perc_85, converted_stat * 1.5, converted_stat)))))</f>
        <v/>
      </c>
      <c r="H187" s="30" t="str">
        <f t="array" ref="H187">IF($A187="", "", LET(bbgm_stat, INDEX(Players!$A186:$P186, MATCH(H$2, Players!$A$1:$P$1, 0)), perc_75, VLOOKUP(H$2, Percentiles!$A$45:$I$59, 6, FALSE), perc_90, VLOOKUP(H$2, Percentiles!$A$45:$I$59, 7, FALSE), perc_95, VLOOKUP(H$2, Percentiles!$A$45:$I$59, 8, FALSE), perc_85, perc_75 + (perc_90 - perc_75) * (2/3), converted_stat, '2K_Ratings'!H187, IF(bbgm_stat &gt;= perc_95, converted_stat * 3, IF(bbgm_stat &gt;= perc_90, converted_stat * 2, IF(bbgm_stat &gt;= perc_85, converted_stat * 1.5, converted_stat)))))</f>
        <v/>
      </c>
      <c r="I187" s="30" t="str">
        <f t="array" ref="I187">IF($A187="", "", LET(bbgm_stat, INDEX(Players!$A186:$P186, MATCH(I$2, Players!$A$1:$P$1, 0)), perc_75, VLOOKUP(I$2, Percentiles!$A$45:$I$59, 6, FALSE), perc_90, VLOOKUP(I$2, Percentiles!$A$45:$I$59, 7, FALSE), perc_95, VLOOKUP(I$2, Percentiles!$A$45:$I$59, 8, FALSE), perc_85, perc_75 + (perc_90 - perc_75) * (2/3), converted_stat, '2K_Ratings'!I187, IF(bbgm_stat &gt;= perc_95, converted_stat * 3, IF(bbgm_stat &gt;= perc_90, converted_stat * 2, IF(bbgm_stat &gt;= perc_85, converted_stat * 1.5, converted_stat)))))</f>
        <v/>
      </c>
      <c r="J187" s="30" t="str">
        <f t="array" ref="J187">IF($A187="", "", LET(bbgm_stat, INDEX(Players!$A186:$P186, MATCH(J$2, Players!$A$1:$P$1, 0)), perc_75, VLOOKUP(J$2, Percentiles!$A$45:$I$59, 6, FALSE), perc_90, VLOOKUP(J$2, Percentiles!$A$45:$I$59, 7, FALSE), perc_95, VLOOKUP(J$2, Percentiles!$A$45:$I$59, 8, FALSE), perc_85, perc_75 + (perc_90 - perc_75) * (2/3), converted_stat, '2K_Ratings'!J187, IF(bbgm_stat &gt;= perc_95, converted_stat * 3, IF(bbgm_stat &gt;= perc_90, converted_stat * 2, IF(bbgm_stat &gt;= perc_85, converted_stat * 1.5, converted_stat)))))</f>
        <v/>
      </c>
      <c r="K187" s="30" t="str">
        <f t="array" ref="K187">IF($A187="", "", LET(bbgm_stat, INDEX(Players!$A186:$P186, MATCH(K$2, Players!$A$1:$P$1, 0)), perc_75, VLOOKUP(K$2, Percentiles!$A$45:$I$59, 6, FALSE), perc_90, VLOOKUP(K$2, Percentiles!$A$45:$I$59, 7, FALSE), perc_95, VLOOKUP(K$2, Percentiles!$A$45:$I$59, 8, FALSE), perc_85, perc_75 + (perc_90 - perc_75) * (2/3), converted_stat, '2K_Ratings'!K187, IF(bbgm_stat &gt;= perc_95, converted_stat * 3, IF(bbgm_stat &gt;= perc_90, converted_stat * 2, IF(bbgm_stat &gt;= perc_85, converted_stat * 1.5, converted_stat)))))</f>
        <v/>
      </c>
      <c r="L187" s="30" t="str">
        <f t="array" ref="L187">IF($A187="", "", LET(bbgm_stat, INDEX(Players!$A186:$P186, MATCH(L$2, Players!$A$1:$P$1, 0)), perc_75, VLOOKUP(L$2, Percentiles!$A$45:$I$59, 6, FALSE), perc_90, VLOOKUP(L$2, Percentiles!$A$45:$I$59, 7, FALSE), perc_95, VLOOKUP(L$2, Percentiles!$A$45:$I$59, 8, FALSE), perc_85, perc_75 + (perc_90 - perc_75) * (2/3), converted_stat, '2K_Ratings'!L187, IF(bbgm_stat &gt;= perc_95, converted_stat * 3, IF(bbgm_stat &gt;= perc_90, converted_stat * 2, IF(bbgm_stat &gt;= perc_85, converted_stat * 1.5, converted_stat)))))</f>
        <v/>
      </c>
      <c r="M187" s="30" t="str">
        <f t="array" ref="M187">IF($A187="", "", LET(bbgm_stat, INDEX(Players!$A186:$P186, MATCH(M$2, Players!$A$1:$P$1, 0)), perc_75, VLOOKUP(M$2, Percentiles!$A$45:$I$59, 6, FALSE), perc_90, VLOOKUP(M$2, Percentiles!$A$45:$I$59, 7, FALSE), perc_95, VLOOKUP(M$2, Percentiles!$A$45:$I$59, 8, FALSE), perc_85, perc_75 + (perc_90 - perc_75) * (2/3), converted_stat, '2K_Ratings'!M187, IF(bbgm_stat &gt;= perc_95, converted_stat * 3, IF(bbgm_stat &gt;= perc_90, converted_stat * 2, IF(bbgm_stat &gt;= perc_85, converted_stat * 1.5, converted_stat)))))</f>
        <v/>
      </c>
      <c r="N187" s="30" t="str">
        <f t="array" ref="N187">IF($A187="", "", LET(bbgm_stat, INDEX(Players!$A186:$P186, MATCH(N$2, Players!$A$1:$P$1, 0)), perc_75, VLOOKUP(N$2, Percentiles!$A$45:$I$59, 6, FALSE), perc_90, VLOOKUP(N$2, Percentiles!$A$45:$I$59, 7, FALSE), perc_95, VLOOKUP(N$2, Percentiles!$A$45:$I$59, 8, FALSE), perc_85, perc_75 + (perc_90 - perc_75) * (2/3), converted_stat, '2K_Ratings'!N187, IF(bbgm_stat &gt;= perc_95, converted_stat * 3, IF(bbgm_stat &gt;= perc_90, converted_stat * 2, IF(bbgm_stat &gt;= perc_85, converted_stat * 1.5, converted_stat)))))</f>
        <v/>
      </c>
      <c r="O187" s="30" t="str">
        <f t="array" ref="O187">IF($A187="", "", LET(bbgm_stat, INDEX(Players!$A186:$P186, MATCH(O$2, Players!$A$1:$P$1, 0)), perc_75, VLOOKUP(O$2, Percentiles!$A$45:$I$59, 6, FALSE), perc_90, VLOOKUP(O$2, Percentiles!$A$45:$I$59, 7, FALSE), perc_95, VLOOKUP(O$2, Percentiles!$A$45:$I$59, 8, FALSE), perc_85, perc_75 + (perc_90 - perc_75) * (2/3), converted_stat, '2K_Ratings'!O187, IF(bbgm_stat &gt;= perc_95, converted_stat * 3, IF(bbgm_stat &gt;= perc_90, converted_stat * 2, IF(bbgm_stat &gt;= perc_85, converted_stat * 1.5, converted_stat)))))</f>
        <v/>
      </c>
      <c r="P187" s="30" t="str">
        <f t="array" ref="P187">IF($A187="", "", LET(bbgm_stat, INDEX(Players!$A186:$P186, MATCH(P$2, Players!$A$1:$P$1, 0)), perc_75, VLOOKUP(P$2, Percentiles!$A$45:$I$59, 6, FALSE), perc_90, VLOOKUP(P$2, Percentiles!$A$45:$I$59, 7, FALSE), perc_95, VLOOKUP(P$2, Percentiles!$A$45:$I$59, 8, FALSE), perc_85, perc_75 + (perc_90 - perc_75) * (2/3), converted_stat, '2K_Ratings'!P187, IF(bbgm_stat &gt;= perc_95, converted_stat * 3, IF(bbgm_stat &gt;= perc_90, converted_stat * 2, IF(bbgm_stat &gt;= perc_85, converted_stat * 1.5, converted_stat)))))</f>
        <v/>
      </c>
      <c r="Q187" s="30" t="str">
        <f t="array" ref="Q187">IF($A187="", "", LET(bbgm_stat, INDEX(Players!$A186:$P186, MATCH(Q$2, Players!$A$1:$P$1, 0)), perc_75, VLOOKUP(Q$2, Percentiles!$A$45:$I$59, 6, FALSE), perc_90, VLOOKUP(Q$2, Percentiles!$A$45:$I$59, 7, FALSE), perc_95, VLOOKUP(Q$2, Percentiles!$A$45:$I$59, 8, FALSE), perc_85, perc_75 + (perc_90 - perc_75) * (2/3), converted_stat, '2K_Ratings'!Q187, IF(bbgm_stat &gt;= perc_95, converted_stat * 3, IF(bbgm_stat &gt;= perc_90, converted_stat * 2, IF(bbgm_stat &gt;= perc_85, converted_stat * 1.5, converted_stat)))))</f>
        <v/>
      </c>
      <c r="R187" s="30" t="str">
        <f t="array" ref="R187">IF($A187="", "", LET(bbgm_stat, INDEX(Players!$A186:$P186, MATCH(R$2, Players!$A$1:$P$1, 0)), perc_75, VLOOKUP(R$2, Percentiles!$A$45:$I$59, 6, FALSE), perc_90, VLOOKUP(R$2, Percentiles!$A$45:$I$59, 7, FALSE), perc_95, VLOOKUP(R$2, Percentiles!$A$45:$I$59, 8, FALSE), perc_85, perc_75 + (perc_90 - perc_75) * (2/3), converted_stat, '2K_Ratings'!R187, IF(bbgm_stat &gt;= perc_95, converted_stat * 3, IF(bbgm_stat &gt;= perc_90, converted_stat * 2, IF(bbgm_stat &gt;= perc_85, converted_stat * 1.5, converted_stat)))))</f>
        <v/>
      </c>
      <c r="S187" s="30" t="str">
        <f t="array" ref="S187">IF($A187="", "", LET(bbgm_stat, INDEX(Players!$A186:$P186, MATCH(S$2, Players!$A$1:$P$1, 0)), perc_75, VLOOKUP(S$2, Percentiles!$A$45:$I$59, 6, FALSE), perc_90, VLOOKUP(S$2, Percentiles!$A$45:$I$59, 7, FALSE), perc_95, VLOOKUP(S$2, Percentiles!$A$45:$I$59, 8, FALSE), perc_85, perc_75 + (perc_90 - perc_75) * (2/3), converted_stat, '2K_Ratings'!S187, IF(bbgm_stat &gt;= perc_95, converted_stat * 3, IF(bbgm_stat &gt;= perc_90, converted_stat * 2, IF(bbgm_stat &gt;= perc_85, converted_stat * 1.5, converted_stat)))))</f>
        <v/>
      </c>
      <c r="T187" s="30" t="str">
        <f t="array" ref="T187">IF($A187="", "", LET(bbgm_stat, INDEX(Players!$A186:$P186, MATCH(T$2, Players!$A$1:$P$1, 0)), perc_75, VLOOKUP(T$2, Percentiles!$A$45:$I$59, 6, FALSE), perc_90, VLOOKUP(T$2, Percentiles!$A$45:$I$59, 7, FALSE), perc_95, VLOOKUP(T$2, Percentiles!$A$45:$I$59, 8, FALSE), perc_85, perc_75 + (perc_90 - perc_75) * (2/3), converted_stat, '2K_Ratings'!T187, IF(bbgm_stat &gt;= perc_95, converted_stat * 3, IF(bbgm_stat &gt;= perc_90, converted_stat * 2, IF(bbgm_stat &gt;= perc_85, converted_stat * 1.5, converted_stat)))))</f>
        <v/>
      </c>
      <c r="U187" s="30" t="str">
        <f t="array" ref="U187">IF($A187="", "", LET(bbgm_stat, INDEX(Players!$A186:$P186, MATCH(U$2, Players!$A$1:$P$1, 0)), perc_75, VLOOKUP(U$2, Percentiles!$A$45:$I$59, 6, FALSE), perc_90, VLOOKUP(U$2, Percentiles!$A$45:$I$59, 7, FALSE), perc_95, VLOOKUP(U$2, Percentiles!$A$45:$I$59, 8, FALSE), perc_85, perc_75 + (perc_90 - perc_75) * (2/3), converted_stat, '2K_Ratings'!U187, IF(bbgm_stat &gt;= perc_95, converted_stat * 3, IF(bbgm_stat &gt;= perc_90, converted_stat * 2, IF(bbgm_stat &gt;= perc_85, converted_stat * 1.5, converted_stat)))))</f>
        <v/>
      </c>
      <c r="V187" s="30" t="str">
        <f t="array" ref="V187">IF($A187="", "", LET(bbgm_stat, INDEX(Players!$A186:$P186, MATCH(V$2, Players!$A$1:$P$1, 0)), perc_75, VLOOKUP(V$2, Percentiles!$A$45:$I$59, 6, FALSE), perc_90, VLOOKUP(V$2, Percentiles!$A$45:$I$59, 7, FALSE), perc_95, VLOOKUP(V$2, Percentiles!$A$45:$I$59, 8, FALSE), perc_85, perc_75 + (perc_90 - perc_75) * (2/3), converted_stat, '2K_Ratings'!V187, IF(bbgm_stat &gt;= perc_95, converted_stat * 3, IF(bbgm_stat &gt;= perc_90, converted_stat * 2, IF(bbgm_stat &gt;= perc_85, converted_stat * 1.5, converted_stat)))))</f>
        <v/>
      </c>
      <c r="W187" s="30" t="str">
        <f t="array" ref="W187">IF($A187="", "", LET(bbgm_stat, INDEX(Players!$A186:$P186, MATCH(W$2, Players!$A$1:$P$1, 0)), perc_75, VLOOKUP(W$2, Percentiles!$A$45:$I$59, 6, FALSE), perc_90, VLOOKUP(W$2, Percentiles!$A$45:$I$59, 7, FALSE), perc_95, VLOOKUP(W$2, Percentiles!$A$45:$I$59, 8, FALSE), perc_85, perc_75 + (perc_90 - perc_75) * (2/3), converted_stat, '2K_Ratings'!W187, IF(bbgm_stat &gt;= perc_95, converted_stat * 3, IF(bbgm_stat &gt;= perc_90, converted_stat * 2, IF(bbgm_stat &gt;= perc_85, converted_stat * 1.5, converted_stat)))))</f>
        <v/>
      </c>
    </row>
    <row r="188">
      <c r="A188" s="30"/>
      <c r="B188" s="30" t="str">
        <f t="array" ref="B188">IF($A188="", "", LET(bbgm_stat, INDEX(Players!$A187:$P187, MATCH(B$2, Players!$A$1:$P$1, 0)), perc_75, VLOOKUP(B$2, Percentiles!$A$45:$I$59, 6, FALSE), perc_90, VLOOKUP(B$2, Percentiles!$A$45:$I$59, 7, FALSE), perc_95, VLOOKUP(B$2, Percentiles!$A$45:$I$59, 8, FALSE), perc_85, perc_75 + (perc_90 - perc_75) * (2/3), converted_stat, '2K_Ratings'!B188, IF(bbgm_stat &gt;= perc_95, converted_stat * 3, IF(bbgm_stat &gt;= perc_90, converted_stat * 2, IF(bbgm_stat &gt;= perc_85, converted_stat * 1.5, converted_stat)))))</f>
        <v/>
      </c>
      <c r="C188" s="30" t="str">
        <f t="array" ref="C188">IF($A188="", "", LET(bbgm_stat, INDEX(Players!$A187:$P187, MATCH(C$2, Players!$A$1:$P$1, 0)), perc_75, VLOOKUP(C$2, Percentiles!$A$45:$I$59, 6, FALSE), perc_90, VLOOKUP(C$2, Percentiles!$A$45:$I$59, 7, FALSE), perc_95, VLOOKUP(C$2, Percentiles!$A$45:$I$59, 8, FALSE), perc_85, perc_75 + (perc_90 - perc_75) * (2/3), converted_stat, '2K_Ratings'!C188, IF(bbgm_stat &gt;= perc_95, converted_stat * 3, IF(bbgm_stat &gt;= perc_90, converted_stat * 2, IF(bbgm_stat &gt;= perc_85, converted_stat * 1.5, converted_stat)))))</f>
        <v/>
      </c>
      <c r="D188" s="30" t="str">
        <f t="array" ref="D188">IF($A188="", "", LET(bbgm_stat, INDEX(Players!$A187:$P187, MATCH(D$2, Players!$A$1:$P$1, 0)), perc_75, VLOOKUP(D$2, Percentiles!$A$45:$I$59, 6, FALSE), perc_90, VLOOKUP(D$2, Percentiles!$A$45:$I$59, 7, FALSE), perc_95, VLOOKUP(D$2, Percentiles!$A$45:$I$59, 8, FALSE), perc_85, perc_75 + (perc_90 - perc_75) * (2/3), converted_stat, '2K_Ratings'!D188, IF(bbgm_stat &gt;= perc_95, converted_stat * 3, IF(bbgm_stat &gt;= perc_90, converted_stat * 2, IF(bbgm_stat &gt;= perc_85, converted_stat * 1.5, converted_stat)))))</f>
        <v/>
      </c>
      <c r="E188" s="30" t="str">
        <f t="array" ref="E188">IF($A188="", "", LET(bbgm_stat, INDEX(Players!$A187:$P187, MATCH(E$2, Players!$A$1:$P$1, 0)), perc_75, VLOOKUP(E$2, Percentiles!$A$45:$I$59, 6, FALSE), perc_90, VLOOKUP(E$2, Percentiles!$A$45:$I$59, 7, FALSE), perc_95, VLOOKUP(E$2, Percentiles!$A$45:$I$59, 8, FALSE), perc_85, perc_75 + (perc_90 - perc_75) * (2/3), converted_stat, '2K_Ratings'!E188, IF(bbgm_stat &gt;= perc_95, converted_stat * 3, IF(bbgm_stat &gt;= perc_90, converted_stat * 2, IF(bbgm_stat &gt;= perc_85, converted_stat * 1.5, converted_stat)))))</f>
        <v/>
      </c>
      <c r="F188" s="30" t="str">
        <f t="array" ref="F188">IF($A188="", "", LET(bbgm_stat, INDEX(Players!$A187:$P187, MATCH(F$2, Players!$A$1:$P$1, 0)), perc_75, VLOOKUP(F$2, Percentiles!$A$45:$I$59, 6, FALSE), perc_90, VLOOKUP(F$2, Percentiles!$A$45:$I$59, 7, FALSE), perc_95, VLOOKUP(F$2, Percentiles!$A$45:$I$59, 8, FALSE), perc_85, perc_75 + (perc_90 - perc_75) * (2/3), converted_stat, '2K_Ratings'!F188, IF(bbgm_stat &gt;= perc_95, converted_stat * 3, IF(bbgm_stat &gt;= perc_90, converted_stat * 2, IF(bbgm_stat &gt;= perc_85, converted_stat * 1.5, converted_stat)))))</f>
        <v/>
      </c>
      <c r="G188" s="30" t="str">
        <f t="array" ref="G188">IF($A188="", "", LET(bbgm_stat, INDEX(Players!$A187:$P187, MATCH(G$2, Players!$A$1:$P$1, 0)), perc_75, VLOOKUP(G$2, Percentiles!$A$45:$I$59, 6, FALSE), perc_90, VLOOKUP(G$2, Percentiles!$A$45:$I$59, 7, FALSE), perc_95, VLOOKUP(G$2, Percentiles!$A$45:$I$59, 8, FALSE), perc_85, perc_75 + (perc_90 - perc_75) * (2/3), converted_stat, '2K_Ratings'!G188, IF(bbgm_stat &gt;= perc_95, converted_stat * 3, IF(bbgm_stat &gt;= perc_90, converted_stat * 2, IF(bbgm_stat &gt;= perc_85, converted_stat * 1.5, converted_stat)))))</f>
        <v/>
      </c>
      <c r="H188" s="30" t="str">
        <f t="array" ref="H188">IF($A188="", "", LET(bbgm_stat, INDEX(Players!$A187:$P187, MATCH(H$2, Players!$A$1:$P$1, 0)), perc_75, VLOOKUP(H$2, Percentiles!$A$45:$I$59, 6, FALSE), perc_90, VLOOKUP(H$2, Percentiles!$A$45:$I$59, 7, FALSE), perc_95, VLOOKUP(H$2, Percentiles!$A$45:$I$59, 8, FALSE), perc_85, perc_75 + (perc_90 - perc_75) * (2/3), converted_stat, '2K_Ratings'!H188, IF(bbgm_stat &gt;= perc_95, converted_stat * 3, IF(bbgm_stat &gt;= perc_90, converted_stat * 2, IF(bbgm_stat &gt;= perc_85, converted_stat * 1.5, converted_stat)))))</f>
        <v/>
      </c>
      <c r="I188" s="30" t="str">
        <f t="array" ref="I188">IF($A188="", "", LET(bbgm_stat, INDEX(Players!$A187:$P187, MATCH(I$2, Players!$A$1:$P$1, 0)), perc_75, VLOOKUP(I$2, Percentiles!$A$45:$I$59, 6, FALSE), perc_90, VLOOKUP(I$2, Percentiles!$A$45:$I$59, 7, FALSE), perc_95, VLOOKUP(I$2, Percentiles!$A$45:$I$59, 8, FALSE), perc_85, perc_75 + (perc_90 - perc_75) * (2/3), converted_stat, '2K_Ratings'!I188, IF(bbgm_stat &gt;= perc_95, converted_stat * 3, IF(bbgm_stat &gt;= perc_90, converted_stat * 2, IF(bbgm_stat &gt;= perc_85, converted_stat * 1.5, converted_stat)))))</f>
        <v/>
      </c>
      <c r="J188" s="30" t="str">
        <f t="array" ref="J188">IF($A188="", "", LET(bbgm_stat, INDEX(Players!$A187:$P187, MATCH(J$2, Players!$A$1:$P$1, 0)), perc_75, VLOOKUP(J$2, Percentiles!$A$45:$I$59, 6, FALSE), perc_90, VLOOKUP(J$2, Percentiles!$A$45:$I$59, 7, FALSE), perc_95, VLOOKUP(J$2, Percentiles!$A$45:$I$59, 8, FALSE), perc_85, perc_75 + (perc_90 - perc_75) * (2/3), converted_stat, '2K_Ratings'!J188, IF(bbgm_stat &gt;= perc_95, converted_stat * 3, IF(bbgm_stat &gt;= perc_90, converted_stat * 2, IF(bbgm_stat &gt;= perc_85, converted_stat * 1.5, converted_stat)))))</f>
        <v/>
      </c>
      <c r="K188" s="30" t="str">
        <f t="array" ref="K188">IF($A188="", "", LET(bbgm_stat, INDEX(Players!$A187:$P187, MATCH(K$2, Players!$A$1:$P$1, 0)), perc_75, VLOOKUP(K$2, Percentiles!$A$45:$I$59, 6, FALSE), perc_90, VLOOKUP(K$2, Percentiles!$A$45:$I$59, 7, FALSE), perc_95, VLOOKUP(K$2, Percentiles!$A$45:$I$59, 8, FALSE), perc_85, perc_75 + (perc_90 - perc_75) * (2/3), converted_stat, '2K_Ratings'!K188, IF(bbgm_stat &gt;= perc_95, converted_stat * 3, IF(bbgm_stat &gt;= perc_90, converted_stat * 2, IF(bbgm_stat &gt;= perc_85, converted_stat * 1.5, converted_stat)))))</f>
        <v/>
      </c>
      <c r="L188" s="30" t="str">
        <f t="array" ref="L188">IF($A188="", "", LET(bbgm_stat, INDEX(Players!$A187:$P187, MATCH(L$2, Players!$A$1:$P$1, 0)), perc_75, VLOOKUP(L$2, Percentiles!$A$45:$I$59, 6, FALSE), perc_90, VLOOKUP(L$2, Percentiles!$A$45:$I$59, 7, FALSE), perc_95, VLOOKUP(L$2, Percentiles!$A$45:$I$59, 8, FALSE), perc_85, perc_75 + (perc_90 - perc_75) * (2/3), converted_stat, '2K_Ratings'!L188, IF(bbgm_stat &gt;= perc_95, converted_stat * 3, IF(bbgm_stat &gt;= perc_90, converted_stat * 2, IF(bbgm_stat &gt;= perc_85, converted_stat * 1.5, converted_stat)))))</f>
        <v/>
      </c>
      <c r="M188" s="30" t="str">
        <f t="array" ref="M188">IF($A188="", "", LET(bbgm_stat, INDEX(Players!$A187:$P187, MATCH(M$2, Players!$A$1:$P$1, 0)), perc_75, VLOOKUP(M$2, Percentiles!$A$45:$I$59, 6, FALSE), perc_90, VLOOKUP(M$2, Percentiles!$A$45:$I$59, 7, FALSE), perc_95, VLOOKUP(M$2, Percentiles!$A$45:$I$59, 8, FALSE), perc_85, perc_75 + (perc_90 - perc_75) * (2/3), converted_stat, '2K_Ratings'!M188, IF(bbgm_stat &gt;= perc_95, converted_stat * 3, IF(bbgm_stat &gt;= perc_90, converted_stat * 2, IF(bbgm_stat &gt;= perc_85, converted_stat * 1.5, converted_stat)))))</f>
        <v/>
      </c>
      <c r="N188" s="30" t="str">
        <f t="array" ref="N188">IF($A188="", "", LET(bbgm_stat, INDEX(Players!$A187:$P187, MATCH(N$2, Players!$A$1:$P$1, 0)), perc_75, VLOOKUP(N$2, Percentiles!$A$45:$I$59, 6, FALSE), perc_90, VLOOKUP(N$2, Percentiles!$A$45:$I$59, 7, FALSE), perc_95, VLOOKUP(N$2, Percentiles!$A$45:$I$59, 8, FALSE), perc_85, perc_75 + (perc_90 - perc_75) * (2/3), converted_stat, '2K_Ratings'!N188, IF(bbgm_stat &gt;= perc_95, converted_stat * 3, IF(bbgm_stat &gt;= perc_90, converted_stat * 2, IF(bbgm_stat &gt;= perc_85, converted_stat * 1.5, converted_stat)))))</f>
        <v/>
      </c>
      <c r="O188" s="30" t="str">
        <f t="array" ref="O188">IF($A188="", "", LET(bbgm_stat, INDEX(Players!$A187:$P187, MATCH(O$2, Players!$A$1:$P$1, 0)), perc_75, VLOOKUP(O$2, Percentiles!$A$45:$I$59, 6, FALSE), perc_90, VLOOKUP(O$2, Percentiles!$A$45:$I$59, 7, FALSE), perc_95, VLOOKUP(O$2, Percentiles!$A$45:$I$59, 8, FALSE), perc_85, perc_75 + (perc_90 - perc_75) * (2/3), converted_stat, '2K_Ratings'!O188, IF(bbgm_stat &gt;= perc_95, converted_stat * 3, IF(bbgm_stat &gt;= perc_90, converted_stat * 2, IF(bbgm_stat &gt;= perc_85, converted_stat * 1.5, converted_stat)))))</f>
        <v/>
      </c>
      <c r="P188" s="30" t="str">
        <f t="array" ref="P188">IF($A188="", "", LET(bbgm_stat, INDEX(Players!$A187:$P187, MATCH(P$2, Players!$A$1:$P$1, 0)), perc_75, VLOOKUP(P$2, Percentiles!$A$45:$I$59, 6, FALSE), perc_90, VLOOKUP(P$2, Percentiles!$A$45:$I$59, 7, FALSE), perc_95, VLOOKUP(P$2, Percentiles!$A$45:$I$59, 8, FALSE), perc_85, perc_75 + (perc_90 - perc_75) * (2/3), converted_stat, '2K_Ratings'!P188, IF(bbgm_stat &gt;= perc_95, converted_stat * 3, IF(bbgm_stat &gt;= perc_90, converted_stat * 2, IF(bbgm_stat &gt;= perc_85, converted_stat * 1.5, converted_stat)))))</f>
        <v/>
      </c>
      <c r="Q188" s="30" t="str">
        <f t="array" ref="Q188">IF($A188="", "", LET(bbgm_stat, INDEX(Players!$A187:$P187, MATCH(Q$2, Players!$A$1:$P$1, 0)), perc_75, VLOOKUP(Q$2, Percentiles!$A$45:$I$59, 6, FALSE), perc_90, VLOOKUP(Q$2, Percentiles!$A$45:$I$59, 7, FALSE), perc_95, VLOOKUP(Q$2, Percentiles!$A$45:$I$59, 8, FALSE), perc_85, perc_75 + (perc_90 - perc_75) * (2/3), converted_stat, '2K_Ratings'!Q188, IF(bbgm_stat &gt;= perc_95, converted_stat * 3, IF(bbgm_stat &gt;= perc_90, converted_stat * 2, IF(bbgm_stat &gt;= perc_85, converted_stat * 1.5, converted_stat)))))</f>
        <v/>
      </c>
      <c r="R188" s="30" t="str">
        <f t="array" ref="R188">IF($A188="", "", LET(bbgm_stat, INDEX(Players!$A187:$P187, MATCH(R$2, Players!$A$1:$P$1, 0)), perc_75, VLOOKUP(R$2, Percentiles!$A$45:$I$59, 6, FALSE), perc_90, VLOOKUP(R$2, Percentiles!$A$45:$I$59, 7, FALSE), perc_95, VLOOKUP(R$2, Percentiles!$A$45:$I$59, 8, FALSE), perc_85, perc_75 + (perc_90 - perc_75) * (2/3), converted_stat, '2K_Ratings'!R188, IF(bbgm_stat &gt;= perc_95, converted_stat * 3, IF(bbgm_stat &gt;= perc_90, converted_stat * 2, IF(bbgm_stat &gt;= perc_85, converted_stat * 1.5, converted_stat)))))</f>
        <v/>
      </c>
      <c r="S188" s="30" t="str">
        <f t="array" ref="S188">IF($A188="", "", LET(bbgm_stat, INDEX(Players!$A187:$P187, MATCH(S$2, Players!$A$1:$P$1, 0)), perc_75, VLOOKUP(S$2, Percentiles!$A$45:$I$59, 6, FALSE), perc_90, VLOOKUP(S$2, Percentiles!$A$45:$I$59, 7, FALSE), perc_95, VLOOKUP(S$2, Percentiles!$A$45:$I$59, 8, FALSE), perc_85, perc_75 + (perc_90 - perc_75) * (2/3), converted_stat, '2K_Ratings'!S188, IF(bbgm_stat &gt;= perc_95, converted_stat * 3, IF(bbgm_stat &gt;= perc_90, converted_stat * 2, IF(bbgm_stat &gt;= perc_85, converted_stat * 1.5, converted_stat)))))</f>
        <v/>
      </c>
      <c r="T188" s="30" t="str">
        <f t="array" ref="T188">IF($A188="", "", LET(bbgm_stat, INDEX(Players!$A187:$P187, MATCH(T$2, Players!$A$1:$P$1, 0)), perc_75, VLOOKUP(T$2, Percentiles!$A$45:$I$59, 6, FALSE), perc_90, VLOOKUP(T$2, Percentiles!$A$45:$I$59, 7, FALSE), perc_95, VLOOKUP(T$2, Percentiles!$A$45:$I$59, 8, FALSE), perc_85, perc_75 + (perc_90 - perc_75) * (2/3), converted_stat, '2K_Ratings'!T188, IF(bbgm_stat &gt;= perc_95, converted_stat * 3, IF(bbgm_stat &gt;= perc_90, converted_stat * 2, IF(bbgm_stat &gt;= perc_85, converted_stat * 1.5, converted_stat)))))</f>
        <v/>
      </c>
      <c r="U188" s="30" t="str">
        <f t="array" ref="U188">IF($A188="", "", LET(bbgm_stat, INDEX(Players!$A187:$P187, MATCH(U$2, Players!$A$1:$P$1, 0)), perc_75, VLOOKUP(U$2, Percentiles!$A$45:$I$59, 6, FALSE), perc_90, VLOOKUP(U$2, Percentiles!$A$45:$I$59, 7, FALSE), perc_95, VLOOKUP(U$2, Percentiles!$A$45:$I$59, 8, FALSE), perc_85, perc_75 + (perc_90 - perc_75) * (2/3), converted_stat, '2K_Ratings'!U188, IF(bbgm_stat &gt;= perc_95, converted_stat * 3, IF(bbgm_stat &gt;= perc_90, converted_stat * 2, IF(bbgm_stat &gt;= perc_85, converted_stat * 1.5, converted_stat)))))</f>
        <v/>
      </c>
      <c r="V188" s="30" t="str">
        <f t="array" ref="V188">IF($A188="", "", LET(bbgm_stat, INDEX(Players!$A187:$P187, MATCH(V$2, Players!$A$1:$P$1, 0)), perc_75, VLOOKUP(V$2, Percentiles!$A$45:$I$59, 6, FALSE), perc_90, VLOOKUP(V$2, Percentiles!$A$45:$I$59, 7, FALSE), perc_95, VLOOKUP(V$2, Percentiles!$A$45:$I$59, 8, FALSE), perc_85, perc_75 + (perc_90 - perc_75) * (2/3), converted_stat, '2K_Ratings'!V188, IF(bbgm_stat &gt;= perc_95, converted_stat * 3, IF(bbgm_stat &gt;= perc_90, converted_stat * 2, IF(bbgm_stat &gt;= perc_85, converted_stat * 1.5, converted_stat)))))</f>
        <v/>
      </c>
      <c r="W188" s="30" t="str">
        <f t="array" ref="W188">IF($A188="", "", LET(bbgm_stat, INDEX(Players!$A187:$P187, MATCH(W$2, Players!$A$1:$P$1, 0)), perc_75, VLOOKUP(W$2, Percentiles!$A$45:$I$59, 6, FALSE), perc_90, VLOOKUP(W$2, Percentiles!$A$45:$I$59, 7, FALSE), perc_95, VLOOKUP(W$2, Percentiles!$A$45:$I$59, 8, FALSE), perc_85, perc_75 + (perc_90 - perc_75) * (2/3), converted_stat, '2K_Ratings'!W188, IF(bbgm_stat &gt;= perc_95, converted_stat * 3, IF(bbgm_stat &gt;= perc_90, converted_stat * 2, IF(bbgm_stat &gt;= perc_85, converted_stat * 1.5, converted_stat)))))</f>
        <v/>
      </c>
    </row>
    <row r="189">
      <c r="A189" s="30"/>
      <c r="B189" s="30" t="str">
        <f t="array" ref="B189">IF($A189="", "", LET(bbgm_stat, INDEX(Players!$A188:$P188, MATCH(B$2, Players!$A$1:$P$1, 0)), perc_75, VLOOKUP(B$2, Percentiles!$A$45:$I$59, 6, FALSE), perc_90, VLOOKUP(B$2, Percentiles!$A$45:$I$59, 7, FALSE), perc_95, VLOOKUP(B$2, Percentiles!$A$45:$I$59, 8, FALSE), perc_85, perc_75 + (perc_90 - perc_75) * (2/3), converted_stat, '2K_Ratings'!B189, IF(bbgm_stat &gt;= perc_95, converted_stat * 3, IF(bbgm_stat &gt;= perc_90, converted_stat * 2, IF(bbgm_stat &gt;= perc_85, converted_stat * 1.5, converted_stat)))))</f>
        <v/>
      </c>
      <c r="C189" s="30" t="str">
        <f t="array" ref="C189">IF($A189="", "", LET(bbgm_stat, INDEX(Players!$A188:$P188, MATCH(C$2, Players!$A$1:$P$1, 0)), perc_75, VLOOKUP(C$2, Percentiles!$A$45:$I$59, 6, FALSE), perc_90, VLOOKUP(C$2, Percentiles!$A$45:$I$59, 7, FALSE), perc_95, VLOOKUP(C$2, Percentiles!$A$45:$I$59, 8, FALSE), perc_85, perc_75 + (perc_90 - perc_75) * (2/3), converted_stat, '2K_Ratings'!C189, IF(bbgm_stat &gt;= perc_95, converted_stat * 3, IF(bbgm_stat &gt;= perc_90, converted_stat * 2, IF(bbgm_stat &gt;= perc_85, converted_stat * 1.5, converted_stat)))))</f>
        <v/>
      </c>
      <c r="D189" s="30" t="str">
        <f t="array" ref="D189">IF($A189="", "", LET(bbgm_stat, INDEX(Players!$A188:$P188, MATCH(D$2, Players!$A$1:$P$1, 0)), perc_75, VLOOKUP(D$2, Percentiles!$A$45:$I$59, 6, FALSE), perc_90, VLOOKUP(D$2, Percentiles!$A$45:$I$59, 7, FALSE), perc_95, VLOOKUP(D$2, Percentiles!$A$45:$I$59, 8, FALSE), perc_85, perc_75 + (perc_90 - perc_75) * (2/3), converted_stat, '2K_Ratings'!D189, IF(bbgm_stat &gt;= perc_95, converted_stat * 3, IF(bbgm_stat &gt;= perc_90, converted_stat * 2, IF(bbgm_stat &gt;= perc_85, converted_stat * 1.5, converted_stat)))))</f>
        <v/>
      </c>
      <c r="E189" s="30" t="str">
        <f t="array" ref="E189">IF($A189="", "", LET(bbgm_stat, INDEX(Players!$A188:$P188, MATCH(E$2, Players!$A$1:$P$1, 0)), perc_75, VLOOKUP(E$2, Percentiles!$A$45:$I$59, 6, FALSE), perc_90, VLOOKUP(E$2, Percentiles!$A$45:$I$59, 7, FALSE), perc_95, VLOOKUP(E$2, Percentiles!$A$45:$I$59, 8, FALSE), perc_85, perc_75 + (perc_90 - perc_75) * (2/3), converted_stat, '2K_Ratings'!E189, IF(bbgm_stat &gt;= perc_95, converted_stat * 3, IF(bbgm_stat &gt;= perc_90, converted_stat * 2, IF(bbgm_stat &gt;= perc_85, converted_stat * 1.5, converted_stat)))))</f>
        <v/>
      </c>
      <c r="F189" s="30" t="str">
        <f t="array" ref="F189">IF($A189="", "", LET(bbgm_stat, INDEX(Players!$A188:$P188, MATCH(F$2, Players!$A$1:$P$1, 0)), perc_75, VLOOKUP(F$2, Percentiles!$A$45:$I$59, 6, FALSE), perc_90, VLOOKUP(F$2, Percentiles!$A$45:$I$59, 7, FALSE), perc_95, VLOOKUP(F$2, Percentiles!$A$45:$I$59, 8, FALSE), perc_85, perc_75 + (perc_90 - perc_75) * (2/3), converted_stat, '2K_Ratings'!F189, IF(bbgm_stat &gt;= perc_95, converted_stat * 3, IF(bbgm_stat &gt;= perc_90, converted_stat * 2, IF(bbgm_stat &gt;= perc_85, converted_stat * 1.5, converted_stat)))))</f>
        <v/>
      </c>
      <c r="G189" s="30" t="str">
        <f t="array" ref="G189">IF($A189="", "", LET(bbgm_stat, INDEX(Players!$A188:$P188, MATCH(G$2, Players!$A$1:$P$1, 0)), perc_75, VLOOKUP(G$2, Percentiles!$A$45:$I$59, 6, FALSE), perc_90, VLOOKUP(G$2, Percentiles!$A$45:$I$59, 7, FALSE), perc_95, VLOOKUP(G$2, Percentiles!$A$45:$I$59, 8, FALSE), perc_85, perc_75 + (perc_90 - perc_75) * (2/3), converted_stat, '2K_Ratings'!G189, IF(bbgm_stat &gt;= perc_95, converted_stat * 3, IF(bbgm_stat &gt;= perc_90, converted_stat * 2, IF(bbgm_stat &gt;= perc_85, converted_stat * 1.5, converted_stat)))))</f>
        <v/>
      </c>
      <c r="H189" s="30" t="str">
        <f t="array" ref="H189">IF($A189="", "", LET(bbgm_stat, INDEX(Players!$A188:$P188, MATCH(H$2, Players!$A$1:$P$1, 0)), perc_75, VLOOKUP(H$2, Percentiles!$A$45:$I$59, 6, FALSE), perc_90, VLOOKUP(H$2, Percentiles!$A$45:$I$59, 7, FALSE), perc_95, VLOOKUP(H$2, Percentiles!$A$45:$I$59, 8, FALSE), perc_85, perc_75 + (perc_90 - perc_75) * (2/3), converted_stat, '2K_Ratings'!H189, IF(bbgm_stat &gt;= perc_95, converted_stat * 3, IF(bbgm_stat &gt;= perc_90, converted_stat * 2, IF(bbgm_stat &gt;= perc_85, converted_stat * 1.5, converted_stat)))))</f>
        <v/>
      </c>
      <c r="I189" s="30" t="str">
        <f t="array" ref="I189">IF($A189="", "", LET(bbgm_stat, INDEX(Players!$A188:$P188, MATCH(I$2, Players!$A$1:$P$1, 0)), perc_75, VLOOKUP(I$2, Percentiles!$A$45:$I$59, 6, FALSE), perc_90, VLOOKUP(I$2, Percentiles!$A$45:$I$59, 7, FALSE), perc_95, VLOOKUP(I$2, Percentiles!$A$45:$I$59, 8, FALSE), perc_85, perc_75 + (perc_90 - perc_75) * (2/3), converted_stat, '2K_Ratings'!I189, IF(bbgm_stat &gt;= perc_95, converted_stat * 3, IF(bbgm_stat &gt;= perc_90, converted_stat * 2, IF(bbgm_stat &gt;= perc_85, converted_stat * 1.5, converted_stat)))))</f>
        <v/>
      </c>
      <c r="J189" s="30" t="str">
        <f t="array" ref="J189">IF($A189="", "", LET(bbgm_stat, INDEX(Players!$A188:$P188, MATCH(J$2, Players!$A$1:$P$1, 0)), perc_75, VLOOKUP(J$2, Percentiles!$A$45:$I$59, 6, FALSE), perc_90, VLOOKUP(J$2, Percentiles!$A$45:$I$59, 7, FALSE), perc_95, VLOOKUP(J$2, Percentiles!$A$45:$I$59, 8, FALSE), perc_85, perc_75 + (perc_90 - perc_75) * (2/3), converted_stat, '2K_Ratings'!J189, IF(bbgm_stat &gt;= perc_95, converted_stat * 3, IF(bbgm_stat &gt;= perc_90, converted_stat * 2, IF(bbgm_stat &gt;= perc_85, converted_stat * 1.5, converted_stat)))))</f>
        <v/>
      </c>
      <c r="K189" s="30" t="str">
        <f t="array" ref="K189">IF($A189="", "", LET(bbgm_stat, INDEX(Players!$A188:$P188, MATCH(K$2, Players!$A$1:$P$1, 0)), perc_75, VLOOKUP(K$2, Percentiles!$A$45:$I$59, 6, FALSE), perc_90, VLOOKUP(K$2, Percentiles!$A$45:$I$59, 7, FALSE), perc_95, VLOOKUP(K$2, Percentiles!$A$45:$I$59, 8, FALSE), perc_85, perc_75 + (perc_90 - perc_75) * (2/3), converted_stat, '2K_Ratings'!K189, IF(bbgm_stat &gt;= perc_95, converted_stat * 3, IF(bbgm_stat &gt;= perc_90, converted_stat * 2, IF(bbgm_stat &gt;= perc_85, converted_stat * 1.5, converted_stat)))))</f>
        <v/>
      </c>
      <c r="L189" s="30" t="str">
        <f t="array" ref="L189">IF($A189="", "", LET(bbgm_stat, INDEX(Players!$A188:$P188, MATCH(L$2, Players!$A$1:$P$1, 0)), perc_75, VLOOKUP(L$2, Percentiles!$A$45:$I$59, 6, FALSE), perc_90, VLOOKUP(L$2, Percentiles!$A$45:$I$59, 7, FALSE), perc_95, VLOOKUP(L$2, Percentiles!$A$45:$I$59, 8, FALSE), perc_85, perc_75 + (perc_90 - perc_75) * (2/3), converted_stat, '2K_Ratings'!L189, IF(bbgm_stat &gt;= perc_95, converted_stat * 3, IF(bbgm_stat &gt;= perc_90, converted_stat * 2, IF(bbgm_stat &gt;= perc_85, converted_stat * 1.5, converted_stat)))))</f>
        <v/>
      </c>
      <c r="M189" s="30" t="str">
        <f t="array" ref="M189">IF($A189="", "", LET(bbgm_stat, INDEX(Players!$A188:$P188, MATCH(M$2, Players!$A$1:$P$1, 0)), perc_75, VLOOKUP(M$2, Percentiles!$A$45:$I$59, 6, FALSE), perc_90, VLOOKUP(M$2, Percentiles!$A$45:$I$59, 7, FALSE), perc_95, VLOOKUP(M$2, Percentiles!$A$45:$I$59, 8, FALSE), perc_85, perc_75 + (perc_90 - perc_75) * (2/3), converted_stat, '2K_Ratings'!M189, IF(bbgm_stat &gt;= perc_95, converted_stat * 3, IF(bbgm_stat &gt;= perc_90, converted_stat * 2, IF(bbgm_stat &gt;= perc_85, converted_stat * 1.5, converted_stat)))))</f>
        <v/>
      </c>
      <c r="N189" s="30" t="str">
        <f t="array" ref="N189">IF($A189="", "", LET(bbgm_stat, INDEX(Players!$A188:$P188, MATCH(N$2, Players!$A$1:$P$1, 0)), perc_75, VLOOKUP(N$2, Percentiles!$A$45:$I$59, 6, FALSE), perc_90, VLOOKUP(N$2, Percentiles!$A$45:$I$59, 7, FALSE), perc_95, VLOOKUP(N$2, Percentiles!$A$45:$I$59, 8, FALSE), perc_85, perc_75 + (perc_90 - perc_75) * (2/3), converted_stat, '2K_Ratings'!N189, IF(bbgm_stat &gt;= perc_95, converted_stat * 3, IF(bbgm_stat &gt;= perc_90, converted_stat * 2, IF(bbgm_stat &gt;= perc_85, converted_stat * 1.5, converted_stat)))))</f>
        <v/>
      </c>
      <c r="O189" s="30" t="str">
        <f t="array" ref="O189">IF($A189="", "", LET(bbgm_stat, INDEX(Players!$A188:$P188, MATCH(O$2, Players!$A$1:$P$1, 0)), perc_75, VLOOKUP(O$2, Percentiles!$A$45:$I$59, 6, FALSE), perc_90, VLOOKUP(O$2, Percentiles!$A$45:$I$59, 7, FALSE), perc_95, VLOOKUP(O$2, Percentiles!$A$45:$I$59, 8, FALSE), perc_85, perc_75 + (perc_90 - perc_75) * (2/3), converted_stat, '2K_Ratings'!O189, IF(bbgm_stat &gt;= perc_95, converted_stat * 3, IF(bbgm_stat &gt;= perc_90, converted_stat * 2, IF(bbgm_stat &gt;= perc_85, converted_stat * 1.5, converted_stat)))))</f>
        <v/>
      </c>
      <c r="P189" s="30" t="str">
        <f t="array" ref="P189">IF($A189="", "", LET(bbgm_stat, INDEX(Players!$A188:$P188, MATCH(P$2, Players!$A$1:$P$1, 0)), perc_75, VLOOKUP(P$2, Percentiles!$A$45:$I$59, 6, FALSE), perc_90, VLOOKUP(P$2, Percentiles!$A$45:$I$59, 7, FALSE), perc_95, VLOOKUP(P$2, Percentiles!$A$45:$I$59, 8, FALSE), perc_85, perc_75 + (perc_90 - perc_75) * (2/3), converted_stat, '2K_Ratings'!P189, IF(bbgm_stat &gt;= perc_95, converted_stat * 3, IF(bbgm_stat &gt;= perc_90, converted_stat * 2, IF(bbgm_stat &gt;= perc_85, converted_stat * 1.5, converted_stat)))))</f>
        <v/>
      </c>
      <c r="Q189" s="30" t="str">
        <f t="array" ref="Q189">IF($A189="", "", LET(bbgm_stat, INDEX(Players!$A188:$P188, MATCH(Q$2, Players!$A$1:$P$1, 0)), perc_75, VLOOKUP(Q$2, Percentiles!$A$45:$I$59, 6, FALSE), perc_90, VLOOKUP(Q$2, Percentiles!$A$45:$I$59, 7, FALSE), perc_95, VLOOKUP(Q$2, Percentiles!$A$45:$I$59, 8, FALSE), perc_85, perc_75 + (perc_90 - perc_75) * (2/3), converted_stat, '2K_Ratings'!Q189, IF(bbgm_stat &gt;= perc_95, converted_stat * 3, IF(bbgm_stat &gt;= perc_90, converted_stat * 2, IF(bbgm_stat &gt;= perc_85, converted_stat * 1.5, converted_stat)))))</f>
        <v/>
      </c>
      <c r="R189" s="30" t="str">
        <f t="array" ref="R189">IF($A189="", "", LET(bbgm_stat, INDEX(Players!$A188:$P188, MATCH(R$2, Players!$A$1:$P$1, 0)), perc_75, VLOOKUP(R$2, Percentiles!$A$45:$I$59, 6, FALSE), perc_90, VLOOKUP(R$2, Percentiles!$A$45:$I$59, 7, FALSE), perc_95, VLOOKUP(R$2, Percentiles!$A$45:$I$59, 8, FALSE), perc_85, perc_75 + (perc_90 - perc_75) * (2/3), converted_stat, '2K_Ratings'!R189, IF(bbgm_stat &gt;= perc_95, converted_stat * 3, IF(bbgm_stat &gt;= perc_90, converted_stat * 2, IF(bbgm_stat &gt;= perc_85, converted_stat * 1.5, converted_stat)))))</f>
        <v/>
      </c>
      <c r="S189" s="30" t="str">
        <f t="array" ref="S189">IF($A189="", "", LET(bbgm_stat, INDEX(Players!$A188:$P188, MATCH(S$2, Players!$A$1:$P$1, 0)), perc_75, VLOOKUP(S$2, Percentiles!$A$45:$I$59, 6, FALSE), perc_90, VLOOKUP(S$2, Percentiles!$A$45:$I$59, 7, FALSE), perc_95, VLOOKUP(S$2, Percentiles!$A$45:$I$59, 8, FALSE), perc_85, perc_75 + (perc_90 - perc_75) * (2/3), converted_stat, '2K_Ratings'!S189, IF(bbgm_stat &gt;= perc_95, converted_stat * 3, IF(bbgm_stat &gt;= perc_90, converted_stat * 2, IF(bbgm_stat &gt;= perc_85, converted_stat * 1.5, converted_stat)))))</f>
        <v/>
      </c>
      <c r="T189" s="30" t="str">
        <f t="array" ref="T189">IF($A189="", "", LET(bbgm_stat, INDEX(Players!$A188:$P188, MATCH(T$2, Players!$A$1:$P$1, 0)), perc_75, VLOOKUP(T$2, Percentiles!$A$45:$I$59, 6, FALSE), perc_90, VLOOKUP(T$2, Percentiles!$A$45:$I$59, 7, FALSE), perc_95, VLOOKUP(T$2, Percentiles!$A$45:$I$59, 8, FALSE), perc_85, perc_75 + (perc_90 - perc_75) * (2/3), converted_stat, '2K_Ratings'!T189, IF(bbgm_stat &gt;= perc_95, converted_stat * 3, IF(bbgm_stat &gt;= perc_90, converted_stat * 2, IF(bbgm_stat &gt;= perc_85, converted_stat * 1.5, converted_stat)))))</f>
        <v/>
      </c>
      <c r="U189" s="30" t="str">
        <f t="array" ref="U189">IF($A189="", "", LET(bbgm_stat, INDEX(Players!$A188:$P188, MATCH(U$2, Players!$A$1:$P$1, 0)), perc_75, VLOOKUP(U$2, Percentiles!$A$45:$I$59, 6, FALSE), perc_90, VLOOKUP(U$2, Percentiles!$A$45:$I$59, 7, FALSE), perc_95, VLOOKUP(U$2, Percentiles!$A$45:$I$59, 8, FALSE), perc_85, perc_75 + (perc_90 - perc_75) * (2/3), converted_stat, '2K_Ratings'!U189, IF(bbgm_stat &gt;= perc_95, converted_stat * 3, IF(bbgm_stat &gt;= perc_90, converted_stat * 2, IF(bbgm_stat &gt;= perc_85, converted_stat * 1.5, converted_stat)))))</f>
        <v/>
      </c>
      <c r="V189" s="30" t="str">
        <f t="array" ref="V189">IF($A189="", "", LET(bbgm_stat, INDEX(Players!$A188:$P188, MATCH(V$2, Players!$A$1:$P$1, 0)), perc_75, VLOOKUP(V$2, Percentiles!$A$45:$I$59, 6, FALSE), perc_90, VLOOKUP(V$2, Percentiles!$A$45:$I$59, 7, FALSE), perc_95, VLOOKUP(V$2, Percentiles!$A$45:$I$59, 8, FALSE), perc_85, perc_75 + (perc_90 - perc_75) * (2/3), converted_stat, '2K_Ratings'!V189, IF(bbgm_stat &gt;= perc_95, converted_stat * 3, IF(bbgm_stat &gt;= perc_90, converted_stat * 2, IF(bbgm_stat &gt;= perc_85, converted_stat * 1.5, converted_stat)))))</f>
        <v/>
      </c>
      <c r="W189" s="30" t="str">
        <f t="array" ref="W189">IF($A189="", "", LET(bbgm_stat, INDEX(Players!$A188:$P188, MATCH(W$2, Players!$A$1:$P$1, 0)), perc_75, VLOOKUP(W$2, Percentiles!$A$45:$I$59, 6, FALSE), perc_90, VLOOKUP(W$2, Percentiles!$A$45:$I$59, 7, FALSE), perc_95, VLOOKUP(W$2, Percentiles!$A$45:$I$59, 8, FALSE), perc_85, perc_75 + (perc_90 - perc_75) * (2/3), converted_stat, '2K_Ratings'!W189, IF(bbgm_stat &gt;= perc_95, converted_stat * 3, IF(bbgm_stat &gt;= perc_90, converted_stat * 2, IF(bbgm_stat &gt;= perc_85, converted_stat * 1.5, converted_stat)))))</f>
        <v/>
      </c>
    </row>
    <row r="190">
      <c r="A190" s="30"/>
      <c r="B190" s="30" t="str">
        <f t="array" ref="B190">IF($A190="", "", LET(bbgm_stat, INDEX(Players!$A189:$P189, MATCH(B$2, Players!$A$1:$P$1, 0)), perc_75, VLOOKUP(B$2, Percentiles!$A$45:$I$59, 6, FALSE), perc_90, VLOOKUP(B$2, Percentiles!$A$45:$I$59, 7, FALSE), perc_95, VLOOKUP(B$2, Percentiles!$A$45:$I$59, 8, FALSE), perc_85, perc_75 + (perc_90 - perc_75) * (2/3), converted_stat, '2K_Ratings'!B190, IF(bbgm_stat &gt;= perc_95, converted_stat * 3, IF(bbgm_stat &gt;= perc_90, converted_stat * 2, IF(bbgm_stat &gt;= perc_85, converted_stat * 1.5, converted_stat)))))</f>
        <v/>
      </c>
      <c r="C190" s="30" t="str">
        <f t="array" ref="C190">IF($A190="", "", LET(bbgm_stat, INDEX(Players!$A189:$P189, MATCH(C$2, Players!$A$1:$P$1, 0)), perc_75, VLOOKUP(C$2, Percentiles!$A$45:$I$59, 6, FALSE), perc_90, VLOOKUP(C$2, Percentiles!$A$45:$I$59, 7, FALSE), perc_95, VLOOKUP(C$2, Percentiles!$A$45:$I$59, 8, FALSE), perc_85, perc_75 + (perc_90 - perc_75) * (2/3), converted_stat, '2K_Ratings'!C190, IF(bbgm_stat &gt;= perc_95, converted_stat * 3, IF(bbgm_stat &gt;= perc_90, converted_stat * 2, IF(bbgm_stat &gt;= perc_85, converted_stat * 1.5, converted_stat)))))</f>
        <v/>
      </c>
      <c r="D190" s="30" t="str">
        <f t="array" ref="D190">IF($A190="", "", LET(bbgm_stat, INDEX(Players!$A189:$P189, MATCH(D$2, Players!$A$1:$P$1, 0)), perc_75, VLOOKUP(D$2, Percentiles!$A$45:$I$59, 6, FALSE), perc_90, VLOOKUP(D$2, Percentiles!$A$45:$I$59, 7, FALSE), perc_95, VLOOKUP(D$2, Percentiles!$A$45:$I$59, 8, FALSE), perc_85, perc_75 + (perc_90 - perc_75) * (2/3), converted_stat, '2K_Ratings'!D190, IF(bbgm_stat &gt;= perc_95, converted_stat * 3, IF(bbgm_stat &gt;= perc_90, converted_stat * 2, IF(bbgm_stat &gt;= perc_85, converted_stat * 1.5, converted_stat)))))</f>
        <v/>
      </c>
      <c r="E190" s="30" t="str">
        <f t="array" ref="E190">IF($A190="", "", LET(bbgm_stat, INDEX(Players!$A189:$P189, MATCH(E$2, Players!$A$1:$P$1, 0)), perc_75, VLOOKUP(E$2, Percentiles!$A$45:$I$59, 6, FALSE), perc_90, VLOOKUP(E$2, Percentiles!$A$45:$I$59, 7, FALSE), perc_95, VLOOKUP(E$2, Percentiles!$A$45:$I$59, 8, FALSE), perc_85, perc_75 + (perc_90 - perc_75) * (2/3), converted_stat, '2K_Ratings'!E190, IF(bbgm_stat &gt;= perc_95, converted_stat * 3, IF(bbgm_stat &gt;= perc_90, converted_stat * 2, IF(bbgm_stat &gt;= perc_85, converted_stat * 1.5, converted_stat)))))</f>
        <v/>
      </c>
      <c r="F190" s="30" t="str">
        <f t="array" ref="F190">IF($A190="", "", LET(bbgm_stat, INDEX(Players!$A189:$P189, MATCH(F$2, Players!$A$1:$P$1, 0)), perc_75, VLOOKUP(F$2, Percentiles!$A$45:$I$59, 6, FALSE), perc_90, VLOOKUP(F$2, Percentiles!$A$45:$I$59, 7, FALSE), perc_95, VLOOKUP(F$2, Percentiles!$A$45:$I$59, 8, FALSE), perc_85, perc_75 + (perc_90 - perc_75) * (2/3), converted_stat, '2K_Ratings'!F190, IF(bbgm_stat &gt;= perc_95, converted_stat * 3, IF(bbgm_stat &gt;= perc_90, converted_stat * 2, IF(bbgm_stat &gt;= perc_85, converted_stat * 1.5, converted_stat)))))</f>
        <v/>
      </c>
      <c r="G190" s="30" t="str">
        <f t="array" ref="G190">IF($A190="", "", LET(bbgm_stat, INDEX(Players!$A189:$P189, MATCH(G$2, Players!$A$1:$P$1, 0)), perc_75, VLOOKUP(G$2, Percentiles!$A$45:$I$59, 6, FALSE), perc_90, VLOOKUP(G$2, Percentiles!$A$45:$I$59, 7, FALSE), perc_95, VLOOKUP(G$2, Percentiles!$A$45:$I$59, 8, FALSE), perc_85, perc_75 + (perc_90 - perc_75) * (2/3), converted_stat, '2K_Ratings'!G190, IF(bbgm_stat &gt;= perc_95, converted_stat * 3, IF(bbgm_stat &gt;= perc_90, converted_stat * 2, IF(bbgm_stat &gt;= perc_85, converted_stat * 1.5, converted_stat)))))</f>
        <v/>
      </c>
      <c r="H190" s="30" t="str">
        <f t="array" ref="H190">IF($A190="", "", LET(bbgm_stat, INDEX(Players!$A189:$P189, MATCH(H$2, Players!$A$1:$P$1, 0)), perc_75, VLOOKUP(H$2, Percentiles!$A$45:$I$59, 6, FALSE), perc_90, VLOOKUP(H$2, Percentiles!$A$45:$I$59, 7, FALSE), perc_95, VLOOKUP(H$2, Percentiles!$A$45:$I$59, 8, FALSE), perc_85, perc_75 + (perc_90 - perc_75) * (2/3), converted_stat, '2K_Ratings'!H190, IF(bbgm_stat &gt;= perc_95, converted_stat * 3, IF(bbgm_stat &gt;= perc_90, converted_stat * 2, IF(bbgm_stat &gt;= perc_85, converted_stat * 1.5, converted_stat)))))</f>
        <v/>
      </c>
      <c r="I190" s="30" t="str">
        <f t="array" ref="I190">IF($A190="", "", LET(bbgm_stat, INDEX(Players!$A189:$P189, MATCH(I$2, Players!$A$1:$P$1, 0)), perc_75, VLOOKUP(I$2, Percentiles!$A$45:$I$59, 6, FALSE), perc_90, VLOOKUP(I$2, Percentiles!$A$45:$I$59, 7, FALSE), perc_95, VLOOKUP(I$2, Percentiles!$A$45:$I$59, 8, FALSE), perc_85, perc_75 + (perc_90 - perc_75) * (2/3), converted_stat, '2K_Ratings'!I190, IF(bbgm_stat &gt;= perc_95, converted_stat * 3, IF(bbgm_stat &gt;= perc_90, converted_stat * 2, IF(bbgm_stat &gt;= perc_85, converted_stat * 1.5, converted_stat)))))</f>
        <v/>
      </c>
      <c r="J190" s="30" t="str">
        <f t="array" ref="J190">IF($A190="", "", LET(bbgm_stat, INDEX(Players!$A189:$P189, MATCH(J$2, Players!$A$1:$P$1, 0)), perc_75, VLOOKUP(J$2, Percentiles!$A$45:$I$59, 6, FALSE), perc_90, VLOOKUP(J$2, Percentiles!$A$45:$I$59, 7, FALSE), perc_95, VLOOKUP(J$2, Percentiles!$A$45:$I$59, 8, FALSE), perc_85, perc_75 + (perc_90 - perc_75) * (2/3), converted_stat, '2K_Ratings'!J190, IF(bbgm_stat &gt;= perc_95, converted_stat * 3, IF(bbgm_stat &gt;= perc_90, converted_stat * 2, IF(bbgm_stat &gt;= perc_85, converted_stat * 1.5, converted_stat)))))</f>
        <v/>
      </c>
      <c r="K190" s="30" t="str">
        <f t="array" ref="K190">IF($A190="", "", LET(bbgm_stat, INDEX(Players!$A189:$P189, MATCH(K$2, Players!$A$1:$P$1, 0)), perc_75, VLOOKUP(K$2, Percentiles!$A$45:$I$59, 6, FALSE), perc_90, VLOOKUP(K$2, Percentiles!$A$45:$I$59, 7, FALSE), perc_95, VLOOKUP(K$2, Percentiles!$A$45:$I$59, 8, FALSE), perc_85, perc_75 + (perc_90 - perc_75) * (2/3), converted_stat, '2K_Ratings'!K190, IF(bbgm_stat &gt;= perc_95, converted_stat * 3, IF(bbgm_stat &gt;= perc_90, converted_stat * 2, IF(bbgm_stat &gt;= perc_85, converted_stat * 1.5, converted_stat)))))</f>
        <v/>
      </c>
      <c r="L190" s="30" t="str">
        <f t="array" ref="L190">IF($A190="", "", LET(bbgm_stat, INDEX(Players!$A189:$P189, MATCH(L$2, Players!$A$1:$P$1, 0)), perc_75, VLOOKUP(L$2, Percentiles!$A$45:$I$59, 6, FALSE), perc_90, VLOOKUP(L$2, Percentiles!$A$45:$I$59, 7, FALSE), perc_95, VLOOKUP(L$2, Percentiles!$A$45:$I$59, 8, FALSE), perc_85, perc_75 + (perc_90 - perc_75) * (2/3), converted_stat, '2K_Ratings'!L190, IF(bbgm_stat &gt;= perc_95, converted_stat * 3, IF(bbgm_stat &gt;= perc_90, converted_stat * 2, IF(bbgm_stat &gt;= perc_85, converted_stat * 1.5, converted_stat)))))</f>
        <v/>
      </c>
      <c r="M190" s="30" t="str">
        <f t="array" ref="M190">IF($A190="", "", LET(bbgm_stat, INDEX(Players!$A189:$P189, MATCH(M$2, Players!$A$1:$P$1, 0)), perc_75, VLOOKUP(M$2, Percentiles!$A$45:$I$59, 6, FALSE), perc_90, VLOOKUP(M$2, Percentiles!$A$45:$I$59, 7, FALSE), perc_95, VLOOKUP(M$2, Percentiles!$A$45:$I$59, 8, FALSE), perc_85, perc_75 + (perc_90 - perc_75) * (2/3), converted_stat, '2K_Ratings'!M190, IF(bbgm_stat &gt;= perc_95, converted_stat * 3, IF(bbgm_stat &gt;= perc_90, converted_stat * 2, IF(bbgm_stat &gt;= perc_85, converted_stat * 1.5, converted_stat)))))</f>
        <v/>
      </c>
      <c r="N190" s="30" t="str">
        <f t="array" ref="N190">IF($A190="", "", LET(bbgm_stat, INDEX(Players!$A189:$P189, MATCH(N$2, Players!$A$1:$P$1, 0)), perc_75, VLOOKUP(N$2, Percentiles!$A$45:$I$59, 6, FALSE), perc_90, VLOOKUP(N$2, Percentiles!$A$45:$I$59, 7, FALSE), perc_95, VLOOKUP(N$2, Percentiles!$A$45:$I$59, 8, FALSE), perc_85, perc_75 + (perc_90 - perc_75) * (2/3), converted_stat, '2K_Ratings'!N190, IF(bbgm_stat &gt;= perc_95, converted_stat * 3, IF(bbgm_stat &gt;= perc_90, converted_stat * 2, IF(bbgm_stat &gt;= perc_85, converted_stat * 1.5, converted_stat)))))</f>
        <v/>
      </c>
      <c r="O190" s="30" t="str">
        <f t="array" ref="O190">IF($A190="", "", LET(bbgm_stat, INDEX(Players!$A189:$P189, MATCH(O$2, Players!$A$1:$P$1, 0)), perc_75, VLOOKUP(O$2, Percentiles!$A$45:$I$59, 6, FALSE), perc_90, VLOOKUP(O$2, Percentiles!$A$45:$I$59, 7, FALSE), perc_95, VLOOKUP(O$2, Percentiles!$A$45:$I$59, 8, FALSE), perc_85, perc_75 + (perc_90 - perc_75) * (2/3), converted_stat, '2K_Ratings'!O190, IF(bbgm_stat &gt;= perc_95, converted_stat * 3, IF(bbgm_stat &gt;= perc_90, converted_stat * 2, IF(bbgm_stat &gt;= perc_85, converted_stat * 1.5, converted_stat)))))</f>
        <v/>
      </c>
      <c r="P190" s="30" t="str">
        <f t="array" ref="P190">IF($A190="", "", LET(bbgm_stat, INDEX(Players!$A189:$P189, MATCH(P$2, Players!$A$1:$P$1, 0)), perc_75, VLOOKUP(P$2, Percentiles!$A$45:$I$59, 6, FALSE), perc_90, VLOOKUP(P$2, Percentiles!$A$45:$I$59, 7, FALSE), perc_95, VLOOKUP(P$2, Percentiles!$A$45:$I$59, 8, FALSE), perc_85, perc_75 + (perc_90 - perc_75) * (2/3), converted_stat, '2K_Ratings'!P190, IF(bbgm_stat &gt;= perc_95, converted_stat * 3, IF(bbgm_stat &gt;= perc_90, converted_stat * 2, IF(bbgm_stat &gt;= perc_85, converted_stat * 1.5, converted_stat)))))</f>
        <v/>
      </c>
      <c r="Q190" s="30" t="str">
        <f t="array" ref="Q190">IF($A190="", "", LET(bbgm_stat, INDEX(Players!$A189:$P189, MATCH(Q$2, Players!$A$1:$P$1, 0)), perc_75, VLOOKUP(Q$2, Percentiles!$A$45:$I$59, 6, FALSE), perc_90, VLOOKUP(Q$2, Percentiles!$A$45:$I$59, 7, FALSE), perc_95, VLOOKUP(Q$2, Percentiles!$A$45:$I$59, 8, FALSE), perc_85, perc_75 + (perc_90 - perc_75) * (2/3), converted_stat, '2K_Ratings'!Q190, IF(bbgm_stat &gt;= perc_95, converted_stat * 3, IF(bbgm_stat &gt;= perc_90, converted_stat * 2, IF(bbgm_stat &gt;= perc_85, converted_stat * 1.5, converted_stat)))))</f>
        <v/>
      </c>
      <c r="R190" s="30" t="str">
        <f t="array" ref="R190">IF($A190="", "", LET(bbgm_stat, INDEX(Players!$A189:$P189, MATCH(R$2, Players!$A$1:$P$1, 0)), perc_75, VLOOKUP(R$2, Percentiles!$A$45:$I$59, 6, FALSE), perc_90, VLOOKUP(R$2, Percentiles!$A$45:$I$59, 7, FALSE), perc_95, VLOOKUP(R$2, Percentiles!$A$45:$I$59, 8, FALSE), perc_85, perc_75 + (perc_90 - perc_75) * (2/3), converted_stat, '2K_Ratings'!R190, IF(bbgm_stat &gt;= perc_95, converted_stat * 3, IF(bbgm_stat &gt;= perc_90, converted_stat * 2, IF(bbgm_stat &gt;= perc_85, converted_stat * 1.5, converted_stat)))))</f>
        <v/>
      </c>
      <c r="S190" s="30" t="str">
        <f t="array" ref="S190">IF($A190="", "", LET(bbgm_stat, INDEX(Players!$A189:$P189, MATCH(S$2, Players!$A$1:$P$1, 0)), perc_75, VLOOKUP(S$2, Percentiles!$A$45:$I$59, 6, FALSE), perc_90, VLOOKUP(S$2, Percentiles!$A$45:$I$59, 7, FALSE), perc_95, VLOOKUP(S$2, Percentiles!$A$45:$I$59, 8, FALSE), perc_85, perc_75 + (perc_90 - perc_75) * (2/3), converted_stat, '2K_Ratings'!S190, IF(bbgm_stat &gt;= perc_95, converted_stat * 3, IF(bbgm_stat &gt;= perc_90, converted_stat * 2, IF(bbgm_stat &gt;= perc_85, converted_stat * 1.5, converted_stat)))))</f>
        <v/>
      </c>
      <c r="T190" s="30" t="str">
        <f t="array" ref="T190">IF($A190="", "", LET(bbgm_stat, INDEX(Players!$A189:$P189, MATCH(T$2, Players!$A$1:$P$1, 0)), perc_75, VLOOKUP(T$2, Percentiles!$A$45:$I$59, 6, FALSE), perc_90, VLOOKUP(T$2, Percentiles!$A$45:$I$59, 7, FALSE), perc_95, VLOOKUP(T$2, Percentiles!$A$45:$I$59, 8, FALSE), perc_85, perc_75 + (perc_90 - perc_75) * (2/3), converted_stat, '2K_Ratings'!T190, IF(bbgm_stat &gt;= perc_95, converted_stat * 3, IF(bbgm_stat &gt;= perc_90, converted_stat * 2, IF(bbgm_stat &gt;= perc_85, converted_stat * 1.5, converted_stat)))))</f>
        <v/>
      </c>
      <c r="U190" s="30" t="str">
        <f t="array" ref="U190">IF($A190="", "", LET(bbgm_stat, INDEX(Players!$A189:$P189, MATCH(U$2, Players!$A$1:$P$1, 0)), perc_75, VLOOKUP(U$2, Percentiles!$A$45:$I$59, 6, FALSE), perc_90, VLOOKUP(U$2, Percentiles!$A$45:$I$59, 7, FALSE), perc_95, VLOOKUP(U$2, Percentiles!$A$45:$I$59, 8, FALSE), perc_85, perc_75 + (perc_90 - perc_75) * (2/3), converted_stat, '2K_Ratings'!U190, IF(bbgm_stat &gt;= perc_95, converted_stat * 3, IF(bbgm_stat &gt;= perc_90, converted_stat * 2, IF(bbgm_stat &gt;= perc_85, converted_stat * 1.5, converted_stat)))))</f>
        <v/>
      </c>
      <c r="V190" s="30" t="str">
        <f t="array" ref="V190">IF($A190="", "", LET(bbgm_stat, INDEX(Players!$A189:$P189, MATCH(V$2, Players!$A$1:$P$1, 0)), perc_75, VLOOKUP(V$2, Percentiles!$A$45:$I$59, 6, FALSE), perc_90, VLOOKUP(V$2, Percentiles!$A$45:$I$59, 7, FALSE), perc_95, VLOOKUP(V$2, Percentiles!$A$45:$I$59, 8, FALSE), perc_85, perc_75 + (perc_90 - perc_75) * (2/3), converted_stat, '2K_Ratings'!V190, IF(bbgm_stat &gt;= perc_95, converted_stat * 3, IF(bbgm_stat &gt;= perc_90, converted_stat * 2, IF(bbgm_stat &gt;= perc_85, converted_stat * 1.5, converted_stat)))))</f>
        <v/>
      </c>
      <c r="W190" s="30" t="str">
        <f t="array" ref="W190">IF($A190="", "", LET(bbgm_stat, INDEX(Players!$A189:$P189, MATCH(W$2, Players!$A$1:$P$1, 0)), perc_75, VLOOKUP(W$2, Percentiles!$A$45:$I$59, 6, FALSE), perc_90, VLOOKUP(W$2, Percentiles!$A$45:$I$59, 7, FALSE), perc_95, VLOOKUP(W$2, Percentiles!$A$45:$I$59, 8, FALSE), perc_85, perc_75 + (perc_90 - perc_75) * (2/3), converted_stat, '2K_Ratings'!W190, IF(bbgm_stat &gt;= perc_95, converted_stat * 3, IF(bbgm_stat &gt;= perc_90, converted_stat * 2, IF(bbgm_stat &gt;= perc_85, converted_stat * 1.5, converted_stat)))))</f>
        <v/>
      </c>
    </row>
    <row r="191">
      <c r="A191" s="30"/>
      <c r="B191" s="30" t="str">
        <f t="array" ref="B191">IF($A191="", "", LET(bbgm_stat, INDEX(Players!$A190:$P190, MATCH(B$2, Players!$A$1:$P$1, 0)), perc_75, VLOOKUP(B$2, Percentiles!$A$45:$I$59, 6, FALSE), perc_90, VLOOKUP(B$2, Percentiles!$A$45:$I$59, 7, FALSE), perc_95, VLOOKUP(B$2, Percentiles!$A$45:$I$59, 8, FALSE), perc_85, perc_75 + (perc_90 - perc_75) * (2/3), converted_stat, '2K_Ratings'!B191, IF(bbgm_stat &gt;= perc_95, converted_stat * 3, IF(bbgm_stat &gt;= perc_90, converted_stat * 2, IF(bbgm_stat &gt;= perc_85, converted_stat * 1.5, converted_stat)))))</f>
        <v/>
      </c>
      <c r="C191" s="30" t="str">
        <f t="array" ref="C191">IF($A191="", "", LET(bbgm_stat, INDEX(Players!$A190:$P190, MATCH(C$2, Players!$A$1:$P$1, 0)), perc_75, VLOOKUP(C$2, Percentiles!$A$45:$I$59, 6, FALSE), perc_90, VLOOKUP(C$2, Percentiles!$A$45:$I$59, 7, FALSE), perc_95, VLOOKUP(C$2, Percentiles!$A$45:$I$59, 8, FALSE), perc_85, perc_75 + (perc_90 - perc_75) * (2/3), converted_stat, '2K_Ratings'!C191, IF(bbgm_stat &gt;= perc_95, converted_stat * 3, IF(bbgm_stat &gt;= perc_90, converted_stat * 2, IF(bbgm_stat &gt;= perc_85, converted_stat * 1.5, converted_stat)))))</f>
        <v/>
      </c>
      <c r="D191" s="30" t="str">
        <f t="array" ref="D191">IF($A191="", "", LET(bbgm_stat, INDEX(Players!$A190:$P190, MATCH(D$2, Players!$A$1:$P$1, 0)), perc_75, VLOOKUP(D$2, Percentiles!$A$45:$I$59, 6, FALSE), perc_90, VLOOKUP(D$2, Percentiles!$A$45:$I$59, 7, FALSE), perc_95, VLOOKUP(D$2, Percentiles!$A$45:$I$59, 8, FALSE), perc_85, perc_75 + (perc_90 - perc_75) * (2/3), converted_stat, '2K_Ratings'!D191, IF(bbgm_stat &gt;= perc_95, converted_stat * 3, IF(bbgm_stat &gt;= perc_90, converted_stat * 2, IF(bbgm_stat &gt;= perc_85, converted_stat * 1.5, converted_stat)))))</f>
        <v/>
      </c>
      <c r="E191" s="30" t="str">
        <f t="array" ref="E191">IF($A191="", "", LET(bbgm_stat, INDEX(Players!$A190:$P190, MATCH(E$2, Players!$A$1:$P$1, 0)), perc_75, VLOOKUP(E$2, Percentiles!$A$45:$I$59, 6, FALSE), perc_90, VLOOKUP(E$2, Percentiles!$A$45:$I$59, 7, FALSE), perc_95, VLOOKUP(E$2, Percentiles!$A$45:$I$59, 8, FALSE), perc_85, perc_75 + (perc_90 - perc_75) * (2/3), converted_stat, '2K_Ratings'!E191, IF(bbgm_stat &gt;= perc_95, converted_stat * 3, IF(bbgm_stat &gt;= perc_90, converted_stat * 2, IF(bbgm_stat &gt;= perc_85, converted_stat * 1.5, converted_stat)))))</f>
        <v/>
      </c>
      <c r="F191" s="30" t="str">
        <f t="array" ref="F191">IF($A191="", "", LET(bbgm_stat, INDEX(Players!$A190:$P190, MATCH(F$2, Players!$A$1:$P$1, 0)), perc_75, VLOOKUP(F$2, Percentiles!$A$45:$I$59, 6, FALSE), perc_90, VLOOKUP(F$2, Percentiles!$A$45:$I$59, 7, FALSE), perc_95, VLOOKUP(F$2, Percentiles!$A$45:$I$59, 8, FALSE), perc_85, perc_75 + (perc_90 - perc_75) * (2/3), converted_stat, '2K_Ratings'!F191, IF(bbgm_stat &gt;= perc_95, converted_stat * 3, IF(bbgm_stat &gt;= perc_90, converted_stat * 2, IF(bbgm_stat &gt;= perc_85, converted_stat * 1.5, converted_stat)))))</f>
        <v/>
      </c>
      <c r="G191" s="30" t="str">
        <f t="array" ref="G191">IF($A191="", "", LET(bbgm_stat, INDEX(Players!$A190:$P190, MATCH(G$2, Players!$A$1:$P$1, 0)), perc_75, VLOOKUP(G$2, Percentiles!$A$45:$I$59, 6, FALSE), perc_90, VLOOKUP(G$2, Percentiles!$A$45:$I$59, 7, FALSE), perc_95, VLOOKUP(G$2, Percentiles!$A$45:$I$59, 8, FALSE), perc_85, perc_75 + (perc_90 - perc_75) * (2/3), converted_stat, '2K_Ratings'!G191, IF(bbgm_stat &gt;= perc_95, converted_stat * 3, IF(bbgm_stat &gt;= perc_90, converted_stat * 2, IF(bbgm_stat &gt;= perc_85, converted_stat * 1.5, converted_stat)))))</f>
        <v/>
      </c>
      <c r="H191" s="30" t="str">
        <f t="array" ref="H191">IF($A191="", "", LET(bbgm_stat, INDEX(Players!$A190:$P190, MATCH(H$2, Players!$A$1:$P$1, 0)), perc_75, VLOOKUP(H$2, Percentiles!$A$45:$I$59, 6, FALSE), perc_90, VLOOKUP(H$2, Percentiles!$A$45:$I$59, 7, FALSE), perc_95, VLOOKUP(H$2, Percentiles!$A$45:$I$59, 8, FALSE), perc_85, perc_75 + (perc_90 - perc_75) * (2/3), converted_stat, '2K_Ratings'!H191, IF(bbgm_stat &gt;= perc_95, converted_stat * 3, IF(bbgm_stat &gt;= perc_90, converted_stat * 2, IF(bbgm_stat &gt;= perc_85, converted_stat * 1.5, converted_stat)))))</f>
        <v/>
      </c>
      <c r="I191" s="30" t="str">
        <f t="array" ref="I191">IF($A191="", "", LET(bbgm_stat, INDEX(Players!$A190:$P190, MATCH(I$2, Players!$A$1:$P$1, 0)), perc_75, VLOOKUP(I$2, Percentiles!$A$45:$I$59, 6, FALSE), perc_90, VLOOKUP(I$2, Percentiles!$A$45:$I$59, 7, FALSE), perc_95, VLOOKUP(I$2, Percentiles!$A$45:$I$59, 8, FALSE), perc_85, perc_75 + (perc_90 - perc_75) * (2/3), converted_stat, '2K_Ratings'!I191, IF(bbgm_stat &gt;= perc_95, converted_stat * 3, IF(bbgm_stat &gt;= perc_90, converted_stat * 2, IF(bbgm_stat &gt;= perc_85, converted_stat * 1.5, converted_stat)))))</f>
        <v/>
      </c>
      <c r="J191" s="30" t="str">
        <f t="array" ref="J191">IF($A191="", "", LET(bbgm_stat, INDEX(Players!$A190:$P190, MATCH(J$2, Players!$A$1:$P$1, 0)), perc_75, VLOOKUP(J$2, Percentiles!$A$45:$I$59, 6, FALSE), perc_90, VLOOKUP(J$2, Percentiles!$A$45:$I$59, 7, FALSE), perc_95, VLOOKUP(J$2, Percentiles!$A$45:$I$59, 8, FALSE), perc_85, perc_75 + (perc_90 - perc_75) * (2/3), converted_stat, '2K_Ratings'!J191, IF(bbgm_stat &gt;= perc_95, converted_stat * 3, IF(bbgm_stat &gt;= perc_90, converted_stat * 2, IF(bbgm_stat &gt;= perc_85, converted_stat * 1.5, converted_stat)))))</f>
        <v/>
      </c>
      <c r="K191" s="30" t="str">
        <f t="array" ref="K191">IF($A191="", "", LET(bbgm_stat, INDEX(Players!$A190:$P190, MATCH(K$2, Players!$A$1:$P$1, 0)), perc_75, VLOOKUP(K$2, Percentiles!$A$45:$I$59, 6, FALSE), perc_90, VLOOKUP(K$2, Percentiles!$A$45:$I$59, 7, FALSE), perc_95, VLOOKUP(K$2, Percentiles!$A$45:$I$59, 8, FALSE), perc_85, perc_75 + (perc_90 - perc_75) * (2/3), converted_stat, '2K_Ratings'!K191, IF(bbgm_stat &gt;= perc_95, converted_stat * 3, IF(bbgm_stat &gt;= perc_90, converted_stat * 2, IF(bbgm_stat &gt;= perc_85, converted_stat * 1.5, converted_stat)))))</f>
        <v/>
      </c>
      <c r="L191" s="30" t="str">
        <f t="array" ref="L191">IF($A191="", "", LET(bbgm_stat, INDEX(Players!$A190:$P190, MATCH(L$2, Players!$A$1:$P$1, 0)), perc_75, VLOOKUP(L$2, Percentiles!$A$45:$I$59, 6, FALSE), perc_90, VLOOKUP(L$2, Percentiles!$A$45:$I$59, 7, FALSE), perc_95, VLOOKUP(L$2, Percentiles!$A$45:$I$59, 8, FALSE), perc_85, perc_75 + (perc_90 - perc_75) * (2/3), converted_stat, '2K_Ratings'!L191, IF(bbgm_stat &gt;= perc_95, converted_stat * 3, IF(bbgm_stat &gt;= perc_90, converted_stat * 2, IF(bbgm_stat &gt;= perc_85, converted_stat * 1.5, converted_stat)))))</f>
        <v/>
      </c>
      <c r="M191" s="30" t="str">
        <f t="array" ref="M191">IF($A191="", "", LET(bbgm_stat, INDEX(Players!$A190:$P190, MATCH(M$2, Players!$A$1:$P$1, 0)), perc_75, VLOOKUP(M$2, Percentiles!$A$45:$I$59, 6, FALSE), perc_90, VLOOKUP(M$2, Percentiles!$A$45:$I$59, 7, FALSE), perc_95, VLOOKUP(M$2, Percentiles!$A$45:$I$59, 8, FALSE), perc_85, perc_75 + (perc_90 - perc_75) * (2/3), converted_stat, '2K_Ratings'!M191, IF(bbgm_stat &gt;= perc_95, converted_stat * 3, IF(bbgm_stat &gt;= perc_90, converted_stat * 2, IF(bbgm_stat &gt;= perc_85, converted_stat * 1.5, converted_stat)))))</f>
        <v/>
      </c>
      <c r="N191" s="30" t="str">
        <f t="array" ref="N191">IF($A191="", "", LET(bbgm_stat, INDEX(Players!$A190:$P190, MATCH(N$2, Players!$A$1:$P$1, 0)), perc_75, VLOOKUP(N$2, Percentiles!$A$45:$I$59, 6, FALSE), perc_90, VLOOKUP(N$2, Percentiles!$A$45:$I$59, 7, FALSE), perc_95, VLOOKUP(N$2, Percentiles!$A$45:$I$59, 8, FALSE), perc_85, perc_75 + (perc_90 - perc_75) * (2/3), converted_stat, '2K_Ratings'!N191, IF(bbgm_stat &gt;= perc_95, converted_stat * 3, IF(bbgm_stat &gt;= perc_90, converted_stat * 2, IF(bbgm_stat &gt;= perc_85, converted_stat * 1.5, converted_stat)))))</f>
        <v/>
      </c>
      <c r="O191" s="30" t="str">
        <f t="array" ref="O191">IF($A191="", "", LET(bbgm_stat, INDEX(Players!$A190:$P190, MATCH(O$2, Players!$A$1:$P$1, 0)), perc_75, VLOOKUP(O$2, Percentiles!$A$45:$I$59, 6, FALSE), perc_90, VLOOKUP(O$2, Percentiles!$A$45:$I$59, 7, FALSE), perc_95, VLOOKUP(O$2, Percentiles!$A$45:$I$59, 8, FALSE), perc_85, perc_75 + (perc_90 - perc_75) * (2/3), converted_stat, '2K_Ratings'!O191, IF(bbgm_stat &gt;= perc_95, converted_stat * 3, IF(bbgm_stat &gt;= perc_90, converted_stat * 2, IF(bbgm_stat &gt;= perc_85, converted_stat * 1.5, converted_stat)))))</f>
        <v/>
      </c>
      <c r="P191" s="30" t="str">
        <f t="array" ref="P191">IF($A191="", "", LET(bbgm_stat, INDEX(Players!$A190:$P190, MATCH(P$2, Players!$A$1:$P$1, 0)), perc_75, VLOOKUP(P$2, Percentiles!$A$45:$I$59, 6, FALSE), perc_90, VLOOKUP(P$2, Percentiles!$A$45:$I$59, 7, FALSE), perc_95, VLOOKUP(P$2, Percentiles!$A$45:$I$59, 8, FALSE), perc_85, perc_75 + (perc_90 - perc_75) * (2/3), converted_stat, '2K_Ratings'!P191, IF(bbgm_stat &gt;= perc_95, converted_stat * 3, IF(bbgm_stat &gt;= perc_90, converted_stat * 2, IF(bbgm_stat &gt;= perc_85, converted_stat * 1.5, converted_stat)))))</f>
        <v/>
      </c>
      <c r="Q191" s="30" t="str">
        <f t="array" ref="Q191">IF($A191="", "", LET(bbgm_stat, INDEX(Players!$A190:$P190, MATCH(Q$2, Players!$A$1:$P$1, 0)), perc_75, VLOOKUP(Q$2, Percentiles!$A$45:$I$59, 6, FALSE), perc_90, VLOOKUP(Q$2, Percentiles!$A$45:$I$59, 7, FALSE), perc_95, VLOOKUP(Q$2, Percentiles!$A$45:$I$59, 8, FALSE), perc_85, perc_75 + (perc_90 - perc_75) * (2/3), converted_stat, '2K_Ratings'!Q191, IF(bbgm_stat &gt;= perc_95, converted_stat * 3, IF(bbgm_stat &gt;= perc_90, converted_stat * 2, IF(bbgm_stat &gt;= perc_85, converted_stat * 1.5, converted_stat)))))</f>
        <v/>
      </c>
      <c r="R191" s="30" t="str">
        <f t="array" ref="R191">IF($A191="", "", LET(bbgm_stat, INDEX(Players!$A190:$P190, MATCH(R$2, Players!$A$1:$P$1, 0)), perc_75, VLOOKUP(R$2, Percentiles!$A$45:$I$59, 6, FALSE), perc_90, VLOOKUP(R$2, Percentiles!$A$45:$I$59, 7, FALSE), perc_95, VLOOKUP(R$2, Percentiles!$A$45:$I$59, 8, FALSE), perc_85, perc_75 + (perc_90 - perc_75) * (2/3), converted_stat, '2K_Ratings'!R191, IF(bbgm_stat &gt;= perc_95, converted_stat * 3, IF(bbgm_stat &gt;= perc_90, converted_stat * 2, IF(bbgm_stat &gt;= perc_85, converted_stat * 1.5, converted_stat)))))</f>
        <v/>
      </c>
      <c r="S191" s="30" t="str">
        <f t="array" ref="S191">IF($A191="", "", LET(bbgm_stat, INDEX(Players!$A190:$P190, MATCH(S$2, Players!$A$1:$P$1, 0)), perc_75, VLOOKUP(S$2, Percentiles!$A$45:$I$59, 6, FALSE), perc_90, VLOOKUP(S$2, Percentiles!$A$45:$I$59, 7, FALSE), perc_95, VLOOKUP(S$2, Percentiles!$A$45:$I$59, 8, FALSE), perc_85, perc_75 + (perc_90 - perc_75) * (2/3), converted_stat, '2K_Ratings'!S191, IF(bbgm_stat &gt;= perc_95, converted_stat * 3, IF(bbgm_stat &gt;= perc_90, converted_stat * 2, IF(bbgm_stat &gt;= perc_85, converted_stat * 1.5, converted_stat)))))</f>
        <v/>
      </c>
      <c r="T191" s="30" t="str">
        <f t="array" ref="T191">IF($A191="", "", LET(bbgm_stat, INDEX(Players!$A190:$P190, MATCH(T$2, Players!$A$1:$P$1, 0)), perc_75, VLOOKUP(T$2, Percentiles!$A$45:$I$59, 6, FALSE), perc_90, VLOOKUP(T$2, Percentiles!$A$45:$I$59, 7, FALSE), perc_95, VLOOKUP(T$2, Percentiles!$A$45:$I$59, 8, FALSE), perc_85, perc_75 + (perc_90 - perc_75) * (2/3), converted_stat, '2K_Ratings'!T191, IF(bbgm_stat &gt;= perc_95, converted_stat * 3, IF(bbgm_stat &gt;= perc_90, converted_stat * 2, IF(bbgm_stat &gt;= perc_85, converted_stat * 1.5, converted_stat)))))</f>
        <v/>
      </c>
      <c r="U191" s="30" t="str">
        <f t="array" ref="U191">IF($A191="", "", LET(bbgm_stat, INDEX(Players!$A190:$P190, MATCH(U$2, Players!$A$1:$P$1, 0)), perc_75, VLOOKUP(U$2, Percentiles!$A$45:$I$59, 6, FALSE), perc_90, VLOOKUP(U$2, Percentiles!$A$45:$I$59, 7, FALSE), perc_95, VLOOKUP(U$2, Percentiles!$A$45:$I$59, 8, FALSE), perc_85, perc_75 + (perc_90 - perc_75) * (2/3), converted_stat, '2K_Ratings'!U191, IF(bbgm_stat &gt;= perc_95, converted_stat * 3, IF(bbgm_stat &gt;= perc_90, converted_stat * 2, IF(bbgm_stat &gt;= perc_85, converted_stat * 1.5, converted_stat)))))</f>
        <v/>
      </c>
      <c r="V191" s="30" t="str">
        <f t="array" ref="V191">IF($A191="", "", LET(bbgm_stat, INDEX(Players!$A190:$P190, MATCH(V$2, Players!$A$1:$P$1, 0)), perc_75, VLOOKUP(V$2, Percentiles!$A$45:$I$59, 6, FALSE), perc_90, VLOOKUP(V$2, Percentiles!$A$45:$I$59, 7, FALSE), perc_95, VLOOKUP(V$2, Percentiles!$A$45:$I$59, 8, FALSE), perc_85, perc_75 + (perc_90 - perc_75) * (2/3), converted_stat, '2K_Ratings'!V191, IF(bbgm_stat &gt;= perc_95, converted_stat * 3, IF(bbgm_stat &gt;= perc_90, converted_stat * 2, IF(bbgm_stat &gt;= perc_85, converted_stat * 1.5, converted_stat)))))</f>
        <v/>
      </c>
      <c r="W191" s="30" t="str">
        <f t="array" ref="W191">IF($A191="", "", LET(bbgm_stat, INDEX(Players!$A190:$P190, MATCH(W$2, Players!$A$1:$P$1, 0)), perc_75, VLOOKUP(W$2, Percentiles!$A$45:$I$59, 6, FALSE), perc_90, VLOOKUP(W$2, Percentiles!$A$45:$I$59, 7, FALSE), perc_95, VLOOKUP(W$2, Percentiles!$A$45:$I$59, 8, FALSE), perc_85, perc_75 + (perc_90 - perc_75) * (2/3), converted_stat, '2K_Ratings'!W191, IF(bbgm_stat &gt;= perc_95, converted_stat * 3, IF(bbgm_stat &gt;= perc_90, converted_stat * 2, IF(bbgm_stat &gt;= perc_85, converted_stat * 1.5, converted_stat)))))</f>
        <v/>
      </c>
    </row>
    <row r="192">
      <c r="A192" s="30"/>
      <c r="B192" s="30" t="str">
        <f t="array" ref="B192">IF($A192="", "", LET(bbgm_stat, INDEX(Players!$A191:$P191, MATCH(B$2, Players!$A$1:$P$1, 0)), perc_75, VLOOKUP(B$2, Percentiles!$A$45:$I$59, 6, FALSE), perc_90, VLOOKUP(B$2, Percentiles!$A$45:$I$59, 7, FALSE), perc_95, VLOOKUP(B$2, Percentiles!$A$45:$I$59, 8, FALSE), perc_85, perc_75 + (perc_90 - perc_75) * (2/3), converted_stat, '2K_Ratings'!B192, IF(bbgm_stat &gt;= perc_95, converted_stat * 3, IF(bbgm_stat &gt;= perc_90, converted_stat * 2, IF(bbgm_stat &gt;= perc_85, converted_stat * 1.5, converted_stat)))))</f>
        <v/>
      </c>
      <c r="C192" s="30" t="str">
        <f t="array" ref="C192">IF($A192="", "", LET(bbgm_stat, INDEX(Players!$A191:$P191, MATCH(C$2, Players!$A$1:$P$1, 0)), perc_75, VLOOKUP(C$2, Percentiles!$A$45:$I$59, 6, FALSE), perc_90, VLOOKUP(C$2, Percentiles!$A$45:$I$59, 7, FALSE), perc_95, VLOOKUP(C$2, Percentiles!$A$45:$I$59, 8, FALSE), perc_85, perc_75 + (perc_90 - perc_75) * (2/3), converted_stat, '2K_Ratings'!C192, IF(bbgm_stat &gt;= perc_95, converted_stat * 3, IF(bbgm_stat &gt;= perc_90, converted_stat * 2, IF(bbgm_stat &gt;= perc_85, converted_stat * 1.5, converted_stat)))))</f>
        <v/>
      </c>
      <c r="D192" s="30" t="str">
        <f t="array" ref="D192">IF($A192="", "", LET(bbgm_stat, INDEX(Players!$A191:$P191, MATCH(D$2, Players!$A$1:$P$1, 0)), perc_75, VLOOKUP(D$2, Percentiles!$A$45:$I$59, 6, FALSE), perc_90, VLOOKUP(D$2, Percentiles!$A$45:$I$59, 7, FALSE), perc_95, VLOOKUP(D$2, Percentiles!$A$45:$I$59, 8, FALSE), perc_85, perc_75 + (perc_90 - perc_75) * (2/3), converted_stat, '2K_Ratings'!D192, IF(bbgm_stat &gt;= perc_95, converted_stat * 3, IF(bbgm_stat &gt;= perc_90, converted_stat * 2, IF(bbgm_stat &gt;= perc_85, converted_stat * 1.5, converted_stat)))))</f>
        <v/>
      </c>
      <c r="E192" s="30" t="str">
        <f t="array" ref="E192">IF($A192="", "", LET(bbgm_stat, INDEX(Players!$A191:$P191, MATCH(E$2, Players!$A$1:$P$1, 0)), perc_75, VLOOKUP(E$2, Percentiles!$A$45:$I$59, 6, FALSE), perc_90, VLOOKUP(E$2, Percentiles!$A$45:$I$59, 7, FALSE), perc_95, VLOOKUP(E$2, Percentiles!$A$45:$I$59, 8, FALSE), perc_85, perc_75 + (perc_90 - perc_75) * (2/3), converted_stat, '2K_Ratings'!E192, IF(bbgm_stat &gt;= perc_95, converted_stat * 3, IF(bbgm_stat &gt;= perc_90, converted_stat * 2, IF(bbgm_stat &gt;= perc_85, converted_stat * 1.5, converted_stat)))))</f>
        <v/>
      </c>
      <c r="F192" s="30" t="str">
        <f t="array" ref="F192">IF($A192="", "", LET(bbgm_stat, INDEX(Players!$A191:$P191, MATCH(F$2, Players!$A$1:$P$1, 0)), perc_75, VLOOKUP(F$2, Percentiles!$A$45:$I$59, 6, FALSE), perc_90, VLOOKUP(F$2, Percentiles!$A$45:$I$59, 7, FALSE), perc_95, VLOOKUP(F$2, Percentiles!$A$45:$I$59, 8, FALSE), perc_85, perc_75 + (perc_90 - perc_75) * (2/3), converted_stat, '2K_Ratings'!F192, IF(bbgm_stat &gt;= perc_95, converted_stat * 3, IF(bbgm_stat &gt;= perc_90, converted_stat * 2, IF(bbgm_stat &gt;= perc_85, converted_stat * 1.5, converted_stat)))))</f>
        <v/>
      </c>
      <c r="G192" s="30" t="str">
        <f t="array" ref="G192">IF($A192="", "", LET(bbgm_stat, INDEX(Players!$A191:$P191, MATCH(G$2, Players!$A$1:$P$1, 0)), perc_75, VLOOKUP(G$2, Percentiles!$A$45:$I$59, 6, FALSE), perc_90, VLOOKUP(G$2, Percentiles!$A$45:$I$59, 7, FALSE), perc_95, VLOOKUP(G$2, Percentiles!$A$45:$I$59, 8, FALSE), perc_85, perc_75 + (perc_90 - perc_75) * (2/3), converted_stat, '2K_Ratings'!G192, IF(bbgm_stat &gt;= perc_95, converted_stat * 3, IF(bbgm_stat &gt;= perc_90, converted_stat * 2, IF(bbgm_stat &gt;= perc_85, converted_stat * 1.5, converted_stat)))))</f>
        <v/>
      </c>
      <c r="H192" s="30" t="str">
        <f t="array" ref="H192">IF($A192="", "", LET(bbgm_stat, INDEX(Players!$A191:$P191, MATCH(H$2, Players!$A$1:$P$1, 0)), perc_75, VLOOKUP(H$2, Percentiles!$A$45:$I$59, 6, FALSE), perc_90, VLOOKUP(H$2, Percentiles!$A$45:$I$59, 7, FALSE), perc_95, VLOOKUP(H$2, Percentiles!$A$45:$I$59, 8, FALSE), perc_85, perc_75 + (perc_90 - perc_75) * (2/3), converted_stat, '2K_Ratings'!H192, IF(bbgm_stat &gt;= perc_95, converted_stat * 3, IF(bbgm_stat &gt;= perc_90, converted_stat * 2, IF(bbgm_stat &gt;= perc_85, converted_stat * 1.5, converted_stat)))))</f>
        <v/>
      </c>
      <c r="I192" s="30" t="str">
        <f t="array" ref="I192">IF($A192="", "", LET(bbgm_stat, INDEX(Players!$A191:$P191, MATCH(I$2, Players!$A$1:$P$1, 0)), perc_75, VLOOKUP(I$2, Percentiles!$A$45:$I$59, 6, FALSE), perc_90, VLOOKUP(I$2, Percentiles!$A$45:$I$59, 7, FALSE), perc_95, VLOOKUP(I$2, Percentiles!$A$45:$I$59, 8, FALSE), perc_85, perc_75 + (perc_90 - perc_75) * (2/3), converted_stat, '2K_Ratings'!I192, IF(bbgm_stat &gt;= perc_95, converted_stat * 3, IF(bbgm_stat &gt;= perc_90, converted_stat * 2, IF(bbgm_stat &gt;= perc_85, converted_stat * 1.5, converted_stat)))))</f>
        <v/>
      </c>
      <c r="J192" s="30" t="str">
        <f t="array" ref="J192">IF($A192="", "", LET(bbgm_stat, INDEX(Players!$A191:$P191, MATCH(J$2, Players!$A$1:$P$1, 0)), perc_75, VLOOKUP(J$2, Percentiles!$A$45:$I$59, 6, FALSE), perc_90, VLOOKUP(J$2, Percentiles!$A$45:$I$59, 7, FALSE), perc_95, VLOOKUP(J$2, Percentiles!$A$45:$I$59, 8, FALSE), perc_85, perc_75 + (perc_90 - perc_75) * (2/3), converted_stat, '2K_Ratings'!J192, IF(bbgm_stat &gt;= perc_95, converted_stat * 3, IF(bbgm_stat &gt;= perc_90, converted_stat * 2, IF(bbgm_stat &gt;= perc_85, converted_stat * 1.5, converted_stat)))))</f>
        <v/>
      </c>
      <c r="K192" s="30" t="str">
        <f t="array" ref="K192">IF($A192="", "", LET(bbgm_stat, INDEX(Players!$A191:$P191, MATCH(K$2, Players!$A$1:$P$1, 0)), perc_75, VLOOKUP(K$2, Percentiles!$A$45:$I$59, 6, FALSE), perc_90, VLOOKUP(K$2, Percentiles!$A$45:$I$59, 7, FALSE), perc_95, VLOOKUP(K$2, Percentiles!$A$45:$I$59, 8, FALSE), perc_85, perc_75 + (perc_90 - perc_75) * (2/3), converted_stat, '2K_Ratings'!K192, IF(bbgm_stat &gt;= perc_95, converted_stat * 3, IF(bbgm_stat &gt;= perc_90, converted_stat * 2, IF(bbgm_stat &gt;= perc_85, converted_stat * 1.5, converted_stat)))))</f>
        <v/>
      </c>
      <c r="L192" s="30" t="str">
        <f t="array" ref="L192">IF($A192="", "", LET(bbgm_stat, INDEX(Players!$A191:$P191, MATCH(L$2, Players!$A$1:$P$1, 0)), perc_75, VLOOKUP(L$2, Percentiles!$A$45:$I$59, 6, FALSE), perc_90, VLOOKUP(L$2, Percentiles!$A$45:$I$59, 7, FALSE), perc_95, VLOOKUP(L$2, Percentiles!$A$45:$I$59, 8, FALSE), perc_85, perc_75 + (perc_90 - perc_75) * (2/3), converted_stat, '2K_Ratings'!L192, IF(bbgm_stat &gt;= perc_95, converted_stat * 3, IF(bbgm_stat &gt;= perc_90, converted_stat * 2, IF(bbgm_stat &gt;= perc_85, converted_stat * 1.5, converted_stat)))))</f>
        <v/>
      </c>
      <c r="M192" s="30" t="str">
        <f t="array" ref="M192">IF($A192="", "", LET(bbgm_stat, INDEX(Players!$A191:$P191, MATCH(M$2, Players!$A$1:$P$1, 0)), perc_75, VLOOKUP(M$2, Percentiles!$A$45:$I$59, 6, FALSE), perc_90, VLOOKUP(M$2, Percentiles!$A$45:$I$59, 7, FALSE), perc_95, VLOOKUP(M$2, Percentiles!$A$45:$I$59, 8, FALSE), perc_85, perc_75 + (perc_90 - perc_75) * (2/3), converted_stat, '2K_Ratings'!M192, IF(bbgm_stat &gt;= perc_95, converted_stat * 3, IF(bbgm_stat &gt;= perc_90, converted_stat * 2, IF(bbgm_stat &gt;= perc_85, converted_stat * 1.5, converted_stat)))))</f>
        <v/>
      </c>
      <c r="N192" s="30" t="str">
        <f t="array" ref="N192">IF($A192="", "", LET(bbgm_stat, INDEX(Players!$A191:$P191, MATCH(N$2, Players!$A$1:$P$1, 0)), perc_75, VLOOKUP(N$2, Percentiles!$A$45:$I$59, 6, FALSE), perc_90, VLOOKUP(N$2, Percentiles!$A$45:$I$59, 7, FALSE), perc_95, VLOOKUP(N$2, Percentiles!$A$45:$I$59, 8, FALSE), perc_85, perc_75 + (perc_90 - perc_75) * (2/3), converted_stat, '2K_Ratings'!N192, IF(bbgm_stat &gt;= perc_95, converted_stat * 3, IF(bbgm_stat &gt;= perc_90, converted_stat * 2, IF(bbgm_stat &gt;= perc_85, converted_stat * 1.5, converted_stat)))))</f>
        <v/>
      </c>
      <c r="O192" s="30" t="str">
        <f t="array" ref="O192">IF($A192="", "", LET(bbgm_stat, INDEX(Players!$A191:$P191, MATCH(O$2, Players!$A$1:$P$1, 0)), perc_75, VLOOKUP(O$2, Percentiles!$A$45:$I$59, 6, FALSE), perc_90, VLOOKUP(O$2, Percentiles!$A$45:$I$59, 7, FALSE), perc_95, VLOOKUP(O$2, Percentiles!$A$45:$I$59, 8, FALSE), perc_85, perc_75 + (perc_90 - perc_75) * (2/3), converted_stat, '2K_Ratings'!O192, IF(bbgm_stat &gt;= perc_95, converted_stat * 3, IF(bbgm_stat &gt;= perc_90, converted_stat * 2, IF(bbgm_stat &gt;= perc_85, converted_stat * 1.5, converted_stat)))))</f>
        <v/>
      </c>
      <c r="P192" s="30" t="str">
        <f t="array" ref="P192">IF($A192="", "", LET(bbgm_stat, INDEX(Players!$A191:$P191, MATCH(P$2, Players!$A$1:$P$1, 0)), perc_75, VLOOKUP(P$2, Percentiles!$A$45:$I$59, 6, FALSE), perc_90, VLOOKUP(P$2, Percentiles!$A$45:$I$59, 7, FALSE), perc_95, VLOOKUP(P$2, Percentiles!$A$45:$I$59, 8, FALSE), perc_85, perc_75 + (perc_90 - perc_75) * (2/3), converted_stat, '2K_Ratings'!P192, IF(bbgm_stat &gt;= perc_95, converted_stat * 3, IF(bbgm_stat &gt;= perc_90, converted_stat * 2, IF(bbgm_stat &gt;= perc_85, converted_stat * 1.5, converted_stat)))))</f>
        <v/>
      </c>
      <c r="Q192" s="30" t="str">
        <f t="array" ref="Q192">IF($A192="", "", LET(bbgm_stat, INDEX(Players!$A191:$P191, MATCH(Q$2, Players!$A$1:$P$1, 0)), perc_75, VLOOKUP(Q$2, Percentiles!$A$45:$I$59, 6, FALSE), perc_90, VLOOKUP(Q$2, Percentiles!$A$45:$I$59, 7, FALSE), perc_95, VLOOKUP(Q$2, Percentiles!$A$45:$I$59, 8, FALSE), perc_85, perc_75 + (perc_90 - perc_75) * (2/3), converted_stat, '2K_Ratings'!Q192, IF(bbgm_stat &gt;= perc_95, converted_stat * 3, IF(bbgm_stat &gt;= perc_90, converted_stat * 2, IF(bbgm_stat &gt;= perc_85, converted_stat * 1.5, converted_stat)))))</f>
        <v/>
      </c>
      <c r="R192" s="30" t="str">
        <f t="array" ref="R192">IF($A192="", "", LET(bbgm_stat, INDEX(Players!$A191:$P191, MATCH(R$2, Players!$A$1:$P$1, 0)), perc_75, VLOOKUP(R$2, Percentiles!$A$45:$I$59, 6, FALSE), perc_90, VLOOKUP(R$2, Percentiles!$A$45:$I$59, 7, FALSE), perc_95, VLOOKUP(R$2, Percentiles!$A$45:$I$59, 8, FALSE), perc_85, perc_75 + (perc_90 - perc_75) * (2/3), converted_stat, '2K_Ratings'!R192, IF(bbgm_stat &gt;= perc_95, converted_stat * 3, IF(bbgm_stat &gt;= perc_90, converted_stat * 2, IF(bbgm_stat &gt;= perc_85, converted_stat * 1.5, converted_stat)))))</f>
        <v/>
      </c>
      <c r="S192" s="30" t="str">
        <f t="array" ref="S192">IF($A192="", "", LET(bbgm_stat, INDEX(Players!$A191:$P191, MATCH(S$2, Players!$A$1:$P$1, 0)), perc_75, VLOOKUP(S$2, Percentiles!$A$45:$I$59, 6, FALSE), perc_90, VLOOKUP(S$2, Percentiles!$A$45:$I$59, 7, FALSE), perc_95, VLOOKUP(S$2, Percentiles!$A$45:$I$59, 8, FALSE), perc_85, perc_75 + (perc_90 - perc_75) * (2/3), converted_stat, '2K_Ratings'!S192, IF(bbgm_stat &gt;= perc_95, converted_stat * 3, IF(bbgm_stat &gt;= perc_90, converted_stat * 2, IF(bbgm_stat &gt;= perc_85, converted_stat * 1.5, converted_stat)))))</f>
        <v/>
      </c>
      <c r="T192" s="30" t="str">
        <f t="array" ref="T192">IF($A192="", "", LET(bbgm_stat, INDEX(Players!$A191:$P191, MATCH(T$2, Players!$A$1:$P$1, 0)), perc_75, VLOOKUP(T$2, Percentiles!$A$45:$I$59, 6, FALSE), perc_90, VLOOKUP(T$2, Percentiles!$A$45:$I$59, 7, FALSE), perc_95, VLOOKUP(T$2, Percentiles!$A$45:$I$59, 8, FALSE), perc_85, perc_75 + (perc_90 - perc_75) * (2/3), converted_stat, '2K_Ratings'!T192, IF(bbgm_stat &gt;= perc_95, converted_stat * 3, IF(bbgm_stat &gt;= perc_90, converted_stat * 2, IF(bbgm_stat &gt;= perc_85, converted_stat * 1.5, converted_stat)))))</f>
        <v/>
      </c>
      <c r="U192" s="30" t="str">
        <f t="array" ref="U192">IF($A192="", "", LET(bbgm_stat, INDEX(Players!$A191:$P191, MATCH(U$2, Players!$A$1:$P$1, 0)), perc_75, VLOOKUP(U$2, Percentiles!$A$45:$I$59, 6, FALSE), perc_90, VLOOKUP(U$2, Percentiles!$A$45:$I$59, 7, FALSE), perc_95, VLOOKUP(U$2, Percentiles!$A$45:$I$59, 8, FALSE), perc_85, perc_75 + (perc_90 - perc_75) * (2/3), converted_stat, '2K_Ratings'!U192, IF(bbgm_stat &gt;= perc_95, converted_stat * 3, IF(bbgm_stat &gt;= perc_90, converted_stat * 2, IF(bbgm_stat &gt;= perc_85, converted_stat * 1.5, converted_stat)))))</f>
        <v/>
      </c>
      <c r="V192" s="30" t="str">
        <f t="array" ref="V192">IF($A192="", "", LET(bbgm_stat, INDEX(Players!$A191:$P191, MATCH(V$2, Players!$A$1:$P$1, 0)), perc_75, VLOOKUP(V$2, Percentiles!$A$45:$I$59, 6, FALSE), perc_90, VLOOKUP(V$2, Percentiles!$A$45:$I$59, 7, FALSE), perc_95, VLOOKUP(V$2, Percentiles!$A$45:$I$59, 8, FALSE), perc_85, perc_75 + (perc_90 - perc_75) * (2/3), converted_stat, '2K_Ratings'!V192, IF(bbgm_stat &gt;= perc_95, converted_stat * 3, IF(bbgm_stat &gt;= perc_90, converted_stat * 2, IF(bbgm_stat &gt;= perc_85, converted_stat * 1.5, converted_stat)))))</f>
        <v/>
      </c>
      <c r="W192" s="30" t="str">
        <f t="array" ref="W192">IF($A192="", "", LET(bbgm_stat, INDEX(Players!$A191:$P191, MATCH(W$2, Players!$A$1:$P$1, 0)), perc_75, VLOOKUP(W$2, Percentiles!$A$45:$I$59, 6, FALSE), perc_90, VLOOKUP(W$2, Percentiles!$A$45:$I$59, 7, FALSE), perc_95, VLOOKUP(W$2, Percentiles!$A$45:$I$59, 8, FALSE), perc_85, perc_75 + (perc_90 - perc_75) * (2/3), converted_stat, '2K_Ratings'!W192, IF(bbgm_stat &gt;= perc_95, converted_stat * 3, IF(bbgm_stat &gt;= perc_90, converted_stat * 2, IF(bbgm_stat &gt;= perc_85, converted_stat * 1.5, converted_stat)))))</f>
        <v/>
      </c>
    </row>
    <row r="193">
      <c r="A193" s="30"/>
      <c r="B193" s="30" t="str">
        <f t="array" ref="B193">IF($A193="", "", LET(bbgm_stat, INDEX(Players!$A192:$P192, MATCH(B$2, Players!$A$1:$P$1, 0)), perc_75, VLOOKUP(B$2, Percentiles!$A$45:$I$59, 6, FALSE), perc_90, VLOOKUP(B$2, Percentiles!$A$45:$I$59, 7, FALSE), perc_95, VLOOKUP(B$2, Percentiles!$A$45:$I$59, 8, FALSE), perc_85, perc_75 + (perc_90 - perc_75) * (2/3), converted_stat, '2K_Ratings'!B193, IF(bbgm_stat &gt;= perc_95, converted_stat * 3, IF(bbgm_stat &gt;= perc_90, converted_stat * 2, IF(bbgm_stat &gt;= perc_85, converted_stat * 1.5, converted_stat)))))</f>
        <v/>
      </c>
      <c r="C193" s="30" t="str">
        <f t="array" ref="C193">IF($A193="", "", LET(bbgm_stat, INDEX(Players!$A192:$P192, MATCH(C$2, Players!$A$1:$P$1, 0)), perc_75, VLOOKUP(C$2, Percentiles!$A$45:$I$59, 6, FALSE), perc_90, VLOOKUP(C$2, Percentiles!$A$45:$I$59, 7, FALSE), perc_95, VLOOKUP(C$2, Percentiles!$A$45:$I$59, 8, FALSE), perc_85, perc_75 + (perc_90 - perc_75) * (2/3), converted_stat, '2K_Ratings'!C193, IF(bbgm_stat &gt;= perc_95, converted_stat * 3, IF(bbgm_stat &gt;= perc_90, converted_stat * 2, IF(bbgm_stat &gt;= perc_85, converted_stat * 1.5, converted_stat)))))</f>
        <v/>
      </c>
      <c r="D193" s="30" t="str">
        <f t="array" ref="D193">IF($A193="", "", LET(bbgm_stat, INDEX(Players!$A192:$P192, MATCH(D$2, Players!$A$1:$P$1, 0)), perc_75, VLOOKUP(D$2, Percentiles!$A$45:$I$59, 6, FALSE), perc_90, VLOOKUP(D$2, Percentiles!$A$45:$I$59, 7, FALSE), perc_95, VLOOKUP(D$2, Percentiles!$A$45:$I$59, 8, FALSE), perc_85, perc_75 + (perc_90 - perc_75) * (2/3), converted_stat, '2K_Ratings'!D193, IF(bbgm_stat &gt;= perc_95, converted_stat * 3, IF(bbgm_stat &gt;= perc_90, converted_stat * 2, IF(bbgm_stat &gt;= perc_85, converted_stat * 1.5, converted_stat)))))</f>
        <v/>
      </c>
      <c r="E193" s="30" t="str">
        <f t="array" ref="E193">IF($A193="", "", LET(bbgm_stat, INDEX(Players!$A192:$P192, MATCH(E$2, Players!$A$1:$P$1, 0)), perc_75, VLOOKUP(E$2, Percentiles!$A$45:$I$59, 6, FALSE), perc_90, VLOOKUP(E$2, Percentiles!$A$45:$I$59, 7, FALSE), perc_95, VLOOKUP(E$2, Percentiles!$A$45:$I$59, 8, FALSE), perc_85, perc_75 + (perc_90 - perc_75) * (2/3), converted_stat, '2K_Ratings'!E193, IF(bbgm_stat &gt;= perc_95, converted_stat * 3, IF(bbgm_stat &gt;= perc_90, converted_stat * 2, IF(bbgm_stat &gt;= perc_85, converted_stat * 1.5, converted_stat)))))</f>
        <v/>
      </c>
      <c r="F193" s="30" t="str">
        <f t="array" ref="F193">IF($A193="", "", LET(bbgm_stat, INDEX(Players!$A192:$P192, MATCH(F$2, Players!$A$1:$P$1, 0)), perc_75, VLOOKUP(F$2, Percentiles!$A$45:$I$59, 6, FALSE), perc_90, VLOOKUP(F$2, Percentiles!$A$45:$I$59, 7, FALSE), perc_95, VLOOKUP(F$2, Percentiles!$A$45:$I$59, 8, FALSE), perc_85, perc_75 + (perc_90 - perc_75) * (2/3), converted_stat, '2K_Ratings'!F193, IF(bbgm_stat &gt;= perc_95, converted_stat * 3, IF(bbgm_stat &gt;= perc_90, converted_stat * 2, IF(bbgm_stat &gt;= perc_85, converted_stat * 1.5, converted_stat)))))</f>
        <v/>
      </c>
      <c r="G193" s="30" t="str">
        <f t="array" ref="G193">IF($A193="", "", LET(bbgm_stat, INDEX(Players!$A192:$P192, MATCH(G$2, Players!$A$1:$P$1, 0)), perc_75, VLOOKUP(G$2, Percentiles!$A$45:$I$59, 6, FALSE), perc_90, VLOOKUP(G$2, Percentiles!$A$45:$I$59, 7, FALSE), perc_95, VLOOKUP(G$2, Percentiles!$A$45:$I$59, 8, FALSE), perc_85, perc_75 + (perc_90 - perc_75) * (2/3), converted_stat, '2K_Ratings'!G193, IF(bbgm_stat &gt;= perc_95, converted_stat * 3, IF(bbgm_stat &gt;= perc_90, converted_stat * 2, IF(bbgm_stat &gt;= perc_85, converted_stat * 1.5, converted_stat)))))</f>
        <v/>
      </c>
      <c r="H193" s="30" t="str">
        <f t="array" ref="H193">IF($A193="", "", LET(bbgm_stat, INDEX(Players!$A192:$P192, MATCH(H$2, Players!$A$1:$P$1, 0)), perc_75, VLOOKUP(H$2, Percentiles!$A$45:$I$59, 6, FALSE), perc_90, VLOOKUP(H$2, Percentiles!$A$45:$I$59, 7, FALSE), perc_95, VLOOKUP(H$2, Percentiles!$A$45:$I$59, 8, FALSE), perc_85, perc_75 + (perc_90 - perc_75) * (2/3), converted_stat, '2K_Ratings'!H193, IF(bbgm_stat &gt;= perc_95, converted_stat * 3, IF(bbgm_stat &gt;= perc_90, converted_stat * 2, IF(bbgm_stat &gt;= perc_85, converted_stat * 1.5, converted_stat)))))</f>
        <v/>
      </c>
      <c r="I193" s="30" t="str">
        <f t="array" ref="I193">IF($A193="", "", LET(bbgm_stat, INDEX(Players!$A192:$P192, MATCH(I$2, Players!$A$1:$P$1, 0)), perc_75, VLOOKUP(I$2, Percentiles!$A$45:$I$59, 6, FALSE), perc_90, VLOOKUP(I$2, Percentiles!$A$45:$I$59, 7, FALSE), perc_95, VLOOKUP(I$2, Percentiles!$A$45:$I$59, 8, FALSE), perc_85, perc_75 + (perc_90 - perc_75) * (2/3), converted_stat, '2K_Ratings'!I193, IF(bbgm_stat &gt;= perc_95, converted_stat * 3, IF(bbgm_stat &gt;= perc_90, converted_stat * 2, IF(bbgm_stat &gt;= perc_85, converted_stat * 1.5, converted_stat)))))</f>
        <v/>
      </c>
      <c r="J193" s="30" t="str">
        <f t="array" ref="J193">IF($A193="", "", LET(bbgm_stat, INDEX(Players!$A192:$P192, MATCH(J$2, Players!$A$1:$P$1, 0)), perc_75, VLOOKUP(J$2, Percentiles!$A$45:$I$59, 6, FALSE), perc_90, VLOOKUP(J$2, Percentiles!$A$45:$I$59, 7, FALSE), perc_95, VLOOKUP(J$2, Percentiles!$A$45:$I$59, 8, FALSE), perc_85, perc_75 + (perc_90 - perc_75) * (2/3), converted_stat, '2K_Ratings'!J193, IF(bbgm_stat &gt;= perc_95, converted_stat * 3, IF(bbgm_stat &gt;= perc_90, converted_stat * 2, IF(bbgm_stat &gt;= perc_85, converted_stat * 1.5, converted_stat)))))</f>
        <v/>
      </c>
      <c r="K193" s="30" t="str">
        <f t="array" ref="K193">IF($A193="", "", LET(bbgm_stat, INDEX(Players!$A192:$P192, MATCH(K$2, Players!$A$1:$P$1, 0)), perc_75, VLOOKUP(K$2, Percentiles!$A$45:$I$59, 6, FALSE), perc_90, VLOOKUP(K$2, Percentiles!$A$45:$I$59, 7, FALSE), perc_95, VLOOKUP(K$2, Percentiles!$A$45:$I$59, 8, FALSE), perc_85, perc_75 + (perc_90 - perc_75) * (2/3), converted_stat, '2K_Ratings'!K193, IF(bbgm_stat &gt;= perc_95, converted_stat * 3, IF(bbgm_stat &gt;= perc_90, converted_stat * 2, IF(bbgm_stat &gt;= perc_85, converted_stat * 1.5, converted_stat)))))</f>
        <v/>
      </c>
      <c r="L193" s="30" t="str">
        <f t="array" ref="L193">IF($A193="", "", LET(bbgm_stat, INDEX(Players!$A192:$P192, MATCH(L$2, Players!$A$1:$P$1, 0)), perc_75, VLOOKUP(L$2, Percentiles!$A$45:$I$59, 6, FALSE), perc_90, VLOOKUP(L$2, Percentiles!$A$45:$I$59, 7, FALSE), perc_95, VLOOKUP(L$2, Percentiles!$A$45:$I$59, 8, FALSE), perc_85, perc_75 + (perc_90 - perc_75) * (2/3), converted_stat, '2K_Ratings'!L193, IF(bbgm_stat &gt;= perc_95, converted_stat * 3, IF(bbgm_stat &gt;= perc_90, converted_stat * 2, IF(bbgm_stat &gt;= perc_85, converted_stat * 1.5, converted_stat)))))</f>
        <v/>
      </c>
      <c r="M193" s="30" t="str">
        <f t="array" ref="M193">IF($A193="", "", LET(bbgm_stat, INDEX(Players!$A192:$P192, MATCH(M$2, Players!$A$1:$P$1, 0)), perc_75, VLOOKUP(M$2, Percentiles!$A$45:$I$59, 6, FALSE), perc_90, VLOOKUP(M$2, Percentiles!$A$45:$I$59, 7, FALSE), perc_95, VLOOKUP(M$2, Percentiles!$A$45:$I$59, 8, FALSE), perc_85, perc_75 + (perc_90 - perc_75) * (2/3), converted_stat, '2K_Ratings'!M193, IF(bbgm_stat &gt;= perc_95, converted_stat * 3, IF(bbgm_stat &gt;= perc_90, converted_stat * 2, IF(bbgm_stat &gt;= perc_85, converted_stat * 1.5, converted_stat)))))</f>
        <v/>
      </c>
      <c r="N193" s="30" t="str">
        <f t="array" ref="N193">IF($A193="", "", LET(bbgm_stat, INDEX(Players!$A192:$P192, MATCH(N$2, Players!$A$1:$P$1, 0)), perc_75, VLOOKUP(N$2, Percentiles!$A$45:$I$59, 6, FALSE), perc_90, VLOOKUP(N$2, Percentiles!$A$45:$I$59, 7, FALSE), perc_95, VLOOKUP(N$2, Percentiles!$A$45:$I$59, 8, FALSE), perc_85, perc_75 + (perc_90 - perc_75) * (2/3), converted_stat, '2K_Ratings'!N193, IF(bbgm_stat &gt;= perc_95, converted_stat * 3, IF(bbgm_stat &gt;= perc_90, converted_stat * 2, IF(bbgm_stat &gt;= perc_85, converted_stat * 1.5, converted_stat)))))</f>
        <v/>
      </c>
      <c r="O193" s="30" t="str">
        <f t="array" ref="O193">IF($A193="", "", LET(bbgm_stat, INDEX(Players!$A192:$P192, MATCH(O$2, Players!$A$1:$P$1, 0)), perc_75, VLOOKUP(O$2, Percentiles!$A$45:$I$59, 6, FALSE), perc_90, VLOOKUP(O$2, Percentiles!$A$45:$I$59, 7, FALSE), perc_95, VLOOKUP(O$2, Percentiles!$A$45:$I$59, 8, FALSE), perc_85, perc_75 + (perc_90 - perc_75) * (2/3), converted_stat, '2K_Ratings'!O193, IF(bbgm_stat &gt;= perc_95, converted_stat * 3, IF(bbgm_stat &gt;= perc_90, converted_stat * 2, IF(bbgm_stat &gt;= perc_85, converted_stat * 1.5, converted_stat)))))</f>
        <v/>
      </c>
      <c r="P193" s="30" t="str">
        <f t="array" ref="P193">IF($A193="", "", LET(bbgm_stat, INDEX(Players!$A192:$P192, MATCH(P$2, Players!$A$1:$P$1, 0)), perc_75, VLOOKUP(P$2, Percentiles!$A$45:$I$59, 6, FALSE), perc_90, VLOOKUP(P$2, Percentiles!$A$45:$I$59, 7, FALSE), perc_95, VLOOKUP(P$2, Percentiles!$A$45:$I$59, 8, FALSE), perc_85, perc_75 + (perc_90 - perc_75) * (2/3), converted_stat, '2K_Ratings'!P193, IF(bbgm_stat &gt;= perc_95, converted_stat * 3, IF(bbgm_stat &gt;= perc_90, converted_stat * 2, IF(bbgm_stat &gt;= perc_85, converted_stat * 1.5, converted_stat)))))</f>
        <v/>
      </c>
      <c r="Q193" s="30" t="str">
        <f t="array" ref="Q193">IF($A193="", "", LET(bbgm_stat, INDEX(Players!$A192:$P192, MATCH(Q$2, Players!$A$1:$P$1, 0)), perc_75, VLOOKUP(Q$2, Percentiles!$A$45:$I$59, 6, FALSE), perc_90, VLOOKUP(Q$2, Percentiles!$A$45:$I$59, 7, FALSE), perc_95, VLOOKUP(Q$2, Percentiles!$A$45:$I$59, 8, FALSE), perc_85, perc_75 + (perc_90 - perc_75) * (2/3), converted_stat, '2K_Ratings'!Q193, IF(bbgm_stat &gt;= perc_95, converted_stat * 3, IF(bbgm_stat &gt;= perc_90, converted_stat * 2, IF(bbgm_stat &gt;= perc_85, converted_stat * 1.5, converted_stat)))))</f>
        <v/>
      </c>
      <c r="R193" s="30" t="str">
        <f t="array" ref="R193">IF($A193="", "", LET(bbgm_stat, INDEX(Players!$A192:$P192, MATCH(R$2, Players!$A$1:$P$1, 0)), perc_75, VLOOKUP(R$2, Percentiles!$A$45:$I$59, 6, FALSE), perc_90, VLOOKUP(R$2, Percentiles!$A$45:$I$59, 7, FALSE), perc_95, VLOOKUP(R$2, Percentiles!$A$45:$I$59, 8, FALSE), perc_85, perc_75 + (perc_90 - perc_75) * (2/3), converted_stat, '2K_Ratings'!R193, IF(bbgm_stat &gt;= perc_95, converted_stat * 3, IF(bbgm_stat &gt;= perc_90, converted_stat * 2, IF(bbgm_stat &gt;= perc_85, converted_stat * 1.5, converted_stat)))))</f>
        <v/>
      </c>
      <c r="S193" s="30" t="str">
        <f t="array" ref="S193">IF($A193="", "", LET(bbgm_stat, INDEX(Players!$A192:$P192, MATCH(S$2, Players!$A$1:$P$1, 0)), perc_75, VLOOKUP(S$2, Percentiles!$A$45:$I$59, 6, FALSE), perc_90, VLOOKUP(S$2, Percentiles!$A$45:$I$59, 7, FALSE), perc_95, VLOOKUP(S$2, Percentiles!$A$45:$I$59, 8, FALSE), perc_85, perc_75 + (perc_90 - perc_75) * (2/3), converted_stat, '2K_Ratings'!S193, IF(bbgm_stat &gt;= perc_95, converted_stat * 3, IF(bbgm_stat &gt;= perc_90, converted_stat * 2, IF(bbgm_stat &gt;= perc_85, converted_stat * 1.5, converted_stat)))))</f>
        <v/>
      </c>
      <c r="T193" s="30" t="str">
        <f t="array" ref="T193">IF($A193="", "", LET(bbgm_stat, INDEX(Players!$A192:$P192, MATCH(T$2, Players!$A$1:$P$1, 0)), perc_75, VLOOKUP(T$2, Percentiles!$A$45:$I$59, 6, FALSE), perc_90, VLOOKUP(T$2, Percentiles!$A$45:$I$59, 7, FALSE), perc_95, VLOOKUP(T$2, Percentiles!$A$45:$I$59, 8, FALSE), perc_85, perc_75 + (perc_90 - perc_75) * (2/3), converted_stat, '2K_Ratings'!T193, IF(bbgm_stat &gt;= perc_95, converted_stat * 3, IF(bbgm_stat &gt;= perc_90, converted_stat * 2, IF(bbgm_stat &gt;= perc_85, converted_stat * 1.5, converted_stat)))))</f>
        <v/>
      </c>
      <c r="U193" s="30" t="str">
        <f t="array" ref="U193">IF($A193="", "", LET(bbgm_stat, INDEX(Players!$A192:$P192, MATCH(U$2, Players!$A$1:$P$1, 0)), perc_75, VLOOKUP(U$2, Percentiles!$A$45:$I$59, 6, FALSE), perc_90, VLOOKUP(U$2, Percentiles!$A$45:$I$59, 7, FALSE), perc_95, VLOOKUP(U$2, Percentiles!$A$45:$I$59, 8, FALSE), perc_85, perc_75 + (perc_90 - perc_75) * (2/3), converted_stat, '2K_Ratings'!U193, IF(bbgm_stat &gt;= perc_95, converted_stat * 3, IF(bbgm_stat &gt;= perc_90, converted_stat * 2, IF(bbgm_stat &gt;= perc_85, converted_stat * 1.5, converted_stat)))))</f>
        <v/>
      </c>
      <c r="V193" s="30" t="str">
        <f t="array" ref="V193">IF($A193="", "", LET(bbgm_stat, INDEX(Players!$A192:$P192, MATCH(V$2, Players!$A$1:$P$1, 0)), perc_75, VLOOKUP(V$2, Percentiles!$A$45:$I$59, 6, FALSE), perc_90, VLOOKUP(V$2, Percentiles!$A$45:$I$59, 7, FALSE), perc_95, VLOOKUP(V$2, Percentiles!$A$45:$I$59, 8, FALSE), perc_85, perc_75 + (perc_90 - perc_75) * (2/3), converted_stat, '2K_Ratings'!V193, IF(bbgm_stat &gt;= perc_95, converted_stat * 3, IF(bbgm_stat &gt;= perc_90, converted_stat * 2, IF(bbgm_stat &gt;= perc_85, converted_stat * 1.5, converted_stat)))))</f>
        <v/>
      </c>
      <c r="W193" s="30" t="str">
        <f t="array" ref="W193">IF($A193="", "", LET(bbgm_stat, INDEX(Players!$A192:$P192, MATCH(W$2, Players!$A$1:$P$1, 0)), perc_75, VLOOKUP(W$2, Percentiles!$A$45:$I$59, 6, FALSE), perc_90, VLOOKUP(W$2, Percentiles!$A$45:$I$59, 7, FALSE), perc_95, VLOOKUP(W$2, Percentiles!$A$45:$I$59, 8, FALSE), perc_85, perc_75 + (perc_90 - perc_75) * (2/3), converted_stat, '2K_Ratings'!W193, IF(bbgm_stat &gt;= perc_95, converted_stat * 3, IF(bbgm_stat &gt;= perc_90, converted_stat * 2, IF(bbgm_stat &gt;= perc_85, converted_stat * 1.5, converted_stat)))))</f>
        <v/>
      </c>
    </row>
    <row r="194">
      <c r="A194" s="30"/>
      <c r="B194" s="30" t="str">
        <f t="array" ref="B194">IF($A194="", "", LET(bbgm_stat, INDEX(Players!$A193:$P193, MATCH(B$2, Players!$A$1:$P$1, 0)), perc_75, VLOOKUP(B$2, Percentiles!$A$45:$I$59, 6, FALSE), perc_90, VLOOKUP(B$2, Percentiles!$A$45:$I$59, 7, FALSE), perc_95, VLOOKUP(B$2, Percentiles!$A$45:$I$59, 8, FALSE), perc_85, perc_75 + (perc_90 - perc_75) * (2/3), converted_stat, '2K_Ratings'!B194, IF(bbgm_stat &gt;= perc_95, converted_stat * 3, IF(bbgm_stat &gt;= perc_90, converted_stat * 2, IF(bbgm_stat &gt;= perc_85, converted_stat * 1.5, converted_stat)))))</f>
        <v/>
      </c>
      <c r="C194" s="30" t="str">
        <f t="array" ref="C194">IF($A194="", "", LET(bbgm_stat, INDEX(Players!$A193:$P193, MATCH(C$2, Players!$A$1:$P$1, 0)), perc_75, VLOOKUP(C$2, Percentiles!$A$45:$I$59, 6, FALSE), perc_90, VLOOKUP(C$2, Percentiles!$A$45:$I$59, 7, FALSE), perc_95, VLOOKUP(C$2, Percentiles!$A$45:$I$59, 8, FALSE), perc_85, perc_75 + (perc_90 - perc_75) * (2/3), converted_stat, '2K_Ratings'!C194, IF(bbgm_stat &gt;= perc_95, converted_stat * 3, IF(bbgm_stat &gt;= perc_90, converted_stat * 2, IF(bbgm_stat &gt;= perc_85, converted_stat * 1.5, converted_stat)))))</f>
        <v/>
      </c>
      <c r="D194" s="30" t="str">
        <f t="array" ref="D194">IF($A194="", "", LET(bbgm_stat, INDEX(Players!$A193:$P193, MATCH(D$2, Players!$A$1:$P$1, 0)), perc_75, VLOOKUP(D$2, Percentiles!$A$45:$I$59, 6, FALSE), perc_90, VLOOKUP(D$2, Percentiles!$A$45:$I$59, 7, FALSE), perc_95, VLOOKUP(D$2, Percentiles!$A$45:$I$59, 8, FALSE), perc_85, perc_75 + (perc_90 - perc_75) * (2/3), converted_stat, '2K_Ratings'!D194, IF(bbgm_stat &gt;= perc_95, converted_stat * 3, IF(bbgm_stat &gt;= perc_90, converted_stat * 2, IF(bbgm_stat &gt;= perc_85, converted_stat * 1.5, converted_stat)))))</f>
        <v/>
      </c>
      <c r="E194" s="30" t="str">
        <f t="array" ref="E194">IF($A194="", "", LET(bbgm_stat, INDEX(Players!$A193:$P193, MATCH(E$2, Players!$A$1:$P$1, 0)), perc_75, VLOOKUP(E$2, Percentiles!$A$45:$I$59, 6, FALSE), perc_90, VLOOKUP(E$2, Percentiles!$A$45:$I$59, 7, FALSE), perc_95, VLOOKUP(E$2, Percentiles!$A$45:$I$59, 8, FALSE), perc_85, perc_75 + (perc_90 - perc_75) * (2/3), converted_stat, '2K_Ratings'!E194, IF(bbgm_stat &gt;= perc_95, converted_stat * 3, IF(bbgm_stat &gt;= perc_90, converted_stat * 2, IF(bbgm_stat &gt;= perc_85, converted_stat * 1.5, converted_stat)))))</f>
        <v/>
      </c>
      <c r="F194" s="30" t="str">
        <f t="array" ref="F194">IF($A194="", "", LET(bbgm_stat, INDEX(Players!$A193:$P193, MATCH(F$2, Players!$A$1:$P$1, 0)), perc_75, VLOOKUP(F$2, Percentiles!$A$45:$I$59, 6, FALSE), perc_90, VLOOKUP(F$2, Percentiles!$A$45:$I$59, 7, FALSE), perc_95, VLOOKUP(F$2, Percentiles!$A$45:$I$59, 8, FALSE), perc_85, perc_75 + (perc_90 - perc_75) * (2/3), converted_stat, '2K_Ratings'!F194, IF(bbgm_stat &gt;= perc_95, converted_stat * 3, IF(bbgm_stat &gt;= perc_90, converted_stat * 2, IF(bbgm_stat &gt;= perc_85, converted_stat * 1.5, converted_stat)))))</f>
        <v/>
      </c>
      <c r="G194" s="30" t="str">
        <f t="array" ref="G194">IF($A194="", "", LET(bbgm_stat, INDEX(Players!$A193:$P193, MATCH(G$2, Players!$A$1:$P$1, 0)), perc_75, VLOOKUP(G$2, Percentiles!$A$45:$I$59, 6, FALSE), perc_90, VLOOKUP(G$2, Percentiles!$A$45:$I$59, 7, FALSE), perc_95, VLOOKUP(G$2, Percentiles!$A$45:$I$59, 8, FALSE), perc_85, perc_75 + (perc_90 - perc_75) * (2/3), converted_stat, '2K_Ratings'!G194, IF(bbgm_stat &gt;= perc_95, converted_stat * 3, IF(bbgm_stat &gt;= perc_90, converted_stat * 2, IF(bbgm_stat &gt;= perc_85, converted_stat * 1.5, converted_stat)))))</f>
        <v/>
      </c>
      <c r="H194" s="30" t="str">
        <f t="array" ref="H194">IF($A194="", "", LET(bbgm_stat, INDEX(Players!$A193:$P193, MATCH(H$2, Players!$A$1:$P$1, 0)), perc_75, VLOOKUP(H$2, Percentiles!$A$45:$I$59, 6, FALSE), perc_90, VLOOKUP(H$2, Percentiles!$A$45:$I$59, 7, FALSE), perc_95, VLOOKUP(H$2, Percentiles!$A$45:$I$59, 8, FALSE), perc_85, perc_75 + (perc_90 - perc_75) * (2/3), converted_stat, '2K_Ratings'!H194, IF(bbgm_stat &gt;= perc_95, converted_stat * 3, IF(bbgm_stat &gt;= perc_90, converted_stat * 2, IF(bbgm_stat &gt;= perc_85, converted_stat * 1.5, converted_stat)))))</f>
        <v/>
      </c>
      <c r="I194" s="30" t="str">
        <f t="array" ref="I194">IF($A194="", "", LET(bbgm_stat, INDEX(Players!$A193:$P193, MATCH(I$2, Players!$A$1:$P$1, 0)), perc_75, VLOOKUP(I$2, Percentiles!$A$45:$I$59, 6, FALSE), perc_90, VLOOKUP(I$2, Percentiles!$A$45:$I$59, 7, FALSE), perc_95, VLOOKUP(I$2, Percentiles!$A$45:$I$59, 8, FALSE), perc_85, perc_75 + (perc_90 - perc_75) * (2/3), converted_stat, '2K_Ratings'!I194, IF(bbgm_stat &gt;= perc_95, converted_stat * 3, IF(bbgm_stat &gt;= perc_90, converted_stat * 2, IF(bbgm_stat &gt;= perc_85, converted_stat * 1.5, converted_stat)))))</f>
        <v/>
      </c>
      <c r="J194" s="30" t="str">
        <f t="array" ref="J194">IF($A194="", "", LET(bbgm_stat, INDEX(Players!$A193:$P193, MATCH(J$2, Players!$A$1:$P$1, 0)), perc_75, VLOOKUP(J$2, Percentiles!$A$45:$I$59, 6, FALSE), perc_90, VLOOKUP(J$2, Percentiles!$A$45:$I$59, 7, FALSE), perc_95, VLOOKUP(J$2, Percentiles!$A$45:$I$59, 8, FALSE), perc_85, perc_75 + (perc_90 - perc_75) * (2/3), converted_stat, '2K_Ratings'!J194, IF(bbgm_stat &gt;= perc_95, converted_stat * 3, IF(bbgm_stat &gt;= perc_90, converted_stat * 2, IF(bbgm_stat &gt;= perc_85, converted_stat * 1.5, converted_stat)))))</f>
        <v/>
      </c>
      <c r="K194" s="30" t="str">
        <f t="array" ref="K194">IF($A194="", "", LET(bbgm_stat, INDEX(Players!$A193:$P193, MATCH(K$2, Players!$A$1:$P$1, 0)), perc_75, VLOOKUP(K$2, Percentiles!$A$45:$I$59, 6, FALSE), perc_90, VLOOKUP(K$2, Percentiles!$A$45:$I$59, 7, FALSE), perc_95, VLOOKUP(K$2, Percentiles!$A$45:$I$59, 8, FALSE), perc_85, perc_75 + (perc_90 - perc_75) * (2/3), converted_stat, '2K_Ratings'!K194, IF(bbgm_stat &gt;= perc_95, converted_stat * 3, IF(bbgm_stat &gt;= perc_90, converted_stat * 2, IF(bbgm_stat &gt;= perc_85, converted_stat * 1.5, converted_stat)))))</f>
        <v/>
      </c>
      <c r="L194" s="30" t="str">
        <f t="array" ref="L194">IF($A194="", "", LET(bbgm_stat, INDEX(Players!$A193:$P193, MATCH(L$2, Players!$A$1:$P$1, 0)), perc_75, VLOOKUP(L$2, Percentiles!$A$45:$I$59, 6, FALSE), perc_90, VLOOKUP(L$2, Percentiles!$A$45:$I$59, 7, FALSE), perc_95, VLOOKUP(L$2, Percentiles!$A$45:$I$59, 8, FALSE), perc_85, perc_75 + (perc_90 - perc_75) * (2/3), converted_stat, '2K_Ratings'!L194, IF(bbgm_stat &gt;= perc_95, converted_stat * 3, IF(bbgm_stat &gt;= perc_90, converted_stat * 2, IF(bbgm_stat &gt;= perc_85, converted_stat * 1.5, converted_stat)))))</f>
        <v/>
      </c>
      <c r="M194" s="30" t="str">
        <f t="array" ref="M194">IF($A194="", "", LET(bbgm_stat, INDEX(Players!$A193:$P193, MATCH(M$2, Players!$A$1:$P$1, 0)), perc_75, VLOOKUP(M$2, Percentiles!$A$45:$I$59, 6, FALSE), perc_90, VLOOKUP(M$2, Percentiles!$A$45:$I$59, 7, FALSE), perc_95, VLOOKUP(M$2, Percentiles!$A$45:$I$59, 8, FALSE), perc_85, perc_75 + (perc_90 - perc_75) * (2/3), converted_stat, '2K_Ratings'!M194, IF(bbgm_stat &gt;= perc_95, converted_stat * 3, IF(bbgm_stat &gt;= perc_90, converted_stat * 2, IF(bbgm_stat &gt;= perc_85, converted_stat * 1.5, converted_stat)))))</f>
        <v/>
      </c>
      <c r="N194" s="30" t="str">
        <f t="array" ref="N194">IF($A194="", "", LET(bbgm_stat, INDEX(Players!$A193:$P193, MATCH(N$2, Players!$A$1:$P$1, 0)), perc_75, VLOOKUP(N$2, Percentiles!$A$45:$I$59, 6, FALSE), perc_90, VLOOKUP(N$2, Percentiles!$A$45:$I$59, 7, FALSE), perc_95, VLOOKUP(N$2, Percentiles!$A$45:$I$59, 8, FALSE), perc_85, perc_75 + (perc_90 - perc_75) * (2/3), converted_stat, '2K_Ratings'!N194, IF(bbgm_stat &gt;= perc_95, converted_stat * 3, IF(bbgm_stat &gt;= perc_90, converted_stat * 2, IF(bbgm_stat &gt;= perc_85, converted_stat * 1.5, converted_stat)))))</f>
        <v/>
      </c>
      <c r="O194" s="30" t="str">
        <f t="array" ref="O194">IF($A194="", "", LET(bbgm_stat, INDEX(Players!$A193:$P193, MATCH(O$2, Players!$A$1:$P$1, 0)), perc_75, VLOOKUP(O$2, Percentiles!$A$45:$I$59, 6, FALSE), perc_90, VLOOKUP(O$2, Percentiles!$A$45:$I$59, 7, FALSE), perc_95, VLOOKUP(O$2, Percentiles!$A$45:$I$59, 8, FALSE), perc_85, perc_75 + (perc_90 - perc_75) * (2/3), converted_stat, '2K_Ratings'!O194, IF(bbgm_stat &gt;= perc_95, converted_stat * 3, IF(bbgm_stat &gt;= perc_90, converted_stat * 2, IF(bbgm_stat &gt;= perc_85, converted_stat * 1.5, converted_stat)))))</f>
        <v/>
      </c>
      <c r="P194" s="30" t="str">
        <f t="array" ref="P194">IF($A194="", "", LET(bbgm_stat, INDEX(Players!$A193:$P193, MATCH(P$2, Players!$A$1:$P$1, 0)), perc_75, VLOOKUP(P$2, Percentiles!$A$45:$I$59, 6, FALSE), perc_90, VLOOKUP(P$2, Percentiles!$A$45:$I$59, 7, FALSE), perc_95, VLOOKUP(P$2, Percentiles!$A$45:$I$59, 8, FALSE), perc_85, perc_75 + (perc_90 - perc_75) * (2/3), converted_stat, '2K_Ratings'!P194, IF(bbgm_stat &gt;= perc_95, converted_stat * 3, IF(bbgm_stat &gt;= perc_90, converted_stat * 2, IF(bbgm_stat &gt;= perc_85, converted_stat * 1.5, converted_stat)))))</f>
        <v/>
      </c>
      <c r="Q194" s="30" t="str">
        <f t="array" ref="Q194">IF($A194="", "", LET(bbgm_stat, INDEX(Players!$A193:$P193, MATCH(Q$2, Players!$A$1:$P$1, 0)), perc_75, VLOOKUP(Q$2, Percentiles!$A$45:$I$59, 6, FALSE), perc_90, VLOOKUP(Q$2, Percentiles!$A$45:$I$59, 7, FALSE), perc_95, VLOOKUP(Q$2, Percentiles!$A$45:$I$59, 8, FALSE), perc_85, perc_75 + (perc_90 - perc_75) * (2/3), converted_stat, '2K_Ratings'!Q194, IF(bbgm_stat &gt;= perc_95, converted_stat * 3, IF(bbgm_stat &gt;= perc_90, converted_stat * 2, IF(bbgm_stat &gt;= perc_85, converted_stat * 1.5, converted_stat)))))</f>
        <v/>
      </c>
      <c r="R194" s="30" t="str">
        <f t="array" ref="R194">IF($A194="", "", LET(bbgm_stat, INDEX(Players!$A193:$P193, MATCH(R$2, Players!$A$1:$P$1, 0)), perc_75, VLOOKUP(R$2, Percentiles!$A$45:$I$59, 6, FALSE), perc_90, VLOOKUP(R$2, Percentiles!$A$45:$I$59, 7, FALSE), perc_95, VLOOKUP(R$2, Percentiles!$A$45:$I$59, 8, FALSE), perc_85, perc_75 + (perc_90 - perc_75) * (2/3), converted_stat, '2K_Ratings'!R194, IF(bbgm_stat &gt;= perc_95, converted_stat * 3, IF(bbgm_stat &gt;= perc_90, converted_stat * 2, IF(bbgm_stat &gt;= perc_85, converted_stat * 1.5, converted_stat)))))</f>
        <v/>
      </c>
      <c r="S194" s="30" t="str">
        <f t="array" ref="S194">IF($A194="", "", LET(bbgm_stat, INDEX(Players!$A193:$P193, MATCH(S$2, Players!$A$1:$P$1, 0)), perc_75, VLOOKUP(S$2, Percentiles!$A$45:$I$59, 6, FALSE), perc_90, VLOOKUP(S$2, Percentiles!$A$45:$I$59, 7, FALSE), perc_95, VLOOKUP(S$2, Percentiles!$A$45:$I$59, 8, FALSE), perc_85, perc_75 + (perc_90 - perc_75) * (2/3), converted_stat, '2K_Ratings'!S194, IF(bbgm_stat &gt;= perc_95, converted_stat * 3, IF(bbgm_stat &gt;= perc_90, converted_stat * 2, IF(bbgm_stat &gt;= perc_85, converted_stat * 1.5, converted_stat)))))</f>
        <v/>
      </c>
      <c r="T194" s="30" t="str">
        <f t="array" ref="T194">IF($A194="", "", LET(bbgm_stat, INDEX(Players!$A193:$P193, MATCH(T$2, Players!$A$1:$P$1, 0)), perc_75, VLOOKUP(T$2, Percentiles!$A$45:$I$59, 6, FALSE), perc_90, VLOOKUP(T$2, Percentiles!$A$45:$I$59, 7, FALSE), perc_95, VLOOKUP(T$2, Percentiles!$A$45:$I$59, 8, FALSE), perc_85, perc_75 + (perc_90 - perc_75) * (2/3), converted_stat, '2K_Ratings'!T194, IF(bbgm_stat &gt;= perc_95, converted_stat * 3, IF(bbgm_stat &gt;= perc_90, converted_stat * 2, IF(bbgm_stat &gt;= perc_85, converted_stat * 1.5, converted_stat)))))</f>
        <v/>
      </c>
      <c r="U194" s="30" t="str">
        <f t="array" ref="U194">IF($A194="", "", LET(bbgm_stat, INDEX(Players!$A193:$P193, MATCH(U$2, Players!$A$1:$P$1, 0)), perc_75, VLOOKUP(U$2, Percentiles!$A$45:$I$59, 6, FALSE), perc_90, VLOOKUP(U$2, Percentiles!$A$45:$I$59, 7, FALSE), perc_95, VLOOKUP(U$2, Percentiles!$A$45:$I$59, 8, FALSE), perc_85, perc_75 + (perc_90 - perc_75) * (2/3), converted_stat, '2K_Ratings'!U194, IF(bbgm_stat &gt;= perc_95, converted_stat * 3, IF(bbgm_stat &gt;= perc_90, converted_stat * 2, IF(bbgm_stat &gt;= perc_85, converted_stat * 1.5, converted_stat)))))</f>
        <v/>
      </c>
      <c r="V194" s="30" t="str">
        <f t="array" ref="V194">IF($A194="", "", LET(bbgm_stat, INDEX(Players!$A193:$P193, MATCH(V$2, Players!$A$1:$P$1, 0)), perc_75, VLOOKUP(V$2, Percentiles!$A$45:$I$59, 6, FALSE), perc_90, VLOOKUP(V$2, Percentiles!$A$45:$I$59, 7, FALSE), perc_95, VLOOKUP(V$2, Percentiles!$A$45:$I$59, 8, FALSE), perc_85, perc_75 + (perc_90 - perc_75) * (2/3), converted_stat, '2K_Ratings'!V194, IF(bbgm_stat &gt;= perc_95, converted_stat * 3, IF(bbgm_stat &gt;= perc_90, converted_stat * 2, IF(bbgm_stat &gt;= perc_85, converted_stat * 1.5, converted_stat)))))</f>
        <v/>
      </c>
      <c r="W194" s="30" t="str">
        <f t="array" ref="W194">IF($A194="", "", LET(bbgm_stat, INDEX(Players!$A193:$P193, MATCH(W$2, Players!$A$1:$P$1, 0)), perc_75, VLOOKUP(W$2, Percentiles!$A$45:$I$59, 6, FALSE), perc_90, VLOOKUP(W$2, Percentiles!$A$45:$I$59, 7, FALSE), perc_95, VLOOKUP(W$2, Percentiles!$A$45:$I$59, 8, FALSE), perc_85, perc_75 + (perc_90 - perc_75) * (2/3), converted_stat, '2K_Ratings'!W194, IF(bbgm_stat &gt;= perc_95, converted_stat * 3, IF(bbgm_stat &gt;= perc_90, converted_stat * 2, IF(bbgm_stat &gt;= perc_85, converted_stat * 1.5, converted_stat)))))</f>
        <v/>
      </c>
    </row>
    <row r="195">
      <c r="A195" s="30"/>
      <c r="B195" s="30" t="str">
        <f t="array" ref="B195">IF($A195="", "", LET(bbgm_stat, INDEX(Players!$A194:$P194, MATCH(B$2, Players!$A$1:$P$1, 0)), perc_75, VLOOKUP(B$2, Percentiles!$A$45:$I$59, 6, FALSE), perc_90, VLOOKUP(B$2, Percentiles!$A$45:$I$59, 7, FALSE), perc_95, VLOOKUP(B$2, Percentiles!$A$45:$I$59, 8, FALSE), perc_85, perc_75 + (perc_90 - perc_75) * (2/3), converted_stat, '2K_Ratings'!B195, IF(bbgm_stat &gt;= perc_95, converted_stat * 3, IF(bbgm_stat &gt;= perc_90, converted_stat * 2, IF(bbgm_stat &gt;= perc_85, converted_stat * 1.5, converted_stat)))))</f>
        <v/>
      </c>
      <c r="C195" s="30" t="str">
        <f t="array" ref="C195">IF($A195="", "", LET(bbgm_stat, INDEX(Players!$A194:$P194, MATCH(C$2, Players!$A$1:$P$1, 0)), perc_75, VLOOKUP(C$2, Percentiles!$A$45:$I$59, 6, FALSE), perc_90, VLOOKUP(C$2, Percentiles!$A$45:$I$59, 7, FALSE), perc_95, VLOOKUP(C$2, Percentiles!$A$45:$I$59, 8, FALSE), perc_85, perc_75 + (perc_90 - perc_75) * (2/3), converted_stat, '2K_Ratings'!C195, IF(bbgm_stat &gt;= perc_95, converted_stat * 3, IF(bbgm_stat &gt;= perc_90, converted_stat * 2, IF(bbgm_stat &gt;= perc_85, converted_stat * 1.5, converted_stat)))))</f>
        <v/>
      </c>
      <c r="D195" s="30" t="str">
        <f t="array" ref="D195">IF($A195="", "", LET(bbgm_stat, INDEX(Players!$A194:$P194, MATCH(D$2, Players!$A$1:$P$1, 0)), perc_75, VLOOKUP(D$2, Percentiles!$A$45:$I$59, 6, FALSE), perc_90, VLOOKUP(D$2, Percentiles!$A$45:$I$59, 7, FALSE), perc_95, VLOOKUP(D$2, Percentiles!$A$45:$I$59, 8, FALSE), perc_85, perc_75 + (perc_90 - perc_75) * (2/3), converted_stat, '2K_Ratings'!D195, IF(bbgm_stat &gt;= perc_95, converted_stat * 3, IF(bbgm_stat &gt;= perc_90, converted_stat * 2, IF(bbgm_stat &gt;= perc_85, converted_stat * 1.5, converted_stat)))))</f>
        <v/>
      </c>
      <c r="E195" s="30" t="str">
        <f t="array" ref="E195">IF($A195="", "", LET(bbgm_stat, INDEX(Players!$A194:$P194, MATCH(E$2, Players!$A$1:$P$1, 0)), perc_75, VLOOKUP(E$2, Percentiles!$A$45:$I$59, 6, FALSE), perc_90, VLOOKUP(E$2, Percentiles!$A$45:$I$59, 7, FALSE), perc_95, VLOOKUP(E$2, Percentiles!$A$45:$I$59, 8, FALSE), perc_85, perc_75 + (perc_90 - perc_75) * (2/3), converted_stat, '2K_Ratings'!E195, IF(bbgm_stat &gt;= perc_95, converted_stat * 3, IF(bbgm_stat &gt;= perc_90, converted_stat * 2, IF(bbgm_stat &gt;= perc_85, converted_stat * 1.5, converted_stat)))))</f>
        <v/>
      </c>
      <c r="F195" s="30" t="str">
        <f t="array" ref="F195">IF($A195="", "", LET(bbgm_stat, INDEX(Players!$A194:$P194, MATCH(F$2, Players!$A$1:$P$1, 0)), perc_75, VLOOKUP(F$2, Percentiles!$A$45:$I$59, 6, FALSE), perc_90, VLOOKUP(F$2, Percentiles!$A$45:$I$59, 7, FALSE), perc_95, VLOOKUP(F$2, Percentiles!$A$45:$I$59, 8, FALSE), perc_85, perc_75 + (perc_90 - perc_75) * (2/3), converted_stat, '2K_Ratings'!F195, IF(bbgm_stat &gt;= perc_95, converted_stat * 3, IF(bbgm_stat &gt;= perc_90, converted_stat * 2, IF(bbgm_stat &gt;= perc_85, converted_stat * 1.5, converted_stat)))))</f>
        <v/>
      </c>
      <c r="G195" s="30" t="str">
        <f t="array" ref="G195">IF($A195="", "", LET(bbgm_stat, INDEX(Players!$A194:$P194, MATCH(G$2, Players!$A$1:$P$1, 0)), perc_75, VLOOKUP(G$2, Percentiles!$A$45:$I$59, 6, FALSE), perc_90, VLOOKUP(G$2, Percentiles!$A$45:$I$59, 7, FALSE), perc_95, VLOOKUP(G$2, Percentiles!$A$45:$I$59, 8, FALSE), perc_85, perc_75 + (perc_90 - perc_75) * (2/3), converted_stat, '2K_Ratings'!G195, IF(bbgm_stat &gt;= perc_95, converted_stat * 3, IF(bbgm_stat &gt;= perc_90, converted_stat * 2, IF(bbgm_stat &gt;= perc_85, converted_stat * 1.5, converted_stat)))))</f>
        <v/>
      </c>
      <c r="H195" s="30" t="str">
        <f t="array" ref="H195">IF($A195="", "", LET(bbgm_stat, INDEX(Players!$A194:$P194, MATCH(H$2, Players!$A$1:$P$1, 0)), perc_75, VLOOKUP(H$2, Percentiles!$A$45:$I$59, 6, FALSE), perc_90, VLOOKUP(H$2, Percentiles!$A$45:$I$59, 7, FALSE), perc_95, VLOOKUP(H$2, Percentiles!$A$45:$I$59, 8, FALSE), perc_85, perc_75 + (perc_90 - perc_75) * (2/3), converted_stat, '2K_Ratings'!H195, IF(bbgm_stat &gt;= perc_95, converted_stat * 3, IF(bbgm_stat &gt;= perc_90, converted_stat * 2, IF(bbgm_stat &gt;= perc_85, converted_stat * 1.5, converted_stat)))))</f>
        <v/>
      </c>
      <c r="I195" s="30" t="str">
        <f t="array" ref="I195">IF($A195="", "", LET(bbgm_stat, INDEX(Players!$A194:$P194, MATCH(I$2, Players!$A$1:$P$1, 0)), perc_75, VLOOKUP(I$2, Percentiles!$A$45:$I$59, 6, FALSE), perc_90, VLOOKUP(I$2, Percentiles!$A$45:$I$59, 7, FALSE), perc_95, VLOOKUP(I$2, Percentiles!$A$45:$I$59, 8, FALSE), perc_85, perc_75 + (perc_90 - perc_75) * (2/3), converted_stat, '2K_Ratings'!I195, IF(bbgm_stat &gt;= perc_95, converted_stat * 3, IF(bbgm_stat &gt;= perc_90, converted_stat * 2, IF(bbgm_stat &gt;= perc_85, converted_stat * 1.5, converted_stat)))))</f>
        <v/>
      </c>
      <c r="J195" s="30" t="str">
        <f t="array" ref="J195">IF($A195="", "", LET(bbgm_stat, INDEX(Players!$A194:$P194, MATCH(J$2, Players!$A$1:$P$1, 0)), perc_75, VLOOKUP(J$2, Percentiles!$A$45:$I$59, 6, FALSE), perc_90, VLOOKUP(J$2, Percentiles!$A$45:$I$59, 7, FALSE), perc_95, VLOOKUP(J$2, Percentiles!$A$45:$I$59, 8, FALSE), perc_85, perc_75 + (perc_90 - perc_75) * (2/3), converted_stat, '2K_Ratings'!J195, IF(bbgm_stat &gt;= perc_95, converted_stat * 3, IF(bbgm_stat &gt;= perc_90, converted_stat * 2, IF(bbgm_stat &gt;= perc_85, converted_stat * 1.5, converted_stat)))))</f>
        <v/>
      </c>
      <c r="K195" s="30" t="str">
        <f t="array" ref="K195">IF($A195="", "", LET(bbgm_stat, INDEX(Players!$A194:$P194, MATCH(K$2, Players!$A$1:$P$1, 0)), perc_75, VLOOKUP(K$2, Percentiles!$A$45:$I$59, 6, FALSE), perc_90, VLOOKUP(K$2, Percentiles!$A$45:$I$59, 7, FALSE), perc_95, VLOOKUP(K$2, Percentiles!$A$45:$I$59, 8, FALSE), perc_85, perc_75 + (perc_90 - perc_75) * (2/3), converted_stat, '2K_Ratings'!K195, IF(bbgm_stat &gt;= perc_95, converted_stat * 3, IF(bbgm_stat &gt;= perc_90, converted_stat * 2, IF(bbgm_stat &gt;= perc_85, converted_stat * 1.5, converted_stat)))))</f>
        <v/>
      </c>
      <c r="L195" s="30" t="str">
        <f t="array" ref="L195">IF($A195="", "", LET(bbgm_stat, INDEX(Players!$A194:$P194, MATCH(L$2, Players!$A$1:$P$1, 0)), perc_75, VLOOKUP(L$2, Percentiles!$A$45:$I$59, 6, FALSE), perc_90, VLOOKUP(L$2, Percentiles!$A$45:$I$59, 7, FALSE), perc_95, VLOOKUP(L$2, Percentiles!$A$45:$I$59, 8, FALSE), perc_85, perc_75 + (perc_90 - perc_75) * (2/3), converted_stat, '2K_Ratings'!L195, IF(bbgm_stat &gt;= perc_95, converted_stat * 3, IF(bbgm_stat &gt;= perc_90, converted_stat * 2, IF(bbgm_stat &gt;= perc_85, converted_stat * 1.5, converted_stat)))))</f>
        <v/>
      </c>
      <c r="M195" s="30" t="str">
        <f t="array" ref="M195">IF($A195="", "", LET(bbgm_stat, INDEX(Players!$A194:$P194, MATCH(M$2, Players!$A$1:$P$1, 0)), perc_75, VLOOKUP(M$2, Percentiles!$A$45:$I$59, 6, FALSE), perc_90, VLOOKUP(M$2, Percentiles!$A$45:$I$59, 7, FALSE), perc_95, VLOOKUP(M$2, Percentiles!$A$45:$I$59, 8, FALSE), perc_85, perc_75 + (perc_90 - perc_75) * (2/3), converted_stat, '2K_Ratings'!M195, IF(bbgm_stat &gt;= perc_95, converted_stat * 3, IF(bbgm_stat &gt;= perc_90, converted_stat * 2, IF(bbgm_stat &gt;= perc_85, converted_stat * 1.5, converted_stat)))))</f>
        <v/>
      </c>
      <c r="N195" s="30" t="str">
        <f t="array" ref="N195">IF($A195="", "", LET(bbgm_stat, INDEX(Players!$A194:$P194, MATCH(N$2, Players!$A$1:$P$1, 0)), perc_75, VLOOKUP(N$2, Percentiles!$A$45:$I$59, 6, FALSE), perc_90, VLOOKUP(N$2, Percentiles!$A$45:$I$59, 7, FALSE), perc_95, VLOOKUP(N$2, Percentiles!$A$45:$I$59, 8, FALSE), perc_85, perc_75 + (perc_90 - perc_75) * (2/3), converted_stat, '2K_Ratings'!N195, IF(bbgm_stat &gt;= perc_95, converted_stat * 3, IF(bbgm_stat &gt;= perc_90, converted_stat * 2, IF(bbgm_stat &gt;= perc_85, converted_stat * 1.5, converted_stat)))))</f>
        <v/>
      </c>
      <c r="O195" s="30" t="str">
        <f t="array" ref="O195">IF($A195="", "", LET(bbgm_stat, INDEX(Players!$A194:$P194, MATCH(O$2, Players!$A$1:$P$1, 0)), perc_75, VLOOKUP(O$2, Percentiles!$A$45:$I$59, 6, FALSE), perc_90, VLOOKUP(O$2, Percentiles!$A$45:$I$59, 7, FALSE), perc_95, VLOOKUP(O$2, Percentiles!$A$45:$I$59, 8, FALSE), perc_85, perc_75 + (perc_90 - perc_75) * (2/3), converted_stat, '2K_Ratings'!O195, IF(bbgm_stat &gt;= perc_95, converted_stat * 3, IF(bbgm_stat &gt;= perc_90, converted_stat * 2, IF(bbgm_stat &gt;= perc_85, converted_stat * 1.5, converted_stat)))))</f>
        <v/>
      </c>
      <c r="P195" s="30" t="str">
        <f t="array" ref="P195">IF($A195="", "", LET(bbgm_stat, INDEX(Players!$A194:$P194, MATCH(P$2, Players!$A$1:$P$1, 0)), perc_75, VLOOKUP(P$2, Percentiles!$A$45:$I$59, 6, FALSE), perc_90, VLOOKUP(P$2, Percentiles!$A$45:$I$59, 7, FALSE), perc_95, VLOOKUP(P$2, Percentiles!$A$45:$I$59, 8, FALSE), perc_85, perc_75 + (perc_90 - perc_75) * (2/3), converted_stat, '2K_Ratings'!P195, IF(bbgm_stat &gt;= perc_95, converted_stat * 3, IF(bbgm_stat &gt;= perc_90, converted_stat * 2, IF(bbgm_stat &gt;= perc_85, converted_stat * 1.5, converted_stat)))))</f>
        <v/>
      </c>
      <c r="Q195" s="30" t="str">
        <f t="array" ref="Q195">IF($A195="", "", LET(bbgm_stat, INDEX(Players!$A194:$P194, MATCH(Q$2, Players!$A$1:$P$1, 0)), perc_75, VLOOKUP(Q$2, Percentiles!$A$45:$I$59, 6, FALSE), perc_90, VLOOKUP(Q$2, Percentiles!$A$45:$I$59, 7, FALSE), perc_95, VLOOKUP(Q$2, Percentiles!$A$45:$I$59, 8, FALSE), perc_85, perc_75 + (perc_90 - perc_75) * (2/3), converted_stat, '2K_Ratings'!Q195, IF(bbgm_stat &gt;= perc_95, converted_stat * 3, IF(bbgm_stat &gt;= perc_90, converted_stat * 2, IF(bbgm_stat &gt;= perc_85, converted_stat * 1.5, converted_stat)))))</f>
        <v/>
      </c>
      <c r="R195" s="30" t="str">
        <f t="array" ref="R195">IF($A195="", "", LET(bbgm_stat, INDEX(Players!$A194:$P194, MATCH(R$2, Players!$A$1:$P$1, 0)), perc_75, VLOOKUP(R$2, Percentiles!$A$45:$I$59, 6, FALSE), perc_90, VLOOKUP(R$2, Percentiles!$A$45:$I$59, 7, FALSE), perc_95, VLOOKUP(R$2, Percentiles!$A$45:$I$59, 8, FALSE), perc_85, perc_75 + (perc_90 - perc_75) * (2/3), converted_stat, '2K_Ratings'!R195, IF(bbgm_stat &gt;= perc_95, converted_stat * 3, IF(bbgm_stat &gt;= perc_90, converted_stat * 2, IF(bbgm_stat &gt;= perc_85, converted_stat * 1.5, converted_stat)))))</f>
        <v/>
      </c>
      <c r="S195" s="30" t="str">
        <f t="array" ref="S195">IF($A195="", "", LET(bbgm_stat, INDEX(Players!$A194:$P194, MATCH(S$2, Players!$A$1:$P$1, 0)), perc_75, VLOOKUP(S$2, Percentiles!$A$45:$I$59, 6, FALSE), perc_90, VLOOKUP(S$2, Percentiles!$A$45:$I$59, 7, FALSE), perc_95, VLOOKUP(S$2, Percentiles!$A$45:$I$59, 8, FALSE), perc_85, perc_75 + (perc_90 - perc_75) * (2/3), converted_stat, '2K_Ratings'!S195, IF(bbgm_stat &gt;= perc_95, converted_stat * 3, IF(bbgm_stat &gt;= perc_90, converted_stat * 2, IF(bbgm_stat &gt;= perc_85, converted_stat * 1.5, converted_stat)))))</f>
        <v/>
      </c>
      <c r="T195" s="30" t="str">
        <f t="array" ref="T195">IF($A195="", "", LET(bbgm_stat, INDEX(Players!$A194:$P194, MATCH(T$2, Players!$A$1:$P$1, 0)), perc_75, VLOOKUP(T$2, Percentiles!$A$45:$I$59, 6, FALSE), perc_90, VLOOKUP(T$2, Percentiles!$A$45:$I$59, 7, FALSE), perc_95, VLOOKUP(T$2, Percentiles!$A$45:$I$59, 8, FALSE), perc_85, perc_75 + (perc_90 - perc_75) * (2/3), converted_stat, '2K_Ratings'!T195, IF(bbgm_stat &gt;= perc_95, converted_stat * 3, IF(bbgm_stat &gt;= perc_90, converted_stat * 2, IF(bbgm_stat &gt;= perc_85, converted_stat * 1.5, converted_stat)))))</f>
        <v/>
      </c>
      <c r="U195" s="30" t="str">
        <f t="array" ref="U195">IF($A195="", "", LET(bbgm_stat, INDEX(Players!$A194:$P194, MATCH(U$2, Players!$A$1:$P$1, 0)), perc_75, VLOOKUP(U$2, Percentiles!$A$45:$I$59, 6, FALSE), perc_90, VLOOKUP(U$2, Percentiles!$A$45:$I$59, 7, FALSE), perc_95, VLOOKUP(U$2, Percentiles!$A$45:$I$59, 8, FALSE), perc_85, perc_75 + (perc_90 - perc_75) * (2/3), converted_stat, '2K_Ratings'!U195, IF(bbgm_stat &gt;= perc_95, converted_stat * 3, IF(bbgm_stat &gt;= perc_90, converted_stat * 2, IF(bbgm_stat &gt;= perc_85, converted_stat * 1.5, converted_stat)))))</f>
        <v/>
      </c>
      <c r="V195" s="30" t="str">
        <f t="array" ref="V195">IF($A195="", "", LET(bbgm_stat, INDEX(Players!$A194:$P194, MATCH(V$2, Players!$A$1:$P$1, 0)), perc_75, VLOOKUP(V$2, Percentiles!$A$45:$I$59, 6, FALSE), perc_90, VLOOKUP(V$2, Percentiles!$A$45:$I$59, 7, FALSE), perc_95, VLOOKUP(V$2, Percentiles!$A$45:$I$59, 8, FALSE), perc_85, perc_75 + (perc_90 - perc_75) * (2/3), converted_stat, '2K_Ratings'!V195, IF(bbgm_stat &gt;= perc_95, converted_stat * 3, IF(bbgm_stat &gt;= perc_90, converted_stat * 2, IF(bbgm_stat &gt;= perc_85, converted_stat * 1.5, converted_stat)))))</f>
        <v/>
      </c>
      <c r="W195" s="30" t="str">
        <f t="array" ref="W195">IF($A195="", "", LET(bbgm_stat, INDEX(Players!$A194:$P194, MATCH(W$2, Players!$A$1:$P$1, 0)), perc_75, VLOOKUP(W$2, Percentiles!$A$45:$I$59, 6, FALSE), perc_90, VLOOKUP(W$2, Percentiles!$A$45:$I$59, 7, FALSE), perc_95, VLOOKUP(W$2, Percentiles!$A$45:$I$59, 8, FALSE), perc_85, perc_75 + (perc_90 - perc_75) * (2/3), converted_stat, '2K_Ratings'!W195, IF(bbgm_stat &gt;= perc_95, converted_stat * 3, IF(bbgm_stat &gt;= perc_90, converted_stat * 2, IF(bbgm_stat &gt;= perc_85, converted_stat * 1.5, converted_stat)))))</f>
        <v/>
      </c>
    </row>
    <row r="196">
      <c r="A196" s="30"/>
      <c r="B196" s="30" t="str">
        <f t="array" ref="B196">IF($A196="", "", LET(bbgm_stat, INDEX(Players!$A195:$P195, MATCH(B$2, Players!$A$1:$P$1, 0)), perc_75, VLOOKUP(B$2, Percentiles!$A$45:$I$59, 6, FALSE), perc_90, VLOOKUP(B$2, Percentiles!$A$45:$I$59, 7, FALSE), perc_95, VLOOKUP(B$2, Percentiles!$A$45:$I$59, 8, FALSE), perc_85, perc_75 + (perc_90 - perc_75) * (2/3), converted_stat, '2K_Ratings'!B196, IF(bbgm_stat &gt;= perc_95, converted_stat * 3, IF(bbgm_stat &gt;= perc_90, converted_stat * 2, IF(bbgm_stat &gt;= perc_85, converted_stat * 1.5, converted_stat)))))</f>
        <v/>
      </c>
      <c r="C196" s="30" t="str">
        <f t="array" ref="C196">IF($A196="", "", LET(bbgm_stat, INDEX(Players!$A195:$P195, MATCH(C$2, Players!$A$1:$P$1, 0)), perc_75, VLOOKUP(C$2, Percentiles!$A$45:$I$59, 6, FALSE), perc_90, VLOOKUP(C$2, Percentiles!$A$45:$I$59, 7, FALSE), perc_95, VLOOKUP(C$2, Percentiles!$A$45:$I$59, 8, FALSE), perc_85, perc_75 + (perc_90 - perc_75) * (2/3), converted_stat, '2K_Ratings'!C196, IF(bbgm_stat &gt;= perc_95, converted_stat * 3, IF(bbgm_stat &gt;= perc_90, converted_stat * 2, IF(bbgm_stat &gt;= perc_85, converted_stat * 1.5, converted_stat)))))</f>
        <v/>
      </c>
      <c r="D196" s="30" t="str">
        <f t="array" ref="D196">IF($A196="", "", LET(bbgm_stat, INDEX(Players!$A195:$P195, MATCH(D$2, Players!$A$1:$P$1, 0)), perc_75, VLOOKUP(D$2, Percentiles!$A$45:$I$59, 6, FALSE), perc_90, VLOOKUP(D$2, Percentiles!$A$45:$I$59, 7, FALSE), perc_95, VLOOKUP(D$2, Percentiles!$A$45:$I$59, 8, FALSE), perc_85, perc_75 + (perc_90 - perc_75) * (2/3), converted_stat, '2K_Ratings'!D196, IF(bbgm_stat &gt;= perc_95, converted_stat * 3, IF(bbgm_stat &gt;= perc_90, converted_stat * 2, IF(bbgm_stat &gt;= perc_85, converted_stat * 1.5, converted_stat)))))</f>
        <v/>
      </c>
      <c r="E196" s="30" t="str">
        <f t="array" ref="E196">IF($A196="", "", LET(bbgm_stat, INDEX(Players!$A195:$P195, MATCH(E$2, Players!$A$1:$P$1, 0)), perc_75, VLOOKUP(E$2, Percentiles!$A$45:$I$59, 6, FALSE), perc_90, VLOOKUP(E$2, Percentiles!$A$45:$I$59, 7, FALSE), perc_95, VLOOKUP(E$2, Percentiles!$A$45:$I$59, 8, FALSE), perc_85, perc_75 + (perc_90 - perc_75) * (2/3), converted_stat, '2K_Ratings'!E196, IF(bbgm_stat &gt;= perc_95, converted_stat * 3, IF(bbgm_stat &gt;= perc_90, converted_stat * 2, IF(bbgm_stat &gt;= perc_85, converted_stat * 1.5, converted_stat)))))</f>
        <v/>
      </c>
      <c r="F196" s="30" t="str">
        <f t="array" ref="F196">IF($A196="", "", LET(bbgm_stat, INDEX(Players!$A195:$P195, MATCH(F$2, Players!$A$1:$P$1, 0)), perc_75, VLOOKUP(F$2, Percentiles!$A$45:$I$59, 6, FALSE), perc_90, VLOOKUP(F$2, Percentiles!$A$45:$I$59, 7, FALSE), perc_95, VLOOKUP(F$2, Percentiles!$A$45:$I$59, 8, FALSE), perc_85, perc_75 + (perc_90 - perc_75) * (2/3), converted_stat, '2K_Ratings'!F196, IF(bbgm_stat &gt;= perc_95, converted_stat * 3, IF(bbgm_stat &gt;= perc_90, converted_stat * 2, IF(bbgm_stat &gt;= perc_85, converted_stat * 1.5, converted_stat)))))</f>
        <v/>
      </c>
      <c r="G196" s="30" t="str">
        <f t="array" ref="G196">IF($A196="", "", LET(bbgm_stat, INDEX(Players!$A195:$P195, MATCH(G$2, Players!$A$1:$P$1, 0)), perc_75, VLOOKUP(G$2, Percentiles!$A$45:$I$59, 6, FALSE), perc_90, VLOOKUP(G$2, Percentiles!$A$45:$I$59, 7, FALSE), perc_95, VLOOKUP(G$2, Percentiles!$A$45:$I$59, 8, FALSE), perc_85, perc_75 + (perc_90 - perc_75) * (2/3), converted_stat, '2K_Ratings'!G196, IF(bbgm_stat &gt;= perc_95, converted_stat * 3, IF(bbgm_stat &gt;= perc_90, converted_stat * 2, IF(bbgm_stat &gt;= perc_85, converted_stat * 1.5, converted_stat)))))</f>
        <v/>
      </c>
      <c r="H196" s="30" t="str">
        <f t="array" ref="H196">IF($A196="", "", LET(bbgm_stat, INDEX(Players!$A195:$P195, MATCH(H$2, Players!$A$1:$P$1, 0)), perc_75, VLOOKUP(H$2, Percentiles!$A$45:$I$59, 6, FALSE), perc_90, VLOOKUP(H$2, Percentiles!$A$45:$I$59, 7, FALSE), perc_95, VLOOKUP(H$2, Percentiles!$A$45:$I$59, 8, FALSE), perc_85, perc_75 + (perc_90 - perc_75) * (2/3), converted_stat, '2K_Ratings'!H196, IF(bbgm_stat &gt;= perc_95, converted_stat * 3, IF(bbgm_stat &gt;= perc_90, converted_stat * 2, IF(bbgm_stat &gt;= perc_85, converted_stat * 1.5, converted_stat)))))</f>
        <v/>
      </c>
      <c r="I196" s="30" t="str">
        <f t="array" ref="I196">IF($A196="", "", LET(bbgm_stat, INDEX(Players!$A195:$P195, MATCH(I$2, Players!$A$1:$P$1, 0)), perc_75, VLOOKUP(I$2, Percentiles!$A$45:$I$59, 6, FALSE), perc_90, VLOOKUP(I$2, Percentiles!$A$45:$I$59, 7, FALSE), perc_95, VLOOKUP(I$2, Percentiles!$A$45:$I$59, 8, FALSE), perc_85, perc_75 + (perc_90 - perc_75) * (2/3), converted_stat, '2K_Ratings'!I196, IF(bbgm_stat &gt;= perc_95, converted_stat * 3, IF(bbgm_stat &gt;= perc_90, converted_stat * 2, IF(bbgm_stat &gt;= perc_85, converted_stat * 1.5, converted_stat)))))</f>
        <v/>
      </c>
      <c r="J196" s="30" t="str">
        <f t="array" ref="J196">IF($A196="", "", LET(bbgm_stat, INDEX(Players!$A195:$P195, MATCH(J$2, Players!$A$1:$P$1, 0)), perc_75, VLOOKUP(J$2, Percentiles!$A$45:$I$59, 6, FALSE), perc_90, VLOOKUP(J$2, Percentiles!$A$45:$I$59, 7, FALSE), perc_95, VLOOKUP(J$2, Percentiles!$A$45:$I$59, 8, FALSE), perc_85, perc_75 + (perc_90 - perc_75) * (2/3), converted_stat, '2K_Ratings'!J196, IF(bbgm_stat &gt;= perc_95, converted_stat * 3, IF(bbgm_stat &gt;= perc_90, converted_stat * 2, IF(bbgm_stat &gt;= perc_85, converted_stat * 1.5, converted_stat)))))</f>
        <v/>
      </c>
      <c r="K196" s="30" t="str">
        <f t="array" ref="K196">IF($A196="", "", LET(bbgm_stat, INDEX(Players!$A195:$P195, MATCH(K$2, Players!$A$1:$P$1, 0)), perc_75, VLOOKUP(K$2, Percentiles!$A$45:$I$59, 6, FALSE), perc_90, VLOOKUP(K$2, Percentiles!$A$45:$I$59, 7, FALSE), perc_95, VLOOKUP(K$2, Percentiles!$A$45:$I$59, 8, FALSE), perc_85, perc_75 + (perc_90 - perc_75) * (2/3), converted_stat, '2K_Ratings'!K196, IF(bbgm_stat &gt;= perc_95, converted_stat * 3, IF(bbgm_stat &gt;= perc_90, converted_stat * 2, IF(bbgm_stat &gt;= perc_85, converted_stat * 1.5, converted_stat)))))</f>
        <v/>
      </c>
      <c r="L196" s="30" t="str">
        <f t="array" ref="L196">IF($A196="", "", LET(bbgm_stat, INDEX(Players!$A195:$P195, MATCH(L$2, Players!$A$1:$P$1, 0)), perc_75, VLOOKUP(L$2, Percentiles!$A$45:$I$59, 6, FALSE), perc_90, VLOOKUP(L$2, Percentiles!$A$45:$I$59, 7, FALSE), perc_95, VLOOKUP(L$2, Percentiles!$A$45:$I$59, 8, FALSE), perc_85, perc_75 + (perc_90 - perc_75) * (2/3), converted_stat, '2K_Ratings'!L196, IF(bbgm_stat &gt;= perc_95, converted_stat * 3, IF(bbgm_stat &gt;= perc_90, converted_stat * 2, IF(bbgm_stat &gt;= perc_85, converted_stat * 1.5, converted_stat)))))</f>
        <v/>
      </c>
      <c r="M196" s="30" t="str">
        <f t="array" ref="M196">IF($A196="", "", LET(bbgm_stat, INDEX(Players!$A195:$P195, MATCH(M$2, Players!$A$1:$P$1, 0)), perc_75, VLOOKUP(M$2, Percentiles!$A$45:$I$59, 6, FALSE), perc_90, VLOOKUP(M$2, Percentiles!$A$45:$I$59, 7, FALSE), perc_95, VLOOKUP(M$2, Percentiles!$A$45:$I$59, 8, FALSE), perc_85, perc_75 + (perc_90 - perc_75) * (2/3), converted_stat, '2K_Ratings'!M196, IF(bbgm_stat &gt;= perc_95, converted_stat * 3, IF(bbgm_stat &gt;= perc_90, converted_stat * 2, IF(bbgm_stat &gt;= perc_85, converted_stat * 1.5, converted_stat)))))</f>
        <v/>
      </c>
      <c r="N196" s="30" t="str">
        <f t="array" ref="N196">IF($A196="", "", LET(bbgm_stat, INDEX(Players!$A195:$P195, MATCH(N$2, Players!$A$1:$P$1, 0)), perc_75, VLOOKUP(N$2, Percentiles!$A$45:$I$59, 6, FALSE), perc_90, VLOOKUP(N$2, Percentiles!$A$45:$I$59, 7, FALSE), perc_95, VLOOKUP(N$2, Percentiles!$A$45:$I$59, 8, FALSE), perc_85, perc_75 + (perc_90 - perc_75) * (2/3), converted_stat, '2K_Ratings'!N196, IF(bbgm_stat &gt;= perc_95, converted_stat * 3, IF(bbgm_stat &gt;= perc_90, converted_stat * 2, IF(bbgm_stat &gt;= perc_85, converted_stat * 1.5, converted_stat)))))</f>
        <v/>
      </c>
      <c r="O196" s="30" t="str">
        <f t="array" ref="O196">IF($A196="", "", LET(bbgm_stat, INDEX(Players!$A195:$P195, MATCH(O$2, Players!$A$1:$P$1, 0)), perc_75, VLOOKUP(O$2, Percentiles!$A$45:$I$59, 6, FALSE), perc_90, VLOOKUP(O$2, Percentiles!$A$45:$I$59, 7, FALSE), perc_95, VLOOKUP(O$2, Percentiles!$A$45:$I$59, 8, FALSE), perc_85, perc_75 + (perc_90 - perc_75) * (2/3), converted_stat, '2K_Ratings'!O196, IF(bbgm_stat &gt;= perc_95, converted_stat * 3, IF(bbgm_stat &gt;= perc_90, converted_stat * 2, IF(bbgm_stat &gt;= perc_85, converted_stat * 1.5, converted_stat)))))</f>
        <v/>
      </c>
      <c r="P196" s="30" t="str">
        <f t="array" ref="P196">IF($A196="", "", LET(bbgm_stat, INDEX(Players!$A195:$P195, MATCH(P$2, Players!$A$1:$P$1, 0)), perc_75, VLOOKUP(P$2, Percentiles!$A$45:$I$59, 6, FALSE), perc_90, VLOOKUP(P$2, Percentiles!$A$45:$I$59, 7, FALSE), perc_95, VLOOKUP(P$2, Percentiles!$A$45:$I$59, 8, FALSE), perc_85, perc_75 + (perc_90 - perc_75) * (2/3), converted_stat, '2K_Ratings'!P196, IF(bbgm_stat &gt;= perc_95, converted_stat * 3, IF(bbgm_stat &gt;= perc_90, converted_stat * 2, IF(bbgm_stat &gt;= perc_85, converted_stat * 1.5, converted_stat)))))</f>
        <v/>
      </c>
      <c r="Q196" s="30" t="str">
        <f t="array" ref="Q196">IF($A196="", "", LET(bbgm_stat, INDEX(Players!$A195:$P195, MATCH(Q$2, Players!$A$1:$P$1, 0)), perc_75, VLOOKUP(Q$2, Percentiles!$A$45:$I$59, 6, FALSE), perc_90, VLOOKUP(Q$2, Percentiles!$A$45:$I$59, 7, FALSE), perc_95, VLOOKUP(Q$2, Percentiles!$A$45:$I$59, 8, FALSE), perc_85, perc_75 + (perc_90 - perc_75) * (2/3), converted_stat, '2K_Ratings'!Q196, IF(bbgm_stat &gt;= perc_95, converted_stat * 3, IF(bbgm_stat &gt;= perc_90, converted_stat * 2, IF(bbgm_stat &gt;= perc_85, converted_stat * 1.5, converted_stat)))))</f>
        <v/>
      </c>
      <c r="R196" s="30" t="str">
        <f t="array" ref="R196">IF($A196="", "", LET(bbgm_stat, INDEX(Players!$A195:$P195, MATCH(R$2, Players!$A$1:$P$1, 0)), perc_75, VLOOKUP(R$2, Percentiles!$A$45:$I$59, 6, FALSE), perc_90, VLOOKUP(R$2, Percentiles!$A$45:$I$59, 7, FALSE), perc_95, VLOOKUP(R$2, Percentiles!$A$45:$I$59, 8, FALSE), perc_85, perc_75 + (perc_90 - perc_75) * (2/3), converted_stat, '2K_Ratings'!R196, IF(bbgm_stat &gt;= perc_95, converted_stat * 3, IF(bbgm_stat &gt;= perc_90, converted_stat * 2, IF(bbgm_stat &gt;= perc_85, converted_stat * 1.5, converted_stat)))))</f>
        <v/>
      </c>
      <c r="S196" s="30" t="str">
        <f t="array" ref="S196">IF($A196="", "", LET(bbgm_stat, INDEX(Players!$A195:$P195, MATCH(S$2, Players!$A$1:$P$1, 0)), perc_75, VLOOKUP(S$2, Percentiles!$A$45:$I$59, 6, FALSE), perc_90, VLOOKUP(S$2, Percentiles!$A$45:$I$59, 7, FALSE), perc_95, VLOOKUP(S$2, Percentiles!$A$45:$I$59, 8, FALSE), perc_85, perc_75 + (perc_90 - perc_75) * (2/3), converted_stat, '2K_Ratings'!S196, IF(bbgm_stat &gt;= perc_95, converted_stat * 3, IF(bbgm_stat &gt;= perc_90, converted_stat * 2, IF(bbgm_stat &gt;= perc_85, converted_stat * 1.5, converted_stat)))))</f>
        <v/>
      </c>
      <c r="T196" s="30" t="str">
        <f t="array" ref="T196">IF($A196="", "", LET(bbgm_stat, INDEX(Players!$A195:$P195, MATCH(T$2, Players!$A$1:$P$1, 0)), perc_75, VLOOKUP(T$2, Percentiles!$A$45:$I$59, 6, FALSE), perc_90, VLOOKUP(T$2, Percentiles!$A$45:$I$59, 7, FALSE), perc_95, VLOOKUP(T$2, Percentiles!$A$45:$I$59, 8, FALSE), perc_85, perc_75 + (perc_90 - perc_75) * (2/3), converted_stat, '2K_Ratings'!T196, IF(bbgm_stat &gt;= perc_95, converted_stat * 3, IF(bbgm_stat &gt;= perc_90, converted_stat * 2, IF(bbgm_stat &gt;= perc_85, converted_stat * 1.5, converted_stat)))))</f>
        <v/>
      </c>
      <c r="U196" s="30" t="str">
        <f t="array" ref="U196">IF($A196="", "", LET(bbgm_stat, INDEX(Players!$A195:$P195, MATCH(U$2, Players!$A$1:$P$1, 0)), perc_75, VLOOKUP(U$2, Percentiles!$A$45:$I$59, 6, FALSE), perc_90, VLOOKUP(U$2, Percentiles!$A$45:$I$59, 7, FALSE), perc_95, VLOOKUP(U$2, Percentiles!$A$45:$I$59, 8, FALSE), perc_85, perc_75 + (perc_90 - perc_75) * (2/3), converted_stat, '2K_Ratings'!U196, IF(bbgm_stat &gt;= perc_95, converted_stat * 3, IF(bbgm_stat &gt;= perc_90, converted_stat * 2, IF(bbgm_stat &gt;= perc_85, converted_stat * 1.5, converted_stat)))))</f>
        <v/>
      </c>
      <c r="V196" s="30" t="str">
        <f t="array" ref="V196">IF($A196="", "", LET(bbgm_stat, INDEX(Players!$A195:$P195, MATCH(V$2, Players!$A$1:$P$1, 0)), perc_75, VLOOKUP(V$2, Percentiles!$A$45:$I$59, 6, FALSE), perc_90, VLOOKUP(V$2, Percentiles!$A$45:$I$59, 7, FALSE), perc_95, VLOOKUP(V$2, Percentiles!$A$45:$I$59, 8, FALSE), perc_85, perc_75 + (perc_90 - perc_75) * (2/3), converted_stat, '2K_Ratings'!V196, IF(bbgm_stat &gt;= perc_95, converted_stat * 3, IF(bbgm_stat &gt;= perc_90, converted_stat * 2, IF(bbgm_stat &gt;= perc_85, converted_stat * 1.5, converted_stat)))))</f>
        <v/>
      </c>
      <c r="W196" s="30" t="str">
        <f t="array" ref="W196">IF($A196="", "", LET(bbgm_stat, INDEX(Players!$A195:$P195, MATCH(W$2, Players!$A$1:$P$1, 0)), perc_75, VLOOKUP(W$2, Percentiles!$A$45:$I$59, 6, FALSE), perc_90, VLOOKUP(W$2, Percentiles!$A$45:$I$59, 7, FALSE), perc_95, VLOOKUP(W$2, Percentiles!$A$45:$I$59, 8, FALSE), perc_85, perc_75 + (perc_90 - perc_75) * (2/3), converted_stat, '2K_Ratings'!W196, IF(bbgm_stat &gt;= perc_95, converted_stat * 3, IF(bbgm_stat &gt;= perc_90, converted_stat * 2, IF(bbgm_stat &gt;= perc_85, converted_stat * 1.5, converted_stat)))))</f>
        <v/>
      </c>
    </row>
    <row r="197">
      <c r="A197" s="30"/>
      <c r="B197" s="30" t="str">
        <f t="array" ref="B197">IF($A197="", "", LET(bbgm_stat, INDEX(Players!$A196:$P196, MATCH(B$2, Players!$A$1:$P$1, 0)), perc_75, VLOOKUP(B$2, Percentiles!$A$45:$I$59, 6, FALSE), perc_90, VLOOKUP(B$2, Percentiles!$A$45:$I$59, 7, FALSE), perc_95, VLOOKUP(B$2, Percentiles!$A$45:$I$59, 8, FALSE), perc_85, perc_75 + (perc_90 - perc_75) * (2/3), converted_stat, '2K_Ratings'!B197, IF(bbgm_stat &gt;= perc_95, converted_stat * 3, IF(bbgm_stat &gt;= perc_90, converted_stat * 2, IF(bbgm_stat &gt;= perc_85, converted_stat * 1.5, converted_stat)))))</f>
        <v/>
      </c>
      <c r="C197" s="30" t="str">
        <f t="array" ref="C197">IF($A197="", "", LET(bbgm_stat, INDEX(Players!$A196:$P196, MATCH(C$2, Players!$A$1:$P$1, 0)), perc_75, VLOOKUP(C$2, Percentiles!$A$45:$I$59, 6, FALSE), perc_90, VLOOKUP(C$2, Percentiles!$A$45:$I$59, 7, FALSE), perc_95, VLOOKUP(C$2, Percentiles!$A$45:$I$59, 8, FALSE), perc_85, perc_75 + (perc_90 - perc_75) * (2/3), converted_stat, '2K_Ratings'!C197, IF(bbgm_stat &gt;= perc_95, converted_stat * 3, IF(bbgm_stat &gt;= perc_90, converted_stat * 2, IF(bbgm_stat &gt;= perc_85, converted_stat * 1.5, converted_stat)))))</f>
        <v/>
      </c>
      <c r="D197" s="30" t="str">
        <f t="array" ref="D197">IF($A197="", "", LET(bbgm_stat, INDEX(Players!$A196:$P196, MATCH(D$2, Players!$A$1:$P$1, 0)), perc_75, VLOOKUP(D$2, Percentiles!$A$45:$I$59, 6, FALSE), perc_90, VLOOKUP(D$2, Percentiles!$A$45:$I$59, 7, FALSE), perc_95, VLOOKUP(D$2, Percentiles!$A$45:$I$59, 8, FALSE), perc_85, perc_75 + (perc_90 - perc_75) * (2/3), converted_stat, '2K_Ratings'!D197, IF(bbgm_stat &gt;= perc_95, converted_stat * 3, IF(bbgm_stat &gt;= perc_90, converted_stat * 2, IF(bbgm_stat &gt;= perc_85, converted_stat * 1.5, converted_stat)))))</f>
        <v/>
      </c>
      <c r="E197" s="30" t="str">
        <f t="array" ref="E197">IF($A197="", "", LET(bbgm_stat, INDEX(Players!$A196:$P196, MATCH(E$2, Players!$A$1:$P$1, 0)), perc_75, VLOOKUP(E$2, Percentiles!$A$45:$I$59, 6, FALSE), perc_90, VLOOKUP(E$2, Percentiles!$A$45:$I$59, 7, FALSE), perc_95, VLOOKUP(E$2, Percentiles!$A$45:$I$59, 8, FALSE), perc_85, perc_75 + (perc_90 - perc_75) * (2/3), converted_stat, '2K_Ratings'!E197, IF(bbgm_stat &gt;= perc_95, converted_stat * 3, IF(bbgm_stat &gt;= perc_90, converted_stat * 2, IF(bbgm_stat &gt;= perc_85, converted_stat * 1.5, converted_stat)))))</f>
        <v/>
      </c>
      <c r="F197" s="30" t="str">
        <f t="array" ref="F197">IF($A197="", "", LET(bbgm_stat, INDEX(Players!$A196:$P196, MATCH(F$2, Players!$A$1:$P$1, 0)), perc_75, VLOOKUP(F$2, Percentiles!$A$45:$I$59, 6, FALSE), perc_90, VLOOKUP(F$2, Percentiles!$A$45:$I$59, 7, FALSE), perc_95, VLOOKUP(F$2, Percentiles!$A$45:$I$59, 8, FALSE), perc_85, perc_75 + (perc_90 - perc_75) * (2/3), converted_stat, '2K_Ratings'!F197, IF(bbgm_stat &gt;= perc_95, converted_stat * 3, IF(bbgm_stat &gt;= perc_90, converted_stat * 2, IF(bbgm_stat &gt;= perc_85, converted_stat * 1.5, converted_stat)))))</f>
        <v/>
      </c>
      <c r="G197" s="30" t="str">
        <f t="array" ref="G197">IF($A197="", "", LET(bbgm_stat, INDEX(Players!$A196:$P196, MATCH(G$2, Players!$A$1:$P$1, 0)), perc_75, VLOOKUP(G$2, Percentiles!$A$45:$I$59, 6, FALSE), perc_90, VLOOKUP(G$2, Percentiles!$A$45:$I$59, 7, FALSE), perc_95, VLOOKUP(G$2, Percentiles!$A$45:$I$59, 8, FALSE), perc_85, perc_75 + (perc_90 - perc_75) * (2/3), converted_stat, '2K_Ratings'!G197, IF(bbgm_stat &gt;= perc_95, converted_stat * 3, IF(bbgm_stat &gt;= perc_90, converted_stat * 2, IF(bbgm_stat &gt;= perc_85, converted_stat * 1.5, converted_stat)))))</f>
        <v/>
      </c>
      <c r="H197" s="30" t="str">
        <f t="array" ref="H197">IF($A197="", "", LET(bbgm_stat, INDEX(Players!$A196:$P196, MATCH(H$2, Players!$A$1:$P$1, 0)), perc_75, VLOOKUP(H$2, Percentiles!$A$45:$I$59, 6, FALSE), perc_90, VLOOKUP(H$2, Percentiles!$A$45:$I$59, 7, FALSE), perc_95, VLOOKUP(H$2, Percentiles!$A$45:$I$59, 8, FALSE), perc_85, perc_75 + (perc_90 - perc_75) * (2/3), converted_stat, '2K_Ratings'!H197, IF(bbgm_stat &gt;= perc_95, converted_stat * 3, IF(bbgm_stat &gt;= perc_90, converted_stat * 2, IF(bbgm_stat &gt;= perc_85, converted_stat * 1.5, converted_stat)))))</f>
        <v/>
      </c>
      <c r="I197" s="30" t="str">
        <f t="array" ref="I197">IF($A197="", "", LET(bbgm_stat, INDEX(Players!$A196:$P196, MATCH(I$2, Players!$A$1:$P$1, 0)), perc_75, VLOOKUP(I$2, Percentiles!$A$45:$I$59, 6, FALSE), perc_90, VLOOKUP(I$2, Percentiles!$A$45:$I$59, 7, FALSE), perc_95, VLOOKUP(I$2, Percentiles!$A$45:$I$59, 8, FALSE), perc_85, perc_75 + (perc_90 - perc_75) * (2/3), converted_stat, '2K_Ratings'!I197, IF(bbgm_stat &gt;= perc_95, converted_stat * 3, IF(bbgm_stat &gt;= perc_90, converted_stat * 2, IF(bbgm_stat &gt;= perc_85, converted_stat * 1.5, converted_stat)))))</f>
        <v/>
      </c>
      <c r="J197" s="30" t="str">
        <f t="array" ref="J197">IF($A197="", "", LET(bbgm_stat, INDEX(Players!$A196:$P196, MATCH(J$2, Players!$A$1:$P$1, 0)), perc_75, VLOOKUP(J$2, Percentiles!$A$45:$I$59, 6, FALSE), perc_90, VLOOKUP(J$2, Percentiles!$A$45:$I$59, 7, FALSE), perc_95, VLOOKUP(J$2, Percentiles!$A$45:$I$59, 8, FALSE), perc_85, perc_75 + (perc_90 - perc_75) * (2/3), converted_stat, '2K_Ratings'!J197, IF(bbgm_stat &gt;= perc_95, converted_stat * 3, IF(bbgm_stat &gt;= perc_90, converted_stat * 2, IF(bbgm_stat &gt;= perc_85, converted_stat * 1.5, converted_stat)))))</f>
        <v/>
      </c>
      <c r="K197" s="30" t="str">
        <f t="array" ref="K197">IF($A197="", "", LET(bbgm_stat, INDEX(Players!$A196:$P196, MATCH(K$2, Players!$A$1:$P$1, 0)), perc_75, VLOOKUP(K$2, Percentiles!$A$45:$I$59, 6, FALSE), perc_90, VLOOKUP(K$2, Percentiles!$A$45:$I$59, 7, FALSE), perc_95, VLOOKUP(K$2, Percentiles!$A$45:$I$59, 8, FALSE), perc_85, perc_75 + (perc_90 - perc_75) * (2/3), converted_stat, '2K_Ratings'!K197, IF(bbgm_stat &gt;= perc_95, converted_stat * 3, IF(bbgm_stat &gt;= perc_90, converted_stat * 2, IF(bbgm_stat &gt;= perc_85, converted_stat * 1.5, converted_stat)))))</f>
        <v/>
      </c>
      <c r="L197" s="30" t="str">
        <f t="array" ref="L197">IF($A197="", "", LET(bbgm_stat, INDEX(Players!$A196:$P196, MATCH(L$2, Players!$A$1:$P$1, 0)), perc_75, VLOOKUP(L$2, Percentiles!$A$45:$I$59, 6, FALSE), perc_90, VLOOKUP(L$2, Percentiles!$A$45:$I$59, 7, FALSE), perc_95, VLOOKUP(L$2, Percentiles!$A$45:$I$59, 8, FALSE), perc_85, perc_75 + (perc_90 - perc_75) * (2/3), converted_stat, '2K_Ratings'!L197, IF(bbgm_stat &gt;= perc_95, converted_stat * 3, IF(bbgm_stat &gt;= perc_90, converted_stat * 2, IF(bbgm_stat &gt;= perc_85, converted_stat * 1.5, converted_stat)))))</f>
        <v/>
      </c>
      <c r="M197" s="30" t="str">
        <f t="array" ref="M197">IF($A197="", "", LET(bbgm_stat, INDEX(Players!$A196:$P196, MATCH(M$2, Players!$A$1:$P$1, 0)), perc_75, VLOOKUP(M$2, Percentiles!$A$45:$I$59, 6, FALSE), perc_90, VLOOKUP(M$2, Percentiles!$A$45:$I$59, 7, FALSE), perc_95, VLOOKUP(M$2, Percentiles!$A$45:$I$59, 8, FALSE), perc_85, perc_75 + (perc_90 - perc_75) * (2/3), converted_stat, '2K_Ratings'!M197, IF(bbgm_stat &gt;= perc_95, converted_stat * 3, IF(bbgm_stat &gt;= perc_90, converted_stat * 2, IF(bbgm_stat &gt;= perc_85, converted_stat * 1.5, converted_stat)))))</f>
        <v/>
      </c>
      <c r="N197" s="30" t="str">
        <f t="array" ref="N197">IF($A197="", "", LET(bbgm_stat, INDEX(Players!$A196:$P196, MATCH(N$2, Players!$A$1:$P$1, 0)), perc_75, VLOOKUP(N$2, Percentiles!$A$45:$I$59, 6, FALSE), perc_90, VLOOKUP(N$2, Percentiles!$A$45:$I$59, 7, FALSE), perc_95, VLOOKUP(N$2, Percentiles!$A$45:$I$59, 8, FALSE), perc_85, perc_75 + (perc_90 - perc_75) * (2/3), converted_stat, '2K_Ratings'!N197, IF(bbgm_stat &gt;= perc_95, converted_stat * 3, IF(bbgm_stat &gt;= perc_90, converted_stat * 2, IF(bbgm_stat &gt;= perc_85, converted_stat * 1.5, converted_stat)))))</f>
        <v/>
      </c>
      <c r="O197" s="30" t="str">
        <f t="array" ref="O197">IF($A197="", "", LET(bbgm_stat, INDEX(Players!$A196:$P196, MATCH(O$2, Players!$A$1:$P$1, 0)), perc_75, VLOOKUP(O$2, Percentiles!$A$45:$I$59, 6, FALSE), perc_90, VLOOKUP(O$2, Percentiles!$A$45:$I$59, 7, FALSE), perc_95, VLOOKUP(O$2, Percentiles!$A$45:$I$59, 8, FALSE), perc_85, perc_75 + (perc_90 - perc_75) * (2/3), converted_stat, '2K_Ratings'!O197, IF(bbgm_stat &gt;= perc_95, converted_stat * 3, IF(bbgm_stat &gt;= perc_90, converted_stat * 2, IF(bbgm_stat &gt;= perc_85, converted_stat * 1.5, converted_stat)))))</f>
        <v/>
      </c>
      <c r="P197" s="30" t="str">
        <f t="array" ref="P197">IF($A197="", "", LET(bbgm_stat, INDEX(Players!$A196:$P196, MATCH(P$2, Players!$A$1:$P$1, 0)), perc_75, VLOOKUP(P$2, Percentiles!$A$45:$I$59, 6, FALSE), perc_90, VLOOKUP(P$2, Percentiles!$A$45:$I$59, 7, FALSE), perc_95, VLOOKUP(P$2, Percentiles!$A$45:$I$59, 8, FALSE), perc_85, perc_75 + (perc_90 - perc_75) * (2/3), converted_stat, '2K_Ratings'!P197, IF(bbgm_stat &gt;= perc_95, converted_stat * 3, IF(bbgm_stat &gt;= perc_90, converted_stat * 2, IF(bbgm_stat &gt;= perc_85, converted_stat * 1.5, converted_stat)))))</f>
        <v/>
      </c>
      <c r="Q197" s="30" t="str">
        <f t="array" ref="Q197">IF($A197="", "", LET(bbgm_stat, INDEX(Players!$A196:$P196, MATCH(Q$2, Players!$A$1:$P$1, 0)), perc_75, VLOOKUP(Q$2, Percentiles!$A$45:$I$59, 6, FALSE), perc_90, VLOOKUP(Q$2, Percentiles!$A$45:$I$59, 7, FALSE), perc_95, VLOOKUP(Q$2, Percentiles!$A$45:$I$59, 8, FALSE), perc_85, perc_75 + (perc_90 - perc_75) * (2/3), converted_stat, '2K_Ratings'!Q197, IF(bbgm_stat &gt;= perc_95, converted_stat * 3, IF(bbgm_stat &gt;= perc_90, converted_stat * 2, IF(bbgm_stat &gt;= perc_85, converted_stat * 1.5, converted_stat)))))</f>
        <v/>
      </c>
      <c r="R197" s="30" t="str">
        <f t="array" ref="R197">IF($A197="", "", LET(bbgm_stat, INDEX(Players!$A196:$P196, MATCH(R$2, Players!$A$1:$P$1, 0)), perc_75, VLOOKUP(R$2, Percentiles!$A$45:$I$59, 6, FALSE), perc_90, VLOOKUP(R$2, Percentiles!$A$45:$I$59, 7, FALSE), perc_95, VLOOKUP(R$2, Percentiles!$A$45:$I$59, 8, FALSE), perc_85, perc_75 + (perc_90 - perc_75) * (2/3), converted_stat, '2K_Ratings'!R197, IF(bbgm_stat &gt;= perc_95, converted_stat * 3, IF(bbgm_stat &gt;= perc_90, converted_stat * 2, IF(bbgm_stat &gt;= perc_85, converted_stat * 1.5, converted_stat)))))</f>
        <v/>
      </c>
      <c r="S197" s="30" t="str">
        <f t="array" ref="S197">IF($A197="", "", LET(bbgm_stat, INDEX(Players!$A196:$P196, MATCH(S$2, Players!$A$1:$P$1, 0)), perc_75, VLOOKUP(S$2, Percentiles!$A$45:$I$59, 6, FALSE), perc_90, VLOOKUP(S$2, Percentiles!$A$45:$I$59, 7, FALSE), perc_95, VLOOKUP(S$2, Percentiles!$A$45:$I$59, 8, FALSE), perc_85, perc_75 + (perc_90 - perc_75) * (2/3), converted_stat, '2K_Ratings'!S197, IF(bbgm_stat &gt;= perc_95, converted_stat * 3, IF(bbgm_stat &gt;= perc_90, converted_stat * 2, IF(bbgm_stat &gt;= perc_85, converted_stat * 1.5, converted_stat)))))</f>
        <v/>
      </c>
      <c r="T197" s="30" t="str">
        <f t="array" ref="T197">IF($A197="", "", LET(bbgm_stat, INDEX(Players!$A196:$P196, MATCH(T$2, Players!$A$1:$P$1, 0)), perc_75, VLOOKUP(T$2, Percentiles!$A$45:$I$59, 6, FALSE), perc_90, VLOOKUP(T$2, Percentiles!$A$45:$I$59, 7, FALSE), perc_95, VLOOKUP(T$2, Percentiles!$A$45:$I$59, 8, FALSE), perc_85, perc_75 + (perc_90 - perc_75) * (2/3), converted_stat, '2K_Ratings'!T197, IF(bbgm_stat &gt;= perc_95, converted_stat * 3, IF(bbgm_stat &gt;= perc_90, converted_stat * 2, IF(bbgm_stat &gt;= perc_85, converted_stat * 1.5, converted_stat)))))</f>
        <v/>
      </c>
      <c r="U197" s="30" t="str">
        <f t="array" ref="U197">IF($A197="", "", LET(bbgm_stat, INDEX(Players!$A196:$P196, MATCH(U$2, Players!$A$1:$P$1, 0)), perc_75, VLOOKUP(U$2, Percentiles!$A$45:$I$59, 6, FALSE), perc_90, VLOOKUP(U$2, Percentiles!$A$45:$I$59, 7, FALSE), perc_95, VLOOKUP(U$2, Percentiles!$A$45:$I$59, 8, FALSE), perc_85, perc_75 + (perc_90 - perc_75) * (2/3), converted_stat, '2K_Ratings'!U197, IF(bbgm_stat &gt;= perc_95, converted_stat * 3, IF(bbgm_stat &gt;= perc_90, converted_stat * 2, IF(bbgm_stat &gt;= perc_85, converted_stat * 1.5, converted_stat)))))</f>
        <v/>
      </c>
      <c r="V197" s="30" t="str">
        <f t="array" ref="V197">IF($A197="", "", LET(bbgm_stat, INDEX(Players!$A196:$P196, MATCH(V$2, Players!$A$1:$P$1, 0)), perc_75, VLOOKUP(V$2, Percentiles!$A$45:$I$59, 6, FALSE), perc_90, VLOOKUP(V$2, Percentiles!$A$45:$I$59, 7, FALSE), perc_95, VLOOKUP(V$2, Percentiles!$A$45:$I$59, 8, FALSE), perc_85, perc_75 + (perc_90 - perc_75) * (2/3), converted_stat, '2K_Ratings'!V197, IF(bbgm_stat &gt;= perc_95, converted_stat * 3, IF(bbgm_stat &gt;= perc_90, converted_stat * 2, IF(bbgm_stat &gt;= perc_85, converted_stat * 1.5, converted_stat)))))</f>
        <v/>
      </c>
      <c r="W197" s="30" t="str">
        <f t="array" ref="W197">IF($A197="", "", LET(bbgm_stat, INDEX(Players!$A196:$P196, MATCH(W$2, Players!$A$1:$P$1, 0)), perc_75, VLOOKUP(W$2, Percentiles!$A$45:$I$59, 6, FALSE), perc_90, VLOOKUP(W$2, Percentiles!$A$45:$I$59, 7, FALSE), perc_95, VLOOKUP(W$2, Percentiles!$A$45:$I$59, 8, FALSE), perc_85, perc_75 + (perc_90 - perc_75) * (2/3), converted_stat, '2K_Ratings'!W197, IF(bbgm_stat &gt;= perc_95, converted_stat * 3, IF(bbgm_stat &gt;= perc_90, converted_stat * 2, IF(bbgm_stat &gt;= perc_85, converted_stat * 1.5, converted_stat)))))</f>
        <v/>
      </c>
    </row>
    <row r="198">
      <c r="A198" s="30"/>
      <c r="B198" s="30" t="str">
        <f t="array" ref="B198">IF($A198="", "", LET(bbgm_stat, INDEX(Players!$A197:$P197, MATCH(B$2, Players!$A$1:$P$1, 0)), perc_75, VLOOKUP(B$2, Percentiles!$A$45:$I$59, 6, FALSE), perc_90, VLOOKUP(B$2, Percentiles!$A$45:$I$59, 7, FALSE), perc_95, VLOOKUP(B$2, Percentiles!$A$45:$I$59, 8, FALSE), perc_85, perc_75 + (perc_90 - perc_75) * (2/3), converted_stat, '2K_Ratings'!B198, IF(bbgm_stat &gt;= perc_95, converted_stat * 3, IF(bbgm_stat &gt;= perc_90, converted_stat * 2, IF(bbgm_stat &gt;= perc_85, converted_stat * 1.5, converted_stat)))))</f>
        <v/>
      </c>
      <c r="C198" s="30" t="str">
        <f t="array" ref="C198">IF($A198="", "", LET(bbgm_stat, INDEX(Players!$A197:$P197, MATCH(C$2, Players!$A$1:$P$1, 0)), perc_75, VLOOKUP(C$2, Percentiles!$A$45:$I$59, 6, FALSE), perc_90, VLOOKUP(C$2, Percentiles!$A$45:$I$59, 7, FALSE), perc_95, VLOOKUP(C$2, Percentiles!$A$45:$I$59, 8, FALSE), perc_85, perc_75 + (perc_90 - perc_75) * (2/3), converted_stat, '2K_Ratings'!C198, IF(bbgm_stat &gt;= perc_95, converted_stat * 3, IF(bbgm_stat &gt;= perc_90, converted_stat * 2, IF(bbgm_stat &gt;= perc_85, converted_stat * 1.5, converted_stat)))))</f>
        <v/>
      </c>
      <c r="D198" s="30" t="str">
        <f t="array" ref="D198">IF($A198="", "", LET(bbgm_stat, INDEX(Players!$A197:$P197, MATCH(D$2, Players!$A$1:$P$1, 0)), perc_75, VLOOKUP(D$2, Percentiles!$A$45:$I$59, 6, FALSE), perc_90, VLOOKUP(D$2, Percentiles!$A$45:$I$59, 7, FALSE), perc_95, VLOOKUP(D$2, Percentiles!$A$45:$I$59, 8, FALSE), perc_85, perc_75 + (perc_90 - perc_75) * (2/3), converted_stat, '2K_Ratings'!D198, IF(bbgm_stat &gt;= perc_95, converted_stat * 3, IF(bbgm_stat &gt;= perc_90, converted_stat * 2, IF(bbgm_stat &gt;= perc_85, converted_stat * 1.5, converted_stat)))))</f>
        <v/>
      </c>
      <c r="E198" s="30" t="str">
        <f t="array" ref="E198">IF($A198="", "", LET(bbgm_stat, INDEX(Players!$A197:$P197, MATCH(E$2, Players!$A$1:$P$1, 0)), perc_75, VLOOKUP(E$2, Percentiles!$A$45:$I$59, 6, FALSE), perc_90, VLOOKUP(E$2, Percentiles!$A$45:$I$59, 7, FALSE), perc_95, VLOOKUP(E$2, Percentiles!$A$45:$I$59, 8, FALSE), perc_85, perc_75 + (perc_90 - perc_75) * (2/3), converted_stat, '2K_Ratings'!E198, IF(bbgm_stat &gt;= perc_95, converted_stat * 3, IF(bbgm_stat &gt;= perc_90, converted_stat * 2, IF(bbgm_stat &gt;= perc_85, converted_stat * 1.5, converted_stat)))))</f>
        <v/>
      </c>
      <c r="F198" s="30" t="str">
        <f t="array" ref="F198">IF($A198="", "", LET(bbgm_stat, INDEX(Players!$A197:$P197, MATCH(F$2, Players!$A$1:$P$1, 0)), perc_75, VLOOKUP(F$2, Percentiles!$A$45:$I$59, 6, FALSE), perc_90, VLOOKUP(F$2, Percentiles!$A$45:$I$59, 7, FALSE), perc_95, VLOOKUP(F$2, Percentiles!$A$45:$I$59, 8, FALSE), perc_85, perc_75 + (perc_90 - perc_75) * (2/3), converted_stat, '2K_Ratings'!F198, IF(bbgm_stat &gt;= perc_95, converted_stat * 3, IF(bbgm_stat &gt;= perc_90, converted_stat * 2, IF(bbgm_stat &gt;= perc_85, converted_stat * 1.5, converted_stat)))))</f>
        <v/>
      </c>
      <c r="G198" s="30" t="str">
        <f t="array" ref="G198">IF($A198="", "", LET(bbgm_stat, INDEX(Players!$A197:$P197, MATCH(G$2, Players!$A$1:$P$1, 0)), perc_75, VLOOKUP(G$2, Percentiles!$A$45:$I$59, 6, FALSE), perc_90, VLOOKUP(G$2, Percentiles!$A$45:$I$59, 7, FALSE), perc_95, VLOOKUP(G$2, Percentiles!$A$45:$I$59, 8, FALSE), perc_85, perc_75 + (perc_90 - perc_75) * (2/3), converted_stat, '2K_Ratings'!G198, IF(bbgm_stat &gt;= perc_95, converted_stat * 3, IF(bbgm_stat &gt;= perc_90, converted_stat * 2, IF(bbgm_stat &gt;= perc_85, converted_stat * 1.5, converted_stat)))))</f>
        <v/>
      </c>
      <c r="H198" s="30" t="str">
        <f t="array" ref="H198">IF($A198="", "", LET(bbgm_stat, INDEX(Players!$A197:$P197, MATCH(H$2, Players!$A$1:$P$1, 0)), perc_75, VLOOKUP(H$2, Percentiles!$A$45:$I$59, 6, FALSE), perc_90, VLOOKUP(H$2, Percentiles!$A$45:$I$59, 7, FALSE), perc_95, VLOOKUP(H$2, Percentiles!$A$45:$I$59, 8, FALSE), perc_85, perc_75 + (perc_90 - perc_75) * (2/3), converted_stat, '2K_Ratings'!H198, IF(bbgm_stat &gt;= perc_95, converted_stat * 3, IF(bbgm_stat &gt;= perc_90, converted_stat * 2, IF(bbgm_stat &gt;= perc_85, converted_stat * 1.5, converted_stat)))))</f>
        <v/>
      </c>
      <c r="I198" s="30" t="str">
        <f t="array" ref="I198">IF($A198="", "", LET(bbgm_stat, INDEX(Players!$A197:$P197, MATCH(I$2, Players!$A$1:$P$1, 0)), perc_75, VLOOKUP(I$2, Percentiles!$A$45:$I$59, 6, FALSE), perc_90, VLOOKUP(I$2, Percentiles!$A$45:$I$59, 7, FALSE), perc_95, VLOOKUP(I$2, Percentiles!$A$45:$I$59, 8, FALSE), perc_85, perc_75 + (perc_90 - perc_75) * (2/3), converted_stat, '2K_Ratings'!I198, IF(bbgm_stat &gt;= perc_95, converted_stat * 3, IF(bbgm_stat &gt;= perc_90, converted_stat * 2, IF(bbgm_stat &gt;= perc_85, converted_stat * 1.5, converted_stat)))))</f>
        <v/>
      </c>
      <c r="J198" s="30" t="str">
        <f t="array" ref="J198">IF($A198="", "", LET(bbgm_stat, INDEX(Players!$A197:$P197, MATCH(J$2, Players!$A$1:$P$1, 0)), perc_75, VLOOKUP(J$2, Percentiles!$A$45:$I$59, 6, FALSE), perc_90, VLOOKUP(J$2, Percentiles!$A$45:$I$59, 7, FALSE), perc_95, VLOOKUP(J$2, Percentiles!$A$45:$I$59, 8, FALSE), perc_85, perc_75 + (perc_90 - perc_75) * (2/3), converted_stat, '2K_Ratings'!J198, IF(bbgm_stat &gt;= perc_95, converted_stat * 3, IF(bbgm_stat &gt;= perc_90, converted_stat * 2, IF(bbgm_stat &gt;= perc_85, converted_stat * 1.5, converted_stat)))))</f>
        <v/>
      </c>
      <c r="K198" s="30" t="str">
        <f t="array" ref="K198">IF($A198="", "", LET(bbgm_stat, INDEX(Players!$A197:$P197, MATCH(K$2, Players!$A$1:$P$1, 0)), perc_75, VLOOKUP(K$2, Percentiles!$A$45:$I$59, 6, FALSE), perc_90, VLOOKUP(K$2, Percentiles!$A$45:$I$59, 7, FALSE), perc_95, VLOOKUP(K$2, Percentiles!$A$45:$I$59, 8, FALSE), perc_85, perc_75 + (perc_90 - perc_75) * (2/3), converted_stat, '2K_Ratings'!K198, IF(bbgm_stat &gt;= perc_95, converted_stat * 3, IF(bbgm_stat &gt;= perc_90, converted_stat * 2, IF(bbgm_stat &gt;= perc_85, converted_stat * 1.5, converted_stat)))))</f>
        <v/>
      </c>
      <c r="L198" s="30" t="str">
        <f t="array" ref="L198">IF($A198="", "", LET(bbgm_stat, INDEX(Players!$A197:$P197, MATCH(L$2, Players!$A$1:$P$1, 0)), perc_75, VLOOKUP(L$2, Percentiles!$A$45:$I$59, 6, FALSE), perc_90, VLOOKUP(L$2, Percentiles!$A$45:$I$59, 7, FALSE), perc_95, VLOOKUP(L$2, Percentiles!$A$45:$I$59, 8, FALSE), perc_85, perc_75 + (perc_90 - perc_75) * (2/3), converted_stat, '2K_Ratings'!L198, IF(bbgm_stat &gt;= perc_95, converted_stat * 3, IF(bbgm_stat &gt;= perc_90, converted_stat * 2, IF(bbgm_stat &gt;= perc_85, converted_stat * 1.5, converted_stat)))))</f>
        <v/>
      </c>
      <c r="M198" s="30" t="str">
        <f t="array" ref="M198">IF($A198="", "", LET(bbgm_stat, INDEX(Players!$A197:$P197, MATCH(M$2, Players!$A$1:$P$1, 0)), perc_75, VLOOKUP(M$2, Percentiles!$A$45:$I$59, 6, FALSE), perc_90, VLOOKUP(M$2, Percentiles!$A$45:$I$59, 7, FALSE), perc_95, VLOOKUP(M$2, Percentiles!$A$45:$I$59, 8, FALSE), perc_85, perc_75 + (perc_90 - perc_75) * (2/3), converted_stat, '2K_Ratings'!M198, IF(bbgm_stat &gt;= perc_95, converted_stat * 3, IF(bbgm_stat &gt;= perc_90, converted_stat * 2, IF(bbgm_stat &gt;= perc_85, converted_stat * 1.5, converted_stat)))))</f>
        <v/>
      </c>
      <c r="N198" s="30" t="str">
        <f t="array" ref="N198">IF($A198="", "", LET(bbgm_stat, INDEX(Players!$A197:$P197, MATCH(N$2, Players!$A$1:$P$1, 0)), perc_75, VLOOKUP(N$2, Percentiles!$A$45:$I$59, 6, FALSE), perc_90, VLOOKUP(N$2, Percentiles!$A$45:$I$59, 7, FALSE), perc_95, VLOOKUP(N$2, Percentiles!$A$45:$I$59, 8, FALSE), perc_85, perc_75 + (perc_90 - perc_75) * (2/3), converted_stat, '2K_Ratings'!N198, IF(bbgm_stat &gt;= perc_95, converted_stat * 3, IF(bbgm_stat &gt;= perc_90, converted_stat * 2, IF(bbgm_stat &gt;= perc_85, converted_stat * 1.5, converted_stat)))))</f>
        <v/>
      </c>
      <c r="O198" s="30" t="str">
        <f t="array" ref="O198">IF($A198="", "", LET(bbgm_stat, INDEX(Players!$A197:$P197, MATCH(O$2, Players!$A$1:$P$1, 0)), perc_75, VLOOKUP(O$2, Percentiles!$A$45:$I$59, 6, FALSE), perc_90, VLOOKUP(O$2, Percentiles!$A$45:$I$59, 7, FALSE), perc_95, VLOOKUP(O$2, Percentiles!$A$45:$I$59, 8, FALSE), perc_85, perc_75 + (perc_90 - perc_75) * (2/3), converted_stat, '2K_Ratings'!O198, IF(bbgm_stat &gt;= perc_95, converted_stat * 3, IF(bbgm_stat &gt;= perc_90, converted_stat * 2, IF(bbgm_stat &gt;= perc_85, converted_stat * 1.5, converted_stat)))))</f>
        <v/>
      </c>
      <c r="P198" s="30" t="str">
        <f t="array" ref="P198">IF($A198="", "", LET(bbgm_stat, INDEX(Players!$A197:$P197, MATCH(P$2, Players!$A$1:$P$1, 0)), perc_75, VLOOKUP(P$2, Percentiles!$A$45:$I$59, 6, FALSE), perc_90, VLOOKUP(P$2, Percentiles!$A$45:$I$59, 7, FALSE), perc_95, VLOOKUP(P$2, Percentiles!$A$45:$I$59, 8, FALSE), perc_85, perc_75 + (perc_90 - perc_75) * (2/3), converted_stat, '2K_Ratings'!P198, IF(bbgm_stat &gt;= perc_95, converted_stat * 3, IF(bbgm_stat &gt;= perc_90, converted_stat * 2, IF(bbgm_stat &gt;= perc_85, converted_stat * 1.5, converted_stat)))))</f>
        <v/>
      </c>
      <c r="Q198" s="30" t="str">
        <f t="array" ref="Q198">IF($A198="", "", LET(bbgm_stat, INDEX(Players!$A197:$P197, MATCH(Q$2, Players!$A$1:$P$1, 0)), perc_75, VLOOKUP(Q$2, Percentiles!$A$45:$I$59, 6, FALSE), perc_90, VLOOKUP(Q$2, Percentiles!$A$45:$I$59, 7, FALSE), perc_95, VLOOKUP(Q$2, Percentiles!$A$45:$I$59, 8, FALSE), perc_85, perc_75 + (perc_90 - perc_75) * (2/3), converted_stat, '2K_Ratings'!Q198, IF(bbgm_stat &gt;= perc_95, converted_stat * 3, IF(bbgm_stat &gt;= perc_90, converted_stat * 2, IF(bbgm_stat &gt;= perc_85, converted_stat * 1.5, converted_stat)))))</f>
        <v/>
      </c>
      <c r="R198" s="30" t="str">
        <f t="array" ref="R198">IF($A198="", "", LET(bbgm_stat, INDEX(Players!$A197:$P197, MATCH(R$2, Players!$A$1:$P$1, 0)), perc_75, VLOOKUP(R$2, Percentiles!$A$45:$I$59, 6, FALSE), perc_90, VLOOKUP(R$2, Percentiles!$A$45:$I$59, 7, FALSE), perc_95, VLOOKUP(R$2, Percentiles!$A$45:$I$59, 8, FALSE), perc_85, perc_75 + (perc_90 - perc_75) * (2/3), converted_stat, '2K_Ratings'!R198, IF(bbgm_stat &gt;= perc_95, converted_stat * 3, IF(bbgm_stat &gt;= perc_90, converted_stat * 2, IF(bbgm_stat &gt;= perc_85, converted_stat * 1.5, converted_stat)))))</f>
        <v/>
      </c>
      <c r="S198" s="30" t="str">
        <f t="array" ref="S198">IF($A198="", "", LET(bbgm_stat, INDEX(Players!$A197:$P197, MATCH(S$2, Players!$A$1:$P$1, 0)), perc_75, VLOOKUP(S$2, Percentiles!$A$45:$I$59, 6, FALSE), perc_90, VLOOKUP(S$2, Percentiles!$A$45:$I$59, 7, FALSE), perc_95, VLOOKUP(S$2, Percentiles!$A$45:$I$59, 8, FALSE), perc_85, perc_75 + (perc_90 - perc_75) * (2/3), converted_stat, '2K_Ratings'!S198, IF(bbgm_stat &gt;= perc_95, converted_stat * 3, IF(bbgm_stat &gt;= perc_90, converted_stat * 2, IF(bbgm_stat &gt;= perc_85, converted_stat * 1.5, converted_stat)))))</f>
        <v/>
      </c>
      <c r="T198" s="30" t="str">
        <f t="array" ref="T198">IF($A198="", "", LET(bbgm_stat, INDEX(Players!$A197:$P197, MATCH(T$2, Players!$A$1:$P$1, 0)), perc_75, VLOOKUP(T$2, Percentiles!$A$45:$I$59, 6, FALSE), perc_90, VLOOKUP(T$2, Percentiles!$A$45:$I$59, 7, FALSE), perc_95, VLOOKUP(T$2, Percentiles!$A$45:$I$59, 8, FALSE), perc_85, perc_75 + (perc_90 - perc_75) * (2/3), converted_stat, '2K_Ratings'!T198, IF(bbgm_stat &gt;= perc_95, converted_stat * 3, IF(bbgm_stat &gt;= perc_90, converted_stat * 2, IF(bbgm_stat &gt;= perc_85, converted_stat * 1.5, converted_stat)))))</f>
        <v/>
      </c>
      <c r="U198" s="30" t="str">
        <f t="array" ref="U198">IF($A198="", "", LET(bbgm_stat, INDEX(Players!$A197:$P197, MATCH(U$2, Players!$A$1:$P$1, 0)), perc_75, VLOOKUP(U$2, Percentiles!$A$45:$I$59, 6, FALSE), perc_90, VLOOKUP(U$2, Percentiles!$A$45:$I$59, 7, FALSE), perc_95, VLOOKUP(U$2, Percentiles!$A$45:$I$59, 8, FALSE), perc_85, perc_75 + (perc_90 - perc_75) * (2/3), converted_stat, '2K_Ratings'!U198, IF(bbgm_stat &gt;= perc_95, converted_stat * 3, IF(bbgm_stat &gt;= perc_90, converted_stat * 2, IF(bbgm_stat &gt;= perc_85, converted_stat * 1.5, converted_stat)))))</f>
        <v/>
      </c>
      <c r="V198" s="30" t="str">
        <f t="array" ref="V198">IF($A198="", "", LET(bbgm_stat, INDEX(Players!$A197:$P197, MATCH(V$2, Players!$A$1:$P$1, 0)), perc_75, VLOOKUP(V$2, Percentiles!$A$45:$I$59, 6, FALSE), perc_90, VLOOKUP(V$2, Percentiles!$A$45:$I$59, 7, FALSE), perc_95, VLOOKUP(V$2, Percentiles!$A$45:$I$59, 8, FALSE), perc_85, perc_75 + (perc_90 - perc_75) * (2/3), converted_stat, '2K_Ratings'!V198, IF(bbgm_stat &gt;= perc_95, converted_stat * 3, IF(bbgm_stat &gt;= perc_90, converted_stat * 2, IF(bbgm_stat &gt;= perc_85, converted_stat * 1.5, converted_stat)))))</f>
        <v/>
      </c>
      <c r="W198" s="30" t="str">
        <f t="array" ref="W198">IF($A198="", "", LET(bbgm_stat, INDEX(Players!$A197:$P197, MATCH(W$2, Players!$A$1:$P$1, 0)), perc_75, VLOOKUP(W$2, Percentiles!$A$45:$I$59, 6, FALSE), perc_90, VLOOKUP(W$2, Percentiles!$A$45:$I$59, 7, FALSE), perc_95, VLOOKUP(W$2, Percentiles!$A$45:$I$59, 8, FALSE), perc_85, perc_75 + (perc_90 - perc_75) * (2/3), converted_stat, '2K_Ratings'!W198, IF(bbgm_stat &gt;= perc_95, converted_stat * 3, IF(bbgm_stat &gt;= perc_90, converted_stat * 2, IF(bbgm_stat &gt;= perc_85, converted_stat * 1.5, converted_stat)))))</f>
        <v/>
      </c>
    </row>
    <row r="199">
      <c r="A199" s="30"/>
      <c r="B199" s="30" t="str">
        <f t="array" ref="B199">IF($A199="", "", LET(bbgm_stat, INDEX(Players!$A198:$P198, MATCH(B$2, Players!$A$1:$P$1, 0)), perc_75, VLOOKUP(B$2, Percentiles!$A$45:$I$59, 6, FALSE), perc_90, VLOOKUP(B$2, Percentiles!$A$45:$I$59, 7, FALSE), perc_95, VLOOKUP(B$2, Percentiles!$A$45:$I$59, 8, FALSE), perc_85, perc_75 + (perc_90 - perc_75) * (2/3), converted_stat, '2K_Ratings'!B199, IF(bbgm_stat &gt;= perc_95, converted_stat * 3, IF(bbgm_stat &gt;= perc_90, converted_stat * 2, IF(bbgm_stat &gt;= perc_85, converted_stat * 1.5, converted_stat)))))</f>
        <v/>
      </c>
      <c r="C199" s="30" t="str">
        <f t="array" ref="C199">IF($A199="", "", LET(bbgm_stat, INDEX(Players!$A198:$P198, MATCH(C$2, Players!$A$1:$P$1, 0)), perc_75, VLOOKUP(C$2, Percentiles!$A$45:$I$59, 6, FALSE), perc_90, VLOOKUP(C$2, Percentiles!$A$45:$I$59, 7, FALSE), perc_95, VLOOKUP(C$2, Percentiles!$A$45:$I$59, 8, FALSE), perc_85, perc_75 + (perc_90 - perc_75) * (2/3), converted_stat, '2K_Ratings'!C199, IF(bbgm_stat &gt;= perc_95, converted_stat * 3, IF(bbgm_stat &gt;= perc_90, converted_stat * 2, IF(bbgm_stat &gt;= perc_85, converted_stat * 1.5, converted_stat)))))</f>
        <v/>
      </c>
      <c r="D199" s="30" t="str">
        <f t="array" ref="D199">IF($A199="", "", LET(bbgm_stat, INDEX(Players!$A198:$P198, MATCH(D$2, Players!$A$1:$P$1, 0)), perc_75, VLOOKUP(D$2, Percentiles!$A$45:$I$59, 6, FALSE), perc_90, VLOOKUP(D$2, Percentiles!$A$45:$I$59, 7, FALSE), perc_95, VLOOKUP(D$2, Percentiles!$A$45:$I$59, 8, FALSE), perc_85, perc_75 + (perc_90 - perc_75) * (2/3), converted_stat, '2K_Ratings'!D199, IF(bbgm_stat &gt;= perc_95, converted_stat * 3, IF(bbgm_stat &gt;= perc_90, converted_stat * 2, IF(bbgm_stat &gt;= perc_85, converted_stat * 1.5, converted_stat)))))</f>
        <v/>
      </c>
      <c r="E199" s="30" t="str">
        <f t="array" ref="E199">IF($A199="", "", LET(bbgm_stat, INDEX(Players!$A198:$P198, MATCH(E$2, Players!$A$1:$P$1, 0)), perc_75, VLOOKUP(E$2, Percentiles!$A$45:$I$59, 6, FALSE), perc_90, VLOOKUP(E$2, Percentiles!$A$45:$I$59, 7, FALSE), perc_95, VLOOKUP(E$2, Percentiles!$A$45:$I$59, 8, FALSE), perc_85, perc_75 + (perc_90 - perc_75) * (2/3), converted_stat, '2K_Ratings'!E199, IF(bbgm_stat &gt;= perc_95, converted_stat * 3, IF(bbgm_stat &gt;= perc_90, converted_stat * 2, IF(bbgm_stat &gt;= perc_85, converted_stat * 1.5, converted_stat)))))</f>
        <v/>
      </c>
      <c r="F199" s="30" t="str">
        <f t="array" ref="F199">IF($A199="", "", LET(bbgm_stat, INDEX(Players!$A198:$P198, MATCH(F$2, Players!$A$1:$P$1, 0)), perc_75, VLOOKUP(F$2, Percentiles!$A$45:$I$59, 6, FALSE), perc_90, VLOOKUP(F$2, Percentiles!$A$45:$I$59, 7, FALSE), perc_95, VLOOKUP(F$2, Percentiles!$A$45:$I$59, 8, FALSE), perc_85, perc_75 + (perc_90 - perc_75) * (2/3), converted_stat, '2K_Ratings'!F199, IF(bbgm_stat &gt;= perc_95, converted_stat * 3, IF(bbgm_stat &gt;= perc_90, converted_stat * 2, IF(bbgm_stat &gt;= perc_85, converted_stat * 1.5, converted_stat)))))</f>
        <v/>
      </c>
      <c r="G199" s="30" t="str">
        <f t="array" ref="G199">IF($A199="", "", LET(bbgm_stat, INDEX(Players!$A198:$P198, MATCH(G$2, Players!$A$1:$P$1, 0)), perc_75, VLOOKUP(G$2, Percentiles!$A$45:$I$59, 6, FALSE), perc_90, VLOOKUP(G$2, Percentiles!$A$45:$I$59, 7, FALSE), perc_95, VLOOKUP(G$2, Percentiles!$A$45:$I$59, 8, FALSE), perc_85, perc_75 + (perc_90 - perc_75) * (2/3), converted_stat, '2K_Ratings'!G199, IF(bbgm_stat &gt;= perc_95, converted_stat * 3, IF(bbgm_stat &gt;= perc_90, converted_stat * 2, IF(bbgm_stat &gt;= perc_85, converted_stat * 1.5, converted_stat)))))</f>
        <v/>
      </c>
      <c r="H199" s="30" t="str">
        <f t="array" ref="H199">IF($A199="", "", LET(bbgm_stat, INDEX(Players!$A198:$P198, MATCH(H$2, Players!$A$1:$P$1, 0)), perc_75, VLOOKUP(H$2, Percentiles!$A$45:$I$59, 6, FALSE), perc_90, VLOOKUP(H$2, Percentiles!$A$45:$I$59, 7, FALSE), perc_95, VLOOKUP(H$2, Percentiles!$A$45:$I$59, 8, FALSE), perc_85, perc_75 + (perc_90 - perc_75) * (2/3), converted_stat, '2K_Ratings'!H199, IF(bbgm_stat &gt;= perc_95, converted_stat * 3, IF(bbgm_stat &gt;= perc_90, converted_stat * 2, IF(bbgm_stat &gt;= perc_85, converted_stat * 1.5, converted_stat)))))</f>
        <v/>
      </c>
      <c r="I199" s="30" t="str">
        <f t="array" ref="I199">IF($A199="", "", LET(bbgm_stat, INDEX(Players!$A198:$P198, MATCH(I$2, Players!$A$1:$P$1, 0)), perc_75, VLOOKUP(I$2, Percentiles!$A$45:$I$59, 6, FALSE), perc_90, VLOOKUP(I$2, Percentiles!$A$45:$I$59, 7, FALSE), perc_95, VLOOKUP(I$2, Percentiles!$A$45:$I$59, 8, FALSE), perc_85, perc_75 + (perc_90 - perc_75) * (2/3), converted_stat, '2K_Ratings'!I199, IF(bbgm_stat &gt;= perc_95, converted_stat * 3, IF(bbgm_stat &gt;= perc_90, converted_stat * 2, IF(bbgm_stat &gt;= perc_85, converted_stat * 1.5, converted_stat)))))</f>
        <v/>
      </c>
      <c r="J199" s="30" t="str">
        <f t="array" ref="J199">IF($A199="", "", LET(bbgm_stat, INDEX(Players!$A198:$P198, MATCH(J$2, Players!$A$1:$P$1, 0)), perc_75, VLOOKUP(J$2, Percentiles!$A$45:$I$59, 6, FALSE), perc_90, VLOOKUP(J$2, Percentiles!$A$45:$I$59, 7, FALSE), perc_95, VLOOKUP(J$2, Percentiles!$A$45:$I$59, 8, FALSE), perc_85, perc_75 + (perc_90 - perc_75) * (2/3), converted_stat, '2K_Ratings'!J199, IF(bbgm_stat &gt;= perc_95, converted_stat * 3, IF(bbgm_stat &gt;= perc_90, converted_stat * 2, IF(bbgm_stat &gt;= perc_85, converted_stat * 1.5, converted_stat)))))</f>
        <v/>
      </c>
      <c r="K199" s="30" t="str">
        <f t="array" ref="K199">IF($A199="", "", LET(bbgm_stat, INDEX(Players!$A198:$P198, MATCH(K$2, Players!$A$1:$P$1, 0)), perc_75, VLOOKUP(K$2, Percentiles!$A$45:$I$59, 6, FALSE), perc_90, VLOOKUP(K$2, Percentiles!$A$45:$I$59, 7, FALSE), perc_95, VLOOKUP(K$2, Percentiles!$A$45:$I$59, 8, FALSE), perc_85, perc_75 + (perc_90 - perc_75) * (2/3), converted_stat, '2K_Ratings'!K199, IF(bbgm_stat &gt;= perc_95, converted_stat * 3, IF(bbgm_stat &gt;= perc_90, converted_stat * 2, IF(bbgm_stat &gt;= perc_85, converted_stat * 1.5, converted_stat)))))</f>
        <v/>
      </c>
      <c r="L199" s="30" t="str">
        <f t="array" ref="L199">IF($A199="", "", LET(bbgm_stat, INDEX(Players!$A198:$P198, MATCH(L$2, Players!$A$1:$P$1, 0)), perc_75, VLOOKUP(L$2, Percentiles!$A$45:$I$59, 6, FALSE), perc_90, VLOOKUP(L$2, Percentiles!$A$45:$I$59, 7, FALSE), perc_95, VLOOKUP(L$2, Percentiles!$A$45:$I$59, 8, FALSE), perc_85, perc_75 + (perc_90 - perc_75) * (2/3), converted_stat, '2K_Ratings'!L199, IF(bbgm_stat &gt;= perc_95, converted_stat * 3, IF(bbgm_stat &gt;= perc_90, converted_stat * 2, IF(bbgm_stat &gt;= perc_85, converted_stat * 1.5, converted_stat)))))</f>
        <v/>
      </c>
      <c r="M199" s="30" t="str">
        <f t="array" ref="M199">IF($A199="", "", LET(bbgm_stat, INDEX(Players!$A198:$P198, MATCH(M$2, Players!$A$1:$P$1, 0)), perc_75, VLOOKUP(M$2, Percentiles!$A$45:$I$59, 6, FALSE), perc_90, VLOOKUP(M$2, Percentiles!$A$45:$I$59, 7, FALSE), perc_95, VLOOKUP(M$2, Percentiles!$A$45:$I$59, 8, FALSE), perc_85, perc_75 + (perc_90 - perc_75) * (2/3), converted_stat, '2K_Ratings'!M199, IF(bbgm_stat &gt;= perc_95, converted_stat * 3, IF(bbgm_stat &gt;= perc_90, converted_stat * 2, IF(bbgm_stat &gt;= perc_85, converted_stat * 1.5, converted_stat)))))</f>
        <v/>
      </c>
      <c r="N199" s="30" t="str">
        <f t="array" ref="N199">IF($A199="", "", LET(bbgm_stat, INDEX(Players!$A198:$P198, MATCH(N$2, Players!$A$1:$P$1, 0)), perc_75, VLOOKUP(N$2, Percentiles!$A$45:$I$59, 6, FALSE), perc_90, VLOOKUP(N$2, Percentiles!$A$45:$I$59, 7, FALSE), perc_95, VLOOKUP(N$2, Percentiles!$A$45:$I$59, 8, FALSE), perc_85, perc_75 + (perc_90 - perc_75) * (2/3), converted_stat, '2K_Ratings'!N199, IF(bbgm_stat &gt;= perc_95, converted_stat * 3, IF(bbgm_stat &gt;= perc_90, converted_stat * 2, IF(bbgm_stat &gt;= perc_85, converted_stat * 1.5, converted_stat)))))</f>
        <v/>
      </c>
      <c r="O199" s="30" t="str">
        <f t="array" ref="O199">IF($A199="", "", LET(bbgm_stat, INDEX(Players!$A198:$P198, MATCH(O$2, Players!$A$1:$P$1, 0)), perc_75, VLOOKUP(O$2, Percentiles!$A$45:$I$59, 6, FALSE), perc_90, VLOOKUP(O$2, Percentiles!$A$45:$I$59, 7, FALSE), perc_95, VLOOKUP(O$2, Percentiles!$A$45:$I$59, 8, FALSE), perc_85, perc_75 + (perc_90 - perc_75) * (2/3), converted_stat, '2K_Ratings'!O199, IF(bbgm_stat &gt;= perc_95, converted_stat * 3, IF(bbgm_stat &gt;= perc_90, converted_stat * 2, IF(bbgm_stat &gt;= perc_85, converted_stat * 1.5, converted_stat)))))</f>
        <v/>
      </c>
      <c r="P199" s="30" t="str">
        <f t="array" ref="P199">IF($A199="", "", LET(bbgm_stat, INDEX(Players!$A198:$P198, MATCH(P$2, Players!$A$1:$P$1, 0)), perc_75, VLOOKUP(P$2, Percentiles!$A$45:$I$59, 6, FALSE), perc_90, VLOOKUP(P$2, Percentiles!$A$45:$I$59, 7, FALSE), perc_95, VLOOKUP(P$2, Percentiles!$A$45:$I$59, 8, FALSE), perc_85, perc_75 + (perc_90 - perc_75) * (2/3), converted_stat, '2K_Ratings'!P199, IF(bbgm_stat &gt;= perc_95, converted_stat * 3, IF(bbgm_stat &gt;= perc_90, converted_stat * 2, IF(bbgm_stat &gt;= perc_85, converted_stat * 1.5, converted_stat)))))</f>
        <v/>
      </c>
      <c r="Q199" s="30" t="str">
        <f t="array" ref="Q199">IF($A199="", "", LET(bbgm_stat, INDEX(Players!$A198:$P198, MATCH(Q$2, Players!$A$1:$P$1, 0)), perc_75, VLOOKUP(Q$2, Percentiles!$A$45:$I$59, 6, FALSE), perc_90, VLOOKUP(Q$2, Percentiles!$A$45:$I$59, 7, FALSE), perc_95, VLOOKUP(Q$2, Percentiles!$A$45:$I$59, 8, FALSE), perc_85, perc_75 + (perc_90 - perc_75) * (2/3), converted_stat, '2K_Ratings'!Q199, IF(bbgm_stat &gt;= perc_95, converted_stat * 3, IF(bbgm_stat &gt;= perc_90, converted_stat * 2, IF(bbgm_stat &gt;= perc_85, converted_stat * 1.5, converted_stat)))))</f>
        <v/>
      </c>
      <c r="R199" s="30" t="str">
        <f t="array" ref="R199">IF($A199="", "", LET(bbgm_stat, INDEX(Players!$A198:$P198, MATCH(R$2, Players!$A$1:$P$1, 0)), perc_75, VLOOKUP(R$2, Percentiles!$A$45:$I$59, 6, FALSE), perc_90, VLOOKUP(R$2, Percentiles!$A$45:$I$59, 7, FALSE), perc_95, VLOOKUP(R$2, Percentiles!$A$45:$I$59, 8, FALSE), perc_85, perc_75 + (perc_90 - perc_75) * (2/3), converted_stat, '2K_Ratings'!R199, IF(bbgm_stat &gt;= perc_95, converted_stat * 3, IF(bbgm_stat &gt;= perc_90, converted_stat * 2, IF(bbgm_stat &gt;= perc_85, converted_stat * 1.5, converted_stat)))))</f>
        <v/>
      </c>
      <c r="S199" s="30" t="str">
        <f t="array" ref="S199">IF($A199="", "", LET(bbgm_stat, INDEX(Players!$A198:$P198, MATCH(S$2, Players!$A$1:$P$1, 0)), perc_75, VLOOKUP(S$2, Percentiles!$A$45:$I$59, 6, FALSE), perc_90, VLOOKUP(S$2, Percentiles!$A$45:$I$59, 7, FALSE), perc_95, VLOOKUP(S$2, Percentiles!$A$45:$I$59, 8, FALSE), perc_85, perc_75 + (perc_90 - perc_75) * (2/3), converted_stat, '2K_Ratings'!S199, IF(bbgm_stat &gt;= perc_95, converted_stat * 3, IF(bbgm_stat &gt;= perc_90, converted_stat * 2, IF(bbgm_stat &gt;= perc_85, converted_stat * 1.5, converted_stat)))))</f>
        <v/>
      </c>
      <c r="T199" s="30" t="str">
        <f t="array" ref="T199">IF($A199="", "", LET(bbgm_stat, INDEX(Players!$A198:$P198, MATCH(T$2, Players!$A$1:$P$1, 0)), perc_75, VLOOKUP(T$2, Percentiles!$A$45:$I$59, 6, FALSE), perc_90, VLOOKUP(T$2, Percentiles!$A$45:$I$59, 7, FALSE), perc_95, VLOOKUP(T$2, Percentiles!$A$45:$I$59, 8, FALSE), perc_85, perc_75 + (perc_90 - perc_75) * (2/3), converted_stat, '2K_Ratings'!T199, IF(bbgm_stat &gt;= perc_95, converted_stat * 3, IF(bbgm_stat &gt;= perc_90, converted_stat * 2, IF(bbgm_stat &gt;= perc_85, converted_stat * 1.5, converted_stat)))))</f>
        <v/>
      </c>
      <c r="U199" s="30" t="str">
        <f t="array" ref="U199">IF($A199="", "", LET(bbgm_stat, INDEX(Players!$A198:$P198, MATCH(U$2, Players!$A$1:$P$1, 0)), perc_75, VLOOKUP(U$2, Percentiles!$A$45:$I$59, 6, FALSE), perc_90, VLOOKUP(U$2, Percentiles!$A$45:$I$59, 7, FALSE), perc_95, VLOOKUP(U$2, Percentiles!$A$45:$I$59, 8, FALSE), perc_85, perc_75 + (perc_90 - perc_75) * (2/3), converted_stat, '2K_Ratings'!U199, IF(bbgm_stat &gt;= perc_95, converted_stat * 3, IF(bbgm_stat &gt;= perc_90, converted_stat * 2, IF(bbgm_stat &gt;= perc_85, converted_stat * 1.5, converted_stat)))))</f>
        <v/>
      </c>
      <c r="V199" s="30" t="str">
        <f t="array" ref="V199">IF($A199="", "", LET(bbgm_stat, INDEX(Players!$A198:$P198, MATCH(V$2, Players!$A$1:$P$1, 0)), perc_75, VLOOKUP(V$2, Percentiles!$A$45:$I$59, 6, FALSE), perc_90, VLOOKUP(V$2, Percentiles!$A$45:$I$59, 7, FALSE), perc_95, VLOOKUP(V$2, Percentiles!$A$45:$I$59, 8, FALSE), perc_85, perc_75 + (perc_90 - perc_75) * (2/3), converted_stat, '2K_Ratings'!V199, IF(bbgm_stat &gt;= perc_95, converted_stat * 3, IF(bbgm_stat &gt;= perc_90, converted_stat * 2, IF(bbgm_stat &gt;= perc_85, converted_stat * 1.5, converted_stat)))))</f>
        <v/>
      </c>
      <c r="W199" s="30" t="str">
        <f t="array" ref="W199">IF($A199="", "", LET(bbgm_stat, INDEX(Players!$A198:$P198, MATCH(W$2, Players!$A$1:$P$1, 0)), perc_75, VLOOKUP(W$2, Percentiles!$A$45:$I$59, 6, FALSE), perc_90, VLOOKUP(W$2, Percentiles!$A$45:$I$59, 7, FALSE), perc_95, VLOOKUP(W$2, Percentiles!$A$45:$I$59, 8, FALSE), perc_85, perc_75 + (perc_90 - perc_75) * (2/3), converted_stat, '2K_Ratings'!W199, IF(bbgm_stat &gt;= perc_95, converted_stat * 3, IF(bbgm_stat &gt;= perc_90, converted_stat * 2, IF(bbgm_stat &gt;= perc_85, converted_stat * 1.5, converted_stat)))))</f>
        <v/>
      </c>
    </row>
    <row r="200">
      <c r="A200" s="30"/>
      <c r="B200" s="30" t="str">
        <f t="array" ref="B200">IF($A200="", "", LET(bbgm_stat, INDEX(Players!$A199:$P199, MATCH(B$2, Players!$A$1:$P$1, 0)), perc_75, VLOOKUP(B$2, Percentiles!$A$45:$I$59, 6, FALSE), perc_90, VLOOKUP(B$2, Percentiles!$A$45:$I$59, 7, FALSE), perc_95, VLOOKUP(B$2, Percentiles!$A$45:$I$59, 8, FALSE), perc_85, perc_75 + (perc_90 - perc_75) * (2/3), converted_stat, '2K_Ratings'!B200, IF(bbgm_stat &gt;= perc_95, converted_stat * 3, IF(bbgm_stat &gt;= perc_90, converted_stat * 2, IF(bbgm_stat &gt;= perc_85, converted_stat * 1.5, converted_stat)))))</f>
        <v/>
      </c>
      <c r="C200" s="30" t="str">
        <f t="array" ref="C200">IF($A200="", "", LET(bbgm_stat, INDEX(Players!$A199:$P199, MATCH(C$2, Players!$A$1:$P$1, 0)), perc_75, VLOOKUP(C$2, Percentiles!$A$45:$I$59, 6, FALSE), perc_90, VLOOKUP(C$2, Percentiles!$A$45:$I$59, 7, FALSE), perc_95, VLOOKUP(C$2, Percentiles!$A$45:$I$59, 8, FALSE), perc_85, perc_75 + (perc_90 - perc_75) * (2/3), converted_stat, '2K_Ratings'!C200, IF(bbgm_stat &gt;= perc_95, converted_stat * 3, IF(bbgm_stat &gt;= perc_90, converted_stat * 2, IF(bbgm_stat &gt;= perc_85, converted_stat * 1.5, converted_stat)))))</f>
        <v/>
      </c>
      <c r="D200" s="30" t="str">
        <f t="array" ref="D200">IF($A200="", "", LET(bbgm_stat, INDEX(Players!$A199:$P199, MATCH(D$2, Players!$A$1:$P$1, 0)), perc_75, VLOOKUP(D$2, Percentiles!$A$45:$I$59, 6, FALSE), perc_90, VLOOKUP(D$2, Percentiles!$A$45:$I$59, 7, FALSE), perc_95, VLOOKUP(D$2, Percentiles!$A$45:$I$59, 8, FALSE), perc_85, perc_75 + (perc_90 - perc_75) * (2/3), converted_stat, '2K_Ratings'!D200, IF(bbgm_stat &gt;= perc_95, converted_stat * 3, IF(bbgm_stat &gt;= perc_90, converted_stat * 2, IF(bbgm_stat &gt;= perc_85, converted_stat * 1.5, converted_stat)))))</f>
        <v/>
      </c>
      <c r="E200" s="30" t="str">
        <f t="array" ref="E200">IF($A200="", "", LET(bbgm_stat, INDEX(Players!$A199:$P199, MATCH(E$2, Players!$A$1:$P$1, 0)), perc_75, VLOOKUP(E$2, Percentiles!$A$45:$I$59, 6, FALSE), perc_90, VLOOKUP(E$2, Percentiles!$A$45:$I$59, 7, FALSE), perc_95, VLOOKUP(E$2, Percentiles!$A$45:$I$59, 8, FALSE), perc_85, perc_75 + (perc_90 - perc_75) * (2/3), converted_stat, '2K_Ratings'!E200, IF(bbgm_stat &gt;= perc_95, converted_stat * 3, IF(bbgm_stat &gt;= perc_90, converted_stat * 2, IF(bbgm_stat &gt;= perc_85, converted_stat * 1.5, converted_stat)))))</f>
        <v/>
      </c>
      <c r="F200" s="30" t="str">
        <f t="array" ref="F200">IF($A200="", "", LET(bbgm_stat, INDEX(Players!$A199:$P199, MATCH(F$2, Players!$A$1:$P$1, 0)), perc_75, VLOOKUP(F$2, Percentiles!$A$45:$I$59, 6, FALSE), perc_90, VLOOKUP(F$2, Percentiles!$A$45:$I$59, 7, FALSE), perc_95, VLOOKUP(F$2, Percentiles!$A$45:$I$59, 8, FALSE), perc_85, perc_75 + (perc_90 - perc_75) * (2/3), converted_stat, '2K_Ratings'!F200, IF(bbgm_stat &gt;= perc_95, converted_stat * 3, IF(bbgm_stat &gt;= perc_90, converted_stat * 2, IF(bbgm_stat &gt;= perc_85, converted_stat * 1.5, converted_stat)))))</f>
        <v/>
      </c>
      <c r="G200" s="30" t="str">
        <f t="array" ref="G200">IF($A200="", "", LET(bbgm_stat, INDEX(Players!$A199:$P199, MATCH(G$2, Players!$A$1:$P$1, 0)), perc_75, VLOOKUP(G$2, Percentiles!$A$45:$I$59, 6, FALSE), perc_90, VLOOKUP(G$2, Percentiles!$A$45:$I$59, 7, FALSE), perc_95, VLOOKUP(G$2, Percentiles!$A$45:$I$59, 8, FALSE), perc_85, perc_75 + (perc_90 - perc_75) * (2/3), converted_stat, '2K_Ratings'!G200, IF(bbgm_stat &gt;= perc_95, converted_stat * 3, IF(bbgm_stat &gt;= perc_90, converted_stat * 2, IF(bbgm_stat &gt;= perc_85, converted_stat * 1.5, converted_stat)))))</f>
        <v/>
      </c>
      <c r="H200" s="30" t="str">
        <f t="array" ref="H200">IF($A200="", "", LET(bbgm_stat, INDEX(Players!$A199:$P199, MATCH(H$2, Players!$A$1:$P$1, 0)), perc_75, VLOOKUP(H$2, Percentiles!$A$45:$I$59, 6, FALSE), perc_90, VLOOKUP(H$2, Percentiles!$A$45:$I$59, 7, FALSE), perc_95, VLOOKUP(H$2, Percentiles!$A$45:$I$59, 8, FALSE), perc_85, perc_75 + (perc_90 - perc_75) * (2/3), converted_stat, '2K_Ratings'!H200, IF(bbgm_stat &gt;= perc_95, converted_stat * 3, IF(bbgm_stat &gt;= perc_90, converted_stat * 2, IF(bbgm_stat &gt;= perc_85, converted_stat * 1.5, converted_stat)))))</f>
        <v/>
      </c>
      <c r="I200" s="30" t="str">
        <f t="array" ref="I200">IF($A200="", "", LET(bbgm_stat, INDEX(Players!$A199:$P199, MATCH(I$2, Players!$A$1:$P$1, 0)), perc_75, VLOOKUP(I$2, Percentiles!$A$45:$I$59, 6, FALSE), perc_90, VLOOKUP(I$2, Percentiles!$A$45:$I$59, 7, FALSE), perc_95, VLOOKUP(I$2, Percentiles!$A$45:$I$59, 8, FALSE), perc_85, perc_75 + (perc_90 - perc_75) * (2/3), converted_stat, '2K_Ratings'!I200, IF(bbgm_stat &gt;= perc_95, converted_stat * 3, IF(bbgm_stat &gt;= perc_90, converted_stat * 2, IF(bbgm_stat &gt;= perc_85, converted_stat * 1.5, converted_stat)))))</f>
        <v/>
      </c>
      <c r="J200" s="30" t="str">
        <f t="array" ref="J200">IF($A200="", "", LET(bbgm_stat, INDEX(Players!$A199:$P199, MATCH(J$2, Players!$A$1:$P$1, 0)), perc_75, VLOOKUP(J$2, Percentiles!$A$45:$I$59, 6, FALSE), perc_90, VLOOKUP(J$2, Percentiles!$A$45:$I$59, 7, FALSE), perc_95, VLOOKUP(J$2, Percentiles!$A$45:$I$59, 8, FALSE), perc_85, perc_75 + (perc_90 - perc_75) * (2/3), converted_stat, '2K_Ratings'!J200, IF(bbgm_stat &gt;= perc_95, converted_stat * 3, IF(bbgm_stat &gt;= perc_90, converted_stat * 2, IF(bbgm_stat &gt;= perc_85, converted_stat * 1.5, converted_stat)))))</f>
        <v/>
      </c>
      <c r="K200" s="30" t="str">
        <f t="array" ref="K200">IF($A200="", "", LET(bbgm_stat, INDEX(Players!$A199:$P199, MATCH(K$2, Players!$A$1:$P$1, 0)), perc_75, VLOOKUP(K$2, Percentiles!$A$45:$I$59, 6, FALSE), perc_90, VLOOKUP(K$2, Percentiles!$A$45:$I$59, 7, FALSE), perc_95, VLOOKUP(K$2, Percentiles!$A$45:$I$59, 8, FALSE), perc_85, perc_75 + (perc_90 - perc_75) * (2/3), converted_stat, '2K_Ratings'!K200, IF(bbgm_stat &gt;= perc_95, converted_stat * 3, IF(bbgm_stat &gt;= perc_90, converted_stat * 2, IF(bbgm_stat &gt;= perc_85, converted_stat * 1.5, converted_stat)))))</f>
        <v/>
      </c>
      <c r="L200" s="30" t="str">
        <f t="array" ref="L200">IF($A200="", "", LET(bbgm_stat, INDEX(Players!$A199:$P199, MATCH(L$2, Players!$A$1:$P$1, 0)), perc_75, VLOOKUP(L$2, Percentiles!$A$45:$I$59, 6, FALSE), perc_90, VLOOKUP(L$2, Percentiles!$A$45:$I$59, 7, FALSE), perc_95, VLOOKUP(L$2, Percentiles!$A$45:$I$59, 8, FALSE), perc_85, perc_75 + (perc_90 - perc_75) * (2/3), converted_stat, '2K_Ratings'!L200, IF(bbgm_stat &gt;= perc_95, converted_stat * 3, IF(bbgm_stat &gt;= perc_90, converted_stat * 2, IF(bbgm_stat &gt;= perc_85, converted_stat * 1.5, converted_stat)))))</f>
        <v/>
      </c>
      <c r="M200" s="30" t="str">
        <f t="array" ref="M200">IF($A200="", "", LET(bbgm_stat, INDEX(Players!$A199:$P199, MATCH(M$2, Players!$A$1:$P$1, 0)), perc_75, VLOOKUP(M$2, Percentiles!$A$45:$I$59, 6, FALSE), perc_90, VLOOKUP(M$2, Percentiles!$A$45:$I$59, 7, FALSE), perc_95, VLOOKUP(M$2, Percentiles!$A$45:$I$59, 8, FALSE), perc_85, perc_75 + (perc_90 - perc_75) * (2/3), converted_stat, '2K_Ratings'!M200, IF(bbgm_stat &gt;= perc_95, converted_stat * 3, IF(bbgm_stat &gt;= perc_90, converted_stat * 2, IF(bbgm_stat &gt;= perc_85, converted_stat * 1.5, converted_stat)))))</f>
        <v/>
      </c>
      <c r="N200" s="30" t="str">
        <f t="array" ref="N200">IF($A200="", "", LET(bbgm_stat, INDEX(Players!$A199:$P199, MATCH(N$2, Players!$A$1:$P$1, 0)), perc_75, VLOOKUP(N$2, Percentiles!$A$45:$I$59, 6, FALSE), perc_90, VLOOKUP(N$2, Percentiles!$A$45:$I$59, 7, FALSE), perc_95, VLOOKUP(N$2, Percentiles!$A$45:$I$59, 8, FALSE), perc_85, perc_75 + (perc_90 - perc_75) * (2/3), converted_stat, '2K_Ratings'!N200, IF(bbgm_stat &gt;= perc_95, converted_stat * 3, IF(bbgm_stat &gt;= perc_90, converted_stat * 2, IF(bbgm_stat &gt;= perc_85, converted_stat * 1.5, converted_stat)))))</f>
        <v/>
      </c>
      <c r="O200" s="30" t="str">
        <f t="array" ref="O200">IF($A200="", "", LET(bbgm_stat, INDEX(Players!$A199:$P199, MATCH(O$2, Players!$A$1:$P$1, 0)), perc_75, VLOOKUP(O$2, Percentiles!$A$45:$I$59, 6, FALSE), perc_90, VLOOKUP(O$2, Percentiles!$A$45:$I$59, 7, FALSE), perc_95, VLOOKUP(O$2, Percentiles!$A$45:$I$59, 8, FALSE), perc_85, perc_75 + (perc_90 - perc_75) * (2/3), converted_stat, '2K_Ratings'!O200, IF(bbgm_stat &gt;= perc_95, converted_stat * 3, IF(bbgm_stat &gt;= perc_90, converted_stat * 2, IF(bbgm_stat &gt;= perc_85, converted_stat * 1.5, converted_stat)))))</f>
        <v/>
      </c>
      <c r="P200" s="30" t="str">
        <f t="array" ref="P200">IF($A200="", "", LET(bbgm_stat, INDEX(Players!$A199:$P199, MATCH(P$2, Players!$A$1:$P$1, 0)), perc_75, VLOOKUP(P$2, Percentiles!$A$45:$I$59, 6, FALSE), perc_90, VLOOKUP(P$2, Percentiles!$A$45:$I$59, 7, FALSE), perc_95, VLOOKUP(P$2, Percentiles!$A$45:$I$59, 8, FALSE), perc_85, perc_75 + (perc_90 - perc_75) * (2/3), converted_stat, '2K_Ratings'!P200, IF(bbgm_stat &gt;= perc_95, converted_stat * 3, IF(bbgm_stat &gt;= perc_90, converted_stat * 2, IF(bbgm_stat &gt;= perc_85, converted_stat * 1.5, converted_stat)))))</f>
        <v/>
      </c>
      <c r="Q200" s="30" t="str">
        <f t="array" ref="Q200">IF($A200="", "", LET(bbgm_stat, INDEX(Players!$A199:$P199, MATCH(Q$2, Players!$A$1:$P$1, 0)), perc_75, VLOOKUP(Q$2, Percentiles!$A$45:$I$59, 6, FALSE), perc_90, VLOOKUP(Q$2, Percentiles!$A$45:$I$59, 7, FALSE), perc_95, VLOOKUP(Q$2, Percentiles!$A$45:$I$59, 8, FALSE), perc_85, perc_75 + (perc_90 - perc_75) * (2/3), converted_stat, '2K_Ratings'!Q200, IF(bbgm_stat &gt;= perc_95, converted_stat * 3, IF(bbgm_stat &gt;= perc_90, converted_stat * 2, IF(bbgm_stat &gt;= perc_85, converted_stat * 1.5, converted_stat)))))</f>
        <v/>
      </c>
      <c r="R200" s="30" t="str">
        <f t="array" ref="R200">IF($A200="", "", LET(bbgm_stat, INDEX(Players!$A199:$P199, MATCH(R$2, Players!$A$1:$P$1, 0)), perc_75, VLOOKUP(R$2, Percentiles!$A$45:$I$59, 6, FALSE), perc_90, VLOOKUP(R$2, Percentiles!$A$45:$I$59, 7, FALSE), perc_95, VLOOKUP(R$2, Percentiles!$A$45:$I$59, 8, FALSE), perc_85, perc_75 + (perc_90 - perc_75) * (2/3), converted_stat, '2K_Ratings'!R200, IF(bbgm_stat &gt;= perc_95, converted_stat * 3, IF(bbgm_stat &gt;= perc_90, converted_stat * 2, IF(bbgm_stat &gt;= perc_85, converted_stat * 1.5, converted_stat)))))</f>
        <v/>
      </c>
      <c r="S200" s="30" t="str">
        <f t="array" ref="S200">IF($A200="", "", LET(bbgm_stat, INDEX(Players!$A199:$P199, MATCH(S$2, Players!$A$1:$P$1, 0)), perc_75, VLOOKUP(S$2, Percentiles!$A$45:$I$59, 6, FALSE), perc_90, VLOOKUP(S$2, Percentiles!$A$45:$I$59, 7, FALSE), perc_95, VLOOKUP(S$2, Percentiles!$A$45:$I$59, 8, FALSE), perc_85, perc_75 + (perc_90 - perc_75) * (2/3), converted_stat, '2K_Ratings'!S200, IF(bbgm_stat &gt;= perc_95, converted_stat * 3, IF(bbgm_stat &gt;= perc_90, converted_stat * 2, IF(bbgm_stat &gt;= perc_85, converted_stat * 1.5, converted_stat)))))</f>
        <v/>
      </c>
      <c r="T200" s="30" t="str">
        <f t="array" ref="T200">IF($A200="", "", LET(bbgm_stat, INDEX(Players!$A199:$P199, MATCH(T$2, Players!$A$1:$P$1, 0)), perc_75, VLOOKUP(T$2, Percentiles!$A$45:$I$59, 6, FALSE), perc_90, VLOOKUP(T$2, Percentiles!$A$45:$I$59, 7, FALSE), perc_95, VLOOKUP(T$2, Percentiles!$A$45:$I$59, 8, FALSE), perc_85, perc_75 + (perc_90 - perc_75) * (2/3), converted_stat, '2K_Ratings'!T200, IF(bbgm_stat &gt;= perc_95, converted_stat * 3, IF(bbgm_stat &gt;= perc_90, converted_stat * 2, IF(bbgm_stat &gt;= perc_85, converted_stat * 1.5, converted_stat)))))</f>
        <v/>
      </c>
      <c r="U200" s="30" t="str">
        <f t="array" ref="U200">IF($A200="", "", LET(bbgm_stat, INDEX(Players!$A199:$P199, MATCH(U$2, Players!$A$1:$P$1, 0)), perc_75, VLOOKUP(U$2, Percentiles!$A$45:$I$59, 6, FALSE), perc_90, VLOOKUP(U$2, Percentiles!$A$45:$I$59, 7, FALSE), perc_95, VLOOKUP(U$2, Percentiles!$A$45:$I$59, 8, FALSE), perc_85, perc_75 + (perc_90 - perc_75) * (2/3), converted_stat, '2K_Ratings'!U200, IF(bbgm_stat &gt;= perc_95, converted_stat * 3, IF(bbgm_stat &gt;= perc_90, converted_stat * 2, IF(bbgm_stat &gt;= perc_85, converted_stat * 1.5, converted_stat)))))</f>
        <v/>
      </c>
      <c r="V200" s="30" t="str">
        <f t="array" ref="V200">IF($A200="", "", LET(bbgm_stat, INDEX(Players!$A199:$P199, MATCH(V$2, Players!$A$1:$P$1, 0)), perc_75, VLOOKUP(V$2, Percentiles!$A$45:$I$59, 6, FALSE), perc_90, VLOOKUP(V$2, Percentiles!$A$45:$I$59, 7, FALSE), perc_95, VLOOKUP(V$2, Percentiles!$A$45:$I$59, 8, FALSE), perc_85, perc_75 + (perc_90 - perc_75) * (2/3), converted_stat, '2K_Ratings'!V200, IF(bbgm_stat &gt;= perc_95, converted_stat * 3, IF(bbgm_stat &gt;= perc_90, converted_stat * 2, IF(bbgm_stat &gt;= perc_85, converted_stat * 1.5, converted_stat)))))</f>
        <v/>
      </c>
      <c r="W200" s="30" t="str">
        <f t="array" ref="W200">IF($A200="", "", LET(bbgm_stat, INDEX(Players!$A199:$P199, MATCH(W$2, Players!$A$1:$P$1, 0)), perc_75, VLOOKUP(W$2, Percentiles!$A$45:$I$59, 6, FALSE), perc_90, VLOOKUP(W$2, Percentiles!$A$45:$I$59, 7, FALSE), perc_95, VLOOKUP(W$2, Percentiles!$A$45:$I$59, 8, FALSE), perc_85, perc_75 + (perc_90 - perc_75) * (2/3), converted_stat, '2K_Ratings'!W200, IF(bbgm_stat &gt;= perc_95, converted_stat * 3, IF(bbgm_stat &gt;= perc_90, converted_stat * 2, IF(bbgm_stat &gt;= perc_85, converted_stat * 1.5, converted_stat)))))</f>
        <v/>
      </c>
    </row>
    <row r="201">
      <c r="A201" s="30"/>
      <c r="B201" s="30" t="str">
        <f t="array" ref="B201">IF($A201="", "", LET(bbgm_stat, INDEX(Players!$A200:$P200, MATCH(B$2, Players!$A$1:$P$1, 0)), perc_75, VLOOKUP(B$2, Percentiles!$A$45:$I$59, 6, FALSE), perc_90, VLOOKUP(B$2, Percentiles!$A$45:$I$59, 7, FALSE), perc_95, VLOOKUP(B$2, Percentiles!$A$45:$I$59, 8, FALSE), perc_85, perc_75 + (perc_90 - perc_75) * (2/3), converted_stat, '2K_Ratings'!B201, IF(bbgm_stat &gt;= perc_95, converted_stat * 3, IF(bbgm_stat &gt;= perc_90, converted_stat * 2, IF(bbgm_stat &gt;= perc_85, converted_stat * 1.5, converted_stat)))))</f>
        <v/>
      </c>
      <c r="C201" s="30" t="str">
        <f t="array" ref="C201">IF($A201="", "", LET(bbgm_stat, INDEX(Players!$A200:$P200, MATCH(C$2, Players!$A$1:$P$1, 0)), perc_75, VLOOKUP(C$2, Percentiles!$A$45:$I$59, 6, FALSE), perc_90, VLOOKUP(C$2, Percentiles!$A$45:$I$59, 7, FALSE), perc_95, VLOOKUP(C$2, Percentiles!$A$45:$I$59, 8, FALSE), perc_85, perc_75 + (perc_90 - perc_75) * (2/3), converted_stat, '2K_Ratings'!C201, IF(bbgm_stat &gt;= perc_95, converted_stat * 3, IF(bbgm_stat &gt;= perc_90, converted_stat * 2, IF(bbgm_stat &gt;= perc_85, converted_stat * 1.5, converted_stat)))))</f>
        <v/>
      </c>
      <c r="D201" s="30" t="str">
        <f t="array" ref="D201">IF($A201="", "", LET(bbgm_stat, INDEX(Players!$A200:$P200, MATCH(D$2, Players!$A$1:$P$1, 0)), perc_75, VLOOKUP(D$2, Percentiles!$A$45:$I$59, 6, FALSE), perc_90, VLOOKUP(D$2, Percentiles!$A$45:$I$59, 7, FALSE), perc_95, VLOOKUP(D$2, Percentiles!$A$45:$I$59, 8, FALSE), perc_85, perc_75 + (perc_90 - perc_75) * (2/3), converted_stat, '2K_Ratings'!D201, IF(bbgm_stat &gt;= perc_95, converted_stat * 3, IF(bbgm_stat &gt;= perc_90, converted_stat * 2, IF(bbgm_stat &gt;= perc_85, converted_stat * 1.5, converted_stat)))))</f>
        <v/>
      </c>
      <c r="E201" s="30" t="str">
        <f t="array" ref="E201">IF($A201="", "", LET(bbgm_stat, INDEX(Players!$A200:$P200, MATCH(E$2, Players!$A$1:$P$1, 0)), perc_75, VLOOKUP(E$2, Percentiles!$A$45:$I$59, 6, FALSE), perc_90, VLOOKUP(E$2, Percentiles!$A$45:$I$59, 7, FALSE), perc_95, VLOOKUP(E$2, Percentiles!$A$45:$I$59, 8, FALSE), perc_85, perc_75 + (perc_90 - perc_75) * (2/3), converted_stat, '2K_Ratings'!E201, IF(bbgm_stat &gt;= perc_95, converted_stat * 3, IF(bbgm_stat &gt;= perc_90, converted_stat * 2, IF(bbgm_stat &gt;= perc_85, converted_stat * 1.5, converted_stat)))))</f>
        <v/>
      </c>
      <c r="F201" s="30" t="str">
        <f t="array" ref="F201">IF($A201="", "", LET(bbgm_stat, INDEX(Players!$A200:$P200, MATCH(F$2, Players!$A$1:$P$1, 0)), perc_75, VLOOKUP(F$2, Percentiles!$A$45:$I$59, 6, FALSE), perc_90, VLOOKUP(F$2, Percentiles!$A$45:$I$59, 7, FALSE), perc_95, VLOOKUP(F$2, Percentiles!$A$45:$I$59, 8, FALSE), perc_85, perc_75 + (perc_90 - perc_75) * (2/3), converted_stat, '2K_Ratings'!F201, IF(bbgm_stat &gt;= perc_95, converted_stat * 3, IF(bbgm_stat &gt;= perc_90, converted_stat * 2, IF(bbgm_stat &gt;= perc_85, converted_stat * 1.5, converted_stat)))))</f>
        <v/>
      </c>
      <c r="G201" s="30" t="str">
        <f t="array" ref="G201">IF($A201="", "", LET(bbgm_stat, INDEX(Players!$A200:$P200, MATCH(G$2, Players!$A$1:$P$1, 0)), perc_75, VLOOKUP(G$2, Percentiles!$A$45:$I$59, 6, FALSE), perc_90, VLOOKUP(G$2, Percentiles!$A$45:$I$59, 7, FALSE), perc_95, VLOOKUP(G$2, Percentiles!$A$45:$I$59, 8, FALSE), perc_85, perc_75 + (perc_90 - perc_75) * (2/3), converted_stat, '2K_Ratings'!G201, IF(bbgm_stat &gt;= perc_95, converted_stat * 3, IF(bbgm_stat &gt;= perc_90, converted_stat * 2, IF(bbgm_stat &gt;= perc_85, converted_stat * 1.5, converted_stat)))))</f>
        <v/>
      </c>
      <c r="H201" s="30" t="str">
        <f t="array" ref="H201">IF($A201="", "", LET(bbgm_stat, INDEX(Players!$A200:$P200, MATCH(H$2, Players!$A$1:$P$1, 0)), perc_75, VLOOKUP(H$2, Percentiles!$A$45:$I$59, 6, FALSE), perc_90, VLOOKUP(H$2, Percentiles!$A$45:$I$59, 7, FALSE), perc_95, VLOOKUP(H$2, Percentiles!$A$45:$I$59, 8, FALSE), perc_85, perc_75 + (perc_90 - perc_75) * (2/3), converted_stat, '2K_Ratings'!H201, IF(bbgm_stat &gt;= perc_95, converted_stat * 3, IF(bbgm_stat &gt;= perc_90, converted_stat * 2, IF(bbgm_stat &gt;= perc_85, converted_stat * 1.5, converted_stat)))))</f>
        <v/>
      </c>
      <c r="I201" s="30" t="str">
        <f t="array" ref="I201">IF($A201="", "", LET(bbgm_stat, INDEX(Players!$A200:$P200, MATCH(I$2, Players!$A$1:$P$1, 0)), perc_75, VLOOKUP(I$2, Percentiles!$A$45:$I$59, 6, FALSE), perc_90, VLOOKUP(I$2, Percentiles!$A$45:$I$59, 7, FALSE), perc_95, VLOOKUP(I$2, Percentiles!$A$45:$I$59, 8, FALSE), perc_85, perc_75 + (perc_90 - perc_75) * (2/3), converted_stat, '2K_Ratings'!I201, IF(bbgm_stat &gt;= perc_95, converted_stat * 3, IF(bbgm_stat &gt;= perc_90, converted_stat * 2, IF(bbgm_stat &gt;= perc_85, converted_stat * 1.5, converted_stat)))))</f>
        <v/>
      </c>
      <c r="J201" s="30" t="str">
        <f t="array" ref="J201">IF($A201="", "", LET(bbgm_stat, INDEX(Players!$A200:$P200, MATCH(J$2, Players!$A$1:$P$1, 0)), perc_75, VLOOKUP(J$2, Percentiles!$A$45:$I$59, 6, FALSE), perc_90, VLOOKUP(J$2, Percentiles!$A$45:$I$59, 7, FALSE), perc_95, VLOOKUP(J$2, Percentiles!$A$45:$I$59, 8, FALSE), perc_85, perc_75 + (perc_90 - perc_75) * (2/3), converted_stat, '2K_Ratings'!J201, IF(bbgm_stat &gt;= perc_95, converted_stat * 3, IF(bbgm_stat &gt;= perc_90, converted_stat * 2, IF(bbgm_stat &gt;= perc_85, converted_stat * 1.5, converted_stat)))))</f>
        <v/>
      </c>
      <c r="K201" s="30" t="str">
        <f t="array" ref="K201">IF($A201="", "", LET(bbgm_stat, INDEX(Players!$A200:$P200, MATCH(K$2, Players!$A$1:$P$1, 0)), perc_75, VLOOKUP(K$2, Percentiles!$A$45:$I$59, 6, FALSE), perc_90, VLOOKUP(K$2, Percentiles!$A$45:$I$59, 7, FALSE), perc_95, VLOOKUP(K$2, Percentiles!$A$45:$I$59, 8, FALSE), perc_85, perc_75 + (perc_90 - perc_75) * (2/3), converted_stat, '2K_Ratings'!K201, IF(bbgm_stat &gt;= perc_95, converted_stat * 3, IF(bbgm_stat &gt;= perc_90, converted_stat * 2, IF(bbgm_stat &gt;= perc_85, converted_stat * 1.5, converted_stat)))))</f>
        <v/>
      </c>
      <c r="L201" s="30" t="str">
        <f t="array" ref="L201">IF($A201="", "", LET(bbgm_stat, INDEX(Players!$A200:$P200, MATCH(L$2, Players!$A$1:$P$1, 0)), perc_75, VLOOKUP(L$2, Percentiles!$A$45:$I$59, 6, FALSE), perc_90, VLOOKUP(L$2, Percentiles!$A$45:$I$59, 7, FALSE), perc_95, VLOOKUP(L$2, Percentiles!$A$45:$I$59, 8, FALSE), perc_85, perc_75 + (perc_90 - perc_75) * (2/3), converted_stat, '2K_Ratings'!L201, IF(bbgm_stat &gt;= perc_95, converted_stat * 3, IF(bbgm_stat &gt;= perc_90, converted_stat * 2, IF(bbgm_stat &gt;= perc_85, converted_stat * 1.5, converted_stat)))))</f>
        <v/>
      </c>
      <c r="M201" s="30" t="str">
        <f t="array" ref="M201">IF($A201="", "", LET(bbgm_stat, INDEX(Players!$A200:$P200, MATCH(M$2, Players!$A$1:$P$1, 0)), perc_75, VLOOKUP(M$2, Percentiles!$A$45:$I$59, 6, FALSE), perc_90, VLOOKUP(M$2, Percentiles!$A$45:$I$59, 7, FALSE), perc_95, VLOOKUP(M$2, Percentiles!$A$45:$I$59, 8, FALSE), perc_85, perc_75 + (perc_90 - perc_75) * (2/3), converted_stat, '2K_Ratings'!M201, IF(bbgm_stat &gt;= perc_95, converted_stat * 3, IF(bbgm_stat &gt;= perc_90, converted_stat * 2, IF(bbgm_stat &gt;= perc_85, converted_stat * 1.5, converted_stat)))))</f>
        <v/>
      </c>
      <c r="N201" s="30" t="str">
        <f t="array" ref="N201">IF($A201="", "", LET(bbgm_stat, INDEX(Players!$A200:$P200, MATCH(N$2, Players!$A$1:$P$1, 0)), perc_75, VLOOKUP(N$2, Percentiles!$A$45:$I$59, 6, FALSE), perc_90, VLOOKUP(N$2, Percentiles!$A$45:$I$59, 7, FALSE), perc_95, VLOOKUP(N$2, Percentiles!$A$45:$I$59, 8, FALSE), perc_85, perc_75 + (perc_90 - perc_75) * (2/3), converted_stat, '2K_Ratings'!N201, IF(bbgm_stat &gt;= perc_95, converted_stat * 3, IF(bbgm_stat &gt;= perc_90, converted_stat * 2, IF(bbgm_stat &gt;= perc_85, converted_stat * 1.5, converted_stat)))))</f>
        <v/>
      </c>
      <c r="O201" s="30" t="str">
        <f t="array" ref="O201">IF($A201="", "", LET(bbgm_stat, INDEX(Players!$A200:$P200, MATCH(O$2, Players!$A$1:$P$1, 0)), perc_75, VLOOKUP(O$2, Percentiles!$A$45:$I$59, 6, FALSE), perc_90, VLOOKUP(O$2, Percentiles!$A$45:$I$59, 7, FALSE), perc_95, VLOOKUP(O$2, Percentiles!$A$45:$I$59, 8, FALSE), perc_85, perc_75 + (perc_90 - perc_75) * (2/3), converted_stat, '2K_Ratings'!O201, IF(bbgm_stat &gt;= perc_95, converted_stat * 3, IF(bbgm_stat &gt;= perc_90, converted_stat * 2, IF(bbgm_stat &gt;= perc_85, converted_stat * 1.5, converted_stat)))))</f>
        <v/>
      </c>
      <c r="P201" s="30" t="str">
        <f t="array" ref="P201">IF($A201="", "", LET(bbgm_stat, INDEX(Players!$A200:$P200, MATCH(P$2, Players!$A$1:$P$1, 0)), perc_75, VLOOKUP(P$2, Percentiles!$A$45:$I$59, 6, FALSE), perc_90, VLOOKUP(P$2, Percentiles!$A$45:$I$59, 7, FALSE), perc_95, VLOOKUP(P$2, Percentiles!$A$45:$I$59, 8, FALSE), perc_85, perc_75 + (perc_90 - perc_75) * (2/3), converted_stat, '2K_Ratings'!P201, IF(bbgm_stat &gt;= perc_95, converted_stat * 3, IF(bbgm_stat &gt;= perc_90, converted_stat * 2, IF(bbgm_stat &gt;= perc_85, converted_stat * 1.5, converted_stat)))))</f>
        <v/>
      </c>
      <c r="Q201" s="30" t="str">
        <f t="array" ref="Q201">IF($A201="", "", LET(bbgm_stat, INDEX(Players!$A200:$P200, MATCH(Q$2, Players!$A$1:$P$1, 0)), perc_75, VLOOKUP(Q$2, Percentiles!$A$45:$I$59, 6, FALSE), perc_90, VLOOKUP(Q$2, Percentiles!$A$45:$I$59, 7, FALSE), perc_95, VLOOKUP(Q$2, Percentiles!$A$45:$I$59, 8, FALSE), perc_85, perc_75 + (perc_90 - perc_75) * (2/3), converted_stat, '2K_Ratings'!Q201, IF(bbgm_stat &gt;= perc_95, converted_stat * 3, IF(bbgm_stat &gt;= perc_90, converted_stat * 2, IF(bbgm_stat &gt;= perc_85, converted_stat * 1.5, converted_stat)))))</f>
        <v/>
      </c>
      <c r="R201" s="30" t="str">
        <f t="array" ref="R201">IF($A201="", "", LET(bbgm_stat, INDEX(Players!$A200:$P200, MATCH(R$2, Players!$A$1:$P$1, 0)), perc_75, VLOOKUP(R$2, Percentiles!$A$45:$I$59, 6, FALSE), perc_90, VLOOKUP(R$2, Percentiles!$A$45:$I$59, 7, FALSE), perc_95, VLOOKUP(R$2, Percentiles!$A$45:$I$59, 8, FALSE), perc_85, perc_75 + (perc_90 - perc_75) * (2/3), converted_stat, '2K_Ratings'!R201, IF(bbgm_stat &gt;= perc_95, converted_stat * 3, IF(bbgm_stat &gt;= perc_90, converted_stat * 2, IF(bbgm_stat &gt;= perc_85, converted_stat * 1.5, converted_stat)))))</f>
        <v/>
      </c>
      <c r="S201" s="30" t="str">
        <f t="array" ref="S201">IF($A201="", "", LET(bbgm_stat, INDEX(Players!$A200:$P200, MATCH(S$2, Players!$A$1:$P$1, 0)), perc_75, VLOOKUP(S$2, Percentiles!$A$45:$I$59, 6, FALSE), perc_90, VLOOKUP(S$2, Percentiles!$A$45:$I$59, 7, FALSE), perc_95, VLOOKUP(S$2, Percentiles!$A$45:$I$59, 8, FALSE), perc_85, perc_75 + (perc_90 - perc_75) * (2/3), converted_stat, '2K_Ratings'!S201, IF(bbgm_stat &gt;= perc_95, converted_stat * 3, IF(bbgm_stat &gt;= perc_90, converted_stat * 2, IF(bbgm_stat &gt;= perc_85, converted_stat * 1.5, converted_stat)))))</f>
        <v/>
      </c>
      <c r="T201" s="30" t="str">
        <f t="array" ref="T201">IF($A201="", "", LET(bbgm_stat, INDEX(Players!$A200:$P200, MATCH(T$2, Players!$A$1:$P$1, 0)), perc_75, VLOOKUP(T$2, Percentiles!$A$45:$I$59, 6, FALSE), perc_90, VLOOKUP(T$2, Percentiles!$A$45:$I$59, 7, FALSE), perc_95, VLOOKUP(T$2, Percentiles!$A$45:$I$59, 8, FALSE), perc_85, perc_75 + (perc_90 - perc_75) * (2/3), converted_stat, '2K_Ratings'!T201, IF(bbgm_stat &gt;= perc_95, converted_stat * 3, IF(bbgm_stat &gt;= perc_90, converted_stat * 2, IF(bbgm_stat &gt;= perc_85, converted_stat * 1.5, converted_stat)))))</f>
        <v/>
      </c>
      <c r="U201" s="30" t="str">
        <f t="array" ref="U201">IF($A201="", "", LET(bbgm_stat, INDEX(Players!$A200:$P200, MATCH(U$2, Players!$A$1:$P$1, 0)), perc_75, VLOOKUP(U$2, Percentiles!$A$45:$I$59, 6, FALSE), perc_90, VLOOKUP(U$2, Percentiles!$A$45:$I$59, 7, FALSE), perc_95, VLOOKUP(U$2, Percentiles!$A$45:$I$59, 8, FALSE), perc_85, perc_75 + (perc_90 - perc_75) * (2/3), converted_stat, '2K_Ratings'!U201, IF(bbgm_stat &gt;= perc_95, converted_stat * 3, IF(bbgm_stat &gt;= perc_90, converted_stat * 2, IF(bbgm_stat &gt;= perc_85, converted_stat * 1.5, converted_stat)))))</f>
        <v/>
      </c>
      <c r="V201" s="30" t="str">
        <f t="array" ref="V201">IF($A201="", "", LET(bbgm_stat, INDEX(Players!$A200:$P200, MATCH(V$2, Players!$A$1:$P$1, 0)), perc_75, VLOOKUP(V$2, Percentiles!$A$45:$I$59, 6, FALSE), perc_90, VLOOKUP(V$2, Percentiles!$A$45:$I$59, 7, FALSE), perc_95, VLOOKUP(V$2, Percentiles!$A$45:$I$59, 8, FALSE), perc_85, perc_75 + (perc_90 - perc_75) * (2/3), converted_stat, '2K_Ratings'!V201, IF(bbgm_stat &gt;= perc_95, converted_stat * 3, IF(bbgm_stat &gt;= perc_90, converted_stat * 2, IF(bbgm_stat &gt;= perc_85, converted_stat * 1.5, converted_stat)))))</f>
        <v/>
      </c>
      <c r="W201" s="30" t="str">
        <f t="array" ref="W201">IF($A201="", "", LET(bbgm_stat, INDEX(Players!$A200:$P200, MATCH(W$2, Players!$A$1:$P$1, 0)), perc_75, VLOOKUP(W$2, Percentiles!$A$45:$I$59, 6, FALSE), perc_90, VLOOKUP(W$2, Percentiles!$A$45:$I$59, 7, FALSE), perc_95, VLOOKUP(W$2, Percentiles!$A$45:$I$59, 8, FALSE), perc_85, perc_75 + (perc_90 - perc_75) * (2/3), converted_stat, '2K_Ratings'!W201, IF(bbgm_stat &gt;= perc_95, converted_stat * 3, IF(bbgm_stat &gt;= perc_90, converted_stat * 2, IF(bbgm_stat &gt;= perc_85, converted_stat * 1.5, converted_stat)))))</f>
        <v/>
      </c>
    </row>
    <row r="202">
      <c r="A202" s="30"/>
      <c r="B202" s="30" t="str">
        <f t="array" ref="B202">IF($A202="", "", LET(bbgm_stat, INDEX(Players!$A201:$P201, MATCH(B$2, Players!$A$1:$P$1, 0)), perc_75, VLOOKUP(B$2, Percentiles!$A$45:$I$59, 6, FALSE), perc_90, VLOOKUP(B$2, Percentiles!$A$45:$I$59, 7, FALSE), perc_95, VLOOKUP(B$2, Percentiles!$A$45:$I$59, 8, FALSE), perc_85, perc_75 + (perc_90 - perc_75) * (2/3), converted_stat, '2K_Ratings'!B202, IF(bbgm_stat &gt;= perc_95, converted_stat * 3, IF(bbgm_stat &gt;= perc_90, converted_stat * 2, IF(bbgm_stat &gt;= perc_85, converted_stat * 1.5, converted_stat)))))</f>
        <v/>
      </c>
      <c r="C202" s="30" t="str">
        <f t="array" ref="C202">IF($A202="", "", LET(bbgm_stat, INDEX(Players!$A201:$P201, MATCH(C$2, Players!$A$1:$P$1, 0)), perc_75, VLOOKUP(C$2, Percentiles!$A$45:$I$59, 6, FALSE), perc_90, VLOOKUP(C$2, Percentiles!$A$45:$I$59, 7, FALSE), perc_95, VLOOKUP(C$2, Percentiles!$A$45:$I$59, 8, FALSE), perc_85, perc_75 + (perc_90 - perc_75) * (2/3), converted_stat, '2K_Ratings'!C202, IF(bbgm_stat &gt;= perc_95, converted_stat * 3, IF(bbgm_stat &gt;= perc_90, converted_stat * 2, IF(bbgm_stat &gt;= perc_85, converted_stat * 1.5, converted_stat)))))</f>
        <v/>
      </c>
      <c r="D202" s="30" t="str">
        <f t="array" ref="D202">IF($A202="", "", LET(bbgm_stat, INDEX(Players!$A201:$P201, MATCH(D$2, Players!$A$1:$P$1, 0)), perc_75, VLOOKUP(D$2, Percentiles!$A$45:$I$59, 6, FALSE), perc_90, VLOOKUP(D$2, Percentiles!$A$45:$I$59, 7, FALSE), perc_95, VLOOKUP(D$2, Percentiles!$A$45:$I$59, 8, FALSE), perc_85, perc_75 + (perc_90 - perc_75) * (2/3), converted_stat, '2K_Ratings'!D202, IF(bbgm_stat &gt;= perc_95, converted_stat * 3, IF(bbgm_stat &gt;= perc_90, converted_stat * 2, IF(bbgm_stat &gt;= perc_85, converted_stat * 1.5, converted_stat)))))</f>
        <v/>
      </c>
      <c r="E202" s="30" t="str">
        <f t="array" ref="E202">IF($A202="", "", LET(bbgm_stat, INDEX(Players!$A201:$P201, MATCH(E$2, Players!$A$1:$P$1, 0)), perc_75, VLOOKUP(E$2, Percentiles!$A$45:$I$59, 6, FALSE), perc_90, VLOOKUP(E$2, Percentiles!$A$45:$I$59, 7, FALSE), perc_95, VLOOKUP(E$2, Percentiles!$A$45:$I$59, 8, FALSE), perc_85, perc_75 + (perc_90 - perc_75) * (2/3), converted_stat, '2K_Ratings'!E202, IF(bbgm_stat &gt;= perc_95, converted_stat * 3, IF(bbgm_stat &gt;= perc_90, converted_stat * 2, IF(bbgm_stat &gt;= perc_85, converted_stat * 1.5, converted_stat)))))</f>
        <v/>
      </c>
      <c r="F202" s="30" t="str">
        <f t="array" ref="F202">IF($A202="", "", LET(bbgm_stat, INDEX(Players!$A201:$P201, MATCH(F$2, Players!$A$1:$P$1, 0)), perc_75, VLOOKUP(F$2, Percentiles!$A$45:$I$59, 6, FALSE), perc_90, VLOOKUP(F$2, Percentiles!$A$45:$I$59, 7, FALSE), perc_95, VLOOKUP(F$2, Percentiles!$A$45:$I$59, 8, FALSE), perc_85, perc_75 + (perc_90 - perc_75) * (2/3), converted_stat, '2K_Ratings'!F202, IF(bbgm_stat &gt;= perc_95, converted_stat * 3, IF(bbgm_stat &gt;= perc_90, converted_stat * 2, IF(bbgm_stat &gt;= perc_85, converted_stat * 1.5, converted_stat)))))</f>
        <v/>
      </c>
      <c r="G202" s="30" t="str">
        <f t="array" ref="G202">IF($A202="", "", LET(bbgm_stat, INDEX(Players!$A201:$P201, MATCH(G$2, Players!$A$1:$P$1, 0)), perc_75, VLOOKUP(G$2, Percentiles!$A$45:$I$59, 6, FALSE), perc_90, VLOOKUP(G$2, Percentiles!$A$45:$I$59, 7, FALSE), perc_95, VLOOKUP(G$2, Percentiles!$A$45:$I$59, 8, FALSE), perc_85, perc_75 + (perc_90 - perc_75) * (2/3), converted_stat, '2K_Ratings'!G202, IF(bbgm_stat &gt;= perc_95, converted_stat * 3, IF(bbgm_stat &gt;= perc_90, converted_stat * 2, IF(bbgm_stat &gt;= perc_85, converted_stat * 1.5, converted_stat)))))</f>
        <v/>
      </c>
      <c r="H202" s="30" t="str">
        <f t="array" ref="H202">IF($A202="", "", LET(bbgm_stat, INDEX(Players!$A201:$P201, MATCH(H$2, Players!$A$1:$P$1, 0)), perc_75, VLOOKUP(H$2, Percentiles!$A$45:$I$59, 6, FALSE), perc_90, VLOOKUP(H$2, Percentiles!$A$45:$I$59, 7, FALSE), perc_95, VLOOKUP(H$2, Percentiles!$A$45:$I$59, 8, FALSE), perc_85, perc_75 + (perc_90 - perc_75) * (2/3), converted_stat, '2K_Ratings'!H202, IF(bbgm_stat &gt;= perc_95, converted_stat * 3, IF(bbgm_stat &gt;= perc_90, converted_stat * 2, IF(bbgm_stat &gt;= perc_85, converted_stat * 1.5, converted_stat)))))</f>
        <v/>
      </c>
      <c r="I202" s="30" t="str">
        <f t="array" ref="I202">IF($A202="", "", LET(bbgm_stat, INDEX(Players!$A201:$P201, MATCH(I$2, Players!$A$1:$P$1, 0)), perc_75, VLOOKUP(I$2, Percentiles!$A$45:$I$59, 6, FALSE), perc_90, VLOOKUP(I$2, Percentiles!$A$45:$I$59, 7, FALSE), perc_95, VLOOKUP(I$2, Percentiles!$A$45:$I$59, 8, FALSE), perc_85, perc_75 + (perc_90 - perc_75) * (2/3), converted_stat, '2K_Ratings'!I202, IF(bbgm_stat &gt;= perc_95, converted_stat * 3, IF(bbgm_stat &gt;= perc_90, converted_stat * 2, IF(bbgm_stat &gt;= perc_85, converted_stat * 1.5, converted_stat)))))</f>
        <v/>
      </c>
      <c r="J202" s="30" t="str">
        <f t="array" ref="J202">IF($A202="", "", LET(bbgm_stat, INDEX(Players!$A201:$P201, MATCH(J$2, Players!$A$1:$P$1, 0)), perc_75, VLOOKUP(J$2, Percentiles!$A$45:$I$59, 6, FALSE), perc_90, VLOOKUP(J$2, Percentiles!$A$45:$I$59, 7, FALSE), perc_95, VLOOKUP(J$2, Percentiles!$A$45:$I$59, 8, FALSE), perc_85, perc_75 + (perc_90 - perc_75) * (2/3), converted_stat, '2K_Ratings'!J202, IF(bbgm_stat &gt;= perc_95, converted_stat * 3, IF(bbgm_stat &gt;= perc_90, converted_stat * 2, IF(bbgm_stat &gt;= perc_85, converted_stat * 1.5, converted_stat)))))</f>
        <v/>
      </c>
      <c r="K202" s="30" t="str">
        <f t="array" ref="K202">IF($A202="", "", LET(bbgm_stat, INDEX(Players!$A201:$P201, MATCH(K$2, Players!$A$1:$P$1, 0)), perc_75, VLOOKUP(K$2, Percentiles!$A$45:$I$59, 6, FALSE), perc_90, VLOOKUP(K$2, Percentiles!$A$45:$I$59, 7, FALSE), perc_95, VLOOKUP(K$2, Percentiles!$A$45:$I$59, 8, FALSE), perc_85, perc_75 + (perc_90 - perc_75) * (2/3), converted_stat, '2K_Ratings'!K202, IF(bbgm_stat &gt;= perc_95, converted_stat * 3, IF(bbgm_stat &gt;= perc_90, converted_stat * 2, IF(bbgm_stat &gt;= perc_85, converted_stat * 1.5, converted_stat)))))</f>
        <v/>
      </c>
      <c r="L202" s="30" t="str">
        <f t="array" ref="L202">IF($A202="", "", LET(bbgm_stat, INDEX(Players!$A201:$P201, MATCH(L$2, Players!$A$1:$P$1, 0)), perc_75, VLOOKUP(L$2, Percentiles!$A$45:$I$59, 6, FALSE), perc_90, VLOOKUP(L$2, Percentiles!$A$45:$I$59, 7, FALSE), perc_95, VLOOKUP(L$2, Percentiles!$A$45:$I$59, 8, FALSE), perc_85, perc_75 + (perc_90 - perc_75) * (2/3), converted_stat, '2K_Ratings'!L202, IF(bbgm_stat &gt;= perc_95, converted_stat * 3, IF(bbgm_stat &gt;= perc_90, converted_stat * 2, IF(bbgm_stat &gt;= perc_85, converted_stat * 1.5, converted_stat)))))</f>
        <v/>
      </c>
      <c r="M202" s="30" t="str">
        <f t="array" ref="M202">IF($A202="", "", LET(bbgm_stat, INDEX(Players!$A201:$P201, MATCH(M$2, Players!$A$1:$P$1, 0)), perc_75, VLOOKUP(M$2, Percentiles!$A$45:$I$59, 6, FALSE), perc_90, VLOOKUP(M$2, Percentiles!$A$45:$I$59, 7, FALSE), perc_95, VLOOKUP(M$2, Percentiles!$A$45:$I$59, 8, FALSE), perc_85, perc_75 + (perc_90 - perc_75) * (2/3), converted_stat, '2K_Ratings'!M202, IF(bbgm_stat &gt;= perc_95, converted_stat * 3, IF(bbgm_stat &gt;= perc_90, converted_stat * 2, IF(bbgm_stat &gt;= perc_85, converted_stat * 1.5, converted_stat)))))</f>
        <v/>
      </c>
      <c r="N202" s="30" t="str">
        <f t="array" ref="N202">IF($A202="", "", LET(bbgm_stat, INDEX(Players!$A201:$P201, MATCH(N$2, Players!$A$1:$P$1, 0)), perc_75, VLOOKUP(N$2, Percentiles!$A$45:$I$59, 6, FALSE), perc_90, VLOOKUP(N$2, Percentiles!$A$45:$I$59, 7, FALSE), perc_95, VLOOKUP(N$2, Percentiles!$A$45:$I$59, 8, FALSE), perc_85, perc_75 + (perc_90 - perc_75) * (2/3), converted_stat, '2K_Ratings'!N202, IF(bbgm_stat &gt;= perc_95, converted_stat * 3, IF(bbgm_stat &gt;= perc_90, converted_stat * 2, IF(bbgm_stat &gt;= perc_85, converted_stat * 1.5, converted_stat)))))</f>
        <v/>
      </c>
      <c r="O202" s="30" t="str">
        <f t="array" ref="O202">IF($A202="", "", LET(bbgm_stat, INDEX(Players!$A201:$P201, MATCH(O$2, Players!$A$1:$P$1, 0)), perc_75, VLOOKUP(O$2, Percentiles!$A$45:$I$59, 6, FALSE), perc_90, VLOOKUP(O$2, Percentiles!$A$45:$I$59, 7, FALSE), perc_95, VLOOKUP(O$2, Percentiles!$A$45:$I$59, 8, FALSE), perc_85, perc_75 + (perc_90 - perc_75) * (2/3), converted_stat, '2K_Ratings'!O202, IF(bbgm_stat &gt;= perc_95, converted_stat * 3, IF(bbgm_stat &gt;= perc_90, converted_stat * 2, IF(bbgm_stat &gt;= perc_85, converted_stat * 1.5, converted_stat)))))</f>
        <v/>
      </c>
      <c r="P202" s="30" t="str">
        <f t="array" ref="P202">IF($A202="", "", LET(bbgm_stat, INDEX(Players!$A201:$P201, MATCH(P$2, Players!$A$1:$P$1, 0)), perc_75, VLOOKUP(P$2, Percentiles!$A$45:$I$59, 6, FALSE), perc_90, VLOOKUP(P$2, Percentiles!$A$45:$I$59, 7, FALSE), perc_95, VLOOKUP(P$2, Percentiles!$A$45:$I$59, 8, FALSE), perc_85, perc_75 + (perc_90 - perc_75) * (2/3), converted_stat, '2K_Ratings'!P202, IF(bbgm_stat &gt;= perc_95, converted_stat * 3, IF(bbgm_stat &gt;= perc_90, converted_stat * 2, IF(bbgm_stat &gt;= perc_85, converted_stat * 1.5, converted_stat)))))</f>
        <v/>
      </c>
      <c r="Q202" s="30" t="str">
        <f t="array" ref="Q202">IF($A202="", "", LET(bbgm_stat, INDEX(Players!$A201:$P201, MATCH(Q$2, Players!$A$1:$P$1, 0)), perc_75, VLOOKUP(Q$2, Percentiles!$A$45:$I$59, 6, FALSE), perc_90, VLOOKUP(Q$2, Percentiles!$A$45:$I$59, 7, FALSE), perc_95, VLOOKUP(Q$2, Percentiles!$A$45:$I$59, 8, FALSE), perc_85, perc_75 + (perc_90 - perc_75) * (2/3), converted_stat, '2K_Ratings'!Q202, IF(bbgm_stat &gt;= perc_95, converted_stat * 3, IF(bbgm_stat &gt;= perc_90, converted_stat * 2, IF(bbgm_stat &gt;= perc_85, converted_stat * 1.5, converted_stat)))))</f>
        <v/>
      </c>
      <c r="R202" s="30" t="str">
        <f t="array" ref="R202">IF($A202="", "", LET(bbgm_stat, INDEX(Players!$A201:$P201, MATCH(R$2, Players!$A$1:$P$1, 0)), perc_75, VLOOKUP(R$2, Percentiles!$A$45:$I$59, 6, FALSE), perc_90, VLOOKUP(R$2, Percentiles!$A$45:$I$59, 7, FALSE), perc_95, VLOOKUP(R$2, Percentiles!$A$45:$I$59, 8, FALSE), perc_85, perc_75 + (perc_90 - perc_75) * (2/3), converted_stat, '2K_Ratings'!R202, IF(bbgm_stat &gt;= perc_95, converted_stat * 3, IF(bbgm_stat &gt;= perc_90, converted_stat * 2, IF(bbgm_stat &gt;= perc_85, converted_stat * 1.5, converted_stat)))))</f>
        <v/>
      </c>
      <c r="S202" s="30" t="str">
        <f t="array" ref="S202">IF($A202="", "", LET(bbgm_stat, INDEX(Players!$A201:$P201, MATCH(S$2, Players!$A$1:$P$1, 0)), perc_75, VLOOKUP(S$2, Percentiles!$A$45:$I$59, 6, FALSE), perc_90, VLOOKUP(S$2, Percentiles!$A$45:$I$59, 7, FALSE), perc_95, VLOOKUP(S$2, Percentiles!$A$45:$I$59, 8, FALSE), perc_85, perc_75 + (perc_90 - perc_75) * (2/3), converted_stat, '2K_Ratings'!S202, IF(bbgm_stat &gt;= perc_95, converted_stat * 3, IF(bbgm_stat &gt;= perc_90, converted_stat * 2, IF(bbgm_stat &gt;= perc_85, converted_stat * 1.5, converted_stat)))))</f>
        <v/>
      </c>
      <c r="T202" s="30" t="str">
        <f t="array" ref="T202">IF($A202="", "", LET(bbgm_stat, INDEX(Players!$A201:$P201, MATCH(T$2, Players!$A$1:$P$1, 0)), perc_75, VLOOKUP(T$2, Percentiles!$A$45:$I$59, 6, FALSE), perc_90, VLOOKUP(T$2, Percentiles!$A$45:$I$59, 7, FALSE), perc_95, VLOOKUP(T$2, Percentiles!$A$45:$I$59, 8, FALSE), perc_85, perc_75 + (perc_90 - perc_75) * (2/3), converted_stat, '2K_Ratings'!T202, IF(bbgm_stat &gt;= perc_95, converted_stat * 3, IF(bbgm_stat &gt;= perc_90, converted_stat * 2, IF(bbgm_stat &gt;= perc_85, converted_stat * 1.5, converted_stat)))))</f>
        <v/>
      </c>
      <c r="U202" s="30" t="str">
        <f t="array" ref="U202">IF($A202="", "", LET(bbgm_stat, INDEX(Players!$A201:$P201, MATCH(U$2, Players!$A$1:$P$1, 0)), perc_75, VLOOKUP(U$2, Percentiles!$A$45:$I$59, 6, FALSE), perc_90, VLOOKUP(U$2, Percentiles!$A$45:$I$59, 7, FALSE), perc_95, VLOOKUP(U$2, Percentiles!$A$45:$I$59, 8, FALSE), perc_85, perc_75 + (perc_90 - perc_75) * (2/3), converted_stat, '2K_Ratings'!U202, IF(bbgm_stat &gt;= perc_95, converted_stat * 3, IF(bbgm_stat &gt;= perc_90, converted_stat * 2, IF(bbgm_stat &gt;= perc_85, converted_stat * 1.5, converted_stat)))))</f>
        <v/>
      </c>
      <c r="V202" s="30" t="str">
        <f t="array" ref="V202">IF($A202="", "", LET(bbgm_stat, INDEX(Players!$A201:$P201, MATCH(V$2, Players!$A$1:$P$1, 0)), perc_75, VLOOKUP(V$2, Percentiles!$A$45:$I$59, 6, FALSE), perc_90, VLOOKUP(V$2, Percentiles!$A$45:$I$59, 7, FALSE), perc_95, VLOOKUP(V$2, Percentiles!$A$45:$I$59, 8, FALSE), perc_85, perc_75 + (perc_90 - perc_75) * (2/3), converted_stat, '2K_Ratings'!V202, IF(bbgm_stat &gt;= perc_95, converted_stat * 3, IF(bbgm_stat &gt;= perc_90, converted_stat * 2, IF(bbgm_stat &gt;= perc_85, converted_stat * 1.5, converted_stat)))))</f>
        <v/>
      </c>
      <c r="W202" s="30" t="str">
        <f t="array" ref="W202">IF($A202="", "", LET(bbgm_stat, INDEX(Players!$A201:$P201, MATCH(W$2, Players!$A$1:$P$1, 0)), perc_75, VLOOKUP(W$2, Percentiles!$A$45:$I$59, 6, FALSE), perc_90, VLOOKUP(W$2, Percentiles!$A$45:$I$59, 7, FALSE), perc_95, VLOOKUP(W$2, Percentiles!$A$45:$I$59, 8, FALSE), perc_85, perc_75 + (perc_90 - perc_75) * (2/3), converted_stat, '2K_Ratings'!W202, IF(bbgm_stat &gt;= perc_95, converted_stat * 3, IF(bbgm_stat &gt;= perc_90, converted_stat * 2, IF(bbgm_stat &gt;= perc_85, converted_stat * 1.5, converted_stat)))))</f>
        <v/>
      </c>
    </row>
    <row r="203">
      <c r="A203" s="30"/>
      <c r="B203" s="30" t="str">
        <f t="array" ref="B203">IF($A203="", "", LET(bbgm_stat, INDEX(Players!$A202:$P202, MATCH(B$2, Players!$A$1:$P$1, 0)), perc_75, VLOOKUP(B$2, Percentiles!$A$45:$I$59, 6, FALSE), perc_90, VLOOKUP(B$2, Percentiles!$A$45:$I$59, 7, FALSE), perc_95, VLOOKUP(B$2, Percentiles!$A$45:$I$59, 8, FALSE), perc_85, perc_75 + (perc_90 - perc_75) * (2/3), converted_stat, '2K_Ratings'!B203, IF(bbgm_stat &gt;= perc_95, converted_stat * 3, IF(bbgm_stat &gt;= perc_90, converted_stat * 2, IF(bbgm_stat &gt;= perc_85, converted_stat * 1.5, converted_stat)))))</f>
        <v/>
      </c>
      <c r="C203" s="30" t="str">
        <f t="array" ref="C203">IF($A203="", "", LET(bbgm_stat, INDEX(Players!$A202:$P202, MATCH(C$2, Players!$A$1:$P$1, 0)), perc_75, VLOOKUP(C$2, Percentiles!$A$45:$I$59, 6, FALSE), perc_90, VLOOKUP(C$2, Percentiles!$A$45:$I$59, 7, FALSE), perc_95, VLOOKUP(C$2, Percentiles!$A$45:$I$59, 8, FALSE), perc_85, perc_75 + (perc_90 - perc_75) * (2/3), converted_stat, '2K_Ratings'!C203, IF(bbgm_stat &gt;= perc_95, converted_stat * 3, IF(bbgm_stat &gt;= perc_90, converted_stat * 2, IF(bbgm_stat &gt;= perc_85, converted_stat * 1.5, converted_stat)))))</f>
        <v/>
      </c>
      <c r="D203" s="30" t="str">
        <f t="array" ref="D203">IF($A203="", "", LET(bbgm_stat, INDEX(Players!$A202:$P202, MATCH(D$2, Players!$A$1:$P$1, 0)), perc_75, VLOOKUP(D$2, Percentiles!$A$45:$I$59, 6, FALSE), perc_90, VLOOKUP(D$2, Percentiles!$A$45:$I$59, 7, FALSE), perc_95, VLOOKUP(D$2, Percentiles!$A$45:$I$59, 8, FALSE), perc_85, perc_75 + (perc_90 - perc_75) * (2/3), converted_stat, '2K_Ratings'!D203, IF(bbgm_stat &gt;= perc_95, converted_stat * 3, IF(bbgm_stat &gt;= perc_90, converted_stat * 2, IF(bbgm_stat &gt;= perc_85, converted_stat * 1.5, converted_stat)))))</f>
        <v/>
      </c>
      <c r="E203" s="30" t="str">
        <f t="array" ref="E203">IF($A203="", "", LET(bbgm_stat, INDEX(Players!$A202:$P202, MATCH(E$2, Players!$A$1:$P$1, 0)), perc_75, VLOOKUP(E$2, Percentiles!$A$45:$I$59, 6, FALSE), perc_90, VLOOKUP(E$2, Percentiles!$A$45:$I$59, 7, FALSE), perc_95, VLOOKUP(E$2, Percentiles!$A$45:$I$59, 8, FALSE), perc_85, perc_75 + (perc_90 - perc_75) * (2/3), converted_stat, '2K_Ratings'!E203, IF(bbgm_stat &gt;= perc_95, converted_stat * 3, IF(bbgm_stat &gt;= perc_90, converted_stat * 2, IF(bbgm_stat &gt;= perc_85, converted_stat * 1.5, converted_stat)))))</f>
        <v/>
      </c>
      <c r="F203" s="30" t="str">
        <f t="array" ref="F203">IF($A203="", "", LET(bbgm_stat, INDEX(Players!$A202:$P202, MATCH(F$2, Players!$A$1:$P$1, 0)), perc_75, VLOOKUP(F$2, Percentiles!$A$45:$I$59, 6, FALSE), perc_90, VLOOKUP(F$2, Percentiles!$A$45:$I$59, 7, FALSE), perc_95, VLOOKUP(F$2, Percentiles!$A$45:$I$59, 8, FALSE), perc_85, perc_75 + (perc_90 - perc_75) * (2/3), converted_stat, '2K_Ratings'!F203, IF(bbgm_stat &gt;= perc_95, converted_stat * 3, IF(bbgm_stat &gt;= perc_90, converted_stat * 2, IF(bbgm_stat &gt;= perc_85, converted_stat * 1.5, converted_stat)))))</f>
        <v/>
      </c>
      <c r="G203" s="30" t="str">
        <f t="array" ref="G203">IF($A203="", "", LET(bbgm_stat, INDEX(Players!$A202:$P202, MATCH(G$2, Players!$A$1:$P$1, 0)), perc_75, VLOOKUP(G$2, Percentiles!$A$45:$I$59, 6, FALSE), perc_90, VLOOKUP(G$2, Percentiles!$A$45:$I$59, 7, FALSE), perc_95, VLOOKUP(G$2, Percentiles!$A$45:$I$59, 8, FALSE), perc_85, perc_75 + (perc_90 - perc_75) * (2/3), converted_stat, '2K_Ratings'!G203, IF(bbgm_stat &gt;= perc_95, converted_stat * 3, IF(bbgm_stat &gt;= perc_90, converted_stat * 2, IF(bbgm_stat &gt;= perc_85, converted_stat * 1.5, converted_stat)))))</f>
        <v/>
      </c>
      <c r="H203" s="30" t="str">
        <f t="array" ref="H203">IF($A203="", "", LET(bbgm_stat, INDEX(Players!$A202:$P202, MATCH(H$2, Players!$A$1:$P$1, 0)), perc_75, VLOOKUP(H$2, Percentiles!$A$45:$I$59, 6, FALSE), perc_90, VLOOKUP(H$2, Percentiles!$A$45:$I$59, 7, FALSE), perc_95, VLOOKUP(H$2, Percentiles!$A$45:$I$59, 8, FALSE), perc_85, perc_75 + (perc_90 - perc_75) * (2/3), converted_stat, '2K_Ratings'!H203, IF(bbgm_stat &gt;= perc_95, converted_stat * 3, IF(bbgm_stat &gt;= perc_90, converted_stat * 2, IF(bbgm_stat &gt;= perc_85, converted_stat * 1.5, converted_stat)))))</f>
        <v/>
      </c>
      <c r="I203" s="30" t="str">
        <f t="array" ref="I203">IF($A203="", "", LET(bbgm_stat, INDEX(Players!$A202:$P202, MATCH(I$2, Players!$A$1:$P$1, 0)), perc_75, VLOOKUP(I$2, Percentiles!$A$45:$I$59, 6, FALSE), perc_90, VLOOKUP(I$2, Percentiles!$A$45:$I$59, 7, FALSE), perc_95, VLOOKUP(I$2, Percentiles!$A$45:$I$59, 8, FALSE), perc_85, perc_75 + (perc_90 - perc_75) * (2/3), converted_stat, '2K_Ratings'!I203, IF(bbgm_stat &gt;= perc_95, converted_stat * 3, IF(bbgm_stat &gt;= perc_90, converted_stat * 2, IF(bbgm_stat &gt;= perc_85, converted_stat * 1.5, converted_stat)))))</f>
        <v/>
      </c>
      <c r="J203" s="30" t="str">
        <f t="array" ref="J203">IF($A203="", "", LET(bbgm_stat, INDEX(Players!$A202:$P202, MATCH(J$2, Players!$A$1:$P$1, 0)), perc_75, VLOOKUP(J$2, Percentiles!$A$45:$I$59, 6, FALSE), perc_90, VLOOKUP(J$2, Percentiles!$A$45:$I$59, 7, FALSE), perc_95, VLOOKUP(J$2, Percentiles!$A$45:$I$59, 8, FALSE), perc_85, perc_75 + (perc_90 - perc_75) * (2/3), converted_stat, '2K_Ratings'!J203, IF(bbgm_stat &gt;= perc_95, converted_stat * 3, IF(bbgm_stat &gt;= perc_90, converted_stat * 2, IF(bbgm_stat &gt;= perc_85, converted_stat * 1.5, converted_stat)))))</f>
        <v/>
      </c>
      <c r="K203" s="30" t="str">
        <f t="array" ref="K203">IF($A203="", "", LET(bbgm_stat, INDEX(Players!$A202:$P202, MATCH(K$2, Players!$A$1:$P$1, 0)), perc_75, VLOOKUP(K$2, Percentiles!$A$45:$I$59, 6, FALSE), perc_90, VLOOKUP(K$2, Percentiles!$A$45:$I$59, 7, FALSE), perc_95, VLOOKUP(K$2, Percentiles!$A$45:$I$59, 8, FALSE), perc_85, perc_75 + (perc_90 - perc_75) * (2/3), converted_stat, '2K_Ratings'!K203, IF(bbgm_stat &gt;= perc_95, converted_stat * 3, IF(bbgm_stat &gt;= perc_90, converted_stat * 2, IF(bbgm_stat &gt;= perc_85, converted_stat * 1.5, converted_stat)))))</f>
        <v/>
      </c>
      <c r="L203" s="30" t="str">
        <f t="array" ref="L203">IF($A203="", "", LET(bbgm_stat, INDEX(Players!$A202:$P202, MATCH(L$2, Players!$A$1:$P$1, 0)), perc_75, VLOOKUP(L$2, Percentiles!$A$45:$I$59, 6, FALSE), perc_90, VLOOKUP(L$2, Percentiles!$A$45:$I$59, 7, FALSE), perc_95, VLOOKUP(L$2, Percentiles!$A$45:$I$59, 8, FALSE), perc_85, perc_75 + (perc_90 - perc_75) * (2/3), converted_stat, '2K_Ratings'!L203, IF(bbgm_stat &gt;= perc_95, converted_stat * 3, IF(bbgm_stat &gt;= perc_90, converted_stat * 2, IF(bbgm_stat &gt;= perc_85, converted_stat * 1.5, converted_stat)))))</f>
        <v/>
      </c>
      <c r="M203" s="30" t="str">
        <f t="array" ref="M203">IF($A203="", "", LET(bbgm_stat, INDEX(Players!$A202:$P202, MATCH(M$2, Players!$A$1:$P$1, 0)), perc_75, VLOOKUP(M$2, Percentiles!$A$45:$I$59, 6, FALSE), perc_90, VLOOKUP(M$2, Percentiles!$A$45:$I$59, 7, FALSE), perc_95, VLOOKUP(M$2, Percentiles!$A$45:$I$59, 8, FALSE), perc_85, perc_75 + (perc_90 - perc_75) * (2/3), converted_stat, '2K_Ratings'!M203, IF(bbgm_stat &gt;= perc_95, converted_stat * 3, IF(bbgm_stat &gt;= perc_90, converted_stat * 2, IF(bbgm_stat &gt;= perc_85, converted_stat * 1.5, converted_stat)))))</f>
        <v/>
      </c>
      <c r="N203" s="30" t="str">
        <f t="array" ref="N203">IF($A203="", "", LET(bbgm_stat, INDEX(Players!$A202:$P202, MATCH(N$2, Players!$A$1:$P$1, 0)), perc_75, VLOOKUP(N$2, Percentiles!$A$45:$I$59, 6, FALSE), perc_90, VLOOKUP(N$2, Percentiles!$A$45:$I$59, 7, FALSE), perc_95, VLOOKUP(N$2, Percentiles!$A$45:$I$59, 8, FALSE), perc_85, perc_75 + (perc_90 - perc_75) * (2/3), converted_stat, '2K_Ratings'!N203, IF(bbgm_stat &gt;= perc_95, converted_stat * 3, IF(bbgm_stat &gt;= perc_90, converted_stat * 2, IF(bbgm_stat &gt;= perc_85, converted_stat * 1.5, converted_stat)))))</f>
        <v/>
      </c>
      <c r="O203" s="30" t="str">
        <f t="array" ref="O203">IF($A203="", "", LET(bbgm_stat, INDEX(Players!$A202:$P202, MATCH(O$2, Players!$A$1:$P$1, 0)), perc_75, VLOOKUP(O$2, Percentiles!$A$45:$I$59, 6, FALSE), perc_90, VLOOKUP(O$2, Percentiles!$A$45:$I$59, 7, FALSE), perc_95, VLOOKUP(O$2, Percentiles!$A$45:$I$59, 8, FALSE), perc_85, perc_75 + (perc_90 - perc_75) * (2/3), converted_stat, '2K_Ratings'!O203, IF(bbgm_stat &gt;= perc_95, converted_stat * 3, IF(bbgm_stat &gt;= perc_90, converted_stat * 2, IF(bbgm_stat &gt;= perc_85, converted_stat * 1.5, converted_stat)))))</f>
        <v/>
      </c>
      <c r="P203" s="30" t="str">
        <f t="array" ref="P203">IF($A203="", "", LET(bbgm_stat, INDEX(Players!$A202:$P202, MATCH(P$2, Players!$A$1:$P$1, 0)), perc_75, VLOOKUP(P$2, Percentiles!$A$45:$I$59, 6, FALSE), perc_90, VLOOKUP(P$2, Percentiles!$A$45:$I$59, 7, FALSE), perc_95, VLOOKUP(P$2, Percentiles!$A$45:$I$59, 8, FALSE), perc_85, perc_75 + (perc_90 - perc_75) * (2/3), converted_stat, '2K_Ratings'!P203, IF(bbgm_stat &gt;= perc_95, converted_stat * 3, IF(bbgm_stat &gt;= perc_90, converted_stat * 2, IF(bbgm_stat &gt;= perc_85, converted_stat * 1.5, converted_stat)))))</f>
        <v/>
      </c>
      <c r="Q203" s="30" t="str">
        <f t="array" ref="Q203">IF($A203="", "", LET(bbgm_stat, INDEX(Players!$A202:$P202, MATCH(Q$2, Players!$A$1:$P$1, 0)), perc_75, VLOOKUP(Q$2, Percentiles!$A$45:$I$59, 6, FALSE), perc_90, VLOOKUP(Q$2, Percentiles!$A$45:$I$59, 7, FALSE), perc_95, VLOOKUP(Q$2, Percentiles!$A$45:$I$59, 8, FALSE), perc_85, perc_75 + (perc_90 - perc_75) * (2/3), converted_stat, '2K_Ratings'!Q203, IF(bbgm_stat &gt;= perc_95, converted_stat * 3, IF(bbgm_stat &gt;= perc_90, converted_stat * 2, IF(bbgm_stat &gt;= perc_85, converted_stat * 1.5, converted_stat)))))</f>
        <v/>
      </c>
      <c r="R203" s="30" t="str">
        <f t="array" ref="R203">IF($A203="", "", LET(bbgm_stat, INDEX(Players!$A202:$P202, MATCH(R$2, Players!$A$1:$P$1, 0)), perc_75, VLOOKUP(R$2, Percentiles!$A$45:$I$59, 6, FALSE), perc_90, VLOOKUP(R$2, Percentiles!$A$45:$I$59, 7, FALSE), perc_95, VLOOKUP(R$2, Percentiles!$A$45:$I$59, 8, FALSE), perc_85, perc_75 + (perc_90 - perc_75) * (2/3), converted_stat, '2K_Ratings'!R203, IF(bbgm_stat &gt;= perc_95, converted_stat * 3, IF(bbgm_stat &gt;= perc_90, converted_stat * 2, IF(bbgm_stat &gt;= perc_85, converted_stat * 1.5, converted_stat)))))</f>
        <v/>
      </c>
      <c r="S203" s="30" t="str">
        <f t="array" ref="S203">IF($A203="", "", LET(bbgm_stat, INDEX(Players!$A202:$P202, MATCH(S$2, Players!$A$1:$P$1, 0)), perc_75, VLOOKUP(S$2, Percentiles!$A$45:$I$59, 6, FALSE), perc_90, VLOOKUP(S$2, Percentiles!$A$45:$I$59, 7, FALSE), perc_95, VLOOKUP(S$2, Percentiles!$A$45:$I$59, 8, FALSE), perc_85, perc_75 + (perc_90 - perc_75) * (2/3), converted_stat, '2K_Ratings'!S203, IF(bbgm_stat &gt;= perc_95, converted_stat * 3, IF(bbgm_stat &gt;= perc_90, converted_stat * 2, IF(bbgm_stat &gt;= perc_85, converted_stat * 1.5, converted_stat)))))</f>
        <v/>
      </c>
      <c r="T203" s="30" t="str">
        <f t="array" ref="T203">IF($A203="", "", LET(bbgm_stat, INDEX(Players!$A202:$P202, MATCH(T$2, Players!$A$1:$P$1, 0)), perc_75, VLOOKUP(T$2, Percentiles!$A$45:$I$59, 6, FALSE), perc_90, VLOOKUP(T$2, Percentiles!$A$45:$I$59, 7, FALSE), perc_95, VLOOKUP(T$2, Percentiles!$A$45:$I$59, 8, FALSE), perc_85, perc_75 + (perc_90 - perc_75) * (2/3), converted_stat, '2K_Ratings'!T203, IF(bbgm_stat &gt;= perc_95, converted_stat * 3, IF(bbgm_stat &gt;= perc_90, converted_stat * 2, IF(bbgm_stat &gt;= perc_85, converted_stat * 1.5, converted_stat)))))</f>
        <v/>
      </c>
      <c r="U203" s="30" t="str">
        <f t="array" ref="U203">IF($A203="", "", LET(bbgm_stat, INDEX(Players!$A202:$P202, MATCH(U$2, Players!$A$1:$P$1, 0)), perc_75, VLOOKUP(U$2, Percentiles!$A$45:$I$59, 6, FALSE), perc_90, VLOOKUP(U$2, Percentiles!$A$45:$I$59, 7, FALSE), perc_95, VLOOKUP(U$2, Percentiles!$A$45:$I$59, 8, FALSE), perc_85, perc_75 + (perc_90 - perc_75) * (2/3), converted_stat, '2K_Ratings'!U203, IF(bbgm_stat &gt;= perc_95, converted_stat * 3, IF(bbgm_stat &gt;= perc_90, converted_stat * 2, IF(bbgm_stat &gt;= perc_85, converted_stat * 1.5, converted_stat)))))</f>
        <v/>
      </c>
      <c r="V203" s="30" t="str">
        <f t="array" ref="V203">IF($A203="", "", LET(bbgm_stat, INDEX(Players!$A202:$P202, MATCH(V$2, Players!$A$1:$P$1, 0)), perc_75, VLOOKUP(V$2, Percentiles!$A$45:$I$59, 6, FALSE), perc_90, VLOOKUP(V$2, Percentiles!$A$45:$I$59, 7, FALSE), perc_95, VLOOKUP(V$2, Percentiles!$A$45:$I$59, 8, FALSE), perc_85, perc_75 + (perc_90 - perc_75) * (2/3), converted_stat, '2K_Ratings'!V203, IF(bbgm_stat &gt;= perc_95, converted_stat * 3, IF(bbgm_stat &gt;= perc_90, converted_stat * 2, IF(bbgm_stat &gt;= perc_85, converted_stat * 1.5, converted_stat)))))</f>
        <v/>
      </c>
      <c r="W203" s="30" t="str">
        <f t="array" ref="W203">IF($A203="", "", LET(bbgm_stat, INDEX(Players!$A202:$P202, MATCH(W$2, Players!$A$1:$P$1, 0)), perc_75, VLOOKUP(W$2, Percentiles!$A$45:$I$59, 6, FALSE), perc_90, VLOOKUP(W$2, Percentiles!$A$45:$I$59, 7, FALSE), perc_95, VLOOKUP(W$2, Percentiles!$A$45:$I$59, 8, FALSE), perc_85, perc_75 + (perc_90 - perc_75) * (2/3), converted_stat, '2K_Ratings'!W203, IF(bbgm_stat &gt;= perc_95, converted_stat * 3, IF(bbgm_stat &gt;= perc_90, converted_stat * 2, IF(bbgm_stat &gt;= perc_85, converted_stat * 1.5, converted_stat)))))</f>
        <v/>
      </c>
    </row>
    <row r="204">
      <c r="A204" s="30"/>
      <c r="B204" s="30" t="str">
        <f t="array" ref="B204">IF($A204="", "", LET(bbgm_stat, INDEX(Players!$A203:$P203, MATCH(B$2, Players!$A$1:$P$1, 0)), perc_75, VLOOKUP(B$2, Percentiles!$A$45:$I$59, 6, FALSE), perc_90, VLOOKUP(B$2, Percentiles!$A$45:$I$59, 7, FALSE), perc_95, VLOOKUP(B$2, Percentiles!$A$45:$I$59, 8, FALSE), perc_85, perc_75 + (perc_90 - perc_75) * (2/3), converted_stat, '2K_Ratings'!B204, IF(bbgm_stat &gt;= perc_95, converted_stat * 3, IF(bbgm_stat &gt;= perc_90, converted_stat * 2, IF(bbgm_stat &gt;= perc_85, converted_stat * 1.5, converted_stat)))))</f>
        <v/>
      </c>
      <c r="C204" s="30" t="str">
        <f t="array" ref="C204">IF($A204="", "", LET(bbgm_stat, INDEX(Players!$A203:$P203, MATCH(C$2, Players!$A$1:$P$1, 0)), perc_75, VLOOKUP(C$2, Percentiles!$A$45:$I$59, 6, FALSE), perc_90, VLOOKUP(C$2, Percentiles!$A$45:$I$59, 7, FALSE), perc_95, VLOOKUP(C$2, Percentiles!$A$45:$I$59, 8, FALSE), perc_85, perc_75 + (perc_90 - perc_75) * (2/3), converted_stat, '2K_Ratings'!C204, IF(bbgm_stat &gt;= perc_95, converted_stat * 3, IF(bbgm_stat &gt;= perc_90, converted_stat * 2, IF(bbgm_stat &gt;= perc_85, converted_stat * 1.5, converted_stat)))))</f>
        <v/>
      </c>
      <c r="D204" s="30" t="str">
        <f t="array" ref="D204">IF($A204="", "", LET(bbgm_stat, INDEX(Players!$A203:$P203, MATCH(D$2, Players!$A$1:$P$1, 0)), perc_75, VLOOKUP(D$2, Percentiles!$A$45:$I$59, 6, FALSE), perc_90, VLOOKUP(D$2, Percentiles!$A$45:$I$59, 7, FALSE), perc_95, VLOOKUP(D$2, Percentiles!$A$45:$I$59, 8, FALSE), perc_85, perc_75 + (perc_90 - perc_75) * (2/3), converted_stat, '2K_Ratings'!D204, IF(bbgm_stat &gt;= perc_95, converted_stat * 3, IF(bbgm_stat &gt;= perc_90, converted_stat * 2, IF(bbgm_stat &gt;= perc_85, converted_stat * 1.5, converted_stat)))))</f>
        <v/>
      </c>
      <c r="E204" s="30" t="str">
        <f t="array" ref="E204">IF($A204="", "", LET(bbgm_stat, INDEX(Players!$A203:$P203, MATCH(E$2, Players!$A$1:$P$1, 0)), perc_75, VLOOKUP(E$2, Percentiles!$A$45:$I$59, 6, FALSE), perc_90, VLOOKUP(E$2, Percentiles!$A$45:$I$59, 7, FALSE), perc_95, VLOOKUP(E$2, Percentiles!$A$45:$I$59, 8, FALSE), perc_85, perc_75 + (perc_90 - perc_75) * (2/3), converted_stat, '2K_Ratings'!E204, IF(bbgm_stat &gt;= perc_95, converted_stat * 3, IF(bbgm_stat &gt;= perc_90, converted_stat * 2, IF(bbgm_stat &gt;= perc_85, converted_stat * 1.5, converted_stat)))))</f>
        <v/>
      </c>
      <c r="F204" s="30" t="str">
        <f t="array" ref="F204">IF($A204="", "", LET(bbgm_stat, INDEX(Players!$A203:$P203, MATCH(F$2, Players!$A$1:$P$1, 0)), perc_75, VLOOKUP(F$2, Percentiles!$A$45:$I$59, 6, FALSE), perc_90, VLOOKUP(F$2, Percentiles!$A$45:$I$59, 7, FALSE), perc_95, VLOOKUP(F$2, Percentiles!$A$45:$I$59, 8, FALSE), perc_85, perc_75 + (perc_90 - perc_75) * (2/3), converted_stat, '2K_Ratings'!F204, IF(bbgm_stat &gt;= perc_95, converted_stat * 3, IF(bbgm_stat &gt;= perc_90, converted_stat * 2, IF(bbgm_stat &gt;= perc_85, converted_stat * 1.5, converted_stat)))))</f>
        <v/>
      </c>
      <c r="G204" s="30" t="str">
        <f t="array" ref="G204">IF($A204="", "", LET(bbgm_stat, INDEX(Players!$A203:$P203, MATCH(G$2, Players!$A$1:$P$1, 0)), perc_75, VLOOKUP(G$2, Percentiles!$A$45:$I$59, 6, FALSE), perc_90, VLOOKUP(G$2, Percentiles!$A$45:$I$59, 7, FALSE), perc_95, VLOOKUP(G$2, Percentiles!$A$45:$I$59, 8, FALSE), perc_85, perc_75 + (perc_90 - perc_75) * (2/3), converted_stat, '2K_Ratings'!G204, IF(bbgm_stat &gt;= perc_95, converted_stat * 3, IF(bbgm_stat &gt;= perc_90, converted_stat * 2, IF(bbgm_stat &gt;= perc_85, converted_stat * 1.5, converted_stat)))))</f>
        <v/>
      </c>
      <c r="H204" s="30" t="str">
        <f t="array" ref="H204">IF($A204="", "", LET(bbgm_stat, INDEX(Players!$A203:$P203, MATCH(H$2, Players!$A$1:$P$1, 0)), perc_75, VLOOKUP(H$2, Percentiles!$A$45:$I$59, 6, FALSE), perc_90, VLOOKUP(H$2, Percentiles!$A$45:$I$59, 7, FALSE), perc_95, VLOOKUP(H$2, Percentiles!$A$45:$I$59, 8, FALSE), perc_85, perc_75 + (perc_90 - perc_75) * (2/3), converted_stat, '2K_Ratings'!H204, IF(bbgm_stat &gt;= perc_95, converted_stat * 3, IF(bbgm_stat &gt;= perc_90, converted_stat * 2, IF(bbgm_stat &gt;= perc_85, converted_stat * 1.5, converted_stat)))))</f>
        <v/>
      </c>
      <c r="I204" s="30" t="str">
        <f t="array" ref="I204">IF($A204="", "", LET(bbgm_stat, INDEX(Players!$A203:$P203, MATCH(I$2, Players!$A$1:$P$1, 0)), perc_75, VLOOKUP(I$2, Percentiles!$A$45:$I$59, 6, FALSE), perc_90, VLOOKUP(I$2, Percentiles!$A$45:$I$59, 7, FALSE), perc_95, VLOOKUP(I$2, Percentiles!$A$45:$I$59, 8, FALSE), perc_85, perc_75 + (perc_90 - perc_75) * (2/3), converted_stat, '2K_Ratings'!I204, IF(bbgm_stat &gt;= perc_95, converted_stat * 3, IF(bbgm_stat &gt;= perc_90, converted_stat * 2, IF(bbgm_stat &gt;= perc_85, converted_stat * 1.5, converted_stat)))))</f>
        <v/>
      </c>
      <c r="J204" s="30" t="str">
        <f t="array" ref="J204">IF($A204="", "", LET(bbgm_stat, INDEX(Players!$A203:$P203, MATCH(J$2, Players!$A$1:$P$1, 0)), perc_75, VLOOKUP(J$2, Percentiles!$A$45:$I$59, 6, FALSE), perc_90, VLOOKUP(J$2, Percentiles!$A$45:$I$59, 7, FALSE), perc_95, VLOOKUP(J$2, Percentiles!$A$45:$I$59, 8, FALSE), perc_85, perc_75 + (perc_90 - perc_75) * (2/3), converted_stat, '2K_Ratings'!J204, IF(bbgm_stat &gt;= perc_95, converted_stat * 3, IF(bbgm_stat &gt;= perc_90, converted_stat * 2, IF(bbgm_stat &gt;= perc_85, converted_stat * 1.5, converted_stat)))))</f>
        <v/>
      </c>
      <c r="K204" s="30" t="str">
        <f t="array" ref="K204">IF($A204="", "", LET(bbgm_stat, INDEX(Players!$A203:$P203, MATCH(K$2, Players!$A$1:$P$1, 0)), perc_75, VLOOKUP(K$2, Percentiles!$A$45:$I$59, 6, FALSE), perc_90, VLOOKUP(K$2, Percentiles!$A$45:$I$59, 7, FALSE), perc_95, VLOOKUP(K$2, Percentiles!$A$45:$I$59, 8, FALSE), perc_85, perc_75 + (perc_90 - perc_75) * (2/3), converted_stat, '2K_Ratings'!K204, IF(bbgm_stat &gt;= perc_95, converted_stat * 3, IF(bbgm_stat &gt;= perc_90, converted_stat * 2, IF(bbgm_stat &gt;= perc_85, converted_stat * 1.5, converted_stat)))))</f>
        <v/>
      </c>
      <c r="L204" s="30" t="str">
        <f t="array" ref="L204">IF($A204="", "", LET(bbgm_stat, INDEX(Players!$A203:$P203, MATCH(L$2, Players!$A$1:$P$1, 0)), perc_75, VLOOKUP(L$2, Percentiles!$A$45:$I$59, 6, FALSE), perc_90, VLOOKUP(L$2, Percentiles!$A$45:$I$59, 7, FALSE), perc_95, VLOOKUP(L$2, Percentiles!$A$45:$I$59, 8, FALSE), perc_85, perc_75 + (perc_90 - perc_75) * (2/3), converted_stat, '2K_Ratings'!L204, IF(bbgm_stat &gt;= perc_95, converted_stat * 3, IF(bbgm_stat &gt;= perc_90, converted_stat * 2, IF(bbgm_stat &gt;= perc_85, converted_stat * 1.5, converted_stat)))))</f>
        <v/>
      </c>
      <c r="M204" s="30" t="str">
        <f t="array" ref="M204">IF($A204="", "", LET(bbgm_stat, INDEX(Players!$A203:$P203, MATCH(M$2, Players!$A$1:$P$1, 0)), perc_75, VLOOKUP(M$2, Percentiles!$A$45:$I$59, 6, FALSE), perc_90, VLOOKUP(M$2, Percentiles!$A$45:$I$59, 7, FALSE), perc_95, VLOOKUP(M$2, Percentiles!$A$45:$I$59, 8, FALSE), perc_85, perc_75 + (perc_90 - perc_75) * (2/3), converted_stat, '2K_Ratings'!M204, IF(bbgm_stat &gt;= perc_95, converted_stat * 3, IF(bbgm_stat &gt;= perc_90, converted_stat * 2, IF(bbgm_stat &gt;= perc_85, converted_stat * 1.5, converted_stat)))))</f>
        <v/>
      </c>
      <c r="N204" s="30" t="str">
        <f t="array" ref="N204">IF($A204="", "", LET(bbgm_stat, INDEX(Players!$A203:$P203, MATCH(N$2, Players!$A$1:$P$1, 0)), perc_75, VLOOKUP(N$2, Percentiles!$A$45:$I$59, 6, FALSE), perc_90, VLOOKUP(N$2, Percentiles!$A$45:$I$59, 7, FALSE), perc_95, VLOOKUP(N$2, Percentiles!$A$45:$I$59, 8, FALSE), perc_85, perc_75 + (perc_90 - perc_75) * (2/3), converted_stat, '2K_Ratings'!N204, IF(bbgm_stat &gt;= perc_95, converted_stat * 3, IF(bbgm_stat &gt;= perc_90, converted_stat * 2, IF(bbgm_stat &gt;= perc_85, converted_stat * 1.5, converted_stat)))))</f>
        <v/>
      </c>
      <c r="O204" s="30" t="str">
        <f t="array" ref="O204">IF($A204="", "", LET(bbgm_stat, INDEX(Players!$A203:$P203, MATCH(O$2, Players!$A$1:$P$1, 0)), perc_75, VLOOKUP(O$2, Percentiles!$A$45:$I$59, 6, FALSE), perc_90, VLOOKUP(O$2, Percentiles!$A$45:$I$59, 7, FALSE), perc_95, VLOOKUP(O$2, Percentiles!$A$45:$I$59, 8, FALSE), perc_85, perc_75 + (perc_90 - perc_75) * (2/3), converted_stat, '2K_Ratings'!O204, IF(bbgm_stat &gt;= perc_95, converted_stat * 3, IF(bbgm_stat &gt;= perc_90, converted_stat * 2, IF(bbgm_stat &gt;= perc_85, converted_stat * 1.5, converted_stat)))))</f>
        <v/>
      </c>
      <c r="P204" s="30" t="str">
        <f t="array" ref="P204">IF($A204="", "", LET(bbgm_stat, INDEX(Players!$A203:$P203, MATCH(P$2, Players!$A$1:$P$1, 0)), perc_75, VLOOKUP(P$2, Percentiles!$A$45:$I$59, 6, FALSE), perc_90, VLOOKUP(P$2, Percentiles!$A$45:$I$59, 7, FALSE), perc_95, VLOOKUP(P$2, Percentiles!$A$45:$I$59, 8, FALSE), perc_85, perc_75 + (perc_90 - perc_75) * (2/3), converted_stat, '2K_Ratings'!P204, IF(bbgm_stat &gt;= perc_95, converted_stat * 3, IF(bbgm_stat &gt;= perc_90, converted_stat * 2, IF(bbgm_stat &gt;= perc_85, converted_stat * 1.5, converted_stat)))))</f>
        <v/>
      </c>
      <c r="Q204" s="30" t="str">
        <f t="array" ref="Q204">IF($A204="", "", LET(bbgm_stat, INDEX(Players!$A203:$P203, MATCH(Q$2, Players!$A$1:$P$1, 0)), perc_75, VLOOKUP(Q$2, Percentiles!$A$45:$I$59, 6, FALSE), perc_90, VLOOKUP(Q$2, Percentiles!$A$45:$I$59, 7, FALSE), perc_95, VLOOKUP(Q$2, Percentiles!$A$45:$I$59, 8, FALSE), perc_85, perc_75 + (perc_90 - perc_75) * (2/3), converted_stat, '2K_Ratings'!Q204, IF(bbgm_stat &gt;= perc_95, converted_stat * 3, IF(bbgm_stat &gt;= perc_90, converted_stat * 2, IF(bbgm_stat &gt;= perc_85, converted_stat * 1.5, converted_stat)))))</f>
        <v/>
      </c>
      <c r="R204" s="30" t="str">
        <f t="array" ref="R204">IF($A204="", "", LET(bbgm_stat, INDEX(Players!$A203:$P203, MATCH(R$2, Players!$A$1:$P$1, 0)), perc_75, VLOOKUP(R$2, Percentiles!$A$45:$I$59, 6, FALSE), perc_90, VLOOKUP(R$2, Percentiles!$A$45:$I$59, 7, FALSE), perc_95, VLOOKUP(R$2, Percentiles!$A$45:$I$59, 8, FALSE), perc_85, perc_75 + (perc_90 - perc_75) * (2/3), converted_stat, '2K_Ratings'!R204, IF(bbgm_stat &gt;= perc_95, converted_stat * 3, IF(bbgm_stat &gt;= perc_90, converted_stat * 2, IF(bbgm_stat &gt;= perc_85, converted_stat * 1.5, converted_stat)))))</f>
        <v/>
      </c>
      <c r="S204" s="30" t="str">
        <f t="array" ref="S204">IF($A204="", "", LET(bbgm_stat, INDEX(Players!$A203:$P203, MATCH(S$2, Players!$A$1:$P$1, 0)), perc_75, VLOOKUP(S$2, Percentiles!$A$45:$I$59, 6, FALSE), perc_90, VLOOKUP(S$2, Percentiles!$A$45:$I$59, 7, FALSE), perc_95, VLOOKUP(S$2, Percentiles!$A$45:$I$59, 8, FALSE), perc_85, perc_75 + (perc_90 - perc_75) * (2/3), converted_stat, '2K_Ratings'!S204, IF(bbgm_stat &gt;= perc_95, converted_stat * 3, IF(bbgm_stat &gt;= perc_90, converted_stat * 2, IF(bbgm_stat &gt;= perc_85, converted_stat * 1.5, converted_stat)))))</f>
        <v/>
      </c>
      <c r="T204" s="30" t="str">
        <f t="array" ref="T204">IF($A204="", "", LET(bbgm_stat, INDEX(Players!$A203:$P203, MATCH(T$2, Players!$A$1:$P$1, 0)), perc_75, VLOOKUP(T$2, Percentiles!$A$45:$I$59, 6, FALSE), perc_90, VLOOKUP(T$2, Percentiles!$A$45:$I$59, 7, FALSE), perc_95, VLOOKUP(T$2, Percentiles!$A$45:$I$59, 8, FALSE), perc_85, perc_75 + (perc_90 - perc_75) * (2/3), converted_stat, '2K_Ratings'!T204, IF(bbgm_stat &gt;= perc_95, converted_stat * 3, IF(bbgm_stat &gt;= perc_90, converted_stat * 2, IF(bbgm_stat &gt;= perc_85, converted_stat * 1.5, converted_stat)))))</f>
        <v/>
      </c>
      <c r="U204" s="30" t="str">
        <f t="array" ref="U204">IF($A204="", "", LET(bbgm_stat, INDEX(Players!$A203:$P203, MATCH(U$2, Players!$A$1:$P$1, 0)), perc_75, VLOOKUP(U$2, Percentiles!$A$45:$I$59, 6, FALSE), perc_90, VLOOKUP(U$2, Percentiles!$A$45:$I$59, 7, FALSE), perc_95, VLOOKUP(U$2, Percentiles!$A$45:$I$59, 8, FALSE), perc_85, perc_75 + (perc_90 - perc_75) * (2/3), converted_stat, '2K_Ratings'!U204, IF(bbgm_stat &gt;= perc_95, converted_stat * 3, IF(bbgm_stat &gt;= perc_90, converted_stat * 2, IF(bbgm_stat &gt;= perc_85, converted_stat * 1.5, converted_stat)))))</f>
        <v/>
      </c>
      <c r="V204" s="30" t="str">
        <f t="array" ref="V204">IF($A204="", "", LET(bbgm_stat, INDEX(Players!$A203:$P203, MATCH(V$2, Players!$A$1:$P$1, 0)), perc_75, VLOOKUP(V$2, Percentiles!$A$45:$I$59, 6, FALSE), perc_90, VLOOKUP(V$2, Percentiles!$A$45:$I$59, 7, FALSE), perc_95, VLOOKUP(V$2, Percentiles!$A$45:$I$59, 8, FALSE), perc_85, perc_75 + (perc_90 - perc_75) * (2/3), converted_stat, '2K_Ratings'!V204, IF(bbgm_stat &gt;= perc_95, converted_stat * 3, IF(bbgm_stat &gt;= perc_90, converted_stat * 2, IF(bbgm_stat &gt;= perc_85, converted_stat * 1.5, converted_stat)))))</f>
        <v/>
      </c>
      <c r="W204" s="30" t="str">
        <f t="array" ref="W204">IF($A204="", "", LET(bbgm_stat, INDEX(Players!$A203:$P203, MATCH(W$2, Players!$A$1:$P$1, 0)), perc_75, VLOOKUP(W$2, Percentiles!$A$45:$I$59, 6, FALSE), perc_90, VLOOKUP(W$2, Percentiles!$A$45:$I$59, 7, FALSE), perc_95, VLOOKUP(W$2, Percentiles!$A$45:$I$59, 8, FALSE), perc_85, perc_75 + (perc_90 - perc_75) * (2/3), converted_stat, '2K_Ratings'!W204, IF(bbgm_stat &gt;= perc_95, converted_stat * 3, IF(bbgm_stat &gt;= perc_90, converted_stat * 2, IF(bbgm_stat &gt;= perc_85, converted_stat * 1.5, converted_stat)))))</f>
        <v/>
      </c>
    </row>
    <row r="205">
      <c r="A205" s="30"/>
      <c r="B205" s="30" t="str">
        <f t="array" ref="B205">IF($A205="", "", LET(bbgm_stat, INDEX(Players!$A204:$P204, MATCH(B$2, Players!$A$1:$P$1, 0)), perc_75, VLOOKUP(B$2, Percentiles!$A$45:$I$59, 6, FALSE), perc_90, VLOOKUP(B$2, Percentiles!$A$45:$I$59, 7, FALSE), perc_95, VLOOKUP(B$2, Percentiles!$A$45:$I$59, 8, FALSE), perc_85, perc_75 + (perc_90 - perc_75) * (2/3), converted_stat, '2K_Ratings'!B205, IF(bbgm_stat &gt;= perc_95, converted_stat * 3, IF(bbgm_stat &gt;= perc_90, converted_stat * 2, IF(bbgm_stat &gt;= perc_85, converted_stat * 1.5, converted_stat)))))</f>
        <v/>
      </c>
      <c r="C205" s="30" t="str">
        <f t="array" ref="C205">IF($A205="", "", LET(bbgm_stat, INDEX(Players!$A204:$P204, MATCH(C$2, Players!$A$1:$P$1, 0)), perc_75, VLOOKUP(C$2, Percentiles!$A$45:$I$59, 6, FALSE), perc_90, VLOOKUP(C$2, Percentiles!$A$45:$I$59, 7, FALSE), perc_95, VLOOKUP(C$2, Percentiles!$A$45:$I$59, 8, FALSE), perc_85, perc_75 + (perc_90 - perc_75) * (2/3), converted_stat, '2K_Ratings'!C205, IF(bbgm_stat &gt;= perc_95, converted_stat * 3, IF(bbgm_stat &gt;= perc_90, converted_stat * 2, IF(bbgm_stat &gt;= perc_85, converted_stat * 1.5, converted_stat)))))</f>
        <v/>
      </c>
      <c r="D205" s="30" t="str">
        <f t="array" ref="D205">IF($A205="", "", LET(bbgm_stat, INDEX(Players!$A204:$P204, MATCH(D$2, Players!$A$1:$P$1, 0)), perc_75, VLOOKUP(D$2, Percentiles!$A$45:$I$59, 6, FALSE), perc_90, VLOOKUP(D$2, Percentiles!$A$45:$I$59, 7, FALSE), perc_95, VLOOKUP(D$2, Percentiles!$A$45:$I$59, 8, FALSE), perc_85, perc_75 + (perc_90 - perc_75) * (2/3), converted_stat, '2K_Ratings'!D205, IF(bbgm_stat &gt;= perc_95, converted_stat * 3, IF(bbgm_stat &gt;= perc_90, converted_stat * 2, IF(bbgm_stat &gt;= perc_85, converted_stat * 1.5, converted_stat)))))</f>
        <v/>
      </c>
      <c r="E205" s="30" t="str">
        <f t="array" ref="E205">IF($A205="", "", LET(bbgm_stat, INDEX(Players!$A204:$P204, MATCH(E$2, Players!$A$1:$P$1, 0)), perc_75, VLOOKUP(E$2, Percentiles!$A$45:$I$59, 6, FALSE), perc_90, VLOOKUP(E$2, Percentiles!$A$45:$I$59, 7, FALSE), perc_95, VLOOKUP(E$2, Percentiles!$A$45:$I$59, 8, FALSE), perc_85, perc_75 + (perc_90 - perc_75) * (2/3), converted_stat, '2K_Ratings'!E205, IF(bbgm_stat &gt;= perc_95, converted_stat * 3, IF(bbgm_stat &gt;= perc_90, converted_stat * 2, IF(bbgm_stat &gt;= perc_85, converted_stat * 1.5, converted_stat)))))</f>
        <v/>
      </c>
      <c r="F205" s="30" t="str">
        <f t="array" ref="F205">IF($A205="", "", LET(bbgm_stat, INDEX(Players!$A204:$P204, MATCH(F$2, Players!$A$1:$P$1, 0)), perc_75, VLOOKUP(F$2, Percentiles!$A$45:$I$59, 6, FALSE), perc_90, VLOOKUP(F$2, Percentiles!$A$45:$I$59, 7, FALSE), perc_95, VLOOKUP(F$2, Percentiles!$A$45:$I$59, 8, FALSE), perc_85, perc_75 + (perc_90 - perc_75) * (2/3), converted_stat, '2K_Ratings'!F205, IF(bbgm_stat &gt;= perc_95, converted_stat * 3, IF(bbgm_stat &gt;= perc_90, converted_stat * 2, IF(bbgm_stat &gt;= perc_85, converted_stat * 1.5, converted_stat)))))</f>
        <v/>
      </c>
      <c r="G205" s="30" t="str">
        <f t="array" ref="G205">IF($A205="", "", LET(bbgm_stat, INDEX(Players!$A204:$P204, MATCH(G$2, Players!$A$1:$P$1, 0)), perc_75, VLOOKUP(G$2, Percentiles!$A$45:$I$59, 6, FALSE), perc_90, VLOOKUP(G$2, Percentiles!$A$45:$I$59, 7, FALSE), perc_95, VLOOKUP(G$2, Percentiles!$A$45:$I$59, 8, FALSE), perc_85, perc_75 + (perc_90 - perc_75) * (2/3), converted_stat, '2K_Ratings'!G205, IF(bbgm_stat &gt;= perc_95, converted_stat * 3, IF(bbgm_stat &gt;= perc_90, converted_stat * 2, IF(bbgm_stat &gt;= perc_85, converted_stat * 1.5, converted_stat)))))</f>
        <v/>
      </c>
      <c r="H205" s="30" t="str">
        <f t="array" ref="H205">IF($A205="", "", LET(bbgm_stat, INDEX(Players!$A204:$P204, MATCH(H$2, Players!$A$1:$P$1, 0)), perc_75, VLOOKUP(H$2, Percentiles!$A$45:$I$59, 6, FALSE), perc_90, VLOOKUP(H$2, Percentiles!$A$45:$I$59, 7, FALSE), perc_95, VLOOKUP(H$2, Percentiles!$A$45:$I$59, 8, FALSE), perc_85, perc_75 + (perc_90 - perc_75) * (2/3), converted_stat, '2K_Ratings'!H205, IF(bbgm_stat &gt;= perc_95, converted_stat * 3, IF(bbgm_stat &gt;= perc_90, converted_stat * 2, IF(bbgm_stat &gt;= perc_85, converted_stat * 1.5, converted_stat)))))</f>
        <v/>
      </c>
      <c r="I205" s="30" t="str">
        <f t="array" ref="I205">IF($A205="", "", LET(bbgm_stat, INDEX(Players!$A204:$P204, MATCH(I$2, Players!$A$1:$P$1, 0)), perc_75, VLOOKUP(I$2, Percentiles!$A$45:$I$59, 6, FALSE), perc_90, VLOOKUP(I$2, Percentiles!$A$45:$I$59, 7, FALSE), perc_95, VLOOKUP(I$2, Percentiles!$A$45:$I$59, 8, FALSE), perc_85, perc_75 + (perc_90 - perc_75) * (2/3), converted_stat, '2K_Ratings'!I205, IF(bbgm_stat &gt;= perc_95, converted_stat * 3, IF(bbgm_stat &gt;= perc_90, converted_stat * 2, IF(bbgm_stat &gt;= perc_85, converted_stat * 1.5, converted_stat)))))</f>
        <v/>
      </c>
      <c r="J205" s="30" t="str">
        <f t="array" ref="J205">IF($A205="", "", LET(bbgm_stat, INDEX(Players!$A204:$P204, MATCH(J$2, Players!$A$1:$P$1, 0)), perc_75, VLOOKUP(J$2, Percentiles!$A$45:$I$59, 6, FALSE), perc_90, VLOOKUP(J$2, Percentiles!$A$45:$I$59, 7, FALSE), perc_95, VLOOKUP(J$2, Percentiles!$A$45:$I$59, 8, FALSE), perc_85, perc_75 + (perc_90 - perc_75) * (2/3), converted_stat, '2K_Ratings'!J205, IF(bbgm_stat &gt;= perc_95, converted_stat * 3, IF(bbgm_stat &gt;= perc_90, converted_stat * 2, IF(bbgm_stat &gt;= perc_85, converted_stat * 1.5, converted_stat)))))</f>
        <v/>
      </c>
      <c r="K205" s="30" t="str">
        <f t="array" ref="K205">IF($A205="", "", LET(bbgm_stat, INDEX(Players!$A204:$P204, MATCH(K$2, Players!$A$1:$P$1, 0)), perc_75, VLOOKUP(K$2, Percentiles!$A$45:$I$59, 6, FALSE), perc_90, VLOOKUP(K$2, Percentiles!$A$45:$I$59, 7, FALSE), perc_95, VLOOKUP(K$2, Percentiles!$A$45:$I$59, 8, FALSE), perc_85, perc_75 + (perc_90 - perc_75) * (2/3), converted_stat, '2K_Ratings'!K205, IF(bbgm_stat &gt;= perc_95, converted_stat * 3, IF(bbgm_stat &gt;= perc_90, converted_stat * 2, IF(bbgm_stat &gt;= perc_85, converted_stat * 1.5, converted_stat)))))</f>
        <v/>
      </c>
      <c r="L205" s="30" t="str">
        <f t="array" ref="L205">IF($A205="", "", LET(bbgm_stat, INDEX(Players!$A204:$P204, MATCH(L$2, Players!$A$1:$P$1, 0)), perc_75, VLOOKUP(L$2, Percentiles!$A$45:$I$59, 6, FALSE), perc_90, VLOOKUP(L$2, Percentiles!$A$45:$I$59, 7, FALSE), perc_95, VLOOKUP(L$2, Percentiles!$A$45:$I$59, 8, FALSE), perc_85, perc_75 + (perc_90 - perc_75) * (2/3), converted_stat, '2K_Ratings'!L205, IF(bbgm_stat &gt;= perc_95, converted_stat * 3, IF(bbgm_stat &gt;= perc_90, converted_stat * 2, IF(bbgm_stat &gt;= perc_85, converted_stat * 1.5, converted_stat)))))</f>
        <v/>
      </c>
      <c r="M205" s="30" t="str">
        <f t="array" ref="M205">IF($A205="", "", LET(bbgm_stat, INDEX(Players!$A204:$P204, MATCH(M$2, Players!$A$1:$P$1, 0)), perc_75, VLOOKUP(M$2, Percentiles!$A$45:$I$59, 6, FALSE), perc_90, VLOOKUP(M$2, Percentiles!$A$45:$I$59, 7, FALSE), perc_95, VLOOKUP(M$2, Percentiles!$A$45:$I$59, 8, FALSE), perc_85, perc_75 + (perc_90 - perc_75) * (2/3), converted_stat, '2K_Ratings'!M205, IF(bbgm_stat &gt;= perc_95, converted_stat * 3, IF(bbgm_stat &gt;= perc_90, converted_stat * 2, IF(bbgm_stat &gt;= perc_85, converted_stat * 1.5, converted_stat)))))</f>
        <v/>
      </c>
      <c r="N205" s="30" t="str">
        <f t="array" ref="N205">IF($A205="", "", LET(bbgm_stat, INDEX(Players!$A204:$P204, MATCH(N$2, Players!$A$1:$P$1, 0)), perc_75, VLOOKUP(N$2, Percentiles!$A$45:$I$59, 6, FALSE), perc_90, VLOOKUP(N$2, Percentiles!$A$45:$I$59, 7, FALSE), perc_95, VLOOKUP(N$2, Percentiles!$A$45:$I$59, 8, FALSE), perc_85, perc_75 + (perc_90 - perc_75) * (2/3), converted_stat, '2K_Ratings'!N205, IF(bbgm_stat &gt;= perc_95, converted_stat * 3, IF(bbgm_stat &gt;= perc_90, converted_stat * 2, IF(bbgm_stat &gt;= perc_85, converted_stat * 1.5, converted_stat)))))</f>
        <v/>
      </c>
      <c r="O205" s="30" t="str">
        <f t="array" ref="O205">IF($A205="", "", LET(bbgm_stat, INDEX(Players!$A204:$P204, MATCH(O$2, Players!$A$1:$P$1, 0)), perc_75, VLOOKUP(O$2, Percentiles!$A$45:$I$59, 6, FALSE), perc_90, VLOOKUP(O$2, Percentiles!$A$45:$I$59, 7, FALSE), perc_95, VLOOKUP(O$2, Percentiles!$A$45:$I$59, 8, FALSE), perc_85, perc_75 + (perc_90 - perc_75) * (2/3), converted_stat, '2K_Ratings'!O205, IF(bbgm_stat &gt;= perc_95, converted_stat * 3, IF(bbgm_stat &gt;= perc_90, converted_stat * 2, IF(bbgm_stat &gt;= perc_85, converted_stat * 1.5, converted_stat)))))</f>
        <v/>
      </c>
      <c r="P205" s="30" t="str">
        <f t="array" ref="P205">IF($A205="", "", LET(bbgm_stat, INDEX(Players!$A204:$P204, MATCH(P$2, Players!$A$1:$P$1, 0)), perc_75, VLOOKUP(P$2, Percentiles!$A$45:$I$59, 6, FALSE), perc_90, VLOOKUP(P$2, Percentiles!$A$45:$I$59, 7, FALSE), perc_95, VLOOKUP(P$2, Percentiles!$A$45:$I$59, 8, FALSE), perc_85, perc_75 + (perc_90 - perc_75) * (2/3), converted_stat, '2K_Ratings'!P205, IF(bbgm_stat &gt;= perc_95, converted_stat * 3, IF(bbgm_stat &gt;= perc_90, converted_stat * 2, IF(bbgm_stat &gt;= perc_85, converted_stat * 1.5, converted_stat)))))</f>
        <v/>
      </c>
      <c r="Q205" s="30" t="str">
        <f t="array" ref="Q205">IF($A205="", "", LET(bbgm_stat, INDEX(Players!$A204:$P204, MATCH(Q$2, Players!$A$1:$P$1, 0)), perc_75, VLOOKUP(Q$2, Percentiles!$A$45:$I$59, 6, FALSE), perc_90, VLOOKUP(Q$2, Percentiles!$A$45:$I$59, 7, FALSE), perc_95, VLOOKUP(Q$2, Percentiles!$A$45:$I$59, 8, FALSE), perc_85, perc_75 + (perc_90 - perc_75) * (2/3), converted_stat, '2K_Ratings'!Q205, IF(bbgm_stat &gt;= perc_95, converted_stat * 3, IF(bbgm_stat &gt;= perc_90, converted_stat * 2, IF(bbgm_stat &gt;= perc_85, converted_stat * 1.5, converted_stat)))))</f>
        <v/>
      </c>
      <c r="R205" s="30" t="str">
        <f t="array" ref="R205">IF($A205="", "", LET(bbgm_stat, INDEX(Players!$A204:$P204, MATCH(R$2, Players!$A$1:$P$1, 0)), perc_75, VLOOKUP(R$2, Percentiles!$A$45:$I$59, 6, FALSE), perc_90, VLOOKUP(R$2, Percentiles!$A$45:$I$59, 7, FALSE), perc_95, VLOOKUP(R$2, Percentiles!$A$45:$I$59, 8, FALSE), perc_85, perc_75 + (perc_90 - perc_75) * (2/3), converted_stat, '2K_Ratings'!R205, IF(bbgm_stat &gt;= perc_95, converted_stat * 3, IF(bbgm_stat &gt;= perc_90, converted_stat * 2, IF(bbgm_stat &gt;= perc_85, converted_stat * 1.5, converted_stat)))))</f>
        <v/>
      </c>
      <c r="S205" s="30" t="str">
        <f t="array" ref="S205">IF($A205="", "", LET(bbgm_stat, INDEX(Players!$A204:$P204, MATCH(S$2, Players!$A$1:$P$1, 0)), perc_75, VLOOKUP(S$2, Percentiles!$A$45:$I$59, 6, FALSE), perc_90, VLOOKUP(S$2, Percentiles!$A$45:$I$59, 7, FALSE), perc_95, VLOOKUP(S$2, Percentiles!$A$45:$I$59, 8, FALSE), perc_85, perc_75 + (perc_90 - perc_75) * (2/3), converted_stat, '2K_Ratings'!S205, IF(bbgm_stat &gt;= perc_95, converted_stat * 3, IF(bbgm_stat &gt;= perc_90, converted_stat * 2, IF(bbgm_stat &gt;= perc_85, converted_stat * 1.5, converted_stat)))))</f>
        <v/>
      </c>
      <c r="T205" s="30" t="str">
        <f t="array" ref="T205">IF($A205="", "", LET(bbgm_stat, INDEX(Players!$A204:$P204, MATCH(T$2, Players!$A$1:$P$1, 0)), perc_75, VLOOKUP(T$2, Percentiles!$A$45:$I$59, 6, FALSE), perc_90, VLOOKUP(T$2, Percentiles!$A$45:$I$59, 7, FALSE), perc_95, VLOOKUP(T$2, Percentiles!$A$45:$I$59, 8, FALSE), perc_85, perc_75 + (perc_90 - perc_75) * (2/3), converted_stat, '2K_Ratings'!T205, IF(bbgm_stat &gt;= perc_95, converted_stat * 3, IF(bbgm_stat &gt;= perc_90, converted_stat * 2, IF(bbgm_stat &gt;= perc_85, converted_stat * 1.5, converted_stat)))))</f>
        <v/>
      </c>
      <c r="U205" s="30" t="str">
        <f t="array" ref="U205">IF($A205="", "", LET(bbgm_stat, INDEX(Players!$A204:$P204, MATCH(U$2, Players!$A$1:$P$1, 0)), perc_75, VLOOKUP(U$2, Percentiles!$A$45:$I$59, 6, FALSE), perc_90, VLOOKUP(U$2, Percentiles!$A$45:$I$59, 7, FALSE), perc_95, VLOOKUP(U$2, Percentiles!$A$45:$I$59, 8, FALSE), perc_85, perc_75 + (perc_90 - perc_75) * (2/3), converted_stat, '2K_Ratings'!U205, IF(bbgm_stat &gt;= perc_95, converted_stat * 3, IF(bbgm_stat &gt;= perc_90, converted_stat * 2, IF(bbgm_stat &gt;= perc_85, converted_stat * 1.5, converted_stat)))))</f>
        <v/>
      </c>
      <c r="V205" s="30" t="str">
        <f t="array" ref="V205">IF($A205="", "", LET(bbgm_stat, INDEX(Players!$A204:$P204, MATCH(V$2, Players!$A$1:$P$1, 0)), perc_75, VLOOKUP(V$2, Percentiles!$A$45:$I$59, 6, FALSE), perc_90, VLOOKUP(V$2, Percentiles!$A$45:$I$59, 7, FALSE), perc_95, VLOOKUP(V$2, Percentiles!$A$45:$I$59, 8, FALSE), perc_85, perc_75 + (perc_90 - perc_75) * (2/3), converted_stat, '2K_Ratings'!V205, IF(bbgm_stat &gt;= perc_95, converted_stat * 3, IF(bbgm_stat &gt;= perc_90, converted_stat * 2, IF(bbgm_stat &gt;= perc_85, converted_stat * 1.5, converted_stat)))))</f>
        <v/>
      </c>
      <c r="W205" s="30" t="str">
        <f t="array" ref="W205">IF($A205="", "", LET(bbgm_stat, INDEX(Players!$A204:$P204, MATCH(W$2, Players!$A$1:$P$1, 0)), perc_75, VLOOKUP(W$2, Percentiles!$A$45:$I$59, 6, FALSE), perc_90, VLOOKUP(W$2, Percentiles!$A$45:$I$59, 7, FALSE), perc_95, VLOOKUP(W$2, Percentiles!$A$45:$I$59, 8, FALSE), perc_85, perc_75 + (perc_90 - perc_75) * (2/3), converted_stat, '2K_Ratings'!W205, IF(bbgm_stat &gt;= perc_95, converted_stat * 3, IF(bbgm_stat &gt;= perc_90, converted_stat * 2, IF(bbgm_stat &gt;= perc_85, converted_stat * 1.5, converted_stat)))))</f>
        <v/>
      </c>
    </row>
    <row r="206">
      <c r="A206" s="30"/>
      <c r="B206" s="30" t="str">
        <f t="array" ref="B206">IF($A206="", "", LET(bbgm_stat, INDEX(Players!$A205:$P205, MATCH(B$2, Players!$A$1:$P$1, 0)), perc_75, VLOOKUP(B$2, Percentiles!$A$45:$I$59, 6, FALSE), perc_90, VLOOKUP(B$2, Percentiles!$A$45:$I$59, 7, FALSE), perc_95, VLOOKUP(B$2, Percentiles!$A$45:$I$59, 8, FALSE), perc_85, perc_75 + (perc_90 - perc_75) * (2/3), converted_stat, '2K_Ratings'!B206, IF(bbgm_stat &gt;= perc_95, converted_stat * 3, IF(bbgm_stat &gt;= perc_90, converted_stat * 2, IF(bbgm_stat &gt;= perc_85, converted_stat * 1.5, converted_stat)))))</f>
        <v/>
      </c>
      <c r="C206" s="30" t="str">
        <f t="array" ref="C206">IF($A206="", "", LET(bbgm_stat, INDEX(Players!$A205:$P205, MATCH(C$2, Players!$A$1:$P$1, 0)), perc_75, VLOOKUP(C$2, Percentiles!$A$45:$I$59, 6, FALSE), perc_90, VLOOKUP(C$2, Percentiles!$A$45:$I$59, 7, FALSE), perc_95, VLOOKUP(C$2, Percentiles!$A$45:$I$59, 8, FALSE), perc_85, perc_75 + (perc_90 - perc_75) * (2/3), converted_stat, '2K_Ratings'!C206, IF(bbgm_stat &gt;= perc_95, converted_stat * 3, IF(bbgm_stat &gt;= perc_90, converted_stat * 2, IF(bbgm_stat &gt;= perc_85, converted_stat * 1.5, converted_stat)))))</f>
        <v/>
      </c>
      <c r="D206" s="30" t="str">
        <f t="array" ref="D206">IF($A206="", "", LET(bbgm_stat, INDEX(Players!$A205:$P205, MATCH(D$2, Players!$A$1:$P$1, 0)), perc_75, VLOOKUP(D$2, Percentiles!$A$45:$I$59, 6, FALSE), perc_90, VLOOKUP(D$2, Percentiles!$A$45:$I$59, 7, FALSE), perc_95, VLOOKUP(D$2, Percentiles!$A$45:$I$59, 8, FALSE), perc_85, perc_75 + (perc_90 - perc_75) * (2/3), converted_stat, '2K_Ratings'!D206, IF(bbgm_stat &gt;= perc_95, converted_stat * 3, IF(bbgm_stat &gt;= perc_90, converted_stat * 2, IF(bbgm_stat &gt;= perc_85, converted_stat * 1.5, converted_stat)))))</f>
        <v/>
      </c>
      <c r="E206" s="30" t="str">
        <f t="array" ref="E206">IF($A206="", "", LET(bbgm_stat, INDEX(Players!$A205:$P205, MATCH(E$2, Players!$A$1:$P$1, 0)), perc_75, VLOOKUP(E$2, Percentiles!$A$45:$I$59, 6, FALSE), perc_90, VLOOKUP(E$2, Percentiles!$A$45:$I$59, 7, FALSE), perc_95, VLOOKUP(E$2, Percentiles!$A$45:$I$59, 8, FALSE), perc_85, perc_75 + (perc_90 - perc_75) * (2/3), converted_stat, '2K_Ratings'!E206, IF(bbgm_stat &gt;= perc_95, converted_stat * 3, IF(bbgm_stat &gt;= perc_90, converted_stat * 2, IF(bbgm_stat &gt;= perc_85, converted_stat * 1.5, converted_stat)))))</f>
        <v/>
      </c>
      <c r="F206" s="30" t="str">
        <f t="array" ref="F206">IF($A206="", "", LET(bbgm_stat, INDEX(Players!$A205:$P205, MATCH(F$2, Players!$A$1:$P$1, 0)), perc_75, VLOOKUP(F$2, Percentiles!$A$45:$I$59, 6, FALSE), perc_90, VLOOKUP(F$2, Percentiles!$A$45:$I$59, 7, FALSE), perc_95, VLOOKUP(F$2, Percentiles!$A$45:$I$59, 8, FALSE), perc_85, perc_75 + (perc_90 - perc_75) * (2/3), converted_stat, '2K_Ratings'!F206, IF(bbgm_stat &gt;= perc_95, converted_stat * 3, IF(bbgm_stat &gt;= perc_90, converted_stat * 2, IF(bbgm_stat &gt;= perc_85, converted_stat * 1.5, converted_stat)))))</f>
        <v/>
      </c>
      <c r="G206" s="30" t="str">
        <f t="array" ref="G206">IF($A206="", "", LET(bbgm_stat, INDEX(Players!$A205:$P205, MATCH(G$2, Players!$A$1:$P$1, 0)), perc_75, VLOOKUP(G$2, Percentiles!$A$45:$I$59, 6, FALSE), perc_90, VLOOKUP(G$2, Percentiles!$A$45:$I$59, 7, FALSE), perc_95, VLOOKUP(G$2, Percentiles!$A$45:$I$59, 8, FALSE), perc_85, perc_75 + (perc_90 - perc_75) * (2/3), converted_stat, '2K_Ratings'!G206, IF(bbgm_stat &gt;= perc_95, converted_stat * 3, IF(bbgm_stat &gt;= perc_90, converted_stat * 2, IF(bbgm_stat &gt;= perc_85, converted_stat * 1.5, converted_stat)))))</f>
        <v/>
      </c>
      <c r="H206" s="30" t="str">
        <f t="array" ref="H206">IF($A206="", "", LET(bbgm_stat, INDEX(Players!$A205:$P205, MATCH(H$2, Players!$A$1:$P$1, 0)), perc_75, VLOOKUP(H$2, Percentiles!$A$45:$I$59, 6, FALSE), perc_90, VLOOKUP(H$2, Percentiles!$A$45:$I$59, 7, FALSE), perc_95, VLOOKUP(H$2, Percentiles!$A$45:$I$59, 8, FALSE), perc_85, perc_75 + (perc_90 - perc_75) * (2/3), converted_stat, '2K_Ratings'!H206, IF(bbgm_stat &gt;= perc_95, converted_stat * 3, IF(bbgm_stat &gt;= perc_90, converted_stat * 2, IF(bbgm_stat &gt;= perc_85, converted_stat * 1.5, converted_stat)))))</f>
        <v/>
      </c>
      <c r="I206" s="30" t="str">
        <f t="array" ref="I206">IF($A206="", "", LET(bbgm_stat, INDEX(Players!$A205:$P205, MATCH(I$2, Players!$A$1:$P$1, 0)), perc_75, VLOOKUP(I$2, Percentiles!$A$45:$I$59, 6, FALSE), perc_90, VLOOKUP(I$2, Percentiles!$A$45:$I$59, 7, FALSE), perc_95, VLOOKUP(I$2, Percentiles!$A$45:$I$59, 8, FALSE), perc_85, perc_75 + (perc_90 - perc_75) * (2/3), converted_stat, '2K_Ratings'!I206, IF(bbgm_stat &gt;= perc_95, converted_stat * 3, IF(bbgm_stat &gt;= perc_90, converted_stat * 2, IF(bbgm_stat &gt;= perc_85, converted_stat * 1.5, converted_stat)))))</f>
        <v/>
      </c>
      <c r="J206" s="30" t="str">
        <f t="array" ref="J206">IF($A206="", "", LET(bbgm_stat, INDEX(Players!$A205:$P205, MATCH(J$2, Players!$A$1:$P$1, 0)), perc_75, VLOOKUP(J$2, Percentiles!$A$45:$I$59, 6, FALSE), perc_90, VLOOKUP(J$2, Percentiles!$A$45:$I$59, 7, FALSE), perc_95, VLOOKUP(J$2, Percentiles!$A$45:$I$59, 8, FALSE), perc_85, perc_75 + (perc_90 - perc_75) * (2/3), converted_stat, '2K_Ratings'!J206, IF(bbgm_stat &gt;= perc_95, converted_stat * 3, IF(bbgm_stat &gt;= perc_90, converted_stat * 2, IF(bbgm_stat &gt;= perc_85, converted_stat * 1.5, converted_stat)))))</f>
        <v/>
      </c>
      <c r="K206" s="30" t="str">
        <f t="array" ref="K206">IF($A206="", "", LET(bbgm_stat, INDEX(Players!$A205:$P205, MATCH(K$2, Players!$A$1:$P$1, 0)), perc_75, VLOOKUP(K$2, Percentiles!$A$45:$I$59, 6, FALSE), perc_90, VLOOKUP(K$2, Percentiles!$A$45:$I$59, 7, FALSE), perc_95, VLOOKUP(K$2, Percentiles!$A$45:$I$59, 8, FALSE), perc_85, perc_75 + (perc_90 - perc_75) * (2/3), converted_stat, '2K_Ratings'!K206, IF(bbgm_stat &gt;= perc_95, converted_stat * 3, IF(bbgm_stat &gt;= perc_90, converted_stat * 2, IF(bbgm_stat &gt;= perc_85, converted_stat * 1.5, converted_stat)))))</f>
        <v/>
      </c>
      <c r="L206" s="30" t="str">
        <f t="array" ref="L206">IF($A206="", "", LET(bbgm_stat, INDEX(Players!$A205:$P205, MATCH(L$2, Players!$A$1:$P$1, 0)), perc_75, VLOOKUP(L$2, Percentiles!$A$45:$I$59, 6, FALSE), perc_90, VLOOKUP(L$2, Percentiles!$A$45:$I$59, 7, FALSE), perc_95, VLOOKUP(L$2, Percentiles!$A$45:$I$59, 8, FALSE), perc_85, perc_75 + (perc_90 - perc_75) * (2/3), converted_stat, '2K_Ratings'!L206, IF(bbgm_stat &gt;= perc_95, converted_stat * 3, IF(bbgm_stat &gt;= perc_90, converted_stat * 2, IF(bbgm_stat &gt;= perc_85, converted_stat * 1.5, converted_stat)))))</f>
        <v/>
      </c>
      <c r="M206" s="30" t="str">
        <f t="array" ref="M206">IF($A206="", "", LET(bbgm_stat, INDEX(Players!$A205:$P205, MATCH(M$2, Players!$A$1:$P$1, 0)), perc_75, VLOOKUP(M$2, Percentiles!$A$45:$I$59, 6, FALSE), perc_90, VLOOKUP(M$2, Percentiles!$A$45:$I$59, 7, FALSE), perc_95, VLOOKUP(M$2, Percentiles!$A$45:$I$59, 8, FALSE), perc_85, perc_75 + (perc_90 - perc_75) * (2/3), converted_stat, '2K_Ratings'!M206, IF(bbgm_stat &gt;= perc_95, converted_stat * 3, IF(bbgm_stat &gt;= perc_90, converted_stat * 2, IF(bbgm_stat &gt;= perc_85, converted_stat * 1.5, converted_stat)))))</f>
        <v/>
      </c>
      <c r="N206" s="30" t="str">
        <f t="array" ref="N206">IF($A206="", "", LET(bbgm_stat, INDEX(Players!$A205:$P205, MATCH(N$2, Players!$A$1:$P$1, 0)), perc_75, VLOOKUP(N$2, Percentiles!$A$45:$I$59, 6, FALSE), perc_90, VLOOKUP(N$2, Percentiles!$A$45:$I$59, 7, FALSE), perc_95, VLOOKUP(N$2, Percentiles!$A$45:$I$59, 8, FALSE), perc_85, perc_75 + (perc_90 - perc_75) * (2/3), converted_stat, '2K_Ratings'!N206, IF(bbgm_stat &gt;= perc_95, converted_stat * 3, IF(bbgm_stat &gt;= perc_90, converted_stat * 2, IF(bbgm_stat &gt;= perc_85, converted_stat * 1.5, converted_stat)))))</f>
        <v/>
      </c>
      <c r="O206" s="30" t="str">
        <f t="array" ref="O206">IF($A206="", "", LET(bbgm_stat, INDEX(Players!$A205:$P205, MATCH(O$2, Players!$A$1:$P$1, 0)), perc_75, VLOOKUP(O$2, Percentiles!$A$45:$I$59, 6, FALSE), perc_90, VLOOKUP(O$2, Percentiles!$A$45:$I$59, 7, FALSE), perc_95, VLOOKUP(O$2, Percentiles!$A$45:$I$59, 8, FALSE), perc_85, perc_75 + (perc_90 - perc_75) * (2/3), converted_stat, '2K_Ratings'!O206, IF(bbgm_stat &gt;= perc_95, converted_stat * 3, IF(bbgm_stat &gt;= perc_90, converted_stat * 2, IF(bbgm_stat &gt;= perc_85, converted_stat * 1.5, converted_stat)))))</f>
        <v/>
      </c>
      <c r="P206" s="30" t="str">
        <f t="array" ref="P206">IF($A206="", "", LET(bbgm_stat, INDEX(Players!$A205:$P205, MATCH(P$2, Players!$A$1:$P$1, 0)), perc_75, VLOOKUP(P$2, Percentiles!$A$45:$I$59, 6, FALSE), perc_90, VLOOKUP(P$2, Percentiles!$A$45:$I$59, 7, FALSE), perc_95, VLOOKUP(P$2, Percentiles!$A$45:$I$59, 8, FALSE), perc_85, perc_75 + (perc_90 - perc_75) * (2/3), converted_stat, '2K_Ratings'!P206, IF(bbgm_stat &gt;= perc_95, converted_stat * 3, IF(bbgm_stat &gt;= perc_90, converted_stat * 2, IF(bbgm_stat &gt;= perc_85, converted_stat * 1.5, converted_stat)))))</f>
        <v/>
      </c>
      <c r="Q206" s="30" t="str">
        <f t="array" ref="Q206">IF($A206="", "", LET(bbgm_stat, INDEX(Players!$A205:$P205, MATCH(Q$2, Players!$A$1:$P$1, 0)), perc_75, VLOOKUP(Q$2, Percentiles!$A$45:$I$59, 6, FALSE), perc_90, VLOOKUP(Q$2, Percentiles!$A$45:$I$59, 7, FALSE), perc_95, VLOOKUP(Q$2, Percentiles!$A$45:$I$59, 8, FALSE), perc_85, perc_75 + (perc_90 - perc_75) * (2/3), converted_stat, '2K_Ratings'!Q206, IF(bbgm_stat &gt;= perc_95, converted_stat * 3, IF(bbgm_stat &gt;= perc_90, converted_stat * 2, IF(bbgm_stat &gt;= perc_85, converted_stat * 1.5, converted_stat)))))</f>
        <v/>
      </c>
      <c r="R206" s="30" t="str">
        <f t="array" ref="R206">IF($A206="", "", LET(bbgm_stat, INDEX(Players!$A205:$P205, MATCH(R$2, Players!$A$1:$P$1, 0)), perc_75, VLOOKUP(R$2, Percentiles!$A$45:$I$59, 6, FALSE), perc_90, VLOOKUP(R$2, Percentiles!$A$45:$I$59, 7, FALSE), perc_95, VLOOKUP(R$2, Percentiles!$A$45:$I$59, 8, FALSE), perc_85, perc_75 + (perc_90 - perc_75) * (2/3), converted_stat, '2K_Ratings'!R206, IF(bbgm_stat &gt;= perc_95, converted_stat * 3, IF(bbgm_stat &gt;= perc_90, converted_stat * 2, IF(bbgm_stat &gt;= perc_85, converted_stat * 1.5, converted_stat)))))</f>
        <v/>
      </c>
      <c r="S206" s="30" t="str">
        <f t="array" ref="S206">IF($A206="", "", LET(bbgm_stat, INDEX(Players!$A205:$P205, MATCH(S$2, Players!$A$1:$P$1, 0)), perc_75, VLOOKUP(S$2, Percentiles!$A$45:$I$59, 6, FALSE), perc_90, VLOOKUP(S$2, Percentiles!$A$45:$I$59, 7, FALSE), perc_95, VLOOKUP(S$2, Percentiles!$A$45:$I$59, 8, FALSE), perc_85, perc_75 + (perc_90 - perc_75) * (2/3), converted_stat, '2K_Ratings'!S206, IF(bbgm_stat &gt;= perc_95, converted_stat * 3, IF(bbgm_stat &gt;= perc_90, converted_stat * 2, IF(bbgm_stat &gt;= perc_85, converted_stat * 1.5, converted_stat)))))</f>
        <v/>
      </c>
      <c r="T206" s="30" t="str">
        <f t="array" ref="T206">IF($A206="", "", LET(bbgm_stat, INDEX(Players!$A205:$P205, MATCH(T$2, Players!$A$1:$P$1, 0)), perc_75, VLOOKUP(T$2, Percentiles!$A$45:$I$59, 6, FALSE), perc_90, VLOOKUP(T$2, Percentiles!$A$45:$I$59, 7, FALSE), perc_95, VLOOKUP(T$2, Percentiles!$A$45:$I$59, 8, FALSE), perc_85, perc_75 + (perc_90 - perc_75) * (2/3), converted_stat, '2K_Ratings'!T206, IF(bbgm_stat &gt;= perc_95, converted_stat * 3, IF(bbgm_stat &gt;= perc_90, converted_stat * 2, IF(bbgm_stat &gt;= perc_85, converted_stat * 1.5, converted_stat)))))</f>
        <v/>
      </c>
      <c r="U206" s="30" t="str">
        <f t="array" ref="U206">IF($A206="", "", LET(bbgm_stat, INDEX(Players!$A205:$P205, MATCH(U$2, Players!$A$1:$P$1, 0)), perc_75, VLOOKUP(U$2, Percentiles!$A$45:$I$59, 6, FALSE), perc_90, VLOOKUP(U$2, Percentiles!$A$45:$I$59, 7, FALSE), perc_95, VLOOKUP(U$2, Percentiles!$A$45:$I$59, 8, FALSE), perc_85, perc_75 + (perc_90 - perc_75) * (2/3), converted_stat, '2K_Ratings'!U206, IF(bbgm_stat &gt;= perc_95, converted_stat * 3, IF(bbgm_stat &gt;= perc_90, converted_stat * 2, IF(bbgm_stat &gt;= perc_85, converted_stat * 1.5, converted_stat)))))</f>
        <v/>
      </c>
      <c r="V206" s="30" t="str">
        <f t="array" ref="V206">IF($A206="", "", LET(bbgm_stat, INDEX(Players!$A205:$P205, MATCH(V$2, Players!$A$1:$P$1, 0)), perc_75, VLOOKUP(V$2, Percentiles!$A$45:$I$59, 6, FALSE), perc_90, VLOOKUP(V$2, Percentiles!$A$45:$I$59, 7, FALSE), perc_95, VLOOKUP(V$2, Percentiles!$A$45:$I$59, 8, FALSE), perc_85, perc_75 + (perc_90 - perc_75) * (2/3), converted_stat, '2K_Ratings'!V206, IF(bbgm_stat &gt;= perc_95, converted_stat * 3, IF(bbgm_stat &gt;= perc_90, converted_stat * 2, IF(bbgm_stat &gt;= perc_85, converted_stat * 1.5, converted_stat)))))</f>
        <v/>
      </c>
      <c r="W206" s="30" t="str">
        <f t="array" ref="W206">IF($A206="", "", LET(bbgm_stat, INDEX(Players!$A205:$P205, MATCH(W$2, Players!$A$1:$P$1, 0)), perc_75, VLOOKUP(W$2, Percentiles!$A$45:$I$59, 6, FALSE), perc_90, VLOOKUP(W$2, Percentiles!$A$45:$I$59, 7, FALSE), perc_95, VLOOKUP(W$2, Percentiles!$A$45:$I$59, 8, FALSE), perc_85, perc_75 + (perc_90 - perc_75) * (2/3), converted_stat, '2K_Ratings'!W206, IF(bbgm_stat &gt;= perc_95, converted_stat * 3, IF(bbgm_stat &gt;= perc_90, converted_stat * 2, IF(bbgm_stat &gt;= perc_85, converted_stat * 1.5, converted_stat)))))</f>
        <v/>
      </c>
    </row>
    <row r="207">
      <c r="A207" s="30"/>
      <c r="B207" s="30" t="str">
        <f t="array" ref="B207">IF($A207="", "", LET(bbgm_stat, INDEX(Players!$A206:$P206, MATCH(B$2, Players!$A$1:$P$1, 0)), perc_75, VLOOKUP(B$2, Percentiles!$A$45:$I$59, 6, FALSE), perc_90, VLOOKUP(B$2, Percentiles!$A$45:$I$59, 7, FALSE), perc_95, VLOOKUP(B$2, Percentiles!$A$45:$I$59, 8, FALSE), perc_85, perc_75 + (perc_90 - perc_75) * (2/3), converted_stat, '2K_Ratings'!B207, IF(bbgm_stat &gt;= perc_95, converted_stat * 3, IF(bbgm_stat &gt;= perc_90, converted_stat * 2, IF(bbgm_stat &gt;= perc_85, converted_stat * 1.5, converted_stat)))))</f>
        <v/>
      </c>
      <c r="C207" s="30" t="str">
        <f t="array" ref="C207">IF($A207="", "", LET(bbgm_stat, INDEX(Players!$A206:$P206, MATCH(C$2, Players!$A$1:$P$1, 0)), perc_75, VLOOKUP(C$2, Percentiles!$A$45:$I$59, 6, FALSE), perc_90, VLOOKUP(C$2, Percentiles!$A$45:$I$59, 7, FALSE), perc_95, VLOOKUP(C$2, Percentiles!$A$45:$I$59, 8, FALSE), perc_85, perc_75 + (perc_90 - perc_75) * (2/3), converted_stat, '2K_Ratings'!C207, IF(bbgm_stat &gt;= perc_95, converted_stat * 3, IF(bbgm_stat &gt;= perc_90, converted_stat * 2, IF(bbgm_stat &gt;= perc_85, converted_stat * 1.5, converted_stat)))))</f>
        <v/>
      </c>
      <c r="D207" s="30" t="str">
        <f t="array" ref="D207">IF($A207="", "", LET(bbgm_stat, INDEX(Players!$A206:$P206, MATCH(D$2, Players!$A$1:$P$1, 0)), perc_75, VLOOKUP(D$2, Percentiles!$A$45:$I$59, 6, FALSE), perc_90, VLOOKUP(D$2, Percentiles!$A$45:$I$59, 7, FALSE), perc_95, VLOOKUP(D$2, Percentiles!$A$45:$I$59, 8, FALSE), perc_85, perc_75 + (perc_90 - perc_75) * (2/3), converted_stat, '2K_Ratings'!D207, IF(bbgm_stat &gt;= perc_95, converted_stat * 3, IF(bbgm_stat &gt;= perc_90, converted_stat * 2, IF(bbgm_stat &gt;= perc_85, converted_stat * 1.5, converted_stat)))))</f>
        <v/>
      </c>
      <c r="E207" s="30" t="str">
        <f t="array" ref="E207">IF($A207="", "", LET(bbgm_stat, INDEX(Players!$A206:$P206, MATCH(E$2, Players!$A$1:$P$1, 0)), perc_75, VLOOKUP(E$2, Percentiles!$A$45:$I$59, 6, FALSE), perc_90, VLOOKUP(E$2, Percentiles!$A$45:$I$59, 7, FALSE), perc_95, VLOOKUP(E$2, Percentiles!$A$45:$I$59, 8, FALSE), perc_85, perc_75 + (perc_90 - perc_75) * (2/3), converted_stat, '2K_Ratings'!E207, IF(bbgm_stat &gt;= perc_95, converted_stat * 3, IF(bbgm_stat &gt;= perc_90, converted_stat * 2, IF(bbgm_stat &gt;= perc_85, converted_stat * 1.5, converted_stat)))))</f>
        <v/>
      </c>
      <c r="F207" s="30" t="str">
        <f t="array" ref="F207">IF($A207="", "", LET(bbgm_stat, INDEX(Players!$A206:$P206, MATCH(F$2, Players!$A$1:$P$1, 0)), perc_75, VLOOKUP(F$2, Percentiles!$A$45:$I$59, 6, FALSE), perc_90, VLOOKUP(F$2, Percentiles!$A$45:$I$59, 7, FALSE), perc_95, VLOOKUP(F$2, Percentiles!$A$45:$I$59, 8, FALSE), perc_85, perc_75 + (perc_90 - perc_75) * (2/3), converted_stat, '2K_Ratings'!F207, IF(bbgm_stat &gt;= perc_95, converted_stat * 3, IF(bbgm_stat &gt;= perc_90, converted_stat * 2, IF(bbgm_stat &gt;= perc_85, converted_stat * 1.5, converted_stat)))))</f>
        <v/>
      </c>
      <c r="G207" s="30" t="str">
        <f t="array" ref="G207">IF($A207="", "", LET(bbgm_stat, INDEX(Players!$A206:$P206, MATCH(G$2, Players!$A$1:$P$1, 0)), perc_75, VLOOKUP(G$2, Percentiles!$A$45:$I$59, 6, FALSE), perc_90, VLOOKUP(G$2, Percentiles!$A$45:$I$59, 7, FALSE), perc_95, VLOOKUP(G$2, Percentiles!$A$45:$I$59, 8, FALSE), perc_85, perc_75 + (perc_90 - perc_75) * (2/3), converted_stat, '2K_Ratings'!G207, IF(bbgm_stat &gt;= perc_95, converted_stat * 3, IF(bbgm_stat &gt;= perc_90, converted_stat * 2, IF(bbgm_stat &gt;= perc_85, converted_stat * 1.5, converted_stat)))))</f>
        <v/>
      </c>
      <c r="H207" s="30" t="str">
        <f t="array" ref="H207">IF($A207="", "", LET(bbgm_stat, INDEX(Players!$A206:$P206, MATCH(H$2, Players!$A$1:$P$1, 0)), perc_75, VLOOKUP(H$2, Percentiles!$A$45:$I$59, 6, FALSE), perc_90, VLOOKUP(H$2, Percentiles!$A$45:$I$59, 7, FALSE), perc_95, VLOOKUP(H$2, Percentiles!$A$45:$I$59, 8, FALSE), perc_85, perc_75 + (perc_90 - perc_75) * (2/3), converted_stat, '2K_Ratings'!H207, IF(bbgm_stat &gt;= perc_95, converted_stat * 3, IF(bbgm_stat &gt;= perc_90, converted_stat * 2, IF(bbgm_stat &gt;= perc_85, converted_stat * 1.5, converted_stat)))))</f>
        <v/>
      </c>
      <c r="I207" s="30" t="str">
        <f t="array" ref="I207">IF($A207="", "", LET(bbgm_stat, INDEX(Players!$A206:$P206, MATCH(I$2, Players!$A$1:$P$1, 0)), perc_75, VLOOKUP(I$2, Percentiles!$A$45:$I$59, 6, FALSE), perc_90, VLOOKUP(I$2, Percentiles!$A$45:$I$59, 7, FALSE), perc_95, VLOOKUP(I$2, Percentiles!$A$45:$I$59, 8, FALSE), perc_85, perc_75 + (perc_90 - perc_75) * (2/3), converted_stat, '2K_Ratings'!I207, IF(bbgm_stat &gt;= perc_95, converted_stat * 3, IF(bbgm_stat &gt;= perc_90, converted_stat * 2, IF(bbgm_stat &gt;= perc_85, converted_stat * 1.5, converted_stat)))))</f>
        <v/>
      </c>
      <c r="J207" s="30" t="str">
        <f t="array" ref="J207">IF($A207="", "", LET(bbgm_stat, INDEX(Players!$A206:$P206, MATCH(J$2, Players!$A$1:$P$1, 0)), perc_75, VLOOKUP(J$2, Percentiles!$A$45:$I$59, 6, FALSE), perc_90, VLOOKUP(J$2, Percentiles!$A$45:$I$59, 7, FALSE), perc_95, VLOOKUP(J$2, Percentiles!$A$45:$I$59, 8, FALSE), perc_85, perc_75 + (perc_90 - perc_75) * (2/3), converted_stat, '2K_Ratings'!J207, IF(bbgm_stat &gt;= perc_95, converted_stat * 3, IF(bbgm_stat &gt;= perc_90, converted_stat * 2, IF(bbgm_stat &gt;= perc_85, converted_stat * 1.5, converted_stat)))))</f>
        <v/>
      </c>
      <c r="K207" s="30" t="str">
        <f t="array" ref="K207">IF($A207="", "", LET(bbgm_stat, INDEX(Players!$A206:$P206, MATCH(K$2, Players!$A$1:$P$1, 0)), perc_75, VLOOKUP(K$2, Percentiles!$A$45:$I$59, 6, FALSE), perc_90, VLOOKUP(K$2, Percentiles!$A$45:$I$59, 7, FALSE), perc_95, VLOOKUP(K$2, Percentiles!$A$45:$I$59, 8, FALSE), perc_85, perc_75 + (perc_90 - perc_75) * (2/3), converted_stat, '2K_Ratings'!K207, IF(bbgm_stat &gt;= perc_95, converted_stat * 3, IF(bbgm_stat &gt;= perc_90, converted_stat * 2, IF(bbgm_stat &gt;= perc_85, converted_stat * 1.5, converted_stat)))))</f>
        <v/>
      </c>
      <c r="L207" s="30" t="str">
        <f t="array" ref="L207">IF($A207="", "", LET(bbgm_stat, INDEX(Players!$A206:$P206, MATCH(L$2, Players!$A$1:$P$1, 0)), perc_75, VLOOKUP(L$2, Percentiles!$A$45:$I$59, 6, FALSE), perc_90, VLOOKUP(L$2, Percentiles!$A$45:$I$59, 7, FALSE), perc_95, VLOOKUP(L$2, Percentiles!$A$45:$I$59, 8, FALSE), perc_85, perc_75 + (perc_90 - perc_75) * (2/3), converted_stat, '2K_Ratings'!L207, IF(bbgm_stat &gt;= perc_95, converted_stat * 3, IF(bbgm_stat &gt;= perc_90, converted_stat * 2, IF(bbgm_stat &gt;= perc_85, converted_stat * 1.5, converted_stat)))))</f>
        <v/>
      </c>
      <c r="M207" s="30" t="str">
        <f t="array" ref="M207">IF($A207="", "", LET(bbgm_stat, INDEX(Players!$A206:$P206, MATCH(M$2, Players!$A$1:$P$1, 0)), perc_75, VLOOKUP(M$2, Percentiles!$A$45:$I$59, 6, FALSE), perc_90, VLOOKUP(M$2, Percentiles!$A$45:$I$59, 7, FALSE), perc_95, VLOOKUP(M$2, Percentiles!$A$45:$I$59, 8, FALSE), perc_85, perc_75 + (perc_90 - perc_75) * (2/3), converted_stat, '2K_Ratings'!M207, IF(bbgm_stat &gt;= perc_95, converted_stat * 3, IF(bbgm_stat &gt;= perc_90, converted_stat * 2, IF(bbgm_stat &gt;= perc_85, converted_stat * 1.5, converted_stat)))))</f>
        <v/>
      </c>
      <c r="N207" s="30" t="str">
        <f t="array" ref="N207">IF($A207="", "", LET(bbgm_stat, INDEX(Players!$A206:$P206, MATCH(N$2, Players!$A$1:$P$1, 0)), perc_75, VLOOKUP(N$2, Percentiles!$A$45:$I$59, 6, FALSE), perc_90, VLOOKUP(N$2, Percentiles!$A$45:$I$59, 7, FALSE), perc_95, VLOOKUP(N$2, Percentiles!$A$45:$I$59, 8, FALSE), perc_85, perc_75 + (perc_90 - perc_75) * (2/3), converted_stat, '2K_Ratings'!N207, IF(bbgm_stat &gt;= perc_95, converted_stat * 3, IF(bbgm_stat &gt;= perc_90, converted_stat * 2, IF(bbgm_stat &gt;= perc_85, converted_stat * 1.5, converted_stat)))))</f>
        <v/>
      </c>
      <c r="O207" s="30" t="str">
        <f t="array" ref="O207">IF($A207="", "", LET(bbgm_stat, INDEX(Players!$A206:$P206, MATCH(O$2, Players!$A$1:$P$1, 0)), perc_75, VLOOKUP(O$2, Percentiles!$A$45:$I$59, 6, FALSE), perc_90, VLOOKUP(O$2, Percentiles!$A$45:$I$59, 7, FALSE), perc_95, VLOOKUP(O$2, Percentiles!$A$45:$I$59, 8, FALSE), perc_85, perc_75 + (perc_90 - perc_75) * (2/3), converted_stat, '2K_Ratings'!O207, IF(bbgm_stat &gt;= perc_95, converted_stat * 3, IF(bbgm_stat &gt;= perc_90, converted_stat * 2, IF(bbgm_stat &gt;= perc_85, converted_stat * 1.5, converted_stat)))))</f>
        <v/>
      </c>
      <c r="P207" s="30" t="str">
        <f t="array" ref="P207">IF($A207="", "", LET(bbgm_stat, INDEX(Players!$A206:$P206, MATCH(P$2, Players!$A$1:$P$1, 0)), perc_75, VLOOKUP(P$2, Percentiles!$A$45:$I$59, 6, FALSE), perc_90, VLOOKUP(P$2, Percentiles!$A$45:$I$59, 7, FALSE), perc_95, VLOOKUP(P$2, Percentiles!$A$45:$I$59, 8, FALSE), perc_85, perc_75 + (perc_90 - perc_75) * (2/3), converted_stat, '2K_Ratings'!P207, IF(bbgm_stat &gt;= perc_95, converted_stat * 3, IF(bbgm_stat &gt;= perc_90, converted_stat * 2, IF(bbgm_stat &gt;= perc_85, converted_stat * 1.5, converted_stat)))))</f>
        <v/>
      </c>
      <c r="Q207" s="30" t="str">
        <f t="array" ref="Q207">IF($A207="", "", LET(bbgm_stat, INDEX(Players!$A206:$P206, MATCH(Q$2, Players!$A$1:$P$1, 0)), perc_75, VLOOKUP(Q$2, Percentiles!$A$45:$I$59, 6, FALSE), perc_90, VLOOKUP(Q$2, Percentiles!$A$45:$I$59, 7, FALSE), perc_95, VLOOKUP(Q$2, Percentiles!$A$45:$I$59, 8, FALSE), perc_85, perc_75 + (perc_90 - perc_75) * (2/3), converted_stat, '2K_Ratings'!Q207, IF(bbgm_stat &gt;= perc_95, converted_stat * 3, IF(bbgm_stat &gt;= perc_90, converted_stat * 2, IF(bbgm_stat &gt;= perc_85, converted_stat * 1.5, converted_stat)))))</f>
        <v/>
      </c>
      <c r="R207" s="30" t="str">
        <f t="array" ref="R207">IF($A207="", "", LET(bbgm_stat, INDEX(Players!$A206:$P206, MATCH(R$2, Players!$A$1:$P$1, 0)), perc_75, VLOOKUP(R$2, Percentiles!$A$45:$I$59, 6, FALSE), perc_90, VLOOKUP(R$2, Percentiles!$A$45:$I$59, 7, FALSE), perc_95, VLOOKUP(R$2, Percentiles!$A$45:$I$59, 8, FALSE), perc_85, perc_75 + (perc_90 - perc_75) * (2/3), converted_stat, '2K_Ratings'!R207, IF(bbgm_stat &gt;= perc_95, converted_stat * 3, IF(bbgm_stat &gt;= perc_90, converted_stat * 2, IF(bbgm_stat &gt;= perc_85, converted_stat * 1.5, converted_stat)))))</f>
        <v/>
      </c>
      <c r="S207" s="30" t="str">
        <f t="array" ref="S207">IF($A207="", "", LET(bbgm_stat, INDEX(Players!$A206:$P206, MATCH(S$2, Players!$A$1:$P$1, 0)), perc_75, VLOOKUP(S$2, Percentiles!$A$45:$I$59, 6, FALSE), perc_90, VLOOKUP(S$2, Percentiles!$A$45:$I$59, 7, FALSE), perc_95, VLOOKUP(S$2, Percentiles!$A$45:$I$59, 8, FALSE), perc_85, perc_75 + (perc_90 - perc_75) * (2/3), converted_stat, '2K_Ratings'!S207, IF(bbgm_stat &gt;= perc_95, converted_stat * 3, IF(bbgm_stat &gt;= perc_90, converted_stat * 2, IF(bbgm_stat &gt;= perc_85, converted_stat * 1.5, converted_stat)))))</f>
        <v/>
      </c>
      <c r="T207" s="30" t="str">
        <f t="array" ref="T207">IF($A207="", "", LET(bbgm_stat, INDEX(Players!$A206:$P206, MATCH(T$2, Players!$A$1:$P$1, 0)), perc_75, VLOOKUP(T$2, Percentiles!$A$45:$I$59, 6, FALSE), perc_90, VLOOKUP(T$2, Percentiles!$A$45:$I$59, 7, FALSE), perc_95, VLOOKUP(T$2, Percentiles!$A$45:$I$59, 8, FALSE), perc_85, perc_75 + (perc_90 - perc_75) * (2/3), converted_stat, '2K_Ratings'!T207, IF(bbgm_stat &gt;= perc_95, converted_stat * 3, IF(bbgm_stat &gt;= perc_90, converted_stat * 2, IF(bbgm_stat &gt;= perc_85, converted_stat * 1.5, converted_stat)))))</f>
        <v/>
      </c>
      <c r="U207" s="30" t="str">
        <f t="array" ref="U207">IF($A207="", "", LET(bbgm_stat, INDEX(Players!$A206:$P206, MATCH(U$2, Players!$A$1:$P$1, 0)), perc_75, VLOOKUP(U$2, Percentiles!$A$45:$I$59, 6, FALSE), perc_90, VLOOKUP(U$2, Percentiles!$A$45:$I$59, 7, FALSE), perc_95, VLOOKUP(U$2, Percentiles!$A$45:$I$59, 8, FALSE), perc_85, perc_75 + (perc_90 - perc_75) * (2/3), converted_stat, '2K_Ratings'!U207, IF(bbgm_stat &gt;= perc_95, converted_stat * 3, IF(bbgm_stat &gt;= perc_90, converted_stat * 2, IF(bbgm_stat &gt;= perc_85, converted_stat * 1.5, converted_stat)))))</f>
        <v/>
      </c>
      <c r="V207" s="30" t="str">
        <f t="array" ref="V207">IF($A207="", "", LET(bbgm_stat, INDEX(Players!$A206:$P206, MATCH(V$2, Players!$A$1:$P$1, 0)), perc_75, VLOOKUP(V$2, Percentiles!$A$45:$I$59, 6, FALSE), perc_90, VLOOKUP(V$2, Percentiles!$A$45:$I$59, 7, FALSE), perc_95, VLOOKUP(V$2, Percentiles!$A$45:$I$59, 8, FALSE), perc_85, perc_75 + (perc_90 - perc_75) * (2/3), converted_stat, '2K_Ratings'!V207, IF(bbgm_stat &gt;= perc_95, converted_stat * 3, IF(bbgm_stat &gt;= perc_90, converted_stat * 2, IF(bbgm_stat &gt;= perc_85, converted_stat * 1.5, converted_stat)))))</f>
        <v/>
      </c>
      <c r="W207" s="30" t="str">
        <f t="array" ref="W207">IF($A207="", "", LET(bbgm_stat, INDEX(Players!$A206:$P206, MATCH(W$2, Players!$A$1:$P$1, 0)), perc_75, VLOOKUP(W$2, Percentiles!$A$45:$I$59, 6, FALSE), perc_90, VLOOKUP(W$2, Percentiles!$A$45:$I$59, 7, FALSE), perc_95, VLOOKUP(W$2, Percentiles!$A$45:$I$59, 8, FALSE), perc_85, perc_75 + (perc_90 - perc_75) * (2/3), converted_stat, '2K_Ratings'!W207, IF(bbgm_stat &gt;= perc_95, converted_stat * 3, IF(bbgm_stat &gt;= perc_90, converted_stat * 2, IF(bbgm_stat &gt;= perc_85, converted_stat * 1.5, converted_stat)))))</f>
        <v/>
      </c>
    </row>
    <row r="208">
      <c r="A208" s="30"/>
      <c r="B208" s="30" t="str">
        <f t="array" ref="B208">IF($A208="", "", LET(bbgm_stat, INDEX(Players!$A207:$P207, MATCH(B$2, Players!$A$1:$P$1, 0)), perc_75, VLOOKUP(B$2, Percentiles!$A$45:$I$59, 6, FALSE), perc_90, VLOOKUP(B$2, Percentiles!$A$45:$I$59, 7, FALSE), perc_95, VLOOKUP(B$2, Percentiles!$A$45:$I$59, 8, FALSE), perc_85, perc_75 + (perc_90 - perc_75) * (2/3), converted_stat, '2K_Ratings'!B208, IF(bbgm_stat &gt;= perc_95, converted_stat * 3, IF(bbgm_stat &gt;= perc_90, converted_stat * 2, IF(bbgm_stat &gt;= perc_85, converted_stat * 1.5, converted_stat)))))</f>
        <v/>
      </c>
      <c r="C208" s="30" t="str">
        <f t="array" ref="C208">IF($A208="", "", LET(bbgm_stat, INDEX(Players!$A207:$P207, MATCH(C$2, Players!$A$1:$P$1, 0)), perc_75, VLOOKUP(C$2, Percentiles!$A$45:$I$59, 6, FALSE), perc_90, VLOOKUP(C$2, Percentiles!$A$45:$I$59, 7, FALSE), perc_95, VLOOKUP(C$2, Percentiles!$A$45:$I$59, 8, FALSE), perc_85, perc_75 + (perc_90 - perc_75) * (2/3), converted_stat, '2K_Ratings'!C208, IF(bbgm_stat &gt;= perc_95, converted_stat * 3, IF(bbgm_stat &gt;= perc_90, converted_stat * 2, IF(bbgm_stat &gt;= perc_85, converted_stat * 1.5, converted_stat)))))</f>
        <v/>
      </c>
      <c r="D208" s="30" t="str">
        <f t="array" ref="D208">IF($A208="", "", LET(bbgm_stat, INDEX(Players!$A207:$P207, MATCH(D$2, Players!$A$1:$P$1, 0)), perc_75, VLOOKUP(D$2, Percentiles!$A$45:$I$59, 6, FALSE), perc_90, VLOOKUP(D$2, Percentiles!$A$45:$I$59, 7, FALSE), perc_95, VLOOKUP(D$2, Percentiles!$A$45:$I$59, 8, FALSE), perc_85, perc_75 + (perc_90 - perc_75) * (2/3), converted_stat, '2K_Ratings'!D208, IF(bbgm_stat &gt;= perc_95, converted_stat * 3, IF(bbgm_stat &gt;= perc_90, converted_stat * 2, IF(bbgm_stat &gt;= perc_85, converted_stat * 1.5, converted_stat)))))</f>
        <v/>
      </c>
      <c r="E208" s="30" t="str">
        <f t="array" ref="E208">IF($A208="", "", LET(bbgm_stat, INDEX(Players!$A207:$P207, MATCH(E$2, Players!$A$1:$P$1, 0)), perc_75, VLOOKUP(E$2, Percentiles!$A$45:$I$59, 6, FALSE), perc_90, VLOOKUP(E$2, Percentiles!$A$45:$I$59, 7, FALSE), perc_95, VLOOKUP(E$2, Percentiles!$A$45:$I$59, 8, FALSE), perc_85, perc_75 + (perc_90 - perc_75) * (2/3), converted_stat, '2K_Ratings'!E208, IF(bbgm_stat &gt;= perc_95, converted_stat * 3, IF(bbgm_stat &gt;= perc_90, converted_stat * 2, IF(bbgm_stat &gt;= perc_85, converted_stat * 1.5, converted_stat)))))</f>
        <v/>
      </c>
      <c r="F208" s="30" t="str">
        <f t="array" ref="F208">IF($A208="", "", LET(bbgm_stat, INDEX(Players!$A207:$P207, MATCH(F$2, Players!$A$1:$P$1, 0)), perc_75, VLOOKUP(F$2, Percentiles!$A$45:$I$59, 6, FALSE), perc_90, VLOOKUP(F$2, Percentiles!$A$45:$I$59, 7, FALSE), perc_95, VLOOKUP(F$2, Percentiles!$A$45:$I$59, 8, FALSE), perc_85, perc_75 + (perc_90 - perc_75) * (2/3), converted_stat, '2K_Ratings'!F208, IF(bbgm_stat &gt;= perc_95, converted_stat * 3, IF(bbgm_stat &gt;= perc_90, converted_stat * 2, IF(bbgm_stat &gt;= perc_85, converted_stat * 1.5, converted_stat)))))</f>
        <v/>
      </c>
      <c r="G208" s="30" t="str">
        <f t="array" ref="G208">IF($A208="", "", LET(bbgm_stat, INDEX(Players!$A207:$P207, MATCH(G$2, Players!$A$1:$P$1, 0)), perc_75, VLOOKUP(G$2, Percentiles!$A$45:$I$59, 6, FALSE), perc_90, VLOOKUP(G$2, Percentiles!$A$45:$I$59, 7, FALSE), perc_95, VLOOKUP(G$2, Percentiles!$A$45:$I$59, 8, FALSE), perc_85, perc_75 + (perc_90 - perc_75) * (2/3), converted_stat, '2K_Ratings'!G208, IF(bbgm_stat &gt;= perc_95, converted_stat * 3, IF(bbgm_stat &gt;= perc_90, converted_stat * 2, IF(bbgm_stat &gt;= perc_85, converted_stat * 1.5, converted_stat)))))</f>
        <v/>
      </c>
      <c r="H208" s="30" t="str">
        <f t="array" ref="H208">IF($A208="", "", LET(bbgm_stat, INDEX(Players!$A207:$P207, MATCH(H$2, Players!$A$1:$P$1, 0)), perc_75, VLOOKUP(H$2, Percentiles!$A$45:$I$59, 6, FALSE), perc_90, VLOOKUP(H$2, Percentiles!$A$45:$I$59, 7, FALSE), perc_95, VLOOKUP(H$2, Percentiles!$A$45:$I$59, 8, FALSE), perc_85, perc_75 + (perc_90 - perc_75) * (2/3), converted_stat, '2K_Ratings'!H208, IF(bbgm_stat &gt;= perc_95, converted_stat * 3, IF(bbgm_stat &gt;= perc_90, converted_stat * 2, IF(bbgm_stat &gt;= perc_85, converted_stat * 1.5, converted_stat)))))</f>
        <v/>
      </c>
      <c r="I208" s="30" t="str">
        <f t="array" ref="I208">IF($A208="", "", LET(bbgm_stat, INDEX(Players!$A207:$P207, MATCH(I$2, Players!$A$1:$P$1, 0)), perc_75, VLOOKUP(I$2, Percentiles!$A$45:$I$59, 6, FALSE), perc_90, VLOOKUP(I$2, Percentiles!$A$45:$I$59, 7, FALSE), perc_95, VLOOKUP(I$2, Percentiles!$A$45:$I$59, 8, FALSE), perc_85, perc_75 + (perc_90 - perc_75) * (2/3), converted_stat, '2K_Ratings'!I208, IF(bbgm_stat &gt;= perc_95, converted_stat * 3, IF(bbgm_stat &gt;= perc_90, converted_stat * 2, IF(bbgm_stat &gt;= perc_85, converted_stat * 1.5, converted_stat)))))</f>
        <v/>
      </c>
      <c r="J208" s="30" t="str">
        <f t="array" ref="J208">IF($A208="", "", LET(bbgm_stat, INDEX(Players!$A207:$P207, MATCH(J$2, Players!$A$1:$P$1, 0)), perc_75, VLOOKUP(J$2, Percentiles!$A$45:$I$59, 6, FALSE), perc_90, VLOOKUP(J$2, Percentiles!$A$45:$I$59, 7, FALSE), perc_95, VLOOKUP(J$2, Percentiles!$A$45:$I$59, 8, FALSE), perc_85, perc_75 + (perc_90 - perc_75) * (2/3), converted_stat, '2K_Ratings'!J208, IF(bbgm_stat &gt;= perc_95, converted_stat * 3, IF(bbgm_stat &gt;= perc_90, converted_stat * 2, IF(bbgm_stat &gt;= perc_85, converted_stat * 1.5, converted_stat)))))</f>
        <v/>
      </c>
      <c r="K208" s="30" t="str">
        <f t="array" ref="K208">IF($A208="", "", LET(bbgm_stat, INDEX(Players!$A207:$P207, MATCH(K$2, Players!$A$1:$P$1, 0)), perc_75, VLOOKUP(K$2, Percentiles!$A$45:$I$59, 6, FALSE), perc_90, VLOOKUP(K$2, Percentiles!$A$45:$I$59, 7, FALSE), perc_95, VLOOKUP(K$2, Percentiles!$A$45:$I$59, 8, FALSE), perc_85, perc_75 + (perc_90 - perc_75) * (2/3), converted_stat, '2K_Ratings'!K208, IF(bbgm_stat &gt;= perc_95, converted_stat * 3, IF(bbgm_stat &gt;= perc_90, converted_stat * 2, IF(bbgm_stat &gt;= perc_85, converted_stat * 1.5, converted_stat)))))</f>
        <v/>
      </c>
      <c r="L208" s="30" t="str">
        <f t="array" ref="L208">IF($A208="", "", LET(bbgm_stat, INDEX(Players!$A207:$P207, MATCH(L$2, Players!$A$1:$P$1, 0)), perc_75, VLOOKUP(L$2, Percentiles!$A$45:$I$59, 6, FALSE), perc_90, VLOOKUP(L$2, Percentiles!$A$45:$I$59, 7, FALSE), perc_95, VLOOKUP(L$2, Percentiles!$A$45:$I$59, 8, FALSE), perc_85, perc_75 + (perc_90 - perc_75) * (2/3), converted_stat, '2K_Ratings'!L208, IF(bbgm_stat &gt;= perc_95, converted_stat * 3, IF(bbgm_stat &gt;= perc_90, converted_stat * 2, IF(bbgm_stat &gt;= perc_85, converted_stat * 1.5, converted_stat)))))</f>
        <v/>
      </c>
      <c r="M208" s="30" t="str">
        <f t="array" ref="M208">IF($A208="", "", LET(bbgm_stat, INDEX(Players!$A207:$P207, MATCH(M$2, Players!$A$1:$P$1, 0)), perc_75, VLOOKUP(M$2, Percentiles!$A$45:$I$59, 6, FALSE), perc_90, VLOOKUP(M$2, Percentiles!$A$45:$I$59, 7, FALSE), perc_95, VLOOKUP(M$2, Percentiles!$A$45:$I$59, 8, FALSE), perc_85, perc_75 + (perc_90 - perc_75) * (2/3), converted_stat, '2K_Ratings'!M208, IF(bbgm_stat &gt;= perc_95, converted_stat * 3, IF(bbgm_stat &gt;= perc_90, converted_stat * 2, IF(bbgm_stat &gt;= perc_85, converted_stat * 1.5, converted_stat)))))</f>
        <v/>
      </c>
      <c r="N208" s="30" t="str">
        <f t="array" ref="N208">IF($A208="", "", LET(bbgm_stat, INDEX(Players!$A207:$P207, MATCH(N$2, Players!$A$1:$P$1, 0)), perc_75, VLOOKUP(N$2, Percentiles!$A$45:$I$59, 6, FALSE), perc_90, VLOOKUP(N$2, Percentiles!$A$45:$I$59, 7, FALSE), perc_95, VLOOKUP(N$2, Percentiles!$A$45:$I$59, 8, FALSE), perc_85, perc_75 + (perc_90 - perc_75) * (2/3), converted_stat, '2K_Ratings'!N208, IF(bbgm_stat &gt;= perc_95, converted_stat * 3, IF(bbgm_stat &gt;= perc_90, converted_stat * 2, IF(bbgm_stat &gt;= perc_85, converted_stat * 1.5, converted_stat)))))</f>
        <v/>
      </c>
      <c r="O208" s="30" t="str">
        <f t="array" ref="O208">IF($A208="", "", LET(bbgm_stat, INDEX(Players!$A207:$P207, MATCH(O$2, Players!$A$1:$P$1, 0)), perc_75, VLOOKUP(O$2, Percentiles!$A$45:$I$59, 6, FALSE), perc_90, VLOOKUP(O$2, Percentiles!$A$45:$I$59, 7, FALSE), perc_95, VLOOKUP(O$2, Percentiles!$A$45:$I$59, 8, FALSE), perc_85, perc_75 + (perc_90 - perc_75) * (2/3), converted_stat, '2K_Ratings'!O208, IF(bbgm_stat &gt;= perc_95, converted_stat * 3, IF(bbgm_stat &gt;= perc_90, converted_stat * 2, IF(bbgm_stat &gt;= perc_85, converted_stat * 1.5, converted_stat)))))</f>
        <v/>
      </c>
      <c r="P208" s="30" t="str">
        <f t="array" ref="P208">IF($A208="", "", LET(bbgm_stat, INDEX(Players!$A207:$P207, MATCH(P$2, Players!$A$1:$P$1, 0)), perc_75, VLOOKUP(P$2, Percentiles!$A$45:$I$59, 6, FALSE), perc_90, VLOOKUP(P$2, Percentiles!$A$45:$I$59, 7, FALSE), perc_95, VLOOKUP(P$2, Percentiles!$A$45:$I$59, 8, FALSE), perc_85, perc_75 + (perc_90 - perc_75) * (2/3), converted_stat, '2K_Ratings'!P208, IF(bbgm_stat &gt;= perc_95, converted_stat * 3, IF(bbgm_stat &gt;= perc_90, converted_stat * 2, IF(bbgm_stat &gt;= perc_85, converted_stat * 1.5, converted_stat)))))</f>
        <v/>
      </c>
      <c r="Q208" s="30" t="str">
        <f t="array" ref="Q208">IF($A208="", "", LET(bbgm_stat, INDEX(Players!$A207:$P207, MATCH(Q$2, Players!$A$1:$P$1, 0)), perc_75, VLOOKUP(Q$2, Percentiles!$A$45:$I$59, 6, FALSE), perc_90, VLOOKUP(Q$2, Percentiles!$A$45:$I$59, 7, FALSE), perc_95, VLOOKUP(Q$2, Percentiles!$A$45:$I$59, 8, FALSE), perc_85, perc_75 + (perc_90 - perc_75) * (2/3), converted_stat, '2K_Ratings'!Q208, IF(bbgm_stat &gt;= perc_95, converted_stat * 3, IF(bbgm_stat &gt;= perc_90, converted_stat * 2, IF(bbgm_stat &gt;= perc_85, converted_stat * 1.5, converted_stat)))))</f>
        <v/>
      </c>
      <c r="R208" s="30" t="str">
        <f t="array" ref="R208">IF($A208="", "", LET(bbgm_stat, INDEX(Players!$A207:$P207, MATCH(R$2, Players!$A$1:$P$1, 0)), perc_75, VLOOKUP(R$2, Percentiles!$A$45:$I$59, 6, FALSE), perc_90, VLOOKUP(R$2, Percentiles!$A$45:$I$59, 7, FALSE), perc_95, VLOOKUP(R$2, Percentiles!$A$45:$I$59, 8, FALSE), perc_85, perc_75 + (perc_90 - perc_75) * (2/3), converted_stat, '2K_Ratings'!R208, IF(bbgm_stat &gt;= perc_95, converted_stat * 3, IF(bbgm_stat &gt;= perc_90, converted_stat * 2, IF(bbgm_stat &gt;= perc_85, converted_stat * 1.5, converted_stat)))))</f>
        <v/>
      </c>
      <c r="S208" s="30" t="str">
        <f t="array" ref="S208">IF($A208="", "", LET(bbgm_stat, INDEX(Players!$A207:$P207, MATCH(S$2, Players!$A$1:$P$1, 0)), perc_75, VLOOKUP(S$2, Percentiles!$A$45:$I$59, 6, FALSE), perc_90, VLOOKUP(S$2, Percentiles!$A$45:$I$59, 7, FALSE), perc_95, VLOOKUP(S$2, Percentiles!$A$45:$I$59, 8, FALSE), perc_85, perc_75 + (perc_90 - perc_75) * (2/3), converted_stat, '2K_Ratings'!S208, IF(bbgm_stat &gt;= perc_95, converted_stat * 3, IF(bbgm_stat &gt;= perc_90, converted_stat * 2, IF(bbgm_stat &gt;= perc_85, converted_stat * 1.5, converted_stat)))))</f>
        <v/>
      </c>
      <c r="T208" s="30" t="str">
        <f t="array" ref="T208">IF($A208="", "", LET(bbgm_stat, INDEX(Players!$A207:$P207, MATCH(T$2, Players!$A$1:$P$1, 0)), perc_75, VLOOKUP(T$2, Percentiles!$A$45:$I$59, 6, FALSE), perc_90, VLOOKUP(T$2, Percentiles!$A$45:$I$59, 7, FALSE), perc_95, VLOOKUP(T$2, Percentiles!$A$45:$I$59, 8, FALSE), perc_85, perc_75 + (perc_90 - perc_75) * (2/3), converted_stat, '2K_Ratings'!T208, IF(bbgm_stat &gt;= perc_95, converted_stat * 3, IF(bbgm_stat &gt;= perc_90, converted_stat * 2, IF(bbgm_stat &gt;= perc_85, converted_stat * 1.5, converted_stat)))))</f>
        <v/>
      </c>
      <c r="U208" s="30" t="str">
        <f t="array" ref="U208">IF($A208="", "", LET(bbgm_stat, INDEX(Players!$A207:$P207, MATCH(U$2, Players!$A$1:$P$1, 0)), perc_75, VLOOKUP(U$2, Percentiles!$A$45:$I$59, 6, FALSE), perc_90, VLOOKUP(U$2, Percentiles!$A$45:$I$59, 7, FALSE), perc_95, VLOOKUP(U$2, Percentiles!$A$45:$I$59, 8, FALSE), perc_85, perc_75 + (perc_90 - perc_75) * (2/3), converted_stat, '2K_Ratings'!U208, IF(bbgm_stat &gt;= perc_95, converted_stat * 3, IF(bbgm_stat &gt;= perc_90, converted_stat * 2, IF(bbgm_stat &gt;= perc_85, converted_stat * 1.5, converted_stat)))))</f>
        <v/>
      </c>
      <c r="V208" s="30" t="str">
        <f t="array" ref="V208">IF($A208="", "", LET(bbgm_stat, INDEX(Players!$A207:$P207, MATCH(V$2, Players!$A$1:$P$1, 0)), perc_75, VLOOKUP(V$2, Percentiles!$A$45:$I$59, 6, FALSE), perc_90, VLOOKUP(V$2, Percentiles!$A$45:$I$59, 7, FALSE), perc_95, VLOOKUP(V$2, Percentiles!$A$45:$I$59, 8, FALSE), perc_85, perc_75 + (perc_90 - perc_75) * (2/3), converted_stat, '2K_Ratings'!V208, IF(bbgm_stat &gt;= perc_95, converted_stat * 3, IF(bbgm_stat &gt;= perc_90, converted_stat * 2, IF(bbgm_stat &gt;= perc_85, converted_stat * 1.5, converted_stat)))))</f>
        <v/>
      </c>
      <c r="W208" s="30" t="str">
        <f t="array" ref="W208">IF($A208="", "", LET(bbgm_stat, INDEX(Players!$A207:$P207, MATCH(W$2, Players!$A$1:$P$1, 0)), perc_75, VLOOKUP(W$2, Percentiles!$A$45:$I$59, 6, FALSE), perc_90, VLOOKUP(W$2, Percentiles!$A$45:$I$59, 7, FALSE), perc_95, VLOOKUP(W$2, Percentiles!$A$45:$I$59, 8, FALSE), perc_85, perc_75 + (perc_90 - perc_75) * (2/3), converted_stat, '2K_Ratings'!W208, IF(bbgm_stat &gt;= perc_95, converted_stat * 3, IF(bbgm_stat &gt;= perc_90, converted_stat * 2, IF(bbgm_stat &gt;= perc_85, converted_stat * 1.5, converted_stat)))))</f>
        <v/>
      </c>
    </row>
    <row r="209">
      <c r="A209" s="30"/>
      <c r="B209" s="30" t="str">
        <f t="array" ref="B209">IF($A209="", "", LET(bbgm_stat, INDEX(Players!$A208:$P208, MATCH(B$2, Players!$A$1:$P$1, 0)), perc_75, VLOOKUP(B$2, Percentiles!$A$45:$I$59, 6, FALSE), perc_90, VLOOKUP(B$2, Percentiles!$A$45:$I$59, 7, FALSE), perc_95, VLOOKUP(B$2, Percentiles!$A$45:$I$59, 8, FALSE), perc_85, perc_75 + (perc_90 - perc_75) * (2/3), converted_stat, '2K_Ratings'!B209, IF(bbgm_stat &gt;= perc_95, converted_stat * 3, IF(bbgm_stat &gt;= perc_90, converted_stat * 2, IF(bbgm_stat &gt;= perc_85, converted_stat * 1.5, converted_stat)))))</f>
        <v/>
      </c>
      <c r="C209" s="30" t="str">
        <f t="array" ref="C209">IF($A209="", "", LET(bbgm_stat, INDEX(Players!$A208:$P208, MATCH(C$2, Players!$A$1:$P$1, 0)), perc_75, VLOOKUP(C$2, Percentiles!$A$45:$I$59, 6, FALSE), perc_90, VLOOKUP(C$2, Percentiles!$A$45:$I$59, 7, FALSE), perc_95, VLOOKUP(C$2, Percentiles!$A$45:$I$59, 8, FALSE), perc_85, perc_75 + (perc_90 - perc_75) * (2/3), converted_stat, '2K_Ratings'!C209, IF(bbgm_stat &gt;= perc_95, converted_stat * 3, IF(bbgm_stat &gt;= perc_90, converted_stat * 2, IF(bbgm_stat &gt;= perc_85, converted_stat * 1.5, converted_stat)))))</f>
        <v/>
      </c>
      <c r="D209" s="30" t="str">
        <f t="array" ref="D209">IF($A209="", "", LET(bbgm_stat, INDEX(Players!$A208:$P208, MATCH(D$2, Players!$A$1:$P$1, 0)), perc_75, VLOOKUP(D$2, Percentiles!$A$45:$I$59, 6, FALSE), perc_90, VLOOKUP(D$2, Percentiles!$A$45:$I$59, 7, FALSE), perc_95, VLOOKUP(D$2, Percentiles!$A$45:$I$59, 8, FALSE), perc_85, perc_75 + (perc_90 - perc_75) * (2/3), converted_stat, '2K_Ratings'!D209, IF(bbgm_stat &gt;= perc_95, converted_stat * 3, IF(bbgm_stat &gt;= perc_90, converted_stat * 2, IF(bbgm_stat &gt;= perc_85, converted_stat * 1.5, converted_stat)))))</f>
        <v/>
      </c>
      <c r="E209" s="30" t="str">
        <f t="array" ref="E209">IF($A209="", "", LET(bbgm_stat, INDEX(Players!$A208:$P208, MATCH(E$2, Players!$A$1:$P$1, 0)), perc_75, VLOOKUP(E$2, Percentiles!$A$45:$I$59, 6, FALSE), perc_90, VLOOKUP(E$2, Percentiles!$A$45:$I$59, 7, FALSE), perc_95, VLOOKUP(E$2, Percentiles!$A$45:$I$59, 8, FALSE), perc_85, perc_75 + (perc_90 - perc_75) * (2/3), converted_stat, '2K_Ratings'!E209, IF(bbgm_stat &gt;= perc_95, converted_stat * 3, IF(bbgm_stat &gt;= perc_90, converted_stat * 2, IF(bbgm_stat &gt;= perc_85, converted_stat * 1.5, converted_stat)))))</f>
        <v/>
      </c>
      <c r="F209" s="30" t="str">
        <f t="array" ref="F209">IF($A209="", "", LET(bbgm_stat, INDEX(Players!$A208:$P208, MATCH(F$2, Players!$A$1:$P$1, 0)), perc_75, VLOOKUP(F$2, Percentiles!$A$45:$I$59, 6, FALSE), perc_90, VLOOKUP(F$2, Percentiles!$A$45:$I$59, 7, FALSE), perc_95, VLOOKUP(F$2, Percentiles!$A$45:$I$59, 8, FALSE), perc_85, perc_75 + (perc_90 - perc_75) * (2/3), converted_stat, '2K_Ratings'!F209, IF(bbgm_stat &gt;= perc_95, converted_stat * 3, IF(bbgm_stat &gt;= perc_90, converted_stat * 2, IF(bbgm_stat &gt;= perc_85, converted_stat * 1.5, converted_stat)))))</f>
        <v/>
      </c>
      <c r="G209" s="30" t="str">
        <f t="array" ref="G209">IF($A209="", "", LET(bbgm_stat, INDEX(Players!$A208:$P208, MATCH(G$2, Players!$A$1:$P$1, 0)), perc_75, VLOOKUP(G$2, Percentiles!$A$45:$I$59, 6, FALSE), perc_90, VLOOKUP(G$2, Percentiles!$A$45:$I$59, 7, FALSE), perc_95, VLOOKUP(G$2, Percentiles!$A$45:$I$59, 8, FALSE), perc_85, perc_75 + (perc_90 - perc_75) * (2/3), converted_stat, '2K_Ratings'!G209, IF(bbgm_stat &gt;= perc_95, converted_stat * 3, IF(bbgm_stat &gt;= perc_90, converted_stat * 2, IF(bbgm_stat &gt;= perc_85, converted_stat * 1.5, converted_stat)))))</f>
        <v/>
      </c>
      <c r="H209" s="30" t="str">
        <f t="array" ref="H209">IF($A209="", "", LET(bbgm_stat, INDEX(Players!$A208:$P208, MATCH(H$2, Players!$A$1:$P$1, 0)), perc_75, VLOOKUP(H$2, Percentiles!$A$45:$I$59, 6, FALSE), perc_90, VLOOKUP(H$2, Percentiles!$A$45:$I$59, 7, FALSE), perc_95, VLOOKUP(H$2, Percentiles!$A$45:$I$59, 8, FALSE), perc_85, perc_75 + (perc_90 - perc_75) * (2/3), converted_stat, '2K_Ratings'!H209, IF(bbgm_stat &gt;= perc_95, converted_stat * 3, IF(bbgm_stat &gt;= perc_90, converted_stat * 2, IF(bbgm_stat &gt;= perc_85, converted_stat * 1.5, converted_stat)))))</f>
        <v/>
      </c>
      <c r="I209" s="30" t="str">
        <f t="array" ref="I209">IF($A209="", "", LET(bbgm_stat, INDEX(Players!$A208:$P208, MATCH(I$2, Players!$A$1:$P$1, 0)), perc_75, VLOOKUP(I$2, Percentiles!$A$45:$I$59, 6, FALSE), perc_90, VLOOKUP(I$2, Percentiles!$A$45:$I$59, 7, FALSE), perc_95, VLOOKUP(I$2, Percentiles!$A$45:$I$59, 8, FALSE), perc_85, perc_75 + (perc_90 - perc_75) * (2/3), converted_stat, '2K_Ratings'!I209, IF(bbgm_stat &gt;= perc_95, converted_stat * 3, IF(bbgm_stat &gt;= perc_90, converted_stat * 2, IF(bbgm_stat &gt;= perc_85, converted_stat * 1.5, converted_stat)))))</f>
        <v/>
      </c>
      <c r="J209" s="30" t="str">
        <f t="array" ref="J209">IF($A209="", "", LET(bbgm_stat, INDEX(Players!$A208:$P208, MATCH(J$2, Players!$A$1:$P$1, 0)), perc_75, VLOOKUP(J$2, Percentiles!$A$45:$I$59, 6, FALSE), perc_90, VLOOKUP(J$2, Percentiles!$A$45:$I$59, 7, FALSE), perc_95, VLOOKUP(J$2, Percentiles!$A$45:$I$59, 8, FALSE), perc_85, perc_75 + (perc_90 - perc_75) * (2/3), converted_stat, '2K_Ratings'!J209, IF(bbgm_stat &gt;= perc_95, converted_stat * 3, IF(bbgm_stat &gt;= perc_90, converted_stat * 2, IF(bbgm_stat &gt;= perc_85, converted_stat * 1.5, converted_stat)))))</f>
        <v/>
      </c>
      <c r="K209" s="30" t="str">
        <f t="array" ref="K209">IF($A209="", "", LET(bbgm_stat, INDEX(Players!$A208:$P208, MATCH(K$2, Players!$A$1:$P$1, 0)), perc_75, VLOOKUP(K$2, Percentiles!$A$45:$I$59, 6, FALSE), perc_90, VLOOKUP(K$2, Percentiles!$A$45:$I$59, 7, FALSE), perc_95, VLOOKUP(K$2, Percentiles!$A$45:$I$59, 8, FALSE), perc_85, perc_75 + (perc_90 - perc_75) * (2/3), converted_stat, '2K_Ratings'!K209, IF(bbgm_stat &gt;= perc_95, converted_stat * 3, IF(bbgm_stat &gt;= perc_90, converted_stat * 2, IF(bbgm_stat &gt;= perc_85, converted_stat * 1.5, converted_stat)))))</f>
        <v/>
      </c>
      <c r="L209" s="30" t="str">
        <f t="array" ref="L209">IF($A209="", "", LET(bbgm_stat, INDEX(Players!$A208:$P208, MATCH(L$2, Players!$A$1:$P$1, 0)), perc_75, VLOOKUP(L$2, Percentiles!$A$45:$I$59, 6, FALSE), perc_90, VLOOKUP(L$2, Percentiles!$A$45:$I$59, 7, FALSE), perc_95, VLOOKUP(L$2, Percentiles!$A$45:$I$59, 8, FALSE), perc_85, perc_75 + (perc_90 - perc_75) * (2/3), converted_stat, '2K_Ratings'!L209, IF(bbgm_stat &gt;= perc_95, converted_stat * 3, IF(bbgm_stat &gt;= perc_90, converted_stat * 2, IF(bbgm_stat &gt;= perc_85, converted_stat * 1.5, converted_stat)))))</f>
        <v/>
      </c>
      <c r="M209" s="30" t="str">
        <f t="array" ref="M209">IF($A209="", "", LET(bbgm_stat, INDEX(Players!$A208:$P208, MATCH(M$2, Players!$A$1:$P$1, 0)), perc_75, VLOOKUP(M$2, Percentiles!$A$45:$I$59, 6, FALSE), perc_90, VLOOKUP(M$2, Percentiles!$A$45:$I$59, 7, FALSE), perc_95, VLOOKUP(M$2, Percentiles!$A$45:$I$59, 8, FALSE), perc_85, perc_75 + (perc_90 - perc_75) * (2/3), converted_stat, '2K_Ratings'!M209, IF(bbgm_stat &gt;= perc_95, converted_stat * 3, IF(bbgm_stat &gt;= perc_90, converted_stat * 2, IF(bbgm_stat &gt;= perc_85, converted_stat * 1.5, converted_stat)))))</f>
        <v/>
      </c>
      <c r="N209" s="30" t="str">
        <f t="array" ref="N209">IF($A209="", "", LET(bbgm_stat, INDEX(Players!$A208:$P208, MATCH(N$2, Players!$A$1:$P$1, 0)), perc_75, VLOOKUP(N$2, Percentiles!$A$45:$I$59, 6, FALSE), perc_90, VLOOKUP(N$2, Percentiles!$A$45:$I$59, 7, FALSE), perc_95, VLOOKUP(N$2, Percentiles!$A$45:$I$59, 8, FALSE), perc_85, perc_75 + (perc_90 - perc_75) * (2/3), converted_stat, '2K_Ratings'!N209, IF(bbgm_stat &gt;= perc_95, converted_stat * 3, IF(bbgm_stat &gt;= perc_90, converted_stat * 2, IF(bbgm_stat &gt;= perc_85, converted_stat * 1.5, converted_stat)))))</f>
        <v/>
      </c>
      <c r="O209" s="30" t="str">
        <f t="array" ref="O209">IF($A209="", "", LET(bbgm_stat, INDEX(Players!$A208:$P208, MATCH(O$2, Players!$A$1:$P$1, 0)), perc_75, VLOOKUP(O$2, Percentiles!$A$45:$I$59, 6, FALSE), perc_90, VLOOKUP(O$2, Percentiles!$A$45:$I$59, 7, FALSE), perc_95, VLOOKUP(O$2, Percentiles!$A$45:$I$59, 8, FALSE), perc_85, perc_75 + (perc_90 - perc_75) * (2/3), converted_stat, '2K_Ratings'!O209, IF(bbgm_stat &gt;= perc_95, converted_stat * 3, IF(bbgm_stat &gt;= perc_90, converted_stat * 2, IF(bbgm_stat &gt;= perc_85, converted_stat * 1.5, converted_stat)))))</f>
        <v/>
      </c>
      <c r="P209" s="30" t="str">
        <f t="array" ref="P209">IF($A209="", "", LET(bbgm_stat, INDEX(Players!$A208:$P208, MATCH(P$2, Players!$A$1:$P$1, 0)), perc_75, VLOOKUP(P$2, Percentiles!$A$45:$I$59, 6, FALSE), perc_90, VLOOKUP(P$2, Percentiles!$A$45:$I$59, 7, FALSE), perc_95, VLOOKUP(P$2, Percentiles!$A$45:$I$59, 8, FALSE), perc_85, perc_75 + (perc_90 - perc_75) * (2/3), converted_stat, '2K_Ratings'!P209, IF(bbgm_stat &gt;= perc_95, converted_stat * 3, IF(bbgm_stat &gt;= perc_90, converted_stat * 2, IF(bbgm_stat &gt;= perc_85, converted_stat * 1.5, converted_stat)))))</f>
        <v/>
      </c>
      <c r="Q209" s="30" t="str">
        <f t="array" ref="Q209">IF($A209="", "", LET(bbgm_stat, INDEX(Players!$A208:$P208, MATCH(Q$2, Players!$A$1:$P$1, 0)), perc_75, VLOOKUP(Q$2, Percentiles!$A$45:$I$59, 6, FALSE), perc_90, VLOOKUP(Q$2, Percentiles!$A$45:$I$59, 7, FALSE), perc_95, VLOOKUP(Q$2, Percentiles!$A$45:$I$59, 8, FALSE), perc_85, perc_75 + (perc_90 - perc_75) * (2/3), converted_stat, '2K_Ratings'!Q209, IF(bbgm_stat &gt;= perc_95, converted_stat * 3, IF(bbgm_stat &gt;= perc_90, converted_stat * 2, IF(bbgm_stat &gt;= perc_85, converted_stat * 1.5, converted_stat)))))</f>
        <v/>
      </c>
      <c r="R209" s="30" t="str">
        <f t="array" ref="R209">IF($A209="", "", LET(bbgm_stat, INDEX(Players!$A208:$P208, MATCH(R$2, Players!$A$1:$P$1, 0)), perc_75, VLOOKUP(R$2, Percentiles!$A$45:$I$59, 6, FALSE), perc_90, VLOOKUP(R$2, Percentiles!$A$45:$I$59, 7, FALSE), perc_95, VLOOKUP(R$2, Percentiles!$A$45:$I$59, 8, FALSE), perc_85, perc_75 + (perc_90 - perc_75) * (2/3), converted_stat, '2K_Ratings'!R209, IF(bbgm_stat &gt;= perc_95, converted_stat * 3, IF(bbgm_stat &gt;= perc_90, converted_stat * 2, IF(bbgm_stat &gt;= perc_85, converted_stat * 1.5, converted_stat)))))</f>
        <v/>
      </c>
      <c r="S209" s="30" t="str">
        <f t="array" ref="S209">IF($A209="", "", LET(bbgm_stat, INDEX(Players!$A208:$P208, MATCH(S$2, Players!$A$1:$P$1, 0)), perc_75, VLOOKUP(S$2, Percentiles!$A$45:$I$59, 6, FALSE), perc_90, VLOOKUP(S$2, Percentiles!$A$45:$I$59, 7, FALSE), perc_95, VLOOKUP(S$2, Percentiles!$A$45:$I$59, 8, FALSE), perc_85, perc_75 + (perc_90 - perc_75) * (2/3), converted_stat, '2K_Ratings'!S209, IF(bbgm_stat &gt;= perc_95, converted_stat * 3, IF(bbgm_stat &gt;= perc_90, converted_stat * 2, IF(bbgm_stat &gt;= perc_85, converted_stat * 1.5, converted_stat)))))</f>
        <v/>
      </c>
      <c r="T209" s="30" t="str">
        <f t="array" ref="T209">IF($A209="", "", LET(bbgm_stat, INDEX(Players!$A208:$P208, MATCH(T$2, Players!$A$1:$P$1, 0)), perc_75, VLOOKUP(T$2, Percentiles!$A$45:$I$59, 6, FALSE), perc_90, VLOOKUP(T$2, Percentiles!$A$45:$I$59, 7, FALSE), perc_95, VLOOKUP(T$2, Percentiles!$A$45:$I$59, 8, FALSE), perc_85, perc_75 + (perc_90 - perc_75) * (2/3), converted_stat, '2K_Ratings'!T209, IF(bbgm_stat &gt;= perc_95, converted_stat * 3, IF(bbgm_stat &gt;= perc_90, converted_stat * 2, IF(bbgm_stat &gt;= perc_85, converted_stat * 1.5, converted_stat)))))</f>
        <v/>
      </c>
      <c r="U209" s="30" t="str">
        <f t="array" ref="U209">IF($A209="", "", LET(bbgm_stat, INDEX(Players!$A208:$P208, MATCH(U$2, Players!$A$1:$P$1, 0)), perc_75, VLOOKUP(U$2, Percentiles!$A$45:$I$59, 6, FALSE), perc_90, VLOOKUP(U$2, Percentiles!$A$45:$I$59, 7, FALSE), perc_95, VLOOKUP(U$2, Percentiles!$A$45:$I$59, 8, FALSE), perc_85, perc_75 + (perc_90 - perc_75) * (2/3), converted_stat, '2K_Ratings'!U209, IF(bbgm_stat &gt;= perc_95, converted_stat * 3, IF(bbgm_stat &gt;= perc_90, converted_stat * 2, IF(bbgm_stat &gt;= perc_85, converted_stat * 1.5, converted_stat)))))</f>
        <v/>
      </c>
      <c r="V209" s="30" t="str">
        <f t="array" ref="V209">IF($A209="", "", LET(bbgm_stat, INDEX(Players!$A208:$P208, MATCH(V$2, Players!$A$1:$P$1, 0)), perc_75, VLOOKUP(V$2, Percentiles!$A$45:$I$59, 6, FALSE), perc_90, VLOOKUP(V$2, Percentiles!$A$45:$I$59, 7, FALSE), perc_95, VLOOKUP(V$2, Percentiles!$A$45:$I$59, 8, FALSE), perc_85, perc_75 + (perc_90 - perc_75) * (2/3), converted_stat, '2K_Ratings'!V209, IF(bbgm_stat &gt;= perc_95, converted_stat * 3, IF(bbgm_stat &gt;= perc_90, converted_stat * 2, IF(bbgm_stat &gt;= perc_85, converted_stat * 1.5, converted_stat)))))</f>
        <v/>
      </c>
      <c r="W209" s="30" t="str">
        <f t="array" ref="W209">IF($A209="", "", LET(bbgm_stat, INDEX(Players!$A208:$P208, MATCH(W$2, Players!$A$1:$P$1, 0)), perc_75, VLOOKUP(W$2, Percentiles!$A$45:$I$59, 6, FALSE), perc_90, VLOOKUP(W$2, Percentiles!$A$45:$I$59, 7, FALSE), perc_95, VLOOKUP(W$2, Percentiles!$A$45:$I$59, 8, FALSE), perc_85, perc_75 + (perc_90 - perc_75) * (2/3), converted_stat, '2K_Ratings'!W209, IF(bbgm_stat &gt;= perc_95, converted_stat * 3, IF(bbgm_stat &gt;= perc_90, converted_stat * 2, IF(bbgm_stat &gt;= perc_85, converted_stat * 1.5, converted_stat)))))</f>
        <v/>
      </c>
    </row>
    <row r="210">
      <c r="A210" s="30"/>
      <c r="B210" s="30" t="str">
        <f t="array" ref="B210">IF($A210="", "", LET(bbgm_stat, INDEX(Players!$A209:$P209, MATCH(B$2, Players!$A$1:$P$1, 0)), perc_75, VLOOKUP(B$2, Percentiles!$A$45:$I$59, 6, FALSE), perc_90, VLOOKUP(B$2, Percentiles!$A$45:$I$59, 7, FALSE), perc_95, VLOOKUP(B$2, Percentiles!$A$45:$I$59, 8, FALSE), perc_85, perc_75 + (perc_90 - perc_75) * (2/3), converted_stat, '2K_Ratings'!B210, IF(bbgm_stat &gt;= perc_95, converted_stat * 3, IF(bbgm_stat &gt;= perc_90, converted_stat * 2, IF(bbgm_stat &gt;= perc_85, converted_stat * 1.5, converted_stat)))))</f>
        <v/>
      </c>
      <c r="C210" s="30" t="str">
        <f t="array" ref="C210">IF($A210="", "", LET(bbgm_stat, INDEX(Players!$A209:$P209, MATCH(C$2, Players!$A$1:$P$1, 0)), perc_75, VLOOKUP(C$2, Percentiles!$A$45:$I$59, 6, FALSE), perc_90, VLOOKUP(C$2, Percentiles!$A$45:$I$59, 7, FALSE), perc_95, VLOOKUP(C$2, Percentiles!$A$45:$I$59, 8, FALSE), perc_85, perc_75 + (perc_90 - perc_75) * (2/3), converted_stat, '2K_Ratings'!C210, IF(bbgm_stat &gt;= perc_95, converted_stat * 3, IF(bbgm_stat &gt;= perc_90, converted_stat * 2, IF(bbgm_stat &gt;= perc_85, converted_stat * 1.5, converted_stat)))))</f>
        <v/>
      </c>
      <c r="D210" s="30" t="str">
        <f t="array" ref="D210">IF($A210="", "", LET(bbgm_stat, INDEX(Players!$A209:$P209, MATCH(D$2, Players!$A$1:$P$1, 0)), perc_75, VLOOKUP(D$2, Percentiles!$A$45:$I$59, 6, FALSE), perc_90, VLOOKUP(D$2, Percentiles!$A$45:$I$59, 7, FALSE), perc_95, VLOOKUP(D$2, Percentiles!$A$45:$I$59, 8, FALSE), perc_85, perc_75 + (perc_90 - perc_75) * (2/3), converted_stat, '2K_Ratings'!D210, IF(bbgm_stat &gt;= perc_95, converted_stat * 3, IF(bbgm_stat &gt;= perc_90, converted_stat * 2, IF(bbgm_stat &gt;= perc_85, converted_stat * 1.5, converted_stat)))))</f>
        <v/>
      </c>
      <c r="E210" s="30" t="str">
        <f t="array" ref="E210">IF($A210="", "", LET(bbgm_stat, INDEX(Players!$A209:$P209, MATCH(E$2, Players!$A$1:$P$1, 0)), perc_75, VLOOKUP(E$2, Percentiles!$A$45:$I$59, 6, FALSE), perc_90, VLOOKUP(E$2, Percentiles!$A$45:$I$59, 7, FALSE), perc_95, VLOOKUP(E$2, Percentiles!$A$45:$I$59, 8, FALSE), perc_85, perc_75 + (perc_90 - perc_75) * (2/3), converted_stat, '2K_Ratings'!E210, IF(bbgm_stat &gt;= perc_95, converted_stat * 3, IF(bbgm_stat &gt;= perc_90, converted_stat * 2, IF(bbgm_stat &gt;= perc_85, converted_stat * 1.5, converted_stat)))))</f>
        <v/>
      </c>
      <c r="F210" s="30" t="str">
        <f t="array" ref="F210">IF($A210="", "", LET(bbgm_stat, INDEX(Players!$A209:$P209, MATCH(F$2, Players!$A$1:$P$1, 0)), perc_75, VLOOKUP(F$2, Percentiles!$A$45:$I$59, 6, FALSE), perc_90, VLOOKUP(F$2, Percentiles!$A$45:$I$59, 7, FALSE), perc_95, VLOOKUP(F$2, Percentiles!$A$45:$I$59, 8, FALSE), perc_85, perc_75 + (perc_90 - perc_75) * (2/3), converted_stat, '2K_Ratings'!F210, IF(bbgm_stat &gt;= perc_95, converted_stat * 3, IF(bbgm_stat &gt;= perc_90, converted_stat * 2, IF(bbgm_stat &gt;= perc_85, converted_stat * 1.5, converted_stat)))))</f>
        <v/>
      </c>
      <c r="G210" s="30" t="str">
        <f t="array" ref="G210">IF($A210="", "", LET(bbgm_stat, INDEX(Players!$A209:$P209, MATCH(G$2, Players!$A$1:$P$1, 0)), perc_75, VLOOKUP(G$2, Percentiles!$A$45:$I$59, 6, FALSE), perc_90, VLOOKUP(G$2, Percentiles!$A$45:$I$59, 7, FALSE), perc_95, VLOOKUP(G$2, Percentiles!$A$45:$I$59, 8, FALSE), perc_85, perc_75 + (perc_90 - perc_75) * (2/3), converted_stat, '2K_Ratings'!G210, IF(bbgm_stat &gt;= perc_95, converted_stat * 3, IF(bbgm_stat &gt;= perc_90, converted_stat * 2, IF(bbgm_stat &gt;= perc_85, converted_stat * 1.5, converted_stat)))))</f>
        <v/>
      </c>
      <c r="H210" s="30" t="str">
        <f t="array" ref="H210">IF($A210="", "", LET(bbgm_stat, INDEX(Players!$A209:$P209, MATCH(H$2, Players!$A$1:$P$1, 0)), perc_75, VLOOKUP(H$2, Percentiles!$A$45:$I$59, 6, FALSE), perc_90, VLOOKUP(H$2, Percentiles!$A$45:$I$59, 7, FALSE), perc_95, VLOOKUP(H$2, Percentiles!$A$45:$I$59, 8, FALSE), perc_85, perc_75 + (perc_90 - perc_75) * (2/3), converted_stat, '2K_Ratings'!H210, IF(bbgm_stat &gt;= perc_95, converted_stat * 3, IF(bbgm_stat &gt;= perc_90, converted_stat * 2, IF(bbgm_stat &gt;= perc_85, converted_stat * 1.5, converted_stat)))))</f>
        <v/>
      </c>
      <c r="I210" s="30" t="str">
        <f t="array" ref="I210">IF($A210="", "", LET(bbgm_stat, INDEX(Players!$A209:$P209, MATCH(I$2, Players!$A$1:$P$1, 0)), perc_75, VLOOKUP(I$2, Percentiles!$A$45:$I$59, 6, FALSE), perc_90, VLOOKUP(I$2, Percentiles!$A$45:$I$59, 7, FALSE), perc_95, VLOOKUP(I$2, Percentiles!$A$45:$I$59, 8, FALSE), perc_85, perc_75 + (perc_90 - perc_75) * (2/3), converted_stat, '2K_Ratings'!I210, IF(bbgm_stat &gt;= perc_95, converted_stat * 3, IF(bbgm_stat &gt;= perc_90, converted_stat * 2, IF(bbgm_stat &gt;= perc_85, converted_stat * 1.5, converted_stat)))))</f>
        <v/>
      </c>
      <c r="J210" s="30" t="str">
        <f t="array" ref="J210">IF($A210="", "", LET(bbgm_stat, INDEX(Players!$A209:$P209, MATCH(J$2, Players!$A$1:$P$1, 0)), perc_75, VLOOKUP(J$2, Percentiles!$A$45:$I$59, 6, FALSE), perc_90, VLOOKUP(J$2, Percentiles!$A$45:$I$59, 7, FALSE), perc_95, VLOOKUP(J$2, Percentiles!$A$45:$I$59, 8, FALSE), perc_85, perc_75 + (perc_90 - perc_75) * (2/3), converted_stat, '2K_Ratings'!J210, IF(bbgm_stat &gt;= perc_95, converted_stat * 3, IF(bbgm_stat &gt;= perc_90, converted_stat * 2, IF(bbgm_stat &gt;= perc_85, converted_stat * 1.5, converted_stat)))))</f>
        <v/>
      </c>
      <c r="K210" s="30" t="str">
        <f t="array" ref="K210">IF($A210="", "", LET(bbgm_stat, INDEX(Players!$A209:$P209, MATCH(K$2, Players!$A$1:$P$1, 0)), perc_75, VLOOKUP(K$2, Percentiles!$A$45:$I$59, 6, FALSE), perc_90, VLOOKUP(K$2, Percentiles!$A$45:$I$59, 7, FALSE), perc_95, VLOOKUP(K$2, Percentiles!$A$45:$I$59, 8, FALSE), perc_85, perc_75 + (perc_90 - perc_75) * (2/3), converted_stat, '2K_Ratings'!K210, IF(bbgm_stat &gt;= perc_95, converted_stat * 3, IF(bbgm_stat &gt;= perc_90, converted_stat * 2, IF(bbgm_stat &gt;= perc_85, converted_stat * 1.5, converted_stat)))))</f>
        <v/>
      </c>
      <c r="L210" s="30" t="str">
        <f t="array" ref="L210">IF($A210="", "", LET(bbgm_stat, INDEX(Players!$A209:$P209, MATCH(L$2, Players!$A$1:$P$1, 0)), perc_75, VLOOKUP(L$2, Percentiles!$A$45:$I$59, 6, FALSE), perc_90, VLOOKUP(L$2, Percentiles!$A$45:$I$59, 7, FALSE), perc_95, VLOOKUP(L$2, Percentiles!$A$45:$I$59, 8, FALSE), perc_85, perc_75 + (perc_90 - perc_75) * (2/3), converted_stat, '2K_Ratings'!L210, IF(bbgm_stat &gt;= perc_95, converted_stat * 3, IF(bbgm_stat &gt;= perc_90, converted_stat * 2, IF(bbgm_stat &gt;= perc_85, converted_stat * 1.5, converted_stat)))))</f>
        <v/>
      </c>
      <c r="M210" s="30" t="str">
        <f t="array" ref="M210">IF($A210="", "", LET(bbgm_stat, INDEX(Players!$A209:$P209, MATCH(M$2, Players!$A$1:$P$1, 0)), perc_75, VLOOKUP(M$2, Percentiles!$A$45:$I$59, 6, FALSE), perc_90, VLOOKUP(M$2, Percentiles!$A$45:$I$59, 7, FALSE), perc_95, VLOOKUP(M$2, Percentiles!$A$45:$I$59, 8, FALSE), perc_85, perc_75 + (perc_90 - perc_75) * (2/3), converted_stat, '2K_Ratings'!M210, IF(bbgm_stat &gt;= perc_95, converted_stat * 3, IF(bbgm_stat &gt;= perc_90, converted_stat * 2, IF(bbgm_stat &gt;= perc_85, converted_stat * 1.5, converted_stat)))))</f>
        <v/>
      </c>
      <c r="N210" s="30" t="str">
        <f t="array" ref="N210">IF($A210="", "", LET(bbgm_stat, INDEX(Players!$A209:$P209, MATCH(N$2, Players!$A$1:$P$1, 0)), perc_75, VLOOKUP(N$2, Percentiles!$A$45:$I$59, 6, FALSE), perc_90, VLOOKUP(N$2, Percentiles!$A$45:$I$59, 7, FALSE), perc_95, VLOOKUP(N$2, Percentiles!$A$45:$I$59, 8, FALSE), perc_85, perc_75 + (perc_90 - perc_75) * (2/3), converted_stat, '2K_Ratings'!N210, IF(bbgm_stat &gt;= perc_95, converted_stat * 3, IF(bbgm_stat &gt;= perc_90, converted_stat * 2, IF(bbgm_stat &gt;= perc_85, converted_stat * 1.5, converted_stat)))))</f>
        <v/>
      </c>
      <c r="O210" s="30" t="str">
        <f t="array" ref="O210">IF($A210="", "", LET(bbgm_stat, INDEX(Players!$A209:$P209, MATCH(O$2, Players!$A$1:$P$1, 0)), perc_75, VLOOKUP(O$2, Percentiles!$A$45:$I$59, 6, FALSE), perc_90, VLOOKUP(O$2, Percentiles!$A$45:$I$59, 7, FALSE), perc_95, VLOOKUP(O$2, Percentiles!$A$45:$I$59, 8, FALSE), perc_85, perc_75 + (perc_90 - perc_75) * (2/3), converted_stat, '2K_Ratings'!O210, IF(bbgm_stat &gt;= perc_95, converted_stat * 3, IF(bbgm_stat &gt;= perc_90, converted_stat * 2, IF(bbgm_stat &gt;= perc_85, converted_stat * 1.5, converted_stat)))))</f>
        <v/>
      </c>
      <c r="P210" s="30" t="str">
        <f t="array" ref="P210">IF($A210="", "", LET(bbgm_stat, INDEX(Players!$A209:$P209, MATCH(P$2, Players!$A$1:$P$1, 0)), perc_75, VLOOKUP(P$2, Percentiles!$A$45:$I$59, 6, FALSE), perc_90, VLOOKUP(P$2, Percentiles!$A$45:$I$59, 7, FALSE), perc_95, VLOOKUP(P$2, Percentiles!$A$45:$I$59, 8, FALSE), perc_85, perc_75 + (perc_90 - perc_75) * (2/3), converted_stat, '2K_Ratings'!P210, IF(bbgm_stat &gt;= perc_95, converted_stat * 3, IF(bbgm_stat &gt;= perc_90, converted_stat * 2, IF(bbgm_stat &gt;= perc_85, converted_stat * 1.5, converted_stat)))))</f>
        <v/>
      </c>
      <c r="Q210" s="30" t="str">
        <f t="array" ref="Q210">IF($A210="", "", LET(bbgm_stat, INDEX(Players!$A209:$P209, MATCH(Q$2, Players!$A$1:$P$1, 0)), perc_75, VLOOKUP(Q$2, Percentiles!$A$45:$I$59, 6, FALSE), perc_90, VLOOKUP(Q$2, Percentiles!$A$45:$I$59, 7, FALSE), perc_95, VLOOKUP(Q$2, Percentiles!$A$45:$I$59, 8, FALSE), perc_85, perc_75 + (perc_90 - perc_75) * (2/3), converted_stat, '2K_Ratings'!Q210, IF(bbgm_stat &gt;= perc_95, converted_stat * 3, IF(bbgm_stat &gt;= perc_90, converted_stat * 2, IF(bbgm_stat &gt;= perc_85, converted_stat * 1.5, converted_stat)))))</f>
        <v/>
      </c>
      <c r="R210" s="30" t="str">
        <f t="array" ref="R210">IF($A210="", "", LET(bbgm_stat, INDEX(Players!$A209:$P209, MATCH(R$2, Players!$A$1:$P$1, 0)), perc_75, VLOOKUP(R$2, Percentiles!$A$45:$I$59, 6, FALSE), perc_90, VLOOKUP(R$2, Percentiles!$A$45:$I$59, 7, FALSE), perc_95, VLOOKUP(R$2, Percentiles!$A$45:$I$59, 8, FALSE), perc_85, perc_75 + (perc_90 - perc_75) * (2/3), converted_stat, '2K_Ratings'!R210, IF(bbgm_stat &gt;= perc_95, converted_stat * 3, IF(bbgm_stat &gt;= perc_90, converted_stat * 2, IF(bbgm_stat &gt;= perc_85, converted_stat * 1.5, converted_stat)))))</f>
        <v/>
      </c>
      <c r="S210" s="30" t="str">
        <f t="array" ref="S210">IF($A210="", "", LET(bbgm_stat, INDEX(Players!$A209:$P209, MATCH(S$2, Players!$A$1:$P$1, 0)), perc_75, VLOOKUP(S$2, Percentiles!$A$45:$I$59, 6, FALSE), perc_90, VLOOKUP(S$2, Percentiles!$A$45:$I$59, 7, FALSE), perc_95, VLOOKUP(S$2, Percentiles!$A$45:$I$59, 8, FALSE), perc_85, perc_75 + (perc_90 - perc_75) * (2/3), converted_stat, '2K_Ratings'!S210, IF(bbgm_stat &gt;= perc_95, converted_stat * 3, IF(bbgm_stat &gt;= perc_90, converted_stat * 2, IF(bbgm_stat &gt;= perc_85, converted_stat * 1.5, converted_stat)))))</f>
        <v/>
      </c>
      <c r="T210" s="30" t="str">
        <f t="array" ref="T210">IF($A210="", "", LET(bbgm_stat, INDEX(Players!$A209:$P209, MATCH(T$2, Players!$A$1:$P$1, 0)), perc_75, VLOOKUP(T$2, Percentiles!$A$45:$I$59, 6, FALSE), perc_90, VLOOKUP(T$2, Percentiles!$A$45:$I$59, 7, FALSE), perc_95, VLOOKUP(T$2, Percentiles!$A$45:$I$59, 8, FALSE), perc_85, perc_75 + (perc_90 - perc_75) * (2/3), converted_stat, '2K_Ratings'!T210, IF(bbgm_stat &gt;= perc_95, converted_stat * 3, IF(bbgm_stat &gt;= perc_90, converted_stat * 2, IF(bbgm_stat &gt;= perc_85, converted_stat * 1.5, converted_stat)))))</f>
        <v/>
      </c>
      <c r="U210" s="30" t="str">
        <f t="array" ref="U210">IF($A210="", "", LET(bbgm_stat, INDEX(Players!$A209:$P209, MATCH(U$2, Players!$A$1:$P$1, 0)), perc_75, VLOOKUP(U$2, Percentiles!$A$45:$I$59, 6, FALSE), perc_90, VLOOKUP(U$2, Percentiles!$A$45:$I$59, 7, FALSE), perc_95, VLOOKUP(U$2, Percentiles!$A$45:$I$59, 8, FALSE), perc_85, perc_75 + (perc_90 - perc_75) * (2/3), converted_stat, '2K_Ratings'!U210, IF(bbgm_stat &gt;= perc_95, converted_stat * 3, IF(bbgm_stat &gt;= perc_90, converted_stat * 2, IF(bbgm_stat &gt;= perc_85, converted_stat * 1.5, converted_stat)))))</f>
        <v/>
      </c>
      <c r="V210" s="30" t="str">
        <f t="array" ref="V210">IF($A210="", "", LET(bbgm_stat, INDEX(Players!$A209:$P209, MATCH(V$2, Players!$A$1:$P$1, 0)), perc_75, VLOOKUP(V$2, Percentiles!$A$45:$I$59, 6, FALSE), perc_90, VLOOKUP(V$2, Percentiles!$A$45:$I$59, 7, FALSE), perc_95, VLOOKUP(V$2, Percentiles!$A$45:$I$59, 8, FALSE), perc_85, perc_75 + (perc_90 - perc_75) * (2/3), converted_stat, '2K_Ratings'!V210, IF(bbgm_stat &gt;= perc_95, converted_stat * 3, IF(bbgm_stat &gt;= perc_90, converted_stat * 2, IF(bbgm_stat &gt;= perc_85, converted_stat * 1.5, converted_stat)))))</f>
        <v/>
      </c>
      <c r="W210" s="30" t="str">
        <f t="array" ref="W210">IF($A210="", "", LET(bbgm_stat, INDEX(Players!$A209:$P209, MATCH(W$2, Players!$A$1:$P$1, 0)), perc_75, VLOOKUP(W$2, Percentiles!$A$45:$I$59, 6, FALSE), perc_90, VLOOKUP(W$2, Percentiles!$A$45:$I$59, 7, FALSE), perc_95, VLOOKUP(W$2, Percentiles!$A$45:$I$59, 8, FALSE), perc_85, perc_75 + (perc_90 - perc_75) * (2/3), converted_stat, '2K_Ratings'!W210, IF(bbgm_stat &gt;= perc_95, converted_stat * 3, IF(bbgm_stat &gt;= perc_90, converted_stat * 2, IF(bbgm_stat &gt;= perc_85, converted_stat * 1.5, converted_stat)))))</f>
        <v/>
      </c>
    </row>
    <row r="211">
      <c r="A211" s="30"/>
      <c r="B211" s="30" t="str">
        <f t="array" ref="B211">IF($A211="", "", LET(bbgm_stat, INDEX(Players!$A210:$P210, MATCH(B$2, Players!$A$1:$P$1, 0)), perc_75, VLOOKUP(B$2, Percentiles!$A$45:$I$59, 6, FALSE), perc_90, VLOOKUP(B$2, Percentiles!$A$45:$I$59, 7, FALSE), perc_95, VLOOKUP(B$2, Percentiles!$A$45:$I$59, 8, FALSE), perc_85, perc_75 + (perc_90 - perc_75) * (2/3), converted_stat, '2K_Ratings'!B211, IF(bbgm_stat &gt;= perc_95, converted_stat * 3, IF(bbgm_stat &gt;= perc_90, converted_stat * 2, IF(bbgm_stat &gt;= perc_85, converted_stat * 1.5, converted_stat)))))</f>
        <v/>
      </c>
      <c r="C211" s="30" t="str">
        <f t="array" ref="C211">IF($A211="", "", LET(bbgm_stat, INDEX(Players!$A210:$P210, MATCH(C$2, Players!$A$1:$P$1, 0)), perc_75, VLOOKUP(C$2, Percentiles!$A$45:$I$59, 6, FALSE), perc_90, VLOOKUP(C$2, Percentiles!$A$45:$I$59, 7, FALSE), perc_95, VLOOKUP(C$2, Percentiles!$A$45:$I$59, 8, FALSE), perc_85, perc_75 + (perc_90 - perc_75) * (2/3), converted_stat, '2K_Ratings'!C211, IF(bbgm_stat &gt;= perc_95, converted_stat * 3, IF(bbgm_stat &gt;= perc_90, converted_stat * 2, IF(bbgm_stat &gt;= perc_85, converted_stat * 1.5, converted_stat)))))</f>
        <v/>
      </c>
      <c r="D211" s="30" t="str">
        <f t="array" ref="D211">IF($A211="", "", LET(bbgm_stat, INDEX(Players!$A210:$P210, MATCH(D$2, Players!$A$1:$P$1, 0)), perc_75, VLOOKUP(D$2, Percentiles!$A$45:$I$59, 6, FALSE), perc_90, VLOOKUP(D$2, Percentiles!$A$45:$I$59, 7, FALSE), perc_95, VLOOKUP(D$2, Percentiles!$A$45:$I$59, 8, FALSE), perc_85, perc_75 + (perc_90 - perc_75) * (2/3), converted_stat, '2K_Ratings'!D211, IF(bbgm_stat &gt;= perc_95, converted_stat * 3, IF(bbgm_stat &gt;= perc_90, converted_stat * 2, IF(bbgm_stat &gt;= perc_85, converted_stat * 1.5, converted_stat)))))</f>
        <v/>
      </c>
      <c r="E211" s="30" t="str">
        <f t="array" ref="E211">IF($A211="", "", LET(bbgm_stat, INDEX(Players!$A210:$P210, MATCH(E$2, Players!$A$1:$P$1, 0)), perc_75, VLOOKUP(E$2, Percentiles!$A$45:$I$59, 6, FALSE), perc_90, VLOOKUP(E$2, Percentiles!$A$45:$I$59, 7, FALSE), perc_95, VLOOKUP(E$2, Percentiles!$A$45:$I$59, 8, FALSE), perc_85, perc_75 + (perc_90 - perc_75) * (2/3), converted_stat, '2K_Ratings'!E211, IF(bbgm_stat &gt;= perc_95, converted_stat * 3, IF(bbgm_stat &gt;= perc_90, converted_stat * 2, IF(bbgm_stat &gt;= perc_85, converted_stat * 1.5, converted_stat)))))</f>
        <v/>
      </c>
      <c r="F211" s="30" t="str">
        <f t="array" ref="F211">IF($A211="", "", LET(bbgm_stat, INDEX(Players!$A210:$P210, MATCH(F$2, Players!$A$1:$P$1, 0)), perc_75, VLOOKUP(F$2, Percentiles!$A$45:$I$59, 6, FALSE), perc_90, VLOOKUP(F$2, Percentiles!$A$45:$I$59, 7, FALSE), perc_95, VLOOKUP(F$2, Percentiles!$A$45:$I$59, 8, FALSE), perc_85, perc_75 + (perc_90 - perc_75) * (2/3), converted_stat, '2K_Ratings'!F211, IF(bbgm_stat &gt;= perc_95, converted_stat * 3, IF(bbgm_stat &gt;= perc_90, converted_stat * 2, IF(bbgm_stat &gt;= perc_85, converted_stat * 1.5, converted_stat)))))</f>
        <v/>
      </c>
      <c r="G211" s="30" t="str">
        <f t="array" ref="G211">IF($A211="", "", LET(bbgm_stat, INDEX(Players!$A210:$P210, MATCH(G$2, Players!$A$1:$P$1, 0)), perc_75, VLOOKUP(G$2, Percentiles!$A$45:$I$59, 6, FALSE), perc_90, VLOOKUP(G$2, Percentiles!$A$45:$I$59, 7, FALSE), perc_95, VLOOKUP(G$2, Percentiles!$A$45:$I$59, 8, FALSE), perc_85, perc_75 + (perc_90 - perc_75) * (2/3), converted_stat, '2K_Ratings'!G211, IF(bbgm_stat &gt;= perc_95, converted_stat * 3, IF(bbgm_stat &gt;= perc_90, converted_stat * 2, IF(bbgm_stat &gt;= perc_85, converted_stat * 1.5, converted_stat)))))</f>
        <v/>
      </c>
      <c r="H211" s="30" t="str">
        <f t="array" ref="H211">IF($A211="", "", LET(bbgm_stat, INDEX(Players!$A210:$P210, MATCH(H$2, Players!$A$1:$P$1, 0)), perc_75, VLOOKUP(H$2, Percentiles!$A$45:$I$59, 6, FALSE), perc_90, VLOOKUP(H$2, Percentiles!$A$45:$I$59, 7, FALSE), perc_95, VLOOKUP(H$2, Percentiles!$A$45:$I$59, 8, FALSE), perc_85, perc_75 + (perc_90 - perc_75) * (2/3), converted_stat, '2K_Ratings'!H211, IF(bbgm_stat &gt;= perc_95, converted_stat * 3, IF(bbgm_stat &gt;= perc_90, converted_stat * 2, IF(bbgm_stat &gt;= perc_85, converted_stat * 1.5, converted_stat)))))</f>
        <v/>
      </c>
      <c r="I211" s="30" t="str">
        <f t="array" ref="I211">IF($A211="", "", LET(bbgm_stat, INDEX(Players!$A210:$P210, MATCH(I$2, Players!$A$1:$P$1, 0)), perc_75, VLOOKUP(I$2, Percentiles!$A$45:$I$59, 6, FALSE), perc_90, VLOOKUP(I$2, Percentiles!$A$45:$I$59, 7, FALSE), perc_95, VLOOKUP(I$2, Percentiles!$A$45:$I$59, 8, FALSE), perc_85, perc_75 + (perc_90 - perc_75) * (2/3), converted_stat, '2K_Ratings'!I211, IF(bbgm_stat &gt;= perc_95, converted_stat * 3, IF(bbgm_stat &gt;= perc_90, converted_stat * 2, IF(bbgm_stat &gt;= perc_85, converted_stat * 1.5, converted_stat)))))</f>
        <v/>
      </c>
      <c r="J211" s="30" t="str">
        <f t="array" ref="J211">IF($A211="", "", LET(bbgm_stat, INDEX(Players!$A210:$P210, MATCH(J$2, Players!$A$1:$P$1, 0)), perc_75, VLOOKUP(J$2, Percentiles!$A$45:$I$59, 6, FALSE), perc_90, VLOOKUP(J$2, Percentiles!$A$45:$I$59, 7, FALSE), perc_95, VLOOKUP(J$2, Percentiles!$A$45:$I$59, 8, FALSE), perc_85, perc_75 + (perc_90 - perc_75) * (2/3), converted_stat, '2K_Ratings'!J211, IF(bbgm_stat &gt;= perc_95, converted_stat * 3, IF(bbgm_stat &gt;= perc_90, converted_stat * 2, IF(bbgm_stat &gt;= perc_85, converted_stat * 1.5, converted_stat)))))</f>
        <v/>
      </c>
      <c r="K211" s="30" t="str">
        <f t="array" ref="K211">IF($A211="", "", LET(bbgm_stat, INDEX(Players!$A210:$P210, MATCH(K$2, Players!$A$1:$P$1, 0)), perc_75, VLOOKUP(K$2, Percentiles!$A$45:$I$59, 6, FALSE), perc_90, VLOOKUP(K$2, Percentiles!$A$45:$I$59, 7, FALSE), perc_95, VLOOKUP(K$2, Percentiles!$A$45:$I$59, 8, FALSE), perc_85, perc_75 + (perc_90 - perc_75) * (2/3), converted_stat, '2K_Ratings'!K211, IF(bbgm_stat &gt;= perc_95, converted_stat * 3, IF(bbgm_stat &gt;= perc_90, converted_stat * 2, IF(bbgm_stat &gt;= perc_85, converted_stat * 1.5, converted_stat)))))</f>
        <v/>
      </c>
      <c r="L211" s="30" t="str">
        <f t="array" ref="L211">IF($A211="", "", LET(bbgm_stat, INDEX(Players!$A210:$P210, MATCH(L$2, Players!$A$1:$P$1, 0)), perc_75, VLOOKUP(L$2, Percentiles!$A$45:$I$59, 6, FALSE), perc_90, VLOOKUP(L$2, Percentiles!$A$45:$I$59, 7, FALSE), perc_95, VLOOKUP(L$2, Percentiles!$A$45:$I$59, 8, FALSE), perc_85, perc_75 + (perc_90 - perc_75) * (2/3), converted_stat, '2K_Ratings'!L211, IF(bbgm_stat &gt;= perc_95, converted_stat * 3, IF(bbgm_stat &gt;= perc_90, converted_stat * 2, IF(bbgm_stat &gt;= perc_85, converted_stat * 1.5, converted_stat)))))</f>
        <v/>
      </c>
      <c r="M211" s="30" t="str">
        <f t="array" ref="M211">IF($A211="", "", LET(bbgm_stat, INDEX(Players!$A210:$P210, MATCH(M$2, Players!$A$1:$P$1, 0)), perc_75, VLOOKUP(M$2, Percentiles!$A$45:$I$59, 6, FALSE), perc_90, VLOOKUP(M$2, Percentiles!$A$45:$I$59, 7, FALSE), perc_95, VLOOKUP(M$2, Percentiles!$A$45:$I$59, 8, FALSE), perc_85, perc_75 + (perc_90 - perc_75) * (2/3), converted_stat, '2K_Ratings'!M211, IF(bbgm_stat &gt;= perc_95, converted_stat * 3, IF(bbgm_stat &gt;= perc_90, converted_stat * 2, IF(bbgm_stat &gt;= perc_85, converted_stat * 1.5, converted_stat)))))</f>
        <v/>
      </c>
      <c r="N211" s="30" t="str">
        <f t="array" ref="N211">IF($A211="", "", LET(bbgm_stat, INDEX(Players!$A210:$P210, MATCH(N$2, Players!$A$1:$P$1, 0)), perc_75, VLOOKUP(N$2, Percentiles!$A$45:$I$59, 6, FALSE), perc_90, VLOOKUP(N$2, Percentiles!$A$45:$I$59, 7, FALSE), perc_95, VLOOKUP(N$2, Percentiles!$A$45:$I$59, 8, FALSE), perc_85, perc_75 + (perc_90 - perc_75) * (2/3), converted_stat, '2K_Ratings'!N211, IF(bbgm_stat &gt;= perc_95, converted_stat * 3, IF(bbgm_stat &gt;= perc_90, converted_stat * 2, IF(bbgm_stat &gt;= perc_85, converted_stat * 1.5, converted_stat)))))</f>
        <v/>
      </c>
      <c r="O211" s="30" t="str">
        <f t="array" ref="O211">IF($A211="", "", LET(bbgm_stat, INDEX(Players!$A210:$P210, MATCH(O$2, Players!$A$1:$P$1, 0)), perc_75, VLOOKUP(O$2, Percentiles!$A$45:$I$59, 6, FALSE), perc_90, VLOOKUP(O$2, Percentiles!$A$45:$I$59, 7, FALSE), perc_95, VLOOKUP(O$2, Percentiles!$A$45:$I$59, 8, FALSE), perc_85, perc_75 + (perc_90 - perc_75) * (2/3), converted_stat, '2K_Ratings'!O211, IF(bbgm_stat &gt;= perc_95, converted_stat * 3, IF(bbgm_stat &gt;= perc_90, converted_stat * 2, IF(bbgm_stat &gt;= perc_85, converted_stat * 1.5, converted_stat)))))</f>
        <v/>
      </c>
      <c r="P211" s="30" t="str">
        <f t="array" ref="P211">IF($A211="", "", LET(bbgm_stat, INDEX(Players!$A210:$P210, MATCH(P$2, Players!$A$1:$P$1, 0)), perc_75, VLOOKUP(P$2, Percentiles!$A$45:$I$59, 6, FALSE), perc_90, VLOOKUP(P$2, Percentiles!$A$45:$I$59, 7, FALSE), perc_95, VLOOKUP(P$2, Percentiles!$A$45:$I$59, 8, FALSE), perc_85, perc_75 + (perc_90 - perc_75) * (2/3), converted_stat, '2K_Ratings'!P211, IF(bbgm_stat &gt;= perc_95, converted_stat * 3, IF(bbgm_stat &gt;= perc_90, converted_stat * 2, IF(bbgm_stat &gt;= perc_85, converted_stat * 1.5, converted_stat)))))</f>
        <v/>
      </c>
      <c r="Q211" s="30" t="str">
        <f t="array" ref="Q211">IF($A211="", "", LET(bbgm_stat, INDEX(Players!$A210:$P210, MATCH(Q$2, Players!$A$1:$P$1, 0)), perc_75, VLOOKUP(Q$2, Percentiles!$A$45:$I$59, 6, FALSE), perc_90, VLOOKUP(Q$2, Percentiles!$A$45:$I$59, 7, FALSE), perc_95, VLOOKUP(Q$2, Percentiles!$A$45:$I$59, 8, FALSE), perc_85, perc_75 + (perc_90 - perc_75) * (2/3), converted_stat, '2K_Ratings'!Q211, IF(bbgm_stat &gt;= perc_95, converted_stat * 3, IF(bbgm_stat &gt;= perc_90, converted_stat * 2, IF(bbgm_stat &gt;= perc_85, converted_stat * 1.5, converted_stat)))))</f>
        <v/>
      </c>
      <c r="R211" s="30" t="str">
        <f t="array" ref="R211">IF($A211="", "", LET(bbgm_stat, INDEX(Players!$A210:$P210, MATCH(R$2, Players!$A$1:$P$1, 0)), perc_75, VLOOKUP(R$2, Percentiles!$A$45:$I$59, 6, FALSE), perc_90, VLOOKUP(R$2, Percentiles!$A$45:$I$59, 7, FALSE), perc_95, VLOOKUP(R$2, Percentiles!$A$45:$I$59, 8, FALSE), perc_85, perc_75 + (perc_90 - perc_75) * (2/3), converted_stat, '2K_Ratings'!R211, IF(bbgm_stat &gt;= perc_95, converted_stat * 3, IF(bbgm_stat &gt;= perc_90, converted_stat * 2, IF(bbgm_stat &gt;= perc_85, converted_stat * 1.5, converted_stat)))))</f>
        <v/>
      </c>
      <c r="S211" s="30" t="str">
        <f t="array" ref="S211">IF($A211="", "", LET(bbgm_stat, INDEX(Players!$A210:$P210, MATCH(S$2, Players!$A$1:$P$1, 0)), perc_75, VLOOKUP(S$2, Percentiles!$A$45:$I$59, 6, FALSE), perc_90, VLOOKUP(S$2, Percentiles!$A$45:$I$59, 7, FALSE), perc_95, VLOOKUP(S$2, Percentiles!$A$45:$I$59, 8, FALSE), perc_85, perc_75 + (perc_90 - perc_75) * (2/3), converted_stat, '2K_Ratings'!S211, IF(bbgm_stat &gt;= perc_95, converted_stat * 3, IF(bbgm_stat &gt;= perc_90, converted_stat * 2, IF(bbgm_stat &gt;= perc_85, converted_stat * 1.5, converted_stat)))))</f>
        <v/>
      </c>
      <c r="T211" s="30" t="str">
        <f t="array" ref="T211">IF($A211="", "", LET(bbgm_stat, INDEX(Players!$A210:$P210, MATCH(T$2, Players!$A$1:$P$1, 0)), perc_75, VLOOKUP(T$2, Percentiles!$A$45:$I$59, 6, FALSE), perc_90, VLOOKUP(T$2, Percentiles!$A$45:$I$59, 7, FALSE), perc_95, VLOOKUP(T$2, Percentiles!$A$45:$I$59, 8, FALSE), perc_85, perc_75 + (perc_90 - perc_75) * (2/3), converted_stat, '2K_Ratings'!T211, IF(bbgm_stat &gt;= perc_95, converted_stat * 3, IF(bbgm_stat &gt;= perc_90, converted_stat * 2, IF(bbgm_stat &gt;= perc_85, converted_stat * 1.5, converted_stat)))))</f>
        <v/>
      </c>
      <c r="U211" s="30" t="str">
        <f t="array" ref="U211">IF($A211="", "", LET(bbgm_stat, INDEX(Players!$A210:$P210, MATCH(U$2, Players!$A$1:$P$1, 0)), perc_75, VLOOKUP(U$2, Percentiles!$A$45:$I$59, 6, FALSE), perc_90, VLOOKUP(U$2, Percentiles!$A$45:$I$59, 7, FALSE), perc_95, VLOOKUP(U$2, Percentiles!$A$45:$I$59, 8, FALSE), perc_85, perc_75 + (perc_90 - perc_75) * (2/3), converted_stat, '2K_Ratings'!U211, IF(bbgm_stat &gt;= perc_95, converted_stat * 3, IF(bbgm_stat &gt;= perc_90, converted_stat * 2, IF(bbgm_stat &gt;= perc_85, converted_stat * 1.5, converted_stat)))))</f>
        <v/>
      </c>
      <c r="V211" s="30" t="str">
        <f t="array" ref="V211">IF($A211="", "", LET(bbgm_stat, INDEX(Players!$A210:$P210, MATCH(V$2, Players!$A$1:$P$1, 0)), perc_75, VLOOKUP(V$2, Percentiles!$A$45:$I$59, 6, FALSE), perc_90, VLOOKUP(V$2, Percentiles!$A$45:$I$59, 7, FALSE), perc_95, VLOOKUP(V$2, Percentiles!$A$45:$I$59, 8, FALSE), perc_85, perc_75 + (perc_90 - perc_75) * (2/3), converted_stat, '2K_Ratings'!V211, IF(bbgm_stat &gt;= perc_95, converted_stat * 3, IF(bbgm_stat &gt;= perc_90, converted_stat * 2, IF(bbgm_stat &gt;= perc_85, converted_stat * 1.5, converted_stat)))))</f>
        <v/>
      </c>
      <c r="W211" s="30" t="str">
        <f t="array" ref="W211">IF($A211="", "", LET(bbgm_stat, INDEX(Players!$A210:$P210, MATCH(W$2, Players!$A$1:$P$1, 0)), perc_75, VLOOKUP(W$2, Percentiles!$A$45:$I$59, 6, FALSE), perc_90, VLOOKUP(W$2, Percentiles!$A$45:$I$59, 7, FALSE), perc_95, VLOOKUP(W$2, Percentiles!$A$45:$I$59, 8, FALSE), perc_85, perc_75 + (perc_90 - perc_75) * (2/3), converted_stat, '2K_Ratings'!W211, IF(bbgm_stat &gt;= perc_95, converted_stat * 3, IF(bbgm_stat &gt;= perc_90, converted_stat * 2, IF(bbgm_stat &gt;= perc_85, converted_stat * 1.5, converted_stat)))))</f>
        <v/>
      </c>
    </row>
    <row r="212">
      <c r="A212" s="30"/>
      <c r="B212" s="30" t="str">
        <f t="array" ref="B212">IF($A212="", "", LET(bbgm_stat, INDEX(Players!$A211:$P211, MATCH(B$2, Players!$A$1:$P$1, 0)), perc_75, VLOOKUP(B$2, Percentiles!$A$45:$I$59, 6, FALSE), perc_90, VLOOKUP(B$2, Percentiles!$A$45:$I$59, 7, FALSE), perc_95, VLOOKUP(B$2, Percentiles!$A$45:$I$59, 8, FALSE), perc_85, perc_75 + (perc_90 - perc_75) * (2/3), converted_stat, '2K_Ratings'!B212, IF(bbgm_stat &gt;= perc_95, converted_stat * 3, IF(bbgm_stat &gt;= perc_90, converted_stat * 2, IF(bbgm_stat &gt;= perc_85, converted_stat * 1.5, converted_stat)))))</f>
        <v/>
      </c>
      <c r="C212" s="30" t="str">
        <f t="array" ref="C212">IF($A212="", "", LET(bbgm_stat, INDEX(Players!$A211:$P211, MATCH(C$2, Players!$A$1:$P$1, 0)), perc_75, VLOOKUP(C$2, Percentiles!$A$45:$I$59, 6, FALSE), perc_90, VLOOKUP(C$2, Percentiles!$A$45:$I$59, 7, FALSE), perc_95, VLOOKUP(C$2, Percentiles!$A$45:$I$59, 8, FALSE), perc_85, perc_75 + (perc_90 - perc_75) * (2/3), converted_stat, '2K_Ratings'!C212, IF(bbgm_stat &gt;= perc_95, converted_stat * 3, IF(bbgm_stat &gt;= perc_90, converted_stat * 2, IF(bbgm_stat &gt;= perc_85, converted_stat * 1.5, converted_stat)))))</f>
        <v/>
      </c>
      <c r="D212" s="30" t="str">
        <f t="array" ref="D212">IF($A212="", "", LET(bbgm_stat, INDEX(Players!$A211:$P211, MATCH(D$2, Players!$A$1:$P$1, 0)), perc_75, VLOOKUP(D$2, Percentiles!$A$45:$I$59, 6, FALSE), perc_90, VLOOKUP(D$2, Percentiles!$A$45:$I$59, 7, FALSE), perc_95, VLOOKUP(D$2, Percentiles!$A$45:$I$59, 8, FALSE), perc_85, perc_75 + (perc_90 - perc_75) * (2/3), converted_stat, '2K_Ratings'!D212, IF(bbgm_stat &gt;= perc_95, converted_stat * 3, IF(bbgm_stat &gt;= perc_90, converted_stat * 2, IF(bbgm_stat &gt;= perc_85, converted_stat * 1.5, converted_stat)))))</f>
        <v/>
      </c>
      <c r="E212" s="30" t="str">
        <f t="array" ref="E212">IF($A212="", "", LET(bbgm_stat, INDEX(Players!$A211:$P211, MATCH(E$2, Players!$A$1:$P$1, 0)), perc_75, VLOOKUP(E$2, Percentiles!$A$45:$I$59, 6, FALSE), perc_90, VLOOKUP(E$2, Percentiles!$A$45:$I$59, 7, FALSE), perc_95, VLOOKUP(E$2, Percentiles!$A$45:$I$59, 8, FALSE), perc_85, perc_75 + (perc_90 - perc_75) * (2/3), converted_stat, '2K_Ratings'!E212, IF(bbgm_stat &gt;= perc_95, converted_stat * 3, IF(bbgm_stat &gt;= perc_90, converted_stat * 2, IF(bbgm_stat &gt;= perc_85, converted_stat * 1.5, converted_stat)))))</f>
        <v/>
      </c>
      <c r="F212" s="30" t="str">
        <f t="array" ref="F212">IF($A212="", "", LET(bbgm_stat, INDEX(Players!$A211:$P211, MATCH(F$2, Players!$A$1:$P$1, 0)), perc_75, VLOOKUP(F$2, Percentiles!$A$45:$I$59, 6, FALSE), perc_90, VLOOKUP(F$2, Percentiles!$A$45:$I$59, 7, FALSE), perc_95, VLOOKUP(F$2, Percentiles!$A$45:$I$59, 8, FALSE), perc_85, perc_75 + (perc_90 - perc_75) * (2/3), converted_stat, '2K_Ratings'!F212, IF(bbgm_stat &gt;= perc_95, converted_stat * 3, IF(bbgm_stat &gt;= perc_90, converted_stat * 2, IF(bbgm_stat &gt;= perc_85, converted_stat * 1.5, converted_stat)))))</f>
        <v/>
      </c>
      <c r="G212" s="30" t="str">
        <f t="array" ref="G212">IF($A212="", "", LET(bbgm_stat, INDEX(Players!$A211:$P211, MATCH(G$2, Players!$A$1:$P$1, 0)), perc_75, VLOOKUP(G$2, Percentiles!$A$45:$I$59, 6, FALSE), perc_90, VLOOKUP(G$2, Percentiles!$A$45:$I$59, 7, FALSE), perc_95, VLOOKUP(G$2, Percentiles!$A$45:$I$59, 8, FALSE), perc_85, perc_75 + (perc_90 - perc_75) * (2/3), converted_stat, '2K_Ratings'!G212, IF(bbgm_stat &gt;= perc_95, converted_stat * 3, IF(bbgm_stat &gt;= perc_90, converted_stat * 2, IF(bbgm_stat &gt;= perc_85, converted_stat * 1.5, converted_stat)))))</f>
        <v/>
      </c>
      <c r="H212" s="30" t="str">
        <f t="array" ref="H212">IF($A212="", "", LET(bbgm_stat, INDEX(Players!$A211:$P211, MATCH(H$2, Players!$A$1:$P$1, 0)), perc_75, VLOOKUP(H$2, Percentiles!$A$45:$I$59, 6, FALSE), perc_90, VLOOKUP(H$2, Percentiles!$A$45:$I$59, 7, FALSE), perc_95, VLOOKUP(H$2, Percentiles!$A$45:$I$59, 8, FALSE), perc_85, perc_75 + (perc_90 - perc_75) * (2/3), converted_stat, '2K_Ratings'!H212, IF(bbgm_stat &gt;= perc_95, converted_stat * 3, IF(bbgm_stat &gt;= perc_90, converted_stat * 2, IF(bbgm_stat &gt;= perc_85, converted_stat * 1.5, converted_stat)))))</f>
        <v/>
      </c>
      <c r="I212" s="30" t="str">
        <f t="array" ref="I212">IF($A212="", "", LET(bbgm_stat, INDEX(Players!$A211:$P211, MATCH(I$2, Players!$A$1:$P$1, 0)), perc_75, VLOOKUP(I$2, Percentiles!$A$45:$I$59, 6, FALSE), perc_90, VLOOKUP(I$2, Percentiles!$A$45:$I$59, 7, FALSE), perc_95, VLOOKUP(I$2, Percentiles!$A$45:$I$59, 8, FALSE), perc_85, perc_75 + (perc_90 - perc_75) * (2/3), converted_stat, '2K_Ratings'!I212, IF(bbgm_stat &gt;= perc_95, converted_stat * 3, IF(bbgm_stat &gt;= perc_90, converted_stat * 2, IF(bbgm_stat &gt;= perc_85, converted_stat * 1.5, converted_stat)))))</f>
        <v/>
      </c>
      <c r="J212" s="30" t="str">
        <f t="array" ref="J212">IF($A212="", "", LET(bbgm_stat, INDEX(Players!$A211:$P211, MATCH(J$2, Players!$A$1:$P$1, 0)), perc_75, VLOOKUP(J$2, Percentiles!$A$45:$I$59, 6, FALSE), perc_90, VLOOKUP(J$2, Percentiles!$A$45:$I$59, 7, FALSE), perc_95, VLOOKUP(J$2, Percentiles!$A$45:$I$59, 8, FALSE), perc_85, perc_75 + (perc_90 - perc_75) * (2/3), converted_stat, '2K_Ratings'!J212, IF(bbgm_stat &gt;= perc_95, converted_stat * 3, IF(bbgm_stat &gt;= perc_90, converted_stat * 2, IF(bbgm_stat &gt;= perc_85, converted_stat * 1.5, converted_stat)))))</f>
        <v/>
      </c>
      <c r="K212" s="30" t="str">
        <f t="array" ref="K212">IF($A212="", "", LET(bbgm_stat, INDEX(Players!$A211:$P211, MATCH(K$2, Players!$A$1:$P$1, 0)), perc_75, VLOOKUP(K$2, Percentiles!$A$45:$I$59, 6, FALSE), perc_90, VLOOKUP(K$2, Percentiles!$A$45:$I$59, 7, FALSE), perc_95, VLOOKUP(K$2, Percentiles!$A$45:$I$59, 8, FALSE), perc_85, perc_75 + (perc_90 - perc_75) * (2/3), converted_stat, '2K_Ratings'!K212, IF(bbgm_stat &gt;= perc_95, converted_stat * 3, IF(bbgm_stat &gt;= perc_90, converted_stat * 2, IF(bbgm_stat &gt;= perc_85, converted_stat * 1.5, converted_stat)))))</f>
        <v/>
      </c>
      <c r="L212" s="30" t="str">
        <f t="array" ref="L212">IF($A212="", "", LET(bbgm_stat, INDEX(Players!$A211:$P211, MATCH(L$2, Players!$A$1:$P$1, 0)), perc_75, VLOOKUP(L$2, Percentiles!$A$45:$I$59, 6, FALSE), perc_90, VLOOKUP(L$2, Percentiles!$A$45:$I$59, 7, FALSE), perc_95, VLOOKUP(L$2, Percentiles!$A$45:$I$59, 8, FALSE), perc_85, perc_75 + (perc_90 - perc_75) * (2/3), converted_stat, '2K_Ratings'!L212, IF(bbgm_stat &gt;= perc_95, converted_stat * 3, IF(bbgm_stat &gt;= perc_90, converted_stat * 2, IF(bbgm_stat &gt;= perc_85, converted_stat * 1.5, converted_stat)))))</f>
        <v/>
      </c>
      <c r="M212" s="30" t="str">
        <f t="array" ref="M212">IF($A212="", "", LET(bbgm_stat, INDEX(Players!$A211:$P211, MATCH(M$2, Players!$A$1:$P$1, 0)), perc_75, VLOOKUP(M$2, Percentiles!$A$45:$I$59, 6, FALSE), perc_90, VLOOKUP(M$2, Percentiles!$A$45:$I$59, 7, FALSE), perc_95, VLOOKUP(M$2, Percentiles!$A$45:$I$59, 8, FALSE), perc_85, perc_75 + (perc_90 - perc_75) * (2/3), converted_stat, '2K_Ratings'!M212, IF(bbgm_stat &gt;= perc_95, converted_stat * 3, IF(bbgm_stat &gt;= perc_90, converted_stat * 2, IF(bbgm_stat &gt;= perc_85, converted_stat * 1.5, converted_stat)))))</f>
        <v/>
      </c>
      <c r="N212" s="30" t="str">
        <f t="array" ref="N212">IF($A212="", "", LET(bbgm_stat, INDEX(Players!$A211:$P211, MATCH(N$2, Players!$A$1:$P$1, 0)), perc_75, VLOOKUP(N$2, Percentiles!$A$45:$I$59, 6, FALSE), perc_90, VLOOKUP(N$2, Percentiles!$A$45:$I$59, 7, FALSE), perc_95, VLOOKUP(N$2, Percentiles!$A$45:$I$59, 8, FALSE), perc_85, perc_75 + (perc_90 - perc_75) * (2/3), converted_stat, '2K_Ratings'!N212, IF(bbgm_stat &gt;= perc_95, converted_stat * 3, IF(bbgm_stat &gt;= perc_90, converted_stat * 2, IF(bbgm_stat &gt;= perc_85, converted_stat * 1.5, converted_stat)))))</f>
        <v/>
      </c>
      <c r="O212" s="30" t="str">
        <f t="array" ref="O212">IF($A212="", "", LET(bbgm_stat, INDEX(Players!$A211:$P211, MATCH(O$2, Players!$A$1:$P$1, 0)), perc_75, VLOOKUP(O$2, Percentiles!$A$45:$I$59, 6, FALSE), perc_90, VLOOKUP(O$2, Percentiles!$A$45:$I$59, 7, FALSE), perc_95, VLOOKUP(O$2, Percentiles!$A$45:$I$59, 8, FALSE), perc_85, perc_75 + (perc_90 - perc_75) * (2/3), converted_stat, '2K_Ratings'!O212, IF(bbgm_stat &gt;= perc_95, converted_stat * 3, IF(bbgm_stat &gt;= perc_90, converted_stat * 2, IF(bbgm_stat &gt;= perc_85, converted_stat * 1.5, converted_stat)))))</f>
        <v/>
      </c>
      <c r="P212" s="30" t="str">
        <f t="array" ref="P212">IF($A212="", "", LET(bbgm_stat, INDEX(Players!$A211:$P211, MATCH(P$2, Players!$A$1:$P$1, 0)), perc_75, VLOOKUP(P$2, Percentiles!$A$45:$I$59, 6, FALSE), perc_90, VLOOKUP(P$2, Percentiles!$A$45:$I$59, 7, FALSE), perc_95, VLOOKUP(P$2, Percentiles!$A$45:$I$59, 8, FALSE), perc_85, perc_75 + (perc_90 - perc_75) * (2/3), converted_stat, '2K_Ratings'!P212, IF(bbgm_stat &gt;= perc_95, converted_stat * 3, IF(bbgm_stat &gt;= perc_90, converted_stat * 2, IF(bbgm_stat &gt;= perc_85, converted_stat * 1.5, converted_stat)))))</f>
        <v/>
      </c>
      <c r="Q212" s="30" t="str">
        <f t="array" ref="Q212">IF($A212="", "", LET(bbgm_stat, INDEX(Players!$A211:$P211, MATCH(Q$2, Players!$A$1:$P$1, 0)), perc_75, VLOOKUP(Q$2, Percentiles!$A$45:$I$59, 6, FALSE), perc_90, VLOOKUP(Q$2, Percentiles!$A$45:$I$59, 7, FALSE), perc_95, VLOOKUP(Q$2, Percentiles!$A$45:$I$59, 8, FALSE), perc_85, perc_75 + (perc_90 - perc_75) * (2/3), converted_stat, '2K_Ratings'!Q212, IF(bbgm_stat &gt;= perc_95, converted_stat * 3, IF(bbgm_stat &gt;= perc_90, converted_stat * 2, IF(bbgm_stat &gt;= perc_85, converted_stat * 1.5, converted_stat)))))</f>
        <v/>
      </c>
      <c r="R212" s="30" t="str">
        <f t="array" ref="R212">IF($A212="", "", LET(bbgm_stat, INDEX(Players!$A211:$P211, MATCH(R$2, Players!$A$1:$P$1, 0)), perc_75, VLOOKUP(R$2, Percentiles!$A$45:$I$59, 6, FALSE), perc_90, VLOOKUP(R$2, Percentiles!$A$45:$I$59, 7, FALSE), perc_95, VLOOKUP(R$2, Percentiles!$A$45:$I$59, 8, FALSE), perc_85, perc_75 + (perc_90 - perc_75) * (2/3), converted_stat, '2K_Ratings'!R212, IF(bbgm_stat &gt;= perc_95, converted_stat * 3, IF(bbgm_stat &gt;= perc_90, converted_stat * 2, IF(bbgm_stat &gt;= perc_85, converted_stat * 1.5, converted_stat)))))</f>
        <v/>
      </c>
      <c r="S212" s="30" t="str">
        <f t="array" ref="S212">IF($A212="", "", LET(bbgm_stat, INDEX(Players!$A211:$P211, MATCH(S$2, Players!$A$1:$P$1, 0)), perc_75, VLOOKUP(S$2, Percentiles!$A$45:$I$59, 6, FALSE), perc_90, VLOOKUP(S$2, Percentiles!$A$45:$I$59, 7, FALSE), perc_95, VLOOKUP(S$2, Percentiles!$A$45:$I$59, 8, FALSE), perc_85, perc_75 + (perc_90 - perc_75) * (2/3), converted_stat, '2K_Ratings'!S212, IF(bbgm_stat &gt;= perc_95, converted_stat * 3, IF(bbgm_stat &gt;= perc_90, converted_stat * 2, IF(bbgm_stat &gt;= perc_85, converted_stat * 1.5, converted_stat)))))</f>
        <v/>
      </c>
      <c r="T212" s="30" t="str">
        <f t="array" ref="T212">IF($A212="", "", LET(bbgm_stat, INDEX(Players!$A211:$P211, MATCH(T$2, Players!$A$1:$P$1, 0)), perc_75, VLOOKUP(T$2, Percentiles!$A$45:$I$59, 6, FALSE), perc_90, VLOOKUP(T$2, Percentiles!$A$45:$I$59, 7, FALSE), perc_95, VLOOKUP(T$2, Percentiles!$A$45:$I$59, 8, FALSE), perc_85, perc_75 + (perc_90 - perc_75) * (2/3), converted_stat, '2K_Ratings'!T212, IF(bbgm_stat &gt;= perc_95, converted_stat * 3, IF(bbgm_stat &gt;= perc_90, converted_stat * 2, IF(bbgm_stat &gt;= perc_85, converted_stat * 1.5, converted_stat)))))</f>
        <v/>
      </c>
      <c r="U212" s="30" t="str">
        <f t="array" ref="U212">IF($A212="", "", LET(bbgm_stat, INDEX(Players!$A211:$P211, MATCH(U$2, Players!$A$1:$P$1, 0)), perc_75, VLOOKUP(U$2, Percentiles!$A$45:$I$59, 6, FALSE), perc_90, VLOOKUP(U$2, Percentiles!$A$45:$I$59, 7, FALSE), perc_95, VLOOKUP(U$2, Percentiles!$A$45:$I$59, 8, FALSE), perc_85, perc_75 + (perc_90 - perc_75) * (2/3), converted_stat, '2K_Ratings'!U212, IF(bbgm_stat &gt;= perc_95, converted_stat * 3, IF(bbgm_stat &gt;= perc_90, converted_stat * 2, IF(bbgm_stat &gt;= perc_85, converted_stat * 1.5, converted_stat)))))</f>
        <v/>
      </c>
      <c r="V212" s="30" t="str">
        <f t="array" ref="V212">IF($A212="", "", LET(bbgm_stat, INDEX(Players!$A211:$P211, MATCH(V$2, Players!$A$1:$P$1, 0)), perc_75, VLOOKUP(V$2, Percentiles!$A$45:$I$59, 6, FALSE), perc_90, VLOOKUP(V$2, Percentiles!$A$45:$I$59, 7, FALSE), perc_95, VLOOKUP(V$2, Percentiles!$A$45:$I$59, 8, FALSE), perc_85, perc_75 + (perc_90 - perc_75) * (2/3), converted_stat, '2K_Ratings'!V212, IF(bbgm_stat &gt;= perc_95, converted_stat * 3, IF(bbgm_stat &gt;= perc_90, converted_stat * 2, IF(bbgm_stat &gt;= perc_85, converted_stat * 1.5, converted_stat)))))</f>
        <v/>
      </c>
      <c r="W212" s="30" t="str">
        <f t="array" ref="W212">IF($A212="", "", LET(bbgm_stat, INDEX(Players!$A211:$P211, MATCH(W$2, Players!$A$1:$P$1, 0)), perc_75, VLOOKUP(W$2, Percentiles!$A$45:$I$59, 6, FALSE), perc_90, VLOOKUP(W$2, Percentiles!$A$45:$I$59, 7, FALSE), perc_95, VLOOKUP(W$2, Percentiles!$A$45:$I$59, 8, FALSE), perc_85, perc_75 + (perc_90 - perc_75) * (2/3), converted_stat, '2K_Ratings'!W212, IF(bbgm_stat &gt;= perc_95, converted_stat * 3, IF(bbgm_stat &gt;= perc_90, converted_stat * 2, IF(bbgm_stat &gt;= perc_85, converted_stat * 1.5, converted_stat)))))</f>
        <v/>
      </c>
    </row>
    <row r="213">
      <c r="A213" s="30"/>
      <c r="B213" s="30" t="str">
        <f t="array" ref="B213">IF($A213="", "", LET(bbgm_stat, INDEX(Players!$A212:$P212, MATCH(B$2, Players!$A$1:$P$1, 0)), perc_75, VLOOKUP(B$2, Percentiles!$A$45:$I$59, 6, FALSE), perc_90, VLOOKUP(B$2, Percentiles!$A$45:$I$59, 7, FALSE), perc_95, VLOOKUP(B$2, Percentiles!$A$45:$I$59, 8, FALSE), perc_85, perc_75 + (perc_90 - perc_75) * (2/3), converted_stat, '2K_Ratings'!B213, IF(bbgm_stat &gt;= perc_95, converted_stat * 3, IF(bbgm_stat &gt;= perc_90, converted_stat * 2, IF(bbgm_stat &gt;= perc_85, converted_stat * 1.5, converted_stat)))))</f>
        <v/>
      </c>
      <c r="C213" s="30" t="str">
        <f t="array" ref="C213">IF($A213="", "", LET(bbgm_stat, INDEX(Players!$A212:$P212, MATCH(C$2, Players!$A$1:$P$1, 0)), perc_75, VLOOKUP(C$2, Percentiles!$A$45:$I$59, 6, FALSE), perc_90, VLOOKUP(C$2, Percentiles!$A$45:$I$59, 7, FALSE), perc_95, VLOOKUP(C$2, Percentiles!$A$45:$I$59, 8, FALSE), perc_85, perc_75 + (perc_90 - perc_75) * (2/3), converted_stat, '2K_Ratings'!C213, IF(bbgm_stat &gt;= perc_95, converted_stat * 3, IF(bbgm_stat &gt;= perc_90, converted_stat * 2, IF(bbgm_stat &gt;= perc_85, converted_stat * 1.5, converted_stat)))))</f>
        <v/>
      </c>
      <c r="D213" s="30" t="str">
        <f t="array" ref="D213">IF($A213="", "", LET(bbgm_stat, INDEX(Players!$A212:$P212, MATCH(D$2, Players!$A$1:$P$1, 0)), perc_75, VLOOKUP(D$2, Percentiles!$A$45:$I$59, 6, FALSE), perc_90, VLOOKUP(D$2, Percentiles!$A$45:$I$59, 7, FALSE), perc_95, VLOOKUP(D$2, Percentiles!$A$45:$I$59, 8, FALSE), perc_85, perc_75 + (perc_90 - perc_75) * (2/3), converted_stat, '2K_Ratings'!D213, IF(bbgm_stat &gt;= perc_95, converted_stat * 3, IF(bbgm_stat &gt;= perc_90, converted_stat * 2, IF(bbgm_stat &gt;= perc_85, converted_stat * 1.5, converted_stat)))))</f>
        <v/>
      </c>
      <c r="E213" s="30" t="str">
        <f t="array" ref="E213">IF($A213="", "", LET(bbgm_stat, INDEX(Players!$A212:$P212, MATCH(E$2, Players!$A$1:$P$1, 0)), perc_75, VLOOKUP(E$2, Percentiles!$A$45:$I$59, 6, FALSE), perc_90, VLOOKUP(E$2, Percentiles!$A$45:$I$59, 7, FALSE), perc_95, VLOOKUP(E$2, Percentiles!$A$45:$I$59, 8, FALSE), perc_85, perc_75 + (perc_90 - perc_75) * (2/3), converted_stat, '2K_Ratings'!E213, IF(bbgm_stat &gt;= perc_95, converted_stat * 3, IF(bbgm_stat &gt;= perc_90, converted_stat * 2, IF(bbgm_stat &gt;= perc_85, converted_stat * 1.5, converted_stat)))))</f>
        <v/>
      </c>
      <c r="F213" s="30" t="str">
        <f t="array" ref="F213">IF($A213="", "", LET(bbgm_stat, INDEX(Players!$A212:$P212, MATCH(F$2, Players!$A$1:$P$1, 0)), perc_75, VLOOKUP(F$2, Percentiles!$A$45:$I$59, 6, FALSE), perc_90, VLOOKUP(F$2, Percentiles!$A$45:$I$59, 7, FALSE), perc_95, VLOOKUP(F$2, Percentiles!$A$45:$I$59, 8, FALSE), perc_85, perc_75 + (perc_90 - perc_75) * (2/3), converted_stat, '2K_Ratings'!F213, IF(bbgm_stat &gt;= perc_95, converted_stat * 3, IF(bbgm_stat &gt;= perc_90, converted_stat * 2, IF(bbgm_stat &gt;= perc_85, converted_stat * 1.5, converted_stat)))))</f>
        <v/>
      </c>
      <c r="G213" s="30" t="str">
        <f t="array" ref="G213">IF($A213="", "", LET(bbgm_stat, INDEX(Players!$A212:$P212, MATCH(G$2, Players!$A$1:$P$1, 0)), perc_75, VLOOKUP(G$2, Percentiles!$A$45:$I$59, 6, FALSE), perc_90, VLOOKUP(G$2, Percentiles!$A$45:$I$59, 7, FALSE), perc_95, VLOOKUP(G$2, Percentiles!$A$45:$I$59, 8, FALSE), perc_85, perc_75 + (perc_90 - perc_75) * (2/3), converted_stat, '2K_Ratings'!G213, IF(bbgm_stat &gt;= perc_95, converted_stat * 3, IF(bbgm_stat &gt;= perc_90, converted_stat * 2, IF(bbgm_stat &gt;= perc_85, converted_stat * 1.5, converted_stat)))))</f>
        <v/>
      </c>
      <c r="H213" s="30" t="str">
        <f t="array" ref="H213">IF($A213="", "", LET(bbgm_stat, INDEX(Players!$A212:$P212, MATCH(H$2, Players!$A$1:$P$1, 0)), perc_75, VLOOKUP(H$2, Percentiles!$A$45:$I$59, 6, FALSE), perc_90, VLOOKUP(H$2, Percentiles!$A$45:$I$59, 7, FALSE), perc_95, VLOOKUP(H$2, Percentiles!$A$45:$I$59, 8, FALSE), perc_85, perc_75 + (perc_90 - perc_75) * (2/3), converted_stat, '2K_Ratings'!H213, IF(bbgm_stat &gt;= perc_95, converted_stat * 3, IF(bbgm_stat &gt;= perc_90, converted_stat * 2, IF(bbgm_stat &gt;= perc_85, converted_stat * 1.5, converted_stat)))))</f>
        <v/>
      </c>
      <c r="I213" s="30" t="str">
        <f t="array" ref="I213">IF($A213="", "", LET(bbgm_stat, INDEX(Players!$A212:$P212, MATCH(I$2, Players!$A$1:$P$1, 0)), perc_75, VLOOKUP(I$2, Percentiles!$A$45:$I$59, 6, FALSE), perc_90, VLOOKUP(I$2, Percentiles!$A$45:$I$59, 7, FALSE), perc_95, VLOOKUP(I$2, Percentiles!$A$45:$I$59, 8, FALSE), perc_85, perc_75 + (perc_90 - perc_75) * (2/3), converted_stat, '2K_Ratings'!I213, IF(bbgm_stat &gt;= perc_95, converted_stat * 3, IF(bbgm_stat &gt;= perc_90, converted_stat * 2, IF(bbgm_stat &gt;= perc_85, converted_stat * 1.5, converted_stat)))))</f>
        <v/>
      </c>
      <c r="J213" s="30" t="str">
        <f t="array" ref="J213">IF($A213="", "", LET(bbgm_stat, INDEX(Players!$A212:$P212, MATCH(J$2, Players!$A$1:$P$1, 0)), perc_75, VLOOKUP(J$2, Percentiles!$A$45:$I$59, 6, FALSE), perc_90, VLOOKUP(J$2, Percentiles!$A$45:$I$59, 7, FALSE), perc_95, VLOOKUP(J$2, Percentiles!$A$45:$I$59, 8, FALSE), perc_85, perc_75 + (perc_90 - perc_75) * (2/3), converted_stat, '2K_Ratings'!J213, IF(bbgm_stat &gt;= perc_95, converted_stat * 3, IF(bbgm_stat &gt;= perc_90, converted_stat * 2, IF(bbgm_stat &gt;= perc_85, converted_stat * 1.5, converted_stat)))))</f>
        <v/>
      </c>
      <c r="K213" s="30" t="str">
        <f t="array" ref="K213">IF($A213="", "", LET(bbgm_stat, INDEX(Players!$A212:$P212, MATCH(K$2, Players!$A$1:$P$1, 0)), perc_75, VLOOKUP(K$2, Percentiles!$A$45:$I$59, 6, FALSE), perc_90, VLOOKUP(K$2, Percentiles!$A$45:$I$59, 7, FALSE), perc_95, VLOOKUP(K$2, Percentiles!$A$45:$I$59, 8, FALSE), perc_85, perc_75 + (perc_90 - perc_75) * (2/3), converted_stat, '2K_Ratings'!K213, IF(bbgm_stat &gt;= perc_95, converted_stat * 3, IF(bbgm_stat &gt;= perc_90, converted_stat * 2, IF(bbgm_stat &gt;= perc_85, converted_stat * 1.5, converted_stat)))))</f>
        <v/>
      </c>
      <c r="L213" s="30" t="str">
        <f t="array" ref="L213">IF($A213="", "", LET(bbgm_stat, INDEX(Players!$A212:$P212, MATCH(L$2, Players!$A$1:$P$1, 0)), perc_75, VLOOKUP(L$2, Percentiles!$A$45:$I$59, 6, FALSE), perc_90, VLOOKUP(L$2, Percentiles!$A$45:$I$59, 7, FALSE), perc_95, VLOOKUP(L$2, Percentiles!$A$45:$I$59, 8, FALSE), perc_85, perc_75 + (perc_90 - perc_75) * (2/3), converted_stat, '2K_Ratings'!L213, IF(bbgm_stat &gt;= perc_95, converted_stat * 3, IF(bbgm_stat &gt;= perc_90, converted_stat * 2, IF(bbgm_stat &gt;= perc_85, converted_stat * 1.5, converted_stat)))))</f>
        <v/>
      </c>
      <c r="M213" s="30" t="str">
        <f t="array" ref="M213">IF($A213="", "", LET(bbgm_stat, INDEX(Players!$A212:$P212, MATCH(M$2, Players!$A$1:$P$1, 0)), perc_75, VLOOKUP(M$2, Percentiles!$A$45:$I$59, 6, FALSE), perc_90, VLOOKUP(M$2, Percentiles!$A$45:$I$59, 7, FALSE), perc_95, VLOOKUP(M$2, Percentiles!$A$45:$I$59, 8, FALSE), perc_85, perc_75 + (perc_90 - perc_75) * (2/3), converted_stat, '2K_Ratings'!M213, IF(bbgm_stat &gt;= perc_95, converted_stat * 3, IF(bbgm_stat &gt;= perc_90, converted_stat * 2, IF(bbgm_stat &gt;= perc_85, converted_stat * 1.5, converted_stat)))))</f>
        <v/>
      </c>
      <c r="N213" s="30" t="str">
        <f t="array" ref="N213">IF($A213="", "", LET(bbgm_stat, INDEX(Players!$A212:$P212, MATCH(N$2, Players!$A$1:$P$1, 0)), perc_75, VLOOKUP(N$2, Percentiles!$A$45:$I$59, 6, FALSE), perc_90, VLOOKUP(N$2, Percentiles!$A$45:$I$59, 7, FALSE), perc_95, VLOOKUP(N$2, Percentiles!$A$45:$I$59, 8, FALSE), perc_85, perc_75 + (perc_90 - perc_75) * (2/3), converted_stat, '2K_Ratings'!N213, IF(bbgm_stat &gt;= perc_95, converted_stat * 3, IF(bbgm_stat &gt;= perc_90, converted_stat * 2, IF(bbgm_stat &gt;= perc_85, converted_stat * 1.5, converted_stat)))))</f>
        <v/>
      </c>
      <c r="O213" s="30" t="str">
        <f t="array" ref="O213">IF($A213="", "", LET(bbgm_stat, INDEX(Players!$A212:$P212, MATCH(O$2, Players!$A$1:$P$1, 0)), perc_75, VLOOKUP(O$2, Percentiles!$A$45:$I$59, 6, FALSE), perc_90, VLOOKUP(O$2, Percentiles!$A$45:$I$59, 7, FALSE), perc_95, VLOOKUP(O$2, Percentiles!$A$45:$I$59, 8, FALSE), perc_85, perc_75 + (perc_90 - perc_75) * (2/3), converted_stat, '2K_Ratings'!O213, IF(bbgm_stat &gt;= perc_95, converted_stat * 3, IF(bbgm_stat &gt;= perc_90, converted_stat * 2, IF(bbgm_stat &gt;= perc_85, converted_stat * 1.5, converted_stat)))))</f>
        <v/>
      </c>
      <c r="P213" s="30" t="str">
        <f t="array" ref="P213">IF($A213="", "", LET(bbgm_stat, INDEX(Players!$A212:$P212, MATCH(P$2, Players!$A$1:$P$1, 0)), perc_75, VLOOKUP(P$2, Percentiles!$A$45:$I$59, 6, FALSE), perc_90, VLOOKUP(P$2, Percentiles!$A$45:$I$59, 7, FALSE), perc_95, VLOOKUP(P$2, Percentiles!$A$45:$I$59, 8, FALSE), perc_85, perc_75 + (perc_90 - perc_75) * (2/3), converted_stat, '2K_Ratings'!P213, IF(bbgm_stat &gt;= perc_95, converted_stat * 3, IF(bbgm_stat &gt;= perc_90, converted_stat * 2, IF(bbgm_stat &gt;= perc_85, converted_stat * 1.5, converted_stat)))))</f>
        <v/>
      </c>
      <c r="Q213" s="30" t="str">
        <f t="array" ref="Q213">IF($A213="", "", LET(bbgm_stat, INDEX(Players!$A212:$P212, MATCH(Q$2, Players!$A$1:$P$1, 0)), perc_75, VLOOKUP(Q$2, Percentiles!$A$45:$I$59, 6, FALSE), perc_90, VLOOKUP(Q$2, Percentiles!$A$45:$I$59, 7, FALSE), perc_95, VLOOKUP(Q$2, Percentiles!$A$45:$I$59, 8, FALSE), perc_85, perc_75 + (perc_90 - perc_75) * (2/3), converted_stat, '2K_Ratings'!Q213, IF(bbgm_stat &gt;= perc_95, converted_stat * 3, IF(bbgm_stat &gt;= perc_90, converted_stat * 2, IF(bbgm_stat &gt;= perc_85, converted_stat * 1.5, converted_stat)))))</f>
        <v/>
      </c>
      <c r="R213" s="30" t="str">
        <f t="array" ref="R213">IF($A213="", "", LET(bbgm_stat, INDEX(Players!$A212:$P212, MATCH(R$2, Players!$A$1:$P$1, 0)), perc_75, VLOOKUP(R$2, Percentiles!$A$45:$I$59, 6, FALSE), perc_90, VLOOKUP(R$2, Percentiles!$A$45:$I$59, 7, FALSE), perc_95, VLOOKUP(R$2, Percentiles!$A$45:$I$59, 8, FALSE), perc_85, perc_75 + (perc_90 - perc_75) * (2/3), converted_stat, '2K_Ratings'!R213, IF(bbgm_stat &gt;= perc_95, converted_stat * 3, IF(bbgm_stat &gt;= perc_90, converted_stat * 2, IF(bbgm_stat &gt;= perc_85, converted_stat * 1.5, converted_stat)))))</f>
        <v/>
      </c>
      <c r="S213" s="30" t="str">
        <f t="array" ref="S213">IF($A213="", "", LET(bbgm_stat, INDEX(Players!$A212:$P212, MATCH(S$2, Players!$A$1:$P$1, 0)), perc_75, VLOOKUP(S$2, Percentiles!$A$45:$I$59, 6, FALSE), perc_90, VLOOKUP(S$2, Percentiles!$A$45:$I$59, 7, FALSE), perc_95, VLOOKUP(S$2, Percentiles!$A$45:$I$59, 8, FALSE), perc_85, perc_75 + (perc_90 - perc_75) * (2/3), converted_stat, '2K_Ratings'!S213, IF(bbgm_stat &gt;= perc_95, converted_stat * 3, IF(bbgm_stat &gt;= perc_90, converted_stat * 2, IF(bbgm_stat &gt;= perc_85, converted_stat * 1.5, converted_stat)))))</f>
        <v/>
      </c>
      <c r="T213" s="30" t="str">
        <f t="array" ref="T213">IF($A213="", "", LET(bbgm_stat, INDEX(Players!$A212:$P212, MATCH(T$2, Players!$A$1:$P$1, 0)), perc_75, VLOOKUP(T$2, Percentiles!$A$45:$I$59, 6, FALSE), perc_90, VLOOKUP(T$2, Percentiles!$A$45:$I$59, 7, FALSE), perc_95, VLOOKUP(T$2, Percentiles!$A$45:$I$59, 8, FALSE), perc_85, perc_75 + (perc_90 - perc_75) * (2/3), converted_stat, '2K_Ratings'!T213, IF(bbgm_stat &gt;= perc_95, converted_stat * 3, IF(bbgm_stat &gt;= perc_90, converted_stat * 2, IF(bbgm_stat &gt;= perc_85, converted_stat * 1.5, converted_stat)))))</f>
        <v/>
      </c>
      <c r="U213" s="30" t="str">
        <f t="array" ref="U213">IF($A213="", "", LET(bbgm_stat, INDEX(Players!$A212:$P212, MATCH(U$2, Players!$A$1:$P$1, 0)), perc_75, VLOOKUP(U$2, Percentiles!$A$45:$I$59, 6, FALSE), perc_90, VLOOKUP(U$2, Percentiles!$A$45:$I$59, 7, FALSE), perc_95, VLOOKUP(U$2, Percentiles!$A$45:$I$59, 8, FALSE), perc_85, perc_75 + (perc_90 - perc_75) * (2/3), converted_stat, '2K_Ratings'!U213, IF(bbgm_stat &gt;= perc_95, converted_stat * 3, IF(bbgm_stat &gt;= perc_90, converted_stat * 2, IF(bbgm_stat &gt;= perc_85, converted_stat * 1.5, converted_stat)))))</f>
        <v/>
      </c>
      <c r="V213" s="30" t="str">
        <f t="array" ref="V213">IF($A213="", "", LET(bbgm_stat, INDEX(Players!$A212:$P212, MATCH(V$2, Players!$A$1:$P$1, 0)), perc_75, VLOOKUP(V$2, Percentiles!$A$45:$I$59, 6, FALSE), perc_90, VLOOKUP(V$2, Percentiles!$A$45:$I$59, 7, FALSE), perc_95, VLOOKUP(V$2, Percentiles!$A$45:$I$59, 8, FALSE), perc_85, perc_75 + (perc_90 - perc_75) * (2/3), converted_stat, '2K_Ratings'!V213, IF(bbgm_stat &gt;= perc_95, converted_stat * 3, IF(bbgm_stat &gt;= perc_90, converted_stat * 2, IF(bbgm_stat &gt;= perc_85, converted_stat * 1.5, converted_stat)))))</f>
        <v/>
      </c>
      <c r="W213" s="30" t="str">
        <f t="array" ref="W213">IF($A213="", "", LET(bbgm_stat, INDEX(Players!$A212:$P212, MATCH(W$2, Players!$A$1:$P$1, 0)), perc_75, VLOOKUP(W$2, Percentiles!$A$45:$I$59, 6, FALSE), perc_90, VLOOKUP(W$2, Percentiles!$A$45:$I$59, 7, FALSE), perc_95, VLOOKUP(W$2, Percentiles!$A$45:$I$59, 8, FALSE), perc_85, perc_75 + (perc_90 - perc_75) * (2/3), converted_stat, '2K_Ratings'!W213, IF(bbgm_stat &gt;= perc_95, converted_stat * 3, IF(bbgm_stat &gt;= perc_90, converted_stat * 2, IF(bbgm_stat &gt;= perc_85, converted_stat * 1.5, converted_stat)))))</f>
        <v/>
      </c>
    </row>
    <row r="214">
      <c r="A214" s="30"/>
      <c r="B214" s="30" t="str">
        <f t="array" ref="B214">IF($A214="", "", LET(bbgm_stat, INDEX(Players!$A213:$P213, MATCH(B$2, Players!$A$1:$P$1, 0)), perc_75, VLOOKUP(B$2, Percentiles!$A$45:$I$59, 6, FALSE), perc_90, VLOOKUP(B$2, Percentiles!$A$45:$I$59, 7, FALSE), perc_95, VLOOKUP(B$2, Percentiles!$A$45:$I$59, 8, FALSE), perc_85, perc_75 + (perc_90 - perc_75) * (2/3), converted_stat, '2K_Ratings'!B214, IF(bbgm_stat &gt;= perc_95, converted_stat * 3, IF(bbgm_stat &gt;= perc_90, converted_stat * 2, IF(bbgm_stat &gt;= perc_85, converted_stat * 1.5, converted_stat)))))</f>
        <v/>
      </c>
      <c r="C214" s="30" t="str">
        <f t="array" ref="C214">IF($A214="", "", LET(bbgm_stat, INDEX(Players!$A213:$P213, MATCH(C$2, Players!$A$1:$P$1, 0)), perc_75, VLOOKUP(C$2, Percentiles!$A$45:$I$59, 6, FALSE), perc_90, VLOOKUP(C$2, Percentiles!$A$45:$I$59, 7, FALSE), perc_95, VLOOKUP(C$2, Percentiles!$A$45:$I$59, 8, FALSE), perc_85, perc_75 + (perc_90 - perc_75) * (2/3), converted_stat, '2K_Ratings'!C214, IF(bbgm_stat &gt;= perc_95, converted_stat * 3, IF(bbgm_stat &gt;= perc_90, converted_stat * 2, IF(bbgm_stat &gt;= perc_85, converted_stat * 1.5, converted_stat)))))</f>
        <v/>
      </c>
      <c r="D214" s="30" t="str">
        <f t="array" ref="D214">IF($A214="", "", LET(bbgm_stat, INDEX(Players!$A213:$P213, MATCH(D$2, Players!$A$1:$P$1, 0)), perc_75, VLOOKUP(D$2, Percentiles!$A$45:$I$59, 6, FALSE), perc_90, VLOOKUP(D$2, Percentiles!$A$45:$I$59, 7, FALSE), perc_95, VLOOKUP(D$2, Percentiles!$A$45:$I$59, 8, FALSE), perc_85, perc_75 + (perc_90 - perc_75) * (2/3), converted_stat, '2K_Ratings'!D214, IF(bbgm_stat &gt;= perc_95, converted_stat * 3, IF(bbgm_stat &gt;= perc_90, converted_stat * 2, IF(bbgm_stat &gt;= perc_85, converted_stat * 1.5, converted_stat)))))</f>
        <v/>
      </c>
      <c r="E214" s="30" t="str">
        <f t="array" ref="E214">IF($A214="", "", LET(bbgm_stat, INDEX(Players!$A213:$P213, MATCH(E$2, Players!$A$1:$P$1, 0)), perc_75, VLOOKUP(E$2, Percentiles!$A$45:$I$59, 6, FALSE), perc_90, VLOOKUP(E$2, Percentiles!$A$45:$I$59, 7, FALSE), perc_95, VLOOKUP(E$2, Percentiles!$A$45:$I$59, 8, FALSE), perc_85, perc_75 + (perc_90 - perc_75) * (2/3), converted_stat, '2K_Ratings'!E214, IF(bbgm_stat &gt;= perc_95, converted_stat * 3, IF(bbgm_stat &gt;= perc_90, converted_stat * 2, IF(bbgm_stat &gt;= perc_85, converted_stat * 1.5, converted_stat)))))</f>
        <v/>
      </c>
      <c r="F214" s="30" t="str">
        <f t="array" ref="F214">IF($A214="", "", LET(bbgm_stat, INDEX(Players!$A213:$P213, MATCH(F$2, Players!$A$1:$P$1, 0)), perc_75, VLOOKUP(F$2, Percentiles!$A$45:$I$59, 6, FALSE), perc_90, VLOOKUP(F$2, Percentiles!$A$45:$I$59, 7, FALSE), perc_95, VLOOKUP(F$2, Percentiles!$A$45:$I$59, 8, FALSE), perc_85, perc_75 + (perc_90 - perc_75) * (2/3), converted_stat, '2K_Ratings'!F214, IF(bbgm_stat &gt;= perc_95, converted_stat * 3, IF(bbgm_stat &gt;= perc_90, converted_stat * 2, IF(bbgm_stat &gt;= perc_85, converted_stat * 1.5, converted_stat)))))</f>
        <v/>
      </c>
      <c r="G214" s="30" t="str">
        <f t="array" ref="G214">IF($A214="", "", LET(bbgm_stat, INDEX(Players!$A213:$P213, MATCH(G$2, Players!$A$1:$P$1, 0)), perc_75, VLOOKUP(G$2, Percentiles!$A$45:$I$59, 6, FALSE), perc_90, VLOOKUP(G$2, Percentiles!$A$45:$I$59, 7, FALSE), perc_95, VLOOKUP(G$2, Percentiles!$A$45:$I$59, 8, FALSE), perc_85, perc_75 + (perc_90 - perc_75) * (2/3), converted_stat, '2K_Ratings'!G214, IF(bbgm_stat &gt;= perc_95, converted_stat * 3, IF(bbgm_stat &gt;= perc_90, converted_stat * 2, IF(bbgm_stat &gt;= perc_85, converted_stat * 1.5, converted_stat)))))</f>
        <v/>
      </c>
      <c r="H214" s="30" t="str">
        <f t="array" ref="H214">IF($A214="", "", LET(bbgm_stat, INDEX(Players!$A213:$P213, MATCH(H$2, Players!$A$1:$P$1, 0)), perc_75, VLOOKUP(H$2, Percentiles!$A$45:$I$59, 6, FALSE), perc_90, VLOOKUP(H$2, Percentiles!$A$45:$I$59, 7, FALSE), perc_95, VLOOKUP(H$2, Percentiles!$A$45:$I$59, 8, FALSE), perc_85, perc_75 + (perc_90 - perc_75) * (2/3), converted_stat, '2K_Ratings'!H214, IF(bbgm_stat &gt;= perc_95, converted_stat * 3, IF(bbgm_stat &gt;= perc_90, converted_stat * 2, IF(bbgm_stat &gt;= perc_85, converted_stat * 1.5, converted_stat)))))</f>
        <v/>
      </c>
      <c r="I214" s="30" t="str">
        <f t="array" ref="I214">IF($A214="", "", LET(bbgm_stat, INDEX(Players!$A213:$P213, MATCH(I$2, Players!$A$1:$P$1, 0)), perc_75, VLOOKUP(I$2, Percentiles!$A$45:$I$59, 6, FALSE), perc_90, VLOOKUP(I$2, Percentiles!$A$45:$I$59, 7, FALSE), perc_95, VLOOKUP(I$2, Percentiles!$A$45:$I$59, 8, FALSE), perc_85, perc_75 + (perc_90 - perc_75) * (2/3), converted_stat, '2K_Ratings'!I214, IF(bbgm_stat &gt;= perc_95, converted_stat * 3, IF(bbgm_stat &gt;= perc_90, converted_stat * 2, IF(bbgm_stat &gt;= perc_85, converted_stat * 1.5, converted_stat)))))</f>
        <v/>
      </c>
      <c r="J214" s="30" t="str">
        <f t="array" ref="J214">IF($A214="", "", LET(bbgm_stat, INDEX(Players!$A213:$P213, MATCH(J$2, Players!$A$1:$P$1, 0)), perc_75, VLOOKUP(J$2, Percentiles!$A$45:$I$59, 6, FALSE), perc_90, VLOOKUP(J$2, Percentiles!$A$45:$I$59, 7, FALSE), perc_95, VLOOKUP(J$2, Percentiles!$A$45:$I$59, 8, FALSE), perc_85, perc_75 + (perc_90 - perc_75) * (2/3), converted_stat, '2K_Ratings'!J214, IF(bbgm_stat &gt;= perc_95, converted_stat * 3, IF(bbgm_stat &gt;= perc_90, converted_stat * 2, IF(bbgm_stat &gt;= perc_85, converted_stat * 1.5, converted_stat)))))</f>
        <v/>
      </c>
      <c r="K214" s="30" t="str">
        <f t="array" ref="K214">IF($A214="", "", LET(bbgm_stat, INDEX(Players!$A213:$P213, MATCH(K$2, Players!$A$1:$P$1, 0)), perc_75, VLOOKUP(K$2, Percentiles!$A$45:$I$59, 6, FALSE), perc_90, VLOOKUP(K$2, Percentiles!$A$45:$I$59, 7, FALSE), perc_95, VLOOKUP(K$2, Percentiles!$A$45:$I$59, 8, FALSE), perc_85, perc_75 + (perc_90 - perc_75) * (2/3), converted_stat, '2K_Ratings'!K214, IF(bbgm_stat &gt;= perc_95, converted_stat * 3, IF(bbgm_stat &gt;= perc_90, converted_stat * 2, IF(bbgm_stat &gt;= perc_85, converted_stat * 1.5, converted_stat)))))</f>
        <v/>
      </c>
      <c r="L214" s="30" t="str">
        <f t="array" ref="L214">IF($A214="", "", LET(bbgm_stat, INDEX(Players!$A213:$P213, MATCH(L$2, Players!$A$1:$P$1, 0)), perc_75, VLOOKUP(L$2, Percentiles!$A$45:$I$59, 6, FALSE), perc_90, VLOOKUP(L$2, Percentiles!$A$45:$I$59, 7, FALSE), perc_95, VLOOKUP(L$2, Percentiles!$A$45:$I$59, 8, FALSE), perc_85, perc_75 + (perc_90 - perc_75) * (2/3), converted_stat, '2K_Ratings'!L214, IF(bbgm_stat &gt;= perc_95, converted_stat * 3, IF(bbgm_stat &gt;= perc_90, converted_stat * 2, IF(bbgm_stat &gt;= perc_85, converted_stat * 1.5, converted_stat)))))</f>
        <v/>
      </c>
      <c r="M214" s="30" t="str">
        <f t="array" ref="M214">IF($A214="", "", LET(bbgm_stat, INDEX(Players!$A213:$P213, MATCH(M$2, Players!$A$1:$P$1, 0)), perc_75, VLOOKUP(M$2, Percentiles!$A$45:$I$59, 6, FALSE), perc_90, VLOOKUP(M$2, Percentiles!$A$45:$I$59, 7, FALSE), perc_95, VLOOKUP(M$2, Percentiles!$A$45:$I$59, 8, FALSE), perc_85, perc_75 + (perc_90 - perc_75) * (2/3), converted_stat, '2K_Ratings'!M214, IF(bbgm_stat &gt;= perc_95, converted_stat * 3, IF(bbgm_stat &gt;= perc_90, converted_stat * 2, IF(bbgm_stat &gt;= perc_85, converted_stat * 1.5, converted_stat)))))</f>
        <v/>
      </c>
      <c r="N214" s="30" t="str">
        <f t="array" ref="N214">IF($A214="", "", LET(bbgm_stat, INDEX(Players!$A213:$P213, MATCH(N$2, Players!$A$1:$P$1, 0)), perc_75, VLOOKUP(N$2, Percentiles!$A$45:$I$59, 6, FALSE), perc_90, VLOOKUP(N$2, Percentiles!$A$45:$I$59, 7, FALSE), perc_95, VLOOKUP(N$2, Percentiles!$A$45:$I$59, 8, FALSE), perc_85, perc_75 + (perc_90 - perc_75) * (2/3), converted_stat, '2K_Ratings'!N214, IF(bbgm_stat &gt;= perc_95, converted_stat * 3, IF(bbgm_stat &gt;= perc_90, converted_stat * 2, IF(bbgm_stat &gt;= perc_85, converted_stat * 1.5, converted_stat)))))</f>
        <v/>
      </c>
      <c r="O214" s="30" t="str">
        <f t="array" ref="O214">IF($A214="", "", LET(bbgm_stat, INDEX(Players!$A213:$P213, MATCH(O$2, Players!$A$1:$P$1, 0)), perc_75, VLOOKUP(O$2, Percentiles!$A$45:$I$59, 6, FALSE), perc_90, VLOOKUP(O$2, Percentiles!$A$45:$I$59, 7, FALSE), perc_95, VLOOKUP(O$2, Percentiles!$A$45:$I$59, 8, FALSE), perc_85, perc_75 + (perc_90 - perc_75) * (2/3), converted_stat, '2K_Ratings'!O214, IF(bbgm_stat &gt;= perc_95, converted_stat * 3, IF(bbgm_stat &gt;= perc_90, converted_stat * 2, IF(bbgm_stat &gt;= perc_85, converted_stat * 1.5, converted_stat)))))</f>
        <v/>
      </c>
      <c r="P214" s="30" t="str">
        <f t="array" ref="P214">IF($A214="", "", LET(bbgm_stat, INDEX(Players!$A213:$P213, MATCH(P$2, Players!$A$1:$P$1, 0)), perc_75, VLOOKUP(P$2, Percentiles!$A$45:$I$59, 6, FALSE), perc_90, VLOOKUP(P$2, Percentiles!$A$45:$I$59, 7, FALSE), perc_95, VLOOKUP(P$2, Percentiles!$A$45:$I$59, 8, FALSE), perc_85, perc_75 + (perc_90 - perc_75) * (2/3), converted_stat, '2K_Ratings'!P214, IF(bbgm_stat &gt;= perc_95, converted_stat * 3, IF(bbgm_stat &gt;= perc_90, converted_stat * 2, IF(bbgm_stat &gt;= perc_85, converted_stat * 1.5, converted_stat)))))</f>
        <v/>
      </c>
      <c r="Q214" s="30" t="str">
        <f t="array" ref="Q214">IF($A214="", "", LET(bbgm_stat, INDEX(Players!$A213:$P213, MATCH(Q$2, Players!$A$1:$P$1, 0)), perc_75, VLOOKUP(Q$2, Percentiles!$A$45:$I$59, 6, FALSE), perc_90, VLOOKUP(Q$2, Percentiles!$A$45:$I$59, 7, FALSE), perc_95, VLOOKUP(Q$2, Percentiles!$A$45:$I$59, 8, FALSE), perc_85, perc_75 + (perc_90 - perc_75) * (2/3), converted_stat, '2K_Ratings'!Q214, IF(bbgm_stat &gt;= perc_95, converted_stat * 3, IF(bbgm_stat &gt;= perc_90, converted_stat * 2, IF(bbgm_stat &gt;= perc_85, converted_stat * 1.5, converted_stat)))))</f>
        <v/>
      </c>
      <c r="R214" s="30" t="str">
        <f t="array" ref="R214">IF($A214="", "", LET(bbgm_stat, INDEX(Players!$A213:$P213, MATCH(R$2, Players!$A$1:$P$1, 0)), perc_75, VLOOKUP(R$2, Percentiles!$A$45:$I$59, 6, FALSE), perc_90, VLOOKUP(R$2, Percentiles!$A$45:$I$59, 7, FALSE), perc_95, VLOOKUP(R$2, Percentiles!$A$45:$I$59, 8, FALSE), perc_85, perc_75 + (perc_90 - perc_75) * (2/3), converted_stat, '2K_Ratings'!R214, IF(bbgm_stat &gt;= perc_95, converted_stat * 3, IF(bbgm_stat &gt;= perc_90, converted_stat * 2, IF(bbgm_stat &gt;= perc_85, converted_stat * 1.5, converted_stat)))))</f>
        <v/>
      </c>
      <c r="S214" s="30" t="str">
        <f t="array" ref="S214">IF($A214="", "", LET(bbgm_stat, INDEX(Players!$A213:$P213, MATCH(S$2, Players!$A$1:$P$1, 0)), perc_75, VLOOKUP(S$2, Percentiles!$A$45:$I$59, 6, FALSE), perc_90, VLOOKUP(S$2, Percentiles!$A$45:$I$59, 7, FALSE), perc_95, VLOOKUP(S$2, Percentiles!$A$45:$I$59, 8, FALSE), perc_85, perc_75 + (perc_90 - perc_75) * (2/3), converted_stat, '2K_Ratings'!S214, IF(bbgm_stat &gt;= perc_95, converted_stat * 3, IF(bbgm_stat &gt;= perc_90, converted_stat * 2, IF(bbgm_stat &gt;= perc_85, converted_stat * 1.5, converted_stat)))))</f>
        <v/>
      </c>
      <c r="T214" s="30" t="str">
        <f t="array" ref="T214">IF($A214="", "", LET(bbgm_stat, INDEX(Players!$A213:$P213, MATCH(T$2, Players!$A$1:$P$1, 0)), perc_75, VLOOKUP(T$2, Percentiles!$A$45:$I$59, 6, FALSE), perc_90, VLOOKUP(T$2, Percentiles!$A$45:$I$59, 7, FALSE), perc_95, VLOOKUP(T$2, Percentiles!$A$45:$I$59, 8, FALSE), perc_85, perc_75 + (perc_90 - perc_75) * (2/3), converted_stat, '2K_Ratings'!T214, IF(bbgm_stat &gt;= perc_95, converted_stat * 3, IF(bbgm_stat &gt;= perc_90, converted_stat * 2, IF(bbgm_stat &gt;= perc_85, converted_stat * 1.5, converted_stat)))))</f>
        <v/>
      </c>
      <c r="U214" s="30" t="str">
        <f t="array" ref="U214">IF($A214="", "", LET(bbgm_stat, INDEX(Players!$A213:$P213, MATCH(U$2, Players!$A$1:$P$1, 0)), perc_75, VLOOKUP(U$2, Percentiles!$A$45:$I$59, 6, FALSE), perc_90, VLOOKUP(U$2, Percentiles!$A$45:$I$59, 7, FALSE), perc_95, VLOOKUP(U$2, Percentiles!$A$45:$I$59, 8, FALSE), perc_85, perc_75 + (perc_90 - perc_75) * (2/3), converted_stat, '2K_Ratings'!U214, IF(bbgm_stat &gt;= perc_95, converted_stat * 3, IF(bbgm_stat &gt;= perc_90, converted_stat * 2, IF(bbgm_stat &gt;= perc_85, converted_stat * 1.5, converted_stat)))))</f>
        <v/>
      </c>
      <c r="V214" s="30" t="str">
        <f t="array" ref="V214">IF($A214="", "", LET(bbgm_stat, INDEX(Players!$A213:$P213, MATCH(V$2, Players!$A$1:$P$1, 0)), perc_75, VLOOKUP(V$2, Percentiles!$A$45:$I$59, 6, FALSE), perc_90, VLOOKUP(V$2, Percentiles!$A$45:$I$59, 7, FALSE), perc_95, VLOOKUP(V$2, Percentiles!$A$45:$I$59, 8, FALSE), perc_85, perc_75 + (perc_90 - perc_75) * (2/3), converted_stat, '2K_Ratings'!V214, IF(bbgm_stat &gt;= perc_95, converted_stat * 3, IF(bbgm_stat &gt;= perc_90, converted_stat * 2, IF(bbgm_stat &gt;= perc_85, converted_stat * 1.5, converted_stat)))))</f>
        <v/>
      </c>
      <c r="W214" s="30" t="str">
        <f t="array" ref="W214">IF($A214="", "", LET(bbgm_stat, INDEX(Players!$A213:$P213, MATCH(W$2, Players!$A$1:$P$1, 0)), perc_75, VLOOKUP(W$2, Percentiles!$A$45:$I$59, 6, FALSE), perc_90, VLOOKUP(W$2, Percentiles!$A$45:$I$59, 7, FALSE), perc_95, VLOOKUP(W$2, Percentiles!$A$45:$I$59, 8, FALSE), perc_85, perc_75 + (perc_90 - perc_75) * (2/3), converted_stat, '2K_Ratings'!W214, IF(bbgm_stat &gt;= perc_95, converted_stat * 3, IF(bbgm_stat &gt;= perc_90, converted_stat * 2, IF(bbgm_stat &gt;= perc_85, converted_stat * 1.5, converted_stat)))))</f>
        <v/>
      </c>
    </row>
    <row r="215">
      <c r="A215" s="30"/>
      <c r="B215" s="30" t="str">
        <f t="array" ref="B215">IF($A215="", "", LET(bbgm_stat, INDEX(Players!$A214:$P214, MATCH(B$2, Players!$A$1:$P$1, 0)), perc_75, VLOOKUP(B$2, Percentiles!$A$45:$I$59, 6, FALSE), perc_90, VLOOKUP(B$2, Percentiles!$A$45:$I$59, 7, FALSE), perc_95, VLOOKUP(B$2, Percentiles!$A$45:$I$59, 8, FALSE), perc_85, perc_75 + (perc_90 - perc_75) * (2/3), converted_stat, '2K_Ratings'!B215, IF(bbgm_stat &gt;= perc_95, converted_stat * 3, IF(bbgm_stat &gt;= perc_90, converted_stat * 2, IF(bbgm_stat &gt;= perc_85, converted_stat * 1.5, converted_stat)))))</f>
        <v/>
      </c>
      <c r="C215" s="30" t="str">
        <f t="array" ref="C215">IF($A215="", "", LET(bbgm_stat, INDEX(Players!$A214:$P214, MATCH(C$2, Players!$A$1:$P$1, 0)), perc_75, VLOOKUP(C$2, Percentiles!$A$45:$I$59, 6, FALSE), perc_90, VLOOKUP(C$2, Percentiles!$A$45:$I$59, 7, FALSE), perc_95, VLOOKUP(C$2, Percentiles!$A$45:$I$59, 8, FALSE), perc_85, perc_75 + (perc_90 - perc_75) * (2/3), converted_stat, '2K_Ratings'!C215, IF(bbgm_stat &gt;= perc_95, converted_stat * 3, IF(bbgm_stat &gt;= perc_90, converted_stat * 2, IF(bbgm_stat &gt;= perc_85, converted_stat * 1.5, converted_stat)))))</f>
        <v/>
      </c>
      <c r="D215" s="30" t="str">
        <f t="array" ref="D215">IF($A215="", "", LET(bbgm_stat, INDEX(Players!$A214:$P214, MATCH(D$2, Players!$A$1:$P$1, 0)), perc_75, VLOOKUP(D$2, Percentiles!$A$45:$I$59, 6, FALSE), perc_90, VLOOKUP(D$2, Percentiles!$A$45:$I$59, 7, FALSE), perc_95, VLOOKUP(D$2, Percentiles!$A$45:$I$59, 8, FALSE), perc_85, perc_75 + (perc_90 - perc_75) * (2/3), converted_stat, '2K_Ratings'!D215, IF(bbgm_stat &gt;= perc_95, converted_stat * 3, IF(bbgm_stat &gt;= perc_90, converted_stat * 2, IF(bbgm_stat &gt;= perc_85, converted_stat * 1.5, converted_stat)))))</f>
        <v/>
      </c>
      <c r="E215" s="30" t="str">
        <f t="array" ref="E215">IF($A215="", "", LET(bbgm_stat, INDEX(Players!$A214:$P214, MATCH(E$2, Players!$A$1:$P$1, 0)), perc_75, VLOOKUP(E$2, Percentiles!$A$45:$I$59, 6, FALSE), perc_90, VLOOKUP(E$2, Percentiles!$A$45:$I$59, 7, FALSE), perc_95, VLOOKUP(E$2, Percentiles!$A$45:$I$59, 8, FALSE), perc_85, perc_75 + (perc_90 - perc_75) * (2/3), converted_stat, '2K_Ratings'!E215, IF(bbgm_stat &gt;= perc_95, converted_stat * 3, IF(bbgm_stat &gt;= perc_90, converted_stat * 2, IF(bbgm_stat &gt;= perc_85, converted_stat * 1.5, converted_stat)))))</f>
        <v/>
      </c>
      <c r="F215" s="30" t="str">
        <f t="array" ref="F215">IF($A215="", "", LET(bbgm_stat, INDEX(Players!$A214:$P214, MATCH(F$2, Players!$A$1:$P$1, 0)), perc_75, VLOOKUP(F$2, Percentiles!$A$45:$I$59, 6, FALSE), perc_90, VLOOKUP(F$2, Percentiles!$A$45:$I$59, 7, FALSE), perc_95, VLOOKUP(F$2, Percentiles!$A$45:$I$59, 8, FALSE), perc_85, perc_75 + (perc_90 - perc_75) * (2/3), converted_stat, '2K_Ratings'!F215, IF(bbgm_stat &gt;= perc_95, converted_stat * 3, IF(bbgm_stat &gt;= perc_90, converted_stat * 2, IF(bbgm_stat &gt;= perc_85, converted_stat * 1.5, converted_stat)))))</f>
        <v/>
      </c>
      <c r="G215" s="30" t="str">
        <f t="array" ref="G215">IF($A215="", "", LET(bbgm_stat, INDEX(Players!$A214:$P214, MATCH(G$2, Players!$A$1:$P$1, 0)), perc_75, VLOOKUP(G$2, Percentiles!$A$45:$I$59, 6, FALSE), perc_90, VLOOKUP(G$2, Percentiles!$A$45:$I$59, 7, FALSE), perc_95, VLOOKUP(G$2, Percentiles!$A$45:$I$59, 8, FALSE), perc_85, perc_75 + (perc_90 - perc_75) * (2/3), converted_stat, '2K_Ratings'!G215, IF(bbgm_stat &gt;= perc_95, converted_stat * 3, IF(bbgm_stat &gt;= perc_90, converted_stat * 2, IF(bbgm_stat &gt;= perc_85, converted_stat * 1.5, converted_stat)))))</f>
        <v/>
      </c>
      <c r="H215" s="30" t="str">
        <f t="array" ref="H215">IF($A215="", "", LET(bbgm_stat, INDEX(Players!$A214:$P214, MATCH(H$2, Players!$A$1:$P$1, 0)), perc_75, VLOOKUP(H$2, Percentiles!$A$45:$I$59, 6, FALSE), perc_90, VLOOKUP(H$2, Percentiles!$A$45:$I$59, 7, FALSE), perc_95, VLOOKUP(H$2, Percentiles!$A$45:$I$59, 8, FALSE), perc_85, perc_75 + (perc_90 - perc_75) * (2/3), converted_stat, '2K_Ratings'!H215, IF(bbgm_stat &gt;= perc_95, converted_stat * 3, IF(bbgm_stat &gt;= perc_90, converted_stat * 2, IF(bbgm_stat &gt;= perc_85, converted_stat * 1.5, converted_stat)))))</f>
        <v/>
      </c>
      <c r="I215" s="30" t="str">
        <f t="array" ref="I215">IF($A215="", "", LET(bbgm_stat, INDEX(Players!$A214:$P214, MATCH(I$2, Players!$A$1:$P$1, 0)), perc_75, VLOOKUP(I$2, Percentiles!$A$45:$I$59, 6, FALSE), perc_90, VLOOKUP(I$2, Percentiles!$A$45:$I$59, 7, FALSE), perc_95, VLOOKUP(I$2, Percentiles!$A$45:$I$59, 8, FALSE), perc_85, perc_75 + (perc_90 - perc_75) * (2/3), converted_stat, '2K_Ratings'!I215, IF(bbgm_stat &gt;= perc_95, converted_stat * 3, IF(bbgm_stat &gt;= perc_90, converted_stat * 2, IF(bbgm_stat &gt;= perc_85, converted_stat * 1.5, converted_stat)))))</f>
        <v/>
      </c>
      <c r="J215" s="30" t="str">
        <f t="array" ref="J215">IF($A215="", "", LET(bbgm_stat, INDEX(Players!$A214:$P214, MATCH(J$2, Players!$A$1:$P$1, 0)), perc_75, VLOOKUP(J$2, Percentiles!$A$45:$I$59, 6, FALSE), perc_90, VLOOKUP(J$2, Percentiles!$A$45:$I$59, 7, FALSE), perc_95, VLOOKUP(J$2, Percentiles!$A$45:$I$59, 8, FALSE), perc_85, perc_75 + (perc_90 - perc_75) * (2/3), converted_stat, '2K_Ratings'!J215, IF(bbgm_stat &gt;= perc_95, converted_stat * 3, IF(bbgm_stat &gt;= perc_90, converted_stat * 2, IF(bbgm_stat &gt;= perc_85, converted_stat * 1.5, converted_stat)))))</f>
        <v/>
      </c>
      <c r="K215" s="30" t="str">
        <f t="array" ref="K215">IF($A215="", "", LET(bbgm_stat, INDEX(Players!$A214:$P214, MATCH(K$2, Players!$A$1:$P$1, 0)), perc_75, VLOOKUP(K$2, Percentiles!$A$45:$I$59, 6, FALSE), perc_90, VLOOKUP(K$2, Percentiles!$A$45:$I$59, 7, FALSE), perc_95, VLOOKUP(K$2, Percentiles!$A$45:$I$59, 8, FALSE), perc_85, perc_75 + (perc_90 - perc_75) * (2/3), converted_stat, '2K_Ratings'!K215, IF(bbgm_stat &gt;= perc_95, converted_stat * 3, IF(bbgm_stat &gt;= perc_90, converted_stat * 2, IF(bbgm_stat &gt;= perc_85, converted_stat * 1.5, converted_stat)))))</f>
        <v/>
      </c>
      <c r="L215" s="30" t="str">
        <f t="array" ref="L215">IF($A215="", "", LET(bbgm_stat, INDEX(Players!$A214:$P214, MATCH(L$2, Players!$A$1:$P$1, 0)), perc_75, VLOOKUP(L$2, Percentiles!$A$45:$I$59, 6, FALSE), perc_90, VLOOKUP(L$2, Percentiles!$A$45:$I$59, 7, FALSE), perc_95, VLOOKUP(L$2, Percentiles!$A$45:$I$59, 8, FALSE), perc_85, perc_75 + (perc_90 - perc_75) * (2/3), converted_stat, '2K_Ratings'!L215, IF(bbgm_stat &gt;= perc_95, converted_stat * 3, IF(bbgm_stat &gt;= perc_90, converted_stat * 2, IF(bbgm_stat &gt;= perc_85, converted_stat * 1.5, converted_stat)))))</f>
        <v/>
      </c>
      <c r="M215" s="30" t="str">
        <f t="array" ref="M215">IF($A215="", "", LET(bbgm_stat, INDEX(Players!$A214:$P214, MATCH(M$2, Players!$A$1:$P$1, 0)), perc_75, VLOOKUP(M$2, Percentiles!$A$45:$I$59, 6, FALSE), perc_90, VLOOKUP(M$2, Percentiles!$A$45:$I$59, 7, FALSE), perc_95, VLOOKUP(M$2, Percentiles!$A$45:$I$59, 8, FALSE), perc_85, perc_75 + (perc_90 - perc_75) * (2/3), converted_stat, '2K_Ratings'!M215, IF(bbgm_stat &gt;= perc_95, converted_stat * 3, IF(bbgm_stat &gt;= perc_90, converted_stat * 2, IF(bbgm_stat &gt;= perc_85, converted_stat * 1.5, converted_stat)))))</f>
        <v/>
      </c>
      <c r="N215" s="30" t="str">
        <f t="array" ref="N215">IF($A215="", "", LET(bbgm_stat, INDEX(Players!$A214:$P214, MATCH(N$2, Players!$A$1:$P$1, 0)), perc_75, VLOOKUP(N$2, Percentiles!$A$45:$I$59, 6, FALSE), perc_90, VLOOKUP(N$2, Percentiles!$A$45:$I$59, 7, FALSE), perc_95, VLOOKUP(N$2, Percentiles!$A$45:$I$59, 8, FALSE), perc_85, perc_75 + (perc_90 - perc_75) * (2/3), converted_stat, '2K_Ratings'!N215, IF(bbgm_stat &gt;= perc_95, converted_stat * 3, IF(bbgm_stat &gt;= perc_90, converted_stat * 2, IF(bbgm_stat &gt;= perc_85, converted_stat * 1.5, converted_stat)))))</f>
        <v/>
      </c>
      <c r="O215" s="30" t="str">
        <f t="array" ref="O215">IF($A215="", "", LET(bbgm_stat, INDEX(Players!$A214:$P214, MATCH(O$2, Players!$A$1:$P$1, 0)), perc_75, VLOOKUP(O$2, Percentiles!$A$45:$I$59, 6, FALSE), perc_90, VLOOKUP(O$2, Percentiles!$A$45:$I$59, 7, FALSE), perc_95, VLOOKUP(O$2, Percentiles!$A$45:$I$59, 8, FALSE), perc_85, perc_75 + (perc_90 - perc_75) * (2/3), converted_stat, '2K_Ratings'!O215, IF(bbgm_stat &gt;= perc_95, converted_stat * 3, IF(bbgm_stat &gt;= perc_90, converted_stat * 2, IF(bbgm_stat &gt;= perc_85, converted_stat * 1.5, converted_stat)))))</f>
        <v/>
      </c>
      <c r="P215" s="30" t="str">
        <f t="array" ref="P215">IF($A215="", "", LET(bbgm_stat, INDEX(Players!$A214:$P214, MATCH(P$2, Players!$A$1:$P$1, 0)), perc_75, VLOOKUP(P$2, Percentiles!$A$45:$I$59, 6, FALSE), perc_90, VLOOKUP(P$2, Percentiles!$A$45:$I$59, 7, FALSE), perc_95, VLOOKUP(P$2, Percentiles!$A$45:$I$59, 8, FALSE), perc_85, perc_75 + (perc_90 - perc_75) * (2/3), converted_stat, '2K_Ratings'!P215, IF(bbgm_stat &gt;= perc_95, converted_stat * 3, IF(bbgm_stat &gt;= perc_90, converted_stat * 2, IF(bbgm_stat &gt;= perc_85, converted_stat * 1.5, converted_stat)))))</f>
        <v/>
      </c>
      <c r="Q215" s="30" t="str">
        <f t="array" ref="Q215">IF($A215="", "", LET(bbgm_stat, INDEX(Players!$A214:$P214, MATCH(Q$2, Players!$A$1:$P$1, 0)), perc_75, VLOOKUP(Q$2, Percentiles!$A$45:$I$59, 6, FALSE), perc_90, VLOOKUP(Q$2, Percentiles!$A$45:$I$59, 7, FALSE), perc_95, VLOOKUP(Q$2, Percentiles!$A$45:$I$59, 8, FALSE), perc_85, perc_75 + (perc_90 - perc_75) * (2/3), converted_stat, '2K_Ratings'!Q215, IF(bbgm_stat &gt;= perc_95, converted_stat * 3, IF(bbgm_stat &gt;= perc_90, converted_stat * 2, IF(bbgm_stat &gt;= perc_85, converted_stat * 1.5, converted_stat)))))</f>
        <v/>
      </c>
      <c r="R215" s="30" t="str">
        <f t="array" ref="R215">IF($A215="", "", LET(bbgm_stat, INDEX(Players!$A214:$P214, MATCH(R$2, Players!$A$1:$P$1, 0)), perc_75, VLOOKUP(R$2, Percentiles!$A$45:$I$59, 6, FALSE), perc_90, VLOOKUP(R$2, Percentiles!$A$45:$I$59, 7, FALSE), perc_95, VLOOKUP(R$2, Percentiles!$A$45:$I$59, 8, FALSE), perc_85, perc_75 + (perc_90 - perc_75) * (2/3), converted_stat, '2K_Ratings'!R215, IF(bbgm_stat &gt;= perc_95, converted_stat * 3, IF(bbgm_stat &gt;= perc_90, converted_stat * 2, IF(bbgm_stat &gt;= perc_85, converted_stat * 1.5, converted_stat)))))</f>
        <v/>
      </c>
      <c r="S215" s="30" t="str">
        <f t="array" ref="S215">IF($A215="", "", LET(bbgm_stat, INDEX(Players!$A214:$P214, MATCH(S$2, Players!$A$1:$P$1, 0)), perc_75, VLOOKUP(S$2, Percentiles!$A$45:$I$59, 6, FALSE), perc_90, VLOOKUP(S$2, Percentiles!$A$45:$I$59, 7, FALSE), perc_95, VLOOKUP(S$2, Percentiles!$A$45:$I$59, 8, FALSE), perc_85, perc_75 + (perc_90 - perc_75) * (2/3), converted_stat, '2K_Ratings'!S215, IF(bbgm_stat &gt;= perc_95, converted_stat * 3, IF(bbgm_stat &gt;= perc_90, converted_stat * 2, IF(bbgm_stat &gt;= perc_85, converted_stat * 1.5, converted_stat)))))</f>
        <v/>
      </c>
      <c r="T215" s="30" t="str">
        <f t="array" ref="T215">IF($A215="", "", LET(bbgm_stat, INDEX(Players!$A214:$P214, MATCH(T$2, Players!$A$1:$P$1, 0)), perc_75, VLOOKUP(T$2, Percentiles!$A$45:$I$59, 6, FALSE), perc_90, VLOOKUP(T$2, Percentiles!$A$45:$I$59, 7, FALSE), perc_95, VLOOKUP(T$2, Percentiles!$A$45:$I$59, 8, FALSE), perc_85, perc_75 + (perc_90 - perc_75) * (2/3), converted_stat, '2K_Ratings'!T215, IF(bbgm_stat &gt;= perc_95, converted_stat * 3, IF(bbgm_stat &gt;= perc_90, converted_stat * 2, IF(bbgm_stat &gt;= perc_85, converted_stat * 1.5, converted_stat)))))</f>
        <v/>
      </c>
      <c r="U215" s="30" t="str">
        <f t="array" ref="U215">IF($A215="", "", LET(bbgm_stat, INDEX(Players!$A214:$P214, MATCH(U$2, Players!$A$1:$P$1, 0)), perc_75, VLOOKUP(U$2, Percentiles!$A$45:$I$59, 6, FALSE), perc_90, VLOOKUP(U$2, Percentiles!$A$45:$I$59, 7, FALSE), perc_95, VLOOKUP(U$2, Percentiles!$A$45:$I$59, 8, FALSE), perc_85, perc_75 + (perc_90 - perc_75) * (2/3), converted_stat, '2K_Ratings'!U215, IF(bbgm_stat &gt;= perc_95, converted_stat * 3, IF(bbgm_stat &gt;= perc_90, converted_stat * 2, IF(bbgm_stat &gt;= perc_85, converted_stat * 1.5, converted_stat)))))</f>
        <v/>
      </c>
      <c r="V215" s="30" t="str">
        <f t="array" ref="V215">IF($A215="", "", LET(bbgm_stat, INDEX(Players!$A214:$P214, MATCH(V$2, Players!$A$1:$P$1, 0)), perc_75, VLOOKUP(V$2, Percentiles!$A$45:$I$59, 6, FALSE), perc_90, VLOOKUP(V$2, Percentiles!$A$45:$I$59, 7, FALSE), perc_95, VLOOKUP(V$2, Percentiles!$A$45:$I$59, 8, FALSE), perc_85, perc_75 + (perc_90 - perc_75) * (2/3), converted_stat, '2K_Ratings'!V215, IF(bbgm_stat &gt;= perc_95, converted_stat * 3, IF(bbgm_stat &gt;= perc_90, converted_stat * 2, IF(bbgm_stat &gt;= perc_85, converted_stat * 1.5, converted_stat)))))</f>
        <v/>
      </c>
      <c r="W215" s="30" t="str">
        <f t="array" ref="W215">IF($A215="", "", LET(bbgm_stat, INDEX(Players!$A214:$P214, MATCH(W$2, Players!$A$1:$P$1, 0)), perc_75, VLOOKUP(W$2, Percentiles!$A$45:$I$59, 6, FALSE), perc_90, VLOOKUP(W$2, Percentiles!$A$45:$I$59, 7, FALSE), perc_95, VLOOKUP(W$2, Percentiles!$A$45:$I$59, 8, FALSE), perc_85, perc_75 + (perc_90 - perc_75) * (2/3), converted_stat, '2K_Ratings'!W215, IF(bbgm_stat &gt;= perc_95, converted_stat * 3, IF(bbgm_stat &gt;= perc_90, converted_stat * 2, IF(bbgm_stat &gt;= perc_85, converted_stat * 1.5, converted_stat)))))</f>
        <v/>
      </c>
    </row>
    <row r="216">
      <c r="A216" s="30"/>
      <c r="B216" s="30" t="str">
        <f t="array" ref="B216">IF($A216="", "", LET(bbgm_stat, INDEX(Players!$A215:$P215, MATCH(B$2, Players!$A$1:$P$1, 0)), perc_75, VLOOKUP(B$2, Percentiles!$A$45:$I$59, 6, FALSE), perc_90, VLOOKUP(B$2, Percentiles!$A$45:$I$59, 7, FALSE), perc_95, VLOOKUP(B$2, Percentiles!$A$45:$I$59, 8, FALSE), perc_85, perc_75 + (perc_90 - perc_75) * (2/3), converted_stat, '2K_Ratings'!B216, IF(bbgm_stat &gt;= perc_95, converted_stat * 3, IF(bbgm_stat &gt;= perc_90, converted_stat * 2, IF(bbgm_stat &gt;= perc_85, converted_stat * 1.5, converted_stat)))))</f>
        <v/>
      </c>
      <c r="C216" s="30" t="str">
        <f t="array" ref="C216">IF($A216="", "", LET(bbgm_stat, INDEX(Players!$A215:$P215, MATCH(C$2, Players!$A$1:$P$1, 0)), perc_75, VLOOKUP(C$2, Percentiles!$A$45:$I$59, 6, FALSE), perc_90, VLOOKUP(C$2, Percentiles!$A$45:$I$59, 7, FALSE), perc_95, VLOOKUP(C$2, Percentiles!$A$45:$I$59, 8, FALSE), perc_85, perc_75 + (perc_90 - perc_75) * (2/3), converted_stat, '2K_Ratings'!C216, IF(bbgm_stat &gt;= perc_95, converted_stat * 3, IF(bbgm_stat &gt;= perc_90, converted_stat * 2, IF(bbgm_stat &gt;= perc_85, converted_stat * 1.5, converted_stat)))))</f>
        <v/>
      </c>
      <c r="D216" s="30" t="str">
        <f t="array" ref="D216">IF($A216="", "", LET(bbgm_stat, INDEX(Players!$A215:$P215, MATCH(D$2, Players!$A$1:$P$1, 0)), perc_75, VLOOKUP(D$2, Percentiles!$A$45:$I$59, 6, FALSE), perc_90, VLOOKUP(D$2, Percentiles!$A$45:$I$59, 7, FALSE), perc_95, VLOOKUP(D$2, Percentiles!$A$45:$I$59, 8, FALSE), perc_85, perc_75 + (perc_90 - perc_75) * (2/3), converted_stat, '2K_Ratings'!D216, IF(bbgm_stat &gt;= perc_95, converted_stat * 3, IF(bbgm_stat &gt;= perc_90, converted_stat * 2, IF(bbgm_stat &gt;= perc_85, converted_stat * 1.5, converted_stat)))))</f>
        <v/>
      </c>
      <c r="E216" s="30" t="str">
        <f t="array" ref="E216">IF($A216="", "", LET(bbgm_stat, INDEX(Players!$A215:$P215, MATCH(E$2, Players!$A$1:$P$1, 0)), perc_75, VLOOKUP(E$2, Percentiles!$A$45:$I$59, 6, FALSE), perc_90, VLOOKUP(E$2, Percentiles!$A$45:$I$59, 7, FALSE), perc_95, VLOOKUP(E$2, Percentiles!$A$45:$I$59, 8, FALSE), perc_85, perc_75 + (perc_90 - perc_75) * (2/3), converted_stat, '2K_Ratings'!E216, IF(bbgm_stat &gt;= perc_95, converted_stat * 3, IF(bbgm_stat &gt;= perc_90, converted_stat * 2, IF(bbgm_stat &gt;= perc_85, converted_stat * 1.5, converted_stat)))))</f>
        <v/>
      </c>
      <c r="F216" s="30" t="str">
        <f t="array" ref="F216">IF($A216="", "", LET(bbgm_stat, INDEX(Players!$A215:$P215, MATCH(F$2, Players!$A$1:$P$1, 0)), perc_75, VLOOKUP(F$2, Percentiles!$A$45:$I$59, 6, FALSE), perc_90, VLOOKUP(F$2, Percentiles!$A$45:$I$59, 7, FALSE), perc_95, VLOOKUP(F$2, Percentiles!$A$45:$I$59, 8, FALSE), perc_85, perc_75 + (perc_90 - perc_75) * (2/3), converted_stat, '2K_Ratings'!F216, IF(bbgm_stat &gt;= perc_95, converted_stat * 3, IF(bbgm_stat &gt;= perc_90, converted_stat * 2, IF(bbgm_stat &gt;= perc_85, converted_stat * 1.5, converted_stat)))))</f>
        <v/>
      </c>
      <c r="G216" s="30" t="str">
        <f t="array" ref="G216">IF($A216="", "", LET(bbgm_stat, INDEX(Players!$A215:$P215, MATCH(G$2, Players!$A$1:$P$1, 0)), perc_75, VLOOKUP(G$2, Percentiles!$A$45:$I$59, 6, FALSE), perc_90, VLOOKUP(G$2, Percentiles!$A$45:$I$59, 7, FALSE), perc_95, VLOOKUP(G$2, Percentiles!$A$45:$I$59, 8, FALSE), perc_85, perc_75 + (perc_90 - perc_75) * (2/3), converted_stat, '2K_Ratings'!G216, IF(bbgm_stat &gt;= perc_95, converted_stat * 3, IF(bbgm_stat &gt;= perc_90, converted_stat * 2, IF(bbgm_stat &gt;= perc_85, converted_stat * 1.5, converted_stat)))))</f>
        <v/>
      </c>
      <c r="H216" s="30" t="str">
        <f t="array" ref="H216">IF($A216="", "", LET(bbgm_stat, INDEX(Players!$A215:$P215, MATCH(H$2, Players!$A$1:$P$1, 0)), perc_75, VLOOKUP(H$2, Percentiles!$A$45:$I$59, 6, FALSE), perc_90, VLOOKUP(H$2, Percentiles!$A$45:$I$59, 7, FALSE), perc_95, VLOOKUP(H$2, Percentiles!$A$45:$I$59, 8, FALSE), perc_85, perc_75 + (perc_90 - perc_75) * (2/3), converted_stat, '2K_Ratings'!H216, IF(bbgm_stat &gt;= perc_95, converted_stat * 3, IF(bbgm_stat &gt;= perc_90, converted_stat * 2, IF(bbgm_stat &gt;= perc_85, converted_stat * 1.5, converted_stat)))))</f>
        <v/>
      </c>
      <c r="I216" s="30" t="str">
        <f t="array" ref="I216">IF($A216="", "", LET(bbgm_stat, INDEX(Players!$A215:$P215, MATCH(I$2, Players!$A$1:$P$1, 0)), perc_75, VLOOKUP(I$2, Percentiles!$A$45:$I$59, 6, FALSE), perc_90, VLOOKUP(I$2, Percentiles!$A$45:$I$59, 7, FALSE), perc_95, VLOOKUP(I$2, Percentiles!$A$45:$I$59, 8, FALSE), perc_85, perc_75 + (perc_90 - perc_75) * (2/3), converted_stat, '2K_Ratings'!I216, IF(bbgm_stat &gt;= perc_95, converted_stat * 3, IF(bbgm_stat &gt;= perc_90, converted_stat * 2, IF(bbgm_stat &gt;= perc_85, converted_stat * 1.5, converted_stat)))))</f>
        <v/>
      </c>
      <c r="J216" s="30" t="str">
        <f t="array" ref="J216">IF($A216="", "", LET(bbgm_stat, INDEX(Players!$A215:$P215, MATCH(J$2, Players!$A$1:$P$1, 0)), perc_75, VLOOKUP(J$2, Percentiles!$A$45:$I$59, 6, FALSE), perc_90, VLOOKUP(J$2, Percentiles!$A$45:$I$59, 7, FALSE), perc_95, VLOOKUP(J$2, Percentiles!$A$45:$I$59, 8, FALSE), perc_85, perc_75 + (perc_90 - perc_75) * (2/3), converted_stat, '2K_Ratings'!J216, IF(bbgm_stat &gt;= perc_95, converted_stat * 3, IF(bbgm_stat &gt;= perc_90, converted_stat * 2, IF(bbgm_stat &gt;= perc_85, converted_stat * 1.5, converted_stat)))))</f>
        <v/>
      </c>
      <c r="K216" s="30" t="str">
        <f t="array" ref="K216">IF($A216="", "", LET(bbgm_stat, INDEX(Players!$A215:$P215, MATCH(K$2, Players!$A$1:$P$1, 0)), perc_75, VLOOKUP(K$2, Percentiles!$A$45:$I$59, 6, FALSE), perc_90, VLOOKUP(K$2, Percentiles!$A$45:$I$59, 7, FALSE), perc_95, VLOOKUP(K$2, Percentiles!$A$45:$I$59, 8, FALSE), perc_85, perc_75 + (perc_90 - perc_75) * (2/3), converted_stat, '2K_Ratings'!K216, IF(bbgm_stat &gt;= perc_95, converted_stat * 3, IF(bbgm_stat &gt;= perc_90, converted_stat * 2, IF(bbgm_stat &gt;= perc_85, converted_stat * 1.5, converted_stat)))))</f>
        <v/>
      </c>
      <c r="L216" s="30" t="str">
        <f t="array" ref="L216">IF($A216="", "", LET(bbgm_stat, INDEX(Players!$A215:$P215, MATCH(L$2, Players!$A$1:$P$1, 0)), perc_75, VLOOKUP(L$2, Percentiles!$A$45:$I$59, 6, FALSE), perc_90, VLOOKUP(L$2, Percentiles!$A$45:$I$59, 7, FALSE), perc_95, VLOOKUP(L$2, Percentiles!$A$45:$I$59, 8, FALSE), perc_85, perc_75 + (perc_90 - perc_75) * (2/3), converted_stat, '2K_Ratings'!L216, IF(bbgm_stat &gt;= perc_95, converted_stat * 3, IF(bbgm_stat &gt;= perc_90, converted_stat * 2, IF(bbgm_stat &gt;= perc_85, converted_stat * 1.5, converted_stat)))))</f>
        <v/>
      </c>
      <c r="M216" s="30" t="str">
        <f t="array" ref="M216">IF($A216="", "", LET(bbgm_stat, INDEX(Players!$A215:$P215, MATCH(M$2, Players!$A$1:$P$1, 0)), perc_75, VLOOKUP(M$2, Percentiles!$A$45:$I$59, 6, FALSE), perc_90, VLOOKUP(M$2, Percentiles!$A$45:$I$59, 7, FALSE), perc_95, VLOOKUP(M$2, Percentiles!$A$45:$I$59, 8, FALSE), perc_85, perc_75 + (perc_90 - perc_75) * (2/3), converted_stat, '2K_Ratings'!M216, IF(bbgm_stat &gt;= perc_95, converted_stat * 3, IF(bbgm_stat &gt;= perc_90, converted_stat * 2, IF(bbgm_stat &gt;= perc_85, converted_stat * 1.5, converted_stat)))))</f>
        <v/>
      </c>
      <c r="N216" s="30" t="str">
        <f t="array" ref="N216">IF($A216="", "", LET(bbgm_stat, INDEX(Players!$A215:$P215, MATCH(N$2, Players!$A$1:$P$1, 0)), perc_75, VLOOKUP(N$2, Percentiles!$A$45:$I$59, 6, FALSE), perc_90, VLOOKUP(N$2, Percentiles!$A$45:$I$59, 7, FALSE), perc_95, VLOOKUP(N$2, Percentiles!$A$45:$I$59, 8, FALSE), perc_85, perc_75 + (perc_90 - perc_75) * (2/3), converted_stat, '2K_Ratings'!N216, IF(bbgm_stat &gt;= perc_95, converted_stat * 3, IF(bbgm_stat &gt;= perc_90, converted_stat * 2, IF(bbgm_stat &gt;= perc_85, converted_stat * 1.5, converted_stat)))))</f>
        <v/>
      </c>
      <c r="O216" s="30" t="str">
        <f t="array" ref="O216">IF($A216="", "", LET(bbgm_stat, INDEX(Players!$A215:$P215, MATCH(O$2, Players!$A$1:$P$1, 0)), perc_75, VLOOKUP(O$2, Percentiles!$A$45:$I$59, 6, FALSE), perc_90, VLOOKUP(O$2, Percentiles!$A$45:$I$59, 7, FALSE), perc_95, VLOOKUP(O$2, Percentiles!$A$45:$I$59, 8, FALSE), perc_85, perc_75 + (perc_90 - perc_75) * (2/3), converted_stat, '2K_Ratings'!O216, IF(bbgm_stat &gt;= perc_95, converted_stat * 3, IF(bbgm_stat &gt;= perc_90, converted_stat * 2, IF(bbgm_stat &gt;= perc_85, converted_stat * 1.5, converted_stat)))))</f>
        <v/>
      </c>
      <c r="P216" s="30" t="str">
        <f t="array" ref="P216">IF($A216="", "", LET(bbgm_stat, INDEX(Players!$A215:$P215, MATCH(P$2, Players!$A$1:$P$1, 0)), perc_75, VLOOKUP(P$2, Percentiles!$A$45:$I$59, 6, FALSE), perc_90, VLOOKUP(P$2, Percentiles!$A$45:$I$59, 7, FALSE), perc_95, VLOOKUP(P$2, Percentiles!$A$45:$I$59, 8, FALSE), perc_85, perc_75 + (perc_90 - perc_75) * (2/3), converted_stat, '2K_Ratings'!P216, IF(bbgm_stat &gt;= perc_95, converted_stat * 3, IF(bbgm_stat &gt;= perc_90, converted_stat * 2, IF(bbgm_stat &gt;= perc_85, converted_stat * 1.5, converted_stat)))))</f>
        <v/>
      </c>
      <c r="Q216" s="30" t="str">
        <f t="array" ref="Q216">IF($A216="", "", LET(bbgm_stat, INDEX(Players!$A215:$P215, MATCH(Q$2, Players!$A$1:$P$1, 0)), perc_75, VLOOKUP(Q$2, Percentiles!$A$45:$I$59, 6, FALSE), perc_90, VLOOKUP(Q$2, Percentiles!$A$45:$I$59, 7, FALSE), perc_95, VLOOKUP(Q$2, Percentiles!$A$45:$I$59, 8, FALSE), perc_85, perc_75 + (perc_90 - perc_75) * (2/3), converted_stat, '2K_Ratings'!Q216, IF(bbgm_stat &gt;= perc_95, converted_stat * 3, IF(bbgm_stat &gt;= perc_90, converted_stat * 2, IF(bbgm_stat &gt;= perc_85, converted_stat * 1.5, converted_stat)))))</f>
        <v/>
      </c>
      <c r="R216" s="30" t="str">
        <f t="array" ref="R216">IF($A216="", "", LET(bbgm_stat, INDEX(Players!$A215:$P215, MATCH(R$2, Players!$A$1:$P$1, 0)), perc_75, VLOOKUP(R$2, Percentiles!$A$45:$I$59, 6, FALSE), perc_90, VLOOKUP(R$2, Percentiles!$A$45:$I$59, 7, FALSE), perc_95, VLOOKUP(R$2, Percentiles!$A$45:$I$59, 8, FALSE), perc_85, perc_75 + (perc_90 - perc_75) * (2/3), converted_stat, '2K_Ratings'!R216, IF(bbgm_stat &gt;= perc_95, converted_stat * 3, IF(bbgm_stat &gt;= perc_90, converted_stat * 2, IF(bbgm_stat &gt;= perc_85, converted_stat * 1.5, converted_stat)))))</f>
        <v/>
      </c>
      <c r="S216" s="30" t="str">
        <f t="array" ref="S216">IF($A216="", "", LET(bbgm_stat, INDEX(Players!$A215:$P215, MATCH(S$2, Players!$A$1:$P$1, 0)), perc_75, VLOOKUP(S$2, Percentiles!$A$45:$I$59, 6, FALSE), perc_90, VLOOKUP(S$2, Percentiles!$A$45:$I$59, 7, FALSE), perc_95, VLOOKUP(S$2, Percentiles!$A$45:$I$59, 8, FALSE), perc_85, perc_75 + (perc_90 - perc_75) * (2/3), converted_stat, '2K_Ratings'!S216, IF(bbgm_stat &gt;= perc_95, converted_stat * 3, IF(bbgm_stat &gt;= perc_90, converted_stat * 2, IF(bbgm_stat &gt;= perc_85, converted_stat * 1.5, converted_stat)))))</f>
        <v/>
      </c>
      <c r="T216" s="30" t="str">
        <f t="array" ref="T216">IF($A216="", "", LET(bbgm_stat, INDEX(Players!$A215:$P215, MATCH(T$2, Players!$A$1:$P$1, 0)), perc_75, VLOOKUP(T$2, Percentiles!$A$45:$I$59, 6, FALSE), perc_90, VLOOKUP(T$2, Percentiles!$A$45:$I$59, 7, FALSE), perc_95, VLOOKUP(T$2, Percentiles!$A$45:$I$59, 8, FALSE), perc_85, perc_75 + (perc_90 - perc_75) * (2/3), converted_stat, '2K_Ratings'!T216, IF(bbgm_stat &gt;= perc_95, converted_stat * 3, IF(bbgm_stat &gt;= perc_90, converted_stat * 2, IF(bbgm_stat &gt;= perc_85, converted_stat * 1.5, converted_stat)))))</f>
        <v/>
      </c>
      <c r="U216" s="30" t="str">
        <f t="array" ref="U216">IF($A216="", "", LET(bbgm_stat, INDEX(Players!$A215:$P215, MATCH(U$2, Players!$A$1:$P$1, 0)), perc_75, VLOOKUP(U$2, Percentiles!$A$45:$I$59, 6, FALSE), perc_90, VLOOKUP(U$2, Percentiles!$A$45:$I$59, 7, FALSE), perc_95, VLOOKUP(U$2, Percentiles!$A$45:$I$59, 8, FALSE), perc_85, perc_75 + (perc_90 - perc_75) * (2/3), converted_stat, '2K_Ratings'!U216, IF(bbgm_stat &gt;= perc_95, converted_stat * 3, IF(bbgm_stat &gt;= perc_90, converted_stat * 2, IF(bbgm_stat &gt;= perc_85, converted_stat * 1.5, converted_stat)))))</f>
        <v/>
      </c>
      <c r="V216" s="30" t="str">
        <f t="array" ref="V216">IF($A216="", "", LET(bbgm_stat, INDEX(Players!$A215:$P215, MATCH(V$2, Players!$A$1:$P$1, 0)), perc_75, VLOOKUP(V$2, Percentiles!$A$45:$I$59, 6, FALSE), perc_90, VLOOKUP(V$2, Percentiles!$A$45:$I$59, 7, FALSE), perc_95, VLOOKUP(V$2, Percentiles!$A$45:$I$59, 8, FALSE), perc_85, perc_75 + (perc_90 - perc_75) * (2/3), converted_stat, '2K_Ratings'!V216, IF(bbgm_stat &gt;= perc_95, converted_stat * 3, IF(bbgm_stat &gt;= perc_90, converted_stat * 2, IF(bbgm_stat &gt;= perc_85, converted_stat * 1.5, converted_stat)))))</f>
        <v/>
      </c>
      <c r="W216" s="30" t="str">
        <f t="array" ref="W216">IF($A216="", "", LET(bbgm_stat, INDEX(Players!$A215:$P215, MATCH(W$2, Players!$A$1:$P$1, 0)), perc_75, VLOOKUP(W$2, Percentiles!$A$45:$I$59, 6, FALSE), perc_90, VLOOKUP(W$2, Percentiles!$A$45:$I$59, 7, FALSE), perc_95, VLOOKUP(W$2, Percentiles!$A$45:$I$59, 8, FALSE), perc_85, perc_75 + (perc_90 - perc_75) * (2/3), converted_stat, '2K_Ratings'!W216, IF(bbgm_stat &gt;= perc_95, converted_stat * 3, IF(bbgm_stat &gt;= perc_90, converted_stat * 2, IF(bbgm_stat &gt;= perc_85, converted_stat * 1.5, converted_stat)))))</f>
        <v/>
      </c>
    </row>
    <row r="217">
      <c r="A217" s="30"/>
      <c r="B217" s="30" t="str">
        <f t="array" ref="B217">IF($A217="", "", LET(bbgm_stat, INDEX(Players!$A216:$P216, MATCH(B$2, Players!$A$1:$P$1, 0)), perc_75, VLOOKUP(B$2, Percentiles!$A$45:$I$59, 6, FALSE), perc_90, VLOOKUP(B$2, Percentiles!$A$45:$I$59, 7, FALSE), perc_95, VLOOKUP(B$2, Percentiles!$A$45:$I$59, 8, FALSE), perc_85, perc_75 + (perc_90 - perc_75) * (2/3), converted_stat, '2K_Ratings'!B217, IF(bbgm_stat &gt;= perc_95, converted_stat * 3, IF(bbgm_stat &gt;= perc_90, converted_stat * 2, IF(bbgm_stat &gt;= perc_85, converted_stat * 1.5, converted_stat)))))</f>
        <v/>
      </c>
      <c r="C217" s="30" t="str">
        <f t="array" ref="C217">IF($A217="", "", LET(bbgm_stat, INDEX(Players!$A216:$P216, MATCH(C$2, Players!$A$1:$P$1, 0)), perc_75, VLOOKUP(C$2, Percentiles!$A$45:$I$59, 6, FALSE), perc_90, VLOOKUP(C$2, Percentiles!$A$45:$I$59, 7, FALSE), perc_95, VLOOKUP(C$2, Percentiles!$A$45:$I$59, 8, FALSE), perc_85, perc_75 + (perc_90 - perc_75) * (2/3), converted_stat, '2K_Ratings'!C217, IF(bbgm_stat &gt;= perc_95, converted_stat * 3, IF(bbgm_stat &gt;= perc_90, converted_stat * 2, IF(bbgm_stat &gt;= perc_85, converted_stat * 1.5, converted_stat)))))</f>
        <v/>
      </c>
      <c r="D217" s="30" t="str">
        <f t="array" ref="D217">IF($A217="", "", LET(bbgm_stat, INDEX(Players!$A216:$P216, MATCH(D$2, Players!$A$1:$P$1, 0)), perc_75, VLOOKUP(D$2, Percentiles!$A$45:$I$59, 6, FALSE), perc_90, VLOOKUP(D$2, Percentiles!$A$45:$I$59, 7, FALSE), perc_95, VLOOKUP(D$2, Percentiles!$A$45:$I$59, 8, FALSE), perc_85, perc_75 + (perc_90 - perc_75) * (2/3), converted_stat, '2K_Ratings'!D217, IF(bbgm_stat &gt;= perc_95, converted_stat * 3, IF(bbgm_stat &gt;= perc_90, converted_stat * 2, IF(bbgm_stat &gt;= perc_85, converted_stat * 1.5, converted_stat)))))</f>
        <v/>
      </c>
      <c r="E217" s="30" t="str">
        <f t="array" ref="E217">IF($A217="", "", LET(bbgm_stat, INDEX(Players!$A216:$P216, MATCH(E$2, Players!$A$1:$P$1, 0)), perc_75, VLOOKUP(E$2, Percentiles!$A$45:$I$59, 6, FALSE), perc_90, VLOOKUP(E$2, Percentiles!$A$45:$I$59, 7, FALSE), perc_95, VLOOKUP(E$2, Percentiles!$A$45:$I$59, 8, FALSE), perc_85, perc_75 + (perc_90 - perc_75) * (2/3), converted_stat, '2K_Ratings'!E217, IF(bbgm_stat &gt;= perc_95, converted_stat * 3, IF(bbgm_stat &gt;= perc_90, converted_stat * 2, IF(bbgm_stat &gt;= perc_85, converted_stat * 1.5, converted_stat)))))</f>
        <v/>
      </c>
      <c r="F217" s="30" t="str">
        <f t="array" ref="F217">IF($A217="", "", LET(bbgm_stat, INDEX(Players!$A216:$P216, MATCH(F$2, Players!$A$1:$P$1, 0)), perc_75, VLOOKUP(F$2, Percentiles!$A$45:$I$59, 6, FALSE), perc_90, VLOOKUP(F$2, Percentiles!$A$45:$I$59, 7, FALSE), perc_95, VLOOKUP(F$2, Percentiles!$A$45:$I$59, 8, FALSE), perc_85, perc_75 + (perc_90 - perc_75) * (2/3), converted_stat, '2K_Ratings'!F217, IF(bbgm_stat &gt;= perc_95, converted_stat * 3, IF(bbgm_stat &gt;= perc_90, converted_stat * 2, IF(bbgm_stat &gt;= perc_85, converted_stat * 1.5, converted_stat)))))</f>
        <v/>
      </c>
      <c r="G217" s="30" t="str">
        <f t="array" ref="G217">IF($A217="", "", LET(bbgm_stat, INDEX(Players!$A216:$P216, MATCH(G$2, Players!$A$1:$P$1, 0)), perc_75, VLOOKUP(G$2, Percentiles!$A$45:$I$59, 6, FALSE), perc_90, VLOOKUP(G$2, Percentiles!$A$45:$I$59, 7, FALSE), perc_95, VLOOKUP(G$2, Percentiles!$A$45:$I$59, 8, FALSE), perc_85, perc_75 + (perc_90 - perc_75) * (2/3), converted_stat, '2K_Ratings'!G217, IF(bbgm_stat &gt;= perc_95, converted_stat * 3, IF(bbgm_stat &gt;= perc_90, converted_stat * 2, IF(bbgm_stat &gt;= perc_85, converted_stat * 1.5, converted_stat)))))</f>
        <v/>
      </c>
      <c r="H217" s="30" t="str">
        <f t="array" ref="H217">IF($A217="", "", LET(bbgm_stat, INDEX(Players!$A216:$P216, MATCH(H$2, Players!$A$1:$P$1, 0)), perc_75, VLOOKUP(H$2, Percentiles!$A$45:$I$59, 6, FALSE), perc_90, VLOOKUP(H$2, Percentiles!$A$45:$I$59, 7, FALSE), perc_95, VLOOKUP(H$2, Percentiles!$A$45:$I$59, 8, FALSE), perc_85, perc_75 + (perc_90 - perc_75) * (2/3), converted_stat, '2K_Ratings'!H217, IF(bbgm_stat &gt;= perc_95, converted_stat * 3, IF(bbgm_stat &gt;= perc_90, converted_stat * 2, IF(bbgm_stat &gt;= perc_85, converted_stat * 1.5, converted_stat)))))</f>
        <v/>
      </c>
      <c r="I217" s="30" t="str">
        <f t="array" ref="I217">IF($A217="", "", LET(bbgm_stat, INDEX(Players!$A216:$P216, MATCH(I$2, Players!$A$1:$P$1, 0)), perc_75, VLOOKUP(I$2, Percentiles!$A$45:$I$59, 6, FALSE), perc_90, VLOOKUP(I$2, Percentiles!$A$45:$I$59, 7, FALSE), perc_95, VLOOKUP(I$2, Percentiles!$A$45:$I$59, 8, FALSE), perc_85, perc_75 + (perc_90 - perc_75) * (2/3), converted_stat, '2K_Ratings'!I217, IF(bbgm_stat &gt;= perc_95, converted_stat * 3, IF(bbgm_stat &gt;= perc_90, converted_stat * 2, IF(bbgm_stat &gt;= perc_85, converted_stat * 1.5, converted_stat)))))</f>
        <v/>
      </c>
      <c r="J217" s="30" t="str">
        <f t="array" ref="J217">IF($A217="", "", LET(bbgm_stat, INDEX(Players!$A216:$P216, MATCH(J$2, Players!$A$1:$P$1, 0)), perc_75, VLOOKUP(J$2, Percentiles!$A$45:$I$59, 6, FALSE), perc_90, VLOOKUP(J$2, Percentiles!$A$45:$I$59, 7, FALSE), perc_95, VLOOKUP(J$2, Percentiles!$A$45:$I$59, 8, FALSE), perc_85, perc_75 + (perc_90 - perc_75) * (2/3), converted_stat, '2K_Ratings'!J217, IF(bbgm_stat &gt;= perc_95, converted_stat * 3, IF(bbgm_stat &gt;= perc_90, converted_stat * 2, IF(bbgm_stat &gt;= perc_85, converted_stat * 1.5, converted_stat)))))</f>
        <v/>
      </c>
      <c r="K217" s="30" t="str">
        <f t="array" ref="K217">IF($A217="", "", LET(bbgm_stat, INDEX(Players!$A216:$P216, MATCH(K$2, Players!$A$1:$P$1, 0)), perc_75, VLOOKUP(K$2, Percentiles!$A$45:$I$59, 6, FALSE), perc_90, VLOOKUP(K$2, Percentiles!$A$45:$I$59, 7, FALSE), perc_95, VLOOKUP(K$2, Percentiles!$A$45:$I$59, 8, FALSE), perc_85, perc_75 + (perc_90 - perc_75) * (2/3), converted_stat, '2K_Ratings'!K217, IF(bbgm_stat &gt;= perc_95, converted_stat * 3, IF(bbgm_stat &gt;= perc_90, converted_stat * 2, IF(bbgm_stat &gt;= perc_85, converted_stat * 1.5, converted_stat)))))</f>
        <v/>
      </c>
      <c r="L217" s="30" t="str">
        <f t="array" ref="L217">IF($A217="", "", LET(bbgm_stat, INDEX(Players!$A216:$P216, MATCH(L$2, Players!$A$1:$P$1, 0)), perc_75, VLOOKUP(L$2, Percentiles!$A$45:$I$59, 6, FALSE), perc_90, VLOOKUP(L$2, Percentiles!$A$45:$I$59, 7, FALSE), perc_95, VLOOKUP(L$2, Percentiles!$A$45:$I$59, 8, FALSE), perc_85, perc_75 + (perc_90 - perc_75) * (2/3), converted_stat, '2K_Ratings'!L217, IF(bbgm_stat &gt;= perc_95, converted_stat * 3, IF(bbgm_stat &gt;= perc_90, converted_stat * 2, IF(bbgm_stat &gt;= perc_85, converted_stat * 1.5, converted_stat)))))</f>
        <v/>
      </c>
      <c r="M217" s="30" t="str">
        <f t="array" ref="M217">IF($A217="", "", LET(bbgm_stat, INDEX(Players!$A216:$P216, MATCH(M$2, Players!$A$1:$P$1, 0)), perc_75, VLOOKUP(M$2, Percentiles!$A$45:$I$59, 6, FALSE), perc_90, VLOOKUP(M$2, Percentiles!$A$45:$I$59, 7, FALSE), perc_95, VLOOKUP(M$2, Percentiles!$A$45:$I$59, 8, FALSE), perc_85, perc_75 + (perc_90 - perc_75) * (2/3), converted_stat, '2K_Ratings'!M217, IF(bbgm_stat &gt;= perc_95, converted_stat * 3, IF(bbgm_stat &gt;= perc_90, converted_stat * 2, IF(bbgm_stat &gt;= perc_85, converted_stat * 1.5, converted_stat)))))</f>
        <v/>
      </c>
      <c r="N217" s="30" t="str">
        <f t="array" ref="N217">IF($A217="", "", LET(bbgm_stat, INDEX(Players!$A216:$P216, MATCH(N$2, Players!$A$1:$P$1, 0)), perc_75, VLOOKUP(N$2, Percentiles!$A$45:$I$59, 6, FALSE), perc_90, VLOOKUP(N$2, Percentiles!$A$45:$I$59, 7, FALSE), perc_95, VLOOKUP(N$2, Percentiles!$A$45:$I$59, 8, FALSE), perc_85, perc_75 + (perc_90 - perc_75) * (2/3), converted_stat, '2K_Ratings'!N217, IF(bbgm_stat &gt;= perc_95, converted_stat * 3, IF(bbgm_stat &gt;= perc_90, converted_stat * 2, IF(bbgm_stat &gt;= perc_85, converted_stat * 1.5, converted_stat)))))</f>
        <v/>
      </c>
      <c r="O217" s="30" t="str">
        <f t="array" ref="O217">IF($A217="", "", LET(bbgm_stat, INDEX(Players!$A216:$P216, MATCH(O$2, Players!$A$1:$P$1, 0)), perc_75, VLOOKUP(O$2, Percentiles!$A$45:$I$59, 6, FALSE), perc_90, VLOOKUP(O$2, Percentiles!$A$45:$I$59, 7, FALSE), perc_95, VLOOKUP(O$2, Percentiles!$A$45:$I$59, 8, FALSE), perc_85, perc_75 + (perc_90 - perc_75) * (2/3), converted_stat, '2K_Ratings'!O217, IF(bbgm_stat &gt;= perc_95, converted_stat * 3, IF(bbgm_stat &gt;= perc_90, converted_stat * 2, IF(bbgm_stat &gt;= perc_85, converted_stat * 1.5, converted_stat)))))</f>
        <v/>
      </c>
      <c r="P217" s="30" t="str">
        <f t="array" ref="P217">IF($A217="", "", LET(bbgm_stat, INDEX(Players!$A216:$P216, MATCH(P$2, Players!$A$1:$P$1, 0)), perc_75, VLOOKUP(P$2, Percentiles!$A$45:$I$59, 6, FALSE), perc_90, VLOOKUP(P$2, Percentiles!$A$45:$I$59, 7, FALSE), perc_95, VLOOKUP(P$2, Percentiles!$A$45:$I$59, 8, FALSE), perc_85, perc_75 + (perc_90 - perc_75) * (2/3), converted_stat, '2K_Ratings'!P217, IF(bbgm_stat &gt;= perc_95, converted_stat * 3, IF(bbgm_stat &gt;= perc_90, converted_stat * 2, IF(bbgm_stat &gt;= perc_85, converted_stat * 1.5, converted_stat)))))</f>
        <v/>
      </c>
      <c r="Q217" s="30" t="str">
        <f t="array" ref="Q217">IF($A217="", "", LET(bbgm_stat, INDEX(Players!$A216:$P216, MATCH(Q$2, Players!$A$1:$P$1, 0)), perc_75, VLOOKUP(Q$2, Percentiles!$A$45:$I$59, 6, FALSE), perc_90, VLOOKUP(Q$2, Percentiles!$A$45:$I$59, 7, FALSE), perc_95, VLOOKUP(Q$2, Percentiles!$A$45:$I$59, 8, FALSE), perc_85, perc_75 + (perc_90 - perc_75) * (2/3), converted_stat, '2K_Ratings'!Q217, IF(bbgm_stat &gt;= perc_95, converted_stat * 3, IF(bbgm_stat &gt;= perc_90, converted_stat * 2, IF(bbgm_stat &gt;= perc_85, converted_stat * 1.5, converted_stat)))))</f>
        <v/>
      </c>
      <c r="R217" s="30" t="str">
        <f t="array" ref="R217">IF($A217="", "", LET(bbgm_stat, INDEX(Players!$A216:$P216, MATCH(R$2, Players!$A$1:$P$1, 0)), perc_75, VLOOKUP(R$2, Percentiles!$A$45:$I$59, 6, FALSE), perc_90, VLOOKUP(R$2, Percentiles!$A$45:$I$59, 7, FALSE), perc_95, VLOOKUP(R$2, Percentiles!$A$45:$I$59, 8, FALSE), perc_85, perc_75 + (perc_90 - perc_75) * (2/3), converted_stat, '2K_Ratings'!R217, IF(bbgm_stat &gt;= perc_95, converted_stat * 3, IF(bbgm_stat &gt;= perc_90, converted_stat * 2, IF(bbgm_stat &gt;= perc_85, converted_stat * 1.5, converted_stat)))))</f>
        <v/>
      </c>
      <c r="S217" s="30" t="str">
        <f t="array" ref="S217">IF($A217="", "", LET(bbgm_stat, INDEX(Players!$A216:$P216, MATCH(S$2, Players!$A$1:$P$1, 0)), perc_75, VLOOKUP(S$2, Percentiles!$A$45:$I$59, 6, FALSE), perc_90, VLOOKUP(S$2, Percentiles!$A$45:$I$59, 7, FALSE), perc_95, VLOOKUP(S$2, Percentiles!$A$45:$I$59, 8, FALSE), perc_85, perc_75 + (perc_90 - perc_75) * (2/3), converted_stat, '2K_Ratings'!S217, IF(bbgm_stat &gt;= perc_95, converted_stat * 3, IF(bbgm_stat &gt;= perc_90, converted_stat * 2, IF(bbgm_stat &gt;= perc_85, converted_stat * 1.5, converted_stat)))))</f>
        <v/>
      </c>
      <c r="T217" s="30" t="str">
        <f t="array" ref="T217">IF($A217="", "", LET(bbgm_stat, INDEX(Players!$A216:$P216, MATCH(T$2, Players!$A$1:$P$1, 0)), perc_75, VLOOKUP(T$2, Percentiles!$A$45:$I$59, 6, FALSE), perc_90, VLOOKUP(T$2, Percentiles!$A$45:$I$59, 7, FALSE), perc_95, VLOOKUP(T$2, Percentiles!$A$45:$I$59, 8, FALSE), perc_85, perc_75 + (perc_90 - perc_75) * (2/3), converted_stat, '2K_Ratings'!T217, IF(bbgm_stat &gt;= perc_95, converted_stat * 3, IF(bbgm_stat &gt;= perc_90, converted_stat * 2, IF(bbgm_stat &gt;= perc_85, converted_stat * 1.5, converted_stat)))))</f>
        <v/>
      </c>
      <c r="U217" s="30" t="str">
        <f t="array" ref="U217">IF($A217="", "", LET(bbgm_stat, INDEX(Players!$A216:$P216, MATCH(U$2, Players!$A$1:$P$1, 0)), perc_75, VLOOKUP(U$2, Percentiles!$A$45:$I$59, 6, FALSE), perc_90, VLOOKUP(U$2, Percentiles!$A$45:$I$59, 7, FALSE), perc_95, VLOOKUP(U$2, Percentiles!$A$45:$I$59, 8, FALSE), perc_85, perc_75 + (perc_90 - perc_75) * (2/3), converted_stat, '2K_Ratings'!U217, IF(bbgm_stat &gt;= perc_95, converted_stat * 3, IF(bbgm_stat &gt;= perc_90, converted_stat * 2, IF(bbgm_stat &gt;= perc_85, converted_stat * 1.5, converted_stat)))))</f>
        <v/>
      </c>
      <c r="V217" s="30" t="str">
        <f t="array" ref="V217">IF($A217="", "", LET(bbgm_stat, INDEX(Players!$A216:$P216, MATCH(V$2, Players!$A$1:$P$1, 0)), perc_75, VLOOKUP(V$2, Percentiles!$A$45:$I$59, 6, FALSE), perc_90, VLOOKUP(V$2, Percentiles!$A$45:$I$59, 7, FALSE), perc_95, VLOOKUP(V$2, Percentiles!$A$45:$I$59, 8, FALSE), perc_85, perc_75 + (perc_90 - perc_75) * (2/3), converted_stat, '2K_Ratings'!V217, IF(bbgm_stat &gt;= perc_95, converted_stat * 3, IF(bbgm_stat &gt;= perc_90, converted_stat * 2, IF(bbgm_stat &gt;= perc_85, converted_stat * 1.5, converted_stat)))))</f>
        <v/>
      </c>
      <c r="W217" s="30" t="str">
        <f t="array" ref="W217">IF($A217="", "", LET(bbgm_stat, INDEX(Players!$A216:$P216, MATCH(W$2, Players!$A$1:$P$1, 0)), perc_75, VLOOKUP(W$2, Percentiles!$A$45:$I$59, 6, FALSE), perc_90, VLOOKUP(W$2, Percentiles!$A$45:$I$59, 7, FALSE), perc_95, VLOOKUP(W$2, Percentiles!$A$45:$I$59, 8, FALSE), perc_85, perc_75 + (perc_90 - perc_75) * (2/3), converted_stat, '2K_Ratings'!W217, IF(bbgm_stat &gt;= perc_95, converted_stat * 3, IF(bbgm_stat &gt;= perc_90, converted_stat * 2, IF(bbgm_stat &gt;= perc_85, converted_stat * 1.5, converted_stat)))))</f>
        <v/>
      </c>
    </row>
    <row r="218">
      <c r="A218" s="30"/>
      <c r="B218" s="30" t="str">
        <f t="array" ref="B218">IF($A218="", "", LET(bbgm_stat, INDEX(Players!$A217:$P217, MATCH(B$2, Players!$A$1:$P$1, 0)), perc_75, VLOOKUP(B$2, Percentiles!$A$45:$I$59, 6, FALSE), perc_90, VLOOKUP(B$2, Percentiles!$A$45:$I$59, 7, FALSE), perc_95, VLOOKUP(B$2, Percentiles!$A$45:$I$59, 8, FALSE), perc_85, perc_75 + (perc_90 - perc_75) * (2/3), converted_stat, '2K_Ratings'!B218, IF(bbgm_stat &gt;= perc_95, converted_stat * 3, IF(bbgm_stat &gt;= perc_90, converted_stat * 2, IF(bbgm_stat &gt;= perc_85, converted_stat * 1.5, converted_stat)))))</f>
        <v/>
      </c>
      <c r="C218" s="30" t="str">
        <f t="array" ref="C218">IF($A218="", "", LET(bbgm_stat, INDEX(Players!$A217:$P217, MATCH(C$2, Players!$A$1:$P$1, 0)), perc_75, VLOOKUP(C$2, Percentiles!$A$45:$I$59, 6, FALSE), perc_90, VLOOKUP(C$2, Percentiles!$A$45:$I$59, 7, FALSE), perc_95, VLOOKUP(C$2, Percentiles!$A$45:$I$59, 8, FALSE), perc_85, perc_75 + (perc_90 - perc_75) * (2/3), converted_stat, '2K_Ratings'!C218, IF(bbgm_stat &gt;= perc_95, converted_stat * 3, IF(bbgm_stat &gt;= perc_90, converted_stat * 2, IF(bbgm_stat &gt;= perc_85, converted_stat * 1.5, converted_stat)))))</f>
        <v/>
      </c>
      <c r="D218" s="30" t="str">
        <f t="array" ref="D218">IF($A218="", "", LET(bbgm_stat, INDEX(Players!$A217:$P217, MATCH(D$2, Players!$A$1:$P$1, 0)), perc_75, VLOOKUP(D$2, Percentiles!$A$45:$I$59, 6, FALSE), perc_90, VLOOKUP(D$2, Percentiles!$A$45:$I$59, 7, FALSE), perc_95, VLOOKUP(D$2, Percentiles!$A$45:$I$59, 8, FALSE), perc_85, perc_75 + (perc_90 - perc_75) * (2/3), converted_stat, '2K_Ratings'!D218, IF(bbgm_stat &gt;= perc_95, converted_stat * 3, IF(bbgm_stat &gt;= perc_90, converted_stat * 2, IF(bbgm_stat &gt;= perc_85, converted_stat * 1.5, converted_stat)))))</f>
        <v/>
      </c>
      <c r="E218" s="30" t="str">
        <f t="array" ref="E218">IF($A218="", "", LET(bbgm_stat, INDEX(Players!$A217:$P217, MATCH(E$2, Players!$A$1:$P$1, 0)), perc_75, VLOOKUP(E$2, Percentiles!$A$45:$I$59, 6, FALSE), perc_90, VLOOKUP(E$2, Percentiles!$A$45:$I$59, 7, FALSE), perc_95, VLOOKUP(E$2, Percentiles!$A$45:$I$59, 8, FALSE), perc_85, perc_75 + (perc_90 - perc_75) * (2/3), converted_stat, '2K_Ratings'!E218, IF(bbgm_stat &gt;= perc_95, converted_stat * 3, IF(bbgm_stat &gt;= perc_90, converted_stat * 2, IF(bbgm_stat &gt;= perc_85, converted_stat * 1.5, converted_stat)))))</f>
        <v/>
      </c>
      <c r="F218" s="30" t="str">
        <f t="array" ref="F218">IF($A218="", "", LET(bbgm_stat, INDEX(Players!$A217:$P217, MATCH(F$2, Players!$A$1:$P$1, 0)), perc_75, VLOOKUP(F$2, Percentiles!$A$45:$I$59, 6, FALSE), perc_90, VLOOKUP(F$2, Percentiles!$A$45:$I$59, 7, FALSE), perc_95, VLOOKUP(F$2, Percentiles!$A$45:$I$59, 8, FALSE), perc_85, perc_75 + (perc_90 - perc_75) * (2/3), converted_stat, '2K_Ratings'!F218, IF(bbgm_stat &gt;= perc_95, converted_stat * 3, IF(bbgm_stat &gt;= perc_90, converted_stat * 2, IF(bbgm_stat &gt;= perc_85, converted_stat * 1.5, converted_stat)))))</f>
        <v/>
      </c>
      <c r="G218" s="30" t="str">
        <f t="array" ref="G218">IF($A218="", "", LET(bbgm_stat, INDEX(Players!$A217:$P217, MATCH(G$2, Players!$A$1:$P$1, 0)), perc_75, VLOOKUP(G$2, Percentiles!$A$45:$I$59, 6, FALSE), perc_90, VLOOKUP(G$2, Percentiles!$A$45:$I$59, 7, FALSE), perc_95, VLOOKUP(G$2, Percentiles!$A$45:$I$59, 8, FALSE), perc_85, perc_75 + (perc_90 - perc_75) * (2/3), converted_stat, '2K_Ratings'!G218, IF(bbgm_stat &gt;= perc_95, converted_stat * 3, IF(bbgm_stat &gt;= perc_90, converted_stat * 2, IF(bbgm_stat &gt;= perc_85, converted_stat * 1.5, converted_stat)))))</f>
        <v/>
      </c>
      <c r="H218" s="30" t="str">
        <f t="array" ref="H218">IF($A218="", "", LET(bbgm_stat, INDEX(Players!$A217:$P217, MATCH(H$2, Players!$A$1:$P$1, 0)), perc_75, VLOOKUP(H$2, Percentiles!$A$45:$I$59, 6, FALSE), perc_90, VLOOKUP(H$2, Percentiles!$A$45:$I$59, 7, FALSE), perc_95, VLOOKUP(H$2, Percentiles!$A$45:$I$59, 8, FALSE), perc_85, perc_75 + (perc_90 - perc_75) * (2/3), converted_stat, '2K_Ratings'!H218, IF(bbgm_stat &gt;= perc_95, converted_stat * 3, IF(bbgm_stat &gt;= perc_90, converted_stat * 2, IF(bbgm_stat &gt;= perc_85, converted_stat * 1.5, converted_stat)))))</f>
        <v/>
      </c>
      <c r="I218" s="30" t="str">
        <f t="array" ref="I218">IF($A218="", "", LET(bbgm_stat, INDEX(Players!$A217:$P217, MATCH(I$2, Players!$A$1:$P$1, 0)), perc_75, VLOOKUP(I$2, Percentiles!$A$45:$I$59, 6, FALSE), perc_90, VLOOKUP(I$2, Percentiles!$A$45:$I$59, 7, FALSE), perc_95, VLOOKUP(I$2, Percentiles!$A$45:$I$59, 8, FALSE), perc_85, perc_75 + (perc_90 - perc_75) * (2/3), converted_stat, '2K_Ratings'!I218, IF(bbgm_stat &gt;= perc_95, converted_stat * 3, IF(bbgm_stat &gt;= perc_90, converted_stat * 2, IF(bbgm_stat &gt;= perc_85, converted_stat * 1.5, converted_stat)))))</f>
        <v/>
      </c>
      <c r="J218" s="30" t="str">
        <f t="array" ref="J218">IF($A218="", "", LET(bbgm_stat, INDEX(Players!$A217:$P217, MATCH(J$2, Players!$A$1:$P$1, 0)), perc_75, VLOOKUP(J$2, Percentiles!$A$45:$I$59, 6, FALSE), perc_90, VLOOKUP(J$2, Percentiles!$A$45:$I$59, 7, FALSE), perc_95, VLOOKUP(J$2, Percentiles!$A$45:$I$59, 8, FALSE), perc_85, perc_75 + (perc_90 - perc_75) * (2/3), converted_stat, '2K_Ratings'!J218, IF(bbgm_stat &gt;= perc_95, converted_stat * 3, IF(bbgm_stat &gt;= perc_90, converted_stat * 2, IF(bbgm_stat &gt;= perc_85, converted_stat * 1.5, converted_stat)))))</f>
        <v/>
      </c>
      <c r="K218" s="30" t="str">
        <f t="array" ref="K218">IF($A218="", "", LET(bbgm_stat, INDEX(Players!$A217:$P217, MATCH(K$2, Players!$A$1:$P$1, 0)), perc_75, VLOOKUP(K$2, Percentiles!$A$45:$I$59, 6, FALSE), perc_90, VLOOKUP(K$2, Percentiles!$A$45:$I$59, 7, FALSE), perc_95, VLOOKUP(K$2, Percentiles!$A$45:$I$59, 8, FALSE), perc_85, perc_75 + (perc_90 - perc_75) * (2/3), converted_stat, '2K_Ratings'!K218, IF(bbgm_stat &gt;= perc_95, converted_stat * 3, IF(bbgm_stat &gt;= perc_90, converted_stat * 2, IF(bbgm_stat &gt;= perc_85, converted_stat * 1.5, converted_stat)))))</f>
        <v/>
      </c>
      <c r="L218" s="30" t="str">
        <f t="array" ref="L218">IF($A218="", "", LET(bbgm_stat, INDEX(Players!$A217:$P217, MATCH(L$2, Players!$A$1:$P$1, 0)), perc_75, VLOOKUP(L$2, Percentiles!$A$45:$I$59, 6, FALSE), perc_90, VLOOKUP(L$2, Percentiles!$A$45:$I$59, 7, FALSE), perc_95, VLOOKUP(L$2, Percentiles!$A$45:$I$59, 8, FALSE), perc_85, perc_75 + (perc_90 - perc_75) * (2/3), converted_stat, '2K_Ratings'!L218, IF(bbgm_stat &gt;= perc_95, converted_stat * 3, IF(bbgm_stat &gt;= perc_90, converted_stat * 2, IF(bbgm_stat &gt;= perc_85, converted_stat * 1.5, converted_stat)))))</f>
        <v/>
      </c>
      <c r="M218" s="30" t="str">
        <f t="array" ref="M218">IF($A218="", "", LET(bbgm_stat, INDEX(Players!$A217:$P217, MATCH(M$2, Players!$A$1:$P$1, 0)), perc_75, VLOOKUP(M$2, Percentiles!$A$45:$I$59, 6, FALSE), perc_90, VLOOKUP(M$2, Percentiles!$A$45:$I$59, 7, FALSE), perc_95, VLOOKUP(M$2, Percentiles!$A$45:$I$59, 8, FALSE), perc_85, perc_75 + (perc_90 - perc_75) * (2/3), converted_stat, '2K_Ratings'!M218, IF(bbgm_stat &gt;= perc_95, converted_stat * 3, IF(bbgm_stat &gt;= perc_90, converted_stat * 2, IF(bbgm_stat &gt;= perc_85, converted_stat * 1.5, converted_stat)))))</f>
        <v/>
      </c>
      <c r="N218" s="30" t="str">
        <f t="array" ref="N218">IF($A218="", "", LET(bbgm_stat, INDEX(Players!$A217:$P217, MATCH(N$2, Players!$A$1:$P$1, 0)), perc_75, VLOOKUP(N$2, Percentiles!$A$45:$I$59, 6, FALSE), perc_90, VLOOKUP(N$2, Percentiles!$A$45:$I$59, 7, FALSE), perc_95, VLOOKUP(N$2, Percentiles!$A$45:$I$59, 8, FALSE), perc_85, perc_75 + (perc_90 - perc_75) * (2/3), converted_stat, '2K_Ratings'!N218, IF(bbgm_stat &gt;= perc_95, converted_stat * 3, IF(bbgm_stat &gt;= perc_90, converted_stat * 2, IF(bbgm_stat &gt;= perc_85, converted_stat * 1.5, converted_stat)))))</f>
        <v/>
      </c>
      <c r="O218" s="30" t="str">
        <f t="array" ref="O218">IF($A218="", "", LET(bbgm_stat, INDEX(Players!$A217:$P217, MATCH(O$2, Players!$A$1:$P$1, 0)), perc_75, VLOOKUP(O$2, Percentiles!$A$45:$I$59, 6, FALSE), perc_90, VLOOKUP(O$2, Percentiles!$A$45:$I$59, 7, FALSE), perc_95, VLOOKUP(O$2, Percentiles!$A$45:$I$59, 8, FALSE), perc_85, perc_75 + (perc_90 - perc_75) * (2/3), converted_stat, '2K_Ratings'!O218, IF(bbgm_stat &gt;= perc_95, converted_stat * 3, IF(bbgm_stat &gt;= perc_90, converted_stat * 2, IF(bbgm_stat &gt;= perc_85, converted_stat * 1.5, converted_stat)))))</f>
        <v/>
      </c>
      <c r="P218" s="30" t="str">
        <f t="array" ref="P218">IF($A218="", "", LET(bbgm_stat, INDEX(Players!$A217:$P217, MATCH(P$2, Players!$A$1:$P$1, 0)), perc_75, VLOOKUP(P$2, Percentiles!$A$45:$I$59, 6, FALSE), perc_90, VLOOKUP(P$2, Percentiles!$A$45:$I$59, 7, FALSE), perc_95, VLOOKUP(P$2, Percentiles!$A$45:$I$59, 8, FALSE), perc_85, perc_75 + (perc_90 - perc_75) * (2/3), converted_stat, '2K_Ratings'!P218, IF(bbgm_stat &gt;= perc_95, converted_stat * 3, IF(bbgm_stat &gt;= perc_90, converted_stat * 2, IF(bbgm_stat &gt;= perc_85, converted_stat * 1.5, converted_stat)))))</f>
        <v/>
      </c>
      <c r="Q218" s="30" t="str">
        <f t="array" ref="Q218">IF($A218="", "", LET(bbgm_stat, INDEX(Players!$A217:$P217, MATCH(Q$2, Players!$A$1:$P$1, 0)), perc_75, VLOOKUP(Q$2, Percentiles!$A$45:$I$59, 6, FALSE), perc_90, VLOOKUP(Q$2, Percentiles!$A$45:$I$59, 7, FALSE), perc_95, VLOOKUP(Q$2, Percentiles!$A$45:$I$59, 8, FALSE), perc_85, perc_75 + (perc_90 - perc_75) * (2/3), converted_stat, '2K_Ratings'!Q218, IF(bbgm_stat &gt;= perc_95, converted_stat * 3, IF(bbgm_stat &gt;= perc_90, converted_stat * 2, IF(bbgm_stat &gt;= perc_85, converted_stat * 1.5, converted_stat)))))</f>
        <v/>
      </c>
      <c r="R218" s="30" t="str">
        <f t="array" ref="R218">IF($A218="", "", LET(bbgm_stat, INDEX(Players!$A217:$P217, MATCH(R$2, Players!$A$1:$P$1, 0)), perc_75, VLOOKUP(R$2, Percentiles!$A$45:$I$59, 6, FALSE), perc_90, VLOOKUP(R$2, Percentiles!$A$45:$I$59, 7, FALSE), perc_95, VLOOKUP(R$2, Percentiles!$A$45:$I$59, 8, FALSE), perc_85, perc_75 + (perc_90 - perc_75) * (2/3), converted_stat, '2K_Ratings'!R218, IF(bbgm_stat &gt;= perc_95, converted_stat * 3, IF(bbgm_stat &gt;= perc_90, converted_stat * 2, IF(bbgm_stat &gt;= perc_85, converted_stat * 1.5, converted_stat)))))</f>
        <v/>
      </c>
      <c r="S218" s="30" t="str">
        <f t="array" ref="S218">IF($A218="", "", LET(bbgm_stat, INDEX(Players!$A217:$P217, MATCH(S$2, Players!$A$1:$P$1, 0)), perc_75, VLOOKUP(S$2, Percentiles!$A$45:$I$59, 6, FALSE), perc_90, VLOOKUP(S$2, Percentiles!$A$45:$I$59, 7, FALSE), perc_95, VLOOKUP(S$2, Percentiles!$A$45:$I$59, 8, FALSE), perc_85, perc_75 + (perc_90 - perc_75) * (2/3), converted_stat, '2K_Ratings'!S218, IF(bbgm_stat &gt;= perc_95, converted_stat * 3, IF(bbgm_stat &gt;= perc_90, converted_stat * 2, IF(bbgm_stat &gt;= perc_85, converted_stat * 1.5, converted_stat)))))</f>
        <v/>
      </c>
      <c r="T218" s="30" t="str">
        <f t="array" ref="T218">IF($A218="", "", LET(bbgm_stat, INDEX(Players!$A217:$P217, MATCH(T$2, Players!$A$1:$P$1, 0)), perc_75, VLOOKUP(T$2, Percentiles!$A$45:$I$59, 6, FALSE), perc_90, VLOOKUP(T$2, Percentiles!$A$45:$I$59, 7, FALSE), perc_95, VLOOKUP(T$2, Percentiles!$A$45:$I$59, 8, FALSE), perc_85, perc_75 + (perc_90 - perc_75) * (2/3), converted_stat, '2K_Ratings'!T218, IF(bbgm_stat &gt;= perc_95, converted_stat * 3, IF(bbgm_stat &gt;= perc_90, converted_stat * 2, IF(bbgm_stat &gt;= perc_85, converted_stat * 1.5, converted_stat)))))</f>
        <v/>
      </c>
      <c r="U218" s="30" t="str">
        <f t="array" ref="U218">IF($A218="", "", LET(bbgm_stat, INDEX(Players!$A217:$P217, MATCH(U$2, Players!$A$1:$P$1, 0)), perc_75, VLOOKUP(U$2, Percentiles!$A$45:$I$59, 6, FALSE), perc_90, VLOOKUP(U$2, Percentiles!$A$45:$I$59, 7, FALSE), perc_95, VLOOKUP(U$2, Percentiles!$A$45:$I$59, 8, FALSE), perc_85, perc_75 + (perc_90 - perc_75) * (2/3), converted_stat, '2K_Ratings'!U218, IF(bbgm_stat &gt;= perc_95, converted_stat * 3, IF(bbgm_stat &gt;= perc_90, converted_stat * 2, IF(bbgm_stat &gt;= perc_85, converted_stat * 1.5, converted_stat)))))</f>
        <v/>
      </c>
      <c r="V218" s="30" t="str">
        <f t="array" ref="V218">IF($A218="", "", LET(bbgm_stat, INDEX(Players!$A217:$P217, MATCH(V$2, Players!$A$1:$P$1, 0)), perc_75, VLOOKUP(V$2, Percentiles!$A$45:$I$59, 6, FALSE), perc_90, VLOOKUP(V$2, Percentiles!$A$45:$I$59, 7, FALSE), perc_95, VLOOKUP(V$2, Percentiles!$A$45:$I$59, 8, FALSE), perc_85, perc_75 + (perc_90 - perc_75) * (2/3), converted_stat, '2K_Ratings'!V218, IF(bbgm_stat &gt;= perc_95, converted_stat * 3, IF(bbgm_stat &gt;= perc_90, converted_stat * 2, IF(bbgm_stat &gt;= perc_85, converted_stat * 1.5, converted_stat)))))</f>
        <v/>
      </c>
      <c r="W218" s="30" t="str">
        <f t="array" ref="W218">IF($A218="", "", LET(bbgm_stat, INDEX(Players!$A217:$P217, MATCH(W$2, Players!$A$1:$P$1, 0)), perc_75, VLOOKUP(W$2, Percentiles!$A$45:$I$59, 6, FALSE), perc_90, VLOOKUP(W$2, Percentiles!$A$45:$I$59, 7, FALSE), perc_95, VLOOKUP(W$2, Percentiles!$A$45:$I$59, 8, FALSE), perc_85, perc_75 + (perc_90 - perc_75) * (2/3), converted_stat, '2K_Ratings'!W218, IF(bbgm_stat &gt;= perc_95, converted_stat * 3, IF(bbgm_stat &gt;= perc_90, converted_stat * 2, IF(bbgm_stat &gt;= perc_85, converted_stat * 1.5, converted_stat)))))</f>
        <v/>
      </c>
    </row>
    <row r="219">
      <c r="A219" s="30"/>
      <c r="B219" s="30" t="str">
        <f t="array" ref="B219">IF($A219="", "", LET(bbgm_stat, INDEX(Players!$A218:$P218, MATCH(B$2, Players!$A$1:$P$1, 0)), perc_75, VLOOKUP(B$2, Percentiles!$A$45:$I$59, 6, FALSE), perc_90, VLOOKUP(B$2, Percentiles!$A$45:$I$59, 7, FALSE), perc_95, VLOOKUP(B$2, Percentiles!$A$45:$I$59, 8, FALSE), perc_85, perc_75 + (perc_90 - perc_75) * (2/3), converted_stat, '2K_Ratings'!B219, IF(bbgm_stat &gt;= perc_95, converted_stat * 3, IF(bbgm_stat &gt;= perc_90, converted_stat * 2, IF(bbgm_stat &gt;= perc_85, converted_stat * 1.5, converted_stat)))))</f>
        <v/>
      </c>
      <c r="C219" s="30" t="str">
        <f t="array" ref="C219">IF($A219="", "", LET(bbgm_stat, INDEX(Players!$A218:$P218, MATCH(C$2, Players!$A$1:$P$1, 0)), perc_75, VLOOKUP(C$2, Percentiles!$A$45:$I$59, 6, FALSE), perc_90, VLOOKUP(C$2, Percentiles!$A$45:$I$59, 7, FALSE), perc_95, VLOOKUP(C$2, Percentiles!$A$45:$I$59, 8, FALSE), perc_85, perc_75 + (perc_90 - perc_75) * (2/3), converted_stat, '2K_Ratings'!C219, IF(bbgm_stat &gt;= perc_95, converted_stat * 3, IF(bbgm_stat &gt;= perc_90, converted_stat * 2, IF(bbgm_stat &gt;= perc_85, converted_stat * 1.5, converted_stat)))))</f>
        <v/>
      </c>
      <c r="D219" s="30" t="str">
        <f t="array" ref="D219">IF($A219="", "", LET(bbgm_stat, INDEX(Players!$A218:$P218, MATCH(D$2, Players!$A$1:$P$1, 0)), perc_75, VLOOKUP(D$2, Percentiles!$A$45:$I$59, 6, FALSE), perc_90, VLOOKUP(D$2, Percentiles!$A$45:$I$59, 7, FALSE), perc_95, VLOOKUP(D$2, Percentiles!$A$45:$I$59, 8, FALSE), perc_85, perc_75 + (perc_90 - perc_75) * (2/3), converted_stat, '2K_Ratings'!D219, IF(bbgm_stat &gt;= perc_95, converted_stat * 3, IF(bbgm_stat &gt;= perc_90, converted_stat * 2, IF(bbgm_stat &gt;= perc_85, converted_stat * 1.5, converted_stat)))))</f>
        <v/>
      </c>
      <c r="E219" s="30" t="str">
        <f t="array" ref="E219">IF($A219="", "", LET(bbgm_stat, INDEX(Players!$A218:$P218, MATCH(E$2, Players!$A$1:$P$1, 0)), perc_75, VLOOKUP(E$2, Percentiles!$A$45:$I$59, 6, FALSE), perc_90, VLOOKUP(E$2, Percentiles!$A$45:$I$59, 7, FALSE), perc_95, VLOOKUP(E$2, Percentiles!$A$45:$I$59, 8, FALSE), perc_85, perc_75 + (perc_90 - perc_75) * (2/3), converted_stat, '2K_Ratings'!E219, IF(bbgm_stat &gt;= perc_95, converted_stat * 3, IF(bbgm_stat &gt;= perc_90, converted_stat * 2, IF(bbgm_stat &gt;= perc_85, converted_stat * 1.5, converted_stat)))))</f>
        <v/>
      </c>
      <c r="F219" s="30" t="str">
        <f t="array" ref="F219">IF($A219="", "", LET(bbgm_stat, INDEX(Players!$A218:$P218, MATCH(F$2, Players!$A$1:$P$1, 0)), perc_75, VLOOKUP(F$2, Percentiles!$A$45:$I$59, 6, FALSE), perc_90, VLOOKUP(F$2, Percentiles!$A$45:$I$59, 7, FALSE), perc_95, VLOOKUP(F$2, Percentiles!$A$45:$I$59, 8, FALSE), perc_85, perc_75 + (perc_90 - perc_75) * (2/3), converted_stat, '2K_Ratings'!F219, IF(bbgm_stat &gt;= perc_95, converted_stat * 3, IF(bbgm_stat &gt;= perc_90, converted_stat * 2, IF(bbgm_stat &gt;= perc_85, converted_stat * 1.5, converted_stat)))))</f>
        <v/>
      </c>
      <c r="G219" s="30" t="str">
        <f t="array" ref="G219">IF($A219="", "", LET(bbgm_stat, INDEX(Players!$A218:$P218, MATCH(G$2, Players!$A$1:$P$1, 0)), perc_75, VLOOKUP(G$2, Percentiles!$A$45:$I$59, 6, FALSE), perc_90, VLOOKUP(G$2, Percentiles!$A$45:$I$59, 7, FALSE), perc_95, VLOOKUP(G$2, Percentiles!$A$45:$I$59, 8, FALSE), perc_85, perc_75 + (perc_90 - perc_75) * (2/3), converted_stat, '2K_Ratings'!G219, IF(bbgm_stat &gt;= perc_95, converted_stat * 3, IF(bbgm_stat &gt;= perc_90, converted_stat * 2, IF(bbgm_stat &gt;= perc_85, converted_stat * 1.5, converted_stat)))))</f>
        <v/>
      </c>
      <c r="H219" s="30" t="str">
        <f t="array" ref="H219">IF($A219="", "", LET(bbgm_stat, INDEX(Players!$A218:$P218, MATCH(H$2, Players!$A$1:$P$1, 0)), perc_75, VLOOKUP(H$2, Percentiles!$A$45:$I$59, 6, FALSE), perc_90, VLOOKUP(H$2, Percentiles!$A$45:$I$59, 7, FALSE), perc_95, VLOOKUP(H$2, Percentiles!$A$45:$I$59, 8, FALSE), perc_85, perc_75 + (perc_90 - perc_75) * (2/3), converted_stat, '2K_Ratings'!H219, IF(bbgm_stat &gt;= perc_95, converted_stat * 3, IF(bbgm_stat &gt;= perc_90, converted_stat * 2, IF(bbgm_stat &gt;= perc_85, converted_stat * 1.5, converted_stat)))))</f>
        <v/>
      </c>
      <c r="I219" s="30" t="str">
        <f t="array" ref="I219">IF($A219="", "", LET(bbgm_stat, INDEX(Players!$A218:$P218, MATCH(I$2, Players!$A$1:$P$1, 0)), perc_75, VLOOKUP(I$2, Percentiles!$A$45:$I$59, 6, FALSE), perc_90, VLOOKUP(I$2, Percentiles!$A$45:$I$59, 7, FALSE), perc_95, VLOOKUP(I$2, Percentiles!$A$45:$I$59, 8, FALSE), perc_85, perc_75 + (perc_90 - perc_75) * (2/3), converted_stat, '2K_Ratings'!I219, IF(bbgm_stat &gt;= perc_95, converted_stat * 3, IF(bbgm_stat &gt;= perc_90, converted_stat * 2, IF(bbgm_stat &gt;= perc_85, converted_stat * 1.5, converted_stat)))))</f>
        <v/>
      </c>
      <c r="J219" s="30" t="str">
        <f t="array" ref="J219">IF($A219="", "", LET(bbgm_stat, INDEX(Players!$A218:$P218, MATCH(J$2, Players!$A$1:$P$1, 0)), perc_75, VLOOKUP(J$2, Percentiles!$A$45:$I$59, 6, FALSE), perc_90, VLOOKUP(J$2, Percentiles!$A$45:$I$59, 7, FALSE), perc_95, VLOOKUP(J$2, Percentiles!$A$45:$I$59, 8, FALSE), perc_85, perc_75 + (perc_90 - perc_75) * (2/3), converted_stat, '2K_Ratings'!J219, IF(bbgm_stat &gt;= perc_95, converted_stat * 3, IF(bbgm_stat &gt;= perc_90, converted_stat * 2, IF(bbgm_stat &gt;= perc_85, converted_stat * 1.5, converted_stat)))))</f>
        <v/>
      </c>
      <c r="K219" s="30" t="str">
        <f t="array" ref="K219">IF($A219="", "", LET(bbgm_stat, INDEX(Players!$A218:$P218, MATCH(K$2, Players!$A$1:$P$1, 0)), perc_75, VLOOKUP(K$2, Percentiles!$A$45:$I$59, 6, FALSE), perc_90, VLOOKUP(K$2, Percentiles!$A$45:$I$59, 7, FALSE), perc_95, VLOOKUP(K$2, Percentiles!$A$45:$I$59, 8, FALSE), perc_85, perc_75 + (perc_90 - perc_75) * (2/3), converted_stat, '2K_Ratings'!K219, IF(bbgm_stat &gt;= perc_95, converted_stat * 3, IF(bbgm_stat &gt;= perc_90, converted_stat * 2, IF(bbgm_stat &gt;= perc_85, converted_stat * 1.5, converted_stat)))))</f>
        <v/>
      </c>
      <c r="L219" s="30" t="str">
        <f t="array" ref="L219">IF($A219="", "", LET(bbgm_stat, INDEX(Players!$A218:$P218, MATCH(L$2, Players!$A$1:$P$1, 0)), perc_75, VLOOKUP(L$2, Percentiles!$A$45:$I$59, 6, FALSE), perc_90, VLOOKUP(L$2, Percentiles!$A$45:$I$59, 7, FALSE), perc_95, VLOOKUP(L$2, Percentiles!$A$45:$I$59, 8, FALSE), perc_85, perc_75 + (perc_90 - perc_75) * (2/3), converted_stat, '2K_Ratings'!L219, IF(bbgm_stat &gt;= perc_95, converted_stat * 3, IF(bbgm_stat &gt;= perc_90, converted_stat * 2, IF(bbgm_stat &gt;= perc_85, converted_stat * 1.5, converted_stat)))))</f>
        <v/>
      </c>
      <c r="M219" s="30" t="str">
        <f t="array" ref="M219">IF($A219="", "", LET(bbgm_stat, INDEX(Players!$A218:$P218, MATCH(M$2, Players!$A$1:$P$1, 0)), perc_75, VLOOKUP(M$2, Percentiles!$A$45:$I$59, 6, FALSE), perc_90, VLOOKUP(M$2, Percentiles!$A$45:$I$59, 7, FALSE), perc_95, VLOOKUP(M$2, Percentiles!$A$45:$I$59, 8, FALSE), perc_85, perc_75 + (perc_90 - perc_75) * (2/3), converted_stat, '2K_Ratings'!M219, IF(bbgm_stat &gt;= perc_95, converted_stat * 3, IF(bbgm_stat &gt;= perc_90, converted_stat * 2, IF(bbgm_stat &gt;= perc_85, converted_stat * 1.5, converted_stat)))))</f>
        <v/>
      </c>
      <c r="N219" s="30" t="str">
        <f t="array" ref="N219">IF($A219="", "", LET(bbgm_stat, INDEX(Players!$A218:$P218, MATCH(N$2, Players!$A$1:$P$1, 0)), perc_75, VLOOKUP(N$2, Percentiles!$A$45:$I$59, 6, FALSE), perc_90, VLOOKUP(N$2, Percentiles!$A$45:$I$59, 7, FALSE), perc_95, VLOOKUP(N$2, Percentiles!$A$45:$I$59, 8, FALSE), perc_85, perc_75 + (perc_90 - perc_75) * (2/3), converted_stat, '2K_Ratings'!N219, IF(bbgm_stat &gt;= perc_95, converted_stat * 3, IF(bbgm_stat &gt;= perc_90, converted_stat * 2, IF(bbgm_stat &gt;= perc_85, converted_stat * 1.5, converted_stat)))))</f>
        <v/>
      </c>
      <c r="O219" s="30" t="str">
        <f t="array" ref="O219">IF($A219="", "", LET(bbgm_stat, INDEX(Players!$A218:$P218, MATCH(O$2, Players!$A$1:$P$1, 0)), perc_75, VLOOKUP(O$2, Percentiles!$A$45:$I$59, 6, FALSE), perc_90, VLOOKUP(O$2, Percentiles!$A$45:$I$59, 7, FALSE), perc_95, VLOOKUP(O$2, Percentiles!$A$45:$I$59, 8, FALSE), perc_85, perc_75 + (perc_90 - perc_75) * (2/3), converted_stat, '2K_Ratings'!O219, IF(bbgm_stat &gt;= perc_95, converted_stat * 3, IF(bbgm_stat &gt;= perc_90, converted_stat * 2, IF(bbgm_stat &gt;= perc_85, converted_stat * 1.5, converted_stat)))))</f>
        <v/>
      </c>
      <c r="P219" s="30" t="str">
        <f t="array" ref="P219">IF($A219="", "", LET(bbgm_stat, INDEX(Players!$A218:$P218, MATCH(P$2, Players!$A$1:$P$1, 0)), perc_75, VLOOKUP(P$2, Percentiles!$A$45:$I$59, 6, FALSE), perc_90, VLOOKUP(P$2, Percentiles!$A$45:$I$59, 7, FALSE), perc_95, VLOOKUP(P$2, Percentiles!$A$45:$I$59, 8, FALSE), perc_85, perc_75 + (perc_90 - perc_75) * (2/3), converted_stat, '2K_Ratings'!P219, IF(bbgm_stat &gt;= perc_95, converted_stat * 3, IF(bbgm_stat &gt;= perc_90, converted_stat * 2, IF(bbgm_stat &gt;= perc_85, converted_stat * 1.5, converted_stat)))))</f>
        <v/>
      </c>
      <c r="Q219" s="30" t="str">
        <f t="array" ref="Q219">IF($A219="", "", LET(bbgm_stat, INDEX(Players!$A218:$P218, MATCH(Q$2, Players!$A$1:$P$1, 0)), perc_75, VLOOKUP(Q$2, Percentiles!$A$45:$I$59, 6, FALSE), perc_90, VLOOKUP(Q$2, Percentiles!$A$45:$I$59, 7, FALSE), perc_95, VLOOKUP(Q$2, Percentiles!$A$45:$I$59, 8, FALSE), perc_85, perc_75 + (perc_90 - perc_75) * (2/3), converted_stat, '2K_Ratings'!Q219, IF(bbgm_stat &gt;= perc_95, converted_stat * 3, IF(bbgm_stat &gt;= perc_90, converted_stat * 2, IF(bbgm_stat &gt;= perc_85, converted_stat * 1.5, converted_stat)))))</f>
        <v/>
      </c>
      <c r="R219" s="30" t="str">
        <f t="array" ref="R219">IF($A219="", "", LET(bbgm_stat, INDEX(Players!$A218:$P218, MATCH(R$2, Players!$A$1:$P$1, 0)), perc_75, VLOOKUP(R$2, Percentiles!$A$45:$I$59, 6, FALSE), perc_90, VLOOKUP(R$2, Percentiles!$A$45:$I$59, 7, FALSE), perc_95, VLOOKUP(R$2, Percentiles!$A$45:$I$59, 8, FALSE), perc_85, perc_75 + (perc_90 - perc_75) * (2/3), converted_stat, '2K_Ratings'!R219, IF(bbgm_stat &gt;= perc_95, converted_stat * 3, IF(bbgm_stat &gt;= perc_90, converted_stat * 2, IF(bbgm_stat &gt;= perc_85, converted_stat * 1.5, converted_stat)))))</f>
        <v/>
      </c>
      <c r="S219" s="30" t="str">
        <f t="array" ref="S219">IF($A219="", "", LET(bbgm_stat, INDEX(Players!$A218:$P218, MATCH(S$2, Players!$A$1:$P$1, 0)), perc_75, VLOOKUP(S$2, Percentiles!$A$45:$I$59, 6, FALSE), perc_90, VLOOKUP(S$2, Percentiles!$A$45:$I$59, 7, FALSE), perc_95, VLOOKUP(S$2, Percentiles!$A$45:$I$59, 8, FALSE), perc_85, perc_75 + (perc_90 - perc_75) * (2/3), converted_stat, '2K_Ratings'!S219, IF(bbgm_stat &gt;= perc_95, converted_stat * 3, IF(bbgm_stat &gt;= perc_90, converted_stat * 2, IF(bbgm_stat &gt;= perc_85, converted_stat * 1.5, converted_stat)))))</f>
        <v/>
      </c>
      <c r="T219" s="30" t="str">
        <f t="array" ref="T219">IF($A219="", "", LET(bbgm_stat, INDEX(Players!$A218:$P218, MATCH(T$2, Players!$A$1:$P$1, 0)), perc_75, VLOOKUP(T$2, Percentiles!$A$45:$I$59, 6, FALSE), perc_90, VLOOKUP(T$2, Percentiles!$A$45:$I$59, 7, FALSE), perc_95, VLOOKUP(T$2, Percentiles!$A$45:$I$59, 8, FALSE), perc_85, perc_75 + (perc_90 - perc_75) * (2/3), converted_stat, '2K_Ratings'!T219, IF(bbgm_stat &gt;= perc_95, converted_stat * 3, IF(bbgm_stat &gt;= perc_90, converted_stat * 2, IF(bbgm_stat &gt;= perc_85, converted_stat * 1.5, converted_stat)))))</f>
        <v/>
      </c>
      <c r="U219" s="30" t="str">
        <f t="array" ref="U219">IF($A219="", "", LET(bbgm_stat, INDEX(Players!$A218:$P218, MATCH(U$2, Players!$A$1:$P$1, 0)), perc_75, VLOOKUP(U$2, Percentiles!$A$45:$I$59, 6, FALSE), perc_90, VLOOKUP(U$2, Percentiles!$A$45:$I$59, 7, FALSE), perc_95, VLOOKUP(U$2, Percentiles!$A$45:$I$59, 8, FALSE), perc_85, perc_75 + (perc_90 - perc_75) * (2/3), converted_stat, '2K_Ratings'!U219, IF(bbgm_stat &gt;= perc_95, converted_stat * 3, IF(bbgm_stat &gt;= perc_90, converted_stat * 2, IF(bbgm_stat &gt;= perc_85, converted_stat * 1.5, converted_stat)))))</f>
        <v/>
      </c>
      <c r="V219" s="30" t="str">
        <f t="array" ref="V219">IF($A219="", "", LET(bbgm_stat, INDEX(Players!$A218:$P218, MATCH(V$2, Players!$A$1:$P$1, 0)), perc_75, VLOOKUP(V$2, Percentiles!$A$45:$I$59, 6, FALSE), perc_90, VLOOKUP(V$2, Percentiles!$A$45:$I$59, 7, FALSE), perc_95, VLOOKUP(V$2, Percentiles!$A$45:$I$59, 8, FALSE), perc_85, perc_75 + (perc_90 - perc_75) * (2/3), converted_stat, '2K_Ratings'!V219, IF(bbgm_stat &gt;= perc_95, converted_stat * 3, IF(bbgm_stat &gt;= perc_90, converted_stat * 2, IF(bbgm_stat &gt;= perc_85, converted_stat * 1.5, converted_stat)))))</f>
        <v/>
      </c>
      <c r="W219" s="30" t="str">
        <f t="array" ref="W219">IF($A219="", "", LET(bbgm_stat, INDEX(Players!$A218:$P218, MATCH(W$2, Players!$A$1:$P$1, 0)), perc_75, VLOOKUP(W$2, Percentiles!$A$45:$I$59, 6, FALSE), perc_90, VLOOKUP(W$2, Percentiles!$A$45:$I$59, 7, FALSE), perc_95, VLOOKUP(W$2, Percentiles!$A$45:$I$59, 8, FALSE), perc_85, perc_75 + (perc_90 - perc_75) * (2/3), converted_stat, '2K_Ratings'!W219, IF(bbgm_stat &gt;= perc_95, converted_stat * 3, IF(bbgm_stat &gt;= perc_90, converted_stat * 2, IF(bbgm_stat &gt;= perc_85, converted_stat * 1.5, converted_stat)))))</f>
        <v/>
      </c>
    </row>
    <row r="220">
      <c r="A220" s="30"/>
      <c r="B220" s="30" t="str">
        <f t="array" ref="B220">IF($A220="", "", LET(bbgm_stat, INDEX(Players!$A219:$P219, MATCH(B$2, Players!$A$1:$P$1, 0)), perc_75, VLOOKUP(B$2, Percentiles!$A$45:$I$59, 6, FALSE), perc_90, VLOOKUP(B$2, Percentiles!$A$45:$I$59, 7, FALSE), perc_95, VLOOKUP(B$2, Percentiles!$A$45:$I$59, 8, FALSE), perc_85, perc_75 + (perc_90 - perc_75) * (2/3), converted_stat, '2K_Ratings'!B220, IF(bbgm_stat &gt;= perc_95, converted_stat * 3, IF(bbgm_stat &gt;= perc_90, converted_stat * 2, IF(bbgm_stat &gt;= perc_85, converted_stat * 1.5, converted_stat)))))</f>
        <v/>
      </c>
      <c r="C220" s="30" t="str">
        <f t="array" ref="C220">IF($A220="", "", LET(bbgm_stat, INDEX(Players!$A219:$P219, MATCH(C$2, Players!$A$1:$P$1, 0)), perc_75, VLOOKUP(C$2, Percentiles!$A$45:$I$59, 6, FALSE), perc_90, VLOOKUP(C$2, Percentiles!$A$45:$I$59, 7, FALSE), perc_95, VLOOKUP(C$2, Percentiles!$A$45:$I$59, 8, FALSE), perc_85, perc_75 + (perc_90 - perc_75) * (2/3), converted_stat, '2K_Ratings'!C220, IF(bbgm_stat &gt;= perc_95, converted_stat * 3, IF(bbgm_stat &gt;= perc_90, converted_stat * 2, IF(bbgm_stat &gt;= perc_85, converted_stat * 1.5, converted_stat)))))</f>
        <v/>
      </c>
      <c r="D220" s="30" t="str">
        <f t="array" ref="D220">IF($A220="", "", LET(bbgm_stat, INDEX(Players!$A219:$P219, MATCH(D$2, Players!$A$1:$P$1, 0)), perc_75, VLOOKUP(D$2, Percentiles!$A$45:$I$59, 6, FALSE), perc_90, VLOOKUP(D$2, Percentiles!$A$45:$I$59, 7, FALSE), perc_95, VLOOKUP(D$2, Percentiles!$A$45:$I$59, 8, FALSE), perc_85, perc_75 + (perc_90 - perc_75) * (2/3), converted_stat, '2K_Ratings'!D220, IF(bbgm_stat &gt;= perc_95, converted_stat * 3, IF(bbgm_stat &gt;= perc_90, converted_stat * 2, IF(bbgm_stat &gt;= perc_85, converted_stat * 1.5, converted_stat)))))</f>
        <v/>
      </c>
      <c r="E220" s="30" t="str">
        <f t="array" ref="E220">IF($A220="", "", LET(bbgm_stat, INDEX(Players!$A219:$P219, MATCH(E$2, Players!$A$1:$P$1, 0)), perc_75, VLOOKUP(E$2, Percentiles!$A$45:$I$59, 6, FALSE), perc_90, VLOOKUP(E$2, Percentiles!$A$45:$I$59, 7, FALSE), perc_95, VLOOKUP(E$2, Percentiles!$A$45:$I$59, 8, FALSE), perc_85, perc_75 + (perc_90 - perc_75) * (2/3), converted_stat, '2K_Ratings'!E220, IF(bbgm_stat &gt;= perc_95, converted_stat * 3, IF(bbgm_stat &gt;= perc_90, converted_stat * 2, IF(bbgm_stat &gt;= perc_85, converted_stat * 1.5, converted_stat)))))</f>
        <v/>
      </c>
      <c r="F220" s="30" t="str">
        <f t="array" ref="F220">IF($A220="", "", LET(bbgm_stat, INDEX(Players!$A219:$P219, MATCH(F$2, Players!$A$1:$P$1, 0)), perc_75, VLOOKUP(F$2, Percentiles!$A$45:$I$59, 6, FALSE), perc_90, VLOOKUP(F$2, Percentiles!$A$45:$I$59, 7, FALSE), perc_95, VLOOKUP(F$2, Percentiles!$A$45:$I$59, 8, FALSE), perc_85, perc_75 + (perc_90 - perc_75) * (2/3), converted_stat, '2K_Ratings'!F220, IF(bbgm_stat &gt;= perc_95, converted_stat * 3, IF(bbgm_stat &gt;= perc_90, converted_stat * 2, IF(bbgm_stat &gt;= perc_85, converted_stat * 1.5, converted_stat)))))</f>
        <v/>
      </c>
      <c r="G220" s="30" t="str">
        <f t="array" ref="G220">IF($A220="", "", LET(bbgm_stat, INDEX(Players!$A219:$P219, MATCH(G$2, Players!$A$1:$P$1, 0)), perc_75, VLOOKUP(G$2, Percentiles!$A$45:$I$59, 6, FALSE), perc_90, VLOOKUP(G$2, Percentiles!$A$45:$I$59, 7, FALSE), perc_95, VLOOKUP(G$2, Percentiles!$A$45:$I$59, 8, FALSE), perc_85, perc_75 + (perc_90 - perc_75) * (2/3), converted_stat, '2K_Ratings'!G220, IF(bbgm_stat &gt;= perc_95, converted_stat * 3, IF(bbgm_stat &gt;= perc_90, converted_stat * 2, IF(bbgm_stat &gt;= perc_85, converted_stat * 1.5, converted_stat)))))</f>
        <v/>
      </c>
      <c r="H220" s="30" t="str">
        <f t="array" ref="H220">IF($A220="", "", LET(bbgm_stat, INDEX(Players!$A219:$P219, MATCH(H$2, Players!$A$1:$P$1, 0)), perc_75, VLOOKUP(H$2, Percentiles!$A$45:$I$59, 6, FALSE), perc_90, VLOOKUP(H$2, Percentiles!$A$45:$I$59, 7, FALSE), perc_95, VLOOKUP(H$2, Percentiles!$A$45:$I$59, 8, FALSE), perc_85, perc_75 + (perc_90 - perc_75) * (2/3), converted_stat, '2K_Ratings'!H220, IF(bbgm_stat &gt;= perc_95, converted_stat * 3, IF(bbgm_stat &gt;= perc_90, converted_stat * 2, IF(bbgm_stat &gt;= perc_85, converted_stat * 1.5, converted_stat)))))</f>
        <v/>
      </c>
      <c r="I220" s="30" t="str">
        <f t="array" ref="I220">IF($A220="", "", LET(bbgm_stat, INDEX(Players!$A219:$P219, MATCH(I$2, Players!$A$1:$P$1, 0)), perc_75, VLOOKUP(I$2, Percentiles!$A$45:$I$59, 6, FALSE), perc_90, VLOOKUP(I$2, Percentiles!$A$45:$I$59, 7, FALSE), perc_95, VLOOKUP(I$2, Percentiles!$A$45:$I$59, 8, FALSE), perc_85, perc_75 + (perc_90 - perc_75) * (2/3), converted_stat, '2K_Ratings'!I220, IF(bbgm_stat &gt;= perc_95, converted_stat * 3, IF(bbgm_stat &gt;= perc_90, converted_stat * 2, IF(bbgm_stat &gt;= perc_85, converted_stat * 1.5, converted_stat)))))</f>
        <v/>
      </c>
      <c r="J220" s="30" t="str">
        <f t="array" ref="J220">IF($A220="", "", LET(bbgm_stat, INDEX(Players!$A219:$P219, MATCH(J$2, Players!$A$1:$P$1, 0)), perc_75, VLOOKUP(J$2, Percentiles!$A$45:$I$59, 6, FALSE), perc_90, VLOOKUP(J$2, Percentiles!$A$45:$I$59, 7, FALSE), perc_95, VLOOKUP(J$2, Percentiles!$A$45:$I$59, 8, FALSE), perc_85, perc_75 + (perc_90 - perc_75) * (2/3), converted_stat, '2K_Ratings'!J220, IF(bbgm_stat &gt;= perc_95, converted_stat * 3, IF(bbgm_stat &gt;= perc_90, converted_stat * 2, IF(bbgm_stat &gt;= perc_85, converted_stat * 1.5, converted_stat)))))</f>
        <v/>
      </c>
      <c r="K220" s="30" t="str">
        <f t="array" ref="K220">IF($A220="", "", LET(bbgm_stat, INDEX(Players!$A219:$P219, MATCH(K$2, Players!$A$1:$P$1, 0)), perc_75, VLOOKUP(K$2, Percentiles!$A$45:$I$59, 6, FALSE), perc_90, VLOOKUP(K$2, Percentiles!$A$45:$I$59, 7, FALSE), perc_95, VLOOKUP(K$2, Percentiles!$A$45:$I$59, 8, FALSE), perc_85, perc_75 + (perc_90 - perc_75) * (2/3), converted_stat, '2K_Ratings'!K220, IF(bbgm_stat &gt;= perc_95, converted_stat * 3, IF(bbgm_stat &gt;= perc_90, converted_stat * 2, IF(bbgm_stat &gt;= perc_85, converted_stat * 1.5, converted_stat)))))</f>
        <v/>
      </c>
      <c r="L220" s="30" t="str">
        <f t="array" ref="L220">IF($A220="", "", LET(bbgm_stat, INDEX(Players!$A219:$P219, MATCH(L$2, Players!$A$1:$P$1, 0)), perc_75, VLOOKUP(L$2, Percentiles!$A$45:$I$59, 6, FALSE), perc_90, VLOOKUP(L$2, Percentiles!$A$45:$I$59, 7, FALSE), perc_95, VLOOKUP(L$2, Percentiles!$A$45:$I$59, 8, FALSE), perc_85, perc_75 + (perc_90 - perc_75) * (2/3), converted_stat, '2K_Ratings'!L220, IF(bbgm_stat &gt;= perc_95, converted_stat * 3, IF(bbgm_stat &gt;= perc_90, converted_stat * 2, IF(bbgm_stat &gt;= perc_85, converted_stat * 1.5, converted_stat)))))</f>
        <v/>
      </c>
      <c r="M220" s="30" t="str">
        <f t="array" ref="M220">IF($A220="", "", LET(bbgm_stat, INDEX(Players!$A219:$P219, MATCH(M$2, Players!$A$1:$P$1, 0)), perc_75, VLOOKUP(M$2, Percentiles!$A$45:$I$59, 6, FALSE), perc_90, VLOOKUP(M$2, Percentiles!$A$45:$I$59, 7, FALSE), perc_95, VLOOKUP(M$2, Percentiles!$A$45:$I$59, 8, FALSE), perc_85, perc_75 + (perc_90 - perc_75) * (2/3), converted_stat, '2K_Ratings'!M220, IF(bbgm_stat &gt;= perc_95, converted_stat * 3, IF(bbgm_stat &gt;= perc_90, converted_stat * 2, IF(bbgm_stat &gt;= perc_85, converted_stat * 1.5, converted_stat)))))</f>
        <v/>
      </c>
      <c r="N220" s="30" t="str">
        <f t="array" ref="N220">IF($A220="", "", LET(bbgm_stat, INDEX(Players!$A219:$P219, MATCH(N$2, Players!$A$1:$P$1, 0)), perc_75, VLOOKUP(N$2, Percentiles!$A$45:$I$59, 6, FALSE), perc_90, VLOOKUP(N$2, Percentiles!$A$45:$I$59, 7, FALSE), perc_95, VLOOKUP(N$2, Percentiles!$A$45:$I$59, 8, FALSE), perc_85, perc_75 + (perc_90 - perc_75) * (2/3), converted_stat, '2K_Ratings'!N220, IF(bbgm_stat &gt;= perc_95, converted_stat * 3, IF(bbgm_stat &gt;= perc_90, converted_stat * 2, IF(bbgm_stat &gt;= perc_85, converted_stat * 1.5, converted_stat)))))</f>
        <v/>
      </c>
      <c r="O220" s="30" t="str">
        <f t="array" ref="O220">IF($A220="", "", LET(bbgm_stat, INDEX(Players!$A219:$P219, MATCH(O$2, Players!$A$1:$P$1, 0)), perc_75, VLOOKUP(O$2, Percentiles!$A$45:$I$59, 6, FALSE), perc_90, VLOOKUP(O$2, Percentiles!$A$45:$I$59, 7, FALSE), perc_95, VLOOKUP(O$2, Percentiles!$A$45:$I$59, 8, FALSE), perc_85, perc_75 + (perc_90 - perc_75) * (2/3), converted_stat, '2K_Ratings'!O220, IF(bbgm_stat &gt;= perc_95, converted_stat * 3, IF(bbgm_stat &gt;= perc_90, converted_stat * 2, IF(bbgm_stat &gt;= perc_85, converted_stat * 1.5, converted_stat)))))</f>
        <v/>
      </c>
      <c r="P220" s="30" t="str">
        <f t="array" ref="P220">IF($A220="", "", LET(bbgm_stat, INDEX(Players!$A219:$P219, MATCH(P$2, Players!$A$1:$P$1, 0)), perc_75, VLOOKUP(P$2, Percentiles!$A$45:$I$59, 6, FALSE), perc_90, VLOOKUP(P$2, Percentiles!$A$45:$I$59, 7, FALSE), perc_95, VLOOKUP(P$2, Percentiles!$A$45:$I$59, 8, FALSE), perc_85, perc_75 + (perc_90 - perc_75) * (2/3), converted_stat, '2K_Ratings'!P220, IF(bbgm_stat &gt;= perc_95, converted_stat * 3, IF(bbgm_stat &gt;= perc_90, converted_stat * 2, IF(bbgm_stat &gt;= perc_85, converted_stat * 1.5, converted_stat)))))</f>
        <v/>
      </c>
      <c r="Q220" s="30" t="str">
        <f t="array" ref="Q220">IF($A220="", "", LET(bbgm_stat, INDEX(Players!$A219:$P219, MATCH(Q$2, Players!$A$1:$P$1, 0)), perc_75, VLOOKUP(Q$2, Percentiles!$A$45:$I$59, 6, FALSE), perc_90, VLOOKUP(Q$2, Percentiles!$A$45:$I$59, 7, FALSE), perc_95, VLOOKUP(Q$2, Percentiles!$A$45:$I$59, 8, FALSE), perc_85, perc_75 + (perc_90 - perc_75) * (2/3), converted_stat, '2K_Ratings'!Q220, IF(bbgm_stat &gt;= perc_95, converted_stat * 3, IF(bbgm_stat &gt;= perc_90, converted_stat * 2, IF(bbgm_stat &gt;= perc_85, converted_stat * 1.5, converted_stat)))))</f>
        <v/>
      </c>
      <c r="R220" s="30" t="str">
        <f t="array" ref="R220">IF($A220="", "", LET(bbgm_stat, INDEX(Players!$A219:$P219, MATCH(R$2, Players!$A$1:$P$1, 0)), perc_75, VLOOKUP(R$2, Percentiles!$A$45:$I$59, 6, FALSE), perc_90, VLOOKUP(R$2, Percentiles!$A$45:$I$59, 7, FALSE), perc_95, VLOOKUP(R$2, Percentiles!$A$45:$I$59, 8, FALSE), perc_85, perc_75 + (perc_90 - perc_75) * (2/3), converted_stat, '2K_Ratings'!R220, IF(bbgm_stat &gt;= perc_95, converted_stat * 3, IF(bbgm_stat &gt;= perc_90, converted_stat * 2, IF(bbgm_stat &gt;= perc_85, converted_stat * 1.5, converted_stat)))))</f>
        <v/>
      </c>
      <c r="S220" s="30" t="str">
        <f t="array" ref="S220">IF($A220="", "", LET(bbgm_stat, INDEX(Players!$A219:$P219, MATCH(S$2, Players!$A$1:$P$1, 0)), perc_75, VLOOKUP(S$2, Percentiles!$A$45:$I$59, 6, FALSE), perc_90, VLOOKUP(S$2, Percentiles!$A$45:$I$59, 7, FALSE), perc_95, VLOOKUP(S$2, Percentiles!$A$45:$I$59, 8, FALSE), perc_85, perc_75 + (perc_90 - perc_75) * (2/3), converted_stat, '2K_Ratings'!S220, IF(bbgm_stat &gt;= perc_95, converted_stat * 3, IF(bbgm_stat &gt;= perc_90, converted_stat * 2, IF(bbgm_stat &gt;= perc_85, converted_stat * 1.5, converted_stat)))))</f>
        <v/>
      </c>
      <c r="T220" s="30" t="str">
        <f t="array" ref="T220">IF($A220="", "", LET(bbgm_stat, INDEX(Players!$A219:$P219, MATCH(T$2, Players!$A$1:$P$1, 0)), perc_75, VLOOKUP(T$2, Percentiles!$A$45:$I$59, 6, FALSE), perc_90, VLOOKUP(T$2, Percentiles!$A$45:$I$59, 7, FALSE), perc_95, VLOOKUP(T$2, Percentiles!$A$45:$I$59, 8, FALSE), perc_85, perc_75 + (perc_90 - perc_75) * (2/3), converted_stat, '2K_Ratings'!T220, IF(bbgm_stat &gt;= perc_95, converted_stat * 3, IF(bbgm_stat &gt;= perc_90, converted_stat * 2, IF(bbgm_stat &gt;= perc_85, converted_stat * 1.5, converted_stat)))))</f>
        <v/>
      </c>
      <c r="U220" s="30" t="str">
        <f t="array" ref="U220">IF($A220="", "", LET(bbgm_stat, INDEX(Players!$A219:$P219, MATCH(U$2, Players!$A$1:$P$1, 0)), perc_75, VLOOKUP(U$2, Percentiles!$A$45:$I$59, 6, FALSE), perc_90, VLOOKUP(U$2, Percentiles!$A$45:$I$59, 7, FALSE), perc_95, VLOOKUP(U$2, Percentiles!$A$45:$I$59, 8, FALSE), perc_85, perc_75 + (perc_90 - perc_75) * (2/3), converted_stat, '2K_Ratings'!U220, IF(bbgm_stat &gt;= perc_95, converted_stat * 3, IF(bbgm_stat &gt;= perc_90, converted_stat * 2, IF(bbgm_stat &gt;= perc_85, converted_stat * 1.5, converted_stat)))))</f>
        <v/>
      </c>
      <c r="V220" s="30" t="str">
        <f t="array" ref="V220">IF($A220="", "", LET(bbgm_stat, INDEX(Players!$A219:$P219, MATCH(V$2, Players!$A$1:$P$1, 0)), perc_75, VLOOKUP(V$2, Percentiles!$A$45:$I$59, 6, FALSE), perc_90, VLOOKUP(V$2, Percentiles!$A$45:$I$59, 7, FALSE), perc_95, VLOOKUP(V$2, Percentiles!$A$45:$I$59, 8, FALSE), perc_85, perc_75 + (perc_90 - perc_75) * (2/3), converted_stat, '2K_Ratings'!V220, IF(bbgm_stat &gt;= perc_95, converted_stat * 3, IF(bbgm_stat &gt;= perc_90, converted_stat * 2, IF(bbgm_stat &gt;= perc_85, converted_stat * 1.5, converted_stat)))))</f>
        <v/>
      </c>
      <c r="W220" s="30" t="str">
        <f t="array" ref="W220">IF($A220="", "", LET(bbgm_stat, INDEX(Players!$A219:$P219, MATCH(W$2, Players!$A$1:$P$1, 0)), perc_75, VLOOKUP(W$2, Percentiles!$A$45:$I$59, 6, FALSE), perc_90, VLOOKUP(W$2, Percentiles!$A$45:$I$59, 7, FALSE), perc_95, VLOOKUP(W$2, Percentiles!$A$45:$I$59, 8, FALSE), perc_85, perc_75 + (perc_90 - perc_75) * (2/3), converted_stat, '2K_Ratings'!W220, IF(bbgm_stat &gt;= perc_95, converted_stat * 3, IF(bbgm_stat &gt;= perc_90, converted_stat * 2, IF(bbgm_stat &gt;= perc_85, converted_stat * 1.5, converted_stat)))))</f>
        <v/>
      </c>
    </row>
    <row r="221">
      <c r="A221" s="30"/>
      <c r="B221" s="30" t="str">
        <f t="array" ref="B221">IF($A221="", "", LET(bbgm_stat, INDEX(Players!$A220:$P220, MATCH(B$2, Players!$A$1:$P$1, 0)), perc_75, VLOOKUP(B$2, Percentiles!$A$45:$I$59, 6, FALSE), perc_90, VLOOKUP(B$2, Percentiles!$A$45:$I$59, 7, FALSE), perc_95, VLOOKUP(B$2, Percentiles!$A$45:$I$59, 8, FALSE), perc_85, perc_75 + (perc_90 - perc_75) * (2/3), converted_stat, '2K_Ratings'!B221, IF(bbgm_stat &gt;= perc_95, converted_stat * 3, IF(bbgm_stat &gt;= perc_90, converted_stat * 2, IF(bbgm_stat &gt;= perc_85, converted_stat * 1.5, converted_stat)))))</f>
        <v/>
      </c>
      <c r="C221" s="30" t="str">
        <f t="array" ref="C221">IF($A221="", "", LET(bbgm_stat, INDEX(Players!$A220:$P220, MATCH(C$2, Players!$A$1:$P$1, 0)), perc_75, VLOOKUP(C$2, Percentiles!$A$45:$I$59, 6, FALSE), perc_90, VLOOKUP(C$2, Percentiles!$A$45:$I$59, 7, FALSE), perc_95, VLOOKUP(C$2, Percentiles!$A$45:$I$59, 8, FALSE), perc_85, perc_75 + (perc_90 - perc_75) * (2/3), converted_stat, '2K_Ratings'!C221, IF(bbgm_stat &gt;= perc_95, converted_stat * 3, IF(bbgm_stat &gt;= perc_90, converted_stat * 2, IF(bbgm_stat &gt;= perc_85, converted_stat * 1.5, converted_stat)))))</f>
        <v/>
      </c>
      <c r="D221" s="30" t="str">
        <f t="array" ref="D221">IF($A221="", "", LET(bbgm_stat, INDEX(Players!$A220:$P220, MATCH(D$2, Players!$A$1:$P$1, 0)), perc_75, VLOOKUP(D$2, Percentiles!$A$45:$I$59, 6, FALSE), perc_90, VLOOKUP(D$2, Percentiles!$A$45:$I$59, 7, FALSE), perc_95, VLOOKUP(D$2, Percentiles!$A$45:$I$59, 8, FALSE), perc_85, perc_75 + (perc_90 - perc_75) * (2/3), converted_stat, '2K_Ratings'!D221, IF(bbgm_stat &gt;= perc_95, converted_stat * 3, IF(bbgm_stat &gt;= perc_90, converted_stat * 2, IF(bbgm_stat &gt;= perc_85, converted_stat * 1.5, converted_stat)))))</f>
        <v/>
      </c>
      <c r="E221" s="30" t="str">
        <f t="array" ref="E221">IF($A221="", "", LET(bbgm_stat, INDEX(Players!$A220:$P220, MATCH(E$2, Players!$A$1:$P$1, 0)), perc_75, VLOOKUP(E$2, Percentiles!$A$45:$I$59, 6, FALSE), perc_90, VLOOKUP(E$2, Percentiles!$A$45:$I$59, 7, FALSE), perc_95, VLOOKUP(E$2, Percentiles!$A$45:$I$59, 8, FALSE), perc_85, perc_75 + (perc_90 - perc_75) * (2/3), converted_stat, '2K_Ratings'!E221, IF(bbgm_stat &gt;= perc_95, converted_stat * 3, IF(bbgm_stat &gt;= perc_90, converted_stat * 2, IF(bbgm_stat &gt;= perc_85, converted_stat * 1.5, converted_stat)))))</f>
        <v/>
      </c>
      <c r="F221" s="30" t="str">
        <f t="array" ref="F221">IF($A221="", "", LET(bbgm_stat, INDEX(Players!$A220:$P220, MATCH(F$2, Players!$A$1:$P$1, 0)), perc_75, VLOOKUP(F$2, Percentiles!$A$45:$I$59, 6, FALSE), perc_90, VLOOKUP(F$2, Percentiles!$A$45:$I$59, 7, FALSE), perc_95, VLOOKUP(F$2, Percentiles!$A$45:$I$59, 8, FALSE), perc_85, perc_75 + (perc_90 - perc_75) * (2/3), converted_stat, '2K_Ratings'!F221, IF(bbgm_stat &gt;= perc_95, converted_stat * 3, IF(bbgm_stat &gt;= perc_90, converted_stat * 2, IF(bbgm_stat &gt;= perc_85, converted_stat * 1.5, converted_stat)))))</f>
        <v/>
      </c>
      <c r="G221" s="30" t="str">
        <f t="array" ref="G221">IF($A221="", "", LET(bbgm_stat, INDEX(Players!$A220:$P220, MATCH(G$2, Players!$A$1:$P$1, 0)), perc_75, VLOOKUP(G$2, Percentiles!$A$45:$I$59, 6, FALSE), perc_90, VLOOKUP(G$2, Percentiles!$A$45:$I$59, 7, FALSE), perc_95, VLOOKUP(G$2, Percentiles!$A$45:$I$59, 8, FALSE), perc_85, perc_75 + (perc_90 - perc_75) * (2/3), converted_stat, '2K_Ratings'!G221, IF(bbgm_stat &gt;= perc_95, converted_stat * 3, IF(bbgm_stat &gt;= perc_90, converted_stat * 2, IF(bbgm_stat &gt;= perc_85, converted_stat * 1.5, converted_stat)))))</f>
        <v/>
      </c>
      <c r="H221" s="30" t="str">
        <f t="array" ref="H221">IF($A221="", "", LET(bbgm_stat, INDEX(Players!$A220:$P220, MATCH(H$2, Players!$A$1:$P$1, 0)), perc_75, VLOOKUP(H$2, Percentiles!$A$45:$I$59, 6, FALSE), perc_90, VLOOKUP(H$2, Percentiles!$A$45:$I$59, 7, FALSE), perc_95, VLOOKUP(H$2, Percentiles!$A$45:$I$59, 8, FALSE), perc_85, perc_75 + (perc_90 - perc_75) * (2/3), converted_stat, '2K_Ratings'!H221, IF(bbgm_stat &gt;= perc_95, converted_stat * 3, IF(bbgm_stat &gt;= perc_90, converted_stat * 2, IF(bbgm_stat &gt;= perc_85, converted_stat * 1.5, converted_stat)))))</f>
        <v/>
      </c>
      <c r="I221" s="30" t="str">
        <f t="array" ref="I221">IF($A221="", "", LET(bbgm_stat, INDEX(Players!$A220:$P220, MATCH(I$2, Players!$A$1:$P$1, 0)), perc_75, VLOOKUP(I$2, Percentiles!$A$45:$I$59, 6, FALSE), perc_90, VLOOKUP(I$2, Percentiles!$A$45:$I$59, 7, FALSE), perc_95, VLOOKUP(I$2, Percentiles!$A$45:$I$59, 8, FALSE), perc_85, perc_75 + (perc_90 - perc_75) * (2/3), converted_stat, '2K_Ratings'!I221, IF(bbgm_stat &gt;= perc_95, converted_stat * 3, IF(bbgm_stat &gt;= perc_90, converted_stat * 2, IF(bbgm_stat &gt;= perc_85, converted_stat * 1.5, converted_stat)))))</f>
        <v/>
      </c>
      <c r="J221" s="30" t="str">
        <f t="array" ref="J221">IF($A221="", "", LET(bbgm_stat, INDEX(Players!$A220:$P220, MATCH(J$2, Players!$A$1:$P$1, 0)), perc_75, VLOOKUP(J$2, Percentiles!$A$45:$I$59, 6, FALSE), perc_90, VLOOKUP(J$2, Percentiles!$A$45:$I$59, 7, FALSE), perc_95, VLOOKUP(J$2, Percentiles!$A$45:$I$59, 8, FALSE), perc_85, perc_75 + (perc_90 - perc_75) * (2/3), converted_stat, '2K_Ratings'!J221, IF(bbgm_stat &gt;= perc_95, converted_stat * 3, IF(bbgm_stat &gt;= perc_90, converted_stat * 2, IF(bbgm_stat &gt;= perc_85, converted_stat * 1.5, converted_stat)))))</f>
        <v/>
      </c>
      <c r="K221" s="30" t="str">
        <f t="array" ref="K221">IF($A221="", "", LET(bbgm_stat, INDEX(Players!$A220:$P220, MATCH(K$2, Players!$A$1:$P$1, 0)), perc_75, VLOOKUP(K$2, Percentiles!$A$45:$I$59, 6, FALSE), perc_90, VLOOKUP(K$2, Percentiles!$A$45:$I$59, 7, FALSE), perc_95, VLOOKUP(K$2, Percentiles!$A$45:$I$59, 8, FALSE), perc_85, perc_75 + (perc_90 - perc_75) * (2/3), converted_stat, '2K_Ratings'!K221, IF(bbgm_stat &gt;= perc_95, converted_stat * 3, IF(bbgm_stat &gt;= perc_90, converted_stat * 2, IF(bbgm_stat &gt;= perc_85, converted_stat * 1.5, converted_stat)))))</f>
        <v/>
      </c>
      <c r="L221" s="30" t="str">
        <f t="array" ref="L221">IF($A221="", "", LET(bbgm_stat, INDEX(Players!$A220:$P220, MATCH(L$2, Players!$A$1:$P$1, 0)), perc_75, VLOOKUP(L$2, Percentiles!$A$45:$I$59, 6, FALSE), perc_90, VLOOKUP(L$2, Percentiles!$A$45:$I$59, 7, FALSE), perc_95, VLOOKUP(L$2, Percentiles!$A$45:$I$59, 8, FALSE), perc_85, perc_75 + (perc_90 - perc_75) * (2/3), converted_stat, '2K_Ratings'!L221, IF(bbgm_stat &gt;= perc_95, converted_stat * 3, IF(bbgm_stat &gt;= perc_90, converted_stat * 2, IF(bbgm_stat &gt;= perc_85, converted_stat * 1.5, converted_stat)))))</f>
        <v/>
      </c>
      <c r="M221" s="30" t="str">
        <f t="array" ref="M221">IF($A221="", "", LET(bbgm_stat, INDEX(Players!$A220:$P220, MATCH(M$2, Players!$A$1:$P$1, 0)), perc_75, VLOOKUP(M$2, Percentiles!$A$45:$I$59, 6, FALSE), perc_90, VLOOKUP(M$2, Percentiles!$A$45:$I$59, 7, FALSE), perc_95, VLOOKUP(M$2, Percentiles!$A$45:$I$59, 8, FALSE), perc_85, perc_75 + (perc_90 - perc_75) * (2/3), converted_stat, '2K_Ratings'!M221, IF(bbgm_stat &gt;= perc_95, converted_stat * 3, IF(bbgm_stat &gt;= perc_90, converted_stat * 2, IF(bbgm_stat &gt;= perc_85, converted_stat * 1.5, converted_stat)))))</f>
        <v/>
      </c>
      <c r="N221" s="30" t="str">
        <f t="array" ref="N221">IF($A221="", "", LET(bbgm_stat, INDEX(Players!$A220:$P220, MATCH(N$2, Players!$A$1:$P$1, 0)), perc_75, VLOOKUP(N$2, Percentiles!$A$45:$I$59, 6, FALSE), perc_90, VLOOKUP(N$2, Percentiles!$A$45:$I$59, 7, FALSE), perc_95, VLOOKUP(N$2, Percentiles!$A$45:$I$59, 8, FALSE), perc_85, perc_75 + (perc_90 - perc_75) * (2/3), converted_stat, '2K_Ratings'!N221, IF(bbgm_stat &gt;= perc_95, converted_stat * 3, IF(bbgm_stat &gt;= perc_90, converted_stat * 2, IF(bbgm_stat &gt;= perc_85, converted_stat * 1.5, converted_stat)))))</f>
        <v/>
      </c>
      <c r="O221" s="30" t="str">
        <f t="array" ref="O221">IF($A221="", "", LET(bbgm_stat, INDEX(Players!$A220:$P220, MATCH(O$2, Players!$A$1:$P$1, 0)), perc_75, VLOOKUP(O$2, Percentiles!$A$45:$I$59, 6, FALSE), perc_90, VLOOKUP(O$2, Percentiles!$A$45:$I$59, 7, FALSE), perc_95, VLOOKUP(O$2, Percentiles!$A$45:$I$59, 8, FALSE), perc_85, perc_75 + (perc_90 - perc_75) * (2/3), converted_stat, '2K_Ratings'!O221, IF(bbgm_stat &gt;= perc_95, converted_stat * 3, IF(bbgm_stat &gt;= perc_90, converted_stat * 2, IF(bbgm_stat &gt;= perc_85, converted_stat * 1.5, converted_stat)))))</f>
        <v/>
      </c>
      <c r="P221" s="30" t="str">
        <f t="array" ref="P221">IF($A221="", "", LET(bbgm_stat, INDEX(Players!$A220:$P220, MATCH(P$2, Players!$A$1:$P$1, 0)), perc_75, VLOOKUP(P$2, Percentiles!$A$45:$I$59, 6, FALSE), perc_90, VLOOKUP(P$2, Percentiles!$A$45:$I$59, 7, FALSE), perc_95, VLOOKUP(P$2, Percentiles!$A$45:$I$59, 8, FALSE), perc_85, perc_75 + (perc_90 - perc_75) * (2/3), converted_stat, '2K_Ratings'!P221, IF(bbgm_stat &gt;= perc_95, converted_stat * 3, IF(bbgm_stat &gt;= perc_90, converted_stat * 2, IF(bbgm_stat &gt;= perc_85, converted_stat * 1.5, converted_stat)))))</f>
        <v/>
      </c>
      <c r="Q221" s="30" t="str">
        <f t="array" ref="Q221">IF($A221="", "", LET(bbgm_stat, INDEX(Players!$A220:$P220, MATCH(Q$2, Players!$A$1:$P$1, 0)), perc_75, VLOOKUP(Q$2, Percentiles!$A$45:$I$59, 6, FALSE), perc_90, VLOOKUP(Q$2, Percentiles!$A$45:$I$59, 7, FALSE), perc_95, VLOOKUP(Q$2, Percentiles!$A$45:$I$59, 8, FALSE), perc_85, perc_75 + (perc_90 - perc_75) * (2/3), converted_stat, '2K_Ratings'!Q221, IF(bbgm_stat &gt;= perc_95, converted_stat * 3, IF(bbgm_stat &gt;= perc_90, converted_stat * 2, IF(bbgm_stat &gt;= perc_85, converted_stat * 1.5, converted_stat)))))</f>
        <v/>
      </c>
      <c r="R221" s="30" t="str">
        <f t="array" ref="R221">IF($A221="", "", LET(bbgm_stat, INDEX(Players!$A220:$P220, MATCH(R$2, Players!$A$1:$P$1, 0)), perc_75, VLOOKUP(R$2, Percentiles!$A$45:$I$59, 6, FALSE), perc_90, VLOOKUP(R$2, Percentiles!$A$45:$I$59, 7, FALSE), perc_95, VLOOKUP(R$2, Percentiles!$A$45:$I$59, 8, FALSE), perc_85, perc_75 + (perc_90 - perc_75) * (2/3), converted_stat, '2K_Ratings'!R221, IF(bbgm_stat &gt;= perc_95, converted_stat * 3, IF(bbgm_stat &gt;= perc_90, converted_stat * 2, IF(bbgm_stat &gt;= perc_85, converted_stat * 1.5, converted_stat)))))</f>
        <v/>
      </c>
      <c r="S221" s="30" t="str">
        <f t="array" ref="S221">IF($A221="", "", LET(bbgm_stat, INDEX(Players!$A220:$P220, MATCH(S$2, Players!$A$1:$P$1, 0)), perc_75, VLOOKUP(S$2, Percentiles!$A$45:$I$59, 6, FALSE), perc_90, VLOOKUP(S$2, Percentiles!$A$45:$I$59, 7, FALSE), perc_95, VLOOKUP(S$2, Percentiles!$A$45:$I$59, 8, FALSE), perc_85, perc_75 + (perc_90 - perc_75) * (2/3), converted_stat, '2K_Ratings'!S221, IF(bbgm_stat &gt;= perc_95, converted_stat * 3, IF(bbgm_stat &gt;= perc_90, converted_stat * 2, IF(bbgm_stat &gt;= perc_85, converted_stat * 1.5, converted_stat)))))</f>
        <v/>
      </c>
      <c r="T221" s="30" t="str">
        <f t="array" ref="T221">IF($A221="", "", LET(bbgm_stat, INDEX(Players!$A220:$P220, MATCH(T$2, Players!$A$1:$P$1, 0)), perc_75, VLOOKUP(T$2, Percentiles!$A$45:$I$59, 6, FALSE), perc_90, VLOOKUP(T$2, Percentiles!$A$45:$I$59, 7, FALSE), perc_95, VLOOKUP(T$2, Percentiles!$A$45:$I$59, 8, FALSE), perc_85, perc_75 + (perc_90 - perc_75) * (2/3), converted_stat, '2K_Ratings'!T221, IF(bbgm_stat &gt;= perc_95, converted_stat * 3, IF(bbgm_stat &gt;= perc_90, converted_stat * 2, IF(bbgm_stat &gt;= perc_85, converted_stat * 1.5, converted_stat)))))</f>
        <v/>
      </c>
      <c r="U221" s="30" t="str">
        <f t="array" ref="U221">IF($A221="", "", LET(bbgm_stat, INDEX(Players!$A220:$P220, MATCH(U$2, Players!$A$1:$P$1, 0)), perc_75, VLOOKUP(U$2, Percentiles!$A$45:$I$59, 6, FALSE), perc_90, VLOOKUP(U$2, Percentiles!$A$45:$I$59, 7, FALSE), perc_95, VLOOKUP(U$2, Percentiles!$A$45:$I$59, 8, FALSE), perc_85, perc_75 + (perc_90 - perc_75) * (2/3), converted_stat, '2K_Ratings'!U221, IF(bbgm_stat &gt;= perc_95, converted_stat * 3, IF(bbgm_stat &gt;= perc_90, converted_stat * 2, IF(bbgm_stat &gt;= perc_85, converted_stat * 1.5, converted_stat)))))</f>
        <v/>
      </c>
      <c r="V221" s="30" t="str">
        <f t="array" ref="V221">IF($A221="", "", LET(bbgm_stat, INDEX(Players!$A220:$P220, MATCH(V$2, Players!$A$1:$P$1, 0)), perc_75, VLOOKUP(V$2, Percentiles!$A$45:$I$59, 6, FALSE), perc_90, VLOOKUP(V$2, Percentiles!$A$45:$I$59, 7, FALSE), perc_95, VLOOKUP(V$2, Percentiles!$A$45:$I$59, 8, FALSE), perc_85, perc_75 + (perc_90 - perc_75) * (2/3), converted_stat, '2K_Ratings'!V221, IF(bbgm_stat &gt;= perc_95, converted_stat * 3, IF(bbgm_stat &gt;= perc_90, converted_stat * 2, IF(bbgm_stat &gt;= perc_85, converted_stat * 1.5, converted_stat)))))</f>
        <v/>
      </c>
      <c r="W221" s="30" t="str">
        <f t="array" ref="W221">IF($A221="", "", LET(bbgm_stat, INDEX(Players!$A220:$P220, MATCH(W$2, Players!$A$1:$P$1, 0)), perc_75, VLOOKUP(W$2, Percentiles!$A$45:$I$59, 6, FALSE), perc_90, VLOOKUP(W$2, Percentiles!$A$45:$I$59, 7, FALSE), perc_95, VLOOKUP(W$2, Percentiles!$A$45:$I$59, 8, FALSE), perc_85, perc_75 + (perc_90 - perc_75) * (2/3), converted_stat, '2K_Ratings'!W221, IF(bbgm_stat &gt;= perc_95, converted_stat * 3, IF(bbgm_stat &gt;= perc_90, converted_stat * 2, IF(bbgm_stat &gt;= perc_85, converted_stat * 1.5, converted_stat)))))</f>
        <v/>
      </c>
    </row>
    <row r="222">
      <c r="A222" s="30"/>
      <c r="B222" s="30" t="str">
        <f t="array" ref="B222">IF($A222="", "", LET(bbgm_stat, INDEX(Players!$A221:$P221, MATCH(B$2, Players!$A$1:$P$1, 0)), perc_75, VLOOKUP(B$2, Percentiles!$A$45:$I$59, 6, FALSE), perc_90, VLOOKUP(B$2, Percentiles!$A$45:$I$59, 7, FALSE), perc_95, VLOOKUP(B$2, Percentiles!$A$45:$I$59, 8, FALSE), perc_85, perc_75 + (perc_90 - perc_75) * (2/3), converted_stat, '2K_Ratings'!B222, IF(bbgm_stat &gt;= perc_95, converted_stat * 3, IF(bbgm_stat &gt;= perc_90, converted_stat * 2, IF(bbgm_stat &gt;= perc_85, converted_stat * 1.5, converted_stat)))))</f>
        <v/>
      </c>
      <c r="C222" s="30" t="str">
        <f t="array" ref="C222">IF($A222="", "", LET(bbgm_stat, INDEX(Players!$A221:$P221, MATCH(C$2, Players!$A$1:$P$1, 0)), perc_75, VLOOKUP(C$2, Percentiles!$A$45:$I$59, 6, FALSE), perc_90, VLOOKUP(C$2, Percentiles!$A$45:$I$59, 7, FALSE), perc_95, VLOOKUP(C$2, Percentiles!$A$45:$I$59, 8, FALSE), perc_85, perc_75 + (perc_90 - perc_75) * (2/3), converted_stat, '2K_Ratings'!C222, IF(bbgm_stat &gt;= perc_95, converted_stat * 3, IF(bbgm_stat &gt;= perc_90, converted_stat * 2, IF(bbgm_stat &gt;= perc_85, converted_stat * 1.5, converted_stat)))))</f>
        <v/>
      </c>
      <c r="D222" s="30" t="str">
        <f t="array" ref="D222">IF($A222="", "", LET(bbgm_stat, INDEX(Players!$A221:$P221, MATCH(D$2, Players!$A$1:$P$1, 0)), perc_75, VLOOKUP(D$2, Percentiles!$A$45:$I$59, 6, FALSE), perc_90, VLOOKUP(D$2, Percentiles!$A$45:$I$59, 7, FALSE), perc_95, VLOOKUP(D$2, Percentiles!$A$45:$I$59, 8, FALSE), perc_85, perc_75 + (perc_90 - perc_75) * (2/3), converted_stat, '2K_Ratings'!D222, IF(bbgm_stat &gt;= perc_95, converted_stat * 3, IF(bbgm_stat &gt;= perc_90, converted_stat * 2, IF(bbgm_stat &gt;= perc_85, converted_stat * 1.5, converted_stat)))))</f>
        <v/>
      </c>
      <c r="E222" s="30" t="str">
        <f t="array" ref="E222">IF($A222="", "", LET(bbgm_stat, INDEX(Players!$A221:$P221, MATCH(E$2, Players!$A$1:$P$1, 0)), perc_75, VLOOKUP(E$2, Percentiles!$A$45:$I$59, 6, FALSE), perc_90, VLOOKUP(E$2, Percentiles!$A$45:$I$59, 7, FALSE), perc_95, VLOOKUP(E$2, Percentiles!$A$45:$I$59, 8, FALSE), perc_85, perc_75 + (perc_90 - perc_75) * (2/3), converted_stat, '2K_Ratings'!E222, IF(bbgm_stat &gt;= perc_95, converted_stat * 3, IF(bbgm_stat &gt;= perc_90, converted_stat * 2, IF(bbgm_stat &gt;= perc_85, converted_stat * 1.5, converted_stat)))))</f>
        <v/>
      </c>
      <c r="F222" s="30" t="str">
        <f t="array" ref="F222">IF($A222="", "", LET(bbgm_stat, INDEX(Players!$A221:$P221, MATCH(F$2, Players!$A$1:$P$1, 0)), perc_75, VLOOKUP(F$2, Percentiles!$A$45:$I$59, 6, FALSE), perc_90, VLOOKUP(F$2, Percentiles!$A$45:$I$59, 7, FALSE), perc_95, VLOOKUP(F$2, Percentiles!$A$45:$I$59, 8, FALSE), perc_85, perc_75 + (perc_90 - perc_75) * (2/3), converted_stat, '2K_Ratings'!F222, IF(bbgm_stat &gt;= perc_95, converted_stat * 3, IF(bbgm_stat &gt;= perc_90, converted_stat * 2, IF(bbgm_stat &gt;= perc_85, converted_stat * 1.5, converted_stat)))))</f>
        <v/>
      </c>
      <c r="G222" s="30" t="str">
        <f t="array" ref="G222">IF($A222="", "", LET(bbgm_stat, INDEX(Players!$A221:$P221, MATCH(G$2, Players!$A$1:$P$1, 0)), perc_75, VLOOKUP(G$2, Percentiles!$A$45:$I$59, 6, FALSE), perc_90, VLOOKUP(G$2, Percentiles!$A$45:$I$59, 7, FALSE), perc_95, VLOOKUP(G$2, Percentiles!$A$45:$I$59, 8, FALSE), perc_85, perc_75 + (perc_90 - perc_75) * (2/3), converted_stat, '2K_Ratings'!G222, IF(bbgm_stat &gt;= perc_95, converted_stat * 3, IF(bbgm_stat &gt;= perc_90, converted_stat * 2, IF(bbgm_stat &gt;= perc_85, converted_stat * 1.5, converted_stat)))))</f>
        <v/>
      </c>
      <c r="H222" s="30" t="str">
        <f t="array" ref="H222">IF($A222="", "", LET(bbgm_stat, INDEX(Players!$A221:$P221, MATCH(H$2, Players!$A$1:$P$1, 0)), perc_75, VLOOKUP(H$2, Percentiles!$A$45:$I$59, 6, FALSE), perc_90, VLOOKUP(H$2, Percentiles!$A$45:$I$59, 7, FALSE), perc_95, VLOOKUP(H$2, Percentiles!$A$45:$I$59, 8, FALSE), perc_85, perc_75 + (perc_90 - perc_75) * (2/3), converted_stat, '2K_Ratings'!H222, IF(bbgm_stat &gt;= perc_95, converted_stat * 3, IF(bbgm_stat &gt;= perc_90, converted_stat * 2, IF(bbgm_stat &gt;= perc_85, converted_stat * 1.5, converted_stat)))))</f>
        <v/>
      </c>
      <c r="I222" s="30" t="str">
        <f t="array" ref="I222">IF($A222="", "", LET(bbgm_stat, INDEX(Players!$A221:$P221, MATCH(I$2, Players!$A$1:$P$1, 0)), perc_75, VLOOKUP(I$2, Percentiles!$A$45:$I$59, 6, FALSE), perc_90, VLOOKUP(I$2, Percentiles!$A$45:$I$59, 7, FALSE), perc_95, VLOOKUP(I$2, Percentiles!$A$45:$I$59, 8, FALSE), perc_85, perc_75 + (perc_90 - perc_75) * (2/3), converted_stat, '2K_Ratings'!I222, IF(bbgm_stat &gt;= perc_95, converted_stat * 3, IF(bbgm_stat &gt;= perc_90, converted_stat * 2, IF(bbgm_stat &gt;= perc_85, converted_stat * 1.5, converted_stat)))))</f>
        <v/>
      </c>
      <c r="J222" s="30" t="str">
        <f t="array" ref="J222">IF($A222="", "", LET(bbgm_stat, INDEX(Players!$A221:$P221, MATCH(J$2, Players!$A$1:$P$1, 0)), perc_75, VLOOKUP(J$2, Percentiles!$A$45:$I$59, 6, FALSE), perc_90, VLOOKUP(J$2, Percentiles!$A$45:$I$59, 7, FALSE), perc_95, VLOOKUP(J$2, Percentiles!$A$45:$I$59, 8, FALSE), perc_85, perc_75 + (perc_90 - perc_75) * (2/3), converted_stat, '2K_Ratings'!J222, IF(bbgm_stat &gt;= perc_95, converted_stat * 3, IF(bbgm_stat &gt;= perc_90, converted_stat * 2, IF(bbgm_stat &gt;= perc_85, converted_stat * 1.5, converted_stat)))))</f>
        <v/>
      </c>
      <c r="K222" s="30" t="str">
        <f t="array" ref="K222">IF($A222="", "", LET(bbgm_stat, INDEX(Players!$A221:$P221, MATCH(K$2, Players!$A$1:$P$1, 0)), perc_75, VLOOKUP(K$2, Percentiles!$A$45:$I$59, 6, FALSE), perc_90, VLOOKUP(K$2, Percentiles!$A$45:$I$59, 7, FALSE), perc_95, VLOOKUP(K$2, Percentiles!$A$45:$I$59, 8, FALSE), perc_85, perc_75 + (perc_90 - perc_75) * (2/3), converted_stat, '2K_Ratings'!K222, IF(bbgm_stat &gt;= perc_95, converted_stat * 3, IF(bbgm_stat &gt;= perc_90, converted_stat * 2, IF(bbgm_stat &gt;= perc_85, converted_stat * 1.5, converted_stat)))))</f>
        <v/>
      </c>
      <c r="L222" s="30" t="str">
        <f t="array" ref="L222">IF($A222="", "", LET(bbgm_stat, INDEX(Players!$A221:$P221, MATCH(L$2, Players!$A$1:$P$1, 0)), perc_75, VLOOKUP(L$2, Percentiles!$A$45:$I$59, 6, FALSE), perc_90, VLOOKUP(L$2, Percentiles!$A$45:$I$59, 7, FALSE), perc_95, VLOOKUP(L$2, Percentiles!$A$45:$I$59, 8, FALSE), perc_85, perc_75 + (perc_90 - perc_75) * (2/3), converted_stat, '2K_Ratings'!L222, IF(bbgm_stat &gt;= perc_95, converted_stat * 3, IF(bbgm_stat &gt;= perc_90, converted_stat * 2, IF(bbgm_stat &gt;= perc_85, converted_stat * 1.5, converted_stat)))))</f>
        <v/>
      </c>
      <c r="M222" s="30" t="str">
        <f t="array" ref="M222">IF($A222="", "", LET(bbgm_stat, INDEX(Players!$A221:$P221, MATCH(M$2, Players!$A$1:$P$1, 0)), perc_75, VLOOKUP(M$2, Percentiles!$A$45:$I$59, 6, FALSE), perc_90, VLOOKUP(M$2, Percentiles!$A$45:$I$59, 7, FALSE), perc_95, VLOOKUP(M$2, Percentiles!$A$45:$I$59, 8, FALSE), perc_85, perc_75 + (perc_90 - perc_75) * (2/3), converted_stat, '2K_Ratings'!M222, IF(bbgm_stat &gt;= perc_95, converted_stat * 3, IF(bbgm_stat &gt;= perc_90, converted_stat * 2, IF(bbgm_stat &gt;= perc_85, converted_stat * 1.5, converted_stat)))))</f>
        <v/>
      </c>
      <c r="N222" s="30" t="str">
        <f t="array" ref="N222">IF($A222="", "", LET(bbgm_stat, INDEX(Players!$A221:$P221, MATCH(N$2, Players!$A$1:$P$1, 0)), perc_75, VLOOKUP(N$2, Percentiles!$A$45:$I$59, 6, FALSE), perc_90, VLOOKUP(N$2, Percentiles!$A$45:$I$59, 7, FALSE), perc_95, VLOOKUP(N$2, Percentiles!$A$45:$I$59, 8, FALSE), perc_85, perc_75 + (perc_90 - perc_75) * (2/3), converted_stat, '2K_Ratings'!N222, IF(bbgm_stat &gt;= perc_95, converted_stat * 3, IF(bbgm_stat &gt;= perc_90, converted_stat * 2, IF(bbgm_stat &gt;= perc_85, converted_stat * 1.5, converted_stat)))))</f>
        <v/>
      </c>
      <c r="O222" s="30" t="str">
        <f t="array" ref="O222">IF($A222="", "", LET(bbgm_stat, INDEX(Players!$A221:$P221, MATCH(O$2, Players!$A$1:$P$1, 0)), perc_75, VLOOKUP(O$2, Percentiles!$A$45:$I$59, 6, FALSE), perc_90, VLOOKUP(O$2, Percentiles!$A$45:$I$59, 7, FALSE), perc_95, VLOOKUP(O$2, Percentiles!$A$45:$I$59, 8, FALSE), perc_85, perc_75 + (perc_90 - perc_75) * (2/3), converted_stat, '2K_Ratings'!O222, IF(bbgm_stat &gt;= perc_95, converted_stat * 3, IF(bbgm_stat &gt;= perc_90, converted_stat * 2, IF(bbgm_stat &gt;= perc_85, converted_stat * 1.5, converted_stat)))))</f>
        <v/>
      </c>
      <c r="P222" s="30" t="str">
        <f t="array" ref="P222">IF($A222="", "", LET(bbgm_stat, INDEX(Players!$A221:$P221, MATCH(P$2, Players!$A$1:$P$1, 0)), perc_75, VLOOKUP(P$2, Percentiles!$A$45:$I$59, 6, FALSE), perc_90, VLOOKUP(P$2, Percentiles!$A$45:$I$59, 7, FALSE), perc_95, VLOOKUP(P$2, Percentiles!$A$45:$I$59, 8, FALSE), perc_85, perc_75 + (perc_90 - perc_75) * (2/3), converted_stat, '2K_Ratings'!P222, IF(bbgm_stat &gt;= perc_95, converted_stat * 3, IF(bbgm_stat &gt;= perc_90, converted_stat * 2, IF(bbgm_stat &gt;= perc_85, converted_stat * 1.5, converted_stat)))))</f>
        <v/>
      </c>
      <c r="Q222" s="30" t="str">
        <f t="array" ref="Q222">IF($A222="", "", LET(bbgm_stat, INDEX(Players!$A221:$P221, MATCH(Q$2, Players!$A$1:$P$1, 0)), perc_75, VLOOKUP(Q$2, Percentiles!$A$45:$I$59, 6, FALSE), perc_90, VLOOKUP(Q$2, Percentiles!$A$45:$I$59, 7, FALSE), perc_95, VLOOKUP(Q$2, Percentiles!$A$45:$I$59, 8, FALSE), perc_85, perc_75 + (perc_90 - perc_75) * (2/3), converted_stat, '2K_Ratings'!Q222, IF(bbgm_stat &gt;= perc_95, converted_stat * 3, IF(bbgm_stat &gt;= perc_90, converted_stat * 2, IF(bbgm_stat &gt;= perc_85, converted_stat * 1.5, converted_stat)))))</f>
        <v/>
      </c>
      <c r="R222" s="30" t="str">
        <f t="array" ref="R222">IF($A222="", "", LET(bbgm_stat, INDEX(Players!$A221:$P221, MATCH(R$2, Players!$A$1:$P$1, 0)), perc_75, VLOOKUP(R$2, Percentiles!$A$45:$I$59, 6, FALSE), perc_90, VLOOKUP(R$2, Percentiles!$A$45:$I$59, 7, FALSE), perc_95, VLOOKUP(R$2, Percentiles!$A$45:$I$59, 8, FALSE), perc_85, perc_75 + (perc_90 - perc_75) * (2/3), converted_stat, '2K_Ratings'!R222, IF(bbgm_stat &gt;= perc_95, converted_stat * 3, IF(bbgm_stat &gt;= perc_90, converted_stat * 2, IF(bbgm_stat &gt;= perc_85, converted_stat * 1.5, converted_stat)))))</f>
        <v/>
      </c>
      <c r="S222" s="30" t="str">
        <f t="array" ref="S222">IF($A222="", "", LET(bbgm_stat, INDEX(Players!$A221:$P221, MATCH(S$2, Players!$A$1:$P$1, 0)), perc_75, VLOOKUP(S$2, Percentiles!$A$45:$I$59, 6, FALSE), perc_90, VLOOKUP(S$2, Percentiles!$A$45:$I$59, 7, FALSE), perc_95, VLOOKUP(S$2, Percentiles!$A$45:$I$59, 8, FALSE), perc_85, perc_75 + (perc_90 - perc_75) * (2/3), converted_stat, '2K_Ratings'!S222, IF(bbgm_stat &gt;= perc_95, converted_stat * 3, IF(bbgm_stat &gt;= perc_90, converted_stat * 2, IF(bbgm_stat &gt;= perc_85, converted_stat * 1.5, converted_stat)))))</f>
        <v/>
      </c>
      <c r="T222" s="30" t="str">
        <f t="array" ref="T222">IF($A222="", "", LET(bbgm_stat, INDEX(Players!$A221:$P221, MATCH(T$2, Players!$A$1:$P$1, 0)), perc_75, VLOOKUP(T$2, Percentiles!$A$45:$I$59, 6, FALSE), perc_90, VLOOKUP(T$2, Percentiles!$A$45:$I$59, 7, FALSE), perc_95, VLOOKUP(T$2, Percentiles!$A$45:$I$59, 8, FALSE), perc_85, perc_75 + (perc_90 - perc_75) * (2/3), converted_stat, '2K_Ratings'!T222, IF(bbgm_stat &gt;= perc_95, converted_stat * 3, IF(bbgm_stat &gt;= perc_90, converted_stat * 2, IF(bbgm_stat &gt;= perc_85, converted_stat * 1.5, converted_stat)))))</f>
        <v/>
      </c>
      <c r="U222" s="30" t="str">
        <f t="array" ref="U222">IF($A222="", "", LET(bbgm_stat, INDEX(Players!$A221:$P221, MATCH(U$2, Players!$A$1:$P$1, 0)), perc_75, VLOOKUP(U$2, Percentiles!$A$45:$I$59, 6, FALSE), perc_90, VLOOKUP(U$2, Percentiles!$A$45:$I$59, 7, FALSE), perc_95, VLOOKUP(U$2, Percentiles!$A$45:$I$59, 8, FALSE), perc_85, perc_75 + (perc_90 - perc_75) * (2/3), converted_stat, '2K_Ratings'!U222, IF(bbgm_stat &gt;= perc_95, converted_stat * 3, IF(bbgm_stat &gt;= perc_90, converted_stat * 2, IF(bbgm_stat &gt;= perc_85, converted_stat * 1.5, converted_stat)))))</f>
        <v/>
      </c>
      <c r="V222" s="30" t="str">
        <f t="array" ref="V222">IF($A222="", "", LET(bbgm_stat, INDEX(Players!$A221:$P221, MATCH(V$2, Players!$A$1:$P$1, 0)), perc_75, VLOOKUP(V$2, Percentiles!$A$45:$I$59, 6, FALSE), perc_90, VLOOKUP(V$2, Percentiles!$A$45:$I$59, 7, FALSE), perc_95, VLOOKUP(V$2, Percentiles!$A$45:$I$59, 8, FALSE), perc_85, perc_75 + (perc_90 - perc_75) * (2/3), converted_stat, '2K_Ratings'!V222, IF(bbgm_stat &gt;= perc_95, converted_stat * 3, IF(bbgm_stat &gt;= perc_90, converted_stat * 2, IF(bbgm_stat &gt;= perc_85, converted_stat * 1.5, converted_stat)))))</f>
        <v/>
      </c>
      <c r="W222" s="30" t="str">
        <f t="array" ref="W222">IF($A222="", "", LET(bbgm_stat, INDEX(Players!$A221:$P221, MATCH(W$2, Players!$A$1:$P$1, 0)), perc_75, VLOOKUP(W$2, Percentiles!$A$45:$I$59, 6, FALSE), perc_90, VLOOKUP(W$2, Percentiles!$A$45:$I$59, 7, FALSE), perc_95, VLOOKUP(W$2, Percentiles!$A$45:$I$59, 8, FALSE), perc_85, perc_75 + (perc_90 - perc_75) * (2/3), converted_stat, '2K_Ratings'!W222, IF(bbgm_stat &gt;= perc_95, converted_stat * 3, IF(bbgm_stat &gt;= perc_90, converted_stat * 2, IF(bbgm_stat &gt;= perc_85, converted_stat * 1.5, converted_stat)))))</f>
        <v/>
      </c>
    </row>
    <row r="223">
      <c r="A223" s="30"/>
      <c r="B223" s="30" t="str">
        <f t="array" ref="B223">IF($A223="", "", LET(bbgm_stat, INDEX(Players!$A222:$P222, MATCH(B$2, Players!$A$1:$P$1, 0)), perc_75, VLOOKUP(B$2, Percentiles!$A$45:$I$59, 6, FALSE), perc_90, VLOOKUP(B$2, Percentiles!$A$45:$I$59, 7, FALSE), perc_95, VLOOKUP(B$2, Percentiles!$A$45:$I$59, 8, FALSE), perc_85, perc_75 + (perc_90 - perc_75) * (2/3), converted_stat, '2K_Ratings'!B223, IF(bbgm_stat &gt;= perc_95, converted_stat * 3, IF(bbgm_stat &gt;= perc_90, converted_stat * 2, IF(bbgm_stat &gt;= perc_85, converted_stat * 1.5, converted_stat)))))</f>
        <v/>
      </c>
      <c r="C223" s="30" t="str">
        <f t="array" ref="C223">IF($A223="", "", LET(bbgm_stat, INDEX(Players!$A222:$P222, MATCH(C$2, Players!$A$1:$P$1, 0)), perc_75, VLOOKUP(C$2, Percentiles!$A$45:$I$59, 6, FALSE), perc_90, VLOOKUP(C$2, Percentiles!$A$45:$I$59, 7, FALSE), perc_95, VLOOKUP(C$2, Percentiles!$A$45:$I$59, 8, FALSE), perc_85, perc_75 + (perc_90 - perc_75) * (2/3), converted_stat, '2K_Ratings'!C223, IF(bbgm_stat &gt;= perc_95, converted_stat * 3, IF(bbgm_stat &gt;= perc_90, converted_stat * 2, IF(bbgm_stat &gt;= perc_85, converted_stat * 1.5, converted_stat)))))</f>
        <v/>
      </c>
      <c r="D223" s="30" t="str">
        <f t="array" ref="D223">IF($A223="", "", LET(bbgm_stat, INDEX(Players!$A222:$P222, MATCH(D$2, Players!$A$1:$P$1, 0)), perc_75, VLOOKUP(D$2, Percentiles!$A$45:$I$59, 6, FALSE), perc_90, VLOOKUP(D$2, Percentiles!$A$45:$I$59, 7, FALSE), perc_95, VLOOKUP(D$2, Percentiles!$A$45:$I$59, 8, FALSE), perc_85, perc_75 + (perc_90 - perc_75) * (2/3), converted_stat, '2K_Ratings'!D223, IF(bbgm_stat &gt;= perc_95, converted_stat * 3, IF(bbgm_stat &gt;= perc_90, converted_stat * 2, IF(bbgm_stat &gt;= perc_85, converted_stat * 1.5, converted_stat)))))</f>
        <v/>
      </c>
      <c r="E223" s="30" t="str">
        <f t="array" ref="E223">IF($A223="", "", LET(bbgm_stat, INDEX(Players!$A222:$P222, MATCH(E$2, Players!$A$1:$P$1, 0)), perc_75, VLOOKUP(E$2, Percentiles!$A$45:$I$59, 6, FALSE), perc_90, VLOOKUP(E$2, Percentiles!$A$45:$I$59, 7, FALSE), perc_95, VLOOKUP(E$2, Percentiles!$A$45:$I$59, 8, FALSE), perc_85, perc_75 + (perc_90 - perc_75) * (2/3), converted_stat, '2K_Ratings'!E223, IF(bbgm_stat &gt;= perc_95, converted_stat * 3, IF(bbgm_stat &gt;= perc_90, converted_stat * 2, IF(bbgm_stat &gt;= perc_85, converted_stat * 1.5, converted_stat)))))</f>
        <v/>
      </c>
      <c r="F223" s="30" t="str">
        <f t="array" ref="F223">IF($A223="", "", LET(bbgm_stat, INDEX(Players!$A222:$P222, MATCH(F$2, Players!$A$1:$P$1, 0)), perc_75, VLOOKUP(F$2, Percentiles!$A$45:$I$59, 6, FALSE), perc_90, VLOOKUP(F$2, Percentiles!$A$45:$I$59, 7, FALSE), perc_95, VLOOKUP(F$2, Percentiles!$A$45:$I$59, 8, FALSE), perc_85, perc_75 + (perc_90 - perc_75) * (2/3), converted_stat, '2K_Ratings'!F223, IF(bbgm_stat &gt;= perc_95, converted_stat * 3, IF(bbgm_stat &gt;= perc_90, converted_stat * 2, IF(bbgm_stat &gt;= perc_85, converted_stat * 1.5, converted_stat)))))</f>
        <v/>
      </c>
      <c r="G223" s="30" t="str">
        <f t="array" ref="G223">IF($A223="", "", LET(bbgm_stat, INDEX(Players!$A222:$P222, MATCH(G$2, Players!$A$1:$P$1, 0)), perc_75, VLOOKUP(G$2, Percentiles!$A$45:$I$59, 6, FALSE), perc_90, VLOOKUP(G$2, Percentiles!$A$45:$I$59, 7, FALSE), perc_95, VLOOKUP(G$2, Percentiles!$A$45:$I$59, 8, FALSE), perc_85, perc_75 + (perc_90 - perc_75) * (2/3), converted_stat, '2K_Ratings'!G223, IF(bbgm_stat &gt;= perc_95, converted_stat * 3, IF(bbgm_stat &gt;= perc_90, converted_stat * 2, IF(bbgm_stat &gt;= perc_85, converted_stat * 1.5, converted_stat)))))</f>
        <v/>
      </c>
      <c r="H223" s="30" t="str">
        <f t="array" ref="H223">IF($A223="", "", LET(bbgm_stat, INDEX(Players!$A222:$P222, MATCH(H$2, Players!$A$1:$P$1, 0)), perc_75, VLOOKUP(H$2, Percentiles!$A$45:$I$59, 6, FALSE), perc_90, VLOOKUP(H$2, Percentiles!$A$45:$I$59, 7, FALSE), perc_95, VLOOKUP(H$2, Percentiles!$A$45:$I$59, 8, FALSE), perc_85, perc_75 + (perc_90 - perc_75) * (2/3), converted_stat, '2K_Ratings'!H223, IF(bbgm_stat &gt;= perc_95, converted_stat * 3, IF(bbgm_stat &gt;= perc_90, converted_stat * 2, IF(bbgm_stat &gt;= perc_85, converted_stat * 1.5, converted_stat)))))</f>
        <v/>
      </c>
      <c r="I223" s="30" t="str">
        <f t="array" ref="I223">IF($A223="", "", LET(bbgm_stat, INDEX(Players!$A222:$P222, MATCH(I$2, Players!$A$1:$P$1, 0)), perc_75, VLOOKUP(I$2, Percentiles!$A$45:$I$59, 6, FALSE), perc_90, VLOOKUP(I$2, Percentiles!$A$45:$I$59, 7, FALSE), perc_95, VLOOKUP(I$2, Percentiles!$A$45:$I$59, 8, FALSE), perc_85, perc_75 + (perc_90 - perc_75) * (2/3), converted_stat, '2K_Ratings'!I223, IF(bbgm_stat &gt;= perc_95, converted_stat * 3, IF(bbgm_stat &gt;= perc_90, converted_stat * 2, IF(bbgm_stat &gt;= perc_85, converted_stat * 1.5, converted_stat)))))</f>
        <v/>
      </c>
      <c r="J223" s="30" t="str">
        <f t="array" ref="J223">IF($A223="", "", LET(bbgm_stat, INDEX(Players!$A222:$P222, MATCH(J$2, Players!$A$1:$P$1, 0)), perc_75, VLOOKUP(J$2, Percentiles!$A$45:$I$59, 6, FALSE), perc_90, VLOOKUP(J$2, Percentiles!$A$45:$I$59, 7, FALSE), perc_95, VLOOKUP(J$2, Percentiles!$A$45:$I$59, 8, FALSE), perc_85, perc_75 + (perc_90 - perc_75) * (2/3), converted_stat, '2K_Ratings'!J223, IF(bbgm_stat &gt;= perc_95, converted_stat * 3, IF(bbgm_stat &gt;= perc_90, converted_stat * 2, IF(bbgm_stat &gt;= perc_85, converted_stat * 1.5, converted_stat)))))</f>
        <v/>
      </c>
      <c r="K223" s="30" t="str">
        <f t="array" ref="K223">IF($A223="", "", LET(bbgm_stat, INDEX(Players!$A222:$P222, MATCH(K$2, Players!$A$1:$P$1, 0)), perc_75, VLOOKUP(K$2, Percentiles!$A$45:$I$59, 6, FALSE), perc_90, VLOOKUP(K$2, Percentiles!$A$45:$I$59, 7, FALSE), perc_95, VLOOKUP(K$2, Percentiles!$A$45:$I$59, 8, FALSE), perc_85, perc_75 + (perc_90 - perc_75) * (2/3), converted_stat, '2K_Ratings'!K223, IF(bbgm_stat &gt;= perc_95, converted_stat * 3, IF(bbgm_stat &gt;= perc_90, converted_stat * 2, IF(bbgm_stat &gt;= perc_85, converted_stat * 1.5, converted_stat)))))</f>
        <v/>
      </c>
      <c r="L223" s="30" t="str">
        <f t="array" ref="L223">IF($A223="", "", LET(bbgm_stat, INDEX(Players!$A222:$P222, MATCH(L$2, Players!$A$1:$P$1, 0)), perc_75, VLOOKUP(L$2, Percentiles!$A$45:$I$59, 6, FALSE), perc_90, VLOOKUP(L$2, Percentiles!$A$45:$I$59, 7, FALSE), perc_95, VLOOKUP(L$2, Percentiles!$A$45:$I$59, 8, FALSE), perc_85, perc_75 + (perc_90 - perc_75) * (2/3), converted_stat, '2K_Ratings'!L223, IF(bbgm_stat &gt;= perc_95, converted_stat * 3, IF(bbgm_stat &gt;= perc_90, converted_stat * 2, IF(bbgm_stat &gt;= perc_85, converted_stat * 1.5, converted_stat)))))</f>
        <v/>
      </c>
      <c r="M223" s="30" t="str">
        <f t="array" ref="M223">IF($A223="", "", LET(bbgm_stat, INDEX(Players!$A222:$P222, MATCH(M$2, Players!$A$1:$P$1, 0)), perc_75, VLOOKUP(M$2, Percentiles!$A$45:$I$59, 6, FALSE), perc_90, VLOOKUP(M$2, Percentiles!$A$45:$I$59, 7, FALSE), perc_95, VLOOKUP(M$2, Percentiles!$A$45:$I$59, 8, FALSE), perc_85, perc_75 + (perc_90 - perc_75) * (2/3), converted_stat, '2K_Ratings'!M223, IF(bbgm_stat &gt;= perc_95, converted_stat * 3, IF(bbgm_stat &gt;= perc_90, converted_stat * 2, IF(bbgm_stat &gt;= perc_85, converted_stat * 1.5, converted_stat)))))</f>
        <v/>
      </c>
      <c r="N223" s="30" t="str">
        <f t="array" ref="N223">IF($A223="", "", LET(bbgm_stat, INDEX(Players!$A222:$P222, MATCH(N$2, Players!$A$1:$P$1, 0)), perc_75, VLOOKUP(N$2, Percentiles!$A$45:$I$59, 6, FALSE), perc_90, VLOOKUP(N$2, Percentiles!$A$45:$I$59, 7, FALSE), perc_95, VLOOKUP(N$2, Percentiles!$A$45:$I$59, 8, FALSE), perc_85, perc_75 + (perc_90 - perc_75) * (2/3), converted_stat, '2K_Ratings'!N223, IF(bbgm_stat &gt;= perc_95, converted_stat * 3, IF(bbgm_stat &gt;= perc_90, converted_stat * 2, IF(bbgm_stat &gt;= perc_85, converted_stat * 1.5, converted_stat)))))</f>
        <v/>
      </c>
      <c r="O223" s="30" t="str">
        <f t="array" ref="O223">IF($A223="", "", LET(bbgm_stat, INDEX(Players!$A222:$P222, MATCH(O$2, Players!$A$1:$P$1, 0)), perc_75, VLOOKUP(O$2, Percentiles!$A$45:$I$59, 6, FALSE), perc_90, VLOOKUP(O$2, Percentiles!$A$45:$I$59, 7, FALSE), perc_95, VLOOKUP(O$2, Percentiles!$A$45:$I$59, 8, FALSE), perc_85, perc_75 + (perc_90 - perc_75) * (2/3), converted_stat, '2K_Ratings'!O223, IF(bbgm_stat &gt;= perc_95, converted_stat * 3, IF(bbgm_stat &gt;= perc_90, converted_stat * 2, IF(bbgm_stat &gt;= perc_85, converted_stat * 1.5, converted_stat)))))</f>
        <v/>
      </c>
      <c r="P223" s="30" t="str">
        <f t="array" ref="P223">IF($A223="", "", LET(bbgm_stat, INDEX(Players!$A222:$P222, MATCH(P$2, Players!$A$1:$P$1, 0)), perc_75, VLOOKUP(P$2, Percentiles!$A$45:$I$59, 6, FALSE), perc_90, VLOOKUP(P$2, Percentiles!$A$45:$I$59, 7, FALSE), perc_95, VLOOKUP(P$2, Percentiles!$A$45:$I$59, 8, FALSE), perc_85, perc_75 + (perc_90 - perc_75) * (2/3), converted_stat, '2K_Ratings'!P223, IF(bbgm_stat &gt;= perc_95, converted_stat * 3, IF(bbgm_stat &gt;= perc_90, converted_stat * 2, IF(bbgm_stat &gt;= perc_85, converted_stat * 1.5, converted_stat)))))</f>
        <v/>
      </c>
      <c r="Q223" s="30" t="str">
        <f t="array" ref="Q223">IF($A223="", "", LET(bbgm_stat, INDEX(Players!$A222:$P222, MATCH(Q$2, Players!$A$1:$P$1, 0)), perc_75, VLOOKUP(Q$2, Percentiles!$A$45:$I$59, 6, FALSE), perc_90, VLOOKUP(Q$2, Percentiles!$A$45:$I$59, 7, FALSE), perc_95, VLOOKUP(Q$2, Percentiles!$A$45:$I$59, 8, FALSE), perc_85, perc_75 + (perc_90 - perc_75) * (2/3), converted_stat, '2K_Ratings'!Q223, IF(bbgm_stat &gt;= perc_95, converted_stat * 3, IF(bbgm_stat &gt;= perc_90, converted_stat * 2, IF(bbgm_stat &gt;= perc_85, converted_stat * 1.5, converted_stat)))))</f>
        <v/>
      </c>
      <c r="R223" s="30" t="str">
        <f t="array" ref="R223">IF($A223="", "", LET(bbgm_stat, INDEX(Players!$A222:$P222, MATCH(R$2, Players!$A$1:$P$1, 0)), perc_75, VLOOKUP(R$2, Percentiles!$A$45:$I$59, 6, FALSE), perc_90, VLOOKUP(R$2, Percentiles!$A$45:$I$59, 7, FALSE), perc_95, VLOOKUP(R$2, Percentiles!$A$45:$I$59, 8, FALSE), perc_85, perc_75 + (perc_90 - perc_75) * (2/3), converted_stat, '2K_Ratings'!R223, IF(bbgm_stat &gt;= perc_95, converted_stat * 3, IF(bbgm_stat &gt;= perc_90, converted_stat * 2, IF(bbgm_stat &gt;= perc_85, converted_stat * 1.5, converted_stat)))))</f>
        <v/>
      </c>
      <c r="S223" s="30" t="str">
        <f t="array" ref="S223">IF($A223="", "", LET(bbgm_stat, INDEX(Players!$A222:$P222, MATCH(S$2, Players!$A$1:$P$1, 0)), perc_75, VLOOKUP(S$2, Percentiles!$A$45:$I$59, 6, FALSE), perc_90, VLOOKUP(S$2, Percentiles!$A$45:$I$59, 7, FALSE), perc_95, VLOOKUP(S$2, Percentiles!$A$45:$I$59, 8, FALSE), perc_85, perc_75 + (perc_90 - perc_75) * (2/3), converted_stat, '2K_Ratings'!S223, IF(bbgm_stat &gt;= perc_95, converted_stat * 3, IF(bbgm_stat &gt;= perc_90, converted_stat * 2, IF(bbgm_stat &gt;= perc_85, converted_stat * 1.5, converted_stat)))))</f>
        <v/>
      </c>
      <c r="T223" s="30" t="str">
        <f t="array" ref="T223">IF($A223="", "", LET(bbgm_stat, INDEX(Players!$A222:$P222, MATCH(T$2, Players!$A$1:$P$1, 0)), perc_75, VLOOKUP(T$2, Percentiles!$A$45:$I$59, 6, FALSE), perc_90, VLOOKUP(T$2, Percentiles!$A$45:$I$59, 7, FALSE), perc_95, VLOOKUP(T$2, Percentiles!$A$45:$I$59, 8, FALSE), perc_85, perc_75 + (perc_90 - perc_75) * (2/3), converted_stat, '2K_Ratings'!T223, IF(bbgm_stat &gt;= perc_95, converted_stat * 3, IF(bbgm_stat &gt;= perc_90, converted_stat * 2, IF(bbgm_stat &gt;= perc_85, converted_stat * 1.5, converted_stat)))))</f>
        <v/>
      </c>
      <c r="U223" s="30" t="str">
        <f t="array" ref="U223">IF($A223="", "", LET(bbgm_stat, INDEX(Players!$A222:$P222, MATCH(U$2, Players!$A$1:$P$1, 0)), perc_75, VLOOKUP(U$2, Percentiles!$A$45:$I$59, 6, FALSE), perc_90, VLOOKUP(U$2, Percentiles!$A$45:$I$59, 7, FALSE), perc_95, VLOOKUP(U$2, Percentiles!$A$45:$I$59, 8, FALSE), perc_85, perc_75 + (perc_90 - perc_75) * (2/3), converted_stat, '2K_Ratings'!U223, IF(bbgm_stat &gt;= perc_95, converted_stat * 3, IF(bbgm_stat &gt;= perc_90, converted_stat * 2, IF(bbgm_stat &gt;= perc_85, converted_stat * 1.5, converted_stat)))))</f>
        <v/>
      </c>
      <c r="V223" s="30" t="str">
        <f t="array" ref="V223">IF($A223="", "", LET(bbgm_stat, INDEX(Players!$A222:$P222, MATCH(V$2, Players!$A$1:$P$1, 0)), perc_75, VLOOKUP(V$2, Percentiles!$A$45:$I$59, 6, FALSE), perc_90, VLOOKUP(V$2, Percentiles!$A$45:$I$59, 7, FALSE), perc_95, VLOOKUP(V$2, Percentiles!$A$45:$I$59, 8, FALSE), perc_85, perc_75 + (perc_90 - perc_75) * (2/3), converted_stat, '2K_Ratings'!V223, IF(bbgm_stat &gt;= perc_95, converted_stat * 3, IF(bbgm_stat &gt;= perc_90, converted_stat * 2, IF(bbgm_stat &gt;= perc_85, converted_stat * 1.5, converted_stat)))))</f>
        <v/>
      </c>
      <c r="W223" s="30" t="str">
        <f t="array" ref="W223">IF($A223="", "", LET(bbgm_stat, INDEX(Players!$A222:$P222, MATCH(W$2, Players!$A$1:$P$1, 0)), perc_75, VLOOKUP(W$2, Percentiles!$A$45:$I$59, 6, FALSE), perc_90, VLOOKUP(W$2, Percentiles!$A$45:$I$59, 7, FALSE), perc_95, VLOOKUP(W$2, Percentiles!$A$45:$I$59, 8, FALSE), perc_85, perc_75 + (perc_90 - perc_75) * (2/3), converted_stat, '2K_Ratings'!W223, IF(bbgm_stat &gt;= perc_95, converted_stat * 3, IF(bbgm_stat &gt;= perc_90, converted_stat * 2, IF(bbgm_stat &gt;= perc_85, converted_stat * 1.5, converted_stat)))))</f>
        <v/>
      </c>
    </row>
    <row r="224">
      <c r="A224" s="30"/>
      <c r="B224" s="30" t="str">
        <f t="array" ref="B224">IF($A224="", "", LET(bbgm_stat, INDEX(Players!$A223:$P223, MATCH(B$2, Players!$A$1:$P$1, 0)), perc_75, VLOOKUP(B$2, Percentiles!$A$45:$I$59, 6, FALSE), perc_90, VLOOKUP(B$2, Percentiles!$A$45:$I$59, 7, FALSE), perc_95, VLOOKUP(B$2, Percentiles!$A$45:$I$59, 8, FALSE), perc_85, perc_75 + (perc_90 - perc_75) * (2/3), converted_stat, '2K_Ratings'!B224, IF(bbgm_stat &gt;= perc_95, converted_stat * 3, IF(bbgm_stat &gt;= perc_90, converted_stat * 2, IF(bbgm_stat &gt;= perc_85, converted_stat * 1.5, converted_stat)))))</f>
        <v/>
      </c>
      <c r="C224" s="30" t="str">
        <f t="array" ref="C224">IF($A224="", "", LET(bbgm_stat, INDEX(Players!$A223:$P223, MATCH(C$2, Players!$A$1:$P$1, 0)), perc_75, VLOOKUP(C$2, Percentiles!$A$45:$I$59, 6, FALSE), perc_90, VLOOKUP(C$2, Percentiles!$A$45:$I$59, 7, FALSE), perc_95, VLOOKUP(C$2, Percentiles!$A$45:$I$59, 8, FALSE), perc_85, perc_75 + (perc_90 - perc_75) * (2/3), converted_stat, '2K_Ratings'!C224, IF(bbgm_stat &gt;= perc_95, converted_stat * 3, IF(bbgm_stat &gt;= perc_90, converted_stat * 2, IF(bbgm_stat &gt;= perc_85, converted_stat * 1.5, converted_stat)))))</f>
        <v/>
      </c>
      <c r="D224" s="30" t="str">
        <f t="array" ref="D224">IF($A224="", "", LET(bbgm_stat, INDEX(Players!$A223:$P223, MATCH(D$2, Players!$A$1:$P$1, 0)), perc_75, VLOOKUP(D$2, Percentiles!$A$45:$I$59, 6, FALSE), perc_90, VLOOKUP(D$2, Percentiles!$A$45:$I$59, 7, FALSE), perc_95, VLOOKUP(D$2, Percentiles!$A$45:$I$59, 8, FALSE), perc_85, perc_75 + (perc_90 - perc_75) * (2/3), converted_stat, '2K_Ratings'!D224, IF(bbgm_stat &gt;= perc_95, converted_stat * 3, IF(bbgm_stat &gt;= perc_90, converted_stat * 2, IF(bbgm_stat &gt;= perc_85, converted_stat * 1.5, converted_stat)))))</f>
        <v/>
      </c>
      <c r="E224" s="30" t="str">
        <f t="array" ref="E224">IF($A224="", "", LET(bbgm_stat, INDEX(Players!$A223:$P223, MATCH(E$2, Players!$A$1:$P$1, 0)), perc_75, VLOOKUP(E$2, Percentiles!$A$45:$I$59, 6, FALSE), perc_90, VLOOKUP(E$2, Percentiles!$A$45:$I$59, 7, FALSE), perc_95, VLOOKUP(E$2, Percentiles!$A$45:$I$59, 8, FALSE), perc_85, perc_75 + (perc_90 - perc_75) * (2/3), converted_stat, '2K_Ratings'!E224, IF(bbgm_stat &gt;= perc_95, converted_stat * 3, IF(bbgm_stat &gt;= perc_90, converted_stat * 2, IF(bbgm_stat &gt;= perc_85, converted_stat * 1.5, converted_stat)))))</f>
        <v/>
      </c>
      <c r="F224" s="30" t="str">
        <f t="array" ref="F224">IF($A224="", "", LET(bbgm_stat, INDEX(Players!$A223:$P223, MATCH(F$2, Players!$A$1:$P$1, 0)), perc_75, VLOOKUP(F$2, Percentiles!$A$45:$I$59, 6, FALSE), perc_90, VLOOKUP(F$2, Percentiles!$A$45:$I$59, 7, FALSE), perc_95, VLOOKUP(F$2, Percentiles!$A$45:$I$59, 8, FALSE), perc_85, perc_75 + (perc_90 - perc_75) * (2/3), converted_stat, '2K_Ratings'!F224, IF(bbgm_stat &gt;= perc_95, converted_stat * 3, IF(bbgm_stat &gt;= perc_90, converted_stat * 2, IF(bbgm_stat &gt;= perc_85, converted_stat * 1.5, converted_stat)))))</f>
        <v/>
      </c>
      <c r="G224" s="30" t="str">
        <f t="array" ref="G224">IF($A224="", "", LET(bbgm_stat, INDEX(Players!$A223:$P223, MATCH(G$2, Players!$A$1:$P$1, 0)), perc_75, VLOOKUP(G$2, Percentiles!$A$45:$I$59, 6, FALSE), perc_90, VLOOKUP(G$2, Percentiles!$A$45:$I$59, 7, FALSE), perc_95, VLOOKUP(G$2, Percentiles!$A$45:$I$59, 8, FALSE), perc_85, perc_75 + (perc_90 - perc_75) * (2/3), converted_stat, '2K_Ratings'!G224, IF(bbgm_stat &gt;= perc_95, converted_stat * 3, IF(bbgm_stat &gt;= perc_90, converted_stat * 2, IF(bbgm_stat &gt;= perc_85, converted_stat * 1.5, converted_stat)))))</f>
        <v/>
      </c>
      <c r="H224" s="30" t="str">
        <f t="array" ref="H224">IF($A224="", "", LET(bbgm_stat, INDEX(Players!$A223:$P223, MATCH(H$2, Players!$A$1:$P$1, 0)), perc_75, VLOOKUP(H$2, Percentiles!$A$45:$I$59, 6, FALSE), perc_90, VLOOKUP(H$2, Percentiles!$A$45:$I$59, 7, FALSE), perc_95, VLOOKUP(H$2, Percentiles!$A$45:$I$59, 8, FALSE), perc_85, perc_75 + (perc_90 - perc_75) * (2/3), converted_stat, '2K_Ratings'!H224, IF(bbgm_stat &gt;= perc_95, converted_stat * 3, IF(bbgm_stat &gt;= perc_90, converted_stat * 2, IF(bbgm_stat &gt;= perc_85, converted_stat * 1.5, converted_stat)))))</f>
        <v/>
      </c>
      <c r="I224" s="30" t="str">
        <f t="array" ref="I224">IF($A224="", "", LET(bbgm_stat, INDEX(Players!$A223:$P223, MATCH(I$2, Players!$A$1:$P$1, 0)), perc_75, VLOOKUP(I$2, Percentiles!$A$45:$I$59, 6, FALSE), perc_90, VLOOKUP(I$2, Percentiles!$A$45:$I$59, 7, FALSE), perc_95, VLOOKUP(I$2, Percentiles!$A$45:$I$59, 8, FALSE), perc_85, perc_75 + (perc_90 - perc_75) * (2/3), converted_stat, '2K_Ratings'!I224, IF(bbgm_stat &gt;= perc_95, converted_stat * 3, IF(bbgm_stat &gt;= perc_90, converted_stat * 2, IF(bbgm_stat &gt;= perc_85, converted_stat * 1.5, converted_stat)))))</f>
        <v/>
      </c>
      <c r="J224" s="30" t="str">
        <f t="array" ref="J224">IF($A224="", "", LET(bbgm_stat, INDEX(Players!$A223:$P223, MATCH(J$2, Players!$A$1:$P$1, 0)), perc_75, VLOOKUP(J$2, Percentiles!$A$45:$I$59, 6, FALSE), perc_90, VLOOKUP(J$2, Percentiles!$A$45:$I$59, 7, FALSE), perc_95, VLOOKUP(J$2, Percentiles!$A$45:$I$59, 8, FALSE), perc_85, perc_75 + (perc_90 - perc_75) * (2/3), converted_stat, '2K_Ratings'!J224, IF(bbgm_stat &gt;= perc_95, converted_stat * 3, IF(bbgm_stat &gt;= perc_90, converted_stat * 2, IF(bbgm_stat &gt;= perc_85, converted_stat * 1.5, converted_stat)))))</f>
        <v/>
      </c>
      <c r="K224" s="30" t="str">
        <f t="array" ref="K224">IF($A224="", "", LET(bbgm_stat, INDEX(Players!$A223:$P223, MATCH(K$2, Players!$A$1:$P$1, 0)), perc_75, VLOOKUP(K$2, Percentiles!$A$45:$I$59, 6, FALSE), perc_90, VLOOKUP(K$2, Percentiles!$A$45:$I$59, 7, FALSE), perc_95, VLOOKUP(K$2, Percentiles!$A$45:$I$59, 8, FALSE), perc_85, perc_75 + (perc_90 - perc_75) * (2/3), converted_stat, '2K_Ratings'!K224, IF(bbgm_stat &gt;= perc_95, converted_stat * 3, IF(bbgm_stat &gt;= perc_90, converted_stat * 2, IF(bbgm_stat &gt;= perc_85, converted_stat * 1.5, converted_stat)))))</f>
        <v/>
      </c>
      <c r="L224" s="30" t="str">
        <f t="array" ref="L224">IF($A224="", "", LET(bbgm_stat, INDEX(Players!$A223:$P223, MATCH(L$2, Players!$A$1:$P$1, 0)), perc_75, VLOOKUP(L$2, Percentiles!$A$45:$I$59, 6, FALSE), perc_90, VLOOKUP(L$2, Percentiles!$A$45:$I$59, 7, FALSE), perc_95, VLOOKUP(L$2, Percentiles!$A$45:$I$59, 8, FALSE), perc_85, perc_75 + (perc_90 - perc_75) * (2/3), converted_stat, '2K_Ratings'!L224, IF(bbgm_stat &gt;= perc_95, converted_stat * 3, IF(bbgm_stat &gt;= perc_90, converted_stat * 2, IF(bbgm_stat &gt;= perc_85, converted_stat * 1.5, converted_stat)))))</f>
        <v/>
      </c>
      <c r="M224" s="30" t="str">
        <f t="array" ref="M224">IF($A224="", "", LET(bbgm_stat, INDEX(Players!$A223:$P223, MATCH(M$2, Players!$A$1:$P$1, 0)), perc_75, VLOOKUP(M$2, Percentiles!$A$45:$I$59, 6, FALSE), perc_90, VLOOKUP(M$2, Percentiles!$A$45:$I$59, 7, FALSE), perc_95, VLOOKUP(M$2, Percentiles!$A$45:$I$59, 8, FALSE), perc_85, perc_75 + (perc_90 - perc_75) * (2/3), converted_stat, '2K_Ratings'!M224, IF(bbgm_stat &gt;= perc_95, converted_stat * 3, IF(bbgm_stat &gt;= perc_90, converted_stat * 2, IF(bbgm_stat &gt;= perc_85, converted_stat * 1.5, converted_stat)))))</f>
        <v/>
      </c>
      <c r="N224" s="30" t="str">
        <f t="array" ref="N224">IF($A224="", "", LET(bbgm_stat, INDEX(Players!$A223:$P223, MATCH(N$2, Players!$A$1:$P$1, 0)), perc_75, VLOOKUP(N$2, Percentiles!$A$45:$I$59, 6, FALSE), perc_90, VLOOKUP(N$2, Percentiles!$A$45:$I$59, 7, FALSE), perc_95, VLOOKUP(N$2, Percentiles!$A$45:$I$59, 8, FALSE), perc_85, perc_75 + (perc_90 - perc_75) * (2/3), converted_stat, '2K_Ratings'!N224, IF(bbgm_stat &gt;= perc_95, converted_stat * 3, IF(bbgm_stat &gt;= perc_90, converted_stat * 2, IF(bbgm_stat &gt;= perc_85, converted_stat * 1.5, converted_stat)))))</f>
        <v/>
      </c>
      <c r="O224" s="30" t="str">
        <f t="array" ref="O224">IF($A224="", "", LET(bbgm_stat, INDEX(Players!$A223:$P223, MATCH(O$2, Players!$A$1:$P$1, 0)), perc_75, VLOOKUP(O$2, Percentiles!$A$45:$I$59, 6, FALSE), perc_90, VLOOKUP(O$2, Percentiles!$A$45:$I$59, 7, FALSE), perc_95, VLOOKUP(O$2, Percentiles!$A$45:$I$59, 8, FALSE), perc_85, perc_75 + (perc_90 - perc_75) * (2/3), converted_stat, '2K_Ratings'!O224, IF(bbgm_stat &gt;= perc_95, converted_stat * 3, IF(bbgm_stat &gt;= perc_90, converted_stat * 2, IF(bbgm_stat &gt;= perc_85, converted_stat * 1.5, converted_stat)))))</f>
        <v/>
      </c>
      <c r="P224" s="30" t="str">
        <f t="array" ref="P224">IF($A224="", "", LET(bbgm_stat, INDEX(Players!$A223:$P223, MATCH(P$2, Players!$A$1:$P$1, 0)), perc_75, VLOOKUP(P$2, Percentiles!$A$45:$I$59, 6, FALSE), perc_90, VLOOKUP(P$2, Percentiles!$A$45:$I$59, 7, FALSE), perc_95, VLOOKUP(P$2, Percentiles!$A$45:$I$59, 8, FALSE), perc_85, perc_75 + (perc_90 - perc_75) * (2/3), converted_stat, '2K_Ratings'!P224, IF(bbgm_stat &gt;= perc_95, converted_stat * 3, IF(bbgm_stat &gt;= perc_90, converted_stat * 2, IF(bbgm_stat &gt;= perc_85, converted_stat * 1.5, converted_stat)))))</f>
        <v/>
      </c>
      <c r="Q224" s="30" t="str">
        <f t="array" ref="Q224">IF($A224="", "", LET(bbgm_stat, INDEX(Players!$A223:$P223, MATCH(Q$2, Players!$A$1:$P$1, 0)), perc_75, VLOOKUP(Q$2, Percentiles!$A$45:$I$59, 6, FALSE), perc_90, VLOOKUP(Q$2, Percentiles!$A$45:$I$59, 7, FALSE), perc_95, VLOOKUP(Q$2, Percentiles!$A$45:$I$59, 8, FALSE), perc_85, perc_75 + (perc_90 - perc_75) * (2/3), converted_stat, '2K_Ratings'!Q224, IF(bbgm_stat &gt;= perc_95, converted_stat * 3, IF(bbgm_stat &gt;= perc_90, converted_stat * 2, IF(bbgm_stat &gt;= perc_85, converted_stat * 1.5, converted_stat)))))</f>
        <v/>
      </c>
      <c r="R224" s="30" t="str">
        <f t="array" ref="R224">IF($A224="", "", LET(bbgm_stat, INDEX(Players!$A223:$P223, MATCH(R$2, Players!$A$1:$P$1, 0)), perc_75, VLOOKUP(R$2, Percentiles!$A$45:$I$59, 6, FALSE), perc_90, VLOOKUP(R$2, Percentiles!$A$45:$I$59, 7, FALSE), perc_95, VLOOKUP(R$2, Percentiles!$A$45:$I$59, 8, FALSE), perc_85, perc_75 + (perc_90 - perc_75) * (2/3), converted_stat, '2K_Ratings'!R224, IF(bbgm_stat &gt;= perc_95, converted_stat * 3, IF(bbgm_stat &gt;= perc_90, converted_stat * 2, IF(bbgm_stat &gt;= perc_85, converted_stat * 1.5, converted_stat)))))</f>
        <v/>
      </c>
      <c r="S224" s="30" t="str">
        <f t="array" ref="S224">IF($A224="", "", LET(bbgm_stat, INDEX(Players!$A223:$P223, MATCH(S$2, Players!$A$1:$P$1, 0)), perc_75, VLOOKUP(S$2, Percentiles!$A$45:$I$59, 6, FALSE), perc_90, VLOOKUP(S$2, Percentiles!$A$45:$I$59, 7, FALSE), perc_95, VLOOKUP(S$2, Percentiles!$A$45:$I$59, 8, FALSE), perc_85, perc_75 + (perc_90 - perc_75) * (2/3), converted_stat, '2K_Ratings'!S224, IF(bbgm_stat &gt;= perc_95, converted_stat * 3, IF(bbgm_stat &gt;= perc_90, converted_stat * 2, IF(bbgm_stat &gt;= perc_85, converted_stat * 1.5, converted_stat)))))</f>
        <v/>
      </c>
      <c r="T224" s="30" t="str">
        <f t="array" ref="T224">IF($A224="", "", LET(bbgm_stat, INDEX(Players!$A223:$P223, MATCH(T$2, Players!$A$1:$P$1, 0)), perc_75, VLOOKUP(T$2, Percentiles!$A$45:$I$59, 6, FALSE), perc_90, VLOOKUP(T$2, Percentiles!$A$45:$I$59, 7, FALSE), perc_95, VLOOKUP(T$2, Percentiles!$A$45:$I$59, 8, FALSE), perc_85, perc_75 + (perc_90 - perc_75) * (2/3), converted_stat, '2K_Ratings'!T224, IF(bbgm_stat &gt;= perc_95, converted_stat * 3, IF(bbgm_stat &gt;= perc_90, converted_stat * 2, IF(bbgm_stat &gt;= perc_85, converted_stat * 1.5, converted_stat)))))</f>
        <v/>
      </c>
      <c r="U224" s="30" t="str">
        <f t="array" ref="U224">IF($A224="", "", LET(bbgm_stat, INDEX(Players!$A223:$P223, MATCH(U$2, Players!$A$1:$P$1, 0)), perc_75, VLOOKUP(U$2, Percentiles!$A$45:$I$59, 6, FALSE), perc_90, VLOOKUP(U$2, Percentiles!$A$45:$I$59, 7, FALSE), perc_95, VLOOKUP(U$2, Percentiles!$A$45:$I$59, 8, FALSE), perc_85, perc_75 + (perc_90 - perc_75) * (2/3), converted_stat, '2K_Ratings'!U224, IF(bbgm_stat &gt;= perc_95, converted_stat * 3, IF(bbgm_stat &gt;= perc_90, converted_stat * 2, IF(bbgm_stat &gt;= perc_85, converted_stat * 1.5, converted_stat)))))</f>
        <v/>
      </c>
      <c r="V224" s="30" t="str">
        <f t="array" ref="V224">IF($A224="", "", LET(bbgm_stat, INDEX(Players!$A223:$P223, MATCH(V$2, Players!$A$1:$P$1, 0)), perc_75, VLOOKUP(V$2, Percentiles!$A$45:$I$59, 6, FALSE), perc_90, VLOOKUP(V$2, Percentiles!$A$45:$I$59, 7, FALSE), perc_95, VLOOKUP(V$2, Percentiles!$A$45:$I$59, 8, FALSE), perc_85, perc_75 + (perc_90 - perc_75) * (2/3), converted_stat, '2K_Ratings'!V224, IF(bbgm_stat &gt;= perc_95, converted_stat * 3, IF(bbgm_stat &gt;= perc_90, converted_stat * 2, IF(bbgm_stat &gt;= perc_85, converted_stat * 1.5, converted_stat)))))</f>
        <v/>
      </c>
      <c r="W224" s="30" t="str">
        <f t="array" ref="W224">IF($A224="", "", LET(bbgm_stat, INDEX(Players!$A223:$P223, MATCH(W$2, Players!$A$1:$P$1, 0)), perc_75, VLOOKUP(W$2, Percentiles!$A$45:$I$59, 6, FALSE), perc_90, VLOOKUP(W$2, Percentiles!$A$45:$I$59, 7, FALSE), perc_95, VLOOKUP(W$2, Percentiles!$A$45:$I$59, 8, FALSE), perc_85, perc_75 + (perc_90 - perc_75) * (2/3), converted_stat, '2K_Ratings'!W224, IF(bbgm_stat &gt;= perc_95, converted_stat * 3, IF(bbgm_stat &gt;= perc_90, converted_stat * 2, IF(bbgm_stat &gt;= perc_85, converted_stat * 1.5, converted_stat)))))</f>
        <v/>
      </c>
    </row>
    <row r="225">
      <c r="A225" s="30"/>
      <c r="B225" s="30" t="str">
        <f t="array" ref="B225">IF($A225="", "", LET(bbgm_stat, INDEX(Players!$A224:$P224, MATCH(B$2, Players!$A$1:$P$1, 0)), perc_75, VLOOKUP(B$2, Percentiles!$A$45:$I$59, 6, FALSE), perc_90, VLOOKUP(B$2, Percentiles!$A$45:$I$59, 7, FALSE), perc_95, VLOOKUP(B$2, Percentiles!$A$45:$I$59, 8, FALSE), perc_85, perc_75 + (perc_90 - perc_75) * (2/3), converted_stat, '2K_Ratings'!B225, IF(bbgm_stat &gt;= perc_95, converted_stat * 3, IF(bbgm_stat &gt;= perc_90, converted_stat * 2, IF(bbgm_stat &gt;= perc_85, converted_stat * 1.5, converted_stat)))))</f>
        <v/>
      </c>
      <c r="C225" s="30" t="str">
        <f t="array" ref="C225">IF($A225="", "", LET(bbgm_stat, INDEX(Players!$A224:$P224, MATCH(C$2, Players!$A$1:$P$1, 0)), perc_75, VLOOKUP(C$2, Percentiles!$A$45:$I$59, 6, FALSE), perc_90, VLOOKUP(C$2, Percentiles!$A$45:$I$59, 7, FALSE), perc_95, VLOOKUP(C$2, Percentiles!$A$45:$I$59, 8, FALSE), perc_85, perc_75 + (perc_90 - perc_75) * (2/3), converted_stat, '2K_Ratings'!C225, IF(bbgm_stat &gt;= perc_95, converted_stat * 3, IF(bbgm_stat &gt;= perc_90, converted_stat * 2, IF(bbgm_stat &gt;= perc_85, converted_stat * 1.5, converted_stat)))))</f>
        <v/>
      </c>
      <c r="D225" s="30" t="str">
        <f t="array" ref="D225">IF($A225="", "", LET(bbgm_stat, INDEX(Players!$A224:$P224, MATCH(D$2, Players!$A$1:$P$1, 0)), perc_75, VLOOKUP(D$2, Percentiles!$A$45:$I$59, 6, FALSE), perc_90, VLOOKUP(D$2, Percentiles!$A$45:$I$59, 7, FALSE), perc_95, VLOOKUP(D$2, Percentiles!$A$45:$I$59, 8, FALSE), perc_85, perc_75 + (perc_90 - perc_75) * (2/3), converted_stat, '2K_Ratings'!D225, IF(bbgm_stat &gt;= perc_95, converted_stat * 3, IF(bbgm_stat &gt;= perc_90, converted_stat * 2, IF(bbgm_stat &gt;= perc_85, converted_stat * 1.5, converted_stat)))))</f>
        <v/>
      </c>
      <c r="E225" s="30" t="str">
        <f t="array" ref="E225">IF($A225="", "", LET(bbgm_stat, INDEX(Players!$A224:$P224, MATCH(E$2, Players!$A$1:$P$1, 0)), perc_75, VLOOKUP(E$2, Percentiles!$A$45:$I$59, 6, FALSE), perc_90, VLOOKUP(E$2, Percentiles!$A$45:$I$59, 7, FALSE), perc_95, VLOOKUP(E$2, Percentiles!$A$45:$I$59, 8, FALSE), perc_85, perc_75 + (perc_90 - perc_75) * (2/3), converted_stat, '2K_Ratings'!E225, IF(bbgm_stat &gt;= perc_95, converted_stat * 3, IF(bbgm_stat &gt;= perc_90, converted_stat * 2, IF(bbgm_stat &gt;= perc_85, converted_stat * 1.5, converted_stat)))))</f>
        <v/>
      </c>
      <c r="F225" s="30" t="str">
        <f t="array" ref="F225">IF($A225="", "", LET(bbgm_stat, INDEX(Players!$A224:$P224, MATCH(F$2, Players!$A$1:$P$1, 0)), perc_75, VLOOKUP(F$2, Percentiles!$A$45:$I$59, 6, FALSE), perc_90, VLOOKUP(F$2, Percentiles!$A$45:$I$59, 7, FALSE), perc_95, VLOOKUP(F$2, Percentiles!$A$45:$I$59, 8, FALSE), perc_85, perc_75 + (perc_90 - perc_75) * (2/3), converted_stat, '2K_Ratings'!F225, IF(bbgm_stat &gt;= perc_95, converted_stat * 3, IF(bbgm_stat &gt;= perc_90, converted_stat * 2, IF(bbgm_stat &gt;= perc_85, converted_stat * 1.5, converted_stat)))))</f>
        <v/>
      </c>
      <c r="G225" s="30" t="str">
        <f t="array" ref="G225">IF($A225="", "", LET(bbgm_stat, INDEX(Players!$A224:$P224, MATCH(G$2, Players!$A$1:$P$1, 0)), perc_75, VLOOKUP(G$2, Percentiles!$A$45:$I$59, 6, FALSE), perc_90, VLOOKUP(G$2, Percentiles!$A$45:$I$59, 7, FALSE), perc_95, VLOOKUP(G$2, Percentiles!$A$45:$I$59, 8, FALSE), perc_85, perc_75 + (perc_90 - perc_75) * (2/3), converted_stat, '2K_Ratings'!G225, IF(bbgm_stat &gt;= perc_95, converted_stat * 3, IF(bbgm_stat &gt;= perc_90, converted_stat * 2, IF(bbgm_stat &gt;= perc_85, converted_stat * 1.5, converted_stat)))))</f>
        <v/>
      </c>
      <c r="H225" s="30" t="str">
        <f t="array" ref="H225">IF($A225="", "", LET(bbgm_stat, INDEX(Players!$A224:$P224, MATCH(H$2, Players!$A$1:$P$1, 0)), perc_75, VLOOKUP(H$2, Percentiles!$A$45:$I$59, 6, FALSE), perc_90, VLOOKUP(H$2, Percentiles!$A$45:$I$59, 7, FALSE), perc_95, VLOOKUP(H$2, Percentiles!$A$45:$I$59, 8, FALSE), perc_85, perc_75 + (perc_90 - perc_75) * (2/3), converted_stat, '2K_Ratings'!H225, IF(bbgm_stat &gt;= perc_95, converted_stat * 3, IF(bbgm_stat &gt;= perc_90, converted_stat * 2, IF(bbgm_stat &gt;= perc_85, converted_stat * 1.5, converted_stat)))))</f>
        <v/>
      </c>
      <c r="I225" s="30" t="str">
        <f t="array" ref="I225">IF($A225="", "", LET(bbgm_stat, INDEX(Players!$A224:$P224, MATCH(I$2, Players!$A$1:$P$1, 0)), perc_75, VLOOKUP(I$2, Percentiles!$A$45:$I$59, 6, FALSE), perc_90, VLOOKUP(I$2, Percentiles!$A$45:$I$59, 7, FALSE), perc_95, VLOOKUP(I$2, Percentiles!$A$45:$I$59, 8, FALSE), perc_85, perc_75 + (perc_90 - perc_75) * (2/3), converted_stat, '2K_Ratings'!I225, IF(bbgm_stat &gt;= perc_95, converted_stat * 3, IF(bbgm_stat &gt;= perc_90, converted_stat * 2, IF(bbgm_stat &gt;= perc_85, converted_stat * 1.5, converted_stat)))))</f>
        <v/>
      </c>
      <c r="J225" s="30" t="str">
        <f t="array" ref="J225">IF($A225="", "", LET(bbgm_stat, INDEX(Players!$A224:$P224, MATCH(J$2, Players!$A$1:$P$1, 0)), perc_75, VLOOKUP(J$2, Percentiles!$A$45:$I$59, 6, FALSE), perc_90, VLOOKUP(J$2, Percentiles!$A$45:$I$59, 7, FALSE), perc_95, VLOOKUP(J$2, Percentiles!$A$45:$I$59, 8, FALSE), perc_85, perc_75 + (perc_90 - perc_75) * (2/3), converted_stat, '2K_Ratings'!J225, IF(bbgm_stat &gt;= perc_95, converted_stat * 3, IF(bbgm_stat &gt;= perc_90, converted_stat * 2, IF(bbgm_stat &gt;= perc_85, converted_stat * 1.5, converted_stat)))))</f>
        <v/>
      </c>
      <c r="K225" s="30" t="str">
        <f t="array" ref="K225">IF($A225="", "", LET(bbgm_stat, INDEX(Players!$A224:$P224, MATCH(K$2, Players!$A$1:$P$1, 0)), perc_75, VLOOKUP(K$2, Percentiles!$A$45:$I$59, 6, FALSE), perc_90, VLOOKUP(K$2, Percentiles!$A$45:$I$59, 7, FALSE), perc_95, VLOOKUP(K$2, Percentiles!$A$45:$I$59, 8, FALSE), perc_85, perc_75 + (perc_90 - perc_75) * (2/3), converted_stat, '2K_Ratings'!K225, IF(bbgm_stat &gt;= perc_95, converted_stat * 3, IF(bbgm_stat &gt;= perc_90, converted_stat * 2, IF(bbgm_stat &gt;= perc_85, converted_stat * 1.5, converted_stat)))))</f>
        <v/>
      </c>
      <c r="L225" s="30" t="str">
        <f t="array" ref="L225">IF($A225="", "", LET(bbgm_stat, INDEX(Players!$A224:$P224, MATCH(L$2, Players!$A$1:$P$1, 0)), perc_75, VLOOKUP(L$2, Percentiles!$A$45:$I$59, 6, FALSE), perc_90, VLOOKUP(L$2, Percentiles!$A$45:$I$59, 7, FALSE), perc_95, VLOOKUP(L$2, Percentiles!$A$45:$I$59, 8, FALSE), perc_85, perc_75 + (perc_90 - perc_75) * (2/3), converted_stat, '2K_Ratings'!L225, IF(bbgm_stat &gt;= perc_95, converted_stat * 3, IF(bbgm_stat &gt;= perc_90, converted_stat * 2, IF(bbgm_stat &gt;= perc_85, converted_stat * 1.5, converted_stat)))))</f>
        <v/>
      </c>
      <c r="M225" s="30" t="str">
        <f t="array" ref="M225">IF($A225="", "", LET(bbgm_stat, INDEX(Players!$A224:$P224, MATCH(M$2, Players!$A$1:$P$1, 0)), perc_75, VLOOKUP(M$2, Percentiles!$A$45:$I$59, 6, FALSE), perc_90, VLOOKUP(M$2, Percentiles!$A$45:$I$59, 7, FALSE), perc_95, VLOOKUP(M$2, Percentiles!$A$45:$I$59, 8, FALSE), perc_85, perc_75 + (perc_90 - perc_75) * (2/3), converted_stat, '2K_Ratings'!M225, IF(bbgm_stat &gt;= perc_95, converted_stat * 3, IF(bbgm_stat &gt;= perc_90, converted_stat * 2, IF(bbgm_stat &gt;= perc_85, converted_stat * 1.5, converted_stat)))))</f>
        <v/>
      </c>
      <c r="N225" s="30" t="str">
        <f t="array" ref="N225">IF($A225="", "", LET(bbgm_stat, INDEX(Players!$A224:$P224, MATCH(N$2, Players!$A$1:$P$1, 0)), perc_75, VLOOKUP(N$2, Percentiles!$A$45:$I$59, 6, FALSE), perc_90, VLOOKUP(N$2, Percentiles!$A$45:$I$59, 7, FALSE), perc_95, VLOOKUP(N$2, Percentiles!$A$45:$I$59, 8, FALSE), perc_85, perc_75 + (perc_90 - perc_75) * (2/3), converted_stat, '2K_Ratings'!N225, IF(bbgm_stat &gt;= perc_95, converted_stat * 3, IF(bbgm_stat &gt;= perc_90, converted_stat * 2, IF(bbgm_stat &gt;= perc_85, converted_stat * 1.5, converted_stat)))))</f>
        <v/>
      </c>
      <c r="O225" s="30" t="str">
        <f t="array" ref="O225">IF($A225="", "", LET(bbgm_stat, INDEX(Players!$A224:$P224, MATCH(O$2, Players!$A$1:$P$1, 0)), perc_75, VLOOKUP(O$2, Percentiles!$A$45:$I$59, 6, FALSE), perc_90, VLOOKUP(O$2, Percentiles!$A$45:$I$59, 7, FALSE), perc_95, VLOOKUP(O$2, Percentiles!$A$45:$I$59, 8, FALSE), perc_85, perc_75 + (perc_90 - perc_75) * (2/3), converted_stat, '2K_Ratings'!O225, IF(bbgm_stat &gt;= perc_95, converted_stat * 3, IF(bbgm_stat &gt;= perc_90, converted_stat * 2, IF(bbgm_stat &gt;= perc_85, converted_stat * 1.5, converted_stat)))))</f>
        <v/>
      </c>
      <c r="P225" s="30" t="str">
        <f t="array" ref="P225">IF($A225="", "", LET(bbgm_stat, INDEX(Players!$A224:$P224, MATCH(P$2, Players!$A$1:$P$1, 0)), perc_75, VLOOKUP(P$2, Percentiles!$A$45:$I$59, 6, FALSE), perc_90, VLOOKUP(P$2, Percentiles!$A$45:$I$59, 7, FALSE), perc_95, VLOOKUP(P$2, Percentiles!$A$45:$I$59, 8, FALSE), perc_85, perc_75 + (perc_90 - perc_75) * (2/3), converted_stat, '2K_Ratings'!P225, IF(bbgm_stat &gt;= perc_95, converted_stat * 3, IF(bbgm_stat &gt;= perc_90, converted_stat * 2, IF(bbgm_stat &gt;= perc_85, converted_stat * 1.5, converted_stat)))))</f>
        <v/>
      </c>
      <c r="Q225" s="30" t="str">
        <f t="array" ref="Q225">IF($A225="", "", LET(bbgm_stat, INDEX(Players!$A224:$P224, MATCH(Q$2, Players!$A$1:$P$1, 0)), perc_75, VLOOKUP(Q$2, Percentiles!$A$45:$I$59, 6, FALSE), perc_90, VLOOKUP(Q$2, Percentiles!$A$45:$I$59, 7, FALSE), perc_95, VLOOKUP(Q$2, Percentiles!$A$45:$I$59, 8, FALSE), perc_85, perc_75 + (perc_90 - perc_75) * (2/3), converted_stat, '2K_Ratings'!Q225, IF(bbgm_stat &gt;= perc_95, converted_stat * 3, IF(bbgm_stat &gt;= perc_90, converted_stat * 2, IF(bbgm_stat &gt;= perc_85, converted_stat * 1.5, converted_stat)))))</f>
        <v/>
      </c>
      <c r="R225" s="30" t="str">
        <f t="array" ref="R225">IF($A225="", "", LET(bbgm_stat, INDEX(Players!$A224:$P224, MATCH(R$2, Players!$A$1:$P$1, 0)), perc_75, VLOOKUP(R$2, Percentiles!$A$45:$I$59, 6, FALSE), perc_90, VLOOKUP(R$2, Percentiles!$A$45:$I$59, 7, FALSE), perc_95, VLOOKUP(R$2, Percentiles!$A$45:$I$59, 8, FALSE), perc_85, perc_75 + (perc_90 - perc_75) * (2/3), converted_stat, '2K_Ratings'!R225, IF(bbgm_stat &gt;= perc_95, converted_stat * 3, IF(bbgm_stat &gt;= perc_90, converted_stat * 2, IF(bbgm_stat &gt;= perc_85, converted_stat * 1.5, converted_stat)))))</f>
        <v/>
      </c>
      <c r="S225" s="30" t="str">
        <f t="array" ref="S225">IF($A225="", "", LET(bbgm_stat, INDEX(Players!$A224:$P224, MATCH(S$2, Players!$A$1:$P$1, 0)), perc_75, VLOOKUP(S$2, Percentiles!$A$45:$I$59, 6, FALSE), perc_90, VLOOKUP(S$2, Percentiles!$A$45:$I$59, 7, FALSE), perc_95, VLOOKUP(S$2, Percentiles!$A$45:$I$59, 8, FALSE), perc_85, perc_75 + (perc_90 - perc_75) * (2/3), converted_stat, '2K_Ratings'!S225, IF(bbgm_stat &gt;= perc_95, converted_stat * 3, IF(bbgm_stat &gt;= perc_90, converted_stat * 2, IF(bbgm_stat &gt;= perc_85, converted_stat * 1.5, converted_stat)))))</f>
        <v/>
      </c>
      <c r="T225" s="30" t="str">
        <f t="array" ref="T225">IF($A225="", "", LET(bbgm_stat, INDEX(Players!$A224:$P224, MATCH(T$2, Players!$A$1:$P$1, 0)), perc_75, VLOOKUP(T$2, Percentiles!$A$45:$I$59, 6, FALSE), perc_90, VLOOKUP(T$2, Percentiles!$A$45:$I$59, 7, FALSE), perc_95, VLOOKUP(T$2, Percentiles!$A$45:$I$59, 8, FALSE), perc_85, perc_75 + (perc_90 - perc_75) * (2/3), converted_stat, '2K_Ratings'!T225, IF(bbgm_stat &gt;= perc_95, converted_stat * 3, IF(bbgm_stat &gt;= perc_90, converted_stat * 2, IF(bbgm_stat &gt;= perc_85, converted_stat * 1.5, converted_stat)))))</f>
        <v/>
      </c>
      <c r="U225" s="30" t="str">
        <f t="array" ref="U225">IF($A225="", "", LET(bbgm_stat, INDEX(Players!$A224:$P224, MATCH(U$2, Players!$A$1:$P$1, 0)), perc_75, VLOOKUP(U$2, Percentiles!$A$45:$I$59, 6, FALSE), perc_90, VLOOKUP(U$2, Percentiles!$A$45:$I$59, 7, FALSE), perc_95, VLOOKUP(U$2, Percentiles!$A$45:$I$59, 8, FALSE), perc_85, perc_75 + (perc_90 - perc_75) * (2/3), converted_stat, '2K_Ratings'!U225, IF(bbgm_stat &gt;= perc_95, converted_stat * 3, IF(bbgm_stat &gt;= perc_90, converted_stat * 2, IF(bbgm_stat &gt;= perc_85, converted_stat * 1.5, converted_stat)))))</f>
        <v/>
      </c>
      <c r="V225" s="30" t="str">
        <f t="array" ref="V225">IF($A225="", "", LET(bbgm_stat, INDEX(Players!$A224:$P224, MATCH(V$2, Players!$A$1:$P$1, 0)), perc_75, VLOOKUP(V$2, Percentiles!$A$45:$I$59, 6, FALSE), perc_90, VLOOKUP(V$2, Percentiles!$A$45:$I$59, 7, FALSE), perc_95, VLOOKUP(V$2, Percentiles!$A$45:$I$59, 8, FALSE), perc_85, perc_75 + (perc_90 - perc_75) * (2/3), converted_stat, '2K_Ratings'!V225, IF(bbgm_stat &gt;= perc_95, converted_stat * 3, IF(bbgm_stat &gt;= perc_90, converted_stat * 2, IF(bbgm_stat &gt;= perc_85, converted_stat * 1.5, converted_stat)))))</f>
        <v/>
      </c>
      <c r="W225" s="30" t="str">
        <f t="array" ref="W225">IF($A225="", "", LET(bbgm_stat, INDEX(Players!$A224:$P224, MATCH(W$2, Players!$A$1:$P$1, 0)), perc_75, VLOOKUP(W$2, Percentiles!$A$45:$I$59, 6, FALSE), perc_90, VLOOKUP(W$2, Percentiles!$A$45:$I$59, 7, FALSE), perc_95, VLOOKUP(W$2, Percentiles!$A$45:$I$59, 8, FALSE), perc_85, perc_75 + (perc_90 - perc_75) * (2/3), converted_stat, '2K_Ratings'!W225, IF(bbgm_stat &gt;= perc_95, converted_stat * 3, IF(bbgm_stat &gt;= perc_90, converted_stat * 2, IF(bbgm_stat &gt;= perc_85, converted_stat * 1.5, converted_stat)))))</f>
        <v/>
      </c>
    </row>
    <row r="226">
      <c r="A226" s="30"/>
      <c r="B226" s="30" t="str">
        <f t="array" ref="B226">IF($A226="", "", LET(bbgm_stat, INDEX(Players!$A225:$P225, MATCH(B$2, Players!$A$1:$P$1, 0)), perc_75, VLOOKUP(B$2, Percentiles!$A$45:$I$59, 6, FALSE), perc_90, VLOOKUP(B$2, Percentiles!$A$45:$I$59, 7, FALSE), perc_95, VLOOKUP(B$2, Percentiles!$A$45:$I$59, 8, FALSE), perc_85, perc_75 + (perc_90 - perc_75) * (2/3), converted_stat, '2K_Ratings'!B226, IF(bbgm_stat &gt;= perc_95, converted_stat * 3, IF(bbgm_stat &gt;= perc_90, converted_stat * 2, IF(bbgm_stat &gt;= perc_85, converted_stat * 1.5, converted_stat)))))</f>
        <v/>
      </c>
      <c r="C226" s="30" t="str">
        <f t="array" ref="C226">IF($A226="", "", LET(bbgm_stat, INDEX(Players!$A225:$P225, MATCH(C$2, Players!$A$1:$P$1, 0)), perc_75, VLOOKUP(C$2, Percentiles!$A$45:$I$59, 6, FALSE), perc_90, VLOOKUP(C$2, Percentiles!$A$45:$I$59, 7, FALSE), perc_95, VLOOKUP(C$2, Percentiles!$A$45:$I$59, 8, FALSE), perc_85, perc_75 + (perc_90 - perc_75) * (2/3), converted_stat, '2K_Ratings'!C226, IF(bbgm_stat &gt;= perc_95, converted_stat * 3, IF(bbgm_stat &gt;= perc_90, converted_stat * 2, IF(bbgm_stat &gt;= perc_85, converted_stat * 1.5, converted_stat)))))</f>
        <v/>
      </c>
      <c r="D226" s="30" t="str">
        <f t="array" ref="D226">IF($A226="", "", LET(bbgm_stat, INDEX(Players!$A225:$P225, MATCH(D$2, Players!$A$1:$P$1, 0)), perc_75, VLOOKUP(D$2, Percentiles!$A$45:$I$59, 6, FALSE), perc_90, VLOOKUP(D$2, Percentiles!$A$45:$I$59, 7, FALSE), perc_95, VLOOKUP(D$2, Percentiles!$A$45:$I$59, 8, FALSE), perc_85, perc_75 + (perc_90 - perc_75) * (2/3), converted_stat, '2K_Ratings'!D226, IF(bbgm_stat &gt;= perc_95, converted_stat * 3, IF(bbgm_stat &gt;= perc_90, converted_stat * 2, IF(bbgm_stat &gt;= perc_85, converted_stat * 1.5, converted_stat)))))</f>
        <v/>
      </c>
      <c r="E226" s="30" t="str">
        <f t="array" ref="E226">IF($A226="", "", LET(bbgm_stat, INDEX(Players!$A225:$P225, MATCH(E$2, Players!$A$1:$P$1, 0)), perc_75, VLOOKUP(E$2, Percentiles!$A$45:$I$59, 6, FALSE), perc_90, VLOOKUP(E$2, Percentiles!$A$45:$I$59, 7, FALSE), perc_95, VLOOKUP(E$2, Percentiles!$A$45:$I$59, 8, FALSE), perc_85, perc_75 + (perc_90 - perc_75) * (2/3), converted_stat, '2K_Ratings'!E226, IF(bbgm_stat &gt;= perc_95, converted_stat * 3, IF(bbgm_stat &gt;= perc_90, converted_stat * 2, IF(bbgm_stat &gt;= perc_85, converted_stat * 1.5, converted_stat)))))</f>
        <v/>
      </c>
      <c r="F226" s="30" t="str">
        <f t="array" ref="F226">IF($A226="", "", LET(bbgm_stat, INDEX(Players!$A225:$P225, MATCH(F$2, Players!$A$1:$P$1, 0)), perc_75, VLOOKUP(F$2, Percentiles!$A$45:$I$59, 6, FALSE), perc_90, VLOOKUP(F$2, Percentiles!$A$45:$I$59, 7, FALSE), perc_95, VLOOKUP(F$2, Percentiles!$A$45:$I$59, 8, FALSE), perc_85, perc_75 + (perc_90 - perc_75) * (2/3), converted_stat, '2K_Ratings'!F226, IF(bbgm_stat &gt;= perc_95, converted_stat * 3, IF(bbgm_stat &gt;= perc_90, converted_stat * 2, IF(bbgm_stat &gt;= perc_85, converted_stat * 1.5, converted_stat)))))</f>
        <v/>
      </c>
      <c r="G226" s="30" t="str">
        <f t="array" ref="G226">IF($A226="", "", LET(bbgm_stat, INDEX(Players!$A225:$P225, MATCH(G$2, Players!$A$1:$P$1, 0)), perc_75, VLOOKUP(G$2, Percentiles!$A$45:$I$59, 6, FALSE), perc_90, VLOOKUP(G$2, Percentiles!$A$45:$I$59, 7, FALSE), perc_95, VLOOKUP(G$2, Percentiles!$A$45:$I$59, 8, FALSE), perc_85, perc_75 + (perc_90 - perc_75) * (2/3), converted_stat, '2K_Ratings'!G226, IF(bbgm_stat &gt;= perc_95, converted_stat * 3, IF(bbgm_stat &gt;= perc_90, converted_stat * 2, IF(bbgm_stat &gt;= perc_85, converted_stat * 1.5, converted_stat)))))</f>
        <v/>
      </c>
      <c r="H226" s="30" t="str">
        <f t="array" ref="H226">IF($A226="", "", LET(bbgm_stat, INDEX(Players!$A225:$P225, MATCH(H$2, Players!$A$1:$P$1, 0)), perc_75, VLOOKUP(H$2, Percentiles!$A$45:$I$59, 6, FALSE), perc_90, VLOOKUP(H$2, Percentiles!$A$45:$I$59, 7, FALSE), perc_95, VLOOKUP(H$2, Percentiles!$A$45:$I$59, 8, FALSE), perc_85, perc_75 + (perc_90 - perc_75) * (2/3), converted_stat, '2K_Ratings'!H226, IF(bbgm_stat &gt;= perc_95, converted_stat * 3, IF(bbgm_stat &gt;= perc_90, converted_stat * 2, IF(bbgm_stat &gt;= perc_85, converted_stat * 1.5, converted_stat)))))</f>
        <v/>
      </c>
      <c r="I226" s="30" t="str">
        <f t="array" ref="I226">IF($A226="", "", LET(bbgm_stat, INDEX(Players!$A225:$P225, MATCH(I$2, Players!$A$1:$P$1, 0)), perc_75, VLOOKUP(I$2, Percentiles!$A$45:$I$59, 6, FALSE), perc_90, VLOOKUP(I$2, Percentiles!$A$45:$I$59, 7, FALSE), perc_95, VLOOKUP(I$2, Percentiles!$A$45:$I$59, 8, FALSE), perc_85, perc_75 + (perc_90 - perc_75) * (2/3), converted_stat, '2K_Ratings'!I226, IF(bbgm_stat &gt;= perc_95, converted_stat * 3, IF(bbgm_stat &gt;= perc_90, converted_stat * 2, IF(bbgm_stat &gt;= perc_85, converted_stat * 1.5, converted_stat)))))</f>
        <v/>
      </c>
      <c r="J226" s="30" t="str">
        <f t="array" ref="J226">IF($A226="", "", LET(bbgm_stat, INDEX(Players!$A225:$P225, MATCH(J$2, Players!$A$1:$P$1, 0)), perc_75, VLOOKUP(J$2, Percentiles!$A$45:$I$59, 6, FALSE), perc_90, VLOOKUP(J$2, Percentiles!$A$45:$I$59, 7, FALSE), perc_95, VLOOKUP(J$2, Percentiles!$A$45:$I$59, 8, FALSE), perc_85, perc_75 + (perc_90 - perc_75) * (2/3), converted_stat, '2K_Ratings'!J226, IF(bbgm_stat &gt;= perc_95, converted_stat * 3, IF(bbgm_stat &gt;= perc_90, converted_stat * 2, IF(bbgm_stat &gt;= perc_85, converted_stat * 1.5, converted_stat)))))</f>
        <v/>
      </c>
      <c r="K226" s="30" t="str">
        <f t="array" ref="K226">IF($A226="", "", LET(bbgm_stat, INDEX(Players!$A225:$P225, MATCH(K$2, Players!$A$1:$P$1, 0)), perc_75, VLOOKUP(K$2, Percentiles!$A$45:$I$59, 6, FALSE), perc_90, VLOOKUP(K$2, Percentiles!$A$45:$I$59, 7, FALSE), perc_95, VLOOKUP(K$2, Percentiles!$A$45:$I$59, 8, FALSE), perc_85, perc_75 + (perc_90 - perc_75) * (2/3), converted_stat, '2K_Ratings'!K226, IF(bbgm_stat &gt;= perc_95, converted_stat * 3, IF(bbgm_stat &gt;= perc_90, converted_stat * 2, IF(bbgm_stat &gt;= perc_85, converted_stat * 1.5, converted_stat)))))</f>
        <v/>
      </c>
      <c r="L226" s="30" t="str">
        <f t="array" ref="L226">IF($A226="", "", LET(bbgm_stat, INDEX(Players!$A225:$P225, MATCH(L$2, Players!$A$1:$P$1, 0)), perc_75, VLOOKUP(L$2, Percentiles!$A$45:$I$59, 6, FALSE), perc_90, VLOOKUP(L$2, Percentiles!$A$45:$I$59, 7, FALSE), perc_95, VLOOKUP(L$2, Percentiles!$A$45:$I$59, 8, FALSE), perc_85, perc_75 + (perc_90 - perc_75) * (2/3), converted_stat, '2K_Ratings'!L226, IF(bbgm_stat &gt;= perc_95, converted_stat * 3, IF(bbgm_stat &gt;= perc_90, converted_stat * 2, IF(bbgm_stat &gt;= perc_85, converted_stat * 1.5, converted_stat)))))</f>
        <v/>
      </c>
      <c r="M226" s="30" t="str">
        <f t="array" ref="M226">IF($A226="", "", LET(bbgm_stat, INDEX(Players!$A225:$P225, MATCH(M$2, Players!$A$1:$P$1, 0)), perc_75, VLOOKUP(M$2, Percentiles!$A$45:$I$59, 6, FALSE), perc_90, VLOOKUP(M$2, Percentiles!$A$45:$I$59, 7, FALSE), perc_95, VLOOKUP(M$2, Percentiles!$A$45:$I$59, 8, FALSE), perc_85, perc_75 + (perc_90 - perc_75) * (2/3), converted_stat, '2K_Ratings'!M226, IF(bbgm_stat &gt;= perc_95, converted_stat * 3, IF(bbgm_stat &gt;= perc_90, converted_stat * 2, IF(bbgm_stat &gt;= perc_85, converted_stat * 1.5, converted_stat)))))</f>
        <v/>
      </c>
      <c r="N226" s="30" t="str">
        <f t="array" ref="N226">IF($A226="", "", LET(bbgm_stat, INDEX(Players!$A225:$P225, MATCH(N$2, Players!$A$1:$P$1, 0)), perc_75, VLOOKUP(N$2, Percentiles!$A$45:$I$59, 6, FALSE), perc_90, VLOOKUP(N$2, Percentiles!$A$45:$I$59, 7, FALSE), perc_95, VLOOKUP(N$2, Percentiles!$A$45:$I$59, 8, FALSE), perc_85, perc_75 + (perc_90 - perc_75) * (2/3), converted_stat, '2K_Ratings'!N226, IF(bbgm_stat &gt;= perc_95, converted_stat * 3, IF(bbgm_stat &gt;= perc_90, converted_stat * 2, IF(bbgm_stat &gt;= perc_85, converted_stat * 1.5, converted_stat)))))</f>
        <v/>
      </c>
      <c r="O226" s="30" t="str">
        <f t="array" ref="O226">IF($A226="", "", LET(bbgm_stat, INDEX(Players!$A225:$P225, MATCH(O$2, Players!$A$1:$P$1, 0)), perc_75, VLOOKUP(O$2, Percentiles!$A$45:$I$59, 6, FALSE), perc_90, VLOOKUP(O$2, Percentiles!$A$45:$I$59, 7, FALSE), perc_95, VLOOKUP(O$2, Percentiles!$A$45:$I$59, 8, FALSE), perc_85, perc_75 + (perc_90 - perc_75) * (2/3), converted_stat, '2K_Ratings'!O226, IF(bbgm_stat &gt;= perc_95, converted_stat * 3, IF(bbgm_stat &gt;= perc_90, converted_stat * 2, IF(bbgm_stat &gt;= perc_85, converted_stat * 1.5, converted_stat)))))</f>
        <v/>
      </c>
      <c r="P226" s="30" t="str">
        <f t="array" ref="P226">IF($A226="", "", LET(bbgm_stat, INDEX(Players!$A225:$P225, MATCH(P$2, Players!$A$1:$P$1, 0)), perc_75, VLOOKUP(P$2, Percentiles!$A$45:$I$59, 6, FALSE), perc_90, VLOOKUP(P$2, Percentiles!$A$45:$I$59, 7, FALSE), perc_95, VLOOKUP(P$2, Percentiles!$A$45:$I$59, 8, FALSE), perc_85, perc_75 + (perc_90 - perc_75) * (2/3), converted_stat, '2K_Ratings'!P226, IF(bbgm_stat &gt;= perc_95, converted_stat * 3, IF(bbgm_stat &gt;= perc_90, converted_stat * 2, IF(bbgm_stat &gt;= perc_85, converted_stat * 1.5, converted_stat)))))</f>
        <v/>
      </c>
      <c r="Q226" s="30" t="str">
        <f t="array" ref="Q226">IF($A226="", "", LET(bbgm_stat, INDEX(Players!$A225:$P225, MATCH(Q$2, Players!$A$1:$P$1, 0)), perc_75, VLOOKUP(Q$2, Percentiles!$A$45:$I$59, 6, FALSE), perc_90, VLOOKUP(Q$2, Percentiles!$A$45:$I$59, 7, FALSE), perc_95, VLOOKUP(Q$2, Percentiles!$A$45:$I$59, 8, FALSE), perc_85, perc_75 + (perc_90 - perc_75) * (2/3), converted_stat, '2K_Ratings'!Q226, IF(bbgm_stat &gt;= perc_95, converted_stat * 3, IF(bbgm_stat &gt;= perc_90, converted_stat * 2, IF(bbgm_stat &gt;= perc_85, converted_stat * 1.5, converted_stat)))))</f>
        <v/>
      </c>
      <c r="R226" s="30" t="str">
        <f t="array" ref="R226">IF($A226="", "", LET(bbgm_stat, INDEX(Players!$A225:$P225, MATCH(R$2, Players!$A$1:$P$1, 0)), perc_75, VLOOKUP(R$2, Percentiles!$A$45:$I$59, 6, FALSE), perc_90, VLOOKUP(R$2, Percentiles!$A$45:$I$59, 7, FALSE), perc_95, VLOOKUP(R$2, Percentiles!$A$45:$I$59, 8, FALSE), perc_85, perc_75 + (perc_90 - perc_75) * (2/3), converted_stat, '2K_Ratings'!R226, IF(bbgm_stat &gt;= perc_95, converted_stat * 3, IF(bbgm_stat &gt;= perc_90, converted_stat * 2, IF(bbgm_stat &gt;= perc_85, converted_stat * 1.5, converted_stat)))))</f>
        <v/>
      </c>
      <c r="S226" s="30" t="str">
        <f t="array" ref="S226">IF($A226="", "", LET(bbgm_stat, INDEX(Players!$A225:$P225, MATCH(S$2, Players!$A$1:$P$1, 0)), perc_75, VLOOKUP(S$2, Percentiles!$A$45:$I$59, 6, FALSE), perc_90, VLOOKUP(S$2, Percentiles!$A$45:$I$59, 7, FALSE), perc_95, VLOOKUP(S$2, Percentiles!$A$45:$I$59, 8, FALSE), perc_85, perc_75 + (perc_90 - perc_75) * (2/3), converted_stat, '2K_Ratings'!S226, IF(bbgm_stat &gt;= perc_95, converted_stat * 3, IF(bbgm_stat &gt;= perc_90, converted_stat * 2, IF(bbgm_stat &gt;= perc_85, converted_stat * 1.5, converted_stat)))))</f>
        <v/>
      </c>
      <c r="T226" s="30" t="str">
        <f t="array" ref="T226">IF($A226="", "", LET(bbgm_stat, INDEX(Players!$A225:$P225, MATCH(T$2, Players!$A$1:$P$1, 0)), perc_75, VLOOKUP(T$2, Percentiles!$A$45:$I$59, 6, FALSE), perc_90, VLOOKUP(T$2, Percentiles!$A$45:$I$59, 7, FALSE), perc_95, VLOOKUP(T$2, Percentiles!$A$45:$I$59, 8, FALSE), perc_85, perc_75 + (perc_90 - perc_75) * (2/3), converted_stat, '2K_Ratings'!T226, IF(bbgm_stat &gt;= perc_95, converted_stat * 3, IF(bbgm_stat &gt;= perc_90, converted_stat * 2, IF(bbgm_stat &gt;= perc_85, converted_stat * 1.5, converted_stat)))))</f>
        <v/>
      </c>
      <c r="U226" s="30" t="str">
        <f t="array" ref="U226">IF($A226="", "", LET(bbgm_stat, INDEX(Players!$A225:$P225, MATCH(U$2, Players!$A$1:$P$1, 0)), perc_75, VLOOKUP(U$2, Percentiles!$A$45:$I$59, 6, FALSE), perc_90, VLOOKUP(U$2, Percentiles!$A$45:$I$59, 7, FALSE), perc_95, VLOOKUP(U$2, Percentiles!$A$45:$I$59, 8, FALSE), perc_85, perc_75 + (perc_90 - perc_75) * (2/3), converted_stat, '2K_Ratings'!U226, IF(bbgm_stat &gt;= perc_95, converted_stat * 3, IF(bbgm_stat &gt;= perc_90, converted_stat * 2, IF(bbgm_stat &gt;= perc_85, converted_stat * 1.5, converted_stat)))))</f>
        <v/>
      </c>
      <c r="V226" s="30" t="str">
        <f t="array" ref="V226">IF($A226="", "", LET(bbgm_stat, INDEX(Players!$A225:$P225, MATCH(V$2, Players!$A$1:$P$1, 0)), perc_75, VLOOKUP(V$2, Percentiles!$A$45:$I$59, 6, FALSE), perc_90, VLOOKUP(V$2, Percentiles!$A$45:$I$59, 7, FALSE), perc_95, VLOOKUP(V$2, Percentiles!$A$45:$I$59, 8, FALSE), perc_85, perc_75 + (perc_90 - perc_75) * (2/3), converted_stat, '2K_Ratings'!V226, IF(bbgm_stat &gt;= perc_95, converted_stat * 3, IF(bbgm_stat &gt;= perc_90, converted_stat * 2, IF(bbgm_stat &gt;= perc_85, converted_stat * 1.5, converted_stat)))))</f>
        <v/>
      </c>
      <c r="W226" s="30" t="str">
        <f t="array" ref="W226">IF($A226="", "", LET(bbgm_stat, INDEX(Players!$A225:$P225, MATCH(W$2, Players!$A$1:$P$1, 0)), perc_75, VLOOKUP(W$2, Percentiles!$A$45:$I$59, 6, FALSE), perc_90, VLOOKUP(W$2, Percentiles!$A$45:$I$59, 7, FALSE), perc_95, VLOOKUP(W$2, Percentiles!$A$45:$I$59, 8, FALSE), perc_85, perc_75 + (perc_90 - perc_75) * (2/3), converted_stat, '2K_Ratings'!W226, IF(bbgm_stat &gt;= perc_95, converted_stat * 3, IF(bbgm_stat &gt;= perc_90, converted_stat * 2, IF(bbgm_stat &gt;= perc_85, converted_stat * 1.5, converted_stat)))))</f>
        <v/>
      </c>
    </row>
    <row r="227">
      <c r="A227" s="30"/>
      <c r="B227" s="30" t="str">
        <f t="array" ref="B227">IF($A227="", "", LET(bbgm_stat, INDEX(Players!$A226:$P226, MATCH(B$2, Players!$A$1:$P$1, 0)), perc_75, VLOOKUP(B$2, Percentiles!$A$45:$I$59, 6, FALSE), perc_90, VLOOKUP(B$2, Percentiles!$A$45:$I$59, 7, FALSE), perc_95, VLOOKUP(B$2, Percentiles!$A$45:$I$59, 8, FALSE), perc_85, perc_75 + (perc_90 - perc_75) * (2/3), converted_stat, '2K_Ratings'!B227, IF(bbgm_stat &gt;= perc_95, converted_stat * 3, IF(bbgm_stat &gt;= perc_90, converted_stat * 2, IF(bbgm_stat &gt;= perc_85, converted_stat * 1.5, converted_stat)))))</f>
        <v/>
      </c>
      <c r="C227" s="30" t="str">
        <f t="array" ref="C227">IF($A227="", "", LET(bbgm_stat, INDEX(Players!$A226:$P226, MATCH(C$2, Players!$A$1:$P$1, 0)), perc_75, VLOOKUP(C$2, Percentiles!$A$45:$I$59, 6, FALSE), perc_90, VLOOKUP(C$2, Percentiles!$A$45:$I$59, 7, FALSE), perc_95, VLOOKUP(C$2, Percentiles!$A$45:$I$59, 8, FALSE), perc_85, perc_75 + (perc_90 - perc_75) * (2/3), converted_stat, '2K_Ratings'!C227, IF(bbgm_stat &gt;= perc_95, converted_stat * 3, IF(bbgm_stat &gt;= perc_90, converted_stat * 2, IF(bbgm_stat &gt;= perc_85, converted_stat * 1.5, converted_stat)))))</f>
        <v/>
      </c>
      <c r="D227" s="30" t="str">
        <f t="array" ref="D227">IF($A227="", "", LET(bbgm_stat, INDEX(Players!$A226:$P226, MATCH(D$2, Players!$A$1:$P$1, 0)), perc_75, VLOOKUP(D$2, Percentiles!$A$45:$I$59, 6, FALSE), perc_90, VLOOKUP(D$2, Percentiles!$A$45:$I$59, 7, FALSE), perc_95, VLOOKUP(D$2, Percentiles!$A$45:$I$59, 8, FALSE), perc_85, perc_75 + (perc_90 - perc_75) * (2/3), converted_stat, '2K_Ratings'!D227, IF(bbgm_stat &gt;= perc_95, converted_stat * 3, IF(bbgm_stat &gt;= perc_90, converted_stat * 2, IF(bbgm_stat &gt;= perc_85, converted_stat * 1.5, converted_stat)))))</f>
        <v/>
      </c>
      <c r="E227" s="30" t="str">
        <f t="array" ref="E227">IF($A227="", "", LET(bbgm_stat, INDEX(Players!$A226:$P226, MATCH(E$2, Players!$A$1:$P$1, 0)), perc_75, VLOOKUP(E$2, Percentiles!$A$45:$I$59, 6, FALSE), perc_90, VLOOKUP(E$2, Percentiles!$A$45:$I$59, 7, FALSE), perc_95, VLOOKUP(E$2, Percentiles!$A$45:$I$59, 8, FALSE), perc_85, perc_75 + (perc_90 - perc_75) * (2/3), converted_stat, '2K_Ratings'!E227, IF(bbgm_stat &gt;= perc_95, converted_stat * 3, IF(bbgm_stat &gt;= perc_90, converted_stat * 2, IF(bbgm_stat &gt;= perc_85, converted_stat * 1.5, converted_stat)))))</f>
        <v/>
      </c>
      <c r="F227" s="30" t="str">
        <f t="array" ref="F227">IF($A227="", "", LET(bbgm_stat, INDEX(Players!$A226:$P226, MATCH(F$2, Players!$A$1:$P$1, 0)), perc_75, VLOOKUP(F$2, Percentiles!$A$45:$I$59, 6, FALSE), perc_90, VLOOKUP(F$2, Percentiles!$A$45:$I$59, 7, FALSE), perc_95, VLOOKUP(F$2, Percentiles!$A$45:$I$59, 8, FALSE), perc_85, perc_75 + (perc_90 - perc_75) * (2/3), converted_stat, '2K_Ratings'!F227, IF(bbgm_stat &gt;= perc_95, converted_stat * 3, IF(bbgm_stat &gt;= perc_90, converted_stat * 2, IF(bbgm_stat &gt;= perc_85, converted_stat * 1.5, converted_stat)))))</f>
        <v/>
      </c>
      <c r="G227" s="30" t="str">
        <f t="array" ref="G227">IF($A227="", "", LET(bbgm_stat, INDEX(Players!$A226:$P226, MATCH(G$2, Players!$A$1:$P$1, 0)), perc_75, VLOOKUP(G$2, Percentiles!$A$45:$I$59, 6, FALSE), perc_90, VLOOKUP(G$2, Percentiles!$A$45:$I$59, 7, FALSE), perc_95, VLOOKUP(G$2, Percentiles!$A$45:$I$59, 8, FALSE), perc_85, perc_75 + (perc_90 - perc_75) * (2/3), converted_stat, '2K_Ratings'!G227, IF(bbgm_stat &gt;= perc_95, converted_stat * 3, IF(bbgm_stat &gt;= perc_90, converted_stat * 2, IF(bbgm_stat &gt;= perc_85, converted_stat * 1.5, converted_stat)))))</f>
        <v/>
      </c>
      <c r="H227" s="30" t="str">
        <f t="array" ref="H227">IF($A227="", "", LET(bbgm_stat, INDEX(Players!$A226:$P226, MATCH(H$2, Players!$A$1:$P$1, 0)), perc_75, VLOOKUP(H$2, Percentiles!$A$45:$I$59, 6, FALSE), perc_90, VLOOKUP(H$2, Percentiles!$A$45:$I$59, 7, FALSE), perc_95, VLOOKUP(H$2, Percentiles!$A$45:$I$59, 8, FALSE), perc_85, perc_75 + (perc_90 - perc_75) * (2/3), converted_stat, '2K_Ratings'!H227, IF(bbgm_stat &gt;= perc_95, converted_stat * 3, IF(bbgm_stat &gt;= perc_90, converted_stat * 2, IF(bbgm_stat &gt;= perc_85, converted_stat * 1.5, converted_stat)))))</f>
        <v/>
      </c>
      <c r="I227" s="30" t="str">
        <f t="array" ref="I227">IF($A227="", "", LET(bbgm_stat, INDEX(Players!$A226:$P226, MATCH(I$2, Players!$A$1:$P$1, 0)), perc_75, VLOOKUP(I$2, Percentiles!$A$45:$I$59, 6, FALSE), perc_90, VLOOKUP(I$2, Percentiles!$A$45:$I$59, 7, FALSE), perc_95, VLOOKUP(I$2, Percentiles!$A$45:$I$59, 8, FALSE), perc_85, perc_75 + (perc_90 - perc_75) * (2/3), converted_stat, '2K_Ratings'!I227, IF(bbgm_stat &gt;= perc_95, converted_stat * 3, IF(bbgm_stat &gt;= perc_90, converted_stat * 2, IF(bbgm_stat &gt;= perc_85, converted_stat * 1.5, converted_stat)))))</f>
        <v/>
      </c>
      <c r="J227" s="30" t="str">
        <f t="array" ref="J227">IF($A227="", "", LET(bbgm_stat, INDEX(Players!$A226:$P226, MATCH(J$2, Players!$A$1:$P$1, 0)), perc_75, VLOOKUP(J$2, Percentiles!$A$45:$I$59, 6, FALSE), perc_90, VLOOKUP(J$2, Percentiles!$A$45:$I$59, 7, FALSE), perc_95, VLOOKUP(J$2, Percentiles!$A$45:$I$59, 8, FALSE), perc_85, perc_75 + (perc_90 - perc_75) * (2/3), converted_stat, '2K_Ratings'!J227, IF(bbgm_stat &gt;= perc_95, converted_stat * 3, IF(bbgm_stat &gt;= perc_90, converted_stat * 2, IF(bbgm_stat &gt;= perc_85, converted_stat * 1.5, converted_stat)))))</f>
        <v/>
      </c>
      <c r="K227" s="30" t="str">
        <f t="array" ref="K227">IF($A227="", "", LET(bbgm_stat, INDEX(Players!$A226:$P226, MATCH(K$2, Players!$A$1:$P$1, 0)), perc_75, VLOOKUP(K$2, Percentiles!$A$45:$I$59, 6, FALSE), perc_90, VLOOKUP(K$2, Percentiles!$A$45:$I$59, 7, FALSE), perc_95, VLOOKUP(K$2, Percentiles!$A$45:$I$59, 8, FALSE), perc_85, perc_75 + (perc_90 - perc_75) * (2/3), converted_stat, '2K_Ratings'!K227, IF(bbgm_stat &gt;= perc_95, converted_stat * 3, IF(bbgm_stat &gt;= perc_90, converted_stat * 2, IF(bbgm_stat &gt;= perc_85, converted_stat * 1.5, converted_stat)))))</f>
        <v/>
      </c>
      <c r="L227" s="30" t="str">
        <f t="array" ref="L227">IF($A227="", "", LET(bbgm_stat, INDEX(Players!$A226:$P226, MATCH(L$2, Players!$A$1:$P$1, 0)), perc_75, VLOOKUP(L$2, Percentiles!$A$45:$I$59, 6, FALSE), perc_90, VLOOKUP(L$2, Percentiles!$A$45:$I$59, 7, FALSE), perc_95, VLOOKUP(L$2, Percentiles!$A$45:$I$59, 8, FALSE), perc_85, perc_75 + (perc_90 - perc_75) * (2/3), converted_stat, '2K_Ratings'!L227, IF(bbgm_stat &gt;= perc_95, converted_stat * 3, IF(bbgm_stat &gt;= perc_90, converted_stat * 2, IF(bbgm_stat &gt;= perc_85, converted_stat * 1.5, converted_stat)))))</f>
        <v/>
      </c>
      <c r="M227" s="30" t="str">
        <f t="array" ref="M227">IF($A227="", "", LET(bbgm_stat, INDEX(Players!$A226:$P226, MATCH(M$2, Players!$A$1:$P$1, 0)), perc_75, VLOOKUP(M$2, Percentiles!$A$45:$I$59, 6, FALSE), perc_90, VLOOKUP(M$2, Percentiles!$A$45:$I$59, 7, FALSE), perc_95, VLOOKUP(M$2, Percentiles!$A$45:$I$59, 8, FALSE), perc_85, perc_75 + (perc_90 - perc_75) * (2/3), converted_stat, '2K_Ratings'!M227, IF(bbgm_stat &gt;= perc_95, converted_stat * 3, IF(bbgm_stat &gt;= perc_90, converted_stat * 2, IF(bbgm_stat &gt;= perc_85, converted_stat * 1.5, converted_stat)))))</f>
        <v/>
      </c>
      <c r="N227" s="30" t="str">
        <f t="array" ref="N227">IF($A227="", "", LET(bbgm_stat, INDEX(Players!$A226:$P226, MATCH(N$2, Players!$A$1:$P$1, 0)), perc_75, VLOOKUP(N$2, Percentiles!$A$45:$I$59, 6, FALSE), perc_90, VLOOKUP(N$2, Percentiles!$A$45:$I$59, 7, FALSE), perc_95, VLOOKUP(N$2, Percentiles!$A$45:$I$59, 8, FALSE), perc_85, perc_75 + (perc_90 - perc_75) * (2/3), converted_stat, '2K_Ratings'!N227, IF(bbgm_stat &gt;= perc_95, converted_stat * 3, IF(bbgm_stat &gt;= perc_90, converted_stat * 2, IF(bbgm_stat &gt;= perc_85, converted_stat * 1.5, converted_stat)))))</f>
        <v/>
      </c>
      <c r="O227" s="30" t="str">
        <f t="array" ref="O227">IF($A227="", "", LET(bbgm_stat, INDEX(Players!$A226:$P226, MATCH(O$2, Players!$A$1:$P$1, 0)), perc_75, VLOOKUP(O$2, Percentiles!$A$45:$I$59, 6, FALSE), perc_90, VLOOKUP(O$2, Percentiles!$A$45:$I$59, 7, FALSE), perc_95, VLOOKUP(O$2, Percentiles!$A$45:$I$59, 8, FALSE), perc_85, perc_75 + (perc_90 - perc_75) * (2/3), converted_stat, '2K_Ratings'!O227, IF(bbgm_stat &gt;= perc_95, converted_stat * 3, IF(bbgm_stat &gt;= perc_90, converted_stat * 2, IF(bbgm_stat &gt;= perc_85, converted_stat * 1.5, converted_stat)))))</f>
        <v/>
      </c>
      <c r="P227" s="30" t="str">
        <f t="array" ref="P227">IF($A227="", "", LET(bbgm_stat, INDEX(Players!$A226:$P226, MATCH(P$2, Players!$A$1:$P$1, 0)), perc_75, VLOOKUP(P$2, Percentiles!$A$45:$I$59, 6, FALSE), perc_90, VLOOKUP(P$2, Percentiles!$A$45:$I$59, 7, FALSE), perc_95, VLOOKUP(P$2, Percentiles!$A$45:$I$59, 8, FALSE), perc_85, perc_75 + (perc_90 - perc_75) * (2/3), converted_stat, '2K_Ratings'!P227, IF(bbgm_stat &gt;= perc_95, converted_stat * 3, IF(bbgm_stat &gt;= perc_90, converted_stat * 2, IF(bbgm_stat &gt;= perc_85, converted_stat * 1.5, converted_stat)))))</f>
        <v/>
      </c>
      <c r="Q227" s="30" t="str">
        <f t="array" ref="Q227">IF($A227="", "", LET(bbgm_stat, INDEX(Players!$A226:$P226, MATCH(Q$2, Players!$A$1:$P$1, 0)), perc_75, VLOOKUP(Q$2, Percentiles!$A$45:$I$59, 6, FALSE), perc_90, VLOOKUP(Q$2, Percentiles!$A$45:$I$59, 7, FALSE), perc_95, VLOOKUP(Q$2, Percentiles!$A$45:$I$59, 8, FALSE), perc_85, perc_75 + (perc_90 - perc_75) * (2/3), converted_stat, '2K_Ratings'!Q227, IF(bbgm_stat &gt;= perc_95, converted_stat * 3, IF(bbgm_stat &gt;= perc_90, converted_stat * 2, IF(bbgm_stat &gt;= perc_85, converted_stat * 1.5, converted_stat)))))</f>
        <v/>
      </c>
      <c r="R227" s="30" t="str">
        <f t="array" ref="R227">IF($A227="", "", LET(bbgm_stat, INDEX(Players!$A226:$P226, MATCH(R$2, Players!$A$1:$P$1, 0)), perc_75, VLOOKUP(R$2, Percentiles!$A$45:$I$59, 6, FALSE), perc_90, VLOOKUP(R$2, Percentiles!$A$45:$I$59, 7, FALSE), perc_95, VLOOKUP(R$2, Percentiles!$A$45:$I$59, 8, FALSE), perc_85, perc_75 + (perc_90 - perc_75) * (2/3), converted_stat, '2K_Ratings'!R227, IF(bbgm_stat &gt;= perc_95, converted_stat * 3, IF(bbgm_stat &gt;= perc_90, converted_stat * 2, IF(bbgm_stat &gt;= perc_85, converted_stat * 1.5, converted_stat)))))</f>
        <v/>
      </c>
      <c r="S227" s="30" t="str">
        <f t="array" ref="S227">IF($A227="", "", LET(bbgm_stat, INDEX(Players!$A226:$P226, MATCH(S$2, Players!$A$1:$P$1, 0)), perc_75, VLOOKUP(S$2, Percentiles!$A$45:$I$59, 6, FALSE), perc_90, VLOOKUP(S$2, Percentiles!$A$45:$I$59, 7, FALSE), perc_95, VLOOKUP(S$2, Percentiles!$A$45:$I$59, 8, FALSE), perc_85, perc_75 + (perc_90 - perc_75) * (2/3), converted_stat, '2K_Ratings'!S227, IF(bbgm_stat &gt;= perc_95, converted_stat * 3, IF(bbgm_stat &gt;= perc_90, converted_stat * 2, IF(bbgm_stat &gt;= perc_85, converted_stat * 1.5, converted_stat)))))</f>
        <v/>
      </c>
      <c r="T227" s="30" t="str">
        <f t="array" ref="T227">IF($A227="", "", LET(bbgm_stat, INDEX(Players!$A226:$P226, MATCH(T$2, Players!$A$1:$P$1, 0)), perc_75, VLOOKUP(T$2, Percentiles!$A$45:$I$59, 6, FALSE), perc_90, VLOOKUP(T$2, Percentiles!$A$45:$I$59, 7, FALSE), perc_95, VLOOKUP(T$2, Percentiles!$A$45:$I$59, 8, FALSE), perc_85, perc_75 + (perc_90 - perc_75) * (2/3), converted_stat, '2K_Ratings'!T227, IF(bbgm_stat &gt;= perc_95, converted_stat * 3, IF(bbgm_stat &gt;= perc_90, converted_stat * 2, IF(bbgm_stat &gt;= perc_85, converted_stat * 1.5, converted_stat)))))</f>
        <v/>
      </c>
      <c r="U227" s="30" t="str">
        <f t="array" ref="U227">IF($A227="", "", LET(bbgm_stat, INDEX(Players!$A226:$P226, MATCH(U$2, Players!$A$1:$P$1, 0)), perc_75, VLOOKUP(U$2, Percentiles!$A$45:$I$59, 6, FALSE), perc_90, VLOOKUP(U$2, Percentiles!$A$45:$I$59, 7, FALSE), perc_95, VLOOKUP(U$2, Percentiles!$A$45:$I$59, 8, FALSE), perc_85, perc_75 + (perc_90 - perc_75) * (2/3), converted_stat, '2K_Ratings'!U227, IF(bbgm_stat &gt;= perc_95, converted_stat * 3, IF(bbgm_stat &gt;= perc_90, converted_stat * 2, IF(bbgm_stat &gt;= perc_85, converted_stat * 1.5, converted_stat)))))</f>
        <v/>
      </c>
      <c r="V227" s="30" t="str">
        <f t="array" ref="V227">IF($A227="", "", LET(bbgm_stat, INDEX(Players!$A226:$P226, MATCH(V$2, Players!$A$1:$P$1, 0)), perc_75, VLOOKUP(V$2, Percentiles!$A$45:$I$59, 6, FALSE), perc_90, VLOOKUP(V$2, Percentiles!$A$45:$I$59, 7, FALSE), perc_95, VLOOKUP(V$2, Percentiles!$A$45:$I$59, 8, FALSE), perc_85, perc_75 + (perc_90 - perc_75) * (2/3), converted_stat, '2K_Ratings'!V227, IF(bbgm_stat &gt;= perc_95, converted_stat * 3, IF(bbgm_stat &gt;= perc_90, converted_stat * 2, IF(bbgm_stat &gt;= perc_85, converted_stat * 1.5, converted_stat)))))</f>
        <v/>
      </c>
      <c r="W227" s="30" t="str">
        <f t="array" ref="W227">IF($A227="", "", LET(bbgm_stat, INDEX(Players!$A226:$P226, MATCH(W$2, Players!$A$1:$P$1, 0)), perc_75, VLOOKUP(W$2, Percentiles!$A$45:$I$59, 6, FALSE), perc_90, VLOOKUP(W$2, Percentiles!$A$45:$I$59, 7, FALSE), perc_95, VLOOKUP(W$2, Percentiles!$A$45:$I$59, 8, FALSE), perc_85, perc_75 + (perc_90 - perc_75) * (2/3), converted_stat, '2K_Ratings'!W227, IF(bbgm_stat &gt;= perc_95, converted_stat * 3, IF(bbgm_stat &gt;= perc_90, converted_stat * 2, IF(bbgm_stat &gt;= perc_85, converted_stat * 1.5, converted_stat)))))</f>
        <v/>
      </c>
    </row>
    <row r="228">
      <c r="A228" s="30"/>
      <c r="B228" s="30" t="str">
        <f t="array" ref="B228">IF($A228="", "", LET(bbgm_stat, INDEX(Players!$A227:$P227, MATCH(B$2, Players!$A$1:$P$1, 0)), perc_75, VLOOKUP(B$2, Percentiles!$A$45:$I$59, 6, FALSE), perc_90, VLOOKUP(B$2, Percentiles!$A$45:$I$59, 7, FALSE), perc_95, VLOOKUP(B$2, Percentiles!$A$45:$I$59, 8, FALSE), perc_85, perc_75 + (perc_90 - perc_75) * (2/3), converted_stat, '2K_Ratings'!B228, IF(bbgm_stat &gt;= perc_95, converted_stat * 3, IF(bbgm_stat &gt;= perc_90, converted_stat * 2, IF(bbgm_stat &gt;= perc_85, converted_stat * 1.5, converted_stat)))))</f>
        <v/>
      </c>
      <c r="C228" s="30" t="str">
        <f t="array" ref="C228">IF($A228="", "", LET(bbgm_stat, INDEX(Players!$A227:$P227, MATCH(C$2, Players!$A$1:$P$1, 0)), perc_75, VLOOKUP(C$2, Percentiles!$A$45:$I$59, 6, FALSE), perc_90, VLOOKUP(C$2, Percentiles!$A$45:$I$59, 7, FALSE), perc_95, VLOOKUP(C$2, Percentiles!$A$45:$I$59, 8, FALSE), perc_85, perc_75 + (perc_90 - perc_75) * (2/3), converted_stat, '2K_Ratings'!C228, IF(bbgm_stat &gt;= perc_95, converted_stat * 3, IF(bbgm_stat &gt;= perc_90, converted_stat * 2, IF(bbgm_stat &gt;= perc_85, converted_stat * 1.5, converted_stat)))))</f>
        <v/>
      </c>
      <c r="D228" s="30" t="str">
        <f t="array" ref="D228">IF($A228="", "", LET(bbgm_stat, INDEX(Players!$A227:$P227, MATCH(D$2, Players!$A$1:$P$1, 0)), perc_75, VLOOKUP(D$2, Percentiles!$A$45:$I$59, 6, FALSE), perc_90, VLOOKUP(D$2, Percentiles!$A$45:$I$59, 7, FALSE), perc_95, VLOOKUP(D$2, Percentiles!$A$45:$I$59, 8, FALSE), perc_85, perc_75 + (perc_90 - perc_75) * (2/3), converted_stat, '2K_Ratings'!D228, IF(bbgm_stat &gt;= perc_95, converted_stat * 3, IF(bbgm_stat &gt;= perc_90, converted_stat * 2, IF(bbgm_stat &gt;= perc_85, converted_stat * 1.5, converted_stat)))))</f>
        <v/>
      </c>
      <c r="E228" s="30" t="str">
        <f t="array" ref="E228">IF($A228="", "", LET(bbgm_stat, INDEX(Players!$A227:$P227, MATCH(E$2, Players!$A$1:$P$1, 0)), perc_75, VLOOKUP(E$2, Percentiles!$A$45:$I$59, 6, FALSE), perc_90, VLOOKUP(E$2, Percentiles!$A$45:$I$59, 7, FALSE), perc_95, VLOOKUP(E$2, Percentiles!$A$45:$I$59, 8, FALSE), perc_85, perc_75 + (perc_90 - perc_75) * (2/3), converted_stat, '2K_Ratings'!E228, IF(bbgm_stat &gt;= perc_95, converted_stat * 3, IF(bbgm_stat &gt;= perc_90, converted_stat * 2, IF(bbgm_stat &gt;= perc_85, converted_stat * 1.5, converted_stat)))))</f>
        <v/>
      </c>
      <c r="F228" s="30" t="str">
        <f t="array" ref="F228">IF($A228="", "", LET(bbgm_stat, INDEX(Players!$A227:$P227, MATCH(F$2, Players!$A$1:$P$1, 0)), perc_75, VLOOKUP(F$2, Percentiles!$A$45:$I$59, 6, FALSE), perc_90, VLOOKUP(F$2, Percentiles!$A$45:$I$59, 7, FALSE), perc_95, VLOOKUP(F$2, Percentiles!$A$45:$I$59, 8, FALSE), perc_85, perc_75 + (perc_90 - perc_75) * (2/3), converted_stat, '2K_Ratings'!F228, IF(bbgm_stat &gt;= perc_95, converted_stat * 3, IF(bbgm_stat &gt;= perc_90, converted_stat * 2, IF(bbgm_stat &gt;= perc_85, converted_stat * 1.5, converted_stat)))))</f>
        <v/>
      </c>
      <c r="G228" s="30" t="str">
        <f t="array" ref="G228">IF($A228="", "", LET(bbgm_stat, INDEX(Players!$A227:$P227, MATCH(G$2, Players!$A$1:$P$1, 0)), perc_75, VLOOKUP(G$2, Percentiles!$A$45:$I$59, 6, FALSE), perc_90, VLOOKUP(G$2, Percentiles!$A$45:$I$59, 7, FALSE), perc_95, VLOOKUP(G$2, Percentiles!$A$45:$I$59, 8, FALSE), perc_85, perc_75 + (perc_90 - perc_75) * (2/3), converted_stat, '2K_Ratings'!G228, IF(bbgm_stat &gt;= perc_95, converted_stat * 3, IF(bbgm_stat &gt;= perc_90, converted_stat * 2, IF(bbgm_stat &gt;= perc_85, converted_stat * 1.5, converted_stat)))))</f>
        <v/>
      </c>
      <c r="H228" s="30" t="str">
        <f t="array" ref="H228">IF($A228="", "", LET(bbgm_stat, INDEX(Players!$A227:$P227, MATCH(H$2, Players!$A$1:$P$1, 0)), perc_75, VLOOKUP(H$2, Percentiles!$A$45:$I$59, 6, FALSE), perc_90, VLOOKUP(H$2, Percentiles!$A$45:$I$59, 7, FALSE), perc_95, VLOOKUP(H$2, Percentiles!$A$45:$I$59, 8, FALSE), perc_85, perc_75 + (perc_90 - perc_75) * (2/3), converted_stat, '2K_Ratings'!H228, IF(bbgm_stat &gt;= perc_95, converted_stat * 3, IF(bbgm_stat &gt;= perc_90, converted_stat * 2, IF(bbgm_stat &gt;= perc_85, converted_stat * 1.5, converted_stat)))))</f>
        <v/>
      </c>
      <c r="I228" s="30" t="str">
        <f t="array" ref="I228">IF($A228="", "", LET(bbgm_stat, INDEX(Players!$A227:$P227, MATCH(I$2, Players!$A$1:$P$1, 0)), perc_75, VLOOKUP(I$2, Percentiles!$A$45:$I$59, 6, FALSE), perc_90, VLOOKUP(I$2, Percentiles!$A$45:$I$59, 7, FALSE), perc_95, VLOOKUP(I$2, Percentiles!$A$45:$I$59, 8, FALSE), perc_85, perc_75 + (perc_90 - perc_75) * (2/3), converted_stat, '2K_Ratings'!I228, IF(bbgm_stat &gt;= perc_95, converted_stat * 3, IF(bbgm_stat &gt;= perc_90, converted_stat * 2, IF(bbgm_stat &gt;= perc_85, converted_stat * 1.5, converted_stat)))))</f>
        <v/>
      </c>
      <c r="J228" s="30" t="str">
        <f t="array" ref="J228">IF($A228="", "", LET(bbgm_stat, INDEX(Players!$A227:$P227, MATCH(J$2, Players!$A$1:$P$1, 0)), perc_75, VLOOKUP(J$2, Percentiles!$A$45:$I$59, 6, FALSE), perc_90, VLOOKUP(J$2, Percentiles!$A$45:$I$59, 7, FALSE), perc_95, VLOOKUP(J$2, Percentiles!$A$45:$I$59, 8, FALSE), perc_85, perc_75 + (perc_90 - perc_75) * (2/3), converted_stat, '2K_Ratings'!J228, IF(bbgm_stat &gt;= perc_95, converted_stat * 3, IF(bbgm_stat &gt;= perc_90, converted_stat * 2, IF(bbgm_stat &gt;= perc_85, converted_stat * 1.5, converted_stat)))))</f>
        <v/>
      </c>
      <c r="K228" s="30" t="str">
        <f t="array" ref="K228">IF($A228="", "", LET(bbgm_stat, INDEX(Players!$A227:$P227, MATCH(K$2, Players!$A$1:$P$1, 0)), perc_75, VLOOKUP(K$2, Percentiles!$A$45:$I$59, 6, FALSE), perc_90, VLOOKUP(K$2, Percentiles!$A$45:$I$59, 7, FALSE), perc_95, VLOOKUP(K$2, Percentiles!$A$45:$I$59, 8, FALSE), perc_85, perc_75 + (perc_90 - perc_75) * (2/3), converted_stat, '2K_Ratings'!K228, IF(bbgm_stat &gt;= perc_95, converted_stat * 3, IF(bbgm_stat &gt;= perc_90, converted_stat * 2, IF(bbgm_stat &gt;= perc_85, converted_stat * 1.5, converted_stat)))))</f>
        <v/>
      </c>
      <c r="L228" s="30" t="str">
        <f t="array" ref="L228">IF($A228="", "", LET(bbgm_stat, INDEX(Players!$A227:$P227, MATCH(L$2, Players!$A$1:$P$1, 0)), perc_75, VLOOKUP(L$2, Percentiles!$A$45:$I$59, 6, FALSE), perc_90, VLOOKUP(L$2, Percentiles!$A$45:$I$59, 7, FALSE), perc_95, VLOOKUP(L$2, Percentiles!$A$45:$I$59, 8, FALSE), perc_85, perc_75 + (perc_90 - perc_75) * (2/3), converted_stat, '2K_Ratings'!L228, IF(bbgm_stat &gt;= perc_95, converted_stat * 3, IF(bbgm_stat &gt;= perc_90, converted_stat * 2, IF(bbgm_stat &gt;= perc_85, converted_stat * 1.5, converted_stat)))))</f>
        <v/>
      </c>
      <c r="M228" s="30" t="str">
        <f t="array" ref="M228">IF($A228="", "", LET(bbgm_stat, INDEX(Players!$A227:$P227, MATCH(M$2, Players!$A$1:$P$1, 0)), perc_75, VLOOKUP(M$2, Percentiles!$A$45:$I$59, 6, FALSE), perc_90, VLOOKUP(M$2, Percentiles!$A$45:$I$59, 7, FALSE), perc_95, VLOOKUP(M$2, Percentiles!$A$45:$I$59, 8, FALSE), perc_85, perc_75 + (perc_90 - perc_75) * (2/3), converted_stat, '2K_Ratings'!M228, IF(bbgm_stat &gt;= perc_95, converted_stat * 3, IF(bbgm_stat &gt;= perc_90, converted_stat * 2, IF(bbgm_stat &gt;= perc_85, converted_stat * 1.5, converted_stat)))))</f>
        <v/>
      </c>
      <c r="N228" s="30" t="str">
        <f t="array" ref="N228">IF($A228="", "", LET(bbgm_stat, INDEX(Players!$A227:$P227, MATCH(N$2, Players!$A$1:$P$1, 0)), perc_75, VLOOKUP(N$2, Percentiles!$A$45:$I$59, 6, FALSE), perc_90, VLOOKUP(N$2, Percentiles!$A$45:$I$59, 7, FALSE), perc_95, VLOOKUP(N$2, Percentiles!$A$45:$I$59, 8, FALSE), perc_85, perc_75 + (perc_90 - perc_75) * (2/3), converted_stat, '2K_Ratings'!N228, IF(bbgm_stat &gt;= perc_95, converted_stat * 3, IF(bbgm_stat &gt;= perc_90, converted_stat * 2, IF(bbgm_stat &gt;= perc_85, converted_stat * 1.5, converted_stat)))))</f>
        <v/>
      </c>
      <c r="O228" s="30" t="str">
        <f t="array" ref="O228">IF($A228="", "", LET(bbgm_stat, INDEX(Players!$A227:$P227, MATCH(O$2, Players!$A$1:$P$1, 0)), perc_75, VLOOKUP(O$2, Percentiles!$A$45:$I$59, 6, FALSE), perc_90, VLOOKUP(O$2, Percentiles!$A$45:$I$59, 7, FALSE), perc_95, VLOOKUP(O$2, Percentiles!$A$45:$I$59, 8, FALSE), perc_85, perc_75 + (perc_90 - perc_75) * (2/3), converted_stat, '2K_Ratings'!O228, IF(bbgm_stat &gt;= perc_95, converted_stat * 3, IF(bbgm_stat &gt;= perc_90, converted_stat * 2, IF(bbgm_stat &gt;= perc_85, converted_stat * 1.5, converted_stat)))))</f>
        <v/>
      </c>
      <c r="P228" s="30" t="str">
        <f t="array" ref="P228">IF($A228="", "", LET(bbgm_stat, INDEX(Players!$A227:$P227, MATCH(P$2, Players!$A$1:$P$1, 0)), perc_75, VLOOKUP(P$2, Percentiles!$A$45:$I$59, 6, FALSE), perc_90, VLOOKUP(P$2, Percentiles!$A$45:$I$59, 7, FALSE), perc_95, VLOOKUP(P$2, Percentiles!$A$45:$I$59, 8, FALSE), perc_85, perc_75 + (perc_90 - perc_75) * (2/3), converted_stat, '2K_Ratings'!P228, IF(bbgm_stat &gt;= perc_95, converted_stat * 3, IF(bbgm_stat &gt;= perc_90, converted_stat * 2, IF(bbgm_stat &gt;= perc_85, converted_stat * 1.5, converted_stat)))))</f>
        <v/>
      </c>
      <c r="Q228" s="30" t="str">
        <f t="array" ref="Q228">IF($A228="", "", LET(bbgm_stat, INDEX(Players!$A227:$P227, MATCH(Q$2, Players!$A$1:$P$1, 0)), perc_75, VLOOKUP(Q$2, Percentiles!$A$45:$I$59, 6, FALSE), perc_90, VLOOKUP(Q$2, Percentiles!$A$45:$I$59, 7, FALSE), perc_95, VLOOKUP(Q$2, Percentiles!$A$45:$I$59, 8, FALSE), perc_85, perc_75 + (perc_90 - perc_75) * (2/3), converted_stat, '2K_Ratings'!Q228, IF(bbgm_stat &gt;= perc_95, converted_stat * 3, IF(bbgm_stat &gt;= perc_90, converted_stat * 2, IF(bbgm_stat &gt;= perc_85, converted_stat * 1.5, converted_stat)))))</f>
        <v/>
      </c>
      <c r="R228" s="30" t="str">
        <f t="array" ref="R228">IF($A228="", "", LET(bbgm_stat, INDEX(Players!$A227:$P227, MATCH(R$2, Players!$A$1:$P$1, 0)), perc_75, VLOOKUP(R$2, Percentiles!$A$45:$I$59, 6, FALSE), perc_90, VLOOKUP(R$2, Percentiles!$A$45:$I$59, 7, FALSE), perc_95, VLOOKUP(R$2, Percentiles!$A$45:$I$59, 8, FALSE), perc_85, perc_75 + (perc_90 - perc_75) * (2/3), converted_stat, '2K_Ratings'!R228, IF(bbgm_stat &gt;= perc_95, converted_stat * 3, IF(bbgm_stat &gt;= perc_90, converted_stat * 2, IF(bbgm_stat &gt;= perc_85, converted_stat * 1.5, converted_stat)))))</f>
        <v/>
      </c>
      <c r="S228" s="30" t="str">
        <f t="array" ref="S228">IF($A228="", "", LET(bbgm_stat, INDEX(Players!$A227:$P227, MATCH(S$2, Players!$A$1:$P$1, 0)), perc_75, VLOOKUP(S$2, Percentiles!$A$45:$I$59, 6, FALSE), perc_90, VLOOKUP(S$2, Percentiles!$A$45:$I$59, 7, FALSE), perc_95, VLOOKUP(S$2, Percentiles!$A$45:$I$59, 8, FALSE), perc_85, perc_75 + (perc_90 - perc_75) * (2/3), converted_stat, '2K_Ratings'!S228, IF(bbgm_stat &gt;= perc_95, converted_stat * 3, IF(bbgm_stat &gt;= perc_90, converted_stat * 2, IF(bbgm_stat &gt;= perc_85, converted_stat * 1.5, converted_stat)))))</f>
        <v/>
      </c>
      <c r="T228" s="30" t="str">
        <f t="array" ref="T228">IF($A228="", "", LET(bbgm_stat, INDEX(Players!$A227:$P227, MATCH(T$2, Players!$A$1:$P$1, 0)), perc_75, VLOOKUP(T$2, Percentiles!$A$45:$I$59, 6, FALSE), perc_90, VLOOKUP(T$2, Percentiles!$A$45:$I$59, 7, FALSE), perc_95, VLOOKUP(T$2, Percentiles!$A$45:$I$59, 8, FALSE), perc_85, perc_75 + (perc_90 - perc_75) * (2/3), converted_stat, '2K_Ratings'!T228, IF(bbgm_stat &gt;= perc_95, converted_stat * 3, IF(bbgm_stat &gt;= perc_90, converted_stat * 2, IF(bbgm_stat &gt;= perc_85, converted_stat * 1.5, converted_stat)))))</f>
        <v/>
      </c>
      <c r="U228" s="30" t="str">
        <f t="array" ref="U228">IF($A228="", "", LET(bbgm_stat, INDEX(Players!$A227:$P227, MATCH(U$2, Players!$A$1:$P$1, 0)), perc_75, VLOOKUP(U$2, Percentiles!$A$45:$I$59, 6, FALSE), perc_90, VLOOKUP(U$2, Percentiles!$A$45:$I$59, 7, FALSE), perc_95, VLOOKUP(U$2, Percentiles!$A$45:$I$59, 8, FALSE), perc_85, perc_75 + (perc_90 - perc_75) * (2/3), converted_stat, '2K_Ratings'!U228, IF(bbgm_stat &gt;= perc_95, converted_stat * 3, IF(bbgm_stat &gt;= perc_90, converted_stat * 2, IF(bbgm_stat &gt;= perc_85, converted_stat * 1.5, converted_stat)))))</f>
        <v/>
      </c>
      <c r="V228" s="30" t="str">
        <f t="array" ref="V228">IF($A228="", "", LET(bbgm_stat, INDEX(Players!$A227:$P227, MATCH(V$2, Players!$A$1:$P$1, 0)), perc_75, VLOOKUP(V$2, Percentiles!$A$45:$I$59, 6, FALSE), perc_90, VLOOKUP(V$2, Percentiles!$A$45:$I$59, 7, FALSE), perc_95, VLOOKUP(V$2, Percentiles!$A$45:$I$59, 8, FALSE), perc_85, perc_75 + (perc_90 - perc_75) * (2/3), converted_stat, '2K_Ratings'!V228, IF(bbgm_stat &gt;= perc_95, converted_stat * 3, IF(bbgm_stat &gt;= perc_90, converted_stat * 2, IF(bbgm_stat &gt;= perc_85, converted_stat * 1.5, converted_stat)))))</f>
        <v/>
      </c>
      <c r="W228" s="30" t="str">
        <f t="array" ref="W228">IF($A228="", "", LET(bbgm_stat, INDEX(Players!$A227:$P227, MATCH(W$2, Players!$A$1:$P$1, 0)), perc_75, VLOOKUP(W$2, Percentiles!$A$45:$I$59, 6, FALSE), perc_90, VLOOKUP(W$2, Percentiles!$A$45:$I$59, 7, FALSE), perc_95, VLOOKUP(W$2, Percentiles!$A$45:$I$59, 8, FALSE), perc_85, perc_75 + (perc_90 - perc_75) * (2/3), converted_stat, '2K_Ratings'!W228, IF(bbgm_stat &gt;= perc_95, converted_stat * 3, IF(bbgm_stat &gt;= perc_90, converted_stat * 2, IF(bbgm_stat &gt;= perc_85, converted_stat * 1.5, converted_stat)))))</f>
        <v/>
      </c>
    </row>
    <row r="229">
      <c r="A229" s="30"/>
      <c r="B229" s="30" t="str">
        <f t="array" ref="B229">IF($A229="", "", LET(bbgm_stat, INDEX(Players!$A228:$P228, MATCH(B$2, Players!$A$1:$P$1, 0)), perc_75, VLOOKUP(B$2, Percentiles!$A$45:$I$59, 6, FALSE), perc_90, VLOOKUP(B$2, Percentiles!$A$45:$I$59, 7, FALSE), perc_95, VLOOKUP(B$2, Percentiles!$A$45:$I$59, 8, FALSE), perc_85, perc_75 + (perc_90 - perc_75) * (2/3), converted_stat, '2K_Ratings'!B229, IF(bbgm_stat &gt;= perc_95, converted_stat * 3, IF(bbgm_stat &gt;= perc_90, converted_stat * 2, IF(bbgm_stat &gt;= perc_85, converted_stat * 1.5, converted_stat)))))</f>
        <v/>
      </c>
      <c r="C229" s="30" t="str">
        <f t="array" ref="C229">IF($A229="", "", LET(bbgm_stat, INDEX(Players!$A228:$P228, MATCH(C$2, Players!$A$1:$P$1, 0)), perc_75, VLOOKUP(C$2, Percentiles!$A$45:$I$59, 6, FALSE), perc_90, VLOOKUP(C$2, Percentiles!$A$45:$I$59, 7, FALSE), perc_95, VLOOKUP(C$2, Percentiles!$A$45:$I$59, 8, FALSE), perc_85, perc_75 + (perc_90 - perc_75) * (2/3), converted_stat, '2K_Ratings'!C229, IF(bbgm_stat &gt;= perc_95, converted_stat * 3, IF(bbgm_stat &gt;= perc_90, converted_stat * 2, IF(bbgm_stat &gt;= perc_85, converted_stat * 1.5, converted_stat)))))</f>
        <v/>
      </c>
      <c r="D229" s="30" t="str">
        <f t="array" ref="D229">IF($A229="", "", LET(bbgm_stat, INDEX(Players!$A228:$P228, MATCH(D$2, Players!$A$1:$P$1, 0)), perc_75, VLOOKUP(D$2, Percentiles!$A$45:$I$59, 6, FALSE), perc_90, VLOOKUP(D$2, Percentiles!$A$45:$I$59, 7, FALSE), perc_95, VLOOKUP(D$2, Percentiles!$A$45:$I$59, 8, FALSE), perc_85, perc_75 + (perc_90 - perc_75) * (2/3), converted_stat, '2K_Ratings'!D229, IF(bbgm_stat &gt;= perc_95, converted_stat * 3, IF(bbgm_stat &gt;= perc_90, converted_stat * 2, IF(bbgm_stat &gt;= perc_85, converted_stat * 1.5, converted_stat)))))</f>
        <v/>
      </c>
      <c r="E229" s="30" t="str">
        <f t="array" ref="E229">IF($A229="", "", LET(bbgm_stat, INDEX(Players!$A228:$P228, MATCH(E$2, Players!$A$1:$P$1, 0)), perc_75, VLOOKUP(E$2, Percentiles!$A$45:$I$59, 6, FALSE), perc_90, VLOOKUP(E$2, Percentiles!$A$45:$I$59, 7, FALSE), perc_95, VLOOKUP(E$2, Percentiles!$A$45:$I$59, 8, FALSE), perc_85, perc_75 + (perc_90 - perc_75) * (2/3), converted_stat, '2K_Ratings'!E229, IF(bbgm_stat &gt;= perc_95, converted_stat * 3, IF(bbgm_stat &gt;= perc_90, converted_stat * 2, IF(bbgm_stat &gt;= perc_85, converted_stat * 1.5, converted_stat)))))</f>
        <v/>
      </c>
      <c r="F229" s="30" t="str">
        <f t="array" ref="F229">IF($A229="", "", LET(bbgm_stat, INDEX(Players!$A228:$P228, MATCH(F$2, Players!$A$1:$P$1, 0)), perc_75, VLOOKUP(F$2, Percentiles!$A$45:$I$59, 6, FALSE), perc_90, VLOOKUP(F$2, Percentiles!$A$45:$I$59, 7, FALSE), perc_95, VLOOKUP(F$2, Percentiles!$A$45:$I$59, 8, FALSE), perc_85, perc_75 + (perc_90 - perc_75) * (2/3), converted_stat, '2K_Ratings'!F229, IF(bbgm_stat &gt;= perc_95, converted_stat * 3, IF(bbgm_stat &gt;= perc_90, converted_stat * 2, IF(bbgm_stat &gt;= perc_85, converted_stat * 1.5, converted_stat)))))</f>
        <v/>
      </c>
      <c r="G229" s="30" t="str">
        <f t="array" ref="G229">IF($A229="", "", LET(bbgm_stat, INDEX(Players!$A228:$P228, MATCH(G$2, Players!$A$1:$P$1, 0)), perc_75, VLOOKUP(G$2, Percentiles!$A$45:$I$59, 6, FALSE), perc_90, VLOOKUP(G$2, Percentiles!$A$45:$I$59, 7, FALSE), perc_95, VLOOKUP(G$2, Percentiles!$A$45:$I$59, 8, FALSE), perc_85, perc_75 + (perc_90 - perc_75) * (2/3), converted_stat, '2K_Ratings'!G229, IF(bbgm_stat &gt;= perc_95, converted_stat * 3, IF(bbgm_stat &gt;= perc_90, converted_stat * 2, IF(bbgm_stat &gt;= perc_85, converted_stat * 1.5, converted_stat)))))</f>
        <v/>
      </c>
      <c r="H229" s="30" t="str">
        <f t="array" ref="H229">IF($A229="", "", LET(bbgm_stat, INDEX(Players!$A228:$P228, MATCH(H$2, Players!$A$1:$P$1, 0)), perc_75, VLOOKUP(H$2, Percentiles!$A$45:$I$59, 6, FALSE), perc_90, VLOOKUP(H$2, Percentiles!$A$45:$I$59, 7, FALSE), perc_95, VLOOKUP(H$2, Percentiles!$A$45:$I$59, 8, FALSE), perc_85, perc_75 + (perc_90 - perc_75) * (2/3), converted_stat, '2K_Ratings'!H229, IF(bbgm_stat &gt;= perc_95, converted_stat * 3, IF(bbgm_stat &gt;= perc_90, converted_stat * 2, IF(bbgm_stat &gt;= perc_85, converted_stat * 1.5, converted_stat)))))</f>
        <v/>
      </c>
      <c r="I229" s="30" t="str">
        <f t="array" ref="I229">IF($A229="", "", LET(bbgm_stat, INDEX(Players!$A228:$P228, MATCH(I$2, Players!$A$1:$P$1, 0)), perc_75, VLOOKUP(I$2, Percentiles!$A$45:$I$59, 6, FALSE), perc_90, VLOOKUP(I$2, Percentiles!$A$45:$I$59, 7, FALSE), perc_95, VLOOKUP(I$2, Percentiles!$A$45:$I$59, 8, FALSE), perc_85, perc_75 + (perc_90 - perc_75) * (2/3), converted_stat, '2K_Ratings'!I229, IF(bbgm_stat &gt;= perc_95, converted_stat * 3, IF(bbgm_stat &gt;= perc_90, converted_stat * 2, IF(bbgm_stat &gt;= perc_85, converted_stat * 1.5, converted_stat)))))</f>
        <v/>
      </c>
      <c r="J229" s="30" t="str">
        <f t="array" ref="J229">IF($A229="", "", LET(bbgm_stat, INDEX(Players!$A228:$P228, MATCH(J$2, Players!$A$1:$P$1, 0)), perc_75, VLOOKUP(J$2, Percentiles!$A$45:$I$59, 6, FALSE), perc_90, VLOOKUP(J$2, Percentiles!$A$45:$I$59, 7, FALSE), perc_95, VLOOKUP(J$2, Percentiles!$A$45:$I$59, 8, FALSE), perc_85, perc_75 + (perc_90 - perc_75) * (2/3), converted_stat, '2K_Ratings'!J229, IF(bbgm_stat &gt;= perc_95, converted_stat * 3, IF(bbgm_stat &gt;= perc_90, converted_stat * 2, IF(bbgm_stat &gt;= perc_85, converted_stat * 1.5, converted_stat)))))</f>
        <v/>
      </c>
      <c r="K229" s="30" t="str">
        <f t="array" ref="K229">IF($A229="", "", LET(bbgm_stat, INDEX(Players!$A228:$P228, MATCH(K$2, Players!$A$1:$P$1, 0)), perc_75, VLOOKUP(K$2, Percentiles!$A$45:$I$59, 6, FALSE), perc_90, VLOOKUP(K$2, Percentiles!$A$45:$I$59, 7, FALSE), perc_95, VLOOKUP(K$2, Percentiles!$A$45:$I$59, 8, FALSE), perc_85, perc_75 + (perc_90 - perc_75) * (2/3), converted_stat, '2K_Ratings'!K229, IF(bbgm_stat &gt;= perc_95, converted_stat * 3, IF(bbgm_stat &gt;= perc_90, converted_stat * 2, IF(bbgm_stat &gt;= perc_85, converted_stat * 1.5, converted_stat)))))</f>
        <v/>
      </c>
      <c r="L229" s="30" t="str">
        <f t="array" ref="L229">IF($A229="", "", LET(bbgm_stat, INDEX(Players!$A228:$P228, MATCH(L$2, Players!$A$1:$P$1, 0)), perc_75, VLOOKUP(L$2, Percentiles!$A$45:$I$59, 6, FALSE), perc_90, VLOOKUP(L$2, Percentiles!$A$45:$I$59, 7, FALSE), perc_95, VLOOKUP(L$2, Percentiles!$A$45:$I$59, 8, FALSE), perc_85, perc_75 + (perc_90 - perc_75) * (2/3), converted_stat, '2K_Ratings'!L229, IF(bbgm_stat &gt;= perc_95, converted_stat * 3, IF(bbgm_stat &gt;= perc_90, converted_stat * 2, IF(bbgm_stat &gt;= perc_85, converted_stat * 1.5, converted_stat)))))</f>
        <v/>
      </c>
      <c r="M229" s="30" t="str">
        <f t="array" ref="M229">IF($A229="", "", LET(bbgm_stat, INDEX(Players!$A228:$P228, MATCH(M$2, Players!$A$1:$P$1, 0)), perc_75, VLOOKUP(M$2, Percentiles!$A$45:$I$59, 6, FALSE), perc_90, VLOOKUP(M$2, Percentiles!$A$45:$I$59, 7, FALSE), perc_95, VLOOKUP(M$2, Percentiles!$A$45:$I$59, 8, FALSE), perc_85, perc_75 + (perc_90 - perc_75) * (2/3), converted_stat, '2K_Ratings'!M229, IF(bbgm_stat &gt;= perc_95, converted_stat * 3, IF(bbgm_stat &gt;= perc_90, converted_stat * 2, IF(bbgm_stat &gt;= perc_85, converted_stat * 1.5, converted_stat)))))</f>
        <v/>
      </c>
      <c r="N229" s="30" t="str">
        <f t="array" ref="N229">IF($A229="", "", LET(bbgm_stat, INDEX(Players!$A228:$P228, MATCH(N$2, Players!$A$1:$P$1, 0)), perc_75, VLOOKUP(N$2, Percentiles!$A$45:$I$59, 6, FALSE), perc_90, VLOOKUP(N$2, Percentiles!$A$45:$I$59, 7, FALSE), perc_95, VLOOKUP(N$2, Percentiles!$A$45:$I$59, 8, FALSE), perc_85, perc_75 + (perc_90 - perc_75) * (2/3), converted_stat, '2K_Ratings'!N229, IF(bbgm_stat &gt;= perc_95, converted_stat * 3, IF(bbgm_stat &gt;= perc_90, converted_stat * 2, IF(bbgm_stat &gt;= perc_85, converted_stat * 1.5, converted_stat)))))</f>
        <v/>
      </c>
      <c r="O229" s="30" t="str">
        <f t="array" ref="O229">IF($A229="", "", LET(bbgm_stat, INDEX(Players!$A228:$P228, MATCH(O$2, Players!$A$1:$P$1, 0)), perc_75, VLOOKUP(O$2, Percentiles!$A$45:$I$59, 6, FALSE), perc_90, VLOOKUP(O$2, Percentiles!$A$45:$I$59, 7, FALSE), perc_95, VLOOKUP(O$2, Percentiles!$A$45:$I$59, 8, FALSE), perc_85, perc_75 + (perc_90 - perc_75) * (2/3), converted_stat, '2K_Ratings'!O229, IF(bbgm_stat &gt;= perc_95, converted_stat * 3, IF(bbgm_stat &gt;= perc_90, converted_stat * 2, IF(bbgm_stat &gt;= perc_85, converted_stat * 1.5, converted_stat)))))</f>
        <v/>
      </c>
      <c r="P229" s="30" t="str">
        <f t="array" ref="P229">IF($A229="", "", LET(bbgm_stat, INDEX(Players!$A228:$P228, MATCH(P$2, Players!$A$1:$P$1, 0)), perc_75, VLOOKUP(P$2, Percentiles!$A$45:$I$59, 6, FALSE), perc_90, VLOOKUP(P$2, Percentiles!$A$45:$I$59, 7, FALSE), perc_95, VLOOKUP(P$2, Percentiles!$A$45:$I$59, 8, FALSE), perc_85, perc_75 + (perc_90 - perc_75) * (2/3), converted_stat, '2K_Ratings'!P229, IF(bbgm_stat &gt;= perc_95, converted_stat * 3, IF(bbgm_stat &gt;= perc_90, converted_stat * 2, IF(bbgm_stat &gt;= perc_85, converted_stat * 1.5, converted_stat)))))</f>
        <v/>
      </c>
      <c r="Q229" s="30" t="str">
        <f t="array" ref="Q229">IF($A229="", "", LET(bbgm_stat, INDEX(Players!$A228:$P228, MATCH(Q$2, Players!$A$1:$P$1, 0)), perc_75, VLOOKUP(Q$2, Percentiles!$A$45:$I$59, 6, FALSE), perc_90, VLOOKUP(Q$2, Percentiles!$A$45:$I$59, 7, FALSE), perc_95, VLOOKUP(Q$2, Percentiles!$A$45:$I$59, 8, FALSE), perc_85, perc_75 + (perc_90 - perc_75) * (2/3), converted_stat, '2K_Ratings'!Q229, IF(bbgm_stat &gt;= perc_95, converted_stat * 3, IF(bbgm_stat &gt;= perc_90, converted_stat * 2, IF(bbgm_stat &gt;= perc_85, converted_stat * 1.5, converted_stat)))))</f>
        <v/>
      </c>
      <c r="R229" s="30" t="str">
        <f t="array" ref="R229">IF($A229="", "", LET(bbgm_stat, INDEX(Players!$A228:$P228, MATCH(R$2, Players!$A$1:$P$1, 0)), perc_75, VLOOKUP(R$2, Percentiles!$A$45:$I$59, 6, FALSE), perc_90, VLOOKUP(R$2, Percentiles!$A$45:$I$59, 7, FALSE), perc_95, VLOOKUP(R$2, Percentiles!$A$45:$I$59, 8, FALSE), perc_85, perc_75 + (perc_90 - perc_75) * (2/3), converted_stat, '2K_Ratings'!R229, IF(bbgm_stat &gt;= perc_95, converted_stat * 3, IF(bbgm_stat &gt;= perc_90, converted_stat * 2, IF(bbgm_stat &gt;= perc_85, converted_stat * 1.5, converted_stat)))))</f>
        <v/>
      </c>
      <c r="S229" s="30" t="str">
        <f t="array" ref="S229">IF($A229="", "", LET(bbgm_stat, INDEX(Players!$A228:$P228, MATCH(S$2, Players!$A$1:$P$1, 0)), perc_75, VLOOKUP(S$2, Percentiles!$A$45:$I$59, 6, FALSE), perc_90, VLOOKUP(S$2, Percentiles!$A$45:$I$59, 7, FALSE), perc_95, VLOOKUP(S$2, Percentiles!$A$45:$I$59, 8, FALSE), perc_85, perc_75 + (perc_90 - perc_75) * (2/3), converted_stat, '2K_Ratings'!S229, IF(bbgm_stat &gt;= perc_95, converted_stat * 3, IF(bbgm_stat &gt;= perc_90, converted_stat * 2, IF(bbgm_stat &gt;= perc_85, converted_stat * 1.5, converted_stat)))))</f>
        <v/>
      </c>
      <c r="T229" s="30" t="str">
        <f t="array" ref="T229">IF($A229="", "", LET(bbgm_stat, INDEX(Players!$A228:$P228, MATCH(T$2, Players!$A$1:$P$1, 0)), perc_75, VLOOKUP(T$2, Percentiles!$A$45:$I$59, 6, FALSE), perc_90, VLOOKUP(T$2, Percentiles!$A$45:$I$59, 7, FALSE), perc_95, VLOOKUP(T$2, Percentiles!$A$45:$I$59, 8, FALSE), perc_85, perc_75 + (perc_90 - perc_75) * (2/3), converted_stat, '2K_Ratings'!T229, IF(bbgm_stat &gt;= perc_95, converted_stat * 3, IF(bbgm_stat &gt;= perc_90, converted_stat * 2, IF(bbgm_stat &gt;= perc_85, converted_stat * 1.5, converted_stat)))))</f>
        <v/>
      </c>
      <c r="U229" s="30" t="str">
        <f t="array" ref="U229">IF($A229="", "", LET(bbgm_stat, INDEX(Players!$A228:$P228, MATCH(U$2, Players!$A$1:$P$1, 0)), perc_75, VLOOKUP(U$2, Percentiles!$A$45:$I$59, 6, FALSE), perc_90, VLOOKUP(U$2, Percentiles!$A$45:$I$59, 7, FALSE), perc_95, VLOOKUP(U$2, Percentiles!$A$45:$I$59, 8, FALSE), perc_85, perc_75 + (perc_90 - perc_75) * (2/3), converted_stat, '2K_Ratings'!U229, IF(bbgm_stat &gt;= perc_95, converted_stat * 3, IF(bbgm_stat &gt;= perc_90, converted_stat * 2, IF(bbgm_stat &gt;= perc_85, converted_stat * 1.5, converted_stat)))))</f>
        <v/>
      </c>
      <c r="V229" s="30" t="str">
        <f t="array" ref="V229">IF($A229="", "", LET(bbgm_stat, INDEX(Players!$A228:$P228, MATCH(V$2, Players!$A$1:$P$1, 0)), perc_75, VLOOKUP(V$2, Percentiles!$A$45:$I$59, 6, FALSE), perc_90, VLOOKUP(V$2, Percentiles!$A$45:$I$59, 7, FALSE), perc_95, VLOOKUP(V$2, Percentiles!$A$45:$I$59, 8, FALSE), perc_85, perc_75 + (perc_90 - perc_75) * (2/3), converted_stat, '2K_Ratings'!V229, IF(bbgm_stat &gt;= perc_95, converted_stat * 3, IF(bbgm_stat &gt;= perc_90, converted_stat * 2, IF(bbgm_stat &gt;= perc_85, converted_stat * 1.5, converted_stat)))))</f>
        <v/>
      </c>
      <c r="W229" s="30" t="str">
        <f t="array" ref="W229">IF($A229="", "", LET(bbgm_stat, INDEX(Players!$A228:$P228, MATCH(W$2, Players!$A$1:$P$1, 0)), perc_75, VLOOKUP(W$2, Percentiles!$A$45:$I$59, 6, FALSE), perc_90, VLOOKUP(W$2, Percentiles!$A$45:$I$59, 7, FALSE), perc_95, VLOOKUP(W$2, Percentiles!$A$45:$I$59, 8, FALSE), perc_85, perc_75 + (perc_90 - perc_75) * (2/3), converted_stat, '2K_Ratings'!W229, IF(bbgm_stat &gt;= perc_95, converted_stat * 3, IF(bbgm_stat &gt;= perc_90, converted_stat * 2, IF(bbgm_stat &gt;= perc_85, converted_stat * 1.5, converted_stat)))))</f>
        <v/>
      </c>
    </row>
    <row r="230">
      <c r="A230" s="30"/>
      <c r="B230" s="30" t="str">
        <f t="array" ref="B230">IF($A230="", "", LET(bbgm_stat, INDEX(Players!$A229:$P229, MATCH(B$2, Players!$A$1:$P$1, 0)), perc_75, VLOOKUP(B$2, Percentiles!$A$45:$I$59, 6, FALSE), perc_90, VLOOKUP(B$2, Percentiles!$A$45:$I$59, 7, FALSE), perc_95, VLOOKUP(B$2, Percentiles!$A$45:$I$59, 8, FALSE), perc_85, perc_75 + (perc_90 - perc_75) * (2/3), converted_stat, '2K_Ratings'!B230, IF(bbgm_stat &gt;= perc_95, converted_stat * 3, IF(bbgm_stat &gt;= perc_90, converted_stat * 2, IF(bbgm_stat &gt;= perc_85, converted_stat * 1.5, converted_stat)))))</f>
        <v/>
      </c>
      <c r="C230" s="30" t="str">
        <f t="array" ref="C230">IF($A230="", "", LET(bbgm_stat, INDEX(Players!$A229:$P229, MATCH(C$2, Players!$A$1:$P$1, 0)), perc_75, VLOOKUP(C$2, Percentiles!$A$45:$I$59, 6, FALSE), perc_90, VLOOKUP(C$2, Percentiles!$A$45:$I$59, 7, FALSE), perc_95, VLOOKUP(C$2, Percentiles!$A$45:$I$59, 8, FALSE), perc_85, perc_75 + (perc_90 - perc_75) * (2/3), converted_stat, '2K_Ratings'!C230, IF(bbgm_stat &gt;= perc_95, converted_stat * 3, IF(bbgm_stat &gt;= perc_90, converted_stat * 2, IF(bbgm_stat &gt;= perc_85, converted_stat * 1.5, converted_stat)))))</f>
        <v/>
      </c>
      <c r="D230" s="30" t="str">
        <f t="array" ref="D230">IF($A230="", "", LET(bbgm_stat, INDEX(Players!$A229:$P229, MATCH(D$2, Players!$A$1:$P$1, 0)), perc_75, VLOOKUP(D$2, Percentiles!$A$45:$I$59, 6, FALSE), perc_90, VLOOKUP(D$2, Percentiles!$A$45:$I$59, 7, FALSE), perc_95, VLOOKUP(D$2, Percentiles!$A$45:$I$59, 8, FALSE), perc_85, perc_75 + (perc_90 - perc_75) * (2/3), converted_stat, '2K_Ratings'!D230, IF(bbgm_stat &gt;= perc_95, converted_stat * 3, IF(bbgm_stat &gt;= perc_90, converted_stat * 2, IF(bbgm_stat &gt;= perc_85, converted_stat * 1.5, converted_stat)))))</f>
        <v/>
      </c>
      <c r="E230" s="30" t="str">
        <f t="array" ref="E230">IF($A230="", "", LET(bbgm_stat, INDEX(Players!$A229:$P229, MATCH(E$2, Players!$A$1:$P$1, 0)), perc_75, VLOOKUP(E$2, Percentiles!$A$45:$I$59, 6, FALSE), perc_90, VLOOKUP(E$2, Percentiles!$A$45:$I$59, 7, FALSE), perc_95, VLOOKUP(E$2, Percentiles!$A$45:$I$59, 8, FALSE), perc_85, perc_75 + (perc_90 - perc_75) * (2/3), converted_stat, '2K_Ratings'!E230, IF(bbgm_stat &gt;= perc_95, converted_stat * 3, IF(bbgm_stat &gt;= perc_90, converted_stat * 2, IF(bbgm_stat &gt;= perc_85, converted_stat * 1.5, converted_stat)))))</f>
        <v/>
      </c>
      <c r="F230" s="30" t="str">
        <f t="array" ref="F230">IF($A230="", "", LET(bbgm_stat, INDEX(Players!$A229:$P229, MATCH(F$2, Players!$A$1:$P$1, 0)), perc_75, VLOOKUP(F$2, Percentiles!$A$45:$I$59, 6, FALSE), perc_90, VLOOKUP(F$2, Percentiles!$A$45:$I$59, 7, FALSE), perc_95, VLOOKUP(F$2, Percentiles!$A$45:$I$59, 8, FALSE), perc_85, perc_75 + (perc_90 - perc_75) * (2/3), converted_stat, '2K_Ratings'!F230, IF(bbgm_stat &gt;= perc_95, converted_stat * 3, IF(bbgm_stat &gt;= perc_90, converted_stat * 2, IF(bbgm_stat &gt;= perc_85, converted_stat * 1.5, converted_stat)))))</f>
        <v/>
      </c>
      <c r="G230" s="30" t="str">
        <f t="array" ref="G230">IF($A230="", "", LET(bbgm_stat, INDEX(Players!$A229:$P229, MATCH(G$2, Players!$A$1:$P$1, 0)), perc_75, VLOOKUP(G$2, Percentiles!$A$45:$I$59, 6, FALSE), perc_90, VLOOKUP(G$2, Percentiles!$A$45:$I$59, 7, FALSE), perc_95, VLOOKUP(G$2, Percentiles!$A$45:$I$59, 8, FALSE), perc_85, perc_75 + (perc_90 - perc_75) * (2/3), converted_stat, '2K_Ratings'!G230, IF(bbgm_stat &gt;= perc_95, converted_stat * 3, IF(bbgm_stat &gt;= perc_90, converted_stat * 2, IF(bbgm_stat &gt;= perc_85, converted_stat * 1.5, converted_stat)))))</f>
        <v/>
      </c>
      <c r="H230" s="30" t="str">
        <f t="array" ref="H230">IF($A230="", "", LET(bbgm_stat, INDEX(Players!$A229:$P229, MATCH(H$2, Players!$A$1:$P$1, 0)), perc_75, VLOOKUP(H$2, Percentiles!$A$45:$I$59, 6, FALSE), perc_90, VLOOKUP(H$2, Percentiles!$A$45:$I$59, 7, FALSE), perc_95, VLOOKUP(H$2, Percentiles!$A$45:$I$59, 8, FALSE), perc_85, perc_75 + (perc_90 - perc_75) * (2/3), converted_stat, '2K_Ratings'!H230, IF(bbgm_stat &gt;= perc_95, converted_stat * 3, IF(bbgm_stat &gt;= perc_90, converted_stat * 2, IF(bbgm_stat &gt;= perc_85, converted_stat * 1.5, converted_stat)))))</f>
        <v/>
      </c>
      <c r="I230" s="30" t="str">
        <f t="array" ref="I230">IF($A230="", "", LET(bbgm_stat, INDEX(Players!$A229:$P229, MATCH(I$2, Players!$A$1:$P$1, 0)), perc_75, VLOOKUP(I$2, Percentiles!$A$45:$I$59, 6, FALSE), perc_90, VLOOKUP(I$2, Percentiles!$A$45:$I$59, 7, FALSE), perc_95, VLOOKUP(I$2, Percentiles!$A$45:$I$59, 8, FALSE), perc_85, perc_75 + (perc_90 - perc_75) * (2/3), converted_stat, '2K_Ratings'!I230, IF(bbgm_stat &gt;= perc_95, converted_stat * 3, IF(bbgm_stat &gt;= perc_90, converted_stat * 2, IF(bbgm_stat &gt;= perc_85, converted_stat * 1.5, converted_stat)))))</f>
        <v/>
      </c>
      <c r="J230" s="30" t="str">
        <f t="array" ref="J230">IF($A230="", "", LET(bbgm_stat, INDEX(Players!$A229:$P229, MATCH(J$2, Players!$A$1:$P$1, 0)), perc_75, VLOOKUP(J$2, Percentiles!$A$45:$I$59, 6, FALSE), perc_90, VLOOKUP(J$2, Percentiles!$A$45:$I$59, 7, FALSE), perc_95, VLOOKUP(J$2, Percentiles!$A$45:$I$59, 8, FALSE), perc_85, perc_75 + (perc_90 - perc_75) * (2/3), converted_stat, '2K_Ratings'!J230, IF(bbgm_stat &gt;= perc_95, converted_stat * 3, IF(bbgm_stat &gt;= perc_90, converted_stat * 2, IF(bbgm_stat &gt;= perc_85, converted_stat * 1.5, converted_stat)))))</f>
        <v/>
      </c>
      <c r="K230" s="30" t="str">
        <f t="array" ref="K230">IF($A230="", "", LET(bbgm_stat, INDEX(Players!$A229:$P229, MATCH(K$2, Players!$A$1:$P$1, 0)), perc_75, VLOOKUP(K$2, Percentiles!$A$45:$I$59, 6, FALSE), perc_90, VLOOKUP(K$2, Percentiles!$A$45:$I$59, 7, FALSE), perc_95, VLOOKUP(K$2, Percentiles!$A$45:$I$59, 8, FALSE), perc_85, perc_75 + (perc_90 - perc_75) * (2/3), converted_stat, '2K_Ratings'!K230, IF(bbgm_stat &gt;= perc_95, converted_stat * 3, IF(bbgm_stat &gt;= perc_90, converted_stat * 2, IF(bbgm_stat &gt;= perc_85, converted_stat * 1.5, converted_stat)))))</f>
        <v/>
      </c>
      <c r="L230" s="30" t="str">
        <f t="array" ref="L230">IF($A230="", "", LET(bbgm_stat, INDEX(Players!$A229:$P229, MATCH(L$2, Players!$A$1:$P$1, 0)), perc_75, VLOOKUP(L$2, Percentiles!$A$45:$I$59, 6, FALSE), perc_90, VLOOKUP(L$2, Percentiles!$A$45:$I$59, 7, FALSE), perc_95, VLOOKUP(L$2, Percentiles!$A$45:$I$59, 8, FALSE), perc_85, perc_75 + (perc_90 - perc_75) * (2/3), converted_stat, '2K_Ratings'!L230, IF(bbgm_stat &gt;= perc_95, converted_stat * 3, IF(bbgm_stat &gt;= perc_90, converted_stat * 2, IF(bbgm_stat &gt;= perc_85, converted_stat * 1.5, converted_stat)))))</f>
        <v/>
      </c>
      <c r="M230" s="30" t="str">
        <f t="array" ref="M230">IF($A230="", "", LET(bbgm_stat, INDEX(Players!$A229:$P229, MATCH(M$2, Players!$A$1:$P$1, 0)), perc_75, VLOOKUP(M$2, Percentiles!$A$45:$I$59, 6, FALSE), perc_90, VLOOKUP(M$2, Percentiles!$A$45:$I$59, 7, FALSE), perc_95, VLOOKUP(M$2, Percentiles!$A$45:$I$59, 8, FALSE), perc_85, perc_75 + (perc_90 - perc_75) * (2/3), converted_stat, '2K_Ratings'!M230, IF(bbgm_stat &gt;= perc_95, converted_stat * 3, IF(bbgm_stat &gt;= perc_90, converted_stat * 2, IF(bbgm_stat &gt;= perc_85, converted_stat * 1.5, converted_stat)))))</f>
        <v/>
      </c>
      <c r="N230" s="30" t="str">
        <f t="array" ref="N230">IF($A230="", "", LET(bbgm_stat, INDEX(Players!$A229:$P229, MATCH(N$2, Players!$A$1:$P$1, 0)), perc_75, VLOOKUP(N$2, Percentiles!$A$45:$I$59, 6, FALSE), perc_90, VLOOKUP(N$2, Percentiles!$A$45:$I$59, 7, FALSE), perc_95, VLOOKUP(N$2, Percentiles!$A$45:$I$59, 8, FALSE), perc_85, perc_75 + (perc_90 - perc_75) * (2/3), converted_stat, '2K_Ratings'!N230, IF(bbgm_stat &gt;= perc_95, converted_stat * 3, IF(bbgm_stat &gt;= perc_90, converted_stat * 2, IF(bbgm_stat &gt;= perc_85, converted_stat * 1.5, converted_stat)))))</f>
        <v/>
      </c>
      <c r="O230" s="30" t="str">
        <f t="array" ref="O230">IF($A230="", "", LET(bbgm_stat, INDEX(Players!$A229:$P229, MATCH(O$2, Players!$A$1:$P$1, 0)), perc_75, VLOOKUP(O$2, Percentiles!$A$45:$I$59, 6, FALSE), perc_90, VLOOKUP(O$2, Percentiles!$A$45:$I$59, 7, FALSE), perc_95, VLOOKUP(O$2, Percentiles!$A$45:$I$59, 8, FALSE), perc_85, perc_75 + (perc_90 - perc_75) * (2/3), converted_stat, '2K_Ratings'!O230, IF(bbgm_stat &gt;= perc_95, converted_stat * 3, IF(bbgm_stat &gt;= perc_90, converted_stat * 2, IF(bbgm_stat &gt;= perc_85, converted_stat * 1.5, converted_stat)))))</f>
        <v/>
      </c>
      <c r="P230" s="30" t="str">
        <f t="array" ref="P230">IF($A230="", "", LET(bbgm_stat, INDEX(Players!$A229:$P229, MATCH(P$2, Players!$A$1:$P$1, 0)), perc_75, VLOOKUP(P$2, Percentiles!$A$45:$I$59, 6, FALSE), perc_90, VLOOKUP(P$2, Percentiles!$A$45:$I$59, 7, FALSE), perc_95, VLOOKUP(P$2, Percentiles!$A$45:$I$59, 8, FALSE), perc_85, perc_75 + (perc_90 - perc_75) * (2/3), converted_stat, '2K_Ratings'!P230, IF(bbgm_stat &gt;= perc_95, converted_stat * 3, IF(bbgm_stat &gt;= perc_90, converted_stat * 2, IF(bbgm_stat &gt;= perc_85, converted_stat * 1.5, converted_stat)))))</f>
        <v/>
      </c>
      <c r="Q230" s="30" t="str">
        <f t="array" ref="Q230">IF($A230="", "", LET(bbgm_stat, INDEX(Players!$A229:$P229, MATCH(Q$2, Players!$A$1:$P$1, 0)), perc_75, VLOOKUP(Q$2, Percentiles!$A$45:$I$59, 6, FALSE), perc_90, VLOOKUP(Q$2, Percentiles!$A$45:$I$59, 7, FALSE), perc_95, VLOOKUP(Q$2, Percentiles!$A$45:$I$59, 8, FALSE), perc_85, perc_75 + (perc_90 - perc_75) * (2/3), converted_stat, '2K_Ratings'!Q230, IF(bbgm_stat &gt;= perc_95, converted_stat * 3, IF(bbgm_stat &gt;= perc_90, converted_stat * 2, IF(bbgm_stat &gt;= perc_85, converted_stat * 1.5, converted_stat)))))</f>
        <v/>
      </c>
      <c r="R230" s="30" t="str">
        <f t="array" ref="R230">IF($A230="", "", LET(bbgm_stat, INDEX(Players!$A229:$P229, MATCH(R$2, Players!$A$1:$P$1, 0)), perc_75, VLOOKUP(R$2, Percentiles!$A$45:$I$59, 6, FALSE), perc_90, VLOOKUP(R$2, Percentiles!$A$45:$I$59, 7, FALSE), perc_95, VLOOKUP(R$2, Percentiles!$A$45:$I$59, 8, FALSE), perc_85, perc_75 + (perc_90 - perc_75) * (2/3), converted_stat, '2K_Ratings'!R230, IF(bbgm_stat &gt;= perc_95, converted_stat * 3, IF(bbgm_stat &gt;= perc_90, converted_stat * 2, IF(bbgm_stat &gt;= perc_85, converted_stat * 1.5, converted_stat)))))</f>
        <v/>
      </c>
      <c r="S230" s="30" t="str">
        <f t="array" ref="S230">IF($A230="", "", LET(bbgm_stat, INDEX(Players!$A229:$P229, MATCH(S$2, Players!$A$1:$P$1, 0)), perc_75, VLOOKUP(S$2, Percentiles!$A$45:$I$59, 6, FALSE), perc_90, VLOOKUP(S$2, Percentiles!$A$45:$I$59, 7, FALSE), perc_95, VLOOKUP(S$2, Percentiles!$A$45:$I$59, 8, FALSE), perc_85, perc_75 + (perc_90 - perc_75) * (2/3), converted_stat, '2K_Ratings'!S230, IF(bbgm_stat &gt;= perc_95, converted_stat * 3, IF(bbgm_stat &gt;= perc_90, converted_stat * 2, IF(bbgm_stat &gt;= perc_85, converted_stat * 1.5, converted_stat)))))</f>
        <v/>
      </c>
      <c r="T230" s="30" t="str">
        <f t="array" ref="T230">IF($A230="", "", LET(bbgm_stat, INDEX(Players!$A229:$P229, MATCH(T$2, Players!$A$1:$P$1, 0)), perc_75, VLOOKUP(T$2, Percentiles!$A$45:$I$59, 6, FALSE), perc_90, VLOOKUP(T$2, Percentiles!$A$45:$I$59, 7, FALSE), perc_95, VLOOKUP(T$2, Percentiles!$A$45:$I$59, 8, FALSE), perc_85, perc_75 + (perc_90 - perc_75) * (2/3), converted_stat, '2K_Ratings'!T230, IF(bbgm_stat &gt;= perc_95, converted_stat * 3, IF(bbgm_stat &gt;= perc_90, converted_stat * 2, IF(bbgm_stat &gt;= perc_85, converted_stat * 1.5, converted_stat)))))</f>
        <v/>
      </c>
      <c r="U230" s="30" t="str">
        <f t="array" ref="U230">IF($A230="", "", LET(bbgm_stat, INDEX(Players!$A229:$P229, MATCH(U$2, Players!$A$1:$P$1, 0)), perc_75, VLOOKUP(U$2, Percentiles!$A$45:$I$59, 6, FALSE), perc_90, VLOOKUP(U$2, Percentiles!$A$45:$I$59, 7, FALSE), perc_95, VLOOKUP(U$2, Percentiles!$A$45:$I$59, 8, FALSE), perc_85, perc_75 + (perc_90 - perc_75) * (2/3), converted_stat, '2K_Ratings'!U230, IF(bbgm_stat &gt;= perc_95, converted_stat * 3, IF(bbgm_stat &gt;= perc_90, converted_stat * 2, IF(bbgm_stat &gt;= perc_85, converted_stat * 1.5, converted_stat)))))</f>
        <v/>
      </c>
      <c r="V230" s="30" t="str">
        <f t="array" ref="V230">IF($A230="", "", LET(bbgm_stat, INDEX(Players!$A229:$P229, MATCH(V$2, Players!$A$1:$P$1, 0)), perc_75, VLOOKUP(V$2, Percentiles!$A$45:$I$59, 6, FALSE), perc_90, VLOOKUP(V$2, Percentiles!$A$45:$I$59, 7, FALSE), perc_95, VLOOKUP(V$2, Percentiles!$A$45:$I$59, 8, FALSE), perc_85, perc_75 + (perc_90 - perc_75) * (2/3), converted_stat, '2K_Ratings'!V230, IF(bbgm_stat &gt;= perc_95, converted_stat * 3, IF(bbgm_stat &gt;= perc_90, converted_stat * 2, IF(bbgm_stat &gt;= perc_85, converted_stat * 1.5, converted_stat)))))</f>
        <v/>
      </c>
      <c r="W230" s="30" t="str">
        <f t="array" ref="W230">IF($A230="", "", LET(bbgm_stat, INDEX(Players!$A229:$P229, MATCH(W$2, Players!$A$1:$P$1, 0)), perc_75, VLOOKUP(W$2, Percentiles!$A$45:$I$59, 6, FALSE), perc_90, VLOOKUP(W$2, Percentiles!$A$45:$I$59, 7, FALSE), perc_95, VLOOKUP(W$2, Percentiles!$A$45:$I$59, 8, FALSE), perc_85, perc_75 + (perc_90 - perc_75) * (2/3), converted_stat, '2K_Ratings'!W230, IF(bbgm_stat &gt;= perc_95, converted_stat * 3, IF(bbgm_stat &gt;= perc_90, converted_stat * 2, IF(bbgm_stat &gt;= perc_85, converted_stat * 1.5, converted_stat)))))</f>
        <v/>
      </c>
    </row>
    <row r="231">
      <c r="A231" s="30"/>
      <c r="B231" s="30" t="str">
        <f t="array" ref="B231">IF($A231="", "", LET(bbgm_stat, INDEX(Players!$A230:$P230, MATCH(B$2, Players!$A$1:$P$1, 0)), perc_75, VLOOKUP(B$2, Percentiles!$A$45:$I$59, 6, FALSE), perc_90, VLOOKUP(B$2, Percentiles!$A$45:$I$59, 7, FALSE), perc_95, VLOOKUP(B$2, Percentiles!$A$45:$I$59, 8, FALSE), perc_85, perc_75 + (perc_90 - perc_75) * (2/3), converted_stat, '2K_Ratings'!B231, IF(bbgm_stat &gt;= perc_95, converted_stat * 3, IF(bbgm_stat &gt;= perc_90, converted_stat * 2, IF(bbgm_stat &gt;= perc_85, converted_stat * 1.5, converted_stat)))))</f>
        <v/>
      </c>
      <c r="C231" s="30" t="str">
        <f t="array" ref="C231">IF($A231="", "", LET(bbgm_stat, INDEX(Players!$A230:$P230, MATCH(C$2, Players!$A$1:$P$1, 0)), perc_75, VLOOKUP(C$2, Percentiles!$A$45:$I$59, 6, FALSE), perc_90, VLOOKUP(C$2, Percentiles!$A$45:$I$59, 7, FALSE), perc_95, VLOOKUP(C$2, Percentiles!$A$45:$I$59, 8, FALSE), perc_85, perc_75 + (perc_90 - perc_75) * (2/3), converted_stat, '2K_Ratings'!C231, IF(bbgm_stat &gt;= perc_95, converted_stat * 3, IF(bbgm_stat &gt;= perc_90, converted_stat * 2, IF(bbgm_stat &gt;= perc_85, converted_stat * 1.5, converted_stat)))))</f>
        <v/>
      </c>
      <c r="D231" s="30" t="str">
        <f t="array" ref="D231">IF($A231="", "", LET(bbgm_stat, INDEX(Players!$A230:$P230, MATCH(D$2, Players!$A$1:$P$1, 0)), perc_75, VLOOKUP(D$2, Percentiles!$A$45:$I$59, 6, FALSE), perc_90, VLOOKUP(D$2, Percentiles!$A$45:$I$59, 7, FALSE), perc_95, VLOOKUP(D$2, Percentiles!$A$45:$I$59, 8, FALSE), perc_85, perc_75 + (perc_90 - perc_75) * (2/3), converted_stat, '2K_Ratings'!D231, IF(bbgm_stat &gt;= perc_95, converted_stat * 3, IF(bbgm_stat &gt;= perc_90, converted_stat * 2, IF(bbgm_stat &gt;= perc_85, converted_stat * 1.5, converted_stat)))))</f>
        <v/>
      </c>
      <c r="E231" s="30" t="str">
        <f t="array" ref="E231">IF($A231="", "", LET(bbgm_stat, INDEX(Players!$A230:$P230, MATCH(E$2, Players!$A$1:$P$1, 0)), perc_75, VLOOKUP(E$2, Percentiles!$A$45:$I$59, 6, FALSE), perc_90, VLOOKUP(E$2, Percentiles!$A$45:$I$59, 7, FALSE), perc_95, VLOOKUP(E$2, Percentiles!$A$45:$I$59, 8, FALSE), perc_85, perc_75 + (perc_90 - perc_75) * (2/3), converted_stat, '2K_Ratings'!E231, IF(bbgm_stat &gt;= perc_95, converted_stat * 3, IF(bbgm_stat &gt;= perc_90, converted_stat * 2, IF(bbgm_stat &gt;= perc_85, converted_stat * 1.5, converted_stat)))))</f>
        <v/>
      </c>
      <c r="F231" s="30" t="str">
        <f t="array" ref="F231">IF($A231="", "", LET(bbgm_stat, INDEX(Players!$A230:$P230, MATCH(F$2, Players!$A$1:$P$1, 0)), perc_75, VLOOKUP(F$2, Percentiles!$A$45:$I$59, 6, FALSE), perc_90, VLOOKUP(F$2, Percentiles!$A$45:$I$59, 7, FALSE), perc_95, VLOOKUP(F$2, Percentiles!$A$45:$I$59, 8, FALSE), perc_85, perc_75 + (perc_90 - perc_75) * (2/3), converted_stat, '2K_Ratings'!F231, IF(bbgm_stat &gt;= perc_95, converted_stat * 3, IF(bbgm_stat &gt;= perc_90, converted_stat * 2, IF(bbgm_stat &gt;= perc_85, converted_stat * 1.5, converted_stat)))))</f>
        <v/>
      </c>
      <c r="G231" s="30" t="str">
        <f t="array" ref="G231">IF($A231="", "", LET(bbgm_stat, INDEX(Players!$A230:$P230, MATCH(G$2, Players!$A$1:$P$1, 0)), perc_75, VLOOKUP(G$2, Percentiles!$A$45:$I$59, 6, FALSE), perc_90, VLOOKUP(G$2, Percentiles!$A$45:$I$59, 7, FALSE), perc_95, VLOOKUP(G$2, Percentiles!$A$45:$I$59, 8, FALSE), perc_85, perc_75 + (perc_90 - perc_75) * (2/3), converted_stat, '2K_Ratings'!G231, IF(bbgm_stat &gt;= perc_95, converted_stat * 3, IF(bbgm_stat &gt;= perc_90, converted_stat * 2, IF(bbgm_stat &gt;= perc_85, converted_stat * 1.5, converted_stat)))))</f>
        <v/>
      </c>
      <c r="H231" s="30" t="str">
        <f t="array" ref="H231">IF($A231="", "", LET(bbgm_stat, INDEX(Players!$A230:$P230, MATCH(H$2, Players!$A$1:$P$1, 0)), perc_75, VLOOKUP(H$2, Percentiles!$A$45:$I$59, 6, FALSE), perc_90, VLOOKUP(H$2, Percentiles!$A$45:$I$59, 7, FALSE), perc_95, VLOOKUP(H$2, Percentiles!$A$45:$I$59, 8, FALSE), perc_85, perc_75 + (perc_90 - perc_75) * (2/3), converted_stat, '2K_Ratings'!H231, IF(bbgm_stat &gt;= perc_95, converted_stat * 3, IF(bbgm_stat &gt;= perc_90, converted_stat * 2, IF(bbgm_stat &gt;= perc_85, converted_stat * 1.5, converted_stat)))))</f>
        <v/>
      </c>
      <c r="I231" s="30" t="str">
        <f t="array" ref="I231">IF($A231="", "", LET(bbgm_stat, INDEX(Players!$A230:$P230, MATCH(I$2, Players!$A$1:$P$1, 0)), perc_75, VLOOKUP(I$2, Percentiles!$A$45:$I$59, 6, FALSE), perc_90, VLOOKUP(I$2, Percentiles!$A$45:$I$59, 7, FALSE), perc_95, VLOOKUP(I$2, Percentiles!$A$45:$I$59, 8, FALSE), perc_85, perc_75 + (perc_90 - perc_75) * (2/3), converted_stat, '2K_Ratings'!I231, IF(bbgm_stat &gt;= perc_95, converted_stat * 3, IF(bbgm_stat &gt;= perc_90, converted_stat * 2, IF(bbgm_stat &gt;= perc_85, converted_stat * 1.5, converted_stat)))))</f>
        <v/>
      </c>
      <c r="J231" s="30" t="str">
        <f t="array" ref="J231">IF($A231="", "", LET(bbgm_stat, INDEX(Players!$A230:$P230, MATCH(J$2, Players!$A$1:$P$1, 0)), perc_75, VLOOKUP(J$2, Percentiles!$A$45:$I$59, 6, FALSE), perc_90, VLOOKUP(J$2, Percentiles!$A$45:$I$59, 7, FALSE), perc_95, VLOOKUP(J$2, Percentiles!$A$45:$I$59, 8, FALSE), perc_85, perc_75 + (perc_90 - perc_75) * (2/3), converted_stat, '2K_Ratings'!J231, IF(bbgm_stat &gt;= perc_95, converted_stat * 3, IF(bbgm_stat &gt;= perc_90, converted_stat * 2, IF(bbgm_stat &gt;= perc_85, converted_stat * 1.5, converted_stat)))))</f>
        <v/>
      </c>
      <c r="K231" s="30" t="str">
        <f t="array" ref="K231">IF($A231="", "", LET(bbgm_stat, INDEX(Players!$A230:$P230, MATCH(K$2, Players!$A$1:$P$1, 0)), perc_75, VLOOKUP(K$2, Percentiles!$A$45:$I$59, 6, FALSE), perc_90, VLOOKUP(K$2, Percentiles!$A$45:$I$59, 7, FALSE), perc_95, VLOOKUP(K$2, Percentiles!$A$45:$I$59, 8, FALSE), perc_85, perc_75 + (perc_90 - perc_75) * (2/3), converted_stat, '2K_Ratings'!K231, IF(bbgm_stat &gt;= perc_95, converted_stat * 3, IF(bbgm_stat &gt;= perc_90, converted_stat * 2, IF(bbgm_stat &gt;= perc_85, converted_stat * 1.5, converted_stat)))))</f>
        <v/>
      </c>
      <c r="L231" s="30" t="str">
        <f t="array" ref="L231">IF($A231="", "", LET(bbgm_stat, INDEX(Players!$A230:$P230, MATCH(L$2, Players!$A$1:$P$1, 0)), perc_75, VLOOKUP(L$2, Percentiles!$A$45:$I$59, 6, FALSE), perc_90, VLOOKUP(L$2, Percentiles!$A$45:$I$59, 7, FALSE), perc_95, VLOOKUP(L$2, Percentiles!$A$45:$I$59, 8, FALSE), perc_85, perc_75 + (perc_90 - perc_75) * (2/3), converted_stat, '2K_Ratings'!L231, IF(bbgm_stat &gt;= perc_95, converted_stat * 3, IF(bbgm_stat &gt;= perc_90, converted_stat * 2, IF(bbgm_stat &gt;= perc_85, converted_stat * 1.5, converted_stat)))))</f>
        <v/>
      </c>
      <c r="M231" s="30" t="str">
        <f t="array" ref="M231">IF($A231="", "", LET(bbgm_stat, INDEX(Players!$A230:$P230, MATCH(M$2, Players!$A$1:$P$1, 0)), perc_75, VLOOKUP(M$2, Percentiles!$A$45:$I$59, 6, FALSE), perc_90, VLOOKUP(M$2, Percentiles!$A$45:$I$59, 7, FALSE), perc_95, VLOOKUP(M$2, Percentiles!$A$45:$I$59, 8, FALSE), perc_85, perc_75 + (perc_90 - perc_75) * (2/3), converted_stat, '2K_Ratings'!M231, IF(bbgm_stat &gt;= perc_95, converted_stat * 3, IF(bbgm_stat &gt;= perc_90, converted_stat * 2, IF(bbgm_stat &gt;= perc_85, converted_stat * 1.5, converted_stat)))))</f>
        <v/>
      </c>
      <c r="N231" s="30" t="str">
        <f t="array" ref="N231">IF($A231="", "", LET(bbgm_stat, INDEX(Players!$A230:$P230, MATCH(N$2, Players!$A$1:$P$1, 0)), perc_75, VLOOKUP(N$2, Percentiles!$A$45:$I$59, 6, FALSE), perc_90, VLOOKUP(N$2, Percentiles!$A$45:$I$59, 7, FALSE), perc_95, VLOOKUP(N$2, Percentiles!$A$45:$I$59, 8, FALSE), perc_85, perc_75 + (perc_90 - perc_75) * (2/3), converted_stat, '2K_Ratings'!N231, IF(bbgm_stat &gt;= perc_95, converted_stat * 3, IF(bbgm_stat &gt;= perc_90, converted_stat * 2, IF(bbgm_stat &gt;= perc_85, converted_stat * 1.5, converted_stat)))))</f>
        <v/>
      </c>
      <c r="O231" s="30" t="str">
        <f t="array" ref="O231">IF($A231="", "", LET(bbgm_stat, INDEX(Players!$A230:$P230, MATCH(O$2, Players!$A$1:$P$1, 0)), perc_75, VLOOKUP(O$2, Percentiles!$A$45:$I$59, 6, FALSE), perc_90, VLOOKUP(O$2, Percentiles!$A$45:$I$59, 7, FALSE), perc_95, VLOOKUP(O$2, Percentiles!$A$45:$I$59, 8, FALSE), perc_85, perc_75 + (perc_90 - perc_75) * (2/3), converted_stat, '2K_Ratings'!O231, IF(bbgm_stat &gt;= perc_95, converted_stat * 3, IF(bbgm_stat &gt;= perc_90, converted_stat * 2, IF(bbgm_stat &gt;= perc_85, converted_stat * 1.5, converted_stat)))))</f>
        <v/>
      </c>
      <c r="P231" s="30" t="str">
        <f t="array" ref="P231">IF($A231="", "", LET(bbgm_stat, INDEX(Players!$A230:$P230, MATCH(P$2, Players!$A$1:$P$1, 0)), perc_75, VLOOKUP(P$2, Percentiles!$A$45:$I$59, 6, FALSE), perc_90, VLOOKUP(P$2, Percentiles!$A$45:$I$59, 7, FALSE), perc_95, VLOOKUP(P$2, Percentiles!$A$45:$I$59, 8, FALSE), perc_85, perc_75 + (perc_90 - perc_75) * (2/3), converted_stat, '2K_Ratings'!P231, IF(bbgm_stat &gt;= perc_95, converted_stat * 3, IF(bbgm_stat &gt;= perc_90, converted_stat * 2, IF(bbgm_stat &gt;= perc_85, converted_stat * 1.5, converted_stat)))))</f>
        <v/>
      </c>
      <c r="Q231" s="30" t="str">
        <f t="array" ref="Q231">IF($A231="", "", LET(bbgm_stat, INDEX(Players!$A230:$P230, MATCH(Q$2, Players!$A$1:$P$1, 0)), perc_75, VLOOKUP(Q$2, Percentiles!$A$45:$I$59, 6, FALSE), perc_90, VLOOKUP(Q$2, Percentiles!$A$45:$I$59, 7, FALSE), perc_95, VLOOKUP(Q$2, Percentiles!$A$45:$I$59, 8, FALSE), perc_85, perc_75 + (perc_90 - perc_75) * (2/3), converted_stat, '2K_Ratings'!Q231, IF(bbgm_stat &gt;= perc_95, converted_stat * 3, IF(bbgm_stat &gt;= perc_90, converted_stat * 2, IF(bbgm_stat &gt;= perc_85, converted_stat * 1.5, converted_stat)))))</f>
        <v/>
      </c>
      <c r="R231" s="30" t="str">
        <f t="array" ref="R231">IF($A231="", "", LET(bbgm_stat, INDEX(Players!$A230:$P230, MATCH(R$2, Players!$A$1:$P$1, 0)), perc_75, VLOOKUP(R$2, Percentiles!$A$45:$I$59, 6, FALSE), perc_90, VLOOKUP(R$2, Percentiles!$A$45:$I$59, 7, FALSE), perc_95, VLOOKUP(R$2, Percentiles!$A$45:$I$59, 8, FALSE), perc_85, perc_75 + (perc_90 - perc_75) * (2/3), converted_stat, '2K_Ratings'!R231, IF(bbgm_stat &gt;= perc_95, converted_stat * 3, IF(bbgm_stat &gt;= perc_90, converted_stat * 2, IF(bbgm_stat &gt;= perc_85, converted_stat * 1.5, converted_stat)))))</f>
        <v/>
      </c>
      <c r="S231" s="30" t="str">
        <f t="array" ref="S231">IF($A231="", "", LET(bbgm_stat, INDEX(Players!$A230:$P230, MATCH(S$2, Players!$A$1:$P$1, 0)), perc_75, VLOOKUP(S$2, Percentiles!$A$45:$I$59, 6, FALSE), perc_90, VLOOKUP(S$2, Percentiles!$A$45:$I$59, 7, FALSE), perc_95, VLOOKUP(S$2, Percentiles!$A$45:$I$59, 8, FALSE), perc_85, perc_75 + (perc_90 - perc_75) * (2/3), converted_stat, '2K_Ratings'!S231, IF(bbgm_stat &gt;= perc_95, converted_stat * 3, IF(bbgm_stat &gt;= perc_90, converted_stat * 2, IF(bbgm_stat &gt;= perc_85, converted_stat * 1.5, converted_stat)))))</f>
        <v/>
      </c>
      <c r="T231" s="30" t="str">
        <f t="array" ref="T231">IF($A231="", "", LET(bbgm_stat, INDEX(Players!$A230:$P230, MATCH(T$2, Players!$A$1:$P$1, 0)), perc_75, VLOOKUP(T$2, Percentiles!$A$45:$I$59, 6, FALSE), perc_90, VLOOKUP(T$2, Percentiles!$A$45:$I$59, 7, FALSE), perc_95, VLOOKUP(T$2, Percentiles!$A$45:$I$59, 8, FALSE), perc_85, perc_75 + (perc_90 - perc_75) * (2/3), converted_stat, '2K_Ratings'!T231, IF(bbgm_stat &gt;= perc_95, converted_stat * 3, IF(bbgm_stat &gt;= perc_90, converted_stat * 2, IF(bbgm_stat &gt;= perc_85, converted_stat * 1.5, converted_stat)))))</f>
        <v/>
      </c>
      <c r="U231" s="30" t="str">
        <f t="array" ref="U231">IF($A231="", "", LET(bbgm_stat, INDEX(Players!$A230:$P230, MATCH(U$2, Players!$A$1:$P$1, 0)), perc_75, VLOOKUP(U$2, Percentiles!$A$45:$I$59, 6, FALSE), perc_90, VLOOKUP(U$2, Percentiles!$A$45:$I$59, 7, FALSE), perc_95, VLOOKUP(U$2, Percentiles!$A$45:$I$59, 8, FALSE), perc_85, perc_75 + (perc_90 - perc_75) * (2/3), converted_stat, '2K_Ratings'!U231, IF(bbgm_stat &gt;= perc_95, converted_stat * 3, IF(bbgm_stat &gt;= perc_90, converted_stat * 2, IF(bbgm_stat &gt;= perc_85, converted_stat * 1.5, converted_stat)))))</f>
        <v/>
      </c>
      <c r="V231" s="30" t="str">
        <f t="array" ref="V231">IF($A231="", "", LET(bbgm_stat, INDEX(Players!$A230:$P230, MATCH(V$2, Players!$A$1:$P$1, 0)), perc_75, VLOOKUP(V$2, Percentiles!$A$45:$I$59, 6, FALSE), perc_90, VLOOKUP(V$2, Percentiles!$A$45:$I$59, 7, FALSE), perc_95, VLOOKUP(V$2, Percentiles!$A$45:$I$59, 8, FALSE), perc_85, perc_75 + (perc_90 - perc_75) * (2/3), converted_stat, '2K_Ratings'!V231, IF(bbgm_stat &gt;= perc_95, converted_stat * 3, IF(bbgm_stat &gt;= perc_90, converted_stat * 2, IF(bbgm_stat &gt;= perc_85, converted_stat * 1.5, converted_stat)))))</f>
        <v/>
      </c>
      <c r="W231" s="30" t="str">
        <f t="array" ref="W231">IF($A231="", "", LET(bbgm_stat, INDEX(Players!$A230:$P230, MATCH(W$2, Players!$A$1:$P$1, 0)), perc_75, VLOOKUP(W$2, Percentiles!$A$45:$I$59, 6, FALSE), perc_90, VLOOKUP(W$2, Percentiles!$A$45:$I$59, 7, FALSE), perc_95, VLOOKUP(W$2, Percentiles!$A$45:$I$59, 8, FALSE), perc_85, perc_75 + (perc_90 - perc_75) * (2/3), converted_stat, '2K_Ratings'!W231, IF(bbgm_stat &gt;= perc_95, converted_stat * 3, IF(bbgm_stat &gt;= perc_90, converted_stat * 2, IF(bbgm_stat &gt;= perc_85, converted_stat * 1.5, converted_stat)))))</f>
        <v/>
      </c>
    </row>
    <row r="232">
      <c r="A232" s="30"/>
      <c r="B232" s="30" t="str">
        <f t="array" ref="B232">IF($A232="", "", LET(bbgm_stat, INDEX(Players!$A231:$P231, MATCH(B$2, Players!$A$1:$P$1, 0)), perc_75, VLOOKUP(B$2, Percentiles!$A$45:$I$59, 6, FALSE), perc_90, VLOOKUP(B$2, Percentiles!$A$45:$I$59, 7, FALSE), perc_95, VLOOKUP(B$2, Percentiles!$A$45:$I$59, 8, FALSE), perc_85, perc_75 + (perc_90 - perc_75) * (2/3), converted_stat, '2K_Ratings'!B232, IF(bbgm_stat &gt;= perc_95, converted_stat * 3, IF(bbgm_stat &gt;= perc_90, converted_stat * 2, IF(bbgm_stat &gt;= perc_85, converted_stat * 1.5, converted_stat)))))</f>
        <v/>
      </c>
      <c r="C232" s="30" t="str">
        <f t="array" ref="C232">IF($A232="", "", LET(bbgm_stat, INDEX(Players!$A231:$P231, MATCH(C$2, Players!$A$1:$P$1, 0)), perc_75, VLOOKUP(C$2, Percentiles!$A$45:$I$59, 6, FALSE), perc_90, VLOOKUP(C$2, Percentiles!$A$45:$I$59, 7, FALSE), perc_95, VLOOKUP(C$2, Percentiles!$A$45:$I$59, 8, FALSE), perc_85, perc_75 + (perc_90 - perc_75) * (2/3), converted_stat, '2K_Ratings'!C232, IF(bbgm_stat &gt;= perc_95, converted_stat * 3, IF(bbgm_stat &gt;= perc_90, converted_stat * 2, IF(bbgm_stat &gt;= perc_85, converted_stat * 1.5, converted_stat)))))</f>
        <v/>
      </c>
      <c r="D232" s="30" t="str">
        <f t="array" ref="D232">IF($A232="", "", LET(bbgm_stat, INDEX(Players!$A231:$P231, MATCH(D$2, Players!$A$1:$P$1, 0)), perc_75, VLOOKUP(D$2, Percentiles!$A$45:$I$59, 6, FALSE), perc_90, VLOOKUP(D$2, Percentiles!$A$45:$I$59, 7, FALSE), perc_95, VLOOKUP(D$2, Percentiles!$A$45:$I$59, 8, FALSE), perc_85, perc_75 + (perc_90 - perc_75) * (2/3), converted_stat, '2K_Ratings'!D232, IF(bbgm_stat &gt;= perc_95, converted_stat * 3, IF(bbgm_stat &gt;= perc_90, converted_stat * 2, IF(bbgm_stat &gt;= perc_85, converted_stat * 1.5, converted_stat)))))</f>
        <v/>
      </c>
      <c r="E232" s="30" t="str">
        <f t="array" ref="E232">IF($A232="", "", LET(bbgm_stat, INDEX(Players!$A231:$P231, MATCH(E$2, Players!$A$1:$P$1, 0)), perc_75, VLOOKUP(E$2, Percentiles!$A$45:$I$59, 6, FALSE), perc_90, VLOOKUP(E$2, Percentiles!$A$45:$I$59, 7, FALSE), perc_95, VLOOKUP(E$2, Percentiles!$A$45:$I$59, 8, FALSE), perc_85, perc_75 + (perc_90 - perc_75) * (2/3), converted_stat, '2K_Ratings'!E232, IF(bbgm_stat &gt;= perc_95, converted_stat * 3, IF(bbgm_stat &gt;= perc_90, converted_stat * 2, IF(bbgm_stat &gt;= perc_85, converted_stat * 1.5, converted_stat)))))</f>
        <v/>
      </c>
      <c r="F232" s="30" t="str">
        <f t="array" ref="F232">IF($A232="", "", LET(bbgm_stat, INDEX(Players!$A231:$P231, MATCH(F$2, Players!$A$1:$P$1, 0)), perc_75, VLOOKUP(F$2, Percentiles!$A$45:$I$59, 6, FALSE), perc_90, VLOOKUP(F$2, Percentiles!$A$45:$I$59, 7, FALSE), perc_95, VLOOKUP(F$2, Percentiles!$A$45:$I$59, 8, FALSE), perc_85, perc_75 + (perc_90 - perc_75) * (2/3), converted_stat, '2K_Ratings'!F232, IF(bbgm_stat &gt;= perc_95, converted_stat * 3, IF(bbgm_stat &gt;= perc_90, converted_stat * 2, IF(bbgm_stat &gt;= perc_85, converted_stat * 1.5, converted_stat)))))</f>
        <v/>
      </c>
      <c r="G232" s="30" t="str">
        <f t="array" ref="G232">IF($A232="", "", LET(bbgm_stat, INDEX(Players!$A231:$P231, MATCH(G$2, Players!$A$1:$P$1, 0)), perc_75, VLOOKUP(G$2, Percentiles!$A$45:$I$59, 6, FALSE), perc_90, VLOOKUP(G$2, Percentiles!$A$45:$I$59, 7, FALSE), perc_95, VLOOKUP(G$2, Percentiles!$A$45:$I$59, 8, FALSE), perc_85, perc_75 + (perc_90 - perc_75) * (2/3), converted_stat, '2K_Ratings'!G232, IF(bbgm_stat &gt;= perc_95, converted_stat * 3, IF(bbgm_stat &gt;= perc_90, converted_stat * 2, IF(bbgm_stat &gt;= perc_85, converted_stat * 1.5, converted_stat)))))</f>
        <v/>
      </c>
      <c r="H232" s="30" t="str">
        <f t="array" ref="H232">IF($A232="", "", LET(bbgm_stat, INDEX(Players!$A231:$P231, MATCH(H$2, Players!$A$1:$P$1, 0)), perc_75, VLOOKUP(H$2, Percentiles!$A$45:$I$59, 6, FALSE), perc_90, VLOOKUP(H$2, Percentiles!$A$45:$I$59, 7, FALSE), perc_95, VLOOKUP(H$2, Percentiles!$A$45:$I$59, 8, FALSE), perc_85, perc_75 + (perc_90 - perc_75) * (2/3), converted_stat, '2K_Ratings'!H232, IF(bbgm_stat &gt;= perc_95, converted_stat * 3, IF(bbgm_stat &gt;= perc_90, converted_stat * 2, IF(bbgm_stat &gt;= perc_85, converted_stat * 1.5, converted_stat)))))</f>
        <v/>
      </c>
      <c r="I232" s="30" t="str">
        <f t="array" ref="I232">IF($A232="", "", LET(bbgm_stat, INDEX(Players!$A231:$P231, MATCH(I$2, Players!$A$1:$P$1, 0)), perc_75, VLOOKUP(I$2, Percentiles!$A$45:$I$59, 6, FALSE), perc_90, VLOOKUP(I$2, Percentiles!$A$45:$I$59, 7, FALSE), perc_95, VLOOKUP(I$2, Percentiles!$A$45:$I$59, 8, FALSE), perc_85, perc_75 + (perc_90 - perc_75) * (2/3), converted_stat, '2K_Ratings'!I232, IF(bbgm_stat &gt;= perc_95, converted_stat * 3, IF(bbgm_stat &gt;= perc_90, converted_stat * 2, IF(bbgm_stat &gt;= perc_85, converted_stat * 1.5, converted_stat)))))</f>
        <v/>
      </c>
      <c r="J232" s="30" t="str">
        <f t="array" ref="J232">IF($A232="", "", LET(bbgm_stat, INDEX(Players!$A231:$P231, MATCH(J$2, Players!$A$1:$P$1, 0)), perc_75, VLOOKUP(J$2, Percentiles!$A$45:$I$59, 6, FALSE), perc_90, VLOOKUP(J$2, Percentiles!$A$45:$I$59, 7, FALSE), perc_95, VLOOKUP(J$2, Percentiles!$A$45:$I$59, 8, FALSE), perc_85, perc_75 + (perc_90 - perc_75) * (2/3), converted_stat, '2K_Ratings'!J232, IF(bbgm_stat &gt;= perc_95, converted_stat * 3, IF(bbgm_stat &gt;= perc_90, converted_stat * 2, IF(bbgm_stat &gt;= perc_85, converted_stat * 1.5, converted_stat)))))</f>
        <v/>
      </c>
      <c r="K232" s="30" t="str">
        <f t="array" ref="K232">IF($A232="", "", LET(bbgm_stat, INDEX(Players!$A231:$P231, MATCH(K$2, Players!$A$1:$P$1, 0)), perc_75, VLOOKUP(K$2, Percentiles!$A$45:$I$59, 6, FALSE), perc_90, VLOOKUP(K$2, Percentiles!$A$45:$I$59, 7, FALSE), perc_95, VLOOKUP(K$2, Percentiles!$A$45:$I$59, 8, FALSE), perc_85, perc_75 + (perc_90 - perc_75) * (2/3), converted_stat, '2K_Ratings'!K232, IF(bbgm_stat &gt;= perc_95, converted_stat * 3, IF(bbgm_stat &gt;= perc_90, converted_stat * 2, IF(bbgm_stat &gt;= perc_85, converted_stat * 1.5, converted_stat)))))</f>
        <v/>
      </c>
      <c r="L232" s="30" t="str">
        <f t="array" ref="L232">IF($A232="", "", LET(bbgm_stat, INDEX(Players!$A231:$P231, MATCH(L$2, Players!$A$1:$P$1, 0)), perc_75, VLOOKUP(L$2, Percentiles!$A$45:$I$59, 6, FALSE), perc_90, VLOOKUP(L$2, Percentiles!$A$45:$I$59, 7, FALSE), perc_95, VLOOKUP(L$2, Percentiles!$A$45:$I$59, 8, FALSE), perc_85, perc_75 + (perc_90 - perc_75) * (2/3), converted_stat, '2K_Ratings'!L232, IF(bbgm_stat &gt;= perc_95, converted_stat * 3, IF(bbgm_stat &gt;= perc_90, converted_stat * 2, IF(bbgm_stat &gt;= perc_85, converted_stat * 1.5, converted_stat)))))</f>
        <v/>
      </c>
      <c r="M232" s="30" t="str">
        <f t="array" ref="M232">IF($A232="", "", LET(bbgm_stat, INDEX(Players!$A231:$P231, MATCH(M$2, Players!$A$1:$P$1, 0)), perc_75, VLOOKUP(M$2, Percentiles!$A$45:$I$59, 6, FALSE), perc_90, VLOOKUP(M$2, Percentiles!$A$45:$I$59, 7, FALSE), perc_95, VLOOKUP(M$2, Percentiles!$A$45:$I$59, 8, FALSE), perc_85, perc_75 + (perc_90 - perc_75) * (2/3), converted_stat, '2K_Ratings'!M232, IF(bbgm_stat &gt;= perc_95, converted_stat * 3, IF(bbgm_stat &gt;= perc_90, converted_stat * 2, IF(bbgm_stat &gt;= perc_85, converted_stat * 1.5, converted_stat)))))</f>
        <v/>
      </c>
      <c r="N232" s="30" t="str">
        <f t="array" ref="N232">IF($A232="", "", LET(bbgm_stat, INDEX(Players!$A231:$P231, MATCH(N$2, Players!$A$1:$P$1, 0)), perc_75, VLOOKUP(N$2, Percentiles!$A$45:$I$59, 6, FALSE), perc_90, VLOOKUP(N$2, Percentiles!$A$45:$I$59, 7, FALSE), perc_95, VLOOKUP(N$2, Percentiles!$A$45:$I$59, 8, FALSE), perc_85, perc_75 + (perc_90 - perc_75) * (2/3), converted_stat, '2K_Ratings'!N232, IF(bbgm_stat &gt;= perc_95, converted_stat * 3, IF(bbgm_stat &gt;= perc_90, converted_stat * 2, IF(bbgm_stat &gt;= perc_85, converted_stat * 1.5, converted_stat)))))</f>
        <v/>
      </c>
      <c r="O232" s="30" t="str">
        <f t="array" ref="O232">IF($A232="", "", LET(bbgm_stat, INDEX(Players!$A231:$P231, MATCH(O$2, Players!$A$1:$P$1, 0)), perc_75, VLOOKUP(O$2, Percentiles!$A$45:$I$59, 6, FALSE), perc_90, VLOOKUP(O$2, Percentiles!$A$45:$I$59, 7, FALSE), perc_95, VLOOKUP(O$2, Percentiles!$A$45:$I$59, 8, FALSE), perc_85, perc_75 + (perc_90 - perc_75) * (2/3), converted_stat, '2K_Ratings'!O232, IF(bbgm_stat &gt;= perc_95, converted_stat * 3, IF(bbgm_stat &gt;= perc_90, converted_stat * 2, IF(bbgm_stat &gt;= perc_85, converted_stat * 1.5, converted_stat)))))</f>
        <v/>
      </c>
      <c r="P232" s="30" t="str">
        <f t="array" ref="P232">IF($A232="", "", LET(bbgm_stat, INDEX(Players!$A231:$P231, MATCH(P$2, Players!$A$1:$P$1, 0)), perc_75, VLOOKUP(P$2, Percentiles!$A$45:$I$59, 6, FALSE), perc_90, VLOOKUP(P$2, Percentiles!$A$45:$I$59, 7, FALSE), perc_95, VLOOKUP(P$2, Percentiles!$A$45:$I$59, 8, FALSE), perc_85, perc_75 + (perc_90 - perc_75) * (2/3), converted_stat, '2K_Ratings'!P232, IF(bbgm_stat &gt;= perc_95, converted_stat * 3, IF(bbgm_stat &gt;= perc_90, converted_stat * 2, IF(bbgm_stat &gt;= perc_85, converted_stat * 1.5, converted_stat)))))</f>
        <v/>
      </c>
      <c r="Q232" s="30" t="str">
        <f t="array" ref="Q232">IF($A232="", "", LET(bbgm_stat, INDEX(Players!$A231:$P231, MATCH(Q$2, Players!$A$1:$P$1, 0)), perc_75, VLOOKUP(Q$2, Percentiles!$A$45:$I$59, 6, FALSE), perc_90, VLOOKUP(Q$2, Percentiles!$A$45:$I$59, 7, FALSE), perc_95, VLOOKUP(Q$2, Percentiles!$A$45:$I$59, 8, FALSE), perc_85, perc_75 + (perc_90 - perc_75) * (2/3), converted_stat, '2K_Ratings'!Q232, IF(bbgm_stat &gt;= perc_95, converted_stat * 3, IF(bbgm_stat &gt;= perc_90, converted_stat * 2, IF(bbgm_stat &gt;= perc_85, converted_stat * 1.5, converted_stat)))))</f>
        <v/>
      </c>
      <c r="R232" s="30" t="str">
        <f t="array" ref="R232">IF($A232="", "", LET(bbgm_stat, INDEX(Players!$A231:$P231, MATCH(R$2, Players!$A$1:$P$1, 0)), perc_75, VLOOKUP(R$2, Percentiles!$A$45:$I$59, 6, FALSE), perc_90, VLOOKUP(R$2, Percentiles!$A$45:$I$59, 7, FALSE), perc_95, VLOOKUP(R$2, Percentiles!$A$45:$I$59, 8, FALSE), perc_85, perc_75 + (perc_90 - perc_75) * (2/3), converted_stat, '2K_Ratings'!R232, IF(bbgm_stat &gt;= perc_95, converted_stat * 3, IF(bbgm_stat &gt;= perc_90, converted_stat * 2, IF(bbgm_stat &gt;= perc_85, converted_stat * 1.5, converted_stat)))))</f>
        <v/>
      </c>
      <c r="S232" s="30" t="str">
        <f t="array" ref="S232">IF($A232="", "", LET(bbgm_stat, INDEX(Players!$A231:$P231, MATCH(S$2, Players!$A$1:$P$1, 0)), perc_75, VLOOKUP(S$2, Percentiles!$A$45:$I$59, 6, FALSE), perc_90, VLOOKUP(S$2, Percentiles!$A$45:$I$59, 7, FALSE), perc_95, VLOOKUP(S$2, Percentiles!$A$45:$I$59, 8, FALSE), perc_85, perc_75 + (perc_90 - perc_75) * (2/3), converted_stat, '2K_Ratings'!S232, IF(bbgm_stat &gt;= perc_95, converted_stat * 3, IF(bbgm_stat &gt;= perc_90, converted_stat * 2, IF(bbgm_stat &gt;= perc_85, converted_stat * 1.5, converted_stat)))))</f>
        <v/>
      </c>
      <c r="T232" s="30" t="str">
        <f t="array" ref="T232">IF($A232="", "", LET(bbgm_stat, INDEX(Players!$A231:$P231, MATCH(T$2, Players!$A$1:$P$1, 0)), perc_75, VLOOKUP(T$2, Percentiles!$A$45:$I$59, 6, FALSE), perc_90, VLOOKUP(T$2, Percentiles!$A$45:$I$59, 7, FALSE), perc_95, VLOOKUP(T$2, Percentiles!$A$45:$I$59, 8, FALSE), perc_85, perc_75 + (perc_90 - perc_75) * (2/3), converted_stat, '2K_Ratings'!T232, IF(bbgm_stat &gt;= perc_95, converted_stat * 3, IF(bbgm_stat &gt;= perc_90, converted_stat * 2, IF(bbgm_stat &gt;= perc_85, converted_stat * 1.5, converted_stat)))))</f>
        <v/>
      </c>
      <c r="U232" s="30" t="str">
        <f t="array" ref="U232">IF($A232="", "", LET(bbgm_stat, INDEX(Players!$A231:$P231, MATCH(U$2, Players!$A$1:$P$1, 0)), perc_75, VLOOKUP(U$2, Percentiles!$A$45:$I$59, 6, FALSE), perc_90, VLOOKUP(U$2, Percentiles!$A$45:$I$59, 7, FALSE), perc_95, VLOOKUP(U$2, Percentiles!$A$45:$I$59, 8, FALSE), perc_85, perc_75 + (perc_90 - perc_75) * (2/3), converted_stat, '2K_Ratings'!U232, IF(bbgm_stat &gt;= perc_95, converted_stat * 3, IF(bbgm_stat &gt;= perc_90, converted_stat * 2, IF(bbgm_stat &gt;= perc_85, converted_stat * 1.5, converted_stat)))))</f>
        <v/>
      </c>
      <c r="V232" s="30" t="str">
        <f t="array" ref="V232">IF($A232="", "", LET(bbgm_stat, INDEX(Players!$A231:$P231, MATCH(V$2, Players!$A$1:$P$1, 0)), perc_75, VLOOKUP(V$2, Percentiles!$A$45:$I$59, 6, FALSE), perc_90, VLOOKUP(V$2, Percentiles!$A$45:$I$59, 7, FALSE), perc_95, VLOOKUP(V$2, Percentiles!$A$45:$I$59, 8, FALSE), perc_85, perc_75 + (perc_90 - perc_75) * (2/3), converted_stat, '2K_Ratings'!V232, IF(bbgm_stat &gt;= perc_95, converted_stat * 3, IF(bbgm_stat &gt;= perc_90, converted_stat * 2, IF(bbgm_stat &gt;= perc_85, converted_stat * 1.5, converted_stat)))))</f>
        <v/>
      </c>
      <c r="W232" s="30" t="str">
        <f t="array" ref="W232">IF($A232="", "", LET(bbgm_stat, INDEX(Players!$A231:$P231, MATCH(W$2, Players!$A$1:$P$1, 0)), perc_75, VLOOKUP(W$2, Percentiles!$A$45:$I$59, 6, FALSE), perc_90, VLOOKUP(W$2, Percentiles!$A$45:$I$59, 7, FALSE), perc_95, VLOOKUP(W$2, Percentiles!$A$45:$I$59, 8, FALSE), perc_85, perc_75 + (perc_90 - perc_75) * (2/3), converted_stat, '2K_Ratings'!W232, IF(bbgm_stat &gt;= perc_95, converted_stat * 3, IF(bbgm_stat &gt;= perc_90, converted_stat * 2, IF(bbgm_stat &gt;= perc_85, converted_stat * 1.5, converted_stat)))))</f>
        <v/>
      </c>
    </row>
    <row r="233">
      <c r="A233" s="30"/>
      <c r="B233" s="30" t="str">
        <f t="array" ref="B233">IF($A233="", "", LET(bbgm_stat, INDEX(Players!$A232:$P232, MATCH(B$2, Players!$A$1:$P$1, 0)), perc_75, VLOOKUP(B$2, Percentiles!$A$45:$I$59, 6, FALSE), perc_90, VLOOKUP(B$2, Percentiles!$A$45:$I$59, 7, FALSE), perc_95, VLOOKUP(B$2, Percentiles!$A$45:$I$59, 8, FALSE), perc_85, perc_75 + (perc_90 - perc_75) * (2/3), converted_stat, '2K_Ratings'!B233, IF(bbgm_stat &gt;= perc_95, converted_stat * 3, IF(bbgm_stat &gt;= perc_90, converted_stat * 2, IF(bbgm_stat &gt;= perc_85, converted_stat * 1.5, converted_stat)))))</f>
        <v/>
      </c>
      <c r="C233" s="30" t="str">
        <f t="array" ref="C233">IF($A233="", "", LET(bbgm_stat, INDEX(Players!$A232:$P232, MATCH(C$2, Players!$A$1:$P$1, 0)), perc_75, VLOOKUP(C$2, Percentiles!$A$45:$I$59, 6, FALSE), perc_90, VLOOKUP(C$2, Percentiles!$A$45:$I$59, 7, FALSE), perc_95, VLOOKUP(C$2, Percentiles!$A$45:$I$59, 8, FALSE), perc_85, perc_75 + (perc_90 - perc_75) * (2/3), converted_stat, '2K_Ratings'!C233, IF(bbgm_stat &gt;= perc_95, converted_stat * 3, IF(bbgm_stat &gt;= perc_90, converted_stat * 2, IF(bbgm_stat &gt;= perc_85, converted_stat * 1.5, converted_stat)))))</f>
        <v/>
      </c>
      <c r="D233" s="30" t="str">
        <f t="array" ref="D233">IF($A233="", "", LET(bbgm_stat, INDEX(Players!$A232:$P232, MATCH(D$2, Players!$A$1:$P$1, 0)), perc_75, VLOOKUP(D$2, Percentiles!$A$45:$I$59, 6, FALSE), perc_90, VLOOKUP(D$2, Percentiles!$A$45:$I$59, 7, FALSE), perc_95, VLOOKUP(D$2, Percentiles!$A$45:$I$59, 8, FALSE), perc_85, perc_75 + (perc_90 - perc_75) * (2/3), converted_stat, '2K_Ratings'!D233, IF(bbgm_stat &gt;= perc_95, converted_stat * 3, IF(bbgm_stat &gt;= perc_90, converted_stat * 2, IF(bbgm_stat &gt;= perc_85, converted_stat * 1.5, converted_stat)))))</f>
        <v/>
      </c>
      <c r="E233" s="30" t="str">
        <f t="array" ref="E233">IF($A233="", "", LET(bbgm_stat, INDEX(Players!$A232:$P232, MATCH(E$2, Players!$A$1:$P$1, 0)), perc_75, VLOOKUP(E$2, Percentiles!$A$45:$I$59, 6, FALSE), perc_90, VLOOKUP(E$2, Percentiles!$A$45:$I$59, 7, FALSE), perc_95, VLOOKUP(E$2, Percentiles!$A$45:$I$59, 8, FALSE), perc_85, perc_75 + (perc_90 - perc_75) * (2/3), converted_stat, '2K_Ratings'!E233, IF(bbgm_stat &gt;= perc_95, converted_stat * 3, IF(bbgm_stat &gt;= perc_90, converted_stat * 2, IF(bbgm_stat &gt;= perc_85, converted_stat * 1.5, converted_stat)))))</f>
        <v/>
      </c>
      <c r="F233" s="30" t="str">
        <f t="array" ref="F233">IF($A233="", "", LET(bbgm_stat, INDEX(Players!$A232:$P232, MATCH(F$2, Players!$A$1:$P$1, 0)), perc_75, VLOOKUP(F$2, Percentiles!$A$45:$I$59, 6, FALSE), perc_90, VLOOKUP(F$2, Percentiles!$A$45:$I$59, 7, FALSE), perc_95, VLOOKUP(F$2, Percentiles!$A$45:$I$59, 8, FALSE), perc_85, perc_75 + (perc_90 - perc_75) * (2/3), converted_stat, '2K_Ratings'!F233, IF(bbgm_stat &gt;= perc_95, converted_stat * 3, IF(bbgm_stat &gt;= perc_90, converted_stat * 2, IF(bbgm_stat &gt;= perc_85, converted_stat * 1.5, converted_stat)))))</f>
        <v/>
      </c>
      <c r="G233" s="30" t="str">
        <f t="array" ref="G233">IF($A233="", "", LET(bbgm_stat, INDEX(Players!$A232:$P232, MATCH(G$2, Players!$A$1:$P$1, 0)), perc_75, VLOOKUP(G$2, Percentiles!$A$45:$I$59, 6, FALSE), perc_90, VLOOKUP(G$2, Percentiles!$A$45:$I$59, 7, FALSE), perc_95, VLOOKUP(G$2, Percentiles!$A$45:$I$59, 8, FALSE), perc_85, perc_75 + (perc_90 - perc_75) * (2/3), converted_stat, '2K_Ratings'!G233, IF(bbgm_stat &gt;= perc_95, converted_stat * 3, IF(bbgm_stat &gt;= perc_90, converted_stat * 2, IF(bbgm_stat &gt;= perc_85, converted_stat * 1.5, converted_stat)))))</f>
        <v/>
      </c>
      <c r="H233" s="30" t="str">
        <f t="array" ref="H233">IF($A233="", "", LET(bbgm_stat, INDEX(Players!$A232:$P232, MATCH(H$2, Players!$A$1:$P$1, 0)), perc_75, VLOOKUP(H$2, Percentiles!$A$45:$I$59, 6, FALSE), perc_90, VLOOKUP(H$2, Percentiles!$A$45:$I$59, 7, FALSE), perc_95, VLOOKUP(H$2, Percentiles!$A$45:$I$59, 8, FALSE), perc_85, perc_75 + (perc_90 - perc_75) * (2/3), converted_stat, '2K_Ratings'!H233, IF(bbgm_stat &gt;= perc_95, converted_stat * 3, IF(bbgm_stat &gt;= perc_90, converted_stat * 2, IF(bbgm_stat &gt;= perc_85, converted_stat * 1.5, converted_stat)))))</f>
        <v/>
      </c>
      <c r="I233" s="30" t="str">
        <f t="array" ref="I233">IF($A233="", "", LET(bbgm_stat, INDEX(Players!$A232:$P232, MATCH(I$2, Players!$A$1:$P$1, 0)), perc_75, VLOOKUP(I$2, Percentiles!$A$45:$I$59, 6, FALSE), perc_90, VLOOKUP(I$2, Percentiles!$A$45:$I$59, 7, FALSE), perc_95, VLOOKUP(I$2, Percentiles!$A$45:$I$59, 8, FALSE), perc_85, perc_75 + (perc_90 - perc_75) * (2/3), converted_stat, '2K_Ratings'!I233, IF(bbgm_stat &gt;= perc_95, converted_stat * 3, IF(bbgm_stat &gt;= perc_90, converted_stat * 2, IF(bbgm_stat &gt;= perc_85, converted_stat * 1.5, converted_stat)))))</f>
        <v/>
      </c>
      <c r="J233" s="30" t="str">
        <f t="array" ref="J233">IF($A233="", "", LET(bbgm_stat, INDEX(Players!$A232:$P232, MATCH(J$2, Players!$A$1:$P$1, 0)), perc_75, VLOOKUP(J$2, Percentiles!$A$45:$I$59, 6, FALSE), perc_90, VLOOKUP(J$2, Percentiles!$A$45:$I$59, 7, FALSE), perc_95, VLOOKUP(J$2, Percentiles!$A$45:$I$59, 8, FALSE), perc_85, perc_75 + (perc_90 - perc_75) * (2/3), converted_stat, '2K_Ratings'!J233, IF(bbgm_stat &gt;= perc_95, converted_stat * 3, IF(bbgm_stat &gt;= perc_90, converted_stat * 2, IF(bbgm_stat &gt;= perc_85, converted_stat * 1.5, converted_stat)))))</f>
        <v/>
      </c>
      <c r="K233" s="30" t="str">
        <f t="array" ref="K233">IF($A233="", "", LET(bbgm_stat, INDEX(Players!$A232:$P232, MATCH(K$2, Players!$A$1:$P$1, 0)), perc_75, VLOOKUP(K$2, Percentiles!$A$45:$I$59, 6, FALSE), perc_90, VLOOKUP(K$2, Percentiles!$A$45:$I$59, 7, FALSE), perc_95, VLOOKUP(K$2, Percentiles!$A$45:$I$59, 8, FALSE), perc_85, perc_75 + (perc_90 - perc_75) * (2/3), converted_stat, '2K_Ratings'!K233, IF(bbgm_stat &gt;= perc_95, converted_stat * 3, IF(bbgm_stat &gt;= perc_90, converted_stat * 2, IF(bbgm_stat &gt;= perc_85, converted_stat * 1.5, converted_stat)))))</f>
        <v/>
      </c>
      <c r="L233" s="30" t="str">
        <f t="array" ref="L233">IF($A233="", "", LET(bbgm_stat, INDEX(Players!$A232:$P232, MATCH(L$2, Players!$A$1:$P$1, 0)), perc_75, VLOOKUP(L$2, Percentiles!$A$45:$I$59, 6, FALSE), perc_90, VLOOKUP(L$2, Percentiles!$A$45:$I$59, 7, FALSE), perc_95, VLOOKUP(L$2, Percentiles!$A$45:$I$59, 8, FALSE), perc_85, perc_75 + (perc_90 - perc_75) * (2/3), converted_stat, '2K_Ratings'!L233, IF(bbgm_stat &gt;= perc_95, converted_stat * 3, IF(bbgm_stat &gt;= perc_90, converted_stat * 2, IF(bbgm_stat &gt;= perc_85, converted_stat * 1.5, converted_stat)))))</f>
        <v/>
      </c>
      <c r="M233" s="30" t="str">
        <f t="array" ref="M233">IF($A233="", "", LET(bbgm_stat, INDEX(Players!$A232:$P232, MATCH(M$2, Players!$A$1:$P$1, 0)), perc_75, VLOOKUP(M$2, Percentiles!$A$45:$I$59, 6, FALSE), perc_90, VLOOKUP(M$2, Percentiles!$A$45:$I$59, 7, FALSE), perc_95, VLOOKUP(M$2, Percentiles!$A$45:$I$59, 8, FALSE), perc_85, perc_75 + (perc_90 - perc_75) * (2/3), converted_stat, '2K_Ratings'!M233, IF(bbgm_stat &gt;= perc_95, converted_stat * 3, IF(bbgm_stat &gt;= perc_90, converted_stat * 2, IF(bbgm_stat &gt;= perc_85, converted_stat * 1.5, converted_stat)))))</f>
        <v/>
      </c>
      <c r="N233" s="30" t="str">
        <f t="array" ref="N233">IF($A233="", "", LET(bbgm_stat, INDEX(Players!$A232:$P232, MATCH(N$2, Players!$A$1:$P$1, 0)), perc_75, VLOOKUP(N$2, Percentiles!$A$45:$I$59, 6, FALSE), perc_90, VLOOKUP(N$2, Percentiles!$A$45:$I$59, 7, FALSE), perc_95, VLOOKUP(N$2, Percentiles!$A$45:$I$59, 8, FALSE), perc_85, perc_75 + (perc_90 - perc_75) * (2/3), converted_stat, '2K_Ratings'!N233, IF(bbgm_stat &gt;= perc_95, converted_stat * 3, IF(bbgm_stat &gt;= perc_90, converted_stat * 2, IF(bbgm_stat &gt;= perc_85, converted_stat * 1.5, converted_stat)))))</f>
        <v/>
      </c>
      <c r="O233" s="30" t="str">
        <f t="array" ref="O233">IF($A233="", "", LET(bbgm_stat, INDEX(Players!$A232:$P232, MATCH(O$2, Players!$A$1:$P$1, 0)), perc_75, VLOOKUP(O$2, Percentiles!$A$45:$I$59, 6, FALSE), perc_90, VLOOKUP(O$2, Percentiles!$A$45:$I$59, 7, FALSE), perc_95, VLOOKUP(O$2, Percentiles!$A$45:$I$59, 8, FALSE), perc_85, perc_75 + (perc_90 - perc_75) * (2/3), converted_stat, '2K_Ratings'!O233, IF(bbgm_stat &gt;= perc_95, converted_stat * 3, IF(bbgm_stat &gt;= perc_90, converted_stat * 2, IF(bbgm_stat &gt;= perc_85, converted_stat * 1.5, converted_stat)))))</f>
        <v/>
      </c>
      <c r="P233" s="30" t="str">
        <f t="array" ref="P233">IF($A233="", "", LET(bbgm_stat, INDEX(Players!$A232:$P232, MATCH(P$2, Players!$A$1:$P$1, 0)), perc_75, VLOOKUP(P$2, Percentiles!$A$45:$I$59, 6, FALSE), perc_90, VLOOKUP(P$2, Percentiles!$A$45:$I$59, 7, FALSE), perc_95, VLOOKUP(P$2, Percentiles!$A$45:$I$59, 8, FALSE), perc_85, perc_75 + (perc_90 - perc_75) * (2/3), converted_stat, '2K_Ratings'!P233, IF(bbgm_stat &gt;= perc_95, converted_stat * 3, IF(bbgm_stat &gt;= perc_90, converted_stat * 2, IF(bbgm_stat &gt;= perc_85, converted_stat * 1.5, converted_stat)))))</f>
        <v/>
      </c>
      <c r="Q233" s="30" t="str">
        <f t="array" ref="Q233">IF($A233="", "", LET(bbgm_stat, INDEX(Players!$A232:$P232, MATCH(Q$2, Players!$A$1:$P$1, 0)), perc_75, VLOOKUP(Q$2, Percentiles!$A$45:$I$59, 6, FALSE), perc_90, VLOOKUP(Q$2, Percentiles!$A$45:$I$59, 7, FALSE), perc_95, VLOOKUP(Q$2, Percentiles!$A$45:$I$59, 8, FALSE), perc_85, perc_75 + (perc_90 - perc_75) * (2/3), converted_stat, '2K_Ratings'!Q233, IF(bbgm_stat &gt;= perc_95, converted_stat * 3, IF(bbgm_stat &gt;= perc_90, converted_stat * 2, IF(bbgm_stat &gt;= perc_85, converted_stat * 1.5, converted_stat)))))</f>
        <v/>
      </c>
      <c r="R233" s="30" t="str">
        <f t="array" ref="R233">IF($A233="", "", LET(bbgm_stat, INDEX(Players!$A232:$P232, MATCH(R$2, Players!$A$1:$P$1, 0)), perc_75, VLOOKUP(R$2, Percentiles!$A$45:$I$59, 6, FALSE), perc_90, VLOOKUP(R$2, Percentiles!$A$45:$I$59, 7, FALSE), perc_95, VLOOKUP(R$2, Percentiles!$A$45:$I$59, 8, FALSE), perc_85, perc_75 + (perc_90 - perc_75) * (2/3), converted_stat, '2K_Ratings'!R233, IF(bbgm_stat &gt;= perc_95, converted_stat * 3, IF(bbgm_stat &gt;= perc_90, converted_stat * 2, IF(bbgm_stat &gt;= perc_85, converted_stat * 1.5, converted_stat)))))</f>
        <v/>
      </c>
      <c r="S233" s="30" t="str">
        <f t="array" ref="S233">IF($A233="", "", LET(bbgm_stat, INDEX(Players!$A232:$P232, MATCH(S$2, Players!$A$1:$P$1, 0)), perc_75, VLOOKUP(S$2, Percentiles!$A$45:$I$59, 6, FALSE), perc_90, VLOOKUP(S$2, Percentiles!$A$45:$I$59, 7, FALSE), perc_95, VLOOKUP(S$2, Percentiles!$A$45:$I$59, 8, FALSE), perc_85, perc_75 + (perc_90 - perc_75) * (2/3), converted_stat, '2K_Ratings'!S233, IF(bbgm_stat &gt;= perc_95, converted_stat * 3, IF(bbgm_stat &gt;= perc_90, converted_stat * 2, IF(bbgm_stat &gt;= perc_85, converted_stat * 1.5, converted_stat)))))</f>
        <v/>
      </c>
      <c r="T233" s="30" t="str">
        <f t="array" ref="T233">IF($A233="", "", LET(bbgm_stat, INDEX(Players!$A232:$P232, MATCH(T$2, Players!$A$1:$P$1, 0)), perc_75, VLOOKUP(T$2, Percentiles!$A$45:$I$59, 6, FALSE), perc_90, VLOOKUP(T$2, Percentiles!$A$45:$I$59, 7, FALSE), perc_95, VLOOKUP(T$2, Percentiles!$A$45:$I$59, 8, FALSE), perc_85, perc_75 + (perc_90 - perc_75) * (2/3), converted_stat, '2K_Ratings'!T233, IF(bbgm_stat &gt;= perc_95, converted_stat * 3, IF(bbgm_stat &gt;= perc_90, converted_stat * 2, IF(bbgm_stat &gt;= perc_85, converted_stat * 1.5, converted_stat)))))</f>
        <v/>
      </c>
      <c r="U233" s="30" t="str">
        <f t="array" ref="U233">IF($A233="", "", LET(bbgm_stat, INDEX(Players!$A232:$P232, MATCH(U$2, Players!$A$1:$P$1, 0)), perc_75, VLOOKUP(U$2, Percentiles!$A$45:$I$59, 6, FALSE), perc_90, VLOOKUP(U$2, Percentiles!$A$45:$I$59, 7, FALSE), perc_95, VLOOKUP(U$2, Percentiles!$A$45:$I$59, 8, FALSE), perc_85, perc_75 + (perc_90 - perc_75) * (2/3), converted_stat, '2K_Ratings'!U233, IF(bbgm_stat &gt;= perc_95, converted_stat * 3, IF(bbgm_stat &gt;= perc_90, converted_stat * 2, IF(bbgm_stat &gt;= perc_85, converted_stat * 1.5, converted_stat)))))</f>
        <v/>
      </c>
      <c r="V233" s="30" t="str">
        <f t="array" ref="V233">IF($A233="", "", LET(bbgm_stat, INDEX(Players!$A232:$P232, MATCH(V$2, Players!$A$1:$P$1, 0)), perc_75, VLOOKUP(V$2, Percentiles!$A$45:$I$59, 6, FALSE), perc_90, VLOOKUP(V$2, Percentiles!$A$45:$I$59, 7, FALSE), perc_95, VLOOKUP(V$2, Percentiles!$A$45:$I$59, 8, FALSE), perc_85, perc_75 + (perc_90 - perc_75) * (2/3), converted_stat, '2K_Ratings'!V233, IF(bbgm_stat &gt;= perc_95, converted_stat * 3, IF(bbgm_stat &gt;= perc_90, converted_stat * 2, IF(bbgm_stat &gt;= perc_85, converted_stat * 1.5, converted_stat)))))</f>
        <v/>
      </c>
      <c r="W233" s="30" t="str">
        <f t="array" ref="W233">IF($A233="", "", LET(bbgm_stat, INDEX(Players!$A232:$P232, MATCH(W$2, Players!$A$1:$P$1, 0)), perc_75, VLOOKUP(W$2, Percentiles!$A$45:$I$59, 6, FALSE), perc_90, VLOOKUP(W$2, Percentiles!$A$45:$I$59, 7, FALSE), perc_95, VLOOKUP(W$2, Percentiles!$A$45:$I$59, 8, FALSE), perc_85, perc_75 + (perc_90 - perc_75) * (2/3), converted_stat, '2K_Ratings'!W233, IF(bbgm_stat &gt;= perc_95, converted_stat * 3, IF(bbgm_stat &gt;= perc_90, converted_stat * 2, IF(bbgm_stat &gt;= perc_85, converted_stat * 1.5, converted_stat)))))</f>
        <v/>
      </c>
    </row>
    <row r="234">
      <c r="A234" s="30"/>
      <c r="B234" s="30" t="str">
        <f t="array" ref="B234">IF($A234="", "", LET(bbgm_stat, INDEX(Players!$A233:$P233, MATCH(B$2, Players!$A$1:$P$1, 0)), perc_75, VLOOKUP(B$2, Percentiles!$A$45:$I$59, 6, FALSE), perc_90, VLOOKUP(B$2, Percentiles!$A$45:$I$59, 7, FALSE), perc_95, VLOOKUP(B$2, Percentiles!$A$45:$I$59, 8, FALSE), perc_85, perc_75 + (perc_90 - perc_75) * (2/3), converted_stat, '2K_Ratings'!B234, IF(bbgm_stat &gt;= perc_95, converted_stat * 3, IF(bbgm_stat &gt;= perc_90, converted_stat * 2, IF(bbgm_stat &gt;= perc_85, converted_stat * 1.5, converted_stat)))))</f>
        <v/>
      </c>
      <c r="C234" s="30" t="str">
        <f t="array" ref="C234">IF($A234="", "", LET(bbgm_stat, INDEX(Players!$A233:$P233, MATCH(C$2, Players!$A$1:$P$1, 0)), perc_75, VLOOKUP(C$2, Percentiles!$A$45:$I$59, 6, FALSE), perc_90, VLOOKUP(C$2, Percentiles!$A$45:$I$59, 7, FALSE), perc_95, VLOOKUP(C$2, Percentiles!$A$45:$I$59, 8, FALSE), perc_85, perc_75 + (perc_90 - perc_75) * (2/3), converted_stat, '2K_Ratings'!C234, IF(bbgm_stat &gt;= perc_95, converted_stat * 3, IF(bbgm_stat &gt;= perc_90, converted_stat * 2, IF(bbgm_stat &gt;= perc_85, converted_stat * 1.5, converted_stat)))))</f>
        <v/>
      </c>
      <c r="D234" s="30" t="str">
        <f t="array" ref="D234">IF($A234="", "", LET(bbgm_stat, INDEX(Players!$A233:$P233, MATCH(D$2, Players!$A$1:$P$1, 0)), perc_75, VLOOKUP(D$2, Percentiles!$A$45:$I$59, 6, FALSE), perc_90, VLOOKUP(D$2, Percentiles!$A$45:$I$59, 7, FALSE), perc_95, VLOOKUP(D$2, Percentiles!$A$45:$I$59, 8, FALSE), perc_85, perc_75 + (perc_90 - perc_75) * (2/3), converted_stat, '2K_Ratings'!D234, IF(bbgm_stat &gt;= perc_95, converted_stat * 3, IF(bbgm_stat &gt;= perc_90, converted_stat * 2, IF(bbgm_stat &gt;= perc_85, converted_stat * 1.5, converted_stat)))))</f>
        <v/>
      </c>
      <c r="E234" s="30" t="str">
        <f t="array" ref="E234">IF($A234="", "", LET(bbgm_stat, INDEX(Players!$A233:$P233, MATCH(E$2, Players!$A$1:$P$1, 0)), perc_75, VLOOKUP(E$2, Percentiles!$A$45:$I$59, 6, FALSE), perc_90, VLOOKUP(E$2, Percentiles!$A$45:$I$59, 7, FALSE), perc_95, VLOOKUP(E$2, Percentiles!$A$45:$I$59, 8, FALSE), perc_85, perc_75 + (perc_90 - perc_75) * (2/3), converted_stat, '2K_Ratings'!E234, IF(bbgm_stat &gt;= perc_95, converted_stat * 3, IF(bbgm_stat &gt;= perc_90, converted_stat * 2, IF(bbgm_stat &gt;= perc_85, converted_stat * 1.5, converted_stat)))))</f>
        <v/>
      </c>
      <c r="F234" s="30" t="str">
        <f t="array" ref="F234">IF($A234="", "", LET(bbgm_stat, INDEX(Players!$A233:$P233, MATCH(F$2, Players!$A$1:$P$1, 0)), perc_75, VLOOKUP(F$2, Percentiles!$A$45:$I$59, 6, FALSE), perc_90, VLOOKUP(F$2, Percentiles!$A$45:$I$59, 7, FALSE), perc_95, VLOOKUP(F$2, Percentiles!$A$45:$I$59, 8, FALSE), perc_85, perc_75 + (perc_90 - perc_75) * (2/3), converted_stat, '2K_Ratings'!F234, IF(bbgm_stat &gt;= perc_95, converted_stat * 3, IF(bbgm_stat &gt;= perc_90, converted_stat * 2, IF(bbgm_stat &gt;= perc_85, converted_stat * 1.5, converted_stat)))))</f>
        <v/>
      </c>
      <c r="G234" s="30" t="str">
        <f t="array" ref="G234">IF($A234="", "", LET(bbgm_stat, INDEX(Players!$A233:$P233, MATCH(G$2, Players!$A$1:$P$1, 0)), perc_75, VLOOKUP(G$2, Percentiles!$A$45:$I$59, 6, FALSE), perc_90, VLOOKUP(G$2, Percentiles!$A$45:$I$59, 7, FALSE), perc_95, VLOOKUP(G$2, Percentiles!$A$45:$I$59, 8, FALSE), perc_85, perc_75 + (perc_90 - perc_75) * (2/3), converted_stat, '2K_Ratings'!G234, IF(bbgm_stat &gt;= perc_95, converted_stat * 3, IF(bbgm_stat &gt;= perc_90, converted_stat * 2, IF(bbgm_stat &gt;= perc_85, converted_stat * 1.5, converted_stat)))))</f>
        <v/>
      </c>
      <c r="H234" s="30" t="str">
        <f t="array" ref="H234">IF($A234="", "", LET(bbgm_stat, INDEX(Players!$A233:$P233, MATCH(H$2, Players!$A$1:$P$1, 0)), perc_75, VLOOKUP(H$2, Percentiles!$A$45:$I$59, 6, FALSE), perc_90, VLOOKUP(H$2, Percentiles!$A$45:$I$59, 7, FALSE), perc_95, VLOOKUP(H$2, Percentiles!$A$45:$I$59, 8, FALSE), perc_85, perc_75 + (perc_90 - perc_75) * (2/3), converted_stat, '2K_Ratings'!H234, IF(bbgm_stat &gt;= perc_95, converted_stat * 3, IF(bbgm_stat &gt;= perc_90, converted_stat * 2, IF(bbgm_stat &gt;= perc_85, converted_stat * 1.5, converted_stat)))))</f>
        <v/>
      </c>
      <c r="I234" s="30" t="str">
        <f t="array" ref="I234">IF($A234="", "", LET(bbgm_stat, INDEX(Players!$A233:$P233, MATCH(I$2, Players!$A$1:$P$1, 0)), perc_75, VLOOKUP(I$2, Percentiles!$A$45:$I$59, 6, FALSE), perc_90, VLOOKUP(I$2, Percentiles!$A$45:$I$59, 7, FALSE), perc_95, VLOOKUP(I$2, Percentiles!$A$45:$I$59, 8, FALSE), perc_85, perc_75 + (perc_90 - perc_75) * (2/3), converted_stat, '2K_Ratings'!I234, IF(bbgm_stat &gt;= perc_95, converted_stat * 3, IF(bbgm_stat &gt;= perc_90, converted_stat * 2, IF(bbgm_stat &gt;= perc_85, converted_stat * 1.5, converted_stat)))))</f>
        <v/>
      </c>
      <c r="J234" s="30" t="str">
        <f t="array" ref="J234">IF($A234="", "", LET(bbgm_stat, INDEX(Players!$A233:$P233, MATCH(J$2, Players!$A$1:$P$1, 0)), perc_75, VLOOKUP(J$2, Percentiles!$A$45:$I$59, 6, FALSE), perc_90, VLOOKUP(J$2, Percentiles!$A$45:$I$59, 7, FALSE), perc_95, VLOOKUP(J$2, Percentiles!$A$45:$I$59, 8, FALSE), perc_85, perc_75 + (perc_90 - perc_75) * (2/3), converted_stat, '2K_Ratings'!J234, IF(bbgm_stat &gt;= perc_95, converted_stat * 3, IF(bbgm_stat &gt;= perc_90, converted_stat * 2, IF(bbgm_stat &gt;= perc_85, converted_stat * 1.5, converted_stat)))))</f>
        <v/>
      </c>
      <c r="K234" s="30" t="str">
        <f t="array" ref="K234">IF($A234="", "", LET(bbgm_stat, INDEX(Players!$A233:$P233, MATCH(K$2, Players!$A$1:$P$1, 0)), perc_75, VLOOKUP(K$2, Percentiles!$A$45:$I$59, 6, FALSE), perc_90, VLOOKUP(K$2, Percentiles!$A$45:$I$59, 7, FALSE), perc_95, VLOOKUP(K$2, Percentiles!$A$45:$I$59, 8, FALSE), perc_85, perc_75 + (perc_90 - perc_75) * (2/3), converted_stat, '2K_Ratings'!K234, IF(bbgm_stat &gt;= perc_95, converted_stat * 3, IF(bbgm_stat &gt;= perc_90, converted_stat * 2, IF(bbgm_stat &gt;= perc_85, converted_stat * 1.5, converted_stat)))))</f>
        <v/>
      </c>
      <c r="L234" s="30" t="str">
        <f t="array" ref="L234">IF($A234="", "", LET(bbgm_stat, INDEX(Players!$A233:$P233, MATCH(L$2, Players!$A$1:$P$1, 0)), perc_75, VLOOKUP(L$2, Percentiles!$A$45:$I$59, 6, FALSE), perc_90, VLOOKUP(L$2, Percentiles!$A$45:$I$59, 7, FALSE), perc_95, VLOOKUP(L$2, Percentiles!$A$45:$I$59, 8, FALSE), perc_85, perc_75 + (perc_90 - perc_75) * (2/3), converted_stat, '2K_Ratings'!L234, IF(bbgm_stat &gt;= perc_95, converted_stat * 3, IF(bbgm_stat &gt;= perc_90, converted_stat * 2, IF(bbgm_stat &gt;= perc_85, converted_stat * 1.5, converted_stat)))))</f>
        <v/>
      </c>
      <c r="M234" s="30" t="str">
        <f t="array" ref="M234">IF($A234="", "", LET(bbgm_stat, INDEX(Players!$A233:$P233, MATCH(M$2, Players!$A$1:$P$1, 0)), perc_75, VLOOKUP(M$2, Percentiles!$A$45:$I$59, 6, FALSE), perc_90, VLOOKUP(M$2, Percentiles!$A$45:$I$59, 7, FALSE), perc_95, VLOOKUP(M$2, Percentiles!$A$45:$I$59, 8, FALSE), perc_85, perc_75 + (perc_90 - perc_75) * (2/3), converted_stat, '2K_Ratings'!M234, IF(bbgm_stat &gt;= perc_95, converted_stat * 3, IF(bbgm_stat &gt;= perc_90, converted_stat * 2, IF(bbgm_stat &gt;= perc_85, converted_stat * 1.5, converted_stat)))))</f>
        <v/>
      </c>
      <c r="N234" s="30" t="str">
        <f t="array" ref="N234">IF($A234="", "", LET(bbgm_stat, INDEX(Players!$A233:$P233, MATCH(N$2, Players!$A$1:$P$1, 0)), perc_75, VLOOKUP(N$2, Percentiles!$A$45:$I$59, 6, FALSE), perc_90, VLOOKUP(N$2, Percentiles!$A$45:$I$59, 7, FALSE), perc_95, VLOOKUP(N$2, Percentiles!$A$45:$I$59, 8, FALSE), perc_85, perc_75 + (perc_90 - perc_75) * (2/3), converted_stat, '2K_Ratings'!N234, IF(bbgm_stat &gt;= perc_95, converted_stat * 3, IF(bbgm_stat &gt;= perc_90, converted_stat * 2, IF(bbgm_stat &gt;= perc_85, converted_stat * 1.5, converted_stat)))))</f>
        <v/>
      </c>
      <c r="O234" s="30" t="str">
        <f t="array" ref="O234">IF($A234="", "", LET(bbgm_stat, INDEX(Players!$A233:$P233, MATCH(O$2, Players!$A$1:$P$1, 0)), perc_75, VLOOKUP(O$2, Percentiles!$A$45:$I$59, 6, FALSE), perc_90, VLOOKUP(O$2, Percentiles!$A$45:$I$59, 7, FALSE), perc_95, VLOOKUP(O$2, Percentiles!$A$45:$I$59, 8, FALSE), perc_85, perc_75 + (perc_90 - perc_75) * (2/3), converted_stat, '2K_Ratings'!O234, IF(bbgm_stat &gt;= perc_95, converted_stat * 3, IF(bbgm_stat &gt;= perc_90, converted_stat * 2, IF(bbgm_stat &gt;= perc_85, converted_stat * 1.5, converted_stat)))))</f>
        <v/>
      </c>
      <c r="P234" s="30" t="str">
        <f t="array" ref="P234">IF($A234="", "", LET(bbgm_stat, INDEX(Players!$A233:$P233, MATCH(P$2, Players!$A$1:$P$1, 0)), perc_75, VLOOKUP(P$2, Percentiles!$A$45:$I$59, 6, FALSE), perc_90, VLOOKUP(P$2, Percentiles!$A$45:$I$59, 7, FALSE), perc_95, VLOOKUP(P$2, Percentiles!$A$45:$I$59, 8, FALSE), perc_85, perc_75 + (perc_90 - perc_75) * (2/3), converted_stat, '2K_Ratings'!P234, IF(bbgm_stat &gt;= perc_95, converted_stat * 3, IF(bbgm_stat &gt;= perc_90, converted_stat * 2, IF(bbgm_stat &gt;= perc_85, converted_stat * 1.5, converted_stat)))))</f>
        <v/>
      </c>
      <c r="Q234" s="30" t="str">
        <f t="array" ref="Q234">IF($A234="", "", LET(bbgm_stat, INDEX(Players!$A233:$P233, MATCH(Q$2, Players!$A$1:$P$1, 0)), perc_75, VLOOKUP(Q$2, Percentiles!$A$45:$I$59, 6, FALSE), perc_90, VLOOKUP(Q$2, Percentiles!$A$45:$I$59, 7, FALSE), perc_95, VLOOKUP(Q$2, Percentiles!$A$45:$I$59, 8, FALSE), perc_85, perc_75 + (perc_90 - perc_75) * (2/3), converted_stat, '2K_Ratings'!Q234, IF(bbgm_stat &gt;= perc_95, converted_stat * 3, IF(bbgm_stat &gt;= perc_90, converted_stat * 2, IF(bbgm_stat &gt;= perc_85, converted_stat * 1.5, converted_stat)))))</f>
        <v/>
      </c>
      <c r="R234" s="30" t="str">
        <f t="array" ref="R234">IF($A234="", "", LET(bbgm_stat, INDEX(Players!$A233:$P233, MATCH(R$2, Players!$A$1:$P$1, 0)), perc_75, VLOOKUP(R$2, Percentiles!$A$45:$I$59, 6, FALSE), perc_90, VLOOKUP(R$2, Percentiles!$A$45:$I$59, 7, FALSE), perc_95, VLOOKUP(R$2, Percentiles!$A$45:$I$59, 8, FALSE), perc_85, perc_75 + (perc_90 - perc_75) * (2/3), converted_stat, '2K_Ratings'!R234, IF(bbgm_stat &gt;= perc_95, converted_stat * 3, IF(bbgm_stat &gt;= perc_90, converted_stat * 2, IF(bbgm_stat &gt;= perc_85, converted_stat * 1.5, converted_stat)))))</f>
        <v/>
      </c>
      <c r="S234" s="30" t="str">
        <f t="array" ref="S234">IF($A234="", "", LET(bbgm_stat, INDEX(Players!$A233:$P233, MATCH(S$2, Players!$A$1:$P$1, 0)), perc_75, VLOOKUP(S$2, Percentiles!$A$45:$I$59, 6, FALSE), perc_90, VLOOKUP(S$2, Percentiles!$A$45:$I$59, 7, FALSE), perc_95, VLOOKUP(S$2, Percentiles!$A$45:$I$59, 8, FALSE), perc_85, perc_75 + (perc_90 - perc_75) * (2/3), converted_stat, '2K_Ratings'!S234, IF(bbgm_stat &gt;= perc_95, converted_stat * 3, IF(bbgm_stat &gt;= perc_90, converted_stat * 2, IF(bbgm_stat &gt;= perc_85, converted_stat * 1.5, converted_stat)))))</f>
        <v/>
      </c>
      <c r="T234" s="30" t="str">
        <f t="array" ref="T234">IF($A234="", "", LET(bbgm_stat, INDEX(Players!$A233:$P233, MATCH(T$2, Players!$A$1:$P$1, 0)), perc_75, VLOOKUP(T$2, Percentiles!$A$45:$I$59, 6, FALSE), perc_90, VLOOKUP(T$2, Percentiles!$A$45:$I$59, 7, FALSE), perc_95, VLOOKUP(T$2, Percentiles!$A$45:$I$59, 8, FALSE), perc_85, perc_75 + (perc_90 - perc_75) * (2/3), converted_stat, '2K_Ratings'!T234, IF(bbgm_stat &gt;= perc_95, converted_stat * 3, IF(bbgm_stat &gt;= perc_90, converted_stat * 2, IF(bbgm_stat &gt;= perc_85, converted_stat * 1.5, converted_stat)))))</f>
        <v/>
      </c>
      <c r="U234" s="30" t="str">
        <f t="array" ref="U234">IF($A234="", "", LET(bbgm_stat, INDEX(Players!$A233:$P233, MATCH(U$2, Players!$A$1:$P$1, 0)), perc_75, VLOOKUP(U$2, Percentiles!$A$45:$I$59, 6, FALSE), perc_90, VLOOKUP(U$2, Percentiles!$A$45:$I$59, 7, FALSE), perc_95, VLOOKUP(U$2, Percentiles!$A$45:$I$59, 8, FALSE), perc_85, perc_75 + (perc_90 - perc_75) * (2/3), converted_stat, '2K_Ratings'!U234, IF(bbgm_stat &gt;= perc_95, converted_stat * 3, IF(bbgm_stat &gt;= perc_90, converted_stat * 2, IF(bbgm_stat &gt;= perc_85, converted_stat * 1.5, converted_stat)))))</f>
        <v/>
      </c>
      <c r="V234" s="30" t="str">
        <f t="array" ref="V234">IF($A234="", "", LET(bbgm_stat, INDEX(Players!$A233:$P233, MATCH(V$2, Players!$A$1:$P$1, 0)), perc_75, VLOOKUP(V$2, Percentiles!$A$45:$I$59, 6, FALSE), perc_90, VLOOKUP(V$2, Percentiles!$A$45:$I$59, 7, FALSE), perc_95, VLOOKUP(V$2, Percentiles!$A$45:$I$59, 8, FALSE), perc_85, perc_75 + (perc_90 - perc_75) * (2/3), converted_stat, '2K_Ratings'!V234, IF(bbgm_stat &gt;= perc_95, converted_stat * 3, IF(bbgm_stat &gt;= perc_90, converted_stat * 2, IF(bbgm_stat &gt;= perc_85, converted_stat * 1.5, converted_stat)))))</f>
        <v/>
      </c>
      <c r="W234" s="30" t="str">
        <f t="array" ref="W234">IF($A234="", "", LET(bbgm_stat, INDEX(Players!$A233:$P233, MATCH(W$2, Players!$A$1:$P$1, 0)), perc_75, VLOOKUP(W$2, Percentiles!$A$45:$I$59, 6, FALSE), perc_90, VLOOKUP(W$2, Percentiles!$A$45:$I$59, 7, FALSE), perc_95, VLOOKUP(W$2, Percentiles!$A$45:$I$59, 8, FALSE), perc_85, perc_75 + (perc_90 - perc_75) * (2/3), converted_stat, '2K_Ratings'!W234, IF(bbgm_stat &gt;= perc_95, converted_stat * 3, IF(bbgm_stat &gt;= perc_90, converted_stat * 2, IF(bbgm_stat &gt;= perc_85, converted_stat * 1.5, converted_stat)))))</f>
        <v/>
      </c>
    </row>
    <row r="235">
      <c r="A235" s="30"/>
      <c r="B235" s="30" t="str">
        <f t="array" ref="B235">IF($A235="", "", LET(bbgm_stat, INDEX(Players!$A234:$P234, MATCH(B$2, Players!$A$1:$P$1, 0)), perc_75, VLOOKUP(B$2, Percentiles!$A$45:$I$59, 6, FALSE), perc_90, VLOOKUP(B$2, Percentiles!$A$45:$I$59, 7, FALSE), perc_95, VLOOKUP(B$2, Percentiles!$A$45:$I$59, 8, FALSE), perc_85, perc_75 + (perc_90 - perc_75) * (2/3), converted_stat, '2K_Ratings'!B235, IF(bbgm_stat &gt;= perc_95, converted_stat * 3, IF(bbgm_stat &gt;= perc_90, converted_stat * 2, IF(bbgm_stat &gt;= perc_85, converted_stat * 1.5, converted_stat)))))</f>
        <v/>
      </c>
      <c r="C235" s="30" t="str">
        <f t="array" ref="C235">IF($A235="", "", LET(bbgm_stat, INDEX(Players!$A234:$P234, MATCH(C$2, Players!$A$1:$P$1, 0)), perc_75, VLOOKUP(C$2, Percentiles!$A$45:$I$59, 6, FALSE), perc_90, VLOOKUP(C$2, Percentiles!$A$45:$I$59, 7, FALSE), perc_95, VLOOKUP(C$2, Percentiles!$A$45:$I$59, 8, FALSE), perc_85, perc_75 + (perc_90 - perc_75) * (2/3), converted_stat, '2K_Ratings'!C235, IF(bbgm_stat &gt;= perc_95, converted_stat * 3, IF(bbgm_stat &gt;= perc_90, converted_stat * 2, IF(bbgm_stat &gt;= perc_85, converted_stat * 1.5, converted_stat)))))</f>
        <v/>
      </c>
      <c r="D235" s="30" t="str">
        <f t="array" ref="D235">IF($A235="", "", LET(bbgm_stat, INDEX(Players!$A234:$P234, MATCH(D$2, Players!$A$1:$P$1, 0)), perc_75, VLOOKUP(D$2, Percentiles!$A$45:$I$59, 6, FALSE), perc_90, VLOOKUP(D$2, Percentiles!$A$45:$I$59, 7, FALSE), perc_95, VLOOKUP(D$2, Percentiles!$A$45:$I$59, 8, FALSE), perc_85, perc_75 + (perc_90 - perc_75) * (2/3), converted_stat, '2K_Ratings'!D235, IF(bbgm_stat &gt;= perc_95, converted_stat * 3, IF(bbgm_stat &gt;= perc_90, converted_stat * 2, IF(bbgm_stat &gt;= perc_85, converted_stat * 1.5, converted_stat)))))</f>
        <v/>
      </c>
      <c r="E235" s="30" t="str">
        <f t="array" ref="E235">IF($A235="", "", LET(bbgm_stat, INDEX(Players!$A234:$P234, MATCH(E$2, Players!$A$1:$P$1, 0)), perc_75, VLOOKUP(E$2, Percentiles!$A$45:$I$59, 6, FALSE), perc_90, VLOOKUP(E$2, Percentiles!$A$45:$I$59, 7, FALSE), perc_95, VLOOKUP(E$2, Percentiles!$A$45:$I$59, 8, FALSE), perc_85, perc_75 + (perc_90 - perc_75) * (2/3), converted_stat, '2K_Ratings'!E235, IF(bbgm_stat &gt;= perc_95, converted_stat * 3, IF(bbgm_stat &gt;= perc_90, converted_stat * 2, IF(bbgm_stat &gt;= perc_85, converted_stat * 1.5, converted_stat)))))</f>
        <v/>
      </c>
      <c r="F235" s="30" t="str">
        <f t="array" ref="F235">IF($A235="", "", LET(bbgm_stat, INDEX(Players!$A234:$P234, MATCH(F$2, Players!$A$1:$P$1, 0)), perc_75, VLOOKUP(F$2, Percentiles!$A$45:$I$59, 6, FALSE), perc_90, VLOOKUP(F$2, Percentiles!$A$45:$I$59, 7, FALSE), perc_95, VLOOKUP(F$2, Percentiles!$A$45:$I$59, 8, FALSE), perc_85, perc_75 + (perc_90 - perc_75) * (2/3), converted_stat, '2K_Ratings'!F235, IF(bbgm_stat &gt;= perc_95, converted_stat * 3, IF(bbgm_stat &gt;= perc_90, converted_stat * 2, IF(bbgm_stat &gt;= perc_85, converted_stat * 1.5, converted_stat)))))</f>
        <v/>
      </c>
      <c r="G235" s="30" t="str">
        <f t="array" ref="G235">IF($A235="", "", LET(bbgm_stat, INDEX(Players!$A234:$P234, MATCH(G$2, Players!$A$1:$P$1, 0)), perc_75, VLOOKUP(G$2, Percentiles!$A$45:$I$59, 6, FALSE), perc_90, VLOOKUP(G$2, Percentiles!$A$45:$I$59, 7, FALSE), perc_95, VLOOKUP(G$2, Percentiles!$A$45:$I$59, 8, FALSE), perc_85, perc_75 + (perc_90 - perc_75) * (2/3), converted_stat, '2K_Ratings'!G235, IF(bbgm_stat &gt;= perc_95, converted_stat * 3, IF(bbgm_stat &gt;= perc_90, converted_stat * 2, IF(bbgm_stat &gt;= perc_85, converted_stat * 1.5, converted_stat)))))</f>
        <v/>
      </c>
      <c r="H235" s="30" t="str">
        <f t="array" ref="H235">IF($A235="", "", LET(bbgm_stat, INDEX(Players!$A234:$P234, MATCH(H$2, Players!$A$1:$P$1, 0)), perc_75, VLOOKUP(H$2, Percentiles!$A$45:$I$59, 6, FALSE), perc_90, VLOOKUP(H$2, Percentiles!$A$45:$I$59, 7, FALSE), perc_95, VLOOKUP(H$2, Percentiles!$A$45:$I$59, 8, FALSE), perc_85, perc_75 + (perc_90 - perc_75) * (2/3), converted_stat, '2K_Ratings'!H235, IF(bbgm_stat &gt;= perc_95, converted_stat * 3, IF(bbgm_stat &gt;= perc_90, converted_stat * 2, IF(bbgm_stat &gt;= perc_85, converted_stat * 1.5, converted_stat)))))</f>
        <v/>
      </c>
      <c r="I235" s="30" t="str">
        <f t="array" ref="I235">IF($A235="", "", LET(bbgm_stat, INDEX(Players!$A234:$P234, MATCH(I$2, Players!$A$1:$P$1, 0)), perc_75, VLOOKUP(I$2, Percentiles!$A$45:$I$59, 6, FALSE), perc_90, VLOOKUP(I$2, Percentiles!$A$45:$I$59, 7, FALSE), perc_95, VLOOKUP(I$2, Percentiles!$A$45:$I$59, 8, FALSE), perc_85, perc_75 + (perc_90 - perc_75) * (2/3), converted_stat, '2K_Ratings'!I235, IF(bbgm_stat &gt;= perc_95, converted_stat * 3, IF(bbgm_stat &gt;= perc_90, converted_stat * 2, IF(bbgm_stat &gt;= perc_85, converted_stat * 1.5, converted_stat)))))</f>
        <v/>
      </c>
      <c r="J235" s="30" t="str">
        <f t="array" ref="J235">IF($A235="", "", LET(bbgm_stat, INDEX(Players!$A234:$P234, MATCH(J$2, Players!$A$1:$P$1, 0)), perc_75, VLOOKUP(J$2, Percentiles!$A$45:$I$59, 6, FALSE), perc_90, VLOOKUP(J$2, Percentiles!$A$45:$I$59, 7, FALSE), perc_95, VLOOKUP(J$2, Percentiles!$A$45:$I$59, 8, FALSE), perc_85, perc_75 + (perc_90 - perc_75) * (2/3), converted_stat, '2K_Ratings'!J235, IF(bbgm_stat &gt;= perc_95, converted_stat * 3, IF(bbgm_stat &gt;= perc_90, converted_stat * 2, IF(bbgm_stat &gt;= perc_85, converted_stat * 1.5, converted_stat)))))</f>
        <v/>
      </c>
      <c r="K235" s="30" t="str">
        <f t="array" ref="K235">IF($A235="", "", LET(bbgm_stat, INDEX(Players!$A234:$P234, MATCH(K$2, Players!$A$1:$P$1, 0)), perc_75, VLOOKUP(K$2, Percentiles!$A$45:$I$59, 6, FALSE), perc_90, VLOOKUP(K$2, Percentiles!$A$45:$I$59, 7, FALSE), perc_95, VLOOKUP(K$2, Percentiles!$A$45:$I$59, 8, FALSE), perc_85, perc_75 + (perc_90 - perc_75) * (2/3), converted_stat, '2K_Ratings'!K235, IF(bbgm_stat &gt;= perc_95, converted_stat * 3, IF(bbgm_stat &gt;= perc_90, converted_stat * 2, IF(bbgm_stat &gt;= perc_85, converted_stat * 1.5, converted_stat)))))</f>
        <v/>
      </c>
      <c r="L235" s="30" t="str">
        <f t="array" ref="L235">IF($A235="", "", LET(bbgm_stat, INDEX(Players!$A234:$P234, MATCH(L$2, Players!$A$1:$P$1, 0)), perc_75, VLOOKUP(L$2, Percentiles!$A$45:$I$59, 6, FALSE), perc_90, VLOOKUP(L$2, Percentiles!$A$45:$I$59, 7, FALSE), perc_95, VLOOKUP(L$2, Percentiles!$A$45:$I$59, 8, FALSE), perc_85, perc_75 + (perc_90 - perc_75) * (2/3), converted_stat, '2K_Ratings'!L235, IF(bbgm_stat &gt;= perc_95, converted_stat * 3, IF(bbgm_stat &gt;= perc_90, converted_stat * 2, IF(bbgm_stat &gt;= perc_85, converted_stat * 1.5, converted_stat)))))</f>
        <v/>
      </c>
      <c r="M235" s="30" t="str">
        <f t="array" ref="M235">IF($A235="", "", LET(bbgm_stat, INDEX(Players!$A234:$P234, MATCH(M$2, Players!$A$1:$P$1, 0)), perc_75, VLOOKUP(M$2, Percentiles!$A$45:$I$59, 6, FALSE), perc_90, VLOOKUP(M$2, Percentiles!$A$45:$I$59, 7, FALSE), perc_95, VLOOKUP(M$2, Percentiles!$A$45:$I$59, 8, FALSE), perc_85, perc_75 + (perc_90 - perc_75) * (2/3), converted_stat, '2K_Ratings'!M235, IF(bbgm_stat &gt;= perc_95, converted_stat * 3, IF(bbgm_stat &gt;= perc_90, converted_stat * 2, IF(bbgm_stat &gt;= perc_85, converted_stat * 1.5, converted_stat)))))</f>
        <v/>
      </c>
      <c r="N235" s="30" t="str">
        <f t="array" ref="N235">IF($A235="", "", LET(bbgm_stat, INDEX(Players!$A234:$P234, MATCH(N$2, Players!$A$1:$P$1, 0)), perc_75, VLOOKUP(N$2, Percentiles!$A$45:$I$59, 6, FALSE), perc_90, VLOOKUP(N$2, Percentiles!$A$45:$I$59, 7, FALSE), perc_95, VLOOKUP(N$2, Percentiles!$A$45:$I$59, 8, FALSE), perc_85, perc_75 + (perc_90 - perc_75) * (2/3), converted_stat, '2K_Ratings'!N235, IF(bbgm_stat &gt;= perc_95, converted_stat * 3, IF(bbgm_stat &gt;= perc_90, converted_stat * 2, IF(bbgm_stat &gt;= perc_85, converted_stat * 1.5, converted_stat)))))</f>
        <v/>
      </c>
      <c r="O235" s="30" t="str">
        <f t="array" ref="O235">IF($A235="", "", LET(bbgm_stat, INDEX(Players!$A234:$P234, MATCH(O$2, Players!$A$1:$P$1, 0)), perc_75, VLOOKUP(O$2, Percentiles!$A$45:$I$59, 6, FALSE), perc_90, VLOOKUP(O$2, Percentiles!$A$45:$I$59, 7, FALSE), perc_95, VLOOKUP(O$2, Percentiles!$A$45:$I$59, 8, FALSE), perc_85, perc_75 + (perc_90 - perc_75) * (2/3), converted_stat, '2K_Ratings'!O235, IF(bbgm_stat &gt;= perc_95, converted_stat * 3, IF(bbgm_stat &gt;= perc_90, converted_stat * 2, IF(bbgm_stat &gt;= perc_85, converted_stat * 1.5, converted_stat)))))</f>
        <v/>
      </c>
      <c r="P235" s="30" t="str">
        <f t="array" ref="P235">IF($A235="", "", LET(bbgm_stat, INDEX(Players!$A234:$P234, MATCH(P$2, Players!$A$1:$P$1, 0)), perc_75, VLOOKUP(P$2, Percentiles!$A$45:$I$59, 6, FALSE), perc_90, VLOOKUP(P$2, Percentiles!$A$45:$I$59, 7, FALSE), perc_95, VLOOKUP(P$2, Percentiles!$A$45:$I$59, 8, FALSE), perc_85, perc_75 + (perc_90 - perc_75) * (2/3), converted_stat, '2K_Ratings'!P235, IF(bbgm_stat &gt;= perc_95, converted_stat * 3, IF(bbgm_stat &gt;= perc_90, converted_stat * 2, IF(bbgm_stat &gt;= perc_85, converted_stat * 1.5, converted_stat)))))</f>
        <v/>
      </c>
      <c r="Q235" s="30" t="str">
        <f t="array" ref="Q235">IF($A235="", "", LET(bbgm_stat, INDEX(Players!$A234:$P234, MATCH(Q$2, Players!$A$1:$P$1, 0)), perc_75, VLOOKUP(Q$2, Percentiles!$A$45:$I$59, 6, FALSE), perc_90, VLOOKUP(Q$2, Percentiles!$A$45:$I$59, 7, FALSE), perc_95, VLOOKUP(Q$2, Percentiles!$A$45:$I$59, 8, FALSE), perc_85, perc_75 + (perc_90 - perc_75) * (2/3), converted_stat, '2K_Ratings'!Q235, IF(bbgm_stat &gt;= perc_95, converted_stat * 3, IF(bbgm_stat &gt;= perc_90, converted_stat * 2, IF(bbgm_stat &gt;= perc_85, converted_stat * 1.5, converted_stat)))))</f>
        <v/>
      </c>
      <c r="R235" s="30" t="str">
        <f t="array" ref="R235">IF($A235="", "", LET(bbgm_stat, INDEX(Players!$A234:$P234, MATCH(R$2, Players!$A$1:$P$1, 0)), perc_75, VLOOKUP(R$2, Percentiles!$A$45:$I$59, 6, FALSE), perc_90, VLOOKUP(R$2, Percentiles!$A$45:$I$59, 7, FALSE), perc_95, VLOOKUP(R$2, Percentiles!$A$45:$I$59, 8, FALSE), perc_85, perc_75 + (perc_90 - perc_75) * (2/3), converted_stat, '2K_Ratings'!R235, IF(bbgm_stat &gt;= perc_95, converted_stat * 3, IF(bbgm_stat &gt;= perc_90, converted_stat * 2, IF(bbgm_stat &gt;= perc_85, converted_stat * 1.5, converted_stat)))))</f>
        <v/>
      </c>
      <c r="S235" s="30" t="str">
        <f t="array" ref="S235">IF($A235="", "", LET(bbgm_stat, INDEX(Players!$A234:$P234, MATCH(S$2, Players!$A$1:$P$1, 0)), perc_75, VLOOKUP(S$2, Percentiles!$A$45:$I$59, 6, FALSE), perc_90, VLOOKUP(S$2, Percentiles!$A$45:$I$59, 7, FALSE), perc_95, VLOOKUP(S$2, Percentiles!$A$45:$I$59, 8, FALSE), perc_85, perc_75 + (perc_90 - perc_75) * (2/3), converted_stat, '2K_Ratings'!S235, IF(bbgm_stat &gt;= perc_95, converted_stat * 3, IF(bbgm_stat &gt;= perc_90, converted_stat * 2, IF(bbgm_stat &gt;= perc_85, converted_stat * 1.5, converted_stat)))))</f>
        <v/>
      </c>
      <c r="T235" s="30" t="str">
        <f t="array" ref="T235">IF($A235="", "", LET(bbgm_stat, INDEX(Players!$A234:$P234, MATCH(T$2, Players!$A$1:$P$1, 0)), perc_75, VLOOKUP(T$2, Percentiles!$A$45:$I$59, 6, FALSE), perc_90, VLOOKUP(T$2, Percentiles!$A$45:$I$59, 7, FALSE), perc_95, VLOOKUP(T$2, Percentiles!$A$45:$I$59, 8, FALSE), perc_85, perc_75 + (perc_90 - perc_75) * (2/3), converted_stat, '2K_Ratings'!T235, IF(bbgm_stat &gt;= perc_95, converted_stat * 3, IF(bbgm_stat &gt;= perc_90, converted_stat * 2, IF(bbgm_stat &gt;= perc_85, converted_stat * 1.5, converted_stat)))))</f>
        <v/>
      </c>
      <c r="U235" s="30" t="str">
        <f t="array" ref="U235">IF($A235="", "", LET(bbgm_stat, INDEX(Players!$A234:$P234, MATCH(U$2, Players!$A$1:$P$1, 0)), perc_75, VLOOKUP(U$2, Percentiles!$A$45:$I$59, 6, FALSE), perc_90, VLOOKUP(U$2, Percentiles!$A$45:$I$59, 7, FALSE), perc_95, VLOOKUP(U$2, Percentiles!$A$45:$I$59, 8, FALSE), perc_85, perc_75 + (perc_90 - perc_75) * (2/3), converted_stat, '2K_Ratings'!U235, IF(bbgm_stat &gt;= perc_95, converted_stat * 3, IF(bbgm_stat &gt;= perc_90, converted_stat * 2, IF(bbgm_stat &gt;= perc_85, converted_stat * 1.5, converted_stat)))))</f>
        <v/>
      </c>
      <c r="V235" s="30" t="str">
        <f t="array" ref="V235">IF($A235="", "", LET(bbgm_stat, INDEX(Players!$A234:$P234, MATCH(V$2, Players!$A$1:$P$1, 0)), perc_75, VLOOKUP(V$2, Percentiles!$A$45:$I$59, 6, FALSE), perc_90, VLOOKUP(V$2, Percentiles!$A$45:$I$59, 7, FALSE), perc_95, VLOOKUP(V$2, Percentiles!$A$45:$I$59, 8, FALSE), perc_85, perc_75 + (perc_90 - perc_75) * (2/3), converted_stat, '2K_Ratings'!V235, IF(bbgm_stat &gt;= perc_95, converted_stat * 3, IF(bbgm_stat &gt;= perc_90, converted_stat * 2, IF(bbgm_stat &gt;= perc_85, converted_stat * 1.5, converted_stat)))))</f>
        <v/>
      </c>
      <c r="W235" s="30" t="str">
        <f t="array" ref="W235">IF($A235="", "", LET(bbgm_stat, INDEX(Players!$A234:$P234, MATCH(W$2, Players!$A$1:$P$1, 0)), perc_75, VLOOKUP(W$2, Percentiles!$A$45:$I$59, 6, FALSE), perc_90, VLOOKUP(W$2, Percentiles!$A$45:$I$59, 7, FALSE), perc_95, VLOOKUP(W$2, Percentiles!$A$45:$I$59, 8, FALSE), perc_85, perc_75 + (perc_90 - perc_75) * (2/3), converted_stat, '2K_Ratings'!W235, IF(bbgm_stat &gt;= perc_95, converted_stat * 3, IF(bbgm_stat &gt;= perc_90, converted_stat * 2, IF(bbgm_stat &gt;= perc_85, converted_stat * 1.5, converted_stat)))))</f>
        <v/>
      </c>
    </row>
    <row r="236">
      <c r="A236" s="30"/>
      <c r="B236" s="30" t="str">
        <f t="array" ref="B236">IF($A236="", "", LET(bbgm_stat, INDEX(Players!$A235:$P235, MATCH(B$2, Players!$A$1:$P$1, 0)), perc_75, VLOOKUP(B$2, Percentiles!$A$45:$I$59, 6, FALSE), perc_90, VLOOKUP(B$2, Percentiles!$A$45:$I$59, 7, FALSE), perc_95, VLOOKUP(B$2, Percentiles!$A$45:$I$59, 8, FALSE), perc_85, perc_75 + (perc_90 - perc_75) * (2/3), converted_stat, '2K_Ratings'!B236, IF(bbgm_stat &gt;= perc_95, converted_stat * 3, IF(bbgm_stat &gt;= perc_90, converted_stat * 2, IF(bbgm_stat &gt;= perc_85, converted_stat * 1.5, converted_stat)))))</f>
        <v/>
      </c>
      <c r="C236" s="30" t="str">
        <f t="array" ref="C236">IF($A236="", "", LET(bbgm_stat, INDEX(Players!$A235:$P235, MATCH(C$2, Players!$A$1:$P$1, 0)), perc_75, VLOOKUP(C$2, Percentiles!$A$45:$I$59, 6, FALSE), perc_90, VLOOKUP(C$2, Percentiles!$A$45:$I$59, 7, FALSE), perc_95, VLOOKUP(C$2, Percentiles!$A$45:$I$59, 8, FALSE), perc_85, perc_75 + (perc_90 - perc_75) * (2/3), converted_stat, '2K_Ratings'!C236, IF(bbgm_stat &gt;= perc_95, converted_stat * 3, IF(bbgm_stat &gt;= perc_90, converted_stat * 2, IF(bbgm_stat &gt;= perc_85, converted_stat * 1.5, converted_stat)))))</f>
        <v/>
      </c>
      <c r="D236" s="30" t="str">
        <f t="array" ref="D236">IF($A236="", "", LET(bbgm_stat, INDEX(Players!$A235:$P235, MATCH(D$2, Players!$A$1:$P$1, 0)), perc_75, VLOOKUP(D$2, Percentiles!$A$45:$I$59, 6, FALSE), perc_90, VLOOKUP(D$2, Percentiles!$A$45:$I$59, 7, FALSE), perc_95, VLOOKUP(D$2, Percentiles!$A$45:$I$59, 8, FALSE), perc_85, perc_75 + (perc_90 - perc_75) * (2/3), converted_stat, '2K_Ratings'!D236, IF(bbgm_stat &gt;= perc_95, converted_stat * 3, IF(bbgm_stat &gt;= perc_90, converted_stat * 2, IF(bbgm_stat &gt;= perc_85, converted_stat * 1.5, converted_stat)))))</f>
        <v/>
      </c>
      <c r="E236" s="30" t="str">
        <f t="array" ref="E236">IF($A236="", "", LET(bbgm_stat, INDEX(Players!$A235:$P235, MATCH(E$2, Players!$A$1:$P$1, 0)), perc_75, VLOOKUP(E$2, Percentiles!$A$45:$I$59, 6, FALSE), perc_90, VLOOKUP(E$2, Percentiles!$A$45:$I$59, 7, FALSE), perc_95, VLOOKUP(E$2, Percentiles!$A$45:$I$59, 8, FALSE), perc_85, perc_75 + (perc_90 - perc_75) * (2/3), converted_stat, '2K_Ratings'!E236, IF(bbgm_stat &gt;= perc_95, converted_stat * 3, IF(bbgm_stat &gt;= perc_90, converted_stat * 2, IF(bbgm_stat &gt;= perc_85, converted_stat * 1.5, converted_stat)))))</f>
        <v/>
      </c>
      <c r="F236" s="30" t="str">
        <f t="array" ref="F236">IF($A236="", "", LET(bbgm_stat, INDEX(Players!$A235:$P235, MATCH(F$2, Players!$A$1:$P$1, 0)), perc_75, VLOOKUP(F$2, Percentiles!$A$45:$I$59, 6, FALSE), perc_90, VLOOKUP(F$2, Percentiles!$A$45:$I$59, 7, FALSE), perc_95, VLOOKUP(F$2, Percentiles!$A$45:$I$59, 8, FALSE), perc_85, perc_75 + (perc_90 - perc_75) * (2/3), converted_stat, '2K_Ratings'!F236, IF(bbgm_stat &gt;= perc_95, converted_stat * 3, IF(bbgm_stat &gt;= perc_90, converted_stat * 2, IF(bbgm_stat &gt;= perc_85, converted_stat * 1.5, converted_stat)))))</f>
        <v/>
      </c>
      <c r="G236" s="30" t="str">
        <f t="array" ref="G236">IF($A236="", "", LET(bbgm_stat, INDEX(Players!$A235:$P235, MATCH(G$2, Players!$A$1:$P$1, 0)), perc_75, VLOOKUP(G$2, Percentiles!$A$45:$I$59, 6, FALSE), perc_90, VLOOKUP(G$2, Percentiles!$A$45:$I$59, 7, FALSE), perc_95, VLOOKUP(G$2, Percentiles!$A$45:$I$59, 8, FALSE), perc_85, perc_75 + (perc_90 - perc_75) * (2/3), converted_stat, '2K_Ratings'!G236, IF(bbgm_stat &gt;= perc_95, converted_stat * 3, IF(bbgm_stat &gt;= perc_90, converted_stat * 2, IF(bbgm_stat &gt;= perc_85, converted_stat * 1.5, converted_stat)))))</f>
        <v/>
      </c>
      <c r="H236" s="30" t="str">
        <f t="array" ref="H236">IF($A236="", "", LET(bbgm_stat, INDEX(Players!$A235:$P235, MATCH(H$2, Players!$A$1:$P$1, 0)), perc_75, VLOOKUP(H$2, Percentiles!$A$45:$I$59, 6, FALSE), perc_90, VLOOKUP(H$2, Percentiles!$A$45:$I$59, 7, FALSE), perc_95, VLOOKUP(H$2, Percentiles!$A$45:$I$59, 8, FALSE), perc_85, perc_75 + (perc_90 - perc_75) * (2/3), converted_stat, '2K_Ratings'!H236, IF(bbgm_stat &gt;= perc_95, converted_stat * 3, IF(bbgm_stat &gt;= perc_90, converted_stat * 2, IF(bbgm_stat &gt;= perc_85, converted_stat * 1.5, converted_stat)))))</f>
        <v/>
      </c>
      <c r="I236" s="30" t="str">
        <f t="array" ref="I236">IF($A236="", "", LET(bbgm_stat, INDEX(Players!$A235:$P235, MATCH(I$2, Players!$A$1:$P$1, 0)), perc_75, VLOOKUP(I$2, Percentiles!$A$45:$I$59, 6, FALSE), perc_90, VLOOKUP(I$2, Percentiles!$A$45:$I$59, 7, FALSE), perc_95, VLOOKUP(I$2, Percentiles!$A$45:$I$59, 8, FALSE), perc_85, perc_75 + (perc_90 - perc_75) * (2/3), converted_stat, '2K_Ratings'!I236, IF(bbgm_stat &gt;= perc_95, converted_stat * 3, IF(bbgm_stat &gt;= perc_90, converted_stat * 2, IF(bbgm_stat &gt;= perc_85, converted_stat * 1.5, converted_stat)))))</f>
        <v/>
      </c>
      <c r="J236" s="30" t="str">
        <f t="array" ref="J236">IF($A236="", "", LET(bbgm_stat, INDEX(Players!$A235:$P235, MATCH(J$2, Players!$A$1:$P$1, 0)), perc_75, VLOOKUP(J$2, Percentiles!$A$45:$I$59, 6, FALSE), perc_90, VLOOKUP(J$2, Percentiles!$A$45:$I$59, 7, FALSE), perc_95, VLOOKUP(J$2, Percentiles!$A$45:$I$59, 8, FALSE), perc_85, perc_75 + (perc_90 - perc_75) * (2/3), converted_stat, '2K_Ratings'!J236, IF(bbgm_stat &gt;= perc_95, converted_stat * 3, IF(bbgm_stat &gt;= perc_90, converted_stat * 2, IF(bbgm_stat &gt;= perc_85, converted_stat * 1.5, converted_stat)))))</f>
        <v/>
      </c>
      <c r="K236" s="30" t="str">
        <f t="array" ref="K236">IF($A236="", "", LET(bbgm_stat, INDEX(Players!$A235:$P235, MATCH(K$2, Players!$A$1:$P$1, 0)), perc_75, VLOOKUP(K$2, Percentiles!$A$45:$I$59, 6, FALSE), perc_90, VLOOKUP(K$2, Percentiles!$A$45:$I$59, 7, FALSE), perc_95, VLOOKUP(K$2, Percentiles!$A$45:$I$59, 8, FALSE), perc_85, perc_75 + (perc_90 - perc_75) * (2/3), converted_stat, '2K_Ratings'!K236, IF(bbgm_stat &gt;= perc_95, converted_stat * 3, IF(bbgm_stat &gt;= perc_90, converted_stat * 2, IF(bbgm_stat &gt;= perc_85, converted_stat * 1.5, converted_stat)))))</f>
        <v/>
      </c>
      <c r="L236" s="30" t="str">
        <f t="array" ref="L236">IF($A236="", "", LET(bbgm_stat, INDEX(Players!$A235:$P235, MATCH(L$2, Players!$A$1:$P$1, 0)), perc_75, VLOOKUP(L$2, Percentiles!$A$45:$I$59, 6, FALSE), perc_90, VLOOKUP(L$2, Percentiles!$A$45:$I$59, 7, FALSE), perc_95, VLOOKUP(L$2, Percentiles!$A$45:$I$59, 8, FALSE), perc_85, perc_75 + (perc_90 - perc_75) * (2/3), converted_stat, '2K_Ratings'!L236, IF(bbgm_stat &gt;= perc_95, converted_stat * 3, IF(bbgm_stat &gt;= perc_90, converted_stat * 2, IF(bbgm_stat &gt;= perc_85, converted_stat * 1.5, converted_stat)))))</f>
        <v/>
      </c>
      <c r="M236" s="30" t="str">
        <f t="array" ref="M236">IF($A236="", "", LET(bbgm_stat, INDEX(Players!$A235:$P235, MATCH(M$2, Players!$A$1:$P$1, 0)), perc_75, VLOOKUP(M$2, Percentiles!$A$45:$I$59, 6, FALSE), perc_90, VLOOKUP(M$2, Percentiles!$A$45:$I$59, 7, FALSE), perc_95, VLOOKUP(M$2, Percentiles!$A$45:$I$59, 8, FALSE), perc_85, perc_75 + (perc_90 - perc_75) * (2/3), converted_stat, '2K_Ratings'!M236, IF(bbgm_stat &gt;= perc_95, converted_stat * 3, IF(bbgm_stat &gt;= perc_90, converted_stat * 2, IF(bbgm_stat &gt;= perc_85, converted_stat * 1.5, converted_stat)))))</f>
        <v/>
      </c>
      <c r="N236" s="30" t="str">
        <f t="array" ref="N236">IF($A236="", "", LET(bbgm_stat, INDEX(Players!$A235:$P235, MATCH(N$2, Players!$A$1:$P$1, 0)), perc_75, VLOOKUP(N$2, Percentiles!$A$45:$I$59, 6, FALSE), perc_90, VLOOKUP(N$2, Percentiles!$A$45:$I$59, 7, FALSE), perc_95, VLOOKUP(N$2, Percentiles!$A$45:$I$59, 8, FALSE), perc_85, perc_75 + (perc_90 - perc_75) * (2/3), converted_stat, '2K_Ratings'!N236, IF(bbgm_stat &gt;= perc_95, converted_stat * 3, IF(bbgm_stat &gt;= perc_90, converted_stat * 2, IF(bbgm_stat &gt;= perc_85, converted_stat * 1.5, converted_stat)))))</f>
        <v/>
      </c>
      <c r="O236" s="30" t="str">
        <f t="array" ref="O236">IF($A236="", "", LET(bbgm_stat, INDEX(Players!$A235:$P235, MATCH(O$2, Players!$A$1:$P$1, 0)), perc_75, VLOOKUP(O$2, Percentiles!$A$45:$I$59, 6, FALSE), perc_90, VLOOKUP(O$2, Percentiles!$A$45:$I$59, 7, FALSE), perc_95, VLOOKUP(O$2, Percentiles!$A$45:$I$59, 8, FALSE), perc_85, perc_75 + (perc_90 - perc_75) * (2/3), converted_stat, '2K_Ratings'!O236, IF(bbgm_stat &gt;= perc_95, converted_stat * 3, IF(bbgm_stat &gt;= perc_90, converted_stat * 2, IF(bbgm_stat &gt;= perc_85, converted_stat * 1.5, converted_stat)))))</f>
        <v/>
      </c>
      <c r="P236" s="30" t="str">
        <f t="array" ref="P236">IF($A236="", "", LET(bbgm_stat, INDEX(Players!$A235:$P235, MATCH(P$2, Players!$A$1:$P$1, 0)), perc_75, VLOOKUP(P$2, Percentiles!$A$45:$I$59, 6, FALSE), perc_90, VLOOKUP(P$2, Percentiles!$A$45:$I$59, 7, FALSE), perc_95, VLOOKUP(P$2, Percentiles!$A$45:$I$59, 8, FALSE), perc_85, perc_75 + (perc_90 - perc_75) * (2/3), converted_stat, '2K_Ratings'!P236, IF(bbgm_stat &gt;= perc_95, converted_stat * 3, IF(bbgm_stat &gt;= perc_90, converted_stat * 2, IF(bbgm_stat &gt;= perc_85, converted_stat * 1.5, converted_stat)))))</f>
        <v/>
      </c>
      <c r="Q236" s="30" t="str">
        <f t="array" ref="Q236">IF($A236="", "", LET(bbgm_stat, INDEX(Players!$A235:$P235, MATCH(Q$2, Players!$A$1:$P$1, 0)), perc_75, VLOOKUP(Q$2, Percentiles!$A$45:$I$59, 6, FALSE), perc_90, VLOOKUP(Q$2, Percentiles!$A$45:$I$59, 7, FALSE), perc_95, VLOOKUP(Q$2, Percentiles!$A$45:$I$59, 8, FALSE), perc_85, perc_75 + (perc_90 - perc_75) * (2/3), converted_stat, '2K_Ratings'!Q236, IF(bbgm_stat &gt;= perc_95, converted_stat * 3, IF(bbgm_stat &gt;= perc_90, converted_stat * 2, IF(bbgm_stat &gt;= perc_85, converted_stat * 1.5, converted_stat)))))</f>
        <v/>
      </c>
      <c r="R236" s="30" t="str">
        <f t="array" ref="R236">IF($A236="", "", LET(bbgm_stat, INDEX(Players!$A235:$P235, MATCH(R$2, Players!$A$1:$P$1, 0)), perc_75, VLOOKUP(R$2, Percentiles!$A$45:$I$59, 6, FALSE), perc_90, VLOOKUP(R$2, Percentiles!$A$45:$I$59, 7, FALSE), perc_95, VLOOKUP(R$2, Percentiles!$A$45:$I$59, 8, FALSE), perc_85, perc_75 + (perc_90 - perc_75) * (2/3), converted_stat, '2K_Ratings'!R236, IF(bbgm_stat &gt;= perc_95, converted_stat * 3, IF(bbgm_stat &gt;= perc_90, converted_stat * 2, IF(bbgm_stat &gt;= perc_85, converted_stat * 1.5, converted_stat)))))</f>
        <v/>
      </c>
      <c r="S236" s="30" t="str">
        <f t="array" ref="S236">IF($A236="", "", LET(bbgm_stat, INDEX(Players!$A235:$P235, MATCH(S$2, Players!$A$1:$P$1, 0)), perc_75, VLOOKUP(S$2, Percentiles!$A$45:$I$59, 6, FALSE), perc_90, VLOOKUP(S$2, Percentiles!$A$45:$I$59, 7, FALSE), perc_95, VLOOKUP(S$2, Percentiles!$A$45:$I$59, 8, FALSE), perc_85, perc_75 + (perc_90 - perc_75) * (2/3), converted_stat, '2K_Ratings'!S236, IF(bbgm_stat &gt;= perc_95, converted_stat * 3, IF(bbgm_stat &gt;= perc_90, converted_stat * 2, IF(bbgm_stat &gt;= perc_85, converted_stat * 1.5, converted_stat)))))</f>
        <v/>
      </c>
      <c r="T236" s="30" t="str">
        <f t="array" ref="T236">IF($A236="", "", LET(bbgm_stat, INDEX(Players!$A235:$P235, MATCH(T$2, Players!$A$1:$P$1, 0)), perc_75, VLOOKUP(T$2, Percentiles!$A$45:$I$59, 6, FALSE), perc_90, VLOOKUP(T$2, Percentiles!$A$45:$I$59, 7, FALSE), perc_95, VLOOKUP(T$2, Percentiles!$A$45:$I$59, 8, FALSE), perc_85, perc_75 + (perc_90 - perc_75) * (2/3), converted_stat, '2K_Ratings'!T236, IF(bbgm_stat &gt;= perc_95, converted_stat * 3, IF(bbgm_stat &gt;= perc_90, converted_stat * 2, IF(bbgm_stat &gt;= perc_85, converted_stat * 1.5, converted_stat)))))</f>
        <v/>
      </c>
      <c r="U236" s="30" t="str">
        <f t="array" ref="U236">IF($A236="", "", LET(bbgm_stat, INDEX(Players!$A235:$P235, MATCH(U$2, Players!$A$1:$P$1, 0)), perc_75, VLOOKUP(U$2, Percentiles!$A$45:$I$59, 6, FALSE), perc_90, VLOOKUP(U$2, Percentiles!$A$45:$I$59, 7, FALSE), perc_95, VLOOKUP(U$2, Percentiles!$A$45:$I$59, 8, FALSE), perc_85, perc_75 + (perc_90 - perc_75) * (2/3), converted_stat, '2K_Ratings'!U236, IF(bbgm_stat &gt;= perc_95, converted_stat * 3, IF(bbgm_stat &gt;= perc_90, converted_stat * 2, IF(bbgm_stat &gt;= perc_85, converted_stat * 1.5, converted_stat)))))</f>
        <v/>
      </c>
      <c r="V236" s="30" t="str">
        <f t="array" ref="V236">IF($A236="", "", LET(bbgm_stat, INDEX(Players!$A235:$P235, MATCH(V$2, Players!$A$1:$P$1, 0)), perc_75, VLOOKUP(V$2, Percentiles!$A$45:$I$59, 6, FALSE), perc_90, VLOOKUP(V$2, Percentiles!$A$45:$I$59, 7, FALSE), perc_95, VLOOKUP(V$2, Percentiles!$A$45:$I$59, 8, FALSE), perc_85, perc_75 + (perc_90 - perc_75) * (2/3), converted_stat, '2K_Ratings'!V236, IF(bbgm_stat &gt;= perc_95, converted_stat * 3, IF(bbgm_stat &gt;= perc_90, converted_stat * 2, IF(bbgm_stat &gt;= perc_85, converted_stat * 1.5, converted_stat)))))</f>
        <v/>
      </c>
      <c r="W236" s="30" t="str">
        <f t="array" ref="W236">IF($A236="", "", LET(bbgm_stat, INDEX(Players!$A235:$P235, MATCH(W$2, Players!$A$1:$P$1, 0)), perc_75, VLOOKUP(W$2, Percentiles!$A$45:$I$59, 6, FALSE), perc_90, VLOOKUP(W$2, Percentiles!$A$45:$I$59, 7, FALSE), perc_95, VLOOKUP(W$2, Percentiles!$A$45:$I$59, 8, FALSE), perc_85, perc_75 + (perc_90 - perc_75) * (2/3), converted_stat, '2K_Ratings'!W236, IF(bbgm_stat &gt;= perc_95, converted_stat * 3, IF(bbgm_stat &gt;= perc_90, converted_stat * 2, IF(bbgm_stat &gt;= perc_85, converted_stat * 1.5, converted_stat)))))</f>
        <v/>
      </c>
    </row>
    <row r="237">
      <c r="A237" s="30"/>
      <c r="B237" s="30" t="str">
        <f t="array" ref="B237">IF($A237="", "", LET(bbgm_stat, INDEX(Players!$A236:$P236, MATCH(B$2, Players!$A$1:$P$1, 0)), perc_75, VLOOKUP(B$2, Percentiles!$A$45:$I$59, 6, FALSE), perc_90, VLOOKUP(B$2, Percentiles!$A$45:$I$59, 7, FALSE), perc_95, VLOOKUP(B$2, Percentiles!$A$45:$I$59, 8, FALSE), perc_85, perc_75 + (perc_90 - perc_75) * (2/3), converted_stat, '2K_Ratings'!B237, IF(bbgm_stat &gt;= perc_95, converted_stat * 3, IF(bbgm_stat &gt;= perc_90, converted_stat * 2, IF(bbgm_stat &gt;= perc_85, converted_stat * 1.5, converted_stat)))))</f>
        <v/>
      </c>
      <c r="C237" s="30" t="str">
        <f t="array" ref="C237">IF($A237="", "", LET(bbgm_stat, INDEX(Players!$A236:$P236, MATCH(C$2, Players!$A$1:$P$1, 0)), perc_75, VLOOKUP(C$2, Percentiles!$A$45:$I$59, 6, FALSE), perc_90, VLOOKUP(C$2, Percentiles!$A$45:$I$59, 7, FALSE), perc_95, VLOOKUP(C$2, Percentiles!$A$45:$I$59, 8, FALSE), perc_85, perc_75 + (perc_90 - perc_75) * (2/3), converted_stat, '2K_Ratings'!C237, IF(bbgm_stat &gt;= perc_95, converted_stat * 3, IF(bbgm_stat &gt;= perc_90, converted_stat * 2, IF(bbgm_stat &gt;= perc_85, converted_stat * 1.5, converted_stat)))))</f>
        <v/>
      </c>
      <c r="D237" s="30" t="str">
        <f t="array" ref="D237">IF($A237="", "", LET(bbgm_stat, INDEX(Players!$A236:$P236, MATCH(D$2, Players!$A$1:$P$1, 0)), perc_75, VLOOKUP(D$2, Percentiles!$A$45:$I$59, 6, FALSE), perc_90, VLOOKUP(D$2, Percentiles!$A$45:$I$59, 7, FALSE), perc_95, VLOOKUP(D$2, Percentiles!$A$45:$I$59, 8, FALSE), perc_85, perc_75 + (perc_90 - perc_75) * (2/3), converted_stat, '2K_Ratings'!D237, IF(bbgm_stat &gt;= perc_95, converted_stat * 3, IF(bbgm_stat &gt;= perc_90, converted_stat * 2, IF(bbgm_stat &gt;= perc_85, converted_stat * 1.5, converted_stat)))))</f>
        <v/>
      </c>
      <c r="E237" s="30" t="str">
        <f t="array" ref="E237">IF($A237="", "", LET(bbgm_stat, INDEX(Players!$A236:$P236, MATCH(E$2, Players!$A$1:$P$1, 0)), perc_75, VLOOKUP(E$2, Percentiles!$A$45:$I$59, 6, FALSE), perc_90, VLOOKUP(E$2, Percentiles!$A$45:$I$59, 7, FALSE), perc_95, VLOOKUP(E$2, Percentiles!$A$45:$I$59, 8, FALSE), perc_85, perc_75 + (perc_90 - perc_75) * (2/3), converted_stat, '2K_Ratings'!E237, IF(bbgm_stat &gt;= perc_95, converted_stat * 3, IF(bbgm_stat &gt;= perc_90, converted_stat * 2, IF(bbgm_stat &gt;= perc_85, converted_stat * 1.5, converted_stat)))))</f>
        <v/>
      </c>
      <c r="F237" s="30" t="str">
        <f t="array" ref="F237">IF($A237="", "", LET(bbgm_stat, INDEX(Players!$A236:$P236, MATCH(F$2, Players!$A$1:$P$1, 0)), perc_75, VLOOKUP(F$2, Percentiles!$A$45:$I$59, 6, FALSE), perc_90, VLOOKUP(F$2, Percentiles!$A$45:$I$59, 7, FALSE), perc_95, VLOOKUP(F$2, Percentiles!$A$45:$I$59, 8, FALSE), perc_85, perc_75 + (perc_90 - perc_75) * (2/3), converted_stat, '2K_Ratings'!F237, IF(bbgm_stat &gt;= perc_95, converted_stat * 3, IF(bbgm_stat &gt;= perc_90, converted_stat * 2, IF(bbgm_stat &gt;= perc_85, converted_stat * 1.5, converted_stat)))))</f>
        <v/>
      </c>
      <c r="G237" s="30" t="str">
        <f t="array" ref="G237">IF($A237="", "", LET(bbgm_stat, INDEX(Players!$A236:$P236, MATCH(G$2, Players!$A$1:$P$1, 0)), perc_75, VLOOKUP(G$2, Percentiles!$A$45:$I$59, 6, FALSE), perc_90, VLOOKUP(G$2, Percentiles!$A$45:$I$59, 7, FALSE), perc_95, VLOOKUP(G$2, Percentiles!$A$45:$I$59, 8, FALSE), perc_85, perc_75 + (perc_90 - perc_75) * (2/3), converted_stat, '2K_Ratings'!G237, IF(bbgm_stat &gt;= perc_95, converted_stat * 3, IF(bbgm_stat &gt;= perc_90, converted_stat * 2, IF(bbgm_stat &gt;= perc_85, converted_stat * 1.5, converted_stat)))))</f>
        <v/>
      </c>
      <c r="H237" s="30" t="str">
        <f t="array" ref="H237">IF($A237="", "", LET(bbgm_stat, INDEX(Players!$A236:$P236, MATCH(H$2, Players!$A$1:$P$1, 0)), perc_75, VLOOKUP(H$2, Percentiles!$A$45:$I$59, 6, FALSE), perc_90, VLOOKUP(H$2, Percentiles!$A$45:$I$59, 7, FALSE), perc_95, VLOOKUP(H$2, Percentiles!$A$45:$I$59, 8, FALSE), perc_85, perc_75 + (perc_90 - perc_75) * (2/3), converted_stat, '2K_Ratings'!H237, IF(bbgm_stat &gt;= perc_95, converted_stat * 3, IF(bbgm_stat &gt;= perc_90, converted_stat * 2, IF(bbgm_stat &gt;= perc_85, converted_stat * 1.5, converted_stat)))))</f>
        <v/>
      </c>
      <c r="I237" s="30" t="str">
        <f t="array" ref="I237">IF($A237="", "", LET(bbgm_stat, INDEX(Players!$A236:$P236, MATCH(I$2, Players!$A$1:$P$1, 0)), perc_75, VLOOKUP(I$2, Percentiles!$A$45:$I$59, 6, FALSE), perc_90, VLOOKUP(I$2, Percentiles!$A$45:$I$59, 7, FALSE), perc_95, VLOOKUP(I$2, Percentiles!$A$45:$I$59, 8, FALSE), perc_85, perc_75 + (perc_90 - perc_75) * (2/3), converted_stat, '2K_Ratings'!I237, IF(bbgm_stat &gt;= perc_95, converted_stat * 3, IF(bbgm_stat &gt;= perc_90, converted_stat * 2, IF(bbgm_stat &gt;= perc_85, converted_stat * 1.5, converted_stat)))))</f>
        <v/>
      </c>
      <c r="J237" s="30" t="str">
        <f t="array" ref="J237">IF($A237="", "", LET(bbgm_stat, INDEX(Players!$A236:$P236, MATCH(J$2, Players!$A$1:$P$1, 0)), perc_75, VLOOKUP(J$2, Percentiles!$A$45:$I$59, 6, FALSE), perc_90, VLOOKUP(J$2, Percentiles!$A$45:$I$59, 7, FALSE), perc_95, VLOOKUP(J$2, Percentiles!$A$45:$I$59, 8, FALSE), perc_85, perc_75 + (perc_90 - perc_75) * (2/3), converted_stat, '2K_Ratings'!J237, IF(bbgm_stat &gt;= perc_95, converted_stat * 3, IF(bbgm_stat &gt;= perc_90, converted_stat * 2, IF(bbgm_stat &gt;= perc_85, converted_stat * 1.5, converted_stat)))))</f>
        <v/>
      </c>
      <c r="K237" s="30" t="str">
        <f t="array" ref="K237">IF($A237="", "", LET(bbgm_stat, INDEX(Players!$A236:$P236, MATCH(K$2, Players!$A$1:$P$1, 0)), perc_75, VLOOKUP(K$2, Percentiles!$A$45:$I$59, 6, FALSE), perc_90, VLOOKUP(K$2, Percentiles!$A$45:$I$59, 7, FALSE), perc_95, VLOOKUP(K$2, Percentiles!$A$45:$I$59, 8, FALSE), perc_85, perc_75 + (perc_90 - perc_75) * (2/3), converted_stat, '2K_Ratings'!K237, IF(bbgm_stat &gt;= perc_95, converted_stat * 3, IF(bbgm_stat &gt;= perc_90, converted_stat * 2, IF(bbgm_stat &gt;= perc_85, converted_stat * 1.5, converted_stat)))))</f>
        <v/>
      </c>
      <c r="L237" s="30" t="str">
        <f t="array" ref="L237">IF($A237="", "", LET(bbgm_stat, INDEX(Players!$A236:$P236, MATCH(L$2, Players!$A$1:$P$1, 0)), perc_75, VLOOKUP(L$2, Percentiles!$A$45:$I$59, 6, FALSE), perc_90, VLOOKUP(L$2, Percentiles!$A$45:$I$59, 7, FALSE), perc_95, VLOOKUP(L$2, Percentiles!$A$45:$I$59, 8, FALSE), perc_85, perc_75 + (perc_90 - perc_75) * (2/3), converted_stat, '2K_Ratings'!L237, IF(bbgm_stat &gt;= perc_95, converted_stat * 3, IF(bbgm_stat &gt;= perc_90, converted_stat * 2, IF(bbgm_stat &gt;= perc_85, converted_stat * 1.5, converted_stat)))))</f>
        <v/>
      </c>
      <c r="M237" s="30" t="str">
        <f t="array" ref="M237">IF($A237="", "", LET(bbgm_stat, INDEX(Players!$A236:$P236, MATCH(M$2, Players!$A$1:$P$1, 0)), perc_75, VLOOKUP(M$2, Percentiles!$A$45:$I$59, 6, FALSE), perc_90, VLOOKUP(M$2, Percentiles!$A$45:$I$59, 7, FALSE), perc_95, VLOOKUP(M$2, Percentiles!$A$45:$I$59, 8, FALSE), perc_85, perc_75 + (perc_90 - perc_75) * (2/3), converted_stat, '2K_Ratings'!M237, IF(bbgm_stat &gt;= perc_95, converted_stat * 3, IF(bbgm_stat &gt;= perc_90, converted_stat * 2, IF(bbgm_stat &gt;= perc_85, converted_stat * 1.5, converted_stat)))))</f>
        <v/>
      </c>
      <c r="N237" s="30" t="str">
        <f t="array" ref="N237">IF($A237="", "", LET(bbgm_stat, INDEX(Players!$A236:$P236, MATCH(N$2, Players!$A$1:$P$1, 0)), perc_75, VLOOKUP(N$2, Percentiles!$A$45:$I$59, 6, FALSE), perc_90, VLOOKUP(N$2, Percentiles!$A$45:$I$59, 7, FALSE), perc_95, VLOOKUP(N$2, Percentiles!$A$45:$I$59, 8, FALSE), perc_85, perc_75 + (perc_90 - perc_75) * (2/3), converted_stat, '2K_Ratings'!N237, IF(bbgm_stat &gt;= perc_95, converted_stat * 3, IF(bbgm_stat &gt;= perc_90, converted_stat * 2, IF(bbgm_stat &gt;= perc_85, converted_stat * 1.5, converted_stat)))))</f>
        <v/>
      </c>
      <c r="O237" s="30" t="str">
        <f t="array" ref="O237">IF($A237="", "", LET(bbgm_stat, INDEX(Players!$A236:$P236, MATCH(O$2, Players!$A$1:$P$1, 0)), perc_75, VLOOKUP(O$2, Percentiles!$A$45:$I$59, 6, FALSE), perc_90, VLOOKUP(O$2, Percentiles!$A$45:$I$59, 7, FALSE), perc_95, VLOOKUP(O$2, Percentiles!$A$45:$I$59, 8, FALSE), perc_85, perc_75 + (perc_90 - perc_75) * (2/3), converted_stat, '2K_Ratings'!O237, IF(bbgm_stat &gt;= perc_95, converted_stat * 3, IF(bbgm_stat &gt;= perc_90, converted_stat * 2, IF(bbgm_stat &gt;= perc_85, converted_stat * 1.5, converted_stat)))))</f>
        <v/>
      </c>
      <c r="P237" s="30" t="str">
        <f t="array" ref="P237">IF($A237="", "", LET(bbgm_stat, INDEX(Players!$A236:$P236, MATCH(P$2, Players!$A$1:$P$1, 0)), perc_75, VLOOKUP(P$2, Percentiles!$A$45:$I$59, 6, FALSE), perc_90, VLOOKUP(P$2, Percentiles!$A$45:$I$59, 7, FALSE), perc_95, VLOOKUP(P$2, Percentiles!$A$45:$I$59, 8, FALSE), perc_85, perc_75 + (perc_90 - perc_75) * (2/3), converted_stat, '2K_Ratings'!P237, IF(bbgm_stat &gt;= perc_95, converted_stat * 3, IF(bbgm_stat &gt;= perc_90, converted_stat * 2, IF(bbgm_stat &gt;= perc_85, converted_stat * 1.5, converted_stat)))))</f>
        <v/>
      </c>
      <c r="Q237" s="30" t="str">
        <f t="array" ref="Q237">IF($A237="", "", LET(bbgm_stat, INDEX(Players!$A236:$P236, MATCH(Q$2, Players!$A$1:$P$1, 0)), perc_75, VLOOKUP(Q$2, Percentiles!$A$45:$I$59, 6, FALSE), perc_90, VLOOKUP(Q$2, Percentiles!$A$45:$I$59, 7, FALSE), perc_95, VLOOKUP(Q$2, Percentiles!$A$45:$I$59, 8, FALSE), perc_85, perc_75 + (perc_90 - perc_75) * (2/3), converted_stat, '2K_Ratings'!Q237, IF(bbgm_stat &gt;= perc_95, converted_stat * 3, IF(bbgm_stat &gt;= perc_90, converted_stat * 2, IF(bbgm_stat &gt;= perc_85, converted_stat * 1.5, converted_stat)))))</f>
        <v/>
      </c>
      <c r="R237" s="30" t="str">
        <f t="array" ref="R237">IF($A237="", "", LET(bbgm_stat, INDEX(Players!$A236:$P236, MATCH(R$2, Players!$A$1:$P$1, 0)), perc_75, VLOOKUP(R$2, Percentiles!$A$45:$I$59, 6, FALSE), perc_90, VLOOKUP(R$2, Percentiles!$A$45:$I$59, 7, FALSE), perc_95, VLOOKUP(R$2, Percentiles!$A$45:$I$59, 8, FALSE), perc_85, perc_75 + (perc_90 - perc_75) * (2/3), converted_stat, '2K_Ratings'!R237, IF(bbgm_stat &gt;= perc_95, converted_stat * 3, IF(bbgm_stat &gt;= perc_90, converted_stat * 2, IF(bbgm_stat &gt;= perc_85, converted_stat * 1.5, converted_stat)))))</f>
        <v/>
      </c>
      <c r="S237" s="30" t="str">
        <f t="array" ref="S237">IF($A237="", "", LET(bbgm_stat, INDEX(Players!$A236:$P236, MATCH(S$2, Players!$A$1:$P$1, 0)), perc_75, VLOOKUP(S$2, Percentiles!$A$45:$I$59, 6, FALSE), perc_90, VLOOKUP(S$2, Percentiles!$A$45:$I$59, 7, FALSE), perc_95, VLOOKUP(S$2, Percentiles!$A$45:$I$59, 8, FALSE), perc_85, perc_75 + (perc_90 - perc_75) * (2/3), converted_stat, '2K_Ratings'!S237, IF(bbgm_stat &gt;= perc_95, converted_stat * 3, IF(bbgm_stat &gt;= perc_90, converted_stat * 2, IF(bbgm_stat &gt;= perc_85, converted_stat * 1.5, converted_stat)))))</f>
        <v/>
      </c>
      <c r="T237" s="30" t="str">
        <f t="array" ref="T237">IF($A237="", "", LET(bbgm_stat, INDEX(Players!$A236:$P236, MATCH(T$2, Players!$A$1:$P$1, 0)), perc_75, VLOOKUP(T$2, Percentiles!$A$45:$I$59, 6, FALSE), perc_90, VLOOKUP(T$2, Percentiles!$A$45:$I$59, 7, FALSE), perc_95, VLOOKUP(T$2, Percentiles!$A$45:$I$59, 8, FALSE), perc_85, perc_75 + (perc_90 - perc_75) * (2/3), converted_stat, '2K_Ratings'!T237, IF(bbgm_stat &gt;= perc_95, converted_stat * 3, IF(bbgm_stat &gt;= perc_90, converted_stat * 2, IF(bbgm_stat &gt;= perc_85, converted_stat * 1.5, converted_stat)))))</f>
        <v/>
      </c>
      <c r="U237" s="30" t="str">
        <f t="array" ref="U237">IF($A237="", "", LET(bbgm_stat, INDEX(Players!$A236:$P236, MATCH(U$2, Players!$A$1:$P$1, 0)), perc_75, VLOOKUP(U$2, Percentiles!$A$45:$I$59, 6, FALSE), perc_90, VLOOKUP(U$2, Percentiles!$A$45:$I$59, 7, FALSE), perc_95, VLOOKUP(U$2, Percentiles!$A$45:$I$59, 8, FALSE), perc_85, perc_75 + (perc_90 - perc_75) * (2/3), converted_stat, '2K_Ratings'!U237, IF(bbgm_stat &gt;= perc_95, converted_stat * 3, IF(bbgm_stat &gt;= perc_90, converted_stat * 2, IF(bbgm_stat &gt;= perc_85, converted_stat * 1.5, converted_stat)))))</f>
        <v/>
      </c>
      <c r="V237" s="30" t="str">
        <f t="array" ref="V237">IF($A237="", "", LET(bbgm_stat, INDEX(Players!$A236:$P236, MATCH(V$2, Players!$A$1:$P$1, 0)), perc_75, VLOOKUP(V$2, Percentiles!$A$45:$I$59, 6, FALSE), perc_90, VLOOKUP(V$2, Percentiles!$A$45:$I$59, 7, FALSE), perc_95, VLOOKUP(V$2, Percentiles!$A$45:$I$59, 8, FALSE), perc_85, perc_75 + (perc_90 - perc_75) * (2/3), converted_stat, '2K_Ratings'!V237, IF(bbgm_stat &gt;= perc_95, converted_stat * 3, IF(bbgm_stat &gt;= perc_90, converted_stat * 2, IF(bbgm_stat &gt;= perc_85, converted_stat * 1.5, converted_stat)))))</f>
        <v/>
      </c>
      <c r="W237" s="30" t="str">
        <f t="array" ref="W237">IF($A237="", "", LET(bbgm_stat, INDEX(Players!$A236:$P236, MATCH(W$2, Players!$A$1:$P$1, 0)), perc_75, VLOOKUP(W$2, Percentiles!$A$45:$I$59, 6, FALSE), perc_90, VLOOKUP(W$2, Percentiles!$A$45:$I$59, 7, FALSE), perc_95, VLOOKUP(W$2, Percentiles!$A$45:$I$59, 8, FALSE), perc_85, perc_75 + (perc_90 - perc_75) * (2/3), converted_stat, '2K_Ratings'!W237, IF(bbgm_stat &gt;= perc_95, converted_stat * 3, IF(bbgm_stat &gt;= perc_90, converted_stat * 2, IF(bbgm_stat &gt;= perc_85, converted_stat * 1.5, converted_stat)))))</f>
        <v/>
      </c>
    </row>
    <row r="238">
      <c r="A238" s="30"/>
      <c r="B238" s="30" t="str">
        <f t="array" ref="B238">IF($A238="", "", LET(bbgm_stat, INDEX(Players!$A237:$P237, MATCH(B$2, Players!$A$1:$P$1, 0)), perc_75, VLOOKUP(B$2, Percentiles!$A$45:$I$59, 6, FALSE), perc_90, VLOOKUP(B$2, Percentiles!$A$45:$I$59, 7, FALSE), perc_95, VLOOKUP(B$2, Percentiles!$A$45:$I$59, 8, FALSE), perc_85, perc_75 + (perc_90 - perc_75) * (2/3), converted_stat, '2K_Ratings'!B238, IF(bbgm_stat &gt;= perc_95, converted_stat * 3, IF(bbgm_stat &gt;= perc_90, converted_stat * 2, IF(bbgm_stat &gt;= perc_85, converted_stat * 1.5, converted_stat)))))</f>
        <v/>
      </c>
      <c r="C238" s="30" t="str">
        <f t="array" ref="C238">IF($A238="", "", LET(bbgm_stat, INDEX(Players!$A237:$P237, MATCH(C$2, Players!$A$1:$P$1, 0)), perc_75, VLOOKUP(C$2, Percentiles!$A$45:$I$59, 6, FALSE), perc_90, VLOOKUP(C$2, Percentiles!$A$45:$I$59, 7, FALSE), perc_95, VLOOKUP(C$2, Percentiles!$A$45:$I$59, 8, FALSE), perc_85, perc_75 + (perc_90 - perc_75) * (2/3), converted_stat, '2K_Ratings'!C238, IF(bbgm_stat &gt;= perc_95, converted_stat * 3, IF(bbgm_stat &gt;= perc_90, converted_stat * 2, IF(bbgm_stat &gt;= perc_85, converted_stat * 1.5, converted_stat)))))</f>
        <v/>
      </c>
      <c r="D238" s="30" t="str">
        <f t="array" ref="D238">IF($A238="", "", LET(bbgm_stat, INDEX(Players!$A237:$P237, MATCH(D$2, Players!$A$1:$P$1, 0)), perc_75, VLOOKUP(D$2, Percentiles!$A$45:$I$59, 6, FALSE), perc_90, VLOOKUP(D$2, Percentiles!$A$45:$I$59, 7, FALSE), perc_95, VLOOKUP(D$2, Percentiles!$A$45:$I$59, 8, FALSE), perc_85, perc_75 + (perc_90 - perc_75) * (2/3), converted_stat, '2K_Ratings'!D238, IF(bbgm_stat &gt;= perc_95, converted_stat * 3, IF(bbgm_stat &gt;= perc_90, converted_stat * 2, IF(bbgm_stat &gt;= perc_85, converted_stat * 1.5, converted_stat)))))</f>
        <v/>
      </c>
      <c r="E238" s="30" t="str">
        <f t="array" ref="E238">IF($A238="", "", LET(bbgm_stat, INDEX(Players!$A237:$P237, MATCH(E$2, Players!$A$1:$P$1, 0)), perc_75, VLOOKUP(E$2, Percentiles!$A$45:$I$59, 6, FALSE), perc_90, VLOOKUP(E$2, Percentiles!$A$45:$I$59, 7, FALSE), perc_95, VLOOKUP(E$2, Percentiles!$A$45:$I$59, 8, FALSE), perc_85, perc_75 + (perc_90 - perc_75) * (2/3), converted_stat, '2K_Ratings'!E238, IF(bbgm_stat &gt;= perc_95, converted_stat * 3, IF(bbgm_stat &gt;= perc_90, converted_stat * 2, IF(bbgm_stat &gt;= perc_85, converted_stat * 1.5, converted_stat)))))</f>
        <v/>
      </c>
      <c r="F238" s="30" t="str">
        <f t="array" ref="F238">IF($A238="", "", LET(bbgm_stat, INDEX(Players!$A237:$P237, MATCH(F$2, Players!$A$1:$P$1, 0)), perc_75, VLOOKUP(F$2, Percentiles!$A$45:$I$59, 6, FALSE), perc_90, VLOOKUP(F$2, Percentiles!$A$45:$I$59, 7, FALSE), perc_95, VLOOKUP(F$2, Percentiles!$A$45:$I$59, 8, FALSE), perc_85, perc_75 + (perc_90 - perc_75) * (2/3), converted_stat, '2K_Ratings'!F238, IF(bbgm_stat &gt;= perc_95, converted_stat * 3, IF(bbgm_stat &gt;= perc_90, converted_stat * 2, IF(bbgm_stat &gt;= perc_85, converted_stat * 1.5, converted_stat)))))</f>
        <v/>
      </c>
      <c r="G238" s="30" t="str">
        <f t="array" ref="G238">IF($A238="", "", LET(bbgm_stat, INDEX(Players!$A237:$P237, MATCH(G$2, Players!$A$1:$P$1, 0)), perc_75, VLOOKUP(G$2, Percentiles!$A$45:$I$59, 6, FALSE), perc_90, VLOOKUP(G$2, Percentiles!$A$45:$I$59, 7, FALSE), perc_95, VLOOKUP(G$2, Percentiles!$A$45:$I$59, 8, FALSE), perc_85, perc_75 + (perc_90 - perc_75) * (2/3), converted_stat, '2K_Ratings'!G238, IF(bbgm_stat &gt;= perc_95, converted_stat * 3, IF(bbgm_stat &gt;= perc_90, converted_stat * 2, IF(bbgm_stat &gt;= perc_85, converted_stat * 1.5, converted_stat)))))</f>
        <v/>
      </c>
      <c r="H238" s="30" t="str">
        <f t="array" ref="H238">IF($A238="", "", LET(bbgm_stat, INDEX(Players!$A237:$P237, MATCH(H$2, Players!$A$1:$P$1, 0)), perc_75, VLOOKUP(H$2, Percentiles!$A$45:$I$59, 6, FALSE), perc_90, VLOOKUP(H$2, Percentiles!$A$45:$I$59, 7, FALSE), perc_95, VLOOKUP(H$2, Percentiles!$A$45:$I$59, 8, FALSE), perc_85, perc_75 + (perc_90 - perc_75) * (2/3), converted_stat, '2K_Ratings'!H238, IF(bbgm_stat &gt;= perc_95, converted_stat * 3, IF(bbgm_stat &gt;= perc_90, converted_stat * 2, IF(bbgm_stat &gt;= perc_85, converted_stat * 1.5, converted_stat)))))</f>
        <v/>
      </c>
      <c r="I238" s="30" t="str">
        <f t="array" ref="I238">IF($A238="", "", LET(bbgm_stat, INDEX(Players!$A237:$P237, MATCH(I$2, Players!$A$1:$P$1, 0)), perc_75, VLOOKUP(I$2, Percentiles!$A$45:$I$59, 6, FALSE), perc_90, VLOOKUP(I$2, Percentiles!$A$45:$I$59, 7, FALSE), perc_95, VLOOKUP(I$2, Percentiles!$A$45:$I$59, 8, FALSE), perc_85, perc_75 + (perc_90 - perc_75) * (2/3), converted_stat, '2K_Ratings'!I238, IF(bbgm_stat &gt;= perc_95, converted_stat * 3, IF(bbgm_stat &gt;= perc_90, converted_stat * 2, IF(bbgm_stat &gt;= perc_85, converted_stat * 1.5, converted_stat)))))</f>
        <v/>
      </c>
      <c r="J238" s="30" t="str">
        <f t="array" ref="J238">IF($A238="", "", LET(bbgm_stat, INDEX(Players!$A237:$P237, MATCH(J$2, Players!$A$1:$P$1, 0)), perc_75, VLOOKUP(J$2, Percentiles!$A$45:$I$59, 6, FALSE), perc_90, VLOOKUP(J$2, Percentiles!$A$45:$I$59, 7, FALSE), perc_95, VLOOKUP(J$2, Percentiles!$A$45:$I$59, 8, FALSE), perc_85, perc_75 + (perc_90 - perc_75) * (2/3), converted_stat, '2K_Ratings'!J238, IF(bbgm_stat &gt;= perc_95, converted_stat * 3, IF(bbgm_stat &gt;= perc_90, converted_stat * 2, IF(bbgm_stat &gt;= perc_85, converted_stat * 1.5, converted_stat)))))</f>
        <v/>
      </c>
      <c r="K238" s="30" t="str">
        <f t="array" ref="K238">IF($A238="", "", LET(bbgm_stat, INDEX(Players!$A237:$P237, MATCH(K$2, Players!$A$1:$P$1, 0)), perc_75, VLOOKUP(K$2, Percentiles!$A$45:$I$59, 6, FALSE), perc_90, VLOOKUP(K$2, Percentiles!$A$45:$I$59, 7, FALSE), perc_95, VLOOKUP(K$2, Percentiles!$A$45:$I$59, 8, FALSE), perc_85, perc_75 + (perc_90 - perc_75) * (2/3), converted_stat, '2K_Ratings'!K238, IF(bbgm_stat &gt;= perc_95, converted_stat * 3, IF(bbgm_stat &gt;= perc_90, converted_stat * 2, IF(bbgm_stat &gt;= perc_85, converted_stat * 1.5, converted_stat)))))</f>
        <v/>
      </c>
      <c r="L238" s="30" t="str">
        <f t="array" ref="L238">IF($A238="", "", LET(bbgm_stat, INDEX(Players!$A237:$P237, MATCH(L$2, Players!$A$1:$P$1, 0)), perc_75, VLOOKUP(L$2, Percentiles!$A$45:$I$59, 6, FALSE), perc_90, VLOOKUP(L$2, Percentiles!$A$45:$I$59, 7, FALSE), perc_95, VLOOKUP(L$2, Percentiles!$A$45:$I$59, 8, FALSE), perc_85, perc_75 + (perc_90 - perc_75) * (2/3), converted_stat, '2K_Ratings'!L238, IF(bbgm_stat &gt;= perc_95, converted_stat * 3, IF(bbgm_stat &gt;= perc_90, converted_stat * 2, IF(bbgm_stat &gt;= perc_85, converted_stat * 1.5, converted_stat)))))</f>
        <v/>
      </c>
      <c r="M238" s="30" t="str">
        <f t="array" ref="M238">IF($A238="", "", LET(bbgm_stat, INDEX(Players!$A237:$P237, MATCH(M$2, Players!$A$1:$P$1, 0)), perc_75, VLOOKUP(M$2, Percentiles!$A$45:$I$59, 6, FALSE), perc_90, VLOOKUP(M$2, Percentiles!$A$45:$I$59, 7, FALSE), perc_95, VLOOKUP(M$2, Percentiles!$A$45:$I$59, 8, FALSE), perc_85, perc_75 + (perc_90 - perc_75) * (2/3), converted_stat, '2K_Ratings'!M238, IF(bbgm_stat &gt;= perc_95, converted_stat * 3, IF(bbgm_stat &gt;= perc_90, converted_stat * 2, IF(bbgm_stat &gt;= perc_85, converted_stat * 1.5, converted_stat)))))</f>
        <v/>
      </c>
      <c r="N238" s="30" t="str">
        <f t="array" ref="N238">IF($A238="", "", LET(bbgm_stat, INDEX(Players!$A237:$P237, MATCH(N$2, Players!$A$1:$P$1, 0)), perc_75, VLOOKUP(N$2, Percentiles!$A$45:$I$59, 6, FALSE), perc_90, VLOOKUP(N$2, Percentiles!$A$45:$I$59, 7, FALSE), perc_95, VLOOKUP(N$2, Percentiles!$A$45:$I$59, 8, FALSE), perc_85, perc_75 + (perc_90 - perc_75) * (2/3), converted_stat, '2K_Ratings'!N238, IF(bbgm_stat &gt;= perc_95, converted_stat * 3, IF(bbgm_stat &gt;= perc_90, converted_stat * 2, IF(bbgm_stat &gt;= perc_85, converted_stat * 1.5, converted_stat)))))</f>
        <v/>
      </c>
      <c r="O238" s="30" t="str">
        <f t="array" ref="O238">IF($A238="", "", LET(bbgm_stat, INDEX(Players!$A237:$P237, MATCH(O$2, Players!$A$1:$P$1, 0)), perc_75, VLOOKUP(O$2, Percentiles!$A$45:$I$59, 6, FALSE), perc_90, VLOOKUP(O$2, Percentiles!$A$45:$I$59, 7, FALSE), perc_95, VLOOKUP(O$2, Percentiles!$A$45:$I$59, 8, FALSE), perc_85, perc_75 + (perc_90 - perc_75) * (2/3), converted_stat, '2K_Ratings'!O238, IF(bbgm_stat &gt;= perc_95, converted_stat * 3, IF(bbgm_stat &gt;= perc_90, converted_stat * 2, IF(bbgm_stat &gt;= perc_85, converted_stat * 1.5, converted_stat)))))</f>
        <v/>
      </c>
      <c r="P238" s="30" t="str">
        <f t="array" ref="P238">IF($A238="", "", LET(bbgm_stat, INDEX(Players!$A237:$P237, MATCH(P$2, Players!$A$1:$P$1, 0)), perc_75, VLOOKUP(P$2, Percentiles!$A$45:$I$59, 6, FALSE), perc_90, VLOOKUP(P$2, Percentiles!$A$45:$I$59, 7, FALSE), perc_95, VLOOKUP(P$2, Percentiles!$A$45:$I$59, 8, FALSE), perc_85, perc_75 + (perc_90 - perc_75) * (2/3), converted_stat, '2K_Ratings'!P238, IF(bbgm_stat &gt;= perc_95, converted_stat * 3, IF(bbgm_stat &gt;= perc_90, converted_stat * 2, IF(bbgm_stat &gt;= perc_85, converted_stat * 1.5, converted_stat)))))</f>
        <v/>
      </c>
      <c r="Q238" s="30" t="str">
        <f t="array" ref="Q238">IF($A238="", "", LET(bbgm_stat, INDEX(Players!$A237:$P237, MATCH(Q$2, Players!$A$1:$P$1, 0)), perc_75, VLOOKUP(Q$2, Percentiles!$A$45:$I$59, 6, FALSE), perc_90, VLOOKUP(Q$2, Percentiles!$A$45:$I$59, 7, FALSE), perc_95, VLOOKUP(Q$2, Percentiles!$A$45:$I$59, 8, FALSE), perc_85, perc_75 + (perc_90 - perc_75) * (2/3), converted_stat, '2K_Ratings'!Q238, IF(bbgm_stat &gt;= perc_95, converted_stat * 3, IF(bbgm_stat &gt;= perc_90, converted_stat * 2, IF(bbgm_stat &gt;= perc_85, converted_stat * 1.5, converted_stat)))))</f>
        <v/>
      </c>
      <c r="R238" s="30" t="str">
        <f t="array" ref="R238">IF($A238="", "", LET(bbgm_stat, INDEX(Players!$A237:$P237, MATCH(R$2, Players!$A$1:$P$1, 0)), perc_75, VLOOKUP(R$2, Percentiles!$A$45:$I$59, 6, FALSE), perc_90, VLOOKUP(R$2, Percentiles!$A$45:$I$59, 7, FALSE), perc_95, VLOOKUP(R$2, Percentiles!$A$45:$I$59, 8, FALSE), perc_85, perc_75 + (perc_90 - perc_75) * (2/3), converted_stat, '2K_Ratings'!R238, IF(bbgm_stat &gt;= perc_95, converted_stat * 3, IF(bbgm_stat &gt;= perc_90, converted_stat * 2, IF(bbgm_stat &gt;= perc_85, converted_stat * 1.5, converted_stat)))))</f>
        <v/>
      </c>
      <c r="S238" s="30" t="str">
        <f t="array" ref="S238">IF($A238="", "", LET(bbgm_stat, INDEX(Players!$A237:$P237, MATCH(S$2, Players!$A$1:$P$1, 0)), perc_75, VLOOKUP(S$2, Percentiles!$A$45:$I$59, 6, FALSE), perc_90, VLOOKUP(S$2, Percentiles!$A$45:$I$59, 7, FALSE), perc_95, VLOOKUP(S$2, Percentiles!$A$45:$I$59, 8, FALSE), perc_85, perc_75 + (perc_90 - perc_75) * (2/3), converted_stat, '2K_Ratings'!S238, IF(bbgm_stat &gt;= perc_95, converted_stat * 3, IF(bbgm_stat &gt;= perc_90, converted_stat * 2, IF(bbgm_stat &gt;= perc_85, converted_stat * 1.5, converted_stat)))))</f>
        <v/>
      </c>
      <c r="T238" s="30" t="str">
        <f t="array" ref="T238">IF($A238="", "", LET(bbgm_stat, INDEX(Players!$A237:$P237, MATCH(T$2, Players!$A$1:$P$1, 0)), perc_75, VLOOKUP(T$2, Percentiles!$A$45:$I$59, 6, FALSE), perc_90, VLOOKUP(T$2, Percentiles!$A$45:$I$59, 7, FALSE), perc_95, VLOOKUP(T$2, Percentiles!$A$45:$I$59, 8, FALSE), perc_85, perc_75 + (perc_90 - perc_75) * (2/3), converted_stat, '2K_Ratings'!T238, IF(bbgm_stat &gt;= perc_95, converted_stat * 3, IF(bbgm_stat &gt;= perc_90, converted_stat * 2, IF(bbgm_stat &gt;= perc_85, converted_stat * 1.5, converted_stat)))))</f>
        <v/>
      </c>
      <c r="U238" s="30" t="str">
        <f t="array" ref="U238">IF($A238="", "", LET(bbgm_stat, INDEX(Players!$A237:$P237, MATCH(U$2, Players!$A$1:$P$1, 0)), perc_75, VLOOKUP(U$2, Percentiles!$A$45:$I$59, 6, FALSE), perc_90, VLOOKUP(U$2, Percentiles!$A$45:$I$59, 7, FALSE), perc_95, VLOOKUP(U$2, Percentiles!$A$45:$I$59, 8, FALSE), perc_85, perc_75 + (perc_90 - perc_75) * (2/3), converted_stat, '2K_Ratings'!U238, IF(bbgm_stat &gt;= perc_95, converted_stat * 3, IF(bbgm_stat &gt;= perc_90, converted_stat * 2, IF(bbgm_stat &gt;= perc_85, converted_stat * 1.5, converted_stat)))))</f>
        <v/>
      </c>
      <c r="V238" s="30" t="str">
        <f t="array" ref="V238">IF($A238="", "", LET(bbgm_stat, INDEX(Players!$A237:$P237, MATCH(V$2, Players!$A$1:$P$1, 0)), perc_75, VLOOKUP(V$2, Percentiles!$A$45:$I$59, 6, FALSE), perc_90, VLOOKUP(V$2, Percentiles!$A$45:$I$59, 7, FALSE), perc_95, VLOOKUP(V$2, Percentiles!$A$45:$I$59, 8, FALSE), perc_85, perc_75 + (perc_90 - perc_75) * (2/3), converted_stat, '2K_Ratings'!V238, IF(bbgm_stat &gt;= perc_95, converted_stat * 3, IF(bbgm_stat &gt;= perc_90, converted_stat * 2, IF(bbgm_stat &gt;= perc_85, converted_stat * 1.5, converted_stat)))))</f>
        <v/>
      </c>
      <c r="W238" s="30" t="str">
        <f t="array" ref="W238">IF($A238="", "", LET(bbgm_stat, INDEX(Players!$A237:$P237, MATCH(W$2, Players!$A$1:$P$1, 0)), perc_75, VLOOKUP(W$2, Percentiles!$A$45:$I$59, 6, FALSE), perc_90, VLOOKUP(W$2, Percentiles!$A$45:$I$59, 7, FALSE), perc_95, VLOOKUP(W$2, Percentiles!$A$45:$I$59, 8, FALSE), perc_85, perc_75 + (perc_90 - perc_75) * (2/3), converted_stat, '2K_Ratings'!W238, IF(bbgm_stat &gt;= perc_95, converted_stat * 3, IF(bbgm_stat &gt;= perc_90, converted_stat * 2, IF(bbgm_stat &gt;= perc_85, converted_stat * 1.5, converted_stat)))))</f>
        <v/>
      </c>
    </row>
    <row r="239">
      <c r="A239" s="30"/>
      <c r="B239" s="30" t="str">
        <f t="array" ref="B239">IF($A239="", "", LET(bbgm_stat, INDEX(Players!$A238:$P238, MATCH(B$2, Players!$A$1:$P$1, 0)), perc_75, VLOOKUP(B$2, Percentiles!$A$45:$I$59, 6, FALSE), perc_90, VLOOKUP(B$2, Percentiles!$A$45:$I$59, 7, FALSE), perc_95, VLOOKUP(B$2, Percentiles!$A$45:$I$59, 8, FALSE), perc_85, perc_75 + (perc_90 - perc_75) * (2/3), converted_stat, '2K_Ratings'!B239, IF(bbgm_stat &gt;= perc_95, converted_stat * 3, IF(bbgm_stat &gt;= perc_90, converted_stat * 2, IF(bbgm_stat &gt;= perc_85, converted_stat * 1.5, converted_stat)))))</f>
        <v/>
      </c>
      <c r="C239" s="30" t="str">
        <f t="array" ref="C239">IF($A239="", "", LET(bbgm_stat, INDEX(Players!$A238:$P238, MATCH(C$2, Players!$A$1:$P$1, 0)), perc_75, VLOOKUP(C$2, Percentiles!$A$45:$I$59, 6, FALSE), perc_90, VLOOKUP(C$2, Percentiles!$A$45:$I$59, 7, FALSE), perc_95, VLOOKUP(C$2, Percentiles!$A$45:$I$59, 8, FALSE), perc_85, perc_75 + (perc_90 - perc_75) * (2/3), converted_stat, '2K_Ratings'!C239, IF(bbgm_stat &gt;= perc_95, converted_stat * 3, IF(bbgm_stat &gt;= perc_90, converted_stat * 2, IF(bbgm_stat &gt;= perc_85, converted_stat * 1.5, converted_stat)))))</f>
        <v/>
      </c>
      <c r="D239" s="30" t="str">
        <f t="array" ref="D239">IF($A239="", "", LET(bbgm_stat, INDEX(Players!$A238:$P238, MATCH(D$2, Players!$A$1:$P$1, 0)), perc_75, VLOOKUP(D$2, Percentiles!$A$45:$I$59, 6, FALSE), perc_90, VLOOKUP(D$2, Percentiles!$A$45:$I$59, 7, FALSE), perc_95, VLOOKUP(D$2, Percentiles!$A$45:$I$59, 8, FALSE), perc_85, perc_75 + (perc_90 - perc_75) * (2/3), converted_stat, '2K_Ratings'!D239, IF(bbgm_stat &gt;= perc_95, converted_stat * 3, IF(bbgm_stat &gt;= perc_90, converted_stat * 2, IF(bbgm_stat &gt;= perc_85, converted_stat * 1.5, converted_stat)))))</f>
        <v/>
      </c>
      <c r="E239" s="30" t="str">
        <f t="array" ref="E239">IF($A239="", "", LET(bbgm_stat, INDEX(Players!$A238:$P238, MATCH(E$2, Players!$A$1:$P$1, 0)), perc_75, VLOOKUP(E$2, Percentiles!$A$45:$I$59, 6, FALSE), perc_90, VLOOKUP(E$2, Percentiles!$A$45:$I$59, 7, FALSE), perc_95, VLOOKUP(E$2, Percentiles!$A$45:$I$59, 8, FALSE), perc_85, perc_75 + (perc_90 - perc_75) * (2/3), converted_stat, '2K_Ratings'!E239, IF(bbgm_stat &gt;= perc_95, converted_stat * 3, IF(bbgm_stat &gt;= perc_90, converted_stat * 2, IF(bbgm_stat &gt;= perc_85, converted_stat * 1.5, converted_stat)))))</f>
        <v/>
      </c>
      <c r="F239" s="30" t="str">
        <f t="array" ref="F239">IF($A239="", "", LET(bbgm_stat, INDEX(Players!$A238:$P238, MATCH(F$2, Players!$A$1:$P$1, 0)), perc_75, VLOOKUP(F$2, Percentiles!$A$45:$I$59, 6, FALSE), perc_90, VLOOKUP(F$2, Percentiles!$A$45:$I$59, 7, FALSE), perc_95, VLOOKUP(F$2, Percentiles!$A$45:$I$59, 8, FALSE), perc_85, perc_75 + (perc_90 - perc_75) * (2/3), converted_stat, '2K_Ratings'!F239, IF(bbgm_stat &gt;= perc_95, converted_stat * 3, IF(bbgm_stat &gt;= perc_90, converted_stat * 2, IF(bbgm_stat &gt;= perc_85, converted_stat * 1.5, converted_stat)))))</f>
        <v/>
      </c>
      <c r="G239" s="30" t="str">
        <f t="array" ref="G239">IF($A239="", "", LET(bbgm_stat, INDEX(Players!$A238:$P238, MATCH(G$2, Players!$A$1:$P$1, 0)), perc_75, VLOOKUP(G$2, Percentiles!$A$45:$I$59, 6, FALSE), perc_90, VLOOKUP(G$2, Percentiles!$A$45:$I$59, 7, FALSE), perc_95, VLOOKUP(G$2, Percentiles!$A$45:$I$59, 8, FALSE), perc_85, perc_75 + (perc_90 - perc_75) * (2/3), converted_stat, '2K_Ratings'!G239, IF(bbgm_stat &gt;= perc_95, converted_stat * 3, IF(bbgm_stat &gt;= perc_90, converted_stat * 2, IF(bbgm_stat &gt;= perc_85, converted_stat * 1.5, converted_stat)))))</f>
        <v/>
      </c>
      <c r="H239" s="30" t="str">
        <f t="array" ref="H239">IF($A239="", "", LET(bbgm_stat, INDEX(Players!$A238:$P238, MATCH(H$2, Players!$A$1:$P$1, 0)), perc_75, VLOOKUP(H$2, Percentiles!$A$45:$I$59, 6, FALSE), perc_90, VLOOKUP(H$2, Percentiles!$A$45:$I$59, 7, FALSE), perc_95, VLOOKUP(H$2, Percentiles!$A$45:$I$59, 8, FALSE), perc_85, perc_75 + (perc_90 - perc_75) * (2/3), converted_stat, '2K_Ratings'!H239, IF(bbgm_stat &gt;= perc_95, converted_stat * 3, IF(bbgm_stat &gt;= perc_90, converted_stat * 2, IF(bbgm_stat &gt;= perc_85, converted_stat * 1.5, converted_stat)))))</f>
        <v/>
      </c>
      <c r="I239" s="30" t="str">
        <f t="array" ref="I239">IF($A239="", "", LET(bbgm_stat, INDEX(Players!$A238:$P238, MATCH(I$2, Players!$A$1:$P$1, 0)), perc_75, VLOOKUP(I$2, Percentiles!$A$45:$I$59, 6, FALSE), perc_90, VLOOKUP(I$2, Percentiles!$A$45:$I$59, 7, FALSE), perc_95, VLOOKUP(I$2, Percentiles!$A$45:$I$59, 8, FALSE), perc_85, perc_75 + (perc_90 - perc_75) * (2/3), converted_stat, '2K_Ratings'!I239, IF(bbgm_stat &gt;= perc_95, converted_stat * 3, IF(bbgm_stat &gt;= perc_90, converted_stat * 2, IF(bbgm_stat &gt;= perc_85, converted_stat * 1.5, converted_stat)))))</f>
        <v/>
      </c>
      <c r="J239" s="30" t="str">
        <f t="array" ref="J239">IF($A239="", "", LET(bbgm_stat, INDEX(Players!$A238:$P238, MATCH(J$2, Players!$A$1:$P$1, 0)), perc_75, VLOOKUP(J$2, Percentiles!$A$45:$I$59, 6, FALSE), perc_90, VLOOKUP(J$2, Percentiles!$A$45:$I$59, 7, FALSE), perc_95, VLOOKUP(J$2, Percentiles!$A$45:$I$59, 8, FALSE), perc_85, perc_75 + (perc_90 - perc_75) * (2/3), converted_stat, '2K_Ratings'!J239, IF(bbgm_stat &gt;= perc_95, converted_stat * 3, IF(bbgm_stat &gt;= perc_90, converted_stat * 2, IF(bbgm_stat &gt;= perc_85, converted_stat * 1.5, converted_stat)))))</f>
        <v/>
      </c>
      <c r="K239" s="30" t="str">
        <f t="array" ref="K239">IF($A239="", "", LET(bbgm_stat, INDEX(Players!$A238:$P238, MATCH(K$2, Players!$A$1:$P$1, 0)), perc_75, VLOOKUP(K$2, Percentiles!$A$45:$I$59, 6, FALSE), perc_90, VLOOKUP(K$2, Percentiles!$A$45:$I$59, 7, FALSE), perc_95, VLOOKUP(K$2, Percentiles!$A$45:$I$59, 8, FALSE), perc_85, perc_75 + (perc_90 - perc_75) * (2/3), converted_stat, '2K_Ratings'!K239, IF(bbgm_stat &gt;= perc_95, converted_stat * 3, IF(bbgm_stat &gt;= perc_90, converted_stat * 2, IF(bbgm_stat &gt;= perc_85, converted_stat * 1.5, converted_stat)))))</f>
        <v/>
      </c>
      <c r="L239" s="30" t="str">
        <f t="array" ref="L239">IF($A239="", "", LET(bbgm_stat, INDEX(Players!$A238:$P238, MATCH(L$2, Players!$A$1:$P$1, 0)), perc_75, VLOOKUP(L$2, Percentiles!$A$45:$I$59, 6, FALSE), perc_90, VLOOKUP(L$2, Percentiles!$A$45:$I$59, 7, FALSE), perc_95, VLOOKUP(L$2, Percentiles!$A$45:$I$59, 8, FALSE), perc_85, perc_75 + (perc_90 - perc_75) * (2/3), converted_stat, '2K_Ratings'!L239, IF(bbgm_stat &gt;= perc_95, converted_stat * 3, IF(bbgm_stat &gt;= perc_90, converted_stat * 2, IF(bbgm_stat &gt;= perc_85, converted_stat * 1.5, converted_stat)))))</f>
        <v/>
      </c>
      <c r="M239" s="30" t="str">
        <f t="array" ref="M239">IF($A239="", "", LET(bbgm_stat, INDEX(Players!$A238:$P238, MATCH(M$2, Players!$A$1:$P$1, 0)), perc_75, VLOOKUP(M$2, Percentiles!$A$45:$I$59, 6, FALSE), perc_90, VLOOKUP(M$2, Percentiles!$A$45:$I$59, 7, FALSE), perc_95, VLOOKUP(M$2, Percentiles!$A$45:$I$59, 8, FALSE), perc_85, perc_75 + (perc_90 - perc_75) * (2/3), converted_stat, '2K_Ratings'!M239, IF(bbgm_stat &gt;= perc_95, converted_stat * 3, IF(bbgm_stat &gt;= perc_90, converted_stat * 2, IF(bbgm_stat &gt;= perc_85, converted_stat * 1.5, converted_stat)))))</f>
        <v/>
      </c>
      <c r="N239" s="30" t="str">
        <f t="array" ref="N239">IF($A239="", "", LET(bbgm_stat, INDEX(Players!$A238:$P238, MATCH(N$2, Players!$A$1:$P$1, 0)), perc_75, VLOOKUP(N$2, Percentiles!$A$45:$I$59, 6, FALSE), perc_90, VLOOKUP(N$2, Percentiles!$A$45:$I$59, 7, FALSE), perc_95, VLOOKUP(N$2, Percentiles!$A$45:$I$59, 8, FALSE), perc_85, perc_75 + (perc_90 - perc_75) * (2/3), converted_stat, '2K_Ratings'!N239, IF(bbgm_stat &gt;= perc_95, converted_stat * 3, IF(bbgm_stat &gt;= perc_90, converted_stat * 2, IF(bbgm_stat &gt;= perc_85, converted_stat * 1.5, converted_stat)))))</f>
        <v/>
      </c>
      <c r="O239" s="30" t="str">
        <f t="array" ref="O239">IF($A239="", "", LET(bbgm_stat, INDEX(Players!$A238:$P238, MATCH(O$2, Players!$A$1:$P$1, 0)), perc_75, VLOOKUP(O$2, Percentiles!$A$45:$I$59, 6, FALSE), perc_90, VLOOKUP(O$2, Percentiles!$A$45:$I$59, 7, FALSE), perc_95, VLOOKUP(O$2, Percentiles!$A$45:$I$59, 8, FALSE), perc_85, perc_75 + (perc_90 - perc_75) * (2/3), converted_stat, '2K_Ratings'!O239, IF(bbgm_stat &gt;= perc_95, converted_stat * 3, IF(bbgm_stat &gt;= perc_90, converted_stat * 2, IF(bbgm_stat &gt;= perc_85, converted_stat * 1.5, converted_stat)))))</f>
        <v/>
      </c>
      <c r="P239" s="30" t="str">
        <f t="array" ref="P239">IF($A239="", "", LET(bbgm_stat, INDEX(Players!$A238:$P238, MATCH(P$2, Players!$A$1:$P$1, 0)), perc_75, VLOOKUP(P$2, Percentiles!$A$45:$I$59, 6, FALSE), perc_90, VLOOKUP(P$2, Percentiles!$A$45:$I$59, 7, FALSE), perc_95, VLOOKUP(P$2, Percentiles!$A$45:$I$59, 8, FALSE), perc_85, perc_75 + (perc_90 - perc_75) * (2/3), converted_stat, '2K_Ratings'!P239, IF(bbgm_stat &gt;= perc_95, converted_stat * 3, IF(bbgm_stat &gt;= perc_90, converted_stat * 2, IF(bbgm_stat &gt;= perc_85, converted_stat * 1.5, converted_stat)))))</f>
        <v/>
      </c>
      <c r="Q239" s="30" t="str">
        <f t="array" ref="Q239">IF($A239="", "", LET(bbgm_stat, INDEX(Players!$A238:$P238, MATCH(Q$2, Players!$A$1:$P$1, 0)), perc_75, VLOOKUP(Q$2, Percentiles!$A$45:$I$59, 6, FALSE), perc_90, VLOOKUP(Q$2, Percentiles!$A$45:$I$59, 7, FALSE), perc_95, VLOOKUP(Q$2, Percentiles!$A$45:$I$59, 8, FALSE), perc_85, perc_75 + (perc_90 - perc_75) * (2/3), converted_stat, '2K_Ratings'!Q239, IF(bbgm_stat &gt;= perc_95, converted_stat * 3, IF(bbgm_stat &gt;= perc_90, converted_stat * 2, IF(bbgm_stat &gt;= perc_85, converted_stat * 1.5, converted_stat)))))</f>
        <v/>
      </c>
      <c r="R239" s="30" t="str">
        <f t="array" ref="R239">IF($A239="", "", LET(bbgm_stat, INDEX(Players!$A238:$P238, MATCH(R$2, Players!$A$1:$P$1, 0)), perc_75, VLOOKUP(R$2, Percentiles!$A$45:$I$59, 6, FALSE), perc_90, VLOOKUP(R$2, Percentiles!$A$45:$I$59, 7, FALSE), perc_95, VLOOKUP(R$2, Percentiles!$A$45:$I$59, 8, FALSE), perc_85, perc_75 + (perc_90 - perc_75) * (2/3), converted_stat, '2K_Ratings'!R239, IF(bbgm_stat &gt;= perc_95, converted_stat * 3, IF(bbgm_stat &gt;= perc_90, converted_stat * 2, IF(bbgm_stat &gt;= perc_85, converted_stat * 1.5, converted_stat)))))</f>
        <v/>
      </c>
      <c r="S239" s="30" t="str">
        <f t="array" ref="S239">IF($A239="", "", LET(bbgm_stat, INDEX(Players!$A238:$P238, MATCH(S$2, Players!$A$1:$P$1, 0)), perc_75, VLOOKUP(S$2, Percentiles!$A$45:$I$59, 6, FALSE), perc_90, VLOOKUP(S$2, Percentiles!$A$45:$I$59, 7, FALSE), perc_95, VLOOKUP(S$2, Percentiles!$A$45:$I$59, 8, FALSE), perc_85, perc_75 + (perc_90 - perc_75) * (2/3), converted_stat, '2K_Ratings'!S239, IF(bbgm_stat &gt;= perc_95, converted_stat * 3, IF(bbgm_stat &gt;= perc_90, converted_stat * 2, IF(bbgm_stat &gt;= perc_85, converted_stat * 1.5, converted_stat)))))</f>
        <v/>
      </c>
      <c r="T239" s="30" t="str">
        <f t="array" ref="T239">IF($A239="", "", LET(bbgm_stat, INDEX(Players!$A238:$P238, MATCH(T$2, Players!$A$1:$P$1, 0)), perc_75, VLOOKUP(T$2, Percentiles!$A$45:$I$59, 6, FALSE), perc_90, VLOOKUP(T$2, Percentiles!$A$45:$I$59, 7, FALSE), perc_95, VLOOKUP(T$2, Percentiles!$A$45:$I$59, 8, FALSE), perc_85, perc_75 + (perc_90 - perc_75) * (2/3), converted_stat, '2K_Ratings'!T239, IF(bbgm_stat &gt;= perc_95, converted_stat * 3, IF(bbgm_stat &gt;= perc_90, converted_stat * 2, IF(bbgm_stat &gt;= perc_85, converted_stat * 1.5, converted_stat)))))</f>
        <v/>
      </c>
      <c r="U239" s="30" t="str">
        <f t="array" ref="U239">IF($A239="", "", LET(bbgm_stat, INDEX(Players!$A238:$P238, MATCH(U$2, Players!$A$1:$P$1, 0)), perc_75, VLOOKUP(U$2, Percentiles!$A$45:$I$59, 6, FALSE), perc_90, VLOOKUP(U$2, Percentiles!$A$45:$I$59, 7, FALSE), perc_95, VLOOKUP(U$2, Percentiles!$A$45:$I$59, 8, FALSE), perc_85, perc_75 + (perc_90 - perc_75) * (2/3), converted_stat, '2K_Ratings'!U239, IF(bbgm_stat &gt;= perc_95, converted_stat * 3, IF(bbgm_stat &gt;= perc_90, converted_stat * 2, IF(bbgm_stat &gt;= perc_85, converted_stat * 1.5, converted_stat)))))</f>
        <v/>
      </c>
      <c r="V239" s="30" t="str">
        <f t="array" ref="V239">IF($A239="", "", LET(bbgm_stat, INDEX(Players!$A238:$P238, MATCH(V$2, Players!$A$1:$P$1, 0)), perc_75, VLOOKUP(V$2, Percentiles!$A$45:$I$59, 6, FALSE), perc_90, VLOOKUP(V$2, Percentiles!$A$45:$I$59, 7, FALSE), perc_95, VLOOKUP(V$2, Percentiles!$A$45:$I$59, 8, FALSE), perc_85, perc_75 + (perc_90 - perc_75) * (2/3), converted_stat, '2K_Ratings'!V239, IF(bbgm_stat &gt;= perc_95, converted_stat * 3, IF(bbgm_stat &gt;= perc_90, converted_stat * 2, IF(bbgm_stat &gt;= perc_85, converted_stat * 1.5, converted_stat)))))</f>
        <v/>
      </c>
      <c r="W239" s="30" t="str">
        <f t="array" ref="W239">IF($A239="", "", LET(bbgm_stat, INDEX(Players!$A238:$P238, MATCH(W$2, Players!$A$1:$P$1, 0)), perc_75, VLOOKUP(W$2, Percentiles!$A$45:$I$59, 6, FALSE), perc_90, VLOOKUP(W$2, Percentiles!$A$45:$I$59, 7, FALSE), perc_95, VLOOKUP(W$2, Percentiles!$A$45:$I$59, 8, FALSE), perc_85, perc_75 + (perc_90 - perc_75) * (2/3), converted_stat, '2K_Ratings'!W239, IF(bbgm_stat &gt;= perc_95, converted_stat * 3, IF(bbgm_stat &gt;= perc_90, converted_stat * 2, IF(bbgm_stat &gt;= perc_85, converted_stat * 1.5, converted_stat)))))</f>
        <v/>
      </c>
    </row>
    <row r="240">
      <c r="A240" s="30"/>
      <c r="B240" s="30" t="str">
        <f t="array" ref="B240">IF($A240="", "", LET(bbgm_stat, INDEX(Players!$A239:$P239, MATCH(B$2, Players!$A$1:$P$1, 0)), perc_75, VLOOKUP(B$2, Percentiles!$A$45:$I$59, 6, FALSE), perc_90, VLOOKUP(B$2, Percentiles!$A$45:$I$59, 7, FALSE), perc_95, VLOOKUP(B$2, Percentiles!$A$45:$I$59, 8, FALSE), perc_85, perc_75 + (perc_90 - perc_75) * (2/3), converted_stat, '2K_Ratings'!B240, IF(bbgm_stat &gt;= perc_95, converted_stat * 3, IF(bbgm_stat &gt;= perc_90, converted_stat * 2, IF(bbgm_stat &gt;= perc_85, converted_stat * 1.5, converted_stat)))))</f>
        <v/>
      </c>
      <c r="C240" s="30" t="str">
        <f t="array" ref="C240">IF($A240="", "", LET(bbgm_stat, INDEX(Players!$A239:$P239, MATCH(C$2, Players!$A$1:$P$1, 0)), perc_75, VLOOKUP(C$2, Percentiles!$A$45:$I$59, 6, FALSE), perc_90, VLOOKUP(C$2, Percentiles!$A$45:$I$59, 7, FALSE), perc_95, VLOOKUP(C$2, Percentiles!$A$45:$I$59, 8, FALSE), perc_85, perc_75 + (perc_90 - perc_75) * (2/3), converted_stat, '2K_Ratings'!C240, IF(bbgm_stat &gt;= perc_95, converted_stat * 3, IF(bbgm_stat &gt;= perc_90, converted_stat * 2, IF(bbgm_stat &gt;= perc_85, converted_stat * 1.5, converted_stat)))))</f>
        <v/>
      </c>
      <c r="D240" s="30" t="str">
        <f t="array" ref="D240">IF($A240="", "", LET(bbgm_stat, INDEX(Players!$A239:$P239, MATCH(D$2, Players!$A$1:$P$1, 0)), perc_75, VLOOKUP(D$2, Percentiles!$A$45:$I$59, 6, FALSE), perc_90, VLOOKUP(D$2, Percentiles!$A$45:$I$59, 7, FALSE), perc_95, VLOOKUP(D$2, Percentiles!$A$45:$I$59, 8, FALSE), perc_85, perc_75 + (perc_90 - perc_75) * (2/3), converted_stat, '2K_Ratings'!D240, IF(bbgm_stat &gt;= perc_95, converted_stat * 3, IF(bbgm_stat &gt;= perc_90, converted_stat * 2, IF(bbgm_stat &gt;= perc_85, converted_stat * 1.5, converted_stat)))))</f>
        <v/>
      </c>
      <c r="E240" s="30" t="str">
        <f t="array" ref="E240">IF($A240="", "", LET(bbgm_stat, INDEX(Players!$A239:$P239, MATCH(E$2, Players!$A$1:$P$1, 0)), perc_75, VLOOKUP(E$2, Percentiles!$A$45:$I$59, 6, FALSE), perc_90, VLOOKUP(E$2, Percentiles!$A$45:$I$59, 7, FALSE), perc_95, VLOOKUP(E$2, Percentiles!$A$45:$I$59, 8, FALSE), perc_85, perc_75 + (perc_90 - perc_75) * (2/3), converted_stat, '2K_Ratings'!E240, IF(bbgm_stat &gt;= perc_95, converted_stat * 3, IF(bbgm_stat &gt;= perc_90, converted_stat * 2, IF(bbgm_stat &gt;= perc_85, converted_stat * 1.5, converted_stat)))))</f>
        <v/>
      </c>
      <c r="F240" s="30" t="str">
        <f t="array" ref="F240">IF($A240="", "", LET(bbgm_stat, INDEX(Players!$A239:$P239, MATCH(F$2, Players!$A$1:$P$1, 0)), perc_75, VLOOKUP(F$2, Percentiles!$A$45:$I$59, 6, FALSE), perc_90, VLOOKUP(F$2, Percentiles!$A$45:$I$59, 7, FALSE), perc_95, VLOOKUP(F$2, Percentiles!$A$45:$I$59, 8, FALSE), perc_85, perc_75 + (perc_90 - perc_75) * (2/3), converted_stat, '2K_Ratings'!F240, IF(bbgm_stat &gt;= perc_95, converted_stat * 3, IF(bbgm_stat &gt;= perc_90, converted_stat * 2, IF(bbgm_stat &gt;= perc_85, converted_stat * 1.5, converted_stat)))))</f>
        <v/>
      </c>
      <c r="G240" s="30" t="str">
        <f t="array" ref="G240">IF($A240="", "", LET(bbgm_stat, INDEX(Players!$A239:$P239, MATCH(G$2, Players!$A$1:$P$1, 0)), perc_75, VLOOKUP(G$2, Percentiles!$A$45:$I$59, 6, FALSE), perc_90, VLOOKUP(G$2, Percentiles!$A$45:$I$59, 7, FALSE), perc_95, VLOOKUP(G$2, Percentiles!$A$45:$I$59, 8, FALSE), perc_85, perc_75 + (perc_90 - perc_75) * (2/3), converted_stat, '2K_Ratings'!G240, IF(bbgm_stat &gt;= perc_95, converted_stat * 3, IF(bbgm_stat &gt;= perc_90, converted_stat * 2, IF(bbgm_stat &gt;= perc_85, converted_stat * 1.5, converted_stat)))))</f>
        <v/>
      </c>
      <c r="H240" s="30" t="str">
        <f t="array" ref="H240">IF($A240="", "", LET(bbgm_stat, INDEX(Players!$A239:$P239, MATCH(H$2, Players!$A$1:$P$1, 0)), perc_75, VLOOKUP(H$2, Percentiles!$A$45:$I$59, 6, FALSE), perc_90, VLOOKUP(H$2, Percentiles!$A$45:$I$59, 7, FALSE), perc_95, VLOOKUP(H$2, Percentiles!$A$45:$I$59, 8, FALSE), perc_85, perc_75 + (perc_90 - perc_75) * (2/3), converted_stat, '2K_Ratings'!H240, IF(bbgm_stat &gt;= perc_95, converted_stat * 3, IF(bbgm_stat &gt;= perc_90, converted_stat * 2, IF(bbgm_stat &gt;= perc_85, converted_stat * 1.5, converted_stat)))))</f>
        <v/>
      </c>
      <c r="I240" s="30" t="str">
        <f t="array" ref="I240">IF($A240="", "", LET(bbgm_stat, INDEX(Players!$A239:$P239, MATCH(I$2, Players!$A$1:$P$1, 0)), perc_75, VLOOKUP(I$2, Percentiles!$A$45:$I$59, 6, FALSE), perc_90, VLOOKUP(I$2, Percentiles!$A$45:$I$59, 7, FALSE), perc_95, VLOOKUP(I$2, Percentiles!$A$45:$I$59, 8, FALSE), perc_85, perc_75 + (perc_90 - perc_75) * (2/3), converted_stat, '2K_Ratings'!I240, IF(bbgm_stat &gt;= perc_95, converted_stat * 3, IF(bbgm_stat &gt;= perc_90, converted_stat * 2, IF(bbgm_stat &gt;= perc_85, converted_stat * 1.5, converted_stat)))))</f>
        <v/>
      </c>
      <c r="J240" s="30" t="str">
        <f t="array" ref="J240">IF($A240="", "", LET(bbgm_stat, INDEX(Players!$A239:$P239, MATCH(J$2, Players!$A$1:$P$1, 0)), perc_75, VLOOKUP(J$2, Percentiles!$A$45:$I$59, 6, FALSE), perc_90, VLOOKUP(J$2, Percentiles!$A$45:$I$59, 7, FALSE), perc_95, VLOOKUP(J$2, Percentiles!$A$45:$I$59, 8, FALSE), perc_85, perc_75 + (perc_90 - perc_75) * (2/3), converted_stat, '2K_Ratings'!J240, IF(bbgm_stat &gt;= perc_95, converted_stat * 3, IF(bbgm_stat &gt;= perc_90, converted_stat * 2, IF(bbgm_stat &gt;= perc_85, converted_stat * 1.5, converted_stat)))))</f>
        <v/>
      </c>
      <c r="K240" s="30" t="str">
        <f t="array" ref="K240">IF($A240="", "", LET(bbgm_stat, INDEX(Players!$A239:$P239, MATCH(K$2, Players!$A$1:$P$1, 0)), perc_75, VLOOKUP(K$2, Percentiles!$A$45:$I$59, 6, FALSE), perc_90, VLOOKUP(K$2, Percentiles!$A$45:$I$59, 7, FALSE), perc_95, VLOOKUP(K$2, Percentiles!$A$45:$I$59, 8, FALSE), perc_85, perc_75 + (perc_90 - perc_75) * (2/3), converted_stat, '2K_Ratings'!K240, IF(bbgm_stat &gt;= perc_95, converted_stat * 3, IF(bbgm_stat &gt;= perc_90, converted_stat * 2, IF(bbgm_stat &gt;= perc_85, converted_stat * 1.5, converted_stat)))))</f>
        <v/>
      </c>
      <c r="L240" s="30" t="str">
        <f t="array" ref="L240">IF($A240="", "", LET(bbgm_stat, INDEX(Players!$A239:$P239, MATCH(L$2, Players!$A$1:$P$1, 0)), perc_75, VLOOKUP(L$2, Percentiles!$A$45:$I$59, 6, FALSE), perc_90, VLOOKUP(L$2, Percentiles!$A$45:$I$59, 7, FALSE), perc_95, VLOOKUP(L$2, Percentiles!$A$45:$I$59, 8, FALSE), perc_85, perc_75 + (perc_90 - perc_75) * (2/3), converted_stat, '2K_Ratings'!L240, IF(bbgm_stat &gt;= perc_95, converted_stat * 3, IF(bbgm_stat &gt;= perc_90, converted_stat * 2, IF(bbgm_stat &gt;= perc_85, converted_stat * 1.5, converted_stat)))))</f>
        <v/>
      </c>
      <c r="M240" s="30" t="str">
        <f t="array" ref="M240">IF($A240="", "", LET(bbgm_stat, INDEX(Players!$A239:$P239, MATCH(M$2, Players!$A$1:$P$1, 0)), perc_75, VLOOKUP(M$2, Percentiles!$A$45:$I$59, 6, FALSE), perc_90, VLOOKUP(M$2, Percentiles!$A$45:$I$59, 7, FALSE), perc_95, VLOOKUP(M$2, Percentiles!$A$45:$I$59, 8, FALSE), perc_85, perc_75 + (perc_90 - perc_75) * (2/3), converted_stat, '2K_Ratings'!M240, IF(bbgm_stat &gt;= perc_95, converted_stat * 3, IF(bbgm_stat &gt;= perc_90, converted_stat * 2, IF(bbgm_stat &gt;= perc_85, converted_stat * 1.5, converted_stat)))))</f>
        <v/>
      </c>
      <c r="N240" s="30" t="str">
        <f t="array" ref="N240">IF($A240="", "", LET(bbgm_stat, INDEX(Players!$A239:$P239, MATCH(N$2, Players!$A$1:$P$1, 0)), perc_75, VLOOKUP(N$2, Percentiles!$A$45:$I$59, 6, FALSE), perc_90, VLOOKUP(N$2, Percentiles!$A$45:$I$59, 7, FALSE), perc_95, VLOOKUP(N$2, Percentiles!$A$45:$I$59, 8, FALSE), perc_85, perc_75 + (perc_90 - perc_75) * (2/3), converted_stat, '2K_Ratings'!N240, IF(bbgm_stat &gt;= perc_95, converted_stat * 3, IF(bbgm_stat &gt;= perc_90, converted_stat * 2, IF(bbgm_stat &gt;= perc_85, converted_stat * 1.5, converted_stat)))))</f>
        <v/>
      </c>
      <c r="O240" s="30" t="str">
        <f t="array" ref="O240">IF($A240="", "", LET(bbgm_stat, INDEX(Players!$A239:$P239, MATCH(O$2, Players!$A$1:$P$1, 0)), perc_75, VLOOKUP(O$2, Percentiles!$A$45:$I$59, 6, FALSE), perc_90, VLOOKUP(O$2, Percentiles!$A$45:$I$59, 7, FALSE), perc_95, VLOOKUP(O$2, Percentiles!$A$45:$I$59, 8, FALSE), perc_85, perc_75 + (perc_90 - perc_75) * (2/3), converted_stat, '2K_Ratings'!O240, IF(bbgm_stat &gt;= perc_95, converted_stat * 3, IF(bbgm_stat &gt;= perc_90, converted_stat * 2, IF(bbgm_stat &gt;= perc_85, converted_stat * 1.5, converted_stat)))))</f>
        <v/>
      </c>
      <c r="P240" s="30" t="str">
        <f t="array" ref="P240">IF($A240="", "", LET(bbgm_stat, INDEX(Players!$A239:$P239, MATCH(P$2, Players!$A$1:$P$1, 0)), perc_75, VLOOKUP(P$2, Percentiles!$A$45:$I$59, 6, FALSE), perc_90, VLOOKUP(P$2, Percentiles!$A$45:$I$59, 7, FALSE), perc_95, VLOOKUP(P$2, Percentiles!$A$45:$I$59, 8, FALSE), perc_85, perc_75 + (perc_90 - perc_75) * (2/3), converted_stat, '2K_Ratings'!P240, IF(bbgm_stat &gt;= perc_95, converted_stat * 3, IF(bbgm_stat &gt;= perc_90, converted_stat * 2, IF(bbgm_stat &gt;= perc_85, converted_stat * 1.5, converted_stat)))))</f>
        <v/>
      </c>
      <c r="Q240" s="30" t="str">
        <f t="array" ref="Q240">IF($A240="", "", LET(bbgm_stat, INDEX(Players!$A239:$P239, MATCH(Q$2, Players!$A$1:$P$1, 0)), perc_75, VLOOKUP(Q$2, Percentiles!$A$45:$I$59, 6, FALSE), perc_90, VLOOKUP(Q$2, Percentiles!$A$45:$I$59, 7, FALSE), perc_95, VLOOKUP(Q$2, Percentiles!$A$45:$I$59, 8, FALSE), perc_85, perc_75 + (perc_90 - perc_75) * (2/3), converted_stat, '2K_Ratings'!Q240, IF(bbgm_stat &gt;= perc_95, converted_stat * 3, IF(bbgm_stat &gt;= perc_90, converted_stat * 2, IF(bbgm_stat &gt;= perc_85, converted_stat * 1.5, converted_stat)))))</f>
        <v/>
      </c>
      <c r="R240" s="30" t="str">
        <f t="array" ref="R240">IF($A240="", "", LET(bbgm_stat, INDEX(Players!$A239:$P239, MATCH(R$2, Players!$A$1:$P$1, 0)), perc_75, VLOOKUP(R$2, Percentiles!$A$45:$I$59, 6, FALSE), perc_90, VLOOKUP(R$2, Percentiles!$A$45:$I$59, 7, FALSE), perc_95, VLOOKUP(R$2, Percentiles!$A$45:$I$59, 8, FALSE), perc_85, perc_75 + (perc_90 - perc_75) * (2/3), converted_stat, '2K_Ratings'!R240, IF(bbgm_stat &gt;= perc_95, converted_stat * 3, IF(bbgm_stat &gt;= perc_90, converted_stat * 2, IF(bbgm_stat &gt;= perc_85, converted_stat * 1.5, converted_stat)))))</f>
        <v/>
      </c>
      <c r="S240" s="30" t="str">
        <f t="array" ref="S240">IF($A240="", "", LET(bbgm_stat, INDEX(Players!$A239:$P239, MATCH(S$2, Players!$A$1:$P$1, 0)), perc_75, VLOOKUP(S$2, Percentiles!$A$45:$I$59, 6, FALSE), perc_90, VLOOKUP(S$2, Percentiles!$A$45:$I$59, 7, FALSE), perc_95, VLOOKUP(S$2, Percentiles!$A$45:$I$59, 8, FALSE), perc_85, perc_75 + (perc_90 - perc_75) * (2/3), converted_stat, '2K_Ratings'!S240, IF(bbgm_stat &gt;= perc_95, converted_stat * 3, IF(bbgm_stat &gt;= perc_90, converted_stat * 2, IF(bbgm_stat &gt;= perc_85, converted_stat * 1.5, converted_stat)))))</f>
        <v/>
      </c>
      <c r="T240" s="30" t="str">
        <f t="array" ref="T240">IF($A240="", "", LET(bbgm_stat, INDEX(Players!$A239:$P239, MATCH(T$2, Players!$A$1:$P$1, 0)), perc_75, VLOOKUP(T$2, Percentiles!$A$45:$I$59, 6, FALSE), perc_90, VLOOKUP(T$2, Percentiles!$A$45:$I$59, 7, FALSE), perc_95, VLOOKUP(T$2, Percentiles!$A$45:$I$59, 8, FALSE), perc_85, perc_75 + (perc_90 - perc_75) * (2/3), converted_stat, '2K_Ratings'!T240, IF(bbgm_stat &gt;= perc_95, converted_stat * 3, IF(bbgm_stat &gt;= perc_90, converted_stat * 2, IF(bbgm_stat &gt;= perc_85, converted_stat * 1.5, converted_stat)))))</f>
        <v/>
      </c>
      <c r="U240" s="30" t="str">
        <f t="array" ref="U240">IF($A240="", "", LET(bbgm_stat, INDEX(Players!$A239:$P239, MATCH(U$2, Players!$A$1:$P$1, 0)), perc_75, VLOOKUP(U$2, Percentiles!$A$45:$I$59, 6, FALSE), perc_90, VLOOKUP(U$2, Percentiles!$A$45:$I$59, 7, FALSE), perc_95, VLOOKUP(U$2, Percentiles!$A$45:$I$59, 8, FALSE), perc_85, perc_75 + (perc_90 - perc_75) * (2/3), converted_stat, '2K_Ratings'!U240, IF(bbgm_stat &gt;= perc_95, converted_stat * 3, IF(bbgm_stat &gt;= perc_90, converted_stat * 2, IF(bbgm_stat &gt;= perc_85, converted_stat * 1.5, converted_stat)))))</f>
        <v/>
      </c>
      <c r="V240" s="30" t="str">
        <f t="array" ref="V240">IF($A240="", "", LET(bbgm_stat, INDEX(Players!$A239:$P239, MATCH(V$2, Players!$A$1:$P$1, 0)), perc_75, VLOOKUP(V$2, Percentiles!$A$45:$I$59, 6, FALSE), perc_90, VLOOKUP(V$2, Percentiles!$A$45:$I$59, 7, FALSE), perc_95, VLOOKUP(V$2, Percentiles!$A$45:$I$59, 8, FALSE), perc_85, perc_75 + (perc_90 - perc_75) * (2/3), converted_stat, '2K_Ratings'!V240, IF(bbgm_stat &gt;= perc_95, converted_stat * 3, IF(bbgm_stat &gt;= perc_90, converted_stat * 2, IF(bbgm_stat &gt;= perc_85, converted_stat * 1.5, converted_stat)))))</f>
        <v/>
      </c>
      <c r="W240" s="30" t="str">
        <f t="array" ref="W240">IF($A240="", "", LET(bbgm_stat, INDEX(Players!$A239:$P239, MATCH(W$2, Players!$A$1:$P$1, 0)), perc_75, VLOOKUP(W$2, Percentiles!$A$45:$I$59, 6, FALSE), perc_90, VLOOKUP(W$2, Percentiles!$A$45:$I$59, 7, FALSE), perc_95, VLOOKUP(W$2, Percentiles!$A$45:$I$59, 8, FALSE), perc_85, perc_75 + (perc_90 - perc_75) * (2/3), converted_stat, '2K_Ratings'!W240, IF(bbgm_stat &gt;= perc_95, converted_stat * 3, IF(bbgm_stat &gt;= perc_90, converted_stat * 2, IF(bbgm_stat &gt;= perc_85, converted_stat * 1.5, converted_stat)))))</f>
        <v/>
      </c>
    </row>
    <row r="241">
      <c r="A241" s="30"/>
      <c r="B241" s="30" t="str">
        <f t="array" ref="B241">IF($A241="", "", LET(bbgm_stat, INDEX(Players!$A240:$P240, MATCH(B$2, Players!$A$1:$P$1, 0)), perc_75, VLOOKUP(B$2, Percentiles!$A$45:$I$59, 6, FALSE), perc_90, VLOOKUP(B$2, Percentiles!$A$45:$I$59, 7, FALSE), perc_95, VLOOKUP(B$2, Percentiles!$A$45:$I$59, 8, FALSE), perc_85, perc_75 + (perc_90 - perc_75) * (2/3), converted_stat, '2K_Ratings'!B241, IF(bbgm_stat &gt;= perc_95, converted_stat * 3, IF(bbgm_stat &gt;= perc_90, converted_stat * 2, IF(bbgm_stat &gt;= perc_85, converted_stat * 1.5, converted_stat)))))</f>
        <v/>
      </c>
      <c r="C241" s="30" t="str">
        <f t="array" ref="C241">IF($A241="", "", LET(bbgm_stat, INDEX(Players!$A240:$P240, MATCH(C$2, Players!$A$1:$P$1, 0)), perc_75, VLOOKUP(C$2, Percentiles!$A$45:$I$59, 6, FALSE), perc_90, VLOOKUP(C$2, Percentiles!$A$45:$I$59, 7, FALSE), perc_95, VLOOKUP(C$2, Percentiles!$A$45:$I$59, 8, FALSE), perc_85, perc_75 + (perc_90 - perc_75) * (2/3), converted_stat, '2K_Ratings'!C241, IF(bbgm_stat &gt;= perc_95, converted_stat * 3, IF(bbgm_stat &gt;= perc_90, converted_stat * 2, IF(bbgm_stat &gt;= perc_85, converted_stat * 1.5, converted_stat)))))</f>
        <v/>
      </c>
      <c r="D241" s="30" t="str">
        <f t="array" ref="D241">IF($A241="", "", LET(bbgm_stat, INDEX(Players!$A240:$P240, MATCH(D$2, Players!$A$1:$P$1, 0)), perc_75, VLOOKUP(D$2, Percentiles!$A$45:$I$59, 6, FALSE), perc_90, VLOOKUP(D$2, Percentiles!$A$45:$I$59, 7, FALSE), perc_95, VLOOKUP(D$2, Percentiles!$A$45:$I$59, 8, FALSE), perc_85, perc_75 + (perc_90 - perc_75) * (2/3), converted_stat, '2K_Ratings'!D241, IF(bbgm_stat &gt;= perc_95, converted_stat * 3, IF(bbgm_stat &gt;= perc_90, converted_stat * 2, IF(bbgm_stat &gt;= perc_85, converted_stat * 1.5, converted_stat)))))</f>
        <v/>
      </c>
      <c r="E241" s="30" t="str">
        <f t="array" ref="E241">IF($A241="", "", LET(bbgm_stat, INDEX(Players!$A240:$P240, MATCH(E$2, Players!$A$1:$P$1, 0)), perc_75, VLOOKUP(E$2, Percentiles!$A$45:$I$59, 6, FALSE), perc_90, VLOOKUP(E$2, Percentiles!$A$45:$I$59, 7, FALSE), perc_95, VLOOKUP(E$2, Percentiles!$A$45:$I$59, 8, FALSE), perc_85, perc_75 + (perc_90 - perc_75) * (2/3), converted_stat, '2K_Ratings'!E241, IF(bbgm_stat &gt;= perc_95, converted_stat * 3, IF(bbgm_stat &gt;= perc_90, converted_stat * 2, IF(bbgm_stat &gt;= perc_85, converted_stat * 1.5, converted_stat)))))</f>
        <v/>
      </c>
      <c r="F241" s="30" t="str">
        <f t="array" ref="F241">IF($A241="", "", LET(bbgm_stat, INDEX(Players!$A240:$P240, MATCH(F$2, Players!$A$1:$P$1, 0)), perc_75, VLOOKUP(F$2, Percentiles!$A$45:$I$59, 6, FALSE), perc_90, VLOOKUP(F$2, Percentiles!$A$45:$I$59, 7, FALSE), perc_95, VLOOKUP(F$2, Percentiles!$A$45:$I$59, 8, FALSE), perc_85, perc_75 + (perc_90 - perc_75) * (2/3), converted_stat, '2K_Ratings'!F241, IF(bbgm_stat &gt;= perc_95, converted_stat * 3, IF(bbgm_stat &gt;= perc_90, converted_stat * 2, IF(bbgm_stat &gt;= perc_85, converted_stat * 1.5, converted_stat)))))</f>
        <v/>
      </c>
      <c r="G241" s="30" t="str">
        <f t="array" ref="G241">IF($A241="", "", LET(bbgm_stat, INDEX(Players!$A240:$P240, MATCH(G$2, Players!$A$1:$P$1, 0)), perc_75, VLOOKUP(G$2, Percentiles!$A$45:$I$59, 6, FALSE), perc_90, VLOOKUP(G$2, Percentiles!$A$45:$I$59, 7, FALSE), perc_95, VLOOKUP(G$2, Percentiles!$A$45:$I$59, 8, FALSE), perc_85, perc_75 + (perc_90 - perc_75) * (2/3), converted_stat, '2K_Ratings'!G241, IF(bbgm_stat &gt;= perc_95, converted_stat * 3, IF(bbgm_stat &gt;= perc_90, converted_stat * 2, IF(bbgm_stat &gt;= perc_85, converted_stat * 1.5, converted_stat)))))</f>
        <v/>
      </c>
      <c r="H241" s="30" t="str">
        <f t="array" ref="H241">IF($A241="", "", LET(bbgm_stat, INDEX(Players!$A240:$P240, MATCH(H$2, Players!$A$1:$P$1, 0)), perc_75, VLOOKUP(H$2, Percentiles!$A$45:$I$59, 6, FALSE), perc_90, VLOOKUP(H$2, Percentiles!$A$45:$I$59, 7, FALSE), perc_95, VLOOKUP(H$2, Percentiles!$A$45:$I$59, 8, FALSE), perc_85, perc_75 + (perc_90 - perc_75) * (2/3), converted_stat, '2K_Ratings'!H241, IF(bbgm_stat &gt;= perc_95, converted_stat * 3, IF(bbgm_stat &gt;= perc_90, converted_stat * 2, IF(bbgm_stat &gt;= perc_85, converted_stat * 1.5, converted_stat)))))</f>
        <v/>
      </c>
      <c r="I241" s="30" t="str">
        <f t="array" ref="I241">IF($A241="", "", LET(bbgm_stat, INDEX(Players!$A240:$P240, MATCH(I$2, Players!$A$1:$P$1, 0)), perc_75, VLOOKUP(I$2, Percentiles!$A$45:$I$59, 6, FALSE), perc_90, VLOOKUP(I$2, Percentiles!$A$45:$I$59, 7, FALSE), perc_95, VLOOKUP(I$2, Percentiles!$A$45:$I$59, 8, FALSE), perc_85, perc_75 + (perc_90 - perc_75) * (2/3), converted_stat, '2K_Ratings'!I241, IF(bbgm_stat &gt;= perc_95, converted_stat * 3, IF(bbgm_stat &gt;= perc_90, converted_stat * 2, IF(bbgm_stat &gt;= perc_85, converted_stat * 1.5, converted_stat)))))</f>
        <v/>
      </c>
      <c r="J241" s="30" t="str">
        <f t="array" ref="J241">IF($A241="", "", LET(bbgm_stat, INDEX(Players!$A240:$P240, MATCH(J$2, Players!$A$1:$P$1, 0)), perc_75, VLOOKUP(J$2, Percentiles!$A$45:$I$59, 6, FALSE), perc_90, VLOOKUP(J$2, Percentiles!$A$45:$I$59, 7, FALSE), perc_95, VLOOKUP(J$2, Percentiles!$A$45:$I$59, 8, FALSE), perc_85, perc_75 + (perc_90 - perc_75) * (2/3), converted_stat, '2K_Ratings'!J241, IF(bbgm_stat &gt;= perc_95, converted_stat * 3, IF(bbgm_stat &gt;= perc_90, converted_stat * 2, IF(bbgm_stat &gt;= perc_85, converted_stat * 1.5, converted_stat)))))</f>
        <v/>
      </c>
      <c r="K241" s="30" t="str">
        <f t="array" ref="K241">IF($A241="", "", LET(bbgm_stat, INDEX(Players!$A240:$P240, MATCH(K$2, Players!$A$1:$P$1, 0)), perc_75, VLOOKUP(K$2, Percentiles!$A$45:$I$59, 6, FALSE), perc_90, VLOOKUP(K$2, Percentiles!$A$45:$I$59, 7, FALSE), perc_95, VLOOKUP(K$2, Percentiles!$A$45:$I$59, 8, FALSE), perc_85, perc_75 + (perc_90 - perc_75) * (2/3), converted_stat, '2K_Ratings'!K241, IF(bbgm_stat &gt;= perc_95, converted_stat * 3, IF(bbgm_stat &gt;= perc_90, converted_stat * 2, IF(bbgm_stat &gt;= perc_85, converted_stat * 1.5, converted_stat)))))</f>
        <v/>
      </c>
      <c r="L241" s="30" t="str">
        <f t="array" ref="L241">IF($A241="", "", LET(bbgm_stat, INDEX(Players!$A240:$P240, MATCH(L$2, Players!$A$1:$P$1, 0)), perc_75, VLOOKUP(L$2, Percentiles!$A$45:$I$59, 6, FALSE), perc_90, VLOOKUP(L$2, Percentiles!$A$45:$I$59, 7, FALSE), perc_95, VLOOKUP(L$2, Percentiles!$A$45:$I$59, 8, FALSE), perc_85, perc_75 + (perc_90 - perc_75) * (2/3), converted_stat, '2K_Ratings'!L241, IF(bbgm_stat &gt;= perc_95, converted_stat * 3, IF(bbgm_stat &gt;= perc_90, converted_stat * 2, IF(bbgm_stat &gt;= perc_85, converted_stat * 1.5, converted_stat)))))</f>
        <v/>
      </c>
      <c r="M241" s="30" t="str">
        <f t="array" ref="M241">IF($A241="", "", LET(bbgm_stat, INDEX(Players!$A240:$P240, MATCH(M$2, Players!$A$1:$P$1, 0)), perc_75, VLOOKUP(M$2, Percentiles!$A$45:$I$59, 6, FALSE), perc_90, VLOOKUP(M$2, Percentiles!$A$45:$I$59, 7, FALSE), perc_95, VLOOKUP(M$2, Percentiles!$A$45:$I$59, 8, FALSE), perc_85, perc_75 + (perc_90 - perc_75) * (2/3), converted_stat, '2K_Ratings'!M241, IF(bbgm_stat &gt;= perc_95, converted_stat * 3, IF(bbgm_stat &gt;= perc_90, converted_stat * 2, IF(bbgm_stat &gt;= perc_85, converted_stat * 1.5, converted_stat)))))</f>
        <v/>
      </c>
      <c r="N241" s="30" t="str">
        <f t="array" ref="N241">IF($A241="", "", LET(bbgm_stat, INDEX(Players!$A240:$P240, MATCH(N$2, Players!$A$1:$P$1, 0)), perc_75, VLOOKUP(N$2, Percentiles!$A$45:$I$59, 6, FALSE), perc_90, VLOOKUP(N$2, Percentiles!$A$45:$I$59, 7, FALSE), perc_95, VLOOKUP(N$2, Percentiles!$A$45:$I$59, 8, FALSE), perc_85, perc_75 + (perc_90 - perc_75) * (2/3), converted_stat, '2K_Ratings'!N241, IF(bbgm_stat &gt;= perc_95, converted_stat * 3, IF(bbgm_stat &gt;= perc_90, converted_stat * 2, IF(bbgm_stat &gt;= perc_85, converted_stat * 1.5, converted_stat)))))</f>
        <v/>
      </c>
      <c r="O241" s="30" t="str">
        <f t="array" ref="O241">IF($A241="", "", LET(bbgm_stat, INDEX(Players!$A240:$P240, MATCH(O$2, Players!$A$1:$P$1, 0)), perc_75, VLOOKUP(O$2, Percentiles!$A$45:$I$59, 6, FALSE), perc_90, VLOOKUP(O$2, Percentiles!$A$45:$I$59, 7, FALSE), perc_95, VLOOKUP(O$2, Percentiles!$A$45:$I$59, 8, FALSE), perc_85, perc_75 + (perc_90 - perc_75) * (2/3), converted_stat, '2K_Ratings'!O241, IF(bbgm_stat &gt;= perc_95, converted_stat * 3, IF(bbgm_stat &gt;= perc_90, converted_stat * 2, IF(bbgm_stat &gt;= perc_85, converted_stat * 1.5, converted_stat)))))</f>
        <v/>
      </c>
      <c r="P241" s="30" t="str">
        <f t="array" ref="P241">IF($A241="", "", LET(bbgm_stat, INDEX(Players!$A240:$P240, MATCH(P$2, Players!$A$1:$P$1, 0)), perc_75, VLOOKUP(P$2, Percentiles!$A$45:$I$59, 6, FALSE), perc_90, VLOOKUP(P$2, Percentiles!$A$45:$I$59, 7, FALSE), perc_95, VLOOKUP(P$2, Percentiles!$A$45:$I$59, 8, FALSE), perc_85, perc_75 + (perc_90 - perc_75) * (2/3), converted_stat, '2K_Ratings'!P241, IF(bbgm_stat &gt;= perc_95, converted_stat * 3, IF(bbgm_stat &gt;= perc_90, converted_stat * 2, IF(bbgm_stat &gt;= perc_85, converted_stat * 1.5, converted_stat)))))</f>
        <v/>
      </c>
      <c r="Q241" s="30" t="str">
        <f t="array" ref="Q241">IF($A241="", "", LET(bbgm_stat, INDEX(Players!$A240:$P240, MATCH(Q$2, Players!$A$1:$P$1, 0)), perc_75, VLOOKUP(Q$2, Percentiles!$A$45:$I$59, 6, FALSE), perc_90, VLOOKUP(Q$2, Percentiles!$A$45:$I$59, 7, FALSE), perc_95, VLOOKUP(Q$2, Percentiles!$A$45:$I$59, 8, FALSE), perc_85, perc_75 + (perc_90 - perc_75) * (2/3), converted_stat, '2K_Ratings'!Q241, IF(bbgm_stat &gt;= perc_95, converted_stat * 3, IF(bbgm_stat &gt;= perc_90, converted_stat * 2, IF(bbgm_stat &gt;= perc_85, converted_stat * 1.5, converted_stat)))))</f>
        <v/>
      </c>
      <c r="R241" s="30" t="str">
        <f t="array" ref="R241">IF($A241="", "", LET(bbgm_stat, INDEX(Players!$A240:$P240, MATCH(R$2, Players!$A$1:$P$1, 0)), perc_75, VLOOKUP(R$2, Percentiles!$A$45:$I$59, 6, FALSE), perc_90, VLOOKUP(R$2, Percentiles!$A$45:$I$59, 7, FALSE), perc_95, VLOOKUP(R$2, Percentiles!$A$45:$I$59, 8, FALSE), perc_85, perc_75 + (perc_90 - perc_75) * (2/3), converted_stat, '2K_Ratings'!R241, IF(bbgm_stat &gt;= perc_95, converted_stat * 3, IF(bbgm_stat &gt;= perc_90, converted_stat * 2, IF(bbgm_stat &gt;= perc_85, converted_stat * 1.5, converted_stat)))))</f>
        <v/>
      </c>
      <c r="S241" s="30" t="str">
        <f t="array" ref="S241">IF($A241="", "", LET(bbgm_stat, INDEX(Players!$A240:$P240, MATCH(S$2, Players!$A$1:$P$1, 0)), perc_75, VLOOKUP(S$2, Percentiles!$A$45:$I$59, 6, FALSE), perc_90, VLOOKUP(S$2, Percentiles!$A$45:$I$59, 7, FALSE), perc_95, VLOOKUP(S$2, Percentiles!$A$45:$I$59, 8, FALSE), perc_85, perc_75 + (perc_90 - perc_75) * (2/3), converted_stat, '2K_Ratings'!S241, IF(bbgm_stat &gt;= perc_95, converted_stat * 3, IF(bbgm_stat &gt;= perc_90, converted_stat * 2, IF(bbgm_stat &gt;= perc_85, converted_stat * 1.5, converted_stat)))))</f>
        <v/>
      </c>
      <c r="T241" s="30" t="str">
        <f t="array" ref="T241">IF($A241="", "", LET(bbgm_stat, INDEX(Players!$A240:$P240, MATCH(T$2, Players!$A$1:$P$1, 0)), perc_75, VLOOKUP(T$2, Percentiles!$A$45:$I$59, 6, FALSE), perc_90, VLOOKUP(T$2, Percentiles!$A$45:$I$59, 7, FALSE), perc_95, VLOOKUP(T$2, Percentiles!$A$45:$I$59, 8, FALSE), perc_85, perc_75 + (perc_90 - perc_75) * (2/3), converted_stat, '2K_Ratings'!T241, IF(bbgm_stat &gt;= perc_95, converted_stat * 3, IF(bbgm_stat &gt;= perc_90, converted_stat * 2, IF(bbgm_stat &gt;= perc_85, converted_stat * 1.5, converted_stat)))))</f>
        <v/>
      </c>
      <c r="U241" s="30" t="str">
        <f t="array" ref="U241">IF($A241="", "", LET(bbgm_stat, INDEX(Players!$A240:$P240, MATCH(U$2, Players!$A$1:$P$1, 0)), perc_75, VLOOKUP(U$2, Percentiles!$A$45:$I$59, 6, FALSE), perc_90, VLOOKUP(U$2, Percentiles!$A$45:$I$59, 7, FALSE), perc_95, VLOOKUP(U$2, Percentiles!$A$45:$I$59, 8, FALSE), perc_85, perc_75 + (perc_90 - perc_75) * (2/3), converted_stat, '2K_Ratings'!U241, IF(bbgm_stat &gt;= perc_95, converted_stat * 3, IF(bbgm_stat &gt;= perc_90, converted_stat * 2, IF(bbgm_stat &gt;= perc_85, converted_stat * 1.5, converted_stat)))))</f>
        <v/>
      </c>
      <c r="V241" s="30" t="str">
        <f t="array" ref="V241">IF($A241="", "", LET(bbgm_stat, INDEX(Players!$A240:$P240, MATCH(V$2, Players!$A$1:$P$1, 0)), perc_75, VLOOKUP(V$2, Percentiles!$A$45:$I$59, 6, FALSE), perc_90, VLOOKUP(V$2, Percentiles!$A$45:$I$59, 7, FALSE), perc_95, VLOOKUP(V$2, Percentiles!$A$45:$I$59, 8, FALSE), perc_85, perc_75 + (perc_90 - perc_75) * (2/3), converted_stat, '2K_Ratings'!V241, IF(bbgm_stat &gt;= perc_95, converted_stat * 3, IF(bbgm_stat &gt;= perc_90, converted_stat * 2, IF(bbgm_stat &gt;= perc_85, converted_stat * 1.5, converted_stat)))))</f>
        <v/>
      </c>
      <c r="W241" s="30" t="str">
        <f t="array" ref="W241">IF($A241="", "", LET(bbgm_stat, INDEX(Players!$A240:$P240, MATCH(W$2, Players!$A$1:$P$1, 0)), perc_75, VLOOKUP(W$2, Percentiles!$A$45:$I$59, 6, FALSE), perc_90, VLOOKUP(W$2, Percentiles!$A$45:$I$59, 7, FALSE), perc_95, VLOOKUP(W$2, Percentiles!$A$45:$I$59, 8, FALSE), perc_85, perc_75 + (perc_90 - perc_75) * (2/3), converted_stat, '2K_Ratings'!W241, IF(bbgm_stat &gt;= perc_95, converted_stat * 3, IF(bbgm_stat &gt;= perc_90, converted_stat * 2, IF(bbgm_stat &gt;= perc_85, converted_stat * 1.5, converted_stat)))))</f>
        <v/>
      </c>
    </row>
    <row r="242">
      <c r="A242" s="30"/>
      <c r="B242" s="30" t="str">
        <f t="array" ref="B242">IF($A242="", "", LET(bbgm_stat, INDEX(Players!$A241:$P241, MATCH(B$2, Players!$A$1:$P$1, 0)), perc_75, VLOOKUP(B$2, Percentiles!$A$45:$I$59, 6, FALSE), perc_90, VLOOKUP(B$2, Percentiles!$A$45:$I$59, 7, FALSE), perc_95, VLOOKUP(B$2, Percentiles!$A$45:$I$59, 8, FALSE), perc_85, perc_75 + (perc_90 - perc_75) * (2/3), converted_stat, '2K_Ratings'!B242, IF(bbgm_stat &gt;= perc_95, converted_stat * 3, IF(bbgm_stat &gt;= perc_90, converted_stat * 2, IF(bbgm_stat &gt;= perc_85, converted_stat * 1.5, converted_stat)))))</f>
        <v/>
      </c>
      <c r="C242" s="30" t="str">
        <f t="array" ref="C242">IF($A242="", "", LET(bbgm_stat, INDEX(Players!$A241:$P241, MATCH(C$2, Players!$A$1:$P$1, 0)), perc_75, VLOOKUP(C$2, Percentiles!$A$45:$I$59, 6, FALSE), perc_90, VLOOKUP(C$2, Percentiles!$A$45:$I$59, 7, FALSE), perc_95, VLOOKUP(C$2, Percentiles!$A$45:$I$59, 8, FALSE), perc_85, perc_75 + (perc_90 - perc_75) * (2/3), converted_stat, '2K_Ratings'!C242, IF(bbgm_stat &gt;= perc_95, converted_stat * 3, IF(bbgm_stat &gt;= perc_90, converted_stat * 2, IF(bbgm_stat &gt;= perc_85, converted_stat * 1.5, converted_stat)))))</f>
        <v/>
      </c>
      <c r="D242" s="30" t="str">
        <f t="array" ref="D242">IF($A242="", "", LET(bbgm_stat, INDEX(Players!$A241:$P241, MATCH(D$2, Players!$A$1:$P$1, 0)), perc_75, VLOOKUP(D$2, Percentiles!$A$45:$I$59, 6, FALSE), perc_90, VLOOKUP(D$2, Percentiles!$A$45:$I$59, 7, FALSE), perc_95, VLOOKUP(D$2, Percentiles!$A$45:$I$59, 8, FALSE), perc_85, perc_75 + (perc_90 - perc_75) * (2/3), converted_stat, '2K_Ratings'!D242, IF(bbgm_stat &gt;= perc_95, converted_stat * 3, IF(bbgm_stat &gt;= perc_90, converted_stat * 2, IF(bbgm_stat &gt;= perc_85, converted_stat * 1.5, converted_stat)))))</f>
        <v/>
      </c>
      <c r="E242" s="30" t="str">
        <f t="array" ref="E242">IF($A242="", "", LET(bbgm_stat, INDEX(Players!$A241:$P241, MATCH(E$2, Players!$A$1:$P$1, 0)), perc_75, VLOOKUP(E$2, Percentiles!$A$45:$I$59, 6, FALSE), perc_90, VLOOKUP(E$2, Percentiles!$A$45:$I$59, 7, FALSE), perc_95, VLOOKUP(E$2, Percentiles!$A$45:$I$59, 8, FALSE), perc_85, perc_75 + (perc_90 - perc_75) * (2/3), converted_stat, '2K_Ratings'!E242, IF(bbgm_stat &gt;= perc_95, converted_stat * 3, IF(bbgm_stat &gt;= perc_90, converted_stat * 2, IF(bbgm_stat &gt;= perc_85, converted_stat * 1.5, converted_stat)))))</f>
        <v/>
      </c>
      <c r="F242" s="30" t="str">
        <f t="array" ref="F242">IF($A242="", "", LET(bbgm_stat, INDEX(Players!$A241:$P241, MATCH(F$2, Players!$A$1:$P$1, 0)), perc_75, VLOOKUP(F$2, Percentiles!$A$45:$I$59, 6, FALSE), perc_90, VLOOKUP(F$2, Percentiles!$A$45:$I$59, 7, FALSE), perc_95, VLOOKUP(F$2, Percentiles!$A$45:$I$59, 8, FALSE), perc_85, perc_75 + (perc_90 - perc_75) * (2/3), converted_stat, '2K_Ratings'!F242, IF(bbgm_stat &gt;= perc_95, converted_stat * 3, IF(bbgm_stat &gt;= perc_90, converted_stat * 2, IF(bbgm_stat &gt;= perc_85, converted_stat * 1.5, converted_stat)))))</f>
        <v/>
      </c>
      <c r="G242" s="30" t="str">
        <f t="array" ref="G242">IF($A242="", "", LET(bbgm_stat, INDEX(Players!$A241:$P241, MATCH(G$2, Players!$A$1:$P$1, 0)), perc_75, VLOOKUP(G$2, Percentiles!$A$45:$I$59, 6, FALSE), perc_90, VLOOKUP(G$2, Percentiles!$A$45:$I$59, 7, FALSE), perc_95, VLOOKUP(G$2, Percentiles!$A$45:$I$59, 8, FALSE), perc_85, perc_75 + (perc_90 - perc_75) * (2/3), converted_stat, '2K_Ratings'!G242, IF(bbgm_stat &gt;= perc_95, converted_stat * 3, IF(bbgm_stat &gt;= perc_90, converted_stat * 2, IF(bbgm_stat &gt;= perc_85, converted_stat * 1.5, converted_stat)))))</f>
        <v/>
      </c>
      <c r="H242" s="30" t="str">
        <f t="array" ref="H242">IF($A242="", "", LET(bbgm_stat, INDEX(Players!$A241:$P241, MATCH(H$2, Players!$A$1:$P$1, 0)), perc_75, VLOOKUP(H$2, Percentiles!$A$45:$I$59, 6, FALSE), perc_90, VLOOKUP(H$2, Percentiles!$A$45:$I$59, 7, FALSE), perc_95, VLOOKUP(H$2, Percentiles!$A$45:$I$59, 8, FALSE), perc_85, perc_75 + (perc_90 - perc_75) * (2/3), converted_stat, '2K_Ratings'!H242, IF(bbgm_stat &gt;= perc_95, converted_stat * 3, IF(bbgm_stat &gt;= perc_90, converted_stat * 2, IF(bbgm_stat &gt;= perc_85, converted_stat * 1.5, converted_stat)))))</f>
        <v/>
      </c>
      <c r="I242" s="30" t="str">
        <f t="array" ref="I242">IF($A242="", "", LET(bbgm_stat, INDEX(Players!$A241:$P241, MATCH(I$2, Players!$A$1:$P$1, 0)), perc_75, VLOOKUP(I$2, Percentiles!$A$45:$I$59, 6, FALSE), perc_90, VLOOKUP(I$2, Percentiles!$A$45:$I$59, 7, FALSE), perc_95, VLOOKUP(I$2, Percentiles!$A$45:$I$59, 8, FALSE), perc_85, perc_75 + (perc_90 - perc_75) * (2/3), converted_stat, '2K_Ratings'!I242, IF(bbgm_stat &gt;= perc_95, converted_stat * 3, IF(bbgm_stat &gt;= perc_90, converted_stat * 2, IF(bbgm_stat &gt;= perc_85, converted_stat * 1.5, converted_stat)))))</f>
        <v/>
      </c>
      <c r="J242" s="30" t="str">
        <f t="array" ref="J242">IF($A242="", "", LET(bbgm_stat, INDEX(Players!$A241:$P241, MATCH(J$2, Players!$A$1:$P$1, 0)), perc_75, VLOOKUP(J$2, Percentiles!$A$45:$I$59, 6, FALSE), perc_90, VLOOKUP(J$2, Percentiles!$A$45:$I$59, 7, FALSE), perc_95, VLOOKUP(J$2, Percentiles!$A$45:$I$59, 8, FALSE), perc_85, perc_75 + (perc_90 - perc_75) * (2/3), converted_stat, '2K_Ratings'!J242, IF(bbgm_stat &gt;= perc_95, converted_stat * 3, IF(bbgm_stat &gt;= perc_90, converted_stat * 2, IF(bbgm_stat &gt;= perc_85, converted_stat * 1.5, converted_stat)))))</f>
        <v/>
      </c>
      <c r="K242" s="30" t="str">
        <f t="array" ref="K242">IF($A242="", "", LET(bbgm_stat, INDEX(Players!$A241:$P241, MATCH(K$2, Players!$A$1:$P$1, 0)), perc_75, VLOOKUP(K$2, Percentiles!$A$45:$I$59, 6, FALSE), perc_90, VLOOKUP(K$2, Percentiles!$A$45:$I$59, 7, FALSE), perc_95, VLOOKUP(K$2, Percentiles!$A$45:$I$59, 8, FALSE), perc_85, perc_75 + (perc_90 - perc_75) * (2/3), converted_stat, '2K_Ratings'!K242, IF(bbgm_stat &gt;= perc_95, converted_stat * 3, IF(bbgm_stat &gt;= perc_90, converted_stat * 2, IF(bbgm_stat &gt;= perc_85, converted_stat * 1.5, converted_stat)))))</f>
        <v/>
      </c>
      <c r="L242" s="30" t="str">
        <f t="array" ref="L242">IF($A242="", "", LET(bbgm_stat, INDEX(Players!$A241:$P241, MATCH(L$2, Players!$A$1:$P$1, 0)), perc_75, VLOOKUP(L$2, Percentiles!$A$45:$I$59, 6, FALSE), perc_90, VLOOKUP(L$2, Percentiles!$A$45:$I$59, 7, FALSE), perc_95, VLOOKUP(L$2, Percentiles!$A$45:$I$59, 8, FALSE), perc_85, perc_75 + (perc_90 - perc_75) * (2/3), converted_stat, '2K_Ratings'!L242, IF(bbgm_stat &gt;= perc_95, converted_stat * 3, IF(bbgm_stat &gt;= perc_90, converted_stat * 2, IF(bbgm_stat &gt;= perc_85, converted_stat * 1.5, converted_stat)))))</f>
        <v/>
      </c>
      <c r="M242" s="30" t="str">
        <f t="array" ref="M242">IF($A242="", "", LET(bbgm_stat, INDEX(Players!$A241:$P241, MATCH(M$2, Players!$A$1:$P$1, 0)), perc_75, VLOOKUP(M$2, Percentiles!$A$45:$I$59, 6, FALSE), perc_90, VLOOKUP(M$2, Percentiles!$A$45:$I$59, 7, FALSE), perc_95, VLOOKUP(M$2, Percentiles!$A$45:$I$59, 8, FALSE), perc_85, perc_75 + (perc_90 - perc_75) * (2/3), converted_stat, '2K_Ratings'!M242, IF(bbgm_stat &gt;= perc_95, converted_stat * 3, IF(bbgm_stat &gt;= perc_90, converted_stat * 2, IF(bbgm_stat &gt;= perc_85, converted_stat * 1.5, converted_stat)))))</f>
        <v/>
      </c>
      <c r="N242" s="30" t="str">
        <f t="array" ref="N242">IF($A242="", "", LET(bbgm_stat, INDEX(Players!$A241:$P241, MATCH(N$2, Players!$A$1:$P$1, 0)), perc_75, VLOOKUP(N$2, Percentiles!$A$45:$I$59, 6, FALSE), perc_90, VLOOKUP(N$2, Percentiles!$A$45:$I$59, 7, FALSE), perc_95, VLOOKUP(N$2, Percentiles!$A$45:$I$59, 8, FALSE), perc_85, perc_75 + (perc_90 - perc_75) * (2/3), converted_stat, '2K_Ratings'!N242, IF(bbgm_stat &gt;= perc_95, converted_stat * 3, IF(bbgm_stat &gt;= perc_90, converted_stat * 2, IF(bbgm_stat &gt;= perc_85, converted_stat * 1.5, converted_stat)))))</f>
        <v/>
      </c>
      <c r="O242" s="30" t="str">
        <f t="array" ref="O242">IF($A242="", "", LET(bbgm_stat, INDEX(Players!$A241:$P241, MATCH(O$2, Players!$A$1:$P$1, 0)), perc_75, VLOOKUP(O$2, Percentiles!$A$45:$I$59, 6, FALSE), perc_90, VLOOKUP(O$2, Percentiles!$A$45:$I$59, 7, FALSE), perc_95, VLOOKUP(O$2, Percentiles!$A$45:$I$59, 8, FALSE), perc_85, perc_75 + (perc_90 - perc_75) * (2/3), converted_stat, '2K_Ratings'!O242, IF(bbgm_stat &gt;= perc_95, converted_stat * 3, IF(bbgm_stat &gt;= perc_90, converted_stat * 2, IF(bbgm_stat &gt;= perc_85, converted_stat * 1.5, converted_stat)))))</f>
        <v/>
      </c>
      <c r="P242" s="30" t="str">
        <f t="array" ref="P242">IF($A242="", "", LET(bbgm_stat, INDEX(Players!$A241:$P241, MATCH(P$2, Players!$A$1:$P$1, 0)), perc_75, VLOOKUP(P$2, Percentiles!$A$45:$I$59, 6, FALSE), perc_90, VLOOKUP(P$2, Percentiles!$A$45:$I$59, 7, FALSE), perc_95, VLOOKUP(P$2, Percentiles!$A$45:$I$59, 8, FALSE), perc_85, perc_75 + (perc_90 - perc_75) * (2/3), converted_stat, '2K_Ratings'!P242, IF(bbgm_stat &gt;= perc_95, converted_stat * 3, IF(bbgm_stat &gt;= perc_90, converted_stat * 2, IF(bbgm_stat &gt;= perc_85, converted_stat * 1.5, converted_stat)))))</f>
        <v/>
      </c>
      <c r="Q242" s="30" t="str">
        <f t="array" ref="Q242">IF($A242="", "", LET(bbgm_stat, INDEX(Players!$A241:$P241, MATCH(Q$2, Players!$A$1:$P$1, 0)), perc_75, VLOOKUP(Q$2, Percentiles!$A$45:$I$59, 6, FALSE), perc_90, VLOOKUP(Q$2, Percentiles!$A$45:$I$59, 7, FALSE), perc_95, VLOOKUP(Q$2, Percentiles!$A$45:$I$59, 8, FALSE), perc_85, perc_75 + (perc_90 - perc_75) * (2/3), converted_stat, '2K_Ratings'!Q242, IF(bbgm_stat &gt;= perc_95, converted_stat * 3, IF(bbgm_stat &gt;= perc_90, converted_stat * 2, IF(bbgm_stat &gt;= perc_85, converted_stat * 1.5, converted_stat)))))</f>
        <v/>
      </c>
      <c r="R242" s="30" t="str">
        <f t="array" ref="R242">IF($A242="", "", LET(bbgm_stat, INDEX(Players!$A241:$P241, MATCH(R$2, Players!$A$1:$P$1, 0)), perc_75, VLOOKUP(R$2, Percentiles!$A$45:$I$59, 6, FALSE), perc_90, VLOOKUP(R$2, Percentiles!$A$45:$I$59, 7, FALSE), perc_95, VLOOKUP(R$2, Percentiles!$A$45:$I$59, 8, FALSE), perc_85, perc_75 + (perc_90 - perc_75) * (2/3), converted_stat, '2K_Ratings'!R242, IF(bbgm_stat &gt;= perc_95, converted_stat * 3, IF(bbgm_stat &gt;= perc_90, converted_stat * 2, IF(bbgm_stat &gt;= perc_85, converted_stat * 1.5, converted_stat)))))</f>
        <v/>
      </c>
      <c r="S242" s="30" t="str">
        <f t="array" ref="S242">IF($A242="", "", LET(bbgm_stat, INDEX(Players!$A241:$P241, MATCH(S$2, Players!$A$1:$P$1, 0)), perc_75, VLOOKUP(S$2, Percentiles!$A$45:$I$59, 6, FALSE), perc_90, VLOOKUP(S$2, Percentiles!$A$45:$I$59, 7, FALSE), perc_95, VLOOKUP(S$2, Percentiles!$A$45:$I$59, 8, FALSE), perc_85, perc_75 + (perc_90 - perc_75) * (2/3), converted_stat, '2K_Ratings'!S242, IF(bbgm_stat &gt;= perc_95, converted_stat * 3, IF(bbgm_stat &gt;= perc_90, converted_stat * 2, IF(bbgm_stat &gt;= perc_85, converted_stat * 1.5, converted_stat)))))</f>
        <v/>
      </c>
      <c r="T242" s="30" t="str">
        <f t="array" ref="T242">IF($A242="", "", LET(bbgm_stat, INDEX(Players!$A241:$P241, MATCH(T$2, Players!$A$1:$P$1, 0)), perc_75, VLOOKUP(T$2, Percentiles!$A$45:$I$59, 6, FALSE), perc_90, VLOOKUP(T$2, Percentiles!$A$45:$I$59, 7, FALSE), perc_95, VLOOKUP(T$2, Percentiles!$A$45:$I$59, 8, FALSE), perc_85, perc_75 + (perc_90 - perc_75) * (2/3), converted_stat, '2K_Ratings'!T242, IF(bbgm_stat &gt;= perc_95, converted_stat * 3, IF(bbgm_stat &gt;= perc_90, converted_stat * 2, IF(bbgm_stat &gt;= perc_85, converted_stat * 1.5, converted_stat)))))</f>
        <v/>
      </c>
      <c r="U242" s="30" t="str">
        <f t="array" ref="U242">IF($A242="", "", LET(bbgm_stat, INDEX(Players!$A241:$P241, MATCH(U$2, Players!$A$1:$P$1, 0)), perc_75, VLOOKUP(U$2, Percentiles!$A$45:$I$59, 6, FALSE), perc_90, VLOOKUP(U$2, Percentiles!$A$45:$I$59, 7, FALSE), perc_95, VLOOKUP(U$2, Percentiles!$A$45:$I$59, 8, FALSE), perc_85, perc_75 + (perc_90 - perc_75) * (2/3), converted_stat, '2K_Ratings'!U242, IF(bbgm_stat &gt;= perc_95, converted_stat * 3, IF(bbgm_stat &gt;= perc_90, converted_stat * 2, IF(bbgm_stat &gt;= perc_85, converted_stat * 1.5, converted_stat)))))</f>
        <v/>
      </c>
      <c r="V242" s="30" t="str">
        <f t="array" ref="V242">IF($A242="", "", LET(bbgm_stat, INDEX(Players!$A241:$P241, MATCH(V$2, Players!$A$1:$P$1, 0)), perc_75, VLOOKUP(V$2, Percentiles!$A$45:$I$59, 6, FALSE), perc_90, VLOOKUP(V$2, Percentiles!$A$45:$I$59, 7, FALSE), perc_95, VLOOKUP(V$2, Percentiles!$A$45:$I$59, 8, FALSE), perc_85, perc_75 + (perc_90 - perc_75) * (2/3), converted_stat, '2K_Ratings'!V242, IF(bbgm_stat &gt;= perc_95, converted_stat * 3, IF(bbgm_stat &gt;= perc_90, converted_stat * 2, IF(bbgm_stat &gt;= perc_85, converted_stat * 1.5, converted_stat)))))</f>
        <v/>
      </c>
      <c r="W242" s="30" t="str">
        <f t="array" ref="W242">IF($A242="", "", LET(bbgm_stat, INDEX(Players!$A241:$P241, MATCH(W$2, Players!$A$1:$P$1, 0)), perc_75, VLOOKUP(W$2, Percentiles!$A$45:$I$59, 6, FALSE), perc_90, VLOOKUP(W$2, Percentiles!$A$45:$I$59, 7, FALSE), perc_95, VLOOKUP(W$2, Percentiles!$A$45:$I$59, 8, FALSE), perc_85, perc_75 + (perc_90 - perc_75) * (2/3), converted_stat, '2K_Ratings'!W242, IF(bbgm_stat &gt;= perc_95, converted_stat * 3, IF(bbgm_stat &gt;= perc_90, converted_stat * 2, IF(bbgm_stat &gt;= perc_85, converted_stat * 1.5, converted_stat)))))</f>
        <v/>
      </c>
    </row>
    <row r="243">
      <c r="A243" s="30"/>
      <c r="B243" s="30" t="str">
        <f t="array" ref="B243">IF($A243="", "", LET(bbgm_stat, INDEX(Players!$A242:$P242, MATCH(B$2, Players!$A$1:$P$1, 0)), perc_75, VLOOKUP(B$2, Percentiles!$A$45:$I$59, 6, FALSE), perc_90, VLOOKUP(B$2, Percentiles!$A$45:$I$59, 7, FALSE), perc_95, VLOOKUP(B$2, Percentiles!$A$45:$I$59, 8, FALSE), perc_85, perc_75 + (perc_90 - perc_75) * (2/3), converted_stat, '2K_Ratings'!B243, IF(bbgm_stat &gt;= perc_95, converted_stat * 3, IF(bbgm_stat &gt;= perc_90, converted_stat * 2, IF(bbgm_stat &gt;= perc_85, converted_stat * 1.5, converted_stat)))))</f>
        <v/>
      </c>
      <c r="C243" s="30" t="str">
        <f t="array" ref="C243">IF($A243="", "", LET(bbgm_stat, INDEX(Players!$A242:$P242, MATCH(C$2, Players!$A$1:$P$1, 0)), perc_75, VLOOKUP(C$2, Percentiles!$A$45:$I$59, 6, FALSE), perc_90, VLOOKUP(C$2, Percentiles!$A$45:$I$59, 7, FALSE), perc_95, VLOOKUP(C$2, Percentiles!$A$45:$I$59, 8, FALSE), perc_85, perc_75 + (perc_90 - perc_75) * (2/3), converted_stat, '2K_Ratings'!C243, IF(bbgm_stat &gt;= perc_95, converted_stat * 3, IF(bbgm_stat &gt;= perc_90, converted_stat * 2, IF(bbgm_stat &gt;= perc_85, converted_stat * 1.5, converted_stat)))))</f>
        <v/>
      </c>
      <c r="D243" s="30" t="str">
        <f t="array" ref="D243">IF($A243="", "", LET(bbgm_stat, INDEX(Players!$A242:$P242, MATCH(D$2, Players!$A$1:$P$1, 0)), perc_75, VLOOKUP(D$2, Percentiles!$A$45:$I$59, 6, FALSE), perc_90, VLOOKUP(D$2, Percentiles!$A$45:$I$59, 7, FALSE), perc_95, VLOOKUP(D$2, Percentiles!$A$45:$I$59, 8, FALSE), perc_85, perc_75 + (perc_90 - perc_75) * (2/3), converted_stat, '2K_Ratings'!D243, IF(bbgm_stat &gt;= perc_95, converted_stat * 3, IF(bbgm_stat &gt;= perc_90, converted_stat * 2, IF(bbgm_stat &gt;= perc_85, converted_stat * 1.5, converted_stat)))))</f>
        <v/>
      </c>
      <c r="E243" s="30" t="str">
        <f t="array" ref="E243">IF($A243="", "", LET(bbgm_stat, INDEX(Players!$A242:$P242, MATCH(E$2, Players!$A$1:$P$1, 0)), perc_75, VLOOKUP(E$2, Percentiles!$A$45:$I$59, 6, FALSE), perc_90, VLOOKUP(E$2, Percentiles!$A$45:$I$59, 7, FALSE), perc_95, VLOOKUP(E$2, Percentiles!$A$45:$I$59, 8, FALSE), perc_85, perc_75 + (perc_90 - perc_75) * (2/3), converted_stat, '2K_Ratings'!E243, IF(bbgm_stat &gt;= perc_95, converted_stat * 3, IF(bbgm_stat &gt;= perc_90, converted_stat * 2, IF(bbgm_stat &gt;= perc_85, converted_stat * 1.5, converted_stat)))))</f>
        <v/>
      </c>
      <c r="F243" s="30" t="str">
        <f t="array" ref="F243">IF($A243="", "", LET(bbgm_stat, INDEX(Players!$A242:$P242, MATCH(F$2, Players!$A$1:$P$1, 0)), perc_75, VLOOKUP(F$2, Percentiles!$A$45:$I$59, 6, FALSE), perc_90, VLOOKUP(F$2, Percentiles!$A$45:$I$59, 7, FALSE), perc_95, VLOOKUP(F$2, Percentiles!$A$45:$I$59, 8, FALSE), perc_85, perc_75 + (perc_90 - perc_75) * (2/3), converted_stat, '2K_Ratings'!F243, IF(bbgm_stat &gt;= perc_95, converted_stat * 3, IF(bbgm_stat &gt;= perc_90, converted_stat * 2, IF(bbgm_stat &gt;= perc_85, converted_stat * 1.5, converted_stat)))))</f>
        <v/>
      </c>
      <c r="G243" s="30" t="str">
        <f t="array" ref="G243">IF($A243="", "", LET(bbgm_stat, INDEX(Players!$A242:$P242, MATCH(G$2, Players!$A$1:$P$1, 0)), perc_75, VLOOKUP(G$2, Percentiles!$A$45:$I$59, 6, FALSE), perc_90, VLOOKUP(G$2, Percentiles!$A$45:$I$59, 7, FALSE), perc_95, VLOOKUP(G$2, Percentiles!$A$45:$I$59, 8, FALSE), perc_85, perc_75 + (perc_90 - perc_75) * (2/3), converted_stat, '2K_Ratings'!G243, IF(bbgm_stat &gt;= perc_95, converted_stat * 3, IF(bbgm_stat &gt;= perc_90, converted_stat * 2, IF(bbgm_stat &gt;= perc_85, converted_stat * 1.5, converted_stat)))))</f>
        <v/>
      </c>
      <c r="H243" s="30" t="str">
        <f t="array" ref="H243">IF($A243="", "", LET(bbgm_stat, INDEX(Players!$A242:$P242, MATCH(H$2, Players!$A$1:$P$1, 0)), perc_75, VLOOKUP(H$2, Percentiles!$A$45:$I$59, 6, FALSE), perc_90, VLOOKUP(H$2, Percentiles!$A$45:$I$59, 7, FALSE), perc_95, VLOOKUP(H$2, Percentiles!$A$45:$I$59, 8, FALSE), perc_85, perc_75 + (perc_90 - perc_75) * (2/3), converted_stat, '2K_Ratings'!H243, IF(bbgm_stat &gt;= perc_95, converted_stat * 3, IF(bbgm_stat &gt;= perc_90, converted_stat * 2, IF(bbgm_stat &gt;= perc_85, converted_stat * 1.5, converted_stat)))))</f>
        <v/>
      </c>
      <c r="I243" s="30" t="str">
        <f t="array" ref="I243">IF($A243="", "", LET(bbgm_stat, INDEX(Players!$A242:$P242, MATCH(I$2, Players!$A$1:$P$1, 0)), perc_75, VLOOKUP(I$2, Percentiles!$A$45:$I$59, 6, FALSE), perc_90, VLOOKUP(I$2, Percentiles!$A$45:$I$59, 7, FALSE), perc_95, VLOOKUP(I$2, Percentiles!$A$45:$I$59, 8, FALSE), perc_85, perc_75 + (perc_90 - perc_75) * (2/3), converted_stat, '2K_Ratings'!I243, IF(bbgm_stat &gt;= perc_95, converted_stat * 3, IF(bbgm_stat &gt;= perc_90, converted_stat * 2, IF(bbgm_stat &gt;= perc_85, converted_stat * 1.5, converted_stat)))))</f>
        <v/>
      </c>
      <c r="J243" s="30" t="str">
        <f t="array" ref="J243">IF($A243="", "", LET(bbgm_stat, INDEX(Players!$A242:$P242, MATCH(J$2, Players!$A$1:$P$1, 0)), perc_75, VLOOKUP(J$2, Percentiles!$A$45:$I$59, 6, FALSE), perc_90, VLOOKUP(J$2, Percentiles!$A$45:$I$59, 7, FALSE), perc_95, VLOOKUP(J$2, Percentiles!$A$45:$I$59, 8, FALSE), perc_85, perc_75 + (perc_90 - perc_75) * (2/3), converted_stat, '2K_Ratings'!J243, IF(bbgm_stat &gt;= perc_95, converted_stat * 3, IF(bbgm_stat &gt;= perc_90, converted_stat * 2, IF(bbgm_stat &gt;= perc_85, converted_stat * 1.5, converted_stat)))))</f>
        <v/>
      </c>
      <c r="K243" s="30" t="str">
        <f t="array" ref="K243">IF($A243="", "", LET(bbgm_stat, INDEX(Players!$A242:$P242, MATCH(K$2, Players!$A$1:$P$1, 0)), perc_75, VLOOKUP(K$2, Percentiles!$A$45:$I$59, 6, FALSE), perc_90, VLOOKUP(K$2, Percentiles!$A$45:$I$59, 7, FALSE), perc_95, VLOOKUP(K$2, Percentiles!$A$45:$I$59, 8, FALSE), perc_85, perc_75 + (perc_90 - perc_75) * (2/3), converted_stat, '2K_Ratings'!K243, IF(bbgm_stat &gt;= perc_95, converted_stat * 3, IF(bbgm_stat &gt;= perc_90, converted_stat * 2, IF(bbgm_stat &gt;= perc_85, converted_stat * 1.5, converted_stat)))))</f>
        <v/>
      </c>
      <c r="L243" s="30" t="str">
        <f t="array" ref="L243">IF($A243="", "", LET(bbgm_stat, INDEX(Players!$A242:$P242, MATCH(L$2, Players!$A$1:$P$1, 0)), perc_75, VLOOKUP(L$2, Percentiles!$A$45:$I$59, 6, FALSE), perc_90, VLOOKUP(L$2, Percentiles!$A$45:$I$59, 7, FALSE), perc_95, VLOOKUP(L$2, Percentiles!$A$45:$I$59, 8, FALSE), perc_85, perc_75 + (perc_90 - perc_75) * (2/3), converted_stat, '2K_Ratings'!L243, IF(bbgm_stat &gt;= perc_95, converted_stat * 3, IF(bbgm_stat &gt;= perc_90, converted_stat * 2, IF(bbgm_stat &gt;= perc_85, converted_stat * 1.5, converted_stat)))))</f>
        <v/>
      </c>
      <c r="M243" s="30" t="str">
        <f t="array" ref="M243">IF($A243="", "", LET(bbgm_stat, INDEX(Players!$A242:$P242, MATCH(M$2, Players!$A$1:$P$1, 0)), perc_75, VLOOKUP(M$2, Percentiles!$A$45:$I$59, 6, FALSE), perc_90, VLOOKUP(M$2, Percentiles!$A$45:$I$59, 7, FALSE), perc_95, VLOOKUP(M$2, Percentiles!$A$45:$I$59, 8, FALSE), perc_85, perc_75 + (perc_90 - perc_75) * (2/3), converted_stat, '2K_Ratings'!M243, IF(bbgm_stat &gt;= perc_95, converted_stat * 3, IF(bbgm_stat &gt;= perc_90, converted_stat * 2, IF(bbgm_stat &gt;= perc_85, converted_stat * 1.5, converted_stat)))))</f>
        <v/>
      </c>
      <c r="N243" s="30" t="str">
        <f t="array" ref="N243">IF($A243="", "", LET(bbgm_stat, INDEX(Players!$A242:$P242, MATCH(N$2, Players!$A$1:$P$1, 0)), perc_75, VLOOKUP(N$2, Percentiles!$A$45:$I$59, 6, FALSE), perc_90, VLOOKUP(N$2, Percentiles!$A$45:$I$59, 7, FALSE), perc_95, VLOOKUP(N$2, Percentiles!$A$45:$I$59, 8, FALSE), perc_85, perc_75 + (perc_90 - perc_75) * (2/3), converted_stat, '2K_Ratings'!N243, IF(bbgm_stat &gt;= perc_95, converted_stat * 3, IF(bbgm_stat &gt;= perc_90, converted_stat * 2, IF(bbgm_stat &gt;= perc_85, converted_stat * 1.5, converted_stat)))))</f>
        <v/>
      </c>
      <c r="O243" s="30" t="str">
        <f t="array" ref="O243">IF($A243="", "", LET(bbgm_stat, INDEX(Players!$A242:$P242, MATCH(O$2, Players!$A$1:$P$1, 0)), perc_75, VLOOKUP(O$2, Percentiles!$A$45:$I$59, 6, FALSE), perc_90, VLOOKUP(O$2, Percentiles!$A$45:$I$59, 7, FALSE), perc_95, VLOOKUP(O$2, Percentiles!$A$45:$I$59, 8, FALSE), perc_85, perc_75 + (perc_90 - perc_75) * (2/3), converted_stat, '2K_Ratings'!O243, IF(bbgm_stat &gt;= perc_95, converted_stat * 3, IF(bbgm_stat &gt;= perc_90, converted_stat * 2, IF(bbgm_stat &gt;= perc_85, converted_stat * 1.5, converted_stat)))))</f>
        <v/>
      </c>
      <c r="P243" s="30" t="str">
        <f t="array" ref="P243">IF($A243="", "", LET(bbgm_stat, INDEX(Players!$A242:$P242, MATCH(P$2, Players!$A$1:$P$1, 0)), perc_75, VLOOKUP(P$2, Percentiles!$A$45:$I$59, 6, FALSE), perc_90, VLOOKUP(P$2, Percentiles!$A$45:$I$59, 7, FALSE), perc_95, VLOOKUP(P$2, Percentiles!$A$45:$I$59, 8, FALSE), perc_85, perc_75 + (perc_90 - perc_75) * (2/3), converted_stat, '2K_Ratings'!P243, IF(bbgm_stat &gt;= perc_95, converted_stat * 3, IF(bbgm_stat &gt;= perc_90, converted_stat * 2, IF(bbgm_stat &gt;= perc_85, converted_stat * 1.5, converted_stat)))))</f>
        <v/>
      </c>
      <c r="Q243" s="30" t="str">
        <f t="array" ref="Q243">IF($A243="", "", LET(bbgm_stat, INDEX(Players!$A242:$P242, MATCH(Q$2, Players!$A$1:$P$1, 0)), perc_75, VLOOKUP(Q$2, Percentiles!$A$45:$I$59, 6, FALSE), perc_90, VLOOKUP(Q$2, Percentiles!$A$45:$I$59, 7, FALSE), perc_95, VLOOKUP(Q$2, Percentiles!$A$45:$I$59, 8, FALSE), perc_85, perc_75 + (perc_90 - perc_75) * (2/3), converted_stat, '2K_Ratings'!Q243, IF(bbgm_stat &gt;= perc_95, converted_stat * 3, IF(bbgm_stat &gt;= perc_90, converted_stat * 2, IF(bbgm_stat &gt;= perc_85, converted_stat * 1.5, converted_stat)))))</f>
        <v/>
      </c>
      <c r="R243" s="30" t="str">
        <f t="array" ref="R243">IF($A243="", "", LET(bbgm_stat, INDEX(Players!$A242:$P242, MATCH(R$2, Players!$A$1:$P$1, 0)), perc_75, VLOOKUP(R$2, Percentiles!$A$45:$I$59, 6, FALSE), perc_90, VLOOKUP(R$2, Percentiles!$A$45:$I$59, 7, FALSE), perc_95, VLOOKUP(R$2, Percentiles!$A$45:$I$59, 8, FALSE), perc_85, perc_75 + (perc_90 - perc_75) * (2/3), converted_stat, '2K_Ratings'!R243, IF(bbgm_stat &gt;= perc_95, converted_stat * 3, IF(bbgm_stat &gt;= perc_90, converted_stat * 2, IF(bbgm_stat &gt;= perc_85, converted_stat * 1.5, converted_stat)))))</f>
        <v/>
      </c>
      <c r="S243" s="30" t="str">
        <f t="array" ref="S243">IF($A243="", "", LET(bbgm_stat, INDEX(Players!$A242:$P242, MATCH(S$2, Players!$A$1:$P$1, 0)), perc_75, VLOOKUP(S$2, Percentiles!$A$45:$I$59, 6, FALSE), perc_90, VLOOKUP(S$2, Percentiles!$A$45:$I$59, 7, FALSE), perc_95, VLOOKUP(S$2, Percentiles!$A$45:$I$59, 8, FALSE), perc_85, perc_75 + (perc_90 - perc_75) * (2/3), converted_stat, '2K_Ratings'!S243, IF(bbgm_stat &gt;= perc_95, converted_stat * 3, IF(bbgm_stat &gt;= perc_90, converted_stat * 2, IF(bbgm_stat &gt;= perc_85, converted_stat * 1.5, converted_stat)))))</f>
        <v/>
      </c>
      <c r="T243" s="30" t="str">
        <f t="array" ref="T243">IF($A243="", "", LET(bbgm_stat, INDEX(Players!$A242:$P242, MATCH(T$2, Players!$A$1:$P$1, 0)), perc_75, VLOOKUP(T$2, Percentiles!$A$45:$I$59, 6, FALSE), perc_90, VLOOKUP(T$2, Percentiles!$A$45:$I$59, 7, FALSE), perc_95, VLOOKUP(T$2, Percentiles!$A$45:$I$59, 8, FALSE), perc_85, perc_75 + (perc_90 - perc_75) * (2/3), converted_stat, '2K_Ratings'!T243, IF(bbgm_stat &gt;= perc_95, converted_stat * 3, IF(bbgm_stat &gt;= perc_90, converted_stat * 2, IF(bbgm_stat &gt;= perc_85, converted_stat * 1.5, converted_stat)))))</f>
        <v/>
      </c>
      <c r="U243" s="30" t="str">
        <f t="array" ref="U243">IF($A243="", "", LET(bbgm_stat, INDEX(Players!$A242:$P242, MATCH(U$2, Players!$A$1:$P$1, 0)), perc_75, VLOOKUP(U$2, Percentiles!$A$45:$I$59, 6, FALSE), perc_90, VLOOKUP(U$2, Percentiles!$A$45:$I$59, 7, FALSE), perc_95, VLOOKUP(U$2, Percentiles!$A$45:$I$59, 8, FALSE), perc_85, perc_75 + (perc_90 - perc_75) * (2/3), converted_stat, '2K_Ratings'!U243, IF(bbgm_stat &gt;= perc_95, converted_stat * 3, IF(bbgm_stat &gt;= perc_90, converted_stat * 2, IF(bbgm_stat &gt;= perc_85, converted_stat * 1.5, converted_stat)))))</f>
        <v/>
      </c>
      <c r="V243" s="30" t="str">
        <f t="array" ref="V243">IF($A243="", "", LET(bbgm_stat, INDEX(Players!$A242:$P242, MATCH(V$2, Players!$A$1:$P$1, 0)), perc_75, VLOOKUP(V$2, Percentiles!$A$45:$I$59, 6, FALSE), perc_90, VLOOKUP(V$2, Percentiles!$A$45:$I$59, 7, FALSE), perc_95, VLOOKUP(V$2, Percentiles!$A$45:$I$59, 8, FALSE), perc_85, perc_75 + (perc_90 - perc_75) * (2/3), converted_stat, '2K_Ratings'!V243, IF(bbgm_stat &gt;= perc_95, converted_stat * 3, IF(bbgm_stat &gt;= perc_90, converted_stat * 2, IF(bbgm_stat &gt;= perc_85, converted_stat * 1.5, converted_stat)))))</f>
        <v/>
      </c>
      <c r="W243" s="30" t="str">
        <f t="array" ref="W243">IF($A243="", "", LET(bbgm_stat, INDEX(Players!$A242:$P242, MATCH(W$2, Players!$A$1:$P$1, 0)), perc_75, VLOOKUP(W$2, Percentiles!$A$45:$I$59, 6, FALSE), perc_90, VLOOKUP(W$2, Percentiles!$A$45:$I$59, 7, FALSE), perc_95, VLOOKUP(W$2, Percentiles!$A$45:$I$59, 8, FALSE), perc_85, perc_75 + (perc_90 - perc_75) * (2/3), converted_stat, '2K_Ratings'!W243, IF(bbgm_stat &gt;= perc_95, converted_stat * 3, IF(bbgm_stat &gt;= perc_90, converted_stat * 2, IF(bbgm_stat &gt;= perc_85, converted_stat * 1.5, converted_stat)))))</f>
        <v/>
      </c>
    </row>
    <row r="244">
      <c r="A244" s="30"/>
      <c r="B244" s="30" t="str">
        <f t="array" ref="B244">IF($A244="", "", LET(bbgm_stat, INDEX(Players!$A243:$P243, MATCH(B$2, Players!$A$1:$P$1, 0)), perc_75, VLOOKUP(B$2, Percentiles!$A$45:$I$59, 6, FALSE), perc_90, VLOOKUP(B$2, Percentiles!$A$45:$I$59, 7, FALSE), perc_95, VLOOKUP(B$2, Percentiles!$A$45:$I$59, 8, FALSE), perc_85, perc_75 + (perc_90 - perc_75) * (2/3), converted_stat, '2K_Ratings'!B244, IF(bbgm_stat &gt;= perc_95, converted_stat * 3, IF(bbgm_stat &gt;= perc_90, converted_stat * 2, IF(bbgm_stat &gt;= perc_85, converted_stat * 1.5, converted_stat)))))</f>
        <v/>
      </c>
      <c r="C244" s="30" t="str">
        <f t="array" ref="C244">IF($A244="", "", LET(bbgm_stat, INDEX(Players!$A243:$P243, MATCH(C$2, Players!$A$1:$P$1, 0)), perc_75, VLOOKUP(C$2, Percentiles!$A$45:$I$59, 6, FALSE), perc_90, VLOOKUP(C$2, Percentiles!$A$45:$I$59, 7, FALSE), perc_95, VLOOKUP(C$2, Percentiles!$A$45:$I$59, 8, FALSE), perc_85, perc_75 + (perc_90 - perc_75) * (2/3), converted_stat, '2K_Ratings'!C244, IF(bbgm_stat &gt;= perc_95, converted_stat * 3, IF(bbgm_stat &gt;= perc_90, converted_stat * 2, IF(bbgm_stat &gt;= perc_85, converted_stat * 1.5, converted_stat)))))</f>
        <v/>
      </c>
      <c r="D244" s="30" t="str">
        <f t="array" ref="D244">IF($A244="", "", LET(bbgm_stat, INDEX(Players!$A243:$P243, MATCH(D$2, Players!$A$1:$P$1, 0)), perc_75, VLOOKUP(D$2, Percentiles!$A$45:$I$59, 6, FALSE), perc_90, VLOOKUP(D$2, Percentiles!$A$45:$I$59, 7, FALSE), perc_95, VLOOKUP(D$2, Percentiles!$A$45:$I$59, 8, FALSE), perc_85, perc_75 + (perc_90 - perc_75) * (2/3), converted_stat, '2K_Ratings'!D244, IF(bbgm_stat &gt;= perc_95, converted_stat * 3, IF(bbgm_stat &gt;= perc_90, converted_stat * 2, IF(bbgm_stat &gt;= perc_85, converted_stat * 1.5, converted_stat)))))</f>
        <v/>
      </c>
      <c r="E244" s="30" t="str">
        <f t="array" ref="E244">IF($A244="", "", LET(bbgm_stat, INDEX(Players!$A243:$P243, MATCH(E$2, Players!$A$1:$P$1, 0)), perc_75, VLOOKUP(E$2, Percentiles!$A$45:$I$59, 6, FALSE), perc_90, VLOOKUP(E$2, Percentiles!$A$45:$I$59, 7, FALSE), perc_95, VLOOKUP(E$2, Percentiles!$A$45:$I$59, 8, FALSE), perc_85, perc_75 + (perc_90 - perc_75) * (2/3), converted_stat, '2K_Ratings'!E244, IF(bbgm_stat &gt;= perc_95, converted_stat * 3, IF(bbgm_stat &gt;= perc_90, converted_stat * 2, IF(bbgm_stat &gt;= perc_85, converted_stat * 1.5, converted_stat)))))</f>
        <v/>
      </c>
      <c r="F244" s="30" t="str">
        <f t="array" ref="F244">IF($A244="", "", LET(bbgm_stat, INDEX(Players!$A243:$P243, MATCH(F$2, Players!$A$1:$P$1, 0)), perc_75, VLOOKUP(F$2, Percentiles!$A$45:$I$59, 6, FALSE), perc_90, VLOOKUP(F$2, Percentiles!$A$45:$I$59, 7, FALSE), perc_95, VLOOKUP(F$2, Percentiles!$A$45:$I$59, 8, FALSE), perc_85, perc_75 + (perc_90 - perc_75) * (2/3), converted_stat, '2K_Ratings'!F244, IF(bbgm_stat &gt;= perc_95, converted_stat * 3, IF(bbgm_stat &gt;= perc_90, converted_stat * 2, IF(bbgm_stat &gt;= perc_85, converted_stat * 1.5, converted_stat)))))</f>
        <v/>
      </c>
      <c r="G244" s="30" t="str">
        <f t="array" ref="G244">IF($A244="", "", LET(bbgm_stat, INDEX(Players!$A243:$P243, MATCH(G$2, Players!$A$1:$P$1, 0)), perc_75, VLOOKUP(G$2, Percentiles!$A$45:$I$59, 6, FALSE), perc_90, VLOOKUP(G$2, Percentiles!$A$45:$I$59, 7, FALSE), perc_95, VLOOKUP(G$2, Percentiles!$A$45:$I$59, 8, FALSE), perc_85, perc_75 + (perc_90 - perc_75) * (2/3), converted_stat, '2K_Ratings'!G244, IF(bbgm_stat &gt;= perc_95, converted_stat * 3, IF(bbgm_stat &gt;= perc_90, converted_stat * 2, IF(bbgm_stat &gt;= perc_85, converted_stat * 1.5, converted_stat)))))</f>
        <v/>
      </c>
      <c r="H244" s="30" t="str">
        <f t="array" ref="H244">IF($A244="", "", LET(bbgm_stat, INDEX(Players!$A243:$P243, MATCH(H$2, Players!$A$1:$P$1, 0)), perc_75, VLOOKUP(H$2, Percentiles!$A$45:$I$59, 6, FALSE), perc_90, VLOOKUP(H$2, Percentiles!$A$45:$I$59, 7, FALSE), perc_95, VLOOKUP(H$2, Percentiles!$A$45:$I$59, 8, FALSE), perc_85, perc_75 + (perc_90 - perc_75) * (2/3), converted_stat, '2K_Ratings'!H244, IF(bbgm_stat &gt;= perc_95, converted_stat * 3, IF(bbgm_stat &gt;= perc_90, converted_stat * 2, IF(bbgm_stat &gt;= perc_85, converted_stat * 1.5, converted_stat)))))</f>
        <v/>
      </c>
      <c r="I244" s="30" t="str">
        <f t="array" ref="I244">IF($A244="", "", LET(bbgm_stat, INDEX(Players!$A243:$P243, MATCH(I$2, Players!$A$1:$P$1, 0)), perc_75, VLOOKUP(I$2, Percentiles!$A$45:$I$59, 6, FALSE), perc_90, VLOOKUP(I$2, Percentiles!$A$45:$I$59, 7, FALSE), perc_95, VLOOKUP(I$2, Percentiles!$A$45:$I$59, 8, FALSE), perc_85, perc_75 + (perc_90 - perc_75) * (2/3), converted_stat, '2K_Ratings'!I244, IF(bbgm_stat &gt;= perc_95, converted_stat * 3, IF(bbgm_stat &gt;= perc_90, converted_stat * 2, IF(bbgm_stat &gt;= perc_85, converted_stat * 1.5, converted_stat)))))</f>
        <v/>
      </c>
      <c r="J244" s="30" t="str">
        <f t="array" ref="J244">IF($A244="", "", LET(bbgm_stat, INDEX(Players!$A243:$P243, MATCH(J$2, Players!$A$1:$P$1, 0)), perc_75, VLOOKUP(J$2, Percentiles!$A$45:$I$59, 6, FALSE), perc_90, VLOOKUP(J$2, Percentiles!$A$45:$I$59, 7, FALSE), perc_95, VLOOKUP(J$2, Percentiles!$A$45:$I$59, 8, FALSE), perc_85, perc_75 + (perc_90 - perc_75) * (2/3), converted_stat, '2K_Ratings'!J244, IF(bbgm_stat &gt;= perc_95, converted_stat * 3, IF(bbgm_stat &gt;= perc_90, converted_stat * 2, IF(bbgm_stat &gt;= perc_85, converted_stat * 1.5, converted_stat)))))</f>
        <v/>
      </c>
      <c r="K244" s="30" t="str">
        <f t="array" ref="K244">IF($A244="", "", LET(bbgm_stat, INDEX(Players!$A243:$P243, MATCH(K$2, Players!$A$1:$P$1, 0)), perc_75, VLOOKUP(K$2, Percentiles!$A$45:$I$59, 6, FALSE), perc_90, VLOOKUP(K$2, Percentiles!$A$45:$I$59, 7, FALSE), perc_95, VLOOKUP(K$2, Percentiles!$A$45:$I$59, 8, FALSE), perc_85, perc_75 + (perc_90 - perc_75) * (2/3), converted_stat, '2K_Ratings'!K244, IF(bbgm_stat &gt;= perc_95, converted_stat * 3, IF(bbgm_stat &gt;= perc_90, converted_stat * 2, IF(bbgm_stat &gt;= perc_85, converted_stat * 1.5, converted_stat)))))</f>
        <v/>
      </c>
      <c r="L244" s="30" t="str">
        <f t="array" ref="L244">IF($A244="", "", LET(bbgm_stat, INDEX(Players!$A243:$P243, MATCH(L$2, Players!$A$1:$P$1, 0)), perc_75, VLOOKUP(L$2, Percentiles!$A$45:$I$59, 6, FALSE), perc_90, VLOOKUP(L$2, Percentiles!$A$45:$I$59, 7, FALSE), perc_95, VLOOKUP(L$2, Percentiles!$A$45:$I$59, 8, FALSE), perc_85, perc_75 + (perc_90 - perc_75) * (2/3), converted_stat, '2K_Ratings'!L244, IF(bbgm_stat &gt;= perc_95, converted_stat * 3, IF(bbgm_stat &gt;= perc_90, converted_stat * 2, IF(bbgm_stat &gt;= perc_85, converted_stat * 1.5, converted_stat)))))</f>
        <v/>
      </c>
      <c r="M244" s="30" t="str">
        <f t="array" ref="M244">IF($A244="", "", LET(bbgm_stat, INDEX(Players!$A243:$P243, MATCH(M$2, Players!$A$1:$P$1, 0)), perc_75, VLOOKUP(M$2, Percentiles!$A$45:$I$59, 6, FALSE), perc_90, VLOOKUP(M$2, Percentiles!$A$45:$I$59, 7, FALSE), perc_95, VLOOKUP(M$2, Percentiles!$A$45:$I$59, 8, FALSE), perc_85, perc_75 + (perc_90 - perc_75) * (2/3), converted_stat, '2K_Ratings'!M244, IF(bbgm_stat &gt;= perc_95, converted_stat * 3, IF(bbgm_stat &gt;= perc_90, converted_stat * 2, IF(bbgm_stat &gt;= perc_85, converted_stat * 1.5, converted_stat)))))</f>
        <v/>
      </c>
      <c r="N244" s="30" t="str">
        <f t="array" ref="N244">IF($A244="", "", LET(bbgm_stat, INDEX(Players!$A243:$P243, MATCH(N$2, Players!$A$1:$P$1, 0)), perc_75, VLOOKUP(N$2, Percentiles!$A$45:$I$59, 6, FALSE), perc_90, VLOOKUP(N$2, Percentiles!$A$45:$I$59, 7, FALSE), perc_95, VLOOKUP(N$2, Percentiles!$A$45:$I$59, 8, FALSE), perc_85, perc_75 + (perc_90 - perc_75) * (2/3), converted_stat, '2K_Ratings'!N244, IF(bbgm_stat &gt;= perc_95, converted_stat * 3, IF(bbgm_stat &gt;= perc_90, converted_stat * 2, IF(bbgm_stat &gt;= perc_85, converted_stat * 1.5, converted_stat)))))</f>
        <v/>
      </c>
      <c r="O244" s="30" t="str">
        <f t="array" ref="O244">IF($A244="", "", LET(bbgm_stat, INDEX(Players!$A243:$P243, MATCH(O$2, Players!$A$1:$P$1, 0)), perc_75, VLOOKUP(O$2, Percentiles!$A$45:$I$59, 6, FALSE), perc_90, VLOOKUP(O$2, Percentiles!$A$45:$I$59, 7, FALSE), perc_95, VLOOKUP(O$2, Percentiles!$A$45:$I$59, 8, FALSE), perc_85, perc_75 + (perc_90 - perc_75) * (2/3), converted_stat, '2K_Ratings'!O244, IF(bbgm_stat &gt;= perc_95, converted_stat * 3, IF(bbgm_stat &gt;= perc_90, converted_stat * 2, IF(bbgm_stat &gt;= perc_85, converted_stat * 1.5, converted_stat)))))</f>
        <v/>
      </c>
      <c r="P244" s="30" t="str">
        <f t="array" ref="P244">IF($A244="", "", LET(bbgm_stat, INDEX(Players!$A243:$P243, MATCH(P$2, Players!$A$1:$P$1, 0)), perc_75, VLOOKUP(P$2, Percentiles!$A$45:$I$59, 6, FALSE), perc_90, VLOOKUP(P$2, Percentiles!$A$45:$I$59, 7, FALSE), perc_95, VLOOKUP(P$2, Percentiles!$A$45:$I$59, 8, FALSE), perc_85, perc_75 + (perc_90 - perc_75) * (2/3), converted_stat, '2K_Ratings'!P244, IF(bbgm_stat &gt;= perc_95, converted_stat * 3, IF(bbgm_stat &gt;= perc_90, converted_stat * 2, IF(bbgm_stat &gt;= perc_85, converted_stat * 1.5, converted_stat)))))</f>
        <v/>
      </c>
      <c r="Q244" s="30" t="str">
        <f t="array" ref="Q244">IF($A244="", "", LET(bbgm_stat, INDEX(Players!$A243:$P243, MATCH(Q$2, Players!$A$1:$P$1, 0)), perc_75, VLOOKUP(Q$2, Percentiles!$A$45:$I$59, 6, FALSE), perc_90, VLOOKUP(Q$2, Percentiles!$A$45:$I$59, 7, FALSE), perc_95, VLOOKUP(Q$2, Percentiles!$A$45:$I$59, 8, FALSE), perc_85, perc_75 + (perc_90 - perc_75) * (2/3), converted_stat, '2K_Ratings'!Q244, IF(bbgm_stat &gt;= perc_95, converted_stat * 3, IF(bbgm_stat &gt;= perc_90, converted_stat * 2, IF(bbgm_stat &gt;= perc_85, converted_stat * 1.5, converted_stat)))))</f>
        <v/>
      </c>
      <c r="R244" s="30" t="str">
        <f t="array" ref="R244">IF($A244="", "", LET(bbgm_stat, INDEX(Players!$A243:$P243, MATCH(R$2, Players!$A$1:$P$1, 0)), perc_75, VLOOKUP(R$2, Percentiles!$A$45:$I$59, 6, FALSE), perc_90, VLOOKUP(R$2, Percentiles!$A$45:$I$59, 7, FALSE), perc_95, VLOOKUP(R$2, Percentiles!$A$45:$I$59, 8, FALSE), perc_85, perc_75 + (perc_90 - perc_75) * (2/3), converted_stat, '2K_Ratings'!R244, IF(bbgm_stat &gt;= perc_95, converted_stat * 3, IF(bbgm_stat &gt;= perc_90, converted_stat * 2, IF(bbgm_stat &gt;= perc_85, converted_stat * 1.5, converted_stat)))))</f>
        <v/>
      </c>
      <c r="S244" s="30" t="str">
        <f t="array" ref="S244">IF($A244="", "", LET(bbgm_stat, INDEX(Players!$A243:$P243, MATCH(S$2, Players!$A$1:$P$1, 0)), perc_75, VLOOKUP(S$2, Percentiles!$A$45:$I$59, 6, FALSE), perc_90, VLOOKUP(S$2, Percentiles!$A$45:$I$59, 7, FALSE), perc_95, VLOOKUP(S$2, Percentiles!$A$45:$I$59, 8, FALSE), perc_85, perc_75 + (perc_90 - perc_75) * (2/3), converted_stat, '2K_Ratings'!S244, IF(bbgm_stat &gt;= perc_95, converted_stat * 3, IF(bbgm_stat &gt;= perc_90, converted_stat * 2, IF(bbgm_stat &gt;= perc_85, converted_stat * 1.5, converted_stat)))))</f>
        <v/>
      </c>
      <c r="T244" s="30" t="str">
        <f t="array" ref="T244">IF($A244="", "", LET(bbgm_stat, INDEX(Players!$A243:$P243, MATCH(T$2, Players!$A$1:$P$1, 0)), perc_75, VLOOKUP(T$2, Percentiles!$A$45:$I$59, 6, FALSE), perc_90, VLOOKUP(T$2, Percentiles!$A$45:$I$59, 7, FALSE), perc_95, VLOOKUP(T$2, Percentiles!$A$45:$I$59, 8, FALSE), perc_85, perc_75 + (perc_90 - perc_75) * (2/3), converted_stat, '2K_Ratings'!T244, IF(bbgm_stat &gt;= perc_95, converted_stat * 3, IF(bbgm_stat &gt;= perc_90, converted_stat * 2, IF(bbgm_stat &gt;= perc_85, converted_stat * 1.5, converted_stat)))))</f>
        <v/>
      </c>
      <c r="U244" s="30" t="str">
        <f t="array" ref="U244">IF($A244="", "", LET(bbgm_stat, INDEX(Players!$A243:$P243, MATCH(U$2, Players!$A$1:$P$1, 0)), perc_75, VLOOKUP(U$2, Percentiles!$A$45:$I$59, 6, FALSE), perc_90, VLOOKUP(U$2, Percentiles!$A$45:$I$59, 7, FALSE), perc_95, VLOOKUP(U$2, Percentiles!$A$45:$I$59, 8, FALSE), perc_85, perc_75 + (perc_90 - perc_75) * (2/3), converted_stat, '2K_Ratings'!U244, IF(bbgm_stat &gt;= perc_95, converted_stat * 3, IF(bbgm_stat &gt;= perc_90, converted_stat * 2, IF(bbgm_stat &gt;= perc_85, converted_stat * 1.5, converted_stat)))))</f>
        <v/>
      </c>
      <c r="V244" s="30" t="str">
        <f t="array" ref="V244">IF($A244="", "", LET(bbgm_stat, INDEX(Players!$A243:$P243, MATCH(V$2, Players!$A$1:$P$1, 0)), perc_75, VLOOKUP(V$2, Percentiles!$A$45:$I$59, 6, FALSE), perc_90, VLOOKUP(V$2, Percentiles!$A$45:$I$59, 7, FALSE), perc_95, VLOOKUP(V$2, Percentiles!$A$45:$I$59, 8, FALSE), perc_85, perc_75 + (perc_90 - perc_75) * (2/3), converted_stat, '2K_Ratings'!V244, IF(bbgm_stat &gt;= perc_95, converted_stat * 3, IF(bbgm_stat &gt;= perc_90, converted_stat * 2, IF(bbgm_stat &gt;= perc_85, converted_stat * 1.5, converted_stat)))))</f>
        <v/>
      </c>
      <c r="W244" s="30" t="str">
        <f t="array" ref="W244">IF($A244="", "", LET(bbgm_stat, INDEX(Players!$A243:$P243, MATCH(W$2, Players!$A$1:$P$1, 0)), perc_75, VLOOKUP(W$2, Percentiles!$A$45:$I$59, 6, FALSE), perc_90, VLOOKUP(W$2, Percentiles!$A$45:$I$59, 7, FALSE), perc_95, VLOOKUP(W$2, Percentiles!$A$45:$I$59, 8, FALSE), perc_85, perc_75 + (perc_90 - perc_75) * (2/3), converted_stat, '2K_Ratings'!W244, IF(bbgm_stat &gt;= perc_95, converted_stat * 3, IF(bbgm_stat &gt;= perc_90, converted_stat * 2, IF(bbgm_stat &gt;= perc_85, converted_stat * 1.5, converted_stat)))))</f>
        <v/>
      </c>
    </row>
    <row r="245">
      <c r="A245" s="30"/>
      <c r="B245" s="30" t="str">
        <f t="array" ref="B245">IF($A245="", "", LET(bbgm_stat, INDEX(Players!$A244:$P244, MATCH(B$2, Players!$A$1:$P$1, 0)), perc_75, VLOOKUP(B$2, Percentiles!$A$45:$I$59, 6, FALSE), perc_90, VLOOKUP(B$2, Percentiles!$A$45:$I$59, 7, FALSE), perc_95, VLOOKUP(B$2, Percentiles!$A$45:$I$59, 8, FALSE), perc_85, perc_75 + (perc_90 - perc_75) * (2/3), converted_stat, '2K_Ratings'!B245, IF(bbgm_stat &gt;= perc_95, converted_stat * 3, IF(bbgm_stat &gt;= perc_90, converted_stat * 2, IF(bbgm_stat &gt;= perc_85, converted_stat * 1.5, converted_stat)))))</f>
        <v/>
      </c>
      <c r="C245" s="30" t="str">
        <f t="array" ref="C245">IF($A245="", "", LET(bbgm_stat, INDEX(Players!$A244:$P244, MATCH(C$2, Players!$A$1:$P$1, 0)), perc_75, VLOOKUP(C$2, Percentiles!$A$45:$I$59, 6, FALSE), perc_90, VLOOKUP(C$2, Percentiles!$A$45:$I$59, 7, FALSE), perc_95, VLOOKUP(C$2, Percentiles!$A$45:$I$59, 8, FALSE), perc_85, perc_75 + (perc_90 - perc_75) * (2/3), converted_stat, '2K_Ratings'!C245, IF(bbgm_stat &gt;= perc_95, converted_stat * 3, IF(bbgm_stat &gt;= perc_90, converted_stat * 2, IF(bbgm_stat &gt;= perc_85, converted_stat * 1.5, converted_stat)))))</f>
        <v/>
      </c>
      <c r="D245" s="30" t="str">
        <f t="array" ref="D245">IF($A245="", "", LET(bbgm_stat, INDEX(Players!$A244:$P244, MATCH(D$2, Players!$A$1:$P$1, 0)), perc_75, VLOOKUP(D$2, Percentiles!$A$45:$I$59, 6, FALSE), perc_90, VLOOKUP(D$2, Percentiles!$A$45:$I$59, 7, FALSE), perc_95, VLOOKUP(D$2, Percentiles!$A$45:$I$59, 8, FALSE), perc_85, perc_75 + (perc_90 - perc_75) * (2/3), converted_stat, '2K_Ratings'!D245, IF(bbgm_stat &gt;= perc_95, converted_stat * 3, IF(bbgm_stat &gt;= perc_90, converted_stat * 2, IF(bbgm_stat &gt;= perc_85, converted_stat * 1.5, converted_stat)))))</f>
        <v/>
      </c>
      <c r="E245" s="30" t="str">
        <f t="array" ref="E245">IF($A245="", "", LET(bbgm_stat, INDEX(Players!$A244:$P244, MATCH(E$2, Players!$A$1:$P$1, 0)), perc_75, VLOOKUP(E$2, Percentiles!$A$45:$I$59, 6, FALSE), perc_90, VLOOKUP(E$2, Percentiles!$A$45:$I$59, 7, FALSE), perc_95, VLOOKUP(E$2, Percentiles!$A$45:$I$59, 8, FALSE), perc_85, perc_75 + (perc_90 - perc_75) * (2/3), converted_stat, '2K_Ratings'!E245, IF(bbgm_stat &gt;= perc_95, converted_stat * 3, IF(bbgm_stat &gt;= perc_90, converted_stat * 2, IF(bbgm_stat &gt;= perc_85, converted_stat * 1.5, converted_stat)))))</f>
        <v/>
      </c>
      <c r="F245" s="30" t="str">
        <f t="array" ref="F245">IF($A245="", "", LET(bbgm_stat, INDEX(Players!$A244:$P244, MATCH(F$2, Players!$A$1:$P$1, 0)), perc_75, VLOOKUP(F$2, Percentiles!$A$45:$I$59, 6, FALSE), perc_90, VLOOKUP(F$2, Percentiles!$A$45:$I$59, 7, FALSE), perc_95, VLOOKUP(F$2, Percentiles!$A$45:$I$59, 8, FALSE), perc_85, perc_75 + (perc_90 - perc_75) * (2/3), converted_stat, '2K_Ratings'!F245, IF(bbgm_stat &gt;= perc_95, converted_stat * 3, IF(bbgm_stat &gt;= perc_90, converted_stat * 2, IF(bbgm_stat &gt;= perc_85, converted_stat * 1.5, converted_stat)))))</f>
        <v/>
      </c>
      <c r="G245" s="30" t="str">
        <f t="array" ref="G245">IF($A245="", "", LET(bbgm_stat, INDEX(Players!$A244:$P244, MATCH(G$2, Players!$A$1:$P$1, 0)), perc_75, VLOOKUP(G$2, Percentiles!$A$45:$I$59, 6, FALSE), perc_90, VLOOKUP(G$2, Percentiles!$A$45:$I$59, 7, FALSE), perc_95, VLOOKUP(G$2, Percentiles!$A$45:$I$59, 8, FALSE), perc_85, perc_75 + (perc_90 - perc_75) * (2/3), converted_stat, '2K_Ratings'!G245, IF(bbgm_stat &gt;= perc_95, converted_stat * 3, IF(bbgm_stat &gt;= perc_90, converted_stat * 2, IF(bbgm_stat &gt;= perc_85, converted_stat * 1.5, converted_stat)))))</f>
        <v/>
      </c>
      <c r="H245" s="30" t="str">
        <f t="array" ref="H245">IF($A245="", "", LET(bbgm_stat, INDEX(Players!$A244:$P244, MATCH(H$2, Players!$A$1:$P$1, 0)), perc_75, VLOOKUP(H$2, Percentiles!$A$45:$I$59, 6, FALSE), perc_90, VLOOKUP(H$2, Percentiles!$A$45:$I$59, 7, FALSE), perc_95, VLOOKUP(H$2, Percentiles!$A$45:$I$59, 8, FALSE), perc_85, perc_75 + (perc_90 - perc_75) * (2/3), converted_stat, '2K_Ratings'!H245, IF(bbgm_stat &gt;= perc_95, converted_stat * 3, IF(bbgm_stat &gt;= perc_90, converted_stat * 2, IF(bbgm_stat &gt;= perc_85, converted_stat * 1.5, converted_stat)))))</f>
        <v/>
      </c>
      <c r="I245" s="30" t="str">
        <f t="array" ref="I245">IF($A245="", "", LET(bbgm_stat, INDEX(Players!$A244:$P244, MATCH(I$2, Players!$A$1:$P$1, 0)), perc_75, VLOOKUP(I$2, Percentiles!$A$45:$I$59, 6, FALSE), perc_90, VLOOKUP(I$2, Percentiles!$A$45:$I$59, 7, FALSE), perc_95, VLOOKUP(I$2, Percentiles!$A$45:$I$59, 8, FALSE), perc_85, perc_75 + (perc_90 - perc_75) * (2/3), converted_stat, '2K_Ratings'!I245, IF(bbgm_stat &gt;= perc_95, converted_stat * 3, IF(bbgm_stat &gt;= perc_90, converted_stat * 2, IF(bbgm_stat &gt;= perc_85, converted_stat * 1.5, converted_stat)))))</f>
        <v/>
      </c>
      <c r="J245" s="30" t="str">
        <f t="array" ref="J245">IF($A245="", "", LET(bbgm_stat, INDEX(Players!$A244:$P244, MATCH(J$2, Players!$A$1:$P$1, 0)), perc_75, VLOOKUP(J$2, Percentiles!$A$45:$I$59, 6, FALSE), perc_90, VLOOKUP(J$2, Percentiles!$A$45:$I$59, 7, FALSE), perc_95, VLOOKUP(J$2, Percentiles!$A$45:$I$59, 8, FALSE), perc_85, perc_75 + (perc_90 - perc_75) * (2/3), converted_stat, '2K_Ratings'!J245, IF(bbgm_stat &gt;= perc_95, converted_stat * 3, IF(bbgm_stat &gt;= perc_90, converted_stat * 2, IF(bbgm_stat &gt;= perc_85, converted_stat * 1.5, converted_stat)))))</f>
        <v/>
      </c>
      <c r="K245" s="30" t="str">
        <f t="array" ref="K245">IF($A245="", "", LET(bbgm_stat, INDEX(Players!$A244:$P244, MATCH(K$2, Players!$A$1:$P$1, 0)), perc_75, VLOOKUP(K$2, Percentiles!$A$45:$I$59, 6, FALSE), perc_90, VLOOKUP(K$2, Percentiles!$A$45:$I$59, 7, FALSE), perc_95, VLOOKUP(K$2, Percentiles!$A$45:$I$59, 8, FALSE), perc_85, perc_75 + (perc_90 - perc_75) * (2/3), converted_stat, '2K_Ratings'!K245, IF(bbgm_stat &gt;= perc_95, converted_stat * 3, IF(bbgm_stat &gt;= perc_90, converted_stat * 2, IF(bbgm_stat &gt;= perc_85, converted_stat * 1.5, converted_stat)))))</f>
        <v/>
      </c>
      <c r="L245" s="30" t="str">
        <f t="array" ref="L245">IF($A245="", "", LET(bbgm_stat, INDEX(Players!$A244:$P244, MATCH(L$2, Players!$A$1:$P$1, 0)), perc_75, VLOOKUP(L$2, Percentiles!$A$45:$I$59, 6, FALSE), perc_90, VLOOKUP(L$2, Percentiles!$A$45:$I$59, 7, FALSE), perc_95, VLOOKUP(L$2, Percentiles!$A$45:$I$59, 8, FALSE), perc_85, perc_75 + (perc_90 - perc_75) * (2/3), converted_stat, '2K_Ratings'!L245, IF(bbgm_stat &gt;= perc_95, converted_stat * 3, IF(bbgm_stat &gt;= perc_90, converted_stat * 2, IF(bbgm_stat &gt;= perc_85, converted_stat * 1.5, converted_stat)))))</f>
        <v/>
      </c>
      <c r="M245" s="30" t="str">
        <f t="array" ref="M245">IF($A245="", "", LET(bbgm_stat, INDEX(Players!$A244:$P244, MATCH(M$2, Players!$A$1:$P$1, 0)), perc_75, VLOOKUP(M$2, Percentiles!$A$45:$I$59, 6, FALSE), perc_90, VLOOKUP(M$2, Percentiles!$A$45:$I$59, 7, FALSE), perc_95, VLOOKUP(M$2, Percentiles!$A$45:$I$59, 8, FALSE), perc_85, perc_75 + (perc_90 - perc_75) * (2/3), converted_stat, '2K_Ratings'!M245, IF(bbgm_stat &gt;= perc_95, converted_stat * 3, IF(bbgm_stat &gt;= perc_90, converted_stat * 2, IF(bbgm_stat &gt;= perc_85, converted_stat * 1.5, converted_stat)))))</f>
        <v/>
      </c>
      <c r="N245" s="30" t="str">
        <f t="array" ref="N245">IF($A245="", "", LET(bbgm_stat, INDEX(Players!$A244:$P244, MATCH(N$2, Players!$A$1:$P$1, 0)), perc_75, VLOOKUP(N$2, Percentiles!$A$45:$I$59, 6, FALSE), perc_90, VLOOKUP(N$2, Percentiles!$A$45:$I$59, 7, FALSE), perc_95, VLOOKUP(N$2, Percentiles!$A$45:$I$59, 8, FALSE), perc_85, perc_75 + (perc_90 - perc_75) * (2/3), converted_stat, '2K_Ratings'!N245, IF(bbgm_stat &gt;= perc_95, converted_stat * 3, IF(bbgm_stat &gt;= perc_90, converted_stat * 2, IF(bbgm_stat &gt;= perc_85, converted_stat * 1.5, converted_stat)))))</f>
        <v/>
      </c>
      <c r="O245" s="30" t="str">
        <f t="array" ref="O245">IF($A245="", "", LET(bbgm_stat, INDEX(Players!$A244:$P244, MATCH(O$2, Players!$A$1:$P$1, 0)), perc_75, VLOOKUP(O$2, Percentiles!$A$45:$I$59, 6, FALSE), perc_90, VLOOKUP(O$2, Percentiles!$A$45:$I$59, 7, FALSE), perc_95, VLOOKUP(O$2, Percentiles!$A$45:$I$59, 8, FALSE), perc_85, perc_75 + (perc_90 - perc_75) * (2/3), converted_stat, '2K_Ratings'!O245, IF(bbgm_stat &gt;= perc_95, converted_stat * 3, IF(bbgm_stat &gt;= perc_90, converted_stat * 2, IF(bbgm_stat &gt;= perc_85, converted_stat * 1.5, converted_stat)))))</f>
        <v/>
      </c>
      <c r="P245" s="30" t="str">
        <f t="array" ref="P245">IF($A245="", "", LET(bbgm_stat, INDEX(Players!$A244:$P244, MATCH(P$2, Players!$A$1:$P$1, 0)), perc_75, VLOOKUP(P$2, Percentiles!$A$45:$I$59, 6, FALSE), perc_90, VLOOKUP(P$2, Percentiles!$A$45:$I$59, 7, FALSE), perc_95, VLOOKUP(P$2, Percentiles!$A$45:$I$59, 8, FALSE), perc_85, perc_75 + (perc_90 - perc_75) * (2/3), converted_stat, '2K_Ratings'!P245, IF(bbgm_stat &gt;= perc_95, converted_stat * 3, IF(bbgm_stat &gt;= perc_90, converted_stat * 2, IF(bbgm_stat &gt;= perc_85, converted_stat * 1.5, converted_stat)))))</f>
        <v/>
      </c>
      <c r="Q245" s="30" t="str">
        <f t="array" ref="Q245">IF($A245="", "", LET(bbgm_stat, INDEX(Players!$A244:$P244, MATCH(Q$2, Players!$A$1:$P$1, 0)), perc_75, VLOOKUP(Q$2, Percentiles!$A$45:$I$59, 6, FALSE), perc_90, VLOOKUP(Q$2, Percentiles!$A$45:$I$59, 7, FALSE), perc_95, VLOOKUP(Q$2, Percentiles!$A$45:$I$59, 8, FALSE), perc_85, perc_75 + (perc_90 - perc_75) * (2/3), converted_stat, '2K_Ratings'!Q245, IF(bbgm_stat &gt;= perc_95, converted_stat * 3, IF(bbgm_stat &gt;= perc_90, converted_stat * 2, IF(bbgm_stat &gt;= perc_85, converted_stat * 1.5, converted_stat)))))</f>
        <v/>
      </c>
      <c r="R245" s="30" t="str">
        <f t="array" ref="R245">IF($A245="", "", LET(bbgm_stat, INDEX(Players!$A244:$P244, MATCH(R$2, Players!$A$1:$P$1, 0)), perc_75, VLOOKUP(R$2, Percentiles!$A$45:$I$59, 6, FALSE), perc_90, VLOOKUP(R$2, Percentiles!$A$45:$I$59, 7, FALSE), perc_95, VLOOKUP(R$2, Percentiles!$A$45:$I$59, 8, FALSE), perc_85, perc_75 + (perc_90 - perc_75) * (2/3), converted_stat, '2K_Ratings'!R245, IF(bbgm_stat &gt;= perc_95, converted_stat * 3, IF(bbgm_stat &gt;= perc_90, converted_stat * 2, IF(bbgm_stat &gt;= perc_85, converted_stat * 1.5, converted_stat)))))</f>
        <v/>
      </c>
      <c r="S245" s="30" t="str">
        <f t="array" ref="S245">IF($A245="", "", LET(bbgm_stat, INDEX(Players!$A244:$P244, MATCH(S$2, Players!$A$1:$P$1, 0)), perc_75, VLOOKUP(S$2, Percentiles!$A$45:$I$59, 6, FALSE), perc_90, VLOOKUP(S$2, Percentiles!$A$45:$I$59, 7, FALSE), perc_95, VLOOKUP(S$2, Percentiles!$A$45:$I$59, 8, FALSE), perc_85, perc_75 + (perc_90 - perc_75) * (2/3), converted_stat, '2K_Ratings'!S245, IF(bbgm_stat &gt;= perc_95, converted_stat * 3, IF(bbgm_stat &gt;= perc_90, converted_stat * 2, IF(bbgm_stat &gt;= perc_85, converted_stat * 1.5, converted_stat)))))</f>
        <v/>
      </c>
      <c r="T245" s="30" t="str">
        <f t="array" ref="T245">IF($A245="", "", LET(bbgm_stat, INDEX(Players!$A244:$P244, MATCH(T$2, Players!$A$1:$P$1, 0)), perc_75, VLOOKUP(T$2, Percentiles!$A$45:$I$59, 6, FALSE), perc_90, VLOOKUP(T$2, Percentiles!$A$45:$I$59, 7, FALSE), perc_95, VLOOKUP(T$2, Percentiles!$A$45:$I$59, 8, FALSE), perc_85, perc_75 + (perc_90 - perc_75) * (2/3), converted_stat, '2K_Ratings'!T245, IF(bbgm_stat &gt;= perc_95, converted_stat * 3, IF(bbgm_stat &gt;= perc_90, converted_stat * 2, IF(bbgm_stat &gt;= perc_85, converted_stat * 1.5, converted_stat)))))</f>
        <v/>
      </c>
      <c r="U245" s="30" t="str">
        <f t="array" ref="U245">IF($A245="", "", LET(bbgm_stat, INDEX(Players!$A244:$P244, MATCH(U$2, Players!$A$1:$P$1, 0)), perc_75, VLOOKUP(U$2, Percentiles!$A$45:$I$59, 6, FALSE), perc_90, VLOOKUP(U$2, Percentiles!$A$45:$I$59, 7, FALSE), perc_95, VLOOKUP(U$2, Percentiles!$A$45:$I$59, 8, FALSE), perc_85, perc_75 + (perc_90 - perc_75) * (2/3), converted_stat, '2K_Ratings'!U245, IF(bbgm_stat &gt;= perc_95, converted_stat * 3, IF(bbgm_stat &gt;= perc_90, converted_stat * 2, IF(bbgm_stat &gt;= perc_85, converted_stat * 1.5, converted_stat)))))</f>
        <v/>
      </c>
      <c r="V245" s="30" t="str">
        <f t="array" ref="V245">IF($A245="", "", LET(bbgm_stat, INDEX(Players!$A244:$P244, MATCH(V$2, Players!$A$1:$P$1, 0)), perc_75, VLOOKUP(V$2, Percentiles!$A$45:$I$59, 6, FALSE), perc_90, VLOOKUP(V$2, Percentiles!$A$45:$I$59, 7, FALSE), perc_95, VLOOKUP(V$2, Percentiles!$A$45:$I$59, 8, FALSE), perc_85, perc_75 + (perc_90 - perc_75) * (2/3), converted_stat, '2K_Ratings'!V245, IF(bbgm_stat &gt;= perc_95, converted_stat * 3, IF(bbgm_stat &gt;= perc_90, converted_stat * 2, IF(bbgm_stat &gt;= perc_85, converted_stat * 1.5, converted_stat)))))</f>
        <v/>
      </c>
      <c r="W245" s="30" t="str">
        <f t="array" ref="W245">IF($A245="", "", LET(bbgm_stat, INDEX(Players!$A244:$P244, MATCH(W$2, Players!$A$1:$P$1, 0)), perc_75, VLOOKUP(W$2, Percentiles!$A$45:$I$59, 6, FALSE), perc_90, VLOOKUP(W$2, Percentiles!$A$45:$I$59, 7, FALSE), perc_95, VLOOKUP(W$2, Percentiles!$A$45:$I$59, 8, FALSE), perc_85, perc_75 + (perc_90 - perc_75) * (2/3), converted_stat, '2K_Ratings'!W245, IF(bbgm_stat &gt;= perc_95, converted_stat * 3, IF(bbgm_stat &gt;= perc_90, converted_stat * 2, IF(bbgm_stat &gt;= perc_85, converted_stat * 1.5, converted_stat)))))</f>
        <v/>
      </c>
    </row>
    <row r="246">
      <c r="A246" s="30"/>
      <c r="B246" s="30" t="str">
        <f t="array" ref="B246">IF($A246="", "", LET(bbgm_stat, INDEX(Players!$A245:$P245, MATCH(B$2, Players!$A$1:$P$1, 0)), perc_75, VLOOKUP(B$2, Percentiles!$A$45:$I$59, 6, FALSE), perc_90, VLOOKUP(B$2, Percentiles!$A$45:$I$59, 7, FALSE), perc_95, VLOOKUP(B$2, Percentiles!$A$45:$I$59, 8, FALSE), perc_85, perc_75 + (perc_90 - perc_75) * (2/3), converted_stat, '2K_Ratings'!B246, IF(bbgm_stat &gt;= perc_95, converted_stat * 3, IF(bbgm_stat &gt;= perc_90, converted_stat * 2, IF(bbgm_stat &gt;= perc_85, converted_stat * 1.5, converted_stat)))))</f>
        <v/>
      </c>
      <c r="C246" s="30" t="str">
        <f t="array" ref="C246">IF($A246="", "", LET(bbgm_stat, INDEX(Players!$A245:$P245, MATCH(C$2, Players!$A$1:$P$1, 0)), perc_75, VLOOKUP(C$2, Percentiles!$A$45:$I$59, 6, FALSE), perc_90, VLOOKUP(C$2, Percentiles!$A$45:$I$59, 7, FALSE), perc_95, VLOOKUP(C$2, Percentiles!$A$45:$I$59, 8, FALSE), perc_85, perc_75 + (perc_90 - perc_75) * (2/3), converted_stat, '2K_Ratings'!C246, IF(bbgm_stat &gt;= perc_95, converted_stat * 3, IF(bbgm_stat &gt;= perc_90, converted_stat * 2, IF(bbgm_stat &gt;= perc_85, converted_stat * 1.5, converted_stat)))))</f>
        <v/>
      </c>
      <c r="D246" s="30" t="str">
        <f t="array" ref="D246">IF($A246="", "", LET(bbgm_stat, INDEX(Players!$A245:$P245, MATCH(D$2, Players!$A$1:$P$1, 0)), perc_75, VLOOKUP(D$2, Percentiles!$A$45:$I$59, 6, FALSE), perc_90, VLOOKUP(D$2, Percentiles!$A$45:$I$59, 7, FALSE), perc_95, VLOOKUP(D$2, Percentiles!$A$45:$I$59, 8, FALSE), perc_85, perc_75 + (perc_90 - perc_75) * (2/3), converted_stat, '2K_Ratings'!D246, IF(bbgm_stat &gt;= perc_95, converted_stat * 3, IF(bbgm_stat &gt;= perc_90, converted_stat * 2, IF(bbgm_stat &gt;= perc_85, converted_stat * 1.5, converted_stat)))))</f>
        <v/>
      </c>
      <c r="E246" s="30" t="str">
        <f t="array" ref="E246">IF($A246="", "", LET(bbgm_stat, INDEX(Players!$A245:$P245, MATCH(E$2, Players!$A$1:$P$1, 0)), perc_75, VLOOKUP(E$2, Percentiles!$A$45:$I$59, 6, FALSE), perc_90, VLOOKUP(E$2, Percentiles!$A$45:$I$59, 7, FALSE), perc_95, VLOOKUP(E$2, Percentiles!$A$45:$I$59, 8, FALSE), perc_85, perc_75 + (perc_90 - perc_75) * (2/3), converted_stat, '2K_Ratings'!E246, IF(bbgm_stat &gt;= perc_95, converted_stat * 3, IF(bbgm_stat &gt;= perc_90, converted_stat * 2, IF(bbgm_stat &gt;= perc_85, converted_stat * 1.5, converted_stat)))))</f>
        <v/>
      </c>
      <c r="F246" s="30" t="str">
        <f t="array" ref="F246">IF($A246="", "", LET(bbgm_stat, INDEX(Players!$A245:$P245, MATCH(F$2, Players!$A$1:$P$1, 0)), perc_75, VLOOKUP(F$2, Percentiles!$A$45:$I$59, 6, FALSE), perc_90, VLOOKUP(F$2, Percentiles!$A$45:$I$59, 7, FALSE), perc_95, VLOOKUP(F$2, Percentiles!$A$45:$I$59, 8, FALSE), perc_85, perc_75 + (perc_90 - perc_75) * (2/3), converted_stat, '2K_Ratings'!F246, IF(bbgm_stat &gt;= perc_95, converted_stat * 3, IF(bbgm_stat &gt;= perc_90, converted_stat * 2, IF(bbgm_stat &gt;= perc_85, converted_stat * 1.5, converted_stat)))))</f>
        <v/>
      </c>
      <c r="G246" s="30" t="str">
        <f t="array" ref="G246">IF($A246="", "", LET(bbgm_stat, INDEX(Players!$A245:$P245, MATCH(G$2, Players!$A$1:$P$1, 0)), perc_75, VLOOKUP(G$2, Percentiles!$A$45:$I$59, 6, FALSE), perc_90, VLOOKUP(G$2, Percentiles!$A$45:$I$59, 7, FALSE), perc_95, VLOOKUP(G$2, Percentiles!$A$45:$I$59, 8, FALSE), perc_85, perc_75 + (perc_90 - perc_75) * (2/3), converted_stat, '2K_Ratings'!G246, IF(bbgm_stat &gt;= perc_95, converted_stat * 3, IF(bbgm_stat &gt;= perc_90, converted_stat * 2, IF(bbgm_stat &gt;= perc_85, converted_stat * 1.5, converted_stat)))))</f>
        <v/>
      </c>
      <c r="H246" s="30" t="str">
        <f t="array" ref="H246">IF($A246="", "", LET(bbgm_stat, INDEX(Players!$A245:$P245, MATCH(H$2, Players!$A$1:$P$1, 0)), perc_75, VLOOKUP(H$2, Percentiles!$A$45:$I$59, 6, FALSE), perc_90, VLOOKUP(H$2, Percentiles!$A$45:$I$59, 7, FALSE), perc_95, VLOOKUP(H$2, Percentiles!$A$45:$I$59, 8, FALSE), perc_85, perc_75 + (perc_90 - perc_75) * (2/3), converted_stat, '2K_Ratings'!H246, IF(bbgm_stat &gt;= perc_95, converted_stat * 3, IF(bbgm_stat &gt;= perc_90, converted_stat * 2, IF(bbgm_stat &gt;= perc_85, converted_stat * 1.5, converted_stat)))))</f>
        <v/>
      </c>
      <c r="I246" s="30" t="str">
        <f t="array" ref="I246">IF($A246="", "", LET(bbgm_stat, INDEX(Players!$A245:$P245, MATCH(I$2, Players!$A$1:$P$1, 0)), perc_75, VLOOKUP(I$2, Percentiles!$A$45:$I$59, 6, FALSE), perc_90, VLOOKUP(I$2, Percentiles!$A$45:$I$59, 7, FALSE), perc_95, VLOOKUP(I$2, Percentiles!$A$45:$I$59, 8, FALSE), perc_85, perc_75 + (perc_90 - perc_75) * (2/3), converted_stat, '2K_Ratings'!I246, IF(bbgm_stat &gt;= perc_95, converted_stat * 3, IF(bbgm_stat &gt;= perc_90, converted_stat * 2, IF(bbgm_stat &gt;= perc_85, converted_stat * 1.5, converted_stat)))))</f>
        <v/>
      </c>
      <c r="J246" s="30" t="str">
        <f t="array" ref="J246">IF($A246="", "", LET(bbgm_stat, INDEX(Players!$A245:$P245, MATCH(J$2, Players!$A$1:$P$1, 0)), perc_75, VLOOKUP(J$2, Percentiles!$A$45:$I$59, 6, FALSE), perc_90, VLOOKUP(J$2, Percentiles!$A$45:$I$59, 7, FALSE), perc_95, VLOOKUP(J$2, Percentiles!$A$45:$I$59, 8, FALSE), perc_85, perc_75 + (perc_90 - perc_75) * (2/3), converted_stat, '2K_Ratings'!J246, IF(bbgm_stat &gt;= perc_95, converted_stat * 3, IF(bbgm_stat &gt;= perc_90, converted_stat * 2, IF(bbgm_stat &gt;= perc_85, converted_stat * 1.5, converted_stat)))))</f>
        <v/>
      </c>
      <c r="K246" s="30" t="str">
        <f t="array" ref="K246">IF($A246="", "", LET(bbgm_stat, INDEX(Players!$A245:$P245, MATCH(K$2, Players!$A$1:$P$1, 0)), perc_75, VLOOKUP(K$2, Percentiles!$A$45:$I$59, 6, FALSE), perc_90, VLOOKUP(K$2, Percentiles!$A$45:$I$59, 7, FALSE), perc_95, VLOOKUP(K$2, Percentiles!$A$45:$I$59, 8, FALSE), perc_85, perc_75 + (perc_90 - perc_75) * (2/3), converted_stat, '2K_Ratings'!K246, IF(bbgm_stat &gt;= perc_95, converted_stat * 3, IF(bbgm_stat &gt;= perc_90, converted_stat * 2, IF(bbgm_stat &gt;= perc_85, converted_stat * 1.5, converted_stat)))))</f>
        <v/>
      </c>
      <c r="L246" s="30" t="str">
        <f t="array" ref="L246">IF($A246="", "", LET(bbgm_stat, INDEX(Players!$A245:$P245, MATCH(L$2, Players!$A$1:$P$1, 0)), perc_75, VLOOKUP(L$2, Percentiles!$A$45:$I$59, 6, FALSE), perc_90, VLOOKUP(L$2, Percentiles!$A$45:$I$59, 7, FALSE), perc_95, VLOOKUP(L$2, Percentiles!$A$45:$I$59, 8, FALSE), perc_85, perc_75 + (perc_90 - perc_75) * (2/3), converted_stat, '2K_Ratings'!L246, IF(bbgm_stat &gt;= perc_95, converted_stat * 3, IF(bbgm_stat &gt;= perc_90, converted_stat * 2, IF(bbgm_stat &gt;= perc_85, converted_stat * 1.5, converted_stat)))))</f>
        <v/>
      </c>
      <c r="M246" s="30" t="str">
        <f t="array" ref="M246">IF($A246="", "", LET(bbgm_stat, INDEX(Players!$A245:$P245, MATCH(M$2, Players!$A$1:$P$1, 0)), perc_75, VLOOKUP(M$2, Percentiles!$A$45:$I$59, 6, FALSE), perc_90, VLOOKUP(M$2, Percentiles!$A$45:$I$59, 7, FALSE), perc_95, VLOOKUP(M$2, Percentiles!$A$45:$I$59, 8, FALSE), perc_85, perc_75 + (perc_90 - perc_75) * (2/3), converted_stat, '2K_Ratings'!M246, IF(bbgm_stat &gt;= perc_95, converted_stat * 3, IF(bbgm_stat &gt;= perc_90, converted_stat * 2, IF(bbgm_stat &gt;= perc_85, converted_stat * 1.5, converted_stat)))))</f>
        <v/>
      </c>
      <c r="N246" s="30" t="str">
        <f t="array" ref="N246">IF($A246="", "", LET(bbgm_stat, INDEX(Players!$A245:$P245, MATCH(N$2, Players!$A$1:$P$1, 0)), perc_75, VLOOKUP(N$2, Percentiles!$A$45:$I$59, 6, FALSE), perc_90, VLOOKUP(N$2, Percentiles!$A$45:$I$59, 7, FALSE), perc_95, VLOOKUP(N$2, Percentiles!$A$45:$I$59, 8, FALSE), perc_85, perc_75 + (perc_90 - perc_75) * (2/3), converted_stat, '2K_Ratings'!N246, IF(bbgm_stat &gt;= perc_95, converted_stat * 3, IF(bbgm_stat &gt;= perc_90, converted_stat * 2, IF(bbgm_stat &gt;= perc_85, converted_stat * 1.5, converted_stat)))))</f>
        <v/>
      </c>
      <c r="O246" s="30" t="str">
        <f t="array" ref="O246">IF($A246="", "", LET(bbgm_stat, INDEX(Players!$A245:$P245, MATCH(O$2, Players!$A$1:$P$1, 0)), perc_75, VLOOKUP(O$2, Percentiles!$A$45:$I$59, 6, FALSE), perc_90, VLOOKUP(O$2, Percentiles!$A$45:$I$59, 7, FALSE), perc_95, VLOOKUP(O$2, Percentiles!$A$45:$I$59, 8, FALSE), perc_85, perc_75 + (perc_90 - perc_75) * (2/3), converted_stat, '2K_Ratings'!O246, IF(bbgm_stat &gt;= perc_95, converted_stat * 3, IF(bbgm_stat &gt;= perc_90, converted_stat * 2, IF(bbgm_stat &gt;= perc_85, converted_stat * 1.5, converted_stat)))))</f>
        <v/>
      </c>
      <c r="P246" s="30" t="str">
        <f t="array" ref="P246">IF($A246="", "", LET(bbgm_stat, INDEX(Players!$A245:$P245, MATCH(P$2, Players!$A$1:$P$1, 0)), perc_75, VLOOKUP(P$2, Percentiles!$A$45:$I$59, 6, FALSE), perc_90, VLOOKUP(P$2, Percentiles!$A$45:$I$59, 7, FALSE), perc_95, VLOOKUP(P$2, Percentiles!$A$45:$I$59, 8, FALSE), perc_85, perc_75 + (perc_90 - perc_75) * (2/3), converted_stat, '2K_Ratings'!P246, IF(bbgm_stat &gt;= perc_95, converted_stat * 3, IF(bbgm_stat &gt;= perc_90, converted_stat * 2, IF(bbgm_stat &gt;= perc_85, converted_stat * 1.5, converted_stat)))))</f>
        <v/>
      </c>
      <c r="Q246" s="30" t="str">
        <f t="array" ref="Q246">IF($A246="", "", LET(bbgm_stat, INDEX(Players!$A245:$P245, MATCH(Q$2, Players!$A$1:$P$1, 0)), perc_75, VLOOKUP(Q$2, Percentiles!$A$45:$I$59, 6, FALSE), perc_90, VLOOKUP(Q$2, Percentiles!$A$45:$I$59, 7, FALSE), perc_95, VLOOKUP(Q$2, Percentiles!$A$45:$I$59, 8, FALSE), perc_85, perc_75 + (perc_90 - perc_75) * (2/3), converted_stat, '2K_Ratings'!Q246, IF(bbgm_stat &gt;= perc_95, converted_stat * 3, IF(bbgm_stat &gt;= perc_90, converted_stat * 2, IF(bbgm_stat &gt;= perc_85, converted_stat * 1.5, converted_stat)))))</f>
        <v/>
      </c>
      <c r="R246" s="30" t="str">
        <f t="array" ref="R246">IF($A246="", "", LET(bbgm_stat, INDEX(Players!$A245:$P245, MATCH(R$2, Players!$A$1:$P$1, 0)), perc_75, VLOOKUP(R$2, Percentiles!$A$45:$I$59, 6, FALSE), perc_90, VLOOKUP(R$2, Percentiles!$A$45:$I$59, 7, FALSE), perc_95, VLOOKUP(R$2, Percentiles!$A$45:$I$59, 8, FALSE), perc_85, perc_75 + (perc_90 - perc_75) * (2/3), converted_stat, '2K_Ratings'!R246, IF(bbgm_stat &gt;= perc_95, converted_stat * 3, IF(bbgm_stat &gt;= perc_90, converted_stat * 2, IF(bbgm_stat &gt;= perc_85, converted_stat * 1.5, converted_stat)))))</f>
        <v/>
      </c>
      <c r="S246" s="30" t="str">
        <f t="array" ref="S246">IF($A246="", "", LET(bbgm_stat, INDEX(Players!$A245:$P245, MATCH(S$2, Players!$A$1:$P$1, 0)), perc_75, VLOOKUP(S$2, Percentiles!$A$45:$I$59, 6, FALSE), perc_90, VLOOKUP(S$2, Percentiles!$A$45:$I$59, 7, FALSE), perc_95, VLOOKUP(S$2, Percentiles!$A$45:$I$59, 8, FALSE), perc_85, perc_75 + (perc_90 - perc_75) * (2/3), converted_stat, '2K_Ratings'!S246, IF(bbgm_stat &gt;= perc_95, converted_stat * 3, IF(bbgm_stat &gt;= perc_90, converted_stat * 2, IF(bbgm_stat &gt;= perc_85, converted_stat * 1.5, converted_stat)))))</f>
        <v/>
      </c>
      <c r="T246" s="30" t="str">
        <f t="array" ref="T246">IF($A246="", "", LET(bbgm_stat, INDEX(Players!$A245:$P245, MATCH(T$2, Players!$A$1:$P$1, 0)), perc_75, VLOOKUP(T$2, Percentiles!$A$45:$I$59, 6, FALSE), perc_90, VLOOKUP(T$2, Percentiles!$A$45:$I$59, 7, FALSE), perc_95, VLOOKUP(T$2, Percentiles!$A$45:$I$59, 8, FALSE), perc_85, perc_75 + (perc_90 - perc_75) * (2/3), converted_stat, '2K_Ratings'!T246, IF(bbgm_stat &gt;= perc_95, converted_stat * 3, IF(bbgm_stat &gt;= perc_90, converted_stat * 2, IF(bbgm_stat &gt;= perc_85, converted_stat * 1.5, converted_stat)))))</f>
        <v/>
      </c>
      <c r="U246" s="30" t="str">
        <f t="array" ref="U246">IF($A246="", "", LET(bbgm_stat, INDEX(Players!$A245:$P245, MATCH(U$2, Players!$A$1:$P$1, 0)), perc_75, VLOOKUP(U$2, Percentiles!$A$45:$I$59, 6, FALSE), perc_90, VLOOKUP(U$2, Percentiles!$A$45:$I$59, 7, FALSE), perc_95, VLOOKUP(U$2, Percentiles!$A$45:$I$59, 8, FALSE), perc_85, perc_75 + (perc_90 - perc_75) * (2/3), converted_stat, '2K_Ratings'!U246, IF(bbgm_stat &gt;= perc_95, converted_stat * 3, IF(bbgm_stat &gt;= perc_90, converted_stat * 2, IF(bbgm_stat &gt;= perc_85, converted_stat * 1.5, converted_stat)))))</f>
        <v/>
      </c>
      <c r="V246" s="30" t="str">
        <f t="array" ref="V246">IF($A246="", "", LET(bbgm_stat, INDEX(Players!$A245:$P245, MATCH(V$2, Players!$A$1:$P$1, 0)), perc_75, VLOOKUP(V$2, Percentiles!$A$45:$I$59, 6, FALSE), perc_90, VLOOKUP(V$2, Percentiles!$A$45:$I$59, 7, FALSE), perc_95, VLOOKUP(V$2, Percentiles!$A$45:$I$59, 8, FALSE), perc_85, perc_75 + (perc_90 - perc_75) * (2/3), converted_stat, '2K_Ratings'!V246, IF(bbgm_stat &gt;= perc_95, converted_stat * 3, IF(bbgm_stat &gt;= perc_90, converted_stat * 2, IF(bbgm_stat &gt;= perc_85, converted_stat * 1.5, converted_stat)))))</f>
        <v/>
      </c>
      <c r="W246" s="30" t="str">
        <f t="array" ref="W246">IF($A246="", "", LET(bbgm_stat, INDEX(Players!$A245:$P245, MATCH(W$2, Players!$A$1:$P$1, 0)), perc_75, VLOOKUP(W$2, Percentiles!$A$45:$I$59, 6, FALSE), perc_90, VLOOKUP(W$2, Percentiles!$A$45:$I$59, 7, FALSE), perc_95, VLOOKUP(W$2, Percentiles!$A$45:$I$59, 8, FALSE), perc_85, perc_75 + (perc_90 - perc_75) * (2/3), converted_stat, '2K_Ratings'!W246, IF(bbgm_stat &gt;= perc_95, converted_stat * 3, IF(bbgm_stat &gt;= perc_90, converted_stat * 2, IF(bbgm_stat &gt;= perc_85, converted_stat * 1.5, converted_stat)))))</f>
        <v/>
      </c>
    </row>
    <row r="247">
      <c r="A247" s="30"/>
      <c r="B247" s="30" t="str">
        <f t="array" ref="B247">IF($A247="", "", LET(bbgm_stat, INDEX(Players!$A246:$P246, MATCH(B$2, Players!$A$1:$P$1, 0)), perc_75, VLOOKUP(B$2, Percentiles!$A$45:$I$59, 6, FALSE), perc_90, VLOOKUP(B$2, Percentiles!$A$45:$I$59, 7, FALSE), perc_95, VLOOKUP(B$2, Percentiles!$A$45:$I$59, 8, FALSE), perc_85, perc_75 + (perc_90 - perc_75) * (2/3), converted_stat, '2K_Ratings'!B247, IF(bbgm_stat &gt;= perc_95, converted_stat * 3, IF(bbgm_stat &gt;= perc_90, converted_stat * 2, IF(bbgm_stat &gt;= perc_85, converted_stat * 1.5, converted_stat)))))</f>
        <v/>
      </c>
      <c r="C247" s="30" t="str">
        <f t="array" ref="C247">IF($A247="", "", LET(bbgm_stat, INDEX(Players!$A246:$P246, MATCH(C$2, Players!$A$1:$P$1, 0)), perc_75, VLOOKUP(C$2, Percentiles!$A$45:$I$59, 6, FALSE), perc_90, VLOOKUP(C$2, Percentiles!$A$45:$I$59, 7, FALSE), perc_95, VLOOKUP(C$2, Percentiles!$A$45:$I$59, 8, FALSE), perc_85, perc_75 + (perc_90 - perc_75) * (2/3), converted_stat, '2K_Ratings'!C247, IF(bbgm_stat &gt;= perc_95, converted_stat * 3, IF(bbgm_stat &gt;= perc_90, converted_stat * 2, IF(bbgm_stat &gt;= perc_85, converted_stat * 1.5, converted_stat)))))</f>
        <v/>
      </c>
      <c r="D247" s="30" t="str">
        <f t="array" ref="D247">IF($A247="", "", LET(bbgm_stat, INDEX(Players!$A246:$P246, MATCH(D$2, Players!$A$1:$P$1, 0)), perc_75, VLOOKUP(D$2, Percentiles!$A$45:$I$59, 6, FALSE), perc_90, VLOOKUP(D$2, Percentiles!$A$45:$I$59, 7, FALSE), perc_95, VLOOKUP(D$2, Percentiles!$A$45:$I$59, 8, FALSE), perc_85, perc_75 + (perc_90 - perc_75) * (2/3), converted_stat, '2K_Ratings'!D247, IF(bbgm_stat &gt;= perc_95, converted_stat * 3, IF(bbgm_stat &gt;= perc_90, converted_stat * 2, IF(bbgm_stat &gt;= perc_85, converted_stat * 1.5, converted_stat)))))</f>
        <v/>
      </c>
      <c r="E247" s="30" t="str">
        <f t="array" ref="E247">IF($A247="", "", LET(bbgm_stat, INDEX(Players!$A246:$P246, MATCH(E$2, Players!$A$1:$P$1, 0)), perc_75, VLOOKUP(E$2, Percentiles!$A$45:$I$59, 6, FALSE), perc_90, VLOOKUP(E$2, Percentiles!$A$45:$I$59, 7, FALSE), perc_95, VLOOKUP(E$2, Percentiles!$A$45:$I$59, 8, FALSE), perc_85, perc_75 + (perc_90 - perc_75) * (2/3), converted_stat, '2K_Ratings'!E247, IF(bbgm_stat &gt;= perc_95, converted_stat * 3, IF(bbgm_stat &gt;= perc_90, converted_stat * 2, IF(bbgm_stat &gt;= perc_85, converted_stat * 1.5, converted_stat)))))</f>
        <v/>
      </c>
      <c r="F247" s="30" t="str">
        <f t="array" ref="F247">IF($A247="", "", LET(bbgm_stat, INDEX(Players!$A246:$P246, MATCH(F$2, Players!$A$1:$P$1, 0)), perc_75, VLOOKUP(F$2, Percentiles!$A$45:$I$59, 6, FALSE), perc_90, VLOOKUP(F$2, Percentiles!$A$45:$I$59, 7, FALSE), perc_95, VLOOKUP(F$2, Percentiles!$A$45:$I$59, 8, FALSE), perc_85, perc_75 + (perc_90 - perc_75) * (2/3), converted_stat, '2K_Ratings'!F247, IF(bbgm_stat &gt;= perc_95, converted_stat * 3, IF(bbgm_stat &gt;= perc_90, converted_stat * 2, IF(bbgm_stat &gt;= perc_85, converted_stat * 1.5, converted_stat)))))</f>
        <v/>
      </c>
      <c r="G247" s="30" t="str">
        <f t="array" ref="G247">IF($A247="", "", LET(bbgm_stat, INDEX(Players!$A246:$P246, MATCH(G$2, Players!$A$1:$P$1, 0)), perc_75, VLOOKUP(G$2, Percentiles!$A$45:$I$59, 6, FALSE), perc_90, VLOOKUP(G$2, Percentiles!$A$45:$I$59, 7, FALSE), perc_95, VLOOKUP(G$2, Percentiles!$A$45:$I$59, 8, FALSE), perc_85, perc_75 + (perc_90 - perc_75) * (2/3), converted_stat, '2K_Ratings'!G247, IF(bbgm_stat &gt;= perc_95, converted_stat * 3, IF(bbgm_stat &gt;= perc_90, converted_stat * 2, IF(bbgm_stat &gt;= perc_85, converted_stat * 1.5, converted_stat)))))</f>
        <v/>
      </c>
      <c r="H247" s="30" t="str">
        <f t="array" ref="H247">IF($A247="", "", LET(bbgm_stat, INDEX(Players!$A246:$P246, MATCH(H$2, Players!$A$1:$P$1, 0)), perc_75, VLOOKUP(H$2, Percentiles!$A$45:$I$59, 6, FALSE), perc_90, VLOOKUP(H$2, Percentiles!$A$45:$I$59, 7, FALSE), perc_95, VLOOKUP(H$2, Percentiles!$A$45:$I$59, 8, FALSE), perc_85, perc_75 + (perc_90 - perc_75) * (2/3), converted_stat, '2K_Ratings'!H247, IF(bbgm_stat &gt;= perc_95, converted_stat * 3, IF(bbgm_stat &gt;= perc_90, converted_stat * 2, IF(bbgm_stat &gt;= perc_85, converted_stat * 1.5, converted_stat)))))</f>
        <v/>
      </c>
      <c r="I247" s="30" t="str">
        <f t="array" ref="I247">IF($A247="", "", LET(bbgm_stat, INDEX(Players!$A246:$P246, MATCH(I$2, Players!$A$1:$P$1, 0)), perc_75, VLOOKUP(I$2, Percentiles!$A$45:$I$59, 6, FALSE), perc_90, VLOOKUP(I$2, Percentiles!$A$45:$I$59, 7, FALSE), perc_95, VLOOKUP(I$2, Percentiles!$A$45:$I$59, 8, FALSE), perc_85, perc_75 + (perc_90 - perc_75) * (2/3), converted_stat, '2K_Ratings'!I247, IF(bbgm_stat &gt;= perc_95, converted_stat * 3, IF(bbgm_stat &gt;= perc_90, converted_stat * 2, IF(bbgm_stat &gt;= perc_85, converted_stat * 1.5, converted_stat)))))</f>
        <v/>
      </c>
      <c r="J247" s="30" t="str">
        <f t="array" ref="J247">IF($A247="", "", LET(bbgm_stat, INDEX(Players!$A246:$P246, MATCH(J$2, Players!$A$1:$P$1, 0)), perc_75, VLOOKUP(J$2, Percentiles!$A$45:$I$59, 6, FALSE), perc_90, VLOOKUP(J$2, Percentiles!$A$45:$I$59, 7, FALSE), perc_95, VLOOKUP(J$2, Percentiles!$A$45:$I$59, 8, FALSE), perc_85, perc_75 + (perc_90 - perc_75) * (2/3), converted_stat, '2K_Ratings'!J247, IF(bbgm_stat &gt;= perc_95, converted_stat * 3, IF(bbgm_stat &gt;= perc_90, converted_stat * 2, IF(bbgm_stat &gt;= perc_85, converted_stat * 1.5, converted_stat)))))</f>
        <v/>
      </c>
      <c r="K247" s="30" t="str">
        <f t="array" ref="K247">IF($A247="", "", LET(bbgm_stat, INDEX(Players!$A246:$P246, MATCH(K$2, Players!$A$1:$P$1, 0)), perc_75, VLOOKUP(K$2, Percentiles!$A$45:$I$59, 6, FALSE), perc_90, VLOOKUP(K$2, Percentiles!$A$45:$I$59, 7, FALSE), perc_95, VLOOKUP(K$2, Percentiles!$A$45:$I$59, 8, FALSE), perc_85, perc_75 + (perc_90 - perc_75) * (2/3), converted_stat, '2K_Ratings'!K247, IF(bbgm_stat &gt;= perc_95, converted_stat * 3, IF(bbgm_stat &gt;= perc_90, converted_stat * 2, IF(bbgm_stat &gt;= perc_85, converted_stat * 1.5, converted_stat)))))</f>
        <v/>
      </c>
      <c r="L247" s="30" t="str">
        <f t="array" ref="L247">IF($A247="", "", LET(bbgm_stat, INDEX(Players!$A246:$P246, MATCH(L$2, Players!$A$1:$P$1, 0)), perc_75, VLOOKUP(L$2, Percentiles!$A$45:$I$59, 6, FALSE), perc_90, VLOOKUP(L$2, Percentiles!$A$45:$I$59, 7, FALSE), perc_95, VLOOKUP(L$2, Percentiles!$A$45:$I$59, 8, FALSE), perc_85, perc_75 + (perc_90 - perc_75) * (2/3), converted_stat, '2K_Ratings'!L247, IF(bbgm_stat &gt;= perc_95, converted_stat * 3, IF(bbgm_stat &gt;= perc_90, converted_stat * 2, IF(bbgm_stat &gt;= perc_85, converted_stat * 1.5, converted_stat)))))</f>
        <v/>
      </c>
      <c r="M247" s="30" t="str">
        <f t="array" ref="M247">IF($A247="", "", LET(bbgm_stat, INDEX(Players!$A246:$P246, MATCH(M$2, Players!$A$1:$P$1, 0)), perc_75, VLOOKUP(M$2, Percentiles!$A$45:$I$59, 6, FALSE), perc_90, VLOOKUP(M$2, Percentiles!$A$45:$I$59, 7, FALSE), perc_95, VLOOKUP(M$2, Percentiles!$A$45:$I$59, 8, FALSE), perc_85, perc_75 + (perc_90 - perc_75) * (2/3), converted_stat, '2K_Ratings'!M247, IF(bbgm_stat &gt;= perc_95, converted_stat * 3, IF(bbgm_stat &gt;= perc_90, converted_stat * 2, IF(bbgm_stat &gt;= perc_85, converted_stat * 1.5, converted_stat)))))</f>
        <v/>
      </c>
      <c r="N247" s="30" t="str">
        <f t="array" ref="N247">IF($A247="", "", LET(bbgm_stat, INDEX(Players!$A246:$P246, MATCH(N$2, Players!$A$1:$P$1, 0)), perc_75, VLOOKUP(N$2, Percentiles!$A$45:$I$59, 6, FALSE), perc_90, VLOOKUP(N$2, Percentiles!$A$45:$I$59, 7, FALSE), perc_95, VLOOKUP(N$2, Percentiles!$A$45:$I$59, 8, FALSE), perc_85, perc_75 + (perc_90 - perc_75) * (2/3), converted_stat, '2K_Ratings'!N247, IF(bbgm_stat &gt;= perc_95, converted_stat * 3, IF(bbgm_stat &gt;= perc_90, converted_stat * 2, IF(bbgm_stat &gt;= perc_85, converted_stat * 1.5, converted_stat)))))</f>
        <v/>
      </c>
      <c r="O247" s="30" t="str">
        <f t="array" ref="O247">IF($A247="", "", LET(bbgm_stat, INDEX(Players!$A246:$P246, MATCH(O$2, Players!$A$1:$P$1, 0)), perc_75, VLOOKUP(O$2, Percentiles!$A$45:$I$59, 6, FALSE), perc_90, VLOOKUP(O$2, Percentiles!$A$45:$I$59, 7, FALSE), perc_95, VLOOKUP(O$2, Percentiles!$A$45:$I$59, 8, FALSE), perc_85, perc_75 + (perc_90 - perc_75) * (2/3), converted_stat, '2K_Ratings'!O247, IF(bbgm_stat &gt;= perc_95, converted_stat * 3, IF(bbgm_stat &gt;= perc_90, converted_stat * 2, IF(bbgm_stat &gt;= perc_85, converted_stat * 1.5, converted_stat)))))</f>
        <v/>
      </c>
      <c r="P247" s="30" t="str">
        <f t="array" ref="P247">IF($A247="", "", LET(bbgm_stat, INDEX(Players!$A246:$P246, MATCH(P$2, Players!$A$1:$P$1, 0)), perc_75, VLOOKUP(P$2, Percentiles!$A$45:$I$59, 6, FALSE), perc_90, VLOOKUP(P$2, Percentiles!$A$45:$I$59, 7, FALSE), perc_95, VLOOKUP(P$2, Percentiles!$A$45:$I$59, 8, FALSE), perc_85, perc_75 + (perc_90 - perc_75) * (2/3), converted_stat, '2K_Ratings'!P247, IF(bbgm_stat &gt;= perc_95, converted_stat * 3, IF(bbgm_stat &gt;= perc_90, converted_stat * 2, IF(bbgm_stat &gt;= perc_85, converted_stat * 1.5, converted_stat)))))</f>
        <v/>
      </c>
      <c r="Q247" s="30" t="str">
        <f t="array" ref="Q247">IF($A247="", "", LET(bbgm_stat, INDEX(Players!$A246:$P246, MATCH(Q$2, Players!$A$1:$P$1, 0)), perc_75, VLOOKUP(Q$2, Percentiles!$A$45:$I$59, 6, FALSE), perc_90, VLOOKUP(Q$2, Percentiles!$A$45:$I$59, 7, FALSE), perc_95, VLOOKUP(Q$2, Percentiles!$A$45:$I$59, 8, FALSE), perc_85, perc_75 + (perc_90 - perc_75) * (2/3), converted_stat, '2K_Ratings'!Q247, IF(bbgm_stat &gt;= perc_95, converted_stat * 3, IF(bbgm_stat &gt;= perc_90, converted_stat * 2, IF(bbgm_stat &gt;= perc_85, converted_stat * 1.5, converted_stat)))))</f>
        <v/>
      </c>
      <c r="R247" s="30" t="str">
        <f t="array" ref="R247">IF($A247="", "", LET(bbgm_stat, INDEX(Players!$A246:$P246, MATCH(R$2, Players!$A$1:$P$1, 0)), perc_75, VLOOKUP(R$2, Percentiles!$A$45:$I$59, 6, FALSE), perc_90, VLOOKUP(R$2, Percentiles!$A$45:$I$59, 7, FALSE), perc_95, VLOOKUP(R$2, Percentiles!$A$45:$I$59, 8, FALSE), perc_85, perc_75 + (perc_90 - perc_75) * (2/3), converted_stat, '2K_Ratings'!R247, IF(bbgm_stat &gt;= perc_95, converted_stat * 3, IF(bbgm_stat &gt;= perc_90, converted_stat * 2, IF(bbgm_stat &gt;= perc_85, converted_stat * 1.5, converted_stat)))))</f>
        <v/>
      </c>
      <c r="S247" s="30" t="str">
        <f t="array" ref="S247">IF($A247="", "", LET(bbgm_stat, INDEX(Players!$A246:$P246, MATCH(S$2, Players!$A$1:$P$1, 0)), perc_75, VLOOKUP(S$2, Percentiles!$A$45:$I$59, 6, FALSE), perc_90, VLOOKUP(S$2, Percentiles!$A$45:$I$59, 7, FALSE), perc_95, VLOOKUP(S$2, Percentiles!$A$45:$I$59, 8, FALSE), perc_85, perc_75 + (perc_90 - perc_75) * (2/3), converted_stat, '2K_Ratings'!S247, IF(bbgm_stat &gt;= perc_95, converted_stat * 3, IF(bbgm_stat &gt;= perc_90, converted_stat * 2, IF(bbgm_stat &gt;= perc_85, converted_stat * 1.5, converted_stat)))))</f>
        <v/>
      </c>
      <c r="T247" s="30" t="str">
        <f t="array" ref="T247">IF($A247="", "", LET(bbgm_stat, INDEX(Players!$A246:$P246, MATCH(T$2, Players!$A$1:$P$1, 0)), perc_75, VLOOKUP(T$2, Percentiles!$A$45:$I$59, 6, FALSE), perc_90, VLOOKUP(T$2, Percentiles!$A$45:$I$59, 7, FALSE), perc_95, VLOOKUP(T$2, Percentiles!$A$45:$I$59, 8, FALSE), perc_85, perc_75 + (perc_90 - perc_75) * (2/3), converted_stat, '2K_Ratings'!T247, IF(bbgm_stat &gt;= perc_95, converted_stat * 3, IF(bbgm_stat &gt;= perc_90, converted_stat * 2, IF(bbgm_stat &gt;= perc_85, converted_stat * 1.5, converted_stat)))))</f>
        <v/>
      </c>
      <c r="U247" s="30" t="str">
        <f t="array" ref="U247">IF($A247="", "", LET(bbgm_stat, INDEX(Players!$A246:$P246, MATCH(U$2, Players!$A$1:$P$1, 0)), perc_75, VLOOKUP(U$2, Percentiles!$A$45:$I$59, 6, FALSE), perc_90, VLOOKUP(U$2, Percentiles!$A$45:$I$59, 7, FALSE), perc_95, VLOOKUP(U$2, Percentiles!$A$45:$I$59, 8, FALSE), perc_85, perc_75 + (perc_90 - perc_75) * (2/3), converted_stat, '2K_Ratings'!U247, IF(bbgm_stat &gt;= perc_95, converted_stat * 3, IF(bbgm_stat &gt;= perc_90, converted_stat * 2, IF(bbgm_stat &gt;= perc_85, converted_stat * 1.5, converted_stat)))))</f>
        <v/>
      </c>
      <c r="V247" s="30" t="str">
        <f t="array" ref="V247">IF($A247="", "", LET(bbgm_stat, INDEX(Players!$A246:$P246, MATCH(V$2, Players!$A$1:$P$1, 0)), perc_75, VLOOKUP(V$2, Percentiles!$A$45:$I$59, 6, FALSE), perc_90, VLOOKUP(V$2, Percentiles!$A$45:$I$59, 7, FALSE), perc_95, VLOOKUP(V$2, Percentiles!$A$45:$I$59, 8, FALSE), perc_85, perc_75 + (perc_90 - perc_75) * (2/3), converted_stat, '2K_Ratings'!V247, IF(bbgm_stat &gt;= perc_95, converted_stat * 3, IF(bbgm_stat &gt;= perc_90, converted_stat * 2, IF(bbgm_stat &gt;= perc_85, converted_stat * 1.5, converted_stat)))))</f>
        <v/>
      </c>
      <c r="W247" s="30" t="str">
        <f t="array" ref="W247">IF($A247="", "", LET(bbgm_stat, INDEX(Players!$A246:$P246, MATCH(W$2, Players!$A$1:$P$1, 0)), perc_75, VLOOKUP(W$2, Percentiles!$A$45:$I$59, 6, FALSE), perc_90, VLOOKUP(W$2, Percentiles!$A$45:$I$59, 7, FALSE), perc_95, VLOOKUP(W$2, Percentiles!$A$45:$I$59, 8, FALSE), perc_85, perc_75 + (perc_90 - perc_75) * (2/3), converted_stat, '2K_Ratings'!W247, IF(bbgm_stat &gt;= perc_95, converted_stat * 3, IF(bbgm_stat &gt;= perc_90, converted_stat * 2, IF(bbgm_stat &gt;= perc_85, converted_stat * 1.5, converted_stat)))))</f>
        <v/>
      </c>
    </row>
    <row r="248">
      <c r="A248" s="30"/>
      <c r="B248" s="30" t="str">
        <f t="array" ref="B248">IF($A248="", "", LET(bbgm_stat, INDEX(Players!$A247:$P247, MATCH(B$2, Players!$A$1:$P$1, 0)), perc_75, VLOOKUP(B$2, Percentiles!$A$45:$I$59, 6, FALSE), perc_90, VLOOKUP(B$2, Percentiles!$A$45:$I$59, 7, FALSE), perc_95, VLOOKUP(B$2, Percentiles!$A$45:$I$59, 8, FALSE), perc_85, perc_75 + (perc_90 - perc_75) * (2/3), converted_stat, '2K_Ratings'!B248, IF(bbgm_stat &gt;= perc_95, converted_stat * 3, IF(bbgm_stat &gt;= perc_90, converted_stat * 2, IF(bbgm_stat &gt;= perc_85, converted_stat * 1.5, converted_stat)))))</f>
        <v/>
      </c>
      <c r="C248" s="30" t="str">
        <f t="array" ref="C248">IF($A248="", "", LET(bbgm_stat, INDEX(Players!$A247:$P247, MATCH(C$2, Players!$A$1:$P$1, 0)), perc_75, VLOOKUP(C$2, Percentiles!$A$45:$I$59, 6, FALSE), perc_90, VLOOKUP(C$2, Percentiles!$A$45:$I$59, 7, FALSE), perc_95, VLOOKUP(C$2, Percentiles!$A$45:$I$59, 8, FALSE), perc_85, perc_75 + (perc_90 - perc_75) * (2/3), converted_stat, '2K_Ratings'!C248, IF(bbgm_stat &gt;= perc_95, converted_stat * 3, IF(bbgm_stat &gt;= perc_90, converted_stat * 2, IF(bbgm_stat &gt;= perc_85, converted_stat * 1.5, converted_stat)))))</f>
        <v/>
      </c>
      <c r="D248" s="30" t="str">
        <f t="array" ref="D248">IF($A248="", "", LET(bbgm_stat, INDEX(Players!$A247:$P247, MATCH(D$2, Players!$A$1:$P$1, 0)), perc_75, VLOOKUP(D$2, Percentiles!$A$45:$I$59, 6, FALSE), perc_90, VLOOKUP(D$2, Percentiles!$A$45:$I$59, 7, FALSE), perc_95, VLOOKUP(D$2, Percentiles!$A$45:$I$59, 8, FALSE), perc_85, perc_75 + (perc_90 - perc_75) * (2/3), converted_stat, '2K_Ratings'!D248, IF(bbgm_stat &gt;= perc_95, converted_stat * 3, IF(bbgm_stat &gt;= perc_90, converted_stat * 2, IF(bbgm_stat &gt;= perc_85, converted_stat * 1.5, converted_stat)))))</f>
        <v/>
      </c>
      <c r="E248" s="30" t="str">
        <f t="array" ref="E248">IF($A248="", "", LET(bbgm_stat, INDEX(Players!$A247:$P247, MATCH(E$2, Players!$A$1:$P$1, 0)), perc_75, VLOOKUP(E$2, Percentiles!$A$45:$I$59, 6, FALSE), perc_90, VLOOKUP(E$2, Percentiles!$A$45:$I$59, 7, FALSE), perc_95, VLOOKUP(E$2, Percentiles!$A$45:$I$59, 8, FALSE), perc_85, perc_75 + (perc_90 - perc_75) * (2/3), converted_stat, '2K_Ratings'!E248, IF(bbgm_stat &gt;= perc_95, converted_stat * 3, IF(bbgm_stat &gt;= perc_90, converted_stat * 2, IF(bbgm_stat &gt;= perc_85, converted_stat * 1.5, converted_stat)))))</f>
        <v/>
      </c>
      <c r="F248" s="30" t="str">
        <f t="array" ref="F248">IF($A248="", "", LET(bbgm_stat, INDEX(Players!$A247:$P247, MATCH(F$2, Players!$A$1:$P$1, 0)), perc_75, VLOOKUP(F$2, Percentiles!$A$45:$I$59, 6, FALSE), perc_90, VLOOKUP(F$2, Percentiles!$A$45:$I$59, 7, FALSE), perc_95, VLOOKUP(F$2, Percentiles!$A$45:$I$59, 8, FALSE), perc_85, perc_75 + (perc_90 - perc_75) * (2/3), converted_stat, '2K_Ratings'!F248, IF(bbgm_stat &gt;= perc_95, converted_stat * 3, IF(bbgm_stat &gt;= perc_90, converted_stat * 2, IF(bbgm_stat &gt;= perc_85, converted_stat * 1.5, converted_stat)))))</f>
        <v/>
      </c>
      <c r="G248" s="30" t="str">
        <f t="array" ref="G248">IF($A248="", "", LET(bbgm_stat, INDEX(Players!$A247:$P247, MATCH(G$2, Players!$A$1:$P$1, 0)), perc_75, VLOOKUP(G$2, Percentiles!$A$45:$I$59, 6, FALSE), perc_90, VLOOKUP(G$2, Percentiles!$A$45:$I$59, 7, FALSE), perc_95, VLOOKUP(G$2, Percentiles!$A$45:$I$59, 8, FALSE), perc_85, perc_75 + (perc_90 - perc_75) * (2/3), converted_stat, '2K_Ratings'!G248, IF(bbgm_stat &gt;= perc_95, converted_stat * 3, IF(bbgm_stat &gt;= perc_90, converted_stat * 2, IF(bbgm_stat &gt;= perc_85, converted_stat * 1.5, converted_stat)))))</f>
        <v/>
      </c>
      <c r="H248" s="30" t="str">
        <f t="array" ref="H248">IF($A248="", "", LET(bbgm_stat, INDEX(Players!$A247:$P247, MATCH(H$2, Players!$A$1:$P$1, 0)), perc_75, VLOOKUP(H$2, Percentiles!$A$45:$I$59, 6, FALSE), perc_90, VLOOKUP(H$2, Percentiles!$A$45:$I$59, 7, FALSE), perc_95, VLOOKUP(H$2, Percentiles!$A$45:$I$59, 8, FALSE), perc_85, perc_75 + (perc_90 - perc_75) * (2/3), converted_stat, '2K_Ratings'!H248, IF(bbgm_stat &gt;= perc_95, converted_stat * 3, IF(bbgm_stat &gt;= perc_90, converted_stat * 2, IF(bbgm_stat &gt;= perc_85, converted_stat * 1.5, converted_stat)))))</f>
        <v/>
      </c>
      <c r="I248" s="30" t="str">
        <f t="array" ref="I248">IF($A248="", "", LET(bbgm_stat, INDEX(Players!$A247:$P247, MATCH(I$2, Players!$A$1:$P$1, 0)), perc_75, VLOOKUP(I$2, Percentiles!$A$45:$I$59, 6, FALSE), perc_90, VLOOKUP(I$2, Percentiles!$A$45:$I$59, 7, FALSE), perc_95, VLOOKUP(I$2, Percentiles!$A$45:$I$59, 8, FALSE), perc_85, perc_75 + (perc_90 - perc_75) * (2/3), converted_stat, '2K_Ratings'!I248, IF(bbgm_stat &gt;= perc_95, converted_stat * 3, IF(bbgm_stat &gt;= perc_90, converted_stat * 2, IF(bbgm_stat &gt;= perc_85, converted_stat * 1.5, converted_stat)))))</f>
        <v/>
      </c>
      <c r="J248" s="30" t="str">
        <f t="array" ref="J248">IF($A248="", "", LET(bbgm_stat, INDEX(Players!$A247:$P247, MATCH(J$2, Players!$A$1:$P$1, 0)), perc_75, VLOOKUP(J$2, Percentiles!$A$45:$I$59, 6, FALSE), perc_90, VLOOKUP(J$2, Percentiles!$A$45:$I$59, 7, FALSE), perc_95, VLOOKUP(J$2, Percentiles!$A$45:$I$59, 8, FALSE), perc_85, perc_75 + (perc_90 - perc_75) * (2/3), converted_stat, '2K_Ratings'!J248, IF(bbgm_stat &gt;= perc_95, converted_stat * 3, IF(bbgm_stat &gt;= perc_90, converted_stat * 2, IF(bbgm_stat &gt;= perc_85, converted_stat * 1.5, converted_stat)))))</f>
        <v/>
      </c>
      <c r="K248" s="30" t="str">
        <f t="array" ref="K248">IF($A248="", "", LET(bbgm_stat, INDEX(Players!$A247:$P247, MATCH(K$2, Players!$A$1:$P$1, 0)), perc_75, VLOOKUP(K$2, Percentiles!$A$45:$I$59, 6, FALSE), perc_90, VLOOKUP(K$2, Percentiles!$A$45:$I$59, 7, FALSE), perc_95, VLOOKUP(K$2, Percentiles!$A$45:$I$59, 8, FALSE), perc_85, perc_75 + (perc_90 - perc_75) * (2/3), converted_stat, '2K_Ratings'!K248, IF(bbgm_stat &gt;= perc_95, converted_stat * 3, IF(bbgm_stat &gt;= perc_90, converted_stat * 2, IF(bbgm_stat &gt;= perc_85, converted_stat * 1.5, converted_stat)))))</f>
        <v/>
      </c>
      <c r="L248" s="30" t="str">
        <f t="array" ref="L248">IF($A248="", "", LET(bbgm_stat, INDEX(Players!$A247:$P247, MATCH(L$2, Players!$A$1:$P$1, 0)), perc_75, VLOOKUP(L$2, Percentiles!$A$45:$I$59, 6, FALSE), perc_90, VLOOKUP(L$2, Percentiles!$A$45:$I$59, 7, FALSE), perc_95, VLOOKUP(L$2, Percentiles!$A$45:$I$59, 8, FALSE), perc_85, perc_75 + (perc_90 - perc_75) * (2/3), converted_stat, '2K_Ratings'!L248, IF(bbgm_stat &gt;= perc_95, converted_stat * 3, IF(bbgm_stat &gt;= perc_90, converted_stat * 2, IF(bbgm_stat &gt;= perc_85, converted_stat * 1.5, converted_stat)))))</f>
        <v/>
      </c>
      <c r="M248" s="30" t="str">
        <f t="array" ref="M248">IF($A248="", "", LET(bbgm_stat, INDEX(Players!$A247:$P247, MATCH(M$2, Players!$A$1:$P$1, 0)), perc_75, VLOOKUP(M$2, Percentiles!$A$45:$I$59, 6, FALSE), perc_90, VLOOKUP(M$2, Percentiles!$A$45:$I$59, 7, FALSE), perc_95, VLOOKUP(M$2, Percentiles!$A$45:$I$59, 8, FALSE), perc_85, perc_75 + (perc_90 - perc_75) * (2/3), converted_stat, '2K_Ratings'!M248, IF(bbgm_stat &gt;= perc_95, converted_stat * 3, IF(bbgm_stat &gt;= perc_90, converted_stat * 2, IF(bbgm_stat &gt;= perc_85, converted_stat * 1.5, converted_stat)))))</f>
        <v/>
      </c>
      <c r="N248" s="30" t="str">
        <f t="array" ref="N248">IF($A248="", "", LET(bbgm_stat, INDEX(Players!$A247:$P247, MATCH(N$2, Players!$A$1:$P$1, 0)), perc_75, VLOOKUP(N$2, Percentiles!$A$45:$I$59, 6, FALSE), perc_90, VLOOKUP(N$2, Percentiles!$A$45:$I$59, 7, FALSE), perc_95, VLOOKUP(N$2, Percentiles!$A$45:$I$59, 8, FALSE), perc_85, perc_75 + (perc_90 - perc_75) * (2/3), converted_stat, '2K_Ratings'!N248, IF(bbgm_stat &gt;= perc_95, converted_stat * 3, IF(bbgm_stat &gt;= perc_90, converted_stat * 2, IF(bbgm_stat &gt;= perc_85, converted_stat * 1.5, converted_stat)))))</f>
        <v/>
      </c>
      <c r="O248" s="30" t="str">
        <f t="array" ref="O248">IF($A248="", "", LET(bbgm_stat, INDEX(Players!$A247:$P247, MATCH(O$2, Players!$A$1:$P$1, 0)), perc_75, VLOOKUP(O$2, Percentiles!$A$45:$I$59, 6, FALSE), perc_90, VLOOKUP(O$2, Percentiles!$A$45:$I$59, 7, FALSE), perc_95, VLOOKUP(O$2, Percentiles!$A$45:$I$59, 8, FALSE), perc_85, perc_75 + (perc_90 - perc_75) * (2/3), converted_stat, '2K_Ratings'!O248, IF(bbgm_stat &gt;= perc_95, converted_stat * 3, IF(bbgm_stat &gt;= perc_90, converted_stat * 2, IF(bbgm_stat &gt;= perc_85, converted_stat * 1.5, converted_stat)))))</f>
        <v/>
      </c>
      <c r="P248" s="30" t="str">
        <f t="array" ref="P248">IF($A248="", "", LET(bbgm_stat, INDEX(Players!$A247:$P247, MATCH(P$2, Players!$A$1:$P$1, 0)), perc_75, VLOOKUP(P$2, Percentiles!$A$45:$I$59, 6, FALSE), perc_90, VLOOKUP(P$2, Percentiles!$A$45:$I$59, 7, FALSE), perc_95, VLOOKUP(P$2, Percentiles!$A$45:$I$59, 8, FALSE), perc_85, perc_75 + (perc_90 - perc_75) * (2/3), converted_stat, '2K_Ratings'!P248, IF(bbgm_stat &gt;= perc_95, converted_stat * 3, IF(bbgm_stat &gt;= perc_90, converted_stat * 2, IF(bbgm_stat &gt;= perc_85, converted_stat * 1.5, converted_stat)))))</f>
        <v/>
      </c>
      <c r="Q248" s="30" t="str">
        <f t="array" ref="Q248">IF($A248="", "", LET(bbgm_stat, INDEX(Players!$A247:$P247, MATCH(Q$2, Players!$A$1:$P$1, 0)), perc_75, VLOOKUP(Q$2, Percentiles!$A$45:$I$59, 6, FALSE), perc_90, VLOOKUP(Q$2, Percentiles!$A$45:$I$59, 7, FALSE), perc_95, VLOOKUP(Q$2, Percentiles!$A$45:$I$59, 8, FALSE), perc_85, perc_75 + (perc_90 - perc_75) * (2/3), converted_stat, '2K_Ratings'!Q248, IF(bbgm_stat &gt;= perc_95, converted_stat * 3, IF(bbgm_stat &gt;= perc_90, converted_stat * 2, IF(bbgm_stat &gt;= perc_85, converted_stat * 1.5, converted_stat)))))</f>
        <v/>
      </c>
      <c r="R248" s="30" t="str">
        <f t="array" ref="R248">IF($A248="", "", LET(bbgm_stat, INDEX(Players!$A247:$P247, MATCH(R$2, Players!$A$1:$P$1, 0)), perc_75, VLOOKUP(R$2, Percentiles!$A$45:$I$59, 6, FALSE), perc_90, VLOOKUP(R$2, Percentiles!$A$45:$I$59, 7, FALSE), perc_95, VLOOKUP(R$2, Percentiles!$A$45:$I$59, 8, FALSE), perc_85, perc_75 + (perc_90 - perc_75) * (2/3), converted_stat, '2K_Ratings'!R248, IF(bbgm_stat &gt;= perc_95, converted_stat * 3, IF(bbgm_stat &gt;= perc_90, converted_stat * 2, IF(bbgm_stat &gt;= perc_85, converted_stat * 1.5, converted_stat)))))</f>
        <v/>
      </c>
      <c r="S248" s="30" t="str">
        <f t="array" ref="S248">IF($A248="", "", LET(bbgm_stat, INDEX(Players!$A247:$P247, MATCH(S$2, Players!$A$1:$P$1, 0)), perc_75, VLOOKUP(S$2, Percentiles!$A$45:$I$59, 6, FALSE), perc_90, VLOOKUP(S$2, Percentiles!$A$45:$I$59, 7, FALSE), perc_95, VLOOKUP(S$2, Percentiles!$A$45:$I$59, 8, FALSE), perc_85, perc_75 + (perc_90 - perc_75) * (2/3), converted_stat, '2K_Ratings'!S248, IF(bbgm_stat &gt;= perc_95, converted_stat * 3, IF(bbgm_stat &gt;= perc_90, converted_stat * 2, IF(bbgm_stat &gt;= perc_85, converted_stat * 1.5, converted_stat)))))</f>
        <v/>
      </c>
      <c r="T248" s="30" t="str">
        <f t="array" ref="T248">IF($A248="", "", LET(bbgm_stat, INDEX(Players!$A247:$P247, MATCH(T$2, Players!$A$1:$P$1, 0)), perc_75, VLOOKUP(T$2, Percentiles!$A$45:$I$59, 6, FALSE), perc_90, VLOOKUP(T$2, Percentiles!$A$45:$I$59, 7, FALSE), perc_95, VLOOKUP(T$2, Percentiles!$A$45:$I$59, 8, FALSE), perc_85, perc_75 + (perc_90 - perc_75) * (2/3), converted_stat, '2K_Ratings'!T248, IF(bbgm_stat &gt;= perc_95, converted_stat * 3, IF(bbgm_stat &gt;= perc_90, converted_stat * 2, IF(bbgm_stat &gt;= perc_85, converted_stat * 1.5, converted_stat)))))</f>
        <v/>
      </c>
      <c r="U248" s="30" t="str">
        <f t="array" ref="U248">IF($A248="", "", LET(bbgm_stat, INDEX(Players!$A247:$P247, MATCH(U$2, Players!$A$1:$P$1, 0)), perc_75, VLOOKUP(U$2, Percentiles!$A$45:$I$59, 6, FALSE), perc_90, VLOOKUP(U$2, Percentiles!$A$45:$I$59, 7, FALSE), perc_95, VLOOKUP(U$2, Percentiles!$A$45:$I$59, 8, FALSE), perc_85, perc_75 + (perc_90 - perc_75) * (2/3), converted_stat, '2K_Ratings'!U248, IF(bbgm_stat &gt;= perc_95, converted_stat * 3, IF(bbgm_stat &gt;= perc_90, converted_stat * 2, IF(bbgm_stat &gt;= perc_85, converted_stat * 1.5, converted_stat)))))</f>
        <v/>
      </c>
      <c r="V248" s="30" t="str">
        <f t="array" ref="V248">IF($A248="", "", LET(bbgm_stat, INDEX(Players!$A247:$P247, MATCH(V$2, Players!$A$1:$P$1, 0)), perc_75, VLOOKUP(V$2, Percentiles!$A$45:$I$59, 6, FALSE), perc_90, VLOOKUP(V$2, Percentiles!$A$45:$I$59, 7, FALSE), perc_95, VLOOKUP(V$2, Percentiles!$A$45:$I$59, 8, FALSE), perc_85, perc_75 + (perc_90 - perc_75) * (2/3), converted_stat, '2K_Ratings'!V248, IF(bbgm_stat &gt;= perc_95, converted_stat * 3, IF(bbgm_stat &gt;= perc_90, converted_stat * 2, IF(bbgm_stat &gt;= perc_85, converted_stat * 1.5, converted_stat)))))</f>
        <v/>
      </c>
      <c r="W248" s="30" t="str">
        <f t="array" ref="W248">IF($A248="", "", LET(bbgm_stat, INDEX(Players!$A247:$P247, MATCH(W$2, Players!$A$1:$P$1, 0)), perc_75, VLOOKUP(W$2, Percentiles!$A$45:$I$59, 6, FALSE), perc_90, VLOOKUP(W$2, Percentiles!$A$45:$I$59, 7, FALSE), perc_95, VLOOKUP(W$2, Percentiles!$A$45:$I$59, 8, FALSE), perc_85, perc_75 + (perc_90 - perc_75) * (2/3), converted_stat, '2K_Ratings'!W248, IF(bbgm_stat &gt;= perc_95, converted_stat * 3, IF(bbgm_stat &gt;= perc_90, converted_stat * 2, IF(bbgm_stat &gt;= perc_85, converted_stat * 1.5, converted_stat)))))</f>
        <v/>
      </c>
    </row>
    <row r="249">
      <c r="A249" s="30"/>
      <c r="B249" s="30" t="str">
        <f t="array" ref="B249">IF($A249="", "", LET(bbgm_stat, INDEX(Players!$A248:$P248, MATCH(B$2, Players!$A$1:$P$1, 0)), perc_75, VLOOKUP(B$2, Percentiles!$A$45:$I$59, 6, FALSE), perc_90, VLOOKUP(B$2, Percentiles!$A$45:$I$59, 7, FALSE), perc_95, VLOOKUP(B$2, Percentiles!$A$45:$I$59, 8, FALSE), perc_85, perc_75 + (perc_90 - perc_75) * (2/3), converted_stat, '2K_Ratings'!B249, IF(bbgm_stat &gt;= perc_95, converted_stat * 3, IF(bbgm_stat &gt;= perc_90, converted_stat * 2, IF(bbgm_stat &gt;= perc_85, converted_stat * 1.5, converted_stat)))))</f>
        <v/>
      </c>
      <c r="C249" s="30" t="str">
        <f t="array" ref="C249">IF($A249="", "", LET(bbgm_stat, INDEX(Players!$A248:$P248, MATCH(C$2, Players!$A$1:$P$1, 0)), perc_75, VLOOKUP(C$2, Percentiles!$A$45:$I$59, 6, FALSE), perc_90, VLOOKUP(C$2, Percentiles!$A$45:$I$59, 7, FALSE), perc_95, VLOOKUP(C$2, Percentiles!$A$45:$I$59, 8, FALSE), perc_85, perc_75 + (perc_90 - perc_75) * (2/3), converted_stat, '2K_Ratings'!C249, IF(bbgm_stat &gt;= perc_95, converted_stat * 3, IF(bbgm_stat &gt;= perc_90, converted_stat * 2, IF(bbgm_stat &gt;= perc_85, converted_stat * 1.5, converted_stat)))))</f>
        <v/>
      </c>
      <c r="D249" s="30" t="str">
        <f t="array" ref="D249">IF($A249="", "", LET(bbgm_stat, INDEX(Players!$A248:$P248, MATCH(D$2, Players!$A$1:$P$1, 0)), perc_75, VLOOKUP(D$2, Percentiles!$A$45:$I$59, 6, FALSE), perc_90, VLOOKUP(D$2, Percentiles!$A$45:$I$59, 7, FALSE), perc_95, VLOOKUP(D$2, Percentiles!$A$45:$I$59, 8, FALSE), perc_85, perc_75 + (perc_90 - perc_75) * (2/3), converted_stat, '2K_Ratings'!D249, IF(bbgm_stat &gt;= perc_95, converted_stat * 3, IF(bbgm_stat &gt;= perc_90, converted_stat * 2, IF(bbgm_stat &gt;= perc_85, converted_stat * 1.5, converted_stat)))))</f>
        <v/>
      </c>
      <c r="E249" s="30" t="str">
        <f t="array" ref="E249">IF($A249="", "", LET(bbgm_stat, INDEX(Players!$A248:$P248, MATCH(E$2, Players!$A$1:$P$1, 0)), perc_75, VLOOKUP(E$2, Percentiles!$A$45:$I$59, 6, FALSE), perc_90, VLOOKUP(E$2, Percentiles!$A$45:$I$59, 7, FALSE), perc_95, VLOOKUP(E$2, Percentiles!$A$45:$I$59, 8, FALSE), perc_85, perc_75 + (perc_90 - perc_75) * (2/3), converted_stat, '2K_Ratings'!E249, IF(bbgm_stat &gt;= perc_95, converted_stat * 3, IF(bbgm_stat &gt;= perc_90, converted_stat * 2, IF(bbgm_stat &gt;= perc_85, converted_stat * 1.5, converted_stat)))))</f>
        <v/>
      </c>
      <c r="F249" s="30" t="str">
        <f t="array" ref="F249">IF($A249="", "", LET(bbgm_stat, INDEX(Players!$A248:$P248, MATCH(F$2, Players!$A$1:$P$1, 0)), perc_75, VLOOKUP(F$2, Percentiles!$A$45:$I$59, 6, FALSE), perc_90, VLOOKUP(F$2, Percentiles!$A$45:$I$59, 7, FALSE), perc_95, VLOOKUP(F$2, Percentiles!$A$45:$I$59, 8, FALSE), perc_85, perc_75 + (perc_90 - perc_75) * (2/3), converted_stat, '2K_Ratings'!F249, IF(bbgm_stat &gt;= perc_95, converted_stat * 3, IF(bbgm_stat &gt;= perc_90, converted_stat * 2, IF(bbgm_stat &gt;= perc_85, converted_stat * 1.5, converted_stat)))))</f>
        <v/>
      </c>
      <c r="G249" s="30" t="str">
        <f t="array" ref="G249">IF($A249="", "", LET(bbgm_stat, INDEX(Players!$A248:$P248, MATCH(G$2, Players!$A$1:$P$1, 0)), perc_75, VLOOKUP(G$2, Percentiles!$A$45:$I$59, 6, FALSE), perc_90, VLOOKUP(G$2, Percentiles!$A$45:$I$59, 7, FALSE), perc_95, VLOOKUP(G$2, Percentiles!$A$45:$I$59, 8, FALSE), perc_85, perc_75 + (perc_90 - perc_75) * (2/3), converted_stat, '2K_Ratings'!G249, IF(bbgm_stat &gt;= perc_95, converted_stat * 3, IF(bbgm_stat &gt;= perc_90, converted_stat * 2, IF(bbgm_stat &gt;= perc_85, converted_stat * 1.5, converted_stat)))))</f>
        <v/>
      </c>
      <c r="H249" s="30" t="str">
        <f t="array" ref="H249">IF($A249="", "", LET(bbgm_stat, INDEX(Players!$A248:$P248, MATCH(H$2, Players!$A$1:$P$1, 0)), perc_75, VLOOKUP(H$2, Percentiles!$A$45:$I$59, 6, FALSE), perc_90, VLOOKUP(H$2, Percentiles!$A$45:$I$59, 7, FALSE), perc_95, VLOOKUP(H$2, Percentiles!$A$45:$I$59, 8, FALSE), perc_85, perc_75 + (perc_90 - perc_75) * (2/3), converted_stat, '2K_Ratings'!H249, IF(bbgm_stat &gt;= perc_95, converted_stat * 3, IF(bbgm_stat &gt;= perc_90, converted_stat * 2, IF(bbgm_stat &gt;= perc_85, converted_stat * 1.5, converted_stat)))))</f>
        <v/>
      </c>
      <c r="I249" s="30" t="str">
        <f t="array" ref="I249">IF($A249="", "", LET(bbgm_stat, INDEX(Players!$A248:$P248, MATCH(I$2, Players!$A$1:$P$1, 0)), perc_75, VLOOKUP(I$2, Percentiles!$A$45:$I$59, 6, FALSE), perc_90, VLOOKUP(I$2, Percentiles!$A$45:$I$59, 7, FALSE), perc_95, VLOOKUP(I$2, Percentiles!$A$45:$I$59, 8, FALSE), perc_85, perc_75 + (perc_90 - perc_75) * (2/3), converted_stat, '2K_Ratings'!I249, IF(bbgm_stat &gt;= perc_95, converted_stat * 3, IF(bbgm_stat &gt;= perc_90, converted_stat * 2, IF(bbgm_stat &gt;= perc_85, converted_stat * 1.5, converted_stat)))))</f>
        <v/>
      </c>
      <c r="J249" s="30" t="str">
        <f t="array" ref="J249">IF($A249="", "", LET(bbgm_stat, INDEX(Players!$A248:$P248, MATCH(J$2, Players!$A$1:$P$1, 0)), perc_75, VLOOKUP(J$2, Percentiles!$A$45:$I$59, 6, FALSE), perc_90, VLOOKUP(J$2, Percentiles!$A$45:$I$59, 7, FALSE), perc_95, VLOOKUP(J$2, Percentiles!$A$45:$I$59, 8, FALSE), perc_85, perc_75 + (perc_90 - perc_75) * (2/3), converted_stat, '2K_Ratings'!J249, IF(bbgm_stat &gt;= perc_95, converted_stat * 3, IF(bbgm_stat &gt;= perc_90, converted_stat * 2, IF(bbgm_stat &gt;= perc_85, converted_stat * 1.5, converted_stat)))))</f>
        <v/>
      </c>
      <c r="K249" s="30" t="str">
        <f t="array" ref="K249">IF($A249="", "", LET(bbgm_stat, INDEX(Players!$A248:$P248, MATCH(K$2, Players!$A$1:$P$1, 0)), perc_75, VLOOKUP(K$2, Percentiles!$A$45:$I$59, 6, FALSE), perc_90, VLOOKUP(K$2, Percentiles!$A$45:$I$59, 7, FALSE), perc_95, VLOOKUP(K$2, Percentiles!$A$45:$I$59, 8, FALSE), perc_85, perc_75 + (perc_90 - perc_75) * (2/3), converted_stat, '2K_Ratings'!K249, IF(bbgm_stat &gt;= perc_95, converted_stat * 3, IF(bbgm_stat &gt;= perc_90, converted_stat * 2, IF(bbgm_stat &gt;= perc_85, converted_stat * 1.5, converted_stat)))))</f>
        <v/>
      </c>
      <c r="L249" s="30" t="str">
        <f t="array" ref="L249">IF($A249="", "", LET(bbgm_stat, INDEX(Players!$A248:$P248, MATCH(L$2, Players!$A$1:$P$1, 0)), perc_75, VLOOKUP(L$2, Percentiles!$A$45:$I$59, 6, FALSE), perc_90, VLOOKUP(L$2, Percentiles!$A$45:$I$59, 7, FALSE), perc_95, VLOOKUP(L$2, Percentiles!$A$45:$I$59, 8, FALSE), perc_85, perc_75 + (perc_90 - perc_75) * (2/3), converted_stat, '2K_Ratings'!L249, IF(bbgm_stat &gt;= perc_95, converted_stat * 3, IF(bbgm_stat &gt;= perc_90, converted_stat * 2, IF(bbgm_stat &gt;= perc_85, converted_stat * 1.5, converted_stat)))))</f>
        <v/>
      </c>
      <c r="M249" s="30" t="str">
        <f t="array" ref="M249">IF($A249="", "", LET(bbgm_stat, INDEX(Players!$A248:$P248, MATCH(M$2, Players!$A$1:$P$1, 0)), perc_75, VLOOKUP(M$2, Percentiles!$A$45:$I$59, 6, FALSE), perc_90, VLOOKUP(M$2, Percentiles!$A$45:$I$59, 7, FALSE), perc_95, VLOOKUP(M$2, Percentiles!$A$45:$I$59, 8, FALSE), perc_85, perc_75 + (perc_90 - perc_75) * (2/3), converted_stat, '2K_Ratings'!M249, IF(bbgm_stat &gt;= perc_95, converted_stat * 3, IF(bbgm_stat &gt;= perc_90, converted_stat * 2, IF(bbgm_stat &gt;= perc_85, converted_stat * 1.5, converted_stat)))))</f>
        <v/>
      </c>
      <c r="N249" s="30" t="str">
        <f t="array" ref="N249">IF($A249="", "", LET(bbgm_stat, INDEX(Players!$A248:$P248, MATCH(N$2, Players!$A$1:$P$1, 0)), perc_75, VLOOKUP(N$2, Percentiles!$A$45:$I$59, 6, FALSE), perc_90, VLOOKUP(N$2, Percentiles!$A$45:$I$59, 7, FALSE), perc_95, VLOOKUP(N$2, Percentiles!$A$45:$I$59, 8, FALSE), perc_85, perc_75 + (perc_90 - perc_75) * (2/3), converted_stat, '2K_Ratings'!N249, IF(bbgm_stat &gt;= perc_95, converted_stat * 3, IF(bbgm_stat &gt;= perc_90, converted_stat * 2, IF(bbgm_stat &gt;= perc_85, converted_stat * 1.5, converted_stat)))))</f>
        <v/>
      </c>
      <c r="O249" s="30" t="str">
        <f t="array" ref="O249">IF($A249="", "", LET(bbgm_stat, INDEX(Players!$A248:$P248, MATCH(O$2, Players!$A$1:$P$1, 0)), perc_75, VLOOKUP(O$2, Percentiles!$A$45:$I$59, 6, FALSE), perc_90, VLOOKUP(O$2, Percentiles!$A$45:$I$59, 7, FALSE), perc_95, VLOOKUP(O$2, Percentiles!$A$45:$I$59, 8, FALSE), perc_85, perc_75 + (perc_90 - perc_75) * (2/3), converted_stat, '2K_Ratings'!O249, IF(bbgm_stat &gt;= perc_95, converted_stat * 3, IF(bbgm_stat &gt;= perc_90, converted_stat * 2, IF(bbgm_stat &gt;= perc_85, converted_stat * 1.5, converted_stat)))))</f>
        <v/>
      </c>
      <c r="P249" s="30" t="str">
        <f t="array" ref="P249">IF($A249="", "", LET(bbgm_stat, INDEX(Players!$A248:$P248, MATCH(P$2, Players!$A$1:$P$1, 0)), perc_75, VLOOKUP(P$2, Percentiles!$A$45:$I$59, 6, FALSE), perc_90, VLOOKUP(P$2, Percentiles!$A$45:$I$59, 7, FALSE), perc_95, VLOOKUP(P$2, Percentiles!$A$45:$I$59, 8, FALSE), perc_85, perc_75 + (perc_90 - perc_75) * (2/3), converted_stat, '2K_Ratings'!P249, IF(bbgm_stat &gt;= perc_95, converted_stat * 3, IF(bbgm_stat &gt;= perc_90, converted_stat * 2, IF(bbgm_stat &gt;= perc_85, converted_stat * 1.5, converted_stat)))))</f>
        <v/>
      </c>
      <c r="Q249" s="30" t="str">
        <f t="array" ref="Q249">IF($A249="", "", LET(bbgm_stat, INDEX(Players!$A248:$P248, MATCH(Q$2, Players!$A$1:$P$1, 0)), perc_75, VLOOKUP(Q$2, Percentiles!$A$45:$I$59, 6, FALSE), perc_90, VLOOKUP(Q$2, Percentiles!$A$45:$I$59, 7, FALSE), perc_95, VLOOKUP(Q$2, Percentiles!$A$45:$I$59, 8, FALSE), perc_85, perc_75 + (perc_90 - perc_75) * (2/3), converted_stat, '2K_Ratings'!Q249, IF(bbgm_stat &gt;= perc_95, converted_stat * 3, IF(bbgm_stat &gt;= perc_90, converted_stat * 2, IF(bbgm_stat &gt;= perc_85, converted_stat * 1.5, converted_stat)))))</f>
        <v/>
      </c>
      <c r="R249" s="30" t="str">
        <f t="array" ref="R249">IF($A249="", "", LET(bbgm_stat, INDEX(Players!$A248:$P248, MATCH(R$2, Players!$A$1:$P$1, 0)), perc_75, VLOOKUP(R$2, Percentiles!$A$45:$I$59, 6, FALSE), perc_90, VLOOKUP(R$2, Percentiles!$A$45:$I$59, 7, FALSE), perc_95, VLOOKUP(R$2, Percentiles!$A$45:$I$59, 8, FALSE), perc_85, perc_75 + (perc_90 - perc_75) * (2/3), converted_stat, '2K_Ratings'!R249, IF(bbgm_stat &gt;= perc_95, converted_stat * 3, IF(bbgm_stat &gt;= perc_90, converted_stat * 2, IF(bbgm_stat &gt;= perc_85, converted_stat * 1.5, converted_stat)))))</f>
        <v/>
      </c>
      <c r="S249" s="30" t="str">
        <f t="array" ref="S249">IF($A249="", "", LET(bbgm_stat, INDEX(Players!$A248:$P248, MATCH(S$2, Players!$A$1:$P$1, 0)), perc_75, VLOOKUP(S$2, Percentiles!$A$45:$I$59, 6, FALSE), perc_90, VLOOKUP(S$2, Percentiles!$A$45:$I$59, 7, FALSE), perc_95, VLOOKUP(S$2, Percentiles!$A$45:$I$59, 8, FALSE), perc_85, perc_75 + (perc_90 - perc_75) * (2/3), converted_stat, '2K_Ratings'!S249, IF(bbgm_stat &gt;= perc_95, converted_stat * 3, IF(bbgm_stat &gt;= perc_90, converted_stat * 2, IF(bbgm_stat &gt;= perc_85, converted_stat * 1.5, converted_stat)))))</f>
        <v/>
      </c>
      <c r="T249" s="30" t="str">
        <f t="array" ref="T249">IF($A249="", "", LET(bbgm_stat, INDEX(Players!$A248:$P248, MATCH(T$2, Players!$A$1:$P$1, 0)), perc_75, VLOOKUP(T$2, Percentiles!$A$45:$I$59, 6, FALSE), perc_90, VLOOKUP(T$2, Percentiles!$A$45:$I$59, 7, FALSE), perc_95, VLOOKUP(T$2, Percentiles!$A$45:$I$59, 8, FALSE), perc_85, perc_75 + (perc_90 - perc_75) * (2/3), converted_stat, '2K_Ratings'!T249, IF(bbgm_stat &gt;= perc_95, converted_stat * 3, IF(bbgm_stat &gt;= perc_90, converted_stat * 2, IF(bbgm_stat &gt;= perc_85, converted_stat * 1.5, converted_stat)))))</f>
        <v/>
      </c>
      <c r="U249" s="30" t="str">
        <f t="array" ref="U249">IF($A249="", "", LET(bbgm_stat, INDEX(Players!$A248:$P248, MATCH(U$2, Players!$A$1:$P$1, 0)), perc_75, VLOOKUP(U$2, Percentiles!$A$45:$I$59, 6, FALSE), perc_90, VLOOKUP(U$2, Percentiles!$A$45:$I$59, 7, FALSE), perc_95, VLOOKUP(U$2, Percentiles!$A$45:$I$59, 8, FALSE), perc_85, perc_75 + (perc_90 - perc_75) * (2/3), converted_stat, '2K_Ratings'!U249, IF(bbgm_stat &gt;= perc_95, converted_stat * 3, IF(bbgm_stat &gt;= perc_90, converted_stat * 2, IF(bbgm_stat &gt;= perc_85, converted_stat * 1.5, converted_stat)))))</f>
        <v/>
      </c>
      <c r="V249" s="30" t="str">
        <f t="array" ref="V249">IF($A249="", "", LET(bbgm_stat, INDEX(Players!$A248:$P248, MATCH(V$2, Players!$A$1:$P$1, 0)), perc_75, VLOOKUP(V$2, Percentiles!$A$45:$I$59, 6, FALSE), perc_90, VLOOKUP(V$2, Percentiles!$A$45:$I$59, 7, FALSE), perc_95, VLOOKUP(V$2, Percentiles!$A$45:$I$59, 8, FALSE), perc_85, perc_75 + (perc_90 - perc_75) * (2/3), converted_stat, '2K_Ratings'!V249, IF(bbgm_stat &gt;= perc_95, converted_stat * 3, IF(bbgm_stat &gt;= perc_90, converted_stat * 2, IF(bbgm_stat &gt;= perc_85, converted_stat * 1.5, converted_stat)))))</f>
        <v/>
      </c>
      <c r="W249" s="30" t="str">
        <f t="array" ref="W249">IF($A249="", "", LET(bbgm_stat, INDEX(Players!$A248:$P248, MATCH(W$2, Players!$A$1:$P$1, 0)), perc_75, VLOOKUP(W$2, Percentiles!$A$45:$I$59, 6, FALSE), perc_90, VLOOKUP(W$2, Percentiles!$A$45:$I$59, 7, FALSE), perc_95, VLOOKUP(W$2, Percentiles!$A$45:$I$59, 8, FALSE), perc_85, perc_75 + (perc_90 - perc_75) * (2/3), converted_stat, '2K_Ratings'!W249, IF(bbgm_stat &gt;= perc_95, converted_stat * 3, IF(bbgm_stat &gt;= perc_90, converted_stat * 2, IF(bbgm_stat &gt;= perc_85, converted_stat * 1.5, converted_stat)))))</f>
        <v/>
      </c>
    </row>
    <row r="250">
      <c r="A250" s="30"/>
      <c r="B250" s="30" t="str">
        <f t="array" ref="B250">IF($A250="", "", LET(bbgm_stat, INDEX(Players!$A249:$P249, MATCH(B$2, Players!$A$1:$P$1, 0)), perc_75, VLOOKUP(B$2, Percentiles!$A$45:$I$59, 6, FALSE), perc_90, VLOOKUP(B$2, Percentiles!$A$45:$I$59, 7, FALSE), perc_95, VLOOKUP(B$2, Percentiles!$A$45:$I$59, 8, FALSE), perc_85, perc_75 + (perc_90 - perc_75) * (2/3), converted_stat, '2K_Ratings'!B250, IF(bbgm_stat &gt;= perc_95, converted_stat * 3, IF(bbgm_stat &gt;= perc_90, converted_stat * 2, IF(bbgm_stat &gt;= perc_85, converted_stat * 1.5, converted_stat)))))</f>
        <v/>
      </c>
      <c r="C250" s="30" t="str">
        <f t="array" ref="C250">IF($A250="", "", LET(bbgm_stat, INDEX(Players!$A249:$P249, MATCH(C$2, Players!$A$1:$P$1, 0)), perc_75, VLOOKUP(C$2, Percentiles!$A$45:$I$59, 6, FALSE), perc_90, VLOOKUP(C$2, Percentiles!$A$45:$I$59, 7, FALSE), perc_95, VLOOKUP(C$2, Percentiles!$A$45:$I$59, 8, FALSE), perc_85, perc_75 + (perc_90 - perc_75) * (2/3), converted_stat, '2K_Ratings'!C250, IF(bbgm_stat &gt;= perc_95, converted_stat * 3, IF(bbgm_stat &gt;= perc_90, converted_stat * 2, IF(bbgm_stat &gt;= perc_85, converted_stat * 1.5, converted_stat)))))</f>
        <v/>
      </c>
      <c r="D250" s="30" t="str">
        <f t="array" ref="D250">IF($A250="", "", LET(bbgm_stat, INDEX(Players!$A249:$P249, MATCH(D$2, Players!$A$1:$P$1, 0)), perc_75, VLOOKUP(D$2, Percentiles!$A$45:$I$59, 6, FALSE), perc_90, VLOOKUP(D$2, Percentiles!$A$45:$I$59, 7, FALSE), perc_95, VLOOKUP(D$2, Percentiles!$A$45:$I$59, 8, FALSE), perc_85, perc_75 + (perc_90 - perc_75) * (2/3), converted_stat, '2K_Ratings'!D250, IF(bbgm_stat &gt;= perc_95, converted_stat * 3, IF(bbgm_stat &gt;= perc_90, converted_stat * 2, IF(bbgm_stat &gt;= perc_85, converted_stat * 1.5, converted_stat)))))</f>
        <v/>
      </c>
      <c r="E250" s="30" t="str">
        <f t="array" ref="E250">IF($A250="", "", LET(bbgm_stat, INDEX(Players!$A249:$P249, MATCH(E$2, Players!$A$1:$P$1, 0)), perc_75, VLOOKUP(E$2, Percentiles!$A$45:$I$59, 6, FALSE), perc_90, VLOOKUP(E$2, Percentiles!$A$45:$I$59, 7, FALSE), perc_95, VLOOKUP(E$2, Percentiles!$A$45:$I$59, 8, FALSE), perc_85, perc_75 + (perc_90 - perc_75) * (2/3), converted_stat, '2K_Ratings'!E250, IF(bbgm_stat &gt;= perc_95, converted_stat * 3, IF(bbgm_stat &gt;= perc_90, converted_stat * 2, IF(bbgm_stat &gt;= perc_85, converted_stat * 1.5, converted_stat)))))</f>
        <v/>
      </c>
      <c r="F250" s="30" t="str">
        <f t="array" ref="F250">IF($A250="", "", LET(bbgm_stat, INDEX(Players!$A249:$P249, MATCH(F$2, Players!$A$1:$P$1, 0)), perc_75, VLOOKUP(F$2, Percentiles!$A$45:$I$59, 6, FALSE), perc_90, VLOOKUP(F$2, Percentiles!$A$45:$I$59, 7, FALSE), perc_95, VLOOKUP(F$2, Percentiles!$A$45:$I$59, 8, FALSE), perc_85, perc_75 + (perc_90 - perc_75) * (2/3), converted_stat, '2K_Ratings'!F250, IF(bbgm_stat &gt;= perc_95, converted_stat * 3, IF(bbgm_stat &gt;= perc_90, converted_stat * 2, IF(bbgm_stat &gt;= perc_85, converted_stat * 1.5, converted_stat)))))</f>
        <v/>
      </c>
      <c r="G250" s="30" t="str">
        <f t="array" ref="G250">IF($A250="", "", LET(bbgm_stat, INDEX(Players!$A249:$P249, MATCH(G$2, Players!$A$1:$P$1, 0)), perc_75, VLOOKUP(G$2, Percentiles!$A$45:$I$59, 6, FALSE), perc_90, VLOOKUP(G$2, Percentiles!$A$45:$I$59, 7, FALSE), perc_95, VLOOKUP(G$2, Percentiles!$A$45:$I$59, 8, FALSE), perc_85, perc_75 + (perc_90 - perc_75) * (2/3), converted_stat, '2K_Ratings'!G250, IF(bbgm_stat &gt;= perc_95, converted_stat * 3, IF(bbgm_stat &gt;= perc_90, converted_stat * 2, IF(bbgm_stat &gt;= perc_85, converted_stat * 1.5, converted_stat)))))</f>
        <v/>
      </c>
      <c r="H250" s="30" t="str">
        <f t="array" ref="H250">IF($A250="", "", LET(bbgm_stat, INDEX(Players!$A249:$P249, MATCH(H$2, Players!$A$1:$P$1, 0)), perc_75, VLOOKUP(H$2, Percentiles!$A$45:$I$59, 6, FALSE), perc_90, VLOOKUP(H$2, Percentiles!$A$45:$I$59, 7, FALSE), perc_95, VLOOKUP(H$2, Percentiles!$A$45:$I$59, 8, FALSE), perc_85, perc_75 + (perc_90 - perc_75) * (2/3), converted_stat, '2K_Ratings'!H250, IF(bbgm_stat &gt;= perc_95, converted_stat * 3, IF(bbgm_stat &gt;= perc_90, converted_stat * 2, IF(bbgm_stat &gt;= perc_85, converted_stat * 1.5, converted_stat)))))</f>
        <v/>
      </c>
      <c r="I250" s="30" t="str">
        <f t="array" ref="I250">IF($A250="", "", LET(bbgm_stat, INDEX(Players!$A249:$P249, MATCH(I$2, Players!$A$1:$P$1, 0)), perc_75, VLOOKUP(I$2, Percentiles!$A$45:$I$59, 6, FALSE), perc_90, VLOOKUP(I$2, Percentiles!$A$45:$I$59, 7, FALSE), perc_95, VLOOKUP(I$2, Percentiles!$A$45:$I$59, 8, FALSE), perc_85, perc_75 + (perc_90 - perc_75) * (2/3), converted_stat, '2K_Ratings'!I250, IF(bbgm_stat &gt;= perc_95, converted_stat * 3, IF(bbgm_stat &gt;= perc_90, converted_stat * 2, IF(bbgm_stat &gt;= perc_85, converted_stat * 1.5, converted_stat)))))</f>
        <v/>
      </c>
      <c r="J250" s="30" t="str">
        <f t="array" ref="J250">IF($A250="", "", LET(bbgm_stat, INDEX(Players!$A249:$P249, MATCH(J$2, Players!$A$1:$P$1, 0)), perc_75, VLOOKUP(J$2, Percentiles!$A$45:$I$59, 6, FALSE), perc_90, VLOOKUP(J$2, Percentiles!$A$45:$I$59, 7, FALSE), perc_95, VLOOKUP(J$2, Percentiles!$A$45:$I$59, 8, FALSE), perc_85, perc_75 + (perc_90 - perc_75) * (2/3), converted_stat, '2K_Ratings'!J250, IF(bbgm_stat &gt;= perc_95, converted_stat * 3, IF(bbgm_stat &gt;= perc_90, converted_stat * 2, IF(bbgm_stat &gt;= perc_85, converted_stat * 1.5, converted_stat)))))</f>
        <v/>
      </c>
      <c r="K250" s="30" t="str">
        <f t="array" ref="K250">IF($A250="", "", LET(bbgm_stat, INDEX(Players!$A249:$P249, MATCH(K$2, Players!$A$1:$P$1, 0)), perc_75, VLOOKUP(K$2, Percentiles!$A$45:$I$59, 6, FALSE), perc_90, VLOOKUP(K$2, Percentiles!$A$45:$I$59, 7, FALSE), perc_95, VLOOKUP(K$2, Percentiles!$A$45:$I$59, 8, FALSE), perc_85, perc_75 + (perc_90 - perc_75) * (2/3), converted_stat, '2K_Ratings'!K250, IF(bbgm_stat &gt;= perc_95, converted_stat * 3, IF(bbgm_stat &gt;= perc_90, converted_stat * 2, IF(bbgm_stat &gt;= perc_85, converted_stat * 1.5, converted_stat)))))</f>
        <v/>
      </c>
      <c r="L250" s="30" t="str">
        <f t="array" ref="L250">IF($A250="", "", LET(bbgm_stat, INDEX(Players!$A249:$P249, MATCH(L$2, Players!$A$1:$P$1, 0)), perc_75, VLOOKUP(L$2, Percentiles!$A$45:$I$59, 6, FALSE), perc_90, VLOOKUP(L$2, Percentiles!$A$45:$I$59, 7, FALSE), perc_95, VLOOKUP(L$2, Percentiles!$A$45:$I$59, 8, FALSE), perc_85, perc_75 + (perc_90 - perc_75) * (2/3), converted_stat, '2K_Ratings'!L250, IF(bbgm_stat &gt;= perc_95, converted_stat * 3, IF(bbgm_stat &gt;= perc_90, converted_stat * 2, IF(bbgm_stat &gt;= perc_85, converted_stat * 1.5, converted_stat)))))</f>
        <v/>
      </c>
      <c r="M250" s="30" t="str">
        <f t="array" ref="M250">IF($A250="", "", LET(bbgm_stat, INDEX(Players!$A249:$P249, MATCH(M$2, Players!$A$1:$P$1, 0)), perc_75, VLOOKUP(M$2, Percentiles!$A$45:$I$59, 6, FALSE), perc_90, VLOOKUP(M$2, Percentiles!$A$45:$I$59, 7, FALSE), perc_95, VLOOKUP(M$2, Percentiles!$A$45:$I$59, 8, FALSE), perc_85, perc_75 + (perc_90 - perc_75) * (2/3), converted_stat, '2K_Ratings'!M250, IF(bbgm_stat &gt;= perc_95, converted_stat * 3, IF(bbgm_stat &gt;= perc_90, converted_stat * 2, IF(bbgm_stat &gt;= perc_85, converted_stat * 1.5, converted_stat)))))</f>
        <v/>
      </c>
      <c r="N250" s="30" t="str">
        <f t="array" ref="N250">IF($A250="", "", LET(bbgm_stat, INDEX(Players!$A249:$P249, MATCH(N$2, Players!$A$1:$P$1, 0)), perc_75, VLOOKUP(N$2, Percentiles!$A$45:$I$59, 6, FALSE), perc_90, VLOOKUP(N$2, Percentiles!$A$45:$I$59, 7, FALSE), perc_95, VLOOKUP(N$2, Percentiles!$A$45:$I$59, 8, FALSE), perc_85, perc_75 + (perc_90 - perc_75) * (2/3), converted_stat, '2K_Ratings'!N250, IF(bbgm_stat &gt;= perc_95, converted_stat * 3, IF(bbgm_stat &gt;= perc_90, converted_stat * 2, IF(bbgm_stat &gt;= perc_85, converted_stat * 1.5, converted_stat)))))</f>
        <v/>
      </c>
      <c r="O250" s="30" t="str">
        <f t="array" ref="O250">IF($A250="", "", LET(bbgm_stat, INDEX(Players!$A249:$P249, MATCH(O$2, Players!$A$1:$P$1, 0)), perc_75, VLOOKUP(O$2, Percentiles!$A$45:$I$59, 6, FALSE), perc_90, VLOOKUP(O$2, Percentiles!$A$45:$I$59, 7, FALSE), perc_95, VLOOKUP(O$2, Percentiles!$A$45:$I$59, 8, FALSE), perc_85, perc_75 + (perc_90 - perc_75) * (2/3), converted_stat, '2K_Ratings'!O250, IF(bbgm_stat &gt;= perc_95, converted_stat * 3, IF(bbgm_stat &gt;= perc_90, converted_stat * 2, IF(bbgm_stat &gt;= perc_85, converted_stat * 1.5, converted_stat)))))</f>
        <v/>
      </c>
      <c r="P250" s="30" t="str">
        <f t="array" ref="P250">IF($A250="", "", LET(bbgm_stat, INDEX(Players!$A249:$P249, MATCH(P$2, Players!$A$1:$P$1, 0)), perc_75, VLOOKUP(P$2, Percentiles!$A$45:$I$59, 6, FALSE), perc_90, VLOOKUP(P$2, Percentiles!$A$45:$I$59, 7, FALSE), perc_95, VLOOKUP(P$2, Percentiles!$A$45:$I$59, 8, FALSE), perc_85, perc_75 + (perc_90 - perc_75) * (2/3), converted_stat, '2K_Ratings'!P250, IF(bbgm_stat &gt;= perc_95, converted_stat * 3, IF(bbgm_stat &gt;= perc_90, converted_stat * 2, IF(bbgm_stat &gt;= perc_85, converted_stat * 1.5, converted_stat)))))</f>
        <v/>
      </c>
      <c r="Q250" s="30" t="str">
        <f t="array" ref="Q250">IF($A250="", "", LET(bbgm_stat, INDEX(Players!$A249:$P249, MATCH(Q$2, Players!$A$1:$P$1, 0)), perc_75, VLOOKUP(Q$2, Percentiles!$A$45:$I$59, 6, FALSE), perc_90, VLOOKUP(Q$2, Percentiles!$A$45:$I$59, 7, FALSE), perc_95, VLOOKUP(Q$2, Percentiles!$A$45:$I$59, 8, FALSE), perc_85, perc_75 + (perc_90 - perc_75) * (2/3), converted_stat, '2K_Ratings'!Q250, IF(bbgm_stat &gt;= perc_95, converted_stat * 3, IF(bbgm_stat &gt;= perc_90, converted_stat * 2, IF(bbgm_stat &gt;= perc_85, converted_stat * 1.5, converted_stat)))))</f>
        <v/>
      </c>
      <c r="R250" s="30" t="str">
        <f t="array" ref="R250">IF($A250="", "", LET(bbgm_stat, INDEX(Players!$A249:$P249, MATCH(R$2, Players!$A$1:$P$1, 0)), perc_75, VLOOKUP(R$2, Percentiles!$A$45:$I$59, 6, FALSE), perc_90, VLOOKUP(R$2, Percentiles!$A$45:$I$59, 7, FALSE), perc_95, VLOOKUP(R$2, Percentiles!$A$45:$I$59, 8, FALSE), perc_85, perc_75 + (perc_90 - perc_75) * (2/3), converted_stat, '2K_Ratings'!R250, IF(bbgm_stat &gt;= perc_95, converted_stat * 3, IF(bbgm_stat &gt;= perc_90, converted_stat * 2, IF(bbgm_stat &gt;= perc_85, converted_stat * 1.5, converted_stat)))))</f>
        <v/>
      </c>
      <c r="S250" s="30" t="str">
        <f t="array" ref="S250">IF($A250="", "", LET(bbgm_stat, INDEX(Players!$A249:$P249, MATCH(S$2, Players!$A$1:$P$1, 0)), perc_75, VLOOKUP(S$2, Percentiles!$A$45:$I$59, 6, FALSE), perc_90, VLOOKUP(S$2, Percentiles!$A$45:$I$59, 7, FALSE), perc_95, VLOOKUP(S$2, Percentiles!$A$45:$I$59, 8, FALSE), perc_85, perc_75 + (perc_90 - perc_75) * (2/3), converted_stat, '2K_Ratings'!S250, IF(bbgm_stat &gt;= perc_95, converted_stat * 3, IF(bbgm_stat &gt;= perc_90, converted_stat * 2, IF(bbgm_stat &gt;= perc_85, converted_stat * 1.5, converted_stat)))))</f>
        <v/>
      </c>
      <c r="T250" s="30" t="str">
        <f t="array" ref="T250">IF($A250="", "", LET(bbgm_stat, INDEX(Players!$A249:$P249, MATCH(T$2, Players!$A$1:$P$1, 0)), perc_75, VLOOKUP(T$2, Percentiles!$A$45:$I$59, 6, FALSE), perc_90, VLOOKUP(T$2, Percentiles!$A$45:$I$59, 7, FALSE), perc_95, VLOOKUP(T$2, Percentiles!$A$45:$I$59, 8, FALSE), perc_85, perc_75 + (perc_90 - perc_75) * (2/3), converted_stat, '2K_Ratings'!T250, IF(bbgm_stat &gt;= perc_95, converted_stat * 3, IF(bbgm_stat &gt;= perc_90, converted_stat * 2, IF(bbgm_stat &gt;= perc_85, converted_stat * 1.5, converted_stat)))))</f>
        <v/>
      </c>
      <c r="U250" s="30" t="str">
        <f t="array" ref="U250">IF($A250="", "", LET(bbgm_stat, INDEX(Players!$A249:$P249, MATCH(U$2, Players!$A$1:$P$1, 0)), perc_75, VLOOKUP(U$2, Percentiles!$A$45:$I$59, 6, FALSE), perc_90, VLOOKUP(U$2, Percentiles!$A$45:$I$59, 7, FALSE), perc_95, VLOOKUP(U$2, Percentiles!$A$45:$I$59, 8, FALSE), perc_85, perc_75 + (perc_90 - perc_75) * (2/3), converted_stat, '2K_Ratings'!U250, IF(bbgm_stat &gt;= perc_95, converted_stat * 3, IF(bbgm_stat &gt;= perc_90, converted_stat * 2, IF(bbgm_stat &gt;= perc_85, converted_stat * 1.5, converted_stat)))))</f>
        <v/>
      </c>
      <c r="V250" s="30" t="str">
        <f t="array" ref="V250">IF($A250="", "", LET(bbgm_stat, INDEX(Players!$A249:$P249, MATCH(V$2, Players!$A$1:$P$1, 0)), perc_75, VLOOKUP(V$2, Percentiles!$A$45:$I$59, 6, FALSE), perc_90, VLOOKUP(V$2, Percentiles!$A$45:$I$59, 7, FALSE), perc_95, VLOOKUP(V$2, Percentiles!$A$45:$I$59, 8, FALSE), perc_85, perc_75 + (perc_90 - perc_75) * (2/3), converted_stat, '2K_Ratings'!V250, IF(bbgm_stat &gt;= perc_95, converted_stat * 3, IF(bbgm_stat &gt;= perc_90, converted_stat * 2, IF(bbgm_stat &gt;= perc_85, converted_stat * 1.5, converted_stat)))))</f>
        <v/>
      </c>
      <c r="W250" s="30" t="str">
        <f t="array" ref="W250">IF($A250="", "", LET(bbgm_stat, INDEX(Players!$A249:$P249, MATCH(W$2, Players!$A$1:$P$1, 0)), perc_75, VLOOKUP(W$2, Percentiles!$A$45:$I$59, 6, FALSE), perc_90, VLOOKUP(W$2, Percentiles!$A$45:$I$59, 7, FALSE), perc_95, VLOOKUP(W$2, Percentiles!$A$45:$I$59, 8, FALSE), perc_85, perc_75 + (perc_90 - perc_75) * (2/3), converted_stat, '2K_Ratings'!W250, IF(bbgm_stat &gt;= perc_95, converted_stat * 3, IF(bbgm_stat &gt;= perc_90, converted_stat * 2, IF(bbgm_stat &gt;= perc_85, converted_stat * 1.5, converted_stat)))))</f>
        <v/>
      </c>
    </row>
    <row r="251">
      <c r="A251" s="30"/>
      <c r="B251" s="30" t="str">
        <f t="array" ref="B251">IF($A251="", "", LET(bbgm_stat, INDEX(Players!$A250:$P250, MATCH(B$2, Players!$A$1:$P$1, 0)), perc_75, VLOOKUP(B$2, Percentiles!$A$45:$I$59, 6, FALSE), perc_90, VLOOKUP(B$2, Percentiles!$A$45:$I$59, 7, FALSE), perc_95, VLOOKUP(B$2, Percentiles!$A$45:$I$59, 8, FALSE), perc_85, perc_75 + (perc_90 - perc_75) * (2/3), converted_stat, '2K_Ratings'!B251, IF(bbgm_stat &gt;= perc_95, converted_stat * 3, IF(bbgm_stat &gt;= perc_90, converted_stat * 2, IF(bbgm_stat &gt;= perc_85, converted_stat * 1.5, converted_stat)))))</f>
        <v/>
      </c>
      <c r="C251" s="30" t="str">
        <f t="array" ref="C251">IF($A251="", "", LET(bbgm_stat, INDEX(Players!$A250:$P250, MATCH(C$2, Players!$A$1:$P$1, 0)), perc_75, VLOOKUP(C$2, Percentiles!$A$45:$I$59, 6, FALSE), perc_90, VLOOKUP(C$2, Percentiles!$A$45:$I$59, 7, FALSE), perc_95, VLOOKUP(C$2, Percentiles!$A$45:$I$59, 8, FALSE), perc_85, perc_75 + (perc_90 - perc_75) * (2/3), converted_stat, '2K_Ratings'!C251, IF(bbgm_stat &gt;= perc_95, converted_stat * 3, IF(bbgm_stat &gt;= perc_90, converted_stat * 2, IF(bbgm_stat &gt;= perc_85, converted_stat * 1.5, converted_stat)))))</f>
        <v/>
      </c>
      <c r="D251" s="30" t="str">
        <f t="array" ref="D251">IF($A251="", "", LET(bbgm_stat, INDEX(Players!$A250:$P250, MATCH(D$2, Players!$A$1:$P$1, 0)), perc_75, VLOOKUP(D$2, Percentiles!$A$45:$I$59, 6, FALSE), perc_90, VLOOKUP(D$2, Percentiles!$A$45:$I$59, 7, FALSE), perc_95, VLOOKUP(D$2, Percentiles!$A$45:$I$59, 8, FALSE), perc_85, perc_75 + (perc_90 - perc_75) * (2/3), converted_stat, '2K_Ratings'!D251, IF(bbgm_stat &gt;= perc_95, converted_stat * 3, IF(bbgm_stat &gt;= perc_90, converted_stat * 2, IF(bbgm_stat &gt;= perc_85, converted_stat * 1.5, converted_stat)))))</f>
        <v/>
      </c>
      <c r="E251" s="30" t="str">
        <f t="array" ref="E251">IF($A251="", "", LET(bbgm_stat, INDEX(Players!$A250:$P250, MATCH(E$2, Players!$A$1:$P$1, 0)), perc_75, VLOOKUP(E$2, Percentiles!$A$45:$I$59, 6, FALSE), perc_90, VLOOKUP(E$2, Percentiles!$A$45:$I$59, 7, FALSE), perc_95, VLOOKUP(E$2, Percentiles!$A$45:$I$59, 8, FALSE), perc_85, perc_75 + (perc_90 - perc_75) * (2/3), converted_stat, '2K_Ratings'!E251, IF(bbgm_stat &gt;= perc_95, converted_stat * 3, IF(bbgm_stat &gt;= perc_90, converted_stat * 2, IF(bbgm_stat &gt;= perc_85, converted_stat * 1.5, converted_stat)))))</f>
        <v/>
      </c>
      <c r="F251" s="30" t="str">
        <f t="array" ref="F251">IF($A251="", "", LET(bbgm_stat, INDEX(Players!$A250:$P250, MATCH(F$2, Players!$A$1:$P$1, 0)), perc_75, VLOOKUP(F$2, Percentiles!$A$45:$I$59, 6, FALSE), perc_90, VLOOKUP(F$2, Percentiles!$A$45:$I$59, 7, FALSE), perc_95, VLOOKUP(F$2, Percentiles!$A$45:$I$59, 8, FALSE), perc_85, perc_75 + (perc_90 - perc_75) * (2/3), converted_stat, '2K_Ratings'!F251, IF(bbgm_stat &gt;= perc_95, converted_stat * 3, IF(bbgm_stat &gt;= perc_90, converted_stat * 2, IF(bbgm_stat &gt;= perc_85, converted_stat * 1.5, converted_stat)))))</f>
        <v/>
      </c>
      <c r="G251" s="30" t="str">
        <f t="array" ref="G251">IF($A251="", "", LET(bbgm_stat, INDEX(Players!$A250:$P250, MATCH(G$2, Players!$A$1:$P$1, 0)), perc_75, VLOOKUP(G$2, Percentiles!$A$45:$I$59, 6, FALSE), perc_90, VLOOKUP(G$2, Percentiles!$A$45:$I$59, 7, FALSE), perc_95, VLOOKUP(G$2, Percentiles!$A$45:$I$59, 8, FALSE), perc_85, perc_75 + (perc_90 - perc_75) * (2/3), converted_stat, '2K_Ratings'!G251, IF(bbgm_stat &gt;= perc_95, converted_stat * 3, IF(bbgm_stat &gt;= perc_90, converted_stat * 2, IF(bbgm_stat &gt;= perc_85, converted_stat * 1.5, converted_stat)))))</f>
        <v/>
      </c>
      <c r="H251" s="30" t="str">
        <f t="array" ref="H251">IF($A251="", "", LET(bbgm_stat, INDEX(Players!$A250:$P250, MATCH(H$2, Players!$A$1:$P$1, 0)), perc_75, VLOOKUP(H$2, Percentiles!$A$45:$I$59, 6, FALSE), perc_90, VLOOKUP(H$2, Percentiles!$A$45:$I$59, 7, FALSE), perc_95, VLOOKUP(H$2, Percentiles!$A$45:$I$59, 8, FALSE), perc_85, perc_75 + (perc_90 - perc_75) * (2/3), converted_stat, '2K_Ratings'!H251, IF(bbgm_stat &gt;= perc_95, converted_stat * 3, IF(bbgm_stat &gt;= perc_90, converted_stat * 2, IF(bbgm_stat &gt;= perc_85, converted_stat * 1.5, converted_stat)))))</f>
        <v/>
      </c>
      <c r="I251" s="30" t="str">
        <f t="array" ref="I251">IF($A251="", "", LET(bbgm_stat, INDEX(Players!$A250:$P250, MATCH(I$2, Players!$A$1:$P$1, 0)), perc_75, VLOOKUP(I$2, Percentiles!$A$45:$I$59, 6, FALSE), perc_90, VLOOKUP(I$2, Percentiles!$A$45:$I$59, 7, FALSE), perc_95, VLOOKUP(I$2, Percentiles!$A$45:$I$59, 8, FALSE), perc_85, perc_75 + (perc_90 - perc_75) * (2/3), converted_stat, '2K_Ratings'!I251, IF(bbgm_stat &gt;= perc_95, converted_stat * 3, IF(bbgm_stat &gt;= perc_90, converted_stat * 2, IF(bbgm_stat &gt;= perc_85, converted_stat * 1.5, converted_stat)))))</f>
        <v/>
      </c>
      <c r="J251" s="30" t="str">
        <f t="array" ref="J251">IF($A251="", "", LET(bbgm_stat, INDEX(Players!$A250:$P250, MATCH(J$2, Players!$A$1:$P$1, 0)), perc_75, VLOOKUP(J$2, Percentiles!$A$45:$I$59, 6, FALSE), perc_90, VLOOKUP(J$2, Percentiles!$A$45:$I$59, 7, FALSE), perc_95, VLOOKUP(J$2, Percentiles!$A$45:$I$59, 8, FALSE), perc_85, perc_75 + (perc_90 - perc_75) * (2/3), converted_stat, '2K_Ratings'!J251, IF(bbgm_stat &gt;= perc_95, converted_stat * 3, IF(bbgm_stat &gt;= perc_90, converted_stat * 2, IF(bbgm_stat &gt;= perc_85, converted_stat * 1.5, converted_stat)))))</f>
        <v/>
      </c>
      <c r="K251" s="30" t="str">
        <f t="array" ref="K251">IF($A251="", "", LET(bbgm_stat, INDEX(Players!$A250:$P250, MATCH(K$2, Players!$A$1:$P$1, 0)), perc_75, VLOOKUP(K$2, Percentiles!$A$45:$I$59, 6, FALSE), perc_90, VLOOKUP(K$2, Percentiles!$A$45:$I$59, 7, FALSE), perc_95, VLOOKUP(K$2, Percentiles!$A$45:$I$59, 8, FALSE), perc_85, perc_75 + (perc_90 - perc_75) * (2/3), converted_stat, '2K_Ratings'!K251, IF(bbgm_stat &gt;= perc_95, converted_stat * 3, IF(bbgm_stat &gt;= perc_90, converted_stat * 2, IF(bbgm_stat &gt;= perc_85, converted_stat * 1.5, converted_stat)))))</f>
        <v/>
      </c>
      <c r="L251" s="30" t="str">
        <f t="array" ref="L251">IF($A251="", "", LET(bbgm_stat, INDEX(Players!$A250:$P250, MATCH(L$2, Players!$A$1:$P$1, 0)), perc_75, VLOOKUP(L$2, Percentiles!$A$45:$I$59, 6, FALSE), perc_90, VLOOKUP(L$2, Percentiles!$A$45:$I$59, 7, FALSE), perc_95, VLOOKUP(L$2, Percentiles!$A$45:$I$59, 8, FALSE), perc_85, perc_75 + (perc_90 - perc_75) * (2/3), converted_stat, '2K_Ratings'!L251, IF(bbgm_stat &gt;= perc_95, converted_stat * 3, IF(bbgm_stat &gt;= perc_90, converted_stat * 2, IF(bbgm_stat &gt;= perc_85, converted_stat * 1.5, converted_stat)))))</f>
        <v/>
      </c>
      <c r="M251" s="30" t="str">
        <f t="array" ref="M251">IF($A251="", "", LET(bbgm_stat, INDEX(Players!$A250:$P250, MATCH(M$2, Players!$A$1:$P$1, 0)), perc_75, VLOOKUP(M$2, Percentiles!$A$45:$I$59, 6, FALSE), perc_90, VLOOKUP(M$2, Percentiles!$A$45:$I$59, 7, FALSE), perc_95, VLOOKUP(M$2, Percentiles!$A$45:$I$59, 8, FALSE), perc_85, perc_75 + (perc_90 - perc_75) * (2/3), converted_stat, '2K_Ratings'!M251, IF(bbgm_stat &gt;= perc_95, converted_stat * 3, IF(bbgm_stat &gt;= perc_90, converted_stat * 2, IF(bbgm_stat &gt;= perc_85, converted_stat * 1.5, converted_stat)))))</f>
        <v/>
      </c>
      <c r="N251" s="30" t="str">
        <f t="array" ref="N251">IF($A251="", "", LET(bbgm_stat, INDEX(Players!$A250:$P250, MATCH(N$2, Players!$A$1:$P$1, 0)), perc_75, VLOOKUP(N$2, Percentiles!$A$45:$I$59, 6, FALSE), perc_90, VLOOKUP(N$2, Percentiles!$A$45:$I$59, 7, FALSE), perc_95, VLOOKUP(N$2, Percentiles!$A$45:$I$59, 8, FALSE), perc_85, perc_75 + (perc_90 - perc_75) * (2/3), converted_stat, '2K_Ratings'!N251, IF(bbgm_stat &gt;= perc_95, converted_stat * 3, IF(bbgm_stat &gt;= perc_90, converted_stat * 2, IF(bbgm_stat &gt;= perc_85, converted_stat * 1.5, converted_stat)))))</f>
        <v/>
      </c>
      <c r="O251" s="30" t="str">
        <f t="array" ref="O251">IF($A251="", "", LET(bbgm_stat, INDEX(Players!$A250:$P250, MATCH(O$2, Players!$A$1:$P$1, 0)), perc_75, VLOOKUP(O$2, Percentiles!$A$45:$I$59, 6, FALSE), perc_90, VLOOKUP(O$2, Percentiles!$A$45:$I$59, 7, FALSE), perc_95, VLOOKUP(O$2, Percentiles!$A$45:$I$59, 8, FALSE), perc_85, perc_75 + (perc_90 - perc_75) * (2/3), converted_stat, '2K_Ratings'!O251, IF(bbgm_stat &gt;= perc_95, converted_stat * 3, IF(bbgm_stat &gt;= perc_90, converted_stat * 2, IF(bbgm_stat &gt;= perc_85, converted_stat * 1.5, converted_stat)))))</f>
        <v/>
      </c>
      <c r="P251" s="30" t="str">
        <f t="array" ref="P251">IF($A251="", "", LET(bbgm_stat, INDEX(Players!$A250:$P250, MATCH(P$2, Players!$A$1:$P$1, 0)), perc_75, VLOOKUP(P$2, Percentiles!$A$45:$I$59, 6, FALSE), perc_90, VLOOKUP(P$2, Percentiles!$A$45:$I$59, 7, FALSE), perc_95, VLOOKUP(P$2, Percentiles!$A$45:$I$59, 8, FALSE), perc_85, perc_75 + (perc_90 - perc_75) * (2/3), converted_stat, '2K_Ratings'!P251, IF(bbgm_stat &gt;= perc_95, converted_stat * 3, IF(bbgm_stat &gt;= perc_90, converted_stat * 2, IF(bbgm_stat &gt;= perc_85, converted_stat * 1.5, converted_stat)))))</f>
        <v/>
      </c>
      <c r="Q251" s="30" t="str">
        <f t="array" ref="Q251">IF($A251="", "", LET(bbgm_stat, INDEX(Players!$A250:$P250, MATCH(Q$2, Players!$A$1:$P$1, 0)), perc_75, VLOOKUP(Q$2, Percentiles!$A$45:$I$59, 6, FALSE), perc_90, VLOOKUP(Q$2, Percentiles!$A$45:$I$59, 7, FALSE), perc_95, VLOOKUP(Q$2, Percentiles!$A$45:$I$59, 8, FALSE), perc_85, perc_75 + (perc_90 - perc_75) * (2/3), converted_stat, '2K_Ratings'!Q251, IF(bbgm_stat &gt;= perc_95, converted_stat * 3, IF(bbgm_stat &gt;= perc_90, converted_stat * 2, IF(bbgm_stat &gt;= perc_85, converted_stat * 1.5, converted_stat)))))</f>
        <v/>
      </c>
      <c r="R251" s="30" t="str">
        <f t="array" ref="R251">IF($A251="", "", LET(bbgm_stat, INDEX(Players!$A250:$P250, MATCH(R$2, Players!$A$1:$P$1, 0)), perc_75, VLOOKUP(R$2, Percentiles!$A$45:$I$59, 6, FALSE), perc_90, VLOOKUP(R$2, Percentiles!$A$45:$I$59, 7, FALSE), perc_95, VLOOKUP(R$2, Percentiles!$A$45:$I$59, 8, FALSE), perc_85, perc_75 + (perc_90 - perc_75) * (2/3), converted_stat, '2K_Ratings'!R251, IF(bbgm_stat &gt;= perc_95, converted_stat * 3, IF(bbgm_stat &gt;= perc_90, converted_stat * 2, IF(bbgm_stat &gt;= perc_85, converted_stat * 1.5, converted_stat)))))</f>
        <v/>
      </c>
      <c r="S251" s="30" t="str">
        <f t="array" ref="S251">IF($A251="", "", LET(bbgm_stat, INDEX(Players!$A250:$P250, MATCH(S$2, Players!$A$1:$P$1, 0)), perc_75, VLOOKUP(S$2, Percentiles!$A$45:$I$59, 6, FALSE), perc_90, VLOOKUP(S$2, Percentiles!$A$45:$I$59, 7, FALSE), perc_95, VLOOKUP(S$2, Percentiles!$A$45:$I$59, 8, FALSE), perc_85, perc_75 + (perc_90 - perc_75) * (2/3), converted_stat, '2K_Ratings'!S251, IF(bbgm_stat &gt;= perc_95, converted_stat * 3, IF(bbgm_stat &gt;= perc_90, converted_stat * 2, IF(bbgm_stat &gt;= perc_85, converted_stat * 1.5, converted_stat)))))</f>
        <v/>
      </c>
      <c r="T251" s="30" t="str">
        <f t="array" ref="T251">IF($A251="", "", LET(bbgm_stat, INDEX(Players!$A250:$P250, MATCH(T$2, Players!$A$1:$P$1, 0)), perc_75, VLOOKUP(T$2, Percentiles!$A$45:$I$59, 6, FALSE), perc_90, VLOOKUP(T$2, Percentiles!$A$45:$I$59, 7, FALSE), perc_95, VLOOKUP(T$2, Percentiles!$A$45:$I$59, 8, FALSE), perc_85, perc_75 + (perc_90 - perc_75) * (2/3), converted_stat, '2K_Ratings'!T251, IF(bbgm_stat &gt;= perc_95, converted_stat * 3, IF(bbgm_stat &gt;= perc_90, converted_stat * 2, IF(bbgm_stat &gt;= perc_85, converted_stat * 1.5, converted_stat)))))</f>
        <v/>
      </c>
      <c r="U251" s="30" t="str">
        <f t="array" ref="U251">IF($A251="", "", LET(bbgm_stat, INDEX(Players!$A250:$P250, MATCH(U$2, Players!$A$1:$P$1, 0)), perc_75, VLOOKUP(U$2, Percentiles!$A$45:$I$59, 6, FALSE), perc_90, VLOOKUP(U$2, Percentiles!$A$45:$I$59, 7, FALSE), perc_95, VLOOKUP(U$2, Percentiles!$A$45:$I$59, 8, FALSE), perc_85, perc_75 + (perc_90 - perc_75) * (2/3), converted_stat, '2K_Ratings'!U251, IF(bbgm_stat &gt;= perc_95, converted_stat * 3, IF(bbgm_stat &gt;= perc_90, converted_stat * 2, IF(bbgm_stat &gt;= perc_85, converted_stat * 1.5, converted_stat)))))</f>
        <v/>
      </c>
      <c r="V251" s="30" t="str">
        <f t="array" ref="V251">IF($A251="", "", LET(bbgm_stat, INDEX(Players!$A250:$P250, MATCH(V$2, Players!$A$1:$P$1, 0)), perc_75, VLOOKUP(V$2, Percentiles!$A$45:$I$59, 6, FALSE), perc_90, VLOOKUP(V$2, Percentiles!$A$45:$I$59, 7, FALSE), perc_95, VLOOKUP(V$2, Percentiles!$A$45:$I$59, 8, FALSE), perc_85, perc_75 + (perc_90 - perc_75) * (2/3), converted_stat, '2K_Ratings'!V251, IF(bbgm_stat &gt;= perc_95, converted_stat * 3, IF(bbgm_stat &gt;= perc_90, converted_stat * 2, IF(bbgm_stat &gt;= perc_85, converted_stat * 1.5, converted_stat)))))</f>
        <v/>
      </c>
      <c r="W251" s="30" t="str">
        <f t="array" ref="W251">IF($A251="", "", LET(bbgm_stat, INDEX(Players!$A250:$P250, MATCH(W$2, Players!$A$1:$P$1, 0)), perc_75, VLOOKUP(W$2, Percentiles!$A$45:$I$59, 6, FALSE), perc_90, VLOOKUP(W$2, Percentiles!$A$45:$I$59, 7, FALSE), perc_95, VLOOKUP(W$2, Percentiles!$A$45:$I$59, 8, FALSE), perc_85, perc_75 + (perc_90 - perc_75) * (2/3), converted_stat, '2K_Ratings'!W251, IF(bbgm_stat &gt;= perc_95, converted_stat * 3, IF(bbgm_stat &gt;= perc_90, converted_stat * 2, IF(bbgm_stat &gt;= perc_85, converted_stat * 1.5, converted_stat)))))</f>
        <v/>
      </c>
    </row>
    <row r="252">
      <c r="A252" s="30"/>
      <c r="B252" s="30" t="str">
        <f t="array" ref="B252">IF($A252="", "", LET(bbgm_stat, INDEX(Players!$A251:$P251, MATCH(B$2, Players!$A$1:$P$1, 0)), perc_75, VLOOKUP(B$2, Percentiles!$A$45:$I$59, 6, FALSE), perc_90, VLOOKUP(B$2, Percentiles!$A$45:$I$59, 7, FALSE), perc_95, VLOOKUP(B$2, Percentiles!$A$45:$I$59, 8, FALSE), perc_85, perc_75 + (perc_90 - perc_75) * (2/3), converted_stat, '2K_Ratings'!B252, IF(bbgm_stat &gt;= perc_95, converted_stat * 3, IF(bbgm_stat &gt;= perc_90, converted_stat * 2, IF(bbgm_stat &gt;= perc_85, converted_stat * 1.5, converted_stat)))))</f>
        <v/>
      </c>
      <c r="C252" s="30" t="str">
        <f t="array" ref="C252">IF($A252="", "", LET(bbgm_stat, INDEX(Players!$A251:$P251, MATCH(C$2, Players!$A$1:$P$1, 0)), perc_75, VLOOKUP(C$2, Percentiles!$A$45:$I$59, 6, FALSE), perc_90, VLOOKUP(C$2, Percentiles!$A$45:$I$59, 7, FALSE), perc_95, VLOOKUP(C$2, Percentiles!$A$45:$I$59, 8, FALSE), perc_85, perc_75 + (perc_90 - perc_75) * (2/3), converted_stat, '2K_Ratings'!C252, IF(bbgm_stat &gt;= perc_95, converted_stat * 3, IF(bbgm_stat &gt;= perc_90, converted_stat * 2, IF(bbgm_stat &gt;= perc_85, converted_stat * 1.5, converted_stat)))))</f>
        <v/>
      </c>
      <c r="D252" s="30" t="str">
        <f t="array" ref="D252">IF($A252="", "", LET(bbgm_stat, INDEX(Players!$A251:$P251, MATCH(D$2, Players!$A$1:$P$1, 0)), perc_75, VLOOKUP(D$2, Percentiles!$A$45:$I$59, 6, FALSE), perc_90, VLOOKUP(D$2, Percentiles!$A$45:$I$59, 7, FALSE), perc_95, VLOOKUP(D$2, Percentiles!$A$45:$I$59, 8, FALSE), perc_85, perc_75 + (perc_90 - perc_75) * (2/3), converted_stat, '2K_Ratings'!D252, IF(bbgm_stat &gt;= perc_95, converted_stat * 3, IF(bbgm_stat &gt;= perc_90, converted_stat * 2, IF(bbgm_stat &gt;= perc_85, converted_stat * 1.5, converted_stat)))))</f>
        <v/>
      </c>
      <c r="E252" s="30" t="str">
        <f t="array" ref="E252">IF($A252="", "", LET(bbgm_stat, INDEX(Players!$A251:$P251, MATCH(E$2, Players!$A$1:$P$1, 0)), perc_75, VLOOKUP(E$2, Percentiles!$A$45:$I$59, 6, FALSE), perc_90, VLOOKUP(E$2, Percentiles!$A$45:$I$59, 7, FALSE), perc_95, VLOOKUP(E$2, Percentiles!$A$45:$I$59, 8, FALSE), perc_85, perc_75 + (perc_90 - perc_75) * (2/3), converted_stat, '2K_Ratings'!E252, IF(bbgm_stat &gt;= perc_95, converted_stat * 3, IF(bbgm_stat &gt;= perc_90, converted_stat * 2, IF(bbgm_stat &gt;= perc_85, converted_stat * 1.5, converted_stat)))))</f>
        <v/>
      </c>
      <c r="F252" s="30" t="str">
        <f t="array" ref="F252">IF($A252="", "", LET(bbgm_stat, INDEX(Players!$A251:$P251, MATCH(F$2, Players!$A$1:$P$1, 0)), perc_75, VLOOKUP(F$2, Percentiles!$A$45:$I$59, 6, FALSE), perc_90, VLOOKUP(F$2, Percentiles!$A$45:$I$59, 7, FALSE), perc_95, VLOOKUP(F$2, Percentiles!$A$45:$I$59, 8, FALSE), perc_85, perc_75 + (perc_90 - perc_75) * (2/3), converted_stat, '2K_Ratings'!F252, IF(bbgm_stat &gt;= perc_95, converted_stat * 3, IF(bbgm_stat &gt;= perc_90, converted_stat * 2, IF(bbgm_stat &gt;= perc_85, converted_stat * 1.5, converted_stat)))))</f>
        <v/>
      </c>
      <c r="G252" s="30" t="str">
        <f t="array" ref="G252">IF($A252="", "", LET(bbgm_stat, INDEX(Players!$A251:$P251, MATCH(G$2, Players!$A$1:$P$1, 0)), perc_75, VLOOKUP(G$2, Percentiles!$A$45:$I$59, 6, FALSE), perc_90, VLOOKUP(G$2, Percentiles!$A$45:$I$59, 7, FALSE), perc_95, VLOOKUP(G$2, Percentiles!$A$45:$I$59, 8, FALSE), perc_85, perc_75 + (perc_90 - perc_75) * (2/3), converted_stat, '2K_Ratings'!G252, IF(bbgm_stat &gt;= perc_95, converted_stat * 3, IF(bbgm_stat &gt;= perc_90, converted_stat * 2, IF(bbgm_stat &gt;= perc_85, converted_stat * 1.5, converted_stat)))))</f>
        <v/>
      </c>
      <c r="H252" s="30" t="str">
        <f t="array" ref="H252">IF($A252="", "", LET(bbgm_stat, INDEX(Players!$A251:$P251, MATCH(H$2, Players!$A$1:$P$1, 0)), perc_75, VLOOKUP(H$2, Percentiles!$A$45:$I$59, 6, FALSE), perc_90, VLOOKUP(H$2, Percentiles!$A$45:$I$59, 7, FALSE), perc_95, VLOOKUP(H$2, Percentiles!$A$45:$I$59, 8, FALSE), perc_85, perc_75 + (perc_90 - perc_75) * (2/3), converted_stat, '2K_Ratings'!H252, IF(bbgm_stat &gt;= perc_95, converted_stat * 3, IF(bbgm_stat &gt;= perc_90, converted_stat * 2, IF(bbgm_stat &gt;= perc_85, converted_stat * 1.5, converted_stat)))))</f>
        <v/>
      </c>
      <c r="I252" s="30" t="str">
        <f t="array" ref="I252">IF($A252="", "", LET(bbgm_stat, INDEX(Players!$A251:$P251, MATCH(I$2, Players!$A$1:$P$1, 0)), perc_75, VLOOKUP(I$2, Percentiles!$A$45:$I$59, 6, FALSE), perc_90, VLOOKUP(I$2, Percentiles!$A$45:$I$59, 7, FALSE), perc_95, VLOOKUP(I$2, Percentiles!$A$45:$I$59, 8, FALSE), perc_85, perc_75 + (perc_90 - perc_75) * (2/3), converted_stat, '2K_Ratings'!I252, IF(bbgm_stat &gt;= perc_95, converted_stat * 3, IF(bbgm_stat &gt;= perc_90, converted_stat * 2, IF(bbgm_stat &gt;= perc_85, converted_stat * 1.5, converted_stat)))))</f>
        <v/>
      </c>
      <c r="J252" s="30" t="str">
        <f t="array" ref="J252">IF($A252="", "", LET(bbgm_stat, INDEX(Players!$A251:$P251, MATCH(J$2, Players!$A$1:$P$1, 0)), perc_75, VLOOKUP(J$2, Percentiles!$A$45:$I$59, 6, FALSE), perc_90, VLOOKUP(J$2, Percentiles!$A$45:$I$59, 7, FALSE), perc_95, VLOOKUP(J$2, Percentiles!$A$45:$I$59, 8, FALSE), perc_85, perc_75 + (perc_90 - perc_75) * (2/3), converted_stat, '2K_Ratings'!J252, IF(bbgm_stat &gt;= perc_95, converted_stat * 3, IF(bbgm_stat &gt;= perc_90, converted_stat * 2, IF(bbgm_stat &gt;= perc_85, converted_stat * 1.5, converted_stat)))))</f>
        <v/>
      </c>
      <c r="K252" s="30" t="str">
        <f t="array" ref="K252">IF($A252="", "", LET(bbgm_stat, INDEX(Players!$A251:$P251, MATCH(K$2, Players!$A$1:$P$1, 0)), perc_75, VLOOKUP(K$2, Percentiles!$A$45:$I$59, 6, FALSE), perc_90, VLOOKUP(K$2, Percentiles!$A$45:$I$59, 7, FALSE), perc_95, VLOOKUP(K$2, Percentiles!$A$45:$I$59, 8, FALSE), perc_85, perc_75 + (perc_90 - perc_75) * (2/3), converted_stat, '2K_Ratings'!K252, IF(bbgm_stat &gt;= perc_95, converted_stat * 3, IF(bbgm_stat &gt;= perc_90, converted_stat * 2, IF(bbgm_stat &gt;= perc_85, converted_stat * 1.5, converted_stat)))))</f>
        <v/>
      </c>
      <c r="L252" s="30" t="str">
        <f t="array" ref="L252">IF($A252="", "", LET(bbgm_stat, INDEX(Players!$A251:$P251, MATCH(L$2, Players!$A$1:$P$1, 0)), perc_75, VLOOKUP(L$2, Percentiles!$A$45:$I$59, 6, FALSE), perc_90, VLOOKUP(L$2, Percentiles!$A$45:$I$59, 7, FALSE), perc_95, VLOOKUP(L$2, Percentiles!$A$45:$I$59, 8, FALSE), perc_85, perc_75 + (perc_90 - perc_75) * (2/3), converted_stat, '2K_Ratings'!L252, IF(bbgm_stat &gt;= perc_95, converted_stat * 3, IF(bbgm_stat &gt;= perc_90, converted_stat * 2, IF(bbgm_stat &gt;= perc_85, converted_stat * 1.5, converted_stat)))))</f>
        <v/>
      </c>
      <c r="M252" s="30" t="str">
        <f t="array" ref="M252">IF($A252="", "", LET(bbgm_stat, INDEX(Players!$A251:$P251, MATCH(M$2, Players!$A$1:$P$1, 0)), perc_75, VLOOKUP(M$2, Percentiles!$A$45:$I$59, 6, FALSE), perc_90, VLOOKUP(M$2, Percentiles!$A$45:$I$59, 7, FALSE), perc_95, VLOOKUP(M$2, Percentiles!$A$45:$I$59, 8, FALSE), perc_85, perc_75 + (perc_90 - perc_75) * (2/3), converted_stat, '2K_Ratings'!M252, IF(bbgm_stat &gt;= perc_95, converted_stat * 3, IF(bbgm_stat &gt;= perc_90, converted_stat * 2, IF(bbgm_stat &gt;= perc_85, converted_stat * 1.5, converted_stat)))))</f>
        <v/>
      </c>
      <c r="N252" s="30" t="str">
        <f t="array" ref="N252">IF($A252="", "", LET(bbgm_stat, INDEX(Players!$A251:$P251, MATCH(N$2, Players!$A$1:$P$1, 0)), perc_75, VLOOKUP(N$2, Percentiles!$A$45:$I$59, 6, FALSE), perc_90, VLOOKUP(N$2, Percentiles!$A$45:$I$59, 7, FALSE), perc_95, VLOOKUP(N$2, Percentiles!$A$45:$I$59, 8, FALSE), perc_85, perc_75 + (perc_90 - perc_75) * (2/3), converted_stat, '2K_Ratings'!N252, IF(bbgm_stat &gt;= perc_95, converted_stat * 3, IF(bbgm_stat &gt;= perc_90, converted_stat * 2, IF(bbgm_stat &gt;= perc_85, converted_stat * 1.5, converted_stat)))))</f>
        <v/>
      </c>
      <c r="O252" s="30" t="str">
        <f t="array" ref="O252">IF($A252="", "", LET(bbgm_stat, INDEX(Players!$A251:$P251, MATCH(O$2, Players!$A$1:$P$1, 0)), perc_75, VLOOKUP(O$2, Percentiles!$A$45:$I$59, 6, FALSE), perc_90, VLOOKUP(O$2, Percentiles!$A$45:$I$59, 7, FALSE), perc_95, VLOOKUP(O$2, Percentiles!$A$45:$I$59, 8, FALSE), perc_85, perc_75 + (perc_90 - perc_75) * (2/3), converted_stat, '2K_Ratings'!O252, IF(bbgm_stat &gt;= perc_95, converted_stat * 3, IF(bbgm_stat &gt;= perc_90, converted_stat * 2, IF(bbgm_stat &gt;= perc_85, converted_stat * 1.5, converted_stat)))))</f>
        <v/>
      </c>
      <c r="P252" s="30" t="str">
        <f t="array" ref="P252">IF($A252="", "", LET(bbgm_stat, INDEX(Players!$A251:$P251, MATCH(P$2, Players!$A$1:$P$1, 0)), perc_75, VLOOKUP(P$2, Percentiles!$A$45:$I$59, 6, FALSE), perc_90, VLOOKUP(P$2, Percentiles!$A$45:$I$59, 7, FALSE), perc_95, VLOOKUP(P$2, Percentiles!$A$45:$I$59, 8, FALSE), perc_85, perc_75 + (perc_90 - perc_75) * (2/3), converted_stat, '2K_Ratings'!P252, IF(bbgm_stat &gt;= perc_95, converted_stat * 3, IF(bbgm_stat &gt;= perc_90, converted_stat * 2, IF(bbgm_stat &gt;= perc_85, converted_stat * 1.5, converted_stat)))))</f>
        <v/>
      </c>
      <c r="Q252" s="30" t="str">
        <f t="array" ref="Q252">IF($A252="", "", LET(bbgm_stat, INDEX(Players!$A251:$P251, MATCH(Q$2, Players!$A$1:$P$1, 0)), perc_75, VLOOKUP(Q$2, Percentiles!$A$45:$I$59, 6, FALSE), perc_90, VLOOKUP(Q$2, Percentiles!$A$45:$I$59, 7, FALSE), perc_95, VLOOKUP(Q$2, Percentiles!$A$45:$I$59, 8, FALSE), perc_85, perc_75 + (perc_90 - perc_75) * (2/3), converted_stat, '2K_Ratings'!Q252, IF(bbgm_stat &gt;= perc_95, converted_stat * 3, IF(bbgm_stat &gt;= perc_90, converted_stat * 2, IF(bbgm_stat &gt;= perc_85, converted_stat * 1.5, converted_stat)))))</f>
        <v/>
      </c>
      <c r="R252" s="30" t="str">
        <f t="array" ref="R252">IF($A252="", "", LET(bbgm_stat, INDEX(Players!$A251:$P251, MATCH(R$2, Players!$A$1:$P$1, 0)), perc_75, VLOOKUP(R$2, Percentiles!$A$45:$I$59, 6, FALSE), perc_90, VLOOKUP(R$2, Percentiles!$A$45:$I$59, 7, FALSE), perc_95, VLOOKUP(R$2, Percentiles!$A$45:$I$59, 8, FALSE), perc_85, perc_75 + (perc_90 - perc_75) * (2/3), converted_stat, '2K_Ratings'!R252, IF(bbgm_stat &gt;= perc_95, converted_stat * 3, IF(bbgm_stat &gt;= perc_90, converted_stat * 2, IF(bbgm_stat &gt;= perc_85, converted_stat * 1.5, converted_stat)))))</f>
        <v/>
      </c>
      <c r="S252" s="30" t="str">
        <f t="array" ref="S252">IF($A252="", "", LET(bbgm_stat, INDEX(Players!$A251:$P251, MATCH(S$2, Players!$A$1:$P$1, 0)), perc_75, VLOOKUP(S$2, Percentiles!$A$45:$I$59, 6, FALSE), perc_90, VLOOKUP(S$2, Percentiles!$A$45:$I$59, 7, FALSE), perc_95, VLOOKUP(S$2, Percentiles!$A$45:$I$59, 8, FALSE), perc_85, perc_75 + (perc_90 - perc_75) * (2/3), converted_stat, '2K_Ratings'!S252, IF(bbgm_stat &gt;= perc_95, converted_stat * 3, IF(bbgm_stat &gt;= perc_90, converted_stat * 2, IF(bbgm_stat &gt;= perc_85, converted_stat * 1.5, converted_stat)))))</f>
        <v/>
      </c>
      <c r="T252" s="30" t="str">
        <f t="array" ref="T252">IF($A252="", "", LET(bbgm_stat, INDEX(Players!$A251:$P251, MATCH(T$2, Players!$A$1:$P$1, 0)), perc_75, VLOOKUP(T$2, Percentiles!$A$45:$I$59, 6, FALSE), perc_90, VLOOKUP(T$2, Percentiles!$A$45:$I$59, 7, FALSE), perc_95, VLOOKUP(T$2, Percentiles!$A$45:$I$59, 8, FALSE), perc_85, perc_75 + (perc_90 - perc_75) * (2/3), converted_stat, '2K_Ratings'!T252, IF(bbgm_stat &gt;= perc_95, converted_stat * 3, IF(bbgm_stat &gt;= perc_90, converted_stat * 2, IF(bbgm_stat &gt;= perc_85, converted_stat * 1.5, converted_stat)))))</f>
        <v/>
      </c>
      <c r="U252" s="30" t="str">
        <f t="array" ref="U252">IF($A252="", "", LET(bbgm_stat, INDEX(Players!$A251:$P251, MATCH(U$2, Players!$A$1:$P$1, 0)), perc_75, VLOOKUP(U$2, Percentiles!$A$45:$I$59, 6, FALSE), perc_90, VLOOKUP(U$2, Percentiles!$A$45:$I$59, 7, FALSE), perc_95, VLOOKUP(U$2, Percentiles!$A$45:$I$59, 8, FALSE), perc_85, perc_75 + (perc_90 - perc_75) * (2/3), converted_stat, '2K_Ratings'!U252, IF(bbgm_stat &gt;= perc_95, converted_stat * 3, IF(bbgm_stat &gt;= perc_90, converted_stat * 2, IF(bbgm_stat &gt;= perc_85, converted_stat * 1.5, converted_stat)))))</f>
        <v/>
      </c>
      <c r="V252" s="30" t="str">
        <f t="array" ref="V252">IF($A252="", "", LET(bbgm_stat, INDEX(Players!$A251:$P251, MATCH(V$2, Players!$A$1:$P$1, 0)), perc_75, VLOOKUP(V$2, Percentiles!$A$45:$I$59, 6, FALSE), perc_90, VLOOKUP(V$2, Percentiles!$A$45:$I$59, 7, FALSE), perc_95, VLOOKUP(V$2, Percentiles!$A$45:$I$59, 8, FALSE), perc_85, perc_75 + (perc_90 - perc_75) * (2/3), converted_stat, '2K_Ratings'!V252, IF(bbgm_stat &gt;= perc_95, converted_stat * 3, IF(bbgm_stat &gt;= perc_90, converted_stat * 2, IF(bbgm_stat &gt;= perc_85, converted_stat * 1.5, converted_stat)))))</f>
        <v/>
      </c>
      <c r="W252" s="30" t="str">
        <f t="array" ref="W252">IF($A252="", "", LET(bbgm_stat, INDEX(Players!$A251:$P251, MATCH(W$2, Players!$A$1:$P$1, 0)), perc_75, VLOOKUP(W$2, Percentiles!$A$45:$I$59, 6, FALSE), perc_90, VLOOKUP(W$2, Percentiles!$A$45:$I$59, 7, FALSE), perc_95, VLOOKUP(W$2, Percentiles!$A$45:$I$59, 8, FALSE), perc_85, perc_75 + (perc_90 - perc_75) * (2/3), converted_stat, '2K_Ratings'!W252, IF(bbgm_stat &gt;= perc_95, converted_stat * 3, IF(bbgm_stat &gt;= perc_90, converted_stat * 2, IF(bbgm_stat &gt;= perc_85, converted_stat * 1.5, converted_stat)))))</f>
        <v/>
      </c>
    </row>
    <row r="253">
      <c r="A253" s="30"/>
      <c r="B253" s="30" t="str">
        <f t="array" ref="B253">IF($A253="", "", LET(bbgm_stat, INDEX(Players!$A252:$P252, MATCH(B$2, Players!$A$1:$P$1, 0)), perc_75, VLOOKUP(B$2, Percentiles!$A$45:$I$59, 6, FALSE), perc_90, VLOOKUP(B$2, Percentiles!$A$45:$I$59, 7, FALSE), perc_95, VLOOKUP(B$2, Percentiles!$A$45:$I$59, 8, FALSE), perc_85, perc_75 + (perc_90 - perc_75) * (2/3), converted_stat, '2K_Ratings'!B253, IF(bbgm_stat &gt;= perc_95, converted_stat * 3, IF(bbgm_stat &gt;= perc_90, converted_stat * 2, IF(bbgm_stat &gt;= perc_85, converted_stat * 1.5, converted_stat)))))</f>
        <v/>
      </c>
      <c r="C253" s="30" t="str">
        <f t="array" ref="C253">IF($A253="", "", LET(bbgm_stat, INDEX(Players!$A252:$P252, MATCH(C$2, Players!$A$1:$P$1, 0)), perc_75, VLOOKUP(C$2, Percentiles!$A$45:$I$59, 6, FALSE), perc_90, VLOOKUP(C$2, Percentiles!$A$45:$I$59, 7, FALSE), perc_95, VLOOKUP(C$2, Percentiles!$A$45:$I$59, 8, FALSE), perc_85, perc_75 + (perc_90 - perc_75) * (2/3), converted_stat, '2K_Ratings'!C253, IF(bbgm_stat &gt;= perc_95, converted_stat * 3, IF(bbgm_stat &gt;= perc_90, converted_stat * 2, IF(bbgm_stat &gt;= perc_85, converted_stat * 1.5, converted_stat)))))</f>
        <v/>
      </c>
      <c r="D253" s="30" t="str">
        <f t="array" ref="D253">IF($A253="", "", LET(bbgm_stat, INDEX(Players!$A252:$P252, MATCH(D$2, Players!$A$1:$P$1, 0)), perc_75, VLOOKUP(D$2, Percentiles!$A$45:$I$59, 6, FALSE), perc_90, VLOOKUP(D$2, Percentiles!$A$45:$I$59, 7, FALSE), perc_95, VLOOKUP(D$2, Percentiles!$A$45:$I$59, 8, FALSE), perc_85, perc_75 + (perc_90 - perc_75) * (2/3), converted_stat, '2K_Ratings'!D253, IF(bbgm_stat &gt;= perc_95, converted_stat * 3, IF(bbgm_stat &gt;= perc_90, converted_stat * 2, IF(bbgm_stat &gt;= perc_85, converted_stat * 1.5, converted_stat)))))</f>
        <v/>
      </c>
      <c r="E253" s="30" t="str">
        <f t="array" ref="E253">IF($A253="", "", LET(bbgm_stat, INDEX(Players!$A252:$P252, MATCH(E$2, Players!$A$1:$P$1, 0)), perc_75, VLOOKUP(E$2, Percentiles!$A$45:$I$59, 6, FALSE), perc_90, VLOOKUP(E$2, Percentiles!$A$45:$I$59, 7, FALSE), perc_95, VLOOKUP(E$2, Percentiles!$A$45:$I$59, 8, FALSE), perc_85, perc_75 + (perc_90 - perc_75) * (2/3), converted_stat, '2K_Ratings'!E253, IF(bbgm_stat &gt;= perc_95, converted_stat * 3, IF(bbgm_stat &gt;= perc_90, converted_stat * 2, IF(bbgm_stat &gt;= perc_85, converted_stat * 1.5, converted_stat)))))</f>
        <v/>
      </c>
      <c r="F253" s="30" t="str">
        <f t="array" ref="F253">IF($A253="", "", LET(bbgm_stat, INDEX(Players!$A252:$P252, MATCH(F$2, Players!$A$1:$P$1, 0)), perc_75, VLOOKUP(F$2, Percentiles!$A$45:$I$59, 6, FALSE), perc_90, VLOOKUP(F$2, Percentiles!$A$45:$I$59, 7, FALSE), perc_95, VLOOKUP(F$2, Percentiles!$A$45:$I$59, 8, FALSE), perc_85, perc_75 + (perc_90 - perc_75) * (2/3), converted_stat, '2K_Ratings'!F253, IF(bbgm_stat &gt;= perc_95, converted_stat * 3, IF(bbgm_stat &gt;= perc_90, converted_stat * 2, IF(bbgm_stat &gt;= perc_85, converted_stat * 1.5, converted_stat)))))</f>
        <v/>
      </c>
      <c r="G253" s="30" t="str">
        <f t="array" ref="G253">IF($A253="", "", LET(bbgm_stat, INDEX(Players!$A252:$P252, MATCH(G$2, Players!$A$1:$P$1, 0)), perc_75, VLOOKUP(G$2, Percentiles!$A$45:$I$59, 6, FALSE), perc_90, VLOOKUP(G$2, Percentiles!$A$45:$I$59, 7, FALSE), perc_95, VLOOKUP(G$2, Percentiles!$A$45:$I$59, 8, FALSE), perc_85, perc_75 + (perc_90 - perc_75) * (2/3), converted_stat, '2K_Ratings'!G253, IF(bbgm_stat &gt;= perc_95, converted_stat * 3, IF(bbgm_stat &gt;= perc_90, converted_stat * 2, IF(bbgm_stat &gt;= perc_85, converted_stat * 1.5, converted_stat)))))</f>
        <v/>
      </c>
      <c r="H253" s="30" t="str">
        <f t="array" ref="H253">IF($A253="", "", LET(bbgm_stat, INDEX(Players!$A252:$P252, MATCH(H$2, Players!$A$1:$P$1, 0)), perc_75, VLOOKUP(H$2, Percentiles!$A$45:$I$59, 6, FALSE), perc_90, VLOOKUP(H$2, Percentiles!$A$45:$I$59, 7, FALSE), perc_95, VLOOKUP(H$2, Percentiles!$A$45:$I$59, 8, FALSE), perc_85, perc_75 + (perc_90 - perc_75) * (2/3), converted_stat, '2K_Ratings'!H253, IF(bbgm_stat &gt;= perc_95, converted_stat * 3, IF(bbgm_stat &gt;= perc_90, converted_stat * 2, IF(bbgm_stat &gt;= perc_85, converted_stat * 1.5, converted_stat)))))</f>
        <v/>
      </c>
      <c r="I253" s="30" t="str">
        <f t="array" ref="I253">IF($A253="", "", LET(bbgm_stat, INDEX(Players!$A252:$P252, MATCH(I$2, Players!$A$1:$P$1, 0)), perc_75, VLOOKUP(I$2, Percentiles!$A$45:$I$59, 6, FALSE), perc_90, VLOOKUP(I$2, Percentiles!$A$45:$I$59, 7, FALSE), perc_95, VLOOKUP(I$2, Percentiles!$A$45:$I$59, 8, FALSE), perc_85, perc_75 + (perc_90 - perc_75) * (2/3), converted_stat, '2K_Ratings'!I253, IF(bbgm_stat &gt;= perc_95, converted_stat * 3, IF(bbgm_stat &gt;= perc_90, converted_stat * 2, IF(bbgm_stat &gt;= perc_85, converted_stat * 1.5, converted_stat)))))</f>
        <v/>
      </c>
      <c r="J253" s="30" t="str">
        <f t="array" ref="J253">IF($A253="", "", LET(bbgm_stat, INDEX(Players!$A252:$P252, MATCH(J$2, Players!$A$1:$P$1, 0)), perc_75, VLOOKUP(J$2, Percentiles!$A$45:$I$59, 6, FALSE), perc_90, VLOOKUP(J$2, Percentiles!$A$45:$I$59, 7, FALSE), perc_95, VLOOKUP(J$2, Percentiles!$A$45:$I$59, 8, FALSE), perc_85, perc_75 + (perc_90 - perc_75) * (2/3), converted_stat, '2K_Ratings'!J253, IF(bbgm_stat &gt;= perc_95, converted_stat * 3, IF(bbgm_stat &gt;= perc_90, converted_stat * 2, IF(bbgm_stat &gt;= perc_85, converted_stat * 1.5, converted_stat)))))</f>
        <v/>
      </c>
      <c r="K253" s="30" t="str">
        <f t="array" ref="K253">IF($A253="", "", LET(bbgm_stat, INDEX(Players!$A252:$P252, MATCH(K$2, Players!$A$1:$P$1, 0)), perc_75, VLOOKUP(K$2, Percentiles!$A$45:$I$59, 6, FALSE), perc_90, VLOOKUP(K$2, Percentiles!$A$45:$I$59, 7, FALSE), perc_95, VLOOKUP(K$2, Percentiles!$A$45:$I$59, 8, FALSE), perc_85, perc_75 + (perc_90 - perc_75) * (2/3), converted_stat, '2K_Ratings'!K253, IF(bbgm_stat &gt;= perc_95, converted_stat * 3, IF(bbgm_stat &gt;= perc_90, converted_stat * 2, IF(bbgm_stat &gt;= perc_85, converted_stat * 1.5, converted_stat)))))</f>
        <v/>
      </c>
      <c r="L253" s="30" t="str">
        <f t="array" ref="L253">IF($A253="", "", LET(bbgm_stat, INDEX(Players!$A252:$P252, MATCH(L$2, Players!$A$1:$P$1, 0)), perc_75, VLOOKUP(L$2, Percentiles!$A$45:$I$59, 6, FALSE), perc_90, VLOOKUP(L$2, Percentiles!$A$45:$I$59, 7, FALSE), perc_95, VLOOKUP(L$2, Percentiles!$A$45:$I$59, 8, FALSE), perc_85, perc_75 + (perc_90 - perc_75) * (2/3), converted_stat, '2K_Ratings'!L253, IF(bbgm_stat &gt;= perc_95, converted_stat * 3, IF(bbgm_stat &gt;= perc_90, converted_stat * 2, IF(bbgm_stat &gt;= perc_85, converted_stat * 1.5, converted_stat)))))</f>
        <v/>
      </c>
      <c r="M253" s="30" t="str">
        <f t="array" ref="M253">IF($A253="", "", LET(bbgm_stat, INDEX(Players!$A252:$P252, MATCH(M$2, Players!$A$1:$P$1, 0)), perc_75, VLOOKUP(M$2, Percentiles!$A$45:$I$59, 6, FALSE), perc_90, VLOOKUP(M$2, Percentiles!$A$45:$I$59, 7, FALSE), perc_95, VLOOKUP(M$2, Percentiles!$A$45:$I$59, 8, FALSE), perc_85, perc_75 + (perc_90 - perc_75) * (2/3), converted_stat, '2K_Ratings'!M253, IF(bbgm_stat &gt;= perc_95, converted_stat * 3, IF(bbgm_stat &gt;= perc_90, converted_stat * 2, IF(bbgm_stat &gt;= perc_85, converted_stat * 1.5, converted_stat)))))</f>
        <v/>
      </c>
      <c r="N253" s="30" t="str">
        <f t="array" ref="N253">IF($A253="", "", LET(bbgm_stat, INDEX(Players!$A252:$P252, MATCH(N$2, Players!$A$1:$P$1, 0)), perc_75, VLOOKUP(N$2, Percentiles!$A$45:$I$59, 6, FALSE), perc_90, VLOOKUP(N$2, Percentiles!$A$45:$I$59, 7, FALSE), perc_95, VLOOKUP(N$2, Percentiles!$A$45:$I$59, 8, FALSE), perc_85, perc_75 + (perc_90 - perc_75) * (2/3), converted_stat, '2K_Ratings'!N253, IF(bbgm_stat &gt;= perc_95, converted_stat * 3, IF(bbgm_stat &gt;= perc_90, converted_stat * 2, IF(bbgm_stat &gt;= perc_85, converted_stat * 1.5, converted_stat)))))</f>
        <v/>
      </c>
      <c r="O253" s="30" t="str">
        <f t="array" ref="O253">IF($A253="", "", LET(bbgm_stat, INDEX(Players!$A252:$P252, MATCH(O$2, Players!$A$1:$P$1, 0)), perc_75, VLOOKUP(O$2, Percentiles!$A$45:$I$59, 6, FALSE), perc_90, VLOOKUP(O$2, Percentiles!$A$45:$I$59, 7, FALSE), perc_95, VLOOKUP(O$2, Percentiles!$A$45:$I$59, 8, FALSE), perc_85, perc_75 + (perc_90 - perc_75) * (2/3), converted_stat, '2K_Ratings'!O253, IF(bbgm_stat &gt;= perc_95, converted_stat * 3, IF(bbgm_stat &gt;= perc_90, converted_stat * 2, IF(bbgm_stat &gt;= perc_85, converted_stat * 1.5, converted_stat)))))</f>
        <v/>
      </c>
      <c r="P253" s="30" t="str">
        <f t="array" ref="P253">IF($A253="", "", LET(bbgm_stat, INDEX(Players!$A252:$P252, MATCH(P$2, Players!$A$1:$P$1, 0)), perc_75, VLOOKUP(P$2, Percentiles!$A$45:$I$59, 6, FALSE), perc_90, VLOOKUP(P$2, Percentiles!$A$45:$I$59, 7, FALSE), perc_95, VLOOKUP(P$2, Percentiles!$A$45:$I$59, 8, FALSE), perc_85, perc_75 + (perc_90 - perc_75) * (2/3), converted_stat, '2K_Ratings'!P253, IF(bbgm_stat &gt;= perc_95, converted_stat * 3, IF(bbgm_stat &gt;= perc_90, converted_stat * 2, IF(bbgm_stat &gt;= perc_85, converted_stat * 1.5, converted_stat)))))</f>
        <v/>
      </c>
      <c r="Q253" s="30" t="str">
        <f t="array" ref="Q253">IF($A253="", "", LET(bbgm_stat, INDEX(Players!$A252:$P252, MATCH(Q$2, Players!$A$1:$P$1, 0)), perc_75, VLOOKUP(Q$2, Percentiles!$A$45:$I$59, 6, FALSE), perc_90, VLOOKUP(Q$2, Percentiles!$A$45:$I$59, 7, FALSE), perc_95, VLOOKUP(Q$2, Percentiles!$A$45:$I$59, 8, FALSE), perc_85, perc_75 + (perc_90 - perc_75) * (2/3), converted_stat, '2K_Ratings'!Q253, IF(bbgm_stat &gt;= perc_95, converted_stat * 3, IF(bbgm_stat &gt;= perc_90, converted_stat * 2, IF(bbgm_stat &gt;= perc_85, converted_stat * 1.5, converted_stat)))))</f>
        <v/>
      </c>
      <c r="R253" s="30" t="str">
        <f t="array" ref="R253">IF($A253="", "", LET(bbgm_stat, INDEX(Players!$A252:$P252, MATCH(R$2, Players!$A$1:$P$1, 0)), perc_75, VLOOKUP(R$2, Percentiles!$A$45:$I$59, 6, FALSE), perc_90, VLOOKUP(R$2, Percentiles!$A$45:$I$59, 7, FALSE), perc_95, VLOOKUP(R$2, Percentiles!$A$45:$I$59, 8, FALSE), perc_85, perc_75 + (perc_90 - perc_75) * (2/3), converted_stat, '2K_Ratings'!R253, IF(bbgm_stat &gt;= perc_95, converted_stat * 3, IF(bbgm_stat &gt;= perc_90, converted_stat * 2, IF(bbgm_stat &gt;= perc_85, converted_stat * 1.5, converted_stat)))))</f>
        <v/>
      </c>
      <c r="S253" s="30" t="str">
        <f t="array" ref="S253">IF($A253="", "", LET(bbgm_stat, INDEX(Players!$A252:$P252, MATCH(S$2, Players!$A$1:$P$1, 0)), perc_75, VLOOKUP(S$2, Percentiles!$A$45:$I$59, 6, FALSE), perc_90, VLOOKUP(S$2, Percentiles!$A$45:$I$59, 7, FALSE), perc_95, VLOOKUP(S$2, Percentiles!$A$45:$I$59, 8, FALSE), perc_85, perc_75 + (perc_90 - perc_75) * (2/3), converted_stat, '2K_Ratings'!S253, IF(bbgm_stat &gt;= perc_95, converted_stat * 3, IF(bbgm_stat &gt;= perc_90, converted_stat * 2, IF(bbgm_stat &gt;= perc_85, converted_stat * 1.5, converted_stat)))))</f>
        <v/>
      </c>
      <c r="T253" s="30" t="str">
        <f t="array" ref="T253">IF($A253="", "", LET(bbgm_stat, INDEX(Players!$A252:$P252, MATCH(T$2, Players!$A$1:$P$1, 0)), perc_75, VLOOKUP(T$2, Percentiles!$A$45:$I$59, 6, FALSE), perc_90, VLOOKUP(T$2, Percentiles!$A$45:$I$59, 7, FALSE), perc_95, VLOOKUP(T$2, Percentiles!$A$45:$I$59, 8, FALSE), perc_85, perc_75 + (perc_90 - perc_75) * (2/3), converted_stat, '2K_Ratings'!T253, IF(bbgm_stat &gt;= perc_95, converted_stat * 3, IF(bbgm_stat &gt;= perc_90, converted_stat * 2, IF(bbgm_stat &gt;= perc_85, converted_stat * 1.5, converted_stat)))))</f>
        <v/>
      </c>
      <c r="U253" s="30" t="str">
        <f t="array" ref="U253">IF($A253="", "", LET(bbgm_stat, INDEX(Players!$A252:$P252, MATCH(U$2, Players!$A$1:$P$1, 0)), perc_75, VLOOKUP(U$2, Percentiles!$A$45:$I$59, 6, FALSE), perc_90, VLOOKUP(U$2, Percentiles!$A$45:$I$59, 7, FALSE), perc_95, VLOOKUP(U$2, Percentiles!$A$45:$I$59, 8, FALSE), perc_85, perc_75 + (perc_90 - perc_75) * (2/3), converted_stat, '2K_Ratings'!U253, IF(bbgm_stat &gt;= perc_95, converted_stat * 3, IF(bbgm_stat &gt;= perc_90, converted_stat * 2, IF(bbgm_stat &gt;= perc_85, converted_stat * 1.5, converted_stat)))))</f>
        <v/>
      </c>
      <c r="V253" s="30" t="str">
        <f t="array" ref="V253">IF($A253="", "", LET(bbgm_stat, INDEX(Players!$A252:$P252, MATCH(V$2, Players!$A$1:$P$1, 0)), perc_75, VLOOKUP(V$2, Percentiles!$A$45:$I$59, 6, FALSE), perc_90, VLOOKUP(V$2, Percentiles!$A$45:$I$59, 7, FALSE), perc_95, VLOOKUP(V$2, Percentiles!$A$45:$I$59, 8, FALSE), perc_85, perc_75 + (perc_90 - perc_75) * (2/3), converted_stat, '2K_Ratings'!V253, IF(bbgm_stat &gt;= perc_95, converted_stat * 3, IF(bbgm_stat &gt;= perc_90, converted_stat * 2, IF(bbgm_stat &gt;= perc_85, converted_stat * 1.5, converted_stat)))))</f>
        <v/>
      </c>
      <c r="W253" s="30" t="str">
        <f t="array" ref="W253">IF($A253="", "", LET(bbgm_stat, INDEX(Players!$A252:$P252, MATCH(W$2, Players!$A$1:$P$1, 0)), perc_75, VLOOKUP(W$2, Percentiles!$A$45:$I$59, 6, FALSE), perc_90, VLOOKUP(W$2, Percentiles!$A$45:$I$59, 7, FALSE), perc_95, VLOOKUP(W$2, Percentiles!$A$45:$I$59, 8, FALSE), perc_85, perc_75 + (perc_90 - perc_75) * (2/3), converted_stat, '2K_Ratings'!W253, IF(bbgm_stat &gt;= perc_95, converted_stat * 3, IF(bbgm_stat &gt;= perc_90, converted_stat * 2, IF(bbgm_stat &gt;= perc_85, converted_stat * 1.5, converted_stat)))))</f>
        <v/>
      </c>
    </row>
    <row r="254">
      <c r="A254" s="30"/>
      <c r="B254" s="30" t="str">
        <f t="array" ref="B254">IF($A254="", "", LET(bbgm_stat, INDEX(Players!$A253:$P253, MATCH(B$2, Players!$A$1:$P$1, 0)), perc_75, VLOOKUP(B$2, Percentiles!$A$45:$I$59, 6, FALSE), perc_90, VLOOKUP(B$2, Percentiles!$A$45:$I$59, 7, FALSE), perc_95, VLOOKUP(B$2, Percentiles!$A$45:$I$59, 8, FALSE), perc_85, perc_75 + (perc_90 - perc_75) * (2/3), converted_stat, '2K_Ratings'!B254, IF(bbgm_stat &gt;= perc_95, converted_stat * 3, IF(bbgm_stat &gt;= perc_90, converted_stat * 2, IF(bbgm_stat &gt;= perc_85, converted_stat * 1.5, converted_stat)))))</f>
        <v/>
      </c>
      <c r="C254" s="30" t="str">
        <f t="array" ref="C254">IF($A254="", "", LET(bbgm_stat, INDEX(Players!$A253:$P253, MATCH(C$2, Players!$A$1:$P$1, 0)), perc_75, VLOOKUP(C$2, Percentiles!$A$45:$I$59, 6, FALSE), perc_90, VLOOKUP(C$2, Percentiles!$A$45:$I$59, 7, FALSE), perc_95, VLOOKUP(C$2, Percentiles!$A$45:$I$59, 8, FALSE), perc_85, perc_75 + (perc_90 - perc_75) * (2/3), converted_stat, '2K_Ratings'!C254, IF(bbgm_stat &gt;= perc_95, converted_stat * 3, IF(bbgm_stat &gt;= perc_90, converted_stat * 2, IF(bbgm_stat &gt;= perc_85, converted_stat * 1.5, converted_stat)))))</f>
        <v/>
      </c>
      <c r="D254" s="30" t="str">
        <f t="array" ref="D254">IF($A254="", "", LET(bbgm_stat, INDEX(Players!$A253:$P253, MATCH(D$2, Players!$A$1:$P$1, 0)), perc_75, VLOOKUP(D$2, Percentiles!$A$45:$I$59, 6, FALSE), perc_90, VLOOKUP(D$2, Percentiles!$A$45:$I$59, 7, FALSE), perc_95, VLOOKUP(D$2, Percentiles!$A$45:$I$59, 8, FALSE), perc_85, perc_75 + (perc_90 - perc_75) * (2/3), converted_stat, '2K_Ratings'!D254, IF(bbgm_stat &gt;= perc_95, converted_stat * 3, IF(bbgm_stat &gt;= perc_90, converted_stat * 2, IF(bbgm_stat &gt;= perc_85, converted_stat * 1.5, converted_stat)))))</f>
        <v/>
      </c>
      <c r="E254" s="30" t="str">
        <f t="array" ref="E254">IF($A254="", "", LET(bbgm_stat, INDEX(Players!$A253:$P253, MATCH(E$2, Players!$A$1:$P$1, 0)), perc_75, VLOOKUP(E$2, Percentiles!$A$45:$I$59, 6, FALSE), perc_90, VLOOKUP(E$2, Percentiles!$A$45:$I$59, 7, FALSE), perc_95, VLOOKUP(E$2, Percentiles!$A$45:$I$59, 8, FALSE), perc_85, perc_75 + (perc_90 - perc_75) * (2/3), converted_stat, '2K_Ratings'!E254, IF(bbgm_stat &gt;= perc_95, converted_stat * 3, IF(bbgm_stat &gt;= perc_90, converted_stat * 2, IF(bbgm_stat &gt;= perc_85, converted_stat * 1.5, converted_stat)))))</f>
        <v/>
      </c>
      <c r="F254" s="30" t="str">
        <f t="array" ref="F254">IF($A254="", "", LET(bbgm_stat, INDEX(Players!$A253:$P253, MATCH(F$2, Players!$A$1:$P$1, 0)), perc_75, VLOOKUP(F$2, Percentiles!$A$45:$I$59, 6, FALSE), perc_90, VLOOKUP(F$2, Percentiles!$A$45:$I$59, 7, FALSE), perc_95, VLOOKUP(F$2, Percentiles!$A$45:$I$59, 8, FALSE), perc_85, perc_75 + (perc_90 - perc_75) * (2/3), converted_stat, '2K_Ratings'!F254, IF(bbgm_stat &gt;= perc_95, converted_stat * 3, IF(bbgm_stat &gt;= perc_90, converted_stat * 2, IF(bbgm_stat &gt;= perc_85, converted_stat * 1.5, converted_stat)))))</f>
        <v/>
      </c>
      <c r="G254" s="30" t="str">
        <f t="array" ref="G254">IF($A254="", "", LET(bbgm_stat, INDEX(Players!$A253:$P253, MATCH(G$2, Players!$A$1:$P$1, 0)), perc_75, VLOOKUP(G$2, Percentiles!$A$45:$I$59, 6, FALSE), perc_90, VLOOKUP(G$2, Percentiles!$A$45:$I$59, 7, FALSE), perc_95, VLOOKUP(G$2, Percentiles!$A$45:$I$59, 8, FALSE), perc_85, perc_75 + (perc_90 - perc_75) * (2/3), converted_stat, '2K_Ratings'!G254, IF(bbgm_stat &gt;= perc_95, converted_stat * 3, IF(bbgm_stat &gt;= perc_90, converted_stat * 2, IF(bbgm_stat &gt;= perc_85, converted_stat * 1.5, converted_stat)))))</f>
        <v/>
      </c>
      <c r="H254" s="30" t="str">
        <f t="array" ref="H254">IF($A254="", "", LET(bbgm_stat, INDEX(Players!$A253:$P253, MATCH(H$2, Players!$A$1:$P$1, 0)), perc_75, VLOOKUP(H$2, Percentiles!$A$45:$I$59, 6, FALSE), perc_90, VLOOKUP(H$2, Percentiles!$A$45:$I$59, 7, FALSE), perc_95, VLOOKUP(H$2, Percentiles!$A$45:$I$59, 8, FALSE), perc_85, perc_75 + (perc_90 - perc_75) * (2/3), converted_stat, '2K_Ratings'!H254, IF(bbgm_stat &gt;= perc_95, converted_stat * 3, IF(bbgm_stat &gt;= perc_90, converted_stat * 2, IF(bbgm_stat &gt;= perc_85, converted_stat * 1.5, converted_stat)))))</f>
        <v/>
      </c>
      <c r="I254" s="30" t="str">
        <f t="array" ref="I254">IF($A254="", "", LET(bbgm_stat, INDEX(Players!$A253:$P253, MATCH(I$2, Players!$A$1:$P$1, 0)), perc_75, VLOOKUP(I$2, Percentiles!$A$45:$I$59, 6, FALSE), perc_90, VLOOKUP(I$2, Percentiles!$A$45:$I$59, 7, FALSE), perc_95, VLOOKUP(I$2, Percentiles!$A$45:$I$59, 8, FALSE), perc_85, perc_75 + (perc_90 - perc_75) * (2/3), converted_stat, '2K_Ratings'!I254, IF(bbgm_stat &gt;= perc_95, converted_stat * 3, IF(bbgm_stat &gt;= perc_90, converted_stat * 2, IF(bbgm_stat &gt;= perc_85, converted_stat * 1.5, converted_stat)))))</f>
        <v/>
      </c>
      <c r="J254" s="30" t="str">
        <f t="array" ref="J254">IF($A254="", "", LET(bbgm_stat, INDEX(Players!$A253:$P253, MATCH(J$2, Players!$A$1:$P$1, 0)), perc_75, VLOOKUP(J$2, Percentiles!$A$45:$I$59, 6, FALSE), perc_90, VLOOKUP(J$2, Percentiles!$A$45:$I$59, 7, FALSE), perc_95, VLOOKUP(J$2, Percentiles!$A$45:$I$59, 8, FALSE), perc_85, perc_75 + (perc_90 - perc_75) * (2/3), converted_stat, '2K_Ratings'!J254, IF(bbgm_stat &gt;= perc_95, converted_stat * 3, IF(bbgm_stat &gt;= perc_90, converted_stat * 2, IF(bbgm_stat &gt;= perc_85, converted_stat * 1.5, converted_stat)))))</f>
        <v/>
      </c>
      <c r="K254" s="30" t="str">
        <f t="array" ref="K254">IF($A254="", "", LET(bbgm_stat, INDEX(Players!$A253:$P253, MATCH(K$2, Players!$A$1:$P$1, 0)), perc_75, VLOOKUP(K$2, Percentiles!$A$45:$I$59, 6, FALSE), perc_90, VLOOKUP(K$2, Percentiles!$A$45:$I$59, 7, FALSE), perc_95, VLOOKUP(K$2, Percentiles!$A$45:$I$59, 8, FALSE), perc_85, perc_75 + (perc_90 - perc_75) * (2/3), converted_stat, '2K_Ratings'!K254, IF(bbgm_stat &gt;= perc_95, converted_stat * 3, IF(bbgm_stat &gt;= perc_90, converted_stat * 2, IF(bbgm_stat &gt;= perc_85, converted_stat * 1.5, converted_stat)))))</f>
        <v/>
      </c>
      <c r="L254" s="30" t="str">
        <f t="array" ref="L254">IF($A254="", "", LET(bbgm_stat, INDEX(Players!$A253:$P253, MATCH(L$2, Players!$A$1:$P$1, 0)), perc_75, VLOOKUP(L$2, Percentiles!$A$45:$I$59, 6, FALSE), perc_90, VLOOKUP(L$2, Percentiles!$A$45:$I$59, 7, FALSE), perc_95, VLOOKUP(L$2, Percentiles!$A$45:$I$59, 8, FALSE), perc_85, perc_75 + (perc_90 - perc_75) * (2/3), converted_stat, '2K_Ratings'!L254, IF(bbgm_stat &gt;= perc_95, converted_stat * 3, IF(bbgm_stat &gt;= perc_90, converted_stat * 2, IF(bbgm_stat &gt;= perc_85, converted_stat * 1.5, converted_stat)))))</f>
        <v/>
      </c>
      <c r="M254" s="30" t="str">
        <f t="array" ref="M254">IF($A254="", "", LET(bbgm_stat, INDEX(Players!$A253:$P253, MATCH(M$2, Players!$A$1:$P$1, 0)), perc_75, VLOOKUP(M$2, Percentiles!$A$45:$I$59, 6, FALSE), perc_90, VLOOKUP(M$2, Percentiles!$A$45:$I$59, 7, FALSE), perc_95, VLOOKUP(M$2, Percentiles!$A$45:$I$59, 8, FALSE), perc_85, perc_75 + (perc_90 - perc_75) * (2/3), converted_stat, '2K_Ratings'!M254, IF(bbgm_stat &gt;= perc_95, converted_stat * 3, IF(bbgm_stat &gt;= perc_90, converted_stat * 2, IF(bbgm_stat &gt;= perc_85, converted_stat * 1.5, converted_stat)))))</f>
        <v/>
      </c>
      <c r="N254" s="30" t="str">
        <f t="array" ref="N254">IF($A254="", "", LET(bbgm_stat, INDEX(Players!$A253:$P253, MATCH(N$2, Players!$A$1:$P$1, 0)), perc_75, VLOOKUP(N$2, Percentiles!$A$45:$I$59, 6, FALSE), perc_90, VLOOKUP(N$2, Percentiles!$A$45:$I$59, 7, FALSE), perc_95, VLOOKUP(N$2, Percentiles!$A$45:$I$59, 8, FALSE), perc_85, perc_75 + (perc_90 - perc_75) * (2/3), converted_stat, '2K_Ratings'!N254, IF(bbgm_stat &gt;= perc_95, converted_stat * 3, IF(bbgm_stat &gt;= perc_90, converted_stat * 2, IF(bbgm_stat &gt;= perc_85, converted_stat * 1.5, converted_stat)))))</f>
        <v/>
      </c>
      <c r="O254" s="30" t="str">
        <f t="array" ref="O254">IF($A254="", "", LET(bbgm_stat, INDEX(Players!$A253:$P253, MATCH(O$2, Players!$A$1:$P$1, 0)), perc_75, VLOOKUP(O$2, Percentiles!$A$45:$I$59, 6, FALSE), perc_90, VLOOKUP(O$2, Percentiles!$A$45:$I$59, 7, FALSE), perc_95, VLOOKUP(O$2, Percentiles!$A$45:$I$59, 8, FALSE), perc_85, perc_75 + (perc_90 - perc_75) * (2/3), converted_stat, '2K_Ratings'!O254, IF(bbgm_stat &gt;= perc_95, converted_stat * 3, IF(bbgm_stat &gt;= perc_90, converted_stat * 2, IF(bbgm_stat &gt;= perc_85, converted_stat * 1.5, converted_stat)))))</f>
        <v/>
      </c>
      <c r="P254" s="30" t="str">
        <f t="array" ref="P254">IF($A254="", "", LET(bbgm_stat, INDEX(Players!$A253:$P253, MATCH(P$2, Players!$A$1:$P$1, 0)), perc_75, VLOOKUP(P$2, Percentiles!$A$45:$I$59, 6, FALSE), perc_90, VLOOKUP(P$2, Percentiles!$A$45:$I$59, 7, FALSE), perc_95, VLOOKUP(P$2, Percentiles!$A$45:$I$59, 8, FALSE), perc_85, perc_75 + (perc_90 - perc_75) * (2/3), converted_stat, '2K_Ratings'!P254, IF(bbgm_stat &gt;= perc_95, converted_stat * 3, IF(bbgm_stat &gt;= perc_90, converted_stat * 2, IF(bbgm_stat &gt;= perc_85, converted_stat * 1.5, converted_stat)))))</f>
        <v/>
      </c>
      <c r="Q254" s="30" t="str">
        <f t="array" ref="Q254">IF($A254="", "", LET(bbgm_stat, INDEX(Players!$A253:$P253, MATCH(Q$2, Players!$A$1:$P$1, 0)), perc_75, VLOOKUP(Q$2, Percentiles!$A$45:$I$59, 6, FALSE), perc_90, VLOOKUP(Q$2, Percentiles!$A$45:$I$59, 7, FALSE), perc_95, VLOOKUP(Q$2, Percentiles!$A$45:$I$59, 8, FALSE), perc_85, perc_75 + (perc_90 - perc_75) * (2/3), converted_stat, '2K_Ratings'!Q254, IF(bbgm_stat &gt;= perc_95, converted_stat * 3, IF(bbgm_stat &gt;= perc_90, converted_stat * 2, IF(bbgm_stat &gt;= perc_85, converted_stat * 1.5, converted_stat)))))</f>
        <v/>
      </c>
      <c r="R254" s="30" t="str">
        <f t="array" ref="R254">IF($A254="", "", LET(bbgm_stat, INDEX(Players!$A253:$P253, MATCH(R$2, Players!$A$1:$P$1, 0)), perc_75, VLOOKUP(R$2, Percentiles!$A$45:$I$59, 6, FALSE), perc_90, VLOOKUP(R$2, Percentiles!$A$45:$I$59, 7, FALSE), perc_95, VLOOKUP(R$2, Percentiles!$A$45:$I$59, 8, FALSE), perc_85, perc_75 + (perc_90 - perc_75) * (2/3), converted_stat, '2K_Ratings'!R254, IF(bbgm_stat &gt;= perc_95, converted_stat * 3, IF(bbgm_stat &gt;= perc_90, converted_stat * 2, IF(bbgm_stat &gt;= perc_85, converted_stat * 1.5, converted_stat)))))</f>
        <v/>
      </c>
      <c r="S254" s="30" t="str">
        <f t="array" ref="S254">IF($A254="", "", LET(bbgm_stat, INDEX(Players!$A253:$P253, MATCH(S$2, Players!$A$1:$P$1, 0)), perc_75, VLOOKUP(S$2, Percentiles!$A$45:$I$59, 6, FALSE), perc_90, VLOOKUP(S$2, Percentiles!$A$45:$I$59, 7, FALSE), perc_95, VLOOKUP(S$2, Percentiles!$A$45:$I$59, 8, FALSE), perc_85, perc_75 + (perc_90 - perc_75) * (2/3), converted_stat, '2K_Ratings'!S254, IF(bbgm_stat &gt;= perc_95, converted_stat * 3, IF(bbgm_stat &gt;= perc_90, converted_stat * 2, IF(bbgm_stat &gt;= perc_85, converted_stat * 1.5, converted_stat)))))</f>
        <v/>
      </c>
      <c r="T254" s="30" t="str">
        <f t="array" ref="T254">IF($A254="", "", LET(bbgm_stat, INDEX(Players!$A253:$P253, MATCH(T$2, Players!$A$1:$P$1, 0)), perc_75, VLOOKUP(T$2, Percentiles!$A$45:$I$59, 6, FALSE), perc_90, VLOOKUP(T$2, Percentiles!$A$45:$I$59, 7, FALSE), perc_95, VLOOKUP(T$2, Percentiles!$A$45:$I$59, 8, FALSE), perc_85, perc_75 + (perc_90 - perc_75) * (2/3), converted_stat, '2K_Ratings'!T254, IF(bbgm_stat &gt;= perc_95, converted_stat * 3, IF(bbgm_stat &gt;= perc_90, converted_stat * 2, IF(bbgm_stat &gt;= perc_85, converted_stat * 1.5, converted_stat)))))</f>
        <v/>
      </c>
      <c r="U254" s="30" t="str">
        <f t="array" ref="U254">IF($A254="", "", LET(bbgm_stat, INDEX(Players!$A253:$P253, MATCH(U$2, Players!$A$1:$P$1, 0)), perc_75, VLOOKUP(U$2, Percentiles!$A$45:$I$59, 6, FALSE), perc_90, VLOOKUP(U$2, Percentiles!$A$45:$I$59, 7, FALSE), perc_95, VLOOKUP(U$2, Percentiles!$A$45:$I$59, 8, FALSE), perc_85, perc_75 + (perc_90 - perc_75) * (2/3), converted_stat, '2K_Ratings'!U254, IF(bbgm_stat &gt;= perc_95, converted_stat * 3, IF(bbgm_stat &gt;= perc_90, converted_stat * 2, IF(bbgm_stat &gt;= perc_85, converted_stat * 1.5, converted_stat)))))</f>
        <v/>
      </c>
      <c r="V254" s="30" t="str">
        <f t="array" ref="V254">IF($A254="", "", LET(bbgm_stat, INDEX(Players!$A253:$P253, MATCH(V$2, Players!$A$1:$P$1, 0)), perc_75, VLOOKUP(V$2, Percentiles!$A$45:$I$59, 6, FALSE), perc_90, VLOOKUP(V$2, Percentiles!$A$45:$I$59, 7, FALSE), perc_95, VLOOKUP(V$2, Percentiles!$A$45:$I$59, 8, FALSE), perc_85, perc_75 + (perc_90 - perc_75) * (2/3), converted_stat, '2K_Ratings'!V254, IF(bbgm_stat &gt;= perc_95, converted_stat * 3, IF(bbgm_stat &gt;= perc_90, converted_stat * 2, IF(bbgm_stat &gt;= perc_85, converted_stat * 1.5, converted_stat)))))</f>
        <v/>
      </c>
      <c r="W254" s="30" t="str">
        <f t="array" ref="W254">IF($A254="", "", LET(bbgm_stat, INDEX(Players!$A253:$P253, MATCH(W$2, Players!$A$1:$P$1, 0)), perc_75, VLOOKUP(W$2, Percentiles!$A$45:$I$59, 6, FALSE), perc_90, VLOOKUP(W$2, Percentiles!$A$45:$I$59, 7, FALSE), perc_95, VLOOKUP(W$2, Percentiles!$A$45:$I$59, 8, FALSE), perc_85, perc_75 + (perc_90 - perc_75) * (2/3), converted_stat, '2K_Ratings'!W254, IF(bbgm_stat &gt;= perc_95, converted_stat * 3, IF(bbgm_stat &gt;= perc_90, converted_stat * 2, IF(bbgm_stat &gt;= perc_85, converted_stat * 1.5, converted_stat)))))</f>
        <v/>
      </c>
    </row>
    <row r="255">
      <c r="A255" s="30"/>
      <c r="B255" s="30" t="str">
        <f t="array" ref="B255">IF($A255="", "", LET(bbgm_stat, INDEX(Players!$A254:$P254, MATCH(B$2, Players!$A$1:$P$1, 0)), perc_75, VLOOKUP(B$2, Percentiles!$A$45:$I$59, 6, FALSE), perc_90, VLOOKUP(B$2, Percentiles!$A$45:$I$59, 7, FALSE), perc_95, VLOOKUP(B$2, Percentiles!$A$45:$I$59, 8, FALSE), perc_85, perc_75 + (perc_90 - perc_75) * (2/3), converted_stat, '2K_Ratings'!B255, IF(bbgm_stat &gt;= perc_95, converted_stat * 3, IF(bbgm_stat &gt;= perc_90, converted_stat * 2, IF(bbgm_stat &gt;= perc_85, converted_stat * 1.5, converted_stat)))))</f>
        <v/>
      </c>
      <c r="C255" s="30" t="str">
        <f t="array" ref="C255">IF($A255="", "", LET(bbgm_stat, INDEX(Players!$A254:$P254, MATCH(C$2, Players!$A$1:$P$1, 0)), perc_75, VLOOKUP(C$2, Percentiles!$A$45:$I$59, 6, FALSE), perc_90, VLOOKUP(C$2, Percentiles!$A$45:$I$59, 7, FALSE), perc_95, VLOOKUP(C$2, Percentiles!$A$45:$I$59, 8, FALSE), perc_85, perc_75 + (perc_90 - perc_75) * (2/3), converted_stat, '2K_Ratings'!C255, IF(bbgm_stat &gt;= perc_95, converted_stat * 3, IF(bbgm_stat &gt;= perc_90, converted_stat * 2, IF(bbgm_stat &gt;= perc_85, converted_stat * 1.5, converted_stat)))))</f>
        <v/>
      </c>
      <c r="D255" s="30" t="str">
        <f t="array" ref="D255">IF($A255="", "", LET(bbgm_stat, INDEX(Players!$A254:$P254, MATCH(D$2, Players!$A$1:$P$1, 0)), perc_75, VLOOKUP(D$2, Percentiles!$A$45:$I$59, 6, FALSE), perc_90, VLOOKUP(D$2, Percentiles!$A$45:$I$59, 7, FALSE), perc_95, VLOOKUP(D$2, Percentiles!$A$45:$I$59, 8, FALSE), perc_85, perc_75 + (perc_90 - perc_75) * (2/3), converted_stat, '2K_Ratings'!D255, IF(bbgm_stat &gt;= perc_95, converted_stat * 3, IF(bbgm_stat &gt;= perc_90, converted_stat * 2, IF(bbgm_stat &gt;= perc_85, converted_stat * 1.5, converted_stat)))))</f>
        <v/>
      </c>
      <c r="E255" s="30" t="str">
        <f t="array" ref="E255">IF($A255="", "", LET(bbgm_stat, INDEX(Players!$A254:$P254, MATCH(E$2, Players!$A$1:$P$1, 0)), perc_75, VLOOKUP(E$2, Percentiles!$A$45:$I$59, 6, FALSE), perc_90, VLOOKUP(E$2, Percentiles!$A$45:$I$59, 7, FALSE), perc_95, VLOOKUP(E$2, Percentiles!$A$45:$I$59, 8, FALSE), perc_85, perc_75 + (perc_90 - perc_75) * (2/3), converted_stat, '2K_Ratings'!E255, IF(bbgm_stat &gt;= perc_95, converted_stat * 3, IF(bbgm_stat &gt;= perc_90, converted_stat * 2, IF(bbgm_stat &gt;= perc_85, converted_stat * 1.5, converted_stat)))))</f>
        <v/>
      </c>
      <c r="F255" s="30" t="str">
        <f t="array" ref="F255">IF($A255="", "", LET(bbgm_stat, INDEX(Players!$A254:$P254, MATCH(F$2, Players!$A$1:$P$1, 0)), perc_75, VLOOKUP(F$2, Percentiles!$A$45:$I$59, 6, FALSE), perc_90, VLOOKUP(F$2, Percentiles!$A$45:$I$59, 7, FALSE), perc_95, VLOOKUP(F$2, Percentiles!$A$45:$I$59, 8, FALSE), perc_85, perc_75 + (perc_90 - perc_75) * (2/3), converted_stat, '2K_Ratings'!F255, IF(bbgm_stat &gt;= perc_95, converted_stat * 3, IF(bbgm_stat &gt;= perc_90, converted_stat * 2, IF(bbgm_stat &gt;= perc_85, converted_stat * 1.5, converted_stat)))))</f>
        <v/>
      </c>
      <c r="G255" s="30" t="str">
        <f t="array" ref="G255">IF($A255="", "", LET(bbgm_stat, INDEX(Players!$A254:$P254, MATCH(G$2, Players!$A$1:$P$1, 0)), perc_75, VLOOKUP(G$2, Percentiles!$A$45:$I$59, 6, FALSE), perc_90, VLOOKUP(G$2, Percentiles!$A$45:$I$59, 7, FALSE), perc_95, VLOOKUP(G$2, Percentiles!$A$45:$I$59, 8, FALSE), perc_85, perc_75 + (perc_90 - perc_75) * (2/3), converted_stat, '2K_Ratings'!G255, IF(bbgm_stat &gt;= perc_95, converted_stat * 3, IF(bbgm_stat &gt;= perc_90, converted_stat * 2, IF(bbgm_stat &gt;= perc_85, converted_stat * 1.5, converted_stat)))))</f>
        <v/>
      </c>
      <c r="H255" s="30" t="str">
        <f t="array" ref="H255">IF($A255="", "", LET(bbgm_stat, INDEX(Players!$A254:$P254, MATCH(H$2, Players!$A$1:$P$1, 0)), perc_75, VLOOKUP(H$2, Percentiles!$A$45:$I$59, 6, FALSE), perc_90, VLOOKUP(H$2, Percentiles!$A$45:$I$59, 7, FALSE), perc_95, VLOOKUP(H$2, Percentiles!$A$45:$I$59, 8, FALSE), perc_85, perc_75 + (perc_90 - perc_75) * (2/3), converted_stat, '2K_Ratings'!H255, IF(bbgm_stat &gt;= perc_95, converted_stat * 3, IF(bbgm_stat &gt;= perc_90, converted_stat * 2, IF(bbgm_stat &gt;= perc_85, converted_stat * 1.5, converted_stat)))))</f>
        <v/>
      </c>
      <c r="I255" s="30" t="str">
        <f t="array" ref="I255">IF($A255="", "", LET(bbgm_stat, INDEX(Players!$A254:$P254, MATCH(I$2, Players!$A$1:$P$1, 0)), perc_75, VLOOKUP(I$2, Percentiles!$A$45:$I$59, 6, FALSE), perc_90, VLOOKUP(I$2, Percentiles!$A$45:$I$59, 7, FALSE), perc_95, VLOOKUP(I$2, Percentiles!$A$45:$I$59, 8, FALSE), perc_85, perc_75 + (perc_90 - perc_75) * (2/3), converted_stat, '2K_Ratings'!I255, IF(bbgm_stat &gt;= perc_95, converted_stat * 3, IF(bbgm_stat &gt;= perc_90, converted_stat * 2, IF(bbgm_stat &gt;= perc_85, converted_stat * 1.5, converted_stat)))))</f>
        <v/>
      </c>
      <c r="J255" s="30" t="str">
        <f t="array" ref="J255">IF($A255="", "", LET(bbgm_stat, INDEX(Players!$A254:$P254, MATCH(J$2, Players!$A$1:$P$1, 0)), perc_75, VLOOKUP(J$2, Percentiles!$A$45:$I$59, 6, FALSE), perc_90, VLOOKUP(J$2, Percentiles!$A$45:$I$59, 7, FALSE), perc_95, VLOOKUP(J$2, Percentiles!$A$45:$I$59, 8, FALSE), perc_85, perc_75 + (perc_90 - perc_75) * (2/3), converted_stat, '2K_Ratings'!J255, IF(bbgm_stat &gt;= perc_95, converted_stat * 3, IF(bbgm_stat &gt;= perc_90, converted_stat * 2, IF(bbgm_stat &gt;= perc_85, converted_stat * 1.5, converted_stat)))))</f>
        <v/>
      </c>
      <c r="K255" s="30" t="str">
        <f t="array" ref="K255">IF($A255="", "", LET(bbgm_stat, INDEX(Players!$A254:$P254, MATCH(K$2, Players!$A$1:$P$1, 0)), perc_75, VLOOKUP(K$2, Percentiles!$A$45:$I$59, 6, FALSE), perc_90, VLOOKUP(K$2, Percentiles!$A$45:$I$59, 7, FALSE), perc_95, VLOOKUP(K$2, Percentiles!$A$45:$I$59, 8, FALSE), perc_85, perc_75 + (perc_90 - perc_75) * (2/3), converted_stat, '2K_Ratings'!K255, IF(bbgm_stat &gt;= perc_95, converted_stat * 3, IF(bbgm_stat &gt;= perc_90, converted_stat * 2, IF(bbgm_stat &gt;= perc_85, converted_stat * 1.5, converted_stat)))))</f>
        <v/>
      </c>
      <c r="L255" s="30" t="str">
        <f t="array" ref="L255">IF($A255="", "", LET(bbgm_stat, INDEX(Players!$A254:$P254, MATCH(L$2, Players!$A$1:$P$1, 0)), perc_75, VLOOKUP(L$2, Percentiles!$A$45:$I$59, 6, FALSE), perc_90, VLOOKUP(L$2, Percentiles!$A$45:$I$59, 7, FALSE), perc_95, VLOOKUP(L$2, Percentiles!$A$45:$I$59, 8, FALSE), perc_85, perc_75 + (perc_90 - perc_75) * (2/3), converted_stat, '2K_Ratings'!L255, IF(bbgm_stat &gt;= perc_95, converted_stat * 3, IF(bbgm_stat &gt;= perc_90, converted_stat * 2, IF(bbgm_stat &gt;= perc_85, converted_stat * 1.5, converted_stat)))))</f>
        <v/>
      </c>
      <c r="M255" s="30" t="str">
        <f t="array" ref="M255">IF($A255="", "", LET(bbgm_stat, INDEX(Players!$A254:$P254, MATCH(M$2, Players!$A$1:$P$1, 0)), perc_75, VLOOKUP(M$2, Percentiles!$A$45:$I$59, 6, FALSE), perc_90, VLOOKUP(M$2, Percentiles!$A$45:$I$59, 7, FALSE), perc_95, VLOOKUP(M$2, Percentiles!$A$45:$I$59, 8, FALSE), perc_85, perc_75 + (perc_90 - perc_75) * (2/3), converted_stat, '2K_Ratings'!M255, IF(bbgm_stat &gt;= perc_95, converted_stat * 3, IF(bbgm_stat &gt;= perc_90, converted_stat * 2, IF(bbgm_stat &gt;= perc_85, converted_stat * 1.5, converted_stat)))))</f>
        <v/>
      </c>
      <c r="N255" s="30" t="str">
        <f t="array" ref="N255">IF($A255="", "", LET(bbgm_stat, INDEX(Players!$A254:$P254, MATCH(N$2, Players!$A$1:$P$1, 0)), perc_75, VLOOKUP(N$2, Percentiles!$A$45:$I$59, 6, FALSE), perc_90, VLOOKUP(N$2, Percentiles!$A$45:$I$59, 7, FALSE), perc_95, VLOOKUP(N$2, Percentiles!$A$45:$I$59, 8, FALSE), perc_85, perc_75 + (perc_90 - perc_75) * (2/3), converted_stat, '2K_Ratings'!N255, IF(bbgm_stat &gt;= perc_95, converted_stat * 3, IF(bbgm_stat &gt;= perc_90, converted_stat * 2, IF(bbgm_stat &gt;= perc_85, converted_stat * 1.5, converted_stat)))))</f>
        <v/>
      </c>
      <c r="O255" s="30" t="str">
        <f t="array" ref="O255">IF($A255="", "", LET(bbgm_stat, INDEX(Players!$A254:$P254, MATCH(O$2, Players!$A$1:$P$1, 0)), perc_75, VLOOKUP(O$2, Percentiles!$A$45:$I$59, 6, FALSE), perc_90, VLOOKUP(O$2, Percentiles!$A$45:$I$59, 7, FALSE), perc_95, VLOOKUP(O$2, Percentiles!$A$45:$I$59, 8, FALSE), perc_85, perc_75 + (perc_90 - perc_75) * (2/3), converted_stat, '2K_Ratings'!O255, IF(bbgm_stat &gt;= perc_95, converted_stat * 3, IF(bbgm_stat &gt;= perc_90, converted_stat * 2, IF(bbgm_stat &gt;= perc_85, converted_stat * 1.5, converted_stat)))))</f>
        <v/>
      </c>
      <c r="P255" s="30" t="str">
        <f t="array" ref="P255">IF($A255="", "", LET(bbgm_stat, INDEX(Players!$A254:$P254, MATCH(P$2, Players!$A$1:$P$1, 0)), perc_75, VLOOKUP(P$2, Percentiles!$A$45:$I$59, 6, FALSE), perc_90, VLOOKUP(P$2, Percentiles!$A$45:$I$59, 7, FALSE), perc_95, VLOOKUP(P$2, Percentiles!$A$45:$I$59, 8, FALSE), perc_85, perc_75 + (perc_90 - perc_75) * (2/3), converted_stat, '2K_Ratings'!P255, IF(bbgm_stat &gt;= perc_95, converted_stat * 3, IF(bbgm_stat &gt;= perc_90, converted_stat * 2, IF(bbgm_stat &gt;= perc_85, converted_stat * 1.5, converted_stat)))))</f>
        <v/>
      </c>
      <c r="Q255" s="30" t="str">
        <f t="array" ref="Q255">IF($A255="", "", LET(bbgm_stat, INDEX(Players!$A254:$P254, MATCH(Q$2, Players!$A$1:$P$1, 0)), perc_75, VLOOKUP(Q$2, Percentiles!$A$45:$I$59, 6, FALSE), perc_90, VLOOKUP(Q$2, Percentiles!$A$45:$I$59, 7, FALSE), perc_95, VLOOKUP(Q$2, Percentiles!$A$45:$I$59, 8, FALSE), perc_85, perc_75 + (perc_90 - perc_75) * (2/3), converted_stat, '2K_Ratings'!Q255, IF(bbgm_stat &gt;= perc_95, converted_stat * 3, IF(bbgm_stat &gt;= perc_90, converted_stat * 2, IF(bbgm_stat &gt;= perc_85, converted_stat * 1.5, converted_stat)))))</f>
        <v/>
      </c>
      <c r="R255" s="30" t="str">
        <f t="array" ref="R255">IF($A255="", "", LET(bbgm_stat, INDEX(Players!$A254:$P254, MATCH(R$2, Players!$A$1:$P$1, 0)), perc_75, VLOOKUP(R$2, Percentiles!$A$45:$I$59, 6, FALSE), perc_90, VLOOKUP(R$2, Percentiles!$A$45:$I$59, 7, FALSE), perc_95, VLOOKUP(R$2, Percentiles!$A$45:$I$59, 8, FALSE), perc_85, perc_75 + (perc_90 - perc_75) * (2/3), converted_stat, '2K_Ratings'!R255, IF(bbgm_stat &gt;= perc_95, converted_stat * 3, IF(bbgm_stat &gt;= perc_90, converted_stat * 2, IF(bbgm_stat &gt;= perc_85, converted_stat * 1.5, converted_stat)))))</f>
        <v/>
      </c>
      <c r="S255" s="30" t="str">
        <f t="array" ref="S255">IF($A255="", "", LET(bbgm_stat, INDEX(Players!$A254:$P254, MATCH(S$2, Players!$A$1:$P$1, 0)), perc_75, VLOOKUP(S$2, Percentiles!$A$45:$I$59, 6, FALSE), perc_90, VLOOKUP(S$2, Percentiles!$A$45:$I$59, 7, FALSE), perc_95, VLOOKUP(S$2, Percentiles!$A$45:$I$59, 8, FALSE), perc_85, perc_75 + (perc_90 - perc_75) * (2/3), converted_stat, '2K_Ratings'!S255, IF(bbgm_stat &gt;= perc_95, converted_stat * 3, IF(bbgm_stat &gt;= perc_90, converted_stat * 2, IF(bbgm_stat &gt;= perc_85, converted_stat * 1.5, converted_stat)))))</f>
        <v/>
      </c>
      <c r="T255" s="30" t="str">
        <f t="array" ref="T255">IF($A255="", "", LET(bbgm_stat, INDEX(Players!$A254:$P254, MATCH(T$2, Players!$A$1:$P$1, 0)), perc_75, VLOOKUP(T$2, Percentiles!$A$45:$I$59, 6, FALSE), perc_90, VLOOKUP(T$2, Percentiles!$A$45:$I$59, 7, FALSE), perc_95, VLOOKUP(T$2, Percentiles!$A$45:$I$59, 8, FALSE), perc_85, perc_75 + (perc_90 - perc_75) * (2/3), converted_stat, '2K_Ratings'!T255, IF(bbgm_stat &gt;= perc_95, converted_stat * 3, IF(bbgm_stat &gt;= perc_90, converted_stat * 2, IF(bbgm_stat &gt;= perc_85, converted_stat * 1.5, converted_stat)))))</f>
        <v/>
      </c>
      <c r="U255" s="30" t="str">
        <f t="array" ref="U255">IF($A255="", "", LET(bbgm_stat, INDEX(Players!$A254:$P254, MATCH(U$2, Players!$A$1:$P$1, 0)), perc_75, VLOOKUP(U$2, Percentiles!$A$45:$I$59, 6, FALSE), perc_90, VLOOKUP(U$2, Percentiles!$A$45:$I$59, 7, FALSE), perc_95, VLOOKUP(U$2, Percentiles!$A$45:$I$59, 8, FALSE), perc_85, perc_75 + (perc_90 - perc_75) * (2/3), converted_stat, '2K_Ratings'!U255, IF(bbgm_stat &gt;= perc_95, converted_stat * 3, IF(bbgm_stat &gt;= perc_90, converted_stat * 2, IF(bbgm_stat &gt;= perc_85, converted_stat * 1.5, converted_stat)))))</f>
        <v/>
      </c>
      <c r="V255" s="30" t="str">
        <f t="array" ref="V255">IF($A255="", "", LET(bbgm_stat, INDEX(Players!$A254:$P254, MATCH(V$2, Players!$A$1:$P$1, 0)), perc_75, VLOOKUP(V$2, Percentiles!$A$45:$I$59, 6, FALSE), perc_90, VLOOKUP(V$2, Percentiles!$A$45:$I$59, 7, FALSE), perc_95, VLOOKUP(V$2, Percentiles!$A$45:$I$59, 8, FALSE), perc_85, perc_75 + (perc_90 - perc_75) * (2/3), converted_stat, '2K_Ratings'!V255, IF(bbgm_stat &gt;= perc_95, converted_stat * 3, IF(bbgm_stat &gt;= perc_90, converted_stat * 2, IF(bbgm_stat &gt;= perc_85, converted_stat * 1.5, converted_stat)))))</f>
        <v/>
      </c>
      <c r="W255" s="30" t="str">
        <f t="array" ref="W255">IF($A255="", "", LET(bbgm_stat, INDEX(Players!$A254:$P254, MATCH(W$2, Players!$A$1:$P$1, 0)), perc_75, VLOOKUP(W$2, Percentiles!$A$45:$I$59, 6, FALSE), perc_90, VLOOKUP(W$2, Percentiles!$A$45:$I$59, 7, FALSE), perc_95, VLOOKUP(W$2, Percentiles!$A$45:$I$59, 8, FALSE), perc_85, perc_75 + (perc_90 - perc_75) * (2/3), converted_stat, '2K_Ratings'!W255, IF(bbgm_stat &gt;= perc_95, converted_stat * 3, IF(bbgm_stat &gt;= perc_90, converted_stat * 2, IF(bbgm_stat &gt;= perc_85, converted_stat * 1.5, converted_stat)))))</f>
        <v/>
      </c>
    </row>
    <row r="256">
      <c r="A256" s="30"/>
      <c r="B256" s="30" t="str">
        <f t="array" ref="B256">IF($A256="", "", LET(bbgm_stat, INDEX(Players!$A255:$P255, MATCH(B$2, Players!$A$1:$P$1, 0)), perc_75, VLOOKUP(B$2, Percentiles!$A$45:$I$59, 6, FALSE), perc_90, VLOOKUP(B$2, Percentiles!$A$45:$I$59, 7, FALSE), perc_95, VLOOKUP(B$2, Percentiles!$A$45:$I$59, 8, FALSE), perc_85, perc_75 + (perc_90 - perc_75) * (2/3), converted_stat, '2K_Ratings'!B256, IF(bbgm_stat &gt;= perc_95, converted_stat * 3, IF(bbgm_stat &gt;= perc_90, converted_stat * 2, IF(bbgm_stat &gt;= perc_85, converted_stat * 1.5, converted_stat)))))</f>
        <v/>
      </c>
      <c r="C256" s="30" t="str">
        <f t="array" ref="C256">IF($A256="", "", LET(bbgm_stat, INDEX(Players!$A255:$P255, MATCH(C$2, Players!$A$1:$P$1, 0)), perc_75, VLOOKUP(C$2, Percentiles!$A$45:$I$59, 6, FALSE), perc_90, VLOOKUP(C$2, Percentiles!$A$45:$I$59, 7, FALSE), perc_95, VLOOKUP(C$2, Percentiles!$A$45:$I$59, 8, FALSE), perc_85, perc_75 + (perc_90 - perc_75) * (2/3), converted_stat, '2K_Ratings'!C256, IF(bbgm_stat &gt;= perc_95, converted_stat * 3, IF(bbgm_stat &gt;= perc_90, converted_stat * 2, IF(bbgm_stat &gt;= perc_85, converted_stat * 1.5, converted_stat)))))</f>
        <v/>
      </c>
      <c r="D256" s="30" t="str">
        <f t="array" ref="D256">IF($A256="", "", LET(bbgm_stat, INDEX(Players!$A255:$P255, MATCH(D$2, Players!$A$1:$P$1, 0)), perc_75, VLOOKUP(D$2, Percentiles!$A$45:$I$59, 6, FALSE), perc_90, VLOOKUP(D$2, Percentiles!$A$45:$I$59, 7, FALSE), perc_95, VLOOKUP(D$2, Percentiles!$A$45:$I$59, 8, FALSE), perc_85, perc_75 + (perc_90 - perc_75) * (2/3), converted_stat, '2K_Ratings'!D256, IF(bbgm_stat &gt;= perc_95, converted_stat * 3, IF(bbgm_stat &gt;= perc_90, converted_stat * 2, IF(bbgm_stat &gt;= perc_85, converted_stat * 1.5, converted_stat)))))</f>
        <v/>
      </c>
      <c r="E256" s="30" t="str">
        <f t="array" ref="E256">IF($A256="", "", LET(bbgm_stat, INDEX(Players!$A255:$P255, MATCH(E$2, Players!$A$1:$P$1, 0)), perc_75, VLOOKUP(E$2, Percentiles!$A$45:$I$59, 6, FALSE), perc_90, VLOOKUP(E$2, Percentiles!$A$45:$I$59, 7, FALSE), perc_95, VLOOKUP(E$2, Percentiles!$A$45:$I$59, 8, FALSE), perc_85, perc_75 + (perc_90 - perc_75) * (2/3), converted_stat, '2K_Ratings'!E256, IF(bbgm_stat &gt;= perc_95, converted_stat * 3, IF(bbgm_stat &gt;= perc_90, converted_stat * 2, IF(bbgm_stat &gt;= perc_85, converted_stat * 1.5, converted_stat)))))</f>
        <v/>
      </c>
      <c r="F256" s="30" t="str">
        <f t="array" ref="F256">IF($A256="", "", LET(bbgm_stat, INDEX(Players!$A255:$P255, MATCH(F$2, Players!$A$1:$P$1, 0)), perc_75, VLOOKUP(F$2, Percentiles!$A$45:$I$59, 6, FALSE), perc_90, VLOOKUP(F$2, Percentiles!$A$45:$I$59, 7, FALSE), perc_95, VLOOKUP(F$2, Percentiles!$A$45:$I$59, 8, FALSE), perc_85, perc_75 + (perc_90 - perc_75) * (2/3), converted_stat, '2K_Ratings'!F256, IF(bbgm_stat &gt;= perc_95, converted_stat * 3, IF(bbgm_stat &gt;= perc_90, converted_stat * 2, IF(bbgm_stat &gt;= perc_85, converted_stat * 1.5, converted_stat)))))</f>
        <v/>
      </c>
      <c r="G256" s="30" t="str">
        <f t="array" ref="G256">IF($A256="", "", LET(bbgm_stat, INDEX(Players!$A255:$P255, MATCH(G$2, Players!$A$1:$P$1, 0)), perc_75, VLOOKUP(G$2, Percentiles!$A$45:$I$59, 6, FALSE), perc_90, VLOOKUP(G$2, Percentiles!$A$45:$I$59, 7, FALSE), perc_95, VLOOKUP(G$2, Percentiles!$A$45:$I$59, 8, FALSE), perc_85, perc_75 + (perc_90 - perc_75) * (2/3), converted_stat, '2K_Ratings'!G256, IF(bbgm_stat &gt;= perc_95, converted_stat * 3, IF(bbgm_stat &gt;= perc_90, converted_stat * 2, IF(bbgm_stat &gt;= perc_85, converted_stat * 1.5, converted_stat)))))</f>
        <v/>
      </c>
      <c r="H256" s="30" t="str">
        <f t="array" ref="H256">IF($A256="", "", LET(bbgm_stat, INDEX(Players!$A255:$P255, MATCH(H$2, Players!$A$1:$P$1, 0)), perc_75, VLOOKUP(H$2, Percentiles!$A$45:$I$59, 6, FALSE), perc_90, VLOOKUP(H$2, Percentiles!$A$45:$I$59, 7, FALSE), perc_95, VLOOKUP(H$2, Percentiles!$A$45:$I$59, 8, FALSE), perc_85, perc_75 + (perc_90 - perc_75) * (2/3), converted_stat, '2K_Ratings'!H256, IF(bbgm_stat &gt;= perc_95, converted_stat * 3, IF(bbgm_stat &gt;= perc_90, converted_stat * 2, IF(bbgm_stat &gt;= perc_85, converted_stat * 1.5, converted_stat)))))</f>
        <v/>
      </c>
      <c r="I256" s="30" t="str">
        <f t="array" ref="I256">IF($A256="", "", LET(bbgm_stat, INDEX(Players!$A255:$P255, MATCH(I$2, Players!$A$1:$P$1, 0)), perc_75, VLOOKUP(I$2, Percentiles!$A$45:$I$59, 6, FALSE), perc_90, VLOOKUP(I$2, Percentiles!$A$45:$I$59, 7, FALSE), perc_95, VLOOKUP(I$2, Percentiles!$A$45:$I$59, 8, FALSE), perc_85, perc_75 + (perc_90 - perc_75) * (2/3), converted_stat, '2K_Ratings'!I256, IF(bbgm_stat &gt;= perc_95, converted_stat * 3, IF(bbgm_stat &gt;= perc_90, converted_stat * 2, IF(bbgm_stat &gt;= perc_85, converted_stat * 1.5, converted_stat)))))</f>
        <v/>
      </c>
      <c r="J256" s="30" t="str">
        <f t="array" ref="J256">IF($A256="", "", LET(bbgm_stat, INDEX(Players!$A255:$P255, MATCH(J$2, Players!$A$1:$P$1, 0)), perc_75, VLOOKUP(J$2, Percentiles!$A$45:$I$59, 6, FALSE), perc_90, VLOOKUP(J$2, Percentiles!$A$45:$I$59, 7, FALSE), perc_95, VLOOKUP(J$2, Percentiles!$A$45:$I$59, 8, FALSE), perc_85, perc_75 + (perc_90 - perc_75) * (2/3), converted_stat, '2K_Ratings'!J256, IF(bbgm_stat &gt;= perc_95, converted_stat * 3, IF(bbgm_stat &gt;= perc_90, converted_stat * 2, IF(bbgm_stat &gt;= perc_85, converted_stat * 1.5, converted_stat)))))</f>
        <v/>
      </c>
      <c r="K256" s="30" t="str">
        <f t="array" ref="K256">IF($A256="", "", LET(bbgm_stat, INDEX(Players!$A255:$P255, MATCH(K$2, Players!$A$1:$P$1, 0)), perc_75, VLOOKUP(K$2, Percentiles!$A$45:$I$59, 6, FALSE), perc_90, VLOOKUP(K$2, Percentiles!$A$45:$I$59, 7, FALSE), perc_95, VLOOKUP(K$2, Percentiles!$A$45:$I$59, 8, FALSE), perc_85, perc_75 + (perc_90 - perc_75) * (2/3), converted_stat, '2K_Ratings'!K256, IF(bbgm_stat &gt;= perc_95, converted_stat * 3, IF(bbgm_stat &gt;= perc_90, converted_stat * 2, IF(bbgm_stat &gt;= perc_85, converted_stat * 1.5, converted_stat)))))</f>
        <v/>
      </c>
      <c r="L256" s="30" t="str">
        <f t="array" ref="L256">IF($A256="", "", LET(bbgm_stat, INDEX(Players!$A255:$P255, MATCH(L$2, Players!$A$1:$P$1, 0)), perc_75, VLOOKUP(L$2, Percentiles!$A$45:$I$59, 6, FALSE), perc_90, VLOOKUP(L$2, Percentiles!$A$45:$I$59, 7, FALSE), perc_95, VLOOKUP(L$2, Percentiles!$A$45:$I$59, 8, FALSE), perc_85, perc_75 + (perc_90 - perc_75) * (2/3), converted_stat, '2K_Ratings'!L256, IF(bbgm_stat &gt;= perc_95, converted_stat * 3, IF(bbgm_stat &gt;= perc_90, converted_stat * 2, IF(bbgm_stat &gt;= perc_85, converted_stat * 1.5, converted_stat)))))</f>
        <v/>
      </c>
      <c r="M256" s="30" t="str">
        <f t="array" ref="M256">IF($A256="", "", LET(bbgm_stat, INDEX(Players!$A255:$P255, MATCH(M$2, Players!$A$1:$P$1, 0)), perc_75, VLOOKUP(M$2, Percentiles!$A$45:$I$59, 6, FALSE), perc_90, VLOOKUP(M$2, Percentiles!$A$45:$I$59, 7, FALSE), perc_95, VLOOKUP(M$2, Percentiles!$A$45:$I$59, 8, FALSE), perc_85, perc_75 + (perc_90 - perc_75) * (2/3), converted_stat, '2K_Ratings'!M256, IF(bbgm_stat &gt;= perc_95, converted_stat * 3, IF(bbgm_stat &gt;= perc_90, converted_stat * 2, IF(bbgm_stat &gt;= perc_85, converted_stat * 1.5, converted_stat)))))</f>
        <v/>
      </c>
      <c r="N256" s="30" t="str">
        <f t="array" ref="N256">IF($A256="", "", LET(bbgm_stat, INDEX(Players!$A255:$P255, MATCH(N$2, Players!$A$1:$P$1, 0)), perc_75, VLOOKUP(N$2, Percentiles!$A$45:$I$59, 6, FALSE), perc_90, VLOOKUP(N$2, Percentiles!$A$45:$I$59, 7, FALSE), perc_95, VLOOKUP(N$2, Percentiles!$A$45:$I$59, 8, FALSE), perc_85, perc_75 + (perc_90 - perc_75) * (2/3), converted_stat, '2K_Ratings'!N256, IF(bbgm_stat &gt;= perc_95, converted_stat * 3, IF(bbgm_stat &gt;= perc_90, converted_stat * 2, IF(bbgm_stat &gt;= perc_85, converted_stat * 1.5, converted_stat)))))</f>
        <v/>
      </c>
      <c r="O256" s="30" t="str">
        <f t="array" ref="O256">IF($A256="", "", LET(bbgm_stat, INDEX(Players!$A255:$P255, MATCH(O$2, Players!$A$1:$P$1, 0)), perc_75, VLOOKUP(O$2, Percentiles!$A$45:$I$59, 6, FALSE), perc_90, VLOOKUP(O$2, Percentiles!$A$45:$I$59, 7, FALSE), perc_95, VLOOKUP(O$2, Percentiles!$A$45:$I$59, 8, FALSE), perc_85, perc_75 + (perc_90 - perc_75) * (2/3), converted_stat, '2K_Ratings'!O256, IF(bbgm_stat &gt;= perc_95, converted_stat * 3, IF(bbgm_stat &gt;= perc_90, converted_stat * 2, IF(bbgm_stat &gt;= perc_85, converted_stat * 1.5, converted_stat)))))</f>
        <v/>
      </c>
      <c r="P256" s="30" t="str">
        <f t="array" ref="P256">IF($A256="", "", LET(bbgm_stat, INDEX(Players!$A255:$P255, MATCH(P$2, Players!$A$1:$P$1, 0)), perc_75, VLOOKUP(P$2, Percentiles!$A$45:$I$59, 6, FALSE), perc_90, VLOOKUP(P$2, Percentiles!$A$45:$I$59, 7, FALSE), perc_95, VLOOKUP(P$2, Percentiles!$A$45:$I$59, 8, FALSE), perc_85, perc_75 + (perc_90 - perc_75) * (2/3), converted_stat, '2K_Ratings'!P256, IF(bbgm_stat &gt;= perc_95, converted_stat * 3, IF(bbgm_stat &gt;= perc_90, converted_stat * 2, IF(bbgm_stat &gt;= perc_85, converted_stat * 1.5, converted_stat)))))</f>
        <v/>
      </c>
      <c r="Q256" s="30" t="str">
        <f t="array" ref="Q256">IF($A256="", "", LET(bbgm_stat, INDEX(Players!$A255:$P255, MATCH(Q$2, Players!$A$1:$P$1, 0)), perc_75, VLOOKUP(Q$2, Percentiles!$A$45:$I$59, 6, FALSE), perc_90, VLOOKUP(Q$2, Percentiles!$A$45:$I$59, 7, FALSE), perc_95, VLOOKUP(Q$2, Percentiles!$A$45:$I$59, 8, FALSE), perc_85, perc_75 + (perc_90 - perc_75) * (2/3), converted_stat, '2K_Ratings'!Q256, IF(bbgm_stat &gt;= perc_95, converted_stat * 3, IF(bbgm_stat &gt;= perc_90, converted_stat * 2, IF(bbgm_stat &gt;= perc_85, converted_stat * 1.5, converted_stat)))))</f>
        <v/>
      </c>
      <c r="R256" s="30" t="str">
        <f t="array" ref="R256">IF($A256="", "", LET(bbgm_stat, INDEX(Players!$A255:$P255, MATCH(R$2, Players!$A$1:$P$1, 0)), perc_75, VLOOKUP(R$2, Percentiles!$A$45:$I$59, 6, FALSE), perc_90, VLOOKUP(R$2, Percentiles!$A$45:$I$59, 7, FALSE), perc_95, VLOOKUP(R$2, Percentiles!$A$45:$I$59, 8, FALSE), perc_85, perc_75 + (perc_90 - perc_75) * (2/3), converted_stat, '2K_Ratings'!R256, IF(bbgm_stat &gt;= perc_95, converted_stat * 3, IF(bbgm_stat &gt;= perc_90, converted_stat * 2, IF(bbgm_stat &gt;= perc_85, converted_stat * 1.5, converted_stat)))))</f>
        <v/>
      </c>
      <c r="S256" s="30" t="str">
        <f t="array" ref="S256">IF($A256="", "", LET(bbgm_stat, INDEX(Players!$A255:$P255, MATCH(S$2, Players!$A$1:$P$1, 0)), perc_75, VLOOKUP(S$2, Percentiles!$A$45:$I$59, 6, FALSE), perc_90, VLOOKUP(S$2, Percentiles!$A$45:$I$59, 7, FALSE), perc_95, VLOOKUP(S$2, Percentiles!$A$45:$I$59, 8, FALSE), perc_85, perc_75 + (perc_90 - perc_75) * (2/3), converted_stat, '2K_Ratings'!S256, IF(bbgm_stat &gt;= perc_95, converted_stat * 3, IF(bbgm_stat &gt;= perc_90, converted_stat * 2, IF(bbgm_stat &gt;= perc_85, converted_stat * 1.5, converted_stat)))))</f>
        <v/>
      </c>
      <c r="T256" s="30" t="str">
        <f t="array" ref="T256">IF($A256="", "", LET(bbgm_stat, INDEX(Players!$A255:$P255, MATCH(T$2, Players!$A$1:$P$1, 0)), perc_75, VLOOKUP(T$2, Percentiles!$A$45:$I$59, 6, FALSE), perc_90, VLOOKUP(T$2, Percentiles!$A$45:$I$59, 7, FALSE), perc_95, VLOOKUP(T$2, Percentiles!$A$45:$I$59, 8, FALSE), perc_85, perc_75 + (perc_90 - perc_75) * (2/3), converted_stat, '2K_Ratings'!T256, IF(bbgm_stat &gt;= perc_95, converted_stat * 3, IF(bbgm_stat &gt;= perc_90, converted_stat * 2, IF(bbgm_stat &gt;= perc_85, converted_stat * 1.5, converted_stat)))))</f>
        <v/>
      </c>
      <c r="U256" s="30" t="str">
        <f t="array" ref="U256">IF($A256="", "", LET(bbgm_stat, INDEX(Players!$A255:$P255, MATCH(U$2, Players!$A$1:$P$1, 0)), perc_75, VLOOKUP(U$2, Percentiles!$A$45:$I$59, 6, FALSE), perc_90, VLOOKUP(U$2, Percentiles!$A$45:$I$59, 7, FALSE), perc_95, VLOOKUP(U$2, Percentiles!$A$45:$I$59, 8, FALSE), perc_85, perc_75 + (perc_90 - perc_75) * (2/3), converted_stat, '2K_Ratings'!U256, IF(bbgm_stat &gt;= perc_95, converted_stat * 3, IF(bbgm_stat &gt;= perc_90, converted_stat * 2, IF(bbgm_stat &gt;= perc_85, converted_stat * 1.5, converted_stat)))))</f>
        <v/>
      </c>
      <c r="V256" s="30" t="str">
        <f t="array" ref="V256">IF($A256="", "", LET(bbgm_stat, INDEX(Players!$A255:$P255, MATCH(V$2, Players!$A$1:$P$1, 0)), perc_75, VLOOKUP(V$2, Percentiles!$A$45:$I$59, 6, FALSE), perc_90, VLOOKUP(V$2, Percentiles!$A$45:$I$59, 7, FALSE), perc_95, VLOOKUP(V$2, Percentiles!$A$45:$I$59, 8, FALSE), perc_85, perc_75 + (perc_90 - perc_75) * (2/3), converted_stat, '2K_Ratings'!V256, IF(bbgm_stat &gt;= perc_95, converted_stat * 3, IF(bbgm_stat &gt;= perc_90, converted_stat * 2, IF(bbgm_stat &gt;= perc_85, converted_stat * 1.5, converted_stat)))))</f>
        <v/>
      </c>
      <c r="W256" s="30" t="str">
        <f t="array" ref="W256">IF($A256="", "", LET(bbgm_stat, INDEX(Players!$A255:$P255, MATCH(W$2, Players!$A$1:$P$1, 0)), perc_75, VLOOKUP(W$2, Percentiles!$A$45:$I$59, 6, FALSE), perc_90, VLOOKUP(W$2, Percentiles!$A$45:$I$59, 7, FALSE), perc_95, VLOOKUP(W$2, Percentiles!$A$45:$I$59, 8, FALSE), perc_85, perc_75 + (perc_90 - perc_75) * (2/3), converted_stat, '2K_Ratings'!W256, IF(bbgm_stat &gt;= perc_95, converted_stat * 3, IF(bbgm_stat &gt;= perc_90, converted_stat * 2, IF(bbgm_stat &gt;= perc_85, converted_stat * 1.5, converted_stat)))))</f>
        <v/>
      </c>
    </row>
    <row r="257">
      <c r="A257" s="30"/>
      <c r="B257" s="30" t="str">
        <f t="array" ref="B257">IF($A257="", "", LET(bbgm_stat, INDEX(Players!$A256:$P256, MATCH(B$2, Players!$A$1:$P$1, 0)), perc_75, VLOOKUP(B$2, Percentiles!$A$45:$I$59, 6, FALSE), perc_90, VLOOKUP(B$2, Percentiles!$A$45:$I$59, 7, FALSE), perc_95, VLOOKUP(B$2, Percentiles!$A$45:$I$59, 8, FALSE), perc_85, perc_75 + (perc_90 - perc_75) * (2/3), converted_stat, '2K_Ratings'!B257, IF(bbgm_stat &gt;= perc_95, converted_stat * 3, IF(bbgm_stat &gt;= perc_90, converted_stat * 2, IF(bbgm_stat &gt;= perc_85, converted_stat * 1.5, converted_stat)))))</f>
        <v/>
      </c>
      <c r="C257" s="30" t="str">
        <f t="array" ref="C257">IF($A257="", "", LET(bbgm_stat, INDEX(Players!$A256:$P256, MATCH(C$2, Players!$A$1:$P$1, 0)), perc_75, VLOOKUP(C$2, Percentiles!$A$45:$I$59, 6, FALSE), perc_90, VLOOKUP(C$2, Percentiles!$A$45:$I$59, 7, FALSE), perc_95, VLOOKUP(C$2, Percentiles!$A$45:$I$59, 8, FALSE), perc_85, perc_75 + (perc_90 - perc_75) * (2/3), converted_stat, '2K_Ratings'!C257, IF(bbgm_stat &gt;= perc_95, converted_stat * 3, IF(bbgm_stat &gt;= perc_90, converted_stat * 2, IF(bbgm_stat &gt;= perc_85, converted_stat * 1.5, converted_stat)))))</f>
        <v/>
      </c>
      <c r="D257" s="30" t="str">
        <f t="array" ref="D257">IF($A257="", "", LET(bbgm_stat, INDEX(Players!$A256:$P256, MATCH(D$2, Players!$A$1:$P$1, 0)), perc_75, VLOOKUP(D$2, Percentiles!$A$45:$I$59, 6, FALSE), perc_90, VLOOKUP(D$2, Percentiles!$A$45:$I$59, 7, FALSE), perc_95, VLOOKUP(D$2, Percentiles!$A$45:$I$59, 8, FALSE), perc_85, perc_75 + (perc_90 - perc_75) * (2/3), converted_stat, '2K_Ratings'!D257, IF(bbgm_stat &gt;= perc_95, converted_stat * 3, IF(bbgm_stat &gt;= perc_90, converted_stat * 2, IF(bbgm_stat &gt;= perc_85, converted_stat * 1.5, converted_stat)))))</f>
        <v/>
      </c>
      <c r="E257" s="30" t="str">
        <f t="array" ref="E257">IF($A257="", "", LET(bbgm_stat, INDEX(Players!$A256:$P256, MATCH(E$2, Players!$A$1:$P$1, 0)), perc_75, VLOOKUP(E$2, Percentiles!$A$45:$I$59, 6, FALSE), perc_90, VLOOKUP(E$2, Percentiles!$A$45:$I$59, 7, FALSE), perc_95, VLOOKUP(E$2, Percentiles!$A$45:$I$59, 8, FALSE), perc_85, perc_75 + (perc_90 - perc_75) * (2/3), converted_stat, '2K_Ratings'!E257, IF(bbgm_stat &gt;= perc_95, converted_stat * 3, IF(bbgm_stat &gt;= perc_90, converted_stat * 2, IF(bbgm_stat &gt;= perc_85, converted_stat * 1.5, converted_stat)))))</f>
        <v/>
      </c>
      <c r="F257" s="30" t="str">
        <f t="array" ref="F257">IF($A257="", "", LET(bbgm_stat, INDEX(Players!$A256:$P256, MATCH(F$2, Players!$A$1:$P$1, 0)), perc_75, VLOOKUP(F$2, Percentiles!$A$45:$I$59, 6, FALSE), perc_90, VLOOKUP(F$2, Percentiles!$A$45:$I$59, 7, FALSE), perc_95, VLOOKUP(F$2, Percentiles!$A$45:$I$59, 8, FALSE), perc_85, perc_75 + (perc_90 - perc_75) * (2/3), converted_stat, '2K_Ratings'!F257, IF(bbgm_stat &gt;= perc_95, converted_stat * 3, IF(bbgm_stat &gt;= perc_90, converted_stat * 2, IF(bbgm_stat &gt;= perc_85, converted_stat * 1.5, converted_stat)))))</f>
        <v/>
      </c>
      <c r="G257" s="30" t="str">
        <f t="array" ref="G257">IF($A257="", "", LET(bbgm_stat, INDEX(Players!$A256:$P256, MATCH(G$2, Players!$A$1:$P$1, 0)), perc_75, VLOOKUP(G$2, Percentiles!$A$45:$I$59, 6, FALSE), perc_90, VLOOKUP(G$2, Percentiles!$A$45:$I$59, 7, FALSE), perc_95, VLOOKUP(G$2, Percentiles!$A$45:$I$59, 8, FALSE), perc_85, perc_75 + (perc_90 - perc_75) * (2/3), converted_stat, '2K_Ratings'!G257, IF(bbgm_stat &gt;= perc_95, converted_stat * 3, IF(bbgm_stat &gt;= perc_90, converted_stat * 2, IF(bbgm_stat &gt;= perc_85, converted_stat * 1.5, converted_stat)))))</f>
        <v/>
      </c>
      <c r="H257" s="30" t="str">
        <f t="array" ref="H257">IF($A257="", "", LET(bbgm_stat, INDEX(Players!$A256:$P256, MATCH(H$2, Players!$A$1:$P$1, 0)), perc_75, VLOOKUP(H$2, Percentiles!$A$45:$I$59, 6, FALSE), perc_90, VLOOKUP(H$2, Percentiles!$A$45:$I$59, 7, FALSE), perc_95, VLOOKUP(H$2, Percentiles!$A$45:$I$59, 8, FALSE), perc_85, perc_75 + (perc_90 - perc_75) * (2/3), converted_stat, '2K_Ratings'!H257, IF(bbgm_stat &gt;= perc_95, converted_stat * 3, IF(bbgm_stat &gt;= perc_90, converted_stat * 2, IF(bbgm_stat &gt;= perc_85, converted_stat * 1.5, converted_stat)))))</f>
        <v/>
      </c>
      <c r="I257" s="30" t="str">
        <f t="array" ref="I257">IF($A257="", "", LET(bbgm_stat, INDEX(Players!$A256:$P256, MATCH(I$2, Players!$A$1:$P$1, 0)), perc_75, VLOOKUP(I$2, Percentiles!$A$45:$I$59, 6, FALSE), perc_90, VLOOKUP(I$2, Percentiles!$A$45:$I$59, 7, FALSE), perc_95, VLOOKUP(I$2, Percentiles!$A$45:$I$59, 8, FALSE), perc_85, perc_75 + (perc_90 - perc_75) * (2/3), converted_stat, '2K_Ratings'!I257, IF(bbgm_stat &gt;= perc_95, converted_stat * 3, IF(bbgm_stat &gt;= perc_90, converted_stat * 2, IF(bbgm_stat &gt;= perc_85, converted_stat * 1.5, converted_stat)))))</f>
        <v/>
      </c>
      <c r="J257" s="30" t="str">
        <f t="array" ref="J257">IF($A257="", "", LET(bbgm_stat, INDEX(Players!$A256:$P256, MATCH(J$2, Players!$A$1:$P$1, 0)), perc_75, VLOOKUP(J$2, Percentiles!$A$45:$I$59, 6, FALSE), perc_90, VLOOKUP(J$2, Percentiles!$A$45:$I$59, 7, FALSE), perc_95, VLOOKUP(J$2, Percentiles!$A$45:$I$59, 8, FALSE), perc_85, perc_75 + (perc_90 - perc_75) * (2/3), converted_stat, '2K_Ratings'!J257, IF(bbgm_stat &gt;= perc_95, converted_stat * 3, IF(bbgm_stat &gt;= perc_90, converted_stat * 2, IF(bbgm_stat &gt;= perc_85, converted_stat * 1.5, converted_stat)))))</f>
        <v/>
      </c>
      <c r="K257" s="30" t="str">
        <f t="array" ref="K257">IF($A257="", "", LET(bbgm_stat, INDEX(Players!$A256:$P256, MATCH(K$2, Players!$A$1:$P$1, 0)), perc_75, VLOOKUP(K$2, Percentiles!$A$45:$I$59, 6, FALSE), perc_90, VLOOKUP(K$2, Percentiles!$A$45:$I$59, 7, FALSE), perc_95, VLOOKUP(K$2, Percentiles!$A$45:$I$59, 8, FALSE), perc_85, perc_75 + (perc_90 - perc_75) * (2/3), converted_stat, '2K_Ratings'!K257, IF(bbgm_stat &gt;= perc_95, converted_stat * 3, IF(bbgm_stat &gt;= perc_90, converted_stat * 2, IF(bbgm_stat &gt;= perc_85, converted_stat * 1.5, converted_stat)))))</f>
        <v/>
      </c>
      <c r="L257" s="30" t="str">
        <f t="array" ref="L257">IF($A257="", "", LET(bbgm_stat, INDEX(Players!$A256:$P256, MATCH(L$2, Players!$A$1:$P$1, 0)), perc_75, VLOOKUP(L$2, Percentiles!$A$45:$I$59, 6, FALSE), perc_90, VLOOKUP(L$2, Percentiles!$A$45:$I$59, 7, FALSE), perc_95, VLOOKUP(L$2, Percentiles!$A$45:$I$59, 8, FALSE), perc_85, perc_75 + (perc_90 - perc_75) * (2/3), converted_stat, '2K_Ratings'!L257, IF(bbgm_stat &gt;= perc_95, converted_stat * 3, IF(bbgm_stat &gt;= perc_90, converted_stat * 2, IF(bbgm_stat &gt;= perc_85, converted_stat * 1.5, converted_stat)))))</f>
        <v/>
      </c>
      <c r="M257" s="30" t="str">
        <f t="array" ref="M257">IF($A257="", "", LET(bbgm_stat, INDEX(Players!$A256:$P256, MATCH(M$2, Players!$A$1:$P$1, 0)), perc_75, VLOOKUP(M$2, Percentiles!$A$45:$I$59, 6, FALSE), perc_90, VLOOKUP(M$2, Percentiles!$A$45:$I$59, 7, FALSE), perc_95, VLOOKUP(M$2, Percentiles!$A$45:$I$59, 8, FALSE), perc_85, perc_75 + (perc_90 - perc_75) * (2/3), converted_stat, '2K_Ratings'!M257, IF(bbgm_stat &gt;= perc_95, converted_stat * 3, IF(bbgm_stat &gt;= perc_90, converted_stat * 2, IF(bbgm_stat &gt;= perc_85, converted_stat * 1.5, converted_stat)))))</f>
        <v/>
      </c>
      <c r="N257" s="30" t="str">
        <f t="array" ref="N257">IF($A257="", "", LET(bbgm_stat, INDEX(Players!$A256:$P256, MATCH(N$2, Players!$A$1:$P$1, 0)), perc_75, VLOOKUP(N$2, Percentiles!$A$45:$I$59, 6, FALSE), perc_90, VLOOKUP(N$2, Percentiles!$A$45:$I$59, 7, FALSE), perc_95, VLOOKUP(N$2, Percentiles!$A$45:$I$59, 8, FALSE), perc_85, perc_75 + (perc_90 - perc_75) * (2/3), converted_stat, '2K_Ratings'!N257, IF(bbgm_stat &gt;= perc_95, converted_stat * 3, IF(bbgm_stat &gt;= perc_90, converted_stat * 2, IF(bbgm_stat &gt;= perc_85, converted_stat * 1.5, converted_stat)))))</f>
        <v/>
      </c>
      <c r="O257" s="30" t="str">
        <f t="array" ref="O257">IF($A257="", "", LET(bbgm_stat, INDEX(Players!$A256:$P256, MATCH(O$2, Players!$A$1:$P$1, 0)), perc_75, VLOOKUP(O$2, Percentiles!$A$45:$I$59, 6, FALSE), perc_90, VLOOKUP(O$2, Percentiles!$A$45:$I$59, 7, FALSE), perc_95, VLOOKUP(O$2, Percentiles!$A$45:$I$59, 8, FALSE), perc_85, perc_75 + (perc_90 - perc_75) * (2/3), converted_stat, '2K_Ratings'!O257, IF(bbgm_stat &gt;= perc_95, converted_stat * 3, IF(bbgm_stat &gt;= perc_90, converted_stat * 2, IF(bbgm_stat &gt;= perc_85, converted_stat * 1.5, converted_stat)))))</f>
        <v/>
      </c>
      <c r="P257" s="30" t="str">
        <f t="array" ref="P257">IF($A257="", "", LET(bbgm_stat, INDEX(Players!$A256:$P256, MATCH(P$2, Players!$A$1:$P$1, 0)), perc_75, VLOOKUP(P$2, Percentiles!$A$45:$I$59, 6, FALSE), perc_90, VLOOKUP(P$2, Percentiles!$A$45:$I$59, 7, FALSE), perc_95, VLOOKUP(P$2, Percentiles!$A$45:$I$59, 8, FALSE), perc_85, perc_75 + (perc_90 - perc_75) * (2/3), converted_stat, '2K_Ratings'!P257, IF(bbgm_stat &gt;= perc_95, converted_stat * 3, IF(bbgm_stat &gt;= perc_90, converted_stat * 2, IF(bbgm_stat &gt;= perc_85, converted_stat * 1.5, converted_stat)))))</f>
        <v/>
      </c>
      <c r="Q257" s="30" t="str">
        <f t="array" ref="Q257">IF($A257="", "", LET(bbgm_stat, INDEX(Players!$A256:$P256, MATCH(Q$2, Players!$A$1:$P$1, 0)), perc_75, VLOOKUP(Q$2, Percentiles!$A$45:$I$59, 6, FALSE), perc_90, VLOOKUP(Q$2, Percentiles!$A$45:$I$59, 7, FALSE), perc_95, VLOOKUP(Q$2, Percentiles!$A$45:$I$59, 8, FALSE), perc_85, perc_75 + (perc_90 - perc_75) * (2/3), converted_stat, '2K_Ratings'!Q257, IF(bbgm_stat &gt;= perc_95, converted_stat * 3, IF(bbgm_stat &gt;= perc_90, converted_stat * 2, IF(bbgm_stat &gt;= perc_85, converted_stat * 1.5, converted_stat)))))</f>
        <v/>
      </c>
      <c r="R257" s="30" t="str">
        <f t="array" ref="R257">IF($A257="", "", LET(bbgm_stat, INDEX(Players!$A256:$P256, MATCH(R$2, Players!$A$1:$P$1, 0)), perc_75, VLOOKUP(R$2, Percentiles!$A$45:$I$59, 6, FALSE), perc_90, VLOOKUP(R$2, Percentiles!$A$45:$I$59, 7, FALSE), perc_95, VLOOKUP(R$2, Percentiles!$A$45:$I$59, 8, FALSE), perc_85, perc_75 + (perc_90 - perc_75) * (2/3), converted_stat, '2K_Ratings'!R257, IF(bbgm_stat &gt;= perc_95, converted_stat * 3, IF(bbgm_stat &gt;= perc_90, converted_stat * 2, IF(bbgm_stat &gt;= perc_85, converted_stat * 1.5, converted_stat)))))</f>
        <v/>
      </c>
      <c r="S257" s="30" t="str">
        <f t="array" ref="S257">IF($A257="", "", LET(bbgm_stat, INDEX(Players!$A256:$P256, MATCH(S$2, Players!$A$1:$P$1, 0)), perc_75, VLOOKUP(S$2, Percentiles!$A$45:$I$59, 6, FALSE), perc_90, VLOOKUP(S$2, Percentiles!$A$45:$I$59, 7, FALSE), perc_95, VLOOKUP(S$2, Percentiles!$A$45:$I$59, 8, FALSE), perc_85, perc_75 + (perc_90 - perc_75) * (2/3), converted_stat, '2K_Ratings'!S257, IF(bbgm_stat &gt;= perc_95, converted_stat * 3, IF(bbgm_stat &gt;= perc_90, converted_stat * 2, IF(bbgm_stat &gt;= perc_85, converted_stat * 1.5, converted_stat)))))</f>
        <v/>
      </c>
      <c r="T257" s="30" t="str">
        <f t="array" ref="T257">IF($A257="", "", LET(bbgm_stat, INDEX(Players!$A256:$P256, MATCH(T$2, Players!$A$1:$P$1, 0)), perc_75, VLOOKUP(T$2, Percentiles!$A$45:$I$59, 6, FALSE), perc_90, VLOOKUP(T$2, Percentiles!$A$45:$I$59, 7, FALSE), perc_95, VLOOKUP(T$2, Percentiles!$A$45:$I$59, 8, FALSE), perc_85, perc_75 + (perc_90 - perc_75) * (2/3), converted_stat, '2K_Ratings'!T257, IF(bbgm_stat &gt;= perc_95, converted_stat * 3, IF(bbgm_stat &gt;= perc_90, converted_stat * 2, IF(bbgm_stat &gt;= perc_85, converted_stat * 1.5, converted_stat)))))</f>
        <v/>
      </c>
      <c r="U257" s="30" t="str">
        <f t="array" ref="U257">IF($A257="", "", LET(bbgm_stat, INDEX(Players!$A256:$P256, MATCH(U$2, Players!$A$1:$P$1, 0)), perc_75, VLOOKUP(U$2, Percentiles!$A$45:$I$59, 6, FALSE), perc_90, VLOOKUP(U$2, Percentiles!$A$45:$I$59, 7, FALSE), perc_95, VLOOKUP(U$2, Percentiles!$A$45:$I$59, 8, FALSE), perc_85, perc_75 + (perc_90 - perc_75) * (2/3), converted_stat, '2K_Ratings'!U257, IF(bbgm_stat &gt;= perc_95, converted_stat * 3, IF(bbgm_stat &gt;= perc_90, converted_stat * 2, IF(bbgm_stat &gt;= perc_85, converted_stat * 1.5, converted_stat)))))</f>
        <v/>
      </c>
      <c r="V257" s="30" t="str">
        <f t="array" ref="V257">IF($A257="", "", LET(bbgm_stat, INDEX(Players!$A256:$P256, MATCH(V$2, Players!$A$1:$P$1, 0)), perc_75, VLOOKUP(V$2, Percentiles!$A$45:$I$59, 6, FALSE), perc_90, VLOOKUP(V$2, Percentiles!$A$45:$I$59, 7, FALSE), perc_95, VLOOKUP(V$2, Percentiles!$A$45:$I$59, 8, FALSE), perc_85, perc_75 + (perc_90 - perc_75) * (2/3), converted_stat, '2K_Ratings'!V257, IF(bbgm_stat &gt;= perc_95, converted_stat * 3, IF(bbgm_stat &gt;= perc_90, converted_stat * 2, IF(bbgm_stat &gt;= perc_85, converted_stat * 1.5, converted_stat)))))</f>
        <v/>
      </c>
      <c r="W257" s="30" t="str">
        <f t="array" ref="W257">IF($A257="", "", LET(bbgm_stat, INDEX(Players!$A256:$P256, MATCH(W$2, Players!$A$1:$P$1, 0)), perc_75, VLOOKUP(W$2, Percentiles!$A$45:$I$59, 6, FALSE), perc_90, VLOOKUP(W$2, Percentiles!$A$45:$I$59, 7, FALSE), perc_95, VLOOKUP(W$2, Percentiles!$A$45:$I$59, 8, FALSE), perc_85, perc_75 + (perc_90 - perc_75) * (2/3), converted_stat, '2K_Ratings'!W257, IF(bbgm_stat &gt;= perc_95, converted_stat * 3, IF(bbgm_stat &gt;= perc_90, converted_stat * 2, IF(bbgm_stat &gt;= perc_85, converted_stat * 1.5, converted_stat)))))</f>
        <v/>
      </c>
    </row>
    <row r="258">
      <c r="A258" s="30"/>
      <c r="B258" s="30" t="str">
        <f t="array" ref="B258">IF($A258="", "", LET(bbgm_stat, INDEX(Players!$A257:$P257, MATCH(B$2, Players!$A$1:$P$1, 0)), perc_75, VLOOKUP(B$2, Percentiles!$A$45:$I$59, 6, FALSE), perc_90, VLOOKUP(B$2, Percentiles!$A$45:$I$59, 7, FALSE), perc_95, VLOOKUP(B$2, Percentiles!$A$45:$I$59, 8, FALSE), perc_85, perc_75 + (perc_90 - perc_75) * (2/3), converted_stat, '2K_Ratings'!B258, IF(bbgm_stat &gt;= perc_95, converted_stat * 3, IF(bbgm_stat &gt;= perc_90, converted_stat * 2, IF(bbgm_stat &gt;= perc_85, converted_stat * 1.5, converted_stat)))))</f>
        <v/>
      </c>
      <c r="C258" s="30" t="str">
        <f t="array" ref="C258">IF($A258="", "", LET(bbgm_stat, INDEX(Players!$A257:$P257, MATCH(C$2, Players!$A$1:$P$1, 0)), perc_75, VLOOKUP(C$2, Percentiles!$A$45:$I$59, 6, FALSE), perc_90, VLOOKUP(C$2, Percentiles!$A$45:$I$59, 7, FALSE), perc_95, VLOOKUP(C$2, Percentiles!$A$45:$I$59, 8, FALSE), perc_85, perc_75 + (perc_90 - perc_75) * (2/3), converted_stat, '2K_Ratings'!C258, IF(bbgm_stat &gt;= perc_95, converted_stat * 3, IF(bbgm_stat &gt;= perc_90, converted_stat * 2, IF(bbgm_stat &gt;= perc_85, converted_stat * 1.5, converted_stat)))))</f>
        <v/>
      </c>
      <c r="D258" s="30" t="str">
        <f t="array" ref="D258">IF($A258="", "", LET(bbgm_stat, INDEX(Players!$A257:$P257, MATCH(D$2, Players!$A$1:$P$1, 0)), perc_75, VLOOKUP(D$2, Percentiles!$A$45:$I$59, 6, FALSE), perc_90, VLOOKUP(D$2, Percentiles!$A$45:$I$59, 7, FALSE), perc_95, VLOOKUP(D$2, Percentiles!$A$45:$I$59, 8, FALSE), perc_85, perc_75 + (perc_90 - perc_75) * (2/3), converted_stat, '2K_Ratings'!D258, IF(bbgm_stat &gt;= perc_95, converted_stat * 3, IF(bbgm_stat &gt;= perc_90, converted_stat * 2, IF(bbgm_stat &gt;= perc_85, converted_stat * 1.5, converted_stat)))))</f>
        <v/>
      </c>
      <c r="E258" s="30" t="str">
        <f t="array" ref="E258">IF($A258="", "", LET(bbgm_stat, INDEX(Players!$A257:$P257, MATCH(E$2, Players!$A$1:$P$1, 0)), perc_75, VLOOKUP(E$2, Percentiles!$A$45:$I$59, 6, FALSE), perc_90, VLOOKUP(E$2, Percentiles!$A$45:$I$59, 7, FALSE), perc_95, VLOOKUP(E$2, Percentiles!$A$45:$I$59, 8, FALSE), perc_85, perc_75 + (perc_90 - perc_75) * (2/3), converted_stat, '2K_Ratings'!E258, IF(bbgm_stat &gt;= perc_95, converted_stat * 3, IF(bbgm_stat &gt;= perc_90, converted_stat * 2, IF(bbgm_stat &gt;= perc_85, converted_stat * 1.5, converted_stat)))))</f>
        <v/>
      </c>
      <c r="F258" s="30" t="str">
        <f t="array" ref="F258">IF($A258="", "", LET(bbgm_stat, INDEX(Players!$A257:$P257, MATCH(F$2, Players!$A$1:$P$1, 0)), perc_75, VLOOKUP(F$2, Percentiles!$A$45:$I$59, 6, FALSE), perc_90, VLOOKUP(F$2, Percentiles!$A$45:$I$59, 7, FALSE), perc_95, VLOOKUP(F$2, Percentiles!$A$45:$I$59, 8, FALSE), perc_85, perc_75 + (perc_90 - perc_75) * (2/3), converted_stat, '2K_Ratings'!F258, IF(bbgm_stat &gt;= perc_95, converted_stat * 3, IF(bbgm_stat &gt;= perc_90, converted_stat * 2, IF(bbgm_stat &gt;= perc_85, converted_stat * 1.5, converted_stat)))))</f>
        <v/>
      </c>
      <c r="G258" s="30" t="str">
        <f t="array" ref="G258">IF($A258="", "", LET(bbgm_stat, INDEX(Players!$A257:$P257, MATCH(G$2, Players!$A$1:$P$1, 0)), perc_75, VLOOKUP(G$2, Percentiles!$A$45:$I$59, 6, FALSE), perc_90, VLOOKUP(G$2, Percentiles!$A$45:$I$59, 7, FALSE), perc_95, VLOOKUP(G$2, Percentiles!$A$45:$I$59, 8, FALSE), perc_85, perc_75 + (perc_90 - perc_75) * (2/3), converted_stat, '2K_Ratings'!G258, IF(bbgm_stat &gt;= perc_95, converted_stat * 3, IF(bbgm_stat &gt;= perc_90, converted_stat * 2, IF(bbgm_stat &gt;= perc_85, converted_stat * 1.5, converted_stat)))))</f>
        <v/>
      </c>
      <c r="H258" s="30" t="str">
        <f t="array" ref="H258">IF($A258="", "", LET(bbgm_stat, INDEX(Players!$A257:$P257, MATCH(H$2, Players!$A$1:$P$1, 0)), perc_75, VLOOKUP(H$2, Percentiles!$A$45:$I$59, 6, FALSE), perc_90, VLOOKUP(H$2, Percentiles!$A$45:$I$59, 7, FALSE), perc_95, VLOOKUP(H$2, Percentiles!$A$45:$I$59, 8, FALSE), perc_85, perc_75 + (perc_90 - perc_75) * (2/3), converted_stat, '2K_Ratings'!H258, IF(bbgm_stat &gt;= perc_95, converted_stat * 3, IF(bbgm_stat &gt;= perc_90, converted_stat * 2, IF(bbgm_stat &gt;= perc_85, converted_stat * 1.5, converted_stat)))))</f>
        <v/>
      </c>
      <c r="I258" s="30" t="str">
        <f t="array" ref="I258">IF($A258="", "", LET(bbgm_stat, INDEX(Players!$A257:$P257, MATCH(I$2, Players!$A$1:$P$1, 0)), perc_75, VLOOKUP(I$2, Percentiles!$A$45:$I$59, 6, FALSE), perc_90, VLOOKUP(I$2, Percentiles!$A$45:$I$59, 7, FALSE), perc_95, VLOOKUP(I$2, Percentiles!$A$45:$I$59, 8, FALSE), perc_85, perc_75 + (perc_90 - perc_75) * (2/3), converted_stat, '2K_Ratings'!I258, IF(bbgm_stat &gt;= perc_95, converted_stat * 3, IF(bbgm_stat &gt;= perc_90, converted_stat * 2, IF(bbgm_stat &gt;= perc_85, converted_stat * 1.5, converted_stat)))))</f>
        <v/>
      </c>
      <c r="J258" s="30" t="str">
        <f t="array" ref="J258">IF($A258="", "", LET(bbgm_stat, INDEX(Players!$A257:$P257, MATCH(J$2, Players!$A$1:$P$1, 0)), perc_75, VLOOKUP(J$2, Percentiles!$A$45:$I$59, 6, FALSE), perc_90, VLOOKUP(J$2, Percentiles!$A$45:$I$59, 7, FALSE), perc_95, VLOOKUP(J$2, Percentiles!$A$45:$I$59, 8, FALSE), perc_85, perc_75 + (perc_90 - perc_75) * (2/3), converted_stat, '2K_Ratings'!J258, IF(bbgm_stat &gt;= perc_95, converted_stat * 3, IF(bbgm_stat &gt;= perc_90, converted_stat * 2, IF(bbgm_stat &gt;= perc_85, converted_stat * 1.5, converted_stat)))))</f>
        <v/>
      </c>
      <c r="K258" s="30" t="str">
        <f t="array" ref="K258">IF($A258="", "", LET(bbgm_stat, INDEX(Players!$A257:$P257, MATCH(K$2, Players!$A$1:$P$1, 0)), perc_75, VLOOKUP(K$2, Percentiles!$A$45:$I$59, 6, FALSE), perc_90, VLOOKUP(K$2, Percentiles!$A$45:$I$59, 7, FALSE), perc_95, VLOOKUP(K$2, Percentiles!$A$45:$I$59, 8, FALSE), perc_85, perc_75 + (perc_90 - perc_75) * (2/3), converted_stat, '2K_Ratings'!K258, IF(bbgm_stat &gt;= perc_95, converted_stat * 3, IF(bbgm_stat &gt;= perc_90, converted_stat * 2, IF(bbgm_stat &gt;= perc_85, converted_stat * 1.5, converted_stat)))))</f>
        <v/>
      </c>
      <c r="L258" s="30" t="str">
        <f t="array" ref="L258">IF($A258="", "", LET(bbgm_stat, INDEX(Players!$A257:$P257, MATCH(L$2, Players!$A$1:$P$1, 0)), perc_75, VLOOKUP(L$2, Percentiles!$A$45:$I$59, 6, FALSE), perc_90, VLOOKUP(L$2, Percentiles!$A$45:$I$59, 7, FALSE), perc_95, VLOOKUP(L$2, Percentiles!$A$45:$I$59, 8, FALSE), perc_85, perc_75 + (perc_90 - perc_75) * (2/3), converted_stat, '2K_Ratings'!L258, IF(bbgm_stat &gt;= perc_95, converted_stat * 3, IF(bbgm_stat &gt;= perc_90, converted_stat * 2, IF(bbgm_stat &gt;= perc_85, converted_stat * 1.5, converted_stat)))))</f>
        <v/>
      </c>
      <c r="M258" s="30" t="str">
        <f t="array" ref="M258">IF($A258="", "", LET(bbgm_stat, INDEX(Players!$A257:$P257, MATCH(M$2, Players!$A$1:$P$1, 0)), perc_75, VLOOKUP(M$2, Percentiles!$A$45:$I$59, 6, FALSE), perc_90, VLOOKUP(M$2, Percentiles!$A$45:$I$59, 7, FALSE), perc_95, VLOOKUP(M$2, Percentiles!$A$45:$I$59, 8, FALSE), perc_85, perc_75 + (perc_90 - perc_75) * (2/3), converted_stat, '2K_Ratings'!M258, IF(bbgm_stat &gt;= perc_95, converted_stat * 3, IF(bbgm_stat &gt;= perc_90, converted_stat * 2, IF(bbgm_stat &gt;= perc_85, converted_stat * 1.5, converted_stat)))))</f>
        <v/>
      </c>
      <c r="N258" s="30" t="str">
        <f t="array" ref="N258">IF($A258="", "", LET(bbgm_stat, INDEX(Players!$A257:$P257, MATCH(N$2, Players!$A$1:$P$1, 0)), perc_75, VLOOKUP(N$2, Percentiles!$A$45:$I$59, 6, FALSE), perc_90, VLOOKUP(N$2, Percentiles!$A$45:$I$59, 7, FALSE), perc_95, VLOOKUP(N$2, Percentiles!$A$45:$I$59, 8, FALSE), perc_85, perc_75 + (perc_90 - perc_75) * (2/3), converted_stat, '2K_Ratings'!N258, IF(bbgm_stat &gt;= perc_95, converted_stat * 3, IF(bbgm_stat &gt;= perc_90, converted_stat * 2, IF(bbgm_stat &gt;= perc_85, converted_stat * 1.5, converted_stat)))))</f>
        <v/>
      </c>
      <c r="O258" s="30" t="str">
        <f t="array" ref="O258">IF($A258="", "", LET(bbgm_stat, INDEX(Players!$A257:$P257, MATCH(O$2, Players!$A$1:$P$1, 0)), perc_75, VLOOKUP(O$2, Percentiles!$A$45:$I$59, 6, FALSE), perc_90, VLOOKUP(O$2, Percentiles!$A$45:$I$59, 7, FALSE), perc_95, VLOOKUP(O$2, Percentiles!$A$45:$I$59, 8, FALSE), perc_85, perc_75 + (perc_90 - perc_75) * (2/3), converted_stat, '2K_Ratings'!O258, IF(bbgm_stat &gt;= perc_95, converted_stat * 3, IF(bbgm_stat &gt;= perc_90, converted_stat * 2, IF(bbgm_stat &gt;= perc_85, converted_stat * 1.5, converted_stat)))))</f>
        <v/>
      </c>
      <c r="P258" s="30" t="str">
        <f t="array" ref="P258">IF($A258="", "", LET(bbgm_stat, INDEX(Players!$A257:$P257, MATCH(P$2, Players!$A$1:$P$1, 0)), perc_75, VLOOKUP(P$2, Percentiles!$A$45:$I$59, 6, FALSE), perc_90, VLOOKUP(P$2, Percentiles!$A$45:$I$59, 7, FALSE), perc_95, VLOOKUP(P$2, Percentiles!$A$45:$I$59, 8, FALSE), perc_85, perc_75 + (perc_90 - perc_75) * (2/3), converted_stat, '2K_Ratings'!P258, IF(bbgm_stat &gt;= perc_95, converted_stat * 3, IF(bbgm_stat &gt;= perc_90, converted_stat * 2, IF(bbgm_stat &gt;= perc_85, converted_stat * 1.5, converted_stat)))))</f>
        <v/>
      </c>
      <c r="Q258" s="30" t="str">
        <f t="array" ref="Q258">IF($A258="", "", LET(bbgm_stat, INDEX(Players!$A257:$P257, MATCH(Q$2, Players!$A$1:$P$1, 0)), perc_75, VLOOKUP(Q$2, Percentiles!$A$45:$I$59, 6, FALSE), perc_90, VLOOKUP(Q$2, Percentiles!$A$45:$I$59, 7, FALSE), perc_95, VLOOKUP(Q$2, Percentiles!$A$45:$I$59, 8, FALSE), perc_85, perc_75 + (perc_90 - perc_75) * (2/3), converted_stat, '2K_Ratings'!Q258, IF(bbgm_stat &gt;= perc_95, converted_stat * 3, IF(bbgm_stat &gt;= perc_90, converted_stat * 2, IF(bbgm_stat &gt;= perc_85, converted_stat * 1.5, converted_stat)))))</f>
        <v/>
      </c>
      <c r="R258" s="30" t="str">
        <f t="array" ref="R258">IF($A258="", "", LET(bbgm_stat, INDEX(Players!$A257:$P257, MATCH(R$2, Players!$A$1:$P$1, 0)), perc_75, VLOOKUP(R$2, Percentiles!$A$45:$I$59, 6, FALSE), perc_90, VLOOKUP(R$2, Percentiles!$A$45:$I$59, 7, FALSE), perc_95, VLOOKUP(R$2, Percentiles!$A$45:$I$59, 8, FALSE), perc_85, perc_75 + (perc_90 - perc_75) * (2/3), converted_stat, '2K_Ratings'!R258, IF(bbgm_stat &gt;= perc_95, converted_stat * 3, IF(bbgm_stat &gt;= perc_90, converted_stat * 2, IF(bbgm_stat &gt;= perc_85, converted_stat * 1.5, converted_stat)))))</f>
        <v/>
      </c>
      <c r="S258" s="30" t="str">
        <f t="array" ref="S258">IF($A258="", "", LET(bbgm_stat, INDEX(Players!$A257:$P257, MATCH(S$2, Players!$A$1:$P$1, 0)), perc_75, VLOOKUP(S$2, Percentiles!$A$45:$I$59, 6, FALSE), perc_90, VLOOKUP(S$2, Percentiles!$A$45:$I$59, 7, FALSE), perc_95, VLOOKUP(S$2, Percentiles!$A$45:$I$59, 8, FALSE), perc_85, perc_75 + (perc_90 - perc_75) * (2/3), converted_stat, '2K_Ratings'!S258, IF(bbgm_stat &gt;= perc_95, converted_stat * 3, IF(bbgm_stat &gt;= perc_90, converted_stat * 2, IF(bbgm_stat &gt;= perc_85, converted_stat * 1.5, converted_stat)))))</f>
        <v/>
      </c>
      <c r="T258" s="30" t="str">
        <f t="array" ref="T258">IF($A258="", "", LET(bbgm_stat, INDEX(Players!$A257:$P257, MATCH(T$2, Players!$A$1:$P$1, 0)), perc_75, VLOOKUP(T$2, Percentiles!$A$45:$I$59, 6, FALSE), perc_90, VLOOKUP(T$2, Percentiles!$A$45:$I$59, 7, FALSE), perc_95, VLOOKUP(T$2, Percentiles!$A$45:$I$59, 8, FALSE), perc_85, perc_75 + (perc_90 - perc_75) * (2/3), converted_stat, '2K_Ratings'!T258, IF(bbgm_stat &gt;= perc_95, converted_stat * 3, IF(bbgm_stat &gt;= perc_90, converted_stat * 2, IF(bbgm_stat &gt;= perc_85, converted_stat * 1.5, converted_stat)))))</f>
        <v/>
      </c>
      <c r="U258" s="30" t="str">
        <f t="array" ref="U258">IF($A258="", "", LET(bbgm_stat, INDEX(Players!$A257:$P257, MATCH(U$2, Players!$A$1:$P$1, 0)), perc_75, VLOOKUP(U$2, Percentiles!$A$45:$I$59, 6, FALSE), perc_90, VLOOKUP(U$2, Percentiles!$A$45:$I$59, 7, FALSE), perc_95, VLOOKUP(U$2, Percentiles!$A$45:$I$59, 8, FALSE), perc_85, perc_75 + (perc_90 - perc_75) * (2/3), converted_stat, '2K_Ratings'!U258, IF(bbgm_stat &gt;= perc_95, converted_stat * 3, IF(bbgm_stat &gt;= perc_90, converted_stat * 2, IF(bbgm_stat &gt;= perc_85, converted_stat * 1.5, converted_stat)))))</f>
        <v/>
      </c>
      <c r="V258" s="30" t="str">
        <f t="array" ref="V258">IF($A258="", "", LET(bbgm_stat, INDEX(Players!$A257:$P257, MATCH(V$2, Players!$A$1:$P$1, 0)), perc_75, VLOOKUP(V$2, Percentiles!$A$45:$I$59, 6, FALSE), perc_90, VLOOKUP(V$2, Percentiles!$A$45:$I$59, 7, FALSE), perc_95, VLOOKUP(V$2, Percentiles!$A$45:$I$59, 8, FALSE), perc_85, perc_75 + (perc_90 - perc_75) * (2/3), converted_stat, '2K_Ratings'!V258, IF(bbgm_stat &gt;= perc_95, converted_stat * 3, IF(bbgm_stat &gt;= perc_90, converted_stat * 2, IF(bbgm_stat &gt;= perc_85, converted_stat * 1.5, converted_stat)))))</f>
        <v/>
      </c>
      <c r="W258" s="30" t="str">
        <f t="array" ref="W258">IF($A258="", "", LET(bbgm_stat, INDEX(Players!$A257:$P257, MATCH(W$2, Players!$A$1:$P$1, 0)), perc_75, VLOOKUP(W$2, Percentiles!$A$45:$I$59, 6, FALSE), perc_90, VLOOKUP(W$2, Percentiles!$A$45:$I$59, 7, FALSE), perc_95, VLOOKUP(W$2, Percentiles!$A$45:$I$59, 8, FALSE), perc_85, perc_75 + (perc_90 - perc_75) * (2/3), converted_stat, '2K_Ratings'!W258, IF(bbgm_stat &gt;= perc_95, converted_stat * 3, IF(bbgm_stat &gt;= perc_90, converted_stat * 2, IF(bbgm_stat &gt;= perc_85, converted_stat * 1.5, converted_stat)))))</f>
        <v/>
      </c>
    </row>
    <row r="259">
      <c r="A259" s="30"/>
      <c r="B259" s="30" t="str">
        <f t="array" ref="B259">IF($A259="", "", LET(bbgm_stat, INDEX(Players!$A258:$P258, MATCH(B$2, Players!$A$1:$P$1, 0)), perc_75, VLOOKUP(B$2, Percentiles!$A$45:$I$59, 6, FALSE), perc_90, VLOOKUP(B$2, Percentiles!$A$45:$I$59, 7, FALSE), perc_95, VLOOKUP(B$2, Percentiles!$A$45:$I$59, 8, FALSE), perc_85, perc_75 + (perc_90 - perc_75) * (2/3), converted_stat, '2K_Ratings'!B259, IF(bbgm_stat &gt;= perc_95, converted_stat * 3, IF(bbgm_stat &gt;= perc_90, converted_stat * 2, IF(bbgm_stat &gt;= perc_85, converted_stat * 1.5, converted_stat)))))</f>
        <v/>
      </c>
      <c r="C259" s="30" t="str">
        <f t="array" ref="C259">IF($A259="", "", LET(bbgm_stat, INDEX(Players!$A258:$P258, MATCH(C$2, Players!$A$1:$P$1, 0)), perc_75, VLOOKUP(C$2, Percentiles!$A$45:$I$59, 6, FALSE), perc_90, VLOOKUP(C$2, Percentiles!$A$45:$I$59, 7, FALSE), perc_95, VLOOKUP(C$2, Percentiles!$A$45:$I$59, 8, FALSE), perc_85, perc_75 + (perc_90 - perc_75) * (2/3), converted_stat, '2K_Ratings'!C259, IF(bbgm_stat &gt;= perc_95, converted_stat * 3, IF(bbgm_stat &gt;= perc_90, converted_stat * 2, IF(bbgm_stat &gt;= perc_85, converted_stat * 1.5, converted_stat)))))</f>
        <v/>
      </c>
      <c r="D259" s="30" t="str">
        <f t="array" ref="D259">IF($A259="", "", LET(bbgm_stat, INDEX(Players!$A258:$P258, MATCH(D$2, Players!$A$1:$P$1, 0)), perc_75, VLOOKUP(D$2, Percentiles!$A$45:$I$59, 6, FALSE), perc_90, VLOOKUP(D$2, Percentiles!$A$45:$I$59, 7, FALSE), perc_95, VLOOKUP(D$2, Percentiles!$A$45:$I$59, 8, FALSE), perc_85, perc_75 + (perc_90 - perc_75) * (2/3), converted_stat, '2K_Ratings'!D259, IF(bbgm_stat &gt;= perc_95, converted_stat * 3, IF(bbgm_stat &gt;= perc_90, converted_stat * 2, IF(bbgm_stat &gt;= perc_85, converted_stat * 1.5, converted_stat)))))</f>
        <v/>
      </c>
      <c r="E259" s="30" t="str">
        <f t="array" ref="E259">IF($A259="", "", LET(bbgm_stat, INDEX(Players!$A258:$P258, MATCH(E$2, Players!$A$1:$P$1, 0)), perc_75, VLOOKUP(E$2, Percentiles!$A$45:$I$59, 6, FALSE), perc_90, VLOOKUP(E$2, Percentiles!$A$45:$I$59, 7, FALSE), perc_95, VLOOKUP(E$2, Percentiles!$A$45:$I$59, 8, FALSE), perc_85, perc_75 + (perc_90 - perc_75) * (2/3), converted_stat, '2K_Ratings'!E259, IF(bbgm_stat &gt;= perc_95, converted_stat * 3, IF(bbgm_stat &gt;= perc_90, converted_stat * 2, IF(bbgm_stat &gt;= perc_85, converted_stat * 1.5, converted_stat)))))</f>
        <v/>
      </c>
      <c r="F259" s="30" t="str">
        <f t="array" ref="F259">IF($A259="", "", LET(bbgm_stat, INDEX(Players!$A258:$P258, MATCH(F$2, Players!$A$1:$P$1, 0)), perc_75, VLOOKUP(F$2, Percentiles!$A$45:$I$59, 6, FALSE), perc_90, VLOOKUP(F$2, Percentiles!$A$45:$I$59, 7, FALSE), perc_95, VLOOKUP(F$2, Percentiles!$A$45:$I$59, 8, FALSE), perc_85, perc_75 + (perc_90 - perc_75) * (2/3), converted_stat, '2K_Ratings'!F259, IF(bbgm_stat &gt;= perc_95, converted_stat * 3, IF(bbgm_stat &gt;= perc_90, converted_stat * 2, IF(bbgm_stat &gt;= perc_85, converted_stat * 1.5, converted_stat)))))</f>
        <v/>
      </c>
      <c r="G259" s="30" t="str">
        <f t="array" ref="G259">IF($A259="", "", LET(bbgm_stat, INDEX(Players!$A258:$P258, MATCH(G$2, Players!$A$1:$P$1, 0)), perc_75, VLOOKUP(G$2, Percentiles!$A$45:$I$59, 6, FALSE), perc_90, VLOOKUP(G$2, Percentiles!$A$45:$I$59, 7, FALSE), perc_95, VLOOKUP(G$2, Percentiles!$A$45:$I$59, 8, FALSE), perc_85, perc_75 + (perc_90 - perc_75) * (2/3), converted_stat, '2K_Ratings'!G259, IF(bbgm_stat &gt;= perc_95, converted_stat * 3, IF(bbgm_stat &gt;= perc_90, converted_stat * 2, IF(bbgm_stat &gt;= perc_85, converted_stat * 1.5, converted_stat)))))</f>
        <v/>
      </c>
      <c r="H259" s="30" t="str">
        <f t="array" ref="H259">IF($A259="", "", LET(bbgm_stat, INDEX(Players!$A258:$P258, MATCH(H$2, Players!$A$1:$P$1, 0)), perc_75, VLOOKUP(H$2, Percentiles!$A$45:$I$59, 6, FALSE), perc_90, VLOOKUP(H$2, Percentiles!$A$45:$I$59, 7, FALSE), perc_95, VLOOKUP(H$2, Percentiles!$A$45:$I$59, 8, FALSE), perc_85, perc_75 + (perc_90 - perc_75) * (2/3), converted_stat, '2K_Ratings'!H259, IF(bbgm_stat &gt;= perc_95, converted_stat * 3, IF(bbgm_stat &gt;= perc_90, converted_stat * 2, IF(bbgm_stat &gt;= perc_85, converted_stat * 1.5, converted_stat)))))</f>
        <v/>
      </c>
      <c r="I259" s="30" t="str">
        <f t="array" ref="I259">IF($A259="", "", LET(bbgm_stat, INDEX(Players!$A258:$P258, MATCH(I$2, Players!$A$1:$P$1, 0)), perc_75, VLOOKUP(I$2, Percentiles!$A$45:$I$59, 6, FALSE), perc_90, VLOOKUP(I$2, Percentiles!$A$45:$I$59, 7, FALSE), perc_95, VLOOKUP(I$2, Percentiles!$A$45:$I$59, 8, FALSE), perc_85, perc_75 + (perc_90 - perc_75) * (2/3), converted_stat, '2K_Ratings'!I259, IF(bbgm_stat &gt;= perc_95, converted_stat * 3, IF(bbgm_stat &gt;= perc_90, converted_stat * 2, IF(bbgm_stat &gt;= perc_85, converted_stat * 1.5, converted_stat)))))</f>
        <v/>
      </c>
      <c r="J259" s="30" t="str">
        <f t="array" ref="J259">IF($A259="", "", LET(bbgm_stat, INDEX(Players!$A258:$P258, MATCH(J$2, Players!$A$1:$P$1, 0)), perc_75, VLOOKUP(J$2, Percentiles!$A$45:$I$59, 6, FALSE), perc_90, VLOOKUP(J$2, Percentiles!$A$45:$I$59, 7, FALSE), perc_95, VLOOKUP(J$2, Percentiles!$A$45:$I$59, 8, FALSE), perc_85, perc_75 + (perc_90 - perc_75) * (2/3), converted_stat, '2K_Ratings'!J259, IF(bbgm_stat &gt;= perc_95, converted_stat * 3, IF(bbgm_stat &gt;= perc_90, converted_stat * 2, IF(bbgm_stat &gt;= perc_85, converted_stat * 1.5, converted_stat)))))</f>
        <v/>
      </c>
      <c r="K259" s="30" t="str">
        <f t="array" ref="K259">IF($A259="", "", LET(bbgm_stat, INDEX(Players!$A258:$P258, MATCH(K$2, Players!$A$1:$P$1, 0)), perc_75, VLOOKUP(K$2, Percentiles!$A$45:$I$59, 6, FALSE), perc_90, VLOOKUP(K$2, Percentiles!$A$45:$I$59, 7, FALSE), perc_95, VLOOKUP(K$2, Percentiles!$A$45:$I$59, 8, FALSE), perc_85, perc_75 + (perc_90 - perc_75) * (2/3), converted_stat, '2K_Ratings'!K259, IF(bbgm_stat &gt;= perc_95, converted_stat * 3, IF(bbgm_stat &gt;= perc_90, converted_stat * 2, IF(bbgm_stat &gt;= perc_85, converted_stat * 1.5, converted_stat)))))</f>
        <v/>
      </c>
      <c r="L259" s="30" t="str">
        <f t="array" ref="L259">IF($A259="", "", LET(bbgm_stat, INDEX(Players!$A258:$P258, MATCH(L$2, Players!$A$1:$P$1, 0)), perc_75, VLOOKUP(L$2, Percentiles!$A$45:$I$59, 6, FALSE), perc_90, VLOOKUP(L$2, Percentiles!$A$45:$I$59, 7, FALSE), perc_95, VLOOKUP(L$2, Percentiles!$A$45:$I$59, 8, FALSE), perc_85, perc_75 + (perc_90 - perc_75) * (2/3), converted_stat, '2K_Ratings'!L259, IF(bbgm_stat &gt;= perc_95, converted_stat * 3, IF(bbgm_stat &gt;= perc_90, converted_stat * 2, IF(bbgm_stat &gt;= perc_85, converted_stat * 1.5, converted_stat)))))</f>
        <v/>
      </c>
      <c r="M259" s="30" t="str">
        <f t="array" ref="M259">IF($A259="", "", LET(bbgm_stat, INDEX(Players!$A258:$P258, MATCH(M$2, Players!$A$1:$P$1, 0)), perc_75, VLOOKUP(M$2, Percentiles!$A$45:$I$59, 6, FALSE), perc_90, VLOOKUP(M$2, Percentiles!$A$45:$I$59, 7, FALSE), perc_95, VLOOKUP(M$2, Percentiles!$A$45:$I$59, 8, FALSE), perc_85, perc_75 + (perc_90 - perc_75) * (2/3), converted_stat, '2K_Ratings'!M259, IF(bbgm_stat &gt;= perc_95, converted_stat * 3, IF(bbgm_stat &gt;= perc_90, converted_stat * 2, IF(bbgm_stat &gt;= perc_85, converted_stat * 1.5, converted_stat)))))</f>
        <v/>
      </c>
      <c r="N259" s="30" t="str">
        <f t="array" ref="N259">IF($A259="", "", LET(bbgm_stat, INDEX(Players!$A258:$P258, MATCH(N$2, Players!$A$1:$P$1, 0)), perc_75, VLOOKUP(N$2, Percentiles!$A$45:$I$59, 6, FALSE), perc_90, VLOOKUP(N$2, Percentiles!$A$45:$I$59, 7, FALSE), perc_95, VLOOKUP(N$2, Percentiles!$A$45:$I$59, 8, FALSE), perc_85, perc_75 + (perc_90 - perc_75) * (2/3), converted_stat, '2K_Ratings'!N259, IF(bbgm_stat &gt;= perc_95, converted_stat * 3, IF(bbgm_stat &gt;= perc_90, converted_stat * 2, IF(bbgm_stat &gt;= perc_85, converted_stat * 1.5, converted_stat)))))</f>
        <v/>
      </c>
      <c r="O259" s="30" t="str">
        <f t="array" ref="O259">IF($A259="", "", LET(bbgm_stat, INDEX(Players!$A258:$P258, MATCH(O$2, Players!$A$1:$P$1, 0)), perc_75, VLOOKUP(O$2, Percentiles!$A$45:$I$59, 6, FALSE), perc_90, VLOOKUP(O$2, Percentiles!$A$45:$I$59, 7, FALSE), perc_95, VLOOKUP(O$2, Percentiles!$A$45:$I$59, 8, FALSE), perc_85, perc_75 + (perc_90 - perc_75) * (2/3), converted_stat, '2K_Ratings'!O259, IF(bbgm_stat &gt;= perc_95, converted_stat * 3, IF(bbgm_stat &gt;= perc_90, converted_stat * 2, IF(bbgm_stat &gt;= perc_85, converted_stat * 1.5, converted_stat)))))</f>
        <v/>
      </c>
      <c r="P259" s="30" t="str">
        <f t="array" ref="P259">IF($A259="", "", LET(bbgm_stat, INDEX(Players!$A258:$P258, MATCH(P$2, Players!$A$1:$P$1, 0)), perc_75, VLOOKUP(P$2, Percentiles!$A$45:$I$59, 6, FALSE), perc_90, VLOOKUP(P$2, Percentiles!$A$45:$I$59, 7, FALSE), perc_95, VLOOKUP(P$2, Percentiles!$A$45:$I$59, 8, FALSE), perc_85, perc_75 + (perc_90 - perc_75) * (2/3), converted_stat, '2K_Ratings'!P259, IF(bbgm_stat &gt;= perc_95, converted_stat * 3, IF(bbgm_stat &gt;= perc_90, converted_stat * 2, IF(bbgm_stat &gt;= perc_85, converted_stat * 1.5, converted_stat)))))</f>
        <v/>
      </c>
      <c r="Q259" s="30" t="str">
        <f t="array" ref="Q259">IF($A259="", "", LET(bbgm_stat, INDEX(Players!$A258:$P258, MATCH(Q$2, Players!$A$1:$P$1, 0)), perc_75, VLOOKUP(Q$2, Percentiles!$A$45:$I$59, 6, FALSE), perc_90, VLOOKUP(Q$2, Percentiles!$A$45:$I$59, 7, FALSE), perc_95, VLOOKUP(Q$2, Percentiles!$A$45:$I$59, 8, FALSE), perc_85, perc_75 + (perc_90 - perc_75) * (2/3), converted_stat, '2K_Ratings'!Q259, IF(bbgm_stat &gt;= perc_95, converted_stat * 3, IF(bbgm_stat &gt;= perc_90, converted_stat * 2, IF(bbgm_stat &gt;= perc_85, converted_stat * 1.5, converted_stat)))))</f>
        <v/>
      </c>
      <c r="R259" s="30" t="str">
        <f t="array" ref="R259">IF($A259="", "", LET(bbgm_stat, INDEX(Players!$A258:$P258, MATCH(R$2, Players!$A$1:$P$1, 0)), perc_75, VLOOKUP(R$2, Percentiles!$A$45:$I$59, 6, FALSE), perc_90, VLOOKUP(R$2, Percentiles!$A$45:$I$59, 7, FALSE), perc_95, VLOOKUP(R$2, Percentiles!$A$45:$I$59, 8, FALSE), perc_85, perc_75 + (perc_90 - perc_75) * (2/3), converted_stat, '2K_Ratings'!R259, IF(bbgm_stat &gt;= perc_95, converted_stat * 3, IF(bbgm_stat &gt;= perc_90, converted_stat * 2, IF(bbgm_stat &gt;= perc_85, converted_stat * 1.5, converted_stat)))))</f>
        <v/>
      </c>
      <c r="S259" s="30" t="str">
        <f t="array" ref="S259">IF($A259="", "", LET(bbgm_stat, INDEX(Players!$A258:$P258, MATCH(S$2, Players!$A$1:$P$1, 0)), perc_75, VLOOKUP(S$2, Percentiles!$A$45:$I$59, 6, FALSE), perc_90, VLOOKUP(S$2, Percentiles!$A$45:$I$59, 7, FALSE), perc_95, VLOOKUP(S$2, Percentiles!$A$45:$I$59, 8, FALSE), perc_85, perc_75 + (perc_90 - perc_75) * (2/3), converted_stat, '2K_Ratings'!S259, IF(bbgm_stat &gt;= perc_95, converted_stat * 3, IF(bbgm_stat &gt;= perc_90, converted_stat * 2, IF(bbgm_stat &gt;= perc_85, converted_stat * 1.5, converted_stat)))))</f>
        <v/>
      </c>
      <c r="T259" s="30" t="str">
        <f t="array" ref="T259">IF($A259="", "", LET(bbgm_stat, INDEX(Players!$A258:$P258, MATCH(T$2, Players!$A$1:$P$1, 0)), perc_75, VLOOKUP(T$2, Percentiles!$A$45:$I$59, 6, FALSE), perc_90, VLOOKUP(T$2, Percentiles!$A$45:$I$59, 7, FALSE), perc_95, VLOOKUP(T$2, Percentiles!$A$45:$I$59, 8, FALSE), perc_85, perc_75 + (perc_90 - perc_75) * (2/3), converted_stat, '2K_Ratings'!T259, IF(bbgm_stat &gt;= perc_95, converted_stat * 3, IF(bbgm_stat &gt;= perc_90, converted_stat * 2, IF(bbgm_stat &gt;= perc_85, converted_stat * 1.5, converted_stat)))))</f>
        <v/>
      </c>
      <c r="U259" s="30" t="str">
        <f t="array" ref="U259">IF($A259="", "", LET(bbgm_stat, INDEX(Players!$A258:$P258, MATCH(U$2, Players!$A$1:$P$1, 0)), perc_75, VLOOKUP(U$2, Percentiles!$A$45:$I$59, 6, FALSE), perc_90, VLOOKUP(U$2, Percentiles!$A$45:$I$59, 7, FALSE), perc_95, VLOOKUP(U$2, Percentiles!$A$45:$I$59, 8, FALSE), perc_85, perc_75 + (perc_90 - perc_75) * (2/3), converted_stat, '2K_Ratings'!U259, IF(bbgm_stat &gt;= perc_95, converted_stat * 3, IF(bbgm_stat &gt;= perc_90, converted_stat * 2, IF(bbgm_stat &gt;= perc_85, converted_stat * 1.5, converted_stat)))))</f>
        <v/>
      </c>
      <c r="V259" s="30" t="str">
        <f t="array" ref="V259">IF($A259="", "", LET(bbgm_stat, INDEX(Players!$A258:$P258, MATCH(V$2, Players!$A$1:$P$1, 0)), perc_75, VLOOKUP(V$2, Percentiles!$A$45:$I$59, 6, FALSE), perc_90, VLOOKUP(V$2, Percentiles!$A$45:$I$59, 7, FALSE), perc_95, VLOOKUP(V$2, Percentiles!$A$45:$I$59, 8, FALSE), perc_85, perc_75 + (perc_90 - perc_75) * (2/3), converted_stat, '2K_Ratings'!V259, IF(bbgm_stat &gt;= perc_95, converted_stat * 3, IF(bbgm_stat &gt;= perc_90, converted_stat * 2, IF(bbgm_stat &gt;= perc_85, converted_stat * 1.5, converted_stat)))))</f>
        <v/>
      </c>
      <c r="W259" s="30" t="str">
        <f t="array" ref="W259">IF($A259="", "", LET(bbgm_stat, INDEX(Players!$A258:$P258, MATCH(W$2, Players!$A$1:$P$1, 0)), perc_75, VLOOKUP(W$2, Percentiles!$A$45:$I$59, 6, FALSE), perc_90, VLOOKUP(W$2, Percentiles!$A$45:$I$59, 7, FALSE), perc_95, VLOOKUP(W$2, Percentiles!$A$45:$I$59, 8, FALSE), perc_85, perc_75 + (perc_90 - perc_75) * (2/3), converted_stat, '2K_Ratings'!W259, IF(bbgm_stat &gt;= perc_95, converted_stat * 3, IF(bbgm_stat &gt;= perc_90, converted_stat * 2, IF(bbgm_stat &gt;= perc_85, converted_stat * 1.5, converted_stat)))))</f>
        <v/>
      </c>
    </row>
    <row r="260">
      <c r="A260" s="30"/>
      <c r="B260" s="30" t="str">
        <f t="array" ref="B260">IF($A260="", "", LET(bbgm_stat, INDEX(Players!$A259:$P259, MATCH(B$2, Players!$A$1:$P$1, 0)), perc_75, VLOOKUP(B$2, Percentiles!$A$45:$I$59, 6, FALSE), perc_90, VLOOKUP(B$2, Percentiles!$A$45:$I$59, 7, FALSE), perc_95, VLOOKUP(B$2, Percentiles!$A$45:$I$59, 8, FALSE), perc_85, perc_75 + (perc_90 - perc_75) * (2/3), converted_stat, '2K_Ratings'!B260, IF(bbgm_stat &gt;= perc_95, converted_stat * 3, IF(bbgm_stat &gt;= perc_90, converted_stat * 2, IF(bbgm_stat &gt;= perc_85, converted_stat * 1.5, converted_stat)))))</f>
        <v/>
      </c>
      <c r="C260" s="30" t="str">
        <f t="array" ref="C260">IF($A260="", "", LET(bbgm_stat, INDEX(Players!$A259:$P259, MATCH(C$2, Players!$A$1:$P$1, 0)), perc_75, VLOOKUP(C$2, Percentiles!$A$45:$I$59, 6, FALSE), perc_90, VLOOKUP(C$2, Percentiles!$A$45:$I$59, 7, FALSE), perc_95, VLOOKUP(C$2, Percentiles!$A$45:$I$59, 8, FALSE), perc_85, perc_75 + (perc_90 - perc_75) * (2/3), converted_stat, '2K_Ratings'!C260, IF(bbgm_stat &gt;= perc_95, converted_stat * 3, IF(bbgm_stat &gt;= perc_90, converted_stat * 2, IF(bbgm_stat &gt;= perc_85, converted_stat * 1.5, converted_stat)))))</f>
        <v/>
      </c>
      <c r="D260" s="30" t="str">
        <f t="array" ref="D260">IF($A260="", "", LET(bbgm_stat, INDEX(Players!$A259:$P259, MATCH(D$2, Players!$A$1:$P$1, 0)), perc_75, VLOOKUP(D$2, Percentiles!$A$45:$I$59, 6, FALSE), perc_90, VLOOKUP(D$2, Percentiles!$A$45:$I$59, 7, FALSE), perc_95, VLOOKUP(D$2, Percentiles!$A$45:$I$59, 8, FALSE), perc_85, perc_75 + (perc_90 - perc_75) * (2/3), converted_stat, '2K_Ratings'!D260, IF(bbgm_stat &gt;= perc_95, converted_stat * 3, IF(bbgm_stat &gt;= perc_90, converted_stat * 2, IF(bbgm_stat &gt;= perc_85, converted_stat * 1.5, converted_stat)))))</f>
        <v/>
      </c>
      <c r="E260" s="30" t="str">
        <f t="array" ref="E260">IF($A260="", "", LET(bbgm_stat, INDEX(Players!$A259:$P259, MATCH(E$2, Players!$A$1:$P$1, 0)), perc_75, VLOOKUP(E$2, Percentiles!$A$45:$I$59, 6, FALSE), perc_90, VLOOKUP(E$2, Percentiles!$A$45:$I$59, 7, FALSE), perc_95, VLOOKUP(E$2, Percentiles!$A$45:$I$59, 8, FALSE), perc_85, perc_75 + (perc_90 - perc_75) * (2/3), converted_stat, '2K_Ratings'!E260, IF(bbgm_stat &gt;= perc_95, converted_stat * 3, IF(bbgm_stat &gt;= perc_90, converted_stat * 2, IF(bbgm_stat &gt;= perc_85, converted_stat * 1.5, converted_stat)))))</f>
        <v/>
      </c>
      <c r="F260" s="30" t="str">
        <f t="array" ref="F260">IF($A260="", "", LET(bbgm_stat, INDEX(Players!$A259:$P259, MATCH(F$2, Players!$A$1:$P$1, 0)), perc_75, VLOOKUP(F$2, Percentiles!$A$45:$I$59, 6, FALSE), perc_90, VLOOKUP(F$2, Percentiles!$A$45:$I$59, 7, FALSE), perc_95, VLOOKUP(F$2, Percentiles!$A$45:$I$59, 8, FALSE), perc_85, perc_75 + (perc_90 - perc_75) * (2/3), converted_stat, '2K_Ratings'!F260, IF(bbgm_stat &gt;= perc_95, converted_stat * 3, IF(bbgm_stat &gt;= perc_90, converted_stat * 2, IF(bbgm_stat &gt;= perc_85, converted_stat * 1.5, converted_stat)))))</f>
        <v/>
      </c>
      <c r="G260" s="30" t="str">
        <f t="array" ref="G260">IF($A260="", "", LET(bbgm_stat, INDEX(Players!$A259:$P259, MATCH(G$2, Players!$A$1:$P$1, 0)), perc_75, VLOOKUP(G$2, Percentiles!$A$45:$I$59, 6, FALSE), perc_90, VLOOKUP(G$2, Percentiles!$A$45:$I$59, 7, FALSE), perc_95, VLOOKUP(G$2, Percentiles!$A$45:$I$59, 8, FALSE), perc_85, perc_75 + (perc_90 - perc_75) * (2/3), converted_stat, '2K_Ratings'!G260, IF(bbgm_stat &gt;= perc_95, converted_stat * 3, IF(bbgm_stat &gt;= perc_90, converted_stat * 2, IF(bbgm_stat &gt;= perc_85, converted_stat * 1.5, converted_stat)))))</f>
        <v/>
      </c>
      <c r="H260" s="30" t="str">
        <f t="array" ref="H260">IF($A260="", "", LET(bbgm_stat, INDEX(Players!$A259:$P259, MATCH(H$2, Players!$A$1:$P$1, 0)), perc_75, VLOOKUP(H$2, Percentiles!$A$45:$I$59, 6, FALSE), perc_90, VLOOKUP(H$2, Percentiles!$A$45:$I$59, 7, FALSE), perc_95, VLOOKUP(H$2, Percentiles!$A$45:$I$59, 8, FALSE), perc_85, perc_75 + (perc_90 - perc_75) * (2/3), converted_stat, '2K_Ratings'!H260, IF(bbgm_stat &gt;= perc_95, converted_stat * 3, IF(bbgm_stat &gt;= perc_90, converted_stat * 2, IF(bbgm_stat &gt;= perc_85, converted_stat * 1.5, converted_stat)))))</f>
        <v/>
      </c>
      <c r="I260" s="30" t="str">
        <f t="array" ref="I260">IF($A260="", "", LET(bbgm_stat, INDEX(Players!$A259:$P259, MATCH(I$2, Players!$A$1:$P$1, 0)), perc_75, VLOOKUP(I$2, Percentiles!$A$45:$I$59, 6, FALSE), perc_90, VLOOKUP(I$2, Percentiles!$A$45:$I$59, 7, FALSE), perc_95, VLOOKUP(I$2, Percentiles!$A$45:$I$59, 8, FALSE), perc_85, perc_75 + (perc_90 - perc_75) * (2/3), converted_stat, '2K_Ratings'!I260, IF(bbgm_stat &gt;= perc_95, converted_stat * 3, IF(bbgm_stat &gt;= perc_90, converted_stat * 2, IF(bbgm_stat &gt;= perc_85, converted_stat * 1.5, converted_stat)))))</f>
        <v/>
      </c>
      <c r="J260" s="30" t="str">
        <f t="array" ref="J260">IF($A260="", "", LET(bbgm_stat, INDEX(Players!$A259:$P259, MATCH(J$2, Players!$A$1:$P$1, 0)), perc_75, VLOOKUP(J$2, Percentiles!$A$45:$I$59, 6, FALSE), perc_90, VLOOKUP(J$2, Percentiles!$A$45:$I$59, 7, FALSE), perc_95, VLOOKUP(J$2, Percentiles!$A$45:$I$59, 8, FALSE), perc_85, perc_75 + (perc_90 - perc_75) * (2/3), converted_stat, '2K_Ratings'!J260, IF(bbgm_stat &gt;= perc_95, converted_stat * 3, IF(bbgm_stat &gt;= perc_90, converted_stat * 2, IF(bbgm_stat &gt;= perc_85, converted_stat * 1.5, converted_stat)))))</f>
        <v/>
      </c>
      <c r="K260" s="30" t="str">
        <f t="array" ref="K260">IF($A260="", "", LET(bbgm_stat, INDEX(Players!$A259:$P259, MATCH(K$2, Players!$A$1:$P$1, 0)), perc_75, VLOOKUP(K$2, Percentiles!$A$45:$I$59, 6, FALSE), perc_90, VLOOKUP(K$2, Percentiles!$A$45:$I$59, 7, FALSE), perc_95, VLOOKUP(K$2, Percentiles!$A$45:$I$59, 8, FALSE), perc_85, perc_75 + (perc_90 - perc_75) * (2/3), converted_stat, '2K_Ratings'!K260, IF(bbgm_stat &gt;= perc_95, converted_stat * 3, IF(bbgm_stat &gt;= perc_90, converted_stat * 2, IF(bbgm_stat &gt;= perc_85, converted_stat * 1.5, converted_stat)))))</f>
        <v/>
      </c>
      <c r="L260" s="30" t="str">
        <f t="array" ref="L260">IF($A260="", "", LET(bbgm_stat, INDEX(Players!$A259:$P259, MATCH(L$2, Players!$A$1:$P$1, 0)), perc_75, VLOOKUP(L$2, Percentiles!$A$45:$I$59, 6, FALSE), perc_90, VLOOKUP(L$2, Percentiles!$A$45:$I$59, 7, FALSE), perc_95, VLOOKUP(L$2, Percentiles!$A$45:$I$59, 8, FALSE), perc_85, perc_75 + (perc_90 - perc_75) * (2/3), converted_stat, '2K_Ratings'!L260, IF(bbgm_stat &gt;= perc_95, converted_stat * 3, IF(bbgm_stat &gt;= perc_90, converted_stat * 2, IF(bbgm_stat &gt;= perc_85, converted_stat * 1.5, converted_stat)))))</f>
        <v/>
      </c>
      <c r="M260" s="30" t="str">
        <f t="array" ref="M260">IF($A260="", "", LET(bbgm_stat, INDEX(Players!$A259:$P259, MATCH(M$2, Players!$A$1:$P$1, 0)), perc_75, VLOOKUP(M$2, Percentiles!$A$45:$I$59, 6, FALSE), perc_90, VLOOKUP(M$2, Percentiles!$A$45:$I$59, 7, FALSE), perc_95, VLOOKUP(M$2, Percentiles!$A$45:$I$59, 8, FALSE), perc_85, perc_75 + (perc_90 - perc_75) * (2/3), converted_stat, '2K_Ratings'!M260, IF(bbgm_stat &gt;= perc_95, converted_stat * 3, IF(bbgm_stat &gt;= perc_90, converted_stat * 2, IF(bbgm_stat &gt;= perc_85, converted_stat * 1.5, converted_stat)))))</f>
        <v/>
      </c>
      <c r="N260" s="30" t="str">
        <f t="array" ref="N260">IF($A260="", "", LET(bbgm_stat, INDEX(Players!$A259:$P259, MATCH(N$2, Players!$A$1:$P$1, 0)), perc_75, VLOOKUP(N$2, Percentiles!$A$45:$I$59, 6, FALSE), perc_90, VLOOKUP(N$2, Percentiles!$A$45:$I$59, 7, FALSE), perc_95, VLOOKUP(N$2, Percentiles!$A$45:$I$59, 8, FALSE), perc_85, perc_75 + (perc_90 - perc_75) * (2/3), converted_stat, '2K_Ratings'!N260, IF(bbgm_stat &gt;= perc_95, converted_stat * 3, IF(bbgm_stat &gt;= perc_90, converted_stat * 2, IF(bbgm_stat &gt;= perc_85, converted_stat * 1.5, converted_stat)))))</f>
        <v/>
      </c>
      <c r="O260" s="30" t="str">
        <f t="array" ref="O260">IF($A260="", "", LET(bbgm_stat, INDEX(Players!$A259:$P259, MATCH(O$2, Players!$A$1:$P$1, 0)), perc_75, VLOOKUP(O$2, Percentiles!$A$45:$I$59, 6, FALSE), perc_90, VLOOKUP(O$2, Percentiles!$A$45:$I$59, 7, FALSE), perc_95, VLOOKUP(O$2, Percentiles!$A$45:$I$59, 8, FALSE), perc_85, perc_75 + (perc_90 - perc_75) * (2/3), converted_stat, '2K_Ratings'!O260, IF(bbgm_stat &gt;= perc_95, converted_stat * 3, IF(bbgm_stat &gt;= perc_90, converted_stat * 2, IF(bbgm_stat &gt;= perc_85, converted_stat * 1.5, converted_stat)))))</f>
        <v/>
      </c>
      <c r="P260" s="30" t="str">
        <f t="array" ref="P260">IF($A260="", "", LET(bbgm_stat, INDEX(Players!$A259:$P259, MATCH(P$2, Players!$A$1:$P$1, 0)), perc_75, VLOOKUP(P$2, Percentiles!$A$45:$I$59, 6, FALSE), perc_90, VLOOKUP(P$2, Percentiles!$A$45:$I$59, 7, FALSE), perc_95, VLOOKUP(P$2, Percentiles!$A$45:$I$59, 8, FALSE), perc_85, perc_75 + (perc_90 - perc_75) * (2/3), converted_stat, '2K_Ratings'!P260, IF(bbgm_stat &gt;= perc_95, converted_stat * 3, IF(bbgm_stat &gt;= perc_90, converted_stat * 2, IF(bbgm_stat &gt;= perc_85, converted_stat * 1.5, converted_stat)))))</f>
        <v/>
      </c>
      <c r="Q260" s="30" t="str">
        <f t="array" ref="Q260">IF($A260="", "", LET(bbgm_stat, INDEX(Players!$A259:$P259, MATCH(Q$2, Players!$A$1:$P$1, 0)), perc_75, VLOOKUP(Q$2, Percentiles!$A$45:$I$59, 6, FALSE), perc_90, VLOOKUP(Q$2, Percentiles!$A$45:$I$59, 7, FALSE), perc_95, VLOOKUP(Q$2, Percentiles!$A$45:$I$59, 8, FALSE), perc_85, perc_75 + (perc_90 - perc_75) * (2/3), converted_stat, '2K_Ratings'!Q260, IF(bbgm_stat &gt;= perc_95, converted_stat * 3, IF(bbgm_stat &gt;= perc_90, converted_stat * 2, IF(bbgm_stat &gt;= perc_85, converted_stat * 1.5, converted_stat)))))</f>
        <v/>
      </c>
      <c r="R260" s="30" t="str">
        <f t="array" ref="R260">IF($A260="", "", LET(bbgm_stat, INDEX(Players!$A259:$P259, MATCH(R$2, Players!$A$1:$P$1, 0)), perc_75, VLOOKUP(R$2, Percentiles!$A$45:$I$59, 6, FALSE), perc_90, VLOOKUP(R$2, Percentiles!$A$45:$I$59, 7, FALSE), perc_95, VLOOKUP(R$2, Percentiles!$A$45:$I$59, 8, FALSE), perc_85, perc_75 + (perc_90 - perc_75) * (2/3), converted_stat, '2K_Ratings'!R260, IF(bbgm_stat &gt;= perc_95, converted_stat * 3, IF(bbgm_stat &gt;= perc_90, converted_stat * 2, IF(bbgm_stat &gt;= perc_85, converted_stat * 1.5, converted_stat)))))</f>
        <v/>
      </c>
      <c r="S260" s="30" t="str">
        <f t="array" ref="S260">IF($A260="", "", LET(bbgm_stat, INDEX(Players!$A259:$P259, MATCH(S$2, Players!$A$1:$P$1, 0)), perc_75, VLOOKUP(S$2, Percentiles!$A$45:$I$59, 6, FALSE), perc_90, VLOOKUP(S$2, Percentiles!$A$45:$I$59, 7, FALSE), perc_95, VLOOKUP(S$2, Percentiles!$A$45:$I$59, 8, FALSE), perc_85, perc_75 + (perc_90 - perc_75) * (2/3), converted_stat, '2K_Ratings'!S260, IF(bbgm_stat &gt;= perc_95, converted_stat * 3, IF(bbgm_stat &gt;= perc_90, converted_stat * 2, IF(bbgm_stat &gt;= perc_85, converted_stat * 1.5, converted_stat)))))</f>
        <v/>
      </c>
      <c r="T260" s="30" t="str">
        <f t="array" ref="T260">IF($A260="", "", LET(bbgm_stat, INDEX(Players!$A259:$P259, MATCH(T$2, Players!$A$1:$P$1, 0)), perc_75, VLOOKUP(T$2, Percentiles!$A$45:$I$59, 6, FALSE), perc_90, VLOOKUP(T$2, Percentiles!$A$45:$I$59, 7, FALSE), perc_95, VLOOKUP(T$2, Percentiles!$A$45:$I$59, 8, FALSE), perc_85, perc_75 + (perc_90 - perc_75) * (2/3), converted_stat, '2K_Ratings'!T260, IF(bbgm_stat &gt;= perc_95, converted_stat * 3, IF(bbgm_stat &gt;= perc_90, converted_stat * 2, IF(bbgm_stat &gt;= perc_85, converted_stat * 1.5, converted_stat)))))</f>
        <v/>
      </c>
      <c r="U260" s="30" t="str">
        <f t="array" ref="U260">IF($A260="", "", LET(bbgm_stat, INDEX(Players!$A259:$P259, MATCH(U$2, Players!$A$1:$P$1, 0)), perc_75, VLOOKUP(U$2, Percentiles!$A$45:$I$59, 6, FALSE), perc_90, VLOOKUP(U$2, Percentiles!$A$45:$I$59, 7, FALSE), perc_95, VLOOKUP(U$2, Percentiles!$A$45:$I$59, 8, FALSE), perc_85, perc_75 + (perc_90 - perc_75) * (2/3), converted_stat, '2K_Ratings'!U260, IF(bbgm_stat &gt;= perc_95, converted_stat * 3, IF(bbgm_stat &gt;= perc_90, converted_stat * 2, IF(bbgm_stat &gt;= perc_85, converted_stat * 1.5, converted_stat)))))</f>
        <v/>
      </c>
      <c r="V260" s="30" t="str">
        <f t="array" ref="V260">IF($A260="", "", LET(bbgm_stat, INDEX(Players!$A259:$P259, MATCH(V$2, Players!$A$1:$P$1, 0)), perc_75, VLOOKUP(V$2, Percentiles!$A$45:$I$59, 6, FALSE), perc_90, VLOOKUP(V$2, Percentiles!$A$45:$I$59, 7, FALSE), perc_95, VLOOKUP(V$2, Percentiles!$A$45:$I$59, 8, FALSE), perc_85, perc_75 + (perc_90 - perc_75) * (2/3), converted_stat, '2K_Ratings'!V260, IF(bbgm_stat &gt;= perc_95, converted_stat * 3, IF(bbgm_stat &gt;= perc_90, converted_stat * 2, IF(bbgm_stat &gt;= perc_85, converted_stat * 1.5, converted_stat)))))</f>
        <v/>
      </c>
      <c r="W260" s="30" t="str">
        <f t="array" ref="W260">IF($A260="", "", LET(bbgm_stat, INDEX(Players!$A259:$P259, MATCH(W$2, Players!$A$1:$P$1, 0)), perc_75, VLOOKUP(W$2, Percentiles!$A$45:$I$59, 6, FALSE), perc_90, VLOOKUP(W$2, Percentiles!$A$45:$I$59, 7, FALSE), perc_95, VLOOKUP(W$2, Percentiles!$A$45:$I$59, 8, FALSE), perc_85, perc_75 + (perc_90 - perc_75) * (2/3), converted_stat, '2K_Ratings'!W260, IF(bbgm_stat &gt;= perc_95, converted_stat * 3, IF(bbgm_stat &gt;= perc_90, converted_stat * 2, IF(bbgm_stat &gt;= perc_85, converted_stat * 1.5, converted_stat)))))</f>
        <v/>
      </c>
    </row>
    <row r="261">
      <c r="A261" s="30"/>
      <c r="B261" s="30" t="str">
        <f t="array" ref="B261">IF($A261="", "", LET(bbgm_stat, INDEX(Players!$A260:$P260, MATCH(B$2, Players!$A$1:$P$1, 0)), perc_75, VLOOKUP(B$2, Percentiles!$A$45:$I$59, 6, FALSE), perc_90, VLOOKUP(B$2, Percentiles!$A$45:$I$59, 7, FALSE), perc_95, VLOOKUP(B$2, Percentiles!$A$45:$I$59, 8, FALSE), perc_85, perc_75 + (perc_90 - perc_75) * (2/3), converted_stat, '2K_Ratings'!B261, IF(bbgm_stat &gt;= perc_95, converted_stat * 3, IF(bbgm_stat &gt;= perc_90, converted_stat * 2, IF(bbgm_stat &gt;= perc_85, converted_stat * 1.5, converted_stat)))))</f>
        <v/>
      </c>
      <c r="C261" s="30" t="str">
        <f t="array" ref="C261">IF($A261="", "", LET(bbgm_stat, INDEX(Players!$A260:$P260, MATCH(C$2, Players!$A$1:$P$1, 0)), perc_75, VLOOKUP(C$2, Percentiles!$A$45:$I$59, 6, FALSE), perc_90, VLOOKUP(C$2, Percentiles!$A$45:$I$59, 7, FALSE), perc_95, VLOOKUP(C$2, Percentiles!$A$45:$I$59, 8, FALSE), perc_85, perc_75 + (perc_90 - perc_75) * (2/3), converted_stat, '2K_Ratings'!C261, IF(bbgm_stat &gt;= perc_95, converted_stat * 3, IF(bbgm_stat &gt;= perc_90, converted_stat * 2, IF(bbgm_stat &gt;= perc_85, converted_stat * 1.5, converted_stat)))))</f>
        <v/>
      </c>
      <c r="D261" s="30" t="str">
        <f t="array" ref="D261">IF($A261="", "", LET(bbgm_stat, INDEX(Players!$A260:$P260, MATCH(D$2, Players!$A$1:$P$1, 0)), perc_75, VLOOKUP(D$2, Percentiles!$A$45:$I$59, 6, FALSE), perc_90, VLOOKUP(D$2, Percentiles!$A$45:$I$59, 7, FALSE), perc_95, VLOOKUP(D$2, Percentiles!$A$45:$I$59, 8, FALSE), perc_85, perc_75 + (perc_90 - perc_75) * (2/3), converted_stat, '2K_Ratings'!D261, IF(bbgm_stat &gt;= perc_95, converted_stat * 3, IF(bbgm_stat &gt;= perc_90, converted_stat * 2, IF(bbgm_stat &gt;= perc_85, converted_stat * 1.5, converted_stat)))))</f>
        <v/>
      </c>
      <c r="E261" s="30" t="str">
        <f t="array" ref="E261">IF($A261="", "", LET(bbgm_stat, INDEX(Players!$A260:$P260, MATCH(E$2, Players!$A$1:$P$1, 0)), perc_75, VLOOKUP(E$2, Percentiles!$A$45:$I$59, 6, FALSE), perc_90, VLOOKUP(E$2, Percentiles!$A$45:$I$59, 7, FALSE), perc_95, VLOOKUP(E$2, Percentiles!$A$45:$I$59, 8, FALSE), perc_85, perc_75 + (perc_90 - perc_75) * (2/3), converted_stat, '2K_Ratings'!E261, IF(bbgm_stat &gt;= perc_95, converted_stat * 3, IF(bbgm_stat &gt;= perc_90, converted_stat * 2, IF(bbgm_stat &gt;= perc_85, converted_stat * 1.5, converted_stat)))))</f>
        <v/>
      </c>
      <c r="F261" s="30" t="str">
        <f t="array" ref="F261">IF($A261="", "", LET(bbgm_stat, INDEX(Players!$A260:$P260, MATCH(F$2, Players!$A$1:$P$1, 0)), perc_75, VLOOKUP(F$2, Percentiles!$A$45:$I$59, 6, FALSE), perc_90, VLOOKUP(F$2, Percentiles!$A$45:$I$59, 7, FALSE), perc_95, VLOOKUP(F$2, Percentiles!$A$45:$I$59, 8, FALSE), perc_85, perc_75 + (perc_90 - perc_75) * (2/3), converted_stat, '2K_Ratings'!F261, IF(bbgm_stat &gt;= perc_95, converted_stat * 3, IF(bbgm_stat &gt;= perc_90, converted_stat * 2, IF(bbgm_stat &gt;= perc_85, converted_stat * 1.5, converted_stat)))))</f>
        <v/>
      </c>
      <c r="G261" s="30" t="str">
        <f t="array" ref="G261">IF($A261="", "", LET(bbgm_stat, INDEX(Players!$A260:$P260, MATCH(G$2, Players!$A$1:$P$1, 0)), perc_75, VLOOKUP(G$2, Percentiles!$A$45:$I$59, 6, FALSE), perc_90, VLOOKUP(G$2, Percentiles!$A$45:$I$59, 7, FALSE), perc_95, VLOOKUP(G$2, Percentiles!$A$45:$I$59, 8, FALSE), perc_85, perc_75 + (perc_90 - perc_75) * (2/3), converted_stat, '2K_Ratings'!G261, IF(bbgm_stat &gt;= perc_95, converted_stat * 3, IF(bbgm_stat &gt;= perc_90, converted_stat * 2, IF(bbgm_stat &gt;= perc_85, converted_stat * 1.5, converted_stat)))))</f>
        <v/>
      </c>
      <c r="H261" s="30" t="str">
        <f t="array" ref="H261">IF($A261="", "", LET(bbgm_stat, INDEX(Players!$A260:$P260, MATCH(H$2, Players!$A$1:$P$1, 0)), perc_75, VLOOKUP(H$2, Percentiles!$A$45:$I$59, 6, FALSE), perc_90, VLOOKUP(H$2, Percentiles!$A$45:$I$59, 7, FALSE), perc_95, VLOOKUP(H$2, Percentiles!$A$45:$I$59, 8, FALSE), perc_85, perc_75 + (perc_90 - perc_75) * (2/3), converted_stat, '2K_Ratings'!H261, IF(bbgm_stat &gt;= perc_95, converted_stat * 3, IF(bbgm_stat &gt;= perc_90, converted_stat * 2, IF(bbgm_stat &gt;= perc_85, converted_stat * 1.5, converted_stat)))))</f>
        <v/>
      </c>
      <c r="I261" s="30" t="str">
        <f t="array" ref="I261">IF($A261="", "", LET(bbgm_stat, INDEX(Players!$A260:$P260, MATCH(I$2, Players!$A$1:$P$1, 0)), perc_75, VLOOKUP(I$2, Percentiles!$A$45:$I$59, 6, FALSE), perc_90, VLOOKUP(I$2, Percentiles!$A$45:$I$59, 7, FALSE), perc_95, VLOOKUP(I$2, Percentiles!$A$45:$I$59, 8, FALSE), perc_85, perc_75 + (perc_90 - perc_75) * (2/3), converted_stat, '2K_Ratings'!I261, IF(bbgm_stat &gt;= perc_95, converted_stat * 3, IF(bbgm_stat &gt;= perc_90, converted_stat * 2, IF(bbgm_stat &gt;= perc_85, converted_stat * 1.5, converted_stat)))))</f>
        <v/>
      </c>
      <c r="J261" s="30" t="str">
        <f t="array" ref="J261">IF($A261="", "", LET(bbgm_stat, INDEX(Players!$A260:$P260, MATCH(J$2, Players!$A$1:$P$1, 0)), perc_75, VLOOKUP(J$2, Percentiles!$A$45:$I$59, 6, FALSE), perc_90, VLOOKUP(J$2, Percentiles!$A$45:$I$59, 7, FALSE), perc_95, VLOOKUP(J$2, Percentiles!$A$45:$I$59, 8, FALSE), perc_85, perc_75 + (perc_90 - perc_75) * (2/3), converted_stat, '2K_Ratings'!J261, IF(bbgm_stat &gt;= perc_95, converted_stat * 3, IF(bbgm_stat &gt;= perc_90, converted_stat * 2, IF(bbgm_stat &gt;= perc_85, converted_stat * 1.5, converted_stat)))))</f>
        <v/>
      </c>
      <c r="K261" s="30" t="str">
        <f t="array" ref="K261">IF($A261="", "", LET(bbgm_stat, INDEX(Players!$A260:$P260, MATCH(K$2, Players!$A$1:$P$1, 0)), perc_75, VLOOKUP(K$2, Percentiles!$A$45:$I$59, 6, FALSE), perc_90, VLOOKUP(K$2, Percentiles!$A$45:$I$59, 7, FALSE), perc_95, VLOOKUP(K$2, Percentiles!$A$45:$I$59, 8, FALSE), perc_85, perc_75 + (perc_90 - perc_75) * (2/3), converted_stat, '2K_Ratings'!K261, IF(bbgm_stat &gt;= perc_95, converted_stat * 3, IF(bbgm_stat &gt;= perc_90, converted_stat * 2, IF(bbgm_stat &gt;= perc_85, converted_stat * 1.5, converted_stat)))))</f>
        <v/>
      </c>
      <c r="L261" s="30" t="str">
        <f t="array" ref="L261">IF($A261="", "", LET(bbgm_stat, INDEX(Players!$A260:$P260, MATCH(L$2, Players!$A$1:$P$1, 0)), perc_75, VLOOKUP(L$2, Percentiles!$A$45:$I$59, 6, FALSE), perc_90, VLOOKUP(L$2, Percentiles!$A$45:$I$59, 7, FALSE), perc_95, VLOOKUP(L$2, Percentiles!$A$45:$I$59, 8, FALSE), perc_85, perc_75 + (perc_90 - perc_75) * (2/3), converted_stat, '2K_Ratings'!L261, IF(bbgm_stat &gt;= perc_95, converted_stat * 3, IF(bbgm_stat &gt;= perc_90, converted_stat * 2, IF(bbgm_stat &gt;= perc_85, converted_stat * 1.5, converted_stat)))))</f>
        <v/>
      </c>
      <c r="M261" s="30" t="str">
        <f t="array" ref="M261">IF($A261="", "", LET(bbgm_stat, INDEX(Players!$A260:$P260, MATCH(M$2, Players!$A$1:$P$1, 0)), perc_75, VLOOKUP(M$2, Percentiles!$A$45:$I$59, 6, FALSE), perc_90, VLOOKUP(M$2, Percentiles!$A$45:$I$59, 7, FALSE), perc_95, VLOOKUP(M$2, Percentiles!$A$45:$I$59, 8, FALSE), perc_85, perc_75 + (perc_90 - perc_75) * (2/3), converted_stat, '2K_Ratings'!M261, IF(bbgm_stat &gt;= perc_95, converted_stat * 3, IF(bbgm_stat &gt;= perc_90, converted_stat * 2, IF(bbgm_stat &gt;= perc_85, converted_stat * 1.5, converted_stat)))))</f>
        <v/>
      </c>
      <c r="N261" s="30" t="str">
        <f t="array" ref="N261">IF($A261="", "", LET(bbgm_stat, INDEX(Players!$A260:$P260, MATCH(N$2, Players!$A$1:$P$1, 0)), perc_75, VLOOKUP(N$2, Percentiles!$A$45:$I$59, 6, FALSE), perc_90, VLOOKUP(N$2, Percentiles!$A$45:$I$59, 7, FALSE), perc_95, VLOOKUP(N$2, Percentiles!$A$45:$I$59, 8, FALSE), perc_85, perc_75 + (perc_90 - perc_75) * (2/3), converted_stat, '2K_Ratings'!N261, IF(bbgm_stat &gt;= perc_95, converted_stat * 3, IF(bbgm_stat &gt;= perc_90, converted_stat * 2, IF(bbgm_stat &gt;= perc_85, converted_stat * 1.5, converted_stat)))))</f>
        <v/>
      </c>
      <c r="O261" s="30" t="str">
        <f t="array" ref="O261">IF($A261="", "", LET(bbgm_stat, INDEX(Players!$A260:$P260, MATCH(O$2, Players!$A$1:$P$1, 0)), perc_75, VLOOKUP(O$2, Percentiles!$A$45:$I$59, 6, FALSE), perc_90, VLOOKUP(O$2, Percentiles!$A$45:$I$59, 7, FALSE), perc_95, VLOOKUP(O$2, Percentiles!$A$45:$I$59, 8, FALSE), perc_85, perc_75 + (perc_90 - perc_75) * (2/3), converted_stat, '2K_Ratings'!O261, IF(bbgm_stat &gt;= perc_95, converted_stat * 3, IF(bbgm_stat &gt;= perc_90, converted_stat * 2, IF(bbgm_stat &gt;= perc_85, converted_stat * 1.5, converted_stat)))))</f>
        <v/>
      </c>
      <c r="P261" s="30" t="str">
        <f t="array" ref="P261">IF($A261="", "", LET(bbgm_stat, INDEX(Players!$A260:$P260, MATCH(P$2, Players!$A$1:$P$1, 0)), perc_75, VLOOKUP(P$2, Percentiles!$A$45:$I$59, 6, FALSE), perc_90, VLOOKUP(P$2, Percentiles!$A$45:$I$59, 7, FALSE), perc_95, VLOOKUP(P$2, Percentiles!$A$45:$I$59, 8, FALSE), perc_85, perc_75 + (perc_90 - perc_75) * (2/3), converted_stat, '2K_Ratings'!P261, IF(bbgm_stat &gt;= perc_95, converted_stat * 3, IF(bbgm_stat &gt;= perc_90, converted_stat * 2, IF(bbgm_stat &gt;= perc_85, converted_stat * 1.5, converted_stat)))))</f>
        <v/>
      </c>
      <c r="Q261" s="30" t="str">
        <f t="array" ref="Q261">IF($A261="", "", LET(bbgm_stat, INDEX(Players!$A260:$P260, MATCH(Q$2, Players!$A$1:$P$1, 0)), perc_75, VLOOKUP(Q$2, Percentiles!$A$45:$I$59, 6, FALSE), perc_90, VLOOKUP(Q$2, Percentiles!$A$45:$I$59, 7, FALSE), perc_95, VLOOKUP(Q$2, Percentiles!$A$45:$I$59, 8, FALSE), perc_85, perc_75 + (perc_90 - perc_75) * (2/3), converted_stat, '2K_Ratings'!Q261, IF(bbgm_stat &gt;= perc_95, converted_stat * 3, IF(bbgm_stat &gt;= perc_90, converted_stat * 2, IF(bbgm_stat &gt;= perc_85, converted_stat * 1.5, converted_stat)))))</f>
        <v/>
      </c>
      <c r="R261" s="30" t="str">
        <f t="array" ref="R261">IF($A261="", "", LET(bbgm_stat, INDEX(Players!$A260:$P260, MATCH(R$2, Players!$A$1:$P$1, 0)), perc_75, VLOOKUP(R$2, Percentiles!$A$45:$I$59, 6, FALSE), perc_90, VLOOKUP(R$2, Percentiles!$A$45:$I$59, 7, FALSE), perc_95, VLOOKUP(R$2, Percentiles!$A$45:$I$59, 8, FALSE), perc_85, perc_75 + (perc_90 - perc_75) * (2/3), converted_stat, '2K_Ratings'!R261, IF(bbgm_stat &gt;= perc_95, converted_stat * 3, IF(bbgm_stat &gt;= perc_90, converted_stat * 2, IF(bbgm_stat &gt;= perc_85, converted_stat * 1.5, converted_stat)))))</f>
        <v/>
      </c>
      <c r="S261" s="30" t="str">
        <f t="array" ref="S261">IF($A261="", "", LET(bbgm_stat, INDEX(Players!$A260:$P260, MATCH(S$2, Players!$A$1:$P$1, 0)), perc_75, VLOOKUP(S$2, Percentiles!$A$45:$I$59, 6, FALSE), perc_90, VLOOKUP(S$2, Percentiles!$A$45:$I$59, 7, FALSE), perc_95, VLOOKUP(S$2, Percentiles!$A$45:$I$59, 8, FALSE), perc_85, perc_75 + (perc_90 - perc_75) * (2/3), converted_stat, '2K_Ratings'!S261, IF(bbgm_stat &gt;= perc_95, converted_stat * 3, IF(bbgm_stat &gt;= perc_90, converted_stat * 2, IF(bbgm_stat &gt;= perc_85, converted_stat * 1.5, converted_stat)))))</f>
        <v/>
      </c>
      <c r="T261" s="30" t="str">
        <f t="array" ref="T261">IF($A261="", "", LET(bbgm_stat, INDEX(Players!$A260:$P260, MATCH(T$2, Players!$A$1:$P$1, 0)), perc_75, VLOOKUP(T$2, Percentiles!$A$45:$I$59, 6, FALSE), perc_90, VLOOKUP(T$2, Percentiles!$A$45:$I$59, 7, FALSE), perc_95, VLOOKUP(T$2, Percentiles!$A$45:$I$59, 8, FALSE), perc_85, perc_75 + (perc_90 - perc_75) * (2/3), converted_stat, '2K_Ratings'!T261, IF(bbgm_stat &gt;= perc_95, converted_stat * 3, IF(bbgm_stat &gt;= perc_90, converted_stat * 2, IF(bbgm_stat &gt;= perc_85, converted_stat * 1.5, converted_stat)))))</f>
        <v/>
      </c>
      <c r="U261" s="30" t="str">
        <f t="array" ref="U261">IF($A261="", "", LET(bbgm_stat, INDEX(Players!$A260:$P260, MATCH(U$2, Players!$A$1:$P$1, 0)), perc_75, VLOOKUP(U$2, Percentiles!$A$45:$I$59, 6, FALSE), perc_90, VLOOKUP(U$2, Percentiles!$A$45:$I$59, 7, FALSE), perc_95, VLOOKUP(U$2, Percentiles!$A$45:$I$59, 8, FALSE), perc_85, perc_75 + (perc_90 - perc_75) * (2/3), converted_stat, '2K_Ratings'!U261, IF(bbgm_stat &gt;= perc_95, converted_stat * 3, IF(bbgm_stat &gt;= perc_90, converted_stat * 2, IF(bbgm_stat &gt;= perc_85, converted_stat * 1.5, converted_stat)))))</f>
        <v/>
      </c>
      <c r="V261" s="30" t="str">
        <f t="array" ref="V261">IF($A261="", "", LET(bbgm_stat, INDEX(Players!$A260:$P260, MATCH(V$2, Players!$A$1:$P$1, 0)), perc_75, VLOOKUP(V$2, Percentiles!$A$45:$I$59, 6, FALSE), perc_90, VLOOKUP(V$2, Percentiles!$A$45:$I$59, 7, FALSE), perc_95, VLOOKUP(V$2, Percentiles!$A$45:$I$59, 8, FALSE), perc_85, perc_75 + (perc_90 - perc_75) * (2/3), converted_stat, '2K_Ratings'!V261, IF(bbgm_stat &gt;= perc_95, converted_stat * 3, IF(bbgm_stat &gt;= perc_90, converted_stat * 2, IF(bbgm_stat &gt;= perc_85, converted_stat * 1.5, converted_stat)))))</f>
        <v/>
      </c>
      <c r="W261" s="30" t="str">
        <f t="array" ref="W261">IF($A261="", "", LET(bbgm_stat, INDEX(Players!$A260:$P260, MATCH(W$2, Players!$A$1:$P$1, 0)), perc_75, VLOOKUP(W$2, Percentiles!$A$45:$I$59, 6, FALSE), perc_90, VLOOKUP(W$2, Percentiles!$A$45:$I$59, 7, FALSE), perc_95, VLOOKUP(W$2, Percentiles!$A$45:$I$59, 8, FALSE), perc_85, perc_75 + (perc_90 - perc_75) * (2/3), converted_stat, '2K_Ratings'!W261, IF(bbgm_stat &gt;= perc_95, converted_stat * 3, IF(bbgm_stat &gt;= perc_90, converted_stat * 2, IF(bbgm_stat &gt;= perc_85, converted_stat * 1.5, converted_stat)))))</f>
        <v/>
      </c>
    </row>
    <row r="262">
      <c r="A262" s="30"/>
      <c r="B262" s="30" t="str">
        <f t="array" ref="B262">IF($A262="", "", LET(bbgm_stat, INDEX(Players!$A261:$P261, MATCH(B$2, Players!$A$1:$P$1, 0)), perc_75, VLOOKUP(B$2, Percentiles!$A$45:$I$59, 6, FALSE), perc_90, VLOOKUP(B$2, Percentiles!$A$45:$I$59, 7, FALSE), perc_95, VLOOKUP(B$2, Percentiles!$A$45:$I$59, 8, FALSE), perc_85, perc_75 + (perc_90 - perc_75) * (2/3), converted_stat, '2K_Ratings'!B262, IF(bbgm_stat &gt;= perc_95, converted_stat * 3, IF(bbgm_stat &gt;= perc_90, converted_stat * 2, IF(bbgm_stat &gt;= perc_85, converted_stat * 1.5, converted_stat)))))</f>
        <v/>
      </c>
      <c r="C262" s="30" t="str">
        <f t="array" ref="C262">IF($A262="", "", LET(bbgm_stat, INDEX(Players!$A261:$P261, MATCH(C$2, Players!$A$1:$P$1, 0)), perc_75, VLOOKUP(C$2, Percentiles!$A$45:$I$59, 6, FALSE), perc_90, VLOOKUP(C$2, Percentiles!$A$45:$I$59, 7, FALSE), perc_95, VLOOKUP(C$2, Percentiles!$A$45:$I$59, 8, FALSE), perc_85, perc_75 + (perc_90 - perc_75) * (2/3), converted_stat, '2K_Ratings'!C262, IF(bbgm_stat &gt;= perc_95, converted_stat * 3, IF(bbgm_stat &gt;= perc_90, converted_stat * 2, IF(bbgm_stat &gt;= perc_85, converted_stat * 1.5, converted_stat)))))</f>
        <v/>
      </c>
      <c r="D262" s="30" t="str">
        <f t="array" ref="D262">IF($A262="", "", LET(bbgm_stat, INDEX(Players!$A261:$P261, MATCH(D$2, Players!$A$1:$P$1, 0)), perc_75, VLOOKUP(D$2, Percentiles!$A$45:$I$59, 6, FALSE), perc_90, VLOOKUP(D$2, Percentiles!$A$45:$I$59, 7, FALSE), perc_95, VLOOKUP(D$2, Percentiles!$A$45:$I$59, 8, FALSE), perc_85, perc_75 + (perc_90 - perc_75) * (2/3), converted_stat, '2K_Ratings'!D262, IF(bbgm_stat &gt;= perc_95, converted_stat * 3, IF(bbgm_stat &gt;= perc_90, converted_stat * 2, IF(bbgm_stat &gt;= perc_85, converted_stat * 1.5, converted_stat)))))</f>
        <v/>
      </c>
      <c r="E262" s="30" t="str">
        <f t="array" ref="E262">IF($A262="", "", LET(bbgm_stat, INDEX(Players!$A261:$P261, MATCH(E$2, Players!$A$1:$P$1, 0)), perc_75, VLOOKUP(E$2, Percentiles!$A$45:$I$59, 6, FALSE), perc_90, VLOOKUP(E$2, Percentiles!$A$45:$I$59, 7, FALSE), perc_95, VLOOKUP(E$2, Percentiles!$A$45:$I$59, 8, FALSE), perc_85, perc_75 + (perc_90 - perc_75) * (2/3), converted_stat, '2K_Ratings'!E262, IF(bbgm_stat &gt;= perc_95, converted_stat * 3, IF(bbgm_stat &gt;= perc_90, converted_stat * 2, IF(bbgm_stat &gt;= perc_85, converted_stat * 1.5, converted_stat)))))</f>
        <v/>
      </c>
      <c r="F262" s="30" t="str">
        <f t="array" ref="F262">IF($A262="", "", LET(bbgm_stat, INDEX(Players!$A261:$P261, MATCH(F$2, Players!$A$1:$P$1, 0)), perc_75, VLOOKUP(F$2, Percentiles!$A$45:$I$59, 6, FALSE), perc_90, VLOOKUP(F$2, Percentiles!$A$45:$I$59, 7, FALSE), perc_95, VLOOKUP(F$2, Percentiles!$A$45:$I$59, 8, FALSE), perc_85, perc_75 + (perc_90 - perc_75) * (2/3), converted_stat, '2K_Ratings'!F262, IF(bbgm_stat &gt;= perc_95, converted_stat * 3, IF(bbgm_stat &gt;= perc_90, converted_stat * 2, IF(bbgm_stat &gt;= perc_85, converted_stat * 1.5, converted_stat)))))</f>
        <v/>
      </c>
      <c r="G262" s="30" t="str">
        <f t="array" ref="G262">IF($A262="", "", LET(bbgm_stat, INDEX(Players!$A261:$P261, MATCH(G$2, Players!$A$1:$P$1, 0)), perc_75, VLOOKUP(G$2, Percentiles!$A$45:$I$59, 6, FALSE), perc_90, VLOOKUP(G$2, Percentiles!$A$45:$I$59, 7, FALSE), perc_95, VLOOKUP(G$2, Percentiles!$A$45:$I$59, 8, FALSE), perc_85, perc_75 + (perc_90 - perc_75) * (2/3), converted_stat, '2K_Ratings'!G262, IF(bbgm_stat &gt;= perc_95, converted_stat * 3, IF(bbgm_stat &gt;= perc_90, converted_stat * 2, IF(bbgm_stat &gt;= perc_85, converted_stat * 1.5, converted_stat)))))</f>
        <v/>
      </c>
      <c r="H262" s="30" t="str">
        <f t="array" ref="H262">IF($A262="", "", LET(bbgm_stat, INDEX(Players!$A261:$P261, MATCH(H$2, Players!$A$1:$P$1, 0)), perc_75, VLOOKUP(H$2, Percentiles!$A$45:$I$59, 6, FALSE), perc_90, VLOOKUP(H$2, Percentiles!$A$45:$I$59, 7, FALSE), perc_95, VLOOKUP(H$2, Percentiles!$A$45:$I$59, 8, FALSE), perc_85, perc_75 + (perc_90 - perc_75) * (2/3), converted_stat, '2K_Ratings'!H262, IF(bbgm_stat &gt;= perc_95, converted_stat * 3, IF(bbgm_stat &gt;= perc_90, converted_stat * 2, IF(bbgm_stat &gt;= perc_85, converted_stat * 1.5, converted_stat)))))</f>
        <v/>
      </c>
      <c r="I262" s="30" t="str">
        <f t="array" ref="I262">IF($A262="", "", LET(bbgm_stat, INDEX(Players!$A261:$P261, MATCH(I$2, Players!$A$1:$P$1, 0)), perc_75, VLOOKUP(I$2, Percentiles!$A$45:$I$59, 6, FALSE), perc_90, VLOOKUP(I$2, Percentiles!$A$45:$I$59, 7, FALSE), perc_95, VLOOKUP(I$2, Percentiles!$A$45:$I$59, 8, FALSE), perc_85, perc_75 + (perc_90 - perc_75) * (2/3), converted_stat, '2K_Ratings'!I262, IF(bbgm_stat &gt;= perc_95, converted_stat * 3, IF(bbgm_stat &gt;= perc_90, converted_stat * 2, IF(bbgm_stat &gt;= perc_85, converted_stat * 1.5, converted_stat)))))</f>
        <v/>
      </c>
      <c r="J262" s="30" t="str">
        <f t="array" ref="J262">IF($A262="", "", LET(bbgm_stat, INDEX(Players!$A261:$P261, MATCH(J$2, Players!$A$1:$P$1, 0)), perc_75, VLOOKUP(J$2, Percentiles!$A$45:$I$59, 6, FALSE), perc_90, VLOOKUP(J$2, Percentiles!$A$45:$I$59, 7, FALSE), perc_95, VLOOKUP(J$2, Percentiles!$A$45:$I$59, 8, FALSE), perc_85, perc_75 + (perc_90 - perc_75) * (2/3), converted_stat, '2K_Ratings'!J262, IF(bbgm_stat &gt;= perc_95, converted_stat * 3, IF(bbgm_stat &gt;= perc_90, converted_stat * 2, IF(bbgm_stat &gt;= perc_85, converted_stat * 1.5, converted_stat)))))</f>
        <v/>
      </c>
      <c r="K262" s="30" t="str">
        <f t="array" ref="K262">IF($A262="", "", LET(bbgm_stat, INDEX(Players!$A261:$P261, MATCH(K$2, Players!$A$1:$P$1, 0)), perc_75, VLOOKUP(K$2, Percentiles!$A$45:$I$59, 6, FALSE), perc_90, VLOOKUP(K$2, Percentiles!$A$45:$I$59, 7, FALSE), perc_95, VLOOKUP(K$2, Percentiles!$A$45:$I$59, 8, FALSE), perc_85, perc_75 + (perc_90 - perc_75) * (2/3), converted_stat, '2K_Ratings'!K262, IF(bbgm_stat &gt;= perc_95, converted_stat * 3, IF(bbgm_stat &gt;= perc_90, converted_stat * 2, IF(bbgm_stat &gt;= perc_85, converted_stat * 1.5, converted_stat)))))</f>
        <v/>
      </c>
      <c r="L262" s="30" t="str">
        <f t="array" ref="L262">IF($A262="", "", LET(bbgm_stat, INDEX(Players!$A261:$P261, MATCH(L$2, Players!$A$1:$P$1, 0)), perc_75, VLOOKUP(L$2, Percentiles!$A$45:$I$59, 6, FALSE), perc_90, VLOOKUP(L$2, Percentiles!$A$45:$I$59, 7, FALSE), perc_95, VLOOKUP(L$2, Percentiles!$A$45:$I$59, 8, FALSE), perc_85, perc_75 + (perc_90 - perc_75) * (2/3), converted_stat, '2K_Ratings'!L262, IF(bbgm_stat &gt;= perc_95, converted_stat * 3, IF(bbgm_stat &gt;= perc_90, converted_stat * 2, IF(bbgm_stat &gt;= perc_85, converted_stat * 1.5, converted_stat)))))</f>
        <v/>
      </c>
      <c r="M262" s="30" t="str">
        <f t="array" ref="M262">IF($A262="", "", LET(bbgm_stat, INDEX(Players!$A261:$P261, MATCH(M$2, Players!$A$1:$P$1, 0)), perc_75, VLOOKUP(M$2, Percentiles!$A$45:$I$59, 6, FALSE), perc_90, VLOOKUP(M$2, Percentiles!$A$45:$I$59, 7, FALSE), perc_95, VLOOKUP(M$2, Percentiles!$A$45:$I$59, 8, FALSE), perc_85, perc_75 + (perc_90 - perc_75) * (2/3), converted_stat, '2K_Ratings'!M262, IF(bbgm_stat &gt;= perc_95, converted_stat * 3, IF(bbgm_stat &gt;= perc_90, converted_stat * 2, IF(bbgm_stat &gt;= perc_85, converted_stat * 1.5, converted_stat)))))</f>
        <v/>
      </c>
      <c r="N262" s="30" t="str">
        <f t="array" ref="N262">IF($A262="", "", LET(bbgm_stat, INDEX(Players!$A261:$P261, MATCH(N$2, Players!$A$1:$P$1, 0)), perc_75, VLOOKUP(N$2, Percentiles!$A$45:$I$59, 6, FALSE), perc_90, VLOOKUP(N$2, Percentiles!$A$45:$I$59, 7, FALSE), perc_95, VLOOKUP(N$2, Percentiles!$A$45:$I$59, 8, FALSE), perc_85, perc_75 + (perc_90 - perc_75) * (2/3), converted_stat, '2K_Ratings'!N262, IF(bbgm_stat &gt;= perc_95, converted_stat * 3, IF(bbgm_stat &gt;= perc_90, converted_stat * 2, IF(bbgm_stat &gt;= perc_85, converted_stat * 1.5, converted_stat)))))</f>
        <v/>
      </c>
      <c r="O262" s="30" t="str">
        <f t="array" ref="O262">IF($A262="", "", LET(bbgm_stat, INDEX(Players!$A261:$P261, MATCH(O$2, Players!$A$1:$P$1, 0)), perc_75, VLOOKUP(O$2, Percentiles!$A$45:$I$59, 6, FALSE), perc_90, VLOOKUP(O$2, Percentiles!$A$45:$I$59, 7, FALSE), perc_95, VLOOKUP(O$2, Percentiles!$A$45:$I$59, 8, FALSE), perc_85, perc_75 + (perc_90 - perc_75) * (2/3), converted_stat, '2K_Ratings'!O262, IF(bbgm_stat &gt;= perc_95, converted_stat * 3, IF(bbgm_stat &gt;= perc_90, converted_stat * 2, IF(bbgm_stat &gt;= perc_85, converted_stat * 1.5, converted_stat)))))</f>
        <v/>
      </c>
      <c r="P262" s="30" t="str">
        <f t="array" ref="P262">IF($A262="", "", LET(bbgm_stat, INDEX(Players!$A261:$P261, MATCH(P$2, Players!$A$1:$P$1, 0)), perc_75, VLOOKUP(P$2, Percentiles!$A$45:$I$59, 6, FALSE), perc_90, VLOOKUP(P$2, Percentiles!$A$45:$I$59, 7, FALSE), perc_95, VLOOKUP(P$2, Percentiles!$A$45:$I$59, 8, FALSE), perc_85, perc_75 + (perc_90 - perc_75) * (2/3), converted_stat, '2K_Ratings'!P262, IF(bbgm_stat &gt;= perc_95, converted_stat * 3, IF(bbgm_stat &gt;= perc_90, converted_stat * 2, IF(bbgm_stat &gt;= perc_85, converted_stat * 1.5, converted_stat)))))</f>
        <v/>
      </c>
      <c r="Q262" s="30" t="str">
        <f t="array" ref="Q262">IF($A262="", "", LET(bbgm_stat, INDEX(Players!$A261:$P261, MATCH(Q$2, Players!$A$1:$P$1, 0)), perc_75, VLOOKUP(Q$2, Percentiles!$A$45:$I$59, 6, FALSE), perc_90, VLOOKUP(Q$2, Percentiles!$A$45:$I$59, 7, FALSE), perc_95, VLOOKUP(Q$2, Percentiles!$A$45:$I$59, 8, FALSE), perc_85, perc_75 + (perc_90 - perc_75) * (2/3), converted_stat, '2K_Ratings'!Q262, IF(bbgm_stat &gt;= perc_95, converted_stat * 3, IF(bbgm_stat &gt;= perc_90, converted_stat * 2, IF(bbgm_stat &gt;= perc_85, converted_stat * 1.5, converted_stat)))))</f>
        <v/>
      </c>
      <c r="R262" s="30" t="str">
        <f t="array" ref="R262">IF($A262="", "", LET(bbgm_stat, INDEX(Players!$A261:$P261, MATCH(R$2, Players!$A$1:$P$1, 0)), perc_75, VLOOKUP(R$2, Percentiles!$A$45:$I$59, 6, FALSE), perc_90, VLOOKUP(R$2, Percentiles!$A$45:$I$59, 7, FALSE), perc_95, VLOOKUP(R$2, Percentiles!$A$45:$I$59, 8, FALSE), perc_85, perc_75 + (perc_90 - perc_75) * (2/3), converted_stat, '2K_Ratings'!R262, IF(bbgm_stat &gt;= perc_95, converted_stat * 3, IF(bbgm_stat &gt;= perc_90, converted_stat * 2, IF(bbgm_stat &gt;= perc_85, converted_stat * 1.5, converted_stat)))))</f>
        <v/>
      </c>
      <c r="S262" s="30" t="str">
        <f t="array" ref="S262">IF($A262="", "", LET(bbgm_stat, INDEX(Players!$A261:$P261, MATCH(S$2, Players!$A$1:$P$1, 0)), perc_75, VLOOKUP(S$2, Percentiles!$A$45:$I$59, 6, FALSE), perc_90, VLOOKUP(S$2, Percentiles!$A$45:$I$59, 7, FALSE), perc_95, VLOOKUP(S$2, Percentiles!$A$45:$I$59, 8, FALSE), perc_85, perc_75 + (perc_90 - perc_75) * (2/3), converted_stat, '2K_Ratings'!S262, IF(bbgm_stat &gt;= perc_95, converted_stat * 3, IF(bbgm_stat &gt;= perc_90, converted_stat * 2, IF(bbgm_stat &gt;= perc_85, converted_stat * 1.5, converted_stat)))))</f>
        <v/>
      </c>
      <c r="T262" s="30" t="str">
        <f t="array" ref="T262">IF($A262="", "", LET(bbgm_stat, INDEX(Players!$A261:$P261, MATCH(T$2, Players!$A$1:$P$1, 0)), perc_75, VLOOKUP(T$2, Percentiles!$A$45:$I$59, 6, FALSE), perc_90, VLOOKUP(T$2, Percentiles!$A$45:$I$59, 7, FALSE), perc_95, VLOOKUP(T$2, Percentiles!$A$45:$I$59, 8, FALSE), perc_85, perc_75 + (perc_90 - perc_75) * (2/3), converted_stat, '2K_Ratings'!T262, IF(bbgm_stat &gt;= perc_95, converted_stat * 3, IF(bbgm_stat &gt;= perc_90, converted_stat * 2, IF(bbgm_stat &gt;= perc_85, converted_stat * 1.5, converted_stat)))))</f>
        <v/>
      </c>
      <c r="U262" s="30" t="str">
        <f t="array" ref="U262">IF($A262="", "", LET(bbgm_stat, INDEX(Players!$A261:$P261, MATCH(U$2, Players!$A$1:$P$1, 0)), perc_75, VLOOKUP(U$2, Percentiles!$A$45:$I$59, 6, FALSE), perc_90, VLOOKUP(U$2, Percentiles!$A$45:$I$59, 7, FALSE), perc_95, VLOOKUP(U$2, Percentiles!$A$45:$I$59, 8, FALSE), perc_85, perc_75 + (perc_90 - perc_75) * (2/3), converted_stat, '2K_Ratings'!U262, IF(bbgm_stat &gt;= perc_95, converted_stat * 3, IF(bbgm_stat &gt;= perc_90, converted_stat * 2, IF(bbgm_stat &gt;= perc_85, converted_stat * 1.5, converted_stat)))))</f>
        <v/>
      </c>
      <c r="V262" s="30" t="str">
        <f t="array" ref="V262">IF($A262="", "", LET(bbgm_stat, INDEX(Players!$A261:$P261, MATCH(V$2, Players!$A$1:$P$1, 0)), perc_75, VLOOKUP(V$2, Percentiles!$A$45:$I$59, 6, FALSE), perc_90, VLOOKUP(V$2, Percentiles!$A$45:$I$59, 7, FALSE), perc_95, VLOOKUP(V$2, Percentiles!$A$45:$I$59, 8, FALSE), perc_85, perc_75 + (perc_90 - perc_75) * (2/3), converted_stat, '2K_Ratings'!V262, IF(bbgm_stat &gt;= perc_95, converted_stat * 3, IF(bbgm_stat &gt;= perc_90, converted_stat * 2, IF(bbgm_stat &gt;= perc_85, converted_stat * 1.5, converted_stat)))))</f>
        <v/>
      </c>
      <c r="W262" s="30" t="str">
        <f t="array" ref="W262">IF($A262="", "", LET(bbgm_stat, INDEX(Players!$A261:$P261, MATCH(W$2, Players!$A$1:$P$1, 0)), perc_75, VLOOKUP(W$2, Percentiles!$A$45:$I$59, 6, FALSE), perc_90, VLOOKUP(W$2, Percentiles!$A$45:$I$59, 7, FALSE), perc_95, VLOOKUP(W$2, Percentiles!$A$45:$I$59, 8, FALSE), perc_85, perc_75 + (perc_90 - perc_75) * (2/3), converted_stat, '2K_Ratings'!W262, IF(bbgm_stat &gt;= perc_95, converted_stat * 3, IF(bbgm_stat &gt;= perc_90, converted_stat * 2, IF(bbgm_stat &gt;= perc_85, converted_stat * 1.5, converted_stat)))))</f>
        <v/>
      </c>
    </row>
    <row r="263">
      <c r="A263" s="30"/>
      <c r="B263" s="30" t="str">
        <f t="array" ref="B263">IF($A263="", "", LET(bbgm_stat, INDEX(Players!$A262:$P262, MATCH(B$2, Players!$A$1:$P$1, 0)), perc_75, VLOOKUP(B$2, Percentiles!$A$45:$I$59, 6, FALSE), perc_90, VLOOKUP(B$2, Percentiles!$A$45:$I$59, 7, FALSE), perc_95, VLOOKUP(B$2, Percentiles!$A$45:$I$59, 8, FALSE), perc_85, perc_75 + (perc_90 - perc_75) * (2/3), converted_stat, '2K_Ratings'!B263, IF(bbgm_stat &gt;= perc_95, converted_stat * 3, IF(bbgm_stat &gt;= perc_90, converted_stat * 2, IF(bbgm_stat &gt;= perc_85, converted_stat * 1.5, converted_stat)))))</f>
        <v/>
      </c>
      <c r="C263" s="30" t="str">
        <f t="array" ref="C263">IF($A263="", "", LET(bbgm_stat, INDEX(Players!$A262:$P262, MATCH(C$2, Players!$A$1:$P$1, 0)), perc_75, VLOOKUP(C$2, Percentiles!$A$45:$I$59, 6, FALSE), perc_90, VLOOKUP(C$2, Percentiles!$A$45:$I$59, 7, FALSE), perc_95, VLOOKUP(C$2, Percentiles!$A$45:$I$59, 8, FALSE), perc_85, perc_75 + (perc_90 - perc_75) * (2/3), converted_stat, '2K_Ratings'!C263, IF(bbgm_stat &gt;= perc_95, converted_stat * 3, IF(bbgm_stat &gt;= perc_90, converted_stat * 2, IF(bbgm_stat &gt;= perc_85, converted_stat * 1.5, converted_stat)))))</f>
        <v/>
      </c>
      <c r="D263" s="30" t="str">
        <f t="array" ref="D263">IF($A263="", "", LET(bbgm_stat, INDEX(Players!$A262:$P262, MATCH(D$2, Players!$A$1:$P$1, 0)), perc_75, VLOOKUP(D$2, Percentiles!$A$45:$I$59, 6, FALSE), perc_90, VLOOKUP(D$2, Percentiles!$A$45:$I$59, 7, FALSE), perc_95, VLOOKUP(D$2, Percentiles!$A$45:$I$59, 8, FALSE), perc_85, perc_75 + (perc_90 - perc_75) * (2/3), converted_stat, '2K_Ratings'!D263, IF(bbgm_stat &gt;= perc_95, converted_stat * 3, IF(bbgm_stat &gt;= perc_90, converted_stat * 2, IF(bbgm_stat &gt;= perc_85, converted_stat * 1.5, converted_stat)))))</f>
        <v/>
      </c>
      <c r="E263" s="30" t="str">
        <f t="array" ref="E263">IF($A263="", "", LET(bbgm_stat, INDEX(Players!$A262:$P262, MATCH(E$2, Players!$A$1:$P$1, 0)), perc_75, VLOOKUP(E$2, Percentiles!$A$45:$I$59, 6, FALSE), perc_90, VLOOKUP(E$2, Percentiles!$A$45:$I$59, 7, FALSE), perc_95, VLOOKUP(E$2, Percentiles!$A$45:$I$59, 8, FALSE), perc_85, perc_75 + (perc_90 - perc_75) * (2/3), converted_stat, '2K_Ratings'!E263, IF(bbgm_stat &gt;= perc_95, converted_stat * 3, IF(bbgm_stat &gt;= perc_90, converted_stat * 2, IF(bbgm_stat &gt;= perc_85, converted_stat * 1.5, converted_stat)))))</f>
        <v/>
      </c>
      <c r="F263" s="30" t="str">
        <f t="array" ref="F263">IF($A263="", "", LET(bbgm_stat, INDEX(Players!$A262:$P262, MATCH(F$2, Players!$A$1:$P$1, 0)), perc_75, VLOOKUP(F$2, Percentiles!$A$45:$I$59, 6, FALSE), perc_90, VLOOKUP(F$2, Percentiles!$A$45:$I$59, 7, FALSE), perc_95, VLOOKUP(F$2, Percentiles!$A$45:$I$59, 8, FALSE), perc_85, perc_75 + (perc_90 - perc_75) * (2/3), converted_stat, '2K_Ratings'!F263, IF(bbgm_stat &gt;= perc_95, converted_stat * 3, IF(bbgm_stat &gt;= perc_90, converted_stat * 2, IF(bbgm_stat &gt;= perc_85, converted_stat * 1.5, converted_stat)))))</f>
        <v/>
      </c>
      <c r="G263" s="30" t="str">
        <f t="array" ref="G263">IF($A263="", "", LET(bbgm_stat, INDEX(Players!$A262:$P262, MATCH(G$2, Players!$A$1:$P$1, 0)), perc_75, VLOOKUP(G$2, Percentiles!$A$45:$I$59, 6, FALSE), perc_90, VLOOKUP(G$2, Percentiles!$A$45:$I$59, 7, FALSE), perc_95, VLOOKUP(G$2, Percentiles!$A$45:$I$59, 8, FALSE), perc_85, perc_75 + (perc_90 - perc_75) * (2/3), converted_stat, '2K_Ratings'!G263, IF(bbgm_stat &gt;= perc_95, converted_stat * 3, IF(bbgm_stat &gt;= perc_90, converted_stat * 2, IF(bbgm_stat &gt;= perc_85, converted_stat * 1.5, converted_stat)))))</f>
        <v/>
      </c>
      <c r="H263" s="30" t="str">
        <f t="array" ref="H263">IF($A263="", "", LET(bbgm_stat, INDEX(Players!$A262:$P262, MATCH(H$2, Players!$A$1:$P$1, 0)), perc_75, VLOOKUP(H$2, Percentiles!$A$45:$I$59, 6, FALSE), perc_90, VLOOKUP(H$2, Percentiles!$A$45:$I$59, 7, FALSE), perc_95, VLOOKUP(H$2, Percentiles!$A$45:$I$59, 8, FALSE), perc_85, perc_75 + (perc_90 - perc_75) * (2/3), converted_stat, '2K_Ratings'!H263, IF(bbgm_stat &gt;= perc_95, converted_stat * 3, IF(bbgm_stat &gt;= perc_90, converted_stat * 2, IF(bbgm_stat &gt;= perc_85, converted_stat * 1.5, converted_stat)))))</f>
        <v/>
      </c>
      <c r="I263" s="30" t="str">
        <f t="array" ref="I263">IF($A263="", "", LET(bbgm_stat, INDEX(Players!$A262:$P262, MATCH(I$2, Players!$A$1:$P$1, 0)), perc_75, VLOOKUP(I$2, Percentiles!$A$45:$I$59, 6, FALSE), perc_90, VLOOKUP(I$2, Percentiles!$A$45:$I$59, 7, FALSE), perc_95, VLOOKUP(I$2, Percentiles!$A$45:$I$59, 8, FALSE), perc_85, perc_75 + (perc_90 - perc_75) * (2/3), converted_stat, '2K_Ratings'!I263, IF(bbgm_stat &gt;= perc_95, converted_stat * 3, IF(bbgm_stat &gt;= perc_90, converted_stat * 2, IF(bbgm_stat &gt;= perc_85, converted_stat * 1.5, converted_stat)))))</f>
        <v/>
      </c>
      <c r="J263" s="30" t="str">
        <f t="array" ref="J263">IF($A263="", "", LET(bbgm_stat, INDEX(Players!$A262:$P262, MATCH(J$2, Players!$A$1:$P$1, 0)), perc_75, VLOOKUP(J$2, Percentiles!$A$45:$I$59, 6, FALSE), perc_90, VLOOKUP(J$2, Percentiles!$A$45:$I$59, 7, FALSE), perc_95, VLOOKUP(J$2, Percentiles!$A$45:$I$59, 8, FALSE), perc_85, perc_75 + (perc_90 - perc_75) * (2/3), converted_stat, '2K_Ratings'!J263, IF(bbgm_stat &gt;= perc_95, converted_stat * 3, IF(bbgm_stat &gt;= perc_90, converted_stat * 2, IF(bbgm_stat &gt;= perc_85, converted_stat * 1.5, converted_stat)))))</f>
        <v/>
      </c>
      <c r="K263" s="30" t="str">
        <f t="array" ref="K263">IF($A263="", "", LET(bbgm_stat, INDEX(Players!$A262:$P262, MATCH(K$2, Players!$A$1:$P$1, 0)), perc_75, VLOOKUP(K$2, Percentiles!$A$45:$I$59, 6, FALSE), perc_90, VLOOKUP(K$2, Percentiles!$A$45:$I$59, 7, FALSE), perc_95, VLOOKUP(K$2, Percentiles!$A$45:$I$59, 8, FALSE), perc_85, perc_75 + (perc_90 - perc_75) * (2/3), converted_stat, '2K_Ratings'!K263, IF(bbgm_stat &gt;= perc_95, converted_stat * 3, IF(bbgm_stat &gt;= perc_90, converted_stat * 2, IF(bbgm_stat &gt;= perc_85, converted_stat * 1.5, converted_stat)))))</f>
        <v/>
      </c>
      <c r="L263" s="30" t="str">
        <f t="array" ref="L263">IF($A263="", "", LET(bbgm_stat, INDEX(Players!$A262:$P262, MATCH(L$2, Players!$A$1:$P$1, 0)), perc_75, VLOOKUP(L$2, Percentiles!$A$45:$I$59, 6, FALSE), perc_90, VLOOKUP(L$2, Percentiles!$A$45:$I$59, 7, FALSE), perc_95, VLOOKUP(L$2, Percentiles!$A$45:$I$59, 8, FALSE), perc_85, perc_75 + (perc_90 - perc_75) * (2/3), converted_stat, '2K_Ratings'!L263, IF(bbgm_stat &gt;= perc_95, converted_stat * 3, IF(bbgm_stat &gt;= perc_90, converted_stat * 2, IF(bbgm_stat &gt;= perc_85, converted_stat * 1.5, converted_stat)))))</f>
        <v/>
      </c>
      <c r="M263" s="30" t="str">
        <f t="array" ref="M263">IF($A263="", "", LET(bbgm_stat, INDEX(Players!$A262:$P262, MATCH(M$2, Players!$A$1:$P$1, 0)), perc_75, VLOOKUP(M$2, Percentiles!$A$45:$I$59, 6, FALSE), perc_90, VLOOKUP(M$2, Percentiles!$A$45:$I$59, 7, FALSE), perc_95, VLOOKUP(M$2, Percentiles!$A$45:$I$59, 8, FALSE), perc_85, perc_75 + (perc_90 - perc_75) * (2/3), converted_stat, '2K_Ratings'!M263, IF(bbgm_stat &gt;= perc_95, converted_stat * 3, IF(bbgm_stat &gt;= perc_90, converted_stat * 2, IF(bbgm_stat &gt;= perc_85, converted_stat * 1.5, converted_stat)))))</f>
        <v/>
      </c>
      <c r="N263" s="30" t="str">
        <f t="array" ref="N263">IF($A263="", "", LET(bbgm_stat, INDEX(Players!$A262:$P262, MATCH(N$2, Players!$A$1:$P$1, 0)), perc_75, VLOOKUP(N$2, Percentiles!$A$45:$I$59, 6, FALSE), perc_90, VLOOKUP(N$2, Percentiles!$A$45:$I$59, 7, FALSE), perc_95, VLOOKUP(N$2, Percentiles!$A$45:$I$59, 8, FALSE), perc_85, perc_75 + (perc_90 - perc_75) * (2/3), converted_stat, '2K_Ratings'!N263, IF(bbgm_stat &gt;= perc_95, converted_stat * 3, IF(bbgm_stat &gt;= perc_90, converted_stat * 2, IF(bbgm_stat &gt;= perc_85, converted_stat * 1.5, converted_stat)))))</f>
        <v/>
      </c>
      <c r="O263" s="30" t="str">
        <f t="array" ref="O263">IF($A263="", "", LET(bbgm_stat, INDEX(Players!$A262:$P262, MATCH(O$2, Players!$A$1:$P$1, 0)), perc_75, VLOOKUP(O$2, Percentiles!$A$45:$I$59, 6, FALSE), perc_90, VLOOKUP(O$2, Percentiles!$A$45:$I$59, 7, FALSE), perc_95, VLOOKUP(O$2, Percentiles!$A$45:$I$59, 8, FALSE), perc_85, perc_75 + (perc_90 - perc_75) * (2/3), converted_stat, '2K_Ratings'!O263, IF(bbgm_stat &gt;= perc_95, converted_stat * 3, IF(bbgm_stat &gt;= perc_90, converted_stat * 2, IF(bbgm_stat &gt;= perc_85, converted_stat * 1.5, converted_stat)))))</f>
        <v/>
      </c>
      <c r="P263" s="30" t="str">
        <f t="array" ref="P263">IF($A263="", "", LET(bbgm_stat, INDEX(Players!$A262:$P262, MATCH(P$2, Players!$A$1:$P$1, 0)), perc_75, VLOOKUP(P$2, Percentiles!$A$45:$I$59, 6, FALSE), perc_90, VLOOKUP(P$2, Percentiles!$A$45:$I$59, 7, FALSE), perc_95, VLOOKUP(P$2, Percentiles!$A$45:$I$59, 8, FALSE), perc_85, perc_75 + (perc_90 - perc_75) * (2/3), converted_stat, '2K_Ratings'!P263, IF(bbgm_stat &gt;= perc_95, converted_stat * 3, IF(bbgm_stat &gt;= perc_90, converted_stat * 2, IF(bbgm_stat &gt;= perc_85, converted_stat * 1.5, converted_stat)))))</f>
        <v/>
      </c>
      <c r="Q263" s="30" t="str">
        <f t="array" ref="Q263">IF($A263="", "", LET(bbgm_stat, INDEX(Players!$A262:$P262, MATCH(Q$2, Players!$A$1:$P$1, 0)), perc_75, VLOOKUP(Q$2, Percentiles!$A$45:$I$59, 6, FALSE), perc_90, VLOOKUP(Q$2, Percentiles!$A$45:$I$59, 7, FALSE), perc_95, VLOOKUP(Q$2, Percentiles!$A$45:$I$59, 8, FALSE), perc_85, perc_75 + (perc_90 - perc_75) * (2/3), converted_stat, '2K_Ratings'!Q263, IF(bbgm_stat &gt;= perc_95, converted_stat * 3, IF(bbgm_stat &gt;= perc_90, converted_stat * 2, IF(bbgm_stat &gt;= perc_85, converted_stat * 1.5, converted_stat)))))</f>
        <v/>
      </c>
      <c r="R263" s="30" t="str">
        <f t="array" ref="R263">IF($A263="", "", LET(bbgm_stat, INDEX(Players!$A262:$P262, MATCH(R$2, Players!$A$1:$P$1, 0)), perc_75, VLOOKUP(R$2, Percentiles!$A$45:$I$59, 6, FALSE), perc_90, VLOOKUP(R$2, Percentiles!$A$45:$I$59, 7, FALSE), perc_95, VLOOKUP(R$2, Percentiles!$A$45:$I$59, 8, FALSE), perc_85, perc_75 + (perc_90 - perc_75) * (2/3), converted_stat, '2K_Ratings'!R263, IF(bbgm_stat &gt;= perc_95, converted_stat * 3, IF(bbgm_stat &gt;= perc_90, converted_stat * 2, IF(bbgm_stat &gt;= perc_85, converted_stat * 1.5, converted_stat)))))</f>
        <v/>
      </c>
      <c r="S263" s="30" t="str">
        <f t="array" ref="S263">IF($A263="", "", LET(bbgm_stat, INDEX(Players!$A262:$P262, MATCH(S$2, Players!$A$1:$P$1, 0)), perc_75, VLOOKUP(S$2, Percentiles!$A$45:$I$59, 6, FALSE), perc_90, VLOOKUP(S$2, Percentiles!$A$45:$I$59, 7, FALSE), perc_95, VLOOKUP(S$2, Percentiles!$A$45:$I$59, 8, FALSE), perc_85, perc_75 + (perc_90 - perc_75) * (2/3), converted_stat, '2K_Ratings'!S263, IF(bbgm_stat &gt;= perc_95, converted_stat * 3, IF(bbgm_stat &gt;= perc_90, converted_stat * 2, IF(bbgm_stat &gt;= perc_85, converted_stat * 1.5, converted_stat)))))</f>
        <v/>
      </c>
      <c r="T263" s="30" t="str">
        <f t="array" ref="T263">IF($A263="", "", LET(bbgm_stat, INDEX(Players!$A262:$P262, MATCH(T$2, Players!$A$1:$P$1, 0)), perc_75, VLOOKUP(T$2, Percentiles!$A$45:$I$59, 6, FALSE), perc_90, VLOOKUP(T$2, Percentiles!$A$45:$I$59, 7, FALSE), perc_95, VLOOKUP(T$2, Percentiles!$A$45:$I$59, 8, FALSE), perc_85, perc_75 + (perc_90 - perc_75) * (2/3), converted_stat, '2K_Ratings'!T263, IF(bbgm_stat &gt;= perc_95, converted_stat * 3, IF(bbgm_stat &gt;= perc_90, converted_stat * 2, IF(bbgm_stat &gt;= perc_85, converted_stat * 1.5, converted_stat)))))</f>
        <v/>
      </c>
      <c r="U263" s="30" t="str">
        <f t="array" ref="U263">IF($A263="", "", LET(bbgm_stat, INDEX(Players!$A262:$P262, MATCH(U$2, Players!$A$1:$P$1, 0)), perc_75, VLOOKUP(U$2, Percentiles!$A$45:$I$59, 6, FALSE), perc_90, VLOOKUP(U$2, Percentiles!$A$45:$I$59, 7, FALSE), perc_95, VLOOKUP(U$2, Percentiles!$A$45:$I$59, 8, FALSE), perc_85, perc_75 + (perc_90 - perc_75) * (2/3), converted_stat, '2K_Ratings'!U263, IF(bbgm_stat &gt;= perc_95, converted_stat * 3, IF(bbgm_stat &gt;= perc_90, converted_stat * 2, IF(bbgm_stat &gt;= perc_85, converted_stat * 1.5, converted_stat)))))</f>
        <v/>
      </c>
      <c r="V263" s="30" t="str">
        <f t="array" ref="V263">IF($A263="", "", LET(bbgm_stat, INDEX(Players!$A262:$P262, MATCH(V$2, Players!$A$1:$P$1, 0)), perc_75, VLOOKUP(V$2, Percentiles!$A$45:$I$59, 6, FALSE), perc_90, VLOOKUP(V$2, Percentiles!$A$45:$I$59, 7, FALSE), perc_95, VLOOKUP(V$2, Percentiles!$A$45:$I$59, 8, FALSE), perc_85, perc_75 + (perc_90 - perc_75) * (2/3), converted_stat, '2K_Ratings'!V263, IF(bbgm_stat &gt;= perc_95, converted_stat * 3, IF(bbgm_stat &gt;= perc_90, converted_stat * 2, IF(bbgm_stat &gt;= perc_85, converted_stat * 1.5, converted_stat)))))</f>
        <v/>
      </c>
      <c r="W263" s="30" t="str">
        <f t="array" ref="W263">IF($A263="", "", LET(bbgm_stat, INDEX(Players!$A262:$P262, MATCH(W$2, Players!$A$1:$P$1, 0)), perc_75, VLOOKUP(W$2, Percentiles!$A$45:$I$59, 6, FALSE), perc_90, VLOOKUP(W$2, Percentiles!$A$45:$I$59, 7, FALSE), perc_95, VLOOKUP(W$2, Percentiles!$A$45:$I$59, 8, FALSE), perc_85, perc_75 + (perc_90 - perc_75) * (2/3), converted_stat, '2K_Ratings'!W263, IF(bbgm_stat &gt;= perc_95, converted_stat * 3, IF(bbgm_stat &gt;= perc_90, converted_stat * 2, IF(bbgm_stat &gt;= perc_85, converted_stat * 1.5, converted_stat)))))</f>
        <v/>
      </c>
    </row>
    <row r="264">
      <c r="A264" s="30"/>
      <c r="B264" s="30" t="str">
        <f t="array" ref="B264">IF($A264="", "", LET(bbgm_stat, INDEX(Players!$A263:$P263, MATCH(B$2, Players!$A$1:$P$1, 0)), perc_75, VLOOKUP(B$2, Percentiles!$A$45:$I$59, 6, FALSE), perc_90, VLOOKUP(B$2, Percentiles!$A$45:$I$59, 7, FALSE), perc_95, VLOOKUP(B$2, Percentiles!$A$45:$I$59, 8, FALSE), perc_85, perc_75 + (perc_90 - perc_75) * (2/3), converted_stat, '2K_Ratings'!B264, IF(bbgm_stat &gt;= perc_95, converted_stat * 3, IF(bbgm_stat &gt;= perc_90, converted_stat * 2, IF(bbgm_stat &gt;= perc_85, converted_stat * 1.5, converted_stat)))))</f>
        <v/>
      </c>
      <c r="C264" s="30" t="str">
        <f t="array" ref="C264">IF($A264="", "", LET(bbgm_stat, INDEX(Players!$A263:$P263, MATCH(C$2, Players!$A$1:$P$1, 0)), perc_75, VLOOKUP(C$2, Percentiles!$A$45:$I$59, 6, FALSE), perc_90, VLOOKUP(C$2, Percentiles!$A$45:$I$59, 7, FALSE), perc_95, VLOOKUP(C$2, Percentiles!$A$45:$I$59, 8, FALSE), perc_85, perc_75 + (perc_90 - perc_75) * (2/3), converted_stat, '2K_Ratings'!C264, IF(bbgm_stat &gt;= perc_95, converted_stat * 3, IF(bbgm_stat &gt;= perc_90, converted_stat * 2, IF(bbgm_stat &gt;= perc_85, converted_stat * 1.5, converted_stat)))))</f>
        <v/>
      </c>
      <c r="D264" s="30" t="str">
        <f t="array" ref="D264">IF($A264="", "", LET(bbgm_stat, INDEX(Players!$A263:$P263, MATCH(D$2, Players!$A$1:$P$1, 0)), perc_75, VLOOKUP(D$2, Percentiles!$A$45:$I$59, 6, FALSE), perc_90, VLOOKUP(D$2, Percentiles!$A$45:$I$59, 7, FALSE), perc_95, VLOOKUP(D$2, Percentiles!$A$45:$I$59, 8, FALSE), perc_85, perc_75 + (perc_90 - perc_75) * (2/3), converted_stat, '2K_Ratings'!D264, IF(bbgm_stat &gt;= perc_95, converted_stat * 3, IF(bbgm_stat &gt;= perc_90, converted_stat * 2, IF(bbgm_stat &gt;= perc_85, converted_stat * 1.5, converted_stat)))))</f>
        <v/>
      </c>
      <c r="E264" s="30" t="str">
        <f t="array" ref="E264">IF($A264="", "", LET(bbgm_stat, INDEX(Players!$A263:$P263, MATCH(E$2, Players!$A$1:$P$1, 0)), perc_75, VLOOKUP(E$2, Percentiles!$A$45:$I$59, 6, FALSE), perc_90, VLOOKUP(E$2, Percentiles!$A$45:$I$59, 7, FALSE), perc_95, VLOOKUP(E$2, Percentiles!$A$45:$I$59, 8, FALSE), perc_85, perc_75 + (perc_90 - perc_75) * (2/3), converted_stat, '2K_Ratings'!E264, IF(bbgm_stat &gt;= perc_95, converted_stat * 3, IF(bbgm_stat &gt;= perc_90, converted_stat * 2, IF(bbgm_stat &gt;= perc_85, converted_stat * 1.5, converted_stat)))))</f>
        <v/>
      </c>
      <c r="F264" s="30" t="str">
        <f t="array" ref="F264">IF($A264="", "", LET(bbgm_stat, INDEX(Players!$A263:$P263, MATCH(F$2, Players!$A$1:$P$1, 0)), perc_75, VLOOKUP(F$2, Percentiles!$A$45:$I$59, 6, FALSE), perc_90, VLOOKUP(F$2, Percentiles!$A$45:$I$59, 7, FALSE), perc_95, VLOOKUP(F$2, Percentiles!$A$45:$I$59, 8, FALSE), perc_85, perc_75 + (perc_90 - perc_75) * (2/3), converted_stat, '2K_Ratings'!F264, IF(bbgm_stat &gt;= perc_95, converted_stat * 3, IF(bbgm_stat &gt;= perc_90, converted_stat * 2, IF(bbgm_stat &gt;= perc_85, converted_stat * 1.5, converted_stat)))))</f>
        <v/>
      </c>
      <c r="G264" s="30" t="str">
        <f t="array" ref="G264">IF($A264="", "", LET(bbgm_stat, INDEX(Players!$A263:$P263, MATCH(G$2, Players!$A$1:$P$1, 0)), perc_75, VLOOKUP(G$2, Percentiles!$A$45:$I$59, 6, FALSE), perc_90, VLOOKUP(G$2, Percentiles!$A$45:$I$59, 7, FALSE), perc_95, VLOOKUP(G$2, Percentiles!$A$45:$I$59, 8, FALSE), perc_85, perc_75 + (perc_90 - perc_75) * (2/3), converted_stat, '2K_Ratings'!G264, IF(bbgm_stat &gt;= perc_95, converted_stat * 3, IF(bbgm_stat &gt;= perc_90, converted_stat * 2, IF(bbgm_stat &gt;= perc_85, converted_stat * 1.5, converted_stat)))))</f>
        <v/>
      </c>
      <c r="H264" s="30" t="str">
        <f t="array" ref="H264">IF($A264="", "", LET(bbgm_stat, INDEX(Players!$A263:$P263, MATCH(H$2, Players!$A$1:$P$1, 0)), perc_75, VLOOKUP(H$2, Percentiles!$A$45:$I$59, 6, FALSE), perc_90, VLOOKUP(H$2, Percentiles!$A$45:$I$59, 7, FALSE), perc_95, VLOOKUP(H$2, Percentiles!$A$45:$I$59, 8, FALSE), perc_85, perc_75 + (perc_90 - perc_75) * (2/3), converted_stat, '2K_Ratings'!H264, IF(bbgm_stat &gt;= perc_95, converted_stat * 3, IF(bbgm_stat &gt;= perc_90, converted_stat * 2, IF(bbgm_stat &gt;= perc_85, converted_stat * 1.5, converted_stat)))))</f>
        <v/>
      </c>
      <c r="I264" s="30" t="str">
        <f t="array" ref="I264">IF($A264="", "", LET(bbgm_stat, INDEX(Players!$A263:$P263, MATCH(I$2, Players!$A$1:$P$1, 0)), perc_75, VLOOKUP(I$2, Percentiles!$A$45:$I$59, 6, FALSE), perc_90, VLOOKUP(I$2, Percentiles!$A$45:$I$59, 7, FALSE), perc_95, VLOOKUP(I$2, Percentiles!$A$45:$I$59, 8, FALSE), perc_85, perc_75 + (perc_90 - perc_75) * (2/3), converted_stat, '2K_Ratings'!I264, IF(bbgm_stat &gt;= perc_95, converted_stat * 3, IF(bbgm_stat &gt;= perc_90, converted_stat * 2, IF(bbgm_stat &gt;= perc_85, converted_stat * 1.5, converted_stat)))))</f>
        <v/>
      </c>
      <c r="J264" s="30" t="str">
        <f t="array" ref="J264">IF($A264="", "", LET(bbgm_stat, INDEX(Players!$A263:$P263, MATCH(J$2, Players!$A$1:$P$1, 0)), perc_75, VLOOKUP(J$2, Percentiles!$A$45:$I$59, 6, FALSE), perc_90, VLOOKUP(J$2, Percentiles!$A$45:$I$59, 7, FALSE), perc_95, VLOOKUP(J$2, Percentiles!$A$45:$I$59, 8, FALSE), perc_85, perc_75 + (perc_90 - perc_75) * (2/3), converted_stat, '2K_Ratings'!J264, IF(bbgm_stat &gt;= perc_95, converted_stat * 3, IF(bbgm_stat &gt;= perc_90, converted_stat * 2, IF(bbgm_stat &gt;= perc_85, converted_stat * 1.5, converted_stat)))))</f>
        <v/>
      </c>
      <c r="K264" s="30" t="str">
        <f t="array" ref="K264">IF($A264="", "", LET(bbgm_stat, INDEX(Players!$A263:$P263, MATCH(K$2, Players!$A$1:$P$1, 0)), perc_75, VLOOKUP(K$2, Percentiles!$A$45:$I$59, 6, FALSE), perc_90, VLOOKUP(K$2, Percentiles!$A$45:$I$59, 7, FALSE), perc_95, VLOOKUP(K$2, Percentiles!$A$45:$I$59, 8, FALSE), perc_85, perc_75 + (perc_90 - perc_75) * (2/3), converted_stat, '2K_Ratings'!K264, IF(bbgm_stat &gt;= perc_95, converted_stat * 3, IF(bbgm_stat &gt;= perc_90, converted_stat * 2, IF(bbgm_stat &gt;= perc_85, converted_stat * 1.5, converted_stat)))))</f>
        <v/>
      </c>
      <c r="L264" s="30" t="str">
        <f t="array" ref="L264">IF($A264="", "", LET(bbgm_stat, INDEX(Players!$A263:$P263, MATCH(L$2, Players!$A$1:$P$1, 0)), perc_75, VLOOKUP(L$2, Percentiles!$A$45:$I$59, 6, FALSE), perc_90, VLOOKUP(L$2, Percentiles!$A$45:$I$59, 7, FALSE), perc_95, VLOOKUP(L$2, Percentiles!$A$45:$I$59, 8, FALSE), perc_85, perc_75 + (perc_90 - perc_75) * (2/3), converted_stat, '2K_Ratings'!L264, IF(bbgm_stat &gt;= perc_95, converted_stat * 3, IF(bbgm_stat &gt;= perc_90, converted_stat * 2, IF(bbgm_stat &gt;= perc_85, converted_stat * 1.5, converted_stat)))))</f>
        <v/>
      </c>
      <c r="M264" s="30" t="str">
        <f t="array" ref="M264">IF($A264="", "", LET(bbgm_stat, INDEX(Players!$A263:$P263, MATCH(M$2, Players!$A$1:$P$1, 0)), perc_75, VLOOKUP(M$2, Percentiles!$A$45:$I$59, 6, FALSE), perc_90, VLOOKUP(M$2, Percentiles!$A$45:$I$59, 7, FALSE), perc_95, VLOOKUP(M$2, Percentiles!$A$45:$I$59, 8, FALSE), perc_85, perc_75 + (perc_90 - perc_75) * (2/3), converted_stat, '2K_Ratings'!M264, IF(bbgm_stat &gt;= perc_95, converted_stat * 3, IF(bbgm_stat &gt;= perc_90, converted_stat * 2, IF(bbgm_stat &gt;= perc_85, converted_stat * 1.5, converted_stat)))))</f>
        <v/>
      </c>
      <c r="N264" s="30" t="str">
        <f t="array" ref="N264">IF($A264="", "", LET(bbgm_stat, INDEX(Players!$A263:$P263, MATCH(N$2, Players!$A$1:$P$1, 0)), perc_75, VLOOKUP(N$2, Percentiles!$A$45:$I$59, 6, FALSE), perc_90, VLOOKUP(N$2, Percentiles!$A$45:$I$59, 7, FALSE), perc_95, VLOOKUP(N$2, Percentiles!$A$45:$I$59, 8, FALSE), perc_85, perc_75 + (perc_90 - perc_75) * (2/3), converted_stat, '2K_Ratings'!N264, IF(bbgm_stat &gt;= perc_95, converted_stat * 3, IF(bbgm_stat &gt;= perc_90, converted_stat * 2, IF(bbgm_stat &gt;= perc_85, converted_stat * 1.5, converted_stat)))))</f>
        <v/>
      </c>
      <c r="O264" s="30" t="str">
        <f t="array" ref="O264">IF($A264="", "", LET(bbgm_stat, INDEX(Players!$A263:$P263, MATCH(O$2, Players!$A$1:$P$1, 0)), perc_75, VLOOKUP(O$2, Percentiles!$A$45:$I$59, 6, FALSE), perc_90, VLOOKUP(O$2, Percentiles!$A$45:$I$59, 7, FALSE), perc_95, VLOOKUP(O$2, Percentiles!$A$45:$I$59, 8, FALSE), perc_85, perc_75 + (perc_90 - perc_75) * (2/3), converted_stat, '2K_Ratings'!O264, IF(bbgm_stat &gt;= perc_95, converted_stat * 3, IF(bbgm_stat &gt;= perc_90, converted_stat * 2, IF(bbgm_stat &gt;= perc_85, converted_stat * 1.5, converted_stat)))))</f>
        <v/>
      </c>
      <c r="P264" s="30" t="str">
        <f t="array" ref="P264">IF($A264="", "", LET(bbgm_stat, INDEX(Players!$A263:$P263, MATCH(P$2, Players!$A$1:$P$1, 0)), perc_75, VLOOKUP(P$2, Percentiles!$A$45:$I$59, 6, FALSE), perc_90, VLOOKUP(P$2, Percentiles!$A$45:$I$59, 7, FALSE), perc_95, VLOOKUP(P$2, Percentiles!$A$45:$I$59, 8, FALSE), perc_85, perc_75 + (perc_90 - perc_75) * (2/3), converted_stat, '2K_Ratings'!P264, IF(bbgm_stat &gt;= perc_95, converted_stat * 3, IF(bbgm_stat &gt;= perc_90, converted_stat * 2, IF(bbgm_stat &gt;= perc_85, converted_stat * 1.5, converted_stat)))))</f>
        <v/>
      </c>
      <c r="Q264" s="30" t="str">
        <f t="array" ref="Q264">IF($A264="", "", LET(bbgm_stat, INDEX(Players!$A263:$P263, MATCH(Q$2, Players!$A$1:$P$1, 0)), perc_75, VLOOKUP(Q$2, Percentiles!$A$45:$I$59, 6, FALSE), perc_90, VLOOKUP(Q$2, Percentiles!$A$45:$I$59, 7, FALSE), perc_95, VLOOKUP(Q$2, Percentiles!$A$45:$I$59, 8, FALSE), perc_85, perc_75 + (perc_90 - perc_75) * (2/3), converted_stat, '2K_Ratings'!Q264, IF(bbgm_stat &gt;= perc_95, converted_stat * 3, IF(bbgm_stat &gt;= perc_90, converted_stat * 2, IF(bbgm_stat &gt;= perc_85, converted_stat * 1.5, converted_stat)))))</f>
        <v/>
      </c>
      <c r="R264" s="30" t="str">
        <f t="array" ref="R264">IF($A264="", "", LET(bbgm_stat, INDEX(Players!$A263:$P263, MATCH(R$2, Players!$A$1:$P$1, 0)), perc_75, VLOOKUP(R$2, Percentiles!$A$45:$I$59, 6, FALSE), perc_90, VLOOKUP(R$2, Percentiles!$A$45:$I$59, 7, FALSE), perc_95, VLOOKUP(R$2, Percentiles!$A$45:$I$59, 8, FALSE), perc_85, perc_75 + (perc_90 - perc_75) * (2/3), converted_stat, '2K_Ratings'!R264, IF(bbgm_stat &gt;= perc_95, converted_stat * 3, IF(bbgm_stat &gt;= perc_90, converted_stat * 2, IF(bbgm_stat &gt;= perc_85, converted_stat * 1.5, converted_stat)))))</f>
        <v/>
      </c>
      <c r="S264" s="30" t="str">
        <f t="array" ref="S264">IF($A264="", "", LET(bbgm_stat, INDEX(Players!$A263:$P263, MATCH(S$2, Players!$A$1:$P$1, 0)), perc_75, VLOOKUP(S$2, Percentiles!$A$45:$I$59, 6, FALSE), perc_90, VLOOKUP(S$2, Percentiles!$A$45:$I$59, 7, FALSE), perc_95, VLOOKUP(S$2, Percentiles!$A$45:$I$59, 8, FALSE), perc_85, perc_75 + (perc_90 - perc_75) * (2/3), converted_stat, '2K_Ratings'!S264, IF(bbgm_stat &gt;= perc_95, converted_stat * 3, IF(bbgm_stat &gt;= perc_90, converted_stat * 2, IF(bbgm_stat &gt;= perc_85, converted_stat * 1.5, converted_stat)))))</f>
        <v/>
      </c>
      <c r="T264" s="30" t="str">
        <f t="array" ref="T264">IF($A264="", "", LET(bbgm_stat, INDEX(Players!$A263:$P263, MATCH(T$2, Players!$A$1:$P$1, 0)), perc_75, VLOOKUP(T$2, Percentiles!$A$45:$I$59, 6, FALSE), perc_90, VLOOKUP(T$2, Percentiles!$A$45:$I$59, 7, FALSE), perc_95, VLOOKUP(T$2, Percentiles!$A$45:$I$59, 8, FALSE), perc_85, perc_75 + (perc_90 - perc_75) * (2/3), converted_stat, '2K_Ratings'!T264, IF(bbgm_stat &gt;= perc_95, converted_stat * 3, IF(bbgm_stat &gt;= perc_90, converted_stat * 2, IF(bbgm_stat &gt;= perc_85, converted_stat * 1.5, converted_stat)))))</f>
        <v/>
      </c>
      <c r="U264" s="30" t="str">
        <f t="array" ref="U264">IF($A264="", "", LET(bbgm_stat, INDEX(Players!$A263:$P263, MATCH(U$2, Players!$A$1:$P$1, 0)), perc_75, VLOOKUP(U$2, Percentiles!$A$45:$I$59, 6, FALSE), perc_90, VLOOKUP(U$2, Percentiles!$A$45:$I$59, 7, FALSE), perc_95, VLOOKUP(U$2, Percentiles!$A$45:$I$59, 8, FALSE), perc_85, perc_75 + (perc_90 - perc_75) * (2/3), converted_stat, '2K_Ratings'!U264, IF(bbgm_stat &gt;= perc_95, converted_stat * 3, IF(bbgm_stat &gt;= perc_90, converted_stat * 2, IF(bbgm_stat &gt;= perc_85, converted_stat * 1.5, converted_stat)))))</f>
        <v/>
      </c>
      <c r="V264" s="30" t="str">
        <f t="array" ref="V264">IF($A264="", "", LET(bbgm_stat, INDEX(Players!$A263:$P263, MATCH(V$2, Players!$A$1:$P$1, 0)), perc_75, VLOOKUP(V$2, Percentiles!$A$45:$I$59, 6, FALSE), perc_90, VLOOKUP(V$2, Percentiles!$A$45:$I$59, 7, FALSE), perc_95, VLOOKUP(V$2, Percentiles!$A$45:$I$59, 8, FALSE), perc_85, perc_75 + (perc_90 - perc_75) * (2/3), converted_stat, '2K_Ratings'!V264, IF(bbgm_stat &gt;= perc_95, converted_stat * 3, IF(bbgm_stat &gt;= perc_90, converted_stat * 2, IF(bbgm_stat &gt;= perc_85, converted_stat * 1.5, converted_stat)))))</f>
        <v/>
      </c>
      <c r="W264" s="30" t="str">
        <f t="array" ref="W264">IF($A264="", "", LET(bbgm_stat, INDEX(Players!$A263:$P263, MATCH(W$2, Players!$A$1:$P$1, 0)), perc_75, VLOOKUP(W$2, Percentiles!$A$45:$I$59, 6, FALSE), perc_90, VLOOKUP(W$2, Percentiles!$A$45:$I$59, 7, FALSE), perc_95, VLOOKUP(W$2, Percentiles!$A$45:$I$59, 8, FALSE), perc_85, perc_75 + (perc_90 - perc_75) * (2/3), converted_stat, '2K_Ratings'!W264, IF(bbgm_stat &gt;= perc_95, converted_stat * 3, IF(bbgm_stat &gt;= perc_90, converted_stat * 2, IF(bbgm_stat &gt;= perc_85, converted_stat * 1.5, converted_stat)))))</f>
        <v/>
      </c>
    </row>
    <row r="265">
      <c r="A265" s="30"/>
      <c r="B265" s="30" t="str">
        <f t="array" ref="B265">IF($A265="", "", LET(bbgm_stat, INDEX(Players!$A264:$P264, MATCH(B$2, Players!$A$1:$P$1, 0)), perc_75, VLOOKUP(B$2, Percentiles!$A$45:$I$59, 6, FALSE), perc_90, VLOOKUP(B$2, Percentiles!$A$45:$I$59, 7, FALSE), perc_95, VLOOKUP(B$2, Percentiles!$A$45:$I$59, 8, FALSE), perc_85, perc_75 + (perc_90 - perc_75) * (2/3), converted_stat, '2K_Ratings'!B265, IF(bbgm_stat &gt;= perc_95, converted_stat * 3, IF(bbgm_stat &gt;= perc_90, converted_stat * 2, IF(bbgm_stat &gt;= perc_85, converted_stat * 1.5, converted_stat)))))</f>
        <v/>
      </c>
      <c r="C265" s="30" t="str">
        <f t="array" ref="C265">IF($A265="", "", LET(bbgm_stat, INDEX(Players!$A264:$P264, MATCH(C$2, Players!$A$1:$P$1, 0)), perc_75, VLOOKUP(C$2, Percentiles!$A$45:$I$59, 6, FALSE), perc_90, VLOOKUP(C$2, Percentiles!$A$45:$I$59, 7, FALSE), perc_95, VLOOKUP(C$2, Percentiles!$A$45:$I$59, 8, FALSE), perc_85, perc_75 + (perc_90 - perc_75) * (2/3), converted_stat, '2K_Ratings'!C265, IF(bbgm_stat &gt;= perc_95, converted_stat * 3, IF(bbgm_stat &gt;= perc_90, converted_stat * 2, IF(bbgm_stat &gt;= perc_85, converted_stat * 1.5, converted_stat)))))</f>
        <v/>
      </c>
      <c r="D265" s="30" t="str">
        <f t="array" ref="D265">IF($A265="", "", LET(bbgm_stat, INDEX(Players!$A264:$P264, MATCH(D$2, Players!$A$1:$P$1, 0)), perc_75, VLOOKUP(D$2, Percentiles!$A$45:$I$59, 6, FALSE), perc_90, VLOOKUP(D$2, Percentiles!$A$45:$I$59, 7, FALSE), perc_95, VLOOKUP(D$2, Percentiles!$A$45:$I$59, 8, FALSE), perc_85, perc_75 + (perc_90 - perc_75) * (2/3), converted_stat, '2K_Ratings'!D265, IF(bbgm_stat &gt;= perc_95, converted_stat * 3, IF(bbgm_stat &gt;= perc_90, converted_stat * 2, IF(bbgm_stat &gt;= perc_85, converted_stat * 1.5, converted_stat)))))</f>
        <v/>
      </c>
      <c r="E265" s="30" t="str">
        <f t="array" ref="E265">IF($A265="", "", LET(bbgm_stat, INDEX(Players!$A264:$P264, MATCH(E$2, Players!$A$1:$P$1, 0)), perc_75, VLOOKUP(E$2, Percentiles!$A$45:$I$59, 6, FALSE), perc_90, VLOOKUP(E$2, Percentiles!$A$45:$I$59, 7, FALSE), perc_95, VLOOKUP(E$2, Percentiles!$A$45:$I$59, 8, FALSE), perc_85, perc_75 + (perc_90 - perc_75) * (2/3), converted_stat, '2K_Ratings'!E265, IF(bbgm_stat &gt;= perc_95, converted_stat * 3, IF(bbgm_stat &gt;= perc_90, converted_stat * 2, IF(bbgm_stat &gt;= perc_85, converted_stat * 1.5, converted_stat)))))</f>
        <v/>
      </c>
      <c r="F265" s="30" t="str">
        <f t="array" ref="F265">IF($A265="", "", LET(bbgm_stat, INDEX(Players!$A264:$P264, MATCH(F$2, Players!$A$1:$P$1, 0)), perc_75, VLOOKUP(F$2, Percentiles!$A$45:$I$59, 6, FALSE), perc_90, VLOOKUP(F$2, Percentiles!$A$45:$I$59, 7, FALSE), perc_95, VLOOKUP(F$2, Percentiles!$A$45:$I$59, 8, FALSE), perc_85, perc_75 + (perc_90 - perc_75) * (2/3), converted_stat, '2K_Ratings'!F265, IF(bbgm_stat &gt;= perc_95, converted_stat * 3, IF(bbgm_stat &gt;= perc_90, converted_stat * 2, IF(bbgm_stat &gt;= perc_85, converted_stat * 1.5, converted_stat)))))</f>
        <v/>
      </c>
      <c r="G265" s="30" t="str">
        <f t="array" ref="G265">IF($A265="", "", LET(bbgm_stat, INDEX(Players!$A264:$P264, MATCH(G$2, Players!$A$1:$P$1, 0)), perc_75, VLOOKUP(G$2, Percentiles!$A$45:$I$59, 6, FALSE), perc_90, VLOOKUP(G$2, Percentiles!$A$45:$I$59, 7, FALSE), perc_95, VLOOKUP(G$2, Percentiles!$A$45:$I$59, 8, FALSE), perc_85, perc_75 + (perc_90 - perc_75) * (2/3), converted_stat, '2K_Ratings'!G265, IF(bbgm_stat &gt;= perc_95, converted_stat * 3, IF(bbgm_stat &gt;= perc_90, converted_stat * 2, IF(bbgm_stat &gt;= perc_85, converted_stat * 1.5, converted_stat)))))</f>
        <v/>
      </c>
      <c r="H265" s="30" t="str">
        <f t="array" ref="H265">IF($A265="", "", LET(bbgm_stat, INDEX(Players!$A264:$P264, MATCH(H$2, Players!$A$1:$P$1, 0)), perc_75, VLOOKUP(H$2, Percentiles!$A$45:$I$59, 6, FALSE), perc_90, VLOOKUP(H$2, Percentiles!$A$45:$I$59, 7, FALSE), perc_95, VLOOKUP(H$2, Percentiles!$A$45:$I$59, 8, FALSE), perc_85, perc_75 + (perc_90 - perc_75) * (2/3), converted_stat, '2K_Ratings'!H265, IF(bbgm_stat &gt;= perc_95, converted_stat * 3, IF(bbgm_stat &gt;= perc_90, converted_stat * 2, IF(bbgm_stat &gt;= perc_85, converted_stat * 1.5, converted_stat)))))</f>
        <v/>
      </c>
      <c r="I265" s="30" t="str">
        <f t="array" ref="I265">IF($A265="", "", LET(bbgm_stat, INDEX(Players!$A264:$P264, MATCH(I$2, Players!$A$1:$P$1, 0)), perc_75, VLOOKUP(I$2, Percentiles!$A$45:$I$59, 6, FALSE), perc_90, VLOOKUP(I$2, Percentiles!$A$45:$I$59, 7, FALSE), perc_95, VLOOKUP(I$2, Percentiles!$A$45:$I$59, 8, FALSE), perc_85, perc_75 + (perc_90 - perc_75) * (2/3), converted_stat, '2K_Ratings'!I265, IF(bbgm_stat &gt;= perc_95, converted_stat * 3, IF(bbgm_stat &gt;= perc_90, converted_stat * 2, IF(bbgm_stat &gt;= perc_85, converted_stat * 1.5, converted_stat)))))</f>
        <v/>
      </c>
      <c r="J265" s="30" t="str">
        <f t="array" ref="J265">IF($A265="", "", LET(bbgm_stat, INDEX(Players!$A264:$P264, MATCH(J$2, Players!$A$1:$P$1, 0)), perc_75, VLOOKUP(J$2, Percentiles!$A$45:$I$59, 6, FALSE), perc_90, VLOOKUP(J$2, Percentiles!$A$45:$I$59, 7, FALSE), perc_95, VLOOKUP(J$2, Percentiles!$A$45:$I$59, 8, FALSE), perc_85, perc_75 + (perc_90 - perc_75) * (2/3), converted_stat, '2K_Ratings'!J265, IF(bbgm_stat &gt;= perc_95, converted_stat * 3, IF(bbgm_stat &gt;= perc_90, converted_stat * 2, IF(bbgm_stat &gt;= perc_85, converted_stat * 1.5, converted_stat)))))</f>
        <v/>
      </c>
      <c r="K265" s="30" t="str">
        <f t="array" ref="K265">IF($A265="", "", LET(bbgm_stat, INDEX(Players!$A264:$P264, MATCH(K$2, Players!$A$1:$P$1, 0)), perc_75, VLOOKUP(K$2, Percentiles!$A$45:$I$59, 6, FALSE), perc_90, VLOOKUP(K$2, Percentiles!$A$45:$I$59, 7, FALSE), perc_95, VLOOKUP(K$2, Percentiles!$A$45:$I$59, 8, FALSE), perc_85, perc_75 + (perc_90 - perc_75) * (2/3), converted_stat, '2K_Ratings'!K265, IF(bbgm_stat &gt;= perc_95, converted_stat * 3, IF(bbgm_stat &gt;= perc_90, converted_stat * 2, IF(bbgm_stat &gt;= perc_85, converted_stat * 1.5, converted_stat)))))</f>
        <v/>
      </c>
      <c r="L265" s="30" t="str">
        <f t="array" ref="L265">IF($A265="", "", LET(bbgm_stat, INDEX(Players!$A264:$P264, MATCH(L$2, Players!$A$1:$P$1, 0)), perc_75, VLOOKUP(L$2, Percentiles!$A$45:$I$59, 6, FALSE), perc_90, VLOOKUP(L$2, Percentiles!$A$45:$I$59, 7, FALSE), perc_95, VLOOKUP(L$2, Percentiles!$A$45:$I$59, 8, FALSE), perc_85, perc_75 + (perc_90 - perc_75) * (2/3), converted_stat, '2K_Ratings'!L265, IF(bbgm_stat &gt;= perc_95, converted_stat * 3, IF(bbgm_stat &gt;= perc_90, converted_stat * 2, IF(bbgm_stat &gt;= perc_85, converted_stat * 1.5, converted_stat)))))</f>
        <v/>
      </c>
      <c r="M265" s="30" t="str">
        <f t="array" ref="M265">IF($A265="", "", LET(bbgm_stat, INDEX(Players!$A264:$P264, MATCH(M$2, Players!$A$1:$P$1, 0)), perc_75, VLOOKUP(M$2, Percentiles!$A$45:$I$59, 6, FALSE), perc_90, VLOOKUP(M$2, Percentiles!$A$45:$I$59, 7, FALSE), perc_95, VLOOKUP(M$2, Percentiles!$A$45:$I$59, 8, FALSE), perc_85, perc_75 + (perc_90 - perc_75) * (2/3), converted_stat, '2K_Ratings'!M265, IF(bbgm_stat &gt;= perc_95, converted_stat * 3, IF(bbgm_stat &gt;= perc_90, converted_stat * 2, IF(bbgm_stat &gt;= perc_85, converted_stat * 1.5, converted_stat)))))</f>
        <v/>
      </c>
      <c r="N265" s="30" t="str">
        <f t="array" ref="N265">IF($A265="", "", LET(bbgm_stat, INDEX(Players!$A264:$P264, MATCH(N$2, Players!$A$1:$P$1, 0)), perc_75, VLOOKUP(N$2, Percentiles!$A$45:$I$59, 6, FALSE), perc_90, VLOOKUP(N$2, Percentiles!$A$45:$I$59, 7, FALSE), perc_95, VLOOKUP(N$2, Percentiles!$A$45:$I$59, 8, FALSE), perc_85, perc_75 + (perc_90 - perc_75) * (2/3), converted_stat, '2K_Ratings'!N265, IF(bbgm_stat &gt;= perc_95, converted_stat * 3, IF(bbgm_stat &gt;= perc_90, converted_stat * 2, IF(bbgm_stat &gt;= perc_85, converted_stat * 1.5, converted_stat)))))</f>
        <v/>
      </c>
      <c r="O265" s="30" t="str">
        <f t="array" ref="O265">IF($A265="", "", LET(bbgm_stat, INDEX(Players!$A264:$P264, MATCH(O$2, Players!$A$1:$P$1, 0)), perc_75, VLOOKUP(O$2, Percentiles!$A$45:$I$59, 6, FALSE), perc_90, VLOOKUP(O$2, Percentiles!$A$45:$I$59, 7, FALSE), perc_95, VLOOKUP(O$2, Percentiles!$A$45:$I$59, 8, FALSE), perc_85, perc_75 + (perc_90 - perc_75) * (2/3), converted_stat, '2K_Ratings'!O265, IF(bbgm_stat &gt;= perc_95, converted_stat * 3, IF(bbgm_stat &gt;= perc_90, converted_stat * 2, IF(bbgm_stat &gt;= perc_85, converted_stat * 1.5, converted_stat)))))</f>
        <v/>
      </c>
      <c r="P265" s="30" t="str">
        <f t="array" ref="P265">IF($A265="", "", LET(bbgm_stat, INDEX(Players!$A264:$P264, MATCH(P$2, Players!$A$1:$P$1, 0)), perc_75, VLOOKUP(P$2, Percentiles!$A$45:$I$59, 6, FALSE), perc_90, VLOOKUP(P$2, Percentiles!$A$45:$I$59, 7, FALSE), perc_95, VLOOKUP(P$2, Percentiles!$A$45:$I$59, 8, FALSE), perc_85, perc_75 + (perc_90 - perc_75) * (2/3), converted_stat, '2K_Ratings'!P265, IF(bbgm_stat &gt;= perc_95, converted_stat * 3, IF(bbgm_stat &gt;= perc_90, converted_stat * 2, IF(bbgm_stat &gt;= perc_85, converted_stat * 1.5, converted_stat)))))</f>
        <v/>
      </c>
      <c r="Q265" s="30" t="str">
        <f t="array" ref="Q265">IF($A265="", "", LET(bbgm_stat, INDEX(Players!$A264:$P264, MATCH(Q$2, Players!$A$1:$P$1, 0)), perc_75, VLOOKUP(Q$2, Percentiles!$A$45:$I$59, 6, FALSE), perc_90, VLOOKUP(Q$2, Percentiles!$A$45:$I$59, 7, FALSE), perc_95, VLOOKUP(Q$2, Percentiles!$A$45:$I$59, 8, FALSE), perc_85, perc_75 + (perc_90 - perc_75) * (2/3), converted_stat, '2K_Ratings'!Q265, IF(bbgm_stat &gt;= perc_95, converted_stat * 3, IF(bbgm_stat &gt;= perc_90, converted_stat * 2, IF(bbgm_stat &gt;= perc_85, converted_stat * 1.5, converted_stat)))))</f>
        <v/>
      </c>
      <c r="R265" s="30" t="str">
        <f t="array" ref="R265">IF($A265="", "", LET(bbgm_stat, INDEX(Players!$A264:$P264, MATCH(R$2, Players!$A$1:$P$1, 0)), perc_75, VLOOKUP(R$2, Percentiles!$A$45:$I$59, 6, FALSE), perc_90, VLOOKUP(R$2, Percentiles!$A$45:$I$59, 7, FALSE), perc_95, VLOOKUP(R$2, Percentiles!$A$45:$I$59, 8, FALSE), perc_85, perc_75 + (perc_90 - perc_75) * (2/3), converted_stat, '2K_Ratings'!R265, IF(bbgm_stat &gt;= perc_95, converted_stat * 3, IF(bbgm_stat &gt;= perc_90, converted_stat * 2, IF(bbgm_stat &gt;= perc_85, converted_stat * 1.5, converted_stat)))))</f>
        <v/>
      </c>
      <c r="S265" s="30" t="str">
        <f t="array" ref="S265">IF($A265="", "", LET(bbgm_stat, INDEX(Players!$A264:$P264, MATCH(S$2, Players!$A$1:$P$1, 0)), perc_75, VLOOKUP(S$2, Percentiles!$A$45:$I$59, 6, FALSE), perc_90, VLOOKUP(S$2, Percentiles!$A$45:$I$59, 7, FALSE), perc_95, VLOOKUP(S$2, Percentiles!$A$45:$I$59, 8, FALSE), perc_85, perc_75 + (perc_90 - perc_75) * (2/3), converted_stat, '2K_Ratings'!S265, IF(bbgm_stat &gt;= perc_95, converted_stat * 3, IF(bbgm_stat &gt;= perc_90, converted_stat * 2, IF(bbgm_stat &gt;= perc_85, converted_stat * 1.5, converted_stat)))))</f>
        <v/>
      </c>
      <c r="T265" s="30" t="str">
        <f t="array" ref="T265">IF($A265="", "", LET(bbgm_stat, INDEX(Players!$A264:$P264, MATCH(T$2, Players!$A$1:$P$1, 0)), perc_75, VLOOKUP(T$2, Percentiles!$A$45:$I$59, 6, FALSE), perc_90, VLOOKUP(T$2, Percentiles!$A$45:$I$59, 7, FALSE), perc_95, VLOOKUP(T$2, Percentiles!$A$45:$I$59, 8, FALSE), perc_85, perc_75 + (perc_90 - perc_75) * (2/3), converted_stat, '2K_Ratings'!T265, IF(bbgm_stat &gt;= perc_95, converted_stat * 3, IF(bbgm_stat &gt;= perc_90, converted_stat * 2, IF(bbgm_stat &gt;= perc_85, converted_stat * 1.5, converted_stat)))))</f>
        <v/>
      </c>
      <c r="U265" s="30" t="str">
        <f t="array" ref="U265">IF($A265="", "", LET(bbgm_stat, INDEX(Players!$A264:$P264, MATCH(U$2, Players!$A$1:$P$1, 0)), perc_75, VLOOKUP(U$2, Percentiles!$A$45:$I$59, 6, FALSE), perc_90, VLOOKUP(U$2, Percentiles!$A$45:$I$59, 7, FALSE), perc_95, VLOOKUP(U$2, Percentiles!$A$45:$I$59, 8, FALSE), perc_85, perc_75 + (perc_90 - perc_75) * (2/3), converted_stat, '2K_Ratings'!U265, IF(bbgm_stat &gt;= perc_95, converted_stat * 3, IF(bbgm_stat &gt;= perc_90, converted_stat * 2, IF(bbgm_stat &gt;= perc_85, converted_stat * 1.5, converted_stat)))))</f>
        <v/>
      </c>
      <c r="V265" s="30" t="str">
        <f t="array" ref="V265">IF($A265="", "", LET(bbgm_stat, INDEX(Players!$A264:$P264, MATCH(V$2, Players!$A$1:$P$1, 0)), perc_75, VLOOKUP(V$2, Percentiles!$A$45:$I$59, 6, FALSE), perc_90, VLOOKUP(V$2, Percentiles!$A$45:$I$59, 7, FALSE), perc_95, VLOOKUP(V$2, Percentiles!$A$45:$I$59, 8, FALSE), perc_85, perc_75 + (perc_90 - perc_75) * (2/3), converted_stat, '2K_Ratings'!V265, IF(bbgm_stat &gt;= perc_95, converted_stat * 3, IF(bbgm_stat &gt;= perc_90, converted_stat * 2, IF(bbgm_stat &gt;= perc_85, converted_stat * 1.5, converted_stat)))))</f>
        <v/>
      </c>
      <c r="W265" s="30" t="str">
        <f t="array" ref="W265">IF($A265="", "", LET(bbgm_stat, INDEX(Players!$A264:$P264, MATCH(W$2, Players!$A$1:$P$1, 0)), perc_75, VLOOKUP(W$2, Percentiles!$A$45:$I$59, 6, FALSE), perc_90, VLOOKUP(W$2, Percentiles!$A$45:$I$59, 7, FALSE), perc_95, VLOOKUP(W$2, Percentiles!$A$45:$I$59, 8, FALSE), perc_85, perc_75 + (perc_90 - perc_75) * (2/3), converted_stat, '2K_Ratings'!W265, IF(bbgm_stat &gt;= perc_95, converted_stat * 3, IF(bbgm_stat &gt;= perc_90, converted_stat * 2, IF(bbgm_stat &gt;= perc_85, converted_stat * 1.5, converted_stat)))))</f>
        <v/>
      </c>
    </row>
    <row r="266">
      <c r="A266" s="30"/>
      <c r="B266" s="30" t="str">
        <f t="array" ref="B266">IF($A266="", "", LET(bbgm_stat, INDEX(Players!$A265:$P265, MATCH(B$2, Players!$A$1:$P$1, 0)), perc_75, VLOOKUP(B$2, Percentiles!$A$45:$I$59, 6, FALSE), perc_90, VLOOKUP(B$2, Percentiles!$A$45:$I$59, 7, FALSE), perc_95, VLOOKUP(B$2, Percentiles!$A$45:$I$59, 8, FALSE), perc_85, perc_75 + (perc_90 - perc_75) * (2/3), converted_stat, '2K_Ratings'!B266, IF(bbgm_stat &gt;= perc_95, converted_stat * 3, IF(bbgm_stat &gt;= perc_90, converted_stat * 2, IF(bbgm_stat &gt;= perc_85, converted_stat * 1.5, converted_stat)))))</f>
        <v/>
      </c>
      <c r="C266" s="30" t="str">
        <f t="array" ref="C266">IF($A266="", "", LET(bbgm_stat, INDEX(Players!$A265:$P265, MATCH(C$2, Players!$A$1:$P$1, 0)), perc_75, VLOOKUP(C$2, Percentiles!$A$45:$I$59, 6, FALSE), perc_90, VLOOKUP(C$2, Percentiles!$A$45:$I$59, 7, FALSE), perc_95, VLOOKUP(C$2, Percentiles!$A$45:$I$59, 8, FALSE), perc_85, perc_75 + (perc_90 - perc_75) * (2/3), converted_stat, '2K_Ratings'!C266, IF(bbgm_stat &gt;= perc_95, converted_stat * 3, IF(bbgm_stat &gt;= perc_90, converted_stat * 2, IF(bbgm_stat &gt;= perc_85, converted_stat * 1.5, converted_stat)))))</f>
        <v/>
      </c>
      <c r="D266" s="30" t="str">
        <f t="array" ref="D266">IF($A266="", "", LET(bbgm_stat, INDEX(Players!$A265:$P265, MATCH(D$2, Players!$A$1:$P$1, 0)), perc_75, VLOOKUP(D$2, Percentiles!$A$45:$I$59, 6, FALSE), perc_90, VLOOKUP(D$2, Percentiles!$A$45:$I$59, 7, FALSE), perc_95, VLOOKUP(D$2, Percentiles!$A$45:$I$59, 8, FALSE), perc_85, perc_75 + (perc_90 - perc_75) * (2/3), converted_stat, '2K_Ratings'!D266, IF(bbgm_stat &gt;= perc_95, converted_stat * 3, IF(bbgm_stat &gt;= perc_90, converted_stat * 2, IF(bbgm_stat &gt;= perc_85, converted_stat * 1.5, converted_stat)))))</f>
        <v/>
      </c>
      <c r="E266" s="30" t="str">
        <f t="array" ref="E266">IF($A266="", "", LET(bbgm_stat, INDEX(Players!$A265:$P265, MATCH(E$2, Players!$A$1:$P$1, 0)), perc_75, VLOOKUP(E$2, Percentiles!$A$45:$I$59, 6, FALSE), perc_90, VLOOKUP(E$2, Percentiles!$A$45:$I$59, 7, FALSE), perc_95, VLOOKUP(E$2, Percentiles!$A$45:$I$59, 8, FALSE), perc_85, perc_75 + (perc_90 - perc_75) * (2/3), converted_stat, '2K_Ratings'!E266, IF(bbgm_stat &gt;= perc_95, converted_stat * 3, IF(bbgm_stat &gt;= perc_90, converted_stat * 2, IF(bbgm_stat &gt;= perc_85, converted_stat * 1.5, converted_stat)))))</f>
        <v/>
      </c>
      <c r="F266" s="30" t="str">
        <f t="array" ref="F266">IF($A266="", "", LET(bbgm_stat, INDEX(Players!$A265:$P265, MATCH(F$2, Players!$A$1:$P$1, 0)), perc_75, VLOOKUP(F$2, Percentiles!$A$45:$I$59, 6, FALSE), perc_90, VLOOKUP(F$2, Percentiles!$A$45:$I$59, 7, FALSE), perc_95, VLOOKUP(F$2, Percentiles!$A$45:$I$59, 8, FALSE), perc_85, perc_75 + (perc_90 - perc_75) * (2/3), converted_stat, '2K_Ratings'!F266, IF(bbgm_stat &gt;= perc_95, converted_stat * 3, IF(bbgm_stat &gt;= perc_90, converted_stat * 2, IF(bbgm_stat &gt;= perc_85, converted_stat * 1.5, converted_stat)))))</f>
        <v/>
      </c>
      <c r="G266" s="30" t="str">
        <f t="array" ref="G266">IF($A266="", "", LET(bbgm_stat, INDEX(Players!$A265:$P265, MATCH(G$2, Players!$A$1:$P$1, 0)), perc_75, VLOOKUP(G$2, Percentiles!$A$45:$I$59, 6, FALSE), perc_90, VLOOKUP(G$2, Percentiles!$A$45:$I$59, 7, FALSE), perc_95, VLOOKUP(G$2, Percentiles!$A$45:$I$59, 8, FALSE), perc_85, perc_75 + (perc_90 - perc_75) * (2/3), converted_stat, '2K_Ratings'!G266, IF(bbgm_stat &gt;= perc_95, converted_stat * 3, IF(bbgm_stat &gt;= perc_90, converted_stat * 2, IF(bbgm_stat &gt;= perc_85, converted_stat * 1.5, converted_stat)))))</f>
        <v/>
      </c>
      <c r="H266" s="30" t="str">
        <f t="array" ref="H266">IF($A266="", "", LET(bbgm_stat, INDEX(Players!$A265:$P265, MATCH(H$2, Players!$A$1:$P$1, 0)), perc_75, VLOOKUP(H$2, Percentiles!$A$45:$I$59, 6, FALSE), perc_90, VLOOKUP(H$2, Percentiles!$A$45:$I$59, 7, FALSE), perc_95, VLOOKUP(H$2, Percentiles!$A$45:$I$59, 8, FALSE), perc_85, perc_75 + (perc_90 - perc_75) * (2/3), converted_stat, '2K_Ratings'!H266, IF(bbgm_stat &gt;= perc_95, converted_stat * 3, IF(bbgm_stat &gt;= perc_90, converted_stat * 2, IF(bbgm_stat &gt;= perc_85, converted_stat * 1.5, converted_stat)))))</f>
        <v/>
      </c>
      <c r="I266" s="30" t="str">
        <f t="array" ref="I266">IF($A266="", "", LET(bbgm_stat, INDEX(Players!$A265:$P265, MATCH(I$2, Players!$A$1:$P$1, 0)), perc_75, VLOOKUP(I$2, Percentiles!$A$45:$I$59, 6, FALSE), perc_90, VLOOKUP(I$2, Percentiles!$A$45:$I$59, 7, FALSE), perc_95, VLOOKUP(I$2, Percentiles!$A$45:$I$59, 8, FALSE), perc_85, perc_75 + (perc_90 - perc_75) * (2/3), converted_stat, '2K_Ratings'!I266, IF(bbgm_stat &gt;= perc_95, converted_stat * 3, IF(bbgm_stat &gt;= perc_90, converted_stat * 2, IF(bbgm_stat &gt;= perc_85, converted_stat * 1.5, converted_stat)))))</f>
        <v/>
      </c>
      <c r="J266" s="30" t="str">
        <f t="array" ref="J266">IF($A266="", "", LET(bbgm_stat, INDEX(Players!$A265:$P265, MATCH(J$2, Players!$A$1:$P$1, 0)), perc_75, VLOOKUP(J$2, Percentiles!$A$45:$I$59, 6, FALSE), perc_90, VLOOKUP(J$2, Percentiles!$A$45:$I$59, 7, FALSE), perc_95, VLOOKUP(J$2, Percentiles!$A$45:$I$59, 8, FALSE), perc_85, perc_75 + (perc_90 - perc_75) * (2/3), converted_stat, '2K_Ratings'!J266, IF(bbgm_stat &gt;= perc_95, converted_stat * 3, IF(bbgm_stat &gt;= perc_90, converted_stat * 2, IF(bbgm_stat &gt;= perc_85, converted_stat * 1.5, converted_stat)))))</f>
        <v/>
      </c>
      <c r="K266" s="30" t="str">
        <f t="array" ref="K266">IF($A266="", "", LET(bbgm_stat, INDEX(Players!$A265:$P265, MATCH(K$2, Players!$A$1:$P$1, 0)), perc_75, VLOOKUP(K$2, Percentiles!$A$45:$I$59, 6, FALSE), perc_90, VLOOKUP(K$2, Percentiles!$A$45:$I$59, 7, FALSE), perc_95, VLOOKUP(K$2, Percentiles!$A$45:$I$59, 8, FALSE), perc_85, perc_75 + (perc_90 - perc_75) * (2/3), converted_stat, '2K_Ratings'!K266, IF(bbgm_stat &gt;= perc_95, converted_stat * 3, IF(bbgm_stat &gt;= perc_90, converted_stat * 2, IF(bbgm_stat &gt;= perc_85, converted_stat * 1.5, converted_stat)))))</f>
        <v/>
      </c>
      <c r="L266" s="30" t="str">
        <f t="array" ref="L266">IF($A266="", "", LET(bbgm_stat, INDEX(Players!$A265:$P265, MATCH(L$2, Players!$A$1:$P$1, 0)), perc_75, VLOOKUP(L$2, Percentiles!$A$45:$I$59, 6, FALSE), perc_90, VLOOKUP(L$2, Percentiles!$A$45:$I$59, 7, FALSE), perc_95, VLOOKUP(L$2, Percentiles!$A$45:$I$59, 8, FALSE), perc_85, perc_75 + (perc_90 - perc_75) * (2/3), converted_stat, '2K_Ratings'!L266, IF(bbgm_stat &gt;= perc_95, converted_stat * 3, IF(bbgm_stat &gt;= perc_90, converted_stat * 2, IF(bbgm_stat &gt;= perc_85, converted_stat * 1.5, converted_stat)))))</f>
        <v/>
      </c>
      <c r="M266" s="30" t="str">
        <f t="array" ref="M266">IF($A266="", "", LET(bbgm_stat, INDEX(Players!$A265:$P265, MATCH(M$2, Players!$A$1:$P$1, 0)), perc_75, VLOOKUP(M$2, Percentiles!$A$45:$I$59, 6, FALSE), perc_90, VLOOKUP(M$2, Percentiles!$A$45:$I$59, 7, FALSE), perc_95, VLOOKUP(M$2, Percentiles!$A$45:$I$59, 8, FALSE), perc_85, perc_75 + (perc_90 - perc_75) * (2/3), converted_stat, '2K_Ratings'!M266, IF(bbgm_stat &gt;= perc_95, converted_stat * 3, IF(bbgm_stat &gt;= perc_90, converted_stat * 2, IF(bbgm_stat &gt;= perc_85, converted_stat * 1.5, converted_stat)))))</f>
        <v/>
      </c>
      <c r="N266" s="30" t="str">
        <f t="array" ref="N266">IF($A266="", "", LET(bbgm_stat, INDEX(Players!$A265:$P265, MATCH(N$2, Players!$A$1:$P$1, 0)), perc_75, VLOOKUP(N$2, Percentiles!$A$45:$I$59, 6, FALSE), perc_90, VLOOKUP(N$2, Percentiles!$A$45:$I$59, 7, FALSE), perc_95, VLOOKUP(N$2, Percentiles!$A$45:$I$59, 8, FALSE), perc_85, perc_75 + (perc_90 - perc_75) * (2/3), converted_stat, '2K_Ratings'!N266, IF(bbgm_stat &gt;= perc_95, converted_stat * 3, IF(bbgm_stat &gt;= perc_90, converted_stat * 2, IF(bbgm_stat &gt;= perc_85, converted_stat * 1.5, converted_stat)))))</f>
        <v/>
      </c>
      <c r="O266" s="30" t="str">
        <f t="array" ref="O266">IF($A266="", "", LET(bbgm_stat, INDEX(Players!$A265:$P265, MATCH(O$2, Players!$A$1:$P$1, 0)), perc_75, VLOOKUP(O$2, Percentiles!$A$45:$I$59, 6, FALSE), perc_90, VLOOKUP(O$2, Percentiles!$A$45:$I$59, 7, FALSE), perc_95, VLOOKUP(O$2, Percentiles!$A$45:$I$59, 8, FALSE), perc_85, perc_75 + (perc_90 - perc_75) * (2/3), converted_stat, '2K_Ratings'!O266, IF(bbgm_stat &gt;= perc_95, converted_stat * 3, IF(bbgm_stat &gt;= perc_90, converted_stat * 2, IF(bbgm_stat &gt;= perc_85, converted_stat * 1.5, converted_stat)))))</f>
        <v/>
      </c>
      <c r="P266" s="30" t="str">
        <f t="array" ref="P266">IF($A266="", "", LET(bbgm_stat, INDEX(Players!$A265:$P265, MATCH(P$2, Players!$A$1:$P$1, 0)), perc_75, VLOOKUP(P$2, Percentiles!$A$45:$I$59, 6, FALSE), perc_90, VLOOKUP(P$2, Percentiles!$A$45:$I$59, 7, FALSE), perc_95, VLOOKUP(P$2, Percentiles!$A$45:$I$59, 8, FALSE), perc_85, perc_75 + (perc_90 - perc_75) * (2/3), converted_stat, '2K_Ratings'!P266, IF(bbgm_stat &gt;= perc_95, converted_stat * 3, IF(bbgm_stat &gt;= perc_90, converted_stat * 2, IF(bbgm_stat &gt;= perc_85, converted_stat * 1.5, converted_stat)))))</f>
        <v/>
      </c>
      <c r="Q266" s="30" t="str">
        <f t="array" ref="Q266">IF($A266="", "", LET(bbgm_stat, INDEX(Players!$A265:$P265, MATCH(Q$2, Players!$A$1:$P$1, 0)), perc_75, VLOOKUP(Q$2, Percentiles!$A$45:$I$59, 6, FALSE), perc_90, VLOOKUP(Q$2, Percentiles!$A$45:$I$59, 7, FALSE), perc_95, VLOOKUP(Q$2, Percentiles!$A$45:$I$59, 8, FALSE), perc_85, perc_75 + (perc_90 - perc_75) * (2/3), converted_stat, '2K_Ratings'!Q266, IF(bbgm_stat &gt;= perc_95, converted_stat * 3, IF(bbgm_stat &gt;= perc_90, converted_stat * 2, IF(bbgm_stat &gt;= perc_85, converted_stat * 1.5, converted_stat)))))</f>
        <v/>
      </c>
      <c r="R266" s="30" t="str">
        <f t="array" ref="R266">IF($A266="", "", LET(bbgm_stat, INDEX(Players!$A265:$P265, MATCH(R$2, Players!$A$1:$P$1, 0)), perc_75, VLOOKUP(R$2, Percentiles!$A$45:$I$59, 6, FALSE), perc_90, VLOOKUP(R$2, Percentiles!$A$45:$I$59, 7, FALSE), perc_95, VLOOKUP(R$2, Percentiles!$A$45:$I$59, 8, FALSE), perc_85, perc_75 + (perc_90 - perc_75) * (2/3), converted_stat, '2K_Ratings'!R266, IF(bbgm_stat &gt;= perc_95, converted_stat * 3, IF(bbgm_stat &gt;= perc_90, converted_stat * 2, IF(bbgm_stat &gt;= perc_85, converted_stat * 1.5, converted_stat)))))</f>
        <v/>
      </c>
      <c r="S266" s="30" t="str">
        <f t="array" ref="S266">IF($A266="", "", LET(bbgm_stat, INDEX(Players!$A265:$P265, MATCH(S$2, Players!$A$1:$P$1, 0)), perc_75, VLOOKUP(S$2, Percentiles!$A$45:$I$59, 6, FALSE), perc_90, VLOOKUP(S$2, Percentiles!$A$45:$I$59, 7, FALSE), perc_95, VLOOKUP(S$2, Percentiles!$A$45:$I$59, 8, FALSE), perc_85, perc_75 + (perc_90 - perc_75) * (2/3), converted_stat, '2K_Ratings'!S266, IF(bbgm_stat &gt;= perc_95, converted_stat * 3, IF(bbgm_stat &gt;= perc_90, converted_stat * 2, IF(bbgm_stat &gt;= perc_85, converted_stat * 1.5, converted_stat)))))</f>
        <v/>
      </c>
      <c r="T266" s="30" t="str">
        <f t="array" ref="T266">IF($A266="", "", LET(bbgm_stat, INDEX(Players!$A265:$P265, MATCH(T$2, Players!$A$1:$P$1, 0)), perc_75, VLOOKUP(T$2, Percentiles!$A$45:$I$59, 6, FALSE), perc_90, VLOOKUP(T$2, Percentiles!$A$45:$I$59, 7, FALSE), perc_95, VLOOKUP(T$2, Percentiles!$A$45:$I$59, 8, FALSE), perc_85, perc_75 + (perc_90 - perc_75) * (2/3), converted_stat, '2K_Ratings'!T266, IF(bbgm_stat &gt;= perc_95, converted_stat * 3, IF(bbgm_stat &gt;= perc_90, converted_stat * 2, IF(bbgm_stat &gt;= perc_85, converted_stat * 1.5, converted_stat)))))</f>
        <v/>
      </c>
      <c r="U266" s="30" t="str">
        <f t="array" ref="U266">IF($A266="", "", LET(bbgm_stat, INDEX(Players!$A265:$P265, MATCH(U$2, Players!$A$1:$P$1, 0)), perc_75, VLOOKUP(U$2, Percentiles!$A$45:$I$59, 6, FALSE), perc_90, VLOOKUP(U$2, Percentiles!$A$45:$I$59, 7, FALSE), perc_95, VLOOKUP(U$2, Percentiles!$A$45:$I$59, 8, FALSE), perc_85, perc_75 + (perc_90 - perc_75) * (2/3), converted_stat, '2K_Ratings'!U266, IF(bbgm_stat &gt;= perc_95, converted_stat * 3, IF(bbgm_stat &gt;= perc_90, converted_stat * 2, IF(bbgm_stat &gt;= perc_85, converted_stat * 1.5, converted_stat)))))</f>
        <v/>
      </c>
      <c r="V266" s="30" t="str">
        <f t="array" ref="V266">IF($A266="", "", LET(bbgm_stat, INDEX(Players!$A265:$P265, MATCH(V$2, Players!$A$1:$P$1, 0)), perc_75, VLOOKUP(V$2, Percentiles!$A$45:$I$59, 6, FALSE), perc_90, VLOOKUP(V$2, Percentiles!$A$45:$I$59, 7, FALSE), perc_95, VLOOKUP(V$2, Percentiles!$A$45:$I$59, 8, FALSE), perc_85, perc_75 + (perc_90 - perc_75) * (2/3), converted_stat, '2K_Ratings'!V266, IF(bbgm_stat &gt;= perc_95, converted_stat * 3, IF(bbgm_stat &gt;= perc_90, converted_stat * 2, IF(bbgm_stat &gt;= perc_85, converted_stat * 1.5, converted_stat)))))</f>
        <v/>
      </c>
      <c r="W266" s="30" t="str">
        <f t="array" ref="W266">IF($A266="", "", LET(bbgm_stat, INDEX(Players!$A265:$P265, MATCH(W$2, Players!$A$1:$P$1, 0)), perc_75, VLOOKUP(W$2, Percentiles!$A$45:$I$59, 6, FALSE), perc_90, VLOOKUP(W$2, Percentiles!$A$45:$I$59, 7, FALSE), perc_95, VLOOKUP(W$2, Percentiles!$A$45:$I$59, 8, FALSE), perc_85, perc_75 + (perc_90 - perc_75) * (2/3), converted_stat, '2K_Ratings'!W266, IF(bbgm_stat &gt;= perc_95, converted_stat * 3, IF(bbgm_stat &gt;= perc_90, converted_stat * 2, IF(bbgm_stat &gt;= perc_85, converted_stat * 1.5, converted_stat)))))</f>
        <v/>
      </c>
    </row>
    <row r="267">
      <c r="A267" s="30"/>
      <c r="B267" s="30" t="str">
        <f t="array" ref="B267">IF($A267="", "", LET(bbgm_stat, INDEX(Players!$A266:$P266, MATCH(B$2, Players!$A$1:$P$1, 0)), perc_75, VLOOKUP(B$2, Percentiles!$A$45:$I$59, 6, FALSE), perc_90, VLOOKUP(B$2, Percentiles!$A$45:$I$59, 7, FALSE), perc_95, VLOOKUP(B$2, Percentiles!$A$45:$I$59, 8, FALSE), perc_85, perc_75 + (perc_90 - perc_75) * (2/3), converted_stat, '2K_Ratings'!B267, IF(bbgm_stat &gt;= perc_95, converted_stat * 3, IF(bbgm_stat &gt;= perc_90, converted_stat * 2, IF(bbgm_stat &gt;= perc_85, converted_stat * 1.5, converted_stat)))))</f>
        <v/>
      </c>
      <c r="C267" s="30" t="str">
        <f t="array" ref="C267">IF($A267="", "", LET(bbgm_stat, INDEX(Players!$A266:$P266, MATCH(C$2, Players!$A$1:$P$1, 0)), perc_75, VLOOKUP(C$2, Percentiles!$A$45:$I$59, 6, FALSE), perc_90, VLOOKUP(C$2, Percentiles!$A$45:$I$59, 7, FALSE), perc_95, VLOOKUP(C$2, Percentiles!$A$45:$I$59, 8, FALSE), perc_85, perc_75 + (perc_90 - perc_75) * (2/3), converted_stat, '2K_Ratings'!C267, IF(bbgm_stat &gt;= perc_95, converted_stat * 3, IF(bbgm_stat &gt;= perc_90, converted_stat * 2, IF(bbgm_stat &gt;= perc_85, converted_stat * 1.5, converted_stat)))))</f>
        <v/>
      </c>
      <c r="D267" s="30" t="str">
        <f t="array" ref="D267">IF($A267="", "", LET(bbgm_stat, INDEX(Players!$A266:$P266, MATCH(D$2, Players!$A$1:$P$1, 0)), perc_75, VLOOKUP(D$2, Percentiles!$A$45:$I$59, 6, FALSE), perc_90, VLOOKUP(D$2, Percentiles!$A$45:$I$59, 7, FALSE), perc_95, VLOOKUP(D$2, Percentiles!$A$45:$I$59, 8, FALSE), perc_85, perc_75 + (perc_90 - perc_75) * (2/3), converted_stat, '2K_Ratings'!D267, IF(bbgm_stat &gt;= perc_95, converted_stat * 3, IF(bbgm_stat &gt;= perc_90, converted_stat * 2, IF(bbgm_stat &gt;= perc_85, converted_stat * 1.5, converted_stat)))))</f>
        <v/>
      </c>
      <c r="E267" s="30" t="str">
        <f t="array" ref="E267">IF($A267="", "", LET(bbgm_stat, INDEX(Players!$A266:$P266, MATCH(E$2, Players!$A$1:$P$1, 0)), perc_75, VLOOKUP(E$2, Percentiles!$A$45:$I$59, 6, FALSE), perc_90, VLOOKUP(E$2, Percentiles!$A$45:$I$59, 7, FALSE), perc_95, VLOOKUP(E$2, Percentiles!$A$45:$I$59, 8, FALSE), perc_85, perc_75 + (perc_90 - perc_75) * (2/3), converted_stat, '2K_Ratings'!E267, IF(bbgm_stat &gt;= perc_95, converted_stat * 3, IF(bbgm_stat &gt;= perc_90, converted_stat * 2, IF(bbgm_stat &gt;= perc_85, converted_stat * 1.5, converted_stat)))))</f>
        <v/>
      </c>
      <c r="F267" s="30" t="str">
        <f t="array" ref="F267">IF($A267="", "", LET(bbgm_stat, INDEX(Players!$A266:$P266, MATCH(F$2, Players!$A$1:$P$1, 0)), perc_75, VLOOKUP(F$2, Percentiles!$A$45:$I$59, 6, FALSE), perc_90, VLOOKUP(F$2, Percentiles!$A$45:$I$59, 7, FALSE), perc_95, VLOOKUP(F$2, Percentiles!$A$45:$I$59, 8, FALSE), perc_85, perc_75 + (perc_90 - perc_75) * (2/3), converted_stat, '2K_Ratings'!F267, IF(bbgm_stat &gt;= perc_95, converted_stat * 3, IF(bbgm_stat &gt;= perc_90, converted_stat * 2, IF(bbgm_stat &gt;= perc_85, converted_stat * 1.5, converted_stat)))))</f>
        <v/>
      </c>
      <c r="G267" s="30" t="str">
        <f t="array" ref="G267">IF($A267="", "", LET(bbgm_stat, INDEX(Players!$A266:$P266, MATCH(G$2, Players!$A$1:$P$1, 0)), perc_75, VLOOKUP(G$2, Percentiles!$A$45:$I$59, 6, FALSE), perc_90, VLOOKUP(G$2, Percentiles!$A$45:$I$59, 7, FALSE), perc_95, VLOOKUP(G$2, Percentiles!$A$45:$I$59, 8, FALSE), perc_85, perc_75 + (perc_90 - perc_75) * (2/3), converted_stat, '2K_Ratings'!G267, IF(bbgm_stat &gt;= perc_95, converted_stat * 3, IF(bbgm_stat &gt;= perc_90, converted_stat * 2, IF(bbgm_stat &gt;= perc_85, converted_stat * 1.5, converted_stat)))))</f>
        <v/>
      </c>
      <c r="H267" s="30" t="str">
        <f t="array" ref="H267">IF($A267="", "", LET(bbgm_stat, INDEX(Players!$A266:$P266, MATCH(H$2, Players!$A$1:$P$1, 0)), perc_75, VLOOKUP(H$2, Percentiles!$A$45:$I$59, 6, FALSE), perc_90, VLOOKUP(H$2, Percentiles!$A$45:$I$59, 7, FALSE), perc_95, VLOOKUP(H$2, Percentiles!$A$45:$I$59, 8, FALSE), perc_85, perc_75 + (perc_90 - perc_75) * (2/3), converted_stat, '2K_Ratings'!H267, IF(bbgm_stat &gt;= perc_95, converted_stat * 3, IF(bbgm_stat &gt;= perc_90, converted_stat * 2, IF(bbgm_stat &gt;= perc_85, converted_stat * 1.5, converted_stat)))))</f>
        <v/>
      </c>
      <c r="I267" s="30" t="str">
        <f t="array" ref="I267">IF($A267="", "", LET(bbgm_stat, INDEX(Players!$A266:$P266, MATCH(I$2, Players!$A$1:$P$1, 0)), perc_75, VLOOKUP(I$2, Percentiles!$A$45:$I$59, 6, FALSE), perc_90, VLOOKUP(I$2, Percentiles!$A$45:$I$59, 7, FALSE), perc_95, VLOOKUP(I$2, Percentiles!$A$45:$I$59, 8, FALSE), perc_85, perc_75 + (perc_90 - perc_75) * (2/3), converted_stat, '2K_Ratings'!I267, IF(bbgm_stat &gt;= perc_95, converted_stat * 3, IF(bbgm_stat &gt;= perc_90, converted_stat * 2, IF(bbgm_stat &gt;= perc_85, converted_stat * 1.5, converted_stat)))))</f>
        <v/>
      </c>
      <c r="J267" s="30" t="str">
        <f t="array" ref="J267">IF($A267="", "", LET(bbgm_stat, INDEX(Players!$A266:$P266, MATCH(J$2, Players!$A$1:$P$1, 0)), perc_75, VLOOKUP(J$2, Percentiles!$A$45:$I$59, 6, FALSE), perc_90, VLOOKUP(J$2, Percentiles!$A$45:$I$59, 7, FALSE), perc_95, VLOOKUP(J$2, Percentiles!$A$45:$I$59, 8, FALSE), perc_85, perc_75 + (perc_90 - perc_75) * (2/3), converted_stat, '2K_Ratings'!J267, IF(bbgm_stat &gt;= perc_95, converted_stat * 3, IF(bbgm_stat &gt;= perc_90, converted_stat * 2, IF(bbgm_stat &gt;= perc_85, converted_stat * 1.5, converted_stat)))))</f>
        <v/>
      </c>
      <c r="K267" s="30" t="str">
        <f t="array" ref="K267">IF($A267="", "", LET(bbgm_stat, INDEX(Players!$A266:$P266, MATCH(K$2, Players!$A$1:$P$1, 0)), perc_75, VLOOKUP(K$2, Percentiles!$A$45:$I$59, 6, FALSE), perc_90, VLOOKUP(K$2, Percentiles!$A$45:$I$59, 7, FALSE), perc_95, VLOOKUP(K$2, Percentiles!$A$45:$I$59, 8, FALSE), perc_85, perc_75 + (perc_90 - perc_75) * (2/3), converted_stat, '2K_Ratings'!K267, IF(bbgm_stat &gt;= perc_95, converted_stat * 3, IF(bbgm_stat &gt;= perc_90, converted_stat * 2, IF(bbgm_stat &gt;= perc_85, converted_stat * 1.5, converted_stat)))))</f>
        <v/>
      </c>
      <c r="L267" s="30" t="str">
        <f t="array" ref="L267">IF($A267="", "", LET(bbgm_stat, INDEX(Players!$A266:$P266, MATCH(L$2, Players!$A$1:$P$1, 0)), perc_75, VLOOKUP(L$2, Percentiles!$A$45:$I$59, 6, FALSE), perc_90, VLOOKUP(L$2, Percentiles!$A$45:$I$59, 7, FALSE), perc_95, VLOOKUP(L$2, Percentiles!$A$45:$I$59, 8, FALSE), perc_85, perc_75 + (perc_90 - perc_75) * (2/3), converted_stat, '2K_Ratings'!L267, IF(bbgm_stat &gt;= perc_95, converted_stat * 3, IF(bbgm_stat &gt;= perc_90, converted_stat * 2, IF(bbgm_stat &gt;= perc_85, converted_stat * 1.5, converted_stat)))))</f>
        <v/>
      </c>
      <c r="M267" s="30" t="str">
        <f t="array" ref="M267">IF($A267="", "", LET(bbgm_stat, INDEX(Players!$A266:$P266, MATCH(M$2, Players!$A$1:$P$1, 0)), perc_75, VLOOKUP(M$2, Percentiles!$A$45:$I$59, 6, FALSE), perc_90, VLOOKUP(M$2, Percentiles!$A$45:$I$59, 7, FALSE), perc_95, VLOOKUP(M$2, Percentiles!$A$45:$I$59, 8, FALSE), perc_85, perc_75 + (perc_90 - perc_75) * (2/3), converted_stat, '2K_Ratings'!M267, IF(bbgm_stat &gt;= perc_95, converted_stat * 3, IF(bbgm_stat &gt;= perc_90, converted_stat * 2, IF(bbgm_stat &gt;= perc_85, converted_stat * 1.5, converted_stat)))))</f>
        <v/>
      </c>
      <c r="N267" s="30" t="str">
        <f t="array" ref="N267">IF($A267="", "", LET(bbgm_stat, INDEX(Players!$A266:$P266, MATCH(N$2, Players!$A$1:$P$1, 0)), perc_75, VLOOKUP(N$2, Percentiles!$A$45:$I$59, 6, FALSE), perc_90, VLOOKUP(N$2, Percentiles!$A$45:$I$59, 7, FALSE), perc_95, VLOOKUP(N$2, Percentiles!$A$45:$I$59, 8, FALSE), perc_85, perc_75 + (perc_90 - perc_75) * (2/3), converted_stat, '2K_Ratings'!N267, IF(bbgm_stat &gt;= perc_95, converted_stat * 3, IF(bbgm_stat &gt;= perc_90, converted_stat * 2, IF(bbgm_stat &gt;= perc_85, converted_stat * 1.5, converted_stat)))))</f>
        <v/>
      </c>
      <c r="O267" s="30" t="str">
        <f t="array" ref="O267">IF($A267="", "", LET(bbgm_stat, INDEX(Players!$A266:$P266, MATCH(O$2, Players!$A$1:$P$1, 0)), perc_75, VLOOKUP(O$2, Percentiles!$A$45:$I$59, 6, FALSE), perc_90, VLOOKUP(O$2, Percentiles!$A$45:$I$59, 7, FALSE), perc_95, VLOOKUP(O$2, Percentiles!$A$45:$I$59, 8, FALSE), perc_85, perc_75 + (perc_90 - perc_75) * (2/3), converted_stat, '2K_Ratings'!O267, IF(bbgm_stat &gt;= perc_95, converted_stat * 3, IF(bbgm_stat &gt;= perc_90, converted_stat * 2, IF(bbgm_stat &gt;= perc_85, converted_stat * 1.5, converted_stat)))))</f>
        <v/>
      </c>
      <c r="P267" s="30" t="str">
        <f t="array" ref="P267">IF($A267="", "", LET(bbgm_stat, INDEX(Players!$A266:$P266, MATCH(P$2, Players!$A$1:$P$1, 0)), perc_75, VLOOKUP(P$2, Percentiles!$A$45:$I$59, 6, FALSE), perc_90, VLOOKUP(P$2, Percentiles!$A$45:$I$59, 7, FALSE), perc_95, VLOOKUP(P$2, Percentiles!$A$45:$I$59, 8, FALSE), perc_85, perc_75 + (perc_90 - perc_75) * (2/3), converted_stat, '2K_Ratings'!P267, IF(bbgm_stat &gt;= perc_95, converted_stat * 3, IF(bbgm_stat &gt;= perc_90, converted_stat * 2, IF(bbgm_stat &gt;= perc_85, converted_stat * 1.5, converted_stat)))))</f>
        <v/>
      </c>
      <c r="Q267" s="30" t="str">
        <f t="array" ref="Q267">IF($A267="", "", LET(bbgm_stat, INDEX(Players!$A266:$P266, MATCH(Q$2, Players!$A$1:$P$1, 0)), perc_75, VLOOKUP(Q$2, Percentiles!$A$45:$I$59, 6, FALSE), perc_90, VLOOKUP(Q$2, Percentiles!$A$45:$I$59, 7, FALSE), perc_95, VLOOKUP(Q$2, Percentiles!$A$45:$I$59, 8, FALSE), perc_85, perc_75 + (perc_90 - perc_75) * (2/3), converted_stat, '2K_Ratings'!Q267, IF(bbgm_stat &gt;= perc_95, converted_stat * 3, IF(bbgm_stat &gt;= perc_90, converted_stat * 2, IF(bbgm_stat &gt;= perc_85, converted_stat * 1.5, converted_stat)))))</f>
        <v/>
      </c>
      <c r="R267" s="30" t="str">
        <f t="array" ref="R267">IF($A267="", "", LET(bbgm_stat, INDEX(Players!$A266:$P266, MATCH(R$2, Players!$A$1:$P$1, 0)), perc_75, VLOOKUP(R$2, Percentiles!$A$45:$I$59, 6, FALSE), perc_90, VLOOKUP(R$2, Percentiles!$A$45:$I$59, 7, FALSE), perc_95, VLOOKUP(R$2, Percentiles!$A$45:$I$59, 8, FALSE), perc_85, perc_75 + (perc_90 - perc_75) * (2/3), converted_stat, '2K_Ratings'!R267, IF(bbgm_stat &gt;= perc_95, converted_stat * 3, IF(bbgm_stat &gt;= perc_90, converted_stat * 2, IF(bbgm_stat &gt;= perc_85, converted_stat * 1.5, converted_stat)))))</f>
        <v/>
      </c>
      <c r="S267" s="30" t="str">
        <f t="array" ref="S267">IF($A267="", "", LET(bbgm_stat, INDEX(Players!$A266:$P266, MATCH(S$2, Players!$A$1:$P$1, 0)), perc_75, VLOOKUP(S$2, Percentiles!$A$45:$I$59, 6, FALSE), perc_90, VLOOKUP(S$2, Percentiles!$A$45:$I$59, 7, FALSE), perc_95, VLOOKUP(S$2, Percentiles!$A$45:$I$59, 8, FALSE), perc_85, perc_75 + (perc_90 - perc_75) * (2/3), converted_stat, '2K_Ratings'!S267, IF(bbgm_stat &gt;= perc_95, converted_stat * 3, IF(bbgm_stat &gt;= perc_90, converted_stat * 2, IF(bbgm_stat &gt;= perc_85, converted_stat * 1.5, converted_stat)))))</f>
        <v/>
      </c>
      <c r="T267" s="30" t="str">
        <f t="array" ref="T267">IF($A267="", "", LET(bbgm_stat, INDEX(Players!$A266:$P266, MATCH(T$2, Players!$A$1:$P$1, 0)), perc_75, VLOOKUP(T$2, Percentiles!$A$45:$I$59, 6, FALSE), perc_90, VLOOKUP(T$2, Percentiles!$A$45:$I$59, 7, FALSE), perc_95, VLOOKUP(T$2, Percentiles!$A$45:$I$59, 8, FALSE), perc_85, perc_75 + (perc_90 - perc_75) * (2/3), converted_stat, '2K_Ratings'!T267, IF(bbgm_stat &gt;= perc_95, converted_stat * 3, IF(bbgm_stat &gt;= perc_90, converted_stat * 2, IF(bbgm_stat &gt;= perc_85, converted_stat * 1.5, converted_stat)))))</f>
        <v/>
      </c>
      <c r="U267" s="30" t="str">
        <f t="array" ref="U267">IF($A267="", "", LET(bbgm_stat, INDEX(Players!$A266:$P266, MATCH(U$2, Players!$A$1:$P$1, 0)), perc_75, VLOOKUP(U$2, Percentiles!$A$45:$I$59, 6, FALSE), perc_90, VLOOKUP(U$2, Percentiles!$A$45:$I$59, 7, FALSE), perc_95, VLOOKUP(U$2, Percentiles!$A$45:$I$59, 8, FALSE), perc_85, perc_75 + (perc_90 - perc_75) * (2/3), converted_stat, '2K_Ratings'!U267, IF(bbgm_stat &gt;= perc_95, converted_stat * 3, IF(bbgm_stat &gt;= perc_90, converted_stat * 2, IF(bbgm_stat &gt;= perc_85, converted_stat * 1.5, converted_stat)))))</f>
        <v/>
      </c>
      <c r="V267" s="30" t="str">
        <f t="array" ref="V267">IF($A267="", "", LET(bbgm_stat, INDEX(Players!$A266:$P266, MATCH(V$2, Players!$A$1:$P$1, 0)), perc_75, VLOOKUP(V$2, Percentiles!$A$45:$I$59, 6, FALSE), perc_90, VLOOKUP(V$2, Percentiles!$A$45:$I$59, 7, FALSE), perc_95, VLOOKUP(V$2, Percentiles!$A$45:$I$59, 8, FALSE), perc_85, perc_75 + (perc_90 - perc_75) * (2/3), converted_stat, '2K_Ratings'!V267, IF(bbgm_stat &gt;= perc_95, converted_stat * 3, IF(bbgm_stat &gt;= perc_90, converted_stat * 2, IF(bbgm_stat &gt;= perc_85, converted_stat * 1.5, converted_stat)))))</f>
        <v/>
      </c>
      <c r="W267" s="30" t="str">
        <f t="array" ref="W267">IF($A267="", "", LET(bbgm_stat, INDEX(Players!$A266:$P266, MATCH(W$2, Players!$A$1:$P$1, 0)), perc_75, VLOOKUP(W$2, Percentiles!$A$45:$I$59, 6, FALSE), perc_90, VLOOKUP(W$2, Percentiles!$A$45:$I$59, 7, FALSE), perc_95, VLOOKUP(W$2, Percentiles!$A$45:$I$59, 8, FALSE), perc_85, perc_75 + (perc_90 - perc_75) * (2/3), converted_stat, '2K_Ratings'!W267, IF(bbgm_stat &gt;= perc_95, converted_stat * 3, IF(bbgm_stat &gt;= perc_90, converted_stat * 2, IF(bbgm_stat &gt;= perc_85, converted_stat * 1.5, converted_stat)))))</f>
        <v/>
      </c>
    </row>
    <row r="268">
      <c r="A268" s="30"/>
      <c r="B268" s="30" t="str">
        <f t="array" ref="B268">IF($A268="", "", LET(bbgm_stat, INDEX(Players!$A267:$P267, MATCH(B$2, Players!$A$1:$P$1, 0)), perc_75, VLOOKUP(B$2, Percentiles!$A$45:$I$59, 6, FALSE), perc_90, VLOOKUP(B$2, Percentiles!$A$45:$I$59, 7, FALSE), perc_95, VLOOKUP(B$2, Percentiles!$A$45:$I$59, 8, FALSE), perc_85, perc_75 + (perc_90 - perc_75) * (2/3), converted_stat, '2K_Ratings'!B268, IF(bbgm_stat &gt;= perc_95, converted_stat * 3, IF(bbgm_stat &gt;= perc_90, converted_stat * 2, IF(bbgm_stat &gt;= perc_85, converted_stat * 1.5, converted_stat)))))</f>
        <v/>
      </c>
      <c r="C268" s="30" t="str">
        <f t="array" ref="C268">IF($A268="", "", LET(bbgm_stat, INDEX(Players!$A267:$P267, MATCH(C$2, Players!$A$1:$P$1, 0)), perc_75, VLOOKUP(C$2, Percentiles!$A$45:$I$59, 6, FALSE), perc_90, VLOOKUP(C$2, Percentiles!$A$45:$I$59, 7, FALSE), perc_95, VLOOKUP(C$2, Percentiles!$A$45:$I$59, 8, FALSE), perc_85, perc_75 + (perc_90 - perc_75) * (2/3), converted_stat, '2K_Ratings'!C268, IF(bbgm_stat &gt;= perc_95, converted_stat * 3, IF(bbgm_stat &gt;= perc_90, converted_stat * 2, IF(bbgm_stat &gt;= perc_85, converted_stat * 1.5, converted_stat)))))</f>
        <v/>
      </c>
      <c r="D268" s="30" t="str">
        <f t="array" ref="D268">IF($A268="", "", LET(bbgm_stat, INDEX(Players!$A267:$P267, MATCH(D$2, Players!$A$1:$P$1, 0)), perc_75, VLOOKUP(D$2, Percentiles!$A$45:$I$59, 6, FALSE), perc_90, VLOOKUP(D$2, Percentiles!$A$45:$I$59, 7, FALSE), perc_95, VLOOKUP(D$2, Percentiles!$A$45:$I$59, 8, FALSE), perc_85, perc_75 + (perc_90 - perc_75) * (2/3), converted_stat, '2K_Ratings'!D268, IF(bbgm_stat &gt;= perc_95, converted_stat * 3, IF(bbgm_stat &gt;= perc_90, converted_stat * 2, IF(bbgm_stat &gt;= perc_85, converted_stat * 1.5, converted_stat)))))</f>
        <v/>
      </c>
      <c r="E268" s="30" t="str">
        <f t="array" ref="E268">IF($A268="", "", LET(bbgm_stat, INDEX(Players!$A267:$P267, MATCH(E$2, Players!$A$1:$P$1, 0)), perc_75, VLOOKUP(E$2, Percentiles!$A$45:$I$59, 6, FALSE), perc_90, VLOOKUP(E$2, Percentiles!$A$45:$I$59, 7, FALSE), perc_95, VLOOKUP(E$2, Percentiles!$A$45:$I$59, 8, FALSE), perc_85, perc_75 + (perc_90 - perc_75) * (2/3), converted_stat, '2K_Ratings'!E268, IF(bbgm_stat &gt;= perc_95, converted_stat * 3, IF(bbgm_stat &gt;= perc_90, converted_stat * 2, IF(bbgm_stat &gt;= perc_85, converted_stat * 1.5, converted_stat)))))</f>
        <v/>
      </c>
      <c r="F268" s="30" t="str">
        <f t="array" ref="F268">IF($A268="", "", LET(bbgm_stat, INDEX(Players!$A267:$P267, MATCH(F$2, Players!$A$1:$P$1, 0)), perc_75, VLOOKUP(F$2, Percentiles!$A$45:$I$59, 6, FALSE), perc_90, VLOOKUP(F$2, Percentiles!$A$45:$I$59, 7, FALSE), perc_95, VLOOKUP(F$2, Percentiles!$A$45:$I$59, 8, FALSE), perc_85, perc_75 + (perc_90 - perc_75) * (2/3), converted_stat, '2K_Ratings'!F268, IF(bbgm_stat &gt;= perc_95, converted_stat * 3, IF(bbgm_stat &gt;= perc_90, converted_stat * 2, IF(bbgm_stat &gt;= perc_85, converted_stat * 1.5, converted_stat)))))</f>
        <v/>
      </c>
      <c r="G268" s="30" t="str">
        <f t="array" ref="G268">IF($A268="", "", LET(bbgm_stat, INDEX(Players!$A267:$P267, MATCH(G$2, Players!$A$1:$P$1, 0)), perc_75, VLOOKUP(G$2, Percentiles!$A$45:$I$59, 6, FALSE), perc_90, VLOOKUP(G$2, Percentiles!$A$45:$I$59, 7, FALSE), perc_95, VLOOKUP(G$2, Percentiles!$A$45:$I$59, 8, FALSE), perc_85, perc_75 + (perc_90 - perc_75) * (2/3), converted_stat, '2K_Ratings'!G268, IF(bbgm_stat &gt;= perc_95, converted_stat * 3, IF(bbgm_stat &gt;= perc_90, converted_stat * 2, IF(bbgm_stat &gt;= perc_85, converted_stat * 1.5, converted_stat)))))</f>
        <v/>
      </c>
      <c r="H268" s="30" t="str">
        <f t="array" ref="H268">IF($A268="", "", LET(bbgm_stat, INDEX(Players!$A267:$P267, MATCH(H$2, Players!$A$1:$P$1, 0)), perc_75, VLOOKUP(H$2, Percentiles!$A$45:$I$59, 6, FALSE), perc_90, VLOOKUP(H$2, Percentiles!$A$45:$I$59, 7, FALSE), perc_95, VLOOKUP(H$2, Percentiles!$A$45:$I$59, 8, FALSE), perc_85, perc_75 + (perc_90 - perc_75) * (2/3), converted_stat, '2K_Ratings'!H268, IF(bbgm_stat &gt;= perc_95, converted_stat * 3, IF(bbgm_stat &gt;= perc_90, converted_stat * 2, IF(bbgm_stat &gt;= perc_85, converted_stat * 1.5, converted_stat)))))</f>
        <v/>
      </c>
      <c r="I268" s="30" t="str">
        <f t="array" ref="I268">IF($A268="", "", LET(bbgm_stat, INDEX(Players!$A267:$P267, MATCH(I$2, Players!$A$1:$P$1, 0)), perc_75, VLOOKUP(I$2, Percentiles!$A$45:$I$59, 6, FALSE), perc_90, VLOOKUP(I$2, Percentiles!$A$45:$I$59, 7, FALSE), perc_95, VLOOKUP(I$2, Percentiles!$A$45:$I$59, 8, FALSE), perc_85, perc_75 + (perc_90 - perc_75) * (2/3), converted_stat, '2K_Ratings'!I268, IF(bbgm_stat &gt;= perc_95, converted_stat * 3, IF(bbgm_stat &gt;= perc_90, converted_stat * 2, IF(bbgm_stat &gt;= perc_85, converted_stat * 1.5, converted_stat)))))</f>
        <v/>
      </c>
      <c r="J268" s="30" t="str">
        <f t="array" ref="J268">IF($A268="", "", LET(bbgm_stat, INDEX(Players!$A267:$P267, MATCH(J$2, Players!$A$1:$P$1, 0)), perc_75, VLOOKUP(J$2, Percentiles!$A$45:$I$59, 6, FALSE), perc_90, VLOOKUP(J$2, Percentiles!$A$45:$I$59, 7, FALSE), perc_95, VLOOKUP(J$2, Percentiles!$A$45:$I$59, 8, FALSE), perc_85, perc_75 + (perc_90 - perc_75) * (2/3), converted_stat, '2K_Ratings'!J268, IF(bbgm_stat &gt;= perc_95, converted_stat * 3, IF(bbgm_stat &gt;= perc_90, converted_stat * 2, IF(bbgm_stat &gt;= perc_85, converted_stat * 1.5, converted_stat)))))</f>
        <v/>
      </c>
      <c r="K268" s="30" t="str">
        <f t="array" ref="K268">IF($A268="", "", LET(bbgm_stat, INDEX(Players!$A267:$P267, MATCH(K$2, Players!$A$1:$P$1, 0)), perc_75, VLOOKUP(K$2, Percentiles!$A$45:$I$59, 6, FALSE), perc_90, VLOOKUP(K$2, Percentiles!$A$45:$I$59, 7, FALSE), perc_95, VLOOKUP(K$2, Percentiles!$A$45:$I$59, 8, FALSE), perc_85, perc_75 + (perc_90 - perc_75) * (2/3), converted_stat, '2K_Ratings'!K268, IF(bbgm_stat &gt;= perc_95, converted_stat * 3, IF(bbgm_stat &gt;= perc_90, converted_stat * 2, IF(bbgm_stat &gt;= perc_85, converted_stat * 1.5, converted_stat)))))</f>
        <v/>
      </c>
      <c r="L268" s="30" t="str">
        <f t="array" ref="L268">IF($A268="", "", LET(bbgm_stat, INDEX(Players!$A267:$P267, MATCH(L$2, Players!$A$1:$P$1, 0)), perc_75, VLOOKUP(L$2, Percentiles!$A$45:$I$59, 6, FALSE), perc_90, VLOOKUP(L$2, Percentiles!$A$45:$I$59, 7, FALSE), perc_95, VLOOKUP(L$2, Percentiles!$A$45:$I$59, 8, FALSE), perc_85, perc_75 + (perc_90 - perc_75) * (2/3), converted_stat, '2K_Ratings'!L268, IF(bbgm_stat &gt;= perc_95, converted_stat * 3, IF(bbgm_stat &gt;= perc_90, converted_stat * 2, IF(bbgm_stat &gt;= perc_85, converted_stat * 1.5, converted_stat)))))</f>
        <v/>
      </c>
      <c r="M268" s="30" t="str">
        <f t="array" ref="M268">IF($A268="", "", LET(bbgm_stat, INDEX(Players!$A267:$P267, MATCH(M$2, Players!$A$1:$P$1, 0)), perc_75, VLOOKUP(M$2, Percentiles!$A$45:$I$59, 6, FALSE), perc_90, VLOOKUP(M$2, Percentiles!$A$45:$I$59, 7, FALSE), perc_95, VLOOKUP(M$2, Percentiles!$A$45:$I$59, 8, FALSE), perc_85, perc_75 + (perc_90 - perc_75) * (2/3), converted_stat, '2K_Ratings'!M268, IF(bbgm_stat &gt;= perc_95, converted_stat * 3, IF(bbgm_stat &gt;= perc_90, converted_stat * 2, IF(bbgm_stat &gt;= perc_85, converted_stat * 1.5, converted_stat)))))</f>
        <v/>
      </c>
      <c r="N268" s="30" t="str">
        <f t="array" ref="N268">IF($A268="", "", LET(bbgm_stat, INDEX(Players!$A267:$P267, MATCH(N$2, Players!$A$1:$P$1, 0)), perc_75, VLOOKUP(N$2, Percentiles!$A$45:$I$59, 6, FALSE), perc_90, VLOOKUP(N$2, Percentiles!$A$45:$I$59, 7, FALSE), perc_95, VLOOKUP(N$2, Percentiles!$A$45:$I$59, 8, FALSE), perc_85, perc_75 + (perc_90 - perc_75) * (2/3), converted_stat, '2K_Ratings'!N268, IF(bbgm_stat &gt;= perc_95, converted_stat * 3, IF(bbgm_stat &gt;= perc_90, converted_stat * 2, IF(bbgm_stat &gt;= perc_85, converted_stat * 1.5, converted_stat)))))</f>
        <v/>
      </c>
      <c r="O268" s="30" t="str">
        <f t="array" ref="O268">IF($A268="", "", LET(bbgm_stat, INDEX(Players!$A267:$P267, MATCH(O$2, Players!$A$1:$P$1, 0)), perc_75, VLOOKUP(O$2, Percentiles!$A$45:$I$59, 6, FALSE), perc_90, VLOOKUP(O$2, Percentiles!$A$45:$I$59, 7, FALSE), perc_95, VLOOKUP(O$2, Percentiles!$A$45:$I$59, 8, FALSE), perc_85, perc_75 + (perc_90 - perc_75) * (2/3), converted_stat, '2K_Ratings'!O268, IF(bbgm_stat &gt;= perc_95, converted_stat * 3, IF(bbgm_stat &gt;= perc_90, converted_stat * 2, IF(bbgm_stat &gt;= perc_85, converted_stat * 1.5, converted_stat)))))</f>
        <v/>
      </c>
      <c r="P268" s="30" t="str">
        <f t="array" ref="P268">IF($A268="", "", LET(bbgm_stat, INDEX(Players!$A267:$P267, MATCH(P$2, Players!$A$1:$P$1, 0)), perc_75, VLOOKUP(P$2, Percentiles!$A$45:$I$59, 6, FALSE), perc_90, VLOOKUP(P$2, Percentiles!$A$45:$I$59, 7, FALSE), perc_95, VLOOKUP(P$2, Percentiles!$A$45:$I$59, 8, FALSE), perc_85, perc_75 + (perc_90 - perc_75) * (2/3), converted_stat, '2K_Ratings'!P268, IF(bbgm_stat &gt;= perc_95, converted_stat * 3, IF(bbgm_stat &gt;= perc_90, converted_stat * 2, IF(bbgm_stat &gt;= perc_85, converted_stat * 1.5, converted_stat)))))</f>
        <v/>
      </c>
      <c r="Q268" s="30" t="str">
        <f t="array" ref="Q268">IF($A268="", "", LET(bbgm_stat, INDEX(Players!$A267:$P267, MATCH(Q$2, Players!$A$1:$P$1, 0)), perc_75, VLOOKUP(Q$2, Percentiles!$A$45:$I$59, 6, FALSE), perc_90, VLOOKUP(Q$2, Percentiles!$A$45:$I$59, 7, FALSE), perc_95, VLOOKUP(Q$2, Percentiles!$A$45:$I$59, 8, FALSE), perc_85, perc_75 + (perc_90 - perc_75) * (2/3), converted_stat, '2K_Ratings'!Q268, IF(bbgm_stat &gt;= perc_95, converted_stat * 3, IF(bbgm_stat &gt;= perc_90, converted_stat * 2, IF(bbgm_stat &gt;= perc_85, converted_stat * 1.5, converted_stat)))))</f>
        <v/>
      </c>
      <c r="R268" s="30" t="str">
        <f t="array" ref="R268">IF($A268="", "", LET(bbgm_stat, INDEX(Players!$A267:$P267, MATCH(R$2, Players!$A$1:$P$1, 0)), perc_75, VLOOKUP(R$2, Percentiles!$A$45:$I$59, 6, FALSE), perc_90, VLOOKUP(R$2, Percentiles!$A$45:$I$59, 7, FALSE), perc_95, VLOOKUP(R$2, Percentiles!$A$45:$I$59, 8, FALSE), perc_85, perc_75 + (perc_90 - perc_75) * (2/3), converted_stat, '2K_Ratings'!R268, IF(bbgm_stat &gt;= perc_95, converted_stat * 3, IF(bbgm_stat &gt;= perc_90, converted_stat * 2, IF(bbgm_stat &gt;= perc_85, converted_stat * 1.5, converted_stat)))))</f>
        <v/>
      </c>
      <c r="S268" s="30" t="str">
        <f t="array" ref="S268">IF($A268="", "", LET(bbgm_stat, INDEX(Players!$A267:$P267, MATCH(S$2, Players!$A$1:$P$1, 0)), perc_75, VLOOKUP(S$2, Percentiles!$A$45:$I$59, 6, FALSE), perc_90, VLOOKUP(S$2, Percentiles!$A$45:$I$59, 7, FALSE), perc_95, VLOOKUP(S$2, Percentiles!$A$45:$I$59, 8, FALSE), perc_85, perc_75 + (perc_90 - perc_75) * (2/3), converted_stat, '2K_Ratings'!S268, IF(bbgm_stat &gt;= perc_95, converted_stat * 3, IF(bbgm_stat &gt;= perc_90, converted_stat * 2, IF(bbgm_stat &gt;= perc_85, converted_stat * 1.5, converted_stat)))))</f>
        <v/>
      </c>
      <c r="T268" s="30" t="str">
        <f t="array" ref="T268">IF($A268="", "", LET(bbgm_stat, INDEX(Players!$A267:$P267, MATCH(T$2, Players!$A$1:$P$1, 0)), perc_75, VLOOKUP(T$2, Percentiles!$A$45:$I$59, 6, FALSE), perc_90, VLOOKUP(T$2, Percentiles!$A$45:$I$59, 7, FALSE), perc_95, VLOOKUP(T$2, Percentiles!$A$45:$I$59, 8, FALSE), perc_85, perc_75 + (perc_90 - perc_75) * (2/3), converted_stat, '2K_Ratings'!T268, IF(bbgm_stat &gt;= perc_95, converted_stat * 3, IF(bbgm_stat &gt;= perc_90, converted_stat * 2, IF(bbgm_stat &gt;= perc_85, converted_stat * 1.5, converted_stat)))))</f>
        <v/>
      </c>
      <c r="U268" s="30" t="str">
        <f t="array" ref="U268">IF($A268="", "", LET(bbgm_stat, INDEX(Players!$A267:$P267, MATCH(U$2, Players!$A$1:$P$1, 0)), perc_75, VLOOKUP(U$2, Percentiles!$A$45:$I$59, 6, FALSE), perc_90, VLOOKUP(U$2, Percentiles!$A$45:$I$59, 7, FALSE), perc_95, VLOOKUP(U$2, Percentiles!$A$45:$I$59, 8, FALSE), perc_85, perc_75 + (perc_90 - perc_75) * (2/3), converted_stat, '2K_Ratings'!U268, IF(bbgm_stat &gt;= perc_95, converted_stat * 3, IF(bbgm_stat &gt;= perc_90, converted_stat * 2, IF(bbgm_stat &gt;= perc_85, converted_stat * 1.5, converted_stat)))))</f>
        <v/>
      </c>
      <c r="V268" s="30" t="str">
        <f t="array" ref="V268">IF($A268="", "", LET(bbgm_stat, INDEX(Players!$A267:$P267, MATCH(V$2, Players!$A$1:$P$1, 0)), perc_75, VLOOKUP(V$2, Percentiles!$A$45:$I$59, 6, FALSE), perc_90, VLOOKUP(V$2, Percentiles!$A$45:$I$59, 7, FALSE), perc_95, VLOOKUP(V$2, Percentiles!$A$45:$I$59, 8, FALSE), perc_85, perc_75 + (perc_90 - perc_75) * (2/3), converted_stat, '2K_Ratings'!V268, IF(bbgm_stat &gt;= perc_95, converted_stat * 3, IF(bbgm_stat &gt;= perc_90, converted_stat * 2, IF(bbgm_stat &gt;= perc_85, converted_stat * 1.5, converted_stat)))))</f>
        <v/>
      </c>
      <c r="W268" s="30" t="str">
        <f t="array" ref="W268">IF($A268="", "", LET(bbgm_stat, INDEX(Players!$A267:$P267, MATCH(W$2, Players!$A$1:$P$1, 0)), perc_75, VLOOKUP(W$2, Percentiles!$A$45:$I$59, 6, FALSE), perc_90, VLOOKUP(W$2, Percentiles!$A$45:$I$59, 7, FALSE), perc_95, VLOOKUP(W$2, Percentiles!$A$45:$I$59, 8, FALSE), perc_85, perc_75 + (perc_90 - perc_75) * (2/3), converted_stat, '2K_Ratings'!W268, IF(bbgm_stat &gt;= perc_95, converted_stat * 3, IF(bbgm_stat &gt;= perc_90, converted_stat * 2, IF(bbgm_stat &gt;= perc_85, converted_stat * 1.5, converted_stat)))))</f>
        <v/>
      </c>
    </row>
    <row r="269">
      <c r="A269" s="30"/>
      <c r="B269" s="30" t="str">
        <f t="array" ref="B269">IF($A269="", "", LET(bbgm_stat, INDEX(Players!$A268:$P268, MATCH(B$2, Players!$A$1:$P$1, 0)), perc_75, VLOOKUP(B$2, Percentiles!$A$45:$I$59, 6, FALSE), perc_90, VLOOKUP(B$2, Percentiles!$A$45:$I$59, 7, FALSE), perc_95, VLOOKUP(B$2, Percentiles!$A$45:$I$59, 8, FALSE), perc_85, perc_75 + (perc_90 - perc_75) * (2/3), converted_stat, '2K_Ratings'!B269, IF(bbgm_stat &gt;= perc_95, converted_stat * 3, IF(bbgm_stat &gt;= perc_90, converted_stat * 2, IF(bbgm_stat &gt;= perc_85, converted_stat * 1.5, converted_stat)))))</f>
        <v/>
      </c>
      <c r="C269" s="30" t="str">
        <f t="array" ref="C269">IF($A269="", "", LET(bbgm_stat, INDEX(Players!$A268:$P268, MATCH(C$2, Players!$A$1:$P$1, 0)), perc_75, VLOOKUP(C$2, Percentiles!$A$45:$I$59, 6, FALSE), perc_90, VLOOKUP(C$2, Percentiles!$A$45:$I$59, 7, FALSE), perc_95, VLOOKUP(C$2, Percentiles!$A$45:$I$59, 8, FALSE), perc_85, perc_75 + (perc_90 - perc_75) * (2/3), converted_stat, '2K_Ratings'!C269, IF(bbgm_stat &gt;= perc_95, converted_stat * 3, IF(bbgm_stat &gt;= perc_90, converted_stat * 2, IF(bbgm_stat &gt;= perc_85, converted_stat * 1.5, converted_stat)))))</f>
        <v/>
      </c>
      <c r="D269" s="30" t="str">
        <f t="array" ref="D269">IF($A269="", "", LET(bbgm_stat, INDEX(Players!$A268:$P268, MATCH(D$2, Players!$A$1:$P$1, 0)), perc_75, VLOOKUP(D$2, Percentiles!$A$45:$I$59, 6, FALSE), perc_90, VLOOKUP(D$2, Percentiles!$A$45:$I$59, 7, FALSE), perc_95, VLOOKUP(D$2, Percentiles!$A$45:$I$59, 8, FALSE), perc_85, perc_75 + (perc_90 - perc_75) * (2/3), converted_stat, '2K_Ratings'!D269, IF(bbgm_stat &gt;= perc_95, converted_stat * 3, IF(bbgm_stat &gt;= perc_90, converted_stat * 2, IF(bbgm_stat &gt;= perc_85, converted_stat * 1.5, converted_stat)))))</f>
        <v/>
      </c>
      <c r="E269" s="30" t="str">
        <f t="array" ref="E269">IF($A269="", "", LET(bbgm_stat, INDEX(Players!$A268:$P268, MATCH(E$2, Players!$A$1:$P$1, 0)), perc_75, VLOOKUP(E$2, Percentiles!$A$45:$I$59, 6, FALSE), perc_90, VLOOKUP(E$2, Percentiles!$A$45:$I$59, 7, FALSE), perc_95, VLOOKUP(E$2, Percentiles!$A$45:$I$59, 8, FALSE), perc_85, perc_75 + (perc_90 - perc_75) * (2/3), converted_stat, '2K_Ratings'!E269, IF(bbgm_stat &gt;= perc_95, converted_stat * 3, IF(bbgm_stat &gt;= perc_90, converted_stat * 2, IF(bbgm_stat &gt;= perc_85, converted_stat * 1.5, converted_stat)))))</f>
        <v/>
      </c>
      <c r="F269" s="30" t="str">
        <f t="array" ref="F269">IF($A269="", "", LET(bbgm_stat, INDEX(Players!$A268:$P268, MATCH(F$2, Players!$A$1:$P$1, 0)), perc_75, VLOOKUP(F$2, Percentiles!$A$45:$I$59, 6, FALSE), perc_90, VLOOKUP(F$2, Percentiles!$A$45:$I$59, 7, FALSE), perc_95, VLOOKUP(F$2, Percentiles!$A$45:$I$59, 8, FALSE), perc_85, perc_75 + (perc_90 - perc_75) * (2/3), converted_stat, '2K_Ratings'!F269, IF(bbgm_stat &gt;= perc_95, converted_stat * 3, IF(bbgm_stat &gt;= perc_90, converted_stat * 2, IF(bbgm_stat &gt;= perc_85, converted_stat * 1.5, converted_stat)))))</f>
        <v/>
      </c>
      <c r="G269" s="30" t="str">
        <f t="array" ref="G269">IF($A269="", "", LET(bbgm_stat, INDEX(Players!$A268:$P268, MATCH(G$2, Players!$A$1:$P$1, 0)), perc_75, VLOOKUP(G$2, Percentiles!$A$45:$I$59, 6, FALSE), perc_90, VLOOKUP(G$2, Percentiles!$A$45:$I$59, 7, FALSE), perc_95, VLOOKUP(G$2, Percentiles!$A$45:$I$59, 8, FALSE), perc_85, perc_75 + (perc_90 - perc_75) * (2/3), converted_stat, '2K_Ratings'!G269, IF(bbgm_stat &gt;= perc_95, converted_stat * 3, IF(bbgm_stat &gt;= perc_90, converted_stat * 2, IF(bbgm_stat &gt;= perc_85, converted_stat * 1.5, converted_stat)))))</f>
        <v/>
      </c>
      <c r="H269" s="30" t="str">
        <f t="array" ref="H269">IF($A269="", "", LET(bbgm_stat, INDEX(Players!$A268:$P268, MATCH(H$2, Players!$A$1:$P$1, 0)), perc_75, VLOOKUP(H$2, Percentiles!$A$45:$I$59, 6, FALSE), perc_90, VLOOKUP(H$2, Percentiles!$A$45:$I$59, 7, FALSE), perc_95, VLOOKUP(H$2, Percentiles!$A$45:$I$59, 8, FALSE), perc_85, perc_75 + (perc_90 - perc_75) * (2/3), converted_stat, '2K_Ratings'!H269, IF(bbgm_stat &gt;= perc_95, converted_stat * 3, IF(bbgm_stat &gt;= perc_90, converted_stat * 2, IF(bbgm_stat &gt;= perc_85, converted_stat * 1.5, converted_stat)))))</f>
        <v/>
      </c>
      <c r="I269" s="30" t="str">
        <f t="array" ref="I269">IF($A269="", "", LET(bbgm_stat, INDEX(Players!$A268:$P268, MATCH(I$2, Players!$A$1:$P$1, 0)), perc_75, VLOOKUP(I$2, Percentiles!$A$45:$I$59, 6, FALSE), perc_90, VLOOKUP(I$2, Percentiles!$A$45:$I$59, 7, FALSE), perc_95, VLOOKUP(I$2, Percentiles!$A$45:$I$59, 8, FALSE), perc_85, perc_75 + (perc_90 - perc_75) * (2/3), converted_stat, '2K_Ratings'!I269, IF(bbgm_stat &gt;= perc_95, converted_stat * 3, IF(bbgm_stat &gt;= perc_90, converted_stat * 2, IF(bbgm_stat &gt;= perc_85, converted_stat * 1.5, converted_stat)))))</f>
        <v/>
      </c>
      <c r="J269" s="30" t="str">
        <f t="array" ref="J269">IF($A269="", "", LET(bbgm_stat, INDEX(Players!$A268:$P268, MATCH(J$2, Players!$A$1:$P$1, 0)), perc_75, VLOOKUP(J$2, Percentiles!$A$45:$I$59, 6, FALSE), perc_90, VLOOKUP(J$2, Percentiles!$A$45:$I$59, 7, FALSE), perc_95, VLOOKUP(J$2, Percentiles!$A$45:$I$59, 8, FALSE), perc_85, perc_75 + (perc_90 - perc_75) * (2/3), converted_stat, '2K_Ratings'!J269, IF(bbgm_stat &gt;= perc_95, converted_stat * 3, IF(bbgm_stat &gt;= perc_90, converted_stat * 2, IF(bbgm_stat &gt;= perc_85, converted_stat * 1.5, converted_stat)))))</f>
        <v/>
      </c>
      <c r="K269" s="30" t="str">
        <f t="array" ref="K269">IF($A269="", "", LET(bbgm_stat, INDEX(Players!$A268:$P268, MATCH(K$2, Players!$A$1:$P$1, 0)), perc_75, VLOOKUP(K$2, Percentiles!$A$45:$I$59, 6, FALSE), perc_90, VLOOKUP(K$2, Percentiles!$A$45:$I$59, 7, FALSE), perc_95, VLOOKUP(K$2, Percentiles!$A$45:$I$59, 8, FALSE), perc_85, perc_75 + (perc_90 - perc_75) * (2/3), converted_stat, '2K_Ratings'!K269, IF(bbgm_stat &gt;= perc_95, converted_stat * 3, IF(bbgm_stat &gt;= perc_90, converted_stat * 2, IF(bbgm_stat &gt;= perc_85, converted_stat * 1.5, converted_stat)))))</f>
        <v/>
      </c>
      <c r="L269" s="30" t="str">
        <f t="array" ref="L269">IF($A269="", "", LET(bbgm_stat, INDEX(Players!$A268:$P268, MATCH(L$2, Players!$A$1:$P$1, 0)), perc_75, VLOOKUP(L$2, Percentiles!$A$45:$I$59, 6, FALSE), perc_90, VLOOKUP(L$2, Percentiles!$A$45:$I$59, 7, FALSE), perc_95, VLOOKUP(L$2, Percentiles!$A$45:$I$59, 8, FALSE), perc_85, perc_75 + (perc_90 - perc_75) * (2/3), converted_stat, '2K_Ratings'!L269, IF(bbgm_stat &gt;= perc_95, converted_stat * 3, IF(bbgm_stat &gt;= perc_90, converted_stat * 2, IF(bbgm_stat &gt;= perc_85, converted_stat * 1.5, converted_stat)))))</f>
        <v/>
      </c>
      <c r="M269" s="30" t="str">
        <f t="array" ref="M269">IF($A269="", "", LET(bbgm_stat, INDEX(Players!$A268:$P268, MATCH(M$2, Players!$A$1:$P$1, 0)), perc_75, VLOOKUP(M$2, Percentiles!$A$45:$I$59, 6, FALSE), perc_90, VLOOKUP(M$2, Percentiles!$A$45:$I$59, 7, FALSE), perc_95, VLOOKUP(M$2, Percentiles!$A$45:$I$59, 8, FALSE), perc_85, perc_75 + (perc_90 - perc_75) * (2/3), converted_stat, '2K_Ratings'!M269, IF(bbgm_stat &gt;= perc_95, converted_stat * 3, IF(bbgm_stat &gt;= perc_90, converted_stat * 2, IF(bbgm_stat &gt;= perc_85, converted_stat * 1.5, converted_stat)))))</f>
        <v/>
      </c>
      <c r="N269" s="30" t="str">
        <f t="array" ref="N269">IF($A269="", "", LET(bbgm_stat, INDEX(Players!$A268:$P268, MATCH(N$2, Players!$A$1:$P$1, 0)), perc_75, VLOOKUP(N$2, Percentiles!$A$45:$I$59, 6, FALSE), perc_90, VLOOKUP(N$2, Percentiles!$A$45:$I$59, 7, FALSE), perc_95, VLOOKUP(N$2, Percentiles!$A$45:$I$59, 8, FALSE), perc_85, perc_75 + (perc_90 - perc_75) * (2/3), converted_stat, '2K_Ratings'!N269, IF(bbgm_stat &gt;= perc_95, converted_stat * 3, IF(bbgm_stat &gt;= perc_90, converted_stat * 2, IF(bbgm_stat &gt;= perc_85, converted_stat * 1.5, converted_stat)))))</f>
        <v/>
      </c>
      <c r="O269" s="30" t="str">
        <f t="array" ref="O269">IF($A269="", "", LET(bbgm_stat, INDEX(Players!$A268:$P268, MATCH(O$2, Players!$A$1:$P$1, 0)), perc_75, VLOOKUP(O$2, Percentiles!$A$45:$I$59, 6, FALSE), perc_90, VLOOKUP(O$2, Percentiles!$A$45:$I$59, 7, FALSE), perc_95, VLOOKUP(O$2, Percentiles!$A$45:$I$59, 8, FALSE), perc_85, perc_75 + (perc_90 - perc_75) * (2/3), converted_stat, '2K_Ratings'!O269, IF(bbgm_stat &gt;= perc_95, converted_stat * 3, IF(bbgm_stat &gt;= perc_90, converted_stat * 2, IF(bbgm_stat &gt;= perc_85, converted_stat * 1.5, converted_stat)))))</f>
        <v/>
      </c>
      <c r="P269" s="30" t="str">
        <f t="array" ref="P269">IF($A269="", "", LET(bbgm_stat, INDEX(Players!$A268:$P268, MATCH(P$2, Players!$A$1:$P$1, 0)), perc_75, VLOOKUP(P$2, Percentiles!$A$45:$I$59, 6, FALSE), perc_90, VLOOKUP(P$2, Percentiles!$A$45:$I$59, 7, FALSE), perc_95, VLOOKUP(P$2, Percentiles!$A$45:$I$59, 8, FALSE), perc_85, perc_75 + (perc_90 - perc_75) * (2/3), converted_stat, '2K_Ratings'!P269, IF(bbgm_stat &gt;= perc_95, converted_stat * 3, IF(bbgm_stat &gt;= perc_90, converted_stat * 2, IF(bbgm_stat &gt;= perc_85, converted_stat * 1.5, converted_stat)))))</f>
        <v/>
      </c>
      <c r="Q269" s="30" t="str">
        <f t="array" ref="Q269">IF($A269="", "", LET(bbgm_stat, INDEX(Players!$A268:$P268, MATCH(Q$2, Players!$A$1:$P$1, 0)), perc_75, VLOOKUP(Q$2, Percentiles!$A$45:$I$59, 6, FALSE), perc_90, VLOOKUP(Q$2, Percentiles!$A$45:$I$59, 7, FALSE), perc_95, VLOOKUP(Q$2, Percentiles!$A$45:$I$59, 8, FALSE), perc_85, perc_75 + (perc_90 - perc_75) * (2/3), converted_stat, '2K_Ratings'!Q269, IF(bbgm_stat &gt;= perc_95, converted_stat * 3, IF(bbgm_stat &gt;= perc_90, converted_stat * 2, IF(bbgm_stat &gt;= perc_85, converted_stat * 1.5, converted_stat)))))</f>
        <v/>
      </c>
      <c r="R269" s="30" t="str">
        <f t="array" ref="R269">IF($A269="", "", LET(bbgm_stat, INDEX(Players!$A268:$P268, MATCH(R$2, Players!$A$1:$P$1, 0)), perc_75, VLOOKUP(R$2, Percentiles!$A$45:$I$59, 6, FALSE), perc_90, VLOOKUP(R$2, Percentiles!$A$45:$I$59, 7, FALSE), perc_95, VLOOKUP(R$2, Percentiles!$A$45:$I$59, 8, FALSE), perc_85, perc_75 + (perc_90 - perc_75) * (2/3), converted_stat, '2K_Ratings'!R269, IF(bbgm_stat &gt;= perc_95, converted_stat * 3, IF(bbgm_stat &gt;= perc_90, converted_stat * 2, IF(bbgm_stat &gt;= perc_85, converted_stat * 1.5, converted_stat)))))</f>
        <v/>
      </c>
      <c r="S269" s="30" t="str">
        <f t="array" ref="S269">IF($A269="", "", LET(bbgm_stat, INDEX(Players!$A268:$P268, MATCH(S$2, Players!$A$1:$P$1, 0)), perc_75, VLOOKUP(S$2, Percentiles!$A$45:$I$59, 6, FALSE), perc_90, VLOOKUP(S$2, Percentiles!$A$45:$I$59, 7, FALSE), perc_95, VLOOKUP(S$2, Percentiles!$A$45:$I$59, 8, FALSE), perc_85, perc_75 + (perc_90 - perc_75) * (2/3), converted_stat, '2K_Ratings'!S269, IF(bbgm_stat &gt;= perc_95, converted_stat * 3, IF(bbgm_stat &gt;= perc_90, converted_stat * 2, IF(bbgm_stat &gt;= perc_85, converted_stat * 1.5, converted_stat)))))</f>
        <v/>
      </c>
      <c r="T269" s="30" t="str">
        <f t="array" ref="T269">IF($A269="", "", LET(bbgm_stat, INDEX(Players!$A268:$P268, MATCH(T$2, Players!$A$1:$P$1, 0)), perc_75, VLOOKUP(T$2, Percentiles!$A$45:$I$59, 6, FALSE), perc_90, VLOOKUP(T$2, Percentiles!$A$45:$I$59, 7, FALSE), perc_95, VLOOKUP(T$2, Percentiles!$A$45:$I$59, 8, FALSE), perc_85, perc_75 + (perc_90 - perc_75) * (2/3), converted_stat, '2K_Ratings'!T269, IF(bbgm_stat &gt;= perc_95, converted_stat * 3, IF(bbgm_stat &gt;= perc_90, converted_stat * 2, IF(bbgm_stat &gt;= perc_85, converted_stat * 1.5, converted_stat)))))</f>
        <v/>
      </c>
      <c r="U269" s="30" t="str">
        <f t="array" ref="U269">IF($A269="", "", LET(bbgm_stat, INDEX(Players!$A268:$P268, MATCH(U$2, Players!$A$1:$P$1, 0)), perc_75, VLOOKUP(U$2, Percentiles!$A$45:$I$59, 6, FALSE), perc_90, VLOOKUP(U$2, Percentiles!$A$45:$I$59, 7, FALSE), perc_95, VLOOKUP(U$2, Percentiles!$A$45:$I$59, 8, FALSE), perc_85, perc_75 + (perc_90 - perc_75) * (2/3), converted_stat, '2K_Ratings'!U269, IF(bbgm_stat &gt;= perc_95, converted_stat * 3, IF(bbgm_stat &gt;= perc_90, converted_stat * 2, IF(bbgm_stat &gt;= perc_85, converted_stat * 1.5, converted_stat)))))</f>
        <v/>
      </c>
      <c r="V269" s="30" t="str">
        <f t="array" ref="V269">IF($A269="", "", LET(bbgm_stat, INDEX(Players!$A268:$P268, MATCH(V$2, Players!$A$1:$P$1, 0)), perc_75, VLOOKUP(V$2, Percentiles!$A$45:$I$59, 6, FALSE), perc_90, VLOOKUP(V$2, Percentiles!$A$45:$I$59, 7, FALSE), perc_95, VLOOKUP(V$2, Percentiles!$A$45:$I$59, 8, FALSE), perc_85, perc_75 + (perc_90 - perc_75) * (2/3), converted_stat, '2K_Ratings'!V269, IF(bbgm_stat &gt;= perc_95, converted_stat * 3, IF(bbgm_stat &gt;= perc_90, converted_stat * 2, IF(bbgm_stat &gt;= perc_85, converted_stat * 1.5, converted_stat)))))</f>
        <v/>
      </c>
      <c r="W269" s="30" t="str">
        <f t="array" ref="W269">IF($A269="", "", LET(bbgm_stat, INDEX(Players!$A268:$P268, MATCH(W$2, Players!$A$1:$P$1, 0)), perc_75, VLOOKUP(W$2, Percentiles!$A$45:$I$59, 6, FALSE), perc_90, VLOOKUP(W$2, Percentiles!$A$45:$I$59, 7, FALSE), perc_95, VLOOKUP(W$2, Percentiles!$A$45:$I$59, 8, FALSE), perc_85, perc_75 + (perc_90 - perc_75) * (2/3), converted_stat, '2K_Ratings'!W269, IF(bbgm_stat &gt;= perc_95, converted_stat * 3, IF(bbgm_stat &gt;= perc_90, converted_stat * 2, IF(bbgm_stat &gt;= perc_85, converted_stat * 1.5, converted_stat)))))</f>
        <v/>
      </c>
    </row>
    <row r="270">
      <c r="A270" s="30"/>
      <c r="B270" s="30" t="str">
        <f t="array" ref="B270">IF($A270="", "", LET(bbgm_stat, INDEX(Players!$A269:$P269, MATCH(B$2, Players!$A$1:$P$1, 0)), perc_75, VLOOKUP(B$2, Percentiles!$A$45:$I$59, 6, FALSE), perc_90, VLOOKUP(B$2, Percentiles!$A$45:$I$59, 7, FALSE), perc_95, VLOOKUP(B$2, Percentiles!$A$45:$I$59, 8, FALSE), perc_85, perc_75 + (perc_90 - perc_75) * (2/3), converted_stat, '2K_Ratings'!B270, IF(bbgm_stat &gt;= perc_95, converted_stat * 3, IF(bbgm_stat &gt;= perc_90, converted_stat * 2, IF(bbgm_stat &gt;= perc_85, converted_stat * 1.5, converted_stat)))))</f>
        <v/>
      </c>
      <c r="C270" s="30" t="str">
        <f t="array" ref="C270">IF($A270="", "", LET(bbgm_stat, INDEX(Players!$A269:$P269, MATCH(C$2, Players!$A$1:$P$1, 0)), perc_75, VLOOKUP(C$2, Percentiles!$A$45:$I$59, 6, FALSE), perc_90, VLOOKUP(C$2, Percentiles!$A$45:$I$59, 7, FALSE), perc_95, VLOOKUP(C$2, Percentiles!$A$45:$I$59, 8, FALSE), perc_85, perc_75 + (perc_90 - perc_75) * (2/3), converted_stat, '2K_Ratings'!C270, IF(bbgm_stat &gt;= perc_95, converted_stat * 3, IF(bbgm_stat &gt;= perc_90, converted_stat * 2, IF(bbgm_stat &gt;= perc_85, converted_stat * 1.5, converted_stat)))))</f>
        <v/>
      </c>
      <c r="D270" s="30" t="str">
        <f t="array" ref="D270">IF($A270="", "", LET(bbgm_stat, INDEX(Players!$A269:$P269, MATCH(D$2, Players!$A$1:$P$1, 0)), perc_75, VLOOKUP(D$2, Percentiles!$A$45:$I$59, 6, FALSE), perc_90, VLOOKUP(D$2, Percentiles!$A$45:$I$59, 7, FALSE), perc_95, VLOOKUP(D$2, Percentiles!$A$45:$I$59, 8, FALSE), perc_85, perc_75 + (perc_90 - perc_75) * (2/3), converted_stat, '2K_Ratings'!D270, IF(bbgm_stat &gt;= perc_95, converted_stat * 3, IF(bbgm_stat &gt;= perc_90, converted_stat * 2, IF(bbgm_stat &gt;= perc_85, converted_stat * 1.5, converted_stat)))))</f>
        <v/>
      </c>
      <c r="E270" s="30" t="str">
        <f t="array" ref="E270">IF($A270="", "", LET(bbgm_stat, INDEX(Players!$A269:$P269, MATCH(E$2, Players!$A$1:$P$1, 0)), perc_75, VLOOKUP(E$2, Percentiles!$A$45:$I$59, 6, FALSE), perc_90, VLOOKUP(E$2, Percentiles!$A$45:$I$59, 7, FALSE), perc_95, VLOOKUP(E$2, Percentiles!$A$45:$I$59, 8, FALSE), perc_85, perc_75 + (perc_90 - perc_75) * (2/3), converted_stat, '2K_Ratings'!E270, IF(bbgm_stat &gt;= perc_95, converted_stat * 3, IF(bbgm_stat &gt;= perc_90, converted_stat * 2, IF(bbgm_stat &gt;= perc_85, converted_stat * 1.5, converted_stat)))))</f>
        <v/>
      </c>
      <c r="F270" s="30" t="str">
        <f t="array" ref="F270">IF($A270="", "", LET(bbgm_stat, INDEX(Players!$A269:$P269, MATCH(F$2, Players!$A$1:$P$1, 0)), perc_75, VLOOKUP(F$2, Percentiles!$A$45:$I$59, 6, FALSE), perc_90, VLOOKUP(F$2, Percentiles!$A$45:$I$59, 7, FALSE), perc_95, VLOOKUP(F$2, Percentiles!$A$45:$I$59, 8, FALSE), perc_85, perc_75 + (perc_90 - perc_75) * (2/3), converted_stat, '2K_Ratings'!F270, IF(bbgm_stat &gt;= perc_95, converted_stat * 3, IF(bbgm_stat &gt;= perc_90, converted_stat * 2, IF(bbgm_stat &gt;= perc_85, converted_stat * 1.5, converted_stat)))))</f>
        <v/>
      </c>
      <c r="G270" s="30" t="str">
        <f t="array" ref="G270">IF($A270="", "", LET(bbgm_stat, INDEX(Players!$A269:$P269, MATCH(G$2, Players!$A$1:$P$1, 0)), perc_75, VLOOKUP(G$2, Percentiles!$A$45:$I$59, 6, FALSE), perc_90, VLOOKUP(G$2, Percentiles!$A$45:$I$59, 7, FALSE), perc_95, VLOOKUP(G$2, Percentiles!$A$45:$I$59, 8, FALSE), perc_85, perc_75 + (perc_90 - perc_75) * (2/3), converted_stat, '2K_Ratings'!G270, IF(bbgm_stat &gt;= perc_95, converted_stat * 3, IF(bbgm_stat &gt;= perc_90, converted_stat * 2, IF(bbgm_stat &gt;= perc_85, converted_stat * 1.5, converted_stat)))))</f>
        <v/>
      </c>
      <c r="H270" s="30" t="str">
        <f t="array" ref="H270">IF($A270="", "", LET(bbgm_stat, INDEX(Players!$A269:$P269, MATCH(H$2, Players!$A$1:$P$1, 0)), perc_75, VLOOKUP(H$2, Percentiles!$A$45:$I$59, 6, FALSE), perc_90, VLOOKUP(H$2, Percentiles!$A$45:$I$59, 7, FALSE), perc_95, VLOOKUP(H$2, Percentiles!$A$45:$I$59, 8, FALSE), perc_85, perc_75 + (perc_90 - perc_75) * (2/3), converted_stat, '2K_Ratings'!H270, IF(bbgm_stat &gt;= perc_95, converted_stat * 3, IF(bbgm_stat &gt;= perc_90, converted_stat * 2, IF(bbgm_stat &gt;= perc_85, converted_stat * 1.5, converted_stat)))))</f>
        <v/>
      </c>
      <c r="I270" s="30" t="str">
        <f t="array" ref="I270">IF($A270="", "", LET(bbgm_stat, INDEX(Players!$A269:$P269, MATCH(I$2, Players!$A$1:$P$1, 0)), perc_75, VLOOKUP(I$2, Percentiles!$A$45:$I$59, 6, FALSE), perc_90, VLOOKUP(I$2, Percentiles!$A$45:$I$59, 7, FALSE), perc_95, VLOOKUP(I$2, Percentiles!$A$45:$I$59, 8, FALSE), perc_85, perc_75 + (perc_90 - perc_75) * (2/3), converted_stat, '2K_Ratings'!I270, IF(bbgm_stat &gt;= perc_95, converted_stat * 3, IF(bbgm_stat &gt;= perc_90, converted_stat * 2, IF(bbgm_stat &gt;= perc_85, converted_stat * 1.5, converted_stat)))))</f>
        <v/>
      </c>
      <c r="J270" s="30" t="str">
        <f t="array" ref="J270">IF($A270="", "", LET(bbgm_stat, INDEX(Players!$A269:$P269, MATCH(J$2, Players!$A$1:$P$1, 0)), perc_75, VLOOKUP(J$2, Percentiles!$A$45:$I$59, 6, FALSE), perc_90, VLOOKUP(J$2, Percentiles!$A$45:$I$59, 7, FALSE), perc_95, VLOOKUP(J$2, Percentiles!$A$45:$I$59, 8, FALSE), perc_85, perc_75 + (perc_90 - perc_75) * (2/3), converted_stat, '2K_Ratings'!J270, IF(bbgm_stat &gt;= perc_95, converted_stat * 3, IF(bbgm_stat &gt;= perc_90, converted_stat * 2, IF(bbgm_stat &gt;= perc_85, converted_stat * 1.5, converted_stat)))))</f>
        <v/>
      </c>
      <c r="K270" s="30" t="str">
        <f t="array" ref="K270">IF($A270="", "", LET(bbgm_stat, INDEX(Players!$A269:$P269, MATCH(K$2, Players!$A$1:$P$1, 0)), perc_75, VLOOKUP(K$2, Percentiles!$A$45:$I$59, 6, FALSE), perc_90, VLOOKUP(K$2, Percentiles!$A$45:$I$59, 7, FALSE), perc_95, VLOOKUP(K$2, Percentiles!$A$45:$I$59, 8, FALSE), perc_85, perc_75 + (perc_90 - perc_75) * (2/3), converted_stat, '2K_Ratings'!K270, IF(bbgm_stat &gt;= perc_95, converted_stat * 3, IF(bbgm_stat &gt;= perc_90, converted_stat * 2, IF(bbgm_stat &gt;= perc_85, converted_stat * 1.5, converted_stat)))))</f>
        <v/>
      </c>
      <c r="L270" s="30" t="str">
        <f t="array" ref="L270">IF($A270="", "", LET(bbgm_stat, INDEX(Players!$A269:$P269, MATCH(L$2, Players!$A$1:$P$1, 0)), perc_75, VLOOKUP(L$2, Percentiles!$A$45:$I$59, 6, FALSE), perc_90, VLOOKUP(L$2, Percentiles!$A$45:$I$59, 7, FALSE), perc_95, VLOOKUP(L$2, Percentiles!$A$45:$I$59, 8, FALSE), perc_85, perc_75 + (perc_90 - perc_75) * (2/3), converted_stat, '2K_Ratings'!L270, IF(bbgm_stat &gt;= perc_95, converted_stat * 3, IF(bbgm_stat &gt;= perc_90, converted_stat * 2, IF(bbgm_stat &gt;= perc_85, converted_stat * 1.5, converted_stat)))))</f>
        <v/>
      </c>
      <c r="M270" s="30" t="str">
        <f t="array" ref="M270">IF($A270="", "", LET(bbgm_stat, INDEX(Players!$A269:$P269, MATCH(M$2, Players!$A$1:$P$1, 0)), perc_75, VLOOKUP(M$2, Percentiles!$A$45:$I$59, 6, FALSE), perc_90, VLOOKUP(M$2, Percentiles!$A$45:$I$59, 7, FALSE), perc_95, VLOOKUP(M$2, Percentiles!$A$45:$I$59, 8, FALSE), perc_85, perc_75 + (perc_90 - perc_75) * (2/3), converted_stat, '2K_Ratings'!M270, IF(bbgm_stat &gt;= perc_95, converted_stat * 3, IF(bbgm_stat &gt;= perc_90, converted_stat * 2, IF(bbgm_stat &gt;= perc_85, converted_stat * 1.5, converted_stat)))))</f>
        <v/>
      </c>
      <c r="N270" s="30" t="str">
        <f t="array" ref="N270">IF($A270="", "", LET(bbgm_stat, INDEX(Players!$A269:$P269, MATCH(N$2, Players!$A$1:$P$1, 0)), perc_75, VLOOKUP(N$2, Percentiles!$A$45:$I$59, 6, FALSE), perc_90, VLOOKUP(N$2, Percentiles!$A$45:$I$59, 7, FALSE), perc_95, VLOOKUP(N$2, Percentiles!$A$45:$I$59, 8, FALSE), perc_85, perc_75 + (perc_90 - perc_75) * (2/3), converted_stat, '2K_Ratings'!N270, IF(bbgm_stat &gt;= perc_95, converted_stat * 3, IF(bbgm_stat &gt;= perc_90, converted_stat * 2, IF(bbgm_stat &gt;= perc_85, converted_stat * 1.5, converted_stat)))))</f>
        <v/>
      </c>
      <c r="O270" s="30" t="str">
        <f t="array" ref="O270">IF($A270="", "", LET(bbgm_stat, INDEX(Players!$A269:$P269, MATCH(O$2, Players!$A$1:$P$1, 0)), perc_75, VLOOKUP(O$2, Percentiles!$A$45:$I$59, 6, FALSE), perc_90, VLOOKUP(O$2, Percentiles!$A$45:$I$59, 7, FALSE), perc_95, VLOOKUP(O$2, Percentiles!$A$45:$I$59, 8, FALSE), perc_85, perc_75 + (perc_90 - perc_75) * (2/3), converted_stat, '2K_Ratings'!O270, IF(bbgm_stat &gt;= perc_95, converted_stat * 3, IF(bbgm_stat &gt;= perc_90, converted_stat * 2, IF(bbgm_stat &gt;= perc_85, converted_stat * 1.5, converted_stat)))))</f>
        <v/>
      </c>
      <c r="P270" s="30" t="str">
        <f t="array" ref="P270">IF($A270="", "", LET(bbgm_stat, INDEX(Players!$A269:$P269, MATCH(P$2, Players!$A$1:$P$1, 0)), perc_75, VLOOKUP(P$2, Percentiles!$A$45:$I$59, 6, FALSE), perc_90, VLOOKUP(P$2, Percentiles!$A$45:$I$59, 7, FALSE), perc_95, VLOOKUP(P$2, Percentiles!$A$45:$I$59, 8, FALSE), perc_85, perc_75 + (perc_90 - perc_75) * (2/3), converted_stat, '2K_Ratings'!P270, IF(bbgm_stat &gt;= perc_95, converted_stat * 3, IF(bbgm_stat &gt;= perc_90, converted_stat * 2, IF(bbgm_stat &gt;= perc_85, converted_stat * 1.5, converted_stat)))))</f>
        <v/>
      </c>
      <c r="Q270" s="30" t="str">
        <f t="array" ref="Q270">IF($A270="", "", LET(bbgm_stat, INDEX(Players!$A269:$P269, MATCH(Q$2, Players!$A$1:$P$1, 0)), perc_75, VLOOKUP(Q$2, Percentiles!$A$45:$I$59, 6, FALSE), perc_90, VLOOKUP(Q$2, Percentiles!$A$45:$I$59, 7, FALSE), perc_95, VLOOKUP(Q$2, Percentiles!$A$45:$I$59, 8, FALSE), perc_85, perc_75 + (perc_90 - perc_75) * (2/3), converted_stat, '2K_Ratings'!Q270, IF(bbgm_stat &gt;= perc_95, converted_stat * 3, IF(bbgm_stat &gt;= perc_90, converted_stat * 2, IF(bbgm_stat &gt;= perc_85, converted_stat * 1.5, converted_stat)))))</f>
        <v/>
      </c>
      <c r="R270" s="30" t="str">
        <f t="array" ref="R270">IF($A270="", "", LET(bbgm_stat, INDEX(Players!$A269:$P269, MATCH(R$2, Players!$A$1:$P$1, 0)), perc_75, VLOOKUP(R$2, Percentiles!$A$45:$I$59, 6, FALSE), perc_90, VLOOKUP(R$2, Percentiles!$A$45:$I$59, 7, FALSE), perc_95, VLOOKUP(R$2, Percentiles!$A$45:$I$59, 8, FALSE), perc_85, perc_75 + (perc_90 - perc_75) * (2/3), converted_stat, '2K_Ratings'!R270, IF(bbgm_stat &gt;= perc_95, converted_stat * 3, IF(bbgm_stat &gt;= perc_90, converted_stat * 2, IF(bbgm_stat &gt;= perc_85, converted_stat * 1.5, converted_stat)))))</f>
        <v/>
      </c>
      <c r="S270" s="30" t="str">
        <f t="array" ref="S270">IF($A270="", "", LET(bbgm_stat, INDEX(Players!$A269:$P269, MATCH(S$2, Players!$A$1:$P$1, 0)), perc_75, VLOOKUP(S$2, Percentiles!$A$45:$I$59, 6, FALSE), perc_90, VLOOKUP(S$2, Percentiles!$A$45:$I$59, 7, FALSE), perc_95, VLOOKUP(S$2, Percentiles!$A$45:$I$59, 8, FALSE), perc_85, perc_75 + (perc_90 - perc_75) * (2/3), converted_stat, '2K_Ratings'!S270, IF(bbgm_stat &gt;= perc_95, converted_stat * 3, IF(bbgm_stat &gt;= perc_90, converted_stat * 2, IF(bbgm_stat &gt;= perc_85, converted_stat * 1.5, converted_stat)))))</f>
        <v/>
      </c>
      <c r="T270" s="30" t="str">
        <f t="array" ref="T270">IF($A270="", "", LET(bbgm_stat, INDEX(Players!$A269:$P269, MATCH(T$2, Players!$A$1:$P$1, 0)), perc_75, VLOOKUP(T$2, Percentiles!$A$45:$I$59, 6, FALSE), perc_90, VLOOKUP(T$2, Percentiles!$A$45:$I$59, 7, FALSE), perc_95, VLOOKUP(T$2, Percentiles!$A$45:$I$59, 8, FALSE), perc_85, perc_75 + (perc_90 - perc_75) * (2/3), converted_stat, '2K_Ratings'!T270, IF(bbgm_stat &gt;= perc_95, converted_stat * 3, IF(bbgm_stat &gt;= perc_90, converted_stat * 2, IF(bbgm_stat &gt;= perc_85, converted_stat * 1.5, converted_stat)))))</f>
        <v/>
      </c>
      <c r="U270" s="30" t="str">
        <f t="array" ref="U270">IF($A270="", "", LET(bbgm_stat, INDEX(Players!$A269:$P269, MATCH(U$2, Players!$A$1:$P$1, 0)), perc_75, VLOOKUP(U$2, Percentiles!$A$45:$I$59, 6, FALSE), perc_90, VLOOKUP(U$2, Percentiles!$A$45:$I$59, 7, FALSE), perc_95, VLOOKUP(U$2, Percentiles!$A$45:$I$59, 8, FALSE), perc_85, perc_75 + (perc_90 - perc_75) * (2/3), converted_stat, '2K_Ratings'!U270, IF(bbgm_stat &gt;= perc_95, converted_stat * 3, IF(bbgm_stat &gt;= perc_90, converted_stat * 2, IF(bbgm_stat &gt;= perc_85, converted_stat * 1.5, converted_stat)))))</f>
        <v/>
      </c>
      <c r="V270" s="30" t="str">
        <f t="array" ref="V270">IF($A270="", "", LET(bbgm_stat, INDEX(Players!$A269:$P269, MATCH(V$2, Players!$A$1:$P$1, 0)), perc_75, VLOOKUP(V$2, Percentiles!$A$45:$I$59, 6, FALSE), perc_90, VLOOKUP(V$2, Percentiles!$A$45:$I$59, 7, FALSE), perc_95, VLOOKUP(V$2, Percentiles!$A$45:$I$59, 8, FALSE), perc_85, perc_75 + (perc_90 - perc_75) * (2/3), converted_stat, '2K_Ratings'!V270, IF(bbgm_stat &gt;= perc_95, converted_stat * 3, IF(bbgm_stat &gt;= perc_90, converted_stat * 2, IF(bbgm_stat &gt;= perc_85, converted_stat * 1.5, converted_stat)))))</f>
        <v/>
      </c>
      <c r="W270" s="30" t="str">
        <f t="array" ref="W270">IF($A270="", "", LET(bbgm_stat, INDEX(Players!$A269:$P269, MATCH(W$2, Players!$A$1:$P$1, 0)), perc_75, VLOOKUP(W$2, Percentiles!$A$45:$I$59, 6, FALSE), perc_90, VLOOKUP(W$2, Percentiles!$A$45:$I$59, 7, FALSE), perc_95, VLOOKUP(W$2, Percentiles!$A$45:$I$59, 8, FALSE), perc_85, perc_75 + (perc_90 - perc_75) * (2/3), converted_stat, '2K_Ratings'!W270, IF(bbgm_stat &gt;= perc_95, converted_stat * 3, IF(bbgm_stat &gt;= perc_90, converted_stat * 2, IF(bbgm_stat &gt;= perc_85, converted_stat * 1.5, converted_stat)))))</f>
        <v/>
      </c>
    </row>
    <row r="271">
      <c r="A271" s="30"/>
      <c r="B271" s="30" t="str">
        <f t="array" ref="B271">IF($A271="", "", LET(bbgm_stat, INDEX(Players!$A270:$P270, MATCH(B$2, Players!$A$1:$P$1, 0)), perc_75, VLOOKUP(B$2, Percentiles!$A$45:$I$59, 6, FALSE), perc_90, VLOOKUP(B$2, Percentiles!$A$45:$I$59, 7, FALSE), perc_95, VLOOKUP(B$2, Percentiles!$A$45:$I$59, 8, FALSE), perc_85, perc_75 + (perc_90 - perc_75) * (2/3), converted_stat, '2K_Ratings'!B271, IF(bbgm_stat &gt;= perc_95, converted_stat * 3, IF(bbgm_stat &gt;= perc_90, converted_stat * 2, IF(bbgm_stat &gt;= perc_85, converted_stat * 1.5, converted_stat)))))</f>
        <v/>
      </c>
      <c r="C271" s="30" t="str">
        <f t="array" ref="C271">IF($A271="", "", LET(bbgm_stat, INDEX(Players!$A270:$P270, MATCH(C$2, Players!$A$1:$P$1, 0)), perc_75, VLOOKUP(C$2, Percentiles!$A$45:$I$59, 6, FALSE), perc_90, VLOOKUP(C$2, Percentiles!$A$45:$I$59, 7, FALSE), perc_95, VLOOKUP(C$2, Percentiles!$A$45:$I$59, 8, FALSE), perc_85, perc_75 + (perc_90 - perc_75) * (2/3), converted_stat, '2K_Ratings'!C271, IF(bbgm_stat &gt;= perc_95, converted_stat * 3, IF(bbgm_stat &gt;= perc_90, converted_stat * 2, IF(bbgm_stat &gt;= perc_85, converted_stat * 1.5, converted_stat)))))</f>
        <v/>
      </c>
      <c r="D271" s="30" t="str">
        <f t="array" ref="D271">IF($A271="", "", LET(bbgm_stat, INDEX(Players!$A270:$P270, MATCH(D$2, Players!$A$1:$P$1, 0)), perc_75, VLOOKUP(D$2, Percentiles!$A$45:$I$59, 6, FALSE), perc_90, VLOOKUP(D$2, Percentiles!$A$45:$I$59, 7, FALSE), perc_95, VLOOKUP(D$2, Percentiles!$A$45:$I$59, 8, FALSE), perc_85, perc_75 + (perc_90 - perc_75) * (2/3), converted_stat, '2K_Ratings'!D271, IF(bbgm_stat &gt;= perc_95, converted_stat * 3, IF(bbgm_stat &gt;= perc_90, converted_stat * 2, IF(bbgm_stat &gt;= perc_85, converted_stat * 1.5, converted_stat)))))</f>
        <v/>
      </c>
      <c r="E271" s="30" t="str">
        <f t="array" ref="E271">IF($A271="", "", LET(bbgm_stat, INDEX(Players!$A270:$P270, MATCH(E$2, Players!$A$1:$P$1, 0)), perc_75, VLOOKUP(E$2, Percentiles!$A$45:$I$59, 6, FALSE), perc_90, VLOOKUP(E$2, Percentiles!$A$45:$I$59, 7, FALSE), perc_95, VLOOKUP(E$2, Percentiles!$A$45:$I$59, 8, FALSE), perc_85, perc_75 + (perc_90 - perc_75) * (2/3), converted_stat, '2K_Ratings'!E271, IF(bbgm_stat &gt;= perc_95, converted_stat * 3, IF(bbgm_stat &gt;= perc_90, converted_stat * 2, IF(bbgm_stat &gt;= perc_85, converted_stat * 1.5, converted_stat)))))</f>
        <v/>
      </c>
      <c r="F271" s="30" t="str">
        <f t="array" ref="F271">IF($A271="", "", LET(bbgm_stat, INDEX(Players!$A270:$P270, MATCH(F$2, Players!$A$1:$P$1, 0)), perc_75, VLOOKUP(F$2, Percentiles!$A$45:$I$59, 6, FALSE), perc_90, VLOOKUP(F$2, Percentiles!$A$45:$I$59, 7, FALSE), perc_95, VLOOKUP(F$2, Percentiles!$A$45:$I$59, 8, FALSE), perc_85, perc_75 + (perc_90 - perc_75) * (2/3), converted_stat, '2K_Ratings'!F271, IF(bbgm_stat &gt;= perc_95, converted_stat * 3, IF(bbgm_stat &gt;= perc_90, converted_stat * 2, IF(bbgm_stat &gt;= perc_85, converted_stat * 1.5, converted_stat)))))</f>
        <v/>
      </c>
      <c r="G271" s="30" t="str">
        <f t="array" ref="G271">IF($A271="", "", LET(bbgm_stat, INDEX(Players!$A270:$P270, MATCH(G$2, Players!$A$1:$P$1, 0)), perc_75, VLOOKUP(G$2, Percentiles!$A$45:$I$59, 6, FALSE), perc_90, VLOOKUP(G$2, Percentiles!$A$45:$I$59, 7, FALSE), perc_95, VLOOKUP(G$2, Percentiles!$A$45:$I$59, 8, FALSE), perc_85, perc_75 + (perc_90 - perc_75) * (2/3), converted_stat, '2K_Ratings'!G271, IF(bbgm_stat &gt;= perc_95, converted_stat * 3, IF(bbgm_stat &gt;= perc_90, converted_stat * 2, IF(bbgm_stat &gt;= perc_85, converted_stat * 1.5, converted_stat)))))</f>
        <v/>
      </c>
      <c r="H271" s="30" t="str">
        <f t="array" ref="H271">IF($A271="", "", LET(bbgm_stat, INDEX(Players!$A270:$P270, MATCH(H$2, Players!$A$1:$P$1, 0)), perc_75, VLOOKUP(H$2, Percentiles!$A$45:$I$59, 6, FALSE), perc_90, VLOOKUP(H$2, Percentiles!$A$45:$I$59, 7, FALSE), perc_95, VLOOKUP(H$2, Percentiles!$A$45:$I$59, 8, FALSE), perc_85, perc_75 + (perc_90 - perc_75) * (2/3), converted_stat, '2K_Ratings'!H271, IF(bbgm_stat &gt;= perc_95, converted_stat * 3, IF(bbgm_stat &gt;= perc_90, converted_stat * 2, IF(bbgm_stat &gt;= perc_85, converted_stat * 1.5, converted_stat)))))</f>
        <v/>
      </c>
      <c r="I271" s="30" t="str">
        <f t="array" ref="I271">IF($A271="", "", LET(bbgm_stat, INDEX(Players!$A270:$P270, MATCH(I$2, Players!$A$1:$P$1, 0)), perc_75, VLOOKUP(I$2, Percentiles!$A$45:$I$59, 6, FALSE), perc_90, VLOOKUP(I$2, Percentiles!$A$45:$I$59, 7, FALSE), perc_95, VLOOKUP(I$2, Percentiles!$A$45:$I$59, 8, FALSE), perc_85, perc_75 + (perc_90 - perc_75) * (2/3), converted_stat, '2K_Ratings'!I271, IF(bbgm_stat &gt;= perc_95, converted_stat * 3, IF(bbgm_stat &gt;= perc_90, converted_stat * 2, IF(bbgm_stat &gt;= perc_85, converted_stat * 1.5, converted_stat)))))</f>
        <v/>
      </c>
      <c r="J271" s="30" t="str">
        <f t="array" ref="J271">IF($A271="", "", LET(bbgm_stat, INDEX(Players!$A270:$P270, MATCH(J$2, Players!$A$1:$P$1, 0)), perc_75, VLOOKUP(J$2, Percentiles!$A$45:$I$59, 6, FALSE), perc_90, VLOOKUP(J$2, Percentiles!$A$45:$I$59, 7, FALSE), perc_95, VLOOKUP(J$2, Percentiles!$A$45:$I$59, 8, FALSE), perc_85, perc_75 + (perc_90 - perc_75) * (2/3), converted_stat, '2K_Ratings'!J271, IF(bbgm_stat &gt;= perc_95, converted_stat * 3, IF(bbgm_stat &gt;= perc_90, converted_stat * 2, IF(bbgm_stat &gt;= perc_85, converted_stat * 1.5, converted_stat)))))</f>
        <v/>
      </c>
      <c r="K271" s="30" t="str">
        <f t="array" ref="K271">IF($A271="", "", LET(bbgm_stat, INDEX(Players!$A270:$P270, MATCH(K$2, Players!$A$1:$P$1, 0)), perc_75, VLOOKUP(K$2, Percentiles!$A$45:$I$59, 6, FALSE), perc_90, VLOOKUP(K$2, Percentiles!$A$45:$I$59, 7, FALSE), perc_95, VLOOKUP(K$2, Percentiles!$A$45:$I$59, 8, FALSE), perc_85, perc_75 + (perc_90 - perc_75) * (2/3), converted_stat, '2K_Ratings'!K271, IF(bbgm_stat &gt;= perc_95, converted_stat * 3, IF(bbgm_stat &gt;= perc_90, converted_stat * 2, IF(bbgm_stat &gt;= perc_85, converted_stat * 1.5, converted_stat)))))</f>
        <v/>
      </c>
      <c r="L271" s="30" t="str">
        <f t="array" ref="L271">IF($A271="", "", LET(bbgm_stat, INDEX(Players!$A270:$P270, MATCH(L$2, Players!$A$1:$P$1, 0)), perc_75, VLOOKUP(L$2, Percentiles!$A$45:$I$59, 6, FALSE), perc_90, VLOOKUP(L$2, Percentiles!$A$45:$I$59, 7, FALSE), perc_95, VLOOKUP(L$2, Percentiles!$A$45:$I$59, 8, FALSE), perc_85, perc_75 + (perc_90 - perc_75) * (2/3), converted_stat, '2K_Ratings'!L271, IF(bbgm_stat &gt;= perc_95, converted_stat * 3, IF(bbgm_stat &gt;= perc_90, converted_stat * 2, IF(bbgm_stat &gt;= perc_85, converted_stat * 1.5, converted_stat)))))</f>
        <v/>
      </c>
      <c r="M271" s="30" t="str">
        <f t="array" ref="M271">IF($A271="", "", LET(bbgm_stat, INDEX(Players!$A270:$P270, MATCH(M$2, Players!$A$1:$P$1, 0)), perc_75, VLOOKUP(M$2, Percentiles!$A$45:$I$59, 6, FALSE), perc_90, VLOOKUP(M$2, Percentiles!$A$45:$I$59, 7, FALSE), perc_95, VLOOKUP(M$2, Percentiles!$A$45:$I$59, 8, FALSE), perc_85, perc_75 + (perc_90 - perc_75) * (2/3), converted_stat, '2K_Ratings'!M271, IF(bbgm_stat &gt;= perc_95, converted_stat * 3, IF(bbgm_stat &gt;= perc_90, converted_stat * 2, IF(bbgm_stat &gt;= perc_85, converted_stat * 1.5, converted_stat)))))</f>
        <v/>
      </c>
      <c r="N271" s="30" t="str">
        <f t="array" ref="N271">IF($A271="", "", LET(bbgm_stat, INDEX(Players!$A270:$P270, MATCH(N$2, Players!$A$1:$P$1, 0)), perc_75, VLOOKUP(N$2, Percentiles!$A$45:$I$59, 6, FALSE), perc_90, VLOOKUP(N$2, Percentiles!$A$45:$I$59, 7, FALSE), perc_95, VLOOKUP(N$2, Percentiles!$A$45:$I$59, 8, FALSE), perc_85, perc_75 + (perc_90 - perc_75) * (2/3), converted_stat, '2K_Ratings'!N271, IF(bbgm_stat &gt;= perc_95, converted_stat * 3, IF(bbgm_stat &gt;= perc_90, converted_stat * 2, IF(bbgm_stat &gt;= perc_85, converted_stat * 1.5, converted_stat)))))</f>
        <v/>
      </c>
      <c r="O271" s="30" t="str">
        <f t="array" ref="O271">IF($A271="", "", LET(bbgm_stat, INDEX(Players!$A270:$P270, MATCH(O$2, Players!$A$1:$P$1, 0)), perc_75, VLOOKUP(O$2, Percentiles!$A$45:$I$59, 6, FALSE), perc_90, VLOOKUP(O$2, Percentiles!$A$45:$I$59, 7, FALSE), perc_95, VLOOKUP(O$2, Percentiles!$A$45:$I$59, 8, FALSE), perc_85, perc_75 + (perc_90 - perc_75) * (2/3), converted_stat, '2K_Ratings'!O271, IF(bbgm_stat &gt;= perc_95, converted_stat * 3, IF(bbgm_stat &gt;= perc_90, converted_stat * 2, IF(bbgm_stat &gt;= perc_85, converted_stat * 1.5, converted_stat)))))</f>
        <v/>
      </c>
      <c r="P271" s="30" t="str">
        <f t="array" ref="P271">IF($A271="", "", LET(bbgm_stat, INDEX(Players!$A270:$P270, MATCH(P$2, Players!$A$1:$P$1, 0)), perc_75, VLOOKUP(P$2, Percentiles!$A$45:$I$59, 6, FALSE), perc_90, VLOOKUP(P$2, Percentiles!$A$45:$I$59, 7, FALSE), perc_95, VLOOKUP(P$2, Percentiles!$A$45:$I$59, 8, FALSE), perc_85, perc_75 + (perc_90 - perc_75) * (2/3), converted_stat, '2K_Ratings'!P271, IF(bbgm_stat &gt;= perc_95, converted_stat * 3, IF(bbgm_stat &gt;= perc_90, converted_stat * 2, IF(bbgm_stat &gt;= perc_85, converted_stat * 1.5, converted_stat)))))</f>
        <v/>
      </c>
      <c r="Q271" s="30" t="str">
        <f t="array" ref="Q271">IF($A271="", "", LET(bbgm_stat, INDEX(Players!$A270:$P270, MATCH(Q$2, Players!$A$1:$P$1, 0)), perc_75, VLOOKUP(Q$2, Percentiles!$A$45:$I$59, 6, FALSE), perc_90, VLOOKUP(Q$2, Percentiles!$A$45:$I$59, 7, FALSE), perc_95, VLOOKUP(Q$2, Percentiles!$A$45:$I$59, 8, FALSE), perc_85, perc_75 + (perc_90 - perc_75) * (2/3), converted_stat, '2K_Ratings'!Q271, IF(bbgm_stat &gt;= perc_95, converted_stat * 3, IF(bbgm_stat &gt;= perc_90, converted_stat * 2, IF(bbgm_stat &gt;= perc_85, converted_stat * 1.5, converted_stat)))))</f>
        <v/>
      </c>
      <c r="R271" s="30" t="str">
        <f t="array" ref="R271">IF($A271="", "", LET(bbgm_stat, INDEX(Players!$A270:$P270, MATCH(R$2, Players!$A$1:$P$1, 0)), perc_75, VLOOKUP(R$2, Percentiles!$A$45:$I$59, 6, FALSE), perc_90, VLOOKUP(R$2, Percentiles!$A$45:$I$59, 7, FALSE), perc_95, VLOOKUP(R$2, Percentiles!$A$45:$I$59, 8, FALSE), perc_85, perc_75 + (perc_90 - perc_75) * (2/3), converted_stat, '2K_Ratings'!R271, IF(bbgm_stat &gt;= perc_95, converted_stat * 3, IF(bbgm_stat &gt;= perc_90, converted_stat * 2, IF(bbgm_stat &gt;= perc_85, converted_stat * 1.5, converted_stat)))))</f>
        <v/>
      </c>
      <c r="S271" s="30" t="str">
        <f t="array" ref="S271">IF($A271="", "", LET(bbgm_stat, INDEX(Players!$A270:$P270, MATCH(S$2, Players!$A$1:$P$1, 0)), perc_75, VLOOKUP(S$2, Percentiles!$A$45:$I$59, 6, FALSE), perc_90, VLOOKUP(S$2, Percentiles!$A$45:$I$59, 7, FALSE), perc_95, VLOOKUP(S$2, Percentiles!$A$45:$I$59, 8, FALSE), perc_85, perc_75 + (perc_90 - perc_75) * (2/3), converted_stat, '2K_Ratings'!S271, IF(bbgm_stat &gt;= perc_95, converted_stat * 3, IF(bbgm_stat &gt;= perc_90, converted_stat * 2, IF(bbgm_stat &gt;= perc_85, converted_stat * 1.5, converted_stat)))))</f>
        <v/>
      </c>
      <c r="T271" s="30" t="str">
        <f t="array" ref="T271">IF($A271="", "", LET(bbgm_stat, INDEX(Players!$A270:$P270, MATCH(T$2, Players!$A$1:$P$1, 0)), perc_75, VLOOKUP(T$2, Percentiles!$A$45:$I$59, 6, FALSE), perc_90, VLOOKUP(T$2, Percentiles!$A$45:$I$59, 7, FALSE), perc_95, VLOOKUP(T$2, Percentiles!$A$45:$I$59, 8, FALSE), perc_85, perc_75 + (perc_90 - perc_75) * (2/3), converted_stat, '2K_Ratings'!T271, IF(bbgm_stat &gt;= perc_95, converted_stat * 3, IF(bbgm_stat &gt;= perc_90, converted_stat * 2, IF(bbgm_stat &gt;= perc_85, converted_stat * 1.5, converted_stat)))))</f>
        <v/>
      </c>
      <c r="U271" s="30" t="str">
        <f t="array" ref="U271">IF($A271="", "", LET(bbgm_stat, INDEX(Players!$A270:$P270, MATCH(U$2, Players!$A$1:$P$1, 0)), perc_75, VLOOKUP(U$2, Percentiles!$A$45:$I$59, 6, FALSE), perc_90, VLOOKUP(U$2, Percentiles!$A$45:$I$59, 7, FALSE), perc_95, VLOOKUP(U$2, Percentiles!$A$45:$I$59, 8, FALSE), perc_85, perc_75 + (perc_90 - perc_75) * (2/3), converted_stat, '2K_Ratings'!U271, IF(bbgm_stat &gt;= perc_95, converted_stat * 3, IF(bbgm_stat &gt;= perc_90, converted_stat * 2, IF(bbgm_stat &gt;= perc_85, converted_stat * 1.5, converted_stat)))))</f>
        <v/>
      </c>
      <c r="V271" s="30" t="str">
        <f t="array" ref="V271">IF($A271="", "", LET(bbgm_stat, INDEX(Players!$A270:$P270, MATCH(V$2, Players!$A$1:$P$1, 0)), perc_75, VLOOKUP(V$2, Percentiles!$A$45:$I$59, 6, FALSE), perc_90, VLOOKUP(V$2, Percentiles!$A$45:$I$59, 7, FALSE), perc_95, VLOOKUP(V$2, Percentiles!$A$45:$I$59, 8, FALSE), perc_85, perc_75 + (perc_90 - perc_75) * (2/3), converted_stat, '2K_Ratings'!V271, IF(bbgm_stat &gt;= perc_95, converted_stat * 3, IF(bbgm_stat &gt;= perc_90, converted_stat * 2, IF(bbgm_stat &gt;= perc_85, converted_stat * 1.5, converted_stat)))))</f>
        <v/>
      </c>
      <c r="W271" s="30" t="str">
        <f t="array" ref="W271">IF($A271="", "", LET(bbgm_stat, INDEX(Players!$A270:$P270, MATCH(W$2, Players!$A$1:$P$1, 0)), perc_75, VLOOKUP(W$2, Percentiles!$A$45:$I$59, 6, FALSE), perc_90, VLOOKUP(W$2, Percentiles!$A$45:$I$59, 7, FALSE), perc_95, VLOOKUP(W$2, Percentiles!$A$45:$I$59, 8, FALSE), perc_85, perc_75 + (perc_90 - perc_75) * (2/3), converted_stat, '2K_Ratings'!W271, IF(bbgm_stat &gt;= perc_95, converted_stat * 3, IF(bbgm_stat &gt;= perc_90, converted_stat * 2, IF(bbgm_stat &gt;= perc_85, converted_stat * 1.5, converted_stat)))))</f>
        <v/>
      </c>
    </row>
    <row r="272">
      <c r="A272" s="30"/>
      <c r="B272" s="30" t="str">
        <f t="array" ref="B272">IF($A272="", "", LET(bbgm_stat, INDEX(Players!$A271:$P271, MATCH(B$2, Players!$A$1:$P$1, 0)), perc_75, VLOOKUP(B$2, Percentiles!$A$45:$I$59, 6, FALSE), perc_90, VLOOKUP(B$2, Percentiles!$A$45:$I$59, 7, FALSE), perc_95, VLOOKUP(B$2, Percentiles!$A$45:$I$59, 8, FALSE), perc_85, perc_75 + (perc_90 - perc_75) * (2/3), converted_stat, '2K_Ratings'!B272, IF(bbgm_stat &gt;= perc_95, converted_stat * 3, IF(bbgm_stat &gt;= perc_90, converted_stat * 2, IF(bbgm_stat &gt;= perc_85, converted_stat * 1.5, converted_stat)))))</f>
        <v/>
      </c>
      <c r="C272" s="30" t="str">
        <f t="array" ref="C272">IF($A272="", "", LET(bbgm_stat, INDEX(Players!$A271:$P271, MATCH(C$2, Players!$A$1:$P$1, 0)), perc_75, VLOOKUP(C$2, Percentiles!$A$45:$I$59, 6, FALSE), perc_90, VLOOKUP(C$2, Percentiles!$A$45:$I$59, 7, FALSE), perc_95, VLOOKUP(C$2, Percentiles!$A$45:$I$59, 8, FALSE), perc_85, perc_75 + (perc_90 - perc_75) * (2/3), converted_stat, '2K_Ratings'!C272, IF(bbgm_stat &gt;= perc_95, converted_stat * 3, IF(bbgm_stat &gt;= perc_90, converted_stat * 2, IF(bbgm_stat &gt;= perc_85, converted_stat * 1.5, converted_stat)))))</f>
        <v/>
      </c>
      <c r="D272" s="30" t="str">
        <f t="array" ref="D272">IF($A272="", "", LET(bbgm_stat, INDEX(Players!$A271:$P271, MATCH(D$2, Players!$A$1:$P$1, 0)), perc_75, VLOOKUP(D$2, Percentiles!$A$45:$I$59, 6, FALSE), perc_90, VLOOKUP(D$2, Percentiles!$A$45:$I$59, 7, FALSE), perc_95, VLOOKUP(D$2, Percentiles!$A$45:$I$59, 8, FALSE), perc_85, perc_75 + (perc_90 - perc_75) * (2/3), converted_stat, '2K_Ratings'!D272, IF(bbgm_stat &gt;= perc_95, converted_stat * 3, IF(bbgm_stat &gt;= perc_90, converted_stat * 2, IF(bbgm_stat &gt;= perc_85, converted_stat * 1.5, converted_stat)))))</f>
        <v/>
      </c>
      <c r="E272" s="30" t="str">
        <f t="array" ref="E272">IF($A272="", "", LET(bbgm_stat, INDEX(Players!$A271:$P271, MATCH(E$2, Players!$A$1:$P$1, 0)), perc_75, VLOOKUP(E$2, Percentiles!$A$45:$I$59, 6, FALSE), perc_90, VLOOKUP(E$2, Percentiles!$A$45:$I$59, 7, FALSE), perc_95, VLOOKUP(E$2, Percentiles!$A$45:$I$59, 8, FALSE), perc_85, perc_75 + (perc_90 - perc_75) * (2/3), converted_stat, '2K_Ratings'!E272, IF(bbgm_stat &gt;= perc_95, converted_stat * 3, IF(bbgm_stat &gt;= perc_90, converted_stat * 2, IF(bbgm_stat &gt;= perc_85, converted_stat * 1.5, converted_stat)))))</f>
        <v/>
      </c>
      <c r="F272" s="30" t="str">
        <f t="array" ref="F272">IF($A272="", "", LET(bbgm_stat, INDEX(Players!$A271:$P271, MATCH(F$2, Players!$A$1:$P$1, 0)), perc_75, VLOOKUP(F$2, Percentiles!$A$45:$I$59, 6, FALSE), perc_90, VLOOKUP(F$2, Percentiles!$A$45:$I$59, 7, FALSE), perc_95, VLOOKUP(F$2, Percentiles!$A$45:$I$59, 8, FALSE), perc_85, perc_75 + (perc_90 - perc_75) * (2/3), converted_stat, '2K_Ratings'!F272, IF(bbgm_stat &gt;= perc_95, converted_stat * 3, IF(bbgm_stat &gt;= perc_90, converted_stat * 2, IF(bbgm_stat &gt;= perc_85, converted_stat * 1.5, converted_stat)))))</f>
        <v/>
      </c>
      <c r="G272" s="30" t="str">
        <f t="array" ref="G272">IF($A272="", "", LET(bbgm_stat, INDEX(Players!$A271:$P271, MATCH(G$2, Players!$A$1:$P$1, 0)), perc_75, VLOOKUP(G$2, Percentiles!$A$45:$I$59, 6, FALSE), perc_90, VLOOKUP(G$2, Percentiles!$A$45:$I$59, 7, FALSE), perc_95, VLOOKUP(G$2, Percentiles!$A$45:$I$59, 8, FALSE), perc_85, perc_75 + (perc_90 - perc_75) * (2/3), converted_stat, '2K_Ratings'!G272, IF(bbgm_stat &gt;= perc_95, converted_stat * 3, IF(bbgm_stat &gt;= perc_90, converted_stat * 2, IF(bbgm_stat &gt;= perc_85, converted_stat * 1.5, converted_stat)))))</f>
        <v/>
      </c>
      <c r="H272" s="30" t="str">
        <f t="array" ref="H272">IF($A272="", "", LET(bbgm_stat, INDEX(Players!$A271:$P271, MATCH(H$2, Players!$A$1:$P$1, 0)), perc_75, VLOOKUP(H$2, Percentiles!$A$45:$I$59, 6, FALSE), perc_90, VLOOKUP(H$2, Percentiles!$A$45:$I$59, 7, FALSE), perc_95, VLOOKUP(H$2, Percentiles!$A$45:$I$59, 8, FALSE), perc_85, perc_75 + (perc_90 - perc_75) * (2/3), converted_stat, '2K_Ratings'!H272, IF(bbgm_stat &gt;= perc_95, converted_stat * 3, IF(bbgm_stat &gt;= perc_90, converted_stat * 2, IF(bbgm_stat &gt;= perc_85, converted_stat * 1.5, converted_stat)))))</f>
        <v/>
      </c>
      <c r="I272" s="30" t="str">
        <f t="array" ref="I272">IF($A272="", "", LET(bbgm_stat, INDEX(Players!$A271:$P271, MATCH(I$2, Players!$A$1:$P$1, 0)), perc_75, VLOOKUP(I$2, Percentiles!$A$45:$I$59, 6, FALSE), perc_90, VLOOKUP(I$2, Percentiles!$A$45:$I$59, 7, FALSE), perc_95, VLOOKUP(I$2, Percentiles!$A$45:$I$59, 8, FALSE), perc_85, perc_75 + (perc_90 - perc_75) * (2/3), converted_stat, '2K_Ratings'!I272, IF(bbgm_stat &gt;= perc_95, converted_stat * 3, IF(bbgm_stat &gt;= perc_90, converted_stat * 2, IF(bbgm_stat &gt;= perc_85, converted_stat * 1.5, converted_stat)))))</f>
        <v/>
      </c>
      <c r="J272" s="30" t="str">
        <f t="array" ref="J272">IF($A272="", "", LET(bbgm_stat, INDEX(Players!$A271:$P271, MATCH(J$2, Players!$A$1:$P$1, 0)), perc_75, VLOOKUP(J$2, Percentiles!$A$45:$I$59, 6, FALSE), perc_90, VLOOKUP(J$2, Percentiles!$A$45:$I$59, 7, FALSE), perc_95, VLOOKUP(J$2, Percentiles!$A$45:$I$59, 8, FALSE), perc_85, perc_75 + (perc_90 - perc_75) * (2/3), converted_stat, '2K_Ratings'!J272, IF(bbgm_stat &gt;= perc_95, converted_stat * 3, IF(bbgm_stat &gt;= perc_90, converted_stat * 2, IF(bbgm_stat &gt;= perc_85, converted_stat * 1.5, converted_stat)))))</f>
        <v/>
      </c>
      <c r="K272" s="30" t="str">
        <f t="array" ref="K272">IF($A272="", "", LET(bbgm_stat, INDEX(Players!$A271:$P271, MATCH(K$2, Players!$A$1:$P$1, 0)), perc_75, VLOOKUP(K$2, Percentiles!$A$45:$I$59, 6, FALSE), perc_90, VLOOKUP(K$2, Percentiles!$A$45:$I$59, 7, FALSE), perc_95, VLOOKUP(K$2, Percentiles!$A$45:$I$59, 8, FALSE), perc_85, perc_75 + (perc_90 - perc_75) * (2/3), converted_stat, '2K_Ratings'!K272, IF(bbgm_stat &gt;= perc_95, converted_stat * 3, IF(bbgm_stat &gt;= perc_90, converted_stat * 2, IF(bbgm_stat &gt;= perc_85, converted_stat * 1.5, converted_stat)))))</f>
        <v/>
      </c>
      <c r="L272" s="30" t="str">
        <f t="array" ref="L272">IF($A272="", "", LET(bbgm_stat, INDEX(Players!$A271:$P271, MATCH(L$2, Players!$A$1:$P$1, 0)), perc_75, VLOOKUP(L$2, Percentiles!$A$45:$I$59, 6, FALSE), perc_90, VLOOKUP(L$2, Percentiles!$A$45:$I$59, 7, FALSE), perc_95, VLOOKUP(L$2, Percentiles!$A$45:$I$59, 8, FALSE), perc_85, perc_75 + (perc_90 - perc_75) * (2/3), converted_stat, '2K_Ratings'!L272, IF(bbgm_stat &gt;= perc_95, converted_stat * 3, IF(bbgm_stat &gt;= perc_90, converted_stat * 2, IF(bbgm_stat &gt;= perc_85, converted_stat * 1.5, converted_stat)))))</f>
        <v/>
      </c>
      <c r="M272" s="30" t="str">
        <f t="array" ref="M272">IF($A272="", "", LET(bbgm_stat, INDEX(Players!$A271:$P271, MATCH(M$2, Players!$A$1:$P$1, 0)), perc_75, VLOOKUP(M$2, Percentiles!$A$45:$I$59, 6, FALSE), perc_90, VLOOKUP(M$2, Percentiles!$A$45:$I$59, 7, FALSE), perc_95, VLOOKUP(M$2, Percentiles!$A$45:$I$59, 8, FALSE), perc_85, perc_75 + (perc_90 - perc_75) * (2/3), converted_stat, '2K_Ratings'!M272, IF(bbgm_stat &gt;= perc_95, converted_stat * 3, IF(bbgm_stat &gt;= perc_90, converted_stat * 2, IF(bbgm_stat &gt;= perc_85, converted_stat * 1.5, converted_stat)))))</f>
        <v/>
      </c>
      <c r="N272" s="30" t="str">
        <f t="array" ref="N272">IF($A272="", "", LET(bbgm_stat, INDEX(Players!$A271:$P271, MATCH(N$2, Players!$A$1:$P$1, 0)), perc_75, VLOOKUP(N$2, Percentiles!$A$45:$I$59, 6, FALSE), perc_90, VLOOKUP(N$2, Percentiles!$A$45:$I$59, 7, FALSE), perc_95, VLOOKUP(N$2, Percentiles!$A$45:$I$59, 8, FALSE), perc_85, perc_75 + (perc_90 - perc_75) * (2/3), converted_stat, '2K_Ratings'!N272, IF(bbgm_stat &gt;= perc_95, converted_stat * 3, IF(bbgm_stat &gt;= perc_90, converted_stat * 2, IF(bbgm_stat &gt;= perc_85, converted_stat * 1.5, converted_stat)))))</f>
        <v/>
      </c>
      <c r="O272" s="30" t="str">
        <f t="array" ref="O272">IF($A272="", "", LET(bbgm_stat, INDEX(Players!$A271:$P271, MATCH(O$2, Players!$A$1:$P$1, 0)), perc_75, VLOOKUP(O$2, Percentiles!$A$45:$I$59, 6, FALSE), perc_90, VLOOKUP(O$2, Percentiles!$A$45:$I$59, 7, FALSE), perc_95, VLOOKUP(O$2, Percentiles!$A$45:$I$59, 8, FALSE), perc_85, perc_75 + (perc_90 - perc_75) * (2/3), converted_stat, '2K_Ratings'!O272, IF(bbgm_stat &gt;= perc_95, converted_stat * 3, IF(bbgm_stat &gt;= perc_90, converted_stat * 2, IF(bbgm_stat &gt;= perc_85, converted_stat * 1.5, converted_stat)))))</f>
        <v/>
      </c>
      <c r="P272" s="30" t="str">
        <f t="array" ref="P272">IF($A272="", "", LET(bbgm_stat, INDEX(Players!$A271:$P271, MATCH(P$2, Players!$A$1:$P$1, 0)), perc_75, VLOOKUP(P$2, Percentiles!$A$45:$I$59, 6, FALSE), perc_90, VLOOKUP(P$2, Percentiles!$A$45:$I$59, 7, FALSE), perc_95, VLOOKUP(P$2, Percentiles!$A$45:$I$59, 8, FALSE), perc_85, perc_75 + (perc_90 - perc_75) * (2/3), converted_stat, '2K_Ratings'!P272, IF(bbgm_stat &gt;= perc_95, converted_stat * 3, IF(bbgm_stat &gt;= perc_90, converted_stat * 2, IF(bbgm_stat &gt;= perc_85, converted_stat * 1.5, converted_stat)))))</f>
        <v/>
      </c>
      <c r="Q272" s="30" t="str">
        <f t="array" ref="Q272">IF($A272="", "", LET(bbgm_stat, INDEX(Players!$A271:$P271, MATCH(Q$2, Players!$A$1:$P$1, 0)), perc_75, VLOOKUP(Q$2, Percentiles!$A$45:$I$59, 6, FALSE), perc_90, VLOOKUP(Q$2, Percentiles!$A$45:$I$59, 7, FALSE), perc_95, VLOOKUP(Q$2, Percentiles!$A$45:$I$59, 8, FALSE), perc_85, perc_75 + (perc_90 - perc_75) * (2/3), converted_stat, '2K_Ratings'!Q272, IF(bbgm_stat &gt;= perc_95, converted_stat * 3, IF(bbgm_stat &gt;= perc_90, converted_stat * 2, IF(bbgm_stat &gt;= perc_85, converted_stat * 1.5, converted_stat)))))</f>
        <v/>
      </c>
      <c r="R272" s="30" t="str">
        <f t="array" ref="R272">IF($A272="", "", LET(bbgm_stat, INDEX(Players!$A271:$P271, MATCH(R$2, Players!$A$1:$P$1, 0)), perc_75, VLOOKUP(R$2, Percentiles!$A$45:$I$59, 6, FALSE), perc_90, VLOOKUP(R$2, Percentiles!$A$45:$I$59, 7, FALSE), perc_95, VLOOKUP(R$2, Percentiles!$A$45:$I$59, 8, FALSE), perc_85, perc_75 + (perc_90 - perc_75) * (2/3), converted_stat, '2K_Ratings'!R272, IF(bbgm_stat &gt;= perc_95, converted_stat * 3, IF(bbgm_stat &gt;= perc_90, converted_stat * 2, IF(bbgm_stat &gt;= perc_85, converted_stat * 1.5, converted_stat)))))</f>
        <v/>
      </c>
      <c r="S272" s="30" t="str">
        <f t="array" ref="S272">IF($A272="", "", LET(bbgm_stat, INDEX(Players!$A271:$P271, MATCH(S$2, Players!$A$1:$P$1, 0)), perc_75, VLOOKUP(S$2, Percentiles!$A$45:$I$59, 6, FALSE), perc_90, VLOOKUP(S$2, Percentiles!$A$45:$I$59, 7, FALSE), perc_95, VLOOKUP(S$2, Percentiles!$A$45:$I$59, 8, FALSE), perc_85, perc_75 + (perc_90 - perc_75) * (2/3), converted_stat, '2K_Ratings'!S272, IF(bbgm_stat &gt;= perc_95, converted_stat * 3, IF(bbgm_stat &gt;= perc_90, converted_stat * 2, IF(bbgm_stat &gt;= perc_85, converted_stat * 1.5, converted_stat)))))</f>
        <v/>
      </c>
      <c r="T272" s="30" t="str">
        <f t="array" ref="T272">IF($A272="", "", LET(bbgm_stat, INDEX(Players!$A271:$P271, MATCH(T$2, Players!$A$1:$P$1, 0)), perc_75, VLOOKUP(T$2, Percentiles!$A$45:$I$59, 6, FALSE), perc_90, VLOOKUP(T$2, Percentiles!$A$45:$I$59, 7, FALSE), perc_95, VLOOKUP(T$2, Percentiles!$A$45:$I$59, 8, FALSE), perc_85, perc_75 + (perc_90 - perc_75) * (2/3), converted_stat, '2K_Ratings'!T272, IF(bbgm_stat &gt;= perc_95, converted_stat * 3, IF(bbgm_stat &gt;= perc_90, converted_stat * 2, IF(bbgm_stat &gt;= perc_85, converted_stat * 1.5, converted_stat)))))</f>
        <v/>
      </c>
      <c r="U272" s="30" t="str">
        <f t="array" ref="U272">IF($A272="", "", LET(bbgm_stat, INDEX(Players!$A271:$P271, MATCH(U$2, Players!$A$1:$P$1, 0)), perc_75, VLOOKUP(U$2, Percentiles!$A$45:$I$59, 6, FALSE), perc_90, VLOOKUP(U$2, Percentiles!$A$45:$I$59, 7, FALSE), perc_95, VLOOKUP(U$2, Percentiles!$A$45:$I$59, 8, FALSE), perc_85, perc_75 + (perc_90 - perc_75) * (2/3), converted_stat, '2K_Ratings'!U272, IF(bbgm_stat &gt;= perc_95, converted_stat * 3, IF(bbgm_stat &gt;= perc_90, converted_stat * 2, IF(bbgm_stat &gt;= perc_85, converted_stat * 1.5, converted_stat)))))</f>
        <v/>
      </c>
      <c r="V272" s="30" t="str">
        <f t="array" ref="V272">IF($A272="", "", LET(bbgm_stat, INDEX(Players!$A271:$P271, MATCH(V$2, Players!$A$1:$P$1, 0)), perc_75, VLOOKUP(V$2, Percentiles!$A$45:$I$59, 6, FALSE), perc_90, VLOOKUP(V$2, Percentiles!$A$45:$I$59, 7, FALSE), perc_95, VLOOKUP(V$2, Percentiles!$A$45:$I$59, 8, FALSE), perc_85, perc_75 + (perc_90 - perc_75) * (2/3), converted_stat, '2K_Ratings'!V272, IF(bbgm_stat &gt;= perc_95, converted_stat * 3, IF(bbgm_stat &gt;= perc_90, converted_stat * 2, IF(bbgm_stat &gt;= perc_85, converted_stat * 1.5, converted_stat)))))</f>
        <v/>
      </c>
      <c r="W272" s="30" t="str">
        <f t="array" ref="W272">IF($A272="", "", LET(bbgm_stat, INDEX(Players!$A271:$P271, MATCH(W$2, Players!$A$1:$P$1, 0)), perc_75, VLOOKUP(W$2, Percentiles!$A$45:$I$59, 6, FALSE), perc_90, VLOOKUP(W$2, Percentiles!$A$45:$I$59, 7, FALSE), perc_95, VLOOKUP(W$2, Percentiles!$A$45:$I$59, 8, FALSE), perc_85, perc_75 + (perc_90 - perc_75) * (2/3), converted_stat, '2K_Ratings'!W272, IF(bbgm_stat &gt;= perc_95, converted_stat * 3, IF(bbgm_stat &gt;= perc_90, converted_stat * 2, IF(bbgm_stat &gt;= perc_85, converted_stat * 1.5, converted_stat)))))</f>
        <v/>
      </c>
    </row>
    <row r="273">
      <c r="A273" s="30"/>
      <c r="B273" s="30" t="str">
        <f t="array" ref="B273">IF($A273="", "", LET(bbgm_stat, INDEX(Players!$A272:$P272, MATCH(B$2, Players!$A$1:$P$1, 0)), perc_75, VLOOKUP(B$2, Percentiles!$A$45:$I$59, 6, FALSE), perc_90, VLOOKUP(B$2, Percentiles!$A$45:$I$59, 7, FALSE), perc_95, VLOOKUP(B$2, Percentiles!$A$45:$I$59, 8, FALSE), perc_85, perc_75 + (perc_90 - perc_75) * (2/3), converted_stat, '2K_Ratings'!B273, IF(bbgm_stat &gt;= perc_95, converted_stat * 3, IF(bbgm_stat &gt;= perc_90, converted_stat * 2, IF(bbgm_stat &gt;= perc_85, converted_stat * 1.5, converted_stat)))))</f>
        <v/>
      </c>
      <c r="C273" s="30" t="str">
        <f t="array" ref="C273">IF($A273="", "", LET(bbgm_stat, INDEX(Players!$A272:$P272, MATCH(C$2, Players!$A$1:$P$1, 0)), perc_75, VLOOKUP(C$2, Percentiles!$A$45:$I$59, 6, FALSE), perc_90, VLOOKUP(C$2, Percentiles!$A$45:$I$59, 7, FALSE), perc_95, VLOOKUP(C$2, Percentiles!$A$45:$I$59, 8, FALSE), perc_85, perc_75 + (perc_90 - perc_75) * (2/3), converted_stat, '2K_Ratings'!C273, IF(bbgm_stat &gt;= perc_95, converted_stat * 3, IF(bbgm_stat &gt;= perc_90, converted_stat * 2, IF(bbgm_stat &gt;= perc_85, converted_stat * 1.5, converted_stat)))))</f>
        <v/>
      </c>
      <c r="D273" s="30" t="str">
        <f t="array" ref="D273">IF($A273="", "", LET(bbgm_stat, INDEX(Players!$A272:$P272, MATCH(D$2, Players!$A$1:$P$1, 0)), perc_75, VLOOKUP(D$2, Percentiles!$A$45:$I$59, 6, FALSE), perc_90, VLOOKUP(D$2, Percentiles!$A$45:$I$59, 7, FALSE), perc_95, VLOOKUP(D$2, Percentiles!$A$45:$I$59, 8, FALSE), perc_85, perc_75 + (perc_90 - perc_75) * (2/3), converted_stat, '2K_Ratings'!D273, IF(bbgm_stat &gt;= perc_95, converted_stat * 3, IF(bbgm_stat &gt;= perc_90, converted_stat * 2, IF(bbgm_stat &gt;= perc_85, converted_stat * 1.5, converted_stat)))))</f>
        <v/>
      </c>
      <c r="E273" s="30" t="str">
        <f t="array" ref="E273">IF($A273="", "", LET(bbgm_stat, INDEX(Players!$A272:$P272, MATCH(E$2, Players!$A$1:$P$1, 0)), perc_75, VLOOKUP(E$2, Percentiles!$A$45:$I$59, 6, FALSE), perc_90, VLOOKUP(E$2, Percentiles!$A$45:$I$59, 7, FALSE), perc_95, VLOOKUP(E$2, Percentiles!$A$45:$I$59, 8, FALSE), perc_85, perc_75 + (perc_90 - perc_75) * (2/3), converted_stat, '2K_Ratings'!E273, IF(bbgm_stat &gt;= perc_95, converted_stat * 3, IF(bbgm_stat &gt;= perc_90, converted_stat * 2, IF(bbgm_stat &gt;= perc_85, converted_stat * 1.5, converted_stat)))))</f>
        <v/>
      </c>
      <c r="F273" s="30" t="str">
        <f t="array" ref="F273">IF($A273="", "", LET(bbgm_stat, INDEX(Players!$A272:$P272, MATCH(F$2, Players!$A$1:$P$1, 0)), perc_75, VLOOKUP(F$2, Percentiles!$A$45:$I$59, 6, FALSE), perc_90, VLOOKUP(F$2, Percentiles!$A$45:$I$59, 7, FALSE), perc_95, VLOOKUP(F$2, Percentiles!$A$45:$I$59, 8, FALSE), perc_85, perc_75 + (perc_90 - perc_75) * (2/3), converted_stat, '2K_Ratings'!F273, IF(bbgm_stat &gt;= perc_95, converted_stat * 3, IF(bbgm_stat &gt;= perc_90, converted_stat * 2, IF(bbgm_stat &gt;= perc_85, converted_stat * 1.5, converted_stat)))))</f>
        <v/>
      </c>
      <c r="G273" s="30" t="str">
        <f t="array" ref="G273">IF($A273="", "", LET(bbgm_stat, INDEX(Players!$A272:$P272, MATCH(G$2, Players!$A$1:$P$1, 0)), perc_75, VLOOKUP(G$2, Percentiles!$A$45:$I$59, 6, FALSE), perc_90, VLOOKUP(G$2, Percentiles!$A$45:$I$59, 7, FALSE), perc_95, VLOOKUP(G$2, Percentiles!$A$45:$I$59, 8, FALSE), perc_85, perc_75 + (perc_90 - perc_75) * (2/3), converted_stat, '2K_Ratings'!G273, IF(bbgm_stat &gt;= perc_95, converted_stat * 3, IF(bbgm_stat &gt;= perc_90, converted_stat * 2, IF(bbgm_stat &gt;= perc_85, converted_stat * 1.5, converted_stat)))))</f>
        <v/>
      </c>
      <c r="H273" s="30" t="str">
        <f t="array" ref="H273">IF($A273="", "", LET(bbgm_stat, INDEX(Players!$A272:$P272, MATCH(H$2, Players!$A$1:$P$1, 0)), perc_75, VLOOKUP(H$2, Percentiles!$A$45:$I$59, 6, FALSE), perc_90, VLOOKUP(H$2, Percentiles!$A$45:$I$59, 7, FALSE), perc_95, VLOOKUP(H$2, Percentiles!$A$45:$I$59, 8, FALSE), perc_85, perc_75 + (perc_90 - perc_75) * (2/3), converted_stat, '2K_Ratings'!H273, IF(bbgm_stat &gt;= perc_95, converted_stat * 3, IF(bbgm_stat &gt;= perc_90, converted_stat * 2, IF(bbgm_stat &gt;= perc_85, converted_stat * 1.5, converted_stat)))))</f>
        <v/>
      </c>
      <c r="I273" s="30" t="str">
        <f t="array" ref="I273">IF($A273="", "", LET(bbgm_stat, INDEX(Players!$A272:$P272, MATCH(I$2, Players!$A$1:$P$1, 0)), perc_75, VLOOKUP(I$2, Percentiles!$A$45:$I$59, 6, FALSE), perc_90, VLOOKUP(I$2, Percentiles!$A$45:$I$59, 7, FALSE), perc_95, VLOOKUP(I$2, Percentiles!$A$45:$I$59, 8, FALSE), perc_85, perc_75 + (perc_90 - perc_75) * (2/3), converted_stat, '2K_Ratings'!I273, IF(bbgm_stat &gt;= perc_95, converted_stat * 3, IF(bbgm_stat &gt;= perc_90, converted_stat * 2, IF(bbgm_stat &gt;= perc_85, converted_stat * 1.5, converted_stat)))))</f>
        <v/>
      </c>
      <c r="J273" s="30" t="str">
        <f t="array" ref="J273">IF($A273="", "", LET(bbgm_stat, INDEX(Players!$A272:$P272, MATCH(J$2, Players!$A$1:$P$1, 0)), perc_75, VLOOKUP(J$2, Percentiles!$A$45:$I$59, 6, FALSE), perc_90, VLOOKUP(J$2, Percentiles!$A$45:$I$59, 7, FALSE), perc_95, VLOOKUP(J$2, Percentiles!$A$45:$I$59, 8, FALSE), perc_85, perc_75 + (perc_90 - perc_75) * (2/3), converted_stat, '2K_Ratings'!J273, IF(bbgm_stat &gt;= perc_95, converted_stat * 3, IF(bbgm_stat &gt;= perc_90, converted_stat * 2, IF(bbgm_stat &gt;= perc_85, converted_stat * 1.5, converted_stat)))))</f>
        <v/>
      </c>
      <c r="K273" s="30" t="str">
        <f t="array" ref="K273">IF($A273="", "", LET(bbgm_stat, INDEX(Players!$A272:$P272, MATCH(K$2, Players!$A$1:$P$1, 0)), perc_75, VLOOKUP(K$2, Percentiles!$A$45:$I$59, 6, FALSE), perc_90, VLOOKUP(K$2, Percentiles!$A$45:$I$59, 7, FALSE), perc_95, VLOOKUP(K$2, Percentiles!$A$45:$I$59, 8, FALSE), perc_85, perc_75 + (perc_90 - perc_75) * (2/3), converted_stat, '2K_Ratings'!K273, IF(bbgm_stat &gt;= perc_95, converted_stat * 3, IF(bbgm_stat &gt;= perc_90, converted_stat * 2, IF(bbgm_stat &gt;= perc_85, converted_stat * 1.5, converted_stat)))))</f>
        <v/>
      </c>
      <c r="L273" s="30" t="str">
        <f t="array" ref="L273">IF($A273="", "", LET(bbgm_stat, INDEX(Players!$A272:$P272, MATCH(L$2, Players!$A$1:$P$1, 0)), perc_75, VLOOKUP(L$2, Percentiles!$A$45:$I$59, 6, FALSE), perc_90, VLOOKUP(L$2, Percentiles!$A$45:$I$59, 7, FALSE), perc_95, VLOOKUP(L$2, Percentiles!$A$45:$I$59, 8, FALSE), perc_85, perc_75 + (perc_90 - perc_75) * (2/3), converted_stat, '2K_Ratings'!L273, IF(bbgm_stat &gt;= perc_95, converted_stat * 3, IF(bbgm_stat &gt;= perc_90, converted_stat * 2, IF(bbgm_stat &gt;= perc_85, converted_stat * 1.5, converted_stat)))))</f>
        <v/>
      </c>
      <c r="M273" s="30" t="str">
        <f t="array" ref="M273">IF($A273="", "", LET(bbgm_stat, INDEX(Players!$A272:$P272, MATCH(M$2, Players!$A$1:$P$1, 0)), perc_75, VLOOKUP(M$2, Percentiles!$A$45:$I$59, 6, FALSE), perc_90, VLOOKUP(M$2, Percentiles!$A$45:$I$59, 7, FALSE), perc_95, VLOOKUP(M$2, Percentiles!$A$45:$I$59, 8, FALSE), perc_85, perc_75 + (perc_90 - perc_75) * (2/3), converted_stat, '2K_Ratings'!M273, IF(bbgm_stat &gt;= perc_95, converted_stat * 3, IF(bbgm_stat &gt;= perc_90, converted_stat * 2, IF(bbgm_stat &gt;= perc_85, converted_stat * 1.5, converted_stat)))))</f>
        <v/>
      </c>
      <c r="N273" s="30" t="str">
        <f t="array" ref="N273">IF($A273="", "", LET(bbgm_stat, INDEX(Players!$A272:$P272, MATCH(N$2, Players!$A$1:$P$1, 0)), perc_75, VLOOKUP(N$2, Percentiles!$A$45:$I$59, 6, FALSE), perc_90, VLOOKUP(N$2, Percentiles!$A$45:$I$59, 7, FALSE), perc_95, VLOOKUP(N$2, Percentiles!$A$45:$I$59, 8, FALSE), perc_85, perc_75 + (perc_90 - perc_75) * (2/3), converted_stat, '2K_Ratings'!N273, IF(bbgm_stat &gt;= perc_95, converted_stat * 3, IF(bbgm_stat &gt;= perc_90, converted_stat * 2, IF(bbgm_stat &gt;= perc_85, converted_stat * 1.5, converted_stat)))))</f>
        <v/>
      </c>
      <c r="O273" s="30" t="str">
        <f t="array" ref="O273">IF($A273="", "", LET(bbgm_stat, INDEX(Players!$A272:$P272, MATCH(O$2, Players!$A$1:$P$1, 0)), perc_75, VLOOKUP(O$2, Percentiles!$A$45:$I$59, 6, FALSE), perc_90, VLOOKUP(O$2, Percentiles!$A$45:$I$59, 7, FALSE), perc_95, VLOOKUP(O$2, Percentiles!$A$45:$I$59, 8, FALSE), perc_85, perc_75 + (perc_90 - perc_75) * (2/3), converted_stat, '2K_Ratings'!O273, IF(bbgm_stat &gt;= perc_95, converted_stat * 3, IF(bbgm_stat &gt;= perc_90, converted_stat * 2, IF(bbgm_stat &gt;= perc_85, converted_stat * 1.5, converted_stat)))))</f>
        <v/>
      </c>
      <c r="P273" s="30" t="str">
        <f t="array" ref="P273">IF($A273="", "", LET(bbgm_stat, INDEX(Players!$A272:$P272, MATCH(P$2, Players!$A$1:$P$1, 0)), perc_75, VLOOKUP(P$2, Percentiles!$A$45:$I$59, 6, FALSE), perc_90, VLOOKUP(P$2, Percentiles!$A$45:$I$59, 7, FALSE), perc_95, VLOOKUP(P$2, Percentiles!$A$45:$I$59, 8, FALSE), perc_85, perc_75 + (perc_90 - perc_75) * (2/3), converted_stat, '2K_Ratings'!P273, IF(bbgm_stat &gt;= perc_95, converted_stat * 3, IF(bbgm_stat &gt;= perc_90, converted_stat * 2, IF(bbgm_stat &gt;= perc_85, converted_stat * 1.5, converted_stat)))))</f>
        <v/>
      </c>
      <c r="Q273" s="30" t="str">
        <f t="array" ref="Q273">IF($A273="", "", LET(bbgm_stat, INDEX(Players!$A272:$P272, MATCH(Q$2, Players!$A$1:$P$1, 0)), perc_75, VLOOKUP(Q$2, Percentiles!$A$45:$I$59, 6, FALSE), perc_90, VLOOKUP(Q$2, Percentiles!$A$45:$I$59, 7, FALSE), perc_95, VLOOKUP(Q$2, Percentiles!$A$45:$I$59, 8, FALSE), perc_85, perc_75 + (perc_90 - perc_75) * (2/3), converted_stat, '2K_Ratings'!Q273, IF(bbgm_stat &gt;= perc_95, converted_stat * 3, IF(bbgm_stat &gt;= perc_90, converted_stat * 2, IF(bbgm_stat &gt;= perc_85, converted_stat * 1.5, converted_stat)))))</f>
        <v/>
      </c>
      <c r="R273" s="30" t="str">
        <f t="array" ref="R273">IF($A273="", "", LET(bbgm_stat, INDEX(Players!$A272:$P272, MATCH(R$2, Players!$A$1:$P$1, 0)), perc_75, VLOOKUP(R$2, Percentiles!$A$45:$I$59, 6, FALSE), perc_90, VLOOKUP(R$2, Percentiles!$A$45:$I$59, 7, FALSE), perc_95, VLOOKUP(R$2, Percentiles!$A$45:$I$59, 8, FALSE), perc_85, perc_75 + (perc_90 - perc_75) * (2/3), converted_stat, '2K_Ratings'!R273, IF(bbgm_stat &gt;= perc_95, converted_stat * 3, IF(bbgm_stat &gt;= perc_90, converted_stat * 2, IF(bbgm_stat &gt;= perc_85, converted_stat * 1.5, converted_stat)))))</f>
        <v/>
      </c>
      <c r="S273" s="30" t="str">
        <f t="array" ref="S273">IF($A273="", "", LET(bbgm_stat, INDEX(Players!$A272:$P272, MATCH(S$2, Players!$A$1:$P$1, 0)), perc_75, VLOOKUP(S$2, Percentiles!$A$45:$I$59, 6, FALSE), perc_90, VLOOKUP(S$2, Percentiles!$A$45:$I$59, 7, FALSE), perc_95, VLOOKUP(S$2, Percentiles!$A$45:$I$59, 8, FALSE), perc_85, perc_75 + (perc_90 - perc_75) * (2/3), converted_stat, '2K_Ratings'!S273, IF(bbgm_stat &gt;= perc_95, converted_stat * 3, IF(bbgm_stat &gt;= perc_90, converted_stat * 2, IF(bbgm_stat &gt;= perc_85, converted_stat * 1.5, converted_stat)))))</f>
        <v/>
      </c>
      <c r="T273" s="30" t="str">
        <f t="array" ref="T273">IF($A273="", "", LET(bbgm_stat, INDEX(Players!$A272:$P272, MATCH(T$2, Players!$A$1:$P$1, 0)), perc_75, VLOOKUP(T$2, Percentiles!$A$45:$I$59, 6, FALSE), perc_90, VLOOKUP(T$2, Percentiles!$A$45:$I$59, 7, FALSE), perc_95, VLOOKUP(T$2, Percentiles!$A$45:$I$59, 8, FALSE), perc_85, perc_75 + (perc_90 - perc_75) * (2/3), converted_stat, '2K_Ratings'!T273, IF(bbgm_stat &gt;= perc_95, converted_stat * 3, IF(bbgm_stat &gt;= perc_90, converted_stat * 2, IF(bbgm_stat &gt;= perc_85, converted_stat * 1.5, converted_stat)))))</f>
        <v/>
      </c>
      <c r="U273" s="30" t="str">
        <f t="array" ref="U273">IF($A273="", "", LET(bbgm_stat, INDEX(Players!$A272:$P272, MATCH(U$2, Players!$A$1:$P$1, 0)), perc_75, VLOOKUP(U$2, Percentiles!$A$45:$I$59, 6, FALSE), perc_90, VLOOKUP(U$2, Percentiles!$A$45:$I$59, 7, FALSE), perc_95, VLOOKUP(U$2, Percentiles!$A$45:$I$59, 8, FALSE), perc_85, perc_75 + (perc_90 - perc_75) * (2/3), converted_stat, '2K_Ratings'!U273, IF(bbgm_stat &gt;= perc_95, converted_stat * 3, IF(bbgm_stat &gt;= perc_90, converted_stat * 2, IF(bbgm_stat &gt;= perc_85, converted_stat * 1.5, converted_stat)))))</f>
        <v/>
      </c>
      <c r="V273" s="30" t="str">
        <f t="array" ref="V273">IF($A273="", "", LET(bbgm_stat, INDEX(Players!$A272:$P272, MATCH(V$2, Players!$A$1:$P$1, 0)), perc_75, VLOOKUP(V$2, Percentiles!$A$45:$I$59, 6, FALSE), perc_90, VLOOKUP(V$2, Percentiles!$A$45:$I$59, 7, FALSE), perc_95, VLOOKUP(V$2, Percentiles!$A$45:$I$59, 8, FALSE), perc_85, perc_75 + (perc_90 - perc_75) * (2/3), converted_stat, '2K_Ratings'!V273, IF(bbgm_stat &gt;= perc_95, converted_stat * 3, IF(bbgm_stat &gt;= perc_90, converted_stat * 2, IF(bbgm_stat &gt;= perc_85, converted_stat * 1.5, converted_stat)))))</f>
        <v/>
      </c>
      <c r="W273" s="30" t="str">
        <f t="array" ref="W273">IF($A273="", "", LET(bbgm_stat, INDEX(Players!$A272:$P272, MATCH(W$2, Players!$A$1:$P$1, 0)), perc_75, VLOOKUP(W$2, Percentiles!$A$45:$I$59, 6, FALSE), perc_90, VLOOKUP(W$2, Percentiles!$A$45:$I$59, 7, FALSE), perc_95, VLOOKUP(W$2, Percentiles!$A$45:$I$59, 8, FALSE), perc_85, perc_75 + (perc_90 - perc_75) * (2/3), converted_stat, '2K_Ratings'!W273, IF(bbgm_stat &gt;= perc_95, converted_stat * 3, IF(bbgm_stat &gt;= perc_90, converted_stat * 2, IF(bbgm_stat &gt;= perc_85, converted_stat * 1.5, converted_stat)))))</f>
        <v/>
      </c>
    </row>
    <row r="274">
      <c r="A274" s="30"/>
      <c r="B274" s="30" t="str">
        <f t="array" ref="B274">IF($A274="", "", LET(bbgm_stat, INDEX(Players!$A273:$P273, MATCH(B$2, Players!$A$1:$P$1, 0)), perc_75, VLOOKUP(B$2, Percentiles!$A$45:$I$59, 6, FALSE), perc_90, VLOOKUP(B$2, Percentiles!$A$45:$I$59, 7, FALSE), perc_95, VLOOKUP(B$2, Percentiles!$A$45:$I$59, 8, FALSE), perc_85, perc_75 + (perc_90 - perc_75) * (2/3), converted_stat, '2K_Ratings'!B274, IF(bbgm_stat &gt;= perc_95, converted_stat * 3, IF(bbgm_stat &gt;= perc_90, converted_stat * 2, IF(bbgm_stat &gt;= perc_85, converted_stat * 1.5, converted_stat)))))</f>
        <v/>
      </c>
      <c r="C274" s="30" t="str">
        <f t="array" ref="C274">IF($A274="", "", LET(bbgm_stat, INDEX(Players!$A273:$P273, MATCH(C$2, Players!$A$1:$P$1, 0)), perc_75, VLOOKUP(C$2, Percentiles!$A$45:$I$59, 6, FALSE), perc_90, VLOOKUP(C$2, Percentiles!$A$45:$I$59, 7, FALSE), perc_95, VLOOKUP(C$2, Percentiles!$A$45:$I$59, 8, FALSE), perc_85, perc_75 + (perc_90 - perc_75) * (2/3), converted_stat, '2K_Ratings'!C274, IF(bbgm_stat &gt;= perc_95, converted_stat * 3, IF(bbgm_stat &gt;= perc_90, converted_stat * 2, IF(bbgm_stat &gt;= perc_85, converted_stat * 1.5, converted_stat)))))</f>
        <v/>
      </c>
      <c r="D274" s="30" t="str">
        <f t="array" ref="D274">IF($A274="", "", LET(bbgm_stat, INDEX(Players!$A273:$P273, MATCH(D$2, Players!$A$1:$P$1, 0)), perc_75, VLOOKUP(D$2, Percentiles!$A$45:$I$59, 6, FALSE), perc_90, VLOOKUP(D$2, Percentiles!$A$45:$I$59, 7, FALSE), perc_95, VLOOKUP(D$2, Percentiles!$A$45:$I$59, 8, FALSE), perc_85, perc_75 + (perc_90 - perc_75) * (2/3), converted_stat, '2K_Ratings'!D274, IF(bbgm_stat &gt;= perc_95, converted_stat * 3, IF(bbgm_stat &gt;= perc_90, converted_stat * 2, IF(bbgm_stat &gt;= perc_85, converted_stat * 1.5, converted_stat)))))</f>
        <v/>
      </c>
      <c r="E274" s="30" t="str">
        <f t="array" ref="E274">IF($A274="", "", LET(bbgm_stat, INDEX(Players!$A273:$P273, MATCH(E$2, Players!$A$1:$P$1, 0)), perc_75, VLOOKUP(E$2, Percentiles!$A$45:$I$59, 6, FALSE), perc_90, VLOOKUP(E$2, Percentiles!$A$45:$I$59, 7, FALSE), perc_95, VLOOKUP(E$2, Percentiles!$A$45:$I$59, 8, FALSE), perc_85, perc_75 + (perc_90 - perc_75) * (2/3), converted_stat, '2K_Ratings'!E274, IF(bbgm_stat &gt;= perc_95, converted_stat * 3, IF(bbgm_stat &gt;= perc_90, converted_stat * 2, IF(bbgm_stat &gt;= perc_85, converted_stat * 1.5, converted_stat)))))</f>
        <v/>
      </c>
      <c r="F274" s="30" t="str">
        <f t="array" ref="F274">IF($A274="", "", LET(bbgm_stat, INDEX(Players!$A273:$P273, MATCH(F$2, Players!$A$1:$P$1, 0)), perc_75, VLOOKUP(F$2, Percentiles!$A$45:$I$59, 6, FALSE), perc_90, VLOOKUP(F$2, Percentiles!$A$45:$I$59, 7, FALSE), perc_95, VLOOKUP(F$2, Percentiles!$A$45:$I$59, 8, FALSE), perc_85, perc_75 + (perc_90 - perc_75) * (2/3), converted_stat, '2K_Ratings'!F274, IF(bbgm_stat &gt;= perc_95, converted_stat * 3, IF(bbgm_stat &gt;= perc_90, converted_stat * 2, IF(bbgm_stat &gt;= perc_85, converted_stat * 1.5, converted_stat)))))</f>
        <v/>
      </c>
      <c r="G274" s="30" t="str">
        <f t="array" ref="G274">IF($A274="", "", LET(bbgm_stat, INDEX(Players!$A273:$P273, MATCH(G$2, Players!$A$1:$P$1, 0)), perc_75, VLOOKUP(G$2, Percentiles!$A$45:$I$59, 6, FALSE), perc_90, VLOOKUP(G$2, Percentiles!$A$45:$I$59, 7, FALSE), perc_95, VLOOKUP(G$2, Percentiles!$A$45:$I$59, 8, FALSE), perc_85, perc_75 + (perc_90 - perc_75) * (2/3), converted_stat, '2K_Ratings'!G274, IF(bbgm_stat &gt;= perc_95, converted_stat * 3, IF(bbgm_stat &gt;= perc_90, converted_stat * 2, IF(bbgm_stat &gt;= perc_85, converted_stat * 1.5, converted_stat)))))</f>
        <v/>
      </c>
      <c r="H274" s="30" t="str">
        <f t="array" ref="H274">IF($A274="", "", LET(bbgm_stat, INDEX(Players!$A273:$P273, MATCH(H$2, Players!$A$1:$P$1, 0)), perc_75, VLOOKUP(H$2, Percentiles!$A$45:$I$59, 6, FALSE), perc_90, VLOOKUP(H$2, Percentiles!$A$45:$I$59, 7, FALSE), perc_95, VLOOKUP(H$2, Percentiles!$A$45:$I$59, 8, FALSE), perc_85, perc_75 + (perc_90 - perc_75) * (2/3), converted_stat, '2K_Ratings'!H274, IF(bbgm_stat &gt;= perc_95, converted_stat * 3, IF(bbgm_stat &gt;= perc_90, converted_stat * 2, IF(bbgm_stat &gt;= perc_85, converted_stat * 1.5, converted_stat)))))</f>
        <v/>
      </c>
      <c r="I274" s="30" t="str">
        <f t="array" ref="I274">IF($A274="", "", LET(bbgm_stat, INDEX(Players!$A273:$P273, MATCH(I$2, Players!$A$1:$P$1, 0)), perc_75, VLOOKUP(I$2, Percentiles!$A$45:$I$59, 6, FALSE), perc_90, VLOOKUP(I$2, Percentiles!$A$45:$I$59, 7, FALSE), perc_95, VLOOKUP(I$2, Percentiles!$A$45:$I$59, 8, FALSE), perc_85, perc_75 + (perc_90 - perc_75) * (2/3), converted_stat, '2K_Ratings'!I274, IF(bbgm_stat &gt;= perc_95, converted_stat * 3, IF(bbgm_stat &gt;= perc_90, converted_stat * 2, IF(bbgm_stat &gt;= perc_85, converted_stat * 1.5, converted_stat)))))</f>
        <v/>
      </c>
      <c r="J274" s="30" t="str">
        <f t="array" ref="J274">IF($A274="", "", LET(bbgm_stat, INDEX(Players!$A273:$P273, MATCH(J$2, Players!$A$1:$P$1, 0)), perc_75, VLOOKUP(J$2, Percentiles!$A$45:$I$59, 6, FALSE), perc_90, VLOOKUP(J$2, Percentiles!$A$45:$I$59, 7, FALSE), perc_95, VLOOKUP(J$2, Percentiles!$A$45:$I$59, 8, FALSE), perc_85, perc_75 + (perc_90 - perc_75) * (2/3), converted_stat, '2K_Ratings'!J274, IF(bbgm_stat &gt;= perc_95, converted_stat * 3, IF(bbgm_stat &gt;= perc_90, converted_stat * 2, IF(bbgm_stat &gt;= perc_85, converted_stat * 1.5, converted_stat)))))</f>
        <v/>
      </c>
      <c r="K274" s="30" t="str">
        <f t="array" ref="K274">IF($A274="", "", LET(bbgm_stat, INDEX(Players!$A273:$P273, MATCH(K$2, Players!$A$1:$P$1, 0)), perc_75, VLOOKUP(K$2, Percentiles!$A$45:$I$59, 6, FALSE), perc_90, VLOOKUP(K$2, Percentiles!$A$45:$I$59, 7, FALSE), perc_95, VLOOKUP(K$2, Percentiles!$A$45:$I$59, 8, FALSE), perc_85, perc_75 + (perc_90 - perc_75) * (2/3), converted_stat, '2K_Ratings'!K274, IF(bbgm_stat &gt;= perc_95, converted_stat * 3, IF(bbgm_stat &gt;= perc_90, converted_stat * 2, IF(bbgm_stat &gt;= perc_85, converted_stat * 1.5, converted_stat)))))</f>
        <v/>
      </c>
      <c r="L274" s="30" t="str">
        <f t="array" ref="L274">IF($A274="", "", LET(bbgm_stat, INDEX(Players!$A273:$P273, MATCH(L$2, Players!$A$1:$P$1, 0)), perc_75, VLOOKUP(L$2, Percentiles!$A$45:$I$59, 6, FALSE), perc_90, VLOOKUP(L$2, Percentiles!$A$45:$I$59, 7, FALSE), perc_95, VLOOKUP(L$2, Percentiles!$A$45:$I$59, 8, FALSE), perc_85, perc_75 + (perc_90 - perc_75) * (2/3), converted_stat, '2K_Ratings'!L274, IF(bbgm_stat &gt;= perc_95, converted_stat * 3, IF(bbgm_stat &gt;= perc_90, converted_stat * 2, IF(bbgm_stat &gt;= perc_85, converted_stat * 1.5, converted_stat)))))</f>
        <v/>
      </c>
      <c r="M274" s="30" t="str">
        <f t="array" ref="M274">IF($A274="", "", LET(bbgm_stat, INDEX(Players!$A273:$P273, MATCH(M$2, Players!$A$1:$P$1, 0)), perc_75, VLOOKUP(M$2, Percentiles!$A$45:$I$59, 6, FALSE), perc_90, VLOOKUP(M$2, Percentiles!$A$45:$I$59, 7, FALSE), perc_95, VLOOKUP(M$2, Percentiles!$A$45:$I$59, 8, FALSE), perc_85, perc_75 + (perc_90 - perc_75) * (2/3), converted_stat, '2K_Ratings'!M274, IF(bbgm_stat &gt;= perc_95, converted_stat * 3, IF(bbgm_stat &gt;= perc_90, converted_stat * 2, IF(bbgm_stat &gt;= perc_85, converted_stat * 1.5, converted_stat)))))</f>
        <v/>
      </c>
      <c r="N274" s="30" t="str">
        <f t="array" ref="N274">IF($A274="", "", LET(bbgm_stat, INDEX(Players!$A273:$P273, MATCH(N$2, Players!$A$1:$P$1, 0)), perc_75, VLOOKUP(N$2, Percentiles!$A$45:$I$59, 6, FALSE), perc_90, VLOOKUP(N$2, Percentiles!$A$45:$I$59, 7, FALSE), perc_95, VLOOKUP(N$2, Percentiles!$A$45:$I$59, 8, FALSE), perc_85, perc_75 + (perc_90 - perc_75) * (2/3), converted_stat, '2K_Ratings'!N274, IF(bbgm_stat &gt;= perc_95, converted_stat * 3, IF(bbgm_stat &gt;= perc_90, converted_stat * 2, IF(bbgm_stat &gt;= perc_85, converted_stat * 1.5, converted_stat)))))</f>
        <v/>
      </c>
      <c r="O274" s="30" t="str">
        <f t="array" ref="O274">IF($A274="", "", LET(bbgm_stat, INDEX(Players!$A273:$P273, MATCH(O$2, Players!$A$1:$P$1, 0)), perc_75, VLOOKUP(O$2, Percentiles!$A$45:$I$59, 6, FALSE), perc_90, VLOOKUP(O$2, Percentiles!$A$45:$I$59, 7, FALSE), perc_95, VLOOKUP(O$2, Percentiles!$A$45:$I$59, 8, FALSE), perc_85, perc_75 + (perc_90 - perc_75) * (2/3), converted_stat, '2K_Ratings'!O274, IF(bbgm_stat &gt;= perc_95, converted_stat * 3, IF(bbgm_stat &gt;= perc_90, converted_stat * 2, IF(bbgm_stat &gt;= perc_85, converted_stat * 1.5, converted_stat)))))</f>
        <v/>
      </c>
      <c r="P274" s="30" t="str">
        <f t="array" ref="P274">IF($A274="", "", LET(bbgm_stat, INDEX(Players!$A273:$P273, MATCH(P$2, Players!$A$1:$P$1, 0)), perc_75, VLOOKUP(P$2, Percentiles!$A$45:$I$59, 6, FALSE), perc_90, VLOOKUP(P$2, Percentiles!$A$45:$I$59, 7, FALSE), perc_95, VLOOKUP(P$2, Percentiles!$A$45:$I$59, 8, FALSE), perc_85, perc_75 + (perc_90 - perc_75) * (2/3), converted_stat, '2K_Ratings'!P274, IF(bbgm_stat &gt;= perc_95, converted_stat * 3, IF(bbgm_stat &gt;= perc_90, converted_stat * 2, IF(bbgm_stat &gt;= perc_85, converted_stat * 1.5, converted_stat)))))</f>
        <v/>
      </c>
      <c r="Q274" s="30" t="str">
        <f t="array" ref="Q274">IF($A274="", "", LET(bbgm_stat, INDEX(Players!$A273:$P273, MATCH(Q$2, Players!$A$1:$P$1, 0)), perc_75, VLOOKUP(Q$2, Percentiles!$A$45:$I$59, 6, FALSE), perc_90, VLOOKUP(Q$2, Percentiles!$A$45:$I$59, 7, FALSE), perc_95, VLOOKUP(Q$2, Percentiles!$A$45:$I$59, 8, FALSE), perc_85, perc_75 + (perc_90 - perc_75) * (2/3), converted_stat, '2K_Ratings'!Q274, IF(bbgm_stat &gt;= perc_95, converted_stat * 3, IF(bbgm_stat &gt;= perc_90, converted_stat * 2, IF(bbgm_stat &gt;= perc_85, converted_stat * 1.5, converted_stat)))))</f>
        <v/>
      </c>
      <c r="R274" s="30" t="str">
        <f t="array" ref="R274">IF($A274="", "", LET(bbgm_stat, INDEX(Players!$A273:$P273, MATCH(R$2, Players!$A$1:$P$1, 0)), perc_75, VLOOKUP(R$2, Percentiles!$A$45:$I$59, 6, FALSE), perc_90, VLOOKUP(R$2, Percentiles!$A$45:$I$59, 7, FALSE), perc_95, VLOOKUP(R$2, Percentiles!$A$45:$I$59, 8, FALSE), perc_85, perc_75 + (perc_90 - perc_75) * (2/3), converted_stat, '2K_Ratings'!R274, IF(bbgm_stat &gt;= perc_95, converted_stat * 3, IF(bbgm_stat &gt;= perc_90, converted_stat * 2, IF(bbgm_stat &gt;= perc_85, converted_stat * 1.5, converted_stat)))))</f>
        <v/>
      </c>
      <c r="S274" s="30" t="str">
        <f t="array" ref="S274">IF($A274="", "", LET(bbgm_stat, INDEX(Players!$A273:$P273, MATCH(S$2, Players!$A$1:$P$1, 0)), perc_75, VLOOKUP(S$2, Percentiles!$A$45:$I$59, 6, FALSE), perc_90, VLOOKUP(S$2, Percentiles!$A$45:$I$59, 7, FALSE), perc_95, VLOOKUP(S$2, Percentiles!$A$45:$I$59, 8, FALSE), perc_85, perc_75 + (perc_90 - perc_75) * (2/3), converted_stat, '2K_Ratings'!S274, IF(bbgm_stat &gt;= perc_95, converted_stat * 3, IF(bbgm_stat &gt;= perc_90, converted_stat * 2, IF(bbgm_stat &gt;= perc_85, converted_stat * 1.5, converted_stat)))))</f>
        <v/>
      </c>
      <c r="T274" s="30" t="str">
        <f t="array" ref="T274">IF($A274="", "", LET(bbgm_stat, INDEX(Players!$A273:$P273, MATCH(T$2, Players!$A$1:$P$1, 0)), perc_75, VLOOKUP(T$2, Percentiles!$A$45:$I$59, 6, FALSE), perc_90, VLOOKUP(T$2, Percentiles!$A$45:$I$59, 7, FALSE), perc_95, VLOOKUP(T$2, Percentiles!$A$45:$I$59, 8, FALSE), perc_85, perc_75 + (perc_90 - perc_75) * (2/3), converted_stat, '2K_Ratings'!T274, IF(bbgm_stat &gt;= perc_95, converted_stat * 3, IF(bbgm_stat &gt;= perc_90, converted_stat * 2, IF(bbgm_stat &gt;= perc_85, converted_stat * 1.5, converted_stat)))))</f>
        <v/>
      </c>
      <c r="U274" s="30" t="str">
        <f t="array" ref="U274">IF($A274="", "", LET(bbgm_stat, INDEX(Players!$A273:$P273, MATCH(U$2, Players!$A$1:$P$1, 0)), perc_75, VLOOKUP(U$2, Percentiles!$A$45:$I$59, 6, FALSE), perc_90, VLOOKUP(U$2, Percentiles!$A$45:$I$59, 7, FALSE), perc_95, VLOOKUP(U$2, Percentiles!$A$45:$I$59, 8, FALSE), perc_85, perc_75 + (perc_90 - perc_75) * (2/3), converted_stat, '2K_Ratings'!U274, IF(bbgm_stat &gt;= perc_95, converted_stat * 3, IF(bbgm_stat &gt;= perc_90, converted_stat * 2, IF(bbgm_stat &gt;= perc_85, converted_stat * 1.5, converted_stat)))))</f>
        <v/>
      </c>
      <c r="V274" s="30" t="str">
        <f t="array" ref="V274">IF($A274="", "", LET(bbgm_stat, INDEX(Players!$A273:$P273, MATCH(V$2, Players!$A$1:$P$1, 0)), perc_75, VLOOKUP(V$2, Percentiles!$A$45:$I$59, 6, FALSE), perc_90, VLOOKUP(V$2, Percentiles!$A$45:$I$59, 7, FALSE), perc_95, VLOOKUP(V$2, Percentiles!$A$45:$I$59, 8, FALSE), perc_85, perc_75 + (perc_90 - perc_75) * (2/3), converted_stat, '2K_Ratings'!V274, IF(bbgm_stat &gt;= perc_95, converted_stat * 3, IF(bbgm_stat &gt;= perc_90, converted_stat * 2, IF(bbgm_stat &gt;= perc_85, converted_stat * 1.5, converted_stat)))))</f>
        <v/>
      </c>
      <c r="W274" s="30" t="str">
        <f t="array" ref="W274">IF($A274="", "", LET(bbgm_stat, INDEX(Players!$A273:$P273, MATCH(W$2, Players!$A$1:$P$1, 0)), perc_75, VLOOKUP(W$2, Percentiles!$A$45:$I$59, 6, FALSE), perc_90, VLOOKUP(W$2, Percentiles!$A$45:$I$59, 7, FALSE), perc_95, VLOOKUP(W$2, Percentiles!$A$45:$I$59, 8, FALSE), perc_85, perc_75 + (perc_90 - perc_75) * (2/3), converted_stat, '2K_Ratings'!W274, IF(bbgm_stat &gt;= perc_95, converted_stat * 3, IF(bbgm_stat &gt;= perc_90, converted_stat * 2, IF(bbgm_stat &gt;= perc_85, converted_stat * 1.5, converted_stat)))))</f>
        <v/>
      </c>
    </row>
    <row r="275">
      <c r="A275" s="30"/>
      <c r="B275" s="30" t="str">
        <f t="array" ref="B275">IF($A275="", "", LET(bbgm_stat, INDEX(Players!$A274:$P274, MATCH(B$2, Players!$A$1:$P$1, 0)), perc_75, VLOOKUP(B$2, Percentiles!$A$45:$I$59, 6, FALSE), perc_90, VLOOKUP(B$2, Percentiles!$A$45:$I$59, 7, FALSE), perc_95, VLOOKUP(B$2, Percentiles!$A$45:$I$59, 8, FALSE), perc_85, perc_75 + (perc_90 - perc_75) * (2/3), converted_stat, '2K_Ratings'!B275, IF(bbgm_stat &gt;= perc_95, converted_stat * 3, IF(bbgm_stat &gt;= perc_90, converted_stat * 2, IF(bbgm_stat &gt;= perc_85, converted_stat * 1.5, converted_stat)))))</f>
        <v/>
      </c>
      <c r="C275" s="30" t="str">
        <f t="array" ref="C275">IF($A275="", "", LET(bbgm_stat, INDEX(Players!$A274:$P274, MATCH(C$2, Players!$A$1:$P$1, 0)), perc_75, VLOOKUP(C$2, Percentiles!$A$45:$I$59, 6, FALSE), perc_90, VLOOKUP(C$2, Percentiles!$A$45:$I$59, 7, FALSE), perc_95, VLOOKUP(C$2, Percentiles!$A$45:$I$59, 8, FALSE), perc_85, perc_75 + (perc_90 - perc_75) * (2/3), converted_stat, '2K_Ratings'!C275, IF(bbgm_stat &gt;= perc_95, converted_stat * 3, IF(bbgm_stat &gt;= perc_90, converted_stat * 2, IF(bbgm_stat &gt;= perc_85, converted_stat * 1.5, converted_stat)))))</f>
        <v/>
      </c>
      <c r="D275" s="30" t="str">
        <f t="array" ref="D275">IF($A275="", "", LET(bbgm_stat, INDEX(Players!$A274:$P274, MATCH(D$2, Players!$A$1:$P$1, 0)), perc_75, VLOOKUP(D$2, Percentiles!$A$45:$I$59, 6, FALSE), perc_90, VLOOKUP(D$2, Percentiles!$A$45:$I$59, 7, FALSE), perc_95, VLOOKUP(D$2, Percentiles!$A$45:$I$59, 8, FALSE), perc_85, perc_75 + (perc_90 - perc_75) * (2/3), converted_stat, '2K_Ratings'!D275, IF(bbgm_stat &gt;= perc_95, converted_stat * 3, IF(bbgm_stat &gt;= perc_90, converted_stat * 2, IF(bbgm_stat &gt;= perc_85, converted_stat * 1.5, converted_stat)))))</f>
        <v/>
      </c>
      <c r="E275" s="30" t="str">
        <f t="array" ref="E275">IF($A275="", "", LET(bbgm_stat, INDEX(Players!$A274:$P274, MATCH(E$2, Players!$A$1:$P$1, 0)), perc_75, VLOOKUP(E$2, Percentiles!$A$45:$I$59, 6, FALSE), perc_90, VLOOKUP(E$2, Percentiles!$A$45:$I$59, 7, FALSE), perc_95, VLOOKUP(E$2, Percentiles!$A$45:$I$59, 8, FALSE), perc_85, perc_75 + (perc_90 - perc_75) * (2/3), converted_stat, '2K_Ratings'!E275, IF(bbgm_stat &gt;= perc_95, converted_stat * 3, IF(bbgm_stat &gt;= perc_90, converted_stat * 2, IF(bbgm_stat &gt;= perc_85, converted_stat * 1.5, converted_stat)))))</f>
        <v/>
      </c>
      <c r="F275" s="30" t="str">
        <f t="array" ref="F275">IF($A275="", "", LET(bbgm_stat, INDEX(Players!$A274:$P274, MATCH(F$2, Players!$A$1:$P$1, 0)), perc_75, VLOOKUP(F$2, Percentiles!$A$45:$I$59, 6, FALSE), perc_90, VLOOKUP(F$2, Percentiles!$A$45:$I$59, 7, FALSE), perc_95, VLOOKUP(F$2, Percentiles!$A$45:$I$59, 8, FALSE), perc_85, perc_75 + (perc_90 - perc_75) * (2/3), converted_stat, '2K_Ratings'!F275, IF(bbgm_stat &gt;= perc_95, converted_stat * 3, IF(bbgm_stat &gt;= perc_90, converted_stat * 2, IF(bbgm_stat &gt;= perc_85, converted_stat * 1.5, converted_stat)))))</f>
        <v/>
      </c>
      <c r="G275" s="30" t="str">
        <f t="array" ref="G275">IF($A275="", "", LET(bbgm_stat, INDEX(Players!$A274:$P274, MATCH(G$2, Players!$A$1:$P$1, 0)), perc_75, VLOOKUP(G$2, Percentiles!$A$45:$I$59, 6, FALSE), perc_90, VLOOKUP(G$2, Percentiles!$A$45:$I$59, 7, FALSE), perc_95, VLOOKUP(G$2, Percentiles!$A$45:$I$59, 8, FALSE), perc_85, perc_75 + (perc_90 - perc_75) * (2/3), converted_stat, '2K_Ratings'!G275, IF(bbgm_stat &gt;= perc_95, converted_stat * 3, IF(bbgm_stat &gt;= perc_90, converted_stat * 2, IF(bbgm_stat &gt;= perc_85, converted_stat * 1.5, converted_stat)))))</f>
        <v/>
      </c>
      <c r="H275" s="30" t="str">
        <f t="array" ref="H275">IF($A275="", "", LET(bbgm_stat, INDEX(Players!$A274:$P274, MATCH(H$2, Players!$A$1:$P$1, 0)), perc_75, VLOOKUP(H$2, Percentiles!$A$45:$I$59, 6, FALSE), perc_90, VLOOKUP(H$2, Percentiles!$A$45:$I$59, 7, FALSE), perc_95, VLOOKUP(H$2, Percentiles!$A$45:$I$59, 8, FALSE), perc_85, perc_75 + (perc_90 - perc_75) * (2/3), converted_stat, '2K_Ratings'!H275, IF(bbgm_stat &gt;= perc_95, converted_stat * 3, IF(bbgm_stat &gt;= perc_90, converted_stat * 2, IF(bbgm_stat &gt;= perc_85, converted_stat * 1.5, converted_stat)))))</f>
        <v/>
      </c>
      <c r="I275" s="30" t="str">
        <f t="array" ref="I275">IF($A275="", "", LET(bbgm_stat, INDEX(Players!$A274:$P274, MATCH(I$2, Players!$A$1:$P$1, 0)), perc_75, VLOOKUP(I$2, Percentiles!$A$45:$I$59, 6, FALSE), perc_90, VLOOKUP(I$2, Percentiles!$A$45:$I$59, 7, FALSE), perc_95, VLOOKUP(I$2, Percentiles!$A$45:$I$59, 8, FALSE), perc_85, perc_75 + (perc_90 - perc_75) * (2/3), converted_stat, '2K_Ratings'!I275, IF(bbgm_stat &gt;= perc_95, converted_stat * 3, IF(bbgm_stat &gt;= perc_90, converted_stat * 2, IF(bbgm_stat &gt;= perc_85, converted_stat * 1.5, converted_stat)))))</f>
        <v/>
      </c>
      <c r="J275" s="30" t="str">
        <f t="array" ref="J275">IF($A275="", "", LET(bbgm_stat, INDEX(Players!$A274:$P274, MATCH(J$2, Players!$A$1:$P$1, 0)), perc_75, VLOOKUP(J$2, Percentiles!$A$45:$I$59, 6, FALSE), perc_90, VLOOKUP(J$2, Percentiles!$A$45:$I$59, 7, FALSE), perc_95, VLOOKUP(J$2, Percentiles!$A$45:$I$59, 8, FALSE), perc_85, perc_75 + (perc_90 - perc_75) * (2/3), converted_stat, '2K_Ratings'!J275, IF(bbgm_stat &gt;= perc_95, converted_stat * 3, IF(bbgm_stat &gt;= perc_90, converted_stat * 2, IF(bbgm_stat &gt;= perc_85, converted_stat * 1.5, converted_stat)))))</f>
        <v/>
      </c>
      <c r="K275" s="30" t="str">
        <f t="array" ref="K275">IF($A275="", "", LET(bbgm_stat, INDEX(Players!$A274:$P274, MATCH(K$2, Players!$A$1:$P$1, 0)), perc_75, VLOOKUP(K$2, Percentiles!$A$45:$I$59, 6, FALSE), perc_90, VLOOKUP(K$2, Percentiles!$A$45:$I$59, 7, FALSE), perc_95, VLOOKUP(K$2, Percentiles!$A$45:$I$59, 8, FALSE), perc_85, perc_75 + (perc_90 - perc_75) * (2/3), converted_stat, '2K_Ratings'!K275, IF(bbgm_stat &gt;= perc_95, converted_stat * 3, IF(bbgm_stat &gt;= perc_90, converted_stat * 2, IF(bbgm_stat &gt;= perc_85, converted_stat * 1.5, converted_stat)))))</f>
        <v/>
      </c>
      <c r="L275" s="30" t="str">
        <f t="array" ref="L275">IF($A275="", "", LET(bbgm_stat, INDEX(Players!$A274:$P274, MATCH(L$2, Players!$A$1:$P$1, 0)), perc_75, VLOOKUP(L$2, Percentiles!$A$45:$I$59, 6, FALSE), perc_90, VLOOKUP(L$2, Percentiles!$A$45:$I$59, 7, FALSE), perc_95, VLOOKUP(L$2, Percentiles!$A$45:$I$59, 8, FALSE), perc_85, perc_75 + (perc_90 - perc_75) * (2/3), converted_stat, '2K_Ratings'!L275, IF(bbgm_stat &gt;= perc_95, converted_stat * 3, IF(bbgm_stat &gt;= perc_90, converted_stat * 2, IF(bbgm_stat &gt;= perc_85, converted_stat * 1.5, converted_stat)))))</f>
        <v/>
      </c>
      <c r="M275" s="30" t="str">
        <f t="array" ref="M275">IF($A275="", "", LET(bbgm_stat, INDEX(Players!$A274:$P274, MATCH(M$2, Players!$A$1:$P$1, 0)), perc_75, VLOOKUP(M$2, Percentiles!$A$45:$I$59, 6, FALSE), perc_90, VLOOKUP(M$2, Percentiles!$A$45:$I$59, 7, FALSE), perc_95, VLOOKUP(M$2, Percentiles!$A$45:$I$59, 8, FALSE), perc_85, perc_75 + (perc_90 - perc_75) * (2/3), converted_stat, '2K_Ratings'!M275, IF(bbgm_stat &gt;= perc_95, converted_stat * 3, IF(bbgm_stat &gt;= perc_90, converted_stat * 2, IF(bbgm_stat &gt;= perc_85, converted_stat * 1.5, converted_stat)))))</f>
        <v/>
      </c>
      <c r="N275" s="30" t="str">
        <f t="array" ref="N275">IF($A275="", "", LET(bbgm_stat, INDEX(Players!$A274:$P274, MATCH(N$2, Players!$A$1:$P$1, 0)), perc_75, VLOOKUP(N$2, Percentiles!$A$45:$I$59, 6, FALSE), perc_90, VLOOKUP(N$2, Percentiles!$A$45:$I$59, 7, FALSE), perc_95, VLOOKUP(N$2, Percentiles!$A$45:$I$59, 8, FALSE), perc_85, perc_75 + (perc_90 - perc_75) * (2/3), converted_stat, '2K_Ratings'!N275, IF(bbgm_stat &gt;= perc_95, converted_stat * 3, IF(bbgm_stat &gt;= perc_90, converted_stat * 2, IF(bbgm_stat &gt;= perc_85, converted_stat * 1.5, converted_stat)))))</f>
        <v/>
      </c>
      <c r="O275" s="30" t="str">
        <f t="array" ref="O275">IF($A275="", "", LET(bbgm_stat, INDEX(Players!$A274:$P274, MATCH(O$2, Players!$A$1:$P$1, 0)), perc_75, VLOOKUP(O$2, Percentiles!$A$45:$I$59, 6, FALSE), perc_90, VLOOKUP(O$2, Percentiles!$A$45:$I$59, 7, FALSE), perc_95, VLOOKUP(O$2, Percentiles!$A$45:$I$59, 8, FALSE), perc_85, perc_75 + (perc_90 - perc_75) * (2/3), converted_stat, '2K_Ratings'!O275, IF(bbgm_stat &gt;= perc_95, converted_stat * 3, IF(bbgm_stat &gt;= perc_90, converted_stat * 2, IF(bbgm_stat &gt;= perc_85, converted_stat * 1.5, converted_stat)))))</f>
        <v/>
      </c>
      <c r="P275" s="30" t="str">
        <f t="array" ref="P275">IF($A275="", "", LET(bbgm_stat, INDEX(Players!$A274:$P274, MATCH(P$2, Players!$A$1:$P$1, 0)), perc_75, VLOOKUP(P$2, Percentiles!$A$45:$I$59, 6, FALSE), perc_90, VLOOKUP(P$2, Percentiles!$A$45:$I$59, 7, FALSE), perc_95, VLOOKUP(P$2, Percentiles!$A$45:$I$59, 8, FALSE), perc_85, perc_75 + (perc_90 - perc_75) * (2/3), converted_stat, '2K_Ratings'!P275, IF(bbgm_stat &gt;= perc_95, converted_stat * 3, IF(bbgm_stat &gt;= perc_90, converted_stat * 2, IF(bbgm_stat &gt;= perc_85, converted_stat * 1.5, converted_stat)))))</f>
        <v/>
      </c>
      <c r="Q275" s="30" t="str">
        <f t="array" ref="Q275">IF($A275="", "", LET(bbgm_stat, INDEX(Players!$A274:$P274, MATCH(Q$2, Players!$A$1:$P$1, 0)), perc_75, VLOOKUP(Q$2, Percentiles!$A$45:$I$59, 6, FALSE), perc_90, VLOOKUP(Q$2, Percentiles!$A$45:$I$59, 7, FALSE), perc_95, VLOOKUP(Q$2, Percentiles!$A$45:$I$59, 8, FALSE), perc_85, perc_75 + (perc_90 - perc_75) * (2/3), converted_stat, '2K_Ratings'!Q275, IF(bbgm_stat &gt;= perc_95, converted_stat * 3, IF(bbgm_stat &gt;= perc_90, converted_stat * 2, IF(bbgm_stat &gt;= perc_85, converted_stat * 1.5, converted_stat)))))</f>
        <v/>
      </c>
      <c r="R275" s="30" t="str">
        <f t="array" ref="R275">IF($A275="", "", LET(bbgm_stat, INDEX(Players!$A274:$P274, MATCH(R$2, Players!$A$1:$P$1, 0)), perc_75, VLOOKUP(R$2, Percentiles!$A$45:$I$59, 6, FALSE), perc_90, VLOOKUP(R$2, Percentiles!$A$45:$I$59, 7, FALSE), perc_95, VLOOKUP(R$2, Percentiles!$A$45:$I$59, 8, FALSE), perc_85, perc_75 + (perc_90 - perc_75) * (2/3), converted_stat, '2K_Ratings'!R275, IF(bbgm_stat &gt;= perc_95, converted_stat * 3, IF(bbgm_stat &gt;= perc_90, converted_stat * 2, IF(bbgm_stat &gt;= perc_85, converted_stat * 1.5, converted_stat)))))</f>
        <v/>
      </c>
      <c r="S275" s="30" t="str">
        <f t="array" ref="S275">IF($A275="", "", LET(bbgm_stat, INDEX(Players!$A274:$P274, MATCH(S$2, Players!$A$1:$P$1, 0)), perc_75, VLOOKUP(S$2, Percentiles!$A$45:$I$59, 6, FALSE), perc_90, VLOOKUP(S$2, Percentiles!$A$45:$I$59, 7, FALSE), perc_95, VLOOKUP(S$2, Percentiles!$A$45:$I$59, 8, FALSE), perc_85, perc_75 + (perc_90 - perc_75) * (2/3), converted_stat, '2K_Ratings'!S275, IF(bbgm_stat &gt;= perc_95, converted_stat * 3, IF(bbgm_stat &gt;= perc_90, converted_stat * 2, IF(bbgm_stat &gt;= perc_85, converted_stat * 1.5, converted_stat)))))</f>
        <v/>
      </c>
      <c r="T275" s="30" t="str">
        <f t="array" ref="T275">IF($A275="", "", LET(bbgm_stat, INDEX(Players!$A274:$P274, MATCH(T$2, Players!$A$1:$P$1, 0)), perc_75, VLOOKUP(T$2, Percentiles!$A$45:$I$59, 6, FALSE), perc_90, VLOOKUP(T$2, Percentiles!$A$45:$I$59, 7, FALSE), perc_95, VLOOKUP(T$2, Percentiles!$A$45:$I$59, 8, FALSE), perc_85, perc_75 + (perc_90 - perc_75) * (2/3), converted_stat, '2K_Ratings'!T275, IF(bbgm_stat &gt;= perc_95, converted_stat * 3, IF(bbgm_stat &gt;= perc_90, converted_stat * 2, IF(bbgm_stat &gt;= perc_85, converted_stat * 1.5, converted_stat)))))</f>
        <v/>
      </c>
      <c r="U275" s="30" t="str">
        <f t="array" ref="U275">IF($A275="", "", LET(bbgm_stat, INDEX(Players!$A274:$P274, MATCH(U$2, Players!$A$1:$P$1, 0)), perc_75, VLOOKUP(U$2, Percentiles!$A$45:$I$59, 6, FALSE), perc_90, VLOOKUP(U$2, Percentiles!$A$45:$I$59, 7, FALSE), perc_95, VLOOKUP(U$2, Percentiles!$A$45:$I$59, 8, FALSE), perc_85, perc_75 + (perc_90 - perc_75) * (2/3), converted_stat, '2K_Ratings'!U275, IF(bbgm_stat &gt;= perc_95, converted_stat * 3, IF(bbgm_stat &gt;= perc_90, converted_stat * 2, IF(bbgm_stat &gt;= perc_85, converted_stat * 1.5, converted_stat)))))</f>
        <v/>
      </c>
      <c r="V275" s="30" t="str">
        <f t="array" ref="V275">IF($A275="", "", LET(bbgm_stat, INDEX(Players!$A274:$P274, MATCH(V$2, Players!$A$1:$P$1, 0)), perc_75, VLOOKUP(V$2, Percentiles!$A$45:$I$59, 6, FALSE), perc_90, VLOOKUP(V$2, Percentiles!$A$45:$I$59, 7, FALSE), perc_95, VLOOKUP(V$2, Percentiles!$A$45:$I$59, 8, FALSE), perc_85, perc_75 + (perc_90 - perc_75) * (2/3), converted_stat, '2K_Ratings'!V275, IF(bbgm_stat &gt;= perc_95, converted_stat * 3, IF(bbgm_stat &gt;= perc_90, converted_stat * 2, IF(bbgm_stat &gt;= perc_85, converted_stat * 1.5, converted_stat)))))</f>
        <v/>
      </c>
      <c r="W275" s="30" t="str">
        <f t="array" ref="W275">IF($A275="", "", LET(bbgm_stat, INDEX(Players!$A274:$P274, MATCH(W$2, Players!$A$1:$P$1, 0)), perc_75, VLOOKUP(W$2, Percentiles!$A$45:$I$59, 6, FALSE), perc_90, VLOOKUP(W$2, Percentiles!$A$45:$I$59, 7, FALSE), perc_95, VLOOKUP(W$2, Percentiles!$A$45:$I$59, 8, FALSE), perc_85, perc_75 + (perc_90 - perc_75) * (2/3), converted_stat, '2K_Ratings'!W275, IF(bbgm_stat &gt;= perc_95, converted_stat * 3, IF(bbgm_stat &gt;= perc_90, converted_stat * 2, IF(bbgm_stat &gt;= perc_85, converted_stat * 1.5, converted_stat)))))</f>
        <v/>
      </c>
    </row>
    <row r="276">
      <c r="A276" s="30"/>
      <c r="B276" s="30" t="str">
        <f t="array" ref="B276">IF($A276="", "", LET(bbgm_stat, INDEX(Players!$A275:$P275, MATCH(B$2, Players!$A$1:$P$1, 0)), perc_75, VLOOKUP(B$2, Percentiles!$A$45:$I$59, 6, FALSE), perc_90, VLOOKUP(B$2, Percentiles!$A$45:$I$59, 7, FALSE), perc_95, VLOOKUP(B$2, Percentiles!$A$45:$I$59, 8, FALSE), perc_85, perc_75 + (perc_90 - perc_75) * (2/3), converted_stat, '2K_Ratings'!B276, IF(bbgm_stat &gt;= perc_95, converted_stat * 3, IF(bbgm_stat &gt;= perc_90, converted_stat * 2, IF(bbgm_stat &gt;= perc_85, converted_stat * 1.5, converted_stat)))))</f>
        <v/>
      </c>
      <c r="C276" s="30" t="str">
        <f t="array" ref="C276">IF($A276="", "", LET(bbgm_stat, INDEX(Players!$A275:$P275, MATCH(C$2, Players!$A$1:$P$1, 0)), perc_75, VLOOKUP(C$2, Percentiles!$A$45:$I$59, 6, FALSE), perc_90, VLOOKUP(C$2, Percentiles!$A$45:$I$59, 7, FALSE), perc_95, VLOOKUP(C$2, Percentiles!$A$45:$I$59, 8, FALSE), perc_85, perc_75 + (perc_90 - perc_75) * (2/3), converted_stat, '2K_Ratings'!C276, IF(bbgm_stat &gt;= perc_95, converted_stat * 3, IF(bbgm_stat &gt;= perc_90, converted_stat * 2, IF(bbgm_stat &gt;= perc_85, converted_stat * 1.5, converted_stat)))))</f>
        <v/>
      </c>
      <c r="D276" s="30" t="str">
        <f t="array" ref="D276">IF($A276="", "", LET(bbgm_stat, INDEX(Players!$A275:$P275, MATCH(D$2, Players!$A$1:$P$1, 0)), perc_75, VLOOKUP(D$2, Percentiles!$A$45:$I$59, 6, FALSE), perc_90, VLOOKUP(D$2, Percentiles!$A$45:$I$59, 7, FALSE), perc_95, VLOOKUP(D$2, Percentiles!$A$45:$I$59, 8, FALSE), perc_85, perc_75 + (perc_90 - perc_75) * (2/3), converted_stat, '2K_Ratings'!D276, IF(bbgm_stat &gt;= perc_95, converted_stat * 3, IF(bbgm_stat &gt;= perc_90, converted_stat * 2, IF(bbgm_stat &gt;= perc_85, converted_stat * 1.5, converted_stat)))))</f>
        <v/>
      </c>
      <c r="E276" s="30" t="str">
        <f t="array" ref="E276">IF($A276="", "", LET(bbgm_stat, INDEX(Players!$A275:$P275, MATCH(E$2, Players!$A$1:$P$1, 0)), perc_75, VLOOKUP(E$2, Percentiles!$A$45:$I$59, 6, FALSE), perc_90, VLOOKUP(E$2, Percentiles!$A$45:$I$59, 7, FALSE), perc_95, VLOOKUP(E$2, Percentiles!$A$45:$I$59, 8, FALSE), perc_85, perc_75 + (perc_90 - perc_75) * (2/3), converted_stat, '2K_Ratings'!E276, IF(bbgm_stat &gt;= perc_95, converted_stat * 3, IF(bbgm_stat &gt;= perc_90, converted_stat * 2, IF(bbgm_stat &gt;= perc_85, converted_stat * 1.5, converted_stat)))))</f>
        <v/>
      </c>
      <c r="F276" s="30" t="str">
        <f t="array" ref="F276">IF($A276="", "", LET(bbgm_stat, INDEX(Players!$A275:$P275, MATCH(F$2, Players!$A$1:$P$1, 0)), perc_75, VLOOKUP(F$2, Percentiles!$A$45:$I$59, 6, FALSE), perc_90, VLOOKUP(F$2, Percentiles!$A$45:$I$59, 7, FALSE), perc_95, VLOOKUP(F$2, Percentiles!$A$45:$I$59, 8, FALSE), perc_85, perc_75 + (perc_90 - perc_75) * (2/3), converted_stat, '2K_Ratings'!F276, IF(bbgm_stat &gt;= perc_95, converted_stat * 3, IF(bbgm_stat &gt;= perc_90, converted_stat * 2, IF(bbgm_stat &gt;= perc_85, converted_stat * 1.5, converted_stat)))))</f>
        <v/>
      </c>
      <c r="G276" s="30" t="str">
        <f t="array" ref="G276">IF($A276="", "", LET(bbgm_stat, INDEX(Players!$A275:$P275, MATCH(G$2, Players!$A$1:$P$1, 0)), perc_75, VLOOKUP(G$2, Percentiles!$A$45:$I$59, 6, FALSE), perc_90, VLOOKUP(G$2, Percentiles!$A$45:$I$59, 7, FALSE), perc_95, VLOOKUP(G$2, Percentiles!$A$45:$I$59, 8, FALSE), perc_85, perc_75 + (perc_90 - perc_75) * (2/3), converted_stat, '2K_Ratings'!G276, IF(bbgm_stat &gt;= perc_95, converted_stat * 3, IF(bbgm_stat &gt;= perc_90, converted_stat * 2, IF(bbgm_stat &gt;= perc_85, converted_stat * 1.5, converted_stat)))))</f>
        <v/>
      </c>
      <c r="H276" s="30" t="str">
        <f t="array" ref="H276">IF($A276="", "", LET(bbgm_stat, INDEX(Players!$A275:$P275, MATCH(H$2, Players!$A$1:$P$1, 0)), perc_75, VLOOKUP(H$2, Percentiles!$A$45:$I$59, 6, FALSE), perc_90, VLOOKUP(H$2, Percentiles!$A$45:$I$59, 7, FALSE), perc_95, VLOOKUP(H$2, Percentiles!$A$45:$I$59, 8, FALSE), perc_85, perc_75 + (perc_90 - perc_75) * (2/3), converted_stat, '2K_Ratings'!H276, IF(bbgm_stat &gt;= perc_95, converted_stat * 3, IF(bbgm_stat &gt;= perc_90, converted_stat * 2, IF(bbgm_stat &gt;= perc_85, converted_stat * 1.5, converted_stat)))))</f>
        <v/>
      </c>
      <c r="I276" s="30" t="str">
        <f t="array" ref="I276">IF($A276="", "", LET(bbgm_stat, INDEX(Players!$A275:$P275, MATCH(I$2, Players!$A$1:$P$1, 0)), perc_75, VLOOKUP(I$2, Percentiles!$A$45:$I$59, 6, FALSE), perc_90, VLOOKUP(I$2, Percentiles!$A$45:$I$59, 7, FALSE), perc_95, VLOOKUP(I$2, Percentiles!$A$45:$I$59, 8, FALSE), perc_85, perc_75 + (perc_90 - perc_75) * (2/3), converted_stat, '2K_Ratings'!I276, IF(bbgm_stat &gt;= perc_95, converted_stat * 3, IF(bbgm_stat &gt;= perc_90, converted_stat * 2, IF(bbgm_stat &gt;= perc_85, converted_stat * 1.5, converted_stat)))))</f>
        <v/>
      </c>
      <c r="J276" s="30" t="str">
        <f t="array" ref="J276">IF($A276="", "", LET(bbgm_stat, INDEX(Players!$A275:$P275, MATCH(J$2, Players!$A$1:$P$1, 0)), perc_75, VLOOKUP(J$2, Percentiles!$A$45:$I$59, 6, FALSE), perc_90, VLOOKUP(J$2, Percentiles!$A$45:$I$59, 7, FALSE), perc_95, VLOOKUP(J$2, Percentiles!$A$45:$I$59, 8, FALSE), perc_85, perc_75 + (perc_90 - perc_75) * (2/3), converted_stat, '2K_Ratings'!J276, IF(bbgm_stat &gt;= perc_95, converted_stat * 3, IF(bbgm_stat &gt;= perc_90, converted_stat * 2, IF(bbgm_stat &gt;= perc_85, converted_stat * 1.5, converted_stat)))))</f>
        <v/>
      </c>
      <c r="K276" s="30" t="str">
        <f t="array" ref="K276">IF($A276="", "", LET(bbgm_stat, INDEX(Players!$A275:$P275, MATCH(K$2, Players!$A$1:$P$1, 0)), perc_75, VLOOKUP(K$2, Percentiles!$A$45:$I$59, 6, FALSE), perc_90, VLOOKUP(K$2, Percentiles!$A$45:$I$59, 7, FALSE), perc_95, VLOOKUP(K$2, Percentiles!$A$45:$I$59, 8, FALSE), perc_85, perc_75 + (perc_90 - perc_75) * (2/3), converted_stat, '2K_Ratings'!K276, IF(bbgm_stat &gt;= perc_95, converted_stat * 3, IF(bbgm_stat &gt;= perc_90, converted_stat * 2, IF(bbgm_stat &gt;= perc_85, converted_stat * 1.5, converted_stat)))))</f>
        <v/>
      </c>
      <c r="L276" s="30" t="str">
        <f t="array" ref="L276">IF($A276="", "", LET(bbgm_stat, INDEX(Players!$A275:$P275, MATCH(L$2, Players!$A$1:$P$1, 0)), perc_75, VLOOKUP(L$2, Percentiles!$A$45:$I$59, 6, FALSE), perc_90, VLOOKUP(L$2, Percentiles!$A$45:$I$59, 7, FALSE), perc_95, VLOOKUP(L$2, Percentiles!$A$45:$I$59, 8, FALSE), perc_85, perc_75 + (perc_90 - perc_75) * (2/3), converted_stat, '2K_Ratings'!L276, IF(bbgm_stat &gt;= perc_95, converted_stat * 3, IF(bbgm_stat &gt;= perc_90, converted_stat * 2, IF(bbgm_stat &gt;= perc_85, converted_stat * 1.5, converted_stat)))))</f>
        <v/>
      </c>
      <c r="M276" s="30" t="str">
        <f t="array" ref="M276">IF($A276="", "", LET(bbgm_stat, INDEX(Players!$A275:$P275, MATCH(M$2, Players!$A$1:$P$1, 0)), perc_75, VLOOKUP(M$2, Percentiles!$A$45:$I$59, 6, FALSE), perc_90, VLOOKUP(M$2, Percentiles!$A$45:$I$59, 7, FALSE), perc_95, VLOOKUP(M$2, Percentiles!$A$45:$I$59, 8, FALSE), perc_85, perc_75 + (perc_90 - perc_75) * (2/3), converted_stat, '2K_Ratings'!M276, IF(bbgm_stat &gt;= perc_95, converted_stat * 3, IF(bbgm_stat &gt;= perc_90, converted_stat * 2, IF(bbgm_stat &gt;= perc_85, converted_stat * 1.5, converted_stat)))))</f>
        <v/>
      </c>
      <c r="N276" s="30" t="str">
        <f t="array" ref="N276">IF($A276="", "", LET(bbgm_stat, INDEX(Players!$A275:$P275, MATCH(N$2, Players!$A$1:$P$1, 0)), perc_75, VLOOKUP(N$2, Percentiles!$A$45:$I$59, 6, FALSE), perc_90, VLOOKUP(N$2, Percentiles!$A$45:$I$59, 7, FALSE), perc_95, VLOOKUP(N$2, Percentiles!$A$45:$I$59, 8, FALSE), perc_85, perc_75 + (perc_90 - perc_75) * (2/3), converted_stat, '2K_Ratings'!N276, IF(bbgm_stat &gt;= perc_95, converted_stat * 3, IF(bbgm_stat &gt;= perc_90, converted_stat * 2, IF(bbgm_stat &gt;= perc_85, converted_stat * 1.5, converted_stat)))))</f>
        <v/>
      </c>
      <c r="O276" s="30" t="str">
        <f t="array" ref="O276">IF($A276="", "", LET(bbgm_stat, INDEX(Players!$A275:$P275, MATCH(O$2, Players!$A$1:$P$1, 0)), perc_75, VLOOKUP(O$2, Percentiles!$A$45:$I$59, 6, FALSE), perc_90, VLOOKUP(O$2, Percentiles!$A$45:$I$59, 7, FALSE), perc_95, VLOOKUP(O$2, Percentiles!$A$45:$I$59, 8, FALSE), perc_85, perc_75 + (perc_90 - perc_75) * (2/3), converted_stat, '2K_Ratings'!O276, IF(bbgm_stat &gt;= perc_95, converted_stat * 3, IF(bbgm_stat &gt;= perc_90, converted_stat * 2, IF(bbgm_stat &gt;= perc_85, converted_stat * 1.5, converted_stat)))))</f>
        <v/>
      </c>
      <c r="P276" s="30" t="str">
        <f t="array" ref="P276">IF($A276="", "", LET(bbgm_stat, INDEX(Players!$A275:$P275, MATCH(P$2, Players!$A$1:$P$1, 0)), perc_75, VLOOKUP(P$2, Percentiles!$A$45:$I$59, 6, FALSE), perc_90, VLOOKUP(P$2, Percentiles!$A$45:$I$59, 7, FALSE), perc_95, VLOOKUP(P$2, Percentiles!$A$45:$I$59, 8, FALSE), perc_85, perc_75 + (perc_90 - perc_75) * (2/3), converted_stat, '2K_Ratings'!P276, IF(bbgm_stat &gt;= perc_95, converted_stat * 3, IF(bbgm_stat &gt;= perc_90, converted_stat * 2, IF(bbgm_stat &gt;= perc_85, converted_stat * 1.5, converted_stat)))))</f>
        <v/>
      </c>
      <c r="Q276" s="30" t="str">
        <f t="array" ref="Q276">IF($A276="", "", LET(bbgm_stat, INDEX(Players!$A275:$P275, MATCH(Q$2, Players!$A$1:$P$1, 0)), perc_75, VLOOKUP(Q$2, Percentiles!$A$45:$I$59, 6, FALSE), perc_90, VLOOKUP(Q$2, Percentiles!$A$45:$I$59, 7, FALSE), perc_95, VLOOKUP(Q$2, Percentiles!$A$45:$I$59, 8, FALSE), perc_85, perc_75 + (perc_90 - perc_75) * (2/3), converted_stat, '2K_Ratings'!Q276, IF(bbgm_stat &gt;= perc_95, converted_stat * 3, IF(bbgm_stat &gt;= perc_90, converted_stat * 2, IF(bbgm_stat &gt;= perc_85, converted_stat * 1.5, converted_stat)))))</f>
        <v/>
      </c>
      <c r="R276" s="30" t="str">
        <f t="array" ref="R276">IF($A276="", "", LET(bbgm_stat, INDEX(Players!$A275:$P275, MATCH(R$2, Players!$A$1:$P$1, 0)), perc_75, VLOOKUP(R$2, Percentiles!$A$45:$I$59, 6, FALSE), perc_90, VLOOKUP(R$2, Percentiles!$A$45:$I$59, 7, FALSE), perc_95, VLOOKUP(R$2, Percentiles!$A$45:$I$59, 8, FALSE), perc_85, perc_75 + (perc_90 - perc_75) * (2/3), converted_stat, '2K_Ratings'!R276, IF(bbgm_stat &gt;= perc_95, converted_stat * 3, IF(bbgm_stat &gt;= perc_90, converted_stat * 2, IF(bbgm_stat &gt;= perc_85, converted_stat * 1.5, converted_stat)))))</f>
        <v/>
      </c>
      <c r="S276" s="30" t="str">
        <f t="array" ref="S276">IF($A276="", "", LET(bbgm_stat, INDEX(Players!$A275:$P275, MATCH(S$2, Players!$A$1:$P$1, 0)), perc_75, VLOOKUP(S$2, Percentiles!$A$45:$I$59, 6, FALSE), perc_90, VLOOKUP(S$2, Percentiles!$A$45:$I$59, 7, FALSE), perc_95, VLOOKUP(S$2, Percentiles!$A$45:$I$59, 8, FALSE), perc_85, perc_75 + (perc_90 - perc_75) * (2/3), converted_stat, '2K_Ratings'!S276, IF(bbgm_stat &gt;= perc_95, converted_stat * 3, IF(bbgm_stat &gt;= perc_90, converted_stat * 2, IF(bbgm_stat &gt;= perc_85, converted_stat * 1.5, converted_stat)))))</f>
        <v/>
      </c>
      <c r="T276" s="30" t="str">
        <f t="array" ref="T276">IF($A276="", "", LET(bbgm_stat, INDEX(Players!$A275:$P275, MATCH(T$2, Players!$A$1:$P$1, 0)), perc_75, VLOOKUP(T$2, Percentiles!$A$45:$I$59, 6, FALSE), perc_90, VLOOKUP(T$2, Percentiles!$A$45:$I$59, 7, FALSE), perc_95, VLOOKUP(T$2, Percentiles!$A$45:$I$59, 8, FALSE), perc_85, perc_75 + (perc_90 - perc_75) * (2/3), converted_stat, '2K_Ratings'!T276, IF(bbgm_stat &gt;= perc_95, converted_stat * 3, IF(bbgm_stat &gt;= perc_90, converted_stat * 2, IF(bbgm_stat &gt;= perc_85, converted_stat * 1.5, converted_stat)))))</f>
        <v/>
      </c>
      <c r="U276" s="30" t="str">
        <f t="array" ref="U276">IF($A276="", "", LET(bbgm_stat, INDEX(Players!$A275:$P275, MATCH(U$2, Players!$A$1:$P$1, 0)), perc_75, VLOOKUP(U$2, Percentiles!$A$45:$I$59, 6, FALSE), perc_90, VLOOKUP(U$2, Percentiles!$A$45:$I$59, 7, FALSE), perc_95, VLOOKUP(U$2, Percentiles!$A$45:$I$59, 8, FALSE), perc_85, perc_75 + (perc_90 - perc_75) * (2/3), converted_stat, '2K_Ratings'!U276, IF(bbgm_stat &gt;= perc_95, converted_stat * 3, IF(bbgm_stat &gt;= perc_90, converted_stat * 2, IF(bbgm_stat &gt;= perc_85, converted_stat * 1.5, converted_stat)))))</f>
        <v/>
      </c>
      <c r="V276" s="30" t="str">
        <f t="array" ref="V276">IF($A276="", "", LET(bbgm_stat, INDEX(Players!$A275:$P275, MATCH(V$2, Players!$A$1:$P$1, 0)), perc_75, VLOOKUP(V$2, Percentiles!$A$45:$I$59, 6, FALSE), perc_90, VLOOKUP(V$2, Percentiles!$A$45:$I$59, 7, FALSE), perc_95, VLOOKUP(V$2, Percentiles!$A$45:$I$59, 8, FALSE), perc_85, perc_75 + (perc_90 - perc_75) * (2/3), converted_stat, '2K_Ratings'!V276, IF(bbgm_stat &gt;= perc_95, converted_stat * 3, IF(bbgm_stat &gt;= perc_90, converted_stat * 2, IF(bbgm_stat &gt;= perc_85, converted_stat * 1.5, converted_stat)))))</f>
        <v/>
      </c>
      <c r="W276" s="30" t="str">
        <f t="array" ref="W276">IF($A276="", "", LET(bbgm_stat, INDEX(Players!$A275:$P275, MATCH(W$2, Players!$A$1:$P$1, 0)), perc_75, VLOOKUP(W$2, Percentiles!$A$45:$I$59, 6, FALSE), perc_90, VLOOKUP(W$2, Percentiles!$A$45:$I$59, 7, FALSE), perc_95, VLOOKUP(W$2, Percentiles!$A$45:$I$59, 8, FALSE), perc_85, perc_75 + (perc_90 - perc_75) * (2/3), converted_stat, '2K_Ratings'!W276, IF(bbgm_stat &gt;= perc_95, converted_stat * 3, IF(bbgm_stat &gt;= perc_90, converted_stat * 2, IF(bbgm_stat &gt;= perc_85, converted_stat * 1.5, converted_stat)))))</f>
        <v/>
      </c>
    </row>
    <row r="277">
      <c r="A277" s="30"/>
      <c r="B277" s="30" t="str">
        <f t="array" ref="B277">IF($A277="", "", LET(bbgm_stat, INDEX(Players!$A276:$P276, MATCH(B$2, Players!$A$1:$P$1, 0)), perc_75, VLOOKUP(B$2, Percentiles!$A$45:$I$59, 6, FALSE), perc_90, VLOOKUP(B$2, Percentiles!$A$45:$I$59, 7, FALSE), perc_95, VLOOKUP(B$2, Percentiles!$A$45:$I$59, 8, FALSE), perc_85, perc_75 + (perc_90 - perc_75) * (2/3), converted_stat, '2K_Ratings'!B277, IF(bbgm_stat &gt;= perc_95, converted_stat * 3, IF(bbgm_stat &gt;= perc_90, converted_stat * 2, IF(bbgm_stat &gt;= perc_85, converted_stat * 1.5, converted_stat)))))</f>
        <v/>
      </c>
      <c r="C277" s="30" t="str">
        <f t="array" ref="C277">IF($A277="", "", LET(bbgm_stat, INDEX(Players!$A276:$P276, MATCH(C$2, Players!$A$1:$P$1, 0)), perc_75, VLOOKUP(C$2, Percentiles!$A$45:$I$59, 6, FALSE), perc_90, VLOOKUP(C$2, Percentiles!$A$45:$I$59, 7, FALSE), perc_95, VLOOKUP(C$2, Percentiles!$A$45:$I$59, 8, FALSE), perc_85, perc_75 + (perc_90 - perc_75) * (2/3), converted_stat, '2K_Ratings'!C277, IF(bbgm_stat &gt;= perc_95, converted_stat * 3, IF(bbgm_stat &gt;= perc_90, converted_stat * 2, IF(bbgm_stat &gt;= perc_85, converted_stat * 1.5, converted_stat)))))</f>
        <v/>
      </c>
      <c r="D277" s="30" t="str">
        <f t="array" ref="D277">IF($A277="", "", LET(bbgm_stat, INDEX(Players!$A276:$P276, MATCH(D$2, Players!$A$1:$P$1, 0)), perc_75, VLOOKUP(D$2, Percentiles!$A$45:$I$59, 6, FALSE), perc_90, VLOOKUP(D$2, Percentiles!$A$45:$I$59, 7, FALSE), perc_95, VLOOKUP(D$2, Percentiles!$A$45:$I$59, 8, FALSE), perc_85, perc_75 + (perc_90 - perc_75) * (2/3), converted_stat, '2K_Ratings'!D277, IF(bbgm_stat &gt;= perc_95, converted_stat * 3, IF(bbgm_stat &gt;= perc_90, converted_stat * 2, IF(bbgm_stat &gt;= perc_85, converted_stat * 1.5, converted_stat)))))</f>
        <v/>
      </c>
      <c r="E277" s="30" t="str">
        <f t="array" ref="E277">IF($A277="", "", LET(bbgm_stat, INDEX(Players!$A276:$P276, MATCH(E$2, Players!$A$1:$P$1, 0)), perc_75, VLOOKUP(E$2, Percentiles!$A$45:$I$59, 6, FALSE), perc_90, VLOOKUP(E$2, Percentiles!$A$45:$I$59, 7, FALSE), perc_95, VLOOKUP(E$2, Percentiles!$A$45:$I$59, 8, FALSE), perc_85, perc_75 + (perc_90 - perc_75) * (2/3), converted_stat, '2K_Ratings'!E277, IF(bbgm_stat &gt;= perc_95, converted_stat * 3, IF(bbgm_stat &gt;= perc_90, converted_stat * 2, IF(bbgm_stat &gt;= perc_85, converted_stat * 1.5, converted_stat)))))</f>
        <v/>
      </c>
      <c r="F277" s="30" t="str">
        <f t="array" ref="F277">IF($A277="", "", LET(bbgm_stat, INDEX(Players!$A276:$P276, MATCH(F$2, Players!$A$1:$P$1, 0)), perc_75, VLOOKUP(F$2, Percentiles!$A$45:$I$59, 6, FALSE), perc_90, VLOOKUP(F$2, Percentiles!$A$45:$I$59, 7, FALSE), perc_95, VLOOKUP(F$2, Percentiles!$A$45:$I$59, 8, FALSE), perc_85, perc_75 + (perc_90 - perc_75) * (2/3), converted_stat, '2K_Ratings'!F277, IF(bbgm_stat &gt;= perc_95, converted_stat * 3, IF(bbgm_stat &gt;= perc_90, converted_stat * 2, IF(bbgm_stat &gt;= perc_85, converted_stat * 1.5, converted_stat)))))</f>
        <v/>
      </c>
      <c r="G277" s="30" t="str">
        <f t="array" ref="G277">IF($A277="", "", LET(bbgm_stat, INDEX(Players!$A276:$P276, MATCH(G$2, Players!$A$1:$P$1, 0)), perc_75, VLOOKUP(G$2, Percentiles!$A$45:$I$59, 6, FALSE), perc_90, VLOOKUP(G$2, Percentiles!$A$45:$I$59, 7, FALSE), perc_95, VLOOKUP(G$2, Percentiles!$A$45:$I$59, 8, FALSE), perc_85, perc_75 + (perc_90 - perc_75) * (2/3), converted_stat, '2K_Ratings'!G277, IF(bbgm_stat &gt;= perc_95, converted_stat * 3, IF(bbgm_stat &gt;= perc_90, converted_stat * 2, IF(bbgm_stat &gt;= perc_85, converted_stat * 1.5, converted_stat)))))</f>
        <v/>
      </c>
      <c r="H277" s="30" t="str">
        <f t="array" ref="H277">IF($A277="", "", LET(bbgm_stat, INDEX(Players!$A276:$P276, MATCH(H$2, Players!$A$1:$P$1, 0)), perc_75, VLOOKUP(H$2, Percentiles!$A$45:$I$59, 6, FALSE), perc_90, VLOOKUP(H$2, Percentiles!$A$45:$I$59, 7, FALSE), perc_95, VLOOKUP(H$2, Percentiles!$A$45:$I$59, 8, FALSE), perc_85, perc_75 + (perc_90 - perc_75) * (2/3), converted_stat, '2K_Ratings'!H277, IF(bbgm_stat &gt;= perc_95, converted_stat * 3, IF(bbgm_stat &gt;= perc_90, converted_stat * 2, IF(bbgm_stat &gt;= perc_85, converted_stat * 1.5, converted_stat)))))</f>
        <v/>
      </c>
      <c r="I277" s="30" t="str">
        <f t="array" ref="I277">IF($A277="", "", LET(bbgm_stat, INDEX(Players!$A276:$P276, MATCH(I$2, Players!$A$1:$P$1, 0)), perc_75, VLOOKUP(I$2, Percentiles!$A$45:$I$59, 6, FALSE), perc_90, VLOOKUP(I$2, Percentiles!$A$45:$I$59, 7, FALSE), perc_95, VLOOKUP(I$2, Percentiles!$A$45:$I$59, 8, FALSE), perc_85, perc_75 + (perc_90 - perc_75) * (2/3), converted_stat, '2K_Ratings'!I277, IF(bbgm_stat &gt;= perc_95, converted_stat * 3, IF(bbgm_stat &gt;= perc_90, converted_stat * 2, IF(bbgm_stat &gt;= perc_85, converted_stat * 1.5, converted_stat)))))</f>
        <v/>
      </c>
      <c r="J277" s="30" t="str">
        <f t="array" ref="J277">IF($A277="", "", LET(bbgm_stat, INDEX(Players!$A276:$P276, MATCH(J$2, Players!$A$1:$P$1, 0)), perc_75, VLOOKUP(J$2, Percentiles!$A$45:$I$59, 6, FALSE), perc_90, VLOOKUP(J$2, Percentiles!$A$45:$I$59, 7, FALSE), perc_95, VLOOKUP(J$2, Percentiles!$A$45:$I$59, 8, FALSE), perc_85, perc_75 + (perc_90 - perc_75) * (2/3), converted_stat, '2K_Ratings'!J277, IF(bbgm_stat &gt;= perc_95, converted_stat * 3, IF(bbgm_stat &gt;= perc_90, converted_stat * 2, IF(bbgm_stat &gt;= perc_85, converted_stat * 1.5, converted_stat)))))</f>
        <v/>
      </c>
      <c r="K277" s="30" t="str">
        <f t="array" ref="K277">IF($A277="", "", LET(bbgm_stat, INDEX(Players!$A276:$P276, MATCH(K$2, Players!$A$1:$P$1, 0)), perc_75, VLOOKUP(K$2, Percentiles!$A$45:$I$59, 6, FALSE), perc_90, VLOOKUP(K$2, Percentiles!$A$45:$I$59, 7, FALSE), perc_95, VLOOKUP(K$2, Percentiles!$A$45:$I$59, 8, FALSE), perc_85, perc_75 + (perc_90 - perc_75) * (2/3), converted_stat, '2K_Ratings'!K277, IF(bbgm_stat &gt;= perc_95, converted_stat * 3, IF(bbgm_stat &gt;= perc_90, converted_stat * 2, IF(bbgm_stat &gt;= perc_85, converted_stat * 1.5, converted_stat)))))</f>
        <v/>
      </c>
      <c r="L277" s="30" t="str">
        <f t="array" ref="L277">IF($A277="", "", LET(bbgm_stat, INDEX(Players!$A276:$P276, MATCH(L$2, Players!$A$1:$P$1, 0)), perc_75, VLOOKUP(L$2, Percentiles!$A$45:$I$59, 6, FALSE), perc_90, VLOOKUP(L$2, Percentiles!$A$45:$I$59, 7, FALSE), perc_95, VLOOKUP(L$2, Percentiles!$A$45:$I$59, 8, FALSE), perc_85, perc_75 + (perc_90 - perc_75) * (2/3), converted_stat, '2K_Ratings'!L277, IF(bbgm_stat &gt;= perc_95, converted_stat * 3, IF(bbgm_stat &gt;= perc_90, converted_stat * 2, IF(bbgm_stat &gt;= perc_85, converted_stat * 1.5, converted_stat)))))</f>
        <v/>
      </c>
      <c r="M277" s="30" t="str">
        <f t="array" ref="M277">IF($A277="", "", LET(bbgm_stat, INDEX(Players!$A276:$P276, MATCH(M$2, Players!$A$1:$P$1, 0)), perc_75, VLOOKUP(M$2, Percentiles!$A$45:$I$59, 6, FALSE), perc_90, VLOOKUP(M$2, Percentiles!$A$45:$I$59, 7, FALSE), perc_95, VLOOKUP(M$2, Percentiles!$A$45:$I$59, 8, FALSE), perc_85, perc_75 + (perc_90 - perc_75) * (2/3), converted_stat, '2K_Ratings'!M277, IF(bbgm_stat &gt;= perc_95, converted_stat * 3, IF(bbgm_stat &gt;= perc_90, converted_stat * 2, IF(bbgm_stat &gt;= perc_85, converted_stat * 1.5, converted_stat)))))</f>
        <v/>
      </c>
      <c r="N277" s="30" t="str">
        <f t="array" ref="N277">IF($A277="", "", LET(bbgm_stat, INDEX(Players!$A276:$P276, MATCH(N$2, Players!$A$1:$P$1, 0)), perc_75, VLOOKUP(N$2, Percentiles!$A$45:$I$59, 6, FALSE), perc_90, VLOOKUP(N$2, Percentiles!$A$45:$I$59, 7, FALSE), perc_95, VLOOKUP(N$2, Percentiles!$A$45:$I$59, 8, FALSE), perc_85, perc_75 + (perc_90 - perc_75) * (2/3), converted_stat, '2K_Ratings'!N277, IF(bbgm_stat &gt;= perc_95, converted_stat * 3, IF(bbgm_stat &gt;= perc_90, converted_stat * 2, IF(bbgm_stat &gt;= perc_85, converted_stat * 1.5, converted_stat)))))</f>
        <v/>
      </c>
      <c r="O277" s="30" t="str">
        <f t="array" ref="O277">IF($A277="", "", LET(bbgm_stat, INDEX(Players!$A276:$P276, MATCH(O$2, Players!$A$1:$P$1, 0)), perc_75, VLOOKUP(O$2, Percentiles!$A$45:$I$59, 6, FALSE), perc_90, VLOOKUP(O$2, Percentiles!$A$45:$I$59, 7, FALSE), perc_95, VLOOKUP(O$2, Percentiles!$A$45:$I$59, 8, FALSE), perc_85, perc_75 + (perc_90 - perc_75) * (2/3), converted_stat, '2K_Ratings'!O277, IF(bbgm_stat &gt;= perc_95, converted_stat * 3, IF(bbgm_stat &gt;= perc_90, converted_stat * 2, IF(bbgm_stat &gt;= perc_85, converted_stat * 1.5, converted_stat)))))</f>
        <v/>
      </c>
      <c r="P277" s="30" t="str">
        <f t="array" ref="P277">IF($A277="", "", LET(bbgm_stat, INDEX(Players!$A276:$P276, MATCH(P$2, Players!$A$1:$P$1, 0)), perc_75, VLOOKUP(P$2, Percentiles!$A$45:$I$59, 6, FALSE), perc_90, VLOOKUP(P$2, Percentiles!$A$45:$I$59, 7, FALSE), perc_95, VLOOKUP(P$2, Percentiles!$A$45:$I$59, 8, FALSE), perc_85, perc_75 + (perc_90 - perc_75) * (2/3), converted_stat, '2K_Ratings'!P277, IF(bbgm_stat &gt;= perc_95, converted_stat * 3, IF(bbgm_stat &gt;= perc_90, converted_stat * 2, IF(bbgm_stat &gt;= perc_85, converted_stat * 1.5, converted_stat)))))</f>
        <v/>
      </c>
      <c r="Q277" s="30" t="str">
        <f t="array" ref="Q277">IF($A277="", "", LET(bbgm_stat, INDEX(Players!$A276:$P276, MATCH(Q$2, Players!$A$1:$P$1, 0)), perc_75, VLOOKUP(Q$2, Percentiles!$A$45:$I$59, 6, FALSE), perc_90, VLOOKUP(Q$2, Percentiles!$A$45:$I$59, 7, FALSE), perc_95, VLOOKUP(Q$2, Percentiles!$A$45:$I$59, 8, FALSE), perc_85, perc_75 + (perc_90 - perc_75) * (2/3), converted_stat, '2K_Ratings'!Q277, IF(bbgm_stat &gt;= perc_95, converted_stat * 3, IF(bbgm_stat &gt;= perc_90, converted_stat * 2, IF(bbgm_stat &gt;= perc_85, converted_stat * 1.5, converted_stat)))))</f>
        <v/>
      </c>
      <c r="R277" s="30" t="str">
        <f t="array" ref="R277">IF($A277="", "", LET(bbgm_stat, INDEX(Players!$A276:$P276, MATCH(R$2, Players!$A$1:$P$1, 0)), perc_75, VLOOKUP(R$2, Percentiles!$A$45:$I$59, 6, FALSE), perc_90, VLOOKUP(R$2, Percentiles!$A$45:$I$59, 7, FALSE), perc_95, VLOOKUP(R$2, Percentiles!$A$45:$I$59, 8, FALSE), perc_85, perc_75 + (perc_90 - perc_75) * (2/3), converted_stat, '2K_Ratings'!R277, IF(bbgm_stat &gt;= perc_95, converted_stat * 3, IF(bbgm_stat &gt;= perc_90, converted_stat * 2, IF(bbgm_stat &gt;= perc_85, converted_stat * 1.5, converted_stat)))))</f>
        <v/>
      </c>
      <c r="S277" s="30" t="str">
        <f t="array" ref="S277">IF($A277="", "", LET(bbgm_stat, INDEX(Players!$A276:$P276, MATCH(S$2, Players!$A$1:$P$1, 0)), perc_75, VLOOKUP(S$2, Percentiles!$A$45:$I$59, 6, FALSE), perc_90, VLOOKUP(S$2, Percentiles!$A$45:$I$59, 7, FALSE), perc_95, VLOOKUP(S$2, Percentiles!$A$45:$I$59, 8, FALSE), perc_85, perc_75 + (perc_90 - perc_75) * (2/3), converted_stat, '2K_Ratings'!S277, IF(bbgm_stat &gt;= perc_95, converted_stat * 3, IF(bbgm_stat &gt;= perc_90, converted_stat * 2, IF(bbgm_stat &gt;= perc_85, converted_stat * 1.5, converted_stat)))))</f>
        <v/>
      </c>
      <c r="T277" s="30" t="str">
        <f t="array" ref="T277">IF($A277="", "", LET(bbgm_stat, INDEX(Players!$A276:$P276, MATCH(T$2, Players!$A$1:$P$1, 0)), perc_75, VLOOKUP(T$2, Percentiles!$A$45:$I$59, 6, FALSE), perc_90, VLOOKUP(T$2, Percentiles!$A$45:$I$59, 7, FALSE), perc_95, VLOOKUP(T$2, Percentiles!$A$45:$I$59, 8, FALSE), perc_85, perc_75 + (perc_90 - perc_75) * (2/3), converted_stat, '2K_Ratings'!T277, IF(bbgm_stat &gt;= perc_95, converted_stat * 3, IF(bbgm_stat &gt;= perc_90, converted_stat * 2, IF(bbgm_stat &gt;= perc_85, converted_stat * 1.5, converted_stat)))))</f>
        <v/>
      </c>
      <c r="U277" s="30" t="str">
        <f t="array" ref="U277">IF($A277="", "", LET(bbgm_stat, INDEX(Players!$A276:$P276, MATCH(U$2, Players!$A$1:$P$1, 0)), perc_75, VLOOKUP(U$2, Percentiles!$A$45:$I$59, 6, FALSE), perc_90, VLOOKUP(U$2, Percentiles!$A$45:$I$59, 7, FALSE), perc_95, VLOOKUP(U$2, Percentiles!$A$45:$I$59, 8, FALSE), perc_85, perc_75 + (perc_90 - perc_75) * (2/3), converted_stat, '2K_Ratings'!U277, IF(bbgm_stat &gt;= perc_95, converted_stat * 3, IF(bbgm_stat &gt;= perc_90, converted_stat * 2, IF(bbgm_stat &gt;= perc_85, converted_stat * 1.5, converted_stat)))))</f>
        <v/>
      </c>
      <c r="V277" s="30" t="str">
        <f t="array" ref="V277">IF($A277="", "", LET(bbgm_stat, INDEX(Players!$A276:$P276, MATCH(V$2, Players!$A$1:$P$1, 0)), perc_75, VLOOKUP(V$2, Percentiles!$A$45:$I$59, 6, FALSE), perc_90, VLOOKUP(V$2, Percentiles!$A$45:$I$59, 7, FALSE), perc_95, VLOOKUP(V$2, Percentiles!$A$45:$I$59, 8, FALSE), perc_85, perc_75 + (perc_90 - perc_75) * (2/3), converted_stat, '2K_Ratings'!V277, IF(bbgm_stat &gt;= perc_95, converted_stat * 3, IF(bbgm_stat &gt;= perc_90, converted_stat * 2, IF(bbgm_stat &gt;= perc_85, converted_stat * 1.5, converted_stat)))))</f>
        <v/>
      </c>
      <c r="W277" s="30" t="str">
        <f t="array" ref="W277">IF($A277="", "", LET(bbgm_stat, INDEX(Players!$A276:$P276, MATCH(W$2, Players!$A$1:$P$1, 0)), perc_75, VLOOKUP(W$2, Percentiles!$A$45:$I$59, 6, FALSE), perc_90, VLOOKUP(W$2, Percentiles!$A$45:$I$59, 7, FALSE), perc_95, VLOOKUP(W$2, Percentiles!$A$45:$I$59, 8, FALSE), perc_85, perc_75 + (perc_90 - perc_75) * (2/3), converted_stat, '2K_Ratings'!W277, IF(bbgm_stat &gt;= perc_95, converted_stat * 3, IF(bbgm_stat &gt;= perc_90, converted_stat * 2, IF(bbgm_stat &gt;= perc_85, converted_stat * 1.5, converted_stat)))))</f>
        <v/>
      </c>
    </row>
    <row r="278">
      <c r="A278" s="30"/>
      <c r="B278" s="30" t="str">
        <f t="array" ref="B278">IF($A278="", "", LET(bbgm_stat, INDEX(Players!$A277:$P277, MATCH(B$2, Players!$A$1:$P$1, 0)), perc_75, VLOOKUP(B$2, Percentiles!$A$45:$I$59, 6, FALSE), perc_90, VLOOKUP(B$2, Percentiles!$A$45:$I$59, 7, FALSE), perc_95, VLOOKUP(B$2, Percentiles!$A$45:$I$59, 8, FALSE), perc_85, perc_75 + (perc_90 - perc_75) * (2/3), converted_stat, '2K_Ratings'!B278, IF(bbgm_stat &gt;= perc_95, converted_stat * 3, IF(bbgm_stat &gt;= perc_90, converted_stat * 2, IF(bbgm_stat &gt;= perc_85, converted_stat * 1.5, converted_stat)))))</f>
        <v/>
      </c>
      <c r="C278" s="30" t="str">
        <f t="array" ref="C278">IF($A278="", "", LET(bbgm_stat, INDEX(Players!$A277:$P277, MATCH(C$2, Players!$A$1:$P$1, 0)), perc_75, VLOOKUP(C$2, Percentiles!$A$45:$I$59, 6, FALSE), perc_90, VLOOKUP(C$2, Percentiles!$A$45:$I$59, 7, FALSE), perc_95, VLOOKUP(C$2, Percentiles!$A$45:$I$59, 8, FALSE), perc_85, perc_75 + (perc_90 - perc_75) * (2/3), converted_stat, '2K_Ratings'!C278, IF(bbgm_stat &gt;= perc_95, converted_stat * 3, IF(bbgm_stat &gt;= perc_90, converted_stat * 2, IF(bbgm_stat &gt;= perc_85, converted_stat * 1.5, converted_stat)))))</f>
        <v/>
      </c>
      <c r="D278" s="30" t="str">
        <f t="array" ref="D278">IF($A278="", "", LET(bbgm_stat, INDEX(Players!$A277:$P277, MATCH(D$2, Players!$A$1:$P$1, 0)), perc_75, VLOOKUP(D$2, Percentiles!$A$45:$I$59, 6, FALSE), perc_90, VLOOKUP(D$2, Percentiles!$A$45:$I$59, 7, FALSE), perc_95, VLOOKUP(D$2, Percentiles!$A$45:$I$59, 8, FALSE), perc_85, perc_75 + (perc_90 - perc_75) * (2/3), converted_stat, '2K_Ratings'!D278, IF(bbgm_stat &gt;= perc_95, converted_stat * 3, IF(bbgm_stat &gt;= perc_90, converted_stat * 2, IF(bbgm_stat &gt;= perc_85, converted_stat * 1.5, converted_stat)))))</f>
        <v/>
      </c>
      <c r="E278" s="30" t="str">
        <f t="array" ref="E278">IF($A278="", "", LET(bbgm_stat, INDEX(Players!$A277:$P277, MATCH(E$2, Players!$A$1:$P$1, 0)), perc_75, VLOOKUP(E$2, Percentiles!$A$45:$I$59, 6, FALSE), perc_90, VLOOKUP(E$2, Percentiles!$A$45:$I$59, 7, FALSE), perc_95, VLOOKUP(E$2, Percentiles!$A$45:$I$59, 8, FALSE), perc_85, perc_75 + (perc_90 - perc_75) * (2/3), converted_stat, '2K_Ratings'!E278, IF(bbgm_stat &gt;= perc_95, converted_stat * 3, IF(bbgm_stat &gt;= perc_90, converted_stat * 2, IF(bbgm_stat &gt;= perc_85, converted_stat * 1.5, converted_stat)))))</f>
        <v/>
      </c>
      <c r="F278" s="30" t="str">
        <f t="array" ref="F278">IF($A278="", "", LET(bbgm_stat, INDEX(Players!$A277:$P277, MATCH(F$2, Players!$A$1:$P$1, 0)), perc_75, VLOOKUP(F$2, Percentiles!$A$45:$I$59, 6, FALSE), perc_90, VLOOKUP(F$2, Percentiles!$A$45:$I$59, 7, FALSE), perc_95, VLOOKUP(F$2, Percentiles!$A$45:$I$59, 8, FALSE), perc_85, perc_75 + (perc_90 - perc_75) * (2/3), converted_stat, '2K_Ratings'!F278, IF(bbgm_stat &gt;= perc_95, converted_stat * 3, IF(bbgm_stat &gt;= perc_90, converted_stat * 2, IF(bbgm_stat &gt;= perc_85, converted_stat * 1.5, converted_stat)))))</f>
        <v/>
      </c>
      <c r="G278" s="30" t="str">
        <f t="array" ref="G278">IF($A278="", "", LET(bbgm_stat, INDEX(Players!$A277:$P277, MATCH(G$2, Players!$A$1:$P$1, 0)), perc_75, VLOOKUP(G$2, Percentiles!$A$45:$I$59, 6, FALSE), perc_90, VLOOKUP(G$2, Percentiles!$A$45:$I$59, 7, FALSE), perc_95, VLOOKUP(G$2, Percentiles!$A$45:$I$59, 8, FALSE), perc_85, perc_75 + (perc_90 - perc_75) * (2/3), converted_stat, '2K_Ratings'!G278, IF(bbgm_stat &gt;= perc_95, converted_stat * 3, IF(bbgm_stat &gt;= perc_90, converted_stat * 2, IF(bbgm_stat &gt;= perc_85, converted_stat * 1.5, converted_stat)))))</f>
        <v/>
      </c>
      <c r="H278" s="30" t="str">
        <f t="array" ref="H278">IF($A278="", "", LET(bbgm_stat, INDEX(Players!$A277:$P277, MATCH(H$2, Players!$A$1:$P$1, 0)), perc_75, VLOOKUP(H$2, Percentiles!$A$45:$I$59, 6, FALSE), perc_90, VLOOKUP(H$2, Percentiles!$A$45:$I$59, 7, FALSE), perc_95, VLOOKUP(H$2, Percentiles!$A$45:$I$59, 8, FALSE), perc_85, perc_75 + (perc_90 - perc_75) * (2/3), converted_stat, '2K_Ratings'!H278, IF(bbgm_stat &gt;= perc_95, converted_stat * 3, IF(bbgm_stat &gt;= perc_90, converted_stat * 2, IF(bbgm_stat &gt;= perc_85, converted_stat * 1.5, converted_stat)))))</f>
        <v/>
      </c>
      <c r="I278" s="30" t="str">
        <f t="array" ref="I278">IF($A278="", "", LET(bbgm_stat, INDEX(Players!$A277:$P277, MATCH(I$2, Players!$A$1:$P$1, 0)), perc_75, VLOOKUP(I$2, Percentiles!$A$45:$I$59, 6, FALSE), perc_90, VLOOKUP(I$2, Percentiles!$A$45:$I$59, 7, FALSE), perc_95, VLOOKUP(I$2, Percentiles!$A$45:$I$59, 8, FALSE), perc_85, perc_75 + (perc_90 - perc_75) * (2/3), converted_stat, '2K_Ratings'!I278, IF(bbgm_stat &gt;= perc_95, converted_stat * 3, IF(bbgm_stat &gt;= perc_90, converted_stat * 2, IF(bbgm_stat &gt;= perc_85, converted_stat * 1.5, converted_stat)))))</f>
        <v/>
      </c>
      <c r="J278" s="30" t="str">
        <f t="array" ref="J278">IF($A278="", "", LET(bbgm_stat, INDEX(Players!$A277:$P277, MATCH(J$2, Players!$A$1:$P$1, 0)), perc_75, VLOOKUP(J$2, Percentiles!$A$45:$I$59, 6, FALSE), perc_90, VLOOKUP(J$2, Percentiles!$A$45:$I$59, 7, FALSE), perc_95, VLOOKUP(J$2, Percentiles!$A$45:$I$59, 8, FALSE), perc_85, perc_75 + (perc_90 - perc_75) * (2/3), converted_stat, '2K_Ratings'!J278, IF(bbgm_stat &gt;= perc_95, converted_stat * 3, IF(bbgm_stat &gt;= perc_90, converted_stat * 2, IF(bbgm_stat &gt;= perc_85, converted_stat * 1.5, converted_stat)))))</f>
        <v/>
      </c>
      <c r="K278" s="30" t="str">
        <f t="array" ref="K278">IF($A278="", "", LET(bbgm_stat, INDEX(Players!$A277:$P277, MATCH(K$2, Players!$A$1:$P$1, 0)), perc_75, VLOOKUP(K$2, Percentiles!$A$45:$I$59, 6, FALSE), perc_90, VLOOKUP(K$2, Percentiles!$A$45:$I$59, 7, FALSE), perc_95, VLOOKUP(K$2, Percentiles!$A$45:$I$59, 8, FALSE), perc_85, perc_75 + (perc_90 - perc_75) * (2/3), converted_stat, '2K_Ratings'!K278, IF(bbgm_stat &gt;= perc_95, converted_stat * 3, IF(bbgm_stat &gt;= perc_90, converted_stat * 2, IF(bbgm_stat &gt;= perc_85, converted_stat * 1.5, converted_stat)))))</f>
        <v/>
      </c>
      <c r="L278" s="30" t="str">
        <f t="array" ref="L278">IF($A278="", "", LET(bbgm_stat, INDEX(Players!$A277:$P277, MATCH(L$2, Players!$A$1:$P$1, 0)), perc_75, VLOOKUP(L$2, Percentiles!$A$45:$I$59, 6, FALSE), perc_90, VLOOKUP(L$2, Percentiles!$A$45:$I$59, 7, FALSE), perc_95, VLOOKUP(L$2, Percentiles!$A$45:$I$59, 8, FALSE), perc_85, perc_75 + (perc_90 - perc_75) * (2/3), converted_stat, '2K_Ratings'!L278, IF(bbgm_stat &gt;= perc_95, converted_stat * 3, IF(bbgm_stat &gt;= perc_90, converted_stat * 2, IF(bbgm_stat &gt;= perc_85, converted_stat * 1.5, converted_stat)))))</f>
        <v/>
      </c>
      <c r="M278" s="30" t="str">
        <f t="array" ref="M278">IF($A278="", "", LET(bbgm_stat, INDEX(Players!$A277:$P277, MATCH(M$2, Players!$A$1:$P$1, 0)), perc_75, VLOOKUP(M$2, Percentiles!$A$45:$I$59, 6, FALSE), perc_90, VLOOKUP(M$2, Percentiles!$A$45:$I$59, 7, FALSE), perc_95, VLOOKUP(M$2, Percentiles!$A$45:$I$59, 8, FALSE), perc_85, perc_75 + (perc_90 - perc_75) * (2/3), converted_stat, '2K_Ratings'!M278, IF(bbgm_stat &gt;= perc_95, converted_stat * 3, IF(bbgm_stat &gt;= perc_90, converted_stat * 2, IF(bbgm_stat &gt;= perc_85, converted_stat * 1.5, converted_stat)))))</f>
        <v/>
      </c>
      <c r="N278" s="30" t="str">
        <f t="array" ref="N278">IF($A278="", "", LET(bbgm_stat, INDEX(Players!$A277:$P277, MATCH(N$2, Players!$A$1:$P$1, 0)), perc_75, VLOOKUP(N$2, Percentiles!$A$45:$I$59, 6, FALSE), perc_90, VLOOKUP(N$2, Percentiles!$A$45:$I$59, 7, FALSE), perc_95, VLOOKUP(N$2, Percentiles!$A$45:$I$59, 8, FALSE), perc_85, perc_75 + (perc_90 - perc_75) * (2/3), converted_stat, '2K_Ratings'!N278, IF(bbgm_stat &gt;= perc_95, converted_stat * 3, IF(bbgm_stat &gt;= perc_90, converted_stat * 2, IF(bbgm_stat &gt;= perc_85, converted_stat * 1.5, converted_stat)))))</f>
        <v/>
      </c>
      <c r="O278" s="30" t="str">
        <f t="array" ref="O278">IF($A278="", "", LET(bbgm_stat, INDEX(Players!$A277:$P277, MATCH(O$2, Players!$A$1:$P$1, 0)), perc_75, VLOOKUP(O$2, Percentiles!$A$45:$I$59, 6, FALSE), perc_90, VLOOKUP(O$2, Percentiles!$A$45:$I$59, 7, FALSE), perc_95, VLOOKUP(O$2, Percentiles!$A$45:$I$59, 8, FALSE), perc_85, perc_75 + (perc_90 - perc_75) * (2/3), converted_stat, '2K_Ratings'!O278, IF(bbgm_stat &gt;= perc_95, converted_stat * 3, IF(bbgm_stat &gt;= perc_90, converted_stat * 2, IF(bbgm_stat &gt;= perc_85, converted_stat * 1.5, converted_stat)))))</f>
        <v/>
      </c>
      <c r="P278" s="30" t="str">
        <f t="array" ref="P278">IF($A278="", "", LET(bbgm_stat, INDEX(Players!$A277:$P277, MATCH(P$2, Players!$A$1:$P$1, 0)), perc_75, VLOOKUP(P$2, Percentiles!$A$45:$I$59, 6, FALSE), perc_90, VLOOKUP(P$2, Percentiles!$A$45:$I$59, 7, FALSE), perc_95, VLOOKUP(P$2, Percentiles!$A$45:$I$59, 8, FALSE), perc_85, perc_75 + (perc_90 - perc_75) * (2/3), converted_stat, '2K_Ratings'!P278, IF(bbgm_stat &gt;= perc_95, converted_stat * 3, IF(bbgm_stat &gt;= perc_90, converted_stat * 2, IF(bbgm_stat &gt;= perc_85, converted_stat * 1.5, converted_stat)))))</f>
        <v/>
      </c>
      <c r="Q278" s="30" t="str">
        <f t="array" ref="Q278">IF($A278="", "", LET(bbgm_stat, INDEX(Players!$A277:$P277, MATCH(Q$2, Players!$A$1:$P$1, 0)), perc_75, VLOOKUP(Q$2, Percentiles!$A$45:$I$59, 6, FALSE), perc_90, VLOOKUP(Q$2, Percentiles!$A$45:$I$59, 7, FALSE), perc_95, VLOOKUP(Q$2, Percentiles!$A$45:$I$59, 8, FALSE), perc_85, perc_75 + (perc_90 - perc_75) * (2/3), converted_stat, '2K_Ratings'!Q278, IF(bbgm_stat &gt;= perc_95, converted_stat * 3, IF(bbgm_stat &gt;= perc_90, converted_stat * 2, IF(bbgm_stat &gt;= perc_85, converted_stat * 1.5, converted_stat)))))</f>
        <v/>
      </c>
      <c r="R278" s="30" t="str">
        <f t="array" ref="R278">IF($A278="", "", LET(bbgm_stat, INDEX(Players!$A277:$P277, MATCH(R$2, Players!$A$1:$P$1, 0)), perc_75, VLOOKUP(R$2, Percentiles!$A$45:$I$59, 6, FALSE), perc_90, VLOOKUP(R$2, Percentiles!$A$45:$I$59, 7, FALSE), perc_95, VLOOKUP(R$2, Percentiles!$A$45:$I$59, 8, FALSE), perc_85, perc_75 + (perc_90 - perc_75) * (2/3), converted_stat, '2K_Ratings'!R278, IF(bbgm_stat &gt;= perc_95, converted_stat * 3, IF(bbgm_stat &gt;= perc_90, converted_stat * 2, IF(bbgm_stat &gt;= perc_85, converted_stat * 1.5, converted_stat)))))</f>
        <v/>
      </c>
      <c r="S278" s="30" t="str">
        <f t="array" ref="S278">IF($A278="", "", LET(bbgm_stat, INDEX(Players!$A277:$P277, MATCH(S$2, Players!$A$1:$P$1, 0)), perc_75, VLOOKUP(S$2, Percentiles!$A$45:$I$59, 6, FALSE), perc_90, VLOOKUP(S$2, Percentiles!$A$45:$I$59, 7, FALSE), perc_95, VLOOKUP(S$2, Percentiles!$A$45:$I$59, 8, FALSE), perc_85, perc_75 + (perc_90 - perc_75) * (2/3), converted_stat, '2K_Ratings'!S278, IF(bbgm_stat &gt;= perc_95, converted_stat * 3, IF(bbgm_stat &gt;= perc_90, converted_stat * 2, IF(bbgm_stat &gt;= perc_85, converted_stat * 1.5, converted_stat)))))</f>
        <v/>
      </c>
      <c r="T278" s="30" t="str">
        <f t="array" ref="T278">IF($A278="", "", LET(bbgm_stat, INDEX(Players!$A277:$P277, MATCH(T$2, Players!$A$1:$P$1, 0)), perc_75, VLOOKUP(T$2, Percentiles!$A$45:$I$59, 6, FALSE), perc_90, VLOOKUP(T$2, Percentiles!$A$45:$I$59, 7, FALSE), perc_95, VLOOKUP(T$2, Percentiles!$A$45:$I$59, 8, FALSE), perc_85, perc_75 + (perc_90 - perc_75) * (2/3), converted_stat, '2K_Ratings'!T278, IF(bbgm_stat &gt;= perc_95, converted_stat * 3, IF(bbgm_stat &gt;= perc_90, converted_stat * 2, IF(bbgm_stat &gt;= perc_85, converted_stat * 1.5, converted_stat)))))</f>
        <v/>
      </c>
      <c r="U278" s="30" t="str">
        <f t="array" ref="U278">IF($A278="", "", LET(bbgm_stat, INDEX(Players!$A277:$P277, MATCH(U$2, Players!$A$1:$P$1, 0)), perc_75, VLOOKUP(U$2, Percentiles!$A$45:$I$59, 6, FALSE), perc_90, VLOOKUP(U$2, Percentiles!$A$45:$I$59, 7, FALSE), perc_95, VLOOKUP(U$2, Percentiles!$A$45:$I$59, 8, FALSE), perc_85, perc_75 + (perc_90 - perc_75) * (2/3), converted_stat, '2K_Ratings'!U278, IF(bbgm_stat &gt;= perc_95, converted_stat * 3, IF(bbgm_stat &gt;= perc_90, converted_stat * 2, IF(bbgm_stat &gt;= perc_85, converted_stat * 1.5, converted_stat)))))</f>
        <v/>
      </c>
      <c r="V278" s="30" t="str">
        <f t="array" ref="V278">IF($A278="", "", LET(bbgm_stat, INDEX(Players!$A277:$P277, MATCH(V$2, Players!$A$1:$P$1, 0)), perc_75, VLOOKUP(V$2, Percentiles!$A$45:$I$59, 6, FALSE), perc_90, VLOOKUP(V$2, Percentiles!$A$45:$I$59, 7, FALSE), perc_95, VLOOKUP(V$2, Percentiles!$A$45:$I$59, 8, FALSE), perc_85, perc_75 + (perc_90 - perc_75) * (2/3), converted_stat, '2K_Ratings'!V278, IF(bbgm_stat &gt;= perc_95, converted_stat * 3, IF(bbgm_stat &gt;= perc_90, converted_stat * 2, IF(bbgm_stat &gt;= perc_85, converted_stat * 1.5, converted_stat)))))</f>
        <v/>
      </c>
      <c r="W278" s="30" t="str">
        <f t="array" ref="W278">IF($A278="", "", LET(bbgm_stat, INDEX(Players!$A277:$P277, MATCH(W$2, Players!$A$1:$P$1, 0)), perc_75, VLOOKUP(W$2, Percentiles!$A$45:$I$59, 6, FALSE), perc_90, VLOOKUP(W$2, Percentiles!$A$45:$I$59, 7, FALSE), perc_95, VLOOKUP(W$2, Percentiles!$A$45:$I$59, 8, FALSE), perc_85, perc_75 + (perc_90 - perc_75) * (2/3), converted_stat, '2K_Ratings'!W278, IF(bbgm_stat &gt;= perc_95, converted_stat * 3, IF(bbgm_stat &gt;= perc_90, converted_stat * 2, IF(bbgm_stat &gt;= perc_85, converted_stat * 1.5, converted_stat)))))</f>
        <v/>
      </c>
    </row>
    <row r="279">
      <c r="A279" s="30"/>
      <c r="B279" s="30" t="str">
        <f t="array" ref="B279">IF($A279="", "", LET(bbgm_stat, INDEX(Players!$A278:$P278, MATCH(B$2, Players!$A$1:$P$1, 0)), perc_75, VLOOKUP(B$2, Percentiles!$A$45:$I$59, 6, FALSE), perc_90, VLOOKUP(B$2, Percentiles!$A$45:$I$59, 7, FALSE), perc_95, VLOOKUP(B$2, Percentiles!$A$45:$I$59, 8, FALSE), perc_85, perc_75 + (perc_90 - perc_75) * (2/3), converted_stat, '2K_Ratings'!B279, IF(bbgm_stat &gt;= perc_95, converted_stat * 3, IF(bbgm_stat &gt;= perc_90, converted_stat * 2, IF(bbgm_stat &gt;= perc_85, converted_stat * 1.5, converted_stat)))))</f>
        <v/>
      </c>
      <c r="C279" s="30" t="str">
        <f t="array" ref="C279">IF($A279="", "", LET(bbgm_stat, INDEX(Players!$A278:$P278, MATCH(C$2, Players!$A$1:$P$1, 0)), perc_75, VLOOKUP(C$2, Percentiles!$A$45:$I$59, 6, FALSE), perc_90, VLOOKUP(C$2, Percentiles!$A$45:$I$59, 7, FALSE), perc_95, VLOOKUP(C$2, Percentiles!$A$45:$I$59, 8, FALSE), perc_85, perc_75 + (perc_90 - perc_75) * (2/3), converted_stat, '2K_Ratings'!C279, IF(bbgm_stat &gt;= perc_95, converted_stat * 3, IF(bbgm_stat &gt;= perc_90, converted_stat * 2, IF(bbgm_stat &gt;= perc_85, converted_stat * 1.5, converted_stat)))))</f>
        <v/>
      </c>
      <c r="D279" s="30" t="str">
        <f t="array" ref="D279">IF($A279="", "", LET(bbgm_stat, INDEX(Players!$A278:$P278, MATCH(D$2, Players!$A$1:$P$1, 0)), perc_75, VLOOKUP(D$2, Percentiles!$A$45:$I$59, 6, FALSE), perc_90, VLOOKUP(D$2, Percentiles!$A$45:$I$59, 7, FALSE), perc_95, VLOOKUP(D$2, Percentiles!$A$45:$I$59, 8, FALSE), perc_85, perc_75 + (perc_90 - perc_75) * (2/3), converted_stat, '2K_Ratings'!D279, IF(bbgm_stat &gt;= perc_95, converted_stat * 3, IF(bbgm_stat &gt;= perc_90, converted_stat * 2, IF(bbgm_stat &gt;= perc_85, converted_stat * 1.5, converted_stat)))))</f>
        <v/>
      </c>
      <c r="E279" s="30" t="str">
        <f t="array" ref="E279">IF($A279="", "", LET(bbgm_stat, INDEX(Players!$A278:$P278, MATCH(E$2, Players!$A$1:$P$1, 0)), perc_75, VLOOKUP(E$2, Percentiles!$A$45:$I$59, 6, FALSE), perc_90, VLOOKUP(E$2, Percentiles!$A$45:$I$59, 7, FALSE), perc_95, VLOOKUP(E$2, Percentiles!$A$45:$I$59, 8, FALSE), perc_85, perc_75 + (perc_90 - perc_75) * (2/3), converted_stat, '2K_Ratings'!E279, IF(bbgm_stat &gt;= perc_95, converted_stat * 3, IF(bbgm_stat &gt;= perc_90, converted_stat * 2, IF(bbgm_stat &gt;= perc_85, converted_stat * 1.5, converted_stat)))))</f>
        <v/>
      </c>
      <c r="F279" s="30" t="str">
        <f t="array" ref="F279">IF($A279="", "", LET(bbgm_stat, INDEX(Players!$A278:$P278, MATCH(F$2, Players!$A$1:$P$1, 0)), perc_75, VLOOKUP(F$2, Percentiles!$A$45:$I$59, 6, FALSE), perc_90, VLOOKUP(F$2, Percentiles!$A$45:$I$59, 7, FALSE), perc_95, VLOOKUP(F$2, Percentiles!$A$45:$I$59, 8, FALSE), perc_85, perc_75 + (perc_90 - perc_75) * (2/3), converted_stat, '2K_Ratings'!F279, IF(bbgm_stat &gt;= perc_95, converted_stat * 3, IF(bbgm_stat &gt;= perc_90, converted_stat * 2, IF(bbgm_stat &gt;= perc_85, converted_stat * 1.5, converted_stat)))))</f>
        <v/>
      </c>
      <c r="G279" s="30" t="str">
        <f t="array" ref="G279">IF($A279="", "", LET(bbgm_stat, INDEX(Players!$A278:$P278, MATCH(G$2, Players!$A$1:$P$1, 0)), perc_75, VLOOKUP(G$2, Percentiles!$A$45:$I$59, 6, FALSE), perc_90, VLOOKUP(G$2, Percentiles!$A$45:$I$59, 7, FALSE), perc_95, VLOOKUP(G$2, Percentiles!$A$45:$I$59, 8, FALSE), perc_85, perc_75 + (perc_90 - perc_75) * (2/3), converted_stat, '2K_Ratings'!G279, IF(bbgm_stat &gt;= perc_95, converted_stat * 3, IF(bbgm_stat &gt;= perc_90, converted_stat * 2, IF(bbgm_stat &gt;= perc_85, converted_stat * 1.5, converted_stat)))))</f>
        <v/>
      </c>
      <c r="H279" s="30" t="str">
        <f t="array" ref="H279">IF($A279="", "", LET(bbgm_stat, INDEX(Players!$A278:$P278, MATCH(H$2, Players!$A$1:$P$1, 0)), perc_75, VLOOKUP(H$2, Percentiles!$A$45:$I$59, 6, FALSE), perc_90, VLOOKUP(H$2, Percentiles!$A$45:$I$59, 7, FALSE), perc_95, VLOOKUP(H$2, Percentiles!$A$45:$I$59, 8, FALSE), perc_85, perc_75 + (perc_90 - perc_75) * (2/3), converted_stat, '2K_Ratings'!H279, IF(bbgm_stat &gt;= perc_95, converted_stat * 3, IF(bbgm_stat &gt;= perc_90, converted_stat * 2, IF(bbgm_stat &gt;= perc_85, converted_stat * 1.5, converted_stat)))))</f>
        <v/>
      </c>
      <c r="I279" s="30" t="str">
        <f t="array" ref="I279">IF($A279="", "", LET(bbgm_stat, INDEX(Players!$A278:$P278, MATCH(I$2, Players!$A$1:$P$1, 0)), perc_75, VLOOKUP(I$2, Percentiles!$A$45:$I$59, 6, FALSE), perc_90, VLOOKUP(I$2, Percentiles!$A$45:$I$59, 7, FALSE), perc_95, VLOOKUP(I$2, Percentiles!$A$45:$I$59, 8, FALSE), perc_85, perc_75 + (perc_90 - perc_75) * (2/3), converted_stat, '2K_Ratings'!I279, IF(bbgm_stat &gt;= perc_95, converted_stat * 3, IF(bbgm_stat &gt;= perc_90, converted_stat * 2, IF(bbgm_stat &gt;= perc_85, converted_stat * 1.5, converted_stat)))))</f>
        <v/>
      </c>
      <c r="J279" s="30" t="str">
        <f t="array" ref="J279">IF($A279="", "", LET(bbgm_stat, INDEX(Players!$A278:$P278, MATCH(J$2, Players!$A$1:$P$1, 0)), perc_75, VLOOKUP(J$2, Percentiles!$A$45:$I$59, 6, FALSE), perc_90, VLOOKUP(J$2, Percentiles!$A$45:$I$59, 7, FALSE), perc_95, VLOOKUP(J$2, Percentiles!$A$45:$I$59, 8, FALSE), perc_85, perc_75 + (perc_90 - perc_75) * (2/3), converted_stat, '2K_Ratings'!J279, IF(bbgm_stat &gt;= perc_95, converted_stat * 3, IF(bbgm_stat &gt;= perc_90, converted_stat * 2, IF(bbgm_stat &gt;= perc_85, converted_stat * 1.5, converted_stat)))))</f>
        <v/>
      </c>
      <c r="K279" s="30" t="str">
        <f t="array" ref="K279">IF($A279="", "", LET(bbgm_stat, INDEX(Players!$A278:$P278, MATCH(K$2, Players!$A$1:$P$1, 0)), perc_75, VLOOKUP(K$2, Percentiles!$A$45:$I$59, 6, FALSE), perc_90, VLOOKUP(K$2, Percentiles!$A$45:$I$59, 7, FALSE), perc_95, VLOOKUP(K$2, Percentiles!$A$45:$I$59, 8, FALSE), perc_85, perc_75 + (perc_90 - perc_75) * (2/3), converted_stat, '2K_Ratings'!K279, IF(bbgm_stat &gt;= perc_95, converted_stat * 3, IF(bbgm_stat &gt;= perc_90, converted_stat * 2, IF(bbgm_stat &gt;= perc_85, converted_stat * 1.5, converted_stat)))))</f>
        <v/>
      </c>
      <c r="L279" s="30" t="str">
        <f t="array" ref="L279">IF($A279="", "", LET(bbgm_stat, INDEX(Players!$A278:$P278, MATCH(L$2, Players!$A$1:$P$1, 0)), perc_75, VLOOKUP(L$2, Percentiles!$A$45:$I$59, 6, FALSE), perc_90, VLOOKUP(L$2, Percentiles!$A$45:$I$59, 7, FALSE), perc_95, VLOOKUP(L$2, Percentiles!$A$45:$I$59, 8, FALSE), perc_85, perc_75 + (perc_90 - perc_75) * (2/3), converted_stat, '2K_Ratings'!L279, IF(bbgm_stat &gt;= perc_95, converted_stat * 3, IF(bbgm_stat &gt;= perc_90, converted_stat * 2, IF(bbgm_stat &gt;= perc_85, converted_stat * 1.5, converted_stat)))))</f>
        <v/>
      </c>
      <c r="M279" s="30" t="str">
        <f t="array" ref="M279">IF($A279="", "", LET(bbgm_stat, INDEX(Players!$A278:$P278, MATCH(M$2, Players!$A$1:$P$1, 0)), perc_75, VLOOKUP(M$2, Percentiles!$A$45:$I$59, 6, FALSE), perc_90, VLOOKUP(M$2, Percentiles!$A$45:$I$59, 7, FALSE), perc_95, VLOOKUP(M$2, Percentiles!$A$45:$I$59, 8, FALSE), perc_85, perc_75 + (perc_90 - perc_75) * (2/3), converted_stat, '2K_Ratings'!M279, IF(bbgm_stat &gt;= perc_95, converted_stat * 3, IF(bbgm_stat &gt;= perc_90, converted_stat * 2, IF(bbgm_stat &gt;= perc_85, converted_stat * 1.5, converted_stat)))))</f>
        <v/>
      </c>
      <c r="N279" s="30" t="str">
        <f t="array" ref="N279">IF($A279="", "", LET(bbgm_stat, INDEX(Players!$A278:$P278, MATCH(N$2, Players!$A$1:$P$1, 0)), perc_75, VLOOKUP(N$2, Percentiles!$A$45:$I$59, 6, FALSE), perc_90, VLOOKUP(N$2, Percentiles!$A$45:$I$59, 7, FALSE), perc_95, VLOOKUP(N$2, Percentiles!$A$45:$I$59, 8, FALSE), perc_85, perc_75 + (perc_90 - perc_75) * (2/3), converted_stat, '2K_Ratings'!N279, IF(bbgm_stat &gt;= perc_95, converted_stat * 3, IF(bbgm_stat &gt;= perc_90, converted_stat * 2, IF(bbgm_stat &gt;= perc_85, converted_stat * 1.5, converted_stat)))))</f>
        <v/>
      </c>
      <c r="O279" s="30" t="str">
        <f t="array" ref="O279">IF($A279="", "", LET(bbgm_stat, INDEX(Players!$A278:$P278, MATCH(O$2, Players!$A$1:$P$1, 0)), perc_75, VLOOKUP(O$2, Percentiles!$A$45:$I$59, 6, FALSE), perc_90, VLOOKUP(O$2, Percentiles!$A$45:$I$59, 7, FALSE), perc_95, VLOOKUP(O$2, Percentiles!$A$45:$I$59, 8, FALSE), perc_85, perc_75 + (perc_90 - perc_75) * (2/3), converted_stat, '2K_Ratings'!O279, IF(bbgm_stat &gt;= perc_95, converted_stat * 3, IF(bbgm_stat &gt;= perc_90, converted_stat * 2, IF(bbgm_stat &gt;= perc_85, converted_stat * 1.5, converted_stat)))))</f>
        <v/>
      </c>
      <c r="P279" s="30" t="str">
        <f t="array" ref="P279">IF($A279="", "", LET(bbgm_stat, INDEX(Players!$A278:$P278, MATCH(P$2, Players!$A$1:$P$1, 0)), perc_75, VLOOKUP(P$2, Percentiles!$A$45:$I$59, 6, FALSE), perc_90, VLOOKUP(P$2, Percentiles!$A$45:$I$59, 7, FALSE), perc_95, VLOOKUP(P$2, Percentiles!$A$45:$I$59, 8, FALSE), perc_85, perc_75 + (perc_90 - perc_75) * (2/3), converted_stat, '2K_Ratings'!P279, IF(bbgm_stat &gt;= perc_95, converted_stat * 3, IF(bbgm_stat &gt;= perc_90, converted_stat * 2, IF(bbgm_stat &gt;= perc_85, converted_stat * 1.5, converted_stat)))))</f>
        <v/>
      </c>
      <c r="Q279" s="30" t="str">
        <f t="array" ref="Q279">IF($A279="", "", LET(bbgm_stat, INDEX(Players!$A278:$P278, MATCH(Q$2, Players!$A$1:$P$1, 0)), perc_75, VLOOKUP(Q$2, Percentiles!$A$45:$I$59, 6, FALSE), perc_90, VLOOKUP(Q$2, Percentiles!$A$45:$I$59, 7, FALSE), perc_95, VLOOKUP(Q$2, Percentiles!$A$45:$I$59, 8, FALSE), perc_85, perc_75 + (perc_90 - perc_75) * (2/3), converted_stat, '2K_Ratings'!Q279, IF(bbgm_stat &gt;= perc_95, converted_stat * 3, IF(bbgm_stat &gt;= perc_90, converted_stat * 2, IF(bbgm_stat &gt;= perc_85, converted_stat * 1.5, converted_stat)))))</f>
        <v/>
      </c>
      <c r="R279" s="30" t="str">
        <f t="array" ref="R279">IF($A279="", "", LET(bbgm_stat, INDEX(Players!$A278:$P278, MATCH(R$2, Players!$A$1:$P$1, 0)), perc_75, VLOOKUP(R$2, Percentiles!$A$45:$I$59, 6, FALSE), perc_90, VLOOKUP(R$2, Percentiles!$A$45:$I$59, 7, FALSE), perc_95, VLOOKUP(R$2, Percentiles!$A$45:$I$59, 8, FALSE), perc_85, perc_75 + (perc_90 - perc_75) * (2/3), converted_stat, '2K_Ratings'!R279, IF(bbgm_stat &gt;= perc_95, converted_stat * 3, IF(bbgm_stat &gt;= perc_90, converted_stat * 2, IF(bbgm_stat &gt;= perc_85, converted_stat * 1.5, converted_stat)))))</f>
        <v/>
      </c>
      <c r="S279" s="30" t="str">
        <f t="array" ref="S279">IF($A279="", "", LET(bbgm_stat, INDEX(Players!$A278:$P278, MATCH(S$2, Players!$A$1:$P$1, 0)), perc_75, VLOOKUP(S$2, Percentiles!$A$45:$I$59, 6, FALSE), perc_90, VLOOKUP(S$2, Percentiles!$A$45:$I$59, 7, FALSE), perc_95, VLOOKUP(S$2, Percentiles!$A$45:$I$59, 8, FALSE), perc_85, perc_75 + (perc_90 - perc_75) * (2/3), converted_stat, '2K_Ratings'!S279, IF(bbgm_stat &gt;= perc_95, converted_stat * 3, IF(bbgm_stat &gt;= perc_90, converted_stat * 2, IF(bbgm_stat &gt;= perc_85, converted_stat * 1.5, converted_stat)))))</f>
        <v/>
      </c>
      <c r="T279" s="30" t="str">
        <f t="array" ref="T279">IF($A279="", "", LET(bbgm_stat, INDEX(Players!$A278:$P278, MATCH(T$2, Players!$A$1:$P$1, 0)), perc_75, VLOOKUP(T$2, Percentiles!$A$45:$I$59, 6, FALSE), perc_90, VLOOKUP(T$2, Percentiles!$A$45:$I$59, 7, FALSE), perc_95, VLOOKUP(T$2, Percentiles!$A$45:$I$59, 8, FALSE), perc_85, perc_75 + (perc_90 - perc_75) * (2/3), converted_stat, '2K_Ratings'!T279, IF(bbgm_stat &gt;= perc_95, converted_stat * 3, IF(bbgm_stat &gt;= perc_90, converted_stat * 2, IF(bbgm_stat &gt;= perc_85, converted_stat * 1.5, converted_stat)))))</f>
        <v/>
      </c>
      <c r="U279" s="30" t="str">
        <f t="array" ref="U279">IF($A279="", "", LET(bbgm_stat, INDEX(Players!$A278:$P278, MATCH(U$2, Players!$A$1:$P$1, 0)), perc_75, VLOOKUP(U$2, Percentiles!$A$45:$I$59, 6, FALSE), perc_90, VLOOKUP(U$2, Percentiles!$A$45:$I$59, 7, FALSE), perc_95, VLOOKUP(U$2, Percentiles!$A$45:$I$59, 8, FALSE), perc_85, perc_75 + (perc_90 - perc_75) * (2/3), converted_stat, '2K_Ratings'!U279, IF(bbgm_stat &gt;= perc_95, converted_stat * 3, IF(bbgm_stat &gt;= perc_90, converted_stat * 2, IF(bbgm_stat &gt;= perc_85, converted_stat * 1.5, converted_stat)))))</f>
        <v/>
      </c>
      <c r="V279" s="30" t="str">
        <f t="array" ref="V279">IF($A279="", "", LET(bbgm_stat, INDEX(Players!$A278:$P278, MATCH(V$2, Players!$A$1:$P$1, 0)), perc_75, VLOOKUP(V$2, Percentiles!$A$45:$I$59, 6, FALSE), perc_90, VLOOKUP(V$2, Percentiles!$A$45:$I$59, 7, FALSE), perc_95, VLOOKUP(V$2, Percentiles!$A$45:$I$59, 8, FALSE), perc_85, perc_75 + (perc_90 - perc_75) * (2/3), converted_stat, '2K_Ratings'!V279, IF(bbgm_stat &gt;= perc_95, converted_stat * 3, IF(bbgm_stat &gt;= perc_90, converted_stat * 2, IF(bbgm_stat &gt;= perc_85, converted_stat * 1.5, converted_stat)))))</f>
        <v/>
      </c>
      <c r="W279" s="30" t="str">
        <f t="array" ref="W279">IF($A279="", "", LET(bbgm_stat, INDEX(Players!$A278:$P278, MATCH(W$2, Players!$A$1:$P$1, 0)), perc_75, VLOOKUP(W$2, Percentiles!$A$45:$I$59, 6, FALSE), perc_90, VLOOKUP(W$2, Percentiles!$A$45:$I$59, 7, FALSE), perc_95, VLOOKUP(W$2, Percentiles!$A$45:$I$59, 8, FALSE), perc_85, perc_75 + (perc_90 - perc_75) * (2/3), converted_stat, '2K_Ratings'!W279, IF(bbgm_stat &gt;= perc_95, converted_stat * 3, IF(bbgm_stat &gt;= perc_90, converted_stat * 2, IF(bbgm_stat &gt;= perc_85, converted_stat * 1.5, converted_stat)))))</f>
        <v/>
      </c>
    </row>
    <row r="280">
      <c r="A280" s="30"/>
      <c r="B280" s="30" t="str">
        <f t="array" ref="B280">IF($A280="", "", LET(bbgm_stat, INDEX(Players!$A279:$P279, MATCH(B$2, Players!$A$1:$P$1, 0)), perc_75, VLOOKUP(B$2, Percentiles!$A$45:$I$59, 6, FALSE), perc_90, VLOOKUP(B$2, Percentiles!$A$45:$I$59, 7, FALSE), perc_95, VLOOKUP(B$2, Percentiles!$A$45:$I$59, 8, FALSE), perc_85, perc_75 + (perc_90 - perc_75) * (2/3), converted_stat, '2K_Ratings'!B280, IF(bbgm_stat &gt;= perc_95, converted_stat * 3, IF(bbgm_stat &gt;= perc_90, converted_stat * 2, IF(bbgm_stat &gt;= perc_85, converted_stat * 1.5, converted_stat)))))</f>
        <v/>
      </c>
      <c r="C280" s="30" t="str">
        <f t="array" ref="C280">IF($A280="", "", LET(bbgm_stat, INDEX(Players!$A279:$P279, MATCH(C$2, Players!$A$1:$P$1, 0)), perc_75, VLOOKUP(C$2, Percentiles!$A$45:$I$59, 6, FALSE), perc_90, VLOOKUP(C$2, Percentiles!$A$45:$I$59, 7, FALSE), perc_95, VLOOKUP(C$2, Percentiles!$A$45:$I$59, 8, FALSE), perc_85, perc_75 + (perc_90 - perc_75) * (2/3), converted_stat, '2K_Ratings'!C280, IF(bbgm_stat &gt;= perc_95, converted_stat * 3, IF(bbgm_stat &gt;= perc_90, converted_stat * 2, IF(bbgm_stat &gt;= perc_85, converted_stat * 1.5, converted_stat)))))</f>
        <v/>
      </c>
      <c r="D280" s="30" t="str">
        <f t="array" ref="D280">IF($A280="", "", LET(bbgm_stat, INDEX(Players!$A279:$P279, MATCH(D$2, Players!$A$1:$P$1, 0)), perc_75, VLOOKUP(D$2, Percentiles!$A$45:$I$59, 6, FALSE), perc_90, VLOOKUP(D$2, Percentiles!$A$45:$I$59, 7, FALSE), perc_95, VLOOKUP(D$2, Percentiles!$A$45:$I$59, 8, FALSE), perc_85, perc_75 + (perc_90 - perc_75) * (2/3), converted_stat, '2K_Ratings'!D280, IF(bbgm_stat &gt;= perc_95, converted_stat * 3, IF(bbgm_stat &gt;= perc_90, converted_stat * 2, IF(bbgm_stat &gt;= perc_85, converted_stat * 1.5, converted_stat)))))</f>
        <v/>
      </c>
      <c r="E280" s="30" t="str">
        <f t="array" ref="E280">IF($A280="", "", LET(bbgm_stat, INDEX(Players!$A279:$P279, MATCH(E$2, Players!$A$1:$P$1, 0)), perc_75, VLOOKUP(E$2, Percentiles!$A$45:$I$59, 6, FALSE), perc_90, VLOOKUP(E$2, Percentiles!$A$45:$I$59, 7, FALSE), perc_95, VLOOKUP(E$2, Percentiles!$A$45:$I$59, 8, FALSE), perc_85, perc_75 + (perc_90 - perc_75) * (2/3), converted_stat, '2K_Ratings'!E280, IF(bbgm_stat &gt;= perc_95, converted_stat * 3, IF(bbgm_stat &gt;= perc_90, converted_stat * 2, IF(bbgm_stat &gt;= perc_85, converted_stat * 1.5, converted_stat)))))</f>
        <v/>
      </c>
      <c r="F280" s="30" t="str">
        <f t="array" ref="F280">IF($A280="", "", LET(bbgm_stat, INDEX(Players!$A279:$P279, MATCH(F$2, Players!$A$1:$P$1, 0)), perc_75, VLOOKUP(F$2, Percentiles!$A$45:$I$59, 6, FALSE), perc_90, VLOOKUP(F$2, Percentiles!$A$45:$I$59, 7, FALSE), perc_95, VLOOKUP(F$2, Percentiles!$A$45:$I$59, 8, FALSE), perc_85, perc_75 + (perc_90 - perc_75) * (2/3), converted_stat, '2K_Ratings'!F280, IF(bbgm_stat &gt;= perc_95, converted_stat * 3, IF(bbgm_stat &gt;= perc_90, converted_stat * 2, IF(bbgm_stat &gt;= perc_85, converted_stat * 1.5, converted_stat)))))</f>
        <v/>
      </c>
      <c r="G280" s="30" t="str">
        <f t="array" ref="G280">IF($A280="", "", LET(bbgm_stat, INDEX(Players!$A279:$P279, MATCH(G$2, Players!$A$1:$P$1, 0)), perc_75, VLOOKUP(G$2, Percentiles!$A$45:$I$59, 6, FALSE), perc_90, VLOOKUP(G$2, Percentiles!$A$45:$I$59, 7, FALSE), perc_95, VLOOKUP(G$2, Percentiles!$A$45:$I$59, 8, FALSE), perc_85, perc_75 + (perc_90 - perc_75) * (2/3), converted_stat, '2K_Ratings'!G280, IF(bbgm_stat &gt;= perc_95, converted_stat * 3, IF(bbgm_stat &gt;= perc_90, converted_stat * 2, IF(bbgm_stat &gt;= perc_85, converted_stat * 1.5, converted_stat)))))</f>
        <v/>
      </c>
      <c r="H280" s="30" t="str">
        <f t="array" ref="H280">IF($A280="", "", LET(bbgm_stat, INDEX(Players!$A279:$P279, MATCH(H$2, Players!$A$1:$P$1, 0)), perc_75, VLOOKUP(H$2, Percentiles!$A$45:$I$59, 6, FALSE), perc_90, VLOOKUP(H$2, Percentiles!$A$45:$I$59, 7, FALSE), perc_95, VLOOKUP(H$2, Percentiles!$A$45:$I$59, 8, FALSE), perc_85, perc_75 + (perc_90 - perc_75) * (2/3), converted_stat, '2K_Ratings'!H280, IF(bbgm_stat &gt;= perc_95, converted_stat * 3, IF(bbgm_stat &gt;= perc_90, converted_stat * 2, IF(bbgm_stat &gt;= perc_85, converted_stat * 1.5, converted_stat)))))</f>
        <v/>
      </c>
      <c r="I280" s="30" t="str">
        <f t="array" ref="I280">IF($A280="", "", LET(bbgm_stat, INDEX(Players!$A279:$P279, MATCH(I$2, Players!$A$1:$P$1, 0)), perc_75, VLOOKUP(I$2, Percentiles!$A$45:$I$59, 6, FALSE), perc_90, VLOOKUP(I$2, Percentiles!$A$45:$I$59, 7, FALSE), perc_95, VLOOKUP(I$2, Percentiles!$A$45:$I$59, 8, FALSE), perc_85, perc_75 + (perc_90 - perc_75) * (2/3), converted_stat, '2K_Ratings'!I280, IF(bbgm_stat &gt;= perc_95, converted_stat * 3, IF(bbgm_stat &gt;= perc_90, converted_stat * 2, IF(bbgm_stat &gt;= perc_85, converted_stat * 1.5, converted_stat)))))</f>
        <v/>
      </c>
      <c r="J280" s="30" t="str">
        <f t="array" ref="J280">IF($A280="", "", LET(bbgm_stat, INDEX(Players!$A279:$P279, MATCH(J$2, Players!$A$1:$P$1, 0)), perc_75, VLOOKUP(J$2, Percentiles!$A$45:$I$59, 6, FALSE), perc_90, VLOOKUP(J$2, Percentiles!$A$45:$I$59, 7, FALSE), perc_95, VLOOKUP(J$2, Percentiles!$A$45:$I$59, 8, FALSE), perc_85, perc_75 + (perc_90 - perc_75) * (2/3), converted_stat, '2K_Ratings'!J280, IF(bbgm_stat &gt;= perc_95, converted_stat * 3, IF(bbgm_stat &gt;= perc_90, converted_stat * 2, IF(bbgm_stat &gt;= perc_85, converted_stat * 1.5, converted_stat)))))</f>
        <v/>
      </c>
      <c r="K280" s="30" t="str">
        <f t="array" ref="K280">IF($A280="", "", LET(bbgm_stat, INDEX(Players!$A279:$P279, MATCH(K$2, Players!$A$1:$P$1, 0)), perc_75, VLOOKUP(K$2, Percentiles!$A$45:$I$59, 6, FALSE), perc_90, VLOOKUP(K$2, Percentiles!$A$45:$I$59, 7, FALSE), perc_95, VLOOKUP(K$2, Percentiles!$A$45:$I$59, 8, FALSE), perc_85, perc_75 + (perc_90 - perc_75) * (2/3), converted_stat, '2K_Ratings'!K280, IF(bbgm_stat &gt;= perc_95, converted_stat * 3, IF(bbgm_stat &gt;= perc_90, converted_stat * 2, IF(bbgm_stat &gt;= perc_85, converted_stat * 1.5, converted_stat)))))</f>
        <v/>
      </c>
      <c r="L280" s="30" t="str">
        <f t="array" ref="L280">IF($A280="", "", LET(bbgm_stat, INDEX(Players!$A279:$P279, MATCH(L$2, Players!$A$1:$P$1, 0)), perc_75, VLOOKUP(L$2, Percentiles!$A$45:$I$59, 6, FALSE), perc_90, VLOOKUP(L$2, Percentiles!$A$45:$I$59, 7, FALSE), perc_95, VLOOKUP(L$2, Percentiles!$A$45:$I$59, 8, FALSE), perc_85, perc_75 + (perc_90 - perc_75) * (2/3), converted_stat, '2K_Ratings'!L280, IF(bbgm_stat &gt;= perc_95, converted_stat * 3, IF(bbgm_stat &gt;= perc_90, converted_stat * 2, IF(bbgm_stat &gt;= perc_85, converted_stat * 1.5, converted_stat)))))</f>
        <v/>
      </c>
      <c r="M280" s="30" t="str">
        <f t="array" ref="M280">IF($A280="", "", LET(bbgm_stat, INDEX(Players!$A279:$P279, MATCH(M$2, Players!$A$1:$P$1, 0)), perc_75, VLOOKUP(M$2, Percentiles!$A$45:$I$59, 6, FALSE), perc_90, VLOOKUP(M$2, Percentiles!$A$45:$I$59, 7, FALSE), perc_95, VLOOKUP(M$2, Percentiles!$A$45:$I$59, 8, FALSE), perc_85, perc_75 + (perc_90 - perc_75) * (2/3), converted_stat, '2K_Ratings'!M280, IF(bbgm_stat &gt;= perc_95, converted_stat * 3, IF(bbgm_stat &gt;= perc_90, converted_stat * 2, IF(bbgm_stat &gt;= perc_85, converted_stat * 1.5, converted_stat)))))</f>
        <v/>
      </c>
      <c r="N280" s="30" t="str">
        <f t="array" ref="N280">IF($A280="", "", LET(bbgm_stat, INDEX(Players!$A279:$P279, MATCH(N$2, Players!$A$1:$P$1, 0)), perc_75, VLOOKUP(N$2, Percentiles!$A$45:$I$59, 6, FALSE), perc_90, VLOOKUP(N$2, Percentiles!$A$45:$I$59, 7, FALSE), perc_95, VLOOKUP(N$2, Percentiles!$A$45:$I$59, 8, FALSE), perc_85, perc_75 + (perc_90 - perc_75) * (2/3), converted_stat, '2K_Ratings'!N280, IF(bbgm_stat &gt;= perc_95, converted_stat * 3, IF(bbgm_stat &gt;= perc_90, converted_stat * 2, IF(bbgm_stat &gt;= perc_85, converted_stat * 1.5, converted_stat)))))</f>
        <v/>
      </c>
      <c r="O280" s="30" t="str">
        <f t="array" ref="O280">IF($A280="", "", LET(bbgm_stat, INDEX(Players!$A279:$P279, MATCH(O$2, Players!$A$1:$P$1, 0)), perc_75, VLOOKUP(O$2, Percentiles!$A$45:$I$59, 6, FALSE), perc_90, VLOOKUP(O$2, Percentiles!$A$45:$I$59, 7, FALSE), perc_95, VLOOKUP(O$2, Percentiles!$A$45:$I$59, 8, FALSE), perc_85, perc_75 + (perc_90 - perc_75) * (2/3), converted_stat, '2K_Ratings'!O280, IF(bbgm_stat &gt;= perc_95, converted_stat * 3, IF(bbgm_stat &gt;= perc_90, converted_stat * 2, IF(bbgm_stat &gt;= perc_85, converted_stat * 1.5, converted_stat)))))</f>
        <v/>
      </c>
      <c r="P280" s="30" t="str">
        <f t="array" ref="P280">IF($A280="", "", LET(bbgm_stat, INDEX(Players!$A279:$P279, MATCH(P$2, Players!$A$1:$P$1, 0)), perc_75, VLOOKUP(P$2, Percentiles!$A$45:$I$59, 6, FALSE), perc_90, VLOOKUP(P$2, Percentiles!$A$45:$I$59, 7, FALSE), perc_95, VLOOKUP(P$2, Percentiles!$A$45:$I$59, 8, FALSE), perc_85, perc_75 + (perc_90 - perc_75) * (2/3), converted_stat, '2K_Ratings'!P280, IF(bbgm_stat &gt;= perc_95, converted_stat * 3, IF(bbgm_stat &gt;= perc_90, converted_stat * 2, IF(bbgm_stat &gt;= perc_85, converted_stat * 1.5, converted_stat)))))</f>
        <v/>
      </c>
      <c r="Q280" s="30" t="str">
        <f t="array" ref="Q280">IF($A280="", "", LET(bbgm_stat, INDEX(Players!$A279:$P279, MATCH(Q$2, Players!$A$1:$P$1, 0)), perc_75, VLOOKUP(Q$2, Percentiles!$A$45:$I$59, 6, FALSE), perc_90, VLOOKUP(Q$2, Percentiles!$A$45:$I$59, 7, FALSE), perc_95, VLOOKUP(Q$2, Percentiles!$A$45:$I$59, 8, FALSE), perc_85, perc_75 + (perc_90 - perc_75) * (2/3), converted_stat, '2K_Ratings'!Q280, IF(bbgm_stat &gt;= perc_95, converted_stat * 3, IF(bbgm_stat &gt;= perc_90, converted_stat * 2, IF(bbgm_stat &gt;= perc_85, converted_stat * 1.5, converted_stat)))))</f>
        <v/>
      </c>
      <c r="R280" s="30" t="str">
        <f t="array" ref="R280">IF($A280="", "", LET(bbgm_stat, INDEX(Players!$A279:$P279, MATCH(R$2, Players!$A$1:$P$1, 0)), perc_75, VLOOKUP(R$2, Percentiles!$A$45:$I$59, 6, FALSE), perc_90, VLOOKUP(R$2, Percentiles!$A$45:$I$59, 7, FALSE), perc_95, VLOOKUP(R$2, Percentiles!$A$45:$I$59, 8, FALSE), perc_85, perc_75 + (perc_90 - perc_75) * (2/3), converted_stat, '2K_Ratings'!R280, IF(bbgm_stat &gt;= perc_95, converted_stat * 3, IF(bbgm_stat &gt;= perc_90, converted_stat * 2, IF(bbgm_stat &gt;= perc_85, converted_stat * 1.5, converted_stat)))))</f>
        <v/>
      </c>
      <c r="S280" s="30" t="str">
        <f t="array" ref="S280">IF($A280="", "", LET(bbgm_stat, INDEX(Players!$A279:$P279, MATCH(S$2, Players!$A$1:$P$1, 0)), perc_75, VLOOKUP(S$2, Percentiles!$A$45:$I$59, 6, FALSE), perc_90, VLOOKUP(S$2, Percentiles!$A$45:$I$59, 7, FALSE), perc_95, VLOOKUP(S$2, Percentiles!$A$45:$I$59, 8, FALSE), perc_85, perc_75 + (perc_90 - perc_75) * (2/3), converted_stat, '2K_Ratings'!S280, IF(bbgm_stat &gt;= perc_95, converted_stat * 3, IF(bbgm_stat &gt;= perc_90, converted_stat * 2, IF(bbgm_stat &gt;= perc_85, converted_stat * 1.5, converted_stat)))))</f>
        <v/>
      </c>
      <c r="T280" s="30" t="str">
        <f t="array" ref="T280">IF($A280="", "", LET(bbgm_stat, INDEX(Players!$A279:$P279, MATCH(T$2, Players!$A$1:$P$1, 0)), perc_75, VLOOKUP(T$2, Percentiles!$A$45:$I$59, 6, FALSE), perc_90, VLOOKUP(T$2, Percentiles!$A$45:$I$59, 7, FALSE), perc_95, VLOOKUP(T$2, Percentiles!$A$45:$I$59, 8, FALSE), perc_85, perc_75 + (perc_90 - perc_75) * (2/3), converted_stat, '2K_Ratings'!T280, IF(bbgm_stat &gt;= perc_95, converted_stat * 3, IF(bbgm_stat &gt;= perc_90, converted_stat * 2, IF(bbgm_stat &gt;= perc_85, converted_stat * 1.5, converted_stat)))))</f>
        <v/>
      </c>
      <c r="U280" s="30" t="str">
        <f t="array" ref="U280">IF($A280="", "", LET(bbgm_stat, INDEX(Players!$A279:$P279, MATCH(U$2, Players!$A$1:$P$1, 0)), perc_75, VLOOKUP(U$2, Percentiles!$A$45:$I$59, 6, FALSE), perc_90, VLOOKUP(U$2, Percentiles!$A$45:$I$59, 7, FALSE), perc_95, VLOOKUP(U$2, Percentiles!$A$45:$I$59, 8, FALSE), perc_85, perc_75 + (perc_90 - perc_75) * (2/3), converted_stat, '2K_Ratings'!U280, IF(bbgm_stat &gt;= perc_95, converted_stat * 3, IF(bbgm_stat &gt;= perc_90, converted_stat * 2, IF(bbgm_stat &gt;= perc_85, converted_stat * 1.5, converted_stat)))))</f>
        <v/>
      </c>
      <c r="V280" s="30" t="str">
        <f t="array" ref="V280">IF($A280="", "", LET(bbgm_stat, INDEX(Players!$A279:$P279, MATCH(V$2, Players!$A$1:$P$1, 0)), perc_75, VLOOKUP(V$2, Percentiles!$A$45:$I$59, 6, FALSE), perc_90, VLOOKUP(V$2, Percentiles!$A$45:$I$59, 7, FALSE), perc_95, VLOOKUP(V$2, Percentiles!$A$45:$I$59, 8, FALSE), perc_85, perc_75 + (perc_90 - perc_75) * (2/3), converted_stat, '2K_Ratings'!V280, IF(bbgm_stat &gt;= perc_95, converted_stat * 3, IF(bbgm_stat &gt;= perc_90, converted_stat * 2, IF(bbgm_stat &gt;= perc_85, converted_stat * 1.5, converted_stat)))))</f>
        <v/>
      </c>
      <c r="W280" s="30" t="str">
        <f t="array" ref="W280">IF($A280="", "", LET(bbgm_stat, INDEX(Players!$A279:$P279, MATCH(W$2, Players!$A$1:$P$1, 0)), perc_75, VLOOKUP(W$2, Percentiles!$A$45:$I$59, 6, FALSE), perc_90, VLOOKUP(W$2, Percentiles!$A$45:$I$59, 7, FALSE), perc_95, VLOOKUP(W$2, Percentiles!$A$45:$I$59, 8, FALSE), perc_85, perc_75 + (perc_90 - perc_75) * (2/3), converted_stat, '2K_Ratings'!W280, IF(bbgm_stat &gt;= perc_95, converted_stat * 3, IF(bbgm_stat &gt;= perc_90, converted_stat * 2, IF(bbgm_stat &gt;= perc_85, converted_stat * 1.5, converted_stat)))))</f>
        <v/>
      </c>
    </row>
    <row r="281">
      <c r="A281" s="30"/>
      <c r="B281" s="30" t="str">
        <f t="array" ref="B281">IF($A281="", "", LET(bbgm_stat, INDEX(Players!$A280:$P280, MATCH(B$2, Players!$A$1:$P$1, 0)), perc_75, VLOOKUP(B$2, Percentiles!$A$45:$I$59, 6, FALSE), perc_90, VLOOKUP(B$2, Percentiles!$A$45:$I$59, 7, FALSE), perc_95, VLOOKUP(B$2, Percentiles!$A$45:$I$59, 8, FALSE), perc_85, perc_75 + (perc_90 - perc_75) * (2/3), converted_stat, '2K_Ratings'!B281, IF(bbgm_stat &gt;= perc_95, converted_stat * 3, IF(bbgm_stat &gt;= perc_90, converted_stat * 2, IF(bbgm_stat &gt;= perc_85, converted_stat * 1.5, converted_stat)))))</f>
        <v/>
      </c>
      <c r="C281" s="30" t="str">
        <f t="array" ref="C281">IF($A281="", "", LET(bbgm_stat, INDEX(Players!$A280:$P280, MATCH(C$2, Players!$A$1:$P$1, 0)), perc_75, VLOOKUP(C$2, Percentiles!$A$45:$I$59, 6, FALSE), perc_90, VLOOKUP(C$2, Percentiles!$A$45:$I$59, 7, FALSE), perc_95, VLOOKUP(C$2, Percentiles!$A$45:$I$59, 8, FALSE), perc_85, perc_75 + (perc_90 - perc_75) * (2/3), converted_stat, '2K_Ratings'!C281, IF(bbgm_stat &gt;= perc_95, converted_stat * 3, IF(bbgm_stat &gt;= perc_90, converted_stat * 2, IF(bbgm_stat &gt;= perc_85, converted_stat * 1.5, converted_stat)))))</f>
        <v/>
      </c>
      <c r="D281" s="30" t="str">
        <f t="array" ref="D281">IF($A281="", "", LET(bbgm_stat, INDEX(Players!$A280:$P280, MATCH(D$2, Players!$A$1:$P$1, 0)), perc_75, VLOOKUP(D$2, Percentiles!$A$45:$I$59, 6, FALSE), perc_90, VLOOKUP(D$2, Percentiles!$A$45:$I$59, 7, FALSE), perc_95, VLOOKUP(D$2, Percentiles!$A$45:$I$59, 8, FALSE), perc_85, perc_75 + (perc_90 - perc_75) * (2/3), converted_stat, '2K_Ratings'!D281, IF(bbgm_stat &gt;= perc_95, converted_stat * 3, IF(bbgm_stat &gt;= perc_90, converted_stat * 2, IF(bbgm_stat &gt;= perc_85, converted_stat * 1.5, converted_stat)))))</f>
        <v/>
      </c>
      <c r="E281" s="30" t="str">
        <f t="array" ref="E281">IF($A281="", "", LET(bbgm_stat, INDEX(Players!$A280:$P280, MATCH(E$2, Players!$A$1:$P$1, 0)), perc_75, VLOOKUP(E$2, Percentiles!$A$45:$I$59, 6, FALSE), perc_90, VLOOKUP(E$2, Percentiles!$A$45:$I$59, 7, FALSE), perc_95, VLOOKUP(E$2, Percentiles!$A$45:$I$59, 8, FALSE), perc_85, perc_75 + (perc_90 - perc_75) * (2/3), converted_stat, '2K_Ratings'!E281, IF(bbgm_stat &gt;= perc_95, converted_stat * 3, IF(bbgm_stat &gt;= perc_90, converted_stat * 2, IF(bbgm_stat &gt;= perc_85, converted_stat * 1.5, converted_stat)))))</f>
        <v/>
      </c>
      <c r="F281" s="30" t="str">
        <f t="array" ref="F281">IF($A281="", "", LET(bbgm_stat, INDEX(Players!$A280:$P280, MATCH(F$2, Players!$A$1:$P$1, 0)), perc_75, VLOOKUP(F$2, Percentiles!$A$45:$I$59, 6, FALSE), perc_90, VLOOKUP(F$2, Percentiles!$A$45:$I$59, 7, FALSE), perc_95, VLOOKUP(F$2, Percentiles!$A$45:$I$59, 8, FALSE), perc_85, perc_75 + (perc_90 - perc_75) * (2/3), converted_stat, '2K_Ratings'!F281, IF(bbgm_stat &gt;= perc_95, converted_stat * 3, IF(bbgm_stat &gt;= perc_90, converted_stat * 2, IF(bbgm_stat &gt;= perc_85, converted_stat * 1.5, converted_stat)))))</f>
        <v/>
      </c>
      <c r="G281" s="30" t="str">
        <f t="array" ref="G281">IF($A281="", "", LET(bbgm_stat, INDEX(Players!$A280:$P280, MATCH(G$2, Players!$A$1:$P$1, 0)), perc_75, VLOOKUP(G$2, Percentiles!$A$45:$I$59, 6, FALSE), perc_90, VLOOKUP(G$2, Percentiles!$A$45:$I$59, 7, FALSE), perc_95, VLOOKUP(G$2, Percentiles!$A$45:$I$59, 8, FALSE), perc_85, perc_75 + (perc_90 - perc_75) * (2/3), converted_stat, '2K_Ratings'!G281, IF(bbgm_stat &gt;= perc_95, converted_stat * 3, IF(bbgm_stat &gt;= perc_90, converted_stat * 2, IF(bbgm_stat &gt;= perc_85, converted_stat * 1.5, converted_stat)))))</f>
        <v/>
      </c>
      <c r="H281" s="30" t="str">
        <f t="array" ref="H281">IF($A281="", "", LET(bbgm_stat, INDEX(Players!$A280:$P280, MATCH(H$2, Players!$A$1:$P$1, 0)), perc_75, VLOOKUP(H$2, Percentiles!$A$45:$I$59, 6, FALSE), perc_90, VLOOKUP(H$2, Percentiles!$A$45:$I$59, 7, FALSE), perc_95, VLOOKUP(H$2, Percentiles!$A$45:$I$59, 8, FALSE), perc_85, perc_75 + (perc_90 - perc_75) * (2/3), converted_stat, '2K_Ratings'!H281, IF(bbgm_stat &gt;= perc_95, converted_stat * 3, IF(bbgm_stat &gt;= perc_90, converted_stat * 2, IF(bbgm_stat &gt;= perc_85, converted_stat * 1.5, converted_stat)))))</f>
        <v/>
      </c>
      <c r="I281" s="30" t="str">
        <f t="array" ref="I281">IF($A281="", "", LET(bbgm_stat, INDEX(Players!$A280:$P280, MATCH(I$2, Players!$A$1:$P$1, 0)), perc_75, VLOOKUP(I$2, Percentiles!$A$45:$I$59, 6, FALSE), perc_90, VLOOKUP(I$2, Percentiles!$A$45:$I$59, 7, FALSE), perc_95, VLOOKUP(I$2, Percentiles!$A$45:$I$59, 8, FALSE), perc_85, perc_75 + (perc_90 - perc_75) * (2/3), converted_stat, '2K_Ratings'!I281, IF(bbgm_stat &gt;= perc_95, converted_stat * 3, IF(bbgm_stat &gt;= perc_90, converted_stat * 2, IF(bbgm_stat &gt;= perc_85, converted_stat * 1.5, converted_stat)))))</f>
        <v/>
      </c>
      <c r="J281" s="30" t="str">
        <f t="array" ref="J281">IF($A281="", "", LET(bbgm_stat, INDEX(Players!$A280:$P280, MATCH(J$2, Players!$A$1:$P$1, 0)), perc_75, VLOOKUP(J$2, Percentiles!$A$45:$I$59, 6, FALSE), perc_90, VLOOKUP(J$2, Percentiles!$A$45:$I$59, 7, FALSE), perc_95, VLOOKUP(J$2, Percentiles!$A$45:$I$59, 8, FALSE), perc_85, perc_75 + (perc_90 - perc_75) * (2/3), converted_stat, '2K_Ratings'!J281, IF(bbgm_stat &gt;= perc_95, converted_stat * 3, IF(bbgm_stat &gt;= perc_90, converted_stat * 2, IF(bbgm_stat &gt;= perc_85, converted_stat * 1.5, converted_stat)))))</f>
        <v/>
      </c>
      <c r="K281" s="30" t="str">
        <f t="array" ref="K281">IF($A281="", "", LET(bbgm_stat, INDEX(Players!$A280:$P280, MATCH(K$2, Players!$A$1:$P$1, 0)), perc_75, VLOOKUP(K$2, Percentiles!$A$45:$I$59, 6, FALSE), perc_90, VLOOKUP(K$2, Percentiles!$A$45:$I$59, 7, FALSE), perc_95, VLOOKUP(K$2, Percentiles!$A$45:$I$59, 8, FALSE), perc_85, perc_75 + (perc_90 - perc_75) * (2/3), converted_stat, '2K_Ratings'!K281, IF(bbgm_stat &gt;= perc_95, converted_stat * 3, IF(bbgm_stat &gt;= perc_90, converted_stat * 2, IF(bbgm_stat &gt;= perc_85, converted_stat * 1.5, converted_stat)))))</f>
        <v/>
      </c>
      <c r="L281" s="30" t="str">
        <f t="array" ref="L281">IF($A281="", "", LET(bbgm_stat, INDEX(Players!$A280:$P280, MATCH(L$2, Players!$A$1:$P$1, 0)), perc_75, VLOOKUP(L$2, Percentiles!$A$45:$I$59, 6, FALSE), perc_90, VLOOKUP(L$2, Percentiles!$A$45:$I$59, 7, FALSE), perc_95, VLOOKUP(L$2, Percentiles!$A$45:$I$59, 8, FALSE), perc_85, perc_75 + (perc_90 - perc_75) * (2/3), converted_stat, '2K_Ratings'!L281, IF(bbgm_stat &gt;= perc_95, converted_stat * 3, IF(bbgm_stat &gt;= perc_90, converted_stat * 2, IF(bbgm_stat &gt;= perc_85, converted_stat * 1.5, converted_stat)))))</f>
        <v/>
      </c>
      <c r="M281" s="30" t="str">
        <f t="array" ref="M281">IF($A281="", "", LET(bbgm_stat, INDEX(Players!$A280:$P280, MATCH(M$2, Players!$A$1:$P$1, 0)), perc_75, VLOOKUP(M$2, Percentiles!$A$45:$I$59, 6, FALSE), perc_90, VLOOKUP(M$2, Percentiles!$A$45:$I$59, 7, FALSE), perc_95, VLOOKUP(M$2, Percentiles!$A$45:$I$59, 8, FALSE), perc_85, perc_75 + (perc_90 - perc_75) * (2/3), converted_stat, '2K_Ratings'!M281, IF(bbgm_stat &gt;= perc_95, converted_stat * 3, IF(bbgm_stat &gt;= perc_90, converted_stat * 2, IF(bbgm_stat &gt;= perc_85, converted_stat * 1.5, converted_stat)))))</f>
        <v/>
      </c>
      <c r="N281" s="30" t="str">
        <f t="array" ref="N281">IF($A281="", "", LET(bbgm_stat, INDEX(Players!$A280:$P280, MATCH(N$2, Players!$A$1:$P$1, 0)), perc_75, VLOOKUP(N$2, Percentiles!$A$45:$I$59, 6, FALSE), perc_90, VLOOKUP(N$2, Percentiles!$A$45:$I$59, 7, FALSE), perc_95, VLOOKUP(N$2, Percentiles!$A$45:$I$59, 8, FALSE), perc_85, perc_75 + (perc_90 - perc_75) * (2/3), converted_stat, '2K_Ratings'!N281, IF(bbgm_stat &gt;= perc_95, converted_stat * 3, IF(bbgm_stat &gt;= perc_90, converted_stat * 2, IF(bbgm_stat &gt;= perc_85, converted_stat * 1.5, converted_stat)))))</f>
        <v/>
      </c>
      <c r="O281" s="30" t="str">
        <f t="array" ref="O281">IF($A281="", "", LET(bbgm_stat, INDEX(Players!$A280:$P280, MATCH(O$2, Players!$A$1:$P$1, 0)), perc_75, VLOOKUP(O$2, Percentiles!$A$45:$I$59, 6, FALSE), perc_90, VLOOKUP(O$2, Percentiles!$A$45:$I$59, 7, FALSE), perc_95, VLOOKUP(O$2, Percentiles!$A$45:$I$59, 8, FALSE), perc_85, perc_75 + (perc_90 - perc_75) * (2/3), converted_stat, '2K_Ratings'!O281, IF(bbgm_stat &gt;= perc_95, converted_stat * 3, IF(bbgm_stat &gt;= perc_90, converted_stat * 2, IF(bbgm_stat &gt;= perc_85, converted_stat * 1.5, converted_stat)))))</f>
        <v/>
      </c>
      <c r="P281" s="30" t="str">
        <f t="array" ref="P281">IF($A281="", "", LET(bbgm_stat, INDEX(Players!$A280:$P280, MATCH(P$2, Players!$A$1:$P$1, 0)), perc_75, VLOOKUP(P$2, Percentiles!$A$45:$I$59, 6, FALSE), perc_90, VLOOKUP(P$2, Percentiles!$A$45:$I$59, 7, FALSE), perc_95, VLOOKUP(P$2, Percentiles!$A$45:$I$59, 8, FALSE), perc_85, perc_75 + (perc_90 - perc_75) * (2/3), converted_stat, '2K_Ratings'!P281, IF(bbgm_stat &gt;= perc_95, converted_stat * 3, IF(bbgm_stat &gt;= perc_90, converted_stat * 2, IF(bbgm_stat &gt;= perc_85, converted_stat * 1.5, converted_stat)))))</f>
        <v/>
      </c>
      <c r="Q281" s="30" t="str">
        <f t="array" ref="Q281">IF($A281="", "", LET(bbgm_stat, INDEX(Players!$A280:$P280, MATCH(Q$2, Players!$A$1:$P$1, 0)), perc_75, VLOOKUP(Q$2, Percentiles!$A$45:$I$59, 6, FALSE), perc_90, VLOOKUP(Q$2, Percentiles!$A$45:$I$59, 7, FALSE), perc_95, VLOOKUP(Q$2, Percentiles!$A$45:$I$59, 8, FALSE), perc_85, perc_75 + (perc_90 - perc_75) * (2/3), converted_stat, '2K_Ratings'!Q281, IF(bbgm_stat &gt;= perc_95, converted_stat * 3, IF(bbgm_stat &gt;= perc_90, converted_stat * 2, IF(bbgm_stat &gt;= perc_85, converted_stat * 1.5, converted_stat)))))</f>
        <v/>
      </c>
      <c r="R281" s="30" t="str">
        <f t="array" ref="R281">IF($A281="", "", LET(bbgm_stat, INDEX(Players!$A280:$P280, MATCH(R$2, Players!$A$1:$P$1, 0)), perc_75, VLOOKUP(R$2, Percentiles!$A$45:$I$59, 6, FALSE), perc_90, VLOOKUP(R$2, Percentiles!$A$45:$I$59, 7, FALSE), perc_95, VLOOKUP(R$2, Percentiles!$A$45:$I$59, 8, FALSE), perc_85, perc_75 + (perc_90 - perc_75) * (2/3), converted_stat, '2K_Ratings'!R281, IF(bbgm_stat &gt;= perc_95, converted_stat * 3, IF(bbgm_stat &gt;= perc_90, converted_stat * 2, IF(bbgm_stat &gt;= perc_85, converted_stat * 1.5, converted_stat)))))</f>
        <v/>
      </c>
      <c r="S281" s="30" t="str">
        <f t="array" ref="S281">IF($A281="", "", LET(bbgm_stat, INDEX(Players!$A280:$P280, MATCH(S$2, Players!$A$1:$P$1, 0)), perc_75, VLOOKUP(S$2, Percentiles!$A$45:$I$59, 6, FALSE), perc_90, VLOOKUP(S$2, Percentiles!$A$45:$I$59, 7, FALSE), perc_95, VLOOKUP(S$2, Percentiles!$A$45:$I$59, 8, FALSE), perc_85, perc_75 + (perc_90 - perc_75) * (2/3), converted_stat, '2K_Ratings'!S281, IF(bbgm_stat &gt;= perc_95, converted_stat * 3, IF(bbgm_stat &gt;= perc_90, converted_stat * 2, IF(bbgm_stat &gt;= perc_85, converted_stat * 1.5, converted_stat)))))</f>
        <v/>
      </c>
      <c r="T281" s="30" t="str">
        <f t="array" ref="T281">IF($A281="", "", LET(bbgm_stat, INDEX(Players!$A280:$P280, MATCH(T$2, Players!$A$1:$P$1, 0)), perc_75, VLOOKUP(T$2, Percentiles!$A$45:$I$59, 6, FALSE), perc_90, VLOOKUP(T$2, Percentiles!$A$45:$I$59, 7, FALSE), perc_95, VLOOKUP(T$2, Percentiles!$A$45:$I$59, 8, FALSE), perc_85, perc_75 + (perc_90 - perc_75) * (2/3), converted_stat, '2K_Ratings'!T281, IF(bbgm_stat &gt;= perc_95, converted_stat * 3, IF(bbgm_stat &gt;= perc_90, converted_stat * 2, IF(bbgm_stat &gt;= perc_85, converted_stat * 1.5, converted_stat)))))</f>
        <v/>
      </c>
      <c r="U281" s="30" t="str">
        <f t="array" ref="U281">IF($A281="", "", LET(bbgm_stat, INDEX(Players!$A280:$P280, MATCH(U$2, Players!$A$1:$P$1, 0)), perc_75, VLOOKUP(U$2, Percentiles!$A$45:$I$59, 6, FALSE), perc_90, VLOOKUP(U$2, Percentiles!$A$45:$I$59, 7, FALSE), perc_95, VLOOKUP(U$2, Percentiles!$A$45:$I$59, 8, FALSE), perc_85, perc_75 + (perc_90 - perc_75) * (2/3), converted_stat, '2K_Ratings'!U281, IF(bbgm_stat &gt;= perc_95, converted_stat * 3, IF(bbgm_stat &gt;= perc_90, converted_stat * 2, IF(bbgm_stat &gt;= perc_85, converted_stat * 1.5, converted_stat)))))</f>
        <v/>
      </c>
      <c r="V281" s="30" t="str">
        <f t="array" ref="V281">IF($A281="", "", LET(bbgm_stat, INDEX(Players!$A280:$P280, MATCH(V$2, Players!$A$1:$P$1, 0)), perc_75, VLOOKUP(V$2, Percentiles!$A$45:$I$59, 6, FALSE), perc_90, VLOOKUP(V$2, Percentiles!$A$45:$I$59, 7, FALSE), perc_95, VLOOKUP(V$2, Percentiles!$A$45:$I$59, 8, FALSE), perc_85, perc_75 + (perc_90 - perc_75) * (2/3), converted_stat, '2K_Ratings'!V281, IF(bbgm_stat &gt;= perc_95, converted_stat * 3, IF(bbgm_stat &gt;= perc_90, converted_stat * 2, IF(bbgm_stat &gt;= perc_85, converted_stat * 1.5, converted_stat)))))</f>
        <v/>
      </c>
      <c r="W281" s="30" t="str">
        <f t="array" ref="W281">IF($A281="", "", LET(bbgm_stat, INDEX(Players!$A280:$P280, MATCH(W$2, Players!$A$1:$P$1, 0)), perc_75, VLOOKUP(W$2, Percentiles!$A$45:$I$59, 6, FALSE), perc_90, VLOOKUP(W$2, Percentiles!$A$45:$I$59, 7, FALSE), perc_95, VLOOKUP(W$2, Percentiles!$A$45:$I$59, 8, FALSE), perc_85, perc_75 + (perc_90 - perc_75) * (2/3), converted_stat, '2K_Ratings'!W281, IF(bbgm_stat &gt;= perc_95, converted_stat * 3, IF(bbgm_stat &gt;= perc_90, converted_stat * 2, IF(bbgm_stat &gt;= perc_85, converted_stat * 1.5, converted_stat)))))</f>
        <v/>
      </c>
    </row>
    <row r="282">
      <c r="A282" s="30"/>
      <c r="B282" s="30" t="str">
        <f t="array" ref="B282">IF($A282="", "", LET(bbgm_stat, INDEX(Players!$A281:$P281, MATCH(B$2, Players!$A$1:$P$1, 0)), perc_75, VLOOKUP(B$2, Percentiles!$A$45:$I$59, 6, FALSE), perc_90, VLOOKUP(B$2, Percentiles!$A$45:$I$59, 7, FALSE), perc_95, VLOOKUP(B$2, Percentiles!$A$45:$I$59, 8, FALSE), perc_85, perc_75 + (perc_90 - perc_75) * (2/3), converted_stat, '2K_Ratings'!B282, IF(bbgm_stat &gt;= perc_95, converted_stat * 3, IF(bbgm_stat &gt;= perc_90, converted_stat * 2, IF(bbgm_stat &gt;= perc_85, converted_stat * 1.5, converted_stat)))))</f>
        <v/>
      </c>
      <c r="C282" s="30" t="str">
        <f t="array" ref="C282">IF($A282="", "", LET(bbgm_stat, INDEX(Players!$A281:$P281, MATCH(C$2, Players!$A$1:$P$1, 0)), perc_75, VLOOKUP(C$2, Percentiles!$A$45:$I$59, 6, FALSE), perc_90, VLOOKUP(C$2, Percentiles!$A$45:$I$59, 7, FALSE), perc_95, VLOOKUP(C$2, Percentiles!$A$45:$I$59, 8, FALSE), perc_85, perc_75 + (perc_90 - perc_75) * (2/3), converted_stat, '2K_Ratings'!C282, IF(bbgm_stat &gt;= perc_95, converted_stat * 3, IF(bbgm_stat &gt;= perc_90, converted_stat * 2, IF(bbgm_stat &gt;= perc_85, converted_stat * 1.5, converted_stat)))))</f>
        <v/>
      </c>
      <c r="D282" s="30" t="str">
        <f t="array" ref="D282">IF($A282="", "", LET(bbgm_stat, INDEX(Players!$A281:$P281, MATCH(D$2, Players!$A$1:$P$1, 0)), perc_75, VLOOKUP(D$2, Percentiles!$A$45:$I$59, 6, FALSE), perc_90, VLOOKUP(D$2, Percentiles!$A$45:$I$59, 7, FALSE), perc_95, VLOOKUP(D$2, Percentiles!$A$45:$I$59, 8, FALSE), perc_85, perc_75 + (perc_90 - perc_75) * (2/3), converted_stat, '2K_Ratings'!D282, IF(bbgm_stat &gt;= perc_95, converted_stat * 3, IF(bbgm_stat &gt;= perc_90, converted_stat * 2, IF(bbgm_stat &gt;= perc_85, converted_stat * 1.5, converted_stat)))))</f>
        <v/>
      </c>
      <c r="E282" s="30" t="str">
        <f t="array" ref="E282">IF($A282="", "", LET(bbgm_stat, INDEX(Players!$A281:$P281, MATCH(E$2, Players!$A$1:$P$1, 0)), perc_75, VLOOKUP(E$2, Percentiles!$A$45:$I$59, 6, FALSE), perc_90, VLOOKUP(E$2, Percentiles!$A$45:$I$59, 7, FALSE), perc_95, VLOOKUP(E$2, Percentiles!$A$45:$I$59, 8, FALSE), perc_85, perc_75 + (perc_90 - perc_75) * (2/3), converted_stat, '2K_Ratings'!E282, IF(bbgm_stat &gt;= perc_95, converted_stat * 3, IF(bbgm_stat &gt;= perc_90, converted_stat * 2, IF(bbgm_stat &gt;= perc_85, converted_stat * 1.5, converted_stat)))))</f>
        <v/>
      </c>
      <c r="F282" s="30" t="str">
        <f t="array" ref="F282">IF($A282="", "", LET(bbgm_stat, INDEX(Players!$A281:$P281, MATCH(F$2, Players!$A$1:$P$1, 0)), perc_75, VLOOKUP(F$2, Percentiles!$A$45:$I$59, 6, FALSE), perc_90, VLOOKUP(F$2, Percentiles!$A$45:$I$59, 7, FALSE), perc_95, VLOOKUP(F$2, Percentiles!$A$45:$I$59, 8, FALSE), perc_85, perc_75 + (perc_90 - perc_75) * (2/3), converted_stat, '2K_Ratings'!F282, IF(bbgm_stat &gt;= perc_95, converted_stat * 3, IF(bbgm_stat &gt;= perc_90, converted_stat * 2, IF(bbgm_stat &gt;= perc_85, converted_stat * 1.5, converted_stat)))))</f>
        <v/>
      </c>
      <c r="G282" s="30" t="str">
        <f t="array" ref="G282">IF($A282="", "", LET(bbgm_stat, INDEX(Players!$A281:$P281, MATCH(G$2, Players!$A$1:$P$1, 0)), perc_75, VLOOKUP(G$2, Percentiles!$A$45:$I$59, 6, FALSE), perc_90, VLOOKUP(G$2, Percentiles!$A$45:$I$59, 7, FALSE), perc_95, VLOOKUP(G$2, Percentiles!$A$45:$I$59, 8, FALSE), perc_85, perc_75 + (perc_90 - perc_75) * (2/3), converted_stat, '2K_Ratings'!G282, IF(bbgm_stat &gt;= perc_95, converted_stat * 3, IF(bbgm_stat &gt;= perc_90, converted_stat * 2, IF(bbgm_stat &gt;= perc_85, converted_stat * 1.5, converted_stat)))))</f>
        <v/>
      </c>
      <c r="H282" s="30" t="str">
        <f t="array" ref="H282">IF($A282="", "", LET(bbgm_stat, INDEX(Players!$A281:$P281, MATCH(H$2, Players!$A$1:$P$1, 0)), perc_75, VLOOKUP(H$2, Percentiles!$A$45:$I$59, 6, FALSE), perc_90, VLOOKUP(H$2, Percentiles!$A$45:$I$59, 7, FALSE), perc_95, VLOOKUP(H$2, Percentiles!$A$45:$I$59, 8, FALSE), perc_85, perc_75 + (perc_90 - perc_75) * (2/3), converted_stat, '2K_Ratings'!H282, IF(bbgm_stat &gt;= perc_95, converted_stat * 3, IF(bbgm_stat &gt;= perc_90, converted_stat * 2, IF(bbgm_stat &gt;= perc_85, converted_stat * 1.5, converted_stat)))))</f>
        <v/>
      </c>
      <c r="I282" s="30" t="str">
        <f t="array" ref="I282">IF($A282="", "", LET(bbgm_stat, INDEX(Players!$A281:$P281, MATCH(I$2, Players!$A$1:$P$1, 0)), perc_75, VLOOKUP(I$2, Percentiles!$A$45:$I$59, 6, FALSE), perc_90, VLOOKUP(I$2, Percentiles!$A$45:$I$59, 7, FALSE), perc_95, VLOOKUP(I$2, Percentiles!$A$45:$I$59, 8, FALSE), perc_85, perc_75 + (perc_90 - perc_75) * (2/3), converted_stat, '2K_Ratings'!I282, IF(bbgm_stat &gt;= perc_95, converted_stat * 3, IF(bbgm_stat &gt;= perc_90, converted_stat * 2, IF(bbgm_stat &gt;= perc_85, converted_stat * 1.5, converted_stat)))))</f>
        <v/>
      </c>
      <c r="J282" s="30" t="str">
        <f t="array" ref="J282">IF($A282="", "", LET(bbgm_stat, INDEX(Players!$A281:$P281, MATCH(J$2, Players!$A$1:$P$1, 0)), perc_75, VLOOKUP(J$2, Percentiles!$A$45:$I$59, 6, FALSE), perc_90, VLOOKUP(J$2, Percentiles!$A$45:$I$59, 7, FALSE), perc_95, VLOOKUP(J$2, Percentiles!$A$45:$I$59, 8, FALSE), perc_85, perc_75 + (perc_90 - perc_75) * (2/3), converted_stat, '2K_Ratings'!J282, IF(bbgm_stat &gt;= perc_95, converted_stat * 3, IF(bbgm_stat &gt;= perc_90, converted_stat * 2, IF(bbgm_stat &gt;= perc_85, converted_stat * 1.5, converted_stat)))))</f>
        <v/>
      </c>
      <c r="K282" s="30" t="str">
        <f t="array" ref="K282">IF($A282="", "", LET(bbgm_stat, INDEX(Players!$A281:$P281, MATCH(K$2, Players!$A$1:$P$1, 0)), perc_75, VLOOKUP(K$2, Percentiles!$A$45:$I$59, 6, FALSE), perc_90, VLOOKUP(K$2, Percentiles!$A$45:$I$59, 7, FALSE), perc_95, VLOOKUP(K$2, Percentiles!$A$45:$I$59, 8, FALSE), perc_85, perc_75 + (perc_90 - perc_75) * (2/3), converted_stat, '2K_Ratings'!K282, IF(bbgm_stat &gt;= perc_95, converted_stat * 3, IF(bbgm_stat &gt;= perc_90, converted_stat * 2, IF(bbgm_stat &gt;= perc_85, converted_stat * 1.5, converted_stat)))))</f>
        <v/>
      </c>
      <c r="L282" s="30" t="str">
        <f t="array" ref="L282">IF($A282="", "", LET(bbgm_stat, INDEX(Players!$A281:$P281, MATCH(L$2, Players!$A$1:$P$1, 0)), perc_75, VLOOKUP(L$2, Percentiles!$A$45:$I$59, 6, FALSE), perc_90, VLOOKUP(L$2, Percentiles!$A$45:$I$59, 7, FALSE), perc_95, VLOOKUP(L$2, Percentiles!$A$45:$I$59, 8, FALSE), perc_85, perc_75 + (perc_90 - perc_75) * (2/3), converted_stat, '2K_Ratings'!L282, IF(bbgm_stat &gt;= perc_95, converted_stat * 3, IF(bbgm_stat &gt;= perc_90, converted_stat * 2, IF(bbgm_stat &gt;= perc_85, converted_stat * 1.5, converted_stat)))))</f>
        <v/>
      </c>
      <c r="M282" s="30" t="str">
        <f t="array" ref="M282">IF($A282="", "", LET(bbgm_stat, INDEX(Players!$A281:$P281, MATCH(M$2, Players!$A$1:$P$1, 0)), perc_75, VLOOKUP(M$2, Percentiles!$A$45:$I$59, 6, FALSE), perc_90, VLOOKUP(M$2, Percentiles!$A$45:$I$59, 7, FALSE), perc_95, VLOOKUP(M$2, Percentiles!$A$45:$I$59, 8, FALSE), perc_85, perc_75 + (perc_90 - perc_75) * (2/3), converted_stat, '2K_Ratings'!M282, IF(bbgm_stat &gt;= perc_95, converted_stat * 3, IF(bbgm_stat &gt;= perc_90, converted_stat * 2, IF(bbgm_stat &gt;= perc_85, converted_stat * 1.5, converted_stat)))))</f>
        <v/>
      </c>
      <c r="N282" s="30" t="str">
        <f t="array" ref="N282">IF($A282="", "", LET(bbgm_stat, INDEX(Players!$A281:$P281, MATCH(N$2, Players!$A$1:$P$1, 0)), perc_75, VLOOKUP(N$2, Percentiles!$A$45:$I$59, 6, FALSE), perc_90, VLOOKUP(N$2, Percentiles!$A$45:$I$59, 7, FALSE), perc_95, VLOOKUP(N$2, Percentiles!$A$45:$I$59, 8, FALSE), perc_85, perc_75 + (perc_90 - perc_75) * (2/3), converted_stat, '2K_Ratings'!N282, IF(bbgm_stat &gt;= perc_95, converted_stat * 3, IF(bbgm_stat &gt;= perc_90, converted_stat * 2, IF(bbgm_stat &gt;= perc_85, converted_stat * 1.5, converted_stat)))))</f>
        <v/>
      </c>
      <c r="O282" s="30" t="str">
        <f t="array" ref="O282">IF($A282="", "", LET(bbgm_stat, INDEX(Players!$A281:$P281, MATCH(O$2, Players!$A$1:$P$1, 0)), perc_75, VLOOKUP(O$2, Percentiles!$A$45:$I$59, 6, FALSE), perc_90, VLOOKUP(O$2, Percentiles!$A$45:$I$59, 7, FALSE), perc_95, VLOOKUP(O$2, Percentiles!$A$45:$I$59, 8, FALSE), perc_85, perc_75 + (perc_90 - perc_75) * (2/3), converted_stat, '2K_Ratings'!O282, IF(bbgm_stat &gt;= perc_95, converted_stat * 3, IF(bbgm_stat &gt;= perc_90, converted_stat * 2, IF(bbgm_stat &gt;= perc_85, converted_stat * 1.5, converted_stat)))))</f>
        <v/>
      </c>
      <c r="P282" s="30" t="str">
        <f t="array" ref="P282">IF($A282="", "", LET(bbgm_stat, INDEX(Players!$A281:$P281, MATCH(P$2, Players!$A$1:$P$1, 0)), perc_75, VLOOKUP(P$2, Percentiles!$A$45:$I$59, 6, FALSE), perc_90, VLOOKUP(P$2, Percentiles!$A$45:$I$59, 7, FALSE), perc_95, VLOOKUP(P$2, Percentiles!$A$45:$I$59, 8, FALSE), perc_85, perc_75 + (perc_90 - perc_75) * (2/3), converted_stat, '2K_Ratings'!P282, IF(bbgm_stat &gt;= perc_95, converted_stat * 3, IF(bbgm_stat &gt;= perc_90, converted_stat * 2, IF(bbgm_stat &gt;= perc_85, converted_stat * 1.5, converted_stat)))))</f>
        <v/>
      </c>
      <c r="Q282" s="30" t="str">
        <f t="array" ref="Q282">IF($A282="", "", LET(bbgm_stat, INDEX(Players!$A281:$P281, MATCH(Q$2, Players!$A$1:$P$1, 0)), perc_75, VLOOKUP(Q$2, Percentiles!$A$45:$I$59, 6, FALSE), perc_90, VLOOKUP(Q$2, Percentiles!$A$45:$I$59, 7, FALSE), perc_95, VLOOKUP(Q$2, Percentiles!$A$45:$I$59, 8, FALSE), perc_85, perc_75 + (perc_90 - perc_75) * (2/3), converted_stat, '2K_Ratings'!Q282, IF(bbgm_stat &gt;= perc_95, converted_stat * 3, IF(bbgm_stat &gt;= perc_90, converted_stat * 2, IF(bbgm_stat &gt;= perc_85, converted_stat * 1.5, converted_stat)))))</f>
        <v/>
      </c>
      <c r="R282" s="30" t="str">
        <f t="array" ref="R282">IF($A282="", "", LET(bbgm_stat, INDEX(Players!$A281:$P281, MATCH(R$2, Players!$A$1:$P$1, 0)), perc_75, VLOOKUP(R$2, Percentiles!$A$45:$I$59, 6, FALSE), perc_90, VLOOKUP(R$2, Percentiles!$A$45:$I$59, 7, FALSE), perc_95, VLOOKUP(R$2, Percentiles!$A$45:$I$59, 8, FALSE), perc_85, perc_75 + (perc_90 - perc_75) * (2/3), converted_stat, '2K_Ratings'!R282, IF(bbgm_stat &gt;= perc_95, converted_stat * 3, IF(bbgm_stat &gt;= perc_90, converted_stat * 2, IF(bbgm_stat &gt;= perc_85, converted_stat * 1.5, converted_stat)))))</f>
        <v/>
      </c>
      <c r="S282" s="30" t="str">
        <f t="array" ref="S282">IF($A282="", "", LET(bbgm_stat, INDEX(Players!$A281:$P281, MATCH(S$2, Players!$A$1:$P$1, 0)), perc_75, VLOOKUP(S$2, Percentiles!$A$45:$I$59, 6, FALSE), perc_90, VLOOKUP(S$2, Percentiles!$A$45:$I$59, 7, FALSE), perc_95, VLOOKUP(S$2, Percentiles!$A$45:$I$59, 8, FALSE), perc_85, perc_75 + (perc_90 - perc_75) * (2/3), converted_stat, '2K_Ratings'!S282, IF(bbgm_stat &gt;= perc_95, converted_stat * 3, IF(bbgm_stat &gt;= perc_90, converted_stat * 2, IF(bbgm_stat &gt;= perc_85, converted_stat * 1.5, converted_stat)))))</f>
        <v/>
      </c>
      <c r="T282" s="30" t="str">
        <f t="array" ref="T282">IF($A282="", "", LET(bbgm_stat, INDEX(Players!$A281:$P281, MATCH(T$2, Players!$A$1:$P$1, 0)), perc_75, VLOOKUP(T$2, Percentiles!$A$45:$I$59, 6, FALSE), perc_90, VLOOKUP(T$2, Percentiles!$A$45:$I$59, 7, FALSE), perc_95, VLOOKUP(T$2, Percentiles!$A$45:$I$59, 8, FALSE), perc_85, perc_75 + (perc_90 - perc_75) * (2/3), converted_stat, '2K_Ratings'!T282, IF(bbgm_stat &gt;= perc_95, converted_stat * 3, IF(bbgm_stat &gt;= perc_90, converted_stat * 2, IF(bbgm_stat &gt;= perc_85, converted_stat * 1.5, converted_stat)))))</f>
        <v/>
      </c>
      <c r="U282" s="30" t="str">
        <f t="array" ref="U282">IF($A282="", "", LET(bbgm_stat, INDEX(Players!$A281:$P281, MATCH(U$2, Players!$A$1:$P$1, 0)), perc_75, VLOOKUP(U$2, Percentiles!$A$45:$I$59, 6, FALSE), perc_90, VLOOKUP(U$2, Percentiles!$A$45:$I$59, 7, FALSE), perc_95, VLOOKUP(U$2, Percentiles!$A$45:$I$59, 8, FALSE), perc_85, perc_75 + (perc_90 - perc_75) * (2/3), converted_stat, '2K_Ratings'!U282, IF(bbgm_stat &gt;= perc_95, converted_stat * 3, IF(bbgm_stat &gt;= perc_90, converted_stat * 2, IF(bbgm_stat &gt;= perc_85, converted_stat * 1.5, converted_stat)))))</f>
        <v/>
      </c>
      <c r="V282" s="30" t="str">
        <f t="array" ref="V282">IF($A282="", "", LET(bbgm_stat, INDEX(Players!$A281:$P281, MATCH(V$2, Players!$A$1:$P$1, 0)), perc_75, VLOOKUP(V$2, Percentiles!$A$45:$I$59, 6, FALSE), perc_90, VLOOKUP(V$2, Percentiles!$A$45:$I$59, 7, FALSE), perc_95, VLOOKUP(V$2, Percentiles!$A$45:$I$59, 8, FALSE), perc_85, perc_75 + (perc_90 - perc_75) * (2/3), converted_stat, '2K_Ratings'!V282, IF(bbgm_stat &gt;= perc_95, converted_stat * 3, IF(bbgm_stat &gt;= perc_90, converted_stat * 2, IF(bbgm_stat &gt;= perc_85, converted_stat * 1.5, converted_stat)))))</f>
        <v/>
      </c>
      <c r="W282" s="30" t="str">
        <f t="array" ref="W282">IF($A282="", "", LET(bbgm_stat, INDEX(Players!$A281:$P281, MATCH(W$2, Players!$A$1:$P$1, 0)), perc_75, VLOOKUP(W$2, Percentiles!$A$45:$I$59, 6, FALSE), perc_90, VLOOKUP(W$2, Percentiles!$A$45:$I$59, 7, FALSE), perc_95, VLOOKUP(W$2, Percentiles!$A$45:$I$59, 8, FALSE), perc_85, perc_75 + (perc_90 - perc_75) * (2/3), converted_stat, '2K_Ratings'!W282, IF(bbgm_stat &gt;= perc_95, converted_stat * 3, IF(bbgm_stat &gt;= perc_90, converted_stat * 2, IF(bbgm_stat &gt;= perc_85, converted_stat * 1.5, converted_stat)))))</f>
        <v/>
      </c>
    </row>
    <row r="283">
      <c r="A283" s="30"/>
      <c r="B283" s="30" t="str">
        <f t="array" ref="B283">IF($A283="", "", LET(bbgm_stat, INDEX(Players!$A282:$P282, MATCH(B$2, Players!$A$1:$P$1, 0)), perc_75, VLOOKUP(B$2, Percentiles!$A$45:$I$59, 6, FALSE), perc_90, VLOOKUP(B$2, Percentiles!$A$45:$I$59, 7, FALSE), perc_95, VLOOKUP(B$2, Percentiles!$A$45:$I$59, 8, FALSE), perc_85, perc_75 + (perc_90 - perc_75) * (2/3), converted_stat, '2K_Ratings'!B283, IF(bbgm_stat &gt;= perc_95, converted_stat * 3, IF(bbgm_stat &gt;= perc_90, converted_stat * 2, IF(bbgm_stat &gt;= perc_85, converted_stat * 1.5, converted_stat)))))</f>
        <v/>
      </c>
      <c r="C283" s="30" t="str">
        <f t="array" ref="C283">IF($A283="", "", LET(bbgm_stat, INDEX(Players!$A282:$P282, MATCH(C$2, Players!$A$1:$P$1, 0)), perc_75, VLOOKUP(C$2, Percentiles!$A$45:$I$59, 6, FALSE), perc_90, VLOOKUP(C$2, Percentiles!$A$45:$I$59, 7, FALSE), perc_95, VLOOKUP(C$2, Percentiles!$A$45:$I$59, 8, FALSE), perc_85, perc_75 + (perc_90 - perc_75) * (2/3), converted_stat, '2K_Ratings'!C283, IF(bbgm_stat &gt;= perc_95, converted_stat * 3, IF(bbgm_stat &gt;= perc_90, converted_stat * 2, IF(bbgm_stat &gt;= perc_85, converted_stat * 1.5, converted_stat)))))</f>
        <v/>
      </c>
      <c r="D283" s="30" t="str">
        <f t="array" ref="D283">IF($A283="", "", LET(bbgm_stat, INDEX(Players!$A282:$P282, MATCH(D$2, Players!$A$1:$P$1, 0)), perc_75, VLOOKUP(D$2, Percentiles!$A$45:$I$59, 6, FALSE), perc_90, VLOOKUP(D$2, Percentiles!$A$45:$I$59, 7, FALSE), perc_95, VLOOKUP(D$2, Percentiles!$A$45:$I$59, 8, FALSE), perc_85, perc_75 + (perc_90 - perc_75) * (2/3), converted_stat, '2K_Ratings'!D283, IF(bbgm_stat &gt;= perc_95, converted_stat * 3, IF(bbgm_stat &gt;= perc_90, converted_stat * 2, IF(bbgm_stat &gt;= perc_85, converted_stat * 1.5, converted_stat)))))</f>
        <v/>
      </c>
      <c r="E283" s="30" t="str">
        <f t="array" ref="E283">IF($A283="", "", LET(bbgm_stat, INDEX(Players!$A282:$P282, MATCH(E$2, Players!$A$1:$P$1, 0)), perc_75, VLOOKUP(E$2, Percentiles!$A$45:$I$59, 6, FALSE), perc_90, VLOOKUP(E$2, Percentiles!$A$45:$I$59, 7, FALSE), perc_95, VLOOKUP(E$2, Percentiles!$A$45:$I$59, 8, FALSE), perc_85, perc_75 + (perc_90 - perc_75) * (2/3), converted_stat, '2K_Ratings'!E283, IF(bbgm_stat &gt;= perc_95, converted_stat * 3, IF(bbgm_stat &gt;= perc_90, converted_stat * 2, IF(bbgm_stat &gt;= perc_85, converted_stat * 1.5, converted_stat)))))</f>
        <v/>
      </c>
      <c r="F283" s="30" t="str">
        <f t="array" ref="F283">IF($A283="", "", LET(bbgm_stat, INDEX(Players!$A282:$P282, MATCH(F$2, Players!$A$1:$P$1, 0)), perc_75, VLOOKUP(F$2, Percentiles!$A$45:$I$59, 6, FALSE), perc_90, VLOOKUP(F$2, Percentiles!$A$45:$I$59, 7, FALSE), perc_95, VLOOKUP(F$2, Percentiles!$A$45:$I$59, 8, FALSE), perc_85, perc_75 + (perc_90 - perc_75) * (2/3), converted_stat, '2K_Ratings'!F283, IF(bbgm_stat &gt;= perc_95, converted_stat * 3, IF(bbgm_stat &gt;= perc_90, converted_stat * 2, IF(bbgm_stat &gt;= perc_85, converted_stat * 1.5, converted_stat)))))</f>
        <v/>
      </c>
      <c r="G283" s="30" t="str">
        <f t="array" ref="G283">IF($A283="", "", LET(bbgm_stat, INDEX(Players!$A282:$P282, MATCH(G$2, Players!$A$1:$P$1, 0)), perc_75, VLOOKUP(G$2, Percentiles!$A$45:$I$59, 6, FALSE), perc_90, VLOOKUP(G$2, Percentiles!$A$45:$I$59, 7, FALSE), perc_95, VLOOKUP(G$2, Percentiles!$A$45:$I$59, 8, FALSE), perc_85, perc_75 + (perc_90 - perc_75) * (2/3), converted_stat, '2K_Ratings'!G283, IF(bbgm_stat &gt;= perc_95, converted_stat * 3, IF(bbgm_stat &gt;= perc_90, converted_stat * 2, IF(bbgm_stat &gt;= perc_85, converted_stat * 1.5, converted_stat)))))</f>
        <v/>
      </c>
      <c r="H283" s="30" t="str">
        <f t="array" ref="H283">IF($A283="", "", LET(bbgm_stat, INDEX(Players!$A282:$P282, MATCH(H$2, Players!$A$1:$P$1, 0)), perc_75, VLOOKUP(H$2, Percentiles!$A$45:$I$59, 6, FALSE), perc_90, VLOOKUP(H$2, Percentiles!$A$45:$I$59, 7, FALSE), perc_95, VLOOKUP(H$2, Percentiles!$A$45:$I$59, 8, FALSE), perc_85, perc_75 + (perc_90 - perc_75) * (2/3), converted_stat, '2K_Ratings'!H283, IF(bbgm_stat &gt;= perc_95, converted_stat * 3, IF(bbgm_stat &gt;= perc_90, converted_stat * 2, IF(bbgm_stat &gt;= perc_85, converted_stat * 1.5, converted_stat)))))</f>
        <v/>
      </c>
      <c r="I283" s="30" t="str">
        <f t="array" ref="I283">IF($A283="", "", LET(bbgm_stat, INDEX(Players!$A282:$P282, MATCH(I$2, Players!$A$1:$P$1, 0)), perc_75, VLOOKUP(I$2, Percentiles!$A$45:$I$59, 6, FALSE), perc_90, VLOOKUP(I$2, Percentiles!$A$45:$I$59, 7, FALSE), perc_95, VLOOKUP(I$2, Percentiles!$A$45:$I$59, 8, FALSE), perc_85, perc_75 + (perc_90 - perc_75) * (2/3), converted_stat, '2K_Ratings'!I283, IF(bbgm_stat &gt;= perc_95, converted_stat * 3, IF(bbgm_stat &gt;= perc_90, converted_stat * 2, IF(bbgm_stat &gt;= perc_85, converted_stat * 1.5, converted_stat)))))</f>
        <v/>
      </c>
      <c r="J283" s="30" t="str">
        <f t="array" ref="J283">IF($A283="", "", LET(bbgm_stat, INDEX(Players!$A282:$P282, MATCH(J$2, Players!$A$1:$P$1, 0)), perc_75, VLOOKUP(J$2, Percentiles!$A$45:$I$59, 6, FALSE), perc_90, VLOOKUP(J$2, Percentiles!$A$45:$I$59, 7, FALSE), perc_95, VLOOKUP(J$2, Percentiles!$A$45:$I$59, 8, FALSE), perc_85, perc_75 + (perc_90 - perc_75) * (2/3), converted_stat, '2K_Ratings'!J283, IF(bbgm_stat &gt;= perc_95, converted_stat * 3, IF(bbgm_stat &gt;= perc_90, converted_stat * 2, IF(bbgm_stat &gt;= perc_85, converted_stat * 1.5, converted_stat)))))</f>
        <v/>
      </c>
      <c r="K283" s="30" t="str">
        <f t="array" ref="K283">IF($A283="", "", LET(bbgm_stat, INDEX(Players!$A282:$P282, MATCH(K$2, Players!$A$1:$P$1, 0)), perc_75, VLOOKUP(K$2, Percentiles!$A$45:$I$59, 6, FALSE), perc_90, VLOOKUP(K$2, Percentiles!$A$45:$I$59, 7, FALSE), perc_95, VLOOKUP(K$2, Percentiles!$A$45:$I$59, 8, FALSE), perc_85, perc_75 + (perc_90 - perc_75) * (2/3), converted_stat, '2K_Ratings'!K283, IF(bbgm_stat &gt;= perc_95, converted_stat * 3, IF(bbgm_stat &gt;= perc_90, converted_stat * 2, IF(bbgm_stat &gt;= perc_85, converted_stat * 1.5, converted_stat)))))</f>
        <v/>
      </c>
      <c r="L283" s="30" t="str">
        <f t="array" ref="L283">IF($A283="", "", LET(bbgm_stat, INDEX(Players!$A282:$P282, MATCH(L$2, Players!$A$1:$P$1, 0)), perc_75, VLOOKUP(L$2, Percentiles!$A$45:$I$59, 6, FALSE), perc_90, VLOOKUP(L$2, Percentiles!$A$45:$I$59, 7, FALSE), perc_95, VLOOKUP(L$2, Percentiles!$A$45:$I$59, 8, FALSE), perc_85, perc_75 + (perc_90 - perc_75) * (2/3), converted_stat, '2K_Ratings'!L283, IF(bbgm_stat &gt;= perc_95, converted_stat * 3, IF(bbgm_stat &gt;= perc_90, converted_stat * 2, IF(bbgm_stat &gt;= perc_85, converted_stat * 1.5, converted_stat)))))</f>
        <v/>
      </c>
      <c r="M283" s="30" t="str">
        <f t="array" ref="M283">IF($A283="", "", LET(bbgm_stat, INDEX(Players!$A282:$P282, MATCH(M$2, Players!$A$1:$P$1, 0)), perc_75, VLOOKUP(M$2, Percentiles!$A$45:$I$59, 6, FALSE), perc_90, VLOOKUP(M$2, Percentiles!$A$45:$I$59, 7, FALSE), perc_95, VLOOKUP(M$2, Percentiles!$A$45:$I$59, 8, FALSE), perc_85, perc_75 + (perc_90 - perc_75) * (2/3), converted_stat, '2K_Ratings'!M283, IF(bbgm_stat &gt;= perc_95, converted_stat * 3, IF(bbgm_stat &gt;= perc_90, converted_stat * 2, IF(bbgm_stat &gt;= perc_85, converted_stat * 1.5, converted_stat)))))</f>
        <v/>
      </c>
      <c r="N283" s="30" t="str">
        <f t="array" ref="N283">IF($A283="", "", LET(bbgm_stat, INDEX(Players!$A282:$P282, MATCH(N$2, Players!$A$1:$P$1, 0)), perc_75, VLOOKUP(N$2, Percentiles!$A$45:$I$59, 6, FALSE), perc_90, VLOOKUP(N$2, Percentiles!$A$45:$I$59, 7, FALSE), perc_95, VLOOKUP(N$2, Percentiles!$A$45:$I$59, 8, FALSE), perc_85, perc_75 + (perc_90 - perc_75) * (2/3), converted_stat, '2K_Ratings'!N283, IF(bbgm_stat &gt;= perc_95, converted_stat * 3, IF(bbgm_stat &gt;= perc_90, converted_stat * 2, IF(bbgm_stat &gt;= perc_85, converted_stat * 1.5, converted_stat)))))</f>
        <v/>
      </c>
      <c r="O283" s="30" t="str">
        <f t="array" ref="O283">IF($A283="", "", LET(bbgm_stat, INDEX(Players!$A282:$P282, MATCH(O$2, Players!$A$1:$P$1, 0)), perc_75, VLOOKUP(O$2, Percentiles!$A$45:$I$59, 6, FALSE), perc_90, VLOOKUP(O$2, Percentiles!$A$45:$I$59, 7, FALSE), perc_95, VLOOKUP(O$2, Percentiles!$A$45:$I$59, 8, FALSE), perc_85, perc_75 + (perc_90 - perc_75) * (2/3), converted_stat, '2K_Ratings'!O283, IF(bbgm_stat &gt;= perc_95, converted_stat * 3, IF(bbgm_stat &gt;= perc_90, converted_stat * 2, IF(bbgm_stat &gt;= perc_85, converted_stat * 1.5, converted_stat)))))</f>
        <v/>
      </c>
      <c r="P283" s="30" t="str">
        <f t="array" ref="P283">IF($A283="", "", LET(bbgm_stat, INDEX(Players!$A282:$P282, MATCH(P$2, Players!$A$1:$P$1, 0)), perc_75, VLOOKUP(P$2, Percentiles!$A$45:$I$59, 6, FALSE), perc_90, VLOOKUP(P$2, Percentiles!$A$45:$I$59, 7, FALSE), perc_95, VLOOKUP(P$2, Percentiles!$A$45:$I$59, 8, FALSE), perc_85, perc_75 + (perc_90 - perc_75) * (2/3), converted_stat, '2K_Ratings'!P283, IF(bbgm_stat &gt;= perc_95, converted_stat * 3, IF(bbgm_stat &gt;= perc_90, converted_stat * 2, IF(bbgm_stat &gt;= perc_85, converted_stat * 1.5, converted_stat)))))</f>
        <v/>
      </c>
      <c r="Q283" s="30" t="str">
        <f t="array" ref="Q283">IF($A283="", "", LET(bbgm_stat, INDEX(Players!$A282:$P282, MATCH(Q$2, Players!$A$1:$P$1, 0)), perc_75, VLOOKUP(Q$2, Percentiles!$A$45:$I$59, 6, FALSE), perc_90, VLOOKUP(Q$2, Percentiles!$A$45:$I$59, 7, FALSE), perc_95, VLOOKUP(Q$2, Percentiles!$A$45:$I$59, 8, FALSE), perc_85, perc_75 + (perc_90 - perc_75) * (2/3), converted_stat, '2K_Ratings'!Q283, IF(bbgm_stat &gt;= perc_95, converted_stat * 3, IF(bbgm_stat &gt;= perc_90, converted_stat * 2, IF(bbgm_stat &gt;= perc_85, converted_stat * 1.5, converted_stat)))))</f>
        <v/>
      </c>
      <c r="R283" s="30" t="str">
        <f t="array" ref="R283">IF($A283="", "", LET(bbgm_stat, INDEX(Players!$A282:$P282, MATCH(R$2, Players!$A$1:$P$1, 0)), perc_75, VLOOKUP(R$2, Percentiles!$A$45:$I$59, 6, FALSE), perc_90, VLOOKUP(R$2, Percentiles!$A$45:$I$59, 7, FALSE), perc_95, VLOOKUP(R$2, Percentiles!$A$45:$I$59, 8, FALSE), perc_85, perc_75 + (perc_90 - perc_75) * (2/3), converted_stat, '2K_Ratings'!R283, IF(bbgm_stat &gt;= perc_95, converted_stat * 3, IF(bbgm_stat &gt;= perc_90, converted_stat * 2, IF(bbgm_stat &gt;= perc_85, converted_stat * 1.5, converted_stat)))))</f>
        <v/>
      </c>
      <c r="S283" s="30" t="str">
        <f t="array" ref="S283">IF($A283="", "", LET(bbgm_stat, INDEX(Players!$A282:$P282, MATCH(S$2, Players!$A$1:$P$1, 0)), perc_75, VLOOKUP(S$2, Percentiles!$A$45:$I$59, 6, FALSE), perc_90, VLOOKUP(S$2, Percentiles!$A$45:$I$59, 7, FALSE), perc_95, VLOOKUP(S$2, Percentiles!$A$45:$I$59, 8, FALSE), perc_85, perc_75 + (perc_90 - perc_75) * (2/3), converted_stat, '2K_Ratings'!S283, IF(bbgm_stat &gt;= perc_95, converted_stat * 3, IF(bbgm_stat &gt;= perc_90, converted_stat * 2, IF(bbgm_stat &gt;= perc_85, converted_stat * 1.5, converted_stat)))))</f>
        <v/>
      </c>
      <c r="T283" s="30" t="str">
        <f t="array" ref="T283">IF($A283="", "", LET(bbgm_stat, INDEX(Players!$A282:$P282, MATCH(T$2, Players!$A$1:$P$1, 0)), perc_75, VLOOKUP(T$2, Percentiles!$A$45:$I$59, 6, FALSE), perc_90, VLOOKUP(T$2, Percentiles!$A$45:$I$59, 7, FALSE), perc_95, VLOOKUP(T$2, Percentiles!$A$45:$I$59, 8, FALSE), perc_85, perc_75 + (perc_90 - perc_75) * (2/3), converted_stat, '2K_Ratings'!T283, IF(bbgm_stat &gt;= perc_95, converted_stat * 3, IF(bbgm_stat &gt;= perc_90, converted_stat * 2, IF(bbgm_stat &gt;= perc_85, converted_stat * 1.5, converted_stat)))))</f>
        <v/>
      </c>
      <c r="U283" s="30" t="str">
        <f t="array" ref="U283">IF($A283="", "", LET(bbgm_stat, INDEX(Players!$A282:$P282, MATCH(U$2, Players!$A$1:$P$1, 0)), perc_75, VLOOKUP(U$2, Percentiles!$A$45:$I$59, 6, FALSE), perc_90, VLOOKUP(U$2, Percentiles!$A$45:$I$59, 7, FALSE), perc_95, VLOOKUP(U$2, Percentiles!$A$45:$I$59, 8, FALSE), perc_85, perc_75 + (perc_90 - perc_75) * (2/3), converted_stat, '2K_Ratings'!U283, IF(bbgm_stat &gt;= perc_95, converted_stat * 3, IF(bbgm_stat &gt;= perc_90, converted_stat * 2, IF(bbgm_stat &gt;= perc_85, converted_stat * 1.5, converted_stat)))))</f>
        <v/>
      </c>
      <c r="V283" s="30" t="str">
        <f t="array" ref="V283">IF($A283="", "", LET(bbgm_stat, INDEX(Players!$A282:$P282, MATCH(V$2, Players!$A$1:$P$1, 0)), perc_75, VLOOKUP(V$2, Percentiles!$A$45:$I$59, 6, FALSE), perc_90, VLOOKUP(V$2, Percentiles!$A$45:$I$59, 7, FALSE), perc_95, VLOOKUP(V$2, Percentiles!$A$45:$I$59, 8, FALSE), perc_85, perc_75 + (perc_90 - perc_75) * (2/3), converted_stat, '2K_Ratings'!V283, IF(bbgm_stat &gt;= perc_95, converted_stat * 3, IF(bbgm_stat &gt;= perc_90, converted_stat * 2, IF(bbgm_stat &gt;= perc_85, converted_stat * 1.5, converted_stat)))))</f>
        <v/>
      </c>
      <c r="W283" s="30" t="str">
        <f t="array" ref="W283">IF($A283="", "", LET(bbgm_stat, INDEX(Players!$A282:$P282, MATCH(W$2, Players!$A$1:$P$1, 0)), perc_75, VLOOKUP(W$2, Percentiles!$A$45:$I$59, 6, FALSE), perc_90, VLOOKUP(W$2, Percentiles!$A$45:$I$59, 7, FALSE), perc_95, VLOOKUP(W$2, Percentiles!$A$45:$I$59, 8, FALSE), perc_85, perc_75 + (perc_90 - perc_75) * (2/3), converted_stat, '2K_Ratings'!W283, IF(bbgm_stat &gt;= perc_95, converted_stat * 3, IF(bbgm_stat &gt;= perc_90, converted_stat * 2, IF(bbgm_stat &gt;= perc_85, converted_stat * 1.5, converted_stat)))))</f>
        <v/>
      </c>
    </row>
    <row r="284">
      <c r="A284" s="30"/>
      <c r="B284" s="30" t="str">
        <f t="array" ref="B284">IF($A284="", "", LET(bbgm_stat, INDEX(Players!$A283:$P283, MATCH(B$2, Players!$A$1:$P$1, 0)), perc_75, VLOOKUP(B$2, Percentiles!$A$45:$I$59, 6, FALSE), perc_90, VLOOKUP(B$2, Percentiles!$A$45:$I$59, 7, FALSE), perc_95, VLOOKUP(B$2, Percentiles!$A$45:$I$59, 8, FALSE), perc_85, perc_75 + (perc_90 - perc_75) * (2/3), converted_stat, '2K_Ratings'!B284, IF(bbgm_stat &gt;= perc_95, converted_stat * 3, IF(bbgm_stat &gt;= perc_90, converted_stat * 2, IF(bbgm_stat &gt;= perc_85, converted_stat * 1.5, converted_stat)))))</f>
        <v/>
      </c>
      <c r="C284" s="30" t="str">
        <f t="array" ref="C284">IF($A284="", "", LET(bbgm_stat, INDEX(Players!$A283:$P283, MATCH(C$2, Players!$A$1:$P$1, 0)), perc_75, VLOOKUP(C$2, Percentiles!$A$45:$I$59, 6, FALSE), perc_90, VLOOKUP(C$2, Percentiles!$A$45:$I$59, 7, FALSE), perc_95, VLOOKUP(C$2, Percentiles!$A$45:$I$59, 8, FALSE), perc_85, perc_75 + (perc_90 - perc_75) * (2/3), converted_stat, '2K_Ratings'!C284, IF(bbgm_stat &gt;= perc_95, converted_stat * 3, IF(bbgm_stat &gt;= perc_90, converted_stat * 2, IF(bbgm_stat &gt;= perc_85, converted_stat * 1.5, converted_stat)))))</f>
        <v/>
      </c>
      <c r="D284" s="30" t="str">
        <f t="array" ref="D284">IF($A284="", "", LET(bbgm_stat, INDEX(Players!$A283:$P283, MATCH(D$2, Players!$A$1:$P$1, 0)), perc_75, VLOOKUP(D$2, Percentiles!$A$45:$I$59, 6, FALSE), perc_90, VLOOKUP(D$2, Percentiles!$A$45:$I$59, 7, FALSE), perc_95, VLOOKUP(D$2, Percentiles!$A$45:$I$59, 8, FALSE), perc_85, perc_75 + (perc_90 - perc_75) * (2/3), converted_stat, '2K_Ratings'!D284, IF(bbgm_stat &gt;= perc_95, converted_stat * 3, IF(bbgm_stat &gt;= perc_90, converted_stat * 2, IF(bbgm_stat &gt;= perc_85, converted_stat * 1.5, converted_stat)))))</f>
        <v/>
      </c>
      <c r="E284" s="30" t="str">
        <f t="array" ref="E284">IF($A284="", "", LET(bbgm_stat, INDEX(Players!$A283:$P283, MATCH(E$2, Players!$A$1:$P$1, 0)), perc_75, VLOOKUP(E$2, Percentiles!$A$45:$I$59, 6, FALSE), perc_90, VLOOKUP(E$2, Percentiles!$A$45:$I$59, 7, FALSE), perc_95, VLOOKUP(E$2, Percentiles!$A$45:$I$59, 8, FALSE), perc_85, perc_75 + (perc_90 - perc_75) * (2/3), converted_stat, '2K_Ratings'!E284, IF(bbgm_stat &gt;= perc_95, converted_stat * 3, IF(bbgm_stat &gt;= perc_90, converted_stat * 2, IF(bbgm_stat &gt;= perc_85, converted_stat * 1.5, converted_stat)))))</f>
        <v/>
      </c>
      <c r="F284" s="30" t="str">
        <f t="array" ref="F284">IF($A284="", "", LET(bbgm_stat, INDEX(Players!$A283:$P283, MATCH(F$2, Players!$A$1:$P$1, 0)), perc_75, VLOOKUP(F$2, Percentiles!$A$45:$I$59, 6, FALSE), perc_90, VLOOKUP(F$2, Percentiles!$A$45:$I$59, 7, FALSE), perc_95, VLOOKUP(F$2, Percentiles!$A$45:$I$59, 8, FALSE), perc_85, perc_75 + (perc_90 - perc_75) * (2/3), converted_stat, '2K_Ratings'!F284, IF(bbgm_stat &gt;= perc_95, converted_stat * 3, IF(bbgm_stat &gt;= perc_90, converted_stat * 2, IF(bbgm_stat &gt;= perc_85, converted_stat * 1.5, converted_stat)))))</f>
        <v/>
      </c>
      <c r="G284" s="30" t="str">
        <f t="array" ref="G284">IF($A284="", "", LET(bbgm_stat, INDEX(Players!$A283:$P283, MATCH(G$2, Players!$A$1:$P$1, 0)), perc_75, VLOOKUP(G$2, Percentiles!$A$45:$I$59, 6, FALSE), perc_90, VLOOKUP(G$2, Percentiles!$A$45:$I$59, 7, FALSE), perc_95, VLOOKUP(G$2, Percentiles!$A$45:$I$59, 8, FALSE), perc_85, perc_75 + (perc_90 - perc_75) * (2/3), converted_stat, '2K_Ratings'!G284, IF(bbgm_stat &gt;= perc_95, converted_stat * 3, IF(bbgm_stat &gt;= perc_90, converted_stat * 2, IF(bbgm_stat &gt;= perc_85, converted_stat * 1.5, converted_stat)))))</f>
        <v/>
      </c>
      <c r="H284" s="30" t="str">
        <f t="array" ref="H284">IF($A284="", "", LET(bbgm_stat, INDEX(Players!$A283:$P283, MATCH(H$2, Players!$A$1:$P$1, 0)), perc_75, VLOOKUP(H$2, Percentiles!$A$45:$I$59, 6, FALSE), perc_90, VLOOKUP(H$2, Percentiles!$A$45:$I$59, 7, FALSE), perc_95, VLOOKUP(H$2, Percentiles!$A$45:$I$59, 8, FALSE), perc_85, perc_75 + (perc_90 - perc_75) * (2/3), converted_stat, '2K_Ratings'!H284, IF(bbgm_stat &gt;= perc_95, converted_stat * 3, IF(bbgm_stat &gt;= perc_90, converted_stat * 2, IF(bbgm_stat &gt;= perc_85, converted_stat * 1.5, converted_stat)))))</f>
        <v/>
      </c>
      <c r="I284" s="30" t="str">
        <f t="array" ref="I284">IF($A284="", "", LET(bbgm_stat, INDEX(Players!$A283:$P283, MATCH(I$2, Players!$A$1:$P$1, 0)), perc_75, VLOOKUP(I$2, Percentiles!$A$45:$I$59, 6, FALSE), perc_90, VLOOKUP(I$2, Percentiles!$A$45:$I$59, 7, FALSE), perc_95, VLOOKUP(I$2, Percentiles!$A$45:$I$59, 8, FALSE), perc_85, perc_75 + (perc_90 - perc_75) * (2/3), converted_stat, '2K_Ratings'!I284, IF(bbgm_stat &gt;= perc_95, converted_stat * 3, IF(bbgm_stat &gt;= perc_90, converted_stat * 2, IF(bbgm_stat &gt;= perc_85, converted_stat * 1.5, converted_stat)))))</f>
        <v/>
      </c>
      <c r="J284" s="30" t="str">
        <f t="array" ref="J284">IF($A284="", "", LET(bbgm_stat, INDEX(Players!$A283:$P283, MATCH(J$2, Players!$A$1:$P$1, 0)), perc_75, VLOOKUP(J$2, Percentiles!$A$45:$I$59, 6, FALSE), perc_90, VLOOKUP(J$2, Percentiles!$A$45:$I$59, 7, FALSE), perc_95, VLOOKUP(J$2, Percentiles!$A$45:$I$59, 8, FALSE), perc_85, perc_75 + (perc_90 - perc_75) * (2/3), converted_stat, '2K_Ratings'!J284, IF(bbgm_stat &gt;= perc_95, converted_stat * 3, IF(bbgm_stat &gt;= perc_90, converted_stat * 2, IF(bbgm_stat &gt;= perc_85, converted_stat * 1.5, converted_stat)))))</f>
        <v/>
      </c>
      <c r="K284" s="30" t="str">
        <f t="array" ref="K284">IF($A284="", "", LET(bbgm_stat, INDEX(Players!$A283:$P283, MATCH(K$2, Players!$A$1:$P$1, 0)), perc_75, VLOOKUP(K$2, Percentiles!$A$45:$I$59, 6, FALSE), perc_90, VLOOKUP(K$2, Percentiles!$A$45:$I$59, 7, FALSE), perc_95, VLOOKUP(K$2, Percentiles!$A$45:$I$59, 8, FALSE), perc_85, perc_75 + (perc_90 - perc_75) * (2/3), converted_stat, '2K_Ratings'!K284, IF(bbgm_stat &gt;= perc_95, converted_stat * 3, IF(bbgm_stat &gt;= perc_90, converted_stat * 2, IF(bbgm_stat &gt;= perc_85, converted_stat * 1.5, converted_stat)))))</f>
        <v/>
      </c>
      <c r="L284" s="30" t="str">
        <f t="array" ref="L284">IF($A284="", "", LET(bbgm_stat, INDEX(Players!$A283:$P283, MATCH(L$2, Players!$A$1:$P$1, 0)), perc_75, VLOOKUP(L$2, Percentiles!$A$45:$I$59, 6, FALSE), perc_90, VLOOKUP(L$2, Percentiles!$A$45:$I$59, 7, FALSE), perc_95, VLOOKUP(L$2, Percentiles!$A$45:$I$59, 8, FALSE), perc_85, perc_75 + (perc_90 - perc_75) * (2/3), converted_stat, '2K_Ratings'!L284, IF(bbgm_stat &gt;= perc_95, converted_stat * 3, IF(bbgm_stat &gt;= perc_90, converted_stat * 2, IF(bbgm_stat &gt;= perc_85, converted_stat * 1.5, converted_stat)))))</f>
        <v/>
      </c>
      <c r="M284" s="30" t="str">
        <f t="array" ref="M284">IF($A284="", "", LET(bbgm_stat, INDEX(Players!$A283:$P283, MATCH(M$2, Players!$A$1:$P$1, 0)), perc_75, VLOOKUP(M$2, Percentiles!$A$45:$I$59, 6, FALSE), perc_90, VLOOKUP(M$2, Percentiles!$A$45:$I$59, 7, FALSE), perc_95, VLOOKUP(M$2, Percentiles!$A$45:$I$59, 8, FALSE), perc_85, perc_75 + (perc_90 - perc_75) * (2/3), converted_stat, '2K_Ratings'!M284, IF(bbgm_stat &gt;= perc_95, converted_stat * 3, IF(bbgm_stat &gt;= perc_90, converted_stat * 2, IF(bbgm_stat &gt;= perc_85, converted_stat * 1.5, converted_stat)))))</f>
        <v/>
      </c>
      <c r="N284" s="30" t="str">
        <f t="array" ref="N284">IF($A284="", "", LET(bbgm_stat, INDEX(Players!$A283:$P283, MATCH(N$2, Players!$A$1:$P$1, 0)), perc_75, VLOOKUP(N$2, Percentiles!$A$45:$I$59, 6, FALSE), perc_90, VLOOKUP(N$2, Percentiles!$A$45:$I$59, 7, FALSE), perc_95, VLOOKUP(N$2, Percentiles!$A$45:$I$59, 8, FALSE), perc_85, perc_75 + (perc_90 - perc_75) * (2/3), converted_stat, '2K_Ratings'!N284, IF(bbgm_stat &gt;= perc_95, converted_stat * 3, IF(bbgm_stat &gt;= perc_90, converted_stat * 2, IF(bbgm_stat &gt;= perc_85, converted_stat * 1.5, converted_stat)))))</f>
        <v/>
      </c>
      <c r="O284" s="30" t="str">
        <f t="array" ref="O284">IF($A284="", "", LET(bbgm_stat, INDEX(Players!$A283:$P283, MATCH(O$2, Players!$A$1:$P$1, 0)), perc_75, VLOOKUP(O$2, Percentiles!$A$45:$I$59, 6, FALSE), perc_90, VLOOKUP(O$2, Percentiles!$A$45:$I$59, 7, FALSE), perc_95, VLOOKUP(O$2, Percentiles!$A$45:$I$59, 8, FALSE), perc_85, perc_75 + (perc_90 - perc_75) * (2/3), converted_stat, '2K_Ratings'!O284, IF(bbgm_stat &gt;= perc_95, converted_stat * 3, IF(bbgm_stat &gt;= perc_90, converted_stat * 2, IF(bbgm_stat &gt;= perc_85, converted_stat * 1.5, converted_stat)))))</f>
        <v/>
      </c>
      <c r="P284" s="30" t="str">
        <f t="array" ref="P284">IF($A284="", "", LET(bbgm_stat, INDEX(Players!$A283:$P283, MATCH(P$2, Players!$A$1:$P$1, 0)), perc_75, VLOOKUP(P$2, Percentiles!$A$45:$I$59, 6, FALSE), perc_90, VLOOKUP(P$2, Percentiles!$A$45:$I$59, 7, FALSE), perc_95, VLOOKUP(P$2, Percentiles!$A$45:$I$59, 8, FALSE), perc_85, perc_75 + (perc_90 - perc_75) * (2/3), converted_stat, '2K_Ratings'!P284, IF(bbgm_stat &gt;= perc_95, converted_stat * 3, IF(bbgm_stat &gt;= perc_90, converted_stat * 2, IF(bbgm_stat &gt;= perc_85, converted_stat * 1.5, converted_stat)))))</f>
        <v/>
      </c>
      <c r="Q284" s="30" t="str">
        <f t="array" ref="Q284">IF($A284="", "", LET(bbgm_stat, INDEX(Players!$A283:$P283, MATCH(Q$2, Players!$A$1:$P$1, 0)), perc_75, VLOOKUP(Q$2, Percentiles!$A$45:$I$59, 6, FALSE), perc_90, VLOOKUP(Q$2, Percentiles!$A$45:$I$59, 7, FALSE), perc_95, VLOOKUP(Q$2, Percentiles!$A$45:$I$59, 8, FALSE), perc_85, perc_75 + (perc_90 - perc_75) * (2/3), converted_stat, '2K_Ratings'!Q284, IF(bbgm_stat &gt;= perc_95, converted_stat * 3, IF(bbgm_stat &gt;= perc_90, converted_stat * 2, IF(bbgm_stat &gt;= perc_85, converted_stat * 1.5, converted_stat)))))</f>
        <v/>
      </c>
      <c r="R284" s="30" t="str">
        <f t="array" ref="R284">IF($A284="", "", LET(bbgm_stat, INDEX(Players!$A283:$P283, MATCH(R$2, Players!$A$1:$P$1, 0)), perc_75, VLOOKUP(R$2, Percentiles!$A$45:$I$59, 6, FALSE), perc_90, VLOOKUP(R$2, Percentiles!$A$45:$I$59, 7, FALSE), perc_95, VLOOKUP(R$2, Percentiles!$A$45:$I$59, 8, FALSE), perc_85, perc_75 + (perc_90 - perc_75) * (2/3), converted_stat, '2K_Ratings'!R284, IF(bbgm_stat &gt;= perc_95, converted_stat * 3, IF(bbgm_stat &gt;= perc_90, converted_stat * 2, IF(bbgm_stat &gt;= perc_85, converted_stat * 1.5, converted_stat)))))</f>
        <v/>
      </c>
      <c r="S284" s="30" t="str">
        <f t="array" ref="S284">IF($A284="", "", LET(bbgm_stat, INDEX(Players!$A283:$P283, MATCH(S$2, Players!$A$1:$P$1, 0)), perc_75, VLOOKUP(S$2, Percentiles!$A$45:$I$59, 6, FALSE), perc_90, VLOOKUP(S$2, Percentiles!$A$45:$I$59, 7, FALSE), perc_95, VLOOKUP(S$2, Percentiles!$A$45:$I$59, 8, FALSE), perc_85, perc_75 + (perc_90 - perc_75) * (2/3), converted_stat, '2K_Ratings'!S284, IF(bbgm_stat &gt;= perc_95, converted_stat * 3, IF(bbgm_stat &gt;= perc_90, converted_stat * 2, IF(bbgm_stat &gt;= perc_85, converted_stat * 1.5, converted_stat)))))</f>
        <v/>
      </c>
      <c r="T284" s="30" t="str">
        <f t="array" ref="T284">IF($A284="", "", LET(bbgm_stat, INDEX(Players!$A283:$P283, MATCH(T$2, Players!$A$1:$P$1, 0)), perc_75, VLOOKUP(T$2, Percentiles!$A$45:$I$59, 6, FALSE), perc_90, VLOOKUP(T$2, Percentiles!$A$45:$I$59, 7, FALSE), perc_95, VLOOKUP(T$2, Percentiles!$A$45:$I$59, 8, FALSE), perc_85, perc_75 + (perc_90 - perc_75) * (2/3), converted_stat, '2K_Ratings'!T284, IF(bbgm_stat &gt;= perc_95, converted_stat * 3, IF(bbgm_stat &gt;= perc_90, converted_stat * 2, IF(bbgm_stat &gt;= perc_85, converted_stat * 1.5, converted_stat)))))</f>
        <v/>
      </c>
      <c r="U284" s="30" t="str">
        <f t="array" ref="U284">IF($A284="", "", LET(bbgm_stat, INDEX(Players!$A283:$P283, MATCH(U$2, Players!$A$1:$P$1, 0)), perc_75, VLOOKUP(U$2, Percentiles!$A$45:$I$59, 6, FALSE), perc_90, VLOOKUP(U$2, Percentiles!$A$45:$I$59, 7, FALSE), perc_95, VLOOKUP(U$2, Percentiles!$A$45:$I$59, 8, FALSE), perc_85, perc_75 + (perc_90 - perc_75) * (2/3), converted_stat, '2K_Ratings'!U284, IF(bbgm_stat &gt;= perc_95, converted_stat * 3, IF(bbgm_stat &gt;= perc_90, converted_stat * 2, IF(bbgm_stat &gt;= perc_85, converted_stat * 1.5, converted_stat)))))</f>
        <v/>
      </c>
      <c r="V284" s="30" t="str">
        <f t="array" ref="V284">IF($A284="", "", LET(bbgm_stat, INDEX(Players!$A283:$P283, MATCH(V$2, Players!$A$1:$P$1, 0)), perc_75, VLOOKUP(V$2, Percentiles!$A$45:$I$59, 6, FALSE), perc_90, VLOOKUP(V$2, Percentiles!$A$45:$I$59, 7, FALSE), perc_95, VLOOKUP(V$2, Percentiles!$A$45:$I$59, 8, FALSE), perc_85, perc_75 + (perc_90 - perc_75) * (2/3), converted_stat, '2K_Ratings'!V284, IF(bbgm_stat &gt;= perc_95, converted_stat * 3, IF(bbgm_stat &gt;= perc_90, converted_stat * 2, IF(bbgm_stat &gt;= perc_85, converted_stat * 1.5, converted_stat)))))</f>
        <v/>
      </c>
      <c r="W284" s="30" t="str">
        <f t="array" ref="W284">IF($A284="", "", LET(bbgm_stat, INDEX(Players!$A283:$P283, MATCH(W$2, Players!$A$1:$P$1, 0)), perc_75, VLOOKUP(W$2, Percentiles!$A$45:$I$59, 6, FALSE), perc_90, VLOOKUP(W$2, Percentiles!$A$45:$I$59, 7, FALSE), perc_95, VLOOKUP(W$2, Percentiles!$A$45:$I$59, 8, FALSE), perc_85, perc_75 + (perc_90 - perc_75) * (2/3), converted_stat, '2K_Ratings'!W284, IF(bbgm_stat &gt;= perc_95, converted_stat * 3, IF(bbgm_stat &gt;= perc_90, converted_stat * 2, IF(bbgm_stat &gt;= perc_85, converted_stat * 1.5, converted_stat)))))</f>
        <v/>
      </c>
    </row>
    <row r="285">
      <c r="A285" s="30"/>
      <c r="B285" s="30" t="str">
        <f t="array" ref="B285">IF($A285="", "", LET(bbgm_stat, INDEX(Players!$A284:$P284, MATCH(B$2, Players!$A$1:$P$1, 0)), perc_75, VLOOKUP(B$2, Percentiles!$A$45:$I$59, 6, FALSE), perc_90, VLOOKUP(B$2, Percentiles!$A$45:$I$59, 7, FALSE), perc_95, VLOOKUP(B$2, Percentiles!$A$45:$I$59, 8, FALSE), perc_85, perc_75 + (perc_90 - perc_75) * (2/3), converted_stat, '2K_Ratings'!B285, IF(bbgm_stat &gt;= perc_95, converted_stat * 3, IF(bbgm_stat &gt;= perc_90, converted_stat * 2, IF(bbgm_stat &gt;= perc_85, converted_stat * 1.5, converted_stat)))))</f>
        <v/>
      </c>
      <c r="C285" s="30" t="str">
        <f t="array" ref="C285">IF($A285="", "", LET(bbgm_stat, INDEX(Players!$A284:$P284, MATCH(C$2, Players!$A$1:$P$1, 0)), perc_75, VLOOKUP(C$2, Percentiles!$A$45:$I$59, 6, FALSE), perc_90, VLOOKUP(C$2, Percentiles!$A$45:$I$59, 7, FALSE), perc_95, VLOOKUP(C$2, Percentiles!$A$45:$I$59, 8, FALSE), perc_85, perc_75 + (perc_90 - perc_75) * (2/3), converted_stat, '2K_Ratings'!C285, IF(bbgm_stat &gt;= perc_95, converted_stat * 3, IF(bbgm_stat &gt;= perc_90, converted_stat * 2, IF(bbgm_stat &gt;= perc_85, converted_stat * 1.5, converted_stat)))))</f>
        <v/>
      </c>
      <c r="D285" s="30" t="str">
        <f t="array" ref="D285">IF($A285="", "", LET(bbgm_stat, INDEX(Players!$A284:$P284, MATCH(D$2, Players!$A$1:$P$1, 0)), perc_75, VLOOKUP(D$2, Percentiles!$A$45:$I$59, 6, FALSE), perc_90, VLOOKUP(D$2, Percentiles!$A$45:$I$59, 7, FALSE), perc_95, VLOOKUP(D$2, Percentiles!$A$45:$I$59, 8, FALSE), perc_85, perc_75 + (perc_90 - perc_75) * (2/3), converted_stat, '2K_Ratings'!D285, IF(bbgm_stat &gt;= perc_95, converted_stat * 3, IF(bbgm_stat &gt;= perc_90, converted_stat * 2, IF(bbgm_stat &gt;= perc_85, converted_stat * 1.5, converted_stat)))))</f>
        <v/>
      </c>
      <c r="E285" s="30" t="str">
        <f t="array" ref="E285">IF($A285="", "", LET(bbgm_stat, INDEX(Players!$A284:$P284, MATCH(E$2, Players!$A$1:$P$1, 0)), perc_75, VLOOKUP(E$2, Percentiles!$A$45:$I$59, 6, FALSE), perc_90, VLOOKUP(E$2, Percentiles!$A$45:$I$59, 7, FALSE), perc_95, VLOOKUP(E$2, Percentiles!$A$45:$I$59, 8, FALSE), perc_85, perc_75 + (perc_90 - perc_75) * (2/3), converted_stat, '2K_Ratings'!E285, IF(bbgm_stat &gt;= perc_95, converted_stat * 3, IF(bbgm_stat &gt;= perc_90, converted_stat * 2, IF(bbgm_stat &gt;= perc_85, converted_stat * 1.5, converted_stat)))))</f>
        <v/>
      </c>
      <c r="F285" s="30" t="str">
        <f t="array" ref="F285">IF($A285="", "", LET(bbgm_stat, INDEX(Players!$A284:$P284, MATCH(F$2, Players!$A$1:$P$1, 0)), perc_75, VLOOKUP(F$2, Percentiles!$A$45:$I$59, 6, FALSE), perc_90, VLOOKUP(F$2, Percentiles!$A$45:$I$59, 7, FALSE), perc_95, VLOOKUP(F$2, Percentiles!$A$45:$I$59, 8, FALSE), perc_85, perc_75 + (perc_90 - perc_75) * (2/3), converted_stat, '2K_Ratings'!F285, IF(bbgm_stat &gt;= perc_95, converted_stat * 3, IF(bbgm_stat &gt;= perc_90, converted_stat * 2, IF(bbgm_stat &gt;= perc_85, converted_stat * 1.5, converted_stat)))))</f>
        <v/>
      </c>
      <c r="G285" s="30" t="str">
        <f t="array" ref="G285">IF($A285="", "", LET(bbgm_stat, INDEX(Players!$A284:$P284, MATCH(G$2, Players!$A$1:$P$1, 0)), perc_75, VLOOKUP(G$2, Percentiles!$A$45:$I$59, 6, FALSE), perc_90, VLOOKUP(G$2, Percentiles!$A$45:$I$59, 7, FALSE), perc_95, VLOOKUP(G$2, Percentiles!$A$45:$I$59, 8, FALSE), perc_85, perc_75 + (perc_90 - perc_75) * (2/3), converted_stat, '2K_Ratings'!G285, IF(bbgm_stat &gt;= perc_95, converted_stat * 3, IF(bbgm_stat &gt;= perc_90, converted_stat * 2, IF(bbgm_stat &gt;= perc_85, converted_stat * 1.5, converted_stat)))))</f>
        <v/>
      </c>
      <c r="H285" s="30" t="str">
        <f t="array" ref="H285">IF($A285="", "", LET(bbgm_stat, INDEX(Players!$A284:$P284, MATCH(H$2, Players!$A$1:$P$1, 0)), perc_75, VLOOKUP(H$2, Percentiles!$A$45:$I$59, 6, FALSE), perc_90, VLOOKUP(H$2, Percentiles!$A$45:$I$59, 7, FALSE), perc_95, VLOOKUP(H$2, Percentiles!$A$45:$I$59, 8, FALSE), perc_85, perc_75 + (perc_90 - perc_75) * (2/3), converted_stat, '2K_Ratings'!H285, IF(bbgm_stat &gt;= perc_95, converted_stat * 3, IF(bbgm_stat &gt;= perc_90, converted_stat * 2, IF(bbgm_stat &gt;= perc_85, converted_stat * 1.5, converted_stat)))))</f>
        <v/>
      </c>
      <c r="I285" s="30" t="str">
        <f t="array" ref="I285">IF($A285="", "", LET(bbgm_stat, INDEX(Players!$A284:$P284, MATCH(I$2, Players!$A$1:$P$1, 0)), perc_75, VLOOKUP(I$2, Percentiles!$A$45:$I$59, 6, FALSE), perc_90, VLOOKUP(I$2, Percentiles!$A$45:$I$59, 7, FALSE), perc_95, VLOOKUP(I$2, Percentiles!$A$45:$I$59, 8, FALSE), perc_85, perc_75 + (perc_90 - perc_75) * (2/3), converted_stat, '2K_Ratings'!I285, IF(bbgm_stat &gt;= perc_95, converted_stat * 3, IF(bbgm_stat &gt;= perc_90, converted_stat * 2, IF(bbgm_stat &gt;= perc_85, converted_stat * 1.5, converted_stat)))))</f>
        <v/>
      </c>
      <c r="J285" s="30" t="str">
        <f t="array" ref="J285">IF($A285="", "", LET(bbgm_stat, INDEX(Players!$A284:$P284, MATCH(J$2, Players!$A$1:$P$1, 0)), perc_75, VLOOKUP(J$2, Percentiles!$A$45:$I$59, 6, FALSE), perc_90, VLOOKUP(J$2, Percentiles!$A$45:$I$59, 7, FALSE), perc_95, VLOOKUP(J$2, Percentiles!$A$45:$I$59, 8, FALSE), perc_85, perc_75 + (perc_90 - perc_75) * (2/3), converted_stat, '2K_Ratings'!J285, IF(bbgm_stat &gt;= perc_95, converted_stat * 3, IF(bbgm_stat &gt;= perc_90, converted_stat * 2, IF(bbgm_stat &gt;= perc_85, converted_stat * 1.5, converted_stat)))))</f>
        <v/>
      </c>
      <c r="K285" s="30" t="str">
        <f t="array" ref="K285">IF($A285="", "", LET(bbgm_stat, INDEX(Players!$A284:$P284, MATCH(K$2, Players!$A$1:$P$1, 0)), perc_75, VLOOKUP(K$2, Percentiles!$A$45:$I$59, 6, FALSE), perc_90, VLOOKUP(K$2, Percentiles!$A$45:$I$59, 7, FALSE), perc_95, VLOOKUP(K$2, Percentiles!$A$45:$I$59, 8, FALSE), perc_85, perc_75 + (perc_90 - perc_75) * (2/3), converted_stat, '2K_Ratings'!K285, IF(bbgm_stat &gt;= perc_95, converted_stat * 3, IF(bbgm_stat &gt;= perc_90, converted_stat * 2, IF(bbgm_stat &gt;= perc_85, converted_stat * 1.5, converted_stat)))))</f>
        <v/>
      </c>
      <c r="L285" s="30" t="str">
        <f t="array" ref="L285">IF($A285="", "", LET(bbgm_stat, INDEX(Players!$A284:$P284, MATCH(L$2, Players!$A$1:$P$1, 0)), perc_75, VLOOKUP(L$2, Percentiles!$A$45:$I$59, 6, FALSE), perc_90, VLOOKUP(L$2, Percentiles!$A$45:$I$59, 7, FALSE), perc_95, VLOOKUP(L$2, Percentiles!$A$45:$I$59, 8, FALSE), perc_85, perc_75 + (perc_90 - perc_75) * (2/3), converted_stat, '2K_Ratings'!L285, IF(bbgm_stat &gt;= perc_95, converted_stat * 3, IF(bbgm_stat &gt;= perc_90, converted_stat * 2, IF(bbgm_stat &gt;= perc_85, converted_stat * 1.5, converted_stat)))))</f>
        <v/>
      </c>
      <c r="M285" s="30" t="str">
        <f t="array" ref="M285">IF($A285="", "", LET(bbgm_stat, INDEX(Players!$A284:$P284, MATCH(M$2, Players!$A$1:$P$1, 0)), perc_75, VLOOKUP(M$2, Percentiles!$A$45:$I$59, 6, FALSE), perc_90, VLOOKUP(M$2, Percentiles!$A$45:$I$59, 7, FALSE), perc_95, VLOOKUP(M$2, Percentiles!$A$45:$I$59, 8, FALSE), perc_85, perc_75 + (perc_90 - perc_75) * (2/3), converted_stat, '2K_Ratings'!M285, IF(bbgm_stat &gt;= perc_95, converted_stat * 3, IF(bbgm_stat &gt;= perc_90, converted_stat * 2, IF(bbgm_stat &gt;= perc_85, converted_stat * 1.5, converted_stat)))))</f>
        <v/>
      </c>
      <c r="N285" s="30" t="str">
        <f t="array" ref="N285">IF($A285="", "", LET(bbgm_stat, INDEX(Players!$A284:$P284, MATCH(N$2, Players!$A$1:$P$1, 0)), perc_75, VLOOKUP(N$2, Percentiles!$A$45:$I$59, 6, FALSE), perc_90, VLOOKUP(N$2, Percentiles!$A$45:$I$59, 7, FALSE), perc_95, VLOOKUP(N$2, Percentiles!$A$45:$I$59, 8, FALSE), perc_85, perc_75 + (perc_90 - perc_75) * (2/3), converted_stat, '2K_Ratings'!N285, IF(bbgm_stat &gt;= perc_95, converted_stat * 3, IF(bbgm_stat &gt;= perc_90, converted_stat * 2, IF(bbgm_stat &gt;= perc_85, converted_stat * 1.5, converted_stat)))))</f>
        <v/>
      </c>
      <c r="O285" s="30" t="str">
        <f t="array" ref="O285">IF($A285="", "", LET(bbgm_stat, INDEX(Players!$A284:$P284, MATCH(O$2, Players!$A$1:$P$1, 0)), perc_75, VLOOKUP(O$2, Percentiles!$A$45:$I$59, 6, FALSE), perc_90, VLOOKUP(O$2, Percentiles!$A$45:$I$59, 7, FALSE), perc_95, VLOOKUP(O$2, Percentiles!$A$45:$I$59, 8, FALSE), perc_85, perc_75 + (perc_90 - perc_75) * (2/3), converted_stat, '2K_Ratings'!O285, IF(bbgm_stat &gt;= perc_95, converted_stat * 3, IF(bbgm_stat &gt;= perc_90, converted_stat * 2, IF(bbgm_stat &gt;= perc_85, converted_stat * 1.5, converted_stat)))))</f>
        <v/>
      </c>
      <c r="P285" s="30" t="str">
        <f t="array" ref="P285">IF($A285="", "", LET(bbgm_stat, INDEX(Players!$A284:$P284, MATCH(P$2, Players!$A$1:$P$1, 0)), perc_75, VLOOKUP(P$2, Percentiles!$A$45:$I$59, 6, FALSE), perc_90, VLOOKUP(P$2, Percentiles!$A$45:$I$59, 7, FALSE), perc_95, VLOOKUP(P$2, Percentiles!$A$45:$I$59, 8, FALSE), perc_85, perc_75 + (perc_90 - perc_75) * (2/3), converted_stat, '2K_Ratings'!P285, IF(bbgm_stat &gt;= perc_95, converted_stat * 3, IF(bbgm_stat &gt;= perc_90, converted_stat * 2, IF(bbgm_stat &gt;= perc_85, converted_stat * 1.5, converted_stat)))))</f>
        <v/>
      </c>
      <c r="Q285" s="30" t="str">
        <f t="array" ref="Q285">IF($A285="", "", LET(bbgm_stat, INDEX(Players!$A284:$P284, MATCH(Q$2, Players!$A$1:$P$1, 0)), perc_75, VLOOKUP(Q$2, Percentiles!$A$45:$I$59, 6, FALSE), perc_90, VLOOKUP(Q$2, Percentiles!$A$45:$I$59, 7, FALSE), perc_95, VLOOKUP(Q$2, Percentiles!$A$45:$I$59, 8, FALSE), perc_85, perc_75 + (perc_90 - perc_75) * (2/3), converted_stat, '2K_Ratings'!Q285, IF(bbgm_stat &gt;= perc_95, converted_stat * 3, IF(bbgm_stat &gt;= perc_90, converted_stat * 2, IF(bbgm_stat &gt;= perc_85, converted_stat * 1.5, converted_stat)))))</f>
        <v/>
      </c>
      <c r="R285" s="30" t="str">
        <f t="array" ref="R285">IF($A285="", "", LET(bbgm_stat, INDEX(Players!$A284:$P284, MATCH(R$2, Players!$A$1:$P$1, 0)), perc_75, VLOOKUP(R$2, Percentiles!$A$45:$I$59, 6, FALSE), perc_90, VLOOKUP(R$2, Percentiles!$A$45:$I$59, 7, FALSE), perc_95, VLOOKUP(R$2, Percentiles!$A$45:$I$59, 8, FALSE), perc_85, perc_75 + (perc_90 - perc_75) * (2/3), converted_stat, '2K_Ratings'!R285, IF(bbgm_stat &gt;= perc_95, converted_stat * 3, IF(bbgm_stat &gt;= perc_90, converted_stat * 2, IF(bbgm_stat &gt;= perc_85, converted_stat * 1.5, converted_stat)))))</f>
        <v/>
      </c>
      <c r="S285" s="30" t="str">
        <f t="array" ref="S285">IF($A285="", "", LET(bbgm_stat, INDEX(Players!$A284:$P284, MATCH(S$2, Players!$A$1:$P$1, 0)), perc_75, VLOOKUP(S$2, Percentiles!$A$45:$I$59, 6, FALSE), perc_90, VLOOKUP(S$2, Percentiles!$A$45:$I$59, 7, FALSE), perc_95, VLOOKUP(S$2, Percentiles!$A$45:$I$59, 8, FALSE), perc_85, perc_75 + (perc_90 - perc_75) * (2/3), converted_stat, '2K_Ratings'!S285, IF(bbgm_stat &gt;= perc_95, converted_stat * 3, IF(bbgm_stat &gt;= perc_90, converted_stat * 2, IF(bbgm_stat &gt;= perc_85, converted_stat * 1.5, converted_stat)))))</f>
        <v/>
      </c>
      <c r="T285" s="30" t="str">
        <f t="array" ref="T285">IF($A285="", "", LET(bbgm_stat, INDEX(Players!$A284:$P284, MATCH(T$2, Players!$A$1:$P$1, 0)), perc_75, VLOOKUP(T$2, Percentiles!$A$45:$I$59, 6, FALSE), perc_90, VLOOKUP(T$2, Percentiles!$A$45:$I$59, 7, FALSE), perc_95, VLOOKUP(T$2, Percentiles!$A$45:$I$59, 8, FALSE), perc_85, perc_75 + (perc_90 - perc_75) * (2/3), converted_stat, '2K_Ratings'!T285, IF(bbgm_stat &gt;= perc_95, converted_stat * 3, IF(bbgm_stat &gt;= perc_90, converted_stat * 2, IF(bbgm_stat &gt;= perc_85, converted_stat * 1.5, converted_stat)))))</f>
        <v/>
      </c>
      <c r="U285" s="30" t="str">
        <f t="array" ref="U285">IF($A285="", "", LET(bbgm_stat, INDEX(Players!$A284:$P284, MATCH(U$2, Players!$A$1:$P$1, 0)), perc_75, VLOOKUP(U$2, Percentiles!$A$45:$I$59, 6, FALSE), perc_90, VLOOKUP(U$2, Percentiles!$A$45:$I$59, 7, FALSE), perc_95, VLOOKUP(U$2, Percentiles!$A$45:$I$59, 8, FALSE), perc_85, perc_75 + (perc_90 - perc_75) * (2/3), converted_stat, '2K_Ratings'!U285, IF(bbgm_stat &gt;= perc_95, converted_stat * 3, IF(bbgm_stat &gt;= perc_90, converted_stat * 2, IF(bbgm_stat &gt;= perc_85, converted_stat * 1.5, converted_stat)))))</f>
        <v/>
      </c>
      <c r="V285" s="30" t="str">
        <f t="array" ref="V285">IF($A285="", "", LET(bbgm_stat, INDEX(Players!$A284:$P284, MATCH(V$2, Players!$A$1:$P$1, 0)), perc_75, VLOOKUP(V$2, Percentiles!$A$45:$I$59, 6, FALSE), perc_90, VLOOKUP(V$2, Percentiles!$A$45:$I$59, 7, FALSE), perc_95, VLOOKUP(V$2, Percentiles!$A$45:$I$59, 8, FALSE), perc_85, perc_75 + (perc_90 - perc_75) * (2/3), converted_stat, '2K_Ratings'!V285, IF(bbgm_stat &gt;= perc_95, converted_stat * 3, IF(bbgm_stat &gt;= perc_90, converted_stat * 2, IF(bbgm_stat &gt;= perc_85, converted_stat * 1.5, converted_stat)))))</f>
        <v/>
      </c>
      <c r="W285" s="30" t="str">
        <f t="array" ref="W285">IF($A285="", "", LET(bbgm_stat, INDEX(Players!$A284:$P284, MATCH(W$2, Players!$A$1:$P$1, 0)), perc_75, VLOOKUP(W$2, Percentiles!$A$45:$I$59, 6, FALSE), perc_90, VLOOKUP(W$2, Percentiles!$A$45:$I$59, 7, FALSE), perc_95, VLOOKUP(W$2, Percentiles!$A$45:$I$59, 8, FALSE), perc_85, perc_75 + (perc_90 - perc_75) * (2/3), converted_stat, '2K_Ratings'!W285, IF(bbgm_stat &gt;= perc_95, converted_stat * 3, IF(bbgm_stat &gt;= perc_90, converted_stat * 2, IF(bbgm_stat &gt;= perc_85, converted_stat * 1.5, converted_stat)))))</f>
        <v/>
      </c>
    </row>
    <row r="286">
      <c r="A286" s="30"/>
      <c r="B286" s="30" t="str">
        <f t="array" ref="B286">IF($A286="", "", LET(bbgm_stat, INDEX(Players!$A285:$P285, MATCH(B$2, Players!$A$1:$P$1, 0)), perc_75, VLOOKUP(B$2, Percentiles!$A$45:$I$59, 6, FALSE), perc_90, VLOOKUP(B$2, Percentiles!$A$45:$I$59, 7, FALSE), perc_95, VLOOKUP(B$2, Percentiles!$A$45:$I$59, 8, FALSE), perc_85, perc_75 + (perc_90 - perc_75) * (2/3), converted_stat, '2K_Ratings'!B286, IF(bbgm_stat &gt;= perc_95, converted_stat * 3, IF(bbgm_stat &gt;= perc_90, converted_stat * 2, IF(bbgm_stat &gt;= perc_85, converted_stat * 1.5, converted_stat)))))</f>
        <v/>
      </c>
      <c r="C286" s="30" t="str">
        <f t="array" ref="C286">IF($A286="", "", LET(bbgm_stat, INDEX(Players!$A285:$P285, MATCH(C$2, Players!$A$1:$P$1, 0)), perc_75, VLOOKUP(C$2, Percentiles!$A$45:$I$59, 6, FALSE), perc_90, VLOOKUP(C$2, Percentiles!$A$45:$I$59, 7, FALSE), perc_95, VLOOKUP(C$2, Percentiles!$A$45:$I$59, 8, FALSE), perc_85, perc_75 + (perc_90 - perc_75) * (2/3), converted_stat, '2K_Ratings'!C286, IF(bbgm_stat &gt;= perc_95, converted_stat * 3, IF(bbgm_stat &gt;= perc_90, converted_stat * 2, IF(bbgm_stat &gt;= perc_85, converted_stat * 1.5, converted_stat)))))</f>
        <v/>
      </c>
      <c r="D286" s="30" t="str">
        <f t="array" ref="D286">IF($A286="", "", LET(bbgm_stat, INDEX(Players!$A285:$P285, MATCH(D$2, Players!$A$1:$P$1, 0)), perc_75, VLOOKUP(D$2, Percentiles!$A$45:$I$59, 6, FALSE), perc_90, VLOOKUP(D$2, Percentiles!$A$45:$I$59, 7, FALSE), perc_95, VLOOKUP(D$2, Percentiles!$A$45:$I$59, 8, FALSE), perc_85, perc_75 + (perc_90 - perc_75) * (2/3), converted_stat, '2K_Ratings'!D286, IF(bbgm_stat &gt;= perc_95, converted_stat * 3, IF(bbgm_stat &gt;= perc_90, converted_stat * 2, IF(bbgm_stat &gt;= perc_85, converted_stat * 1.5, converted_stat)))))</f>
        <v/>
      </c>
      <c r="E286" s="30" t="str">
        <f t="array" ref="E286">IF($A286="", "", LET(bbgm_stat, INDEX(Players!$A285:$P285, MATCH(E$2, Players!$A$1:$P$1, 0)), perc_75, VLOOKUP(E$2, Percentiles!$A$45:$I$59, 6, FALSE), perc_90, VLOOKUP(E$2, Percentiles!$A$45:$I$59, 7, FALSE), perc_95, VLOOKUP(E$2, Percentiles!$A$45:$I$59, 8, FALSE), perc_85, perc_75 + (perc_90 - perc_75) * (2/3), converted_stat, '2K_Ratings'!E286, IF(bbgm_stat &gt;= perc_95, converted_stat * 3, IF(bbgm_stat &gt;= perc_90, converted_stat * 2, IF(bbgm_stat &gt;= perc_85, converted_stat * 1.5, converted_stat)))))</f>
        <v/>
      </c>
      <c r="F286" s="30" t="str">
        <f t="array" ref="F286">IF($A286="", "", LET(bbgm_stat, INDEX(Players!$A285:$P285, MATCH(F$2, Players!$A$1:$P$1, 0)), perc_75, VLOOKUP(F$2, Percentiles!$A$45:$I$59, 6, FALSE), perc_90, VLOOKUP(F$2, Percentiles!$A$45:$I$59, 7, FALSE), perc_95, VLOOKUP(F$2, Percentiles!$A$45:$I$59, 8, FALSE), perc_85, perc_75 + (perc_90 - perc_75) * (2/3), converted_stat, '2K_Ratings'!F286, IF(bbgm_stat &gt;= perc_95, converted_stat * 3, IF(bbgm_stat &gt;= perc_90, converted_stat * 2, IF(bbgm_stat &gt;= perc_85, converted_stat * 1.5, converted_stat)))))</f>
        <v/>
      </c>
      <c r="G286" s="30" t="str">
        <f t="array" ref="G286">IF($A286="", "", LET(bbgm_stat, INDEX(Players!$A285:$P285, MATCH(G$2, Players!$A$1:$P$1, 0)), perc_75, VLOOKUP(G$2, Percentiles!$A$45:$I$59, 6, FALSE), perc_90, VLOOKUP(G$2, Percentiles!$A$45:$I$59, 7, FALSE), perc_95, VLOOKUP(G$2, Percentiles!$A$45:$I$59, 8, FALSE), perc_85, perc_75 + (perc_90 - perc_75) * (2/3), converted_stat, '2K_Ratings'!G286, IF(bbgm_stat &gt;= perc_95, converted_stat * 3, IF(bbgm_stat &gt;= perc_90, converted_stat * 2, IF(bbgm_stat &gt;= perc_85, converted_stat * 1.5, converted_stat)))))</f>
        <v/>
      </c>
      <c r="H286" s="30" t="str">
        <f t="array" ref="H286">IF($A286="", "", LET(bbgm_stat, INDEX(Players!$A285:$P285, MATCH(H$2, Players!$A$1:$P$1, 0)), perc_75, VLOOKUP(H$2, Percentiles!$A$45:$I$59, 6, FALSE), perc_90, VLOOKUP(H$2, Percentiles!$A$45:$I$59, 7, FALSE), perc_95, VLOOKUP(H$2, Percentiles!$A$45:$I$59, 8, FALSE), perc_85, perc_75 + (perc_90 - perc_75) * (2/3), converted_stat, '2K_Ratings'!H286, IF(bbgm_stat &gt;= perc_95, converted_stat * 3, IF(bbgm_stat &gt;= perc_90, converted_stat * 2, IF(bbgm_stat &gt;= perc_85, converted_stat * 1.5, converted_stat)))))</f>
        <v/>
      </c>
      <c r="I286" s="30" t="str">
        <f t="array" ref="I286">IF($A286="", "", LET(bbgm_stat, INDEX(Players!$A285:$P285, MATCH(I$2, Players!$A$1:$P$1, 0)), perc_75, VLOOKUP(I$2, Percentiles!$A$45:$I$59, 6, FALSE), perc_90, VLOOKUP(I$2, Percentiles!$A$45:$I$59, 7, FALSE), perc_95, VLOOKUP(I$2, Percentiles!$A$45:$I$59, 8, FALSE), perc_85, perc_75 + (perc_90 - perc_75) * (2/3), converted_stat, '2K_Ratings'!I286, IF(bbgm_stat &gt;= perc_95, converted_stat * 3, IF(bbgm_stat &gt;= perc_90, converted_stat * 2, IF(bbgm_stat &gt;= perc_85, converted_stat * 1.5, converted_stat)))))</f>
        <v/>
      </c>
      <c r="J286" s="30" t="str">
        <f t="array" ref="J286">IF($A286="", "", LET(bbgm_stat, INDEX(Players!$A285:$P285, MATCH(J$2, Players!$A$1:$P$1, 0)), perc_75, VLOOKUP(J$2, Percentiles!$A$45:$I$59, 6, FALSE), perc_90, VLOOKUP(J$2, Percentiles!$A$45:$I$59, 7, FALSE), perc_95, VLOOKUP(J$2, Percentiles!$A$45:$I$59, 8, FALSE), perc_85, perc_75 + (perc_90 - perc_75) * (2/3), converted_stat, '2K_Ratings'!J286, IF(bbgm_stat &gt;= perc_95, converted_stat * 3, IF(bbgm_stat &gt;= perc_90, converted_stat * 2, IF(bbgm_stat &gt;= perc_85, converted_stat * 1.5, converted_stat)))))</f>
        <v/>
      </c>
      <c r="K286" s="30" t="str">
        <f t="array" ref="K286">IF($A286="", "", LET(bbgm_stat, INDEX(Players!$A285:$P285, MATCH(K$2, Players!$A$1:$P$1, 0)), perc_75, VLOOKUP(K$2, Percentiles!$A$45:$I$59, 6, FALSE), perc_90, VLOOKUP(K$2, Percentiles!$A$45:$I$59, 7, FALSE), perc_95, VLOOKUP(K$2, Percentiles!$A$45:$I$59, 8, FALSE), perc_85, perc_75 + (perc_90 - perc_75) * (2/3), converted_stat, '2K_Ratings'!K286, IF(bbgm_stat &gt;= perc_95, converted_stat * 3, IF(bbgm_stat &gt;= perc_90, converted_stat * 2, IF(bbgm_stat &gt;= perc_85, converted_stat * 1.5, converted_stat)))))</f>
        <v/>
      </c>
      <c r="L286" s="30" t="str">
        <f t="array" ref="L286">IF($A286="", "", LET(bbgm_stat, INDEX(Players!$A285:$P285, MATCH(L$2, Players!$A$1:$P$1, 0)), perc_75, VLOOKUP(L$2, Percentiles!$A$45:$I$59, 6, FALSE), perc_90, VLOOKUP(L$2, Percentiles!$A$45:$I$59, 7, FALSE), perc_95, VLOOKUP(L$2, Percentiles!$A$45:$I$59, 8, FALSE), perc_85, perc_75 + (perc_90 - perc_75) * (2/3), converted_stat, '2K_Ratings'!L286, IF(bbgm_stat &gt;= perc_95, converted_stat * 3, IF(bbgm_stat &gt;= perc_90, converted_stat * 2, IF(bbgm_stat &gt;= perc_85, converted_stat * 1.5, converted_stat)))))</f>
        <v/>
      </c>
      <c r="M286" s="30" t="str">
        <f t="array" ref="M286">IF($A286="", "", LET(bbgm_stat, INDEX(Players!$A285:$P285, MATCH(M$2, Players!$A$1:$P$1, 0)), perc_75, VLOOKUP(M$2, Percentiles!$A$45:$I$59, 6, FALSE), perc_90, VLOOKUP(M$2, Percentiles!$A$45:$I$59, 7, FALSE), perc_95, VLOOKUP(M$2, Percentiles!$A$45:$I$59, 8, FALSE), perc_85, perc_75 + (perc_90 - perc_75) * (2/3), converted_stat, '2K_Ratings'!M286, IF(bbgm_stat &gt;= perc_95, converted_stat * 3, IF(bbgm_stat &gt;= perc_90, converted_stat * 2, IF(bbgm_stat &gt;= perc_85, converted_stat * 1.5, converted_stat)))))</f>
        <v/>
      </c>
      <c r="N286" s="30" t="str">
        <f t="array" ref="N286">IF($A286="", "", LET(bbgm_stat, INDEX(Players!$A285:$P285, MATCH(N$2, Players!$A$1:$P$1, 0)), perc_75, VLOOKUP(N$2, Percentiles!$A$45:$I$59, 6, FALSE), perc_90, VLOOKUP(N$2, Percentiles!$A$45:$I$59, 7, FALSE), perc_95, VLOOKUP(N$2, Percentiles!$A$45:$I$59, 8, FALSE), perc_85, perc_75 + (perc_90 - perc_75) * (2/3), converted_stat, '2K_Ratings'!N286, IF(bbgm_stat &gt;= perc_95, converted_stat * 3, IF(bbgm_stat &gt;= perc_90, converted_stat * 2, IF(bbgm_stat &gt;= perc_85, converted_stat * 1.5, converted_stat)))))</f>
        <v/>
      </c>
      <c r="O286" s="30" t="str">
        <f t="array" ref="O286">IF($A286="", "", LET(bbgm_stat, INDEX(Players!$A285:$P285, MATCH(O$2, Players!$A$1:$P$1, 0)), perc_75, VLOOKUP(O$2, Percentiles!$A$45:$I$59, 6, FALSE), perc_90, VLOOKUP(O$2, Percentiles!$A$45:$I$59, 7, FALSE), perc_95, VLOOKUP(O$2, Percentiles!$A$45:$I$59, 8, FALSE), perc_85, perc_75 + (perc_90 - perc_75) * (2/3), converted_stat, '2K_Ratings'!O286, IF(bbgm_stat &gt;= perc_95, converted_stat * 3, IF(bbgm_stat &gt;= perc_90, converted_stat * 2, IF(bbgm_stat &gt;= perc_85, converted_stat * 1.5, converted_stat)))))</f>
        <v/>
      </c>
      <c r="P286" s="30" t="str">
        <f t="array" ref="P286">IF($A286="", "", LET(bbgm_stat, INDEX(Players!$A285:$P285, MATCH(P$2, Players!$A$1:$P$1, 0)), perc_75, VLOOKUP(P$2, Percentiles!$A$45:$I$59, 6, FALSE), perc_90, VLOOKUP(P$2, Percentiles!$A$45:$I$59, 7, FALSE), perc_95, VLOOKUP(P$2, Percentiles!$A$45:$I$59, 8, FALSE), perc_85, perc_75 + (perc_90 - perc_75) * (2/3), converted_stat, '2K_Ratings'!P286, IF(bbgm_stat &gt;= perc_95, converted_stat * 3, IF(bbgm_stat &gt;= perc_90, converted_stat * 2, IF(bbgm_stat &gt;= perc_85, converted_stat * 1.5, converted_stat)))))</f>
        <v/>
      </c>
      <c r="Q286" s="30" t="str">
        <f t="array" ref="Q286">IF($A286="", "", LET(bbgm_stat, INDEX(Players!$A285:$P285, MATCH(Q$2, Players!$A$1:$P$1, 0)), perc_75, VLOOKUP(Q$2, Percentiles!$A$45:$I$59, 6, FALSE), perc_90, VLOOKUP(Q$2, Percentiles!$A$45:$I$59, 7, FALSE), perc_95, VLOOKUP(Q$2, Percentiles!$A$45:$I$59, 8, FALSE), perc_85, perc_75 + (perc_90 - perc_75) * (2/3), converted_stat, '2K_Ratings'!Q286, IF(bbgm_stat &gt;= perc_95, converted_stat * 3, IF(bbgm_stat &gt;= perc_90, converted_stat * 2, IF(bbgm_stat &gt;= perc_85, converted_stat * 1.5, converted_stat)))))</f>
        <v/>
      </c>
      <c r="R286" s="30" t="str">
        <f t="array" ref="R286">IF($A286="", "", LET(bbgm_stat, INDEX(Players!$A285:$P285, MATCH(R$2, Players!$A$1:$P$1, 0)), perc_75, VLOOKUP(R$2, Percentiles!$A$45:$I$59, 6, FALSE), perc_90, VLOOKUP(R$2, Percentiles!$A$45:$I$59, 7, FALSE), perc_95, VLOOKUP(R$2, Percentiles!$A$45:$I$59, 8, FALSE), perc_85, perc_75 + (perc_90 - perc_75) * (2/3), converted_stat, '2K_Ratings'!R286, IF(bbgm_stat &gt;= perc_95, converted_stat * 3, IF(bbgm_stat &gt;= perc_90, converted_stat * 2, IF(bbgm_stat &gt;= perc_85, converted_stat * 1.5, converted_stat)))))</f>
        <v/>
      </c>
      <c r="S286" s="30" t="str">
        <f t="array" ref="S286">IF($A286="", "", LET(bbgm_stat, INDEX(Players!$A285:$P285, MATCH(S$2, Players!$A$1:$P$1, 0)), perc_75, VLOOKUP(S$2, Percentiles!$A$45:$I$59, 6, FALSE), perc_90, VLOOKUP(S$2, Percentiles!$A$45:$I$59, 7, FALSE), perc_95, VLOOKUP(S$2, Percentiles!$A$45:$I$59, 8, FALSE), perc_85, perc_75 + (perc_90 - perc_75) * (2/3), converted_stat, '2K_Ratings'!S286, IF(bbgm_stat &gt;= perc_95, converted_stat * 3, IF(bbgm_stat &gt;= perc_90, converted_stat * 2, IF(bbgm_stat &gt;= perc_85, converted_stat * 1.5, converted_stat)))))</f>
        <v/>
      </c>
      <c r="T286" s="30" t="str">
        <f t="array" ref="T286">IF($A286="", "", LET(bbgm_stat, INDEX(Players!$A285:$P285, MATCH(T$2, Players!$A$1:$P$1, 0)), perc_75, VLOOKUP(T$2, Percentiles!$A$45:$I$59, 6, FALSE), perc_90, VLOOKUP(T$2, Percentiles!$A$45:$I$59, 7, FALSE), perc_95, VLOOKUP(T$2, Percentiles!$A$45:$I$59, 8, FALSE), perc_85, perc_75 + (perc_90 - perc_75) * (2/3), converted_stat, '2K_Ratings'!T286, IF(bbgm_stat &gt;= perc_95, converted_stat * 3, IF(bbgm_stat &gt;= perc_90, converted_stat * 2, IF(bbgm_stat &gt;= perc_85, converted_stat * 1.5, converted_stat)))))</f>
        <v/>
      </c>
      <c r="U286" s="30" t="str">
        <f t="array" ref="U286">IF($A286="", "", LET(bbgm_stat, INDEX(Players!$A285:$P285, MATCH(U$2, Players!$A$1:$P$1, 0)), perc_75, VLOOKUP(U$2, Percentiles!$A$45:$I$59, 6, FALSE), perc_90, VLOOKUP(U$2, Percentiles!$A$45:$I$59, 7, FALSE), perc_95, VLOOKUP(U$2, Percentiles!$A$45:$I$59, 8, FALSE), perc_85, perc_75 + (perc_90 - perc_75) * (2/3), converted_stat, '2K_Ratings'!U286, IF(bbgm_stat &gt;= perc_95, converted_stat * 3, IF(bbgm_stat &gt;= perc_90, converted_stat * 2, IF(bbgm_stat &gt;= perc_85, converted_stat * 1.5, converted_stat)))))</f>
        <v/>
      </c>
      <c r="V286" s="30" t="str">
        <f t="array" ref="V286">IF($A286="", "", LET(bbgm_stat, INDEX(Players!$A285:$P285, MATCH(V$2, Players!$A$1:$P$1, 0)), perc_75, VLOOKUP(V$2, Percentiles!$A$45:$I$59, 6, FALSE), perc_90, VLOOKUP(V$2, Percentiles!$A$45:$I$59, 7, FALSE), perc_95, VLOOKUP(V$2, Percentiles!$A$45:$I$59, 8, FALSE), perc_85, perc_75 + (perc_90 - perc_75) * (2/3), converted_stat, '2K_Ratings'!V286, IF(bbgm_stat &gt;= perc_95, converted_stat * 3, IF(bbgm_stat &gt;= perc_90, converted_stat * 2, IF(bbgm_stat &gt;= perc_85, converted_stat * 1.5, converted_stat)))))</f>
        <v/>
      </c>
      <c r="W286" s="30" t="str">
        <f t="array" ref="W286">IF($A286="", "", LET(bbgm_stat, INDEX(Players!$A285:$P285, MATCH(W$2, Players!$A$1:$P$1, 0)), perc_75, VLOOKUP(W$2, Percentiles!$A$45:$I$59, 6, FALSE), perc_90, VLOOKUP(W$2, Percentiles!$A$45:$I$59, 7, FALSE), perc_95, VLOOKUP(W$2, Percentiles!$A$45:$I$59, 8, FALSE), perc_85, perc_75 + (perc_90 - perc_75) * (2/3), converted_stat, '2K_Ratings'!W286, IF(bbgm_stat &gt;= perc_95, converted_stat * 3, IF(bbgm_stat &gt;= perc_90, converted_stat * 2, IF(bbgm_stat &gt;= perc_85, converted_stat * 1.5, converted_stat)))))</f>
        <v/>
      </c>
    </row>
    <row r="287">
      <c r="A287" s="30"/>
      <c r="B287" s="30" t="str">
        <f t="array" ref="B287">IF($A287="", "", LET(bbgm_stat, INDEX(Players!$A286:$P286, MATCH(B$2, Players!$A$1:$P$1, 0)), perc_75, VLOOKUP(B$2, Percentiles!$A$45:$I$59, 6, FALSE), perc_90, VLOOKUP(B$2, Percentiles!$A$45:$I$59, 7, FALSE), perc_95, VLOOKUP(B$2, Percentiles!$A$45:$I$59, 8, FALSE), perc_85, perc_75 + (perc_90 - perc_75) * (2/3), converted_stat, '2K_Ratings'!B287, IF(bbgm_stat &gt;= perc_95, converted_stat * 3, IF(bbgm_stat &gt;= perc_90, converted_stat * 2, IF(bbgm_stat &gt;= perc_85, converted_stat * 1.5, converted_stat)))))</f>
        <v/>
      </c>
      <c r="C287" s="30" t="str">
        <f t="array" ref="C287">IF($A287="", "", LET(bbgm_stat, INDEX(Players!$A286:$P286, MATCH(C$2, Players!$A$1:$P$1, 0)), perc_75, VLOOKUP(C$2, Percentiles!$A$45:$I$59, 6, FALSE), perc_90, VLOOKUP(C$2, Percentiles!$A$45:$I$59, 7, FALSE), perc_95, VLOOKUP(C$2, Percentiles!$A$45:$I$59, 8, FALSE), perc_85, perc_75 + (perc_90 - perc_75) * (2/3), converted_stat, '2K_Ratings'!C287, IF(bbgm_stat &gt;= perc_95, converted_stat * 3, IF(bbgm_stat &gt;= perc_90, converted_stat * 2, IF(bbgm_stat &gt;= perc_85, converted_stat * 1.5, converted_stat)))))</f>
        <v/>
      </c>
      <c r="D287" s="30" t="str">
        <f t="array" ref="D287">IF($A287="", "", LET(bbgm_stat, INDEX(Players!$A286:$P286, MATCH(D$2, Players!$A$1:$P$1, 0)), perc_75, VLOOKUP(D$2, Percentiles!$A$45:$I$59, 6, FALSE), perc_90, VLOOKUP(D$2, Percentiles!$A$45:$I$59, 7, FALSE), perc_95, VLOOKUP(D$2, Percentiles!$A$45:$I$59, 8, FALSE), perc_85, perc_75 + (perc_90 - perc_75) * (2/3), converted_stat, '2K_Ratings'!D287, IF(bbgm_stat &gt;= perc_95, converted_stat * 3, IF(bbgm_stat &gt;= perc_90, converted_stat * 2, IF(bbgm_stat &gt;= perc_85, converted_stat * 1.5, converted_stat)))))</f>
        <v/>
      </c>
      <c r="E287" s="30" t="str">
        <f t="array" ref="E287">IF($A287="", "", LET(bbgm_stat, INDEX(Players!$A286:$P286, MATCH(E$2, Players!$A$1:$P$1, 0)), perc_75, VLOOKUP(E$2, Percentiles!$A$45:$I$59, 6, FALSE), perc_90, VLOOKUP(E$2, Percentiles!$A$45:$I$59, 7, FALSE), perc_95, VLOOKUP(E$2, Percentiles!$A$45:$I$59, 8, FALSE), perc_85, perc_75 + (perc_90 - perc_75) * (2/3), converted_stat, '2K_Ratings'!E287, IF(bbgm_stat &gt;= perc_95, converted_stat * 3, IF(bbgm_stat &gt;= perc_90, converted_stat * 2, IF(bbgm_stat &gt;= perc_85, converted_stat * 1.5, converted_stat)))))</f>
        <v/>
      </c>
      <c r="F287" s="30" t="str">
        <f t="array" ref="F287">IF($A287="", "", LET(bbgm_stat, INDEX(Players!$A286:$P286, MATCH(F$2, Players!$A$1:$P$1, 0)), perc_75, VLOOKUP(F$2, Percentiles!$A$45:$I$59, 6, FALSE), perc_90, VLOOKUP(F$2, Percentiles!$A$45:$I$59, 7, FALSE), perc_95, VLOOKUP(F$2, Percentiles!$A$45:$I$59, 8, FALSE), perc_85, perc_75 + (perc_90 - perc_75) * (2/3), converted_stat, '2K_Ratings'!F287, IF(bbgm_stat &gt;= perc_95, converted_stat * 3, IF(bbgm_stat &gt;= perc_90, converted_stat * 2, IF(bbgm_stat &gt;= perc_85, converted_stat * 1.5, converted_stat)))))</f>
        <v/>
      </c>
      <c r="G287" s="30" t="str">
        <f t="array" ref="G287">IF($A287="", "", LET(bbgm_stat, INDEX(Players!$A286:$P286, MATCH(G$2, Players!$A$1:$P$1, 0)), perc_75, VLOOKUP(G$2, Percentiles!$A$45:$I$59, 6, FALSE), perc_90, VLOOKUP(G$2, Percentiles!$A$45:$I$59, 7, FALSE), perc_95, VLOOKUP(G$2, Percentiles!$A$45:$I$59, 8, FALSE), perc_85, perc_75 + (perc_90 - perc_75) * (2/3), converted_stat, '2K_Ratings'!G287, IF(bbgm_stat &gt;= perc_95, converted_stat * 3, IF(bbgm_stat &gt;= perc_90, converted_stat * 2, IF(bbgm_stat &gt;= perc_85, converted_stat * 1.5, converted_stat)))))</f>
        <v/>
      </c>
      <c r="H287" s="30" t="str">
        <f t="array" ref="H287">IF($A287="", "", LET(bbgm_stat, INDEX(Players!$A286:$P286, MATCH(H$2, Players!$A$1:$P$1, 0)), perc_75, VLOOKUP(H$2, Percentiles!$A$45:$I$59, 6, FALSE), perc_90, VLOOKUP(H$2, Percentiles!$A$45:$I$59, 7, FALSE), perc_95, VLOOKUP(H$2, Percentiles!$A$45:$I$59, 8, FALSE), perc_85, perc_75 + (perc_90 - perc_75) * (2/3), converted_stat, '2K_Ratings'!H287, IF(bbgm_stat &gt;= perc_95, converted_stat * 3, IF(bbgm_stat &gt;= perc_90, converted_stat * 2, IF(bbgm_stat &gt;= perc_85, converted_stat * 1.5, converted_stat)))))</f>
        <v/>
      </c>
      <c r="I287" s="30" t="str">
        <f t="array" ref="I287">IF($A287="", "", LET(bbgm_stat, INDEX(Players!$A286:$P286, MATCH(I$2, Players!$A$1:$P$1, 0)), perc_75, VLOOKUP(I$2, Percentiles!$A$45:$I$59, 6, FALSE), perc_90, VLOOKUP(I$2, Percentiles!$A$45:$I$59, 7, FALSE), perc_95, VLOOKUP(I$2, Percentiles!$A$45:$I$59, 8, FALSE), perc_85, perc_75 + (perc_90 - perc_75) * (2/3), converted_stat, '2K_Ratings'!I287, IF(bbgm_stat &gt;= perc_95, converted_stat * 3, IF(bbgm_stat &gt;= perc_90, converted_stat * 2, IF(bbgm_stat &gt;= perc_85, converted_stat * 1.5, converted_stat)))))</f>
        <v/>
      </c>
      <c r="J287" s="30" t="str">
        <f t="array" ref="J287">IF($A287="", "", LET(bbgm_stat, INDEX(Players!$A286:$P286, MATCH(J$2, Players!$A$1:$P$1, 0)), perc_75, VLOOKUP(J$2, Percentiles!$A$45:$I$59, 6, FALSE), perc_90, VLOOKUP(J$2, Percentiles!$A$45:$I$59, 7, FALSE), perc_95, VLOOKUP(J$2, Percentiles!$A$45:$I$59, 8, FALSE), perc_85, perc_75 + (perc_90 - perc_75) * (2/3), converted_stat, '2K_Ratings'!J287, IF(bbgm_stat &gt;= perc_95, converted_stat * 3, IF(bbgm_stat &gt;= perc_90, converted_stat * 2, IF(bbgm_stat &gt;= perc_85, converted_stat * 1.5, converted_stat)))))</f>
        <v/>
      </c>
      <c r="K287" s="30" t="str">
        <f t="array" ref="K287">IF($A287="", "", LET(bbgm_stat, INDEX(Players!$A286:$P286, MATCH(K$2, Players!$A$1:$P$1, 0)), perc_75, VLOOKUP(K$2, Percentiles!$A$45:$I$59, 6, FALSE), perc_90, VLOOKUP(K$2, Percentiles!$A$45:$I$59, 7, FALSE), perc_95, VLOOKUP(K$2, Percentiles!$A$45:$I$59, 8, FALSE), perc_85, perc_75 + (perc_90 - perc_75) * (2/3), converted_stat, '2K_Ratings'!K287, IF(bbgm_stat &gt;= perc_95, converted_stat * 3, IF(bbgm_stat &gt;= perc_90, converted_stat * 2, IF(bbgm_stat &gt;= perc_85, converted_stat * 1.5, converted_stat)))))</f>
        <v/>
      </c>
      <c r="L287" s="30" t="str">
        <f t="array" ref="L287">IF($A287="", "", LET(bbgm_stat, INDEX(Players!$A286:$P286, MATCH(L$2, Players!$A$1:$P$1, 0)), perc_75, VLOOKUP(L$2, Percentiles!$A$45:$I$59, 6, FALSE), perc_90, VLOOKUP(L$2, Percentiles!$A$45:$I$59, 7, FALSE), perc_95, VLOOKUP(L$2, Percentiles!$A$45:$I$59, 8, FALSE), perc_85, perc_75 + (perc_90 - perc_75) * (2/3), converted_stat, '2K_Ratings'!L287, IF(bbgm_stat &gt;= perc_95, converted_stat * 3, IF(bbgm_stat &gt;= perc_90, converted_stat * 2, IF(bbgm_stat &gt;= perc_85, converted_stat * 1.5, converted_stat)))))</f>
        <v/>
      </c>
      <c r="M287" s="30" t="str">
        <f t="array" ref="M287">IF($A287="", "", LET(bbgm_stat, INDEX(Players!$A286:$P286, MATCH(M$2, Players!$A$1:$P$1, 0)), perc_75, VLOOKUP(M$2, Percentiles!$A$45:$I$59, 6, FALSE), perc_90, VLOOKUP(M$2, Percentiles!$A$45:$I$59, 7, FALSE), perc_95, VLOOKUP(M$2, Percentiles!$A$45:$I$59, 8, FALSE), perc_85, perc_75 + (perc_90 - perc_75) * (2/3), converted_stat, '2K_Ratings'!M287, IF(bbgm_stat &gt;= perc_95, converted_stat * 3, IF(bbgm_stat &gt;= perc_90, converted_stat * 2, IF(bbgm_stat &gt;= perc_85, converted_stat * 1.5, converted_stat)))))</f>
        <v/>
      </c>
      <c r="N287" s="30" t="str">
        <f t="array" ref="N287">IF($A287="", "", LET(bbgm_stat, INDEX(Players!$A286:$P286, MATCH(N$2, Players!$A$1:$P$1, 0)), perc_75, VLOOKUP(N$2, Percentiles!$A$45:$I$59, 6, FALSE), perc_90, VLOOKUP(N$2, Percentiles!$A$45:$I$59, 7, FALSE), perc_95, VLOOKUP(N$2, Percentiles!$A$45:$I$59, 8, FALSE), perc_85, perc_75 + (perc_90 - perc_75) * (2/3), converted_stat, '2K_Ratings'!N287, IF(bbgm_stat &gt;= perc_95, converted_stat * 3, IF(bbgm_stat &gt;= perc_90, converted_stat * 2, IF(bbgm_stat &gt;= perc_85, converted_stat * 1.5, converted_stat)))))</f>
        <v/>
      </c>
      <c r="O287" s="30" t="str">
        <f t="array" ref="O287">IF($A287="", "", LET(bbgm_stat, INDEX(Players!$A286:$P286, MATCH(O$2, Players!$A$1:$P$1, 0)), perc_75, VLOOKUP(O$2, Percentiles!$A$45:$I$59, 6, FALSE), perc_90, VLOOKUP(O$2, Percentiles!$A$45:$I$59, 7, FALSE), perc_95, VLOOKUP(O$2, Percentiles!$A$45:$I$59, 8, FALSE), perc_85, perc_75 + (perc_90 - perc_75) * (2/3), converted_stat, '2K_Ratings'!O287, IF(bbgm_stat &gt;= perc_95, converted_stat * 3, IF(bbgm_stat &gt;= perc_90, converted_stat * 2, IF(bbgm_stat &gt;= perc_85, converted_stat * 1.5, converted_stat)))))</f>
        <v/>
      </c>
      <c r="P287" s="30" t="str">
        <f t="array" ref="P287">IF($A287="", "", LET(bbgm_stat, INDEX(Players!$A286:$P286, MATCH(P$2, Players!$A$1:$P$1, 0)), perc_75, VLOOKUP(P$2, Percentiles!$A$45:$I$59, 6, FALSE), perc_90, VLOOKUP(P$2, Percentiles!$A$45:$I$59, 7, FALSE), perc_95, VLOOKUP(P$2, Percentiles!$A$45:$I$59, 8, FALSE), perc_85, perc_75 + (perc_90 - perc_75) * (2/3), converted_stat, '2K_Ratings'!P287, IF(bbgm_stat &gt;= perc_95, converted_stat * 3, IF(bbgm_stat &gt;= perc_90, converted_stat * 2, IF(bbgm_stat &gt;= perc_85, converted_stat * 1.5, converted_stat)))))</f>
        <v/>
      </c>
      <c r="Q287" s="30" t="str">
        <f t="array" ref="Q287">IF($A287="", "", LET(bbgm_stat, INDEX(Players!$A286:$P286, MATCH(Q$2, Players!$A$1:$P$1, 0)), perc_75, VLOOKUP(Q$2, Percentiles!$A$45:$I$59, 6, FALSE), perc_90, VLOOKUP(Q$2, Percentiles!$A$45:$I$59, 7, FALSE), perc_95, VLOOKUP(Q$2, Percentiles!$A$45:$I$59, 8, FALSE), perc_85, perc_75 + (perc_90 - perc_75) * (2/3), converted_stat, '2K_Ratings'!Q287, IF(bbgm_stat &gt;= perc_95, converted_stat * 3, IF(bbgm_stat &gt;= perc_90, converted_stat * 2, IF(bbgm_stat &gt;= perc_85, converted_stat * 1.5, converted_stat)))))</f>
        <v/>
      </c>
      <c r="R287" s="30" t="str">
        <f t="array" ref="R287">IF($A287="", "", LET(bbgm_stat, INDEX(Players!$A286:$P286, MATCH(R$2, Players!$A$1:$P$1, 0)), perc_75, VLOOKUP(R$2, Percentiles!$A$45:$I$59, 6, FALSE), perc_90, VLOOKUP(R$2, Percentiles!$A$45:$I$59, 7, FALSE), perc_95, VLOOKUP(R$2, Percentiles!$A$45:$I$59, 8, FALSE), perc_85, perc_75 + (perc_90 - perc_75) * (2/3), converted_stat, '2K_Ratings'!R287, IF(bbgm_stat &gt;= perc_95, converted_stat * 3, IF(bbgm_stat &gt;= perc_90, converted_stat * 2, IF(bbgm_stat &gt;= perc_85, converted_stat * 1.5, converted_stat)))))</f>
        <v/>
      </c>
      <c r="S287" s="30" t="str">
        <f t="array" ref="S287">IF($A287="", "", LET(bbgm_stat, INDEX(Players!$A286:$P286, MATCH(S$2, Players!$A$1:$P$1, 0)), perc_75, VLOOKUP(S$2, Percentiles!$A$45:$I$59, 6, FALSE), perc_90, VLOOKUP(S$2, Percentiles!$A$45:$I$59, 7, FALSE), perc_95, VLOOKUP(S$2, Percentiles!$A$45:$I$59, 8, FALSE), perc_85, perc_75 + (perc_90 - perc_75) * (2/3), converted_stat, '2K_Ratings'!S287, IF(bbgm_stat &gt;= perc_95, converted_stat * 3, IF(bbgm_stat &gt;= perc_90, converted_stat * 2, IF(bbgm_stat &gt;= perc_85, converted_stat * 1.5, converted_stat)))))</f>
        <v/>
      </c>
      <c r="T287" s="30" t="str">
        <f t="array" ref="T287">IF($A287="", "", LET(bbgm_stat, INDEX(Players!$A286:$P286, MATCH(T$2, Players!$A$1:$P$1, 0)), perc_75, VLOOKUP(T$2, Percentiles!$A$45:$I$59, 6, FALSE), perc_90, VLOOKUP(T$2, Percentiles!$A$45:$I$59, 7, FALSE), perc_95, VLOOKUP(T$2, Percentiles!$A$45:$I$59, 8, FALSE), perc_85, perc_75 + (perc_90 - perc_75) * (2/3), converted_stat, '2K_Ratings'!T287, IF(bbgm_stat &gt;= perc_95, converted_stat * 3, IF(bbgm_stat &gt;= perc_90, converted_stat * 2, IF(bbgm_stat &gt;= perc_85, converted_stat * 1.5, converted_stat)))))</f>
        <v/>
      </c>
      <c r="U287" s="30" t="str">
        <f t="array" ref="U287">IF($A287="", "", LET(bbgm_stat, INDEX(Players!$A286:$P286, MATCH(U$2, Players!$A$1:$P$1, 0)), perc_75, VLOOKUP(U$2, Percentiles!$A$45:$I$59, 6, FALSE), perc_90, VLOOKUP(U$2, Percentiles!$A$45:$I$59, 7, FALSE), perc_95, VLOOKUP(U$2, Percentiles!$A$45:$I$59, 8, FALSE), perc_85, perc_75 + (perc_90 - perc_75) * (2/3), converted_stat, '2K_Ratings'!U287, IF(bbgm_stat &gt;= perc_95, converted_stat * 3, IF(bbgm_stat &gt;= perc_90, converted_stat * 2, IF(bbgm_stat &gt;= perc_85, converted_stat * 1.5, converted_stat)))))</f>
        <v/>
      </c>
      <c r="V287" s="30" t="str">
        <f t="array" ref="V287">IF($A287="", "", LET(bbgm_stat, INDEX(Players!$A286:$P286, MATCH(V$2, Players!$A$1:$P$1, 0)), perc_75, VLOOKUP(V$2, Percentiles!$A$45:$I$59, 6, FALSE), perc_90, VLOOKUP(V$2, Percentiles!$A$45:$I$59, 7, FALSE), perc_95, VLOOKUP(V$2, Percentiles!$A$45:$I$59, 8, FALSE), perc_85, perc_75 + (perc_90 - perc_75) * (2/3), converted_stat, '2K_Ratings'!V287, IF(bbgm_stat &gt;= perc_95, converted_stat * 3, IF(bbgm_stat &gt;= perc_90, converted_stat * 2, IF(bbgm_stat &gt;= perc_85, converted_stat * 1.5, converted_stat)))))</f>
        <v/>
      </c>
      <c r="W287" s="30" t="str">
        <f t="array" ref="W287">IF($A287="", "", LET(bbgm_stat, INDEX(Players!$A286:$P286, MATCH(W$2, Players!$A$1:$P$1, 0)), perc_75, VLOOKUP(W$2, Percentiles!$A$45:$I$59, 6, FALSE), perc_90, VLOOKUP(W$2, Percentiles!$A$45:$I$59, 7, FALSE), perc_95, VLOOKUP(W$2, Percentiles!$A$45:$I$59, 8, FALSE), perc_85, perc_75 + (perc_90 - perc_75) * (2/3), converted_stat, '2K_Ratings'!W287, IF(bbgm_stat &gt;= perc_95, converted_stat * 3, IF(bbgm_stat &gt;= perc_90, converted_stat * 2, IF(bbgm_stat &gt;= perc_85, converted_stat * 1.5, converted_stat)))))</f>
        <v/>
      </c>
    </row>
    <row r="288">
      <c r="A288" s="30"/>
      <c r="B288" s="30" t="str">
        <f t="array" ref="B288">IF($A288="", "", LET(bbgm_stat, INDEX(Players!$A287:$P287, MATCH(B$2, Players!$A$1:$P$1, 0)), perc_75, VLOOKUP(B$2, Percentiles!$A$45:$I$59, 6, FALSE), perc_90, VLOOKUP(B$2, Percentiles!$A$45:$I$59, 7, FALSE), perc_95, VLOOKUP(B$2, Percentiles!$A$45:$I$59, 8, FALSE), perc_85, perc_75 + (perc_90 - perc_75) * (2/3), converted_stat, '2K_Ratings'!B288, IF(bbgm_stat &gt;= perc_95, converted_stat * 3, IF(bbgm_stat &gt;= perc_90, converted_stat * 2, IF(bbgm_stat &gt;= perc_85, converted_stat * 1.5, converted_stat)))))</f>
        <v/>
      </c>
      <c r="C288" s="30" t="str">
        <f t="array" ref="C288">IF($A288="", "", LET(bbgm_stat, INDEX(Players!$A287:$P287, MATCH(C$2, Players!$A$1:$P$1, 0)), perc_75, VLOOKUP(C$2, Percentiles!$A$45:$I$59, 6, FALSE), perc_90, VLOOKUP(C$2, Percentiles!$A$45:$I$59, 7, FALSE), perc_95, VLOOKUP(C$2, Percentiles!$A$45:$I$59, 8, FALSE), perc_85, perc_75 + (perc_90 - perc_75) * (2/3), converted_stat, '2K_Ratings'!C288, IF(bbgm_stat &gt;= perc_95, converted_stat * 3, IF(bbgm_stat &gt;= perc_90, converted_stat * 2, IF(bbgm_stat &gt;= perc_85, converted_stat * 1.5, converted_stat)))))</f>
        <v/>
      </c>
      <c r="D288" s="30" t="str">
        <f t="array" ref="D288">IF($A288="", "", LET(bbgm_stat, INDEX(Players!$A287:$P287, MATCH(D$2, Players!$A$1:$P$1, 0)), perc_75, VLOOKUP(D$2, Percentiles!$A$45:$I$59, 6, FALSE), perc_90, VLOOKUP(D$2, Percentiles!$A$45:$I$59, 7, FALSE), perc_95, VLOOKUP(D$2, Percentiles!$A$45:$I$59, 8, FALSE), perc_85, perc_75 + (perc_90 - perc_75) * (2/3), converted_stat, '2K_Ratings'!D288, IF(bbgm_stat &gt;= perc_95, converted_stat * 3, IF(bbgm_stat &gt;= perc_90, converted_stat * 2, IF(bbgm_stat &gt;= perc_85, converted_stat * 1.5, converted_stat)))))</f>
        <v/>
      </c>
      <c r="E288" s="30" t="str">
        <f t="array" ref="E288">IF($A288="", "", LET(bbgm_stat, INDEX(Players!$A287:$P287, MATCH(E$2, Players!$A$1:$P$1, 0)), perc_75, VLOOKUP(E$2, Percentiles!$A$45:$I$59, 6, FALSE), perc_90, VLOOKUP(E$2, Percentiles!$A$45:$I$59, 7, FALSE), perc_95, VLOOKUP(E$2, Percentiles!$A$45:$I$59, 8, FALSE), perc_85, perc_75 + (perc_90 - perc_75) * (2/3), converted_stat, '2K_Ratings'!E288, IF(bbgm_stat &gt;= perc_95, converted_stat * 3, IF(bbgm_stat &gt;= perc_90, converted_stat * 2, IF(bbgm_stat &gt;= perc_85, converted_stat * 1.5, converted_stat)))))</f>
        <v/>
      </c>
      <c r="F288" s="30" t="str">
        <f t="array" ref="F288">IF($A288="", "", LET(bbgm_stat, INDEX(Players!$A287:$P287, MATCH(F$2, Players!$A$1:$P$1, 0)), perc_75, VLOOKUP(F$2, Percentiles!$A$45:$I$59, 6, FALSE), perc_90, VLOOKUP(F$2, Percentiles!$A$45:$I$59, 7, FALSE), perc_95, VLOOKUP(F$2, Percentiles!$A$45:$I$59, 8, FALSE), perc_85, perc_75 + (perc_90 - perc_75) * (2/3), converted_stat, '2K_Ratings'!F288, IF(bbgm_stat &gt;= perc_95, converted_stat * 3, IF(bbgm_stat &gt;= perc_90, converted_stat * 2, IF(bbgm_stat &gt;= perc_85, converted_stat * 1.5, converted_stat)))))</f>
        <v/>
      </c>
      <c r="G288" s="30" t="str">
        <f t="array" ref="G288">IF($A288="", "", LET(bbgm_stat, INDEX(Players!$A287:$P287, MATCH(G$2, Players!$A$1:$P$1, 0)), perc_75, VLOOKUP(G$2, Percentiles!$A$45:$I$59, 6, FALSE), perc_90, VLOOKUP(G$2, Percentiles!$A$45:$I$59, 7, FALSE), perc_95, VLOOKUP(G$2, Percentiles!$A$45:$I$59, 8, FALSE), perc_85, perc_75 + (perc_90 - perc_75) * (2/3), converted_stat, '2K_Ratings'!G288, IF(bbgm_stat &gt;= perc_95, converted_stat * 3, IF(bbgm_stat &gt;= perc_90, converted_stat * 2, IF(bbgm_stat &gt;= perc_85, converted_stat * 1.5, converted_stat)))))</f>
        <v/>
      </c>
      <c r="H288" s="30" t="str">
        <f t="array" ref="H288">IF($A288="", "", LET(bbgm_stat, INDEX(Players!$A287:$P287, MATCH(H$2, Players!$A$1:$P$1, 0)), perc_75, VLOOKUP(H$2, Percentiles!$A$45:$I$59, 6, FALSE), perc_90, VLOOKUP(H$2, Percentiles!$A$45:$I$59, 7, FALSE), perc_95, VLOOKUP(H$2, Percentiles!$A$45:$I$59, 8, FALSE), perc_85, perc_75 + (perc_90 - perc_75) * (2/3), converted_stat, '2K_Ratings'!H288, IF(bbgm_stat &gt;= perc_95, converted_stat * 3, IF(bbgm_stat &gt;= perc_90, converted_stat * 2, IF(bbgm_stat &gt;= perc_85, converted_stat * 1.5, converted_stat)))))</f>
        <v/>
      </c>
      <c r="I288" s="30" t="str">
        <f t="array" ref="I288">IF($A288="", "", LET(bbgm_stat, INDEX(Players!$A287:$P287, MATCH(I$2, Players!$A$1:$P$1, 0)), perc_75, VLOOKUP(I$2, Percentiles!$A$45:$I$59, 6, FALSE), perc_90, VLOOKUP(I$2, Percentiles!$A$45:$I$59, 7, FALSE), perc_95, VLOOKUP(I$2, Percentiles!$A$45:$I$59, 8, FALSE), perc_85, perc_75 + (perc_90 - perc_75) * (2/3), converted_stat, '2K_Ratings'!I288, IF(bbgm_stat &gt;= perc_95, converted_stat * 3, IF(bbgm_stat &gt;= perc_90, converted_stat * 2, IF(bbgm_stat &gt;= perc_85, converted_stat * 1.5, converted_stat)))))</f>
        <v/>
      </c>
      <c r="J288" s="30" t="str">
        <f t="array" ref="J288">IF($A288="", "", LET(bbgm_stat, INDEX(Players!$A287:$P287, MATCH(J$2, Players!$A$1:$P$1, 0)), perc_75, VLOOKUP(J$2, Percentiles!$A$45:$I$59, 6, FALSE), perc_90, VLOOKUP(J$2, Percentiles!$A$45:$I$59, 7, FALSE), perc_95, VLOOKUP(J$2, Percentiles!$A$45:$I$59, 8, FALSE), perc_85, perc_75 + (perc_90 - perc_75) * (2/3), converted_stat, '2K_Ratings'!J288, IF(bbgm_stat &gt;= perc_95, converted_stat * 3, IF(bbgm_stat &gt;= perc_90, converted_stat * 2, IF(bbgm_stat &gt;= perc_85, converted_stat * 1.5, converted_stat)))))</f>
        <v/>
      </c>
      <c r="K288" s="30" t="str">
        <f t="array" ref="K288">IF($A288="", "", LET(bbgm_stat, INDEX(Players!$A287:$P287, MATCH(K$2, Players!$A$1:$P$1, 0)), perc_75, VLOOKUP(K$2, Percentiles!$A$45:$I$59, 6, FALSE), perc_90, VLOOKUP(K$2, Percentiles!$A$45:$I$59, 7, FALSE), perc_95, VLOOKUP(K$2, Percentiles!$A$45:$I$59, 8, FALSE), perc_85, perc_75 + (perc_90 - perc_75) * (2/3), converted_stat, '2K_Ratings'!K288, IF(bbgm_stat &gt;= perc_95, converted_stat * 3, IF(bbgm_stat &gt;= perc_90, converted_stat * 2, IF(bbgm_stat &gt;= perc_85, converted_stat * 1.5, converted_stat)))))</f>
        <v/>
      </c>
      <c r="L288" s="30" t="str">
        <f t="array" ref="L288">IF($A288="", "", LET(bbgm_stat, INDEX(Players!$A287:$P287, MATCH(L$2, Players!$A$1:$P$1, 0)), perc_75, VLOOKUP(L$2, Percentiles!$A$45:$I$59, 6, FALSE), perc_90, VLOOKUP(L$2, Percentiles!$A$45:$I$59, 7, FALSE), perc_95, VLOOKUP(L$2, Percentiles!$A$45:$I$59, 8, FALSE), perc_85, perc_75 + (perc_90 - perc_75) * (2/3), converted_stat, '2K_Ratings'!L288, IF(bbgm_stat &gt;= perc_95, converted_stat * 3, IF(bbgm_stat &gt;= perc_90, converted_stat * 2, IF(bbgm_stat &gt;= perc_85, converted_stat * 1.5, converted_stat)))))</f>
        <v/>
      </c>
      <c r="M288" s="30" t="str">
        <f t="array" ref="M288">IF($A288="", "", LET(bbgm_stat, INDEX(Players!$A287:$P287, MATCH(M$2, Players!$A$1:$P$1, 0)), perc_75, VLOOKUP(M$2, Percentiles!$A$45:$I$59, 6, FALSE), perc_90, VLOOKUP(M$2, Percentiles!$A$45:$I$59, 7, FALSE), perc_95, VLOOKUP(M$2, Percentiles!$A$45:$I$59, 8, FALSE), perc_85, perc_75 + (perc_90 - perc_75) * (2/3), converted_stat, '2K_Ratings'!M288, IF(bbgm_stat &gt;= perc_95, converted_stat * 3, IF(bbgm_stat &gt;= perc_90, converted_stat * 2, IF(bbgm_stat &gt;= perc_85, converted_stat * 1.5, converted_stat)))))</f>
        <v/>
      </c>
      <c r="N288" s="30" t="str">
        <f t="array" ref="N288">IF($A288="", "", LET(bbgm_stat, INDEX(Players!$A287:$P287, MATCH(N$2, Players!$A$1:$P$1, 0)), perc_75, VLOOKUP(N$2, Percentiles!$A$45:$I$59, 6, FALSE), perc_90, VLOOKUP(N$2, Percentiles!$A$45:$I$59, 7, FALSE), perc_95, VLOOKUP(N$2, Percentiles!$A$45:$I$59, 8, FALSE), perc_85, perc_75 + (perc_90 - perc_75) * (2/3), converted_stat, '2K_Ratings'!N288, IF(bbgm_stat &gt;= perc_95, converted_stat * 3, IF(bbgm_stat &gt;= perc_90, converted_stat * 2, IF(bbgm_stat &gt;= perc_85, converted_stat * 1.5, converted_stat)))))</f>
        <v/>
      </c>
      <c r="O288" s="30" t="str">
        <f t="array" ref="O288">IF($A288="", "", LET(bbgm_stat, INDEX(Players!$A287:$P287, MATCH(O$2, Players!$A$1:$P$1, 0)), perc_75, VLOOKUP(O$2, Percentiles!$A$45:$I$59, 6, FALSE), perc_90, VLOOKUP(O$2, Percentiles!$A$45:$I$59, 7, FALSE), perc_95, VLOOKUP(O$2, Percentiles!$A$45:$I$59, 8, FALSE), perc_85, perc_75 + (perc_90 - perc_75) * (2/3), converted_stat, '2K_Ratings'!O288, IF(bbgm_stat &gt;= perc_95, converted_stat * 3, IF(bbgm_stat &gt;= perc_90, converted_stat * 2, IF(bbgm_stat &gt;= perc_85, converted_stat * 1.5, converted_stat)))))</f>
        <v/>
      </c>
      <c r="P288" s="30" t="str">
        <f t="array" ref="P288">IF($A288="", "", LET(bbgm_stat, INDEX(Players!$A287:$P287, MATCH(P$2, Players!$A$1:$P$1, 0)), perc_75, VLOOKUP(P$2, Percentiles!$A$45:$I$59, 6, FALSE), perc_90, VLOOKUP(P$2, Percentiles!$A$45:$I$59, 7, FALSE), perc_95, VLOOKUP(P$2, Percentiles!$A$45:$I$59, 8, FALSE), perc_85, perc_75 + (perc_90 - perc_75) * (2/3), converted_stat, '2K_Ratings'!P288, IF(bbgm_stat &gt;= perc_95, converted_stat * 3, IF(bbgm_stat &gt;= perc_90, converted_stat * 2, IF(bbgm_stat &gt;= perc_85, converted_stat * 1.5, converted_stat)))))</f>
        <v/>
      </c>
      <c r="Q288" s="30" t="str">
        <f t="array" ref="Q288">IF($A288="", "", LET(bbgm_stat, INDEX(Players!$A287:$P287, MATCH(Q$2, Players!$A$1:$P$1, 0)), perc_75, VLOOKUP(Q$2, Percentiles!$A$45:$I$59, 6, FALSE), perc_90, VLOOKUP(Q$2, Percentiles!$A$45:$I$59, 7, FALSE), perc_95, VLOOKUP(Q$2, Percentiles!$A$45:$I$59, 8, FALSE), perc_85, perc_75 + (perc_90 - perc_75) * (2/3), converted_stat, '2K_Ratings'!Q288, IF(bbgm_stat &gt;= perc_95, converted_stat * 3, IF(bbgm_stat &gt;= perc_90, converted_stat * 2, IF(bbgm_stat &gt;= perc_85, converted_stat * 1.5, converted_stat)))))</f>
        <v/>
      </c>
      <c r="R288" s="30" t="str">
        <f t="array" ref="R288">IF($A288="", "", LET(bbgm_stat, INDEX(Players!$A287:$P287, MATCH(R$2, Players!$A$1:$P$1, 0)), perc_75, VLOOKUP(R$2, Percentiles!$A$45:$I$59, 6, FALSE), perc_90, VLOOKUP(R$2, Percentiles!$A$45:$I$59, 7, FALSE), perc_95, VLOOKUP(R$2, Percentiles!$A$45:$I$59, 8, FALSE), perc_85, perc_75 + (perc_90 - perc_75) * (2/3), converted_stat, '2K_Ratings'!R288, IF(bbgm_stat &gt;= perc_95, converted_stat * 3, IF(bbgm_stat &gt;= perc_90, converted_stat * 2, IF(bbgm_stat &gt;= perc_85, converted_stat * 1.5, converted_stat)))))</f>
        <v/>
      </c>
      <c r="S288" s="30" t="str">
        <f t="array" ref="S288">IF($A288="", "", LET(bbgm_stat, INDEX(Players!$A287:$P287, MATCH(S$2, Players!$A$1:$P$1, 0)), perc_75, VLOOKUP(S$2, Percentiles!$A$45:$I$59, 6, FALSE), perc_90, VLOOKUP(S$2, Percentiles!$A$45:$I$59, 7, FALSE), perc_95, VLOOKUP(S$2, Percentiles!$A$45:$I$59, 8, FALSE), perc_85, perc_75 + (perc_90 - perc_75) * (2/3), converted_stat, '2K_Ratings'!S288, IF(bbgm_stat &gt;= perc_95, converted_stat * 3, IF(bbgm_stat &gt;= perc_90, converted_stat * 2, IF(bbgm_stat &gt;= perc_85, converted_stat * 1.5, converted_stat)))))</f>
        <v/>
      </c>
      <c r="T288" s="30" t="str">
        <f t="array" ref="T288">IF($A288="", "", LET(bbgm_stat, INDEX(Players!$A287:$P287, MATCH(T$2, Players!$A$1:$P$1, 0)), perc_75, VLOOKUP(T$2, Percentiles!$A$45:$I$59, 6, FALSE), perc_90, VLOOKUP(T$2, Percentiles!$A$45:$I$59, 7, FALSE), perc_95, VLOOKUP(T$2, Percentiles!$A$45:$I$59, 8, FALSE), perc_85, perc_75 + (perc_90 - perc_75) * (2/3), converted_stat, '2K_Ratings'!T288, IF(bbgm_stat &gt;= perc_95, converted_stat * 3, IF(bbgm_stat &gt;= perc_90, converted_stat * 2, IF(bbgm_stat &gt;= perc_85, converted_stat * 1.5, converted_stat)))))</f>
        <v/>
      </c>
      <c r="U288" s="30" t="str">
        <f t="array" ref="U288">IF($A288="", "", LET(bbgm_stat, INDEX(Players!$A287:$P287, MATCH(U$2, Players!$A$1:$P$1, 0)), perc_75, VLOOKUP(U$2, Percentiles!$A$45:$I$59, 6, FALSE), perc_90, VLOOKUP(U$2, Percentiles!$A$45:$I$59, 7, FALSE), perc_95, VLOOKUP(U$2, Percentiles!$A$45:$I$59, 8, FALSE), perc_85, perc_75 + (perc_90 - perc_75) * (2/3), converted_stat, '2K_Ratings'!U288, IF(bbgm_stat &gt;= perc_95, converted_stat * 3, IF(bbgm_stat &gt;= perc_90, converted_stat * 2, IF(bbgm_stat &gt;= perc_85, converted_stat * 1.5, converted_stat)))))</f>
        <v/>
      </c>
      <c r="V288" s="30" t="str">
        <f t="array" ref="V288">IF($A288="", "", LET(bbgm_stat, INDEX(Players!$A287:$P287, MATCH(V$2, Players!$A$1:$P$1, 0)), perc_75, VLOOKUP(V$2, Percentiles!$A$45:$I$59, 6, FALSE), perc_90, VLOOKUP(V$2, Percentiles!$A$45:$I$59, 7, FALSE), perc_95, VLOOKUP(V$2, Percentiles!$A$45:$I$59, 8, FALSE), perc_85, perc_75 + (perc_90 - perc_75) * (2/3), converted_stat, '2K_Ratings'!V288, IF(bbgm_stat &gt;= perc_95, converted_stat * 3, IF(bbgm_stat &gt;= perc_90, converted_stat * 2, IF(bbgm_stat &gt;= perc_85, converted_stat * 1.5, converted_stat)))))</f>
        <v/>
      </c>
      <c r="W288" s="30" t="str">
        <f t="array" ref="W288">IF($A288="", "", LET(bbgm_stat, INDEX(Players!$A287:$P287, MATCH(W$2, Players!$A$1:$P$1, 0)), perc_75, VLOOKUP(W$2, Percentiles!$A$45:$I$59, 6, FALSE), perc_90, VLOOKUP(W$2, Percentiles!$A$45:$I$59, 7, FALSE), perc_95, VLOOKUP(W$2, Percentiles!$A$45:$I$59, 8, FALSE), perc_85, perc_75 + (perc_90 - perc_75) * (2/3), converted_stat, '2K_Ratings'!W288, IF(bbgm_stat &gt;= perc_95, converted_stat * 3, IF(bbgm_stat &gt;= perc_90, converted_stat * 2, IF(bbgm_stat &gt;= perc_85, converted_stat * 1.5, converted_stat)))))</f>
        <v/>
      </c>
    </row>
    <row r="289">
      <c r="A289" s="30"/>
      <c r="B289" s="30" t="str">
        <f t="array" ref="B289">IF($A289="", "", LET(bbgm_stat, INDEX(Players!$A288:$P288, MATCH(B$2, Players!$A$1:$P$1, 0)), perc_75, VLOOKUP(B$2, Percentiles!$A$45:$I$59, 6, FALSE), perc_90, VLOOKUP(B$2, Percentiles!$A$45:$I$59, 7, FALSE), perc_95, VLOOKUP(B$2, Percentiles!$A$45:$I$59, 8, FALSE), perc_85, perc_75 + (perc_90 - perc_75) * (2/3), converted_stat, '2K_Ratings'!B289, IF(bbgm_stat &gt;= perc_95, converted_stat * 3, IF(bbgm_stat &gt;= perc_90, converted_stat * 2, IF(bbgm_stat &gt;= perc_85, converted_stat * 1.5, converted_stat)))))</f>
        <v/>
      </c>
      <c r="C289" s="30" t="str">
        <f t="array" ref="C289">IF($A289="", "", LET(bbgm_stat, INDEX(Players!$A288:$P288, MATCH(C$2, Players!$A$1:$P$1, 0)), perc_75, VLOOKUP(C$2, Percentiles!$A$45:$I$59, 6, FALSE), perc_90, VLOOKUP(C$2, Percentiles!$A$45:$I$59, 7, FALSE), perc_95, VLOOKUP(C$2, Percentiles!$A$45:$I$59, 8, FALSE), perc_85, perc_75 + (perc_90 - perc_75) * (2/3), converted_stat, '2K_Ratings'!C289, IF(bbgm_stat &gt;= perc_95, converted_stat * 3, IF(bbgm_stat &gt;= perc_90, converted_stat * 2, IF(bbgm_stat &gt;= perc_85, converted_stat * 1.5, converted_stat)))))</f>
        <v/>
      </c>
      <c r="D289" s="30" t="str">
        <f t="array" ref="D289">IF($A289="", "", LET(bbgm_stat, INDEX(Players!$A288:$P288, MATCH(D$2, Players!$A$1:$P$1, 0)), perc_75, VLOOKUP(D$2, Percentiles!$A$45:$I$59, 6, FALSE), perc_90, VLOOKUP(D$2, Percentiles!$A$45:$I$59, 7, FALSE), perc_95, VLOOKUP(D$2, Percentiles!$A$45:$I$59, 8, FALSE), perc_85, perc_75 + (perc_90 - perc_75) * (2/3), converted_stat, '2K_Ratings'!D289, IF(bbgm_stat &gt;= perc_95, converted_stat * 3, IF(bbgm_stat &gt;= perc_90, converted_stat * 2, IF(bbgm_stat &gt;= perc_85, converted_stat * 1.5, converted_stat)))))</f>
        <v/>
      </c>
      <c r="E289" s="30" t="str">
        <f t="array" ref="E289">IF($A289="", "", LET(bbgm_stat, INDEX(Players!$A288:$P288, MATCH(E$2, Players!$A$1:$P$1, 0)), perc_75, VLOOKUP(E$2, Percentiles!$A$45:$I$59, 6, FALSE), perc_90, VLOOKUP(E$2, Percentiles!$A$45:$I$59, 7, FALSE), perc_95, VLOOKUP(E$2, Percentiles!$A$45:$I$59, 8, FALSE), perc_85, perc_75 + (perc_90 - perc_75) * (2/3), converted_stat, '2K_Ratings'!E289, IF(bbgm_stat &gt;= perc_95, converted_stat * 3, IF(bbgm_stat &gt;= perc_90, converted_stat * 2, IF(bbgm_stat &gt;= perc_85, converted_stat * 1.5, converted_stat)))))</f>
        <v/>
      </c>
      <c r="F289" s="30" t="str">
        <f t="array" ref="F289">IF($A289="", "", LET(bbgm_stat, INDEX(Players!$A288:$P288, MATCH(F$2, Players!$A$1:$P$1, 0)), perc_75, VLOOKUP(F$2, Percentiles!$A$45:$I$59, 6, FALSE), perc_90, VLOOKUP(F$2, Percentiles!$A$45:$I$59, 7, FALSE), perc_95, VLOOKUP(F$2, Percentiles!$A$45:$I$59, 8, FALSE), perc_85, perc_75 + (perc_90 - perc_75) * (2/3), converted_stat, '2K_Ratings'!F289, IF(bbgm_stat &gt;= perc_95, converted_stat * 3, IF(bbgm_stat &gt;= perc_90, converted_stat * 2, IF(bbgm_stat &gt;= perc_85, converted_stat * 1.5, converted_stat)))))</f>
        <v/>
      </c>
      <c r="G289" s="30" t="str">
        <f t="array" ref="G289">IF($A289="", "", LET(bbgm_stat, INDEX(Players!$A288:$P288, MATCH(G$2, Players!$A$1:$P$1, 0)), perc_75, VLOOKUP(G$2, Percentiles!$A$45:$I$59, 6, FALSE), perc_90, VLOOKUP(G$2, Percentiles!$A$45:$I$59, 7, FALSE), perc_95, VLOOKUP(G$2, Percentiles!$A$45:$I$59, 8, FALSE), perc_85, perc_75 + (perc_90 - perc_75) * (2/3), converted_stat, '2K_Ratings'!G289, IF(bbgm_stat &gt;= perc_95, converted_stat * 3, IF(bbgm_stat &gt;= perc_90, converted_stat * 2, IF(bbgm_stat &gt;= perc_85, converted_stat * 1.5, converted_stat)))))</f>
        <v/>
      </c>
      <c r="H289" s="30" t="str">
        <f t="array" ref="H289">IF($A289="", "", LET(bbgm_stat, INDEX(Players!$A288:$P288, MATCH(H$2, Players!$A$1:$P$1, 0)), perc_75, VLOOKUP(H$2, Percentiles!$A$45:$I$59, 6, FALSE), perc_90, VLOOKUP(H$2, Percentiles!$A$45:$I$59, 7, FALSE), perc_95, VLOOKUP(H$2, Percentiles!$A$45:$I$59, 8, FALSE), perc_85, perc_75 + (perc_90 - perc_75) * (2/3), converted_stat, '2K_Ratings'!H289, IF(bbgm_stat &gt;= perc_95, converted_stat * 3, IF(bbgm_stat &gt;= perc_90, converted_stat * 2, IF(bbgm_stat &gt;= perc_85, converted_stat * 1.5, converted_stat)))))</f>
        <v/>
      </c>
      <c r="I289" s="30" t="str">
        <f t="array" ref="I289">IF($A289="", "", LET(bbgm_stat, INDEX(Players!$A288:$P288, MATCH(I$2, Players!$A$1:$P$1, 0)), perc_75, VLOOKUP(I$2, Percentiles!$A$45:$I$59, 6, FALSE), perc_90, VLOOKUP(I$2, Percentiles!$A$45:$I$59, 7, FALSE), perc_95, VLOOKUP(I$2, Percentiles!$A$45:$I$59, 8, FALSE), perc_85, perc_75 + (perc_90 - perc_75) * (2/3), converted_stat, '2K_Ratings'!I289, IF(bbgm_stat &gt;= perc_95, converted_stat * 3, IF(bbgm_stat &gt;= perc_90, converted_stat * 2, IF(bbgm_stat &gt;= perc_85, converted_stat * 1.5, converted_stat)))))</f>
        <v/>
      </c>
      <c r="J289" s="30" t="str">
        <f t="array" ref="J289">IF($A289="", "", LET(bbgm_stat, INDEX(Players!$A288:$P288, MATCH(J$2, Players!$A$1:$P$1, 0)), perc_75, VLOOKUP(J$2, Percentiles!$A$45:$I$59, 6, FALSE), perc_90, VLOOKUP(J$2, Percentiles!$A$45:$I$59, 7, FALSE), perc_95, VLOOKUP(J$2, Percentiles!$A$45:$I$59, 8, FALSE), perc_85, perc_75 + (perc_90 - perc_75) * (2/3), converted_stat, '2K_Ratings'!J289, IF(bbgm_stat &gt;= perc_95, converted_stat * 3, IF(bbgm_stat &gt;= perc_90, converted_stat * 2, IF(bbgm_stat &gt;= perc_85, converted_stat * 1.5, converted_stat)))))</f>
        <v/>
      </c>
      <c r="K289" s="30" t="str">
        <f t="array" ref="K289">IF($A289="", "", LET(bbgm_stat, INDEX(Players!$A288:$P288, MATCH(K$2, Players!$A$1:$P$1, 0)), perc_75, VLOOKUP(K$2, Percentiles!$A$45:$I$59, 6, FALSE), perc_90, VLOOKUP(K$2, Percentiles!$A$45:$I$59, 7, FALSE), perc_95, VLOOKUP(K$2, Percentiles!$A$45:$I$59, 8, FALSE), perc_85, perc_75 + (perc_90 - perc_75) * (2/3), converted_stat, '2K_Ratings'!K289, IF(bbgm_stat &gt;= perc_95, converted_stat * 3, IF(bbgm_stat &gt;= perc_90, converted_stat * 2, IF(bbgm_stat &gt;= perc_85, converted_stat * 1.5, converted_stat)))))</f>
        <v/>
      </c>
      <c r="L289" s="30" t="str">
        <f t="array" ref="L289">IF($A289="", "", LET(bbgm_stat, INDEX(Players!$A288:$P288, MATCH(L$2, Players!$A$1:$P$1, 0)), perc_75, VLOOKUP(L$2, Percentiles!$A$45:$I$59, 6, FALSE), perc_90, VLOOKUP(L$2, Percentiles!$A$45:$I$59, 7, FALSE), perc_95, VLOOKUP(L$2, Percentiles!$A$45:$I$59, 8, FALSE), perc_85, perc_75 + (perc_90 - perc_75) * (2/3), converted_stat, '2K_Ratings'!L289, IF(bbgm_stat &gt;= perc_95, converted_stat * 3, IF(bbgm_stat &gt;= perc_90, converted_stat * 2, IF(bbgm_stat &gt;= perc_85, converted_stat * 1.5, converted_stat)))))</f>
        <v/>
      </c>
      <c r="M289" s="30" t="str">
        <f t="array" ref="M289">IF($A289="", "", LET(bbgm_stat, INDEX(Players!$A288:$P288, MATCH(M$2, Players!$A$1:$P$1, 0)), perc_75, VLOOKUP(M$2, Percentiles!$A$45:$I$59, 6, FALSE), perc_90, VLOOKUP(M$2, Percentiles!$A$45:$I$59, 7, FALSE), perc_95, VLOOKUP(M$2, Percentiles!$A$45:$I$59, 8, FALSE), perc_85, perc_75 + (perc_90 - perc_75) * (2/3), converted_stat, '2K_Ratings'!M289, IF(bbgm_stat &gt;= perc_95, converted_stat * 3, IF(bbgm_stat &gt;= perc_90, converted_stat * 2, IF(bbgm_stat &gt;= perc_85, converted_stat * 1.5, converted_stat)))))</f>
        <v/>
      </c>
      <c r="N289" s="30" t="str">
        <f t="array" ref="N289">IF($A289="", "", LET(bbgm_stat, INDEX(Players!$A288:$P288, MATCH(N$2, Players!$A$1:$P$1, 0)), perc_75, VLOOKUP(N$2, Percentiles!$A$45:$I$59, 6, FALSE), perc_90, VLOOKUP(N$2, Percentiles!$A$45:$I$59, 7, FALSE), perc_95, VLOOKUP(N$2, Percentiles!$A$45:$I$59, 8, FALSE), perc_85, perc_75 + (perc_90 - perc_75) * (2/3), converted_stat, '2K_Ratings'!N289, IF(bbgm_stat &gt;= perc_95, converted_stat * 3, IF(bbgm_stat &gt;= perc_90, converted_stat * 2, IF(bbgm_stat &gt;= perc_85, converted_stat * 1.5, converted_stat)))))</f>
        <v/>
      </c>
      <c r="O289" s="30" t="str">
        <f t="array" ref="O289">IF($A289="", "", LET(bbgm_stat, INDEX(Players!$A288:$P288, MATCH(O$2, Players!$A$1:$P$1, 0)), perc_75, VLOOKUP(O$2, Percentiles!$A$45:$I$59, 6, FALSE), perc_90, VLOOKUP(O$2, Percentiles!$A$45:$I$59, 7, FALSE), perc_95, VLOOKUP(O$2, Percentiles!$A$45:$I$59, 8, FALSE), perc_85, perc_75 + (perc_90 - perc_75) * (2/3), converted_stat, '2K_Ratings'!O289, IF(bbgm_stat &gt;= perc_95, converted_stat * 3, IF(bbgm_stat &gt;= perc_90, converted_stat * 2, IF(bbgm_stat &gt;= perc_85, converted_stat * 1.5, converted_stat)))))</f>
        <v/>
      </c>
      <c r="P289" s="30" t="str">
        <f t="array" ref="P289">IF($A289="", "", LET(bbgm_stat, INDEX(Players!$A288:$P288, MATCH(P$2, Players!$A$1:$P$1, 0)), perc_75, VLOOKUP(P$2, Percentiles!$A$45:$I$59, 6, FALSE), perc_90, VLOOKUP(P$2, Percentiles!$A$45:$I$59, 7, FALSE), perc_95, VLOOKUP(P$2, Percentiles!$A$45:$I$59, 8, FALSE), perc_85, perc_75 + (perc_90 - perc_75) * (2/3), converted_stat, '2K_Ratings'!P289, IF(bbgm_stat &gt;= perc_95, converted_stat * 3, IF(bbgm_stat &gt;= perc_90, converted_stat * 2, IF(bbgm_stat &gt;= perc_85, converted_stat * 1.5, converted_stat)))))</f>
        <v/>
      </c>
      <c r="Q289" s="30" t="str">
        <f t="array" ref="Q289">IF($A289="", "", LET(bbgm_stat, INDEX(Players!$A288:$P288, MATCH(Q$2, Players!$A$1:$P$1, 0)), perc_75, VLOOKUP(Q$2, Percentiles!$A$45:$I$59, 6, FALSE), perc_90, VLOOKUP(Q$2, Percentiles!$A$45:$I$59, 7, FALSE), perc_95, VLOOKUP(Q$2, Percentiles!$A$45:$I$59, 8, FALSE), perc_85, perc_75 + (perc_90 - perc_75) * (2/3), converted_stat, '2K_Ratings'!Q289, IF(bbgm_stat &gt;= perc_95, converted_stat * 3, IF(bbgm_stat &gt;= perc_90, converted_stat * 2, IF(bbgm_stat &gt;= perc_85, converted_stat * 1.5, converted_stat)))))</f>
        <v/>
      </c>
      <c r="R289" s="30" t="str">
        <f t="array" ref="R289">IF($A289="", "", LET(bbgm_stat, INDEX(Players!$A288:$P288, MATCH(R$2, Players!$A$1:$P$1, 0)), perc_75, VLOOKUP(R$2, Percentiles!$A$45:$I$59, 6, FALSE), perc_90, VLOOKUP(R$2, Percentiles!$A$45:$I$59, 7, FALSE), perc_95, VLOOKUP(R$2, Percentiles!$A$45:$I$59, 8, FALSE), perc_85, perc_75 + (perc_90 - perc_75) * (2/3), converted_stat, '2K_Ratings'!R289, IF(bbgm_stat &gt;= perc_95, converted_stat * 3, IF(bbgm_stat &gt;= perc_90, converted_stat * 2, IF(bbgm_stat &gt;= perc_85, converted_stat * 1.5, converted_stat)))))</f>
        <v/>
      </c>
      <c r="S289" s="30" t="str">
        <f t="array" ref="S289">IF($A289="", "", LET(bbgm_stat, INDEX(Players!$A288:$P288, MATCH(S$2, Players!$A$1:$P$1, 0)), perc_75, VLOOKUP(S$2, Percentiles!$A$45:$I$59, 6, FALSE), perc_90, VLOOKUP(S$2, Percentiles!$A$45:$I$59, 7, FALSE), perc_95, VLOOKUP(S$2, Percentiles!$A$45:$I$59, 8, FALSE), perc_85, perc_75 + (perc_90 - perc_75) * (2/3), converted_stat, '2K_Ratings'!S289, IF(bbgm_stat &gt;= perc_95, converted_stat * 3, IF(bbgm_stat &gt;= perc_90, converted_stat * 2, IF(bbgm_stat &gt;= perc_85, converted_stat * 1.5, converted_stat)))))</f>
        <v/>
      </c>
      <c r="T289" s="30" t="str">
        <f t="array" ref="T289">IF($A289="", "", LET(bbgm_stat, INDEX(Players!$A288:$P288, MATCH(T$2, Players!$A$1:$P$1, 0)), perc_75, VLOOKUP(T$2, Percentiles!$A$45:$I$59, 6, FALSE), perc_90, VLOOKUP(T$2, Percentiles!$A$45:$I$59, 7, FALSE), perc_95, VLOOKUP(T$2, Percentiles!$A$45:$I$59, 8, FALSE), perc_85, perc_75 + (perc_90 - perc_75) * (2/3), converted_stat, '2K_Ratings'!T289, IF(bbgm_stat &gt;= perc_95, converted_stat * 3, IF(bbgm_stat &gt;= perc_90, converted_stat * 2, IF(bbgm_stat &gt;= perc_85, converted_stat * 1.5, converted_stat)))))</f>
        <v/>
      </c>
      <c r="U289" s="30" t="str">
        <f t="array" ref="U289">IF($A289="", "", LET(bbgm_stat, INDEX(Players!$A288:$P288, MATCH(U$2, Players!$A$1:$P$1, 0)), perc_75, VLOOKUP(U$2, Percentiles!$A$45:$I$59, 6, FALSE), perc_90, VLOOKUP(U$2, Percentiles!$A$45:$I$59, 7, FALSE), perc_95, VLOOKUP(U$2, Percentiles!$A$45:$I$59, 8, FALSE), perc_85, perc_75 + (perc_90 - perc_75) * (2/3), converted_stat, '2K_Ratings'!U289, IF(bbgm_stat &gt;= perc_95, converted_stat * 3, IF(bbgm_stat &gt;= perc_90, converted_stat * 2, IF(bbgm_stat &gt;= perc_85, converted_stat * 1.5, converted_stat)))))</f>
        <v/>
      </c>
      <c r="V289" s="30" t="str">
        <f t="array" ref="V289">IF($A289="", "", LET(bbgm_stat, INDEX(Players!$A288:$P288, MATCH(V$2, Players!$A$1:$P$1, 0)), perc_75, VLOOKUP(V$2, Percentiles!$A$45:$I$59, 6, FALSE), perc_90, VLOOKUP(V$2, Percentiles!$A$45:$I$59, 7, FALSE), perc_95, VLOOKUP(V$2, Percentiles!$A$45:$I$59, 8, FALSE), perc_85, perc_75 + (perc_90 - perc_75) * (2/3), converted_stat, '2K_Ratings'!V289, IF(bbgm_stat &gt;= perc_95, converted_stat * 3, IF(bbgm_stat &gt;= perc_90, converted_stat * 2, IF(bbgm_stat &gt;= perc_85, converted_stat * 1.5, converted_stat)))))</f>
        <v/>
      </c>
      <c r="W289" s="30" t="str">
        <f t="array" ref="W289">IF($A289="", "", LET(bbgm_stat, INDEX(Players!$A288:$P288, MATCH(W$2, Players!$A$1:$P$1, 0)), perc_75, VLOOKUP(W$2, Percentiles!$A$45:$I$59, 6, FALSE), perc_90, VLOOKUP(W$2, Percentiles!$A$45:$I$59, 7, FALSE), perc_95, VLOOKUP(W$2, Percentiles!$A$45:$I$59, 8, FALSE), perc_85, perc_75 + (perc_90 - perc_75) * (2/3), converted_stat, '2K_Ratings'!W289, IF(bbgm_stat &gt;= perc_95, converted_stat * 3, IF(bbgm_stat &gt;= perc_90, converted_stat * 2, IF(bbgm_stat &gt;= perc_85, converted_stat * 1.5, converted_stat)))))</f>
        <v/>
      </c>
    </row>
    <row r="290">
      <c r="A290" s="30"/>
      <c r="B290" s="30" t="str">
        <f t="array" ref="B290">IF($A290="", "", LET(bbgm_stat, INDEX(Players!$A289:$P289, MATCH(B$2, Players!$A$1:$P$1, 0)), perc_75, VLOOKUP(B$2, Percentiles!$A$45:$I$59, 6, FALSE), perc_90, VLOOKUP(B$2, Percentiles!$A$45:$I$59, 7, FALSE), perc_95, VLOOKUP(B$2, Percentiles!$A$45:$I$59, 8, FALSE), perc_85, perc_75 + (perc_90 - perc_75) * (2/3), converted_stat, '2K_Ratings'!B290, IF(bbgm_stat &gt;= perc_95, converted_stat * 3, IF(bbgm_stat &gt;= perc_90, converted_stat * 2, IF(bbgm_stat &gt;= perc_85, converted_stat * 1.5, converted_stat)))))</f>
        <v/>
      </c>
      <c r="C290" s="30" t="str">
        <f t="array" ref="C290">IF($A290="", "", LET(bbgm_stat, INDEX(Players!$A289:$P289, MATCH(C$2, Players!$A$1:$P$1, 0)), perc_75, VLOOKUP(C$2, Percentiles!$A$45:$I$59, 6, FALSE), perc_90, VLOOKUP(C$2, Percentiles!$A$45:$I$59, 7, FALSE), perc_95, VLOOKUP(C$2, Percentiles!$A$45:$I$59, 8, FALSE), perc_85, perc_75 + (perc_90 - perc_75) * (2/3), converted_stat, '2K_Ratings'!C290, IF(bbgm_stat &gt;= perc_95, converted_stat * 3, IF(bbgm_stat &gt;= perc_90, converted_stat * 2, IF(bbgm_stat &gt;= perc_85, converted_stat * 1.5, converted_stat)))))</f>
        <v/>
      </c>
      <c r="D290" s="30" t="str">
        <f t="array" ref="D290">IF($A290="", "", LET(bbgm_stat, INDEX(Players!$A289:$P289, MATCH(D$2, Players!$A$1:$P$1, 0)), perc_75, VLOOKUP(D$2, Percentiles!$A$45:$I$59, 6, FALSE), perc_90, VLOOKUP(D$2, Percentiles!$A$45:$I$59, 7, FALSE), perc_95, VLOOKUP(D$2, Percentiles!$A$45:$I$59, 8, FALSE), perc_85, perc_75 + (perc_90 - perc_75) * (2/3), converted_stat, '2K_Ratings'!D290, IF(bbgm_stat &gt;= perc_95, converted_stat * 3, IF(bbgm_stat &gt;= perc_90, converted_stat * 2, IF(bbgm_stat &gt;= perc_85, converted_stat * 1.5, converted_stat)))))</f>
        <v/>
      </c>
      <c r="E290" s="30" t="str">
        <f t="array" ref="E290">IF($A290="", "", LET(bbgm_stat, INDEX(Players!$A289:$P289, MATCH(E$2, Players!$A$1:$P$1, 0)), perc_75, VLOOKUP(E$2, Percentiles!$A$45:$I$59, 6, FALSE), perc_90, VLOOKUP(E$2, Percentiles!$A$45:$I$59, 7, FALSE), perc_95, VLOOKUP(E$2, Percentiles!$A$45:$I$59, 8, FALSE), perc_85, perc_75 + (perc_90 - perc_75) * (2/3), converted_stat, '2K_Ratings'!E290, IF(bbgm_stat &gt;= perc_95, converted_stat * 3, IF(bbgm_stat &gt;= perc_90, converted_stat * 2, IF(bbgm_stat &gt;= perc_85, converted_stat * 1.5, converted_stat)))))</f>
        <v/>
      </c>
      <c r="F290" s="30" t="str">
        <f t="array" ref="F290">IF($A290="", "", LET(bbgm_stat, INDEX(Players!$A289:$P289, MATCH(F$2, Players!$A$1:$P$1, 0)), perc_75, VLOOKUP(F$2, Percentiles!$A$45:$I$59, 6, FALSE), perc_90, VLOOKUP(F$2, Percentiles!$A$45:$I$59, 7, FALSE), perc_95, VLOOKUP(F$2, Percentiles!$A$45:$I$59, 8, FALSE), perc_85, perc_75 + (perc_90 - perc_75) * (2/3), converted_stat, '2K_Ratings'!F290, IF(bbgm_stat &gt;= perc_95, converted_stat * 3, IF(bbgm_stat &gt;= perc_90, converted_stat * 2, IF(bbgm_stat &gt;= perc_85, converted_stat * 1.5, converted_stat)))))</f>
        <v/>
      </c>
      <c r="G290" s="30" t="str">
        <f t="array" ref="G290">IF($A290="", "", LET(bbgm_stat, INDEX(Players!$A289:$P289, MATCH(G$2, Players!$A$1:$P$1, 0)), perc_75, VLOOKUP(G$2, Percentiles!$A$45:$I$59, 6, FALSE), perc_90, VLOOKUP(G$2, Percentiles!$A$45:$I$59, 7, FALSE), perc_95, VLOOKUP(G$2, Percentiles!$A$45:$I$59, 8, FALSE), perc_85, perc_75 + (perc_90 - perc_75) * (2/3), converted_stat, '2K_Ratings'!G290, IF(bbgm_stat &gt;= perc_95, converted_stat * 3, IF(bbgm_stat &gt;= perc_90, converted_stat * 2, IF(bbgm_stat &gt;= perc_85, converted_stat * 1.5, converted_stat)))))</f>
        <v/>
      </c>
      <c r="H290" s="30" t="str">
        <f t="array" ref="H290">IF($A290="", "", LET(bbgm_stat, INDEX(Players!$A289:$P289, MATCH(H$2, Players!$A$1:$P$1, 0)), perc_75, VLOOKUP(H$2, Percentiles!$A$45:$I$59, 6, FALSE), perc_90, VLOOKUP(H$2, Percentiles!$A$45:$I$59, 7, FALSE), perc_95, VLOOKUP(H$2, Percentiles!$A$45:$I$59, 8, FALSE), perc_85, perc_75 + (perc_90 - perc_75) * (2/3), converted_stat, '2K_Ratings'!H290, IF(bbgm_stat &gt;= perc_95, converted_stat * 3, IF(bbgm_stat &gt;= perc_90, converted_stat * 2, IF(bbgm_stat &gt;= perc_85, converted_stat * 1.5, converted_stat)))))</f>
        <v/>
      </c>
      <c r="I290" s="30" t="str">
        <f t="array" ref="I290">IF($A290="", "", LET(bbgm_stat, INDEX(Players!$A289:$P289, MATCH(I$2, Players!$A$1:$P$1, 0)), perc_75, VLOOKUP(I$2, Percentiles!$A$45:$I$59, 6, FALSE), perc_90, VLOOKUP(I$2, Percentiles!$A$45:$I$59, 7, FALSE), perc_95, VLOOKUP(I$2, Percentiles!$A$45:$I$59, 8, FALSE), perc_85, perc_75 + (perc_90 - perc_75) * (2/3), converted_stat, '2K_Ratings'!I290, IF(bbgm_stat &gt;= perc_95, converted_stat * 3, IF(bbgm_stat &gt;= perc_90, converted_stat * 2, IF(bbgm_stat &gt;= perc_85, converted_stat * 1.5, converted_stat)))))</f>
        <v/>
      </c>
      <c r="J290" s="30" t="str">
        <f t="array" ref="J290">IF($A290="", "", LET(bbgm_stat, INDEX(Players!$A289:$P289, MATCH(J$2, Players!$A$1:$P$1, 0)), perc_75, VLOOKUP(J$2, Percentiles!$A$45:$I$59, 6, FALSE), perc_90, VLOOKUP(J$2, Percentiles!$A$45:$I$59, 7, FALSE), perc_95, VLOOKUP(J$2, Percentiles!$A$45:$I$59, 8, FALSE), perc_85, perc_75 + (perc_90 - perc_75) * (2/3), converted_stat, '2K_Ratings'!J290, IF(bbgm_stat &gt;= perc_95, converted_stat * 3, IF(bbgm_stat &gt;= perc_90, converted_stat * 2, IF(bbgm_stat &gt;= perc_85, converted_stat * 1.5, converted_stat)))))</f>
        <v/>
      </c>
      <c r="K290" s="30" t="str">
        <f t="array" ref="K290">IF($A290="", "", LET(bbgm_stat, INDEX(Players!$A289:$P289, MATCH(K$2, Players!$A$1:$P$1, 0)), perc_75, VLOOKUP(K$2, Percentiles!$A$45:$I$59, 6, FALSE), perc_90, VLOOKUP(K$2, Percentiles!$A$45:$I$59, 7, FALSE), perc_95, VLOOKUP(K$2, Percentiles!$A$45:$I$59, 8, FALSE), perc_85, perc_75 + (perc_90 - perc_75) * (2/3), converted_stat, '2K_Ratings'!K290, IF(bbgm_stat &gt;= perc_95, converted_stat * 3, IF(bbgm_stat &gt;= perc_90, converted_stat * 2, IF(bbgm_stat &gt;= perc_85, converted_stat * 1.5, converted_stat)))))</f>
        <v/>
      </c>
      <c r="L290" s="30" t="str">
        <f t="array" ref="L290">IF($A290="", "", LET(bbgm_stat, INDEX(Players!$A289:$P289, MATCH(L$2, Players!$A$1:$P$1, 0)), perc_75, VLOOKUP(L$2, Percentiles!$A$45:$I$59, 6, FALSE), perc_90, VLOOKUP(L$2, Percentiles!$A$45:$I$59, 7, FALSE), perc_95, VLOOKUP(L$2, Percentiles!$A$45:$I$59, 8, FALSE), perc_85, perc_75 + (perc_90 - perc_75) * (2/3), converted_stat, '2K_Ratings'!L290, IF(bbgm_stat &gt;= perc_95, converted_stat * 3, IF(bbgm_stat &gt;= perc_90, converted_stat * 2, IF(bbgm_stat &gt;= perc_85, converted_stat * 1.5, converted_stat)))))</f>
        <v/>
      </c>
      <c r="M290" s="30" t="str">
        <f t="array" ref="M290">IF($A290="", "", LET(bbgm_stat, INDEX(Players!$A289:$P289, MATCH(M$2, Players!$A$1:$P$1, 0)), perc_75, VLOOKUP(M$2, Percentiles!$A$45:$I$59, 6, FALSE), perc_90, VLOOKUP(M$2, Percentiles!$A$45:$I$59, 7, FALSE), perc_95, VLOOKUP(M$2, Percentiles!$A$45:$I$59, 8, FALSE), perc_85, perc_75 + (perc_90 - perc_75) * (2/3), converted_stat, '2K_Ratings'!M290, IF(bbgm_stat &gt;= perc_95, converted_stat * 3, IF(bbgm_stat &gt;= perc_90, converted_stat * 2, IF(bbgm_stat &gt;= perc_85, converted_stat * 1.5, converted_stat)))))</f>
        <v/>
      </c>
      <c r="N290" s="30" t="str">
        <f t="array" ref="N290">IF($A290="", "", LET(bbgm_stat, INDEX(Players!$A289:$P289, MATCH(N$2, Players!$A$1:$P$1, 0)), perc_75, VLOOKUP(N$2, Percentiles!$A$45:$I$59, 6, FALSE), perc_90, VLOOKUP(N$2, Percentiles!$A$45:$I$59, 7, FALSE), perc_95, VLOOKUP(N$2, Percentiles!$A$45:$I$59, 8, FALSE), perc_85, perc_75 + (perc_90 - perc_75) * (2/3), converted_stat, '2K_Ratings'!N290, IF(bbgm_stat &gt;= perc_95, converted_stat * 3, IF(bbgm_stat &gt;= perc_90, converted_stat * 2, IF(bbgm_stat &gt;= perc_85, converted_stat * 1.5, converted_stat)))))</f>
        <v/>
      </c>
      <c r="O290" s="30" t="str">
        <f t="array" ref="O290">IF($A290="", "", LET(bbgm_stat, INDEX(Players!$A289:$P289, MATCH(O$2, Players!$A$1:$P$1, 0)), perc_75, VLOOKUP(O$2, Percentiles!$A$45:$I$59, 6, FALSE), perc_90, VLOOKUP(O$2, Percentiles!$A$45:$I$59, 7, FALSE), perc_95, VLOOKUP(O$2, Percentiles!$A$45:$I$59, 8, FALSE), perc_85, perc_75 + (perc_90 - perc_75) * (2/3), converted_stat, '2K_Ratings'!O290, IF(bbgm_stat &gt;= perc_95, converted_stat * 3, IF(bbgm_stat &gt;= perc_90, converted_stat * 2, IF(bbgm_stat &gt;= perc_85, converted_stat * 1.5, converted_stat)))))</f>
        <v/>
      </c>
      <c r="P290" s="30" t="str">
        <f t="array" ref="P290">IF($A290="", "", LET(bbgm_stat, INDEX(Players!$A289:$P289, MATCH(P$2, Players!$A$1:$P$1, 0)), perc_75, VLOOKUP(P$2, Percentiles!$A$45:$I$59, 6, FALSE), perc_90, VLOOKUP(P$2, Percentiles!$A$45:$I$59, 7, FALSE), perc_95, VLOOKUP(P$2, Percentiles!$A$45:$I$59, 8, FALSE), perc_85, perc_75 + (perc_90 - perc_75) * (2/3), converted_stat, '2K_Ratings'!P290, IF(bbgm_stat &gt;= perc_95, converted_stat * 3, IF(bbgm_stat &gt;= perc_90, converted_stat * 2, IF(bbgm_stat &gt;= perc_85, converted_stat * 1.5, converted_stat)))))</f>
        <v/>
      </c>
      <c r="Q290" s="30" t="str">
        <f t="array" ref="Q290">IF($A290="", "", LET(bbgm_stat, INDEX(Players!$A289:$P289, MATCH(Q$2, Players!$A$1:$P$1, 0)), perc_75, VLOOKUP(Q$2, Percentiles!$A$45:$I$59, 6, FALSE), perc_90, VLOOKUP(Q$2, Percentiles!$A$45:$I$59, 7, FALSE), perc_95, VLOOKUP(Q$2, Percentiles!$A$45:$I$59, 8, FALSE), perc_85, perc_75 + (perc_90 - perc_75) * (2/3), converted_stat, '2K_Ratings'!Q290, IF(bbgm_stat &gt;= perc_95, converted_stat * 3, IF(bbgm_stat &gt;= perc_90, converted_stat * 2, IF(bbgm_stat &gt;= perc_85, converted_stat * 1.5, converted_stat)))))</f>
        <v/>
      </c>
      <c r="R290" s="30" t="str">
        <f t="array" ref="R290">IF($A290="", "", LET(bbgm_stat, INDEX(Players!$A289:$P289, MATCH(R$2, Players!$A$1:$P$1, 0)), perc_75, VLOOKUP(R$2, Percentiles!$A$45:$I$59, 6, FALSE), perc_90, VLOOKUP(R$2, Percentiles!$A$45:$I$59, 7, FALSE), perc_95, VLOOKUP(R$2, Percentiles!$A$45:$I$59, 8, FALSE), perc_85, perc_75 + (perc_90 - perc_75) * (2/3), converted_stat, '2K_Ratings'!R290, IF(bbgm_stat &gt;= perc_95, converted_stat * 3, IF(bbgm_stat &gt;= perc_90, converted_stat * 2, IF(bbgm_stat &gt;= perc_85, converted_stat * 1.5, converted_stat)))))</f>
        <v/>
      </c>
      <c r="S290" s="30" t="str">
        <f t="array" ref="S290">IF($A290="", "", LET(bbgm_stat, INDEX(Players!$A289:$P289, MATCH(S$2, Players!$A$1:$P$1, 0)), perc_75, VLOOKUP(S$2, Percentiles!$A$45:$I$59, 6, FALSE), perc_90, VLOOKUP(S$2, Percentiles!$A$45:$I$59, 7, FALSE), perc_95, VLOOKUP(S$2, Percentiles!$A$45:$I$59, 8, FALSE), perc_85, perc_75 + (perc_90 - perc_75) * (2/3), converted_stat, '2K_Ratings'!S290, IF(bbgm_stat &gt;= perc_95, converted_stat * 3, IF(bbgm_stat &gt;= perc_90, converted_stat * 2, IF(bbgm_stat &gt;= perc_85, converted_stat * 1.5, converted_stat)))))</f>
        <v/>
      </c>
      <c r="T290" s="30" t="str">
        <f t="array" ref="T290">IF($A290="", "", LET(bbgm_stat, INDEX(Players!$A289:$P289, MATCH(T$2, Players!$A$1:$P$1, 0)), perc_75, VLOOKUP(T$2, Percentiles!$A$45:$I$59, 6, FALSE), perc_90, VLOOKUP(T$2, Percentiles!$A$45:$I$59, 7, FALSE), perc_95, VLOOKUP(T$2, Percentiles!$A$45:$I$59, 8, FALSE), perc_85, perc_75 + (perc_90 - perc_75) * (2/3), converted_stat, '2K_Ratings'!T290, IF(bbgm_stat &gt;= perc_95, converted_stat * 3, IF(bbgm_stat &gt;= perc_90, converted_stat * 2, IF(bbgm_stat &gt;= perc_85, converted_stat * 1.5, converted_stat)))))</f>
        <v/>
      </c>
      <c r="U290" s="30" t="str">
        <f t="array" ref="U290">IF($A290="", "", LET(bbgm_stat, INDEX(Players!$A289:$P289, MATCH(U$2, Players!$A$1:$P$1, 0)), perc_75, VLOOKUP(U$2, Percentiles!$A$45:$I$59, 6, FALSE), perc_90, VLOOKUP(U$2, Percentiles!$A$45:$I$59, 7, FALSE), perc_95, VLOOKUP(U$2, Percentiles!$A$45:$I$59, 8, FALSE), perc_85, perc_75 + (perc_90 - perc_75) * (2/3), converted_stat, '2K_Ratings'!U290, IF(bbgm_stat &gt;= perc_95, converted_stat * 3, IF(bbgm_stat &gt;= perc_90, converted_stat * 2, IF(bbgm_stat &gt;= perc_85, converted_stat * 1.5, converted_stat)))))</f>
        <v/>
      </c>
      <c r="V290" s="30" t="str">
        <f t="array" ref="V290">IF($A290="", "", LET(bbgm_stat, INDEX(Players!$A289:$P289, MATCH(V$2, Players!$A$1:$P$1, 0)), perc_75, VLOOKUP(V$2, Percentiles!$A$45:$I$59, 6, FALSE), perc_90, VLOOKUP(V$2, Percentiles!$A$45:$I$59, 7, FALSE), perc_95, VLOOKUP(V$2, Percentiles!$A$45:$I$59, 8, FALSE), perc_85, perc_75 + (perc_90 - perc_75) * (2/3), converted_stat, '2K_Ratings'!V290, IF(bbgm_stat &gt;= perc_95, converted_stat * 3, IF(bbgm_stat &gt;= perc_90, converted_stat * 2, IF(bbgm_stat &gt;= perc_85, converted_stat * 1.5, converted_stat)))))</f>
        <v/>
      </c>
      <c r="W290" s="30" t="str">
        <f t="array" ref="W290">IF($A290="", "", LET(bbgm_stat, INDEX(Players!$A289:$P289, MATCH(W$2, Players!$A$1:$P$1, 0)), perc_75, VLOOKUP(W$2, Percentiles!$A$45:$I$59, 6, FALSE), perc_90, VLOOKUP(W$2, Percentiles!$A$45:$I$59, 7, FALSE), perc_95, VLOOKUP(W$2, Percentiles!$A$45:$I$59, 8, FALSE), perc_85, perc_75 + (perc_90 - perc_75) * (2/3), converted_stat, '2K_Ratings'!W290, IF(bbgm_stat &gt;= perc_95, converted_stat * 3, IF(bbgm_stat &gt;= perc_90, converted_stat * 2, IF(bbgm_stat &gt;= perc_85, converted_stat * 1.5, converted_stat)))))</f>
        <v/>
      </c>
    </row>
    <row r="291">
      <c r="A291" s="30"/>
      <c r="B291" s="30" t="str">
        <f t="array" ref="B291">IF($A291="", "", LET(bbgm_stat, INDEX(Players!$A290:$P290, MATCH(B$2, Players!$A$1:$P$1, 0)), perc_75, VLOOKUP(B$2, Percentiles!$A$45:$I$59, 6, FALSE), perc_90, VLOOKUP(B$2, Percentiles!$A$45:$I$59, 7, FALSE), perc_95, VLOOKUP(B$2, Percentiles!$A$45:$I$59, 8, FALSE), perc_85, perc_75 + (perc_90 - perc_75) * (2/3), converted_stat, '2K_Ratings'!B291, IF(bbgm_stat &gt;= perc_95, converted_stat * 3, IF(bbgm_stat &gt;= perc_90, converted_stat * 2, IF(bbgm_stat &gt;= perc_85, converted_stat * 1.5, converted_stat)))))</f>
        <v/>
      </c>
      <c r="C291" s="30" t="str">
        <f t="array" ref="C291">IF($A291="", "", LET(bbgm_stat, INDEX(Players!$A290:$P290, MATCH(C$2, Players!$A$1:$P$1, 0)), perc_75, VLOOKUP(C$2, Percentiles!$A$45:$I$59, 6, FALSE), perc_90, VLOOKUP(C$2, Percentiles!$A$45:$I$59, 7, FALSE), perc_95, VLOOKUP(C$2, Percentiles!$A$45:$I$59, 8, FALSE), perc_85, perc_75 + (perc_90 - perc_75) * (2/3), converted_stat, '2K_Ratings'!C291, IF(bbgm_stat &gt;= perc_95, converted_stat * 3, IF(bbgm_stat &gt;= perc_90, converted_stat * 2, IF(bbgm_stat &gt;= perc_85, converted_stat * 1.5, converted_stat)))))</f>
        <v/>
      </c>
      <c r="D291" s="30" t="str">
        <f t="array" ref="D291">IF($A291="", "", LET(bbgm_stat, INDEX(Players!$A290:$P290, MATCH(D$2, Players!$A$1:$P$1, 0)), perc_75, VLOOKUP(D$2, Percentiles!$A$45:$I$59, 6, FALSE), perc_90, VLOOKUP(D$2, Percentiles!$A$45:$I$59, 7, FALSE), perc_95, VLOOKUP(D$2, Percentiles!$A$45:$I$59, 8, FALSE), perc_85, perc_75 + (perc_90 - perc_75) * (2/3), converted_stat, '2K_Ratings'!D291, IF(bbgm_stat &gt;= perc_95, converted_stat * 3, IF(bbgm_stat &gt;= perc_90, converted_stat * 2, IF(bbgm_stat &gt;= perc_85, converted_stat * 1.5, converted_stat)))))</f>
        <v/>
      </c>
      <c r="E291" s="30" t="str">
        <f t="array" ref="E291">IF($A291="", "", LET(bbgm_stat, INDEX(Players!$A290:$P290, MATCH(E$2, Players!$A$1:$P$1, 0)), perc_75, VLOOKUP(E$2, Percentiles!$A$45:$I$59, 6, FALSE), perc_90, VLOOKUP(E$2, Percentiles!$A$45:$I$59, 7, FALSE), perc_95, VLOOKUP(E$2, Percentiles!$A$45:$I$59, 8, FALSE), perc_85, perc_75 + (perc_90 - perc_75) * (2/3), converted_stat, '2K_Ratings'!E291, IF(bbgm_stat &gt;= perc_95, converted_stat * 3, IF(bbgm_stat &gt;= perc_90, converted_stat * 2, IF(bbgm_stat &gt;= perc_85, converted_stat * 1.5, converted_stat)))))</f>
        <v/>
      </c>
      <c r="F291" s="30" t="str">
        <f t="array" ref="F291">IF($A291="", "", LET(bbgm_stat, INDEX(Players!$A290:$P290, MATCH(F$2, Players!$A$1:$P$1, 0)), perc_75, VLOOKUP(F$2, Percentiles!$A$45:$I$59, 6, FALSE), perc_90, VLOOKUP(F$2, Percentiles!$A$45:$I$59, 7, FALSE), perc_95, VLOOKUP(F$2, Percentiles!$A$45:$I$59, 8, FALSE), perc_85, perc_75 + (perc_90 - perc_75) * (2/3), converted_stat, '2K_Ratings'!F291, IF(bbgm_stat &gt;= perc_95, converted_stat * 3, IF(bbgm_stat &gt;= perc_90, converted_stat * 2, IF(bbgm_stat &gt;= perc_85, converted_stat * 1.5, converted_stat)))))</f>
        <v/>
      </c>
      <c r="G291" s="30" t="str">
        <f t="array" ref="G291">IF($A291="", "", LET(bbgm_stat, INDEX(Players!$A290:$P290, MATCH(G$2, Players!$A$1:$P$1, 0)), perc_75, VLOOKUP(G$2, Percentiles!$A$45:$I$59, 6, FALSE), perc_90, VLOOKUP(G$2, Percentiles!$A$45:$I$59, 7, FALSE), perc_95, VLOOKUP(G$2, Percentiles!$A$45:$I$59, 8, FALSE), perc_85, perc_75 + (perc_90 - perc_75) * (2/3), converted_stat, '2K_Ratings'!G291, IF(bbgm_stat &gt;= perc_95, converted_stat * 3, IF(bbgm_stat &gt;= perc_90, converted_stat * 2, IF(bbgm_stat &gt;= perc_85, converted_stat * 1.5, converted_stat)))))</f>
        <v/>
      </c>
      <c r="H291" s="30" t="str">
        <f t="array" ref="H291">IF($A291="", "", LET(bbgm_stat, INDEX(Players!$A290:$P290, MATCH(H$2, Players!$A$1:$P$1, 0)), perc_75, VLOOKUP(H$2, Percentiles!$A$45:$I$59, 6, FALSE), perc_90, VLOOKUP(H$2, Percentiles!$A$45:$I$59, 7, FALSE), perc_95, VLOOKUP(H$2, Percentiles!$A$45:$I$59, 8, FALSE), perc_85, perc_75 + (perc_90 - perc_75) * (2/3), converted_stat, '2K_Ratings'!H291, IF(bbgm_stat &gt;= perc_95, converted_stat * 3, IF(bbgm_stat &gt;= perc_90, converted_stat * 2, IF(bbgm_stat &gt;= perc_85, converted_stat * 1.5, converted_stat)))))</f>
        <v/>
      </c>
      <c r="I291" s="30" t="str">
        <f t="array" ref="I291">IF($A291="", "", LET(bbgm_stat, INDEX(Players!$A290:$P290, MATCH(I$2, Players!$A$1:$P$1, 0)), perc_75, VLOOKUP(I$2, Percentiles!$A$45:$I$59, 6, FALSE), perc_90, VLOOKUP(I$2, Percentiles!$A$45:$I$59, 7, FALSE), perc_95, VLOOKUP(I$2, Percentiles!$A$45:$I$59, 8, FALSE), perc_85, perc_75 + (perc_90 - perc_75) * (2/3), converted_stat, '2K_Ratings'!I291, IF(bbgm_stat &gt;= perc_95, converted_stat * 3, IF(bbgm_stat &gt;= perc_90, converted_stat * 2, IF(bbgm_stat &gt;= perc_85, converted_stat * 1.5, converted_stat)))))</f>
        <v/>
      </c>
      <c r="J291" s="30" t="str">
        <f t="array" ref="J291">IF($A291="", "", LET(bbgm_stat, INDEX(Players!$A290:$P290, MATCH(J$2, Players!$A$1:$P$1, 0)), perc_75, VLOOKUP(J$2, Percentiles!$A$45:$I$59, 6, FALSE), perc_90, VLOOKUP(J$2, Percentiles!$A$45:$I$59, 7, FALSE), perc_95, VLOOKUP(J$2, Percentiles!$A$45:$I$59, 8, FALSE), perc_85, perc_75 + (perc_90 - perc_75) * (2/3), converted_stat, '2K_Ratings'!J291, IF(bbgm_stat &gt;= perc_95, converted_stat * 3, IF(bbgm_stat &gt;= perc_90, converted_stat * 2, IF(bbgm_stat &gt;= perc_85, converted_stat * 1.5, converted_stat)))))</f>
        <v/>
      </c>
      <c r="K291" s="30" t="str">
        <f t="array" ref="K291">IF($A291="", "", LET(bbgm_stat, INDEX(Players!$A290:$P290, MATCH(K$2, Players!$A$1:$P$1, 0)), perc_75, VLOOKUP(K$2, Percentiles!$A$45:$I$59, 6, FALSE), perc_90, VLOOKUP(K$2, Percentiles!$A$45:$I$59, 7, FALSE), perc_95, VLOOKUP(K$2, Percentiles!$A$45:$I$59, 8, FALSE), perc_85, perc_75 + (perc_90 - perc_75) * (2/3), converted_stat, '2K_Ratings'!K291, IF(bbgm_stat &gt;= perc_95, converted_stat * 3, IF(bbgm_stat &gt;= perc_90, converted_stat * 2, IF(bbgm_stat &gt;= perc_85, converted_stat * 1.5, converted_stat)))))</f>
        <v/>
      </c>
      <c r="L291" s="30" t="str">
        <f t="array" ref="L291">IF($A291="", "", LET(bbgm_stat, INDEX(Players!$A290:$P290, MATCH(L$2, Players!$A$1:$P$1, 0)), perc_75, VLOOKUP(L$2, Percentiles!$A$45:$I$59, 6, FALSE), perc_90, VLOOKUP(L$2, Percentiles!$A$45:$I$59, 7, FALSE), perc_95, VLOOKUP(L$2, Percentiles!$A$45:$I$59, 8, FALSE), perc_85, perc_75 + (perc_90 - perc_75) * (2/3), converted_stat, '2K_Ratings'!L291, IF(bbgm_stat &gt;= perc_95, converted_stat * 3, IF(bbgm_stat &gt;= perc_90, converted_stat * 2, IF(bbgm_stat &gt;= perc_85, converted_stat * 1.5, converted_stat)))))</f>
        <v/>
      </c>
      <c r="M291" s="30" t="str">
        <f t="array" ref="M291">IF($A291="", "", LET(bbgm_stat, INDEX(Players!$A290:$P290, MATCH(M$2, Players!$A$1:$P$1, 0)), perc_75, VLOOKUP(M$2, Percentiles!$A$45:$I$59, 6, FALSE), perc_90, VLOOKUP(M$2, Percentiles!$A$45:$I$59, 7, FALSE), perc_95, VLOOKUP(M$2, Percentiles!$A$45:$I$59, 8, FALSE), perc_85, perc_75 + (perc_90 - perc_75) * (2/3), converted_stat, '2K_Ratings'!M291, IF(bbgm_stat &gt;= perc_95, converted_stat * 3, IF(bbgm_stat &gt;= perc_90, converted_stat * 2, IF(bbgm_stat &gt;= perc_85, converted_stat * 1.5, converted_stat)))))</f>
        <v/>
      </c>
      <c r="N291" s="30" t="str">
        <f t="array" ref="N291">IF($A291="", "", LET(bbgm_stat, INDEX(Players!$A290:$P290, MATCH(N$2, Players!$A$1:$P$1, 0)), perc_75, VLOOKUP(N$2, Percentiles!$A$45:$I$59, 6, FALSE), perc_90, VLOOKUP(N$2, Percentiles!$A$45:$I$59, 7, FALSE), perc_95, VLOOKUP(N$2, Percentiles!$A$45:$I$59, 8, FALSE), perc_85, perc_75 + (perc_90 - perc_75) * (2/3), converted_stat, '2K_Ratings'!N291, IF(bbgm_stat &gt;= perc_95, converted_stat * 3, IF(bbgm_stat &gt;= perc_90, converted_stat * 2, IF(bbgm_stat &gt;= perc_85, converted_stat * 1.5, converted_stat)))))</f>
        <v/>
      </c>
      <c r="O291" s="30" t="str">
        <f t="array" ref="O291">IF($A291="", "", LET(bbgm_stat, INDEX(Players!$A290:$P290, MATCH(O$2, Players!$A$1:$P$1, 0)), perc_75, VLOOKUP(O$2, Percentiles!$A$45:$I$59, 6, FALSE), perc_90, VLOOKUP(O$2, Percentiles!$A$45:$I$59, 7, FALSE), perc_95, VLOOKUP(O$2, Percentiles!$A$45:$I$59, 8, FALSE), perc_85, perc_75 + (perc_90 - perc_75) * (2/3), converted_stat, '2K_Ratings'!O291, IF(bbgm_stat &gt;= perc_95, converted_stat * 3, IF(bbgm_stat &gt;= perc_90, converted_stat * 2, IF(bbgm_stat &gt;= perc_85, converted_stat * 1.5, converted_stat)))))</f>
        <v/>
      </c>
      <c r="P291" s="30" t="str">
        <f t="array" ref="P291">IF($A291="", "", LET(bbgm_stat, INDEX(Players!$A290:$P290, MATCH(P$2, Players!$A$1:$P$1, 0)), perc_75, VLOOKUP(P$2, Percentiles!$A$45:$I$59, 6, FALSE), perc_90, VLOOKUP(P$2, Percentiles!$A$45:$I$59, 7, FALSE), perc_95, VLOOKUP(P$2, Percentiles!$A$45:$I$59, 8, FALSE), perc_85, perc_75 + (perc_90 - perc_75) * (2/3), converted_stat, '2K_Ratings'!P291, IF(bbgm_stat &gt;= perc_95, converted_stat * 3, IF(bbgm_stat &gt;= perc_90, converted_stat * 2, IF(bbgm_stat &gt;= perc_85, converted_stat * 1.5, converted_stat)))))</f>
        <v/>
      </c>
      <c r="Q291" s="30" t="str">
        <f t="array" ref="Q291">IF($A291="", "", LET(bbgm_stat, INDEX(Players!$A290:$P290, MATCH(Q$2, Players!$A$1:$P$1, 0)), perc_75, VLOOKUP(Q$2, Percentiles!$A$45:$I$59, 6, FALSE), perc_90, VLOOKUP(Q$2, Percentiles!$A$45:$I$59, 7, FALSE), perc_95, VLOOKUP(Q$2, Percentiles!$A$45:$I$59, 8, FALSE), perc_85, perc_75 + (perc_90 - perc_75) * (2/3), converted_stat, '2K_Ratings'!Q291, IF(bbgm_stat &gt;= perc_95, converted_stat * 3, IF(bbgm_stat &gt;= perc_90, converted_stat * 2, IF(bbgm_stat &gt;= perc_85, converted_stat * 1.5, converted_stat)))))</f>
        <v/>
      </c>
      <c r="R291" s="30" t="str">
        <f t="array" ref="R291">IF($A291="", "", LET(bbgm_stat, INDEX(Players!$A290:$P290, MATCH(R$2, Players!$A$1:$P$1, 0)), perc_75, VLOOKUP(R$2, Percentiles!$A$45:$I$59, 6, FALSE), perc_90, VLOOKUP(R$2, Percentiles!$A$45:$I$59, 7, FALSE), perc_95, VLOOKUP(R$2, Percentiles!$A$45:$I$59, 8, FALSE), perc_85, perc_75 + (perc_90 - perc_75) * (2/3), converted_stat, '2K_Ratings'!R291, IF(bbgm_stat &gt;= perc_95, converted_stat * 3, IF(bbgm_stat &gt;= perc_90, converted_stat * 2, IF(bbgm_stat &gt;= perc_85, converted_stat * 1.5, converted_stat)))))</f>
        <v/>
      </c>
      <c r="S291" s="30" t="str">
        <f t="array" ref="S291">IF($A291="", "", LET(bbgm_stat, INDEX(Players!$A290:$P290, MATCH(S$2, Players!$A$1:$P$1, 0)), perc_75, VLOOKUP(S$2, Percentiles!$A$45:$I$59, 6, FALSE), perc_90, VLOOKUP(S$2, Percentiles!$A$45:$I$59, 7, FALSE), perc_95, VLOOKUP(S$2, Percentiles!$A$45:$I$59, 8, FALSE), perc_85, perc_75 + (perc_90 - perc_75) * (2/3), converted_stat, '2K_Ratings'!S291, IF(bbgm_stat &gt;= perc_95, converted_stat * 3, IF(bbgm_stat &gt;= perc_90, converted_stat * 2, IF(bbgm_stat &gt;= perc_85, converted_stat * 1.5, converted_stat)))))</f>
        <v/>
      </c>
      <c r="T291" s="30" t="str">
        <f t="array" ref="T291">IF($A291="", "", LET(bbgm_stat, INDEX(Players!$A290:$P290, MATCH(T$2, Players!$A$1:$P$1, 0)), perc_75, VLOOKUP(T$2, Percentiles!$A$45:$I$59, 6, FALSE), perc_90, VLOOKUP(T$2, Percentiles!$A$45:$I$59, 7, FALSE), perc_95, VLOOKUP(T$2, Percentiles!$A$45:$I$59, 8, FALSE), perc_85, perc_75 + (perc_90 - perc_75) * (2/3), converted_stat, '2K_Ratings'!T291, IF(bbgm_stat &gt;= perc_95, converted_stat * 3, IF(bbgm_stat &gt;= perc_90, converted_stat * 2, IF(bbgm_stat &gt;= perc_85, converted_stat * 1.5, converted_stat)))))</f>
        <v/>
      </c>
      <c r="U291" s="30" t="str">
        <f t="array" ref="U291">IF($A291="", "", LET(bbgm_stat, INDEX(Players!$A290:$P290, MATCH(U$2, Players!$A$1:$P$1, 0)), perc_75, VLOOKUP(U$2, Percentiles!$A$45:$I$59, 6, FALSE), perc_90, VLOOKUP(U$2, Percentiles!$A$45:$I$59, 7, FALSE), perc_95, VLOOKUP(U$2, Percentiles!$A$45:$I$59, 8, FALSE), perc_85, perc_75 + (perc_90 - perc_75) * (2/3), converted_stat, '2K_Ratings'!U291, IF(bbgm_stat &gt;= perc_95, converted_stat * 3, IF(bbgm_stat &gt;= perc_90, converted_stat * 2, IF(bbgm_stat &gt;= perc_85, converted_stat * 1.5, converted_stat)))))</f>
        <v/>
      </c>
      <c r="V291" s="30" t="str">
        <f t="array" ref="V291">IF($A291="", "", LET(bbgm_stat, INDEX(Players!$A290:$P290, MATCH(V$2, Players!$A$1:$P$1, 0)), perc_75, VLOOKUP(V$2, Percentiles!$A$45:$I$59, 6, FALSE), perc_90, VLOOKUP(V$2, Percentiles!$A$45:$I$59, 7, FALSE), perc_95, VLOOKUP(V$2, Percentiles!$A$45:$I$59, 8, FALSE), perc_85, perc_75 + (perc_90 - perc_75) * (2/3), converted_stat, '2K_Ratings'!V291, IF(bbgm_stat &gt;= perc_95, converted_stat * 3, IF(bbgm_stat &gt;= perc_90, converted_stat * 2, IF(bbgm_stat &gt;= perc_85, converted_stat * 1.5, converted_stat)))))</f>
        <v/>
      </c>
      <c r="W291" s="30" t="str">
        <f t="array" ref="W291">IF($A291="", "", LET(bbgm_stat, INDEX(Players!$A290:$P290, MATCH(W$2, Players!$A$1:$P$1, 0)), perc_75, VLOOKUP(W$2, Percentiles!$A$45:$I$59, 6, FALSE), perc_90, VLOOKUP(W$2, Percentiles!$A$45:$I$59, 7, FALSE), perc_95, VLOOKUP(W$2, Percentiles!$A$45:$I$59, 8, FALSE), perc_85, perc_75 + (perc_90 - perc_75) * (2/3), converted_stat, '2K_Ratings'!W291, IF(bbgm_stat &gt;= perc_95, converted_stat * 3, IF(bbgm_stat &gt;= perc_90, converted_stat * 2, IF(bbgm_stat &gt;= perc_85, converted_stat * 1.5, converted_stat)))))</f>
        <v/>
      </c>
    </row>
    <row r="292">
      <c r="A292" s="30"/>
      <c r="B292" s="30" t="str">
        <f t="array" ref="B292">IF($A292="", "", LET(bbgm_stat, INDEX(Players!$A291:$P291, MATCH(B$2, Players!$A$1:$P$1, 0)), perc_75, VLOOKUP(B$2, Percentiles!$A$45:$I$59, 6, FALSE), perc_90, VLOOKUP(B$2, Percentiles!$A$45:$I$59, 7, FALSE), perc_95, VLOOKUP(B$2, Percentiles!$A$45:$I$59, 8, FALSE), perc_85, perc_75 + (perc_90 - perc_75) * (2/3), converted_stat, '2K_Ratings'!B292, IF(bbgm_stat &gt;= perc_95, converted_stat * 3, IF(bbgm_stat &gt;= perc_90, converted_stat * 2, IF(bbgm_stat &gt;= perc_85, converted_stat * 1.5, converted_stat)))))</f>
        <v/>
      </c>
      <c r="C292" s="30" t="str">
        <f t="array" ref="C292">IF($A292="", "", LET(bbgm_stat, INDEX(Players!$A291:$P291, MATCH(C$2, Players!$A$1:$P$1, 0)), perc_75, VLOOKUP(C$2, Percentiles!$A$45:$I$59, 6, FALSE), perc_90, VLOOKUP(C$2, Percentiles!$A$45:$I$59, 7, FALSE), perc_95, VLOOKUP(C$2, Percentiles!$A$45:$I$59, 8, FALSE), perc_85, perc_75 + (perc_90 - perc_75) * (2/3), converted_stat, '2K_Ratings'!C292, IF(bbgm_stat &gt;= perc_95, converted_stat * 3, IF(bbgm_stat &gt;= perc_90, converted_stat * 2, IF(bbgm_stat &gt;= perc_85, converted_stat * 1.5, converted_stat)))))</f>
        <v/>
      </c>
      <c r="D292" s="30" t="str">
        <f t="array" ref="D292">IF($A292="", "", LET(bbgm_stat, INDEX(Players!$A291:$P291, MATCH(D$2, Players!$A$1:$P$1, 0)), perc_75, VLOOKUP(D$2, Percentiles!$A$45:$I$59, 6, FALSE), perc_90, VLOOKUP(D$2, Percentiles!$A$45:$I$59, 7, FALSE), perc_95, VLOOKUP(D$2, Percentiles!$A$45:$I$59, 8, FALSE), perc_85, perc_75 + (perc_90 - perc_75) * (2/3), converted_stat, '2K_Ratings'!D292, IF(bbgm_stat &gt;= perc_95, converted_stat * 3, IF(bbgm_stat &gt;= perc_90, converted_stat * 2, IF(bbgm_stat &gt;= perc_85, converted_stat * 1.5, converted_stat)))))</f>
        <v/>
      </c>
      <c r="E292" s="30" t="str">
        <f t="array" ref="E292">IF($A292="", "", LET(bbgm_stat, INDEX(Players!$A291:$P291, MATCH(E$2, Players!$A$1:$P$1, 0)), perc_75, VLOOKUP(E$2, Percentiles!$A$45:$I$59, 6, FALSE), perc_90, VLOOKUP(E$2, Percentiles!$A$45:$I$59, 7, FALSE), perc_95, VLOOKUP(E$2, Percentiles!$A$45:$I$59, 8, FALSE), perc_85, perc_75 + (perc_90 - perc_75) * (2/3), converted_stat, '2K_Ratings'!E292, IF(bbgm_stat &gt;= perc_95, converted_stat * 3, IF(bbgm_stat &gt;= perc_90, converted_stat * 2, IF(bbgm_stat &gt;= perc_85, converted_stat * 1.5, converted_stat)))))</f>
        <v/>
      </c>
      <c r="F292" s="30" t="str">
        <f t="array" ref="F292">IF($A292="", "", LET(bbgm_stat, INDEX(Players!$A291:$P291, MATCH(F$2, Players!$A$1:$P$1, 0)), perc_75, VLOOKUP(F$2, Percentiles!$A$45:$I$59, 6, FALSE), perc_90, VLOOKUP(F$2, Percentiles!$A$45:$I$59, 7, FALSE), perc_95, VLOOKUP(F$2, Percentiles!$A$45:$I$59, 8, FALSE), perc_85, perc_75 + (perc_90 - perc_75) * (2/3), converted_stat, '2K_Ratings'!F292, IF(bbgm_stat &gt;= perc_95, converted_stat * 3, IF(bbgm_stat &gt;= perc_90, converted_stat * 2, IF(bbgm_stat &gt;= perc_85, converted_stat * 1.5, converted_stat)))))</f>
        <v/>
      </c>
      <c r="G292" s="30" t="str">
        <f t="array" ref="G292">IF($A292="", "", LET(bbgm_stat, INDEX(Players!$A291:$P291, MATCH(G$2, Players!$A$1:$P$1, 0)), perc_75, VLOOKUP(G$2, Percentiles!$A$45:$I$59, 6, FALSE), perc_90, VLOOKUP(G$2, Percentiles!$A$45:$I$59, 7, FALSE), perc_95, VLOOKUP(G$2, Percentiles!$A$45:$I$59, 8, FALSE), perc_85, perc_75 + (perc_90 - perc_75) * (2/3), converted_stat, '2K_Ratings'!G292, IF(bbgm_stat &gt;= perc_95, converted_stat * 3, IF(bbgm_stat &gt;= perc_90, converted_stat * 2, IF(bbgm_stat &gt;= perc_85, converted_stat * 1.5, converted_stat)))))</f>
        <v/>
      </c>
      <c r="H292" s="30" t="str">
        <f t="array" ref="H292">IF($A292="", "", LET(bbgm_stat, INDEX(Players!$A291:$P291, MATCH(H$2, Players!$A$1:$P$1, 0)), perc_75, VLOOKUP(H$2, Percentiles!$A$45:$I$59, 6, FALSE), perc_90, VLOOKUP(H$2, Percentiles!$A$45:$I$59, 7, FALSE), perc_95, VLOOKUP(H$2, Percentiles!$A$45:$I$59, 8, FALSE), perc_85, perc_75 + (perc_90 - perc_75) * (2/3), converted_stat, '2K_Ratings'!H292, IF(bbgm_stat &gt;= perc_95, converted_stat * 3, IF(bbgm_stat &gt;= perc_90, converted_stat * 2, IF(bbgm_stat &gt;= perc_85, converted_stat * 1.5, converted_stat)))))</f>
        <v/>
      </c>
      <c r="I292" s="30" t="str">
        <f t="array" ref="I292">IF($A292="", "", LET(bbgm_stat, INDEX(Players!$A291:$P291, MATCH(I$2, Players!$A$1:$P$1, 0)), perc_75, VLOOKUP(I$2, Percentiles!$A$45:$I$59, 6, FALSE), perc_90, VLOOKUP(I$2, Percentiles!$A$45:$I$59, 7, FALSE), perc_95, VLOOKUP(I$2, Percentiles!$A$45:$I$59, 8, FALSE), perc_85, perc_75 + (perc_90 - perc_75) * (2/3), converted_stat, '2K_Ratings'!I292, IF(bbgm_stat &gt;= perc_95, converted_stat * 3, IF(bbgm_stat &gt;= perc_90, converted_stat * 2, IF(bbgm_stat &gt;= perc_85, converted_stat * 1.5, converted_stat)))))</f>
        <v/>
      </c>
      <c r="J292" s="30" t="str">
        <f t="array" ref="J292">IF($A292="", "", LET(bbgm_stat, INDEX(Players!$A291:$P291, MATCH(J$2, Players!$A$1:$P$1, 0)), perc_75, VLOOKUP(J$2, Percentiles!$A$45:$I$59, 6, FALSE), perc_90, VLOOKUP(J$2, Percentiles!$A$45:$I$59, 7, FALSE), perc_95, VLOOKUP(J$2, Percentiles!$A$45:$I$59, 8, FALSE), perc_85, perc_75 + (perc_90 - perc_75) * (2/3), converted_stat, '2K_Ratings'!J292, IF(bbgm_stat &gt;= perc_95, converted_stat * 3, IF(bbgm_stat &gt;= perc_90, converted_stat * 2, IF(bbgm_stat &gt;= perc_85, converted_stat * 1.5, converted_stat)))))</f>
        <v/>
      </c>
      <c r="K292" s="30" t="str">
        <f t="array" ref="K292">IF($A292="", "", LET(bbgm_stat, INDEX(Players!$A291:$P291, MATCH(K$2, Players!$A$1:$P$1, 0)), perc_75, VLOOKUP(K$2, Percentiles!$A$45:$I$59, 6, FALSE), perc_90, VLOOKUP(K$2, Percentiles!$A$45:$I$59, 7, FALSE), perc_95, VLOOKUP(K$2, Percentiles!$A$45:$I$59, 8, FALSE), perc_85, perc_75 + (perc_90 - perc_75) * (2/3), converted_stat, '2K_Ratings'!K292, IF(bbgm_stat &gt;= perc_95, converted_stat * 3, IF(bbgm_stat &gt;= perc_90, converted_stat * 2, IF(bbgm_stat &gt;= perc_85, converted_stat * 1.5, converted_stat)))))</f>
        <v/>
      </c>
      <c r="L292" s="30" t="str">
        <f t="array" ref="L292">IF($A292="", "", LET(bbgm_stat, INDEX(Players!$A291:$P291, MATCH(L$2, Players!$A$1:$P$1, 0)), perc_75, VLOOKUP(L$2, Percentiles!$A$45:$I$59, 6, FALSE), perc_90, VLOOKUP(L$2, Percentiles!$A$45:$I$59, 7, FALSE), perc_95, VLOOKUP(L$2, Percentiles!$A$45:$I$59, 8, FALSE), perc_85, perc_75 + (perc_90 - perc_75) * (2/3), converted_stat, '2K_Ratings'!L292, IF(bbgm_stat &gt;= perc_95, converted_stat * 3, IF(bbgm_stat &gt;= perc_90, converted_stat * 2, IF(bbgm_stat &gt;= perc_85, converted_stat * 1.5, converted_stat)))))</f>
        <v/>
      </c>
      <c r="M292" s="30" t="str">
        <f t="array" ref="M292">IF($A292="", "", LET(bbgm_stat, INDEX(Players!$A291:$P291, MATCH(M$2, Players!$A$1:$P$1, 0)), perc_75, VLOOKUP(M$2, Percentiles!$A$45:$I$59, 6, FALSE), perc_90, VLOOKUP(M$2, Percentiles!$A$45:$I$59, 7, FALSE), perc_95, VLOOKUP(M$2, Percentiles!$A$45:$I$59, 8, FALSE), perc_85, perc_75 + (perc_90 - perc_75) * (2/3), converted_stat, '2K_Ratings'!M292, IF(bbgm_stat &gt;= perc_95, converted_stat * 3, IF(bbgm_stat &gt;= perc_90, converted_stat * 2, IF(bbgm_stat &gt;= perc_85, converted_stat * 1.5, converted_stat)))))</f>
        <v/>
      </c>
      <c r="N292" s="30" t="str">
        <f t="array" ref="N292">IF($A292="", "", LET(bbgm_stat, INDEX(Players!$A291:$P291, MATCH(N$2, Players!$A$1:$P$1, 0)), perc_75, VLOOKUP(N$2, Percentiles!$A$45:$I$59, 6, FALSE), perc_90, VLOOKUP(N$2, Percentiles!$A$45:$I$59, 7, FALSE), perc_95, VLOOKUP(N$2, Percentiles!$A$45:$I$59, 8, FALSE), perc_85, perc_75 + (perc_90 - perc_75) * (2/3), converted_stat, '2K_Ratings'!N292, IF(bbgm_stat &gt;= perc_95, converted_stat * 3, IF(bbgm_stat &gt;= perc_90, converted_stat * 2, IF(bbgm_stat &gt;= perc_85, converted_stat * 1.5, converted_stat)))))</f>
        <v/>
      </c>
      <c r="O292" s="30" t="str">
        <f t="array" ref="O292">IF($A292="", "", LET(bbgm_stat, INDEX(Players!$A291:$P291, MATCH(O$2, Players!$A$1:$P$1, 0)), perc_75, VLOOKUP(O$2, Percentiles!$A$45:$I$59, 6, FALSE), perc_90, VLOOKUP(O$2, Percentiles!$A$45:$I$59, 7, FALSE), perc_95, VLOOKUP(O$2, Percentiles!$A$45:$I$59, 8, FALSE), perc_85, perc_75 + (perc_90 - perc_75) * (2/3), converted_stat, '2K_Ratings'!O292, IF(bbgm_stat &gt;= perc_95, converted_stat * 3, IF(bbgm_stat &gt;= perc_90, converted_stat * 2, IF(bbgm_stat &gt;= perc_85, converted_stat * 1.5, converted_stat)))))</f>
        <v/>
      </c>
      <c r="P292" s="30" t="str">
        <f t="array" ref="P292">IF($A292="", "", LET(bbgm_stat, INDEX(Players!$A291:$P291, MATCH(P$2, Players!$A$1:$P$1, 0)), perc_75, VLOOKUP(P$2, Percentiles!$A$45:$I$59, 6, FALSE), perc_90, VLOOKUP(P$2, Percentiles!$A$45:$I$59, 7, FALSE), perc_95, VLOOKUP(P$2, Percentiles!$A$45:$I$59, 8, FALSE), perc_85, perc_75 + (perc_90 - perc_75) * (2/3), converted_stat, '2K_Ratings'!P292, IF(bbgm_stat &gt;= perc_95, converted_stat * 3, IF(bbgm_stat &gt;= perc_90, converted_stat * 2, IF(bbgm_stat &gt;= perc_85, converted_stat * 1.5, converted_stat)))))</f>
        <v/>
      </c>
      <c r="Q292" s="30" t="str">
        <f t="array" ref="Q292">IF($A292="", "", LET(bbgm_stat, INDEX(Players!$A291:$P291, MATCH(Q$2, Players!$A$1:$P$1, 0)), perc_75, VLOOKUP(Q$2, Percentiles!$A$45:$I$59, 6, FALSE), perc_90, VLOOKUP(Q$2, Percentiles!$A$45:$I$59, 7, FALSE), perc_95, VLOOKUP(Q$2, Percentiles!$A$45:$I$59, 8, FALSE), perc_85, perc_75 + (perc_90 - perc_75) * (2/3), converted_stat, '2K_Ratings'!Q292, IF(bbgm_stat &gt;= perc_95, converted_stat * 3, IF(bbgm_stat &gt;= perc_90, converted_stat * 2, IF(bbgm_stat &gt;= perc_85, converted_stat * 1.5, converted_stat)))))</f>
        <v/>
      </c>
      <c r="R292" s="30" t="str">
        <f t="array" ref="R292">IF($A292="", "", LET(bbgm_stat, INDEX(Players!$A291:$P291, MATCH(R$2, Players!$A$1:$P$1, 0)), perc_75, VLOOKUP(R$2, Percentiles!$A$45:$I$59, 6, FALSE), perc_90, VLOOKUP(R$2, Percentiles!$A$45:$I$59, 7, FALSE), perc_95, VLOOKUP(R$2, Percentiles!$A$45:$I$59, 8, FALSE), perc_85, perc_75 + (perc_90 - perc_75) * (2/3), converted_stat, '2K_Ratings'!R292, IF(bbgm_stat &gt;= perc_95, converted_stat * 3, IF(bbgm_stat &gt;= perc_90, converted_stat * 2, IF(bbgm_stat &gt;= perc_85, converted_stat * 1.5, converted_stat)))))</f>
        <v/>
      </c>
      <c r="S292" s="30" t="str">
        <f t="array" ref="S292">IF($A292="", "", LET(bbgm_stat, INDEX(Players!$A291:$P291, MATCH(S$2, Players!$A$1:$P$1, 0)), perc_75, VLOOKUP(S$2, Percentiles!$A$45:$I$59, 6, FALSE), perc_90, VLOOKUP(S$2, Percentiles!$A$45:$I$59, 7, FALSE), perc_95, VLOOKUP(S$2, Percentiles!$A$45:$I$59, 8, FALSE), perc_85, perc_75 + (perc_90 - perc_75) * (2/3), converted_stat, '2K_Ratings'!S292, IF(bbgm_stat &gt;= perc_95, converted_stat * 3, IF(bbgm_stat &gt;= perc_90, converted_stat * 2, IF(bbgm_stat &gt;= perc_85, converted_stat * 1.5, converted_stat)))))</f>
        <v/>
      </c>
      <c r="T292" s="30" t="str">
        <f t="array" ref="T292">IF($A292="", "", LET(bbgm_stat, INDEX(Players!$A291:$P291, MATCH(T$2, Players!$A$1:$P$1, 0)), perc_75, VLOOKUP(T$2, Percentiles!$A$45:$I$59, 6, FALSE), perc_90, VLOOKUP(T$2, Percentiles!$A$45:$I$59, 7, FALSE), perc_95, VLOOKUP(T$2, Percentiles!$A$45:$I$59, 8, FALSE), perc_85, perc_75 + (perc_90 - perc_75) * (2/3), converted_stat, '2K_Ratings'!T292, IF(bbgm_stat &gt;= perc_95, converted_stat * 3, IF(bbgm_stat &gt;= perc_90, converted_stat * 2, IF(bbgm_stat &gt;= perc_85, converted_stat * 1.5, converted_stat)))))</f>
        <v/>
      </c>
      <c r="U292" s="30" t="str">
        <f t="array" ref="U292">IF($A292="", "", LET(bbgm_stat, INDEX(Players!$A291:$P291, MATCH(U$2, Players!$A$1:$P$1, 0)), perc_75, VLOOKUP(U$2, Percentiles!$A$45:$I$59, 6, FALSE), perc_90, VLOOKUP(U$2, Percentiles!$A$45:$I$59, 7, FALSE), perc_95, VLOOKUP(U$2, Percentiles!$A$45:$I$59, 8, FALSE), perc_85, perc_75 + (perc_90 - perc_75) * (2/3), converted_stat, '2K_Ratings'!U292, IF(bbgm_stat &gt;= perc_95, converted_stat * 3, IF(bbgm_stat &gt;= perc_90, converted_stat * 2, IF(bbgm_stat &gt;= perc_85, converted_stat * 1.5, converted_stat)))))</f>
        <v/>
      </c>
      <c r="V292" s="30" t="str">
        <f t="array" ref="V292">IF($A292="", "", LET(bbgm_stat, INDEX(Players!$A291:$P291, MATCH(V$2, Players!$A$1:$P$1, 0)), perc_75, VLOOKUP(V$2, Percentiles!$A$45:$I$59, 6, FALSE), perc_90, VLOOKUP(V$2, Percentiles!$A$45:$I$59, 7, FALSE), perc_95, VLOOKUP(V$2, Percentiles!$A$45:$I$59, 8, FALSE), perc_85, perc_75 + (perc_90 - perc_75) * (2/3), converted_stat, '2K_Ratings'!V292, IF(bbgm_stat &gt;= perc_95, converted_stat * 3, IF(bbgm_stat &gt;= perc_90, converted_stat * 2, IF(bbgm_stat &gt;= perc_85, converted_stat * 1.5, converted_stat)))))</f>
        <v/>
      </c>
      <c r="W292" s="30" t="str">
        <f t="array" ref="W292">IF($A292="", "", LET(bbgm_stat, INDEX(Players!$A291:$P291, MATCH(W$2, Players!$A$1:$P$1, 0)), perc_75, VLOOKUP(W$2, Percentiles!$A$45:$I$59, 6, FALSE), perc_90, VLOOKUP(W$2, Percentiles!$A$45:$I$59, 7, FALSE), perc_95, VLOOKUP(W$2, Percentiles!$A$45:$I$59, 8, FALSE), perc_85, perc_75 + (perc_90 - perc_75) * (2/3), converted_stat, '2K_Ratings'!W292, IF(bbgm_stat &gt;= perc_95, converted_stat * 3, IF(bbgm_stat &gt;= perc_90, converted_stat * 2, IF(bbgm_stat &gt;= perc_85, converted_stat * 1.5, converted_stat)))))</f>
        <v/>
      </c>
    </row>
    <row r="293">
      <c r="A293" s="30"/>
      <c r="B293" s="30" t="str">
        <f t="array" ref="B293">IF($A293="", "", LET(bbgm_stat, INDEX(Players!$A292:$P292, MATCH(B$2, Players!$A$1:$P$1, 0)), perc_75, VLOOKUP(B$2, Percentiles!$A$45:$I$59, 6, FALSE), perc_90, VLOOKUP(B$2, Percentiles!$A$45:$I$59, 7, FALSE), perc_95, VLOOKUP(B$2, Percentiles!$A$45:$I$59, 8, FALSE), perc_85, perc_75 + (perc_90 - perc_75) * (2/3), converted_stat, '2K_Ratings'!B293, IF(bbgm_stat &gt;= perc_95, converted_stat * 3, IF(bbgm_stat &gt;= perc_90, converted_stat * 2, IF(bbgm_stat &gt;= perc_85, converted_stat * 1.5, converted_stat)))))</f>
        <v/>
      </c>
      <c r="C293" s="30" t="str">
        <f t="array" ref="C293">IF($A293="", "", LET(bbgm_stat, INDEX(Players!$A292:$P292, MATCH(C$2, Players!$A$1:$P$1, 0)), perc_75, VLOOKUP(C$2, Percentiles!$A$45:$I$59, 6, FALSE), perc_90, VLOOKUP(C$2, Percentiles!$A$45:$I$59, 7, FALSE), perc_95, VLOOKUP(C$2, Percentiles!$A$45:$I$59, 8, FALSE), perc_85, perc_75 + (perc_90 - perc_75) * (2/3), converted_stat, '2K_Ratings'!C293, IF(bbgm_stat &gt;= perc_95, converted_stat * 3, IF(bbgm_stat &gt;= perc_90, converted_stat * 2, IF(bbgm_stat &gt;= perc_85, converted_stat * 1.5, converted_stat)))))</f>
        <v/>
      </c>
      <c r="D293" s="30" t="str">
        <f t="array" ref="D293">IF($A293="", "", LET(bbgm_stat, INDEX(Players!$A292:$P292, MATCH(D$2, Players!$A$1:$P$1, 0)), perc_75, VLOOKUP(D$2, Percentiles!$A$45:$I$59, 6, FALSE), perc_90, VLOOKUP(D$2, Percentiles!$A$45:$I$59, 7, FALSE), perc_95, VLOOKUP(D$2, Percentiles!$A$45:$I$59, 8, FALSE), perc_85, perc_75 + (perc_90 - perc_75) * (2/3), converted_stat, '2K_Ratings'!D293, IF(bbgm_stat &gt;= perc_95, converted_stat * 3, IF(bbgm_stat &gt;= perc_90, converted_stat * 2, IF(bbgm_stat &gt;= perc_85, converted_stat * 1.5, converted_stat)))))</f>
        <v/>
      </c>
      <c r="E293" s="30" t="str">
        <f t="array" ref="E293">IF($A293="", "", LET(bbgm_stat, INDEX(Players!$A292:$P292, MATCH(E$2, Players!$A$1:$P$1, 0)), perc_75, VLOOKUP(E$2, Percentiles!$A$45:$I$59, 6, FALSE), perc_90, VLOOKUP(E$2, Percentiles!$A$45:$I$59, 7, FALSE), perc_95, VLOOKUP(E$2, Percentiles!$A$45:$I$59, 8, FALSE), perc_85, perc_75 + (perc_90 - perc_75) * (2/3), converted_stat, '2K_Ratings'!E293, IF(bbgm_stat &gt;= perc_95, converted_stat * 3, IF(bbgm_stat &gt;= perc_90, converted_stat * 2, IF(bbgm_stat &gt;= perc_85, converted_stat * 1.5, converted_stat)))))</f>
        <v/>
      </c>
      <c r="F293" s="30" t="str">
        <f t="array" ref="F293">IF($A293="", "", LET(bbgm_stat, INDEX(Players!$A292:$P292, MATCH(F$2, Players!$A$1:$P$1, 0)), perc_75, VLOOKUP(F$2, Percentiles!$A$45:$I$59, 6, FALSE), perc_90, VLOOKUP(F$2, Percentiles!$A$45:$I$59, 7, FALSE), perc_95, VLOOKUP(F$2, Percentiles!$A$45:$I$59, 8, FALSE), perc_85, perc_75 + (perc_90 - perc_75) * (2/3), converted_stat, '2K_Ratings'!F293, IF(bbgm_stat &gt;= perc_95, converted_stat * 3, IF(bbgm_stat &gt;= perc_90, converted_stat * 2, IF(bbgm_stat &gt;= perc_85, converted_stat * 1.5, converted_stat)))))</f>
        <v/>
      </c>
      <c r="G293" s="30" t="str">
        <f t="array" ref="G293">IF($A293="", "", LET(bbgm_stat, INDEX(Players!$A292:$P292, MATCH(G$2, Players!$A$1:$P$1, 0)), perc_75, VLOOKUP(G$2, Percentiles!$A$45:$I$59, 6, FALSE), perc_90, VLOOKUP(G$2, Percentiles!$A$45:$I$59, 7, FALSE), perc_95, VLOOKUP(G$2, Percentiles!$A$45:$I$59, 8, FALSE), perc_85, perc_75 + (perc_90 - perc_75) * (2/3), converted_stat, '2K_Ratings'!G293, IF(bbgm_stat &gt;= perc_95, converted_stat * 3, IF(bbgm_stat &gt;= perc_90, converted_stat * 2, IF(bbgm_stat &gt;= perc_85, converted_stat * 1.5, converted_stat)))))</f>
        <v/>
      </c>
      <c r="H293" s="30" t="str">
        <f t="array" ref="H293">IF($A293="", "", LET(bbgm_stat, INDEX(Players!$A292:$P292, MATCH(H$2, Players!$A$1:$P$1, 0)), perc_75, VLOOKUP(H$2, Percentiles!$A$45:$I$59, 6, FALSE), perc_90, VLOOKUP(H$2, Percentiles!$A$45:$I$59, 7, FALSE), perc_95, VLOOKUP(H$2, Percentiles!$A$45:$I$59, 8, FALSE), perc_85, perc_75 + (perc_90 - perc_75) * (2/3), converted_stat, '2K_Ratings'!H293, IF(bbgm_stat &gt;= perc_95, converted_stat * 3, IF(bbgm_stat &gt;= perc_90, converted_stat * 2, IF(bbgm_stat &gt;= perc_85, converted_stat * 1.5, converted_stat)))))</f>
        <v/>
      </c>
      <c r="I293" s="30" t="str">
        <f t="array" ref="I293">IF($A293="", "", LET(bbgm_stat, INDEX(Players!$A292:$P292, MATCH(I$2, Players!$A$1:$P$1, 0)), perc_75, VLOOKUP(I$2, Percentiles!$A$45:$I$59, 6, FALSE), perc_90, VLOOKUP(I$2, Percentiles!$A$45:$I$59, 7, FALSE), perc_95, VLOOKUP(I$2, Percentiles!$A$45:$I$59, 8, FALSE), perc_85, perc_75 + (perc_90 - perc_75) * (2/3), converted_stat, '2K_Ratings'!I293, IF(bbgm_stat &gt;= perc_95, converted_stat * 3, IF(bbgm_stat &gt;= perc_90, converted_stat * 2, IF(bbgm_stat &gt;= perc_85, converted_stat * 1.5, converted_stat)))))</f>
        <v/>
      </c>
      <c r="J293" s="30" t="str">
        <f t="array" ref="J293">IF($A293="", "", LET(bbgm_stat, INDEX(Players!$A292:$P292, MATCH(J$2, Players!$A$1:$P$1, 0)), perc_75, VLOOKUP(J$2, Percentiles!$A$45:$I$59, 6, FALSE), perc_90, VLOOKUP(J$2, Percentiles!$A$45:$I$59, 7, FALSE), perc_95, VLOOKUP(J$2, Percentiles!$A$45:$I$59, 8, FALSE), perc_85, perc_75 + (perc_90 - perc_75) * (2/3), converted_stat, '2K_Ratings'!J293, IF(bbgm_stat &gt;= perc_95, converted_stat * 3, IF(bbgm_stat &gt;= perc_90, converted_stat * 2, IF(bbgm_stat &gt;= perc_85, converted_stat * 1.5, converted_stat)))))</f>
        <v/>
      </c>
      <c r="K293" s="30" t="str">
        <f t="array" ref="K293">IF($A293="", "", LET(bbgm_stat, INDEX(Players!$A292:$P292, MATCH(K$2, Players!$A$1:$P$1, 0)), perc_75, VLOOKUP(K$2, Percentiles!$A$45:$I$59, 6, FALSE), perc_90, VLOOKUP(K$2, Percentiles!$A$45:$I$59, 7, FALSE), perc_95, VLOOKUP(K$2, Percentiles!$A$45:$I$59, 8, FALSE), perc_85, perc_75 + (perc_90 - perc_75) * (2/3), converted_stat, '2K_Ratings'!K293, IF(bbgm_stat &gt;= perc_95, converted_stat * 3, IF(bbgm_stat &gt;= perc_90, converted_stat * 2, IF(bbgm_stat &gt;= perc_85, converted_stat * 1.5, converted_stat)))))</f>
        <v/>
      </c>
      <c r="L293" s="30" t="str">
        <f t="array" ref="L293">IF($A293="", "", LET(bbgm_stat, INDEX(Players!$A292:$P292, MATCH(L$2, Players!$A$1:$P$1, 0)), perc_75, VLOOKUP(L$2, Percentiles!$A$45:$I$59, 6, FALSE), perc_90, VLOOKUP(L$2, Percentiles!$A$45:$I$59, 7, FALSE), perc_95, VLOOKUP(L$2, Percentiles!$A$45:$I$59, 8, FALSE), perc_85, perc_75 + (perc_90 - perc_75) * (2/3), converted_stat, '2K_Ratings'!L293, IF(bbgm_stat &gt;= perc_95, converted_stat * 3, IF(bbgm_stat &gt;= perc_90, converted_stat * 2, IF(bbgm_stat &gt;= perc_85, converted_stat * 1.5, converted_stat)))))</f>
        <v/>
      </c>
      <c r="M293" s="30" t="str">
        <f t="array" ref="M293">IF($A293="", "", LET(bbgm_stat, INDEX(Players!$A292:$P292, MATCH(M$2, Players!$A$1:$P$1, 0)), perc_75, VLOOKUP(M$2, Percentiles!$A$45:$I$59, 6, FALSE), perc_90, VLOOKUP(M$2, Percentiles!$A$45:$I$59, 7, FALSE), perc_95, VLOOKUP(M$2, Percentiles!$A$45:$I$59, 8, FALSE), perc_85, perc_75 + (perc_90 - perc_75) * (2/3), converted_stat, '2K_Ratings'!M293, IF(bbgm_stat &gt;= perc_95, converted_stat * 3, IF(bbgm_stat &gt;= perc_90, converted_stat * 2, IF(bbgm_stat &gt;= perc_85, converted_stat * 1.5, converted_stat)))))</f>
        <v/>
      </c>
      <c r="N293" s="30" t="str">
        <f t="array" ref="N293">IF($A293="", "", LET(bbgm_stat, INDEX(Players!$A292:$P292, MATCH(N$2, Players!$A$1:$P$1, 0)), perc_75, VLOOKUP(N$2, Percentiles!$A$45:$I$59, 6, FALSE), perc_90, VLOOKUP(N$2, Percentiles!$A$45:$I$59, 7, FALSE), perc_95, VLOOKUP(N$2, Percentiles!$A$45:$I$59, 8, FALSE), perc_85, perc_75 + (perc_90 - perc_75) * (2/3), converted_stat, '2K_Ratings'!N293, IF(bbgm_stat &gt;= perc_95, converted_stat * 3, IF(bbgm_stat &gt;= perc_90, converted_stat * 2, IF(bbgm_stat &gt;= perc_85, converted_stat * 1.5, converted_stat)))))</f>
        <v/>
      </c>
      <c r="O293" s="30" t="str">
        <f t="array" ref="O293">IF($A293="", "", LET(bbgm_stat, INDEX(Players!$A292:$P292, MATCH(O$2, Players!$A$1:$P$1, 0)), perc_75, VLOOKUP(O$2, Percentiles!$A$45:$I$59, 6, FALSE), perc_90, VLOOKUP(O$2, Percentiles!$A$45:$I$59, 7, FALSE), perc_95, VLOOKUP(O$2, Percentiles!$A$45:$I$59, 8, FALSE), perc_85, perc_75 + (perc_90 - perc_75) * (2/3), converted_stat, '2K_Ratings'!O293, IF(bbgm_stat &gt;= perc_95, converted_stat * 3, IF(bbgm_stat &gt;= perc_90, converted_stat * 2, IF(bbgm_stat &gt;= perc_85, converted_stat * 1.5, converted_stat)))))</f>
        <v/>
      </c>
      <c r="P293" s="30" t="str">
        <f t="array" ref="P293">IF($A293="", "", LET(bbgm_stat, INDEX(Players!$A292:$P292, MATCH(P$2, Players!$A$1:$P$1, 0)), perc_75, VLOOKUP(P$2, Percentiles!$A$45:$I$59, 6, FALSE), perc_90, VLOOKUP(P$2, Percentiles!$A$45:$I$59, 7, FALSE), perc_95, VLOOKUP(P$2, Percentiles!$A$45:$I$59, 8, FALSE), perc_85, perc_75 + (perc_90 - perc_75) * (2/3), converted_stat, '2K_Ratings'!P293, IF(bbgm_stat &gt;= perc_95, converted_stat * 3, IF(bbgm_stat &gt;= perc_90, converted_stat * 2, IF(bbgm_stat &gt;= perc_85, converted_stat * 1.5, converted_stat)))))</f>
        <v/>
      </c>
      <c r="Q293" s="30" t="str">
        <f t="array" ref="Q293">IF($A293="", "", LET(bbgm_stat, INDEX(Players!$A292:$P292, MATCH(Q$2, Players!$A$1:$P$1, 0)), perc_75, VLOOKUP(Q$2, Percentiles!$A$45:$I$59, 6, FALSE), perc_90, VLOOKUP(Q$2, Percentiles!$A$45:$I$59, 7, FALSE), perc_95, VLOOKUP(Q$2, Percentiles!$A$45:$I$59, 8, FALSE), perc_85, perc_75 + (perc_90 - perc_75) * (2/3), converted_stat, '2K_Ratings'!Q293, IF(bbgm_stat &gt;= perc_95, converted_stat * 3, IF(bbgm_stat &gt;= perc_90, converted_stat * 2, IF(bbgm_stat &gt;= perc_85, converted_stat * 1.5, converted_stat)))))</f>
        <v/>
      </c>
      <c r="R293" s="30" t="str">
        <f t="array" ref="R293">IF($A293="", "", LET(bbgm_stat, INDEX(Players!$A292:$P292, MATCH(R$2, Players!$A$1:$P$1, 0)), perc_75, VLOOKUP(R$2, Percentiles!$A$45:$I$59, 6, FALSE), perc_90, VLOOKUP(R$2, Percentiles!$A$45:$I$59, 7, FALSE), perc_95, VLOOKUP(R$2, Percentiles!$A$45:$I$59, 8, FALSE), perc_85, perc_75 + (perc_90 - perc_75) * (2/3), converted_stat, '2K_Ratings'!R293, IF(bbgm_stat &gt;= perc_95, converted_stat * 3, IF(bbgm_stat &gt;= perc_90, converted_stat * 2, IF(bbgm_stat &gt;= perc_85, converted_stat * 1.5, converted_stat)))))</f>
        <v/>
      </c>
      <c r="S293" s="30" t="str">
        <f t="array" ref="S293">IF($A293="", "", LET(bbgm_stat, INDEX(Players!$A292:$P292, MATCH(S$2, Players!$A$1:$P$1, 0)), perc_75, VLOOKUP(S$2, Percentiles!$A$45:$I$59, 6, FALSE), perc_90, VLOOKUP(S$2, Percentiles!$A$45:$I$59, 7, FALSE), perc_95, VLOOKUP(S$2, Percentiles!$A$45:$I$59, 8, FALSE), perc_85, perc_75 + (perc_90 - perc_75) * (2/3), converted_stat, '2K_Ratings'!S293, IF(bbgm_stat &gt;= perc_95, converted_stat * 3, IF(bbgm_stat &gt;= perc_90, converted_stat * 2, IF(bbgm_stat &gt;= perc_85, converted_stat * 1.5, converted_stat)))))</f>
        <v/>
      </c>
      <c r="T293" s="30" t="str">
        <f t="array" ref="T293">IF($A293="", "", LET(bbgm_stat, INDEX(Players!$A292:$P292, MATCH(T$2, Players!$A$1:$P$1, 0)), perc_75, VLOOKUP(T$2, Percentiles!$A$45:$I$59, 6, FALSE), perc_90, VLOOKUP(T$2, Percentiles!$A$45:$I$59, 7, FALSE), perc_95, VLOOKUP(T$2, Percentiles!$A$45:$I$59, 8, FALSE), perc_85, perc_75 + (perc_90 - perc_75) * (2/3), converted_stat, '2K_Ratings'!T293, IF(bbgm_stat &gt;= perc_95, converted_stat * 3, IF(bbgm_stat &gt;= perc_90, converted_stat * 2, IF(bbgm_stat &gt;= perc_85, converted_stat * 1.5, converted_stat)))))</f>
        <v/>
      </c>
      <c r="U293" s="30" t="str">
        <f t="array" ref="U293">IF($A293="", "", LET(bbgm_stat, INDEX(Players!$A292:$P292, MATCH(U$2, Players!$A$1:$P$1, 0)), perc_75, VLOOKUP(U$2, Percentiles!$A$45:$I$59, 6, FALSE), perc_90, VLOOKUP(U$2, Percentiles!$A$45:$I$59, 7, FALSE), perc_95, VLOOKUP(U$2, Percentiles!$A$45:$I$59, 8, FALSE), perc_85, perc_75 + (perc_90 - perc_75) * (2/3), converted_stat, '2K_Ratings'!U293, IF(bbgm_stat &gt;= perc_95, converted_stat * 3, IF(bbgm_stat &gt;= perc_90, converted_stat * 2, IF(bbgm_stat &gt;= perc_85, converted_stat * 1.5, converted_stat)))))</f>
        <v/>
      </c>
      <c r="V293" s="30" t="str">
        <f t="array" ref="V293">IF($A293="", "", LET(bbgm_stat, INDEX(Players!$A292:$P292, MATCH(V$2, Players!$A$1:$P$1, 0)), perc_75, VLOOKUP(V$2, Percentiles!$A$45:$I$59, 6, FALSE), perc_90, VLOOKUP(V$2, Percentiles!$A$45:$I$59, 7, FALSE), perc_95, VLOOKUP(V$2, Percentiles!$A$45:$I$59, 8, FALSE), perc_85, perc_75 + (perc_90 - perc_75) * (2/3), converted_stat, '2K_Ratings'!V293, IF(bbgm_stat &gt;= perc_95, converted_stat * 3, IF(bbgm_stat &gt;= perc_90, converted_stat * 2, IF(bbgm_stat &gt;= perc_85, converted_stat * 1.5, converted_stat)))))</f>
        <v/>
      </c>
      <c r="W293" s="30" t="str">
        <f t="array" ref="W293">IF($A293="", "", LET(bbgm_stat, INDEX(Players!$A292:$P292, MATCH(W$2, Players!$A$1:$P$1, 0)), perc_75, VLOOKUP(W$2, Percentiles!$A$45:$I$59, 6, FALSE), perc_90, VLOOKUP(W$2, Percentiles!$A$45:$I$59, 7, FALSE), perc_95, VLOOKUP(W$2, Percentiles!$A$45:$I$59, 8, FALSE), perc_85, perc_75 + (perc_90 - perc_75) * (2/3), converted_stat, '2K_Ratings'!W293, IF(bbgm_stat &gt;= perc_95, converted_stat * 3, IF(bbgm_stat &gt;= perc_90, converted_stat * 2, IF(bbgm_stat &gt;= perc_85, converted_stat * 1.5, converted_stat)))))</f>
        <v/>
      </c>
    </row>
    <row r="294">
      <c r="A294" s="30"/>
      <c r="B294" s="30" t="str">
        <f t="array" ref="B294">IF($A294="", "", LET(bbgm_stat, INDEX(Players!$A293:$P293, MATCH(B$2, Players!$A$1:$P$1, 0)), perc_75, VLOOKUP(B$2, Percentiles!$A$45:$I$59, 6, FALSE), perc_90, VLOOKUP(B$2, Percentiles!$A$45:$I$59, 7, FALSE), perc_95, VLOOKUP(B$2, Percentiles!$A$45:$I$59, 8, FALSE), perc_85, perc_75 + (perc_90 - perc_75) * (2/3), converted_stat, '2K_Ratings'!B294, IF(bbgm_stat &gt;= perc_95, converted_stat * 3, IF(bbgm_stat &gt;= perc_90, converted_stat * 2, IF(bbgm_stat &gt;= perc_85, converted_stat * 1.5, converted_stat)))))</f>
        <v/>
      </c>
      <c r="C294" s="30" t="str">
        <f t="array" ref="C294">IF($A294="", "", LET(bbgm_stat, INDEX(Players!$A293:$P293, MATCH(C$2, Players!$A$1:$P$1, 0)), perc_75, VLOOKUP(C$2, Percentiles!$A$45:$I$59, 6, FALSE), perc_90, VLOOKUP(C$2, Percentiles!$A$45:$I$59, 7, FALSE), perc_95, VLOOKUP(C$2, Percentiles!$A$45:$I$59, 8, FALSE), perc_85, perc_75 + (perc_90 - perc_75) * (2/3), converted_stat, '2K_Ratings'!C294, IF(bbgm_stat &gt;= perc_95, converted_stat * 3, IF(bbgm_stat &gt;= perc_90, converted_stat * 2, IF(bbgm_stat &gt;= perc_85, converted_stat * 1.5, converted_stat)))))</f>
        <v/>
      </c>
      <c r="D294" s="30" t="str">
        <f t="array" ref="D294">IF($A294="", "", LET(bbgm_stat, INDEX(Players!$A293:$P293, MATCH(D$2, Players!$A$1:$P$1, 0)), perc_75, VLOOKUP(D$2, Percentiles!$A$45:$I$59, 6, FALSE), perc_90, VLOOKUP(D$2, Percentiles!$A$45:$I$59, 7, FALSE), perc_95, VLOOKUP(D$2, Percentiles!$A$45:$I$59, 8, FALSE), perc_85, perc_75 + (perc_90 - perc_75) * (2/3), converted_stat, '2K_Ratings'!D294, IF(bbgm_stat &gt;= perc_95, converted_stat * 3, IF(bbgm_stat &gt;= perc_90, converted_stat * 2, IF(bbgm_stat &gt;= perc_85, converted_stat * 1.5, converted_stat)))))</f>
        <v/>
      </c>
      <c r="E294" s="30" t="str">
        <f t="array" ref="E294">IF($A294="", "", LET(bbgm_stat, INDEX(Players!$A293:$P293, MATCH(E$2, Players!$A$1:$P$1, 0)), perc_75, VLOOKUP(E$2, Percentiles!$A$45:$I$59, 6, FALSE), perc_90, VLOOKUP(E$2, Percentiles!$A$45:$I$59, 7, FALSE), perc_95, VLOOKUP(E$2, Percentiles!$A$45:$I$59, 8, FALSE), perc_85, perc_75 + (perc_90 - perc_75) * (2/3), converted_stat, '2K_Ratings'!E294, IF(bbgm_stat &gt;= perc_95, converted_stat * 3, IF(bbgm_stat &gt;= perc_90, converted_stat * 2, IF(bbgm_stat &gt;= perc_85, converted_stat * 1.5, converted_stat)))))</f>
        <v/>
      </c>
      <c r="F294" s="30" t="str">
        <f t="array" ref="F294">IF($A294="", "", LET(bbgm_stat, INDEX(Players!$A293:$P293, MATCH(F$2, Players!$A$1:$P$1, 0)), perc_75, VLOOKUP(F$2, Percentiles!$A$45:$I$59, 6, FALSE), perc_90, VLOOKUP(F$2, Percentiles!$A$45:$I$59, 7, FALSE), perc_95, VLOOKUP(F$2, Percentiles!$A$45:$I$59, 8, FALSE), perc_85, perc_75 + (perc_90 - perc_75) * (2/3), converted_stat, '2K_Ratings'!F294, IF(bbgm_stat &gt;= perc_95, converted_stat * 3, IF(bbgm_stat &gt;= perc_90, converted_stat * 2, IF(bbgm_stat &gt;= perc_85, converted_stat * 1.5, converted_stat)))))</f>
        <v/>
      </c>
      <c r="G294" s="30" t="str">
        <f t="array" ref="G294">IF($A294="", "", LET(bbgm_stat, INDEX(Players!$A293:$P293, MATCH(G$2, Players!$A$1:$P$1, 0)), perc_75, VLOOKUP(G$2, Percentiles!$A$45:$I$59, 6, FALSE), perc_90, VLOOKUP(G$2, Percentiles!$A$45:$I$59, 7, FALSE), perc_95, VLOOKUP(G$2, Percentiles!$A$45:$I$59, 8, FALSE), perc_85, perc_75 + (perc_90 - perc_75) * (2/3), converted_stat, '2K_Ratings'!G294, IF(bbgm_stat &gt;= perc_95, converted_stat * 3, IF(bbgm_stat &gt;= perc_90, converted_stat * 2, IF(bbgm_stat &gt;= perc_85, converted_stat * 1.5, converted_stat)))))</f>
        <v/>
      </c>
      <c r="H294" s="30" t="str">
        <f t="array" ref="H294">IF($A294="", "", LET(bbgm_stat, INDEX(Players!$A293:$P293, MATCH(H$2, Players!$A$1:$P$1, 0)), perc_75, VLOOKUP(H$2, Percentiles!$A$45:$I$59, 6, FALSE), perc_90, VLOOKUP(H$2, Percentiles!$A$45:$I$59, 7, FALSE), perc_95, VLOOKUP(H$2, Percentiles!$A$45:$I$59, 8, FALSE), perc_85, perc_75 + (perc_90 - perc_75) * (2/3), converted_stat, '2K_Ratings'!H294, IF(bbgm_stat &gt;= perc_95, converted_stat * 3, IF(bbgm_stat &gt;= perc_90, converted_stat * 2, IF(bbgm_stat &gt;= perc_85, converted_stat * 1.5, converted_stat)))))</f>
        <v/>
      </c>
      <c r="I294" s="30" t="str">
        <f t="array" ref="I294">IF($A294="", "", LET(bbgm_stat, INDEX(Players!$A293:$P293, MATCH(I$2, Players!$A$1:$P$1, 0)), perc_75, VLOOKUP(I$2, Percentiles!$A$45:$I$59, 6, FALSE), perc_90, VLOOKUP(I$2, Percentiles!$A$45:$I$59, 7, FALSE), perc_95, VLOOKUP(I$2, Percentiles!$A$45:$I$59, 8, FALSE), perc_85, perc_75 + (perc_90 - perc_75) * (2/3), converted_stat, '2K_Ratings'!I294, IF(bbgm_stat &gt;= perc_95, converted_stat * 3, IF(bbgm_stat &gt;= perc_90, converted_stat * 2, IF(bbgm_stat &gt;= perc_85, converted_stat * 1.5, converted_stat)))))</f>
        <v/>
      </c>
      <c r="J294" s="30" t="str">
        <f t="array" ref="J294">IF($A294="", "", LET(bbgm_stat, INDEX(Players!$A293:$P293, MATCH(J$2, Players!$A$1:$P$1, 0)), perc_75, VLOOKUP(J$2, Percentiles!$A$45:$I$59, 6, FALSE), perc_90, VLOOKUP(J$2, Percentiles!$A$45:$I$59, 7, FALSE), perc_95, VLOOKUP(J$2, Percentiles!$A$45:$I$59, 8, FALSE), perc_85, perc_75 + (perc_90 - perc_75) * (2/3), converted_stat, '2K_Ratings'!J294, IF(bbgm_stat &gt;= perc_95, converted_stat * 3, IF(bbgm_stat &gt;= perc_90, converted_stat * 2, IF(bbgm_stat &gt;= perc_85, converted_stat * 1.5, converted_stat)))))</f>
        <v/>
      </c>
      <c r="K294" s="30" t="str">
        <f t="array" ref="K294">IF($A294="", "", LET(bbgm_stat, INDEX(Players!$A293:$P293, MATCH(K$2, Players!$A$1:$P$1, 0)), perc_75, VLOOKUP(K$2, Percentiles!$A$45:$I$59, 6, FALSE), perc_90, VLOOKUP(K$2, Percentiles!$A$45:$I$59, 7, FALSE), perc_95, VLOOKUP(K$2, Percentiles!$A$45:$I$59, 8, FALSE), perc_85, perc_75 + (perc_90 - perc_75) * (2/3), converted_stat, '2K_Ratings'!K294, IF(bbgm_stat &gt;= perc_95, converted_stat * 3, IF(bbgm_stat &gt;= perc_90, converted_stat * 2, IF(bbgm_stat &gt;= perc_85, converted_stat * 1.5, converted_stat)))))</f>
        <v/>
      </c>
      <c r="L294" s="30" t="str">
        <f t="array" ref="L294">IF($A294="", "", LET(bbgm_stat, INDEX(Players!$A293:$P293, MATCH(L$2, Players!$A$1:$P$1, 0)), perc_75, VLOOKUP(L$2, Percentiles!$A$45:$I$59, 6, FALSE), perc_90, VLOOKUP(L$2, Percentiles!$A$45:$I$59, 7, FALSE), perc_95, VLOOKUP(L$2, Percentiles!$A$45:$I$59, 8, FALSE), perc_85, perc_75 + (perc_90 - perc_75) * (2/3), converted_stat, '2K_Ratings'!L294, IF(bbgm_stat &gt;= perc_95, converted_stat * 3, IF(bbgm_stat &gt;= perc_90, converted_stat * 2, IF(bbgm_stat &gt;= perc_85, converted_stat * 1.5, converted_stat)))))</f>
        <v/>
      </c>
      <c r="M294" s="30" t="str">
        <f t="array" ref="M294">IF($A294="", "", LET(bbgm_stat, INDEX(Players!$A293:$P293, MATCH(M$2, Players!$A$1:$P$1, 0)), perc_75, VLOOKUP(M$2, Percentiles!$A$45:$I$59, 6, FALSE), perc_90, VLOOKUP(M$2, Percentiles!$A$45:$I$59, 7, FALSE), perc_95, VLOOKUP(M$2, Percentiles!$A$45:$I$59, 8, FALSE), perc_85, perc_75 + (perc_90 - perc_75) * (2/3), converted_stat, '2K_Ratings'!M294, IF(bbgm_stat &gt;= perc_95, converted_stat * 3, IF(bbgm_stat &gt;= perc_90, converted_stat * 2, IF(bbgm_stat &gt;= perc_85, converted_stat * 1.5, converted_stat)))))</f>
        <v/>
      </c>
      <c r="N294" s="30" t="str">
        <f t="array" ref="N294">IF($A294="", "", LET(bbgm_stat, INDEX(Players!$A293:$P293, MATCH(N$2, Players!$A$1:$P$1, 0)), perc_75, VLOOKUP(N$2, Percentiles!$A$45:$I$59, 6, FALSE), perc_90, VLOOKUP(N$2, Percentiles!$A$45:$I$59, 7, FALSE), perc_95, VLOOKUP(N$2, Percentiles!$A$45:$I$59, 8, FALSE), perc_85, perc_75 + (perc_90 - perc_75) * (2/3), converted_stat, '2K_Ratings'!N294, IF(bbgm_stat &gt;= perc_95, converted_stat * 3, IF(bbgm_stat &gt;= perc_90, converted_stat * 2, IF(bbgm_stat &gt;= perc_85, converted_stat * 1.5, converted_stat)))))</f>
        <v/>
      </c>
      <c r="O294" s="30" t="str">
        <f t="array" ref="O294">IF($A294="", "", LET(bbgm_stat, INDEX(Players!$A293:$P293, MATCH(O$2, Players!$A$1:$P$1, 0)), perc_75, VLOOKUP(O$2, Percentiles!$A$45:$I$59, 6, FALSE), perc_90, VLOOKUP(O$2, Percentiles!$A$45:$I$59, 7, FALSE), perc_95, VLOOKUP(O$2, Percentiles!$A$45:$I$59, 8, FALSE), perc_85, perc_75 + (perc_90 - perc_75) * (2/3), converted_stat, '2K_Ratings'!O294, IF(bbgm_stat &gt;= perc_95, converted_stat * 3, IF(bbgm_stat &gt;= perc_90, converted_stat * 2, IF(bbgm_stat &gt;= perc_85, converted_stat * 1.5, converted_stat)))))</f>
        <v/>
      </c>
      <c r="P294" s="30" t="str">
        <f t="array" ref="P294">IF($A294="", "", LET(bbgm_stat, INDEX(Players!$A293:$P293, MATCH(P$2, Players!$A$1:$P$1, 0)), perc_75, VLOOKUP(P$2, Percentiles!$A$45:$I$59, 6, FALSE), perc_90, VLOOKUP(P$2, Percentiles!$A$45:$I$59, 7, FALSE), perc_95, VLOOKUP(P$2, Percentiles!$A$45:$I$59, 8, FALSE), perc_85, perc_75 + (perc_90 - perc_75) * (2/3), converted_stat, '2K_Ratings'!P294, IF(bbgm_stat &gt;= perc_95, converted_stat * 3, IF(bbgm_stat &gt;= perc_90, converted_stat * 2, IF(bbgm_stat &gt;= perc_85, converted_stat * 1.5, converted_stat)))))</f>
        <v/>
      </c>
      <c r="Q294" s="30" t="str">
        <f t="array" ref="Q294">IF($A294="", "", LET(bbgm_stat, INDEX(Players!$A293:$P293, MATCH(Q$2, Players!$A$1:$P$1, 0)), perc_75, VLOOKUP(Q$2, Percentiles!$A$45:$I$59, 6, FALSE), perc_90, VLOOKUP(Q$2, Percentiles!$A$45:$I$59, 7, FALSE), perc_95, VLOOKUP(Q$2, Percentiles!$A$45:$I$59, 8, FALSE), perc_85, perc_75 + (perc_90 - perc_75) * (2/3), converted_stat, '2K_Ratings'!Q294, IF(bbgm_stat &gt;= perc_95, converted_stat * 3, IF(bbgm_stat &gt;= perc_90, converted_stat * 2, IF(bbgm_stat &gt;= perc_85, converted_stat * 1.5, converted_stat)))))</f>
        <v/>
      </c>
      <c r="R294" s="30" t="str">
        <f t="array" ref="R294">IF($A294="", "", LET(bbgm_stat, INDEX(Players!$A293:$P293, MATCH(R$2, Players!$A$1:$P$1, 0)), perc_75, VLOOKUP(R$2, Percentiles!$A$45:$I$59, 6, FALSE), perc_90, VLOOKUP(R$2, Percentiles!$A$45:$I$59, 7, FALSE), perc_95, VLOOKUP(R$2, Percentiles!$A$45:$I$59, 8, FALSE), perc_85, perc_75 + (perc_90 - perc_75) * (2/3), converted_stat, '2K_Ratings'!R294, IF(bbgm_stat &gt;= perc_95, converted_stat * 3, IF(bbgm_stat &gt;= perc_90, converted_stat * 2, IF(bbgm_stat &gt;= perc_85, converted_stat * 1.5, converted_stat)))))</f>
        <v/>
      </c>
      <c r="S294" s="30" t="str">
        <f t="array" ref="S294">IF($A294="", "", LET(bbgm_stat, INDEX(Players!$A293:$P293, MATCH(S$2, Players!$A$1:$P$1, 0)), perc_75, VLOOKUP(S$2, Percentiles!$A$45:$I$59, 6, FALSE), perc_90, VLOOKUP(S$2, Percentiles!$A$45:$I$59, 7, FALSE), perc_95, VLOOKUP(S$2, Percentiles!$A$45:$I$59, 8, FALSE), perc_85, perc_75 + (perc_90 - perc_75) * (2/3), converted_stat, '2K_Ratings'!S294, IF(bbgm_stat &gt;= perc_95, converted_stat * 3, IF(bbgm_stat &gt;= perc_90, converted_stat * 2, IF(bbgm_stat &gt;= perc_85, converted_stat * 1.5, converted_stat)))))</f>
        <v/>
      </c>
      <c r="T294" s="30" t="str">
        <f t="array" ref="T294">IF($A294="", "", LET(bbgm_stat, INDEX(Players!$A293:$P293, MATCH(T$2, Players!$A$1:$P$1, 0)), perc_75, VLOOKUP(T$2, Percentiles!$A$45:$I$59, 6, FALSE), perc_90, VLOOKUP(T$2, Percentiles!$A$45:$I$59, 7, FALSE), perc_95, VLOOKUP(T$2, Percentiles!$A$45:$I$59, 8, FALSE), perc_85, perc_75 + (perc_90 - perc_75) * (2/3), converted_stat, '2K_Ratings'!T294, IF(bbgm_stat &gt;= perc_95, converted_stat * 3, IF(bbgm_stat &gt;= perc_90, converted_stat * 2, IF(bbgm_stat &gt;= perc_85, converted_stat * 1.5, converted_stat)))))</f>
        <v/>
      </c>
      <c r="U294" s="30" t="str">
        <f t="array" ref="U294">IF($A294="", "", LET(bbgm_stat, INDEX(Players!$A293:$P293, MATCH(U$2, Players!$A$1:$P$1, 0)), perc_75, VLOOKUP(U$2, Percentiles!$A$45:$I$59, 6, FALSE), perc_90, VLOOKUP(U$2, Percentiles!$A$45:$I$59, 7, FALSE), perc_95, VLOOKUP(U$2, Percentiles!$A$45:$I$59, 8, FALSE), perc_85, perc_75 + (perc_90 - perc_75) * (2/3), converted_stat, '2K_Ratings'!U294, IF(bbgm_stat &gt;= perc_95, converted_stat * 3, IF(bbgm_stat &gt;= perc_90, converted_stat * 2, IF(bbgm_stat &gt;= perc_85, converted_stat * 1.5, converted_stat)))))</f>
        <v/>
      </c>
      <c r="V294" s="30" t="str">
        <f t="array" ref="V294">IF($A294="", "", LET(bbgm_stat, INDEX(Players!$A293:$P293, MATCH(V$2, Players!$A$1:$P$1, 0)), perc_75, VLOOKUP(V$2, Percentiles!$A$45:$I$59, 6, FALSE), perc_90, VLOOKUP(V$2, Percentiles!$A$45:$I$59, 7, FALSE), perc_95, VLOOKUP(V$2, Percentiles!$A$45:$I$59, 8, FALSE), perc_85, perc_75 + (perc_90 - perc_75) * (2/3), converted_stat, '2K_Ratings'!V294, IF(bbgm_stat &gt;= perc_95, converted_stat * 3, IF(bbgm_stat &gt;= perc_90, converted_stat * 2, IF(bbgm_stat &gt;= perc_85, converted_stat * 1.5, converted_stat)))))</f>
        <v/>
      </c>
      <c r="W294" s="30" t="str">
        <f t="array" ref="W294">IF($A294="", "", LET(bbgm_stat, INDEX(Players!$A293:$P293, MATCH(W$2, Players!$A$1:$P$1, 0)), perc_75, VLOOKUP(W$2, Percentiles!$A$45:$I$59, 6, FALSE), perc_90, VLOOKUP(W$2, Percentiles!$A$45:$I$59, 7, FALSE), perc_95, VLOOKUP(W$2, Percentiles!$A$45:$I$59, 8, FALSE), perc_85, perc_75 + (perc_90 - perc_75) * (2/3), converted_stat, '2K_Ratings'!W294, IF(bbgm_stat &gt;= perc_95, converted_stat * 3, IF(bbgm_stat &gt;= perc_90, converted_stat * 2, IF(bbgm_stat &gt;= perc_85, converted_stat * 1.5, converted_stat)))))</f>
        <v/>
      </c>
    </row>
    <row r="295">
      <c r="A295" s="30"/>
      <c r="B295" s="30" t="str">
        <f t="array" ref="B295">IF($A295="", "", LET(bbgm_stat, INDEX(Players!$A294:$P294, MATCH(B$2, Players!$A$1:$P$1, 0)), perc_75, VLOOKUP(B$2, Percentiles!$A$45:$I$59, 6, FALSE), perc_90, VLOOKUP(B$2, Percentiles!$A$45:$I$59, 7, FALSE), perc_95, VLOOKUP(B$2, Percentiles!$A$45:$I$59, 8, FALSE), perc_85, perc_75 + (perc_90 - perc_75) * (2/3), converted_stat, '2K_Ratings'!B295, IF(bbgm_stat &gt;= perc_95, converted_stat * 3, IF(bbgm_stat &gt;= perc_90, converted_stat * 2, IF(bbgm_stat &gt;= perc_85, converted_stat * 1.5, converted_stat)))))</f>
        <v/>
      </c>
      <c r="C295" s="30" t="str">
        <f t="array" ref="C295">IF($A295="", "", LET(bbgm_stat, INDEX(Players!$A294:$P294, MATCH(C$2, Players!$A$1:$P$1, 0)), perc_75, VLOOKUP(C$2, Percentiles!$A$45:$I$59, 6, FALSE), perc_90, VLOOKUP(C$2, Percentiles!$A$45:$I$59, 7, FALSE), perc_95, VLOOKUP(C$2, Percentiles!$A$45:$I$59, 8, FALSE), perc_85, perc_75 + (perc_90 - perc_75) * (2/3), converted_stat, '2K_Ratings'!C295, IF(bbgm_stat &gt;= perc_95, converted_stat * 3, IF(bbgm_stat &gt;= perc_90, converted_stat * 2, IF(bbgm_stat &gt;= perc_85, converted_stat * 1.5, converted_stat)))))</f>
        <v/>
      </c>
      <c r="D295" s="30" t="str">
        <f t="array" ref="D295">IF($A295="", "", LET(bbgm_stat, INDEX(Players!$A294:$P294, MATCH(D$2, Players!$A$1:$P$1, 0)), perc_75, VLOOKUP(D$2, Percentiles!$A$45:$I$59, 6, FALSE), perc_90, VLOOKUP(D$2, Percentiles!$A$45:$I$59, 7, FALSE), perc_95, VLOOKUP(D$2, Percentiles!$A$45:$I$59, 8, FALSE), perc_85, perc_75 + (perc_90 - perc_75) * (2/3), converted_stat, '2K_Ratings'!D295, IF(bbgm_stat &gt;= perc_95, converted_stat * 3, IF(bbgm_stat &gt;= perc_90, converted_stat * 2, IF(bbgm_stat &gt;= perc_85, converted_stat * 1.5, converted_stat)))))</f>
        <v/>
      </c>
      <c r="E295" s="30" t="str">
        <f t="array" ref="E295">IF($A295="", "", LET(bbgm_stat, INDEX(Players!$A294:$P294, MATCH(E$2, Players!$A$1:$P$1, 0)), perc_75, VLOOKUP(E$2, Percentiles!$A$45:$I$59, 6, FALSE), perc_90, VLOOKUP(E$2, Percentiles!$A$45:$I$59, 7, FALSE), perc_95, VLOOKUP(E$2, Percentiles!$A$45:$I$59, 8, FALSE), perc_85, perc_75 + (perc_90 - perc_75) * (2/3), converted_stat, '2K_Ratings'!E295, IF(bbgm_stat &gt;= perc_95, converted_stat * 3, IF(bbgm_stat &gt;= perc_90, converted_stat * 2, IF(bbgm_stat &gt;= perc_85, converted_stat * 1.5, converted_stat)))))</f>
        <v/>
      </c>
      <c r="F295" s="30" t="str">
        <f t="array" ref="F295">IF($A295="", "", LET(bbgm_stat, INDEX(Players!$A294:$P294, MATCH(F$2, Players!$A$1:$P$1, 0)), perc_75, VLOOKUP(F$2, Percentiles!$A$45:$I$59, 6, FALSE), perc_90, VLOOKUP(F$2, Percentiles!$A$45:$I$59, 7, FALSE), perc_95, VLOOKUP(F$2, Percentiles!$A$45:$I$59, 8, FALSE), perc_85, perc_75 + (perc_90 - perc_75) * (2/3), converted_stat, '2K_Ratings'!F295, IF(bbgm_stat &gt;= perc_95, converted_stat * 3, IF(bbgm_stat &gt;= perc_90, converted_stat * 2, IF(bbgm_stat &gt;= perc_85, converted_stat * 1.5, converted_stat)))))</f>
        <v/>
      </c>
      <c r="G295" s="30" t="str">
        <f t="array" ref="G295">IF($A295="", "", LET(bbgm_stat, INDEX(Players!$A294:$P294, MATCH(G$2, Players!$A$1:$P$1, 0)), perc_75, VLOOKUP(G$2, Percentiles!$A$45:$I$59, 6, FALSE), perc_90, VLOOKUP(G$2, Percentiles!$A$45:$I$59, 7, FALSE), perc_95, VLOOKUP(G$2, Percentiles!$A$45:$I$59, 8, FALSE), perc_85, perc_75 + (perc_90 - perc_75) * (2/3), converted_stat, '2K_Ratings'!G295, IF(bbgm_stat &gt;= perc_95, converted_stat * 3, IF(bbgm_stat &gt;= perc_90, converted_stat * 2, IF(bbgm_stat &gt;= perc_85, converted_stat * 1.5, converted_stat)))))</f>
        <v/>
      </c>
      <c r="H295" s="30" t="str">
        <f t="array" ref="H295">IF($A295="", "", LET(bbgm_stat, INDEX(Players!$A294:$P294, MATCH(H$2, Players!$A$1:$P$1, 0)), perc_75, VLOOKUP(H$2, Percentiles!$A$45:$I$59, 6, FALSE), perc_90, VLOOKUP(H$2, Percentiles!$A$45:$I$59, 7, FALSE), perc_95, VLOOKUP(H$2, Percentiles!$A$45:$I$59, 8, FALSE), perc_85, perc_75 + (perc_90 - perc_75) * (2/3), converted_stat, '2K_Ratings'!H295, IF(bbgm_stat &gt;= perc_95, converted_stat * 3, IF(bbgm_stat &gt;= perc_90, converted_stat * 2, IF(bbgm_stat &gt;= perc_85, converted_stat * 1.5, converted_stat)))))</f>
        <v/>
      </c>
      <c r="I295" s="30" t="str">
        <f t="array" ref="I295">IF($A295="", "", LET(bbgm_stat, INDEX(Players!$A294:$P294, MATCH(I$2, Players!$A$1:$P$1, 0)), perc_75, VLOOKUP(I$2, Percentiles!$A$45:$I$59, 6, FALSE), perc_90, VLOOKUP(I$2, Percentiles!$A$45:$I$59, 7, FALSE), perc_95, VLOOKUP(I$2, Percentiles!$A$45:$I$59, 8, FALSE), perc_85, perc_75 + (perc_90 - perc_75) * (2/3), converted_stat, '2K_Ratings'!I295, IF(bbgm_stat &gt;= perc_95, converted_stat * 3, IF(bbgm_stat &gt;= perc_90, converted_stat * 2, IF(bbgm_stat &gt;= perc_85, converted_stat * 1.5, converted_stat)))))</f>
        <v/>
      </c>
      <c r="J295" s="30" t="str">
        <f t="array" ref="J295">IF($A295="", "", LET(bbgm_stat, INDEX(Players!$A294:$P294, MATCH(J$2, Players!$A$1:$P$1, 0)), perc_75, VLOOKUP(J$2, Percentiles!$A$45:$I$59, 6, FALSE), perc_90, VLOOKUP(J$2, Percentiles!$A$45:$I$59, 7, FALSE), perc_95, VLOOKUP(J$2, Percentiles!$A$45:$I$59, 8, FALSE), perc_85, perc_75 + (perc_90 - perc_75) * (2/3), converted_stat, '2K_Ratings'!J295, IF(bbgm_stat &gt;= perc_95, converted_stat * 3, IF(bbgm_stat &gt;= perc_90, converted_stat * 2, IF(bbgm_stat &gt;= perc_85, converted_stat * 1.5, converted_stat)))))</f>
        <v/>
      </c>
      <c r="K295" s="30" t="str">
        <f t="array" ref="K295">IF($A295="", "", LET(bbgm_stat, INDEX(Players!$A294:$P294, MATCH(K$2, Players!$A$1:$P$1, 0)), perc_75, VLOOKUP(K$2, Percentiles!$A$45:$I$59, 6, FALSE), perc_90, VLOOKUP(K$2, Percentiles!$A$45:$I$59, 7, FALSE), perc_95, VLOOKUP(K$2, Percentiles!$A$45:$I$59, 8, FALSE), perc_85, perc_75 + (perc_90 - perc_75) * (2/3), converted_stat, '2K_Ratings'!K295, IF(bbgm_stat &gt;= perc_95, converted_stat * 3, IF(bbgm_stat &gt;= perc_90, converted_stat * 2, IF(bbgm_stat &gt;= perc_85, converted_stat * 1.5, converted_stat)))))</f>
        <v/>
      </c>
      <c r="L295" s="30" t="str">
        <f t="array" ref="L295">IF($A295="", "", LET(bbgm_stat, INDEX(Players!$A294:$P294, MATCH(L$2, Players!$A$1:$P$1, 0)), perc_75, VLOOKUP(L$2, Percentiles!$A$45:$I$59, 6, FALSE), perc_90, VLOOKUP(L$2, Percentiles!$A$45:$I$59, 7, FALSE), perc_95, VLOOKUP(L$2, Percentiles!$A$45:$I$59, 8, FALSE), perc_85, perc_75 + (perc_90 - perc_75) * (2/3), converted_stat, '2K_Ratings'!L295, IF(bbgm_stat &gt;= perc_95, converted_stat * 3, IF(bbgm_stat &gt;= perc_90, converted_stat * 2, IF(bbgm_stat &gt;= perc_85, converted_stat * 1.5, converted_stat)))))</f>
        <v/>
      </c>
      <c r="M295" s="30" t="str">
        <f t="array" ref="M295">IF($A295="", "", LET(bbgm_stat, INDEX(Players!$A294:$P294, MATCH(M$2, Players!$A$1:$P$1, 0)), perc_75, VLOOKUP(M$2, Percentiles!$A$45:$I$59, 6, FALSE), perc_90, VLOOKUP(M$2, Percentiles!$A$45:$I$59, 7, FALSE), perc_95, VLOOKUP(M$2, Percentiles!$A$45:$I$59, 8, FALSE), perc_85, perc_75 + (perc_90 - perc_75) * (2/3), converted_stat, '2K_Ratings'!M295, IF(bbgm_stat &gt;= perc_95, converted_stat * 3, IF(bbgm_stat &gt;= perc_90, converted_stat * 2, IF(bbgm_stat &gt;= perc_85, converted_stat * 1.5, converted_stat)))))</f>
        <v/>
      </c>
      <c r="N295" s="30" t="str">
        <f t="array" ref="N295">IF($A295="", "", LET(bbgm_stat, INDEX(Players!$A294:$P294, MATCH(N$2, Players!$A$1:$P$1, 0)), perc_75, VLOOKUP(N$2, Percentiles!$A$45:$I$59, 6, FALSE), perc_90, VLOOKUP(N$2, Percentiles!$A$45:$I$59, 7, FALSE), perc_95, VLOOKUP(N$2, Percentiles!$A$45:$I$59, 8, FALSE), perc_85, perc_75 + (perc_90 - perc_75) * (2/3), converted_stat, '2K_Ratings'!N295, IF(bbgm_stat &gt;= perc_95, converted_stat * 3, IF(bbgm_stat &gt;= perc_90, converted_stat * 2, IF(bbgm_stat &gt;= perc_85, converted_stat * 1.5, converted_stat)))))</f>
        <v/>
      </c>
      <c r="O295" s="30" t="str">
        <f t="array" ref="O295">IF($A295="", "", LET(bbgm_stat, INDEX(Players!$A294:$P294, MATCH(O$2, Players!$A$1:$P$1, 0)), perc_75, VLOOKUP(O$2, Percentiles!$A$45:$I$59, 6, FALSE), perc_90, VLOOKUP(O$2, Percentiles!$A$45:$I$59, 7, FALSE), perc_95, VLOOKUP(O$2, Percentiles!$A$45:$I$59, 8, FALSE), perc_85, perc_75 + (perc_90 - perc_75) * (2/3), converted_stat, '2K_Ratings'!O295, IF(bbgm_stat &gt;= perc_95, converted_stat * 3, IF(bbgm_stat &gt;= perc_90, converted_stat * 2, IF(bbgm_stat &gt;= perc_85, converted_stat * 1.5, converted_stat)))))</f>
        <v/>
      </c>
      <c r="P295" s="30" t="str">
        <f t="array" ref="P295">IF($A295="", "", LET(bbgm_stat, INDEX(Players!$A294:$P294, MATCH(P$2, Players!$A$1:$P$1, 0)), perc_75, VLOOKUP(P$2, Percentiles!$A$45:$I$59, 6, FALSE), perc_90, VLOOKUP(P$2, Percentiles!$A$45:$I$59, 7, FALSE), perc_95, VLOOKUP(P$2, Percentiles!$A$45:$I$59, 8, FALSE), perc_85, perc_75 + (perc_90 - perc_75) * (2/3), converted_stat, '2K_Ratings'!P295, IF(bbgm_stat &gt;= perc_95, converted_stat * 3, IF(bbgm_stat &gt;= perc_90, converted_stat * 2, IF(bbgm_stat &gt;= perc_85, converted_stat * 1.5, converted_stat)))))</f>
        <v/>
      </c>
      <c r="Q295" s="30" t="str">
        <f t="array" ref="Q295">IF($A295="", "", LET(bbgm_stat, INDEX(Players!$A294:$P294, MATCH(Q$2, Players!$A$1:$P$1, 0)), perc_75, VLOOKUP(Q$2, Percentiles!$A$45:$I$59, 6, FALSE), perc_90, VLOOKUP(Q$2, Percentiles!$A$45:$I$59, 7, FALSE), perc_95, VLOOKUP(Q$2, Percentiles!$A$45:$I$59, 8, FALSE), perc_85, perc_75 + (perc_90 - perc_75) * (2/3), converted_stat, '2K_Ratings'!Q295, IF(bbgm_stat &gt;= perc_95, converted_stat * 3, IF(bbgm_stat &gt;= perc_90, converted_stat * 2, IF(bbgm_stat &gt;= perc_85, converted_stat * 1.5, converted_stat)))))</f>
        <v/>
      </c>
      <c r="R295" s="30" t="str">
        <f t="array" ref="R295">IF($A295="", "", LET(bbgm_stat, INDEX(Players!$A294:$P294, MATCH(R$2, Players!$A$1:$P$1, 0)), perc_75, VLOOKUP(R$2, Percentiles!$A$45:$I$59, 6, FALSE), perc_90, VLOOKUP(R$2, Percentiles!$A$45:$I$59, 7, FALSE), perc_95, VLOOKUP(R$2, Percentiles!$A$45:$I$59, 8, FALSE), perc_85, perc_75 + (perc_90 - perc_75) * (2/3), converted_stat, '2K_Ratings'!R295, IF(bbgm_stat &gt;= perc_95, converted_stat * 3, IF(bbgm_stat &gt;= perc_90, converted_stat * 2, IF(bbgm_stat &gt;= perc_85, converted_stat * 1.5, converted_stat)))))</f>
        <v/>
      </c>
      <c r="S295" s="30" t="str">
        <f t="array" ref="S295">IF($A295="", "", LET(bbgm_stat, INDEX(Players!$A294:$P294, MATCH(S$2, Players!$A$1:$P$1, 0)), perc_75, VLOOKUP(S$2, Percentiles!$A$45:$I$59, 6, FALSE), perc_90, VLOOKUP(S$2, Percentiles!$A$45:$I$59, 7, FALSE), perc_95, VLOOKUP(S$2, Percentiles!$A$45:$I$59, 8, FALSE), perc_85, perc_75 + (perc_90 - perc_75) * (2/3), converted_stat, '2K_Ratings'!S295, IF(bbgm_stat &gt;= perc_95, converted_stat * 3, IF(bbgm_stat &gt;= perc_90, converted_stat * 2, IF(bbgm_stat &gt;= perc_85, converted_stat * 1.5, converted_stat)))))</f>
        <v/>
      </c>
      <c r="T295" s="30" t="str">
        <f t="array" ref="T295">IF($A295="", "", LET(bbgm_stat, INDEX(Players!$A294:$P294, MATCH(T$2, Players!$A$1:$P$1, 0)), perc_75, VLOOKUP(T$2, Percentiles!$A$45:$I$59, 6, FALSE), perc_90, VLOOKUP(T$2, Percentiles!$A$45:$I$59, 7, FALSE), perc_95, VLOOKUP(T$2, Percentiles!$A$45:$I$59, 8, FALSE), perc_85, perc_75 + (perc_90 - perc_75) * (2/3), converted_stat, '2K_Ratings'!T295, IF(bbgm_stat &gt;= perc_95, converted_stat * 3, IF(bbgm_stat &gt;= perc_90, converted_stat * 2, IF(bbgm_stat &gt;= perc_85, converted_stat * 1.5, converted_stat)))))</f>
        <v/>
      </c>
      <c r="U295" s="30" t="str">
        <f t="array" ref="U295">IF($A295="", "", LET(bbgm_stat, INDEX(Players!$A294:$P294, MATCH(U$2, Players!$A$1:$P$1, 0)), perc_75, VLOOKUP(U$2, Percentiles!$A$45:$I$59, 6, FALSE), perc_90, VLOOKUP(U$2, Percentiles!$A$45:$I$59, 7, FALSE), perc_95, VLOOKUP(U$2, Percentiles!$A$45:$I$59, 8, FALSE), perc_85, perc_75 + (perc_90 - perc_75) * (2/3), converted_stat, '2K_Ratings'!U295, IF(bbgm_stat &gt;= perc_95, converted_stat * 3, IF(bbgm_stat &gt;= perc_90, converted_stat * 2, IF(bbgm_stat &gt;= perc_85, converted_stat * 1.5, converted_stat)))))</f>
        <v/>
      </c>
      <c r="V295" s="30" t="str">
        <f t="array" ref="V295">IF($A295="", "", LET(bbgm_stat, INDEX(Players!$A294:$P294, MATCH(V$2, Players!$A$1:$P$1, 0)), perc_75, VLOOKUP(V$2, Percentiles!$A$45:$I$59, 6, FALSE), perc_90, VLOOKUP(V$2, Percentiles!$A$45:$I$59, 7, FALSE), perc_95, VLOOKUP(V$2, Percentiles!$A$45:$I$59, 8, FALSE), perc_85, perc_75 + (perc_90 - perc_75) * (2/3), converted_stat, '2K_Ratings'!V295, IF(bbgm_stat &gt;= perc_95, converted_stat * 3, IF(bbgm_stat &gt;= perc_90, converted_stat * 2, IF(bbgm_stat &gt;= perc_85, converted_stat * 1.5, converted_stat)))))</f>
        <v/>
      </c>
      <c r="W295" s="30" t="str">
        <f t="array" ref="W295">IF($A295="", "", LET(bbgm_stat, INDEX(Players!$A294:$P294, MATCH(W$2, Players!$A$1:$P$1, 0)), perc_75, VLOOKUP(W$2, Percentiles!$A$45:$I$59, 6, FALSE), perc_90, VLOOKUP(W$2, Percentiles!$A$45:$I$59, 7, FALSE), perc_95, VLOOKUP(W$2, Percentiles!$A$45:$I$59, 8, FALSE), perc_85, perc_75 + (perc_90 - perc_75) * (2/3), converted_stat, '2K_Ratings'!W295, IF(bbgm_stat &gt;= perc_95, converted_stat * 3, IF(bbgm_stat &gt;= perc_90, converted_stat * 2, IF(bbgm_stat &gt;= perc_85, converted_stat * 1.5, converted_stat)))))</f>
        <v/>
      </c>
    </row>
    <row r="296">
      <c r="A296" s="30"/>
      <c r="B296" s="30" t="str">
        <f t="array" ref="B296">IF($A296="", "", LET(bbgm_stat, INDEX(Players!$A295:$P295, MATCH(B$2, Players!$A$1:$P$1, 0)), perc_75, VLOOKUP(B$2, Percentiles!$A$45:$I$59, 6, FALSE), perc_90, VLOOKUP(B$2, Percentiles!$A$45:$I$59, 7, FALSE), perc_95, VLOOKUP(B$2, Percentiles!$A$45:$I$59, 8, FALSE), perc_85, perc_75 + (perc_90 - perc_75) * (2/3), converted_stat, '2K_Ratings'!B296, IF(bbgm_stat &gt;= perc_95, converted_stat * 3, IF(bbgm_stat &gt;= perc_90, converted_stat * 2, IF(bbgm_stat &gt;= perc_85, converted_stat * 1.5, converted_stat)))))</f>
        <v/>
      </c>
      <c r="C296" s="30" t="str">
        <f t="array" ref="C296">IF($A296="", "", LET(bbgm_stat, INDEX(Players!$A295:$P295, MATCH(C$2, Players!$A$1:$P$1, 0)), perc_75, VLOOKUP(C$2, Percentiles!$A$45:$I$59, 6, FALSE), perc_90, VLOOKUP(C$2, Percentiles!$A$45:$I$59, 7, FALSE), perc_95, VLOOKUP(C$2, Percentiles!$A$45:$I$59, 8, FALSE), perc_85, perc_75 + (perc_90 - perc_75) * (2/3), converted_stat, '2K_Ratings'!C296, IF(bbgm_stat &gt;= perc_95, converted_stat * 3, IF(bbgm_stat &gt;= perc_90, converted_stat * 2, IF(bbgm_stat &gt;= perc_85, converted_stat * 1.5, converted_stat)))))</f>
        <v/>
      </c>
      <c r="D296" s="30" t="str">
        <f t="array" ref="D296">IF($A296="", "", LET(bbgm_stat, INDEX(Players!$A295:$P295, MATCH(D$2, Players!$A$1:$P$1, 0)), perc_75, VLOOKUP(D$2, Percentiles!$A$45:$I$59, 6, FALSE), perc_90, VLOOKUP(D$2, Percentiles!$A$45:$I$59, 7, FALSE), perc_95, VLOOKUP(D$2, Percentiles!$A$45:$I$59, 8, FALSE), perc_85, perc_75 + (perc_90 - perc_75) * (2/3), converted_stat, '2K_Ratings'!D296, IF(bbgm_stat &gt;= perc_95, converted_stat * 3, IF(bbgm_stat &gt;= perc_90, converted_stat * 2, IF(bbgm_stat &gt;= perc_85, converted_stat * 1.5, converted_stat)))))</f>
        <v/>
      </c>
      <c r="E296" s="30" t="str">
        <f t="array" ref="E296">IF($A296="", "", LET(bbgm_stat, INDEX(Players!$A295:$P295, MATCH(E$2, Players!$A$1:$P$1, 0)), perc_75, VLOOKUP(E$2, Percentiles!$A$45:$I$59, 6, FALSE), perc_90, VLOOKUP(E$2, Percentiles!$A$45:$I$59, 7, FALSE), perc_95, VLOOKUP(E$2, Percentiles!$A$45:$I$59, 8, FALSE), perc_85, perc_75 + (perc_90 - perc_75) * (2/3), converted_stat, '2K_Ratings'!E296, IF(bbgm_stat &gt;= perc_95, converted_stat * 3, IF(bbgm_stat &gt;= perc_90, converted_stat * 2, IF(bbgm_stat &gt;= perc_85, converted_stat * 1.5, converted_stat)))))</f>
        <v/>
      </c>
      <c r="F296" s="30" t="str">
        <f t="array" ref="F296">IF($A296="", "", LET(bbgm_stat, INDEX(Players!$A295:$P295, MATCH(F$2, Players!$A$1:$P$1, 0)), perc_75, VLOOKUP(F$2, Percentiles!$A$45:$I$59, 6, FALSE), perc_90, VLOOKUP(F$2, Percentiles!$A$45:$I$59, 7, FALSE), perc_95, VLOOKUP(F$2, Percentiles!$A$45:$I$59, 8, FALSE), perc_85, perc_75 + (perc_90 - perc_75) * (2/3), converted_stat, '2K_Ratings'!F296, IF(bbgm_stat &gt;= perc_95, converted_stat * 3, IF(bbgm_stat &gt;= perc_90, converted_stat * 2, IF(bbgm_stat &gt;= perc_85, converted_stat * 1.5, converted_stat)))))</f>
        <v/>
      </c>
      <c r="G296" s="30" t="str">
        <f t="array" ref="G296">IF($A296="", "", LET(bbgm_stat, INDEX(Players!$A295:$P295, MATCH(G$2, Players!$A$1:$P$1, 0)), perc_75, VLOOKUP(G$2, Percentiles!$A$45:$I$59, 6, FALSE), perc_90, VLOOKUP(G$2, Percentiles!$A$45:$I$59, 7, FALSE), perc_95, VLOOKUP(G$2, Percentiles!$A$45:$I$59, 8, FALSE), perc_85, perc_75 + (perc_90 - perc_75) * (2/3), converted_stat, '2K_Ratings'!G296, IF(bbgm_stat &gt;= perc_95, converted_stat * 3, IF(bbgm_stat &gt;= perc_90, converted_stat * 2, IF(bbgm_stat &gt;= perc_85, converted_stat * 1.5, converted_stat)))))</f>
        <v/>
      </c>
      <c r="H296" s="30" t="str">
        <f t="array" ref="H296">IF($A296="", "", LET(bbgm_stat, INDEX(Players!$A295:$P295, MATCH(H$2, Players!$A$1:$P$1, 0)), perc_75, VLOOKUP(H$2, Percentiles!$A$45:$I$59, 6, FALSE), perc_90, VLOOKUP(H$2, Percentiles!$A$45:$I$59, 7, FALSE), perc_95, VLOOKUP(H$2, Percentiles!$A$45:$I$59, 8, FALSE), perc_85, perc_75 + (perc_90 - perc_75) * (2/3), converted_stat, '2K_Ratings'!H296, IF(bbgm_stat &gt;= perc_95, converted_stat * 3, IF(bbgm_stat &gt;= perc_90, converted_stat * 2, IF(bbgm_stat &gt;= perc_85, converted_stat * 1.5, converted_stat)))))</f>
        <v/>
      </c>
      <c r="I296" s="30" t="str">
        <f t="array" ref="I296">IF($A296="", "", LET(bbgm_stat, INDEX(Players!$A295:$P295, MATCH(I$2, Players!$A$1:$P$1, 0)), perc_75, VLOOKUP(I$2, Percentiles!$A$45:$I$59, 6, FALSE), perc_90, VLOOKUP(I$2, Percentiles!$A$45:$I$59, 7, FALSE), perc_95, VLOOKUP(I$2, Percentiles!$A$45:$I$59, 8, FALSE), perc_85, perc_75 + (perc_90 - perc_75) * (2/3), converted_stat, '2K_Ratings'!I296, IF(bbgm_stat &gt;= perc_95, converted_stat * 3, IF(bbgm_stat &gt;= perc_90, converted_stat * 2, IF(bbgm_stat &gt;= perc_85, converted_stat * 1.5, converted_stat)))))</f>
        <v/>
      </c>
      <c r="J296" s="30" t="str">
        <f t="array" ref="J296">IF($A296="", "", LET(bbgm_stat, INDEX(Players!$A295:$P295, MATCH(J$2, Players!$A$1:$P$1, 0)), perc_75, VLOOKUP(J$2, Percentiles!$A$45:$I$59, 6, FALSE), perc_90, VLOOKUP(J$2, Percentiles!$A$45:$I$59, 7, FALSE), perc_95, VLOOKUP(J$2, Percentiles!$A$45:$I$59, 8, FALSE), perc_85, perc_75 + (perc_90 - perc_75) * (2/3), converted_stat, '2K_Ratings'!J296, IF(bbgm_stat &gt;= perc_95, converted_stat * 3, IF(bbgm_stat &gt;= perc_90, converted_stat * 2, IF(bbgm_stat &gt;= perc_85, converted_stat * 1.5, converted_stat)))))</f>
        <v/>
      </c>
      <c r="K296" s="30" t="str">
        <f t="array" ref="K296">IF($A296="", "", LET(bbgm_stat, INDEX(Players!$A295:$P295, MATCH(K$2, Players!$A$1:$P$1, 0)), perc_75, VLOOKUP(K$2, Percentiles!$A$45:$I$59, 6, FALSE), perc_90, VLOOKUP(K$2, Percentiles!$A$45:$I$59, 7, FALSE), perc_95, VLOOKUP(K$2, Percentiles!$A$45:$I$59, 8, FALSE), perc_85, perc_75 + (perc_90 - perc_75) * (2/3), converted_stat, '2K_Ratings'!K296, IF(bbgm_stat &gt;= perc_95, converted_stat * 3, IF(bbgm_stat &gt;= perc_90, converted_stat * 2, IF(bbgm_stat &gt;= perc_85, converted_stat * 1.5, converted_stat)))))</f>
        <v/>
      </c>
      <c r="L296" s="30" t="str">
        <f t="array" ref="L296">IF($A296="", "", LET(bbgm_stat, INDEX(Players!$A295:$P295, MATCH(L$2, Players!$A$1:$P$1, 0)), perc_75, VLOOKUP(L$2, Percentiles!$A$45:$I$59, 6, FALSE), perc_90, VLOOKUP(L$2, Percentiles!$A$45:$I$59, 7, FALSE), perc_95, VLOOKUP(L$2, Percentiles!$A$45:$I$59, 8, FALSE), perc_85, perc_75 + (perc_90 - perc_75) * (2/3), converted_stat, '2K_Ratings'!L296, IF(bbgm_stat &gt;= perc_95, converted_stat * 3, IF(bbgm_stat &gt;= perc_90, converted_stat * 2, IF(bbgm_stat &gt;= perc_85, converted_stat * 1.5, converted_stat)))))</f>
        <v/>
      </c>
      <c r="M296" s="30" t="str">
        <f t="array" ref="M296">IF($A296="", "", LET(bbgm_stat, INDEX(Players!$A295:$P295, MATCH(M$2, Players!$A$1:$P$1, 0)), perc_75, VLOOKUP(M$2, Percentiles!$A$45:$I$59, 6, FALSE), perc_90, VLOOKUP(M$2, Percentiles!$A$45:$I$59, 7, FALSE), perc_95, VLOOKUP(M$2, Percentiles!$A$45:$I$59, 8, FALSE), perc_85, perc_75 + (perc_90 - perc_75) * (2/3), converted_stat, '2K_Ratings'!M296, IF(bbgm_stat &gt;= perc_95, converted_stat * 3, IF(bbgm_stat &gt;= perc_90, converted_stat * 2, IF(bbgm_stat &gt;= perc_85, converted_stat * 1.5, converted_stat)))))</f>
        <v/>
      </c>
      <c r="N296" s="30" t="str">
        <f t="array" ref="N296">IF($A296="", "", LET(bbgm_stat, INDEX(Players!$A295:$P295, MATCH(N$2, Players!$A$1:$P$1, 0)), perc_75, VLOOKUP(N$2, Percentiles!$A$45:$I$59, 6, FALSE), perc_90, VLOOKUP(N$2, Percentiles!$A$45:$I$59, 7, FALSE), perc_95, VLOOKUP(N$2, Percentiles!$A$45:$I$59, 8, FALSE), perc_85, perc_75 + (perc_90 - perc_75) * (2/3), converted_stat, '2K_Ratings'!N296, IF(bbgm_stat &gt;= perc_95, converted_stat * 3, IF(bbgm_stat &gt;= perc_90, converted_stat * 2, IF(bbgm_stat &gt;= perc_85, converted_stat * 1.5, converted_stat)))))</f>
        <v/>
      </c>
      <c r="O296" s="30" t="str">
        <f t="array" ref="O296">IF($A296="", "", LET(bbgm_stat, INDEX(Players!$A295:$P295, MATCH(O$2, Players!$A$1:$P$1, 0)), perc_75, VLOOKUP(O$2, Percentiles!$A$45:$I$59, 6, FALSE), perc_90, VLOOKUP(O$2, Percentiles!$A$45:$I$59, 7, FALSE), perc_95, VLOOKUP(O$2, Percentiles!$A$45:$I$59, 8, FALSE), perc_85, perc_75 + (perc_90 - perc_75) * (2/3), converted_stat, '2K_Ratings'!O296, IF(bbgm_stat &gt;= perc_95, converted_stat * 3, IF(bbgm_stat &gt;= perc_90, converted_stat * 2, IF(bbgm_stat &gt;= perc_85, converted_stat * 1.5, converted_stat)))))</f>
        <v/>
      </c>
      <c r="P296" s="30" t="str">
        <f t="array" ref="P296">IF($A296="", "", LET(bbgm_stat, INDEX(Players!$A295:$P295, MATCH(P$2, Players!$A$1:$P$1, 0)), perc_75, VLOOKUP(P$2, Percentiles!$A$45:$I$59, 6, FALSE), perc_90, VLOOKUP(P$2, Percentiles!$A$45:$I$59, 7, FALSE), perc_95, VLOOKUP(P$2, Percentiles!$A$45:$I$59, 8, FALSE), perc_85, perc_75 + (perc_90 - perc_75) * (2/3), converted_stat, '2K_Ratings'!P296, IF(bbgm_stat &gt;= perc_95, converted_stat * 3, IF(bbgm_stat &gt;= perc_90, converted_stat * 2, IF(bbgm_stat &gt;= perc_85, converted_stat * 1.5, converted_stat)))))</f>
        <v/>
      </c>
      <c r="Q296" s="30" t="str">
        <f t="array" ref="Q296">IF($A296="", "", LET(bbgm_stat, INDEX(Players!$A295:$P295, MATCH(Q$2, Players!$A$1:$P$1, 0)), perc_75, VLOOKUP(Q$2, Percentiles!$A$45:$I$59, 6, FALSE), perc_90, VLOOKUP(Q$2, Percentiles!$A$45:$I$59, 7, FALSE), perc_95, VLOOKUP(Q$2, Percentiles!$A$45:$I$59, 8, FALSE), perc_85, perc_75 + (perc_90 - perc_75) * (2/3), converted_stat, '2K_Ratings'!Q296, IF(bbgm_stat &gt;= perc_95, converted_stat * 3, IF(bbgm_stat &gt;= perc_90, converted_stat * 2, IF(bbgm_stat &gt;= perc_85, converted_stat * 1.5, converted_stat)))))</f>
        <v/>
      </c>
      <c r="R296" s="30" t="str">
        <f t="array" ref="R296">IF($A296="", "", LET(bbgm_stat, INDEX(Players!$A295:$P295, MATCH(R$2, Players!$A$1:$P$1, 0)), perc_75, VLOOKUP(R$2, Percentiles!$A$45:$I$59, 6, FALSE), perc_90, VLOOKUP(R$2, Percentiles!$A$45:$I$59, 7, FALSE), perc_95, VLOOKUP(R$2, Percentiles!$A$45:$I$59, 8, FALSE), perc_85, perc_75 + (perc_90 - perc_75) * (2/3), converted_stat, '2K_Ratings'!R296, IF(bbgm_stat &gt;= perc_95, converted_stat * 3, IF(bbgm_stat &gt;= perc_90, converted_stat * 2, IF(bbgm_stat &gt;= perc_85, converted_stat * 1.5, converted_stat)))))</f>
        <v/>
      </c>
      <c r="S296" s="30" t="str">
        <f t="array" ref="S296">IF($A296="", "", LET(bbgm_stat, INDEX(Players!$A295:$P295, MATCH(S$2, Players!$A$1:$P$1, 0)), perc_75, VLOOKUP(S$2, Percentiles!$A$45:$I$59, 6, FALSE), perc_90, VLOOKUP(S$2, Percentiles!$A$45:$I$59, 7, FALSE), perc_95, VLOOKUP(S$2, Percentiles!$A$45:$I$59, 8, FALSE), perc_85, perc_75 + (perc_90 - perc_75) * (2/3), converted_stat, '2K_Ratings'!S296, IF(bbgm_stat &gt;= perc_95, converted_stat * 3, IF(bbgm_stat &gt;= perc_90, converted_stat * 2, IF(bbgm_stat &gt;= perc_85, converted_stat * 1.5, converted_stat)))))</f>
        <v/>
      </c>
      <c r="T296" s="30" t="str">
        <f t="array" ref="T296">IF($A296="", "", LET(bbgm_stat, INDEX(Players!$A295:$P295, MATCH(T$2, Players!$A$1:$P$1, 0)), perc_75, VLOOKUP(T$2, Percentiles!$A$45:$I$59, 6, FALSE), perc_90, VLOOKUP(T$2, Percentiles!$A$45:$I$59, 7, FALSE), perc_95, VLOOKUP(T$2, Percentiles!$A$45:$I$59, 8, FALSE), perc_85, perc_75 + (perc_90 - perc_75) * (2/3), converted_stat, '2K_Ratings'!T296, IF(bbgm_stat &gt;= perc_95, converted_stat * 3, IF(bbgm_stat &gt;= perc_90, converted_stat * 2, IF(bbgm_stat &gt;= perc_85, converted_stat * 1.5, converted_stat)))))</f>
        <v/>
      </c>
      <c r="U296" s="30" t="str">
        <f t="array" ref="U296">IF($A296="", "", LET(bbgm_stat, INDEX(Players!$A295:$P295, MATCH(U$2, Players!$A$1:$P$1, 0)), perc_75, VLOOKUP(U$2, Percentiles!$A$45:$I$59, 6, FALSE), perc_90, VLOOKUP(U$2, Percentiles!$A$45:$I$59, 7, FALSE), perc_95, VLOOKUP(U$2, Percentiles!$A$45:$I$59, 8, FALSE), perc_85, perc_75 + (perc_90 - perc_75) * (2/3), converted_stat, '2K_Ratings'!U296, IF(bbgm_stat &gt;= perc_95, converted_stat * 3, IF(bbgm_stat &gt;= perc_90, converted_stat * 2, IF(bbgm_stat &gt;= perc_85, converted_stat * 1.5, converted_stat)))))</f>
        <v/>
      </c>
      <c r="V296" s="30" t="str">
        <f t="array" ref="V296">IF($A296="", "", LET(bbgm_stat, INDEX(Players!$A295:$P295, MATCH(V$2, Players!$A$1:$P$1, 0)), perc_75, VLOOKUP(V$2, Percentiles!$A$45:$I$59, 6, FALSE), perc_90, VLOOKUP(V$2, Percentiles!$A$45:$I$59, 7, FALSE), perc_95, VLOOKUP(V$2, Percentiles!$A$45:$I$59, 8, FALSE), perc_85, perc_75 + (perc_90 - perc_75) * (2/3), converted_stat, '2K_Ratings'!V296, IF(bbgm_stat &gt;= perc_95, converted_stat * 3, IF(bbgm_stat &gt;= perc_90, converted_stat * 2, IF(bbgm_stat &gt;= perc_85, converted_stat * 1.5, converted_stat)))))</f>
        <v/>
      </c>
      <c r="W296" s="30" t="str">
        <f t="array" ref="W296">IF($A296="", "", LET(bbgm_stat, INDEX(Players!$A295:$P295, MATCH(W$2, Players!$A$1:$P$1, 0)), perc_75, VLOOKUP(W$2, Percentiles!$A$45:$I$59, 6, FALSE), perc_90, VLOOKUP(W$2, Percentiles!$A$45:$I$59, 7, FALSE), perc_95, VLOOKUP(W$2, Percentiles!$A$45:$I$59, 8, FALSE), perc_85, perc_75 + (perc_90 - perc_75) * (2/3), converted_stat, '2K_Ratings'!W296, IF(bbgm_stat &gt;= perc_95, converted_stat * 3, IF(bbgm_stat &gt;= perc_90, converted_stat * 2, IF(bbgm_stat &gt;= perc_85, converted_stat * 1.5, converted_stat)))))</f>
        <v/>
      </c>
    </row>
    <row r="297">
      <c r="A297" s="30"/>
      <c r="B297" s="30" t="str">
        <f t="array" ref="B297">IF($A297="", "", LET(bbgm_stat, INDEX(Players!$A296:$P296, MATCH(B$2, Players!$A$1:$P$1, 0)), perc_75, VLOOKUP(B$2, Percentiles!$A$45:$I$59, 6, FALSE), perc_90, VLOOKUP(B$2, Percentiles!$A$45:$I$59, 7, FALSE), perc_95, VLOOKUP(B$2, Percentiles!$A$45:$I$59, 8, FALSE), perc_85, perc_75 + (perc_90 - perc_75) * (2/3), converted_stat, '2K_Ratings'!B297, IF(bbgm_stat &gt;= perc_95, converted_stat * 3, IF(bbgm_stat &gt;= perc_90, converted_stat * 2, IF(bbgm_stat &gt;= perc_85, converted_stat * 1.5, converted_stat)))))</f>
        <v/>
      </c>
      <c r="C297" s="30" t="str">
        <f t="array" ref="C297">IF($A297="", "", LET(bbgm_stat, INDEX(Players!$A296:$P296, MATCH(C$2, Players!$A$1:$P$1, 0)), perc_75, VLOOKUP(C$2, Percentiles!$A$45:$I$59, 6, FALSE), perc_90, VLOOKUP(C$2, Percentiles!$A$45:$I$59, 7, FALSE), perc_95, VLOOKUP(C$2, Percentiles!$A$45:$I$59, 8, FALSE), perc_85, perc_75 + (perc_90 - perc_75) * (2/3), converted_stat, '2K_Ratings'!C297, IF(bbgm_stat &gt;= perc_95, converted_stat * 3, IF(bbgm_stat &gt;= perc_90, converted_stat * 2, IF(bbgm_stat &gt;= perc_85, converted_stat * 1.5, converted_stat)))))</f>
        <v/>
      </c>
      <c r="D297" s="30" t="str">
        <f t="array" ref="D297">IF($A297="", "", LET(bbgm_stat, INDEX(Players!$A296:$P296, MATCH(D$2, Players!$A$1:$P$1, 0)), perc_75, VLOOKUP(D$2, Percentiles!$A$45:$I$59, 6, FALSE), perc_90, VLOOKUP(D$2, Percentiles!$A$45:$I$59, 7, FALSE), perc_95, VLOOKUP(D$2, Percentiles!$A$45:$I$59, 8, FALSE), perc_85, perc_75 + (perc_90 - perc_75) * (2/3), converted_stat, '2K_Ratings'!D297, IF(bbgm_stat &gt;= perc_95, converted_stat * 3, IF(bbgm_stat &gt;= perc_90, converted_stat * 2, IF(bbgm_stat &gt;= perc_85, converted_stat * 1.5, converted_stat)))))</f>
        <v/>
      </c>
      <c r="E297" s="30" t="str">
        <f t="array" ref="E297">IF($A297="", "", LET(bbgm_stat, INDEX(Players!$A296:$P296, MATCH(E$2, Players!$A$1:$P$1, 0)), perc_75, VLOOKUP(E$2, Percentiles!$A$45:$I$59, 6, FALSE), perc_90, VLOOKUP(E$2, Percentiles!$A$45:$I$59, 7, FALSE), perc_95, VLOOKUP(E$2, Percentiles!$A$45:$I$59, 8, FALSE), perc_85, perc_75 + (perc_90 - perc_75) * (2/3), converted_stat, '2K_Ratings'!E297, IF(bbgm_stat &gt;= perc_95, converted_stat * 3, IF(bbgm_stat &gt;= perc_90, converted_stat * 2, IF(bbgm_stat &gt;= perc_85, converted_stat * 1.5, converted_stat)))))</f>
        <v/>
      </c>
      <c r="F297" s="30" t="str">
        <f t="array" ref="F297">IF($A297="", "", LET(bbgm_stat, INDEX(Players!$A296:$P296, MATCH(F$2, Players!$A$1:$P$1, 0)), perc_75, VLOOKUP(F$2, Percentiles!$A$45:$I$59, 6, FALSE), perc_90, VLOOKUP(F$2, Percentiles!$A$45:$I$59, 7, FALSE), perc_95, VLOOKUP(F$2, Percentiles!$A$45:$I$59, 8, FALSE), perc_85, perc_75 + (perc_90 - perc_75) * (2/3), converted_stat, '2K_Ratings'!F297, IF(bbgm_stat &gt;= perc_95, converted_stat * 3, IF(bbgm_stat &gt;= perc_90, converted_stat * 2, IF(bbgm_stat &gt;= perc_85, converted_stat * 1.5, converted_stat)))))</f>
        <v/>
      </c>
      <c r="G297" s="30" t="str">
        <f t="array" ref="G297">IF($A297="", "", LET(bbgm_stat, INDEX(Players!$A296:$P296, MATCH(G$2, Players!$A$1:$P$1, 0)), perc_75, VLOOKUP(G$2, Percentiles!$A$45:$I$59, 6, FALSE), perc_90, VLOOKUP(G$2, Percentiles!$A$45:$I$59, 7, FALSE), perc_95, VLOOKUP(G$2, Percentiles!$A$45:$I$59, 8, FALSE), perc_85, perc_75 + (perc_90 - perc_75) * (2/3), converted_stat, '2K_Ratings'!G297, IF(bbgm_stat &gt;= perc_95, converted_stat * 3, IF(bbgm_stat &gt;= perc_90, converted_stat * 2, IF(bbgm_stat &gt;= perc_85, converted_stat * 1.5, converted_stat)))))</f>
        <v/>
      </c>
      <c r="H297" s="30" t="str">
        <f t="array" ref="H297">IF($A297="", "", LET(bbgm_stat, INDEX(Players!$A296:$P296, MATCH(H$2, Players!$A$1:$P$1, 0)), perc_75, VLOOKUP(H$2, Percentiles!$A$45:$I$59, 6, FALSE), perc_90, VLOOKUP(H$2, Percentiles!$A$45:$I$59, 7, FALSE), perc_95, VLOOKUP(H$2, Percentiles!$A$45:$I$59, 8, FALSE), perc_85, perc_75 + (perc_90 - perc_75) * (2/3), converted_stat, '2K_Ratings'!H297, IF(bbgm_stat &gt;= perc_95, converted_stat * 3, IF(bbgm_stat &gt;= perc_90, converted_stat * 2, IF(bbgm_stat &gt;= perc_85, converted_stat * 1.5, converted_stat)))))</f>
        <v/>
      </c>
      <c r="I297" s="30" t="str">
        <f t="array" ref="I297">IF($A297="", "", LET(bbgm_stat, INDEX(Players!$A296:$P296, MATCH(I$2, Players!$A$1:$P$1, 0)), perc_75, VLOOKUP(I$2, Percentiles!$A$45:$I$59, 6, FALSE), perc_90, VLOOKUP(I$2, Percentiles!$A$45:$I$59, 7, FALSE), perc_95, VLOOKUP(I$2, Percentiles!$A$45:$I$59, 8, FALSE), perc_85, perc_75 + (perc_90 - perc_75) * (2/3), converted_stat, '2K_Ratings'!I297, IF(bbgm_stat &gt;= perc_95, converted_stat * 3, IF(bbgm_stat &gt;= perc_90, converted_stat * 2, IF(bbgm_stat &gt;= perc_85, converted_stat * 1.5, converted_stat)))))</f>
        <v/>
      </c>
      <c r="J297" s="30" t="str">
        <f t="array" ref="J297">IF($A297="", "", LET(bbgm_stat, INDEX(Players!$A296:$P296, MATCH(J$2, Players!$A$1:$P$1, 0)), perc_75, VLOOKUP(J$2, Percentiles!$A$45:$I$59, 6, FALSE), perc_90, VLOOKUP(J$2, Percentiles!$A$45:$I$59, 7, FALSE), perc_95, VLOOKUP(J$2, Percentiles!$A$45:$I$59, 8, FALSE), perc_85, perc_75 + (perc_90 - perc_75) * (2/3), converted_stat, '2K_Ratings'!J297, IF(bbgm_stat &gt;= perc_95, converted_stat * 3, IF(bbgm_stat &gt;= perc_90, converted_stat * 2, IF(bbgm_stat &gt;= perc_85, converted_stat * 1.5, converted_stat)))))</f>
        <v/>
      </c>
      <c r="K297" s="30" t="str">
        <f t="array" ref="K297">IF($A297="", "", LET(bbgm_stat, INDEX(Players!$A296:$P296, MATCH(K$2, Players!$A$1:$P$1, 0)), perc_75, VLOOKUP(K$2, Percentiles!$A$45:$I$59, 6, FALSE), perc_90, VLOOKUP(K$2, Percentiles!$A$45:$I$59, 7, FALSE), perc_95, VLOOKUP(K$2, Percentiles!$A$45:$I$59, 8, FALSE), perc_85, perc_75 + (perc_90 - perc_75) * (2/3), converted_stat, '2K_Ratings'!K297, IF(bbgm_stat &gt;= perc_95, converted_stat * 3, IF(bbgm_stat &gt;= perc_90, converted_stat * 2, IF(bbgm_stat &gt;= perc_85, converted_stat * 1.5, converted_stat)))))</f>
        <v/>
      </c>
      <c r="L297" s="30" t="str">
        <f t="array" ref="L297">IF($A297="", "", LET(bbgm_stat, INDEX(Players!$A296:$P296, MATCH(L$2, Players!$A$1:$P$1, 0)), perc_75, VLOOKUP(L$2, Percentiles!$A$45:$I$59, 6, FALSE), perc_90, VLOOKUP(L$2, Percentiles!$A$45:$I$59, 7, FALSE), perc_95, VLOOKUP(L$2, Percentiles!$A$45:$I$59, 8, FALSE), perc_85, perc_75 + (perc_90 - perc_75) * (2/3), converted_stat, '2K_Ratings'!L297, IF(bbgm_stat &gt;= perc_95, converted_stat * 3, IF(bbgm_stat &gt;= perc_90, converted_stat * 2, IF(bbgm_stat &gt;= perc_85, converted_stat * 1.5, converted_stat)))))</f>
        <v/>
      </c>
      <c r="M297" s="30" t="str">
        <f t="array" ref="M297">IF($A297="", "", LET(bbgm_stat, INDEX(Players!$A296:$P296, MATCH(M$2, Players!$A$1:$P$1, 0)), perc_75, VLOOKUP(M$2, Percentiles!$A$45:$I$59, 6, FALSE), perc_90, VLOOKUP(M$2, Percentiles!$A$45:$I$59, 7, FALSE), perc_95, VLOOKUP(M$2, Percentiles!$A$45:$I$59, 8, FALSE), perc_85, perc_75 + (perc_90 - perc_75) * (2/3), converted_stat, '2K_Ratings'!M297, IF(bbgm_stat &gt;= perc_95, converted_stat * 3, IF(bbgm_stat &gt;= perc_90, converted_stat * 2, IF(bbgm_stat &gt;= perc_85, converted_stat * 1.5, converted_stat)))))</f>
        <v/>
      </c>
      <c r="N297" s="30" t="str">
        <f t="array" ref="N297">IF($A297="", "", LET(bbgm_stat, INDEX(Players!$A296:$P296, MATCH(N$2, Players!$A$1:$P$1, 0)), perc_75, VLOOKUP(N$2, Percentiles!$A$45:$I$59, 6, FALSE), perc_90, VLOOKUP(N$2, Percentiles!$A$45:$I$59, 7, FALSE), perc_95, VLOOKUP(N$2, Percentiles!$A$45:$I$59, 8, FALSE), perc_85, perc_75 + (perc_90 - perc_75) * (2/3), converted_stat, '2K_Ratings'!N297, IF(bbgm_stat &gt;= perc_95, converted_stat * 3, IF(bbgm_stat &gt;= perc_90, converted_stat * 2, IF(bbgm_stat &gt;= perc_85, converted_stat * 1.5, converted_stat)))))</f>
        <v/>
      </c>
      <c r="O297" s="30" t="str">
        <f t="array" ref="O297">IF($A297="", "", LET(bbgm_stat, INDEX(Players!$A296:$P296, MATCH(O$2, Players!$A$1:$P$1, 0)), perc_75, VLOOKUP(O$2, Percentiles!$A$45:$I$59, 6, FALSE), perc_90, VLOOKUP(O$2, Percentiles!$A$45:$I$59, 7, FALSE), perc_95, VLOOKUP(O$2, Percentiles!$A$45:$I$59, 8, FALSE), perc_85, perc_75 + (perc_90 - perc_75) * (2/3), converted_stat, '2K_Ratings'!O297, IF(bbgm_stat &gt;= perc_95, converted_stat * 3, IF(bbgm_stat &gt;= perc_90, converted_stat * 2, IF(bbgm_stat &gt;= perc_85, converted_stat * 1.5, converted_stat)))))</f>
        <v/>
      </c>
      <c r="P297" s="30" t="str">
        <f t="array" ref="P297">IF($A297="", "", LET(bbgm_stat, INDEX(Players!$A296:$P296, MATCH(P$2, Players!$A$1:$P$1, 0)), perc_75, VLOOKUP(P$2, Percentiles!$A$45:$I$59, 6, FALSE), perc_90, VLOOKUP(P$2, Percentiles!$A$45:$I$59, 7, FALSE), perc_95, VLOOKUP(P$2, Percentiles!$A$45:$I$59, 8, FALSE), perc_85, perc_75 + (perc_90 - perc_75) * (2/3), converted_stat, '2K_Ratings'!P297, IF(bbgm_stat &gt;= perc_95, converted_stat * 3, IF(bbgm_stat &gt;= perc_90, converted_stat * 2, IF(bbgm_stat &gt;= perc_85, converted_stat * 1.5, converted_stat)))))</f>
        <v/>
      </c>
      <c r="Q297" s="30" t="str">
        <f t="array" ref="Q297">IF($A297="", "", LET(bbgm_stat, INDEX(Players!$A296:$P296, MATCH(Q$2, Players!$A$1:$P$1, 0)), perc_75, VLOOKUP(Q$2, Percentiles!$A$45:$I$59, 6, FALSE), perc_90, VLOOKUP(Q$2, Percentiles!$A$45:$I$59, 7, FALSE), perc_95, VLOOKUP(Q$2, Percentiles!$A$45:$I$59, 8, FALSE), perc_85, perc_75 + (perc_90 - perc_75) * (2/3), converted_stat, '2K_Ratings'!Q297, IF(bbgm_stat &gt;= perc_95, converted_stat * 3, IF(bbgm_stat &gt;= perc_90, converted_stat * 2, IF(bbgm_stat &gt;= perc_85, converted_stat * 1.5, converted_stat)))))</f>
        <v/>
      </c>
      <c r="R297" s="30" t="str">
        <f t="array" ref="R297">IF($A297="", "", LET(bbgm_stat, INDEX(Players!$A296:$P296, MATCH(R$2, Players!$A$1:$P$1, 0)), perc_75, VLOOKUP(R$2, Percentiles!$A$45:$I$59, 6, FALSE), perc_90, VLOOKUP(R$2, Percentiles!$A$45:$I$59, 7, FALSE), perc_95, VLOOKUP(R$2, Percentiles!$A$45:$I$59, 8, FALSE), perc_85, perc_75 + (perc_90 - perc_75) * (2/3), converted_stat, '2K_Ratings'!R297, IF(bbgm_stat &gt;= perc_95, converted_stat * 3, IF(bbgm_stat &gt;= perc_90, converted_stat * 2, IF(bbgm_stat &gt;= perc_85, converted_stat * 1.5, converted_stat)))))</f>
        <v/>
      </c>
      <c r="S297" s="30" t="str">
        <f t="array" ref="S297">IF($A297="", "", LET(bbgm_stat, INDEX(Players!$A296:$P296, MATCH(S$2, Players!$A$1:$P$1, 0)), perc_75, VLOOKUP(S$2, Percentiles!$A$45:$I$59, 6, FALSE), perc_90, VLOOKUP(S$2, Percentiles!$A$45:$I$59, 7, FALSE), perc_95, VLOOKUP(S$2, Percentiles!$A$45:$I$59, 8, FALSE), perc_85, perc_75 + (perc_90 - perc_75) * (2/3), converted_stat, '2K_Ratings'!S297, IF(bbgm_stat &gt;= perc_95, converted_stat * 3, IF(bbgm_stat &gt;= perc_90, converted_stat * 2, IF(bbgm_stat &gt;= perc_85, converted_stat * 1.5, converted_stat)))))</f>
        <v/>
      </c>
      <c r="T297" s="30" t="str">
        <f t="array" ref="T297">IF($A297="", "", LET(bbgm_stat, INDEX(Players!$A296:$P296, MATCH(T$2, Players!$A$1:$P$1, 0)), perc_75, VLOOKUP(T$2, Percentiles!$A$45:$I$59, 6, FALSE), perc_90, VLOOKUP(T$2, Percentiles!$A$45:$I$59, 7, FALSE), perc_95, VLOOKUP(T$2, Percentiles!$A$45:$I$59, 8, FALSE), perc_85, perc_75 + (perc_90 - perc_75) * (2/3), converted_stat, '2K_Ratings'!T297, IF(bbgm_stat &gt;= perc_95, converted_stat * 3, IF(bbgm_stat &gt;= perc_90, converted_stat * 2, IF(bbgm_stat &gt;= perc_85, converted_stat * 1.5, converted_stat)))))</f>
        <v/>
      </c>
      <c r="U297" s="30" t="str">
        <f t="array" ref="U297">IF($A297="", "", LET(bbgm_stat, INDEX(Players!$A296:$P296, MATCH(U$2, Players!$A$1:$P$1, 0)), perc_75, VLOOKUP(U$2, Percentiles!$A$45:$I$59, 6, FALSE), perc_90, VLOOKUP(U$2, Percentiles!$A$45:$I$59, 7, FALSE), perc_95, VLOOKUP(U$2, Percentiles!$A$45:$I$59, 8, FALSE), perc_85, perc_75 + (perc_90 - perc_75) * (2/3), converted_stat, '2K_Ratings'!U297, IF(bbgm_stat &gt;= perc_95, converted_stat * 3, IF(bbgm_stat &gt;= perc_90, converted_stat * 2, IF(bbgm_stat &gt;= perc_85, converted_stat * 1.5, converted_stat)))))</f>
        <v/>
      </c>
      <c r="V297" s="30" t="str">
        <f t="array" ref="V297">IF($A297="", "", LET(bbgm_stat, INDEX(Players!$A296:$P296, MATCH(V$2, Players!$A$1:$P$1, 0)), perc_75, VLOOKUP(V$2, Percentiles!$A$45:$I$59, 6, FALSE), perc_90, VLOOKUP(V$2, Percentiles!$A$45:$I$59, 7, FALSE), perc_95, VLOOKUP(V$2, Percentiles!$A$45:$I$59, 8, FALSE), perc_85, perc_75 + (perc_90 - perc_75) * (2/3), converted_stat, '2K_Ratings'!V297, IF(bbgm_stat &gt;= perc_95, converted_stat * 3, IF(bbgm_stat &gt;= perc_90, converted_stat * 2, IF(bbgm_stat &gt;= perc_85, converted_stat * 1.5, converted_stat)))))</f>
        <v/>
      </c>
      <c r="W297" s="30" t="str">
        <f t="array" ref="W297">IF($A297="", "", LET(bbgm_stat, INDEX(Players!$A296:$P296, MATCH(W$2, Players!$A$1:$P$1, 0)), perc_75, VLOOKUP(W$2, Percentiles!$A$45:$I$59, 6, FALSE), perc_90, VLOOKUP(W$2, Percentiles!$A$45:$I$59, 7, FALSE), perc_95, VLOOKUP(W$2, Percentiles!$A$45:$I$59, 8, FALSE), perc_85, perc_75 + (perc_90 - perc_75) * (2/3), converted_stat, '2K_Ratings'!W297, IF(bbgm_stat &gt;= perc_95, converted_stat * 3, IF(bbgm_stat &gt;= perc_90, converted_stat * 2, IF(bbgm_stat &gt;= perc_85, converted_stat * 1.5, converted_stat)))))</f>
        <v/>
      </c>
    </row>
    <row r="298">
      <c r="A298" s="30"/>
      <c r="B298" s="30" t="str">
        <f t="array" ref="B298">IF($A298="", "", LET(bbgm_stat, INDEX(Players!$A297:$P297, MATCH(B$2, Players!$A$1:$P$1, 0)), perc_75, VLOOKUP(B$2, Percentiles!$A$45:$I$59, 6, FALSE), perc_90, VLOOKUP(B$2, Percentiles!$A$45:$I$59, 7, FALSE), perc_95, VLOOKUP(B$2, Percentiles!$A$45:$I$59, 8, FALSE), perc_85, perc_75 + (perc_90 - perc_75) * (2/3), converted_stat, '2K_Ratings'!B298, IF(bbgm_stat &gt;= perc_95, converted_stat * 3, IF(bbgm_stat &gt;= perc_90, converted_stat * 2, IF(bbgm_stat &gt;= perc_85, converted_stat * 1.5, converted_stat)))))</f>
        <v/>
      </c>
      <c r="C298" s="30" t="str">
        <f t="array" ref="C298">IF($A298="", "", LET(bbgm_stat, INDEX(Players!$A297:$P297, MATCH(C$2, Players!$A$1:$P$1, 0)), perc_75, VLOOKUP(C$2, Percentiles!$A$45:$I$59, 6, FALSE), perc_90, VLOOKUP(C$2, Percentiles!$A$45:$I$59, 7, FALSE), perc_95, VLOOKUP(C$2, Percentiles!$A$45:$I$59, 8, FALSE), perc_85, perc_75 + (perc_90 - perc_75) * (2/3), converted_stat, '2K_Ratings'!C298, IF(bbgm_stat &gt;= perc_95, converted_stat * 3, IF(bbgm_stat &gt;= perc_90, converted_stat * 2, IF(bbgm_stat &gt;= perc_85, converted_stat * 1.5, converted_stat)))))</f>
        <v/>
      </c>
      <c r="D298" s="30" t="str">
        <f t="array" ref="D298">IF($A298="", "", LET(bbgm_stat, INDEX(Players!$A297:$P297, MATCH(D$2, Players!$A$1:$P$1, 0)), perc_75, VLOOKUP(D$2, Percentiles!$A$45:$I$59, 6, FALSE), perc_90, VLOOKUP(D$2, Percentiles!$A$45:$I$59, 7, FALSE), perc_95, VLOOKUP(D$2, Percentiles!$A$45:$I$59, 8, FALSE), perc_85, perc_75 + (perc_90 - perc_75) * (2/3), converted_stat, '2K_Ratings'!D298, IF(bbgm_stat &gt;= perc_95, converted_stat * 3, IF(bbgm_stat &gt;= perc_90, converted_stat * 2, IF(bbgm_stat &gt;= perc_85, converted_stat * 1.5, converted_stat)))))</f>
        <v/>
      </c>
      <c r="E298" s="30" t="str">
        <f t="array" ref="E298">IF($A298="", "", LET(bbgm_stat, INDEX(Players!$A297:$P297, MATCH(E$2, Players!$A$1:$P$1, 0)), perc_75, VLOOKUP(E$2, Percentiles!$A$45:$I$59, 6, FALSE), perc_90, VLOOKUP(E$2, Percentiles!$A$45:$I$59, 7, FALSE), perc_95, VLOOKUP(E$2, Percentiles!$A$45:$I$59, 8, FALSE), perc_85, perc_75 + (perc_90 - perc_75) * (2/3), converted_stat, '2K_Ratings'!E298, IF(bbgm_stat &gt;= perc_95, converted_stat * 3, IF(bbgm_stat &gt;= perc_90, converted_stat * 2, IF(bbgm_stat &gt;= perc_85, converted_stat * 1.5, converted_stat)))))</f>
        <v/>
      </c>
      <c r="F298" s="30" t="str">
        <f t="array" ref="F298">IF($A298="", "", LET(bbgm_stat, INDEX(Players!$A297:$P297, MATCH(F$2, Players!$A$1:$P$1, 0)), perc_75, VLOOKUP(F$2, Percentiles!$A$45:$I$59, 6, FALSE), perc_90, VLOOKUP(F$2, Percentiles!$A$45:$I$59, 7, FALSE), perc_95, VLOOKUP(F$2, Percentiles!$A$45:$I$59, 8, FALSE), perc_85, perc_75 + (perc_90 - perc_75) * (2/3), converted_stat, '2K_Ratings'!F298, IF(bbgm_stat &gt;= perc_95, converted_stat * 3, IF(bbgm_stat &gt;= perc_90, converted_stat * 2, IF(bbgm_stat &gt;= perc_85, converted_stat * 1.5, converted_stat)))))</f>
        <v/>
      </c>
      <c r="G298" s="30" t="str">
        <f t="array" ref="G298">IF($A298="", "", LET(bbgm_stat, INDEX(Players!$A297:$P297, MATCH(G$2, Players!$A$1:$P$1, 0)), perc_75, VLOOKUP(G$2, Percentiles!$A$45:$I$59, 6, FALSE), perc_90, VLOOKUP(G$2, Percentiles!$A$45:$I$59, 7, FALSE), perc_95, VLOOKUP(G$2, Percentiles!$A$45:$I$59, 8, FALSE), perc_85, perc_75 + (perc_90 - perc_75) * (2/3), converted_stat, '2K_Ratings'!G298, IF(bbgm_stat &gt;= perc_95, converted_stat * 3, IF(bbgm_stat &gt;= perc_90, converted_stat * 2, IF(bbgm_stat &gt;= perc_85, converted_stat * 1.5, converted_stat)))))</f>
        <v/>
      </c>
      <c r="H298" s="30" t="str">
        <f t="array" ref="H298">IF($A298="", "", LET(bbgm_stat, INDEX(Players!$A297:$P297, MATCH(H$2, Players!$A$1:$P$1, 0)), perc_75, VLOOKUP(H$2, Percentiles!$A$45:$I$59, 6, FALSE), perc_90, VLOOKUP(H$2, Percentiles!$A$45:$I$59, 7, FALSE), perc_95, VLOOKUP(H$2, Percentiles!$A$45:$I$59, 8, FALSE), perc_85, perc_75 + (perc_90 - perc_75) * (2/3), converted_stat, '2K_Ratings'!H298, IF(bbgm_stat &gt;= perc_95, converted_stat * 3, IF(bbgm_stat &gt;= perc_90, converted_stat * 2, IF(bbgm_stat &gt;= perc_85, converted_stat * 1.5, converted_stat)))))</f>
        <v/>
      </c>
      <c r="I298" s="30" t="str">
        <f t="array" ref="I298">IF($A298="", "", LET(bbgm_stat, INDEX(Players!$A297:$P297, MATCH(I$2, Players!$A$1:$P$1, 0)), perc_75, VLOOKUP(I$2, Percentiles!$A$45:$I$59, 6, FALSE), perc_90, VLOOKUP(I$2, Percentiles!$A$45:$I$59, 7, FALSE), perc_95, VLOOKUP(I$2, Percentiles!$A$45:$I$59, 8, FALSE), perc_85, perc_75 + (perc_90 - perc_75) * (2/3), converted_stat, '2K_Ratings'!I298, IF(bbgm_stat &gt;= perc_95, converted_stat * 3, IF(bbgm_stat &gt;= perc_90, converted_stat * 2, IF(bbgm_stat &gt;= perc_85, converted_stat * 1.5, converted_stat)))))</f>
        <v/>
      </c>
      <c r="J298" s="30" t="str">
        <f t="array" ref="J298">IF($A298="", "", LET(bbgm_stat, INDEX(Players!$A297:$P297, MATCH(J$2, Players!$A$1:$P$1, 0)), perc_75, VLOOKUP(J$2, Percentiles!$A$45:$I$59, 6, FALSE), perc_90, VLOOKUP(J$2, Percentiles!$A$45:$I$59, 7, FALSE), perc_95, VLOOKUP(J$2, Percentiles!$A$45:$I$59, 8, FALSE), perc_85, perc_75 + (perc_90 - perc_75) * (2/3), converted_stat, '2K_Ratings'!J298, IF(bbgm_stat &gt;= perc_95, converted_stat * 3, IF(bbgm_stat &gt;= perc_90, converted_stat * 2, IF(bbgm_stat &gt;= perc_85, converted_stat * 1.5, converted_stat)))))</f>
        <v/>
      </c>
      <c r="K298" s="30" t="str">
        <f t="array" ref="K298">IF($A298="", "", LET(bbgm_stat, INDEX(Players!$A297:$P297, MATCH(K$2, Players!$A$1:$P$1, 0)), perc_75, VLOOKUP(K$2, Percentiles!$A$45:$I$59, 6, FALSE), perc_90, VLOOKUP(K$2, Percentiles!$A$45:$I$59, 7, FALSE), perc_95, VLOOKUP(K$2, Percentiles!$A$45:$I$59, 8, FALSE), perc_85, perc_75 + (perc_90 - perc_75) * (2/3), converted_stat, '2K_Ratings'!K298, IF(bbgm_stat &gt;= perc_95, converted_stat * 3, IF(bbgm_stat &gt;= perc_90, converted_stat * 2, IF(bbgm_stat &gt;= perc_85, converted_stat * 1.5, converted_stat)))))</f>
        <v/>
      </c>
      <c r="L298" s="30" t="str">
        <f t="array" ref="L298">IF($A298="", "", LET(bbgm_stat, INDEX(Players!$A297:$P297, MATCH(L$2, Players!$A$1:$P$1, 0)), perc_75, VLOOKUP(L$2, Percentiles!$A$45:$I$59, 6, FALSE), perc_90, VLOOKUP(L$2, Percentiles!$A$45:$I$59, 7, FALSE), perc_95, VLOOKUP(L$2, Percentiles!$A$45:$I$59, 8, FALSE), perc_85, perc_75 + (perc_90 - perc_75) * (2/3), converted_stat, '2K_Ratings'!L298, IF(bbgm_stat &gt;= perc_95, converted_stat * 3, IF(bbgm_stat &gt;= perc_90, converted_stat * 2, IF(bbgm_stat &gt;= perc_85, converted_stat * 1.5, converted_stat)))))</f>
        <v/>
      </c>
      <c r="M298" s="30" t="str">
        <f t="array" ref="M298">IF($A298="", "", LET(bbgm_stat, INDEX(Players!$A297:$P297, MATCH(M$2, Players!$A$1:$P$1, 0)), perc_75, VLOOKUP(M$2, Percentiles!$A$45:$I$59, 6, FALSE), perc_90, VLOOKUP(M$2, Percentiles!$A$45:$I$59, 7, FALSE), perc_95, VLOOKUP(M$2, Percentiles!$A$45:$I$59, 8, FALSE), perc_85, perc_75 + (perc_90 - perc_75) * (2/3), converted_stat, '2K_Ratings'!M298, IF(bbgm_stat &gt;= perc_95, converted_stat * 3, IF(bbgm_stat &gt;= perc_90, converted_stat * 2, IF(bbgm_stat &gt;= perc_85, converted_stat * 1.5, converted_stat)))))</f>
        <v/>
      </c>
      <c r="N298" s="30" t="str">
        <f t="array" ref="N298">IF($A298="", "", LET(bbgm_stat, INDEX(Players!$A297:$P297, MATCH(N$2, Players!$A$1:$P$1, 0)), perc_75, VLOOKUP(N$2, Percentiles!$A$45:$I$59, 6, FALSE), perc_90, VLOOKUP(N$2, Percentiles!$A$45:$I$59, 7, FALSE), perc_95, VLOOKUP(N$2, Percentiles!$A$45:$I$59, 8, FALSE), perc_85, perc_75 + (perc_90 - perc_75) * (2/3), converted_stat, '2K_Ratings'!N298, IF(bbgm_stat &gt;= perc_95, converted_stat * 3, IF(bbgm_stat &gt;= perc_90, converted_stat * 2, IF(bbgm_stat &gt;= perc_85, converted_stat * 1.5, converted_stat)))))</f>
        <v/>
      </c>
      <c r="O298" s="30" t="str">
        <f t="array" ref="O298">IF($A298="", "", LET(bbgm_stat, INDEX(Players!$A297:$P297, MATCH(O$2, Players!$A$1:$P$1, 0)), perc_75, VLOOKUP(O$2, Percentiles!$A$45:$I$59, 6, FALSE), perc_90, VLOOKUP(O$2, Percentiles!$A$45:$I$59, 7, FALSE), perc_95, VLOOKUP(O$2, Percentiles!$A$45:$I$59, 8, FALSE), perc_85, perc_75 + (perc_90 - perc_75) * (2/3), converted_stat, '2K_Ratings'!O298, IF(bbgm_stat &gt;= perc_95, converted_stat * 3, IF(bbgm_stat &gt;= perc_90, converted_stat * 2, IF(bbgm_stat &gt;= perc_85, converted_stat * 1.5, converted_stat)))))</f>
        <v/>
      </c>
      <c r="P298" s="30" t="str">
        <f t="array" ref="P298">IF($A298="", "", LET(bbgm_stat, INDEX(Players!$A297:$P297, MATCH(P$2, Players!$A$1:$P$1, 0)), perc_75, VLOOKUP(P$2, Percentiles!$A$45:$I$59, 6, FALSE), perc_90, VLOOKUP(P$2, Percentiles!$A$45:$I$59, 7, FALSE), perc_95, VLOOKUP(P$2, Percentiles!$A$45:$I$59, 8, FALSE), perc_85, perc_75 + (perc_90 - perc_75) * (2/3), converted_stat, '2K_Ratings'!P298, IF(bbgm_stat &gt;= perc_95, converted_stat * 3, IF(bbgm_stat &gt;= perc_90, converted_stat * 2, IF(bbgm_stat &gt;= perc_85, converted_stat * 1.5, converted_stat)))))</f>
        <v/>
      </c>
      <c r="Q298" s="30" t="str">
        <f t="array" ref="Q298">IF($A298="", "", LET(bbgm_stat, INDEX(Players!$A297:$P297, MATCH(Q$2, Players!$A$1:$P$1, 0)), perc_75, VLOOKUP(Q$2, Percentiles!$A$45:$I$59, 6, FALSE), perc_90, VLOOKUP(Q$2, Percentiles!$A$45:$I$59, 7, FALSE), perc_95, VLOOKUP(Q$2, Percentiles!$A$45:$I$59, 8, FALSE), perc_85, perc_75 + (perc_90 - perc_75) * (2/3), converted_stat, '2K_Ratings'!Q298, IF(bbgm_stat &gt;= perc_95, converted_stat * 3, IF(bbgm_stat &gt;= perc_90, converted_stat * 2, IF(bbgm_stat &gt;= perc_85, converted_stat * 1.5, converted_stat)))))</f>
        <v/>
      </c>
      <c r="R298" s="30" t="str">
        <f t="array" ref="R298">IF($A298="", "", LET(bbgm_stat, INDEX(Players!$A297:$P297, MATCH(R$2, Players!$A$1:$P$1, 0)), perc_75, VLOOKUP(R$2, Percentiles!$A$45:$I$59, 6, FALSE), perc_90, VLOOKUP(R$2, Percentiles!$A$45:$I$59, 7, FALSE), perc_95, VLOOKUP(R$2, Percentiles!$A$45:$I$59, 8, FALSE), perc_85, perc_75 + (perc_90 - perc_75) * (2/3), converted_stat, '2K_Ratings'!R298, IF(bbgm_stat &gt;= perc_95, converted_stat * 3, IF(bbgm_stat &gt;= perc_90, converted_stat * 2, IF(bbgm_stat &gt;= perc_85, converted_stat * 1.5, converted_stat)))))</f>
        <v/>
      </c>
      <c r="S298" s="30" t="str">
        <f t="array" ref="S298">IF($A298="", "", LET(bbgm_stat, INDEX(Players!$A297:$P297, MATCH(S$2, Players!$A$1:$P$1, 0)), perc_75, VLOOKUP(S$2, Percentiles!$A$45:$I$59, 6, FALSE), perc_90, VLOOKUP(S$2, Percentiles!$A$45:$I$59, 7, FALSE), perc_95, VLOOKUP(S$2, Percentiles!$A$45:$I$59, 8, FALSE), perc_85, perc_75 + (perc_90 - perc_75) * (2/3), converted_stat, '2K_Ratings'!S298, IF(bbgm_stat &gt;= perc_95, converted_stat * 3, IF(bbgm_stat &gt;= perc_90, converted_stat * 2, IF(bbgm_stat &gt;= perc_85, converted_stat * 1.5, converted_stat)))))</f>
        <v/>
      </c>
      <c r="T298" s="30" t="str">
        <f t="array" ref="T298">IF($A298="", "", LET(bbgm_stat, INDEX(Players!$A297:$P297, MATCH(T$2, Players!$A$1:$P$1, 0)), perc_75, VLOOKUP(T$2, Percentiles!$A$45:$I$59, 6, FALSE), perc_90, VLOOKUP(T$2, Percentiles!$A$45:$I$59, 7, FALSE), perc_95, VLOOKUP(T$2, Percentiles!$A$45:$I$59, 8, FALSE), perc_85, perc_75 + (perc_90 - perc_75) * (2/3), converted_stat, '2K_Ratings'!T298, IF(bbgm_stat &gt;= perc_95, converted_stat * 3, IF(bbgm_stat &gt;= perc_90, converted_stat * 2, IF(bbgm_stat &gt;= perc_85, converted_stat * 1.5, converted_stat)))))</f>
        <v/>
      </c>
      <c r="U298" s="30" t="str">
        <f t="array" ref="U298">IF($A298="", "", LET(bbgm_stat, INDEX(Players!$A297:$P297, MATCH(U$2, Players!$A$1:$P$1, 0)), perc_75, VLOOKUP(U$2, Percentiles!$A$45:$I$59, 6, FALSE), perc_90, VLOOKUP(U$2, Percentiles!$A$45:$I$59, 7, FALSE), perc_95, VLOOKUP(U$2, Percentiles!$A$45:$I$59, 8, FALSE), perc_85, perc_75 + (perc_90 - perc_75) * (2/3), converted_stat, '2K_Ratings'!U298, IF(bbgm_stat &gt;= perc_95, converted_stat * 3, IF(bbgm_stat &gt;= perc_90, converted_stat * 2, IF(bbgm_stat &gt;= perc_85, converted_stat * 1.5, converted_stat)))))</f>
        <v/>
      </c>
      <c r="V298" s="30" t="str">
        <f t="array" ref="V298">IF($A298="", "", LET(bbgm_stat, INDEX(Players!$A297:$P297, MATCH(V$2, Players!$A$1:$P$1, 0)), perc_75, VLOOKUP(V$2, Percentiles!$A$45:$I$59, 6, FALSE), perc_90, VLOOKUP(V$2, Percentiles!$A$45:$I$59, 7, FALSE), perc_95, VLOOKUP(V$2, Percentiles!$A$45:$I$59, 8, FALSE), perc_85, perc_75 + (perc_90 - perc_75) * (2/3), converted_stat, '2K_Ratings'!V298, IF(bbgm_stat &gt;= perc_95, converted_stat * 3, IF(bbgm_stat &gt;= perc_90, converted_stat * 2, IF(bbgm_stat &gt;= perc_85, converted_stat * 1.5, converted_stat)))))</f>
        <v/>
      </c>
      <c r="W298" s="30" t="str">
        <f t="array" ref="W298">IF($A298="", "", LET(bbgm_stat, INDEX(Players!$A297:$P297, MATCH(W$2, Players!$A$1:$P$1, 0)), perc_75, VLOOKUP(W$2, Percentiles!$A$45:$I$59, 6, FALSE), perc_90, VLOOKUP(W$2, Percentiles!$A$45:$I$59, 7, FALSE), perc_95, VLOOKUP(W$2, Percentiles!$A$45:$I$59, 8, FALSE), perc_85, perc_75 + (perc_90 - perc_75) * (2/3), converted_stat, '2K_Ratings'!W298, IF(bbgm_stat &gt;= perc_95, converted_stat * 3, IF(bbgm_stat &gt;= perc_90, converted_stat * 2, IF(bbgm_stat &gt;= perc_85, converted_stat * 1.5, converted_stat)))))</f>
        <v/>
      </c>
    </row>
    <row r="299">
      <c r="A299" s="30"/>
      <c r="B299" s="30" t="str">
        <f t="array" ref="B299">IF($A299="", "", LET(bbgm_stat, INDEX(Players!$A298:$P298, MATCH(B$2, Players!$A$1:$P$1, 0)), perc_75, VLOOKUP(B$2, Percentiles!$A$45:$I$59, 6, FALSE), perc_90, VLOOKUP(B$2, Percentiles!$A$45:$I$59, 7, FALSE), perc_95, VLOOKUP(B$2, Percentiles!$A$45:$I$59, 8, FALSE), perc_85, perc_75 + (perc_90 - perc_75) * (2/3), converted_stat, '2K_Ratings'!B299, IF(bbgm_stat &gt;= perc_95, converted_stat * 3, IF(bbgm_stat &gt;= perc_90, converted_stat * 2, IF(bbgm_stat &gt;= perc_85, converted_stat * 1.5, converted_stat)))))</f>
        <v/>
      </c>
      <c r="C299" s="30" t="str">
        <f t="array" ref="C299">IF($A299="", "", LET(bbgm_stat, INDEX(Players!$A298:$P298, MATCH(C$2, Players!$A$1:$P$1, 0)), perc_75, VLOOKUP(C$2, Percentiles!$A$45:$I$59, 6, FALSE), perc_90, VLOOKUP(C$2, Percentiles!$A$45:$I$59, 7, FALSE), perc_95, VLOOKUP(C$2, Percentiles!$A$45:$I$59, 8, FALSE), perc_85, perc_75 + (perc_90 - perc_75) * (2/3), converted_stat, '2K_Ratings'!C299, IF(bbgm_stat &gt;= perc_95, converted_stat * 3, IF(bbgm_stat &gt;= perc_90, converted_stat * 2, IF(bbgm_stat &gt;= perc_85, converted_stat * 1.5, converted_stat)))))</f>
        <v/>
      </c>
      <c r="D299" s="30" t="str">
        <f t="array" ref="D299">IF($A299="", "", LET(bbgm_stat, INDEX(Players!$A298:$P298, MATCH(D$2, Players!$A$1:$P$1, 0)), perc_75, VLOOKUP(D$2, Percentiles!$A$45:$I$59, 6, FALSE), perc_90, VLOOKUP(D$2, Percentiles!$A$45:$I$59, 7, FALSE), perc_95, VLOOKUP(D$2, Percentiles!$A$45:$I$59, 8, FALSE), perc_85, perc_75 + (perc_90 - perc_75) * (2/3), converted_stat, '2K_Ratings'!D299, IF(bbgm_stat &gt;= perc_95, converted_stat * 3, IF(bbgm_stat &gt;= perc_90, converted_stat * 2, IF(bbgm_stat &gt;= perc_85, converted_stat * 1.5, converted_stat)))))</f>
        <v/>
      </c>
      <c r="E299" s="30" t="str">
        <f t="array" ref="E299">IF($A299="", "", LET(bbgm_stat, INDEX(Players!$A298:$P298, MATCH(E$2, Players!$A$1:$P$1, 0)), perc_75, VLOOKUP(E$2, Percentiles!$A$45:$I$59, 6, FALSE), perc_90, VLOOKUP(E$2, Percentiles!$A$45:$I$59, 7, FALSE), perc_95, VLOOKUP(E$2, Percentiles!$A$45:$I$59, 8, FALSE), perc_85, perc_75 + (perc_90 - perc_75) * (2/3), converted_stat, '2K_Ratings'!E299, IF(bbgm_stat &gt;= perc_95, converted_stat * 3, IF(bbgm_stat &gt;= perc_90, converted_stat * 2, IF(bbgm_stat &gt;= perc_85, converted_stat * 1.5, converted_stat)))))</f>
        <v/>
      </c>
      <c r="F299" s="30" t="str">
        <f t="array" ref="F299">IF($A299="", "", LET(bbgm_stat, INDEX(Players!$A298:$P298, MATCH(F$2, Players!$A$1:$P$1, 0)), perc_75, VLOOKUP(F$2, Percentiles!$A$45:$I$59, 6, FALSE), perc_90, VLOOKUP(F$2, Percentiles!$A$45:$I$59, 7, FALSE), perc_95, VLOOKUP(F$2, Percentiles!$A$45:$I$59, 8, FALSE), perc_85, perc_75 + (perc_90 - perc_75) * (2/3), converted_stat, '2K_Ratings'!F299, IF(bbgm_stat &gt;= perc_95, converted_stat * 3, IF(bbgm_stat &gt;= perc_90, converted_stat * 2, IF(bbgm_stat &gt;= perc_85, converted_stat * 1.5, converted_stat)))))</f>
        <v/>
      </c>
      <c r="G299" s="30" t="str">
        <f t="array" ref="G299">IF($A299="", "", LET(bbgm_stat, INDEX(Players!$A298:$P298, MATCH(G$2, Players!$A$1:$P$1, 0)), perc_75, VLOOKUP(G$2, Percentiles!$A$45:$I$59, 6, FALSE), perc_90, VLOOKUP(G$2, Percentiles!$A$45:$I$59, 7, FALSE), perc_95, VLOOKUP(G$2, Percentiles!$A$45:$I$59, 8, FALSE), perc_85, perc_75 + (perc_90 - perc_75) * (2/3), converted_stat, '2K_Ratings'!G299, IF(bbgm_stat &gt;= perc_95, converted_stat * 3, IF(bbgm_stat &gt;= perc_90, converted_stat * 2, IF(bbgm_stat &gt;= perc_85, converted_stat * 1.5, converted_stat)))))</f>
        <v/>
      </c>
      <c r="H299" s="30" t="str">
        <f t="array" ref="H299">IF($A299="", "", LET(bbgm_stat, INDEX(Players!$A298:$P298, MATCH(H$2, Players!$A$1:$P$1, 0)), perc_75, VLOOKUP(H$2, Percentiles!$A$45:$I$59, 6, FALSE), perc_90, VLOOKUP(H$2, Percentiles!$A$45:$I$59, 7, FALSE), perc_95, VLOOKUP(H$2, Percentiles!$A$45:$I$59, 8, FALSE), perc_85, perc_75 + (perc_90 - perc_75) * (2/3), converted_stat, '2K_Ratings'!H299, IF(bbgm_stat &gt;= perc_95, converted_stat * 3, IF(bbgm_stat &gt;= perc_90, converted_stat * 2, IF(bbgm_stat &gt;= perc_85, converted_stat * 1.5, converted_stat)))))</f>
        <v/>
      </c>
      <c r="I299" s="30" t="str">
        <f t="array" ref="I299">IF($A299="", "", LET(bbgm_stat, INDEX(Players!$A298:$P298, MATCH(I$2, Players!$A$1:$P$1, 0)), perc_75, VLOOKUP(I$2, Percentiles!$A$45:$I$59, 6, FALSE), perc_90, VLOOKUP(I$2, Percentiles!$A$45:$I$59, 7, FALSE), perc_95, VLOOKUP(I$2, Percentiles!$A$45:$I$59, 8, FALSE), perc_85, perc_75 + (perc_90 - perc_75) * (2/3), converted_stat, '2K_Ratings'!I299, IF(bbgm_stat &gt;= perc_95, converted_stat * 3, IF(bbgm_stat &gt;= perc_90, converted_stat * 2, IF(bbgm_stat &gt;= perc_85, converted_stat * 1.5, converted_stat)))))</f>
        <v/>
      </c>
      <c r="J299" s="30" t="str">
        <f t="array" ref="J299">IF($A299="", "", LET(bbgm_stat, INDEX(Players!$A298:$P298, MATCH(J$2, Players!$A$1:$P$1, 0)), perc_75, VLOOKUP(J$2, Percentiles!$A$45:$I$59, 6, FALSE), perc_90, VLOOKUP(J$2, Percentiles!$A$45:$I$59, 7, FALSE), perc_95, VLOOKUP(J$2, Percentiles!$A$45:$I$59, 8, FALSE), perc_85, perc_75 + (perc_90 - perc_75) * (2/3), converted_stat, '2K_Ratings'!J299, IF(bbgm_stat &gt;= perc_95, converted_stat * 3, IF(bbgm_stat &gt;= perc_90, converted_stat * 2, IF(bbgm_stat &gt;= perc_85, converted_stat * 1.5, converted_stat)))))</f>
        <v/>
      </c>
      <c r="K299" s="30" t="str">
        <f t="array" ref="K299">IF($A299="", "", LET(bbgm_stat, INDEX(Players!$A298:$P298, MATCH(K$2, Players!$A$1:$P$1, 0)), perc_75, VLOOKUP(K$2, Percentiles!$A$45:$I$59, 6, FALSE), perc_90, VLOOKUP(K$2, Percentiles!$A$45:$I$59, 7, FALSE), perc_95, VLOOKUP(K$2, Percentiles!$A$45:$I$59, 8, FALSE), perc_85, perc_75 + (perc_90 - perc_75) * (2/3), converted_stat, '2K_Ratings'!K299, IF(bbgm_stat &gt;= perc_95, converted_stat * 3, IF(bbgm_stat &gt;= perc_90, converted_stat * 2, IF(bbgm_stat &gt;= perc_85, converted_stat * 1.5, converted_stat)))))</f>
        <v/>
      </c>
      <c r="L299" s="30" t="str">
        <f t="array" ref="L299">IF($A299="", "", LET(bbgm_stat, INDEX(Players!$A298:$P298, MATCH(L$2, Players!$A$1:$P$1, 0)), perc_75, VLOOKUP(L$2, Percentiles!$A$45:$I$59, 6, FALSE), perc_90, VLOOKUP(L$2, Percentiles!$A$45:$I$59, 7, FALSE), perc_95, VLOOKUP(L$2, Percentiles!$A$45:$I$59, 8, FALSE), perc_85, perc_75 + (perc_90 - perc_75) * (2/3), converted_stat, '2K_Ratings'!L299, IF(bbgm_stat &gt;= perc_95, converted_stat * 3, IF(bbgm_stat &gt;= perc_90, converted_stat * 2, IF(bbgm_stat &gt;= perc_85, converted_stat * 1.5, converted_stat)))))</f>
        <v/>
      </c>
      <c r="M299" s="30" t="str">
        <f t="array" ref="M299">IF($A299="", "", LET(bbgm_stat, INDEX(Players!$A298:$P298, MATCH(M$2, Players!$A$1:$P$1, 0)), perc_75, VLOOKUP(M$2, Percentiles!$A$45:$I$59, 6, FALSE), perc_90, VLOOKUP(M$2, Percentiles!$A$45:$I$59, 7, FALSE), perc_95, VLOOKUP(M$2, Percentiles!$A$45:$I$59, 8, FALSE), perc_85, perc_75 + (perc_90 - perc_75) * (2/3), converted_stat, '2K_Ratings'!M299, IF(bbgm_stat &gt;= perc_95, converted_stat * 3, IF(bbgm_stat &gt;= perc_90, converted_stat * 2, IF(bbgm_stat &gt;= perc_85, converted_stat * 1.5, converted_stat)))))</f>
        <v/>
      </c>
      <c r="N299" s="30" t="str">
        <f t="array" ref="N299">IF($A299="", "", LET(bbgm_stat, INDEX(Players!$A298:$P298, MATCH(N$2, Players!$A$1:$P$1, 0)), perc_75, VLOOKUP(N$2, Percentiles!$A$45:$I$59, 6, FALSE), perc_90, VLOOKUP(N$2, Percentiles!$A$45:$I$59, 7, FALSE), perc_95, VLOOKUP(N$2, Percentiles!$A$45:$I$59, 8, FALSE), perc_85, perc_75 + (perc_90 - perc_75) * (2/3), converted_stat, '2K_Ratings'!N299, IF(bbgm_stat &gt;= perc_95, converted_stat * 3, IF(bbgm_stat &gt;= perc_90, converted_stat * 2, IF(bbgm_stat &gt;= perc_85, converted_stat * 1.5, converted_stat)))))</f>
        <v/>
      </c>
      <c r="O299" s="30" t="str">
        <f t="array" ref="O299">IF($A299="", "", LET(bbgm_stat, INDEX(Players!$A298:$P298, MATCH(O$2, Players!$A$1:$P$1, 0)), perc_75, VLOOKUP(O$2, Percentiles!$A$45:$I$59, 6, FALSE), perc_90, VLOOKUP(O$2, Percentiles!$A$45:$I$59, 7, FALSE), perc_95, VLOOKUP(O$2, Percentiles!$A$45:$I$59, 8, FALSE), perc_85, perc_75 + (perc_90 - perc_75) * (2/3), converted_stat, '2K_Ratings'!O299, IF(bbgm_stat &gt;= perc_95, converted_stat * 3, IF(bbgm_stat &gt;= perc_90, converted_stat * 2, IF(bbgm_stat &gt;= perc_85, converted_stat * 1.5, converted_stat)))))</f>
        <v/>
      </c>
      <c r="P299" s="30" t="str">
        <f t="array" ref="P299">IF($A299="", "", LET(bbgm_stat, INDEX(Players!$A298:$P298, MATCH(P$2, Players!$A$1:$P$1, 0)), perc_75, VLOOKUP(P$2, Percentiles!$A$45:$I$59, 6, FALSE), perc_90, VLOOKUP(P$2, Percentiles!$A$45:$I$59, 7, FALSE), perc_95, VLOOKUP(P$2, Percentiles!$A$45:$I$59, 8, FALSE), perc_85, perc_75 + (perc_90 - perc_75) * (2/3), converted_stat, '2K_Ratings'!P299, IF(bbgm_stat &gt;= perc_95, converted_stat * 3, IF(bbgm_stat &gt;= perc_90, converted_stat * 2, IF(bbgm_stat &gt;= perc_85, converted_stat * 1.5, converted_stat)))))</f>
        <v/>
      </c>
      <c r="Q299" s="30" t="str">
        <f t="array" ref="Q299">IF($A299="", "", LET(bbgm_stat, INDEX(Players!$A298:$P298, MATCH(Q$2, Players!$A$1:$P$1, 0)), perc_75, VLOOKUP(Q$2, Percentiles!$A$45:$I$59, 6, FALSE), perc_90, VLOOKUP(Q$2, Percentiles!$A$45:$I$59, 7, FALSE), perc_95, VLOOKUP(Q$2, Percentiles!$A$45:$I$59, 8, FALSE), perc_85, perc_75 + (perc_90 - perc_75) * (2/3), converted_stat, '2K_Ratings'!Q299, IF(bbgm_stat &gt;= perc_95, converted_stat * 3, IF(bbgm_stat &gt;= perc_90, converted_stat * 2, IF(bbgm_stat &gt;= perc_85, converted_stat * 1.5, converted_stat)))))</f>
        <v/>
      </c>
      <c r="R299" s="30" t="str">
        <f t="array" ref="R299">IF($A299="", "", LET(bbgm_stat, INDEX(Players!$A298:$P298, MATCH(R$2, Players!$A$1:$P$1, 0)), perc_75, VLOOKUP(R$2, Percentiles!$A$45:$I$59, 6, FALSE), perc_90, VLOOKUP(R$2, Percentiles!$A$45:$I$59, 7, FALSE), perc_95, VLOOKUP(R$2, Percentiles!$A$45:$I$59, 8, FALSE), perc_85, perc_75 + (perc_90 - perc_75) * (2/3), converted_stat, '2K_Ratings'!R299, IF(bbgm_stat &gt;= perc_95, converted_stat * 3, IF(bbgm_stat &gt;= perc_90, converted_stat * 2, IF(bbgm_stat &gt;= perc_85, converted_stat * 1.5, converted_stat)))))</f>
        <v/>
      </c>
      <c r="S299" s="30" t="str">
        <f t="array" ref="S299">IF($A299="", "", LET(bbgm_stat, INDEX(Players!$A298:$P298, MATCH(S$2, Players!$A$1:$P$1, 0)), perc_75, VLOOKUP(S$2, Percentiles!$A$45:$I$59, 6, FALSE), perc_90, VLOOKUP(S$2, Percentiles!$A$45:$I$59, 7, FALSE), perc_95, VLOOKUP(S$2, Percentiles!$A$45:$I$59, 8, FALSE), perc_85, perc_75 + (perc_90 - perc_75) * (2/3), converted_stat, '2K_Ratings'!S299, IF(bbgm_stat &gt;= perc_95, converted_stat * 3, IF(bbgm_stat &gt;= perc_90, converted_stat * 2, IF(bbgm_stat &gt;= perc_85, converted_stat * 1.5, converted_stat)))))</f>
        <v/>
      </c>
      <c r="T299" s="30" t="str">
        <f t="array" ref="T299">IF($A299="", "", LET(bbgm_stat, INDEX(Players!$A298:$P298, MATCH(T$2, Players!$A$1:$P$1, 0)), perc_75, VLOOKUP(T$2, Percentiles!$A$45:$I$59, 6, FALSE), perc_90, VLOOKUP(T$2, Percentiles!$A$45:$I$59, 7, FALSE), perc_95, VLOOKUP(T$2, Percentiles!$A$45:$I$59, 8, FALSE), perc_85, perc_75 + (perc_90 - perc_75) * (2/3), converted_stat, '2K_Ratings'!T299, IF(bbgm_stat &gt;= perc_95, converted_stat * 3, IF(bbgm_stat &gt;= perc_90, converted_stat * 2, IF(bbgm_stat &gt;= perc_85, converted_stat * 1.5, converted_stat)))))</f>
        <v/>
      </c>
      <c r="U299" s="30" t="str">
        <f t="array" ref="U299">IF($A299="", "", LET(bbgm_stat, INDEX(Players!$A298:$P298, MATCH(U$2, Players!$A$1:$P$1, 0)), perc_75, VLOOKUP(U$2, Percentiles!$A$45:$I$59, 6, FALSE), perc_90, VLOOKUP(U$2, Percentiles!$A$45:$I$59, 7, FALSE), perc_95, VLOOKUP(U$2, Percentiles!$A$45:$I$59, 8, FALSE), perc_85, perc_75 + (perc_90 - perc_75) * (2/3), converted_stat, '2K_Ratings'!U299, IF(bbgm_stat &gt;= perc_95, converted_stat * 3, IF(bbgm_stat &gt;= perc_90, converted_stat * 2, IF(bbgm_stat &gt;= perc_85, converted_stat * 1.5, converted_stat)))))</f>
        <v/>
      </c>
      <c r="V299" s="30" t="str">
        <f t="array" ref="V299">IF($A299="", "", LET(bbgm_stat, INDEX(Players!$A298:$P298, MATCH(V$2, Players!$A$1:$P$1, 0)), perc_75, VLOOKUP(V$2, Percentiles!$A$45:$I$59, 6, FALSE), perc_90, VLOOKUP(V$2, Percentiles!$A$45:$I$59, 7, FALSE), perc_95, VLOOKUP(V$2, Percentiles!$A$45:$I$59, 8, FALSE), perc_85, perc_75 + (perc_90 - perc_75) * (2/3), converted_stat, '2K_Ratings'!V299, IF(bbgm_stat &gt;= perc_95, converted_stat * 3, IF(bbgm_stat &gt;= perc_90, converted_stat * 2, IF(bbgm_stat &gt;= perc_85, converted_stat * 1.5, converted_stat)))))</f>
        <v/>
      </c>
      <c r="W299" s="30" t="str">
        <f t="array" ref="W299">IF($A299="", "", LET(bbgm_stat, INDEX(Players!$A298:$P298, MATCH(W$2, Players!$A$1:$P$1, 0)), perc_75, VLOOKUP(W$2, Percentiles!$A$45:$I$59, 6, FALSE), perc_90, VLOOKUP(W$2, Percentiles!$A$45:$I$59, 7, FALSE), perc_95, VLOOKUP(W$2, Percentiles!$A$45:$I$59, 8, FALSE), perc_85, perc_75 + (perc_90 - perc_75) * (2/3), converted_stat, '2K_Ratings'!W299, IF(bbgm_stat &gt;= perc_95, converted_stat * 3, IF(bbgm_stat &gt;= perc_90, converted_stat * 2, IF(bbgm_stat &gt;= perc_85, converted_stat * 1.5, converted_stat)))))</f>
        <v/>
      </c>
    </row>
    <row r="300">
      <c r="A300" s="30"/>
      <c r="B300" s="30" t="str">
        <f t="array" ref="B300">IF($A300="", "", LET(bbgm_stat, INDEX(Players!$A299:$P299, MATCH(B$2, Players!$A$1:$P$1, 0)), perc_75, VLOOKUP(B$2, Percentiles!$A$45:$I$59, 6, FALSE), perc_90, VLOOKUP(B$2, Percentiles!$A$45:$I$59, 7, FALSE), perc_95, VLOOKUP(B$2, Percentiles!$A$45:$I$59, 8, FALSE), perc_85, perc_75 + (perc_90 - perc_75) * (2/3), converted_stat, '2K_Ratings'!B300, IF(bbgm_stat &gt;= perc_95, converted_stat * 3, IF(bbgm_stat &gt;= perc_90, converted_stat * 2, IF(bbgm_stat &gt;= perc_85, converted_stat * 1.5, converted_stat)))))</f>
        <v/>
      </c>
      <c r="C300" s="30" t="str">
        <f t="array" ref="C300">IF($A300="", "", LET(bbgm_stat, INDEX(Players!$A299:$P299, MATCH(C$2, Players!$A$1:$P$1, 0)), perc_75, VLOOKUP(C$2, Percentiles!$A$45:$I$59, 6, FALSE), perc_90, VLOOKUP(C$2, Percentiles!$A$45:$I$59, 7, FALSE), perc_95, VLOOKUP(C$2, Percentiles!$A$45:$I$59, 8, FALSE), perc_85, perc_75 + (perc_90 - perc_75) * (2/3), converted_stat, '2K_Ratings'!C300, IF(bbgm_stat &gt;= perc_95, converted_stat * 3, IF(bbgm_stat &gt;= perc_90, converted_stat * 2, IF(bbgm_stat &gt;= perc_85, converted_stat * 1.5, converted_stat)))))</f>
        <v/>
      </c>
      <c r="D300" s="30" t="str">
        <f t="array" ref="D300">IF($A300="", "", LET(bbgm_stat, INDEX(Players!$A299:$P299, MATCH(D$2, Players!$A$1:$P$1, 0)), perc_75, VLOOKUP(D$2, Percentiles!$A$45:$I$59, 6, FALSE), perc_90, VLOOKUP(D$2, Percentiles!$A$45:$I$59, 7, FALSE), perc_95, VLOOKUP(D$2, Percentiles!$A$45:$I$59, 8, FALSE), perc_85, perc_75 + (perc_90 - perc_75) * (2/3), converted_stat, '2K_Ratings'!D300, IF(bbgm_stat &gt;= perc_95, converted_stat * 3, IF(bbgm_stat &gt;= perc_90, converted_stat * 2, IF(bbgm_stat &gt;= perc_85, converted_stat * 1.5, converted_stat)))))</f>
        <v/>
      </c>
      <c r="E300" s="30" t="str">
        <f t="array" ref="E300">IF($A300="", "", LET(bbgm_stat, INDEX(Players!$A299:$P299, MATCH(E$2, Players!$A$1:$P$1, 0)), perc_75, VLOOKUP(E$2, Percentiles!$A$45:$I$59, 6, FALSE), perc_90, VLOOKUP(E$2, Percentiles!$A$45:$I$59, 7, FALSE), perc_95, VLOOKUP(E$2, Percentiles!$A$45:$I$59, 8, FALSE), perc_85, perc_75 + (perc_90 - perc_75) * (2/3), converted_stat, '2K_Ratings'!E300, IF(bbgm_stat &gt;= perc_95, converted_stat * 3, IF(bbgm_stat &gt;= perc_90, converted_stat * 2, IF(bbgm_stat &gt;= perc_85, converted_stat * 1.5, converted_stat)))))</f>
        <v/>
      </c>
      <c r="F300" s="30" t="str">
        <f t="array" ref="F300">IF($A300="", "", LET(bbgm_stat, INDEX(Players!$A299:$P299, MATCH(F$2, Players!$A$1:$P$1, 0)), perc_75, VLOOKUP(F$2, Percentiles!$A$45:$I$59, 6, FALSE), perc_90, VLOOKUP(F$2, Percentiles!$A$45:$I$59, 7, FALSE), perc_95, VLOOKUP(F$2, Percentiles!$A$45:$I$59, 8, FALSE), perc_85, perc_75 + (perc_90 - perc_75) * (2/3), converted_stat, '2K_Ratings'!F300, IF(bbgm_stat &gt;= perc_95, converted_stat * 3, IF(bbgm_stat &gt;= perc_90, converted_stat * 2, IF(bbgm_stat &gt;= perc_85, converted_stat * 1.5, converted_stat)))))</f>
        <v/>
      </c>
      <c r="G300" s="30" t="str">
        <f t="array" ref="G300">IF($A300="", "", LET(bbgm_stat, INDEX(Players!$A299:$P299, MATCH(G$2, Players!$A$1:$P$1, 0)), perc_75, VLOOKUP(G$2, Percentiles!$A$45:$I$59, 6, FALSE), perc_90, VLOOKUP(G$2, Percentiles!$A$45:$I$59, 7, FALSE), perc_95, VLOOKUP(G$2, Percentiles!$A$45:$I$59, 8, FALSE), perc_85, perc_75 + (perc_90 - perc_75) * (2/3), converted_stat, '2K_Ratings'!G300, IF(bbgm_stat &gt;= perc_95, converted_stat * 3, IF(bbgm_stat &gt;= perc_90, converted_stat * 2, IF(bbgm_stat &gt;= perc_85, converted_stat * 1.5, converted_stat)))))</f>
        <v/>
      </c>
      <c r="H300" s="30" t="str">
        <f t="array" ref="H300">IF($A300="", "", LET(bbgm_stat, INDEX(Players!$A299:$P299, MATCH(H$2, Players!$A$1:$P$1, 0)), perc_75, VLOOKUP(H$2, Percentiles!$A$45:$I$59, 6, FALSE), perc_90, VLOOKUP(H$2, Percentiles!$A$45:$I$59, 7, FALSE), perc_95, VLOOKUP(H$2, Percentiles!$A$45:$I$59, 8, FALSE), perc_85, perc_75 + (perc_90 - perc_75) * (2/3), converted_stat, '2K_Ratings'!H300, IF(bbgm_stat &gt;= perc_95, converted_stat * 3, IF(bbgm_stat &gt;= perc_90, converted_stat * 2, IF(bbgm_stat &gt;= perc_85, converted_stat * 1.5, converted_stat)))))</f>
        <v/>
      </c>
      <c r="I300" s="30" t="str">
        <f t="array" ref="I300">IF($A300="", "", LET(bbgm_stat, INDEX(Players!$A299:$P299, MATCH(I$2, Players!$A$1:$P$1, 0)), perc_75, VLOOKUP(I$2, Percentiles!$A$45:$I$59, 6, FALSE), perc_90, VLOOKUP(I$2, Percentiles!$A$45:$I$59, 7, FALSE), perc_95, VLOOKUP(I$2, Percentiles!$A$45:$I$59, 8, FALSE), perc_85, perc_75 + (perc_90 - perc_75) * (2/3), converted_stat, '2K_Ratings'!I300, IF(bbgm_stat &gt;= perc_95, converted_stat * 3, IF(bbgm_stat &gt;= perc_90, converted_stat * 2, IF(bbgm_stat &gt;= perc_85, converted_stat * 1.5, converted_stat)))))</f>
        <v/>
      </c>
      <c r="J300" s="30" t="str">
        <f t="array" ref="J300">IF($A300="", "", LET(bbgm_stat, INDEX(Players!$A299:$P299, MATCH(J$2, Players!$A$1:$P$1, 0)), perc_75, VLOOKUP(J$2, Percentiles!$A$45:$I$59, 6, FALSE), perc_90, VLOOKUP(J$2, Percentiles!$A$45:$I$59, 7, FALSE), perc_95, VLOOKUP(J$2, Percentiles!$A$45:$I$59, 8, FALSE), perc_85, perc_75 + (perc_90 - perc_75) * (2/3), converted_stat, '2K_Ratings'!J300, IF(bbgm_stat &gt;= perc_95, converted_stat * 3, IF(bbgm_stat &gt;= perc_90, converted_stat * 2, IF(bbgm_stat &gt;= perc_85, converted_stat * 1.5, converted_stat)))))</f>
        <v/>
      </c>
      <c r="K300" s="30" t="str">
        <f t="array" ref="K300">IF($A300="", "", LET(bbgm_stat, INDEX(Players!$A299:$P299, MATCH(K$2, Players!$A$1:$P$1, 0)), perc_75, VLOOKUP(K$2, Percentiles!$A$45:$I$59, 6, FALSE), perc_90, VLOOKUP(K$2, Percentiles!$A$45:$I$59, 7, FALSE), perc_95, VLOOKUP(K$2, Percentiles!$A$45:$I$59, 8, FALSE), perc_85, perc_75 + (perc_90 - perc_75) * (2/3), converted_stat, '2K_Ratings'!K300, IF(bbgm_stat &gt;= perc_95, converted_stat * 3, IF(bbgm_stat &gt;= perc_90, converted_stat * 2, IF(bbgm_stat &gt;= perc_85, converted_stat * 1.5, converted_stat)))))</f>
        <v/>
      </c>
      <c r="L300" s="30" t="str">
        <f t="array" ref="L300">IF($A300="", "", LET(bbgm_stat, INDEX(Players!$A299:$P299, MATCH(L$2, Players!$A$1:$P$1, 0)), perc_75, VLOOKUP(L$2, Percentiles!$A$45:$I$59, 6, FALSE), perc_90, VLOOKUP(L$2, Percentiles!$A$45:$I$59, 7, FALSE), perc_95, VLOOKUP(L$2, Percentiles!$A$45:$I$59, 8, FALSE), perc_85, perc_75 + (perc_90 - perc_75) * (2/3), converted_stat, '2K_Ratings'!L300, IF(bbgm_stat &gt;= perc_95, converted_stat * 3, IF(bbgm_stat &gt;= perc_90, converted_stat * 2, IF(bbgm_stat &gt;= perc_85, converted_stat * 1.5, converted_stat)))))</f>
        <v/>
      </c>
      <c r="M300" s="30" t="str">
        <f t="array" ref="M300">IF($A300="", "", LET(bbgm_stat, INDEX(Players!$A299:$P299, MATCH(M$2, Players!$A$1:$P$1, 0)), perc_75, VLOOKUP(M$2, Percentiles!$A$45:$I$59, 6, FALSE), perc_90, VLOOKUP(M$2, Percentiles!$A$45:$I$59, 7, FALSE), perc_95, VLOOKUP(M$2, Percentiles!$A$45:$I$59, 8, FALSE), perc_85, perc_75 + (perc_90 - perc_75) * (2/3), converted_stat, '2K_Ratings'!M300, IF(bbgm_stat &gt;= perc_95, converted_stat * 3, IF(bbgm_stat &gt;= perc_90, converted_stat * 2, IF(bbgm_stat &gt;= perc_85, converted_stat * 1.5, converted_stat)))))</f>
        <v/>
      </c>
      <c r="N300" s="30" t="str">
        <f t="array" ref="N300">IF($A300="", "", LET(bbgm_stat, INDEX(Players!$A299:$P299, MATCH(N$2, Players!$A$1:$P$1, 0)), perc_75, VLOOKUP(N$2, Percentiles!$A$45:$I$59, 6, FALSE), perc_90, VLOOKUP(N$2, Percentiles!$A$45:$I$59, 7, FALSE), perc_95, VLOOKUP(N$2, Percentiles!$A$45:$I$59, 8, FALSE), perc_85, perc_75 + (perc_90 - perc_75) * (2/3), converted_stat, '2K_Ratings'!N300, IF(bbgm_stat &gt;= perc_95, converted_stat * 3, IF(bbgm_stat &gt;= perc_90, converted_stat * 2, IF(bbgm_stat &gt;= perc_85, converted_stat * 1.5, converted_stat)))))</f>
        <v/>
      </c>
      <c r="O300" s="30" t="str">
        <f t="array" ref="O300">IF($A300="", "", LET(bbgm_stat, INDEX(Players!$A299:$P299, MATCH(O$2, Players!$A$1:$P$1, 0)), perc_75, VLOOKUP(O$2, Percentiles!$A$45:$I$59, 6, FALSE), perc_90, VLOOKUP(O$2, Percentiles!$A$45:$I$59, 7, FALSE), perc_95, VLOOKUP(O$2, Percentiles!$A$45:$I$59, 8, FALSE), perc_85, perc_75 + (perc_90 - perc_75) * (2/3), converted_stat, '2K_Ratings'!O300, IF(bbgm_stat &gt;= perc_95, converted_stat * 3, IF(bbgm_stat &gt;= perc_90, converted_stat * 2, IF(bbgm_stat &gt;= perc_85, converted_stat * 1.5, converted_stat)))))</f>
        <v/>
      </c>
      <c r="P300" s="30" t="str">
        <f t="array" ref="P300">IF($A300="", "", LET(bbgm_stat, INDEX(Players!$A299:$P299, MATCH(P$2, Players!$A$1:$P$1, 0)), perc_75, VLOOKUP(P$2, Percentiles!$A$45:$I$59, 6, FALSE), perc_90, VLOOKUP(P$2, Percentiles!$A$45:$I$59, 7, FALSE), perc_95, VLOOKUP(P$2, Percentiles!$A$45:$I$59, 8, FALSE), perc_85, perc_75 + (perc_90 - perc_75) * (2/3), converted_stat, '2K_Ratings'!P300, IF(bbgm_stat &gt;= perc_95, converted_stat * 3, IF(bbgm_stat &gt;= perc_90, converted_stat * 2, IF(bbgm_stat &gt;= perc_85, converted_stat * 1.5, converted_stat)))))</f>
        <v/>
      </c>
      <c r="Q300" s="30" t="str">
        <f t="array" ref="Q300">IF($A300="", "", LET(bbgm_stat, INDEX(Players!$A299:$P299, MATCH(Q$2, Players!$A$1:$P$1, 0)), perc_75, VLOOKUP(Q$2, Percentiles!$A$45:$I$59, 6, FALSE), perc_90, VLOOKUP(Q$2, Percentiles!$A$45:$I$59, 7, FALSE), perc_95, VLOOKUP(Q$2, Percentiles!$A$45:$I$59, 8, FALSE), perc_85, perc_75 + (perc_90 - perc_75) * (2/3), converted_stat, '2K_Ratings'!Q300, IF(bbgm_stat &gt;= perc_95, converted_stat * 3, IF(bbgm_stat &gt;= perc_90, converted_stat * 2, IF(bbgm_stat &gt;= perc_85, converted_stat * 1.5, converted_stat)))))</f>
        <v/>
      </c>
      <c r="R300" s="30" t="str">
        <f t="array" ref="R300">IF($A300="", "", LET(bbgm_stat, INDEX(Players!$A299:$P299, MATCH(R$2, Players!$A$1:$P$1, 0)), perc_75, VLOOKUP(R$2, Percentiles!$A$45:$I$59, 6, FALSE), perc_90, VLOOKUP(R$2, Percentiles!$A$45:$I$59, 7, FALSE), perc_95, VLOOKUP(R$2, Percentiles!$A$45:$I$59, 8, FALSE), perc_85, perc_75 + (perc_90 - perc_75) * (2/3), converted_stat, '2K_Ratings'!R300, IF(bbgm_stat &gt;= perc_95, converted_stat * 3, IF(bbgm_stat &gt;= perc_90, converted_stat * 2, IF(bbgm_stat &gt;= perc_85, converted_stat * 1.5, converted_stat)))))</f>
        <v/>
      </c>
      <c r="S300" s="30" t="str">
        <f t="array" ref="S300">IF($A300="", "", LET(bbgm_stat, INDEX(Players!$A299:$P299, MATCH(S$2, Players!$A$1:$P$1, 0)), perc_75, VLOOKUP(S$2, Percentiles!$A$45:$I$59, 6, FALSE), perc_90, VLOOKUP(S$2, Percentiles!$A$45:$I$59, 7, FALSE), perc_95, VLOOKUP(S$2, Percentiles!$A$45:$I$59, 8, FALSE), perc_85, perc_75 + (perc_90 - perc_75) * (2/3), converted_stat, '2K_Ratings'!S300, IF(bbgm_stat &gt;= perc_95, converted_stat * 3, IF(bbgm_stat &gt;= perc_90, converted_stat * 2, IF(bbgm_stat &gt;= perc_85, converted_stat * 1.5, converted_stat)))))</f>
        <v/>
      </c>
      <c r="T300" s="30" t="str">
        <f t="array" ref="T300">IF($A300="", "", LET(bbgm_stat, INDEX(Players!$A299:$P299, MATCH(T$2, Players!$A$1:$P$1, 0)), perc_75, VLOOKUP(T$2, Percentiles!$A$45:$I$59, 6, FALSE), perc_90, VLOOKUP(T$2, Percentiles!$A$45:$I$59, 7, FALSE), perc_95, VLOOKUP(T$2, Percentiles!$A$45:$I$59, 8, FALSE), perc_85, perc_75 + (perc_90 - perc_75) * (2/3), converted_stat, '2K_Ratings'!T300, IF(bbgm_stat &gt;= perc_95, converted_stat * 3, IF(bbgm_stat &gt;= perc_90, converted_stat * 2, IF(bbgm_stat &gt;= perc_85, converted_stat * 1.5, converted_stat)))))</f>
        <v/>
      </c>
      <c r="U300" s="30" t="str">
        <f t="array" ref="U300">IF($A300="", "", LET(bbgm_stat, INDEX(Players!$A299:$P299, MATCH(U$2, Players!$A$1:$P$1, 0)), perc_75, VLOOKUP(U$2, Percentiles!$A$45:$I$59, 6, FALSE), perc_90, VLOOKUP(U$2, Percentiles!$A$45:$I$59, 7, FALSE), perc_95, VLOOKUP(U$2, Percentiles!$A$45:$I$59, 8, FALSE), perc_85, perc_75 + (perc_90 - perc_75) * (2/3), converted_stat, '2K_Ratings'!U300, IF(bbgm_stat &gt;= perc_95, converted_stat * 3, IF(bbgm_stat &gt;= perc_90, converted_stat * 2, IF(bbgm_stat &gt;= perc_85, converted_stat * 1.5, converted_stat)))))</f>
        <v/>
      </c>
      <c r="V300" s="30" t="str">
        <f t="array" ref="V300">IF($A300="", "", LET(bbgm_stat, INDEX(Players!$A299:$P299, MATCH(V$2, Players!$A$1:$P$1, 0)), perc_75, VLOOKUP(V$2, Percentiles!$A$45:$I$59, 6, FALSE), perc_90, VLOOKUP(V$2, Percentiles!$A$45:$I$59, 7, FALSE), perc_95, VLOOKUP(V$2, Percentiles!$A$45:$I$59, 8, FALSE), perc_85, perc_75 + (perc_90 - perc_75) * (2/3), converted_stat, '2K_Ratings'!V300, IF(bbgm_stat &gt;= perc_95, converted_stat * 3, IF(bbgm_stat &gt;= perc_90, converted_stat * 2, IF(bbgm_stat &gt;= perc_85, converted_stat * 1.5, converted_stat)))))</f>
        <v/>
      </c>
      <c r="W300" s="30" t="str">
        <f t="array" ref="W300">IF($A300="", "", LET(bbgm_stat, INDEX(Players!$A299:$P299, MATCH(W$2, Players!$A$1:$P$1, 0)), perc_75, VLOOKUP(W$2, Percentiles!$A$45:$I$59, 6, FALSE), perc_90, VLOOKUP(W$2, Percentiles!$A$45:$I$59, 7, FALSE), perc_95, VLOOKUP(W$2, Percentiles!$A$45:$I$59, 8, FALSE), perc_85, perc_75 + (perc_90 - perc_75) * (2/3), converted_stat, '2K_Ratings'!W300, IF(bbgm_stat &gt;= perc_95, converted_stat * 3, IF(bbgm_stat &gt;= perc_90, converted_stat * 2, IF(bbgm_stat &gt;= perc_85, converted_stat * 1.5, converted_stat)))))</f>
        <v/>
      </c>
    </row>
    <row r="301">
      <c r="A301" s="30"/>
      <c r="B301" s="30" t="str">
        <f t="array" ref="B301">IF($A301="", "", LET(bbgm_stat, INDEX(Players!$A300:$P300, MATCH(B$2, Players!$A$1:$P$1, 0)), perc_75, VLOOKUP(B$2, Percentiles!$A$45:$I$59, 6, FALSE), perc_90, VLOOKUP(B$2, Percentiles!$A$45:$I$59, 7, FALSE), perc_95, VLOOKUP(B$2, Percentiles!$A$45:$I$59, 8, FALSE), perc_85, perc_75 + (perc_90 - perc_75) * (2/3), converted_stat, '2K_Ratings'!B301, IF(bbgm_stat &gt;= perc_95, converted_stat * 3, IF(bbgm_stat &gt;= perc_90, converted_stat * 2, IF(bbgm_stat &gt;= perc_85, converted_stat * 1.5, converted_stat)))))</f>
        <v/>
      </c>
      <c r="C301" s="30" t="str">
        <f t="array" ref="C301">IF($A301="", "", LET(bbgm_stat, INDEX(Players!$A300:$P300, MATCH(C$2, Players!$A$1:$P$1, 0)), perc_75, VLOOKUP(C$2, Percentiles!$A$45:$I$59, 6, FALSE), perc_90, VLOOKUP(C$2, Percentiles!$A$45:$I$59, 7, FALSE), perc_95, VLOOKUP(C$2, Percentiles!$A$45:$I$59, 8, FALSE), perc_85, perc_75 + (perc_90 - perc_75) * (2/3), converted_stat, '2K_Ratings'!C301, IF(bbgm_stat &gt;= perc_95, converted_stat * 3, IF(bbgm_stat &gt;= perc_90, converted_stat * 2, IF(bbgm_stat &gt;= perc_85, converted_stat * 1.5, converted_stat)))))</f>
        <v/>
      </c>
      <c r="D301" s="30" t="str">
        <f t="array" ref="D301">IF($A301="", "", LET(bbgm_stat, INDEX(Players!$A300:$P300, MATCH(D$2, Players!$A$1:$P$1, 0)), perc_75, VLOOKUP(D$2, Percentiles!$A$45:$I$59, 6, FALSE), perc_90, VLOOKUP(D$2, Percentiles!$A$45:$I$59, 7, FALSE), perc_95, VLOOKUP(D$2, Percentiles!$A$45:$I$59, 8, FALSE), perc_85, perc_75 + (perc_90 - perc_75) * (2/3), converted_stat, '2K_Ratings'!D301, IF(bbgm_stat &gt;= perc_95, converted_stat * 3, IF(bbgm_stat &gt;= perc_90, converted_stat * 2, IF(bbgm_stat &gt;= perc_85, converted_stat * 1.5, converted_stat)))))</f>
        <v/>
      </c>
      <c r="E301" s="30" t="str">
        <f t="array" ref="E301">IF($A301="", "", LET(bbgm_stat, INDEX(Players!$A300:$P300, MATCH(E$2, Players!$A$1:$P$1, 0)), perc_75, VLOOKUP(E$2, Percentiles!$A$45:$I$59, 6, FALSE), perc_90, VLOOKUP(E$2, Percentiles!$A$45:$I$59, 7, FALSE), perc_95, VLOOKUP(E$2, Percentiles!$A$45:$I$59, 8, FALSE), perc_85, perc_75 + (perc_90 - perc_75) * (2/3), converted_stat, '2K_Ratings'!E301, IF(bbgm_stat &gt;= perc_95, converted_stat * 3, IF(bbgm_stat &gt;= perc_90, converted_stat * 2, IF(bbgm_stat &gt;= perc_85, converted_stat * 1.5, converted_stat)))))</f>
        <v/>
      </c>
      <c r="F301" s="30" t="str">
        <f t="array" ref="F301">IF($A301="", "", LET(bbgm_stat, INDEX(Players!$A300:$P300, MATCH(F$2, Players!$A$1:$P$1, 0)), perc_75, VLOOKUP(F$2, Percentiles!$A$45:$I$59, 6, FALSE), perc_90, VLOOKUP(F$2, Percentiles!$A$45:$I$59, 7, FALSE), perc_95, VLOOKUP(F$2, Percentiles!$A$45:$I$59, 8, FALSE), perc_85, perc_75 + (perc_90 - perc_75) * (2/3), converted_stat, '2K_Ratings'!F301, IF(bbgm_stat &gt;= perc_95, converted_stat * 3, IF(bbgm_stat &gt;= perc_90, converted_stat * 2, IF(bbgm_stat &gt;= perc_85, converted_stat * 1.5, converted_stat)))))</f>
        <v/>
      </c>
      <c r="G301" s="30" t="str">
        <f t="array" ref="G301">IF($A301="", "", LET(bbgm_stat, INDEX(Players!$A300:$P300, MATCH(G$2, Players!$A$1:$P$1, 0)), perc_75, VLOOKUP(G$2, Percentiles!$A$45:$I$59, 6, FALSE), perc_90, VLOOKUP(G$2, Percentiles!$A$45:$I$59, 7, FALSE), perc_95, VLOOKUP(G$2, Percentiles!$A$45:$I$59, 8, FALSE), perc_85, perc_75 + (perc_90 - perc_75) * (2/3), converted_stat, '2K_Ratings'!G301, IF(bbgm_stat &gt;= perc_95, converted_stat * 3, IF(bbgm_stat &gt;= perc_90, converted_stat * 2, IF(bbgm_stat &gt;= perc_85, converted_stat * 1.5, converted_stat)))))</f>
        <v/>
      </c>
      <c r="H301" s="30" t="str">
        <f t="array" ref="H301">IF($A301="", "", LET(bbgm_stat, INDEX(Players!$A300:$P300, MATCH(H$2, Players!$A$1:$P$1, 0)), perc_75, VLOOKUP(H$2, Percentiles!$A$45:$I$59, 6, FALSE), perc_90, VLOOKUP(H$2, Percentiles!$A$45:$I$59, 7, FALSE), perc_95, VLOOKUP(H$2, Percentiles!$A$45:$I$59, 8, FALSE), perc_85, perc_75 + (perc_90 - perc_75) * (2/3), converted_stat, '2K_Ratings'!H301, IF(bbgm_stat &gt;= perc_95, converted_stat * 3, IF(bbgm_stat &gt;= perc_90, converted_stat * 2, IF(bbgm_stat &gt;= perc_85, converted_stat * 1.5, converted_stat)))))</f>
        <v/>
      </c>
      <c r="I301" s="30" t="str">
        <f t="array" ref="I301">IF($A301="", "", LET(bbgm_stat, INDEX(Players!$A300:$P300, MATCH(I$2, Players!$A$1:$P$1, 0)), perc_75, VLOOKUP(I$2, Percentiles!$A$45:$I$59, 6, FALSE), perc_90, VLOOKUP(I$2, Percentiles!$A$45:$I$59, 7, FALSE), perc_95, VLOOKUP(I$2, Percentiles!$A$45:$I$59, 8, FALSE), perc_85, perc_75 + (perc_90 - perc_75) * (2/3), converted_stat, '2K_Ratings'!I301, IF(bbgm_stat &gt;= perc_95, converted_stat * 3, IF(bbgm_stat &gt;= perc_90, converted_stat * 2, IF(bbgm_stat &gt;= perc_85, converted_stat * 1.5, converted_stat)))))</f>
        <v/>
      </c>
      <c r="J301" s="30" t="str">
        <f t="array" ref="J301">IF($A301="", "", LET(bbgm_stat, INDEX(Players!$A300:$P300, MATCH(J$2, Players!$A$1:$P$1, 0)), perc_75, VLOOKUP(J$2, Percentiles!$A$45:$I$59, 6, FALSE), perc_90, VLOOKUP(J$2, Percentiles!$A$45:$I$59, 7, FALSE), perc_95, VLOOKUP(J$2, Percentiles!$A$45:$I$59, 8, FALSE), perc_85, perc_75 + (perc_90 - perc_75) * (2/3), converted_stat, '2K_Ratings'!J301, IF(bbgm_stat &gt;= perc_95, converted_stat * 3, IF(bbgm_stat &gt;= perc_90, converted_stat * 2, IF(bbgm_stat &gt;= perc_85, converted_stat * 1.5, converted_stat)))))</f>
        <v/>
      </c>
      <c r="K301" s="30" t="str">
        <f t="array" ref="K301">IF($A301="", "", LET(bbgm_stat, INDEX(Players!$A300:$P300, MATCH(K$2, Players!$A$1:$P$1, 0)), perc_75, VLOOKUP(K$2, Percentiles!$A$45:$I$59, 6, FALSE), perc_90, VLOOKUP(K$2, Percentiles!$A$45:$I$59, 7, FALSE), perc_95, VLOOKUP(K$2, Percentiles!$A$45:$I$59, 8, FALSE), perc_85, perc_75 + (perc_90 - perc_75) * (2/3), converted_stat, '2K_Ratings'!K301, IF(bbgm_stat &gt;= perc_95, converted_stat * 3, IF(bbgm_stat &gt;= perc_90, converted_stat * 2, IF(bbgm_stat &gt;= perc_85, converted_stat * 1.5, converted_stat)))))</f>
        <v/>
      </c>
      <c r="L301" s="30" t="str">
        <f t="array" ref="L301">IF($A301="", "", LET(bbgm_stat, INDEX(Players!$A300:$P300, MATCH(L$2, Players!$A$1:$P$1, 0)), perc_75, VLOOKUP(L$2, Percentiles!$A$45:$I$59, 6, FALSE), perc_90, VLOOKUP(L$2, Percentiles!$A$45:$I$59, 7, FALSE), perc_95, VLOOKUP(L$2, Percentiles!$A$45:$I$59, 8, FALSE), perc_85, perc_75 + (perc_90 - perc_75) * (2/3), converted_stat, '2K_Ratings'!L301, IF(bbgm_stat &gt;= perc_95, converted_stat * 3, IF(bbgm_stat &gt;= perc_90, converted_stat * 2, IF(bbgm_stat &gt;= perc_85, converted_stat * 1.5, converted_stat)))))</f>
        <v/>
      </c>
      <c r="M301" s="30" t="str">
        <f t="array" ref="M301">IF($A301="", "", LET(bbgm_stat, INDEX(Players!$A300:$P300, MATCH(M$2, Players!$A$1:$P$1, 0)), perc_75, VLOOKUP(M$2, Percentiles!$A$45:$I$59, 6, FALSE), perc_90, VLOOKUP(M$2, Percentiles!$A$45:$I$59, 7, FALSE), perc_95, VLOOKUP(M$2, Percentiles!$A$45:$I$59, 8, FALSE), perc_85, perc_75 + (perc_90 - perc_75) * (2/3), converted_stat, '2K_Ratings'!M301, IF(bbgm_stat &gt;= perc_95, converted_stat * 3, IF(bbgm_stat &gt;= perc_90, converted_stat * 2, IF(bbgm_stat &gt;= perc_85, converted_stat * 1.5, converted_stat)))))</f>
        <v/>
      </c>
      <c r="N301" s="30" t="str">
        <f t="array" ref="N301">IF($A301="", "", LET(bbgm_stat, INDEX(Players!$A300:$P300, MATCH(N$2, Players!$A$1:$P$1, 0)), perc_75, VLOOKUP(N$2, Percentiles!$A$45:$I$59, 6, FALSE), perc_90, VLOOKUP(N$2, Percentiles!$A$45:$I$59, 7, FALSE), perc_95, VLOOKUP(N$2, Percentiles!$A$45:$I$59, 8, FALSE), perc_85, perc_75 + (perc_90 - perc_75) * (2/3), converted_stat, '2K_Ratings'!N301, IF(bbgm_stat &gt;= perc_95, converted_stat * 3, IF(bbgm_stat &gt;= perc_90, converted_stat * 2, IF(bbgm_stat &gt;= perc_85, converted_stat * 1.5, converted_stat)))))</f>
        <v/>
      </c>
      <c r="O301" s="30" t="str">
        <f t="array" ref="O301">IF($A301="", "", LET(bbgm_stat, INDEX(Players!$A300:$P300, MATCH(O$2, Players!$A$1:$P$1, 0)), perc_75, VLOOKUP(O$2, Percentiles!$A$45:$I$59, 6, FALSE), perc_90, VLOOKUP(O$2, Percentiles!$A$45:$I$59, 7, FALSE), perc_95, VLOOKUP(O$2, Percentiles!$A$45:$I$59, 8, FALSE), perc_85, perc_75 + (perc_90 - perc_75) * (2/3), converted_stat, '2K_Ratings'!O301, IF(bbgm_stat &gt;= perc_95, converted_stat * 3, IF(bbgm_stat &gt;= perc_90, converted_stat * 2, IF(bbgm_stat &gt;= perc_85, converted_stat * 1.5, converted_stat)))))</f>
        <v/>
      </c>
      <c r="P301" s="30" t="str">
        <f t="array" ref="P301">IF($A301="", "", LET(bbgm_stat, INDEX(Players!$A300:$P300, MATCH(P$2, Players!$A$1:$P$1, 0)), perc_75, VLOOKUP(P$2, Percentiles!$A$45:$I$59, 6, FALSE), perc_90, VLOOKUP(P$2, Percentiles!$A$45:$I$59, 7, FALSE), perc_95, VLOOKUP(P$2, Percentiles!$A$45:$I$59, 8, FALSE), perc_85, perc_75 + (perc_90 - perc_75) * (2/3), converted_stat, '2K_Ratings'!P301, IF(bbgm_stat &gt;= perc_95, converted_stat * 3, IF(bbgm_stat &gt;= perc_90, converted_stat * 2, IF(bbgm_stat &gt;= perc_85, converted_stat * 1.5, converted_stat)))))</f>
        <v/>
      </c>
      <c r="Q301" s="30" t="str">
        <f t="array" ref="Q301">IF($A301="", "", LET(bbgm_stat, INDEX(Players!$A300:$P300, MATCH(Q$2, Players!$A$1:$P$1, 0)), perc_75, VLOOKUP(Q$2, Percentiles!$A$45:$I$59, 6, FALSE), perc_90, VLOOKUP(Q$2, Percentiles!$A$45:$I$59, 7, FALSE), perc_95, VLOOKUP(Q$2, Percentiles!$A$45:$I$59, 8, FALSE), perc_85, perc_75 + (perc_90 - perc_75) * (2/3), converted_stat, '2K_Ratings'!Q301, IF(bbgm_stat &gt;= perc_95, converted_stat * 3, IF(bbgm_stat &gt;= perc_90, converted_stat * 2, IF(bbgm_stat &gt;= perc_85, converted_stat * 1.5, converted_stat)))))</f>
        <v/>
      </c>
      <c r="R301" s="30" t="str">
        <f t="array" ref="R301">IF($A301="", "", LET(bbgm_stat, INDEX(Players!$A300:$P300, MATCH(R$2, Players!$A$1:$P$1, 0)), perc_75, VLOOKUP(R$2, Percentiles!$A$45:$I$59, 6, FALSE), perc_90, VLOOKUP(R$2, Percentiles!$A$45:$I$59, 7, FALSE), perc_95, VLOOKUP(R$2, Percentiles!$A$45:$I$59, 8, FALSE), perc_85, perc_75 + (perc_90 - perc_75) * (2/3), converted_stat, '2K_Ratings'!R301, IF(bbgm_stat &gt;= perc_95, converted_stat * 3, IF(bbgm_stat &gt;= perc_90, converted_stat * 2, IF(bbgm_stat &gt;= perc_85, converted_stat * 1.5, converted_stat)))))</f>
        <v/>
      </c>
      <c r="S301" s="30" t="str">
        <f t="array" ref="S301">IF($A301="", "", LET(bbgm_stat, INDEX(Players!$A300:$P300, MATCH(S$2, Players!$A$1:$P$1, 0)), perc_75, VLOOKUP(S$2, Percentiles!$A$45:$I$59, 6, FALSE), perc_90, VLOOKUP(S$2, Percentiles!$A$45:$I$59, 7, FALSE), perc_95, VLOOKUP(S$2, Percentiles!$A$45:$I$59, 8, FALSE), perc_85, perc_75 + (perc_90 - perc_75) * (2/3), converted_stat, '2K_Ratings'!S301, IF(bbgm_stat &gt;= perc_95, converted_stat * 3, IF(bbgm_stat &gt;= perc_90, converted_stat * 2, IF(bbgm_stat &gt;= perc_85, converted_stat * 1.5, converted_stat)))))</f>
        <v/>
      </c>
      <c r="T301" s="30" t="str">
        <f t="array" ref="T301">IF($A301="", "", LET(bbgm_stat, INDEX(Players!$A300:$P300, MATCH(T$2, Players!$A$1:$P$1, 0)), perc_75, VLOOKUP(T$2, Percentiles!$A$45:$I$59, 6, FALSE), perc_90, VLOOKUP(T$2, Percentiles!$A$45:$I$59, 7, FALSE), perc_95, VLOOKUP(T$2, Percentiles!$A$45:$I$59, 8, FALSE), perc_85, perc_75 + (perc_90 - perc_75) * (2/3), converted_stat, '2K_Ratings'!T301, IF(bbgm_stat &gt;= perc_95, converted_stat * 3, IF(bbgm_stat &gt;= perc_90, converted_stat * 2, IF(bbgm_stat &gt;= perc_85, converted_stat * 1.5, converted_stat)))))</f>
        <v/>
      </c>
      <c r="U301" s="30" t="str">
        <f t="array" ref="U301">IF($A301="", "", LET(bbgm_stat, INDEX(Players!$A300:$P300, MATCH(U$2, Players!$A$1:$P$1, 0)), perc_75, VLOOKUP(U$2, Percentiles!$A$45:$I$59, 6, FALSE), perc_90, VLOOKUP(U$2, Percentiles!$A$45:$I$59, 7, FALSE), perc_95, VLOOKUP(U$2, Percentiles!$A$45:$I$59, 8, FALSE), perc_85, perc_75 + (perc_90 - perc_75) * (2/3), converted_stat, '2K_Ratings'!U301, IF(bbgm_stat &gt;= perc_95, converted_stat * 3, IF(bbgm_stat &gt;= perc_90, converted_stat * 2, IF(bbgm_stat &gt;= perc_85, converted_stat * 1.5, converted_stat)))))</f>
        <v/>
      </c>
      <c r="V301" s="30" t="str">
        <f t="array" ref="V301">IF($A301="", "", LET(bbgm_stat, INDEX(Players!$A300:$P300, MATCH(V$2, Players!$A$1:$P$1, 0)), perc_75, VLOOKUP(V$2, Percentiles!$A$45:$I$59, 6, FALSE), perc_90, VLOOKUP(V$2, Percentiles!$A$45:$I$59, 7, FALSE), perc_95, VLOOKUP(V$2, Percentiles!$A$45:$I$59, 8, FALSE), perc_85, perc_75 + (perc_90 - perc_75) * (2/3), converted_stat, '2K_Ratings'!V301, IF(bbgm_stat &gt;= perc_95, converted_stat * 3, IF(bbgm_stat &gt;= perc_90, converted_stat * 2, IF(bbgm_stat &gt;= perc_85, converted_stat * 1.5, converted_stat)))))</f>
        <v/>
      </c>
      <c r="W301" s="30" t="str">
        <f t="array" ref="W301">IF($A301="", "", LET(bbgm_stat, INDEX(Players!$A300:$P300, MATCH(W$2, Players!$A$1:$P$1, 0)), perc_75, VLOOKUP(W$2, Percentiles!$A$45:$I$59, 6, FALSE), perc_90, VLOOKUP(W$2, Percentiles!$A$45:$I$59, 7, FALSE), perc_95, VLOOKUP(W$2, Percentiles!$A$45:$I$59, 8, FALSE), perc_85, perc_75 + (perc_90 - perc_75) * (2/3), converted_stat, '2K_Ratings'!W301, IF(bbgm_stat &gt;= perc_95, converted_stat * 3, IF(bbgm_stat &gt;= perc_90, converted_stat * 2, IF(bbgm_stat &gt;= perc_85, converted_stat * 1.5, converted_stat)))))</f>
        <v/>
      </c>
    </row>
    <row r="302">
      <c r="A302" s="30"/>
      <c r="B302" s="30" t="str">
        <f t="array" ref="B302">IF($A302="", "", LET(bbgm_stat, INDEX(Players!$A301:$P301, MATCH(B$2, Players!$A$1:$P$1, 0)), perc_75, VLOOKUP(B$2, Percentiles!$A$45:$I$59, 6, FALSE), perc_90, VLOOKUP(B$2, Percentiles!$A$45:$I$59, 7, FALSE), perc_95, VLOOKUP(B$2, Percentiles!$A$45:$I$59, 8, FALSE), perc_85, perc_75 + (perc_90 - perc_75) * (2/3), converted_stat, '2K_Ratings'!B302, IF(bbgm_stat &gt;= perc_95, converted_stat * 3, IF(bbgm_stat &gt;= perc_90, converted_stat * 2, IF(bbgm_stat &gt;= perc_85, converted_stat * 1.5, converted_stat)))))</f>
        <v/>
      </c>
      <c r="C302" s="30" t="str">
        <f t="array" ref="C302">IF($A302="", "", LET(bbgm_stat, INDEX(Players!$A301:$P301, MATCH(C$2, Players!$A$1:$P$1, 0)), perc_75, VLOOKUP(C$2, Percentiles!$A$45:$I$59, 6, FALSE), perc_90, VLOOKUP(C$2, Percentiles!$A$45:$I$59, 7, FALSE), perc_95, VLOOKUP(C$2, Percentiles!$A$45:$I$59, 8, FALSE), perc_85, perc_75 + (perc_90 - perc_75) * (2/3), converted_stat, '2K_Ratings'!C302, IF(bbgm_stat &gt;= perc_95, converted_stat * 3, IF(bbgm_stat &gt;= perc_90, converted_stat * 2, IF(bbgm_stat &gt;= perc_85, converted_stat * 1.5, converted_stat)))))</f>
        <v/>
      </c>
      <c r="D302" s="30" t="str">
        <f t="array" ref="D302">IF($A302="", "", LET(bbgm_stat, INDEX(Players!$A301:$P301, MATCH(D$2, Players!$A$1:$P$1, 0)), perc_75, VLOOKUP(D$2, Percentiles!$A$45:$I$59, 6, FALSE), perc_90, VLOOKUP(D$2, Percentiles!$A$45:$I$59, 7, FALSE), perc_95, VLOOKUP(D$2, Percentiles!$A$45:$I$59, 8, FALSE), perc_85, perc_75 + (perc_90 - perc_75) * (2/3), converted_stat, '2K_Ratings'!D302, IF(bbgm_stat &gt;= perc_95, converted_stat * 3, IF(bbgm_stat &gt;= perc_90, converted_stat * 2, IF(bbgm_stat &gt;= perc_85, converted_stat * 1.5, converted_stat)))))</f>
        <v/>
      </c>
      <c r="E302" s="30" t="str">
        <f t="array" ref="E302">IF($A302="", "", LET(bbgm_stat, INDEX(Players!$A301:$P301, MATCH(E$2, Players!$A$1:$P$1, 0)), perc_75, VLOOKUP(E$2, Percentiles!$A$45:$I$59, 6, FALSE), perc_90, VLOOKUP(E$2, Percentiles!$A$45:$I$59, 7, FALSE), perc_95, VLOOKUP(E$2, Percentiles!$A$45:$I$59, 8, FALSE), perc_85, perc_75 + (perc_90 - perc_75) * (2/3), converted_stat, '2K_Ratings'!E302, IF(bbgm_stat &gt;= perc_95, converted_stat * 3, IF(bbgm_stat &gt;= perc_90, converted_stat * 2, IF(bbgm_stat &gt;= perc_85, converted_stat * 1.5, converted_stat)))))</f>
        <v/>
      </c>
      <c r="F302" s="30" t="str">
        <f t="array" ref="F302">IF($A302="", "", LET(bbgm_stat, INDEX(Players!$A301:$P301, MATCH(F$2, Players!$A$1:$P$1, 0)), perc_75, VLOOKUP(F$2, Percentiles!$A$45:$I$59, 6, FALSE), perc_90, VLOOKUP(F$2, Percentiles!$A$45:$I$59, 7, FALSE), perc_95, VLOOKUP(F$2, Percentiles!$A$45:$I$59, 8, FALSE), perc_85, perc_75 + (perc_90 - perc_75) * (2/3), converted_stat, '2K_Ratings'!F302, IF(bbgm_stat &gt;= perc_95, converted_stat * 3, IF(bbgm_stat &gt;= perc_90, converted_stat * 2, IF(bbgm_stat &gt;= perc_85, converted_stat * 1.5, converted_stat)))))</f>
        <v/>
      </c>
      <c r="G302" s="30" t="str">
        <f t="array" ref="G302">IF($A302="", "", LET(bbgm_stat, INDEX(Players!$A301:$P301, MATCH(G$2, Players!$A$1:$P$1, 0)), perc_75, VLOOKUP(G$2, Percentiles!$A$45:$I$59, 6, FALSE), perc_90, VLOOKUP(G$2, Percentiles!$A$45:$I$59, 7, FALSE), perc_95, VLOOKUP(G$2, Percentiles!$A$45:$I$59, 8, FALSE), perc_85, perc_75 + (perc_90 - perc_75) * (2/3), converted_stat, '2K_Ratings'!G302, IF(bbgm_stat &gt;= perc_95, converted_stat * 3, IF(bbgm_stat &gt;= perc_90, converted_stat * 2, IF(bbgm_stat &gt;= perc_85, converted_stat * 1.5, converted_stat)))))</f>
        <v/>
      </c>
      <c r="H302" s="30" t="str">
        <f t="array" ref="H302">IF($A302="", "", LET(bbgm_stat, INDEX(Players!$A301:$P301, MATCH(H$2, Players!$A$1:$P$1, 0)), perc_75, VLOOKUP(H$2, Percentiles!$A$45:$I$59, 6, FALSE), perc_90, VLOOKUP(H$2, Percentiles!$A$45:$I$59, 7, FALSE), perc_95, VLOOKUP(H$2, Percentiles!$A$45:$I$59, 8, FALSE), perc_85, perc_75 + (perc_90 - perc_75) * (2/3), converted_stat, '2K_Ratings'!H302, IF(bbgm_stat &gt;= perc_95, converted_stat * 3, IF(bbgm_stat &gt;= perc_90, converted_stat * 2, IF(bbgm_stat &gt;= perc_85, converted_stat * 1.5, converted_stat)))))</f>
        <v/>
      </c>
      <c r="I302" s="30" t="str">
        <f t="array" ref="I302">IF($A302="", "", LET(bbgm_stat, INDEX(Players!$A301:$P301, MATCH(I$2, Players!$A$1:$P$1, 0)), perc_75, VLOOKUP(I$2, Percentiles!$A$45:$I$59, 6, FALSE), perc_90, VLOOKUP(I$2, Percentiles!$A$45:$I$59, 7, FALSE), perc_95, VLOOKUP(I$2, Percentiles!$A$45:$I$59, 8, FALSE), perc_85, perc_75 + (perc_90 - perc_75) * (2/3), converted_stat, '2K_Ratings'!I302, IF(bbgm_stat &gt;= perc_95, converted_stat * 3, IF(bbgm_stat &gt;= perc_90, converted_stat * 2, IF(bbgm_stat &gt;= perc_85, converted_stat * 1.5, converted_stat)))))</f>
        <v/>
      </c>
      <c r="J302" s="30" t="str">
        <f t="array" ref="J302">IF($A302="", "", LET(bbgm_stat, INDEX(Players!$A301:$P301, MATCH(J$2, Players!$A$1:$P$1, 0)), perc_75, VLOOKUP(J$2, Percentiles!$A$45:$I$59, 6, FALSE), perc_90, VLOOKUP(J$2, Percentiles!$A$45:$I$59, 7, FALSE), perc_95, VLOOKUP(J$2, Percentiles!$A$45:$I$59, 8, FALSE), perc_85, perc_75 + (perc_90 - perc_75) * (2/3), converted_stat, '2K_Ratings'!J302, IF(bbgm_stat &gt;= perc_95, converted_stat * 3, IF(bbgm_stat &gt;= perc_90, converted_stat * 2, IF(bbgm_stat &gt;= perc_85, converted_stat * 1.5, converted_stat)))))</f>
        <v/>
      </c>
      <c r="K302" s="30" t="str">
        <f t="array" ref="K302">IF($A302="", "", LET(bbgm_stat, INDEX(Players!$A301:$P301, MATCH(K$2, Players!$A$1:$P$1, 0)), perc_75, VLOOKUP(K$2, Percentiles!$A$45:$I$59, 6, FALSE), perc_90, VLOOKUP(K$2, Percentiles!$A$45:$I$59, 7, FALSE), perc_95, VLOOKUP(K$2, Percentiles!$A$45:$I$59, 8, FALSE), perc_85, perc_75 + (perc_90 - perc_75) * (2/3), converted_stat, '2K_Ratings'!K302, IF(bbgm_stat &gt;= perc_95, converted_stat * 3, IF(bbgm_stat &gt;= perc_90, converted_stat * 2, IF(bbgm_stat &gt;= perc_85, converted_stat * 1.5, converted_stat)))))</f>
        <v/>
      </c>
      <c r="L302" s="30" t="str">
        <f t="array" ref="L302">IF($A302="", "", LET(bbgm_stat, INDEX(Players!$A301:$P301, MATCH(L$2, Players!$A$1:$P$1, 0)), perc_75, VLOOKUP(L$2, Percentiles!$A$45:$I$59, 6, FALSE), perc_90, VLOOKUP(L$2, Percentiles!$A$45:$I$59, 7, FALSE), perc_95, VLOOKUP(L$2, Percentiles!$A$45:$I$59, 8, FALSE), perc_85, perc_75 + (perc_90 - perc_75) * (2/3), converted_stat, '2K_Ratings'!L302, IF(bbgm_stat &gt;= perc_95, converted_stat * 3, IF(bbgm_stat &gt;= perc_90, converted_stat * 2, IF(bbgm_stat &gt;= perc_85, converted_stat * 1.5, converted_stat)))))</f>
        <v/>
      </c>
      <c r="M302" s="30" t="str">
        <f t="array" ref="M302">IF($A302="", "", LET(bbgm_stat, INDEX(Players!$A301:$P301, MATCH(M$2, Players!$A$1:$P$1, 0)), perc_75, VLOOKUP(M$2, Percentiles!$A$45:$I$59, 6, FALSE), perc_90, VLOOKUP(M$2, Percentiles!$A$45:$I$59, 7, FALSE), perc_95, VLOOKUP(M$2, Percentiles!$A$45:$I$59, 8, FALSE), perc_85, perc_75 + (perc_90 - perc_75) * (2/3), converted_stat, '2K_Ratings'!M302, IF(bbgm_stat &gt;= perc_95, converted_stat * 3, IF(bbgm_stat &gt;= perc_90, converted_stat * 2, IF(bbgm_stat &gt;= perc_85, converted_stat * 1.5, converted_stat)))))</f>
        <v/>
      </c>
      <c r="N302" s="30" t="str">
        <f t="array" ref="N302">IF($A302="", "", LET(bbgm_stat, INDEX(Players!$A301:$P301, MATCH(N$2, Players!$A$1:$P$1, 0)), perc_75, VLOOKUP(N$2, Percentiles!$A$45:$I$59, 6, FALSE), perc_90, VLOOKUP(N$2, Percentiles!$A$45:$I$59, 7, FALSE), perc_95, VLOOKUP(N$2, Percentiles!$A$45:$I$59, 8, FALSE), perc_85, perc_75 + (perc_90 - perc_75) * (2/3), converted_stat, '2K_Ratings'!N302, IF(bbgm_stat &gt;= perc_95, converted_stat * 3, IF(bbgm_stat &gt;= perc_90, converted_stat * 2, IF(bbgm_stat &gt;= perc_85, converted_stat * 1.5, converted_stat)))))</f>
        <v/>
      </c>
      <c r="O302" s="30" t="str">
        <f t="array" ref="O302">IF($A302="", "", LET(bbgm_stat, INDEX(Players!$A301:$P301, MATCH(O$2, Players!$A$1:$P$1, 0)), perc_75, VLOOKUP(O$2, Percentiles!$A$45:$I$59, 6, FALSE), perc_90, VLOOKUP(O$2, Percentiles!$A$45:$I$59, 7, FALSE), perc_95, VLOOKUP(O$2, Percentiles!$A$45:$I$59, 8, FALSE), perc_85, perc_75 + (perc_90 - perc_75) * (2/3), converted_stat, '2K_Ratings'!O302, IF(bbgm_stat &gt;= perc_95, converted_stat * 3, IF(bbgm_stat &gt;= perc_90, converted_stat * 2, IF(bbgm_stat &gt;= perc_85, converted_stat * 1.5, converted_stat)))))</f>
        <v/>
      </c>
      <c r="P302" s="30" t="str">
        <f t="array" ref="P302">IF($A302="", "", LET(bbgm_stat, INDEX(Players!$A301:$P301, MATCH(P$2, Players!$A$1:$P$1, 0)), perc_75, VLOOKUP(P$2, Percentiles!$A$45:$I$59, 6, FALSE), perc_90, VLOOKUP(P$2, Percentiles!$A$45:$I$59, 7, FALSE), perc_95, VLOOKUP(P$2, Percentiles!$A$45:$I$59, 8, FALSE), perc_85, perc_75 + (perc_90 - perc_75) * (2/3), converted_stat, '2K_Ratings'!P302, IF(bbgm_stat &gt;= perc_95, converted_stat * 3, IF(bbgm_stat &gt;= perc_90, converted_stat * 2, IF(bbgm_stat &gt;= perc_85, converted_stat * 1.5, converted_stat)))))</f>
        <v/>
      </c>
      <c r="Q302" s="30" t="str">
        <f t="array" ref="Q302">IF($A302="", "", LET(bbgm_stat, INDEX(Players!$A301:$P301, MATCH(Q$2, Players!$A$1:$P$1, 0)), perc_75, VLOOKUP(Q$2, Percentiles!$A$45:$I$59, 6, FALSE), perc_90, VLOOKUP(Q$2, Percentiles!$A$45:$I$59, 7, FALSE), perc_95, VLOOKUP(Q$2, Percentiles!$A$45:$I$59, 8, FALSE), perc_85, perc_75 + (perc_90 - perc_75) * (2/3), converted_stat, '2K_Ratings'!Q302, IF(bbgm_stat &gt;= perc_95, converted_stat * 3, IF(bbgm_stat &gt;= perc_90, converted_stat * 2, IF(bbgm_stat &gt;= perc_85, converted_stat * 1.5, converted_stat)))))</f>
        <v/>
      </c>
      <c r="R302" s="30" t="str">
        <f t="array" ref="R302">IF($A302="", "", LET(bbgm_stat, INDEX(Players!$A301:$P301, MATCH(R$2, Players!$A$1:$P$1, 0)), perc_75, VLOOKUP(R$2, Percentiles!$A$45:$I$59, 6, FALSE), perc_90, VLOOKUP(R$2, Percentiles!$A$45:$I$59, 7, FALSE), perc_95, VLOOKUP(R$2, Percentiles!$A$45:$I$59, 8, FALSE), perc_85, perc_75 + (perc_90 - perc_75) * (2/3), converted_stat, '2K_Ratings'!R302, IF(bbgm_stat &gt;= perc_95, converted_stat * 3, IF(bbgm_stat &gt;= perc_90, converted_stat * 2, IF(bbgm_stat &gt;= perc_85, converted_stat * 1.5, converted_stat)))))</f>
        <v/>
      </c>
      <c r="S302" s="30" t="str">
        <f t="array" ref="S302">IF($A302="", "", LET(bbgm_stat, INDEX(Players!$A301:$P301, MATCH(S$2, Players!$A$1:$P$1, 0)), perc_75, VLOOKUP(S$2, Percentiles!$A$45:$I$59, 6, FALSE), perc_90, VLOOKUP(S$2, Percentiles!$A$45:$I$59, 7, FALSE), perc_95, VLOOKUP(S$2, Percentiles!$A$45:$I$59, 8, FALSE), perc_85, perc_75 + (perc_90 - perc_75) * (2/3), converted_stat, '2K_Ratings'!S302, IF(bbgm_stat &gt;= perc_95, converted_stat * 3, IF(bbgm_stat &gt;= perc_90, converted_stat * 2, IF(bbgm_stat &gt;= perc_85, converted_stat * 1.5, converted_stat)))))</f>
        <v/>
      </c>
      <c r="T302" s="30" t="str">
        <f t="array" ref="T302">IF($A302="", "", LET(bbgm_stat, INDEX(Players!$A301:$P301, MATCH(T$2, Players!$A$1:$P$1, 0)), perc_75, VLOOKUP(T$2, Percentiles!$A$45:$I$59, 6, FALSE), perc_90, VLOOKUP(T$2, Percentiles!$A$45:$I$59, 7, FALSE), perc_95, VLOOKUP(T$2, Percentiles!$A$45:$I$59, 8, FALSE), perc_85, perc_75 + (perc_90 - perc_75) * (2/3), converted_stat, '2K_Ratings'!T302, IF(bbgm_stat &gt;= perc_95, converted_stat * 3, IF(bbgm_stat &gt;= perc_90, converted_stat * 2, IF(bbgm_stat &gt;= perc_85, converted_stat * 1.5, converted_stat)))))</f>
        <v/>
      </c>
      <c r="U302" s="30" t="str">
        <f t="array" ref="U302">IF($A302="", "", LET(bbgm_stat, INDEX(Players!$A301:$P301, MATCH(U$2, Players!$A$1:$P$1, 0)), perc_75, VLOOKUP(U$2, Percentiles!$A$45:$I$59, 6, FALSE), perc_90, VLOOKUP(U$2, Percentiles!$A$45:$I$59, 7, FALSE), perc_95, VLOOKUP(U$2, Percentiles!$A$45:$I$59, 8, FALSE), perc_85, perc_75 + (perc_90 - perc_75) * (2/3), converted_stat, '2K_Ratings'!U302, IF(bbgm_stat &gt;= perc_95, converted_stat * 3, IF(bbgm_stat &gt;= perc_90, converted_stat * 2, IF(bbgm_stat &gt;= perc_85, converted_stat * 1.5, converted_stat)))))</f>
        <v/>
      </c>
      <c r="V302" s="30" t="str">
        <f t="array" ref="V302">IF($A302="", "", LET(bbgm_stat, INDEX(Players!$A301:$P301, MATCH(V$2, Players!$A$1:$P$1, 0)), perc_75, VLOOKUP(V$2, Percentiles!$A$45:$I$59, 6, FALSE), perc_90, VLOOKUP(V$2, Percentiles!$A$45:$I$59, 7, FALSE), perc_95, VLOOKUP(V$2, Percentiles!$A$45:$I$59, 8, FALSE), perc_85, perc_75 + (perc_90 - perc_75) * (2/3), converted_stat, '2K_Ratings'!V302, IF(bbgm_stat &gt;= perc_95, converted_stat * 3, IF(bbgm_stat &gt;= perc_90, converted_stat * 2, IF(bbgm_stat &gt;= perc_85, converted_stat * 1.5, converted_stat)))))</f>
        <v/>
      </c>
      <c r="W302" s="30" t="str">
        <f t="array" ref="W302">IF($A302="", "", LET(bbgm_stat, INDEX(Players!$A301:$P301, MATCH(W$2, Players!$A$1:$P$1, 0)), perc_75, VLOOKUP(W$2, Percentiles!$A$45:$I$59, 6, FALSE), perc_90, VLOOKUP(W$2, Percentiles!$A$45:$I$59, 7, FALSE), perc_95, VLOOKUP(W$2, Percentiles!$A$45:$I$59, 8, FALSE), perc_85, perc_75 + (perc_90 - perc_75) * (2/3), converted_stat, '2K_Ratings'!W302, IF(bbgm_stat &gt;= perc_95, converted_stat * 3, IF(bbgm_stat &gt;= perc_90, converted_stat * 2, IF(bbgm_stat &gt;= perc_85, converted_stat * 1.5, converted_stat)))))</f>
        <v/>
      </c>
    </row>
    <row r="303">
      <c r="A303" s="30"/>
      <c r="B303" s="30" t="str">
        <f t="array" ref="B303">IF($A303="", "", LET(bbgm_stat, INDEX(Players!$A302:$P302, MATCH(B$2, Players!$A$1:$P$1, 0)), perc_75, VLOOKUP(B$2, Percentiles!$A$45:$I$59, 6, FALSE), perc_90, VLOOKUP(B$2, Percentiles!$A$45:$I$59, 7, FALSE), perc_95, VLOOKUP(B$2, Percentiles!$A$45:$I$59, 8, FALSE), perc_85, perc_75 + (perc_90 - perc_75) * (2/3), converted_stat, '2K_Ratings'!B303, IF(bbgm_stat &gt;= perc_95, converted_stat * 3, IF(bbgm_stat &gt;= perc_90, converted_stat * 2, IF(bbgm_stat &gt;= perc_85, converted_stat * 1.5, converted_stat)))))</f>
        <v/>
      </c>
      <c r="C303" s="30" t="str">
        <f t="array" ref="C303">IF($A303="", "", LET(bbgm_stat, INDEX(Players!$A302:$P302, MATCH(C$2, Players!$A$1:$P$1, 0)), perc_75, VLOOKUP(C$2, Percentiles!$A$45:$I$59, 6, FALSE), perc_90, VLOOKUP(C$2, Percentiles!$A$45:$I$59, 7, FALSE), perc_95, VLOOKUP(C$2, Percentiles!$A$45:$I$59, 8, FALSE), perc_85, perc_75 + (perc_90 - perc_75) * (2/3), converted_stat, '2K_Ratings'!C303, IF(bbgm_stat &gt;= perc_95, converted_stat * 3, IF(bbgm_stat &gt;= perc_90, converted_stat * 2, IF(bbgm_stat &gt;= perc_85, converted_stat * 1.5, converted_stat)))))</f>
        <v/>
      </c>
      <c r="D303" s="30" t="str">
        <f t="array" ref="D303">IF($A303="", "", LET(bbgm_stat, INDEX(Players!$A302:$P302, MATCH(D$2, Players!$A$1:$P$1, 0)), perc_75, VLOOKUP(D$2, Percentiles!$A$45:$I$59, 6, FALSE), perc_90, VLOOKUP(D$2, Percentiles!$A$45:$I$59, 7, FALSE), perc_95, VLOOKUP(D$2, Percentiles!$A$45:$I$59, 8, FALSE), perc_85, perc_75 + (perc_90 - perc_75) * (2/3), converted_stat, '2K_Ratings'!D303, IF(bbgm_stat &gt;= perc_95, converted_stat * 3, IF(bbgm_stat &gt;= perc_90, converted_stat * 2, IF(bbgm_stat &gt;= perc_85, converted_stat * 1.5, converted_stat)))))</f>
        <v/>
      </c>
      <c r="E303" s="30" t="str">
        <f t="array" ref="E303">IF($A303="", "", LET(bbgm_stat, INDEX(Players!$A302:$P302, MATCH(E$2, Players!$A$1:$P$1, 0)), perc_75, VLOOKUP(E$2, Percentiles!$A$45:$I$59, 6, FALSE), perc_90, VLOOKUP(E$2, Percentiles!$A$45:$I$59, 7, FALSE), perc_95, VLOOKUP(E$2, Percentiles!$A$45:$I$59, 8, FALSE), perc_85, perc_75 + (perc_90 - perc_75) * (2/3), converted_stat, '2K_Ratings'!E303, IF(bbgm_stat &gt;= perc_95, converted_stat * 3, IF(bbgm_stat &gt;= perc_90, converted_stat * 2, IF(bbgm_stat &gt;= perc_85, converted_stat * 1.5, converted_stat)))))</f>
        <v/>
      </c>
      <c r="F303" s="30" t="str">
        <f t="array" ref="F303">IF($A303="", "", LET(bbgm_stat, INDEX(Players!$A302:$P302, MATCH(F$2, Players!$A$1:$P$1, 0)), perc_75, VLOOKUP(F$2, Percentiles!$A$45:$I$59, 6, FALSE), perc_90, VLOOKUP(F$2, Percentiles!$A$45:$I$59, 7, FALSE), perc_95, VLOOKUP(F$2, Percentiles!$A$45:$I$59, 8, FALSE), perc_85, perc_75 + (perc_90 - perc_75) * (2/3), converted_stat, '2K_Ratings'!F303, IF(bbgm_stat &gt;= perc_95, converted_stat * 3, IF(bbgm_stat &gt;= perc_90, converted_stat * 2, IF(bbgm_stat &gt;= perc_85, converted_stat * 1.5, converted_stat)))))</f>
        <v/>
      </c>
      <c r="G303" s="30" t="str">
        <f t="array" ref="G303">IF($A303="", "", LET(bbgm_stat, INDEX(Players!$A302:$P302, MATCH(G$2, Players!$A$1:$P$1, 0)), perc_75, VLOOKUP(G$2, Percentiles!$A$45:$I$59, 6, FALSE), perc_90, VLOOKUP(G$2, Percentiles!$A$45:$I$59, 7, FALSE), perc_95, VLOOKUP(G$2, Percentiles!$A$45:$I$59, 8, FALSE), perc_85, perc_75 + (perc_90 - perc_75) * (2/3), converted_stat, '2K_Ratings'!G303, IF(bbgm_stat &gt;= perc_95, converted_stat * 3, IF(bbgm_stat &gt;= perc_90, converted_stat * 2, IF(bbgm_stat &gt;= perc_85, converted_stat * 1.5, converted_stat)))))</f>
        <v/>
      </c>
      <c r="H303" s="30" t="str">
        <f t="array" ref="H303">IF($A303="", "", LET(bbgm_stat, INDEX(Players!$A302:$P302, MATCH(H$2, Players!$A$1:$P$1, 0)), perc_75, VLOOKUP(H$2, Percentiles!$A$45:$I$59, 6, FALSE), perc_90, VLOOKUP(H$2, Percentiles!$A$45:$I$59, 7, FALSE), perc_95, VLOOKUP(H$2, Percentiles!$A$45:$I$59, 8, FALSE), perc_85, perc_75 + (perc_90 - perc_75) * (2/3), converted_stat, '2K_Ratings'!H303, IF(bbgm_stat &gt;= perc_95, converted_stat * 3, IF(bbgm_stat &gt;= perc_90, converted_stat * 2, IF(bbgm_stat &gt;= perc_85, converted_stat * 1.5, converted_stat)))))</f>
        <v/>
      </c>
      <c r="I303" s="30" t="str">
        <f t="array" ref="I303">IF($A303="", "", LET(bbgm_stat, INDEX(Players!$A302:$P302, MATCH(I$2, Players!$A$1:$P$1, 0)), perc_75, VLOOKUP(I$2, Percentiles!$A$45:$I$59, 6, FALSE), perc_90, VLOOKUP(I$2, Percentiles!$A$45:$I$59, 7, FALSE), perc_95, VLOOKUP(I$2, Percentiles!$A$45:$I$59, 8, FALSE), perc_85, perc_75 + (perc_90 - perc_75) * (2/3), converted_stat, '2K_Ratings'!I303, IF(bbgm_stat &gt;= perc_95, converted_stat * 3, IF(bbgm_stat &gt;= perc_90, converted_stat * 2, IF(bbgm_stat &gt;= perc_85, converted_stat * 1.5, converted_stat)))))</f>
        <v/>
      </c>
      <c r="J303" s="30" t="str">
        <f t="array" ref="J303">IF($A303="", "", LET(bbgm_stat, INDEX(Players!$A302:$P302, MATCH(J$2, Players!$A$1:$P$1, 0)), perc_75, VLOOKUP(J$2, Percentiles!$A$45:$I$59, 6, FALSE), perc_90, VLOOKUP(J$2, Percentiles!$A$45:$I$59, 7, FALSE), perc_95, VLOOKUP(J$2, Percentiles!$A$45:$I$59, 8, FALSE), perc_85, perc_75 + (perc_90 - perc_75) * (2/3), converted_stat, '2K_Ratings'!J303, IF(bbgm_stat &gt;= perc_95, converted_stat * 3, IF(bbgm_stat &gt;= perc_90, converted_stat * 2, IF(bbgm_stat &gt;= perc_85, converted_stat * 1.5, converted_stat)))))</f>
        <v/>
      </c>
      <c r="K303" s="30" t="str">
        <f t="array" ref="K303">IF($A303="", "", LET(bbgm_stat, INDEX(Players!$A302:$P302, MATCH(K$2, Players!$A$1:$P$1, 0)), perc_75, VLOOKUP(K$2, Percentiles!$A$45:$I$59, 6, FALSE), perc_90, VLOOKUP(K$2, Percentiles!$A$45:$I$59, 7, FALSE), perc_95, VLOOKUP(K$2, Percentiles!$A$45:$I$59, 8, FALSE), perc_85, perc_75 + (perc_90 - perc_75) * (2/3), converted_stat, '2K_Ratings'!K303, IF(bbgm_stat &gt;= perc_95, converted_stat * 3, IF(bbgm_stat &gt;= perc_90, converted_stat * 2, IF(bbgm_stat &gt;= perc_85, converted_stat * 1.5, converted_stat)))))</f>
        <v/>
      </c>
      <c r="L303" s="30" t="str">
        <f t="array" ref="L303">IF($A303="", "", LET(bbgm_stat, INDEX(Players!$A302:$P302, MATCH(L$2, Players!$A$1:$P$1, 0)), perc_75, VLOOKUP(L$2, Percentiles!$A$45:$I$59, 6, FALSE), perc_90, VLOOKUP(L$2, Percentiles!$A$45:$I$59, 7, FALSE), perc_95, VLOOKUP(L$2, Percentiles!$A$45:$I$59, 8, FALSE), perc_85, perc_75 + (perc_90 - perc_75) * (2/3), converted_stat, '2K_Ratings'!L303, IF(bbgm_stat &gt;= perc_95, converted_stat * 3, IF(bbgm_stat &gt;= perc_90, converted_stat * 2, IF(bbgm_stat &gt;= perc_85, converted_stat * 1.5, converted_stat)))))</f>
        <v/>
      </c>
      <c r="M303" s="30" t="str">
        <f t="array" ref="M303">IF($A303="", "", LET(bbgm_stat, INDEX(Players!$A302:$P302, MATCH(M$2, Players!$A$1:$P$1, 0)), perc_75, VLOOKUP(M$2, Percentiles!$A$45:$I$59, 6, FALSE), perc_90, VLOOKUP(M$2, Percentiles!$A$45:$I$59, 7, FALSE), perc_95, VLOOKUP(M$2, Percentiles!$A$45:$I$59, 8, FALSE), perc_85, perc_75 + (perc_90 - perc_75) * (2/3), converted_stat, '2K_Ratings'!M303, IF(bbgm_stat &gt;= perc_95, converted_stat * 3, IF(bbgm_stat &gt;= perc_90, converted_stat * 2, IF(bbgm_stat &gt;= perc_85, converted_stat * 1.5, converted_stat)))))</f>
        <v/>
      </c>
      <c r="N303" s="30" t="str">
        <f t="array" ref="N303">IF($A303="", "", LET(bbgm_stat, INDEX(Players!$A302:$P302, MATCH(N$2, Players!$A$1:$P$1, 0)), perc_75, VLOOKUP(N$2, Percentiles!$A$45:$I$59, 6, FALSE), perc_90, VLOOKUP(N$2, Percentiles!$A$45:$I$59, 7, FALSE), perc_95, VLOOKUP(N$2, Percentiles!$A$45:$I$59, 8, FALSE), perc_85, perc_75 + (perc_90 - perc_75) * (2/3), converted_stat, '2K_Ratings'!N303, IF(bbgm_stat &gt;= perc_95, converted_stat * 3, IF(bbgm_stat &gt;= perc_90, converted_stat * 2, IF(bbgm_stat &gt;= perc_85, converted_stat * 1.5, converted_stat)))))</f>
        <v/>
      </c>
      <c r="O303" s="30" t="str">
        <f t="array" ref="O303">IF($A303="", "", LET(bbgm_stat, INDEX(Players!$A302:$P302, MATCH(O$2, Players!$A$1:$P$1, 0)), perc_75, VLOOKUP(O$2, Percentiles!$A$45:$I$59, 6, FALSE), perc_90, VLOOKUP(O$2, Percentiles!$A$45:$I$59, 7, FALSE), perc_95, VLOOKUP(O$2, Percentiles!$A$45:$I$59, 8, FALSE), perc_85, perc_75 + (perc_90 - perc_75) * (2/3), converted_stat, '2K_Ratings'!O303, IF(bbgm_stat &gt;= perc_95, converted_stat * 3, IF(bbgm_stat &gt;= perc_90, converted_stat * 2, IF(bbgm_stat &gt;= perc_85, converted_stat * 1.5, converted_stat)))))</f>
        <v/>
      </c>
      <c r="P303" s="30" t="str">
        <f t="array" ref="P303">IF($A303="", "", LET(bbgm_stat, INDEX(Players!$A302:$P302, MATCH(P$2, Players!$A$1:$P$1, 0)), perc_75, VLOOKUP(P$2, Percentiles!$A$45:$I$59, 6, FALSE), perc_90, VLOOKUP(P$2, Percentiles!$A$45:$I$59, 7, FALSE), perc_95, VLOOKUP(P$2, Percentiles!$A$45:$I$59, 8, FALSE), perc_85, perc_75 + (perc_90 - perc_75) * (2/3), converted_stat, '2K_Ratings'!P303, IF(bbgm_stat &gt;= perc_95, converted_stat * 3, IF(bbgm_stat &gt;= perc_90, converted_stat * 2, IF(bbgm_stat &gt;= perc_85, converted_stat * 1.5, converted_stat)))))</f>
        <v/>
      </c>
      <c r="Q303" s="30" t="str">
        <f t="array" ref="Q303">IF($A303="", "", LET(bbgm_stat, INDEX(Players!$A302:$P302, MATCH(Q$2, Players!$A$1:$P$1, 0)), perc_75, VLOOKUP(Q$2, Percentiles!$A$45:$I$59, 6, FALSE), perc_90, VLOOKUP(Q$2, Percentiles!$A$45:$I$59, 7, FALSE), perc_95, VLOOKUP(Q$2, Percentiles!$A$45:$I$59, 8, FALSE), perc_85, perc_75 + (perc_90 - perc_75) * (2/3), converted_stat, '2K_Ratings'!Q303, IF(bbgm_stat &gt;= perc_95, converted_stat * 3, IF(bbgm_stat &gt;= perc_90, converted_stat * 2, IF(bbgm_stat &gt;= perc_85, converted_stat * 1.5, converted_stat)))))</f>
        <v/>
      </c>
      <c r="R303" s="30" t="str">
        <f t="array" ref="R303">IF($A303="", "", LET(bbgm_stat, INDEX(Players!$A302:$P302, MATCH(R$2, Players!$A$1:$P$1, 0)), perc_75, VLOOKUP(R$2, Percentiles!$A$45:$I$59, 6, FALSE), perc_90, VLOOKUP(R$2, Percentiles!$A$45:$I$59, 7, FALSE), perc_95, VLOOKUP(R$2, Percentiles!$A$45:$I$59, 8, FALSE), perc_85, perc_75 + (perc_90 - perc_75) * (2/3), converted_stat, '2K_Ratings'!R303, IF(bbgm_stat &gt;= perc_95, converted_stat * 3, IF(bbgm_stat &gt;= perc_90, converted_stat * 2, IF(bbgm_stat &gt;= perc_85, converted_stat * 1.5, converted_stat)))))</f>
        <v/>
      </c>
      <c r="S303" s="30" t="str">
        <f t="array" ref="S303">IF($A303="", "", LET(bbgm_stat, INDEX(Players!$A302:$P302, MATCH(S$2, Players!$A$1:$P$1, 0)), perc_75, VLOOKUP(S$2, Percentiles!$A$45:$I$59, 6, FALSE), perc_90, VLOOKUP(S$2, Percentiles!$A$45:$I$59, 7, FALSE), perc_95, VLOOKUP(S$2, Percentiles!$A$45:$I$59, 8, FALSE), perc_85, perc_75 + (perc_90 - perc_75) * (2/3), converted_stat, '2K_Ratings'!S303, IF(bbgm_stat &gt;= perc_95, converted_stat * 3, IF(bbgm_stat &gt;= perc_90, converted_stat * 2, IF(bbgm_stat &gt;= perc_85, converted_stat * 1.5, converted_stat)))))</f>
        <v/>
      </c>
      <c r="T303" s="30" t="str">
        <f t="array" ref="T303">IF($A303="", "", LET(bbgm_stat, INDEX(Players!$A302:$P302, MATCH(T$2, Players!$A$1:$P$1, 0)), perc_75, VLOOKUP(T$2, Percentiles!$A$45:$I$59, 6, FALSE), perc_90, VLOOKUP(T$2, Percentiles!$A$45:$I$59, 7, FALSE), perc_95, VLOOKUP(T$2, Percentiles!$A$45:$I$59, 8, FALSE), perc_85, perc_75 + (perc_90 - perc_75) * (2/3), converted_stat, '2K_Ratings'!T303, IF(bbgm_stat &gt;= perc_95, converted_stat * 3, IF(bbgm_stat &gt;= perc_90, converted_stat * 2, IF(bbgm_stat &gt;= perc_85, converted_stat * 1.5, converted_stat)))))</f>
        <v/>
      </c>
      <c r="U303" s="30" t="str">
        <f t="array" ref="U303">IF($A303="", "", LET(bbgm_stat, INDEX(Players!$A302:$P302, MATCH(U$2, Players!$A$1:$P$1, 0)), perc_75, VLOOKUP(U$2, Percentiles!$A$45:$I$59, 6, FALSE), perc_90, VLOOKUP(U$2, Percentiles!$A$45:$I$59, 7, FALSE), perc_95, VLOOKUP(U$2, Percentiles!$A$45:$I$59, 8, FALSE), perc_85, perc_75 + (perc_90 - perc_75) * (2/3), converted_stat, '2K_Ratings'!U303, IF(bbgm_stat &gt;= perc_95, converted_stat * 3, IF(bbgm_stat &gt;= perc_90, converted_stat * 2, IF(bbgm_stat &gt;= perc_85, converted_stat * 1.5, converted_stat)))))</f>
        <v/>
      </c>
      <c r="V303" s="30" t="str">
        <f t="array" ref="V303">IF($A303="", "", LET(bbgm_stat, INDEX(Players!$A302:$P302, MATCH(V$2, Players!$A$1:$P$1, 0)), perc_75, VLOOKUP(V$2, Percentiles!$A$45:$I$59, 6, FALSE), perc_90, VLOOKUP(V$2, Percentiles!$A$45:$I$59, 7, FALSE), perc_95, VLOOKUP(V$2, Percentiles!$A$45:$I$59, 8, FALSE), perc_85, perc_75 + (perc_90 - perc_75) * (2/3), converted_stat, '2K_Ratings'!V303, IF(bbgm_stat &gt;= perc_95, converted_stat * 3, IF(bbgm_stat &gt;= perc_90, converted_stat * 2, IF(bbgm_stat &gt;= perc_85, converted_stat * 1.5, converted_stat)))))</f>
        <v/>
      </c>
      <c r="W303" s="30" t="str">
        <f t="array" ref="W303">IF($A303="", "", LET(bbgm_stat, INDEX(Players!$A302:$P302, MATCH(W$2, Players!$A$1:$P$1, 0)), perc_75, VLOOKUP(W$2, Percentiles!$A$45:$I$59, 6, FALSE), perc_90, VLOOKUP(W$2, Percentiles!$A$45:$I$59, 7, FALSE), perc_95, VLOOKUP(W$2, Percentiles!$A$45:$I$59, 8, FALSE), perc_85, perc_75 + (perc_90 - perc_75) * (2/3), converted_stat, '2K_Ratings'!W303, IF(bbgm_stat &gt;= perc_95, converted_stat * 3, IF(bbgm_stat &gt;= perc_90, converted_stat * 2, IF(bbgm_stat &gt;= perc_85, converted_stat * 1.5, converted_stat)))))</f>
        <v/>
      </c>
    </row>
    <row r="304">
      <c r="A304" s="30"/>
      <c r="B304" s="30" t="str">
        <f t="array" ref="B304">IF($A304="", "", LET(bbgm_stat, INDEX(Players!$A303:$P303, MATCH(B$2, Players!$A$1:$P$1, 0)), perc_75, VLOOKUP(B$2, Percentiles!$A$45:$I$59, 6, FALSE), perc_90, VLOOKUP(B$2, Percentiles!$A$45:$I$59, 7, FALSE), perc_95, VLOOKUP(B$2, Percentiles!$A$45:$I$59, 8, FALSE), perc_85, perc_75 + (perc_90 - perc_75) * (2/3), converted_stat, '2K_Ratings'!B304, IF(bbgm_stat &gt;= perc_95, converted_stat * 3, IF(bbgm_stat &gt;= perc_90, converted_stat * 2, IF(bbgm_stat &gt;= perc_85, converted_stat * 1.5, converted_stat)))))</f>
        <v/>
      </c>
      <c r="C304" s="30" t="str">
        <f t="array" ref="C304">IF($A304="", "", LET(bbgm_stat, INDEX(Players!$A303:$P303, MATCH(C$2, Players!$A$1:$P$1, 0)), perc_75, VLOOKUP(C$2, Percentiles!$A$45:$I$59, 6, FALSE), perc_90, VLOOKUP(C$2, Percentiles!$A$45:$I$59, 7, FALSE), perc_95, VLOOKUP(C$2, Percentiles!$A$45:$I$59, 8, FALSE), perc_85, perc_75 + (perc_90 - perc_75) * (2/3), converted_stat, '2K_Ratings'!C304, IF(bbgm_stat &gt;= perc_95, converted_stat * 3, IF(bbgm_stat &gt;= perc_90, converted_stat * 2, IF(bbgm_stat &gt;= perc_85, converted_stat * 1.5, converted_stat)))))</f>
        <v/>
      </c>
      <c r="D304" s="30" t="str">
        <f t="array" ref="D304">IF($A304="", "", LET(bbgm_stat, INDEX(Players!$A303:$P303, MATCH(D$2, Players!$A$1:$P$1, 0)), perc_75, VLOOKUP(D$2, Percentiles!$A$45:$I$59, 6, FALSE), perc_90, VLOOKUP(D$2, Percentiles!$A$45:$I$59, 7, FALSE), perc_95, VLOOKUP(D$2, Percentiles!$A$45:$I$59, 8, FALSE), perc_85, perc_75 + (perc_90 - perc_75) * (2/3), converted_stat, '2K_Ratings'!D304, IF(bbgm_stat &gt;= perc_95, converted_stat * 3, IF(bbgm_stat &gt;= perc_90, converted_stat * 2, IF(bbgm_stat &gt;= perc_85, converted_stat * 1.5, converted_stat)))))</f>
        <v/>
      </c>
      <c r="E304" s="30" t="str">
        <f t="array" ref="E304">IF($A304="", "", LET(bbgm_stat, INDEX(Players!$A303:$P303, MATCH(E$2, Players!$A$1:$P$1, 0)), perc_75, VLOOKUP(E$2, Percentiles!$A$45:$I$59, 6, FALSE), perc_90, VLOOKUP(E$2, Percentiles!$A$45:$I$59, 7, FALSE), perc_95, VLOOKUP(E$2, Percentiles!$A$45:$I$59, 8, FALSE), perc_85, perc_75 + (perc_90 - perc_75) * (2/3), converted_stat, '2K_Ratings'!E304, IF(bbgm_stat &gt;= perc_95, converted_stat * 3, IF(bbgm_stat &gt;= perc_90, converted_stat * 2, IF(bbgm_stat &gt;= perc_85, converted_stat * 1.5, converted_stat)))))</f>
        <v/>
      </c>
      <c r="F304" s="30" t="str">
        <f t="array" ref="F304">IF($A304="", "", LET(bbgm_stat, INDEX(Players!$A303:$P303, MATCH(F$2, Players!$A$1:$P$1, 0)), perc_75, VLOOKUP(F$2, Percentiles!$A$45:$I$59, 6, FALSE), perc_90, VLOOKUP(F$2, Percentiles!$A$45:$I$59, 7, FALSE), perc_95, VLOOKUP(F$2, Percentiles!$A$45:$I$59, 8, FALSE), perc_85, perc_75 + (perc_90 - perc_75) * (2/3), converted_stat, '2K_Ratings'!F304, IF(bbgm_stat &gt;= perc_95, converted_stat * 3, IF(bbgm_stat &gt;= perc_90, converted_stat * 2, IF(bbgm_stat &gt;= perc_85, converted_stat * 1.5, converted_stat)))))</f>
        <v/>
      </c>
      <c r="G304" s="30" t="str">
        <f t="array" ref="G304">IF($A304="", "", LET(bbgm_stat, INDEX(Players!$A303:$P303, MATCH(G$2, Players!$A$1:$P$1, 0)), perc_75, VLOOKUP(G$2, Percentiles!$A$45:$I$59, 6, FALSE), perc_90, VLOOKUP(G$2, Percentiles!$A$45:$I$59, 7, FALSE), perc_95, VLOOKUP(G$2, Percentiles!$A$45:$I$59, 8, FALSE), perc_85, perc_75 + (perc_90 - perc_75) * (2/3), converted_stat, '2K_Ratings'!G304, IF(bbgm_stat &gt;= perc_95, converted_stat * 3, IF(bbgm_stat &gt;= perc_90, converted_stat * 2, IF(bbgm_stat &gt;= perc_85, converted_stat * 1.5, converted_stat)))))</f>
        <v/>
      </c>
      <c r="H304" s="30" t="str">
        <f t="array" ref="H304">IF($A304="", "", LET(bbgm_stat, INDEX(Players!$A303:$P303, MATCH(H$2, Players!$A$1:$P$1, 0)), perc_75, VLOOKUP(H$2, Percentiles!$A$45:$I$59, 6, FALSE), perc_90, VLOOKUP(H$2, Percentiles!$A$45:$I$59, 7, FALSE), perc_95, VLOOKUP(H$2, Percentiles!$A$45:$I$59, 8, FALSE), perc_85, perc_75 + (perc_90 - perc_75) * (2/3), converted_stat, '2K_Ratings'!H304, IF(bbgm_stat &gt;= perc_95, converted_stat * 3, IF(bbgm_stat &gt;= perc_90, converted_stat * 2, IF(bbgm_stat &gt;= perc_85, converted_stat * 1.5, converted_stat)))))</f>
        <v/>
      </c>
      <c r="I304" s="30" t="str">
        <f t="array" ref="I304">IF($A304="", "", LET(bbgm_stat, INDEX(Players!$A303:$P303, MATCH(I$2, Players!$A$1:$P$1, 0)), perc_75, VLOOKUP(I$2, Percentiles!$A$45:$I$59, 6, FALSE), perc_90, VLOOKUP(I$2, Percentiles!$A$45:$I$59, 7, FALSE), perc_95, VLOOKUP(I$2, Percentiles!$A$45:$I$59, 8, FALSE), perc_85, perc_75 + (perc_90 - perc_75) * (2/3), converted_stat, '2K_Ratings'!I304, IF(bbgm_stat &gt;= perc_95, converted_stat * 3, IF(bbgm_stat &gt;= perc_90, converted_stat * 2, IF(bbgm_stat &gt;= perc_85, converted_stat * 1.5, converted_stat)))))</f>
        <v/>
      </c>
      <c r="J304" s="30" t="str">
        <f t="array" ref="J304">IF($A304="", "", LET(bbgm_stat, INDEX(Players!$A303:$P303, MATCH(J$2, Players!$A$1:$P$1, 0)), perc_75, VLOOKUP(J$2, Percentiles!$A$45:$I$59, 6, FALSE), perc_90, VLOOKUP(J$2, Percentiles!$A$45:$I$59, 7, FALSE), perc_95, VLOOKUP(J$2, Percentiles!$A$45:$I$59, 8, FALSE), perc_85, perc_75 + (perc_90 - perc_75) * (2/3), converted_stat, '2K_Ratings'!J304, IF(bbgm_stat &gt;= perc_95, converted_stat * 3, IF(bbgm_stat &gt;= perc_90, converted_stat * 2, IF(bbgm_stat &gt;= perc_85, converted_stat * 1.5, converted_stat)))))</f>
        <v/>
      </c>
      <c r="K304" s="30" t="str">
        <f t="array" ref="K304">IF($A304="", "", LET(bbgm_stat, INDEX(Players!$A303:$P303, MATCH(K$2, Players!$A$1:$P$1, 0)), perc_75, VLOOKUP(K$2, Percentiles!$A$45:$I$59, 6, FALSE), perc_90, VLOOKUP(K$2, Percentiles!$A$45:$I$59, 7, FALSE), perc_95, VLOOKUP(K$2, Percentiles!$A$45:$I$59, 8, FALSE), perc_85, perc_75 + (perc_90 - perc_75) * (2/3), converted_stat, '2K_Ratings'!K304, IF(bbgm_stat &gt;= perc_95, converted_stat * 3, IF(bbgm_stat &gt;= perc_90, converted_stat * 2, IF(bbgm_stat &gt;= perc_85, converted_stat * 1.5, converted_stat)))))</f>
        <v/>
      </c>
      <c r="L304" s="30" t="str">
        <f t="array" ref="L304">IF($A304="", "", LET(bbgm_stat, INDEX(Players!$A303:$P303, MATCH(L$2, Players!$A$1:$P$1, 0)), perc_75, VLOOKUP(L$2, Percentiles!$A$45:$I$59, 6, FALSE), perc_90, VLOOKUP(L$2, Percentiles!$A$45:$I$59, 7, FALSE), perc_95, VLOOKUP(L$2, Percentiles!$A$45:$I$59, 8, FALSE), perc_85, perc_75 + (perc_90 - perc_75) * (2/3), converted_stat, '2K_Ratings'!L304, IF(bbgm_stat &gt;= perc_95, converted_stat * 3, IF(bbgm_stat &gt;= perc_90, converted_stat * 2, IF(bbgm_stat &gt;= perc_85, converted_stat * 1.5, converted_stat)))))</f>
        <v/>
      </c>
      <c r="M304" s="30" t="str">
        <f t="array" ref="M304">IF($A304="", "", LET(bbgm_stat, INDEX(Players!$A303:$P303, MATCH(M$2, Players!$A$1:$P$1, 0)), perc_75, VLOOKUP(M$2, Percentiles!$A$45:$I$59, 6, FALSE), perc_90, VLOOKUP(M$2, Percentiles!$A$45:$I$59, 7, FALSE), perc_95, VLOOKUP(M$2, Percentiles!$A$45:$I$59, 8, FALSE), perc_85, perc_75 + (perc_90 - perc_75) * (2/3), converted_stat, '2K_Ratings'!M304, IF(bbgm_stat &gt;= perc_95, converted_stat * 3, IF(bbgm_stat &gt;= perc_90, converted_stat * 2, IF(bbgm_stat &gt;= perc_85, converted_stat * 1.5, converted_stat)))))</f>
        <v/>
      </c>
      <c r="N304" s="30" t="str">
        <f t="array" ref="N304">IF($A304="", "", LET(bbgm_stat, INDEX(Players!$A303:$P303, MATCH(N$2, Players!$A$1:$P$1, 0)), perc_75, VLOOKUP(N$2, Percentiles!$A$45:$I$59, 6, FALSE), perc_90, VLOOKUP(N$2, Percentiles!$A$45:$I$59, 7, FALSE), perc_95, VLOOKUP(N$2, Percentiles!$A$45:$I$59, 8, FALSE), perc_85, perc_75 + (perc_90 - perc_75) * (2/3), converted_stat, '2K_Ratings'!N304, IF(bbgm_stat &gt;= perc_95, converted_stat * 3, IF(bbgm_stat &gt;= perc_90, converted_stat * 2, IF(bbgm_stat &gt;= perc_85, converted_stat * 1.5, converted_stat)))))</f>
        <v/>
      </c>
      <c r="O304" s="30" t="str">
        <f t="array" ref="O304">IF($A304="", "", LET(bbgm_stat, INDEX(Players!$A303:$P303, MATCH(O$2, Players!$A$1:$P$1, 0)), perc_75, VLOOKUP(O$2, Percentiles!$A$45:$I$59, 6, FALSE), perc_90, VLOOKUP(O$2, Percentiles!$A$45:$I$59, 7, FALSE), perc_95, VLOOKUP(O$2, Percentiles!$A$45:$I$59, 8, FALSE), perc_85, perc_75 + (perc_90 - perc_75) * (2/3), converted_stat, '2K_Ratings'!O304, IF(bbgm_stat &gt;= perc_95, converted_stat * 3, IF(bbgm_stat &gt;= perc_90, converted_stat * 2, IF(bbgm_stat &gt;= perc_85, converted_stat * 1.5, converted_stat)))))</f>
        <v/>
      </c>
      <c r="P304" s="30" t="str">
        <f t="array" ref="P304">IF($A304="", "", LET(bbgm_stat, INDEX(Players!$A303:$P303, MATCH(P$2, Players!$A$1:$P$1, 0)), perc_75, VLOOKUP(P$2, Percentiles!$A$45:$I$59, 6, FALSE), perc_90, VLOOKUP(P$2, Percentiles!$A$45:$I$59, 7, FALSE), perc_95, VLOOKUP(P$2, Percentiles!$A$45:$I$59, 8, FALSE), perc_85, perc_75 + (perc_90 - perc_75) * (2/3), converted_stat, '2K_Ratings'!P304, IF(bbgm_stat &gt;= perc_95, converted_stat * 3, IF(bbgm_stat &gt;= perc_90, converted_stat * 2, IF(bbgm_stat &gt;= perc_85, converted_stat * 1.5, converted_stat)))))</f>
        <v/>
      </c>
      <c r="Q304" s="30" t="str">
        <f t="array" ref="Q304">IF($A304="", "", LET(bbgm_stat, INDEX(Players!$A303:$P303, MATCH(Q$2, Players!$A$1:$P$1, 0)), perc_75, VLOOKUP(Q$2, Percentiles!$A$45:$I$59, 6, FALSE), perc_90, VLOOKUP(Q$2, Percentiles!$A$45:$I$59, 7, FALSE), perc_95, VLOOKUP(Q$2, Percentiles!$A$45:$I$59, 8, FALSE), perc_85, perc_75 + (perc_90 - perc_75) * (2/3), converted_stat, '2K_Ratings'!Q304, IF(bbgm_stat &gt;= perc_95, converted_stat * 3, IF(bbgm_stat &gt;= perc_90, converted_stat * 2, IF(bbgm_stat &gt;= perc_85, converted_stat * 1.5, converted_stat)))))</f>
        <v/>
      </c>
      <c r="R304" s="30" t="str">
        <f t="array" ref="R304">IF($A304="", "", LET(bbgm_stat, INDEX(Players!$A303:$P303, MATCH(R$2, Players!$A$1:$P$1, 0)), perc_75, VLOOKUP(R$2, Percentiles!$A$45:$I$59, 6, FALSE), perc_90, VLOOKUP(R$2, Percentiles!$A$45:$I$59, 7, FALSE), perc_95, VLOOKUP(R$2, Percentiles!$A$45:$I$59, 8, FALSE), perc_85, perc_75 + (perc_90 - perc_75) * (2/3), converted_stat, '2K_Ratings'!R304, IF(bbgm_stat &gt;= perc_95, converted_stat * 3, IF(bbgm_stat &gt;= perc_90, converted_stat * 2, IF(bbgm_stat &gt;= perc_85, converted_stat * 1.5, converted_stat)))))</f>
        <v/>
      </c>
      <c r="S304" s="30" t="str">
        <f t="array" ref="S304">IF($A304="", "", LET(bbgm_stat, INDEX(Players!$A303:$P303, MATCH(S$2, Players!$A$1:$P$1, 0)), perc_75, VLOOKUP(S$2, Percentiles!$A$45:$I$59, 6, FALSE), perc_90, VLOOKUP(S$2, Percentiles!$A$45:$I$59, 7, FALSE), perc_95, VLOOKUP(S$2, Percentiles!$A$45:$I$59, 8, FALSE), perc_85, perc_75 + (perc_90 - perc_75) * (2/3), converted_stat, '2K_Ratings'!S304, IF(bbgm_stat &gt;= perc_95, converted_stat * 3, IF(bbgm_stat &gt;= perc_90, converted_stat * 2, IF(bbgm_stat &gt;= perc_85, converted_stat * 1.5, converted_stat)))))</f>
        <v/>
      </c>
      <c r="T304" s="30" t="str">
        <f t="array" ref="T304">IF($A304="", "", LET(bbgm_stat, INDEX(Players!$A303:$P303, MATCH(T$2, Players!$A$1:$P$1, 0)), perc_75, VLOOKUP(T$2, Percentiles!$A$45:$I$59, 6, FALSE), perc_90, VLOOKUP(T$2, Percentiles!$A$45:$I$59, 7, FALSE), perc_95, VLOOKUP(T$2, Percentiles!$A$45:$I$59, 8, FALSE), perc_85, perc_75 + (perc_90 - perc_75) * (2/3), converted_stat, '2K_Ratings'!T304, IF(bbgm_stat &gt;= perc_95, converted_stat * 3, IF(bbgm_stat &gt;= perc_90, converted_stat * 2, IF(bbgm_stat &gt;= perc_85, converted_stat * 1.5, converted_stat)))))</f>
        <v/>
      </c>
      <c r="U304" s="30" t="str">
        <f t="array" ref="U304">IF($A304="", "", LET(bbgm_stat, INDEX(Players!$A303:$P303, MATCH(U$2, Players!$A$1:$P$1, 0)), perc_75, VLOOKUP(U$2, Percentiles!$A$45:$I$59, 6, FALSE), perc_90, VLOOKUP(U$2, Percentiles!$A$45:$I$59, 7, FALSE), perc_95, VLOOKUP(U$2, Percentiles!$A$45:$I$59, 8, FALSE), perc_85, perc_75 + (perc_90 - perc_75) * (2/3), converted_stat, '2K_Ratings'!U304, IF(bbgm_stat &gt;= perc_95, converted_stat * 3, IF(bbgm_stat &gt;= perc_90, converted_stat * 2, IF(bbgm_stat &gt;= perc_85, converted_stat * 1.5, converted_stat)))))</f>
        <v/>
      </c>
      <c r="V304" s="30" t="str">
        <f t="array" ref="V304">IF($A304="", "", LET(bbgm_stat, INDEX(Players!$A303:$P303, MATCH(V$2, Players!$A$1:$P$1, 0)), perc_75, VLOOKUP(V$2, Percentiles!$A$45:$I$59, 6, FALSE), perc_90, VLOOKUP(V$2, Percentiles!$A$45:$I$59, 7, FALSE), perc_95, VLOOKUP(V$2, Percentiles!$A$45:$I$59, 8, FALSE), perc_85, perc_75 + (perc_90 - perc_75) * (2/3), converted_stat, '2K_Ratings'!V304, IF(bbgm_stat &gt;= perc_95, converted_stat * 3, IF(bbgm_stat &gt;= perc_90, converted_stat * 2, IF(bbgm_stat &gt;= perc_85, converted_stat * 1.5, converted_stat)))))</f>
        <v/>
      </c>
      <c r="W304" s="30" t="str">
        <f t="array" ref="W304">IF($A304="", "", LET(bbgm_stat, INDEX(Players!$A303:$P303, MATCH(W$2, Players!$A$1:$P$1, 0)), perc_75, VLOOKUP(W$2, Percentiles!$A$45:$I$59, 6, FALSE), perc_90, VLOOKUP(W$2, Percentiles!$A$45:$I$59, 7, FALSE), perc_95, VLOOKUP(W$2, Percentiles!$A$45:$I$59, 8, FALSE), perc_85, perc_75 + (perc_90 - perc_75) * (2/3), converted_stat, '2K_Ratings'!W304, IF(bbgm_stat &gt;= perc_95, converted_stat * 3, IF(bbgm_stat &gt;= perc_90, converted_stat * 2, IF(bbgm_stat &gt;= perc_85, converted_stat * 1.5, converted_stat)))))</f>
        <v/>
      </c>
    </row>
    <row r="305">
      <c r="A305" s="30"/>
      <c r="B305" s="30" t="str">
        <f t="array" ref="B305">IF($A305="", "", LET(bbgm_stat, INDEX(Players!$A304:$P304, MATCH(B$2, Players!$A$1:$P$1, 0)), perc_75, VLOOKUP(B$2, Percentiles!$A$45:$I$59, 6, FALSE), perc_90, VLOOKUP(B$2, Percentiles!$A$45:$I$59, 7, FALSE), perc_95, VLOOKUP(B$2, Percentiles!$A$45:$I$59, 8, FALSE), perc_85, perc_75 + (perc_90 - perc_75) * (2/3), converted_stat, '2K_Ratings'!B305, IF(bbgm_stat &gt;= perc_95, converted_stat * 3, IF(bbgm_stat &gt;= perc_90, converted_stat * 2, IF(bbgm_stat &gt;= perc_85, converted_stat * 1.5, converted_stat)))))</f>
        <v/>
      </c>
      <c r="C305" s="30" t="str">
        <f t="array" ref="C305">IF($A305="", "", LET(bbgm_stat, INDEX(Players!$A304:$P304, MATCH(C$2, Players!$A$1:$P$1, 0)), perc_75, VLOOKUP(C$2, Percentiles!$A$45:$I$59, 6, FALSE), perc_90, VLOOKUP(C$2, Percentiles!$A$45:$I$59, 7, FALSE), perc_95, VLOOKUP(C$2, Percentiles!$A$45:$I$59, 8, FALSE), perc_85, perc_75 + (perc_90 - perc_75) * (2/3), converted_stat, '2K_Ratings'!C305, IF(bbgm_stat &gt;= perc_95, converted_stat * 3, IF(bbgm_stat &gt;= perc_90, converted_stat * 2, IF(bbgm_stat &gt;= perc_85, converted_stat * 1.5, converted_stat)))))</f>
        <v/>
      </c>
      <c r="D305" s="30" t="str">
        <f t="array" ref="D305">IF($A305="", "", LET(bbgm_stat, INDEX(Players!$A304:$P304, MATCH(D$2, Players!$A$1:$P$1, 0)), perc_75, VLOOKUP(D$2, Percentiles!$A$45:$I$59, 6, FALSE), perc_90, VLOOKUP(D$2, Percentiles!$A$45:$I$59, 7, FALSE), perc_95, VLOOKUP(D$2, Percentiles!$A$45:$I$59, 8, FALSE), perc_85, perc_75 + (perc_90 - perc_75) * (2/3), converted_stat, '2K_Ratings'!D305, IF(bbgm_stat &gt;= perc_95, converted_stat * 3, IF(bbgm_stat &gt;= perc_90, converted_stat * 2, IF(bbgm_stat &gt;= perc_85, converted_stat * 1.5, converted_stat)))))</f>
        <v/>
      </c>
      <c r="E305" s="30" t="str">
        <f t="array" ref="E305">IF($A305="", "", LET(bbgm_stat, INDEX(Players!$A304:$P304, MATCH(E$2, Players!$A$1:$P$1, 0)), perc_75, VLOOKUP(E$2, Percentiles!$A$45:$I$59, 6, FALSE), perc_90, VLOOKUP(E$2, Percentiles!$A$45:$I$59, 7, FALSE), perc_95, VLOOKUP(E$2, Percentiles!$A$45:$I$59, 8, FALSE), perc_85, perc_75 + (perc_90 - perc_75) * (2/3), converted_stat, '2K_Ratings'!E305, IF(bbgm_stat &gt;= perc_95, converted_stat * 3, IF(bbgm_stat &gt;= perc_90, converted_stat * 2, IF(bbgm_stat &gt;= perc_85, converted_stat * 1.5, converted_stat)))))</f>
        <v/>
      </c>
      <c r="F305" s="30" t="str">
        <f t="array" ref="F305">IF($A305="", "", LET(bbgm_stat, INDEX(Players!$A304:$P304, MATCH(F$2, Players!$A$1:$P$1, 0)), perc_75, VLOOKUP(F$2, Percentiles!$A$45:$I$59, 6, FALSE), perc_90, VLOOKUP(F$2, Percentiles!$A$45:$I$59, 7, FALSE), perc_95, VLOOKUP(F$2, Percentiles!$A$45:$I$59, 8, FALSE), perc_85, perc_75 + (perc_90 - perc_75) * (2/3), converted_stat, '2K_Ratings'!F305, IF(bbgm_stat &gt;= perc_95, converted_stat * 3, IF(bbgm_stat &gt;= perc_90, converted_stat * 2, IF(bbgm_stat &gt;= perc_85, converted_stat * 1.5, converted_stat)))))</f>
        <v/>
      </c>
      <c r="G305" s="30" t="str">
        <f t="array" ref="G305">IF($A305="", "", LET(bbgm_stat, INDEX(Players!$A304:$P304, MATCH(G$2, Players!$A$1:$P$1, 0)), perc_75, VLOOKUP(G$2, Percentiles!$A$45:$I$59, 6, FALSE), perc_90, VLOOKUP(G$2, Percentiles!$A$45:$I$59, 7, FALSE), perc_95, VLOOKUP(G$2, Percentiles!$A$45:$I$59, 8, FALSE), perc_85, perc_75 + (perc_90 - perc_75) * (2/3), converted_stat, '2K_Ratings'!G305, IF(bbgm_stat &gt;= perc_95, converted_stat * 3, IF(bbgm_stat &gt;= perc_90, converted_stat * 2, IF(bbgm_stat &gt;= perc_85, converted_stat * 1.5, converted_stat)))))</f>
        <v/>
      </c>
      <c r="H305" s="30" t="str">
        <f t="array" ref="H305">IF($A305="", "", LET(bbgm_stat, INDEX(Players!$A304:$P304, MATCH(H$2, Players!$A$1:$P$1, 0)), perc_75, VLOOKUP(H$2, Percentiles!$A$45:$I$59, 6, FALSE), perc_90, VLOOKUP(H$2, Percentiles!$A$45:$I$59, 7, FALSE), perc_95, VLOOKUP(H$2, Percentiles!$A$45:$I$59, 8, FALSE), perc_85, perc_75 + (perc_90 - perc_75) * (2/3), converted_stat, '2K_Ratings'!H305, IF(bbgm_stat &gt;= perc_95, converted_stat * 3, IF(bbgm_stat &gt;= perc_90, converted_stat * 2, IF(bbgm_stat &gt;= perc_85, converted_stat * 1.5, converted_stat)))))</f>
        <v/>
      </c>
      <c r="I305" s="30" t="str">
        <f t="array" ref="I305">IF($A305="", "", LET(bbgm_stat, INDEX(Players!$A304:$P304, MATCH(I$2, Players!$A$1:$P$1, 0)), perc_75, VLOOKUP(I$2, Percentiles!$A$45:$I$59, 6, FALSE), perc_90, VLOOKUP(I$2, Percentiles!$A$45:$I$59, 7, FALSE), perc_95, VLOOKUP(I$2, Percentiles!$A$45:$I$59, 8, FALSE), perc_85, perc_75 + (perc_90 - perc_75) * (2/3), converted_stat, '2K_Ratings'!I305, IF(bbgm_stat &gt;= perc_95, converted_stat * 3, IF(bbgm_stat &gt;= perc_90, converted_stat * 2, IF(bbgm_stat &gt;= perc_85, converted_stat * 1.5, converted_stat)))))</f>
        <v/>
      </c>
      <c r="J305" s="30" t="str">
        <f t="array" ref="J305">IF($A305="", "", LET(bbgm_stat, INDEX(Players!$A304:$P304, MATCH(J$2, Players!$A$1:$P$1, 0)), perc_75, VLOOKUP(J$2, Percentiles!$A$45:$I$59, 6, FALSE), perc_90, VLOOKUP(J$2, Percentiles!$A$45:$I$59, 7, FALSE), perc_95, VLOOKUP(J$2, Percentiles!$A$45:$I$59, 8, FALSE), perc_85, perc_75 + (perc_90 - perc_75) * (2/3), converted_stat, '2K_Ratings'!J305, IF(bbgm_stat &gt;= perc_95, converted_stat * 3, IF(bbgm_stat &gt;= perc_90, converted_stat * 2, IF(bbgm_stat &gt;= perc_85, converted_stat * 1.5, converted_stat)))))</f>
        <v/>
      </c>
      <c r="K305" s="30" t="str">
        <f t="array" ref="K305">IF($A305="", "", LET(bbgm_stat, INDEX(Players!$A304:$P304, MATCH(K$2, Players!$A$1:$P$1, 0)), perc_75, VLOOKUP(K$2, Percentiles!$A$45:$I$59, 6, FALSE), perc_90, VLOOKUP(K$2, Percentiles!$A$45:$I$59, 7, FALSE), perc_95, VLOOKUP(K$2, Percentiles!$A$45:$I$59, 8, FALSE), perc_85, perc_75 + (perc_90 - perc_75) * (2/3), converted_stat, '2K_Ratings'!K305, IF(bbgm_stat &gt;= perc_95, converted_stat * 3, IF(bbgm_stat &gt;= perc_90, converted_stat * 2, IF(bbgm_stat &gt;= perc_85, converted_stat * 1.5, converted_stat)))))</f>
        <v/>
      </c>
      <c r="L305" s="30" t="str">
        <f t="array" ref="L305">IF($A305="", "", LET(bbgm_stat, INDEX(Players!$A304:$P304, MATCH(L$2, Players!$A$1:$P$1, 0)), perc_75, VLOOKUP(L$2, Percentiles!$A$45:$I$59, 6, FALSE), perc_90, VLOOKUP(L$2, Percentiles!$A$45:$I$59, 7, FALSE), perc_95, VLOOKUP(L$2, Percentiles!$A$45:$I$59, 8, FALSE), perc_85, perc_75 + (perc_90 - perc_75) * (2/3), converted_stat, '2K_Ratings'!L305, IF(bbgm_stat &gt;= perc_95, converted_stat * 3, IF(bbgm_stat &gt;= perc_90, converted_stat * 2, IF(bbgm_stat &gt;= perc_85, converted_stat * 1.5, converted_stat)))))</f>
        <v/>
      </c>
      <c r="M305" s="30" t="str">
        <f t="array" ref="M305">IF($A305="", "", LET(bbgm_stat, INDEX(Players!$A304:$P304, MATCH(M$2, Players!$A$1:$P$1, 0)), perc_75, VLOOKUP(M$2, Percentiles!$A$45:$I$59, 6, FALSE), perc_90, VLOOKUP(M$2, Percentiles!$A$45:$I$59, 7, FALSE), perc_95, VLOOKUP(M$2, Percentiles!$A$45:$I$59, 8, FALSE), perc_85, perc_75 + (perc_90 - perc_75) * (2/3), converted_stat, '2K_Ratings'!M305, IF(bbgm_stat &gt;= perc_95, converted_stat * 3, IF(bbgm_stat &gt;= perc_90, converted_stat * 2, IF(bbgm_stat &gt;= perc_85, converted_stat * 1.5, converted_stat)))))</f>
        <v/>
      </c>
      <c r="N305" s="30" t="str">
        <f t="array" ref="N305">IF($A305="", "", LET(bbgm_stat, INDEX(Players!$A304:$P304, MATCH(N$2, Players!$A$1:$P$1, 0)), perc_75, VLOOKUP(N$2, Percentiles!$A$45:$I$59, 6, FALSE), perc_90, VLOOKUP(N$2, Percentiles!$A$45:$I$59, 7, FALSE), perc_95, VLOOKUP(N$2, Percentiles!$A$45:$I$59, 8, FALSE), perc_85, perc_75 + (perc_90 - perc_75) * (2/3), converted_stat, '2K_Ratings'!N305, IF(bbgm_stat &gt;= perc_95, converted_stat * 3, IF(bbgm_stat &gt;= perc_90, converted_stat * 2, IF(bbgm_stat &gt;= perc_85, converted_stat * 1.5, converted_stat)))))</f>
        <v/>
      </c>
      <c r="O305" s="30" t="str">
        <f t="array" ref="O305">IF($A305="", "", LET(bbgm_stat, INDEX(Players!$A304:$P304, MATCH(O$2, Players!$A$1:$P$1, 0)), perc_75, VLOOKUP(O$2, Percentiles!$A$45:$I$59, 6, FALSE), perc_90, VLOOKUP(O$2, Percentiles!$A$45:$I$59, 7, FALSE), perc_95, VLOOKUP(O$2, Percentiles!$A$45:$I$59, 8, FALSE), perc_85, perc_75 + (perc_90 - perc_75) * (2/3), converted_stat, '2K_Ratings'!O305, IF(bbgm_stat &gt;= perc_95, converted_stat * 3, IF(bbgm_stat &gt;= perc_90, converted_stat * 2, IF(bbgm_stat &gt;= perc_85, converted_stat * 1.5, converted_stat)))))</f>
        <v/>
      </c>
      <c r="P305" s="30" t="str">
        <f t="array" ref="P305">IF($A305="", "", LET(bbgm_stat, INDEX(Players!$A304:$P304, MATCH(P$2, Players!$A$1:$P$1, 0)), perc_75, VLOOKUP(P$2, Percentiles!$A$45:$I$59, 6, FALSE), perc_90, VLOOKUP(P$2, Percentiles!$A$45:$I$59, 7, FALSE), perc_95, VLOOKUP(P$2, Percentiles!$A$45:$I$59, 8, FALSE), perc_85, perc_75 + (perc_90 - perc_75) * (2/3), converted_stat, '2K_Ratings'!P305, IF(bbgm_stat &gt;= perc_95, converted_stat * 3, IF(bbgm_stat &gt;= perc_90, converted_stat * 2, IF(bbgm_stat &gt;= perc_85, converted_stat * 1.5, converted_stat)))))</f>
        <v/>
      </c>
      <c r="Q305" s="30" t="str">
        <f t="array" ref="Q305">IF($A305="", "", LET(bbgm_stat, INDEX(Players!$A304:$P304, MATCH(Q$2, Players!$A$1:$P$1, 0)), perc_75, VLOOKUP(Q$2, Percentiles!$A$45:$I$59, 6, FALSE), perc_90, VLOOKUP(Q$2, Percentiles!$A$45:$I$59, 7, FALSE), perc_95, VLOOKUP(Q$2, Percentiles!$A$45:$I$59, 8, FALSE), perc_85, perc_75 + (perc_90 - perc_75) * (2/3), converted_stat, '2K_Ratings'!Q305, IF(bbgm_stat &gt;= perc_95, converted_stat * 3, IF(bbgm_stat &gt;= perc_90, converted_stat * 2, IF(bbgm_stat &gt;= perc_85, converted_stat * 1.5, converted_stat)))))</f>
        <v/>
      </c>
      <c r="R305" s="30" t="str">
        <f t="array" ref="R305">IF($A305="", "", LET(bbgm_stat, INDEX(Players!$A304:$P304, MATCH(R$2, Players!$A$1:$P$1, 0)), perc_75, VLOOKUP(R$2, Percentiles!$A$45:$I$59, 6, FALSE), perc_90, VLOOKUP(R$2, Percentiles!$A$45:$I$59, 7, FALSE), perc_95, VLOOKUP(R$2, Percentiles!$A$45:$I$59, 8, FALSE), perc_85, perc_75 + (perc_90 - perc_75) * (2/3), converted_stat, '2K_Ratings'!R305, IF(bbgm_stat &gt;= perc_95, converted_stat * 3, IF(bbgm_stat &gt;= perc_90, converted_stat * 2, IF(bbgm_stat &gt;= perc_85, converted_stat * 1.5, converted_stat)))))</f>
        <v/>
      </c>
      <c r="S305" s="30" t="str">
        <f t="array" ref="S305">IF($A305="", "", LET(bbgm_stat, INDEX(Players!$A304:$P304, MATCH(S$2, Players!$A$1:$P$1, 0)), perc_75, VLOOKUP(S$2, Percentiles!$A$45:$I$59, 6, FALSE), perc_90, VLOOKUP(S$2, Percentiles!$A$45:$I$59, 7, FALSE), perc_95, VLOOKUP(S$2, Percentiles!$A$45:$I$59, 8, FALSE), perc_85, perc_75 + (perc_90 - perc_75) * (2/3), converted_stat, '2K_Ratings'!S305, IF(bbgm_stat &gt;= perc_95, converted_stat * 3, IF(bbgm_stat &gt;= perc_90, converted_stat * 2, IF(bbgm_stat &gt;= perc_85, converted_stat * 1.5, converted_stat)))))</f>
        <v/>
      </c>
      <c r="T305" s="30" t="str">
        <f t="array" ref="T305">IF($A305="", "", LET(bbgm_stat, INDEX(Players!$A304:$P304, MATCH(T$2, Players!$A$1:$P$1, 0)), perc_75, VLOOKUP(T$2, Percentiles!$A$45:$I$59, 6, FALSE), perc_90, VLOOKUP(T$2, Percentiles!$A$45:$I$59, 7, FALSE), perc_95, VLOOKUP(T$2, Percentiles!$A$45:$I$59, 8, FALSE), perc_85, perc_75 + (perc_90 - perc_75) * (2/3), converted_stat, '2K_Ratings'!T305, IF(bbgm_stat &gt;= perc_95, converted_stat * 3, IF(bbgm_stat &gt;= perc_90, converted_stat * 2, IF(bbgm_stat &gt;= perc_85, converted_stat * 1.5, converted_stat)))))</f>
        <v/>
      </c>
      <c r="U305" s="30" t="str">
        <f t="array" ref="U305">IF($A305="", "", LET(bbgm_stat, INDEX(Players!$A304:$P304, MATCH(U$2, Players!$A$1:$P$1, 0)), perc_75, VLOOKUP(U$2, Percentiles!$A$45:$I$59, 6, FALSE), perc_90, VLOOKUP(U$2, Percentiles!$A$45:$I$59, 7, FALSE), perc_95, VLOOKUP(U$2, Percentiles!$A$45:$I$59, 8, FALSE), perc_85, perc_75 + (perc_90 - perc_75) * (2/3), converted_stat, '2K_Ratings'!U305, IF(bbgm_stat &gt;= perc_95, converted_stat * 3, IF(bbgm_stat &gt;= perc_90, converted_stat * 2, IF(bbgm_stat &gt;= perc_85, converted_stat * 1.5, converted_stat)))))</f>
        <v/>
      </c>
      <c r="V305" s="30" t="str">
        <f t="array" ref="V305">IF($A305="", "", LET(bbgm_stat, INDEX(Players!$A304:$P304, MATCH(V$2, Players!$A$1:$P$1, 0)), perc_75, VLOOKUP(V$2, Percentiles!$A$45:$I$59, 6, FALSE), perc_90, VLOOKUP(V$2, Percentiles!$A$45:$I$59, 7, FALSE), perc_95, VLOOKUP(V$2, Percentiles!$A$45:$I$59, 8, FALSE), perc_85, perc_75 + (perc_90 - perc_75) * (2/3), converted_stat, '2K_Ratings'!V305, IF(bbgm_stat &gt;= perc_95, converted_stat * 3, IF(bbgm_stat &gt;= perc_90, converted_stat * 2, IF(bbgm_stat &gt;= perc_85, converted_stat * 1.5, converted_stat)))))</f>
        <v/>
      </c>
      <c r="W305" s="30" t="str">
        <f t="array" ref="W305">IF($A305="", "", LET(bbgm_stat, INDEX(Players!$A304:$P304, MATCH(W$2, Players!$A$1:$P$1, 0)), perc_75, VLOOKUP(W$2, Percentiles!$A$45:$I$59, 6, FALSE), perc_90, VLOOKUP(W$2, Percentiles!$A$45:$I$59, 7, FALSE), perc_95, VLOOKUP(W$2, Percentiles!$A$45:$I$59, 8, FALSE), perc_85, perc_75 + (perc_90 - perc_75) * (2/3), converted_stat, '2K_Ratings'!W305, IF(bbgm_stat &gt;= perc_95, converted_stat * 3, IF(bbgm_stat &gt;= perc_90, converted_stat * 2, IF(bbgm_stat &gt;= perc_85, converted_stat * 1.5, converted_stat)))))</f>
        <v/>
      </c>
    </row>
    <row r="306">
      <c r="A306" s="30"/>
      <c r="B306" s="30" t="str">
        <f t="array" ref="B306">IF($A306="", "", LET(bbgm_stat, INDEX(Players!$A305:$P305, MATCH(B$2, Players!$A$1:$P$1, 0)), perc_75, VLOOKUP(B$2, Percentiles!$A$45:$I$59, 6, FALSE), perc_90, VLOOKUP(B$2, Percentiles!$A$45:$I$59, 7, FALSE), perc_95, VLOOKUP(B$2, Percentiles!$A$45:$I$59, 8, FALSE), perc_85, perc_75 + (perc_90 - perc_75) * (2/3), converted_stat, '2K_Ratings'!B306, IF(bbgm_stat &gt;= perc_95, converted_stat * 3, IF(bbgm_stat &gt;= perc_90, converted_stat * 2, IF(bbgm_stat &gt;= perc_85, converted_stat * 1.5, converted_stat)))))</f>
        <v/>
      </c>
      <c r="C306" s="30" t="str">
        <f t="array" ref="C306">IF($A306="", "", LET(bbgm_stat, INDEX(Players!$A305:$P305, MATCH(C$2, Players!$A$1:$P$1, 0)), perc_75, VLOOKUP(C$2, Percentiles!$A$45:$I$59, 6, FALSE), perc_90, VLOOKUP(C$2, Percentiles!$A$45:$I$59, 7, FALSE), perc_95, VLOOKUP(C$2, Percentiles!$A$45:$I$59, 8, FALSE), perc_85, perc_75 + (perc_90 - perc_75) * (2/3), converted_stat, '2K_Ratings'!C306, IF(bbgm_stat &gt;= perc_95, converted_stat * 3, IF(bbgm_stat &gt;= perc_90, converted_stat * 2, IF(bbgm_stat &gt;= perc_85, converted_stat * 1.5, converted_stat)))))</f>
        <v/>
      </c>
      <c r="D306" s="30" t="str">
        <f t="array" ref="D306">IF($A306="", "", LET(bbgm_stat, INDEX(Players!$A305:$P305, MATCH(D$2, Players!$A$1:$P$1, 0)), perc_75, VLOOKUP(D$2, Percentiles!$A$45:$I$59, 6, FALSE), perc_90, VLOOKUP(D$2, Percentiles!$A$45:$I$59, 7, FALSE), perc_95, VLOOKUP(D$2, Percentiles!$A$45:$I$59, 8, FALSE), perc_85, perc_75 + (perc_90 - perc_75) * (2/3), converted_stat, '2K_Ratings'!D306, IF(bbgm_stat &gt;= perc_95, converted_stat * 3, IF(bbgm_stat &gt;= perc_90, converted_stat * 2, IF(bbgm_stat &gt;= perc_85, converted_stat * 1.5, converted_stat)))))</f>
        <v/>
      </c>
      <c r="E306" s="30" t="str">
        <f t="array" ref="E306">IF($A306="", "", LET(bbgm_stat, INDEX(Players!$A305:$P305, MATCH(E$2, Players!$A$1:$P$1, 0)), perc_75, VLOOKUP(E$2, Percentiles!$A$45:$I$59, 6, FALSE), perc_90, VLOOKUP(E$2, Percentiles!$A$45:$I$59, 7, FALSE), perc_95, VLOOKUP(E$2, Percentiles!$A$45:$I$59, 8, FALSE), perc_85, perc_75 + (perc_90 - perc_75) * (2/3), converted_stat, '2K_Ratings'!E306, IF(bbgm_stat &gt;= perc_95, converted_stat * 3, IF(bbgm_stat &gt;= perc_90, converted_stat * 2, IF(bbgm_stat &gt;= perc_85, converted_stat * 1.5, converted_stat)))))</f>
        <v/>
      </c>
      <c r="F306" s="30" t="str">
        <f t="array" ref="F306">IF($A306="", "", LET(bbgm_stat, INDEX(Players!$A305:$P305, MATCH(F$2, Players!$A$1:$P$1, 0)), perc_75, VLOOKUP(F$2, Percentiles!$A$45:$I$59, 6, FALSE), perc_90, VLOOKUP(F$2, Percentiles!$A$45:$I$59, 7, FALSE), perc_95, VLOOKUP(F$2, Percentiles!$A$45:$I$59, 8, FALSE), perc_85, perc_75 + (perc_90 - perc_75) * (2/3), converted_stat, '2K_Ratings'!F306, IF(bbgm_stat &gt;= perc_95, converted_stat * 3, IF(bbgm_stat &gt;= perc_90, converted_stat * 2, IF(bbgm_stat &gt;= perc_85, converted_stat * 1.5, converted_stat)))))</f>
        <v/>
      </c>
      <c r="G306" s="30" t="str">
        <f t="array" ref="G306">IF($A306="", "", LET(bbgm_stat, INDEX(Players!$A305:$P305, MATCH(G$2, Players!$A$1:$P$1, 0)), perc_75, VLOOKUP(G$2, Percentiles!$A$45:$I$59, 6, FALSE), perc_90, VLOOKUP(G$2, Percentiles!$A$45:$I$59, 7, FALSE), perc_95, VLOOKUP(G$2, Percentiles!$A$45:$I$59, 8, FALSE), perc_85, perc_75 + (perc_90 - perc_75) * (2/3), converted_stat, '2K_Ratings'!G306, IF(bbgm_stat &gt;= perc_95, converted_stat * 3, IF(bbgm_stat &gt;= perc_90, converted_stat * 2, IF(bbgm_stat &gt;= perc_85, converted_stat * 1.5, converted_stat)))))</f>
        <v/>
      </c>
      <c r="H306" s="30" t="str">
        <f t="array" ref="H306">IF($A306="", "", LET(bbgm_stat, INDEX(Players!$A305:$P305, MATCH(H$2, Players!$A$1:$P$1, 0)), perc_75, VLOOKUP(H$2, Percentiles!$A$45:$I$59, 6, FALSE), perc_90, VLOOKUP(H$2, Percentiles!$A$45:$I$59, 7, FALSE), perc_95, VLOOKUP(H$2, Percentiles!$A$45:$I$59, 8, FALSE), perc_85, perc_75 + (perc_90 - perc_75) * (2/3), converted_stat, '2K_Ratings'!H306, IF(bbgm_stat &gt;= perc_95, converted_stat * 3, IF(bbgm_stat &gt;= perc_90, converted_stat * 2, IF(bbgm_stat &gt;= perc_85, converted_stat * 1.5, converted_stat)))))</f>
        <v/>
      </c>
      <c r="I306" s="30" t="str">
        <f t="array" ref="I306">IF($A306="", "", LET(bbgm_stat, INDEX(Players!$A305:$P305, MATCH(I$2, Players!$A$1:$P$1, 0)), perc_75, VLOOKUP(I$2, Percentiles!$A$45:$I$59, 6, FALSE), perc_90, VLOOKUP(I$2, Percentiles!$A$45:$I$59, 7, FALSE), perc_95, VLOOKUP(I$2, Percentiles!$A$45:$I$59, 8, FALSE), perc_85, perc_75 + (perc_90 - perc_75) * (2/3), converted_stat, '2K_Ratings'!I306, IF(bbgm_stat &gt;= perc_95, converted_stat * 3, IF(bbgm_stat &gt;= perc_90, converted_stat * 2, IF(bbgm_stat &gt;= perc_85, converted_stat * 1.5, converted_stat)))))</f>
        <v/>
      </c>
      <c r="J306" s="30" t="str">
        <f t="array" ref="J306">IF($A306="", "", LET(bbgm_stat, INDEX(Players!$A305:$P305, MATCH(J$2, Players!$A$1:$P$1, 0)), perc_75, VLOOKUP(J$2, Percentiles!$A$45:$I$59, 6, FALSE), perc_90, VLOOKUP(J$2, Percentiles!$A$45:$I$59, 7, FALSE), perc_95, VLOOKUP(J$2, Percentiles!$A$45:$I$59, 8, FALSE), perc_85, perc_75 + (perc_90 - perc_75) * (2/3), converted_stat, '2K_Ratings'!J306, IF(bbgm_stat &gt;= perc_95, converted_stat * 3, IF(bbgm_stat &gt;= perc_90, converted_stat * 2, IF(bbgm_stat &gt;= perc_85, converted_stat * 1.5, converted_stat)))))</f>
        <v/>
      </c>
      <c r="K306" s="30" t="str">
        <f t="array" ref="K306">IF($A306="", "", LET(bbgm_stat, INDEX(Players!$A305:$P305, MATCH(K$2, Players!$A$1:$P$1, 0)), perc_75, VLOOKUP(K$2, Percentiles!$A$45:$I$59, 6, FALSE), perc_90, VLOOKUP(K$2, Percentiles!$A$45:$I$59, 7, FALSE), perc_95, VLOOKUP(K$2, Percentiles!$A$45:$I$59, 8, FALSE), perc_85, perc_75 + (perc_90 - perc_75) * (2/3), converted_stat, '2K_Ratings'!K306, IF(bbgm_stat &gt;= perc_95, converted_stat * 3, IF(bbgm_stat &gt;= perc_90, converted_stat * 2, IF(bbgm_stat &gt;= perc_85, converted_stat * 1.5, converted_stat)))))</f>
        <v/>
      </c>
      <c r="L306" s="30" t="str">
        <f t="array" ref="L306">IF($A306="", "", LET(bbgm_stat, INDEX(Players!$A305:$P305, MATCH(L$2, Players!$A$1:$P$1, 0)), perc_75, VLOOKUP(L$2, Percentiles!$A$45:$I$59, 6, FALSE), perc_90, VLOOKUP(L$2, Percentiles!$A$45:$I$59, 7, FALSE), perc_95, VLOOKUP(L$2, Percentiles!$A$45:$I$59, 8, FALSE), perc_85, perc_75 + (perc_90 - perc_75) * (2/3), converted_stat, '2K_Ratings'!L306, IF(bbgm_stat &gt;= perc_95, converted_stat * 3, IF(bbgm_stat &gt;= perc_90, converted_stat * 2, IF(bbgm_stat &gt;= perc_85, converted_stat * 1.5, converted_stat)))))</f>
        <v/>
      </c>
      <c r="M306" s="30" t="str">
        <f t="array" ref="M306">IF($A306="", "", LET(bbgm_stat, INDEX(Players!$A305:$P305, MATCH(M$2, Players!$A$1:$P$1, 0)), perc_75, VLOOKUP(M$2, Percentiles!$A$45:$I$59, 6, FALSE), perc_90, VLOOKUP(M$2, Percentiles!$A$45:$I$59, 7, FALSE), perc_95, VLOOKUP(M$2, Percentiles!$A$45:$I$59, 8, FALSE), perc_85, perc_75 + (perc_90 - perc_75) * (2/3), converted_stat, '2K_Ratings'!M306, IF(bbgm_stat &gt;= perc_95, converted_stat * 3, IF(bbgm_stat &gt;= perc_90, converted_stat * 2, IF(bbgm_stat &gt;= perc_85, converted_stat * 1.5, converted_stat)))))</f>
        <v/>
      </c>
      <c r="N306" s="30" t="str">
        <f t="array" ref="N306">IF($A306="", "", LET(bbgm_stat, INDEX(Players!$A305:$P305, MATCH(N$2, Players!$A$1:$P$1, 0)), perc_75, VLOOKUP(N$2, Percentiles!$A$45:$I$59, 6, FALSE), perc_90, VLOOKUP(N$2, Percentiles!$A$45:$I$59, 7, FALSE), perc_95, VLOOKUP(N$2, Percentiles!$A$45:$I$59, 8, FALSE), perc_85, perc_75 + (perc_90 - perc_75) * (2/3), converted_stat, '2K_Ratings'!N306, IF(bbgm_stat &gt;= perc_95, converted_stat * 3, IF(bbgm_stat &gt;= perc_90, converted_stat * 2, IF(bbgm_stat &gt;= perc_85, converted_stat * 1.5, converted_stat)))))</f>
        <v/>
      </c>
      <c r="O306" s="30" t="str">
        <f t="array" ref="O306">IF($A306="", "", LET(bbgm_stat, INDEX(Players!$A305:$P305, MATCH(O$2, Players!$A$1:$P$1, 0)), perc_75, VLOOKUP(O$2, Percentiles!$A$45:$I$59, 6, FALSE), perc_90, VLOOKUP(O$2, Percentiles!$A$45:$I$59, 7, FALSE), perc_95, VLOOKUP(O$2, Percentiles!$A$45:$I$59, 8, FALSE), perc_85, perc_75 + (perc_90 - perc_75) * (2/3), converted_stat, '2K_Ratings'!O306, IF(bbgm_stat &gt;= perc_95, converted_stat * 3, IF(bbgm_stat &gt;= perc_90, converted_stat * 2, IF(bbgm_stat &gt;= perc_85, converted_stat * 1.5, converted_stat)))))</f>
        <v/>
      </c>
      <c r="P306" s="30" t="str">
        <f t="array" ref="P306">IF($A306="", "", LET(bbgm_stat, INDEX(Players!$A305:$P305, MATCH(P$2, Players!$A$1:$P$1, 0)), perc_75, VLOOKUP(P$2, Percentiles!$A$45:$I$59, 6, FALSE), perc_90, VLOOKUP(P$2, Percentiles!$A$45:$I$59, 7, FALSE), perc_95, VLOOKUP(P$2, Percentiles!$A$45:$I$59, 8, FALSE), perc_85, perc_75 + (perc_90 - perc_75) * (2/3), converted_stat, '2K_Ratings'!P306, IF(bbgm_stat &gt;= perc_95, converted_stat * 3, IF(bbgm_stat &gt;= perc_90, converted_stat * 2, IF(bbgm_stat &gt;= perc_85, converted_stat * 1.5, converted_stat)))))</f>
        <v/>
      </c>
      <c r="Q306" s="30" t="str">
        <f t="array" ref="Q306">IF($A306="", "", LET(bbgm_stat, INDEX(Players!$A305:$P305, MATCH(Q$2, Players!$A$1:$P$1, 0)), perc_75, VLOOKUP(Q$2, Percentiles!$A$45:$I$59, 6, FALSE), perc_90, VLOOKUP(Q$2, Percentiles!$A$45:$I$59, 7, FALSE), perc_95, VLOOKUP(Q$2, Percentiles!$A$45:$I$59, 8, FALSE), perc_85, perc_75 + (perc_90 - perc_75) * (2/3), converted_stat, '2K_Ratings'!Q306, IF(bbgm_stat &gt;= perc_95, converted_stat * 3, IF(bbgm_stat &gt;= perc_90, converted_stat * 2, IF(bbgm_stat &gt;= perc_85, converted_stat * 1.5, converted_stat)))))</f>
        <v/>
      </c>
      <c r="R306" s="30" t="str">
        <f t="array" ref="R306">IF($A306="", "", LET(bbgm_stat, INDEX(Players!$A305:$P305, MATCH(R$2, Players!$A$1:$P$1, 0)), perc_75, VLOOKUP(R$2, Percentiles!$A$45:$I$59, 6, FALSE), perc_90, VLOOKUP(R$2, Percentiles!$A$45:$I$59, 7, FALSE), perc_95, VLOOKUP(R$2, Percentiles!$A$45:$I$59, 8, FALSE), perc_85, perc_75 + (perc_90 - perc_75) * (2/3), converted_stat, '2K_Ratings'!R306, IF(bbgm_stat &gt;= perc_95, converted_stat * 3, IF(bbgm_stat &gt;= perc_90, converted_stat * 2, IF(bbgm_stat &gt;= perc_85, converted_stat * 1.5, converted_stat)))))</f>
        <v/>
      </c>
      <c r="S306" s="30" t="str">
        <f t="array" ref="S306">IF($A306="", "", LET(bbgm_stat, INDEX(Players!$A305:$P305, MATCH(S$2, Players!$A$1:$P$1, 0)), perc_75, VLOOKUP(S$2, Percentiles!$A$45:$I$59, 6, FALSE), perc_90, VLOOKUP(S$2, Percentiles!$A$45:$I$59, 7, FALSE), perc_95, VLOOKUP(S$2, Percentiles!$A$45:$I$59, 8, FALSE), perc_85, perc_75 + (perc_90 - perc_75) * (2/3), converted_stat, '2K_Ratings'!S306, IF(bbgm_stat &gt;= perc_95, converted_stat * 3, IF(bbgm_stat &gt;= perc_90, converted_stat * 2, IF(bbgm_stat &gt;= perc_85, converted_stat * 1.5, converted_stat)))))</f>
        <v/>
      </c>
      <c r="T306" s="30" t="str">
        <f t="array" ref="T306">IF($A306="", "", LET(bbgm_stat, INDEX(Players!$A305:$P305, MATCH(T$2, Players!$A$1:$P$1, 0)), perc_75, VLOOKUP(T$2, Percentiles!$A$45:$I$59, 6, FALSE), perc_90, VLOOKUP(T$2, Percentiles!$A$45:$I$59, 7, FALSE), perc_95, VLOOKUP(T$2, Percentiles!$A$45:$I$59, 8, FALSE), perc_85, perc_75 + (perc_90 - perc_75) * (2/3), converted_stat, '2K_Ratings'!T306, IF(bbgm_stat &gt;= perc_95, converted_stat * 3, IF(bbgm_stat &gt;= perc_90, converted_stat * 2, IF(bbgm_stat &gt;= perc_85, converted_stat * 1.5, converted_stat)))))</f>
        <v/>
      </c>
      <c r="U306" s="30" t="str">
        <f t="array" ref="U306">IF($A306="", "", LET(bbgm_stat, INDEX(Players!$A305:$P305, MATCH(U$2, Players!$A$1:$P$1, 0)), perc_75, VLOOKUP(U$2, Percentiles!$A$45:$I$59, 6, FALSE), perc_90, VLOOKUP(U$2, Percentiles!$A$45:$I$59, 7, FALSE), perc_95, VLOOKUP(U$2, Percentiles!$A$45:$I$59, 8, FALSE), perc_85, perc_75 + (perc_90 - perc_75) * (2/3), converted_stat, '2K_Ratings'!U306, IF(bbgm_stat &gt;= perc_95, converted_stat * 3, IF(bbgm_stat &gt;= perc_90, converted_stat * 2, IF(bbgm_stat &gt;= perc_85, converted_stat * 1.5, converted_stat)))))</f>
        <v/>
      </c>
      <c r="V306" s="30" t="str">
        <f t="array" ref="V306">IF($A306="", "", LET(bbgm_stat, INDEX(Players!$A305:$P305, MATCH(V$2, Players!$A$1:$P$1, 0)), perc_75, VLOOKUP(V$2, Percentiles!$A$45:$I$59, 6, FALSE), perc_90, VLOOKUP(V$2, Percentiles!$A$45:$I$59, 7, FALSE), perc_95, VLOOKUP(V$2, Percentiles!$A$45:$I$59, 8, FALSE), perc_85, perc_75 + (perc_90 - perc_75) * (2/3), converted_stat, '2K_Ratings'!V306, IF(bbgm_stat &gt;= perc_95, converted_stat * 3, IF(bbgm_stat &gt;= perc_90, converted_stat * 2, IF(bbgm_stat &gt;= perc_85, converted_stat * 1.5, converted_stat)))))</f>
        <v/>
      </c>
      <c r="W306" s="30" t="str">
        <f t="array" ref="W306">IF($A306="", "", LET(bbgm_stat, INDEX(Players!$A305:$P305, MATCH(W$2, Players!$A$1:$P$1, 0)), perc_75, VLOOKUP(W$2, Percentiles!$A$45:$I$59, 6, FALSE), perc_90, VLOOKUP(W$2, Percentiles!$A$45:$I$59, 7, FALSE), perc_95, VLOOKUP(W$2, Percentiles!$A$45:$I$59, 8, FALSE), perc_85, perc_75 + (perc_90 - perc_75) * (2/3), converted_stat, '2K_Ratings'!W306, IF(bbgm_stat &gt;= perc_95, converted_stat * 3, IF(bbgm_stat &gt;= perc_90, converted_stat * 2, IF(bbgm_stat &gt;= perc_85, converted_stat * 1.5, converted_stat)))))</f>
        <v/>
      </c>
    </row>
    <row r="307">
      <c r="A307" s="30"/>
      <c r="B307" s="30" t="str">
        <f t="array" ref="B307">IF($A307="", "", LET(bbgm_stat, INDEX(Players!$A306:$P306, MATCH(B$2, Players!$A$1:$P$1, 0)), perc_75, VLOOKUP(B$2, Percentiles!$A$45:$I$59, 6, FALSE), perc_90, VLOOKUP(B$2, Percentiles!$A$45:$I$59, 7, FALSE), perc_95, VLOOKUP(B$2, Percentiles!$A$45:$I$59, 8, FALSE), perc_85, perc_75 + (perc_90 - perc_75) * (2/3), converted_stat, '2K_Ratings'!B307, IF(bbgm_stat &gt;= perc_95, converted_stat * 3, IF(bbgm_stat &gt;= perc_90, converted_stat * 2, IF(bbgm_stat &gt;= perc_85, converted_stat * 1.5, converted_stat)))))</f>
        <v/>
      </c>
      <c r="C307" s="30" t="str">
        <f t="array" ref="C307">IF($A307="", "", LET(bbgm_stat, INDEX(Players!$A306:$P306, MATCH(C$2, Players!$A$1:$P$1, 0)), perc_75, VLOOKUP(C$2, Percentiles!$A$45:$I$59, 6, FALSE), perc_90, VLOOKUP(C$2, Percentiles!$A$45:$I$59, 7, FALSE), perc_95, VLOOKUP(C$2, Percentiles!$A$45:$I$59, 8, FALSE), perc_85, perc_75 + (perc_90 - perc_75) * (2/3), converted_stat, '2K_Ratings'!C307, IF(bbgm_stat &gt;= perc_95, converted_stat * 3, IF(bbgm_stat &gt;= perc_90, converted_stat * 2, IF(bbgm_stat &gt;= perc_85, converted_stat * 1.5, converted_stat)))))</f>
        <v/>
      </c>
      <c r="D307" s="30" t="str">
        <f t="array" ref="D307">IF($A307="", "", LET(bbgm_stat, INDEX(Players!$A306:$P306, MATCH(D$2, Players!$A$1:$P$1, 0)), perc_75, VLOOKUP(D$2, Percentiles!$A$45:$I$59, 6, FALSE), perc_90, VLOOKUP(D$2, Percentiles!$A$45:$I$59, 7, FALSE), perc_95, VLOOKUP(D$2, Percentiles!$A$45:$I$59, 8, FALSE), perc_85, perc_75 + (perc_90 - perc_75) * (2/3), converted_stat, '2K_Ratings'!D307, IF(bbgm_stat &gt;= perc_95, converted_stat * 3, IF(bbgm_stat &gt;= perc_90, converted_stat * 2, IF(bbgm_stat &gt;= perc_85, converted_stat * 1.5, converted_stat)))))</f>
        <v/>
      </c>
      <c r="E307" s="30" t="str">
        <f t="array" ref="E307">IF($A307="", "", LET(bbgm_stat, INDEX(Players!$A306:$P306, MATCH(E$2, Players!$A$1:$P$1, 0)), perc_75, VLOOKUP(E$2, Percentiles!$A$45:$I$59, 6, FALSE), perc_90, VLOOKUP(E$2, Percentiles!$A$45:$I$59, 7, FALSE), perc_95, VLOOKUP(E$2, Percentiles!$A$45:$I$59, 8, FALSE), perc_85, perc_75 + (perc_90 - perc_75) * (2/3), converted_stat, '2K_Ratings'!E307, IF(bbgm_stat &gt;= perc_95, converted_stat * 3, IF(bbgm_stat &gt;= perc_90, converted_stat * 2, IF(bbgm_stat &gt;= perc_85, converted_stat * 1.5, converted_stat)))))</f>
        <v/>
      </c>
      <c r="F307" s="30" t="str">
        <f t="array" ref="F307">IF($A307="", "", LET(bbgm_stat, INDEX(Players!$A306:$P306, MATCH(F$2, Players!$A$1:$P$1, 0)), perc_75, VLOOKUP(F$2, Percentiles!$A$45:$I$59, 6, FALSE), perc_90, VLOOKUP(F$2, Percentiles!$A$45:$I$59, 7, FALSE), perc_95, VLOOKUP(F$2, Percentiles!$A$45:$I$59, 8, FALSE), perc_85, perc_75 + (perc_90 - perc_75) * (2/3), converted_stat, '2K_Ratings'!F307, IF(bbgm_stat &gt;= perc_95, converted_stat * 3, IF(bbgm_stat &gt;= perc_90, converted_stat * 2, IF(bbgm_stat &gt;= perc_85, converted_stat * 1.5, converted_stat)))))</f>
        <v/>
      </c>
      <c r="G307" s="30" t="str">
        <f t="array" ref="G307">IF($A307="", "", LET(bbgm_stat, INDEX(Players!$A306:$P306, MATCH(G$2, Players!$A$1:$P$1, 0)), perc_75, VLOOKUP(G$2, Percentiles!$A$45:$I$59, 6, FALSE), perc_90, VLOOKUP(G$2, Percentiles!$A$45:$I$59, 7, FALSE), perc_95, VLOOKUP(G$2, Percentiles!$A$45:$I$59, 8, FALSE), perc_85, perc_75 + (perc_90 - perc_75) * (2/3), converted_stat, '2K_Ratings'!G307, IF(bbgm_stat &gt;= perc_95, converted_stat * 3, IF(bbgm_stat &gt;= perc_90, converted_stat * 2, IF(bbgm_stat &gt;= perc_85, converted_stat * 1.5, converted_stat)))))</f>
        <v/>
      </c>
      <c r="H307" s="30" t="str">
        <f t="array" ref="H307">IF($A307="", "", LET(bbgm_stat, INDEX(Players!$A306:$P306, MATCH(H$2, Players!$A$1:$P$1, 0)), perc_75, VLOOKUP(H$2, Percentiles!$A$45:$I$59, 6, FALSE), perc_90, VLOOKUP(H$2, Percentiles!$A$45:$I$59, 7, FALSE), perc_95, VLOOKUP(H$2, Percentiles!$A$45:$I$59, 8, FALSE), perc_85, perc_75 + (perc_90 - perc_75) * (2/3), converted_stat, '2K_Ratings'!H307, IF(bbgm_stat &gt;= perc_95, converted_stat * 3, IF(bbgm_stat &gt;= perc_90, converted_stat * 2, IF(bbgm_stat &gt;= perc_85, converted_stat * 1.5, converted_stat)))))</f>
        <v/>
      </c>
      <c r="I307" s="30" t="str">
        <f t="array" ref="I307">IF($A307="", "", LET(bbgm_stat, INDEX(Players!$A306:$P306, MATCH(I$2, Players!$A$1:$P$1, 0)), perc_75, VLOOKUP(I$2, Percentiles!$A$45:$I$59, 6, FALSE), perc_90, VLOOKUP(I$2, Percentiles!$A$45:$I$59, 7, FALSE), perc_95, VLOOKUP(I$2, Percentiles!$A$45:$I$59, 8, FALSE), perc_85, perc_75 + (perc_90 - perc_75) * (2/3), converted_stat, '2K_Ratings'!I307, IF(bbgm_stat &gt;= perc_95, converted_stat * 3, IF(bbgm_stat &gt;= perc_90, converted_stat * 2, IF(bbgm_stat &gt;= perc_85, converted_stat * 1.5, converted_stat)))))</f>
        <v/>
      </c>
      <c r="J307" s="30" t="str">
        <f t="array" ref="J307">IF($A307="", "", LET(bbgm_stat, INDEX(Players!$A306:$P306, MATCH(J$2, Players!$A$1:$P$1, 0)), perc_75, VLOOKUP(J$2, Percentiles!$A$45:$I$59, 6, FALSE), perc_90, VLOOKUP(J$2, Percentiles!$A$45:$I$59, 7, FALSE), perc_95, VLOOKUP(J$2, Percentiles!$A$45:$I$59, 8, FALSE), perc_85, perc_75 + (perc_90 - perc_75) * (2/3), converted_stat, '2K_Ratings'!J307, IF(bbgm_stat &gt;= perc_95, converted_stat * 3, IF(bbgm_stat &gt;= perc_90, converted_stat * 2, IF(bbgm_stat &gt;= perc_85, converted_stat * 1.5, converted_stat)))))</f>
        <v/>
      </c>
      <c r="K307" s="30" t="str">
        <f t="array" ref="K307">IF($A307="", "", LET(bbgm_stat, INDEX(Players!$A306:$P306, MATCH(K$2, Players!$A$1:$P$1, 0)), perc_75, VLOOKUP(K$2, Percentiles!$A$45:$I$59, 6, FALSE), perc_90, VLOOKUP(K$2, Percentiles!$A$45:$I$59, 7, FALSE), perc_95, VLOOKUP(K$2, Percentiles!$A$45:$I$59, 8, FALSE), perc_85, perc_75 + (perc_90 - perc_75) * (2/3), converted_stat, '2K_Ratings'!K307, IF(bbgm_stat &gt;= perc_95, converted_stat * 3, IF(bbgm_stat &gt;= perc_90, converted_stat * 2, IF(bbgm_stat &gt;= perc_85, converted_stat * 1.5, converted_stat)))))</f>
        <v/>
      </c>
      <c r="L307" s="30" t="str">
        <f t="array" ref="L307">IF($A307="", "", LET(bbgm_stat, INDEX(Players!$A306:$P306, MATCH(L$2, Players!$A$1:$P$1, 0)), perc_75, VLOOKUP(L$2, Percentiles!$A$45:$I$59, 6, FALSE), perc_90, VLOOKUP(L$2, Percentiles!$A$45:$I$59, 7, FALSE), perc_95, VLOOKUP(L$2, Percentiles!$A$45:$I$59, 8, FALSE), perc_85, perc_75 + (perc_90 - perc_75) * (2/3), converted_stat, '2K_Ratings'!L307, IF(bbgm_stat &gt;= perc_95, converted_stat * 3, IF(bbgm_stat &gt;= perc_90, converted_stat * 2, IF(bbgm_stat &gt;= perc_85, converted_stat * 1.5, converted_stat)))))</f>
        <v/>
      </c>
      <c r="M307" s="30" t="str">
        <f t="array" ref="M307">IF($A307="", "", LET(bbgm_stat, INDEX(Players!$A306:$P306, MATCH(M$2, Players!$A$1:$P$1, 0)), perc_75, VLOOKUP(M$2, Percentiles!$A$45:$I$59, 6, FALSE), perc_90, VLOOKUP(M$2, Percentiles!$A$45:$I$59, 7, FALSE), perc_95, VLOOKUP(M$2, Percentiles!$A$45:$I$59, 8, FALSE), perc_85, perc_75 + (perc_90 - perc_75) * (2/3), converted_stat, '2K_Ratings'!M307, IF(bbgm_stat &gt;= perc_95, converted_stat * 3, IF(bbgm_stat &gt;= perc_90, converted_stat * 2, IF(bbgm_stat &gt;= perc_85, converted_stat * 1.5, converted_stat)))))</f>
        <v/>
      </c>
      <c r="N307" s="30" t="str">
        <f t="array" ref="N307">IF($A307="", "", LET(bbgm_stat, INDEX(Players!$A306:$P306, MATCH(N$2, Players!$A$1:$P$1, 0)), perc_75, VLOOKUP(N$2, Percentiles!$A$45:$I$59, 6, FALSE), perc_90, VLOOKUP(N$2, Percentiles!$A$45:$I$59, 7, FALSE), perc_95, VLOOKUP(N$2, Percentiles!$A$45:$I$59, 8, FALSE), perc_85, perc_75 + (perc_90 - perc_75) * (2/3), converted_stat, '2K_Ratings'!N307, IF(bbgm_stat &gt;= perc_95, converted_stat * 3, IF(bbgm_stat &gt;= perc_90, converted_stat * 2, IF(bbgm_stat &gt;= perc_85, converted_stat * 1.5, converted_stat)))))</f>
        <v/>
      </c>
      <c r="O307" s="30" t="str">
        <f t="array" ref="O307">IF($A307="", "", LET(bbgm_stat, INDEX(Players!$A306:$P306, MATCH(O$2, Players!$A$1:$P$1, 0)), perc_75, VLOOKUP(O$2, Percentiles!$A$45:$I$59, 6, FALSE), perc_90, VLOOKUP(O$2, Percentiles!$A$45:$I$59, 7, FALSE), perc_95, VLOOKUP(O$2, Percentiles!$A$45:$I$59, 8, FALSE), perc_85, perc_75 + (perc_90 - perc_75) * (2/3), converted_stat, '2K_Ratings'!O307, IF(bbgm_stat &gt;= perc_95, converted_stat * 3, IF(bbgm_stat &gt;= perc_90, converted_stat * 2, IF(bbgm_stat &gt;= perc_85, converted_stat * 1.5, converted_stat)))))</f>
        <v/>
      </c>
      <c r="P307" s="30" t="str">
        <f t="array" ref="P307">IF($A307="", "", LET(bbgm_stat, INDEX(Players!$A306:$P306, MATCH(P$2, Players!$A$1:$P$1, 0)), perc_75, VLOOKUP(P$2, Percentiles!$A$45:$I$59, 6, FALSE), perc_90, VLOOKUP(P$2, Percentiles!$A$45:$I$59, 7, FALSE), perc_95, VLOOKUP(P$2, Percentiles!$A$45:$I$59, 8, FALSE), perc_85, perc_75 + (perc_90 - perc_75) * (2/3), converted_stat, '2K_Ratings'!P307, IF(bbgm_stat &gt;= perc_95, converted_stat * 3, IF(bbgm_stat &gt;= perc_90, converted_stat * 2, IF(bbgm_stat &gt;= perc_85, converted_stat * 1.5, converted_stat)))))</f>
        <v/>
      </c>
      <c r="Q307" s="30" t="str">
        <f t="array" ref="Q307">IF($A307="", "", LET(bbgm_stat, INDEX(Players!$A306:$P306, MATCH(Q$2, Players!$A$1:$P$1, 0)), perc_75, VLOOKUP(Q$2, Percentiles!$A$45:$I$59, 6, FALSE), perc_90, VLOOKUP(Q$2, Percentiles!$A$45:$I$59, 7, FALSE), perc_95, VLOOKUP(Q$2, Percentiles!$A$45:$I$59, 8, FALSE), perc_85, perc_75 + (perc_90 - perc_75) * (2/3), converted_stat, '2K_Ratings'!Q307, IF(bbgm_stat &gt;= perc_95, converted_stat * 3, IF(bbgm_stat &gt;= perc_90, converted_stat * 2, IF(bbgm_stat &gt;= perc_85, converted_stat * 1.5, converted_stat)))))</f>
        <v/>
      </c>
      <c r="R307" s="30" t="str">
        <f t="array" ref="R307">IF($A307="", "", LET(bbgm_stat, INDEX(Players!$A306:$P306, MATCH(R$2, Players!$A$1:$P$1, 0)), perc_75, VLOOKUP(R$2, Percentiles!$A$45:$I$59, 6, FALSE), perc_90, VLOOKUP(R$2, Percentiles!$A$45:$I$59, 7, FALSE), perc_95, VLOOKUP(R$2, Percentiles!$A$45:$I$59, 8, FALSE), perc_85, perc_75 + (perc_90 - perc_75) * (2/3), converted_stat, '2K_Ratings'!R307, IF(bbgm_stat &gt;= perc_95, converted_stat * 3, IF(bbgm_stat &gt;= perc_90, converted_stat * 2, IF(bbgm_stat &gt;= perc_85, converted_stat * 1.5, converted_stat)))))</f>
        <v/>
      </c>
      <c r="S307" s="30" t="str">
        <f t="array" ref="S307">IF($A307="", "", LET(bbgm_stat, INDEX(Players!$A306:$P306, MATCH(S$2, Players!$A$1:$P$1, 0)), perc_75, VLOOKUP(S$2, Percentiles!$A$45:$I$59, 6, FALSE), perc_90, VLOOKUP(S$2, Percentiles!$A$45:$I$59, 7, FALSE), perc_95, VLOOKUP(S$2, Percentiles!$A$45:$I$59, 8, FALSE), perc_85, perc_75 + (perc_90 - perc_75) * (2/3), converted_stat, '2K_Ratings'!S307, IF(bbgm_stat &gt;= perc_95, converted_stat * 3, IF(bbgm_stat &gt;= perc_90, converted_stat * 2, IF(bbgm_stat &gt;= perc_85, converted_stat * 1.5, converted_stat)))))</f>
        <v/>
      </c>
      <c r="T307" s="30" t="str">
        <f t="array" ref="T307">IF($A307="", "", LET(bbgm_stat, INDEX(Players!$A306:$P306, MATCH(T$2, Players!$A$1:$P$1, 0)), perc_75, VLOOKUP(T$2, Percentiles!$A$45:$I$59, 6, FALSE), perc_90, VLOOKUP(T$2, Percentiles!$A$45:$I$59, 7, FALSE), perc_95, VLOOKUP(T$2, Percentiles!$A$45:$I$59, 8, FALSE), perc_85, perc_75 + (perc_90 - perc_75) * (2/3), converted_stat, '2K_Ratings'!T307, IF(bbgm_stat &gt;= perc_95, converted_stat * 3, IF(bbgm_stat &gt;= perc_90, converted_stat * 2, IF(bbgm_stat &gt;= perc_85, converted_stat * 1.5, converted_stat)))))</f>
        <v/>
      </c>
      <c r="U307" s="30" t="str">
        <f t="array" ref="U307">IF($A307="", "", LET(bbgm_stat, INDEX(Players!$A306:$P306, MATCH(U$2, Players!$A$1:$P$1, 0)), perc_75, VLOOKUP(U$2, Percentiles!$A$45:$I$59, 6, FALSE), perc_90, VLOOKUP(U$2, Percentiles!$A$45:$I$59, 7, FALSE), perc_95, VLOOKUP(U$2, Percentiles!$A$45:$I$59, 8, FALSE), perc_85, perc_75 + (perc_90 - perc_75) * (2/3), converted_stat, '2K_Ratings'!U307, IF(bbgm_stat &gt;= perc_95, converted_stat * 3, IF(bbgm_stat &gt;= perc_90, converted_stat * 2, IF(bbgm_stat &gt;= perc_85, converted_stat * 1.5, converted_stat)))))</f>
        <v/>
      </c>
      <c r="V307" s="30" t="str">
        <f t="array" ref="V307">IF($A307="", "", LET(bbgm_stat, INDEX(Players!$A306:$P306, MATCH(V$2, Players!$A$1:$P$1, 0)), perc_75, VLOOKUP(V$2, Percentiles!$A$45:$I$59, 6, FALSE), perc_90, VLOOKUP(V$2, Percentiles!$A$45:$I$59, 7, FALSE), perc_95, VLOOKUP(V$2, Percentiles!$A$45:$I$59, 8, FALSE), perc_85, perc_75 + (perc_90 - perc_75) * (2/3), converted_stat, '2K_Ratings'!V307, IF(bbgm_stat &gt;= perc_95, converted_stat * 3, IF(bbgm_stat &gt;= perc_90, converted_stat * 2, IF(bbgm_stat &gt;= perc_85, converted_stat * 1.5, converted_stat)))))</f>
        <v/>
      </c>
      <c r="W307" s="30" t="str">
        <f t="array" ref="W307">IF($A307="", "", LET(bbgm_stat, INDEX(Players!$A306:$P306, MATCH(W$2, Players!$A$1:$P$1, 0)), perc_75, VLOOKUP(W$2, Percentiles!$A$45:$I$59, 6, FALSE), perc_90, VLOOKUP(W$2, Percentiles!$A$45:$I$59, 7, FALSE), perc_95, VLOOKUP(W$2, Percentiles!$A$45:$I$59, 8, FALSE), perc_85, perc_75 + (perc_90 - perc_75) * (2/3), converted_stat, '2K_Ratings'!W307, IF(bbgm_stat &gt;= perc_95, converted_stat * 3, IF(bbgm_stat &gt;= perc_90, converted_stat * 2, IF(bbgm_stat &gt;= perc_85, converted_stat * 1.5, converted_stat)))))</f>
        <v/>
      </c>
    </row>
    <row r="308">
      <c r="A308" s="30"/>
      <c r="B308" s="30" t="str">
        <f t="array" ref="B308">IF($A308="", "", LET(bbgm_stat, INDEX(Players!$A307:$P307, MATCH(B$2, Players!$A$1:$P$1, 0)), perc_75, VLOOKUP(B$2, Percentiles!$A$45:$I$59, 6, FALSE), perc_90, VLOOKUP(B$2, Percentiles!$A$45:$I$59, 7, FALSE), perc_95, VLOOKUP(B$2, Percentiles!$A$45:$I$59, 8, FALSE), perc_85, perc_75 + (perc_90 - perc_75) * (2/3), converted_stat, '2K_Ratings'!B308, IF(bbgm_stat &gt;= perc_95, converted_stat * 3, IF(bbgm_stat &gt;= perc_90, converted_stat * 2, IF(bbgm_stat &gt;= perc_85, converted_stat * 1.5, converted_stat)))))</f>
        <v/>
      </c>
      <c r="C308" s="30" t="str">
        <f t="array" ref="C308">IF($A308="", "", LET(bbgm_stat, INDEX(Players!$A307:$P307, MATCH(C$2, Players!$A$1:$P$1, 0)), perc_75, VLOOKUP(C$2, Percentiles!$A$45:$I$59, 6, FALSE), perc_90, VLOOKUP(C$2, Percentiles!$A$45:$I$59, 7, FALSE), perc_95, VLOOKUP(C$2, Percentiles!$A$45:$I$59, 8, FALSE), perc_85, perc_75 + (perc_90 - perc_75) * (2/3), converted_stat, '2K_Ratings'!C308, IF(bbgm_stat &gt;= perc_95, converted_stat * 3, IF(bbgm_stat &gt;= perc_90, converted_stat * 2, IF(bbgm_stat &gt;= perc_85, converted_stat * 1.5, converted_stat)))))</f>
        <v/>
      </c>
      <c r="D308" s="30" t="str">
        <f t="array" ref="D308">IF($A308="", "", LET(bbgm_stat, INDEX(Players!$A307:$P307, MATCH(D$2, Players!$A$1:$P$1, 0)), perc_75, VLOOKUP(D$2, Percentiles!$A$45:$I$59, 6, FALSE), perc_90, VLOOKUP(D$2, Percentiles!$A$45:$I$59, 7, FALSE), perc_95, VLOOKUP(D$2, Percentiles!$A$45:$I$59, 8, FALSE), perc_85, perc_75 + (perc_90 - perc_75) * (2/3), converted_stat, '2K_Ratings'!D308, IF(bbgm_stat &gt;= perc_95, converted_stat * 3, IF(bbgm_stat &gt;= perc_90, converted_stat * 2, IF(bbgm_stat &gt;= perc_85, converted_stat * 1.5, converted_stat)))))</f>
        <v/>
      </c>
      <c r="E308" s="30" t="str">
        <f t="array" ref="E308">IF($A308="", "", LET(bbgm_stat, INDEX(Players!$A307:$P307, MATCH(E$2, Players!$A$1:$P$1, 0)), perc_75, VLOOKUP(E$2, Percentiles!$A$45:$I$59, 6, FALSE), perc_90, VLOOKUP(E$2, Percentiles!$A$45:$I$59, 7, FALSE), perc_95, VLOOKUP(E$2, Percentiles!$A$45:$I$59, 8, FALSE), perc_85, perc_75 + (perc_90 - perc_75) * (2/3), converted_stat, '2K_Ratings'!E308, IF(bbgm_stat &gt;= perc_95, converted_stat * 3, IF(bbgm_stat &gt;= perc_90, converted_stat * 2, IF(bbgm_stat &gt;= perc_85, converted_stat * 1.5, converted_stat)))))</f>
        <v/>
      </c>
      <c r="F308" s="30" t="str">
        <f t="array" ref="F308">IF($A308="", "", LET(bbgm_stat, INDEX(Players!$A307:$P307, MATCH(F$2, Players!$A$1:$P$1, 0)), perc_75, VLOOKUP(F$2, Percentiles!$A$45:$I$59, 6, FALSE), perc_90, VLOOKUP(F$2, Percentiles!$A$45:$I$59, 7, FALSE), perc_95, VLOOKUP(F$2, Percentiles!$A$45:$I$59, 8, FALSE), perc_85, perc_75 + (perc_90 - perc_75) * (2/3), converted_stat, '2K_Ratings'!F308, IF(bbgm_stat &gt;= perc_95, converted_stat * 3, IF(bbgm_stat &gt;= perc_90, converted_stat * 2, IF(bbgm_stat &gt;= perc_85, converted_stat * 1.5, converted_stat)))))</f>
        <v/>
      </c>
      <c r="G308" s="30" t="str">
        <f t="array" ref="G308">IF($A308="", "", LET(bbgm_stat, INDEX(Players!$A307:$P307, MATCH(G$2, Players!$A$1:$P$1, 0)), perc_75, VLOOKUP(G$2, Percentiles!$A$45:$I$59, 6, FALSE), perc_90, VLOOKUP(G$2, Percentiles!$A$45:$I$59, 7, FALSE), perc_95, VLOOKUP(G$2, Percentiles!$A$45:$I$59, 8, FALSE), perc_85, perc_75 + (perc_90 - perc_75) * (2/3), converted_stat, '2K_Ratings'!G308, IF(bbgm_stat &gt;= perc_95, converted_stat * 3, IF(bbgm_stat &gt;= perc_90, converted_stat * 2, IF(bbgm_stat &gt;= perc_85, converted_stat * 1.5, converted_stat)))))</f>
        <v/>
      </c>
      <c r="H308" s="30" t="str">
        <f t="array" ref="H308">IF($A308="", "", LET(bbgm_stat, INDEX(Players!$A307:$P307, MATCH(H$2, Players!$A$1:$P$1, 0)), perc_75, VLOOKUP(H$2, Percentiles!$A$45:$I$59, 6, FALSE), perc_90, VLOOKUP(H$2, Percentiles!$A$45:$I$59, 7, FALSE), perc_95, VLOOKUP(H$2, Percentiles!$A$45:$I$59, 8, FALSE), perc_85, perc_75 + (perc_90 - perc_75) * (2/3), converted_stat, '2K_Ratings'!H308, IF(bbgm_stat &gt;= perc_95, converted_stat * 3, IF(bbgm_stat &gt;= perc_90, converted_stat * 2, IF(bbgm_stat &gt;= perc_85, converted_stat * 1.5, converted_stat)))))</f>
        <v/>
      </c>
      <c r="I308" s="30" t="str">
        <f t="array" ref="I308">IF($A308="", "", LET(bbgm_stat, INDEX(Players!$A307:$P307, MATCH(I$2, Players!$A$1:$P$1, 0)), perc_75, VLOOKUP(I$2, Percentiles!$A$45:$I$59, 6, FALSE), perc_90, VLOOKUP(I$2, Percentiles!$A$45:$I$59, 7, FALSE), perc_95, VLOOKUP(I$2, Percentiles!$A$45:$I$59, 8, FALSE), perc_85, perc_75 + (perc_90 - perc_75) * (2/3), converted_stat, '2K_Ratings'!I308, IF(bbgm_stat &gt;= perc_95, converted_stat * 3, IF(bbgm_stat &gt;= perc_90, converted_stat * 2, IF(bbgm_stat &gt;= perc_85, converted_stat * 1.5, converted_stat)))))</f>
        <v/>
      </c>
      <c r="J308" s="30" t="str">
        <f t="array" ref="J308">IF($A308="", "", LET(bbgm_stat, INDEX(Players!$A307:$P307, MATCH(J$2, Players!$A$1:$P$1, 0)), perc_75, VLOOKUP(J$2, Percentiles!$A$45:$I$59, 6, FALSE), perc_90, VLOOKUP(J$2, Percentiles!$A$45:$I$59, 7, FALSE), perc_95, VLOOKUP(J$2, Percentiles!$A$45:$I$59, 8, FALSE), perc_85, perc_75 + (perc_90 - perc_75) * (2/3), converted_stat, '2K_Ratings'!J308, IF(bbgm_stat &gt;= perc_95, converted_stat * 3, IF(bbgm_stat &gt;= perc_90, converted_stat * 2, IF(bbgm_stat &gt;= perc_85, converted_stat * 1.5, converted_stat)))))</f>
        <v/>
      </c>
      <c r="K308" s="30" t="str">
        <f t="array" ref="K308">IF($A308="", "", LET(bbgm_stat, INDEX(Players!$A307:$P307, MATCH(K$2, Players!$A$1:$P$1, 0)), perc_75, VLOOKUP(K$2, Percentiles!$A$45:$I$59, 6, FALSE), perc_90, VLOOKUP(K$2, Percentiles!$A$45:$I$59, 7, FALSE), perc_95, VLOOKUP(K$2, Percentiles!$A$45:$I$59, 8, FALSE), perc_85, perc_75 + (perc_90 - perc_75) * (2/3), converted_stat, '2K_Ratings'!K308, IF(bbgm_stat &gt;= perc_95, converted_stat * 3, IF(bbgm_stat &gt;= perc_90, converted_stat * 2, IF(bbgm_stat &gt;= perc_85, converted_stat * 1.5, converted_stat)))))</f>
        <v/>
      </c>
      <c r="L308" s="30" t="str">
        <f t="array" ref="L308">IF($A308="", "", LET(bbgm_stat, INDEX(Players!$A307:$P307, MATCH(L$2, Players!$A$1:$P$1, 0)), perc_75, VLOOKUP(L$2, Percentiles!$A$45:$I$59, 6, FALSE), perc_90, VLOOKUP(L$2, Percentiles!$A$45:$I$59, 7, FALSE), perc_95, VLOOKUP(L$2, Percentiles!$A$45:$I$59, 8, FALSE), perc_85, perc_75 + (perc_90 - perc_75) * (2/3), converted_stat, '2K_Ratings'!L308, IF(bbgm_stat &gt;= perc_95, converted_stat * 3, IF(bbgm_stat &gt;= perc_90, converted_stat * 2, IF(bbgm_stat &gt;= perc_85, converted_stat * 1.5, converted_stat)))))</f>
        <v/>
      </c>
      <c r="M308" s="30" t="str">
        <f t="array" ref="M308">IF($A308="", "", LET(bbgm_stat, INDEX(Players!$A307:$P307, MATCH(M$2, Players!$A$1:$P$1, 0)), perc_75, VLOOKUP(M$2, Percentiles!$A$45:$I$59, 6, FALSE), perc_90, VLOOKUP(M$2, Percentiles!$A$45:$I$59, 7, FALSE), perc_95, VLOOKUP(M$2, Percentiles!$A$45:$I$59, 8, FALSE), perc_85, perc_75 + (perc_90 - perc_75) * (2/3), converted_stat, '2K_Ratings'!M308, IF(bbgm_stat &gt;= perc_95, converted_stat * 3, IF(bbgm_stat &gt;= perc_90, converted_stat * 2, IF(bbgm_stat &gt;= perc_85, converted_stat * 1.5, converted_stat)))))</f>
        <v/>
      </c>
      <c r="N308" s="30" t="str">
        <f t="array" ref="N308">IF($A308="", "", LET(bbgm_stat, INDEX(Players!$A307:$P307, MATCH(N$2, Players!$A$1:$P$1, 0)), perc_75, VLOOKUP(N$2, Percentiles!$A$45:$I$59, 6, FALSE), perc_90, VLOOKUP(N$2, Percentiles!$A$45:$I$59, 7, FALSE), perc_95, VLOOKUP(N$2, Percentiles!$A$45:$I$59, 8, FALSE), perc_85, perc_75 + (perc_90 - perc_75) * (2/3), converted_stat, '2K_Ratings'!N308, IF(bbgm_stat &gt;= perc_95, converted_stat * 3, IF(bbgm_stat &gt;= perc_90, converted_stat * 2, IF(bbgm_stat &gt;= perc_85, converted_stat * 1.5, converted_stat)))))</f>
        <v/>
      </c>
      <c r="O308" s="30" t="str">
        <f t="array" ref="O308">IF($A308="", "", LET(bbgm_stat, INDEX(Players!$A307:$P307, MATCH(O$2, Players!$A$1:$P$1, 0)), perc_75, VLOOKUP(O$2, Percentiles!$A$45:$I$59, 6, FALSE), perc_90, VLOOKUP(O$2, Percentiles!$A$45:$I$59, 7, FALSE), perc_95, VLOOKUP(O$2, Percentiles!$A$45:$I$59, 8, FALSE), perc_85, perc_75 + (perc_90 - perc_75) * (2/3), converted_stat, '2K_Ratings'!O308, IF(bbgm_stat &gt;= perc_95, converted_stat * 3, IF(bbgm_stat &gt;= perc_90, converted_stat * 2, IF(bbgm_stat &gt;= perc_85, converted_stat * 1.5, converted_stat)))))</f>
        <v/>
      </c>
      <c r="P308" s="30" t="str">
        <f t="array" ref="P308">IF($A308="", "", LET(bbgm_stat, INDEX(Players!$A307:$P307, MATCH(P$2, Players!$A$1:$P$1, 0)), perc_75, VLOOKUP(P$2, Percentiles!$A$45:$I$59, 6, FALSE), perc_90, VLOOKUP(P$2, Percentiles!$A$45:$I$59, 7, FALSE), perc_95, VLOOKUP(P$2, Percentiles!$A$45:$I$59, 8, FALSE), perc_85, perc_75 + (perc_90 - perc_75) * (2/3), converted_stat, '2K_Ratings'!P308, IF(bbgm_stat &gt;= perc_95, converted_stat * 3, IF(bbgm_stat &gt;= perc_90, converted_stat * 2, IF(bbgm_stat &gt;= perc_85, converted_stat * 1.5, converted_stat)))))</f>
        <v/>
      </c>
      <c r="Q308" s="30" t="str">
        <f t="array" ref="Q308">IF($A308="", "", LET(bbgm_stat, INDEX(Players!$A307:$P307, MATCH(Q$2, Players!$A$1:$P$1, 0)), perc_75, VLOOKUP(Q$2, Percentiles!$A$45:$I$59, 6, FALSE), perc_90, VLOOKUP(Q$2, Percentiles!$A$45:$I$59, 7, FALSE), perc_95, VLOOKUP(Q$2, Percentiles!$A$45:$I$59, 8, FALSE), perc_85, perc_75 + (perc_90 - perc_75) * (2/3), converted_stat, '2K_Ratings'!Q308, IF(bbgm_stat &gt;= perc_95, converted_stat * 3, IF(bbgm_stat &gt;= perc_90, converted_stat * 2, IF(bbgm_stat &gt;= perc_85, converted_stat * 1.5, converted_stat)))))</f>
        <v/>
      </c>
      <c r="R308" s="30" t="str">
        <f t="array" ref="R308">IF($A308="", "", LET(bbgm_stat, INDEX(Players!$A307:$P307, MATCH(R$2, Players!$A$1:$P$1, 0)), perc_75, VLOOKUP(R$2, Percentiles!$A$45:$I$59, 6, FALSE), perc_90, VLOOKUP(R$2, Percentiles!$A$45:$I$59, 7, FALSE), perc_95, VLOOKUP(R$2, Percentiles!$A$45:$I$59, 8, FALSE), perc_85, perc_75 + (perc_90 - perc_75) * (2/3), converted_stat, '2K_Ratings'!R308, IF(bbgm_stat &gt;= perc_95, converted_stat * 3, IF(bbgm_stat &gt;= perc_90, converted_stat * 2, IF(bbgm_stat &gt;= perc_85, converted_stat * 1.5, converted_stat)))))</f>
        <v/>
      </c>
      <c r="S308" s="30" t="str">
        <f t="array" ref="S308">IF($A308="", "", LET(bbgm_stat, INDEX(Players!$A307:$P307, MATCH(S$2, Players!$A$1:$P$1, 0)), perc_75, VLOOKUP(S$2, Percentiles!$A$45:$I$59, 6, FALSE), perc_90, VLOOKUP(S$2, Percentiles!$A$45:$I$59, 7, FALSE), perc_95, VLOOKUP(S$2, Percentiles!$A$45:$I$59, 8, FALSE), perc_85, perc_75 + (perc_90 - perc_75) * (2/3), converted_stat, '2K_Ratings'!S308, IF(bbgm_stat &gt;= perc_95, converted_stat * 3, IF(bbgm_stat &gt;= perc_90, converted_stat * 2, IF(bbgm_stat &gt;= perc_85, converted_stat * 1.5, converted_stat)))))</f>
        <v/>
      </c>
      <c r="T308" s="30" t="str">
        <f t="array" ref="T308">IF($A308="", "", LET(bbgm_stat, INDEX(Players!$A307:$P307, MATCH(T$2, Players!$A$1:$P$1, 0)), perc_75, VLOOKUP(T$2, Percentiles!$A$45:$I$59, 6, FALSE), perc_90, VLOOKUP(T$2, Percentiles!$A$45:$I$59, 7, FALSE), perc_95, VLOOKUP(T$2, Percentiles!$A$45:$I$59, 8, FALSE), perc_85, perc_75 + (perc_90 - perc_75) * (2/3), converted_stat, '2K_Ratings'!T308, IF(bbgm_stat &gt;= perc_95, converted_stat * 3, IF(bbgm_stat &gt;= perc_90, converted_stat * 2, IF(bbgm_stat &gt;= perc_85, converted_stat * 1.5, converted_stat)))))</f>
        <v/>
      </c>
      <c r="U308" s="30" t="str">
        <f t="array" ref="U308">IF($A308="", "", LET(bbgm_stat, INDEX(Players!$A307:$P307, MATCH(U$2, Players!$A$1:$P$1, 0)), perc_75, VLOOKUP(U$2, Percentiles!$A$45:$I$59, 6, FALSE), perc_90, VLOOKUP(U$2, Percentiles!$A$45:$I$59, 7, FALSE), perc_95, VLOOKUP(U$2, Percentiles!$A$45:$I$59, 8, FALSE), perc_85, perc_75 + (perc_90 - perc_75) * (2/3), converted_stat, '2K_Ratings'!U308, IF(bbgm_stat &gt;= perc_95, converted_stat * 3, IF(bbgm_stat &gt;= perc_90, converted_stat * 2, IF(bbgm_stat &gt;= perc_85, converted_stat * 1.5, converted_stat)))))</f>
        <v/>
      </c>
      <c r="V308" s="30" t="str">
        <f t="array" ref="V308">IF($A308="", "", LET(bbgm_stat, INDEX(Players!$A307:$P307, MATCH(V$2, Players!$A$1:$P$1, 0)), perc_75, VLOOKUP(V$2, Percentiles!$A$45:$I$59, 6, FALSE), perc_90, VLOOKUP(V$2, Percentiles!$A$45:$I$59, 7, FALSE), perc_95, VLOOKUP(V$2, Percentiles!$A$45:$I$59, 8, FALSE), perc_85, perc_75 + (perc_90 - perc_75) * (2/3), converted_stat, '2K_Ratings'!V308, IF(bbgm_stat &gt;= perc_95, converted_stat * 3, IF(bbgm_stat &gt;= perc_90, converted_stat * 2, IF(bbgm_stat &gt;= perc_85, converted_stat * 1.5, converted_stat)))))</f>
        <v/>
      </c>
      <c r="W308" s="30" t="str">
        <f t="array" ref="W308">IF($A308="", "", LET(bbgm_stat, INDEX(Players!$A307:$P307, MATCH(W$2, Players!$A$1:$P$1, 0)), perc_75, VLOOKUP(W$2, Percentiles!$A$45:$I$59, 6, FALSE), perc_90, VLOOKUP(W$2, Percentiles!$A$45:$I$59, 7, FALSE), perc_95, VLOOKUP(W$2, Percentiles!$A$45:$I$59, 8, FALSE), perc_85, perc_75 + (perc_90 - perc_75) * (2/3), converted_stat, '2K_Ratings'!W308, IF(bbgm_stat &gt;= perc_95, converted_stat * 3, IF(bbgm_stat &gt;= perc_90, converted_stat * 2, IF(bbgm_stat &gt;= perc_85, converted_stat * 1.5, converted_stat)))))</f>
        <v/>
      </c>
    </row>
    <row r="309">
      <c r="A309" s="30"/>
      <c r="B309" s="30" t="str">
        <f t="array" ref="B309">IF($A309="", "", LET(bbgm_stat, INDEX(Players!$A308:$P308, MATCH(B$2, Players!$A$1:$P$1, 0)), perc_75, VLOOKUP(B$2, Percentiles!$A$45:$I$59, 6, FALSE), perc_90, VLOOKUP(B$2, Percentiles!$A$45:$I$59, 7, FALSE), perc_95, VLOOKUP(B$2, Percentiles!$A$45:$I$59, 8, FALSE), perc_85, perc_75 + (perc_90 - perc_75) * (2/3), converted_stat, '2K_Ratings'!B309, IF(bbgm_stat &gt;= perc_95, converted_stat * 3, IF(bbgm_stat &gt;= perc_90, converted_stat * 2, IF(bbgm_stat &gt;= perc_85, converted_stat * 1.5, converted_stat)))))</f>
        <v/>
      </c>
      <c r="C309" s="30" t="str">
        <f t="array" ref="C309">IF($A309="", "", LET(bbgm_stat, INDEX(Players!$A308:$P308, MATCH(C$2, Players!$A$1:$P$1, 0)), perc_75, VLOOKUP(C$2, Percentiles!$A$45:$I$59, 6, FALSE), perc_90, VLOOKUP(C$2, Percentiles!$A$45:$I$59, 7, FALSE), perc_95, VLOOKUP(C$2, Percentiles!$A$45:$I$59, 8, FALSE), perc_85, perc_75 + (perc_90 - perc_75) * (2/3), converted_stat, '2K_Ratings'!C309, IF(bbgm_stat &gt;= perc_95, converted_stat * 3, IF(bbgm_stat &gt;= perc_90, converted_stat * 2, IF(bbgm_stat &gt;= perc_85, converted_stat * 1.5, converted_stat)))))</f>
        <v/>
      </c>
      <c r="D309" s="30" t="str">
        <f t="array" ref="D309">IF($A309="", "", LET(bbgm_stat, INDEX(Players!$A308:$P308, MATCH(D$2, Players!$A$1:$P$1, 0)), perc_75, VLOOKUP(D$2, Percentiles!$A$45:$I$59, 6, FALSE), perc_90, VLOOKUP(D$2, Percentiles!$A$45:$I$59, 7, FALSE), perc_95, VLOOKUP(D$2, Percentiles!$A$45:$I$59, 8, FALSE), perc_85, perc_75 + (perc_90 - perc_75) * (2/3), converted_stat, '2K_Ratings'!D309, IF(bbgm_stat &gt;= perc_95, converted_stat * 3, IF(bbgm_stat &gt;= perc_90, converted_stat * 2, IF(bbgm_stat &gt;= perc_85, converted_stat * 1.5, converted_stat)))))</f>
        <v/>
      </c>
      <c r="E309" s="30" t="str">
        <f t="array" ref="E309">IF($A309="", "", LET(bbgm_stat, INDEX(Players!$A308:$P308, MATCH(E$2, Players!$A$1:$P$1, 0)), perc_75, VLOOKUP(E$2, Percentiles!$A$45:$I$59, 6, FALSE), perc_90, VLOOKUP(E$2, Percentiles!$A$45:$I$59, 7, FALSE), perc_95, VLOOKUP(E$2, Percentiles!$A$45:$I$59, 8, FALSE), perc_85, perc_75 + (perc_90 - perc_75) * (2/3), converted_stat, '2K_Ratings'!E309, IF(bbgm_stat &gt;= perc_95, converted_stat * 3, IF(bbgm_stat &gt;= perc_90, converted_stat * 2, IF(bbgm_stat &gt;= perc_85, converted_stat * 1.5, converted_stat)))))</f>
        <v/>
      </c>
      <c r="F309" s="30" t="str">
        <f t="array" ref="F309">IF($A309="", "", LET(bbgm_stat, INDEX(Players!$A308:$P308, MATCH(F$2, Players!$A$1:$P$1, 0)), perc_75, VLOOKUP(F$2, Percentiles!$A$45:$I$59, 6, FALSE), perc_90, VLOOKUP(F$2, Percentiles!$A$45:$I$59, 7, FALSE), perc_95, VLOOKUP(F$2, Percentiles!$A$45:$I$59, 8, FALSE), perc_85, perc_75 + (perc_90 - perc_75) * (2/3), converted_stat, '2K_Ratings'!F309, IF(bbgm_stat &gt;= perc_95, converted_stat * 3, IF(bbgm_stat &gt;= perc_90, converted_stat * 2, IF(bbgm_stat &gt;= perc_85, converted_stat * 1.5, converted_stat)))))</f>
        <v/>
      </c>
      <c r="G309" s="30" t="str">
        <f t="array" ref="G309">IF($A309="", "", LET(bbgm_stat, INDEX(Players!$A308:$P308, MATCH(G$2, Players!$A$1:$P$1, 0)), perc_75, VLOOKUP(G$2, Percentiles!$A$45:$I$59, 6, FALSE), perc_90, VLOOKUP(G$2, Percentiles!$A$45:$I$59, 7, FALSE), perc_95, VLOOKUP(G$2, Percentiles!$A$45:$I$59, 8, FALSE), perc_85, perc_75 + (perc_90 - perc_75) * (2/3), converted_stat, '2K_Ratings'!G309, IF(bbgm_stat &gt;= perc_95, converted_stat * 3, IF(bbgm_stat &gt;= perc_90, converted_stat * 2, IF(bbgm_stat &gt;= perc_85, converted_stat * 1.5, converted_stat)))))</f>
        <v/>
      </c>
      <c r="H309" s="30" t="str">
        <f t="array" ref="H309">IF($A309="", "", LET(bbgm_stat, INDEX(Players!$A308:$P308, MATCH(H$2, Players!$A$1:$P$1, 0)), perc_75, VLOOKUP(H$2, Percentiles!$A$45:$I$59, 6, FALSE), perc_90, VLOOKUP(H$2, Percentiles!$A$45:$I$59, 7, FALSE), perc_95, VLOOKUP(H$2, Percentiles!$A$45:$I$59, 8, FALSE), perc_85, perc_75 + (perc_90 - perc_75) * (2/3), converted_stat, '2K_Ratings'!H309, IF(bbgm_stat &gt;= perc_95, converted_stat * 3, IF(bbgm_stat &gt;= perc_90, converted_stat * 2, IF(bbgm_stat &gt;= perc_85, converted_stat * 1.5, converted_stat)))))</f>
        <v/>
      </c>
      <c r="I309" s="30" t="str">
        <f t="array" ref="I309">IF($A309="", "", LET(bbgm_stat, INDEX(Players!$A308:$P308, MATCH(I$2, Players!$A$1:$P$1, 0)), perc_75, VLOOKUP(I$2, Percentiles!$A$45:$I$59, 6, FALSE), perc_90, VLOOKUP(I$2, Percentiles!$A$45:$I$59, 7, FALSE), perc_95, VLOOKUP(I$2, Percentiles!$A$45:$I$59, 8, FALSE), perc_85, perc_75 + (perc_90 - perc_75) * (2/3), converted_stat, '2K_Ratings'!I309, IF(bbgm_stat &gt;= perc_95, converted_stat * 3, IF(bbgm_stat &gt;= perc_90, converted_stat * 2, IF(bbgm_stat &gt;= perc_85, converted_stat * 1.5, converted_stat)))))</f>
        <v/>
      </c>
      <c r="J309" s="30" t="str">
        <f t="array" ref="J309">IF($A309="", "", LET(bbgm_stat, INDEX(Players!$A308:$P308, MATCH(J$2, Players!$A$1:$P$1, 0)), perc_75, VLOOKUP(J$2, Percentiles!$A$45:$I$59, 6, FALSE), perc_90, VLOOKUP(J$2, Percentiles!$A$45:$I$59, 7, FALSE), perc_95, VLOOKUP(J$2, Percentiles!$A$45:$I$59, 8, FALSE), perc_85, perc_75 + (perc_90 - perc_75) * (2/3), converted_stat, '2K_Ratings'!J309, IF(bbgm_stat &gt;= perc_95, converted_stat * 3, IF(bbgm_stat &gt;= perc_90, converted_stat * 2, IF(bbgm_stat &gt;= perc_85, converted_stat * 1.5, converted_stat)))))</f>
        <v/>
      </c>
      <c r="K309" s="30" t="str">
        <f t="array" ref="K309">IF($A309="", "", LET(bbgm_stat, INDEX(Players!$A308:$P308, MATCH(K$2, Players!$A$1:$P$1, 0)), perc_75, VLOOKUP(K$2, Percentiles!$A$45:$I$59, 6, FALSE), perc_90, VLOOKUP(K$2, Percentiles!$A$45:$I$59, 7, FALSE), perc_95, VLOOKUP(K$2, Percentiles!$A$45:$I$59, 8, FALSE), perc_85, perc_75 + (perc_90 - perc_75) * (2/3), converted_stat, '2K_Ratings'!K309, IF(bbgm_stat &gt;= perc_95, converted_stat * 3, IF(bbgm_stat &gt;= perc_90, converted_stat * 2, IF(bbgm_stat &gt;= perc_85, converted_stat * 1.5, converted_stat)))))</f>
        <v/>
      </c>
      <c r="L309" s="30" t="str">
        <f t="array" ref="L309">IF($A309="", "", LET(bbgm_stat, INDEX(Players!$A308:$P308, MATCH(L$2, Players!$A$1:$P$1, 0)), perc_75, VLOOKUP(L$2, Percentiles!$A$45:$I$59, 6, FALSE), perc_90, VLOOKUP(L$2, Percentiles!$A$45:$I$59, 7, FALSE), perc_95, VLOOKUP(L$2, Percentiles!$A$45:$I$59, 8, FALSE), perc_85, perc_75 + (perc_90 - perc_75) * (2/3), converted_stat, '2K_Ratings'!L309, IF(bbgm_stat &gt;= perc_95, converted_stat * 3, IF(bbgm_stat &gt;= perc_90, converted_stat * 2, IF(bbgm_stat &gt;= perc_85, converted_stat * 1.5, converted_stat)))))</f>
        <v/>
      </c>
      <c r="M309" s="30" t="str">
        <f t="array" ref="M309">IF($A309="", "", LET(bbgm_stat, INDEX(Players!$A308:$P308, MATCH(M$2, Players!$A$1:$P$1, 0)), perc_75, VLOOKUP(M$2, Percentiles!$A$45:$I$59, 6, FALSE), perc_90, VLOOKUP(M$2, Percentiles!$A$45:$I$59, 7, FALSE), perc_95, VLOOKUP(M$2, Percentiles!$A$45:$I$59, 8, FALSE), perc_85, perc_75 + (perc_90 - perc_75) * (2/3), converted_stat, '2K_Ratings'!M309, IF(bbgm_stat &gt;= perc_95, converted_stat * 3, IF(bbgm_stat &gt;= perc_90, converted_stat * 2, IF(bbgm_stat &gt;= perc_85, converted_stat * 1.5, converted_stat)))))</f>
        <v/>
      </c>
      <c r="N309" s="30" t="str">
        <f t="array" ref="N309">IF($A309="", "", LET(bbgm_stat, INDEX(Players!$A308:$P308, MATCH(N$2, Players!$A$1:$P$1, 0)), perc_75, VLOOKUP(N$2, Percentiles!$A$45:$I$59, 6, FALSE), perc_90, VLOOKUP(N$2, Percentiles!$A$45:$I$59, 7, FALSE), perc_95, VLOOKUP(N$2, Percentiles!$A$45:$I$59, 8, FALSE), perc_85, perc_75 + (perc_90 - perc_75) * (2/3), converted_stat, '2K_Ratings'!N309, IF(bbgm_stat &gt;= perc_95, converted_stat * 3, IF(bbgm_stat &gt;= perc_90, converted_stat * 2, IF(bbgm_stat &gt;= perc_85, converted_stat * 1.5, converted_stat)))))</f>
        <v/>
      </c>
      <c r="O309" s="30" t="str">
        <f t="array" ref="O309">IF($A309="", "", LET(bbgm_stat, INDEX(Players!$A308:$P308, MATCH(O$2, Players!$A$1:$P$1, 0)), perc_75, VLOOKUP(O$2, Percentiles!$A$45:$I$59, 6, FALSE), perc_90, VLOOKUP(O$2, Percentiles!$A$45:$I$59, 7, FALSE), perc_95, VLOOKUP(O$2, Percentiles!$A$45:$I$59, 8, FALSE), perc_85, perc_75 + (perc_90 - perc_75) * (2/3), converted_stat, '2K_Ratings'!O309, IF(bbgm_stat &gt;= perc_95, converted_stat * 3, IF(bbgm_stat &gt;= perc_90, converted_stat * 2, IF(bbgm_stat &gt;= perc_85, converted_stat * 1.5, converted_stat)))))</f>
        <v/>
      </c>
      <c r="P309" s="30" t="str">
        <f t="array" ref="P309">IF($A309="", "", LET(bbgm_stat, INDEX(Players!$A308:$P308, MATCH(P$2, Players!$A$1:$P$1, 0)), perc_75, VLOOKUP(P$2, Percentiles!$A$45:$I$59, 6, FALSE), perc_90, VLOOKUP(P$2, Percentiles!$A$45:$I$59, 7, FALSE), perc_95, VLOOKUP(P$2, Percentiles!$A$45:$I$59, 8, FALSE), perc_85, perc_75 + (perc_90 - perc_75) * (2/3), converted_stat, '2K_Ratings'!P309, IF(bbgm_stat &gt;= perc_95, converted_stat * 3, IF(bbgm_stat &gt;= perc_90, converted_stat * 2, IF(bbgm_stat &gt;= perc_85, converted_stat * 1.5, converted_stat)))))</f>
        <v/>
      </c>
      <c r="Q309" s="30" t="str">
        <f t="array" ref="Q309">IF($A309="", "", LET(bbgm_stat, INDEX(Players!$A308:$P308, MATCH(Q$2, Players!$A$1:$P$1, 0)), perc_75, VLOOKUP(Q$2, Percentiles!$A$45:$I$59, 6, FALSE), perc_90, VLOOKUP(Q$2, Percentiles!$A$45:$I$59, 7, FALSE), perc_95, VLOOKUP(Q$2, Percentiles!$A$45:$I$59, 8, FALSE), perc_85, perc_75 + (perc_90 - perc_75) * (2/3), converted_stat, '2K_Ratings'!Q309, IF(bbgm_stat &gt;= perc_95, converted_stat * 3, IF(bbgm_stat &gt;= perc_90, converted_stat * 2, IF(bbgm_stat &gt;= perc_85, converted_stat * 1.5, converted_stat)))))</f>
        <v/>
      </c>
      <c r="R309" s="30" t="str">
        <f t="array" ref="R309">IF($A309="", "", LET(bbgm_stat, INDEX(Players!$A308:$P308, MATCH(R$2, Players!$A$1:$P$1, 0)), perc_75, VLOOKUP(R$2, Percentiles!$A$45:$I$59, 6, FALSE), perc_90, VLOOKUP(R$2, Percentiles!$A$45:$I$59, 7, FALSE), perc_95, VLOOKUP(R$2, Percentiles!$A$45:$I$59, 8, FALSE), perc_85, perc_75 + (perc_90 - perc_75) * (2/3), converted_stat, '2K_Ratings'!R309, IF(bbgm_stat &gt;= perc_95, converted_stat * 3, IF(bbgm_stat &gt;= perc_90, converted_stat * 2, IF(bbgm_stat &gt;= perc_85, converted_stat * 1.5, converted_stat)))))</f>
        <v/>
      </c>
      <c r="S309" s="30" t="str">
        <f t="array" ref="S309">IF($A309="", "", LET(bbgm_stat, INDEX(Players!$A308:$P308, MATCH(S$2, Players!$A$1:$P$1, 0)), perc_75, VLOOKUP(S$2, Percentiles!$A$45:$I$59, 6, FALSE), perc_90, VLOOKUP(S$2, Percentiles!$A$45:$I$59, 7, FALSE), perc_95, VLOOKUP(S$2, Percentiles!$A$45:$I$59, 8, FALSE), perc_85, perc_75 + (perc_90 - perc_75) * (2/3), converted_stat, '2K_Ratings'!S309, IF(bbgm_stat &gt;= perc_95, converted_stat * 3, IF(bbgm_stat &gt;= perc_90, converted_stat * 2, IF(bbgm_stat &gt;= perc_85, converted_stat * 1.5, converted_stat)))))</f>
        <v/>
      </c>
      <c r="T309" s="30" t="str">
        <f t="array" ref="T309">IF($A309="", "", LET(bbgm_stat, INDEX(Players!$A308:$P308, MATCH(T$2, Players!$A$1:$P$1, 0)), perc_75, VLOOKUP(T$2, Percentiles!$A$45:$I$59, 6, FALSE), perc_90, VLOOKUP(T$2, Percentiles!$A$45:$I$59, 7, FALSE), perc_95, VLOOKUP(T$2, Percentiles!$A$45:$I$59, 8, FALSE), perc_85, perc_75 + (perc_90 - perc_75) * (2/3), converted_stat, '2K_Ratings'!T309, IF(bbgm_stat &gt;= perc_95, converted_stat * 3, IF(bbgm_stat &gt;= perc_90, converted_stat * 2, IF(bbgm_stat &gt;= perc_85, converted_stat * 1.5, converted_stat)))))</f>
        <v/>
      </c>
      <c r="U309" s="30" t="str">
        <f t="array" ref="U309">IF($A309="", "", LET(bbgm_stat, INDEX(Players!$A308:$P308, MATCH(U$2, Players!$A$1:$P$1, 0)), perc_75, VLOOKUP(U$2, Percentiles!$A$45:$I$59, 6, FALSE), perc_90, VLOOKUP(U$2, Percentiles!$A$45:$I$59, 7, FALSE), perc_95, VLOOKUP(U$2, Percentiles!$A$45:$I$59, 8, FALSE), perc_85, perc_75 + (perc_90 - perc_75) * (2/3), converted_stat, '2K_Ratings'!U309, IF(bbgm_stat &gt;= perc_95, converted_stat * 3, IF(bbgm_stat &gt;= perc_90, converted_stat * 2, IF(bbgm_stat &gt;= perc_85, converted_stat * 1.5, converted_stat)))))</f>
        <v/>
      </c>
      <c r="V309" s="30" t="str">
        <f t="array" ref="V309">IF($A309="", "", LET(bbgm_stat, INDEX(Players!$A308:$P308, MATCH(V$2, Players!$A$1:$P$1, 0)), perc_75, VLOOKUP(V$2, Percentiles!$A$45:$I$59, 6, FALSE), perc_90, VLOOKUP(V$2, Percentiles!$A$45:$I$59, 7, FALSE), perc_95, VLOOKUP(V$2, Percentiles!$A$45:$I$59, 8, FALSE), perc_85, perc_75 + (perc_90 - perc_75) * (2/3), converted_stat, '2K_Ratings'!V309, IF(bbgm_stat &gt;= perc_95, converted_stat * 3, IF(bbgm_stat &gt;= perc_90, converted_stat * 2, IF(bbgm_stat &gt;= perc_85, converted_stat * 1.5, converted_stat)))))</f>
        <v/>
      </c>
      <c r="W309" s="30" t="str">
        <f t="array" ref="W309">IF($A309="", "", LET(bbgm_stat, INDEX(Players!$A308:$P308, MATCH(W$2, Players!$A$1:$P$1, 0)), perc_75, VLOOKUP(W$2, Percentiles!$A$45:$I$59, 6, FALSE), perc_90, VLOOKUP(W$2, Percentiles!$A$45:$I$59, 7, FALSE), perc_95, VLOOKUP(W$2, Percentiles!$A$45:$I$59, 8, FALSE), perc_85, perc_75 + (perc_90 - perc_75) * (2/3), converted_stat, '2K_Ratings'!W309, IF(bbgm_stat &gt;= perc_95, converted_stat * 3, IF(bbgm_stat &gt;= perc_90, converted_stat * 2, IF(bbgm_stat &gt;= perc_85, converted_stat * 1.5, converted_stat)))))</f>
        <v/>
      </c>
    </row>
    <row r="310">
      <c r="A310" s="30"/>
      <c r="B310" s="30" t="str">
        <f t="array" ref="B310">IF($A310="", "", LET(bbgm_stat, INDEX(Players!$A309:$P309, MATCH(B$2, Players!$A$1:$P$1, 0)), perc_75, VLOOKUP(B$2, Percentiles!$A$45:$I$59, 6, FALSE), perc_90, VLOOKUP(B$2, Percentiles!$A$45:$I$59, 7, FALSE), perc_95, VLOOKUP(B$2, Percentiles!$A$45:$I$59, 8, FALSE), perc_85, perc_75 + (perc_90 - perc_75) * (2/3), converted_stat, '2K_Ratings'!B310, IF(bbgm_stat &gt;= perc_95, converted_stat * 3, IF(bbgm_stat &gt;= perc_90, converted_stat * 2, IF(bbgm_stat &gt;= perc_85, converted_stat * 1.5, converted_stat)))))</f>
        <v/>
      </c>
      <c r="C310" s="30" t="str">
        <f t="array" ref="C310">IF($A310="", "", LET(bbgm_stat, INDEX(Players!$A309:$P309, MATCH(C$2, Players!$A$1:$P$1, 0)), perc_75, VLOOKUP(C$2, Percentiles!$A$45:$I$59, 6, FALSE), perc_90, VLOOKUP(C$2, Percentiles!$A$45:$I$59, 7, FALSE), perc_95, VLOOKUP(C$2, Percentiles!$A$45:$I$59, 8, FALSE), perc_85, perc_75 + (perc_90 - perc_75) * (2/3), converted_stat, '2K_Ratings'!C310, IF(bbgm_stat &gt;= perc_95, converted_stat * 3, IF(bbgm_stat &gt;= perc_90, converted_stat * 2, IF(bbgm_stat &gt;= perc_85, converted_stat * 1.5, converted_stat)))))</f>
        <v/>
      </c>
      <c r="D310" s="30" t="str">
        <f t="array" ref="D310">IF($A310="", "", LET(bbgm_stat, INDEX(Players!$A309:$P309, MATCH(D$2, Players!$A$1:$P$1, 0)), perc_75, VLOOKUP(D$2, Percentiles!$A$45:$I$59, 6, FALSE), perc_90, VLOOKUP(D$2, Percentiles!$A$45:$I$59, 7, FALSE), perc_95, VLOOKUP(D$2, Percentiles!$A$45:$I$59, 8, FALSE), perc_85, perc_75 + (perc_90 - perc_75) * (2/3), converted_stat, '2K_Ratings'!D310, IF(bbgm_stat &gt;= perc_95, converted_stat * 3, IF(bbgm_stat &gt;= perc_90, converted_stat * 2, IF(bbgm_stat &gt;= perc_85, converted_stat * 1.5, converted_stat)))))</f>
        <v/>
      </c>
      <c r="E310" s="30" t="str">
        <f t="array" ref="E310">IF($A310="", "", LET(bbgm_stat, INDEX(Players!$A309:$P309, MATCH(E$2, Players!$A$1:$P$1, 0)), perc_75, VLOOKUP(E$2, Percentiles!$A$45:$I$59, 6, FALSE), perc_90, VLOOKUP(E$2, Percentiles!$A$45:$I$59, 7, FALSE), perc_95, VLOOKUP(E$2, Percentiles!$A$45:$I$59, 8, FALSE), perc_85, perc_75 + (perc_90 - perc_75) * (2/3), converted_stat, '2K_Ratings'!E310, IF(bbgm_stat &gt;= perc_95, converted_stat * 3, IF(bbgm_stat &gt;= perc_90, converted_stat * 2, IF(bbgm_stat &gt;= perc_85, converted_stat * 1.5, converted_stat)))))</f>
        <v/>
      </c>
      <c r="F310" s="30" t="str">
        <f t="array" ref="F310">IF($A310="", "", LET(bbgm_stat, INDEX(Players!$A309:$P309, MATCH(F$2, Players!$A$1:$P$1, 0)), perc_75, VLOOKUP(F$2, Percentiles!$A$45:$I$59, 6, FALSE), perc_90, VLOOKUP(F$2, Percentiles!$A$45:$I$59, 7, FALSE), perc_95, VLOOKUP(F$2, Percentiles!$A$45:$I$59, 8, FALSE), perc_85, perc_75 + (perc_90 - perc_75) * (2/3), converted_stat, '2K_Ratings'!F310, IF(bbgm_stat &gt;= perc_95, converted_stat * 3, IF(bbgm_stat &gt;= perc_90, converted_stat * 2, IF(bbgm_stat &gt;= perc_85, converted_stat * 1.5, converted_stat)))))</f>
        <v/>
      </c>
      <c r="G310" s="30" t="str">
        <f t="array" ref="G310">IF($A310="", "", LET(bbgm_stat, INDEX(Players!$A309:$P309, MATCH(G$2, Players!$A$1:$P$1, 0)), perc_75, VLOOKUP(G$2, Percentiles!$A$45:$I$59, 6, FALSE), perc_90, VLOOKUP(G$2, Percentiles!$A$45:$I$59, 7, FALSE), perc_95, VLOOKUP(G$2, Percentiles!$A$45:$I$59, 8, FALSE), perc_85, perc_75 + (perc_90 - perc_75) * (2/3), converted_stat, '2K_Ratings'!G310, IF(bbgm_stat &gt;= perc_95, converted_stat * 3, IF(bbgm_stat &gt;= perc_90, converted_stat * 2, IF(bbgm_stat &gt;= perc_85, converted_stat * 1.5, converted_stat)))))</f>
        <v/>
      </c>
      <c r="H310" s="30" t="str">
        <f t="array" ref="H310">IF($A310="", "", LET(bbgm_stat, INDEX(Players!$A309:$P309, MATCH(H$2, Players!$A$1:$P$1, 0)), perc_75, VLOOKUP(H$2, Percentiles!$A$45:$I$59, 6, FALSE), perc_90, VLOOKUP(H$2, Percentiles!$A$45:$I$59, 7, FALSE), perc_95, VLOOKUP(H$2, Percentiles!$A$45:$I$59, 8, FALSE), perc_85, perc_75 + (perc_90 - perc_75) * (2/3), converted_stat, '2K_Ratings'!H310, IF(bbgm_stat &gt;= perc_95, converted_stat * 3, IF(bbgm_stat &gt;= perc_90, converted_stat * 2, IF(bbgm_stat &gt;= perc_85, converted_stat * 1.5, converted_stat)))))</f>
        <v/>
      </c>
      <c r="I310" s="30" t="str">
        <f t="array" ref="I310">IF($A310="", "", LET(bbgm_stat, INDEX(Players!$A309:$P309, MATCH(I$2, Players!$A$1:$P$1, 0)), perc_75, VLOOKUP(I$2, Percentiles!$A$45:$I$59, 6, FALSE), perc_90, VLOOKUP(I$2, Percentiles!$A$45:$I$59, 7, FALSE), perc_95, VLOOKUP(I$2, Percentiles!$A$45:$I$59, 8, FALSE), perc_85, perc_75 + (perc_90 - perc_75) * (2/3), converted_stat, '2K_Ratings'!I310, IF(bbgm_stat &gt;= perc_95, converted_stat * 3, IF(bbgm_stat &gt;= perc_90, converted_stat * 2, IF(bbgm_stat &gt;= perc_85, converted_stat * 1.5, converted_stat)))))</f>
        <v/>
      </c>
      <c r="J310" s="30" t="str">
        <f t="array" ref="J310">IF($A310="", "", LET(bbgm_stat, INDEX(Players!$A309:$P309, MATCH(J$2, Players!$A$1:$P$1, 0)), perc_75, VLOOKUP(J$2, Percentiles!$A$45:$I$59, 6, FALSE), perc_90, VLOOKUP(J$2, Percentiles!$A$45:$I$59, 7, FALSE), perc_95, VLOOKUP(J$2, Percentiles!$A$45:$I$59, 8, FALSE), perc_85, perc_75 + (perc_90 - perc_75) * (2/3), converted_stat, '2K_Ratings'!J310, IF(bbgm_stat &gt;= perc_95, converted_stat * 3, IF(bbgm_stat &gt;= perc_90, converted_stat * 2, IF(bbgm_stat &gt;= perc_85, converted_stat * 1.5, converted_stat)))))</f>
        <v/>
      </c>
      <c r="K310" s="30" t="str">
        <f t="array" ref="K310">IF($A310="", "", LET(bbgm_stat, INDEX(Players!$A309:$P309, MATCH(K$2, Players!$A$1:$P$1, 0)), perc_75, VLOOKUP(K$2, Percentiles!$A$45:$I$59, 6, FALSE), perc_90, VLOOKUP(K$2, Percentiles!$A$45:$I$59, 7, FALSE), perc_95, VLOOKUP(K$2, Percentiles!$A$45:$I$59, 8, FALSE), perc_85, perc_75 + (perc_90 - perc_75) * (2/3), converted_stat, '2K_Ratings'!K310, IF(bbgm_stat &gt;= perc_95, converted_stat * 3, IF(bbgm_stat &gt;= perc_90, converted_stat * 2, IF(bbgm_stat &gt;= perc_85, converted_stat * 1.5, converted_stat)))))</f>
        <v/>
      </c>
      <c r="L310" s="30" t="str">
        <f t="array" ref="L310">IF($A310="", "", LET(bbgm_stat, INDEX(Players!$A309:$P309, MATCH(L$2, Players!$A$1:$P$1, 0)), perc_75, VLOOKUP(L$2, Percentiles!$A$45:$I$59, 6, FALSE), perc_90, VLOOKUP(L$2, Percentiles!$A$45:$I$59, 7, FALSE), perc_95, VLOOKUP(L$2, Percentiles!$A$45:$I$59, 8, FALSE), perc_85, perc_75 + (perc_90 - perc_75) * (2/3), converted_stat, '2K_Ratings'!L310, IF(bbgm_stat &gt;= perc_95, converted_stat * 3, IF(bbgm_stat &gt;= perc_90, converted_stat * 2, IF(bbgm_stat &gt;= perc_85, converted_stat * 1.5, converted_stat)))))</f>
        <v/>
      </c>
      <c r="M310" s="30" t="str">
        <f t="array" ref="M310">IF($A310="", "", LET(bbgm_stat, INDEX(Players!$A309:$P309, MATCH(M$2, Players!$A$1:$P$1, 0)), perc_75, VLOOKUP(M$2, Percentiles!$A$45:$I$59, 6, FALSE), perc_90, VLOOKUP(M$2, Percentiles!$A$45:$I$59, 7, FALSE), perc_95, VLOOKUP(M$2, Percentiles!$A$45:$I$59, 8, FALSE), perc_85, perc_75 + (perc_90 - perc_75) * (2/3), converted_stat, '2K_Ratings'!M310, IF(bbgm_stat &gt;= perc_95, converted_stat * 3, IF(bbgm_stat &gt;= perc_90, converted_stat * 2, IF(bbgm_stat &gt;= perc_85, converted_stat * 1.5, converted_stat)))))</f>
        <v/>
      </c>
      <c r="N310" s="30" t="str">
        <f t="array" ref="N310">IF($A310="", "", LET(bbgm_stat, INDEX(Players!$A309:$P309, MATCH(N$2, Players!$A$1:$P$1, 0)), perc_75, VLOOKUP(N$2, Percentiles!$A$45:$I$59, 6, FALSE), perc_90, VLOOKUP(N$2, Percentiles!$A$45:$I$59, 7, FALSE), perc_95, VLOOKUP(N$2, Percentiles!$A$45:$I$59, 8, FALSE), perc_85, perc_75 + (perc_90 - perc_75) * (2/3), converted_stat, '2K_Ratings'!N310, IF(bbgm_stat &gt;= perc_95, converted_stat * 3, IF(bbgm_stat &gt;= perc_90, converted_stat * 2, IF(bbgm_stat &gt;= perc_85, converted_stat * 1.5, converted_stat)))))</f>
        <v/>
      </c>
      <c r="O310" s="30" t="str">
        <f t="array" ref="O310">IF($A310="", "", LET(bbgm_stat, INDEX(Players!$A309:$P309, MATCH(O$2, Players!$A$1:$P$1, 0)), perc_75, VLOOKUP(O$2, Percentiles!$A$45:$I$59, 6, FALSE), perc_90, VLOOKUP(O$2, Percentiles!$A$45:$I$59, 7, FALSE), perc_95, VLOOKUP(O$2, Percentiles!$A$45:$I$59, 8, FALSE), perc_85, perc_75 + (perc_90 - perc_75) * (2/3), converted_stat, '2K_Ratings'!O310, IF(bbgm_stat &gt;= perc_95, converted_stat * 3, IF(bbgm_stat &gt;= perc_90, converted_stat * 2, IF(bbgm_stat &gt;= perc_85, converted_stat * 1.5, converted_stat)))))</f>
        <v/>
      </c>
      <c r="P310" s="30" t="str">
        <f t="array" ref="P310">IF($A310="", "", LET(bbgm_stat, INDEX(Players!$A309:$P309, MATCH(P$2, Players!$A$1:$P$1, 0)), perc_75, VLOOKUP(P$2, Percentiles!$A$45:$I$59, 6, FALSE), perc_90, VLOOKUP(P$2, Percentiles!$A$45:$I$59, 7, FALSE), perc_95, VLOOKUP(P$2, Percentiles!$A$45:$I$59, 8, FALSE), perc_85, perc_75 + (perc_90 - perc_75) * (2/3), converted_stat, '2K_Ratings'!P310, IF(bbgm_stat &gt;= perc_95, converted_stat * 3, IF(bbgm_stat &gt;= perc_90, converted_stat * 2, IF(bbgm_stat &gt;= perc_85, converted_stat * 1.5, converted_stat)))))</f>
        <v/>
      </c>
      <c r="Q310" s="30" t="str">
        <f t="array" ref="Q310">IF($A310="", "", LET(bbgm_stat, INDEX(Players!$A309:$P309, MATCH(Q$2, Players!$A$1:$P$1, 0)), perc_75, VLOOKUP(Q$2, Percentiles!$A$45:$I$59, 6, FALSE), perc_90, VLOOKUP(Q$2, Percentiles!$A$45:$I$59, 7, FALSE), perc_95, VLOOKUP(Q$2, Percentiles!$A$45:$I$59, 8, FALSE), perc_85, perc_75 + (perc_90 - perc_75) * (2/3), converted_stat, '2K_Ratings'!Q310, IF(bbgm_stat &gt;= perc_95, converted_stat * 3, IF(bbgm_stat &gt;= perc_90, converted_stat * 2, IF(bbgm_stat &gt;= perc_85, converted_stat * 1.5, converted_stat)))))</f>
        <v/>
      </c>
      <c r="R310" s="30" t="str">
        <f t="array" ref="R310">IF($A310="", "", LET(bbgm_stat, INDEX(Players!$A309:$P309, MATCH(R$2, Players!$A$1:$P$1, 0)), perc_75, VLOOKUP(R$2, Percentiles!$A$45:$I$59, 6, FALSE), perc_90, VLOOKUP(R$2, Percentiles!$A$45:$I$59, 7, FALSE), perc_95, VLOOKUP(R$2, Percentiles!$A$45:$I$59, 8, FALSE), perc_85, perc_75 + (perc_90 - perc_75) * (2/3), converted_stat, '2K_Ratings'!R310, IF(bbgm_stat &gt;= perc_95, converted_stat * 3, IF(bbgm_stat &gt;= perc_90, converted_stat * 2, IF(bbgm_stat &gt;= perc_85, converted_stat * 1.5, converted_stat)))))</f>
        <v/>
      </c>
      <c r="S310" s="30" t="str">
        <f t="array" ref="S310">IF($A310="", "", LET(bbgm_stat, INDEX(Players!$A309:$P309, MATCH(S$2, Players!$A$1:$P$1, 0)), perc_75, VLOOKUP(S$2, Percentiles!$A$45:$I$59, 6, FALSE), perc_90, VLOOKUP(S$2, Percentiles!$A$45:$I$59, 7, FALSE), perc_95, VLOOKUP(S$2, Percentiles!$A$45:$I$59, 8, FALSE), perc_85, perc_75 + (perc_90 - perc_75) * (2/3), converted_stat, '2K_Ratings'!S310, IF(bbgm_stat &gt;= perc_95, converted_stat * 3, IF(bbgm_stat &gt;= perc_90, converted_stat * 2, IF(bbgm_stat &gt;= perc_85, converted_stat * 1.5, converted_stat)))))</f>
        <v/>
      </c>
      <c r="T310" s="30" t="str">
        <f t="array" ref="T310">IF($A310="", "", LET(bbgm_stat, INDEX(Players!$A309:$P309, MATCH(T$2, Players!$A$1:$P$1, 0)), perc_75, VLOOKUP(T$2, Percentiles!$A$45:$I$59, 6, FALSE), perc_90, VLOOKUP(T$2, Percentiles!$A$45:$I$59, 7, FALSE), perc_95, VLOOKUP(T$2, Percentiles!$A$45:$I$59, 8, FALSE), perc_85, perc_75 + (perc_90 - perc_75) * (2/3), converted_stat, '2K_Ratings'!T310, IF(bbgm_stat &gt;= perc_95, converted_stat * 3, IF(bbgm_stat &gt;= perc_90, converted_stat * 2, IF(bbgm_stat &gt;= perc_85, converted_stat * 1.5, converted_stat)))))</f>
        <v/>
      </c>
      <c r="U310" s="30" t="str">
        <f t="array" ref="U310">IF($A310="", "", LET(bbgm_stat, INDEX(Players!$A309:$P309, MATCH(U$2, Players!$A$1:$P$1, 0)), perc_75, VLOOKUP(U$2, Percentiles!$A$45:$I$59, 6, FALSE), perc_90, VLOOKUP(U$2, Percentiles!$A$45:$I$59, 7, FALSE), perc_95, VLOOKUP(U$2, Percentiles!$A$45:$I$59, 8, FALSE), perc_85, perc_75 + (perc_90 - perc_75) * (2/3), converted_stat, '2K_Ratings'!U310, IF(bbgm_stat &gt;= perc_95, converted_stat * 3, IF(bbgm_stat &gt;= perc_90, converted_stat * 2, IF(bbgm_stat &gt;= perc_85, converted_stat * 1.5, converted_stat)))))</f>
        <v/>
      </c>
      <c r="V310" s="30" t="str">
        <f t="array" ref="V310">IF($A310="", "", LET(bbgm_stat, INDEX(Players!$A309:$P309, MATCH(V$2, Players!$A$1:$P$1, 0)), perc_75, VLOOKUP(V$2, Percentiles!$A$45:$I$59, 6, FALSE), perc_90, VLOOKUP(V$2, Percentiles!$A$45:$I$59, 7, FALSE), perc_95, VLOOKUP(V$2, Percentiles!$A$45:$I$59, 8, FALSE), perc_85, perc_75 + (perc_90 - perc_75) * (2/3), converted_stat, '2K_Ratings'!V310, IF(bbgm_stat &gt;= perc_95, converted_stat * 3, IF(bbgm_stat &gt;= perc_90, converted_stat * 2, IF(bbgm_stat &gt;= perc_85, converted_stat * 1.5, converted_stat)))))</f>
        <v/>
      </c>
      <c r="W310" s="30" t="str">
        <f t="array" ref="W310">IF($A310="", "", LET(bbgm_stat, INDEX(Players!$A309:$P309, MATCH(W$2, Players!$A$1:$P$1, 0)), perc_75, VLOOKUP(W$2, Percentiles!$A$45:$I$59, 6, FALSE), perc_90, VLOOKUP(W$2, Percentiles!$A$45:$I$59, 7, FALSE), perc_95, VLOOKUP(W$2, Percentiles!$A$45:$I$59, 8, FALSE), perc_85, perc_75 + (perc_90 - perc_75) * (2/3), converted_stat, '2K_Ratings'!W310, IF(bbgm_stat &gt;= perc_95, converted_stat * 3, IF(bbgm_stat &gt;= perc_90, converted_stat * 2, IF(bbgm_stat &gt;= perc_85, converted_stat * 1.5, converted_stat)))))</f>
        <v/>
      </c>
    </row>
    <row r="311">
      <c r="A311" s="30"/>
      <c r="B311" s="30" t="str">
        <f t="array" ref="B311">IF($A311="", "", LET(bbgm_stat, INDEX(Players!$A310:$P310, MATCH(B$2, Players!$A$1:$P$1, 0)), perc_75, VLOOKUP(B$2, Percentiles!$A$45:$I$59, 6, FALSE), perc_90, VLOOKUP(B$2, Percentiles!$A$45:$I$59, 7, FALSE), perc_95, VLOOKUP(B$2, Percentiles!$A$45:$I$59, 8, FALSE), perc_85, perc_75 + (perc_90 - perc_75) * (2/3), converted_stat, '2K_Ratings'!B311, IF(bbgm_stat &gt;= perc_95, converted_stat * 3, IF(bbgm_stat &gt;= perc_90, converted_stat * 2, IF(bbgm_stat &gt;= perc_85, converted_stat * 1.5, converted_stat)))))</f>
        <v/>
      </c>
      <c r="C311" s="30" t="str">
        <f t="array" ref="C311">IF($A311="", "", LET(bbgm_stat, INDEX(Players!$A310:$P310, MATCH(C$2, Players!$A$1:$P$1, 0)), perc_75, VLOOKUP(C$2, Percentiles!$A$45:$I$59, 6, FALSE), perc_90, VLOOKUP(C$2, Percentiles!$A$45:$I$59, 7, FALSE), perc_95, VLOOKUP(C$2, Percentiles!$A$45:$I$59, 8, FALSE), perc_85, perc_75 + (perc_90 - perc_75) * (2/3), converted_stat, '2K_Ratings'!C311, IF(bbgm_stat &gt;= perc_95, converted_stat * 3, IF(bbgm_stat &gt;= perc_90, converted_stat * 2, IF(bbgm_stat &gt;= perc_85, converted_stat * 1.5, converted_stat)))))</f>
        <v/>
      </c>
      <c r="D311" s="30" t="str">
        <f t="array" ref="D311">IF($A311="", "", LET(bbgm_stat, INDEX(Players!$A310:$P310, MATCH(D$2, Players!$A$1:$P$1, 0)), perc_75, VLOOKUP(D$2, Percentiles!$A$45:$I$59, 6, FALSE), perc_90, VLOOKUP(D$2, Percentiles!$A$45:$I$59, 7, FALSE), perc_95, VLOOKUP(D$2, Percentiles!$A$45:$I$59, 8, FALSE), perc_85, perc_75 + (perc_90 - perc_75) * (2/3), converted_stat, '2K_Ratings'!D311, IF(bbgm_stat &gt;= perc_95, converted_stat * 3, IF(bbgm_stat &gt;= perc_90, converted_stat * 2, IF(bbgm_stat &gt;= perc_85, converted_stat * 1.5, converted_stat)))))</f>
        <v/>
      </c>
      <c r="E311" s="30" t="str">
        <f t="array" ref="E311">IF($A311="", "", LET(bbgm_stat, INDEX(Players!$A310:$P310, MATCH(E$2, Players!$A$1:$P$1, 0)), perc_75, VLOOKUP(E$2, Percentiles!$A$45:$I$59, 6, FALSE), perc_90, VLOOKUP(E$2, Percentiles!$A$45:$I$59, 7, FALSE), perc_95, VLOOKUP(E$2, Percentiles!$A$45:$I$59, 8, FALSE), perc_85, perc_75 + (perc_90 - perc_75) * (2/3), converted_stat, '2K_Ratings'!E311, IF(bbgm_stat &gt;= perc_95, converted_stat * 3, IF(bbgm_stat &gt;= perc_90, converted_stat * 2, IF(bbgm_stat &gt;= perc_85, converted_stat * 1.5, converted_stat)))))</f>
        <v/>
      </c>
      <c r="F311" s="30" t="str">
        <f t="array" ref="F311">IF($A311="", "", LET(bbgm_stat, INDEX(Players!$A310:$P310, MATCH(F$2, Players!$A$1:$P$1, 0)), perc_75, VLOOKUP(F$2, Percentiles!$A$45:$I$59, 6, FALSE), perc_90, VLOOKUP(F$2, Percentiles!$A$45:$I$59, 7, FALSE), perc_95, VLOOKUP(F$2, Percentiles!$A$45:$I$59, 8, FALSE), perc_85, perc_75 + (perc_90 - perc_75) * (2/3), converted_stat, '2K_Ratings'!F311, IF(bbgm_stat &gt;= perc_95, converted_stat * 3, IF(bbgm_stat &gt;= perc_90, converted_stat * 2, IF(bbgm_stat &gt;= perc_85, converted_stat * 1.5, converted_stat)))))</f>
        <v/>
      </c>
      <c r="G311" s="30" t="str">
        <f t="array" ref="G311">IF($A311="", "", LET(bbgm_stat, INDEX(Players!$A310:$P310, MATCH(G$2, Players!$A$1:$P$1, 0)), perc_75, VLOOKUP(G$2, Percentiles!$A$45:$I$59, 6, FALSE), perc_90, VLOOKUP(G$2, Percentiles!$A$45:$I$59, 7, FALSE), perc_95, VLOOKUP(G$2, Percentiles!$A$45:$I$59, 8, FALSE), perc_85, perc_75 + (perc_90 - perc_75) * (2/3), converted_stat, '2K_Ratings'!G311, IF(bbgm_stat &gt;= perc_95, converted_stat * 3, IF(bbgm_stat &gt;= perc_90, converted_stat * 2, IF(bbgm_stat &gt;= perc_85, converted_stat * 1.5, converted_stat)))))</f>
        <v/>
      </c>
      <c r="H311" s="30" t="str">
        <f t="array" ref="H311">IF($A311="", "", LET(bbgm_stat, INDEX(Players!$A310:$P310, MATCH(H$2, Players!$A$1:$P$1, 0)), perc_75, VLOOKUP(H$2, Percentiles!$A$45:$I$59, 6, FALSE), perc_90, VLOOKUP(H$2, Percentiles!$A$45:$I$59, 7, FALSE), perc_95, VLOOKUP(H$2, Percentiles!$A$45:$I$59, 8, FALSE), perc_85, perc_75 + (perc_90 - perc_75) * (2/3), converted_stat, '2K_Ratings'!H311, IF(bbgm_stat &gt;= perc_95, converted_stat * 3, IF(bbgm_stat &gt;= perc_90, converted_stat * 2, IF(bbgm_stat &gt;= perc_85, converted_stat * 1.5, converted_stat)))))</f>
        <v/>
      </c>
      <c r="I311" s="30" t="str">
        <f t="array" ref="I311">IF($A311="", "", LET(bbgm_stat, INDEX(Players!$A310:$P310, MATCH(I$2, Players!$A$1:$P$1, 0)), perc_75, VLOOKUP(I$2, Percentiles!$A$45:$I$59, 6, FALSE), perc_90, VLOOKUP(I$2, Percentiles!$A$45:$I$59, 7, FALSE), perc_95, VLOOKUP(I$2, Percentiles!$A$45:$I$59, 8, FALSE), perc_85, perc_75 + (perc_90 - perc_75) * (2/3), converted_stat, '2K_Ratings'!I311, IF(bbgm_stat &gt;= perc_95, converted_stat * 3, IF(bbgm_stat &gt;= perc_90, converted_stat * 2, IF(bbgm_stat &gt;= perc_85, converted_stat * 1.5, converted_stat)))))</f>
        <v/>
      </c>
      <c r="J311" s="30" t="str">
        <f t="array" ref="J311">IF($A311="", "", LET(bbgm_stat, INDEX(Players!$A310:$P310, MATCH(J$2, Players!$A$1:$P$1, 0)), perc_75, VLOOKUP(J$2, Percentiles!$A$45:$I$59, 6, FALSE), perc_90, VLOOKUP(J$2, Percentiles!$A$45:$I$59, 7, FALSE), perc_95, VLOOKUP(J$2, Percentiles!$A$45:$I$59, 8, FALSE), perc_85, perc_75 + (perc_90 - perc_75) * (2/3), converted_stat, '2K_Ratings'!J311, IF(bbgm_stat &gt;= perc_95, converted_stat * 3, IF(bbgm_stat &gt;= perc_90, converted_stat * 2, IF(bbgm_stat &gt;= perc_85, converted_stat * 1.5, converted_stat)))))</f>
        <v/>
      </c>
      <c r="K311" s="30" t="str">
        <f t="array" ref="K311">IF($A311="", "", LET(bbgm_stat, INDEX(Players!$A310:$P310, MATCH(K$2, Players!$A$1:$P$1, 0)), perc_75, VLOOKUP(K$2, Percentiles!$A$45:$I$59, 6, FALSE), perc_90, VLOOKUP(K$2, Percentiles!$A$45:$I$59, 7, FALSE), perc_95, VLOOKUP(K$2, Percentiles!$A$45:$I$59, 8, FALSE), perc_85, perc_75 + (perc_90 - perc_75) * (2/3), converted_stat, '2K_Ratings'!K311, IF(bbgm_stat &gt;= perc_95, converted_stat * 3, IF(bbgm_stat &gt;= perc_90, converted_stat * 2, IF(bbgm_stat &gt;= perc_85, converted_stat * 1.5, converted_stat)))))</f>
        <v/>
      </c>
      <c r="L311" s="30" t="str">
        <f t="array" ref="L311">IF($A311="", "", LET(bbgm_stat, INDEX(Players!$A310:$P310, MATCH(L$2, Players!$A$1:$P$1, 0)), perc_75, VLOOKUP(L$2, Percentiles!$A$45:$I$59, 6, FALSE), perc_90, VLOOKUP(L$2, Percentiles!$A$45:$I$59, 7, FALSE), perc_95, VLOOKUP(L$2, Percentiles!$A$45:$I$59, 8, FALSE), perc_85, perc_75 + (perc_90 - perc_75) * (2/3), converted_stat, '2K_Ratings'!L311, IF(bbgm_stat &gt;= perc_95, converted_stat * 3, IF(bbgm_stat &gt;= perc_90, converted_stat * 2, IF(bbgm_stat &gt;= perc_85, converted_stat * 1.5, converted_stat)))))</f>
        <v/>
      </c>
      <c r="M311" s="30" t="str">
        <f t="array" ref="M311">IF($A311="", "", LET(bbgm_stat, INDEX(Players!$A310:$P310, MATCH(M$2, Players!$A$1:$P$1, 0)), perc_75, VLOOKUP(M$2, Percentiles!$A$45:$I$59, 6, FALSE), perc_90, VLOOKUP(M$2, Percentiles!$A$45:$I$59, 7, FALSE), perc_95, VLOOKUP(M$2, Percentiles!$A$45:$I$59, 8, FALSE), perc_85, perc_75 + (perc_90 - perc_75) * (2/3), converted_stat, '2K_Ratings'!M311, IF(bbgm_stat &gt;= perc_95, converted_stat * 3, IF(bbgm_stat &gt;= perc_90, converted_stat * 2, IF(bbgm_stat &gt;= perc_85, converted_stat * 1.5, converted_stat)))))</f>
        <v/>
      </c>
      <c r="N311" s="30" t="str">
        <f t="array" ref="N311">IF($A311="", "", LET(bbgm_stat, INDEX(Players!$A310:$P310, MATCH(N$2, Players!$A$1:$P$1, 0)), perc_75, VLOOKUP(N$2, Percentiles!$A$45:$I$59, 6, FALSE), perc_90, VLOOKUP(N$2, Percentiles!$A$45:$I$59, 7, FALSE), perc_95, VLOOKUP(N$2, Percentiles!$A$45:$I$59, 8, FALSE), perc_85, perc_75 + (perc_90 - perc_75) * (2/3), converted_stat, '2K_Ratings'!N311, IF(bbgm_stat &gt;= perc_95, converted_stat * 3, IF(bbgm_stat &gt;= perc_90, converted_stat * 2, IF(bbgm_stat &gt;= perc_85, converted_stat * 1.5, converted_stat)))))</f>
        <v/>
      </c>
      <c r="O311" s="30" t="str">
        <f t="array" ref="O311">IF($A311="", "", LET(bbgm_stat, INDEX(Players!$A310:$P310, MATCH(O$2, Players!$A$1:$P$1, 0)), perc_75, VLOOKUP(O$2, Percentiles!$A$45:$I$59, 6, FALSE), perc_90, VLOOKUP(O$2, Percentiles!$A$45:$I$59, 7, FALSE), perc_95, VLOOKUP(O$2, Percentiles!$A$45:$I$59, 8, FALSE), perc_85, perc_75 + (perc_90 - perc_75) * (2/3), converted_stat, '2K_Ratings'!O311, IF(bbgm_stat &gt;= perc_95, converted_stat * 3, IF(bbgm_stat &gt;= perc_90, converted_stat * 2, IF(bbgm_stat &gt;= perc_85, converted_stat * 1.5, converted_stat)))))</f>
        <v/>
      </c>
      <c r="P311" s="30" t="str">
        <f t="array" ref="P311">IF($A311="", "", LET(bbgm_stat, INDEX(Players!$A310:$P310, MATCH(P$2, Players!$A$1:$P$1, 0)), perc_75, VLOOKUP(P$2, Percentiles!$A$45:$I$59, 6, FALSE), perc_90, VLOOKUP(P$2, Percentiles!$A$45:$I$59, 7, FALSE), perc_95, VLOOKUP(P$2, Percentiles!$A$45:$I$59, 8, FALSE), perc_85, perc_75 + (perc_90 - perc_75) * (2/3), converted_stat, '2K_Ratings'!P311, IF(bbgm_stat &gt;= perc_95, converted_stat * 3, IF(bbgm_stat &gt;= perc_90, converted_stat * 2, IF(bbgm_stat &gt;= perc_85, converted_stat * 1.5, converted_stat)))))</f>
        <v/>
      </c>
      <c r="Q311" s="30" t="str">
        <f t="array" ref="Q311">IF($A311="", "", LET(bbgm_stat, INDEX(Players!$A310:$P310, MATCH(Q$2, Players!$A$1:$P$1, 0)), perc_75, VLOOKUP(Q$2, Percentiles!$A$45:$I$59, 6, FALSE), perc_90, VLOOKUP(Q$2, Percentiles!$A$45:$I$59, 7, FALSE), perc_95, VLOOKUP(Q$2, Percentiles!$A$45:$I$59, 8, FALSE), perc_85, perc_75 + (perc_90 - perc_75) * (2/3), converted_stat, '2K_Ratings'!Q311, IF(bbgm_stat &gt;= perc_95, converted_stat * 3, IF(bbgm_stat &gt;= perc_90, converted_stat * 2, IF(bbgm_stat &gt;= perc_85, converted_stat * 1.5, converted_stat)))))</f>
        <v/>
      </c>
      <c r="R311" s="30" t="str">
        <f t="array" ref="R311">IF($A311="", "", LET(bbgm_stat, INDEX(Players!$A310:$P310, MATCH(R$2, Players!$A$1:$P$1, 0)), perc_75, VLOOKUP(R$2, Percentiles!$A$45:$I$59, 6, FALSE), perc_90, VLOOKUP(R$2, Percentiles!$A$45:$I$59, 7, FALSE), perc_95, VLOOKUP(R$2, Percentiles!$A$45:$I$59, 8, FALSE), perc_85, perc_75 + (perc_90 - perc_75) * (2/3), converted_stat, '2K_Ratings'!R311, IF(bbgm_stat &gt;= perc_95, converted_stat * 3, IF(bbgm_stat &gt;= perc_90, converted_stat * 2, IF(bbgm_stat &gt;= perc_85, converted_stat * 1.5, converted_stat)))))</f>
        <v/>
      </c>
      <c r="S311" s="30" t="str">
        <f t="array" ref="S311">IF($A311="", "", LET(bbgm_stat, INDEX(Players!$A310:$P310, MATCH(S$2, Players!$A$1:$P$1, 0)), perc_75, VLOOKUP(S$2, Percentiles!$A$45:$I$59, 6, FALSE), perc_90, VLOOKUP(S$2, Percentiles!$A$45:$I$59, 7, FALSE), perc_95, VLOOKUP(S$2, Percentiles!$A$45:$I$59, 8, FALSE), perc_85, perc_75 + (perc_90 - perc_75) * (2/3), converted_stat, '2K_Ratings'!S311, IF(bbgm_stat &gt;= perc_95, converted_stat * 3, IF(bbgm_stat &gt;= perc_90, converted_stat * 2, IF(bbgm_stat &gt;= perc_85, converted_stat * 1.5, converted_stat)))))</f>
        <v/>
      </c>
      <c r="T311" s="30" t="str">
        <f t="array" ref="T311">IF($A311="", "", LET(bbgm_stat, INDEX(Players!$A310:$P310, MATCH(T$2, Players!$A$1:$P$1, 0)), perc_75, VLOOKUP(T$2, Percentiles!$A$45:$I$59, 6, FALSE), perc_90, VLOOKUP(T$2, Percentiles!$A$45:$I$59, 7, FALSE), perc_95, VLOOKUP(T$2, Percentiles!$A$45:$I$59, 8, FALSE), perc_85, perc_75 + (perc_90 - perc_75) * (2/3), converted_stat, '2K_Ratings'!T311, IF(bbgm_stat &gt;= perc_95, converted_stat * 3, IF(bbgm_stat &gt;= perc_90, converted_stat * 2, IF(bbgm_stat &gt;= perc_85, converted_stat * 1.5, converted_stat)))))</f>
        <v/>
      </c>
      <c r="U311" s="30" t="str">
        <f t="array" ref="U311">IF($A311="", "", LET(bbgm_stat, INDEX(Players!$A310:$P310, MATCH(U$2, Players!$A$1:$P$1, 0)), perc_75, VLOOKUP(U$2, Percentiles!$A$45:$I$59, 6, FALSE), perc_90, VLOOKUP(U$2, Percentiles!$A$45:$I$59, 7, FALSE), perc_95, VLOOKUP(U$2, Percentiles!$A$45:$I$59, 8, FALSE), perc_85, perc_75 + (perc_90 - perc_75) * (2/3), converted_stat, '2K_Ratings'!U311, IF(bbgm_stat &gt;= perc_95, converted_stat * 3, IF(bbgm_stat &gt;= perc_90, converted_stat * 2, IF(bbgm_stat &gt;= perc_85, converted_stat * 1.5, converted_stat)))))</f>
        <v/>
      </c>
      <c r="V311" s="30" t="str">
        <f t="array" ref="V311">IF($A311="", "", LET(bbgm_stat, INDEX(Players!$A310:$P310, MATCH(V$2, Players!$A$1:$P$1, 0)), perc_75, VLOOKUP(V$2, Percentiles!$A$45:$I$59, 6, FALSE), perc_90, VLOOKUP(V$2, Percentiles!$A$45:$I$59, 7, FALSE), perc_95, VLOOKUP(V$2, Percentiles!$A$45:$I$59, 8, FALSE), perc_85, perc_75 + (perc_90 - perc_75) * (2/3), converted_stat, '2K_Ratings'!V311, IF(bbgm_stat &gt;= perc_95, converted_stat * 3, IF(bbgm_stat &gt;= perc_90, converted_stat * 2, IF(bbgm_stat &gt;= perc_85, converted_stat * 1.5, converted_stat)))))</f>
        <v/>
      </c>
      <c r="W311" s="30" t="str">
        <f t="array" ref="W311">IF($A311="", "", LET(bbgm_stat, INDEX(Players!$A310:$P310, MATCH(W$2, Players!$A$1:$P$1, 0)), perc_75, VLOOKUP(W$2, Percentiles!$A$45:$I$59, 6, FALSE), perc_90, VLOOKUP(W$2, Percentiles!$A$45:$I$59, 7, FALSE), perc_95, VLOOKUP(W$2, Percentiles!$A$45:$I$59, 8, FALSE), perc_85, perc_75 + (perc_90 - perc_75) * (2/3), converted_stat, '2K_Ratings'!W311, IF(bbgm_stat &gt;= perc_95, converted_stat * 3, IF(bbgm_stat &gt;= perc_90, converted_stat * 2, IF(bbgm_stat &gt;= perc_85, converted_stat * 1.5, converted_stat)))))</f>
        <v/>
      </c>
    </row>
    <row r="312">
      <c r="A312" s="30"/>
      <c r="B312" s="30" t="str">
        <f t="array" ref="B312">IF($A312="", "", LET(bbgm_stat, INDEX(Players!$A311:$P311, MATCH(B$2, Players!$A$1:$P$1, 0)), perc_75, VLOOKUP(B$2, Percentiles!$A$45:$I$59, 6, FALSE), perc_90, VLOOKUP(B$2, Percentiles!$A$45:$I$59, 7, FALSE), perc_95, VLOOKUP(B$2, Percentiles!$A$45:$I$59, 8, FALSE), perc_85, perc_75 + (perc_90 - perc_75) * (2/3), converted_stat, '2K_Ratings'!B312, IF(bbgm_stat &gt;= perc_95, converted_stat * 3, IF(bbgm_stat &gt;= perc_90, converted_stat * 2, IF(bbgm_stat &gt;= perc_85, converted_stat * 1.5, converted_stat)))))</f>
        <v/>
      </c>
      <c r="C312" s="30" t="str">
        <f t="array" ref="C312">IF($A312="", "", LET(bbgm_stat, INDEX(Players!$A311:$P311, MATCH(C$2, Players!$A$1:$P$1, 0)), perc_75, VLOOKUP(C$2, Percentiles!$A$45:$I$59, 6, FALSE), perc_90, VLOOKUP(C$2, Percentiles!$A$45:$I$59, 7, FALSE), perc_95, VLOOKUP(C$2, Percentiles!$A$45:$I$59, 8, FALSE), perc_85, perc_75 + (perc_90 - perc_75) * (2/3), converted_stat, '2K_Ratings'!C312, IF(bbgm_stat &gt;= perc_95, converted_stat * 3, IF(bbgm_stat &gt;= perc_90, converted_stat * 2, IF(bbgm_stat &gt;= perc_85, converted_stat * 1.5, converted_stat)))))</f>
        <v/>
      </c>
      <c r="D312" s="30" t="str">
        <f t="array" ref="D312">IF($A312="", "", LET(bbgm_stat, INDEX(Players!$A311:$P311, MATCH(D$2, Players!$A$1:$P$1, 0)), perc_75, VLOOKUP(D$2, Percentiles!$A$45:$I$59, 6, FALSE), perc_90, VLOOKUP(D$2, Percentiles!$A$45:$I$59, 7, FALSE), perc_95, VLOOKUP(D$2, Percentiles!$A$45:$I$59, 8, FALSE), perc_85, perc_75 + (perc_90 - perc_75) * (2/3), converted_stat, '2K_Ratings'!D312, IF(bbgm_stat &gt;= perc_95, converted_stat * 3, IF(bbgm_stat &gt;= perc_90, converted_stat * 2, IF(bbgm_stat &gt;= perc_85, converted_stat * 1.5, converted_stat)))))</f>
        <v/>
      </c>
      <c r="E312" s="30" t="str">
        <f t="array" ref="E312">IF($A312="", "", LET(bbgm_stat, INDEX(Players!$A311:$P311, MATCH(E$2, Players!$A$1:$P$1, 0)), perc_75, VLOOKUP(E$2, Percentiles!$A$45:$I$59, 6, FALSE), perc_90, VLOOKUP(E$2, Percentiles!$A$45:$I$59, 7, FALSE), perc_95, VLOOKUP(E$2, Percentiles!$A$45:$I$59, 8, FALSE), perc_85, perc_75 + (perc_90 - perc_75) * (2/3), converted_stat, '2K_Ratings'!E312, IF(bbgm_stat &gt;= perc_95, converted_stat * 3, IF(bbgm_stat &gt;= perc_90, converted_stat * 2, IF(bbgm_stat &gt;= perc_85, converted_stat * 1.5, converted_stat)))))</f>
        <v/>
      </c>
      <c r="F312" s="30" t="str">
        <f t="array" ref="F312">IF($A312="", "", LET(bbgm_stat, INDEX(Players!$A311:$P311, MATCH(F$2, Players!$A$1:$P$1, 0)), perc_75, VLOOKUP(F$2, Percentiles!$A$45:$I$59, 6, FALSE), perc_90, VLOOKUP(F$2, Percentiles!$A$45:$I$59, 7, FALSE), perc_95, VLOOKUP(F$2, Percentiles!$A$45:$I$59, 8, FALSE), perc_85, perc_75 + (perc_90 - perc_75) * (2/3), converted_stat, '2K_Ratings'!F312, IF(bbgm_stat &gt;= perc_95, converted_stat * 3, IF(bbgm_stat &gt;= perc_90, converted_stat * 2, IF(bbgm_stat &gt;= perc_85, converted_stat * 1.5, converted_stat)))))</f>
        <v/>
      </c>
      <c r="G312" s="30" t="str">
        <f t="array" ref="G312">IF($A312="", "", LET(bbgm_stat, INDEX(Players!$A311:$P311, MATCH(G$2, Players!$A$1:$P$1, 0)), perc_75, VLOOKUP(G$2, Percentiles!$A$45:$I$59, 6, FALSE), perc_90, VLOOKUP(G$2, Percentiles!$A$45:$I$59, 7, FALSE), perc_95, VLOOKUP(G$2, Percentiles!$A$45:$I$59, 8, FALSE), perc_85, perc_75 + (perc_90 - perc_75) * (2/3), converted_stat, '2K_Ratings'!G312, IF(bbgm_stat &gt;= perc_95, converted_stat * 3, IF(bbgm_stat &gt;= perc_90, converted_stat * 2, IF(bbgm_stat &gt;= perc_85, converted_stat * 1.5, converted_stat)))))</f>
        <v/>
      </c>
      <c r="H312" s="30" t="str">
        <f t="array" ref="H312">IF($A312="", "", LET(bbgm_stat, INDEX(Players!$A311:$P311, MATCH(H$2, Players!$A$1:$P$1, 0)), perc_75, VLOOKUP(H$2, Percentiles!$A$45:$I$59, 6, FALSE), perc_90, VLOOKUP(H$2, Percentiles!$A$45:$I$59, 7, FALSE), perc_95, VLOOKUP(H$2, Percentiles!$A$45:$I$59, 8, FALSE), perc_85, perc_75 + (perc_90 - perc_75) * (2/3), converted_stat, '2K_Ratings'!H312, IF(bbgm_stat &gt;= perc_95, converted_stat * 3, IF(bbgm_stat &gt;= perc_90, converted_stat * 2, IF(bbgm_stat &gt;= perc_85, converted_stat * 1.5, converted_stat)))))</f>
        <v/>
      </c>
      <c r="I312" s="30" t="str">
        <f t="array" ref="I312">IF($A312="", "", LET(bbgm_stat, INDEX(Players!$A311:$P311, MATCH(I$2, Players!$A$1:$P$1, 0)), perc_75, VLOOKUP(I$2, Percentiles!$A$45:$I$59, 6, FALSE), perc_90, VLOOKUP(I$2, Percentiles!$A$45:$I$59, 7, FALSE), perc_95, VLOOKUP(I$2, Percentiles!$A$45:$I$59, 8, FALSE), perc_85, perc_75 + (perc_90 - perc_75) * (2/3), converted_stat, '2K_Ratings'!I312, IF(bbgm_stat &gt;= perc_95, converted_stat * 3, IF(bbgm_stat &gt;= perc_90, converted_stat * 2, IF(bbgm_stat &gt;= perc_85, converted_stat * 1.5, converted_stat)))))</f>
        <v/>
      </c>
      <c r="J312" s="30" t="str">
        <f t="array" ref="J312">IF($A312="", "", LET(bbgm_stat, INDEX(Players!$A311:$P311, MATCH(J$2, Players!$A$1:$P$1, 0)), perc_75, VLOOKUP(J$2, Percentiles!$A$45:$I$59, 6, FALSE), perc_90, VLOOKUP(J$2, Percentiles!$A$45:$I$59, 7, FALSE), perc_95, VLOOKUP(J$2, Percentiles!$A$45:$I$59, 8, FALSE), perc_85, perc_75 + (perc_90 - perc_75) * (2/3), converted_stat, '2K_Ratings'!J312, IF(bbgm_stat &gt;= perc_95, converted_stat * 3, IF(bbgm_stat &gt;= perc_90, converted_stat * 2, IF(bbgm_stat &gt;= perc_85, converted_stat * 1.5, converted_stat)))))</f>
        <v/>
      </c>
      <c r="K312" s="30" t="str">
        <f t="array" ref="K312">IF($A312="", "", LET(bbgm_stat, INDEX(Players!$A311:$P311, MATCH(K$2, Players!$A$1:$P$1, 0)), perc_75, VLOOKUP(K$2, Percentiles!$A$45:$I$59, 6, FALSE), perc_90, VLOOKUP(K$2, Percentiles!$A$45:$I$59, 7, FALSE), perc_95, VLOOKUP(K$2, Percentiles!$A$45:$I$59, 8, FALSE), perc_85, perc_75 + (perc_90 - perc_75) * (2/3), converted_stat, '2K_Ratings'!K312, IF(bbgm_stat &gt;= perc_95, converted_stat * 3, IF(bbgm_stat &gt;= perc_90, converted_stat * 2, IF(bbgm_stat &gt;= perc_85, converted_stat * 1.5, converted_stat)))))</f>
        <v/>
      </c>
      <c r="L312" s="30" t="str">
        <f t="array" ref="L312">IF($A312="", "", LET(bbgm_stat, INDEX(Players!$A311:$P311, MATCH(L$2, Players!$A$1:$P$1, 0)), perc_75, VLOOKUP(L$2, Percentiles!$A$45:$I$59, 6, FALSE), perc_90, VLOOKUP(L$2, Percentiles!$A$45:$I$59, 7, FALSE), perc_95, VLOOKUP(L$2, Percentiles!$A$45:$I$59, 8, FALSE), perc_85, perc_75 + (perc_90 - perc_75) * (2/3), converted_stat, '2K_Ratings'!L312, IF(bbgm_stat &gt;= perc_95, converted_stat * 3, IF(bbgm_stat &gt;= perc_90, converted_stat * 2, IF(bbgm_stat &gt;= perc_85, converted_stat * 1.5, converted_stat)))))</f>
        <v/>
      </c>
      <c r="M312" s="30" t="str">
        <f t="array" ref="M312">IF($A312="", "", LET(bbgm_stat, INDEX(Players!$A311:$P311, MATCH(M$2, Players!$A$1:$P$1, 0)), perc_75, VLOOKUP(M$2, Percentiles!$A$45:$I$59, 6, FALSE), perc_90, VLOOKUP(M$2, Percentiles!$A$45:$I$59, 7, FALSE), perc_95, VLOOKUP(M$2, Percentiles!$A$45:$I$59, 8, FALSE), perc_85, perc_75 + (perc_90 - perc_75) * (2/3), converted_stat, '2K_Ratings'!M312, IF(bbgm_stat &gt;= perc_95, converted_stat * 3, IF(bbgm_stat &gt;= perc_90, converted_stat * 2, IF(bbgm_stat &gt;= perc_85, converted_stat * 1.5, converted_stat)))))</f>
        <v/>
      </c>
      <c r="N312" s="30" t="str">
        <f t="array" ref="N312">IF($A312="", "", LET(bbgm_stat, INDEX(Players!$A311:$P311, MATCH(N$2, Players!$A$1:$P$1, 0)), perc_75, VLOOKUP(N$2, Percentiles!$A$45:$I$59, 6, FALSE), perc_90, VLOOKUP(N$2, Percentiles!$A$45:$I$59, 7, FALSE), perc_95, VLOOKUP(N$2, Percentiles!$A$45:$I$59, 8, FALSE), perc_85, perc_75 + (perc_90 - perc_75) * (2/3), converted_stat, '2K_Ratings'!N312, IF(bbgm_stat &gt;= perc_95, converted_stat * 3, IF(bbgm_stat &gt;= perc_90, converted_stat * 2, IF(bbgm_stat &gt;= perc_85, converted_stat * 1.5, converted_stat)))))</f>
        <v/>
      </c>
      <c r="O312" s="30" t="str">
        <f t="array" ref="O312">IF($A312="", "", LET(bbgm_stat, INDEX(Players!$A311:$P311, MATCH(O$2, Players!$A$1:$P$1, 0)), perc_75, VLOOKUP(O$2, Percentiles!$A$45:$I$59, 6, FALSE), perc_90, VLOOKUP(O$2, Percentiles!$A$45:$I$59, 7, FALSE), perc_95, VLOOKUP(O$2, Percentiles!$A$45:$I$59, 8, FALSE), perc_85, perc_75 + (perc_90 - perc_75) * (2/3), converted_stat, '2K_Ratings'!O312, IF(bbgm_stat &gt;= perc_95, converted_stat * 3, IF(bbgm_stat &gt;= perc_90, converted_stat * 2, IF(bbgm_stat &gt;= perc_85, converted_stat * 1.5, converted_stat)))))</f>
        <v/>
      </c>
      <c r="P312" s="30" t="str">
        <f t="array" ref="P312">IF($A312="", "", LET(bbgm_stat, INDEX(Players!$A311:$P311, MATCH(P$2, Players!$A$1:$P$1, 0)), perc_75, VLOOKUP(P$2, Percentiles!$A$45:$I$59, 6, FALSE), perc_90, VLOOKUP(P$2, Percentiles!$A$45:$I$59, 7, FALSE), perc_95, VLOOKUP(P$2, Percentiles!$A$45:$I$59, 8, FALSE), perc_85, perc_75 + (perc_90 - perc_75) * (2/3), converted_stat, '2K_Ratings'!P312, IF(bbgm_stat &gt;= perc_95, converted_stat * 3, IF(bbgm_stat &gt;= perc_90, converted_stat * 2, IF(bbgm_stat &gt;= perc_85, converted_stat * 1.5, converted_stat)))))</f>
        <v/>
      </c>
      <c r="Q312" s="30" t="str">
        <f t="array" ref="Q312">IF($A312="", "", LET(bbgm_stat, INDEX(Players!$A311:$P311, MATCH(Q$2, Players!$A$1:$P$1, 0)), perc_75, VLOOKUP(Q$2, Percentiles!$A$45:$I$59, 6, FALSE), perc_90, VLOOKUP(Q$2, Percentiles!$A$45:$I$59, 7, FALSE), perc_95, VLOOKUP(Q$2, Percentiles!$A$45:$I$59, 8, FALSE), perc_85, perc_75 + (perc_90 - perc_75) * (2/3), converted_stat, '2K_Ratings'!Q312, IF(bbgm_stat &gt;= perc_95, converted_stat * 3, IF(bbgm_stat &gt;= perc_90, converted_stat * 2, IF(bbgm_stat &gt;= perc_85, converted_stat * 1.5, converted_stat)))))</f>
        <v/>
      </c>
      <c r="R312" s="30" t="str">
        <f t="array" ref="R312">IF($A312="", "", LET(bbgm_stat, INDEX(Players!$A311:$P311, MATCH(R$2, Players!$A$1:$P$1, 0)), perc_75, VLOOKUP(R$2, Percentiles!$A$45:$I$59, 6, FALSE), perc_90, VLOOKUP(R$2, Percentiles!$A$45:$I$59, 7, FALSE), perc_95, VLOOKUP(R$2, Percentiles!$A$45:$I$59, 8, FALSE), perc_85, perc_75 + (perc_90 - perc_75) * (2/3), converted_stat, '2K_Ratings'!R312, IF(bbgm_stat &gt;= perc_95, converted_stat * 3, IF(bbgm_stat &gt;= perc_90, converted_stat * 2, IF(bbgm_stat &gt;= perc_85, converted_stat * 1.5, converted_stat)))))</f>
        <v/>
      </c>
      <c r="S312" s="30" t="str">
        <f t="array" ref="S312">IF($A312="", "", LET(bbgm_stat, INDEX(Players!$A311:$P311, MATCH(S$2, Players!$A$1:$P$1, 0)), perc_75, VLOOKUP(S$2, Percentiles!$A$45:$I$59, 6, FALSE), perc_90, VLOOKUP(S$2, Percentiles!$A$45:$I$59, 7, FALSE), perc_95, VLOOKUP(S$2, Percentiles!$A$45:$I$59, 8, FALSE), perc_85, perc_75 + (perc_90 - perc_75) * (2/3), converted_stat, '2K_Ratings'!S312, IF(bbgm_stat &gt;= perc_95, converted_stat * 3, IF(bbgm_stat &gt;= perc_90, converted_stat * 2, IF(bbgm_stat &gt;= perc_85, converted_stat * 1.5, converted_stat)))))</f>
        <v/>
      </c>
      <c r="T312" s="30" t="str">
        <f t="array" ref="T312">IF($A312="", "", LET(bbgm_stat, INDEX(Players!$A311:$P311, MATCH(T$2, Players!$A$1:$P$1, 0)), perc_75, VLOOKUP(T$2, Percentiles!$A$45:$I$59, 6, FALSE), perc_90, VLOOKUP(T$2, Percentiles!$A$45:$I$59, 7, FALSE), perc_95, VLOOKUP(T$2, Percentiles!$A$45:$I$59, 8, FALSE), perc_85, perc_75 + (perc_90 - perc_75) * (2/3), converted_stat, '2K_Ratings'!T312, IF(bbgm_stat &gt;= perc_95, converted_stat * 3, IF(bbgm_stat &gt;= perc_90, converted_stat * 2, IF(bbgm_stat &gt;= perc_85, converted_stat * 1.5, converted_stat)))))</f>
        <v/>
      </c>
      <c r="U312" s="30" t="str">
        <f t="array" ref="U312">IF($A312="", "", LET(bbgm_stat, INDEX(Players!$A311:$P311, MATCH(U$2, Players!$A$1:$P$1, 0)), perc_75, VLOOKUP(U$2, Percentiles!$A$45:$I$59, 6, FALSE), perc_90, VLOOKUP(U$2, Percentiles!$A$45:$I$59, 7, FALSE), perc_95, VLOOKUP(U$2, Percentiles!$A$45:$I$59, 8, FALSE), perc_85, perc_75 + (perc_90 - perc_75) * (2/3), converted_stat, '2K_Ratings'!U312, IF(bbgm_stat &gt;= perc_95, converted_stat * 3, IF(bbgm_stat &gt;= perc_90, converted_stat * 2, IF(bbgm_stat &gt;= perc_85, converted_stat * 1.5, converted_stat)))))</f>
        <v/>
      </c>
      <c r="V312" s="30" t="str">
        <f t="array" ref="V312">IF($A312="", "", LET(bbgm_stat, INDEX(Players!$A311:$P311, MATCH(V$2, Players!$A$1:$P$1, 0)), perc_75, VLOOKUP(V$2, Percentiles!$A$45:$I$59, 6, FALSE), perc_90, VLOOKUP(V$2, Percentiles!$A$45:$I$59, 7, FALSE), perc_95, VLOOKUP(V$2, Percentiles!$A$45:$I$59, 8, FALSE), perc_85, perc_75 + (perc_90 - perc_75) * (2/3), converted_stat, '2K_Ratings'!V312, IF(bbgm_stat &gt;= perc_95, converted_stat * 3, IF(bbgm_stat &gt;= perc_90, converted_stat * 2, IF(bbgm_stat &gt;= perc_85, converted_stat * 1.5, converted_stat)))))</f>
        <v/>
      </c>
      <c r="W312" s="30" t="str">
        <f t="array" ref="W312">IF($A312="", "", LET(bbgm_stat, INDEX(Players!$A311:$P311, MATCH(W$2, Players!$A$1:$P$1, 0)), perc_75, VLOOKUP(W$2, Percentiles!$A$45:$I$59, 6, FALSE), perc_90, VLOOKUP(W$2, Percentiles!$A$45:$I$59, 7, FALSE), perc_95, VLOOKUP(W$2, Percentiles!$A$45:$I$59, 8, FALSE), perc_85, perc_75 + (perc_90 - perc_75) * (2/3), converted_stat, '2K_Ratings'!W312, IF(bbgm_stat &gt;= perc_95, converted_stat * 3, IF(bbgm_stat &gt;= perc_90, converted_stat * 2, IF(bbgm_stat &gt;= perc_85, converted_stat * 1.5, converted_stat)))))</f>
        <v/>
      </c>
    </row>
    <row r="313">
      <c r="A313" s="30"/>
      <c r="B313" s="30" t="str">
        <f t="array" ref="B313">IF($A313="", "", LET(bbgm_stat, INDEX(Players!$A312:$P312, MATCH(B$2, Players!$A$1:$P$1, 0)), perc_75, VLOOKUP(B$2, Percentiles!$A$45:$I$59, 6, FALSE), perc_90, VLOOKUP(B$2, Percentiles!$A$45:$I$59, 7, FALSE), perc_95, VLOOKUP(B$2, Percentiles!$A$45:$I$59, 8, FALSE), perc_85, perc_75 + (perc_90 - perc_75) * (2/3), converted_stat, '2K_Ratings'!B313, IF(bbgm_stat &gt;= perc_95, converted_stat * 3, IF(bbgm_stat &gt;= perc_90, converted_stat * 2, IF(bbgm_stat &gt;= perc_85, converted_stat * 1.5, converted_stat)))))</f>
        <v/>
      </c>
      <c r="C313" s="30" t="str">
        <f t="array" ref="C313">IF($A313="", "", LET(bbgm_stat, INDEX(Players!$A312:$P312, MATCH(C$2, Players!$A$1:$P$1, 0)), perc_75, VLOOKUP(C$2, Percentiles!$A$45:$I$59, 6, FALSE), perc_90, VLOOKUP(C$2, Percentiles!$A$45:$I$59, 7, FALSE), perc_95, VLOOKUP(C$2, Percentiles!$A$45:$I$59, 8, FALSE), perc_85, perc_75 + (perc_90 - perc_75) * (2/3), converted_stat, '2K_Ratings'!C313, IF(bbgm_stat &gt;= perc_95, converted_stat * 3, IF(bbgm_stat &gt;= perc_90, converted_stat * 2, IF(bbgm_stat &gt;= perc_85, converted_stat * 1.5, converted_stat)))))</f>
        <v/>
      </c>
      <c r="D313" s="30" t="str">
        <f t="array" ref="D313">IF($A313="", "", LET(bbgm_stat, INDEX(Players!$A312:$P312, MATCH(D$2, Players!$A$1:$P$1, 0)), perc_75, VLOOKUP(D$2, Percentiles!$A$45:$I$59, 6, FALSE), perc_90, VLOOKUP(D$2, Percentiles!$A$45:$I$59, 7, FALSE), perc_95, VLOOKUP(D$2, Percentiles!$A$45:$I$59, 8, FALSE), perc_85, perc_75 + (perc_90 - perc_75) * (2/3), converted_stat, '2K_Ratings'!D313, IF(bbgm_stat &gt;= perc_95, converted_stat * 3, IF(bbgm_stat &gt;= perc_90, converted_stat * 2, IF(bbgm_stat &gt;= perc_85, converted_stat * 1.5, converted_stat)))))</f>
        <v/>
      </c>
      <c r="E313" s="30" t="str">
        <f t="array" ref="E313">IF($A313="", "", LET(bbgm_stat, INDEX(Players!$A312:$P312, MATCH(E$2, Players!$A$1:$P$1, 0)), perc_75, VLOOKUP(E$2, Percentiles!$A$45:$I$59, 6, FALSE), perc_90, VLOOKUP(E$2, Percentiles!$A$45:$I$59, 7, FALSE), perc_95, VLOOKUP(E$2, Percentiles!$A$45:$I$59, 8, FALSE), perc_85, perc_75 + (perc_90 - perc_75) * (2/3), converted_stat, '2K_Ratings'!E313, IF(bbgm_stat &gt;= perc_95, converted_stat * 3, IF(bbgm_stat &gt;= perc_90, converted_stat * 2, IF(bbgm_stat &gt;= perc_85, converted_stat * 1.5, converted_stat)))))</f>
        <v/>
      </c>
      <c r="F313" s="30" t="str">
        <f t="array" ref="F313">IF($A313="", "", LET(bbgm_stat, INDEX(Players!$A312:$P312, MATCH(F$2, Players!$A$1:$P$1, 0)), perc_75, VLOOKUP(F$2, Percentiles!$A$45:$I$59, 6, FALSE), perc_90, VLOOKUP(F$2, Percentiles!$A$45:$I$59, 7, FALSE), perc_95, VLOOKUP(F$2, Percentiles!$A$45:$I$59, 8, FALSE), perc_85, perc_75 + (perc_90 - perc_75) * (2/3), converted_stat, '2K_Ratings'!F313, IF(bbgm_stat &gt;= perc_95, converted_stat * 3, IF(bbgm_stat &gt;= perc_90, converted_stat * 2, IF(bbgm_stat &gt;= perc_85, converted_stat * 1.5, converted_stat)))))</f>
        <v/>
      </c>
      <c r="G313" s="30" t="str">
        <f t="array" ref="G313">IF($A313="", "", LET(bbgm_stat, INDEX(Players!$A312:$P312, MATCH(G$2, Players!$A$1:$P$1, 0)), perc_75, VLOOKUP(G$2, Percentiles!$A$45:$I$59, 6, FALSE), perc_90, VLOOKUP(G$2, Percentiles!$A$45:$I$59, 7, FALSE), perc_95, VLOOKUP(G$2, Percentiles!$A$45:$I$59, 8, FALSE), perc_85, perc_75 + (perc_90 - perc_75) * (2/3), converted_stat, '2K_Ratings'!G313, IF(bbgm_stat &gt;= perc_95, converted_stat * 3, IF(bbgm_stat &gt;= perc_90, converted_stat * 2, IF(bbgm_stat &gt;= perc_85, converted_stat * 1.5, converted_stat)))))</f>
        <v/>
      </c>
      <c r="H313" s="30" t="str">
        <f t="array" ref="H313">IF($A313="", "", LET(bbgm_stat, INDEX(Players!$A312:$P312, MATCH(H$2, Players!$A$1:$P$1, 0)), perc_75, VLOOKUP(H$2, Percentiles!$A$45:$I$59, 6, FALSE), perc_90, VLOOKUP(H$2, Percentiles!$A$45:$I$59, 7, FALSE), perc_95, VLOOKUP(H$2, Percentiles!$A$45:$I$59, 8, FALSE), perc_85, perc_75 + (perc_90 - perc_75) * (2/3), converted_stat, '2K_Ratings'!H313, IF(bbgm_stat &gt;= perc_95, converted_stat * 3, IF(bbgm_stat &gt;= perc_90, converted_stat * 2, IF(bbgm_stat &gt;= perc_85, converted_stat * 1.5, converted_stat)))))</f>
        <v/>
      </c>
      <c r="I313" s="30" t="str">
        <f t="array" ref="I313">IF($A313="", "", LET(bbgm_stat, INDEX(Players!$A312:$P312, MATCH(I$2, Players!$A$1:$P$1, 0)), perc_75, VLOOKUP(I$2, Percentiles!$A$45:$I$59, 6, FALSE), perc_90, VLOOKUP(I$2, Percentiles!$A$45:$I$59, 7, FALSE), perc_95, VLOOKUP(I$2, Percentiles!$A$45:$I$59, 8, FALSE), perc_85, perc_75 + (perc_90 - perc_75) * (2/3), converted_stat, '2K_Ratings'!I313, IF(bbgm_stat &gt;= perc_95, converted_stat * 3, IF(bbgm_stat &gt;= perc_90, converted_stat * 2, IF(bbgm_stat &gt;= perc_85, converted_stat * 1.5, converted_stat)))))</f>
        <v/>
      </c>
      <c r="J313" s="30" t="str">
        <f t="array" ref="J313">IF($A313="", "", LET(bbgm_stat, INDEX(Players!$A312:$P312, MATCH(J$2, Players!$A$1:$P$1, 0)), perc_75, VLOOKUP(J$2, Percentiles!$A$45:$I$59, 6, FALSE), perc_90, VLOOKUP(J$2, Percentiles!$A$45:$I$59, 7, FALSE), perc_95, VLOOKUP(J$2, Percentiles!$A$45:$I$59, 8, FALSE), perc_85, perc_75 + (perc_90 - perc_75) * (2/3), converted_stat, '2K_Ratings'!J313, IF(bbgm_stat &gt;= perc_95, converted_stat * 3, IF(bbgm_stat &gt;= perc_90, converted_stat * 2, IF(bbgm_stat &gt;= perc_85, converted_stat * 1.5, converted_stat)))))</f>
        <v/>
      </c>
      <c r="K313" s="30" t="str">
        <f t="array" ref="K313">IF($A313="", "", LET(bbgm_stat, INDEX(Players!$A312:$P312, MATCH(K$2, Players!$A$1:$P$1, 0)), perc_75, VLOOKUP(K$2, Percentiles!$A$45:$I$59, 6, FALSE), perc_90, VLOOKUP(K$2, Percentiles!$A$45:$I$59, 7, FALSE), perc_95, VLOOKUP(K$2, Percentiles!$A$45:$I$59, 8, FALSE), perc_85, perc_75 + (perc_90 - perc_75) * (2/3), converted_stat, '2K_Ratings'!K313, IF(bbgm_stat &gt;= perc_95, converted_stat * 3, IF(bbgm_stat &gt;= perc_90, converted_stat * 2, IF(bbgm_stat &gt;= perc_85, converted_stat * 1.5, converted_stat)))))</f>
        <v/>
      </c>
      <c r="L313" s="30" t="str">
        <f t="array" ref="L313">IF($A313="", "", LET(bbgm_stat, INDEX(Players!$A312:$P312, MATCH(L$2, Players!$A$1:$P$1, 0)), perc_75, VLOOKUP(L$2, Percentiles!$A$45:$I$59, 6, FALSE), perc_90, VLOOKUP(L$2, Percentiles!$A$45:$I$59, 7, FALSE), perc_95, VLOOKUP(L$2, Percentiles!$A$45:$I$59, 8, FALSE), perc_85, perc_75 + (perc_90 - perc_75) * (2/3), converted_stat, '2K_Ratings'!L313, IF(bbgm_stat &gt;= perc_95, converted_stat * 3, IF(bbgm_stat &gt;= perc_90, converted_stat * 2, IF(bbgm_stat &gt;= perc_85, converted_stat * 1.5, converted_stat)))))</f>
        <v/>
      </c>
      <c r="M313" s="30" t="str">
        <f t="array" ref="M313">IF($A313="", "", LET(bbgm_stat, INDEX(Players!$A312:$P312, MATCH(M$2, Players!$A$1:$P$1, 0)), perc_75, VLOOKUP(M$2, Percentiles!$A$45:$I$59, 6, FALSE), perc_90, VLOOKUP(M$2, Percentiles!$A$45:$I$59, 7, FALSE), perc_95, VLOOKUP(M$2, Percentiles!$A$45:$I$59, 8, FALSE), perc_85, perc_75 + (perc_90 - perc_75) * (2/3), converted_stat, '2K_Ratings'!M313, IF(bbgm_stat &gt;= perc_95, converted_stat * 3, IF(bbgm_stat &gt;= perc_90, converted_stat * 2, IF(bbgm_stat &gt;= perc_85, converted_stat * 1.5, converted_stat)))))</f>
        <v/>
      </c>
      <c r="N313" s="30" t="str">
        <f t="array" ref="N313">IF($A313="", "", LET(bbgm_stat, INDEX(Players!$A312:$P312, MATCH(N$2, Players!$A$1:$P$1, 0)), perc_75, VLOOKUP(N$2, Percentiles!$A$45:$I$59, 6, FALSE), perc_90, VLOOKUP(N$2, Percentiles!$A$45:$I$59, 7, FALSE), perc_95, VLOOKUP(N$2, Percentiles!$A$45:$I$59, 8, FALSE), perc_85, perc_75 + (perc_90 - perc_75) * (2/3), converted_stat, '2K_Ratings'!N313, IF(bbgm_stat &gt;= perc_95, converted_stat * 3, IF(bbgm_stat &gt;= perc_90, converted_stat * 2, IF(bbgm_stat &gt;= perc_85, converted_stat * 1.5, converted_stat)))))</f>
        <v/>
      </c>
      <c r="O313" s="30" t="str">
        <f t="array" ref="O313">IF($A313="", "", LET(bbgm_stat, INDEX(Players!$A312:$P312, MATCH(O$2, Players!$A$1:$P$1, 0)), perc_75, VLOOKUP(O$2, Percentiles!$A$45:$I$59, 6, FALSE), perc_90, VLOOKUP(O$2, Percentiles!$A$45:$I$59, 7, FALSE), perc_95, VLOOKUP(O$2, Percentiles!$A$45:$I$59, 8, FALSE), perc_85, perc_75 + (perc_90 - perc_75) * (2/3), converted_stat, '2K_Ratings'!O313, IF(bbgm_stat &gt;= perc_95, converted_stat * 3, IF(bbgm_stat &gt;= perc_90, converted_stat * 2, IF(bbgm_stat &gt;= perc_85, converted_stat * 1.5, converted_stat)))))</f>
        <v/>
      </c>
      <c r="P313" s="30" t="str">
        <f t="array" ref="P313">IF($A313="", "", LET(bbgm_stat, INDEX(Players!$A312:$P312, MATCH(P$2, Players!$A$1:$P$1, 0)), perc_75, VLOOKUP(P$2, Percentiles!$A$45:$I$59, 6, FALSE), perc_90, VLOOKUP(P$2, Percentiles!$A$45:$I$59, 7, FALSE), perc_95, VLOOKUP(P$2, Percentiles!$A$45:$I$59, 8, FALSE), perc_85, perc_75 + (perc_90 - perc_75) * (2/3), converted_stat, '2K_Ratings'!P313, IF(bbgm_stat &gt;= perc_95, converted_stat * 3, IF(bbgm_stat &gt;= perc_90, converted_stat * 2, IF(bbgm_stat &gt;= perc_85, converted_stat * 1.5, converted_stat)))))</f>
        <v/>
      </c>
      <c r="Q313" s="30" t="str">
        <f t="array" ref="Q313">IF($A313="", "", LET(bbgm_stat, INDEX(Players!$A312:$P312, MATCH(Q$2, Players!$A$1:$P$1, 0)), perc_75, VLOOKUP(Q$2, Percentiles!$A$45:$I$59, 6, FALSE), perc_90, VLOOKUP(Q$2, Percentiles!$A$45:$I$59, 7, FALSE), perc_95, VLOOKUP(Q$2, Percentiles!$A$45:$I$59, 8, FALSE), perc_85, perc_75 + (perc_90 - perc_75) * (2/3), converted_stat, '2K_Ratings'!Q313, IF(bbgm_stat &gt;= perc_95, converted_stat * 3, IF(bbgm_stat &gt;= perc_90, converted_stat * 2, IF(bbgm_stat &gt;= perc_85, converted_stat * 1.5, converted_stat)))))</f>
        <v/>
      </c>
      <c r="R313" s="30" t="str">
        <f t="array" ref="R313">IF($A313="", "", LET(bbgm_stat, INDEX(Players!$A312:$P312, MATCH(R$2, Players!$A$1:$P$1, 0)), perc_75, VLOOKUP(R$2, Percentiles!$A$45:$I$59, 6, FALSE), perc_90, VLOOKUP(R$2, Percentiles!$A$45:$I$59, 7, FALSE), perc_95, VLOOKUP(R$2, Percentiles!$A$45:$I$59, 8, FALSE), perc_85, perc_75 + (perc_90 - perc_75) * (2/3), converted_stat, '2K_Ratings'!R313, IF(bbgm_stat &gt;= perc_95, converted_stat * 3, IF(bbgm_stat &gt;= perc_90, converted_stat * 2, IF(bbgm_stat &gt;= perc_85, converted_stat * 1.5, converted_stat)))))</f>
        <v/>
      </c>
      <c r="S313" s="30" t="str">
        <f t="array" ref="S313">IF($A313="", "", LET(bbgm_stat, INDEX(Players!$A312:$P312, MATCH(S$2, Players!$A$1:$P$1, 0)), perc_75, VLOOKUP(S$2, Percentiles!$A$45:$I$59, 6, FALSE), perc_90, VLOOKUP(S$2, Percentiles!$A$45:$I$59, 7, FALSE), perc_95, VLOOKUP(S$2, Percentiles!$A$45:$I$59, 8, FALSE), perc_85, perc_75 + (perc_90 - perc_75) * (2/3), converted_stat, '2K_Ratings'!S313, IF(bbgm_stat &gt;= perc_95, converted_stat * 3, IF(bbgm_stat &gt;= perc_90, converted_stat * 2, IF(bbgm_stat &gt;= perc_85, converted_stat * 1.5, converted_stat)))))</f>
        <v/>
      </c>
      <c r="T313" s="30" t="str">
        <f t="array" ref="T313">IF($A313="", "", LET(bbgm_stat, INDEX(Players!$A312:$P312, MATCH(T$2, Players!$A$1:$P$1, 0)), perc_75, VLOOKUP(T$2, Percentiles!$A$45:$I$59, 6, FALSE), perc_90, VLOOKUP(T$2, Percentiles!$A$45:$I$59, 7, FALSE), perc_95, VLOOKUP(T$2, Percentiles!$A$45:$I$59, 8, FALSE), perc_85, perc_75 + (perc_90 - perc_75) * (2/3), converted_stat, '2K_Ratings'!T313, IF(bbgm_stat &gt;= perc_95, converted_stat * 3, IF(bbgm_stat &gt;= perc_90, converted_stat * 2, IF(bbgm_stat &gt;= perc_85, converted_stat * 1.5, converted_stat)))))</f>
        <v/>
      </c>
      <c r="U313" s="30" t="str">
        <f t="array" ref="U313">IF($A313="", "", LET(bbgm_stat, INDEX(Players!$A312:$P312, MATCH(U$2, Players!$A$1:$P$1, 0)), perc_75, VLOOKUP(U$2, Percentiles!$A$45:$I$59, 6, FALSE), perc_90, VLOOKUP(U$2, Percentiles!$A$45:$I$59, 7, FALSE), perc_95, VLOOKUP(U$2, Percentiles!$A$45:$I$59, 8, FALSE), perc_85, perc_75 + (perc_90 - perc_75) * (2/3), converted_stat, '2K_Ratings'!U313, IF(bbgm_stat &gt;= perc_95, converted_stat * 3, IF(bbgm_stat &gt;= perc_90, converted_stat * 2, IF(bbgm_stat &gt;= perc_85, converted_stat * 1.5, converted_stat)))))</f>
        <v/>
      </c>
      <c r="V313" s="30" t="str">
        <f t="array" ref="V313">IF($A313="", "", LET(bbgm_stat, INDEX(Players!$A312:$P312, MATCH(V$2, Players!$A$1:$P$1, 0)), perc_75, VLOOKUP(V$2, Percentiles!$A$45:$I$59, 6, FALSE), perc_90, VLOOKUP(V$2, Percentiles!$A$45:$I$59, 7, FALSE), perc_95, VLOOKUP(V$2, Percentiles!$A$45:$I$59, 8, FALSE), perc_85, perc_75 + (perc_90 - perc_75) * (2/3), converted_stat, '2K_Ratings'!V313, IF(bbgm_stat &gt;= perc_95, converted_stat * 3, IF(bbgm_stat &gt;= perc_90, converted_stat * 2, IF(bbgm_stat &gt;= perc_85, converted_stat * 1.5, converted_stat)))))</f>
        <v/>
      </c>
      <c r="W313" s="30" t="str">
        <f t="array" ref="W313">IF($A313="", "", LET(bbgm_stat, INDEX(Players!$A312:$P312, MATCH(W$2, Players!$A$1:$P$1, 0)), perc_75, VLOOKUP(W$2, Percentiles!$A$45:$I$59, 6, FALSE), perc_90, VLOOKUP(W$2, Percentiles!$A$45:$I$59, 7, FALSE), perc_95, VLOOKUP(W$2, Percentiles!$A$45:$I$59, 8, FALSE), perc_85, perc_75 + (perc_90 - perc_75) * (2/3), converted_stat, '2K_Ratings'!W313, IF(bbgm_stat &gt;= perc_95, converted_stat * 3, IF(bbgm_stat &gt;= perc_90, converted_stat * 2, IF(bbgm_stat &gt;= perc_85, converted_stat * 1.5, converted_stat)))))</f>
        <v/>
      </c>
    </row>
    <row r="314">
      <c r="A314" s="30"/>
      <c r="B314" s="30" t="str">
        <f t="array" ref="B314">IF($A314="", "", LET(bbgm_stat, INDEX(Players!$A313:$P313, MATCH(B$2, Players!$A$1:$P$1, 0)), perc_75, VLOOKUP(B$2, Percentiles!$A$45:$I$59, 6, FALSE), perc_90, VLOOKUP(B$2, Percentiles!$A$45:$I$59, 7, FALSE), perc_95, VLOOKUP(B$2, Percentiles!$A$45:$I$59, 8, FALSE), perc_85, perc_75 + (perc_90 - perc_75) * (2/3), converted_stat, '2K_Ratings'!B314, IF(bbgm_stat &gt;= perc_95, converted_stat * 3, IF(bbgm_stat &gt;= perc_90, converted_stat * 2, IF(bbgm_stat &gt;= perc_85, converted_stat * 1.5, converted_stat)))))</f>
        <v/>
      </c>
      <c r="C314" s="30" t="str">
        <f t="array" ref="C314">IF($A314="", "", LET(bbgm_stat, INDEX(Players!$A313:$P313, MATCH(C$2, Players!$A$1:$P$1, 0)), perc_75, VLOOKUP(C$2, Percentiles!$A$45:$I$59, 6, FALSE), perc_90, VLOOKUP(C$2, Percentiles!$A$45:$I$59, 7, FALSE), perc_95, VLOOKUP(C$2, Percentiles!$A$45:$I$59, 8, FALSE), perc_85, perc_75 + (perc_90 - perc_75) * (2/3), converted_stat, '2K_Ratings'!C314, IF(bbgm_stat &gt;= perc_95, converted_stat * 3, IF(bbgm_stat &gt;= perc_90, converted_stat * 2, IF(bbgm_stat &gt;= perc_85, converted_stat * 1.5, converted_stat)))))</f>
        <v/>
      </c>
      <c r="D314" s="30" t="str">
        <f t="array" ref="D314">IF($A314="", "", LET(bbgm_stat, INDEX(Players!$A313:$P313, MATCH(D$2, Players!$A$1:$P$1, 0)), perc_75, VLOOKUP(D$2, Percentiles!$A$45:$I$59, 6, FALSE), perc_90, VLOOKUP(D$2, Percentiles!$A$45:$I$59, 7, FALSE), perc_95, VLOOKUP(D$2, Percentiles!$A$45:$I$59, 8, FALSE), perc_85, perc_75 + (perc_90 - perc_75) * (2/3), converted_stat, '2K_Ratings'!D314, IF(bbgm_stat &gt;= perc_95, converted_stat * 3, IF(bbgm_stat &gt;= perc_90, converted_stat * 2, IF(bbgm_stat &gt;= perc_85, converted_stat * 1.5, converted_stat)))))</f>
        <v/>
      </c>
      <c r="E314" s="30" t="str">
        <f t="array" ref="E314">IF($A314="", "", LET(bbgm_stat, INDEX(Players!$A313:$P313, MATCH(E$2, Players!$A$1:$P$1, 0)), perc_75, VLOOKUP(E$2, Percentiles!$A$45:$I$59, 6, FALSE), perc_90, VLOOKUP(E$2, Percentiles!$A$45:$I$59, 7, FALSE), perc_95, VLOOKUP(E$2, Percentiles!$A$45:$I$59, 8, FALSE), perc_85, perc_75 + (perc_90 - perc_75) * (2/3), converted_stat, '2K_Ratings'!E314, IF(bbgm_stat &gt;= perc_95, converted_stat * 3, IF(bbgm_stat &gt;= perc_90, converted_stat * 2, IF(bbgm_stat &gt;= perc_85, converted_stat * 1.5, converted_stat)))))</f>
        <v/>
      </c>
      <c r="F314" s="30" t="str">
        <f t="array" ref="F314">IF($A314="", "", LET(bbgm_stat, INDEX(Players!$A313:$P313, MATCH(F$2, Players!$A$1:$P$1, 0)), perc_75, VLOOKUP(F$2, Percentiles!$A$45:$I$59, 6, FALSE), perc_90, VLOOKUP(F$2, Percentiles!$A$45:$I$59, 7, FALSE), perc_95, VLOOKUP(F$2, Percentiles!$A$45:$I$59, 8, FALSE), perc_85, perc_75 + (perc_90 - perc_75) * (2/3), converted_stat, '2K_Ratings'!F314, IF(bbgm_stat &gt;= perc_95, converted_stat * 3, IF(bbgm_stat &gt;= perc_90, converted_stat * 2, IF(bbgm_stat &gt;= perc_85, converted_stat * 1.5, converted_stat)))))</f>
        <v/>
      </c>
      <c r="G314" s="30" t="str">
        <f t="array" ref="G314">IF($A314="", "", LET(bbgm_stat, INDEX(Players!$A313:$P313, MATCH(G$2, Players!$A$1:$P$1, 0)), perc_75, VLOOKUP(G$2, Percentiles!$A$45:$I$59, 6, FALSE), perc_90, VLOOKUP(G$2, Percentiles!$A$45:$I$59, 7, FALSE), perc_95, VLOOKUP(G$2, Percentiles!$A$45:$I$59, 8, FALSE), perc_85, perc_75 + (perc_90 - perc_75) * (2/3), converted_stat, '2K_Ratings'!G314, IF(bbgm_stat &gt;= perc_95, converted_stat * 3, IF(bbgm_stat &gt;= perc_90, converted_stat * 2, IF(bbgm_stat &gt;= perc_85, converted_stat * 1.5, converted_stat)))))</f>
        <v/>
      </c>
      <c r="H314" s="30" t="str">
        <f t="array" ref="H314">IF($A314="", "", LET(bbgm_stat, INDEX(Players!$A313:$P313, MATCH(H$2, Players!$A$1:$P$1, 0)), perc_75, VLOOKUP(H$2, Percentiles!$A$45:$I$59, 6, FALSE), perc_90, VLOOKUP(H$2, Percentiles!$A$45:$I$59, 7, FALSE), perc_95, VLOOKUP(H$2, Percentiles!$A$45:$I$59, 8, FALSE), perc_85, perc_75 + (perc_90 - perc_75) * (2/3), converted_stat, '2K_Ratings'!H314, IF(bbgm_stat &gt;= perc_95, converted_stat * 3, IF(bbgm_stat &gt;= perc_90, converted_stat * 2, IF(bbgm_stat &gt;= perc_85, converted_stat * 1.5, converted_stat)))))</f>
        <v/>
      </c>
      <c r="I314" s="30" t="str">
        <f t="array" ref="I314">IF($A314="", "", LET(bbgm_stat, INDEX(Players!$A313:$P313, MATCH(I$2, Players!$A$1:$P$1, 0)), perc_75, VLOOKUP(I$2, Percentiles!$A$45:$I$59, 6, FALSE), perc_90, VLOOKUP(I$2, Percentiles!$A$45:$I$59, 7, FALSE), perc_95, VLOOKUP(I$2, Percentiles!$A$45:$I$59, 8, FALSE), perc_85, perc_75 + (perc_90 - perc_75) * (2/3), converted_stat, '2K_Ratings'!I314, IF(bbgm_stat &gt;= perc_95, converted_stat * 3, IF(bbgm_stat &gt;= perc_90, converted_stat * 2, IF(bbgm_stat &gt;= perc_85, converted_stat * 1.5, converted_stat)))))</f>
        <v/>
      </c>
      <c r="J314" s="30" t="str">
        <f t="array" ref="J314">IF($A314="", "", LET(bbgm_stat, INDEX(Players!$A313:$P313, MATCH(J$2, Players!$A$1:$P$1, 0)), perc_75, VLOOKUP(J$2, Percentiles!$A$45:$I$59, 6, FALSE), perc_90, VLOOKUP(J$2, Percentiles!$A$45:$I$59, 7, FALSE), perc_95, VLOOKUP(J$2, Percentiles!$A$45:$I$59, 8, FALSE), perc_85, perc_75 + (perc_90 - perc_75) * (2/3), converted_stat, '2K_Ratings'!J314, IF(bbgm_stat &gt;= perc_95, converted_stat * 3, IF(bbgm_stat &gt;= perc_90, converted_stat * 2, IF(bbgm_stat &gt;= perc_85, converted_stat * 1.5, converted_stat)))))</f>
        <v/>
      </c>
      <c r="K314" s="30" t="str">
        <f t="array" ref="K314">IF($A314="", "", LET(bbgm_stat, INDEX(Players!$A313:$P313, MATCH(K$2, Players!$A$1:$P$1, 0)), perc_75, VLOOKUP(K$2, Percentiles!$A$45:$I$59, 6, FALSE), perc_90, VLOOKUP(K$2, Percentiles!$A$45:$I$59, 7, FALSE), perc_95, VLOOKUP(K$2, Percentiles!$A$45:$I$59, 8, FALSE), perc_85, perc_75 + (perc_90 - perc_75) * (2/3), converted_stat, '2K_Ratings'!K314, IF(bbgm_stat &gt;= perc_95, converted_stat * 3, IF(bbgm_stat &gt;= perc_90, converted_stat * 2, IF(bbgm_stat &gt;= perc_85, converted_stat * 1.5, converted_stat)))))</f>
        <v/>
      </c>
      <c r="L314" s="30" t="str">
        <f t="array" ref="L314">IF($A314="", "", LET(bbgm_stat, INDEX(Players!$A313:$P313, MATCH(L$2, Players!$A$1:$P$1, 0)), perc_75, VLOOKUP(L$2, Percentiles!$A$45:$I$59, 6, FALSE), perc_90, VLOOKUP(L$2, Percentiles!$A$45:$I$59, 7, FALSE), perc_95, VLOOKUP(L$2, Percentiles!$A$45:$I$59, 8, FALSE), perc_85, perc_75 + (perc_90 - perc_75) * (2/3), converted_stat, '2K_Ratings'!L314, IF(bbgm_stat &gt;= perc_95, converted_stat * 3, IF(bbgm_stat &gt;= perc_90, converted_stat * 2, IF(bbgm_stat &gt;= perc_85, converted_stat * 1.5, converted_stat)))))</f>
        <v/>
      </c>
      <c r="M314" s="30" t="str">
        <f t="array" ref="M314">IF($A314="", "", LET(bbgm_stat, INDEX(Players!$A313:$P313, MATCH(M$2, Players!$A$1:$P$1, 0)), perc_75, VLOOKUP(M$2, Percentiles!$A$45:$I$59, 6, FALSE), perc_90, VLOOKUP(M$2, Percentiles!$A$45:$I$59, 7, FALSE), perc_95, VLOOKUP(M$2, Percentiles!$A$45:$I$59, 8, FALSE), perc_85, perc_75 + (perc_90 - perc_75) * (2/3), converted_stat, '2K_Ratings'!M314, IF(bbgm_stat &gt;= perc_95, converted_stat * 3, IF(bbgm_stat &gt;= perc_90, converted_stat * 2, IF(bbgm_stat &gt;= perc_85, converted_stat * 1.5, converted_stat)))))</f>
        <v/>
      </c>
      <c r="N314" s="30" t="str">
        <f t="array" ref="N314">IF($A314="", "", LET(bbgm_stat, INDEX(Players!$A313:$P313, MATCH(N$2, Players!$A$1:$P$1, 0)), perc_75, VLOOKUP(N$2, Percentiles!$A$45:$I$59, 6, FALSE), perc_90, VLOOKUP(N$2, Percentiles!$A$45:$I$59, 7, FALSE), perc_95, VLOOKUP(N$2, Percentiles!$A$45:$I$59, 8, FALSE), perc_85, perc_75 + (perc_90 - perc_75) * (2/3), converted_stat, '2K_Ratings'!N314, IF(bbgm_stat &gt;= perc_95, converted_stat * 3, IF(bbgm_stat &gt;= perc_90, converted_stat * 2, IF(bbgm_stat &gt;= perc_85, converted_stat * 1.5, converted_stat)))))</f>
        <v/>
      </c>
      <c r="O314" s="30" t="str">
        <f t="array" ref="O314">IF($A314="", "", LET(bbgm_stat, INDEX(Players!$A313:$P313, MATCH(O$2, Players!$A$1:$P$1, 0)), perc_75, VLOOKUP(O$2, Percentiles!$A$45:$I$59, 6, FALSE), perc_90, VLOOKUP(O$2, Percentiles!$A$45:$I$59, 7, FALSE), perc_95, VLOOKUP(O$2, Percentiles!$A$45:$I$59, 8, FALSE), perc_85, perc_75 + (perc_90 - perc_75) * (2/3), converted_stat, '2K_Ratings'!O314, IF(bbgm_stat &gt;= perc_95, converted_stat * 3, IF(bbgm_stat &gt;= perc_90, converted_stat * 2, IF(bbgm_stat &gt;= perc_85, converted_stat * 1.5, converted_stat)))))</f>
        <v/>
      </c>
      <c r="P314" s="30" t="str">
        <f t="array" ref="P314">IF($A314="", "", LET(bbgm_stat, INDEX(Players!$A313:$P313, MATCH(P$2, Players!$A$1:$P$1, 0)), perc_75, VLOOKUP(P$2, Percentiles!$A$45:$I$59, 6, FALSE), perc_90, VLOOKUP(P$2, Percentiles!$A$45:$I$59, 7, FALSE), perc_95, VLOOKUP(P$2, Percentiles!$A$45:$I$59, 8, FALSE), perc_85, perc_75 + (perc_90 - perc_75) * (2/3), converted_stat, '2K_Ratings'!P314, IF(bbgm_stat &gt;= perc_95, converted_stat * 3, IF(bbgm_stat &gt;= perc_90, converted_stat * 2, IF(bbgm_stat &gt;= perc_85, converted_stat * 1.5, converted_stat)))))</f>
        <v/>
      </c>
      <c r="Q314" s="30" t="str">
        <f t="array" ref="Q314">IF($A314="", "", LET(bbgm_stat, INDEX(Players!$A313:$P313, MATCH(Q$2, Players!$A$1:$P$1, 0)), perc_75, VLOOKUP(Q$2, Percentiles!$A$45:$I$59, 6, FALSE), perc_90, VLOOKUP(Q$2, Percentiles!$A$45:$I$59, 7, FALSE), perc_95, VLOOKUP(Q$2, Percentiles!$A$45:$I$59, 8, FALSE), perc_85, perc_75 + (perc_90 - perc_75) * (2/3), converted_stat, '2K_Ratings'!Q314, IF(bbgm_stat &gt;= perc_95, converted_stat * 3, IF(bbgm_stat &gt;= perc_90, converted_stat * 2, IF(bbgm_stat &gt;= perc_85, converted_stat * 1.5, converted_stat)))))</f>
        <v/>
      </c>
      <c r="R314" s="30" t="str">
        <f t="array" ref="R314">IF($A314="", "", LET(bbgm_stat, INDEX(Players!$A313:$P313, MATCH(R$2, Players!$A$1:$P$1, 0)), perc_75, VLOOKUP(R$2, Percentiles!$A$45:$I$59, 6, FALSE), perc_90, VLOOKUP(R$2, Percentiles!$A$45:$I$59, 7, FALSE), perc_95, VLOOKUP(R$2, Percentiles!$A$45:$I$59, 8, FALSE), perc_85, perc_75 + (perc_90 - perc_75) * (2/3), converted_stat, '2K_Ratings'!R314, IF(bbgm_stat &gt;= perc_95, converted_stat * 3, IF(bbgm_stat &gt;= perc_90, converted_stat * 2, IF(bbgm_stat &gt;= perc_85, converted_stat * 1.5, converted_stat)))))</f>
        <v/>
      </c>
      <c r="S314" s="30" t="str">
        <f t="array" ref="S314">IF($A314="", "", LET(bbgm_stat, INDEX(Players!$A313:$P313, MATCH(S$2, Players!$A$1:$P$1, 0)), perc_75, VLOOKUP(S$2, Percentiles!$A$45:$I$59, 6, FALSE), perc_90, VLOOKUP(S$2, Percentiles!$A$45:$I$59, 7, FALSE), perc_95, VLOOKUP(S$2, Percentiles!$A$45:$I$59, 8, FALSE), perc_85, perc_75 + (perc_90 - perc_75) * (2/3), converted_stat, '2K_Ratings'!S314, IF(bbgm_stat &gt;= perc_95, converted_stat * 3, IF(bbgm_stat &gt;= perc_90, converted_stat * 2, IF(bbgm_stat &gt;= perc_85, converted_stat * 1.5, converted_stat)))))</f>
        <v/>
      </c>
      <c r="T314" s="30" t="str">
        <f t="array" ref="T314">IF($A314="", "", LET(bbgm_stat, INDEX(Players!$A313:$P313, MATCH(T$2, Players!$A$1:$P$1, 0)), perc_75, VLOOKUP(T$2, Percentiles!$A$45:$I$59, 6, FALSE), perc_90, VLOOKUP(T$2, Percentiles!$A$45:$I$59, 7, FALSE), perc_95, VLOOKUP(T$2, Percentiles!$A$45:$I$59, 8, FALSE), perc_85, perc_75 + (perc_90 - perc_75) * (2/3), converted_stat, '2K_Ratings'!T314, IF(bbgm_stat &gt;= perc_95, converted_stat * 3, IF(bbgm_stat &gt;= perc_90, converted_stat * 2, IF(bbgm_stat &gt;= perc_85, converted_stat * 1.5, converted_stat)))))</f>
        <v/>
      </c>
      <c r="U314" s="30" t="str">
        <f t="array" ref="U314">IF($A314="", "", LET(bbgm_stat, INDEX(Players!$A313:$P313, MATCH(U$2, Players!$A$1:$P$1, 0)), perc_75, VLOOKUP(U$2, Percentiles!$A$45:$I$59, 6, FALSE), perc_90, VLOOKUP(U$2, Percentiles!$A$45:$I$59, 7, FALSE), perc_95, VLOOKUP(U$2, Percentiles!$A$45:$I$59, 8, FALSE), perc_85, perc_75 + (perc_90 - perc_75) * (2/3), converted_stat, '2K_Ratings'!U314, IF(bbgm_stat &gt;= perc_95, converted_stat * 3, IF(bbgm_stat &gt;= perc_90, converted_stat * 2, IF(bbgm_stat &gt;= perc_85, converted_stat * 1.5, converted_stat)))))</f>
        <v/>
      </c>
      <c r="V314" s="30" t="str">
        <f t="array" ref="V314">IF($A314="", "", LET(bbgm_stat, INDEX(Players!$A313:$P313, MATCH(V$2, Players!$A$1:$P$1, 0)), perc_75, VLOOKUP(V$2, Percentiles!$A$45:$I$59, 6, FALSE), perc_90, VLOOKUP(V$2, Percentiles!$A$45:$I$59, 7, FALSE), perc_95, VLOOKUP(V$2, Percentiles!$A$45:$I$59, 8, FALSE), perc_85, perc_75 + (perc_90 - perc_75) * (2/3), converted_stat, '2K_Ratings'!V314, IF(bbgm_stat &gt;= perc_95, converted_stat * 3, IF(bbgm_stat &gt;= perc_90, converted_stat * 2, IF(bbgm_stat &gt;= perc_85, converted_stat * 1.5, converted_stat)))))</f>
        <v/>
      </c>
      <c r="W314" s="30" t="str">
        <f t="array" ref="W314">IF($A314="", "", LET(bbgm_stat, INDEX(Players!$A313:$P313, MATCH(W$2, Players!$A$1:$P$1, 0)), perc_75, VLOOKUP(W$2, Percentiles!$A$45:$I$59, 6, FALSE), perc_90, VLOOKUP(W$2, Percentiles!$A$45:$I$59, 7, FALSE), perc_95, VLOOKUP(W$2, Percentiles!$A$45:$I$59, 8, FALSE), perc_85, perc_75 + (perc_90 - perc_75) * (2/3), converted_stat, '2K_Ratings'!W314, IF(bbgm_stat &gt;= perc_95, converted_stat * 3, IF(bbgm_stat &gt;= perc_90, converted_stat * 2, IF(bbgm_stat &gt;= perc_85, converted_stat * 1.5, converted_stat)))))</f>
        <v/>
      </c>
    </row>
    <row r="315">
      <c r="A315" s="30"/>
      <c r="B315" s="30" t="str">
        <f t="array" ref="B315">IF($A315="", "", LET(bbgm_stat, INDEX(Players!$A314:$P314, MATCH(B$2, Players!$A$1:$P$1, 0)), perc_75, VLOOKUP(B$2, Percentiles!$A$45:$I$59, 6, FALSE), perc_90, VLOOKUP(B$2, Percentiles!$A$45:$I$59, 7, FALSE), perc_95, VLOOKUP(B$2, Percentiles!$A$45:$I$59, 8, FALSE), perc_85, perc_75 + (perc_90 - perc_75) * (2/3), converted_stat, '2K_Ratings'!B315, IF(bbgm_stat &gt;= perc_95, converted_stat * 3, IF(bbgm_stat &gt;= perc_90, converted_stat * 2, IF(bbgm_stat &gt;= perc_85, converted_stat * 1.5, converted_stat)))))</f>
        <v/>
      </c>
      <c r="C315" s="30" t="str">
        <f t="array" ref="C315">IF($A315="", "", LET(bbgm_stat, INDEX(Players!$A314:$P314, MATCH(C$2, Players!$A$1:$P$1, 0)), perc_75, VLOOKUP(C$2, Percentiles!$A$45:$I$59, 6, FALSE), perc_90, VLOOKUP(C$2, Percentiles!$A$45:$I$59, 7, FALSE), perc_95, VLOOKUP(C$2, Percentiles!$A$45:$I$59, 8, FALSE), perc_85, perc_75 + (perc_90 - perc_75) * (2/3), converted_stat, '2K_Ratings'!C315, IF(bbgm_stat &gt;= perc_95, converted_stat * 3, IF(bbgm_stat &gt;= perc_90, converted_stat * 2, IF(bbgm_stat &gt;= perc_85, converted_stat * 1.5, converted_stat)))))</f>
        <v/>
      </c>
      <c r="D315" s="30" t="str">
        <f t="array" ref="D315">IF($A315="", "", LET(bbgm_stat, INDEX(Players!$A314:$P314, MATCH(D$2, Players!$A$1:$P$1, 0)), perc_75, VLOOKUP(D$2, Percentiles!$A$45:$I$59, 6, FALSE), perc_90, VLOOKUP(D$2, Percentiles!$A$45:$I$59, 7, FALSE), perc_95, VLOOKUP(D$2, Percentiles!$A$45:$I$59, 8, FALSE), perc_85, perc_75 + (perc_90 - perc_75) * (2/3), converted_stat, '2K_Ratings'!D315, IF(bbgm_stat &gt;= perc_95, converted_stat * 3, IF(bbgm_stat &gt;= perc_90, converted_stat * 2, IF(bbgm_stat &gt;= perc_85, converted_stat * 1.5, converted_stat)))))</f>
        <v/>
      </c>
      <c r="E315" s="30" t="str">
        <f t="array" ref="E315">IF($A315="", "", LET(bbgm_stat, INDEX(Players!$A314:$P314, MATCH(E$2, Players!$A$1:$P$1, 0)), perc_75, VLOOKUP(E$2, Percentiles!$A$45:$I$59, 6, FALSE), perc_90, VLOOKUP(E$2, Percentiles!$A$45:$I$59, 7, FALSE), perc_95, VLOOKUP(E$2, Percentiles!$A$45:$I$59, 8, FALSE), perc_85, perc_75 + (perc_90 - perc_75) * (2/3), converted_stat, '2K_Ratings'!E315, IF(bbgm_stat &gt;= perc_95, converted_stat * 3, IF(bbgm_stat &gt;= perc_90, converted_stat * 2, IF(bbgm_stat &gt;= perc_85, converted_stat * 1.5, converted_stat)))))</f>
        <v/>
      </c>
      <c r="F315" s="30" t="str">
        <f t="array" ref="F315">IF($A315="", "", LET(bbgm_stat, INDEX(Players!$A314:$P314, MATCH(F$2, Players!$A$1:$P$1, 0)), perc_75, VLOOKUP(F$2, Percentiles!$A$45:$I$59, 6, FALSE), perc_90, VLOOKUP(F$2, Percentiles!$A$45:$I$59, 7, FALSE), perc_95, VLOOKUP(F$2, Percentiles!$A$45:$I$59, 8, FALSE), perc_85, perc_75 + (perc_90 - perc_75) * (2/3), converted_stat, '2K_Ratings'!F315, IF(bbgm_stat &gt;= perc_95, converted_stat * 3, IF(bbgm_stat &gt;= perc_90, converted_stat * 2, IF(bbgm_stat &gt;= perc_85, converted_stat * 1.5, converted_stat)))))</f>
        <v/>
      </c>
      <c r="G315" s="30" t="str">
        <f t="array" ref="G315">IF($A315="", "", LET(bbgm_stat, INDEX(Players!$A314:$P314, MATCH(G$2, Players!$A$1:$P$1, 0)), perc_75, VLOOKUP(G$2, Percentiles!$A$45:$I$59, 6, FALSE), perc_90, VLOOKUP(G$2, Percentiles!$A$45:$I$59, 7, FALSE), perc_95, VLOOKUP(G$2, Percentiles!$A$45:$I$59, 8, FALSE), perc_85, perc_75 + (perc_90 - perc_75) * (2/3), converted_stat, '2K_Ratings'!G315, IF(bbgm_stat &gt;= perc_95, converted_stat * 3, IF(bbgm_stat &gt;= perc_90, converted_stat * 2, IF(bbgm_stat &gt;= perc_85, converted_stat * 1.5, converted_stat)))))</f>
        <v/>
      </c>
      <c r="H315" s="30" t="str">
        <f t="array" ref="H315">IF($A315="", "", LET(bbgm_stat, INDEX(Players!$A314:$P314, MATCH(H$2, Players!$A$1:$P$1, 0)), perc_75, VLOOKUP(H$2, Percentiles!$A$45:$I$59, 6, FALSE), perc_90, VLOOKUP(H$2, Percentiles!$A$45:$I$59, 7, FALSE), perc_95, VLOOKUP(H$2, Percentiles!$A$45:$I$59, 8, FALSE), perc_85, perc_75 + (perc_90 - perc_75) * (2/3), converted_stat, '2K_Ratings'!H315, IF(bbgm_stat &gt;= perc_95, converted_stat * 3, IF(bbgm_stat &gt;= perc_90, converted_stat * 2, IF(bbgm_stat &gt;= perc_85, converted_stat * 1.5, converted_stat)))))</f>
        <v/>
      </c>
      <c r="I315" s="30" t="str">
        <f t="array" ref="I315">IF($A315="", "", LET(bbgm_stat, INDEX(Players!$A314:$P314, MATCH(I$2, Players!$A$1:$P$1, 0)), perc_75, VLOOKUP(I$2, Percentiles!$A$45:$I$59, 6, FALSE), perc_90, VLOOKUP(I$2, Percentiles!$A$45:$I$59, 7, FALSE), perc_95, VLOOKUP(I$2, Percentiles!$A$45:$I$59, 8, FALSE), perc_85, perc_75 + (perc_90 - perc_75) * (2/3), converted_stat, '2K_Ratings'!I315, IF(bbgm_stat &gt;= perc_95, converted_stat * 3, IF(bbgm_stat &gt;= perc_90, converted_stat * 2, IF(bbgm_stat &gt;= perc_85, converted_stat * 1.5, converted_stat)))))</f>
        <v/>
      </c>
      <c r="J315" s="30" t="str">
        <f t="array" ref="J315">IF($A315="", "", LET(bbgm_stat, INDEX(Players!$A314:$P314, MATCH(J$2, Players!$A$1:$P$1, 0)), perc_75, VLOOKUP(J$2, Percentiles!$A$45:$I$59, 6, FALSE), perc_90, VLOOKUP(J$2, Percentiles!$A$45:$I$59, 7, FALSE), perc_95, VLOOKUP(J$2, Percentiles!$A$45:$I$59, 8, FALSE), perc_85, perc_75 + (perc_90 - perc_75) * (2/3), converted_stat, '2K_Ratings'!J315, IF(bbgm_stat &gt;= perc_95, converted_stat * 3, IF(bbgm_stat &gt;= perc_90, converted_stat * 2, IF(bbgm_stat &gt;= perc_85, converted_stat * 1.5, converted_stat)))))</f>
        <v/>
      </c>
      <c r="K315" s="30" t="str">
        <f t="array" ref="K315">IF($A315="", "", LET(bbgm_stat, INDEX(Players!$A314:$P314, MATCH(K$2, Players!$A$1:$P$1, 0)), perc_75, VLOOKUP(K$2, Percentiles!$A$45:$I$59, 6, FALSE), perc_90, VLOOKUP(K$2, Percentiles!$A$45:$I$59, 7, FALSE), perc_95, VLOOKUP(K$2, Percentiles!$A$45:$I$59, 8, FALSE), perc_85, perc_75 + (perc_90 - perc_75) * (2/3), converted_stat, '2K_Ratings'!K315, IF(bbgm_stat &gt;= perc_95, converted_stat * 3, IF(bbgm_stat &gt;= perc_90, converted_stat * 2, IF(bbgm_stat &gt;= perc_85, converted_stat * 1.5, converted_stat)))))</f>
        <v/>
      </c>
      <c r="L315" s="30" t="str">
        <f t="array" ref="L315">IF($A315="", "", LET(bbgm_stat, INDEX(Players!$A314:$P314, MATCH(L$2, Players!$A$1:$P$1, 0)), perc_75, VLOOKUP(L$2, Percentiles!$A$45:$I$59, 6, FALSE), perc_90, VLOOKUP(L$2, Percentiles!$A$45:$I$59, 7, FALSE), perc_95, VLOOKUP(L$2, Percentiles!$A$45:$I$59, 8, FALSE), perc_85, perc_75 + (perc_90 - perc_75) * (2/3), converted_stat, '2K_Ratings'!L315, IF(bbgm_stat &gt;= perc_95, converted_stat * 3, IF(bbgm_stat &gt;= perc_90, converted_stat * 2, IF(bbgm_stat &gt;= perc_85, converted_stat * 1.5, converted_stat)))))</f>
        <v/>
      </c>
      <c r="M315" s="30" t="str">
        <f t="array" ref="M315">IF($A315="", "", LET(bbgm_stat, INDEX(Players!$A314:$P314, MATCH(M$2, Players!$A$1:$P$1, 0)), perc_75, VLOOKUP(M$2, Percentiles!$A$45:$I$59, 6, FALSE), perc_90, VLOOKUP(M$2, Percentiles!$A$45:$I$59, 7, FALSE), perc_95, VLOOKUP(M$2, Percentiles!$A$45:$I$59, 8, FALSE), perc_85, perc_75 + (perc_90 - perc_75) * (2/3), converted_stat, '2K_Ratings'!M315, IF(bbgm_stat &gt;= perc_95, converted_stat * 3, IF(bbgm_stat &gt;= perc_90, converted_stat * 2, IF(bbgm_stat &gt;= perc_85, converted_stat * 1.5, converted_stat)))))</f>
        <v/>
      </c>
      <c r="N315" s="30" t="str">
        <f t="array" ref="N315">IF($A315="", "", LET(bbgm_stat, INDEX(Players!$A314:$P314, MATCH(N$2, Players!$A$1:$P$1, 0)), perc_75, VLOOKUP(N$2, Percentiles!$A$45:$I$59, 6, FALSE), perc_90, VLOOKUP(N$2, Percentiles!$A$45:$I$59, 7, FALSE), perc_95, VLOOKUP(N$2, Percentiles!$A$45:$I$59, 8, FALSE), perc_85, perc_75 + (perc_90 - perc_75) * (2/3), converted_stat, '2K_Ratings'!N315, IF(bbgm_stat &gt;= perc_95, converted_stat * 3, IF(bbgm_stat &gt;= perc_90, converted_stat * 2, IF(bbgm_stat &gt;= perc_85, converted_stat * 1.5, converted_stat)))))</f>
        <v/>
      </c>
      <c r="O315" s="30" t="str">
        <f t="array" ref="O315">IF($A315="", "", LET(bbgm_stat, INDEX(Players!$A314:$P314, MATCH(O$2, Players!$A$1:$P$1, 0)), perc_75, VLOOKUP(O$2, Percentiles!$A$45:$I$59, 6, FALSE), perc_90, VLOOKUP(O$2, Percentiles!$A$45:$I$59, 7, FALSE), perc_95, VLOOKUP(O$2, Percentiles!$A$45:$I$59, 8, FALSE), perc_85, perc_75 + (perc_90 - perc_75) * (2/3), converted_stat, '2K_Ratings'!O315, IF(bbgm_stat &gt;= perc_95, converted_stat * 3, IF(bbgm_stat &gt;= perc_90, converted_stat * 2, IF(bbgm_stat &gt;= perc_85, converted_stat * 1.5, converted_stat)))))</f>
        <v/>
      </c>
      <c r="P315" s="30" t="str">
        <f t="array" ref="P315">IF($A315="", "", LET(bbgm_stat, INDEX(Players!$A314:$P314, MATCH(P$2, Players!$A$1:$P$1, 0)), perc_75, VLOOKUP(P$2, Percentiles!$A$45:$I$59, 6, FALSE), perc_90, VLOOKUP(P$2, Percentiles!$A$45:$I$59, 7, FALSE), perc_95, VLOOKUP(P$2, Percentiles!$A$45:$I$59, 8, FALSE), perc_85, perc_75 + (perc_90 - perc_75) * (2/3), converted_stat, '2K_Ratings'!P315, IF(bbgm_stat &gt;= perc_95, converted_stat * 3, IF(bbgm_stat &gt;= perc_90, converted_stat * 2, IF(bbgm_stat &gt;= perc_85, converted_stat * 1.5, converted_stat)))))</f>
        <v/>
      </c>
      <c r="Q315" s="30" t="str">
        <f t="array" ref="Q315">IF($A315="", "", LET(bbgm_stat, INDEX(Players!$A314:$P314, MATCH(Q$2, Players!$A$1:$P$1, 0)), perc_75, VLOOKUP(Q$2, Percentiles!$A$45:$I$59, 6, FALSE), perc_90, VLOOKUP(Q$2, Percentiles!$A$45:$I$59, 7, FALSE), perc_95, VLOOKUP(Q$2, Percentiles!$A$45:$I$59, 8, FALSE), perc_85, perc_75 + (perc_90 - perc_75) * (2/3), converted_stat, '2K_Ratings'!Q315, IF(bbgm_stat &gt;= perc_95, converted_stat * 3, IF(bbgm_stat &gt;= perc_90, converted_stat * 2, IF(bbgm_stat &gt;= perc_85, converted_stat * 1.5, converted_stat)))))</f>
        <v/>
      </c>
      <c r="R315" s="30" t="str">
        <f t="array" ref="R315">IF($A315="", "", LET(bbgm_stat, INDEX(Players!$A314:$P314, MATCH(R$2, Players!$A$1:$P$1, 0)), perc_75, VLOOKUP(R$2, Percentiles!$A$45:$I$59, 6, FALSE), perc_90, VLOOKUP(R$2, Percentiles!$A$45:$I$59, 7, FALSE), perc_95, VLOOKUP(R$2, Percentiles!$A$45:$I$59, 8, FALSE), perc_85, perc_75 + (perc_90 - perc_75) * (2/3), converted_stat, '2K_Ratings'!R315, IF(bbgm_stat &gt;= perc_95, converted_stat * 3, IF(bbgm_stat &gt;= perc_90, converted_stat * 2, IF(bbgm_stat &gt;= perc_85, converted_stat * 1.5, converted_stat)))))</f>
        <v/>
      </c>
      <c r="S315" s="30" t="str">
        <f t="array" ref="S315">IF($A315="", "", LET(bbgm_stat, INDEX(Players!$A314:$P314, MATCH(S$2, Players!$A$1:$P$1, 0)), perc_75, VLOOKUP(S$2, Percentiles!$A$45:$I$59, 6, FALSE), perc_90, VLOOKUP(S$2, Percentiles!$A$45:$I$59, 7, FALSE), perc_95, VLOOKUP(S$2, Percentiles!$A$45:$I$59, 8, FALSE), perc_85, perc_75 + (perc_90 - perc_75) * (2/3), converted_stat, '2K_Ratings'!S315, IF(bbgm_stat &gt;= perc_95, converted_stat * 3, IF(bbgm_stat &gt;= perc_90, converted_stat * 2, IF(bbgm_stat &gt;= perc_85, converted_stat * 1.5, converted_stat)))))</f>
        <v/>
      </c>
      <c r="T315" s="30" t="str">
        <f t="array" ref="T315">IF($A315="", "", LET(bbgm_stat, INDEX(Players!$A314:$P314, MATCH(T$2, Players!$A$1:$P$1, 0)), perc_75, VLOOKUP(T$2, Percentiles!$A$45:$I$59, 6, FALSE), perc_90, VLOOKUP(T$2, Percentiles!$A$45:$I$59, 7, FALSE), perc_95, VLOOKUP(T$2, Percentiles!$A$45:$I$59, 8, FALSE), perc_85, perc_75 + (perc_90 - perc_75) * (2/3), converted_stat, '2K_Ratings'!T315, IF(bbgm_stat &gt;= perc_95, converted_stat * 3, IF(bbgm_stat &gt;= perc_90, converted_stat * 2, IF(bbgm_stat &gt;= perc_85, converted_stat * 1.5, converted_stat)))))</f>
        <v/>
      </c>
      <c r="U315" s="30" t="str">
        <f t="array" ref="U315">IF($A315="", "", LET(bbgm_stat, INDEX(Players!$A314:$P314, MATCH(U$2, Players!$A$1:$P$1, 0)), perc_75, VLOOKUP(U$2, Percentiles!$A$45:$I$59, 6, FALSE), perc_90, VLOOKUP(U$2, Percentiles!$A$45:$I$59, 7, FALSE), perc_95, VLOOKUP(U$2, Percentiles!$A$45:$I$59, 8, FALSE), perc_85, perc_75 + (perc_90 - perc_75) * (2/3), converted_stat, '2K_Ratings'!U315, IF(bbgm_stat &gt;= perc_95, converted_stat * 3, IF(bbgm_stat &gt;= perc_90, converted_stat * 2, IF(bbgm_stat &gt;= perc_85, converted_stat * 1.5, converted_stat)))))</f>
        <v/>
      </c>
      <c r="V315" s="30" t="str">
        <f t="array" ref="V315">IF($A315="", "", LET(bbgm_stat, INDEX(Players!$A314:$P314, MATCH(V$2, Players!$A$1:$P$1, 0)), perc_75, VLOOKUP(V$2, Percentiles!$A$45:$I$59, 6, FALSE), perc_90, VLOOKUP(V$2, Percentiles!$A$45:$I$59, 7, FALSE), perc_95, VLOOKUP(V$2, Percentiles!$A$45:$I$59, 8, FALSE), perc_85, perc_75 + (perc_90 - perc_75) * (2/3), converted_stat, '2K_Ratings'!V315, IF(bbgm_stat &gt;= perc_95, converted_stat * 3, IF(bbgm_stat &gt;= perc_90, converted_stat * 2, IF(bbgm_stat &gt;= perc_85, converted_stat * 1.5, converted_stat)))))</f>
        <v/>
      </c>
      <c r="W315" s="30" t="str">
        <f t="array" ref="W315">IF($A315="", "", LET(bbgm_stat, INDEX(Players!$A314:$P314, MATCH(W$2, Players!$A$1:$P$1, 0)), perc_75, VLOOKUP(W$2, Percentiles!$A$45:$I$59, 6, FALSE), perc_90, VLOOKUP(W$2, Percentiles!$A$45:$I$59, 7, FALSE), perc_95, VLOOKUP(W$2, Percentiles!$A$45:$I$59, 8, FALSE), perc_85, perc_75 + (perc_90 - perc_75) * (2/3), converted_stat, '2K_Ratings'!W315, IF(bbgm_stat &gt;= perc_95, converted_stat * 3, IF(bbgm_stat &gt;= perc_90, converted_stat * 2, IF(bbgm_stat &gt;= perc_85, converted_stat * 1.5, converted_stat)))))</f>
        <v/>
      </c>
    </row>
    <row r="316">
      <c r="A316" s="30"/>
      <c r="B316" s="30" t="str">
        <f t="array" ref="B316">IF($A316="", "", LET(bbgm_stat, INDEX(Players!$A315:$P315, MATCH(B$2, Players!$A$1:$P$1, 0)), perc_75, VLOOKUP(B$2, Percentiles!$A$45:$I$59, 6, FALSE), perc_90, VLOOKUP(B$2, Percentiles!$A$45:$I$59, 7, FALSE), perc_95, VLOOKUP(B$2, Percentiles!$A$45:$I$59, 8, FALSE), perc_85, perc_75 + (perc_90 - perc_75) * (2/3), converted_stat, '2K_Ratings'!B316, IF(bbgm_stat &gt;= perc_95, converted_stat * 3, IF(bbgm_stat &gt;= perc_90, converted_stat * 2, IF(bbgm_stat &gt;= perc_85, converted_stat * 1.5, converted_stat)))))</f>
        <v/>
      </c>
      <c r="C316" s="30" t="str">
        <f t="array" ref="C316">IF($A316="", "", LET(bbgm_stat, INDEX(Players!$A315:$P315, MATCH(C$2, Players!$A$1:$P$1, 0)), perc_75, VLOOKUP(C$2, Percentiles!$A$45:$I$59, 6, FALSE), perc_90, VLOOKUP(C$2, Percentiles!$A$45:$I$59, 7, FALSE), perc_95, VLOOKUP(C$2, Percentiles!$A$45:$I$59, 8, FALSE), perc_85, perc_75 + (perc_90 - perc_75) * (2/3), converted_stat, '2K_Ratings'!C316, IF(bbgm_stat &gt;= perc_95, converted_stat * 3, IF(bbgm_stat &gt;= perc_90, converted_stat * 2, IF(bbgm_stat &gt;= perc_85, converted_stat * 1.5, converted_stat)))))</f>
        <v/>
      </c>
      <c r="D316" s="30" t="str">
        <f t="array" ref="D316">IF($A316="", "", LET(bbgm_stat, INDEX(Players!$A315:$P315, MATCH(D$2, Players!$A$1:$P$1, 0)), perc_75, VLOOKUP(D$2, Percentiles!$A$45:$I$59, 6, FALSE), perc_90, VLOOKUP(D$2, Percentiles!$A$45:$I$59, 7, FALSE), perc_95, VLOOKUP(D$2, Percentiles!$A$45:$I$59, 8, FALSE), perc_85, perc_75 + (perc_90 - perc_75) * (2/3), converted_stat, '2K_Ratings'!D316, IF(bbgm_stat &gt;= perc_95, converted_stat * 3, IF(bbgm_stat &gt;= perc_90, converted_stat * 2, IF(bbgm_stat &gt;= perc_85, converted_stat * 1.5, converted_stat)))))</f>
        <v/>
      </c>
      <c r="E316" s="30" t="str">
        <f t="array" ref="E316">IF($A316="", "", LET(bbgm_stat, INDEX(Players!$A315:$P315, MATCH(E$2, Players!$A$1:$P$1, 0)), perc_75, VLOOKUP(E$2, Percentiles!$A$45:$I$59, 6, FALSE), perc_90, VLOOKUP(E$2, Percentiles!$A$45:$I$59, 7, FALSE), perc_95, VLOOKUP(E$2, Percentiles!$A$45:$I$59, 8, FALSE), perc_85, perc_75 + (perc_90 - perc_75) * (2/3), converted_stat, '2K_Ratings'!E316, IF(bbgm_stat &gt;= perc_95, converted_stat * 3, IF(bbgm_stat &gt;= perc_90, converted_stat * 2, IF(bbgm_stat &gt;= perc_85, converted_stat * 1.5, converted_stat)))))</f>
        <v/>
      </c>
      <c r="F316" s="30" t="str">
        <f t="array" ref="F316">IF($A316="", "", LET(bbgm_stat, INDEX(Players!$A315:$P315, MATCH(F$2, Players!$A$1:$P$1, 0)), perc_75, VLOOKUP(F$2, Percentiles!$A$45:$I$59, 6, FALSE), perc_90, VLOOKUP(F$2, Percentiles!$A$45:$I$59, 7, FALSE), perc_95, VLOOKUP(F$2, Percentiles!$A$45:$I$59, 8, FALSE), perc_85, perc_75 + (perc_90 - perc_75) * (2/3), converted_stat, '2K_Ratings'!F316, IF(bbgm_stat &gt;= perc_95, converted_stat * 3, IF(bbgm_stat &gt;= perc_90, converted_stat * 2, IF(bbgm_stat &gt;= perc_85, converted_stat * 1.5, converted_stat)))))</f>
        <v/>
      </c>
      <c r="G316" s="30" t="str">
        <f t="array" ref="G316">IF($A316="", "", LET(bbgm_stat, INDEX(Players!$A315:$P315, MATCH(G$2, Players!$A$1:$P$1, 0)), perc_75, VLOOKUP(G$2, Percentiles!$A$45:$I$59, 6, FALSE), perc_90, VLOOKUP(G$2, Percentiles!$A$45:$I$59, 7, FALSE), perc_95, VLOOKUP(G$2, Percentiles!$A$45:$I$59, 8, FALSE), perc_85, perc_75 + (perc_90 - perc_75) * (2/3), converted_stat, '2K_Ratings'!G316, IF(bbgm_stat &gt;= perc_95, converted_stat * 3, IF(bbgm_stat &gt;= perc_90, converted_stat * 2, IF(bbgm_stat &gt;= perc_85, converted_stat * 1.5, converted_stat)))))</f>
        <v/>
      </c>
      <c r="H316" s="30" t="str">
        <f t="array" ref="H316">IF($A316="", "", LET(bbgm_stat, INDEX(Players!$A315:$P315, MATCH(H$2, Players!$A$1:$P$1, 0)), perc_75, VLOOKUP(H$2, Percentiles!$A$45:$I$59, 6, FALSE), perc_90, VLOOKUP(H$2, Percentiles!$A$45:$I$59, 7, FALSE), perc_95, VLOOKUP(H$2, Percentiles!$A$45:$I$59, 8, FALSE), perc_85, perc_75 + (perc_90 - perc_75) * (2/3), converted_stat, '2K_Ratings'!H316, IF(bbgm_stat &gt;= perc_95, converted_stat * 3, IF(bbgm_stat &gt;= perc_90, converted_stat * 2, IF(bbgm_stat &gt;= perc_85, converted_stat * 1.5, converted_stat)))))</f>
        <v/>
      </c>
      <c r="I316" s="30" t="str">
        <f t="array" ref="I316">IF($A316="", "", LET(bbgm_stat, INDEX(Players!$A315:$P315, MATCH(I$2, Players!$A$1:$P$1, 0)), perc_75, VLOOKUP(I$2, Percentiles!$A$45:$I$59, 6, FALSE), perc_90, VLOOKUP(I$2, Percentiles!$A$45:$I$59, 7, FALSE), perc_95, VLOOKUP(I$2, Percentiles!$A$45:$I$59, 8, FALSE), perc_85, perc_75 + (perc_90 - perc_75) * (2/3), converted_stat, '2K_Ratings'!I316, IF(bbgm_stat &gt;= perc_95, converted_stat * 3, IF(bbgm_stat &gt;= perc_90, converted_stat * 2, IF(bbgm_stat &gt;= perc_85, converted_stat * 1.5, converted_stat)))))</f>
        <v/>
      </c>
      <c r="J316" s="30" t="str">
        <f t="array" ref="J316">IF($A316="", "", LET(bbgm_stat, INDEX(Players!$A315:$P315, MATCH(J$2, Players!$A$1:$P$1, 0)), perc_75, VLOOKUP(J$2, Percentiles!$A$45:$I$59, 6, FALSE), perc_90, VLOOKUP(J$2, Percentiles!$A$45:$I$59, 7, FALSE), perc_95, VLOOKUP(J$2, Percentiles!$A$45:$I$59, 8, FALSE), perc_85, perc_75 + (perc_90 - perc_75) * (2/3), converted_stat, '2K_Ratings'!J316, IF(bbgm_stat &gt;= perc_95, converted_stat * 3, IF(bbgm_stat &gt;= perc_90, converted_stat * 2, IF(bbgm_stat &gt;= perc_85, converted_stat * 1.5, converted_stat)))))</f>
        <v/>
      </c>
      <c r="K316" s="30" t="str">
        <f t="array" ref="K316">IF($A316="", "", LET(bbgm_stat, INDEX(Players!$A315:$P315, MATCH(K$2, Players!$A$1:$P$1, 0)), perc_75, VLOOKUP(K$2, Percentiles!$A$45:$I$59, 6, FALSE), perc_90, VLOOKUP(K$2, Percentiles!$A$45:$I$59, 7, FALSE), perc_95, VLOOKUP(K$2, Percentiles!$A$45:$I$59, 8, FALSE), perc_85, perc_75 + (perc_90 - perc_75) * (2/3), converted_stat, '2K_Ratings'!K316, IF(bbgm_stat &gt;= perc_95, converted_stat * 3, IF(bbgm_stat &gt;= perc_90, converted_stat * 2, IF(bbgm_stat &gt;= perc_85, converted_stat * 1.5, converted_stat)))))</f>
        <v/>
      </c>
      <c r="L316" s="30" t="str">
        <f t="array" ref="L316">IF($A316="", "", LET(bbgm_stat, INDEX(Players!$A315:$P315, MATCH(L$2, Players!$A$1:$P$1, 0)), perc_75, VLOOKUP(L$2, Percentiles!$A$45:$I$59, 6, FALSE), perc_90, VLOOKUP(L$2, Percentiles!$A$45:$I$59, 7, FALSE), perc_95, VLOOKUP(L$2, Percentiles!$A$45:$I$59, 8, FALSE), perc_85, perc_75 + (perc_90 - perc_75) * (2/3), converted_stat, '2K_Ratings'!L316, IF(bbgm_stat &gt;= perc_95, converted_stat * 3, IF(bbgm_stat &gt;= perc_90, converted_stat * 2, IF(bbgm_stat &gt;= perc_85, converted_stat * 1.5, converted_stat)))))</f>
        <v/>
      </c>
      <c r="M316" s="30" t="str">
        <f t="array" ref="M316">IF($A316="", "", LET(bbgm_stat, INDEX(Players!$A315:$P315, MATCH(M$2, Players!$A$1:$P$1, 0)), perc_75, VLOOKUP(M$2, Percentiles!$A$45:$I$59, 6, FALSE), perc_90, VLOOKUP(M$2, Percentiles!$A$45:$I$59, 7, FALSE), perc_95, VLOOKUP(M$2, Percentiles!$A$45:$I$59, 8, FALSE), perc_85, perc_75 + (perc_90 - perc_75) * (2/3), converted_stat, '2K_Ratings'!M316, IF(bbgm_stat &gt;= perc_95, converted_stat * 3, IF(bbgm_stat &gt;= perc_90, converted_stat * 2, IF(bbgm_stat &gt;= perc_85, converted_stat * 1.5, converted_stat)))))</f>
        <v/>
      </c>
      <c r="N316" s="30" t="str">
        <f t="array" ref="N316">IF($A316="", "", LET(bbgm_stat, INDEX(Players!$A315:$P315, MATCH(N$2, Players!$A$1:$P$1, 0)), perc_75, VLOOKUP(N$2, Percentiles!$A$45:$I$59, 6, FALSE), perc_90, VLOOKUP(N$2, Percentiles!$A$45:$I$59, 7, FALSE), perc_95, VLOOKUP(N$2, Percentiles!$A$45:$I$59, 8, FALSE), perc_85, perc_75 + (perc_90 - perc_75) * (2/3), converted_stat, '2K_Ratings'!N316, IF(bbgm_stat &gt;= perc_95, converted_stat * 3, IF(bbgm_stat &gt;= perc_90, converted_stat * 2, IF(bbgm_stat &gt;= perc_85, converted_stat * 1.5, converted_stat)))))</f>
        <v/>
      </c>
      <c r="O316" s="30" t="str">
        <f t="array" ref="O316">IF($A316="", "", LET(bbgm_stat, INDEX(Players!$A315:$P315, MATCH(O$2, Players!$A$1:$P$1, 0)), perc_75, VLOOKUP(O$2, Percentiles!$A$45:$I$59, 6, FALSE), perc_90, VLOOKUP(O$2, Percentiles!$A$45:$I$59, 7, FALSE), perc_95, VLOOKUP(O$2, Percentiles!$A$45:$I$59, 8, FALSE), perc_85, perc_75 + (perc_90 - perc_75) * (2/3), converted_stat, '2K_Ratings'!O316, IF(bbgm_stat &gt;= perc_95, converted_stat * 3, IF(bbgm_stat &gt;= perc_90, converted_stat * 2, IF(bbgm_stat &gt;= perc_85, converted_stat * 1.5, converted_stat)))))</f>
        <v/>
      </c>
      <c r="P316" s="30" t="str">
        <f t="array" ref="P316">IF($A316="", "", LET(bbgm_stat, INDEX(Players!$A315:$P315, MATCH(P$2, Players!$A$1:$P$1, 0)), perc_75, VLOOKUP(P$2, Percentiles!$A$45:$I$59, 6, FALSE), perc_90, VLOOKUP(P$2, Percentiles!$A$45:$I$59, 7, FALSE), perc_95, VLOOKUP(P$2, Percentiles!$A$45:$I$59, 8, FALSE), perc_85, perc_75 + (perc_90 - perc_75) * (2/3), converted_stat, '2K_Ratings'!P316, IF(bbgm_stat &gt;= perc_95, converted_stat * 3, IF(bbgm_stat &gt;= perc_90, converted_stat * 2, IF(bbgm_stat &gt;= perc_85, converted_stat * 1.5, converted_stat)))))</f>
        <v/>
      </c>
      <c r="Q316" s="30" t="str">
        <f t="array" ref="Q316">IF($A316="", "", LET(bbgm_stat, INDEX(Players!$A315:$P315, MATCH(Q$2, Players!$A$1:$P$1, 0)), perc_75, VLOOKUP(Q$2, Percentiles!$A$45:$I$59, 6, FALSE), perc_90, VLOOKUP(Q$2, Percentiles!$A$45:$I$59, 7, FALSE), perc_95, VLOOKUP(Q$2, Percentiles!$A$45:$I$59, 8, FALSE), perc_85, perc_75 + (perc_90 - perc_75) * (2/3), converted_stat, '2K_Ratings'!Q316, IF(bbgm_stat &gt;= perc_95, converted_stat * 3, IF(bbgm_stat &gt;= perc_90, converted_stat * 2, IF(bbgm_stat &gt;= perc_85, converted_stat * 1.5, converted_stat)))))</f>
        <v/>
      </c>
      <c r="R316" s="30" t="str">
        <f t="array" ref="R316">IF($A316="", "", LET(bbgm_stat, INDEX(Players!$A315:$P315, MATCH(R$2, Players!$A$1:$P$1, 0)), perc_75, VLOOKUP(R$2, Percentiles!$A$45:$I$59, 6, FALSE), perc_90, VLOOKUP(R$2, Percentiles!$A$45:$I$59, 7, FALSE), perc_95, VLOOKUP(R$2, Percentiles!$A$45:$I$59, 8, FALSE), perc_85, perc_75 + (perc_90 - perc_75) * (2/3), converted_stat, '2K_Ratings'!R316, IF(bbgm_stat &gt;= perc_95, converted_stat * 3, IF(bbgm_stat &gt;= perc_90, converted_stat * 2, IF(bbgm_stat &gt;= perc_85, converted_stat * 1.5, converted_stat)))))</f>
        <v/>
      </c>
      <c r="S316" s="30" t="str">
        <f t="array" ref="S316">IF($A316="", "", LET(bbgm_stat, INDEX(Players!$A315:$P315, MATCH(S$2, Players!$A$1:$P$1, 0)), perc_75, VLOOKUP(S$2, Percentiles!$A$45:$I$59, 6, FALSE), perc_90, VLOOKUP(S$2, Percentiles!$A$45:$I$59, 7, FALSE), perc_95, VLOOKUP(S$2, Percentiles!$A$45:$I$59, 8, FALSE), perc_85, perc_75 + (perc_90 - perc_75) * (2/3), converted_stat, '2K_Ratings'!S316, IF(bbgm_stat &gt;= perc_95, converted_stat * 3, IF(bbgm_stat &gt;= perc_90, converted_stat * 2, IF(bbgm_stat &gt;= perc_85, converted_stat * 1.5, converted_stat)))))</f>
        <v/>
      </c>
      <c r="T316" s="30" t="str">
        <f t="array" ref="T316">IF($A316="", "", LET(bbgm_stat, INDEX(Players!$A315:$P315, MATCH(T$2, Players!$A$1:$P$1, 0)), perc_75, VLOOKUP(T$2, Percentiles!$A$45:$I$59, 6, FALSE), perc_90, VLOOKUP(T$2, Percentiles!$A$45:$I$59, 7, FALSE), perc_95, VLOOKUP(T$2, Percentiles!$A$45:$I$59, 8, FALSE), perc_85, perc_75 + (perc_90 - perc_75) * (2/3), converted_stat, '2K_Ratings'!T316, IF(bbgm_stat &gt;= perc_95, converted_stat * 3, IF(bbgm_stat &gt;= perc_90, converted_stat * 2, IF(bbgm_stat &gt;= perc_85, converted_stat * 1.5, converted_stat)))))</f>
        <v/>
      </c>
      <c r="U316" s="30" t="str">
        <f t="array" ref="U316">IF($A316="", "", LET(bbgm_stat, INDEX(Players!$A315:$P315, MATCH(U$2, Players!$A$1:$P$1, 0)), perc_75, VLOOKUP(U$2, Percentiles!$A$45:$I$59, 6, FALSE), perc_90, VLOOKUP(U$2, Percentiles!$A$45:$I$59, 7, FALSE), perc_95, VLOOKUP(U$2, Percentiles!$A$45:$I$59, 8, FALSE), perc_85, perc_75 + (perc_90 - perc_75) * (2/3), converted_stat, '2K_Ratings'!U316, IF(bbgm_stat &gt;= perc_95, converted_stat * 3, IF(bbgm_stat &gt;= perc_90, converted_stat * 2, IF(bbgm_stat &gt;= perc_85, converted_stat * 1.5, converted_stat)))))</f>
        <v/>
      </c>
      <c r="V316" s="30" t="str">
        <f t="array" ref="V316">IF($A316="", "", LET(bbgm_stat, INDEX(Players!$A315:$P315, MATCH(V$2, Players!$A$1:$P$1, 0)), perc_75, VLOOKUP(V$2, Percentiles!$A$45:$I$59, 6, FALSE), perc_90, VLOOKUP(V$2, Percentiles!$A$45:$I$59, 7, FALSE), perc_95, VLOOKUP(V$2, Percentiles!$A$45:$I$59, 8, FALSE), perc_85, perc_75 + (perc_90 - perc_75) * (2/3), converted_stat, '2K_Ratings'!V316, IF(bbgm_stat &gt;= perc_95, converted_stat * 3, IF(bbgm_stat &gt;= perc_90, converted_stat * 2, IF(bbgm_stat &gt;= perc_85, converted_stat * 1.5, converted_stat)))))</f>
        <v/>
      </c>
      <c r="W316" s="30" t="str">
        <f t="array" ref="W316">IF($A316="", "", LET(bbgm_stat, INDEX(Players!$A315:$P315, MATCH(W$2, Players!$A$1:$P$1, 0)), perc_75, VLOOKUP(W$2, Percentiles!$A$45:$I$59, 6, FALSE), perc_90, VLOOKUP(W$2, Percentiles!$A$45:$I$59, 7, FALSE), perc_95, VLOOKUP(W$2, Percentiles!$A$45:$I$59, 8, FALSE), perc_85, perc_75 + (perc_90 - perc_75) * (2/3), converted_stat, '2K_Ratings'!W316, IF(bbgm_stat &gt;= perc_95, converted_stat * 3, IF(bbgm_stat &gt;= perc_90, converted_stat * 2, IF(bbgm_stat &gt;= perc_85, converted_stat * 1.5, converted_stat)))))</f>
        <v/>
      </c>
    </row>
    <row r="317">
      <c r="A317" s="30"/>
      <c r="B317" s="30" t="str">
        <f t="array" ref="B317">IF($A317="", "", LET(bbgm_stat, INDEX(Players!$A316:$P316, MATCH(B$2, Players!$A$1:$P$1, 0)), perc_75, VLOOKUP(B$2, Percentiles!$A$45:$I$59, 6, FALSE), perc_90, VLOOKUP(B$2, Percentiles!$A$45:$I$59, 7, FALSE), perc_95, VLOOKUP(B$2, Percentiles!$A$45:$I$59, 8, FALSE), perc_85, perc_75 + (perc_90 - perc_75) * (2/3), converted_stat, '2K_Ratings'!B317, IF(bbgm_stat &gt;= perc_95, converted_stat * 3, IF(bbgm_stat &gt;= perc_90, converted_stat * 2, IF(bbgm_stat &gt;= perc_85, converted_stat * 1.5, converted_stat)))))</f>
        <v/>
      </c>
      <c r="C317" s="30" t="str">
        <f t="array" ref="C317">IF($A317="", "", LET(bbgm_stat, INDEX(Players!$A316:$P316, MATCH(C$2, Players!$A$1:$P$1, 0)), perc_75, VLOOKUP(C$2, Percentiles!$A$45:$I$59, 6, FALSE), perc_90, VLOOKUP(C$2, Percentiles!$A$45:$I$59, 7, FALSE), perc_95, VLOOKUP(C$2, Percentiles!$A$45:$I$59, 8, FALSE), perc_85, perc_75 + (perc_90 - perc_75) * (2/3), converted_stat, '2K_Ratings'!C317, IF(bbgm_stat &gt;= perc_95, converted_stat * 3, IF(bbgm_stat &gt;= perc_90, converted_stat * 2, IF(bbgm_stat &gt;= perc_85, converted_stat * 1.5, converted_stat)))))</f>
        <v/>
      </c>
      <c r="D317" s="30" t="str">
        <f t="array" ref="D317">IF($A317="", "", LET(bbgm_stat, INDEX(Players!$A316:$P316, MATCH(D$2, Players!$A$1:$P$1, 0)), perc_75, VLOOKUP(D$2, Percentiles!$A$45:$I$59, 6, FALSE), perc_90, VLOOKUP(D$2, Percentiles!$A$45:$I$59, 7, FALSE), perc_95, VLOOKUP(D$2, Percentiles!$A$45:$I$59, 8, FALSE), perc_85, perc_75 + (perc_90 - perc_75) * (2/3), converted_stat, '2K_Ratings'!D317, IF(bbgm_stat &gt;= perc_95, converted_stat * 3, IF(bbgm_stat &gt;= perc_90, converted_stat * 2, IF(bbgm_stat &gt;= perc_85, converted_stat * 1.5, converted_stat)))))</f>
        <v/>
      </c>
      <c r="E317" s="30" t="str">
        <f t="array" ref="E317">IF($A317="", "", LET(bbgm_stat, INDEX(Players!$A316:$P316, MATCH(E$2, Players!$A$1:$P$1, 0)), perc_75, VLOOKUP(E$2, Percentiles!$A$45:$I$59, 6, FALSE), perc_90, VLOOKUP(E$2, Percentiles!$A$45:$I$59, 7, FALSE), perc_95, VLOOKUP(E$2, Percentiles!$A$45:$I$59, 8, FALSE), perc_85, perc_75 + (perc_90 - perc_75) * (2/3), converted_stat, '2K_Ratings'!E317, IF(bbgm_stat &gt;= perc_95, converted_stat * 3, IF(bbgm_stat &gt;= perc_90, converted_stat * 2, IF(bbgm_stat &gt;= perc_85, converted_stat * 1.5, converted_stat)))))</f>
        <v/>
      </c>
      <c r="F317" s="30" t="str">
        <f t="array" ref="F317">IF($A317="", "", LET(bbgm_stat, INDEX(Players!$A316:$P316, MATCH(F$2, Players!$A$1:$P$1, 0)), perc_75, VLOOKUP(F$2, Percentiles!$A$45:$I$59, 6, FALSE), perc_90, VLOOKUP(F$2, Percentiles!$A$45:$I$59, 7, FALSE), perc_95, VLOOKUP(F$2, Percentiles!$A$45:$I$59, 8, FALSE), perc_85, perc_75 + (perc_90 - perc_75) * (2/3), converted_stat, '2K_Ratings'!F317, IF(bbgm_stat &gt;= perc_95, converted_stat * 3, IF(bbgm_stat &gt;= perc_90, converted_stat * 2, IF(bbgm_stat &gt;= perc_85, converted_stat * 1.5, converted_stat)))))</f>
        <v/>
      </c>
      <c r="G317" s="30" t="str">
        <f t="array" ref="G317">IF($A317="", "", LET(bbgm_stat, INDEX(Players!$A316:$P316, MATCH(G$2, Players!$A$1:$P$1, 0)), perc_75, VLOOKUP(G$2, Percentiles!$A$45:$I$59, 6, FALSE), perc_90, VLOOKUP(G$2, Percentiles!$A$45:$I$59, 7, FALSE), perc_95, VLOOKUP(G$2, Percentiles!$A$45:$I$59, 8, FALSE), perc_85, perc_75 + (perc_90 - perc_75) * (2/3), converted_stat, '2K_Ratings'!G317, IF(bbgm_stat &gt;= perc_95, converted_stat * 3, IF(bbgm_stat &gt;= perc_90, converted_stat * 2, IF(bbgm_stat &gt;= perc_85, converted_stat * 1.5, converted_stat)))))</f>
        <v/>
      </c>
      <c r="H317" s="30" t="str">
        <f t="array" ref="H317">IF($A317="", "", LET(bbgm_stat, INDEX(Players!$A316:$P316, MATCH(H$2, Players!$A$1:$P$1, 0)), perc_75, VLOOKUP(H$2, Percentiles!$A$45:$I$59, 6, FALSE), perc_90, VLOOKUP(H$2, Percentiles!$A$45:$I$59, 7, FALSE), perc_95, VLOOKUP(H$2, Percentiles!$A$45:$I$59, 8, FALSE), perc_85, perc_75 + (perc_90 - perc_75) * (2/3), converted_stat, '2K_Ratings'!H317, IF(bbgm_stat &gt;= perc_95, converted_stat * 3, IF(bbgm_stat &gt;= perc_90, converted_stat * 2, IF(bbgm_stat &gt;= perc_85, converted_stat * 1.5, converted_stat)))))</f>
        <v/>
      </c>
      <c r="I317" s="30" t="str">
        <f t="array" ref="I317">IF($A317="", "", LET(bbgm_stat, INDEX(Players!$A316:$P316, MATCH(I$2, Players!$A$1:$P$1, 0)), perc_75, VLOOKUP(I$2, Percentiles!$A$45:$I$59, 6, FALSE), perc_90, VLOOKUP(I$2, Percentiles!$A$45:$I$59, 7, FALSE), perc_95, VLOOKUP(I$2, Percentiles!$A$45:$I$59, 8, FALSE), perc_85, perc_75 + (perc_90 - perc_75) * (2/3), converted_stat, '2K_Ratings'!I317, IF(bbgm_stat &gt;= perc_95, converted_stat * 3, IF(bbgm_stat &gt;= perc_90, converted_stat * 2, IF(bbgm_stat &gt;= perc_85, converted_stat * 1.5, converted_stat)))))</f>
        <v/>
      </c>
      <c r="J317" s="30" t="str">
        <f t="array" ref="J317">IF($A317="", "", LET(bbgm_stat, INDEX(Players!$A316:$P316, MATCH(J$2, Players!$A$1:$P$1, 0)), perc_75, VLOOKUP(J$2, Percentiles!$A$45:$I$59, 6, FALSE), perc_90, VLOOKUP(J$2, Percentiles!$A$45:$I$59, 7, FALSE), perc_95, VLOOKUP(J$2, Percentiles!$A$45:$I$59, 8, FALSE), perc_85, perc_75 + (perc_90 - perc_75) * (2/3), converted_stat, '2K_Ratings'!J317, IF(bbgm_stat &gt;= perc_95, converted_stat * 3, IF(bbgm_stat &gt;= perc_90, converted_stat * 2, IF(bbgm_stat &gt;= perc_85, converted_stat * 1.5, converted_stat)))))</f>
        <v/>
      </c>
      <c r="K317" s="30" t="str">
        <f t="array" ref="K317">IF($A317="", "", LET(bbgm_stat, INDEX(Players!$A316:$P316, MATCH(K$2, Players!$A$1:$P$1, 0)), perc_75, VLOOKUP(K$2, Percentiles!$A$45:$I$59, 6, FALSE), perc_90, VLOOKUP(K$2, Percentiles!$A$45:$I$59, 7, FALSE), perc_95, VLOOKUP(K$2, Percentiles!$A$45:$I$59, 8, FALSE), perc_85, perc_75 + (perc_90 - perc_75) * (2/3), converted_stat, '2K_Ratings'!K317, IF(bbgm_stat &gt;= perc_95, converted_stat * 3, IF(bbgm_stat &gt;= perc_90, converted_stat * 2, IF(bbgm_stat &gt;= perc_85, converted_stat * 1.5, converted_stat)))))</f>
        <v/>
      </c>
      <c r="L317" s="30" t="str">
        <f t="array" ref="L317">IF($A317="", "", LET(bbgm_stat, INDEX(Players!$A316:$P316, MATCH(L$2, Players!$A$1:$P$1, 0)), perc_75, VLOOKUP(L$2, Percentiles!$A$45:$I$59, 6, FALSE), perc_90, VLOOKUP(L$2, Percentiles!$A$45:$I$59, 7, FALSE), perc_95, VLOOKUP(L$2, Percentiles!$A$45:$I$59, 8, FALSE), perc_85, perc_75 + (perc_90 - perc_75) * (2/3), converted_stat, '2K_Ratings'!L317, IF(bbgm_stat &gt;= perc_95, converted_stat * 3, IF(bbgm_stat &gt;= perc_90, converted_stat * 2, IF(bbgm_stat &gt;= perc_85, converted_stat * 1.5, converted_stat)))))</f>
        <v/>
      </c>
      <c r="M317" s="30" t="str">
        <f t="array" ref="M317">IF($A317="", "", LET(bbgm_stat, INDEX(Players!$A316:$P316, MATCH(M$2, Players!$A$1:$P$1, 0)), perc_75, VLOOKUP(M$2, Percentiles!$A$45:$I$59, 6, FALSE), perc_90, VLOOKUP(M$2, Percentiles!$A$45:$I$59, 7, FALSE), perc_95, VLOOKUP(M$2, Percentiles!$A$45:$I$59, 8, FALSE), perc_85, perc_75 + (perc_90 - perc_75) * (2/3), converted_stat, '2K_Ratings'!M317, IF(bbgm_stat &gt;= perc_95, converted_stat * 3, IF(bbgm_stat &gt;= perc_90, converted_stat * 2, IF(bbgm_stat &gt;= perc_85, converted_stat * 1.5, converted_stat)))))</f>
        <v/>
      </c>
      <c r="N317" s="30" t="str">
        <f t="array" ref="N317">IF($A317="", "", LET(bbgm_stat, INDEX(Players!$A316:$P316, MATCH(N$2, Players!$A$1:$P$1, 0)), perc_75, VLOOKUP(N$2, Percentiles!$A$45:$I$59, 6, FALSE), perc_90, VLOOKUP(N$2, Percentiles!$A$45:$I$59, 7, FALSE), perc_95, VLOOKUP(N$2, Percentiles!$A$45:$I$59, 8, FALSE), perc_85, perc_75 + (perc_90 - perc_75) * (2/3), converted_stat, '2K_Ratings'!N317, IF(bbgm_stat &gt;= perc_95, converted_stat * 3, IF(bbgm_stat &gt;= perc_90, converted_stat * 2, IF(bbgm_stat &gt;= perc_85, converted_stat * 1.5, converted_stat)))))</f>
        <v/>
      </c>
      <c r="O317" s="30" t="str">
        <f t="array" ref="O317">IF($A317="", "", LET(bbgm_stat, INDEX(Players!$A316:$P316, MATCH(O$2, Players!$A$1:$P$1, 0)), perc_75, VLOOKUP(O$2, Percentiles!$A$45:$I$59, 6, FALSE), perc_90, VLOOKUP(O$2, Percentiles!$A$45:$I$59, 7, FALSE), perc_95, VLOOKUP(O$2, Percentiles!$A$45:$I$59, 8, FALSE), perc_85, perc_75 + (perc_90 - perc_75) * (2/3), converted_stat, '2K_Ratings'!O317, IF(bbgm_stat &gt;= perc_95, converted_stat * 3, IF(bbgm_stat &gt;= perc_90, converted_stat * 2, IF(bbgm_stat &gt;= perc_85, converted_stat * 1.5, converted_stat)))))</f>
        <v/>
      </c>
      <c r="P317" s="30" t="str">
        <f t="array" ref="P317">IF($A317="", "", LET(bbgm_stat, INDEX(Players!$A316:$P316, MATCH(P$2, Players!$A$1:$P$1, 0)), perc_75, VLOOKUP(P$2, Percentiles!$A$45:$I$59, 6, FALSE), perc_90, VLOOKUP(P$2, Percentiles!$A$45:$I$59, 7, FALSE), perc_95, VLOOKUP(P$2, Percentiles!$A$45:$I$59, 8, FALSE), perc_85, perc_75 + (perc_90 - perc_75) * (2/3), converted_stat, '2K_Ratings'!P317, IF(bbgm_stat &gt;= perc_95, converted_stat * 3, IF(bbgm_stat &gt;= perc_90, converted_stat * 2, IF(bbgm_stat &gt;= perc_85, converted_stat * 1.5, converted_stat)))))</f>
        <v/>
      </c>
      <c r="Q317" s="30" t="str">
        <f t="array" ref="Q317">IF($A317="", "", LET(bbgm_stat, INDEX(Players!$A316:$P316, MATCH(Q$2, Players!$A$1:$P$1, 0)), perc_75, VLOOKUP(Q$2, Percentiles!$A$45:$I$59, 6, FALSE), perc_90, VLOOKUP(Q$2, Percentiles!$A$45:$I$59, 7, FALSE), perc_95, VLOOKUP(Q$2, Percentiles!$A$45:$I$59, 8, FALSE), perc_85, perc_75 + (perc_90 - perc_75) * (2/3), converted_stat, '2K_Ratings'!Q317, IF(bbgm_stat &gt;= perc_95, converted_stat * 3, IF(bbgm_stat &gt;= perc_90, converted_stat * 2, IF(bbgm_stat &gt;= perc_85, converted_stat * 1.5, converted_stat)))))</f>
        <v/>
      </c>
      <c r="R317" s="30" t="str">
        <f t="array" ref="R317">IF($A317="", "", LET(bbgm_stat, INDEX(Players!$A316:$P316, MATCH(R$2, Players!$A$1:$P$1, 0)), perc_75, VLOOKUP(R$2, Percentiles!$A$45:$I$59, 6, FALSE), perc_90, VLOOKUP(R$2, Percentiles!$A$45:$I$59, 7, FALSE), perc_95, VLOOKUP(R$2, Percentiles!$A$45:$I$59, 8, FALSE), perc_85, perc_75 + (perc_90 - perc_75) * (2/3), converted_stat, '2K_Ratings'!R317, IF(bbgm_stat &gt;= perc_95, converted_stat * 3, IF(bbgm_stat &gt;= perc_90, converted_stat * 2, IF(bbgm_stat &gt;= perc_85, converted_stat * 1.5, converted_stat)))))</f>
        <v/>
      </c>
      <c r="S317" s="30" t="str">
        <f t="array" ref="S317">IF($A317="", "", LET(bbgm_stat, INDEX(Players!$A316:$P316, MATCH(S$2, Players!$A$1:$P$1, 0)), perc_75, VLOOKUP(S$2, Percentiles!$A$45:$I$59, 6, FALSE), perc_90, VLOOKUP(S$2, Percentiles!$A$45:$I$59, 7, FALSE), perc_95, VLOOKUP(S$2, Percentiles!$A$45:$I$59, 8, FALSE), perc_85, perc_75 + (perc_90 - perc_75) * (2/3), converted_stat, '2K_Ratings'!S317, IF(bbgm_stat &gt;= perc_95, converted_stat * 3, IF(bbgm_stat &gt;= perc_90, converted_stat * 2, IF(bbgm_stat &gt;= perc_85, converted_stat * 1.5, converted_stat)))))</f>
        <v/>
      </c>
      <c r="T317" s="30" t="str">
        <f t="array" ref="T317">IF($A317="", "", LET(bbgm_stat, INDEX(Players!$A316:$P316, MATCH(T$2, Players!$A$1:$P$1, 0)), perc_75, VLOOKUP(T$2, Percentiles!$A$45:$I$59, 6, FALSE), perc_90, VLOOKUP(T$2, Percentiles!$A$45:$I$59, 7, FALSE), perc_95, VLOOKUP(T$2, Percentiles!$A$45:$I$59, 8, FALSE), perc_85, perc_75 + (perc_90 - perc_75) * (2/3), converted_stat, '2K_Ratings'!T317, IF(bbgm_stat &gt;= perc_95, converted_stat * 3, IF(bbgm_stat &gt;= perc_90, converted_stat * 2, IF(bbgm_stat &gt;= perc_85, converted_stat * 1.5, converted_stat)))))</f>
        <v/>
      </c>
      <c r="U317" s="30" t="str">
        <f t="array" ref="U317">IF($A317="", "", LET(bbgm_stat, INDEX(Players!$A316:$P316, MATCH(U$2, Players!$A$1:$P$1, 0)), perc_75, VLOOKUP(U$2, Percentiles!$A$45:$I$59, 6, FALSE), perc_90, VLOOKUP(U$2, Percentiles!$A$45:$I$59, 7, FALSE), perc_95, VLOOKUP(U$2, Percentiles!$A$45:$I$59, 8, FALSE), perc_85, perc_75 + (perc_90 - perc_75) * (2/3), converted_stat, '2K_Ratings'!U317, IF(bbgm_stat &gt;= perc_95, converted_stat * 3, IF(bbgm_stat &gt;= perc_90, converted_stat * 2, IF(bbgm_stat &gt;= perc_85, converted_stat * 1.5, converted_stat)))))</f>
        <v/>
      </c>
      <c r="V317" s="30" t="str">
        <f t="array" ref="V317">IF($A317="", "", LET(bbgm_stat, INDEX(Players!$A316:$P316, MATCH(V$2, Players!$A$1:$P$1, 0)), perc_75, VLOOKUP(V$2, Percentiles!$A$45:$I$59, 6, FALSE), perc_90, VLOOKUP(V$2, Percentiles!$A$45:$I$59, 7, FALSE), perc_95, VLOOKUP(V$2, Percentiles!$A$45:$I$59, 8, FALSE), perc_85, perc_75 + (perc_90 - perc_75) * (2/3), converted_stat, '2K_Ratings'!V317, IF(bbgm_stat &gt;= perc_95, converted_stat * 3, IF(bbgm_stat &gt;= perc_90, converted_stat * 2, IF(bbgm_stat &gt;= perc_85, converted_stat * 1.5, converted_stat)))))</f>
        <v/>
      </c>
      <c r="W317" s="30" t="str">
        <f t="array" ref="W317">IF($A317="", "", LET(bbgm_stat, INDEX(Players!$A316:$P316, MATCH(W$2, Players!$A$1:$P$1, 0)), perc_75, VLOOKUP(W$2, Percentiles!$A$45:$I$59, 6, FALSE), perc_90, VLOOKUP(W$2, Percentiles!$A$45:$I$59, 7, FALSE), perc_95, VLOOKUP(W$2, Percentiles!$A$45:$I$59, 8, FALSE), perc_85, perc_75 + (perc_90 - perc_75) * (2/3), converted_stat, '2K_Ratings'!W317, IF(bbgm_stat &gt;= perc_95, converted_stat * 3, IF(bbgm_stat &gt;= perc_90, converted_stat * 2, IF(bbgm_stat &gt;= perc_85, converted_stat * 1.5, converted_stat)))))</f>
        <v/>
      </c>
    </row>
    <row r="318">
      <c r="A318" s="30"/>
      <c r="B318" s="30" t="str">
        <f t="array" ref="B318">IF($A318="", "", LET(bbgm_stat, INDEX(Players!$A317:$P317, MATCH(B$2, Players!$A$1:$P$1, 0)), perc_75, VLOOKUP(B$2, Percentiles!$A$45:$I$59, 6, FALSE), perc_90, VLOOKUP(B$2, Percentiles!$A$45:$I$59, 7, FALSE), perc_95, VLOOKUP(B$2, Percentiles!$A$45:$I$59, 8, FALSE), perc_85, perc_75 + (perc_90 - perc_75) * (2/3), converted_stat, '2K_Ratings'!B318, IF(bbgm_stat &gt;= perc_95, converted_stat * 3, IF(bbgm_stat &gt;= perc_90, converted_stat * 2, IF(bbgm_stat &gt;= perc_85, converted_stat * 1.5, converted_stat)))))</f>
        <v/>
      </c>
      <c r="C318" s="30" t="str">
        <f t="array" ref="C318">IF($A318="", "", LET(bbgm_stat, INDEX(Players!$A317:$P317, MATCH(C$2, Players!$A$1:$P$1, 0)), perc_75, VLOOKUP(C$2, Percentiles!$A$45:$I$59, 6, FALSE), perc_90, VLOOKUP(C$2, Percentiles!$A$45:$I$59, 7, FALSE), perc_95, VLOOKUP(C$2, Percentiles!$A$45:$I$59, 8, FALSE), perc_85, perc_75 + (perc_90 - perc_75) * (2/3), converted_stat, '2K_Ratings'!C318, IF(bbgm_stat &gt;= perc_95, converted_stat * 3, IF(bbgm_stat &gt;= perc_90, converted_stat * 2, IF(bbgm_stat &gt;= perc_85, converted_stat * 1.5, converted_stat)))))</f>
        <v/>
      </c>
      <c r="D318" s="30" t="str">
        <f t="array" ref="D318">IF($A318="", "", LET(bbgm_stat, INDEX(Players!$A317:$P317, MATCH(D$2, Players!$A$1:$P$1, 0)), perc_75, VLOOKUP(D$2, Percentiles!$A$45:$I$59, 6, FALSE), perc_90, VLOOKUP(D$2, Percentiles!$A$45:$I$59, 7, FALSE), perc_95, VLOOKUP(D$2, Percentiles!$A$45:$I$59, 8, FALSE), perc_85, perc_75 + (perc_90 - perc_75) * (2/3), converted_stat, '2K_Ratings'!D318, IF(bbgm_stat &gt;= perc_95, converted_stat * 3, IF(bbgm_stat &gt;= perc_90, converted_stat * 2, IF(bbgm_stat &gt;= perc_85, converted_stat * 1.5, converted_stat)))))</f>
        <v/>
      </c>
      <c r="E318" s="30" t="str">
        <f t="array" ref="E318">IF($A318="", "", LET(bbgm_stat, INDEX(Players!$A317:$P317, MATCH(E$2, Players!$A$1:$P$1, 0)), perc_75, VLOOKUP(E$2, Percentiles!$A$45:$I$59, 6, FALSE), perc_90, VLOOKUP(E$2, Percentiles!$A$45:$I$59, 7, FALSE), perc_95, VLOOKUP(E$2, Percentiles!$A$45:$I$59, 8, FALSE), perc_85, perc_75 + (perc_90 - perc_75) * (2/3), converted_stat, '2K_Ratings'!E318, IF(bbgm_stat &gt;= perc_95, converted_stat * 3, IF(bbgm_stat &gt;= perc_90, converted_stat * 2, IF(bbgm_stat &gt;= perc_85, converted_stat * 1.5, converted_stat)))))</f>
        <v/>
      </c>
      <c r="F318" s="30" t="str">
        <f t="array" ref="F318">IF($A318="", "", LET(bbgm_stat, INDEX(Players!$A317:$P317, MATCH(F$2, Players!$A$1:$P$1, 0)), perc_75, VLOOKUP(F$2, Percentiles!$A$45:$I$59, 6, FALSE), perc_90, VLOOKUP(F$2, Percentiles!$A$45:$I$59, 7, FALSE), perc_95, VLOOKUP(F$2, Percentiles!$A$45:$I$59, 8, FALSE), perc_85, perc_75 + (perc_90 - perc_75) * (2/3), converted_stat, '2K_Ratings'!F318, IF(bbgm_stat &gt;= perc_95, converted_stat * 3, IF(bbgm_stat &gt;= perc_90, converted_stat * 2, IF(bbgm_stat &gt;= perc_85, converted_stat * 1.5, converted_stat)))))</f>
        <v/>
      </c>
      <c r="G318" s="30" t="str">
        <f t="array" ref="G318">IF($A318="", "", LET(bbgm_stat, INDEX(Players!$A317:$P317, MATCH(G$2, Players!$A$1:$P$1, 0)), perc_75, VLOOKUP(G$2, Percentiles!$A$45:$I$59, 6, FALSE), perc_90, VLOOKUP(G$2, Percentiles!$A$45:$I$59, 7, FALSE), perc_95, VLOOKUP(G$2, Percentiles!$A$45:$I$59, 8, FALSE), perc_85, perc_75 + (perc_90 - perc_75) * (2/3), converted_stat, '2K_Ratings'!G318, IF(bbgm_stat &gt;= perc_95, converted_stat * 3, IF(bbgm_stat &gt;= perc_90, converted_stat * 2, IF(bbgm_stat &gt;= perc_85, converted_stat * 1.5, converted_stat)))))</f>
        <v/>
      </c>
      <c r="H318" s="30" t="str">
        <f t="array" ref="H318">IF($A318="", "", LET(bbgm_stat, INDEX(Players!$A317:$P317, MATCH(H$2, Players!$A$1:$P$1, 0)), perc_75, VLOOKUP(H$2, Percentiles!$A$45:$I$59, 6, FALSE), perc_90, VLOOKUP(H$2, Percentiles!$A$45:$I$59, 7, FALSE), perc_95, VLOOKUP(H$2, Percentiles!$A$45:$I$59, 8, FALSE), perc_85, perc_75 + (perc_90 - perc_75) * (2/3), converted_stat, '2K_Ratings'!H318, IF(bbgm_stat &gt;= perc_95, converted_stat * 3, IF(bbgm_stat &gt;= perc_90, converted_stat * 2, IF(bbgm_stat &gt;= perc_85, converted_stat * 1.5, converted_stat)))))</f>
        <v/>
      </c>
      <c r="I318" s="30" t="str">
        <f t="array" ref="I318">IF($A318="", "", LET(bbgm_stat, INDEX(Players!$A317:$P317, MATCH(I$2, Players!$A$1:$P$1, 0)), perc_75, VLOOKUP(I$2, Percentiles!$A$45:$I$59, 6, FALSE), perc_90, VLOOKUP(I$2, Percentiles!$A$45:$I$59, 7, FALSE), perc_95, VLOOKUP(I$2, Percentiles!$A$45:$I$59, 8, FALSE), perc_85, perc_75 + (perc_90 - perc_75) * (2/3), converted_stat, '2K_Ratings'!I318, IF(bbgm_stat &gt;= perc_95, converted_stat * 3, IF(bbgm_stat &gt;= perc_90, converted_stat * 2, IF(bbgm_stat &gt;= perc_85, converted_stat * 1.5, converted_stat)))))</f>
        <v/>
      </c>
      <c r="J318" s="30" t="str">
        <f t="array" ref="J318">IF($A318="", "", LET(bbgm_stat, INDEX(Players!$A317:$P317, MATCH(J$2, Players!$A$1:$P$1, 0)), perc_75, VLOOKUP(J$2, Percentiles!$A$45:$I$59, 6, FALSE), perc_90, VLOOKUP(J$2, Percentiles!$A$45:$I$59, 7, FALSE), perc_95, VLOOKUP(J$2, Percentiles!$A$45:$I$59, 8, FALSE), perc_85, perc_75 + (perc_90 - perc_75) * (2/3), converted_stat, '2K_Ratings'!J318, IF(bbgm_stat &gt;= perc_95, converted_stat * 3, IF(bbgm_stat &gt;= perc_90, converted_stat * 2, IF(bbgm_stat &gt;= perc_85, converted_stat * 1.5, converted_stat)))))</f>
        <v/>
      </c>
      <c r="K318" s="30" t="str">
        <f t="array" ref="K318">IF($A318="", "", LET(bbgm_stat, INDEX(Players!$A317:$P317, MATCH(K$2, Players!$A$1:$P$1, 0)), perc_75, VLOOKUP(K$2, Percentiles!$A$45:$I$59, 6, FALSE), perc_90, VLOOKUP(K$2, Percentiles!$A$45:$I$59, 7, FALSE), perc_95, VLOOKUP(K$2, Percentiles!$A$45:$I$59, 8, FALSE), perc_85, perc_75 + (perc_90 - perc_75) * (2/3), converted_stat, '2K_Ratings'!K318, IF(bbgm_stat &gt;= perc_95, converted_stat * 3, IF(bbgm_stat &gt;= perc_90, converted_stat * 2, IF(bbgm_stat &gt;= perc_85, converted_stat * 1.5, converted_stat)))))</f>
        <v/>
      </c>
      <c r="L318" s="30" t="str">
        <f t="array" ref="L318">IF($A318="", "", LET(bbgm_stat, INDEX(Players!$A317:$P317, MATCH(L$2, Players!$A$1:$P$1, 0)), perc_75, VLOOKUP(L$2, Percentiles!$A$45:$I$59, 6, FALSE), perc_90, VLOOKUP(L$2, Percentiles!$A$45:$I$59, 7, FALSE), perc_95, VLOOKUP(L$2, Percentiles!$A$45:$I$59, 8, FALSE), perc_85, perc_75 + (perc_90 - perc_75) * (2/3), converted_stat, '2K_Ratings'!L318, IF(bbgm_stat &gt;= perc_95, converted_stat * 3, IF(bbgm_stat &gt;= perc_90, converted_stat * 2, IF(bbgm_stat &gt;= perc_85, converted_stat * 1.5, converted_stat)))))</f>
        <v/>
      </c>
      <c r="M318" s="30" t="str">
        <f t="array" ref="M318">IF($A318="", "", LET(bbgm_stat, INDEX(Players!$A317:$P317, MATCH(M$2, Players!$A$1:$P$1, 0)), perc_75, VLOOKUP(M$2, Percentiles!$A$45:$I$59, 6, FALSE), perc_90, VLOOKUP(M$2, Percentiles!$A$45:$I$59, 7, FALSE), perc_95, VLOOKUP(M$2, Percentiles!$A$45:$I$59, 8, FALSE), perc_85, perc_75 + (perc_90 - perc_75) * (2/3), converted_stat, '2K_Ratings'!M318, IF(bbgm_stat &gt;= perc_95, converted_stat * 3, IF(bbgm_stat &gt;= perc_90, converted_stat * 2, IF(bbgm_stat &gt;= perc_85, converted_stat * 1.5, converted_stat)))))</f>
        <v/>
      </c>
      <c r="N318" s="30" t="str">
        <f t="array" ref="N318">IF($A318="", "", LET(bbgm_stat, INDEX(Players!$A317:$P317, MATCH(N$2, Players!$A$1:$P$1, 0)), perc_75, VLOOKUP(N$2, Percentiles!$A$45:$I$59, 6, FALSE), perc_90, VLOOKUP(N$2, Percentiles!$A$45:$I$59, 7, FALSE), perc_95, VLOOKUP(N$2, Percentiles!$A$45:$I$59, 8, FALSE), perc_85, perc_75 + (perc_90 - perc_75) * (2/3), converted_stat, '2K_Ratings'!N318, IF(bbgm_stat &gt;= perc_95, converted_stat * 3, IF(bbgm_stat &gt;= perc_90, converted_stat * 2, IF(bbgm_stat &gt;= perc_85, converted_stat * 1.5, converted_stat)))))</f>
        <v/>
      </c>
      <c r="O318" s="30" t="str">
        <f t="array" ref="O318">IF($A318="", "", LET(bbgm_stat, INDEX(Players!$A317:$P317, MATCH(O$2, Players!$A$1:$P$1, 0)), perc_75, VLOOKUP(O$2, Percentiles!$A$45:$I$59, 6, FALSE), perc_90, VLOOKUP(O$2, Percentiles!$A$45:$I$59, 7, FALSE), perc_95, VLOOKUP(O$2, Percentiles!$A$45:$I$59, 8, FALSE), perc_85, perc_75 + (perc_90 - perc_75) * (2/3), converted_stat, '2K_Ratings'!O318, IF(bbgm_stat &gt;= perc_95, converted_stat * 3, IF(bbgm_stat &gt;= perc_90, converted_stat * 2, IF(bbgm_stat &gt;= perc_85, converted_stat * 1.5, converted_stat)))))</f>
        <v/>
      </c>
      <c r="P318" s="30" t="str">
        <f t="array" ref="P318">IF($A318="", "", LET(bbgm_stat, INDEX(Players!$A317:$P317, MATCH(P$2, Players!$A$1:$P$1, 0)), perc_75, VLOOKUP(P$2, Percentiles!$A$45:$I$59, 6, FALSE), perc_90, VLOOKUP(P$2, Percentiles!$A$45:$I$59, 7, FALSE), perc_95, VLOOKUP(P$2, Percentiles!$A$45:$I$59, 8, FALSE), perc_85, perc_75 + (perc_90 - perc_75) * (2/3), converted_stat, '2K_Ratings'!P318, IF(bbgm_stat &gt;= perc_95, converted_stat * 3, IF(bbgm_stat &gt;= perc_90, converted_stat * 2, IF(bbgm_stat &gt;= perc_85, converted_stat * 1.5, converted_stat)))))</f>
        <v/>
      </c>
      <c r="Q318" s="30" t="str">
        <f t="array" ref="Q318">IF($A318="", "", LET(bbgm_stat, INDEX(Players!$A317:$P317, MATCH(Q$2, Players!$A$1:$P$1, 0)), perc_75, VLOOKUP(Q$2, Percentiles!$A$45:$I$59, 6, FALSE), perc_90, VLOOKUP(Q$2, Percentiles!$A$45:$I$59, 7, FALSE), perc_95, VLOOKUP(Q$2, Percentiles!$A$45:$I$59, 8, FALSE), perc_85, perc_75 + (perc_90 - perc_75) * (2/3), converted_stat, '2K_Ratings'!Q318, IF(bbgm_stat &gt;= perc_95, converted_stat * 3, IF(bbgm_stat &gt;= perc_90, converted_stat * 2, IF(bbgm_stat &gt;= perc_85, converted_stat * 1.5, converted_stat)))))</f>
        <v/>
      </c>
      <c r="R318" s="30" t="str">
        <f t="array" ref="R318">IF($A318="", "", LET(bbgm_stat, INDEX(Players!$A317:$P317, MATCH(R$2, Players!$A$1:$P$1, 0)), perc_75, VLOOKUP(R$2, Percentiles!$A$45:$I$59, 6, FALSE), perc_90, VLOOKUP(R$2, Percentiles!$A$45:$I$59, 7, FALSE), perc_95, VLOOKUP(R$2, Percentiles!$A$45:$I$59, 8, FALSE), perc_85, perc_75 + (perc_90 - perc_75) * (2/3), converted_stat, '2K_Ratings'!R318, IF(bbgm_stat &gt;= perc_95, converted_stat * 3, IF(bbgm_stat &gt;= perc_90, converted_stat * 2, IF(bbgm_stat &gt;= perc_85, converted_stat * 1.5, converted_stat)))))</f>
        <v/>
      </c>
      <c r="S318" s="30" t="str">
        <f t="array" ref="S318">IF($A318="", "", LET(bbgm_stat, INDEX(Players!$A317:$P317, MATCH(S$2, Players!$A$1:$P$1, 0)), perc_75, VLOOKUP(S$2, Percentiles!$A$45:$I$59, 6, FALSE), perc_90, VLOOKUP(S$2, Percentiles!$A$45:$I$59, 7, FALSE), perc_95, VLOOKUP(S$2, Percentiles!$A$45:$I$59, 8, FALSE), perc_85, perc_75 + (perc_90 - perc_75) * (2/3), converted_stat, '2K_Ratings'!S318, IF(bbgm_stat &gt;= perc_95, converted_stat * 3, IF(bbgm_stat &gt;= perc_90, converted_stat * 2, IF(bbgm_stat &gt;= perc_85, converted_stat * 1.5, converted_stat)))))</f>
        <v/>
      </c>
      <c r="T318" s="30" t="str">
        <f t="array" ref="T318">IF($A318="", "", LET(bbgm_stat, INDEX(Players!$A317:$P317, MATCH(T$2, Players!$A$1:$P$1, 0)), perc_75, VLOOKUP(T$2, Percentiles!$A$45:$I$59, 6, FALSE), perc_90, VLOOKUP(T$2, Percentiles!$A$45:$I$59, 7, FALSE), perc_95, VLOOKUP(T$2, Percentiles!$A$45:$I$59, 8, FALSE), perc_85, perc_75 + (perc_90 - perc_75) * (2/3), converted_stat, '2K_Ratings'!T318, IF(bbgm_stat &gt;= perc_95, converted_stat * 3, IF(bbgm_stat &gt;= perc_90, converted_stat * 2, IF(bbgm_stat &gt;= perc_85, converted_stat * 1.5, converted_stat)))))</f>
        <v/>
      </c>
      <c r="U318" s="30" t="str">
        <f t="array" ref="U318">IF($A318="", "", LET(bbgm_stat, INDEX(Players!$A317:$P317, MATCH(U$2, Players!$A$1:$P$1, 0)), perc_75, VLOOKUP(U$2, Percentiles!$A$45:$I$59, 6, FALSE), perc_90, VLOOKUP(U$2, Percentiles!$A$45:$I$59, 7, FALSE), perc_95, VLOOKUP(U$2, Percentiles!$A$45:$I$59, 8, FALSE), perc_85, perc_75 + (perc_90 - perc_75) * (2/3), converted_stat, '2K_Ratings'!U318, IF(bbgm_stat &gt;= perc_95, converted_stat * 3, IF(bbgm_stat &gt;= perc_90, converted_stat * 2, IF(bbgm_stat &gt;= perc_85, converted_stat * 1.5, converted_stat)))))</f>
        <v/>
      </c>
      <c r="V318" s="30" t="str">
        <f t="array" ref="V318">IF($A318="", "", LET(bbgm_stat, INDEX(Players!$A317:$P317, MATCH(V$2, Players!$A$1:$P$1, 0)), perc_75, VLOOKUP(V$2, Percentiles!$A$45:$I$59, 6, FALSE), perc_90, VLOOKUP(V$2, Percentiles!$A$45:$I$59, 7, FALSE), perc_95, VLOOKUP(V$2, Percentiles!$A$45:$I$59, 8, FALSE), perc_85, perc_75 + (perc_90 - perc_75) * (2/3), converted_stat, '2K_Ratings'!V318, IF(bbgm_stat &gt;= perc_95, converted_stat * 3, IF(bbgm_stat &gt;= perc_90, converted_stat * 2, IF(bbgm_stat &gt;= perc_85, converted_stat * 1.5, converted_stat)))))</f>
        <v/>
      </c>
      <c r="W318" s="30" t="str">
        <f t="array" ref="W318">IF($A318="", "", LET(bbgm_stat, INDEX(Players!$A317:$P317, MATCH(W$2, Players!$A$1:$P$1, 0)), perc_75, VLOOKUP(W$2, Percentiles!$A$45:$I$59, 6, FALSE), perc_90, VLOOKUP(W$2, Percentiles!$A$45:$I$59, 7, FALSE), perc_95, VLOOKUP(W$2, Percentiles!$A$45:$I$59, 8, FALSE), perc_85, perc_75 + (perc_90 - perc_75) * (2/3), converted_stat, '2K_Ratings'!W318, IF(bbgm_stat &gt;= perc_95, converted_stat * 3, IF(bbgm_stat &gt;= perc_90, converted_stat * 2, IF(bbgm_stat &gt;= perc_85, converted_stat * 1.5, converted_stat)))))</f>
        <v/>
      </c>
    </row>
    <row r="319">
      <c r="A319" s="30"/>
      <c r="B319" s="30" t="str">
        <f t="array" ref="B319">IF($A319="", "", LET(bbgm_stat, INDEX(Players!$A318:$P318, MATCH(B$2, Players!$A$1:$P$1, 0)), perc_75, VLOOKUP(B$2, Percentiles!$A$45:$I$59, 6, FALSE), perc_90, VLOOKUP(B$2, Percentiles!$A$45:$I$59, 7, FALSE), perc_95, VLOOKUP(B$2, Percentiles!$A$45:$I$59, 8, FALSE), perc_85, perc_75 + (perc_90 - perc_75) * (2/3), converted_stat, '2K_Ratings'!B319, IF(bbgm_stat &gt;= perc_95, converted_stat * 3, IF(bbgm_stat &gt;= perc_90, converted_stat * 2, IF(bbgm_stat &gt;= perc_85, converted_stat * 1.5, converted_stat)))))</f>
        <v/>
      </c>
      <c r="C319" s="30" t="str">
        <f t="array" ref="C319">IF($A319="", "", LET(bbgm_stat, INDEX(Players!$A318:$P318, MATCH(C$2, Players!$A$1:$P$1, 0)), perc_75, VLOOKUP(C$2, Percentiles!$A$45:$I$59, 6, FALSE), perc_90, VLOOKUP(C$2, Percentiles!$A$45:$I$59, 7, FALSE), perc_95, VLOOKUP(C$2, Percentiles!$A$45:$I$59, 8, FALSE), perc_85, perc_75 + (perc_90 - perc_75) * (2/3), converted_stat, '2K_Ratings'!C319, IF(bbgm_stat &gt;= perc_95, converted_stat * 3, IF(bbgm_stat &gt;= perc_90, converted_stat * 2, IF(bbgm_stat &gt;= perc_85, converted_stat * 1.5, converted_stat)))))</f>
        <v/>
      </c>
      <c r="D319" s="30" t="str">
        <f t="array" ref="D319">IF($A319="", "", LET(bbgm_stat, INDEX(Players!$A318:$P318, MATCH(D$2, Players!$A$1:$P$1, 0)), perc_75, VLOOKUP(D$2, Percentiles!$A$45:$I$59, 6, FALSE), perc_90, VLOOKUP(D$2, Percentiles!$A$45:$I$59, 7, FALSE), perc_95, VLOOKUP(D$2, Percentiles!$A$45:$I$59, 8, FALSE), perc_85, perc_75 + (perc_90 - perc_75) * (2/3), converted_stat, '2K_Ratings'!D319, IF(bbgm_stat &gt;= perc_95, converted_stat * 3, IF(bbgm_stat &gt;= perc_90, converted_stat * 2, IF(bbgm_stat &gt;= perc_85, converted_stat * 1.5, converted_stat)))))</f>
        <v/>
      </c>
      <c r="E319" s="30" t="str">
        <f t="array" ref="E319">IF($A319="", "", LET(bbgm_stat, INDEX(Players!$A318:$P318, MATCH(E$2, Players!$A$1:$P$1, 0)), perc_75, VLOOKUP(E$2, Percentiles!$A$45:$I$59, 6, FALSE), perc_90, VLOOKUP(E$2, Percentiles!$A$45:$I$59, 7, FALSE), perc_95, VLOOKUP(E$2, Percentiles!$A$45:$I$59, 8, FALSE), perc_85, perc_75 + (perc_90 - perc_75) * (2/3), converted_stat, '2K_Ratings'!E319, IF(bbgm_stat &gt;= perc_95, converted_stat * 3, IF(bbgm_stat &gt;= perc_90, converted_stat * 2, IF(bbgm_stat &gt;= perc_85, converted_stat * 1.5, converted_stat)))))</f>
        <v/>
      </c>
      <c r="F319" s="30" t="str">
        <f t="array" ref="F319">IF($A319="", "", LET(bbgm_stat, INDEX(Players!$A318:$P318, MATCH(F$2, Players!$A$1:$P$1, 0)), perc_75, VLOOKUP(F$2, Percentiles!$A$45:$I$59, 6, FALSE), perc_90, VLOOKUP(F$2, Percentiles!$A$45:$I$59, 7, FALSE), perc_95, VLOOKUP(F$2, Percentiles!$A$45:$I$59, 8, FALSE), perc_85, perc_75 + (perc_90 - perc_75) * (2/3), converted_stat, '2K_Ratings'!F319, IF(bbgm_stat &gt;= perc_95, converted_stat * 3, IF(bbgm_stat &gt;= perc_90, converted_stat * 2, IF(bbgm_stat &gt;= perc_85, converted_stat * 1.5, converted_stat)))))</f>
        <v/>
      </c>
      <c r="G319" s="30" t="str">
        <f t="array" ref="G319">IF($A319="", "", LET(bbgm_stat, INDEX(Players!$A318:$P318, MATCH(G$2, Players!$A$1:$P$1, 0)), perc_75, VLOOKUP(G$2, Percentiles!$A$45:$I$59, 6, FALSE), perc_90, VLOOKUP(G$2, Percentiles!$A$45:$I$59, 7, FALSE), perc_95, VLOOKUP(G$2, Percentiles!$A$45:$I$59, 8, FALSE), perc_85, perc_75 + (perc_90 - perc_75) * (2/3), converted_stat, '2K_Ratings'!G319, IF(bbgm_stat &gt;= perc_95, converted_stat * 3, IF(bbgm_stat &gt;= perc_90, converted_stat * 2, IF(bbgm_stat &gt;= perc_85, converted_stat * 1.5, converted_stat)))))</f>
        <v/>
      </c>
      <c r="H319" s="30" t="str">
        <f t="array" ref="H319">IF($A319="", "", LET(bbgm_stat, INDEX(Players!$A318:$P318, MATCH(H$2, Players!$A$1:$P$1, 0)), perc_75, VLOOKUP(H$2, Percentiles!$A$45:$I$59, 6, FALSE), perc_90, VLOOKUP(H$2, Percentiles!$A$45:$I$59, 7, FALSE), perc_95, VLOOKUP(H$2, Percentiles!$A$45:$I$59, 8, FALSE), perc_85, perc_75 + (perc_90 - perc_75) * (2/3), converted_stat, '2K_Ratings'!H319, IF(bbgm_stat &gt;= perc_95, converted_stat * 3, IF(bbgm_stat &gt;= perc_90, converted_stat * 2, IF(bbgm_stat &gt;= perc_85, converted_stat * 1.5, converted_stat)))))</f>
        <v/>
      </c>
      <c r="I319" s="30" t="str">
        <f t="array" ref="I319">IF($A319="", "", LET(bbgm_stat, INDEX(Players!$A318:$P318, MATCH(I$2, Players!$A$1:$P$1, 0)), perc_75, VLOOKUP(I$2, Percentiles!$A$45:$I$59, 6, FALSE), perc_90, VLOOKUP(I$2, Percentiles!$A$45:$I$59, 7, FALSE), perc_95, VLOOKUP(I$2, Percentiles!$A$45:$I$59, 8, FALSE), perc_85, perc_75 + (perc_90 - perc_75) * (2/3), converted_stat, '2K_Ratings'!I319, IF(bbgm_stat &gt;= perc_95, converted_stat * 3, IF(bbgm_stat &gt;= perc_90, converted_stat * 2, IF(bbgm_stat &gt;= perc_85, converted_stat * 1.5, converted_stat)))))</f>
        <v/>
      </c>
      <c r="J319" s="30" t="str">
        <f t="array" ref="J319">IF($A319="", "", LET(bbgm_stat, INDEX(Players!$A318:$P318, MATCH(J$2, Players!$A$1:$P$1, 0)), perc_75, VLOOKUP(J$2, Percentiles!$A$45:$I$59, 6, FALSE), perc_90, VLOOKUP(J$2, Percentiles!$A$45:$I$59, 7, FALSE), perc_95, VLOOKUP(J$2, Percentiles!$A$45:$I$59, 8, FALSE), perc_85, perc_75 + (perc_90 - perc_75) * (2/3), converted_stat, '2K_Ratings'!J319, IF(bbgm_stat &gt;= perc_95, converted_stat * 3, IF(bbgm_stat &gt;= perc_90, converted_stat * 2, IF(bbgm_stat &gt;= perc_85, converted_stat * 1.5, converted_stat)))))</f>
        <v/>
      </c>
      <c r="K319" s="30" t="str">
        <f t="array" ref="K319">IF($A319="", "", LET(bbgm_stat, INDEX(Players!$A318:$P318, MATCH(K$2, Players!$A$1:$P$1, 0)), perc_75, VLOOKUP(K$2, Percentiles!$A$45:$I$59, 6, FALSE), perc_90, VLOOKUP(K$2, Percentiles!$A$45:$I$59, 7, FALSE), perc_95, VLOOKUP(K$2, Percentiles!$A$45:$I$59, 8, FALSE), perc_85, perc_75 + (perc_90 - perc_75) * (2/3), converted_stat, '2K_Ratings'!K319, IF(bbgm_stat &gt;= perc_95, converted_stat * 3, IF(bbgm_stat &gt;= perc_90, converted_stat * 2, IF(bbgm_stat &gt;= perc_85, converted_stat * 1.5, converted_stat)))))</f>
        <v/>
      </c>
      <c r="L319" s="30" t="str">
        <f t="array" ref="L319">IF($A319="", "", LET(bbgm_stat, INDEX(Players!$A318:$P318, MATCH(L$2, Players!$A$1:$P$1, 0)), perc_75, VLOOKUP(L$2, Percentiles!$A$45:$I$59, 6, FALSE), perc_90, VLOOKUP(L$2, Percentiles!$A$45:$I$59, 7, FALSE), perc_95, VLOOKUP(L$2, Percentiles!$A$45:$I$59, 8, FALSE), perc_85, perc_75 + (perc_90 - perc_75) * (2/3), converted_stat, '2K_Ratings'!L319, IF(bbgm_stat &gt;= perc_95, converted_stat * 3, IF(bbgm_stat &gt;= perc_90, converted_stat * 2, IF(bbgm_stat &gt;= perc_85, converted_stat * 1.5, converted_stat)))))</f>
        <v/>
      </c>
      <c r="M319" s="30" t="str">
        <f t="array" ref="M319">IF($A319="", "", LET(bbgm_stat, INDEX(Players!$A318:$P318, MATCH(M$2, Players!$A$1:$P$1, 0)), perc_75, VLOOKUP(M$2, Percentiles!$A$45:$I$59, 6, FALSE), perc_90, VLOOKUP(M$2, Percentiles!$A$45:$I$59, 7, FALSE), perc_95, VLOOKUP(M$2, Percentiles!$A$45:$I$59, 8, FALSE), perc_85, perc_75 + (perc_90 - perc_75) * (2/3), converted_stat, '2K_Ratings'!M319, IF(bbgm_stat &gt;= perc_95, converted_stat * 3, IF(bbgm_stat &gt;= perc_90, converted_stat * 2, IF(bbgm_stat &gt;= perc_85, converted_stat * 1.5, converted_stat)))))</f>
        <v/>
      </c>
      <c r="N319" s="30" t="str">
        <f t="array" ref="N319">IF($A319="", "", LET(bbgm_stat, INDEX(Players!$A318:$P318, MATCH(N$2, Players!$A$1:$P$1, 0)), perc_75, VLOOKUP(N$2, Percentiles!$A$45:$I$59, 6, FALSE), perc_90, VLOOKUP(N$2, Percentiles!$A$45:$I$59, 7, FALSE), perc_95, VLOOKUP(N$2, Percentiles!$A$45:$I$59, 8, FALSE), perc_85, perc_75 + (perc_90 - perc_75) * (2/3), converted_stat, '2K_Ratings'!N319, IF(bbgm_stat &gt;= perc_95, converted_stat * 3, IF(bbgm_stat &gt;= perc_90, converted_stat * 2, IF(bbgm_stat &gt;= perc_85, converted_stat * 1.5, converted_stat)))))</f>
        <v/>
      </c>
      <c r="O319" s="30" t="str">
        <f t="array" ref="O319">IF($A319="", "", LET(bbgm_stat, INDEX(Players!$A318:$P318, MATCH(O$2, Players!$A$1:$P$1, 0)), perc_75, VLOOKUP(O$2, Percentiles!$A$45:$I$59, 6, FALSE), perc_90, VLOOKUP(O$2, Percentiles!$A$45:$I$59, 7, FALSE), perc_95, VLOOKUP(O$2, Percentiles!$A$45:$I$59, 8, FALSE), perc_85, perc_75 + (perc_90 - perc_75) * (2/3), converted_stat, '2K_Ratings'!O319, IF(bbgm_stat &gt;= perc_95, converted_stat * 3, IF(bbgm_stat &gt;= perc_90, converted_stat * 2, IF(bbgm_stat &gt;= perc_85, converted_stat * 1.5, converted_stat)))))</f>
        <v/>
      </c>
      <c r="P319" s="30" t="str">
        <f t="array" ref="P319">IF($A319="", "", LET(bbgm_stat, INDEX(Players!$A318:$P318, MATCH(P$2, Players!$A$1:$P$1, 0)), perc_75, VLOOKUP(P$2, Percentiles!$A$45:$I$59, 6, FALSE), perc_90, VLOOKUP(P$2, Percentiles!$A$45:$I$59, 7, FALSE), perc_95, VLOOKUP(P$2, Percentiles!$A$45:$I$59, 8, FALSE), perc_85, perc_75 + (perc_90 - perc_75) * (2/3), converted_stat, '2K_Ratings'!P319, IF(bbgm_stat &gt;= perc_95, converted_stat * 3, IF(bbgm_stat &gt;= perc_90, converted_stat * 2, IF(bbgm_stat &gt;= perc_85, converted_stat * 1.5, converted_stat)))))</f>
        <v/>
      </c>
      <c r="Q319" s="30" t="str">
        <f t="array" ref="Q319">IF($A319="", "", LET(bbgm_stat, INDEX(Players!$A318:$P318, MATCH(Q$2, Players!$A$1:$P$1, 0)), perc_75, VLOOKUP(Q$2, Percentiles!$A$45:$I$59, 6, FALSE), perc_90, VLOOKUP(Q$2, Percentiles!$A$45:$I$59, 7, FALSE), perc_95, VLOOKUP(Q$2, Percentiles!$A$45:$I$59, 8, FALSE), perc_85, perc_75 + (perc_90 - perc_75) * (2/3), converted_stat, '2K_Ratings'!Q319, IF(bbgm_stat &gt;= perc_95, converted_stat * 3, IF(bbgm_stat &gt;= perc_90, converted_stat * 2, IF(bbgm_stat &gt;= perc_85, converted_stat * 1.5, converted_stat)))))</f>
        <v/>
      </c>
      <c r="R319" s="30" t="str">
        <f t="array" ref="R319">IF($A319="", "", LET(bbgm_stat, INDEX(Players!$A318:$P318, MATCH(R$2, Players!$A$1:$P$1, 0)), perc_75, VLOOKUP(R$2, Percentiles!$A$45:$I$59, 6, FALSE), perc_90, VLOOKUP(R$2, Percentiles!$A$45:$I$59, 7, FALSE), perc_95, VLOOKUP(R$2, Percentiles!$A$45:$I$59, 8, FALSE), perc_85, perc_75 + (perc_90 - perc_75) * (2/3), converted_stat, '2K_Ratings'!R319, IF(bbgm_stat &gt;= perc_95, converted_stat * 3, IF(bbgm_stat &gt;= perc_90, converted_stat * 2, IF(bbgm_stat &gt;= perc_85, converted_stat * 1.5, converted_stat)))))</f>
        <v/>
      </c>
      <c r="S319" s="30" t="str">
        <f t="array" ref="S319">IF($A319="", "", LET(bbgm_stat, INDEX(Players!$A318:$P318, MATCH(S$2, Players!$A$1:$P$1, 0)), perc_75, VLOOKUP(S$2, Percentiles!$A$45:$I$59, 6, FALSE), perc_90, VLOOKUP(S$2, Percentiles!$A$45:$I$59, 7, FALSE), perc_95, VLOOKUP(S$2, Percentiles!$A$45:$I$59, 8, FALSE), perc_85, perc_75 + (perc_90 - perc_75) * (2/3), converted_stat, '2K_Ratings'!S319, IF(bbgm_stat &gt;= perc_95, converted_stat * 3, IF(bbgm_stat &gt;= perc_90, converted_stat * 2, IF(bbgm_stat &gt;= perc_85, converted_stat * 1.5, converted_stat)))))</f>
        <v/>
      </c>
      <c r="T319" s="30" t="str">
        <f t="array" ref="T319">IF($A319="", "", LET(bbgm_stat, INDEX(Players!$A318:$P318, MATCH(T$2, Players!$A$1:$P$1, 0)), perc_75, VLOOKUP(T$2, Percentiles!$A$45:$I$59, 6, FALSE), perc_90, VLOOKUP(T$2, Percentiles!$A$45:$I$59, 7, FALSE), perc_95, VLOOKUP(T$2, Percentiles!$A$45:$I$59, 8, FALSE), perc_85, perc_75 + (perc_90 - perc_75) * (2/3), converted_stat, '2K_Ratings'!T319, IF(bbgm_stat &gt;= perc_95, converted_stat * 3, IF(bbgm_stat &gt;= perc_90, converted_stat * 2, IF(bbgm_stat &gt;= perc_85, converted_stat * 1.5, converted_stat)))))</f>
        <v/>
      </c>
      <c r="U319" s="30" t="str">
        <f t="array" ref="U319">IF($A319="", "", LET(bbgm_stat, INDEX(Players!$A318:$P318, MATCH(U$2, Players!$A$1:$P$1, 0)), perc_75, VLOOKUP(U$2, Percentiles!$A$45:$I$59, 6, FALSE), perc_90, VLOOKUP(U$2, Percentiles!$A$45:$I$59, 7, FALSE), perc_95, VLOOKUP(U$2, Percentiles!$A$45:$I$59, 8, FALSE), perc_85, perc_75 + (perc_90 - perc_75) * (2/3), converted_stat, '2K_Ratings'!U319, IF(bbgm_stat &gt;= perc_95, converted_stat * 3, IF(bbgm_stat &gt;= perc_90, converted_stat * 2, IF(bbgm_stat &gt;= perc_85, converted_stat * 1.5, converted_stat)))))</f>
        <v/>
      </c>
      <c r="V319" s="30" t="str">
        <f t="array" ref="V319">IF($A319="", "", LET(bbgm_stat, INDEX(Players!$A318:$P318, MATCH(V$2, Players!$A$1:$P$1, 0)), perc_75, VLOOKUP(V$2, Percentiles!$A$45:$I$59, 6, FALSE), perc_90, VLOOKUP(V$2, Percentiles!$A$45:$I$59, 7, FALSE), perc_95, VLOOKUP(V$2, Percentiles!$A$45:$I$59, 8, FALSE), perc_85, perc_75 + (perc_90 - perc_75) * (2/3), converted_stat, '2K_Ratings'!V319, IF(bbgm_stat &gt;= perc_95, converted_stat * 3, IF(bbgm_stat &gt;= perc_90, converted_stat * 2, IF(bbgm_stat &gt;= perc_85, converted_stat * 1.5, converted_stat)))))</f>
        <v/>
      </c>
      <c r="W319" s="30" t="str">
        <f t="array" ref="W319">IF($A319="", "", LET(bbgm_stat, INDEX(Players!$A318:$P318, MATCH(W$2, Players!$A$1:$P$1, 0)), perc_75, VLOOKUP(W$2, Percentiles!$A$45:$I$59, 6, FALSE), perc_90, VLOOKUP(W$2, Percentiles!$A$45:$I$59, 7, FALSE), perc_95, VLOOKUP(W$2, Percentiles!$A$45:$I$59, 8, FALSE), perc_85, perc_75 + (perc_90 - perc_75) * (2/3), converted_stat, '2K_Ratings'!W319, IF(bbgm_stat &gt;= perc_95, converted_stat * 3, IF(bbgm_stat &gt;= perc_90, converted_stat * 2, IF(bbgm_stat &gt;= perc_85, converted_stat * 1.5, converted_stat)))))</f>
        <v/>
      </c>
    </row>
    <row r="320">
      <c r="A320" s="30"/>
      <c r="B320" s="30" t="str">
        <f t="array" ref="B320">IF($A320="", "", LET(bbgm_stat, INDEX(Players!$A319:$P319, MATCH(B$2, Players!$A$1:$P$1, 0)), perc_75, VLOOKUP(B$2, Percentiles!$A$45:$I$59, 6, FALSE), perc_90, VLOOKUP(B$2, Percentiles!$A$45:$I$59, 7, FALSE), perc_95, VLOOKUP(B$2, Percentiles!$A$45:$I$59, 8, FALSE), perc_85, perc_75 + (perc_90 - perc_75) * (2/3), converted_stat, '2K_Ratings'!B320, IF(bbgm_stat &gt;= perc_95, converted_stat * 3, IF(bbgm_stat &gt;= perc_90, converted_stat * 2, IF(bbgm_stat &gt;= perc_85, converted_stat * 1.5, converted_stat)))))</f>
        <v/>
      </c>
      <c r="C320" s="30" t="str">
        <f t="array" ref="C320">IF($A320="", "", LET(bbgm_stat, INDEX(Players!$A319:$P319, MATCH(C$2, Players!$A$1:$P$1, 0)), perc_75, VLOOKUP(C$2, Percentiles!$A$45:$I$59, 6, FALSE), perc_90, VLOOKUP(C$2, Percentiles!$A$45:$I$59, 7, FALSE), perc_95, VLOOKUP(C$2, Percentiles!$A$45:$I$59, 8, FALSE), perc_85, perc_75 + (perc_90 - perc_75) * (2/3), converted_stat, '2K_Ratings'!C320, IF(bbgm_stat &gt;= perc_95, converted_stat * 3, IF(bbgm_stat &gt;= perc_90, converted_stat * 2, IF(bbgm_stat &gt;= perc_85, converted_stat * 1.5, converted_stat)))))</f>
        <v/>
      </c>
      <c r="D320" s="30" t="str">
        <f t="array" ref="D320">IF($A320="", "", LET(bbgm_stat, INDEX(Players!$A319:$P319, MATCH(D$2, Players!$A$1:$P$1, 0)), perc_75, VLOOKUP(D$2, Percentiles!$A$45:$I$59, 6, FALSE), perc_90, VLOOKUP(D$2, Percentiles!$A$45:$I$59, 7, FALSE), perc_95, VLOOKUP(D$2, Percentiles!$A$45:$I$59, 8, FALSE), perc_85, perc_75 + (perc_90 - perc_75) * (2/3), converted_stat, '2K_Ratings'!D320, IF(bbgm_stat &gt;= perc_95, converted_stat * 3, IF(bbgm_stat &gt;= perc_90, converted_stat * 2, IF(bbgm_stat &gt;= perc_85, converted_stat * 1.5, converted_stat)))))</f>
        <v/>
      </c>
      <c r="E320" s="30" t="str">
        <f t="array" ref="E320">IF($A320="", "", LET(bbgm_stat, INDEX(Players!$A319:$P319, MATCH(E$2, Players!$A$1:$P$1, 0)), perc_75, VLOOKUP(E$2, Percentiles!$A$45:$I$59, 6, FALSE), perc_90, VLOOKUP(E$2, Percentiles!$A$45:$I$59, 7, FALSE), perc_95, VLOOKUP(E$2, Percentiles!$A$45:$I$59, 8, FALSE), perc_85, perc_75 + (perc_90 - perc_75) * (2/3), converted_stat, '2K_Ratings'!E320, IF(bbgm_stat &gt;= perc_95, converted_stat * 3, IF(bbgm_stat &gt;= perc_90, converted_stat * 2, IF(bbgm_stat &gt;= perc_85, converted_stat * 1.5, converted_stat)))))</f>
        <v/>
      </c>
      <c r="F320" s="30" t="str">
        <f t="array" ref="F320">IF($A320="", "", LET(bbgm_stat, INDEX(Players!$A319:$P319, MATCH(F$2, Players!$A$1:$P$1, 0)), perc_75, VLOOKUP(F$2, Percentiles!$A$45:$I$59, 6, FALSE), perc_90, VLOOKUP(F$2, Percentiles!$A$45:$I$59, 7, FALSE), perc_95, VLOOKUP(F$2, Percentiles!$A$45:$I$59, 8, FALSE), perc_85, perc_75 + (perc_90 - perc_75) * (2/3), converted_stat, '2K_Ratings'!F320, IF(bbgm_stat &gt;= perc_95, converted_stat * 3, IF(bbgm_stat &gt;= perc_90, converted_stat * 2, IF(bbgm_stat &gt;= perc_85, converted_stat * 1.5, converted_stat)))))</f>
        <v/>
      </c>
      <c r="G320" s="30" t="str">
        <f t="array" ref="G320">IF($A320="", "", LET(bbgm_stat, INDEX(Players!$A319:$P319, MATCH(G$2, Players!$A$1:$P$1, 0)), perc_75, VLOOKUP(G$2, Percentiles!$A$45:$I$59, 6, FALSE), perc_90, VLOOKUP(G$2, Percentiles!$A$45:$I$59, 7, FALSE), perc_95, VLOOKUP(G$2, Percentiles!$A$45:$I$59, 8, FALSE), perc_85, perc_75 + (perc_90 - perc_75) * (2/3), converted_stat, '2K_Ratings'!G320, IF(bbgm_stat &gt;= perc_95, converted_stat * 3, IF(bbgm_stat &gt;= perc_90, converted_stat * 2, IF(bbgm_stat &gt;= perc_85, converted_stat * 1.5, converted_stat)))))</f>
        <v/>
      </c>
      <c r="H320" s="30" t="str">
        <f t="array" ref="H320">IF($A320="", "", LET(bbgm_stat, INDEX(Players!$A319:$P319, MATCH(H$2, Players!$A$1:$P$1, 0)), perc_75, VLOOKUP(H$2, Percentiles!$A$45:$I$59, 6, FALSE), perc_90, VLOOKUP(H$2, Percentiles!$A$45:$I$59, 7, FALSE), perc_95, VLOOKUP(H$2, Percentiles!$A$45:$I$59, 8, FALSE), perc_85, perc_75 + (perc_90 - perc_75) * (2/3), converted_stat, '2K_Ratings'!H320, IF(bbgm_stat &gt;= perc_95, converted_stat * 3, IF(bbgm_stat &gt;= perc_90, converted_stat * 2, IF(bbgm_stat &gt;= perc_85, converted_stat * 1.5, converted_stat)))))</f>
        <v/>
      </c>
      <c r="I320" s="30" t="str">
        <f t="array" ref="I320">IF($A320="", "", LET(bbgm_stat, INDEX(Players!$A319:$P319, MATCH(I$2, Players!$A$1:$P$1, 0)), perc_75, VLOOKUP(I$2, Percentiles!$A$45:$I$59, 6, FALSE), perc_90, VLOOKUP(I$2, Percentiles!$A$45:$I$59, 7, FALSE), perc_95, VLOOKUP(I$2, Percentiles!$A$45:$I$59, 8, FALSE), perc_85, perc_75 + (perc_90 - perc_75) * (2/3), converted_stat, '2K_Ratings'!I320, IF(bbgm_stat &gt;= perc_95, converted_stat * 3, IF(bbgm_stat &gt;= perc_90, converted_stat * 2, IF(bbgm_stat &gt;= perc_85, converted_stat * 1.5, converted_stat)))))</f>
        <v/>
      </c>
      <c r="J320" s="30" t="str">
        <f t="array" ref="J320">IF($A320="", "", LET(bbgm_stat, INDEX(Players!$A319:$P319, MATCH(J$2, Players!$A$1:$P$1, 0)), perc_75, VLOOKUP(J$2, Percentiles!$A$45:$I$59, 6, FALSE), perc_90, VLOOKUP(J$2, Percentiles!$A$45:$I$59, 7, FALSE), perc_95, VLOOKUP(J$2, Percentiles!$A$45:$I$59, 8, FALSE), perc_85, perc_75 + (perc_90 - perc_75) * (2/3), converted_stat, '2K_Ratings'!J320, IF(bbgm_stat &gt;= perc_95, converted_stat * 3, IF(bbgm_stat &gt;= perc_90, converted_stat * 2, IF(bbgm_stat &gt;= perc_85, converted_stat * 1.5, converted_stat)))))</f>
        <v/>
      </c>
      <c r="K320" s="30" t="str">
        <f t="array" ref="K320">IF($A320="", "", LET(bbgm_stat, INDEX(Players!$A319:$P319, MATCH(K$2, Players!$A$1:$P$1, 0)), perc_75, VLOOKUP(K$2, Percentiles!$A$45:$I$59, 6, FALSE), perc_90, VLOOKUP(K$2, Percentiles!$A$45:$I$59, 7, FALSE), perc_95, VLOOKUP(K$2, Percentiles!$A$45:$I$59, 8, FALSE), perc_85, perc_75 + (perc_90 - perc_75) * (2/3), converted_stat, '2K_Ratings'!K320, IF(bbgm_stat &gt;= perc_95, converted_stat * 3, IF(bbgm_stat &gt;= perc_90, converted_stat * 2, IF(bbgm_stat &gt;= perc_85, converted_stat * 1.5, converted_stat)))))</f>
        <v/>
      </c>
      <c r="L320" s="30" t="str">
        <f t="array" ref="L320">IF($A320="", "", LET(bbgm_stat, INDEX(Players!$A319:$P319, MATCH(L$2, Players!$A$1:$P$1, 0)), perc_75, VLOOKUP(L$2, Percentiles!$A$45:$I$59, 6, FALSE), perc_90, VLOOKUP(L$2, Percentiles!$A$45:$I$59, 7, FALSE), perc_95, VLOOKUP(L$2, Percentiles!$A$45:$I$59, 8, FALSE), perc_85, perc_75 + (perc_90 - perc_75) * (2/3), converted_stat, '2K_Ratings'!L320, IF(bbgm_stat &gt;= perc_95, converted_stat * 3, IF(bbgm_stat &gt;= perc_90, converted_stat * 2, IF(bbgm_stat &gt;= perc_85, converted_stat * 1.5, converted_stat)))))</f>
        <v/>
      </c>
      <c r="M320" s="30" t="str">
        <f t="array" ref="M320">IF($A320="", "", LET(bbgm_stat, INDEX(Players!$A319:$P319, MATCH(M$2, Players!$A$1:$P$1, 0)), perc_75, VLOOKUP(M$2, Percentiles!$A$45:$I$59, 6, FALSE), perc_90, VLOOKUP(M$2, Percentiles!$A$45:$I$59, 7, FALSE), perc_95, VLOOKUP(M$2, Percentiles!$A$45:$I$59, 8, FALSE), perc_85, perc_75 + (perc_90 - perc_75) * (2/3), converted_stat, '2K_Ratings'!M320, IF(bbgm_stat &gt;= perc_95, converted_stat * 3, IF(bbgm_stat &gt;= perc_90, converted_stat * 2, IF(bbgm_stat &gt;= perc_85, converted_stat * 1.5, converted_stat)))))</f>
        <v/>
      </c>
      <c r="N320" s="30" t="str">
        <f t="array" ref="N320">IF($A320="", "", LET(bbgm_stat, INDEX(Players!$A319:$P319, MATCH(N$2, Players!$A$1:$P$1, 0)), perc_75, VLOOKUP(N$2, Percentiles!$A$45:$I$59, 6, FALSE), perc_90, VLOOKUP(N$2, Percentiles!$A$45:$I$59, 7, FALSE), perc_95, VLOOKUP(N$2, Percentiles!$A$45:$I$59, 8, FALSE), perc_85, perc_75 + (perc_90 - perc_75) * (2/3), converted_stat, '2K_Ratings'!N320, IF(bbgm_stat &gt;= perc_95, converted_stat * 3, IF(bbgm_stat &gt;= perc_90, converted_stat * 2, IF(bbgm_stat &gt;= perc_85, converted_stat * 1.5, converted_stat)))))</f>
        <v/>
      </c>
      <c r="O320" s="30" t="str">
        <f t="array" ref="O320">IF($A320="", "", LET(bbgm_stat, INDEX(Players!$A319:$P319, MATCH(O$2, Players!$A$1:$P$1, 0)), perc_75, VLOOKUP(O$2, Percentiles!$A$45:$I$59, 6, FALSE), perc_90, VLOOKUP(O$2, Percentiles!$A$45:$I$59, 7, FALSE), perc_95, VLOOKUP(O$2, Percentiles!$A$45:$I$59, 8, FALSE), perc_85, perc_75 + (perc_90 - perc_75) * (2/3), converted_stat, '2K_Ratings'!O320, IF(bbgm_stat &gt;= perc_95, converted_stat * 3, IF(bbgm_stat &gt;= perc_90, converted_stat * 2, IF(bbgm_stat &gt;= perc_85, converted_stat * 1.5, converted_stat)))))</f>
        <v/>
      </c>
      <c r="P320" s="30" t="str">
        <f t="array" ref="P320">IF($A320="", "", LET(bbgm_stat, INDEX(Players!$A319:$P319, MATCH(P$2, Players!$A$1:$P$1, 0)), perc_75, VLOOKUP(P$2, Percentiles!$A$45:$I$59, 6, FALSE), perc_90, VLOOKUP(P$2, Percentiles!$A$45:$I$59, 7, FALSE), perc_95, VLOOKUP(P$2, Percentiles!$A$45:$I$59, 8, FALSE), perc_85, perc_75 + (perc_90 - perc_75) * (2/3), converted_stat, '2K_Ratings'!P320, IF(bbgm_stat &gt;= perc_95, converted_stat * 3, IF(bbgm_stat &gt;= perc_90, converted_stat * 2, IF(bbgm_stat &gt;= perc_85, converted_stat * 1.5, converted_stat)))))</f>
        <v/>
      </c>
      <c r="Q320" s="30" t="str">
        <f t="array" ref="Q320">IF($A320="", "", LET(bbgm_stat, INDEX(Players!$A319:$P319, MATCH(Q$2, Players!$A$1:$P$1, 0)), perc_75, VLOOKUP(Q$2, Percentiles!$A$45:$I$59, 6, FALSE), perc_90, VLOOKUP(Q$2, Percentiles!$A$45:$I$59, 7, FALSE), perc_95, VLOOKUP(Q$2, Percentiles!$A$45:$I$59, 8, FALSE), perc_85, perc_75 + (perc_90 - perc_75) * (2/3), converted_stat, '2K_Ratings'!Q320, IF(bbgm_stat &gt;= perc_95, converted_stat * 3, IF(bbgm_stat &gt;= perc_90, converted_stat * 2, IF(bbgm_stat &gt;= perc_85, converted_stat * 1.5, converted_stat)))))</f>
        <v/>
      </c>
      <c r="R320" s="30" t="str">
        <f t="array" ref="R320">IF($A320="", "", LET(bbgm_stat, INDEX(Players!$A319:$P319, MATCH(R$2, Players!$A$1:$P$1, 0)), perc_75, VLOOKUP(R$2, Percentiles!$A$45:$I$59, 6, FALSE), perc_90, VLOOKUP(R$2, Percentiles!$A$45:$I$59, 7, FALSE), perc_95, VLOOKUP(R$2, Percentiles!$A$45:$I$59, 8, FALSE), perc_85, perc_75 + (perc_90 - perc_75) * (2/3), converted_stat, '2K_Ratings'!R320, IF(bbgm_stat &gt;= perc_95, converted_stat * 3, IF(bbgm_stat &gt;= perc_90, converted_stat * 2, IF(bbgm_stat &gt;= perc_85, converted_stat * 1.5, converted_stat)))))</f>
        <v/>
      </c>
      <c r="S320" s="30" t="str">
        <f t="array" ref="S320">IF($A320="", "", LET(bbgm_stat, INDEX(Players!$A319:$P319, MATCH(S$2, Players!$A$1:$P$1, 0)), perc_75, VLOOKUP(S$2, Percentiles!$A$45:$I$59, 6, FALSE), perc_90, VLOOKUP(S$2, Percentiles!$A$45:$I$59, 7, FALSE), perc_95, VLOOKUP(S$2, Percentiles!$A$45:$I$59, 8, FALSE), perc_85, perc_75 + (perc_90 - perc_75) * (2/3), converted_stat, '2K_Ratings'!S320, IF(bbgm_stat &gt;= perc_95, converted_stat * 3, IF(bbgm_stat &gt;= perc_90, converted_stat * 2, IF(bbgm_stat &gt;= perc_85, converted_stat * 1.5, converted_stat)))))</f>
        <v/>
      </c>
      <c r="T320" s="30" t="str">
        <f t="array" ref="T320">IF($A320="", "", LET(bbgm_stat, INDEX(Players!$A319:$P319, MATCH(T$2, Players!$A$1:$P$1, 0)), perc_75, VLOOKUP(T$2, Percentiles!$A$45:$I$59, 6, FALSE), perc_90, VLOOKUP(T$2, Percentiles!$A$45:$I$59, 7, FALSE), perc_95, VLOOKUP(T$2, Percentiles!$A$45:$I$59, 8, FALSE), perc_85, perc_75 + (perc_90 - perc_75) * (2/3), converted_stat, '2K_Ratings'!T320, IF(bbgm_stat &gt;= perc_95, converted_stat * 3, IF(bbgm_stat &gt;= perc_90, converted_stat * 2, IF(bbgm_stat &gt;= perc_85, converted_stat * 1.5, converted_stat)))))</f>
        <v/>
      </c>
      <c r="U320" s="30" t="str">
        <f t="array" ref="U320">IF($A320="", "", LET(bbgm_stat, INDEX(Players!$A319:$P319, MATCH(U$2, Players!$A$1:$P$1, 0)), perc_75, VLOOKUP(U$2, Percentiles!$A$45:$I$59, 6, FALSE), perc_90, VLOOKUP(U$2, Percentiles!$A$45:$I$59, 7, FALSE), perc_95, VLOOKUP(U$2, Percentiles!$A$45:$I$59, 8, FALSE), perc_85, perc_75 + (perc_90 - perc_75) * (2/3), converted_stat, '2K_Ratings'!U320, IF(bbgm_stat &gt;= perc_95, converted_stat * 3, IF(bbgm_stat &gt;= perc_90, converted_stat * 2, IF(bbgm_stat &gt;= perc_85, converted_stat * 1.5, converted_stat)))))</f>
        <v/>
      </c>
      <c r="V320" s="30" t="str">
        <f t="array" ref="V320">IF($A320="", "", LET(bbgm_stat, INDEX(Players!$A319:$P319, MATCH(V$2, Players!$A$1:$P$1, 0)), perc_75, VLOOKUP(V$2, Percentiles!$A$45:$I$59, 6, FALSE), perc_90, VLOOKUP(V$2, Percentiles!$A$45:$I$59, 7, FALSE), perc_95, VLOOKUP(V$2, Percentiles!$A$45:$I$59, 8, FALSE), perc_85, perc_75 + (perc_90 - perc_75) * (2/3), converted_stat, '2K_Ratings'!V320, IF(bbgm_stat &gt;= perc_95, converted_stat * 3, IF(bbgm_stat &gt;= perc_90, converted_stat * 2, IF(bbgm_stat &gt;= perc_85, converted_stat * 1.5, converted_stat)))))</f>
        <v/>
      </c>
      <c r="W320" s="30" t="str">
        <f t="array" ref="W320">IF($A320="", "", LET(bbgm_stat, INDEX(Players!$A319:$P319, MATCH(W$2, Players!$A$1:$P$1, 0)), perc_75, VLOOKUP(W$2, Percentiles!$A$45:$I$59, 6, FALSE), perc_90, VLOOKUP(W$2, Percentiles!$A$45:$I$59, 7, FALSE), perc_95, VLOOKUP(W$2, Percentiles!$A$45:$I$59, 8, FALSE), perc_85, perc_75 + (perc_90 - perc_75) * (2/3), converted_stat, '2K_Ratings'!W320, IF(bbgm_stat &gt;= perc_95, converted_stat * 3, IF(bbgm_stat &gt;= perc_90, converted_stat * 2, IF(bbgm_stat &gt;= perc_85, converted_stat * 1.5, converted_stat)))))</f>
        <v/>
      </c>
    </row>
    <row r="321">
      <c r="A321" s="30"/>
      <c r="B321" s="30" t="str">
        <f t="array" ref="B321">IF($A321="", "", LET(bbgm_stat, INDEX(Players!$A320:$P320, MATCH(B$2, Players!$A$1:$P$1, 0)), perc_75, VLOOKUP(B$2, Percentiles!$A$45:$I$59, 6, FALSE), perc_90, VLOOKUP(B$2, Percentiles!$A$45:$I$59, 7, FALSE), perc_95, VLOOKUP(B$2, Percentiles!$A$45:$I$59, 8, FALSE), perc_85, perc_75 + (perc_90 - perc_75) * (2/3), converted_stat, '2K_Ratings'!B321, IF(bbgm_stat &gt;= perc_95, converted_stat * 3, IF(bbgm_stat &gt;= perc_90, converted_stat * 2, IF(bbgm_stat &gt;= perc_85, converted_stat * 1.5, converted_stat)))))</f>
        <v/>
      </c>
      <c r="C321" s="30" t="str">
        <f t="array" ref="C321">IF($A321="", "", LET(bbgm_stat, INDEX(Players!$A320:$P320, MATCH(C$2, Players!$A$1:$P$1, 0)), perc_75, VLOOKUP(C$2, Percentiles!$A$45:$I$59, 6, FALSE), perc_90, VLOOKUP(C$2, Percentiles!$A$45:$I$59, 7, FALSE), perc_95, VLOOKUP(C$2, Percentiles!$A$45:$I$59, 8, FALSE), perc_85, perc_75 + (perc_90 - perc_75) * (2/3), converted_stat, '2K_Ratings'!C321, IF(bbgm_stat &gt;= perc_95, converted_stat * 3, IF(bbgm_stat &gt;= perc_90, converted_stat * 2, IF(bbgm_stat &gt;= perc_85, converted_stat * 1.5, converted_stat)))))</f>
        <v/>
      </c>
      <c r="D321" s="30" t="str">
        <f t="array" ref="D321">IF($A321="", "", LET(bbgm_stat, INDEX(Players!$A320:$P320, MATCH(D$2, Players!$A$1:$P$1, 0)), perc_75, VLOOKUP(D$2, Percentiles!$A$45:$I$59, 6, FALSE), perc_90, VLOOKUP(D$2, Percentiles!$A$45:$I$59, 7, FALSE), perc_95, VLOOKUP(D$2, Percentiles!$A$45:$I$59, 8, FALSE), perc_85, perc_75 + (perc_90 - perc_75) * (2/3), converted_stat, '2K_Ratings'!D321, IF(bbgm_stat &gt;= perc_95, converted_stat * 3, IF(bbgm_stat &gt;= perc_90, converted_stat * 2, IF(bbgm_stat &gt;= perc_85, converted_stat * 1.5, converted_stat)))))</f>
        <v/>
      </c>
      <c r="E321" s="30" t="str">
        <f t="array" ref="E321">IF($A321="", "", LET(bbgm_stat, INDEX(Players!$A320:$P320, MATCH(E$2, Players!$A$1:$P$1, 0)), perc_75, VLOOKUP(E$2, Percentiles!$A$45:$I$59, 6, FALSE), perc_90, VLOOKUP(E$2, Percentiles!$A$45:$I$59, 7, FALSE), perc_95, VLOOKUP(E$2, Percentiles!$A$45:$I$59, 8, FALSE), perc_85, perc_75 + (perc_90 - perc_75) * (2/3), converted_stat, '2K_Ratings'!E321, IF(bbgm_stat &gt;= perc_95, converted_stat * 3, IF(bbgm_stat &gt;= perc_90, converted_stat * 2, IF(bbgm_stat &gt;= perc_85, converted_stat * 1.5, converted_stat)))))</f>
        <v/>
      </c>
      <c r="F321" s="30" t="str">
        <f t="array" ref="F321">IF($A321="", "", LET(bbgm_stat, INDEX(Players!$A320:$P320, MATCH(F$2, Players!$A$1:$P$1, 0)), perc_75, VLOOKUP(F$2, Percentiles!$A$45:$I$59, 6, FALSE), perc_90, VLOOKUP(F$2, Percentiles!$A$45:$I$59, 7, FALSE), perc_95, VLOOKUP(F$2, Percentiles!$A$45:$I$59, 8, FALSE), perc_85, perc_75 + (perc_90 - perc_75) * (2/3), converted_stat, '2K_Ratings'!F321, IF(bbgm_stat &gt;= perc_95, converted_stat * 3, IF(bbgm_stat &gt;= perc_90, converted_stat * 2, IF(bbgm_stat &gt;= perc_85, converted_stat * 1.5, converted_stat)))))</f>
        <v/>
      </c>
      <c r="G321" s="30" t="str">
        <f t="array" ref="G321">IF($A321="", "", LET(bbgm_stat, INDEX(Players!$A320:$P320, MATCH(G$2, Players!$A$1:$P$1, 0)), perc_75, VLOOKUP(G$2, Percentiles!$A$45:$I$59, 6, FALSE), perc_90, VLOOKUP(G$2, Percentiles!$A$45:$I$59, 7, FALSE), perc_95, VLOOKUP(G$2, Percentiles!$A$45:$I$59, 8, FALSE), perc_85, perc_75 + (perc_90 - perc_75) * (2/3), converted_stat, '2K_Ratings'!G321, IF(bbgm_stat &gt;= perc_95, converted_stat * 3, IF(bbgm_stat &gt;= perc_90, converted_stat * 2, IF(bbgm_stat &gt;= perc_85, converted_stat * 1.5, converted_stat)))))</f>
        <v/>
      </c>
      <c r="H321" s="30" t="str">
        <f t="array" ref="H321">IF($A321="", "", LET(bbgm_stat, INDEX(Players!$A320:$P320, MATCH(H$2, Players!$A$1:$P$1, 0)), perc_75, VLOOKUP(H$2, Percentiles!$A$45:$I$59, 6, FALSE), perc_90, VLOOKUP(H$2, Percentiles!$A$45:$I$59, 7, FALSE), perc_95, VLOOKUP(H$2, Percentiles!$A$45:$I$59, 8, FALSE), perc_85, perc_75 + (perc_90 - perc_75) * (2/3), converted_stat, '2K_Ratings'!H321, IF(bbgm_stat &gt;= perc_95, converted_stat * 3, IF(bbgm_stat &gt;= perc_90, converted_stat * 2, IF(bbgm_stat &gt;= perc_85, converted_stat * 1.5, converted_stat)))))</f>
        <v/>
      </c>
      <c r="I321" s="30" t="str">
        <f t="array" ref="I321">IF($A321="", "", LET(bbgm_stat, INDEX(Players!$A320:$P320, MATCH(I$2, Players!$A$1:$P$1, 0)), perc_75, VLOOKUP(I$2, Percentiles!$A$45:$I$59, 6, FALSE), perc_90, VLOOKUP(I$2, Percentiles!$A$45:$I$59, 7, FALSE), perc_95, VLOOKUP(I$2, Percentiles!$A$45:$I$59, 8, FALSE), perc_85, perc_75 + (perc_90 - perc_75) * (2/3), converted_stat, '2K_Ratings'!I321, IF(bbgm_stat &gt;= perc_95, converted_stat * 3, IF(bbgm_stat &gt;= perc_90, converted_stat * 2, IF(bbgm_stat &gt;= perc_85, converted_stat * 1.5, converted_stat)))))</f>
        <v/>
      </c>
      <c r="J321" s="30" t="str">
        <f t="array" ref="J321">IF($A321="", "", LET(bbgm_stat, INDEX(Players!$A320:$P320, MATCH(J$2, Players!$A$1:$P$1, 0)), perc_75, VLOOKUP(J$2, Percentiles!$A$45:$I$59, 6, FALSE), perc_90, VLOOKUP(J$2, Percentiles!$A$45:$I$59, 7, FALSE), perc_95, VLOOKUP(J$2, Percentiles!$A$45:$I$59, 8, FALSE), perc_85, perc_75 + (perc_90 - perc_75) * (2/3), converted_stat, '2K_Ratings'!J321, IF(bbgm_stat &gt;= perc_95, converted_stat * 3, IF(bbgm_stat &gt;= perc_90, converted_stat * 2, IF(bbgm_stat &gt;= perc_85, converted_stat * 1.5, converted_stat)))))</f>
        <v/>
      </c>
      <c r="K321" s="30" t="str">
        <f t="array" ref="K321">IF($A321="", "", LET(bbgm_stat, INDEX(Players!$A320:$P320, MATCH(K$2, Players!$A$1:$P$1, 0)), perc_75, VLOOKUP(K$2, Percentiles!$A$45:$I$59, 6, FALSE), perc_90, VLOOKUP(K$2, Percentiles!$A$45:$I$59, 7, FALSE), perc_95, VLOOKUP(K$2, Percentiles!$A$45:$I$59, 8, FALSE), perc_85, perc_75 + (perc_90 - perc_75) * (2/3), converted_stat, '2K_Ratings'!K321, IF(bbgm_stat &gt;= perc_95, converted_stat * 3, IF(bbgm_stat &gt;= perc_90, converted_stat * 2, IF(bbgm_stat &gt;= perc_85, converted_stat * 1.5, converted_stat)))))</f>
        <v/>
      </c>
      <c r="L321" s="30" t="str">
        <f t="array" ref="L321">IF($A321="", "", LET(bbgm_stat, INDEX(Players!$A320:$P320, MATCH(L$2, Players!$A$1:$P$1, 0)), perc_75, VLOOKUP(L$2, Percentiles!$A$45:$I$59, 6, FALSE), perc_90, VLOOKUP(L$2, Percentiles!$A$45:$I$59, 7, FALSE), perc_95, VLOOKUP(L$2, Percentiles!$A$45:$I$59, 8, FALSE), perc_85, perc_75 + (perc_90 - perc_75) * (2/3), converted_stat, '2K_Ratings'!L321, IF(bbgm_stat &gt;= perc_95, converted_stat * 3, IF(bbgm_stat &gt;= perc_90, converted_stat * 2, IF(bbgm_stat &gt;= perc_85, converted_stat * 1.5, converted_stat)))))</f>
        <v/>
      </c>
      <c r="M321" s="30" t="str">
        <f t="array" ref="M321">IF($A321="", "", LET(bbgm_stat, INDEX(Players!$A320:$P320, MATCH(M$2, Players!$A$1:$P$1, 0)), perc_75, VLOOKUP(M$2, Percentiles!$A$45:$I$59, 6, FALSE), perc_90, VLOOKUP(M$2, Percentiles!$A$45:$I$59, 7, FALSE), perc_95, VLOOKUP(M$2, Percentiles!$A$45:$I$59, 8, FALSE), perc_85, perc_75 + (perc_90 - perc_75) * (2/3), converted_stat, '2K_Ratings'!M321, IF(bbgm_stat &gt;= perc_95, converted_stat * 3, IF(bbgm_stat &gt;= perc_90, converted_stat * 2, IF(bbgm_stat &gt;= perc_85, converted_stat * 1.5, converted_stat)))))</f>
        <v/>
      </c>
      <c r="N321" s="30" t="str">
        <f t="array" ref="N321">IF($A321="", "", LET(bbgm_stat, INDEX(Players!$A320:$P320, MATCH(N$2, Players!$A$1:$P$1, 0)), perc_75, VLOOKUP(N$2, Percentiles!$A$45:$I$59, 6, FALSE), perc_90, VLOOKUP(N$2, Percentiles!$A$45:$I$59, 7, FALSE), perc_95, VLOOKUP(N$2, Percentiles!$A$45:$I$59, 8, FALSE), perc_85, perc_75 + (perc_90 - perc_75) * (2/3), converted_stat, '2K_Ratings'!N321, IF(bbgm_stat &gt;= perc_95, converted_stat * 3, IF(bbgm_stat &gt;= perc_90, converted_stat * 2, IF(bbgm_stat &gt;= perc_85, converted_stat * 1.5, converted_stat)))))</f>
        <v/>
      </c>
      <c r="O321" s="30" t="str">
        <f t="array" ref="O321">IF($A321="", "", LET(bbgm_stat, INDEX(Players!$A320:$P320, MATCH(O$2, Players!$A$1:$P$1, 0)), perc_75, VLOOKUP(O$2, Percentiles!$A$45:$I$59, 6, FALSE), perc_90, VLOOKUP(O$2, Percentiles!$A$45:$I$59, 7, FALSE), perc_95, VLOOKUP(O$2, Percentiles!$A$45:$I$59, 8, FALSE), perc_85, perc_75 + (perc_90 - perc_75) * (2/3), converted_stat, '2K_Ratings'!O321, IF(bbgm_stat &gt;= perc_95, converted_stat * 3, IF(bbgm_stat &gt;= perc_90, converted_stat * 2, IF(bbgm_stat &gt;= perc_85, converted_stat * 1.5, converted_stat)))))</f>
        <v/>
      </c>
      <c r="P321" s="30" t="str">
        <f t="array" ref="P321">IF($A321="", "", LET(bbgm_stat, INDEX(Players!$A320:$P320, MATCH(P$2, Players!$A$1:$P$1, 0)), perc_75, VLOOKUP(P$2, Percentiles!$A$45:$I$59, 6, FALSE), perc_90, VLOOKUP(P$2, Percentiles!$A$45:$I$59, 7, FALSE), perc_95, VLOOKUP(P$2, Percentiles!$A$45:$I$59, 8, FALSE), perc_85, perc_75 + (perc_90 - perc_75) * (2/3), converted_stat, '2K_Ratings'!P321, IF(bbgm_stat &gt;= perc_95, converted_stat * 3, IF(bbgm_stat &gt;= perc_90, converted_stat * 2, IF(bbgm_stat &gt;= perc_85, converted_stat * 1.5, converted_stat)))))</f>
        <v/>
      </c>
      <c r="Q321" s="30" t="str">
        <f t="array" ref="Q321">IF($A321="", "", LET(bbgm_stat, INDEX(Players!$A320:$P320, MATCH(Q$2, Players!$A$1:$P$1, 0)), perc_75, VLOOKUP(Q$2, Percentiles!$A$45:$I$59, 6, FALSE), perc_90, VLOOKUP(Q$2, Percentiles!$A$45:$I$59, 7, FALSE), perc_95, VLOOKUP(Q$2, Percentiles!$A$45:$I$59, 8, FALSE), perc_85, perc_75 + (perc_90 - perc_75) * (2/3), converted_stat, '2K_Ratings'!Q321, IF(bbgm_stat &gt;= perc_95, converted_stat * 3, IF(bbgm_stat &gt;= perc_90, converted_stat * 2, IF(bbgm_stat &gt;= perc_85, converted_stat * 1.5, converted_stat)))))</f>
        <v/>
      </c>
      <c r="R321" s="30" t="str">
        <f t="array" ref="R321">IF($A321="", "", LET(bbgm_stat, INDEX(Players!$A320:$P320, MATCH(R$2, Players!$A$1:$P$1, 0)), perc_75, VLOOKUP(R$2, Percentiles!$A$45:$I$59, 6, FALSE), perc_90, VLOOKUP(R$2, Percentiles!$A$45:$I$59, 7, FALSE), perc_95, VLOOKUP(R$2, Percentiles!$A$45:$I$59, 8, FALSE), perc_85, perc_75 + (perc_90 - perc_75) * (2/3), converted_stat, '2K_Ratings'!R321, IF(bbgm_stat &gt;= perc_95, converted_stat * 3, IF(bbgm_stat &gt;= perc_90, converted_stat * 2, IF(bbgm_stat &gt;= perc_85, converted_stat * 1.5, converted_stat)))))</f>
        <v/>
      </c>
      <c r="S321" s="30" t="str">
        <f t="array" ref="S321">IF($A321="", "", LET(bbgm_stat, INDEX(Players!$A320:$P320, MATCH(S$2, Players!$A$1:$P$1, 0)), perc_75, VLOOKUP(S$2, Percentiles!$A$45:$I$59, 6, FALSE), perc_90, VLOOKUP(S$2, Percentiles!$A$45:$I$59, 7, FALSE), perc_95, VLOOKUP(S$2, Percentiles!$A$45:$I$59, 8, FALSE), perc_85, perc_75 + (perc_90 - perc_75) * (2/3), converted_stat, '2K_Ratings'!S321, IF(bbgm_stat &gt;= perc_95, converted_stat * 3, IF(bbgm_stat &gt;= perc_90, converted_stat * 2, IF(bbgm_stat &gt;= perc_85, converted_stat * 1.5, converted_stat)))))</f>
        <v/>
      </c>
      <c r="T321" s="30" t="str">
        <f t="array" ref="T321">IF($A321="", "", LET(bbgm_stat, INDEX(Players!$A320:$P320, MATCH(T$2, Players!$A$1:$P$1, 0)), perc_75, VLOOKUP(T$2, Percentiles!$A$45:$I$59, 6, FALSE), perc_90, VLOOKUP(T$2, Percentiles!$A$45:$I$59, 7, FALSE), perc_95, VLOOKUP(T$2, Percentiles!$A$45:$I$59, 8, FALSE), perc_85, perc_75 + (perc_90 - perc_75) * (2/3), converted_stat, '2K_Ratings'!T321, IF(bbgm_stat &gt;= perc_95, converted_stat * 3, IF(bbgm_stat &gt;= perc_90, converted_stat * 2, IF(bbgm_stat &gt;= perc_85, converted_stat * 1.5, converted_stat)))))</f>
        <v/>
      </c>
      <c r="U321" s="30" t="str">
        <f t="array" ref="U321">IF($A321="", "", LET(bbgm_stat, INDEX(Players!$A320:$P320, MATCH(U$2, Players!$A$1:$P$1, 0)), perc_75, VLOOKUP(U$2, Percentiles!$A$45:$I$59, 6, FALSE), perc_90, VLOOKUP(U$2, Percentiles!$A$45:$I$59, 7, FALSE), perc_95, VLOOKUP(U$2, Percentiles!$A$45:$I$59, 8, FALSE), perc_85, perc_75 + (perc_90 - perc_75) * (2/3), converted_stat, '2K_Ratings'!U321, IF(bbgm_stat &gt;= perc_95, converted_stat * 3, IF(bbgm_stat &gt;= perc_90, converted_stat * 2, IF(bbgm_stat &gt;= perc_85, converted_stat * 1.5, converted_stat)))))</f>
        <v/>
      </c>
      <c r="V321" s="30" t="str">
        <f t="array" ref="V321">IF($A321="", "", LET(bbgm_stat, INDEX(Players!$A320:$P320, MATCH(V$2, Players!$A$1:$P$1, 0)), perc_75, VLOOKUP(V$2, Percentiles!$A$45:$I$59, 6, FALSE), perc_90, VLOOKUP(V$2, Percentiles!$A$45:$I$59, 7, FALSE), perc_95, VLOOKUP(V$2, Percentiles!$A$45:$I$59, 8, FALSE), perc_85, perc_75 + (perc_90 - perc_75) * (2/3), converted_stat, '2K_Ratings'!V321, IF(bbgm_stat &gt;= perc_95, converted_stat * 3, IF(bbgm_stat &gt;= perc_90, converted_stat * 2, IF(bbgm_stat &gt;= perc_85, converted_stat * 1.5, converted_stat)))))</f>
        <v/>
      </c>
      <c r="W321" s="30" t="str">
        <f t="array" ref="W321">IF($A321="", "", LET(bbgm_stat, INDEX(Players!$A320:$P320, MATCH(W$2, Players!$A$1:$P$1, 0)), perc_75, VLOOKUP(W$2, Percentiles!$A$45:$I$59, 6, FALSE), perc_90, VLOOKUP(W$2, Percentiles!$A$45:$I$59, 7, FALSE), perc_95, VLOOKUP(W$2, Percentiles!$A$45:$I$59, 8, FALSE), perc_85, perc_75 + (perc_90 - perc_75) * (2/3), converted_stat, '2K_Ratings'!W321, IF(bbgm_stat &gt;= perc_95, converted_stat * 3, IF(bbgm_stat &gt;= perc_90, converted_stat * 2, IF(bbgm_stat &gt;= perc_85, converted_stat * 1.5, converted_stat)))))</f>
        <v/>
      </c>
    </row>
    <row r="322">
      <c r="A322" s="30"/>
      <c r="B322" s="30" t="str">
        <f t="array" ref="B322">IF($A322="", "", LET(bbgm_stat, INDEX(Players!$A321:$P321, MATCH(B$2, Players!$A$1:$P$1, 0)), perc_75, VLOOKUP(B$2, Percentiles!$A$45:$I$59, 6, FALSE), perc_90, VLOOKUP(B$2, Percentiles!$A$45:$I$59, 7, FALSE), perc_95, VLOOKUP(B$2, Percentiles!$A$45:$I$59, 8, FALSE), perc_85, perc_75 + (perc_90 - perc_75) * (2/3), converted_stat, '2K_Ratings'!B322, IF(bbgm_stat &gt;= perc_95, converted_stat * 3, IF(bbgm_stat &gt;= perc_90, converted_stat * 2, IF(bbgm_stat &gt;= perc_85, converted_stat * 1.5, converted_stat)))))</f>
        <v/>
      </c>
      <c r="C322" s="30" t="str">
        <f t="array" ref="C322">IF($A322="", "", LET(bbgm_stat, INDEX(Players!$A321:$P321, MATCH(C$2, Players!$A$1:$P$1, 0)), perc_75, VLOOKUP(C$2, Percentiles!$A$45:$I$59, 6, FALSE), perc_90, VLOOKUP(C$2, Percentiles!$A$45:$I$59, 7, FALSE), perc_95, VLOOKUP(C$2, Percentiles!$A$45:$I$59, 8, FALSE), perc_85, perc_75 + (perc_90 - perc_75) * (2/3), converted_stat, '2K_Ratings'!C322, IF(bbgm_stat &gt;= perc_95, converted_stat * 3, IF(bbgm_stat &gt;= perc_90, converted_stat * 2, IF(bbgm_stat &gt;= perc_85, converted_stat * 1.5, converted_stat)))))</f>
        <v/>
      </c>
      <c r="D322" s="30" t="str">
        <f t="array" ref="D322">IF($A322="", "", LET(bbgm_stat, INDEX(Players!$A321:$P321, MATCH(D$2, Players!$A$1:$P$1, 0)), perc_75, VLOOKUP(D$2, Percentiles!$A$45:$I$59, 6, FALSE), perc_90, VLOOKUP(D$2, Percentiles!$A$45:$I$59, 7, FALSE), perc_95, VLOOKUP(D$2, Percentiles!$A$45:$I$59, 8, FALSE), perc_85, perc_75 + (perc_90 - perc_75) * (2/3), converted_stat, '2K_Ratings'!D322, IF(bbgm_stat &gt;= perc_95, converted_stat * 3, IF(bbgm_stat &gt;= perc_90, converted_stat * 2, IF(bbgm_stat &gt;= perc_85, converted_stat * 1.5, converted_stat)))))</f>
        <v/>
      </c>
      <c r="E322" s="30" t="str">
        <f t="array" ref="E322">IF($A322="", "", LET(bbgm_stat, INDEX(Players!$A321:$P321, MATCH(E$2, Players!$A$1:$P$1, 0)), perc_75, VLOOKUP(E$2, Percentiles!$A$45:$I$59, 6, FALSE), perc_90, VLOOKUP(E$2, Percentiles!$A$45:$I$59, 7, FALSE), perc_95, VLOOKUP(E$2, Percentiles!$A$45:$I$59, 8, FALSE), perc_85, perc_75 + (perc_90 - perc_75) * (2/3), converted_stat, '2K_Ratings'!E322, IF(bbgm_stat &gt;= perc_95, converted_stat * 3, IF(bbgm_stat &gt;= perc_90, converted_stat * 2, IF(bbgm_stat &gt;= perc_85, converted_stat * 1.5, converted_stat)))))</f>
        <v/>
      </c>
      <c r="F322" s="30" t="str">
        <f t="array" ref="F322">IF($A322="", "", LET(bbgm_stat, INDEX(Players!$A321:$P321, MATCH(F$2, Players!$A$1:$P$1, 0)), perc_75, VLOOKUP(F$2, Percentiles!$A$45:$I$59, 6, FALSE), perc_90, VLOOKUP(F$2, Percentiles!$A$45:$I$59, 7, FALSE), perc_95, VLOOKUP(F$2, Percentiles!$A$45:$I$59, 8, FALSE), perc_85, perc_75 + (perc_90 - perc_75) * (2/3), converted_stat, '2K_Ratings'!F322, IF(bbgm_stat &gt;= perc_95, converted_stat * 3, IF(bbgm_stat &gt;= perc_90, converted_stat * 2, IF(bbgm_stat &gt;= perc_85, converted_stat * 1.5, converted_stat)))))</f>
        <v/>
      </c>
      <c r="G322" s="30" t="str">
        <f t="array" ref="G322">IF($A322="", "", LET(bbgm_stat, INDEX(Players!$A321:$P321, MATCH(G$2, Players!$A$1:$P$1, 0)), perc_75, VLOOKUP(G$2, Percentiles!$A$45:$I$59, 6, FALSE), perc_90, VLOOKUP(G$2, Percentiles!$A$45:$I$59, 7, FALSE), perc_95, VLOOKUP(G$2, Percentiles!$A$45:$I$59, 8, FALSE), perc_85, perc_75 + (perc_90 - perc_75) * (2/3), converted_stat, '2K_Ratings'!G322, IF(bbgm_stat &gt;= perc_95, converted_stat * 3, IF(bbgm_stat &gt;= perc_90, converted_stat * 2, IF(bbgm_stat &gt;= perc_85, converted_stat * 1.5, converted_stat)))))</f>
        <v/>
      </c>
      <c r="H322" s="30" t="str">
        <f t="array" ref="H322">IF($A322="", "", LET(bbgm_stat, INDEX(Players!$A321:$P321, MATCH(H$2, Players!$A$1:$P$1, 0)), perc_75, VLOOKUP(H$2, Percentiles!$A$45:$I$59, 6, FALSE), perc_90, VLOOKUP(H$2, Percentiles!$A$45:$I$59, 7, FALSE), perc_95, VLOOKUP(H$2, Percentiles!$A$45:$I$59, 8, FALSE), perc_85, perc_75 + (perc_90 - perc_75) * (2/3), converted_stat, '2K_Ratings'!H322, IF(bbgm_stat &gt;= perc_95, converted_stat * 3, IF(bbgm_stat &gt;= perc_90, converted_stat * 2, IF(bbgm_stat &gt;= perc_85, converted_stat * 1.5, converted_stat)))))</f>
        <v/>
      </c>
      <c r="I322" s="30" t="str">
        <f t="array" ref="I322">IF($A322="", "", LET(bbgm_stat, INDEX(Players!$A321:$P321, MATCH(I$2, Players!$A$1:$P$1, 0)), perc_75, VLOOKUP(I$2, Percentiles!$A$45:$I$59, 6, FALSE), perc_90, VLOOKUP(I$2, Percentiles!$A$45:$I$59, 7, FALSE), perc_95, VLOOKUP(I$2, Percentiles!$A$45:$I$59, 8, FALSE), perc_85, perc_75 + (perc_90 - perc_75) * (2/3), converted_stat, '2K_Ratings'!I322, IF(bbgm_stat &gt;= perc_95, converted_stat * 3, IF(bbgm_stat &gt;= perc_90, converted_stat * 2, IF(bbgm_stat &gt;= perc_85, converted_stat * 1.5, converted_stat)))))</f>
        <v/>
      </c>
      <c r="J322" s="30" t="str">
        <f t="array" ref="J322">IF($A322="", "", LET(bbgm_stat, INDEX(Players!$A321:$P321, MATCH(J$2, Players!$A$1:$P$1, 0)), perc_75, VLOOKUP(J$2, Percentiles!$A$45:$I$59, 6, FALSE), perc_90, VLOOKUP(J$2, Percentiles!$A$45:$I$59, 7, FALSE), perc_95, VLOOKUP(J$2, Percentiles!$A$45:$I$59, 8, FALSE), perc_85, perc_75 + (perc_90 - perc_75) * (2/3), converted_stat, '2K_Ratings'!J322, IF(bbgm_stat &gt;= perc_95, converted_stat * 3, IF(bbgm_stat &gt;= perc_90, converted_stat * 2, IF(bbgm_stat &gt;= perc_85, converted_stat * 1.5, converted_stat)))))</f>
        <v/>
      </c>
      <c r="K322" s="30" t="str">
        <f t="array" ref="K322">IF($A322="", "", LET(bbgm_stat, INDEX(Players!$A321:$P321, MATCH(K$2, Players!$A$1:$P$1, 0)), perc_75, VLOOKUP(K$2, Percentiles!$A$45:$I$59, 6, FALSE), perc_90, VLOOKUP(K$2, Percentiles!$A$45:$I$59, 7, FALSE), perc_95, VLOOKUP(K$2, Percentiles!$A$45:$I$59, 8, FALSE), perc_85, perc_75 + (perc_90 - perc_75) * (2/3), converted_stat, '2K_Ratings'!K322, IF(bbgm_stat &gt;= perc_95, converted_stat * 3, IF(bbgm_stat &gt;= perc_90, converted_stat * 2, IF(bbgm_stat &gt;= perc_85, converted_stat * 1.5, converted_stat)))))</f>
        <v/>
      </c>
      <c r="L322" s="30" t="str">
        <f t="array" ref="L322">IF($A322="", "", LET(bbgm_stat, INDEX(Players!$A321:$P321, MATCH(L$2, Players!$A$1:$P$1, 0)), perc_75, VLOOKUP(L$2, Percentiles!$A$45:$I$59, 6, FALSE), perc_90, VLOOKUP(L$2, Percentiles!$A$45:$I$59, 7, FALSE), perc_95, VLOOKUP(L$2, Percentiles!$A$45:$I$59, 8, FALSE), perc_85, perc_75 + (perc_90 - perc_75) * (2/3), converted_stat, '2K_Ratings'!L322, IF(bbgm_stat &gt;= perc_95, converted_stat * 3, IF(bbgm_stat &gt;= perc_90, converted_stat * 2, IF(bbgm_stat &gt;= perc_85, converted_stat * 1.5, converted_stat)))))</f>
        <v/>
      </c>
      <c r="M322" s="30" t="str">
        <f t="array" ref="M322">IF($A322="", "", LET(bbgm_stat, INDEX(Players!$A321:$P321, MATCH(M$2, Players!$A$1:$P$1, 0)), perc_75, VLOOKUP(M$2, Percentiles!$A$45:$I$59, 6, FALSE), perc_90, VLOOKUP(M$2, Percentiles!$A$45:$I$59, 7, FALSE), perc_95, VLOOKUP(M$2, Percentiles!$A$45:$I$59, 8, FALSE), perc_85, perc_75 + (perc_90 - perc_75) * (2/3), converted_stat, '2K_Ratings'!M322, IF(bbgm_stat &gt;= perc_95, converted_stat * 3, IF(bbgm_stat &gt;= perc_90, converted_stat * 2, IF(bbgm_stat &gt;= perc_85, converted_stat * 1.5, converted_stat)))))</f>
        <v/>
      </c>
      <c r="N322" s="30" t="str">
        <f t="array" ref="N322">IF($A322="", "", LET(bbgm_stat, INDEX(Players!$A321:$P321, MATCH(N$2, Players!$A$1:$P$1, 0)), perc_75, VLOOKUP(N$2, Percentiles!$A$45:$I$59, 6, FALSE), perc_90, VLOOKUP(N$2, Percentiles!$A$45:$I$59, 7, FALSE), perc_95, VLOOKUP(N$2, Percentiles!$A$45:$I$59, 8, FALSE), perc_85, perc_75 + (perc_90 - perc_75) * (2/3), converted_stat, '2K_Ratings'!N322, IF(bbgm_stat &gt;= perc_95, converted_stat * 3, IF(bbgm_stat &gt;= perc_90, converted_stat * 2, IF(bbgm_stat &gt;= perc_85, converted_stat * 1.5, converted_stat)))))</f>
        <v/>
      </c>
      <c r="O322" s="30" t="str">
        <f t="array" ref="O322">IF($A322="", "", LET(bbgm_stat, INDEX(Players!$A321:$P321, MATCH(O$2, Players!$A$1:$P$1, 0)), perc_75, VLOOKUP(O$2, Percentiles!$A$45:$I$59, 6, FALSE), perc_90, VLOOKUP(O$2, Percentiles!$A$45:$I$59, 7, FALSE), perc_95, VLOOKUP(O$2, Percentiles!$A$45:$I$59, 8, FALSE), perc_85, perc_75 + (perc_90 - perc_75) * (2/3), converted_stat, '2K_Ratings'!O322, IF(bbgm_stat &gt;= perc_95, converted_stat * 3, IF(bbgm_stat &gt;= perc_90, converted_stat * 2, IF(bbgm_stat &gt;= perc_85, converted_stat * 1.5, converted_stat)))))</f>
        <v/>
      </c>
      <c r="P322" s="30" t="str">
        <f t="array" ref="P322">IF($A322="", "", LET(bbgm_stat, INDEX(Players!$A321:$P321, MATCH(P$2, Players!$A$1:$P$1, 0)), perc_75, VLOOKUP(P$2, Percentiles!$A$45:$I$59, 6, FALSE), perc_90, VLOOKUP(P$2, Percentiles!$A$45:$I$59, 7, FALSE), perc_95, VLOOKUP(P$2, Percentiles!$A$45:$I$59, 8, FALSE), perc_85, perc_75 + (perc_90 - perc_75) * (2/3), converted_stat, '2K_Ratings'!P322, IF(bbgm_stat &gt;= perc_95, converted_stat * 3, IF(bbgm_stat &gt;= perc_90, converted_stat * 2, IF(bbgm_stat &gt;= perc_85, converted_stat * 1.5, converted_stat)))))</f>
        <v/>
      </c>
      <c r="Q322" s="30" t="str">
        <f t="array" ref="Q322">IF($A322="", "", LET(bbgm_stat, INDEX(Players!$A321:$P321, MATCH(Q$2, Players!$A$1:$P$1, 0)), perc_75, VLOOKUP(Q$2, Percentiles!$A$45:$I$59, 6, FALSE), perc_90, VLOOKUP(Q$2, Percentiles!$A$45:$I$59, 7, FALSE), perc_95, VLOOKUP(Q$2, Percentiles!$A$45:$I$59, 8, FALSE), perc_85, perc_75 + (perc_90 - perc_75) * (2/3), converted_stat, '2K_Ratings'!Q322, IF(bbgm_stat &gt;= perc_95, converted_stat * 3, IF(bbgm_stat &gt;= perc_90, converted_stat * 2, IF(bbgm_stat &gt;= perc_85, converted_stat * 1.5, converted_stat)))))</f>
        <v/>
      </c>
      <c r="R322" s="30" t="str">
        <f t="array" ref="R322">IF($A322="", "", LET(bbgm_stat, INDEX(Players!$A321:$P321, MATCH(R$2, Players!$A$1:$P$1, 0)), perc_75, VLOOKUP(R$2, Percentiles!$A$45:$I$59, 6, FALSE), perc_90, VLOOKUP(R$2, Percentiles!$A$45:$I$59, 7, FALSE), perc_95, VLOOKUP(R$2, Percentiles!$A$45:$I$59, 8, FALSE), perc_85, perc_75 + (perc_90 - perc_75) * (2/3), converted_stat, '2K_Ratings'!R322, IF(bbgm_stat &gt;= perc_95, converted_stat * 3, IF(bbgm_stat &gt;= perc_90, converted_stat * 2, IF(bbgm_stat &gt;= perc_85, converted_stat * 1.5, converted_stat)))))</f>
        <v/>
      </c>
      <c r="S322" s="30" t="str">
        <f t="array" ref="S322">IF($A322="", "", LET(bbgm_stat, INDEX(Players!$A321:$P321, MATCH(S$2, Players!$A$1:$P$1, 0)), perc_75, VLOOKUP(S$2, Percentiles!$A$45:$I$59, 6, FALSE), perc_90, VLOOKUP(S$2, Percentiles!$A$45:$I$59, 7, FALSE), perc_95, VLOOKUP(S$2, Percentiles!$A$45:$I$59, 8, FALSE), perc_85, perc_75 + (perc_90 - perc_75) * (2/3), converted_stat, '2K_Ratings'!S322, IF(bbgm_stat &gt;= perc_95, converted_stat * 3, IF(bbgm_stat &gt;= perc_90, converted_stat * 2, IF(bbgm_stat &gt;= perc_85, converted_stat * 1.5, converted_stat)))))</f>
        <v/>
      </c>
      <c r="T322" s="30" t="str">
        <f t="array" ref="T322">IF($A322="", "", LET(bbgm_stat, INDEX(Players!$A321:$P321, MATCH(T$2, Players!$A$1:$P$1, 0)), perc_75, VLOOKUP(T$2, Percentiles!$A$45:$I$59, 6, FALSE), perc_90, VLOOKUP(T$2, Percentiles!$A$45:$I$59, 7, FALSE), perc_95, VLOOKUP(T$2, Percentiles!$A$45:$I$59, 8, FALSE), perc_85, perc_75 + (perc_90 - perc_75) * (2/3), converted_stat, '2K_Ratings'!T322, IF(bbgm_stat &gt;= perc_95, converted_stat * 3, IF(bbgm_stat &gt;= perc_90, converted_stat * 2, IF(bbgm_stat &gt;= perc_85, converted_stat * 1.5, converted_stat)))))</f>
        <v/>
      </c>
      <c r="U322" s="30" t="str">
        <f t="array" ref="U322">IF($A322="", "", LET(bbgm_stat, INDEX(Players!$A321:$P321, MATCH(U$2, Players!$A$1:$P$1, 0)), perc_75, VLOOKUP(U$2, Percentiles!$A$45:$I$59, 6, FALSE), perc_90, VLOOKUP(U$2, Percentiles!$A$45:$I$59, 7, FALSE), perc_95, VLOOKUP(U$2, Percentiles!$A$45:$I$59, 8, FALSE), perc_85, perc_75 + (perc_90 - perc_75) * (2/3), converted_stat, '2K_Ratings'!U322, IF(bbgm_stat &gt;= perc_95, converted_stat * 3, IF(bbgm_stat &gt;= perc_90, converted_stat * 2, IF(bbgm_stat &gt;= perc_85, converted_stat * 1.5, converted_stat)))))</f>
        <v/>
      </c>
      <c r="V322" s="30" t="str">
        <f t="array" ref="V322">IF($A322="", "", LET(bbgm_stat, INDEX(Players!$A321:$P321, MATCH(V$2, Players!$A$1:$P$1, 0)), perc_75, VLOOKUP(V$2, Percentiles!$A$45:$I$59, 6, FALSE), perc_90, VLOOKUP(V$2, Percentiles!$A$45:$I$59, 7, FALSE), perc_95, VLOOKUP(V$2, Percentiles!$A$45:$I$59, 8, FALSE), perc_85, perc_75 + (perc_90 - perc_75) * (2/3), converted_stat, '2K_Ratings'!V322, IF(bbgm_stat &gt;= perc_95, converted_stat * 3, IF(bbgm_stat &gt;= perc_90, converted_stat * 2, IF(bbgm_stat &gt;= perc_85, converted_stat * 1.5, converted_stat)))))</f>
        <v/>
      </c>
      <c r="W322" s="30" t="str">
        <f t="array" ref="W322">IF($A322="", "", LET(bbgm_stat, INDEX(Players!$A321:$P321, MATCH(W$2, Players!$A$1:$P$1, 0)), perc_75, VLOOKUP(W$2, Percentiles!$A$45:$I$59, 6, FALSE), perc_90, VLOOKUP(W$2, Percentiles!$A$45:$I$59, 7, FALSE), perc_95, VLOOKUP(W$2, Percentiles!$A$45:$I$59, 8, FALSE), perc_85, perc_75 + (perc_90 - perc_75) * (2/3), converted_stat, '2K_Ratings'!W322, IF(bbgm_stat &gt;= perc_95, converted_stat * 3, IF(bbgm_stat &gt;= perc_90, converted_stat * 2, IF(bbgm_stat &gt;= perc_85, converted_stat * 1.5, converted_stat)))))</f>
        <v/>
      </c>
    </row>
    <row r="323">
      <c r="A323" s="30"/>
      <c r="B323" s="30" t="str">
        <f t="array" ref="B323">IF($A323="", "", LET(bbgm_stat, INDEX(Players!$A322:$P322, MATCH(B$2, Players!$A$1:$P$1, 0)), perc_75, VLOOKUP(B$2, Percentiles!$A$45:$I$59, 6, FALSE), perc_90, VLOOKUP(B$2, Percentiles!$A$45:$I$59, 7, FALSE), perc_95, VLOOKUP(B$2, Percentiles!$A$45:$I$59, 8, FALSE), perc_85, perc_75 + (perc_90 - perc_75) * (2/3), converted_stat, '2K_Ratings'!B323, IF(bbgm_stat &gt;= perc_95, converted_stat * 3, IF(bbgm_stat &gt;= perc_90, converted_stat * 2, IF(bbgm_stat &gt;= perc_85, converted_stat * 1.5, converted_stat)))))</f>
        <v/>
      </c>
      <c r="C323" s="30" t="str">
        <f t="array" ref="C323">IF($A323="", "", LET(bbgm_stat, INDEX(Players!$A322:$P322, MATCH(C$2, Players!$A$1:$P$1, 0)), perc_75, VLOOKUP(C$2, Percentiles!$A$45:$I$59, 6, FALSE), perc_90, VLOOKUP(C$2, Percentiles!$A$45:$I$59, 7, FALSE), perc_95, VLOOKUP(C$2, Percentiles!$A$45:$I$59, 8, FALSE), perc_85, perc_75 + (perc_90 - perc_75) * (2/3), converted_stat, '2K_Ratings'!C323, IF(bbgm_stat &gt;= perc_95, converted_stat * 3, IF(bbgm_stat &gt;= perc_90, converted_stat * 2, IF(bbgm_stat &gt;= perc_85, converted_stat * 1.5, converted_stat)))))</f>
        <v/>
      </c>
      <c r="D323" s="30" t="str">
        <f t="array" ref="D323">IF($A323="", "", LET(bbgm_stat, INDEX(Players!$A322:$P322, MATCH(D$2, Players!$A$1:$P$1, 0)), perc_75, VLOOKUP(D$2, Percentiles!$A$45:$I$59, 6, FALSE), perc_90, VLOOKUP(D$2, Percentiles!$A$45:$I$59, 7, FALSE), perc_95, VLOOKUP(D$2, Percentiles!$A$45:$I$59, 8, FALSE), perc_85, perc_75 + (perc_90 - perc_75) * (2/3), converted_stat, '2K_Ratings'!D323, IF(bbgm_stat &gt;= perc_95, converted_stat * 3, IF(bbgm_stat &gt;= perc_90, converted_stat * 2, IF(bbgm_stat &gt;= perc_85, converted_stat * 1.5, converted_stat)))))</f>
        <v/>
      </c>
      <c r="E323" s="30" t="str">
        <f t="array" ref="E323">IF($A323="", "", LET(bbgm_stat, INDEX(Players!$A322:$P322, MATCH(E$2, Players!$A$1:$P$1, 0)), perc_75, VLOOKUP(E$2, Percentiles!$A$45:$I$59, 6, FALSE), perc_90, VLOOKUP(E$2, Percentiles!$A$45:$I$59, 7, FALSE), perc_95, VLOOKUP(E$2, Percentiles!$A$45:$I$59, 8, FALSE), perc_85, perc_75 + (perc_90 - perc_75) * (2/3), converted_stat, '2K_Ratings'!E323, IF(bbgm_stat &gt;= perc_95, converted_stat * 3, IF(bbgm_stat &gt;= perc_90, converted_stat * 2, IF(bbgm_stat &gt;= perc_85, converted_stat * 1.5, converted_stat)))))</f>
        <v/>
      </c>
      <c r="F323" s="30" t="str">
        <f t="array" ref="F323">IF($A323="", "", LET(bbgm_stat, INDEX(Players!$A322:$P322, MATCH(F$2, Players!$A$1:$P$1, 0)), perc_75, VLOOKUP(F$2, Percentiles!$A$45:$I$59, 6, FALSE), perc_90, VLOOKUP(F$2, Percentiles!$A$45:$I$59, 7, FALSE), perc_95, VLOOKUP(F$2, Percentiles!$A$45:$I$59, 8, FALSE), perc_85, perc_75 + (perc_90 - perc_75) * (2/3), converted_stat, '2K_Ratings'!F323, IF(bbgm_stat &gt;= perc_95, converted_stat * 3, IF(bbgm_stat &gt;= perc_90, converted_stat * 2, IF(bbgm_stat &gt;= perc_85, converted_stat * 1.5, converted_stat)))))</f>
        <v/>
      </c>
      <c r="G323" s="30" t="str">
        <f t="array" ref="G323">IF($A323="", "", LET(bbgm_stat, INDEX(Players!$A322:$P322, MATCH(G$2, Players!$A$1:$P$1, 0)), perc_75, VLOOKUP(G$2, Percentiles!$A$45:$I$59, 6, FALSE), perc_90, VLOOKUP(G$2, Percentiles!$A$45:$I$59, 7, FALSE), perc_95, VLOOKUP(G$2, Percentiles!$A$45:$I$59, 8, FALSE), perc_85, perc_75 + (perc_90 - perc_75) * (2/3), converted_stat, '2K_Ratings'!G323, IF(bbgm_stat &gt;= perc_95, converted_stat * 3, IF(bbgm_stat &gt;= perc_90, converted_stat * 2, IF(bbgm_stat &gt;= perc_85, converted_stat * 1.5, converted_stat)))))</f>
        <v/>
      </c>
      <c r="H323" s="30" t="str">
        <f t="array" ref="H323">IF($A323="", "", LET(bbgm_stat, INDEX(Players!$A322:$P322, MATCH(H$2, Players!$A$1:$P$1, 0)), perc_75, VLOOKUP(H$2, Percentiles!$A$45:$I$59, 6, FALSE), perc_90, VLOOKUP(H$2, Percentiles!$A$45:$I$59, 7, FALSE), perc_95, VLOOKUP(H$2, Percentiles!$A$45:$I$59, 8, FALSE), perc_85, perc_75 + (perc_90 - perc_75) * (2/3), converted_stat, '2K_Ratings'!H323, IF(bbgm_stat &gt;= perc_95, converted_stat * 3, IF(bbgm_stat &gt;= perc_90, converted_stat * 2, IF(bbgm_stat &gt;= perc_85, converted_stat * 1.5, converted_stat)))))</f>
        <v/>
      </c>
      <c r="I323" s="30" t="str">
        <f t="array" ref="I323">IF($A323="", "", LET(bbgm_stat, INDEX(Players!$A322:$P322, MATCH(I$2, Players!$A$1:$P$1, 0)), perc_75, VLOOKUP(I$2, Percentiles!$A$45:$I$59, 6, FALSE), perc_90, VLOOKUP(I$2, Percentiles!$A$45:$I$59, 7, FALSE), perc_95, VLOOKUP(I$2, Percentiles!$A$45:$I$59, 8, FALSE), perc_85, perc_75 + (perc_90 - perc_75) * (2/3), converted_stat, '2K_Ratings'!I323, IF(bbgm_stat &gt;= perc_95, converted_stat * 3, IF(bbgm_stat &gt;= perc_90, converted_stat * 2, IF(bbgm_stat &gt;= perc_85, converted_stat * 1.5, converted_stat)))))</f>
        <v/>
      </c>
      <c r="J323" s="30" t="str">
        <f t="array" ref="J323">IF($A323="", "", LET(bbgm_stat, INDEX(Players!$A322:$P322, MATCH(J$2, Players!$A$1:$P$1, 0)), perc_75, VLOOKUP(J$2, Percentiles!$A$45:$I$59, 6, FALSE), perc_90, VLOOKUP(J$2, Percentiles!$A$45:$I$59, 7, FALSE), perc_95, VLOOKUP(J$2, Percentiles!$A$45:$I$59, 8, FALSE), perc_85, perc_75 + (perc_90 - perc_75) * (2/3), converted_stat, '2K_Ratings'!J323, IF(bbgm_stat &gt;= perc_95, converted_stat * 3, IF(bbgm_stat &gt;= perc_90, converted_stat * 2, IF(bbgm_stat &gt;= perc_85, converted_stat * 1.5, converted_stat)))))</f>
        <v/>
      </c>
      <c r="K323" s="30" t="str">
        <f t="array" ref="K323">IF($A323="", "", LET(bbgm_stat, INDEX(Players!$A322:$P322, MATCH(K$2, Players!$A$1:$P$1, 0)), perc_75, VLOOKUP(K$2, Percentiles!$A$45:$I$59, 6, FALSE), perc_90, VLOOKUP(K$2, Percentiles!$A$45:$I$59, 7, FALSE), perc_95, VLOOKUP(K$2, Percentiles!$A$45:$I$59, 8, FALSE), perc_85, perc_75 + (perc_90 - perc_75) * (2/3), converted_stat, '2K_Ratings'!K323, IF(bbgm_stat &gt;= perc_95, converted_stat * 3, IF(bbgm_stat &gt;= perc_90, converted_stat * 2, IF(bbgm_stat &gt;= perc_85, converted_stat * 1.5, converted_stat)))))</f>
        <v/>
      </c>
      <c r="L323" s="30" t="str">
        <f t="array" ref="L323">IF($A323="", "", LET(bbgm_stat, INDEX(Players!$A322:$P322, MATCH(L$2, Players!$A$1:$P$1, 0)), perc_75, VLOOKUP(L$2, Percentiles!$A$45:$I$59, 6, FALSE), perc_90, VLOOKUP(L$2, Percentiles!$A$45:$I$59, 7, FALSE), perc_95, VLOOKUP(L$2, Percentiles!$A$45:$I$59, 8, FALSE), perc_85, perc_75 + (perc_90 - perc_75) * (2/3), converted_stat, '2K_Ratings'!L323, IF(bbgm_stat &gt;= perc_95, converted_stat * 3, IF(bbgm_stat &gt;= perc_90, converted_stat * 2, IF(bbgm_stat &gt;= perc_85, converted_stat * 1.5, converted_stat)))))</f>
        <v/>
      </c>
      <c r="M323" s="30" t="str">
        <f t="array" ref="M323">IF($A323="", "", LET(bbgm_stat, INDEX(Players!$A322:$P322, MATCH(M$2, Players!$A$1:$P$1, 0)), perc_75, VLOOKUP(M$2, Percentiles!$A$45:$I$59, 6, FALSE), perc_90, VLOOKUP(M$2, Percentiles!$A$45:$I$59, 7, FALSE), perc_95, VLOOKUP(M$2, Percentiles!$A$45:$I$59, 8, FALSE), perc_85, perc_75 + (perc_90 - perc_75) * (2/3), converted_stat, '2K_Ratings'!M323, IF(bbgm_stat &gt;= perc_95, converted_stat * 3, IF(bbgm_stat &gt;= perc_90, converted_stat * 2, IF(bbgm_stat &gt;= perc_85, converted_stat * 1.5, converted_stat)))))</f>
        <v/>
      </c>
      <c r="N323" s="30" t="str">
        <f t="array" ref="N323">IF($A323="", "", LET(bbgm_stat, INDEX(Players!$A322:$P322, MATCH(N$2, Players!$A$1:$P$1, 0)), perc_75, VLOOKUP(N$2, Percentiles!$A$45:$I$59, 6, FALSE), perc_90, VLOOKUP(N$2, Percentiles!$A$45:$I$59, 7, FALSE), perc_95, VLOOKUP(N$2, Percentiles!$A$45:$I$59, 8, FALSE), perc_85, perc_75 + (perc_90 - perc_75) * (2/3), converted_stat, '2K_Ratings'!N323, IF(bbgm_stat &gt;= perc_95, converted_stat * 3, IF(bbgm_stat &gt;= perc_90, converted_stat * 2, IF(bbgm_stat &gt;= perc_85, converted_stat * 1.5, converted_stat)))))</f>
        <v/>
      </c>
      <c r="O323" s="30" t="str">
        <f t="array" ref="O323">IF($A323="", "", LET(bbgm_stat, INDEX(Players!$A322:$P322, MATCH(O$2, Players!$A$1:$P$1, 0)), perc_75, VLOOKUP(O$2, Percentiles!$A$45:$I$59, 6, FALSE), perc_90, VLOOKUP(O$2, Percentiles!$A$45:$I$59, 7, FALSE), perc_95, VLOOKUP(O$2, Percentiles!$A$45:$I$59, 8, FALSE), perc_85, perc_75 + (perc_90 - perc_75) * (2/3), converted_stat, '2K_Ratings'!O323, IF(bbgm_stat &gt;= perc_95, converted_stat * 3, IF(bbgm_stat &gt;= perc_90, converted_stat * 2, IF(bbgm_stat &gt;= perc_85, converted_stat * 1.5, converted_stat)))))</f>
        <v/>
      </c>
      <c r="P323" s="30" t="str">
        <f t="array" ref="P323">IF($A323="", "", LET(bbgm_stat, INDEX(Players!$A322:$P322, MATCH(P$2, Players!$A$1:$P$1, 0)), perc_75, VLOOKUP(P$2, Percentiles!$A$45:$I$59, 6, FALSE), perc_90, VLOOKUP(P$2, Percentiles!$A$45:$I$59, 7, FALSE), perc_95, VLOOKUP(P$2, Percentiles!$A$45:$I$59, 8, FALSE), perc_85, perc_75 + (perc_90 - perc_75) * (2/3), converted_stat, '2K_Ratings'!P323, IF(bbgm_stat &gt;= perc_95, converted_stat * 3, IF(bbgm_stat &gt;= perc_90, converted_stat * 2, IF(bbgm_stat &gt;= perc_85, converted_stat * 1.5, converted_stat)))))</f>
        <v/>
      </c>
      <c r="Q323" s="30" t="str">
        <f t="array" ref="Q323">IF($A323="", "", LET(bbgm_stat, INDEX(Players!$A322:$P322, MATCH(Q$2, Players!$A$1:$P$1, 0)), perc_75, VLOOKUP(Q$2, Percentiles!$A$45:$I$59, 6, FALSE), perc_90, VLOOKUP(Q$2, Percentiles!$A$45:$I$59, 7, FALSE), perc_95, VLOOKUP(Q$2, Percentiles!$A$45:$I$59, 8, FALSE), perc_85, perc_75 + (perc_90 - perc_75) * (2/3), converted_stat, '2K_Ratings'!Q323, IF(bbgm_stat &gt;= perc_95, converted_stat * 3, IF(bbgm_stat &gt;= perc_90, converted_stat * 2, IF(bbgm_stat &gt;= perc_85, converted_stat * 1.5, converted_stat)))))</f>
        <v/>
      </c>
      <c r="R323" s="30" t="str">
        <f t="array" ref="R323">IF($A323="", "", LET(bbgm_stat, INDEX(Players!$A322:$P322, MATCH(R$2, Players!$A$1:$P$1, 0)), perc_75, VLOOKUP(R$2, Percentiles!$A$45:$I$59, 6, FALSE), perc_90, VLOOKUP(R$2, Percentiles!$A$45:$I$59, 7, FALSE), perc_95, VLOOKUP(R$2, Percentiles!$A$45:$I$59, 8, FALSE), perc_85, perc_75 + (perc_90 - perc_75) * (2/3), converted_stat, '2K_Ratings'!R323, IF(bbgm_stat &gt;= perc_95, converted_stat * 3, IF(bbgm_stat &gt;= perc_90, converted_stat * 2, IF(bbgm_stat &gt;= perc_85, converted_stat * 1.5, converted_stat)))))</f>
        <v/>
      </c>
      <c r="S323" s="30" t="str">
        <f t="array" ref="S323">IF($A323="", "", LET(bbgm_stat, INDEX(Players!$A322:$P322, MATCH(S$2, Players!$A$1:$P$1, 0)), perc_75, VLOOKUP(S$2, Percentiles!$A$45:$I$59, 6, FALSE), perc_90, VLOOKUP(S$2, Percentiles!$A$45:$I$59, 7, FALSE), perc_95, VLOOKUP(S$2, Percentiles!$A$45:$I$59, 8, FALSE), perc_85, perc_75 + (perc_90 - perc_75) * (2/3), converted_stat, '2K_Ratings'!S323, IF(bbgm_stat &gt;= perc_95, converted_stat * 3, IF(bbgm_stat &gt;= perc_90, converted_stat * 2, IF(bbgm_stat &gt;= perc_85, converted_stat * 1.5, converted_stat)))))</f>
        <v/>
      </c>
      <c r="T323" s="30" t="str">
        <f t="array" ref="T323">IF($A323="", "", LET(bbgm_stat, INDEX(Players!$A322:$P322, MATCH(T$2, Players!$A$1:$P$1, 0)), perc_75, VLOOKUP(T$2, Percentiles!$A$45:$I$59, 6, FALSE), perc_90, VLOOKUP(T$2, Percentiles!$A$45:$I$59, 7, FALSE), perc_95, VLOOKUP(T$2, Percentiles!$A$45:$I$59, 8, FALSE), perc_85, perc_75 + (perc_90 - perc_75) * (2/3), converted_stat, '2K_Ratings'!T323, IF(bbgm_stat &gt;= perc_95, converted_stat * 3, IF(bbgm_stat &gt;= perc_90, converted_stat * 2, IF(bbgm_stat &gt;= perc_85, converted_stat * 1.5, converted_stat)))))</f>
        <v/>
      </c>
      <c r="U323" s="30" t="str">
        <f t="array" ref="U323">IF($A323="", "", LET(bbgm_stat, INDEX(Players!$A322:$P322, MATCH(U$2, Players!$A$1:$P$1, 0)), perc_75, VLOOKUP(U$2, Percentiles!$A$45:$I$59, 6, FALSE), perc_90, VLOOKUP(U$2, Percentiles!$A$45:$I$59, 7, FALSE), perc_95, VLOOKUP(U$2, Percentiles!$A$45:$I$59, 8, FALSE), perc_85, perc_75 + (perc_90 - perc_75) * (2/3), converted_stat, '2K_Ratings'!U323, IF(bbgm_stat &gt;= perc_95, converted_stat * 3, IF(bbgm_stat &gt;= perc_90, converted_stat * 2, IF(bbgm_stat &gt;= perc_85, converted_stat * 1.5, converted_stat)))))</f>
        <v/>
      </c>
      <c r="V323" s="30" t="str">
        <f t="array" ref="V323">IF($A323="", "", LET(bbgm_stat, INDEX(Players!$A322:$P322, MATCH(V$2, Players!$A$1:$P$1, 0)), perc_75, VLOOKUP(V$2, Percentiles!$A$45:$I$59, 6, FALSE), perc_90, VLOOKUP(V$2, Percentiles!$A$45:$I$59, 7, FALSE), perc_95, VLOOKUP(V$2, Percentiles!$A$45:$I$59, 8, FALSE), perc_85, perc_75 + (perc_90 - perc_75) * (2/3), converted_stat, '2K_Ratings'!V323, IF(bbgm_stat &gt;= perc_95, converted_stat * 3, IF(bbgm_stat &gt;= perc_90, converted_stat * 2, IF(bbgm_stat &gt;= perc_85, converted_stat * 1.5, converted_stat)))))</f>
        <v/>
      </c>
      <c r="W323" s="30" t="str">
        <f t="array" ref="W323">IF($A323="", "", LET(bbgm_stat, INDEX(Players!$A322:$P322, MATCH(W$2, Players!$A$1:$P$1, 0)), perc_75, VLOOKUP(W$2, Percentiles!$A$45:$I$59, 6, FALSE), perc_90, VLOOKUP(W$2, Percentiles!$A$45:$I$59, 7, FALSE), perc_95, VLOOKUP(W$2, Percentiles!$A$45:$I$59, 8, FALSE), perc_85, perc_75 + (perc_90 - perc_75) * (2/3), converted_stat, '2K_Ratings'!W323, IF(bbgm_stat &gt;= perc_95, converted_stat * 3, IF(bbgm_stat &gt;= perc_90, converted_stat * 2, IF(bbgm_stat &gt;= perc_85, converted_stat * 1.5, converted_stat)))))</f>
        <v/>
      </c>
    </row>
    <row r="324">
      <c r="A324" s="30"/>
      <c r="B324" s="30" t="str">
        <f t="array" ref="B324">IF($A324="", "", LET(bbgm_stat, INDEX(Players!$A323:$P323, MATCH(B$2, Players!$A$1:$P$1, 0)), perc_75, VLOOKUP(B$2, Percentiles!$A$45:$I$59, 6, FALSE), perc_90, VLOOKUP(B$2, Percentiles!$A$45:$I$59, 7, FALSE), perc_95, VLOOKUP(B$2, Percentiles!$A$45:$I$59, 8, FALSE), perc_85, perc_75 + (perc_90 - perc_75) * (2/3), converted_stat, '2K_Ratings'!B324, IF(bbgm_stat &gt;= perc_95, converted_stat * 3, IF(bbgm_stat &gt;= perc_90, converted_stat * 2, IF(bbgm_stat &gt;= perc_85, converted_stat * 1.5, converted_stat)))))</f>
        <v/>
      </c>
      <c r="C324" s="30" t="str">
        <f t="array" ref="C324">IF($A324="", "", LET(bbgm_stat, INDEX(Players!$A323:$P323, MATCH(C$2, Players!$A$1:$P$1, 0)), perc_75, VLOOKUP(C$2, Percentiles!$A$45:$I$59, 6, FALSE), perc_90, VLOOKUP(C$2, Percentiles!$A$45:$I$59, 7, FALSE), perc_95, VLOOKUP(C$2, Percentiles!$A$45:$I$59, 8, FALSE), perc_85, perc_75 + (perc_90 - perc_75) * (2/3), converted_stat, '2K_Ratings'!C324, IF(bbgm_stat &gt;= perc_95, converted_stat * 3, IF(bbgm_stat &gt;= perc_90, converted_stat * 2, IF(bbgm_stat &gt;= perc_85, converted_stat * 1.5, converted_stat)))))</f>
        <v/>
      </c>
      <c r="D324" s="30" t="str">
        <f t="array" ref="D324">IF($A324="", "", LET(bbgm_stat, INDEX(Players!$A323:$P323, MATCH(D$2, Players!$A$1:$P$1, 0)), perc_75, VLOOKUP(D$2, Percentiles!$A$45:$I$59, 6, FALSE), perc_90, VLOOKUP(D$2, Percentiles!$A$45:$I$59, 7, FALSE), perc_95, VLOOKUP(D$2, Percentiles!$A$45:$I$59, 8, FALSE), perc_85, perc_75 + (perc_90 - perc_75) * (2/3), converted_stat, '2K_Ratings'!D324, IF(bbgm_stat &gt;= perc_95, converted_stat * 3, IF(bbgm_stat &gt;= perc_90, converted_stat * 2, IF(bbgm_stat &gt;= perc_85, converted_stat * 1.5, converted_stat)))))</f>
        <v/>
      </c>
      <c r="E324" s="30" t="str">
        <f t="array" ref="E324">IF($A324="", "", LET(bbgm_stat, INDEX(Players!$A323:$P323, MATCH(E$2, Players!$A$1:$P$1, 0)), perc_75, VLOOKUP(E$2, Percentiles!$A$45:$I$59, 6, FALSE), perc_90, VLOOKUP(E$2, Percentiles!$A$45:$I$59, 7, FALSE), perc_95, VLOOKUP(E$2, Percentiles!$A$45:$I$59, 8, FALSE), perc_85, perc_75 + (perc_90 - perc_75) * (2/3), converted_stat, '2K_Ratings'!E324, IF(bbgm_stat &gt;= perc_95, converted_stat * 3, IF(bbgm_stat &gt;= perc_90, converted_stat * 2, IF(bbgm_stat &gt;= perc_85, converted_stat * 1.5, converted_stat)))))</f>
        <v/>
      </c>
      <c r="F324" s="30" t="str">
        <f t="array" ref="F324">IF($A324="", "", LET(bbgm_stat, INDEX(Players!$A323:$P323, MATCH(F$2, Players!$A$1:$P$1, 0)), perc_75, VLOOKUP(F$2, Percentiles!$A$45:$I$59, 6, FALSE), perc_90, VLOOKUP(F$2, Percentiles!$A$45:$I$59, 7, FALSE), perc_95, VLOOKUP(F$2, Percentiles!$A$45:$I$59, 8, FALSE), perc_85, perc_75 + (perc_90 - perc_75) * (2/3), converted_stat, '2K_Ratings'!F324, IF(bbgm_stat &gt;= perc_95, converted_stat * 3, IF(bbgm_stat &gt;= perc_90, converted_stat * 2, IF(bbgm_stat &gt;= perc_85, converted_stat * 1.5, converted_stat)))))</f>
        <v/>
      </c>
      <c r="G324" s="30" t="str">
        <f t="array" ref="G324">IF($A324="", "", LET(bbgm_stat, INDEX(Players!$A323:$P323, MATCH(G$2, Players!$A$1:$P$1, 0)), perc_75, VLOOKUP(G$2, Percentiles!$A$45:$I$59, 6, FALSE), perc_90, VLOOKUP(G$2, Percentiles!$A$45:$I$59, 7, FALSE), perc_95, VLOOKUP(G$2, Percentiles!$A$45:$I$59, 8, FALSE), perc_85, perc_75 + (perc_90 - perc_75) * (2/3), converted_stat, '2K_Ratings'!G324, IF(bbgm_stat &gt;= perc_95, converted_stat * 3, IF(bbgm_stat &gt;= perc_90, converted_stat * 2, IF(bbgm_stat &gt;= perc_85, converted_stat * 1.5, converted_stat)))))</f>
        <v/>
      </c>
      <c r="H324" s="30" t="str">
        <f t="array" ref="H324">IF($A324="", "", LET(bbgm_stat, INDEX(Players!$A323:$P323, MATCH(H$2, Players!$A$1:$P$1, 0)), perc_75, VLOOKUP(H$2, Percentiles!$A$45:$I$59, 6, FALSE), perc_90, VLOOKUP(H$2, Percentiles!$A$45:$I$59, 7, FALSE), perc_95, VLOOKUP(H$2, Percentiles!$A$45:$I$59, 8, FALSE), perc_85, perc_75 + (perc_90 - perc_75) * (2/3), converted_stat, '2K_Ratings'!H324, IF(bbgm_stat &gt;= perc_95, converted_stat * 3, IF(bbgm_stat &gt;= perc_90, converted_stat * 2, IF(bbgm_stat &gt;= perc_85, converted_stat * 1.5, converted_stat)))))</f>
        <v/>
      </c>
      <c r="I324" s="30" t="str">
        <f t="array" ref="I324">IF($A324="", "", LET(bbgm_stat, INDEX(Players!$A323:$P323, MATCH(I$2, Players!$A$1:$P$1, 0)), perc_75, VLOOKUP(I$2, Percentiles!$A$45:$I$59, 6, FALSE), perc_90, VLOOKUP(I$2, Percentiles!$A$45:$I$59, 7, FALSE), perc_95, VLOOKUP(I$2, Percentiles!$A$45:$I$59, 8, FALSE), perc_85, perc_75 + (perc_90 - perc_75) * (2/3), converted_stat, '2K_Ratings'!I324, IF(bbgm_stat &gt;= perc_95, converted_stat * 3, IF(bbgm_stat &gt;= perc_90, converted_stat * 2, IF(bbgm_stat &gt;= perc_85, converted_stat * 1.5, converted_stat)))))</f>
        <v/>
      </c>
      <c r="J324" s="30" t="str">
        <f t="array" ref="J324">IF($A324="", "", LET(bbgm_stat, INDEX(Players!$A323:$P323, MATCH(J$2, Players!$A$1:$P$1, 0)), perc_75, VLOOKUP(J$2, Percentiles!$A$45:$I$59, 6, FALSE), perc_90, VLOOKUP(J$2, Percentiles!$A$45:$I$59, 7, FALSE), perc_95, VLOOKUP(J$2, Percentiles!$A$45:$I$59, 8, FALSE), perc_85, perc_75 + (perc_90 - perc_75) * (2/3), converted_stat, '2K_Ratings'!J324, IF(bbgm_stat &gt;= perc_95, converted_stat * 3, IF(bbgm_stat &gt;= perc_90, converted_stat * 2, IF(bbgm_stat &gt;= perc_85, converted_stat * 1.5, converted_stat)))))</f>
        <v/>
      </c>
      <c r="K324" s="30" t="str">
        <f t="array" ref="K324">IF($A324="", "", LET(bbgm_stat, INDEX(Players!$A323:$P323, MATCH(K$2, Players!$A$1:$P$1, 0)), perc_75, VLOOKUP(K$2, Percentiles!$A$45:$I$59, 6, FALSE), perc_90, VLOOKUP(K$2, Percentiles!$A$45:$I$59, 7, FALSE), perc_95, VLOOKUP(K$2, Percentiles!$A$45:$I$59, 8, FALSE), perc_85, perc_75 + (perc_90 - perc_75) * (2/3), converted_stat, '2K_Ratings'!K324, IF(bbgm_stat &gt;= perc_95, converted_stat * 3, IF(bbgm_stat &gt;= perc_90, converted_stat * 2, IF(bbgm_stat &gt;= perc_85, converted_stat * 1.5, converted_stat)))))</f>
        <v/>
      </c>
      <c r="L324" s="30" t="str">
        <f t="array" ref="L324">IF($A324="", "", LET(bbgm_stat, INDEX(Players!$A323:$P323, MATCH(L$2, Players!$A$1:$P$1, 0)), perc_75, VLOOKUP(L$2, Percentiles!$A$45:$I$59, 6, FALSE), perc_90, VLOOKUP(L$2, Percentiles!$A$45:$I$59, 7, FALSE), perc_95, VLOOKUP(L$2, Percentiles!$A$45:$I$59, 8, FALSE), perc_85, perc_75 + (perc_90 - perc_75) * (2/3), converted_stat, '2K_Ratings'!L324, IF(bbgm_stat &gt;= perc_95, converted_stat * 3, IF(bbgm_stat &gt;= perc_90, converted_stat * 2, IF(bbgm_stat &gt;= perc_85, converted_stat * 1.5, converted_stat)))))</f>
        <v/>
      </c>
      <c r="M324" s="30" t="str">
        <f t="array" ref="M324">IF($A324="", "", LET(bbgm_stat, INDEX(Players!$A323:$P323, MATCH(M$2, Players!$A$1:$P$1, 0)), perc_75, VLOOKUP(M$2, Percentiles!$A$45:$I$59, 6, FALSE), perc_90, VLOOKUP(M$2, Percentiles!$A$45:$I$59, 7, FALSE), perc_95, VLOOKUP(M$2, Percentiles!$A$45:$I$59, 8, FALSE), perc_85, perc_75 + (perc_90 - perc_75) * (2/3), converted_stat, '2K_Ratings'!M324, IF(bbgm_stat &gt;= perc_95, converted_stat * 3, IF(bbgm_stat &gt;= perc_90, converted_stat * 2, IF(bbgm_stat &gt;= perc_85, converted_stat * 1.5, converted_stat)))))</f>
        <v/>
      </c>
      <c r="N324" s="30" t="str">
        <f t="array" ref="N324">IF($A324="", "", LET(bbgm_stat, INDEX(Players!$A323:$P323, MATCH(N$2, Players!$A$1:$P$1, 0)), perc_75, VLOOKUP(N$2, Percentiles!$A$45:$I$59, 6, FALSE), perc_90, VLOOKUP(N$2, Percentiles!$A$45:$I$59, 7, FALSE), perc_95, VLOOKUP(N$2, Percentiles!$A$45:$I$59, 8, FALSE), perc_85, perc_75 + (perc_90 - perc_75) * (2/3), converted_stat, '2K_Ratings'!N324, IF(bbgm_stat &gt;= perc_95, converted_stat * 3, IF(bbgm_stat &gt;= perc_90, converted_stat * 2, IF(bbgm_stat &gt;= perc_85, converted_stat * 1.5, converted_stat)))))</f>
        <v/>
      </c>
      <c r="O324" s="30" t="str">
        <f t="array" ref="O324">IF($A324="", "", LET(bbgm_stat, INDEX(Players!$A323:$P323, MATCH(O$2, Players!$A$1:$P$1, 0)), perc_75, VLOOKUP(O$2, Percentiles!$A$45:$I$59, 6, FALSE), perc_90, VLOOKUP(O$2, Percentiles!$A$45:$I$59, 7, FALSE), perc_95, VLOOKUP(O$2, Percentiles!$A$45:$I$59, 8, FALSE), perc_85, perc_75 + (perc_90 - perc_75) * (2/3), converted_stat, '2K_Ratings'!O324, IF(bbgm_stat &gt;= perc_95, converted_stat * 3, IF(bbgm_stat &gt;= perc_90, converted_stat * 2, IF(bbgm_stat &gt;= perc_85, converted_stat * 1.5, converted_stat)))))</f>
        <v/>
      </c>
      <c r="P324" s="30" t="str">
        <f t="array" ref="P324">IF($A324="", "", LET(bbgm_stat, INDEX(Players!$A323:$P323, MATCH(P$2, Players!$A$1:$P$1, 0)), perc_75, VLOOKUP(P$2, Percentiles!$A$45:$I$59, 6, FALSE), perc_90, VLOOKUP(P$2, Percentiles!$A$45:$I$59, 7, FALSE), perc_95, VLOOKUP(P$2, Percentiles!$A$45:$I$59, 8, FALSE), perc_85, perc_75 + (perc_90 - perc_75) * (2/3), converted_stat, '2K_Ratings'!P324, IF(bbgm_stat &gt;= perc_95, converted_stat * 3, IF(bbgm_stat &gt;= perc_90, converted_stat * 2, IF(bbgm_stat &gt;= perc_85, converted_stat * 1.5, converted_stat)))))</f>
        <v/>
      </c>
      <c r="Q324" s="30" t="str">
        <f t="array" ref="Q324">IF($A324="", "", LET(bbgm_stat, INDEX(Players!$A323:$P323, MATCH(Q$2, Players!$A$1:$P$1, 0)), perc_75, VLOOKUP(Q$2, Percentiles!$A$45:$I$59, 6, FALSE), perc_90, VLOOKUP(Q$2, Percentiles!$A$45:$I$59, 7, FALSE), perc_95, VLOOKUP(Q$2, Percentiles!$A$45:$I$59, 8, FALSE), perc_85, perc_75 + (perc_90 - perc_75) * (2/3), converted_stat, '2K_Ratings'!Q324, IF(bbgm_stat &gt;= perc_95, converted_stat * 3, IF(bbgm_stat &gt;= perc_90, converted_stat * 2, IF(bbgm_stat &gt;= perc_85, converted_stat * 1.5, converted_stat)))))</f>
        <v/>
      </c>
      <c r="R324" s="30" t="str">
        <f t="array" ref="R324">IF($A324="", "", LET(bbgm_stat, INDEX(Players!$A323:$P323, MATCH(R$2, Players!$A$1:$P$1, 0)), perc_75, VLOOKUP(R$2, Percentiles!$A$45:$I$59, 6, FALSE), perc_90, VLOOKUP(R$2, Percentiles!$A$45:$I$59, 7, FALSE), perc_95, VLOOKUP(R$2, Percentiles!$A$45:$I$59, 8, FALSE), perc_85, perc_75 + (perc_90 - perc_75) * (2/3), converted_stat, '2K_Ratings'!R324, IF(bbgm_stat &gt;= perc_95, converted_stat * 3, IF(bbgm_stat &gt;= perc_90, converted_stat * 2, IF(bbgm_stat &gt;= perc_85, converted_stat * 1.5, converted_stat)))))</f>
        <v/>
      </c>
      <c r="S324" s="30" t="str">
        <f t="array" ref="S324">IF($A324="", "", LET(bbgm_stat, INDEX(Players!$A323:$P323, MATCH(S$2, Players!$A$1:$P$1, 0)), perc_75, VLOOKUP(S$2, Percentiles!$A$45:$I$59, 6, FALSE), perc_90, VLOOKUP(S$2, Percentiles!$A$45:$I$59, 7, FALSE), perc_95, VLOOKUP(S$2, Percentiles!$A$45:$I$59, 8, FALSE), perc_85, perc_75 + (perc_90 - perc_75) * (2/3), converted_stat, '2K_Ratings'!S324, IF(bbgm_stat &gt;= perc_95, converted_stat * 3, IF(bbgm_stat &gt;= perc_90, converted_stat * 2, IF(bbgm_stat &gt;= perc_85, converted_stat * 1.5, converted_stat)))))</f>
        <v/>
      </c>
      <c r="T324" s="30" t="str">
        <f t="array" ref="T324">IF($A324="", "", LET(bbgm_stat, INDEX(Players!$A323:$P323, MATCH(T$2, Players!$A$1:$P$1, 0)), perc_75, VLOOKUP(T$2, Percentiles!$A$45:$I$59, 6, FALSE), perc_90, VLOOKUP(T$2, Percentiles!$A$45:$I$59, 7, FALSE), perc_95, VLOOKUP(T$2, Percentiles!$A$45:$I$59, 8, FALSE), perc_85, perc_75 + (perc_90 - perc_75) * (2/3), converted_stat, '2K_Ratings'!T324, IF(bbgm_stat &gt;= perc_95, converted_stat * 3, IF(bbgm_stat &gt;= perc_90, converted_stat * 2, IF(bbgm_stat &gt;= perc_85, converted_stat * 1.5, converted_stat)))))</f>
        <v/>
      </c>
      <c r="U324" s="30" t="str">
        <f t="array" ref="U324">IF($A324="", "", LET(bbgm_stat, INDEX(Players!$A323:$P323, MATCH(U$2, Players!$A$1:$P$1, 0)), perc_75, VLOOKUP(U$2, Percentiles!$A$45:$I$59, 6, FALSE), perc_90, VLOOKUP(U$2, Percentiles!$A$45:$I$59, 7, FALSE), perc_95, VLOOKUP(U$2, Percentiles!$A$45:$I$59, 8, FALSE), perc_85, perc_75 + (perc_90 - perc_75) * (2/3), converted_stat, '2K_Ratings'!U324, IF(bbgm_stat &gt;= perc_95, converted_stat * 3, IF(bbgm_stat &gt;= perc_90, converted_stat * 2, IF(bbgm_stat &gt;= perc_85, converted_stat * 1.5, converted_stat)))))</f>
        <v/>
      </c>
      <c r="V324" s="30" t="str">
        <f t="array" ref="V324">IF($A324="", "", LET(bbgm_stat, INDEX(Players!$A323:$P323, MATCH(V$2, Players!$A$1:$P$1, 0)), perc_75, VLOOKUP(V$2, Percentiles!$A$45:$I$59, 6, FALSE), perc_90, VLOOKUP(V$2, Percentiles!$A$45:$I$59, 7, FALSE), perc_95, VLOOKUP(V$2, Percentiles!$A$45:$I$59, 8, FALSE), perc_85, perc_75 + (perc_90 - perc_75) * (2/3), converted_stat, '2K_Ratings'!V324, IF(bbgm_stat &gt;= perc_95, converted_stat * 3, IF(bbgm_stat &gt;= perc_90, converted_stat * 2, IF(bbgm_stat &gt;= perc_85, converted_stat * 1.5, converted_stat)))))</f>
        <v/>
      </c>
      <c r="W324" s="30" t="str">
        <f t="array" ref="W324">IF($A324="", "", LET(bbgm_stat, INDEX(Players!$A323:$P323, MATCH(W$2, Players!$A$1:$P$1, 0)), perc_75, VLOOKUP(W$2, Percentiles!$A$45:$I$59, 6, FALSE), perc_90, VLOOKUP(W$2, Percentiles!$A$45:$I$59, 7, FALSE), perc_95, VLOOKUP(W$2, Percentiles!$A$45:$I$59, 8, FALSE), perc_85, perc_75 + (perc_90 - perc_75) * (2/3), converted_stat, '2K_Ratings'!W324, IF(bbgm_stat &gt;= perc_95, converted_stat * 3, IF(bbgm_stat &gt;= perc_90, converted_stat * 2, IF(bbgm_stat &gt;= perc_85, converted_stat * 1.5, converted_stat)))))</f>
        <v/>
      </c>
    </row>
    <row r="325">
      <c r="A325" s="30"/>
      <c r="B325" s="30" t="str">
        <f t="array" ref="B325">IF($A325="", "", LET(bbgm_stat, INDEX(Players!$A324:$P324, MATCH(B$2, Players!$A$1:$P$1, 0)), perc_75, VLOOKUP(B$2, Percentiles!$A$45:$I$59, 6, FALSE), perc_90, VLOOKUP(B$2, Percentiles!$A$45:$I$59, 7, FALSE), perc_95, VLOOKUP(B$2, Percentiles!$A$45:$I$59, 8, FALSE), perc_85, perc_75 + (perc_90 - perc_75) * (2/3), converted_stat, '2K_Ratings'!B325, IF(bbgm_stat &gt;= perc_95, converted_stat * 3, IF(bbgm_stat &gt;= perc_90, converted_stat * 2, IF(bbgm_stat &gt;= perc_85, converted_stat * 1.5, converted_stat)))))</f>
        <v/>
      </c>
      <c r="C325" s="30" t="str">
        <f t="array" ref="C325">IF($A325="", "", LET(bbgm_stat, INDEX(Players!$A324:$P324, MATCH(C$2, Players!$A$1:$P$1, 0)), perc_75, VLOOKUP(C$2, Percentiles!$A$45:$I$59, 6, FALSE), perc_90, VLOOKUP(C$2, Percentiles!$A$45:$I$59, 7, FALSE), perc_95, VLOOKUP(C$2, Percentiles!$A$45:$I$59, 8, FALSE), perc_85, perc_75 + (perc_90 - perc_75) * (2/3), converted_stat, '2K_Ratings'!C325, IF(bbgm_stat &gt;= perc_95, converted_stat * 3, IF(bbgm_stat &gt;= perc_90, converted_stat * 2, IF(bbgm_stat &gt;= perc_85, converted_stat * 1.5, converted_stat)))))</f>
        <v/>
      </c>
      <c r="D325" s="30" t="str">
        <f t="array" ref="D325">IF($A325="", "", LET(bbgm_stat, INDEX(Players!$A324:$P324, MATCH(D$2, Players!$A$1:$P$1, 0)), perc_75, VLOOKUP(D$2, Percentiles!$A$45:$I$59, 6, FALSE), perc_90, VLOOKUP(D$2, Percentiles!$A$45:$I$59, 7, FALSE), perc_95, VLOOKUP(D$2, Percentiles!$A$45:$I$59, 8, FALSE), perc_85, perc_75 + (perc_90 - perc_75) * (2/3), converted_stat, '2K_Ratings'!D325, IF(bbgm_stat &gt;= perc_95, converted_stat * 3, IF(bbgm_stat &gt;= perc_90, converted_stat * 2, IF(bbgm_stat &gt;= perc_85, converted_stat * 1.5, converted_stat)))))</f>
        <v/>
      </c>
      <c r="E325" s="30" t="str">
        <f t="array" ref="E325">IF($A325="", "", LET(bbgm_stat, INDEX(Players!$A324:$P324, MATCH(E$2, Players!$A$1:$P$1, 0)), perc_75, VLOOKUP(E$2, Percentiles!$A$45:$I$59, 6, FALSE), perc_90, VLOOKUP(E$2, Percentiles!$A$45:$I$59, 7, FALSE), perc_95, VLOOKUP(E$2, Percentiles!$A$45:$I$59, 8, FALSE), perc_85, perc_75 + (perc_90 - perc_75) * (2/3), converted_stat, '2K_Ratings'!E325, IF(bbgm_stat &gt;= perc_95, converted_stat * 3, IF(bbgm_stat &gt;= perc_90, converted_stat * 2, IF(bbgm_stat &gt;= perc_85, converted_stat * 1.5, converted_stat)))))</f>
        <v/>
      </c>
      <c r="F325" s="30" t="str">
        <f t="array" ref="F325">IF($A325="", "", LET(bbgm_stat, INDEX(Players!$A324:$P324, MATCH(F$2, Players!$A$1:$P$1, 0)), perc_75, VLOOKUP(F$2, Percentiles!$A$45:$I$59, 6, FALSE), perc_90, VLOOKUP(F$2, Percentiles!$A$45:$I$59, 7, FALSE), perc_95, VLOOKUP(F$2, Percentiles!$A$45:$I$59, 8, FALSE), perc_85, perc_75 + (perc_90 - perc_75) * (2/3), converted_stat, '2K_Ratings'!F325, IF(bbgm_stat &gt;= perc_95, converted_stat * 3, IF(bbgm_stat &gt;= perc_90, converted_stat * 2, IF(bbgm_stat &gt;= perc_85, converted_stat * 1.5, converted_stat)))))</f>
        <v/>
      </c>
      <c r="G325" s="30" t="str">
        <f t="array" ref="G325">IF($A325="", "", LET(bbgm_stat, INDEX(Players!$A324:$P324, MATCH(G$2, Players!$A$1:$P$1, 0)), perc_75, VLOOKUP(G$2, Percentiles!$A$45:$I$59, 6, FALSE), perc_90, VLOOKUP(G$2, Percentiles!$A$45:$I$59, 7, FALSE), perc_95, VLOOKUP(G$2, Percentiles!$A$45:$I$59, 8, FALSE), perc_85, perc_75 + (perc_90 - perc_75) * (2/3), converted_stat, '2K_Ratings'!G325, IF(bbgm_stat &gt;= perc_95, converted_stat * 3, IF(bbgm_stat &gt;= perc_90, converted_stat * 2, IF(bbgm_stat &gt;= perc_85, converted_stat * 1.5, converted_stat)))))</f>
        <v/>
      </c>
      <c r="H325" s="30" t="str">
        <f t="array" ref="H325">IF($A325="", "", LET(bbgm_stat, INDEX(Players!$A324:$P324, MATCH(H$2, Players!$A$1:$P$1, 0)), perc_75, VLOOKUP(H$2, Percentiles!$A$45:$I$59, 6, FALSE), perc_90, VLOOKUP(H$2, Percentiles!$A$45:$I$59, 7, FALSE), perc_95, VLOOKUP(H$2, Percentiles!$A$45:$I$59, 8, FALSE), perc_85, perc_75 + (perc_90 - perc_75) * (2/3), converted_stat, '2K_Ratings'!H325, IF(bbgm_stat &gt;= perc_95, converted_stat * 3, IF(bbgm_stat &gt;= perc_90, converted_stat * 2, IF(bbgm_stat &gt;= perc_85, converted_stat * 1.5, converted_stat)))))</f>
        <v/>
      </c>
      <c r="I325" s="30" t="str">
        <f t="array" ref="I325">IF($A325="", "", LET(bbgm_stat, INDEX(Players!$A324:$P324, MATCH(I$2, Players!$A$1:$P$1, 0)), perc_75, VLOOKUP(I$2, Percentiles!$A$45:$I$59, 6, FALSE), perc_90, VLOOKUP(I$2, Percentiles!$A$45:$I$59, 7, FALSE), perc_95, VLOOKUP(I$2, Percentiles!$A$45:$I$59, 8, FALSE), perc_85, perc_75 + (perc_90 - perc_75) * (2/3), converted_stat, '2K_Ratings'!I325, IF(bbgm_stat &gt;= perc_95, converted_stat * 3, IF(bbgm_stat &gt;= perc_90, converted_stat * 2, IF(bbgm_stat &gt;= perc_85, converted_stat * 1.5, converted_stat)))))</f>
        <v/>
      </c>
      <c r="J325" s="30" t="str">
        <f t="array" ref="J325">IF($A325="", "", LET(bbgm_stat, INDEX(Players!$A324:$P324, MATCH(J$2, Players!$A$1:$P$1, 0)), perc_75, VLOOKUP(J$2, Percentiles!$A$45:$I$59, 6, FALSE), perc_90, VLOOKUP(J$2, Percentiles!$A$45:$I$59, 7, FALSE), perc_95, VLOOKUP(J$2, Percentiles!$A$45:$I$59, 8, FALSE), perc_85, perc_75 + (perc_90 - perc_75) * (2/3), converted_stat, '2K_Ratings'!J325, IF(bbgm_stat &gt;= perc_95, converted_stat * 3, IF(bbgm_stat &gt;= perc_90, converted_stat * 2, IF(bbgm_stat &gt;= perc_85, converted_stat * 1.5, converted_stat)))))</f>
        <v/>
      </c>
      <c r="K325" s="30" t="str">
        <f t="array" ref="K325">IF($A325="", "", LET(bbgm_stat, INDEX(Players!$A324:$P324, MATCH(K$2, Players!$A$1:$P$1, 0)), perc_75, VLOOKUP(K$2, Percentiles!$A$45:$I$59, 6, FALSE), perc_90, VLOOKUP(K$2, Percentiles!$A$45:$I$59, 7, FALSE), perc_95, VLOOKUP(K$2, Percentiles!$A$45:$I$59, 8, FALSE), perc_85, perc_75 + (perc_90 - perc_75) * (2/3), converted_stat, '2K_Ratings'!K325, IF(bbgm_stat &gt;= perc_95, converted_stat * 3, IF(bbgm_stat &gt;= perc_90, converted_stat * 2, IF(bbgm_stat &gt;= perc_85, converted_stat * 1.5, converted_stat)))))</f>
        <v/>
      </c>
      <c r="L325" s="30" t="str">
        <f t="array" ref="L325">IF($A325="", "", LET(bbgm_stat, INDEX(Players!$A324:$P324, MATCH(L$2, Players!$A$1:$P$1, 0)), perc_75, VLOOKUP(L$2, Percentiles!$A$45:$I$59, 6, FALSE), perc_90, VLOOKUP(L$2, Percentiles!$A$45:$I$59, 7, FALSE), perc_95, VLOOKUP(L$2, Percentiles!$A$45:$I$59, 8, FALSE), perc_85, perc_75 + (perc_90 - perc_75) * (2/3), converted_stat, '2K_Ratings'!L325, IF(bbgm_stat &gt;= perc_95, converted_stat * 3, IF(bbgm_stat &gt;= perc_90, converted_stat * 2, IF(bbgm_stat &gt;= perc_85, converted_stat * 1.5, converted_stat)))))</f>
        <v/>
      </c>
      <c r="M325" s="30" t="str">
        <f t="array" ref="M325">IF($A325="", "", LET(bbgm_stat, INDEX(Players!$A324:$P324, MATCH(M$2, Players!$A$1:$P$1, 0)), perc_75, VLOOKUP(M$2, Percentiles!$A$45:$I$59, 6, FALSE), perc_90, VLOOKUP(M$2, Percentiles!$A$45:$I$59, 7, FALSE), perc_95, VLOOKUP(M$2, Percentiles!$A$45:$I$59, 8, FALSE), perc_85, perc_75 + (perc_90 - perc_75) * (2/3), converted_stat, '2K_Ratings'!M325, IF(bbgm_stat &gt;= perc_95, converted_stat * 3, IF(bbgm_stat &gt;= perc_90, converted_stat * 2, IF(bbgm_stat &gt;= perc_85, converted_stat * 1.5, converted_stat)))))</f>
        <v/>
      </c>
      <c r="N325" s="30" t="str">
        <f t="array" ref="N325">IF($A325="", "", LET(bbgm_stat, INDEX(Players!$A324:$P324, MATCH(N$2, Players!$A$1:$P$1, 0)), perc_75, VLOOKUP(N$2, Percentiles!$A$45:$I$59, 6, FALSE), perc_90, VLOOKUP(N$2, Percentiles!$A$45:$I$59, 7, FALSE), perc_95, VLOOKUP(N$2, Percentiles!$A$45:$I$59, 8, FALSE), perc_85, perc_75 + (perc_90 - perc_75) * (2/3), converted_stat, '2K_Ratings'!N325, IF(bbgm_stat &gt;= perc_95, converted_stat * 3, IF(bbgm_stat &gt;= perc_90, converted_stat * 2, IF(bbgm_stat &gt;= perc_85, converted_stat * 1.5, converted_stat)))))</f>
        <v/>
      </c>
      <c r="O325" s="30" t="str">
        <f t="array" ref="O325">IF($A325="", "", LET(bbgm_stat, INDEX(Players!$A324:$P324, MATCH(O$2, Players!$A$1:$P$1, 0)), perc_75, VLOOKUP(O$2, Percentiles!$A$45:$I$59, 6, FALSE), perc_90, VLOOKUP(O$2, Percentiles!$A$45:$I$59, 7, FALSE), perc_95, VLOOKUP(O$2, Percentiles!$A$45:$I$59, 8, FALSE), perc_85, perc_75 + (perc_90 - perc_75) * (2/3), converted_stat, '2K_Ratings'!O325, IF(bbgm_stat &gt;= perc_95, converted_stat * 3, IF(bbgm_stat &gt;= perc_90, converted_stat * 2, IF(bbgm_stat &gt;= perc_85, converted_stat * 1.5, converted_stat)))))</f>
        <v/>
      </c>
      <c r="P325" s="30" t="str">
        <f t="array" ref="P325">IF($A325="", "", LET(bbgm_stat, INDEX(Players!$A324:$P324, MATCH(P$2, Players!$A$1:$P$1, 0)), perc_75, VLOOKUP(P$2, Percentiles!$A$45:$I$59, 6, FALSE), perc_90, VLOOKUP(P$2, Percentiles!$A$45:$I$59, 7, FALSE), perc_95, VLOOKUP(P$2, Percentiles!$A$45:$I$59, 8, FALSE), perc_85, perc_75 + (perc_90 - perc_75) * (2/3), converted_stat, '2K_Ratings'!P325, IF(bbgm_stat &gt;= perc_95, converted_stat * 3, IF(bbgm_stat &gt;= perc_90, converted_stat * 2, IF(bbgm_stat &gt;= perc_85, converted_stat * 1.5, converted_stat)))))</f>
        <v/>
      </c>
      <c r="Q325" s="30" t="str">
        <f t="array" ref="Q325">IF($A325="", "", LET(bbgm_stat, INDEX(Players!$A324:$P324, MATCH(Q$2, Players!$A$1:$P$1, 0)), perc_75, VLOOKUP(Q$2, Percentiles!$A$45:$I$59, 6, FALSE), perc_90, VLOOKUP(Q$2, Percentiles!$A$45:$I$59, 7, FALSE), perc_95, VLOOKUP(Q$2, Percentiles!$A$45:$I$59, 8, FALSE), perc_85, perc_75 + (perc_90 - perc_75) * (2/3), converted_stat, '2K_Ratings'!Q325, IF(bbgm_stat &gt;= perc_95, converted_stat * 3, IF(bbgm_stat &gt;= perc_90, converted_stat * 2, IF(bbgm_stat &gt;= perc_85, converted_stat * 1.5, converted_stat)))))</f>
        <v/>
      </c>
      <c r="R325" s="30" t="str">
        <f t="array" ref="R325">IF($A325="", "", LET(bbgm_stat, INDEX(Players!$A324:$P324, MATCH(R$2, Players!$A$1:$P$1, 0)), perc_75, VLOOKUP(R$2, Percentiles!$A$45:$I$59, 6, FALSE), perc_90, VLOOKUP(R$2, Percentiles!$A$45:$I$59, 7, FALSE), perc_95, VLOOKUP(R$2, Percentiles!$A$45:$I$59, 8, FALSE), perc_85, perc_75 + (perc_90 - perc_75) * (2/3), converted_stat, '2K_Ratings'!R325, IF(bbgm_stat &gt;= perc_95, converted_stat * 3, IF(bbgm_stat &gt;= perc_90, converted_stat * 2, IF(bbgm_stat &gt;= perc_85, converted_stat * 1.5, converted_stat)))))</f>
        <v/>
      </c>
      <c r="S325" s="30" t="str">
        <f t="array" ref="S325">IF($A325="", "", LET(bbgm_stat, INDEX(Players!$A324:$P324, MATCH(S$2, Players!$A$1:$P$1, 0)), perc_75, VLOOKUP(S$2, Percentiles!$A$45:$I$59, 6, FALSE), perc_90, VLOOKUP(S$2, Percentiles!$A$45:$I$59, 7, FALSE), perc_95, VLOOKUP(S$2, Percentiles!$A$45:$I$59, 8, FALSE), perc_85, perc_75 + (perc_90 - perc_75) * (2/3), converted_stat, '2K_Ratings'!S325, IF(bbgm_stat &gt;= perc_95, converted_stat * 3, IF(bbgm_stat &gt;= perc_90, converted_stat * 2, IF(bbgm_stat &gt;= perc_85, converted_stat * 1.5, converted_stat)))))</f>
        <v/>
      </c>
      <c r="T325" s="30" t="str">
        <f t="array" ref="T325">IF($A325="", "", LET(bbgm_stat, INDEX(Players!$A324:$P324, MATCH(T$2, Players!$A$1:$P$1, 0)), perc_75, VLOOKUP(T$2, Percentiles!$A$45:$I$59, 6, FALSE), perc_90, VLOOKUP(T$2, Percentiles!$A$45:$I$59, 7, FALSE), perc_95, VLOOKUP(T$2, Percentiles!$A$45:$I$59, 8, FALSE), perc_85, perc_75 + (perc_90 - perc_75) * (2/3), converted_stat, '2K_Ratings'!T325, IF(bbgm_stat &gt;= perc_95, converted_stat * 3, IF(bbgm_stat &gt;= perc_90, converted_stat * 2, IF(bbgm_stat &gt;= perc_85, converted_stat * 1.5, converted_stat)))))</f>
        <v/>
      </c>
      <c r="U325" s="30" t="str">
        <f t="array" ref="U325">IF($A325="", "", LET(bbgm_stat, INDEX(Players!$A324:$P324, MATCH(U$2, Players!$A$1:$P$1, 0)), perc_75, VLOOKUP(U$2, Percentiles!$A$45:$I$59, 6, FALSE), perc_90, VLOOKUP(U$2, Percentiles!$A$45:$I$59, 7, FALSE), perc_95, VLOOKUP(U$2, Percentiles!$A$45:$I$59, 8, FALSE), perc_85, perc_75 + (perc_90 - perc_75) * (2/3), converted_stat, '2K_Ratings'!U325, IF(bbgm_stat &gt;= perc_95, converted_stat * 3, IF(bbgm_stat &gt;= perc_90, converted_stat * 2, IF(bbgm_stat &gt;= perc_85, converted_stat * 1.5, converted_stat)))))</f>
        <v/>
      </c>
      <c r="V325" s="30" t="str">
        <f t="array" ref="V325">IF($A325="", "", LET(bbgm_stat, INDEX(Players!$A324:$P324, MATCH(V$2, Players!$A$1:$P$1, 0)), perc_75, VLOOKUP(V$2, Percentiles!$A$45:$I$59, 6, FALSE), perc_90, VLOOKUP(V$2, Percentiles!$A$45:$I$59, 7, FALSE), perc_95, VLOOKUP(V$2, Percentiles!$A$45:$I$59, 8, FALSE), perc_85, perc_75 + (perc_90 - perc_75) * (2/3), converted_stat, '2K_Ratings'!V325, IF(bbgm_stat &gt;= perc_95, converted_stat * 3, IF(bbgm_stat &gt;= perc_90, converted_stat * 2, IF(bbgm_stat &gt;= perc_85, converted_stat * 1.5, converted_stat)))))</f>
        <v/>
      </c>
      <c r="W325" s="30" t="str">
        <f t="array" ref="W325">IF($A325="", "", LET(bbgm_stat, INDEX(Players!$A324:$P324, MATCH(W$2, Players!$A$1:$P$1, 0)), perc_75, VLOOKUP(W$2, Percentiles!$A$45:$I$59, 6, FALSE), perc_90, VLOOKUP(W$2, Percentiles!$A$45:$I$59, 7, FALSE), perc_95, VLOOKUP(W$2, Percentiles!$A$45:$I$59, 8, FALSE), perc_85, perc_75 + (perc_90 - perc_75) * (2/3), converted_stat, '2K_Ratings'!W325, IF(bbgm_stat &gt;= perc_95, converted_stat * 3, IF(bbgm_stat &gt;= perc_90, converted_stat * 2, IF(bbgm_stat &gt;= perc_85, converted_stat * 1.5, converted_stat)))))</f>
        <v/>
      </c>
    </row>
    <row r="326">
      <c r="A326" s="30"/>
      <c r="B326" s="30" t="str">
        <f t="array" ref="B326">IF($A326="", "", LET(bbgm_stat, INDEX(Players!$A325:$P325, MATCH(B$2, Players!$A$1:$P$1, 0)), perc_75, VLOOKUP(B$2, Percentiles!$A$45:$I$59, 6, FALSE), perc_90, VLOOKUP(B$2, Percentiles!$A$45:$I$59, 7, FALSE), perc_95, VLOOKUP(B$2, Percentiles!$A$45:$I$59, 8, FALSE), perc_85, perc_75 + (perc_90 - perc_75) * (2/3), converted_stat, '2K_Ratings'!B326, IF(bbgm_stat &gt;= perc_95, converted_stat * 3, IF(bbgm_stat &gt;= perc_90, converted_stat * 2, IF(bbgm_stat &gt;= perc_85, converted_stat * 1.5, converted_stat)))))</f>
        <v/>
      </c>
      <c r="C326" s="30" t="str">
        <f t="array" ref="C326">IF($A326="", "", LET(bbgm_stat, INDEX(Players!$A325:$P325, MATCH(C$2, Players!$A$1:$P$1, 0)), perc_75, VLOOKUP(C$2, Percentiles!$A$45:$I$59, 6, FALSE), perc_90, VLOOKUP(C$2, Percentiles!$A$45:$I$59, 7, FALSE), perc_95, VLOOKUP(C$2, Percentiles!$A$45:$I$59, 8, FALSE), perc_85, perc_75 + (perc_90 - perc_75) * (2/3), converted_stat, '2K_Ratings'!C326, IF(bbgm_stat &gt;= perc_95, converted_stat * 3, IF(bbgm_stat &gt;= perc_90, converted_stat * 2, IF(bbgm_stat &gt;= perc_85, converted_stat * 1.5, converted_stat)))))</f>
        <v/>
      </c>
      <c r="D326" s="30" t="str">
        <f t="array" ref="D326">IF($A326="", "", LET(bbgm_stat, INDEX(Players!$A325:$P325, MATCH(D$2, Players!$A$1:$P$1, 0)), perc_75, VLOOKUP(D$2, Percentiles!$A$45:$I$59, 6, FALSE), perc_90, VLOOKUP(D$2, Percentiles!$A$45:$I$59, 7, FALSE), perc_95, VLOOKUP(D$2, Percentiles!$A$45:$I$59, 8, FALSE), perc_85, perc_75 + (perc_90 - perc_75) * (2/3), converted_stat, '2K_Ratings'!D326, IF(bbgm_stat &gt;= perc_95, converted_stat * 3, IF(bbgm_stat &gt;= perc_90, converted_stat * 2, IF(bbgm_stat &gt;= perc_85, converted_stat * 1.5, converted_stat)))))</f>
        <v/>
      </c>
      <c r="E326" s="30" t="str">
        <f t="array" ref="E326">IF($A326="", "", LET(bbgm_stat, INDEX(Players!$A325:$P325, MATCH(E$2, Players!$A$1:$P$1, 0)), perc_75, VLOOKUP(E$2, Percentiles!$A$45:$I$59, 6, FALSE), perc_90, VLOOKUP(E$2, Percentiles!$A$45:$I$59, 7, FALSE), perc_95, VLOOKUP(E$2, Percentiles!$A$45:$I$59, 8, FALSE), perc_85, perc_75 + (perc_90 - perc_75) * (2/3), converted_stat, '2K_Ratings'!E326, IF(bbgm_stat &gt;= perc_95, converted_stat * 3, IF(bbgm_stat &gt;= perc_90, converted_stat * 2, IF(bbgm_stat &gt;= perc_85, converted_stat * 1.5, converted_stat)))))</f>
        <v/>
      </c>
      <c r="F326" s="30" t="str">
        <f t="array" ref="F326">IF($A326="", "", LET(bbgm_stat, INDEX(Players!$A325:$P325, MATCH(F$2, Players!$A$1:$P$1, 0)), perc_75, VLOOKUP(F$2, Percentiles!$A$45:$I$59, 6, FALSE), perc_90, VLOOKUP(F$2, Percentiles!$A$45:$I$59, 7, FALSE), perc_95, VLOOKUP(F$2, Percentiles!$A$45:$I$59, 8, FALSE), perc_85, perc_75 + (perc_90 - perc_75) * (2/3), converted_stat, '2K_Ratings'!F326, IF(bbgm_stat &gt;= perc_95, converted_stat * 3, IF(bbgm_stat &gt;= perc_90, converted_stat * 2, IF(bbgm_stat &gt;= perc_85, converted_stat * 1.5, converted_stat)))))</f>
        <v/>
      </c>
      <c r="G326" s="30" t="str">
        <f t="array" ref="G326">IF($A326="", "", LET(bbgm_stat, INDEX(Players!$A325:$P325, MATCH(G$2, Players!$A$1:$P$1, 0)), perc_75, VLOOKUP(G$2, Percentiles!$A$45:$I$59, 6, FALSE), perc_90, VLOOKUP(G$2, Percentiles!$A$45:$I$59, 7, FALSE), perc_95, VLOOKUP(G$2, Percentiles!$A$45:$I$59, 8, FALSE), perc_85, perc_75 + (perc_90 - perc_75) * (2/3), converted_stat, '2K_Ratings'!G326, IF(bbgm_stat &gt;= perc_95, converted_stat * 3, IF(bbgm_stat &gt;= perc_90, converted_stat * 2, IF(bbgm_stat &gt;= perc_85, converted_stat * 1.5, converted_stat)))))</f>
        <v/>
      </c>
      <c r="H326" s="30" t="str">
        <f t="array" ref="H326">IF($A326="", "", LET(bbgm_stat, INDEX(Players!$A325:$P325, MATCH(H$2, Players!$A$1:$P$1, 0)), perc_75, VLOOKUP(H$2, Percentiles!$A$45:$I$59, 6, FALSE), perc_90, VLOOKUP(H$2, Percentiles!$A$45:$I$59, 7, FALSE), perc_95, VLOOKUP(H$2, Percentiles!$A$45:$I$59, 8, FALSE), perc_85, perc_75 + (perc_90 - perc_75) * (2/3), converted_stat, '2K_Ratings'!H326, IF(bbgm_stat &gt;= perc_95, converted_stat * 3, IF(bbgm_stat &gt;= perc_90, converted_stat * 2, IF(bbgm_stat &gt;= perc_85, converted_stat * 1.5, converted_stat)))))</f>
        <v/>
      </c>
      <c r="I326" s="30" t="str">
        <f t="array" ref="I326">IF($A326="", "", LET(bbgm_stat, INDEX(Players!$A325:$P325, MATCH(I$2, Players!$A$1:$P$1, 0)), perc_75, VLOOKUP(I$2, Percentiles!$A$45:$I$59, 6, FALSE), perc_90, VLOOKUP(I$2, Percentiles!$A$45:$I$59, 7, FALSE), perc_95, VLOOKUP(I$2, Percentiles!$A$45:$I$59, 8, FALSE), perc_85, perc_75 + (perc_90 - perc_75) * (2/3), converted_stat, '2K_Ratings'!I326, IF(bbgm_stat &gt;= perc_95, converted_stat * 3, IF(bbgm_stat &gt;= perc_90, converted_stat * 2, IF(bbgm_stat &gt;= perc_85, converted_stat * 1.5, converted_stat)))))</f>
        <v/>
      </c>
      <c r="J326" s="30" t="str">
        <f t="array" ref="J326">IF($A326="", "", LET(bbgm_stat, INDEX(Players!$A325:$P325, MATCH(J$2, Players!$A$1:$P$1, 0)), perc_75, VLOOKUP(J$2, Percentiles!$A$45:$I$59, 6, FALSE), perc_90, VLOOKUP(J$2, Percentiles!$A$45:$I$59, 7, FALSE), perc_95, VLOOKUP(J$2, Percentiles!$A$45:$I$59, 8, FALSE), perc_85, perc_75 + (perc_90 - perc_75) * (2/3), converted_stat, '2K_Ratings'!J326, IF(bbgm_stat &gt;= perc_95, converted_stat * 3, IF(bbgm_stat &gt;= perc_90, converted_stat * 2, IF(bbgm_stat &gt;= perc_85, converted_stat * 1.5, converted_stat)))))</f>
        <v/>
      </c>
      <c r="K326" s="30" t="str">
        <f t="array" ref="K326">IF($A326="", "", LET(bbgm_stat, INDEX(Players!$A325:$P325, MATCH(K$2, Players!$A$1:$P$1, 0)), perc_75, VLOOKUP(K$2, Percentiles!$A$45:$I$59, 6, FALSE), perc_90, VLOOKUP(K$2, Percentiles!$A$45:$I$59, 7, FALSE), perc_95, VLOOKUP(K$2, Percentiles!$A$45:$I$59, 8, FALSE), perc_85, perc_75 + (perc_90 - perc_75) * (2/3), converted_stat, '2K_Ratings'!K326, IF(bbgm_stat &gt;= perc_95, converted_stat * 3, IF(bbgm_stat &gt;= perc_90, converted_stat * 2, IF(bbgm_stat &gt;= perc_85, converted_stat * 1.5, converted_stat)))))</f>
        <v/>
      </c>
      <c r="L326" s="30" t="str">
        <f t="array" ref="L326">IF($A326="", "", LET(bbgm_stat, INDEX(Players!$A325:$P325, MATCH(L$2, Players!$A$1:$P$1, 0)), perc_75, VLOOKUP(L$2, Percentiles!$A$45:$I$59, 6, FALSE), perc_90, VLOOKUP(L$2, Percentiles!$A$45:$I$59, 7, FALSE), perc_95, VLOOKUP(L$2, Percentiles!$A$45:$I$59, 8, FALSE), perc_85, perc_75 + (perc_90 - perc_75) * (2/3), converted_stat, '2K_Ratings'!L326, IF(bbgm_stat &gt;= perc_95, converted_stat * 3, IF(bbgm_stat &gt;= perc_90, converted_stat * 2, IF(bbgm_stat &gt;= perc_85, converted_stat * 1.5, converted_stat)))))</f>
        <v/>
      </c>
      <c r="M326" s="30" t="str">
        <f t="array" ref="M326">IF($A326="", "", LET(bbgm_stat, INDEX(Players!$A325:$P325, MATCH(M$2, Players!$A$1:$P$1, 0)), perc_75, VLOOKUP(M$2, Percentiles!$A$45:$I$59, 6, FALSE), perc_90, VLOOKUP(M$2, Percentiles!$A$45:$I$59, 7, FALSE), perc_95, VLOOKUP(M$2, Percentiles!$A$45:$I$59, 8, FALSE), perc_85, perc_75 + (perc_90 - perc_75) * (2/3), converted_stat, '2K_Ratings'!M326, IF(bbgm_stat &gt;= perc_95, converted_stat * 3, IF(bbgm_stat &gt;= perc_90, converted_stat * 2, IF(bbgm_stat &gt;= perc_85, converted_stat * 1.5, converted_stat)))))</f>
        <v/>
      </c>
      <c r="N326" s="30" t="str">
        <f t="array" ref="N326">IF($A326="", "", LET(bbgm_stat, INDEX(Players!$A325:$P325, MATCH(N$2, Players!$A$1:$P$1, 0)), perc_75, VLOOKUP(N$2, Percentiles!$A$45:$I$59, 6, FALSE), perc_90, VLOOKUP(N$2, Percentiles!$A$45:$I$59, 7, FALSE), perc_95, VLOOKUP(N$2, Percentiles!$A$45:$I$59, 8, FALSE), perc_85, perc_75 + (perc_90 - perc_75) * (2/3), converted_stat, '2K_Ratings'!N326, IF(bbgm_stat &gt;= perc_95, converted_stat * 3, IF(bbgm_stat &gt;= perc_90, converted_stat * 2, IF(bbgm_stat &gt;= perc_85, converted_stat * 1.5, converted_stat)))))</f>
        <v/>
      </c>
      <c r="O326" s="30" t="str">
        <f t="array" ref="O326">IF($A326="", "", LET(bbgm_stat, INDEX(Players!$A325:$P325, MATCH(O$2, Players!$A$1:$P$1, 0)), perc_75, VLOOKUP(O$2, Percentiles!$A$45:$I$59, 6, FALSE), perc_90, VLOOKUP(O$2, Percentiles!$A$45:$I$59, 7, FALSE), perc_95, VLOOKUP(O$2, Percentiles!$A$45:$I$59, 8, FALSE), perc_85, perc_75 + (perc_90 - perc_75) * (2/3), converted_stat, '2K_Ratings'!O326, IF(bbgm_stat &gt;= perc_95, converted_stat * 3, IF(bbgm_stat &gt;= perc_90, converted_stat * 2, IF(bbgm_stat &gt;= perc_85, converted_stat * 1.5, converted_stat)))))</f>
        <v/>
      </c>
      <c r="P326" s="30" t="str">
        <f t="array" ref="P326">IF($A326="", "", LET(bbgm_stat, INDEX(Players!$A325:$P325, MATCH(P$2, Players!$A$1:$P$1, 0)), perc_75, VLOOKUP(P$2, Percentiles!$A$45:$I$59, 6, FALSE), perc_90, VLOOKUP(P$2, Percentiles!$A$45:$I$59, 7, FALSE), perc_95, VLOOKUP(P$2, Percentiles!$A$45:$I$59, 8, FALSE), perc_85, perc_75 + (perc_90 - perc_75) * (2/3), converted_stat, '2K_Ratings'!P326, IF(bbgm_stat &gt;= perc_95, converted_stat * 3, IF(bbgm_stat &gt;= perc_90, converted_stat * 2, IF(bbgm_stat &gt;= perc_85, converted_stat * 1.5, converted_stat)))))</f>
        <v/>
      </c>
      <c r="Q326" s="30" t="str">
        <f t="array" ref="Q326">IF($A326="", "", LET(bbgm_stat, INDEX(Players!$A325:$P325, MATCH(Q$2, Players!$A$1:$P$1, 0)), perc_75, VLOOKUP(Q$2, Percentiles!$A$45:$I$59, 6, FALSE), perc_90, VLOOKUP(Q$2, Percentiles!$A$45:$I$59, 7, FALSE), perc_95, VLOOKUP(Q$2, Percentiles!$A$45:$I$59, 8, FALSE), perc_85, perc_75 + (perc_90 - perc_75) * (2/3), converted_stat, '2K_Ratings'!Q326, IF(bbgm_stat &gt;= perc_95, converted_stat * 3, IF(bbgm_stat &gt;= perc_90, converted_stat * 2, IF(bbgm_stat &gt;= perc_85, converted_stat * 1.5, converted_stat)))))</f>
        <v/>
      </c>
      <c r="R326" s="30" t="str">
        <f t="array" ref="R326">IF($A326="", "", LET(bbgm_stat, INDEX(Players!$A325:$P325, MATCH(R$2, Players!$A$1:$P$1, 0)), perc_75, VLOOKUP(R$2, Percentiles!$A$45:$I$59, 6, FALSE), perc_90, VLOOKUP(R$2, Percentiles!$A$45:$I$59, 7, FALSE), perc_95, VLOOKUP(R$2, Percentiles!$A$45:$I$59, 8, FALSE), perc_85, perc_75 + (perc_90 - perc_75) * (2/3), converted_stat, '2K_Ratings'!R326, IF(bbgm_stat &gt;= perc_95, converted_stat * 3, IF(bbgm_stat &gt;= perc_90, converted_stat * 2, IF(bbgm_stat &gt;= perc_85, converted_stat * 1.5, converted_stat)))))</f>
        <v/>
      </c>
      <c r="S326" s="30" t="str">
        <f t="array" ref="S326">IF($A326="", "", LET(bbgm_stat, INDEX(Players!$A325:$P325, MATCH(S$2, Players!$A$1:$P$1, 0)), perc_75, VLOOKUP(S$2, Percentiles!$A$45:$I$59, 6, FALSE), perc_90, VLOOKUP(S$2, Percentiles!$A$45:$I$59, 7, FALSE), perc_95, VLOOKUP(S$2, Percentiles!$A$45:$I$59, 8, FALSE), perc_85, perc_75 + (perc_90 - perc_75) * (2/3), converted_stat, '2K_Ratings'!S326, IF(bbgm_stat &gt;= perc_95, converted_stat * 3, IF(bbgm_stat &gt;= perc_90, converted_stat * 2, IF(bbgm_stat &gt;= perc_85, converted_stat * 1.5, converted_stat)))))</f>
        <v/>
      </c>
      <c r="T326" s="30" t="str">
        <f t="array" ref="T326">IF($A326="", "", LET(bbgm_stat, INDEX(Players!$A325:$P325, MATCH(T$2, Players!$A$1:$P$1, 0)), perc_75, VLOOKUP(T$2, Percentiles!$A$45:$I$59, 6, FALSE), perc_90, VLOOKUP(T$2, Percentiles!$A$45:$I$59, 7, FALSE), perc_95, VLOOKUP(T$2, Percentiles!$A$45:$I$59, 8, FALSE), perc_85, perc_75 + (perc_90 - perc_75) * (2/3), converted_stat, '2K_Ratings'!T326, IF(bbgm_stat &gt;= perc_95, converted_stat * 3, IF(bbgm_stat &gt;= perc_90, converted_stat * 2, IF(bbgm_stat &gt;= perc_85, converted_stat * 1.5, converted_stat)))))</f>
        <v/>
      </c>
      <c r="U326" s="30" t="str">
        <f t="array" ref="U326">IF($A326="", "", LET(bbgm_stat, INDEX(Players!$A325:$P325, MATCH(U$2, Players!$A$1:$P$1, 0)), perc_75, VLOOKUP(U$2, Percentiles!$A$45:$I$59, 6, FALSE), perc_90, VLOOKUP(U$2, Percentiles!$A$45:$I$59, 7, FALSE), perc_95, VLOOKUP(U$2, Percentiles!$A$45:$I$59, 8, FALSE), perc_85, perc_75 + (perc_90 - perc_75) * (2/3), converted_stat, '2K_Ratings'!U326, IF(bbgm_stat &gt;= perc_95, converted_stat * 3, IF(bbgm_stat &gt;= perc_90, converted_stat * 2, IF(bbgm_stat &gt;= perc_85, converted_stat * 1.5, converted_stat)))))</f>
        <v/>
      </c>
      <c r="V326" s="30" t="str">
        <f t="array" ref="V326">IF($A326="", "", LET(bbgm_stat, INDEX(Players!$A325:$P325, MATCH(V$2, Players!$A$1:$P$1, 0)), perc_75, VLOOKUP(V$2, Percentiles!$A$45:$I$59, 6, FALSE), perc_90, VLOOKUP(V$2, Percentiles!$A$45:$I$59, 7, FALSE), perc_95, VLOOKUP(V$2, Percentiles!$A$45:$I$59, 8, FALSE), perc_85, perc_75 + (perc_90 - perc_75) * (2/3), converted_stat, '2K_Ratings'!V326, IF(bbgm_stat &gt;= perc_95, converted_stat * 3, IF(bbgm_stat &gt;= perc_90, converted_stat * 2, IF(bbgm_stat &gt;= perc_85, converted_stat * 1.5, converted_stat)))))</f>
        <v/>
      </c>
      <c r="W326" s="30" t="str">
        <f t="array" ref="W326">IF($A326="", "", LET(bbgm_stat, INDEX(Players!$A325:$P325, MATCH(W$2, Players!$A$1:$P$1, 0)), perc_75, VLOOKUP(W$2, Percentiles!$A$45:$I$59, 6, FALSE), perc_90, VLOOKUP(W$2, Percentiles!$A$45:$I$59, 7, FALSE), perc_95, VLOOKUP(W$2, Percentiles!$A$45:$I$59, 8, FALSE), perc_85, perc_75 + (perc_90 - perc_75) * (2/3), converted_stat, '2K_Ratings'!W326, IF(bbgm_stat &gt;= perc_95, converted_stat * 3, IF(bbgm_stat &gt;= perc_90, converted_stat * 2, IF(bbgm_stat &gt;= perc_85, converted_stat * 1.5, converted_stat)))))</f>
        <v/>
      </c>
    </row>
    <row r="327">
      <c r="A327" s="30"/>
      <c r="B327" s="30" t="str">
        <f t="array" ref="B327">IF($A327="", "", LET(bbgm_stat, INDEX(Players!$A326:$P326, MATCH(B$2, Players!$A$1:$P$1, 0)), perc_75, VLOOKUP(B$2, Percentiles!$A$45:$I$59, 6, FALSE), perc_90, VLOOKUP(B$2, Percentiles!$A$45:$I$59, 7, FALSE), perc_95, VLOOKUP(B$2, Percentiles!$A$45:$I$59, 8, FALSE), perc_85, perc_75 + (perc_90 - perc_75) * (2/3), converted_stat, '2K_Ratings'!B327, IF(bbgm_stat &gt;= perc_95, converted_stat * 3, IF(bbgm_stat &gt;= perc_90, converted_stat * 2, IF(bbgm_stat &gt;= perc_85, converted_stat * 1.5, converted_stat)))))</f>
        <v/>
      </c>
      <c r="C327" s="30" t="str">
        <f t="array" ref="C327">IF($A327="", "", LET(bbgm_stat, INDEX(Players!$A326:$P326, MATCH(C$2, Players!$A$1:$P$1, 0)), perc_75, VLOOKUP(C$2, Percentiles!$A$45:$I$59, 6, FALSE), perc_90, VLOOKUP(C$2, Percentiles!$A$45:$I$59, 7, FALSE), perc_95, VLOOKUP(C$2, Percentiles!$A$45:$I$59, 8, FALSE), perc_85, perc_75 + (perc_90 - perc_75) * (2/3), converted_stat, '2K_Ratings'!C327, IF(bbgm_stat &gt;= perc_95, converted_stat * 3, IF(bbgm_stat &gt;= perc_90, converted_stat * 2, IF(bbgm_stat &gt;= perc_85, converted_stat * 1.5, converted_stat)))))</f>
        <v/>
      </c>
      <c r="D327" s="30" t="str">
        <f t="array" ref="D327">IF($A327="", "", LET(bbgm_stat, INDEX(Players!$A326:$P326, MATCH(D$2, Players!$A$1:$P$1, 0)), perc_75, VLOOKUP(D$2, Percentiles!$A$45:$I$59, 6, FALSE), perc_90, VLOOKUP(D$2, Percentiles!$A$45:$I$59, 7, FALSE), perc_95, VLOOKUP(D$2, Percentiles!$A$45:$I$59, 8, FALSE), perc_85, perc_75 + (perc_90 - perc_75) * (2/3), converted_stat, '2K_Ratings'!D327, IF(bbgm_stat &gt;= perc_95, converted_stat * 3, IF(bbgm_stat &gt;= perc_90, converted_stat * 2, IF(bbgm_stat &gt;= perc_85, converted_stat * 1.5, converted_stat)))))</f>
        <v/>
      </c>
      <c r="E327" s="30" t="str">
        <f t="array" ref="E327">IF($A327="", "", LET(bbgm_stat, INDEX(Players!$A326:$P326, MATCH(E$2, Players!$A$1:$P$1, 0)), perc_75, VLOOKUP(E$2, Percentiles!$A$45:$I$59, 6, FALSE), perc_90, VLOOKUP(E$2, Percentiles!$A$45:$I$59, 7, FALSE), perc_95, VLOOKUP(E$2, Percentiles!$A$45:$I$59, 8, FALSE), perc_85, perc_75 + (perc_90 - perc_75) * (2/3), converted_stat, '2K_Ratings'!E327, IF(bbgm_stat &gt;= perc_95, converted_stat * 3, IF(bbgm_stat &gt;= perc_90, converted_stat * 2, IF(bbgm_stat &gt;= perc_85, converted_stat * 1.5, converted_stat)))))</f>
        <v/>
      </c>
      <c r="F327" s="30" t="str">
        <f t="array" ref="F327">IF($A327="", "", LET(bbgm_stat, INDEX(Players!$A326:$P326, MATCH(F$2, Players!$A$1:$P$1, 0)), perc_75, VLOOKUP(F$2, Percentiles!$A$45:$I$59, 6, FALSE), perc_90, VLOOKUP(F$2, Percentiles!$A$45:$I$59, 7, FALSE), perc_95, VLOOKUP(F$2, Percentiles!$A$45:$I$59, 8, FALSE), perc_85, perc_75 + (perc_90 - perc_75) * (2/3), converted_stat, '2K_Ratings'!F327, IF(bbgm_stat &gt;= perc_95, converted_stat * 3, IF(bbgm_stat &gt;= perc_90, converted_stat * 2, IF(bbgm_stat &gt;= perc_85, converted_stat * 1.5, converted_stat)))))</f>
        <v/>
      </c>
      <c r="G327" s="30" t="str">
        <f t="array" ref="G327">IF($A327="", "", LET(bbgm_stat, INDEX(Players!$A326:$P326, MATCH(G$2, Players!$A$1:$P$1, 0)), perc_75, VLOOKUP(G$2, Percentiles!$A$45:$I$59, 6, FALSE), perc_90, VLOOKUP(G$2, Percentiles!$A$45:$I$59, 7, FALSE), perc_95, VLOOKUP(G$2, Percentiles!$A$45:$I$59, 8, FALSE), perc_85, perc_75 + (perc_90 - perc_75) * (2/3), converted_stat, '2K_Ratings'!G327, IF(bbgm_stat &gt;= perc_95, converted_stat * 3, IF(bbgm_stat &gt;= perc_90, converted_stat * 2, IF(bbgm_stat &gt;= perc_85, converted_stat * 1.5, converted_stat)))))</f>
        <v/>
      </c>
      <c r="H327" s="30" t="str">
        <f t="array" ref="H327">IF($A327="", "", LET(bbgm_stat, INDEX(Players!$A326:$P326, MATCH(H$2, Players!$A$1:$P$1, 0)), perc_75, VLOOKUP(H$2, Percentiles!$A$45:$I$59, 6, FALSE), perc_90, VLOOKUP(H$2, Percentiles!$A$45:$I$59, 7, FALSE), perc_95, VLOOKUP(H$2, Percentiles!$A$45:$I$59, 8, FALSE), perc_85, perc_75 + (perc_90 - perc_75) * (2/3), converted_stat, '2K_Ratings'!H327, IF(bbgm_stat &gt;= perc_95, converted_stat * 3, IF(bbgm_stat &gt;= perc_90, converted_stat * 2, IF(bbgm_stat &gt;= perc_85, converted_stat * 1.5, converted_stat)))))</f>
        <v/>
      </c>
      <c r="I327" s="30" t="str">
        <f t="array" ref="I327">IF($A327="", "", LET(bbgm_stat, INDEX(Players!$A326:$P326, MATCH(I$2, Players!$A$1:$P$1, 0)), perc_75, VLOOKUP(I$2, Percentiles!$A$45:$I$59, 6, FALSE), perc_90, VLOOKUP(I$2, Percentiles!$A$45:$I$59, 7, FALSE), perc_95, VLOOKUP(I$2, Percentiles!$A$45:$I$59, 8, FALSE), perc_85, perc_75 + (perc_90 - perc_75) * (2/3), converted_stat, '2K_Ratings'!I327, IF(bbgm_stat &gt;= perc_95, converted_stat * 3, IF(bbgm_stat &gt;= perc_90, converted_stat * 2, IF(bbgm_stat &gt;= perc_85, converted_stat * 1.5, converted_stat)))))</f>
        <v/>
      </c>
      <c r="J327" s="30" t="str">
        <f t="array" ref="J327">IF($A327="", "", LET(bbgm_stat, INDEX(Players!$A326:$P326, MATCH(J$2, Players!$A$1:$P$1, 0)), perc_75, VLOOKUP(J$2, Percentiles!$A$45:$I$59, 6, FALSE), perc_90, VLOOKUP(J$2, Percentiles!$A$45:$I$59, 7, FALSE), perc_95, VLOOKUP(J$2, Percentiles!$A$45:$I$59, 8, FALSE), perc_85, perc_75 + (perc_90 - perc_75) * (2/3), converted_stat, '2K_Ratings'!J327, IF(bbgm_stat &gt;= perc_95, converted_stat * 3, IF(bbgm_stat &gt;= perc_90, converted_stat * 2, IF(bbgm_stat &gt;= perc_85, converted_stat * 1.5, converted_stat)))))</f>
        <v/>
      </c>
      <c r="K327" s="30" t="str">
        <f t="array" ref="K327">IF($A327="", "", LET(bbgm_stat, INDEX(Players!$A326:$P326, MATCH(K$2, Players!$A$1:$P$1, 0)), perc_75, VLOOKUP(K$2, Percentiles!$A$45:$I$59, 6, FALSE), perc_90, VLOOKUP(K$2, Percentiles!$A$45:$I$59, 7, FALSE), perc_95, VLOOKUP(K$2, Percentiles!$A$45:$I$59, 8, FALSE), perc_85, perc_75 + (perc_90 - perc_75) * (2/3), converted_stat, '2K_Ratings'!K327, IF(bbgm_stat &gt;= perc_95, converted_stat * 3, IF(bbgm_stat &gt;= perc_90, converted_stat * 2, IF(bbgm_stat &gt;= perc_85, converted_stat * 1.5, converted_stat)))))</f>
        <v/>
      </c>
      <c r="L327" s="30" t="str">
        <f t="array" ref="L327">IF($A327="", "", LET(bbgm_stat, INDEX(Players!$A326:$P326, MATCH(L$2, Players!$A$1:$P$1, 0)), perc_75, VLOOKUP(L$2, Percentiles!$A$45:$I$59, 6, FALSE), perc_90, VLOOKUP(L$2, Percentiles!$A$45:$I$59, 7, FALSE), perc_95, VLOOKUP(L$2, Percentiles!$A$45:$I$59, 8, FALSE), perc_85, perc_75 + (perc_90 - perc_75) * (2/3), converted_stat, '2K_Ratings'!L327, IF(bbgm_stat &gt;= perc_95, converted_stat * 3, IF(bbgm_stat &gt;= perc_90, converted_stat * 2, IF(bbgm_stat &gt;= perc_85, converted_stat * 1.5, converted_stat)))))</f>
        <v/>
      </c>
      <c r="M327" s="30" t="str">
        <f t="array" ref="M327">IF($A327="", "", LET(bbgm_stat, INDEX(Players!$A326:$P326, MATCH(M$2, Players!$A$1:$P$1, 0)), perc_75, VLOOKUP(M$2, Percentiles!$A$45:$I$59, 6, FALSE), perc_90, VLOOKUP(M$2, Percentiles!$A$45:$I$59, 7, FALSE), perc_95, VLOOKUP(M$2, Percentiles!$A$45:$I$59, 8, FALSE), perc_85, perc_75 + (perc_90 - perc_75) * (2/3), converted_stat, '2K_Ratings'!M327, IF(bbgm_stat &gt;= perc_95, converted_stat * 3, IF(bbgm_stat &gt;= perc_90, converted_stat * 2, IF(bbgm_stat &gt;= perc_85, converted_stat * 1.5, converted_stat)))))</f>
        <v/>
      </c>
      <c r="N327" s="30" t="str">
        <f t="array" ref="N327">IF($A327="", "", LET(bbgm_stat, INDEX(Players!$A326:$P326, MATCH(N$2, Players!$A$1:$P$1, 0)), perc_75, VLOOKUP(N$2, Percentiles!$A$45:$I$59, 6, FALSE), perc_90, VLOOKUP(N$2, Percentiles!$A$45:$I$59, 7, FALSE), perc_95, VLOOKUP(N$2, Percentiles!$A$45:$I$59, 8, FALSE), perc_85, perc_75 + (perc_90 - perc_75) * (2/3), converted_stat, '2K_Ratings'!N327, IF(bbgm_stat &gt;= perc_95, converted_stat * 3, IF(bbgm_stat &gt;= perc_90, converted_stat * 2, IF(bbgm_stat &gt;= perc_85, converted_stat * 1.5, converted_stat)))))</f>
        <v/>
      </c>
      <c r="O327" s="30" t="str">
        <f t="array" ref="O327">IF($A327="", "", LET(bbgm_stat, INDEX(Players!$A326:$P326, MATCH(O$2, Players!$A$1:$P$1, 0)), perc_75, VLOOKUP(O$2, Percentiles!$A$45:$I$59, 6, FALSE), perc_90, VLOOKUP(O$2, Percentiles!$A$45:$I$59, 7, FALSE), perc_95, VLOOKUP(O$2, Percentiles!$A$45:$I$59, 8, FALSE), perc_85, perc_75 + (perc_90 - perc_75) * (2/3), converted_stat, '2K_Ratings'!O327, IF(bbgm_stat &gt;= perc_95, converted_stat * 3, IF(bbgm_stat &gt;= perc_90, converted_stat * 2, IF(bbgm_stat &gt;= perc_85, converted_stat * 1.5, converted_stat)))))</f>
        <v/>
      </c>
      <c r="P327" s="30" t="str">
        <f t="array" ref="P327">IF($A327="", "", LET(bbgm_stat, INDEX(Players!$A326:$P326, MATCH(P$2, Players!$A$1:$P$1, 0)), perc_75, VLOOKUP(P$2, Percentiles!$A$45:$I$59, 6, FALSE), perc_90, VLOOKUP(P$2, Percentiles!$A$45:$I$59, 7, FALSE), perc_95, VLOOKUP(P$2, Percentiles!$A$45:$I$59, 8, FALSE), perc_85, perc_75 + (perc_90 - perc_75) * (2/3), converted_stat, '2K_Ratings'!P327, IF(bbgm_stat &gt;= perc_95, converted_stat * 3, IF(bbgm_stat &gt;= perc_90, converted_stat * 2, IF(bbgm_stat &gt;= perc_85, converted_stat * 1.5, converted_stat)))))</f>
        <v/>
      </c>
      <c r="Q327" s="30" t="str">
        <f t="array" ref="Q327">IF($A327="", "", LET(bbgm_stat, INDEX(Players!$A326:$P326, MATCH(Q$2, Players!$A$1:$P$1, 0)), perc_75, VLOOKUP(Q$2, Percentiles!$A$45:$I$59, 6, FALSE), perc_90, VLOOKUP(Q$2, Percentiles!$A$45:$I$59, 7, FALSE), perc_95, VLOOKUP(Q$2, Percentiles!$A$45:$I$59, 8, FALSE), perc_85, perc_75 + (perc_90 - perc_75) * (2/3), converted_stat, '2K_Ratings'!Q327, IF(bbgm_stat &gt;= perc_95, converted_stat * 3, IF(bbgm_stat &gt;= perc_90, converted_stat * 2, IF(bbgm_stat &gt;= perc_85, converted_stat * 1.5, converted_stat)))))</f>
        <v/>
      </c>
      <c r="R327" s="30" t="str">
        <f t="array" ref="R327">IF($A327="", "", LET(bbgm_stat, INDEX(Players!$A326:$P326, MATCH(R$2, Players!$A$1:$P$1, 0)), perc_75, VLOOKUP(R$2, Percentiles!$A$45:$I$59, 6, FALSE), perc_90, VLOOKUP(R$2, Percentiles!$A$45:$I$59, 7, FALSE), perc_95, VLOOKUP(R$2, Percentiles!$A$45:$I$59, 8, FALSE), perc_85, perc_75 + (perc_90 - perc_75) * (2/3), converted_stat, '2K_Ratings'!R327, IF(bbgm_stat &gt;= perc_95, converted_stat * 3, IF(bbgm_stat &gt;= perc_90, converted_stat * 2, IF(bbgm_stat &gt;= perc_85, converted_stat * 1.5, converted_stat)))))</f>
        <v/>
      </c>
      <c r="S327" s="30" t="str">
        <f t="array" ref="S327">IF($A327="", "", LET(bbgm_stat, INDEX(Players!$A326:$P326, MATCH(S$2, Players!$A$1:$P$1, 0)), perc_75, VLOOKUP(S$2, Percentiles!$A$45:$I$59, 6, FALSE), perc_90, VLOOKUP(S$2, Percentiles!$A$45:$I$59, 7, FALSE), perc_95, VLOOKUP(S$2, Percentiles!$A$45:$I$59, 8, FALSE), perc_85, perc_75 + (perc_90 - perc_75) * (2/3), converted_stat, '2K_Ratings'!S327, IF(bbgm_stat &gt;= perc_95, converted_stat * 3, IF(bbgm_stat &gt;= perc_90, converted_stat * 2, IF(bbgm_stat &gt;= perc_85, converted_stat * 1.5, converted_stat)))))</f>
        <v/>
      </c>
      <c r="T327" s="30" t="str">
        <f t="array" ref="T327">IF($A327="", "", LET(bbgm_stat, INDEX(Players!$A326:$P326, MATCH(T$2, Players!$A$1:$P$1, 0)), perc_75, VLOOKUP(T$2, Percentiles!$A$45:$I$59, 6, FALSE), perc_90, VLOOKUP(T$2, Percentiles!$A$45:$I$59, 7, FALSE), perc_95, VLOOKUP(T$2, Percentiles!$A$45:$I$59, 8, FALSE), perc_85, perc_75 + (perc_90 - perc_75) * (2/3), converted_stat, '2K_Ratings'!T327, IF(bbgm_stat &gt;= perc_95, converted_stat * 3, IF(bbgm_stat &gt;= perc_90, converted_stat * 2, IF(bbgm_stat &gt;= perc_85, converted_stat * 1.5, converted_stat)))))</f>
        <v/>
      </c>
      <c r="U327" s="30" t="str">
        <f t="array" ref="U327">IF($A327="", "", LET(bbgm_stat, INDEX(Players!$A326:$P326, MATCH(U$2, Players!$A$1:$P$1, 0)), perc_75, VLOOKUP(U$2, Percentiles!$A$45:$I$59, 6, FALSE), perc_90, VLOOKUP(U$2, Percentiles!$A$45:$I$59, 7, FALSE), perc_95, VLOOKUP(U$2, Percentiles!$A$45:$I$59, 8, FALSE), perc_85, perc_75 + (perc_90 - perc_75) * (2/3), converted_stat, '2K_Ratings'!U327, IF(bbgm_stat &gt;= perc_95, converted_stat * 3, IF(bbgm_stat &gt;= perc_90, converted_stat * 2, IF(bbgm_stat &gt;= perc_85, converted_stat * 1.5, converted_stat)))))</f>
        <v/>
      </c>
      <c r="V327" s="30" t="str">
        <f t="array" ref="V327">IF($A327="", "", LET(bbgm_stat, INDEX(Players!$A326:$P326, MATCH(V$2, Players!$A$1:$P$1, 0)), perc_75, VLOOKUP(V$2, Percentiles!$A$45:$I$59, 6, FALSE), perc_90, VLOOKUP(V$2, Percentiles!$A$45:$I$59, 7, FALSE), perc_95, VLOOKUP(V$2, Percentiles!$A$45:$I$59, 8, FALSE), perc_85, perc_75 + (perc_90 - perc_75) * (2/3), converted_stat, '2K_Ratings'!V327, IF(bbgm_stat &gt;= perc_95, converted_stat * 3, IF(bbgm_stat &gt;= perc_90, converted_stat * 2, IF(bbgm_stat &gt;= perc_85, converted_stat * 1.5, converted_stat)))))</f>
        <v/>
      </c>
      <c r="W327" s="30" t="str">
        <f t="array" ref="W327">IF($A327="", "", LET(bbgm_stat, INDEX(Players!$A326:$P326, MATCH(W$2, Players!$A$1:$P$1, 0)), perc_75, VLOOKUP(W$2, Percentiles!$A$45:$I$59, 6, FALSE), perc_90, VLOOKUP(W$2, Percentiles!$A$45:$I$59, 7, FALSE), perc_95, VLOOKUP(W$2, Percentiles!$A$45:$I$59, 8, FALSE), perc_85, perc_75 + (perc_90 - perc_75) * (2/3), converted_stat, '2K_Ratings'!W327, IF(bbgm_stat &gt;= perc_95, converted_stat * 3, IF(bbgm_stat &gt;= perc_90, converted_stat * 2, IF(bbgm_stat &gt;= perc_85, converted_stat * 1.5, converted_stat)))))</f>
        <v/>
      </c>
    </row>
    <row r="328">
      <c r="A328" s="30"/>
      <c r="B328" s="30" t="str">
        <f t="array" ref="B328">IF($A328="", "", LET(bbgm_stat, INDEX(Players!$A327:$P327, MATCH(B$2, Players!$A$1:$P$1, 0)), perc_75, VLOOKUP(B$2, Percentiles!$A$45:$I$59, 6, FALSE), perc_90, VLOOKUP(B$2, Percentiles!$A$45:$I$59, 7, FALSE), perc_95, VLOOKUP(B$2, Percentiles!$A$45:$I$59, 8, FALSE), perc_85, perc_75 + (perc_90 - perc_75) * (2/3), converted_stat, '2K_Ratings'!B328, IF(bbgm_stat &gt;= perc_95, converted_stat * 3, IF(bbgm_stat &gt;= perc_90, converted_stat * 2, IF(bbgm_stat &gt;= perc_85, converted_stat * 1.5, converted_stat)))))</f>
        <v/>
      </c>
      <c r="C328" s="30" t="str">
        <f t="array" ref="C328">IF($A328="", "", LET(bbgm_stat, INDEX(Players!$A327:$P327, MATCH(C$2, Players!$A$1:$P$1, 0)), perc_75, VLOOKUP(C$2, Percentiles!$A$45:$I$59, 6, FALSE), perc_90, VLOOKUP(C$2, Percentiles!$A$45:$I$59, 7, FALSE), perc_95, VLOOKUP(C$2, Percentiles!$A$45:$I$59, 8, FALSE), perc_85, perc_75 + (perc_90 - perc_75) * (2/3), converted_stat, '2K_Ratings'!C328, IF(bbgm_stat &gt;= perc_95, converted_stat * 3, IF(bbgm_stat &gt;= perc_90, converted_stat * 2, IF(bbgm_stat &gt;= perc_85, converted_stat * 1.5, converted_stat)))))</f>
        <v/>
      </c>
      <c r="D328" s="30" t="str">
        <f t="array" ref="D328">IF($A328="", "", LET(bbgm_stat, INDEX(Players!$A327:$P327, MATCH(D$2, Players!$A$1:$P$1, 0)), perc_75, VLOOKUP(D$2, Percentiles!$A$45:$I$59, 6, FALSE), perc_90, VLOOKUP(D$2, Percentiles!$A$45:$I$59, 7, FALSE), perc_95, VLOOKUP(D$2, Percentiles!$A$45:$I$59, 8, FALSE), perc_85, perc_75 + (perc_90 - perc_75) * (2/3), converted_stat, '2K_Ratings'!D328, IF(bbgm_stat &gt;= perc_95, converted_stat * 3, IF(bbgm_stat &gt;= perc_90, converted_stat * 2, IF(bbgm_stat &gt;= perc_85, converted_stat * 1.5, converted_stat)))))</f>
        <v/>
      </c>
      <c r="E328" s="30" t="str">
        <f t="array" ref="E328">IF($A328="", "", LET(bbgm_stat, INDEX(Players!$A327:$P327, MATCH(E$2, Players!$A$1:$P$1, 0)), perc_75, VLOOKUP(E$2, Percentiles!$A$45:$I$59, 6, FALSE), perc_90, VLOOKUP(E$2, Percentiles!$A$45:$I$59, 7, FALSE), perc_95, VLOOKUP(E$2, Percentiles!$A$45:$I$59, 8, FALSE), perc_85, perc_75 + (perc_90 - perc_75) * (2/3), converted_stat, '2K_Ratings'!E328, IF(bbgm_stat &gt;= perc_95, converted_stat * 3, IF(bbgm_stat &gt;= perc_90, converted_stat * 2, IF(bbgm_stat &gt;= perc_85, converted_stat * 1.5, converted_stat)))))</f>
        <v/>
      </c>
      <c r="F328" s="30" t="str">
        <f t="array" ref="F328">IF($A328="", "", LET(bbgm_stat, INDEX(Players!$A327:$P327, MATCH(F$2, Players!$A$1:$P$1, 0)), perc_75, VLOOKUP(F$2, Percentiles!$A$45:$I$59, 6, FALSE), perc_90, VLOOKUP(F$2, Percentiles!$A$45:$I$59, 7, FALSE), perc_95, VLOOKUP(F$2, Percentiles!$A$45:$I$59, 8, FALSE), perc_85, perc_75 + (perc_90 - perc_75) * (2/3), converted_stat, '2K_Ratings'!F328, IF(bbgm_stat &gt;= perc_95, converted_stat * 3, IF(bbgm_stat &gt;= perc_90, converted_stat * 2, IF(bbgm_stat &gt;= perc_85, converted_stat * 1.5, converted_stat)))))</f>
        <v/>
      </c>
      <c r="G328" s="30" t="str">
        <f t="array" ref="G328">IF($A328="", "", LET(bbgm_stat, INDEX(Players!$A327:$P327, MATCH(G$2, Players!$A$1:$P$1, 0)), perc_75, VLOOKUP(G$2, Percentiles!$A$45:$I$59, 6, FALSE), perc_90, VLOOKUP(G$2, Percentiles!$A$45:$I$59, 7, FALSE), perc_95, VLOOKUP(G$2, Percentiles!$A$45:$I$59, 8, FALSE), perc_85, perc_75 + (perc_90 - perc_75) * (2/3), converted_stat, '2K_Ratings'!G328, IF(bbgm_stat &gt;= perc_95, converted_stat * 3, IF(bbgm_stat &gt;= perc_90, converted_stat * 2, IF(bbgm_stat &gt;= perc_85, converted_stat * 1.5, converted_stat)))))</f>
        <v/>
      </c>
      <c r="H328" s="30" t="str">
        <f t="array" ref="H328">IF($A328="", "", LET(bbgm_stat, INDEX(Players!$A327:$P327, MATCH(H$2, Players!$A$1:$P$1, 0)), perc_75, VLOOKUP(H$2, Percentiles!$A$45:$I$59, 6, FALSE), perc_90, VLOOKUP(H$2, Percentiles!$A$45:$I$59, 7, FALSE), perc_95, VLOOKUP(H$2, Percentiles!$A$45:$I$59, 8, FALSE), perc_85, perc_75 + (perc_90 - perc_75) * (2/3), converted_stat, '2K_Ratings'!H328, IF(bbgm_stat &gt;= perc_95, converted_stat * 3, IF(bbgm_stat &gt;= perc_90, converted_stat * 2, IF(bbgm_stat &gt;= perc_85, converted_stat * 1.5, converted_stat)))))</f>
        <v/>
      </c>
      <c r="I328" s="30" t="str">
        <f t="array" ref="I328">IF($A328="", "", LET(bbgm_stat, INDEX(Players!$A327:$P327, MATCH(I$2, Players!$A$1:$P$1, 0)), perc_75, VLOOKUP(I$2, Percentiles!$A$45:$I$59, 6, FALSE), perc_90, VLOOKUP(I$2, Percentiles!$A$45:$I$59, 7, FALSE), perc_95, VLOOKUP(I$2, Percentiles!$A$45:$I$59, 8, FALSE), perc_85, perc_75 + (perc_90 - perc_75) * (2/3), converted_stat, '2K_Ratings'!I328, IF(bbgm_stat &gt;= perc_95, converted_stat * 3, IF(bbgm_stat &gt;= perc_90, converted_stat * 2, IF(bbgm_stat &gt;= perc_85, converted_stat * 1.5, converted_stat)))))</f>
        <v/>
      </c>
      <c r="J328" s="30" t="str">
        <f t="array" ref="J328">IF($A328="", "", LET(bbgm_stat, INDEX(Players!$A327:$P327, MATCH(J$2, Players!$A$1:$P$1, 0)), perc_75, VLOOKUP(J$2, Percentiles!$A$45:$I$59, 6, FALSE), perc_90, VLOOKUP(J$2, Percentiles!$A$45:$I$59, 7, FALSE), perc_95, VLOOKUP(J$2, Percentiles!$A$45:$I$59, 8, FALSE), perc_85, perc_75 + (perc_90 - perc_75) * (2/3), converted_stat, '2K_Ratings'!J328, IF(bbgm_stat &gt;= perc_95, converted_stat * 3, IF(bbgm_stat &gt;= perc_90, converted_stat * 2, IF(bbgm_stat &gt;= perc_85, converted_stat * 1.5, converted_stat)))))</f>
        <v/>
      </c>
      <c r="K328" s="30" t="str">
        <f t="array" ref="K328">IF($A328="", "", LET(bbgm_stat, INDEX(Players!$A327:$P327, MATCH(K$2, Players!$A$1:$P$1, 0)), perc_75, VLOOKUP(K$2, Percentiles!$A$45:$I$59, 6, FALSE), perc_90, VLOOKUP(K$2, Percentiles!$A$45:$I$59, 7, FALSE), perc_95, VLOOKUP(K$2, Percentiles!$A$45:$I$59, 8, FALSE), perc_85, perc_75 + (perc_90 - perc_75) * (2/3), converted_stat, '2K_Ratings'!K328, IF(bbgm_stat &gt;= perc_95, converted_stat * 3, IF(bbgm_stat &gt;= perc_90, converted_stat * 2, IF(bbgm_stat &gt;= perc_85, converted_stat * 1.5, converted_stat)))))</f>
        <v/>
      </c>
      <c r="L328" s="30" t="str">
        <f t="array" ref="L328">IF($A328="", "", LET(bbgm_stat, INDEX(Players!$A327:$P327, MATCH(L$2, Players!$A$1:$P$1, 0)), perc_75, VLOOKUP(L$2, Percentiles!$A$45:$I$59, 6, FALSE), perc_90, VLOOKUP(L$2, Percentiles!$A$45:$I$59, 7, FALSE), perc_95, VLOOKUP(L$2, Percentiles!$A$45:$I$59, 8, FALSE), perc_85, perc_75 + (perc_90 - perc_75) * (2/3), converted_stat, '2K_Ratings'!L328, IF(bbgm_stat &gt;= perc_95, converted_stat * 3, IF(bbgm_stat &gt;= perc_90, converted_stat * 2, IF(bbgm_stat &gt;= perc_85, converted_stat * 1.5, converted_stat)))))</f>
        <v/>
      </c>
      <c r="M328" s="30" t="str">
        <f t="array" ref="M328">IF($A328="", "", LET(bbgm_stat, INDEX(Players!$A327:$P327, MATCH(M$2, Players!$A$1:$P$1, 0)), perc_75, VLOOKUP(M$2, Percentiles!$A$45:$I$59, 6, FALSE), perc_90, VLOOKUP(M$2, Percentiles!$A$45:$I$59, 7, FALSE), perc_95, VLOOKUP(M$2, Percentiles!$A$45:$I$59, 8, FALSE), perc_85, perc_75 + (perc_90 - perc_75) * (2/3), converted_stat, '2K_Ratings'!M328, IF(bbgm_stat &gt;= perc_95, converted_stat * 3, IF(bbgm_stat &gt;= perc_90, converted_stat * 2, IF(bbgm_stat &gt;= perc_85, converted_stat * 1.5, converted_stat)))))</f>
        <v/>
      </c>
      <c r="N328" s="30" t="str">
        <f t="array" ref="N328">IF($A328="", "", LET(bbgm_stat, INDEX(Players!$A327:$P327, MATCH(N$2, Players!$A$1:$P$1, 0)), perc_75, VLOOKUP(N$2, Percentiles!$A$45:$I$59, 6, FALSE), perc_90, VLOOKUP(N$2, Percentiles!$A$45:$I$59, 7, FALSE), perc_95, VLOOKUP(N$2, Percentiles!$A$45:$I$59, 8, FALSE), perc_85, perc_75 + (perc_90 - perc_75) * (2/3), converted_stat, '2K_Ratings'!N328, IF(bbgm_stat &gt;= perc_95, converted_stat * 3, IF(bbgm_stat &gt;= perc_90, converted_stat * 2, IF(bbgm_stat &gt;= perc_85, converted_stat * 1.5, converted_stat)))))</f>
        <v/>
      </c>
      <c r="O328" s="30" t="str">
        <f t="array" ref="O328">IF($A328="", "", LET(bbgm_stat, INDEX(Players!$A327:$P327, MATCH(O$2, Players!$A$1:$P$1, 0)), perc_75, VLOOKUP(O$2, Percentiles!$A$45:$I$59, 6, FALSE), perc_90, VLOOKUP(O$2, Percentiles!$A$45:$I$59, 7, FALSE), perc_95, VLOOKUP(O$2, Percentiles!$A$45:$I$59, 8, FALSE), perc_85, perc_75 + (perc_90 - perc_75) * (2/3), converted_stat, '2K_Ratings'!O328, IF(bbgm_stat &gt;= perc_95, converted_stat * 3, IF(bbgm_stat &gt;= perc_90, converted_stat * 2, IF(bbgm_stat &gt;= perc_85, converted_stat * 1.5, converted_stat)))))</f>
        <v/>
      </c>
      <c r="P328" s="30" t="str">
        <f t="array" ref="P328">IF($A328="", "", LET(bbgm_stat, INDEX(Players!$A327:$P327, MATCH(P$2, Players!$A$1:$P$1, 0)), perc_75, VLOOKUP(P$2, Percentiles!$A$45:$I$59, 6, FALSE), perc_90, VLOOKUP(P$2, Percentiles!$A$45:$I$59, 7, FALSE), perc_95, VLOOKUP(P$2, Percentiles!$A$45:$I$59, 8, FALSE), perc_85, perc_75 + (perc_90 - perc_75) * (2/3), converted_stat, '2K_Ratings'!P328, IF(bbgm_stat &gt;= perc_95, converted_stat * 3, IF(bbgm_stat &gt;= perc_90, converted_stat * 2, IF(bbgm_stat &gt;= perc_85, converted_stat * 1.5, converted_stat)))))</f>
        <v/>
      </c>
      <c r="Q328" s="30" t="str">
        <f t="array" ref="Q328">IF($A328="", "", LET(bbgm_stat, INDEX(Players!$A327:$P327, MATCH(Q$2, Players!$A$1:$P$1, 0)), perc_75, VLOOKUP(Q$2, Percentiles!$A$45:$I$59, 6, FALSE), perc_90, VLOOKUP(Q$2, Percentiles!$A$45:$I$59, 7, FALSE), perc_95, VLOOKUP(Q$2, Percentiles!$A$45:$I$59, 8, FALSE), perc_85, perc_75 + (perc_90 - perc_75) * (2/3), converted_stat, '2K_Ratings'!Q328, IF(bbgm_stat &gt;= perc_95, converted_stat * 3, IF(bbgm_stat &gt;= perc_90, converted_stat * 2, IF(bbgm_stat &gt;= perc_85, converted_stat * 1.5, converted_stat)))))</f>
        <v/>
      </c>
      <c r="R328" s="30" t="str">
        <f t="array" ref="R328">IF($A328="", "", LET(bbgm_stat, INDEX(Players!$A327:$P327, MATCH(R$2, Players!$A$1:$P$1, 0)), perc_75, VLOOKUP(R$2, Percentiles!$A$45:$I$59, 6, FALSE), perc_90, VLOOKUP(R$2, Percentiles!$A$45:$I$59, 7, FALSE), perc_95, VLOOKUP(R$2, Percentiles!$A$45:$I$59, 8, FALSE), perc_85, perc_75 + (perc_90 - perc_75) * (2/3), converted_stat, '2K_Ratings'!R328, IF(bbgm_stat &gt;= perc_95, converted_stat * 3, IF(bbgm_stat &gt;= perc_90, converted_stat * 2, IF(bbgm_stat &gt;= perc_85, converted_stat * 1.5, converted_stat)))))</f>
        <v/>
      </c>
      <c r="S328" s="30" t="str">
        <f t="array" ref="S328">IF($A328="", "", LET(bbgm_stat, INDEX(Players!$A327:$P327, MATCH(S$2, Players!$A$1:$P$1, 0)), perc_75, VLOOKUP(S$2, Percentiles!$A$45:$I$59, 6, FALSE), perc_90, VLOOKUP(S$2, Percentiles!$A$45:$I$59, 7, FALSE), perc_95, VLOOKUP(S$2, Percentiles!$A$45:$I$59, 8, FALSE), perc_85, perc_75 + (perc_90 - perc_75) * (2/3), converted_stat, '2K_Ratings'!S328, IF(bbgm_stat &gt;= perc_95, converted_stat * 3, IF(bbgm_stat &gt;= perc_90, converted_stat * 2, IF(bbgm_stat &gt;= perc_85, converted_stat * 1.5, converted_stat)))))</f>
        <v/>
      </c>
      <c r="T328" s="30" t="str">
        <f t="array" ref="T328">IF($A328="", "", LET(bbgm_stat, INDEX(Players!$A327:$P327, MATCH(T$2, Players!$A$1:$P$1, 0)), perc_75, VLOOKUP(T$2, Percentiles!$A$45:$I$59, 6, FALSE), perc_90, VLOOKUP(T$2, Percentiles!$A$45:$I$59, 7, FALSE), perc_95, VLOOKUP(T$2, Percentiles!$A$45:$I$59, 8, FALSE), perc_85, perc_75 + (perc_90 - perc_75) * (2/3), converted_stat, '2K_Ratings'!T328, IF(bbgm_stat &gt;= perc_95, converted_stat * 3, IF(bbgm_stat &gt;= perc_90, converted_stat * 2, IF(bbgm_stat &gt;= perc_85, converted_stat * 1.5, converted_stat)))))</f>
        <v/>
      </c>
      <c r="U328" s="30" t="str">
        <f t="array" ref="U328">IF($A328="", "", LET(bbgm_stat, INDEX(Players!$A327:$P327, MATCH(U$2, Players!$A$1:$P$1, 0)), perc_75, VLOOKUP(U$2, Percentiles!$A$45:$I$59, 6, FALSE), perc_90, VLOOKUP(U$2, Percentiles!$A$45:$I$59, 7, FALSE), perc_95, VLOOKUP(U$2, Percentiles!$A$45:$I$59, 8, FALSE), perc_85, perc_75 + (perc_90 - perc_75) * (2/3), converted_stat, '2K_Ratings'!U328, IF(bbgm_stat &gt;= perc_95, converted_stat * 3, IF(bbgm_stat &gt;= perc_90, converted_stat * 2, IF(bbgm_stat &gt;= perc_85, converted_stat * 1.5, converted_stat)))))</f>
        <v/>
      </c>
      <c r="V328" s="30" t="str">
        <f t="array" ref="V328">IF($A328="", "", LET(bbgm_stat, INDEX(Players!$A327:$P327, MATCH(V$2, Players!$A$1:$P$1, 0)), perc_75, VLOOKUP(V$2, Percentiles!$A$45:$I$59, 6, FALSE), perc_90, VLOOKUP(V$2, Percentiles!$A$45:$I$59, 7, FALSE), perc_95, VLOOKUP(V$2, Percentiles!$A$45:$I$59, 8, FALSE), perc_85, perc_75 + (perc_90 - perc_75) * (2/3), converted_stat, '2K_Ratings'!V328, IF(bbgm_stat &gt;= perc_95, converted_stat * 3, IF(bbgm_stat &gt;= perc_90, converted_stat * 2, IF(bbgm_stat &gt;= perc_85, converted_stat * 1.5, converted_stat)))))</f>
        <v/>
      </c>
      <c r="W328" s="30" t="str">
        <f t="array" ref="W328">IF($A328="", "", LET(bbgm_stat, INDEX(Players!$A327:$P327, MATCH(W$2, Players!$A$1:$P$1, 0)), perc_75, VLOOKUP(W$2, Percentiles!$A$45:$I$59, 6, FALSE), perc_90, VLOOKUP(W$2, Percentiles!$A$45:$I$59, 7, FALSE), perc_95, VLOOKUP(W$2, Percentiles!$A$45:$I$59, 8, FALSE), perc_85, perc_75 + (perc_90 - perc_75) * (2/3), converted_stat, '2K_Ratings'!W328, IF(bbgm_stat &gt;= perc_95, converted_stat * 3, IF(bbgm_stat &gt;= perc_90, converted_stat * 2, IF(bbgm_stat &gt;= perc_85, converted_stat * 1.5, converted_stat)))))</f>
        <v/>
      </c>
    </row>
    <row r="329">
      <c r="A329" s="30"/>
      <c r="B329" s="30" t="str">
        <f t="array" ref="B329">IF($A329="", "", LET(bbgm_stat, INDEX(Players!$A328:$P328, MATCH(B$2, Players!$A$1:$P$1, 0)), perc_75, VLOOKUP(B$2, Percentiles!$A$45:$I$59, 6, FALSE), perc_90, VLOOKUP(B$2, Percentiles!$A$45:$I$59, 7, FALSE), perc_95, VLOOKUP(B$2, Percentiles!$A$45:$I$59, 8, FALSE), perc_85, perc_75 + (perc_90 - perc_75) * (2/3), converted_stat, '2K_Ratings'!B329, IF(bbgm_stat &gt;= perc_95, converted_stat * 3, IF(bbgm_stat &gt;= perc_90, converted_stat * 2, IF(bbgm_stat &gt;= perc_85, converted_stat * 1.5, converted_stat)))))</f>
        <v/>
      </c>
      <c r="C329" s="30" t="str">
        <f t="array" ref="C329">IF($A329="", "", LET(bbgm_stat, INDEX(Players!$A328:$P328, MATCH(C$2, Players!$A$1:$P$1, 0)), perc_75, VLOOKUP(C$2, Percentiles!$A$45:$I$59, 6, FALSE), perc_90, VLOOKUP(C$2, Percentiles!$A$45:$I$59, 7, FALSE), perc_95, VLOOKUP(C$2, Percentiles!$A$45:$I$59, 8, FALSE), perc_85, perc_75 + (perc_90 - perc_75) * (2/3), converted_stat, '2K_Ratings'!C329, IF(bbgm_stat &gt;= perc_95, converted_stat * 3, IF(bbgm_stat &gt;= perc_90, converted_stat * 2, IF(bbgm_stat &gt;= perc_85, converted_stat * 1.5, converted_stat)))))</f>
        <v/>
      </c>
      <c r="D329" s="30" t="str">
        <f t="array" ref="D329">IF($A329="", "", LET(bbgm_stat, INDEX(Players!$A328:$P328, MATCH(D$2, Players!$A$1:$P$1, 0)), perc_75, VLOOKUP(D$2, Percentiles!$A$45:$I$59, 6, FALSE), perc_90, VLOOKUP(D$2, Percentiles!$A$45:$I$59, 7, FALSE), perc_95, VLOOKUP(D$2, Percentiles!$A$45:$I$59, 8, FALSE), perc_85, perc_75 + (perc_90 - perc_75) * (2/3), converted_stat, '2K_Ratings'!D329, IF(bbgm_stat &gt;= perc_95, converted_stat * 3, IF(bbgm_stat &gt;= perc_90, converted_stat * 2, IF(bbgm_stat &gt;= perc_85, converted_stat * 1.5, converted_stat)))))</f>
        <v/>
      </c>
      <c r="E329" s="30" t="str">
        <f t="array" ref="E329">IF($A329="", "", LET(bbgm_stat, INDEX(Players!$A328:$P328, MATCH(E$2, Players!$A$1:$P$1, 0)), perc_75, VLOOKUP(E$2, Percentiles!$A$45:$I$59, 6, FALSE), perc_90, VLOOKUP(E$2, Percentiles!$A$45:$I$59, 7, FALSE), perc_95, VLOOKUP(E$2, Percentiles!$A$45:$I$59, 8, FALSE), perc_85, perc_75 + (perc_90 - perc_75) * (2/3), converted_stat, '2K_Ratings'!E329, IF(bbgm_stat &gt;= perc_95, converted_stat * 3, IF(bbgm_stat &gt;= perc_90, converted_stat * 2, IF(bbgm_stat &gt;= perc_85, converted_stat * 1.5, converted_stat)))))</f>
        <v/>
      </c>
      <c r="F329" s="30" t="str">
        <f t="array" ref="F329">IF($A329="", "", LET(bbgm_stat, INDEX(Players!$A328:$P328, MATCH(F$2, Players!$A$1:$P$1, 0)), perc_75, VLOOKUP(F$2, Percentiles!$A$45:$I$59, 6, FALSE), perc_90, VLOOKUP(F$2, Percentiles!$A$45:$I$59, 7, FALSE), perc_95, VLOOKUP(F$2, Percentiles!$A$45:$I$59, 8, FALSE), perc_85, perc_75 + (perc_90 - perc_75) * (2/3), converted_stat, '2K_Ratings'!F329, IF(bbgm_stat &gt;= perc_95, converted_stat * 3, IF(bbgm_stat &gt;= perc_90, converted_stat * 2, IF(bbgm_stat &gt;= perc_85, converted_stat * 1.5, converted_stat)))))</f>
        <v/>
      </c>
      <c r="G329" s="30" t="str">
        <f t="array" ref="G329">IF($A329="", "", LET(bbgm_stat, INDEX(Players!$A328:$P328, MATCH(G$2, Players!$A$1:$P$1, 0)), perc_75, VLOOKUP(G$2, Percentiles!$A$45:$I$59, 6, FALSE), perc_90, VLOOKUP(G$2, Percentiles!$A$45:$I$59, 7, FALSE), perc_95, VLOOKUP(G$2, Percentiles!$A$45:$I$59, 8, FALSE), perc_85, perc_75 + (perc_90 - perc_75) * (2/3), converted_stat, '2K_Ratings'!G329, IF(bbgm_stat &gt;= perc_95, converted_stat * 3, IF(bbgm_stat &gt;= perc_90, converted_stat * 2, IF(bbgm_stat &gt;= perc_85, converted_stat * 1.5, converted_stat)))))</f>
        <v/>
      </c>
      <c r="H329" s="30" t="str">
        <f t="array" ref="H329">IF($A329="", "", LET(bbgm_stat, INDEX(Players!$A328:$P328, MATCH(H$2, Players!$A$1:$P$1, 0)), perc_75, VLOOKUP(H$2, Percentiles!$A$45:$I$59, 6, FALSE), perc_90, VLOOKUP(H$2, Percentiles!$A$45:$I$59, 7, FALSE), perc_95, VLOOKUP(H$2, Percentiles!$A$45:$I$59, 8, FALSE), perc_85, perc_75 + (perc_90 - perc_75) * (2/3), converted_stat, '2K_Ratings'!H329, IF(bbgm_stat &gt;= perc_95, converted_stat * 3, IF(bbgm_stat &gt;= perc_90, converted_stat * 2, IF(bbgm_stat &gt;= perc_85, converted_stat * 1.5, converted_stat)))))</f>
        <v/>
      </c>
      <c r="I329" s="30" t="str">
        <f t="array" ref="I329">IF($A329="", "", LET(bbgm_stat, INDEX(Players!$A328:$P328, MATCH(I$2, Players!$A$1:$P$1, 0)), perc_75, VLOOKUP(I$2, Percentiles!$A$45:$I$59, 6, FALSE), perc_90, VLOOKUP(I$2, Percentiles!$A$45:$I$59, 7, FALSE), perc_95, VLOOKUP(I$2, Percentiles!$A$45:$I$59, 8, FALSE), perc_85, perc_75 + (perc_90 - perc_75) * (2/3), converted_stat, '2K_Ratings'!I329, IF(bbgm_stat &gt;= perc_95, converted_stat * 3, IF(bbgm_stat &gt;= perc_90, converted_stat * 2, IF(bbgm_stat &gt;= perc_85, converted_stat * 1.5, converted_stat)))))</f>
        <v/>
      </c>
      <c r="J329" s="30" t="str">
        <f t="array" ref="J329">IF($A329="", "", LET(bbgm_stat, INDEX(Players!$A328:$P328, MATCH(J$2, Players!$A$1:$P$1, 0)), perc_75, VLOOKUP(J$2, Percentiles!$A$45:$I$59, 6, FALSE), perc_90, VLOOKUP(J$2, Percentiles!$A$45:$I$59, 7, FALSE), perc_95, VLOOKUP(J$2, Percentiles!$A$45:$I$59, 8, FALSE), perc_85, perc_75 + (perc_90 - perc_75) * (2/3), converted_stat, '2K_Ratings'!J329, IF(bbgm_stat &gt;= perc_95, converted_stat * 3, IF(bbgm_stat &gt;= perc_90, converted_stat * 2, IF(bbgm_stat &gt;= perc_85, converted_stat * 1.5, converted_stat)))))</f>
        <v/>
      </c>
      <c r="K329" s="30" t="str">
        <f t="array" ref="K329">IF($A329="", "", LET(bbgm_stat, INDEX(Players!$A328:$P328, MATCH(K$2, Players!$A$1:$P$1, 0)), perc_75, VLOOKUP(K$2, Percentiles!$A$45:$I$59, 6, FALSE), perc_90, VLOOKUP(K$2, Percentiles!$A$45:$I$59, 7, FALSE), perc_95, VLOOKUP(K$2, Percentiles!$A$45:$I$59, 8, FALSE), perc_85, perc_75 + (perc_90 - perc_75) * (2/3), converted_stat, '2K_Ratings'!K329, IF(bbgm_stat &gt;= perc_95, converted_stat * 3, IF(bbgm_stat &gt;= perc_90, converted_stat * 2, IF(bbgm_stat &gt;= perc_85, converted_stat * 1.5, converted_stat)))))</f>
        <v/>
      </c>
      <c r="L329" s="30" t="str">
        <f t="array" ref="L329">IF($A329="", "", LET(bbgm_stat, INDEX(Players!$A328:$P328, MATCH(L$2, Players!$A$1:$P$1, 0)), perc_75, VLOOKUP(L$2, Percentiles!$A$45:$I$59, 6, FALSE), perc_90, VLOOKUP(L$2, Percentiles!$A$45:$I$59, 7, FALSE), perc_95, VLOOKUP(L$2, Percentiles!$A$45:$I$59, 8, FALSE), perc_85, perc_75 + (perc_90 - perc_75) * (2/3), converted_stat, '2K_Ratings'!L329, IF(bbgm_stat &gt;= perc_95, converted_stat * 3, IF(bbgm_stat &gt;= perc_90, converted_stat * 2, IF(bbgm_stat &gt;= perc_85, converted_stat * 1.5, converted_stat)))))</f>
        <v/>
      </c>
      <c r="M329" s="30" t="str">
        <f t="array" ref="M329">IF($A329="", "", LET(bbgm_stat, INDEX(Players!$A328:$P328, MATCH(M$2, Players!$A$1:$P$1, 0)), perc_75, VLOOKUP(M$2, Percentiles!$A$45:$I$59, 6, FALSE), perc_90, VLOOKUP(M$2, Percentiles!$A$45:$I$59, 7, FALSE), perc_95, VLOOKUP(M$2, Percentiles!$A$45:$I$59, 8, FALSE), perc_85, perc_75 + (perc_90 - perc_75) * (2/3), converted_stat, '2K_Ratings'!M329, IF(bbgm_stat &gt;= perc_95, converted_stat * 3, IF(bbgm_stat &gt;= perc_90, converted_stat * 2, IF(bbgm_stat &gt;= perc_85, converted_stat * 1.5, converted_stat)))))</f>
        <v/>
      </c>
      <c r="N329" s="30" t="str">
        <f t="array" ref="N329">IF($A329="", "", LET(bbgm_stat, INDEX(Players!$A328:$P328, MATCH(N$2, Players!$A$1:$P$1, 0)), perc_75, VLOOKUP(N$2, Percentiles!$A$45:$I$59, 6, FALSE), perc_90, VLOOKUP(N$2, Percentiles!$A$45:$I$59, 7, FALSE), perc_95, VLOOKUP(N$2, Percentiles!$A$45:$I$59, 8, FALSE), perc_85, perc_75 + (perc_90 - perc_75) * (2/3), converted_stat, '2K_Ratings'!N329, IF(bbgm_stat &gt;= perc_95, converted_stat * 3, IF(bbgm_stat &gt;= perc_90, converted_stat * 2, IF(bbgm_stat &gt;= perc_85, converted_stat * 1.5, converted_stat)))))</f>
        <v/>
      </c>
      <c r="O329" s="30" t="str">
        <f t="array" ref="O329">IF($A329="", "", LET(bbgm_stat, INDEX(Players!$A328:$P328, MATCH(O$2, Players!$A$1:$P$1, 0)), perc_75, VLOOKUP(O$2, Percentiles!$A$45:$I$59, 6, FALSE), perc_90, VLOOKUP(O$2, Percentiles!$A$45:$I$59, 7, FALSE), perc_95, VLOOKUP(O$2, Percentiles!$A$45:$I$59, 8, FALSE), perc_85, perc_75 + (perc_90 - perc_75) * (2/3), converted_stat, '2K_Ratings'!O329, IF(bbgm_stat &gt;= perc_95, converted_stat * 3, IF(bbgm_stat &gt;= perc_90, converted_stat * 2, IF(bbgm_stat &gt;= perc_85, converted_stat * 1.5, converted_stat)))))</f>
        <v/>
      </c>
      <c r="P329" s="30" t="str">
        <f t="array" ref="P329">IF($A329="", "", LET(bbgm_stat, INDEX(Players!$A328:$P328, MATCH(P$2, Players!$A$1:$P$1, 0)), perc_75, VLOOKUP(P$2, Percentiles!$A$45:$I$59, 6, FALSE), perc_90, VLOOKUP(P$2, Percentiles!$A$45:$I$59, 7, FALSE), perc_95, VLOOKUP(P$2, Percentiles!$A$45:$I$59, 8, FALSE), perc_85, perc_75 + (perc_90 - perc_75) * (2/3), converted_stat, '2K_Ratings'!P329, IF(bbgm_stat &gt;= perc_95, converted_stat * 3, IF(bbgm_stat &gt;= perc_90, converted_stat * 2, IF(bbgm_stat &gt;= perc_85, converted_stat * 1.5, converted_stat)))))</f>
        <v/>
      </c>
      <c r="Q329" s="30" t="str">
        <f t="array" ref="Q329">IF($A329="", "", LET(bbgm_stat, INDEX(Players!$A328:$P328, MATCH(Q$2, Players!$A$1:$P$1, 0)), perc_75, VLOOKUP(Q$2, Percentiles!$A$45:$I$59, 6, FALSE), perc_90, VLOOKUP(Q$2, Percentiles!$A$45:$I$59, 7, FALSE), perc_95, VLOOKUP(Q$2, Percentiles!$A$45:$I$59, 8, FALSE), perc_85, perc_75 + (perc_90 - perc_75) * (2/3), converted_stat, '2K_Ratings'!Q329, IF(bbgm_stat &gt;= perc_95, converted_stat * 3, IF(bbgm_stat &gt;= perc_90, converted_stat * 2, IF(bbgm_stat &gt;= perc_85, converted_stat * 1.5, converted_stat)))))</f>
        <v/>
      </c>
      <c r="R329" s="30" t="str">
        <f t="array" ref="R329">IF($A329="", "", LET(bbgm_stat, INDEX(Players!$A328:$P328, MATCH(R$2, Players!$A$1:$P$1, 0)), perc_75, VLOOKUP(R$2, Percentiles!$A$45:$I$59, 6, FALSE), perc_90, VLOOKUP(R$2, Percentiles!$A$45:$I$59, 7, FALSE), perc_95, VLOOKUP(R$2, Percentiles!$A$45:$I$59, 8, FALSE), perc_85, perc_75 + (perc_90 - perc_75) * (2/3), converted_stat, '2K_Ratings'!R329, IF(bbgm_stat &gt;= perc_95, converted_stat * 3, IF(bbgm_stat &gt;= perc_90, converted_stat * 2, IF(bbgm_stat &gt;= perc_85, converted_stat * 1.5, converted_stat)))))</f>
        <v/>
      </c>
      <c r="S329" s="30" t="str">
        <f t="array" ref="S329">IF($A329="", "", LET(bbgm_stat, INDEX(Players!$A328:$P328, MATCH(S$2, Players!$A$1:$P$1, 0)), perc_75, VLOOKUP(S$2, Percentiles!$A$45:$I$59, 6, FALSE), perc_90, VLOOKUP(S$2, Percentiles!$A$45:$I$59, 7, FALSE), perc_95, VLOOKUP(S$2, Percentiles!$A$45:$I$59, 8, FALSE), perc_85, perc_75 + (perc_90 - perc_75) * (2/3), converted_stat, '2K_Ratings'!S329, IF(bbgm_stat &gt;= perc_95, converted_stat * 3, IF(bbgm_stat &gt;= perc_90, converted_stat * 2, IF(bbgm_stat &gt;= perc_85, converted_stat * 1.5, converted_stat)))))</f>
        <v/>
      </c>
      <c r="T329" s="30" t="str">
        <f t="array" ref="T329">IF($A329="", "", LET(bbgm_stat, INDEX(Players!$A328:$P328, MATCH(T$2, Players!$A$1:$P$1, 0)), perc_75, VLOOKUP(T$2, Percentiles!$A$45:$I$59, 6, FALSE), perc_90, VLOOKUP(T$2, Percentiles!$A$45:$I$59, 7, FALSE), perc_95, VLOOKUP(T$2, Percentiles!$A$45:$I$59, 8, FALSE), perc_85, perc_75 + (perc_90 - perc_75) * (2/3), converted_stat, '2K_Ratings'!T329, IF(bbgm_stat &gt;= perc_95, converted_stat * 3, IF(bbgm_stat &gt;= perc_90, converted_stat * 2, IF(bbgm_stat &gt;= perc_85, converted_stat * 1.5, converted_stat)))))</f>
        <v/>
      </c>
      <c r="U329" s="30" t="str">
        <f t="array" ref="U329">IF($A329="", "", LET(bbgm_stat, INDEX(Players!$A328:$P328, MATCH(U$2, Players!$A$1:$P$1, 0)), perc_75, VLOOKUP(U$2, Percentiles!$A$45:$I$59, 6, FALSE), perc_90, VLOOKUP(U$2, Percentiles!$A$45:$I$59, 7, FALSE), perc_95, VLOOKUP(U$2, Percentiles!$A$45:$I$59, 8, FALSE), perc_85, perc_75 + (perc_90 - perc_75) * (2/3), converted_stat, '2K_Ratings'!U329, IF(bbgm_stat &gt;= perc_95, converted_stat * 3, IF(bbgm_stat &gt;= perc_90, converted_stat * 2, IF(bbgm_stat &gt;= perc_85, converted_stat * 1.5, converted_stat)))))</f>
        <v/>
      </c>
      <c r="V329" s="30" t="str">
        <f t="array" ref="V329">IF($A329="", "", LET(bbgm_stat, INDEX(Players!$A328:$P328, MATCH(V$2, Players!$A$1:$P$1, 0)), perc_75, VLOOKUP(V$2, Percentiles!$A$45:$I$59, 6, FALSE), perc_90, VLOOKUP(V$2, Percentiles!$A$45:$I$59, 7, FALSE), perc_95, VLOOKUP(V$2, Percentiles!$A$45:$I$59, 8, FALSE), perc_85, perc_75 + (perc_90 - perc_75) * (2/3), converted_stat, '2K_Ratings'!V329, IF(bbgm_stat &gt;= perc_95, converted_stat * 3, IF(bbgm_stat &gt;= perc_90, converted_stat * 2, IF(bbgm_stat &gt;= perc_85, converted_stat * 1.5, converted_stat)))))</f>
        <v/>
      </c>
      <c r="W329" s="30" t="str">
        <f t="array" ref="W329">IF($A329="", "", LET(bbgm_stat, INDEX(Players!$A328:$P328, MATCH(W$2, Players!$A$1:$P$1, 0)), perc_75, VLOOKUP(W$2, Percentiles!$A$45:$I$59, 6, FALSE), perc_90, VLOOKUP(W$2, Percentiles!$A$45:$I$59, 7, FALSE), perc_95, VLOOKUP(W$2, Percentiles!$A$45:$I$59, 8, FALSE), perc_85, perc_75 + (perc_90 - perc_75) * (2/3), converted_stat, '2K_Ratings'!W329, IF(bbgm_stat &gt;= perc_95, converted_stat * 3, IF(bbgm_stat &gt;= perc_90, converted_stat * 2, IF(bbgm_stat &gt;= perc_85, converted_stat * 1.5, converted_stat)))))</f>
        <v/>
      </c>
    </row>
    <row r="330">
      <c r="A330" s="30"/>
      <c r="B330" s="30" t="str">
        <f t="array" ref="B330">IF($A330="", "", LET(bbgm_stat, INDEX(Players!$A329:$P329, MATCH(B$2, Players!$A$1:$P$1, 0)), perc_75, VLOOKUP(B$2, Percentiles!$A$45:$I$59, 6, FALSE), perc_90, VLOOKUP(B$2, Percentiles!$A$45:$I$59, 7, FALSE), perc_95, VLOOKUP(B$2, Percentiles!$A$45:$I$59, 8, FALSE), perc_85, perc_75 + (perc_90 - perc_75) * (2/3), converted_stat, '2K_Ratings'!B330, IF(bbgm_stat &gt;= perc_95, converted_stat * 3, IF(bbgm_stat &gt;= perc_90, converted_stat * 2, IF(bbgm_stat &gt;= perc_85, converted_stat * 1.5, converted_stat)))))</f>
        <v/>
      </c>
      <c r="C330" s="30" t="str">
        <f t="array" ref="C330">IF($A330="", "", LET(bbgm_stat, INDEX(Players!$A329:$P329, MATCH(C$2, Players!$A$1:$P$1, 0)), perc_75, VLOOKUP(C$2, Percentiles!$A$45:$I$59, 6, FALSE), perc_90, VLOOKUP(C$2, Percentiles!$A$45:$I$59, 7, FALSE), perc_95, VLOOKUP(C$2, Percentiles!$A$45:$I$59, 8, FALSE), perc_85, perc_75 + (perc_90 - perc_75) * (2/3), converted_stat, '2K_Ratings'!C330, IF(bbgm_stat &gt;= perc_95, converted_stat * 3, IF(bbgm_stat &gt;= perc_90, converted_stat * 2, IF(bbgm_stat &gt;= perc_85, converted_stat * 1.5, converted_stat)))))</f>
        <v/>
      </c>
      <c r="D330" s="30" t="str">
        <f t="array" ref="D330">IF($A330="", "", LET(bbgm_stat, INDEX(Players!$A329:$P329, MATCH(D$2, Players!$A$1:$P$1, 0)), perc_75, VLOOKUP(D$2, Percentiles!$A$45:$I$59, 6, FALSE), perc_90, VLOOKUP(D$2, Percentiles!$A$45:$I$59, 7, FALSE), perc_95, VLOOKUP(D$2, Percentiles!$A$45:$I$59, 8, FALSE), perc_85, perc_75 + (perc_90 - perc_75) * (2/3), converted_stat, '2K_Ratings'!D330, IF(bbgm_stat &gt;= perc_95, converted_stat * 3, IF(bbgm_stat &gt;= perc_90, converted_stat * 2, IF(bbgm_stat &gt;= perc_85, converted_stat * 1.5, converted_stat)))))</f>
        <v/>
      </c>
      <c r="E330" s="30" t="str">
        <f t="array" ref="E330">IF($A330="", "", LET(bbgm_stat, INDEX(Players!$A329:$P329, MATCH(E$2, Players!$A$1:$P$1, 0)), perc_75, VLOOKUP(E$2, Percentiles!$A$45:$I$59, 6, FALSE), perc_90, VLOOKUP(E$2, Percentiles!$A$45:$I$59, 7, FALSE), perc_95, VLOOKUP(E$2, Percentiles!$A$45:$I$59, 8, FALSE), perc_85, perc_75 + (perc_90 - perc_75) * (2/3), converted_stat, '2K_Ratings'!E330, IF(bbgm_stat &gt;= perc_95, converted_stat * 3, IF(bbgm_stat &gt;= perc_90, converted_stat * 2, IF(bbgm_stat &gt;= perc_85, converted_stat * 1.5, converted_stat)))))</f>
        <v/>
      </c>
      <c r="F330" s="30" t="str">
        <f t="array" ref="F330">IF($A330="", "", LET(bbgm_stat, INDEX(Players!$A329:$P329, MATCH(F$2, Players!$A$1:$P$1, 0)), perc_75, VLOOKUP(F$2, Percentiles!$A$45:$I$59, 6, FALSE), perc_90, VLOOKUP(F$2, Percentiles!$A$45:$I$59, 7, FALSE), perc_95, VLOOKUP(F$2, Percentiles!$A$45:$I$59, 8, FALSE), perc_85, perc_75 + (perc_90 - perc_75) * (2/3), converted_stat, '2K_Ratings'!F330, IF(bbgm_stat &gt;= perc_95, converted_stat * 3, IF(bbgm_stat &gt;= perc_90, converted_stat * 2, IF(bbgm_stat &gt;= perc_85, converted_stat * 1.5, converted_stat)))))</f>
        <v/>
      </c>
      <c r="G330" s="30" t="str">
        <f t="array" ref="G330">IF($A330="", "", LET(bbgm_stat, INDEX(Players!$A329:$P329, MATCH(G$2, Players!$A$1:$P$1, 0)), perc_75, VLOOKUP(G$2, Percentiles!$A$45:$I$59, 6, FALSE), perc_90, VLOOKUP(G$2, Percentiles!$A$45:$I$59, 7, FALSE), perc_95, VLOOKUP(G$2, Percentiles!$A$45:$I$59, 8, FALSE), perc_85, perc_75 + (perc_90 - perc_75) * (2/3), converted_stat, '2K_Ratings'!G330, IF(bbgm_stat &gt;= perc_95, converted_stat * 3, IF(bbgm_stat &gt;= perc_90, converted_stat * 2, IF(bbgm_stat &gt;= perc_85, converted_stat * 1.5, converted_stat)))))</f>
        <v/>
      </c>
      <c r="H330" s="30" t="str">
        <f t="array" ref="H330">IF($A330="", "", LET(bbgm_stat, INDEX(Players!$A329:$P329, MATCH(H$2, Players!$A$1:$P$1, 0)), perc_75, VLOOKUP(H$2, Percentiles!$A$45:$I$59, 6, FALSE), perc_90, VLOOKUP(H$2, Percentiles!$A$45:$I$59, 7, FALSE), perc_95, VLOOKUP(H$2, Percentiles!$A$45:$I$59, 8, FALSE), perc_85, perc_75 + (perc_90 - perc_75) * (2/3), converted_stat, '2K_Ratings'!H330, IF(bbgm_stat &gt;= perc_95, converted_stat * 3, IF(bbgm_stat &gt;= perc_90, converted_stat * 2, IF(bbgm_stat &gt;= perc_85, converted_stat * 1.5, converted_stat)))))</f>
        <v/>
      </c>
      <c r="I330" s="30" t="str">
        <f t="array" ref="I330">IF($A330="", "", LET(bbgm_stat, INDEX(Players!$A329:$P329, MATCH(I$2, Players!$A$1:$P$1, 0)), perc_75, VLOOKUP(I$2, Percentiles!$A$45:$I$59, 6, FALSE), perc_90, VLOOKUP(I$2, Percentiles!$A$45:$I$59, 7, FALSE), perc_95, VLOOKUP(I$2, Percentiles!$A$45:$I$59, 8, FALSE), perc_85, perc_75 + (perc_90 - perc_75) * (2/3), converted_stat, '2K_Ratings'!I330, IF(bbgm_stat &gt;= perc_95, converted_stat * 3, IF(bbgm_stat &gt;= perc_90, converted_stat * 2, IF(bbgm_stat &gt;= perc_85, converted_stat * 1.5, converted_stat)))))</f>
        <v/>
      </c>
      <c r="J330" s="30" t="str">
        <f t="array" ref="J330">IF($A330="", "", LET(bbgm_stat, INDEX(Players!$A329:$P329, MATCH(J$2, Players!$A$1:$P$1, 0)), perc_75, VLOOKUP(J$2, Percentiles!$A$45:$I$59, 6, FALSE), perc_90, VLOOKUP(J$2, Percentiles!$A$45:$I$59, 7, FALSE), perc_95, VLOOKUP(J$2, Percentiles!$A$45:$I$59, 8, FALSE), perc_85, perc_75 + (perc_90 - perc_75) * (2/3), converted_stat, '2K_Ratings'!J330, IF(bbgm_stat &gt;= perc_95, converted_stat * 3, IF(bbgm_stat &gt;= perc_90, converted_stat * 2, IF(bbgm_stat &gt;= perc_85, converted_stat * 1.5, converted_stat)))))</f>
        <v/>
      </c>
      <c r="K330" s="30" t="str">
        <f t="array" ref="K330">IF($A330="", "", LET(bbgm_stat, INDEX(Players!$A329:$P329, MATCH(K$2, Players!$A$1:$P$1, 0)), perc_75, VLOOKUP(K$2, Percentiles!$A$45:$I$59, 6, FALSE), perc_90, VLOOKUP(K$2, Percentiles!$A$45:$I$59, 7, FALSE), perc_95, VLOOKUP(K$2, Percentiles!$A$45:$I$59, 8, FALSE), perc_85, perc_75 + (perc_90 - perc_75) * (2/3), converted_stat, '2K_Ratings'!K330, IF(bbgm_stat &gt;= perc_95, converted_stat * 3, IF(bbgm_stat &gt;= perc_90, converted_stat * 2, IF(bbgm_stat &gt;= perc_85, converted_stat * 1.5, converted_stat)))))</f>
        <v/>
      </c>
      <c r="L330" s="30" t="str">
        <f t="array" ref="L330">IF($A330="", "", LET(bbgm_stat, INDEX(Players!$A329:$P329, MATCH(L$2, Players!$A$1:$P$1, 0)), perc_75, VLOOKUP(L$2, Percentiles!$A$45:$I$59, 6, FALSE), perc_90, VLOOKUP(L$2, Percentiles!$A$45:$I$59, 7, FALSE), perc_95, VLOOKUP(L$2, Percentiles!$A$45:$I$59, 8, FALSE), perc_85, perc_75 + (perc_90 - perc_75) * (2/3), converted_stat, '2K_Ratings'!L330, IF(bbgm_stat &gt;= perc_95, converted_stat * 3, IF(bbgm_stat &gt;= perc_90, converted_stat * 2, IF(bbgm_stat &gt;= perc_85, converted_stat * 1.5, converted_stat)))))</f>
        <v/>
      </c>
      <c r="M330" s="30" t="str">
        <f t="array" ref="M330">IF($A330="", "", LET(bbgm_stat, INDEX(Players!$A329:$P329, MATCH(M$2, Players!$A$1:$P$1, 0)), perc_75, VLOOKUP(M$2, Percentiles!$A$45:$I$59, 6, FALSE), perc_90, VLOOKUP(M$2, Percentiles!$A$45:$I$59, 7, FALSE), perc_95, VLOOKUP(M$2, Percentiles!$A$45:$I$59, 8, FALSE), perc_85, perc_75 + (perc_90 - perc_75) * (2/3), converted_stat, '2K_Ratings'!M330, IF(bbgm_stat &gt;= perc_95, converted_stat * 3, IF(bbgm_stat &gt;= perc_90, converted_stat * 2, IF(bbgm_stat &gt;= perc_85, converted_stat * 1.5, converted_stat)))))</f>
        <v/>
      </c>
      <c r="N330" s="30" t="str">
        <f t="array" ref="N330">IF($A330="", "", LET(bbgm_stat, INDEX(Players!$A329:$P329, MATCH(N$2, Players!$A$1:$P$1, 0)), perc_75, VLOOKUP(N$2, Percentiles!$A$45:$I$59, 6, FALSE), perc_90, VLOOKUP(N$2, Percentiles!$A$45:$I$59, 7, FALSE), perc_95, VLOOKUP(N$2, Percentiles!$A$45:$I$59, 8, FALSE), perc_85, perc_75 + (perc_90 - perc_75) * (2/3), converted_stat, '2K_Ratings'!N330, IF(bbgm_stat &gt;= perc_95, converted_stat * 3, IF(bbgm_stat &gt;= perc_90, converted_stat * 2, IF(bbgm_stat &gt;= perc_85, converted_stat * 1.5, converted_stat)))))</f>
        <v/>
      </c>
      <c r="O330" s="30" t="str">
        <f t="array" ref="O330">IF($A330="", "", LET(bbgm_stat, INDEX(Players!$A329:$P329, MATCH(O$2, Players!$A$1:$P$1, 0)), perc_75, VLOOKUP(O$2, Percentiles!$A$45:$I$59, 6, FALSE), perc_90, VLOOKUP(O$2, Percentiles!$A$45:$I$59, 7, FALSE), perc_95, VLOOKUP(O$2, Percentiles!$A$45:$I$59, 8, FALSE), perc_85, perc_75 + (perc_90 - perc_75) * (2/3), converted_stat, '2K_Ratings'!O330, IF(bbgm_stat &gt;= perc_95, converted_stat * 3, IF(bbgm_stat &gt;= perc_90, converted_stat * 2, IF(bbgm_stat &gt;= perc_85, converted_stat * 1.5, converted_stat)))))</f>
        <v/>
      </c>
      <c r="P330" s="30" t="str">
        <f t="array" ref="P330">IF($A330="", "", LET(bbgm_stat, INDEX(Players!$A329:$P329, MATCH(P$2, Players!$A$1:$P$1, 0)), perc_75, VLOOKUP(P$2, Percentiles!$A$45:$I$59, 6, FALSE), perc_90, VLOOKUP(P$2, Percentiles!$A$45:$I$59, 7, FALSE), perc_95, VLOOKUP(P$2, Percentiles!$A$45:$I$59, 8, FALSE), perc_85, perc_75 + (perc_90 - perc_75) * (2/3), converted_stat, '2K_Ratings'!P330, IF(bbgm_stat &gt;= perc_95, converted_stat * 3, IF(bbgm_stat &gt;= perc_90, converted_stat * 2, IF(bbgm_stat &gt;= perc_85, converted_stat * 1.5, converted_stat)))))</f>
        <v/>
      </c>
      <c r="Q330" s="30" t="str">
        <f t="array" ref="Q330">IF($A330="", "", LET(bbgm_stat, INDEX(Players!$A329:$P329, MATCH(Q$2, Players!$A$1:$P$1, 0)), perc_75, VLOOKUP(Q$2, Percentiles!$A$45:$I$59, 6, FALSE), perc_90, VLOOKUP(Q$2, Percentiles!$A$45:$I$59, 7, FALSE), perc_95, VLOOKUP(Q$2, Percentiles!$A$45:$I$59, 8, FALSE), perc_85, perc_75 + (perc_90 - perc_75) * (2/3), converted_stat, '2K_Ratings'!Q330, IF(bbgm_stat &gt;= perc_95, converted_stat * 3, IF(bbgm_stat &gt;= perc_90, converted_stat * 2, IF(bbgm_stat &gt;= perc_85, converted_stat * 1.5, converted_stat)))))</f>
        <v/>
      </c>
      <c r="R330" s="30" t="str">
        <f t="array" ref="R330">IF($A330="", "", LET(bbgm_stat, INDEX(Players!$A329:$P329, MATCH(R$2, Players!$A$1:$P$1, 0)), perc_75, VLOOKUP(R$2, Percentiles!$A$45:$I$59, 6, FALSE), perc_90, VLOOKUP(R$2, Percentiles!$A$45:$I$59, 7, FALSE), perc_95, VLOOKUP(R$2, Percentiles!$A$45:$I$59, 8, FALSE), perc_85, perc_75 + (perc_90 - perc_75) * (2/3), converted_stat, '2K_Ratings'!R330, IF(bbgm_stat &gt;= perc_95, converted_stat * 3, IF(bbgm_stat &gt;= perc_90, converted_stat * 2, IF(bbgm_stat &gt;= perc_85, converted_stat * 1.5, converted_stat)))))</f>
        <v/>
      </c>
      <c r="S330" s="30" t="str">
        <f t="array" ref="S330">IF($A330="", "", LET(bbgm_stat, INDEX(Players!$A329:$P329, MATCH(S$2, Players!$A$1:$P$1, 0)), perc_75, VLOOKUP(S$2, Percentiles!$A$45:$I$59, 6, FALSE), perc_90, VLOOKUP(S$2, Percentiles!$A$45:$I$59, 7, FALSE), perc_95, VLOOKUP(S$2, Percentiles!$A$45:$I$59, 8, FALSE), perc_85, perc_75 + (perc_90 - perc_75) * (2/3), converted_stat, '2K_Ratings'!S330, IF(bbgm_stat &gt;= perc_95, converted_stat * 3, IF(bbgm_stat &gt;= perc_90, converted_stat * 2, IF(bbgm_stat &gt;= perc_85, converted_stat * 1.5, converted_stat)))))</f>
        <v/>
      </c>
      <c r="T330" s="30" t="str">
        <f t="array" ref="T330">IF($A330="", "", LET(bbgm_stat, INDEX(Players!$A329:$P329, MATCH(T$2, Players!$A$1:$P$1, 0)), perc_75, VLOOKUP(T$2, Percentiles!$A$45:$I$59, 6, FALSE), perc_90, VLOOKUP(T$2, Percentiles!$A$45:$I$59, 7, FALSE), perc_95, VLOOKUP(T$2, Percentiles!$A$45:$I$59, 8, FALSE), perc_85, perc_75 + (perc_90 - perc_75) * (2/3), converted_stat, '2K_Ratings'!T330, IF(bbgm_stat &gt;= perc_95, converted_stat * 3, IF(bbgm_stat &gt;= perc_90, converted_stat * 2, IF(bbgm_stat &gt;= perc_85, converted_stat * 1.5, converted_stat)))))</f>
        <v/>
      </c>
      <c r="U330" s="30" t="str">
        <f t="array" ref="U330">IF($A330="", "", LET(bbgm_stat, INDEX(Players!$A329:$P329, MATCH(U$2, Players!$A$1:$P$1, 0)), perc_75, VLOOKUP(U$2, Percentiles!$A$45:$I$59, 6, FALSE), perc_90, VLOOKUP(U$2, Percentiles!$A$45:$I$59, 7, FALSE), perc_95, VLOOKUP(U$2, Percentiles!$A$45:$I$59, 8, FALSE), perc_85, perc_75 + (perc_90 - perc_75) * (2/3), converted_stat, '2K_Ratings'!U330, IF(bbgm_stat &gt;= perc_95, converted_stat * 3, IF(bbgm_stat &gt;= perc_90, converted_stat * 2, IF(bbgm_stat &gt;= perc_85, converted_stat * 1.5, converted_stat)))))</f>
        <v/>
      </c>
      <c r="V330" s="30" t="str">
        <f t="array" ref="V330">IF($A330="", "", LET(bbgm_stat, INDEX(Players!$A329:$P329, MATCH(V$2, Players!$A$1:$P$1, 0)), perc_75, VLOOKUP(V$2, Percentiles!$A$45:$I$59, 6, FALSE), perc_90, VLOOKUP(V$2, Percentiles!$A$45:$I$59, 7, FALSE), perc_95, VLOOKUP(V$2, Percentiles!$A$45:$I$59, 8, FALSE), perc_85, perc_75 + (perc_90 - perc_75) * (2/3), converted_stat, '2K_Ratings'!V330, IF(bbgm_stat &gt;= perc_95, converted_stat * 3, IF(bbgm_stat &gt;= perc_90, converted_stat * 2, IF(bbgm_stat &gt;= perc_85, converted_stat * 1.5, converted_stat)))))</f>
        <v/>
      </c>
      <c r="W330" s="30" t="str">
        <f t="array" ref="W330">IF($A330="", "", LET(bbgm_stat, INDEX(Players!$A329:$P329, MATCH(W$2, Players!$A$1:$P$1, 0)), perc_75, VLOOKUP(W$2, Percentiles!$A$45:$I$59, 6, FALSE), perc_90, VLOOKUP(W$2, Percentiles!$A$45:$I$59, 7, FALSE), perc_95, VLOOKUP(W$2, Percentiles!$A$45:$I$59, 8, FALSE), perc_85, perc_75 + (perc_90 - perc_75) * (2/3), converted_stat, '2K_Ratings'!W330, IF(bbgm_stat &gt;= perc_95, converted_stat * 3, IF(bbgm_stat &gt;= perc_90, converted_stat * 2, IF(bbgm_stat &gt;= perc_85, converted_stat * 1.5, converted_stat)))))</f>
        <v/>
      </c>
    </row>
    <row r="331">
      <c r="A331" s="30"/>
      <c r="B331" s="30" t="str">
        <f t="array" ref="B331">IF($A331="", "", LET(bbgm_stat, INDEX(Players!$A330:$P330, MATCH(B$2, Players!$A$1:$P$1, 0)), perc_75, VLOOKUP(B$2, Percentiles!$A$45:$I$59, 6, FALSE), perc_90, VLOOKUP(B$2, Percentiles!$A$45:$I$59, 7, FALSE), perc_95, VLOOKUP(B$2, Percentiles!$A$45:$I$59, 8, FALSE), perc_85, perc_75 + (perc_90 - perc_75) * (2/3), converted_stat, '2K_Ratings'!B331, IF(bbgm_stat &gt;= perc_95, converted_stat * 3, IF(bbgm_stat &gt;= perc_90, converted_stat * 2, IF(bbgm_stat &gt;= perc_85, converted_stat * 1.5, converted_stat)))))</f>
        <v/>
      </c>
      <c r="C331" s="30" t="str">
        <f t="array" ref="C331">IF($A331="", "", LET(bbgm_stat, INDEX(Players!$A330:$P330, MATCH(C$2, Players!$A$1:$P$1, 0)), perc_75, VLOOKUP(C$2, Percentiles!$A$45:$I$59, 6, FALSE), perc_90, VLOOKUP(C$2, Percentiles!$A$45:$I$59, 7, FALSE), perc_95, VLOOKUP(C$2, Percentiles!$A$45:$I$59, 8, FALSE), perc_85, perc_75 + (perc_90 - perc_75) * (2/3), converted_stat, '2K_Ratings'!C331, IF(bbgm_stat &gt;= perc_95, converted_stat * 3, IF(bbgm_stat &gt;= perc_90, converted_stat * 2, IF(bbgm_stat &gt;= perc_85, converted_stat * 1.5, converted_stat)))))</f>
        <v/>
      </c>
      <c r="D331" s="30" t="str">
        <f t="array" ref="D331">IF($A331="", "", LET(bbgm_stat, INDEX(Players!$A330:$P330, MATCH(D$2, Players!$A$1:$P$1, 0)), perc_75, VLOOKUP(D$2, Percentiles!$A$45:$I$59, 6, FALSE), perc_90, VLOOKUP(D$2, Percentiles!$A$45:$I$59, 7, FALSE), perc_95, VLOOKUP(D$2, Percentiles!$A$45:$I$59, 8, FALSE), perc_85, perc_75 + (perc_90 - perc_75) * (2/3), converted_stat, '2K_Ratings'!D331, IF(bbgm_stat &gt;= perc_95, converted_stat * 3, IF(bbgm_stat &gt;= perc_90, converted_stat * 2, IF(bbgm_stat &gt;= perc_85, converted_stat * 1.5, converted_stat)))))</f>
        <v/>
      </c>
      <c r="E331" s="30" t="str">
        <f t="array" ref="E331">IF($A331="", "", LET(bbgm_stat, INDEX(Players!$A330:$P330, MATCH(E$2, Players!$A$1:$P$1, 0)), perc_75, VLOOKUP(E$2, Percentiles!$A$45:$I$59, 6, FALSE), perc_90, VLOOKUP(E$2, Percentiles!$A$45:$I$59, 7, FALSE), perc_95, VLOOKUP(E$2, Percentiles!$A$45:$I$59, 8, FALSE), perc_85, perc_75 + (perc_90 - perc_75) * (2/3), converted_stat, '2K_Ratings'!E331, IF(bbgm_stat &gt;= perc_95, converted_stat * 3, IF(bbgm_stat &gt;= perc_90, converted_stat * 2, IF(bbgm_stat &gt;= perc_85, converted_stat * 1.5, converted_stat)))))</f>
        <v/>
      </c>
      <c r="F331" s="30" t="str">
        <f t="array" ref="F331">IF($A331="", "", LET(bbgm_stat, INDEX(Players!$A330:$P330, MATCH(F$2, Players!$A$1:$P$1, 0)), perc_75, VLOOKUP(F$2, Percentiles!$A$45:$I$59, 6, FALSE), perc_90, VLOOKUP(F$2, Percentiles!$A$45:$I$59, 7, FALSE), perc_95, VLOOKUP(F$2, Percentiles!$A$45:$I$59, 8, FALSE), perc_85, perc_75 + (perc_90 - perc_75) * (2/3), converted_stat, '2K_Ratings'!F331, IF(bbgm_stat &gt;= perc_95, converted_stat * 3, IF(bbgm_stat &gt;= perc_90, converted_stat * 2, IF(bbgm_stat &gt;= perc_85, converted_stat * 1.5, converted_stat)))))</f>
        <v/>
      </c>
      <c r="G331" s="30" t="str">
        <f t="array" ref="G331">IF($A331="", "", LET(bbgm_stat, INDEX(Players!$A330:$P330, MATCH(G$2, Players!$A$1:$P$1, 0)), perc_75, VLOOKUP(G$2, Percentiles!$A$45:$I$59, 6, FALSE), perc_90, VLOOKUP(G$2, Percentiles!$A$45:$I$59, 7, FALSE), perc_95, VLOOKUP(G$2, Percentiles!$A$45:$I$59, 8, FALSE), perc_85, perc_75 + (perc_90 - perc_75) * (2/3), converted_stat, '2K_Ratings'!G331, IF(bbgm_stat &gt;= perc_95, converted_stat * 3, IF(bbgm_stat &gt;= perc_90, converted_stat * 2, IF(bbgm_stat &gt;= perc_85, converted_stat * 1.5, converted_stat)))))</f>
        <v/>
      </c>
      <c r="H331" s="30" t="str">
        <f t="array" ref="H331">IF($A331="", "", LET(bbgm_stat, INDEX(Players!$A330:$P330, MATCH(H$2, Players!$A$1:$P$1, 0)), perc_75, VLOOKUP(H$2, Percentiles!$A$45:$I$59, 6, FALSE), perc_90, VLOOKUP(H$2, Percentiles!$A$45:$I$59, 7, FALSE), perc_95, VLOOKUP(H$2, Percentiles!$A$45:$I$59, 8, FALSE), perc_85, perc_75 + (perc_90 - perc_75) * (2/3), converted_stat, '2K_Ratings'!H331, IF(bbgm_stat &gt;= perc_95, converted_stat * 3, IF(bbgm_stat &gt;= perc_90, converted_stat * 2, IF(bbgm_stat &gt;= perc_85, converted_stat * 1.5, converted_stat)))))</f>
        <v/>
      </c>
      <c r="I331" s="30" t="str">
        <f t="array" ref="I331">IF($A331="", "", LET(bbgm_stat, INDEX(Players!$A330:$P330, MATCH(I$2, Players!$A$1:$P$1, 0)), perc_75, VLOOKUP(I$2, Percentiles!$A$45:$I$59, 6, FALSE), perc_90, VLOOKUP(I$2, Percentiles!$A$45:$I$59, 7, FALSE), perc_95, VLOOKUP(I$2, Percentiles!$A$45:$I$59, 8, FALSE), perc_85, perc_75 + (perc_90 - perc_75) * (2/3), converted_stat, '2K_Ratings'!I331, IF(bbgm_stat &gt;= perc_95, converted_stat * 3, IF(bbgm_stat &gt;= perc_90, converted_stat * 2, IF(bbgm_stat &gt;= perc_85, converted_stat * 1.5, converted_stat)))))</f>
        <v/>
      </c>
      <c r="J331" s="30" t="str">
        <f t="array" ref="J331">IF($A331="", "", LET(bbgm_stat, INDEX(Players!$A330:$P330, MATCH(J$2, Players!$A$1:$P$1, 0)), perc_75, VLOOKUP(J$2, Percentiles!$A$45:$I$59, 6, FALSE), perc_90, VLOOKUP(J$2, Percentiles!$A$45:$I$59, 7, FALSE), perc_95, VLOOKUP(J$2, Percentiles!$A$45:$I$59, 8, FALSE), perc_85, perc_75 + (perc_90 - perc_75) * (2/3), converted_stat, '2K_Ratings'!J331, IF(bbgm_stat &gt;= perc_95, converted_stat * 3, IF(bbgm_stat &gt;= perc_90, converted_stat * 2, IF(bbgm_stat &gt;= perc_85, converted_stat * 1.5, converted_stat)))))</f>
        <v/>
      </c>
      <c r="K331" s="30" t="str">
        <f t="array" ref="K331">IF($A331="", "", LET(bbgm_stat, INDEX(Players!$A330:$P330, MATCH(K$2, Players!$A$1:$P$1, 0)), perc_75, VLOOKUP(K$2, Percentiles!$A$45:$I$59, 6, FALSE), perc_90, VLOOKUP(K$2, Percentiles!$A$45:$I$59, 7, FALSE), perc_95, VLOOKUP(K$2, Percentiles!$A$45:$I$59, 8, FALSE), perc_85, perc_75 + (perc_90 - perc_75) * (2/3), converted_stat, '2K_Ratings'!K331, IF(bbgm_stat &gt;= perc_95, converted_stat * 3, IF(bbgm_stat &gt;= perc_90, converted_stat * 2, IF(bbgm_stat &gt;= perc_85, converted_stat * 1.5, converted_stat)))))</f>
        <v/>
      </c>
      <c r="L331" s="30" t="str">
        <f t="array" ref="L331">IF($A331="", "", LET(bbgm_stat, INDEX(Players!$A330:$P330, MATCH(L$2, Players!$A$1:$P$1, 0)), perc_75, VLOOKUP(L$2, Percentiles!$A$45:$I$59, 6, FALSE), perc_90, VLOOKUP(L$2, Percentiles!$A$45:$I$59, 7, FALSE), perc_95, VLOOKUP(L$2, Percentiles!$A$45:$I$59, 8, FALSE), perc_85, perc_75 + (perc_90 - perc_75) * (2/3), converted_stat, '2K_Ratings'!L331, IF(bbgm_stat &gt;= perc_95, converted_stat * 3, IF(bbgm_stat &gt;= perc_90, converted_stat * 2, IF(bbgm_stat &gt;= perc_85, converted_stat * 1.5, converted_stat)))))</f>
        <v/>
      </c>
      <c r="M331" s="30" t="str">
        <f t="array" ref="M331">IF($A331="", "", LET(bbgm_stat, INDEX(Players!$A330:$P330, MATCH(M$2, Players!$A$1:$P$1, 0)), perc_75, VLOOKUP(M$2, Percentiles!$A$45:$I$59, 6, FALSE), perc_90, VLOOKUP(M$2, Percentiles!$A$45:$I$59, 7, FALSE), perc_95, VLOOKUP(M$2, Percentiles!$A$45:$I$59, 8, FALSE), perc_85, perc_75 + (perc_90 - perc_75) * (2/3), converted_stat, '2K_Ratings'!M331, IF(bbgm_stat &gt;= perc_95, converted_stat * 3, IF(bbgm_stat &gt;= perc_90, converted_stat * 2, IF(bbgm_stat &gt;= perc_85, converted_stat * 1.5, converted_stat)))))</f>
        <v/>
      </c>
      <c r="N331" s="30" t="str">
        <f t="array" ref="N331">IF($A331="", "", LET(bbgm_stat, INDEX(Players!$A330:$P330, MATCH(N$2, Players!$A$1:$P$1, 0)), perc_75, VLOOKUP(N$2, Percentiles!$A$45:$I$59, 6, FALSE), perc_90, VLOOKUP(N$2, Percentiles!$A$45:$I$59, 7, FALSE), perc_95, VLOOKUP(N$2, Percentiles!$A$45:$I$59, 8, FALSE), perc_85, perc_75 + (perc_90 - perc_75) * (2/3), converted_stat, '2K_Ratings'!N331, IF(bbgm_stat &gt;= perc_95, converted_stat * 3, IF(bbgm_stat &gt;= perc_90, converted_stat * 2, IF(bbgm_stat &gt;= perc_85, converted_stat * 1.5, converted_stat)))))</f>
        <v/>
      </c>
      <c r="O331" s="30" t="str">
        <f t="array" ref="O331">IF($A331="", "", LET(bbgm_stat, INDEX(Players!$A330:$P330, MATCH(O$2, Players!$A$1:$P$1, 0)), perc_75, VLOOKUP(O$2, Percentiles!$A$45:$I$59, 6, FALSE), perc_90, VLOOKUP(O$2, Percentiles!$A$45:$I$59, 7, FALSE), perc_95, VLOOKUP(O$2, Percentiles!$A$45:$I$59, 8, FALSE), perc_85, perc_75 + (perc_90 - perc_75) * (2/3), converted_stat, '2K_Ratings'!O331, IF(bbgm_stat &gt;= perc_95, converted_stat * 3, IF(bbgm_stat &gt;= perc_90, converted_stat * 2, IF(bbgm_stat &gt;= perc_85, converted_stat * 1.5, converted_stat)))))</f>
        <v/>
      </c>
      <c r="P331" s="30" t="str">
        <f t="array" ref="P331">IF($A331="", "", LET(bbgm_stat, INDEX(Players!$A330:$P330, MATCH(P$2, Players!$A$1:$P$1, 0)), perc_75, VLOOKUP(P$2, Percentiles!$A$45:$I$59, 6, FALSE), perc_90, VLOOKUP(P$2, Percentiles!$A$45:$I$59, 7, FALSE), perc_95, VLOOKUP(P$2, Percentiles!$A$45:$I$59, 8, FALSE), perc_85, perc_75 + (perc_90 - perc_75) * (2/3), converted_stat, '2K_Ratings'!P331, IF(bbgm_stat &gt;= perc_95, converted_stat * 3, IF(bbgm_stat &gt;= perc_90, converted_stat * 2, IF(bbgm_stat &gt;= perc_85, converted_stat * 1.5, converted_stat)))))</f>
        <v/>
      </c>
      <c r="Q331" s="30" t="str">
        <f t="array" ref="Q331">IF($A331="", "", LET(bbgm_stat, INDEX(Players!$A330:$P330, MATCH(Q$2, Players!$A$1:$P$1, 0)), perc_75, VLOOKUP(Q$2, Percentiles!$A$45:$I$59, 6, FALSE), perc_90, VLOOKUP(Q$2, Percentiles!$A$45:$I$59, 7, FALSE), perc_95, VLOOKUP(Q$2, Percentiles!$A$45:$I$59, 8, FALSE), perc_85, perc_75 + (perc_90 - perc_75) * (2/3), converted_stat, '2K_Ratings'!Q331, IF(bbgm_stat &gt;= perc_95, converted_stat * 3, IF(bbgm_stat &gt;= perc_90, converted_stat * 2, IF(bbgm_stat &gt;= perc_85, converted_stat * 1.5, converted_stat)))))</f>
        <v/>
      </c>
      <c r="R331" s="30" t="str">
        <f t="array" ref="R331">IF($A331="", "", LET(bbgm_stat, INDEX(Players!$A330:$P330, MATCH(R$2, Players!$A$1:$P$1, 0)), perc_75, VLOOKUP(R$2, Percentiles!$A$45:$I$59, 6, FALSE), perc_90, VLOOKUP(R$2, Percentiles!$A$45:$I$59, 7, FALSE), perc_95, VLOOKUP(R$2, Percentiles!$A$45:$I$59, 8, FALSE), perc_85, perc_75 + (perc_90 - perc_75) * (2/3), converted_stat, '2K_Ratings'!R331, IF(bbgm_stat &gt;= perc_95, converted_stat * 3, IF(bbgm_stat &gt;= perc_90, converted_stat * 2, IF(bbgm_stat &gt;= perc_85, converted_stat * 1.5, converted_stat)))))</f>
        <v/>
      </c>
      <c r="S331" s="30" t="str">
        <f t="array" ref="S331">IF($A331="", "", LET(bbgm_stat, INDEX(Players!$A330:$P330, MATCH(S$2, Players!$A$1:$P$1, 0)), perc_75, VLOOKUP(S$2, Percentiles!$A$45:$I$59, 6, FALSE), perc_90, VLOOKUP(S$2, Percentiles!$A$45:$I$59, 7, FALSE), perc_95, VLOOKUP(S$2, Percentiles!$A$45:$I$59, 8, FALSE), perc_85, perc_75 + (perc_90 - perc_75) * (2/3), converted_stat, '2K_Ratings'!S331, IF(bbgm_stat &gt;= perc_95, converted_stat * 3, IF(bbgm_stat &gt;= perc_90, converted_stat * 2, IF(bbgm_stat &gt;= perc_85, converted_stat * 1.5, converted_stat)))))</f>
        <v/>
      </c>
      <c r="T331" s="30" t="str">
        <f t="array" ref="T331">IF($A331="", "", LET(bbgm_stat, INDEX(Players!$A330:$P330, MATCH(T$2, Players!$A$1:$P$1, 0)), perc_75, VLOOKUP(T$2, Percentiles!$A$45:$I$59, 6, FALSE), perc_90, VLOOKUP(T$2, Percentiles!$A$45:$I$59, 7, FALSE), perc_95, VLOOKUP(T$2, Percentiles!$A$45:$I$59, 8, FALSE), perc_85, perc_75 + (perc_90 - perc_75) * (2/3), converted_stat, '2K_Ratings'!T331, IF(bbgm_stat &gt;= perc_95, converted_stat * 3, IF(bbgm_stat &gt;= perc_90, converted_stat * 2, IF(bbgm_stat &gt;= perc_85, converted_stat * 1.5, converted_stat)))))</f>
        <v/>
      </c>
      <c r="U331" s="30" t="str">
        <f t="array" ref="U331">IF($A331="", "", LET(bbgm_stat, INDEX(Players!$A330:$P330, MATCH(U$2, Players!$A$1:$P$1, 0)), perc_75, VLOOKUP(U$2, Percentiles!$A$45:$I$59, 6, FALSE), perc_90, VLOOKUP(U$2, Percentiles!$A$45:$I$59, 7, FALSE), perc_95, VLOOKUP(U$2, Percentiles!$A$45:$I$59, 8, FALSE), perc_85, perc_75 + (perc_90 - perc_75) * (2/3), converted_stat, '2K_Ratings'!U331, IF(bbgm_stat &gt;= perc_95, converted_stat * 3, IF(bbgm_stat &gt;= perc_90, converted_stat * 2, IF(bbgm_stat &gt;= perc_85, converted_stat * 1.5, converted_stat)))))</f>
        <v/>
      </c>
      <c r="V331" s="30" t="str">
        <f t="array" ref="V331">IF($A331="", "", LET(bbgm_stat, INDEX(Players!$A330:$P330, MATCH(V$2, Players!$A$1:$P$1, 0)), perc_75, VLOOKUP(V$2, Percentiles!$A$45:$I$59, 6, FALSE), perc_90, VLOOKUP(V$2, Percentiles!$A$45:$I$59, 7, FALSE), perc_95, VLOOKUP(V$2, Percentiles!$A$45:$I$59, 8, FALSE), perc_85, perc_75 + (perc_90 - perc_75) * (2/3), converted_stat, '2K_Ratings'!V331, IF(bbgm_stat &gt;= perc_95, converted_stat * 3, IF(bbgm_stat &gt;= perc_90, converted_stat * 2, IF(bbgm_stat &gt;= perc_85, converted_stat * 1.5, converted_stat)))))</f>
        <v/>
      </c>
      <c r="W331" s="30" t="str">
        <f t="array" ref="W331">IF($A331="", "", LET(bbgm_stat, INDEX(Players!$A330:$P330, MATCH(W$2, Players!$A$1:$P$1, 0)), perc_75, VLOOKUP(W$2, Percentiles!$A$45:$I$59, 6, FALSE), perc_90, VLOOKUP(W$2, Percentiles!$A$45:$I$59, 7, FALSE), perc_95, VLOOKUP(W$2, Percentiles!$A$45:$I$59, 8, FALSE), perc_85, perc_75 + (perc_90 - perc_75) * (2/3), converted_stat, '2K_Ratings'!W331, IF(bbgm_stat &gt;= perc_95, converted_stat * 3, IF(bbgm_stat &gt;= perc_90, converted_stat * 2, IF(bbgm_stat &gt;= perc_85, converted_stat * 1.5, converted_stat)))))</f>
        <v/>
      </c>
    </row>
    <row r="332">
      <c r="A332" s="30"/>
      <c r="B332" s="30" t="str">
        <f t="array" ref="B332">IF($A332="", "", LET(bbgm_stat, INDEX(Players!$A331:$P331, MATCH(B$2, Players!$A$1:$P$1, 0)), perc_75, VLOOKUP(B$2, Percentiles!$A$45:$I$59, 6, FALSE), perc_90, VLOOKUP(B$2, Percentiles!$A$45:$I$59, 7, FALSE), perc_95, VLOOKUP(B$2, Percentiles!$A$45:$I$59, 8, FALSE), perc_85, perc_75 + (perc_90 - perc_75) * (2/3), converted_stat, '2K_Ratings'!B332, IF(bbgm_stat &gt;= perc_95, converted_stat * 3, IF(bbgm_stat &gt;= perc_90, converted_stat * 2, IF(bbgm_stat &gt;= perc_85, converted_stat * 1.5, converted_stat)))))</f>
        <v/>
      </c>
      <c r="C332" s="30" t="str">
        <f t="array" ref="C332">IF($A332="", "", LET(bbgm_stat, INDEX(Players!$A331:$P331, MATCH(C$2, Players!$A$1:$P$1, 0)), perc_75, VLOOKUP(C$2, Percentiles!$A$45:$I$59, 6, FALSE), perc_90, VLOOKUP(C$2, Percentiles!$A$45:$I$59, 7, FALSE), perc_95, VLOOKUP(C$2, Percentiles!$A$45:$I$59, 8, FALSE), perc_85, perc_75 + (perc_90 - perc_75) * (2/3), converted_stat, '2K_Ratings'!C332, IF(bbgm_stat &gt;= perc_95, converted_stat * 3, IF(bbgm_stat &gt;= perc_90, converted_stat * 2, IF(bbgm_stat &gt;= perc_85, converted_stat * 1.5, converted_stat)))))</f>
        <v/>
      </c>
      <c r="D332" s="30" t="str">
        <f t="array" ref="D332">IF($A332="", "", LET(bbgm_stat, INDEX(Players!$A331:$P331, MATCH(D$2, Players!$A$1:$P$1, 0)), perc_75, VLOOKUP(D$2, Percentiles!$A$45:$I$59, 6, FALSE), perc_90, VLOOKUP(D$2, Percentiles!$A$45:$I$59, 7, FALSE), perc_95, VLOOKUP(D$2, Percentiles!$A$45:$I$59, 8, FALSE), perc_85, perc_75 + (perc_90 - perc_75) * (2/3), converted_stat, '2K_Ratings'!D332, IF(bbgm_stat &gt;= perc_95, converted_stat * 3, IF(bbgm_stat &gt;= perc_90, converted_stat * 2, IF(bbgm_stat &gt;= perc_85, converted_stat * 1.5, converted_stat)))))</f>
        <v/>
      </c>
      <c r="E332" s="30" t="str">
        <f t="array" ref="E332">IF($A332="", "", LET(bbgm_stat, INDEX(Players!$A331:$P331, MATCH(E$2, Players!$A$1:$P$1, 0)), perc_75, VLOOKUP(E$2, Percentiles!$A$45:$I$59, 6, FALSE), perc_90, VLOOKUP(E$2, Percentiles!$A$45:$I$59, 7, FALSE), perc_95, VLOOKUP(E$2, Percentiles!$A$45:$I$59, 8, FALSE), perc_85, perc_75 + (perc_90 - perc_75) * (2/3), converted_stat, '2K_Ratings'!E332, IF(bbgm_stat &gt;= perc_95, converted_stat * 3, IF(bbgm_stat &gt;= perc_90, converted_stat * 2, IF(bbgm_stat &gt;= perc_85, converted_stat * 1.5, converted_stat)))))</f>
        <v/>
      </c>
      <c r="F332" s="30" t="str">
        <f t="array" ref="F332">IF($A332="", "", LET(bbgm_stat, INDEX(Players!$A331:$P331, MATCH(F$2, Players!$A$1:$P$1, 0)), perc_75, VLOOKUP(F$2, Percentiles!$A$45:$I$59, 6, FALSE), perc_90, VLOOKUP(F$2, Percentiles!$A$45:$I$59, 7, FALSE), perc_95, VLOOKUP(F$2, Percentiles!$A$45:$I$59, 8, FALSE), perc_85, perc_75 + (perc_90 - perc_75) * (2/3), converted_stat, '2K_Ratings'!F332, IF(bbgm_stat &gt;= perc_95, converted_stat * 3, IF(bbgm_stat &gt;= perc_90, converted_stat * 2, IF(bbgm_stat &gt;= perc_85, converted_stat * 1.5, converted_stat)))))</f>
        <v/>
      </c>
      <c r="G332" s="30" t="str">
        <f t="array" ref="G332">IF($A332="", "", LET(bbgm_stat, INDEX(Players!$A331:$P331, MATCH(G$2, Players!$A$1:$P$1, 0)), perc_75, VLOOKUP(G$2, Percentiles!$A$45:$I$59, 6, FALSE), perc_90, VLOOKUP(G$2, Percentiles!$A$45:$I$59, 7, FALSE), perc_95, VLOOKUP(G$2, Percentiles!$A$45:$I$59, 8, FALSE), perc_85, perc_75 + (perc_90 - perc_75) * (2/3), converted_stat, '2K_Ratings'!G332, IF(bbgm_stat &gt;= perc_95, converted_stat * 3, IF(bbgm_stat &gt;= perc_90, converted_stat * 2, IF(bbgm_stat &gt;= perc_85, converted_stat * 1.5, converted_stat)))))</f>
        <v/>
      </c>
      <c r="H332" s="30" t="str">
        <f t="array" ref="H332">IF($A332="", "", LET(bbgm_stat, INDEX(Players!$A331:$P331, MATCH(H$2, Players!$A$1:$P$1, 0)), perc_75, VLOOKUP(H$2, Percentiles!$A$45:$I$59, 6, FALSE), perc_90, VLOOKUP(H$2, Percentiles!$A$45:$I$59, 7, FALSE), perc_95, VLOOKUP(H$2, Percentiles!$A$45:$I$59, 8, FALSE), perc_85, perc_75 + (perc_90 - perc_75) * (2/3), converted_stat, '2K_Ratings'!H332, IF(bbgm_stat &gt;= perc_95, converted_stat * 3, IF(bbgm_stat &gt;= perc_90, converted_stat * 2, IF(bbgm_stat &gt;= perc_85, converted_stat * 1.5, converted_stat)))))</f>
        <v/>
      </c>
      <c r="I332" s="30" t="str">
        <f t="array" ref="I332">IF($A332="", "", LET(bbgm_stat, INDEX(Players!$A331:$P331, MATCH(I$2, Players!$A$1:$P$1, 0)), perc_75, VLOOKUP(I$2, Percentiles!$A$45:$I$59, 6, FALSE), perc_90, VLOOKUP(I$2, Percentiles!$A$45:$I$59, 7, FALSE), perc_95, VLOOKUP(I$2, Percentiles!$A$45:$I$59, 8, FALSE), perc_85, perc_75 + (perc_90 - perc_75) * (2/3), converted_stat, '2K_Ratings'!I332, IF(bbgm_stat &gt;= perc_95, converted_stat * 3, IF(bbgm_stat &gt;= perc_90, converted_stat * 2, IF(bbgm_stat &gt;= perc_85, converted_stat * 1.5, converted_stat)))))</f>
        <v/>
      </c>
      <c r="J332" s="30" t="str">
        <f t="array" ref="J332">IF($A332="", "", LET(bbgm_stat, INDEX(Players!$A331:$P331, MATCH(J$2, Players!$A$1:$P$1, 0)), perc_75, VLOOKUP(J$2, Percentiles!$A$45:$I$59, 6, FALSE), perc_90, VLOOKUP(J$2, Percentiles!$A$45:$I$59, 7, FALSE), perc_95, VLOOKUP(J$2, Percentiles!$A$45:$I$59, 8, FALSE), perc_85, perc_75 + (perc_90 - perc_75) * (2/3), converted_stat, '2K_Ratings'!J332, IF(bbgm_stat &gt;= perc_95, converted_stat * 3, IF(bbgm_stat &gt;= perc_90, converted_stat * 2, IF(bbgm_stat &gt;= perc_85, converted_stat * 1.5, converted_stat)))))</f>
        <v/>
      </c>
      <c r="K332" s="30" t="str">
        <f t="array" ref="K332">IF($A332="", "", LET(bbgm_stat, INDEX(Players!$A331:$P331, MATCH(K$2, Players!$A$1:$P$1, 0)), perc_75, VLOOKUP(K$2, Percentiles!$A$45:$I$59, 6, FALSE), perc_90, VLOOKUP(K$2, Percentiles!$A$45:$I$59, 7, FALSE), perc_95, VLOOKUP(K$2, Percentiles!$A$45:$I$59, 8, FALSE), perc_85, perc_75 + (perc_90 - perc_75) * (2/3), converted_stat, '2K_Ratings'!K332, IF(bbgm_stat &gt;= perc_95, converted_stat * 3, IF(bbgm_stat &gt;= perc_90, converted_stat * 2, IF(bbgm_stat &gt;= perc_85, converted_stat * 1.5, converted_stat)))))</f>
        <v/>
      </c>
      <c r="L332" s="30" t="str">
        <f t="array" ref="L332">IF($A332="", "", LET(bbgm_stat, INDEX(Players!$A331:$P331, MATCH(L$2, Players!$A$1:$P$1, 0)), perc_75, VLOOKUP(L$2, Percentiles!$A$45:$I$59, 6, FALSE), perc_90, VLOOKUP(L$2, Percentiles!$A$45:$I$59, 7, FALSE), perc_95, VLOOKUP(L$2, Percentiles!$A$45:$I$59, 8, FALSE), perc_85, perc_75 + (perc_90 - perc_75) * (2/3), converted_stat, '2K_Ratings'!L332, IF(bbgm_stat &gt;= perc_95, converted_stat * 3, IF(bbgm_stat &gt;= perc_90, converted_stat * 2, IF(bbgm_stat &gt;= perc_85, converted_stat * 1.5, converted_stat)))))</f>
        <v/>
      </c>
      <c r="M332" s="30" t="str">
        <f t="array" ref="M332">IF($A332="", "", LET(bbgm_stat, INDEX(Players!$A331:$P331, MATCH(M$2, Players!$A$1:$P$1, 0)), perc_75, VLOOKUP(M$2, Percentiles!$A$45:$I$59, 6, FALSE), perc_90, VLOOKUP(M$2, Percentiles!$A$45:$I$59, 7, FALSE), perc_95, VLOOKUP(M$2, Percentiles!$A$45:$I$59, 8, FALSE), perc_85, perc_75 + (perc_90 - perc_75) * (2/3), converted_stat, '2K_Ratings'!M332, IF(bbgm_stat &gt;= perc_95, converted_stat * 3, IF(bbgm_stat &gt;= perc_90, converted_stat * 2, IF(bbgm_stat &gt;= perc_85, converted_stat * 1.5, converted_stat)))))</f>
        <v/>
      </c>
      <c r="N332" s="30" t="str">
        <f t="array" ref="N332">IF($A332="", "", LET(bbgm_stat, INDEX(Players!$A331:$P331, MATCH(N$2, Players!$A$1:$P$1, 0)), perc_75, VLOOKUP(N$2, Percentiles!$A$45:$I$59, 6, FALSE), perc_90, VLOOKUP(N$2, Percentiles!$A$45:$I$59, 7, FALSE), perc_95, VLOOKUP(N$2, Percentiles!$A$45:$I$59, 8, FALSE), perc_85, perc_75 + (perc_90 - perc_75) * (2/3), converted_stat, '2K_Ratings'!N332, IF(bbgm_stat &gt;= perc_95, converted_stat * 3, IF(bbgm_stat &gt;= perc_90, converted_stat * 2, IF(bbgm_stat &gt;= perc_85, converted_stat * 1.5, converted_stat)))))</f>
        <v/>
      </c>
      <c r="O332" s="30" t="str">
        <f t="array" ref="O332">IF($A332="", "", LET(bbgm_stat, INDEX(Players!$A331:$P331, MATCH(O$2, Players!$A$1:$P$1, 0)), perc_75, VLOOKUP(O$2, Percentiles!$A$45:$I$59, 6, FALSE), perc_90, VLOOKUP(O$2, Percentiles!$A$45:$I$59, 7, FALSE), perc_95, VLOOKUP(O$2, Percentiles!$A$45:$I$59, 8, FALSE), perc_85, perc_75 + (perc_90 - perc_75) * (2/3), converted_stat, '2K_Ratings'!O332, IF(bbgm_stat &gt;= perc_95, converted_stat * 3, IF(bbgm_stat &gt;= perc_90, converted_stat * 2, IF(bbgm_stat &gt;= perc_85, converted_stat * 1.5, converted_stat)))))</f>
        <v/>
      </c>
      <c r="P332" s="30" t="str">
        <f t="array" ref="P332">IF($A332="", "", LET(bbgm_stat, INDEX(Players!$A331:$P331, MATCH(P$2, Players!$A$1:$P$1, 0)), perc_75, VLOOKUP(P$2, Percentiles!$A$45:$I$59, 6, FALSE), perc_90, VLOOKUP(P$2, Percentiles!$A$45:$I$59, 7, FALSE), perc_95, VLOOKUP(P$2, Percentiles!$A$45:$I$59, 8, FALSE), perc_85, perc_75 + (perc_90 - perc_75) * (2/3), converted_stat, '2K_Ratings'!P332, IF(bbgm_stat &gt;= perc_95, converted_stat * 3, IF(bbgm_stat &gt;= perc_90, converted_stat * 2, IF(bbgm_stat &gt;= perc_85, converted_stat * 1.5, converted_stat)))))</f>
        <v/>
      </c>
      <c r="Q332" s="30" t="str">
        <f t="array" ref="Q332">IF($A332="", "", LET(bbgm_stat, INDEX(Players!$A331:$P331, MATCH(Q$2, Players!$A$1:$P$1, 0)), perc_75, VLOOKUP(Q$2, Percentiles!$A$45:$I$59, 6, FALSE), perc_90, VLOOKUP(Q$2, Percentiles!$A$45:$I$59, 7, FALSE), perc_95, VLOOKUP(Q$2, Percentiles!$A$45:$I$59, 8, FALSE), perc_85, perc_75 + (perc_90 - perc_75) * (2/3), converted_stat, '2K_Ratings'!Q332, IF(bbgm_stat &gt;= perc_95, converted_stat * 3, IF(bbgm_stat &gt;= perc_90, converted_stat * 2, IF(bbgm_stat &gt;= perc_85, converted_stat * 1.5, converted_stat)))))</f>
        <v/>
      </c>
      <c r="R332" s="30" t="str">
        <f t="array" ref="R332">IF($A332="", "", LET(bbgm_stat, INDEX(Players!$A331:$P331, MATCH(R$2, Players!$A$1:$P$1, 0)), perc_75, VLOOKUP(R$2, Percentiles!$A$45:$I$59, 6, FALSE), perc_90, VLOOKUP(R$2, Percentiles!$A$45:$I$59, 7, FALSE), perc_95, VLOOKUP(R$2, Percentiles!$A$45:$I$59, 8, FALSE), perc_85, perc_75 + (perc_90 - perc_75) * (2/3), converted_stat, '2K_Ratings'!R332, IF(bbgm_stat &gt;= perc_95, converted_stat * 3, IF(bbgm_stat &gt;= perc_90, converted_stat * 2, IF(bbgm_stat &gt;= perc_85, converted_stat * 1.5, converted_stat)))))</f>
        <v/>
      </c>
      <c r="S332" s="30" t="str">
        <f t="array" ref="S332">IF($A332="", "", LET(bbgm_stat, INDEX(Players!$A331:$P331, MATCH(S$2, Players!$A$1:$P$1, 0)), perc_75, VLOOKUP(S$2, Percentiles!$A$45:$I$59, 6, FALSE), perc_90, VLOOKUP(S$2, Percentiles!$A$45:$I$59, 7, FALSE), perc_95, VLOOKUP(S$2, Percentiles!$A$45:$I$59, 8, FALSE), perc_85, perc_75 + (perc_90 - perc_75) * (2/3), converted_stat, '2K_Ratings'!S332, IF(bbgm_stat &gt;= perc_95, converted_stat * 3, IF(bbgm_stat &gt;= perc_90, converted_stat * 2, IF(bbgm_stat &gt;= perc_85, converted_stat * 1.5, converted_stat)))))</f>
        <v/>
      </c>
      <c r="T332" s="30" t="str">
        <f t="array" ref="T332">IF($A332="", "", LET(bbgm_stat, INDEX(Players!$A331:$P331, MATCH(T$2, Players!$A$1:$P$1, 0)), perc_75, VLOOKUP(T$2, Percentiles!$A$45:$I$59, 6, FALSE), perc_90, VLOOKUP(T$2, Percentiles!$A$45:$I$59, 7, FALSE), perc_95, VLOOKUP(T$2, Percentiles!$A$45:$I$59, 8, FALSE), perc_85, perc_75 + (perc_90 - perc_75) * (2/3), converted_stat, '2K_Ratings'!T332, IF(bbgm_stat &gt;= perc_95, converted_stat * 3, IF(bbgm_stat &gt;= perc_90, converted_stat * 2, IF(bbgm_stat &gt;= perc_85, converted_stat * 1.5, converted_stat)))))</f>
        <v/>
      </c>
      <c r="U332" s="30" t="str">
        <f t="array" ref="U332">IF($A332="", "", LET(bbgm_stat, INDEX(Players!$A331:$P331, MATCH(U$2, Players!$A$1:$P$1, 0)), perc_75, VLOOKUP(U$2, Percentiles!$A$45:$I$59, 6, FALSE), perc_90, VLOOKUP(U$2, Percentiles!$A$45:$I$59, 7, FALSE), perc_95, VLOOKUP(U$2, Percentiles!$A$45:$I$59, 8, FALSE), perc_85, perc_75 + (perc_90 - perc_75) * (2/3), converted_stat, '2K_Ratings'!U332, IF(bbgm_stat &gt;= perc_95, converted_stat * 3, IF(bbgm_stat &gt;= perc_90, converted_stat * 2, IF(bbgm_stat &gt;= perc_85, converted_stat * 1.5, converted_stat)))))</f>
        <v/>
      </c>
      <c r="V332" s="30" t="str">
        <f t="array" ref="V332">IF($A332="", "", LET(bbgm_stat, INDEX(Players!$A331:$P331, MATCH(V$2, Players!$A$1:$P$1, 0)), perc_75, VLOOKUP(V$2, Percentiles!$A$45:$I$59, 6, FALSE), perc_90, VLOOKUP(V$2, Percentiles!$A$45:$I$59, 7, FALSE), perc_95, VLOOKUP(V$2, Percentiles!$A$45:$I$59, 8, FALSE), perc_85, perc_75 + (perc_90 - perc_75) * (2/3), converted_stat, '2K_Ratings'!V332, IF(bbgm_stat &gt;= perc_95, converted_stat * 3, IF(bbgm_stat &gt;= perc_90, converted_stat * 2, IF(bbgm_stat &gt;= perc_85, converted_stat * 1.5, converted_stat)))))</f>
        <v/>
      </c>
      <c r="W332" s="30" t="str">
        <f t="array" ref="W332">IF($A332="", "", LET(bbgm_stat, INDEX(Players!$A331:$P331, MATCH(W$2, Players!$A$1:$P$1, 0)), perc_75, VLOOKUP(W$2, Percentiles!$A$45:$I$59, 6, FALSE), perc_90, VLOOKUP(W$2, Percentiles!$A$45:$I$59, 7, FALSE), perc_95, VLOOKUP(W$2, Percentiles!$A$45:$I$59, 8, FALSE), perc_85, perc_75 + (perc_90 - perc_75) * (2/3), converted_stat, '2K_Ratings'!W332, IF(bbgm_stat &gt;= perc_95, converted_stat * 3, IF(bbgm_stat &gt;= perc_90, converted_stat * 2, IF(bbgm_stat &gt;= perc_85, converted_stat * 1.5, converted_stat)))))</f>
        <v/>
      </c>
    </row>
    <row r="333">
      <c r="A333" s="30"/>
      <c r="B333" s="30" t="str">
        <f t="array" ref="B333">IF($A333="", "", LET(bbgm_stat, INDEX(Players!$A332:$P332, MATCH(B$2, Players!$A$1:$P$1, 0)), perc_75, VLOOKUP(B$2, Percentiles!$A$45:$I$59, 6, FALSE), perc_90, VLOOKUP(B$2, Percentiles!$A$45:$I$59, 7, FALSE), perc_95, VLOOKUP(B$2, Percentiles!$A$45:$I$59, 8, FALSE), perc_85, perc_75 + (perc_90 - perc_75) * (2/3), converted_stat, '2K_Ratings'!B333, IF(bbgm_stat &gt;= perc_95, converted_stat * 3, IF(bbgm_stat &gt;= perc_90, converted_stat * 2, IF(bbgm_stat &gt;= perc_85, converted_stat * 1.5, converted_stat)))))</f>
        <v/>
      </c>
      <c r="C333" s="30" t="str">
        <f t="array" ref="C333">IF($A333="", "", LET(bbgm_stat, INDEX(Players!$A332:$P332, MATCH(C$2, Players!$A$1:$P$1, 0)), perc_75, VLOOKUP(C$2, Percentiles!$A$45:$I$59, 6, FALSE), perc_90, VLOOKUP(C$2, Percentiles!$A$45:$I$59, 7, FALSE), perc_95, VLOOKUP(C$2, Percentiles!$A$45:$I$59, 8, FALSE), perc_85, perc_75 + (perc_90 - perc_75) * (2/3), converted_stat, '2K_Ratings'!C333, IF(bbgm_stat &gt;= perc_95, converted_stat * 3, IF(bbgm_stat &gt;= perc_90, converted_stat * 2, IF(bbgm_stat &gt;= perc_85, converted_stat * 1.5, converted_stat)))))</f>
        <v/>
      </c>
      <c r="D333" s="30" t="str">
        <f t="array" ref="D333">IF($A333="", "", LET(bbgm_stat, INDEX(Players!$A332:$P332, MATCH(D$2, Players!$A$1:$P$1, 0)), perc_75, VLOOKUP(D$2, Percentiles!$A$45:$I$59, 6, FALSE), perc_90, VLOOKUP(D$2, Percentiles!$A$45:$I$59, 7, FALSE), perc_95, VLOOKUP(D$2, Percentiles!$A$45:$I$59, 8, FALSE), perc_85, perc_75 + (perc_90 - perc_75) * (2/3), converted_stat, '2K_Ratings'!D333, IF(bbgm_stat &gt;= perc_95, converted_stat * 3, IF(bbgm_stat &gt;= perc_90, converted_stat * 2, IF(bbgm_stat &gt;= perc_85, converted_stat * 1.5, converted_stat)))))</f>
        <v/>
      </c>
      <c r="E333" s="30" t="str">
        <f t="array" ref="E333">IF($A333="", "", LET(bbgm_stat, INDEX(Players!$A332:$P332, MATCH(E$2, Players!$A$1:$P$1, 0)), perc_75, VLOOKUP(E$2, Percentiles!$A$45:$I$59, 6, FALSE), perc_90, VLOOKUP(E$2, Percentiles!$A$45:$I$59, 7, FALSE), perc_95, VLOOKUP(E$2, Percentiles!$A$45:$I$59, 8, FALSE), perc_85, perc_75 + (perc_90 - perc_75) * (2/3), converted_stat, '2K_Ratings'!E333, IF(bbgm_stat &gt;= perc_95, converted_stat * 3, IF(bbgm_stat &gt;= perc_90, converted_stat * 2, IF(bbgm_stat &gt;= perc_85, converted_stat * 1.5, converted_stat)))))</f>
        <v/>
      </c>
      <c r="F333" s="30" t="str">
        <f t="array" ref="F333">IF($A333="", "", LET(bbgm_stat, INDEX(Players!$A332:$P332, MATCH(F$2, Players!$A$1:$P$1, 0)), perc_75, VLOOKUP(F$2, Percentiles!$A$45:$I$59, 6, FALSE), perc_90, VLOOKUP(F$2, Percentiles!$A$45:$I$59, 7, FALSE), perc_95, VLOOKUP(F$2, Percentiles!$A$45:$I$59, 8, FALSE), perc_85, perc_75 + (perc_90 - perc_75) * (2/3), converted_stat, '2K_Ratings'!F333, IF(bbgm_stat &gt;= perc_95, converted_stat * 3, IF(bbgm_stat &gt;= perc_90, converted_stat * 2, IF(bbgm_stat &gt;= perc_85, converted_stat * 1.5, converted_stat)))))</f>
        <v/>
      </c>
      <c r="G333" s="30" t="str">
        <f t="array" ref="G333">IF($A333="", "", LET(bbgm_stat, INDEX(Players!$A332:$P332, MATCH(G$2, Players!$A$1:$P$1, 0)), perc_75, VLOOKUP(G$2, Percentiles!$A$45:$I$59, 6, FALSE), perc_90, VLOOKUP(G$2, Percentiles!$A$45:$I$59, 7, FALSE), perc_95, VLOOKUP(G$2, Percentiles!$A$45:$I$59, 8, FALSE), perc_85, perc_75 + (perc_90 - perc_75) * (2/3), converted_stat, '2K_Ratings'!G333, IF(bbgm_stat &gt;= perc_95, converted_stat * 3, IF(bbgm_stat &gt;= perc_90, converted_stat * 2, IF(bbgm_stat &gt;= perc_85, converted_stat * 1.5, converted_stat)))))</f>
        <v/>
      </c>
      <c r="H333" s="30" t="str">
        <f t="array" ref="H333">IF($A333="", "", LET(bbgm_stat, INDEX(Players!$A332:$P332, MATCH(H$2, Players!$A$1:$P$1, 0)), perc_75, VLOOKUP(H$2, Percentiles!$A$45:$I$59, 6, FALSE), perc_90, VLOOKUP(H$2, Percentiles!$A$45:$I$59, 7, FALSE), perc_95, VLOOKUP(H$2, Percentiles!$A$45:$I$59, 8, FALSE), perc_85, perc_75 + (perc_90 - perc_75) * (2/3), converted_stat, '2K_Ratings'!H333, IF(bbgm_stat &gt;= perc_95, converted_stat * 3, IF(bbgm_stat &gt;= perc_90, converted_stat * 2, IF(bbgm_stat &gt;= perc_85, converted_stat * 1.5, converted_stat)))))</f>
        <v/>
      </c>
      <c r="I333" s="30" t="str">
        <f t="array" ref="I333">IF($A333="", "", LET(bbgm_stat, INDEX(Players!$A332:$P332, MATCH(I$2, Players!$A$1:$P$1, 0)), perc_75, VLOOKUP(I$2, Percentiles!$A$45:$I$59, 6, FALSE), perc_90, VLOOKUP(I$2, Percentiles!$A$45:$I$59, 7, FALSE), perc_95, VLOOKUP(I$2, Percentiles!$A$45:$I$59, 8, FALSE), perc_85, perc_75 + (perc_90 - perc_75) * (2/3), converted_stat, '2K_Ratings'!I333, IF(bbgm_stat &gt;= perc_95, converted_stat * 3, IF(bbgm_stat &gt;= perc_90, converted_stat * 2, IF(bbgm_stat &gt;= perc_85, converted_stat * 1.5, converted_stat)))))</f>
        <v/>
      </c>
      <c r="J333" s="30" t="str">
        <f t="array" ref="J333">IF($A333="", "", LET(bbgm_stat, INDEX(Players!$A332:$P332, MATCH(J$2, Players!$A$1:$P$1, 0)), perc_75, VLOOKUP(J$2, Percentiles!$A$45:$I$59, 6, FALSE), perc_90, VLOOKUP(J$2, Percentiles!$A$45:$I$59, 7, FALSE), perc_95, VLOOKUP(J$2, Percentiles!$A$45:$I$59, 8, FALSE), perc_85, perc_75 + (perc_90 - perc_75) * (2/3), converted_stat, '2K_Ratings'!J333, IF(bbgm_stat &gt;= perc_95, converted_stat * 3, IF(bbgm_stat &gt;= perc_90, converted_stat * 2, IF(bbgm_stat &gt;= perc_85, converted_stat * 1.5, converted_stat)))))</f>
        <v/>
      </c>
      <c r="K333" s="30" t="str">
        <f t="array" ref="K333">IF($A333="", "", LET(bbgm_stat, INDEX(Players!$A332:$P332, MATCH(K$2, Players!$A$1:$P$1, 0)), perc_75, VLOOKUP(K$2, Percentiles!$A$45:$I$59, 6, FALSE), perc_90, VLOOKUP(K$2, Percentiles!$A$45:$I$59, 7, FALSE), perc_95, VLOOKUP(K$2, Percentiles!$A$45:$I$59, 8, FALSE), perc_85, perc_75 + (perc_90 - perc_75) * (2/3), converted_stat, '2K_Ratings'!K333, IF(bbgm_stat &gt;= perc_95, converted_stat * 3, IF(bbgm_stat &gt;= perc_90, converted_stat * 2, IF(bbgm_stat &gt;= perc_85, converted_stat * 1.5, converted_stat)))))</f>
        <v/>
      </c>
      <c r="L333" s="30" t="str">
        <f t="array" ref="L333">IF($A333="", "", LET(bbgm_stat, INDEX(Players!$A332:$P332, MATCH(L$2, Players!$A$1:$P$1, 0)), perc_75, VLOOKUP(L$2, Percentiles!$A$45:$I$59, 6, FALSE), perc_90, VLOOKUP(L$2, Percentiles!$A$45:$I$59, 7, FALSE), perc_95, VLOOKUP(L$2, Percentiles!$A$45:$I$59, 8, FALSE), perc_85, perc_75 + (perc_90 - perc_75) * (2/3), converted_stat, '2K_Ratings'!L333, IF(bbgm_stat &gt;= perc_95, converted_stat * 3, IF(bbgm_stat &gt;= perc_90, converted_stat * 2, IF(bbgm_stat &gt;= perc_85, converted_stat * 1.5, converted_stat)))))</f>
        <v/>
      </c>
      <c r="M333" s="30" t="str">
        <f t="array" ref="M333">IF($A333="", "", LET(bbgm_stat, INDEX(Players!$A332:$P332, MATCH(M$2, Players!$A$1:$P$1, 0)), perc_75, VLOOKUP(M$2, Percentiles!$A$45:$I$59, 6, FALSE), perc_90, VLOOKUP(M$2, Percentiles!$A$45:$I$59, 7, FALSE), perc_95, VLOOKUP(M$2, Percentiles!$A$45:$I$59, 8, FALSE), perc_85, perc_75 + (perc_90 - perc_75) * (2/3), converted_stat, '2K_Ratings'!M333, IF(bbgm_stat &gt;= perc_95, converted_stat * 3, IF(bbgm_stat &gt;= perc_90, converted_stat * 2, IF(bbgm_stat &gt;= perc_85, converted_stat * 1.5, converted_stat)))))</f>
        <v/>
      </c>
      <c r="N333" s="30" t="str">
        <f t="array" ref="N333">IF($A333="", "", LET(bbgm_stat, INDEX(Players!$A332:$P332, MATCH(N$2, Players!$A$1:$P$1, 0)), perc_75, VLOOKUP(N$2, Percentiles!$A$45:$I$59, 6, FALSE), perc_90, VLOOKUP(N$2, Percentiles!$A$45:$I$59, 7, FALSE), perc_95, VLOOKUP(N$2, Percentiles!$A$45:$I$59, 8, FALSE), perc_85, perc_75 + (perc_90 - perc_75) * (2/3), converted_stat, '2K_Ratings'!N333, IF(bbgm_stat &gt;= perc_95, converted_stat * 3, IF(bbgm_stat &gt;= perc_90, converted_stat * 2, IF(bbgm_stat &gt;= perc_85, converted_stat * 1.5, converted_stat)))))</f>
        <v/>
      </c>
      <c r="O333" s="30" t="str">
        <f t="array" ref="O333">IF($A333="", "", LET(bbgm_stat, INDEX(Players!$A332:$P332, MATCH(O$2, Players!$A$1:$P$1, 0)), perc_75, VLOOKUP(O$2, Percentiles!$A$45:$I$59, 6, FALSE), perc_90, VLOOKUP(O$2, Percentiles!$A$45:$I$59, 7, FALSE), perc_95, VLOOKUP(O$2, Percentiles!$A$45:$I$59, 8, FALSE), perc_85, perc_75 + (perc_90 - perc_75) * (2/3), converted_stat, '2K_Ratings'!O333, IF(bbgm_stat &gt;= perc_95, converted_stat * 3, IF(bbgm_stat &gt;= perc_90, converted_stat * 2, IF(bbgm_stat &gt;= perc_85, converted_stat * 1.5, converted_stat)))))</f>
        <v/>
      </c>
      <c r="P333" s="30" t="str">
        <f t="array" ref="P333">IF($A333="", "", LET(bbgm_stat, INDEX(Players!$A332:$P332, MATCH(P$2, Players!$A$1:$P$1, 0)), perc_75, VLOOKUP(P$2, Percentiles!$A$45:$I$59, 6, FALSE), perc_90, VLOOKUP(P$2, Percentiles!$A$45:$I$59, 7, FALSE), perc_95, VLOOKUP(P$2, Percentiles!$A$45:$I$59, 8, FALSE), perc_85, perc_75 + (perc_90 - perc_75) * (2/3), converted_stat, '2K_Ratings'!P333, IF(bbgm_stat &gt;= perc_95, converted_stat * 3, IF(bbgm_stat &gt;= perc_90, converted_stat * 2, IF(bbgm_stat &gt;= perc_85, converted_stat * 1.5, converted_stat)))))</f>
        <v/>
      </c>
      <c r="Q333" s="30" t="str">
        <f t="array" ref="Q333">IF($A333="", "", LET(bbgm_stat, INDEX(Players!$A332:$P332, MATCH(Q$2, Players!$A$1:$P$1, 0)), perc_75, VLOOKUP(Q$2, Percentiles!$A$45:$I$59, 6, FALSE), perc_90, VLOOKUP(Q$2, Percentiles!$A$45:$I$59, 7, FALSE), perc_95, VLOOKUP(Q$2, Percentiles!$A$45:$I$59, 8, FALSE), perc_85, perc_75 + (perc_90 - perc_75) * (2/3), converted_stat, '2K_Ratings'!Q333, IF(bbgm_stat &gt;= perc_95, converted_stat * 3, IF(bbgm_stat &gt;= perc_90, converted_stat * 2, IF(bbgm_stat &gt;= perc_85, converted_stat * 1.5, converted_stat)))))</f>
        <v/>
      </c>
      <c r="R333" s="30" t="str">
        <f t="array" ref="R333">IF($A333="", "", LET(bbgm_stat, INDEX(Players!$A332:$P332, MATCH(R$2, Players!$A$1:$P$1, 0)), perc_75, VLOOKUP(R$2, Percentiles!$A$45:$I$59, 6, FALSE), perc_90, VLOOKUP(R$2, Percentiles!$A$45:$I$59, 7, FALSE), perc_95, VLOOKUP(R$2, Percentiles!$A$45:$I$59, 8, FALSE), perc_85, perc_75 + (perc_90 - perc_75) * (2/3), converted_stat, '2K_Ratings'!R333, IF(bbgm_stat &gt;= perc_95, converted_stat * 3, IF(bbgm_stat &gt;= perc_90, converted_stat * 2, IF(bbgm_stat &gt;= perc_85, converted_stat * 1.5, converted_stat)))))</f>
        <v/>
      </c>
      <c r="S333" s="30" t="str">
        <f t="array" ref="S333">IF($A333="", "", LET(bbgm_stat, INDEX(Players!$A332:$P332, MATCH(S$2, Players!$A$1:$P$1, 0)), perc_75, VLOOKUP(S$2, Percentiles!$A$45:$I$59, 6, FALSE), perc_90, VLOOKUP(S$2, Percentiles!$A$45:$I$59, 7, FALSE), perc_95, VLOOKUP(S$2, Percentiles!$A$45:$I$59, 8, FALSE), perc_85, perc_75 + (perc_90 - perc_75) * (2/3), converted_stat, '2K_Ratings'!S333, IF(bbgm_stat &gt;= perc_95, converted_stat * 3, IF(bbgm_stat &gt;= perc_90, converted_stat * 2, IF(bbgm_stat &gt;= perc_85, converted_stat * 1.5, converted_stat)))))</f>
        <v/>
      </c>
      <c r="T333" s="30" t="str">
        <f t="array" ref="T333">IF($A333="", "", LET(bbgm_stat, INDEX(Players!$A332:$P332, MATCH(T$2, Players!$A$1:$P$1, 0)), perc_75, VLOOKUP(T$2, Percentiles!$A$45:$I$59, 6, FALSE), perc_90, VLOOKUP(T$2, Percentiles!$A$45:$I$59, 7, FALSE), perc_95, VLOOKUP(T$2, Percentiles!$A$45:$I$59, 8, FALSE), perc_85, perc_75 + (perc_90 - perc_75) * (2/3), converted_stat, '2K_Ratings'!T333, IF(bbgm_stat &gt;= perc_95, converted_stat * 3, IF(bbgm_stat &gt;= perc_90, converted_stat * 2, IF(bbgm_stat &gt;= perc_85, converted_stat * 1.5, converted_stat)))))</f>
        <v/>
      </c>
      <c r="U333" s="30" t="str">
        <f t="array" ref="U333">IF($A333="", "", LET(bbgm_stat, INDEX(Players!$A332:$P332, MATCH(U$2, Players!$A$1:$P$1, 0)), perc_75, VLOOKUP(U$2, Percentiles!$A$45:$I$59, 6, FALSE), perc_90, VLOOKUP(U$2, Percentiles!$A$45:$I$59, 7, FALSE), perc_95, VLOOKUP(U$2, Percentiles!$A$45:$I$59, 8, FALSE), perc_85, perc_75 + (perc_90 - perc_75) * (2/3), converted_stat, '2K_Ratings'!U333, IF(bbgm_stat &gt;= perc_95, converted_stat * 3, IF(bbgm_stat &gt;= perc_90, converted_stat * 2, IF(bbgm_stat &gt;= perc_85, converted_stat * 1.5, converted_stat)))))</f>
        <v/>
      </c>
      <c r="V333" s="30" t="str">
        <f t="array" ref="V333">IF($A333="", "", LET(bbgm_stat, INDEX(Players!$A332:$P332, MATCH(V$2, Players!$A$1:$P$1, 0)), perc_75, VLOOKUP(V$2, Percentiles!$A$45:$I$59, 6, FALSE), perc_90, VLOOKUP(V$2, Percentiles!$A$45:$I$59, 7, FALSE), perc_95, VLOOKUP(V$2, Percentiles!$A$45:$I$59, 8, FALSE), perc_85, perc_75 + (perc_90 - perc_75) * (2/3), converted_stat, '2K_Ratings'!V333, IF(bbgm_stat &gt;= perc_95, converted_stat * 3, IF(bbgm_stat &gt;= perc_90, converted_stat * 2, IF(bbgm_stat &gt;= perc_85, converted_stat * 1.5, converted_stat)))))</f>
        <v/>
      </c>
      <c r="W333" s="30" t="str">
        <f t="array" ref="W333">IF($A333="", "", LET(bbgm_stat, INDEX(Players!$A332:$P332, MATCH(W$2, Players!$A$1:$P$1, 0)), perc_75, VLOOKUP(W$2, Percentiles!$A$45:$I$59, 6, FALSE), perc_90, VLOOKUP(W$2, Percentiles!$A$45:$I$59, 7, FALSE), perc_95, VLOOKUP(W$2, Percentiles!$A$45:$I$59, 8, FALSE), perc_85, perc_75 + (perc_90 - perc_75) * (2/3), converted_stat, '2K_Ratings'!W333, IF(bbgm_stat &gt;= perc_95, converted_stat * 3, IF(bbgm_stat &gt;= perc_90, converted_stat * 2, IF(bbgm_stat &gt;= perc_85, converted_stat * 1.5, converted_stat)))))</f>
        <v/>
      </c>
    </row>
    <row r="334">
      <c r="A334" s="30"/>
      <c r="B334" s="30" t="str">
        <f t="array" ref="B334">IF($A334="", "", LET(bbgm_stat, INDEX(Players!$A333:$P333, MATCH(B$2, Players!$A$1:$P$1, 0)), perc_75, VLOOKUP(B$2, Percentiles!$A$45:$I$59, 6, FALSE), perc_90, VLOOKUP(B$2, Percentiles!$A$45:$I$59, 7, FALSE), perc_95, VLOOKUP(B$2, Percentiles!$A$45:$I$59, 8, FALSE), perc_85, perc_75 + (perc_90 - perc_75) * (2/3), converted_stat, '2K_Ratings'!B334, IF(bbgm_stat &gt;= perc_95, converted_stat * 3, IF(bbgm_stat &gt;= perc_90, converted_stat * 2, IF(bbgm_stat &gt;= perc_85, converted_stat * 1.5, converted_stat)))))</f>
        <v/>
      </c>
      <c r="C334" s="30" t="str">
        <f t="array" ref="C334">IF($A334="", "", LET(bbgm_stat, INDEX(Players!$A333:$P333, MATCH(C$2, Players!$A$1:$P$1, 0)), perc_75, VLOOKUP(C$2, Percentiles!$A$45:$I$59, 6, FALSE), perc_90, VLOOKUP(C$2, Percentiles!$A$45:$I$59, 7, FALSE), perc_95, VLOOKUP(C$2, Percentiles!$A$45:$I$59, 8, FALSE), perc_85, perc_75 + (perc_90 - perc_75) * (2/3), converted_stat, '2K_Ratings'!C334, IF(bbgm_stat &gt;= perc_95, converted_stat * 3, IF(bbgm_stat &gt;= perc_90, converted_stat * 2, IF(bbgm_stat &gt;= perc_85, converted_stat * 1.5, converted_stat)))))</f>
        <v/>
      </c>
      <c r="D334" s="30" t="str">
        <f t="array" ref="D334">IF($A334="", "", LET(bbgm_stat, INDEX(Players!$A333:$P333, MATCH(D$2, Players!$A$1:$P$1, 0)), perc_75, VLOOKUP(D$2, Percentiles!$A$45:$I$59, 6, FALSE), perc_90, VLOOKUP(D$2, Percentiles!$A$45:$I$59, 7, FALSE), perc_95, VLOOKUP(D$2, Percentiles!$A$45:$I$59, 8, FALSE), perc_85, perc_75 + (perc_90 - perc_75) * (2/3), converted_stat, '2K_Ratings'!D334, IF(bbgm_stat &gt;= perc_95, converted_stat * 3, IF(bbgm_stat &gt;= perc_90, converted_stat * 2, IF(bbgm_stat &gt;= perc_85, converted_stat * 1.5, converted_stat)))))</f>
        <v/>
      </c>
      <c r="E334" s="30" t="str">
        <f t="array" ref="E334">IF($A334="", "", LET(bbgm_stat, INDEX(Players!$A333:$P333, MATCH(E$2, Players!$A$1:$P$1, 0)), perc_75, VLOOKUP(E$2, Percentiles!$A$45:$I$59, 6, FALSE), perc_90, VLOOKUP(E$2, Percentiles!$A$45:$I$59, 7, FALSE), perc_95, VLOOKUP(E$2, Percentiles!$A$45:$I$59, 8, FALSE), perc_85, perc_75 + (perc_90 - perc_75) * (2/3), converted_stat, '2K_Ratings'!E334, IF(bbgm_stat &gt;= perc_95, converted_stat * 3, IF(bbgm_stat &gt;= perc_90, converted_stat * 2, IF(bbgm_stat &gt;= perc_85, converted_stat * 1.5, converted_stat)))))</f>
        <v/>
      </c>
      <c r="F334" s="30" t="str">
        <f t="array" ref="F334">IF($A334="", "", LET(bbgm_stat, INDEX(Players!$A333:$P333, MATCH(F$2, Players!$A$1:$P$1, 0)), perc_75, VLOOKUP(F$2, Percentiles!$A$45:$I$59, 6, FALSE), perc_90, VLOOKUP(F$2, Percentiles!$A$45:$I$59, 7, FALSE), perc_95, VLOOKUP(F$2, Percentiles!$A$45:$I$59, 8, FALSE), perc_85, perc_75 + (perc_90 - perc_75) * (2/3), converted_stat, '2K_Ratings'!F334, IF(bbgm_stat &gt;= perc_95, converted_stat * 3, IF(bbgm_stat &gt;= perc_90, converted_stat * 2, IF(bbgm_stat &gt;= perc_85, converted_stat * 1.5, converted_stat)))))</f>
        <v/>
      </c>
      <c r="G334" s="30" t="str">
        <f t="array" ref="G334">IF($A334="", "", LET(bbgm_stat, INDEX(Players!$A333:$P333, MATCH(G$2, Players!$A$1:$P$1, 0)), perc_75, VLOOKUP(G$2, Percentiles!$A$45:$I$59, 6, FALSE), perc_90, VLOOKUP(G$2, Percentiles!$A$45:$I$59, 7, FALSE), perc_95, VLOOKUP(G$2, Percentiles!$A$45:$I$59, 8, FALSE), perc_85, perc_75 + (perc_90 - perc_75) * (2/3), converted_stat, '2K_Ratings'!G334, IF(bbgm_stat &gt;= perc_95, converted_stat * 3, IF(bbgm_stat &gt;= perc_90, converted_stat * 2, IF(bbgm_stat &gt;= perc_85, converted_stat * 1.5, converted_stat)))))</f>
        <v/>
      </c>
      <c r="H334" s="30" t="str">
        <f t="array" ref="H334">IF($A334="", "", LET(bbgm_stat, INDEX(Players!$A333:$P333, MATCH(H$2, Players!$A$1:$P$1, 0)), perc_75, VLOOKUP(H$2, Percentiles!$A$45:$I$59, 6, FALSE), perc_90, VLOOKUP(H$2, Percentiles!$A$45:$I$59, 7, FALSE), perc_95, VLOOKUP(H$2, Percentiles!$A$45:$I$59, 8, FALSE), perc_85, perc_75 + (perc_90 - perc_75) * (2/3), converted_stat, '2K_Ratings'!H334, IF(bbgm_stat &gt;= perc_95, converted_stat * 3, IF(bbgm_stat &gt;= perc_90, converted_stat * 2, IF(bbgm_stat &gt;= perc_85, converted_stat * 1.5, converted_stat)))))</f>
        <v/>
      </c>
      <c r="I334" s="30" t="str">
        <f t="array" ref="I334">IF($A334="", "", LET(bbgm_stat, INDEX(Players!$A333:$P333, MATCH(I$2, Players!$A$1:$P$1, 0)), perc_75, VLOOKUP(I$2, Percentiles!$A$45:$I$59, 6, FALSE), perc_90, VLOOKUP(I$2, Percentiles!$A$45:$I$59, 7, FALSE), perc_95, VLOOKUP(I$2, Percentiles!$A$45:$I$59, 8, FALSE), perc_85, perc_75 + (perc_90 - perc_75) * (2/3), converted_stat, '2K_Ratings'!I334, IF(bbgm_stat &gt;= perc_95, converted_stat * 3, IF(bbgm_stat &gt;= perc_90, converted_stat * 2, IF(bbgm_stat &gt;= perc_85, converted_stat * 1.5, converted_stat)))))</f>
        <v/>
      </c>
      <c r="J334" s="30" t="str">
        <f t="array" ref="J334">IF($A334="", "", LET(bbgm_stat, INDEX(Players!$A333:$P333, MATCH(J$2, Players!$A$1:$P$1, 0)), perc_75, VLOOKUP(J$2, Percentiles!$A$45:$I$59, 6, FALSE), perc_90, VLOOKUP(J$2, Percentiles!$A$45:$I$59, 7, FALSE), perc_95, VLOOKUP(J$2, Percentiles!$A$45:$I$59, 8, FALSE), perc_85, perc_75 + (perc_90 - perc_75) * (2/3), converted_stat, '2K_Ratings'!J334, IF(bbgm_stat &gt;= perc_95, converted_stat * 3, IF(bbgm_stat &gt;= perc_90, converted_stat * 2, IF(bbgm_stat &gt;= perc_85, converted_stat * 1.5, converted_stat)))))</f>
        <v/>
      </c>
      <c r="K334" s="30" t="str">
        <f t="array" ref="K334">IF($A334="", "", LET(bbgm_stat, INDEX(Players!$A333:$P333, MATCH(K$2, Players!$A$1:$P$1, 0)), perc_75, VLOOKUP(K$2, Percentiles!$A$45:$I$59, 6, FALSE), perc_90, VLOOKUP(K$2, Percentiles!$A$45:$I$59, 7, FALSE), perc_95, VLOOKUP(K$2, Percentiles!$A$45:$I$59, 8, FALSE), perc_85, perc_75 + (perc_90 - perc_75) * (2/3), converted_stat, '2K_Ratings'!K334, IF(bbgm_stat &gt;= perc_95, converted_stat * 3, IF(bbgm_stat &gt;= perc_90, converted_stat * 2, IF(bbgm_stat &gt;= perc_85, converted_stat * 1.5, converted_stat)))))</f>
        <v/>
      </c>
      <c r="L334" s="30" t="str">
        <f t="array" ref="L334">IF($A334="", "", LET(bbgm_stat, INDEX(Players!$A333:$P333, MATCH(L$2, Players!$A$1:$P$1, 0)), perc_75, VLOOKUP(L$2, Percentiles!$A$45:$I$59, 6, FALSE), perc_90, VLOOKUP(L$2, Percentiles!$A$45:$I$59, 7, FALSE), perc_95, VLOOKUP(L$2, Percentiles!$A$45:$I$59, 8, FALSE), perc_85, perc_75 + (perc_90 - perc_75) * (2/3), converted_stat, '2K_Ratings'!L334, IF(bbgm_stat &gt;= perc_95, converted_stat * 3, IF(bbgm_stat &gt;= perc_90, converted_stat * 2, IF(bbgm_stat &gt;= perc_85, converted_stat * 1.5, converted_stat)))))</f>
        <v/>
      </c>
      <c r="M334" s="30" t="str">
        <f t="array" ref="M334">IF($A334="", "", LET(bbgm_stat, INDEX(Players!$A333:$P333, MATCH(M$2, Players!$A$1:$P$1, 0)), perc_75, VLOOKUP(M$2, Percentiles!$A$45:$I$59, 6, FALSE), perc_90, VLOOKUP(M$2, Percentiles!$A$45:$I$59, 7, FALSE), perc_95, VLOOKUP(M$2, Percentiles!$A$45:$I$59, 8, FALSE), perc_85, perc_75 + (perc_90 - perc_75) * (2/3), converted_stat, '2K_Ratings'!M334, IF(bbgm_stat &gt;= perc_95, converted_stat * 3, IF(bbgm_stat &gt;= perc_90, converted_stat * 2, IF(bbgm_stat &gt;= perc_85, converted_stat * 1.5, converted_stat)))))</f>
        <v/>
      </c>
      <c r="N334" s="30" t="str">
        <f t="array" ref="N334">IF($A334="", "", LET(bbgm_stat, INDEX(Players!$A333:$P333, MATCH(N$2, Players!$A$1:$P$1, 0)), perc_75, VLOOKUP(N$2, Percentiles!$A$45:$I$59, 6, FALSE), perc_90, VLOOKUP(N$2, Percentiles!$A$45:$I$59, 7, FALSE), perc_95, VLOOKUP(N$2, Percentiles!$A$45:$I$59, 8, FALSE), perc_85, perc_75 + (perc_90 - perc_75) * (2/3), converted_stat, '2K_Ratings'!N334, IF(bbgm_stat &gt;= perc_95, converted_stat * 3, IF(bbgm_stat &gt;= perc_90, converted_stat * 2, IF(bbgm_stat &gt;= perc_85, converted_stat * 1.5, converted_stat)))))</f>
        <v/>
      </c>
      <c r="O334" s="30" t="str">
        <f t="array" ref="O334">IF($A334="", "", LET(bbgm_stat, INDEX(Players!$A333:$P333, MATCH(O$2, Players!$A$1:$P$1, 0)), perc_75, VLOOKUP(O$2, Percentiles!$A$45:$I$59, 6, FALSE), perc_90, VLOOKUP(O$2, Percentiles!$A$45:$I$59, 7, FALSE), perc_95, VLOOKUP(O$2, Percentiles!$A$45:$I$59, 8, FALSE), perc_85, perc_75 + (perc_90 - perc_75) * (2/3), converted_stat, '2K_Ratings'!O334, IF(bbgm_stat &gt;= perc_95, converted_stat * 3, IF(bbgm_stat &gt;= perc_90, converted_stat * 2, IF(bbgm_stat &gt;= perc_85, converted_stat * 1.5, converted_stat)))))</f>
        <v/>
      </c>
      <c r="P334" s="30" t="str">
        <f t="array" ref="P334">IF($A334="", "", LET(bbgm_stat, INDEX(Players!$A333:$P333, MATCH(P$2, Players!$A$1:$P$1, 0)), perc_75, VLOOKUP(P$2, Percentiles!$A$45:$I$59, 6, FALSE), perc_90, VLOOKUP(P$2, Percentiles!$A$45:$I$59, 7, FALSE), perc_95, VLOOKUP(P$2, Percentiles!$A$45:$I$59, 8, FALSE), perc_85, perc_75 + (perc_90 - perc_75) * (2/3), converted_stat, '2K_Ratings'!P334, IF(bbgm_stat &gt;= perc_95, converted_stat * 3, IF(bbgm_stat &gt;= perc_90, converted_stat * 2, IF(bbgm_stat &gt;= perc_85, converted_stat * 1.5, converted_stat)))))</f>
        <v/>
      </c>
      <c r="Q334" s="30" t="str">
        <f t="array" ref="Q334">IF($A334="", "", LET(bbgm_stat, INDEX(Players!$A333:$P333, MATCH(Q$2, Players!$A$1:$P$1, 0)), perc_75, VLOOKUP(Q$2, Percentiles!$A$45:$I$59, 6, FALSE), perc_90, VLOOKUP(Q$2, Percentiles!$A$45:$I$59, 7, FALSE), perc_95, VLOOKUP(Q$2, Percentiles!$A$45:$I$59, 8, FALSE), perc_85, perc_75 + (perc_90 - perc_75) * (2/3), converted_stat, '2K_Ratings'!Q334, IF(bbgm_stat &gt;= perc_95, converted_stat * 3, IF(bbgm_stat &gt;= perc_90, converted_stat * 2, IF(bbgm_stat &gt;= perc_85, converted_stat * 1.5, converted_stat)))))</f>
        <v/>
      </c>
      <c r="R334" s="30" t="str">
        <f t="array" ref="R334">IF($A334="", "", LET(bbgm_stat, INDEX(Players!$A333:$P333, MATCH(R$2, Players!$A$1:$P$1, 0)), perc_75, VLOOKUP(R$2, Percentiles!$A$45:$I$59, 6, FALSE), perc_90, VLOOKUP(R$2, Percentiles!$A$45:$I$59, 7, FALSE), perc_95, VLOOKUP(R$2, Percentiles!$A$45:$I$59, 8, FALSE), perc_85, perc_75 + (perc_90 - perc_75) * (2/3), converted_stat, '2K_Ratings'!R334, IF(bbgm_stat &gt;= perc_95, converted_stat * 3, IF(bbgm_stat &gt;= perc_90, converted_stat * 2, IF(bbgm_stat &gt;= perc_85, converted_stat * 1.5, converted_stat)))))</f>
        <v/>
      </c>
      <c r="S334" s="30" t="str">
        <f t="array" ref="S334">IF($A334="", "", LET(bbgm_stat, INDEX(Players!$A333:$P333, MATCH(S$2, Players!$A$1:$P$1, 0)), perc_75, VLOOKUP(S$2, Percentiles!$A$45:$I$59, 6, FALSE), perc_90, VLOOKUP(S$2, Percentiles!$A$45:$I$59, 7, FALSE), perc_95, VLOOKUP(S$2, Percentiles!$A$45:$I$59, 8, FALSE), perc_85, perc_75 + (perc_90 - perc_75) * (2/3), converted_stat, '2K_Ratings'!S334, IF(bbgm_stat &gt;= perc_95, converted_stat * 3, IF(bbgm_stat &gt;= perc_90, converted_stat * 2, IF(bbgm_stat &gt;= perc_85, converted_stat * 1.5, converted_stat)))))</f>
        <v/>
      </c>
      <c r="T334" s="30" t="str">
        <f t="array" ref="T334">IF($A334="", "", LET(bbgm_stat, INDEX(Players!$A333:$P333, MATCH(T$2, Players!$A$1:$P$1, 0)), perc_75, VLOOKUP(T$2, Percentiles!$A$45:$I$59, 6, FALSE), perc_90, VLOOKUP(T$2, Percentiles!$A$45:$I$59, 7, FALSE), perc_95, VLOOKUP(T$2, Percentiles!$A$45:$I$59, 8, FALSE), perc_85, perc_75 + (perc_90 - perc_75) * (2/3), converted_stat, '2K_Ratings'!T334, IF(bbgm_stat &gt;= perc_95, converted_stat * 3, IF(bbgm_stat &gt;= perc_90, converted_stat * 2, IF(bbgm_stat &gt;= perc_85, converted_stat * 1.5, converted_stat)))))</f>
        <v/>
      </c>
      <c r="U334" s="30" t="str">
        <f t="array" ref="U334">IF($A334="", "", LET(bbgm_stat, INDEX(Players!$A333:$P333, MATCH(U$2, Players!$A$1:$P$1, 0)), perc_75, VLOOKUP(U$2, Percentiles!$A$45:$I$59, 6, FALSE), perc_90, VLOOKUP(U$2, Percentiles!$A$45:$I$59, 7, FALSE), perc_95, VLOOKUP(U$2, Percentiles!$A$45:$I$59, 8, FALSE), perc_85, perc_75 + (perc_90 - perc_75) * (2/3), converted_stat, '2K_Ratings'!U334, IF(bbgm_stat &gt;= perc_95, converted_stat * 3, IF(bbgm_stat &gt;= perc_90, converted_stat * 2, IF(bbgm_stat &gt;= perc_85, converted_stat * 1.5, converted_stat)))))</f>
        <v/>
      </c>
      <c r="V334" s="30" t="str">
        <f t="array" ref="V334">IF($A334="", "", LET(bbgm_stat, INDEX(Players!$A333:$P333, MATCH(V$2, Players!$A$1:$P$1, 0)), perc_75, VLOOKUP(V$2, Percentiles!$A$45:$I$59, 6, FALSE), perc_90, VLOOKUP(V$2, Percentiles!$A$45:$I$59, 7, FALSE), perc_95, VLOOKUP(V$2, Percentiles!$A$45:$I$59, 8, FALSE), perc_85, perc_75 + (perc_90 - perc_75) * (2/3), converted_stat, '2K_Ratings'!V334, IF(bbgm_stat &gt;= perc_95, converted_stat * 3, IF(bbgm_stat &gt;= perc_90, converted_stat * 2, IF(bbgm_stat &gt;= perc_85, converted_stat * 1.5, converted_stat)))))</f>
        <v/>
      </c>
      <c r="W334" s="30" t="str">
        <f t="array" ref="W334">IF($A334="", "", LET(bbgm_stat, INDEX(Players!$A333:$P333, MATCH(W$2, Players!$A$1:$P$1, 0)), perc_75, VLOOKUP(W$2, Percentiles!$A$45:$I$59, 6, FALSE), perc_90, VLOOKUP(W$2, Percentiles!$A$45:$I$59, 7, FALSE), perc_95, VLOOKUP(W$2, Percentiles!$A$45:$I$59, 8, FALSE), perc_85, perc_75 + (perc_90 - perc_75) * (2/3), converted_stat, '2K_Ratings'!W334, IF(bbgm_stat &gt;= perc_95, converted_stat * 3, IF(bbgm_stat &gt;= perc_90, converted_stat * 2, IF(bbgm_stat &gt;= perc_85, converted_stat * 1.5, converted_stat)))))</f>
        <v/>
      </c>
    </row>
    <row r="335">
      <c r="A335" s="30"/>
      <c r="B335" s="30" t="str">
        <f t="array" ref="B335">IF($A335="", "", LET(bbgm_stat, INDEX(Players!$A334:$P334, MATCH(B$2, Players!$A$1:$P$1, 0)), perc_75, VLOOKUP(B$2, Percentiles!$A$45:$I$59, 6, FALSE), perc_90, VLOOKUP(B$2, Percentiles!$A$45:$I$59, 7, FALSE), perc_95, VLOOKUP(B$2, Percentiles!$A$45:$I$59, 8, FALSE), perc_85, perc_75 + (perc_90 - perc_75) * (2/3), converted_stat, '2K_Ratings'!B335, IF(bbgm_stat &gt;= perc_95, converted_stat * 3, IF(bbgm_stat &gt;= perc_90, converted_stat * 2, IF(bbgm_stat &gt;= perc_85, converted_stat * 1.5, converted_stat)))))</f>
        <v/>
      </c>
      <c r="C335" s="30" t="str">
        <f t="array" ref="C335">IF($A335="", "", LET(bbgm_stat, INDEX(Players!$A334:$P334, MATCH(C$2, Players!$A$1:$P$1, 0)), perc_75, VLOOKUP(C$2, Percentiles!$A$45:$I$59, 6, FALSE), perc_90, VLOOKUP(C$2, Percentiles!$A$45:$I$59, 7, FALSE), perc_95, VLOOKUP(C$2, Percentiles!$A$45:$I$59, 8, FALSE), perc_85, perc_75 + (perc_90 - perc_75) * (2/3), converted_stat, '2K_Ratings'!C335, IF(bbgm_stat &gt;= perc_95, converted_stat * 3, IF(bbgm_stat &gt;= perc_90, converted_stat * 2, IF(bbgm_stat &gt;= perc_85, converted_stat * 1.5, converted_stat)))))</f>
        <v/>
      </c>
      <c r="D335" s="30" t="str">
        <f t="array" ref="D335">IF($A335="", "", LET(bbgm_stat, INDEX(Players!$A334:$P334, MATCH(D$2, Players!$A$1:$P$1, 0)), perc_75, VLOOKUP(D$2, Percentiles!$A$45:$I$59, 6, FALSE), perc_90, VLOOKUP(D$2, Percentiles!$A$45:$I$59, 7, FALSE), perc_95, VLOOKUP(D$2, Percentiles!$A$45:$I$59, 8, FALSE), perc_85, perc_75 + (perc_90 - perc_75) * (2/3), converted_stat, '2K_Ratings'!D335, IF(bbgm_stat &gt;= perc_95, converted_stat * 3, IF(bbgm_stat &gt;= perc_90, converted_stat * 2, IF(bbgm_stat &gt;= perc_85, converted_stat * 1.5, converted_stat)))))</f>
        <v/>
      </c>
      <c r="E335" s="30" t="str">
        <f t="array" ref="E335">IF($A335="", "", LET(bbgm_stat, INDEX(Players!$A334:$P334, MATCH(E$2, Players!$A$1:$P$1, 0)), perc_75, VLOOKUP(E$2, Percentiles!$A$45:$I$59, 6, FALSE), perc_90, VLOOKUP(E$2, Percentiles!$A$45:$I$59, 7, FALSE), perc_95, VLOOKUP(E$2, Percentiles!$A$45:$I$59, 8, FALSE), perc_85, perc_75 + (perc_90 - perc_75) * (2/3), converted_stat, '2K_Ratings'!E335, IF(bbgm_stat &gt;= perc_95, converted_stat * 3, IF(bbgm_stat &gt;= perc_90, converted_stat * 2, IF(bbgm_stat &gt;= perc_85, converted_stat * 1.5, converted_stat)))))</f>
        <v/>
      </c>
      <c r="F335" s="30" t="str">
        <f t="array" ref="F335">IF($A335="", "", LET(bbgm_stat, INDEX(Players!$A334:$P334, MATCH(F$2, Players!$A$1:$P$1, 0)), perc_75, VLOOKUP(F$2, Percentiles!$A$45:$I$59, 6, FALSE), perc_90, VLOOKUP(F$2, Percentiles!$A$45:$I$59, 7, FALSE), perc_95, VLOOKUP(F$2, Percentiles!$A$45:$I$59, 8, FALSE), perc_85, perc_75 + (perc_90 - perc_75) * (2/3), converted_stat, '2K_Ratings'!F335, IF(bbgm_stat &gt;= perc_95, converted_stat * 3, IF(bbgm_stat &gt;= perc_90, converted_stat * 2, IF(bbgm_stat &gt;= perc_85, converted_stat * 1.5, converted_stat)))))</f>
        <v/>
      </c>
      <c r="G335" s="30" t="str">
        <f t="array" ref="G335">IF($A335="", "", LET(bbgm_stat, INDEX(Players!$A334:$P334, MATCH(G$2, Players!$A$1:$P$1, 0)), perc_75, VLOOKUP(G$2, Percentiles!$A$45:$I$59, 6, FALSE), perc_90, VLOOKUP(G$2, Percentiles!$A$45:$I$59, 7, FALSE), perc_95, VLOOKUP(G$2, Percentiles!$A$45:$I$59, 8, FALSE), perc_85, perc_75 + (perc_90 - perc_75) * (2/3), converted_stat, '2K_Ratings'!G335, IF(bbgm_stat &gt;= perc_95, converted_stat * 3, IF(bbgm_stat &gt;= perc_90, converted_stat * 2, IF(bbgm_stat &gt;= perc_85, converted_stat * 1.5, converted_stat)))))</f>
        <v/>
      </c>
      <c r="H335" s="30" t="str">
        <f t="array" ref="H335">IF($A335="", "", LET(bbgm_stat, INDEX(Players!$A334:$P334, MATCH(H$2, Players!$A$1:$P$1, 0)), perc_75, VLOOKUP(H$2, Percentiles!$A$45:$I$59, 6, FALSE), perc_90, VLOOKUP(H$2, Percentiles!$A$45:$I$59, 7, FALSE), perc_95, VLOOKUP(H$2, Percentiles!$A$45:$I$59, 8, FALSE), perc_85, perc_75 + (perc_90 - perc_75) * (2/3), converted_stat, '2K_Ratings'!H335, IF(bbgm_stat &gt;= perc_95, converted_stat * 3, IF(bbgm_stat &gt;= perc_90, converted_stat * 2, IF(bbgm_stat &gt;= perc_85, converted_stat * 1.5, converted_stat)))))</f>
        <v/>
      </c>
      <c r="I335" s="30" t="str">
        <f t="array" ref="I335">IF($A335="", "", LET(bbgm_stat, INDEX(Players!$A334:$P334, MATCH(I$2, Players!$A$1:$P$1, 0)), perc_75, VLOOKUP(I$2, Percentiles!$A$45:$I$59, 6, FALSE), perc_90, VLOOKUP(I$2, Percentiles!$A$45:$I$59, 7, FALSE), perc_95, VLOOKUP(I$2, Percentiles!$A$45:$I$59, 8, FALSE), perc_85, perc_75 + (perc_90 - perc_75) * (2/3), converted_stat, '2K_Ratings'!I335, IF(bbgm_stat &gt;= perc_95, converted_stat * 3, IF(bbgm_stat &gt;= perc_90, converted_stat * 2, IF(bbgm_stat &gt;= perc_85, converted_stat * 1.5, converted_stat)))))</f>
        <v/>
      </c>
      <c r="J335" s="30" t="str">
        <f t="array" ref="J335">IF($A335="", "", LET(bbgm_stat, INDEX(Players!$A334:$P334, MATCH(J$2, Players!$A$1:$P$1, 0)), perc_75, VLOOKUP(J$2, Percentiles!$A$45:$I$59, 6, FALSE), perc_90, VLOOKUP(J$2, Percentiles!$A$45:$I$59, 7, FALSE), perc_95, VLOOKUP(J$2, Percentiles!$A$45:$I$59, 8, FALSE), perc_85, perc_75 + (perc_90 - perc_75) * (2/3), converted_stat, '2K_Ratings'!J335, IF(bbgm_stat &gt;= perc_95, converted_stat * 3, IF(bbgm_stat &gt;= perc_90, converted_stat * 2, IF(bbgm_stat &gt;= perc_85, converted_stat * 1.5, converted_stat)))))</f>
        <v/>
      </c>
      <c r="K335" s="30" t="str">
        <f t="array" ref="K335">IF($A335="", "", LET(bbgm_stat, INDEX(Players!$A334:$P334, MATCH(K$2, Players!$A$1:$P$1, 0)), perc_75, VLOOKUP(K$2, Percentiles!$A$45:$I$59, 6, FALSE), perc_90, VLOOKUP(K$2, Percentiles!$A$45:$I$59, 7, FALSE), perc_95, VLOOKUP(K$2, Percentiles!$A$45:$I$59, 8, FALSE), perc_85, perc_75 + (perc_90 - perc_75) * (2/3), converted_stat, '2K_Ratings'!K335, IF(bbgm_stat &gt;= perc_95, converted_stat * 3, IF(bbgm_stat &gt;= perc_90, converted_stat * 2, IF(bbgm_stat &gt;= perc_85, converted_stat * 1.5, converted_stat)))))</f>
        <v/>
      </c>
      <c r="L335" s="30" t="str">
        <f t="array" ref="L335">IF($A335="", "", LET(bbgm_stat, INDEX(Players!$A334:$P334, MATCH(L$2, Players!$A$1:$P$1, 0)), perc_75, VLOOKUP(L$2, Percentiles!$A$45:$I$59, 6, FALSE), perc_90, VLOOKUP(L$2, Percentiles!$A$45:$I$59, 7, FALSE), perc_95, VLOOKUP(L$2, Percentiles!$A$45:$I$59, 8, FALSE), perc_85, perc_75 + (perc_90 - perc_75) * (2/3), converted_stat, '2K_Ratings'!L335, IF(bbgm_stat &gt;= perc_95, converted_stat * 3, IF(bbgm_stat &gt;= perc_90, converted_stat * 2, IF(bbgm_stat &gt;= perc_85, converted_stat * 1.5, converted_stat)))))</f>
        <v/>
      </c>
      <c r="M335" s="30" t="str">
        <f t="array" ref="M335">IF($A335="", "", LET(bbgm_stat, INDEX(Players!$A334:$P334, MATCH(M$2, Players!$A$1:$P$1, 0)), perc_75, VLOOKUP(M$2, Percentiles!$A$45:$I$59, 6, FALSE), perc_90, VLOOKUP(M$2, Percentiles!$A$45:$I$59, 7, FALSE), perc_95, VLOOKUP(M$2, Percentiles!$A$45:$I$59, 8, FALSE), perc_85, perc_75 + (perc_90 - perc_75) * (2/3), converted_stat, '2K_Ratings'!M335, IF(bbgm_stat &gt;= perc_95, converted_stat * 3, IF(bbgm_stat &gt;= perc_90, converted_stat * 2, IF(bbgm_stat &gt;= perc_85, converted_stat * 1.5, converted_stat)))))</f>
        <v/>
      </c>
      <c r="N335" s="30" t="str">
        <f t="array" ref="N335">IF($A335="", "", LET(bbgm_stat, INDEX(Players!$A334:$P334, MATCH(N$2, Players!$A$1:$P$1, 0)), perc_75, VLOOKUP(N$2, Percentiles!$A$45:$I$59, 6, FALSE), perc_90, VLOOKUP(N$2, Percentiles!$A$45:$I$59, 7, FALSE), perc_95, VLOOKUP(N$2, Percentiles!$A$45:$I$59, 8, FALSE), perc_85, perc_75 + (perc_90 - perc_75) * (2/3), converted_stat, '2K_Ratings'!N335, IF(bbgm_stat &gt;= perc_95, converted_stat * 3, IF(bbgm_stat &gt;= perc_90, converted_stat * 2, IF(bbgm_stat &gt;= perc_85, converted_stat * 1.5, converted_stat)))))</f>
        <v/>
      </c>
      <c r="O335" s="30" t="str">
        <f t="array" ref="O335">IF($A335="", "", LET(bbgm_stat, INDEX(Players!$A334:$P334, MATCH(O$2, Players!$A$1:$P$1, 0)), perc_75, VLOOKUP(O$2, Percentiles!$A$45:$I$59, 6, FALSE), perc_90, VLOOKUP(O$2, Percentiles!$A$45:$I$59, 7, FALSE), perc_95, VLOOKUP(O$2, Percentiles!$A$45:$I$59, 8, FALSE), perc_85, perc_75 + (perc_90 - perc_75) * (2/3), converted_stat, '2K_Ratings'!O335, IF(bbgm_stat &gt;= perc_95, converted_stat * 3, IF(bbgm_stat &gt;= perc_90, converted_stat * 2, IF(bbgm_stat &gt;= perc_85, converted_stat * 1.5, converted_stat)))))</f>
        <v/>
      </c>
      <c r="P335" s="30" t="str">
        <f t="array" ref="P335">IF($A335="", "", LET(bbgm_stat, INDEX(Players!$A334:$P334, MATCH(P$2, Players!$A$1:$P$1, 0)), perc_75, VLOOKUP(P$2, Percentiles!$A$45:$I$59, 6, FALSE), perc_90, VLOOKUP(P$2, Percentiles!$A$45:$I$59, 7, FALSE), perc_95, VLOOKUP(P$2, Percentiles!$A$45:$I$59, 8, FALSE), perc_85, perc_75 + (perc_90 - perc_75) * (2/3), converted_stat, '2K_Ratings'!P335, IF(bbgm_stat &gt;= perc_95, converted_stat * 3, IF(bbgm_stat &gt;= perc_90, converted_stat * 2, IF(bbgm_stat &gt;= perc_85, converted_stat * 1.5, converted_stat)))))</f>
        <v/>
      </c>
      <c r="Q335" s="30" t="str">
        <f t="array" ref="Q335">IF($A335="", "", LET(bbgm_stat, INDEX(Players!$A334:$P334, MATCH(Q$2, Players!$A$1:$P$1, 0)), perc_75, VLOOKUP(Q$2, Percentiles!$A$45:$I$59, 6, FALSE), perc_90, VLOOKUP(Q$2, Percentiles!$A$45:$I$59, 7, FALSE), perc_95, VLOOKUP(Q$2, Percentiles!$A$45:$I$59, 8, FALSE), perc_85, perc_75 + (perc_90 - perc_75) * (2/3), converted_stat, '2K_Ratings'!Q335, IF(bbgm_stat &gt;= perc_95, converted_stat * 3, IF(bbgm_stat &gt;= perc_90, converted_stat * 2, IF(bbgm_stat &gt;= perc_85, converted_stat * 1.5, converted_stat)))))</f>
        <v/>
      </c>
      <c r="R335" s="30" t="str">
        <f t="array" ref="R335">IF($A335="", "", LET(bbgm_stat, INDEX(Players!$A334:$P334, MATCH(R$2, Players!$A$1:$P$1, 0)), perc_75, VLOOKUP(R$2, Percentiles!$A$45:$I$59, 6, FALSE), perc_90, VLOOKUP(R$2, Percentiles!$A$45:$I$59, 7, FALSE), perc_95, VLOOKUP(R$2, Percentiles!$A$45:$I$59, 8, FALSE), perc_85, perc_75 + (perc_90 - perc_75) * (2/3), converted_stat, '2K_Ratings'!R335, IF(bbgm_stat &gt;= perc_95, converted_stat * 3, IF(bbgm_stat &gt;= perc_90, converted_stat * 2, IF(bbgm_stat &gt;= perc_85, converted_stat * 1.5, converted_stat)))))</f>
        <v/>
      </c>
      <c r="S335" s="30" t="str">
        <f t="array" ref="S335">IF($A335="", "", LET(bbgm_stat, INDEX(Players!$A334:$P334, MATCH(S$2, Players!$A$1:$P$1, 0)), perc_75, VLOOKUP(S$2, Percentiles!$A$45:$I$59, 6, FALSE), perc_90, VLOOKUP(S$2, Percentiles!$A$45:$I$59, 7, FALSE), perc_95, VLOOKUP(S$2, Percentiles!$A$45:$I$59, 8, FALSE), perc_85, perc_75 + (perc_90 - perc_75) * (2/3), converted_stat, '2K_Ratings'!S335, IF(bbgm_stat &gt;= perc_95, converted_stat * 3, IF(bbgm_stat &gt;= perc_90, converted_stat * 2, IF(bbgm_stat &gt;= perc_85, converted_stat * 1.5, converted_stat)))))</f>
        <v/>
      </c>
      <c r="T335" s="30" t="str">
        <f t="array" ref="T335">IF($A335="", "", LET(bbgm_stat, INDEX(Players!$A334:$P334, MATCH(T$2, Players!$A$1:$P$1, 0)), perc_75, VLOOKUP(T$2, Percentiles!$A$45:$I$59, 6, FALSE), perc_90, VLOOKUP(T$2, Percentiles!$A$45:$I$59, 7, FALSE), perc_95, VLOOKUP(T$2, Percentiles!$A$45:$I$59, 8, FALSE), perc_85, perc_75 + (perc_90 - perc_75) * (2/3), converted_stat, '2K_Ratings'!T335, IF(bbgm_stat &gt;= perc_95, converted_stat * 3, IF(bbgm_stat &gt;= perc_90, converted_stat * 2, IF(bbgm_stat &gt;= perc_85, converted_stat * 1.5, converted_stat)))))</f>
        <v/>
      </c>
      <c r="U335" s="30" t="str">
        <f t="array" ref="U335">IF($A335="", "", LET(bbgm_stat, INDEX(Players!$A334:$P334, MATCH(U$2, Players!$A$1:$P$1, 0)), perc_75, VLOOKUP(U$2, Percentiles!$A$45:$I$59, 6, FALSE), perc_90, VLOOKUP(U$2, Percentiles!$A$45:$I$59, 7, FALSE), perc_95, VLOOKUP(U$2, Percentiles!$A$45:$I$59, 8, FALSE), perc_85, perc_75 + (perc_90 - perc_75) * (2/3), converted_stat, '2K_Ratings'!U335, IF(bbgm_stat &gt;= perc_95, converted_stat * 3, IF(bbgm_stat &gt;= perc_90, converted_stat * 2, IF(bbgm_stat &gt;= perc_85, converted_stat * 1.5, converted_stat)))))</f>
        <v/>
      </c>
      <c r="V335" s="30" t="str">
        <f t="array" ref="V335">IF($A335="", "", LET(bbgm_stat, INDEX(Players!$A334:$P334, MATCH(V$2, Players!$A$1:$P$1, 0)), perc_75, VLOOKUP(V$2, Percentiles!$A$45:$I$59, 6, FALSE), perc_90, VLOOKUP(V$2, Percentiles!$A$45:$I$59, 7, FALSE), perc_95, VLOOKUP(V$2, Percentiles!$A$45:$I$59, 8, FALSE), perc_85, perc_75 + (perc_90 - perc_75) * (2/3), converted_stat, '2K_Ratings'!V335, IF(bbgm_stat &gt;= perc_95, converted_stat * 3, IF(bbgm_stat &gt;= perc_90, converted_stat * 2, IF(bbgm_stat &gt;= perc_85, converted_stat * 1.5, converted_stat)))))</f>
        <v/>
      </c>
      <c r="W335" s="30" t="str">
        <f t="array" ref="W335">IF($A335="", "", LET(bbgm_stat, INDEX(Players!$A334:$P334, MATCH(W$2, Players!$A$1:$P$1, 0)), perc_75, VLOOKUP(W$2, Percentiles!$A$45:$I$59, 6, FALSE), perc_90, VLOOKUP(W$2, Percentiles!$A$45:$I$59, 7, FALSE), perc_95, VLOOKUP(W$2, Percentiles!$A$45:$I$59, 8, FALSE), perc_85, perc_75 + (perc_90 - perc_75) * (2/3), converted_stat, '2K_Ratings'!W335, IF(bbgm_stat &gt;= perc_95, converted_stat * 3, IF(bbgm_stat &gt;= perc_90, converted_stat * 2, IF(bbgm_stat &gt;= perc_85, converted_stat * 1.5, converted_stat)))))</f>
        <v/>
      </c>
    </row>
    <row r="336">
      <c r="A336" s="30"/>
      <c r="B336" s="30" t="str">
        <f t="array" ref="B336">IF($A336="", "", LET(bbgm_stat, INDEX(Players!$A335:$P335, MATCH(B$2, Players!$A$1:$P$1, 0)), perc_75, VLOOKUP(B$2, Percentiles!$A$45:$I$59, 6, FALSE), perc_90, VLOOKUP(B$2, Percentiles!$A$45:$I$59, 7, FALSE), perc_95, VLOOKUP(B$2, Percentiles!$A$45:$I$59, 8, FALSE), perc_85, perc_75 + (perc_90 - perc_75) * (2/3), converted_stat, '2K_Ratings'!B336, IF(bbgm_stat &gt;= perc_95, converted_stat * 3, IF(bbgm_stat &gt;= perc_90, converted_stat * 2, IF(bbgm_stat &gt;= perc_85, converted_stat * 1.5, converted_stat)))))</f>
        <v/>
      </c>
      <c r="C336" s="30" t="str">
        <f t="array" ref="C336">IF($A336="", "", LET(bbgm_stat, INDEX(Players!$A335:$P335, MATCH(C$2, Players!$A$1:$P$1, 0)), perc_75, VLOOKUP(C$2, Percentiles!$A$45:$I$59, 6, FALSE), perc_90, VLOOKUP(C$2, Percentiles!$A$45:$I$59, 7, FALSE), perc_95, VLOOKUP(C$2, Percentiles!$A$45:$I$59, 8, FALSE), perc_85, perc_75 + (perc_90 - perc_75) * (2/3), converted_stat, '2K_Ratings'!C336, IF(bbgm_stat &gt;= perc_95, converted_stat * 3, IF(bbgm_stat &gt;= perc_90, converted_stat * 2, IF(bbgm_stat &gt;= perc_85, converted_stat * 1.5, converted_stat)))))</f>
        <v/>
      </c>
      <c r="D336" s="30" t="str">
        <f t="array" ref="D336">IF($A336="", "", LET(bbgm_stat, INDEX(Players!$A335:$P335, MATCH(D$2, Players!$A$1:$P$1, 0)), perc_75, VLOOKUP(D$2, Percentiles!$A$45:$I$59, 6, FALSE), perc_90, VLOOKUP(D$2, Percentiles!$A$45:$I$59, 7, FALSE), perc_95, VLOOKUP(D$2, Percentiles!$A$45:$I$59, 8, FALSE), perc_85, perc_75 + (perc_90 - perc_75) * (2/3), converted_stat, '2K_Ratings'!D336, IF(bbgm_stat &gt;= perc_95, converted_stat * 3, IF(bbgm_stat &gt;= perc_90, converted_stat * 2, IF(bbgm_stat &gt;= perc_85, converted_stat * 1.5, converted_stat)))))</f>
        <v/>
      </c>
      <c r="E336" s="30" t="str">
        <f t="array" ref="E336">IF($A336="", "", LET(bbgm_stat, INDEX(Players!$A335:$P335, MATCH(E$2, Players!$A$1:$P$1, 0)), perc_75, VLOOKUP(E$2, Percentiles!$A$45:$I$59, 6, FALSE), perc_90, VLOOKUP(E$2, Percentiles!$A$45:$I$59, 7, FALSE), perc_95, VLOOKUP(E$2, Percentiles!$A$45:$I$59, 8, FALSE), perc_85, perc_75 + (perc_90 - perc_75) * (2/3), converted_stat, '2K_Ratings'!E336, IF(bbgm_stat &gt;= perc_95, converted_stat * 3, IF(bbgm_stat &gt;= perc_90, converted_stat * 2, IF(bbgm_stat &gt;= perc_85, converted_stat * 1.5, converted_stat)))))</f>
        <v/>
      </c>
      <c r="F336" s="30" t="str">
        <f t="array" ref="F336">IF($A336="", "", LET(bbgm_stat, INDEX(Players!$A335:$P335, MATCH(F$2, Players!$A$1:$P$1, 0)), perc_75, VLOOKUP(F$2, Percentiles!$A$45:$I$59, 6, FALSE), perc_90, VLOOKUP(F$2, Percentiles!$A$45:$I$59, 7, FALSE), perc_95, VLOOKUP(F$2, Percentiles!$A$45:$I$59, 8, FALSE), perc_85, perc_75 + (perc_90 - perc_75) * (2/3), converted_stat, '2K_Ratings'!F336, IF(bbgm_stat &gt;= perc_95, converted_stat * 3, IF(bbgm_stat &gt;= perc_90, converted_stat * 2, IF(bbgm_stat &gt;= perc_85, converted_stat * 1.5, converted_stat)))))</f>
        <v/>
      </c>
      <c r="G336" s="30" t="str">
        <f t="array" ref="G336">IF($A336="", "", LET(bbgm_stat, INDEX(Players!$A335:$P335, MATCH(G$2, Players!$A$1:$P$1, 0)), perc_75, VLOOKUP(G$2, Percentiles!$A$45:$I$59, 6, FALSE), perc_90, VLOOKUP(G$2, Percentiles!$A$45:$I$59, 7, FALSE), perc_95, VLOOKUP(G$2, Percentiles!$A$45:$I$59, 8, FALSE), perc_85, perc_75 + (perc_90 - perc_75) * (2/3), converted_stat, '2K_Ratings'!G336, IF(bbgm_stat &gt;= perc_95, converted_stat * 3, IF(bbgm_stat &gt;= perc_90, converted_stat * 2, IF(bbgm_stat &gt;= perc_85, converted_stat * 1.5, converted_stat)))))</f>
        <v/>
      </c>
      <c r="H336" s="30" t="str">
        <f t="array" ref="H336">IF($A336="", "", LET(bbgm_stat, INDEX(Players!$A335:$P335, MATCH(H$2, Players!$A$1:$P$1, 0)), perc_75, VLOOKUP(H$2, Percentiles!$A$45:$I$59, 6, FALSE), perc_90, VLOOKUP(H$2, Percentiles!$A$45:$I$59, 7, FALSE), perc_95, VLOOKUP(H$2, Percentiles!$A$45:$I$59, 8, FALSE), perc_85, perc_75 + (perc_90 - perc_75) * (2/3), converted_stat, '2K_Ratings'!H336, IF(bbgm_stat &gt;= perc_95, converted_stat * 3, IF(bbgm_stat &gt;= perc_90, converted_stat * 2, IF(bbgm_stat &gt;= perc_85, converted_stat * 1.5, converted_stat)))))</f>
        <v/>
      </c>
      <c r="I336" s="30" t="str">
        <f t="array" ref="I336">IF($A336="", "", LET(bbgm_stat, INDEX(Players!$A335:$P335, MATCH(I$2, Players!$A$1:$P$1, 0)), perc_75, VLOOKUP(I$2, Percentiles!$A$45:$I$59, 6, FALSE), perc_90, VLOOKUP(I$2, Percentiles!$A$45:$I$59, 7, FALSE), perc_95, VLOOKUP(I$2, Percentiles!$A$45:$I$59, 8, FALSE), perc_85, perc_75 + (perc_90 - perc_75) * (2/3), converted_stat, '2K_Ratings'!I336, IF(bbgm_stat &gt;= perc_95, converted_stat * 3, IF(bbgm_stat &gt;= perc_90, converted_stat * 2, IF(bbgm_stat &gt;= perc_85, converted_stat * 1.5, converted_stat)))))</f>
        <v/>
      </c>
      <c r="J336" s="30" t="str">
        <f t="array" ref="J336">IF($A336="", "", LET(bbgm_stat, INDEX(Players!$A335:$P335, MATCH(J$2, Players!$A$1:$P$1, 0)), perc_75, VLOOKUP(J$2, Percentiles!$A$45:$I$59, 6, FALSE), perc_90, VLOOKUP(J$2, Percentiles!$A$45:$I$59, 7, FALSE), perc_95, VLOOKUP(J$2, Percentiles!$A$45:$I$59, 8, FALSE), perc_85, perc_75 + (perc_90 - perc_75) * (2/3), converted_stat, '2K_Ratings'!J336, IF(bbgm_stat &gt;= perc_95, converted_stat * 3, IF(bbgm_stat &gt;= perc_90, converted_stat * 2, IF(bbgm_stat &gt;= perc_85, converted_stat * 1.5, converted_stat)))))</f>
        <v/>
      </c>
      <c r="K336" s="30" t="str">
        <f t="array" ref="K336">IF($A336="", "", LET(bbgm_stat, INDEX(Players!$A335:$P335, MATCH(K$2, Players!$A$1:$P$1, 0)), perc_75, VLOOKUP(K$2, Percentiles!$A$45:$I$59, 6, FALSE), perc_90, VLOOKUP(K$2, Percentiles!$A$45:$I$59, 7, FALSE), perc_95, VLOOKUP(K$2, Percentiles!$A$45:$I$59, 8, FALSE), perc_85, perc_75 + (perc_90 - perc_75) * (2/3), converted_stat, '2K_Ratings'!K336, IF(bbgm_stat &gt;= perc_95, converted_stat * 3, IF(bbgm_stat &gt;= perc_90, converted_stat * 2, IF(bbgm_stat &gt;= perc_85, converted_stat * 1.5, converted_stat)))))</f>
        <v/>
      </c>
      <c r="L336" s="30" t="str">
        <f t="array" ref="L336">IF($A336="", "", LET(bbgm_stat, INDEX(Players!$A335:$P335, MATCH(L$2, Players!$A$1:$P$1, 0)), perc_75, VLOOKUP(L$2, Percentiles!$A$45:$I$59, 6, FALSE), perc_90, VLOOKUP(L$2, Percentiles!$A$45:$I$59, 7, FALSE), perc_95, VLOOKUP(L$2, Percentiles!$A$45:$I$59, 8, FALSE), perc_85, perc_75 + (perc_90 - perc_75) * (2/3), converted_stat, '2K_Ratings'!L336, IF(bbgm_stat &gt;= perc_95, converted_stat * 3, IF(bbgm_stat &gt;= perc_90, converted_stat * 2, IF(bbgm_stat &gt;= perc_85, converted_stat * 1.5, converted_stat)))))</f>
        <v/>
      </c>
      <c r="M336" s="30" t="str">
        <f t="array" ref="M336">IF($A336="", "", LET(bbgm_stat, INDEX(Players!$A335:$P335, MATCH(M$2, Players!$A$1:$P$1, 0)), perc_75, VLOOKUP(M$2, Percentiles!$A$45:$I$59, 6, FALSE), perc_90, VLOOKUP(M$2, Percentiles!$A$45:$I$59, 7, FALSE), perc_95, VLOOKUP(M$2, Percentiles!$A$45:$I$59, 8, FALSE), perc_85, perc_75 + (perc_90 - perc_75) * (2/3), converted_stat, '2K_Ratings'!M336, IF(bbgm_stat &gt;= perc_95, converted_stat * 3, IF(bbgm_stat &gt;= perc_90, converted_stat * 2, IF(bbgm_stat &gt;= perc_85, converted_stat * 1.5, converted_stat)))))</f>
        <v/>
      </c>
      <c r="N336" s="30" t="str">
        <f t="array" ref="N336">IF($A336="", "", LET(bbgm_stat, INDEX(Players!$A335:$P335, MATCH(N$2, Players!$A$1:$P$1, 0)), perc_75, VLOOKUP(N$2, Percentiles!$A$45:$I$59, 6, FALSE), perc_90, VLOOKUP(N$2, Percentiles!$A$45:$I$59, 7, FALSE), perc_95, VLOOKUP(N$2, Percentiles!$A$45:$I$59, 8, FALSE), perc_85, perc_75 + (perc_90 - perc_75) * (2/3), converted_stat, '2K_Ratings'!N336, IF(bbgm_stat &gt;= perc_95, converted_stat * 3, IF(bbgm_stat &gt;= perc_90, converted_stat * 2, IF(bbgm_stat &gt;= perc_85, converted_stat * 1.5, converted_stat)))))</f>
        <v/>
      </c>
      <c r="O336" s="30" t="str">
        <f t="array" ref="O336">IF($A336="", "", LET(bbgm_stat, INDEX(Players!$A335:$P335, MATCH(O$2, Players!$A$1:$P$1, 0)), perc_75, VLOOKUP(O$2, Percentiles!$A$45:$I$59, 6, FALSE), perc_90, VLOOKUP(O$2, Percentiles!$A$45:$I$59, 7, FALSE), perc_95, VLOOKUP(O$2, Percentiles!$A$45:$I$59, 8, FALSE), perc_85, perc_75 + (perc_90 - perc_75) * (2/3), converted_stat, '2K_Ratings'!O336, IF(bbgm_stat &gt;= perc_95, converted_stat * 3, IF(bbgm_stat &gt;= perc_90, converted_stat * 2, IF(bbgm_stat &gt;= perc_85, converted_stat * 1.5, converted_stat)))))</f>
        <v/>
      </c>
      <c r="P336" s="30" t="str">
        <f t="array" ref="P336">IF($A336="", "", LET(bbgm_stat, INDEX(Players!$A335:$P335, MATCH(P$2, Players!$A$1:$P$1, 0)), perc_75, VLOOKUP(P$2, Percentiles!$A$45:$I$59, 6, FALSE), perc_90, VLOOKUP(P$2, Percentiles!$A$45:$I$59, 7, FALSE), perc_95, VLOOKUP(P$2, Percentiles!$A$45:$I$59, 8, FALSE), perc_85, perc_75 + (perc_90 - perc_75) * (2/3), converted_stat, '2K_Ratings'!P336, IF(bbgm_stat &gt;= perc_95, converted_stat * 3, IF(bbgm_stat &gt;= perc_90, converted_stat * 2, IF(bbgm_stat &gt;= perc_85, converted_stat * 1.5, converted_stat)))))</f>
        <v/>
      </c>
      <c r="Q336" s="30" t="str">
        <f t="array" ref="Q336">IF($A336="", "", LET(bbgm_stat, INDEX(Players!$A335:$P335, MATCH(Q$2, Players!$A$1:$P$1, 0)), perc_75, VLOOKUP(Q$2, Percentiles!$A$45:$I$59, 6, FALSE), perc_90, VLOOKUP(Q$2, Percentiles!$A$45:$I$59, 7, FALSE), perc_95, VLOOKUP(Q$2, Percentiles!$A$45:$I$59, 8, FALSE), perc_85, perc_75 + (perc_90 - perc_75) * (2/3), converted_stat, '2K_Ratings'!Q336, IF(bbgm_stat &gt;= perc_95, converted_stat * 3, IF(bbgm_stat &gt;= perc_90, converted_stat * 2, IF(bbgm_stat &gt;= perc_85, converted_stat * 1.5, converted_stat)))))</f>
        <v/>
      </c>
      <c r="R336" s="30" t="str">
        <f t="array" ref="R336">IF($A336="", "", LET(bbgm_stat, INDEX(Players!$A335:$P335, MATCH(R$2, Players!$A$1:$P$1, 0)), perc_75, VLOOKUP(R$2, Percentiles!$A$45:$I$59, 6, FALSE), perc_90, VLOOKUP(R$2, Percentiles!$A$45:$I$59, 7, FALSE), perc_95, VLOOKUP(R$2, Percentiles!$A$45:$I$59, 8, FALSE), perc_85, perc_75 + (perc_90 - perc_75) * (2/3), converted_stat, '2K_Ratings'!R336, IF(bbgm_stat &gt;= perc_95, converted_stat * 3, IF(bbgm_stat &gt;= perc_90, converted_stat * 2, IF(bbgm_stat &gt;= perc_85, converted_stat * 1.5, converted_stat)))))</f>
        <v/>
      </c>
      <c r="S336" s="30" t="str">
        <f t="array" ref="S336">IF($A336="", "", LET(bbgm_stat, INDEX(Players!$A335:$P335, MATCH(S$2, Players!$A$1:$P$1, 0)), perc_75, VLOOKUP(S$2, Percentiles!$A$45:$I$59, 6, FALSE), perc_90, VLOOKUP(S$2, Percentiles!$A$45:$I$59, 7, FALSE), perc_95, VLOOKUP(S$2, Percentiles!$A$45:$I$59, 8, FALSE), perc_85, perc_75 + (perc_90 - perc_75) * (2/3), converted_stat, '2K_Ratings'!S336, IF(bbgm_stat &gt;= perc_95, converted_stat * 3, IF(bbgm_stat &gt;= perc_90, converted_stat * 2, IF(bbgm_stat &gt;= perc_85, converted_stat * 1.5, converted_stat)))))</f>
        <v/>
      </c>
      <c r="T336" s="30" t="str">
        <f t="array" ref="T336">IF($A336="", "", LET(bbgm_stat, INDEX(Players!$A335:$P335, MATCH(T$2, Players!$A$1:$P$1, 0)), perc_75, VLOOKUP(T$2, Percentiles!$A$45:$I$59, 6, FALSE), perc_90, VLOOKUP(T$2, Percentiles!$A$45:$I$59, 7, FALSE), perc_95, VLOOKUP(T$2, Percentiles!$A$45:$I$59, 8, FALSE), perc_85, perc_75 + (perc_90 - perc_75) * (2/3), converted_stat, '2K_Ratings'!T336, IF(bbgm_stat &gt;= perc_95, converted_stat * 3, IF(bbgm_stat &gt;= perc_90, converted_stat * 2, IF(bbgm_stat &gt;= perc_85, converted_stat * 1.5, converted_stat)))))</f>
        <v/>
      </c>
      <c r="U336" s="30" t="str">
        <f t="array" ref="U336">IF($A336="", "", LET(bbgm_stat, INDEX(Players!$A335:$P335, MATCH(U$2, Players!$A$1:$P$1, 0)), perc_75, VLOOKUP(U$2, Percentiles!$A$45:$I$59, 6, FALSE), perc_90, VLOOKUP(U$2, Percentiles!$A$45:$I$59, 7, FALSE), perc_95, VLOOKUP(U$2, Percentiles!$A$45:$I$59, 8, FALSE), perc_85, perc_75 + (perc_90 - perc_75) * (2/3), converted_stat, '2K_Ratings'!U336, IF(bbgm_stat &gt;= perc_95, converted_stat * 3, IF(bbgm_stat &gt;= perc_90, converted_stat * 2, IF(bbgm_stat &gt;= perc_85, converted_stat * 1.5, converted_stat)))))</f>
        <v/>
      </c>
      <c r="V336" s="30" t="str">
        <f t="array" ref="V336">IF($A336="", "", LET(bbgm_stat, INDEX(Players!$A335:$P335, MATCH(V$2, Players!$A$1:$P$1, 0)), perc_75, VLOOKUP(V$2, Percentiles!$A$45:$I$59, 6, FALSE), perc_90, VLOOKUP(V$2, Percentiles!$A$45:$I$59, 7, FALSE), perc_95, VLOOKUP(V$2, Percentiles!$A$45:$I$59, 8, FALSE), perc_85, perc_75 + (perc_90 - perc_75) * (2/3), converted_stat, '2K_Ratings'!V336, IF(bbgm_stat &gt;= perc_95, converted_stat * 3, IF(bbgm_stat &gt;= perc_90, converted_stat * 2, IF(bbgm_stat &gt;= perc_85, converted_stat * 1.5, converted_stat)))))</f>
        <v/>
      </c>
      <c r="W336" s="30" t="str">
        <f t="array" ref="W336">IF($A336="", "", LET(bbgm_stat, INDEX(Players!$A335:$P335, MATCH(W$2, Players!$A$1:$P$1, 0)), perc_75, VLOOKUP(W$2, Percentiles!$A$45:$I$59, 6, FALSE), perc_90, VLOOKUP(W$2, Percentiles!$A$45:$I$59, 7, FALSE), perc_95, VLOOKUP(W$2, Percentiles!$A$45:$I$59, 8, FALSE), perc_85, perc_75 + (perc_90 - perc_75) * (2/3), converted_stat, '2K_Ratings'!W336, IF(bbgm_stat &gt;= perc_95, converted_stat * 3, IF(bbgm_stat &gt;= perc_90, converted_stat * 2, IF(bbgm_stat &gt;= perc_85, converted_stat * 1.5, converted_stat)))))</f>
        <v/>
      </c>
    </row>
    <row r="337">
      <c r="A337" s="30"/>
      <c r="B337" s="30" t="str">
        <f t="array" ref="B337">IF($A337="", "", LET(bbgm_stat, INDEX(Players!$A336:$P336, MATCH(B$2, Players!$A$1:$P$1, 0)), perc_75, VLOOKUP(B$2, Percentiles!$A$45:$I$59, 6, FALSE), perc_90, VLOOKUP(B$2, Percentiles!$A$45:$I$59, 7, FALSE), perc_95, VLOOKUP(B$2, Percentiles!$A$45:$I$59, 8, FALSE), perc_85, perc_75 + (perc_90 - perc_75) * (2/3), converted_stat, '2K_Ratings'!B337, IF(bbgm_stat &gt;= perc_95, converted_stat * 3, IF(bbgm_stat &gt;= perc_90, converted_stat * 2, IF(bbgm_stat &gt;= perc_85, converted_stat * 1.5, converted_stat)))))</f>
        <v/>
      </c>
      <c r="C337" s="30" t="str">
        <f t="array" ref="C337">IF($A337="", "", LET(bbgm_stat, INDEX(Players!$A336:$P336, MATCH(C$2, Players!$A$1:$P$1, 0)), perc_75, VLOOKUP(C$2, Percentiles!$A$45:$I$59, 6, FALSE), perc_90, VLOOKUP(C$2, Percentiles!$A$45:$I$59, 7, FALSE), perc_95, VLOOKUP(C$2, Percentiles!$A$45:$I$59, 8, FALSE), perc_85, perc_75 + (perc_90 - perc_75) * (2/3), converted_stat, '2K_Ratings'!C337, IF(bbgm_stat &gt;= perc_95, converted_stat * 3, IF(bbgm_stat &gt;= perc_90, converted_stat * 2, IF(bbgm_stat &gt;= perc_85, converted_stat * 1.5, converted_stat)))))</f>
        <v/>
      </c>
      <c r="D337" s="30" t="str">
        <f t="array" ref="D337">IF($A337="", "", LET(bbgm_stat, INDEX(Players!$A336:$P336, MATCH(D$2, Players!$A$1:$P$1, 0)), perc_75, VLOOKUP(D$2, Percentiles!$A$45:$I$59, 6, FALSE), perc_90, VLOOKUP(D$2, Percentiles!$A$45:$I$59, 7, FALSE), perc_95, VLOOKUP(D$2, Percentiles!$A$45:$I$59, 8, FALSE), perc_85, perc_75 + (perc_90 - perc_75) * (2/3), converted_stat, '2K_Ratings'!D337, IF(bbgm_stat &gt;= perc_95, converted_stat * 3, IF(bbgm_stat &gt;= perc_90, converted_stat * 2, IF(bbgm_stat &gt;= perc_85, converted_stat * 1.5, converted_stat)))))</f>
        <v/>
      </c>
      <c r="E337" s="30" t="str">
        <f t="array" ref="E337">IF($A337="", "", LET(bbgm_stat, INDEX(Players!$A336:$P336, MATCH(E$2, Players!$A$1:$P$1, 0)), perc_75, VLOOKUP(E$2, Percentiles!$A$45:$I$59, 6, FALSE), perc_90, VLOOKUP(E$2, Percentiles!$A$45:$I$59, 7, FALSE), perc_95, VLOOKUP(E$2, Percentiles!$A$45:$I$59, 8, FALSE), perc_85, perc_75 + (perc_90 - perc_75) * (2/3), converted_stat, '2K_Ratings'!E337, IF(bbgm_stat &gt;= perc_95, converted_stat * 3, IF(bbgm_stat &gt;= perc_90, converted_stat * 2, IF(bbgm_stat &gt;= perc_85, converted_stat * 1.5, converted_stat)))))</f>
        <v/>
      </c>
      <c r="F337" s="30" t="str">
        <f t="array" ref="F337">IF($A337="", "", LET(bbgm_stat, INDEX(Players!$A336:$P336, MATCH(F$2, Players!$A$1:$P$1, 0)), perc_75, VLOOKUP(F$2, Percentiles!$A$45:$I$59, 6, FALSE), perc_90, VLOOKUP(F$2, Percentiles!$A$45:$I$59, 7, FALSE), perc_95, VLOOKUP(F$2, Percentiles!$A$45:$I$59, 8, FALSE), perc_85, perc_75 + (perc_90 - perc_75) * (2/3), converted_stat, '2K_Ratings'!F337, IF(bbgm_stat &gt;= perc_95, converted_stat * 3, IF(bbgm_stat &gt;= perc_90, converted_stat * 2, IF(bbgm_stat &gt;= perc_85, converted_stat * 1.5, converted_stat)))))</f>
        <v/>
      </c>
      <c r="G337" s="30" t="str">
        <f t="array" ref="G337">IF($A337="", "", LET(bbgm_stat, INDEX(Players!$A336:$P336, MATCH(G$2, Players!$A$1:$P$1, 0)), perc_75, VLOOKUP(G$2, Percentiles!$A$45:$I$59, 6, FALSE), perc_90, VLOOKUP(G$2, Percentiles!$A$45:$I$59, 7, FALSE), perc_95, VLOOKUP(G$2, Percentiles!$A$45:$I$59, 8, FALSE), perc_85, perc_75 + (perc_90 - perc_75) * (2/3), converted_stat, '2K_Ratings'!G337, IF(bbgm_stat &gt;= perc_95, converted_stat * 3, IF(bbgm_stat &gt;= perc_90, converted_stat * 2, IF(bbgm_stat &gt;= perc_85, converted_stat * 1.5, converted_stat)))))</f>
        <v/>
      </c>
      <c r="H337" s="30" t="str">
        <f t="array" ref="H337">IF($A337="", "", LET(bbgm_stat, INDEX(Players!$A336:$P336, MATCH(H$2, Players!$A$1:$P$1, 0)), perc_75, VLOOKUP(H$2, Percentiles!$A$45:$I$59, 6, FALSE), perc_90, VLOOKUP(H$2, Percentiles!$A$45:$I$59, 7, FALSE), perc_95, VLOOKUP(H$2, Percentiles!$A$45:$I$59, 8, FALSE), perc_85, perc_75 + (perc_90 - perc_75) * (2/3), converted_stat, '2K_Ratings'!H337, IF(bbgm_stat &gt;= perc_95, converted_stat * 3, IF(bbgm_stat &gt;= perc_90, converted_stat * 2, IF(bbgm_stat &gt;= perc_85, converted_stat * 1.5, converted_stat)))))</f>
        <v/>
      </c>
      <c r="I337" s="30" t="str">
        <f t="array" ref="I337">IF($A337="", "", LET(bbgm_stat, INDEX(Players!$A336:$P336, MATCH(I$2, Players!$A$1:$P$1, 0)), perc_75, VLOOKUP(I$2, Percentiles!$A$45:$I$59, 6, FALSE), perc_90, VLOOKUP(I$2, Percentiles!$A$45:$I$59, 7, FALSE), perc_95, VLOOKUP(I$2, Percentiles!$A$45:$I$59, 8, FALSE), perc_85, perc_75 + (perc_90 - perc_75) * (2/3), converted_stat, '2K_Ratings'!I337, IF(bbgm_stat &gt;= perc_95, converted_stat * 3, IF(bbgm_stat &gt;= perc_90, converted_stat * 2, IF(bbgm_stat &gt;= perc_85, converted_stat * 1.5, converted_stat)))))</f>
        <v/>
      </c>
      <c r="J337" s="30" t="str">
        <f t="array" ref="J337">IF($A337="", "", LET(bbgm_stat, INDEX(Players!$A336:$P336, MATCH(J$2, Players!$A$1:$P$1, 0)), perc_75, VLOOKUP(J$2, Percentiles!$A$45:$I$59, 6, FALSE), perc_90, VLOOKUP(J$2, Percentiles!$A$45:$I$59, 7, FALSE), perc_95, VLOOKUP(J$2, Percentiles!$A$45:$I$59, 8, FALSE), perc_85, perc_75 + (perc_90 - perc_75) * (2/3), converted_stat, '2K_Ratings'!J337, IF(bbgm_stat &gt;= perc_95, converted_stat * 3, IF(bbgm_stat &gt;= perc_90, converted_stat * 2, IF(bbgm_stat &gt;= perc_85, converted_stat * 1.5, converted_stat)))))</f>
        <v/>
      </c>
      <c r="K337" s="30" t="str">
        <f t="array" ref="K337">IF($A337="", "", LET(bbgm_stat, INDEX(Players!$A336:$P336, MATCH(K$2, Players!$A$1:$P$1, 0)), perc_75, VLOOKUP(K$2, Percentiles!$A$45:$I$59, 6, FALSE), perc_90, VLOOKUP(K$2, Percentiles!$A$45:$I$59, 7, FALSE), perc_95, VLOOKUP(K$2, Percentiles!$A$45:$I$59, 8, FALSE), perc_85, perc_75 + (perc_90 - perc_75) * (2/3), converted_stat, '2K_Ratings'!K337, IF(bbgm_stat &gt;= perc_95, converted_stat * 3, IF(bbgm_stat &gt;= perc_90, converted_stat * 2, IF(bbgm_stat &gt;= perc_85, converted_stat * 1.5, converted_stat)))))</f>
        <v/>
      </c>
      <c r="L337" s="30" t="str">
        <f t="array" ref="L337">IF($A337="", "", LET(bbgm_stat, INDEX(Players!$A336:$P336, MATCH(L$2, Players!$A$1:$P$1, 0)), perc_75, VLOOKUP(L$2, Percentiles!$A$45:$I$59, 6, FALSE), perc_90, VLOOKUP(L$2, Percentiles!$A$45:$I$59, 7, FALSE), perc_95, VLOOKUP(L$2, Percentiles!$A$45:$I$59, 8, FALSE), perc_85, perc_75 + (perc_90 - perc_75) * (2/3), converted_stat, '2K_Ratings'!L337, IF(bbgm_stat &gt;= perc_95, converted_stat * 3, IF(bbgm_stat &gt;= perc_90, converted_stat * 2, IF(bbgm_stat &gt;= perc_85, converted_stat * 1.5, converted_stat)))))</f>
        <v/>
      </c>
      <c r="M337" s="30" t="str">
        <f t="array" ref="M337">IF($A337="", "", LET(bbgm_stat, INDEX(Players!$A336:$P336, MATCH(M$2, Players!$A$1:$P$1, 0)), perc_75, VLOOKUP(M$2, Percentiles!$A$45:$I$59, 6, FALSE), perc_90, VLOOKUP(M$2, Percentiles!$A$45:$I$59, 7, FALSE), perc_95, VLOOKUP(M$2, Percentiles!$A$45:$I$59, 8, FALSE), perc_85, perc_75 + (perc_90 - perc_75) * (2/3), converted_stat, '2K_Ratings'!M337, IF(bbgm_stat &gt;= perc_95, converted_stat * 3, IF(bbgm_stat &gt;= perc_90, converted_stat * 2, IF(bbgm_stat &gt;= perc_85, converted_stat * 1.5, converted_stat)))))</f>
        <v/>
      </c>
      <c r="N337" s="30" t="str">
        <f t="array" ref="N337">IF($A337="", "", LET(bbgm_stat, INDEX(Players!$A336:$P336, MATCH(N$2, Players!$A$1:$P$1, 0)), perc_75, VLOOKUP(N$2, Percentiles!$A$45:$I$59, 6, FALSE), perc_90, VLOOKUP(N$2, Percentiles!$A$45:$I$59, 7, FALSE), perc_95, VLOOKUP(N$2, Percentiles!$A$45:$I$59, 8, FALSE), perc_85, perc_75 + (perc_90 - perc_75) * (2/3), converted_stat, '2K_Ratings'!N337, IF(bbgm_stat &gt;= perc_95, converted_stat * 3, IF(bbgm_stat &gt;= perc_90, converted_stat * 2, IF(bbgm_stat &gt;= perc_85, converted_stat * 1.5, converted_stat)))))</f>
        <v/>
      </c>
      <c r="O337" s="30" t="str">
        <f t="array" ref="O337">IF($A337="", "", LET(bbgm_stat, INDEX(Players!$A336:$P336, MATCH(O$2, Players!$A$1:$P$1, 0)), perc_75, VLOOKUP(O$2, Percentiles!$A$45:$I$59, 6, FALSE), perc_90, VLOOKUP(O$2, Percentiles!$A$45:$I$59, 7, FALSE), perc_95, VLOOKUP(O$2, Percentiles!$A$45:$I$59, 8, FALSE), perc_85, perc_75 + (perc_90 - perc_75) * (2/3), converted_stat, '2K_Ratings'!O337, IF(bbgm_stat &gt;= perc_95, converted_stat * 3, IF(bbgm_stat &gt;= perc_90, converted_stat * 2, IF(bbgm_stat &gt;= perc_85, converted_stat * 1.5, converted_stat)))))</f>
        <v/>
      </c>
      <c r="P337" s="30" t="str">
        <f t="array" ref="P337">IF($A337="", "", LET(bbgm_stat, INDEX(Players!$A336:$P336, MATCH(P$2, Players!$A$1:$P$1, 0)), perc_75, VLOOKUP(P$2, Percentiles!$A$45:$I$59, 6, FALSE), perc_90, VLOOKUP(P$2, Percentiles!$A$45:$I$59, 7, FALSE), perc_95, VLOOKUP(P$2, Percentiles!$A$45:$I$59, 8, FALSE), perc_85, perc_75 + (perc_90 - perc_75) * (2/3), converted_stat, '2K_Ratings'!P337, IF(bbgm_stat &gt;= perc_95, converted_stat * 3, IF(bbgm_stat &gt;= perc_90, converted_stat * 2, IF(bbgm_stat &gt;= perc_85, converted_stat * 1.5, converted_stat)))))</f>
        <v/>
      </c>
      <c r="Q337" s="30" t="str">
        <f t="array" ref="Q337">IF($A337="", "", LET(bbgm_stat, INDEX(Players!$A336:$P336, MATCH(Q$2, Players!$A$1:$P$1, 0)), perc_75, VLOOKUP(Q$2, Percentiles!$A$45:$I$59, 6, FALSE), perc_90, VLOOKUP(Q$2, Percentiles!$A$45:$I$59, 7, FALSE), perc_95, VLOOKUP(Q$2, Percentiles!$A$45:$I$59, 8, FALSE), perc_85, perc_75 + (perc_90 - perc_75) * (2/3), converted_stat, '2K_Ratings'!Q337, IF(bbgm_stat &gt;= perc_95, converted_stat * 3, IF(bbgm_stat &gt;= perc_90, converted_stat * 2, IF(bbgm_stat &gt;= perc_85, converted_stat * 1.5, converted_stat)))))</f>
        <v/>
      </c>
      <c r="R337" s="30" t="str">
        <f t="array" ref="R337">IF($A337="", "", LET(bbgm_stat, INDEX(Players!$A336:$P336, MATCH(R$2, Players!$A$1:$P$1, 0)), perc_75, VLOOKUP(R$2, Percentiles!$A$45:$I$59, 6, FALSE), perc_90, VLOOKUP(R$2, Percentiles!$A$45:$I$59, 7, FALSE), perc_95, VLOOKUP(R$2, Percentiles!$A$45:$I$59, 8, FALSE), perc_85, perc_75 + (perc_90 - perc_75) * (2/3), converted_stat, '2K_Ratings'!R337, IF(bbgm_stat &gt;= perc_95, converted_stat * 3, IF(bbgm_stat &gt;= perc_90, converted_stat * 2, IF(bbgm_stat &gt;= perc_85, converted_stat * 1.5, converted_stat)))))</f>
        <v/>
      </c>
      <c r="S337" s="30" t="str">
        <f t="array" ref="S337">IF($A337="", "", LET(bbgm_stat, INDEX(Players!$A336:$P336, MATCH(S$2, Players!$A$1:$P$1, 0)), perc_75, VLOOKUP(S$2, Percentiles!$A$45:$I$59, 6, FALSE), perc_90, VLOOKUP(S$2, Percentiles!$A$45:$I$59, 7, FALSE), perc_95, VLOOKUP(S$2, Percentiles!$A$45:$I$59, 8, FALSE), perc_85, perc_75 + (perc_90 - perc_75) * (2/3), converted_stat, '2K_Ratings'!S337, IF(bbgm_stat &gt;= perc_95, converted_stat * 3, IF(bbgm_stat &gt;= perc_90, converted_stat * 2, IF(bbgm_stat &gt;= perc_85, converted_stat * 1.5, converted_stat)))))</f>
        <v/>
      </c>
      <c r="T337" s="30" t="str">
        <f t="array" ref="T337">IF($A337="", "", LET(bbgm_stat, INDEX(Players!$A336:$P336, MATCH(T$2, Players!$A$1:$P$1, 0)), perc_75, VLOOKUP(T$2, Percentiles!$A$45:$I$59, 6, FALSE), perc_90, VLOOKUP(T$2, Percentiles!$A$45:$I$59, 7, FALSE), perc_95, VLOOKUP(T$2, Percentiles!$A$45:$I$59, 8, FALSE), perc_85, perc_75 + (perc_90 - perc_75) * (2/3), converted_stat, '2K_Ratings'!T337, IF(bbgm_stat &gt;= perc_95, converted_stat * 3, IF(bbgm_stat &gt;= perc_90, converted_stat * 2, IF(bbgm_stat &gt;= perc_85, converted_stat * 1.5, converted_stat)))))</f>
        <v/>
      </c>
      <c r="U337" s="30" t="str">
        <f t="array" ref="U337">IF($A337="", "", LET(bbgm_stat, INDEX(Players!$A336:$P336, MATCH(U$2, Players!$A$1:$P$1, 0)), perc_75, VLOOKUP(U$2, Percentiles!$A$45:$I$59, 6, FALSE), perc_90, VLOOKUP(U$2, Percentiles!$A$45:$I$59, 7, FALSE), perc_95, VLOOKUP(U$2, Percentiles!$A$45:$I$59, 8, FALSE), perc_85, perc_75 + (perc_90 - perc_75) * (2/3), converted_stat, '2K_Ratings'!U337, IF(bbgm_stat &gt;= perc_95, converted_stat * 3, IF(bbgm_stat &gt;= perc_90, converted_stat * 2, IF(bbgm_stat &gt;= perc_85, converted_stat * 1.5, converted_stat)))))</f>
        <v/>
      </c>
      <c r="V337" s="30" t="str">
        <f t="array" ref="V337">IF($A337="", "", LET(bbgm_stat, INDEX(Players!$A336:$P336, MATCH(V$2, Players!$A$1:$P$1, 0)), perc_75, VLOOKUP(V$2, Percentiles!$A$45:$I$59, 6, FALSE), perc_90, VLOOKUP(V$2, Percentiles!$A$45:$I$59, 7, FALSE), perc_95, VLOOKUP(V$2, Percentiles!$A$45:$I$59, 8, FALSE), perc_85, perc_75 + (perc_90 - perc_75) * (2/3), converted_stat, '2K_Ratings'!V337, IF(bbgm_stat &gt;= perc_95, converted_stat * 3, IF(bbgm_stat &gt;= perc_90, converted_stat * 2, IF(bbgm_stat &gt;= perc_85, converted_stat * 1.5, converted_stat)))))</f>
        <v/>
      </c>
      <c r="W337" s="30" t="str">
        <f t="array" ref="W337">IF($A337="", "", LET(bbgm_stat, INDEX(Players!$A336:$P336, MATCH(W$2, Players!$A$1:$P$1, 0)), perc_75, VLOOKUP(W$2, Percentiles!$A$45:$I$59, 6, FALSE), perc_90, VLOOKUP(W$2, Percentiles!$A$45:$I$59, 7, FALSE), perc_95, VLOOKUP(W$2, Percentiles!$A$45:$I$59, 8, FALSE), perc_85, perc_75 + (perc_90 - perc_75) * (2/3), converted_stat, '2K_Ratings'!W337, IF(bbgm_stat &gt;= perc_95, converted_stat * 3, IF(bbgm_stat &gt;= perc_90, converted_stat * 2, IF(bbgm_stat &gt;= perc_85, converted_stat * 1.5, converted_stat)))))</f>
        <v/>
      </c>
    </row>
    <row r="338">
      <c r="A338" s="30"/>
      <c r="B338" s="30" t="str">
        <f t="array" ref="B338">IF($A338="", "", LET(bbgm_stat, INDEX(Players!$A337:$P337, MATCH(B$2, Players!$A$1:$P$1, 0)), perc_75, VLOOKUP(B$2, Percentiles!$A$45:$I$59, 6, FALSE), perc_90, VLOOKUP(B$2, Percentiles!$A$45:$I$59, 7, FALSE), perc_95, VLOOKUP(B$2, Percentiles!$A$45:$I$59, 8, FALSE), perc_85, perc_75 + (perc_90 - perc_75) * (2/3), converted_stat, '2K_Ratings'!B338, IF(bbgm_stat &gt;= perc_95, converted_stat * 3, IF(bbgm_stat &gt;= perc_90, converted_stat * 2, IF(bbgm_stat &gt;= perc_85, converted_stat * 1.5, converted_stat)))))</f>
        <v/>
      </c>
      <c r="C338" s="30" t="str">
        <f t="array" ref="C338">IF($A338="", "", LET(bbgm_stat, INDEX(Players!$A337:$P337, MATCH(C$2, Players!$A$1:$P$1, 0)), perc_75, VLOOKUP(C$2, Percentiles!$A$45:$I$59, 6, FALSE), perc_90, VLOOKUP(C$2, Percentiles!$A$45:$I$59, 7, FALSE), perc_95, VLOOKUP(C$2, Percentiles!$A$45:$I$59, 8, FALSE), perc_85, perc_75 + (perc_90 - perc_75) * (2/3), converted_stat, '2K_Ratings'!C338, IF(bbgm_stat &gt;= perc_95, converted_stat * 3, IF(bbgm_stat &gt;= perc_90, converted_stat * 2, IF(bbgm_stat &gt;= perc_85, converted_stat * 1.5, converted_stat)))))</f>
        <v/>
      </c>
      <c r="D338" s="30" t="str">
        <f t="array" ref="D338">IF($A338="", "", LET(bbgm_stat, INDEX(Players!$A337:$P337, MATCH(D$2, Players!$A$1:$P$1, 0)), perc_75, VLOOKUP(D$2, Percentiles!$A$45:$I$59, 6, FALSE), perc_90, VLOOKUP(D$2, Percentiles!$A$45:$I$59, 7, FALSE), perc_95, VLOOKUP(D$2, Percentiles!$A$45:$I$59, 8, FALSE), perc_85, perc_75 + (perc_90 - perc_75) * (2/3), converted_stat, '2K_Ratings'!D338, IF(bbgm_stat &gt;= perc_95, converted_stat * 3, IF(bbgm_stat &gt;= perc_90, converted_stat * 2, IF(bbgm_stat &gt;= perc_85, converted_stat * 1.5, converted_stat)))))</f>
        <v/>
      </c>
      <c r="E338" s="30" t="str">
        <f t="array" ref="E338">IF($A338="", "", LET(bbgm_stat, INDEX(Players!$A337:$P337, MATCH(E$2, Players!$A$1:$P$1, 0)), perc_75, VLOOKUP(E$2, Percentiles!$A$45:$I$59, 6, FALSE), perc_90, VLOOKUP(E$2, Percentiles!$A$45:$I$59, 7, FALSE), perc_95, VLOOKUP(E$2, Percentiles!$A$45:$I$59, 8, FALSE), perc_85, perc_75 + (perc_90 - perc_75) * (2/3), converted_stat, '2K_Ratings'!E338, IF(bbgm_stat &gt;= perc_95, converted_stat * 3, IF(bbgm_stat &gt;= perc_90, converted_stat * 2, IF(bbgm_stat &gt;= perc_85, converted_stat * 1.5, converted_stat)))))</f>
        <v/>
      </c>
      <c r="F338" s="30" t="str">
        <f t="array" ref="F338">IF($A338="", "", LET(bbgm_stat, INDEX(Players!$A337:$P337, MATCH(F$2, Players!$A$1:$P$1, 0)), perc_75, VLOOKUP(F$2, Percentiles!$A$45:$I$59, 6, FALSE), perc_90, VLOOKUP(F$2, Percentiles!$A$45:$I$59, 7, FALSE), perc_95, VLOOKUP(F$2, Percentiles!$A$45:$I$59, 8, FALSE), perc_85, perc_75 + (perc_90 - perc_75) * (2/3), converted_stat, '2K_Ratings'!F338, IF(bbgm_stat &gt;= perc_95, converted_stat * 3, IF(bbgm_stat &gt;= perc_90, converted_stat * 2, IF(bbgm_stat &gt;= perc_85, converted_stat * 1.5, converted_stat)))))</f>
        <v/>
      </c>
      <c r="G338" s="30" t="str">
        <f t="array" ref="G338">IF($A338="", "", LET(bbgm_stat, INDEX(Players!$A337:$P337, MATCH(G$2, Players!$A$1:$P$1, 0)), perc_75, VLOOKUP(G$2, Percentiles!$A$45:$I$59, 6, FALSE), perc_90, VLOOKUP(G$2, Percentiles!$A$45:$I$59, 7, FALSE), perc_95, VLOOKUP(G$2, Percentiles!$A$45:$I$59, 8, FALSE), perc_85, perc_75 + (perc_90 - perc_75) * (2/3), converted_stat, '2K_Ratings'!G338, IF(bbgm_stat &gt;= perc_95, converted_stat * 3, IF(bbgm_stat &gt;= perc_90, converted_stat * 2, IF(bbgm_stat &gt;= perc_85, converted_stat * 1.5, converted_stat)))))</f>
        <v/>
      </c>
      <c r="H338" s="30" t="str">
        <f t="array" ref="H338">IF($A338="", "", LET(bbgm_stat, INDEX(Players!$A337:$P337, MATCH(H$2, Players!$A$1:$P$1, 0)), perc_75, VLOOKUP(H$2, Percentiles!$A$45:$I$59, 6, FALSE), perc_90, VLOOKUP(H$2, Percentiles!$A$45:$I$59, 7, FALSE), perc_95, VLOOKUP(H$2, Percentiles!$A$45:$I$59, 8, FALSE), perc_85, perc_75 + (perc_90 - perc_75) * (2/3), converted_stat, '2K_Ratings'!H338, IF(bbgm_stat &gt;= perc_95, converted_stat * 3, IF(bbgm_stat &gt;= perc_90, converted_stat * 2, IF(bbgm_stat &gt;= perc_85, converted_stat * 1.5, converted_stat)))))</f>
        <v/>
      </c>
      <c r="I338" s="30" t="str">
        <f t="array" ref="I338">IF($A338="", "", LET(bbgm_stat, INDEX(Players!$A337:$P337, MATCH(I$2, Players!$A$1:$P$1, 0)), perc_75, VLOOKUP(I$2, Percentiles!$A$45:$I$59, 6, FALSE), perc_90, VLOOKUP(I$2, Percentiles!$A$45:$I$59, 7, FALSE), perc_95, VLOOKUP(I$2, Percentiles!$A$45:$I$59, 8, FALSE), perc_85, perc_75 + (perc_90 - perc_75) * (2/3), converted_stat, '2K_Ratings'!I338, IF(bbgm_stat &gt;= perc_95, converted_stat * 3, IF(bbgm_stat &gt;= perc_90, converted_stat * 2, IF(bbgm_stat &gt;= perc_85, converted_stat * 1.5, converted_stat)))))</f>
        <v/>
      </c>
      <c r="J338" s="30" t="str">
        <f t="array" ref="J338">IF($A338="", "", LET(bbgm_stat, INDEX(Players!$A337:$P337, MATCH(J$2, Players!$A$1:$P$1, 0)), perc_75, VLOOKUP(J$2, Percentiles!$A$45:$I$59, 6, FALSE), perc_90, VLOOKUP(J$2, Percentiles!$A$45:$I$59, 7, FALSE), perc_95, VLOOKUP(J$2, Percentiles!$A$45:$I$59, 8, FALSE), perc_85, perc_75 + (perc_90 - perc_75) * (2/3), converted_stat, '2K_Ratings'!J338, IF(bbgm_stat &gt;= perc_95, converted_stat * 3, IF(bbgm_stat &gt;= perc_90, converted_stat * 2, IF(bbgm_stat &gt;= perc_85, converted_stat * 1.5, converted_stat)))))</f>
        <v/>
      </c>
      <c r="K338" s="30" t="str">
        <f t="array" ref="K338">IF($A338="", "", LET(bbgm_stat, INDEX(Players!$A337:$P337, MATCH(K$2, Players!$A$1:$P$1, 0)), perc_75, VLOOKUP(K$2, Percentiles!$A$45:$I$59, 6, FALSE), perc_90, VLOOKUP(K$2, Percentiles!$A$45:$I$59, 7, FALSE), perc_95, VLOOKUP(K$2, Percentiles!$A$45:$I$59, 8, FALSE), perc_85, perc_75 + (perc_90 - perc_75) * (2/3), converted_stat, '2K_Ratings'!K338, IF(bbgm_stat &gt;= perc_95, converted_stat * 3, IF(bbgm_stat &gt;= perc_90, converted_stat * 2, IF(bbgm_stat &gt;= perc_85, converted_stat * 1.5, converted_stat)))))</f>
        <v/>
      </c>
      <c r="L338" s="30" t="str">
        <f t="array" ref="L338">IF($A338="", "", LET(bbgm_stat, INDEX(Players!$A337:$P337, MATCH(L$2, Players!$A$1:$P$1, 0)), perc_75, VLOOKUP(L$2, Percentiles!$A$45:$I$59, 6, FALSE), perc_90, VLOOKUP(L$2, Percentiles!$A$45:$I$59, 7, FALSE), perc_95, VLOOKUP(L$2, Percentiles!$A$45:$I$59, 8, FALSE), perc_85, perc_75 + (perc_90 - perc_75) * (2/3), converted_stat, '2K_Ratings'!L338, IF(bbgm_stat &gt;= perc_95, converted_stat * 3, IF(bbgm_stat &gt;= perc_90, converted_stat * 2, IF(bbgm_stat &gt;= perc_85, converted_stat * 1.5, converted_stat)))))</f>
        <v/>
      </c>
      <c r="M338" s="30" t="str">
        <f t="array" ref="M338">IF($A338="", "", LET(bbgm_stat, INDEX(Players!$A337:$P337, MATCH(M$2, Players!$A$1:$P$1, 0)), perc_75, VLOOKUP(M$2, Percentiles!$A$45:$I$59, 6, FALSE), perc_90, VLOOKUP(M$2, Percentiles!$A$45:$I$59, 7, FALSE), perc_95, VLOOKUP(M$2, Percentiles!$A$45:$I$59, 8, FALSE), perc_85, perc_75 + (perc_90 - perc_75) * (2/3), converted_stat, '2K_Ratings'!M338, IF(bbgm_stat &gt;= perc_95, converted_stat * 3, IF(bbgm_stat &gt;= perc_90, converted_stat * 2, IF(bbgm_stat &gt;= perc_85, converted_stat * 1.5, converted_stat)))))</f>
        <v/>
      </c>
      <c r="N338" s="30" t="str">
        <f t="array" ref="N338">IF($A338="", "", LET(bbgm_stat, INDEX(Players!$A337:$P337, MATCH(N$2, Players!$A$1:$P$1, 0)), perc_75, VLOOKUP(N$2, Percentiles!$A$45:$I$59, 6, FALSE), perc_90, VLOOKUP(N$2, Percentiles!$A$45:$I$59, 7, FALSE), perc_95, VLOOKUP(N$2, Percentiles!$A$45:$I$59, 8, FALSE), perc_85, perc_75 + (perc_90 - perc_75) * (2/3), converted_stat, '2K_Ratings'!N338, IF(bbgm_stat &gt;= perc_95, converted_stat * 3, IF(bbgm_stat &gt;= perc_90, converted_stat * 2, IF(bbgm_stat &gt;= perc_85, converted_stat * 1.5, converted_stat)))))</f>
        <v/>
      </c>
      <c r="O338" s="30" t="str">
        <f t="array" ref="O338">IF($A338="", "", LET(bbgm_stat, INDEX(Players!$A337:$P337, MATCH(O$2, Players!$A$1:$P$1, 0)), perc_75, VLOOKUP(O$2, Percentiles!$A$45:$I$59, 6, FALSE), perc_90, VLOOKUP(O$2, Percentiles!$A$45:$I$59, 7, FALSE), perc_95, VLOOKUP(O$2, Percentiles!$A$45:$I$59, 8, FALSE), perc_85, perc_75 + (perc_90 - perc_75) * (2/3), converted_stat, '2K_Ratings'!O338, IF(bbgm_stat &gt;= perc_95, converted_stat * 3, IF(bbgm_stat &gt;= perc_90, converted_stat * 2, IF(bbgm_stat &gt;= perc_85, converted_stat * 1.5, converted_stat)))))</f>
        <v/>
      </c>
      <c r="P338" s="30" t="str">
        <f t="array" ref="P338">IF($A338="", "", LET(bbgm_stat, INDEX(Players!$A337:$P337, MATCH(P$2, Players!$A$1:$P$1, 0)), perc_75, VLOOKUP(P$2, Percentiles!$A$45:$I$59, 6, FALSE), perc_90, VLOOKUP(P$2, Percentiles!$A$45:$I$59, 7, FALSE), perc_95, VLOOKUP(P$2, Percentiles!$A$45:$I$59, 8, FALSE), perc_85, perc_75 + (perc_90 - perc_75) * (2/3), converted_stat, '2K_Ratings'!P338, IF(bbgm_stat &gt;= perc_95, converted_stat * 3, IF(bbgm_stat &gt;= perc_90, converted_stat * 2, IF(bbgm_stat &gt;= perc_85, converted_stat * 1.5, converted_stat)))))</f>
        <v/>
      </c>
      <c r="Q338" s="30" t="str">
        <f t="array" ref="Q338">IF($A338="", "", LET(bbgm_stat, INDEX(Players!$A337:$P337, MATCH(Q$2, Players!$A$1:$P$1, 0)), perc_75, VLOOKUP(Q$2, Percentiles!$A$45:$I$59, 6, FALSE), perc_90, VLOOKUP(Q$2, Percentiles!$A$45:$I$59, 7, FALSE), perc_95, VLOOKUP(Q$2, Percentiles!$A$45:$I$59, 8, FALSE), perc_85, perc_75 + (perc_90 - perc_75) * (2/3), converted_stat, '2K_Ratings'!Q338, IF(bbgm_stat &gt;= perc_95, converted_stat * 3, IF(bbgm_stat &gt;= perc_90, converted_stat * 2, IF(bbgm_stat &gt;= perc_85, converted_stat * 1.5, converted_stat)))))</f>
        <v/>
      </c>
      <c r="R338" s="30" t="str">
        <f t="array" ref="R338">IF($A338="", "", LET(bbgm_stat, INDEX(Players!$A337:$P337, MATCH(R$2, Players!$A$1:$P$1, 0)), perc_75, VLOOKUP(R$2, Percentiles!$A$45:$I$59, 6, FALSE), perc_90, VLOOKUP(R$2, Percentiles!$A$45:$I$59, 7, FALSE), perc_95, VLOOKUP(R$2, Percentiles!$A$45:$I$59, 8, FALSE), perc_85, perc_75 + (perc_90 - perc_75) * (2/3), converted_stat, '2K_Ratings'!R338, IF(bbgm_stat &gt;= perc_95, converted_stat * 3, IF(bbgm_stat &gt;= perc_90, converted_stat * 2, IF(bbgm_stat &gt;= perc_85, converted_stat * 1.5, converted_stat)))))</f>
        <v/>
      </c>
      <c r="S338" s="30" t="str">
        <f t="array" ref="S338">IF($A338="", "", LET(bbgm_stat, INDEX(Players!$A337:$P337, MATCH(S$2, Players!$A$1:$P$1, 0)), perc_75, VLOOKUP(S$2, Percentiles!$A$45:$I$59, 6, FALSE), perc_90, VLOOKUP(S$2, Percentiles!$A$45:$I$59, 7, FALSE), perc_95, VLOOKUP(S$2, Percentiles!$A$45:$I$59, 8, FALSE), perc_85, perc_75 + (perc_90 - perc_75) * (2/3), converted_stat, '2K_Ratings'!S338, IF(bbgm_stat &gt;= perc_95, converted_stat * 3, IF(bbgm_stat &gt;= perc_90, converted_stat * 2, IF(bbgm_stat &gt;= perc_85, converted_stat * 1.5, converted_stat)))))</f>
        <v/>
      </c>
      <c r="T338" s="30" t="str">
        <f t="array" ref="T338">IF($A338="", "", LET(bbgm_stat, INDEX(Players!$A337:$P337, MATCH(T$2, Players!$A$1:$P$1, 0)), perc_75, VLOOKUP(T$2, Percentiles!$A$45:$I$59, 6, FALSE), perc_90, VLOOKUP(T$2, Percentiles!$A$45:$I$59, 7, FALSE), perc_95, VLOOKUP(T$2, Percentiles!$A$45:$I$59, 8, FALSE), perc_85, perc_75 + (perc_90 - perc_75) * (2/3), converted_stat, '2K_Ratings'!T338, IF(bbgm_stat &gt;= perc_95, converted_stat * 3, IF(bbgm_stat &gt;= perc_90, converted_stat * 2, IF(bbgm_stat &gt;= perc_85, converted_stat * 1.5, converted_stat)))))</f>
        <v/>
      </c>
      <c r="U338" s="30" t="str">
        <f t="array" ref="U338">IF($A338="", "", LET(bbgm_stat, INDEX(Players!$A337:$P337, MATCH(U$2, Players!$A$1:$P$1, 0)), perc_75, VLOOKUP(U$2, Percentiles!$A$45:$I$59, 6, FALSE), perc_90, VLOOKUP(U$2, Percentiles!$A$45:$I$59, 7, FALSE), perc_95, VLOOKUP(U$2, Percentiles!$A$45:$I$59, 8, FALSE), perc_85, perc_75 + (perc_90 - perc_75) * (2/3), converted_stat, '2K_Ratings'!U338, IF(bbgm_stat &gt;= perc_95, converted_stat * 3, IF(bbgm_stat &gt;= perc_90, converted_stat * 2, IF(bbgm_stat &gt;= perc_85, converted_stat * 1.5, converted_stat)))))</f>
        <v/>
      </c>
      <c r="V338" s="30" t="str">
        <f t="array" ref="V338">IF($A338="", "", LET(bbgm_stat, INDEX(Players!$A337:$P337, MATCH(V$2, Players!$A$1:$P$1, 0)), perc_75, VLOOKUP(V$2, Percentiles!$A$45:$I$59, 6, FALSE), perc_90, VLOOKUP(V$2, Percentiles!$A$45:$I$59, 7, FALSE), perc_95, VLOOKUP(V$2, Percentiles!$A$45:$I$59, 8, FALSE), perc_85, perc_75 + (perc_90 - perc_75) * (2/3), converted_stat, '2K_Ratings'!V338, IF(bbgm_stat &gt;= perc_95, converted_stat * 3, IF(bbgm_stat &gt;= perc_90, converted_stat * 2, IF(bbgm_stat &gt;= perc_85, converted_stat * 1.5, converted_stat)))))</f>
        <v/>
      </c>
      <c r="W338" s="30" t="str">
        <f t="array" ref="W338">IF($A338="", "", LET(bbgm_stat, INDEX(Players!$A337:$P337, MATCH(W$2, Players!$A$1:$P$1, 0)), perc_75, VLOOKUP(W$2, Percentiles!$A$45:$I$59, 6, FALSE), perc_90, VLOOKUP(W$2, Percentiles!$A$45:$I$59, 7, FALSE), perc_95, VLOOKUP(W$2, Percentiles!$A$45:$I$59, 8, FALSE), perc_85, perc_75 + (perc_90 - perc_75) * (2/3), converted_stat, '2K_Ratings'!W338, IF(bbgm_stat &gt;= perc_95, converted_stat * 3, IF(bbgm_stat &gt;= perc_90, converted_stat * 2, IF(bbgm_stat &gt;= perc_85, converted_stat * 1.5, converted_stat)))))</f>
        <v/>
      </c>
    </row>
    <row r="339">
      <c r="A339" s="30"/>
      <c r="B339" s="30" t="str">
        <f t="array" ref="B339">IF($A339="", "", LET(bbgm_stat, INDEX(Players!$A338:$P338, MATCH(B$2, Players!$A$1:$P$1, 0)), perc_75, VLOOKUP(B$2, Percentiles!$A$45:$I$59, 6, FALSE), perc_90, VLOOKUP(B$2, Percentiles!$A$45:$I$59, 7, FALSE), perc_95, VLOOKUP(B$2, Percentiles!$A$45:$I$59, 8, FALSE), perc_85, perc_75 + (perc_90 - perc_75) * (2/3), converted_stat, '2K_Ratings'!B339, IF(bbgm_stat &gt;= perc_95, converted_stat * 3, IF(bbgm_stat &gt;= perc_90, converted_stat * 2, IF(bbgm_stat &gt;= perc_85, converted_stat * 1.5, converted_stat)))))</f>
        <v/>
      </c>
      <c r="C339" s="30" t="str">
        <f t="array" ref="C339">IF($A339="", "", LET(bbgm_stat, INDEX(Players!$A338:$P338, MATCH(C$2, Players!$A$1:$P$1, 0)), perc_75, VLOOKUP(C$2, Percentiles!$A$45:$I$59, 6, FALSE), perc_90, VLOOKUP(C$2, Percentiles!$A$45:$I$59, 7, FALSE), perc_95, VLOOKUP(C$2, Percentiles!$A$45:$I$59, 8, FALSE), perc_85, perc_75 + (perc_90 - perc_75) * (2/3), converted_stat, '2K_Ratings'!C339, IF(bbgm_stat &gt;= perc_95, converted_stat * 3, IF(bbgm_stat &gt;= perc_90, converted_stat * 2, IF(bbgm_stat &gt;= perc_85, converted_stat * 1.5, converted_stat)))))</f>
        <v/>
      </c>
      <c r="D339" s="30" t="str">
        <f t="array" ref="D339">IF($A339="", "", LET(bbgm_stat, INDEX(Players!$A338:$P338, MATCH(D$2, Players!$A$1:$P$1, 0)), perc_75, VLOOKUP(D$2, Percentiles!$A$45:$I$59, 6, FALSE), perc_90, VLOOKUP(D$2, Percentiles!$A$45:$I$59, 7, FALSE), perc_95, VLOOKUP(D$2, Percentiles!$A$45:$I$59, 8, FALSE), perc_85, perc_75 + (perc_90 - perc_75) * (2/3), converted_stat, '2K_Ratings'!D339, IF(bbgm_stat &gt;= perc_95, converted_stat * 3, IF(bbgm_stat &gt;= perc_90, converted_stat * 2, IF(bbgm_stat &gt;= perc_85, converted_stat * 1.5, converted_stat)))))</f>
        <v/>
      </c>
      <c r="E339" s="30" t="str">
        <f t="array" ref="E339">IF($A339="", "", LET(bbgm_stat, INDEX(Players!$A338:$P338, MATCH(E$2, Players!$A$1:$P$1, 0)), perc_75, VLOOKUP(E$2, Percentiles!$A$45:$I$59, 6, FALSE), perc_90, VLOOKUP(E$2, Percentiles!$A$45:$I$59, 7, FALSE), perc_95, VLOOKUP(E$2, Percentiles!$A$45:$I$59, 8, FALSE), perc_85, perc_75 + (perc_90 - perc_75) * (2/3), converted_stat, '2K_Ratings'!E339, IF(bbgm_stat &gt;= perc_95, converted_stat * 3, IF(bbgm_stat &gt;= perc_90, converted_stat * 2, IF(bbgm_stat &gt;= perc_85, converted_stat * 1.5, converted_stat)))))</f>
        <v/>
      </c>
      <c r="F339" s="30" t="str">
        <f t="array" ref="F339">IF($A339="", "", LET(bbgm_stat, INDEX(Players!$A338:$P338, MATCH(F$2, Players!$A$1:$P$1, 0)), perc_75, VLOOKUP(F$2, Percentiles!$A$45:$I$59, 6, FALSE), perc_90, VLOOKUP(F$2, Percentiles!$A$45:$I$59, 7, FALSE), perc_95, VLOOKUP(F$2, Percentiles!$A$45:$I$59, 8, FALSE), perc_85, perc_75 + (perc_90 - perc_75) * (2/3), converted_stat, '2K_Ratings'!F339, IF(bbgm_stat &gt;= perc_95, converted_stat * 3, IF(bbgm_stat &gt;= perc_90, converted_stat * 2, IF(bbgm_stat &gt;= perc_85, converted_stat * 1.5, converted_stat)))))</f>
        <v/>
      </c>
      <c r="G339" s="30" t="str">
        <f t="array" ref="G339">IF($A339="", "", LET(bbgm_stat, INDEX(Players!$A338:$P338, MATCH(G$2, Players!$A$1:$P$1, 0)), perc_75, VLOOKUP(G$2, Percentiles!$A$45:$I$59, 6, FALSE), perc_90, VLOOKUP(G$2, Percentiles!$A$45:$I$59, 7, FALSE), perc_95, VLOOKUP(G$2, Percentiles!$A$45:$I$59, 8, FALSE), perc_85, perc_75 + (perc_90 - perc_75) * (2/3), converted_stat, '2K_Ratings'!G339, IF(bbgm_stat &gt;= perc_95, converted_stat * 3, IF(bbgm_stat &gt;= perc_90, converted_stat * 2, IF(bbgm_stat &gt;= perc_85, converted_stat * 1.5, converted_stat)))))</f>
        <v/>
      </c>
      <c r="H339" s="30" t="str">
        <f t="array" ref="H339">IF($A339="", "", LET(bbgm_stat, INDEX(Players!$A338:$P338, MATCH(H$2, Players!$A$1:$P$1, 0)), perc_75, VLOOKUP(H$2, Percentiles!$A$45:$I$59, 6, FALSE), perc_90, VLOOKUP(H$2, Percentiles!$A$45:$I$59, 7, FALSE), perc_95, VLOOKUP(H$2, Percentiles!$A$45:$I$59, 8, FALSE), perc_85, perc_75 + (perc_90 - perc_75) * (2/3), converted_stat, '2K_Ratings'!H339, IF(bbgm_stat &gt;= perc_95, converted_stat * 3, IF(bbgm_stat &gt;= perc_90, converted_stat * 2, IF(bbgm_stat &gt;= perc_85, converted_stat * 1.5, converted_stat)))))</f>
        <v/>
      </c>
      <c r="I339" s="30" t="str">
        <f t="array" ref="I339">IF($A339="", "", LET(bbgm_stat, INDEX(Players!$A338:$P338, MATCH(I$2, Players!$A$1:$P$1, 0)), perc_75, VLOOKUP(I$2, Percentiles!$A$45:$I$59, 6, FALSE), perc_90, VLOOKUP(I$2, Percentiles!$A$45:$I$59, 7, FALSE), perc_95, VLOOKUP(I$2, Percentiles!$A$45:$I$59, 8, FALSE), perc_85, perc_75 + (perc_90 - perc_75) * (2/3), converted_stat, '2K_Ratings'!I339, IF(bbgm_stat &gt;= perc_95, converted_stat * 3, IF(bbgm_stat &gt;= perc_90, converted_stat * 2, IF(bbgm_stat &gt;= perc_85, converted_stat * 1.5, converted_stat)))))</f>
        <v/>
      </c>
      <c r="J339" s="30" t="str">
        <f t="array" ref="J339">IF($A339="", "", LET(bbgm_stat, INDEX(Players!$A338:$P338, MATCH(J$2, Players!$A$1:$P$1, 0)), perc_75, VLOOKUP(J$2, Percentiles!$A$45:$I$59, 6, FALSE), perc_90, VLOOKUP(J$2, Percentiles!$A$45:$I$59, 7, FALSE), perc_95, VLOOKUP(J$2, Percentiles!$A$45:$I$59, 8, FALSE), perc_85, perc_75 + (perc_90 - perc_75) * (2/3), converted_stat, '2K_Ratings'!J339, IF(bbgm_stat &gt;= perc_95, converted_stat * 3, IF(bbgm_stat &gt;= perc_90, converted_stat * 2, IF(bbgm_stat &gt;= perc_85, converted_stat * 1.5, converted_stat)))))</f>
        <v/>
      </c>
      <c r="K339" s="30" t="str">
        <f t="array" ref="K339">IF($A339="", "", LET(bbgm_stat, INDEX(Players!$A338:$P338, MATCH(K$2, Players!$A$1:$P$1, 0)), perc_75, VLOOKUP(K$2, Percentiles!$A$45:$I$59, 6, FALSE), perc_90, VLOOKUP(K$2, Percentiles!$A$45:$I$59, 7, FALSE), perc_95, VLOOKUP(K$2, Percentiles!$A$45:$I$59, 8, FALSE), perc_85, perc_75 + (perc_90 - perc_75) * (2/3), converted_stat, '2K_Ratings'!K339, IF(bbgm_stat &gt;= perc_95, converted_stat * 3, IF(bbgm_stat &gt;= perc_90, converted_stat * 2, IF(bbgm_stat &gt;= perc_85, converted_stat * 1.5, converted_stat)))))</f>
        <v/>
      </c>
      <c r="L339" s="30" t="str">
        <f t="array" ref="L339">IF($A339="", "", LET(bbgm_stat, INDEX(Players!$A338:$P338, MATCH(L$2, Players!$A$1:$P$1, 0)), perc_75, VLOOKUP(L$2, Percentiles!$A$45:$I$59, 6, FALSE), perc_90, VLOOKUP(L$2, Percentiles!$A$45:$I$59, 7, FALSE), perc_95, VLOOKUP(L$2, Percentiles!$A$45:$I$59, 8, FALSE), perc_85, perc_75 + (perc_90 - perc_75) * (2/3), converted_stat, '2K_Ratings'!L339, IF(bbgm_stat &gt;= perc_95, converted_stat * 3, IF(bbgm_stat &gt;= perc_90, converted_stat * 2, IF(bbgm_stat &gt;= perc_85, converted_stat * 1.5, converted_stat)))))</f>
        <v/>
      </c>
      <c r="M339" s="30" t="str">
        <f t="array" ref="M339">IF($A339="", "", LET(bbgm_stat, INDEX(Players!$A338:$P338, MATCH(M$2, Players!$A$1:$P$1, 0)), perc_75, VLOOKUP(M$2, Percentiles!$A$45:$I$59, 6, FALSE), perc_90, VLOOKUP(M$2, Percentiles!$A$45:$I$59, 7, FALSE), perc_95, VLOOKUP(M$2, Percentiles!$A$45:$I$59, 8, FALSE), perc_85, perc_75 + (perc_90 - perc_75) * (2/3), converted_stat, '2K_Ratings'!M339, IF(bbgm_stat &gt;= perc_95, converted_stat * 3, IF(bbgm_stat &gt;= perc_90, converted_stat * 2, IF(bbgm_stat &gt;= perc_85, converted_stat * 1.5, converted_stat)))))</f>
        <v/>
      </c>
      <c r="N339" s="30" t="str">
        <f t="array" ref="N339">IF($A339="", "", LET(bbgm_stat, INDEX(Players!$A338:$P338, MATCH(N$2, Players!$A$1:$P$1, 0)), perc_75, VLOOKUP(N$2, Percentiles!$A$45:$I$59, 6, FALSE), perc_90, VLOOKUP(N$2, Percentiles!$A$45:$I$59, 7, FALSE), perc_95, VLOOKUP(N$2, Percentiles!$A$45:$I$59, 8, FALSE), perc_85, perc_75 + (perc_90 - perc_75) * (2/3), converted_stat, '2K_Ratings'!N339, IF(bbgm_stat &gt;= perc_95, converted_stat * 3, IF(bbgm_stat &gt;= perc_90, converted_stat * 2, IF(bbgm_stat &gt;= perc_85, converted_stat * 1.5, converted_stat)))))</f>
        <v/>
      </c>
      <c r="O339" s="30" t="str">
        <f t="array" ref="O339">IF($A339="", "", LET(bbgm_stat, INDEX(Players!$A338:$P338, MATCH(O$2, Players!$A$1:$P$1, 0)), perc_75, VLOOKUP(O$2, Percentiles!$A$45:$I$59, 6, FALSE), perc_90, VLOOKUP(O$2, Percentiles!$A$45:$I$59, 7, FALSE), perc_95, VLOOKUP(O$2, Percentiles!$A$45:$I$59, 8, FALSE), perc_85, perc_75 + (perc_90 - perc_75) * (2/3), converted_stat, '2K_Ratings'!O339, IF(bbgm_stat &gt;= perc_95, converted_stat * 3, IF(bbgm_stat &gt;= perc_90, converted_stat * 2, IF(bbgm_stat &gt;= perc_85, converted_stat * 1.5, converted_stat)))))</f>
        <v/>
      </c>
      <c r="P339" s="30" t="str">
        <f t="array" ref="P339">IF($A339="", "", LET(bbgm_stat, INDEX(Players!$A338:$P338, MATCH(P$2, Players!$A$1:$P$1, 0)), perc_75, VLOOKUP(P$2, Percentiles!$A$45:$I$59, 6, FALSE), perc_90, VLOOKUP(P$2, Percentiles!$A$45:$I$59, 7, FALSE), perc_95, VLOOKUP(P$2, Percentiles!$A$45:$I$59, 8, FALSE), perc_85, perc_75 + (perc_90 - perc_75) * (2/3), converted_stat, '2K_Ratings'!P339, IF(bbgm_stat &gt;= perc_95, converted_stat * 3, IF(bbgm_stat &gt;= perc_90, converted_stat * 2, IF(bbgm_stat &gt;= perc_85, converted_stat * 1.5, converted_stat)))))</f>
        <v/>
      </c>
      <c r="Q339" s="30" t="str">
        <f t="array" ref="Q339">IF($A339="", "", LET(bbgm_stat, INDEX(Players!$A338:$P338, MATCH(Q$2, Players!$A$1:$P$1, 0)), perc_75, VLOOKUP(Q$2, Percentiles!$A$45:$I$59, 6, FALSE), perc_90, VLOOKUP(Q$2, Percentiles!$A$45:$I$59, 7, FALSE), perc_95, VLOOKUP(Q$2, Percentiles!$A$45:$I$59, 8, FALSE), perc_85, perc_75 + (perc_90 - perc_75) * (2/3), converted_stat, '2K_Ratings'!Q339, IF(bbgm_stat &gt;= perc_95, converted_stat * 3, IF(bbgm_stat &gt;= perc_90, converted_stat * 2, IF(bbgm_stat &gt;= perc_85, converted_stat * 1.5, converted_stat)))))</f>
        <v/>
      </c>
      <c r="R339" s="30" t="str">
        <f t="array" ref="R339">IF($A339="", "", LET(bbgm_stat, INDEX(Players!$A338:$P338, MATCH(R$2, Players!$A$1:$P$1, 0)), perc_75, VLOOKUP(R$2, Percentiles!$A$45:$I$59, 6, FALSE), perc_90, VLOOKUP(R$2, Percentiles!$A$45:$I$59, 7, FALSE), perc_95, VLOOKUP(R$2, Percentiles!$A$45:$I$59, 8, FALSE), perc_85, perc_75 + (perc_90 - perc_75) * (2/3), converted_stat, '2K_Ratings'!R339, IF(bbgm_stat &gt;= perc_95, converted_stat * 3, IF(bbgm_stat &gt;= perc_90, converted_stat * 2, IF(bbgm_stat &gt;= perc_85, converted_stat * 1.5, converted_stat)))))</f>
        <v/>
      </c>
      <c r="S339" s="30" t="str">
        <f t="array" ref="S339">IF($A339="", "", LET(bbgm_stat, INDEX(Players!$A338:$P338, MATCH(S$2, Players!$A$1:$P$1, 0)), perc_75, VLOOKUP(S$2, Percentiles!$A$45:$I$59, 6, FALSE), perc_90, VLOOKUP(S$2, Percentiles!$A$45:$I$59, 7, FALSE), perc_95, VLOOKUP(S$2, Percentiles!$A$45:$I$59, 8, FALSE), perc_85, perc_75 + (perc_90 - perc_75) * (2/3), converted_stat, '2K_Ratings'!S339, IF(bbgm_stat &gt;= perc_95, converted_stat * 3, IF(bbgm_stat &gt;= perc_90, converted_stat * 2, IF(bbgm_stat &gt;= perc_85, converted_stat * 1.5, converted_stat)))))</f>
        <v/>
      </c>
      <c r="T339" s="30" t="str">
        <f t="array" ref="T339">IF($A339="", "", LET(bbgm_stat, INDEX(Players!$A338:$P338, MATCH(T$2, Players!$A$1:$P$1, 0)), perc_75, VLOOKUP(T$2, Percentiles!$A$45:$I$59, 6, FALSE), perc_90, VLOOKUP(T$2, Percentiles!$A$45:$I$59, 7, FALSE), perc_95, VLOOKUP(T$2, Percentiles!$A$45:$I$59, 8, FALSE), perc_85, perc_75 + (perc_90 - perc_75) * (2/3), converted_stat, '2K_Ratings'!T339, IF(bbgm_stat &gt;= perc_95, converted_stat * 3, IF(bbgm_stat &gt;= perc_90, converted_stat * 2, IF(bbgm_stat &gt;= perc_85, converted_stat * 1.5, converted_stat)))))</f>
        <v/>
      </c>
      <c r="U339" s="30" t="str">
        <f t="array" ref="U339">IF($A339="", "", LET(bbgm_stat, INDEX(Players!$A338:$P338, MATCH(U$2, Players!$A$1:$P$1, 0)), perc_75, VLOOKUP(U$2, Percentiles!$A$45:$I$59, 6, FALSE), perc_90, VLOOKUP(U$2, Percentiles!$A$45:$I$59, 7, FALSE), perc_95, VLOOKUP(U$2, Percentiles!$A$45:$I$59, 8, FALSE), perc_85, perc_75 + (perc_90 - perc_75) * (2/3), converted_stat, '2K_Ratings'!U339, IF(bbgm_stat &gt;= perc_95, converted_stat * 3, IF(bbgm_stat &gt;= perc_90, converted_stat * 2, IF(bbgm_stat &gt;= perc_85, converted_stat * 1.5, converted_stat)))))</f>
        <v/>
      </c>
      <c r="V339" s="30" t="str">
        <f t="array" ref="V339">IF($A339="", "", LET(bbgm_stat, INDEX(Players!$A338:$P338, MATCH(V$2, Players!$A$1:$P$1, 0)), perc_75, VLOOKUP(V$2, Percentiles!$A$45:$I$59, 6, FALSE), perc_90, VLOOKUP(V$2, Percentiles!$A$45:$I$59, 7, FALSE), perc_95, VLOOKUP(V$2, Percentiles!$A$45:$I$59, 8, FALSE), perc_85, perc_75 + (perc_90 - perc_75) * (2/3), converted_stat, '2K_Ratings'!V339, IF(bbgm_stat &gt;= perc_95, converted_stat * 3, IF(bbgm_stat &gt;= perc_90, converted_stat * 2, IF(bbgm_stat &gt;= perc_85, converted_stat * 1.5, converted_stat)))))</f>
        <v/>
      </c>
      <c r="W339" s="30" t="str">
        <f t="array" ref="W339">IF($A339="", "", LET(bbgm_stat, INDEX(Players!$A338:$P338, MATCH(W$2, Players!$A$1:$P$1, 0)), perc_75, VLOOKUP(W$2, Percentiles!$A$45:$I$59, 6, FALSE), perc_90, VLOOKUP(W$2, Percentiles!$A$45:$I$59, 7, FALSE), perc_95, VLOOKUP(W$2, Percentiles!$A$45:$I$59, 8, FALSE), perc_85, perc_75 + (perc_90 - perc_75) * (2/3), converted_stat, '2K_Ratings'!W339, IF(bbgm_stat &gt;= perc_95, converted_stat * 3, IF(bbgm_stat &gt;= perc_90, converted_stat * 2, IF(bbgm_stat &gt;= perc_85, converted_stat * 1.5, converted_stat)))))</f>
        <v/>
      </c>
    </row>
    <row r="340">
      <c r="A340" s="30"/>
      <c r="B340" s="30" t="str">
        <f t="array" ref="B340">IF($A340="", "", LET(bbgm_stat, INDEX(Players!$A339:$P339, MATCH(B$2, Players!$A$1:$P$1, 0)), perc_75, VLOOKUP(B$2, Percentiles!$A$45:$I$59, 6, FALSE), perc_90, VLOOKUP(B$2, Percentiles!$A$45:$I$59, 7, FALSE), perc_95, VLOOKUP(B$2, Percentiles!$A$45:$I$59, 8, FALSE), perc_85, perc_75 + (perc_90 - perc_75) * (2/3), converted_stat, '2K_Ratings'!B340, IF(bbgm_stat &gt;= perc_95, converted_stat * 3, IF(bbgm_stat &gt;= perc_90, converted_stat * 2, IF(bbgm_stat &gt;= perc_85, converted_stat * 1.5, converted_stat)))))</f>
        <v/>
      </c>
      <c r="C340" s="30" t="str">
        <f t="array" ref="C340">IF($A340="", "", LET(bbgm_stat, INDEX(Players!$A339:$P339, MATCH(C$2, Players!$A$1:$P$1, 0)), perc_75, VLOOKUP(C$2, Percentiles!$A$45:$I$59, 6, FALSE), perc_90, VLOOKUP(C$2, Percentiles!$A$45:$I$59, 7, FALSE), perc_95, VLOOKUP(C$2, Percentiles!$A$45:$I$59, 8, FALSE), perc_85, perc_75 + (perc_90 - perc_75) * (2/3), converted_stat, '2K_Ratings'!C340, IF(bbgm_stat &gt;= perc_95, converted_stat * 3, IF(bbgm_stat &gt;= perc_90, converted_stat * 2, IF(bbgm_stat &gt;= perc_85, converted_stat * 1.5, converted_stat)))))</f>
        <v/>
      </c>
      <c r="D340" s="30" t="str">
        <f t="array" ref="D340">IF($A340="", "", LET(bbgm_stat, INDEX(Players!$A339:$P339, MATCH(D$2, Players!$A$1:$P$1, 0)), perc_75, VLOOKUP(D$2, Percentiles!$A$45:$I$59, 6, FALSE), perc_90, VLOOKUP(D$2, Percentiles!$A$45:$I$59, 7, FALSE), perc_95, VLOOKUP(D$2, Percentiles!$A$45:$I$59, 8, FALSE), perc_85, perc_75 + (perc_90 - perc_75) * (2/3), converted_stat, '2K_Ratings'!D340, IF(bbgm_stat &gt;= perc_95, converted_stat * 3, IF(bbgm_stat &gt;= perc_90, converted_stat * 2, IF(bbgm_stat &gt;= perc_85, converted_stat * 1.5, converted_stat)))))</f>
        <v/>
      </c>
      <c r="E340" s="30" t="str">
        <f t="array" ref="E340">IF($A340="", "", LET(bbgm_stat, INDEX(Players!$A339:$P339, MATCH(E$2, Players!$A$1:$P$1, 0)), perc_75, VLOOKUP(E$2, Percentiles!$A$45:$I$59, 6, FALSE), perc_90, VLOOKUP(E$2, Percentiles!$A$45:$I$59, 7, FALSE), perc_95, VLOOKUP(E$2, Percentiles!$A$45:$I$59, 8, FALSE), perc_85, perc_75 + (perc_90 - perc_75) * (2/3), converted_stat, '2K_Ratings'!E340, IF(bbgm_stat &gt;= perc_95, converted_stat * 3, IF(bbgm_stat &gt;= perc_90, converted_stat * 2, IF(bbgm_stat &gt;= perc_85, converted_stat * 1.5, converted_stat)))))</f>
        <v/>
      </c>
      <c r="F340" s="30" t="str">
        <f t="array" ref="F340">IF($A340="", "", LET(bbgm_stat, INDEX(Players!$A339:$P339, MATCH(F$2, Players!$A$1:$P$1, 0)), perc_75, VLOOKUP(F$2, Percentiles!$A$45:$I$59, 6, FALSE), perc_90, VLOOKUP(F$2, Percentiles!$A$45:$I$59, 7, FALSE), perc_95, VLOOKUP(F$2, Percentiles!$A$45:$I$59, 8, FALSE), perc_85, perc_75 + (perc_90 - perc_75) * (2/3), converted_stat, '2K_Ratings'!F340, IF(bbgm_stat &gt;= perc_95, converted_stat * 3, IF(bbgm_stat &gt;= perc_90, converted_stat * 2, IF(bbgm_stat &gt;= perc_85, converted_stat * 1.5, converted_stat)))))</f>
        <v/>
      </c>
      <c r="G340" s="30" t="str">
        <f t="array" ref="G340">IF($A340="", "", LET(bbgm_stat, INDEX(Players!$A339:$P339, MATCH(G$2, Players!$A$1:$P$1, 0)), perc_75, VLOOKUP(G$2, Percentiles!$A$45:$I$59, 6, FALSE), perc_90, VLOOKUP(G$2, Percentiles!$A$45:$I$59, 7, FALSE), perc_95, VLOOKUP(G$2, Percentiles!$A$45:$I$59, 8, FALSE), perc_85, perc_75 + (perc_90 - perc_75) * (2/3), converted_stat, '2K_Ratings'!G340, IF(bbgm_stat &gt;= perc_95, converted_stat * 3, IF(bbgm_stat &gt;= perc_90, converted_stat * 2, IF(bbgm_stat &gt;= perc_85, converted_stat * 1.5, converted_stat)))))</f>
        <v/>
      </c>
      <c r="H340" s="30" t="str">
        <f t="array" ref="H340">IF($A340="", "", LET(bbgm_stat, INDEX(Players!$A339:$P339, MATCH(H$2, Players!$A$1:$P$1, 0)), perc_75, VLOOKUP(H$2, Percentiles!$A$45:$I$59, 6, FALSE), perc_90, VLOOKUP(H$2, Percentiles!$A$45:$I$59, 7, FALSE), perc_95, VLOOKUP(H$2, Percentiles!$A$45:$I$59, 8, FALSE), perc_85, perc_75 + (perc_90 - perc_75) * (2/3), converted_stat, '2K_Ratings'!H340, IF(bbgm_stat &gt;= perc_95, converted_stat * 3, IF(bbgm_stat &gt;= perc_90, converted_stat * 2, IF(bbgm_stat &gt;= perc_85, converted_stat * 1.5, converted_stat)))))</f>
        <v/>
      </c>
      <c r="I340" s="30" t="str">
        <f t="array" ref="I340">IF($A340="", "", LET(bbgm_stat, INDEX(Players!$A339:$P339, MATCH(I$2, Players!$A$1:$P$1, 0)), perc_75, VLOOKUP(I$2, Percentiles!$A$45:$I$59, 6, FALSE), perc_90, VLOOKUP(I$2, Percentiles!$A$45:$I$59, 7, FALSE), perc_95, VLOOKUP(I$2, Percentiles!$A$45:$I$59, 8, FALSE), perc_85, perc_75 + (perc_90 - perc_75) * (2/3), converted_stat, '2K_Ratings'!I340, IF(bbgm_stat &gt;= perc_95, converted_stat * 3, IF(bbgm_stat &gt;= perc_90, converted_stat * 2, IF(bbgm_stat &gt;= perc_85, converted_stat * 1.5, converted_stat)))))</f>
        <v/>
      </c>
      <c r="J340" s="30" t="str">
        <f t="array" ref="J340">IF($A340="", "", LET(bbgm_stat, INDEX(Players!$A339:$P339, MATCH(J$2, Players!$A$1:$P$1, 0)), perc_75, VLOOKUP(J$2, Percentiles!$A$45:$I$59, 6, FALSE), perc_90, VLOOKUP(J$2, Percentiles!$A$45:$I$59, 7, FALSE), perc_95, VLOOKUP(J$2, Percentiles!$A$45:$I$59, 8, FALSE), perc_85, perc_75 + (perc_90 - perc_75) * (2/3), converted_stat, '2K_Ratings'!J340, IF(bbgm_stat &gt;= perc_95, converted_stat * 3, IF(bbgm_stat &gt;= perc_90, converted_stat * 2, IF(bbgm_stat &gt;= perc_85, converted_stat * 1.5, converted_stat)))))</f>
        <v/>
      </c>
      <c r="K340" s="30" t="str">
        <f t="array" ref="K340">IF($A340="", "", LET(bbgm_stat, INDEX(Players!$A339:$P339, MATCH(K$2, Players!$A$1:$P$1, 0)), perc_75, VLOOKUP(K$2, Percentiles!$A$45:$I$59, 6, FALSE), perc_90, VLOOKUP(K$2, Percentiles!$A$45:$I$59, 7, FALSE), perc_95, VLOOKUP(K$2, Percentiles!$A$45:$I$59, 8, FALSE), perc_85, perc_75 + (perc_90 - perc_75) * (2/3), converted_stat, '2K_Ratings'!K340, IF(bbgm_stat &gt;= perc_95, converted_stat * 3, IF(bbgm_stat &gt;= perc_90, converted_stat * 2, IF(bbgm_stat &gt;= perc_85, converted_stat * 1.5, converted_stat)))))</f>
        <v/>
      </c>
      <c r="L340" s="30" t="str">
        <f t="array" ref="L340">IF($A340="", "", LET(bbgm_stat, INDEX(Players!$A339:$P339, MATCH(L$2, Players!$A$1:$P$1, 0)), perc_75, VLOOKUP(L$2, Percentiles!$A$45:$I$59, 6, FALSE), perc_90, VLOOKUP(L$2, Percentiles!$A$45:$I$59, 7, FALSE), perc_95, VLOOKUP(L$2, Percentiles!$A$45:$I$59, 8, FALSE), perc_85, perc_75 + (perc_90 - perc_75) * (2/3), converted_stat, '2K_Ratings'!L340, IF(bbgm_stat &gt;= perc_95, converted_stat * 3, IF(bbgm_stat &gt;= perc_90, converted_stat * 2, IF(bbgm_stat &gt;= perc_85, converted_stat * 1.5, converted_stat)))))</f>
        <v/>
      </c>
      <c r="M340" s="30" t="str">
        <f t="array" ref="M340">IF($A340="", "", LET(bbgm_stat, INDEX(Players!$A339:$P339, MATCH(M$2, Players!$A$1:$P$1, 0)), perc_75, VLOOKUP(M$2, Percentiles!$A$45:$I$59, 6, FALSE), perc_90, VLOOKUP(M$2, Percentiles!$A$45:$I$59, 7, FALSE), perc_95, VLOOKUP(M$2, Percentiles!$A$45:$I$59, 8, FALSE), perc_85, perc_75 + (perc_90 - perc_75) * (2/3), converted_stat, '2K_Ratings'!M340, IF(bbgm_stat &gt;= perc_95, converted_stat * 3, IF(bbgm_stat &gt;= perc_90, converted_stat * 2, IF(bbgm_stat &gt;= perc_85, converted_stat * 1.5, converted_stat)))))</f>
        <v/>
      </c>
      <c r="N340" s="30" t="str">
        <f t="array" ref="N340">IF($A340="", "", LET(bbgm_stat, INDEX(Players!$A339:$P339, MATCH(N$2, Players!$A$1:$P$1, 0)), perc_75, VLOOKUP(N$2, Percentiles!$A$45:$I$59, 6, FALSE), perc_90, VLOOKUP(N$2, Percentiles!$A$45:$I$59, 7, FALSE), perc_95, VLOOKUP(N$2, Percentiles!$A$45:$I$59, 8, FALSE), perc_85, perc_75 + (perc_90 - perc_75) * (2/3), converted_stat, '2K_Ratings'!N340, IF(bbgm_stat &gt;= perc_95, converted_stat * 3, IF(bbgm_stat &gt;= perc_90, converted_stat * 2, IF(bbgm_stat &gt;= perc_85, converted_stat * 1.5, converted_stat)))))</f>
        <v/>
      </c>
      <c r="O340" s="30" t="str">
        <f t="array" ref="O340">IF($A340="", "", LET(bbgm_stat, INDEX(Players!$A339:$P339, MATCH(O$2, Players!$A$1:$P$1, 0)), perc_75, VLOOKUP(O$2, Percentiles!$A$45:$I$59, 6, FALSE), perc_90, VLOOKUP(O$2, Percentiles!$A$45:$I$59, 7, FALSE), perc_95, VLOOKUP(O$2, Percentiles!$A$45:$I$59, 8, FALSE), perc_85, perc_75 + (perc_90 - perc_75) * (2/3), converted_stat, '2K_Ratings'!O340, IF(bbgm_stat &gt;= perc_95, converted_stat * 3, IF(bbgm_stat &gt;= perc_90, converted_stat * 2, IF(bbgm_stat &gt;= perc_85, converted_stat * 1.5, converted_stat)))))</f>
        <v/>
      </c>
      <c r="P340" s="30" t="str">
        <f t="array" ref="P340">IF($A340="", "", LET(bbgm_stat, INDEX(Players!$A339:$P339, MATCH(P$2, Players!$A$1:$P$1, 0)), perc_75, VLOOKUP(P$2, Percentiles!$A$45:$I$59, 6, FALSE), perc_90, VLOOKUP(P$2, Percentiles!$A$45:$I$59, 7, FALSE), perc_95, VLOOKUP(P$2, Percentiles!$A$45:$I$59, 8, FALSE), perc_85, perc_75 + (perc_90 - perc_75) * (2/3), converted_stat, '2K_Ratings'!P340, IF(bbgm_stat &gt;= perc_95, converted_stat * 3, IF(bbgm_stat &gt;= perc_90, converted_stat * 2, IF(bbgm_stat &gt;= perc_85, converted_stat * 1.5, converted_stat)))))</f>
        <v/>
      </c>
      <c r="Q340" s="30" t="str">
        <f t="array" ref="Q340">IF($A340="", "", LET(bbgm_stat, INDEX(Players!$A339:$P339, MATCH(Q$2, Players!$A$1:$P$1, 0)), perc_75, VLOOKUP(Q$2, Percentiles!$A$45:$I$59, 6, FALSE), perc_90, VLOOKUP(Q$2, Percentiles!$A$45:$I$59, 7, FALSE), perc_95, VLOOKUP(Q$2, Percentiles!$A$45:$I$59, 8, FALSE), perc_85, perc_75 + (perc_90 - perc_75) * (2/3), converted_stat, '2K_Ratings'!Q340, IF(bbgm_stat &gt;= perc_95, converted_stat * 3, IF(bbgm_stat &gt;= perc_90, converted_stat * 2, IF(bbgm_stat &gt;= perc_85, converted_stat * 1.5, converted_stat)))))</f>
        <v/>
      </c>
      <c r="R340" s="30" t="str">
        <f t="array" ref="R340">IF($A340="", "", LET(bbgm_stat, INDEX(Players!$A339:$P339, MATCH(R$2, Players!$A$1:$P$1, 0)), perc_75, VLOOKUP(R$2, Percentiles!$A$45:$I$59, 6, FALSE), perc_90, VLOOKUP(R$2, Percentiles!$A$45:$I$59, 7, FALSE), perc_95, VLOOKUP(R$2, Percentiles!$A$45:$I$59, 8, FALSE), perc_85, perc_75 + (perc_90 - perc_75) * (2/3), converted_stat, '2K_Ratings'!R340, IF(bbgm_stat &gt;= perc_95, converted_stat * 3, IF(bbgm_stat &gt;= perc_90, converted_stat * 2, IF(bbgm_stat &gt;= perc_85, converted_stat * 1.5, converted_stat)))))</f>
        <v/>
      </c>
      <c r="S340" s="30" t="str">
        <f t="array" ref="S340">IF($A340="", "", LET(bbgm_stat, INDEX(Players!$A339:$P339, MATCH(S$2, Players!$A$1:$P$1, 0)), perc_75, VLOOKUP(S$2, Percentiles!$A$45:$I$59, 6, FALSE), perc_90, VLOOKUP(S$2, Percentiles!$A$45:$I$59, 7, FALSE), perc_95, VLOOKUP(S$2, Percentiles!$A$45:$I$59, 8, FALSE), perc_85, perc_75 + (perc_90 - perc_75) * (2/3), converted_stat, '2K_Ratings'!S340, IF(bbgm_stat &gt;= perc_95, converted_stat * 3, IF(bbgm_stat &gt;= perc_90, converted_stat * 2, IF(bbgm_stat &gt;= perc_85, converted_stat * 1.5, converted_stat)))))</f>
        <v/>
      </c>
      <c r="T340" s="30" t="str">
        <f t="array" ref="T340">IF($A340="", "", LET(bbgm_stat, INDEX(Players!$A339:$P339, MATCH(T$2, Players!$A$1:$P$1, 0)), perc_75, VLOOKUP(T$2, Percentiles!$A$45:$I$59, 6, FALSE), perc_90, VLOOKUP(T$2, Percentiles!$A$45:$I$59, 7, FALSE), perc_95, VLOOKUP(T$2, Percentiles!$A$45:$I$59, 8, FALSE), perc_85, perc_75 + (perc_90 - perc_75) * (2/3), converted_stat, '2K_Ratings'!T340, IF(bbgm_stat &gt;= perc_95, converted_stat * 3, IF(bbgm_stat &gt;= perc_90, converted_stat * 2, IF(bbgm_stat &gt;= perc_85, converted_stat * 1.5, converted_stat)))))</f>
        <v/>
      </c>
      <c r="U340" s="30" t="str">
        <f t="array" ref="U340">IF($A340="", "", LET(bbgm_stat, INDEX(Players!$A339:$P339, MATCH(U$2, Players!$A$1:$P$1, 0)), perc_75, VLOOKUP(U$2, Percentiles!$A$45:$I$59, 6, FALSE), perc_90, VLOOKUP(U$2, Percentiles!$A$45:$I$59, 7, FALSE), perc_95, VLOOKUP(U$2, Percentiles!$A$45:$I$59, 8, FALSE), perc_85, perc_75 + (perc_90 - perc_75) * (2/3), converted_stat, '2K_Ratings'!U340, IF(bbgm_stat &gt;= perc_95, converted_stat * 3, IF(bbgm_stat &gt;= perc_90, converted_stat * 2, IF(bbgm_stat &gt;= perc_85, converted_stat * 1.5, converted_stat)))))</f>
        <v/>
      </c>
      <c r="V340" s="30" t="str">
        <f t="array" ref="V340">IF($A340="", "", LET(bbgm_stat, INDEX(Players!$A339:$P339, MATCH(V$2, Players!$A$1:$P$1, 0)), perc_75, VLOOKUP(V$2, Percentiles!$A$45:$I$59, 6, FALSE), perc_90, VLOOKUP(V$2, Percentiles!$A$45:$I$59, 7, FALSE), perc_95, VLOOKUP(V$2, Percentiles!$A$45:$I$59, 8, FALSE), perc_85, perc_75 + (perc_90 - perc_75) * (2/3), converted_stat, '2K_Ratings'!V340, IF(bbgm_stat &gt;= perc_95, converted_stat * 3, IF(bbgm_stat &gt;= perc_90, converted_stat * 2, IF(bbgm_stat &gt;= perc_85, converted_stat * 1.5, converted_stat)))))</f>
        <v/>
      </c>
      <c r="W340" s="30" t="str">
        <f t="array" ref="W340">IF($A340="", "", LET(bbgm_stat, INDEX(Players!$A339:$P339, MATCH(W$2, Players!$A$1:$P$1, 0)), perc_75, VLOOKUP(W$2, Percentiles!$A$45:$I$59, 6, FALSE), perc_90, VLOOKUP(W$2, Percentiles!$A$45:$I$59, 7, FALSE), perc_95, VLOOKUP(W$2, Percentiles!$A$45:$I$59, 8, FALSE), perc_85, perc_75 + (perc_90 - perc_75) * (2/3), converted_stat, '2K_Ratings'!W340, IF(bbgm_stat &gt;= perc_95, converted_stat * 3, IF(bbgm_stat &gt;= perc_90, converted_stat * 2, IF(bbgm_stat &gt;= perc_85, converted_stat * 1.5, converted_stat)))))</f>
        <v/>
      </c>
    </row>
    <row r="341">
      <c r="A341" s="30"/>
      <c r="B341" s="30" t="str">
        <f t="array" ref="B341">IF($A341="", "", LET(bbgm_stat, INDEX(Players!$A340:$P340, MATCH(B$2, Players!$A$1:$P$1, 0)), perc_75, VLOOKUP(B$2, Percentiles!$A$45:$I$59, 6, FALSE), perc_90, VLOOKUP(B$2, Percentiles!$A$45:$I$59, 7, FALSE), perc_95, VLOOKUP(B$2, Percentiles!$A$45:$I$59, 8, FALSE), perc_85, perc_75 + (perc_90 - perc_75) * (2/3), converted_stat, '2K_Ratings'!B341, IF(bbgm_stat &gt;= perc_95, converted_stat * 3, IF(bbgm_stat &gt;= perc_90, converted_stat * 2, IF(bbgm_stat &gt;= perc_85, converted_stat * 1.5, converted_stat)))))</f>
        <v/>
      </c>
      <c r="C341" s="30" t="str">
        <f t="array" ref="C341">IF($A341="", "", LET(bbgm_stat, INDEX(Players!$A340:$P340, MATCH(C$2, Players!$A$1:$P$1, 0)), perc_75, VLOOKUP(C$2, Percentiles!$A$45:$I$59, 6, FALSE), perc_90, VLOOKUP(C$2, Percentiles!$A$45:$I$59, 7, FALSE), perc_95, VLOOKUP(C$2, Percentiles!$A$45:$I$59, 8, FALSE), perc_85, perc_75 + (perc_90 - perc_75) * (2/3), converted_stat, '2K_Ratings'!C341, IF(bbgm_stat &gt;= perc_95, converted_stat * 3, IF(bbgm_stat &gt;= perc_90, converted_stat * 2, IF(bbgm_stat &gt;= perc_85, converted_stat * 1.5, converted_stat)))))</f>
        <v/>
      </c>
      <c r="D341" s="30" t="str">
        <f t="array" ref="D341">IF($A341="", "", LET(bbgm_stat, INDEX(Players!$A340:$P340, MATCH(D$2, Players!$A$1:$P$1, 0)), perc_75, VLOOKUP(D$2, Percentiles!$A$45:$I$59, 6, FALSE), perc_90, VLOOKUP(D$2, Percentiles!$A$45:$I$59, 7, FALSE), perc_95, VLOOKUP(D$2, Percentiles!$A$45:$I$59, 8, FALSE), perc_85, perc_75 + (perc_90 - perc_75) * (2/3), converted_stat, '2K_Ratings'!D341, IF(bbgm_stat &gt;= perc_95, converted_stat * 3, IF(bbgm_stat &gt;= perc_90, converted_stat * 2, IF(bbgm_stat &gt;= perc_85, converted_stat * 1.5, converted_stat)))))</f>
        <v/>
      </c>
      <c r="E341" s="30" t="str">
        <f t="array" ref="E341">IF($A341="", "", LET(bbgm_stat, INDEX(Players!$A340:$P340, MATCH(E$2, Players!$A$1:$P$1, 0)), perc_75, VLOOKUP(E$2, Percentiles!$A$45:$I$59, 6, FALSE), perc_90, VLOOKUP(E$2, Percentiles!$A$45:$I$59, 7, FALSE), perc_95, VLOOKUP(E$2, Percentiles!$A$45:$I$59, 8, FALSE), perc_85, perc_75 + (perc_90 - perc_75) * (2/3), converted_stat, '2K_Ratings'!E341, IF(bbgm_stat &gt;= perc_95, converted_stat * 3, IF(bbgm_stat &gt;= perc_90, converted_stat * 2, IF(bbgm_stat &gt;= perc_85, converted_stat * 1.5, converted_stat)))))</f>
        <v/>
      </c>
      <c r="F341" s="30" t="str">
        <f t="array" ref="F341">IF($A341="", "", LET(bbgm_stat, INDEX(Players!$A340:$P340, MATCH(F$2, Players!$A$1:$P$1, 0)), perc_75, VLOOKUP(F$2, Percentiles!$A$45:$I$59, 6, FALSE), perc_90, VLOOKUP(F$2, Percentiles!$A$45:$I$59, 7, FALSE), perc_95, VLOOKUP(F$2, Percentiles!$A$45:$I$59, 8, FALSE), perc_85, perc_75 + (perc_90 - perc_75) * (2/3), converted_stat, '2K_Ratings'!F341, IF(bbgm_stat &gt;= perc_95, converted_stat * 3, IF(bbgm_stat &gt;= perc_90, converted_stat * 2, IF(bbgm_stat &gt;= perc_85, converted_stat * 1.5, converted_stat)))))</f>
        <v/>
      </c>
      <c r="G341" s="30" t="str">
        <f t="array" ref="G341">IF($A341="", "", LET(bbgm_stat, INDEX(Players!$A340:$P340, MATCH(G$2, Players!$A$1:$P$1, 0)), perc_75, VLOOKUP(G$2, Percentiles!$A$45:$I$59, 6, FALSE), perc_90, VLOOKUP(G$2, Percentiles!$A$45:$I$59, 7, FALSE), perc_95, VLOOKUP(G$2, Percentiles!$A$45:$I$59, 8, FALSE), perc_85, perc_75 + (perc_90 - perc_75) * (2/3), converted_stat, '2K_Ratings'!G341, IF(bbgm_stat &gt;= perc_95, converted_stat * 3, IF(bbgm_stat &gt;= perc_90, converted_stat * 2, IF(bbgm_stat &gt;= perc_85, converted_stat * 1.5, converted_stat)))))</f>
        <v/>
      </c>
      <c r="H341" s="30" t="str">
        <f t="array" ref="H341">IF($A341="", "", LET(bbgm_stat, INDEX(Players!$A340:$P340, MATCH(H$2, Players!$A$1:$P$1, 0)), perc_75, VLOOKUP(H$2, Percentiles!$A$45:$I$59, 6, FALSE), perc_90, VLOOKUP(H$2, Percentiles!$A$45:$I$59, 7, FALSE), perc_95, VLOOKUP(H$2, Percentiles!$A$45:$I$59, 8, FALSE), perc_85, perc_75 + (perc_90 - perc_75) * (2/3), converted_stat, '2K_Ratings'!H341, IF(bbgm_stat &gt;= perc_95, converted_stat * 3, IF(bbgm_stat &gt;= perc_90, converted_stat * 2, IF(bbgm_stat &gt;= perc_85, converted_stat * 1.5, converted_stat)))))</f>
        <v/>
      </c>
      <c r="I341" s="30" t="str">
        <f t="array" ref="I341">IF($A341="", "", LET(bbgm_stat, INDEX(Players!$A340:$P340, MATCH(I$2, Players!$A$1:$P$1, 0)), perc_75, VLOOKUP(I$2, Percentiles!$A$45:$I$59, 6, FALSE), perc_90, VLOOKUP(I$2, Percentiles!$A$45:$I$59, 7, FALSE), perc_95, VLOOKUP(I$2, Percentiles!$A$45:$I$59, 8, FALSE), perc_85, perc_75 + (perc_90 - perc_75) * (2/3), converted_stat, '2K_Ratings'!I341, IF(bbgm_stat &gt;= perc_95, converted_stat * 3, IF(bbgm_stat &gt;= perc_90, converted_stat * 2, IF(bbgm_stat &gt;= perc_85, converted_stat * 1.5, converted_stat)))))</f>
        <v/>
      </c>
      <c r="J341" s="30" t="str">
        <f t="array" ref="J341">IF($A341="", "", LET(bbgm_stat, INDEX(Players!$A340:$P340, MATCH(J$2, Players!$A$1:$P$1, 0)), perc_75, VLOOKUP(J$2, Percentiles!$A$45:$I$59, 6, FALSE), perc_90, VLOOKUP(J$2, Percentiles!$A$45:$I$59, 7, FALSE), perc_95, VLOOKUP(J$2, Percentiles!$A$45:$I$59, 8, FALSE), perc_85, perc_75 + (perc_90 - perc_75) * (2/3), converted_stat, '2K_Ratings'!J341, IF(bbgm_stat &gt;= perc_95, converted_stat * 3, IF(bbgm_stat &gt;= perc_90, converted_stat * 2, IF(bbgm_stat &gt;= perc_85, converted_stat * 1.5, converted_stat)))))</f>
        <v/>
      </c>
      <c r="K341" s="30" t="str">
        <f t="array" ref="K341">IF($A341="", "", LET(bbgm_stat, INDEX(Players!$A340:$P340, MATCH(K$2, Players!$A$1:$P$1, 0)), perc_75, VLOOKUP(K$2, Percentiles!$A$45:$I$59, 6, FALSE), perc_90, VLOOKUP(K$2, Percentiles!$A$45:$I$59, 7, FALSE), perc_95, VLOOKUP(K$2, Percentiles!$A$45:$I$59, 8, FALSE), perc_85, perc_75 + (perc_90 - perc_75) * (2/3), converted_stat, '2K_Ratings'!K341, IF(bbgm_stat &gt;= perc_95, converted_stat * 3, IF(bbgm_stat &gt;= perc_90, converted_stat * 2, IF(bbgm_stat &gt;= perc_85, converted_stat * 1.5, converted_stat)))))</f>
        <v/>
      </c>
      <c r="L341" s="30" t="str">
        <f t="array" ref="L341">IF($A341="", "", LET(bbgm_stat, INDEX(Players!$A340:$P340, MATCH(L$2, Players!$A$1:$P$1, 0)), perc_75, VLOOKUP(L$2, Percentiles!$A$45:$I$59, 6, FALSE), perc_90, VLOOKUP(L$2, Percentiles!$A$45:$I$59, 7, FALSE), perc_95, VLOOKUP(L$2, Percentiles!$A$45:$I$59, 8, FALSE), perc_85, perc_75 + (perc_90 - perc_75) * (2/3), converted_stat, '2K_Ratings'!L341, IF(bbgm_stat &gt;= perc_95, converted_stat * 3, IF(bbgm_stat &gt;= perc_90, converted_stat * 2, IF(bbgm_stat &gt;= perc_85, converted_stat * 1.5, converted_stat)))))</f>
        <v/>
      </c>
      <c r="M341" s="30" t="str">
        <f t="array" ref="M341">IF($A341="", "", LET(bbgm_stat, INDEX(Players!$A340:$P340, MATCH(M$2, Players!$A$1:$P$1, 0)), perc_75, VLOOKUP(M$2, Percentiles!$A$45:$I$59, 6, FALSE), perc_90, VLOOKUP(M$2, Percentiles!$A$45:$I$59, 7, FALSE), perc_95, VLOOKUP(M$2, Percentiles!$A$45:$I$59, 8, FALSE), perc_85, perc_75 + (perc_90 - perc_75) * (2/3), converted_stat, '2K_Ratings'!M341, IF(bbgm_stat &gt;= perc_95, converted_stat * 3, IF(bbgm_stat &gt;= perc_90, converted_stat * 2, IF(bbgm_stat &gt;= perc_85, converted_stat * 1.5, converted_stat)))))</f>
        <v/>
      </c>
      <c r="N341" s="30" t="str">
        <f t="array" ref="N341">IF($A341="", "", LET(bbgm_stat, INDEX(Players!$A340:$P340, MATCH(N$2, Players!$A$1:$P$1, 0)), perc_75, VLOOKUP(N$2, Percentiles!$A$45:$I$59, 6, FALSE), perc_90, VLOOKUP(N$2, Percentiles!$A$45:$I$59, 7, FALSE), perc_95, VLOOKUP(N$2, Percentiles!$A$45:$I$59, 8, FALSE), perc_85, perc_75 + (perc_90 - perc_75) * (2/3), converted_stat, '2K_Ratings'!N341, IF(bbgm_stat &gt;= perc_95, converted_stat * 3, IF(bbgm_stat &gt;= perc_90, converted_stat * 2, IF(bbgm_stat &gt;= perc_85, converted_stat * 1.5, converted_stat)))))</f>
        <v/>
      </c>
      <c r="O341" s="30" t="str">
        <f t="array" ref="O341">IF($A341="", "", LET(bbgm_stat, INDEX(Players!$A340:$P340, MATCH(O$2, Players!$A$1:$P$1, 0)), perc_75, VLOOKUP(O$2, Percentiles!$A$45:$I$59, 6, FALSE), perc_90, VLOOKUP(O$2, Percentiles!$A$45:$I$59, 7, FALSE), perc_95, VLOOKUP(O$2, Percentiles!$A$45:$I$59, 8, FALSE), perc_85, perc_75 + (perc_90 - perc_75) * (2/3), converted_stat, '2K_Ratings'!O341, IF(bbgm_stat &gt;= perc_95, converted_stat * 3, IF(bbgm_stat &gt;= perc_90, converted_stat * 2, IF(bbgm_stat &gt;= perc_85, converted_stat * 1.5, converted_stat)))))</f>
        <v/>
      </c>
      <c r="P341" s="30" t="str">
        <f t="array" ref="P341">IF($A341="", "", LET(bbgm_stat, INDEX(Players!$A340:$P340, MATCH(P$2, Players!$A$1:$P$1, 0)), perc_75, VLOOKUP(P$2, Percentiles!$A$45:$I$59, 6, FALSE), perc_90, VLOOKUP(P$2, Percentiles!$A$45:$I$59, 7, FALSE), perc_95, VLOOKUP(P$2, Percentiles!$A$45:$I$59, 8, FALSE), perc_85, perc_75 + (perc_90 - perc_75) * (2/3), converted_stat, '2K_Ratings'!P341, IF(bbgm_stat &gt;= perc_95, converted_stat * 3, IF(bbgm_stat &gt;= perc_90, converted_stat * 2, IF(bbgm_stat &gt;= perc_85, converted_stat * 1.5, converted_stat)))))</f>
        <v/>
      </c>
      <c r="Q341" s="30" t="str">
        <f t="array" ref="Q341">IF($A341="", "", LET(bbgm_stat, INDEX(Players!$A340:$P340, MATCH(Q$2, Players!$A$1:$P$1, 0)), perc_75, VLOOKUP(Q$2, Percentiles!$A$45:$I$59, 6, FALSE), perc_90, VLOOKUP(Q$2, Percentiles!$A$45:$I$59, 7, FALSE), perc_95, VLOOKUP(Q$2, Percentiles!$A$45:$I$59, 8, FALSE), perc_85, perc_75 + (perc_90 - perc_75) * (2/3), converted_stat, '2K_Ratings'!Q341, IF(bbgm_stat &gt;= perc_95, converted_stat * 3, IF(bbgm_stat &gt;= perc_90, converted_stat * 2, IF(bbgm_stat &gt;= perc_85, converted_stat * 1.5, converted_stat)))))</f>
        <v/>
      </c>
      <c r="R341" s="30" t="str">
        <f t="array" ref="R341">IF($A341="", "", LET(bbgm_stat, INDEX(Players!$A340:$P340, MATCH(R$2, Players!$A$1:$P$1, 0)), perc_75, VLOOKUP(R$2, Percentiles!$A$45:$I$59, 6, FALSE), perc_90, VLOOKUP(R$2, Percentiles!$A$45:$I$59, 7, FALSE), perc_95, VLOOKUP(R$2, Percentiles!$A$45:$I$59, 8, FALSE), perc_85, perc_75 + (perc_90 - perc_75) * (2/3), converted_stat, '2K_Ratings'!R341, IF(bbgm_stat &gt;= perc_95, converted_stat * 3, IF(bbgm_stat &gt;= perc_90, converted_stat * 2, IF(bbgm_stat &gt;= perc_85, converted_stat * 1.5, converted_stat)))))</f>
        <v/>
      </c>
      <c r="S341" s="30" t="str">
        <f t="array" ref="S341">IF($A341="", "", LET(bbgm_stat, INDEX(Players!$A340:$P340, MATCH(S$2, Players!$A$1:$P$1, 0)), perc_75, VLOOKUP(S$2, Percentiles!$A$45:$I$59, 6, FALSE), perc_90, VLOOKUP(S$2, Percentiles!$A$45:$I$59, 7, FALSE), perc_95, VLOOKUP(S$2, Percentiles!$A$45:$I$59, 8, FALSE), perc_85, perc_75 + (perc_90 - perc_75) * (2/3), converted_stat, '2K_Ratings'!S341, IF(bbgm_stat &gt;= perc_95, converted_stat * 3, IF(bbgm_stat &gt;= perc_90, converted_stat * 2, IF(bbgm_stat &gt;= perc_85, converted_stat * 1.5, converted_stat)))))</f>
        <v/>
      </c>
      <c r="T341" s="30" t="str">
        <f t="array" ref="T341">IF($A341="", "", LET(bbgm_stat, INDEX(Players!$A340:$P340, MATCH(T$2, Players!$A$1:$P$1, 0)), perc_75, VLOOKUP(T$2, Percentiles!$A$45:$I$59, 6, FALSE), perc_90, VLOOKUP(T$2, Percentiles!$A$45:$I$59, 7, FALSE), perc_95, VLOOKUP(T$2, Percentiles!$A$45:$I$59, 8, FALSE), perc_85, perc_75 + (perc_90 - perc_75) * (2/3), converted_stat, '2K_Ratings'!T341, IF(bbgm_stat &gt;= perc_95, converted_stat * 3, IF(bbgm_stat &gt;= perc_90, converted_stat * 2, IF(bbgm_stat &gt;= perc_85, converted_stat * 1.5, converted_stat)))))</f>
        <v/>
      </c>
      <c r="U341" s="30" t="str">
        <f t="array" ref="U341">IF($A341="", "", LET(bbgm_stat, INDEX(Players!$A340:$P340, MATCH(U$2, Players!$A$1:$P$1, 0)), perc_75, VLOOKUP(U$2, Percentiles!$A$45:$I$59, 6, FALSE), perc_90, VLOOKUP(U$2, Percentiles!$A$45:$I$59, 7, FALSE), perc_95, VLOOKUP(U$2, Percentiles!$A$45:$I$59, 8, FALSE), perc_85, perc_75 + (perc_90 - perc_75) * (2/3), converted_stat, '2K_Ratings'!U341, IF(bbgm_stat &gt;= perc_95, converted_stat * 3, IF(bbgm_stat &gt;= perc_90, converted_stat * 2, IF(bbgm_stat &gt;= perc_85, converted_stat * 1.5, converted_stat)))))</f>
        <v/>
      </c>
      <c r="V341" s="30" t="str">
        <f t="array" ref="V341">IF($A341="", "", LET(bbgm_stat, INDEX(Players!$A340:$P340, MATCH(V$2, Players!$A$1:$P$1, 0)), perc_75, VLOOKUP(V$2, Percentiles!$A$45:$I$59, 6, FALSE), perc_90, VLOOKUP(V$2, Percentiles!$A$45:$I$59, 7, FALSE), perc_95, VLOOKUP(V$2, Percentiles!$A$45:$I$59, 8, FALSE), perc_85, perc_75 + (perc_90 - perc_75) * (2/3), converted_stat, '2K_Ratings'!V341, IF(bbgm_stat &gt;= perc_95, converted_stat * 3, IF(bbgm_stat &gt;= perc_90, converted_stat * 2, IF(bbgm_stat &gt;= perc_85, converted_stat * 1.5, converted_stat)))))</f>
        <v/>
      </c>
      <c r="W341" s="30" t="str">
        <f t="array" ref="W341">IF($A341="", "", LET(bbgm_stat, INDEX(Players!$A340:$P340, MATCH(W$2, Players!$A$1:$P$1, 0)), perc_75, VLOOKUP(W$2, Percentiles!$A$45:$I$59, 6, FALSE), perc_90, VLOOKUP(W$2, Percentiles!$A$45:$I$59, 7, FALSE), perc_95, VLOOKUP(W$2, Percentiles!$A$45:$I$59, 8, FALSE), perc_85, perc_75 + (perc_90 - perc_75) * (2/3), converted_stat, '2K_Ratings'!W341, IF(bbgm_stat &gt;= perc_95, converted_stat * 3, IF(bbgm_stat &gt;= perc_90, converted_stat * 2, IF(bbgm_stat &gt;= perc_85, converted_stat * 1.5, converted_stat)))))</f>
        <v/>
      </c>
    </row>
    <row r="342">
      <c r="A342" s="30"/>
      <c r="B342" s="30" t="str">
        <f t="array" ref="B342">IF($A342="", "", LET(bbgm_stat, INDEX(Players!$A341:$P341, MATCH(B$2, Players!$A$1:$P$1, 0)), perc_75, VLOOKUP(B$2, Percentiles!$A$45:$I$59, 6, FALSE), perc_90, VLOOKUP(B$2, Percentiles!$A$45:$I$59, 7, FALSE), perc_95, VLOOKUP(B$2, Percentiles!$A$45:$I$59, 8, FALSE), perc_85, perc_75 + (perc_90 - perc_75) * (2/3), converted_stat, '2K_Ratings'!B342, IF(bbgm_stat &gt;= perc_95, converted_stat * 3, IF(bbgm_stat &gt;= perc_90, converted_stat * 2, IF(bbgm_stat &gt;= perc_85, converted_stat * 1.5, converted_stat)))))</f>
        <v/>
      </c>
      <c r="C342" s="30" t="str">
        <f t="array" ref="C342">IF($A342="", "", LET(bbgm_stat, INDEX(Players!$A341:$P341, MATCH(C$2, Players!$A$1:$P$1, 0)), perc_75, VLOOKUP(C$2, Percentiles!$A$45:$I$59, 6, FALSE), perc_90, VLOOKUP(C$2, Percentiles!$A$45:$I$59, 7, FALSE), perc_95, VLOOKUP(C$2, Percentiles!$A$45:$I$59, 8, FALSE), perc_85, perc_75 + (perc_90 - perc_75) * (2/3), converted_stat, '2K_Ratings'!C342, IF(bbgm_stat &gt;= perc_95, converted_stat * 3, IF(bbgm_stat &gt;= perc_90, converted_stat * 2, IF(bbgm_stat &gt;= perc_85, converted_stat * 1.5, converted_stat)))))</f>
        <v/>
      </c>
      <c r="D342" s="30" t="str">
        <f t="array" ref="D342">IF($A342="", "", LET(bbgm_stat, INDEX(Players!$A341:$P341, MATCH(D$2, Players!$A$1:$P$1, 0)), perc_75, VLOOKUP(D$2, Percentiles!$A$45:$I$59, 6, FALSE), perc_90, VLOOKUP(D$2, Percentiles!$A$45:$I$59, 7, FALSE), perc_95, VLOOKUP(D$2, Percentiles!$A$45:$I$59, 8, FALSE), perc_85, perc_75 + (perc_90 - perc_75) * (2/3), converted_stat, '2K_Ratings'!D342, IF(bbgm_stat &gt;= perc_95, converted_stat * 3, IF(bbgm_stat &gt;= perc_90, converted_stat * 2, IF(bbgm_stat &gt;= perc_85, converted_stat * 1.5, converted_stat)))))</f>
        <v/>
      </c>
      <c r="E342" s="30" t="str">
        <f t="array" ref="E342">IF($A342="", "", LET(bbgm_stat, INDEX(Players!$A341:$P341, MATCH(E$2, Players!$A$1:$P$1, 0)), perc_75, VLOOKUP(E$2, Percentiles!$A$45:$I$59, 6, FALSE), perc_90, VLOOKUP(E$2, Percentiles!$A$45:$I$59, 7, FALSE), perc_95, VLOOKUP(E$2, Percentiles!$A$45:$I$59, 8, FALSE), perc_85, perc_75 + (perc_90 - perc_75) * (2/3), converted_stat, '2K_Ratings'!E342, IF(bbgm_stat &gt;= perc_95, converted_stat * 3, IF(bbgm_stat &gt;= perc_90, converted_stat * 2, IF(bbgm_stat &gt;= perc_85, converted_stat * 1.5, converted_stat)))))</f>
        <v/>
      </c>
      <c r="F342" s="30" t="str">
        <f t="array" ref="F342">IF($A342="", "", LET(bbgm_stat, INDEX(Players!$A341:$P341, MATCH(F$2, Players!$A$1:$P$1, 0)), perc_75, VLOOKUP(F$2, Percentiles!$A$45:$I$59, 6, FALSE), perc_90, VLOOKUP(F$2, Percentiles!$A$45:$I$59, 7, FALSE), perc_95, VLOOKUP(F$2, Percentiles!$A$45:$I$59, 8, FALSE), perc_85, perc_75 + (perc_90 - perc_75) * (2/3), converted_stat, '2K_Ratings'!F342, IF(bbgm_stat &gt;= perc_95, converted_stat * 3, IF(bbgm_stat &gt;= perc_90, converted_stat * 2, IF(bbgm_stat &gt;= perc_85, converted_stat * 1.5, converted_stat)))))</f>
        <v/>
      </c>
      <c r="G342" s="30" t="str">
        <f t="array" ref="G342">IF($A342="", "", LET(bbgm_stat, INDEX(Players!$A341:$P341, MATCH(G$2, Players!$A$1:$P$1, 0)), perc_75, VLOOKUP(G$2, Percentiles!$A$45:$I$59, 6, FALSE), perc_90, VLOOKUP(G$2, Percentiles!$A$45:$I$59, 7, FALSE), perc_95, VLOOKUP(G$2, Percentiles!$A$45:$I$59, 8, FALSE), perc_85, perc_75 + (perc_90 - perc_75) * (2/3), converted_stat, '2K_Ratings'!G342, IF(bbgm_stat &gt;= perc_95, converted_stat * 3, IF(bbgm_stat &gt;= perc_90, converted_stat * 2, IF(bbgm_stat &gt;= perc_85, converted_stat * 1.5, converted_stat)))))</f>
        <v/>
      </c>
      <c r="H342" s="30" t="str">
        <f t="array" ref="H342">IF($A342="", "", LET(bbgm_stat, INDEX(Players!$A341:$P341, MATCH(H$2, Players!$A$1:$P$1, 0)), perc_75, VLOOKUP(H$2, Percentiles!$A$45:$I$59, 6, FALSE), perc_90, VLOOKUP(H$2, Percentiles!$A$45:$I$59, 7, FALSE), perc_95, VLOOKUP(H$2, Percentiles!$A$45:$I$59, 8, FALSE), perc_85, perc_75 + (perc_90 - perc_75) * (2/3), converted_stat, '2K_Ratings'!H342, IF(bbgm_stat &gt;= perc_95, converted_stat * 3, IF(bbgm_stat &gt;= perc_90, converted_stat * 2, IF(bbgm_stat &gt;= perc_85, converted_stat * 1.5, converted_stat)))))</f>
        <v/>
      </c>
      <c r="I342" s="30" t="str">
        <f t="array" ref="I342">IF($A342="", "", LET(bbgm_stat, INDEX(Players!$A341:$P341, MATCH(I$2, Players!$A$1:$P$1, 0)), perc_75, VLOOKUP(I$2, Percentiles!$A$45:$I$59, 6, FALSE), perc_90, VLOOKUP(I$2, Percentiles!$A$45:$I$59, 7, FALSE), perc_95, VLOOKUP(I$2, Percentiles!$A$45:$I$59, 8, FALSE), perc_85, perc_75 + (perc_90 - perc_75) * (2/3), converted_stat, '2K_Ratings'!I342, IF(bbgm_stat &gt;= perc_95, converted_stat * 3, IF(bbgm_stat &gt;= perc_90, converted_stat * 2, IF(bbgm_stat &gt;= perc_85, converted_stat * 1.5, converted_stat)))))</f>
        <v/>
      </c>
      <c r="J342" s="30" t="str">
        <f t="array" ref="J342">IF($A342="", "", LET(bbgm_stat, INDEX(Players!$A341:$P341, MATCH(J$2, Players!$A$1:$P$1, 0)), perc_75, VLOOKUP(J$2, Percentiles!$A$45:$I$59, 6, FALSE), perc_90, VLOOKUP(J$2, Percentiles!$A$45:$I$59, 7, FALSE), perc_95, VLOOKUP(J$2, Percentiles!$A$45:$I$59, 8, FALSE), perc_85, perc_75 + (perc_90 - perc_75) * (2/3), converted_stat, '2K_Ratings'!J342, IF(bbgm_stat &gt;= perc_95, converted_stat * 3, IF(bbgm_stat &gt;= perc_90, converted_stat * 2, IF(bbgm_stat &gt;= perc_85, converted_stat * 1.5, converted_stat)))))</f>
        <v/>
      </c>
      <c r="K342" s="30" t="str">
        <f t="array" ref="K342">IF($A342="", "", LET(bbgm_stat, INDEX(Players!$A341:$P341, MATCH(K$2, Players!$A$1:$P$1, 0)), perc_75, VLOOKUP(K$2, Percentiles!$A$45:$I$59, 6, FALSE), perc_90, VLOOKUP(K$2, Percentiles!$A$45:$I$59, 7, FALSE), perc_95, VLOOKUP(K$2, Percentiles!$A$45:$I$59, 8, FALSE), perc_85, perc_75 + (perc_90 - perc_75) * (2/3), converted_stat, '2K_Ratings'!K342, IF(bbgm_stat &gt;= perc_95, converted_stat * 3, IF(bbgm_stat &gt;= perc_90, converted_stat * 2, IF(bbgm_stat &gt;= perc_85, converted_stat * 1.5, converted_stat)))))</f>
        <v/>
      </c>
      <c r="L342" s="30" t="str">
        <f t="array" ref="L342">IF($A342="", "", LET(bbgm_stat, INDEX(Players!$A341:$P341, MATCH(L$2, Players!$A$1:$P$1, 0)), perc_75, VLOOKUP(L$2, Percentiles!$A$45:$I$59, 6, FALSE), perc_90, VLOOKUP(L$2, Percentiles!$A$45:$I$59, 7, FALSE), perc_95, VLOOKUP(L$2, Percentiles!$A$45:$I$59, 8, FALSE), perc_85, perc_75 + (perc_90 - perc_75) * (2/3), converted_stat, '2K_Ratings'!L342, IF(bbgm_stat &gt;= perc_95, converted_stat * 3, IF(bbgm_stat &gt;= perc_90, converted_stat * 2, IF(bbgm_stat &gt;= perc_85, converted_stat * 1.5, converted_stat)))))</f>
        <v/>
      </c>
      <c r="M342" s="30" t="str">
        <f t="array" ref="M342">IF($A342="", "", LET(bbgm_stat, INDEX(Players!$A341:$P341, MATCH(M$2, Players!$A$1:$P$1, 0)), perc_75, VLOOKUP(M$2, Percentiles!$A$45:$I$59, 6, FALSE), perc_90, VLOOKUP(M$2, Percentiles!$A$45:$I$59, 7, FALSE), perc_95, VLOOKUP(M$2, Percentiles!$A$45:$I$59, 8, FALSE), perc_85, perc_75 + (perc_90 - perc_75) * (2/3), converted_stat, '2K_Ratings'!M342, IF(bbgm_stat &gt;= perc_95, converted_stat * 3, IF(bbgm_stat &gt;= perc_90, converted_stat * 2, IF(bbgm_stat &gt;= perc_85, converted_stat * 1.5, converted_stat)))))</f>
        <v/>
      </c>
      <c r="N342" s="30" t="str">
        <f t="array" ref="N342">IF($A342="", "", LET(bbgm_stat, INDEX(Players!$A341:$P341, MATCH(N$2, Players!$A$1:$P$1, 0)), perc_75, VLOOKUP(N$2, Percentiles!$A$45:$I$59, 6, FALSE), perc_90, VLOOKUP(N$2, Percentiles!$A$45:$I$59, 7, FALSE), perc_95, VLOOKUP(N$2, Percentiles!$A$45:$I$59, 8, FALSE), perc_85, perc_75 + (perc_90 - perc_75) * (2/3), converted_stat, '2K_Ratings'!N342, IF(bbgm_stat &gt;= perc_95, converted_stat * 3, IF(bbgm_stat &gt;= perc_90, converted_stat * 2, IF(bbgm_stat &gt;= perc_85, converted_stat * 1.5, converted_stat)))))</f>
        <v/>
      </c>
      <c r="O342" s="30" t="str">
        <f t="array" ref="O342">IF($A342="", "", LET(bbgm_stat, INDEX(Players!$A341:$P341, MATCH(O$2, Players!$A$1:$P$1, 0)), perc_75, VLOOKUP(O$2, Percentiles!$A$45:$I$59, 6, FALSE), perc_90, VLOOKUP(O$2, Percentiles!$A$45:$I$59, 7, FALSE), perc_95, VLOOKUP(O$2, Percentiles!$A$45:$I$59, 8, FALSE), perc_85, perc_75 + (perc_90 - perc_75) * (2/3), converted_stat, '2K_Ratings'!O342, IF(bbgm_stat &gt;= perc_95, converted_stat * 3, IF(bbgm_stat &gt;= perc_90, converted_stat * 2, IF(bbgm_stat &gt;= perc_85, converted_stat * 1.5, converted_stat)))))</f>
        <v/>
      </c>
      <c r="P342" s="30" t="str">
        <f t="array" ref="P342">IF($A342="", "", LET(bbgm_stat, INDEX(Players!$A341:$P341, MATCH(P$2, Players!$A$1:$P$1, 0)), perc_75, VLOOKUP(P$2, Percentiles!$A$45:$I$59, 6, FALSE), perc_90, VLOOKUP(P$2, Percentiles!$A$45:$I$59, 7, FALSE), perc_95, VLOOKUP(P$2, Percentiles!$A$45:$I$59, 8, FALSE), perc_85, perc_75 + (perc_90 - perc_75) * (2/3), converted_stat, '2K_Ratings'!P342, IF(bbgm_stat &gt;= perc_95, converted_stat * 3, IF(bbgm_stat &gt;= perc_90, converted_stat * 2, IF(bbgm_stat &gt;= perc_85, converted_stat * 1.5, converted_stat)))))</f>
        <v/>
      </c>
      <c r="Q342" s="30" t="str">
        <f t="array" ref="Q342">IF($A342="", "", LET(bbgm_stat, INDEX(Players!$A341:$P341, MATCH(Q$2, Players!$A$1:$P$1, 0)), perc_75, VLOOKUP(Q$2, Percentiles!$A$45:$I$59, 6, FALSE), perc_90, VLOOKUP(Q$2, Percentiles!$A$45:$I$59, 7, FALSE), perc_95, VLOOKUP(Q$2, Percentiles!$A$45:$I$59, 8, FALSE), perc_85, perc_75 + (perc_90 - perc_75) * (2/3), converted_stat, '2K_Ratings'!Q342, IF(bbgm_stat &gt;= perc_95, converted_stat * 3, IF(bbgm_stat &gt;= perc_90, converted_stat * 2, IF(bbgm_stat &gt;= perc_85, converted_stat * 1.5, converted_stat)))))</f>
        <v/>
      </c>
      <c r="R342" s="30" t="str">
        <f t="array" ref="R342">IF($A342="", "", LET(bbgm_stat, INDEX(Players!$A341:$P341, MATCH(R$2, Players!$A$1:$P$1, 0)), perc_75, VLOOKUP(R$2, Percentiles!$A$45:$I$59, 6, FALSE), perc_90, VLOOKUP(R$2, Percentiles!$A$45:$I$59, 7, FALSE), perc_95, VLOOKUP(R$2, Percentiles!$A$45:$I$59, 8, FALSE), perc_85, perc_75 + (perc_90 - perc_75) * (2/3), converted_stat, '2K_Ratings'!R342, IF(bbgm_stat &gt;= perc_95, converted_stat * 3, IF(bbgm_stat &gt;= perc_90, converted_stat * 2, IF(bbgm_stat &gt;= perc_85, converted_stat * 1.5, converted_stat)))))</f>
        <v/>
      </c>
      <c r="S342" s="30" t="str">
        <f t="array" ref="S342">IF($A342="", "", LET(bbgm_stat, INDEX(Players!$A341:$P341, MATCH(S$2, Players!$A$1:$P$1, 0)), perc_75, VLOOKUP(S$2, Percentiles!$A$45:$I$59, 6, FALSE), perc_90, VLOOKUP(S$2, Percentiles!$A$45:$I$59, 7, FALSE), perc_95, VLOOKUP(S$2, Percentiles!$A$45:$I$59, 8, FALSE), perc_85, perc_75 + (perc_90 - perc_75) * (2/3), converted_stat, '2K_Ratings'!S342, IF(bbgm_stat &gt;= perc_95, converted_stat * 3, IF(bbgm_stat &gt;= perc_90, converted_stat * 2, IF(bbgm_stat &gt;= perc_85, converted_stat * 1.5, converted_stat)))))</f>
        <v/>
      </c>
      <c r="T342" s="30" t="str">
        <f t="array" ref="T342">IF($A342="", "", LET(bbgm_stat, INDEX(Players!$A341:$P341, MATCH(T$2, Players!$A$1:$P$1, 0)), perc_75, VLOOKUP(T$2, Percentiles!$A$45:$I$59, 6, FALSE), perc_90, VLOOKUP(T$2, Percentiles!$A$45:$I$59, 7, FALSE), perc_95, VLOOKUP(T$2, Percentiles!$A$45:$I$59, 8, FALSE), perc_85, perc_75 + (perc_90 - perc_75) * (2/3), converted_stat, '2K_Ratings'!T342, IF(bbgm_stat &gt;= perc_95, converted_stat * 3, IF(bbgm_stat &gt;= perc_90, converted_stat * 2, IF(bbgm_stat &gt;= perc_85, converted_stat * 1.5, converted_stat)))))</f>
        <v/>
      </c>
      <c r="U342" s="30" t="str">
        <f t="array" ref="U342">IF($A342="", "", LET(bbgm_stat, INDEX(Players!$A341:$P341, MATCH(U$2, Players!$A$1:$P$1, 0)), perc_75, VLOOKUP(U$2, Percentiles!$A$45:$I$59, 6, FALSE), perc_90, VLOOKUP(U$2, Percentiles!$A$45:$I$59, 7, FALSE), perc_95, VLOOKUP(U$2, Percentiles!$A$45:$I$59, 8, FALSE), perc_85, perc_75 + (perc_90 - perc_75) * (2/3), converted_stat, '2K_Ratings'!U342, IF(bbgm_stat &gt;= perc_95, converted_stat * 3, IF(bbgm_stat &gt;= perc_90, converted_stat * 2, IF(bbgm_stat &gt;= perc_85, converted_stat * 1.5, converted_stat)))))</f>
        <v/>
      </c>
      <c r="V342" s="30" t="str">
        <f t="array" ref="V342">IF($A342="", "", LET(bbgm_stat, INDEX(Players!$A341:$P341, MATCH(V$2, Players!$A$1:$P$1, 0)), perc_75, VLOOKUP(V$2, Percentiles!$A$45:$I$59, 6, FALSE), perc_90, VLOOKUP(V$2, Percentiles!$A$45:$I$59, 7, FALSE), perc_95, VLOOKUP(V$2, Percentiles!$A$45:$I$59, 8, FALSE), perc_85, perc_75 + (perc_90 - perc_75) * (2/3), converted_stat, '2K_Ratings'!V342, IF(bbgm_stat &gt;= perc_95, converted_stat * 3, IF(bbgm_stat &gt;= perc_90, converted_stat * 2, IF(bbgm_stat &gt;= perc_85, converted_stat * 1.5, converted_stat)))))</f>
        <v/>
      </c>
      <c r="W342" s="30" t="str">
        <f t="array" ref="W342">IF($A342="", "", LET(bbgm_stat, INDEX(Players!$A341:$P341, MATCH(W$2, Players!$A$1:$P$1, 0)), perc_75, VLOOKUP(W$2, Percentiles!$A$45:$I$59, 6, FALSE), perc_90, VLOOKUP(W$2, Percentiles!$A$45:$I$59, 7, FALSE), perc_95, VLOOKUP(W$2, Percentiles!$A$45:$I$59, 8, FALSE), perc_85, perc_75 + (perc_90 - perc_75) * (2/3), converted_stat, '2K_Ratings'!W342, IF(bbgm_stat &gt;= perc_95, converted_stat * 3, IF(bbgm_stat &gt;= perc_90, converted_stat * 2, IF(bbgm_stat &gt;= perc_85, converted_stat * 1.5, converted_stat)))))</f>
        <v/>
      </c>
    </row>
    <row r="343">
      <c r="A343" s="30"/>
      <c r="B343" s="30" t="str">
        <f t="array" ref="B343">IF($A343="", "", LET(bbgm_stat, INDEX(Players!$A342:$P342, MATCH(B$2, Players!$A$1:$P$1, 0)), perc_75, VLOOKUP(B$2, Percentiles!$A$45:$I$59, 6, FALSE), perc_90, VLOOKUP(B$2, Percentiles!$A$45:$I$59, 7, FALSE), perc_95, VLOOKUP(B$2, Percentiles!$A$45:$I$59, 8, FALSE), perc_85, perc_75 + (perc_90 - perc_75) * (2/3), converted_stat, '2K_Ratings'!B343, IF(bbgm_stat &gt;= perc_95, converted_stat * 3, IF(bbgm_stat &gt;= perc_90, converted_stat * 2, IF(bbgm_stat &gt;= perc_85, converted_stat * 1.5, converted_stat)))))</f>
        <v/>
      </c>
      <c r="C343" s="30" t="str">
        <f t="array" ref="C343">IF($A343="", "", LET(bbgm_stat, INDEX(Players!$A342:$P342, MATCH(C$2, Players!$A$1:$P$1, 0)), perc_75, VLOOKUP(C$2, Percentiles!$A$45:$I$59, 6, FALSE), perc_90, VLOOKUP(C$2, Percentiles!$A$45:$I$59, 7, FALSE), perc_95, VLOOKUP(C$2, Percentiles!$A$45:$I$59, 8, FALSE), perc_85, perc_75 + (perc_90 - perc_75) * (2/3), converted_stat, '2K_Ratings'!C343, IF(bbgm_stat &gt;= perc_95, converted_stat * 3, IF(bbgm_stat &gt;= perc_90, converted_stat * 2, IF(bbgm_stat &gt;= perc_85, converted_stat * 1.5, converted_stat)))))</f>
        <v/>
      </c>
      <c r="D343" s="30" t="str">
        <f t="array" ref="D343">IF($A343="", "", LET(bbgm_stat, INDEX(Players!$A342:$P342, MATCH(D$2, Players!$A$1:$P$1, 0)), perc_75, VLOOKUP(D$2, Percentiles!$A$45:$I$59, 6, FALSE), perc_90, VLOOKUP(D$2, Percentiles!$A$45:$I$59, 7, FALSE), perc_95, VLOOKUP(D$2, Percentiles!$A$45:$I$59, 8, FALSE), perc_85, perc_75 + (perc_90 - perc_75) * (2/3), converted_stat, '2K_Ratings'!D343, IF(bbgm_stat &gt;= perc_95, converted_stat * 3, IF(bbgm_stat &gt;= perc_90, converted_stat * 2, IF(bbgm_stat &gt;= perc_85, converted_stat * 1.5, converted_stat)))))</f>
        <v/>
      </c>
      <c r="E343" s="30" t="str">
        <f t="array" ref="E343">IF($A343="", "", LET(bbgm_stat, INDEX(Players!$A342:$P342, MATCH(E$2, Players!$A$1:$P$1, 0)), perc_75, VLOOKUP(E$2, Percentiles!$A$45:$I$59, 6, FALSE), perc_90, VLOOKUP(E$2, Percentiles!$A$45:$I$59, 7, FALSE), perc_95, VLOOKUP(E$2, Percentiles!$A$45:$I$59, 8, FALSE), perc_85, perc_75 + (perc_90 - perc_75) * (2/3), converted_stat, '2K_Ratings'!E343, IF(bbgm_stat &gt;= perc_95, converted_stat * 3, IF(bbgm_stat &gt;= perc_90, converted_stat * 2, IF(bbgm_stat &gt;= perc_85, converted_stat * 1.5, converted_stat)))))</f>
        <v/>
      </c>
      <c r="F343" s="30" t="str">
        <f t="array" ref="F343">IF($A343="", "", LET(bbgm_stat, INDEX(Players!$A342:$P342, MATCH(F$2, Players!$A$1:$P$1, 0)), perc_75, VLOOKUP(F$2, Percentiles!$A$45:$I$59, 6, FALSE), perc_90, VLOOKUP(F$2, Percentiles!$A$45:$I$59, 7, FALSE), perc_95, VLOOKUP(F$2, Percentiles!$A$45:$I$59, 8, FALSE), perc_85, perc_75 + (perc_90 - perc_75) * (2/3), converted_stat, '2K_Ratings'!F343, IF(bbgm_stat &gt;= perc_95, converted_stat * 3, IF(bbgm_stat &gt;= perc_90, converted_stat * 2, IF(bbgm_stat &gt;= perc_85, converted_stat * 1.5, converted_stat)))))</f>
        <v/>
      </c>
      <c r="G343" s="30" t="str">
        <f t="array" ref="G343">IF($A343="", "", LET(bbgm_stat, INDEX(Players!$A342:$P342, MATCH(G$2, Players!$A$1:$P$1, 0)), perc_75, VLOOKUP(G$2, Percentiles!$A$45:$I$59, 6, FALSE), perc_90, VLOOKUP(G$2, Percentiles!$A$45:$I$59, 7, FALSE), perc_95, VLOOKUP(G$2, Percentiles!$A$45:$I$59, 8, FALSE), perc_85, perc_75 + (perc_90 - perc_75) * (2/3), converted_stat, '2K_Ratings'!G343, IF(bbgm_stat &gt;= perc_95, converted_stat * 3, IF(bbgm_stat &gt;= perc_90, converted_stat * 2, IF(bbgm_stat &gt;= perc_85, converted_stat * 1.5, converted_stat)))))</f>
        <v/>
      </c>
      <c r="H343" s="30" t="str">
        <f t="array" ref="H343">IF($A343="", "", LET(bbgm_stat, INDEX(Players!$A342:$P342, MATCH(H$2, Players!$A$1:$P$1, 0)), perc_75, VLOOKUP(H$2, Percentiles!$A$45:$I$59, 6, FALSE), perc_90, VLOOKUP(H$2, Percentiles!$A$45:$I$59, 7, FALSE), perc_95, VLOOKUP(H$2, Percentiles!$A$45:$I$59, 8, FALSE), perc_85, perc_75 + (perc_90 - perc_75) * (2/3), converted_stat, '2K_Ratings'!H343, IF(bbgm_stat &gt;= perc_95, converted_stat * 3, IF(bbgm_stat &gt;= perc_90, converted_stat * 2, IF(bbgm_stat &gt;= perc_85, converted_stat * 1.5, converted_stat)))))</f>
        <v/>
      </c>
      <c r="I343" s="30" t="str">
        <f t="array" ref="I343">IF($A343="", "", LET(bbgm_stat, INDEX(Players!$A342:$P342, MATCH(I$2, Players!$A$1:$P$1, 0)), perc_75, VLOOKUP(I$2, Percentiles!$A$45:$I$59, 6, FALSE), perc_90, VLOOKUP(I$2, Percentiles!$A$45:$I$59, 7, FALSE), perc_95, VLOOKUP(I$2, Percentiles!$A$45:$I$59, 8, FALSE), perc_85, perc_75 + (perc_90 - perc_75) * (2/3), converted_stat, '2K_Ratings'!I343, IF(bbgm_stat &gt;= perc_95, converted_stat * 3, IF(bbgm_stat &gt;= perc_90, converted_stat * 2, IF(bbgm_stat &gt;= perc_85, converted_stat * 1.5, converted_stat)))))</f>
        <v/>
      </c>
      <c r="J343" s="30" t="str">
        <f t="array" ref="J343">IF($A343="", "", LET(bbgm_stat, INDEX(Players!$A342:$P342, MATCH(J$2, Players!$A$1:$P$1, 0)), perc_75, VLOOKUP(J$2, Percentiles!$A$45:$I$59, 6, FALSE), perc_90, VLOOKUP(J$2, Percentiles!$A$45:$I$59, 7, FALSE), perc_95, VLOOKUP(J$2, Percentiles!$A$45:$I$59, 8, FALSE), perc_85, perc_75 + (perc_90 - perc_75) * (2/3), converted_stat, '2K_Ratings'!J343, IF(bbgm_stat &gt;= perc_95, converted_stat * 3, IF(bbgm_stat &gt;= perc_90, converted_stat * 2, IF(bbgm_stat &gt;= perc_85, converted_stat * 1.5, converted_stat)))))</f>
        <v/>
      </c>
      <c r="K343" s="30" t="str">
        <f t="array" ref="K343">IF($A343="", "", LET(bbgm_stat, INDEX(Players!$A342:$P342, MATCH(K$2, Players!$A$1:$P$1, 0)), perc_75, VLOOKUP(K$2, Percentiles!$A$45:$I$59, 6, FALSE), perc_90, VLOOKUP(K$2, Percentiles!$A$45:$I$59, 7, FALSE), perc_95, VLOOKUP(K$2, Percentiles!$A$45:$I$59, 8, FALSE), perc_85, perc_75 + (perc_90 - perc_75) * (2/3), converted_stat, '2K_Ratings'!K343, IF(bbgm_stat &gt;= perc_95, converted_stat * 3, IF(bbgm_stat &gt;= perc_90, converted_stat * 2, IF(bbgm_stat &gt;= perc_85, converted_stat * 1.5, converted_stat)))))</f>
        <v/>
      </c>
      <c r="L343" s="30" t="str">
        <f t="array" ref="L343">IF($A343="", "", LET(bbgm_stat, INDEX(Players!$A342:$P342, MATCH(L$2, Players!$A$1:$P$1, 0)), perc_75, VLOOKUP(L$2, Percentiles!$A$45:$I$59, 6, FALSE), perc_90, VLOOKUP(L$2, Percentiles!$A$45:$I$59, 7, FALSE), perc_95, VLOOKUP(L$2, Percentiles!$A$45:$I$59, 8, FALSE), perc_85, perc_75 + (perc_90 - perc_75) * (2/3), converted_stat, '2K_Ratings'!L343, IF(bbgm_stat &gt;= perc_95, converted_stat * 3, IF(bbgm_stat &gt;= perc_90, converted_stat * 2, IF(bbgm_stat &gt;= perc_85, converted_stat * 1.5, converted_stat)))))</f>
        <v/>
      </c>
      <c r="M343" s="30" t="str">
        <f t="array" ref="M343">IF($A343="", "", LET(bbgm_stat, INDEX(Players!$A342:$P342, MATCH(M$2, Players!$A$1:$P$1, 0)), perc_75, VLOOKUP(M$2, Percentiles!$A$45:$I$59, 6, FALSE), perc_90, VLOOKUP(M$2, Percentiles!$A$45:$I$59, 7, FALSE), perc_95, VLOOKUP(M$2, Percentiles!$A$45:$I$59, 8, FALSE), perc_85, perc_75 + (perc_90 - perc_75) * (2/3), converted_stat, '2K_Ratings'!M343, IF(bbgm_stat &gt;= perc_95, converted_stat * 3, IF(bbgm_stat &gt;= perc_90, converted_stat * 2, IF(bbgm_stat &gt;= perc_85, converted_stat * 1.5, converted_stat)))))</f>
        <v/>
      </c>
      <c r="N343" s="30" t="str">
        <f t="array" ref="N343">IF($A343="", "", LET(bbgm_stat, INDEX(Players!$A342:$P342, MATCH(N$2, Players!$A$1:$P$1, 0)), perc_75, VLOOKUP(N$2, Percentiles!$A$45:$I$59, 6, FALSE), perc_90, VLOOKUP(N$2, Percentiles!$A$45:$I$59, 7, FALSE), perc_95, VLOOKUP(N$2, Percentiles!$A$45:$I$59, 8, FALSE), perc_85, perc_75 + (perc_90 - perc_75) * (2/3), converted_stat, '2K_Ratings'!N343, IF(bbgm_stat &gt;= perc_95, converted_stat * 3, IF(bbgm_stat &gt;= perc_90, converted_stat * 2, IF(bbgm_stat &gt;= perc_85, converted_stat * 1.5, converted_stat)))))</f>
        <v/>
      </c>
      <c r="O343" s="30" t="str">
        <f t="array" ref="O343">IF($A343="", "", LET(bbgm_stat, INDEX(Players!$A342:$P342, MATCH(O$2, Players!$A$1:$P$1, 0)), perc_75, VLOOKUP(O$2, Percentiles!$A$45:$I$59, 6, FALSE), perc_90, VLOOKUP(O$2, Percentiles!$A$45:$I$59, 7, FALSE), perc_95, VLOOKUP(O$2, Percentiles!$A$45:$I$59, 8, FALSE), perc_85, perc_75 + (perc_90 - perc_75) * (2/3), converted_stat, '2K_Ratings'!O343, IF(bbgm_stat &gt;= perc_95, converted_stat * 3, IF(bbgm_stat &gt;= perc_90, converted_stat * 2, IF(bbgm_stat &gt;= perc_85, converted_stat * 1.5, converted_stat)))))</f>
        <v/>
      </c>
      <c r="P343" s="30" t="str">
        <f t="array" ref="P343">IF($A343="", "", LET(bbgm_stat, INDEX(Players!$A342:$P342, MATCH(P$2, Players!$A$1:$P$1, 0)), perc_75, VLOOKUP(P$2, Percentiles!$A$45:$I$59, 6, FALSE), perc_90, VLOOKUP(P$2, Percentiles!$A$45:$I$59, 7, FALSE), perc_95, VLOOKUP(P$2, Percentiles!$A$45:$I$59, 8, FALSE), perc_85, perc_75 + (perc_90 - perc_75) * (2/3), converted_stat, '2K_Ratings'!P343, IF(bbgm_stat &gt;= perc_95, converted_stat * 3, IF(bbgm_stat &gt;= perc_90, converted_stat * 2, IF(bbgm_stat &gt;= perc_85, converted_stat * 1.5, converted_stat)))))</f>
        <v/>
      </c>
      <c r="Q343" s="30" t="str">
        <f t="array" ref="Q343">IF($A343="", "", LET(bbgm_stat, INDEX(Players!$A342:$P342, MATCH(Q$2, Players!$A$1:$P$1, 0)), perc_75, VLOOKUP(Q$2, Percentiles!$A$45:$I$59, 6, FALSE), perc_90, VLOOKUP(Q$2, Percentiles!$A$45:$I$59, 7, FALSE), perc_95, VLOOKUP(Q$2, Percentiles!$A$45:$I$59, 8, FALSE), perc_85, perc_75 + (perc_90 - perc_75) * (2/3), converted_stat, '2K_Ratings'!Q343, IF(bbgm_stat &gt;= perc_95, converted_stat * 3, IF(bbgm_stat &gt;= perc_90, converted_stat * 2, IF(bbgm_stat &gt;= perc_85, converted_stat * 1.5, converted_stat)))))</f>
        <v/>
      </c>
      <c r="R343" s="30" t="str">
        <f t="array" ref="R343">IF($A343="", "", LET(bbgm_stat, INDEX(Players!$A342:$P342, MATCH(R$2, Players!$A$1:$P$1, 0)), perc_75, VLOOKUP(R$2, Percentiles!$A$45:$I$59, 6, FALSE), perc_90, VLOOKUP(R$2, Percentiles!$A$45:$I$59, 7, FALSE), perc_95, VLOOKUP(R$2, Percentiles!$A$45:$I$59, 8, FALSE), perc_85, perc_75 + (perc_90 - perc_75) * (2/3), converted_stat, '2K_Ratings'!R343, IF(bbgm_stat &gt;= perc_95, converted_stat * 3, IF(bbgm_stat &gt;= perc_90, converted_stat * 2, IF(bbgm_stat &gt;= perc_85, converted_stat * 1.5, converted_stat)))))</f>
        <v/>
      </c>
      <c r="S343" s="30" t="str">
        <f t="array" ref="S343">IF($A343="", "", LET(bbgm_stat, INDEX(Players!$A342:$P342, MATCH(S$2, Players!$A$1:$P$1, 0)), perc_75, VLOOKUP(S$2, Percentiles!$A$45:$I$59, 6, FALSE), perc_90, VLOOKUP(S$2, Percentiles!$A$45:$I$59, 7, FALSE), perc_95, VLOOKUP(S$2, Percentiles!$A$45:$I$59, 8, FALSE), perc_85, perc_75 + (perc_90 - perc_75) * (2/3), converted_stat, '2K_Ratings'!S343, IF(bbgm_stat &gt;= perc_95, converted_stat * 3, IF(bbgm_stat &gt;= perc_90, converted_stat * 2, IF(bbgm_stat &gt;= perc_85, converted_stat * 1.5, converted_stat)))))</f>
        <v/>
      </c>
      <c r="T343" s="30" t="str">
        <f t="array" ref="T343">IF($A343="", "", LET(bbgm_stat, INDEX(Players!$A342:$P342, MATCH(T$2, Players!$A$1:$P$1, 0)), perc_75, VLOOKUP(T$2, Percentiles!$A$45:$I$59, 6, FALSE), perc_90, VLOOKUP(T$2, Percentiles!$A$45:$I$59, 7, FALSE), perc_95, VLOOKUP(T$2, Percentiles!$A$45:$I$59, 8, FALSE), perc_85, perc_75 + (perc_90 - perc_75) * (2/3), converted_stat, '2K_Ratings'!T343, IF(bbgm_stat &gt;= perc_95, converted_stat * 3, IF(bbgm_stat &gt;= perc_90, converted_stat * 2, IF(bbgm_stat &gt;= perc_85, converted_stat * 1.5, converted_stat)))))</f>
        <v/>
      </c>
      <c r="U343" s="30" t="str">
        <f t="array" ref="U343">IF($A343="", "", LET(bbgm_stat, INDEX(Players!$A342:$P342, MATCH(U$2, Players!$A$1:$P$1, 0)), perc_75, VLOOKUP(U$2, Percentiles!$A$45:$I$59, 6, FALSE), perc_90, VLOOKUP(U$2, Percentiles!$A$45:$I$59, 7, FALSE), perc_95, VLOOKUP(U$2, Percentiles!$A$45:$I$59, 8, FALSE), perc_85, perc_75 + (perc_90 - perc_75) * (2/3), converted_stat, '2K_Ratings'!U343, IF(bbgm_stat &gt;= perc_95, converted_stat * 3, IF(bbgm_stat &gt;= perc_90, converted_stat * 2, IF(bbgm_stat &gt;= perc_85, converted_stat * 1.5, converted_stat)))))</f>
        <v/>
      </c>
      <c r="V343" s="30" t="str">
        <f t="array" ref="V343">IF($A343="", "", LET(bbgm_stat, INDEX(Players!$A342:$P342, MATCH(V$2, Players!$A$1:$P$1, 0)), perc_75, VLOOKUP(V$2, Percentiles!$A$45:$I$59, 6, FALSE), perc_90, VLOOKUP(V$2, Percentiles!$A$45:$I$59, 7, FALSE), perc_95, VLOOKUP(V$2, Percentiles!$A$45:$I$59, 8, FALSE), perc_85, perc_75 + (perc_90 - perc_75) * (2/3), converted_stat, '2K_Ratings'!V343, IF(bbgm_stat &gt;= perc_95, converted_stat * 3, IF(bbgm_stat &gt;= perc_90, converted_stat * 2, IF(bbgm_stat &gt;= perc_85, converted_stat * 1.5, converted_stat)))))</f>
        <v/>
      </c>
      <c r="W343" s="30" t="str">
        <f t="array" ref="W343">IF($A343="", "", LET(bbgm_stat, INDEX(Players!$A342:$P342, MATCH(W$2, Players!$A$1:$P$1, 0)), perc_75, VLOOKUP(W$2, Percentiles!$A$45:$I$59, 6, FALSE), perc_90, VLOOKUP(W$2, Percentiles!$A$45:$I$59, 7, FALSE), perc_95, VLOOKUP(W$2, Percentiles!$A$45:$I$59, 8, FALSE), perc_85, perc_75 + (perc_90 - perc_75) * (2/3), converted_stat, '2K_Ratings'!W343, IF(bbgm_stat &gt;= perc_95, converted_stat * 3, IF(bbgm_stat &gt;= perc_90, converted_stat * 2, IF(bbgm_stat &gt;= perc_85, converted_stat * 1.5, converted_stat)))))</f>
        <v/>
      </c>
    </row>
    <row r="344">
      <c r="A344" s="30"/>
      <c r="B344" s="30" t="str">
        <f t="array" ref="B344">IF($A344="", "", LET(bbgm_stat, INDEX(Players!$A343:$P343, MATCH(B$2, Players!$A$1:$P$1, 0)), perc_75, VLOOKUP(B$2, Percentiles!$A$45:$I$59, 6, FALSE), perc_90, VLOOKUP(B$2, Percentiles!$A$45:$I$59, 7, FALSE), perc_95, VLOOKUP(B$2, Percentiles!$A$45:$I$59, 8, FALSE), perc_85, perc_75 + (perc_90 - perc_75) * (2/3), converted_stat, '2K_Ratings'!B344, IF(bbgm_stat &gt;= perc_95, converted_stat * 3, IF(bbgm_stat &gt;= perc_90, converted_stat * 2, IF(bbgm_stat &gt;= perc_85, converted_stat * 1.5, converted_stat)))))</f>
        <v/>
      </c>
      <c r="C344" s="30" t="str">
        <f t="array" ref="C344">IF($A344="", "", LET(bbgm_stat, INDEX(Players!$A343:$P343, MATCH(C$2, Players!$A$1:$P$1, 0)), perc_75, VLOOKUP(C$2, Percentiles!$A$45:$I$59, 6, FALSE), perc_90, VLOOKUP(C$2, Percentiles!$A$45:$I$59, 7, FALSE), perc_95, VLOOKUP(C$2, Percentiles!$A$45:$I$59, 8, FALSE), perc_85, perc_75 + (perc_90 - perc_75) * (2/3), converted_stat, '2K_Ratings'!C344, IF(bbgm_stat &gt;= perc_95, converted_stat * 3, IF(bbgm_stat &gt;= perc_90, converted_stat * 2, IF(bbgm_stat &gt;= perc_85, converted_stat * 1.5, converted_stat)))))</f>
        <v/>
      </c>
      <c r="D344" s="30" t="str">
        <f t="array" ref="D344">IF($A344="", "", LET(bbgm_stat, INDEX(Players!$A343:$P343, MATCH(D$2, Players!$A$1:$P$1, 0)), perc_75, VLOOKUP(D$2, Percentiles!$A$45:$I$59, 6, FALSE), perc_90, VLOOKUP(D$2, Percentiles!$A$45:$I$59, 7, FALSE), perc_95, VLOOKUP(D$2, Percentiles!$A$45:$I$59, 8, FALSE), perc_85, perc_75 + (perc_90 - perc_75) * (2/3), converted_stat, '2K_Ratings'!D344, IF(bbgm_stat &gt;= perc_95, converted_stat * 3, IF(bbgm_stat &gt;= perc_90, converted_stat * 2, IF(bbgm_stat &gt;= perc_85, converted_stat * 1.5, converted_stat)))))</f>
        <v/>
      </c>
      <c r="E344" s="30" t="str">
        <f t="array" ref="E344">IF($A344="", "", LET(bbgm_stat, INDEX(Players!$A343:$P343, MATCH(E$2, Players!$A$1:$P$1, 0)), perc_75, VLOOKUP(E$2, Percentiles!$A$45:$I$59, 6, FALSE), perc_90, VLOOKUP(E$2, Percentiles!$A$45:$I$59, 7, FALSE), perc_95, VLOOKUP(E$2, Percentiles!$A$45:$I$59, 8, FALSE), perc_85, perc_75 + (perc_90 - perc_75) * (2/3), converted_stat, '2K_Ratings'!E344, IF(bbgm_stat &gt;= perc_95, converted_stat * 3, IF(bbgm_stat &gt;= perc_90, converted_stat * 2, IF(bbgm_stat &gt;= perc_85, converted_stat * 1.5, converted_stat)))))</f>
        <v/>
      </c>
      <c r="F344" s="30" t="str">
        <f t="array" ref="F344">IF($A344="", "", LET(bbgm_stat, INDEX(Players!$A343:$P343, MATCH(F$2, Players!$A$1:$P$1, 0)), perc_75, VLOOKUP(F$2, Percentiles!$A$45:$I$59, 6, FALSE), perc_90, VLOOKUP(F$2, Percentiles!$A$45:$I$59, 7, FALSE), perc_95, VLOOKUP(F$2, Percentiles!$A$45:$I$59, 8, FALSE), perc_85, perc_75 + (perc_90 - perc_75) * (2/3), converted_stat, '2K_Ratings'!F344, IF(bbgm_stat &gt;= perc_95, converted_stat * 3, IF(bbgm_stat &gt;= perc_90, converted_stat * 2, IF(bbgm_stat &gt;= perc_85, converted_stat * 1.5, converted_stat)))))</f>
        <v/>
      </c>
      <c r="G344" s="30" t="str">
        <f t="array" ref="G344">IF($A344="", "", LET(bbgm_stat, INDEX(Players!$A343:$P343, MATCH(G$2, Players!$A$1:$P$1, 0)), perc_75, VLOOKUP(G$2, Percentiles!$A$45:$I$59, 6, FALSE), perc_90, VLOOKUP(G$2, Percentiles!$A$45:$I$59, 7, FALSE), perc_95, VLOOKUP(G$2, Percentiles!$A$45:$I$59, 8, FALSE), perc_85, perc_75 + (perc_90 - perc_75) * (2/3), converted_stat, '2K_Ratings'!G344, IF(bbgm_stat &gt;= perc_95, converted_stat * 3, IF(bbgm_stat &gt;= perc_90, converted_stat * 2, IF(bbgm_stat &gt;= perc_85, converted_stat * 1.5, converted_stat)))))</f>
        <v/>
      </c>
      <c r="H344" s="30" t="str">
        <f t="array" ref="H344">IF($A344="", "", LET(bbgm_stat, INDEX(Players!$A343:$P343, MATCH(H$2, Players!$A$1:$P$1, 0)), perc_75, VLOOKUP(H$2, Percentiles!$A$45:$I$59, 6, FALSE), perc_90, VLOOKUP(H$2, Percentiles!$A$45:$I$59, 7, FALSE), perc_95, VLOOKUP(H$2, Percentiles!$A$45:$I$59, 8, FALSE), perc_85, perc_75 + (perc_90 - perc_75) * (2/3), converted_stat, '2K_Ratings'!H344, IF(bbgm_stat &gt;= perc_95, converted_stat * 3, IF(bbgm_stat &gt;= perc_90, converted_stat * 2, IF(bbgm_stat &gt;= perc_85, converted_stat * 1.5, converted_stat)))))</f>
        <v/>
      </c>
      <c r="I344" s="30" t="str">
        <f t="array" ref="I344">IF($A344="", "", LET(bbgm_stat, INDEX(Players!$A343:$P343, MATCH(I$2, Players!$A$1:$P$1, 0)), perc_75, VLOOKUP(I$2, Percentiles!$A$45:$I$59, 6, FALSE), perc_90, VLOOKUP(I$2, Percentiles!$A$45:$I$59, 7, FALSE), perc_95, VLOOKUP(I$2, Percentiles!$A$45:$I$59, 8, FALSE), perc_85, perc_75 + (perc_90 - perc_75) * (2/3), converted_stat, '2K_Ratings'!I344, IF(bbgm_stat &gt;= perc_95, converted_stat * 3, IF(bbgm_stat &gt;= perc_90, converted_stat * 2, IF(bbgm_stat &gt;= perc_85, converted_stat * 1.5, converted_stat)))))</f>
        <v/>
      </c>
      <c r="J344" s="30" t="str">
        <f t="array" ref="J344">IF($A344="", "", LET(bbgm_stat, INDEX(Players!$A343:$P343, MATCH(J$2, Players!$A$1:$P$1, 0)), perc_75, VLOOKUP(J$2, Percentiles!$A$45:$I$59, 6, FALSE), perc_90, VLOOKUP(J$2, Percentiles!$A$45:$I$59, 7, FALSE), perc_95, VLOOKUP(J$2, Percentiles!$A$45:$I$59, 8, FALSE), perc_85, perc_75 + (perc_90 - perc_75) * (2/3), converted_stat, '2K_Ratings'!J344, IF(bbgm_stat &gt;= perc_95, converted_stat * 3, IF(bbgm_stat &gt;= perc_90, converted_stat * 2, IF(bbgm_stat &gt;= perc_85, converted_stat * 1.5, converted_stat)))))</f>
        <v/>
      </c>
      <c r="K344" s="30" t="str">
        <f t="array" ref="K344">IF($A344="", "", LET(bbgm_stat, INDEX(Players!$A343:$P343, MATCH(K$2, Players!$A$1:$P$1, 0)), perc_75, VLOOKUP(K$2, Percentiles!$A$45:$I$59, 6, FALSE), perc_90, VLOOKUP(K$2, Percentiles!$A$45:$I$59, 7, FALSE), perc_95, VLOOKUP(K$2, Percentiles!$A$45:$I$59, 8, FALSE), perc_85, perc_75 + (perc_90 - perc_75) * (2/3), converted_stat, '2K_Ratings'!K344, IF(bbgm_stat &gt;= perc_95, converted_stat * 3, IF(bbgm_stat &gt;= perc_90, converted_stat * 2, IF(bbgm_stat &gt;= perc_85, converted_stat * 1.5, converted_stat)))))</f>
        <v/>
      </c>
      <c r="L344" s="30" t="str">
        <f t="array" ref="L344">IF($A344="", "", LET(bbgm_stat, INDEX(Players!$A343:$P343, MATCH(L$2, Players!$A$1:$P$1, 0)), perc_75, VLOOKUP(L$2, Percentiles!$A$45:$I$59, 6, FALSE), perc_90, VLOOKUP(L$2, Percentiles!$A$45:$I$59, 7, FALSE), perc_95, VLOOKUP(L$2, Percentiles!$A$45:$I$59, 8, FALSE), perc_85, perc_75 + (perc_90 - perc_75) * (2/3), converted_stat, '2K_Ratings'!L344, IF(bbgm_stat &gt;= perc_95, converted_stat * 3, IF(bbgm_stat &gt;= perc_90, converted_stat * 2, IF(bbgm_stat &gt;= perc_85, converted_stat * 1.5, converted_stat)))))</f>
        <v/>
      </c>
      <c r="M344" s="30" t="str">
        <f t="array" ref="M344">IF($A344="", "", LET(bbgm_stat, INDEX(Players!$A343:$P343, MATCH(M$2, Players!$A$1:$P$1, 0)), perc_75, VLOOKUP(M$2, Percentiles!$A$45:$I$59, 6, FALSE), perc_90, VLOOKUP(M$2, Percentiles!$A$45:$I$59, 7, FALSE), perc_95, VLOOKUP(M$2, Percentiles!$A$45:$I$59, 8, FALSE), perc_85, perc_75 + (perc_90 - perc_75) * (2/3), converted_stat, '2K_Ratings'!M344, IF(bbgm_stat &gt;= perc_95, converted_stat * 3, IF(bbgm_stat &gt;= perc_90, converted_stat * 2, IF(bbgm_stat &gt;= perc_85, converted_stat * 1.5, converted_stat)))))</f>
        <v/>
      </c>
      <c r="N344" s="30" t="str">
        <f t="array" ref="N344">IF($A344="", "", LET(bbgm_stat, INDEX(Players!$A343:$P343, MATCH(N$2, Players!$A$1:$P$1, 0)), perc_75, VLOOKUP(N$2, Percentiles!$A$45:$I$59, 6, FALSE), perc_90, VLOOKUP(N$2, Percentiles!$A$45:$I$59, 7, FALSE), perc_95, VLOOKUP(N$2, Percentiles!$A$45:$I$59, 8, FALSE), perc_85, perc_75 + (perc_90 - perc_75) * (2/3), converted_stat, '2K_Ratings'!N344, IF(bbgm_stat &gt;= perc_95, converted_stat * 3, IF(bbgm_stat &gt;= perc_90, converted_stat * 2, IF(bbgm_stat &gt;= perc_85, converted_stat * 1.5, converted_stat)))))</f>
        <v/>
      </c>
      <c r="O344" s="30" t="str">
        <f t="array" ref="O344">IF($A344="", "", LET(bbgm_stat, INDEX(Players!$A343:$P343, MATCH(O$2, Players!$A$1:$P$1, 0)), perc_75, VLOOKUP(O$2, Percentiles!$A$45:$I$59, 6, FALSE), perc_90, VLOOKUP(O$2, Percentiles!$A$45:$I$59, 7, FALSE), perc_95, VLOOKUP(O$2, Percentiles!$A$45:$I$59, 8, FALSE), perc_85, perc_75 + (perc_90 - perc_75) * (2/3), converted_stat, '2K_Ratings'!O344, IF(bbgm_stat &gt;= perc_95, converted_stat * 3, IF(bbgm_stat &gt;= perc_90, converted_stat * 2, IF(bbgm_stat &gt;= perc_85, converted_stat * 1.5, converted_stat)))))</f>
        <v/>
      </c>
      <c r="P344" s="30" t="str">
        <f t="array" ref="P344">IF($A344="", "", LET(bbgm_stat, INDEX(Players!$A343:$P343, MATCH(P$2, Players!$A$1:$P$1, 0)), perc_75, VLOOKUP(P$2, Percentiles!$A$45:$I$59, 6, FALSE), perc_90, VLOOKUP(P$2, Percentiles!$A$45:$I$59, 7, FALSE), perc_95, VLOOKUP(P$2, Percentiles!$A$45:$I$59, 8, FALSE), perc_85, perc_75 + (perc_90 - perc_75) * (2/3), converted_stat, '2K_Ratings'!P344, IF(bbgm_stat &gt;= perc_95, converted_stat * 3, IF(bbgm_stat &gt;= perc_90, converted_stat * 2, IF(bbgm_stat &gt;= perc_85, converted_stat * 1.5, converted_stat)))))</f>
        <v/>
      </c>
      <c r="Q344" s="30" t="str">
        <f t="array" ref="Q344">IF($A344="", "", LET(bbgm_stat, INDEX(Players!$A343:$P343, MATCH(Q$2, Players!$A$1:$P$1, 0)), perc_75, VLOOKUP(Q$2, Percentiles!$A$45:$I$59, 6, FALSE), perc_90, VLOOKUP(Q$2, Percentiles!$A$45:$I$59, 7, FALSE), perc_95, VLOOKUP(Q$2, Percentiles!$A$45:$I$59, 8, FALSE), perc_85, perc_75 + (perc_90 - perc_75) * (2/3), converted_stat, '2K_Ratings'!Q344, IF(bbgm_stat &gt;= perc_95, converted_stat * 3, IF(bbgm_stat &gt;= perc_90, converted_stat * 2, IF(bbgm_stat &gt;= perc_85, converted_stat * 1.5, converted_stat)))))</f>
        <v/>
      </c>
      <c r="R344" s="30" t="str">
        <f t="array" ref="R344">IF($A344="", "", LET(bbgm_stat, INDEX(Players!$A343:$P343, MATCH(R$2, Players!$A$1:$P$1, 0)), perc_75, VLOOKUP(R$2, Percentiles!$A$45:$I$59, 6, FALSE), perc_90, VLOOKUP(R$2, Percentiles!$A$45:$I$59, 7, FALSE), perc_95, VLOOKUP(R$2, Percentiles!$A$45:$I$59, 8, FALSE), perc_85, perc_75 + (perc_90 - perc_75) * (2/3), converted_stat, '2K_Ratings'!R344, IF(bbgm_stat &gt;= perc_95, converted_stat * 3, IF(bbgm_stat &gt;= perc_90, converted_stat * 2, IF(bbgm_stat &gt;= perc_85, converted_stat * 1.5, converted_stat)))))</f>
        <v/>
      </c>
      <c r="S344" s="30" t="str">
        <f t="array" ref="S344">IF($A344="", "", LET(bbgm_stat, INDEX(Players!$A343:$P343, MATCH(S$2, Players!$A$1:$P$1, 0)), perc_75, VLOOKUP(S$2, Percentiles!$A$45:$I$59, 6, FALSE), perc_90, VLOOKUP(S$2, Percentiles!$A$45:$I$59, 7, FALSE), perc_95, VLOOKUP(S$2, Percentiles!$A$45:$I$59, 8, FALSE), perc_85, perc_75 + (perc_90 - perc_75) * (2/3), converted_stat, '2K_Ratings'!S344, IF(bbgm_stat &gt;= perc_95, converted_stat * 3, IF(bbgm_stat &gt;= perc_90, converted_stat * 2, IF(bbgm_stat &gt;= perc_85, converted_stat * 1.5, converted_stat)))))</f>
        <v/>
      </c>
      <c r="T344" s="30" t="str">
        <f t="array" ref="T344">IF($A344="", "", LET(bbgm_stat, INDEX(Players!$A343:$P343, MATCH(T$2, Players!$A$1:$P$1, 0)), perc_75, VLOOKUP(T$2, Percentiles!$A$45:$I$59, 6, FALSE), perc_90, VLOOKUP(T$2, Percentiles!$A$45:$I$59, 7, FALSE), perc_95, VLOOKUP(T$2, Percentiles!$A$45:$I$59, 8, FALSE), perc_85, perc_75 + (perc_90 - perc_75) * (2/3), converted_stat, '2K_Ratings'!T344, IF(bbgm_stat &gt;= perc_95, converted_stat * 3, IF(bbgm_stat &gt;= perc_90, converted_stat * 2, IF(bbgm_stat &gt;= perc_85, converted_stat * 1.5, converted_stat)))))</f>
        <v/>
      </c>
      <c r="U344" s="30" t="str">
        <f t="array" ref="U344">IF($A344="", "", LET(bbgm_stat, INDEX(Players!$A343:$P343, MATCH(U$2, Players!$A$1:$P$1, 0)), perc_75, VLOOKUP(U$2, Percentiles!$A$45:$I$59, 6, FALSE), perc_90, VLOOKUP(U$2, Percentiles!$A$45:$I$59, 7, FALSE), perc_95, VLOOKUP(U$2, Percentiles!$A$45:$I$59, 8, FALSE), perc_85, perc_75 + (perc_90 - perc_75) * (2/3), converted_stat, '2K_Ratings'!U344, IF(bbgm_stat &gt;= perc_95, converted_stat * 3, IF(bbgm_stat &gt;= perc_90, converted_stat * 2, IF(bbgm_stat &gt;= perc_85, converted_stat * 1.5, converted_stat)))))</f>
        <v/>
      </c>
      <c r="V344" s="30" t="str">
        <f t="array" ref="V344">IF($A344="", "", LET(bbgm_stat, INDEX(Players!$A343:$P343, MATCH(V$2, Players!$A$1:$P$1, 0)), perc_75, VLOOKUP(V$2, Percentiles!$A$45:$I$59, 6, FALSE), perc_90, VLOOKUP(V$2, Percentiles!$A$45:$I$59, 7, FALSE), perc_95, VLOOKUP(V$2, Percentiles!$A$45:$I$59, 8, FALSE), perc_85, perc_75 + (perc_90 - perc_75) * (2/3), converted_stat, '2K_Ratings'!V344, IF(bbgm_stat &gt;= perc_95, converted_stat * 3, IF(bbgm_stat &gt;= perc_90, converted_stat * 2, IF(bbgm_stat &gt;= perc_85, converted_stat * 1.5, converted_stat)))))</f>
        <v/>
      </c>
      <c r="W344" s="30" t="str">
        <f t="array" ref="W344">IF($A344="", "", LET(bbgm_stat, INDEX(Players!$A343:$P343, MATCH(W$2, Players!$A$1:$P$1, 0)), perc_75, VLOOKUP(W$2, Percentiles!$A$45:$I$59, 6, FALSE), perc_90, VLOOKUP(W$2, Percentiles!$A$45:$I$59, 7, FALSE), perc_95, VLOOKUP(W$2, Percentiles!$A$45:$I$59, 8, FALSE), perc_85, perc_75 + (perc_90 - perc_75) * (2/3), converted_stat, '2K_Ratings'!W344, IF(bbgm_stat &gt;= perc_95, converted_stat * 3, IF(bbgm_stat &gt;= perc_90, converted_stat * 2, IF(bbgm_stat &gt;= perc_85, converted_stat * 1.5, converted_stat)))))</f>
        <v/>
      </c>
    </row>
    <row r="345">
      <c r="A345" s="30"/>
      <c r="B345" s="30" t="str">
        <f t="array" ref="B345">IF($A345="", "", LET(bbgm_stat, INDEX(Players!$A344:$P344, MATCH(B$2, Players!$A$1:$P$1, 0)), perc_75, VLOOKUP(B$2, Percentiles!$A$45:$I$59, 6, FALSE), perc_90, VLOOKUP(B$2, Percentiles!$A$45:$I$59, 7, FALSE), perc_95, VLOOKUP(B$2, Percentiles!$A$45:$I$59, 8, FALSE), perc_85, perc_75 + (perc_90 - perc_75) * (2/3), converted_stat, '2K_Ratings'!B345, IF(bbgm_stat &gt;= perc_95, converted_stat * 3, IF(bbgm_stat &gt;= perc_90, converted_stat * 2, IF(bbgm_stat &gt;= perc_85, converted_stat * 1.5, converted_stat)))))</f>
        <v/>
      </c>
      <c r="C345" s="30" t="str">
        <f t="array" ref="C345">IF($A345="", "", LET(bbgm_stat, INDEX(Players!$A344:$P344, MATCH(C$2, Players!$A$1:$P$1, 0)), perc_75, VLOOKUP(C$2, Percentiles!$A$45:$I$59, 6, FALSE), perc_90, VLOOKUP(C$2, Percentiles!$A$45:$I$59, 7, FALSE), perc_95, VLOOKUP(C$2, Percentiles!$A$45:$I$59, 8, FALSE), perc_85, perc_75 + (perc_90 - perc_75) * (2/3), converted_stat, '2K_Ratings'!C345, IF(bbgm_stat &gt;= perc_95, converted_stat * 3, IF(bbgm_stat &gt;= perc_90, converted_stat * 2, IF(bbgm_stat &gt;= perc_85, converted_stat * 1.5, converted_stat)))))</f>
        <v/>
      </c>
      <c r="D345" s="30" t="str">
        <f t="array" ref="D345">IF($A345="", "", LET(bbgm_stat, INDEX(Players!$A344:$P344, MATCH(D$2, Players!$A$1:$P$1, 0)), perc_75, VLOOKUP(D$2, Percentiles!$A$45:$I$59, 6, FALSE), perc_90, VLOOKUP(D$2, Percentiles!$A$45:$I$59, 7, FALSE), perc_95, VLOOKUP(D$2, Percentiles!$A$45:$I$59, 8, FALSE), perc_85, perc_75 + (perc_90 - perc_75) * (2/3), converted_stat, '2K_Ratings'!D345, IF(bbgm_stat &gt;= perc_95, converted_stat * 3, IF(bbgm_stat &gt;= perc_90, converted_stat * 2, IF(bbgm_stat &gt;= perc_85, converted_stat * 1.5, converted_stat)))))</f>
        <v/>
      </c>
      <c r="E345" s="30" t="str">
        <f t="array" ref="E345">IF($A345="", "", LET(bbgm_stat, INDEX(Players!$A344:$P344, MATCH(E$2, Players!$A$1:$P$1, 0)), perc_75, VLOOKUP(E$2, Percentiles!$A$45:$I$59, 6, FALSE), perc_90, VLOOKUP(E$2, Percentiles!$A$45:$I$59, 7, FALSE), perc_95, VLOOKUP(E$2, Percentiles!$A$45:$I$59, 8, FALSE), perc_85, perc_75 + (perc_90 - perc_75) * (2/3), converted_stat, '2K_Ratings'!E345, IF(bbgm_stat &gt;= perc_95, converted_stat * 3, IF(bbgm_stat &gt;= perc_90, converted_stat * 2, IF(bbgm_stat &gt;= perc_85, converted_stat * 1.5, converted_stat)))))</f>
        <v/>
      </c>
      <c r="F345" s="30" t="str">
        <f t="array" ref="F345">IF($A345="", "", LET(bbgm_stat, INDEX(Players!$A344:$P344, MATCH(F$2, Players!$A$1:$P$1, 0)), perc_75, VLOOKUP(F$2, Percentiles!$A$45:$I$59, 6, FALSE), perc_90, VLOOKUP(F$2, Percentiles!$A$45:$I$59, 7, FALSE), perc_95, VLOOKUP(F$2, Percentiles!$A$45:$I$59, 8, FALSE), perc_85, perc_75 + (perc_90 - perc_75) * (2/3), converted_stat, '2K_Ratings'!F345, IF(bbgm_stat &gt;= perc_95, converted_stat * 3, IF(bbgm_stat &gt;= perc_90, converted_stat * 2, IF(bbgm_stat &gt;= perc_85, converted_stat * 1.5, converted_stat)))))</f>
        <v/>
      </c>
      <c r="G345" s="30" t="str">
        <f t="array" ref="G345">IF($A345="", "", LET(bbgm_stat, INDEX(Players!$A344:$P344, MATCH(G$2, Players!$A$1:$P$1, 0)), perc_75, VLOOKUP(G$2, Percentiles!$A$45:$I$59, 6, FALSE), perc_90, VLOOKUP(G$2, Percentiles!$A$45:$I$59, 7, FALSE), perc_95, VLOOKUP(G$2, Percentiles!$A$45:$I$59, 8, FALSE), perc_85, perc_75 + (perc_90 - perc_75) * (2/3), converted_stat, '2K_Ratings'!G345, IF(bbgm_stat &gt;= perc_95, converted_stat * 3, IF(bbgm_stat &gt;= perc_90, converted_stat * 2, IF(bbgm_stat &gt;= perc_85, converted_stat * 1.5, converted_stat)))))</f>
        <v/>
      </c>
      <c r="H345" s="30" t="str">
        <f t="array" ref="H345">IF($A345="", "", LET(bbgm_stat, INDEX(Players!$A344:$P344, MATCH(H$2, Players!$A$1:$P$1, 0)), perc_75, VLOOKUP(H$2, Percentiles!$A$45:$I$59, 6, FALSE), perc_90, VLOOKUP(H$2, Percentiles!$A$45:$I$59, 7, FALSE), perc_95, VLOOKUP(H$2, Percentiles!$A$45:$I$59, 8, FALSE), perc_85, perc_75 + (perc_90 - perc_75) * (2/3), converted_stat, '2K_Ratings'!H345, IF(bbgm_stat &gt;= perc_95, converted_stat * 3, IF(bbgm_stat &gt;= perc_90, converted_stat * 2, IF(bbgm_stat &gt;= perc_85, converted_stat * 1.5, converted_stat)))))</f>
        <v/>
      </c>
      <c r="I345" s="30" t="str">
        <f t="array" ref="I345">IF($A345="", "", LET(bbgm_stat, INDEX(Players!$A344:$P344, MATCH(I$2, Players!$A$1:$P$1, 0)), perc_75, VLOOKUP(I$2, Percentiles!$A$45:$I$59, 6, FALSE), perc_90, VLOOKUP(I$2, Percentiles!$A$45:$I$59, 7, FALSE), perc_95, VLOOKUP(I$2, Percentiles!$A$45:$I$59, 8, FALSE), perc_85, perc_75 + (perc_90 - perc_75) * (2/3), converted_stat, '2K_Ratings'!I345, IF(bbgm_stat &gt;= perc_95, converted_stat * 3, IF(bbgm_stat &gt;= perc_90, converted_stat * 2, IF(bbgm_stat &gt;= perc_85, converted_stat * 1.5, converted_stat)))))</f>
        <v/>
      </c>
      <c r="J345" s="30" t="str">
        <f t="array" ref="J345">IF($A345="", "", LET(bbgm_stat, INDEX(Players!$A344:$P344, MATCH(J$2, Players!$A$1:$P$1, 0)), perc_75, VLOOKUP(J$2, Percentiles!$A$45:$I$59, 6, FALSE), perc_90, VLOOKUP(J$2, Percentiles!$A$45:$I$59, 7, FALSE), perc_95, VLOOKUP(J$2, Percentiles!$A$45:$I$59, 8, FALSE), perc_85, perc_75 + (perc_90 - perc_75) * (2/3), converted_stat, '2K_Ratings'!J345, IF(bbgm_stat &gt;= perc_95, converted_stat * 3, IF(bbgm_stat &gt;= perc_90, converted_stat * 2, IF(bbgm_stat &gt;= perc_85, converted_stat * 1.5, converted_stat)))))</f>
        <v/>
      </c>
      <c r="K345" s="30" t="str">
        <f t="array" ref="K345">IF($A345="", "", LET(bbgm_stat, INDEX(Players!$A344:$P344, MATCH(K$2, Players!$A$1:$P$1, 0)), perc_75, VLOOKUP(K$2, Percentiles!$A$45:$I$59, 6, FALSE), perc_90, VLOOKUP(K$2, Percentiles!$A$45:$I$59, 7, FALSE), perc_95, VLOOKUP(K$2, Percentiles!$A$45:$I$59, 8, FALSE), perc_85, perc_75 + (perc_90 - perc_75) * (2/3), converted_stat, '2K_Ratings'!K345, IF(bbgm_stat &gt;= perc_95, converted_stat * 3, IF(bbgm_stat &gt;= perc_90, converted_stat * 2, IF(bbgm_stat &gt;= perc_85, converted_stat * 1.5, converted_stat)))))</f>
        <v/>
      </c>
      <c r="L345" s="30" t="str">
        <f t="array" ref="L345">IF($A345="", "", LET(bbgm_stat, INDEX(Players!$A344:$P344, MATCH(L$2, Players!$A$1:$P$1, 0)), perc_75, VLOOKUP(L$2, Percentiles!$A$45:$I$59, 6, FALSE), perc_90, VLOOKUP(L$2, Percentiles!$A$45:$I$59, 7, FALSE), perc_95, VLOOKUP(L$2, Percentiles!$A$45:$I$59, 8, FALSE), perc_85, perc_75 + (perc_90 - perc_75) * (2/3), converted_stat, '2K_Ratings'!L345, IF(bbgm_stat &gt;= perc_95, converted_stat * 3, IF(bbgm_stat &gt;= perc_90, converted_stat * 2, IF(bbgm_stat &gt;= perc_85, converted_stat * 1.5, converted_stat)))))</f>
        <v/>
      </c>
      <c r="M345" s="30" t="str">
        <f t="array" ref="M345">IF($A345="", "", LET(bbgm_stat, INDEX(Players!$A344:$P344, MATCH(M$2, Players!$A$1:$P$1, 0)), perc_75, VLOOKUP(M$2, Percentiles!$A$45:$I$59, 6, FALSE), perc_90, VLOOKUP(M$2, Percentiles!$A$45:$I$59, 7, FALSE), perc_95, VLOOKUP(M$2, Percentiles!$A$45:$I$59, 8, FALSE), perc_85, perc_75 + (perc_90 - perc_75) * (2/3), converted_stat, '2K_Ratings'!M345, IF(bbgm_stat &gt;= perc_95, converted_stat * 3, IF(bbgm_stat &gt;= perc_90, converted_stat * 2, IF(bbgm_stat &gt;= perc_85, converted_stat * 1.5, converted_stat)))))</f>
        <v/>
      </c>
      <c r="N345" s="30" t="str">
        <f t="array" ref="N345">IF($A345="", "", LET(bbgm_stat, INDEX(Players!$A344:$P344, MATCH(N$2, Players!$A$1:$P$1, 0)), perc_75, VLOOKUP(N$2, Percentiles!$A$45:$I$59, 6, FALSE), perc_90, VLOOKUP(N$2, Percentiles!$A$45:$I$59, 7, FALSE), perc_95, VLOOKUP(N$2, Percentiles!$A$45:$I$59, 8, FALSE), perc_85, perc_75 + (perc_90 - perc_75) * (2/3), converted_stat, '2K_Ratings'!N345, IF(bbgm_stat &gt;= perc_95, converted_stat * 3, IF(bbgm_stat &gt;= perc_90, converted_stat * 2, IF(bbgm_stat &gt;= perc_85, converted_stat * 1.5, converted_stat)))))</f>
        <v/>
      </c>
      <c r="O345" s="30" t="str">
        <f t="array" ref="O345">IF($A345="", "", LET(bbgm_stat, INDEX(Players!$A344:$P344, MATCH(O$2, Players!$A$1:$P$1, 0)), perc_75, VLOOKUP(O$2, Percentiles!$A$45:$I$59, 6, FALSE), perc_90, VLOOKUP(O$2, Percentiles!$A$45:$I$59, 7, FALSE), perc_95, VLOOKUP(O$2, Percentiles!$A$45:$I$59, 8, FALSE), perc_85, perc_75 + (perc_90 - perc_75) * (2/3), converted_stat, '2K_Ratings'!O345, IF(bbgm_stat &gt;= perc_95, converted_stat * 3, IF(bbgm_stat &gt;= perc_90, converted_stat * 2, IF(bbgm_stat &gt;= perc_85, converted_stat * 1.5, converted_stat)))))</f>
        <v/>
      </c>
      <c r="P345" s="30" t="str">
        <f t="array" ref="P345">IF($A345="", "", LET(bbgm_stat, INDEX(Players!$A344:$P344, MATCH(P$2, Players!$A$1:$P$1, 0)), perc_75, VLOOKUP(P$2, Percentiles!$A$45:$I$59, 6, FALSE), perc_90, VLOOKUP(P$2, Percentiles!$A$45:$I$59, 7, FALSE), perc_95, VLOOKUP(P$2, Percentiles!$A$45:$I$59, 8, FALSE), perc_85, perc_75 + (perc_90 - perc_75) * (2/3), converted_stat, '2K_Ratings'!P345, IF(bbgm_stat &gt;= perc_95, converted_stat * 3, IF(bbgm_stat &gt;= perc_90, converted_stat * 2, IF(bbgm_stat &gt;= perc_85, converted_stat * 1.5, converted_stat)))))</f>
        <v/>
      </c>
      <c r="Q345" s="30" t="str">
        <f t="array" ref="Q345">IF($A345="", "", LET(bbgm_stat, INDEX(Players!$A344:$P344, MATCH(Q$2, Players!$A$1:$P$1, 0)), perc_75, VLOOKUP(Q$2, Percentiles!$A$45:$I$59, 6, FALSE), perc_90, VLOOKUP(Q$2, Percentiles!$A$45:$I$59, 7, FALSE), perc_95, VLOOKUP(Q$2, Percentiles!$A$45:$I$59, 8, FALSE), perc_85, perc_75 + (perc_90 - perc_75) * (2/3), converted_stat, '2K_Ratings'!Q345, IF(bbgm_stat &gt;= perc_95, converted_stat * 3, IF(bbgm_stat &gt;= perc_90, converted_stat * 2, IF(bbgm_stat &gt;= perc_85, converted_stat * 1.5, converted_stat)))))</f>
        <v/>
      </c>
      <c r="R345" s="30" t="str">
        <f t="array" ref="R345">IF($A345="", "", LET(bbgm_stat, INDEX(Players!$A344:$P344, MATCH(R$2, Players!$A$1:$P$1, 0)), perc_75, VLOOKUP(R$2, Percentiles!$A$45:$I$59, 6, FALSE), perc_90, VLOOKUP(R$2, Percentiles!$A$45:$I$59, 7, FALSE), perc_95, VLOOKUP(R$2, Percentiles!$A$45:$I$59, 8, FALSE), perc_85, perc_75 + (perc_90 - perc_75) * (2/3), converted_stat, '2K_Ratings'!R345, IF(bbgm_stat &gt;= perc_95, converted_stat * 3, IF(bbgm_stat &gt;= perc_90, converted_stat * 2, IF(bbgm_stat &gt;= perc_85, converted_stat * 1.5, converted_stat)))))</f>
        <v/>
      </c>
      <c r="S345" s="30" t="str">
        <f t="array" ref="S345">IF($A345="", "", LET(bbgm_stat, INDEX(Players!$A344:$P344, MATCH(S$2, Players!$A$1:$P$1, 0)), perc_75, VLOOKUP(S$2, Percentiles!$A$45:$I$59, 6, FALSE), perc_90, VLOOKUP(S$2, Percentiles!$A$45:$I$59, 7, FALSE), perc_95, VLOOKUP(S$2, Percentiles!$A$45:$I$59, 8, FALSE), perc_85, perc_75 + (perc_90 - perc_75) * (2/3), converted_stat, '2K_Ratings'!S345, IF(bbgm_stat &gt;= perc_95, converted_stat * 3, IF(bbgm_stat &gt;= perc_90, converted_stat * 2, IF(bbgm_stat &gt;= perc_85, converted_stat * 1.5, converted_stat)))))</f>
        <v/>
      </c>
      <c r="T345" s="30" t="str">
        <f t="array" ref="T345">IF($A345="", "", LET(bbgm_stat, INDEX(Players!$A344:$P344, MATCH(T$2, Players!$A$1:$P$1, 0)), perc_75, VLOOKUP(T$2, Percentiles!$A$45:$I$59, 6, FALSE), perc_90, VLOOKUP(T$2, Percentiles!$A$45:$I$59, 7, FALSE), perc_95, VLOOKUP(T$2, Percentiles!$A$45:$I$59, 8, FALSE), perc_85, perc_75 + (perc_90 - perc_75) * (2/3), converted_stat, '2K_Ratings'!T345, IF(bbgm_stat &gt;= perc_95, converted_stat * 3, IF(bbgm_stat &gt;= perc_90, converted_stat * 2, IF(bbgm_stat &gt;= perc_85, converted_stat * 1.5, converted_stat)))))</f>
        <v/>
      </c>
      <c r="U345" s="30" t="str">
        <f t="array" ref="U345">IF($A345="", "", LET(bbgm_stat, INDEX(Players!$A344:$P344, MATCH(U$2, Players!$A$1:$P$1, 0)), perc_75, VLOOKUP(U$2, Percentiles!$A$45:$I$59, 6, FALSE), perc_90, VLOOKUP(U$2, Percentiles!$A$45:$I$59, 7, FALSE), perc_95, VLOOKUP(U$2, Percentiles!$A$45:$I$59, 8, FALSE), perc_85, perc_75 + (perc_90 - perc_75) * (2/3), converted_stat, '2K_Ratings'!U345, IF(bbgm_stat &gt;= perc_95, converted_stat * 3, IF(bbgm_stat &gt;= perc_90, converted_stat * 2, IF(bbgm_stat &gt;= perc_85, converted_stat * 1.5, converted_stat)))))</f>
        <v/>
      </c>
      <c r="V345" s="30" t="str">
        <f t="array" ref="V345">IF($A345="", "", LET(bbgm_stat, INDEX(Players!$A344:$P344, MATCH(V$2, Players!$A$1:$P$1, 0)), perc_75, VLOOKUP(V$2, Percentiles!$A$45:$I$59, 6, FALSE), perc_90, VLOOKUP(V$2, Percentiles!$A$45:$I$59, 7, FALSE), perc_95, VLOOKUP(V$2, Percentiles!$A$45:$I$59, 8, FALSE), perc_85, perc_75 + (perc_90 - perc_75) * (2/3), converted_stat, '2K_Ratings'!V345, IF(bbgm_stat &gt;= perc_95, converted_stat * 3, IF(bbgm_stat &gt;= perc_90, converted_stat * 2, IF(bbgm_stat &gt;= perc_85, converted_stat * 1.5, converted_stat)))))</f>
        <v/>
      </c>
      <c r="W345" s="30" t="str">
        <f t="array" ref="W345">IF($A345="", "", LET(bbgm_stat, INDEX(Players!$A344:$P344, MATCH(W$2, Players!$A$1:$P$1, 0)), perc_75, VLOOKUP(W$2, Percentiles!$A$45:$I$59, 6, FALSE), perc_90, VLOOKUP(W$2, Percentiles!$A$45:$I$59, 7, FALSE), perc_95, VLOOKUP(W$2, Percentiles!$A$45:$I$59, 8, FALSE), perc_85, perc_75 + (perc_90 - perc_75) * (2/3), converted_stat, '2K_Ratings'!W345, IF(bbgm_stat &gt;= perc_95, converted_stat * 3, IF(bbgm_stat &gt;= perc_90, converted_stat * 2, IF(bbgm_stat &gt;= perc_85, converted_stat * 1.5, converted_stat)))))</f>
        <v/>
      </c>
    </row>
    <row r="346">
      <c r="A346" s="30"/>
      <c r="B346" s="30" t="str">
        <f t="array" ref="B346">IF($A346="", "", LET(bbgm_stat, INDEX(Players!$A345:$P345, MATCH(B$2, Players!$A$1:$P$1, 0)), perc_75, VLOOKUP(B$2, Percentiles!$A$45:$I$59, 6, FALSE), perc_90, VLOOKUP(B$2, Percentiles!$A$45:$I$59, 7, FALSE), perc_95, VLOOKUP(B$2, Percentiles!$A$45:$I$59, 8, FALSE), perc_85, perc_75 + (perc_90 - perc_75) * (2/3), converted_stat, '2K_Ratings'!B346, IF(bbgm_stat &gt;= perc_95, converted_stat * 3, IF(bbgm_stat &gt;= perc_90, converted_stat * 2, IF(bbgm_stat &gt;= perc_85, converted_stat * 1.5, converted_stat)))))</f>
        <v/>
      </c>
      <c r="C346" s="30" t="str">
        <f t="array" ref="C346">IF($A346="", "", LET(bbgm_stat, INDEX(Players!$A345:$P345, MATCH(C$2, Players!$A$1:$P$1, 0)), perc_75, VLOOKUP(C$2, Percentiles!$A$45:$I$59, 6, FALSE), perc_90, VLOOKUP(C$2, Percentiles!$A$45:$I$59, 7, FALSE), perc_95, VLOOKUP(C$2, Percentiles!$A$45:$I$59, 8, FALSE), perc_85, perc_75 + (perc_90 - perc_75) * (2/3), converted_stat, '2K_Ratings'!C346, IF(bbgm_stat &gt;= perc_95, converted_stat * 3, IF(bbgm_stat &gt;= perc_90, converted_stat * 2, IF(bbgm_stat &gt;= perc_85, converted_stat * 1.5, converted_stat)))))</f>
        <v/>
      </c>
      <c r="D346" s="30" t="str">
        <f t="array" ref="D346">IF($A346="", "", LET(bbgm_stat, INDEX(Players!$A345:$P345, MATCH(D$2, Players!$A$1:$P$1, 0)), perc_75, VLOOKUP(D$2, Percentiles!$A$45:$I$59, 6, FALSE), perc_90, VLOOKUP(D$2, Percentiles!$A$45:$I$59, 7, FALSE), perc_95, VLOOKUP(D$2, Percentiles!$A$45:$I$59, 8, FALSE), perc_85, perc_75 + (perc_90 - perc_75) * (2/3), converted_stat, '2K_Ratings'!D346, IF(bbgm_stat &gt;= perc_95, converted_stat * 3, IF(bbgm_stat &gt;= perc_90, converted_stat * 2, IF(bbgm_stat &gt;= perc_85, converted_stat * 1.5, converted_stat)))))</f>
        <v/>
      </c>
      <c r="E346" s="30" t="str">
        <f t="array" ref="E346">IF($A346="", "", LET(bbgm_stat, INDEX(Players!$A345:$P345, MATCH(E$2, Players!$A$1:$P$1, 0)), perc_75, VLOOKUP(E$2, Percentiles!$A$45:$I$59, 6, FALSE), perc_90, VLOOKUP(E$2, Percentiles!$A$45:$I$59, 7, FALSE), perc_95, VLOOKUP(E$2, Percentiles!$A$45:$I$59, 8, FALSE), perc_85, perc_75 + (perc_90 - perc_75) * (2/3), converted_stat, '2K_Ratings'!E346, IF(bbgm_stat &gt;= perc_95, converted_stat * 3, IF(bbgm_stat &gt;= perc_90, converted_stat * 2, IF(bbgm_stat &gt;= perc_85, converted_stat * 1.5, converted_stat)))))</f>
        <v/>
      </c>
      <c r="F346" s="30" t="str">
        <f t="array" ref="F346">IF($A346="", "", LET(bbgm_stat, INDEX(Players!$A345:$P345, MATCH(F$2, Players!$A$1:$P$1, 0)), perc_75, VLOOKUP(F$2, Percentiles!$A$45:$I$59, 6, FALSE), perc_90, VLOOKUP(F$2, Percentiles!$A$45:$I$59, 7, FALSE), perc_95, VLOOKUP(F$2, Percentiles!$A$45:$I$59, 8, FALSE), perc_85, perc_75 + (perc_90 - perc_75) * (2/3), converted_stat, '2K_Ratings'!F346, IF(bbgm_stat &gt;= perc_95, converted_stat * 3, IF(bbgm_stat &gt;= perc_90, converted_stat * 2, IF(bbgm_stat &gt;= perc_85, converted_stat * 1.5, converted_stat)))))</f>
        <v/>
      </c>
      <c r="G346" s="30" t="str">
        <f t="array" ref="G346">IF($A346="", "", LET(bbgm_stat, INDEX(Players!$A345:$P345, MATCH(G$2, Players!$A$1:$P$1, 0)), perc_75, VLOOKUP(G$2, Percentiles!$A$45:$I$59, 6, FALSE), perc_90, VLOOKUP(G$2, Percentiles!$A$45:$I$59, 7, FALSE), perc_95, VLOOKUP(G$2, Percentiles!$A$45:$I$59, 8, FALSE), perc_85, perc_75 + (perc_90 - perc_75) * (2/3), converted_stat, '2K_Ratings'!G346, IF(bbgm_stat &gt;= perc_95, converted_stat * 3, IF(bbgm_stat &gt;= perc_90, converted_stat * 2, IF(bbgm_stat &gt;= perc_85, converted_stat * 1.5, converted_stat)))))</f>
        <v/>
      </c>
      <c r="H346" s="30" t="str">
        <f t="array" ref="H346">IF($A346="", "", LET(bbgm_stat, INDEX(Players!$A345:$P345, MATCH(H$2, Players!$A$1:$P$1, 0)), perc_75, VLOOKUP(H$2, Percentiles!$A$45:$I$59, 6, FALSE), perc_90, VLOOKUP(H$2, Percentiles!$A$45:$I$59, 7, FALSE), perc_95, VLOOKUP(H$2, Percentiles!$A$45:$I$59, 8, FALSE), perc_85, perc_75 + (perc_90 - perc_75) * (2/3), converted_stat, '2K_Ratings'!H346, IF(bbgm_stat &gt;= perc_95, converted_stat * 3, IF(bbgm_stat &gt;= perc_90, converted_stat * 2, IF(bbgm_stat &gt;= perc_85, converted_stat * 1.5, converted_stat)))))</f>
        <v/>
      </c>
      <c r="I346" s="30" t="str">
        <f t="array" ref="I346">IF($A346="", "", LET(bbgm_stat, INDEX(Players!$A345:$P345, MATCH(I$2, Players!$A$1:$P$1, 0)), perc_75, VLOOKUP(I$2, Percentiles!$A$45:$I$59, 6, FALSE), perc_90, VLOOKUP(I$2, Percentiles!$A$45:$I$59, 7, FALSE), perc_95, VLOOKUP(I$2, Percentiles!$A$45:$I$59, 8, FALSE), perc_85, perc_75 + (perc_90 - perc_75) * (2/3), converted_stat, '2K_Ratings'!I346, IF(bbgm_stat &gt;= perc_95, converted_stat * 3, IF(bbgm_stat &gt;= perc_90, converted_stat * 2, IF(bbgm_stat &gt;= perc_85, converted_stat * 1.5, converted_stat)))))</f>
        <v/>
      </c>
      <c r="J346" s="30" t="str">
        <f t="array" ref="J346">IF($A346="", "", LET(bbgm_stat, INDEX(Players!$A345:$P345, MATCH(J$2, Players!$A$1:$P$1, 0)), perc_75, VLOOKUP(J$2, Percentiles!$A$45:$I$59, 6, FALSE), perc_90, VLOOKUP(J$2, Percentiles!$A$45:$I$59, 7, FALSE), perc_95, VLOOKUP(J$2, Percentiles!$A$45:$I$59, 8, FALSE), perc_85, perc_75 + (perc_90 - perc_75) * (2/3), converted_stat, '2K_Ratings'!J346, IF(bbgm_stat &gt;= perc_95, converted_stat * 3, IF(bbgm_stat &gt;= perc_90, converted_stat * 2, IF(bbgm_stat &gt;= perc_85, converted_stat * 1.5, converted_stat)))))</f>
        <v/>
      </c>
      <c r="K346" s="30" t="str">
        <f t="array" ref="K346">IF($A346="", "", LET(bbgm_stat, INDEX(Players!$A345:$P345, MATCH(K$2, Players!$A$1:$P$1, 0)), perc_75, VLOOKUP(K$2, Percentiles!$A$45:$I$59, 6, FALSE), perc_90, VLOOKUP(K$2, Percentiles!$A$45:$I$59, 7, FALSE), perc_95, VLOOKUP(K$2, Percentiles!$A$45:$I$59, 8, FALSE), perc_85, perc_75 + (perc_90 - perc_75) * (2/3), converted_stat, '2K_Ratings'!K346, IF(bbgm_stat &gt;= perc_95, converted_stat * 3, IF(bbgm_stat &gt;= perc_90, converted_stat * 2, IF(bbgm_stat &gt;= perc_85, converted_stat * 1.5, converted_stat)))))</f>
        <v/>
      </c>
      <c r="L346" s="30" t="str">
        <f t="array" ref="L346">IF($A346="", "", LET(bbgm_stat, INDEX(Players!$A345:$P345, MATCH(L$2, Players!$A$1:$P$1, 0)), perc_75, VLOOKUP(L$2, Percentiles!$A$45:$I$59, 6, FALSE), perc_90, VLOOKUP(L$2, Percentiles!$A$45:$I$59, 7, FALSE), perc_95, VLOOKUP(L$2, Percentiles!$A$45:$I$59, 8, FALSE), perc_85, perc_75 + (perc_90 - perc_75) * (2/3), converted_stat, '2K_Ratings'!L346, IF(bbgm_stat &gt;= perc_95, converted_stat * 3, IF(bbgm_stat &gt;= perc_90, converted_stat * 2, IF(bbgm_stat &gt;= perc_85, converted_stat * 1.5, converted_stat)))))</f>
        <v/>
      </c>
      <c r="M346" s="30" t="str">
        <f t="array" ref="M346">IF($A346="", "", LET(bbgm_stat, INDEX(Players!$A345:$P345, MATCH(M$2, Players!$A$1:$P$1, 0)), perc_75, VLOOKUP(M$2, Percentiles!$A$45:$I$59, 6, FALSE), perc_90, VLOOKUP(M$2, Percentiles!$A$45:$I$59, 7, FALSE), perc_95, VLOOKUP(M$2, Percentiles!$A$45:$I$59, 8, FALSE), perc_85, perc_75 + (perc_90 - perc_75) * (2/3), converted_stat, '2K_Ratings'!M346, IF(bbgm_stat &gt;= perc_95, converted_stat * 3, IF(bbgm_stat &gt;= perc_90, converted_stat * 2, IF(bbgm_stat &gt;= perc_85, converted_stat * 1.5, converted_stat)))))</f>
        <v/>
      </c>
      <c r="N346" s="30" t="str">
        <f t="array" ref="N346">IF($A346="", "", LET(bbgm_stat, INDEX(Players!$A345:$P345, MATCH(N$2, Players!$A$1:$P$1, 0)), perc_75, VLOOKUP(N$2, Percentiles!$A$45:$I$59, 6, FALSE), perc_90, VLOOKUP(N$2, Percentiles!$A$45:$I$59, 7, FALSE), perc_95, VLOOKUP(N$2, Percentiles!$A$45:$I$59, 8, FALSE), perc_85, perc_75 + (perc_90 - perc_75) * (2/3), converted_stat, '2K_Ratings'!N346, IF(bbgm_stat &gt;= perc_95, converted_stat * 3, IF(bbgm_stat &gt;= perc_90, converted_stat * 2, IF(bbgm_stat &gt;= perc_85, converted_stat * 1.5, converted_stat)))))</f>
        <v/>
      </c>
      <c r="O346" s="30" t="str">
        <f t="array" ref="O346">IF($A346="", "", LET(bbgm_stat, INDEX(Players!$A345:$P345, MATCH(O$2, Players!$A$1:$P$1, 0)), perc_75, VLOOKUP(O$2, Percentiles!$A$45:$I$59, 6, FALSE), perc_90, VLOOKUP(O$2, Percentiles!$A$45:$I$59, 7, FALSE), perc_95, VLOOKUP(O$2, Percentiles!$A$45:$I$59, 8, FALSE), perc_85, perc_75 + (perc_90 - perc_75) * (2/3), converted_stat, '2K_Ratings'!O346, IF(bbgm_stat &gt;= perc_95, converted_stat * 3, IF(bbgm_stat &gt;= perc_90, converted_stat * 2, IF(bbgm_stat &gt;= perc_85, converted_stat * 1.5, converted_stat)))))</f>
        <v/>
      </c>
      <c r="P346" s="30" t="str">
        <f t="array" ref="P346">IF($A346="", "", LET(bbgm_stat, INDEX(Players!$A345:$P345, MATCH(P$2, Players!$A$1:$P$1, 0)), perc_75, VLOOKUP(P$2, Percentiles!$A$45:$I$59, 6, FALSE), perc_90, VLOOKUP(P$2, Percentiles!$A$45:$I$59, 7, FALSE), perc_95, VLOOKUP(P$2, Percentiles!$A$45:$I$59, 8, FALSE), perc_85, perc_75 + (perc_90 - perc_75) * (2/3), converted_stat, '2K_Ratings'!P346, IF(bbgm_stat &gt;= perc_95, converted_stat * 3, IF(bbgm_stat &gt;= perc_90, converted_stat * 2, IF(bbgm_stat &gt;= perc_85, converted_stat * 1.5, converted_stat)))))</f>
        <v/>
      </c>
      <c r="Q346" s="30" t="str">
        <f t="array" ref="Q346">IF($A346="", "", LET(bbgm_stat, INDEX(Players!$A345:$P345, MATCH(Q$2, Players!$A$1:$P$1, 0)), perc_75, VLOOKUP(Q$2, Percentiles!$A$45:$I$59, 6, FALSE), perc_90, VLOOKUP(Q$2, Percentiles!$A$45:$I$59, 7, FALSE), perc_95, VLOOKUP(Q$2, Percentiles!$A$45:$I$59, 8, FALSE), perc_85, perc_75 + (perc_90 - perc_75) * (2/3), converted_stat, '2K_Ratings'!Q346, IF(bbgm_stat &gt;= perc_95, converted_stat * 3, IF(bbgm_stat &gt;= perc_90, converted_stat * 2, IF(bbgm_stat &gt;= perc_85, converted_stat * 1.5, converted_stat)))))</f>
        <v/>
      </c>
      <c r="R346" s="30" t="str">
        <f t="array" ref="R346">IF($A346="", "", LET(bbgm_stat, INDEX(Players!$A345:$P345, MATCH(R$2, Players!$A$1:$P$1, 0)), perc_75, VLOOKUP(R$2, Percentiles!$A$45:$I$59, 6, FALSE), perc_90, VLOOKUP(R$2, Percentiles!$A$45:$I$59, 7, FALSE), perc_95, VLOOKUP(R$2, Percentiles!$A$45:$I$59, 8, FALSE), perc_85, perc_75 + (perc_90 - perc_75) * (2/3), converted_stat, '2K_Ratings'!R346, IF(bbgm_stat &gt;= perc_95, converted_stat * 3, IF(bbgm_stat &gt;= perc_90, converted_stat * 2, IF(bbgm_stat &gt;= perc_85, converted_stat * 1.5, converted_stat)))))</f>
        <v/>
      </c>
      <c r="S346" s="30" t="str">
        <f t="array" ref="S346">IF($A346="", "", LET(bbgm_stat, INDEX(Players!$A345:$P345, MATCH(S$2, Players!$A$1:$P$1, 0)), perc_75, VLOOKUP(S$2, Percentiles!$A$45:$I$59, 6, FALSE), perc_90, VLOOKUP(S$2, Percentiles!$A$45:$I$59, 7, FALSE), perc_95, VLOOKUP(S$2, Percentiles!$A$45:$I$59, 8, FALSE), perc_85, perc_75 + (perc_90 - perc_75) * (2/3), converted_stat, '2K_Ratings'!S346, IF(bbgm_stat &gt;= perc_95, converted_stat * 3, IF(bbgm_stat &gt;= perc_90, converted_stat * 2, IF(bbgm_stat &gt;= perc_85, converted_stat * 1.5, converted_stat)))))</f>
        <v/>
      </c>
      <c r="T346" s="30" t="str">
        <f t="array" ref="T346">IF($A346="", "", LET(bbgm_stat, INDEX(Players!$A345:$P345, MATCH(T$2, Players!$A$1:$P$1, 0)), perc_75, VLOOKUP(T$2, Percentiles!$A$45:$I$59, 6, FALSE), perc_90, VLOOKUP(T$2, Percentiles!$A$45:$I$59, 7, FALSE), perc_95, VLOOKUP(T$2, Percentiles!$A$45:$I$59, 8, FALSE), perc_85, perc_75 + (perc_90 - perc_75) * (2/3), converted_stat, '2K_Ratings'!T346, IF(bbgm_stat &gt;= perc_95, converted_stat * 3, IF(bbgm_stat &gt;= perc_90, converted_stat * 2, IF(bbgm_stat &gt;= perc_85, converted_stat * 1.5, converted_stat)))))</f>
        <v/>
      </c>
      <c r="U346" s="30" t="str">
        <f t="array" ref="U346">IF($A346="", "", LET(bbgm_stat, INDEX(Players!$A345:$P345, MATCH(U$2, Players!$A$1:$P$1, 0)), perc_75, VLOOKUP(U$2, Percentiles!$A$45:$I$59, 6, FALSE), perc_90, VLOOKUP(U$2, Percentiles!$A$45:$I$59, 7, FALSE), perc_95, VLOOKUP(U$2, Percentiles!$A$45:$I$59, 8, FALSE), perc_85, perc_75 + (perc_90 - perc_75) * (2/3), converted_stat, '2K_Ratings'!U346, IF(bbgm_stat &gt;= perc_95, converted_stat * 3, IF(bbgm_stat &gt;= perc_90, converted_stat * 2, IF(bbgm_stat &gt;= perc_85, converted_stat * 1.5, converted_stat)))))</f>
        <v/>
      </c>
      <c r="V346" s="30" t="str">
        <f t="array" ref="V346">IF($A346="", "", LET(bbgm_stat, INDEX(Players!$A345:$P345, MATCH(V$2, Players!$A$1:$P$1, 0)), perc_75, VLOOKUP(V$2, Percentiles!$A$45:$I$59, 6, FALSE), perc_90, VLOOKUP(V$2, Percentiles!$A$45:$I$59, 7, FALSE), perc_95, VLOOKUP(V$2, Percentiles!$A$45:$I$59, 8, FALSE), perc_85, perc_75 + (perc_90 - perc_75) * (2/3), converted_stat, '2K_Ratings'!V346, IF(bbgm_stat &gt;= perc_95, converted_stat * 3, IF(bbgm_stat &gt;= perc_90, converted_stat * 2, IF(bbgm_stat &gt;= perc_85, converted_stat * 1.5, converted_stat)))))</f>
        <v/>
      </c>
      <c r="W346" s="30" t="str">
        <f t="array" ref="W346">IF($A346="", "", LET(bbgm_stat, INDEX(Players!$A345:$P345, MATCH(W$2, Players!$A$1:$P$1, 0)), perc_75, VLOOKUP(W$2, Percentiles!$A$45:$I$59, 6, FALSE), perc_90, VLOOKUP(W$2, Percentiles!$A$45:$I$59, 7, FALSE), perc_95, VLOOKUP(W$2, Percentiles!$A$45:$I$59, 8, FALSE), perc_85, perc_75 + (perc_90 - perc_75) * (2/3), converted_stat, '2K_Ratings'!W346, IF(bbgm_stat &gt;= perc_95, converted_stat * 3, IF(bbgm_stat &gt;= perc_90, converted_stat * 2, IF(bbgm_stat &gt;= perc_85, converted_stat * 1.5, converted_stat)))))</f>
        <v/>
      </c>
    </row>
    <row r="347">
      <c r="A347" s="30"/>
      <c r="B347" s="30" t="str">
        <f t="array" ref="B347">IF($A347="", "", LET(bbgm_stat, INDEX(Players!$A346:$P346, MATCH(B$2, Players!$A$1:$P$1, 0)), perc_75, VLOOKUP(B$2, Percentiles!$A$45:$I$59, 6, FALSE), perc_90, VLOOKUP(B$2, Percentiles!$A$45:$I$59, 7, FALSE), perc_95, VLOOKUP(B$2, Percentiles!$A$45:$I$59, 8, FALSE), perc_85, perc_75 + (perc_90 - perc_75) * (2/3), converted_stat, '2K_Ratings'!B347, IF(bbgm_stat &gt;= perc_95, converted_stat * 3, IF(bbgm_stat &gt;= perc_90, converted_stat * 2, IF(bbgm_stat &gt;= perc_85, converted_stat * 1.5, converted_stat)))))</f>
        <v/>
      </c>
      <c r="C347" s="30" t="str">
        <f t="array" ref="C347">IF($A347="", "", LET(bbgm_stat, INDEX(Players!$A346:$P346, MATCH(C$2, Players!$A$1:$P$1, 0)), perc_75, VLOOKUP(C$2, Percentiles!$A$45:$I$59, 6, FALSE), perc_90, VLOOKUP(C$2, Percentiles!$A$45:$I$59, 7, FALSE), perc_95, VLOOKUP(C$2, Percentiles!$A$45:$I$59, 8, FALSE), perc_85, perc_75 + (perc_90 - perc_75) * (2/3), converted_stat, '2K_Ratings'!C347, IF(bbgm_stat &gt;= perc_95, converted_stat * 3, IF(bbgm_stat &gt;= perc_90, converted_stat * 2, IF(bbgm_stat &gt;= perc_85, converted_stat * 1.5, converted_stat)))))</f>
        <v/>
      </c>
      <c r="D347" s="30" t="str">
        <f t="array" ref="D347">IF($A347="", "", LET(bbgm_stat, INDEX(Players!$A346:$P346, MATCH(D$2, Players!$A$1:$P$1, 0)), perc_75, VLOOKUP(D$2, Percentiles!$A$45:$I$59, 6, FALSE), perc_90, VLOOKUP(D$2, Percentiles!$A$45:$I$59, 7, FALSE), perc_95, VLOOKUP(D$2, Percentiles!$A$45:$I$59, 8, FALSE), perc_85, perc_75 + (perc_90 - perc_75) * (2/3), converted_stat, '2K_Ratings'!D347, IF(bbgm_stat &gt;= perc_95, converted_stat * 3, IF(bbgm_stat &gt;= perc_90, converted_stat * 2, IF(bbgm_stat &gt;= perc_85, converted_stat * 1.5, converted_stat)))))</f>
        <v/>
      </c>
      <c r="E347" s="30" t="str">
        <f t="array" ref="E347">IF($A347="", "", LET(bbgm_stat, INDEX(Players!$A346:$P346, MATCH(E$2, Players!$A$1:$P$1, 0)), perc_75, VLOOKUP(E$2, Percentiles!$A$45:$I$59, 6, FALSE), perc_90, VLOOKUP(E$2, Percentiles!$A$45:$I$59, 7, FALSE), perc_95, VLOOKUP(E$2, Percentiles!$A$45:$I$59, 8, FALSE), perc_85, perc_75 + (perc_90 - perc_75) * (2/3), converted_stat, '2K_Ratings'!E347, IF(bbgm_stat &gt;= perc_95, converted_stat * 3, IF(bbgm_stat &gt;= perc_90, converted_stat * 2, IF(bbgm_stat &gt;= perc_85, converted_stat * 1.5, converted_stat)))))</f>
        <v/>
      </c>
      <c r="F347" s="30" t="str">
        <f t="array" ref="F347">IF($A347="", "", LET(bbgm_stat, INDEX(Players!$A346:$P346, MATCH(F$2, Players!$A$1:$P$1, 0)), perc_75, VLOOKUP(F$2, Percentiles!$A$45:$I$59, 6, FALSE), perc_90, VLOOKUP(F$2, Percentiles!$A$45:$I$59, 7, FALSE), perc_95, VLOOKUP(F$2, Percentiles!$A$45:$I$59, 8, FALSE), perc_85, perc_75 + (perc_90 - perc_75) * (2/3), converted_stat, '2K_Ratings'!F347, IF(bbgm_stat &gt;= perc_95, converted_stat * 3, IF(bbgm_stat &gt;= perc_90, converted_stat * 2, IF(bbgm_stat &gt;= perc_85, converted_stat * 1.5, converted_stat)))))</f>
        <v/>
      </c>
      <c r="G347" s="30" t="str">
        <f t="array" ref="G347">IF($A347="", "", LET(bbgm_stat, INDEX(Players!$A346:$P346, MATCH(G$2, Players!$A$1:$P$1, 0)), perc_75, VLOOKUP(G$2, Percentiles!$A$45:$I$59, 6, FALSE), perc_90, VLOOKUP(G$2, Percentiles!$A$45:$I$59, 7, FALSE), perc_95, VLOOKUP(G$2, Percentiles!$A$45:$I$59, 8, FALSE), perc_85, perc_75 + (perc_90 - perc_75) * (2/3), converted_stat, '2K_Ratings'!G347, IF(bbgm_stat &gt;= perc_95, converted_stat * 3, IF(bbgm_stat &gt;= perc_90, converted_stat * 2, IF(bbgm_stat &gt;= perc_85, converted_stat * 1.5, converted_stat)))))</f>
        <v/>
      </c>
      <c r="H347" s="30" t="str">
        <f t="array" ref="H347">IF($A347="", "", LET(bbgm_stat, INDEX(Players!$A346:$P346, MATCH(H$2, Players!$A$1:$P$1, 0)), perc_75, VLOOKUP(H$2, Percentiles!$A$45:$I$59, 6, FALSE), perc_90, VLOOKUP(H$2, Percentiles!$A$45:$I$59, 7, FALSE), perc_95, VLOOKUP(H$2, Percentiles!$A$45:$I$59, 8, FALSE), perc_85, perc_75 + (perc_90 - perc_75) * (2/3), converted_stat, '2K_Ratings'!H347, IF(bbgm_stat &gt;= perc_95, converted_stat * 3, IF(bbgm_stat &gt;= perc_90, converted_stat * 2, IF(bbgm_stat &gt;= perc_85, converted_stat * 1.5, converted_stat)))))</f>
        <v/>
      </c>
      <c r="I347" s="30" t="str">
        <f t="array" ref="I347">IF($A347="", "", LET(bbgm_stat, INDEX(Players!$A346:$P346, MATCH(I$2, Players!$A$1:$P$1, 0)), perc_75, VLOOKUP(I$2, Percentiles!$A$45:$I$59, 6, FALSE), perc_90, VLOOKUP(I$2, Percentiles!$A$45:$I$59, 7, FALSE), perc_95, VLOOKUP(I$2, Percentiles!$A$45:$I$59, 8, FALSE), perc_85, perc_75 + (perc_90 - perc_75) * (2/3), converted_stat, '2K_Ratings'!I347, IF(bbgm_stat &gt;= perc_95, converted_stat * 3, IF(bbgm_stat &gt;= perc_90, converted_stat * 2, IF(bbgm_stat &gt;= perc_85, converted_stat * 1.5, converted_stat)))))</f>
        <v/>
      </c>
      <c r="J347" s="30" t="str">
        <f t="array" ref="J347">IF($A347="", "", LET(bbgm_stat, INDEX(Players!$A346:$P346, MATCH(J$2, Players!$A$1:$P$1, 0)), perc_75, VLOOKUP(J$2, Percentiles!$A$45:$I$59, 6, FALSE), perc_90, VLOOKUP(J$2, Percentiles!$A$45:$I$59, 7, FALSE), perc_95, VLOOKUP(J$2, Percentiles!$A$45:$I$59, 8, FALSE), perc_85, perc_75 + (perc_90 - perc_75) * (2/3), converted_stat, '2K_Ratings'!J347, IF(bbgm_stat &gt;= perc_95, converted_stat * 3, IF(bbgm_stat &gt;= perc_90, converted_stat * 2, IF(bbgm_stat &gt;= perc_85, converted_stat * 1.5, converted_stat)))))</f>
        <v/>
      </c>
      <c r="K347" s="30" t="str">
        <f t="array" ref="K347">IF($A347="", "", LET(bbgm_stat, INDEX(Players!$A346:$P346, MATCH(K$2, Players!$A$1:$P$1, 0)), perc_75, VLOOKUP(K$2, Percentiles!$A$45:$I$59, 6, FALSE), perc_90, VLOOKUP(K$2, Percentiles!$A$45:$I$59, 7, FALSE), perc_95, VLOOKUP(K$2, Percentiles!$A$45:$I$59, 8, FALSE), perc_85, perc_75 + (perc_90 - perc_75) * (2/3), converted_stat, '2K_Ratings'!K347, IF(bbgm_stat &gt;= perc_95, converted_stat * 3, IF(bbgm_stat &gt;= perc_90, converted_stat * 2, IF(bbgm_stat &gt;= perc_85, converted_stat * 1.5, converted_stat)))))</f>
        <v/>
      </c>
      <c r="L347" s="30" t="str">
        <f t="array" ref="L347">IF($A347="", "", LET(bbgm_stat, INDEX(Players!$A346:$P346, MATCH(L$2, Players!$A$1:$P$1, 0)), perc_75, VLOOKUP(L$2, Percentiles!$A$45:$I$59, 6, FALSE), perc_90, VLOOKUP(L$2, Percentiles!$A$45:$I$59, 7, FALSE), perc_95, VLOOKUP(L$2, Percentiles!$A$45:$I$59, 8, FALSE), perc_85, perc_75 + (perc_90 - perc_75) * (2/3), converted_stat, '2K_Ratings'!L347, IF(bbgm_stat &gt;= perc_95, converted_stat * 3, IF(bbgm_stat &gt;= perc_90, converted_stat * 2, IF(bbgm_stat &gt;= perc_85, converted_stat * 1.5, converted_stat)))))</f>
        <v/>
      </c>
      <c r="M347" s="30" t="str">
        <f t="array" ref="M347">IF($A347="", "", LET(bbgm_stat, INDEX(Players!$A346:$P346, MATCH(M$2, Players!$A$1:$P$1, 0)), perc_75, VLOOKUP(M$2, Percentiles!$A$45:$I$59, 6, FALSE), perc_90, VLOOKUP(M$2, Percentiles!$A$45:$I$59, 7, FALSE), perc_95, VLOOKUP(M$2, Percentiles!$A$45:$I$59, 8, FALSE), perc_85, perc_75 + (perc_90 - perc_75) * (2/3), converted_stat, '2K_Ratings'!M347, IF(bbgm_stat &gt;= perc_95, converted_stat * 3, IF(bbgm_stat &gt;= perc_90, converted_stat * 2, IF(bbgm_stat &gt;= perc_85, converted_stat * 1.5, converted_stat)))))</f>
        <v/>
      </c>
      <c r="N347" s="30" t="str">
        <f t="array" ref="N347">IF($A347="", "", LET(bbgm_stat, INDEX(Players!$A346:$P346, MATCH(N$2, Players!$A$1:$P$1, 0)), perc_75, VLOOKUP(N$2, Percentiles!$A$45:$I$59, 6, FALSE), perc_90, VLOOKUP(N$2, Percentiles!$A$45:$I$59, 7, FALSE), perc_95, VLOOKUP(N$2, Percentiles!$A$45:$I$59, 8, FALSE), perc_85, perc_75 + (perc_90 - perc_75) * (2/3), converted_stat, '2K_Ratings'!N347, IF(bbgm_stat &gt;= perc_95, converted_stat * 3, IF(bbgm_stat &gt;= perc_90, converted_stat * 2, IF(bbgm_stat &gt;= perc_85, converted_stat * 1.5, converted_stat)))))</f>
        <v/>
      </c>
      <c r="O347" s="30" t="str">
        <f t="array" ref="O347">IF($A347="", "", LET(bbgm_stat, INDEX(Players!$A346:$P346, MATCH(O$2, Players!$A$1:$P$1, 0)), perc_75, VLOOKUP(O$2, Percentiles!$A$45:$I$59, 6, FALSE), perc_90, VLOOKUP(O$2, Percentiles!$A$45:$I$59, 7, FALSE), perc_95, VLOOKUP(O$2, Percentiles!$A$45:$I$59, 8, FALSE), perc_85, perc_75 + (perc_90 - perc_75) * (2/3), converted_stat, '2K_Ratings'!O347, IF(bbgm_stat &gt;= perc_95, converted_stat * 3, IF(bbgm_stat &gt;= perc_90, converted_stat * 2, IF(bbgm_stat &gt;= perc_85, converted_stat * 1.5, converted_stat)))))</f>
        <v/>
      </c>
      <c r="P347" s="30" t="str">
        <f t="array" ref="P347">IF($A347="", "", LET(bbgm_stat, INDEX(Players!$A346:$P346, MATCH(P$2, Players!$A$1:$P$1, 0)), perc_75, VLOOKUP(P$2, Percentiles!$A$45:$I$59, 6, FALSE), perc_90, VLOOKUP(P$2, Percentiles!$A$45:$I$59, 7, FALSE), perc_95, VLOOKUP(P$2, Percentiles!$A$45:$I$59, 8, FALSE), perc_85, perc_75 + (perc_90 - perc_75) * (2/3), converted_stat, '2K_Ratings'!P347, IF(bbgm_stat &gt;= perc_95, converted_stat * 3, IF(bbgm_stat &gt;= perc_90, converted_stat * 2, IF(bbgm_stat &gt;= perc_85, converted_stat * 1.5, converted_stat)))))</f>
        <v/>
      </c>
      <c r="Q347" s="30" t="str">
        <f t="array" ref="Q347">IF($A347="", "", LET(bbgm_stat, INDEX(Players!$A346:$P346, MATCH(Q$2, Players!$A$1:$P$1, 0)), perc_75, VLOOKUP(Q$2, Percentiles!$A$45:$I$59, 6, FALSE), perc_90, VLOOKUP(Q$2, Percentiles!$A$45:$I$59, 7, FALSE), perc_95, VLOOKUP(Q$2, Percentiles!$A$45:$I$59, 8, FALSE), perc_85, perc_75 + (perc_90 - perc_75) * (2/3), converted_stat, '2K_Ratings'!Q347, IF(bbgm_stat &gt;= perc_95, converted_stat * 3, IF(bbgm_stat &gt;= perc_90, converted_stat * 2, IF(bbgm_stat &gt;= perc_85, converted_stat * 1.5, converted_stat)))))</f>
        <v/>
      </c>
      <c r="R347" s="30" t="str">
        <f t="array" ref="R347">IF($A347="", "", LET(bbgm_stat, INDEX(Players!$A346:$P346, MATCH(R$2, Players!$A$1:$P$1, 0)), perc_75, VLOOKUP(R$2, Percentiles!$A$45:$I$59, 6, FALSE), perc_90, VLOOKUP(R$2, Percentiles!$A$45:$I$59, 7, FALSE), perc_95, VLOOKUP(R$2, Percentiles!$A$45:$I$59, 8, FALSE), perc_85, perc_75 + (perc_90 - perc_75) * (2/3), converted_stat, '2K_Ratings'!R347, IF(bbgm_stat &gt;= perc_95, converted_stat * 3, IF(bbgm_stat &gt;= perc_90, converted_stat * 2, IF(bbgm_stat &gt;= perc_85, converted_stat * 1.5, converted_stat)))))</f>
        <v/>
      </c>
      <c r="S347" s="30" t="str">
        <f t="array" ref="S347">IF($A347="", "", LET(bbgm_stat, INDEX(Players!$A346:$P346, MATCH(S$2, Players!$A$1:$P$1, 0)), perc_75, VLOOKUP(S$2, Percentiles!$A$45:$I$59, 6, FALSE), perc_90, VLOOKUP(S$2, Percentiles!$A$45:$I$59, 7, FALSE), perc_95, VLOOKUP(S$2, Percentiles!$A$45:$I$59, 8, FALSE), perc_85, perc_75 + (perc_90 - perc_75) * (2/3), converted_stat, '2K_Ratings'!S347, IF(bbgm_stat &gt;= perc_95, converted_stat * 3, IF(bbgm_stat &gt;= perc_90, converted_stat * 2, IF(bbgm_stat &gt;= perc_85, converted_stat * 1.5, converted_stat)))))</f>
        <v/>
      </c>
      <c r="T347" s="30" t="str">
        <f t="array" ref="T347">IF($A347="", "", LET(bbgm_stat, INDEX(Players!$A346:$P346, MATCH(T$2, Players!$A$1:$P$1, 0)), perc_75, VLOOKUP(T$2, Percentiles!$A$45:$I$59, 6, FALSE), perc_90, VLOOKUP(T$2, Percentiles!$A$45:$I$59, 7, FALSE), perc_95, VLOOKUP(T$2, Percentiles!$A$45:$I$59, 8, FALSE), perc_85, perc_75 + (perc_90 - perc_75) * (2/3), converted_stat, '2K_Ratings'!T347, IF(bbgm_stat &gt;= perc_95, converted_stat * 3, IF(bbgm_stat &gt;= perc_90, converted_stat * 2, IF(bbgm_stat &gt;= perc_85, converted_stat * 1.5, converted_stat)))))</f>
        <v/>
      </c>
      <c r="U347" s="30" t="str">
        <f t="array" ref="U347">IF($A347="", "", LET(bbgm_stat, INDEX(Players!$A346:$P346, MATCH(U$2, Players!$A$1:$P$1, 0)), perc_75, VLOOKUP(U$2, Percentiles!$A$45:$I$59, 6, FALSE), perc_90, VLOOKUP(U$2, Percentiles!$A$45:$I$59, 7, FALSE), perc_95, VLOOKUP(U$2, Percentiles!$A$45:$I$59, 8, FALSE), perc_85, perc_75 + (perc_90 - perc_75) * (2/3), converted_stat, '2K_Ratings'!U347, IF(bbgm_stat &gt;= perc_95, converted_stat * 3, IF(bbgm_stat &gt;= perc_90, converted_stat * 2, IF(bbgm_stat &gt;= perc_85, converted_stat * 1.5, converted_stat)))))</f>
        <v/>
      </c>
      <c r="V347" s="30" t="str">
        <f t="array" ref="V347">IF($A347="", "", LET(bbgm_stat, INDEX(Players!$A346:$P346, MATCH(V$2, Players!$A$1:$P$1, 0)), perc_75, VLOOKUP(V$2, Percentiles!$A$45:$I$59, 6, FALSE), perc_90, VLOOKUP(V$2, Percentiles!$A$45:$I$59, 7, FALSE), perc_95, VLOOKUP(V$2, Percentiles!$A$45:$I$59, 8, FALSE), perc_85, perc_75 + (perc_90 - perc_75) * (2/3), converted_stat, '2K_Ratings'!V347, IF(bbgm_stat &gt;= perc_95, converted_stat * 3, IF(bbgm_stat &gt;= perc_90, converted_stat * 2, IF(bbgm_stat &gt;= perc_85, converted_stat * 1.5, converted_stat)))))</f>
        <v/>
      </c>
      <c r="W347" s="30" t="str">
        <f t="array" ref="W347">IF($A347="", "", LET(bbgm_stat, INDEX(Players!$A346:$P346, MATCH(W$2, Players!$A$1:$P$1, 0)), perc_75, VLOOKUP(W$2, Percentiles!$A$45:$I$59, 6, FALSE), perc_90, VLOOKUP(W$2, Percentiles!$A$45:$I$59, 7, FALSE), perc_95, VLOOKUP(W$2, Percentiles!$A$45:$I$59, 8, FALSE), perc_85, perc_75 + (perc_90 - perc_75) * (2/3), converted_stat, '2K_Ratings'!W347, IF(bbgm_stat &gt;= perc_95, converted_stat * 3, IF(bbgm_stat &gt;= perc_90, converted_stat * 2, IF(bbgm_stat &gt;= perc_85, converted_stat * 1.5, converted_stat)))))</f>
        <v/>
      </c>
    </row>
    <row r="348">
      <c r="A348" s="30"/>
      <c r="B348" s="30" t="str">
        <f t="array" ref="B348">IF($A348="", "", LET(bbgm_stat, INDEX(Players!$A347:$P347, MATCH(B$2, Players!$A$1:$P$1, 0)), perc_75, VLOOKUP(B$2, Percentiles!$A$45:$I$59, 6, FALSE), perc_90, VLOOKUP(B$2, Percentiles!$A$45:$I$59, 7, FALSE), perc_95, VLOOKUP(B$2, Percentiles!$A$45:$I$59, 8, FALSE), perc_85, perc_75 + (perc_90 - perc_75) * (2/3), converted_stat, '2K_Ratings'!B348, IF(bbgm_stat &gt;= perc_95, converted_stat * 3, IF(bbgm_stat &gt;= perc_90, converted_stat * 2, IF(bbgm_stat &gt;= perc_85, converted_stat * 1.5, converted_stat)))))</f>
        <v/>
      </c>
      <c r="C348" s="30" t="str">
        <f t="array" ref="C348">IF($A348="", "", LET(bbgm_stat, INDEX(Players!$A347:$P347, MATCH(C$2, Players!$A$1:$P$1, 0)), perc_75, VLOOKUP(C$2, Percentiles!$A$45:$I$59, 6, FALSE), perc_90, VLOOKUP(C$2, Percentiles!$A$45:$I$59, 7, FALSE), perc_95, VLOOKUP(C$2, Percentiles!$A$45:$I$59, 8, FALSE), perc_85, perc_75 + (perc_90 - perc_75) * (2/3), converted_stat, '2K_Ratings'!C348, IF(bbgm_stat &gt;= perc_95, converted_stat * 3, IF(bbgm_stat &gt;= perc_90, converted_stat * 2, IF(bbgm_stat &gt;= perc_85, converted_stat * 1.5, converted_stat)))))</f>
        <v/>
      </c>
      <c r="D348" s="30" t="str">
        <f t="array" ref="D348">IF($A348="", "", LET(bbgm_stat, INDEX(Players!$A347:$P347, MATCH(D$2, Players!$A$1:$P$1, 0)), perc_75, VLOOKUP(D$2, Percentiles!$A$45:$I$59, 6, FALSE), perc_90, VLOOKUP(D$2, Percentiles!$A$45:$I$59, 7, FALSE), perc_95, VLOOKUP(D$2, Percentiles!$A$45:$I$59, 8, FALSE), perc_85, perc_75 + (perc_90 - perc_75) * (2/3), converted_stat, '2K_Ratings'!D348, IF(bbgm_stat &gt;= perc_95, converted_stat * 3, IF(bbgm_stat &gt;= perc_90, converted_stat * 2, IF(bbgm_stat &gt;= perc_85, converted_stat * 1.5, converted_stat)))))</f>
        <v/>
      </c>
      <c r="E348" s="30" t="str">
        <f t="array" ref="E348">IF($A348="", "", LET(bbgm_stat, INDEX(Players!$A347:$P347, MATCH(E$2, Players!$A$1:$P$1, 0)), perc_75, VLOOKUP(E$2, Percentiles!$A$45:$I$59, 6, FALSE), perc_90, VLOOKUP(E$2, Percentiles!$A$45:$I$59, 7, FALSE), perc_95, VLOOKUP(E$2, Percentiles!$A$45:$I$59, 8, FALSE), perc_85, perc_75 + (perc_90 - perc_75) * (2/3), converted_stat, '2K_Ratings'!E348, IF(bbgm_stat &gt;= perc_95, converted_stat * 3, IF(bbgm_stat &gt;= perc_90, converted_stat * 2, IF(bbgm_stat &gt;= perc_85, converted_stat * 1.5, converted_stat)))))</f>
        <v/>
      </c>
      <c r="F348" s="30" t="str">
        <f t="array" ref="F348">IF($A348="", "", LET(bbgm_stat, INDEX(Players!$A347:$P347, MATCH(F$2, Players!$A$1:$P$1, 0)), perc_75, VLOOKUP(F$2, Percentiles!$A$45:$I$59, 6, FALSE), perc_90, VLOOKUP(F$2, Percentiles!$A$45:$I$59, 7, FALSE), perc_95, VLOOKUP(F$2, Percentiles!$A$45:$I$59, 8, FALSE), perc_85, perc_75 + (perc_90 - perc_75) * (2/3), converted_stat, '2K_Ratings'!F348, IF(bbgm_stat &gt;= perc_95, converted_stat * 3, IF(bbgm_stat &gt;= perc_90, converted_stat * 2, IF(bbgm_stat &gt;= perc_85, converted_stat * 1.5, converted_stat)))))</f>
        <v/>
      </c>
      <c r="G348" s="30" t="str">
        <f t="array" ref="G348">IF($A348="", "", LET(bbgm_stat, INDEX(Players!$A347:$P347, MATCH(G$2, Players!$A$1:$P$1, 0)), perc_75, VLOOKUP(G$2, Percentiles!$A$45:$I$59, 6, FALSE), perc_90, VLOOKUP(G$2, Percentiles!$A$45:$I$59, 7, FALSE), perc_95, VLOOKUP(G$2, Percentiles!$A$45:$I$59, 8, FALSE), perc_85, perc_75 + (perc_90 - perc_75) * (2/3), converted_stat, '2K_Ratings'!G348, IF(bbgm_stat &gt;= perc_95, converted_stat * 3, IF(bbgm_stat &gt;= perc_90, converted_stat * 2, IF(bbgm_stat &gt;= perc_85, converted_stat * 1.5, converted_stat)))))</f>
        <v/>
      </c>
      <c r="H348" s="30" t="str">
        <f t="array" ref="H348">IF($A348="", "", LET(bbgm_stat, INDEX(Players!$A347:$P347, MATCH(H$2, Players!$A$1:$P$1, 0)), perc_75, VLOOKUP(H$2, Percentiles!$A$45:$I$59, 6, FALSE), perc_90, VLOOKUP(H$2, Percentiles!$A$45:$I$59, 7, FALSE), perc_95, VLOOKUP(H$2, Percentiles!$A$45:$I$59, 8, FALSE), perc_85, perc_75 + (perc_90 - perc_75) * (2/3), converted_stat, '2K_Ratings'!H348, IF(bbgm_stat &gt;= perc_95, converted_stat * 3, IF(bbgm_stat &gt;= perc_90, converted_stat * 2, IF(bbgm_stat &gt;= perc_85, converted_stat * 1.5, converted_stat)))))</f>
        <v/>
      </c>
      <c r="I348" s="30" t="str">
        <f t="array" ref="I348">IF($A348="", "", LET(bbgm_stat, INDEX(Players!$A347:$P347, MATCH(I$2, Players!$A$1:$P$1, 0)), perc_75, VLOOKUP(I$2, Percentiles!$A$45:$I$59, 6, FALSE), perc_90, VLOOKUP(I$2, Percentiles!$A$45:$I$59, 7, FALSE), perc_95, VLOOKUP(I$2, Percentiles!$A$45:$I$59, 8, FALSE), perc_85, perc_75 + (perc_90 - perc_75) * (2/3), converted_stat, '2K_Ratings'!I348, IF(bbgm_stat &gt;= perc_95, converted_stat * 3, IF(bbgm_stat &gt;= perc_90, converted_stat * 2, IF(bbgm_stat &gt;= perc_85, converted_stat * 1.5, converted_stat)))))</f>
        <v/>
      </c>
      <c r="J348" s="30" t="str">
        <f t="array" ref="J348">IF($A348="", "", LET(bbgm_stat, INDEX(Players!$A347:$P347, MATCH(J$2, Players!$A$1:$P$1, 0)), perc_75, VLOOKUP(J$2, Percentiles!$A$45:$I$59, 6, FALSE), perc_90, VLOOKUP(J$2, Percentiles!$A$45:$I$59, 7, FALSE), perc_95, VLOOKUP(J$2, Percentiles!$A$45:$I$59, 8, FALSE), perc_85, perc_75 + (perc_90 - perc_75) * (2/3), converted_stat, '2K_Ratings'!J348, IF(bbgm_stat &gt;= perc_95, converted_stat * 3, IF(bbgm_stat &gt;= perc_90, converted_stat * 2, IF(bbgm_stat &gt;= perc_85, converted_stat * 1.5, converted_stat)))))</f>
        <v/>
      </c>
      <c r="K348" s="30" t="str">
        <f t="array" ref="K348">IF($A348="", "", LET(bbgm_stat, INDEX(Players!$A347:$P347, MATCH(K$2, Players!$A$1:$P$1, 0)), perc_75, VLOOKUP(K$2, Percentiles!$A$45:$I$59, 6, FALSE), perc_90, VLOOKUP(K$2, Percentiles!$A$45:$I$59, 7, FALSE), perc_95, VLOOKUP(K$2, Percentiles!$A$45:$I$59, 8, FALSE), perc_85, perc_75 + (perc_90 - perc_75) * (2/3), converted_stat, '2K_Ratings'!K348, IF(bbgm_stat &gt;= perc_95, converted_stat * 3, IF(bbgm_stat &gt;= perc_90, converted_stat * 2, IF(bbgm_stat &gt;= perc_85, converted_stat * 1.5, converted_stat)))))</f>
        <v/>
      </c>
      <c r="L348" s="30" t="str">
        <f t="array" ref="L348">IF($A348="", "", LET(bbgm_stat, INDEX(Players!$A347:$P347, MATCH(L$2, Players!$A$1:$P$1, 0)), perc_75, VLOOKUP(L$2, Percentiles!$A$45:$I$59, 6, FALSE), perc_90, VLOOKUP(L$2, Percentiles!$A$45:$I$59, 7, FALSE), perc_95, VLOOKUP(L$2, Percentiles!$A$45:$I$59, 8, FALSE), perc_85, perc_75 + (perc_90 - perc_75) * (2/3), converted_stat, '2K_Ratings'!L348, IF(bbgm_stat &gt;= perc_95, converted_stat * 3, IF(bbgm_stat &gt;= perc_90, converted_stat * 2, IF(bbgm_stat &gt;= perc_85, converted_stat * 1.5, converted_stat)))))</f>
        <v/>
      </c>
      <c r="M348" s="30" t="str">
        <f t="array" ref="M348">IF($A348="", "", LET(bbgm_stat, INDEX(Players!$A347:$P347, MATCH(M$2, Players!$A$1:$P$1, 0)), perc_75, VLOOKUP(M$2, Percentiles!$A$45:$I$59, 6, FALSE), perc_90, VLOOKUP(M$2, Percentiles!$A$45:$I$59, 7, FALSE), perc_95, VLOOKUP(M$2, Percentiles!$A$45:$I$59, 8, FALSE), perc_85, perc_75 + (perc_90 - perc_75) * (2/3), converted_stat, '2K_Ratings'!M348, IF(bbgm_stat &gt;= perc_95, converted_stat * 3, IF(bbgm_stat &gt;= perc_90, converted_stat * 2, IF(bbgm_stat &gt;= perc_85, converted_stat * 1.5, converted_stat)))))</f>
        <v/>
      </c>
      <c r="N348" s="30" t="str">
        <f t="array" ref="N348">IF($A348="", "", LET(bbgm_stat, INDEX(Players!$A347:$P347, MATCH(N$2, Players!$A$1:$P$1, 0)), perc_75, VLOOKUP(N$2, Percentiles!$A$45:$I$59, 6, FALSE), perc_90, VLOOKUP(N$2, Percentiles!$A$45:$I$59, 7, FALSE), perc_95, VLOOKUP(N$2, Percentiles!$A$45:$I$59, 8, FALSE), perc_85, perc_75 + (perc_90 - perc_75) * (2/3), converted_stat, '2K_Ratings'!N348, IF(bbgm_stat &gt;= perc_95, converted_stat * 3, IF(bbgm_stat &gt;= perc_90, converted_stat * 2, IF(bbgm_stat &gt;= perc_85, converted_stat * 1.5, converted_stat)))))</f>
        <v/>
      </c>
      <c r="O348" s="30" t="str">
        <f t="array" ref="O348">IF($A348="", "", LET(bbgm_stat, INDEX(Players!$A347:$P347, MATCH(O$2, Players!$A$1:$P$1, 0)), perc_75, VLOOKUP(O$2, Percentiles!$A$45:$I$59, 6, FALSE), perc_90, VLOOKUP(O$2, Percentiles!$A$45:$I$59, 7, FALSE), perc_95, VLOOKUP(O$2, Percentiles!$A$45:$I$59, 8, FALSE), perc_85, perc_75 + (perc_90 - perc_75) * (2/3), converted_stat, '2K_Ratings'!O348, IF(bbgm_stat &gt;= perc_95, converted_stat * 3, IF(bbgm_stat &gt;= perc_90, converted_stat * 2, IF(bbgm_stat &gt;= perc_85, converted_stat * 1.5, converted_stat)))))</f>
        <v/>
      </c>
      <c r="P348" s="30" t="str">
        <f t="array" ref="P348">IF($A348="", "", LET(bbgm_stat, INDEX(Players!$A347:$P347, MATCH(P$2, Players!$A$1:$P$1, 0)), perc_75, VLOOKUP(P$2, Percentiles!$A$45:$I$59, 6, FALSE), perc_90, VLOOKUP(P$2, Percentiles!$A$45:$I$59, 7, FALSE), perc_95, VLOOKUP(P$2, Percentiles!$A$45:$I$59, 8, FALSE), perc_85, perc_75 + (perc_90 - perc_75) * (2/3), converted_stat, '2K_Ratings'!P348, IF(bbgm_stat &gt;= perc_95, converted_stat * 3, IF(bbgm_stat &gt;= perc_90, converted_stat * 2, IF(bbgm_stat &gt;= perc_85, converted_stat * 1.5, converted_stat)))))</f>
        <v/>
      </c>
      <c r="Q348" s="30" t="str">
        <f t="array" ref="Q348">IF($A348="", "", LET(bbgm_stat, INDEX(Players!$A347:$P347, MATCH(Q$2, Players!$A$1:$P$1, 0)), perc_75, VLOOKUP(Q$2, Percentiles!$A$45:$I$59, 6, FALSE), perc_90, VLOOKUP(Q$2, Percentiles!$A$45:$I$59, 7, FALSE), perc_95, VLOOKUP(Q$2, Percentiles!$A$45:$I$59, 8, FALSE), perc_85, perc_75 + (perc_90 - perc_75) * (2/3), converted_stat, '2K_Ratings'!Q348, IF(bbgm_stat &gt;= perc_95, converted_stat * 3, IF(bbgm_stat &gt;= perc_90, converted_stat * 2, IF(bbgm_stat &gt;= perc_85, converted_stat * 1.5, converted_stat)))))</f>
        <v/>
      </c>
      <c r="R348" s="30" t="str">
        <f t="array" ref="R348">IF($A348="", "", LET(bbgm_stat, INDEX(Players!$A347:$P347, MATCH(R$2, Players!$A$1:$P$1, 0)), perc_75, VLOOKUP(R$2, Percentiles!$A$45:$I$59, 6, FALSE), perc_90, VLOOKUP(R$2, Percentiles!$A$45:$I$59, 7, FALSE), perc_95, VLOOKUP(R$2, Percentiles!$A$45:$I$59, 8, FALSE), perc_85, perc_75 + (perc_90 - perc_75) * (2/3), converted_stat, '2K_Ratings'!R348, IF(bbgm_stat &gt;= perc_95, converted_stat * 3, IF(bbgm_stat &gt;= perc_90, converted_stat * 2, IF(bbgm_stat &gt;= perc_85, converted_stat * 1.5, converted_stat)))))</f>
        <v/>
      </c>
      <c r="S348" s="30" t="str">
        <f t="array" ref="S348">IF($A348="", "", LET(bbgm_stat, INDEX(Players!$A347:$P347, MATCH(S$2, Players!$A$1:$P$1, 0)), perc_75, VLOOKUP(S$2, Percentiles!$A$45:$I$59, 6, FALSE), perc_90, VLOOKUP(S$2, Percentiles!$A$45:$I$59, 7, FALSE), perc_95, VLOOKUP(S$2, Percentiles!$A$45:$I$59, 8, FALSE), perc_85, perc_75 + (perc_90 - perc_75) * (2/3), converted_stat, '2K_Ratings'!S348, IF(bbgm_stat &gt;= perc_95, converted_stat * 3, IF(bbgm_stat &gt;= perc_90, converted_stat * 2, IF(bbgm_stat &gt;= perc_85, converted_stat * 1.5, converted_stat)))))</f>
        <v/>
      </c>
      <c r="T348" s="30" t="str">
        <f t="array" ref="T348">IF($A348="", "", LET(bbgm_stat, INDEX(Players!$A347:$P347, MATCH(T$2, Players!$A$1:$P$1, 0)), perc_75, VLOOKUP(T$2, Percentiles!$A$45:$I$59, 6, FALSE), perc_90, VLOOKUP(T$2, Percentiles!$A$45:$I$59, 7, FALSE), perc_95, VLOOKUP(T$2, Percentiles!$A$45:$I$59, 8, FALSE), perc_85, perc_75 + (perc_90 - perc_75) * (2/3), converted_stat, '2K_Ratings'!T348, IF(bbgm_stat &gt;= perc_95, converted_stat * 3, IF(bbgm_stat &gt;= perc_90, converted_stat * 2, IF(bbgm_stat &gt;= perc_85, converted_stat * 1.5, converted_stat)))))</f>
        <v/>
      </c>
      <c r="U348" s="30" t="str">
        <f t="array" ref="U348">IF($A348="", "", LET(bbgm_stat, INDEX(Players!$A347:$P347, MATCH(U$2, Players!$A$1:$P$1, 0)), perc_75, VLOOKUP(U$2, Percentiles!$A$45:$I$59, 6, FALSE), perc_90, VLOOKUP(U$2, Percentiles!$A$45:$I$59, 7, FALSE), perc_95, VLOOKUP(U$2, Percentiles!$A$45:$I$59, 8, FALSE), perc_85, perc_75 + (perc_90 - perc_75) * (2/3), converted_stat, '2K_Ratings'!U348, IF(bbgm_stat &gt;= perc_95, converted_stat * 3, IF(bbgm_stat &gt;= perc_90, converted_stat * 2, IF(bbgm_stat &gt;= perc_85, converted_stat * 1.5, converted_stat)))))</f>
        <v/>
      </c>
      <c r="V348" s="30" t="str">
        <f t="array" ref="V348">IF($A348="", "", LET(bbgm_stat, INDEX(Players!$A347:$P347, MATCH(V$2, Players!$A$1:$P$1, 0)), perc_75, VLOOKUP(V$2, Percentiles!$A$45:$I$59, 6, FALSE), perc_90, VLOOKUP(V$2, Percentiles!$A$45:$I$59, 7, FALSE), perc_95, VLOOKUP(V$2, Percentiles!$A$45:$I$59, 8, FALSE), perc_85, perc_75 + (perc_90 - perc_75) * (2/3), converted_stat, '2K_Ratings'!V348, IF(bbgm_stat &gt;= perc_95, converted_stat * 3, IF(bbgm_stat &gt;= perc_90, converted_stat * 2, IF(bbgm_stat &gt;= perc_85, converted_stat * 1.5, converted_stat)))))</f>
        <v/>
      </c>
      <c r="W348" s="30" t="str">
        <f t="array" ref="W348">IF($A348="", "", LET(bbgm_stat, INDEX(Players!$A347:$P347, MATCH(W$2, Players!$A$1:$P$1, 0)), perc_75, VLOOKUP(W$2, Percentiles!$A$45:$I$59, 6, FALSE), perc_90, VLOOKUP(W$2, Percentiles!$A$45:$I$59, 7, FALSE), perc_95, VLOOKUP(W$2, Percentiles!$A$45:$I$59, 8, FALSE), perc_85, perc_75 + (perc_90 - perc_75) * (2/3), converted_stat, '2K_Ratings'!W348, IF(bbgm_stat &gt;= perc_95, converted_stat * 3, IF(bbgm_stat &gt;= perc_90, converted_stat * 2, IF(bbgm_stat &gt;= perc_85, converted_stat * 1.5, converted_stat)))))</f>
        <v/>
      </c>
    </row>
    <row r="349">
      <c r="A349" s="30"/>
      <c r="B349" s="30" t="str">
        <f t="array" ref="B349">IF($A349="", "", LET(bbgm_stat, INDEX(Players!$A348:$P348, MATCH(B$2, Players!$A$1:$P$1, 0)), perc_75, VLOOKUP(B$2, Percentiles!$A$45:$I$59, 6, FALSE), perc_90, VLOOKUP(B$2, Percentiles!$A$45:$I$59, 7, FALSE), perc_95, VLOOKUP(B$2, Percentiles!$A$45:$I$59, 8, FALSE), perc_85, perc_75 + (perc_90 - perc_75) * (2/3), converted_stat, '2K_Ratings'!B349, IF(bbgm_stat &gt;= perc_95, converted_stat * 3, IF(bbgm_stat &gt;= perc_90, converted_stat * 2, IF(bbgm_stat &gt;= perc_85, converted_stat * 1.5, converted_stat)))))</f>
        <v/>
      </c>
      <c r="C349" s="30" t="str">
        <f t="array" ref="C349">IF($A349="", "", LET(bbgm_stat, INDEX(Players!$A348:$P348, MATCH(C$2, Players!$A$1:$P$1, 0)), perc_75, VLOOKUP(C$2, Percentiles!$A$45:$I$59, 6, FALSE), perc_90, VLOOKUP(C$2, Percentiles!$A$45:$I$59, 7, FALSE), perc_95, VLOOKUP(C$2, Percentiles!$A$45:$I$59, 8, FALSE), perc_85, perc_75 + (perc_90 - perc_75) * (2/3), converted_stat, '2K_Ratings'!C349, IF(bbgm_stat &gt;= perc_95, converted_stat * 3, IF(bbgm_stat &gt;= perc_90, converted_stat * 2, IF(bbgm_stat &gt;= perc_85, converted_stat * 1.5, converted_stat)))))</f>
        <v/>
      </c>
      <c r="D349" s="30" t="str">
        <f t="array" ref="D349">IF($A349="", "", LET(bbgm_stat, INDEX(Players!$A348:$P348, MATCH(D$2, Players!$A$1:$P$1, 0)), perc_75, VLOOKUP(D$2, Percentiles!$A$45:$I$59, 6, FALSE), perc_90, VLOOKUP(D$2, Percentiles!$A$45:$I$59, 7, FALSE), perc_95, VLOOKUP(D$2, Percentiles!$A$45:$I$59, 8, FALSE), perc_85, perc_75 + (perc_90 - perc_75) * (2/3), converted_stat, '2K_Ratings'!D349, IF(bbgm_stat &gt;= perc_95, converted_stat * 3, IF(bbgm_stat &gt;= perc_90, converted_stat * 2, IF(bbgm_stat &gt;= perc_85, converted_stat * 1.5, converted_stat)))))</f>
        <v/>
      </c>
      <c r="E349" s="30" t="str">
        <f t="array" ref="E349">IF($A349="", "", LET(bbgm_stat, INDEX(Players!$A348:$P348, MATCH(E$2, Players!$A$1:$P$1, 0)), perc_75, VLOOKUP(E$2, Percentiles!$A$45:$I$59, 6, FALSE), perc_90, VLOOKUP(E$2, Percentiles!$A$45:$I$59, 7, FALSE), perc_95, VLOOKUP(E$2, Percentiles!$A$45:$I$59, 8, FALSE), perc_85, perc_75 + (perc_90 - perc_75) * (2/3), converted_stat, '2K_Ratings'!E349, IF(bbgm_stat &gt;= perc_95, converted_stat * 3, IF(bbgm_stat &gt;= perc_90, converted_stat * 2, IF(bbgm_stat &gt;= perc_85, converted_stat * 1.5, converted_stat)))))</f>
        <v/>
      </c>
      <c r="F349" s="30" t="str">
        <f t="array" ref="F349">IF($A349="", "", LET(bbgm_stat, INDEX(Players!$A348:$P348, MATCH(F$2, Players!$A$1:$P$1, 0)), perc_75, VLOOKUP(F$2, Percentiles!$A$45:$I$59, 6, FALSE), perc_90, VLOOKUP(F$2, Percentiles!$A$45:$I$59, 7, FALSE), perc_95, VLOOKUP(F$2, Percentiles!$A$45:$I$59, 8, FALSE), perc_85, perc_75 + (perc_90 - perc_75) * (2/3), converted_stat, '2K_Ratings'!F349, IF(bbgm_stat &gt;= perc_95, converted_stat * 3, IF(bbgm_stat &gt;= perc_90, converted_stat * 2, IF(bbgm_stat &gt;= perc_85, converted_stat * 1.5, converted_stat)))))</f>
        <v/>
      </c>
      <c r="G349" s="30" t="str">
        <f t="array" ref="G349">IF($A349="", "", LET(bbgm_stat, INDEX(Players!$A348:$P348, MATCH(G$2, Players!$A$1:$P$1, 0)), perc_75, VLOOKUP(G$2, Percentiles!$A$45:$I$59, 6, FALSE), perc_90, VLOOKUP(G$2, Percentiles!$A$45:$I$59, 7, FALSE), perc_95, VLOOKUP(G$2, Percentiles!$A$45:$I$59, 8, FALSE), perc_85, perc_75 + (perc_90 - perc_75) * (2/3), converted_stat, '2K_Ratings'!G349, IF(bbgm_stat &gt;= perc_95, converted_stat * 3, IF(bbgm_stat &gt;= perc_90, converted_stat * 2, IF(bbgm_stat &gt;= perc_85, converted_stat * 1.5, converted_stat)))))</f>
        <v/>
      </c>
      <c r="H349" s="30" t="str">
        <f t="array" ref="H349">IF($A349="", "", LET(bbgm_stat, INDEX(Players!$A348:$P348, MATCH(H$2, Players!$A$1:$P$1, 0)), perc_75, VLOOKUP(H$2, Percentiles!$A$45:$I$59, 6, FALSE), perc_90, VLOOKUP(H$2, Percentiles!$A$45:$I$59, 7, FALSE), perc_95, VLOOKUP(H$2, Percentiles!$A$45:$I$59, 8, FALSE), perc_85, perc_75 + (perc_90 - perc_75) * (2/3), converted_stat, '2K_Ratings'!H349, IF(bbgm_stat &gt;= perc_95, converted_stat * 3, IF(bbgm_stat &gt;= perc_90, converted_stat * 2, IF(bbgm_stat &gt;= perc_85, converted_stat * 1.5, converted_stat)))))</f>
        <v/>
      </c>
      <c r="I349" s="30" t="str">
        <f t="array" ref="I349">IF($A349="", "", LET(bbgm_stat, INDEX(Players!$A348:$P348, MATCH(I$2, Players!$A$1:$P$1, 0)), perc_75, VLOOKUP(I$2, Percentiles!$A$45:$I$59, 6, FALSE), perc_90, VLOOKUP(I$2, Percentiles!$A$45:$I$59, 7, FALSE), perc_95, VLOOKUP(I$2, Percentiles!$A$45:$I$59, 8, FALSE), perc_85, perc_75 + (perc_90 - perc_75) * (2/3), converted_stat, '2K_Ratings'!I349, IF(bbgm_stat &gt;= perc_95, converted_stat * 3, IF(bbgm_stat &gt;= perc_90, converted_stat * 2, IF(bbgm_stat &gt;= perc_85, converted_stat * 1.5, converted_stat)))))</f>
        <v/>
      </c>
      <c r="J349" s="30" t="str">
        <f t="array" ref="J349">IF($A349="", "", LET(bbgm_stat, INDEX(Players!$A348:$P348, MATCH(J$2, Players!$A$1:$P$1, 0)), perc_75, VLOOKUP(J$2, Percentiles!$A$45:$I$59, 6, FALSE), perc_90, VLOOKUP(J$2, Percentiles!$A$45:$I$59, 7, FALSE), perc_95, VLOOKUP(J$2, Percentiles!$A$45:$I$59, 8, FALSE), perc_85, perc_75 + (perc_90 - perc_75) * (2/3), converted_stat, '2K_Ratings'!J349, IF(bbgm_stat &gt;= perc_95, converted_stat * 3, IF(bbgm_stat &gt;= perc_90, converted_stat * 2, IF(bbgm_stat &gt;= perc_85, converted_stat * 1.5, converted_stat)))))</f>
        <v/>
      </c>
      <c r="K349" s="30" t="str">
        <f t="array" ref="K349">IF($A349="", "", LET(bbgm_stat, INDEX(Players!$A348:$P348, MATCH(K$2, Players!$A$1:$P$1, 0)), perc_75, VLOOKUP(K$2, Percentiles!$A$45:$I$59, 6, FALSE), perc_90, VLOOKUP(K$2, Percentiles!$A$45:$I$59, 7, FALSE), perc_95, VLOOKUP(K$2, Percentiles!$A$45:$I$59, 8, FALSE), perc_85, perc_75 + (perc_90 - perc_75) * (2/3), converted_stat, '2K_Ratings'!K349, IF(bbgm_stat &gt;= perc_95, converted_stat * 3, IF(bbgm_stat &gt;= perc_90, converted_stat * 2, IF(bbgm_stat &gt;= perc_85, converted_stat * 1.5, converted_stat)))))</f>
        <v/>
      </c>
      <c r="L349" s="30" t="str">
        <f t="array" ref="L349">IF($A349="", "", LET(bbgm_stat, INDEX(Players!$A348:$P348, MATCH(L$2, Players!$A$1:$P$1, 0)), perc_75, VLOOKUP(L$2, Percentiles!$A$45:$I$59, 6, FALSE), perc_90, VLOOKUP(L$2, Percentiles!$A$45:$I$59, 7, FALSE), perc_95, VLOOKUP(L$2, Percentiles!$A$45:$I$59, 8, FALSE), perc_85, perc_75 + (perc_90 - perc_75) * (2/3), converted_stat, '2K_Ratings'!L349, IF(bbgm_stat &gt;= perc_95, converted_stat * 3, IF(bbgm_stat &gt;= perc_90, converted_stat * 2, IF(bbgm_stat &gt;= perc_85, converted_stat * 1.5, converted_stat)))))</f>
        <v/>
      </c>
      <c r="M349" s="30" t="str">
        <f t="array" ref="M349">IF($A349="", "", LET(bbgm_stat, INDEX(Players!$A348:$P348, MATCH(M$2, Players!$A$1:$P$1, 0)), perc_75, VLOOKUP(M$2, Percentiles!$A$45:$I$59, 6, FALSE), perc_90, VLOOKUP(M$2, Percentiles!$A$45:$I$59, 7, FALSE), perc_95, VLOOKUP(M$2, Percentiles!$A$45:$I$59, 8, FALSE), perc_85, perc_75 + (perc_90 - perc_75) * (2/3), converted_stat, '2K_Ratings'!M349, IF(bbgm_stat &gt;= perc_95, converted_stat * 3, IF(bbgm_stat &gt;= perc_90, converted_stat * 2, IF(bbgm_stat &gt;= perc_85, converted_stat * 1.5, converted_stat)))))</f>
        <v/>
      </c>
      <c r="N349" s="30" t="str">
        <f t="array" ref="N349">IF($A349="", "", LET(bbgm_stat, INDEX(Players!$A348:$P348, MATCH(N$2, Players!$A$1:$P$1, 0)), perc_75, VLOOKUP(N$2, Percentiles!$A$45:$I$59, 6, FALSE), perc_90, VLOOKUP(N$2, Percentiles!$A$45:$I$59, 7, FALSE), perc_95, VLOOKUP(N$2, Percentiles!$A$45:$I$59, 8, FALSE), perc_85, perc_75 + (perc_90 - perc_75) * (2/3), converted_stat, '2K_Ratings'!N349, IF(bbgm_stat &gt;= perc_95, converted_stat * 3, IF(bbgm_stat &gt;= perc_90, converted_stat * 2, IF(bbgm_stat &gt;= perc_85, converted_stat * 1.5, converted_stat)))))</f>
        <v/>
      </c>
      <c r="O349" s="30" t="str">
        <f t="array" ref="O349">IF($A349="", "", LET(bbgm_stat, INDEX(Players!$A348:$P348, MATCH(O$2, Players!$A$1:$P$1, 0)), perc_75, VLOOKUP(O$2, Percentiles!$A$45:$I$59, 6, FALSE), perc_90, VLOOKUP(O$2, Percentiles!$A$45:$I$59, 7, FALSE), perc_95, VLOOKUP(O$2, Percentiles!$A$45:$I$59, 8, FALSE), perc_85, perc_75 + (perc_90 - perc_75) * (2/3), converted_stat, '2K_Ratings'!O349, IF(bbgm_stat &gt;= perc_95, converted_stat * 3, IF(bbgm_stat &gt;= perc_90, converted_stat * 2, IF(bbgm_stat &gt;= perc_85, converted_stat * 1.5, converted_stat)))))</f>
        <v/>
      </c>
      <c r="P349" s="30" t="str">
        <f t="array" ref="P349">IF($A349="", "", LET(bbgm_stat, INDEX(Players!$A348:$P348, MATCH(P$2, Players!$A$1:$P$1, 0)), perc_75, VLOOKUP(P$2, Percentiles!$A$45:$I$59, 6, FALSE), perc_90, VLOOKUP(P$2, Percentiles!$A$45:$I$59, 7, FALSE), perc_95, VLOOKUP(P$2, Percentiles!$A$45:$I$59, 8, FALSE), perc_85, perc_75 + (perc_90 - perc_75) * (2/3), converted_stat, '2K_Ratings'!P349, IF(bbgm_stat &gt;= perc_95, converted_stat * 3, IF(bbgm_stat &gt;= perc_90, converted_stat * 2, IF(bbgm_stat &gt;= perc_85, converted_stat * 1.5, converted_stat)))))</f>
        <v/>
      </c>
      <c r="Q349" s="30" t="str">
        <f t="array" ref="Q349">IF($A349="", "", LET(bbgm_stat, INDEX(Players!$A348:$P348, MATCH(Q$2, Players!$A$1:$P$1, 0)), perc_75, VLOOKUP(Q$2, Percentiles!$A$45:$I$59, 6, FALSE), perc_90, VLOOKUP(Q$2, Percentiles!$A$45:$I$59, 7, FALSE), perc_95, VLOOKUP(Q$2, Percentiles!$A$45:$I$59, 8, FALSE), perc_85, perc_75 + (perc_90 - perc_75) * (2/3), converted_stat, '2K_Ratings'!Q349, IF(bbgm_stat &gt;= perc_95, converted_stat * 3, IF(bbgm_stat &gt;= perc_90, converted_stat * 2, IF(bbgm_stat &gt;= perc_85, converted_stat * 1.5, converted_stat)))))</f>
        <v/>
      </c>
      <c r="R349" s="30" t="str">
        <f t="array" ref="R349">IF($A349="", "", LET(bbgm_stat, INDEX(Players!$A348:$P348, MATCH(R$2, Players!$A$1:$P$1, 0)), perc_75, VLOOKUP(R$2, Percentiles!$A$45:$I$59, 6, FALSE), perc_90, VLOOKUP(R$2, Percentiles!$A$45:$I$59, 7, FALSE), perc_95, VLOOKUP(R$2, Percentiles!$A$45:$I$59, 8, FALSE), perc_85, perc_75 + (perc_90 - perc_75) * (2/3), converted_stat, '2K_Ratings'!R349, IF(bbgm_stat &gt;= perc_95, converted_stat * 3, IF(bbgm_stat &gt;= perc_90, converted_stat * 2, IF(bbgm_stat &gt;= perc_85, converted_stat * 1.5, converted_stat)))))</f>
        <v/>
      </c>
      <c r="S349" s="30" t="str">
        <f t="array" ref="S349">IF($A349="", "", LET(bbgm_stat, INDEX(Players!$A348:$P348, MATCH(S$2, Players!$A$1:$P$1, 0)), perc_75, VLOOKUP(S$2, Percentiles!$A$45:$I$59, 6, FALSE), perc_90, VLOOKUP(S$2, Percentiles!$A$45:$I$59, 7, FALSE), perc_95, VLOOKUP(S$2, Percentiles!$A$45:$I$59, 8, FALSE), perc_85, perc_75 + (perc_90 - perc_75) * (2/3), converted_stat, '2K_Ratings'!S349, IF(bbgm_stat &gt;= perc_95, converted_stat * 3, IF(bbgm_stat &gt;= perc_90, converted_stat * 2, IF(bbgm_stat &gt;= perc_85, converted_stat * 1.5, converted_stat)))))</f>
        <v/>
      </c>
      <c r="T349" s="30" t="str">
        <f t="array" ref="T349">IF($A349="", "", LET(bbgm_stat, INDEX(Players!$A348:$P348, MATCH(T$2, Players!$A$1:$P$1, 0)), perc_75, VLOOKUP(T$2, Percentiles!$A$45:$I$59, 6, FALSE), perc_90, VLOOKUP(T$2, Percentiles!$A$45:$I$59, 7, FALSE), perc_95, VLOOKUP(T$2, Percentiles!$A$45:$I$59, 8, FALSE), perc_85, perc_75 + (perc_90 - perc_75) * (2/3), converted_stat, '2K_Ratings'!T349, IF(bbgm_stat &gt;= perc_95, converted_stat * 3, IF(bbgm_stat &gt;= perc_90, converted_stat * 2, IF(bbgm_stat &gt;= perc_85, converted_stat * 1.5, converted_stat)))))</f>
        <v/>
      </c>
      <c r="U349" s="30" t="str">
        <f t="array" ref="U349">IF($A349="", "", LET(bbgm_stat, INDEX(Players!$A348:$P348, MATCH(U$2, Players!$A$1:$P$1, 0)), perc_75, VLOOKUP(U$2, Percentiles!$A$45:$I$59, 6, FALSE), perc_90, VLOOKUP(U$2, Percentiles!$A$45:$I$59, 7, FALSE), perc_95, VLOOKUP(U$2, Percentiles!$A$45:$I$59, 8, FALSE), perc_85, perc_75 + (perc_90 - perc_75) * (2/3), converted_stat, '2K_Ratings'!U349, IF(bbgm_stat &gt;= perc_95, converted_stat * 3, IF(bbgm_stat &gt;= perc_90, converted_stat * 2, IF(bbgm_stat &gt;= perc_85, converted_stat * 1.5, converted_stat)))))</f>
        <v/>
      </c>
      <c r="V349" s="30" t="str">
        <f t="array" ref="V349">IF($A349="", "", LET(bbgm_stat, INDEX(Players!$A348:$P348, MATCH(V$2, Players!$A$1:$P$1, 0)), perc_75, VLOOKUP(V$2, Percentiles!$A$45:$I$59, 6, FALSE), perc_90, VLOOKUP(V$2, Percentiles!$A$45:$I$59, 7, FALSE), perc_95, VLOOKUP(V$2, Percentiles!$A$45:$I$59, 8, FALSE), perc_85, perc_75 + (perc_90 - perc_75) * (2/3), converted_stat, '2K_Ratings'!V349, IF(bbgm_stat &gt;= perc_95, converted_stat * 3, IF(bbgm_stat &gt;= perc_90, converted_stat * 2, IF(bbgm_stat &gt;= perc_85, converted_stat * 1.5, converted_stat)))))</f>
        <v/>
      </c>
      <c r="W349" s="30" t="str">
        <f t="array" ref="W349">IF($A349="", "", LET(bbgm_stat, INDEX(Players!$A348:$P348, MATCH(W$2, Players!$A$1:$P$1, 0)), perc_75, VLOOKUP(W$2, Percentiles!$A$45:$I$59, 6, FALSE), perc_90, VLOOKUP(W$2, Percentiles!$A$45:$I$59, 7, FALSE), perc_95, VLOOKUP(W$2, Percentiles!$A$45:$I$59, 8, FALSE), perc_85, perc_75 + (perc_90 - perc_75) * (2/3), converted_stat, '2K_Ratings'!W349, IF(bbgm_stat &gt;= perc_95, converted_stat * 3, IF(bbgm_stat &gt;= perc_90, converted_stat * 2, IF(bbgm_stat &gt;= perc_85, converted_stat * 1.5, converted_stat)))))</f>
        <v/>
      </c>
    </row>
    <row r="350">
      <c r="A350" s="30"/>
      <c r="B350" s="30" t="str">
        <f t="array" ref="B350">IF($A350="", "", LET(bbgm_stat, INDEX(Players!$A349:$P349, MATCH(B$2, Players!$A$1:$P$1, 0)), perc_75, VLOOKUP(B$2, Percentiles!$A$45:$I$59, 6, FALSE), perc_90, VLOOKUP(B$2, Percentiles!$A$45:$I$59, 7, FALSE), perc_95, VLOOKUP(B$2, Percentiles!$A$45:$I$59, 8, FALSE), perc_85, perc_75 + (perc_90 - perc_75) * (2/3), converted_stat, '2K_Ratings'!B350, IF(bbgm_stat &gt;= perc_95, converted_stat * 3, IF(bbgm_stat &gt;= perc_90, converted_stat * 2, IF(bbgm_stat &gt;= perc_85, converted_stat * 1.5, converted_stat)))))</f>
        <v/>
      </c>
      <c r="C350" s="30" t="str">
        <f t="array" ref="C350">IF($A350="", "", LET(bbgm_stat, INDEX(Players!$A349:$P349, MATCH(C$2, Players!$A$1:$P$1, 0)), perc_75, VLOOKUP(C$2, Percentiles!$A$45:$I$59, 6, FALSE), perc_90, VLOOKUP(C$2, Percentiles!$A$45:$I$59, 7, FALSE), perc_95, VLOOKUP(C$2, Percentiles!$A$45:$I$59, 8, FALSE), perc_85, perc_75 + (perc_90 - perc_75) * (2/3), converted_stat, '2K_Ratings'!C350, IF(bbgm_stat &gt;= perc_95, converted_stat * 3, IF(bbgm_stat &gt;= perc_90, converted_stat * 2, IF(bbgm_stat &gt;= perc_85, converted_stat * 1.5, converted_stat)))))</f>
        <v/>
      </c>
      <c r="D350" s="30" t="str">
        <f t="array" ref="D350">IF($A350="", "", LET(bbgm_stat, INDEX(Players!$A349:$P349, MATCH(D$2, Players!$A$1:$P$1, 0)), perc_75, VLOOKUP(D$2, Percentiles!$A$45:$I$59, 6, FALSE), perc_90, VLOOKUP(D$2, Percentiles!$A$45:$I$59, 7, FALSE), perc_95, VLOOKUP(D$2, Percentiles!$A$45:$I$59, 8, FALSE), perc_85, perc_75 + (perc_90 - perc_75) * (2/3), converted_stat, '2K_Ratings'!D350, IF(bbgm_stat &gt;= perc_95, converted_stat * 3, IF(bbgm_stat &gt;= perc_90, converted_stat * 2, IF(bbgm_stat &gt;= perc_85, converted_stat * 1.5, converted_stat)))))</f>
        <v/>
      </c>
      <c r="E350" s="30" t="str">
        <f t="array" ref="E350">IF($A350="", "", LET(bbgm_stat, INDEX(Players!$A349:$P349, MATCH(E$2, Players!$A$1:$P$1, 0)), perc_75, VLOOKUP(E$2, Percentiles!$A$45:$I$59, 6, FALSE), perc_90, VLOOKUP(E$2, Percentiles!$A$45:$I$59, 7, FALSE), perc_95, VLOOKUP(E$2, Percentiles!$A$45:$I$59, 8, FALSE), perc_85, perc_75 + (perc_90 - perc_75) * (2/3), converted_stat, '2K_Ratings'!E350, IF(bbgm_stat &gt;= perc_95, converted_stat * 3, IF(bbgm_stat &gt;= perc_90, converted_stat * 2, IF(bbgm_stat &gt;= perc_85, converted_stat * 1.5, converted_stat)))))</f>
        <v/>
      </c>
      <c r="F350" s="30" t="str">
        <f t="array" ref="F350">IF($A350="", "", LET(bbgm_stat, INDEX(Players!$A349:$P349, MATCH(F$2, Players!$A$1:$P$1, 0)), perc_75, VLOOKUP(F$2, Percentiles!$A$45:$I$59, 6, FALSE), perc_90, VLOOKUP(F$2, Percentiles!$A$45:$I$59, 7, FALSE), perc_95, VLOOKUP(F$2, Percentiles!$A$45:$I$59, 8, FALSE), perc_85, perc_75 + (perc_90 - perc_75) * (2/3), converted_stat, '2K_Ratings'!F350, IF(bbgm_stat &gt;= perc_95, converted_stat * 3, IF(bbgm_stat &gt;= perc_90, converted_stat * 2, IF(bbgm_stat &gt;= perc_85, converted_stat * 1.5, converted_stat)))))</f>
        <v/>
      </c>
      <c r="G350" s="30" t="str">
        <f t="array" ref="G350">IF($A350="", "", LET(bbgm_stat, INDEX(Players!$A349:$P349, MATCH(G$2, Players!$A$1:$P$1, 0)), perc_75, VLOOKUP(G$2, Percentiles!$A$45:$I$59, 6, FALSE), perc_90, VLOOKUP(G$2, Percentiles!$A$45:$I$59, 7, FALSE), perc_95, VLOOKUP(G$2, Percentiles!$A$45:$I$59, 8, FALSE), perc_85, perc_75 + (perc_90 - perc_75) * (2/3), converted_stat, '2K_Ratings'!G350, IF(bbgm_stat &gt;= perc_95, converted_stat * 3, IF(bbgm_stat &gt;= perc_90, converted_stat * 2, IF(bbgm_stat &gt;= perc_85, converted_stat * 1.5, converted_stat)))))</f>
        <v/>
      </c>
      <c r="H350" s="30" t="str">
        <f t="array" ref="H350">IF($A350="", "", LET(bbgm_stat, INDEX(Players!$A349:$P349, MATCH(H$2, Players!$A$1:$P$1, 0)), perc_75, VLOOKUP(H$2, Percentiles!$A$45:$I$59, 6, FALSE), perc_90, VLOOKUP(H$2, Percentiles!$A$45:$I$59, 7, FALSE), perc_95, VLOOKUP(H$2, Percentiles!$A$45:$I$59, 8, FALSE), perc_85, perc_75 + (perc_90 - perc_75) * (2/3), converted_stat, '2K_Ratings'!H350, IF(bbgm_stat &gt;= perc_95, converted_stat * 3, IF(bbgm_stat &gt;= perc_90, converted_stat * 2, IF(bbgm_stat &gt;= perc_85, converted_stat * 1.5, converted_stat)))))</f>
        <v/>
      </c>
      <c r="I350" s="30" t="str">
        <f t="array" ref="I350">IF($A350="", "", LET(bbgm_stat, INDEX(Players!$A349:$P349, MATCH(I$2, Players!$A$1:$P$1, 0)), perc_75, VLOOKUP(I$2, Percentiles!$A$45:$I$59, 6, FALSE), perc_90, VLOOKUP(I$2, Percentiles!$A$45:$I$59, 7, FALSE), perc_95, VLOOKUP(I$2, Percentiles!$A$45:$I$59, 8, FALSE), perc_85, perc_75 + (perc_90 - perc_75) * (2/3), converted_stat, '2K_Ratings'!I350, IF(bbgm_stat &gt;= perc_95, converted_stat * 3, IF(bbgm_stat &gt;= perc_90, converted_stat * 2, IF(bbgm_stat &gt;= perc_85, converted_stat * 1.5, converted_stat)))))</f>
        <v/>
      </c>
      <c r="J350" s="30" t="str">
        <f t="array" ref="J350">IF($A350="", "", LET(bbgm_stat, INDEX(Players!$A349:$P349, MATCH(J$2, Players!$A$1:$P$1, 0)), perc_75, VLOOKUP(J$2, Percentiles!$A$45:$I$59, 6, FALSE), perc_90, VLOOKUP(J$2, Percentiles!$A$45:$I$59, 7, FALSE), perc_95, VLOOKUP(J$2, Percentiles!$A$45:$I$59, 8, FALSE), perc_85, perc_75 + (perc_90 - perc_75) * (2/3), converted_stat, '2K_Ratings'!J350, IF(bbgm_stat &gt;= perc_95, converted_stat * 3, IF(bbgm_stat &gt;= perc_90, converted_stat * 2, IF(bbgm_stat &gt;= perc_85, converted_stat * 1.5, converted_stat)))))</f>
        <v/>
      </c>
      <c r="K350" s="30" t="str">
        <f t="array" ref="K350">IF($A350="", "", LET(bbgm_stat, INDEX(Players!$A349:$P349, MATCH(K$2, Players!$A$1:$P$1, 0)), perc_75, VLOOKUP(K$2, Percentiles!$A$45:$I$59, 6, FALSE), perc_90, VLOOKUP(K$2, Percentiles!$A$45:$I$59, 7, FALSE), perc_95, VLOOKUP(K$2, Percentiles!$A$45:$I$59, 8, FALSE), perc_85, perc_75 + (perc_90 - perc_75) * (2/3), converted_stat, '2K_Ratings'!K350, IF(bbgm_stat &gt;= perc_95, converted_stat * 3, IF(bbgm_stat &gt;= perc_90, converted_stat * 2, IF(bbgm_stat &gt;= perc_85, converted_stat * 1.5, converted_stat)))))</f>
        <v/>
      </c>
      <c r="L350" s="30" t="str">
        <f t="array" ref="L350">IF($A350="", "", LET(bbgm_stat, INDEX(Players!$A349:$P349, MATCH(L$2, Players!$A$1:$P$1, 0)), perc_75, VLOOKUP(L$2, Percentiles!$A$45:$I$59, 6, FALSE), perc_90, VLOOKUP(L$2, Percentiles!$A$45:$I$59, 7, FALSE), perc_95, VLOOKUP(L$2, Percentiles!$A$45:$I$59, 8, FALSE), perc_85, perc_75 + (perc_90 - perc_75) * (2/3), converted_stat, '2K_Ratings'!L350, IF(bbgm_stat &gt;= perc_95, converted_stat * 3, IF(bbgm_stat &gt;= perc_90, converted_stat * 2, IF(bbgm_stat &gt;= perc_85, converted_stat * 1.5, converted_stat)))))</f>
        <v/>
      </c>
      <c r="M350" s="30" t="str">
        <f t="array" ref="M350">IF($A350="", "", LET(bbgm_stat, INDEX(Players!$A349:$P349, MATCH(M$2, Players!$A$1:$P$1, 0)), perc_75, VLOOKUP(M$2, Percentiles!$A$45:$I$59, 6, FALSE), perc_90, VLOOKUP(M$2, Percentiles!$A$45:$I$59, 7, FALSE), perc_95, VLOOKUP(M$2, Percentiles!$A$45:$I$59, 8, FALSE), perc_85, perc_75 + (perc_90 - perc_75) * (2/3), converted_stat, '2K_Ratings'!M350, IF(bbgm_stat &gt;= perc_95, converted_stat * 3, IF(bbgm_stat &gt;= perc_90, converted_stat * 2, IF(bbgm_stat &gt;= perc_85, converted_stat * 1.5, converted_stat)))))</f>
        <v/>
      </c>
      <c r="N350" s="30" t="str">
        <f t="array" ref="N350">IF($A350="", "", LET(bbgm_stat, INDEX(Players!$A349:$P349, MATCH(N$2, Players!$A$1:$P$1, 0)), perc_75, VLOOKUP(N$2, Percentiles!$A$45:$I$59, 6, FALSE), perc_90, VLOOKUP(N$2, Percentiles!$A$45:$I$59, 7, FALSE), perc_95, VLOOKUP(N$2, Percentiles!$A$45:$I$59, 8, FALSE), perc_85, perc_75 + (perc_90 - perc_75) * (2/3), converted_stat, '2K_Ratings'!N350, IF(bbgm_stat &gt;= perc_95, converted_stat * 3, IF(bbgm_stat &gt;= perc_90, converted_stat * 2, IF(bbgm_stat &gt;= perc_85, converted_stat * 1.5, converted_stat)))))</f>
        <v/>
      </c>
      <c r="O350" s="30" t="str">
        <f t="array" ref="O350">IF($A350="", "", LET(bbgm_stat, INDEX(Players!$A349:$P349, MATCH(O$2, Players!$A$1:$P$1, 0)), perc_75, VLOOKUP(O$2, Percentiles!$A$45:$I$59, 6, FALSE), perc_90, VLOOKUP(O$2, Percentiles!$A$45:$I$59, 7, FALSE), perc_95, VLOOKUP(O$2, Percentiles!$A$45:$I$59, 8, FALSE), perc_85, perc_75 + (perc_90 - perc_75) * (2/3), converted_stat, '2K_Ratings'!O350, IF(bbgm_stat &gt;= perc_95, converted_stat * 3, IF(bbgm_stat &gt;= perc_90, converted_stat * 2, IF(bbgm_stat &gt;= perc_85, converted_stat * 1.5, converted_stat)))))</f>
        <v/>
      </c>
      <c r="P350" s="30" t="str">
        <f t="array" ref="P350">IF($A350="", "", LET(bbgm_stat, INDEX(Players!$A349:$P349, MATCH(P$2, Players!$A$1:$P$1, 0)), perc_75, VLOOKUP(P$2, Percentiles!$A$45:$I$59, 6, FALSE), perc_90, VLOOKUP(P$2, Percentiles!$A$45:$I$59, 7, FALSE), perc_95, VLOOKUP(P$2, Percentiles!$A$45:$I$59, 8, FALSE), perc_85, perc_75 + (perc_90 - perc_75) * (2/3), converted_stat, '2K_Ratings'!P350, IF(bbgm_stat &gt;= perc_95, converted_stat * 3, IF(bbgm_stat &gt;= perc_90, converted_stat * 2, IF(bbgm_stat &gt;= perc_85, converted_stat * 1.5, converted_stat)))))</f>
        <v/>
      </c>
      <c r="Q350" s="30" t="str">
        <f t="array" ref="Q350">IF($A350="", "", LET(bbgm_stat, INDEX(Players!$A349:$P349, MATCH(Q$2, Players!$A$1:$P$1, 0)), perc_75, VLOOKUP(Q$2, Percentiles!$A$45:$I$59, 6, FALSE), perc_90, VLOOKUP(Q$2, Percentiles!$A$45:$I$59, 7, FALSE), perc_95, VLOOKUP(Q$2, Percentiles!$A$45:$I$59, 8, FALSE), perc_85, perc_75 + (perc_90 - perc_75) * (2/3), converted_stat, '2K_Ratings'!Q350, IF(bbgm_stat &gt;= perc_95, converted_stat * 3, IF(bbgm_stat &gt;= perc_90, converted_stat * 2, IF(bbgm_stat &gt;= perc_85, converted_stat * 1.5, converted_stat)))))</f>
        <v/>
      </c>
      <c r="R350" s="30" t="str">
        <f t="array" ref="R350">IF($A350="", "", LET(bbgm_stat, INDEX(Players!$A349:$P349, MATCH(R$2, Players!$A$1:$P$1, 0)), perc_75, VLOOKUP(R$2, Percentiles!$A$45:$I$59, 6, FALSE), perc_90, VLOOKUP(R$2, Percentiles!$A$45:$I$59, 7, FALSE), perc_95, VLOOKUP(R$2, Percentiles!$A$45:$I$59, 8, FALSE), perc_85, perc_75 + (perc_90 - perc_75) * (2/3), converted_stat, '2K_Ratings'!R350, IF(bbgm_stat &gt;= perc_95, converted_stat * 3, IF(bbgm_stat &gt;= perc_90, converted_stat * 2, IF(bbgm_stat &gt;= perc_85, converted_stat * 1.5, converted_stat)))))</f>
        <v/>
      </c>
      <c r="S350" s="30" t="str">
        <f t="array" ref="S350">IF($A350="", "", LET(bbgm_stat, INDEX(Players!$A349:$P349, MATCH(S$2, Players!$A$1:$P$1, 0)), perc_75, VLOOKUP(S$2, Percentiles!$A$45:$I$59, 6, FALSE), perc_90, VLOOKUP(S$2, Percentiles!$A$45:$I$59, 7, FALSE), perc_95, VLOOKUP(S$2, Percentiles!$A$45:$I$59, 8, FALSE), perc_85, perc_75 + (perc_90 - perc_75) * (2/3), converted_stat, '2K_Ratings'!S350, IF(bbgm_stat &gt;= perc_95, converted_stat * 3, IF(bbgm_stat &gt;= perc_90, converted_stat * 2, IF(bbgm_stat &gt;= perc_85, converted_stat * 1.5, converted_stat)))))</f>
        <v/>
      </c>
      <c r="T350" s="30" t="str">
        <f t="array" ref="T350">IF($A350="", "", LET(bbgm_stat, INDEX(Players!$A349:$P349, MATCH(T$2, Players!$A$1:$P$1, 0)), perc_75, VLOOKUP(T$2, Percentiles!$A$45:$I$59, 6, FALSE), perc_90, VLOOKUP(T$2, Percentiles!$A$45:$I$59, 7, FALSE), perc_95, VLOOKUP(T$2, Percentiles!$A$45:$I$59, 8, FALSE), perc_85, perc_75 + (perc_90 - perc_75) * (2/3), converted_stat, '2K_Ratings'!T350, IF(bbgm_stat &gt;= perc_95, converted_stat * 3, IF(bbgm_stat &gt;= perc_90, converted_stat * 2, IF(bbgm_stat &gt;= perc_85, converted_stat * 1.5, converted_stat)))))</f>
        <v/>
      </c>
      <c r="U350" s="30" t="str">
        <f t="array" ref="U350">IF($A350="", "", LET(bbgm_stat, INDEX(Players!$A349:$P349, MATCH(U$2, Players!$A$1:$P$1, 0)), perc_75, VLOOKUP(U$2, Percentiles!$A$45:$I$59, 6, FALSE), perc_90, VLOOKUP(U$2, Percentiles!$A$45:$I$59, 7, FALSE), perc_95, VLOOKUP(U$2, Percentiles!$A$45:$I$59, 8, FALSE), perc_85, perc_75 + (perc_90 - perc_75) * (2/3), converted_stat, '2K_Ratings'!U350, IF(bbgm_stat &gt;= perc_95, converted_stat * 3, IF(bbgm_stat &gt;= perc_90, converted_stat * 2, IF(bbgm_stat &gt;= perc_85, converted_stat * 1.5, converted_stat)))))</f>
        <v/>
      </c>
      <c r="V350" s="30" t="str">
        <f t="array" ref="V350">IF($A350="", "", LET(bbgm_stat, INDEX(Players!$A349:$P349, MATCH(V$2, Players!$A$1:$P$1, 0)), perc_75, VLOOKUP(V$2, Percentiles!$A$45:$I$59, 6, FALSE), perc_90, VLOOKUP(V$2, Percentiles!$A$45:$I$59, 7, FALSE), perc_95, VLOOKUP(V$2, Percentiles!$A$45:$I$59, 8, FALSE), perc_85, perc_75 + (perc_90 - perc_75) * (2/3), converted_stat, '2K_Ratings'!V350, IF(bbgm_stat &gt;= perc_95, converted_stat * 3, IF(bbgm_stat &gt;= perc_90, converted_stat * 2, IF(bbgm_stat &gt;= perc_85, converted_stat * 1.5, converted_stat)))))</f>
        <v/>
      </c>
      <c r="W350" s="30" t="str">
        <f t="array" ref="W350">IF($A350="", "", LET(bbgm_stat, INDEX(Players!$A349:$P349, MATCH(W$2, Players!$A$1:$P$1, 0)), perc_75, VLOOKUP(W$2, Percentiles!$A$45:$I$59, 6, FALSE), perc_90, VLOOKUP(W$2, Percentiles!$A$45:$I$59, 7, FALSE), perc_95, VLOOKUP(W$2, Percentiles!$A$45:$I$59, 8, FALSE), perc_85, perc_75 + (perc_90 - perc_75) * (2/3), converted_stat, '2K_Ratings'!W350, IF(bbgm_stat &gt;= perc_95, converted_stat * 3, IF(bbgm_stat &gt;= perc_90, converted_stat * 2, IF(bbgm_stat &gt;= perc_85, converted_stat * 1.5, converted_stat)))))</f>
        <v/>
      </c>
    </row>
    <row r="351">
      <c r="A351" s="30"/>
      <c r="B351" s="30" t="str">
        <f t="array" ref="B351">IF($A351="", "", LET(bbgm_stat, INDEX(Players!$A350:$P350, MATCH(B$2, Players!$A$1:$P$1, 0)), perc_75, VLOOKUP(B$2, Percentiles!$A$45:$I$59, 6, FALSE), perc_90, VLOOKUP(B$2, Percentiles!$A$45:$I$59, 7, FALSE), perc_95, VLOOKUP(B$2, Percentiles!$A$45:$I$59, 8, FALSE), perc_85, perc_75 + (perc_90 - perc_75) * (2/3), converted_stat, '2K_Ratings'!B351, IF(bbgm_stat &gt;= perc_95, converted_stat * 3, IF(bbgm_stat &gt;= perc_90, converted_stat * 2, IF(bbgm_stat &gt;= perc_85, converted_stat * 1.5, converted_stat)))))</f>
        <v/>
      </c>
      <c r="C351" s="30" t="str">
        <f t="array" ref="C351">IF($A351="", "", LET(bbgm_stat, INDEX(Players!$A350:$P350, MATCH(C$2, Players!$A$1:$P$1, 0)), perc_75, VLOOKUP(C$2, Percentiles!$A$45:$I$59, 6, FALSE), perc_90, VLOOKUP(C$2, Percentiles!$A$45:$I$59, 7, FALSE), perc_95, VLOOKUP(C$2, Percentiles!$A$45:$I$59, 8, FALSE), perc_85, perc_75 + (perc_90 - perc_75) * (2/3), converted_stat, '2K_Ratings'!C351, IF(bbgm_stat &gt;= perc_95, converted_stat * 3, IF(bbgm_stat &gt;= perc_90, converted_stat * 2, IF(bbgm_stat &gt;= perc_85, converted_stat * 1.5, converted_stat)))))</f>
        <v/>
      </c>
      <c r="D351" s="30" t="str">
        <f t="array" ref="D351">IF($A351="", "", LET(bbgm_stat, INDEX(Players!$A350:$P350, MATCH(D$2, Players!$A$1:$P$1, 0)), perc_75, VLOOKUP(D$2, Percentiles!$A$45:$I$59, 6, FALSE), perc_90, VLOOKUP(D$2, Percentiles!$A$45:$I$59, 7, FALSE), perc_95, VLOOKUP(D$2, Percentiles!$A$45:$I$59, 8, FALSE), perc_85, perc_75 + (perc_90 - perc_75) * (2/3), converted_stat, '2K_Ratings'!D351, IF(bbgm_stat &gt;= perc_95, converted_stat * 3, IF(bbgm_stat &gt;= perc_90, converted_stat * 2, IF(bbgm_stat &gt;= perc_85, converted_stat * 1.5, converted_stat)))))</f>
        <v/>
      </c>
      <c r="E351" s="30" t="str">
        <f t="array" ref="E351">IF($A351="", "", LET(bbgm_stat, INDEX(Players!$A350:$P350, MATCH(E$2, Players!$A$1:$P$1, 0)), perc_75, VLOOKUP(E$2, Percentiles!$A$45:$I$59, 6, FALSE), perc_90, VLOOKUP(E$2, Percentiles!$A$45:$I$59, 7, FALSE), perc_95, VLOOKUP(E$2, Percentiles!$A$45:$I$59, 8, FALSE), perc_85, perc_75 + (perc_90 - perc_75) * (2/3), converted_stat, '2K_Ratings'!E351, IF(bbgm_stat &gt;= perc_95, converted_stat * 3, IF(bbgm_stat &gt;= perc_90, converted_stat * 2, IF(bbgm_stat &gt;= perc_85, converted_stat * 1.5, converted_stat)))))</f>
        <v/>
      </c>
      <c r="F351" s="30" t="str">
        <f t="array" ref="F351">IF($A351="", "", LET(bbgm_stat, INDEX(Players!$A350:$P350, MATCH(F$2, Players!$A$1:$P$1, 0)), perc_75, VLOOKUP(F$2, Percentiles!$A$45:$I$59, 6, FALSE), perc_90, VLOOKUP(F$2, Percentiles!$A$45:$I$59, 7, FALSE), perc_95, VLOOKUP(F$2, Percentiles!$A$45:$I$59, 8, FALSE), perc_85, perc_75 + (perc_90 - perc_75) * (2/3), converted_stat, '2K_Ratings'!F351, IF(bbgm_stat &gt;= perc_95, converted_stat * 3, IF(bbgm_stat &gt;= perc_90, converted_stat * 2, IF(bbgm_stat &gt;= perc_85, converted_stat * 1.5, converted_stat)))))</f>
        <v/>
      </c>
      <c r="G351" s="30" t="str">
        <f t="array" ref="G351">IF($A351="", "", LET(bbgm_stat, INDEX(Players!$A350:$P350, MATCH(G$2, Players!$A$1:$P$1, 0)), perc_75, VLOOKUP(G$2, Percentiles!$A$45:$I$59, 6, FALSE), perc_90, VLOOKUP(G$2, Percentiles!$A$45:$I$59, 7, FALSE), perc_95, VLOOKUP(G$2, Percentiles!$A$45:$I$59, 8, FALSE), perc_85, perc_75 + (perc_90 - perc_75) * (2/3), converted_stat, '2K_Ratings'!G351, IF(bbgm_stat &gt;= perc_95, converted_stat * 3, IF(bbgm_stat &gt;= perc_90, converted_stat * 2, IF(bbgm_stat &gt;= perc_85, converted_stat * 1.5, converted_stat)))))</f>
        <v/>
      </c>
      <c r="H351" s="30" t="str">
        <f t="array" ref="H351">IF($A351="", "", LET(bbgm_stat, INDEX(Players!$A350:$P350, MATCH(H$2, Players!$A$1:$P$1, 0)), perc_75, VLOOKUP(H$2, Percentiles!$A$45:$I$59, 6, FALSE), perc_90, VLOOKUP(H$2, Percentiles!$A$45:$I$59, 7, FALSE), perc_95, VLOOKUP(H$2, Percentiles!$A$45:$I$59, 8, FALSE), perc_85, perc_75 + (perc_90 - perc_75) * (2/3), converted_stat, '2K_Ratings'!H351, IF(bbgm_stat &gt;= perc_95, converted_stat * 3, IF(bbgm_stat &gt;= perc_90, converted_stat * 2, IF(bbgm_stat &gt;= perc_85, converted_stat * 1.5, converted_stat)))))</f>
        <v/>
      </c>
      <c r="I351" s="30" t="str">
        <f t="array" ref="I351">IF($A351="", "", LET(bbgm_stat, INDEX(Players!$A350:$P350, MATCH(I$2, Players!$A$1:$P$1, 0)), perc_75, VLOOKUP(I$2, Percentiles!$A$45:$I$59, 6, FALSE), perc_90, VLOOKUP(I$2, Percentiles!$A$45:$I$59, 7, FALSE), perc_95, VLOOKUP(I$2, Percentiles!$A$45:$I$59, 8, FALSE), perc_85, perc_75 + (perc_90 - perc_75) * (2/3), converted_stat, '2K_Ratings'!I351, IF(bbgm_stat &gt;= perc_95, converted_stat * 3, IF(bbgm_stat &gt;= perc_90, converted_stat * 2, IF(bbgm_stat &gt;= perc_85, converted_stat * 1.5, converted_stat)))))</f>
        <v/>
      </c>
      <c r="J351" s="30" t="str">
        <f t="array" ref="J351">IF($A351="", "", LET(bbgm_stat, INDEX(Players!$A350:$P350, MATCH(J$2, Players!$A$1:$P$1, 0)), perc_75, VLOOKUP(J$2, Percentiles!$A$45:$I$59, 6, FALSE), perc_90, VLOOKUP(J$2, Percentiles!$A$45:$I$59, 7, FALSE), perc_95, VLOOKUP(J$2, Percentiles!$A$45:$I$59, 8, FALSE), perc_85, perc_75 + (perc_90 - perc_75) * (2/3), converted_stat, '2K_Ratings'!J351, IF(bbgm_stat &gt;= perc_95, converted_stat * 3, IF(bbgm_stat &gt;= perc_90, converted_stat * 2, IF(bbgm_stat &gt;= perc_85, converted_stat * 1.5, converted_stat)))))</f>
        <v/>
      </c>
      <c r="K351" s="30" t="str">
        <f t="array" ref="K351">IF($A351="", "", LET(bbgm_stat, INDEX(Players!$A350:$P350, MATCH(K$2, Players!$A$1:$P$1, 0)), perc_75, VLOOKUP(K$2, Percentiles!$A$45:$I$59, 6, FALSE), perc_90, VLOOKUP(K$2, Percentiles!$A$45:$I$59, 7, FALSE), perc_95, VLOOKUP(K$2, Percentiles!$A$45:$I$59, 8, FALSE), perc_85, perc_75 + (perc_90 - perc_75) * (2/3), converted_stat, '2K_Ratings'!K351, IF(bbgm_stat &gt;= perc_95, converted_stat * 3, IF(bbgm_stat &gt;= perc_90, converted_stat * 2, IF(bbgm_stat &gt;= perc_85, converted_stat * 1.5, converted_stat)))))</f>
        <v/>
      </c>
      <c r="L351" s="30" t="str">
        <f t="array" ref="L351">IF($A351="", "", LET(bbgm_stat, INDEX(Players!$A350:$P350, MATCH(L$2, Players!$A$1:$P$1, 0)), perc_75, VLOOKUP(L$2, Percentiles!$A$45:$I$59, 6, FALSE), perc_90, VLOOKUP(L$2, Percentiles!$A$45:$I$59, 7, FALSE), perc_95, VLOOKUP(L$2, Percentiles!$A$45:$I$59, 8, FALSE), perc_85, perc_75 + (perc_90 - perc_75) * (2/3), converted_stat, '2K_Ratings'!L351, IF(bbgm_stat &gt;= perc_95, converted_stat * 3, IF(bbgm_stat &gt;= perc_90, converted_stat * 2, IF(bbgm_stat &gt;= perc_85, converted_stat * 1.5, converted_stat)))))</f>
        <v/>
      </c>
      <c r="M351" s="30" t="str">
        <f t="array" ref="M351">IF($A351="", "", LET(bbgm_stat, INDEX(Players!$A350:$P350, MATCH(M$2, Players!$A$1:$P$1, 0)), perc_75, VLOOKUP(M$2, Percentiles!$A$45:$I$59, 6, FALSE), perc_90, VLOOKUP(M$2, Percentiles!$A$45:$I$59, 7, FALSE), perc_95, VLOOKUP(M$2, Percentiles!$A$45:$I$59, 8, FALSE), perc_85, perc_75 + (perc_90 - perc_75) * (2/3), converted_stat, '2K_Ratings'!M351, IF(bbgm_stat &gt;= perc_95, converted_stat * 3, IF(bbgm_stat &gt;= perc_90, converted_stat * 2, IF(bbgm_stat &gt;= perc_85, converted_stat * 1.5, converted_stat)))))</f>
        <v/>
      </c>
      <c r="N351" s="30" t="str">
        <f t="array" ref="N351">IF($A351="", "", LET(bbgm_stat, INDEX(Players!$A350:$P350, MATCH(N$2, Players!$A$1:$P$1, 0)), perc_75, VLOOKUP(N$2, Percentiles!$A$45:$I$59, 6, FALSE), perc_90, VLOOKUP(N$2, Percentiles!$A$45:$I$59, 7, FALSE), perc_95, VLOOKUP(N$2, Percentiles!$A$45:$I$59, 8, FALSE), perc_85, perc_75 + (perc_90 - perc_75) * (2/3), converted_stat, '2K_Ratings'!N351, IF(bbgm_stat &gt;= perc_95, converted_stat * 3, IF(bbgm_stat &gt;= perc_90, converted_stat * 2, IF(bbgm_stat &gt;= perc_85, converted_stat * 1.5, converted_stat)))))</f>
        <v/>
      </c>
      <c r="O351" s="30" t="str">
        <f t="array" ref="O351">IF($A351="", "", LET(bbgm_stat, INDEX(Players!$A350:$P350, MATCH(O$2, Players!$A$1:$P$1, 0)), perc_75, VLOOKUP(O$2, Percentiles!$A$45:$I$59, 6, FALSE), perc_90, VLOOKUP(O$2, Percentiles!$A$45:$I$59, 7, FALSE), perc_95, VLOOKUP(O$2, Percentiles!$A$45:$I$59, 8, FALSE), perc_85, perc_75 + (perc_90 - perc_75) * (2/3), converted_stat, '2K_Ratings'!O351, IF(bbgm_stat &gt;= perc_95, converted_stat * 3, IF(bbgm_stat &gt;= perc_90, converted_stat * 2, IF(bbgm_stat &gt;= perc_85, converted_stat * 1.5, converted_stat)))))</f>
        <v/>
      </c>
      <c r="P351" s="30" t="str">
        <f t="array" ref="P351">IF($A351="", "", LET(bbgm_stat, INDEX(Players!$A350:$P350, MATCH(P$2, Players!$A$1:$P$1, 0)), perc_75, VLOOKUP(P$2, Percentiles!$A$45:$I$59, 6, FALSE), perc_90, VLOOKUP(P$2, Percentiles!$A$45:$I$59, 7, FALSE), perc_95, VLOOKUP(P$2, Percentiles!$A$45:$I$59, 8, FALSE), perc_85, perc_75 + (perc_90 - perc_75) * (2/3), converted_stat, '2K_Ratings'!P351, IF(bbgm_stat &gt;= perc_95, converted_stat * 3, IF(bbgm_stat &gt;= perc_90, converted_stat * 2, IF(bbgm_stat &gt;= perc_85, converted_stat * 1.5, converted_stat)))))</f>
        <v/>
      </c>
      <c r="Q351" s="30" t="str">
        <f t="array" ref="Q351">IF($A351="", "", LET(bbgm_stat, INDEX(Players!$A350:$P350, MATCH(Q$2, Players!$A$1:$P$1, 0)), perc_75, VLOOKUP(Q$2, Percentiles!$A$45:$I$59, 6, FALSE), perc_90, VLOOKUP(Q$2, Percentiles!$A$45:$I$59, 7, FALSE), perc_95, VLOOKUP(Q$2, Percentiles!$A$45:$I$59, 8, FALSE), perc_85, perc_75 + (perc_90 - perc_75) * (2/3), converted_stat, '2K_Ratings'!Q351, IF(bbgm_stat &gt;= perc_95, converted_stat * 3, IF(bbgm_stat &gt;= perc_90, converted_stat * 2, IF(bbgm_stat &gt;= perc_85, converted_stat * 1.5, converted_stat)))))</f>
        <v/>
      </c>
      <c r="R351" s="30" t="str">
        <f t="array" ref="R351">IF($A351="", "", LET(bbgm_stat, INDEX(Players!$A350:$P350, MATCH(R$2, Players!$A$1:$P$1, 0)), perc_75, VLOOKUP(R$2, Percentiles!$A$45:$I$59, 6, FALSE), perc_90, VLOOKUP(R$2, Percentiles!$A$45:$I$59, 7, FALSE), perc_95, VLOOKUP(R$2, Percentiles!$A$45:$I$59, 8, FALSE), perc_85, perc_75 + (perc_90 - perc_75) * (2/3), converted_stat, '2K_Ratings'!R351, IF(bbgm_stat &gt;= perc_95, converted_stat * 3, IF(bbgm_stat &gt;= perc_90, converted_stat * 2, IF(bbgm_stat &gt;= perc_85, converted_stat * 1.5, converted_stat)))))</f>
        <v/>
      </c>
      <c r="S351" s="30" t="str">
        <f t="array" ref="S351">IF($A351="", "", LET(bbgm_stat, INDEX(Players!$A350:$P350, MATCH(S$2, Players!$A$1:$P$1, 0)), perc_75, VLOOKUP(S$2, Percentiles!$A$45:$I$59, 6, FALSE), perc_90, VLOOKUP(S$2, Percentiles!$A$45:$I$59, 7, FALSE), perc_95, VLOOKUP(S$2, Percentiles!$A$45:$I$59, 8, FALSE), perc_85, perc_75 + (perc_90 - perc_75) * (2/3), converted_stat, '2K_Ratings'!S351, IF(bbgm_stat &gt;= perc_95, converted_stat * 3, IF(bbgm_stat &gt;= perc_90, converted_stat * 2, IF(bbgm_stat &gt;= perc_85, converted_stat * 1.5, converted_stat)))))</f>
        <v/>
      </c>
      <c r="T351" s="30" t="str">
        <f t="array" ref="T351">IF($A351="", "", LET(bbgm_stat, INDEX(Players!$A350:$P350, MATCH(T$2, Players!$A$1:$P$1, 0)), perc_75, VLOOKUP(T$2, Percentiles!$A$45:$I$59, 6, FALSE), perc_90, VLOOKUP(T$2, Percentiles!$A$45:$I$59, 7, FALSE), perc_95, VLOOKUP(T$2, Percentiles!$A$45:$I$59, 8, FALSE), perc_85, perc_75 + (perc_90 - perc_75) * (2/3), converted_stat, '2K_Ratings'!T351, IF(bbgm_stat &gt;= perc_95, converted_stat * 3, IF(bbgm_stat &gt;= perc_90, converted_stat * 2, IF(bbgm_stat &gt;= perc_85, converted_stat * 1.5, converted_stat)))))</f>
        <v/>
      </c>
      <c r="U351" s="30" t="str">
        <f t="array" ref="U351">IF($A351="", "", LET(bbgm_stat, INDEX(Players!$A350:$P350, MATCH(U$2, Players!$A$1:$P$1, 0)), perc_75, VLOOKUP(U$2, Percentiles!$A$45:$I$59, 6, FALSE), perc_90, VLOOKUP(U$2, Percentiles!$A$45:$I$59, 7, FALSE), perc_95, VLOOKUP(U$2, Percentiles!$A$45:$I$59, 8, FALSE), perc_85, perc_75 + (perc_90 - perc_75) * (2/3), converted_stat, '2K_Ratings'!U351, IF(bbgm_stat &gt;= perc_95, converted_stat * 3, IF(bbgm_stat &gt;= perc_90, converted_stat * 2, IF(bbgm_stat &gt;= perc_85, converted_stat * 1.5, converted_stat)))))</f>
        <v/>
      </c>
      <c r="V351" s="30" t="str">
        <f t="array" ref="V351">IF($A351="", "", LET(bbgm_stat, INDEX(Players!$A350:$P350, MATCH(V$2, Players!$A$1:$P$1, 0)), perc_75, VLOOKUP(V$2, Percentiles!$A$45:$I$59, 6, FALSE), perc_90, VLOOKUP(V$2, Percentiles!$A$45:$I$59, 7, FALSE), perc_95, VLOOKUP(V$2, Percentiles!$A$45:$I$59, 8, FALSE), perc_85, perc_75 + (perc_90 - perc_75) * (2/3), converted_stat, '2K_Ratings'!V351, IF(bbgm_stat &gt;= perc_95, converted_stat * 3, IF(bbgm_stat &gt;= perc_90, converted_stat * 2, IF(bbgm_stat &gt;= perc_85, converted_stat * 1.5, converted_stat)))))</f>
        <v/>
      </c>
      <c r="W351" s="30" t="str">
        <f t="array" ref="W351">IF($A351="", "", LET(bbgm_stat, INDEX(Players!$A350:$P350, MATCH(W$2, Players!$A$1:$P$1, 0)), perc_75, VLOOKUP(W$2, Percentiles!$A$45:$I$59, 6, FALSE), perc_90, VLOOKUP(W$2, Percentiles!$A$45:$I$59, 7, FALSE), perc_95, VLOOKUP(W$2, Percentiles!$A$45:$I$59, 8, FALSE), perc_85, perc_75 + (perc_90 - perc_75) * (2/3), converted_stat, '2K_Ratings'!W351, IF(bbgm_stat &gt;= perc_95, converted_stat * 3, IF(bbgm_stat &gt;= perc_90, converted_stat * 2, IF(bbgm_stat &gt;= perc_85, converted_stat * 1.5, converted_stat)))))</f>
        <v/>
      </c>
    </row>
    <row r="352">
      <c r="A352" s="30"/>
      <c r="B352" s="30" t="str">
        <f t="array" ref="B352">IF($A352="", "", LET(bbgm_stat, INDEX(Players!$A351:$P351, MATCH(B$2, Players!$A$1:$P$1, 0)), perc_75, VLOOKUP(B$2, Percentiles!$A$45:$I$59, 6, FALSE), perc_90, VLOOKUP(B$2, Percentiles!$A$45:$I$59, 7, FALSE), perc_95, VLOOKUP(B$2, Percentiles!$A$45:$I$59, 8, FALSE), perc_85, perc_75 + (perc_90 - perc_75) * (2/3), converted_stat, '2K_Ratings'!B352, IF(bbgm_stat &gt;= perc_95, converted_stat * 3, IF(bbgm_stat &gt;= perc_90, converted_stat * 2, IF(bbgm_stat &gt;= perc_85, converted_stat * 1.5, converted_stat)))))</f>
        <v/>
      </c>
      <c r="C352" s="30" t="str">
        <f t="array" ref="C352">IF($A352="", "", LET(bbgm_stat, INDEX(Players!$A351:$P351, MATCH(C$2, Players!$A$1:$P$1, 0)), perc_75, VLOOKUP(C$2, Percentiles!$A$45:$I$59, 6, FALSE), perc_90, VLOOKUP(C$2, Percentiles!$A$45:$I$59, 7, FALSE), perc_95, VLOOKUP(C$2, Percentiles!$A$45:$I$59, 8, FALSE), perc_85, perc_75 + (perc_90 - perc_75) * (2/3), converted_stat, '2K_Ratings'!C352, IF(bbgm_stat &gt;= perc_95, converted_stat * 3, IF(bbgm_stat &gt;= perc_90, converted_stat * 2, IF(bbgm_stat &gt;= perc_85, converted_stat * 1.5, converted_stat)))))</f>
        <v/>
      </c>
      <c r="D352" s="30" t="str">
        <f t="array" ref="D352">IF($A352="", "", LET(bbgm_stat, INDEX(Players!$A351:$P351, MATCH(D$2, Players!$A$1:$P$1, 0)), perc_75, VLOOKUP(D$2, Percentiles!$A$45:$I$59, 6, FALSE), perc_90, VLOOKUP(D$2, Percentiles!$A$45:$I$59, 7, FALSE), perc_95, VLOOKUP(D$2, Percentiles!$A$45:$I$59, 8, FALSE), perc_85, perc_75 + (perc_90 - perc_75) * (2/3), converted_stat, '2K_Ratings'!D352, IF(bbgm_stat &gt;= perc_95, converted_stat * 3, IF(bbgm_stat &gt;= perc_90, converted_stat * 2, IF(bbgm_stat &gt;= perc_85, converted_stat * 1.5, converted_stat)))))</f>
        <v/>
      </c>
      <c r="E352" s="30" t="str">
        <f t="array" ref="E352">IF($A352="", "", LET(bbgm_stat, INDEX(Players!$A351:$P351, MATCH(E$2, Players!$A$1:$P$1, 0)), perc_75, VLOOKUP(E$2, Percentiles!$A$45:$I$59, 6, FALSE), perc_90, VLOOKUP(E$2, Percentiles!$A$45:$I$59, 7, FALSE), perc_95, VLOOKUP(E$2, Percentiles!$A$45:$I$59, 8, FALSE), perc_85, perc_75 + (perc_90 - perc_75) * (2/3), converted_stat, '2K_Ratings'!E352, IF(bbgm_stat &gt;= perc_95, converted_stat * 3, IF(bbgm_stat &gt;= perc_90, converted_stat * 2, IF(bbgm_stat &gt;= perc_85, converted_stat * 1.5, converted_stat)))))</f>
        <v/>
      </c>
      <c r="F352" s="30" t="str">
        <f t="array" ref="F352">IF($A352="", "", LET(bbgm_stat, INDEX(Players!$A351:$P351, MATCH(F$2, Players!$A$1:$P$1, 0)), perc_75, VLOOKUP(F$2, Percentiles!$A$45:$I$59, 6, FALSE), perc_90, VLOOKUP(F$2, Percentiles!$A$45:$I$59, 7, FALSE), perc_95, VLOOKUP(F$2, Percentiles!$A$45:$I$59, 8, FALSE), perc_85, perc_75 + (perc_90 - perc_75) * (2/3), converted_stat, '2K_Ratings'!F352, IF(bbgm_stat &gt;= perc_95, converted_stat * 3, IF(bbgm_stat &gt;= perc_90, converted_stat * 2, IF(bbgm_stat &gt;= perc_85, converted_stat * 1.5, converted_stat)))))</f>
        <v/>
      </c>
      <c r="G352" s="30" t="str">
        <f t="array" ref="G352">IF($A352="", "", LET(bbgm_stat, INDEX(Players!$A351:$P351, MATCH(G$2, Players!$A$1:$P$1, 0)), perc_75, VLOOKUP(G$2, Percentiles!$A$45:$I$59, 6, FALSE), perc_90, VLOOKUP(G$2, Percentiles!$A$45:$I$59, 7, FALSE), perc_95, VLOOKUP(G$2, Percentiles!$A$45:$I$59, 8, FALSE), perc_85, perc_75 + (perc_90 - perc_75) * (2/3), converted_stat, '2K_Ratings'!G352, IF(bbgm_stat &gt;= perc_95, converted_stat * 3, IF(bbgm_stat &gt;= perc_90, converted_stat * 2, IF(bbgm_stat &gt;= perc_85, converted_stat * 1.5, converted_stat)))))</f>
        <v/>
      </c>
      <c r="H352" s="30" t="str">
        <f t="array" ref="H352">IF($A352="", "", LET(bbgm_stat, INDEX(Players!$A351:$P351, MATCH(H$2, Players!$A$1:$P$1, 0)), perc_75, VLOOKUP(H$2, Percentiles!$A$45:$I$59, 6, FALSE), perc_90, VLOOKUP(H$2, Percentiles!$A$45:$I$59, 7, FALSE), perc_95, VLOOKUP(H$2, Percentiles!$A$45:$I$59, 8, FALSE), perc_85, perc_75 + (perc_90 - perc_75) * (2/3), converted_stat, '2K_Ratings'!H352, IF(bbgm_stat &gt;= perc_95, converted_stat * 3, IF(bbgm_stat &gt;= perc_90, converted_stat * 2, IF(bbgm_stat &gt;= perc_85, converted_stat * 1.5, converted_stat)))))</f>
        <v/>
      </c>
      <c r="I352" s="30" t="str">
        <f t="array" ref="I352">IF($A352="", "", LET(bbgm_stat, INDEX(Players!$A351:$P351, MATCH(I$2, Players!$A$1:$P$1, 0)), perc_75, VLOOKUP(I$2, Percentiles!$A$45:$I$59, 6, FALSE), perc_90, VLOOKUP(I$2, Percentiles!$A$45:$I$59, 7, FALSE), perc_95, VLOOKUP(I$2, Percentiles!$A$45:$I$59, 8, FALSE), perc_85, perc_75 + (perc_90 - perc_75) * (2/3), converted_stat, '2K_Ratings'!I352, IF(bbgm_stat &gt;= perc_95, converted_stat * 3, IF(bbgm_stat &gt;= perc_90, converted_stat * 2, IF(bbgm_stat &gt;= perc_85, converted_stat * 1.5, converted_stat)))))</f>
        <v/>
      </c>
      <c r="J352" s="30" t="str">
        <f t="array" ref="J352">IF($A352="", "", LET(bbgm_stat, INDEX(Players!$A351:$P351, MATCH(J$2, Players!$A$1:$P$1, 0)), perc_75, VLOOKUP(J$2, Percentiles!$A$45:$I$59, 6, FALSE), perc_90, VLOOKUP(J$2, Percentiles!$A$45:$I$59, 7, FALSE), perc_95, VLOOKUP(J$2, Percentiles!$A$45:$I$59, 8, FALSE), perc_85, perc_75 + (perc_90 - perc_75) * (2/3), converted_stat, '2K_Ratings'!J352, IF(bbgm_stat &gt;= perc_95, converted_stat * 3, IF(bbgm_stat &gt;= perc_90, converted_stat * 2, IF(bbgm_stat &gt;= perc_85, converted_stat * 1.5, converted_stat)))))</f>
        <v/>
      </c>
      <c r="K352" s="30" t="str">
        <f t="array" ref="K352">IF($A352="", "", LET(bbgm_stat, INDEX(Players!$A351:$P351, MATCH(K$2, Players!$A$1:$P$1, 0)), perc_75, VLOOKUP(K$2, Percentiles!$A$45:$I$59, 6, FALSE), perc_90, VLOOKUP(K$2, Percentiles!$A$45:$I$59, 7, FALSE), perc_95, VLOOKUP(K$2, Percentiles!$A$45:$I$59, 8, FALSE), perc_85, perc_75 + (perc_90 - perc_75) * (2/3), converted_stat, '2K_Ratings'!K352, IF(bbgm_stat &gt;= perc_95, converted_stat * 3, IF(bbgm_stat &gt;= perc_90, converted_stat * 2, IF(bbgm_stat &gt;= perc_85, converted_stat * 1.5, converted_stat)))))</f>
        <v/>
      </c>
      <c r="L352" s="30" t="str">
        <f t="array" ref="L352">IF($A352="", "", LET(bbgm_stat, INDEX(Players!$A351:$P351, MATCH(L$2, Players!$A$1:$P$1, 0)), perc_75, VLOOKUP(L$2, Percentiles!$A$45:$I$59, 6, FALSE), perc_90, VLOOKUP(L$2, Percentiles!$A$45:$I$59, 7, FALSE), perc_95, VLOOKUP(L$2, Percentiles!$A$45:$I$59, 8, FALSE), perc_85, perc_75 + (perc_90 - perc_75) * (2/3), converted_stat, '2K_Ratings'!L352, IF(bbgm_stat &gt;= perc_95, converted_stat * 3, IF(bbgm_stat &gt;= perc_90, converted_stat * 2, IF(bbgm_stat &gt;= perc_85, converted_stat * 1.5, converted_stat)))))</f>
        <v/>
      </c>
      <c r="M352" s="30" t="str">
        <f t="array" ref="M352">IF($A352="", "", LET(bbgm_stat, INDEX(Players!$A351:$P351, MATCH(M$2, Players!$A$1:$P$1, 0)), perc_75, VLOOKUP(M$2, Percentiles!$A$45:$I$59, 6, FALSE), perc_90, VLOOKUP(M$2, Percentiles!$A$45:$I$59, 7, FALSE), perc_95, VLOOKUP(M$2, Percentiles!$A$45:$I$59, 8, FALSE), perc_85, perc_75 + (perc_90 - perc_75) * (2/3), converted_stat, '2K_Ratings'!M352, IF(bbgm_stat &gt;= perc_95, converted_stat * 3, IF(bbgm_stat &gt;= perc_90, converted_stat * 2, IF(bbgm_stat &gt;= perc_85, converted_stat * 1.5, converted_stat)))))</f>
        <v/>
      </c>
      <c r="N352" s="30" t="str">
        <f t="array" ref="N352">IF($A352="", "", LET(bbgm_stat, INDEX(Players!$A351:$P351, MATCH(N$2, Players!$A$1:$P$1, 0)), perc_75, VLOOKUP(N$2, Percentiles!$A$45:$I$59, 6, FALSE), perc_90, VLOOKUP(N$2, Percentiles!$A$45:$I$59, 7, FALSE), perc_95, VLOOKUP(N$2, Percentiles!$A$45:$I$59, 8, FALSE), perc_85, perc_75 + (perc_90 - perc_75) * (2/3), converted_stat, '2K_Ratings'!N352, IF(bbgm_stat &gt;= perc_95, converted_stat * 3, IF(bbgm_stat &gt;= perc_90, converted_stat * 2, IF(bbgm_stat &gt;= perc_85, converted_stat * 1.5, converted_stat)))))</f>
        <v/>
      </c>
      <c r="O352" s="30" t="str">
        <f t="array" ref="O352">IF($A352="", "", LET(bbgm_stat, INDEX(Players!$A351:$P351, MATCH(O$2, Players!$A$1:$P$1, 0)), perc_75, VLOOKUP(O$2, Percentiles!$A$45:$I$59, 6, FALSE), perc_90, VLOOKUP(O$2, Percentiles!$A$45:$I$59, 7, FALSE), perc_95, VLOOKUP(O$2, Percentiles!$A$45:$I$59, 8, FALSE), perc_85, perc_75 + (perc_90 - perc_75) * (2/3), converted_stat, '2K_Ratings'!O352, IF(bbgm_stat &gt;= perc_95, converted_stat * 3, IF(bbgm_stat &gt;= perc_90, converted_stat * 2, IF(bbgm_stat &gt;= perc_85, converted_stat * 1.5, converted_stat)))))</f>
        <v/>
      </c>
      <c r="P352" s="30" t="str">
        <f t="array" ref="P352">IF($A352="", "", LET(bbgm_stat, INDEX(Players!$A351:$P351, MATCH(P$2, Players!$A$1:$P$1, 0)), perc_75, VLOOKUP(P$2, Percentiles!$A$45:$I$59, 6, FALSE), perc_90, VLOOKUP(P$2, Percentiles!$A$45:$I$59, 7, FALSE), perc_95, VLOOKUP(P$2, Percentiles!$A$45:$I$59, 8, FALSE), perc_85, perc_75 + (perc_90 - perc_75) * (2/3), converted_stat, '2K_Ratings'!P352, IF(bbgm_stat &gt;= perc_95, converted_stat * 3, IF(bbgm_stat &gt;= perc_90, converted_stat * 2, IF(bbgm_stat &gt;= perc_85, converted_stat * 1.5, converted_stat)))))</f>
        <v/>
      </c>
      <c r="Q352" s="30" t="str">
        <f t="array" ref="Q352">IF($A352="", "", LET(bbgm_stat, INDEX(Players!$A351:$P351, MATCH(Q$2, Players!$A$1:$P$1, 0)), perc_75, VLOOKUP(Q$2, Percentiles!$A$45:$I$59, 6, FALSE), perc_90, VLOOKUP(Q$2, Percentiles!$A$45:$I$59, 7, FALSE), perc_95, VLOOKUP(Q$2, Percentiles!$A$45:$I$59, 8, FALSE), perc_85, perc_75 + (perc_90 - perc_75) * (2/3), converted_stat, '2K_Ratings'!Q352, IF(bbgm_stat &gt;= perc_95, converted_stat * 3, IF(bbgm_stat &gt;= perc_90, converted_stat * 2, IF(bbgm_stat &gt;= perc_85, converted_stat * 1.5, converted_stat)))))</f>
        <v/>
      </c>
      <c r="R352" s="30" t="str">
        <f t="array" ref="R352">IF($A352="", "", LET(bbgm_stat, INDEX(Players!$A351:$P351, MATCH(R$2, Players!$A$1:$P$1, 0)), perc_75, VLOOKUP(R$2, Percentiles!$A$45:$I$59, 6, FALSE), perc_90, VLOOKUP(R$2, Percentiles!$A$45:$I$59, 7, FALSE), perc_95, VLOOKUP(R$2, Percentiles!$A$45:$I$59, 8, FALSE), perc_85, perc_75 + (perc_90 - perc_75) * (2/3), converted_stat, '2K_Ratings'!R352, IF(bbgm_stat &gt;= perc_95, converted_stat * 3, IF(bbgm_stat &gt;= perc_90, converted_stat * 2, IF(bbgm_stat &gt;= perc_85, converted_stat * 1.5, converted_stat)))))</f>
        <v/>
      </c>
      <c r="S352" s="30" t="str">
        <f t="array" ref="S352">IF($A352="", "", LET(bbgm_stat, INDEX(Players!$A351:$P351, MATCH(S$2, Players!$A$1:$P$1, 0)), perc_75, VLOOKUP(S$2, Percentiles!$A$45:$I$59, 6, FALSE), perc_90, VLOOKUP(S$2, Percentiles!$A$45:$I$59, 7, FALSE), perc_95, VLOOKUP(S$2, Percentiles!$A$45:$I$59, 8, FALSE), perc_85, perc_75 + (perc_90 - perc_75) * (2/3), converted_stat, '2K_Ratings'!S352, IF(bbgm_stat &gt;= perc_95, converted_stat * 3, IF(bbgm_stat &gt;= perc_90, converted_stat * 2, IF(bbgm_stat &gt;= perc_85, converted_stat * 1.5, converted_stat)))))</f>
        <v/>
      </c>
      <c r="T352" s="30" t="str">
        <f t="array" ref="T352">IF($A352="", "", LET(bbgm_stat, INDEX(Players!$A351:$P351, MATCH(T$2, Players!$A$1:$P$1, 0)), perc_75, VLOOKUP(T$2, Percentiles!$A$45:$I$59, 6, FALSE), perc_90, VLOOKUP(T$2, Percentiles!$A$45:$I$59, 7, FALSE), perc_95, VLOOKUP(T$2, Percentiles!$A$45:$I$59, 8, FALSE), perc_85, perc_75 + (perc_90 - perc_75) * (2/3), converted_stat, '2K_Ratings'!T352, IF(bbgm_stat &gt;= perc_95, converted_stat * 3, IF(bbgm_stat &gt;= perc_90, converted_stat * 2, IF(bbgm_stat &gt;= perc_85, converted_stat * 1.5, converted_stat)))))</f>
        <v/>
      </c>
      <c r="U352" s="30" t="str">
        <f t="array" ref="U352">IF($A352="", "", LET(bbgm_stat, INDEX(Players!$A351:$P351, MATCH(U$2, Players!$A$1:$P$1, 0)), perc_75, VLOOKUP(U$2, Percentiles!$A$45:$I$59, 6, FALSE), perc_90, VLOOKUP(U$2, Percentiles!$A$45:$I$59, 7, FALSE), perc_95, VLOOKUP(U$2, Percentiles!$A$45:$I$59, 8, FALSE), perc_85, perc_75 + (perc_90 - perc_75) * (2/3), converted_stat, '2K_Ratings'!U352, IF(bbgm_stat &gt;= perc_95, converted_stat * 3, IF(bbgm_stat &gt;= perc_90, converted_stat * 2, IF(bbgm_stat &gt;= perc_85, converted_stat * 1.5, converted_stat)))))</f>
        <v/>
      </c>
      <c r="V352" s="30" t="str">
        <f t="array" ref="V352">IF($A352="", "", LET(bbgm_stat, INDEX(Players!$A351:$P351, MATCH(V$2, Players!$A$1:$P$1, 0)), perc_75, VLOOKUP(V$2, Percentiles!$A$45:$I$59, 6, FALSE), perc_90, VLOOKUP(V$2, Percentiles!$A$45:$I$59, 7, FALSE), perc_95, VLOOKUP(V$2, Percentiles!$A$45:$I$59, 8, FALSE), perc_85, perc_75 + (perc_90 - perc_75) * (2/3), converted_stat, '2K_Ratings'!V352, IF(bbgm_stat &gt;= perc_95, converted_stat * 3, IF(bbgm_stat &gt;= perc_90, converted_stat * 2, IF(bbgm_stat &gt;= perc_85, converted_stat * 1.5, converted_stat)))))</f>
        <v/>
      </c>
      <c r="W352" s="30" t="str">
        <f t="array" ref="W352">IF($A352="", "", LET(bbgm_stat, INDEX(Players!$A351:$P351, MATCH(W$2, Players!$A$1:$P$1, 0)), perc_75, VLOOKUP(W$2, Percentiles!$A$45:$I$59, 6, FALSE), perc_90, VLOOKUP(W$2, Percentiles!$A$45:$I$59, 7, FALSE), perc_95, VLOOKUP(W$2, Percentiles!$A$45:$I$59, 8, FALSE), perc_85, perc_75 + (perc_90 - perc_75) * (2/3), converted_stat, '2K_Ratings'!W352, IF(bbgm_stat &gt;= perc_95, converted_stat * 3, IF(bbgm_stat &gt;= perc_90, converted_stat * 2, IF(bbgm_stat &gt;= perc_85, converted_stat * 1.5, converted_stat)))))</f>
        <v/>
      </c>
    </row>
    <row r="353">
      <c r="A353" s="30"/>
      <c r="B353" s="30" t="str">
        <f t="array" ref="B353">IF($A353="", "", LET(bbgm_stat, INDEX(Players!$A352:$P352, MATCH(B$2, Players!$A$1:$P$1, 0)), perc_75, VLOOKUP(B$2, Percentiles!$A$45:$I$59, 6, FALSE), perc_90, VLOOKUP(B$2, Percentiles!$A$45:$I$59, 7, FALSE), perc_95, VLOOKUP(B$2, Percentiles!$A$45:$I$59, 8, FALSE), perc_85, perc_75 + (perc_90 - perc_75) * (2/3), converted_stat, '2K_Ratings'!B353, IF(bbgm_stat &gt;= perc_95, converted_stat * 3, IF(bbgm_stat &gt;= perc_90, converted_stat * 2, IF(bbgm_stat &gt;= perc_85, converted_stat * 1.5, converted_stat)))))</f>
        <v/>
      </c>
      <c r="C353" s="30" t="str">
        <f t="array" ref="C353">IF($A353="", "", LET(bbgm_stat, INDEX(Players!$A352:$P352, MATCH(C$2, Players!$A$1:$P$1, 0)), perc_75, VLOOKUP(C$2, Percentiles!$A$45:$I$59, 6, FALSE), perc_90, VLOOKUP(C$2, Percentiles!$A$45:$I$59, 7, FALSE), perc_95, VLOOKUP(C$2, Percentiles!$A$45:$I$59, 8, FALSE), perc_85, perc_75 + (perc_90 - perc_75) * (2/3), converted_stat, '2K_Ratings'!C353, IF(bbgm_stat &gt;= perc_95, converted_stat * 3, IF(bbgm_stat &gt;= perc_90, converted_stat * 2, IF(bbgm_stat &gt;= perc_85, converted_stat * 1.5, converted_stat)))))</f>
        <v/>
      </c>
      <c r="D353" s="30" t="str">
        <f t="array" ref="D353">IF($A353="", "", LET(bbgm_stat, INDEX(Players!$A352:$P352, MATCH(D$2, Players!$A$1:$P$1, 0)), perc_75, VLOOKUP(D$2, Percentiles!$A$45:$I$59, 6, FALSE), perc_90, VLOOKUP(D$2, Percentiles!$A$45:$I$59, 7, FALSE), perc_95, VLOOKUP(D$2, Percentiles!$A$45:$I$59, 8, FALSE), perc_85, perc_75 + (perc_90 - perc_75) * (2/3), converted_stat, '2K_Ratings'!D353, IF(bbgm_stat &gt;= perc_95, converted_stat * 3, IF(bbgm_stat &gt;= perc_90, converted_stat * 2, IF(bbgm_stat &gt;= perc_85, converted_stat * 1.5, converted_stat)))))</f>
        <v/>
      </c>
      <c r="E353" s="30" t="str">
        <f t="array" ref="E353">IF($A353="", "", LET(bbgm_stat, INDEX(Players!$A352:$P352, MATCH(E$2, Players!$A$1:$P$1, 0)), perc_75, VLOOKUP(E$2, Percentiles!$A$45:$I$59, 6, FALSE), perc_90, VLOOKUP(E$2, Percentiles!$A$45:$I$59, 7, FALSE), perc_95, VLOOKUP(E$2, Percentiles!$A$45:$I$59, 8, FALSE), perc_85, perc_75 + (perc_90 - perc_75) * (2/3), converted_stat, '2K_Ratings'!E353, IF(bbgm_stat &gt;= perc_95, converted_stat * 3, IF(bbgm_stat &gt;= perc_90, converted_stat * 2, IF(bbgm_stat &gt;= perc_85, converted_stat * 1.5, converted_stat)))))</f>
        <v/>
      </c>
      <c r="F353" s="30" t="str">
        <f t="array" ref="F353">IF($A353="", "", LET(bbgm_stat, INDEX(Players!$A352:$P352, MATCH(F$2, Players!$A$1:$P$1, 0)), perc_75, VLOOKUP(F$2, Percentiles!$A$45:$I$59, 6, FALSE), perc_90, VLOOKUP(F$2, Percentiles!$A$45:$I$59, 7, FALSE), perc_95, VLOOKUP(F$2, Percentiles!$A$45:$I$59, 8, FALSE), perc_85, perc_75 + (perc_90 - perc_75) * (2/3), converted_stat, '2K_Ratings'!F353, IF(bbgm_stat &gt;= perc_95, converted_stat * 3, IF(bbgm_stat &gt;= perc_90, converted_stat * 2, IF(bbgm_stat &gt;= perc_85, converted_stat * 1.5, converted_stat)))))</f>
        <v/>
      </c>
      <c r="G353" s="30" t="str">
        <f t="array" ref="G353">IF($A353="", "", LET(bbgm_stat, INDEX(Players!$A352:$P352, MATCH(G$2, Players!$A$1:$P$1, 0)), perc_75, VLOOKUP(G$2, Percentiles!$A$45:$I$59, 6, FALSE), perc_90, VLOOKUP(G$2, Percentiles!$A$45:$I$59, 7, FALSE), perc_95, VLOOKUP(G$2, Percentiles!$A$45:$I$59, 8, FALSE), perc_85, perc_75 + (perc_90 - perc_75) * (2/3), converted_stat, '2K_Ratings'!G353, IF(bbgm_stat &gt;= perc_95, converted_stat * 3, IF(bbgm_stat &gt;= perc_90, converted_stat * 2, IF(bbgm_stat &gt;= perc_85, converted_stat * 1.5, converted_stat)))))</f>
        <v/>
      </c>
      <c r="H353" s="30" t="str">
        <f t="array" ref="H353">IF($A353="", "", LET(bbgm_stat, INDEX(Players!$A352:$P352, MATCH(H$2, Players!$A$1:$P$1, 0)), perc_75, VLOOKUP(H$2, Percentiles!$A$45:$I$59, 6, FALSE), perc_90, VLOOKUP(H$2, Percentiles!$A$45:$I$59, 7, FALSE), perc_95, VLOOKUP(H$2, Percentiles!$A$45:$I$59, 8, FALSE), perc_85, perc_75 + (perc_90 - perc_75) * (2/3), converted_stat, '2K_Ratings'!H353, IF(bbgm_stat &gt;= perc_95, converted_stat * 3, IF(bbgm_stat &gt;= perc_90, converted_stat * 2, IF(bbgm_stat &gt;= perc_85, converted_stat * 1.5, converted_stat)))))</f>
        <v/>
      </c>
      <c r="I353" s="30" t="str">
        <f t="array" ref="I353">IF($A353="", "", LET(bbgm_stat, INDEX(Players!$A352:$P352, MATCH(I$2, Players!$A$1:$P$1, 0)), perc_75, VLOOKUP(I$2, Percentiles!$A$45:$I$59, 6, FALSE), perc_90, VLOOKUP(I$2, Percentiles!$A$45:$I$59, 7, FALSE), perc_95, VLOOKUP(I$2, Percentiles!$A$45:$I$59, 8, FALSE), perc_85, perc_75 + (perc_90 - perc_75) * (2/3), converted_stat, '2K_Ratings'!I353, IF(bbgm_stat &gt;= perc_95, converted_stat * 3, IF(bbgm_stat &gt;= perc_90, converted_stat * 2, IF(bbgm_stat &gt;= perc_85, converted_stat * 1.5, converted_stat)))))</f>
        <v/>
      </c>
      <c r="J353" s="30" t="str">
        <f t="array" ref="J353">IF($A353="", "", LET(bbgm_stat, INDEX(Players!$A352:$P352, MATCH(J$2, Players!$A$1:$P$1, 0)), perc_75, VLOOKUP(J$2, Percentiles!$A$45:$I$59, 6, FALSE), perc_90, VLOOKUP(J$2, Percentiles!$A$45:$I$59, 7, FALSE), perc_95, VLOOKUP(J$2, Percentiles!$A$45:$I$59, 8, FALSE), perc_85, perc_75 + (perc_90 - perc_75) * (2/3), converted_stat, '2K_Ratings'!J353, IF(bbgm_stat &gt;= perc_95, converted_stat * 3, IF(bbgm_stat &gt;= perc_90, converted_stat * 2, IF(bbgm_stat &gt;= perc_85, converted_stat * 1.5, converted_stat)))))</f>
        <v/>
      </c>
      <c r="K353" s="30" t="str">
        <f t="array" ref="K353">IF($A353="", "", LET(bbgm_stat, INDEX(Players!$A352:$P352, MATCH(K$2, Players!$A$1:$P$1, 0)), perc_75, VLOOKUP(K$2, Percentiles!$A$45:$I$59, 6, FALSE), perc_90, VLOOKUP(K$2, Percentiles!$A$45:$I$59, 7, FALSE), perc_95, VLOOKUP(K$2, Percentiles!$A$45:$I$59, 8, FALSE), perc_85, perc_75 + (perc_90 - perc_75) * (2/3), converted_stat, '2K_Ratings'!K353, IF(bbgm_stat &gt;= perc_95, converted_stat * 3, IF(bbgm_stat &gt;= perc_90, converted_stat * 2, IF(bbgm_stat &gt;= perc_85, converted_stat * 1.5, converted_stat)))))</f>
        <v/>
      </c>
      <c r="L353" s="30" t="str">
        <f t="array" ref="L353">IF($A353="", "", LET(bbgm_stat, INDEX(Players!$A352:$P352, MATCH(L$2, Players!$A$1:$P$1, 0)), perc_75, VLOOKUP(L$2, Percentiles!$A$45:$I$59, 6, FALSE), perc_90, VLOOKUP(L$2, Percentiles!$A$45:$I$59, 7, FALSE), perc_95, VLOOKUP(L$2, Percentiles!$A$45:$I$59, 8, FALSE), perc_85, perc_75 + (perc_90 - perc_75) * (2/3), converted_stat, '2K_Ratings'!L353, IF(bbgm_stat &gt;= perc_95, converted_stat * 3, IF(bbgm_stat &gt;= perc_90, converted_stat * 2, IF(bbgm_stat &gt;= perc_85, converted_stat * 1.5, converted_stat)))))</f>
        <v/>
      </c>
      <c r="M353" s="30" t="str">
        <f t="array" ref="M353">IF($A353="", "", LET(bbgm_stat, INDEX(Players!$A352:$P352, MATCH(M$2, Players!$A$1:$P$1, 0)), perc_75, VLOOKUP(M$2, Percentiles!$A$45:$I$59, 6, FALSE), perc_90, VLOOKUP(M$2, Percentiles!$A$45:$I$59, 7, FALSE), perc_95, VLOOKUP(M$2, Percentiles!$A$45:$I$59, 8, FALSE), perc_85, perc_75 + (perc_90 - perc_75) * (2/3), converted_stat, '2K_Ratings'!M353, IF(bbgm_stat &gt;= perc_95, converted_stat * 3, IF(bbgm_stat &gt;= perc_90, converted_stat * 2, IF(bbgm_stat &gt;= perc_85, converted_stat * 1.5, converted_stat)))))</f>
        <v/>
      </c>
      <c r="N353" s="30" t="str">
        <f t="array" ref="N353">IF($A353="", "", LET(bbgm_stat, INDEX(Players!$A352:$P352, MATCH(N$2, Players!$A$1:$P$1, 0)), perc_75, VLOOKUP(N$2, Percentiles!$A$45:$I$59, 6, FALSE), perc_90, VLOOKUP(N$2, Percentiles!$A$45:$I$59, 7, FALSE), perc_95, VLOOKUP(N$2, Percentiles!$A$45:$I$59, 8, FALSE), perc_85, perc_75 + (perc_90 - perc_75) * (2/3), converted_stat, '2K_Ratings'!N353, IF(bbgm_stat &gt;= perc_95, converted_stat * 3, IF(bbgm_stat &gt;= perc_90, converted_stat * 2, IF(bbgm_stat &gt;= perc_85, converted_stat * 1.5, converted_stat)))))</f>
        <v/>
      </c>
      <c r="O353" s="30" t="str">
        <f t="array" ref="O353">IF($A353="", "", LET(bbgm_stat, INDEX(Players!$A352:$P352, MATCH(O$2, Players!$A$1:$P$1, 0)), perc_75, VLOOKUP(O$2, Percentiles!$A$45:$I$59, 6, FALSE), perc_90, VLOOKUP(O$2, Percentiles!$A$45:$I$59, 7, FALSE), perc_95, VLOOKUP(O$2, Percentiles!$A$45:$I$59, 8, FALSE), perc_85, perc_75 + (perc_90 - perc_75) * (2/3), converted_stat, '2K_Ratings'!O353, IF(bbgm_stat &gt;= perc_95, converted_stat * 3, IF(bbgm_stat &gt;= perc_90, converted_stat * 2, IF(bbgm_stat &gt;= perc_85, converted_stat * 1.5, converted_stat)))))</f>
        <v/>
      </c>
      <c r="P353" s="30" t="str">
        <f t="array" ref="P353">IF($A353="", "", LET(bbgm_stat, INDEX(Players!$A352:$P352, MATCH(P$2, Players!$A$1:$P$1, 0)), perc_75, VLOOKUP(P$2, Percentiles!$A$45:$I$59, 6, FALSE), perc_90, VLOOKUP(P$2, Percentiles!$A$45:$I$59, 7, FALSE), perc_95, VLOOKUP(P$2, Percentiles!$A$45:$I$59, 8, FALSE), perc_85, perc_75 + (perc_90 - perc_75) * (2/3), converted_stat, '2K_Ratings'!P353, IF(bbgm_stat &gt;= perc_95, converted_stat * 3, IF(bbgm_stat &gt;= perc_90, converted_stat * 2, IF(bbgm_stat &gt;= perc_85, converted_stat * 1.5, converted_stat)))))</f>
        <v/>
      </c>
      <c r="Q353" s="30" t="str">
        <f t="array" ref="Q353">IF($A353="", "", LET(bbgm_stat, INDEX(Players!$A352:$P352, MATCH(Q$2, Players!$A$1:$P$1, 0)), perc_75, VLOOKUP(Q$2, Percentiles!$A$45:$I$59, 6, FALSE), perc_90, VLOOKUP(Q$2, Percentiles!$A$45:$I$59, 7, FALSE), perc_95, VLOOKUP(Q$2, Percentiles!$A$45:$I$59, 8, FALSE), perc_85, perc_75 + (perc_90 - perc_75) * (2/3), converted_stat, '2K_Ratings'!Q353, IF(bbgm_stat &gt;= perc_95, converted_stat * 3, IF(bbgm_stat &gt;= perc_90, converted_stat * 2, IF(bbgm_stat &gt;= perc_85, converted_stat * 1.5, converted_stat)))))</f>
        <v/>
      </c>
      <c r="R353" s="30" t="str">
        <f t="array" ref="R353">IF($A353="", "", LET(bbgm_stat, INDEX(Players!$A352:$P352, MATCH(R$2, Players!$A$1:$P$1, 0)), perc_75, VLOOKUP(R$2, Percentiles!$A$45:$I$59, 6, FALSE), perc_90, VLOOKUP(R$2, Percentiles!$A$45:$I$59, 7, FALSE), perc_95, VLOOKUP(R$2, Percentiles!$A$45:$I$59, 8, FALSE), perc_85, perc_75 + (perc_90 - perc_75) * (2/3), converted_stat, '2K_Ratings'!R353, IF(bbgm_stat &gt;= perc_95, converted_stat * 3, IF(bbgm_stat &gt;= perc_90, converted_stat * 2, IF(bbgm_stat &gt;= perc_85, converted_stat * 1.5, converted_stat)))))</f>
        <v/>
      </c>
      <c r="S353" s="30" t="str">
        <f t="array" ref="S353">IF($A353="", "", LET(bbgm_stat, INDEX(Players!$A352:$P352, MATCH(S$2, Players!$A$1:$P$1, 0)), perc_75, VLOOKUP(S$2, Percentiles!$A$45:$I$59, 6, FALSE), perc_90, VLOOKUP(S$2, Percentiles!$A$45:$I$59, 7, FALSE), perc_95, VLOOKUP(S$2, Percentiles!$A$45:$I$59, 8, FALSE), perc_85, perc_75 + (perc_90 - perc_75) * (2/3), converted_stat, '2K_Ratings'!S353, IF(bbgm_stat &gt;= perc_95, converted_stat * 3, IF(bbgm_stat &gt;= perc_90, converted_stat * 2, IF(bbgm_stat &gt;= perc_85, converted_stat * 1.5, converted_stat)))))</f>
        <v/>
      </c>
      <c r="T353" s="30" t="str">
        <f t="array" ref="T353">IF($A353="", "", LET(bbgm_stat, INDEX(Players!$A352:$P352, MATCH(T$2, Players!$A$1:$P$1, 0)), perc_75, VLOOKUP(T$2, Percentiles!$A$45:$I$59, 6, FALSE), perc_90, VLOOKUP(T$2, Percentiles!$A$45:$I$59, 7, FALSE), perc_95, VLOOKUP(T$2, Percentiles!$A$45:$I$59, 8, FALSE), perc_85, perc_75 + (perc_90 - perc_75) * (2/3), converted_stat, '2K_Ratings'!T353, IF(bbgm_stat &gt;= perc_95, converted_stat * 3, IF(bbgm_stat &gt;= perc_90, converted_stat * 2, IF(bbgm_stat &gt;= perc_85, converted_stat * 1.5, converted_stat)))))</f>
        <v/>
      </c>
      <c r="U353" s="30" t="str">
        <f t="array" ref="U353">IF($A353="", "", LET(bbgm_stat, INDEX(Players!$A352:$P352, MATCH(U$2, Players!$A$1:$P$1, 0)), perc_75, VLOOKUP(U$2, Percentiles!$A$45:$I$59, 6, FALSE), perc_90, VLOOKUP(U$2, Percentiles!$A$45:$I$59, 7, FALSE), perc_95, VLOOKUP(U$2, Percentiles!$A$45:$I$59, 8, FALSE), perc_85, perc_75 + (perc_90 - perc_75) * (2/3), converted_stat, '2K_Ratings'!U353, IF(bbgm_stat &gt;= perc_95, converted_stat * 3, IF(bbgm_stat &gt;= perc_90, converted_stat * 2, IF(bbgm_stat &gt;= perc_85, converted_stat * 1.5, converted_stat)))))</f>
        <v/>
      </c>
      <c r="V353" s="30" t="str">
        <f t="array" ref="V353">IF($A353="", "", LET(bbgm_stat, INDEX(Players!$A352:$P352, MATCH(V$2, Players!$A$1:$P$1, 0)), perc_75, VLOOKUP(V$2, Percentiles!$A$45:$I$59, 6, FALSE), perc_90, VLOOKUP(V$2, Percentiles!$A$45:$I$59, 7, FALSE), perc_95, VLOOKUP(V$2, Percentiles!$A$45:$I$59, 8, FALSE), perc_85, perc_75 + (perc_90 - perc_75) * (2/3), converted_stat, '2K_Ratings'!V353, IF(bbgm_stat &gt;= perc_95, converted_stat * 3, IF(bbgm_stat &gt;= perc_90, converted_stat * 2, IF(bbgm_stat &gt;= perc_85, converted_stat * 1.5, converted_stat)))))</f>
        <v/>
      </c>
      <c r="W353" s="30" t="str">
        <f t="array" ref="W353">IF($A353="", "", LET(bbgm_stat, INDEX(Players!$A352:$P352, MATCH(W$2, Players!$A$1:$P$1, 0)), perc_75, VLOOKUP(W$2, Percentiles!$A$45:$I$59, 6, FALSE), perc_90, VLOOKUP(W$2, Percentiles!$A$45:$I$59, 7, FALSE), perc_95, VLOOKUP(W$2, Percentiles!$A$45:$I$59, 8, FALSE), perc_85, perc_75 + (perc_90 - perc_75) * (2/3), converted_stat, '2K_Ratings'!W353, IF(bbgm_stat &gt;= perc_95, converted_stat * 3, IF(bbgm_stat &gt;= perc_90, converted_stat * 2, IF(bbgm_stat &gt;= perc_85, converted_stat * 1.5, converted_stat)))))</f>
        <v/>
      </c>
    </row>
    <row r="354">
      <c r="A354" s="30"/>
      <c r="B354" s="30" t="str">
        <f t="array" ref="B354">IF($A354="", "", LET(bbgm_stat, INDEX(Players!$A353:$P353, MATCH(B$2, Players!$A$1:$P$1, 0)), perc_75, VLOOKUP(B$2, Percentiles!$A$45:$I$59, 6, FALSE), perc_90, VLOOKUP(B$2, Percentiles!$A$45:$I$59, 7, FALSE), perc_95, VLOOKUP(B$2, Percentiles!$A$45:$I$59, 8, FALSE), perc_85, perc_75 + (perc_90 - perc_75) * (2/3), converted_stat, '2K_Ratings'!B354, IF(bbgm_stat &gt;= perc_95, converted_stat * 3, IF(bbgm_stat &gt;= perc_90, converted_stat * 2, IF(bbgm_stat &gt;= perc_85, converted_stat * 1.5, converted_stat)))))</f>
        <v/>
      </c>
      <c r="C354" s="30" t="str">
        <f t="array" ref="C354">IF($A354="", "", LET(bbgm_stat, INDEX(Players!$A353:$P353, MATCH(C$2, Players!$A$1:$P$1, 0)), perc_75, VLOOKUP(C$2, Percentiles!$A$45:$I$59, 6, FALSE), perc_90, VLOOKUP(C$2, Percentiles!$A$45:$I$59, 7, FALSE), perc_95, VLOOKUP(C$2, Percentiles!$A$45:$I$59, 8, FALSE), perc_85, perc_75 + (perc_90 - perc_75) * (2/3), converted_stat, '2K_Ratings'!C354, IF(bbgm_stat &gt;= perc_95, converted_stat * 3, IF(bbgm_stat &gt;= perc_90, converted_stat * 2, IF(bbgm_stat &gt;= perc_85, converted_stat * 1.5, converted_stat)))))</f>
        <v/>
      </c>
      <c r="D354" s="30" t="str">
        <f t="array" ref="D354">IF($A354="", "", LET(bbgm_stat, INDEX(Players!$A353:$P353, MATCH(D$2, Players!$A$1:$P$1, 0)), perc_75, VLOOKUP(D$2, Percentiles!$A$45:$I$59, 6, FALSE), perc_90, VLOOKUP(D$2, Percentiles!$A$45:$I$59, 7, FALSE), perc_95, VLOOKUP(D$2, Percentiles!$A$45:$I$59, 8, FALSE), perc_85, perc_75 + (perc_90 - perc_75) * (2/3), converted_stat, '2K_Ratings'!D354, IF(bbgm_stat &gt;= perc_95, converted_stat * 3, IF(bbgm_stat &gt;= perc_90, converted_stat * 2, IF(bbgm_stat &gt;= perc_85, converted_stat * 1.5, converted_stat)))))</f>
        <v/>
      </c>
      <c r="E354" s="30" t="str">
        <f t="array" ref="E354">IF($A354="", "", LET(bbgm_stat, INDEX(Players!$A353:$P353, MATCH(E$2, Players!$A$1:$P$1, 0)), perc_75, VLOOKUP(E$2, Percentiles!$A$45:$I$59, 6, FALSE), perc_90, VLOOKUP(E$2, Percentiles!$A$45:$I$59, 7, FALSE), perc_95, VLOOKUP(E$2, Percentiles!$A$45:$I$59, 8, FALSE), perc_85, perc_75 + (perc_90 - perc_75) * (2/3), converted_stat, '2K_Ratings'!E354, IF(bbgm_stat &gt;= perc_95, converted_stat * 3, IF(bbgm_stat &gt;= perc_90, converted_stat * 2, IF(bbgm_stat &gt;= perc_85, converted_stat * 1.5, converted_stat)))))</f>
        <v/>
      </c>
      <c r="F354" s="30" t="str">
        <f t="array" ref="F354">IF($A354="", "", LET(bbgm_stat, INDEX(Players!$A353:$P353, MATCH(F$2, Players!$A$1:$P$1, 0)), perc_75, VLOOKUP(F$2, Percentiles!$A$45:$I$59, 6, FALSE), perc_90, VLOOKUP(F$2, Percentiles!$A$45:$I$59, 7, FALSE), perc_95, VLOOKUP(F$2, Percentiles!$A$45:$I$59, 8, FALSE), perc_85, perc_75 + (perc_90 - perc_75) * (2/3), converted_stat, '2K_Ratings'!F354, IF(bbgm_stat &gt;= perc_95, converted_stat * 3, IF(bbgm_stat &gt;= perc_90, converted_stat * 2, IF(bbgm_stat &gt;= perc_85, converted_stat * 1.5, converted_stat)))))</f>
        <v/>
      </c>
      <c r="G354" s="30" t="str">
        <f t="array" ref="G354">IF($A354="", "", LET(bbgm_stat, INDEX(Players!$A353:$P353, MATCH(G$2, Players!$A$1:$P$1, 0)), perc_75, VLOOKUP(G$2, Percentiles!$A$45:$I$59, 6, FALSE), perc_90, VLOOKUP(G$2, Percentiles!$A$45:$I$59, 7, FALSE), perc_95, VLOOKUP(G$2, Percentiles!$A$45:$I$59, 8, FALSE), perc_85, perc_75 + (perc_90 - perc_75) * (2/3), converted_stat, '2K_Ratings'!G354, IF(bbgm_stat &gt;= perc_95, converted_stat * 3, IF(bbgm_stat &gt;= perc_90, converted_stat * 2, IF(bbgm_stat &gt;= perc_85, converted_stat * 1.5, converted_stat)))))</f>
        <v/>
      </c>
      <c r="H354" s="30" t="str">
        <f t="array" ref="H354">IF($A354="", "", LET(bbgm_stat, INDEX(Players!$A353:$P353, MATCH(H$2, Players!$A$1:$P$1, 0)), perc_75, VLOOKUP(H$2, Percentiles!$A$45:$I$59, 6, FALSE), perc_90, VLOOKUP(H$2, Percentiles!$A$45:$I$59, 7, FALSE), perc_95, VLOOKUP(H$2, Percentiles!$A$45:$I$59, 8, FALSE), perc_85, perc_75 + (perc_90 - perc_75) * (2/3), converted_stat, '2K_Ratings'!H354, IF(bbgm_stat &gt;= perc_95, converted_stat * 3, IF(bbgm_stat &gt;= perc_90, converted_stat * 2, IF(bbgm_stat &gt;= perc_85, converted_stat * 1.5, converted_stat)))))</f>
        <v/>
      </c>
      <c r="I354" s="30" t="str">
        <f t="array" ref="I354">IF($A354="", "", LET(bbgm_stat, INDEX(Players!$A353:$P353, MATCH(I$2, Players!$A$1:$P$1, 0)), perc_75, VLOOKUP(I$2, Percentiles!$A$45:$I$59, 6, FALSE), perc_90, VLOOKUP(I$2, Percentiles!$A$45:$I$59, 7, FALSE), perc_95, VLOOKUP(I$2, Percentiles!$A$45:$I$59, 8, FALSE), perc_85, perc_75 + (perc_90 - perc_75) * (2/3), converted_stat, '2K_Ratings'!I354, IF(bbgm_stat &gt;= perc_95, converted_stat * 3, IF(bbgm_stat &gt;= perc_90, converted_stat * 2, IF(bbgm_stat &gt;= perc_85, converted_stat * 1.5, converted_stat)))))</f>
        <v/>
      </c>
      <c r="J354" s="30" t="str">
        <f t="array" ref="J354">IF($A354="", "", LET(bbgm_stat, INDEX(Players!$A353:$P353, MATCH(J$2, Players!$A$1:$P$1, 0)), perc_75, VLOOKUP(J$2, Percentiles!$A$45:$I$59, 6, FALSE), perc_90, VLOOKUP(J$2, Percentiles!$A$45:$I$59, 7, FALSE), perc_95, VLOOKUP(J$2, Percentiles!$A$45:$I$59, 8, FALSE), perc_85, perc_75 + (perc_90 - perc_75) * (2/3), converted_stat, '2K_Ratings'!J354, IF(bbgm_stat &gt;= perc_95, converted_stat * 3, IF(bbgm_stat &gt;= perc_90, converted_stat * 2, IF(bbgm_stat &gt;= perc_85, converted_stat * 1.5, converted_stat)))))</f>
        <v/>
      </c>
      <c r="K354" s="30" t="str">
        <f t="array" ref="K354">IF($A354="", "", LET(bbgm_stat, INDEX(Players!$A353:$P353, MATCH(K$2, Players!$A$1:$P$1, 0)), perc_75, VLOOKUP(K$2, Percentiles!$A$45:$I$59, 6, FALSE), perc_90, VLOOKUP(K$2, Percentiles!$A$45:$I$59, 7, FALSE), perc_95, VLOOKUP(K$2, Percentiles!$A$45:$I$59, 8, FALSE), perc_85, perc_75 + (perc_90 - perc_75) * (2/3), converted_stat, '2K_Ratings'!K354, IF(bbgm_stat &gt;= perc_95, converted_stat * 3, IF(bbgm_stat &gt;= perc_90, converted_stat * 2, IF(bbgm_stat &gt;= perc_85, converted_stat * 1.5, converted_stat)))))</f>
        <v/>
      </c>
      <c r="L354" s="30" t="str">
        <f t="array" ref="L354">IF($A354="", "", LET(bbgm_stat, INDEX(Players!$A353:$P353, MATCH(L$2, Players!$A$1:$P$1, 0)), perc_75, VLOOKUP(L$2, Percentiles!$A$45:$I$59, 6, FALSE), perc_90, VLOOKUP(L$2, Percentiles!$A$45:$I$59, 7, FALSE), perc_95, VLOOKUP(L$2, Percentiles!$A$45:$I$59, 8, FALSE), perc_85, perc_75 + (perc_90 - perc_75) * (2/3), converted_stat, '2K_Ratings'!L354, IF(bbgm_stat &gt;= perc_95, converted_stat * 3, IF(bbgm_stat &gt;= perc_90, converted_stat * 2, IF(bbgm_stat &gt;= perc_85, converted_stat * 1.5, converted_stat)))))</f>
        <v/>
      </c>
      <c r="M354" s="30" t="str">
        <f t="array" ref="M354">IF($A354="", "", LET(bbgm_stat, INDEX(Players!$A353:$P353, MATCH(M$2, Players!$A$1:$P$1, 0)), perc_75, VLOOKUP(M$2, Percentiles!$A$45:$I$59, 6, FALSE), perc_90, VLOOKUP(M$2, Percentiles!$A$45:$I$59, 7, FALSE), perc_95, VLOOKUP(M$2, Percentiles!$A$45:$I$59, 8, FALSE), perc_85, perc_75 + (perc_90 - perc_75) * (2/3), converted_stat, '2K_Ratings'!M354, IF(bbgm_stat &gt;= perc_95, converted_stat * 3, IF(bbgm_stat &gt;= perc_90, converted_stat * 2, IF(bbgm_stat &gt;= perc_85, converted_stat * 1.5, converted_stat)))))</f>
        <v/>
      </c>
      <c r="N354" s="30" t="str">
        <f t="array" ref="N354">IF($A354="", "", LET(bbgm_stat, INDEX(Players!$A353:$P353, MATCH(N$2, Players!$A$1:$P$1, 0)), perc_75, VLOOKUP(N$2, Percentiles!$A$45:$I$59, 6, FALSE), perc_90, VLOOKUP(N$2, Percentiles!$A$45:$I$59, 7, FALSE), perc_95, VLOOKUP(N$2, Percentiles!$A$45:$I$59, 8, FALSE), perc_85, perc_75 + (perc_90 - perc_75) * (2/3), converted_stat, '2K_Ratings'!N354, IF(bbgm_stat &gt;= perc_95, converted_stat * 3, IF(bbgm_stat &gt;= perc_90, converted_stat * 2, IF(bbgm_stat &gt;= perc_85, converted_stat * 1.5, converted_stat)))))</f>
        <v/>
      </c>
      <c r="O354" s="30" t="str">
        <f t="array" ref="O354">IF($A354="", "", LET(bbgm_stat, INDEX(Players!$A353:$P353, MATCH(O$2, Players!$A$1:$P$1, 0)), perc_75, VLOOKUP(O$2, Percentiles!$A$45:$I$59, 6, FALSE), perc_90, VLOOKUP(O$2, Percentiles!$A$45:$I$59, 7, FALSE), perc_95, VLOOKUP(O$2, Percentiles!$A$45:$I$59, 8, FALSE), perc_85, perc_75 + (perc_90 - perc_75) * (2/3), converted_stat, '2K_Ratings'!O354, IF(bbgm_stat &gt;= perc_95, converted_stat * 3, IF(bbgm_stat &gt;= perc_90, converted_stat * 2, IF(bbgm_stat &gt;= perc_85, converted_stat * 1.5, converted_stat)))))</f>
        <v/>
      </c>
      <c r="P354" s="30" t="str">
        <f t="array" ref="P354">IF($A354="", "", LET(bbgm_stat, INDEX(Players!$A353:$P353, MATCH(P$2, Players!$A$1:$P$1, 0)), perc_75, VLOOKUP(P$2, Percentiles!$A$45:$I$59, 6, FALSE), perc_90, VLOOKUP(P$2, Percentiles!$A$45:$I$59, 7, FALSE), perc_95, VLOOKUP(P$2, Percentiles!$A$45:$I$59, 8, FALSE), perc_85, perc_75 + (perc_90 - perc_75) * (2/3), converted_stat, '2K_Ratings'!P354, IF(bbgm_stat &gt;= perc_95, converted_stat * 3, IF(bbgm_stat &gt;= perc_90, converted_stat * 2, IF(bbgm_stat &gt;= perc_85, converted_stat * 1.5, converted_stat)))))</f>
        <v/>
      </c>
      <c r="Q354" s="30" t="str">
        <f t="array" ref="Q354">IF($A354="", "", LET(bbgm_stat, INDEX(Players!$A353:$P353, MATCH(Q$2, Players!$A$1:$P$1, 0)), perc_75, VLOOKUP(Q$2, Percentiles!$A$45:$I$59, 6, FALSE), perc_90, VLOOKUP(Q$2, Percentiles!$A$45:$I$59, 7, FALSE), perc_95, VLOOKUP(Q$2, Percentiles!$A$45:$I$59, 8, FALSE), perc_85, perc_75 + (perc_90 - perc_75) * (2/3), converted_stat, '2K_Ratings'!Q354, IF(bbgm_stat &gt;= perc_95, converted_stat * 3, IF(bbgm_stat &gt;= perc_90, converted_stat * 2, IF(bbgm_stat &gt;= perc_85, converted_stat * 1.5, converted_stat)))))</f>
        <v/>
      </c>
      <c r="R354" s="30" t="str">
        <f t="array" ref="R354">IF($A354="", "", LET(bbgm_stat, INDEX(Players!$A353:$P353, MATCH(R$2, Players!$A$1:$P$1, 0)), perc_75, VLOOKUP(R$2, Percentiles!$A$45:$I$59, 6, FALSE), perc_90, VLOOKUP(R$2, Percentiles!$A$45:$I$59, 7, FALSE), perc_95, VLOOKUP(R$2, Percentiles!$A$45:$I$59, 8, FALSE), perc_85, perc_75 + (perc_90 - perc_75) * (2/3), converted_stat, '2K_Ratings'!R354, IF(bbgm_stat &gt;= perc_95, converted_stat * 3, IF(bbgm_stat &gt;= perc_90, converted_stat * 2, IF(bbgm_stat &gt;= perc_85, converted_stat * 1.5, converted_stat)))))</f>
        <v/>
      </c>
      <c r="S354" s="30" t="str">
        <f t="array" ref="S354">IF($A354="", "", LET(bbgm_stat, INDEX(Players!$A353:$P353, MATCH(S$2, Players!$A$1:$P$1, 0)), perc_75, VLOOKUP(S$2, Percentiles!$A$45:$I$59, 6, FALSE), perc_90, VLOOKUP(S$2, Percentiles!$A$45:$I$59, 7, FALSE), perc_95, VLOOKUP(S$2, Percentiles!$A$45:$I$59, 8, FALSE), perc_85, perc_75 + (perc_90 - perc_75) * (2/3), converted_stat, '2K_Ratings'!S354, IF(bbgm_stat &gt;= perc_95, converted_stat * 3, IF(bbgm_stat &gt;= perc_90, converted_stat * 2, IF(bbgm_stat &gt;= perc_85, converted_stat * 1.5, converted_stat)))))</f>
        <v/>
      </c>
      <c r="T354" s="30" t="str">
        <f t="array" ref="T354">IF($A354="", "", LET(bbgm_stat, INDEX(Players!$A353:$P353, MATCH(T$2, Players!$A$1:$P$1, 0)), perc_75, VLOOKUP(T$2, Percentiles!$A$45:$I$59, 6, FALSE), perc_90, VLOOKUP(T$2, Percentiles!$A$45:$I$59, 7, FALSE), perc_95, VLOOKUP(T$2, Percentiles!$A$45:$I$59, 8, FALSE), perc_85, perc_75 + (perc_90 - perc_75) * (2/3), converted_stat, '2K_Ratings'!T354, IF(bbgm_stat &gt;= perc_95, converted_stat * 3, IF(bbgm_stat &gt;= perc_90, converted_stat * 2, IF(bbgm_stat &gt;= perc_85, converted_stat * 1.5, converted_stat)))))</f>
        <v/>
      </c>
      <c r="U354" s="30" t="str">
        <f t="array" ref="U354">IF($A354="", "", LET(bbgm_stat, INDEX(Players!$A353:$P353, MATCH(U$2, Players!$A$1:$P$1, 0)), perc_75, VLOOKUP(U$2, Percentiles!$A$45:$I$59, 6, FALSE), perc_90, VLOOKUP(U$2, Percentiles!$A$45:$I$59, 7, FALSE), perc_95, VLOOKUP(U$2, Percentiles!$A$45:$I$59, 8, FALSE), perc_85, perc_75 + (perc_90 - perc_75) * (2/3), converted_stat, '2K_Ratings'!U354, IF(bbgm_stat &gt;= perc_95, converted_stat * 3, IF(bbgm_stat &gt;= perc_90, converted_stat * 2, IF(bbgm_stat &gt;= perc_85, converted_stat * 1.5, converted_stat)))))</f>
        <v/>
      </c>
      <c r="V354" s="30" t="str">
        <f t="array" ref="V354">IF($A354="", "", LET(bbgm_stat, INDEX(Players!$A353:$P353, MATCH(V$2, Players!$A$1:$P$1, 0)), perc_75, VLOOKUP(V$2, Percentiles!$A$45:$I$59, 6, FALSE), perc_90, VLOOKUP(V$2, Percentiles!$A$45:$I$59, 7, FALSE), perc_95, VLOOKUP(V$2, Percentiles!$A$45:$I$59, 8, FALSE), perc_85, perc_75 + (perc_90 - perc_75) * (2/3), converted_stat, '2K_Ratings'!V354, IF(bbgm_stat &gt;= perc_95, converted_stat * 3, IF(bbgm_stat &gt;= perc_90, converted_stat * 2, IF(bbgm_stat &gt;= perc_85, converted_stat * 1.5, converted_stat)))))</f>
        <v/>
      </c>
      <c r="W354" s="30" t="str">
        <f t="array" ref="W354">IF($A354="", "", LET(bbgm_stat, INDEX(Players!$A353:$P353, MATCH(W$2, Players!$A$1:$P$1, 0)), perc_75, VLOOKUP(W$2, Percentiles!$A$45:$I$59, 6, FALSE), perc_90, VLOOKUP(W$2, Percentiles!$A$45:$I$59, 7, FALSE), perc_95, VLOOKUP(W$2, Percentiles!$A$45:$I$59, 8, FALSE), perc_85, perc_75 + (perc_90 - perc_75) * (2/3), converted_stat, '2K_Ratings'!W354, IF(bbgm_stat &gt;= perc_95, converted_stat * 3, IF(bbgm_stat &gt;= perc_90, converted_stat * 2, IF(bbgm_stat &gt;= perc_85, converted_stat * 1.5, converted_stat)))))</f>
        <v/>
      </c>
    </row>
    <row r="355">
      <c r="A355" s="30"/>
      <c r="B355" s="30" t="str">
        <f t="array" ref="B355">IF($A355="", "", LET(bbgm_stat, INDEX(Players!$A354:$P354, MATCH(B$2, Players!$A$1:$P$1, 0)), perc_75, VLOOKUP(B$2, Percentiles!$A$45:$I$59, 6, FALSE), perc_90, VLOOKUP(B$2, Percentiles!$A$45:$I$59, 7, FALSE), perc_95, VLOOKUP(B$2, Percentiles!$A$45:$I$59, 8, FALSE), perc_85, perc_75 + (perc_90 - perc_75) * (2/3), converted_stat, '2K_Ratings'!B355, IF(bbgm_stat &gt;= perc_95, converted_stat * 3, IF(bbgm_stat &gt;= perc_90, converted_stat * 2, IF(bbgm_stat &gt;= perc_85, converted_stat * 1.5, converted_stat)))))</f>
        <v/>
      </c>
      <c r="C355" s="30" t="str">
        <f t="array" ref="C355">IF($A355="", "", LET(bbgm_stat, INDEX(Players!$A354:$P354, MATCH(C$2, Players!$A$1:$P$1, 0)), perc_75, VLOOKUP(C$2, Percentiles!$A$45:$I$59, 6, FALSE), perc_90, VLOOKUP(C$2, Percentiles!$A$45:$I$59, 7, FALSE), perc_95, VLOOKUP(C$2, Percentiles!$A$45:$I$59, 8, FALSE), perc_85, perc_75 + (perc_90 - perc_75) * (2/3), converted_stat, '2K_Ratings'!C355, IF(bbgm_stat &gt;= perc_95, converted_stat * 3, IF(bbgm_stat &gt;= perc_90, converted_stat * 2, IF(bbgm_stat &gt;= perc_85, converted_stat * 1.5, converted_stat)))))</f>
        <v/>
      </c>
      <c r="D355" s="30" t="str">
        <f t="array" ref="D355">IF($A355="", "", LET(bbgm_stat, INDEX(Players!$A354:$P354, MATCH(D$2, Players!$A$1:$P$1, 0)), perc_75, VLOOKUP(D$2, Percentiles!$A$45:$I$59, 6, FALSE), perc_90, VLOOKUP(D$2, Percentiles!$A$45:$I$59, 7, FALSE), perc_95, VLOOKUP(D$2, Percentiles!$A$45:$I$59, 8, FALSE), perc_85, perc_75 + (perc_90 - perc_75) * (2/3), converted_stat, '2K_Ratings'!D355, IF(bbgm_stat &gt;= perc_95, converted_stat * 3, IF(bbgm_stat &gt;= perc_90, converted_stat * 2, IF(bbgm_stat &gt;= perc_85, converted_stat * 1.5, converted_stat)))))</f>
        <v/>
      </c>
      <c r="E355" s="30" t="str">
        <f t="array" ref="E355">IF($A355="", "", LET(bbgm_stat, INDEX(Players!$A354:$P354, MATCH(E$2, Players!$A$1:$P$1, 0)), perc_75, VLOOKUP(E$2, Percentiles!$A$45:$I$59, 6, FALSE), perc_90, VLOOKUP(E$2, Percentiles!$A$45:$I$59, 7, FALSE), perc_95, VLOOKUP(E$2, Percentiles!$A$45:$I$59, 8, FALSE), perc_85, perc_75 + (perc_90 - perc_75) * (2/3), converted_stat, '2K_Ratings'!E355, IF(bbgm_stat &gt;= perc_95, converted_stat * 3, IF(bbgm_stat &gt;= perc_90, converted_stat * 2, IF(bbgm_stat &gt;= perc_85, converted_stat * 1.5, converted_stat)))))</f>
        <v/>
      </c>
      <c r="F355" s="30" t="str">
        <f t="array" ref="F355">IF($A355="", "", LET(bbgm_stat, INDEX(Players!$A354:$P354, MATCH(F$2, Players!$A$1:$P$1, 0)), perc_75, VLOOKUP(F$2, Percentiles!$A$45:$I$59, 6, FALSE), perc_90, VLOOKUP(F$2, Percentiles!$A$45:$I$59, 7, FALSE), perc_95, VLOOKUP(F$2, Percentiles!$A$45:$I$59, 8, FALSE), perc_85, perc_75 + (perc_90 - perc_75) * (2/3), converted_stat, '2K_Ratings'!F355, IF(bbgm_stat &gt;= perc_95, converted_stat * 3, IF(bbgm_stat &gt;= perc_90, converted_stat * 2, IF(bbgm_stat &gt;= perc_85, converted_stat * 1.5, converted_stat)))))</f>
        <v/>
      </c>
      <c r="G355" s="30" t="str">
        <f t="array" ref="G355">IF($A355="", "", LET(bbgm_stat, INDEX(Players!$A354:$P354, MATCH(G$2, Players!$A$1:$P$1, 0)), perc_75, VLOOKUP(G$2, Percentiles!$A$45:$I$59, 6, FALSE), perc_90, VLOOKUP(G$2, Percentiles!$A$45:$I$59, 7, FALSE), perc_95, VLOOKUP(G$2, Percentiles!$A$45:$I$59, 8, FALSE), perc_85, perc_75 + (perc_90 - perc_75) * (2/3), converted_stat, '2K_Ratings'!G355, IF(bbgm_stat &gt;= perc_95, converted_stat * 3, IF(bbgm_stat &gt;= perc_90, converted_stat * 2, IF(bbgm_stat &gt;= perc_85, converted_stat * 1.5, converted_stat)))))</f>
        <v/>
      </c>
      <c r="H355" s="30" t="str">
        <f t="array" ref="H355">IF($A355="", "", LET(bbgm_stat, INDEX(Players!$A354:$P354, MATCH(H$2, Players!$A$1:$P$1, 0)), perc_75, VLOOKUP(H$2, Percentiles!$A$45:$I$59, 6, FALSE), perc_90, VLOOKUP(H$2, Percentiles!$A$45:$I$59, 7, FALSE), perc_95, VLOOKUP(H$2, Percentiles!$A$45:$I$59, 8, FALSE), perc_85, perc_75 + (perc_90 - perc_75) * (2/3), converted_stat, '2K_Ratings'!H355, IF(bbgm_stat &gt;= perc_95, converted_stat * 3, IF(bbgm_stat &gt;= perc_90, converted_stat * 2, IF(bbgm_stat &gt;= perc_85, converted_stat * 1.5, converted_stat)))))</f>
        <v/>
      </c>
      <c r="I355" s="30" t="str">
        <f t="array" ref="I355">IF($A355="", "", LET(bbgm_stat, INDEX(Players!$A354:$P354, MATCH(I$2, Players!$A$1:$P$1, 0)), perc_75, VLOOKUP(I$2, Percentiles!$A$45:$I$59, 6, FALSE), perc_90, VLOOKUP(I$2, Percentiles!$A$45:$I$59, 7, FALSE), perc_95, VLOOKUP(I$2, Percentiles!$A$45:$I$59, 8, FALSE), perc_85, perc_75 + (perc_90 - perc_75) * (2/3), converted_stat, '2K_Ratings'!I355, IF(bbgm_stat &gt;= perc_95, converted_stat * 3, IF(bbgm_stat &gt;= perc_90, converted_stat * 2, IF(bbgm_stat &gt;= perc_85, converted_stat * 1.5, converted_stat)))))</f>
        <v/>
      </c>
      <c r="J355" s="30" t="str">
        <f t="array" ref="J355">IF($A355="", "", LET(bbgm_stat, INDEX(Players!$A354:$P354, MATCH(J$2, Players!$A$1:$P$1, 0)), perc_75, VLOOKUP(J$2, Percentiles!$A$45:$I$59, 6, FALSE), perc_90, VLOOKUP(J$2, Percentiles!$A$45:$I$59, 7, FALSE), perc_95, VLOOKUP(J$2, Percentiles!$A$45:$I$59, 8, FALSE), perc_85, perc_75 + (perc_90 - perc_75) * (2/3), converted_stat, '2K_Ratings'!J355, IF(bbgm_stat &gt;= perc_95, converted_stat * 3, IF(bbgm_stat &gt;= perc_90, converted_stat * 2, IF(bbgm_stat &gt;= perc_85, converted_stat * 1.5, converted_stat)))))</f>
        <v/>
      </c>
      <c r="K355" s="30" t="str">
        <f t="array" ref="K355">IF($A355="", "", LET(bbgm_stat, INDEX(Players!$A354:$P354, MATCH(K$2, Players!$A$1:$P$1, 0)), perc_75, VLOOKUP(K$2, Percentiles!$A$45:$I$59, 6, FALSE), perc_90, VLOOKUP(K$2, Percentiles!$A$45:$I$59, 7, FALSE), perc_95, VLOOKUP(K$2, Percentiles!$A$45:$I$59, 8, FALSE), perc_85, perc_75 + (perc_90 - perc_75) * (2/3), converted_stat, '2K_Ratings'!K355, IF(bbgm_stat &gt;= perc_95, converted_stat * 3, IF(bbgm_stat &gt;= perc_90, converted_stat * 2, IF(bbgm_stat &gt;= perc_85, converted_stat * 1.5, converted_stat)))))</f>
        <v/>
      </c>
      <c r="L355" s="30" t="str">
        <f t="array" ref="L355">IF($A355="", "", LET(bbgm_stat, INDEX(Players!$A354:$P354, MATCH(L$2, Players!$A$1:$P$1, 0)), perc_75, VLOOKUP(L$2, Percentiles!$A$45:$I$59, 6, FALSE), perc_90, VLOOKUP(L$2, Percentiles!$A$45:$I$59, 7, FALSE), perc_95, VLOOKUP(L$2, Percentiles!$A$45:$I$59, 8, FALSE), perc_85, perc_75 + (perc_90 - perc_75) * (2/3), converted_stat, '2K_Ratings'!L355, IF(bbgm_stat &gt;= perc_95, converted_stat * 3, IF(bbgm_stat &gt;= perc_90, converted_stat * 2, IF(bbgm_stat &gt;= perc_85, converted_stat * 1.5, converted_stat)))))</f>
        <v/>
      </c>
      <c r="M355" s="30" t="str">
        <f t="array" ref="M355">IF($A355="", "", LET(bbgm_stat, INDEX(Players!$A354:$P354, MATCH(M$2, Players!$A$1:$P$1, 0)), perc_75, VLOOKUP(M$2, Percentiles!$A$45:$I$59, 6, FALSE), perc_90, VLOOKUP(M$2, Percentiles!$A$45:$I$59, 7, FALSE), perc_95, VLOOKUP(M$2, Percentiles!$A$45:$I$59, 8, FALSE), perc_85, perc_75 + (perc_90 - perc_75) * (2/3), converted_stat, '2K_Ratings'!M355, IF(bbgm_stat &gt;= perc_95, converted_stat * 3, IF(bbgm_stat &gt;= perc_90, converted_stat * 2, IF(bbgm_stat &gt;= perc_85, converted_stat * 1.5, converted_stat)))))</f>
        <v/>
      </c>
      <c r="N355" s="30" t="str">
        <f t="array" ref="N355">IF($A355="", "", LET(bbgm_stat, INDEX(Players!$A354:$P354, MATCH(N$2, Players!$A$1:$P$1, 0)), perc_75, VLOOKUP(N$2, Percentiles!$A$45:$I$59, 6, FALSE), perc_90, VLOOKUP(N$2, Percentiles!$A$45:$I$59, 7, FALSE), perc_95, VLOOKUP(N$2, Percentiles!$A$45:$I$59, 8, FALSE), perc_85, perc_75 + (perc_90 - perc_75) * (2/3), converted_stat, '2K_Ratings'!N355, IF(bbgm_stat &gt;= perc_95, converted_stat * 3, IF(bbgm_stat &gt;= perc_90, converted_stat * 2, IF(bbgm_stat &gt;= perc_85, converted_stat * 1.5, converted_stat)))))</f>
        <v/>
      </c>
      <c r="O355" s="30" t="str">
        <f t="array" ref="O355">IF($A355="", "", LET(bbgm_stat, INDEX(Players!$A354:$P354, MATCH(O$2, Players!$A$1:$P$1, 0)), perc_75, VLOOKUP(O$2, Percentiles!$A$45:$I$59, 6, FALSE), perc_90, VLOOKUP(O$2, Percentiles!$A$45:$I$59, 7, FALSE), perc_95, VLOOKUP(O$2, Percentiles!$A$45:$I$59, 8, FALSE), perc_85, perc_75 + (perc_90 - perc_75) * (2/3), converted_stat, '2K_Ratings'!O355, IF(bbgm_stat &gt;= perc_95, converted_stat * 3, IF(bbgm_stat &gt;= perc_90, converted_stat * 2, IF(bbgm_stat &gt;= perc_85, converted_stat * 1.5, converted_stat)))))</f>
        <v/>
      </c>
      <c r="P355" s="30" t="str">
        <f t="array" ref="P355">IF($A355="", "", LET(bbgm_stat, INDEX(Players!$A354:$P354, MATCH(P$2, Players!$A$1:$P$1, 0)), perc_75, VLOOKUP(P$2, Percentiles!$A$45:$I$59, 6, FALSE), perc_90, VLOOKUP(P$2, Percentiles!$A$45:$I$59, 7, FALSE), perc_95, VLOOKUP(P$2, Percentiles!$A$45:$I$59, 8, FALSE), perc_85, perc_75 + (perc_90 - perc_75) * (2/3), converted_stat, '2K_Ratings'!P355, IF(bbgm_stat &gt;= perc_95, converted_stat * 3, IF(bbgm_stat &gt;= perc_90, converted_stat * 2, IF(bbgm_stat &gt;= perc_85, converted_stat * 1.5, converted_stat)))))</f>
        <v/>
      </c>
      <c r="Q355" s="30" t="str">
        <f t="array" ref="Q355">IF($A355="", "", LET(bbgm_stat, INDEX(Players!$A354:$P354, MATCH(Q$2, Players!$A$1:$P$1, 0)), perc_75, VLOOKUP(Q$2, Percentiles!$A$45:$I$59, 6, FALSE), perc_90, VLOOKUP(Q$2, Percentiles!$A$45:$I$59, 7, FALSE), perc_95, VLOOKUP(Q$2, Percentiles!$A$45:$I$59, 8, FALSE), perc_85, perc_75 + (perc_90 - perc_75) * (2/3), converted_stat, '2K_Ratings'!Q355, IF(bbgm_stat &gt;= perc_95, converted_stat * 3, IF(bbgm_stat &gt;= perc_90, converted_stat * 2, IF(bbgm_stat &gt;= perc_85, converted_stat * 1.5, converted_stat)))))</f>
        <v/>
      </c>
      <c r="R355" s="30" t="str">
        <f t="array" ref="R355">IF($A355="", "", LET(bbgm_stat, INDEX(Players!$A354:$P354, MATCH(R$2, Players!$A$1:$P$1, 0)), perc_75, VLOOKUP(R$2, Percentiles!$A$45:$I$59, 6, FALSE), perc_90, VLOOKUP(R$2, Percentiles!$A$45:$I$59, 7, FALSE), perc_95, VLOOKUP(R$2, Percentiles!$A$45:$I$59, 8, FALSE), perc_85, perc_75 + (perc_90 - perc_75) * (2/3), converted_stat, '2K_Ratings'!R355, IF(bbgm_stat &gt;= perc_95, converted_stat * 3, IF(bbgm_stat &gt;= perc_90, converted_stat * 2, IF(bbgm_stat &gt;= perc_85, converted_stat * 1.5, converted_stat)))))</f>
        <v/>
      </c>
      <c r="S355" s="30" t="str">
        <f t="array" ref="S355">IF($A355="", "", LET(bbgm_stat, INDEX(Players!$A354:$P354, MATCH(S$2, Players!$A$1:$P$1, 0)), perc_75, VLOOKUP(S$2, Percentiles!$A$45:$I$59, 6, FALSE), perc_90, VLOOKUP(S$2, Percentiles!$A$45:$I$59, 7, FALSE), perc_95, VLOOKUP(S$2, Percentiles!$A$45:$I$59, 8, FALSE), perc_85, perc_75 + (perc_90 - perc_75) * (2/3), converted_stat, '2K_Ratings'!S355, IF(bbgm_stat &gt;= perc_95, converted_stat * 3, IF(bbgm_stat &gt;= perc_90, converted_stat * 2, IF(bbgm_stat &gt;= perc_85, converted_stat * 1.5, converted_stat)))))</f>
        <v/>
      </c>
      <c r="T355" s="30" t="str">
        <f t="array" ref="T355">IF($A355="", "", LET(bbgm_stat, INDEX(Players!$A354:$P354, MATCH(T$2, Players!$A$1:$P$1, 0)), perc_75, VLOOKUP(T$2, Percentiles!$A$45:$I$59, 6, FALSE), perc_90, VLOOKUP(T$2, Percentiles!$A$45:$I$59, 7, FALSE), perc_95, VLOOKUP(T$2, Percentiles!$A$45:$I$59, 8, FALSE), perc_85, perc_75 + (perc_90 - perc_75) * (2/3), converted_stat, '2K_Ratings'!T355, IF(bbgm_stat &gt;= perc_95, converted_stat * 3, IF(bbgm_stat &gt;= perc_90, converted_stat * 2, IF(bbgm_stat &gt;= perc_85, converted_stat * 1.5, converted_stat)))))</f>
        <v/>
      </c>
      <c r="U355" s="30" t="str">
        <f t="array" ref="U355">IF($A355="", "", LET(bbgm_stat, INDEX(Players!$A354:$P354, MATCH(U$2, Players!$A$1:$P$1, 0)), perc_75, VLOOKUP(U$2, Percentiles!$A$45:$I$59, 6, FALSE), perc_90, VLOOKUP(U$2, Percentiles!$A$45:$I$59, 7, FALSE), perc_95, VLOOKUP(U$2, Percentiles!$A$45:$I$59, 8, FALSE), perc_85, perc_75 + (perc_90 - perc_75) * (2/3), converted_stat, '2K_Ratings'!U355, IF(bbgm_stat &gt;= perc_95, converted_stat * 3, IF(bbgm_stat &gt;= perc_90, converted_stat * 2, IF(bbgm_stat &gt;= perc_85, converted_stat * 1.5, converted_stat)))))</f>
        <v/>
      </c>
      <c r="V355" s="30" t="str">
        <f t="array" ref="V355">IF($A355="", "", LET(bbgm_stat, INDEX(Players!$A354:$P354, MATCH(V$2, Players!$A$1:$P$1, 0)), perc_75, VLOOKUP(V$2, Percentiles!$A$45:$I$59, 6, FALSE), perc_90, VLOOKUP(V$2, Percentiles!$A$45:$I$59, 7, FALSE), perc_95, VLOOKUP(V$2, Percentiles!$A$45:$I$59, 8, FALSE), perc_85, perc_75 + (perc_90 - perc_75) * (2/3), converted_stat, '2K_Ratings'!V355, IF(bbgm_stat &gt;= perc_95, converted_stat * 3, IF(bbgm_stat &gt;= perc_90, converted_stat * 2, IF(bbgm_stat &gt;= perc_85, converted_stat * 1.5, converted_stat)))))</f>
        <v/>
      </c>
      <c r="W355" s="30" t="str">
        <f t="array" ref="W355">IF($A355="", "", LET(bbgm_stat, INDEX(Players!$A354:$P354, MATCH(W$2, Players!$A$1:$P$1, 0)), perc_75, VLOOKUP(W$2, Percentiles!$A$45:$I$59, 6, FALSE), perc_90, VLOOKUP(W$2, Percentiles!$A$45:$I$59, 7, FALSE), perc_95, VLOOKUP(W$2, Percentiles!$A$45:$I$59, 8, FALSE), perc_85, perc_75 + (perc_90 - perc_75) * (2/3), converted_stat, '2K_Ratings'!W355, IF(bbgm_stat &gt;= perc_95, converted_stat * 3, IF(bbgm_stat &gt;= perc_90, converted_stat * 2, IF(bbgm_stat &gt;= perc_85, converted_stat * 1.5, converted_stat)))))</f>
        <v/>
      </c>
    </row>
    <row r="356">
      <c r="A356" s="30"/>
      <c r="B356" s="30" t="str">
        <f t="array" ref="B356">IF($A356="", "", LET(bbgm_stat, INDEX(Players!$A355:$P355, MATCH(B$2, Players!$A$1:$P$1, 0)), perc_75, VLOOKUP(B$2, Percentiles!$A$45:$I$59, 6, FALSE), perc_90, VLOOKUP(B$2, Percentiles!$A$45:$I$59, 7, FALSE), perc_95, VLOOKUP(B$2, Percentiles!$A$45:$I$59, 8, FALSE), perc_85, perc_75 + (perc_90 - perc_75) * (2/3), converted_stat, '2K_Ratings'!B356, IF(bbgm_stat &gt;= perc_95, converted_stat * 3, IF(bbgm_stat &gt;= perc_90, converted_stat * 2, IF(bbgm_stat &gt;= perc_85, converted_stat * 1.5, converted_stat)))))</f>
        <v/>
      </c>
      <c r="C356" s="30" t="str">
        <f t="array" ref="C356">IF($A356="", "", LET(bbgm_stat, INDEX(Players!$A355:$P355, MATCH(C$2, Players!$A$1:$P$1, 0)), perc_75, VLOOKUP(C$2, Percentiles!$A$45:$I$59, 6, FALSE), perc_90, VLOOKUP(C$2, Percentiles!$A$45:$I$59, 7, FALSE), perc_95, VLOOKUP(C$2, Percentiles!$A$45:$I$59, 8, FALSE), perc_85, perc_75 + (perc_90 - perc_75) * (2/3), converted_stat, '2K_Ratings'!C356, IF(bbgm_stat &gt;= perc_95, converted_stat * 3, IF(bbgm_stat &gt;= perc_90, converted_stat * 2, IF(bbgm_stat &gt;= perc_85, converted_stat * 1.5, converted_stat)))))</f>
        <v/>
      </c>
      <c r="D356" s="30" t="str">
        <f t="array" ref="D356">IF($A356="", "", LET(bbgm_stat, INDEX(Players!$A355:$P355, MATCH(D$2, Players!$A$1:$P$1, 0)), perc_75, VLOOKUP(D$2, Percentiles!$A$45:$I$59, 6, FALSE), perc_90, VLOOKUP(D$2, Percentiles!$A$45:$I$59, 7, FALSE), perc_95, VLOOKUP(D$2, Percentiles!$A$45:$I$59, 8, FALSE), perc_85, perc_75 + (perc_90 - perc_75) * (2/3), converted_stat, '2K_Ratings'!D356, IF(bbgm_stat &gt;= perc_95, converted_stat * 3, IF(bbgm_stat &gt;= perc_90, converted_stat * 2, IF(bbgm_stat &gt;= perc_85, converted_stat * 1.5, converted_stat)))))</f>
        <v/>
      </c>
      <c r="E356" s="30" t="str">
        <f t="array" ref="E356">IF($A356="", "", LET(bbgm_stat, INDEX(Players!$A355:$P355, MATCH(E$2, Players!$A$1:$P$1, 0)), perc_75, VLOOKUP(E$2, Percentiles!$A$45:$I$59, 6, FALSE), perc_90, VLOOKUP(E$2, Percentiles!$A$45:$I$59, 7, FALSE), perc_95, VLOOKUP(E$2, Percentiles!$A$45:$I$59, 8, FALSE), perc_85, perc_75 + (perc_90 - perc_75) * (2/3), converted_stat, '2K_Ratings'!E356, IF(bbgm_stat &gt;= perc_95, converted_stat * 3, IF(bbgm_stat &gt;= perc_90, converted_stat * 2, IF(bbgm_stat &gt;= perc_85, converted_stat * 1.5, converted_stat)))))</f>
        <v/>
      </c>
      <c r="F356" s="30" t="str">
        <f t="array" ref="F356">IF($A356="", "", LET(bbgm_stat, INDEX(Players!$A355:$P355, MATCH(F$2, Players!$A$1:$P$1, 0)), perc_75, VLOOKUP(F$2, Percentiles!$A$45:$I$59, 6, FALSE), perc_90, VLOOKUP(F$2, Percentiles!$A$45:$I$59, 7, FALSE), perc_95, VLOOKUP(F$2, Percentiles!$A$45:$I$59, 8, FALSE), perc_85, perc_75 + (perc_90 - perc_75) * (2/3), converted_stat, '2K_Ratings'!F356, IF(bbgm_stat &gt;= perc_95, converted_stat * 3, IF(bbgm_stat &gt;= perc_90, converted_stat * 2, IF(bbgm_stat &gt;= perc_85, converted_stat * 1.5, converted_stat)))))</f>
        <v/>
      </c>
      <c r="G356" s="30" t="str">
        <f t="array" ref="G356">IF($A356="", "", LET(bbgm_stat, INDEX(Players!$A355:$P355, MATCH(G$2, Players!$A$1:$P$1, 0)), perc_75, VLOOKUP(G$2, Percentiles!$A$45:$I$59, 6, FALSE), perc_90, VLOOKUP(G$2, Percentiles!$A$45:$I$59, 7, FALSE), perc_95, VLOOKUP(G$2, Percentiles!$A$45:$I$59, 8, FALSE), perc_85, perc_75 + (perc_90 - perc_75) * (2/3), converted_stat, '2K_Ratings'!G356, IF(bbgm_stat &gt;= perc_95, converted_stat * 3, IF(bbgm_stat &gt;= perc_90, converted_stat * 2, IF(bbgm_stat &gt;= perc_85, converted_stat * 1.5, converted_stat)))))</f>
        <v/>
      </c>
      <c r="H356" s="30" t="str">
        <f t="array" ref="H356">IF($A356="", "", LET(bbgm_stat, INDEX(Players!$A355:$P355, MATCH(H$2, Players!$A$1:$P$1, 0)), perc_75, VLOOKUP(H$2, Percentiles!$A$45:$I$59, 6, FALSE), perc_90, VLOOKUP(H$2, Percentiles!$A$45:$I$59, 7, FALSE), perc_95, VLOOKUP(H$2, Percentiles!$A$45:$I$59, 8, FALSE), perc_85, perc_75 + (perc_90 - perc_75) * (2/3), converted_stat, '2K_Ratings'!H356, IF(bbgm_stat &gt;= perc_95, converted_stat * 3, IF(bbgm_stat &gt;= perc_90, converted_stat * 2, IF(bbgm_stat &gt;= perc_85, converted_stat * 1.5, converted_stat)))))</f>
        <v/>
      </c>
      <c r="I356" s="30" t="str">
        <f t="array" ref="I356">IF($A356="", "", LET(bbgm_stat, INDEX(Players!$A355:$P355, MATCH(I$2, Players!$A$1:$P$1, 0)), perc_75, VLOOKUP(I$2, Percentiles!$A$45:$I$59, 6, FALSE), perc_90, VLOOKUP(I$2, Percentiles!$A$45:$I$59, 7, FALSE), perc_95, VLOOKUP(I$2, Percentiles!$A$45:$I$59, 8, FALSE), perc_85, perc_75 + (perc_90 - perc_75) * (2/3), converted_stat, '2K_Ratings'!I356, IF(bbgm_stat &gt;= perc_95, converted_stat * 3, IF(bbgm_stat &gt;= perc_90, converted_stat * 2, IF(bbgm_stat &gt;= perc_85, converted_stat * 1.5, converted_stat)))))</f>
        <v/>
      </c>
      <c r="J356" s="30" t="str">
        <f t="array" ref="J356">IF($A356="", "", LET(bbgm_stat, INDEX(Players!$A355:$P355, MATCH(J$2, Players!$A$1:$P$1, 0)), perc_75, VLOOKUP(J$2, Percentiles!$A$45:$I$59, 6, FALSE), perc_90, VLOOKUP(J$2, Percentiles!$A$45:$I$59, 7, FALSE), perc_95, VLOOKUP(J$2, Percentiles!$A$45:$I$59, 8, FALSE), perc_85, perc_75 + (perc_90 - perc_75) * (2/3), converted_stat, '2K_Ratings'!J356, IF(bbgm_stat &gt;= perc_95, converted_stat * 3, IF(bbgm_stat &gt;= perc_90, converted_stat * 2, IF(bbgm_stat &gt;= perc_85, converted_stat * 1.5, converted_stat)))))</f>
        <v/>
      </c>
      <c r="K356" s="30" t="str">
        <f t="array" ref="K356">IF($A356="", "", LET(bbgm_stat, INDEX(Players!$A355:$P355, MATCH(K$2, Players!$A$1:$P$1, 0)), perc_75, VLOOKUP(K$2, Percentiles!$A$45:$I$59, 6, FALSE), perc_90, VLOOKUP(K$2, Percentiles!$A$45:$I$59, 7, FALSE), perc_95, VLOOKUP(K$2, Percentiles!$A$45:$I$59, 8, FALSE), perc_85, perc_75 + (perc_90 - perc_75) * (2/3), converted_stat, '2K_Ratings'!K356, IF(bbgm_stat &gt;= perc_95, converted_stat * 3, IF(bbgm_stat &gt;= perc_90, converted_stat * 2, IF(bbgm_stat &gt;= perc_85, converted_stat * 1.5, converted_stat)))))</f>
        <v/>
      </c>
      <c r="L356" s="30" t="str">
        <f t="array" ref="L356">IF($A356="", "", LET(bbgm_stat, INDEX(Players!$A355:$P355, MATCH(L$2, Players!$A$1:$P$1, 0)), perc_75, VLOOKUP(L$2, Percentiles!$A$45:$I$59, 6, FALSE), perc_90, VLOOKUP(L$2, Percentiles!$A$45:$I$59, 7, FALSE), perc_95, VLOOKUP(L$2, Percentiles!$A$45:$I$59, 8, FALSE), perc_85, perc_75 + (perc_90 - perc_75) * (2/3), converted_stat, '2K_Ratings'!L356, IF(bbgm_stat &gt;= perc_95, converted_stat * 3, IF(bbgm_stat &gt;= perc_90, converted_stat * 2, IF(bbgm_stat &gt;= perc_85, converted_stat * 1.5, converted_stat)))))</f>
        <v/>
      </c>
      <c r="M356" s="30" t="str">
        <f t="array" ref="M356">IF($A356="", "", LET(bbgm_stat, INDEX(Players!$A355:$P355, MATCH(M$2, Players!$A$1:$P$1, 0)), perc_75, VLOOKUP(M$2, Percentiles!$A$45:$I$59, 6, FALSE), perc_90, VLOOKUP(M$2, Percentiles!$A$45:$I$59, 7, FALSE), perc_95, VLOOKUP(M$2, Percentiles!$A$45:$I$59, 8, FALSE), perc_85, perc_75 + (perc_90 - perc_75) * (2/3), converted_stat, '2K_Ratings'!M356, IF(bbgm_stat &gt;= perc_95, converted_stat * 3, IF(bbgm_stat &gt;= perc_90, converted_stat * 2, IF(bbgm_stat &gt;= perc_85, converted_stat * 1.5, converted_stat)))))</f>
        <v/>
      </c>
      <c r="N356" s="30" t="str">
        <f t="array" ref="N356">IF($A356="", "", LET(bbgm_stat, INDEX(Players!$A355:$P355, MATCH(N$2, Players!$A$1:$P$1, 0)), perc_75, VLOOKUP(N$2, Percentiles!$A$45:$I$59, 6, FALSE), perc_90, VLOOKUP(N$2, Percentiles!$A$45:$I$59, 7, FALSE), perc_95, VLOOKUP(N$2, Percentiles!$A$45:$I$59, 8, FALSE), perc_85, perc_75 + (perc_90 - perc_75) * (2/3), converted_stat, '2K_Ratings'!N356, IF(bbgm_stat &gt;= perc_95, converted_stat * 3, IF(bbgm_stat &gt;= perc_90, converted_stat * 2, IF(bbgm_stat &gt;= perc_85, converted_stat * 1.5, converted_stat)))))</f>
        <v/>
      </c>
      <c r="O356" s="30" t="str">
        <f t="array" ref="O356">IF($A356="", "", LET(bbgm_stat, INDEX(Players!$A355:$P355, MATCH(O$2, Players!$A$1:$P$1, 0)), perc_75, VLOOKUP(O$2, Percentiles!$A$45:$I$59, 6, FALSE), perc_90, VLOOKUP(O$2, Percentiles!$A$45:$I$59, 7, FALSE), perc_95, VLOOKUP(O$2, Percentiles!$A$45:$I$59, 8, FALSE), perc_85, perc_75 + (perc_90 - perc_75) * (2/3), converted_stat, '2K_Ratings'!O356, IF(bbgm_stat &gt;= perc_95, converted_stat * 3, IF(bbgm_stat &gt;= perc_90, converted_stat * 2, IF(bbgm_stat &gt;= perc_85, converted_stat * 1.5, converted_stat)))))</f>
        <v/>
      </c>
      <c r="P356" s="30" t="str">
        <f t="array" ref="P356">IF($A356="", "", LET(bbgm_stat, INDEX(Players!$A355:$P355, MATCH(P$2, Players!$A$1:$P$1, 0)), perc_75, VLOOKUP(P$2, Percentiles!$A$45:$I$59, 6, FALSE), perc_90, VLOOKUP(P$2, Percentiles!$A$45:$I$59, 7, FALSE), perc_95, VLOOKUP(P$2, Percentiles!$A$45:$I$59, 8, FALSE), perc_85, perc_75 + (perc_90 - perc_75) * (2/3), converted_stat, '2K_Ratings'!P356, IF(bbgm_stat &gt;= perc_95, converted_stat * 3, IF(bbgm_stat &gt;= perc_90, converted_stat * 2, IF(bbgm_stat &gt;= perc_85, converted_stat * 1.5, converted_stat)))))</f>
        <v/>
      </c>
      <c r="Q356" s="30" t="str">
        <f t="array" ref="Q356">IF($A356="", "", LET(bbgm_stat, INDEX(Players!$A355:$P355, MATCH(Q$2, Players!$A$1:$P$1, 0)), perc_75, VLOOKUP(Q$2, Percentiles!$A$45:$I$59, 6, FALSE), perc_90, VLOOKUP(Q$2, Percentiles!$A$45:$I$59, 7, FALSE), perc_95, VLOOKUP(Q$2, Percentiles!$A$45:$I$59, 8, FALSE), perc_85, perc_75 + (perc_90 - perc_75) * (2/3), converted_stat, '2K_Ratings'!Q356, IF(bbgm_stat &gt;= perc_95, converted_stat * 3, IF(bbgm_stat &gt;= perc_90, converted_stat * 2, IF(bbgm_stat &gt;= perc_85, converted_stat * 1.5, converted_stat)))))</f>
        <v/>
      </c>
      <c r="R356" s="30" t="str">
        <f t="array" ref="R356">IF($A356="", "", LET(bbgm_stat, INDEX(Players!$A355:$P355, MATCH(R$2, Players!$A$1:$P$1, 0)), perc_75, VLOOKUP(R$2, Percentiles!$A$45:$I$59, 6, FALSE), perc_90, VLOOKUP(R$2, Percentiles!$A$45:$I$59, 7, FALSE), perc_95, VLOOKUP(R$2, Percentiles!$A$45:$I$59, 8, FALSE), perc_85, perc_75 + (perc_90 - perc_75) * (2/3), converted_stat, '2K_Ratings'!R356, IF(bbgm_stat &gt;= perc_95, converted_stat * 3, IF(bbgm_stat &gt;= perc_90, converted_stat * 2, IF(bbgm_stat &gt;= perc_85, converted_stat * 1.5, converted_stat)))))</f>
        <v/>
      </c>
      <c r="S356" s="30" t="str">
        <f t="array" ref="S356">IF($A356="", "", LET(bbgm_stat, INDEX(Players!$A355:$P355, MATCH(S$2, Players!$A$1:$P$1, 0)), perc_75, VLOOKUP(S$2, Percentiles!$A$45:$I$59, 6, FALSE), perc_90, VLOOKUP(S$2, Percentiles!$A$45:$I$59, 7, FALSE), perc_95, VLOOKUP(S$2, Percentiles!$A$45:$I$59, 8, FALSE), perc_85, perc_75 + (perc_90 - perc_75) * (2/3), converted_stat, '2K_Ratings'!S356, IF(bbgm_stat &gt;= perc_95, converted_stat * 3, IF(bbgm_stat &gt;= perc_90, converted_stat * 2, IF(bbgm_stat &gt;= perc_85, converted_stat * 1.5, converted_stat)))))</f>
        <v/>
      </c>
      <c r="T356" s="30" t="str">
        <f t="array" ref="T356">IF($A356="", "", LET(bbgm_stat, INDEX(Players!$A355:$P355, MATCH(T$2, Players!$A$1:$P$1, 0)), perc_75, VLOOKUP(T$2, Percentiles!$A$45:$I$59, 6, FALSE), perc_90, VLOOKUP(T$2, Percentiles!$A$45:$I$59, 7, FALSE), perc_95, VLOOKUP(T$2, Percentiles!$A$45:$I$59, 8, FALSE), perc_85, perc_75 + (perc_90 - perc_75) * (2/3), converted_stat, '2K_Ratings'!T356, IF(bbgm_stat &gt;= perc_95, converted_stat * 3, IF(bbgm_stat &gt;= perc_90, converted_stat * 2, IF(bbgm_stat &gt;= perc_85, converted_stat * 1.5, converted_stat)))))</f>
        <v/>
      </c>
      <c r="U356" s="30" t="str">
        <f t="array" ref="U356">IF($A356="", "", LET(bbgm_stat, INDEX(Players!$A355:$P355, MATCH(U$2, Players!$A$1:$P$1, 0)), perc_75, VLOOKUP(U$2, Percentiles!$A$45:$I$59, 6, FALSE), perc_90, VLOOKUP(U$2, Percentiles!$A$45:$I$59, 7, FALSE), perc_95, VLOOKUP(U$2, Percentiles!$A$45:$I$59, 8, FALSE), perc_85, perc_75 + (perc_90 - perc_75) * (2/3), converted_stat, '2K_Ratings'!U356, IF(bbgm_stat &gt;= perc_95, converted_stat * 3, IF(bbgm_stat &gt;= perc_90, converted_stat * 2, IF(bbgm_stat &gt;= perc_85, converted_stat * 1.5, converted_stat)))))</f>
        <v/>
      </c>
      <c r="V356" s="30" t="str">
        <f t="array" ref="V356">IF($A356="", "", LET(bbgm_stat, INDEX(Players!$A355:$P355, MATCH(V$2, Players!$A$1:$P$1, 0)), perc_75, VLOOKUP(V$2, Percentiles!$A$45:$I$59, 6, FALSE), perc_90, VLOOKUP(V$2, Percentiles!$A$45:$I$59, 7, FALSE), perc_95, VLOOKUP(V$2, Percentiles!$A$45:$I$59, 8, FALSE), perc_85, perc_75 + (perc_90 - perc_75) * (2/3), converted_stat, '2K_Ratings'!V356, IF(bbgm_stat &gt;= perc_95, converted_stat * 3, IF(bbgm_stat &gt;= perc_90, converted_stat * 2, IF(bbgm_stat &gt;= perc_85, converted_stat * 1.5, converted_stat)))))</f>
        <v/>
      </c>
      <c r="W356" s="30" t="str">
        <f t="array" ref="W356">IF($A356="", "", LET(bbgm_stat, INDEX(Players!$A355:$P355, MATCH(W$2, Players!$A$1:$P$1, 0)), perc_75, VLOOKUP(W$2, Percentiles!$A$45:$I$59, 6, FALSE), perc_90, VLOOKUP(W$2, Percentiles!$A$45:$I$59, 7, FALSE), perc_95, VLOOKUP(W$2, Percentiles!$A$45:$I$59, 8, FALSE), perc_85, perc_75 + (perc_90 - perc_75) * (2/3), converted_stat, '2K_Ratings'!W356, IF(bbgm_stat &gt;= perc_95, converted_stat * 3, IF(bbgm_stat &gt;= perc_90, converted_stat * 2, IF(bbgm_stat &gt;= perc_85, converted_stat * 1.5, converted_stat)))))</f>
        <v/>
      </c>
    </row>
    <row r="357">
      <c r="A357" s="30"/>
      <c r="B357" s="30" t="str">
        <f t="array" ref="B357">IF($A357="", "", LET(bbgm_stat, INDEX(Players!$A356:$P356, MATCH(B$2, Players!$A$1:$P$1, 0)), perc_75, VLOOKUP(B$2, Percentiles!$A$45:$I$59, 6, FALSE), perc_90, VLOOKUP(B$2, Percentiles!$A$45:$I$59, 7, FALSE), perc_95, VLOOKUP(B$2, Percentiles!$A$45:$I$59, 8, FALSE), perc_85, perc_75 + (perc_90 - perc_75) * (2/3), converted_stat, '2K_Ratings'!B357, IF(bbgm_stat &gt;= perc_95, converted_stat * 3, IF(bbgm_stat &gt;= perc_90, converted_stat * 2, IF(bbgm_stat &gt;= perc_85, converted_stat * 1.5, converted_stat)))))</f>
        <v/>
      </c>
      <c r="C357" s="30" t="str">
        <f t="array" ref="C357">IF($A357="", "", LET(bbgm_stat, INDEX(Players!$A356:$P356, MATCH(C$2, Players!$A$1:$P$1, 0)), perc_75, VLOOKUP(C$2, Percentiles!$A$45:$I$59, 6, FALSE), perc_90, VLOOKUP(C$2, Percentiles!$A$45:$I$59, 7, FALSE), perc_95, VLOOKUP(C$2, Percentiles!$A$45:$I$59, 8, FALSE), perc_85, perc_75 + (perc_90 - perc_75) * (2/3), converted_stat, '2K_Ratings'!C357, IF(bbgm_stat &gt;= perc_95, converted_stat * 3, IF(bbgm_stat &gt;= perc_90, converted_stat * 2, IF(bbgm_stat &gt;= perc_85, converted_stat * 1.5, converted_stat)))))</f>
        <v/>
      </c>
      <c r="D357" s="30" t="str">
        <f t="array" ref="D357">IF($A357="", "", LET(bbgm_stat, INDEX(Players!$A356:$P356, MATCH(D$2, Players!$A$1:$P$1, 0)), perc_75, VLOOKUP(D$2, Percentiles!$A$45:$I$59, 6, FALSE), perc_90, VLOOKUP(D$2, Percentiles!$A$45:$I$59, 7, FALSE), perc_95, VLOOKUP(D$2, Percentiles!$A$45:$I$59, 8, FALSE), perc_85, perc_75 + (perc_90 - perc_75) * (2/3), converted_stat, '2K_Ratings'!D357, IF(bbgm_stat &gt;= perc_95, converted_stat * 3, IF(bbgm_stat &gt;= perc_90, converted_stat * 2, IF(bbgm_stat &gt;= perc_85, converted_stat * 1.5, converted_stat)))))</f>
        <v/>
      </c>
      <c r="E357" s="30" t="str">
        <f t="array" ref="E357">IF($A357="", "", LET(bbgm_stat, INDEX(Players!$A356:$P356, MATCH(E$2, Players!$A$1:$P$1, 0)), perc_75, VLOOKUP(E$2, Percentiles!$A$45:$I$59, 6, FALSE), perc_90, VLOOKUP(E$2, Percentiles!$A$45:$I$59, 7, FALSE), perc_95, VLOOKUP(E$2, Percentiles!$A$45:$I$59, 8, FALSE), perc_85, perc_75 + (perc_90 - perc_75) * (2/3), converted_stat, '2K_Ratings'!E357, IF(bbgm_stat &gt;= perc_95, converted_stat * 3, IF(bbgm_stat &gt;= perc_90, converted_stat * 2, IF(bbgm_stat &gt;= perc_85, converted_stat * 1.5, converted_stat)))))</f>
        <v/>
      </c>
      <c r="F357" s="30" t="str">
        <f t="array" ref="F357">IF($A357="", "", LET(bbgm_stat, INDEX(Players!$A356:$P356, MATCH(F$2, Players!$A$1:$P$1, 0)), perc_75, VLOOKUP(F$2, Percentiles!$A$45:$I$59, 6, FALSE), perc_90, VLOOKUP(F$2, Percentiles!$A$45:$I$59, 7, FALSE), perc_95, VLOOKUP(F$2, Percentiles!$A$45:$I$59, 8, FALSE), perc_85, perc_75 + (perc_90 - perc_75) * (2/3), converted_stat, '2K_Ratings'!F357, IF(bbgm_stat &gt;= perc_95, converted_stat * 3, IF(bbgm_stat &gt;= perc_90, converted_stat * 2, IF(bbgm_stat &gt;= perc_85, converted_stat * 1.5, converted_stat)))))</f>
        <v/>
      </c>
      <c r="G357" s="30" t="str">
        <f t="array" ref="G357">IF($A357="", "", LET(bbgm_stat, INDEX(Players!$A356:$P356, MATCH(G$2, Players!$A$1:$P$1, 0)), perc_75, VLOOKUP(G$2, Percentiles!$A$45:$I$59, 6, FALSE), perc_90, VLOOKUP(G$2, Percentiles!$A$45:$I$59, 7, FALSE), perc_95, VLOOKUP(G$2, Percentiles!$A$45:$I$59, 8, FALSE), perc_85, perc_75 + (perc_90 - perc_75) * (2/3), converted_stat, '2K_Ratings'!G357, IF(bbgm_stat &gt;= perc_95, converted_stat * 3, IF(bbgm_stat &gt;= perc_90, converted_stat * 2, IF(bbgm_stat &gt;= perc_85, converted_stat * 1.5, converted_stat)))))</f>
        <v/>
      </c>
      <c r="H357" s="30" t="str">
        <f t="array" ref="H357">IF($A357="", "", LET(bbgm_stat, INDEX(Players!$A356:$P356, MATCH(H$2, Players!$A$1:$P$1, 0)), perc_75, VLOOKUP(H$2, Percentiles!$A$45:$I$59, 6, FALSE), perc_90, VLOOKUP(H$2, Percentiles!$A$45:$I$59, 7, FALSE), perc_95, VLOOKUP(H$2, Percentiles!$A$45:$I$59, 8, FALSE), perc_85, perc_75 + (perc_90 - perc_75) * (2/3), converted_stat, '2K_Ratings'!H357, IF(bbgm_stat &gt;= perc_95, converted_stat * 3, IF(bbgm_stat &gt;= perc_90, converted_stat * 2, IF(bbgm_stat &gt;= perc_85, converted_stat * 1.5, converted_stat)))))</f>
        <v/>
      </c>
      <c r="I357" s="30" t="str">
        <f t="array" ref="I357">IF($A357="", "", LET(bbgm_stat, INDEX(Players!$A356:$P356, MATCH(I$2, Players!$A$1:$P$1, 0)), perc_75, VLOOKUP(I$2, Percentiles!$A$45:$I$59, 6, FALSE), perc_90, VLOOKUP(I$2, Percentiles!$A$45:$I$59, 7, FALSE), perc_95, VLOOKUP(I$2, Percentiles!$A$45:$I$59, 8, FALSE), perc_85, perc_75 + (perc_90 - perc_75) * (2/3), converted_stat, '2K_Ratings'!I357, IF(bbgm_stat &gt;= perc_95, converted_stat * 3, IF(bbgm_stat &gt;= perc_90, converted_stat * 2, IF(bbgm_stat &gt;= perc_85, converted_stat * 1.5, converted_stat)))))</f>
        <v/>
      </c>
      <c r="J357" s="30" t="str">
        <f t="array" ref="J357">IF($A357="", "", LET(bbgm_stat, INDEX(Players!$A356:$P356, MATCH(J$2, Players!$A$1:$P$1, 0)), perc_75, VLOOKUP(J$2, Percentiles!$A$45:$I$59, 6, FALSE), perc_90, VLOOKUP(J$2, Percentiles!$A$45:$I$59, 7, FALSE), perc_95, VLOOKUP(J$2, Percentiles!$A$45:$I$59, 8, FALSE), perc_85, perc_75 + (perc_90 - perc_75) * (2/3), converted_stat, '2K_Ratings'!J357, IF(bbgm_stat &gt;= perc_95, converted_stat * 3, IF(bbgm_stat &gt;= perc_90, converted_stat * 2, IF(bbgm_stat &gt;= perc_85, converted_stat * 1.5, converted_stat)))))</f>
        <v/>
      </c>
      <c r="K357" s="30" t="str">
        <f t="array" ref="K357">IF($A357="", "", LET(bbgm_stat, INDEX(Players!$A356:$P356, MATCH(K$2, Players!$A$1:$P$1, 0)), perc_75, VLOOKUP(K$2, Percentiles!$A$45:$I$59, 6, FALSE), perc_90, VLOOKUP(K$2, Percentiles!$A$45:$I$59, 7, FALSE), perc_95, VLOOKUP(K$2, Percentiles!$A$45:$I$59, 8, FALSE), perc_85, perc_75 + (perc_90 - perc_75) * (2/3), converted_stat, '2K_Ratings'!K357, IF(bbgm_stat &gt;= perc_95, converted_stat * 3, IF(bbgm_stat &gt;= perc_90, converted_stat * 2, IF(bbgm_stat &gt;= perc_85, converted_stat * 1.5, converted_stat)))))</f>
        <v/>
      </c>
      <c r="L357" s="30" t="str">
        <f t="array" ref="L357">IF($A357="", "", LET(bbgm_stat, INDEX(Players!$A356:$P356, MATCH(L$2, Players!$A$1:$P$1, 0)), perc_75, VLOOKUP(L$2, Percentiles!$A$45:$I$59, 6, FALSE), perc_90, VLOOKUP(L$2, Percentiles!$A$45:$I$59, 7, FALSE), perc_95, VLOOKUP(L$2, Percentiles!$A$45:$I$59, 8, FALSE), perc_85, perc_75 + (perc_90 - perc_75) * (2/3), converted_stat, '2K_Ratings'!L357, IF(bbgm_stat &gt;= perc_95, converted_stat * 3, IF(bbgm_stat &gt;= perc_90, converted_stat * 2, IF(bbgm_stat &gt;= perc_85, converted_stat * 1.5, converted_stat)))))</f>
        <v/>
      </c>
      <c r="M357" s="30" t="str">
        <f t="array" ref="M357">IF($A357="", "", LET(bbgm_stat, INDEX(Players!$A356:$P356, MATCH(M$2, Players!$A$1:$P$1, 0)), perc_75, VLOOKUP(M$2, Percentiles!$A$45:$I$59, 6, FALSE), perc_90, VLOOKUP(M$2, Percentiles!$A$45:$I$59, 7, FALSE), perc_95, VLOOKUP(M$2, Percentiles!$A$45:$I$59, 8, FALSE), perc_85, perc_75 + (perc_90 - perc_75) * (2/3), converted_stat, '2K_Ratings'!M357, IF(bbgm_stat &gt;= perc_95, converted_stat * 3, IF(bbgm_stat &gt;= perc_90, converted_stat * 2, IF(bbgm_stat &gt;= perc_85, converted_stat * 1.5, converted_stat)))))</f>
        <v/>
      </c>
      <c r="N357" s="30" t="str">
        <f t="array" ref="N357">IF($A357="", "", LET(bbgm_stat, INDEX(Players!$A356:$P356, MATCH(N$2, Players!$A$1:$P$1, 0)), perc_75, VLOOKUP(N$2, Percentiles!$A$45:$I$59, 6, FALSE), perc_90, VLOOKUP(N$2, Percentiles!$A$45:$I$59, 7, FALSE), perc_95, VLOOKUP(N$2, Percentiles!$A$45:$I$59, 8, FALSE), perc_85, perc_75 + (perc_90 - perc_75) * (2/3), converted_stat, '2K_Ratings'!N357, IF(bbgm_stat &gt;= perc_95, converted_stat * 3, IF(bbgm_stat &gt;= perc_90, converted_stat * 2, IF(bbgm_stat &gt;= perc_85, converted_stat * 1.5, converted_stat)))))</f>
        <v/>
      </c>
      <c r="O357" s="30" t="str">
        <f t="array" ref="O357">IF($A357="", "", LET(bbgm_stat, INDEX(Players!$A356:$P356, MATCH(O$2, Players!$A$1:$P$1, 0)), perc_75, VLOOKUP(O$2, Percentiles!$A$45:$I$59, 6, FALSE), perc_90, VLOOKUP(O$2, Percentiles!$A$45:$I$59, 7, FALSE), perc_95, VLOOKUP(O$2, Percentiles!$A$45:$I$59, 8, FALSE), perc_85, perc_75 + (perc_90 - perc_75) * (2/3), converted_stat, '2K_Ratings'!O357, IF(bbgm_stat &gt;= perc_95, converted_stat * 3, IF(bbgm_stat &gt;= perc_90, converted_stat * 2, IF(bbgm_stat &gt;= perc_85, converted_stat * 1.5, converted_stat)))))</f>
        <v/>
      </c>
      <c r="P357" s="30" t="str">
        <f t="array" ref="P357">IF($A357="", "", LET(bbgm_stat, INDEX(Players!$A356:$P356, MATCH(P$2, Players!$A$1:$P$1, 0)), perc_75, VLOOKUP(P$2, Percentiles!$A$45:$I$59, 6, FALSE), perc_90, VLOOKUP(P$2, Percentiles!$A$45:$I$59, 7, FALSE), perc_95, VLOOKUP(P$2, Percentiles!$A$45:$I$59, 8, FALSE), perc_85, perc_75 + (perc_90 - perc_75) * (2/3), converted_stat, '2K_Ratings'!P357, IF(bbgm_stat &gt;= perc_95, converted_stat * 3, IF(bbgm_stat &gt;= perc_90, converted_stat * 2, IF(bbgm_stat &gt;= perc_85, converted_stat * 1.5, converted_stat)))))</f>
        <v/>
      </c>
      <c r="Q357" s="30" t="str">
        <f t="array" ref="Q357">IF($A357="", "", LET(bbgm_stat, INDEX(Players!$A356:$P356, MATCH(Q$2, Players!$A$1:$P$1, 0)), perc_75, VLOOKUP(Q$2, Percentiles!$A$45:$I$59, 6, FALSE), perc_90, VLOOKUP(Q$2, Percentiles!$A$45:$I$59, 7, FALSE), perc_95, VLOOKUP(Q$2, Percentiles!$A$45:$I$59, 8, FALSE), perc_85, perc_75 + (perc_90 - perc_75) * (2/3), converted_stat, '2K_Ratings'!Q357, IF(bbgm_stat &gt;= perc_95, converted_stat * 3, IF(bbgm_stat &gt;= perc_90, converted_stat * 2, IF(bbgm_stat &gt;= perc_85, converted_stat * 1.5, converted_stat)))))</f>
        <v/>
      </c>
      <c r="R357" s="30" t="str">
        <f t="array" ref="R357">IF($A357="", "", LET(bbgm_stat, INDEX(Players!$A356:$P356, MATCH(R$2, Players!$A$1:$P$1, 0)), perc_75, VLOOKUP(R$2, Percentiles!$A$45:$I$59, 6, FALSE), perc_90, VLOOKUP(R$2, Percentiles!$A$45:$I$59, 7, FALSE), perc_95, VLOOKUP(R$2, Percentiles!$A$45:$I$59, 8, FALSE), perc_85, perc_75 + (perc_90 - perc_75) * (2/3), converted_stat, '2K_Ratings'!R357, IF(bbgm_stat &gt;= perc_95, converted_stat * 3, IF(bbgm_stat &gt;= perc_90, converted_stat * 2, IF(bbgm_stat &gt;= perc_85, converted_stat * 1.5, converted_stat)))))</f>
        <v/>
      </c>
      <c r="S357" s="30" t="str">
        <f t="array" ref="S357">IF($A357="", "", LET(bbgm_stat, INDEX(Players!$A356:$P356, MATCH(S$2, Players!$A$1:$P$1, 0)), perc_75, VLOOKUP(S$2, Percentiles!$A$45:$I$59, 6, FALSE), perc_90, VLOOKUP(S$2, Percentiles!$A$45:$I$59, 7, FALSE), perc_95, VLOOKUP(S$2, Percentiles!$A$45:$I$59, 8, FALSE), perc_85, perc_75 + (perc_90 - perc_75) * (2/3), converted_stat, '2K_Ratings'!S357, IF(bbgm_stat &gt;= perc_95, converted_stat * 3, IF(bbgm_stat &gt;= perc_90, converted_stat * 2, IF(bbgm_stat &gt;= perc_85, converted_stat * 1.5, converted_stat)))))</f>
        <v/>
      </c>
      <c r="T357" s="30" t="str">
        <f t="array" ref="T357">IF($A357="", "", LET(bbgm_stat, INDEX(Players!$A356:$P356, MATCH(T$2, Players!$A$1:$P$1, 0)), perc_75, VLOOKUP(T$2, Percentiles!$A$45:$I$59, 6, FALSE), perc_90, VLOOKUP(T$2, Percentiles!$A$45:$I$59, 7, FALSE), perc_95, VLOOKUP(T$2, Percentiles!$A$45:$I$59, 8, FALSE), perc_85, perc_75 + (perc_90 - perc_75) * (2/3), converted_stat, '2K_Ratings'!T357, IF(bbgm_stat &gt;= perc_95, converted_stat * 3, IF(bbgm_stat &gt;= perc_90, converted_stat * 2, IF(bbgm_stat &gt;= perc_85, converted_stat * 1.5, converted_stat)))))</f>
        <v/>
      </c>
      <c r="U357" s="30" t="str">
        <f t="array" ref="U357">IF($A357="", "", LET(bbgm_stat, INDEX(Players!$A356:$P356, MATCH(U$2, Players!$A$1:$P$1, 0)), perc_75, VLOOKUP(U$2, Percentiles!$A$45:$I$59, 6, FALSE), perc_90, VLOOKUP(U$2, Percentiles!$A$45:$I$59, 7, FALSE), perc_95, VLOOKUP(U$2, Percentiles!$A$45:$I$59, 8, FALSE), perc_85, perc_75 + (perc_90 - perc_75) * (2/3), converted_stat, '2K_Ratings'!U357, IF(bbgm_stat &gt;= perc_95, converted_stat * 3, IF(bbgm_stat &gt;= perc_90, converted_stat * 2, IF(bbgm_stat &gt;= perc_85, converted_stat * 1.5, converted_stat)))))</f>
        <v/>
      </c>
      <c r="V357" s="30" t="str">
        <f t="array" ref="V357">IF($A357="", "", LET(bbgm_stat, INDEX(Players!$A356:$P356, MATCH(V$2, Players!$A$1:$P$1, 0)), perc_75, VLOOKUP(V$2, Percentiles!$A$45:$I$59, 6, FALSE), perc_90, VLOOKUP(V$2, Percentiles!$A$45:$I$59, 7, FALSE), perc_95, VLOOKUP(V$2, Percentiles!$A$45:$I$59, 8, FALSE), perc_85, perc_75 + (perc_90 - perc_75) * (2/3), converted_stat, '2K_Ratings'!V357, IF(bbgm_stat &gt;= perc_95, converted_stat * 3, IF(bbgm_stat &gt;= perc_90, converted_stat * 2, IF(bbgm_stat &gt;= perc_85, converted_stat * 1.5, converted_stat)))))</f>
        <v/>
      </c>
      <c r="W357" s="30" t="str">
        <f t="array" ref="W357">IF($A357="", "", LET(bbgm_stat, INDEX(Players!$A356:$P356, MATCH(W$2, Players!$A$1:$P$1, 0)), perc_75, VLOOKUP(W$2, Percentiles!$A$45:$I$59, 6, FALSE), perc_90, VLOOKUP(W$2, Percentiles!$A$45:$I$59, 7, FALSE), perc_95, VLOOKUP(W$2, Percentiles!$A$45:$I$59, 8, FALSE), perc_85, perc_75 + (perc_90 - perc_75) * (2/3), converted_stat, '2K_Ratings'!W357, IF(bbgm_stat &gt;= perc_95, converted_stat * 3, IF(bbgm_stat &gt;= perc_90, converted_stat * 2, IF(bbgm_stat &gt;= perc_85, converted_stat * 1.5, converted_stat)))))</f>
        <v/>
      </c>
    </row>
    <row r="358">
      <c r="A358" s="30"/>
      <c r="B358" s="30" t="str">
        <f t="array" ref="B358">IF($A358="", "", LET(bbgm_stat, INDEX(Players!$A357:$P357, MATCH(B$2, Players!$A$1:$P$1, 0)), perc_75, VLOOKUP(B$2, Percentiles!$A$45:$I$59, 6, FALSE), perc_90, VLOOKUP(B$2, Percentiles!$A$45:$I$59, 7, FALSE), perc_95, VLOOKUP(B$2, Percentiles!$A$45:$I$59, 8, FALSE), perc_85, perc_75 + (perc_90 - perc_75) * (2/3), converted_stat, '2K_Ratings'!B358, IF(bbgm_stat &gt;= perc_95, converted_stat * 3, IF(bbgm_stat &gt;= perc_90, converted_stat * 2, IF(bbgm_stat &gt;= perc_85, converted_stat * 1.5, converted_stat)))))</f>
        <v/>
      </c>
      <c r="C358" s="30" t="str">
        <f t="array" ref="C358">IF($A358="", "", LET(bbgm_stat, INDEX(Players!$A357:$P357, MATCH(C$2, Players!$A$1:$P$1, 0)), perc_75, VLOOKUP(C$2, Percentiles!$A$45:$I$59, 6, FALSE), perc_90, VLOOKUP(C$2, Percentiles!$A$45:$I$59, 7, FALSE), perc_95, VLOOKUP(C$2, Percentiles!$A$45:$I$59, 8, FALSE), perc_85, perc_75 + (perc_90 - perc_75) * (2/3), converted_stat, '2K_Ratings'!C358, IF(bbgm_stat &gt;= perc_95, converted_stat * 3, IF(bbgm_stat &gt;= perc_90, converted_stat * 2, IF(bbgm_stat &gt;= perc_85, converted_stat * 1.5, converted_stat)))))</f>
        <v/>
      </c>
      <c r="D358" s="30" t="str">
        <f t="array" ref="D358">IF($A358="", "", LET(bbgm_stat, INDEX(Players!$A357:$P357, MATCH(D$2, Players!$A$1:$P$1, 0)), perc_75, VLOOKUP(D$2, Percentiles!$A$45:$I$59, 6, FALSE), perc_90, VLOOKUP(D$2, Percentiles!$A$45:$I$59, 7, FALSE), perc_95, VLOOKUP(D$2, Percentiles!$A$45:$I$59, 8, FALSE), perc_85, perc_75 + (perc_90 - perc_75) * (2/3), converted_stat, '2K_Ratings'!D358, IF(bbgm_stat &gt;= perc_95, converted_stat * 3, IF(bbgm_stat &gt;= perc_90, converted_stat * 2, IF(bbgm_stat &gt;= perc_85, converted_stat * 1.5, converted_stat)))))</f>
        <v/>
      </c>
      <c r="E358" s="30" t="str">
        <f t="array" ref="E358">IF($A358="", "", LET(bbgm_stat, INDEX(Players!$A357:$P357, MATCH(E$2, Players!$A$1:$P$1, 0)), perc_75, VLOOKUP(E$2, Percentiles!$A$45:$I$59, 6, FALSE), perc_90, VLOOKUP(E$2, Percentiles!$A$45:$I$59, 7, FALSE), perc_95, VLOOKUP(E$2, Percentiles!$A$45:$I$59, 8, FALSE), perc_85, perc_75 + (perc_90 - perc_75) * (2/3), converted_stat, '2K_Ratings'!E358, IF(bbgm_stat &gt;= perc_95, converted_stat * 3, IF(bbgm_stat &gt;= perc_90, converted_stat * 2, IF(bbgm_stat &gt;= perc_85, converted_stat * 1.5, converted_stat)))))</f>
        <v/>
      </c>
      <c r="F358" s="30" t="str">
        <f t="array" ref="F358">IF($A358="", "", LET(bbgm_stat, INDEX(Players!$A357:$P357, MATCH(F$2, Players!$A$1:$P$1, 0)), perc_75, VLOOKUP(F$2, Percentiles!$A$45:$I$59, 6, FALSE), perc_90, VLOOKUP(F$2, Percentiles!$A$45:$I$59, 7, FALSE), perc_95, VLOOKUP(F$2, Percentiles!$A$45:$I$59, 8, FALSE), perc_85, perc_75 + (perc_90 - perc_75) * (2/3), converted_stat, '2K_Ratings'!F358, IF(bbgm_stat &gt;= perc_95, converted_stat * 3, IF(bbgm_stat &gt;= perc_90, converted_stat * 2, IF(bbgm_stat &gt;= perc_85, converted_stat * 1.5, converted_stat)))))</f>
        <v/>
      </c>
      <c r="G358" s="30" t="str">
        <f t="array" ref="G358">IF($A358="", "", LET(bbgm_stat, INDEX(Players!$A357:$P357, MATCH(G$2, Players!$A$1:$P$1, 0)), perc_75, VLOOKUP(G$2, Percentiles!$A$45:$I$59, 6, FALSE), perc_90, VLOOKUP(G$2, Percentiles!$A$45:$I$59, 7, FALSE), perc_95, VLOOKUP(G$2, Percentiles!$A$45:$I$59, 8, FALSE), perc_85, perc_75 + (perc_90 - perc_75) * (2/3), converted_stat, '2K_Ratings'!G358, IF(bbgm_stat &gt;= perc_95, converted_stat * 3, IF(bbgm_stat &gt;= perc_90, converted_stat * 2, IF(bbgm_stat &gt;= perc_85, converted_stat * 1.5, converted_stat)))))</f>
        <v/>
      </c>
      <c r="H358" s="30" t="str">
        <f t="array" ref="H358">IF($A358="", "", LET(bbgm_stat, INDEX(Players!$A357:$P357, MATCH(H$2, Players!$A$1:$P$1, 0)), perc_75, VLOOKUP(H$2, Percentiles!$A$45:$I$59, 6, FALSE), perc_90, VLOOKUP(H$2, Percentiles!$A$45:$I$59, 7, FALSE), perc_95, VLOOKUP(H$2, Percentiles!$A$45:$I$59, 8, FALSE), perc_85, perc_75 + (perc_90 - perc_75) * (2/3), converted_stat, '2K_Ratings'!H358, IF(bbgm_stat &gt;= perc_95, converted_stat * 3, IF(bbgm_stat &gt;= perc_90, converted_stat * 2, IF(bbgm_stat &gt;= perc_85, converted_stat * 1.5, converted_stat)))))</f>
        <v/>
      </c>
      <c r="I358" s="30" t="str">
        <f t="array" ref="I358">IF($A358="", "", LET(bbgm_stat, INDEX(Players!$A357:$P357, MATCH(I$2, Players!$A$1:$P$1, 0)), perc_75, VLOOKUP(I$2, Percentiles!$A$45:$I$59, 6, FALSE), perc_90, VLOOKUP(I$2, Percentiles!$A$45:$I$59, 7, FALSE), perc_95, VLOOKUP(I$2, Percentiles!$A$45:$I$59, 8, FALSE), perc_85, perc_75 + (perc_90 - perc_75) * (2/3), converted_stat, '2K_Ratings'!I358, IF(bbgm_stat &gt;= perc_95, converted_stat * 3, IF(bbgm_stat &gt;= perc_90, converted_stat * 2, IF(bbgm_stat &gt;= perc_85, converted_stat * 1.5, converted_stat)))))</f>
        <v/>
      </c>
      <c r="J358" s="30" t="str">
        <f t="array" ref="J358">IF($A358="", "", LET(bbgm_stat, INDEX(Players!$A357:$P357, MATCH(J$2, Players!$A$1:$P$1, 0)), perc_75, VLOOKUP(J$2, Percentiles!$A$45:$I$59, 6, FALSE), perc_90, VLOOKUP(J$2, Percentiles!$A$45:$I$59, 7, FALSE), perc_95, VLOOKUP(J$2, Percentiles!$A$45:$I$59, 8, FALSE), perc_85, perc_75 + (perc_90 - perc_75) * (2/3), converted_stat, '2K_Ratings'!J358, IF(bbgm_stat &gt;= perc_95, converted_stat * 3, IF(bbgm_stat &gt;= perc_90, converted_stat * 2, IF(bbgm_stat &gt;= perc_85, converted_stat * 1.5, converted_stat)))))</f>
        <v/>
      </c>
      <c r="K358" s="30" t="str">
        <f t="array" ref="K358">IF($A358="", "", LET(bbgm_stat, INDEX(Players!$A357:$P357, MATCH(K$2, Players!$A$1:$P$1, 0)), perc_75, VLOOKUP(K$2, Percentiles!$A$45:$I$59, 6, FALSE), perc_90, VLOOKUP(K$2, Percentiles!$A$45:$I$59, 7, FALSE), perc_95, VLOOKUP(K$2, Percentiles!$A$45:$I$59, 8, FALSE), perc_85, perc_75 + (perc_90 - perc_75) * (2/3), converted_stat, '2K_Ratings'!K358, IF(bbgm_stat &gt;= perc_95, converted_stat * 3, IF(bbgm_stat &gt;= perc_90, converted_stat * 2, IF(bbgm_stat &gt;= perc_85, converted_stat * 1.5, converted_stat)))))</f>
        <v/>
      </c>
      <c r="L358" s="30" t="str">
        <f t="array" ref="L358">IF($A358="", "", LET(bbgm_stat, INDEX(Players!$A357:$P357, MATCH(L$2, Players!$A$1:$P$1, 0)), perc_75, VLOOKUP(L$2, Percentiles!$A$45:$I$59, 6, FALSE), perc_90, VLOOKUP(L$2, Percentiles!$A$45:$I$59, 7, FALSE), perc_95, VLOOKUP(L$2, Percentiles!$A$45:$I$59, 8, FALSE), perc_85, perc_75 + (perc_90 - perc_75) * (2/3), converted_stat, '2K_Ratings'!L358, IF(bbgm_stat &gt;= perc_95, converted_stat * 3, IF(bbgm_stat &gt;= perc_90, converted_stat * 2, IF(bbgm_stat &gt;= perc_85, converted_stat * 1.5, converted_stat)))))</f>
        <v/>
      </c>
      <c r="M358" s="30" t="str">
        <f t="array" ref="M358">IF($A358="", "", LET(bbgm_stat, INDEX(Players!$A357:$P357, MATCH(M$2, Players!$A$1:$P$1, 0)), perc_75, VLOOKUP(M$2, Percentiles!$A$45:$I$59, 6, FALSE), perc_90, VLOOKUP(M$2, Percentiles!$A$45:$I$59, 7, FALSE), perc_95, VLOOKUP(M$2, Percentiles!$A$45:$I$59, 8, FALSE), perc_85, perc_75 + (perc_90 - perc_75) * (2/3), converted_stat, '2K_Ratings'!M358, IF(bbgm_stat &gt;= perc_95, converted_stat * 3, IF(bbgm_stat &gt;= perc_90, converted_stat * 2, IF(bbgm_stat &gt;= perc_85, converted_stat * 1.5, converted_stat)))))</f>
        <v/>
      </c>
      <c r="N358" s="30" t="str">
        <f t="array" ref="N358">IF($A358="", "", LET(bbgm_stat, INDEX(Players!$A357:$P357, MATCH(N$2, Players!$A$1:$P$1, 0)), perc_75, VLOOKUP(N$2, Percentiles!$A$45:$I$59, 6, FALSE), perc_90, VLOOKUP(N$2, Percentiles!$A$45:$I$59, 7, FALSE), perc_95, VLOOKUP(N$2, Percentiles!$A$45:$I$59, 8, FALSE), perc_85, perc_75 + (perc_90 - perc_75) * (2/3), converted_stat, '2K_Ratings'!N358, IF(bbgm_stat &gt;= perc_95, converted_stat * 3, IF(bbgm_stat &gt;= perc_90, converted_stat * 2, IF(bbgm_stat &gt;= perc_85, converted_stat * 1.5, converted_stat)))))</f>
        <v/>
      </c>
      <c r="O358" s="30" t="str">
        <f t="array" ref="O358">IF($A358="", "", LET(bbgm_stat, INDEX(Players!$A357:$P357, MATCH(O$2, Players!$A$1:$P$1, 0)), perc_75, VLOOKUP(O$2, Percentiles!$A$45:$I$59, 6, FALSE), perc_90, VLOOKUP(O$2, Percentiles!$A$45:$I$59, 7, FALSE), perc_95, VLOOKUP(O$2, Percentiles!$A$45:$I$59, 8, FALSE), perc_85, perc_75 + (perc_90 - perc_75) * (2/3), converted_stat, '2K_Ratings'!O358, IF(bbgm_stat &gt;= perc_95, converted_stat * 3, IF(bbgm_stat &gt;= perc_90, converted_stat * 2, IF(bbgm_stat &gt;= perc_85, converted_stat * 1.5, converted_stat)))))</f>
        <v/>
      </c>
      <c r="P358" s="30" t="str">
        <f t="array" ref="P358">IF($A358="", "", LET(bbgm_stat, INDEX(Players!$A357:$P357, MATCH(P$2, Players!$A$1:$P$1, 0)), perc_75, VLOOKUP(P$2, Percentiles!$A$45:$I$59, 6, FALSE), perc_90, VLOOKUP(P$2, Percentiles!$A$45:$I$59, 7, FALSE), perc_95, VLOOKUP(P$2, Percentiles!$A$45:$I$59, 8, FALSE), perc_85, perc_75 + (perc_90 - perc_75) * (2/3), converted_stat, '2K_Ratings'!P358, IF(bbgm_stat &gt;= perc_95, converted_stat * 3, IF(bbgm_stat &gt;= perc_90, converted_stat * 2, IF(bbgm_stat &gt;= perc_85, converted_stat * 1.5, converted_stat)))))</f>
        <v/>
      </c>
      <c r="Q358" s="30" t="str">
        <f t="array" ref="Q358">IF($A358="", "", LET(bbgm_stat, INDEX(Players!$A357:$P357, MATCH(Q$2, Players!$A$1:$P$1, 0)), perc_75, VLOOKUP(Q$2, Percentiles!$A$45:$I$59, 6, FALSE), perc_90, VLOOKUP(Q$2, Percentiles!$A$45:$I$59, 7, FALSE), perc_95, VLOOKUP(Q$2, Percentiles!$A$45:$I$59, 8, FALSE), perc_85, perc_75 + (perc_90 - perc_75) * (2/3), converted_stat, '2K_Ratings'!Q358, IF(bbgm_stat &gt;= perc_95, converted_stat * 3, IF(bbgm_stat &gt;= perc_90, converted_stat * 2, IF(bbgm_stat &gt;= perc_85, converted_stat * 1.5, converted_stat)))))</f>
        <v/>
      </c>
      <c r="R358" s="30" t="str">
        <f t="array" ref="R358">IF($A358="", "", LET(bbgm_stat, INDEX(Players!$A357:$P357, MATCH(R$2, Players!$A$1:$P$1, 0)), perc_75, VLOOKUP(R$2, Percentiles!$A$45:$I$59, 6, FALSE), perc_90, VLOOKUP(R$2, Percentiles!$A$45:$I$59, 7, FALSE), perc_95, VLOOKUP(R$2, Percentiles!$A$45:$I$59, 8, FALSE), perc_85, perc_75 + (perc_90 - perc_75) * (2/3), converted_stat, '2K_Ratings'!R358, IF(bbgm_stat &gt;= perc_95, converted_stat * 3, IF(bbgm_stat &gt;= perc_90, converted_stat * 2, IF(bbgm_stat &gt;= perc_85, converted_stat * 1.5, converted_stat)))))</f>
        <v/>
      </c>
      <c r="S358" s="30" t="str">
        <f t="array" ref="S358">IF($A358="", "", LET(bbgm_stat, INDEX(Players!$A357:$P357, MATCH(S$2, Players!$A$1:$P$1, 0)), perc_75, VLOOKUP(S$2, Percentiles!$A$45:$I$59, 6, FALSE), perc_90, VLOOKUP(S$2, Percentiles!$A$45:$I$59, 7, FALSE), perc_95, VLOOKUP(S$2, Percentiles!$A$45:$I$59, 8, FALSE), perc_85, perc_75 + (perc_90 - perc_75) * (2/3), converted_stat, '2K_Ratings'!S358, IF(bbgm_stat &gt;= perc_95, converted_stat * 3, IF(bbgm_stat &gt;= perc_90, converted_stat * 2, IF(bbgm_stat &gt;= perc_85, converted_stat * 1.5, converted_stat)))))</f>
        <v/>
      </c>
      <c r="T358" s="30" t="str">
        <f t="array" ref="T358">IF($A358="", "", LET(bbgm_stat, INDEX(Players!$A357:$P357, MATCH(T$2, Players!$A$1:$P$1, 0)), perc_75, VLOOKUP(T$2, Percentiles!$A$45:$I$59, 6, FALSE), perc_90, VLOOKUP(T$2, Percentiles!$A$45:$I$59, 7, FALSE), perc_95, VLOOKUP(T$2, Percentiles!$A$45:$I$59, 8, FALSE), perc_85, perc_75 + (perc_90 - perc_75) * (2/3), converted_stat, '2K_Ratings'!T358, IF(bbgm_stat &gt;= perc_95, converted_stat * 3, IF(bbgm_stat &gt;= perc_90, converted_stat * 2, IF(bbgm_stat &gt;= perc_85, converted_stat * 1.5, converted_stat)))))</f>
        <v/>
      </c>
      <c r="U358" s="30" t="str">
        <f t="array" ref="U358">IF($A358="", "", LET(bbgm_stat, INDEX(Players!$A357:$P357, MATCH(U$2, Players!$A$1:$P$1, 0)), perc_75, VLOOKUP(U$2, Percentiles!$A$45:$I$59, 6, FALSE), perc_90, VLOOKUP(U$2, Percentiles!$A$45:$I$59, 7, FALSE), perc_95, VLOOKUP(U$2, Percentiles!$A$45:$I$59, 8, FALSE), perc_85, perc_75 + (perc_90 - perc_75) * (2/3), converted_stat, '2K_Ratings'!U358, IF(bbgm_stat &gt;= perc_95, converted_stat * 3, IF(bbgm_stat &gt;= perc_90, converted_stat * 2, IF(bbgm_stat &gt;= perc_85, converted_stat * 1.5, converted_stat)))))</f>
        <v/>
      </c>
      <c r="V358" s="30" t="str">
        <f t="array" ref="V358">IF($A358="", "", LET(bbgm_stat, INDEX(Players!$A357:$P357, MATCH(V$2, Players!$A$1:$P$1, 0)), perc_75, VLOOKUP(V$2, Percentiles!$A$45:$I$59, 6, FALSE), perc_90, VLOOKUP(V$2, Percentiles!$A$45:$I$59, 7, FALSE), perc_95, VLOOKUP(V$2, Percentiles!$A$45:$I$59, 8, FALSE), perc_85, perc_75 + (perc_90 - perc_75) * (2/3), converted_stat, '2K_Ratings'!V358, IF(bbgm_stat &gt;= perc_95, converted_stat * 3, IF(bbgm_stat &gt;= perc_90, converted_stat * 2, IF(bbgm_stat &gt;= perc_85, converted_stat * 1.5, converted_stat)))))</f>
        <v/>
      </c>
      <c r="W358" s="30" t="str">
        <f t="array" ref="W358">IF($A358="", "", LET(bbgm_stat, INDEX(Players!$A357:$P357, MATCH(W$2, Players!$A$1:$P$1, 0)), perc_75, VLOOKUP(W$2, Percentiles!$A$45:$I$59, 6, FALSE), perc_90, VLOOKUP(W$2, Percentiles!$A$45:$I$59, 7, FALSE), perc_95, VLOOKUP(W$2, Percentiles!$A$45:$I$59, 8, FALSE), perc_85, perc_75 + (perc_90 - perc_75) * (2/3), converted_stat, '2K_Ratings'!W358, IF(bbgm_stat &gt;= perc_95, converted_stat * 3, IF(bbgm_stat &gt;= perc_90, converted_stat * 2, IF(bbgm_stat &gt;= perc_85, converted_stat * 1.5, converted_stat)))))</f>
        <v/>
      </c>
    </row>
    <row r="359">
      <c r="A359" s="30"/>
      <c r="B359" s="30" t="str">
        <f t="array" ref="B359">IF($A359="", "", LET(bbgm_stat, INDEX(Players!$A358:$P358, MATCH(B$2, Players!$A$1:$P$1, 0)), perc_75, VLOOKUP(B$2, Percentiles!$A$45:$I$59, 6, FALSE), perc_90, VLOOKUP(B$2, Percentiles!$A$45:$I$59, 7, FALSE), perc_95, VLOOKUP(B$2, Percentiles!$A$45:$I$59, 8, FALSE), perc_85, perc_75 + (perc_90 - perc_75) * (2/3), converted_stat, '2K_Ratings'!B359, IF(bbgm_stat &gt;= perc_95, converted_stat * 3, IF(bbgm_stat &gt;= perc_90, converted_stat * 2, IF(bbgm_stat &gt;= perc_85, converted_stat * 1.5, converted_stat)))))</f>
        <v/>
      </c>
      <c r="C359" s="30" t="str">
        <f t="array" ref="C359">IF($A359="", "", LET(bbgm_stat, INDEX(Players!$A358:$P358, MATCH(C$2, Players!$A$1:$P$1, 0)), perc_75, VLOOKUP(C$2, Percentiles!$A$45:$I$59, 6, FALSE), perc_90, VLOOKUP(C$2, Percentiles!$A$45:$I$59, 7, FALSE), perc_95, VLOOKUP(C$2, Percentiles!$A$45:$I$59, 8, FALSE), perc_85, perc_75 + (perc_90 - perc_75) * (2/3), converted_stat, '2K_Ratings'!C359, IF(bbgm_stat &gt;= perc_95, converted_stat * 3, IF(bbgm_stat &gt;= perc_90, converted_stat * 2, IF(bbgm_stat &gt;= perc_85, converted_stat * 1.5, converted_stat)))))</f>
        <v/>
      </c>
      <c r="D359" s="30" t="str">
        <f t="array" ref="D359">IF($A359="", "", LET(bbgm_stat, INDEX(Players!$A358:$P358, MATCH(D$2, Players!$A$1:$P$1, 0)), perc_75, VLOOKUP(D$2, Percentiles!$A$45:$I$59, 6, FALSE), perc_90, VLOOKUP(D$2, Percentiles!$A$45:$I$59, 7, FALSE), perc_95, VLOOKUP(D$2, Percentiles!$A$45:$I$59, 8, FALSE), perc_85, perc_75 + (perc_90 - perc_75) * (2/3), converted_stat, '2K_Ratings'!D359, IF(bbgm_stat &gt;= perc_95, converted_stat * 3, IF(bbgm_stat &gt;= perc_90, converted_stat * 2, IF(bbgm_stat &gt;= perc_85, converted_stat * 1.5, converted_stat)))))</f>
        <v/>
      </c>
      <c r="E359" s="30" t="str">
        <f t="array" ref="E359">IF($A359="", "", LET(bbgm_stat, INDEX(Players!$A358:$P358, MATCH(E$2, Players!$A$1:$P$1, 0)), perc_75, VLOOKUP(E$2, Percentiles!$A$45:$I$59, 6, FALSE), perc_90, VLOOKUP(E$2, Percentiles!$A$45:$I$59, 7, FALSE), perc_95, VLOOKUP(E$2, Percentiles!$A$45:$I$59, 8, FALSE), perc_85, perc_75 + (perc_90 - perc_75) * (2/3), converted_stat, '2K_Ratings'!E359, IF(bbgm_stat &gt;= perc_95, converted_stat * 3, IF(bbgm_stat &gt;= perc_90, converted_stat * 2, IF(bbgm_stat &gt;= perc_85, converted_stat * 1.5, converted_stat)))))</f>
        <v/>
      </c>
      <c r="F359" s="30" t="str">
        <f t="array" ref="F359">IF($A359="", "", LET(bbgm_stat, INDEX(Players!$A358:$P358, MATCH(F$2, Players!$A$1:$P$1, 0)), perc_75, VLOOKUP(F$2, Percentiles!$A$45:$I$59, 6, FALSE), perc_90, VLOOKUP(F$2, Percentiles!$A$45:$I$59, 7, FALSE), perc_95, VLOOKUP(F$2, Percentiles!$A$45:$I$59, 8, FALSE), perc_85, perc_75 + (perc_90 - perc_75) * (2/3), converted_stat, '2K_Ratings'!F359, IF(bbgm_stat &gt;= perc_95, converted_stat * 3, IF(bbgm_stat &gt;= perc_90, converted_stat * 2, IF(bbgm_stat &gt;= perc_85, converted_stat * 1.5, converted_stat)))))</f>
        <v/>
      </c>
      <c r="G359" s="30" t="str">
        <f t="array" ref="G359">IF($A359="", "", LET(bbgm_stat, INDEX(Players!$A358:$P358, MATCH(G$2, Players!$A$1:$P$1, 0)), perc_75, VLOOKUP(G$2, Percentiles!$A$45:$I$59, 6, FALSE), perc_90, VLOOKUP(G$2, Percentiles!$A$45:$I$59, 7, FALSE), perc_95, VLOOKUP(G$2, Percentiles!$A$45:$I$59, 8, FALSE), perc_85, perc_75 + (perc_90 - perc_75) * (2/3), converted_stat, '2K_Ratings'!G359, IF(bbgm_stat &gt;= perc_95, converted_stat * 3, IF(bbgm_stat &gt;= perc_90, converted_stat * 2, IF(bbgm_stat &gt;= perc_85, converted_stat * 1.5, converted_stat)))))</f>
        <v/>
      </c>
      <c r="H359" s="30" t="str">
        <f t="array" ref="H359">IF($A359="", "", LET(bbgm_stat, INDEX(Players!$A358:$P358, MATCH(H$2, Players!$A$1:$P$1, 0)), perc_75, VLOOKUP(H$2, Percentiles!$A$45:$I$59, 6, FALSE), perc_90, VLOOKUP(H$2, Percentiles!$A$45:$I$59, 7, FALSE), perc_95, VLOOKUP(H$2, Percentiles!$A$45:$I$59, 8, FALSE), perc_85, perc_75 + (perc_90 - perc_75) * (2/3), converted_stat, '2K_Ratings'!H359, IF(bbgm_stat &gt;= perc_95, converted_stat * 3, IF(bbgm_stat &gt;= perc_90, converted_stat * 2, IF(bbgm_stat &gt;= perc_85, converted_stat * 1.5, converted_stat)))))</f>
        <v/>
      </c>
      <c r="I359" s="30" t="str">
        <f t="array" ref="I359">IF($A359="", "", LET(bbgm_stat, INDEX(Players!$A358:$P358, MATCH(I$2, Players!$A$1:$P$1, 0)), perc_75, VLOOKUP(I$2, Percentiles!$A$45:$I$59, 6, FALSE), perc_90, VLOOKUP(I$2, Percentiles!$A$45:$I$59, 7, FALSE), perc_95, VLOOKUP(I$2, Percentiles!$A$45:$I$59, 8, FALSE), perc_85, perc_75 + (perc_90 - perc_75) * (2/3), converted_stat, '2K_Ratings'!I359, IF(bbgm_stat &gt;= perc_95, converted_stat * 3, IF(bbgm_stat &gt;= perc_90, converted_stat * 2, IF(bbgm_stat &gt;= perc_85, converted_stat * 1.5, converted_stat)))))</f>
        <v/>
      </c>
      <c r="J359" s="30" t="str">
        <f t="array" ref="J359">IF($A359="", "", LET(bbgm_stat, INDEX(Players!$A358:$P358, MATCH(J$2, Players!$A$1:$P$1, 0)), perc_75, VLOOKUP(J$2, Percentiles!$A$45:$I$59, 6, FALSE), perc_90, VLOOKUP(J$2, Percentiles!$A$45:$I$59, 7, FALSE), perc_95, VLOOKUP(J$2, Percentiles!$A$45:$I$59, 8, FALSE), perc_85, perc_75 + (perc_90 - perc_75) * (2/3), converted_stat, '2K_Ratings'!J359, IF(bbgm_stat &gt;= perc_95, converted_stat * 3, IF(bbgm_stat &gt;= perc_90, converted_stat * 2, IF(bbgm_stat &gt;= perc_85, converted_stat * 1.5, converted_stat)))))</f>
        <v/>
      </c>
      <c r="K359" s="30" t="str">
        <f t="array" ref="K359">IF($A359="", "", LET(bbgm_stat, INDEX(Players!$A358:$P358, MATCH(K$2, Players!$A$1:$P$1, 0)), perc_75, VLOOKUP(K$2, Percentiles!$A$45:$I$59, 6, FALSE), perc_90, VLOOKUP(K$2, Percentiles!$A$45:$I$59, 7, FALSE), perc_95, VLOOKUP(K$2, Percentiles!$A$45:$I$59, 8, FALSE), perc_85, perc_75 + (perc_90 - perc_75) * (2/3), converted_stat, '2K_Ratings'!K359, IF(bbgm_stat &gt;= perc_95, converted_stat * 3, IF(bbgm_stat &gt;= perc_90, converted_stat * 2, IF(bbgm_stat &gt;= perc_85, converted_stat * 1.5, converted_stat)))))</f>
        <v/>
      </c>
      <c r="L359" s="30" t="str">
        <f t="array" ref="L359">IF($A359="", "", LET(bbgm_stat, INDEX(Players!$A358:$P358, MATCH(L$2, Players!$A$1:$P$1, 0)), perc_75, VLOOKUP(L$2, Percentiles!$A$45:$I$59, 6, FALSE), perc_90, VLOOKUP(L$2, Percentiles!$A$45:$I$59, 7, FALSE), perc_95, VLOOKUP(L$2, Percentiles!$A$45:$I$59, 8, FALSE), perc_85, perc_75 + (perc_90 - perc_75) * (2/3), converted_stat, '2K_Ratings'!L359, IF(bbgm_stat &gt;= perc_95, converted_stat * 3, IF(bbgm_stat &gt;= perc_90, converted_stat * 2, IF(bbgm_stat &gt;= perc_85, converted_stat * 1.5, converted_stat)))))</f>
        <v/>
      </c>
      <c r="M359" s="30" t="str">
        <f t="array" ref="M359">IF($A359="", "", LET(bbgm_stat, INDEX(Players!$A358:$P358, MATCH(M$2, Players!$A$1:$P$1, 0)), perc_75, VLOOKUP(M$2, Percentiles!$A$45:$I$59, 6, FALSE), perc_90, VLOOKUP(M$2, Percentiles!$A$45:$I$59, 7, FALSE), perc_95, VLOOKUP(M$2, Percentiles!$A$45:$I$59, 8, FALSE), perc_85, perc_75 + (perc_90 - perc_75) * (2/3), converted_stat, '2K_Ratings'!M359, IF(bbgm_stat &gt;= perc_95, converted_stat * 3, IF(bbgm_stat &gt;= perc_90, converted_stat * 2, IF(bbgm_stat &gt;= perc_85, converted_stat * 1.5, converted_stat)))))</f>
        <v/>
      </c>
      <c r="N359" s="30" t="str">
        <f t="array" ref="N359">IF($A359="", "", LET(bbgm_stat, INDEX(Players!$A358:$P358, MATCH(N$2, Players!$A$1:$P$1, 0)), perc_75, VLOOKUP(N$2, Percentiles!$A$45:$I$59, 6, FALSE), perc_90, VLOOKUP(N$2, Percentiles!$A$45:$I$59, 7, FALSE), perc_95, VLOOKUP(N$2, Percentiles!$A$45:$I$59, 8, FALSE), perc_85, perc_75 + (perc_90 - perc_75) * (2/3), converted_stat, '2K_Ratings'!N359, IF(bbgm_stat &gt;= perc_95, converted_stat * 3, IF(bbgm_stat &gt;= perc_90, converted_stat * 2, IF(bbgm_stat &gt;= perc_85, converted_stat * 1.5, converted_stat)))))</f>
        <v/>
      </c>
      <c r="O359" s="30" t="str">
        <f t="array" ref="O359">IF($A359="", "", LET(bbgm_stat, INDEX(Players!$A358:$P358, MATCH(O$2, Players!$A$1:$P$1, 0)), perc_75, VLOOKUP(O$2, Percentiles!$A$45:$I$59, 6, FALSE), perc_90, VLOOKUP(O$2, Percentiles!$A$45:$I$59, 7, FALSE), perc_95, VLOOKUP(O$2, Percentiles!$A$45:$I$59, 8, FALSE), perc_85, perc_75 + (perc_90 - perc_75) * (2/3), converted_stat, '2K_Ratings'!O359, IF(bbgm_stat &gt;= perc_95, converted_stat * 3, IF(bbgm_stat &gt;= perc_90, converted_stat * 2, IF(bbgm_stat &gt;= perc_85, converted_stat * 1.5, converted_stat)))))</f>
        <v/>
      </c>
      <c r="P359" s="30" t="str">
        <f t="array" ref="P359">IF($A359="", "", LET(bbgm_stat, INDEX(Players!$A358:$P358, MATCH(P$2, Players!$A$1:$P$1, 0)), perc_75, VLOOKUP(P$2, Percentiles!$A$45:$I$59, 6, FALSE), perc_90, VLOOKUP(P$2, Percentiles!$A$45:$I$59, 7, FALSE), perc_95, VLOOKUP(P$2, Percentiles!$A$45:$I$59, 8, FALSE), perc_85, perc_75 + (perc_90 - perc_75) * (2/3), converted_stat, '2K_Ratings'!P359, IF(bbgm_stat &gt;= perc_95, converted_stat * 3, IF(bbgm_stat &gt;= perc_90, converted_stat * 2, IF(bbgm_stat &gt;= perc_85, converted_stat * 1.5, converted_stat)))))</f>
        <v/>
      </c>
      <c r="Q359" s="30" t="str">
        <f t="array" ref="Q359">IF($A359="", "", LET(bbgm_stat, INDEX(Players!$A358:$P358, MATCH(Q$2, Players!$A$1:$P$1, 0)), perc_75, VLOOKUP(Q$2, Percentiles!$A$45:$I$59, 6, FALSE), perc_90, VLOOKUP(Q$2, Percentiles!$A$45:$I$59, 7, FALSE), perc_95, VLOOKUP(Q$2, Percentiles!$A$45:$I$59, 8, FALSE), perc_85, perc_75 + (perc_90 - perc_75) * (2/3), converted_stat, '2K_Ratings'!Q359, IF(bbgm_stat &gt;= perc_95, converted_stat * 3, IF(bbgm_stat &gt;= perc_90, converted_stat * 2, IF(bbgm_stat &gt;= perc_85, converted_stat * 1.5, converted_stat)))))</f>
        <v/>
      </c>
      <c r="R359" s="30" t="str">
        <f t="array" ref="R359">IF($A359="", "", LET(bbgm_stat, INDEX(Players!$A358:$P358, MATCH(R$2, Players!$A$1:$P$1, 0)), perc_75, VLOOKUP(R$2, Percentiles!$A$45:$I$59, 6, FALSE), perc_90, VLOOKUP(R$2, Percentiles!$A$45:$I$59, 7, FALSE), perc_95, VLOOKUP(R$2, Percentiles!$A$45:$I$59, 8, FALSE), perc_85, perc_75 + (perc_90 - perc_75) * (2/3), converted_stat, '2K_Ratings'!R359, IF(bbgm_stat &gt;= perc_95, converted_stat * 3, IF(bbgm_stat &gt;= perc_90, converted_stat * 2, IF(bbgm_stat &gt;= perc_85, converted_stat * 1.5, converted_stat)))))</f>
        <v/>
      </c>
      <c r="S359" s="30" t="str">
        <f t="array" ref="S359">IF($A359="", "", LET(bbgm_stat, INDEX(Players!$A358:$P358, MATCH(S$2, Players!$A$1:$P$1, 0)), perc_75, VLOOKUP(S$2, Percentiles!$A$45:$I$59, 6, FALSE), perc_90, VLOOKUP(S$2, Percentiles!$A$45:$I$59, 7, FALSE), perc_95, VLOOKUP(S$2, Percentiles!$A$45:$I$59, 8, FALSE), perc_85, perc_75 + (perc_90 - perc_75) * (2/3), converted_stat, '2K_Ratings'!S359, IF(bbgm_stat &gt;= perc_95, converted_stat * 3, IF(bbgm_stat &gt;= perc_90, converted_stat * 2, IF(bbgm_stat &gt;= perc_85, converted_stat * 1.5, converted_stat)))))</f>
        <v/>
      </c>
      <c r="T359" s="30" t="str">
        <f t="array" ref="T359">IF($A359="", "", LET(bbgm_stat, INDEX(Players!$A358:$P358, MATCH(T$2, Players!$A$1:$P$1, 0)), perc_75, VLOOKUP(T$2, Percentiles!$A$45:$I$59, 6, FALSE), perc_90, VLOOKUP(T$2, Percentiles!$A$45:$I$59, 7, FALSE), perc_95, VLOOKUP(T$2, Percentiles!$A$45:$I$59, 8, FALSE), perc_85, perc_75 + (perc_90 - perc_75) * (2/3), converted_stat, '2K_Ratings'!T359, IF(bbgm_stat &gt;= perc_95, converted_stat * 3, IF(bbgm_stat &gt;= perc_90, converted_stat * 2, IF(bbgm_stat &gt;= perc_85, converted_stat * 1.5, converted_stat)))))</f>
        <v/>
      </c>
      <c r="U359" s="30" t="str">
        <f t="array" ref="U359">IF($A359="", "", LET(bbgm_stat, INDEX(Players!$A358:$P358, MATCH(U$2, Players!$A$1:$P$1, 0)), perc_75, VLOOKUP(U$2, Percentiles!$A$45:$I$59, 6, FALSE), perc_90, VLOOKUP(U$2, Percentiles!$A$45:$I$59, 7, FALSE), perc_95, VLOOKUP(U$2, Percentiles!$A$45:$I$59, 8, FALSE), perc_85, perc_75 + (perc_90 - perc_75) * (2/3), converted_stat, '2K_Ratings'!U359, IF(bbgm_stat &gt;= perc_95, converted_stat * 3, IF(bbgm_stat &gt;= perc_90, converted_stat * 2, IF(bbgm_stat &gt;= perc_85, converted_stat * 1.5, converted_stat)))))</f>
        <v/>
      </c>
      <c r="V359" s="30" t="str">
        <f t="array" ref="V359">IF($A359="", "", LET(bbgm_stat, INDEX(Players!$A358:$P358, MATCH(V$2, Players!$A$1:$P$1, 0)), perc_75, VLOOKUP(V$2, Percentiles!$A$45:$I$59, 6, FALSE), perc_90, VLOOKUP(V$2, Percentiles!$A$45:$I$59, 7, FALSE), perc_95, VLOOKUP(V$2, Percentiles!$A$45:$I$59, 8, FALSE), perc_85, perc_75 + (perc_90 - perc_75) * (2/3), converted_stat, '2K_Ratings'!V359, IF(bbgm_stat &gt;= perc_95, converted_stat * 3, IF(bbgm_stat &gt;= perc_90, converted_stat * 2, IF(bbgm_stat &gt;= perc_85, converted_stat * 1.5, converted_stat)))))</f>
        <v/>
      </c>
      <c r="W359" s="30" t="str">
        <f t="array" ref="W359">IF($A359="", "", LET(bbgm_stat, INDEX(Players!$A358:$P358, MATCH(W$2, Players!$A$1:$P$1, 0)), perc_75, VLOOKUP(W$2, Percentiles!$A$45:$I$59, 6, FALSE), perc_90, VLOOKUP(W$2, Percentiles!$A$45:$I$59, 7, FALSE), perc_95, VLOOKUP(W$2, Percentiles!$A$45:$I$59, 8, FALSE), perc_85, perc_75 + (perc_90 - perc_75) * (2/3), converted_stat, '2K_Ratings'!W359, IF(bbgm_stat &gt;= perc_95, converted_stat * 3, IF(bbgm_stat &gt;= perc_90, converted_stat * 2, IF(bbgm_stat &gt;= perc_85, converted_stat * 1.5, converted_stat)))))</f>
        <v/>
      </c>
    </row>
    <row r="360">
      <c r="A360" s="30"/>
      <c r="B360" s="30" t="str">
        <f t="array" ref="B360">IF($A360="", "", LET(bbgm_stat, INDEX(Players!$A359:$P359, MATCH(B$2, Players!$A$1:$P$1, 0)), perc_75, VLOOKUP(B$2, Percentiles!$A$45:$I$59, 6, FALSE), perc_90, VLOOKUP(B$2, Percentiles!$A$45:$I$59, 7, FALSE), perc_95, VLOOKUP(B$2, Percentiles!$A$45:$I$59, 8, FALSE), perc_85, perc_75 + (perc_90 - perc_75) * (2/3), converted_stat, '2K_Ratings'!B360, IF(bbgm_stat &gt;= perc_95, converted_stat * 3, IF(bbgm_stat &gt;= perc_90, converted_stat * 2, IF(bbgm_stat &gt;= perc_85, converted_stat * 1.5, converted_stat)))))</f>
        <v/>
      </c>
      <c r="C360" s="30" t="str">
        <f t="array" ref="C360">IF($A360="", "", LET(bbgm_stat, INDEX(Players!$A359:$P359, MATCH(C$2, Players!$A$1:$P$1, 0)), perc_75, VLOOKUP(C$2, Percentiles!$A$45:$I$59, 6, FALSE), perc_90, VLOOKUP(C$2, Percentiles!$A$45:$I$59, 7, FALSE), perc_95, VLOOKUP(C$2, Percentiles!$A$45:$I$59, 8, FALSE), perc_85, perc_75 + (perc_90 - perc_75) * (2/3), converted_stat, '2K_Ratings'!C360, IF(bbgm_stat &gt;= perc_95, converted_stat * 3, IF(bbgm_stat &gt;= perc_90, converted_stat * 2, IF(bbgm_stat &gt;= perc_85, converted_stat * 1.5, converted_stat)))))</f>
        <v/>
      </c>
      <c r="D360" s="30" t="str">
        <f t="array" ref="D360">IF($A360="", "", LET(bbgm_stat, INDEX(Players!$A359:$P359, MATCH(D$2, Players!$A$1:$P$1, 0)), perc_75, VLOOKUP(D$2, Percentiles!$A$45:$I$59, 6, FALSE), perc_90, VLOOKUP(D$2, Percentiles!$A$45:$I$59, 7, FALSE), perc_95, VLOOKUP(D$2, Percentiles!$A$45:$I$59, 8, FALSE), perc_85, perc_75 + (perc_90 - perc_75) * (2/3), converted_stat, '2K_Ratings'!D360, IF(bbgm_stat &gt;= perc_95, converted_stat * 3, IF(bbgm_stat &gt;= perc_90, converted_stat * 2, IF(bbgm_stat &gt;= perc_85, converted_stat * 1.5, converted_stat)))))</f>
        <v/>
      </c>
      <c r="E360" s="30" t="str">
        <f t="array" ref="E360">IF($A360="", "", LET(bbgm_stat, INDEX(Players!$A359:$P359, MATCH(E$2, Players!$A$1:$P$1, 0)), perc_75, VLOOKUP(E$2, Percentiles!$A$45:$I$59, 6, FALSE), perc_90, VLOOKUP(E$2, Percentiles!$A$45:$I$59, 7, FALSE), perc_95, VLOOKUP(E$2, Percentiles!$A$45:$I$59, 8, FALSE), perc_85, perc_75 + (perc_90 - perc_75) * (2/3), converted_stat, '2K_Ratings'!E360, IF(bbgm_stat &gt;= perc_95, converted_stat * 3, IF(bbgm_stat &gt;= perc_90, converted_stat * 2, IF(bbgm_stat &gt;= perc_85, converted_stat * 1.5, converted_stat)))))</f>
        <v/>
      </c>
      <c r="F360" s="30" t="str">
        <f t="array" ref="F360">IF($A360="", "", LET(bbgm_stat, INDEX(Players!$A359:$P359, MATCH(F$2, Players!$A$1:$P$1, 0)), perc_75, VLOOKUP(F$2, Percentiles!$A$45:$I$59, 6, FALSE), perc_90, VLOOKUP(F$2, Percentiles!$A$45:$I$59, 7, FALSE), perc_95, VLOOKUP(F$2, Percentiles!$A$45:$I$59, 8, FALSE), perc_85, perc_75 + (perc_90 - perc_75) * (2/3), converted_stat, '2K_Ratings'!F360, IF(bbgm_stat &gt;= perc_95, converted_stat * 3, IF(bbgm_stat &gt;= perc_90, converted_stat * 2, IF(bbgm_stat &gt;= perc_85, converted_stat * 1.5, converted_stat)))))</f>
        <v/>
      </c>
      <c r="G360" s="30" t="str">
        <f t="array" ref="G360">IF($A360="", "", LET(bbgm_stat, INDEX(Players!$A359:$P359, MATCH(G$2, Players!$A$1:$P$1, 0)), perc_75, VLOOKUP(G$2, Percentiles!$A$45:$I$59, 6, FALSE), perc_90, VLOOKUP(G$2, Percentiles!$A$45:$I$59, 7, FALSE), perc_95, VLOOKUP(G$2, Percentiles!$A$45:$I$59, 8, FALSE), perc_85, perc_75 + (perc_90 - perc_75) * (2/3), converted_stat, '2K_Ratings'!G360, IF(bbgm_stat &gt;= perc_95, converted_stat * 3, IF(bbgm_stat &gt;= perc_90, converted_stat * 2, IF(bbgm_stat &gt;= perc_85, converted_stat * 1.5, converted_stat)))))</f>
        <v/>
      </c>
      <c r="H360" s="30" t="str">
        <f t="array" ref="H360">IF($A360="", "", LET(bbgm_stat, INDEX(Players!$A359:$P359, MATCH(H$2, Players!$A$1:$P$1, 0)), perc_75, VLOOKUP(H$2, Percentiles!$A$45:$I$59, 6, FALSE), perc_90, VLOOKUP(H$2, Percentiles!$A$45:$I$59, 7, FALSE), perc_95, VLOOKUP(H$2, Percentiles!$A$45:$I$59, 8, FALSE), perc_85, perc_75 + (perc_90 - perc_75) * (2/3), converted_stat, '2K_Ratings'!H360, IF(bbgm_stat &gt;= perc_95, converted_stat * 3, IF(bbgm_stat &gt;= perc_90, converted_stat * 2, IF(bbgm_stat &gt;= perc_85, converted_stat * 1.5, converted_stat)))))</f>
        <v/>
      </c>
      <c r="I360" s="30" t="str">
        <f t="array" ref="I360">IF($A360="", "", LET(bbgm_stat, INDEX(Players!$A359:$P359, MATCH(I$2, Players!$A$1:$P$1, 0)), perc_75, VLOOKUP(I$2, Percentiles!$A$45:$I$59, 6, FALSE), perc_90, VLOOKUP(I$2, Percentiles!$A$45:$I$59, 7, FALSE), perc_95, VLOOKUP(I$2, Percentiles!$A$45:$I$59, 8, FALSE), perc_85, perc_75 + (perc_90 - perc_75) * (2/3), converted_stat, '2K_Ratings'!I360, IF(bbgm_stat &gt;= perc_95, converted_stat * 3, IF(bbgm_stat &gt;= perc_90, converted_stat * 2, IF(bbgm_stat &gt;= perc_85, converted_stat * 1.5, converted_stat)))))</f>
        <v/>
      </c>
      <c r="J360" s="30" t="str">
        <f t="array" ref="J360">IF($A360="", "", LET(bbgm_stat, INDEX(Players!$A359:$P359, MATCH(J$2, Players!$A$1:$P$1, 0)), perc_75, VLOOKUP(J$2, Percentiles!$A$45:$I$59, 6, FALSE), perc_90, VLOOKUP(J$2, Percentiles!$A$45:$I$59, 7, FALSE), perc_95, VLOOKUP(J$2, Percentiles!$A$45:$I$59, 8, FALSE), perc_85, perc_75 + (perc_90 - perc_75) * (2/3), converted_stat, '2K_Ratings'!J360, IF(bbgm_stat &gt;= perc_95, converted_stat * 3, IF(bbgm_stat &gt;= perc_90, converted_stat * 2, IF(bbgm_stat &gt;= perc_85, converted_stat * 1.5, converted_stat)))))</f>
        <v/>
      </c>
      <c r="K360" s="30" t="str">
        <f t="array" ref="K360">IF($A360="", "", LET(bbgm_stat, INDEX(Players!$A359:$P359, MATCH(K$2, Players!$A$1:$P$1, 0)), perc_75, VLOOKUP(K$2, Percentiles!$A$45:$I$59, 6, FALSE), perc_90, VLOOKUP(K$2, Percentiles!$A$45:$I$59, 7, FALSE), perc_95, VLOOKUP(K$2, Percentiles!$A$45:$I$59, 8, FALSE), perc_85, perc_75 + (perc_90 - perc_75) * (2/3), converted_stat, '2K_Ratings'!K360, IF(bbgm_stat &gt;= perc_95, converted_stat * 3, IF(bbgm_stat &gt;= perc_90, converted_stat * 2, IF(bbgm_stat &gt;= perc_85, converted_stat * 1.5, converted_stat)))))</f>
        <v/>
      </c>
      <c r="L360" s="30" t="str">
        <f t="array" ref="L360">IF($A360="", "", LET(bbgm_stat, INDEX(Players!$A359:$P359, MATCH(L$2, Players!$A$1:$P$1, 0)), perc_75, VLOOKUP(L$2, Percentiles!$A$45:$I$59, 6, FALSE), perc_90, VLOOKUP(L$2, Percentiles!$A$45:$I$59, 7, FALSE), perc_95, VLOOKUP(L$2, Percentiles!$A$45:$I$59, 8, FALSE), perc_85, perc_75 + (perc_90 - perc_75) * (2/3), converted_stat, '2K_Ratings'!L360, IF(bbgm_stat &gt;= perc_95, converted_stat * 3, IF(bbgm_stat &gt;= perc_90, converted_stat * 2, IF(bbgm_stat &gt;= perc_85, converted_stat * 1.5, converted_stat)))))</f>
        <v/>
      </c>
      <c r="M360" s="30" t="str">
        <f t="array" ref="M360">IF($A360="", "", LET(bbgm_stat, INDEX(Players!$A359:$P359, MATCH(M$2, Players!$A$1:$P$1, 0)), perc_75, VLOOKUP(M$2, Percentiles!$A$45:$I$59, 6, FALSE), perc_90, VLOOKUP(M$2, Percentiles!$A$45:$I$59, 7, FALSE), perc_95, VLOOKUP(M$2, Percentiles!$A$45:$I$59, 8, FALSE), perc_85, perc_75 + (perc_90 - perc_75) * (2/3), converted_stat, '2K_Ratings'!M360, IF(bbgm_stat &gt;= perc_95, converted_stat * 3, IF(bbgm_stat &gt;= perc_90, converted_stat * 2, IF(bbgm_stat &gt;= perc_85, converted_stat * 1.5, converted_stat)))))</f>
        <v/>
      </c>
      <c r="N360" s="30" t="str">
        <f t="array" ref="N360">IF($A360="", "", LET(bbgm_stat, INDEX(Players!$A359:$P359, MATCH(N$2, Players!$A$1:$P$1, 0)), perc_75, VLOOKUP(N$2, Percentiles!$A$45:$I$59, 6, FALSE), perc_90, VLOOKUP(N$2, Percentiles!$A$45:$I$59, 7, FALSE), perc_95, VLOOKUP(N$2, Percentiles!$A$45:$I$59, 8, FALSE), perc_85, perc_75 + (perc_90 - perc_75) * (2/3), converted_stat, '2K_Ratings'!N360, IF(bbgm_stat &gt;= perc_95, converted_stat * 3, IF(bbgm_stat &gt;= perc_90, converted_stat * 2, IF(bbgm_stat &gt;= perc_85, converted_stat * 1.5, converted_stat)))))</f>
        <v/>
      </c>
      <c r="O360" s="30" t="str">
        <f t="array" ref="O360">IF($A360="", "", LET(bbgm_stat, INDEX(Players!$A359:$P359, MATCH(O$2, Players!$A$1:$P$1, 0)), perc_75, VLOOKUP(O$2, Percentiles!$A$45:$I$59, 6, FALSE), perc_90, VLOOKUP(O$2, Percentiles!$A$45:$I$59, 7, FALSE), perc_95, VLOOKUP(O$2, Percentiles!$A$45:$I$59, 8, FALSE), perc_85, perc_75 + (perc_90 - perc_75) * (2/3), converted_stat, '2K_Ratings'!O360, IF(bbgm_stat &gt;= perc_95, converted_stat * 3, IF(bbgm_stat &gt;= perc_90, converted_stat * 2, IF(bbgm_stat &gt;= perc_85, converted_stat * 1.5, converted_stat)))))</f>
        <v/>
      </c>
      <c r="P360" s="30" t="str">
        <f t="array" ref="P360">IF($A360="", "", LET(bbgm_stat, INDEX(Players!$A359:$P359, MATCH(P$2, Players!$A$1:$P$1, 0)), perc_75, VLOOKUP(P$2, Percentiles!$A$45:$I$59, 6, FALSE), perc_90, VLOOKUP(P$2, Percentiles!$A$45:$I$59, 7, FALSE), perc_95, VLOOKUP(P$2, Percentiles!$A$45:$I$59, 8, FALSE), perc_85, perc_75 + (perc_90 - perc_75) * (2/3), converted_stat, '2K_Ratings'!P360, IF(bbgm_stat &gt;= perc_95, converted_stat * 3, IF(bbgm_stat &gt;= perc_90, converted_stat * 2, IF(bbgm_stat &gt;= perc_85, converted_stat * 1.5, converted_stat)))))</f>
        <v/>
      </c>
      <c r="Q360" s="30" t="str">
        <f t="array" ref="Q360">IF($A360="", "", LET(bbgm_stat, INDEX(Players!$A359:$P359, MATCH(Q$2, Players!$A$1:$P$1, 0)), perc_75, VLOOKUP(Q$2, Percentiles!$A$45:$I$59, 6, FALSE), perc_90, VLOOKUP(Q$2, Percentiles!$A$45:$I$59, 7, FALSE), perc_95, VLOOKUP(Q$2, Percentiles!$A$45:$I$59, 8, FALSE), perc_85, perc_75 + (perc_90 - perc_75) * (2/3), converted_stat, '2K_Ratings'!Q360, IF(bbgm_stat &gt;= perc_95, converted_stat * 3, IF(bbgm_stat &gt;= perc_90, converted_stat * 2, IF(bbgm_stat &gt;= perc_85, converted_stat * 1.5, converted_stat)))))</f>
        <v/>
      </c>
      <c r="R360" s="30" t="str">
        <f t="array" ref="R360">IF($A360="", "", LET(bbgm_stat, INDEX(Players!$A359:$P359, MATCH(R$2, Players!$A$1:$P$1, 0)), perc_75, VLOOKUP(R$2, Percentiles!$A$45:$I$59, 6, FALSE), perc_90, VLOOKUP(R$2, Percentiles!$A$45:$I$59, 7, FALSE), perc_95, VLOOKUP(R$2, Percentiles!$A$45:$I$59, 8, FALSE), perc_85, perc_75 + (perc_90 - perc_75) * (2/3), converted_stat, '2K_Ratings'!R360, IF(bbgm_stat &gt;= perc_95, converted_stat * 3, IF(bbgm_stat &gt;= perc_90, converted_stat * 2, IF(bbgm_stat &gt;= perc_85, converted_stat * 1.5, converted_stat)))))</f>
        <v/>
      </c>
      <c r="S360" s="30" t="str">
        <f t="array" ref="S360">IF($A360="", "", LET(bbgm_stat, INDEX(Players!$A359:$P359, MATCH(S$2, Players!$A$1:$P$1, 0)), perc_75, VLOOKUP(S$2, Percentiles!$A$45:$I$59, 6, FALSE), perc_90, VLOOKUP(S$2, Percentiles!$A$45:$I$59, 7, FALSE), perc_95, VLOOKUP(S$2, Percentiles!$A$45:$I$59, 8, FALSE), perc_85, perc_75 + (perc_90 - perc_75) * (2/3), converted_stat, '2K_Ratings'!S360, IF(bbgm_stat &gt;= perc_95, converted_stat * 3, IF(bbgm_stat &gt;= perc_90, converted_stat * 2, IF(bbgm_stat &gt;= perc_85, converted_stat * 1.5, converted_stat)))))</f>
        <v/>
      </c>
      <c r="T360" s="30" t="str">
        <f t="array" ref="T360">IF($A360="", "", LET(bbgm_stat, INDEX(Players!$A359:$P359, MATCH(T$2, Players!$A$1:$P$1, 0)), perc_75, VLOOKUP(T$2, Percentiles!$A$45:$I$59, 6, FALSE), perc_90, VLOOKUP(T$2, Percentiles!$A$45:$I$59, 7, FALSE), perc_95, VLOOKUP(T$2, Percentiles!$A$45:$I$59, 8, FALSE), perc_85, perc_75 + (perc_90 - perc_75) * (2/3), converted_stat, '2K_Ratings'!T360, IF(bbgm_stat &gt;= perc_95, converted_stat * 3, IF(bbgm_stat &gt;= perc_90, converted_stat * 2, IF(bbgm_stat &gt;= perc_85, converted_stat * 1.5, converted_stat)))))</f>
        <v/>
      </c>
      <c r="U360" s="30" t="str">
        <f t="array" ref="U360">IF($A360="", "", LET(bbgm_stat, INDEX(Players!$A359:$P359, MATCH(U$2, Players!$A$1:$P$1, 0)), perc_75, VLOOKUP(U$2, Percentiles!$A$45:$I$59, 6, FALSE), perc_90, VLOOKUP(U$2, Percentiles!$A$45:$I$59, 7, FALSE), perc_95, VLOOKUP(U$2, Percentiles!$A$45:$I$59, 8, FALSE), perc_85, perc_75 + (perc_90 - perc_75) * (2/3), converted_stat, '2K_Ratings'!U360, IF(bbgm_stat &gt;= perc_95, converted_stat * 3, IF(bbgm_stat &gt;= perc_90, converted_stat * 2, IF(bbgm_stat &gt;= perc_85, converted_stat * 1.5, converted_stat)))))</f>
        <v/>
      </c>
      <c r="V360" s="30" t="str">
        <f t="array" ref="V360">IF($A360="", "", LET(bbgm_stat, INDEX(Players!$A359:$P359, MATCH(V$2, Players!$A$1:$P$1, 0)), perc_75, VLOOKUP(V$2, Percentiles!$A$45:$I$59, 6, FALSE), perc_90, VLOOKUP(V$2, Percentiles!$A$45:$I$59, 7, FALSE), perc_95, VLOOKUP(V$2, Percentiles!$A$45:$I$59, 8, FALSE), perc_85, perc_75 + (perc_90 - perc_75) * (2/3), converted_stat, '2K_Ratings'!V360, IF(bbgm_stat &gt;= perc_95, converted_stat * 3, IF(bbgm_stat &gt;= perc_90, converted_stat * 2, IF(bbgm_stat &gt;= perc_85, converted_stat * 1.5, converted_stat)))))</f>
        <v/>
      </c>
      <c r="W360" s="30" t="str">
        <f t="array" ref="W360">IF($A360="", "", LET(bbgm_stat, INDEX(Players!$A359:$P359, MATCH(W$2, Players!$A$1:$P$1, 0)), perc_75, VLOOKUP(W$2, Percentiles!$A$45:$I$59, 6, FALSE), perc_90, VLOOKUP(W$2, Percentiles!$A$45:$I$59, 7, FALSE), perc_95, VLOOKUP(W$2, Percentiles!$A$45:$I$59, 8, FALSE), perc_85, perc_75 + (perc_90 - perc_75) * (2/3), converted_stat, '2K_Ratings'!W360, IF(bbgm_stat &gt;= perc_95, converted_stat * 3, IF(bbgm_stat &gt;= perc_90, converted_stat * 2, IF(bbgm_stat &gt;= perc_85, converted_stat * 1.5, converted_stat)))))</f>
        <v/>
      </c>
    </row>
    <row r="361">
      <c r="A361" s="30"/>
      <c r="B361" s="30" t="str">
        <f t="array" ref="B361">IF($A361="", "", LET(bbgm_stat, INDEX(Players!$A360:$P360, MATCH(B$2, Players!$A$1:$P$1, 0)), perc_75, VLOOKUP(B$2, Percentiles!$A$45:$I$59, 6, FALSE), perc_90, VLOOKUP(B$2, Percentiles!$A$45:$I$59, 7, FALSE), perc_95, VLOOKUP(B$2, Percentiles!$A$45:$I$59, 8, FALSE), perc_85, perc_75 + (perc_90 - perc_75) * (2/3), converted_stat, '2K_Ratings'!B361, IF(bbgm_stat &gt;= perc_95, converted_stat * 3, IF(bbgm_stat &gt;= perc_90, converted_stat * 2, IF(bbgm_stat &gt;= perc_85, converted_stat * 1.5, converted_stat)))))</f>
        <v/>
      </c>
      <c r="C361" s="30" t="str">
        <f t="array" ref="C361">IF($A361="", "", LET(bbgm_stat, INDEX(Players!$A360:$P360, MATCH(C$2, Players!$A$1:$P$1, 0)), perc_75, VLOOKUP(C$2, Percentiles!$A$45:$I$59, 6, FALSE), perc_90, VLOOKUP(C$2, Percentiles!$A$45:$I$59, 7, FALSE), perc_95, VLOOKUP(C$2, Percentiles!$A$45:$I$59, 8, FALSE), perc_85, perc_75 + (perc_90 - perc_75) * (2/3), converted_stat, '2K_Ratings'!C361, IF(bbgm_stat &gt;= perc_95, converted_stat * 3, IF(bbgm_stat &gt;= perc_90, converted_stat * 2, IF(bbgm_stat &gt;= perc_85, converted_stat * 1.5, converted_stat)))))</f>
        <v/>
      </c>
      <c r="D361" s="30" t="str">
        <f t="array" ref="D361">IF($A361="", "", LET(bbgm_stat, INDEX(Players!$A360:$P360, MATCH(D$2, Players!$A$1:$P$1, 0)), perc_75, VLOOKUP(D$2, Percentiles!$A$45:$I$59, 6, FALSE), perc_90, VLOOKUP(D$2, Percentiles!$A$45:$I$59, 7, FALSE), perc_95, VLOOKUP(D$2, Percentiles!$A$45:$I$59, 8, FALSE), perc_85, perc_75 + (perc_90 - perc_75) * (2/3), converted_stat, '2K_Ratings'!D361, IF(bbgm_stat &gt;= perc_95, converted_stat * 3, IF(bbgm_stat &gt;= perc_90, converted_stat * 2, IF(bbgm_stat &gt;= perc_85, converted_stat * 1.5, converted_stat)))))</f>
        <v/>
      </c>
      <c r="E361" s="30" t="str">
        <f t="array" ref="E361">IF($A361="", "", LET(bbgm_stat, INDEX(Players!$A360:$P360, MATCH(E$2, Players!$A$1:$P$1, 0)), perc_75, VLOOKUP(E$2, Percentiles!$A$45:$I$59, 6, FALSE), perc_90, VLOOKUP(E$2, Percentiles!$A$45:$I$59, 7, FALSE), perc_95, VLOOKUP(E$2, Percentiles!$A$45:$I$59, 8, FALSE), perc_85, perc_75 + (perc_90 - perc_75) * (2/3), converted_stat, '2K_Ratings'!E361, IF(bbgm_stat &gt;= perc_95, converted_stat * 3, IF(bbgm_stat &gt;= perc_90, converted_stat * 2, IF(bbgm_stat &gt;= perc_85, converted_stat * 1.5, converted_stat)))))</f>
        <v/>
      </c>
      <c r="F361" s="30" t="str">
        <f t="array" ref="F361">IF($A361="", "", LET(bbgm_stat, INDEX(Players!$A360:$P360, MATCH(F$2, Players!$A$1:$P$1, 0)), perc_75, VLOOKUP(F$2, Percentiles!$A$45:$I$59, 6, FALSE), perc_90, VLOOKUP(F$2, Percentiles!$A$45:$I$59, 7, FALSE), perc_95, VLOOKUP(F$2, Percentiles!$A$45:$I$59, 8, FALSE), perc_85, perc_75 + (perc_90 - perc_75) * (2/3), converted_stat, '2K_Ratings'!F361, IF(bbgm_stat &gt;= perc_95, converted_stat * 3, IF(bbgm_stat &gt;= perc_90, converted_stat * 2, IF(bbgm_stat &gt;= perc_85, converted_stat * 1.5, converted_stat)))))</f>
        <v/>
      </c>
      <c r="G361" s="30" t="str">
        <f t="array" ref="G361">IF($A361="", "", LET(bbgm_stat, INDEX(Players!$A360:$P360, MATCH(G$2, Players!$A$1:$P$1, 0)), perc_75, VLOOKUP(G$2, Percentiles!$A$45:$I$59, 6, FALSE), perc_90, VLOOKUP(G$2, Percentiles!$A$45:$I$59, 7, FALSE), perc_95, VLOOKUP(G$2, Percentiles!$A$45:$I$59, 8, FALSE), perc_85, perc_75 + (perc_90 - perc_75) * (2/3), converted_stat, '2K_Ratings'!G361, IF(bbgm_stat &gt;= perc_95, converted_stat * 3, IF(bbgm_stat &gt;= perc_90, converted_stat * 2, IF(bbgm_stat &gt;= perc_85, converted_stat * 1.5, converted_stat)))))</f>
        <v/>
      </c>
      <c r="H361" s="30" t="str">
        <f t="array" ref="H361">IF($A361="", "", LET(bbgm_stat, INDEX(Players!$A360:$P360, MATCH(H$2, Players!$A$1:$P$1, 0)), perc_75, VLOOKUP(H$2, Percentiles!$A$45:$I$59, 6, FALSE), perc_90, VLOOKUP(H$2, Percentiles!$A$45:$I$59, 7, FALSE), perc_95, VLOOKUP(H$2, Percentiles!$A$45:$I$59, 8, FALSE), perc_85, perc_75 + (perc_90 - perc_75) * (2/3), converted_stat, '2K_Ratings'!H361, IF(bbgm_stat &gt;= perc_95, converted_stat * 3, IF(bbgm_stat &gt;= perc_90, converted_stat * 2, IF(bbgm_stat &gt;= perc_85, converted_stat * 1.5, converted_stat)))))</f>
        <v/>
      </c>
      <c r="I361" s="30" t="str">
        <f t="array" ref="I361">IF($A361="", "", LET(bbgm_stat, INDEX(Players!$A360:$P360, MATCH(I$2, Players!$A$1:$P$1, 0)), perc_75, VLOOKUP(I$2, Percentiles!$A$45:$I$59, 6, FALSE), perc_90, VLOOKUP(I$2, Percentiles!$A$45:$I$59, 7, FALSE), perc_95, VLOOKUP(I$2, Percentiles!$A$45:$I$59, 8, FALSE), perc_85, perc_75 + (perc_90 - perc_75) * (2/3), converted_stat, '2K_Ratings'!I361, IF(bbgm_stat &gt;= perc_95, converted_stat * 3, IF(bbgm_stat &gt;= perc_90, converted_stat * 2, IF(bbgm_stat &gt;= perc_85, converted_stat * 1.5, converted_stat)))))</f>
        <v/>
      </c>
      <c r="J361" s="30" t="str">
        <f t="array" ref="J361">IF($A361="", "", LET(bbgm_stat, INDEX(Players!$A360:$P360, MATCH(J$2, Players!$A$1:$P$1, 0)), perc_75, VLOOKUP(J$2, Percentiles!$A$45:$I$59, 6, FALSE), perc_90, VLOOKUP(J$2, Percentiles!$A$45:$I$59, 7, FALSE), perc_95, VLOOKUP(J$2, Percentiles!$A$45:$I$59, 8, FALSE), perc_85, perc_75 + (perc_90 - perc_75) * (2/3), converted_stat, '2K_Ratings'!J361, IF(bbgm_stat &gt;= perc_95, converted_stat * 3, IF(bbgm_stat &gt;= perc_90, converted_stat * 2, IF(bbgm_stat &gt;= perc_85, converted_stat * 1.5, converted_stat)))))</f>
        <v/>
      </c>
      <c r="K361" s="30" t="str">
        <f t="array" ref="K361">IF($A361="", "", LET(bbgm_stat, INDEX(Players!$A360:$P360, MATCH(K$2, Players!$A$1:$P$1, 0)), perc_75, VLOOKUP(K$2, Percentiles!$A$45:$I$59, 6, FALSE), perc_90, VLOOKUP(K$2, Percentiles!$A$45:$I$59, 7, FALSE), perc_95, VLOOKUP(K$2, Percentiles!$A$45:$I$59, 8, FALSE), perc_85, perc_75 + (perc_90 - perc_75) * (2/3), converted_stat, '2K_Ratings'!K361, IF(bbgm_stat &gt;= perc_95, converted_stat * 3, IF(bbgm_stat &gt;= perc_90, converted_stat * 2, IF(bbgm_stat &gt;= perc_85, converted_stat * 1.5, converted_stat)))))</f>
        <v/>
      </c>
      <c r="L361" s="30" t="str">
        <f t="array" ref="L361">IF($A361="", "", LET(bbgm_stat, INDEX(Players!$A360:$P360, MATCH(L$2, Players!$A$1:$P$1, 0)), perc_75, VLOOKUP(L$2, Percentiles!$A$45:$I$59, 6, FALSE), perc_90, VLOOKUP(L$2, Percentiles!$A$45:$I$59, 7, FALSE), perc_95, VLOOKUP(L$2, Percentiles!$A$45:$I$59, 8, FALSE), perc_85, perc_75 + (perc_90 - perc_75) * (2/3), converted_stat, '2K_Ratings'!L361, IF(bbgm_stat &gt;= perc_95, converted_stat * 3, IF(bbgm_stat &gt;= perc_90, converted_stat * 2, IF(bbgm_stat &gt;= perc_85, converted_stat * 1.5, converted_stat)))))</f>
        <v/>
      </c>
      <c r="M361" s="30" t="str">
        <f t="array" ref="M361">IF($A361="", "", LET(bbgm_stat, INDEX(Players!$A360:$P360, MATCH(M$2, Players!$A$1:$P$1, 0)), perc_75, VLOOKUP(M$2, Percentiles!$A$45:$I$59, 6, FALSE), perc_90, VLOOKUP(M$2, Percentiles!$A$45:$I$59, 7, FALSE), perc_95, VLOOKUP(M$2, Percentiles!$A$45:$I$59, 8, FALSE), perc_85, perc_75 + (perc_90 - perc_75) * (2/3), converted_stat, '2K_Ratings'!M361, IF(bbgm_stat &gt;= perc_95, converted_stat * 3, IF(bbgm_stat &gt;= perc_90, converted_stat * 2, IF(bbgm_stat &gt;= perc_85, converted_stat * 1.5, converted_stat)))))</f>
        <v/>
      </c>
      <c r="N361" s="30" t="str">
        <f t="array" ref="N361">IF($A361="", "", LET(bbgm_stat, INDEX(Players!$A360:$P360, MATCH(N$2, Players!$A$1:$P$1, 0)), perc_75, VLOOKUP(N$2, Percentiles!$A$45:$I$59, 6, FALSE), perc_90, VLOOKUP(N$2, Percentiles!$A$45:$I$59, 7, FALSE), perc_95, VLOOKUP(N$2, Percentiles!$A$45:$I$59, 8, FALSE), perc_85, perc_75 + (perc_90 - perc_75) * (2/3), converted_stat, '2K_Ratings'!N361, IF(bbgm_stat &gt;= perc_95, converted_stat * 3, IF(bbgm_stat &gt;= perc_90, converted_stat * 2, IF(bbgm_stat &gt;= perc_85, converted_stat * 1.5, converted_stat)))))</f>
        <v/>
      </c>
      <c r="O361" s="30" t="str">
        <f t="array" ref="O361">IF($A361="", "", LET(bbgm_stat, INDEX(Players!$A360:$P360, MATCH(O$2, Players!$A$1:$P$1, 0)), perc_75, VLOOKUP(O$2, Percentiles!$A$45:$I$59, 6, FALSE), perc_90, VLOOKUP(O$2, Percentiles!$A$45:$I$59, 7, FALSE), perc_95, VLOOKUP(O$2, Percentiles!$A$45:$I$59, 8, FALSE), perc_85, perc_75 + (perc_90 - perc_75) * (2/3), converted_stat, '2K_Ratings'!O361, IF(bbgm_stat &gt;= perc_95, converted_stat * 3, IF(bbgm_stat &gt;= perc_90, converted_stat * 2, IF(bbgm_stat &gt;= perc_85, converted_stat * 1.5, converted_stat)))))</f>
        <v/>
      </c>
      <c r="P361" s="30" t="str">
        <f t="array" ref="P361">IF($A361="", "", LET(bbgm_stat, INDEX(Players!$A360:$P360, MATCH(P$2, Players!$A$1:$P$1, 0)), perc_75, VLOOKUP(P$2, Percentiles!$A$45:$I$59, 6, FALSE), perc_90, VLOOKUP(P$2, Percentiles!$A$45:$I$59, 7, FALSE), perc_95, VLOOKUP(P$2, Percentiles!$A$45:$I$59, 8, FALSE), perc_85, perc_75 + (perc_90 - perc_75) * (2/3), converted_stat, '2K_Ratings'!P361, IF(bbgm_stat &gt;= perc_95, converted_stat * 3, IF(bbgm_stat &gt;= perc_90, converted_stat * 2, IF(bbgm_stat &gt;= perc_85, converted_stat * 1.5, converted_stat)))))</f>
        <v/>
      </c>
      <c r="Q361" s="30" t="str">
        <f t="array" ref="Q361">IF($A361="", "", LET(bbgm_stat, INDEX(Players!$A360:$P360, MATCH(Q$2, Players!$A$1:$P$1, 0)), perc_75, VLOOKUP(Q$2, Percentiles!$A$45:$I$59, 6, FALSE), perc_90, VLOOKUP(Q$2, Percentiles!$A$45:$I$59, 7, FALSE), perc_95, VLOOKUP(Q$2, Percentiles!$A$45:$I$59, 8, FALSE), perc_85, perc_75 + (perc_90 - perc_75) * (2/3), converted_stat, '2K_Ratings'!Q361, IF(bbgm_stat &gt;= perc_95, converted_stat * 3, IF(bbgm_stat &gt;= perc_90, converted_stat * 2, IF(bbgm_stat &gt;= perc_85, converted_stat * 1.5, converted_stat)))))</f>
        <v/>
      </c>
      <c r="R361" s="30" t="str">
        <f t="array" ref="R361">IF($A361="", "", LET(bbgm_stat, INDEX(Players!$A360:$P360, MATCH(R$2, Players!$A$1:$P$1, 0)), perc_75, VLOOKUP(R$2, Percentiles!$A$45:$I$59, 6, FALSE), perc_90, VLOOKUP(R$2, Percentiles!$A$45:$I$59, 7, FALSE), perc_95, VLOOKUP(R$2, Percentiles!$A$45:$I$59, 8, FALSE), perc_85, perc_75 + (perc_90 - perc_75) * (2/3), converted_stat, '2K_Ratings'!R361, IF(bbgm_stat &gt;= perc_95, converted_stat * 3, IF(bbgm_stat &gt;= perc_90, converted_stat * 2, IF(bbgm_stat &gt;= perc_85, converted_stat * 1.5, converted_stat)))))</f>
        <v/>
      </c>
      <c r="S361" s="30" t="str">
        <f t="array" ref="S361">IF($A361="", "", LET(bbgm_stat, INDEX(Players!$A360:$P360, MATCH(S$2, Players!$A$1:$P$1, 0)), perc_75, VLOOKUP(S$2, Percentiles!$A$45:$I$59, 6, FALSE), perc_90, VLOOKUP(S$2, Percentiles!$A$45:$I$59, 7, FALSE), perc_95, VLOOKUP(S$2, Percentiles!$A$45:$I$59, 8, FALSE), perc_85, perc_75 + (perc_90 - perc_75) * (2/3), converted_stat, '2K_Ratings'!S361, IF(bbgm_stat &gt;= perc_95, converted_stat * 3, IF(bbgm_stat &gt;= perc_90, converted_stat * 2, IF(bbgm_stat &gt;= perc_85, converted_stat * 1.5, converted_stat)))))</f>
        <v/>
      </c>
      <c r="T361" s="30" t="str">
        <f t="array" ref="T361">IF($A361="", "", LET(bbgm_stat, INDEX(Players!$A360:$P360, MATCH(T$2, Players!$A$1:$P$1, 0)), perc_75, VLOOKUP(T$2, Percentiles!$A$45:$I$59, 6, FALSE), perc_90, VLOOKUP(T$2, Percentiles!$A$45:$I$59, 7, FALSE), perc_95, VLOOKUP(T$2, Percentiles!$A$45:$I$59, 8, FALSE), perc_85, perc_75 + (perc_90 - perc_75) * (2/3), converted_stat, '2K_Ratings'!T361, IF(bbgm_stat &gt;= perc_95, converted_stat * 3, IF(bbgm_stat &gt;= perc_90, converted_stat * 2, IF(bbgm_stat &gt;= perc_85, converted_stat * 1.5, converted_stat)))))</f>
        <v/>
      </c>
      <c r="U361" s="30" t="str">
        <f t="array" ref="U361">IF($A361="", "", LET(bbgm_stat, INDEX(Players!$A360:$P360, MATCH(U$2, Players!$A$1:$P$1, 0)), perc_75, VLOOKUP(U$2, Percentiles!$A$45:$I$59, 6, FALSE), perc_90, VLOOKUP(U$2, Percentiles!$A$45:$I$59, 7, FALSE), perc_95, VLOOKUP(U$2, Percentiles!$A$45:$I$59, 8, FALSE), perc_85, perc_75 + (perc_90 - perc_75) * (2/3), converted_stat, '2K_Ratings'!U361, IF(bbgm_stat &gt;= perc_95, converted_stat * 3, IF(bbgm_stat &gt;= perc_90, converted_stat * 2, IF(bbgm_stat &gt;= perc_85, converted_stat * 1.5, converted_stat)))))</f>
        <v/>
      </c>
      <c r="V361" s="30" t="str">
        <f t="array" ref="V361">IF($A361="", "", LET(bbgm_stat, INDEX(Players!$A360:$P360, MATCH(V$2, Players!$A$1:$P$1, 0)), perc_75, VLOOKUP(V$2, Percentiles!$A$45:$I$59, 6, FALSE), perc_90, VLOOKUP(V$2, Percentiles!$A$45:$I$59, 7, FALSE), perc_95, VLOOKUP(V$2, Percentiles!$A$45:$I$59, 8, FALSE), perc_85, perc_75 + (perc_90 - perc_75) * (2/3), converted_stat, '2K_Ratings'!V361, IF(bbgm_stat &gt;= perc_95, converted_stat * 3, IF(bbgm_stat &gt;= perc_90, converted_stat * 2, IF(bbgm_stat &gt;= perc_85, converted_stat * 1.5, converted_stat)))))</f>
        <v/>
      </c>
      <c r="W361" s="30" t="str">
        <f t="array" ref="W361">IF($A361="", "", LET(bbgm_stat, INDEX(Players!$A360:$P360, MATCH(W$2, Players!$A$1:$P$1, 0)), perc_75, VLOOKUP(W$2, Percentiles!$A$45:$I$59, 6, FALSE), perc_90, VLOOKUP(W$2, Percentiles!$A$45:$I$59, 7, FALSE), perc_95, VLOOKUP(W$2, Percentiles!$A$45:$I$59, 8, FALSE), perc_85, perc_75 + (perc_90 - perc_75) * (2/3), converted_stat, '2K_Ratings'!W361, IF(bbgm_stat &gt;= perc_95, converted_stat * 3, IF(bbgm_stat &gt;= perc_90, converted_stat * 2, IF(bbgm_stat &gt;= perc_85, converted_stat * 1.5, converted_stat)))))</f>
        <v/>
      </c>
    </row>
    <row r="362">
      <c r="A362" s="30"/>
      <c r="B362" s="30" t="str">
        <f t="array" ref="B362">IF($A362="", "", LET(bbgm_stat, INDEX(Players!$A361:$P361, MATCH(B$2, Players!$A$1:$P$1, 0)), perc_75, VLOOKUP(B$2, Percentiles!$A$45:$I$59, 6, FALSE), perc_90, VLOOKUP(B$2, Percentiles!$A$45:$I$59, 7, FALSE), perc_95, VLOOKUP(B$2, Percentiles!$A$45:$I$59, 8, FALSE), perc_85, perc_75 + (perc_90 - perc_75) * (2/3), converted_stat, '2K_Ratings'!B362, IF(bbgm_stat &gt;= perc_95, converted_stat * 3, IF(bbgm_stat &gt;= perc_90, converted_stat * 2, IF(bbgm_stat &gt;= perc_85, converted_stat * 1.5, converted_stat)))))</f>
        <v/>
      </c>
      <c r="C362" s="30" t="str">
        <f t="array" ref="C362">IF($A362="", "", LET(bbgm_stat, INDEX(Players!$A361:$P361, MATCH(C$2, Players!$A$1:$P$1, 0)), perc_75, VLOOKUP(C$2, Percentiles!$A$45:$I$59, 6, FALSE), perc_90, VLOOKUP(C$2, Percentiles!$A$45:$I$59, 7, FALSE), perc_95, VLOOKUP(C$2, Percentiles!$A$45:$I$59, 8, FALSE), perc_85, perc_75 + (perc_90 - perc_75) * (2/3), converted_stat, '2K_Ratings'!C362, IF(bbgm_stat &gt;= perc_95, converted_stat * 3, IF(bbgm_stat &gt;= perc_90, converted_stat * 2, IF(bbgm_stat &gt;= perc_85, converted_stat * 1.5, converted_stat)))))</f>
        <v/>
      </c>
      <c r="D362" s="30" t="str">
        <f t="array" ref="D362">IF($A362="", "", LET(bbgm_stat, INDEX(Players!$A361:$P361, MATCH(D$2, Players!$A$1:$P$1, 0)), perc_75, VLOOKUP(D$2, Percentiles!$A$45:$I$59, 6, FALSE), perc_90, VLOOKUP(D$2, Percentiles!$A$45:$I$59, 7, FALSE), perc_95, VLOOKUP(D$2, Percentiles!$A$45:$I$59, 8, FALSE), perc_85, perc_75 + (perc_90 - perc_75) * (2/3), converted_stat, '2K_Ratings'!D362, IF(bbgm_stat &gt;= perc_95, converted_stat * 3, IF(bbgm_stat &gt;= perc_90, converted_stat * 2, IF(bbgm_stat &gt;= perc_85, converted_stat * 1.5, converted_stat)))))</f>
        <v/>
      </c>
      <c r="E362" s="30" t="str">
        <f t="array" ref="E362">IF($A362="", "", LET(bbgm_stat, INDEX(Players!$A361:$P361, MATCH(E$2, Players!$A$1:$P$1, 0)), perc_75, VLOOKUP(E$2, Percentiles!$A$45:$I$59, 6, FALSE), perc_90, VLOOKUP(E$2, Percentiles!$A$45:$I$59, 7, FALSE), perc_95, VLOOKUP(E$2, Percentiles!$A$45:$I$59, 8, FALSE), perc_85, perc_75 + (perc_90 - perc_75) * (2/3), converted_stat, '2K_Ratings'!E362, IF(bbgm_stat &gt;= perc_95, converted_stat * 3, IF(bbgm_stat &gt;= perc_90, converted_stat * 2, IF(bbgm_stat &gt;= perc_85, converted_stat * 1.5, converted_stat)))))</f>
        <v/>
      </c>
      <c r="F362" s="30" t="str">
        <f t="array" ref="F362">IF($A362="", "", LET(bbgm_stat, INDEX(Players!$A361:$P361, MATCH(F$2, Players!$A$1:$P$1, 0)), perc_75, VLOOKUP(F$2, Percentiles!$A$45:$I$59, 6, FALSE), perc_90, VLOOKUP(F$2, Percentiles!$A$45:$I$59, 7, FALSE), perc_95, VLOOKUP(F$2, Percentiles!$A$45:$I$59, 8, FALSE), perc_85, perc_75 + (perc_90 - perc_75) * (2/3), converted_stat, '2K_Ratings'!F362, IF(bbgm_stat &gt;= perc_95, converted_stat * 3, IF(bbgm_stat &gt;= perc_90, converted_stat * 2, IF(bbgm_stat &gt;= perc_85, converted_stat * 1.5, converted_stat)))))</f>
        <v/>
      </c>
      <c r="G362" s="30" t="str">
        <f t="array" ref="G362">IF($A362="", "", LET(bbgm_stat, INDEX(Players!$A361:$P361, MATCH(G$2, Players!$A$1:$P$1, 0)), perc_75, VLOOKUP(G$2, Percentiles!$A$45:$I$59, 6, FALSE), perc_90, VLOOKUP(G$2, Percentiles!$A$45:$I$59, 7, FALSE), perc_95, VLOOKUP(G$2, Percentiles!$A$45:$I$59, 8, FALSE), perc_85, perc_75 + (perc_90 - perc_75) * (2/3), converted_stat, '2K_Ratings'!G362, IF(bbgm_stat &gt;= perc_95, converted_stat * 3, IF(bbgm_stat &gt;= perc_90, converted_stat * 2, IF(bbgm_stat &gt;= perc_85, converted_stat * 1.5, converted_stat)))))</f>
        <v/>
      </c>
      <c r="H362" s="30" t="str">
        <f t="array" ref="H362">IF($A362="", "", LET(bbgm_stat, INDEX(Players!$A361:$P361, MATCH(H$2, Players!$A$1:$P$1, 0)), perc_75, VLOOKUP(H$2, Percentiles!$A$45:$I$59, 6, FALSE), perc_90, VLOOKUP(H$2, Percentiles!$A$45:$I$59, 7, FALSE), perc_95, VLOOKUP(H$2, Percentiles!$A$45:$I$59, 8, FALSE), perc_85, perc_75 + (perc_90 - perc_75) * (2/3), converted_stat, '2K_Ratings'!H362, IF(bbgm_stat &gt;= perc_95, converted_stat * 3, IF(bbgm_stat &gt;= perc_90, converted_stat * 2, IF(bbgm_stat &gt;= perc_85, converted_stat * 1.5, converted_stat)))))</f>
        <v/>
      </c>
      <c r="I362" s="30" t="str">
        <f t="array" ref="I362">IF($A362="", "", LET(bbgm_stat, INDEX(Players!$A361:$P361, MATCH(I$2, Players!$A$1:$P$1, 0)), perc_75, VLOOKUP(I$2, Percentiles!$A$45:$I$59, 6, FALSE), perc_90, VLOOKUP(I$2, Percentiles!$A$45:$I$59, 7, FALSE), perc_95, VLOOKUP(I$2, Percentiles!$A$45:$I$59, 8, FALSE), perc_85, perc_75 + (perc_90 - perc_75) * (2/3), converted_stat, '2K_Ratings'!I362, IF(bbgm_stat &gt;= perc_95, converted_stat * 3, IF(bbgm_stat &gt;= perc_90, converted_stat * 2, IF(bbgm_stat &gt;= perc_85, converted_stat * 1.5, converted_stat)))))</f>
        <v/>
      </c>
      <c r="J362" s="30" t="str">
        <f t="array" ref="J362">IF($A362="", "", LET(bbgm_stat, INDEX(Players!$A361:$P361, MATCH(J$2, Players!$A$1:$P$1, 0)), perc_75, VLOOKUP(J$2, Percentiles!$A$45:$I$59, 6, FALSE), perc_90, VLOOKUP(J$2, Percentiles!$A$45:$I$59, 7, FALSE), perc_95, VLOOKUP(J$2, Percentiles!$A$45:$I$59, 8, FALSE), perc_85, perc_75 + (perc_90 - perc_75) * (2/3), converted_stat, '2K_Ratings'!J362, IF(bbgm_stat &gt;= perc_95, converted_stat * 3, IF(bbgm_stat &gt;= perc_90, converted_stat * 2, IF(bbgm_stat &gt;= perc_85, converted_stat * 1.5, converted_stat)))))</f>
        <v/>
      </c>
      <c r="K362" s="30" t="str">
        <f t="array" ref="K362">IF($A362="", "", LET(bbgm_stat, INDEX(Players!$A361:$P361, MATCH(K$2, Players!$A$1:$P$1, 0)), perc_75, VLOOKUP(K$2, Percentiles!$A$45:$I$59, 6, FALSE), perc_90, VLOOKUP(K$2, Percentiles!$A$45:$I$59, 7, FALSE), perc_95, VLOOKUP(K$2, Percentiles!$A$45:$I$59, 8, FALSE), perc_85, perc_75 + (perc_90 - perc_75) * (2/3), converted_stat, '2K_Ratings'!K362, IF(bbgm_stat &gt;= perc_95, converted_stat * 3, IF(bbgm_stat &gt;= perc_90, converted_stat * 2, IF(bbgm_stat &gt;= perc_85, converted_stat * 1.5, converted_stat)))))</f>
        <v/>
      </c>
      <c r="L362" s="30" t="str">
        <f t="array" ref="L362">IF($A362="", "", LET(bbgm_stat, INDEX(Players!$A361:$P361, MATCH(L$2, Players!$A$1:$P$1, 0)), perc_75, VLOOKUP(L$2, Percentiles!$A$45:$I$59, 6, FALSE), perc_90, VLOOKUP(L$2, Percentiles!$A$45:$I$59, 7, FALSE), perc_95, VLOOKUP(L$2, Percentiles!$A$45:$I$59, 8, FALSE), perc_85, perc_75 + (perc_90 - perc_75) * (2/3), converted_stat, '2K_Ratings'!L362, IF(bbgm_stat &gt;= perc_95, converted_stat * 3, IF(bbgm_stat &gt;= perc_90, converted_stat * 2, IF(bbgm_stat &gt;= perc_85, converted_stat * 1.5, converted_stat)))))</f>
        <v/>
      </c>
      <c r="M362" s="30" t="str">
        <f t="array" ref="M362">IF($A362="", "", LET(bbgm_stat, INDEX(Players!$A361:$P361, MATCH(M$2, Players!$A$1:$P$1, 0)), perc_75, VLOOKUP(M$2, Percentiles!$A$45:$I$59, 6, FALSE), perc_90, VLOOKUP(M$2, Percentiles!$A$45:$I$59, 7, FALSE), perc_95, VLOOKUP(M$2, Percentiles!$A$45:$I$59, 8, FALSE), perc_85, perc_75 + (perc_90 - perc_75) * (2/3), converted_stat, '2K_Ratings'!M362, IF(bbgm_stat &gt;= perc_95, converted_stat * 3, IF(bbgm_stat &gt;= perc_90, converted_stat * 2, IF(bbgm_stat &gt;= perc_85, converted_stat * 1.5, converted_stat)))))</f>
        <v/>
      </c>
      <c r="N362" s="30" t="str">
        <f t="array" ref="N362">IF($A362="", "", LET(bbgm_stat, INDEX(Players!$A361:$P361, MATCH(N$2, Players!$A$1:$P$1, 0)), perc_75, VLOOKUP(N$2, Percentiles!$A$45:$I$59, 6, FALSE), perc_90, VLOOKUP(N$2, Percentiles!$A$45:$I$59, 7, FALSE), perc_95, VLOOKUP(N$2, Percentiles!$A$45:$I$59, 8, FALSE), perc_85, perc_75 + (perc_90 - perc_75) * (2/3), converted_stat, '2K_Ratings'!N362, IF(bbgm_stat &gt;= perc_95, converted_stat * 3, IF(bbgm_stat &gt;= perc_90, converted_stat * 2, IF(bbgm_stat &gt;= perc_85, converted_stat * 1.5, converted_stat)))))</f>
        <v/>
      </c>
      <c r="O362" s="30" t="str">
        <f t="array" ref="O362">IF($A362="", "", LET(bbgm_stat, INDEX(Players!$A361:$P361, MATCH(O$2, Players!$A$1:$P$1, 0)), perc_75, VLOOKUP(O$2, Percentiles!$A$45:$I$59, 6, FALSE), perc_90, VLOOKUP(O$2, Percentiles!$A$45:$I$59, 7, FALSE), perc_95, VLOOKUP(O$2, Percentiles!$A$45:$I$59, 8, FALSE), perc_85, perc_75 + (perc_90 - perc_75) * (2/3), converted_stat, '2K_Ratings'!O362, IF(bbgm_stat &gt;= perc_95, converted_stat * 3, IF(bbgm_stat &gt;= perc_90, converted_stat * 2, IF(bbgm_stat &gt;= perc_85, converted_stat * 1.5, converted_stat)))))</f>
        <v/>
      </c>
      <c r="P362" s="30" t="str">
        <f t="array" ref="P362">IF($A362="", "", LET(bbgm_stat, INDEX(Players!$A361:$P361, MATCH(P$2, Players!$A$1:$P$1, 0)), perc_75, VLOOKUP(P$2, Percentiles!$A$45:$I$59, 6, FALSE), perc_90, VLOOKUP(P$2, Percentiles!$A$45:$I$59, 7, FALSE), perc_95, VLOOKUP(P$2, Percentiles!$A$45:$I$59, 8, FALSE), perc_85, perc_75 + (perc_90 - perc_75) * (2/3), converted_stat, '2K_Ratings'!P362, IF(bbgm_stat &gt;= perc_95, converted_stat * 3, IF(bbgm_stat &gt;= perc_90, converted_stat * 2, IF(bbgm_stat &gt;= perc_85, converted_stat * 1.5, converted_stat)))))</f>
        <v/>
      </c>
      <c r="Q362" s="30" t="str">
        <f t="array" ref="Q362">IF($A362="", "", LET(bbgm_stat, INDEX(Players!$A361:$P361, MATCH(Q$2, Players!$A$1:$P$1, 0)), perc_75, VLOOKUP(Q$2, Percentiles!$A$45:$I$59, 6, FALSE), perc_90, VLOOKUP(Q$2, Percentiles!$A$45:$I$59, 7, FALSE), perc_95, VLOOKUP(Q$2, Percentiles!$A$45:$I$59, 8, FALSE), perc_85, perc_75 + (perc_90 - perc_75) * (2/3), converted_stat, '2K_Ratings'!Q362, IF(bbgm_stat &gt;= perc_95, converted_stat * 3, IF(bbgm_stat &gt;= perc_90, converted_stat * 2, IF(bbgm_stat &gt;= perc_85, converted_stat * 1.5, converted_stat)))))</f>
        <v/>
      </c>
      <c r="R362" s="30" t="str">
        <f t="array" ref="R362">IF($A362="", "", LET(bbgm_stat, INDEX(Players!$A361:$P361, MATCH(R$2, Players!$A$1:$P$1, 0)), perc_75, VLOOKUP(R$2, Percentiles!$A$45:$I$59, 6, FALSE), perc_90, VLOOKUP(R$2, Percentiles!$A$45:$I$59, 7, FALSE), perc_95, VLOOKUP(R$2, Percentiles!$A$45:$I$59, 8, FALSE), perc_85, perc_75 + (perc_90 - perc_75) * (2/3), converted_stat, '2K_Ratings'!R362, IF(bbgm_stat &gt;= perc_95, converted_stat * 3, IF(bbgm_stat &gt;= perc_90, converted_stat * 2, IF(bbgm_stat &gt;= perc_85, converted_stat * 1.5, converted_stat)))))</f>
        <v/>
      </c>
      <c r="S362" s="30" t="str">
        <f t="array" ref="S362">IF($A362="", "", LET(bbgm_stat, INDEX(Players!$A361:$P361, MATCH(S$2, Players!$A$1:$P$1, 0)), perc_75, VLOOKUP(S$2, Percentiles!$A$45:$I$59, 6, FALSE), perc_90, VLOOKUP(S$2, Percentiles!$A$45:$I$59, 7, FALSE), perc_95, VLOOKUP(S$2, Percentiles!$A$45:$I$59, 8, FALSE), perc_85, perc_75 + (perc_90 - perc_75) * (2/3), converted_stat, '2K_Ratings'!S362, IF(bbgm_stat &gt;= perc_95, converted_stat * 3, IF(bbgm_stat &gt;= perc_90, converted_stat * 2, IF(bbgm_stat &gt;= perc_85, converted_stat * 1.5, converted_stat)))))</f>
        <v/>
      </c>
      <c r="T362" s="30" t="str">
        <f t="array" ref="T362">IF($A362="", "", LET(bbgm_stat, INDEX(Players!$A361:$P361, MATCH(T$2, Players!$A$1:$P$1, 0)), perc_75, VLOOKUP(T$2, Percentiles!$A$45:$I$59, 6, FALSE), perc_90, VLOOKUP(T$2, Percentiles!$A$45:$I$59, 7, FALSE), perc_95, VLOOKUP(T$2, Percentiles!$A$45:$I$59, 8, FALSE), perc_85, perc_75 + (perc_90 - perc_75) * (2/3), converted_stat, '2K_Ratings'!T362, IF(bbgm_stat &gt;= perc_95, converted_stat * 3, IF(bbgm_stat &gt;= perc_90, converted_stat * 2, IF(bbgm_stat &gt;= perc_85, converted_stat * 1.5, converted_stat)))))</f>
        <v/>
      </c>
      <c r="U362" s="30" t="str">
        <f t="array" ref="U362">IF($A362="", "", LET(bbgm_stat, INDEX(Players!$A361:$P361, MATCH(U$2, Players!$A$1:$P$1, 0)), perc_75, VLOOKUP(U$2, Percentiles!$A$45:$I$59, 6, FALSE), perc_90, VLOOKUP(U$2, Percentiles!$A$45:$I$59, 7, FALSE), perc_95, VLOOKUP(U$2, Percentiles!$A$45:$I$59, 8, FALSE), perc_85, perc_75 + (perc_90 - perc_75) * (2/3), converted_stat, '2K_Ratings'!U362, IF(bbgm_stat &gt;= perc_95, converted_stat * 3, IF(bbgm_stat &gt;= perc_90, converted_stat * 2, IF(bbgm_stat &gt;= perc_85, converted_stat * 1.5, converted_stat)))))</f>
        <v/>
      </c>
      <c r="V362" s="30" t="str">
        <f t="array" ref="V362">IF($A362="", "", LET(bbgm_stat, INDEX(Players!$A361:$P361, MATCH(V$2, Players!$A$1:$P$1, 0)), perc_75, VLOOKUP(V$2, Percentiles!$A$45:$I$59, 6, FALSE), perc_90, VLOOKUP(V$2, Percentiles!$A$45:$I$59, 7, FALSE), perc_95, VLOOKUP(V$2, Percentiles!$A$45:$I$59, 8, FALSE), perc_85, perc_75 + (perc_90 - perc_75) * (2/3), converted_stat, '2K_Ratings'!V362, IF(bbgm_stat &gt;= perc_95, converted_stat * 3, IF(bbgm_stat &gt;= perc_90, converted_stat * 2, IF(bbgm_stat &gt;= perc_85, converted_stat * 1.5, converted_stat)))))</f>
        <v/>
      </c>
      <c r="W362" s="30" t="str">
        <f t="array" ref="W362">IF($A362="", "", LET(bbgm_stat, INDEX(Players!$A361:$P361, MATCH(W$2, Players!$A$1:$P$1, 0)), perc_75, VLOOKUP(W$2, Percentiles!$A$45:$I$59, 6, FALSE), perc_90, VLOOKUP(W$2, Percentiles!$A$45:$I$59, 7, FALSE), perc_95, VLOOKUP(W$2, Percentiles!$A$45:$I$59, 8, FALSE), perc_85, perc_75 + (perc_90 - perc_75) * (2/3), converted_stat, '2K_Ratings'!W362, IF(bbgm_stat &gt;= perc_95, converted_stat * 3, IF(bbgm_stat &gt;= perc_90, converted_stat * 2, IF(bbgm_stat &gt;= perc_85, converted_stat * 1.5, converted_stat)))))</f>
        <v/>
      </c>
    </row>
    <row r="363">
      <c r="A363" s="30"/>
      <c r="B363" s="30" t="str">
        <f t="array" ref="B363">IF($A363="", "", LET(bbgm_stat, INDEX(Players!$A362:$P362, MATCH(B$2, Players!$A$1:$P$1, 0)), perc_75, VLOOKUP(B$2, Percentiles!$A$45:$I$59, 6, FALSE), perc_90, VLOOKUP(B$2, Percentiles!$A$45:$I$59, 7, FALSE), perc_95, VLOOKUP(B$2, Percentiles!$A$45:$I$59, 8, FALSE), perc_85, perc_75 + (perc_90 - perc_75) * (2/3), converted_stat, '2K_Ratings'!B363, IF(bbgm_stat &gt;= perc_95, converted_stat * 3, IF(bbgm_stat &gt;= perc_90, converted_stat * 2, IF(bbgm_stat &gt;= perc_85, converted_stat * 1.5, converted_stat)))))</f>
        <v/>
      </c>
      <c r="C363" s="30" t="str">
        <f t="array" ref="C363">IF($A363="", "", LET(bbgm_stat, INDEX(Players!$A362:$P362, MATCH(C$2, Players!$A$1:$P$1, 0)), perc_75, VLOOKUP(C$2, Percentiles!$A$45:$I$59, 6, FALSE), perc_90, VLOOKUP(C$2, Percentiles!$A$45:$I$59, 7, FALSE), perc_95, VLOOKUP(C$2, Percentiles!$A$45:$I$59, 8, FALSE), perc_85, perc_75 + (perc_90 - perc_75) * (2/3), converted_stat, '2K_Ratings'!C363, IF(bbgm_stat &gt;= perc_95, converted_stat * 3, IF(bbgm_stat &gt;= perc_90, converted_stat * 2, IF(bbgm_stat &gt;= perc_85, converted_stat * 1.5, converted_stat)))))</f>
        <v/>
      </c>
      <c r="D363" s="30" t="str">
        <f t="array" ref="D363">IF($A363="", "", LET(bbgm_stat, INDEX(Players!$A362:$P362, MATCH(D$2, Players!$A$1:$P$1, 0)), perc_75, VLOOKUP(D$2, Percentiles!$A$45:$I$59, 6, FALSE), perc_90, VLOOKUP(D$2, Percentiles!$A$45:$I$59, 7, FALSE), perc_95, VLOOKUP(D$2, Percentiles!$A$45:$I$59, 8, FALSE), perc_85, perc_75 + (perc_90 - perc_75) * (2/3), converted_stat, '2K_Ratings'!D363, IF(bbgm_stat &gt;= perc_95, converted_stat * 3, IF(bbgm_stat &gt;= perc_90, converted_stat * 2, IF(bbgm_stat &gt;= perc_85, converted_stat * 1.5, converted_stat)))))</f>
        <v/>
      </c>
      <c r="E363" s="30" t="str">
        <f t="array" ref="E363">IF($A363="", "", LET(bbgm_stat, INDEX(Players!$A362:$P362, MATCH(E$2, Players!$A$1:$P$1, 0)), perc_75, VLOOKUP(E$2, Percentiles!$A$45:$I$59, 6, FALSE), perc_90, VLOOKUP(E$2, Percentiles!$A$45:$I$59, 7, FALSE), perc_95, VLOOKUP(E$2, Percentiles!$A$45:$I$59, 8, FALSE), perc_85, perc_75 + (perc_90 - perc_75) * (2/3), converted_stat, '2K_Ratings'!E363, IF(bbgm_stat &gt;= perc_95, converted_stat * 3, IF(bbgm_stat &gt;= perc_90, converted_stat * 2, IF(bbgm_stat &gt;= perc_85, converted_stat * 1.5, converted_stat)))))</f>
        <v/>
      </c>
      <c r="F363" s="30" t="str">
        <f t="array" ref="F363">IF($A363="", "", LET(bbgm_stat, INDEX(Players!$A362:$P362, MATCH(F$2, Players!$A$1:$P$1, 0)), perc_75, VLOOKUP(F$2, Percentiles!$A$45:$I$59, 6, FALSE), perc_90, VLOOKUP(F$2, Percentiles!$A$45:$I$59, 7, FALSE), perc_95, VLOOKUP(F$2, Percentiles!$A$45:$I$59, 8, FALSE), perc_85, perc_75 + (perc_90 - perc_75) * (2/3), converted_stat, '2K_Ratings'!F363, IF(bbgm_stat &gt;= perc_95, converted_stat * 3, IF(bbgm_stat &gt;= perc_90, converted_stat * 2, IF(bbgm_stat &gt;= perc_85, converted_stat * 1.5, converted_stat)))))</f>
        <v/>
      </c>
      <c r="G363" s="30" t="str">
        <f t="array" ref="G363">IF($A363="", "", LET(bbgm_stat, INDEX(Players!$A362:$P362, MATCH(G$2, Players!$A$1:$P$1, 0)), perc_75, VLOOKUP(G$2, Percentiles!$A$45:$I$59, 6, FALSE), perc_90, VLOOKUP(G$2, Percentiles!$A$45:$I$59, 7, FALSE), perc_95, VLOOKUP(G$2, Percentiles!$A$45:$I$59, 8, FALSE), perc_85, perc_75 + (perc_90 - perc_75) * (2/3), converted_stat, '2K_Ratings'!G363, IF(bbgm_stat &gt;= perc_95, converted_stat * 3, IF(bbgm_stat &gt;= perc_90, converted_stat * 2, IF(bbgm_stat &gt;= perc_85, converted_stat * 1.5, converted_stat)))))</f>
        <v/>
      </c>
      <c r="H363" s="30" t="str">
        <f t="array" ref="H363">IF($A363="", "", LET(bbgm_stat, INDEX(Players!$A362:$P362, MATCH(H$2, Players!$A$1:$P$1, 0)), perc_75, VLOOKUP(H$2, Percentiles!$A$45:$I$59, 6, FALSE), perc_90, VLOOKUP(H$2, Percentiles!$A$45:$I$59, 7, FALSE), perc_95, VLOOKUP(H$2, Percentiles!$A$45:$I$59, 8, FALSE), perc_85, perc_75 + (perc_90 - perc_75) * (2/3), converted_stat, '2K_Ratings'!H363, IF(bbgm_stat &gt;= perc_95, converted_stat * 3, IF(bbgm_stat &gt;= perc_90, converted_stat * 2, IF(bbgm_stat &gt;= perc_85, converted_stat * 1.5, converted_stat)))))</f>
        <v/>
      </c>
      <c r="I363" s="30" t="str">
        <f t="array" ref="I363">IF($A363="", "", LET(bbgm_stat, INDEX(Players!$A362:$P362, MATCH(I$2, Players!$A$1:$P$1, 0)), perc_75, VLOOKUP(I$2, Percentiles!$A$45:$I$59, 6, FALSE), perc_90, VLOOKUP(I$2, Percentiles!$A$45:$I$59, 7, FALSE), perc_95, VLOOKUP(I$2, Percentiles!$A$45:$I$59, 8, FALSE), perc_85, perc_75 + (perc_90 - perc_75) * (2/3), converted_stat, '2K_Ratings'!I363, IF(bbgm_stat &gt;= perc_95, converted_stat * 3, IF(bbgm_stat &gt;= perc_90, converted_stat * 2, IF(bbgm_stat &gt;= perc_85, converted_stat * 1.5, converted_stat)))))</f>
        <v/>
      </c>
      <c r="J363" s="30" t="str">
        <f t="array" ref="J363">IF($A363="", "", LET(bbgm_stat, INDEX(Players!$A362:$P362, MATCH(J$2, Players!$A$1:$P$1, 0)), perc_75, VLOOKUP(J$2, Percentiles!$A$45:$I$59, 6, FALSE), perc_90, VLOOKUP(J$2, Percentiles!$A$45:$I$59, 7, FALSE), perc_95, VLOOKUP(J$2, Percentiles!$A$45:$I$59, 8, FALSE), perc_85, perc_75 + (perc_90 - perc_75) * (2/3), converted_stat, '2K_Ratings'!J363, IF(bbgm_stat &gt;= perc_95, converted_stat * 3, IF(bbgm_stat &gt;= perc_90, converted_stat * 2, IF(bbgm_stat &gt;= perc_85, converted_stat * 1.5, converted_stat)))))</f>
        <v/>
      </c>
      <c r="K363" s="30" t="str">
        <f t="array" ref="K363">IF($A363="", "", LET(bbgm_stat, INDEX(Players!$A362:$P362, MATCH(K$2, Players!$A$1:$P$1, 0)), perc_75, VLOOKUP(K$2, Percentiles!$A$45:$I$59, 6, FALSE), perc_90, VLOOKUP(K$2, Percentiles!$A$45:$I$59, 7, FALSE), perc_95, VLOOKUP(K$2, Percentiles!$A$45:$I$59, 8, FALSE), perc_85, perc_75 + (perc_90 - perc_75) * (2/3), converted_stat, '2K_Ratings'!K363, IF(bbgm_stat &gt;= perc_95, converted_stat * 3, IF(bbgm_stat &gt;= perc_90, converted_stat * 2, IF(bbgm_stat &gt;= perc_85, converted_stat * 1.5, converted_stat)))))</f>
        <v/>
      </c>
      <c r="L363" s="30" t="str">
        <f t="array" ref="L363">IF($A363="", "", LET(bbgm_stat, INDEX(Players!$A362:$P362, MATCH(L$2, Players!$A$1:$P$1, 0)), perc_75, VLOOKUP(L$2, Percentiles!$A$45:$I$59, 6, FALSE), perc_90, VLOOKUP(L$2, Percentiles!$A$45:$I$59, 7, FALSE), perc_95, VLOOKUP(L$2, Percentiles!$A$45:$I$59, 8, FALSE), perc_85, perc_75 + (perc_90 - perc_75) * (2/3), converted_stat, '2K_Ratings'!L363, IF(bbgm_stat &gt;= perc_95, converted_stat * 3, IF(bbgm_stat &gt;= perc_90, converted_stat * 2, IF(bbgm_stat &gt;= perc_85, converted_stat * 1.5, converted_stat)))))</f>
        <v/>
      </c>
      <c r="M363" s="30" t="str">
        <f t="array" ref="M363">IF($A363="", "", LET(bbgm_stat, INDEX(Players!$A362:$P362, MATCH(M$2, Players!$A$1:$P$1, 0)), perc_75, VLOOKUP(M$2, Percentiles!$A$45:$I$59, 6, FALSE), perc_90, VLOOKUP(M$2, Percentiles!$A$45:$I$59, 7, FALSE), perc_95, VLOOKUP(M$2, Percentiles!$A$45:$I$59, 8, FALSE), perc_85, perc_75 + (perc_90 - perc_75) * (2/3), converted_stat, '2K_Ratings'!M363, IF(bbgm_stat &gt;= perc_95, converted_stat * 3, IF(bbgm_stat &gt;= perc_90, converted_stat * 2, IF(bbgm_stat &gt;= perc_85, converted_stat * 1.5, converted_stat)))))</f>
        <v/>
      </c>
      <c r="N363" s="30" t="str">
        <f t="array" ref="N363">IF($A363="", "", LET(bbgm_stat, INDEX(Players!$A362:$P362, MATCH(N$2, Players!$A$1:$P$1, 0)), perc_75, VLOOKUP(N$2, Percentiles!$A$45:$I$59, 6, FALSE), perc_90, VLOOKUP(N$2, Percentiles!$A$45:$I$59, 7, FALSE), perc_95, VLOOKUP(N$2, Percentiles!$A$45:$I$59, 8, FALSE), perc_85, perc_75 + (perc_90 - perc_75) * (2/3), converted_stat, '2K_Ratings'!N363, IF(bbgm_stat &gt;= perc_95, converted_stat * 3, IF(bbgm_stat &gt;= perc_90, converted_stat * 2, IF(bbgm_stat &gt;= perc_85, converted_stat * 1.5, converted_stat)))))</f>
        <v/>
      </c>
      <c r="O363" s="30" t="str">
        <f t="array" ref="O363">IF($A363="", "", LET(bbgm_stat, INDEX(Players!$A362:$P362, MATCH(O$2, Players!$A$1:$P$1, 0)), perc_75, VLOOKUP(O$2, Percentiles!$A$45:$I$59, 6, FALSE), perc_90, VLOOKUP(O$2, Percentiles!$A$45:$I$59, 7, FALSE), perc_95, VLOOKUP(O$2, Percentiles!$A$45:$I$59, 8, FALSE), perc_85, perc_75 + (perc_90 - perc_75) * (2/3), converted_stat, '2K_Ratings'!O363, IF(bbgm_stat &gt;= perc_95, converted_stat * 3, IF(bbgm_stat &gt;= perc_90, converted_stat * 2, IF(bbgm_stat &gt;= perc_85, converted_stat * 1.5, converted_stat)))))</f>
        <v/>
      </c>
      <c r="P363" s="30" t="str">
        <f t="array" ref="P363">IF($A363="", "", LET(bbgm_stat, INDEX(Players!$A362:$P362, MATCH(P$2, Players!$A$1:$P$1, 0)), perc_75, VLOOKUP(P$2, Percentiles!$A$45:$I$59, 6, FALSE), perc_90, VLOOKUP(P$2, Percentiles!$A$45:$I$59, 7, FALSE), perc_95, VLOOKUP(P$2, Percentiles!$A$45:$I$59, 8, FALSE), perc_85, perc_75 + (perc_90 - perc_75) * (2/3), converted_stat, '2K_Ratings'!P363, IF(bbgm_stat &gt;= perc_95, converted_stat * 3, IF(bbgm_stat &gt;= perc_90, converted_stat * 2, IF(bbgm_stat &gt;= perc_85, converted_stat * 1.5, converted_stat)))))</f>
        <v/>
      </c>
      <c r="Q363" s="30" t="str">
        <f t="array" ref="Q363">IF($A363="", "", LET(bbgm_stat, INDEX(Players!$A362:$P362, MATCH(Q$2, Players!$A$1:$P$1, 0)), perc_75, VLOOKUP(Q$2, Percentiles!$A$45:$I$59, 6, FALSE), perc_90, VLOOKUP(Q$2, Percentiles!$A$45:$I$59, 7, FALSE), perc_95, VLOOKUP(Q$2, Percentiles!$A$45:$I$59, 8, FALSE), perc_85, perc_75 + (perc_90 - perc_75) * (2/3), converted_stat, '2K_Ratings'!Q363, IF(bbgm_stat &gt;= perc_95, converted_stat * 3, IF(bbgm_stat &gt;= perc_90, converted_stat * 2, IF(bbgm_stat &gt;= perc_85, converted_stat * 1.5, converted_stat)))))</f>
        <v/>
      </c>
      <c r="R363" s="30" t="str">
        <f t="array" ref="R363">IF($A363="", "", LET(bbgm_stat, INDEX(Players!$A362:$P362, MATCH(R$2, Players!$A$1:$P$1, 0)), perc_75, VLOOKUP(R$2, Percentiles!$A$45:$I$59, 6, FALSE), perc_90, VLOOKUP(R$2, Percentiles!$A$45:$I$59, 7, FALSE), perc_95, VLOOKUP(R$2, Percentiles!$A$45:$I$59, 8, FALSE), perc_85, perc_75 + (perc_90 - perc_75) * (2/3), converted_stat, '2K_Ratings'!R363, IF(bbgm_stat &gt;= perc_95, converted_stat * 3, IF(bbgm_stat &gt;= perc_90, converted_stat * 2, IF(bbgm_stat &gt;= perc_85, converted_stat * 1.5, converted_stat)))))</f>
        <v/>
      </c>
      <c r="S363" s="30" t="str">
        <f t="array" ref="S363">IF($A363="", "", LET(bbgm_stat, INDEX(Players!$A362:$P362, MATCH(S$2, Players!$A$1:$P$1, 0)), perc_75, VLOOKUP(S$2, Percentiles!$A$45:$I$59, 6, FALSE), perc_90, VLOOKUP(S$2, Percentiles!$A$45:$I$59, 7, FALSE), perc_95, VLOOKUP(S$2, Percentiles!$A$45:$I$59, 8, FALSE), perc_85, perc_75 + (perc_90 - perc_75) * (2/3), converted_stat, '2K_Ratings'!S363, IF(bbgm_stat &gt;= perc_95, converted_stat * 3, IF(bbgm_stat &gt;= perc_90, converted_stat * 2, IF(bbgm_stat &gt;= perc_85, converted_stat * 1.5, converted_stat)))))</f>
        <v/>
      </c>
      <c r="T363" s="30" t="str">
        <f t="array" ref="T363">IF($A363="", "", LET(bbgm_stat, INDEX(Players!$A362:$P362, MATCH(T$2, Players!$A$1:$P$1, 0)), perc_75, VLOOKUP(T$2, Percentiles!$A$45:$I$59, 6, FALSE), perc_90, VLOOKUP(T$2, Percentiles!$A$45:$I$59, 7, FALSE), perc_95, VLOOKUP(T$2, Percentiles!$A$45:$I$59, 8, FALSE), perc_85, perc_75 + (perc_90 - perc_75) * (2/3), converted_stat, '2K_Ratings'!T363, IF(bbgm_stat &gt;= perc_95, converted_stat * 3, IF(bbgm_stat &gt;= perc_90, converted_stat * 2, IF(bbgm_stat &gt;= perc_85, converted_stat * 1.5, converted_stat)))))</f>
        <v/>
      </c>
      <c r="U363" s="30" t="str">
        <f t="array" ref="U363">IF($A363="", "", LET(bbgm_stat, INDEX(Players!$A362:$P362, MATCH(U$2, Players!$A$1:$P$1, 0)), perc_75, VLOOKUP(U$2, Percentiles!$A$45:$I$59, 6, FALSE), perc_90, VLOOKUP(U$2, Percentiles!$A$45:$I$59, 7, FALSE), perc_95, VLOOKUP(U$2, Percentiles!$A$45:$I$59, 8, FALSE), perc_85, perc_75 + (perc_90 - perc_75) * (2/3), converted_stat, '2K_Ratings'!U363, IF(bbgm_stat &gt;= perc_95, converted_stat * 3, IF(bbgm_stat &gt;= perc_90, converted_stat * 2, IF(bbgm_stat &gt;= perc_85, converted_stat * 1.5, converted_stat)))))</f>
        <v/>
      </c>
      <c r="V363" s="30" t="str">
        <f t="array" ref="V363">IF($A363="", "", LET(bbgm_stat, INDEX(Players!$A362:$P362, MATCH(V$2, Players!$A$1:$P$1, 0)), perc_75, VLOOKUP(V$2, Percentiles!$A$45:$I$59, 6, FALSE), perc_90, VLOOKUP(V$2, Percentiles!$A$45:$I$59, 7, FALSE), perc_95, VLOOKUP(V$2, Percentiles!$A$45:$I$59, 8, FALSE), perc_85, perc_75 + (perc_90 - perc_75) * (2/3), converted_stat, '2K_Ratings'!V363, IF(bbgm_stat &gt;= perc_95, converted_stat * 3, IF(bbgm_stat &gt;= perc_90, converted_stat * 2, IF(bbgm_stat &gt;= perc_85, converted_stat * 1.5, converted_stat)))))</f>
        <v/>
      </c>
      <c r="W363" s="30" t="str">
        <f t="array" ref="W363">IF($A363="", "", LET(bbgm_stat, INDEX(Players!$A362:$P362, MATCH(W$2, Players!$A$1:$P$1, 0)), perc_75, VLOOKUP(W$2, Percentiles!$A$45:$I$59, 6, FALSE), perc_90, VLOOKUP(W$2, Percentiles!$A$45:$I$59, 7, FALSE), perc_95, VLOOKUP(W$2, Percentiles!$A$45:$I$59, 8, FALSE), perc_85, perc_75 + (perc_90 - perc_75) * (2/3), converted_stat, '2K_Ratings'!W363, IF(bbgm_stat &gt;= perc_95, converted_stat * 3, IF(bbgm_stat &gt;= perc_90, converted_stat * 2, IF(bbgm_stat &gt;= perc_85, converted_stat * 1.5, converted_stat)))))</f>
        <v/>
      </c>
    </row>
    <row r="364">
      <c r="A364" s="30"/>
      <c r="B364" s="30" t="str">
        <f t="array" ref="B364">IF($A364="", "", LET(bbgm_stat, INDEX(Players!$A363:$P363, MATCH(B$2, Players!$A$1:$P$1, 0)), perc_75, VLOOKUP(B$2, Percentiles!$A$45:$I$59, 6, FALSE), perc_90, VLOOKUP(B$2, Percentiles!$A$45:$I$59, 7, FALSE), perc_95, VLOOKUP(B$2, Percentiles!$A$45:$I$59, 8, FALSE), perc_85, perc_75 + (perc_90 - perc_75) * (2/3), converted_stat, '2K_Ratings'!B364, IF(bbgm_stat &gt;= perc_95, converted_stat * 3, IF(bbgm_stat &gt;= perc_90, converted_stat * 2, IF(bbgm_stat &gt;= perc_85, converted_stat * 1.5, converted_stat)))))</f>
        <v/>
      </c>
      <c r="C364" s="30" t="str">
        <f t="array" ref="C364">IF($A364="", "", LET(bbgm_stat, INDEX(Players!$A363:$P363, MATCH(C$2, Players!$A$1:$P$1, 0)), perc_75, VLOOKUP(C$2, Percentiles!$A$45:$I$59, 6, FALSE), perc_90, VLOOKUP(C$2, Percentiles!$A$45:$I$59, 7, FALSE), perc_95, VLOOKUP(C$2, Percentiles!$A$45:$I$59, 8, FALSE), perc_85, perc_75 + (perc_90 - perc_75) * (2/3), converted_stat, '2K_Ratings'!C364, IF(bbgm_stat &gt;= perc_95, converted_stat * 3, IF(bbgm_stat &gt;= perc_90, converted_stat * 2, IF(bbgm_stat &gt;= perc_85, converted_stat * 1.5, converted_stat)))))</f>
        <v/>
      </c>
      <c r="D364" s="30" t="str">
        <f t="array" ref="D364">IF($A364="", "", LET(bbgm_stat, INDEX(Players!$A363:$P363, MATCH(D$2, Players!$A$1:$P$1, 0)), perc_75, VLOOKUP(D$2, Percentiles!$A$45:$I$59, 6, FALSE), perc_90, VLOOKUP(D$2, Percentiles!$A$45:$I$59, 7, FALSE), perc_95, VLOOKUP(D$2, Percentiles!$A$45:$I$59, 8, FALSE), perc_85, perc_75 + (perc_90 - perc_75) * (2/3), converted_stat, '2K_Ratings'!D364, IF(bbgm_stat &gt;= perc_95, converted_stat * 3, IF(bbgm_stat &gt;= perc_90, converted_stat * 2, IF(bbgm_stat &gt;= perc_85, converted_stat * 1.5, converted_stat)))))</f>
        <v/>
      </c>
      <c r="E364" s="30" t="str">
        <f t="array" ref="E364">IF($A364="", "", LET(bbgm_stat, INDEX(Players!$A363:$P363, MATCH(E$2, Players!$A$1:$P$1, 0)), perc_75, VLOOKUP(E$2, Percentiles!$A$45:$I$59, 6, FALSE), perc_90, VLOOKUP(E$2, Percentiles!$A$45:$I$59, 7, FALSE), perc_95, VLOOKUP(E$2, Percentiles!$A$45:$I$59, 8, FALSE), perc_85, perc_75 + (perc_90 - perc_75) * (2/3), converted_stat, '2K_Ratings'!E364, IF(bbgm_stat &gt;= perc_95, converted_stat * 3, IF(bbgm_stat &gt;= perc_90, converted_stat * 2, IF(bbgm_stat &gt;= perc_85, converted_stat * 1.5, converted_stat)))))</f>
        <v/>
      </c>
      <c r="F364" s="30" t="str">
        <f t="array" ref="F364">IF($A364="", "", LET(bbgm_stat, INDEX(Players!$A363:$P363, MATCH(F$2, Players!$A$1:$P$1, 0)), perc_75, VLOOKUP(F$2, Percentiles!$A$45:$I$59, 6, FALSE), perc_90, VLOOKUP(F$2, Percentiles!$A$45:$I$59, 7, FALSE), perc_95, VLOOKUP(F$2, Percentiles!$A$45:$I$59, 8, FALSE), perc_85, perc_75 + (perc_90 - perc_75) * (2/3), converted_stat, '2K_Ratings'!F364, IF(bbgm_stat &gt;= perc_95, converted_stat * 3, IF(bbgm_stat &gt;= perc_90, converted_stat * 2, IF(bbgm_stat &gt;= perc_85, converted_stat * 1.5, converted_stat)))))</f>
        <v/>
      </c>
      <c r="G364" s="30" t="str">
        <f t="array" ref="G364">IF($A364="", "", LET(bbgm_stat, INDEX(Players!$A363:$P363, MATCH(G$2, Players!$A$1:$P$1, 0)), perc_75, VLOOKUP(G$2, Percentiles!$A$45:$I$59, 6, FALSE), perc_90, VLOOKUP(G$2, Percentiles!$A$45:$I$59, 7, FALSE), perc_95, VLOOKUP(G$2, Percentiles!$A$45:$I$59, 8, FALSE), perc_85, perc_75 + (perc_90 - perc_75) * (2/3), converted_stat, '2K_Ratings'!G364, IF(bbgm_stat &gt;= perc_95, converted_stat * 3, IF(bbgm_stat &gt;= perc_90, converted_stat * 2, IF(bbgm_stat &gt;= perc_85, converted_stat * 1.5, converted_stat)))))</f>
        <v/>
      </c>
      <c r="H364" s="30" t="str">
        <f t="array" ref="H364">IF($A364="", "", LET(bbgm_stat, INDEX(Players!$A363:$P363, MATCH(H$2, Players!$A$1:$P$1, 0)), perc_75, VLOOKUP(H$2, Percentiles!$A$45:$I$59, 6, FALSE), perc_90, VLOOKUP(H$2, Percentiles!$A$45:$I$59, 7, FALSE), perc_95, VLOOKUP(H$2, Percentiles!$A$45:$I$59, 8, FALSE), perc_85, perc_75 + (perc_90 - perc_75) * (2/3), converted_stat, '2K_Ratings'!H364, IF(bbgm_stat &gt;= perc_95, converted_stat * 3, IF(bbgm_stat &gt;= perc_90, converted_stat * 2, IF(bbgm_stat &gt;= perc_85, converted_stat * 1.5, converted_stat)))))</f>
        <v/>
      </c>
      <c r="I364" s="30" t="str">
        <f t="array" ref="I364">IF($A364="", "", LET(bbgm_stat, INDEX(Players!$A363:$P363, MATCH(I$2, Players!$A$1:$P$1, 0)), perc_75, VLOOKUP(I$2, Percentiles!$A$45:$I$59, 6, FALSE), perc_90, VLOOKUP(I$2, Percentiles!$A$45:$I$59, 7, FALSE), perc_95, VLOOKUP(I$2, Percentiles!$A$45:$I$59, 8, FALSE), perc_85, perc_75 + (perc_90 - perc_75) * (2/3), converted_stat, '2K_Ratings'!I364, IF(bbgm_stat &gt;= perc_95, converted_stat * 3, IF(bbgm_stat &gt;= perc_90, converted_stat * 2, IF(bbgm_stat &gt;= perc_85, converted_stat * 1.5, converted_stat)))))</f>
        <v/>
      </c>
      <c r="J364" s="30" t="str">
        <f t="array" ref="J364">IF($A364="", "", LET(bbgm_stat, INDEX(Players!$A363:$P363, MATCH(J$2, Players!$A$1:$P$1, 0)), perc_75, VLOOKUP(J$2, Percentiles!$A$45:$I$59, 6, FALSE), perc_90, VLOOKUP(J$2, Percentiles!$A$45:$I$59, 7, FALSE), perc_95, VLOOKUP(J$2, Percentiles!$A$45:$I$59, 8, FALSE), perc_85, perc_75 + (perc_90 - perc_75) * (2/3), converted_stat, '2K_Ratings'!J364, IF(bbgm_stat &gt;= perc_95, converted_stat * 3, IF(bbgm_stat &gt;= perc_90, converted_stat * 2, IF(bbgm_stat &gt;= perc_85, converted_stat * 1.5, converted_stat)))))</f>
        <v/>
      </c>
      <c r="K364" s="30" t="str">
        <f t="array" ref="K364">IF($A364="", "", LET(bbgm_stat, INDEX(Players!$A363:$P363, MATCH(K$2, Players!$A$1:$P$1, 0)), perc_75, VLOOKUP(K$2, Percentiles!$A$45:$I$59, 6, FALSE), perc_90, VLOOKUP(K$2, Percentiles!$A$45:$I$59, 7, FALSE), perc_95, VLOOKUP(K$2, Percentiles!$A$45:$I$59, 8, FALSE), perc_85, perc_75 + (perc_90 - perc_75) * (2/3), converted_stat, '2K_Ratings'!K364, IF(bbgm_stat &gt;= perc_95, converted_stat * 3, IF(bbgm_stat &gt;= perc_90, converted_stat * 2, IF(bbgm_stat &gt;= perc_85, converted_stat * 1.5, converted_stat)))))</f>
        <v/>
      </c>
      <c r="L364" s="30" t="str">
        <f t="array" ref="L364">IF($A364="", "", LET(bbgm_stat, INDEX(Players!$A363:$P363, MATCH(L$2, Players!$A$1:$P$1, 0)), perc_75, VLOOKUP(L$2, Percentiles!$A$45:$I$59, 6, FALSE), perc_90, VLOOKUP(L$2, Percentiles!$A$45:$I$59, 7, FALSE), perc_95, VLOOKUP(L$2, Percentiles!$A$45:$I$59, 8, FALSE), perc_85, perc_75 + (perc_90 - perc_75) * (2/3), converted_stat, '2K_Ratings'!L364, IF(bbgm_stat &gt;= perc_95, converted_stat * 3, IF(bbgm_stat &gt;= perc_90, converted_stat * 2, IF(bbgm_stat &gt;= perc_85, converted_stat * 1.5, converted_stat)))))</f>
        <v/>
      </c>
      <c r="M364" s="30" t="str">
        <f t="array" ref="M364">IF($A364="", "", LET(bbgm_stat, INDEX(Players!$A363:$P363, MATCH(M$2, Players!$A$1:$P$1, 0)), perc_75, VLOOKUP(M$2, Percentiles!$A$45:$I$59, 6, FALSE), perc_90, VLOOKUP(M$2, Percentiles!$A$45:$I$59, 7, FALSE), perc_95, VLOOKUP(M$2, Percentiles!$A$45:$I$59, 8, FALSE), perc_85, perc_75 + (perc_90 - perc_75) * (2/3), converted_stat, '2K_Ratings'!M364, IF(bbgm_stat &gt;= perc_95, converted_stat * 3, IF(bbgm_stat &gt;= perc_90, converted_stat * 2, IF(bbgm_stat &gt;= perc_85, converted_stat * 1.5, converted_stat)))))</f>
        <v/>
      </c>
      <c r="N364" s="30" t="str">
        <f t="array" ref="N364">IF($A364="", "", LET(bbgm_stat, INDEX(Players!$A363:$P363, MATCH(N$2, Players!$A$1:$P$1, 0)), perc_75, VLOOKUP(N$2, Percentiles!$A$45:$I$59, 6, FALSE), perc_90, VLOOKUP(N$2, Percentiles!$A$45:$I$59, 7, FALSE), perc_95, VLOOKUP(N$2, Percentiles!$A$45:$I$59, 8, FALSE), perc_85, perc_75 + (perc_90 - perc_75) * (2/3), converted_stat, '2K_Ratings'!N364, IF(bbgm_stat &gt;= perc_95, converted_stat * 3, IF(bbgm_stat &gt;= perc_90, converted_stat * 2, IF(bbgm_stat &gt;= perc_85, converted_stat * 1.5, converted_stat)))))</f>
        <v/>
      </c>
      <c r="O364" s="30" t="str">
        <f t="array" ref="O364">IF($A364="", "", LET(bbgm_stat, INDEX(Players!$A363:$P363, MATCH(O$2, Players!$A$1:$P$1, 0)), perc_75, VLOOKUP(O$2, Percentiles!$A$45:$I$59, 6, FALSE), perc_90, VLOOKUP(O$2, Percentiles!$A$45:$I$59, 7, FALSE), perc_95, VLOOKUP(O$2, Percentiles!$A$45:$I$59, 8, FALSE), perc_85, perc_75 + (perc_90 - perc_75) * (2/3), converted_stat, '2K_Ratings'!O364, IF(bbgm_stat &gt;= perc_95, converted_stat * 3, IF(bbgm_stat &gt;= perc_90, converted_stat * 2, IF(bbgm_stat &gt;= perc_85, converted_stat * 1.5, converted_stat)))))</f>
        <v/>
      </c>
      <c r="P364" s="30" t="str">
        <f t="array" ref="P364">IF($A364="", "", LET(bbgm_stat, INDEX(Players!$A363:$P363, MATCH(P$2, Players!$A$1:$P$1, 0)), perc_75, VLOOKUP(P$2, Percentiles!$A$45:$I$59, 6, FALSE), perc_90, VLOOKUP(P$2, Percentiles!$A$45:$I$59, 7, FALSE), perc_95, VLOOKUP(P$2, Percentiles!$A$45:$I$59, 8, FALSE), perc_85, perc_75 + (perc_90 - perc_75) * (2/3), converted_stat, '2K_Ratings'!P364, IF(bbgm_stat &gt;= perc_95, converted_stat * 3, IF(bbgm_stat &gt;= perc_90, converted_stat * 2, IF(bbgm_stat &gt;= perc_85, converted_stat * 1.5, converted_stat)))))</f>
        <v/>
      </c>
      <c r="Q364" s="30" t="str">
        <f t="array" ref="Q364">IF($A364="", "", LET(bbgm_stat, INDEX(Players!$A363:$P363, MATCH(Q$2, Players!$A$1:$P$1, 0)), perc_75, VLOOKUP(Q$2, Percentiles!$A$45:$I$59, 6, FALSE), perc_90, VLOOKUP(Q$2, Percentiles!$A$45:$I$59, 7, FALSE), perc_95, VLOOKUP(Q$2, Percentiles!$A$45:$I$59, 8, FALSE), perc_85, perc_75 + (perc_90 - perc_75) * (2/3), converted_stat, '2K_Ratings'!Q364, IF(bbgm_stat &gt;= perc_95, converted_stat * 3, IF(bbgm_stat &gt;= perc_90, converted_stat * 2, IF(bbgm_stat &gt;= perc_85, converted_stat * 1.5, converted_stat)))))</f>
        <v/>
      </c>
      <c r="R364" s="30" t="str">
        <f t="array" ref="R364">IF($A364="", "", LET(bbgm_stat, INDEX(Players!$A363:$P363, MATCH(R$2, Players!$A$1:$P$1, 0)), perc_75, VLOOKUP(R$2, Percentiles!$A$45:$I$59, 6, FALSE), perc_90, VLOOKUP(R$2, Percentiles!$A$45:$I$59, 7, FALSE), perc_95, VLOOKUP(R$2, Percentiles!$A$45:$I$59, 8, FALSE), perc_85, perc_75 + (perc_90 - perc_75) * (2/3), converted_stat, '2K_Ratings'!R364, IF(bbgm_stat &gt;= perc_95, converted_stat * 3, IF(bbgm_stat &gt;= perc_90, converted_stat * 2, IF(bbgm_stat &gt;= perc_85, converted_stat * 1.5, converted_stat)))))</f>
        <v/>
      </c>
      <c r="S364" s="30" t="str">
        <f t="array" ref="S364">IF($A364="", "", LET(bbgm_stat, INDEX(Players!$A363:$P363, MATCH(S$2, Players!$A$1:$P$1, 0)), perc_75, VLOOKUP(S$2, Percentiles!$A$45:$I$59, 6, FALSE), perc_90, VLOOKUP(S$2, Percentiles!$A$45:$I$59, 7, FALSE), perc_95, VLOOKUP(S$2, Percentiles!$A$45:$I$59, 8, FALSE), perc_85, perc_75 + (perc_90 - perc_75) * (2/3), converted_stat, '2K_Ratings'!S364, IF(bbgm_stat &gt;= perc_95, converted_stat * 3, IF(bbgm_stat &gt;= perc_90, converted_stat * 2, IF(bbgm_stat &gt;= perc_85, converted_stat * 1.5, converted_stat)))))</f>
        <v/>
      </c>
      <c r="T364" s="30" t="str">
        <f t="array" ref="T364">IF($A364="", "", LET(bbgm_stat, INDEX(Players!$A363:$P363, MATCH(T$2, Players!$A$1:$P$1, 0)), perc_75, VLOOKUP(T$2, Percentiles!$A$45:$I$59, 6, FALSE), perc_90, VLOOKUP(T$2, Percentiles!$A$45:$I$59, 7, FALSE), perc_95, VLOOKUP(T$2, Percentiles!$A$45:$I$59, 8, FALSE), perc_85, perc_75 + (perc_90 - perc_75) * (2/3), converted_stat, '2K_Ratings'!T364, IF(bbgm_stat &gt;= perc_95, converted_stat * 3, IF(bbgm_stat &gt;= perc_90, converted_stat * 2, IF(bbgm_stat &gt;= perc_85, converted_stat * 1.5, converted_stat)))))</f>
        <v/>
      </c>
      <c r="U364" s="30" t="str">
        <f t="array" ref="U364">IF($A364="", "", LET(bbgm_stat, INDEX(Players!$A363:$P363, MATCH(U$2, Players!$A$1:$P$1, 0)), perc_75, VLOOKUP(U$2, Percentiles!$A$45:$I$59, 6, FALSE), perc_90, VLOOKUP(U$2, Percentiles!$A$45:$I$59, 7, FALSE), perc_95, VLOOKUP(U$2, Percentiles!$A$45:$I$59, 8, FALSE), perc_85, perc_75 + (perc_90 - perc_75) * (2/3), converted_stat, '2K_Ratings'!U364, IF(bbgm_stat &gt;= perc_95, converted_stat * 3, IF(bbgm_stat &gt;= perc_90, converted_stat * 2, IF(bbgm_stat &gt;= perc_85, converted_stat * 1.5, converted_stat)))))</f>
        <v/>
      </c>
      <c r="V364" s="30" t="str">
        <f t="array" ref="V364">IF($A364="", "", LET(bbgm_stat, INDEX(Players!$A363:$P363, MATCH(V$2, Players!$A$1:$P$1, 0)), perc_75, VLOOKUP(V$2, Percentiles!$A$45:$I$59, 6, FALSE), perc_90, VLOOKUP(V$2, Percentiles!$A$45:$I$59, 7, FALSE), perc_95, VLOOKUP(V$2, Percentiles!$A$45:$I$59, 8, FALSE), perc_85, perc_75 + (perc_90 - perc_75) * (2/3), converted_stat, '2K_Ratings'!V364, IF(bbgm_stat &gt;= perc_95, converted_stat * 3, IF(bbgm_stat &gt;= perc_90, converted_stat * 2, IF(bbgm_stat &gt;= perc_85, converted_stat * 1.5, converted_stat)))))</f>
        <v/>
      </c>
      <c r="W364" s="30" t="str">
        <f t="array" ref="W364">IF($A364="", "", LET(bbgm_stat, INDEX(Players!$A363:$P363, MATCH(W$2, Players!$A$1:$P$1, 0)), perc_75, VLOOKUP(W$2, Percentiles!$A$45:$I$59, 6, FALSE), perc_90, VLOOKUP(W$2, Percentiles!$A$45:$I$59, 7, FALSE), perc_95, VLOOKUP(W$2, Percentiles!$A$45:$I$59, 8, FALSE), perc_85, perc_75 + (perc_90 - perc_75) * (2/3), converted_stat, '2K_Ratings'!W364, IF(bbgm_stat &gt;= perc_95, converted_stat * 3, IF(bbgm_stat &gt;= perc_90, converted_stat * 2, IF(bbgm_stat &gt;= perc_85, converted_stat * 1.5, converted_stat)))))</f>
        <v/>
      </c>
    </row>
    <row r="365">
      <c r="A365" s="30"/>
      <c r="B365" s="30" t="str">
        <f t="array" ref="B365">IF($A365="", "", LET(bbgm_stat, INDEX(Players!$A364:$P364, MATCH(B$2, Players!$A$1:$P$1, 0)), perc_75, VLOOKUP(B$2, Percentiles!$A$45:$I$59, 6, FALSE), perc_90, VLOOKUP(B$2, Percentiles!$A$45:$I$59, 7, FALSE), perc_95, VLOOKUP(B$2, Percentiles!$A$45:$I$59, 8, FALSE), perc_85, perc_75 + (perc_90 - perc_75) * (2/3), converted_stat, '2K_Ratings'!B365, IF(bbgm_stat &gt;= perc_95, converted_stat * 3, IF(bbgm_stat &gt;= perc_90, converted_stat * 2, IF(bbgm_stat &gt;= perc_85, converted_stat * 1.5, converted_stat)))))</f>
        <v/>
      </c>
      <c r="C365" s="30" t="str">
        <f t="array" ref="C365">IF($A365="", "", LET(bbgm_stat, INDEX(Players!$A364:$P364, MATCH(C$2, Players!$A$1:$P$1, 0)), perc_75, VLOOKUP(C$2, Percentiles!$A$45:$I$59, 6, FALSE), perc_90, VLOOKUP(C$2, Percentiles!$A$45:$I$59, 7, FALSE), perc_95, VLOOKUP(C$2, Percentiles!$A$45:$I$59, 8, FALSE), perc_85, perc_75 + (perc_90 - perc_75) * (2/3), converted_stat, '2K_Ratings'!C365, IF(bbgm_stat &gt;= perc_95, converted_stat * 3, IF(bbgm_stat &gt;= perc_90, converted_stat * 2, IF(bbgm_stat &gt;= perc_85, converted_stat * 1.5, converted_stat)))))</f>
        <v/>
      </c>
      <c r="D365" s="30" t="str">
        <f t="array" ref="D365">IF($A365="", "", LET(bbgm_stat, INDEX(Players!$A364:$P364, MATCH(D$2, Players!$A$1:$P$1, 0)), perc_75, VLOOKUP(D$2, Percentiles!$A$45:$I$59, 6, FALSE), perc_90, VLOOKUP(D$2, Percentiles!$A$45:$I$59, 7, FALSE), perc_95, VLOOKUP(D$2, Percentiles!$A$45:$I$59, 8, FALSE), perc_85, perc_75 + (perc_90 - perc_75) * (2/3), converted_stat, '2K_Ratings'!D365, IF(bbgm_stat &gt;= perc_95, converted_stat * 3, IF(bbgm_stat &gt;= perc_90, converted_stat * 2, IF(bbgm_stat &gt;= perc_85, converted_stat * 1.5, converted_stat)))))</f>
        <v/>
      </c>
      <c r="E365" s="30" t="str">
        <f t="array" ref="E365">IF($A365="", "", LET(bbgm_stat, INDEX(Players!$A364:$P364, MATCH(E$2, Players!$A$1:$P$1, 0)), perc_75, VLOOKUP(E$2, Percentiles!$A$45:$I$59, 6, FALSE), perc_90, VLOOKUP(E$2, Percentiles!$A$45:$I$59, 7, FALSE), perc_95, VLOOKUP(E$2, Percentiles!$A$45:$I$59, 8, FALSE), perc_85, perc_75 + (perc_90 - perc_75) * (2/3), converted_stat, '2K_Ratings'!E365, IF(bbgm_stat &gt;= perc_95, converted_stat * 3, IF(bbgm_stat &gt;= perc_90, converted_stat * 2, IF(bbgm_stat &gt;= perc_85, converted_stat * 1.5, converted_stat)))))</f>
        <v/>
      </c>
      <c r="F365" s="30" t="str">
        <f t="array" ref="F365">IF($A365="", "", LET(bbgm_stat, INDEX(Players!$A364:$P364, MATCH(F$2, Players!$A$1:$P$1, 0)), perc_75, VLOOKUP(F$2, Percentiles!$A$45:$I$59, 6, FALSE), perc_90, VLOOKUP(F$2, Percentiles!$A$45:$I$59, 7, FALSE), perc_95, VLOOKUP(F$2, Percentiles!$A$45:$I$59, 8, FALSE), perc_85, perc_75 + (perc_90 - perc_75) * (2/3), converted_stat, '2K_Ratings'!F365, IF(bbgm_stat &gt;= perc_95, converted_stat * 3, IF(bbgm_stat &gt;= perc_90, converted_stat * 2, IF(bbgm_stat &gt;= perc_85, converted_stat * 1.5, converted_stat)))))</f>
        <v/>
      </c>
      <c r="G365" s="30" t="str">
        <f t="array" ref="G365">IF($A365="", "", LET(bbgm_stat, INDEX(Players!$A364:$P364, MATCH(G$2, Players!$A$1:$P$1, 0)), perc_75, VLOOKUP(G$2, Percentiles!$A$45:$I$59, 6, FALSE), perc_90, VLOOKUP(G$2, Percentiles!$A$45:$I$59, 7, FALSE), perc_95, VLOOKUP(G$2, Percentiles!$A$45:$I$59, 8, FALSE), perc_85, perc_75 + (perc_90 - perc_75) * (2/3), converted_stat, '2K_Ratings'!G365, IF(bbgm_stat &gt;= perc_95, converted_stat * 3, IF(bbgm_stat &gt;= perc_90, converted_stat * 2, IF(bbgm_stat &gt;= perc_85, converted_stat * 1.5, converted_stat)))))</f>
        <v/>
      </c>
      <c r="H365" s="30" t="str">
        <f t="array" ref="H365">IF($A365="", "", LET(bbgm_stat, INDEX(Players!$A364:$P364, MATCH(H$2, Players!$A$1:$P$1, 0)), perc_75, VLOOKUP(H$2, Percentiles!$A$45:$I$59, 6, FALSE), perc_90, VLOOKUP(H$2, Percentiles!$A$45:$I$59, 7, FALSE), perc_95, VLOOKUP(H$2, Percentiles!$A$45:$I$59, 8, FALSE), perc_85, perc_75 + (perc_90 - perc_75) * (2/3), converted_stat, '2K_Ratings'!H365, IF(bbgm_stat &gt;= perc_95, converted_stat * 3, IF(bbgm_stat &gt;= perc_90, converted_stat * 2, IF(bbgm_stat &gt;= perc_85, converted_stat * 1.5, converted_stat)))))</f>
        <v/>
      </c>
      <c r="I365" s="30" t="str">
        <f t="array" ref="I365">IF($A365="", "", LET(bbgm_stat, INDEX(Players!$A364:$P364, MATCH(I$2, Players!$A$1:$P$1, 0)), perc_75, VLOOKUP(I$2, Percentiles!$A$45:$I$59, 6, FALSE), perc_90, VLOOKUP(I$2, Percentiles!$A$45:$I$59, 7, FALSE), perc_95, VLOOKUP(I$2, Percentiles!$A$45:$I$59, 8, FALSE), perc_85, perc_75 + (perc_90 - perc_75) * (2/3), converted_stat, '2K_Ratings'!I365, IF(bbgm_stat &gt;= perc_95, converted_stat * 3, IF(bbgm_stat &gt;= perc_90, converted_stat * 2, IF(bbgm_stat &gt;= perc_85, converted_stat * 1.5, converted_stat)))))</f>
        <v/>
      </c>
      <c r="J365" s="30" t="str">
        <f t="array" ref="J365">IF($A365="", "", LET(bbgm_stat, INDEX(Players!$A364:$P364, MATCH(J$2, Players!$A$1:$P$1, 0)), perc_75, VLOOKUP(J$2, Percentiles!$A$45:$I$59, 6, FALSE), perc_90, VLOOKUP(J$2, Percentiles!$A$45:$I$59, 7, FALSE), perc_95, VLOOKUP(J$2, Percentiles!$A$45:$I$59, 8, FALSE), perc_85, perc_75 + (perc_90 - perc_75) * (2/3), converted_stat, '2K_Ratings'!J365, IF(bbgm_stat &gt;= perc_95, converted_stat * 3, IF(bbgm_stat &gt;= perc_90, converted_stat * 2, IF(bbgm_stat &gt;= perc_85, converted_stat * 1.5, converted_stat)))))</f>
        <v/>
      </c>
      <c r="K365" s="30" t="str">
        <f t="array" ref="K365">IF($A365="", "", LET(bbgm_stat, INDEX(Players!$A364:$P364, MATCH(K$2, Players!$A$1:$P$1, 0)), perc_75, VLOOKUP(K$2, Percentiles!$A$45:$I$59, 6, FALSE), perc_90, VLOOKUP(K$2, Percentiles!$A$45:$I$59, 7, FALSE), perc_95, VLOOKUP(K$2, Percentiles!$A$45:$I$59, 8, FALSE), perc_85, perc_75 + (perc_90 - perc_75) * (2/3), converted_stat, '2K_Ratings'!K365, IF(bbgm_stat &gt;= perc_95, converted_stat * 3, IF(bbgm_stat &gt;= perc_90, converted_stat * 2, IF(bbgm_stat &gt;= perc_85, converted_stat * 1.5, converted_stat)))))</f>
        <v/>
      </c>
      <c r="L365" s="30" t="str">
        <f t="array" ref="L365">IF($A365="", "", LET(bbgm_stat, INDEX(Players!$A364:$P364, MATCH(L$2, Players!$A$1:$P$1, 0)), perc_75, VLOOKUP(L$2, Percentiles!$A$45:$I$59, 6, FALSE), perc_90, VLOOKUP(L$2, Percentiles!$A$45:$I$59, 7, FALSE), perc_95, VLOOKUP(L$2, Percentiles!$A$45:$I$59, 8, FALSE), perc_85, perc_75 + (perc_90 - perc_75) * (2/3), converted_stat, '2K_Ratings'!L365, IF(bbgm_stat &gt;= perc_95, converted_stat * 3, IF(bbgm_stat &gt;= perc_90, converted_stat * 2, IF(bbgm_stat &gt;= perc_85, converted_stat * 1.5, converted_stat)))))</f>
        <v/>
      </c>
      <c r="M365" s="30" t="str">
        <f t="array" ref="M365">IF($A365="", "", LET(bbgm_stat, INDEX(Players!$A364:$P364, MATCH(M$2, Players!$A$1:$P$1, 0)), perc_75, VLOOKUP(M$2, Percentiles!$A$45:$I$59, 6, FALSE), perc_90, VLOOKUP(M$2, Percentiles!$A$45:$I$59, 7, FALSE), perc_95, VLOOKUP(M$2, Percentiles!$A$45:$I$59, 8, FALSE), perc_85, perc_75 + (perc_90 - perc_75) * (2/3), converted_stat, '2K_Ratings'!M365, IF(bbgm_stat &gt;= perc_95, converted_stat * 3, IF(bbgm_stat &gt;= perc_90, converted_stat * 2, IF(bbgm_stat &gt;= perc_85, converted_stat * 1.5, converted_stat)))))</f>
        <v/>
      </c>
      <c r="N365" s="30" t="str">
        <f t="array" ref="N365">IF($A365="", "", LET(bbgm_stat, INDEX(Players!$A364:$P364, MATCH(N$2, Players!$A$1:$P$1, 0)), perc_75, VLOOKUP(N$2, Percentiles!$A$45:$I$59, 6, FALSE), perc_90, VLOOKUP(N$2, Percentiles!$A$45:$I$59, 7, FALSE), perc_95, VLOOKUP(N$2, Percentiles!$A$45:$I$59, 8, FALSE), perc_85, perc_75 + (perc_90 - perc_75) * (2/3), converted_stat, '2K_Ratings'!N365, IF(bbgm_stat &gt;= perc_95, converted_stat * 3, IF(bbgm_stat &gt;= perc_90, converted_stat * 2, IF(bbgm_stat &gt;= perc_85, converted_stat * 1.5, converted_stat)))))</f>
        <v/>
      </c>
      <c r="O365" s="30" t="str">
        <f t="array" ref="O365">IF($A365="", "", LET(bbgm_stat, INDEX(Players!$A364:$P364, MATCH(O$2, Players!$A$1:$P$1, 0)), perc_75, VLOOKUP(O$2, Percentiles!$A$45:$I$59, 6, FALSE), perc_90, VLOOKUP(O$2, Percentiles!$A$45:$I$59, 7, FALSE), perc_95, VLOOKUP(O$2, Percentiles!$A$45:$I$59, 8, FALSE), perc_85, perc_75 + (perc_90 - perc_75) * (2/3), converted_stat, '2K_Ratings'!O365, IF(bbgm_stat &gt;= perc_95, converted_stat * 3, IF(bbgm_stat &gt;= perc_90, converted_stat * 2, IF(bbgm_stat &gt;= perc_85, converted_stat * 1.5, converted_stat)))))</f>
        <v/>
      </c>
      <c r="P365" s="30" t="str">
        <f t="array" ref="P365">IF($A365="", "", LET(bbgm_stat, INDEX(Players!$A364:$P364, MATCH(P$2, Players!$A$1:$P$1, 0)), perc_75, VLOOKUP(P$2, Percentiles!$A$45:$I$59, 6, FALSE), perc_90, VLOOKUP(P$2, Percentiles!$A$45:$I$59, 7, FALSE), perc_95, VLOOKUP(P$2, Percentiles!$A$45:$I$59, 8, FALSE), perc_85, perc_75 + (perc_90 - perc_75) * (2/3), converted_stat, '2K_Ratings'!P365, IF(bbgm_stat &gt;= perc_95, converted_stat * 3, IF(bbgm_stat &gt;= perc_90, converted_stat * 2, IF(bbgm_stat &gt;= perc_85, converted_stat * 1.5, converted_stat)))))</f>
        <v/>
      </c>
      <c r="Q365" s="30" t="str">
        <f t="array" ref="Q365">IF($A365="", "", LET(bbgm_stat, INDEX(Players!$A364:$P364, MATCH(Q$2, Players!$A$1:$P$1, 0)), perc_75, VLOOKUP(Q$2, Percentiles!$A$45:$I$59, 6, FALSE), perc_90, VLOOKUP(Q$2, Percentiles!$A$45:$I$59, 7, FALSE), perc_95, VLOOKUP(Q$2, Percentiles!$A$45:$I$59, 8, FALSE), perc_85, perc_75 + (perc_90 - perc_75) * (2/3), converted_stat, '2K_Ratings'!Q365, IF(bbgm_stat &gt;= perc_95, converted_stat * 3, IF(bbgm_stat &gt;= perc_90, converted_stat * 2, IF(bbgm_stat &gt;= perc_85, converted_stat * 1.5, converted_stat)))))</f>
        <v/>
      </c>
      <c r="R365" s="30" t="str">
        <f t="array" ref="R365">IF($A365="", "", LET(bbgm_stat, INDEX(Players!$A364:$P364, MATCH(R$2, Players!$A$1:$P$1, 0)), perc_75, VLOOKUP(R$2, Percentiles!$A$45:$I$59, 6, FALSE), perc_90, VLOOKUP(R$2, Percentiles!$A$45:$I$59, 7, FALSE), perc_95, VLOOKUP(R$2, Percentiles!$A$45:$I$59, 8, FALSE), perc_85, perc_75 + (perc_90 - perc_75) * (2/3), converted_stat, '2K_Ratings'!R365, IF(bbgm_stat &gt;= perc_95, converted_stat * 3, IF(bbgm_stat &gt;= perc_90, converted_stat * 2, IF(bbgm_stat &gt;= perc_85, converted_stat * 1.5, converted_stat)))))</f>
        <v/>
      </c>
      <c r="S365" s="30" t="str">
        <f t="array" ref="S365">IF($A365="", "", LET(bbgm_stat, INDEX(Players!$A364:$P364, MATCH(S$2, Players!$A$1:$P$1, 0)), perc_75, VLOOKUP(S$2, Percentiles!$A$45:$I$59, 6, FALSE), perc_90, VLOOKUP(S$2, Percentiles!$A$45:$I$59, 7, FALSE), perc_95, VLOOKUP(S$2, Percentiles!$A$45:$I$59, 8, FALSE), perc_85, perc_75 + (perc_90 - perc_75) * (2/3), converted_stat, '2K_Ratings'!S365, IF(bbgm_stat &gt;= perc_95, converted_stat * 3, IF(bbgm_stat &gt;= perc_90, converted_stat * 2, IF(bbgm_stat &gt;= perc_85, converted_stat * 1.5, converted_stat)))))</f>
        <v/>
      </c>
      <c r="T365" s="30" t="str">
        <f t="array" ref="T365">IF($A365="", "", LET(bbgm_stat, INDEX(Players!$A364:$P364, MATCH(T$2, Players!$A$1:$P$1, 0)), perc_75, VLOOKUP(T$2, Percentiles!$A$45:$I$59, 6, FALSE), perc_90, VLOOKUP(T$2, Percentiles!$A$45:$I$59, 7, FALSE), perc_95, VLOOKUP(T$2, Percentiles!$A$45:$I$59, 8, FALSE), perc_85, perc_75 + (perc_90 - perc_75) * (2/3), converted_stat, '2K_Ratings'!T365, IF(bbgm_stat &gt;= perc_95, converted_stat * 3, IF(bbgm_stat &gt;= perc_90, converted_stat * 2, IF(bbgm_stat &gt;= perc_85, converted_stat * 1.5, converted_stat)))))</f>
        <v/>
      </c>
      <c r="U365" s="30" t="str">
        <f t="array" ref="U365">IF($A365="", "", LET(bbgm_stat, INDEX(Players!$A364:$P364, MATCH(U$2, Players!$A$1:$P$1, 0)), perc_75, VLOOKUP(U$2, Percentiles!$A$45:$I$59, 6, FALSE), perc_90, VLOOKUP(U$2, Percentiles!$A$45:$I$59, 7, FALSE), perc_95, VLOOKUP(U$2, Percentiles!$A$45:$I$59, 8, FALSE), perc_85, perc_75 + (perc_90 - perc_75) * (2/3), converted_stat, '2K_Ratings'!U365, IF(bbgm_stat &gt;= perc_95, converted_stat * 3, IF(bbgm_stat &gt;= perc_90, converted_stat * 2, IF(bbgm_stat &gt;= perc_85, converted_stat * 1.5, converted_stat)))))</f>
        <v/>
      </c>
      <c r="V365" s="30" t="str">
        <f t="array" ref="V365">IF($A365="", "", LET(bbgm_stat, INDEX(Players!$A364:$P364, MATCH(V$2, Players!$A$1:$P$1, 0)), perc_75, VLOOKUP(V$2, Percentiles!$A$45:$I$59, 6, FALSE), perc_90, VLOOKUP(V$2, Percentiles!$A$45:$I$59, 7, FALSE), perc_95, VLOOKUP(V$2, Percentiles!$A$45:$I$59, 8, FALSE), perc_85, perc_75 + (perc_90 - perc_75) * (2/3), converted_stat, '2K_Ratings'!V365, IF(bbgm_stat &gt;= perc_95, converted_stat * 3, IF(bbgm_stat &gt;= perc_90, converted_stat * 2, IF(bbgm_stat &gt;= perc_85, converted_stat * 1.5, converted_stat)))))</f>
        <v/>
      </c>
      <c r="W365" s="30" t="str">
        <f t="array" ref="W365">IF($A365="", "", LET(bbgm_stat, INDEX(Players!$A364:$P364, MATCH(W$2, Players!$A$1:$P$1, 0)), perc_75, VLOOKUP(W$2, Percentiles!$A$45:$I$59, 6, FALSE), perc_90, VLOOKUP(W$2, Percentiles!$A$45:$I$59, 7, FALSE), perc_95, VLOOKUP(W$2, Percentiles!$A$45:$I$59, 8, FALSE), perc_85, perc_75 + (perc_90 - perc_75) * (2/3), converted_stat, '2K_Ratings'!W365, IF(bbgm_stat &gt;= perc_95, converted_stat * 3, IF(bbgm_stat &gt;= perc_90, converted_stat * 2, IF(bbgm_stat &gt;= perc_85, converted_stat * 1.5, converted_stat)))))</f>
        <v/>
      </c>
    </row>
    <row r="366">
      <c r="A366" s="30"/>
      <c r="B366" s="30" t="str">
        <f t="array" ref="B366">IF($A366="", "", LET(bbgm_stat, INDEX(Players!$A365:$P365, MATCH(B$2, Players!$A$1:$P$1, 0)), perc_75, VLOOKUP(B$2, Percentiles!$A$45:$I$59, 6, FALSE), perc_90, VLOOKUP(B$2, Percentiles!$A$45:$I$59, 7, FALSE), perc_95, VLOOKUP(B$2, Percentiles!$A$45:$I$59, 8, FALSE), perc_85, perc_75 + (perc_90 - perc_75) * (2/3), converted_stat, '2K_Ratings'!B366, IF(bbgm_stat &gt;= perc_95, converted_stat * 3, IF(bbgm_stat &gt;= perc_90, converted_stat * 2, IF(bbgm_stat &gt;= perc_85, converted_stat * 1.5, converted_stat)))))</f>
        <v/>
      </c>
      <c r="C366" s="30" t="str">
        <f t="array" ref="C366">IF($A366="", "", LET(bbgm_stat, INDEX(Players!$A365:$P365, MATCH(C$2, Players!$A$1:$P$1, 0)), perc_75, VLOOKUP(C$2, Percentiles!$A$45:$I$59, 6, FALSE), perc_90, VLOOKUP(C$2, Percentiles!$A$45:$I$59, 7, FALSE), perc_95, VLOOKUP(C$2, Percentiles!$A$45:$I$59, 8, FALSE), perc_85, perc_75 + (perc_90 - perc_75) * (2/3), converted_stat, '2K_Ratings'!C366, IF(bbgm_stat &gt;= perc_95, converted_stat * 3, IF(bbgm_stat &gt;= perc_90, converted_stat * 2, IF(bbgm_stat &gt;= perc_85, converted_stat * 1.5, converted_stat)))))</f>
        <v/>
      </c>
      <c r="D366" s="30" t="str">
        <f t="array" ref="D366">IF($A366="", "", LET(bbgm_stat, INDEX(Players!$A365:$P365, MATCH(D$2, Players!$A$1:$P$1, 0)), perc_75, VLOOKUP(D$2, Percentiles!$A$45:$I$59, 6, FALSE), perc_90, VLOOKUP(D$2, Percentiles!$A$45:$I$59, 7, FALSE), perc_95, VLOOKUP(D$2, Percentiles!$A$45:$I$59, 8, FALSE), perc_85, perc_75 + (perc_90 - perc_75) * (2/3), converted_stat, '2K_Ratings'!D366, IF(bbgm_stat &gt;= perc_95, converted_stat * 3, IF(bbgm_stat &gt;= perc_90, converted_stat * 2, IF(bbgm_stat &gt;= perc_85, converted_stat * 1.5, converted_stat)))))</f>
        <v/>
      </c>
      <c r="E366" s="30" t="str">
        <f t="array" ref="E366">IF($A366="", "", LET(bbgm_stat, INDEX(Players!$A365:$P365, MATCH(E$2, Players!$A$1:$P$1, 0)), perc_75, VLOOKUP(E$2, Percentiles!$A$45:$I$59, 6, FALSE), perc_90, VLOOKUP(E$2, Percentiles!$A$45:$I$59, 7, FALSE), perc_95, VLOOKUP(E$2, Percentiles!$A$45:$I$59, 8, FALSE), perc_85, perc_75 + (perc_90 - perc_75) * (2/3), converted_stat, '2K_Ratings'!E366, IF(bbgm_stat &gt;= perc_95, converted_stat * 3, IF(bbgm_stat &gt;= perc_90, converted_stat * 2, IF(bbgm_stat &gt;= perc_85, converted_stat * 1.5, converted_stat)))))</f>
        <v/>
      </c>
      <c r="F366" s="30" t="str">
        <f t="array" ref="F366">IF($A366="", "", LET(bbgm_stat, INDEX(Players!$A365:$P365, MATCH(F$2, Players!$A$1:$P$1, 0)), perc_75, VLOOKUP(F$2, Percentiles!$A$45:$I$59, 6, FALSE), perc_90, VLOOKUP(F$2, Percentiles!$A$45:$I$59, 7, FALSE), perc_95, VLOOKUP(F$2, Percentiles!$A$45:$I$59, 8, FALSE), perc_85, perc_75 + (perc_90 - perc_75) * (2/3), converted_stat, '2K_Ratings'!F366, IF(bbgm_stat &gt;= perc_95, converted_stat * 3, IF(bbgm_stat &gt;= perc_90, converted_stat * 2, IF(bbgm_stat &gt;= perc_85, converted_stat * 1.5, converted_stat)))))</f>
        <v/>
      </c>
      <c r="G366" s="30" t="str">
        <f t="array" ref="G366">IF($A366="", "", LET(bbgm_stat, INDEX(Players!$A365:$P365, MATCH(G$2, Players!$A$1:$P$1, 0)), perc_75, VLOOKUP(G$2, Percentiles!$A$45:$I$59, 6, FALSE), perc_90, VLOOKUP(G$2, Percentiles!$A$45:$I$59, 7, FALSE), perc_95, VLOOKUP(G$2, Percentiles!$A$45:$I$59, 8, FALSE), perc_85, perc_75 + (perc_90 - perc_75) * (2/3), converted_stat, '2K_Ratings'!G366, IF(bbgm_stat &gt;= perc_95, converted_stat * 3, IF(bbgm_stat &gt;= perc_90, converted_stat * 2, IF(bbgm_stat &gt;= perc_85, converted_stat * 1.5, converted_stat)))))</f>
        <v/>
      </c>
      <c r="H366" s="30" t="str">
        <f t="array" ref="H366">IF($A366="", "", LET(bbgm_stat, INDEX(Players!$A365:$P365, MATCH(H$2, Players!$A$1:$P$1, 0)), perc_75, VLOOKUP(H$2, Percentiles!$A$45:$I$59, 6, FALSE), perc_90, VLOOKUP(H$2, Percentiles!$A$45:$I$59, 7, FALSE), perc_95, VLOOKUP(H$2, Percentiles!$A$45:$I$59, 8, FALSE), perc_85, perc_75 + (perc_90 - perc_75) * (2/3), converted_stat, '2K_Ratings'!H366, IF(bbgm_stat &gt;= perc_95, converted_stat * 3, IF(bbgm_stat &gt;= perc_90, converted_stat * 2, IF(bbgm_stat &gt;= perc_85, converted_stat * 1.5, converted_stat)))))</f>
        <v/>
      </c>
      <c r="I366" s="30" t="str">
        <f t="array" ref="I366">IF($A366="", "", LET(bbgm_stat, INDEX(Players!$A365:$P365, MATCH(I$2, Players!$A$1:$P$1, 0)), perc_75, VLOOKUP(I$2, Percentiles!$A$45:$I$59, 6, FALSE), perc_90, VLOOKUP(I$2, Percentiles!$A$45:$I$59, 7, FALSE), perc_95, VLOOKUP(I$2, Percentiles!$A$45:$I$59, 8, FALSE), perc_85, perc_75 + (perc_90 - perc_75) * (2/3), converted_stat, '2K_Ratings'!I366, IF(bbgm_stat &gt;= perc_95, converted_stat * 3, IF(bbgm_stat &gt;= perc_90, converted_stat * 2, IF(bbgm_stat &gt;= perc_85, converted_stat * 1.5, converted_stat)))))</f>
        <v/>
      </c>
      <c r="J366" s="30" t="str">
        <f t="array" ref="J366">IF($A366="", "", LET(bbgm_stat, INDEX(Players!$A365:$P365, MATCH(J$2, Players!$A$1:$P$1, 0)), perc_75, VLOOKUP(J$2, Percentiles!$A$45:$I$59, 6, FALSE), perc_90, VLOOKUP(J$2, Percentiles!$A$45:$I$59, 7, FALSE), perc_95, VLOOKUP(J$2, Percentiles!$A$45:$I$59, 8, FALSE), perc_85, perc_75 + (perc_90 - perc_75) * (2/3), converted_stat, '2K_Ratings'!J366, IF(bbgm_stat &gt;= perc_95, converted_stat * 3, IF(bbgm_stat &gt;= perc_90, converted_stat * 2, IF(bbgm_stat &gt;= perc_85, converted_stat * 1.5, converted_stat)))))</f>
        <v/>
      </c>
      <c r="K366" s="30" t="str">
        <f t="array" ref="K366">IF($A366="", "", LET(bbgm_stat, INDEX(Players!$A365:$P365, MATCH(K$2, Players!$A$1:$P$1, 0)), perc_75, VLOOKUP(K$2, Percentiles!$A$45:$I$59, 6, FALSE), perc_90, VLOOKUP(K$2, Percentiles!$A$45:$I$59, 7, FALSE), perc_95, VLOOKUP(K$2, Percentiles!$A$45:$I$59, 8, FALSE), perc_85, perc_75 + (perc_90 - perc_75) * (2/3), converted_stat, '2K_Ratings'!K366, IF(bbgm_stat &gt;= perc_95, converted_stat * 3, IF(bbgm_stat &gt;= perc_90, converted_stat * 2, IF(bbgm_stat &gt;= perc_85, converted_stat * 1.5, converted_stat)))))</f>
        <v/>
      </c>
      <c r="L366" s="30" t="str">
        <f t="array" ref="L366">IF($A366="", "", LET(bbgm_stat, INDEX(Players!$A365:$P365, MATCH(L$2, Players!$A$1:$P$1, 0)), perc_75, VLOOKUP(L$2, Percentiles!$A$45:$I$59, 6, FALSE), perc_90, VLOOKUP(L$2, Percentiles!$A$45:$I$59, 7, FALSE), perc_95, VLOOKUP(L$2, Percentiles!$A$45:$I$59, 8, FALSE), perc_85, perc_75 + (perc_90 - perc_75) * (2/3), converted_stat, '2K_Ratings'!L366, IF(bbgm_stat &gt;= perc_95, converted_stat * 3, IF(bbgm_stat &gt;= perc_90, converted_stat * 2, IF(bbgm_stat &gt;= perc_85, converted_stat * 1.5, converted_stat)))))</f>
        <v/>
      </c>
      <c r="M366" s="30" t="str">
        <f t="array" ref="M366">IF($A366="", "", LET(bbgm_stat, INDEX(Players!$A365:$P365, MATCH(M$2, Players!$A$1:$P$1, 0)), perc_75, VLOOKUP(M$2, Percentiles!$A$45:$I$59, 6, FALSE), perc_90, VLOOKUP(M$2, Percentiles!$A$45:$I$59, 7, FALSE), perc_95, VLOOKUP(M$2, Percentiles!$A$45:$I$59, 8, FALSE), perc_85, perc_75 + (perc_90 - perc_75) * (2/3), converted_stat, '2K_Ratings'!M366, IF(bbgm_stat &gt;= perc_95, converted_stat * 3, IF(bbgm_stat &gt;= perc_90, converted_stat * 2, IF(bbgm_stat &gt;= perc_85, converted_stat * 1.5, converted_stat)))))</f>
        <v/>
      </c>
      <c r="N366" s="30" t="str">
        <f t="array" ref="N366">IF($A366="", "", LET(bbgm_stat, INDEX(Players!$A365:$P365, MATCH(N$2, Players!$A$1:$P$1, 0)), perc_75, VLOOKUP(N$2, Percentiles!$A$45:$I$59, 6, FALSE), perc_90, VLOOKUP(N$2, Percentiles!$A$45:$I$59, 7, FALSE), perc_95, VLOOKUP(N$2, Percentiles!$A$45:$I$59, 8, FALSE), perc_85, perc_75 + (perc_90 - perc_75) * (2/3), converted_stat, '2K_Ratings'!N366, IF(bbgm_stat &gt;= perc_95, converted_stat * 3, IF(bbgm_stat &gt;= perc_90, converted_stat * 2, IF(bbgm_stat &gt;= perc_85, converted_stat * 1.5, converted_stat)))))</f>
        <v/>
      </c>
      <c r="O366" s="30" t="str">
        <f t="array" ref="O366">IF($A366="", "", LET(bbgm_stat, INDEX(Players!$A365:$P365, MATCH(O$2, Players!$A$1:$P$1, 0)), perc_75, VLOOKUP(O$2, Percentiles!$A$45:$I$59, 6, FALSE), perc_90, VLOOKUP(O$2, Percentiles!$A$45:$I$59, 7, FALSE), perc_95, VLOOKUP(O$2, Percentiles!$A$45:$I$59, 8, FALSE), perc_85, perc_75 + (perc_90 - perc_75) * (2/3), converted_stat, '2K_Ratings'!O366, IF(bbgm_stat &gt;= perc_95, converted_stat * 3, IF(bbgm_stat &gt;= perc_90, converted_stat * 2, IF(bbgm_stat &gt;= perc_85, converted_stat * 1.5, converted_stat)))))</f>
        <v/>
      </c>
      <c r="P366" s="30" t="str">
        <f t="array" ref="P366">IF($A366="", "", LET(bbgm_stat, INDEX(Players!$A365:$P365, MATCH(P$2, Players!$A$1:$P$1, 0)), perc_75, VLOOKUP(P$2, Percentiles!$A$45:$I$59, 6, FALSE), perc_90, VLOOKUP(P$2, Percentiles!$A$45:$I$59, 7, FALSE), perc_95, VLOOKUP(P$2, Percentiles!$A$45:$I$59, 8, FALSE), perc_85, perc_75 + (perc_90 - perc_75) * (2/3), converted_stat, '2K_Ratings'!P366, IF(bbgm_stat &gt;= perc_95, converted_stat * 3, IF(bbgm_stat &gt;= perc_90, converted_stat * 2, IF(bbgm_stat &gt;= perc_85, converted_stat * 1.5, converted_stat)))))</f>
        <v/>
      </c>
      <c r="Q366" s="30" t="str">
        <f t="array" ref="Q366">IF($A366="", "", LET(bbgm_stat, INDEX(Players!$A365:$P365, MATCH(Q$2, Players!$A$1:$P$1, 0)), perc_75, VLOOKUP(Q$2, Percentiles!$A$45:$I$59, 6, FALSE), perc_90, VLOOKUP(Q$2, Percentiles!$A$45:$I$59, 7, FALSE), perc_95, VLOOKUP(Q$2, Percentiles!$A$45:$I$59, 8, FALSE), perc_85, perc_75 + (perc_90 - perc_75) * (2/3), converted_stat, '2K_Ratings'!Q366, IF(bbgm_stat &gt;= perc_95, converted_stat * 3, IF(bbgm_stat &gt;= perc_90, converted_stat * 2, IF(bbgm_stat &gt;= perc_85, converted_stat * 1.5, converted_stat)))))</f>
        <v/>
      </c>
      <c r="R366" s="30" t="str">
        <f t="array" ref="R366">IF($A366="", "", LET(bbgm_stat, INDEX(Players!$A365:$P365, MATCH(R$2, Players!$A$1:$P$1, 0)), perc_75, VLOOKUP(R$2, Percentiles!$A$45:$I$59, 6, FALSE), perc_90, VLOOKUP(R$2, Percentiles!$A$45:$I$59, 7, FALSE), perc_95, VLOOKUP(R$2, Percentiles!$A$45:$I$59, 8, FALSE), perc_85, perc_75 + (perc_90 - perc_75) * (2/3), converted_stat, '2K_Ratings'!R366, IF(bbgm_stat &gt;= perc_95, converted_stat * 3, IF(bbgm_stat &gt;= perc_90, converted_stat * 2, IF(bbgm_stat &gt;= perc_85, converted_stat * 1.5, converted_stat)))))</f>
        <v/>
      </c>
      <c r="S366" s="30" t="str">
        <f t="array" ref="S366">IF($A366="", "", LET(bbgm_stat, INDEX(Players!$A365:$P365, MATCH(S$2, Players!$A$1:$P$1, 0)), perc_75, VLOOKUP(S$2, Percentiles!$A$45:$I$59, 6, FALSE), perc_90, VLOOKUP(S$2, Percentiles!$A$45:$I$59, 7, FALSE), perc_95, VLOOKUP(S$2, Percentiles!$A$45:$I$59, 8, FALSE), perc_85, perc_75 + (perc_90 - perc_75) * (2/3), converted_stat, '2K_Ratings'!S366, IF(bbgm_stat &gt;= perc_95, converted_stat * 3, IF(bbgm_stat &gt;= perc_90, converted_stat * 2, IF(bbgm_stat &gt;= perc_85, converted_stat * 1.5, converted_stat)))))</f>
        <v/>
      </c>
      <c r="T366" s="30" t="str">
        <f t="array" ref="T366">IF($A366="", "", LET(bbgm_stat, INDEX(Players!$A365:$P365, MATCH(T$2, Players!$A$1:$P$1, 0)), perc_75, VLOOKUP(T$2, Percentiles!$A$45:$I$59, 6, FALSE), perc_90, VLOOKUP(T$2, Percentiles!$A$45:$I$59, 7, FALSE), perc_95, VLOOKUP(T$2, Percentiles!$A$45:$I$59, 8, FALSE), perc_85, perc_75 + (perc_90 - perc_75) * (2/3), converted_stat, '2K_Ratings'!T366, IF(bbgm_stat &gt;= perc_95, converted_stat * 3, IF(bbgm_stat &gt;= perc_90, converted_stat * 2, IF(bbgm_stat &gt;= perc_85, converted_stat * 1.5, converted_stat)))))</f>
        <v/>
      </c>
      <c r="U366" s="30" t="str">
        <f t="array" ref="U366">IF($A366="", "", LET(bbgm_stat, INDEX(Players!$A365:$P365, MATCH(U$2, Players!$A$1:$P$1, 0)), perc_75, VLOOKUP(U$2, Percentiles!$A$45:$I$59, 6, FALSE), perc_90, VLOOKUP(U$2, Percentiles!$A$45:$I$59, 7, FALSE), perc_95, VLOOKUP(U$2, Percentiles!$A$45:$I$59, 8, FALSE), perc_85, perc_75 + (perc_90 - perc_75) * (2/3), converted_stat, '2K_Ratings'!U366, IF(bbgm_stat &gt;= perc_95, converted_stat * 3, IF(bbgm_stat &gt;= perc_90, converted_stat * 2, IF(bbgm_stat &gt;= perc_85, converted_stat * 1.5, converted_stat)))))</f>
        <v/>
      </c>
      <c r="V366" s="30" t="str">
        <f t="array" ref="V366">IF($A366="", "", LET(bbgm_stat, INDEX(Players!$A365:$P365, MATCH(V$2, Players!$A$1:$P$1, 0)), perc_75, VLOOKUP(V$2, Percentiles!$A$45:$I$59, 6, FALSE), perc_90, VLOOKUP(V$2, Percentiles!$A$45:$I$59, 7, FALSE), perc_95, VLOOKUP(V$2, Percentiles!$A$45:$I$59, 8, FALSE), perc_85, perc_75 + (perc_90 - perc_75) * (2/3), converted_stat, '2K_Ratings'!V366, IF(bbgm_stat &gt;= perc_95, converted_stat * 3, IF(bbgm_stat &gt;= perc_90, converted_stat * 2, IF(bbgm_stat &gt;= perc_85, converted_stat * 1.5, converted_stat)))))</f>
        <v/>
      </c>
      <c r="W366" s="30" t="str">
        <f t="array" ref="W366">IF($A366="", "", LET(bbgm_stat, INDEX(Players!$A365:$P365, MATCH(W$2, Players!$A$1:$P$1, 0)), perc_75, VLOOKUP(W$2, Percentiles!$A$45:$I$59, 6, FALSE), perc_90, VLOOKUP(W$2, Percentiles!$A$45:$I$59, 7, FALSE), perc_95, VLOOKUP(W$2, Percentiles!$A$45:$I$59, 8, FALSE), perc_85, perc_75 + (perc_90 - perc_75) * (2/3), converted_stat, '2K_Ratings'!W366, IF(bbgm_stat &gt;= perc_95, converted_stat * 3, IF(bbgm_stat &gt;= perc_90, converted_stat * 2, IF(bbgm_stat &gt;= perc_85, converted_stat * 1.5, converted_stat)))))</f>
        <v/>
      </c>
    </row>
    <row r="367">
      <c r="A367" s="30"/>
      <c r="B367" s="30" t="str">
        <f t="array" ref="B367">IF($A367="", "", LET(bbgm_stat, INDEX(Players!$A366:$P366, MATCH(B$2, Players!$A$1:$P$1, 0)), perc_75, VLOOKUP(B$2, Percentiles!$A$45:$I$59, 6, FALSE), perc_90, VLOOKUP(B$2, Percentiles!$A$45:$I$59, 7, FALSE), perc_95, VLOOKUP(B$2, Percentiles!$A$45:$I$59, 8, FALSE), perc_85, perc_75 + (perc_90 - perc_75) * (2/3), converted_stat, '2K_Ratings'!B367, IF(bbgm_stat &gt;= perc_95, converted_stat * 3, IF(bbgm_stat &gt;= perc_90, converted_stat * 2, IF(bbgm_stat &gt;= perc_85, converted_stat * 1.5, converted_stat)))))</f>
        <v/>
      </c>
      <c r="C367" s="30" t="str">
        <f t="array" ref="C367">IF($A367="", "", LET(bbgm_stat, INDEX(Players!$A366:$P366, MATCH(C$2, Players!$A$1:$P$1, 0)), perc_75, VLOOKUP(C$2, Percentiles!$A$45:$I$59, 6, FALSE), perc_90, VLOOKUP(C$2, Percentiles!$A$45:$I$59, 7, FALSE), perc_95, VLOOKUP(C$2, Percentiles!$A$45:$I$59, 8, FALSE), perc_85, perc_75 + (perc_90 - perc_75) * (2/3), converted_stat, '2K_Ratings'!C367, IF(bbgm_stat &gt;= perc_95, converted_stat * 3, IF(bbgm_stat &gt;= perc_90, converted_stat * 2, IF(bbgm_stat &gt;= perc_85, converted_stat * 1.5, converted_stat)))))</f>
        <v/>
      </c>
      <c r="D367" s="30" t="str">
        <f t="array" ref="D367">IF($A367="", "", LET(bbgm_stat, INDEX(Players!$A366:$P366, MATCH(D$2, Players!$A$1:$P$1, 0)), perc_75, VLOOKUP(D$2, Percentiles!$A$45:$I$59, 6, FALSE), perc_90, VLOOKUP(D$2, Percentiles!$A$45:$I$59, 7, FALSE), perc_95, VLOOKUP(D$2, Percentiles!$A$45:$I$59, 8, FALSE), perc_85, perc_75 + (perc_90 - perc_75) * (2/3), converted_stat, '2K_Ratings'!D367, IF(bbgm_stat &gt;= perc_95, converted_stat * 3, IF(bbgm_stat &gt;= perc_90, converted_stat * 2, IF(bbgm_stat &gt;= perc_85, converted_stat * 1.5, converted_stat)))))</f>
        <v/>
      </c>
      <c r="E367" s="30" t="str">
        <f t="array" ref="E367">IF($A367="", "", LET(bbgm_stat, INDEX(Players!$A366:$P366, MATCH(E$2, Players!$A$1:$P$1, 0)), perc_75, VLOOKUP(E$2, Percentiles!$A$45:$I$59, 6, FALSE), perc_90, VLOOKUP(E$2, Percentiles!$A$45:$I$59, 7, FALSE), perc_95, VLOOKUP(E$2, Percentiles!$A$45:$I$59, 8, FALSE), perc_85, perc_75 + (perc_90 - perc_75) * (2/3), converted_stat, '2K_Ratings'!E367, IF(bbgm_stat &gt;= perc_95, converted_stat * 3, IF(bbgm_stat &gt;= perc_90, converted_stat * 2, IF(bbgm_stat &gt;= perc_85, converted_stat * 1.5, converted_stat)))))</f>
        <v/>
      </c>
      <c r="F367" s="30" t="str">
        <f t="array" ref="F367">IF($A367="", "", LET(bbgm_stat, INDEX(Players!$A366:$P366, MATCH(F$2, Players!$A$1:$P$1, 0)), perc_75, VLOOKUP(F$2, Percentiles!$A$45:$I$59, 6, FALSE), perc_90, VLOOKUP(F$2, Percentiles!$A$45:$I$59, 7, FALSE), perc_95, VLOOKUP(F$2, Percentiles!$A$45:$I$59, 8, FALSE), perc_85, perc_75 + (perc_90 - perc_75) * (2/3), converted_stat, '2K_Ratings'!F367, IF(bbgm_stat &gt;= perc_95, converted_stat * 3, IF(bbgm_stat &gt;= perc_90, converted_stat * 2, IF(bbgm_stat &gt;= perc_85, converted_stat * 1.5, converted_stat)))))</f>
        <v/>
      </c>
      <c r="G367" s="30" t="str">
        <f t="array" ref="G367">IF($A367="", "", LET(bbgm_stat, INDEX(Players!$A366:$P366, MATCH(G$2, Players!$A$1:$P$1, 0)), perc_75, VLOOKUP(G$2, Percentiles!$A$45:$I$59, 6, FALSE), perc_90, VLOOKUP(G$2, Percentiles!$A$45:$I$59, 7, FALSE), perc_95, VLOOKUP(G$2, Percentiles!$A$45:$I$59, 8, FALSE), perc_85, perc_75 + (perc_90 - perc_75) * (2/3), converted_stat, '2K_Ratings'!G367, IF(bbgm_stat &gt;= perc_95, converted_stat * 3, IF(bbgm_stat &gt;= perc_90, converted_stat * 2, IF(bbgm_stat &gt;= perc_85, converted_stat * 1.5, converted_stat)))))</f>
        <v/>
      </c>
      <c r="H367" s="30" t="str">
        <f t="array" ref="H367">IF($A367="", "", LET(bbgm_stat, INDEX(Players!$A366:$P366, MATCH(H$2, Players!$A$1:$P$1, 0)), perc_75, VLOOKUP(H$2, Percentiles!$A$45:$I$59, 6, FALSE), perc_90, VLOOKUP(H$2, Percentiles!$A$45:$I$59, 7, FALSE), perc_95, VLOOKUP(H$2, Percentiles!$A$45:$I$59, 8, FALSE), perc_85, perc_75 + (perc_90 - perc_75) * (2/3), converted_stat, '2K_Ratings'!H367, IF(bbgm_stat &gt;= perc_95, converted_stat * 3, IF(bbgm_stat &gt;= perc_90, converted_stat * 2, IF(bbgm_stat &gt;= perc_85, converted_stat * 1.5, converted_stat)))))</f>
        <v/>
      </c>
      <c r="I367" s="30" t="str">
        <f t="array" ref="I367">IF($A367="", "", LET(bbgm_stat, INDEX(Players!$A366:$P366, MATCH(I$2, Players!$A$1:$P$1, 0)), perc_75, VLOOKUP(I$2, Percentiles!$A$45:$I$59, 6, FALSE), perc_90, VLOOKUP(I$2, Percentiles!$A$45:$I$59, 7, FALSE), perc_95, VLOOKUP(I$2, Percentiles!$A$45:$I$59, 8, FALSE), perc_85, perc_75 + (perc_90 - perc_75) * (2/3), converted_stat, '2K_Ratings'!I367, IF(bbgm_stat &gt;= perc_95, converted_stat * 3, IF(bbgm_stat &gt;= perc_90, converted_stat * 2, IF(bbgm_stat &gt;= perc_85, converted_stat * 1.5, converted_stat)))))</f>
        <v/>
      </c>
      <c r="J367" s="30" t="str">
        <f t="array" ref="J367">IF($A367="", "", LET(bbgm_stat, INDEX(Players!$A366:$P366, MATCH(J$2, Players!$A$1:$P$1, 0)), perc_75, VLOOKUP(J$2, Percentiles!$A$45:$I$59, 6, FALSE), perc_90, VLOOKUP(J$2, Percentiles!$A$45:$I$59, 7, FALSE), perc_95, VLOOKUP(J$2, Percentiles!$A$45:$I$59, 8, FALSE), perc_85, perc_75 + (perc_90 - perc_75) * (2/3), converted_stat, '2K_Ratings'!J367, IF(bbgm_stat &gt;= perc_95, converted_stat * 3, IF(bbgm_stat &gt;= perc_90, converted_stat * 2, IF(bbgm_stat &gt;= perc_85, converted_stat * 1.5, converted_stat)))))</f>
        <v/>
      </c>
      <c r="K367" s="30" t="str">
        <f t="array" ref="K367">IF($A367="", "", LET(bbgm_stat, INDEX(Players!$A366:$P366, MATCH(K$2, Players!$A$1:$P$1, 0)), perc_75, VLOOKUP(K$2, Percentiles!$A$45:$I$59, 6, FALSE), perc_90, VLOOKUP(K$2, Percentiles!$A$45:$I$59, 7, FALSE), perc_95, VLOOKUP(K$2, Percentiles!$A$45:$I$59, 8, FALSE), perc_85, perc_75 + (perc_90 - perc_75) * (2/3), converted_stat, '2K_Ratings'!K367, IF(bbgm_stat &gt;= perc_95, converted_stat * 3, IF(bbgm_stat &gt;= perc_90, converted_stat * 2, IF(bbgm_stat &gt;= perc_85, converted_stat * 1.5, converted_stat)))))</f>
        <v/>
      </c>
      <c r="L367" s="30" t="str">
        <f t="array" ref="L367">IF($A367="", "", LET(bbgm_stat, INDEX(Players!$A366:$P366, MATCH(L$2, Players!$A$1:$P$1, 0)), perc_75, VLOOKUP(L$2, Percentiles!$A$45:$I$59, 6, FALSE), perc_90, VLOOKUP(L$2, Percentiles!$A$45:$I$59, 7, FALSE), perc_95, VLOOKUP(L$2, Percentiles!$A$45:$I$59, 8, FALSE), perc_85, perc_75 + (perc_90 - perc_75) * (2/3), converted_stat, '2K_Ratings'!L367, IF(bbgm_stat &gt;= perc_95, converted_stat * 3, IF(bbgm_stat &gt;= perc_90, converted_stat * 2, IF(bbgm_stat &gt;= perc_85, converted_stat * 1.5, converted_stat)))))</f>
        <v/>
      </c>
      <c r="M367" s="30" t="str">
        <f t="array" ref="M367">IF($A367="", "", LET(bbgm_stat, INDEX(Players!$A366:$P366, MATCH(M$2, Players!$A$1:$P$1, 0)), perc_75, VLOOKUP(M$2, Percentiles!$A$45:$I$59, 6, FALSE), perc_90, VLOOKUP(M$2, Percentiles!$A$45:$I$59, 7, FALSE), perc_95, VLOOKUP(M$2, Percentiles!$A$45:$I$59, 8, FALSE), perc_85, perc_75 + (perc_90 - perc_75) * (2/3), converted_stat, '2K_Ratings'!M367, IF(bbgm_stat &gt;= perc_95, converted_stat * 3, IF(bbgm_stat &gt;= perc_90, converted_stat * 2, IF(bbgm_stat &gt;= perc_85, converted_stat * 1.5, converted_stat)))))</f>
        <v/>
      </c>
      <c r="N367" s="30" t="str">
        <f t="array" ref="N367">IF($A367="", "", LET(bbgm_stat, INDEX(Players!$A366:$P366, MATCH(N$2, Players!$A$1:$P$1, 0)), perc_75, VLOOKUP(N$2, Percentiles!$A$45:$I$59, 6, FALSE), perc_90, VLOOKUP(N$2, Percentiles!$A$45:$I$59, 7, FALSE), perc_95, VLOOKUP(N$2, Percentiles!$A$45:$I$59, 8, FALSE), perc_85, perc_75 + (perc_90 - perc_75) * (2/3), converted_stat, '2K_Ratings'!N367, IF(bbgm_stat &gt;= perc_95, converted_stat * 3, IF(bbgm_stat &gt;= perc_90, converted_stat * 2, IF(bbgm_stat &gt;= perc_85, converted_stat * 1.5, converted_stat)))))</f>
        <v/>
      </c>
      <c r="O367" s="30" t="str">
        <f t="array" ref="O367">IF($A367="", "", LET(bbgm_stat, INDEX(Players!$A366:$P366, MATCH(O$2, Players!$A$1:$P$1, 0)), perc_75, VLOOKUP(O$2, Percentiles!$A$45:$I$59, 6, FALSE), perc_90, VLOOKUP(O$2, Percentiles!$A$45:$I$59, 7, FALSE), perc_95, VLOOKUP(O$2, Percentiles!$A$45:$I$59, 8, FALSE), perc_85, perc_75 + (perc_90 - perc_75) * (2/3), converted_stat, '2K_Ratings'!O367, IF(bbgm_stat &gt;= perc_95, converted_stat * 3, IF(bbgm_stat &gt;= perc_90, converted_stat * 2, IF(bbgm_stat &gt;= perc_85, converted_stat * 1.5, converted_stat)))))</f>
        <v/>
      </c>
      <c r="P367" s="30" t="str">
        <f t="array" ref="P367">IF($A367="", "", LET(bbgm_stat, INDEX(Players!$A366:$P366, MATCH(P$2, Players!$A$1:$P$1, 0)), perc_75, VLOOKUP(P$2, Percentiles!$A$45:$I$59, 6, FALSE), perc_90, VLOOKUP(P$2, Percentiles!$A$45:$I$59, 7, FALSE), perc_95, VLOOKUP(P$2, Percentiles!$A$45:$I$59, 8, FALSE), perc_85, perc_75 + (perc_90 - perc_75) * (2/3), converted_stat, '2K_Ratings'!P367, IF(bbgm_stat &gt;= perc_95, converted_stat * 3, IF(bbgm_stat &gt;= perc_90, converted_stat * 2, IF(bbgm_stat &gt;= perc_85, converted_stat * 1.5, converted_stat)))))</f>
        <v/>
      </c>
      <c r="Q367" s="30" t="str">
        <f t="array" ref="Q367">IF($A367="", "", LET(bbgm_stat, INDEX(Players!$A366:$P366, MATCH(Q$2, Players!$A$1:$P$1, 0)), perc_75, VLOOKUP(Q$2, Percentiles!$A$45:$I$59, 6, FALSE), perc_90, VLOOKUP(Q$2, Percentiles!$A$45:$I$59, 7, FALSE), perc_95, VLOOKUP(Q$2, Percentiles!$A$45:$I$59, 8, FALSE), perc_85, perc_75 + (perc_90 - perc_75) * (2/3), converted_stat, '2K_Ratings'!Q367, IF(bbgm_stat &gt;= perc_95, converted_stat * 3, IF(bbgm_stat &gt;= perc_90, converted_stat * 2, IF(bbgm_stat &gt;= perc_85, converted_stat * 1.5, converted_stat)))))</f>
        <v/>
      </c>
      <c r="R367" s="30" t="str">
        <f t="array" ref="R367">IF($A367="", "", LET(bbgm_stat, INDEX(Players!$A366:$P366, MATCH(R$2, Players!$A$1:$P$1, 0)), perc_75, VLOOKUP(R$2, Percentiles!$A$45:$I$59, 6, FALSE), perc_90, VLOOKUP(R$2, Percentiles!$A$45:$I$59, 7, FALSE), perc_95, VLOOKUP(R$2, Percentiles!$A$45:$I$59, 8, FALSE), perc_85, perc_75 + (perc_90 - perc_75) * (2/3), converted_stat, '2K_Ratings'!R367, IF(bbgm_stat &gt;= perc_95, converted_stat * 3, IF(bbgm_stat &gt;= perc_90, converted_stat * 2, IF(bbgm_stat &gt;= perc_85, converted_stat * 1.5, converted_stat)))))</f>
        <v/>
      </c>
      <c r="S367" s="30" t="str">
        <f t="array" ref="S367">IF($A367="", "", LET(bbgm_stat, INDEX(Players!$A366:$P366, MATCH(S$2, Players!$A$1:$P$1, 0)), perc_75, VLOOKUP(S$2, Percentiles!$A$45:$I$59, 6, FALSE), perc_90, VLOOKUP(S$2, Percentiles!$A$45:$I$59, 7, FALSE), perc_95, VLOOKUP(S$2, Percentiles!$A$45:$I$59, 8, FALSE), perc_85, perc_75 + (perc_90 - perc_75) * (2/3), converted_stat, '2K_Ratings'!S367, IF(bbgm_stat &gt;= perc_95, converted_stat * 3, IF(bbgm_stat &gt;= perc_90, converted_stat * 2, IF(bbgm_stat &gt;= perc_85, converted_stat * 1.5, converted_stat)))))</f>
        <v/>
      </c>
      <c r="T367" s="30" t="str">
        <f t="array" ref="T367">IF($A367="", "", LET(bbgm_stat, INDEX(Players!$A366:$P366, MATCH(T$2, Players!$A$1:$P$1, 0)), perc_75, VLOOKUP(T$2, Percentiles!$A$45:$I$59, 6, FALSE), perc_90, VLOOKUP(T$2, Percentiles!$A$45:$I$59, 7, FALSE), perc_95, VLOOKUP(T$2, Percentiles!$A$45:$I$59, 8, FALSE), perc_85, perc_75 + (perc_90 - perc_75) * (2/3), converted_stat, '2K_Ratings'!T367, IF(bbgm_stat &gt;= perc_95, converted_stat * 3, IF(bbgm_stat &gt;= perc_90, converted_stat * 2, IF(bbgm_stat &gt;= perc_85, converted_stat * 1.5, converted_stat)))))</f>
        <v/>
      </c>
      <c r="U367" s="30" t="str">
        <f t="array" ref="U367">IF($A367="", "", LET(bbgm_stat, INDEX(Players!$A366:$P366, MATCH(U$2, Players!$A$1:$P$1, 0)), perc_75, VLOOKUP(U$2, Percentiles!$A$45:$I$59, 6, FALSE), perc_90, VLOOKUP(U$2, Percentiles!$A$45:$I$59, 7, FALSE), perc_95, VLOOKUP(U$2, Percentiles!$A$45:$I$59, 8, FALSE), perc_85, perc_75 + (perc_90 - perc_75) * (2/3), converted_stat, '2K_Ratings'!U367, IF(bbgm_stat &gt;= perc_95, converted_stat * 3, IF(bbgm_stat &gt;= perc_90, converted_stat * 2, IF(bbgm_stat &gt;= perc_85, converted_stat * 1.5, converted_stat)))))</f>
        <v/>
      </c>
      <c r="V367" s="30" t="str">
        <f t="array" ref="V367">IF($A367="", "", LET(bbgm_stat, INDEX(Players!$A366:$P366, MATCH(V$2, Players!$A$1:$P$1, 0)), perc_75, VLOOKUP(V$2, Percentiles!$A$45:$I$59, 6, FALSE), perc_90, VLOOKUP(V$2, Percentiles!$A$45:$I$59, 7, FALSE), perc_95, VLOOKUP(V$2, Percentiles!$A$45:$I$59, 8, FALSE), perc_85, perc_75 + (perc_90 - perc_75) * (2/3), converted_stat, '2K_Ratings'!V367, IF(bbgm_stat &gt;= perc_95, converted_stat * 3, IF(bbgm_stat &gt;= perc_90, converted_stat * 2, IF(bbgm_stat &gt;= perc_85, converted_stat * 1.5, converted_stat)))))</f>
        <v/>
      </c>
      <c r="W367" s="30" t="str">
        <f t="array" ref="W367">IF($A367="", "", LET(bbgm_stat, INDEX(Players!$A366:$P366, MATCH(W$2, Players!$A$1:$P$1, 0)), perc_75, VLOOKUP(W$2, Percentiles!$A$45:$I$59, 6, FALSE), perc_90, VLOOKUP(W$2, Percentiles!$A$45:$I$59, 7, FALSE), perc_95, VLOOKUP(W$2, Percentiles!$A$45:$I$59, 8, FALSE), perc_85, perc_75 + (perc_90 - perc_75) * (2/3), converted_stat, '2K_Ratings'!W367, IF(bbgm_stat &gt;= perc_95, converted_stat * 3, IF(bbgm_stat &gt;= perc_90, converted_stat * 2, IF(bbgm_stat &gt;= perc_85, converted_stat * 1.5, converted_stat)))))</f>
        <v/>
      </c>
    </row>
    <row r="368">
      <c r="A368" s="30"/>
      <c r="B368" s="30" t="str">
        <f t="array" ref="B368">IF($A368="", "", LET(bbgm_stat, INDEX(Players!$A367:$P367, MATCH(B$2, Players!$A$1:$P$1, 0)), perc_75, VLOOKUP(B$2, Percentiles!$A$45:$I$59, 6, FALSE), perc_90, VLOOKUP(B$2, Percentiles!$A$45:$I$59, 7, FALSE), perc_95, VLOOKUP(B$2, Percentiles!$A$45:$I$59, 8, FALSE), perc_85, perc_75 + (perc_90 - perc_75) * (2/3), converted_stat, '2K_Ratings'!B368, IF(bbgm_stat &gt;= perc_95, converted_stat * 3, IF(bbgm_stat &gt;= perc_90, converted_stat * 2, IF(bbgm_stat &gt;= perc_85, converted_stat * 1.5, converted_stat)))))</f>
        <v/>
      </c>
      <c r="C368" s="30" t="str">
        <f t="array" ref="C368">IF($A368="", "", LET(bbgm_stat, INDEX(Players!$A367:$P367, MATCH(C$2, Players!$A$1:$P$1, 0)), perc_75, VLOOKUP(C$2, Percentiles!$A$45:$I$59, 6, FALSE), perc_90, VLOOKUP(C$2, Percentiles!$A$45:$I$59, 7, FALSE), perc_95, VLOOKUP(C$2, Percentiles!$A$45:$I$59, 8, FALSE), perc_85, perc_75 + (perc_90 - perc_75) * (2/3), converted_stat, '2K_Ratings'!C368, IF(bbgm_stat &gt;= perc_95, converted_stat * 3, IF(bbgm_stat &gt;= perc_90, converted_stat * 2, IF(bbgm_stat &gt;= perc_85, converted_stat * 1.5, converted_stat)))))</f>
        <v/>
      </c>
      <c r="D368" s="30" t="str">
        <f t="array" ref="D368">IF($A368="", "", LET(bbgm_stat, INDEX(Players!$A367:$P367, MATCH(D$2, Players!$A$1:$P$1, 0)), perc_75, VLOOKUP(D$2, Percentiles!$A$45:$I$59, 6, FALSE), perc_90, VLOOKUP(D$2, Percentiles!$A$45:$I$59, 7, FALSE), perc_95, VLOOKUP(D$2, Percentiles!$A$45:$I$59, 8, FALSE), perc_85, perc_75 + (perc_90 - perc_75) * (2/3), converted_stat, '2K_Ratings'!D368, IF(bbgm_stat &gt;= perc_95, converted_stat * 3, IF(bbgm_stat &gt;= perc_90, converted_stat * 2, IF(bbgm_stat &gt;= perc_85, converted_stat * 1.5, converted_stat)))))</f>
        <v/>
      </c>
      <c r="E368" s="30" t="str">
        <f t="array" ref="E368">IF($A368="", "", LET(bbgm_stat, INDEX(Players!$A367:$P367, MATCH(E$2, Players!$A$1:$P$1, 0)), perc_75, VLOOKUP(E$2, Percentiles!$A$45:$I$59, 6, FALSE), perc_90, VLOOKUP(E$2, Percentiles!$A$45:$I$59, 7, FALSE), perc_95, VLOOKUP(E$2, Percentiles!$A$45:$I$59, 8, FALSE), perc_85, perc_75 + (perc_90 - perc_75) * (2/3), converted_stat, '2K_Ratings'!E368, IF(bbgm_stat &gt;= perc_95, converted_stat * 3, IF(bbgm_stat &gt;= perc_90, converted_stat * 2, IF(bbgm_stat &gt;= perc_85, converted_stat * 1.5, converted_stat)))))</f>
        <v/>
      </c>
      <c r="F368" s="30" t="str">
        <f t="array" ref="F368">IF($A368="", "", LET(bbgm_stat, INDEX(Players!$A367:$P367, MATCH(F$2, Players!$A$1:$P$1, 0)), perc_75, VLOOKUP(F$2, Percentiles!$A$45:$I$59, 6, FALSE), perc_90, VLOOKUP(F$2, Percentiles!$A$45:$I$59, 7, FALSE), perc_95, VLOOKUP(F$2, Percentiles!$A$45:$I$59, 8, FALSE), perc_85, perc_75 + (perc_90 - perc_75) * (2/3), converted_stat, '2K_Ratings'!F368, IF(bbgm_stat &gt;= perc_95, converted_stat * 3, IF(bbgm_stat &gt;= perc_90, converted_stat * 2, IF(bbgm_stat &gt;= perc_85, converted_stat * 1.5, converted_stat)))))</f>
        <v/>
      </c>
      <c r="G368" s="30" t="str">
        <f t="array" ref="G368">IF($A368="", "", LET(bbgm_stat, INDEX(Players!$A367:$P367, MATCH(G$2, Players!$A$1:$P$1, 0)), perc_75, VLOOKUP(G$2, Percentiles!$A$45:$I$59, 6, FALSE), perc_90, VLOOKUP(G$2, Percentiles!$A$45:$I$59, 7, FALSE), perc_95, VLOOKUP(G$2, Percentiles!$A$45:$I$59, 8, FALSE), perc_85, perc_75 + (perc_90 - perc_75) * (2/3), converted_stat, '2K_Ratings'!G368, IF(bbgm_stat &gt;= perc_95, converted_stat * 3, IF(bbgm_stat &gt;= perc_90, converted_stat * 2, IF(bbgm_stat &gt;= perc_85, converted_stat * 1.5, converted_stat)))))</f>
        <v/>
      </c>
      <c r="H368" s="30" t="str">
        <f t="array" ref="H368">IF($A368="", "", LET(bbgm_stat, INDEX(Players!$A367:$P367, MATCH(H$2, Players!$A$1:$P$1, 0)), perc_75, VLOOKUP(H$2, Percentiles!$A$45:$I$59, 6, FALSE), perc_90, VLOOKUP(H$2, Percentiles!$A$45:$I$59, 7, FALSE), perc_95, VLOOKUP(H$2, Percentiles!$A$45:$I$59, 8, FALSE), perc_85, perc_75 + (perc_90 - perc_75) * (2/3), converted_stat, '2K_Ratings'!H368, IF(bbgm_stat &gt;= perc_95, converted_stat * 3, IF(bbgm_stat &gt;= perc_90, converted_stat * 2, IF(bbgm_stat &gt;= perc_85, converted_stat * 1.5, converted_stat)))))</f>
        <v/>
      </c>
      <c r="I368" s="30" t="str">
        <f t="array" ref="I368">IF($A368="", "", LET(bbgm_stat, INDEX(Players!$A367:$P367, MATCH(I$2, Players!$A$1:$P$1, 0)), perc_75, VLOOKUP(I$2, Percentiles!$A$45:$I$59, 6, FALSE), perc_90, VLOOKUP(I$2, Percentiles!$A$45:$I$59, 7, FALSE), perc_95, VLOOKUP(I$2, Percentiles!$A$45:$I$59, 8, FALSE), perc_85, perc_75 + (perc_90 - perc_75) * (2/3), converted_stat, '2K_Ratings'!I368, IF(bbgm_stat &gt;= perc_95, converted_stat * 3, IF(bbgm_stat &gt;= perc_90, converted_stat * 2, IF(bbgm_stat &gt;= perc_85, converted_stat * 1.5, converted_stat)))))</f>
        <v/>
      </c>
      <c r="J368" s="30" t="str">
        <f t="array" ref="J368">IF($A368="", "", LET(bbgm_stat, INDEX(Players!$A367:$P367, MATCH(J$2, Players!$A$1:$P$1, 0)), perc_75, VLOOKUP(J$2, Percentiles!$A$45:$I$59, 6, FALSE), perc_90, VLOOKUP(J$2, Percentiles!$A$45:$I$59, 7, FALSE), perc_95, VLOOKUP(J$2, Percentiles!$A$45:$I$59, 8, FALSE), perc_85, perc_75 + (perc_90 - perc_75) * (2/3), converted_stat, '2K_Ratings'!J368, IF(bbgm_stat &gt;= perc_95, converted_stat * 3, IF(bbgm_stat &gt;= perc_90, converted_stat * 2, IF(bbgm_stat &gt;= perc_85, converted_stat * 1.5, converted_stat)))))</f>
        <v/>
      </c>
      <c r="K368" s="30" t="str">
        <f t="array" ref="K368">IF($A368="", "", LET(bbgm_stat, INDEX(Players!$A367:$P367, MATCH(K$2, Players!$A$1:$P$1, 0)), perc_75, VLOOKUP(K$2, Percentiles!$A$45:$I$59, 6, FALSE), perc_90, VLOOKUP(K$2, Percentiles!$A$45:$I$59, 7, FALSE), perc_95, VLOOKUP(K$2, Percentiles!$A$45:$I$59, 8, FALSE), perc_85, perc_75 + (perc_90 - perc_75) * (2/3), converted_stat, '2K_Ratings'!K368, IF(bbgm_stat &gt;= perc_95, converted_stat * 3, IF(bbgm_stat &gt;= perc_90, converted_stat * 2, IF(bbgm_stat &gt;= perc_85, converted_stat * 1.5, converted_stat)))))</f>
        <v/>
      </c>
      <c r="L368" s="30" t="str">
        <f t="array" ref="L368">IF($A368="", "", LET(bbgm_stat, INDEX(Players!$A367:$P367, MATCH(L$2, Players!$A$1:$P$1, 0)), perc_75, VLOOKUP(L$2, Percentiles!$A$45:$I$59, 6, FALSE), perc_90, VLOOKUP(L$2, Percentiles!$A$45:$I$59, 7, FALSE), perc_95, VLOOKUP(L$2, Percentiles!$A$45:$I$59, 8, FALSE), perc_85, perc_75 + (perc_90 - perc_75) * (2/3), converted_stat, '2K_Ratings'!L368, IF(bbgm_stat &gt;= perc_95, converted_stat * 3, IF(bbgm_stat &gt;= perc_90, converted_stat * 2, IF(bbgm_stat &gt;= perc_85, converted_stat * 1.5, converted_stat)))))</f>
        <v/>
      </c>
      <c r="M368" s="30" t="str">
        <f t="array" ref="M368">IF($A368="", "", LET(bbgm_stat, INDEX(Players!$A367:$P367, MATCH(M$2, Players!$A$1:$P$1, 0)), perc_75, VLOOKUP(M$2, Percentiles!$A$45:$I$59, 6, FALSE), perc_90, VLOOKUP(M$2, Percentiles!$A$45:$I$59, 7, FALSE), perc_95, VLOOKUP(M$2, Percentiles!$A$45:$I$59, 8, FALSE), perc_85, perc_75 + (perc_90 - perc_75) * (2/3), converted_stat, '2K_Ratings'!M368, IF(bbgm_stat &gt;= perc_95, converted_stat * 3, IF(bbgm_stat &gt;= perc_90, converted_stat * 2, IF(bbgm_stat &gt;= perc_85, converted_stat * 1.5, converted_stat)))))</f>
        <v/>
      </c>
      <c r="N368" s="30" t="str">
        <f t="array" ref="N368">IF($A368="", "", LET(bbgm_stat, INDEX(Players!$A367:$P367, MATCH(N$2, Players!$A$1:$P$1, 0)), perc_75, VLOOKUP(N$2, Percentiles!$A$45:$I$59, 6, FALSE), perc_90, VLOOKUP(N$2, Percentiles!$A$45:$I$59, 7, FALSE), perc_95, VLOOKUP(N$2, Percentiles!$A$45:$I$59, 8, FALSE), perc_85, perc_75 + (perc_90 - perc_75) * (2/3), converted_stat, '2K_Ratings'!N368, IF(bbgm_stat &gt;= perc_95, converted_stat * 3, IF(bbgm_stat &gt;= perc_90, converted_stat * 2, IF(bbgm_stat &gt;= perc_85, converted_stat * 1.5, converted_stat)))))</f>
        <v/>
      </c>
      <c r="O368" s="30" t="str">
        <f t="array" ref="O368">IF($A368="", "", LET(bbgm_stat, INDEX(Players!$A367:$P367, MATCH(O$2, Players!$A$1:$P$1, 0)), perc_75, VLOOKUP(O$2, Percentiles!$A$45:$I$59, 6, FALSE), perc_90, VLOOKUP(O$2, Percentiles!$A$45:$I$59, 7, FALSE), perc_95, VLOOKUP(O$2, Percentiles!$A$45:$I$59, 8, FALSE), perc_85, perc_75 + (perc_90 - perc_75) * (2/3), converted_stat, '2K_Ratings'!O368, IF(bbgm_stat &gt;= perc_95, converted_stat * 3, IF(bbgm_stat &gt;= perc_90, converted_stat * 2, IF(bbgm_stat &gt;= perc_85, converted_stat * 1.5, converted_stat)))))</f>
        <v/>
      </c>
      <c r="P368" s="30" t="str">
        <f t="array" ref="P368">IF($A368="", "", LET(bbgm_stat, INDEX(Players!$A367:$P367, MATCH(P$2, Players!$A$1:$P$1, 0)), perc_75, VLOOKUP(P$2, Percentiles!$A$45:$I$59, 6, FALSE), perc_90, VLOOKUP(P$2, Percentiles!$A$45:$I$59, 7, FALSE), perc_95, VLOOKUP(P$2, Percentiles!$A$45:$I$59, 8, FALSE), perc_85, perc_75 + (perc_90 - perc_75) * (2/3), converted_stat, '2K_Ratings'!P368, IF(bbgm_stat &gt;= perc_95, converted_stat * 3, IF(bbgm_stat &gt;= perc_90, converted_stat * 2, IF(bbgm_stat &gt;= perc_85, converted_stat * 1.5, converted_stat)))))</f>
        <v/>
      </c>
      <c r="Q368" s="30" t="str">
        <f t="array" ref="Q368">IF($A368="", "", LET(bbgm_stat, INDEX(Players!$A367:$P367, MATCH(Q$2, Players!$A$1:$P$1, 0)), perc_75, VLOOKUP(Q$2, Percentiles!$A$45:$I$59, 6, FALSE), perc_90, VLOOKUP(Q$2, Percentiles!$A$45:$I$59, 7, FALSE), perc_95, VLOOKUP(Q$2, Percentiles!$A$45:$I$59, 8, FALSE), perc_85, perc_75 + (perc_90 - perc_75) * (2/3), converted_stat, '2K_Ratings'!Q368, IF(bbgm_stat &gt;= perc_95, converted_stat * 3, IF(bbgm_stat &gt;= perc_90, converted_stat * 2, IF(bbgm_stat &gt;= perc_85, converted_stat * 1.5, converted_stat)))))</f>
        <v/>
      </c>
      <c r="R368" s="30" t="str">
        <f t="array" ref="R368">IF($A368="", "", LET(bbgm_stat, INDEX(Players!$A367:$P367, MATCH(R$2, Players!$A$1:$P$1, 0)), perc_75, VLOOKUP(R$2, Percentiles!$A$45:$I$59, 6, FALSE), perc_90, VLOOKUP(R$2, Percentiles!$A$45:$I$59, 7, FALSE), perc_95, VLOOKUP(R$2, Percentiles!$A$45:$I$59, 8, FALSE), perc_85, perc_75 + (perc_90 - perc_75) * (2/3), converted_stat, '2K_Ratings'!R368, IF(bbgm_stat &gt;= perc_95, converted_stat * 3, IF(bbgm_stat &gt;= perc_90, converted_stat * 2, IF(bbgm_stat &gt;= perc_85, converted_stat * 1.5, converted_stat)))))</f>
        <v/>
      </c>
      <c r="S368" s="30" t="str">
        <f t="array" ref="S368">IF($A368="", "", LET(bbgm_stat, INDEX(Players!$A367:$P367, MATCH(S$2, Players!$A$1:$P$1, 0)), perc_75, VLOOKUP(S$2, Percentiles!$A$45:$I$59, 6, FALSE), perc_90, VLOOKUP(S$2, Percentiles!$A$45:$I$59, 7, FALSE), perc_95, VLOOKUP(S$2, Percentiles!$A$45:$I$59, 8, FALSE), perc_85, perc_75 + (perc_90 - perc_75) * (2/3), converted_stat, '2K_Ratings'!S368, IF(bbgm_stat &gt;= perc_95, converted_stat * 3, IF(bbgm_stat &gt;= perc_90, converted_stat * 2, IF(bbgm_stat &gt;= perc_85, converted_stat * 1.5, converted_stat)))))</f>
        <v/>
      </c>
      <c r="T368" s="30" t="str">
        <f t="array" ref="T368">IF($A368="", "", LET(bbgm_stat, INDEX(Players!$A367:$P367, MATCH(T$2, Players!$A$1:$P$1, 0)), perc_75, VLOOKUP(T$2, Percentiles!$A$45:$I$59, 6, FALSE), perc_90, VLOOKUP(T$2, Percentiles!$A$45:$I$59, 7, FALSE), perc_95, VLOOKUP(T$2, Percentiles!$A$45:$I$59, 8, FALSE), perc_85, perc_75 + (perc_90 - perc_75) * (2/3), converted_stat, '2K_Ratings'!T368, IF(bbgm_stat &gt;= perc_95, converted_stat * 3, IF(bbgm_stat &gt;= perc_90, converted_stat * 2, IF(bbgm_stat &gt;= perc_85, converted_stat * 1.5, converted_stat)))))</f>
        <v/>
      </c>
      <c r="U368" s="30" t="str">
        <f t="array" ref="U368">IF($A368="", "", LET(bbgm_stat, INDEX(Players!$A367:$P367, MATCH(U$2, Players!$A$1:$P$1, 0)), perc_75, VLOOKUP(U$2, Percentiles!$A$45:$I$59, 6, FALSE), perc_90, VLOOKUP(U$2, Percentiles!$A$45:$I$59, 7, FALSE), perc_95, VLOOKUP(U$2, Percentiles!$A$45:$I$59, 8, FALSE), perc_85, perc_75 + (perc_90 - perc_75) * (2/3), converted_stat, '2K_Ratings'!U368, IF(bbgm_stat &gt;= perc_95, converted_stat * 3, IF(bbgm_stat &gt;= perc_90, converted_stat * 2, IF(bbgm_stat &gt;= perc_85, converted_stat * 1.5, converted_stat)))))</f>
        <v/>
      </c>
      <c r="V368" s="30" t="str">
        <f t="array" ref="V368">IF($A368="", "", LET(bbgm_stat, INDEX(Players!$A367:$P367, MATCH(V$2, Players!$A$1:$P$1, 0)), perc_75, VLOOKUP(V$2, Percentiles!$A$45:$I$59, 6, FALSE), perc_90, VLOOKUP(V$2, Percentiles!$A$45:$I$59, 7, FALSE), perc_95, VLOOKUP(V$2, Percentiles!$A$45:$I$59, 8, FALSE), perc_85, perc_75 + (perc_90 - perc_75) * (2/3), converted_stat, '2K_Ratings'!V368, IF(bbgm_stat &gt;= perc_95, converted_stat * 3, IF(bbgm_stat &gt;= perc_90, converted_stat * 2, IF(bbgm_stat &gt;= perc_85, converted_stat * 1.5, converted_stat)))))</f>
        <v/>
      </c>
      <c r="W368" s="30" t="str">
        <f t="array" ref="W368">IF($A368="", "", LET(bbgm_stat, INDEX(Players!$A367:$P367, MATCH(W$2, Players!$A$1:$P$1, 0)), perc_75, VLOOKUP(W$2, Percentiles!$A$45:$I$59, 6, FALSE), perc_90, VLOOKUP(W$2, Percentiles!$A$45:$I$59, 7, FALSE), perc_95, VLOOKUP(W$2, Percentiles!$A$45:$I$59, 8, FALSE), perc_85, perc_75 + (perc_90 - perc_75) * (2/3), converted_stat, '2K_Ratings'!W368, IF(bbgm_stat &gt;= perc_95, converted_stat * 3, IF(bbgm_stat &gt;= perc_90, converted_stat * 2, IF(bbgm_stat &gt;= perc_85, converted_stat * 1.5, converted_stat)))))</f>
        <v/>
      </c>
    </row>
    <row r="369">
      <c r="A369" s="30"/>
      <c r="B369" s="30" t="str">
        <f t="array" ref="B369">IF($A369="", "", LET(bbgm_stat, INDEX(Players!$A368:$P368, MATCH(B$2, Players!$A$1:$P$1, 0)), perc_75, VLOOKUP(B$2, Percentiles!$A$45:$I$59, 6, FALSE), perc_90, VLOOKUP(B$2, Percentiles!$A$45:$I$59, 7, FALSE), perc_95, VLOOKUP(B$2, Percentiles!$A$45:$I$59, 8, FALSE), perc_85, perc_75 + (perc_90 - perc_75) * (2/3), converted_stat, '2K_Ratings'!B369, IF(bbgm_stat &gt;= perc_95, converted_stat * 3, IF(bbgm_stat &gt;= perc_90, converted_stat * 2, IF(bbgm_stat &gt;= perc_85, converted_stat * 1.5, converted_stat)))))</f>
        <v/>
      </c>
      <c r="C369" s="30" t="str">
        <f t="array" ref="C369">IF($A369="", "", LET(bbgm_stat, INDEX(Players!$A368:$P368, MATCH(C$2, Players!$A$1:$P$1, 0)), perc_75, VLOOKUP(C$2, Percentiles!$A$45:$I$59, 6, FALSE), perc_90, VLOOKUP(C$2, Percentiles!$A$45:$I$59, 7, FALSE), perc_95, VLOOKUP(C$2, Percentiles!$A$45:$I$59, 8, FALSE), perc_85, perc_75 + (perc_90 - perc_75) * (2/3), converted_stat, '2K_Ratings'!C369, IF(bbgm_stat &gt;= perc_95, converted_stat * 3, IF(bbgm_stat &gt;= perc_90, converted_stat * 2, IF(bbgm_stat &gt;= perc_85, converted_stat * 1.5, converted_stat)))))</f>
        <v/>
      </c>
      <c r="D369" s="30" t="str">
        <f t="array" ref="D369">IF($A369="", "", LET(bbgm_stat, INDEX(Players!$A368:$P368, MATCH(D$2, Players!$A$1:$P$1, 0)), perc_75, VLOOKUP(D$2, Percentiles!$A$45:$I$59, 6, FALSE), perc_90, VLOOKUP(D$2, Percentiles!$A$45:$I$59, 7, FALSE), perc_95, VLOOKUP(D$2, Percentiles!$A$45:$I$59, 8, FALSE), perc_85, perc_75 + (perc_90 - perc_75) * (2/3), converted_stat, '2K_Ratings'!D369, IF(bbgm_stat &gt;= perc_95, converted_stat * 3, IF(bbgm_stat &gt;= perc_90, converted_stat * 2, IF(bbgm_stat &gt;= perc_85, converted_stat * 1.5, converted_stat)))))</f>
        <v/>
      </c>
      <c r="E369" s="30" t="str">
        <f t="array" ref="E369">IF($A369="", "", LET(bbgm_stat, INDEX(Players!$A368:$P368, MATCH(E$2, Players!$A$1:$P$1, 0)), perc_75, VLOOKUP(E$2, Percentiles!$A$45:$I$59, 6, FALSE), perc_90, VLOOKUP(E$2, Percentiles!$A$45:$I$59, 7, FALSE), perc_95, VLOOKUP(E$2, Percentiles!$A$45:$I$59, 8, FALSE), perc_85, perc_75 + (perc_90 - perc_75) * (2/3), converted_stat, '2K_Ratings'!E369, IF(bbgm_stat &gt;= perc_95, converted_stat * 3, IF(bbgm_stat &gt;= perc_90, converted_stat * 2, IF(bbgm_stat &gt;= perc_85, converted_stat * 1.5, converted_stat)))))</f>
        <v/>
      </c>
      <c r="F369" s="30" t="str">
        <f t="array" ref="F369">IF($A369="", "", LET(bbgm_stat, INDEX(Players!$A368:$P368, MATCH(F$2, Players!$A$1:$P$1, 0)), perc_75, VLOOKUP(F$2, Percentiles!$A$45:$I$59, 6, FALSE), perc_90, VLOOKUP(F$2, Percentiles!$A$45:$I$59, 7, FALSE), perc_95, VLOOKUP(F$2, Percentiles!$A$45:$I$59, 8, FALSE), perc_85, perc_75 + (perc_90 - perc_75) * (2/3), converted_stat, '2K_Ratings'!F369, IF(bbgm_stat &gt;= perc_95, converted_stat * 3, IF(bbgm_stat &gt;= perc_90, converted_stat * 2, IF(bbgm_stat &gt;= perc_85, converted_stat * 1.5, converted_stat)))))</f>
        <v/>
      </c>
      <c r="G369" s="30" t="str">
        <f t="array" ref="G369">IF($A369="", "", LET(bbgm_stat, INDEX(Players!$A368:$P368, MATCH(G$2, Players!$A$1:$P$1, 0)), perc_75, VLOOKUP(G$2, Percentiles!$A$45:$I$59, 6, FALSE), perc_90, VLOOKUP(G$2, Percentiles!$A$45:$I$59, 7, FALSE), perc_95, VLOOKUP(G$2, Percentiles!$A$45:$I$59, 8, FALSE), perc_85, perc_75 + (perc_90 - perc_75) * (2/3), converted_stat, '2K_Ratings'!G369, IF(bbgm_stat &gt;= perc_95, converted_stat * 3, IF(bbgm_stat &gt;= perc_90, converted_stat * 2, IF(bbgm_stat &gt;= perc_85, converted_stat * 1.5, converted_stat)))))</f>
        <v/>
      </c>
      <c r="H369" s="30" t="str">
        <f t="array" ref="H369">IF($A369="", "", LET(bbgm_stat, INDEX(Players!$A368:$P368, MATCH(H$2, Players!$A$1:$P$1, 0)), perc_75, VLOOKUP(H$2, Percentiles!$A$45:$I$59, 6, FALSE), perc_90, VLOOKUP(H$2, Percentiles!$A$45:$I$59, 7, FALSE), perc_95, VLOOKUP(H$2, Percentiles!$A$45:$I$59, 8, FALSE), perc_85, perc_75 + (perc_90 - perc_75) * (2/3), converted_stat, '2K_Ratings'!H369, IF(bbgm_stat &gt;= perc_95, converted_stat * 3, IF(bbgm_stat &gt;= perc_90, converted_stat * 2, IF(bbgm_stat &gt;= perc_85, converted_stat * 1.5, converted_stat)))))</f>
        <v/>
      </c>
      <c r="I369" s="30" t="str">
        <f t="array" ref="I369">IF($A369="", "", LET(bbgm_stat, INDEX(Players!$A368:$P368, MATCH(I$2, Players!$A$1:$P$1, 0)), perc_75, VLOOKUP(I$2, Percentiles!$A$45:$I$59, 6, FALSE), perc_90, VLOOKUP(I$2, Percentiles!$A$45:$I$59, 7, FALSE), perc_95, VLOOKUP(I$2, Percentiles!$A$45:$I$59, 8, FALSE), perc_85, perc_75 + (perc_90 - perc_75) * (2/3), converted_stat, '2K_Ratings'!I369, IF(bbgm_stat &gt;= perc_95, converted_stat * 3, IF(bbgm_stat &gt;= perc_90, converted_stat * 2, IF(bbgm_stat &gt;= perc_85, converted_stat * 1.5, converted_stat)))))</f>
        <v/>
      </c>
      <c r="J369" s="30" t="str">
        <f t="array" ref="J369">IF($A369="", "", LET(bbgm_stat, INDEX(Players!$A368:$P368, MATCH(J$2, Players!$A$1:$P$1, 0)), perc_75, VLOOKUP(J$2, Percentiles!$A$45:$I$59, 6, FALSE), perc_90, VLOOKUP(J$2, Percentiles!$A$45:$I$59, 7, FALSE), perc_95, VLOOKUP(J$2, Percentiles!$A$45:$I$59, 8, FALSE), perc_85, perc_75 + (perc_90 - perc_75) * (2/3), converted_stat, '2K_Ratings'!J369, IF(bbgm_stat &gt;= perc_95, converted_stat * 3, IF(bbgm_stat &gt;= perc_90, converted_stat * 2, IF(bbgm_stat &gt;= perc_85, converted_stat * 1.5, converted_stat)))))</f>
        <v/>
      </c>
      <c r="K369" s="30" t="str">
        <f t="array" ref="K369">IF($A369="", "", LET(bbgm_stat, INDEX(Players!$A368:$P368, MATCH(K$2, Players!$A$1:$P$1, 0)), perc_75, VLOOKUP(K$2, Percentiles!$A$45:$I$59, 6, FALSE), perc_90, VLOOKUP(K$2, Percentiles!$A$45:$I$59, 7, FALSE), perc_95, VLOOKUP(K$2, Percentiles!$A$45:$I$59, 8, FALSE), perc_85, perc_75 + (perc_90 - perc_75) * (2/3), converted_stat, '2K_Ratings'!K369, IF(bbgm_stat &gt;= perc_95, converted_stat * 3, IF(bbgm_stat &gt;= perc_90, converted_stat * 2, IF(bbgm_stat &gt;= perc_85, converted_stat * 1.5, converted_stat)))))</f>
        <v/>
      </c>
      <c r="L369" s="30" t="str">
        <f t="array" ref="L369">IF($A369="", "", LET(bbgm_stat, INDEX(Players!$A368:$P368, MATCH(L$2, Players!$A$1:$P$1, 0)), perc_75, VLOOKUP(L$2, Percentiles!$A$45:$I$59, 6, FALSE), perc_90, VLOOKUP(L$2, Percentiles!$A$45:$I$59, 7, FALSE), perc_95, VLOOKUP(L$2, Percentiles!$A$45:$I$59, 8, FALSE), perc_85, perc_75 + (perc_90 - perc_75) * (2/3), converted_stat, '2K_Ratings'!L369, IF(bbgm_stat &gt;= perc_95, converted_stat * 3, IF(bbgm_stat &gt;= perc_90, converted_stat * 2, IF(bbgm_stat &gt;= perc_85, converted_stat * 1.5, converted_stat)))))</f>
        <v/>
      </c>
      <c r="M369" s="30" t="str">
        <f t="array" ref="M369">IF($A369="", "", LET(bbgm_stat, INDEX(Players!$A368:$P368, MATCH(M$2, Players!$A$1:$P$1, 0)), perc_75, VLOOKUP(M$2, Percentiles!$A$45:$I$59, 6, FALSE), perc_90, VLOOKUP(M$2, Percentiles!$A$45:$I$59, 7, FALSE), perc_95, VLOOKUP(M$2, Percentiles!$A$45:$I$59, 8, FALSE), perc_85, perc_75 + (perc_90 - perc_75) * (2/3), converted_stat, '2K_Ratings'!M369, IF(bbgm_stat &gt;= perc_95, converted_stat * 3, IF(bbgm_stat &gt;= perc_90, converted_stat * 2, IF(bbgm_stat &gt;= perc_85, converted_stat * 1.5, converted_stat)))))</f>
        <v/>
      </c>
      <c r="N369" s="30" t="str">
        <f t="array" ref="N369">IF($A369="", "", LET(bbgm_stat, INDEX(Players!$A368:$P368, MATCH(N$2, Players!$A$1:$P$1, 0)), perc_75, VLOOKUP(N$2, Percentiles!$A$45:$I$59, 6, FALSE), perc_90, VLOOKUP(N$2, Percentiles!$A$45:$I$59, 7, FALSE), perc_95, VLOOKUP(N$2, Percentiles!$A$45:$I$59, 8, FALSE), perc_85, perc_75 + (perc_90 - perc_75) * (2/3), converted_stat, '2K_Ratings'!N369, IF(bbgm_stat &gt;= perc_95, converted_stat * 3, IF(bbgm_stat &gt;= perc_90, converted_stat * 2, IF(bbgm_stat &gt;= perc_85, converted_stat * 1.5, converted_stat)))))</f>
        <v/>
      </c>
      <c r="O369" s="30" t="str">
        <f t="array" ref="O369">IF($A369="", "", LET(bbgm_stat, INDEX(Players!$A368:$P368, MATCH(O$2, Players!$A$1:$P$1, 0)), perc_75, VLOOKUP(O$2, Percentiles!$A$45:$I$59, 6, FALSE), perc_90, VLOOKUP(O$2, Percentiles!$A$45:$I$59, 7, FALSE), perc_95, VLOOKUP(O$2, Percentiles!$A$45:$I$59, 8, FALSE), perc_85, perc_75 + (perc_90 - perc_75) * (2/3), converted_stat, '2K_Ratings'!O369, IF(bbgm_stat &gt;= perc_95, converted_stat * 3, IF(bbgm_stat &gt;= perc_90, converted_stat * 2, IF(bbgm_stat &gt;= perc_85, converted_stat * 1.5, converted_stat)))))</f>
        <v/>
      </c>
      <c r="P369" s="30" t="str">
        <f t="array" ref="P369">IF($A369="", "", LET(bbgm_stat, INDEX(Players!$A368:$P368, MATCH(P$2, Players!$A$1:$P$1, 0)), perc_75, VLOOKUP(P$2, Percentiles!$A$45:$I$59, 6, FALSE), perc_90, VLOOKUP(P$2, Percentiles!$A$45:$I$59, 7, FALSE), perc_95, VLOOKUP(P$2, Percentiles!$A$45:$I$59, 8, FALSE), perc_85, perc_75 + (perc_90 - perc_75) * (2/3), converted_stat, '2K_Ratings'!P369, IF(bbgm_stat &gt;= perc_95, converted_stat * 3, IF(bbgm_stat &gt;= perc_90, converted_stat * 2, IF(bbgm_stat &gt;= perc_85, converted_stat * 1.5, converted_stat)))))</f>
        <v/>
      </c>
      <c r="Q369" s="30" t="str">
        <f t="array" ref="Q369">IF($A369="", "", LET(bbgm_stat, INDEX(Players!$A368:$P368, MATCH(Q$2, Players!$A$1:$P$1, 0)), perc_75, VLOOKUP(Q$2, Percentiles!$A$45:$I$59, 6, FALSE), perc_90, VLOOKUP(Q$2, Percentiles!$A$45:$I$59, 7, FALSE), perc_95, VLOOKUP(Q$2, Percentiles!$A$45:$I$59, 8, FALSE), perc_85, perc_75 + (perc_90 - perc_75) * (2/3), converted_stat, '2K_Ratings'!Q369, IF(bbgm_stat &gt;= perc_95, converted_stat * 3, IF(bbgm_stat &gt;= perc_90, converted_stat * 2, IF(bbgm_stat &gt;= perc_85, converted_stat * 1.5, converted_stat)))))</f>
        <v/>
      </c>
      <c r="R369" s="30" t="str">
        <f t="array" ref="R369">IF($A369="", "", LET(bbgm_stat, INDEX(Players!$A368:$P368, MATCH(R$2, Players!$A$1:$P$1, 0)), perc_75, VLOOKUP(R$2, Percentiles!$A$45:$I$59, 6, FALSE), perc_90, VLOOKUP(R$2, Percentiles!$A$45:$I$59, 7, FALSE), perc_95, VLOOKUP(R$2, Percentiles!$A$45:$I$59, 8, FALSE), perc_85, perc_75 + (perc_90 - perc_75) * (2/3), converted_stat, '2K_Ratings'!R369, IF(bbgm_stat &gt;= perc_95, converted_stat * 3, IF(bbgm_stat &gt;= perc_90, converted_stat * 2, IF(bbgm_stat &gt;= perc_85, converted_stat * 1.5, converted_stat)))))</f>
        <v/>
      </c>
      <c r="S369" s="30" t="str">
        <f t="array" ref="S369">IF($A369="", "", LET(bbgm_stat, INDEX(Players!$A368:$P368, MATCH(S$2, Players!$A$1:$P$1, 0)), perc_75, VLOOKUP(S$2, Percentiles!$A$45:$I$59, 6, FALSE), perc_90, VLOOKUP(S$2, Percentiles!$A$45:$I$59, 7, FALSE), perc_95, VLOOKUP(S$2, Percentiles!$A$45:$I$59, 8, FALSE), perc_85, perc_75 + (perc_90 - perc_75) * (2/3), converted_stat, '2K_Ratings'!S369, IF(bbgm_stat &gt;= perc_95, converted_stat * 3, IF(bbgm_stat &gt;= perc_90, converted_stat * 2, IF(bbgm_stat &gt;= perc_85, converted_stat * 1.5, converted_stat)))))</f>
        <v/>
      </c>
      <c r="T369" s="30" t="str">
        <f t="array" ref="T369">IF($A369="", "", LET(bbgm_stat, INDEX(Players!$A368:$P368, MATCH(T$2, Players!$A$1:$P$1, 0)), perc_75, VLOOKUP(T$2, Percentiles!$A$45:$I$59, 6, FALSE), perc_90, VLOOKUP(T$2, Percentiles!$A$45:$I$59, 7, FALSE), perc_95, VLOOKUP(T$2, Percentiles!$A$45:$I$59, 8, FALSE), perc_85, perc_75 + (perc_90 - perc_75) * (2/3), converted_stat, '2K_Ratings'!T369, IF(bbgm_stat &gt;= perc_95, converted_stat * 3, IF(bbgm_stat &gt;= perc_90, converted_stat * 2, IF(bbgm_stat &gt;= perc_85, converted_stat * 1.5, converted_stat)))))</f>
        <v/>
      </c>
      <c r="U369" s="30" t="str">
        <f t="array" ref="U369">IF($A369="", "", LET(bbgm_stat, INDEX(Players!$A368:$P368, MATCH(U$2, Players!$A$1:$P$1, 0)), perc_75, VLOOKUP(U$2, Percentiles!$A$45:$I$59, 6, FALSE), perc_90, VLOOKUP(U$2, Percentiles!$A$45:$I$59, 7, FALSE), perc_95, VLOOKUP(U$2, Percentiles!$A$45:$I$59, 8, FALSE), perc_85, perc_75 + (perc_90 - perc_75) * (2/3), converted_stat, '2K_Ratings'!U369, IF(bbgm_stat &gt;= perc_95, converted_stat * 3, IF(bbgm_stat &gt;= perc_90, converted_stat * 2, IF(bbgm_stat &gt;= perc_85, converted_stat * 1.5, converted_stat)))))</f>
        <v/>
      </c>
      <c r="V369" s="30" t="str">
        <f t="array" ref="V369">IF($A369="", "", LET(bbgm_stat, INDEX(Players!$A368:$P368, MATCH(V$2, Players!$A$1:$P$1, 0)), perc_75, VLOOKUP(V$2, Percentiles!$A$45:$I$59, 6, FALSE), perc_90, VLOOKUP(V$2, Percentiles!$A$45:$I$59, 7, FALSE), perc_95, VLOOKUP(V$2, Percentiles!$A$45:$I$59, 8, FALSE), perc_85, perc_75 + (perc_90 - perc_75) * (2/3), converted_stat, '2K_Ratings'!V369, IF(bbgm_stat &gt;= perc_95, converted_stat * 3, IF(bbgm_stat &gt;= perc_90, converted_stat * 2, IF(bbgm_stat &gt;= perc_85, converted_stat * 1.5, converted_stat)))))</f>
        <v/>
      </c>
      <c r="W369" s="30" t="str">
        <f t="array" ref="W369">IF($A369="", "", LET(bbgm_stat, INDEX(Players!$A368:$P368, MATCH(W$2, Players!$A$1:$P$1, 0)), perc_75, VLOOKUP(W$2, Percentiles!$A$45:$I$59, 6, FALSE), perc_90, VLOOKUP(W$2, Percentiles!$A$45:$I$59, 7, FALSE), perc_95, VLOOKUP(W$2, Percentiles!$A$45:$I$59, 8, FALSE), perc_85, perc_75 + (perc_90 - perc_75) * (2/3), converted_stat, '2K_Ratings'!W369, IF(bbgm_stat &gt;= perc_95, converted_stat * 3, IF(bbgm_stat &gt;= perc_90, converted_stat * 2, IF(bbgm_stat &gt;= perc_85, converted_stat * 1.5, converted_stat)))))</f>
        <v/>
      </c>
    </row>
    <row r="370">
      <c r="A370" s="30"/>
      <c r="B370" s="30" t="str">
        <f t="array" ref="B370">IF($A370="", "", LET(bbgm_stat, INDEX(Players!$A369:$P369, MATCH(B$2, Players!$A$1:$P$1, 0)), perc_75, VLOOKUP(B$2, Percentiles!$A$45:$I$59, 6, FALSE), perc_90, VLOOKUP(B$2, Percentiles!$A$45:$I$59, 7, FALSE), perc_95, VLOOKUP(B$2, Percentiles!$A$45:$I$59, 8, FALSE), perc_85, perc_75 + (perc_90 - perc_75) * (2/3), converted_stat, '2K_Ratings'!B370, IF(bbgm_stat &gt;= perc_95, converted_stat * 3, IF(bbgm_stat &gt;= perc_90, converted_stat * 2, IF(bbgm_stat &gt;= perc_85, converted_stat * 1.5, converted_stat)))))</f>
        <v/>
      </c>
      <c r="C370" s="30" t="str">
        <f t="array" ref="C370">IF($A370="", "", LET(bbgm_stat, INDEX(Players!$A369:$P369, MATCH(C$2, Players!$A$1:$P$1, 0)), perc_75, VLOOKUP(C$2, Percentiles!$A$45:$I$59, 6, FALSE), perc_90, VLOOKUP(C$2, Percentiles!$A$45:$I$59, 7, FALSE), perc_95, VLOOKUP(C$2, Percentiles!$A$45:$I$59, 8, FALSE), perc_85, perc_75 + (perc_90 - perc_75) * (2/3), converted_stat, '2K_Ratings'!C370, IF(bbgm_stat &gt;= perc_95, converted_stat * 3, IF(bbgm_stat &gt;= perc_90, converted_stat * 2, IF(bbgm_stat &gt;= perc_85, converted_stat * 1.5, converted_stat)))))</f>
        <v/>
      </c>
      <c r="D370" s="30" t="str">
        <f t="array" ref="D370">IF($A370="", "", LET(bbgm_stat, INDEX(Players!$A369:$P369, MATCH(D$2, Players!$A$1:$P$1, 0)), perc_75, VLOOKUP(D$2, Percentiles!$A$45:$I$59, 6, FALSE), perc_90, VLOOKUP(D$2, Percentiles!$A$45:$I$59, 7, FALSE), perc_95, VLOOKUP(D$2, Percentiles!$A$45:$I$59, 8, FALSE), perc_85, perc_75 + (perc_90 - perc_75) * (2/3), converted_stat, '2K_Ratings'!D370, IF(bbgm_stat &gt;= perc_95, converted_stat * 3, IF(bbgm_stat &gt;= perc_90, converted_stat * 2, IF(bbgm_stat &gt;= perc_85, converted_stat * 1.5, converted_stat)))))</f>
        <v/>
      </c>
      <c r="E370" s="30" t="str">
        <f t="array" ref="E370">IF($A370="", "", LET(bbgm_stat, INDEX(Players!$A369:$P369, MATCH(E$2, Players!$A$1:$P$1, 0)), perc_75, VLOOKUP(E$2, Percentiles!$A$45:$I$59, 6, FALSE), perc_90, VLOOKUP(E$2, Percentiles!$A$45:$I$59, 7, FALSE), perc_95, VLOOKUP(E$2, Percentiles!$A$45:$I$59, 8, FALSE), perc_85, perc_75 + (perc_90 - perc_75) * (2/3), converted_stat, '2K_Ratings'!E370, IF(bbgm_stat &gt;= perc_95, converted_stat * 3, IF(bbgm_stat &gt;= perc_90, converted_stat * 2, IF(bbgm_stat &gt;= perc_85, converted_stat * 1.5, converted_stat)))))</f>
        <v/>
      </c>
      <c r="F370" s="30" t="str">
        <f t="array" ref="F370">IF($A370="", "", LET(bbgm_stat, INDEX(Players!$A369:$P369, MATCH(F$2, Players!$A$1:$P$1, 0)), perc_75, VLOOKUP(F$2, Percentiles!$A$45:$I$59, 6, FALSE), perc_90, VLOOKUP(F$2, Percentiles!$A$45:$I$59, 7, FALSE), perc_95, VLOOKUP(F$2, Percentiles!$A$45:$I$59, 8, FALSE), perc_85, perc_75 + (perc_90 - perc_75) * (2/3), converted_stat, '2K_Ratings'!F370, IF(bbgm_stat &gt;= perc_95, converted_stat * 3, IF(bbgm_stat &gt;= perc_90, converted_stat * 2, IF(bbgm_stat &gt;= perc_85, converted_stat * 1.5, converted_stat)))))</f>
        <v/>
      </c>
      <c r="G370" s="30" t="str">
        <f t="array" ref="G370">IF($A370="", "", LET(bbgm_stat, INDEX(Players!$A369:$P369, MATCH(G$2, Players!$A$1:$P$1, 0)), perc_75, VLOOKUP(G$2, Percentiles!$A$45:$I$59, 6, FALSE), perc_90, VLOOKUP(G$2, Percentiles!$A$45:$I$59, 7, FALSE), perc_95, VLOOKUP(G$2, Percentiles!$A$45:$I$59, 8, FALSE), perc_85, perc_75 + (perc_90 - perc_75) * (2/3), converted_stat, '2K_Ratings'!G370, IF(bbgm_stat &gt;= perc_95, converted_stat * 3, IF(bbgm_stat &gt;= perc_90, converted_stat * 2, IF(bbgm_stat &gt;= perc_85, converted_stat * 1.5, converted_stat)))))</f>
        <v/>
      </c>
      <c r="H370" s="30" t="str">
        <f t="array" ref="H370">IF($A370="", "", LET(bbgm_stat, INDEX(Players!$A369:$P369, MATCH(H$2, Players!$A$1:$P$1, 0)), perc_75, VLOOKUP(H$2, Percentiles!$A$45:$I$59, 6, FALSE), perc_90, VLOOKUP(H$2, Percentiles!$A$45:$I$59, 7, FALSE), perc_95, VLOOKUP(H$2, Percentiles!$A$45:$I$59, 8, FALSE), perc_85, perc_75 + (perc_90 - perc_75) * (2/3), converted_stat, '2K_Ratings'!H370, IF(bbgm_stat &gt;= perc_95, converted_stat * 3, IF(bbgm_stat &gt;= perc_90, converted_stat * 2, IF(bbgm_stat &gt;= perc_85, converted_stat * 1.5, converted_stat)))))</f>
        <v/>
      </c>
      <c r="I370" s="30" t="str">
        <f t="array" ref="I370">IF($A370="", "", LET(bbgm_stat, INDEX(Players!$A369:$P369, MATCH(I$2, Players!$A$1:$P$1, 0)), perc_75, VLOOKUP(I$2, Percentiles!$A$45:$I$59, 6, FALSE), perc_90, VLOOKUP(I$2, Percentiles!$A$45:$I$59, 7, FALSE), perc_95, VLOOKUP(I$2, Percentiles!$A$45:$I$59, 8, FALSE), perc_85, perc_75 + (perc_90 - perc_75) * (2/3), converted_stat, '2K_Ratings'!I370, IF(bbgm_stat &gt;= perc_95, converted_stat * 3, IF(bbgm_stat &gt;= perc_90, converted_stat * 2, IF(bbgm_stat &gt;= perc_85, converted_stat * 1.5, converted_stat)))))</f>
        <v/>
      </c>
      <c r="J370" s="30" t="str">
        <f t="array" ref="J370">IF($A370="", "", LET(bbgm_stat, INDEX(Players!$A369:$P369, MATCH(J$2, Players!$A$1:$P$1, 0)), perc_75, VLOOKUP(J$2, Percentiles!$A$45:$I$59, 6, FALSE), perc_90, VLOOKUP(J$2, Percentiles!$A$45:$I$59, 7, FALSE), perc_95, VLOOKUP(J$2, Percentiles!$A$45:$I$59, 8, FALSE), perc_85, perc_75 + (perc_90 - perc_75) * (2/3), converted_stat, '2K_Ratings'!J370, IF(bbgm_stat &gt;= perc_95, converted_stat * 3, IF(bbgm_stat &gt;= perc_90, converted_stat * 2, IF(bbgm_stat &gt;= perc_85, converted_stat * 1.5, converted_stat)))))</f>
        <v/>
      </c>
      <c r="K370" s="30" t="str">
        <f t="array" ref="K370">IF($A370="", "", LET(bbgm_stat, INDEX(Players!$A369:$P369, MATCH(K$2, Players!$A$1:$P$1, 0)), perc_75, VLOOKUP(K$2, Percentiles!$A$45:$I$59, 6, FALSE), perc_90, VLOOKUP(K$2, Percentiles!$A$45:$I$59, 7, FALSE), perc_95, VLOOKUP(K$2, Percentiles!$A$45:$I$59, 8, FALSE), perc_85, perc_75 + (perc_90 - perc_75) * (2/3), converted_stat, '2K_Ratings'!K370, IF(bbgm_stat &gt;= perc_95, converted_stat * 3, IF(bbgm_stat &gt;= perc_90, converted_stat * 2, IF(bbgm_stat &gt;= perc_85, converted_stat * 1.5, converted_stat)))))</f>
        <v/>
      </c>
      <c r="L370" s="30" t="str">
        <f t="array" ref="L370">IF($A370="", "", LET(bbgm_stat, INDEX(Players!$A369:$P369, MATCH(L$2, Players!$A$1:$P$1, 0)), perc_75, VLOOKUP(L$2, Percentiles!$A$45:$I$59, 6, FALSE), perc_90, VLOOKUP(L$2, Percentiles!$A$45:$I$59, 7, FALSE), perc_95, VLOOKUP(L$2, Percentiles!$A$45:$I$59, 8, FALSE), perc_85, perc_75 + (perc_90 - perc_75) * (2/3), converted_stat, '2K_Ratings'!L370, IF(bbgm_stat &gt;= perc_95, converted_stat * 3, IF(bbgm_stat &gt;= perc_90, converted_stat * 2, IF(bbgm_stat &gt;= perc_85, converted_stat * 1.5, converted_stat)))))</f>
        <v/>
      </c>
      <c r="M370" s="30" t="str">
        <f t="array" ref="M370">IF($A370="", "", LET(bbgm_stat, INDEX(Players!$A369:$P369, MATCH(M$2, Players!$A$1:$P$1, 0)), perc_75, VLOOKUP(M$2, Percentiles!$A$45:$I$59, 6, FALSE), perc_90, VLOOKUP(M$2, Percentiles!$A$45:$I$59, 7, FALSE), perc_95, VLOOKUP(M$2, Percentiles!$A$45:$I$59, 8, FALSE), perc_85, perc_75 + (perc_90 - perc_75) * (2/3), converted_stat, '2K_Ratings'!M370, IF(bbgm_stat &gt;= perc_95, converted_stat * 3, IF(bbgm_stat &gt;= perc_90, converted_stat * 2, IF(bbgm_stat &gt;= perc_85, converted_stat * 1.5, converted_stat)))))</f>
        <v/>
      </c>
      <c r="N370" s="30" t="str">
        <f t="array" ref="N370">IF($A370="", "", LET(bbgm_stat, INDEX(Players!$A369:$P369, MATCH(N$2, Players!$A$1:$P$1, 0)), perc_75, VLOOKUP(N$2, Percentiles!$A$45:$I$59, 6, FALSE), perc_90, VLOOKUP(N$2, Percentiles!$A$45:$I$59, 7, FALSE), perc_95, VLOOKUP(N$2, Percentiles!$A$45:$I$59, 8, FALSE), perc_85, perc_75 + (perc_90 - perc_75) * (2/3), converted_stat, '2K_Ratings'!N370, IF(bbgm_stat &gt;= perc_95, converted_stat * 3, IF(bbgm_stat &gt;= perc_90, converted_stat * 2, IF(bbgm_stat &gt;= perc_85, converted_stat * 1.5, converted_stat)))))</f>
        <v/>
      </c>
      <c r="O370" s="30" t="str">
        <f t="array" ref="O370">IF($A370="", "", LET(bbgm_stat, INDEX(Players!$A369:$P369, MATCH(O$2, Players!$A$1:$P$1, 0)), perc_75, VLOOKUP(O$2, Percentiles!$A$45:$I$59, 6, FALSE), perc_90, VLOOKUP(O$2, Percentiles!$A$45:$I$59, 7, FALSE), perc_95, VLOOKUP(O$2, Percentiles!$A$45:$I$59, 8, FALSE), perc_85, perc_75 + (perc_90 - perc_75) * (2/3), converted_stat, '2K_Ratings'!O370, IF(bbgm_stat &gt;= perc_95, converted_stat * 3, IF(bbgm_stat &gt;= perc_90, converted_stat * 2, IF(bbgm_stat &gt;= perc_85, converted_stat * 1.5, converted_stat)))))</f>
        <v/>
      </c>
      <c r="P370" s="30" t="str">
        <f t="array" ref="P370">IF($A370="", "", LET(bbgm_stat, INDEX(Players!$A369:$P369, MATCH(P$2, Players!$A$1:$P$1, 0)), perc_75, VLOOKUP(P$2, Percentiles!$A$45:$I$59, 6, FALSE), perc_90, VLOOKUP(P$2, Percentiles!$A$45:$I$59, 7, FALSE), perc_95, VLOOKUP(P$2, Percentiles!$A$45:$I$59, 8, FALSE), perc_85, perc_75 + (perc_90 - perc_75) * (2/3), converted_stat, '2K_Ratings'!P370, IF(bbgm_stat &gt;= perc_95, converted_stat * 3, IF(bbgm_stat &gt;= perc_90, converted_stat * 2, IF(bbgm_stat &gt;= perc_85, converted_stat * 1.5, converted_stat)))))</f>
        <v/>
      </c>
      <c r="Q370" s="30" t="str">
        <f t="array" ref="Q370">IF($A370="", "", LET(bbgm_stat, INDEX(Players!$A369:$P369, MATCH(Q$2, Players!$A$1:$P$1, 0)), perc_75, VLOOKUP(Q$2, Percentiles!$A$45:$I$59, 6, FALSE), perc_90, VLOOKUP(Q$2, Percentiles!$A$45:$I$59, 7, FALSE), perc_95, VLOOKUP(Q$2, Percentiles!$A$45:$I$59, 8, FALSE), perc_85, perc_75 + (perc_90 - perc_75) * (2/3), converted_stat, '2K_Ratings'!Q370, IF(bbgm_stat &gt;= perc_95, converted_stat * 3, IF(bbgm_stat &gt;= perc_90, converted_stat * 2, IF(bbgm_stat &gt;= perc_85, converted_stat * 1.5, converted_stat)))))</f>
        <v/>
      </c>
      <c r="R370" s="30" t="str">
        <f t="array" ref="R370">IF($A370="", "", LET(bbgm_stat, INDEX(Players!$A369:$P369, MATCH(R$2, Players!$A$1:$P$1, 0)), perc_75, VLOOKUP(R$2, Percentiles!$A$45:$I$59, 6, FALSE), perc_90, VLOOKUP(R$2, Percentiles!$A$45:$I$59, 7, FALSE), perc_95, VLOOKUP(R$2, Percentiles!$A$45:$I$59, 8, FALSE), perc_85, perc_75 + (perc_90 - perc_75) * (2/3), converted_stat, '2K_Ratings'!R370, IF(bbgm_stat &gt;= perc_95, converted_stat * 3, IF(bbgm_stat &gt;= perc_90, converted_stat * 2, IF(bbgm_stat &gt;= perc_85, converted_stat * 1.5, converted_stat)))))</f>
        <v/>
      </c>
      <c r="S370" s="30" t="str">
        <f t="array" ref="S370">IF($A370="", "", LET(bbgm_stat, INDEX(Players!$A369:$P369, MATCH(S$2, Players!$A$1:$P$1, 0)), perc_75, VLOOKUP(S$2, Percentiles!$A$45:$I$59, 6, FALSE), perc_90, VLOOKUP(S$2, Percentiles!$A$45:$I$59, 7, FALSE), perc_95, VLOOKUP(S$2, Percentiles!$A$45:$I$59, 8, FALSE), perc_85, perc_75 + (perc_90 - perc_75) * (2/3), converted_stat, '2K_Ratings'!S370, IF(bbgm_stat &gt;= perc_95, converted_stat * 3, IF(bbgm_stat &gt;= perc_90, converted_stat * 2, IF(bbgm_stat &gt;= perc_85, converted_stat * 1.5, converted_stat)))))</f>
        <v/>
      </c>
      <c r="T370" s="30" t="str">
        <f t="array" ref="T370">IF($A370="", "", LET(bbgm_stat, INDEX(Players!$A369:$P369, MATCH(T$2, Players!$A$1:$P$1, 0)), perc_75, VLOOKUP(T$2, Percentiles!$A$45:$I$59, 6, FALSE), perc_90, VLOOKUP(T$2, Percentiles!$A$45:$I$59, 7, FALSE), perc_95, VLOOKUP(T$2, Percentiles!$A$45:$I$59, 8, FALSE), perc_85, perc_75 + (perc_90 - perc_75) * (2/3), converted_stat, '2K_Ratings'!T370, IF(bbgm_stat &gt;= perc_95, converted_stat * 3, IF(bbgm_stat &gt;= perc_90, converted_stat * 2, IF(bbgm_stat &gt;= perc_85, converted_stat * 1.5, converted_stat)))))</f>
        <v/>
      </c>
      <c r="U370" s="30" t="str">
        <f t="array" ref="U370">IF($A370="", "", LET(bbgm_stat, INDEX(Players!$A369:$P369, MATCH(U$2, Players!$A$1:$P$1, 0)), perc_75, VLOOKUP(U$2, Percentiles!$A$45:$I$59, 6, FALSE), perc_90, VLOOKUP(U$2, Percentiles!$A$45:$I$59, 7, FALSE), perc_95, VLOOKUP(U$2, Percentiles!$A$45:$I$59, 8, FALSE), perc_85, perc_75 + (perc_90 - perc_75) * (2/3), converted_stat, '2K_Ratings'!U370, IF(bbgm_stat &gt;= perc_95, converted_stat * 3, IF(bbgm_stat &gt;= perc_90, converted_stat * 2, IF(bbgm_stat &gt;= perc_85, converted_stat * 1.5, converted_stat)))))</f>
        <v/>
      </c>
      <c r="V370" s="30" t="str">
        <f t="array" ref="V370">IF($A370="", "", LET(bbgm_stat, INDEX(Players!$A369:$P369, MATCH(V$2, Players!$A$1:$P$1, 0)), perc_75, VLOOKUP(V$2, Percentiles!$A$45:$I$59, 6, FALSE), perc_90, VLOOKUP(V$2, Percentiles!$A$45:$I$59, 7, FALSE), perc_95, VLOOKUP(V$2, Percentiles!$A$45:$I$59, 8, FALSE), perc_85, perc_75 + (perc_90 - perc_75) * (2/3), converted_stat, '2K_Ratings'!V370, IF(bbgm_stat &gt;= perc_95, converted_stat * 3, IF(bbgm_stat &gt;= perc_90, converted_stat * 2, IF(bbgm_stat &gt;= perc_85, converted_stat * 1.5, converted_stat)))))</f>
        <v/>
      </c>
      <c r="W370" s="30" t="str">
        <f t="array" ref="W370">IF($A370="", "", LET(bbgm_stat, INDEX(Players!$A369:$P369, MATCH(W$2, Players!$A$1:$P$1, 0)), perc_75, VLOOKUP(W$2, Percentiles!$A$45:$I$59, 6, FALSE), perc_90, VLOOKUP(W$2, Percentiles!$A$45:$I$59, 7, FALSE), perc_95, VLOOKUP(W$2, Percentiles!$A$45:$I$59, 8, FALSE), perc_85, perc_75 + (perc_90 - perc_75) * (2/3), converted_stat, '2K_Ratings'!W370, IF(bbgm_stat &gt;= perc_95, converted_stat * 3, IF(bbgm_stat &gt;= perc_90, converted_stat * 2, IF(bbgm_stat &gt;= perc_85, converted_stat * 1.5, converted_stat)))))</f>
        <v/>
      </c>
    </row>
    <row r="371">
      <c r="A371" s="30"/>
      <c r="B371" s="30" t="str">
        <f t="array" ref="B371">IF($A371="", "", LET(bbgm_stat, INDEX(Players!$A370:$P370, MATCH(B$2, Players!$A$1:$P$1, 0)), perc_75, VLOOKUP(B$2, Percentiles!$A$45:$I$59, 6, FALSE), perc_90, VLOOKUP(B$2, Percentiles!$A$45:$I$59, 7, FALSE), perc_95, VLOOKUP(B$2, Percentiles!$A$45:$I$59, 8, FALSE), perc_85, perc_75 + (perc_90 - perc_75) * (2/3), converted_stat, '2K_Ratings'!B371, IF(bbgm_stat &gt;= perc_95, converted_stat * 3, IF(bbgm_stat &gt;= perc_90, converted_stat * 2, IF(bbgm_stat &gt;= perc_85, converted_stat * 1.5, converted_stat)))))</f>
        <v/>
      </c>
      <c r="C371" s="30" t="str">
        <f t="array" ref="C371">IF($A371="", "", LET(bbgm_stat, INDEX(Players!$A370:$P370, MATCH(C$2, Players!$A$1:$P$1, 0)), perc_75, VLOOKUP(C$2, Percentiles!$A$45:$I$59, 6, FALSE), perc_90, VLOOKUP(C$2, Percentiles!$A$45:$I$59, 7, FALSE), perc_95, VLOOKUP(C$2, Percentiles!$A$45:$I$59, 8, FALSE), perc_85, perc_75 + (perc_90 - perc_75) * (2/3), converted_stat, '2K_Ratings'!C371, IF(bbgm_stat &gt;= perc_95, converted_stat * 3, IF(bbgm_stat &gt;= perc_90, converted_stat * 2, IF(bbgm_stat &gt;= perc_85, converted_stat * 1.5, converted_stat)))))</f>
        <v/>
      </c>
      <c r="D371" s="30" t="str">
        <f t="array" ref="D371">IF($A371="", "", LET(bbgm_stat, INDEX(Players!$A370:$P370, MATCH(D$2, Players!$A$1:$P$1, 0)), perc_75, VLOOKUP(D$2, Percentiles!$A$45:$I$59, 6, FALSE), perc_90, VLOOKUP(D$2, Percentiles!$A$45:$I$59, 7, FALSE), perc_95, VLOOKUP(D$2, Percentiles!$A$45:$I$59, 8, FALSE), perc_85, perc_75 + (perc_90 - perc_75) * (2/3), converted_stat, '2K_Ratings'!D371, IF(bbgm_stat &gt;= perc_95, converted_stat * 3, IF(bbgm_stat &gt;= perc_90, converted_stat * 2, IF(bbgm_stat &gt;= perc_85, converted_stat * 1.5, converted_stat)))))</f>
        <v/>
      </c>
      <c r="E371" s="30" t="str">
        <f t="array" ref="E371">IF($A371="", "", LET(bbgm_stat, INDEX(Players!$A370:$P370, MATCH(E$2, Players!$A$1:$P$1, 0)), perc_75, VLOOKUP(E$2, Percentiles!$A$45:$I$59, 6, FALSE), perc_90, VLOOKUP(E$2, Percentiles!$A$45:$I$59, 7, FALSE), perc_95, VLOOKUP(E$2, Percentiles!$A$45:$I$59, 8, FALSE), perc_85, perc_75 + (perc_90 - perc_75) * (2/3), converted_stat, '2K_Ratings'!E371, IF(bbgm_stat &gt;= perc_95, converted_stat * 3, IF(bbgm_stat &gt;= perc_90, converted_stat * 2, IF(bbgm_stat &gt;= perc_85, converted_stat * 1.5, converted_stat)))))</f>
        <v/>
      </c>
      <c r="F371" s="30" t="str">
        <f t="array" ref="F371">IF($A371="", "", LET(bbgm_stat, INDEX(Players!$A370:$P370, MATCH(F$2, Players!$A$1:$P$1, 0)), perc_75, VLOOKUP(F$2, Percentiles!$A$45:$I$59, 6, FALSE), perc_90, VLOOKUP(F$2, Percentiles!$A$45:$I$59, 7, FALSE), perc_95, VLOOKUP(F$2, Percentiles!$A$45:$I$59, 8, FALSE), perc_85, perc_75 + (perc_90 - perc_75) * (2/3), converted_stat, '2K_Ratings'!F371, IF(bbgm_stat &gt;= perc_95, converted_stat * 3, IF(bbgm_stat &gt;= perc_90, converted_stat * 2, IF(bbgm_stat &gt;= perc_85, converted_stat * 1.5, converted_stat)))))</f>
        <v/>
      </c>
      <c r="G371" s="30" t="str">
        <f t="array" ref="G371">IF($A371="", "", LET(bbgm_stat, INDEX(Players!$A370:$P370, MATCH(G$2, Players!$A$1:$P$1, 0)), perc_75, VLOOKUP(G$2, Percentiles!$A$45:$I$59, 6, FALSE), perc_90, VLOOKUP(G$2, Percentiles!$A$45:$I$59, 7, FALSE), perc_95, VLOOKUP(G$2, Percentiles!$A$45:$I$59, 8, FALSE), perc_85, perc_75 + (perc_90 - perc_75) * (2/3), converted_stat, '2K_Ratings'!G371, IF(bbgm_stat &gt;= perc_95, converted_stat * 3, IF(bbgm_stat &gt;= perc_90, converted_stat * 2, IF(bbgm_stat &gt;= perc_85, converted_stat * 1.5, converted_stat)))))</f>
        <v/>
      </c>
      <c r="H371" s="30" t="str">
        <f t="array" ref="H371">IF($A371="", "", LET(bbgm_stat, INDEX(Players!$A370:$P370, MATCH(H$2, Players!$A$1:$P$1, 0)), perc_75, VLOOKUP(H$2, Percentiles!$A$45:$I$59, 6, FALSE), perc_90, VLOOKUP(H$2, Percentiles!$A$45:$I$59, 7, FALSE), perc_95, VLOOKUP(H$2, Percentiles!$A$45:$I$59, 8, FALSE), perc_85, perc_75 + (perc_90 - perc_75) * (2/3), converted_stat, '2K_Ratings'!H371, IF(bbgm_stat &gt;= perc_95, converted_stat * 3, IF(bbgm_stat &gt;= perc_90, converted_stat * 2, IF(bbgm_stat &gt;= perc_85, converted_stat * 1.5, converted_stat)))))</f>
        <v/>
      </c>
      <c r="I371" s="30" t="str">
        <f t="array" ref="I371">IF($A371="", "", LET(bbgm_stat, INDEX(Players!$A370:$P370, MATCH(I$2, Players!$A$1:$P$1, 0)), perc_75, VLOOKUP(I$2, Percentiles!$A$45:$I$59, 6, FALSE), perc_90, VLOOKUP(I$2, Percentiles!$A$45:$I$59, 7, FALSE), perc_95, VLOOKUP(I$2, Percentiles!$A$45:$I$59, 8, FALSE), perc_85, perc_75 + (perc_90 - perc_75) * (2/3), converted_stat, '2K_Ratings'!I371, IF(bbgm_stat &gt;= perc_95, converted_stat * 3, IF(bbgm_stat &gt;= perc_90, converted_stat * 2, IF(bbgm_stat &gt;= perc_85, converted_stat * 1.5, converted_stat)))))</f>
        <v/>
      </c>
      <c r="J371" s="30" t="str">
        <f t="array" ref="J371">IF($A371="", "", LET(bbgm_stat, INDEX(Players!$A370:$P370, MATCH(J$2, Players!$A$1:$P$1, 0)), perc_75, VLOOKUP(J$2, Percentiles!$A$45:$I$59, 6, FALSE), perc_90, VLOOKUP(J$2, Percentiles!$A$45:$I$59, 7, FALSE), perc_95, VLOOKUP(J$2, Percentiles!$A$45:$I$59, 8, FALSE), perc_85, perc_75 + (perc_90 - perc_75) * (2/3), converted_stat, '2K_Ratings'!J371, IF(bbgm_stat &gt;= perc_95, converted_stat * 3, IF(bbgm_stat &gt;= perc_90, converted_stat * 2, IF(bbgm_stat &gt;= perc_85, converted_stat * 1.5, converted_stat)))))</f>
        <v/>
      </c>
      <c r="K371" s="30" t="str">
        <f t="array" ref="K371">IF($A371="", "", LET(bbgm_stat, INDEX(Players!$A370:$P370, MATCH(K$2, Players!$A$1:$P$1, 0)), perc_75, VLOOKUP(K$2, Percentiles!$A$45:$I$59, 6, FALSE), perc_90, VLOOKUP(K$2, Percentiles!$A$45:$I$59, 7, FALSE), perc_95, VLOOKUP(K$2, Percentiles!$A$45:$I$59, 8, FALSE), perc_85, perc_75 + (perc_90 - perc_75) * (2/3), converted_stat, '2K_Ratings'!K371, IF(bbgm_stat &gt;= perc_95, converted_stat * 3, IF(bbgm_stat &gt;= perc_90, converted_stat * 2, IF(bbgm_stat &gt;= perc_85, converted_stat * 1.5, converted_stat)))))</f>
        <v/>
      </c>
      <c r="L371" s="30" t="str">
        <f t="array" ref="L371">IF($A371="", "", LET(bbgm_stat, INDEX(Players!$A370:$P370, MATCH(L$2, Players!$A$1:$P$1, 0)), perc_75, VLOOKUP(L$2, Percentiles!$A$45:$I$59, 6, FALSE), perc_90, VLOOKUP(L$2, Percentiles!$A$45:$I$59, 7, FALSE), perc_95, VLOOKUP(L$2, Percentiles!$A$45:$I$59, 8, FALSE), perc_85, perc_75 + (perc_90 - perc_75) * (2/3), converted_stat, '2K_Ratings'!L371, IF(bbgm_stat &gt;= perc_95, converted_stat * 3, IF(bbgm_stat &gt;= perc_90, converted_stat * 2, IF(bbgm_stat &gt;= perc_85, converted_stat * 1.5, converted_stat)))))</f>
        <v/>
      </c>
      <c r="M371" s="30" t="str">
        <f t="array" ref="M371">IF($A371="", "", LET(bbgm_stat, INDEX(Players!$A370:$P370, MATCH(M$2, Players!$A$1:$P$1, 0)), perc_75, VLOOKUP(M$2, Percentiles!$A$45:$I$59, 6, FALSE), perc_90, VLOOKUP(M$2, Percentiles!$A$45:$I$59, 7, FALSE), perc_95, VLOOKUP(M$2, Percentiles!$A$45:$I$59, 8, FALSE), perc_85, perc_75 + (perc_90 - perc_75) * (2/3), converted_stat, '2K_Ratings'!M371, IF(bbgm_stat &gt;= perc_95, converted_stat * 3, IF(bbgm_stat &gt;= perc_90, converted_stat * 2, IF(bbgm_stat &gt;= perc_85, converted_stat * 1.5, converted_stat)))))</f>
        <v/>
      </c>
      <c r="N371" s="30" t="str">
        <f t="array" ref="N371">IF($A371="", "", LET(bbgm_stat, INDEX(Players!$A370:$P370, MATCH(N$2, Players!$A$1:$P$1, 0)), perc_75, VLOOKUP(N$2, Percentiles!$A$45:$I$59, 6, FALSE), perc_90, VLOOKUP(N$2, Percentiles!$A$45:$I$59, 7, FALSE), perc_95, VLOOKUP(N$2, Percentiles!$A$45:$I$59, 8, FALSE), perc_85, perc_75 + (perc_90 - perc_75) * (2/3), converted_stat, '2K_Ratings'!N371, IF(bbgm_stat &gt;= perc_95, converted_stat * 3, IF(bbgm_stat &gt;= perc_90, converted_stat * 2, IF(bbgm_stat &gt;= perc_85, converted_stat * 1.5, converted_stat)))))</f>
        <v/>
      </c>
      <c r="O371" s="30" t="str">
        <f t="array" ref="O371">IF($A371="", "", LET(bbgm_stat, INDEX(Players!$A370:$P370, MATCH(O$2, Players!$A$1:$P$1, 0)), perc_75, VLOOKUP(O$2, Percentiles!$A$45:$I$59, 6, FALSE), perc_90, VLOOKUP(O$2, Percentiles!$A$45:$I$59, 7, FALSE), perc_95, VLOOKUP(O$2, Percentiles!$A$45:$I$59, 8, FALSE), perc_85, perc_75 + (perc_90 - perc_75) * (2/3), converted_stat, '2K_Ratings'!O371, IF(bbgm_stat &gt;= perc_95, converted_stat * 3, IF(bbgm_stat &gt;= perc_90, converted_stat * 2, IF(bbgm_stat &gt;= perc_85, converted_stat * 1.5, converted_stat)))))</f>
        <v/>
      </c>
      <c r="P371" s="30" t="str">
        <f t="array" ref="P371">IF($A371="", "", LET(bbgm_stat, INDEX(Players!$A370:$P370, MATCH(P$2, Players!$A$1:$P$1, 0)), perc_75, VLOOKUP(P$2, Percentiles!$A$45:$I$59, 6, FALSE), perc_90, VLOOKUP(P$2, Percentiles!$A$45:$I$59, 7, FALSE), perc_95, VLOOKUP(P$2, Percentiles!$A$45:$I$59, 8, FALSE), perc_85, perc_75 + (perc_90 - perc_75) * (2/3), converted_stat, '2K_Ratings'!P371, IF(bbgm_stat &gt;= perc_95, converted_stat * 3, IF(bbgm_stat &gt;= perc_90, converted_stat * 2, IF(bbgm_stat &gt;= perc_85, converted_stat * 1.5, converted_stat)))))</f>
        <v/>
      </c>
      <c r="Q371" s="30" t="str">
        <f t="array" ref="Q371">IF($A371="", "", LET(bbgm_stat, INDEX(Players!$A370:$P370, MATCH(Q$2, Players!$A$1:$P$1, 0)), perc_75, VLOOKUP(Q$2, Percentiles!$A$45:$I$59, 6, FALSE), perc_90, VLOOKUP(Q$2, Percentiles!$A$45:$I$59, 7, FALSE), perc_95, VLOOKUP(Q$2, Percentiles!$A$45:$I$59, 8, FALSE), perc_85, perc_75 + (perc_90 - perc_75) * (2/3), converted_stat, '2K_Ratings'!Q371, IF(bbgm_stat &gt;= perc_95, converted_stat * 3, IF(bbgm_stat &gt;= perc_90, converted_stat * 2, IF(bbgm_stat &gt;= perc_85, converted_stat * 1.5, converted_stat)))))</f>
        <v/>
      </c>
      <c r="R371" s="30" t="str">
        <f t="array" ref="R371">IF($A371="", "", LET(bbgm_stat, INDEX(Players!$A370:$P370, MATCH(R$2, Players!$A$1:$P$1, 0)), perc_75, VLOOKUP(R$2, Percentiles!$A$45:$I$59, 6, FALSE), perc_90, VLOOKUP(R$2, Percentiles!$A$45:$I$59, 7, FALSE), perc_95, VLOOKUP(R$2, Percentiles!$A$45:$I$59, 8, FALSE), perc_85, perc_75 + (perc_90 - perc_75) * (2/3), converted_stat, '2K_Ratings'!R371, IF(bbgm_stat &gt;= perc_95, converted_stat * 3, IF(bbgm_stat &gt;= perc_90, converted_stat * 2, IF(bbgm_stat &gt;= perc_85, converted_stat * 1.5, converted_stat)))))</f>
        <v/>
      </c>
      <c r="S371" s="30" t="str">
        <f t="array" ref="S371">IF($A371="", "", LET(bbgm_stat, INDEX(Players!$A370:$P370, MATCH(S$2, Players!$A$1:$P$1, 0)), perc_75, VLOOKUP(S$2, Percentiles!$A$45:$I$59, 6, FALSE), perc_90, VLOOKUP(S$2, Percentiles!$A$45:$I$59, 7, FALSE), perc_95, VLOOKUP(S$2, Percentiles!$A$45:$I$59, 8, FALSE), perc_85, perc_75 + (perc_90 - perc_75) * (2/3), converted_stat, '2K_Ratings'!S371, IF(bbgm_stat &gt;= perc_95, converted_stat * 3, IF(bbgm_stat &gt;= perc_90, converted_stat * 2, IF(bbgm_stat &gt;= perc_85, converted_stat * 1.5, converted_stat)))))</f>
        <v/>
      </c>
      <c r="T371" s="30" t="str">
        <f t="array" ref="T371">IF($A371="", "", LET(bbgm_stat, INDEX(Players!$A370:$P370, MATCH(T$2, Players!$A$1:$P$1, 0)), perc_75, VLOOKUP(T$2, Percentiles!$A$45:$I$59, 6, FALSE), perc_90, VLOOKUP(T$2, Percentiles!$A$45:$I$59, 7, FALSE), perc_95, VLOOKUP(T$2, Percentiles!$A$45:$I$59, 8, FALSE), perc_85, perc_75 + (perc_90 - perc_75) * (2/3), converted_stat, '2K_Ratings'!T371, IF(bbgm_stat &gt;= perc_95, converted_stat * 3, IF(bbgm_stat &gt;= perc_90, converted_stat * 2, IF(bbgm_stat &gt;= perc_85, converted_stat * 1.5, converted_stat)))))</f>
        <v/>
      </c>
      <c r="U371" s="30" t="str">
        <f t="array" ref="U371">IF($A371="", "", LET(bbgm_stat, INDEX(Players!$A370:$P370, MATCH(U$2, Players!$A$1:$P$1, 0)), perc_75, VLOOKUP(U$2, Percentiles!$A$45:$I$59, 6, FALSE), perc_90, VLOOKUP(U$2, Percentiles!$A$45:$I$59, 7, FALSE), perc_95, VLOOKUP(U$2, Percentiles!$A$45:$I$59, 8, FALSE), perc_85, perc_75 + (perc_90 - perc_75) * (2/3), converted_stat, '2K_Ratings'!U371, IF(bbgm_stat &gt;= perc_95, converted_stat * 3, IF(bbgm_stat &gt;= perc_90, converted_stat * 2, IF(bbgm_stat &gt;= perc_85, converted_stat * 1.5, converted_stat)))))</f>
        <v/>
      </c>
      <c r="V371" s="30" t="str">
        <f t="array" ref="V371">IF($A371="", "", LET(bbgm_stat, INDEX(Players!$A370:$P370, MATCH(V$2, Players!$A$1:$P$1, 0)), perc_75, VLOOKUP(V$2, Percentiles!$A$45:$I$59, 6, FALSE), perc_90, VLOOKUP(V$2, Percentiles!$A$45:$I$59, 7, FALSE), perc_95, VLOOKUP(V$2, Percentiles!$A$45:$I$59, 8, FALSE), perc_85, perc_75 + (perc_90 - perc_75) * (2/3), converted_stat, '2K_Ratings'!V371, IF(bbgm_stat &gt;= perc_95, converted_stat * 3, IF(bbgm_stat &gt;= perc_90, converted_stat * 2, IF(bbgm_stat &gt;= perc_85, converted_stat * 1.5, converted_stat)))))</f>
        <v/>
      </c>
      <c r="W371" s="30" t="str">
        <f t="array" ref="W371">IF($A371="", "", LET(bbgm_stat, INDEX(Players!$A370:$P370, MATCH(W$2, Players!$A$1:$P$1, 0)), perc_75, VLOOKUP(W$2, Percentiles!$A$45:$I$59, 6, FALSE), perc_90, VLOOKUP(W$2, Percentiles!$A$45:$I$59, 7, FALSE), perc_95, VLOOKUP(W$2, Percentiles!$A$45:$I$59, 8, FALSE), perc_85, perc_75 + (perc_90 - perc_75) * (2/3), converted_stat, '2K_Ratings'!W371, IF(bbgm_stat &gt;= perc_95, converted_stat * 3, IF(bbgm_stat &gt;= perc_90, converted_stat * 2, IF(bbgm_stat &gt;= perc_85, converted_stat * 1.5, converted_stat)))))</f>
        <v/>
      </c>
    </row>
    <row r="372">
      <c r="A372" s="30"/>
      <c r="B372" s="30" t="str">
        <f t="array" ref="B372">IF($A372="", "", LET(bbgm_stat, INDEX(Players!$A371:$P371, MATCH(B$2, Players!$A$1:$P$1, 0)), perc_75, VLOOKUP(B$2, Percentiles!$A$45:$I$59, 6, FALSE), perc_90, VLOOKUP(B$2, Percentiles!$A$45:$I$59, 7, FALSE), perc_95, VLOOKUP(B$2, Percentiles!$A$45:$I$59, 8, FALSE), perc_85, perc_75 + (perc_90 - perc_75) * (2/3), converted_stat, '2K_Ratings'!B372, IF(bbgm_stat &gt;= perc_95, converted_stat * 3, IF(bbgm_stat &gt;= perc_90, converted_stat * 2, IF(bbgm_stat &gt;= perc_85, converted_stat * 1.5, converted_stat)))))</f>
        <v/>
      </c>
      <c r="C372" s="30" t="str">
        <f t="array" ref="C372">IF($A372="", "", LET(bbgm_stat, INDEX(Players!$A371:$P371, MATCH(C$2, Players!$A$1:$P$1, 0)), perc_75, VLOOKUP(C$2, Percentiles!$A$45:$I$59, 6, FALSE), perc_90, VLOOKUP(C$2, Percentiles!$A$45:$I$59, 7, FALSE), perc_95, VLOOKUP(C$2, Percentiles!$A$45:$I$59, 8, FALSE), perc_85, perc_75 + (perc_90 - perc_75) * (2/3), converted_stat, '2K_Ratings'!C372, IF(bbgm_stat &gt;= perc_95, converted_stat * 3, IF(bbgm_stat &gt;= perc_90, converted_stat * 2, IF(bbgm_stat &gt;= perc_85, converted_stat * 1.5, converted_stat)))))</f>
        <v/>
      </c>
      <c r="D372" s="30" t="str">
        <f t="array" ref="D372">IF($A372="", "", LET(bbgm_stat, INDEX(Players!$A371:$P371, MATCH(D$2, Players!$A$1:$P$1, 0)), perc_75, VLOOKUP(D$2, Percentiles!$A$45:$I$59, 6, FALSE), perc_90, VLOOKUP(D$2, Percentiles!$A$45:$I$59, 7, FALSE), perc_95, VLOOKUP(D$2, Percentiles!$A$45:$I$59, 8, FALSE), perc_85, perc_75 + (perc_90 - perc_75) * (2/3), converted_stat, '2K_Ratings'!D372, IF(bbgm_stat &gt;= perc_95, converted_stat * 3, IF(bbgm_stat &gt;= perc_90, converted_stat * 2, IF(bbgm_stat &gt;= perc_85, converted_stat * 1.5, converted_stat)))))</f>
        <v/>
      </c>
      <c r="E372" s="30" t="str">
        <f t="array" ref="E372">IF($A372="", "", LET(bbgm_stat, INDEX(Players!$A371:$P371, MATCH(E$2, Players!$A$1:$P$1, 0)), perc_75, VLOOKUP(E$2, Percentiles!$A$45:$I$59, 6, FALSE), perc_90, VLOOKUP(E$2, Percentiles!$A$45:$I$59, 7, FALSE), perc_95, VLOOKUP(E$2, Percentiles!$A$45:$I$59, 8, FALSE), perc_85, perc_75 + (perc_90 - perc_75) * (2/3), converted_stat, '2K_Ratings'!E372, IF(bbgm_stat &gt;= perc_95, converted_stat * 3, IF(bbgm_stat &gt;= perc_90, converted_stat * 2, IF(bbgm_stat &gt;= perc_85, converted_stat * 1.5, converted_stat)))))</f>
        <v/>
      </c>
      <c r="F372" s="30" t="str">
        <f t="array" ref="F372">IF($A372="", "", LET(bbgm_stat, INDEX(Players!$A371:$P371, MATCH(F$2, Players!$A$1:$P$1, 0)), perc_75, VLOOKUP(F$2, Percentiles!$A$45:$I$59, 6, FALSE), perc_90, VLOOKUP(F$2, Percentiles!$A$45:$I$59, 7, FALSE), perc_95, VLOOKUP(F$2, Percentiles!$A$45:$I$59, 8, FALSE), perc_85, perc_75 + (perc_90 - perc_75) * (2/3), converted_stat, '2K_Ratings'!F372, IF(bbgm_stat &gt;= perc_95, converted_stat * 3, IF(bbgm_stat &gt;= perc_90, converted_stat * 2, IF(bbgm_stat &gt;= perc_85, converted_stat * 1.5, converted_stat)))))</f>
        <v/>
      </c>
      <c r="G372" s="30" t="str">
        <f t="array" ref="G372">IF($A372="", "", LET(bbgm_stat, INDEX(Players!$A371:$P371, MATCH(G$2, Players!$A$1:$P$1, 0)), perc_75, VLOOKUP(G$2, Percentiles!$A$45:$I$59, 6, FALSE), perc_90, VLOOKUP(G$2, Percentiles!$A$45:$I$59, 7, FALSE), perc_95, VLOOKUP(G$2, Percentiles!$A$45:$I$59, 8, FALSE), perc_85, perc_75 + (perc_90 - perc_75) * (2/3), converted_stat, '2K_Ratings'!G372, IF(bbgm_stat &gt;= perc_95, converted_stat * 3, IF(bbgm_stat &gt;= perc_90, converted_stat * 2, IF(bbgm_stat &gt;= perc_85, converted_stat * 1.5, converted_stat)))))</f>
        <v/>
      </c>
      <c r="H372" s="30" t="str">
        <f t="array" ref="H372">IF($A372="", "", LET(bbgm_stat, INDEX(Players!$A371:$P371, MATCH(H$2, Players!$A$1:$P$1, 0)), perc_75, VLOOKUP(H$2, Percentiles!$A$45:$I$59, 6, FALSE), perc_90, VLOOKUP(H$2, Percentiles!$A$45:$I$59, 7, FALSE), perc_95, VLOOKUP(H$2, Percentiles!$A$45:$I$59, 8, FALSE), perc_85, perc_75 + (perc_90 - perc_75) * (2/3), converted_stat, '2K_Ratings'!H372, IF(bbgm_stat &gt;= perc_95, converted_stat * 3, IF(bbgm_stat &gt;= perc_90, converted_stat * 2, IF(bbgm_stat &gt;= perc_85, converted_stat * 1.5, converted_stat)))))</f>
        <v/>
      </c>
      <c r="I372" s="30" t="str">
        <f t="array" ref="I372">IF($A372="", "", LET(bbgm_stat, INDEX(Players!$A371:$P371, MATCH(I$2, Players!$A$1:$P$1, 0)), perc_75, VLOOKUP(I$2, Percentiles!$A$45:$I$59, 6, FALSE), perc_90, VLOOKUP(I$2, Percentiles!$A$45:$I$59, 7, FALSE), perc_95, VLOOKUP(I$2, Percentiles!$A$45:$I$59, 8, FALSE), perc_85, perc_75 + (perc_90 - perc_75) * (2/3), converted_stat, '2K_Ratings'!I372, IF(bbgm_stat &gt;= perc_95, converted_stat * 3, IF(bbgm_stat &gt;= perc_90, converted_stat * 2, IF(bbgm_stat &gt;= perc_85, converted_stat * 1.5, converted_stat)))))</f>
        <v/>
      </c>
      <c r="J372" s="30" t="str">
        <f t="array" ref="J372">IF($A372="", "", LET(bbgm_stat, INDEX(Players!$A371:$P371, MATCH(J$2, Players!$A$1:$P$1, 0)), perc_75, VLOOKUP(J$2, Percentiles!$A$45:$I$59, 6, FALSE), perc_90, VLOOKUP(J$2, Percentiles!$A$45:$I$59, 7, FALSE), perc_95, VLOOKUP(J$2, Percentiles!$A$45:$I$59, 8, FALSE), perc_85, perc_75 + (perc_90 - perc_75) * (2/3), converted_stat, '2K_Ratings'!J372, IF(bbgm_stat &gt;= perc_95, converted_stat * 3, IF(bbgm_stat &gt;= perc_90, converted_stat * 2, IF(bbgm_stat &gt;= perc_85, converted_stat * 1.5, converted_stat)))))</f>
        <v/>
      </c>
      <c r="K372" s="30" t="str">
        <f t="array" ref="K372">IF($A372="", "", LET(bbgm_stat, INDEX(Players!$A371:$P371, MATCH(K$2, Players!$A$1:$P$1, 0)), perc_75, VLOOKUP(K$2, Percentiles!$A$45:$I$59, 6, FALSE), perc_90, VLOOKUP(K$2, Percentiles!$A$45:$I$59, 7, FALSE), perc_95, VLOOKUP(K$2, Percentiles!$A$45:$I$59, 8, FALSE), perc_85, perc_75 + (perc_90 - perc_75) * (2/3), converted_stat, '2K_Ratings'!K372, IF(bbgm_stat &gt;= perc_95, converted_stat * 3, IF(bbgm_stat &gt;= perc_90, converted_stat * 2, IF(bbgm_stat &gt;= perc_85, converted_stat * 1.5, converted_stat)))))</f>
        <v/>
      </c>
      <c r="L372" s="30" t="str">
        <f t="array" ref="L372">IF($A372="", "", LET(bbgm_stat, INDEX(Players!$A371:$P371, MATCH(L$2, Players!$A$1:$P$1, 0)), perc_75, VLOOKUP(L$2, Percentiles!$A$45:$I$59, 6, FALSE), perc_90, VLOOKUP(L$2, Percentiles!$A$45:$I$59, 7, FALSE), perc_95, VLOOKUP(L$2, Percentiles!$A$45:$I$59, 8, FALSE), perc_85, perc_75 + (perc_90 - perc_75) * (2/3), converted_stat, '2K_Ratings'!L372, IF(bbgm_stat &gt;= perc_95, converted_stat * 3, IF(bbgm_stat &gt;= perc_90, converted_stat * 2, IF(bbgm_stat &gt;= perc_85, converted_stat * 1.5, converted_stat)))))</f>
        <v/>
      </c>
      <c r="M372" s="30" t="str">
        <f t="array" ref="M372">IF($A372="", "", LET(bbgm_stat, INDEX(Players!$A371:$P371, MATCH(M$2, Players!$A$1:$P$1, 0)), perc_75, VLOOKUP(M$2, Percentiles!$A$45:$I$59, 6, FALSE), perc_90, VLOOKUP(M$2, Percentiles!$A$45:$I$59, 7, FALSE), perc_95, VLOOKUP(M$2, Percentiles!$A$45:$I$59, 8, FALSE), perc_85, perc_75 + (perc_90 - perc_75) * (2/3), converted_stat, '2K_Ratings'!M372, IF(bbgm_stat &gt;= perc_95, converted_stat * 3, IF(bbgm_stat &gt;= perc_90, converted_stat * 2, IF(bbgm_stat &gt;= perc_85, converted_stat * 1.5, converted_stat)))))</f>
        <v/>
      </c>
      <c r="N372" s="30" t="str">
        <f t="array" ref="N372">IF($A372="", "", LET(bbgm_stat, INDEX(Players!$A371:$P371, MATCH(N$2, Players!$A$1:$P$1, 0)), perc_75, VLOOKUP(N$2, Percentiles!$A$45:$I$59, 6, FALSE), perc_90, VLOOKUP(N$2, Percentiles!$A$45:$I$59, 7, FALSE), perc_95, VLOOKUP(N$2, Percentiles!$A$45:$I$59, 8, FALSE), perc_85, perc_75 + (perc_90 - perc_75) * (2/3), converted_stat, '2K_Ratings'!N372, IF(bbgm_stat &gt;= perc_95, converted_stat * 3, IF(bbgm_stat &gt;= perc_90, converted_stat * 2, IF(bbgm_stat &gt;= perc_85, converted_stat * 1.5, converted_stat)))))</f>
        <v/>
      </c>
      <c r="O372" s="30" t="str">
        <f t="array" ref="O372">IF($A372="", "", LET(bbgm_stat, INDEX(Players!$A371:$P371, MATCH(O$2, Players!$A$1:$P$1, 0)), perc_75, VLOOKUP(O$2, Percentiles!$A$45:$I$59, 6, FALSE), perc_90, VLOOKUP(O$2, Percentiles!$A$45:$I$59, 7, FALSE), perc_95, VLOOKUP(O$2, Percentiles!$A$45:$I$59, 8, FALSE), perc_85, perc_75 + (perc_90 - perc_75) * (2/3), converted_stat, '2K_Ratings'!O372, IF(bbgm_stat &gt;= perc_95, converted_stat * 3, IF(bbgm_stat &gt;= perc_90, converted_stat * 2, IF(bbgm_stat &gt;= perc_85, converted_stat * 1.5, converted_stat)))))</f>
        <v/>
      </c>
      <c r="P372" s="30" t="str">
        <f t="array" ref="P372">IF($A372="", "", LET(bbgm_stat, INDEX(Players!$A371:$P371, MATCH(P$2, Players!$A$1:$P$1, 0)), perc_75, VLOOKUP(P$2, Percentiles!$A$45:$I$59, 6, FALSE), perc_90, VLOOKUP(P$2, Percentiles!$A$45:$I$59, 7, FALSE), perc_95, VLOOKUP(P$2, Percentiles!$A$45:$I$59, 8, FALSE), perc_85, perc_75 + (perc_90 - perc_75) * (2/3), converted_stat, '2K_Ratings'!P372, IF(bbgm_stat &gt;= perc_95, converted_stat * 3, IF(bbgm_stat &gt;= perc_90, converted_stat * 2, IF(bbgm_stat &gt;= perc_85, converted_stat * 1.5, converted_stat)))))</f>
        <v/>
      </c>
      <c r="Q372" s="30" t="str">
        <f t="array" ref="Q372">IF($A372="", "", LET(bbgm_stat, INDEX(Players!$A371:$P371, MATCH(Q$2, Players!$A$1:$P$1, 0)), perc_75, VLOOKUP(Q$2, Percentiles!$A$45:$I$59, 6, FALSE), perc_90, VLOOKUP(Q$2, Percentiles!$A$45:$I$59, 7, FALSE), perc_95, VLOOKUP(Q$2, Percentiles!$A$45:$I$59, 8, FALSE), perc_85, perc_75 + (perc_90 - perc_75) * (2/3), converted_stat, '2K_Ratings'!Q372, IF(bbgm_stat &gt;= perc_95, converted_stat * 3, IF(bbgm_stat &gt;= perc_90, converted_stat * 2, IF(bbgm_stat &gt;= perc_85, converted_stat * 1.5, converted_stat)))))</f>
        <v/>
      </c>
      <c r="R372" s="30" t="str">
        <f t="array" ref="R372">IF($A372="", "", LET(bbgm_stat, INDEX(Players!$A371:$P371, MATCH(R$2, Players!$A$1:$P$1, 0)), perc_75, VLOOKUP(R$2, Percentiles!$A$45:$I$59, 6, FALSE), perc_90, VLOOKUP(R$2, Percentiles!$A$45:$I$59, 7, FALSE), perc_95, VLOOKUP(R$2, Percentiles!$A$45:$I$59, 8, FALSE), perc_85, perc_75 + (perc_90 - perc_75) * (2/3), converted_stat, '2K_Ratings'!R372, IF(bbgm_stat &gt;= perc_95, converted_stat * 3, IF(bbgm_stat &gt;= perc_90, converted_stat * 2, IF(bbgm_stat &gt;= perc_85, converted_stat * 1.5, converted_stat)))))</f>
        <v/>
      </c>
      <c r="S372" s="30" t="str">
        <f t="array" ref="S372">IF($A372="", "", LET(bbgm_stat, INDEX(Players!$A371:$P371, MATCH(S$2, Players!$A$1:$P$1, 0)), perc_75, VLOOKUP(S$2, Percentiles!$A$45:$I$59, 6, FALSE), perc_90, VLOOKUP(S$2, Percentiles!$A$45:$I$59, 7, FALSE), perc_95, VLOOKUP(S$2, Percentiles!$A$45:$I$59, 8, FALSE), perc_85, perc_75 + (perc_90 - perc_75) * (2/3), converted_stat, '2K_Ratings'!S372, IF(bbgm_stat &gt;= perc_95, converted_stat * 3, IF(bbgm_stat &gt;= perc_90, converted_stat * 2, IF(bbgm_stat &gt;= perc_85, converted_stat * 1.5, converted_stat)))))</f>
        <v/>
      </c>
      <c r="T372" s="30" t="str">
        <f t="array" ref="T372">IF($A372="", "", LET(bbgm_stat, INDEX(Players!$A371:$P371, MATCH(T$2, Players!$A$1:$P$1, 0)), perc_75, VLOOKUP(T$2, Percentiles!$A$45:$I$59, 6, FALSE), perc_90, VLOOKUP(T$2, Percentiles!$A$45:$I$59, 7, FALSE), perc_95, VLOOKUP(T$2, Percentiles!$A$45:$I$59, 8, FALSE), perc_85, perc_75 + (perc_90 - perc_75) * (2/3), converted_stat, '2K_Ratings'!T372, IF(bbgm_stat &gt;= perc_95, converted_stat * 3, IF(bbgm_stat &gt;= perc_90, converted_stat * 2, IF(bbgm_stat &gt;= perc_85, converted_stat * 1.5, converted_stat)))))</f>
        <v/>
      </c>
      <c r="U372" s="30" t="str">
        <f t="array" ref="U372">IF($A372="", "", LET(bbgm_stat, INDEX(Players!$A371:$P371, MATCH(U$2, Players!$A$1:$P$1, 0)), perc_75, VLOOKUP(U$2, Percentiles!$A$45:$I$59, 6, FALSE), perc_90, VLOOKUP(U$2, Percentiles!$A$45:$I$59, 7, FALSE), perc_95, VLOOKUP(U$2, Percentiles!$A$45:$I$59, 8, FALSE), perc_85, perc_75 + (perc_90 - perc_75) * (2/3), converted_stat, '2K_Ratings'!U372, IF(bbgm_stat &gt;= perc_95, converted_stat * 3, IF(bbgm_stat &gt;= perc_90, converted_stat * 2, IF(bbgm_stat &gt;= perc_85, converted_stat * 1.5, converted_stat)))))</f>
        <v/>
      </c>
      <c r="V372" s="30" t="str">
        <f t="array" ref="V372">IF($A372="", "", LET(bbgm_stat, INDEX(Players!$A371:$P371, MATCH(V$2, Players!$A$1:$P$1, 0)), perc_75, VLOOKUP(V$2, Percentiles!$A$45:$I$59, 6, FALSE), perc_90, VLOOKUP(V$2, Percentiles!$A$45:$I$59, 7, FALSE), perc_95, VLOOKUP(V$2, Percentiles!$A$45:$I$59, 8, FALSE), perc_85, perc_75 + (perc_90 - perc_75) * (2/3), converted_stat, '2K_Ratings'!V372, IF(bbgm_stat &gt;= perc_95, converted_stat * 3, IF(bbgm_stat &gt;= perc_90, converted_stat * 2, IF(bbgm_stat &gt;= perc_85, converted_stat * 1.5, converted_stat)))))</f>
        <v/>
      </c>
      <c r="W372" s="30" t="str">
        <f t="array" ref="W372">IF($A372="", "", LET(bbgm_stat, INDEX(Players!$A371:$P371, MATCH(W$2, Players!$A$1:$P$1, 0)), perc_75, VLOOKUP(W$2, Percentiles!$A$45:$I$59, 6, FALSE), perc_90, VLOOKUP(W$2, Percentiles!$A$45:$I$59, 7, FALSE), perc_95, VLOOKUP(W$2, Percentiles!$A$45:$I$59, 8, FALSE), perc_85, perc_75 + (perc_90 - perc_75) * (2/3), converted_stat, '2K_Ratings'!W372, IF(bbgm_stat &gt;= perc_95, converted_stat * 3, IF(bbgm_stat &gt;= perc_90, converted_stat * 2, IF(bbgm_stat &gt;= perc_85, converted_stat * 1.5, converted_stat)))))</f>
        <v/>
      </c>
    </row>
    <row r="373">
      <c r="A373" s="30"/>
      <c r="B373" s="30" t="str">
        <f t="array" ref="B373">IF($A373="", "", LET(bbgm_stat, INDEX(Players!$A372:$P372, MATCH(B$2, Players!$A$1:$P$1, 0)), perc_75, VLOOKUP(B$2, Percentiles!$A$45:$I$59, 6, FALSE), perc_90, VLOOKUP(B$2, Percentiles!$A$45:$I$59, 7, FALSE), perc_95, VLOOKUP(B$2, Percentiles!$A$45:$I$59, 8, FALSE), perc_85, perc_75 + (perc_90 - perc_75) * (2/3), converted_stat, '2K_Ratings'!B373, IF(bbgm_stat &gt;= perc_95, converted_stat * 3, IF(bbgm_stat &gt;= perc_90, converted_stat * 2, IF(bbgm_stat &gt;= perc_85, converted_stat * 1.5, converted_stat)))))</f>
        <v/>
      </c>
      <c r="C373" s="30" t="str">
        <f t="array" ref="C373">IF($A373="", "", LET(bbgm_stat, INDEX(Players!$A372:$P372, MATCH(C$2, Players!$A$1:$P$1, 0)), perc_75, VLOOKUP(C$2, Percentiles!$A$45:$I$59, 6, FALSE), perc_90, VLOOKUP(C$2, Percentiles!$A$45:$I$59, 7, FALSE), perc_95, VLOOKUP(C$2, Percentiles!$A$45:$I$59, 8, FALSE), perc_85, perc_75 + (perc_90 - perc_75) * (2/3), converted_stat, '2K_Ratings'!C373, IF(bbgm_stat &gt;= perc_95, converted_stat * 3, IF(bbgm_stat &gt;= perc_90, converted_stat * 2, IF(bbgm_stat &gt;= perc_85, converted_stat * 1.5, converted_stat)))))</f>
        <v/>
      </c>
      <c r="D373" s="30" t="str">
        <f t="array" ref="D373">IF($A373="", "", LET(bbgm_stat, INDEX(Players!$A372:$P372, MATCH(D$2, Players!$A$1:$P$1, 0)), perc_75, VLOOKUP(D$2, Percentiles!$A$45:$I$59, 6, FALSE), perc_90, VLOOKUP(D$2, Percentiles!$A$45:$I$59, 7, FALSE), perc_95, VLOOKUP(D$2, Percentiles!$A$45:$I$59, 8, FALSE), perc_85, perc_75 + (perc_90 - perc_75) * (2/3), converted_stat, '2K_Ratings'!D373, IF(bbgm_stat &gt;= perc_95, converted_stat * 3, IF(bbgm_stat &gt;= perc_90, converted_stat * 2, IF(bbgm_stat &gt;= perc_85, converted_stat * 1.5, converted_stat)))))</f>
        <v/>
      </c>
      <c r="E373" s="30" t="str">
        <f t="array" ref="E373">IF($A373="", "", LET(bbgm_stat, INDEX(Players!$A372:$P372, MATCH(E$2, Players!$A$1:$P$1, 0)), perc_75, VLOOKUP(E$2, Percentiles!$A$45:$I$59, 6, FALSE), perc_90, VLOOKUP(E$2, Percentiles!$A$45:$I$59, 7, FALSE), perc_95, VLOOKUP(E$2, Percentiles!$A$45:$I$59, 8, FALSE), perc_85, perc_75 + (perc_90 - perc_75) * (2/3), converted_stat, '2K_Ratings'!E373, IF(bbgm_stat &gt;= perc_95, converted_stat * 3, IF(bbgm_stat &gt;= perc_90, converted_stat * 2, IF(bbgm_stat &gt;= perc_85, converted_stat * 1.5, converted_stat)))))</f>
        <v/>
      </c>
      <c r="F373" s="30" t="str">
        <f t="array" ref="F373">IF($A373="", "", LET(bbgm_stat, INDEX(Players!$A372:$P372, MATCH(F$2, Players!$A$1:$P$1, 0)), perc_75, VLOOKUP(F$2, Percentiles!$A$45:$I$59, 6, FALSE), perc_90, VLOOKUP(F$2, Percentiles!$A$45:$I$59, 7, FALSE), perc_95, VLOOKUP(F$2, Percentiles!$A$45:$I$59, 8, FALSE), perc_85, perc_75 + (perc_90 - perc_75) * (2/3), converted_stat, '2K_Ratings'!F373, IF(bbgm_stat &gt;= perc_95, converted_stat * 3, IF(bbgm_stat &gt;= perc_90, converted_stat * 2, IF(bbgm_stat &gt;= perc_85, converted_stat * 1.5, converted_stat)))))</f>
        <v/>
      </c>
      <c r="G373" s="30" t="str">
        <f t="array" ref="G373">IF($A373="", "", LET(bbgm_stat, INDEX(Players!$A372:$P372, MATCH(G$2, Players!$A$1:$P$1, 0)), perc_75, VLOOKUP(G$2, Percentiles!$A$45:$I$59, 6, FALSE), perc_90, VLOOKUP(G$2, Percentiles!$A$45:$I$59, 7, FALSE), perc_95, VLOOKUP(G$2, Percentiles!$A$45:$I$59, 8, FALSE), perc_85, perc_75 + (perc_90 - perc_75) * (2/3), converted_stat, '2K_Ratings'!G373, IF(bbgm_stat &gt;= perc_95, converted_stat * 3, IF(bbgm_stat &gt;= perc_90, converted_stat * 2, IF(bbgm_stat &gt;= perc_85, converted_stat * 1.5, converted_stat)))))</f>
        <v/>
      </c>
      <c r="H373" s="30" t="str">
        <f t="array" ref="H373">IF($A373="", "", LET(bbgm_stat, INDEX(Players!$A372:$P372, MATCH(H$2, Players!$A$1:$P$1, 0)), perc_75, VLOOKUP(H$2, Percentiles!$A$45:$I$59, 6, FALSE), perc_90, VLOOKUP(H$2, Percentiles!$A$45:$I$59, 7, FALSE), perc_95, VLOOKUP(H$2, Percentiles!$A$45:$I$59, 8, FALSE), perc_85, perc_75 + (perc_90 - perc_75) * (2/3), converted_stat, '2K_Ratings'!H373, IF(bbgm_stat &gt;= perc_95, converted_stat * 3, IF(bbgm_stat &gt;= perc_90, converted_stat * 2, IF(bbgm_stat &gt;= perc_85, converted_stat * 1.5, converted_stat)))))</f>
        <v/>
      </c>
      <c r="I373" s="30" t="str">
        <f t="array" ref="I373">IF($A373="", "", LET(bbgm_stat, INDEX(Players!$A372:$P372, MATCH(I$2, Players!$A$1:$P$1, 0)), perc_75, VLOOKUP(I$2, Percentiles!$A$45:$I$59, 6, FALSE), perc_90, VLOOKUP(I$2, Percentiles!$A$45:$I$59, 7, FALSE), perc_95, VLOOKUP(I$2, Percentiles!$A$45:$I$59, 8, FALSE), perc_85, perc_75 + (perc_90 - perc_75) * (2/3), converted_stat, '2K_Ratings'!I373, IF(bbgm_stat &gt;= perc_95, converted_stat * 3, IF(bbgm_stat &gt;= perc_90, converted_stat * 2, IF(bbgm_stat &gt;= perc_85, converted_stat * 1.5, converted_stat)))))</f>
        <v/>
      </c>
      <c r="J373" s="30" t="str">
        <f t="array" ref="J373">IF($A373="", "", LET(bbgm_stat, INDEX(Players!$A372:$P372, MATCH(J$2, Players!$A$1:$P$1, 0)), perc_75, VLOOKUP(J$2, Percentiles!$A$45:$I$59, 6, FALSE), perc_90, VLOOKUP(J$2, Percentiles!$A$45:$I$59, 7, FALSE), perc_95, VLOOKUP(J$2, Percentiles!$A$45:$I$59, 8, FALSE), perc_85, perc_75 + (perc_90 - perc_75) * (2/3), converted_stat, '2K_Ratings'!J373, IF(bbgm_stat &gt;= perc_95, converted_stat * 3, IF(bbgm_stat &gt;= perc_90, converted_stat * 2, IF(bbgm_stat &gt;= perc_85, converted_stat * 1.5, converted_stat)))))</f>
        <v/>
      </c>
      <c r="K373" s="30" t="str">
        <f t="array" ref="K373">IF($A373="", "", LET(bbgm_stat, INDEX(Players!$A372:$P372, MATCH(K$2, Players!$A$1:$P$1, 0)), perc_75, VLOOKUP(K$2, Percentiles!$A$45:$I$59, 6, FALSE), perc_90, VLOOKUP(K$2, Percentiles!$A$45:$I$59, 7, FALSE), perc_95, VLOOKUP(K$2, Percentiles!$A$45:$I$59, 8, FALSE), perc_85, perc_75 + (perc_90 - perc_75) * (2/3), converted_stat, '2K_Ratings'!K373, IF(bbgm_stat &gt;= perc_95, converted_stat * 3, IF(bbgm_stat &gt;= perc_90, converted_stat * 2, IF(bbgm_stat &gt;= perc_85, converted_stat * 1.5, converted_stat)))))</f>
        <v/>
      </c>
      <c r="L373" s="30" t="str">
        <f t="array" ref="L373">IF($A373="", "", LET(bbgm_stat, INDEX(Players!$A372:$P372, MATCH(L$2, Players!$A$1:$P$1, 0)), perc_75, VLOOKUP(L$2, Percentiles!$A$45:$I$59, 6, FALSE), perc_90, VLOOKUP(L$2, Percentiles!$A$45:$I$59, 7, FALSE), perc_95, VLOOKUP(L$2, Percentiles!$A$45:$I$59, 8, FALSE), perc_85, perc_75 + (perc_90 - perc_75) * (2/3), converted_stat, '2K_Ratings'!L373, IF(bbgm_stat &gt;= perc_95, converted_stat * 3, IF(bbgm_stat &gt;= perc_90, converted_stat * 2, IF(bbgm_stat &gt;= perc_85, converted_stat * 1.5, converted_stat)))))</f>
        <v/>
      </c>
      <c r="M373" s="30" t="str">
        <f t="array" ref="M373">IF($A373="", "", LET(bbgm_stat, INDEX(Players!$A372:$P372, MATCH(M$2, Players!$A$1:$P$1, 0)), perc_75, VLOOKUP(M$2, Percentiles!$A$45:$I$59, 6, FALSE), perc_90, VLOOKUP(M$2, Percentiles!$A$45:$I$59, 7, FALSE), perc_95, VLOOKUP(M$2, Percentiles!$A$45:$I$59, 8, FALSE), perc_85, perc_75 + (perc_90 - perc_75) * (2/3), converted_stat, '2K_Ratings'!M373, IF(bbgm_stat &gt;= perc_95, converted_stat * 3, IF(bbgm_stat &gt;= perc_90, converted_stat * 2, IF(bbgm_stat &gt;= perc_85, converted_stat * 1.5, converted_stat)))))</f>
        <v/>
      </c>
      <c r="N373" s="30" t="str">
        <f t="array" ref="N373">IF($A373="", "", LET(bbgm_stat, INDEX(Players!$A372:$P372, MATCH(N$2, Players!$A$1:$P$1, 0)), perc_75, VLOOKUP(N$2, Percentiles!$A$45:$I$59, 6, FALSE), perc_90, VLOOKUP(N$2, Percentiles!$A$45:$I$59, 7, FALSE), perc_95, VLOOKUP(N$2, Percentiles!$A$45:$I$59, 8, FALSE), perc_85, perc_75 + (perc_90 - perc_75) * (2/3), converted_stat, '2K_Ratings'!N373, IF(bbgm_stat &gt;= perc_95, converted_stat * 3, IF(bbgm_stat &gt;= perc_90, converted_stat * 2, IF(bbgm_stat &gt;= perc_85, converted_stat * 1.5, converted_stat)))))</f>
        <v/>
      </c>
      <c r="O373" s="30" t="str">
        <f t="array" ref="O373">IF($A373="", "", LET(bbgm_stat, INDEX(Players!$A372:$P372, MATCH(O$2, Players!$A$1:$P$1, 0)), perc_75, VLOOKUP(O$2, Percentiles!$A$45:$I$59, 6, FALSE), perc_90, VLOOKUP(O$2, Percentiles!$A$45:$I$59, 7, FALSE), perc_95, VLOOKUP(O$2, Percentiles!$A$45:$I$59, 8, FALSE), perc_85, perc_75 + (perc_90 - perc_75) * (2/3), converted_stat, '2K_Ratings'!O373, IF(bbgm_stat &gt;= perc_95, converted_stat * 3, IF(bbgm_stat &gt;= perc_90, converted_stat * 2, IF(bbgm_stat &gt;= perc_85, converted_stat * 1.5, converted_stat)))))</f>
        <v/>
      </c>
      <c r="P373" s="30" t="str">
        <f t="array" ref="P373">IF($A373="", "", LET(bbgm_stat, INDEX(Players!$A372:$P372, MATCH(P$2, Players!$A$1:$P$1, 0)), perc_75, VLOOKUP(P$2, Percentiles!$A$45:$I$59, 6, FALSE), perc_90, VLOOKUP(P$2, Percentiles!$A$45:$I$59, 7, FALSE), perc_95, VLOOKUP(P$2, Percentiles!$A$45:$I$59, 8, FALSE), perc_85, perc_75 + (perc_90 - perc_75) * (2/3), converted_stat, '2K_Ratings'!P373, IF(bbgm_stat &gt;= perc_95, converted_stat * 3, IF(bbgm_stat &gt;= perc_90, converted_stat * 2, IF(bbgm_stat &gt;= perc_85, converted_stat * 1.5, converted_stat)))))</f>
        <v/>
      </c>
      <c r="Q373" s="30" t="str">
        <f t="array" ref="Q373">IF($A373="", "", LET(bbgm_stat, INDEX(Players!$A372:$P372, MATCH(Q$2, Players!$A$1:$P$1, 0)), perc_75, VLOOKUP(Q$2, Percentiles!$A$45:$I$59, 6, FALSE), perc_90, VLOOKUP(Q$2, Percentiles!$A$45:$I$59, 7, FALSE), perc_95, VLOOKUP(Q$2, Percentiles!$A$45:$I$59, 8, FALSE), perc_85, perc_75 + (perc_90 - perc_75) * (2/3), converted_stat, '2K_Ratings'!Q373, IF(bbgm_stat &gt;= perc_95, converted_stat * 3, IF(bbgm_stat &gt;= perc_90, converted_stat * 2, IF(bbgm_stat &gt;= perc_85, converted_stat * 1.5, converted_stat)))))</f>
        <v/>
      </c>
      <c r="R373" s="30" t="str">
        <f t="array" ref="R373">IF($A373="", "", LET(bbgm_stat, INDEX(Players!$A372:$P372, MATCH(R$2, Players!$A$1:$P$1, 0)), perc_75, VLOOKUP(R$2, Percentiles!$A$45:$I$59, 6, FALSE), perc_90, VLOOKUP(R$2, Percentiles!$A$45:$I$59, 7, FALSE), perc_95, VLOOKUP(R$2, Percentiles!$A$45:$I$59, 8, FALSE), perc_85, perc_75 + (perc_90 - perc_75) * (2/3), converted_stat, '2K_Ratings'!R373, IF(bbgm_stat &gt;= perc_95, converted_stat * 3, IF(bbgm_stat &gt;= perc_90, converted_stat * 2, IF(bbgm_stat &gt;= perc_85, converted_stat * 1.5, converted_stat)))))</f>
        <v/>
      </c>
      <c r="S373" s="30" t="str">
        <f t="array" ref="S373">IF($A373="", "", LET(bbgm_stat, INDEX(Players!$A372:$P372, MATCH(S$2, Players!$A$1:$P$1, 0)), perc_75, VLOOKUP(S$2, Percentiles!$A$45:$I$59, 6, FALSE), perc_90, VLOOKUP(S$2, Percentiles!$A$45:$I$59, 7, FALSE), perc_95, VLOOKUP(S$2, Percentiles!$A$45:$I$59, 8, FALSE), perc_85, perc_75 + (perc_90 - perc_75) * (2/3), converted_stat, '2K_Ratings'!S373, IF(bbgm_stat &gt;= perc_95, converted_stat * 3, IF(bbgm_stat &gt;= perc_90, converted_stat * 2, IF(bbgm_stat &gt;= perc_85, converted_stat * 1.5, converted_stat)))))</f>
        <v/>
      </c>
      <c r="T373" s="30" t="str">
        <f t="array" ref="T373">IF($A373="", "", LET(bbgm_stat, INDEX(Players!$A372:$P372, MATCH(T$2, Players!$A$1:$P$1, 0)), perc_75, VLOOKUP(T$2, Percentiles!$A$45:$I$59, 6, FALSE), perc_90, VLOOKUP(T$2, Percentiles!$A$45:$I$59, 7, FALSE), perc_95, VLOOKUP(T$2, Percentiles!$A$45:$I$59, 8, FALSE), perc_85, perc_75 + (perc_90 - perc_75) * (2/3), converted_stat, '2K_Ratings'!T373, IF(bbgm_stat &gt;= perc_95, converted_stat * 3, IF(bbgm_stat &gt;= perc_90, converted_stat * 2, IF(bbgm_stat &gt;= perc_85, converted_stat * 1.5, converted_stat)))))</f>
        <v/>
      </c>
      <c r="U373" s="30" t="str">
        <f t="array" ref="U373">IF($A373="", "", LET(bbgm_stat, INDEX(Players!$A372:$P372, MATCH(U$2, Players!$A$1:$P$1, 0)), perc_75, VLOOKUP(U$2, Percentiles!$A$45:$I$59, 6, FALSE), perc_90, VLOOKUP(U$2, Percentiles!$A$45:$I$59, 7, FALSE), perc_95, VLOOKUP(U$2, Percentiles!$A$45:$I$59, 8, FALSE), perc_85, perc_75 + (perc_90 - perc_75) * (2/3), converted_stat, '2K_Ratings'!U373, IF(bbgm_stat &gt;= perc_95, converted_stat * 3, IF(bbgm_stat &gt;= perc_90, converted_stat * 2, IF(bbgm_stat &gt;= perc_85, converted_stat * 1.5, converted_stat)))))</f>
        <v/>
      </c>
      <c r="V373" s="30" t="str">
        <f t="array" ref="V373">IF($A373="", "", LET(bbgm_stat, INDEX(Players!$A372:$P372, MATCH(V$2, Players!$A$1:$P$1, 0)), perc_75, VLOOKUP(V$2, Percentiles!$A$45:$I$59, 6, FALSE), perc_90, VLOOKUP(V$2, Percentiles!$A$45:$I$59, 7, FALSE), perc_95, VLOOKUP(V$2, Percentiles!$A$45:$I$59, 8, FALSE), perc_85, perc_75 + (perc_90 - perc_75) * (2/3), converted_stat, '2K_Ratings'!V373, IF(bbgm_stat &gt;= perc_95, converted_stat * 3, IF(bbgm_stat &gt;= perc_90, converted_stat * 2, IF(bbgm_stat &gt;= perc_85, converted_stat * 1.5, converted_stat)))))</f>
        <v/>
      </c>
      <c r="W373" s="30" t="str">
        <f t="array" ref="W373">IF($A373="", "", LET(bbgm_stat, INDEX(Players!$A372:$P372, MATCH(W$2, Players!$A$1:$P$1, 0)), perc_75, VLOOKUP(W$2, Percentiles!$A$45:$I$59, 6, FALSE), perc_90, VLOOKUP(W$2, Percentiles!$A$45:$I$59, 7, FALSE), perc_95, VLOOKUP(W$2, Percentiles!$A$45:$I$59, 8, FALSE), perc_85, perc_75 + (perc_90 - perc_75) * (2/3), converted_stat, '2K_Ratings'!W373, IF(bbgm_stat &gt;= perc_95, converted_stat * 3, IF(bbgm_stat &gt;= perc_90, converted_stat * 2, IF(bbgm_stat &gt;= perc_85, converted_stat * 1.5, converted_stat)))))</f>
        <v/>
      </c>
    </row>
    <row r="374">
      <c r="A374" s="30"/>
      <c r="B374" s="30" t="str">
        <f t="array" ref="B374">IF($A374="", "", LET(bbgm_stat, INDEX(Players!$A373:$P373, MATCH(B$2, Players!$A$1:$P$1, 0)), perc_75, VLOOKUP(B$2, Percentiles!$A$45:$I$59, 6, FALSE), perc_90, VLOOKUP(B$2, Percentiles!$A$45:$I$59, 7, FALSE), perc_95, VLOOKUP(B$2, Percentiles!$A$45:$I$59, 8, FALSE), perc_85, perc_75 + (perc_90 - perc_75) * (2/3), converted_stat, '2K_Ratings'!B374, IF(bbgm_stat &gt;= perc_95, converted_stat * 3, IF(bbgm_stat &gt;= perc_90, converted_stat * 2, IF(bbgm_stat &gt;= perc_85, converted_stat * 1.5, converted_stat)))))</f>
        <v/>
      </c>
      <c r="C374" s="30" t="str">
        <f t="array" ref="C374">IF($A374="", "", LET(bbgm_stat, INDEX(Players!$A373:$P373, MATCH(C$2, Players!$A$1:$P$1, 0)), perc_75, VLOOKUP(C$2, Percentiles!$A$45:$I$59, 6, FALSE), perc_90, VLOOKUP(C$2, Percentiles!$A$45:$I$59, 7, FALSE), perc_95, VLOOKUP(C$2, Percentiles!$A$45:$I$59, 8, FALSE), perc_85, perc_75 + (perc_90 - perc_75) * (2/3), converted_stat, '2K_Ratings'!C374, IF(bbgm_stat &gt;= perc_95, converted_stat * 3, IF(bbgm_stat &gt;= perc_90, converted_stat * 2, IF(bbgm_stat &gt;= perc_85, converted_stat * 1.5, converted_stat)))))</f>
        <v/>
      </c>
      <c r="D374" s="30" t="str">
        <f t="array" ref="D374">IF($A374="", "", LET(bbgm_stat, INDEX(Players!$A373:$P373, MATCH(D$2, Players!$A$1:$P$1, 0)), perc_75, VLOOKUP(D$2, Percentiles!$A$45:$I$59, 6, FALSE), perc_90, VLOOKUP(D$2, Percentiles!$A$45:$I$59, 7, FALSE), perc_95, VLOOKUP(D$2, Percentiles!$A$45:$I$59, 8, FALSE), perc_85, perc_75 + (perc_90 - perc_75) * (2/3), converted_stat, '2K_Ratings'!D374, IF(bbgm_stat &gt;= perc_95, converted_stat * 3, IF(bbgm_stat &gt;= perc_90, converted_stat * 2, IF(bbgm_stat &gt;= perc_85, converted_stat * 1.5, converted_stat)))))</f>
        <v/>
      </c>
      <c r="E374" s="30" t="str">
        <f t="array" ref="E374">IF($A374="", "", LET(bbgm_stat, INDEX(Players!$A373:$P373, MATCH(E$2, Players!$A$1:$P$1, 0)), perc_75, VLOOKUP(E$2, Percentiles!$A$45:$I$59, 6, FALSE), perc_90, VLOOKUP(E$2, Percentiles!$A$45:$I$59, 7, FALSE), perc_95, VLOOKUP(E$2, Percentiles!$A$45:$I$59, 8, FALSE), perc_85, perc_75 + (perc_90 - perc_75) * (2/3), converted_stat, '2K_Ratings'!E374, IF(bbgm_stat &gt;= perc_95, converted_stat * 3, IF(bbgm_stat &gt;= perc_90, converted_stat * 2, IF(bbgm_stat &gt;= perc_85, converted_stat * 1.5, converted_stat)))))</f>
        <v/>
      </c>
      <c r="F374" s="30" t="str">
        <f t="array" ref="F374">IF($A374="", "", LET(bbgm_stat, INDEX(Players!$A373:$P373, MATCH(F$2, Players!$A$1:$P$1, 0)), perc_75, VLOOKUP(F$2, Percentiles!$A$45:$I$59, 6, FALSE), perc_90, VLOOKUP(F$2, Percentiles!$A$45:$I$59, 7, FALSE), perc_95, VLOOKUP(F$2, Percentiles!$A$45:$I$59, 8, FALSE), perc_85, perc_75 + (perc_90 - perc_75) * (2/3), converted_stat, '2K_Ratings'!F374, IF(bbgm_stat &gt;= perc_95, converted_stat * 3, IF(bbgm_stat &gt;= perc_90, converted_stat * 2, IF(bbgm_stat &gt;= perc_85, converted_stat * 1.5, converted_stat)))))</f>
        <v/>
      </c>
      <c r="G374" s="30" t="str">
        <f t="array" ref="G374">IF($A374="", "", LET(bbgm_stat, INDEX(Players!$A373:$P373, MATCH(G$2, Players!$A$1:$P$1, 0)), perc_75, VLOOKUP(G$2, Percentiles!$A$45:$I$59, 6, FALSE), perc_90, VLOOKUP(G$2, Percentiles!$A$45:$I$59, 7, FALSE), perc_95, VLOOKUP(G$2, Percentiles!$A$45:$I$59, 8, FALSE), perc_85, perc_75 + (perc_90 - perc_75) * (2/3), converted_stat, '2K_Ratings'!G374, IF(bbgm_stat &gt;= perc_95, converted_stat * 3, IF(bbgm_stat &gt;= perc_90, converted_stat * 2, IF(bbgm_stat &gt;= perc_85, converted_stat * 1.5, converted_stat)))))</f>
        <v/>
      </c>
      <c r="H374" s="30" t="str">
        <f t="array" ref="H374">IF($A374="", "", LET(bbgm_stat, INDEX(Players!$A373:$P373, MATCH(H$2, Players!$A$1:$P$1, 0)), perc_75, VLOOKUP(H$2, Percentiles!$A$45:$I$59, 6, FALSE), perc_90, VLOOKUP(H$2, Percentiles!$A$45:$I$59, 7, FALSE), perc_95, VLOOKUP(H$2, Percentiles!$A$45:$I$59, 8, FALSE), perc_85, perc_75 + (perc_90 - perc_75) * (2/3), converted_stat, '2K_Ratings'!H374, IF(bbgm_stat &gt;= perc_95, converted_stat * 3, IF(bbgm_stat &gt;= perc_90, converted_stat * 2, IF(bbgm_stat &gt;= perc_85, converted_stat * 1.5, converted_stat)))))</f>
        <v/>
      </c>
      <c r="I374" s="30" t="str">
        <f t="array" ref="I374">IF($A374="", "", LET(bbgm_stat, INDEX(Players!$A373:$P373, MATCH(I$2, Players!$A$1:$P$1, 0)), perc_75, VLOOKUP(I$2, Percentiles!$A$45:$I$59, 6, FALSE), perc_90, VLOOKUP(I$2, Percentiles!$A$45:$I$59, 7, FALSE), perc_95, VLOOKUP(I$2, Percentiles!$A$45:$I$59, 8, FALSE), perc_85, perc_75 + (perc_90 - perc_75) * (2/3), converted_stat, '2K_Ratings'!I374, IF(bbgm_stat &gt;= perc_95, converted_stat * 3, IF(bbgm_stat &gt;= perc_90, converted_stat * 2, IF(bbgm_stat &gt;= perc_85, converted_stat * 1.5, converted_stat)))))</f>
        <v/>
      </c>
      <c r="J374" s="30" t="str">
        <f t="array" ref="J374">IF($A374="", "", LET(bbgm_stat, INDEX(Players!$A373:$P373, MATCH(J$2, Players!$A$1:$P$1, 0)), perc_75, VLOOKUP(J$2, Percentiles!$A$45:$I$59, 6, FALSE), perc_90, VLOOKUP(J$2, Percentiles!$A$45:$I$59, 7, FALSE), perc_95, VLOOKUP(J$2, Percentiles!$A$45:$I$59, 8, FALSE), perc_85, perc_75 + (perc_90 - perc_75) * (2/3), converted_stat, '2K_Ratings'!J374, IF(bbgm_stat &gt;= perc_95, converted_stat * 3, IF(bbgm_stat &gt;= perc_90, converted_stat * 2, IF(bbgm_stat &gt;= perc_85, converted_stat * 1.5, converted_stat)))))</f>
        <v/>
      </c>
      <c r="K374" s="30" t="str">
        <f t="array" ref="K374">IF($A374="", "", LET(bbgm_stat, INDEX(Players!$A373:$P373, MATCH(K$2, Players!$A$1:$P$1, 0)), perc_75, VLOOKUP(K$2, Percentiles!$A$45:$I$59, 6, FALSE), perc_90, VLOOKUP(K$2, Percentiles!$A$45:$I$59, 7, FALSE), perc_95, VLOOKUP(K$2, Percentiles!$A$45:$I$59, 8, FALSE), perc_85, perc_75 + (perc_90 - perc_75) * (2/3), converted_stat, '2K_Ratings'!K374, IF(bbgm_stat &gt;= perc_95, converted_stat * 3, IF(bbgm_stat &gt;= perc_90, converted_stat * 2, IF(bbgm_stat &gt;= perc_85, converted_stat * 1.5, converted_stat)))))</f>
        <v/>
      </c>
      <c r="L374" s="30" t="str">
        <f t="array" ref="L374">IF($A374="", "", LET(bbgm_stat, INDEX(Players!$A373:$P373, MATCH(L$2, Players!$A$1:$P$1, 0)), perc_75, VLOOKUP(L$2, Percentiles!$A$45:$I$59, 6, FALSE), perc_90, VLOOKUP(L$2, Percentiles!$A$45:$I$59, 7, FALSE), perc_95, VLOOKUP(L$2, Percentiles!$A$45:$I$59, 8, FALSE), perc_85, perc_75 + (perc_90 - perc_75) * (2/3), converted_stat, '2K_Ratings'!L374, IF(bbgm_stat &gt;= perc_95, converted_stat * 3, IF(bbgm_stat &gt;= perc_90, converted_stat * 2, IF(bbgm_stat &gt;= perc_85, converted_stat * 1.5, converted_stat)))))</f>
        <v/>
      </c>
      <c r="M374" s="30" t="str">
        <f t="array" ref="M374">IF($A374="", "", LET(bbgm_stat, INDEX(Players!$A373:$P373, MATCH(M$2, Players!$A$1:$P$1, 0)), perc_75, VLOOKUP(M$2, Percentiles!$A$45:$I$59, 6, FALSE), perc_90, VLOOKUP(M$2, Percentiles!$A$45:$I$59, 7, FALSE), perc_95, VLOOKUP(M$2, Percentiles!$A$45:$I$59, 8, FALSE), perc_85, perc_75 + (perc_90 - perc_75) * (2/3), converted_stat, '2K_Ratings'!M374, IF(bbgm_stat &gt;= perc_95, converted_stat * 3, IF(bbgm_stat &gt;= perc_90, converted_stat * 2, IF(bbgm_stat &gt;= perc_85, converted_stat * 1.5, converted_stat)))))</f>
        <v/>
      </c>
      <c r="N374" s="30" t="str">
        <f t="array" ref="N374">IF($A374="", "", LET(bbgm_stat, INDEX(Players!$A373:$P373, MATCH(N$2, Players!$A$1:$P$1, 0)), perc_75, VLOOKUP(N$2, Percentiles!$A$45:$I$59, 6, FALSE), perc_90, VLOOKUP(N$2, Percentiles!$A$45:$I$59, 7, FALSE), perc_95, VLOOKUP(N$2, Percentiles!$A$45:$I$59, 8, FALSE), perc_85, perc_75 + (perc_90 - perc_75) * (2/3), converted_stat, '2K_Ratings'!N374, IF(bbgm_stat &gt;= perc_95, converted_stat * 3, IF(bbgm_stat &gt;= perc_90, converted_stat * 2, IF(bbgm_stat &gt;= perc_85, converted_stat * 1.5, converted_stat)))))</f>
        <v/>
      </c>
      <c r="O374" s="30" t="str">
        <f t="array" ref="O374">IF($A374="", "", LET(bbgm_stat, INDEX(Players!$A373:$P373, MATCH(O$2, Players!$A$1:$P$1, 0)), perc_75, VLOOKUP(O$2, Percentiles!$A$45:$I$59, 6, FALSE), perc_90, VLOOKUP(O$2, Percentiles!$A$45:$I$59, 7, FALSE), perc_95, VLOOKUP(O$2, Percentiles!$A$45:$I$59, 8, FALSE), perc_85, perc_75 + (perc_90 - perc_75) * (2/3), converted_stat, '2K_Ratings'!O374, IF(bbgm_stat &gt;= perc_95, converted_stat * 3, IF(bbgm_stat &gt;= perc_90, converted_stat * 2, IF(bbgm_stat &gt;= perc_85, converted_stat * 1.5, converted_stat)))))</f>
        <v/>
      </c>
      <c r="P374" s="30" t="str">
        <f t="array" ref="P374">IF($A374="", "", LET(bbgm_stat, INDEX(Players!$A373:$P373, MATCH(P$2, Players!$A$1:$P$1, 0)), perc_75, VLOOKUP(P$2, Percentiles!$A$45:$I$59, 6, FALSE), perc_90, VLOOKUP(P$2, Percentiles!$A$45:$I$59, 7, FALSE), perc_95, VLOOKUP(P$2, Percentiles!$A$45:$I$59, 8, FALSE), perc_85, perc_75 + (perc_90 - perc_75) * (2/3), converted_stat, '2K_Ratings'!P374, IF(bbgm_stat &gt;= perc_95, converted_stat * 3, IF(bbgm_stat &gt;= perc_90, converted_stat * 2, IF(bbgm_stat &gt;= perc_85, converted_stat * 1.5, converted_stat)))))</f>
        <v/>
      </c>
      <c r="Q374" s="30" t="str">
        <f t="array" ref="Q374">IF($A374="", "", LET(bbgm_stat, INDEX(Players!$A373:$P373, MATCH(Q$2, Players!$A$1:$P$1, 0)), perc_75, VLOOKUP(Q$2, Percentiles!$A$45:$I$59, 6, FALSE), perc_90, VLOOKUP(Q$2, Percentiles!$A$45:$I$59, 7, FALSE), perc_95, VLOOKUP(Q$2, Percentiles!$A$45:$I$59, 8, FALSE), perc_85, perc_75 + (perc_90 - perc_75) * (2/3), converted_stat, '2K_Ratings'!Q374, IF(bbgm_stat &gt;= perc_95, converted_stat * 3, IF(bbgm_stat &gt;= perc_90, converted_stat * 2, IF(bbgm_stat &gt;= perc_85, converted_stat * 1.5, converted_stat)))))</f>
        <v/>
      </c>
      <c r="R374" s="30" t="str">
        <f t="array" ref="R374">IF($A374="", "", LET(bbgm_stat, INDEX(Players!$A373:$P373, MATCH(R$2, Players!$A$1:$P$1, 0)), perc_75, VLOOKUP(R$2, Percentiles!$A$45:$I$59, 6, FALSE), perc_90, VLOOKUP(R$2, Percentiles!$A$45:$I$59, 7, FALSE), perc_95, VLOOKUP(R$2, Percentiles!$A$45:$I$59, 8, FALSE), perc_85, perc_75 + (perc_90 - perc_75) * (2/3), converted_stat, '2K_Ratings'!R374, IF(bbgm_stat &gt;= perc_95, converted_stat * 3, IF(bbgm_stat &gt;= perc_90, converted_stat * 2, IF(bbgm_stat &gt;= perc_85, converted_stat * 1.5, converted_stat)))))</f>
        <v/>
      </c>
      <c r="S374" s="30" t="str">
        <f t="array" ref="S374">IF($A374="", "", LET(bbgm_stat, INDEX(Players!$A373:$P373, MATCH(S$2, Players!$A$1:$P$1, 0)), perc_75, VLOOKUP(S$2, Percentiles!$A$45:$I$59, 6, FALSE), perc_90, VLOOKUP(S$2, Percentiles!$A$45:$I$59, 7, FALSE), perc_95, VLOOKUP(S$2, Percentiles!$A$45:$I$59, 8, FALSE), perc_85, perc_75 + (perc_90 - perc_75) * (2/3), converted_stat, '2K_Ratings'!S374, IF(bbgm_stat &gt;= perc_95, converted_stat * 3, IF(bbgm_stat &gt;= perc_90, converted_stat * 2, IF(bbgm_stat &gt;= perc_85, converted_stat * 1.5, converted_stat)))))</f>
        <v/>
      </c>
      <c r="T374" s="30" t="str">
        <f t="array" ref="T374">IF($A374="", "", LET(bbgm_stat, INDEX(Players!$A373:$P373, MATCH(T$2, Players!$A$1:$P$1, 0)), perc_75, VLOOKUP(T$2, Percentiles!$A$45:$I$59, 6, FALSE), perc_90, VLOOKUP(T$2, Percentiles!$A$45:$I$59, 7, FALSE), perc_95, VLOOKUP(T$2, Percentiles!$A$45:$I$59, 8, FALSE), perc_85, perc_75 + (perc_90 - perc_75) * (2/3), converted_stat, '2K_Ratings'!T374, IF(bbgm_stat &gt;= perc_95, converted_stat * 3, IF(bbgm_stat &gt;= perc_90, converted_stat * 2, IF(bbgm_stat &gt;= perc_85, converted_stat * 1.5, converted_stat)))))</f>
        <v/>
      </c>
      <c r="U374" s="30" t="str">
        <f t="array" ref="U374">IF($A374="", "", LET(bbgm_stat, INDEX(Players!$A373:$P373, MATCH(U$2, Players!$A$1:$P$1, 0)), perc_75, VLOOKUP(U$2, Percentiles!$A$45:$I$59, 6, FALSE), perc_90, VLOOKUP(U$2, Percentiles!$A$45:$I$59, 7, FALSE), perc_95, VLOOKUP(U$2, Percentiles!$A$45:$I$59, 8, FALSE), perc_85, perc_75 + (perc_90 - perc_75) * (2/3), converted_stat, '2K_Ratings'!U374, IF(bbgm_stat &gt;= perc_95, converted_stat * 3, IF(bbgm_stat &gt;= perc_90, converted_stat * 2, IF(bbgm_stat &gt;= perc_85, converted_stat * 1.5, converted_stat)))))</f>
        <v/>
      </c>
      <c r="V374" s="30" t="str">
        <f t="array" ref="V374">IF($A374="", "", LET(bbgm_stat, INDEX(Players!$A373:$P373, MATCH(V$2, Players!$A$1:$P$1, 0)), perc_75, VLOOKUP(V$2, Percentiles!$A$45:$I$59, 6, FALSE), perc_90, VLOOKUP(V$2, Percentiles!$A$45:$I$59, 7, FALSE), perc_95, VLOOKUP(V$2, Percentiles!$A$45:$I$59, 8, FALSE), perc_85, perc_75 + (perc_90 - perc_75) * (2/3), converted_stat, '2K_Ratings'!V374, IF(bbgm_stat &gt;= perc_95, converted_stat * 3, IF(bbgm_stat &gt;= perc_90, converted_stat * 2, IF(bbgm_stat &gt;= perc_85, converted_stat * 1.5, converted_stat)))))</f>
        <v/>
      </c>
      <c r="W374" s="30" t="str">
        <f t="array" ref="W374">IF($A374="", "", LET(bbgm_stat, INDEX(Players!$A373:$P373, MATCH(W$2, Players!$A$1:$P$1, 0)), perc_75, VLOOKUP(W$2, Percentiles!$A$45:$I$59, 6, FALSE), perc_90, VLOOKUP(W$2, Percentiles!$A$45:$I$59, 7, FALSE), perc_95, VLOOKUP(W$2, Percentiles!$A$45:$I$59, 8, FALSE), perc_85, perc_75 + (perc_90 - perc_75) * (2/3), converted_stat, '2K_Ratings'!W374, IF(bbgm_stat &gt;= perc_95, converted_stat * 3, IF(bbgm_stat &gt;= perc_90, converted_stat * 2, IF(bbgm_stat &gt;= perc_85, converted_stat * 1.5, converted_stat)))))</f>
        <v/>
      </c>
    </row>
    <row r="375">
      <c r="A375" s="30"/>
      <c r="B375" s="30" t="str">
        <f t="array" ref="B375">IF($A375="", "", LET(bbgm_stat, INDEX(Players!$A374:$P374, MATCH(B$2, Players!$A$1:$P$1, 0)), perc_75, VLOOKUP(B$2, Percentiles!$A$45:$I$59, 6, FALSE), perc_90, VLOOKUP(B$2, Percentiles!$A$45:$I$59, 7, FALSE), perc_95, VLOOKUP(B$2, Percentiles!$A$45:$I$59, 8, FALSE), perc_85, perc_75 + (perc_90 - perc_75) * (2/3), converted_stat, '2K_Ratings'!B375, IF(bbgm_stat &gt;= perc_95, converted_stat * 3, IF(bbgm_stat &gt;= perc_90, converted_stat * 2, IF(bbgm_stat &gt;= perc_85, converted_stat * 1.5, converted_stat)))))</f>
        <v/>
      </c>
      <c r="C375" s="30" t="str">
        <f t="array" ref="C375">IF($A375="", "", LET(bbgm_stat, INDEX(Players!$A374:$P374, MATCH(C$2, Players!$A$1:$P$1, 0)), perc_75, VLOOKUP(C$2, Percentiles!$A$45:$I$59, 6, FALSE), perc_90, VLOOKUP(C$2, Percentiles!$A$45:$I$59, 7, FALSE), perc_95, VLOOKUP(C$2, Percentiles!$A$45:$I$59, 8, FALSE), perc_85, perc_75 + (perc_90 - perc_75) * (2/3), converted_stat, '2K_Ratings'!C375, IF(bbgm_stat &gt;= perc_95, converted_stat * 3, IF(bbgm_stat &gt;= perc_90, converted_stat * 2, IF(bbgm_stat &gt;= perc_85, converted_stat * 1.5, converted_stat)))))</f>
        <v/>
      </c>
      <c r="D375" s="30" t="str">
        <f t="array" ref="D375">IF($A375="", "", LET(bbgm_stat, INDEX(Players!$A374:$P374, MATCH(D$2, Players!$A$1:$P$1, 0)), perc_75, VLOOKUP(D$2, Percentiles!$A$45:$I$59, 6, FALSE), perc_90, VLOOKUP(D$2, Percentiles!$A$45:$I$59, 7, FALSE), perc_95, VLOOKUP(D$2, Percentiles!$A$45:$I$59, 8, FALSE), perc_85, perc_75 + (perc_90 - perc_75) * (2/3), converted_stat, '2K_Ratings'!D375, IF(bbgm_stat &gt;= perc_95, converted_stat * 3, IF(bbgm_stat &gt;= perc_90, converted_stat * 2, IF(bbgm_stat &gt;= perc_85, converted_stat * 1.5, converted_stat)))))</f>
        <v/>
      </c>
      <c r="E375" s="30" t="str">
        <f t="array" ref="E375">IF($A375="", "", LET(bbgm_stat, INDEX(Players!$A374:$P374, MATCH(E$2, Players!$A$1:$P$1, 0)), perc_75, VLOOKUP(E$2, Percentiles!$A$45:$I$59, 6, FALSE), perc_90, VLOOKUP(E$2, Percentiles!$A$45:$I$59, 7, FALSE), perc_95, VLOOKUP(E$2, Percentiles!$A$45:$I$59, 8, FALSE), perc_85, perc_75 + (perc_90 - perc_75) * (2/3), converted_stat, '2K_Ratings'!E375, IF(bbgm_stat &gt;= perc_95, converted_stat * 3, IF(bbgm_stat &gt;= perc_90, converted_stat * 2, IF(bbgm_stat &gt;= perc_85, converted_stat * 1.5, converted_stat)))))</f>
        <v/>
      </c>
      <c r="F375" s="30" t="str">
        <f t="array" ref="F375">IF($A375="", "", LET(bbgm_stat, INDEX(Players!$A374:$P374, MATCH(F$2, Players!$A$1:$P$1, 0)), perc_75, VLOOKUP(F$2, Percentiles!$A$45:$I$59, 6, FALSE), perc_90, VLOOKUP(F$2, Percentiles!$A$45:$I$59, 7, FALSE), perc_95, VLOOKUP(F$2, Percentiles!$A$45:$I$59, 8, FALSE), perc_85, perc_75 + (perc_90 - perc_75) * (2/3), converted_stat, '2K_Ratings'!F375, IF(bbgm_stat &gt;= perc_95, converted_stat * 3, IF(bbgm_stat &gt;= perc_90, converted_stat * 2, IF(bbgm_stat &gt;= perc_85, converted_stat * 1.5, converted_stat)))))</f>
        <v/>
      </c>
      <c r="G375" s="30" t="str">
        <f t="array" ref="G375">IF($A375="", "", LET(bbgm_stat, INDEX(Players!$A374:$P374, MATCH(G$2, Players!$A$1:$P$1, 0)), perc_75, VLOOKUP(G$2, Percentiles!$A$45:$I$59, 6, FALSE), perc_90, VLOOKUP(G$2, Percentiles!$A$45:$I$59, 7, FALSE), perc_95, VLOOKUP(G$2, Percentiles!$A$45:$I$59, 8, FALSE), perc_85, perc_75 + (perc_90 - perc_75) * (2/3), converted_stat, '2K_Ratings'!G375, IF(bbgm_stat &gt;= perc_95, converted_stat * 3, IF(bbgm_stat &gt;= perc_90, converted_stat * 2, IF(bbgm_stat &gt;= perc_85, converted_stat * 1.5, converted_stat)))))</f>
        <v/>
      </c>
      <c r="H375" s="30" t="str">
        <f t="array" ref="H375">IF($A375="", "", LET(bbgm_stat, INDEX(Players!$A374:$P374, MATCH(H$2, Players!$A$1:$P$1, 0)), perc_75, VLOOKUP(H$2, Percentiles!$A$45:$I$59, 6, FALSE), perc_90, VLOOKUP(H$2, Percentiles!$A$45:$I$59, 7, FALSE), perc_95, VLOOKUP(H$2, Percentiles!$A$45:$I$59, 8, FALSE), perc_85, perc_75 + (perc_90 - perc_75) * (2/3), converted_stat, '2K_Ratings'!H375, IF(bbgm_stat &gt;= perc_95, converted_stat * 3, IF(bbgm_stat &gt;= perc_90, converted_stat * 2, IF(bbgm_stat &gt;= perc_85, converted_stat * 1.5, converted_stat)))))</f>
        <v/>
      </c>
      <c r="I375" s="30" t="str">
        <f t="array" ref="I375">IF($A375="", "", LET(bbgm_stat, INDEX(Players!$A374:$P374, MATCH(I$2, Players!$A$1:$P$1, 0)), perc_75, VLOOKUP(I$2, Percentiles!$A$45:$I$59, 6, FALSE), perc_90, VLOOKUP(I$2, Percentiles!$A$45:$I$59, 7, FALSE), perc_95, VLOOKUP(I$2, Percentiles!$A$45:$I$59, 8, FALSE), perc_85, perc_75 + (perc_90 - perc_75) * (2/3), converted_stat, '2K_Ratings'!I375, IF(bbgm_stat &gt;= perc_95, converted_stat * 3, IF(bbgm_stat &gt;= perc_90, converted_stat * 2, IF(bbgm_stat &gt;= perc_85, converted_stat * 1.5, converted_stat)))))</f>
        <v/>
      </c>
      <c r="J375" s="30" t="str">
        <f t="array" ref="J375">IF($A375="", "", LET(bbgm_stat, INDEX(Players!$A374:$P374, MATCH(J$2, Players!$A$1:$P$1, 0)), perc_75, VLOOKUP(J$2, Percentiles!$A$45:$I$59, 6, FALSE), perc_90, VLOOKUP(J$2, Percentiles!$A$45:$I$59, 7, FALSE), perc_95, VLOOKUP(J$2, Percentiles!$A$45:$I$59, 8, FALSE), perc_85, perc_75 + (perc_90 - perc_75) * (2/3), converted_stat, '2K_Ratings'!J375, IF(bbgm_stat &gt;= perc_95, converted_stat * 3, IF(bbgm_stat &gt;= perc_90, converted_stat * 2, IF(bbgm_stat &gt;= perc_85, converted_stat * 1.5, converted_stat)))))</f>
        <v/>
      </c>
      <c r="K375" s="30" t="str">
        <f t="array" ref="K375">IF($A375="", "", LET(bbgm_stat, INDEX(Players!$A374:$P374, MATCH(K$2, Players!$A$1:$P$1, 0)), perc_75, VLOOKUP(K$2, Percentiles!$A$45:$I$59, 6, FALSE), perc_90, VLOOKUP(K$2, Percentiles!$A$45:$I$59, 7, FALSE), perc_95, VLOOKUP(K$2, Percentiles!$A$45:$I$59, 8, FALSE), perc_85, perc_75 + (perc_90 - perc_75) * (2/3), converted_stat, '2K_Ratings'!K375, IF(bbgm_stat &gt;= perc_95, converted_stat * 3, IF(bbgm_stat &gt;= perc_90, converted_stat * 2, IF(bbgm_stat &gt;= perc_85, converted_stat * 1.5, converted_stat)))))</f>
        <v/>
      </c>
      <c r="L375" s="30" t="str">
        <f t="array" ref="L375">IF($A375="", "", LET(bbgm_stat, INDEX(Players!$A374:$P374, MATCH(L$2, Players!$A$1:$P$1, 0)), perc_75, VLOOKUP(L$2, Percentiles!$A$45:$I$59, 6, FALSE), perc_90, VLOOKUP(L$2, Percentiles!$A$45:$I$59, 7, FALSE), perc_95, VLOOKUP(L$2, Percentiles!$A$45:$I$59, 8, FALSE), perc_85, perc_75 + (perc_90 - perc_75) * (2/3), converted_stat, '2K_Ratings'!L375, IF(bbgm_stat &gt;= perc_95, converted_stat * 3, IF(bbgm_stat &gt;= perc_90, converted_stat * 2, IF(bbgm_stat &gt;= perc_85, converted_stat * 1.5, converted_stat)))))</f>
        <v/>
      </c>
      <c r="M375" s="30" t="str">
        <f t="array" ref="M375">IF($A375="", "", LET(bbgm_stat, INDEX(Players!$A374:$P374, MATCH(M$2, Players!$A$1:$P$1, 0)), perc_75, VLOOKUP(M$2, Percentiles!$A$45:$I$59, 6, FALSE), perc_90, VLOOKUP(M$2, Percentiles!$A$45:$I$59, 7, FALSE), perc_95, VLOOKUP(M$2, Percentiles!$A$45:$I$59, 8, FALSE), perc_85, perc_75 + (perc_90 - perc_75) * (2/3), converted_stat, '2K_Ratings'!M375, IF(bbgm_stat &gt;= perc_95, converted_stat * 3, IF(bbgm_stat &gt;= perc_90, converted_stat * 2, IF(bbgm_stat &gt;= perc_85, converted_stat * 1.5, converted_stat)))))</f>
        <v/>
      </c>
      <c r="N375" s="30" t="str">
        <f t="array" ref="N375">IF($A375="", "", LET(bbgm_stat, INDEX(Players!$A374:$P374, MATCH(N$2, Players!$A$1:$P$1, 0)), perc_75, VLOOKUP(N$2, Percentiles!$A$45:$I$59, 6, FALSE), perc_90, VLOOKUP(N$2, Percentiles!$A$45:$I$59, 7, FALSE), perc_95, VLOOKUP(N$2, Percentiles!$A$45:$I$59, 8, FALSE), perc_85, perc_75 + (perc_90 - perc_75) * (2/3), converted_stat, '2K_Ratings'!N375, IF(bbgm_stat &gt;= perc_95, converted_stat * 3, IF(bbgm_stat &gt;= perc_90, converted_stat * 2, IF(bbgm_stat &gt;= perc_85, converted_stat * 1.5, converted_stat)))))</f>
        <v/>
      </c>
      <c r="O375" s="30" t="str">
        <f t="array" ref="O375">IF($A375="", "", LET(bbgm_stat, INDEX(Players!$A374:$P374, MATCH(O$2, Players!$A$1:$P$1, 0)), perc_75, VLOOKUP(O$2, Percentiles!$A$45:$I$59, 6, FALSE), perc_90, VLOOKUP(O$2, Percentiles!$A$45:$I$59, 7, FALSE), perc_95, VLOOKUP(O$2, Percentiles!$A$45:$I$59, 8, FALSE), perc_85, perc_75 + (perc_90 - perc_75) * (2/3), converted_stat, '2K_Ratings'!O375, IF(bbgm_stat &gt;= perc_95, converted_stat * 3, IF(bbgm_stat &gt;= perc_90, converted_stat * 2, IF(bbgm_stat &gt;= perc_85, converted_stat * 1.5, converted_stat)))))</f>
        <v/>
      </c>
      <c r="P375" s="30" t="str">
        <f t="array" ref="P375">IF($A375="", "", LET(bbgm_stat, INDEX(Players!$A374:$P374, MATCH(P$2, Players!$A$1:$P$1, 0)), perc_75, VLOOKUP(P$2, Percentiles!$A$45:$I$59, 6, FALSE), perc_90, VLOOKUP(P$2, Percentiles!$A$45:$I$59, 7, FALSE), perc_95, VLOOKUP(P$2, Percentiles!$A$45:$I$59, 8, FALSE), perc_85, perc_75 + (perc_90 - perc_75) * (2/3), converted_stat, '2K_Ratings'!P375, IF(bbgm_stat &gt;= perc_95, converted_stat * 3, IF(bbgm_stat &gt;= perc_90, converted_stat * 2, IF(bbgm_stat &gt;= perc_85, converted_stat * 1.5, converted_stat)))))</f>
        <v/>
      </c>
      <c r="Q375" s="30" t="str">
        <f t="array" ref="Q375">IF($A375="", "", LET(bbgm_stat, INDEX(Players!$A374:$P374, MATCH(Q$2, Players!$A$1:$P$1, 0)), perc_75, VLOOKUP(Q$2, Percentiles!$A$45:$I$59, 6, FALSE), perc_90, VLOOKUP(Q$2, Percentiles!$A$45:$I$59, 7, FALSE), perc_95, VLOOKUP(Q$2, Percentiles!$A$45:$I$59, 8, FALSE), perc_85, perc_75 + (perc_90 - perc_75) * (2/3), converted_stat, '2K_Ratings'!Q375, IF(bbgm_stat &gt;= perc_95, converted_stat * 3, IF(bbgm_stat &gt;= perc_90, converted_stat * 2, IF(bbgm_stat &gt;= perc_85, converted_stat * 1.5, converted_stat)))))</f>
        <v/>
      </c>
      <c r="R375" s="30" t="str">
        <f t="array" ref="R375">IF($A375="", "", LET(bbgm_stat, INDEX(Players!$A374:$P374, MATCH(R$2, Players!$A$1:$P$1, 0)), perc_75, VLOOKUP(R$2, Percentiles!$A$45:$I$59, 6, FALSE), perc_90, VLOOKUP(R$2, Percentiles!$A$45:$I$59, 7, FALSE), perc_95, VLOOKUP(R$2, Percentiles!$A$45:$I$59, 8, FALSE), perc_85, perc_75 + (perc_90 - perc_75) * (2/3), converted_stat, '2K_Ratings'!R375, IF(bbgm_stat &gt;= perc_95, converted_stat * 3, IF(bbgm_stat &gt;= perc_90, converted_stat * 2, IF(bbgm_stat &gt;= perc_85, converted_stat * 1.5, converted_stat)))))</f>
        <v/>
      </c>
      <c r="S375" s="30" t="str">
        <f t="array" ref="S375">IF($A375="", "", LET(bbgm_stat, INDEX(Players!$A374:$P374, MATCH(S$2, Players!$A$1:$P$1, 0)), perc_75, VLOOKUP(S$2, Percentiles!$A$45:$I$59, 6, FALSE), perc_90, VLOOKUP(S$2, Percentiles!$A$45:$I$59, 7, FALSE), perc_95, VLOOKUP(S$2, Percentiles!$A$45:$I$59, 8, FALSE), perc_85, perc_75 + (perc_90 - perc_75) * (2/3), converted_stat, '2K_Ratings'!S375, IF(bbgm_stat &gt;= perc_95, converted_stat * 3, IF(bbgm_stat &gt;= perc_90, converted_stat * 2, IF(bbgm_stat &gt;= perc_85, converted_stat * 1.5, converted_stat)))))</f>
        <v/>
      </c>
      <c r="T375" s="30" t="str">
        <f t="array" ref="T375">IF($A375="", "", LET(bbgm_stat, INDEX(Players!$A374:$P374, MATCH(T$2, Players!$A$1:$P$1, 0)), perc_75, VLOOKUP(T$2, Percentiles!$A$45:$I$59, 6, FALSE), perc_90, VLOOKUP(T$2, Percentiles!$A$45:$I$59, 7, FALSE), perc_95, VLOOKUP(T$2, Percentiles!$A$45:$I$59, 8, FALSE), perc_85, perc_75 + (perc_90 - perc_75) * (2/3), converted_stat, '2K_Ratings'!T375, IF(bbgm_stat &gt;= perc_95, converted_stat * 3, IF(bbgm_stat &gt;= perc_90, converted_stat * 2, IF(bbgm_stat &gt;= perc_85, converted_stat * 1.5, converted_stat)))))</f>
        <v/>
      </c>
      <c r="U375" s="30" t="str">
        <f t="array" ref="U375">IF($A375="", "", LET(bbgm_stat, INDEX(Players!$A374:$P374, MATCH(U$2, Players!$A$1:$P$1, 0)), perc_75, VLOOKUP(U$2, Percentiles!$A$45:$I$59, 6, FALSE), perc_90, VLOOKUP(U$2, Percentiles!$A$45:$I$59, 7, FALSE), perc_95, VLOOKUP(U$2, Percentiles!$A$45:$I$59, 8, FALSE), perc_85, perc_75 + (perc_90 - perc_75) * (2/3), converted_stat, '2K_Ratings'!U375, IF(bbgm_stat &gt;= perc_95, converted_stat * 3, IF(bbgm_stat &gt;= perc_90, converted_stat * 2, IF(bbgm_stat &gt;= perc_85, converted_stat * 1.5, converted_stat)))))</f>
        <v/>
      </c>
      <c r="V375" s="30" t="str">
        <f t="array" ref="V375">IF($A375="", "", LET(bbgm_stat, INDEX(Players!$A374:$P374, MATCH(V$2, Players!$A$1:$P$1, 0)), perc_75, VLOOKUP(V$2, Percentiles!$A$45:$I$59, 6, FALSE), perc_90, VLOOKUP(V$2, Percentiles!$A$45:$I$59, 7, FALSE), perc_95, VLOOKUP(V$2, Percentiles!$A$45:$I$59, 8, FALSE), perc_85, perc_75 + (perc_90 - perc_75) * (2/3), converted_stat, '2K_Ratings'!V375, IF(bbgm_stat &gt;= perc_95, converted_stat * 3, IF(bbgm_stat &gt;= perc_90, converted_stat * 2, IF(bbgm_stat &gt;= perc_85, converted_stat * 1.5, converted_stat)))))</f>
        <v/>
      </c>
      <c r="W375" s="30" t="str">
        <f t="array" ref="W375">IF($A375="", "", LET(bbgm_stat, INDEX(Players!$A374:$P374, MATCH(W$2, Players!$A$1:$P$1, 0)), perc_75, VLOOKUP(W$2, Percentiles!$A$45:$I$59, 6, FALSE), perc_90, VLOOKUP(W$2, Percentiles!$A$45:$I$59, 7, FALSE), perc_95, VLOOKUP(W$2, Percentiles!$A$45:$I$59, 8, FALSE), perc_85, perc_75 + (perc_90 - perc_75) * (2/3), converted_stat, '2K_Ratings'!W375, IF(bbgm_stat &gt;= perc_95, converted_stat * 3, IF(bbgm_stat &gt;= perc_90, converted_stat * 2, IF(bbgm_stat &gt;= perc_85, converted_stat * 1.5, converted_stat)))))</f>
        <v/>
      </c>
    </row>
    <row r="376">
      <c r="A376" s="30"/>
      <c r="B376" s="30" t="str">
        <f t="array" ref="B376">IF($A376="", "", LET(bbgm_stat, INDEX(Players!$A375:$P375, MATCH(B$2, Players!$A$1:$P$1, 0)), perc_75, VLOOKUP(B$2, Percentiles!$A$45:$I$59, 6, FALSE), perc_90, VLOOKUP(B$2, Percentiles!$A$45:$I$59, 7, FALSE), perc_95, VLOOKUP(B$2, Percentiles!$A$45:$I$59, 8, FALSE), perc_85, perc_75 + (perc_90 - perc_75) * (2/3), converted_stat, '2K_Ratings'!B376, IF(bbgm_stat &gt;= perc_95, converted_stat * 3, IF(bbgm_stat &gt;= perc_90, converted_stat * 2, IF(bbgm_stat &gt;= perc_85, converted_stat * 1.5, converted_stat)))))</f>
        <v/>
      </c>
      <c r="C376" s="30" t="str">
        <f t="array" ref="C376">IF($A376="", "", LET(bbgm_stat, INDEX(Players!$A375:$P375, MATCH(C$2, Players!$A$1:$P$1, 0)), perc_75, VLOOKUP(C$2, Percentiles!$A$45:$I$59, 6, FALSE), perc_90, VLOOKUP(C$2, Percentiles!$A$45:$I$59, 7, FALSE), perc_95, VLOOKUP(C$2, Percentiles!$A$45:$I$59, 8, FALSE), perc_85, perc_75 + (perc_90 - perc_75) * (2/3), converted_stat, '2K_Ratings'!C376, IF(bbgm_stat &gt;= perc_95, converted_stat * 3, IF(bbgm_stat &gt;= perc_90, converted_stat * 2, IF(bbgm_stat &gt;= perc_85, converted_stat * 1.5, converted_stat)))))</f>
        <v/>
      </c>
      <c r="D376" s="30" t="str">
        <f t="array" ref="D376">IF($A376="", "", LET(bbgm_stat, INDEX(Players!$A375:$P375, MATCH(D$2, Players!$A$1:$P$1, 0)), perc_75, VLOOKUP(D$2, Percentiles!$A$45:$I$59, 6, FALSE), perc_90, VLOOKUP(D$2, Percentiles!$A$45:$I$59, 7, FALSE), perc_95, VLOOKUP(D$2, Percentiles!$A$45:$I$59, 8, FALSE), perc_85, perc_75 + (perc_90 - perc_75) * (2/3), converted_stat, '2K_Ratings'!D376, IF(bbgm_stat &gt;= perc_95, converted_stat * 3, IF(bbgm_stat &gt;= perc_90, converted_stat * 2, IF(bbgm_stat &gt;= perc_85, converted_stat * 1.5, converted_stat)))))</f>
        <v/>
      </c>
      <c r="E376" s="30" t="str">
        <f t="array" ref="E376">IF($A376="", "", LET(bbgm_stat, INDEX(Players!$A375:$P375, MATCH(E$2, Players!$A$1:$P$1, 0)), perc_75, VLOOKUP(E$2, Percentiles!$A$45:$I$59, 6, FALSE), perc_90, VLOOKUP(E$2, Percentiles!$A$45:$I$59, 7, FALSE), perc_95, VLOOKUP(E$2, Percentiles!$A$45:$I$59, 8, FALSE), perc_85, perc_75 + (perc_90 - perc_75) * (2/3), converted_stat, '2K_Ratings'!E376, IF(bbgm_stat &gt;= perc_95, converted_stat * 3, IF(bbgm_stat &gt;= perc_90, converted_stat * 2, IF(bbgm_stat &gt;= perc_85, converted_stat * 1.5, converted_stat)))))</f>
        <v/>
      </c>
      <c r="F376" s="30" t="str">
        <f t="array" ref="F376">IF($A376="", "", LET(bbgm_stat, INDEX(Players!$A375:$P375, MATCH(F$2, Players!$A$1:$P$1, 0)), perc_75, VLOOKUP(F$2, Percentiles!$A$45:$I$59, 6, FALSE), perc_90, VLOOKUP(F$2, Percentiles!$A$45:$I$59, 7, FALSE), perc_95, VLOOKUP(F$2, Percentiles!$A$45:$I$59, 8, FALSE), perc_85, perc_75 + (perc_90 - perc_75) * (2/3), converted_stat, '2K_Ratings'!F376, IF(bbgm_stat &gt;= perc_95, converted_stat * 3, IF(bbgm_stat &gt;= perc_90, converted_stat * 2, IF(bbgm_stat &gt;= perc_85, converted_stat * 1.5, converted_stat)))))</f>
        <v/>
      </c>
      <c r="G376" s="30" t="str">
        <f t="array" ref="G376">IF($A376="", "", LET(bbgm_stat, INDEX(Players!$A375:$P375, MATCH(G$2, Players!$A$1:$P$1, 0)), perc_75, VLOOKUP(G$2, Percentiles!$A$45:$I$59, 6, FALSE), perc_90, VLOOKUP(G$2, Percentiles!$A$45:$I$59, 7, FALSE), perc_95, VLOOKUP(G$2, Percentiles!$A$45:$I$59, 8, FALSE), perc_85, perc_75 + (perc_90 - perc_75) * (2/3), converted_stat, '2K_Ratings'!G376, IF(bbgm_stat &gt;= perc_95, converted_stat * 3, IF(bbgm_stat &gt;= perc_90, converted_stat * 2, IF(bbgm_stat &gt;= perc_85, converted_stat * 1.5, converted_stat)))))</f>
        <v/>
      </c>
      <c r="H376" s="30" t="str">
        <f t="array" ref="H376">IF($A376="", "", LET(bbgm_stat, INDEX(Players!$A375:$P375, MATCH(H$2, Players!$A$1:$P$1, 0)), perc_75, VLOOKUP(H$2, Percentiles!$A$45:$I$59, 6, FALSE), perc_90, VLOOKUP(H$2, Percentiles!$A$45:$I$59, 7, FALSE), perc_95, VLOOKUP(H$2, Percentiles!$A$45:$I$59, 8, FALSE), perc_85, perc_75 + (perc_90 - perc_75) * (2/3), converted_stat, '2K_Ratings'!H376, IF(bbgm_stat &gt;= perc_95, converted_stat * 3, IF(bbgm_stat &gt;= perc_90, converted_stat * 2, IF(bbgm_stat &gt;= perc_85, converted_stat * 1.5, converted_stat)))))</f>
        <v/>
      </c>
      <c r="I376" s="30" t="str">
        <f t="array" ref="I376">IF($A376="", "", LET(bbgm_stat, INDEX(Players!$A375:$P375, MATCH(I$2, Players!$A$1:$P$1, 0)), perc_75, VLOOKUP(I$2, Percentiles!$A$45:$I$59, 6, FALSE), perc_90, VLOOKUP(I$2, Percentiles!$A$45:$I$59, 7, FALSE), perc_95, VLOOKUP(I$2, Percentiles!$A$45:$I$59, 8, FALSE), perc_85, perc_75 + (perc_90 - perc_75) * (2/3), converted_stat, '2K_Ratings'!I376, IF(bbgm_stat &gt;= perc_95, converted_stat * 3, IF(bbgm_stat &gt;= perc_90, converted_stat * 2, IF(bbgm_stat &gt;= perc_85, converted_stat * 1.5, converted_stat)))))</f>
        <v/>
      </c>
      <c r="J376" s="30" t="str">
        <f t="array" ref="J376">IF($A376="", "", LET(bbgm_stat, INDEX(Players!$A375:$P375, MATCH(J$2, Players!$A$1:$P$1, 0)), perc_75, VLOOKUP(J$2, Percentiles!$A$45:$I$59, 6, FALSE), perc_90, VLOOKUP(J$2, Percentiles!$A$45:$I$59, 7, FALSE), perc_95, VLOOKUP(J$2, Percentiles!$A$45:$I$59, 8, FALSE), perc_85, perc_75 + (perc_90 - perc_75) * (2/3), converted_stat, '2K_Ratings'!J376, IF(bbgm_stat &gt;= perc_95, converted_stat * 3, IF(bbgm_stat &gt;= perc_90, converted_stat * 2, IF(bbgm_stat &gt;= perc_85, converted_stat * 1.5, converted_stat)))))</f>
        <v/>
      </c>
      <c r="K376" s="30" t="str">
        <f t="array" ref="K376">IF($A376="", "", LET(bbgm_stat, INDEX(Players!$A375:$P375, MATCH(K$2, Players!$A$1:$P$1, 0)), perc_75, VLOOKUP(K$2, Percentiles!$A$45:$I$59, 6, FALSE), perc_90, VLOOKUP(K$2, Percentiles!$A$45:$I$59, 7, FALSE), perc_95, VLOOKUP(K$2, Percentiles!$A$45:$I$59, 8, FALSE), perc_85, perc_75 + (perc_90 - perc_75) * (2/3), converted_stat, '2K_Ratings'!K376, IF(bbgm_stat &gt;= perc_95, converted_stat * 3, IF(bbgm_stat &gt;= perc_90, converted_stat * 2, IF(bbgm_stat &gt;= perc_85, converted_stat * 1.5, converted_stat)))))</f>
        <v/>
      </c>
      <c r="L376" s="30" t="str">
        <f t="array" ref="L376">IF($A376="", "", LET(bbgm_stat, INDEX(Players!$A375:$P375, MATCH(L$2, Players!$A$1:$P$1, 0)), perc_75, VLOOKUP(L$2, Percentiles!$A$45:$I$59, 6, FALSE), perc_90, VLOOKUP(L$2, Percentiles!$A$45:$I$59, 7, FALSE), perc_95, VLOOKUP(L$2, Percentiles!$A$45:$I$59, 8, FALSE), perc_85, perc_75 + (perc_90 - perc_75) * (2/3), converted_stat, '2K_Ratings'!L376, IF(bbgm_stat &gt;= perc_95, converted_stat * 3, IF(bbgm_stat &gt;= perc_90, converted_stat * 2, IF(bbgm_stat &gt;= perc_85, converted_stat * 1.5, converted_stat)))))</f>
        <v/>
      </c>
      <c r="M376" s="30" t="str">
        <f t="array" ref="M376">IF($A376="", "", LET(bbgm_stat, INDEX(Players!$A375:$P375, MATCH(M$2, Players!$A$1:$P$1, 0)), perc_75, VLOOKUP(M$2, Percentiles!$A$45:$I$59, 6, FALSE), perc_90, VLOOKUP(M$2, Percentiles!$A$45:$I$59, 7, FALSE), perc_95, VLOOKUP(M$2, Percentiles!$A$45:$I$59, 8, FALSE), perc_85, perc_75 + (perc_90 - perc_75) * (2/3), converted_stat, '2K_Ratings'!M376, IF(bbgm_stat &gt;= perc_95, converted_stat * 3, IF(bbgm_stat &gt;= perc_90, converted_stat * 2, IF(bbgm_stat &gt;= perc_85, converted_stat * 1.5, converted_stat)))))</f>
        <v/>
      </c>
      <c r="N376" s="30" t="str">
        <f t="array" ref="N376">IF($A376="", "", LET(bbgm_stat, INDEX(Players!$A375:$P375, MATCH(N$2, Players!$A$1:$P$1, 0)), perc_75, VLOOKUP(N$2, Percentiles!$A$45:$I$59, 6, FALSE), perc_90, VLOOKUP(N$2, Percentiles!$A$45:$I$59, 7, FALSE), perc_95, VLOOKUP(N$2, Percentiles!$A$45:$I$59, 8, FALSE), perc_85, perc_75 + (perc_90 - perc_75) * (2/3), converted_stat, '2K_Ratings'!N376, IF(bbgm_stat &gt;= perc_95, converted_stat * 3, IF(bbgm_stat &gt;= perc_90, converted_stat * 2, IF(bbgm_stat &gt;= perc_85, converted_stat * 1.5, converted_stat)))))</f>
        <v/>
      </c>
      <c r="O376" s="30" t="str">
        <f t="array" ref="O376">IF($A376="", "", LET(bbgm_stat, INDEX(Players!$A375:$P375, MATCH(O$2, Players!$A$1:$P$1, 0)), perc_75, VLOOKUP(O$2, Percentiles!$A$45:$I$59, 6, FALSE), perc_90, VLOOKUP(O$2, Percentiles!$A$45:$I$59, 7, FALSE), perc_95, VLOOKUP(O$2, Percentiles!$A$45:$I$59, 8, FALSE), perc_85, perc_75 + (perc_90 - perc_75) * (2/3), converted_stat, '2K_Ratings'!O376, IF(bbgm_stat &gt;= perc_95, converted_stat * 3, IF(bbgm_stat &gt;= perc_90, converted_stat * 2, IF(bbgm_stat &gt;= perc_85, converted_stat * 1.5, converted_stat)))))</f>
        <v/>
      </c>
      <c r="P376" s="30" t="str">
        <f t="array" ref="P376">IF($A376="", "", LET(bbgm_stat, INDEX(Players!$A375:$P375, MATCH(P$2, Players!$A$1:$P$1, 0)), perc_75, VLOOKUP(P$2, Percentiles!$A$45:$I$59, 6, FALSE), perc_90, VLOOKUP(P$2, Percentiles!$A$45:$I$59, 7, FALSE), perc_95, VLOOKUP(P$2, Percentiles!$A$45:$I$59, 8, FALSE), perc_85, perc_75 + (perc_90 - perc_75) * (2/3), converted_stat, '2K_Ratings'!P376, IF(bbgm_stat &gt;= perc_95, converted_stat * 3, IF(bbgm_stat &gt;= perc_90, converted_stat * 2, IF(bbgm_stat &gt;= perc_85, converted_stat * 1.5, converted_stat)))))</f>
        <v/>
      </c>
      <c r="Q376" s="30" t="str">
        <f t="array" ref="Q376">IF($A376="", "", LET(bbgm_stat, INDEX(Players!$A375:$P375, MATCH(Q$2, Players!$A$1:$P$1, 0)), perc_75, VLOOKUP(Q$2, Percentiles!$A$45:$I$59, 6, FALSE), perc_90, VLOOKUP(Q$2, Percentiles!$A$45:$I$59, 7, FALSE), perc_95, VLOOKUP(Q$2, Percentiles!$A$45:$I$59, 8, FALSE), perc_85, perc_75 + (perc_90 - perc_75) * (2/3), converted_stat, '2K_Ratings'!Q376, IF(bbgm_stat &gt;= perc_95, converted_stat * 3, IF(bbgm_stat &gt;= perc_90, converted_stat * 2, IF(bbgm_stat &gt;= perc_85, converted_stat * 1.5, converted_stat)))))</f>
        <v/>
      </c>
      <c r="R376" s="30" t="str">
        <f t="array" ref="R376">IF($A376="", "", LET(bbgm_stat, INDEX(Players!$A375:$P375, MATCH(R$2, Players!$A$1:$P$1, 0)), perc_75, VLOOKUP(R$2, Percentiles!$A$45:$I$59, 6, FALSE), perc_90, VLOOKUP(R$2, Percentiles!$A$45:$I$59, 7, FALSE), perc_95, VLOOKUP(R$2, Percentiles!$A$45:$I$59, 8, FALSE), perc_85, perc_75 + (perc_90 - perc_75) * (2/3), converted_stat, '2K_Ratings'!R376, IF(bbgm_stat &gt;= perc_95, converted_stat * 3, IF(bbgm_stat &gt;= perc_90, converted_stat * 2, IF(bbgm_stat &gt;= perc_85, converted_stat * 1.5, converted_stat)))))</f>
        <v/>
      </c>
      <c r="S376" s="30" t="str">
        <f t="array" ref="S376">IF($A376="", "", LET(bbgm_stat, INDEX(Players!$A375:$P375, MATCH(S$2, Players!$A$1:$P$1, 0)), perc_75, VLOOKUP(S$2, Percentiles!$A$45:$I$59, 6, FALSE), perc_90, VLOOKUP(S$2, Percentiles!$A$45:$I$59, 7, FALSE), perc_95, VLOOKUP(S$2, Percentiles!$A$45:$I$59, 8, FALSE), perc_85, perc_75 + (perc_90 - perc_75) * (2/3), converted_stat, '2K_Ratings'!S376, IF(bbgm_stat &gt;= perc_95, converted_stat * 3, IF(bbgm_stat &gt;= perc_90, converted_stat * 2, IF(bbgm_stat &gt;= perc_85, converted_stat * 1.5, converted_stat)))))</f>
        <v/>
      </c>
      <c r="T376" s="30" t="str">
        <f t="array" ref="T376">IF($A376="", "", LET(bbgm_stat, INDEX(Players!$A375:$P375, MATCH(T$2, Players!$A$1:$P$1, 0)), perc_75, VLOOKUP(T$2, Percentiles!$A$45:$I$59, 6, FALSE), perc_90, VLOOKUP(T$2, Percentiles!$A$45:$I$59, 7, FALSE), perc_95, VLOOKUP(T$2, Percentiles!$A$45:$I$59, 8, FALSE), perc_85, perc_75 + (perc_90 - perc_75) * (2/3), converted_stat, '2K_Ratings'!T376, IF(bbgm_stat &gt;= perc_95, converted_stat * 3, IF(bbgm_stat &gt;= perc_90, converted_stat * 2, IF(bbgm_stat &gt;= perc_85, converted_stat * 1.5, converted_stat)))))</f>
        <v/>
      </c>
      <c r="U376" s="30" t="str">
        <f t="array" ref="U376">IF($A376="", "", LET(bbgm_stat, INDEX(Players!$A375:$P375, MATCH(U$2, Players!$A$1:$P$1, 0)), perc_75, VLOOKUP(U$2, Percentiles!$A$45:$I$59, 6, FALSE), perc_90, VLOOKUP(U$2, Percentiles!$A$45:$I$59, 7, FALSE), perc_95, VLOOKUP(U$2, Percentiles!$A$45:$I$59, 8, FALSE), perc_85, perc_75 + (perc_90 - perc_75) * (2/3), converted_stat, '2K_Ratings'!U376, IF(bbgm_stat &gt;= perc_95, converted_stat * 3, IF(bbgm_stat &gt;= perc_90, converted_stat * 2, IF(bbgm_stat &gt;= perc_85, converted_stat * 1.5, converted_stat)))))</f>
        <v/>
      </c>
      <c r="V376" s="30" t="str">
        <f t="array" ref="V376">IF($A376="", "", LET(bbgm_stat, INDEX(Players!$A375:$P375, MATCH(V$2, Players!$A$1:$P$1, 0)), perc_75, VLOOKUP(V$2, Percentiles!$A$45:$I$59, 6, FALSE), perc_90, VLOOKUP(V$2, Percentiles!$A$45:$I$59, 7, FALSE), perc_95, VLOOKUP(V$2, Percentiles!$A$45:$I$59, 8, FALSE), perc_85, perc_75 + (perc_90 - perc_75) * (2/3), converted_stat, '2K_Ratings'!V376, IF(bbgm_stat &gt;= perc_95, converted_stat * 3, IF(bbgm_stat &gt;= perc_90, converted_stat * 2, IF(bbgm_stat &gt;= perc_85, converted_stat * 1.5, converted_stat)))))</f>
        <v/>
      </c>
      <c r="W376" s="30" t="str">
        <f t="array" ref="W376">IF($A376="", "", LET(bbgm_stat, INDEX(Players!$A375:$P375, MATCH(W$2, Players!$A$1:$P$1, 0)), perc_75, VLOOKUP(W$2, Percentiles!$A$45:$I$59, 6, FALSE), perc_90, VLOOKUP(W$2, Percentiles!$A$45:$I$59, 7, FALSE), perc_95, VLOOKUP(W$2, Percentiles!$A$45:$I$59, 8, FALSE), perc_85, perc_75 + (perc_90 - perc_75) * (2/3), converted_stat, '2K_Ratings'!W376, IF(bbgm_stat &gt;= perc_95, converted_stat * 3, IF(bbgm_stat &gt;= perc_90, converted_stat * 2, IF(bbgm_stat &gt;= perc_85, converted_stat * 1.5, converted_stat)))))</f>
        <v/>
      </c>
    </row>
    <row r="377">
      <c r="A377" s="30"/>
      <c r="B377" s="30" t="str">
        <f t="array" ref="B377">IF($A377="", "", LET(bbgm_stat, INDEX(Players!$A376:$P376, MATCH(B$2, Players!$A$1:$P$1, 0)), perc_75, VLOOKUP(B$2, Percentiles!$A$45:$I$59, 6, FALSE), perc_90, VLOOKUP(B$2, Percentiles!$A$45:$I$59, 7, FALSE), perc_95, VLOOKUP(B$2, Percentiles!$A$45:$I$59, 8, FALSE), perc_85, perc_75 + (perc_90 - perc_75) * (2/3), converted_stat, '2K_Ratings'!B377, IF(bbgm_stat &gt;= perc_95, converted_stat * 3, IF(bbgm_stat &gt;= perc_90, converted_stat * 2, IF(bbgm_stat &gt;= perc_85, converted_stat * 1.5, converted_stat)))))</f>
        <v/>
      </c>
      <c r="C377" s="30" t="str">
        <f t="array" ref="C377">IF($A377="", "", LET(bbgm_stat, INDEX(Players!$A376:$P376, MATCH(C$2, Players!$A$1:$P$1, 0)), perc_75, VLOOKUP(C$2, Percentiles!$A$45:$I$59, 6, FALSE), perc_90, VLOOKUP(C$2, Percentiles!$A$45:$I$59, 7, FALSE), perc_95, VLOOKUP(C$2, Percentiles!$A$45:$I$59, 8, FALSE), perc_85, perc_75 + (perc_90 - perc_75) * (2/3), converted_stat, '2K_Ratings'!C377, IF(bbgm_stat &gt;= perc_95, converted_stat * 3, IF(bbgm_stat &gt;= perc_90, converted_stat * 2, IF(bbgm_stat &gt;= perc_85, converted_stat * 1.5, converted_stat)))))</f>
        <v/>
      </c>
      <c r="D377" s="30" t="str">
        <f t="array" ref="D377">IF($A377="", "", LET(bbgm_stat, INDEX(Players!$A376:$P376, MATCH(D$2, Players!$A$1:$P$1, 0)), perc_75, VLOOKUP(D$2, Percentiles!$A$45:$I$59, 6, FALSE), perc_90, VLOOKUP(D$2, Percentiles!$A$45:$I$59, 7, FALSE), perc_95, VLOOKUP(D$2, Percentiles!$A$45:$I$59, 8, FALSE), perc_85, perc_75 + (perc_90 - perc_75) * (2/3), converted_stat, '2K_Ratings'!D377, IF(bbgm_stat &gt;= perc_95, converted_stat * 3, IF(bbgm_stat &gt;= perc_90, converted_stat * 2, IF(bbgm_stat &gt;= perc_85, converted_stat * 1.5, converted_stat)))))</f>
        <v/>
      </c>
      <c r="E377" s="30" t="str">
        <f t="array" ref="E377">IF($A377="", "", LET(bbgm_stat, INDEX(Players!$A376:$P376, MATCH(E$2, Players!$A$1:$P$1, 0)), perc_75, VLOOKUP(E$2, Percentiles!$A$45:$I$59, 6, FALSE), perc_90, VLOOKUP(E$2, Percentiles!$A$45:$I$59, 7, FALSE), perc_95, VLOOKUP(E$2, Percentiles!$A$45:$I$59, 8, FALSE), perc_85, perc_75 + (perc_90 - perc_75) * (2/3), converted_stat, '2K_Ratings'!E377, IF(bbgm_stat &gt;= perc_95, converted_stat * 3, IF(bbgm_stat &gt;= perc_90, converted_stat * 2, IF(bbgm_stat &gt;= perc_85, converted_stat * 1.5, converted_stat)))))</f>
        <v/>
      </c>
      <c r="F377" s="30" t="str">
        <f t="array" ref="F377">IF($A377="", "", LET(bbgm_stat, INDEX(Players!$A376:$P376, MATCH(F$2, Players!$A$1:$P$1, 0)), perc_75, VLOOKUP(F$2, Percentiles!$A$45:$I$59, 6, FALSE), perc_90, VLOOKUP(F$2, Percentiles!$A$45:$I$59, 7, FALSE), perc_95, VLOOKUP(F$2, Percentiles!$A$45:$I$59, 8, FALSE), perc_85, perc_75 + (perc_90 - perc_75) * (2/3), converted_stat, '2K_Ratings'!F377, IF(bbgm_stat &gt;= perc_95, converted_stat * 3, IF(bbgm_stat &gt;= perc_90, converted_stat * 2, IF(bbgm_stat &gt;= perc_85, converted_stat * 1.5, converted_stat)))))</f>
        <v/>
      </c>
      <c r="G377" s="30" t="str">
        <f t="array" ref="G377">IF($A377="", "", LET(bbgm_stat, INDEX(Players!$A376:$P376, MATCH(G$2, Players!$A$1:$P$1, 0)), perc_75, VLOOKUP(G$2, Percentiles!$A$45:$I$59, 6, FALSE), perc_90, VLOOKUP(G$2, Percentiles!$A$45:$I$59, 7, FALSE), perc_95, VLOOKUP(G$2, Percentiles!$A$45:$I$59, 8, FALSE), perc_85, perc_75 + (perc_90 - perc_75) * (2/3), converted_stat, '2K_Ratings'!G377, IF(bbgm_stat &gt;= perc_95, converted_stat * 3, IF(bbgm_stat &gt;= perc_90, converted_stat * 2, IF(bbgm_stat &gt;= perc_85, converted_stat * 1.5, converted_stat)))))</f>
        <v/>
      </c>
      <c r="H377" s="30" t="str">
        <f t="array" ref="H377">IF($A377="", "", LET(bbgm_stat, INDEX(Players!$A376:$P376, MATCH(H$2, Players!$A$1:$P$1, 0)), perc_75, VLOOKUP(H$2, Percentiles!$A$45:$I$59, 6, FALSE), perc_90, VLOOKUP(H$2, Percentiles!$A$45:$I$59, 7, FALSE), perc_95, VLOOKUP(H$2, Percentiles!$A$45:$I$59, 8, FALSE), perc_85, perc_75 + (perc_90 - perc_75) * (2/3), converted_stat, '2K_Ratings'!H377, IF(bbgm_stat &gt;= perc_95, converted_stat * 3, IF(bbgm_stat &gt;= perc_90, converted_stat * 2, IF(bbgm_stat &gt;= perc_85, converted_stat * 1.5, converted_stat)))))</f>
        <v/>
      </c>
      <c r="I377" s="30" t="str">
        <f t="array" ref="I377">IF($A377="", "", LET(bbgm_stat, INDEX(Players!$A376:$P376, MATCH(I$2, Players!$A$1:$P$1, 0)), perc_75, VLOOKUP(I$2, Percentiles!$A$45:$I$59, 6, FALSE), perc_90, VLOOKUP(I$2, Percentiles!$A$45:$I$59, 7, FALSE), perc_95, VLOOKUP(I$2, Percentiles!$A$45:$I$59, 8, FALSE), perc_85, perc_75 + (perc_90 - perc_75) * (2/3), converted_stat, '2K_Ratings'!I377, IF(bbgm_stat &gt;= perc_95, converted_stat * 3, IF(bbgm_stat &gt;= perc_90, converted_stat * 2, IF(bbgm_stat &gt;= perc_85, converted_stat * 1.5, converted_stat)))))</f>
        <v/>
      </c>
      <c r="J377" s="30" t="str">
        <f t="array" ref="J377">IF($A377="", "", LET(bbgm_stat, INDEX(Players!$A376:$P376, MATCH(J$2, Players!$A$1:$P$1, 0)), perc_75, VLOOKUP(J$2, Percentiles!$A$45:$I$59, 6, FALSE), perc_90, VLOOKUP(J$2, Percentiles!$A$45:$I$59, 7, FALSE), perc_95, VLOOKUP(J$2, Percentiles!$A$45:$I$59, 8, FALSE), perc_85, perc_75 + (perc_90 - perc_75) * (2/3), converted_stat, '2K_Ratings'!J377, IF(bbgm_stat &gt;= perc_95, converted_stat * 3, IF(bbgm_stat &gt;= perc_90, converted_stat * 2, IF(bbgm_stat &gt;= perc_85, converted_stat * 1.5, converted_stat)))))</f>
        <v/>
      </c>
      <c r="K377" s="30" t="str">
        <f t="array" ref="K377">IF($A377="", "", LET(bbgm_stat, INDEX(Players!$A376:$P376, MATCH(K$2, Players!$A$1:$P$1, 0)), perc_75, VLOOKUP(K$2, Percentiles!$A$45:$I$59, 6, FALSE), perc_90, VLOOKUP(K$2, Percentiles!$A$45:$I$59, 7, FALSE), perc_95, VLOOKUP(K$2, Percentiles!$A$45:$I$59, 8, FALSE), perc_85, perc_75 + (perc_90 - perc_75) * (2/3), converted_stat, '2K_Ratings'!K377, IF(bbgm_stat &gt;= perc_95, converted_stat * 3, IF(bbgm_stat &gt;= perc_90, converted_stat * 2, IF(bbgm_stat &gt;= perc_85, converted_stat * 1.5, converted_stat)))))</f>
        <v/>
      </c>
      <c r="L377" s="30" t="str">
        <f t="array" ref="L377">IF($A377="", "", LET(bbgm_stat, INDEX(Players!$A376:$P376, MATCH(L$2, Players!$A$1:$P$1, 0)), perc_75, VLOOKUP(L$2, Percentiles!$A$45:$I$59, 6, FALSE), perc_90, VLOOKUP(L$2, Percentiles!$A$45:$I$59, 7, FALSE), perc_95, VLOOKUP(L$2, Percentiles!$A$45:$I$59, 8, FALSE), perc_85, perc_75 + (perc_90 - perc_75) * (2/3), converted_stat, '2K_Ratings'!L377, IF(bbgm_stat &gt;= perc_95, converted_stat * 3, IF(bbgm_stat &gt;= perc_90, converted_stat * 2, IF(bbgm_stat &gt;= perc_85, converted_stat * 1.5, converted_stat)))))</f>
        <v/>
      </c>
      <c r="M377" s="30" t="str">
        <f t="array" ref="M377">IF($A377="", "", LET(bbgm_stat, INDEX(Players!$A376:$P376, MATCH(M$2, Players!$A$1:$P$1, 0)), perc_75, VLOOKUP(M$2, Percentiles!$A$45:$I$59, 6, FALSE), perc_90, VLOOKUP(M$2, Percentiles!$A$45:$I$59, 7, FALSE), perc_95, VLOOKUP(M$2, Percentiles!$A$45:$I$59, 8, FALSE), perc_85, perc_75 + (perc_90 - perc_75) * (2/3), converted_stat, '2K_Ratings'!M377, IF(bbgm_stat &gt;= perc_95, converted_stat * 3, IF(bbgm_stat &gt;= perc_90, converted_stat * 2, IF(bbgm_stat &gt;= perc_85, converted_stat * 1.5, converted_stat)))))</f>
        <v/>
      </c>
      <c r="N377" s="30" t="str">
        <f t="array" ref="N377">IF($A377="", "", LET(bbgm_stat, INDEX(Players!$A376:$P376, MATCH(N$2, Players!$A$1:$P$1, 0)), perc_75, VLOOKUP(N$2, Percentiles!$A$45:$I$59, 6, FALSE), perc_90, VLOOKUP(N$2, Percentiles!$A$45:$I$59, 7, FALSE), perc_95, VLOOKUP(N$2, Percentiles!$A$45:$I$59, 8, FALSE), perc_85, perc_75 + (perc_90 - perc_75) * (2/3), converted_stat, '2K_Ratings'!N377, IF(bbgm_stat &gt;= perc_95, converted_stat * 3, IF(bbgm_stat &gt;= perc_90, converted_stat * 2, IF(bbgm_stat &gt;= perc_85, converted_stat * 1.5, converted_stat)))))</f>
        <v/>
      </c>
      <c r="O377" s="30" t="str">
        <f t="array" ref="O377">IF($A377="", "", LET(bbgm_stat, INDEX(Players!$A376:$P376, MATCH(O$2, Players!$A$1:$P$1, 0)), perc_75, VLOOKUP(O$2, Percentiles!$A$45:$I$59, 6, FALSE), perc_90, VLOOKUP(O$2, Percentiles!$A$45:$I$59, 7, FALSE), perc_95, VLOOKUP(O$2, Percentiles!$A$45:$I$59, 8, FALSE), perc_85, perc_75 + (perc_90 - perc_75) * (2/3), converted_stat, '2K_Ratings'!O377, IF(bbgm_stat &gt;= perc_95, converted_stat * 3, IF(bbgm_stat &gt;= perc_90, converted_stat * 2, IF(bbgm_stat &gt;= perc_85, converted_stat * 1.5, converted_stat)))))</f>
        <v/>
      </c>
      <c r="P377" s="30" t="str">
        <f t="array" ref="P377">IF($A377="", "", LET(bbgm_stat, INDEX(Players!$A376:$P376, MATCH(P$2, Players!$A$1:$P$1, 0)), perc_75, VLOOKUP(P$2, Percentiles!$A$45:$I$59, 6, FALSE), perc_90, VLOOKUP(P$2, Percentiles!$A$45:$I$59, 7, FALSE), perc_95, VLOOKUP(P$2, Percentiles!$A$45:$I$59, 8, FALSE), perc_85, perc_75 + (perc_90 - perc_75) * (2/3), converted_stat, '2K_Ratings'!P377, IF(bbgm_stat &gt;= perc_95, converted_stat * 3, IF(bbgm_stat &gt;= perc_90, converted_stat * 2, IF(bbgm_stat &gt;= perc_85, converted_stat * 1.5, converted_stat)))))</f>
        <v/>
      </c>
      <c r="Q377" s="30" t="str">
        <f t="array" ref="Q377">IF($A377="", "", LET(bbgm_stat, INDEX(Players!$A376:$P376, MATCH(Q$2, Players!$A$1:$P$1, 0)), perc_75, VLOOKUP(Q$2, Percentiles!$A$45:$I$59, 6, FALSE), perc_90, VLOOKUP(Q$2, Percentiles!$A$45:$I$59, 7, FALSE), perc_95, VLOOKUP(Q$2, Percentiles!$A$45:$I$59, 8, FALSE), perc_85, perc_75 + (perc_90 - perc_75) * (2/3), converted_stat, '2K_Ratings'!Q377, IF(bbgm_stat &gt;= perc_95, converted_stat * 3, IF(bbgm_stat &gt;= perc_90, converted_stat * 2, IF(bbgm_stat &gt;= perc_85, converted_stat * 1.5, converted_stat)))))</f>
        <v/>
      </c>
      <c r="R377" s="30" t="str">
        <f t="array" ref="R377">IF($A377="", "", LET(bbgm_stat, INDEX(Players!$A376:$P376, MATCH(R$2, Players!$A$1:$P$1, 0)), perc_75, VLOOKUP(R$2, Percentiles!$A$45:$I$59, 6, FALSE), perc_90, VLOOKUP(R$2, Percentiles!$A$45:$I$59, 7, FALSE), perc_95, VLOOKUP(R$2, Percentiles!$A$45:$I$59, 8, FALSE), perc_85, perc_75 + (perc_90 - perc_75) * (2/3), converted_stat, '2K_Ratings'!R377, IF(bbgm_stat &gt;= perc_95, converted_stat * 3, IF(bbgm_stat &gt;= perc_90, converted_stat * 2, IF(bbgm_stat &gt;= perc_85, converted_stat * 1.5, converted_stat)))))</f>
        <v/>
      </c>
      <c r="S377" s="30" t="str">
        <f t="array" ref="S377">IF($A377="", "", LET(bbgm_stat, INDEX(Players!$A376:$P376, MATCH(S$2, Players!$A$1:$P$1, 0)), perc_75, VLOOKUP(S$2, Percentiles!$A$45:$I$59, 6, FALSE), perc_90, VLOOKUP(S$2, Percentiles!$A$45:$I$59, 7, FALSE), perc_95, VLOOKUP(S$2, Percentiles!$A$45:$I$59, 8, FALSE), perc_85, perc_75 + (perc_90 - perc_75) * (2/3), converted_stat, '2K_Ratings'!S377, IF(bbgm_stat &gt;= perc_95, converted_stat * 3, IF(bbgm_stat &gt;= perc_90, converted_stat * 2, IF(bbgm_stat &gt;= perc_85, converted_stat * 1.5, converted_stat)))))</f>
        <v/>
      </c>
      <c r="T377" s="30" t="str">
        <f t="array" ref="T377">IF($A377="", "", LET(bbgm_stat, INDEX(Players!$A376:$P376, MATCH(T$2, Players!$A$1:$P$1, 0)), perc_75, VLOOKUP(T$2, Percentiles!$A$45:$I$59, 6, FALSE), perc_90, VLOOKUP(T$2, Percentiles!$A$45:$I$59, 7, FALSE), perc_95, VLOOKUP(T$2, Percentiles!$A$45:$I$59, 8, FALSE), perc_85, perc_75 + (perc_90 - perc_75) * (2/3), converted_stat, '2K_Ratings'!T377, IF(bbgm_stat &gt;= perc_95, converted_stat * 3, IF(bbgm_stat &gt;= perc_90, converted_stat * 2, IF(bbgm_stat &gt;= perc_85, converted_stat * 1.5, converted_stat)))))</f>
        <v/>
      </c>
      <c r="U377" s="30" t="str">
        <f t="array" ref="U377">IF($A377="", "", LET(bbgm_stat, INDEX(Players!$A376:$P376, MATCH(U$2, Players!$A$1:$P$1, 0)), perc_75, VLOOKUP(U$2, Percentiles!$A$45:$I$59, 6, FALSE), perc_90, VLOOKUP(U$2, Percentiles!$A$45:$I$59, 7, FALSE), perc_95, VLOOKUP(U$2, Percentiles!$A$45:$I$59, 8, FALSE), perc_85, perc_75 + (perc_90 - perc_75) * (2/3), converted_stat, '2K_Ratings'!U377, IF(bbgm_stat &gt;= perc_95, converted_stat * 3, IF(bbgm_stat &gt;= perc_90, converted_stat * 2, IF(bbgm_stat &gt;= perc_85, converted_stat * 1.5, converted_stat)))))</f>
        <v/>
      </c>
      <c r="V377" s="30" t="str">
        <f t="array" ref="V377">IF($A377="", "", LET(bbgm_stat, INDEX(Players!$A376:$P376, MATCH(V$2, Players!$A$1:$P$1, 0)), perc_75, VLOOKUP(V$2, Percentiles!$A$45:$I$59, 6, FALSE), perc_90, VLOOKUP(V$2, Percentiles!$A$45:$I$59, 7, FALSE), perc_95, VLOOKUP(V$2, Percentiles!$A$45:$I$59, 8, FALSE), perc_85, perc_75 + (perc_90 - perc_75) * (2/3), converted_stat, '2K_Ratings'!V377, IF(bbgm_stat &gt;= perc_95, converted_stat * 3, IF(bbgm_stat &gt;= perc_90, converted_stat * 2, IF(bbgm_stat &gt;= perc_85, converted_stat * 1.5, converted_stat)))))</f>
        <v/>
      </c>
      <c r="W377" s="30" t="str">
        <f t="array" ref="W377">IF($A377="", "", LET(bbgm_stat, INDEX(Players!$A376:$P376, MATCH(W$2, Players!$A$1:$P$1, 0)), perc_75, VLOOKUP(W$2, Percentiles!$A$45:$I$59, 6, FALSE), perc_90, VLOOKUP(W$2, Percentiles!$A$45:$I$59, 7, FALSE), perc_95, VLOOKUP(W$2, Percentiles!$A$45:$I$59, 8, FALSE), perc_85, perc_75 + (perc_90 - perc_75) * (2/3), converted_stat, '2K_Ratings'!W377, IF(bbgm_stat &gt;= perc_95, converted_stat * 3, IF(bbgm_stat &gt;= perc_90, converted_stat * 2, IF(bbgm_stat &gt;= perc_85, converted_stat * 1.5, converted_stat)))))</f>
        <v/>
      </c>
    </row>
    <row r="378">
      <c r="A378" s="30"/>
      <c r="B378" s="30" t="str">
        <f t="array" ref="B378">IF($A378="", "", LET(bbgm_stat, INDEX(Players!$A377:$P377, MATCH(B$2, Players!$A$1:$P$1, 0)), perc_75, VLOOKUP(B$2, Percentiles!$A$45:$I$59, 6, FALSE), perc_90, VLOOKUP(B$2, Percentiles!$A$45:$I$59, 7, FALSE), perc_95, VLOOKUP(B$2, Percentiles!$A$45:$I$59, 8, FALSE), perc_85, perc_75 + (perc_90 - perc_75) * (2/3), converted_stat, '2K_Ratings'!B378, IF(bbgm_stat &gt;= perc_95, converted_stat * 3, IF(bbgm_stat &gt;= perc_90, converted_stat * 2, IF(bbgm_stat &gt;= perc_85, converted_stat * 1.5, converted_stat)))))</f>
        <v/>
      </c>
      <c r="C378" s="30" t="str">
        <f t="array" ref="C378">IF($A378="", "", LET(bbgm_stat, INDEX(Players!$A377:$P377, MATCH(C$2, Players!$A$1:$P$1, 0)), perc_75, VLOOKUP(C$2, Percentiles!$A$45:$I$59, 6, FALSE), perc_90, VLOOKUP(C$2, Percentiles!$A$45:$I$59, 7, FALSE), perc_95, VLOOKUP(C$2, Percentiles!$A$45:$I$59, 8, FALSE), perc_85, perc_75 + (perc_90 - perc_75) * (2/3), converted_stat, '2K_Ratings'!C378, IF(bbgm_stat &gt;= perc_95, converted_stat * 3, IF(bbgm_stat &gt;= perc_90, converted_stat * 2, IF(bbgm_stat &gt;= perc_85, converted_stat * 1.5, converted_stat)))))</f>
        <v/>
      </c>
      <c r="D378" s="30" t="str">
        <f t="array" ref="D378">IF($A378="", "", LET(bbgm_stat, INDEX(Players!$A377:$P377, MATCH(D$2, Players!$A$1:$P$1, 0)), perc_75, VLOOKUP(D$2, Percentiles!$A$45:$I$59, 6, FALSE), perc_90, VLOOKUP(D$2, Percentiles!$A$45:$I$59, 7, FALSE), perc_95, VLOOKUP(D$2, Percentiles!$A$45:$I$59, 8, FALSE), perc_85, perc_75 + (perc_90 - perc_75) * (2/3), converted_stat, '2K_Ratings'!D378, IF(bbgm_stat &gt;= perc_95, converted_stat * 3, IF(bbgm_stat &gt;= perc_90, converted_stat * 2, IF(bbgm_stat &gt;= perc_85, converted_stat * 1.5, converted_stat)))))</f>
        <v/>
      </c>
      <c r="E378" s="30" t="str">
        <f t="array" ref="E378">IF($A378="", "", LET(bbgm_stat, INDEX(Players!$A377:$P377, MATCH(E$2, Players!$A$1:$P$1, 0)), perc_75, VLOOKUP(E$2, Percentiles!$A$45:$I$59, 6, FALSE), perc_90, VLOOKUP(E$2, Percentiles!$A$45:$I$59, 7, FALSE), perc_95, VLOOKUP(E$2, Percentiles!$A$45:$I$59, 8, FALSE), perc_85, perc_75 + (perc_90 - perc_75) * (2/3), converted_stat, '2K_Ratings'!E378, IF(bbgm_stat &gt;= perc_95, converted_stat * 3, IF(bbgm_stat &gt;= perc_90, converted_stat * 2, IF(bbgm_stat &gt;= perc_85, converted_stat * 1.5, converted_stat)))))</f>
        <v/>
      </c>
      <c r="F378" s="30" t="str">
        <f t="array" ref="F378">IF($A378="", "", LET(bbgm_stat, INDEX(Players!$A377:$P377, MATCH(F$2, Players!$A$1:$P$1, 0)), perc_75, VLOOKUP(F$2, Percentiles!$A$45:$I$59, 6, FALSE), perc_90, VLOOKUP(F$2, Percentiles!$A$45:$I$59, 7, FALSE), perc_95, VLOOKUP(F$2, Percentiles!$A$45:$I$59, 8, FALSE), perc_85, perc_75 + (perc_90 - perc_75) * (2/3), converted_stat, '2K_Ratings'!F378, IF(bbgm_stat &gt;= perc_95, converted_stat * 3, IF(bbgm_stat &gt;= perc_90, converted_stat * 2, IF(bbgm_stat &gt;= perc_85, converted_stat * 1.5, converted_stat)))))</f>
        <v/>
      </c>
      <c r="G378" s="30" t="str">
        <f t="array" ref="G378">IF($A378="", "", LET(bbgm_stat, INDEX(Players!$A377:$P377, MATCH(G$2, Players!$A$1:$P$1, 0)), perc_75, VLOOKUP(G$2, Percentiles!$A$45:$I$59, 6, FALSE), perc_90, VLOOKUP(G$2, Percentiles!$A$45:$I$59, 7, FALSE), perc_95, VLOOKUP(G$2, Percentiles!$A$45:$I$59, 8, FALSE), perc_85, perc_75 + (perc_90 - perc_75) * (2/3), converted_stat, '2K_Ratings'!G378, IF(bbgm_stat &gt;= perc_95, converted_stat * 3, IF(bbgm_stat &gt;= perc_90, converted_stat * 2, IF(bbgm_stat &gt;= perc_85, converted_stat * 1.5, converted_stat)))))</f>
        <v/>
      </c>
      <c r="H378" s="30" t="str">
        <f t="array" ref="H378">IF($A378="", "", LET(bbgm_stat, INDEX(Players!$A377:$P377, MATCH(H$2, Players!$A$1:$P$1, 0)), perc_75, VLOOKUP(H$2, Percentiles!$A$45:$I$59, 6, FALSE), perc_90, VLOOKUP(H$2, Percentiles!$A$45:$I$59, 7, FALSE), perc_95, VLOOKUP(H$2, Percentiles!$A$45:$I$59, 8, FALSE), perc_85, perc_75 + (perc_90 - perc_75) * (2/3), converted_stat, '2K_Ratings'!H378, IF(bbgm_stat &gt;= perc_95, converted_stat * 3, IF(bbgm_stat &gt;= perc_90, converted_stat * 2, IF(bbgm_stat &gt;= perc_85, converted_stat * 1.5, converted_stat)))))</f>
        <v/>
      </c>
      <c r="I378" s="30" t="str">
        <f t="array" ref="I378">IF($A378="", "", LET(bbgm_stat, INDEX(Players!$A377:$P377, MATCH(I$2, Players!$A$1:$P$1, 0)), perc_75, VLOOKUP(I$2, Percentiles!$A$45:$I$59, 6, FALSE), perc_90, VLOOKUP(I$2, Percentiles!$A$45:$I$59, 7, FALSE), perc_95, VLOOKUP(I$2, Percentiles!$A$45:$I$59, 8, FALSE), perc_85, perc_75 + (perc_90 - perc_75) * (2/3), converted_stat, '2K_Ratings'!I378, IF(bbgm_stat &gt;= perc_95, converted_stat * 3, IF(bbgm_stat &gt;= perc_90, converted_stat * 2, IF(bbgm_stat &gt;= perc_85, converted_stat * 1.5, converted_stat)))))</f>
        <v/>
      </c>
      <c r="J378" s="30" t="str">
        <f t="array" ref="J378">IF($A378="", "", LET(bbgm_stat, INDEX(Players!$A377:$P377, MATCH(J$2, Players!$A$1:$P$1, 0)), perc_75, VLOOKUP(J$2, Percentiles!$A$45:$I$59, 6, FALSE), perc_90, VLOOKUP(J$2, Percentiles!$A$45:$I$59, 7, FALSE), perc_95, VLOOKUP(J$2, Percentiles!$A$45:$I$59, 8, FALSE), perc_85, perc_75 + (perc_90 - perc_75) * (2/3), converted_stat, '2K_Ratings'!J378, IF(bbgm_stat &gt;= perc_95, converted_stat * 3, IF(bbgm_stat &gt;= perc_90, converted_stat * 2, IF(bbgm_stat &gt;= perc_85, converted_stat * 1.5, converted_stat)))))</f>
        <v/>
      </c>
      <c r="K378" s="30" t="str">
        <f t="array" ref="K378">IF($A378="", "", LET(bbgm_stat, INDEX(Players!$A377:$P377, MATCH(K$2, Players!$A$1:$P$1, 0)), perc_75, VLOOKUP(K$2, Percentiles!$A$45:$I$59, 6, FALSE), perc_90, VLOOKUP(K$2, Percentiles!$A$45:$I$59, 7, FALSE), perc_95, VLOOKUP(K$2, Percentiles!$A$45:$I$59, 8, FALSE), perc_85, perc_75 + (perc_90 - perc_75) * (2/3), converted_stat, '2K_Ratings'!K378, IF(bbgm_stat &gt;= perc_95, converted_stat * 3, IF(bbgm_stat &gt;= perc_90, converted_stat * 2, IF(bbgm_stat &gt;= perc_85, converted_stat * 1.5, converted_stat)))))</f>
        <v/>
      </c>
      <c r="L378" s="30" t="str">
        <f t="array" ref="L378">IF($A378="", "", LET(bbgm_stat, INDEX(Players!$A377:$P377, MATCH(L$2, Players!$A$1:$P$1, 0)), perc_75, VLOOKUP(L$2, Percentiles!$A$45:$I$59, 6, FALSE), perc_90, VLOOKUP(L$2, Percentiles!$A$45:$I$59, 7, FALSE), perc_95, VLOOKUP(L$2, Percentiles!$A$45:$I$59, 8, FALSE), perc_85, perc_75 + (perc_90 - perc_75) * (2/3), converted_stat, '2K_Ratings'!L378, IF(bbgm_stat &gt;= perc_95, converted_stat * 3, IF(bbgm_stat &gt;= perc_90, converted_stat * 2, IF(bbgm_stat &gt;= perc_85, converted_stat * 1.5, converted_stat)))))</f>
        <v/>
      </c>
      <c r="M378" s="30" t="str">
        <f t="array" ref="M378">IF($A378="", "", LET(bbgm_stat, INDEX(Players!$A377:$P377, MATCH(M$2, Players!$A$1:$P$1, 0)), perc_75, VLOOKUP(M$2, Percentiles!$A$45:$I$59, 6, FALSE), perc_90, VLOOKUP(M$2, Percentiles!$A$45:$I$59, 7, FALSE), perc_95, VLOOKUP(M$2, Percentiles!$A$45:$I$59, 8, FALSE), perc_85, perc_75 + (perc_90 - perc_75) * (2/3), converted_stat, '2K_Ratings'!M378, IF(bbgm_stat &gt;= perc_95, converted_stat * 3, IF(bbgm_stat &gt;= perc_90, converted_stat * 2, IF(bbgm_stat &gt;= perc_85, converted_stat * 1.5, converted_stat)))))</f>
        <v/>
      </c>
      <c r="N378" s="30" t="str">
        <f t="array" ref="N378">IF($A378="", "", LET(bbgm_stat, INDEX(Players!$A377:$P377, MATCH(N$2, Players!$A$1:$P$1, 0)), perc_75, VLOOKUP(N$2, Percentiles!$A$45:$I$59, 6, FALSE), perc_90, VLOOKUP(N$2, Percentiles!$A$45:$I$59, 7, FALSE), perc_95, VLOOKUP(N$2, Percentiles!$A$45:$I$59, 8, FALSE), perc_85, perc_75 + (perc_90 - perc_75) * (2/3), converted_stat, '2K_Ratings'!N378, IF(bbgm_stat &gt;= perc_95, converted_stat * 3, IF(bbgm_stat &gt;= perc_90, converted_stat * 2, IF(bbgm_stat &gt;= perc_85, converted_stat * 1.5, converted_stat)))))</f>
        <v/>
      </c>
      <c r="O378" s="30" t="str">
        <f t="array" ref="O378">IF($A378="", "", LET(bbgm_stat, INDEX(Players!$A377:$P377, MATCH(O$2, Players!$A$1:$P$1, 0)), perc_75, VLOOKUP(O$2, Percentiles!$A$45:$I$59, 6, FALSE), perc_90, VLOOKUP(O$2, Percentiles!$A$45:$I$59, 7, FALSE), perc_95, VLOOKUP(O$2, Percentiles!$A$45:$I$59, 8, FALSE), perc_85, perc_75 + (perc_90 - perc_75) * (2/3), converted_stat, '2K_Ratings'!O378, IF(bbgm_stat &gt;= perc_95, converted_stat * 3, IF(bbgm_stat &gt;= perc_90, converted_stat * 2, IF(bbgm_stat &gt;= perc_85, converted_stat * 1.5, converted_stat)))))</f>
        <v/>
      </c>
      <c r="P378" s="30" t="str">
        <f t="array" ref="P378">IF($A378="", "", LET(bbgm_stat, INDEX(Players!$A377:$P377, MATCH(P$2, Players!$A$1:$P$1, 0)), perc_75, VLOOKUP(P$2, Percentiles!$A$45:$I$59, 6, FALSE), perc_90, VLOOKUP(P$2, Percentiles!$A$45:$I$59, 7, FALSE), perc_95, VLOOKUP(P$2, Percentiles!$A$45:$I$59, 8, FALSE), perc_85, perc_75 + (perc_90 - perc_75) * (2/3), converted_stat, '2K_Ratings'!P378, IF(bbgm_stat &gt;= perc_95, converted_stat * 3, IF(bbgm_stat &gt;= perc_90, converted_stat * 2, IF(bbgm_stat &gt;= perc_85, converted_stat * 1.5, converted_stat)))))</f>
        <v/>
      </c>
      <c r="Q378" s="30" t="str">
        <f t="array" ref="Q378">IF($A378="", "", LET(bbgm_stat, INDEX(Players!$A377:$P377, MATCH(Q$2, Players!$A$1:$P$1, 0)), perc_75, VLOOKUP(Q$2, Percentiles!$A$45:$I$59, 6, FALSE), perc_90, VLOOKUP(Q$2, Percentiles!$A$45:$I$59, 7, FALSE), perc_95, VLOOKUP(Q$2, Percentiles!$A$45:$I$59, 8, FALSE), perc_85, perc_75 + (perc_90 - perc_75) * (2/3), converted_stat, '2K_Ratings'!Q378, IF(bbgm_stat &gt;= perc_95, converted_stat * 3, IF(bbgm_stat &gt;= perc_90, converted_stat * 2, IF(bbgm_stat &gt;= perc_85, converted_stat * 1.5, converted_stat)))))</f>
        <v/>
      </c>
      <c r="R378" s="30" t="str">
        <f t="array" ref="R378">IF($A378="", "", LET(bbgm_stat, INDEX(Players!$A377:$P377, MATCH(R$2, Players!$A$1:$P$1, 0)), perc_75, VLOOKUP(R$2, Percentiles!$A$45:$I$59, 6, FALSE), perc_90, VLOOKUP(R$2, Percentiles!$A$45:$I$59, 7, FALSE), perc_95, VLOOKUP(R$2, Percentiles!$A$45:$I$59, 8, FALSE), perc_85, perc_75 + (perc_90 - perc_75) * (2/3), converted_stat, '2K_Ratings'!R378, IF(bbgm_stat &gt;= perc_95, converted_stat * 3, IF(bbgm_stat &gt;= perc_90, converted_stat * 2, IF(bbgm_stat &gt;= perc_85, converted_stat * 1.5, converted_stat)))))</f>
        <v/>
      </c>
      <c r="S378" s="30" t="str">
        <f t="array" ref="S378">IF($A378="", "", LET(bbgm_stat, INDEX(Players!$A377:$P377, MATCH(S$2, Players!$A$1:$P$1, 0)), perc_75, VLOOKUP(S$2, Percentiles!$A$45:$I$59, 6, FALSE), perc_90, VLOOKUP(S$2, Percentiles!$A$45:$I$59, 7, FALSE), perc_95, VLOOKUP(S$2, Percentiles!$A$45:$I$59, 8, FALSE), perc_85, perc_75 + (perc_90 - perc_75) * (2/3), converted_stat, '2K_Ratings'!S378, IF(bbgm_stat &gt;= perc_95, converted_stat * 3, IF(bbgm_stat &gt;= perc_90, converted_stat * 2, IF(bbgm_stat &gt;= perc_85, converted_stat * 1.5, converted_stat)))))</f>
        <v/>
      </c>
      <c r="T378" s="30" t="str">
        <f t="array" ref="T378">IF($A378="", "", LET(bbgm_stat, INDEX(Players!$A377:$P377, MATCH(T$2, Players!$A$1:$P$1, 0)), perc_75, VLOOKUP(T$2, Percentiles!$A$45:$I$59, 6, FALSE), perc_90, VLOOKUP(T$2, Percentiles!$A$45:$I$59, 7, FALSE), perc_95, VLOOKUP(T$2, Percentiles!$A$45:$I$59, 8, FALSE), perc_85, perc_75 + (perc_90 - perc_75) * (2/3), converted_stat, '2K_Ratings'!T378, IF(bbgm_stat &gt;= perc_95, converted_stat * 3, IF(bbgm_stat &gt;= perc_90, converted_stat * 2, IF(bbgm_stat &gt;= perc_85, converted_stat * 1.5, converted_stat)))))</f>
        <v/>
      </c>
      <c r="U378" s="30" t="str">
        <f t="array" ref="U378">IF($A378="", "", LET(bbgm_stat, INDEX(Players!$A377:$P377, MATCH(U$2, Players!$A$1:$P$1, 0)), perc_75, VLOOKUP(U$2, Percentiles!$A$45:$I$59, 6, FALSE), perc_90, VLOOKUP(U$2, Percentiles!$A$45:$I$59, 7, FALSE), perc_95, VLOOKUP(U$2, Percentiles!$A$45:$I$59, 8, FALSE), perc_85, perc_75 + (perc_90 - perc_75) * (2/3), converted_stat, '2K_Ratings'!U378, IF(bbgm_stat &gt;= perc_95, converted_stat * 3, IF(bbgm_stat &gt;= perc_90, converted_stat * 2, IF(bbgm_stat &gt;= perc_85, converted_stat * 1.5, converted_stat)))))</f>
        <v/>
      </c>
      <c r="V378" s="30" t="str">
        <f t="array" ref="V378">IF($A378="", "", LET(bbgm_stat, INDEX(Players!$A377:$P377, MATCH(V$2, Players!$A$1:$P$1, 0)), perc_75, VLOOKUP(V$2, Percentiles!$A$45:$I$59, 6, FALSE), perc_90, VLOOKUP(V$2, Percentiles!$A$45:$I$59, 7, FALSE), perc_95, VLOOKUP(V$2, Percentiles!$A$45:$I$59, 8, FALSE), perc_85, perc_75 + (perc_90 - perc_75) * (2/3), converted_stat, '2K_Ratings'!V378, IF(bbgm_stat &gt;= perc_95, converted_stat * 3, IF(bbgm_stat &gt;= perc_90, converted_stat * 2, IF(bbgm_stat &gt;= perc_85, converted_stat * 1.5, converted_stat)))))</f>
        <v/>
      </c>
      <c r="W378" s="30" t="str">
        <f t="array" ref="W378">IF($A378="", "", LET(bbgm_stat, INDEX(Players!$A377:$P377, MATCH(W$2, Players!$A$1:$P$1, 0)), perc_75, VLOOKUP(W$2, Percentiles!$A$45:$I$59, 6, FALSE), perc_90, VLOOKUP(W$2, Percentiles!$A$45:$I$59, 7, FALSE), perc_95, VLOOKUP(W$2, Percentiles!$A$45:$I$59, 8, FALSE), perc_85, perc_75 + (perc_90 - perc_75) * (2/3), converted_stat, '2K_Ratings'!W378, IF(bbgm_stat &gt;= perc_95, converted_stat * 3, IF(bbgm_stat &gt;= perc_90, converted_stat * 2, IF(bbgm_stat &gt;= perc_85, converted_stat * 1.5, converted_stat)))))</f>
        <v/>
      </c>
    </row>
    <row r="379">
      <c r="A379" s="30"/>
      <c r="B379" s="30" t="str">
        <f t="array" ref="B379">IF($A379="", "", LET(bbgm_stat, INDEX(Players!$A378:$P378, MATCH(B$2, Players!$A$1:$P$1, 0)), perc_75, VLOOKUP(B$2, Percentiles!$A$45:$I$59, 6, FALSE), perc_90, VLOOKUP(B$2, Percentiles!$A$45:$I$59, 7, FALSE), perc_95, VLOOKUP(B$2, Percentiles!$A$45:$I$59, 8, FALSE), perc_85, perc_75 + (perc_90 - perc_75) * (2/3), converted_stat, '2K_Ratings'!B379, IF(bbgm_stat &gt;= perc_95, converted_stat * 3, IF(bbgm_stat &gt;= perc_90, converted_stat * 2, IF(bbgm_stat &gt;= perc_85, converted_stat * 1.5, converted_stat)))))</f>
        <v/>
      </c>
      <c r="C379" s="30" t="str">
        <f t="array" ref="C379">IF($A379="", "", LET(bbgm_stat, INDEX(Players!$A378:$P378, MATCH(C$2, Players!$A$1:$P$1, 0)), perc_75, VLOOKUP(C$2, Percentiles!$A$45:$I$59, 6, FALSE), perc_90, VLOOKUP(C$2, Percentiles!$A$45:$I$59, 7, FALSE), perc_95, VLOOKUP(C$2, Percentiles!$A$45:$I$59, 8, FALSE), perc_85, perc_75 + (perc_90 - perc_75) * (2/3), converted_stat, '2K_Ratings'!C379, IF(bbgm_stat &gt;= perc_95, converted_stat * 3, IF(bbgm_stat &gt;= perc_90, converted_stat * 2, IF(bbgm_stat &gt;= perc_85, converted_stat * 1.5, converted_stat)))))</f>
        <v/>
      </c>
      <c r="D379" s="30" t="str">
        <f t="array" ref="D379">IF($A379="", "", LET(bbgm_stat, INDEX(Players!$A378:$P378, MATCH(D$2, Players!$A$1:$P$1, 0)), perc_75, VLOOKUP(D$2, Percentiles!$A$45:$I$59, 6, FALSE), perc_90, VLOOKUP(D$2, Percentiles!$A$45:$I$59, 7, FALSE), perc_95, VLOOKUP(D$2, Percentiles!$A$45:$I$59, 8, FALSE), perc_85, perc_75 + (perc_90 - perc_75) * (2/3), converted_stat, '2K_Ratings'!D379, IF(bbgm_stat &gt;= perc_95, converted_stat * 3, IF(bbgm_stat &gt;= perc_90, converted_stat * 2, IF(bbgm_stat &gt;= perc_85, converted_stat * 1.5, converted_stat)))))</f>
        <v/>
      </c>
      <c r="E379" s="30" t="str">
        <f t="array" ref="E379">IF($A379="", "", LET(bbgm_stat, INDEX(Players!$A378:$P378, MATCH(E$2, Players!$A$1:$P$1, 0)), perc_75, VLOOKUP(E$2, Percentiles!$A$45:$I$59, 6, FALSE), perc_90, VLOOKUP(E$2, Percentiles!$A$45:$I$59, 7, FALSE), perc_95, VLOOKUP(E$2, Percentiles!$A$45:$I$59, 8, FALSE), perc_85, perc_75 + (perc_90 - perc_75) * (2/3), converted_stat, '2K_Ratings'!E379, IF(bbgm_stat &gt;= perc_95, converted_stat * 3, IF(bbgm_stat &gt;= perc_90, converted_stat * 2, IF(bbgm_stat &gt;= perc_85, converted_stat * 1.5, converted_stat)))))</f>
        <v/>
      </c>
      <c r="F379" s="30" t="str">
        <f t="array" ref="F379">IF($A379="", "", LET(bbgm_stat, INDEX(Players!$A378:$P378, MATCH(F$2, Players!$A$1:$P$1, 0)), perc_75, VLOOKUP(F$2, Percentiles!$A$45:$I$59, 6, FALSE), perc_90, VLOOKUP(F$2, Percentiles!$A$45:$I$59, 7, FALSE), perc_95, VLOOKUP(F$2, Percentiles!$A$45:$I$59, 8, FALSE), perc_85, perc_75 + (perc_90 - perc_75) * (2/3), converted_stat, '2K_Ratings'!F379, IF(bbgm_stat &gt;= perc_95, converted_stat * 3, IF(bbgm_stat &gt;= perc_90, converted_stat * 2, IF(bbgm_stat &gt;= perc_85, converted_stat * 1.5, converted_stat)))))</f>
        <v/>
      </c>
      <c r="G379" s="30" t="str">
        <f t="array" ref="G379">IF($A379="", "", LET(bbgm_stat, INDEX(Players!$A378:$P378, MATCH(G$2, Players!$A$1:$P$1, 0)), perc_75, VLOOKUP(G$2, Percentiles!$A$45:$I$59, 6, FALSE), perc_90, VLOOKUP(G$2, Percentiles!$A$45:$I$59, 7, FALSE), perc_95, VLOOKUP(G$2, Percentiles!$A$45:$I$59, 8, FALSE), perc_85, perc_75 + (perc_90 - perc_75) * (2/3), converted_stat, '2K_Ratings'!G379, IF(bbgm_stat &gt;= perc_95, converted_stat * 3, IF(bbgm_stat &gt;= perc_90, converted_stat * 2, IF(bbgm_stat &gt;= perc_85, converted_stat * 1.5, converted_stat)))))</f>
        <v/>
      </c>
      <c r="H379" s="30" t="str">
        <f t="array" ref="H379">IF($A379="", "", LET(bbgm_stat, INDEX(Players!$A378:$P378, MATCH(H$2, Players!$A$1:$P$1, 0)), perc_75, VLOOKUP(H$2, Percentiles!$A$45:$I$59, 6, FALSE), perc_90, VLOOKUP(H$2, Percentiles!$A$45:$I$59, 7, FALSE), perc_95, VLOOKUP(H$2, Percentiles!$A$45:$I$59, 8, FALSE), perc_85, perc_75 + (perc_90 - perc_75) * (2/3), converted_stat, '2K_Ratings'!H379, IF(bbgm_stat &gt;= perc_95, converted_stat * 3, IF(bbgm_stat &gt;= perc_90, converted_stat * 2, IF(bbgm_stat &gt;= perc_85, converted_stat * 1.5, converted_stat)))))</f>
        <v/>
      </c>
      <c r="I379" s="30" t="str">
        <f t="array" ref="I379">IF($A379="", "", LET(bbgm_stat, INDEX(Players!$A378:$P378, MATCH(I$2, Players!$A$1:$P$1, 0)), perc_75, VLOOKUP(I$2, Percentiles!$A$45:$I$59, 6, FALSE), perc_90, VLOOKUP(I$2, Percentiles!$A$45:$I$59, 7, FALSE), perc_95, VLOOKUP(I$2, Percentiles!$A$45:$I$59, 8, FALSE), perc_85, perc_75 + (perc_90 - perc_75) * (2/3), converted_stat, '2K_Ratings'!I379, IF(bbgm_stat &gt;= perc_95, converted_stat * 3, IF(bbgm_stat &gt;= perc_90, converted_stat * 2, IF(bbgm_stat &gt;= perc_85, converted_stat * 1.5, converted_stat)))))</f>
        <v/>
      </c>
      <c r="J379" s="30" t="str">
        <f t="array" ref="J379">IF($A379="", "", LET(bbgm_stat, INDEX(Players!$A378:$P378, MATCH(J$2, Players!$A$1:$P$1, 0)), perc_75, VLOOKUP(J$2, Percentiles!$A$45:$I$59, 6, FALSE), perc_90, VLOOKUP(J$2, Percentiles!$A$45:$I$59, 7, FALSE), perc_95, VLOOKUP(J$2, Percentiles!$A$45:$I$59, 8, FALSE), perc_85, perc_75 + (perc_90 - perc_75) * (2/3), converted_stat, '2K_Ratings'!J379, IF(bbgm_stat &gt;= perc_95, converted_stat * 3, IF(bbgm_stat &gt;= perc_90, converted_stat * 2, IF(bbgm_stat &gt;= perc_85, converted_stat * 1.5, converted_stat)))))</f>
        <v/>
      </c>
      <c r="K379" s="30" t="str">
        <f t="array" ref="K379">IF($A379="", "", LET(bbgm_stat, INDEX(Players!$A378:$P378, MATCH(K$2, Players!$A$1:$P$1, 0)), perc_75, VLOOKUP(K$2, Percentiles!$A$45:$I$59, 6, FALSE), perc_90, VLOOKUP(K$2, Percentiles!$A$45:$I$59, 7, FALSE), perc_95, VLOOKUP(K$2, Percentiles!$A$45:$I$59, 8, FALSE), perc_85, perc_75 + (perc_90 - perc_75) * (2/3), converted_stat, '2K_Ratings'!K379, IF(bbgm_stat &gt;= perc_95, converted_stat * 3, IF(bbgm_stat &gt;= perc_90, converted_stat * 2, IF(bbgm_stat &gt;= perc_85, converted_stat * 1.5, converted_stat)))))</f>
        <v/>
      </c>
      <c r="L379" s="30" t="str">
        <f t="array" ref="L379">IF($A379="", "", LET(bbgm_stat, INDEX(Players!$A378:$P378, MATCH(L$2, Players!$A$1:$P$1, 0)), perc_75, VLOOKUP(L$2, Percentiles!$A$45:$I$59, 6, FALSE), perc_90, VLOOKUP(L$2, Percentiles!$A$45:$I$59, 7, FALSE), perc_95, VLOOKUP(L$2, Percentiles!$A$45:$I$59, 8, FALSE), perc_85, perc_75 + (perc_90 - perc_75) * (2/3), converted_stat, '2K_Ratings'!L379, IF(bbgm_stat &gt;= perc_95, converted_stat * 3, IF(bbgm_stat &gt;= perc_90, converted_stat * 2, IF(bbgm_stat &gt;= perc_85, converted_stat * 1.5, converted_stat)))))</f>
        <v/>
      </c>
      <c r="M379" s="30" t="str">
        <f t="array" ref="M379">IF($A379="", "", LET(bbgm_stat, INDEX(Players!$A378:$P378, MATCH(M$2, Players!$A$1:$P$1, 0)), perc_75, VLOOKUP(M$2, Percentiles!$A$45:$I$59, 6, FALSE), perc_90, VLOOKUP(M$2, Percentiles!$A$45:$I$59, 7, FALSE), perc_95, VLOOKUP(M$2, Percentiles!$A$45:$I$59, 8, FALSE), perc_85, perc_75 + (perc_90 - perc_75) * (2/3), converted_stat, '2K_Ratings'!M379, IF(bbgm_stat &gt;= perc_95, converted_stat * 3, IF(bbgm_stat &gt;= perc_90, converted_stat * 2, IF(bbgm_stat &gt;= perc_85, converted_stat * 1.5, converted_stat)))))</f>
        <v/>
      </c>
      <c r="N379" s="30" t="str">
        <f t="array" ref="N379">IF($A379="", "", LET(bbgm_stat, INDEX(Players!$A378:$P378, MATCH(N$2, Players!$A$1:$P$1, 0)), perc_75, VLOOKUP(N$2, Percentiles!$A$45:$I$59, 6, FALSE), perc_90, VLOOKUP(N$2, Percentiles!$A$45:$I$59, 7, FALSE), perc_95, VLOOKUP(N$2, Percentiles!$A$45:$I$59, 8, FALSE), perc_85, perc_75 + (perc_90 - perc_75) * (2/3), converted_stat, '2K_Ratings'!N379, IF(bbgm_stat &gt;= perc_95, converted_stat * 3, IF(bbgm_stat &gt;= perc_90, converted_stat * 2, IF(bbgm_stat &gt;= perc_85, converted_stat * 1.5, converted_stat)))))</f>
        <v/>
      </c>
      <c r="O379" s="30" t="str">
        <f t="array" ref="O379">IF($A379="", "", LET(bbgm_stat, INDEX(Players!$A378:$P378, MATCH(O$2, Players!$A$1:$P$1, 0)), perc_75, VLOOKUP(O$2, Percentiles!$A$45:$I$59, 6, FALSE), perc_90, VLOOKUP(O$2, Percentiles!$A$45:$I$59, 7, FALSE), perc_95, VLOOKUP(O$2, Percentiles!$A$45:$I$59, 8, FALSE), perc_85, perc_75 + (perc_90 - perc_75) * (2/3), converted_stat, '2K_Ratings'!O379, IF(bbgm_stat &gt;= perc_95, converted_stat * 3, IF(bbgm_stat &gt;= perc_90, converted_stat * 2, IF(bbgm_stat &gt;= perc_85, converted_stat * 1.5, converted_stat)))))</f>
        <v/>
      </c>
      <c r="P379" s="30" t="str">
        <f t="array" ref="P379">IF($A379="", "", LET(bbgm_stat, INDEX(Players!$A378:$P378, MATCH(P$2, Players!$A$1:$P$1, 0)), perc_75, VLOOKUP(P$2, Percentiles!$A$45:$I$59, 6, FALSE), perc_90, VLOOKUP(P$2, Percentiles!$A$45:$I$59, 7, FALSE), perc_95, VLOOKUP(P$2, Percentiles!$A$45:$I$59, 8, FALSE), perc_85, perc_75 + (perc_90 - perc_75) * (2/3), converted_stat, '2K_Ratings'!P379, IF(bbgm_stat &gt;= perc_95, converted_stat * 3, IF(bbgm_stat &gt;= perc_90, converted_stat * 2, IF(bbgm_stat &gt;= perc_85, converted_stat * 1.5, converted_stat)))))</f>
        <v/>
      </c>
      <c r="Q379" s="30" t="str">
        <f t="array" ref="Q379">IF($A379="", "", LET(bbgm_stat, INDEX(Players!$A378:$P378, MATCH(Q$2, Players!$A$1:$P$1, 0)), perc_75, VLOOKUP(Q$2, Percentiles!$A$45:$I$59, 6, FALSE), perc_90, VLOOKUP(Q$2, Percentiles!$A$45:$I$59, 7, FALSE), perc_95, VLOOKUP(Q$2, Percentiles!$A$45:$I$59, 8, FALSE), perc_85, perc_75 + (perc_90 - perc_75) * (2/3), converted_stat, '2K_Ratings'!Q379, IF(bbgm_stat &gt;= perc_95, converted_stat * 3, IF(bbgm_stat &gt;= perc_90, converted_stat * 2, IF(bbgm_stat &gt;= perc_85, converted_stat * 1.5, converted_stat)))))</f>
        <v/>
      </c>
      <c r="R379" s="30" t="str">
        <f t="array" ref="R379">IF($A379="", "", LET(bbgm_stat, INDEX(Players!$A378:$P378, MATCH(R$2, Players!$A$1:$P$1, 0)), perc_75, VLOOKUP(R$2, Percentiles!$A$45:$I$59, 6, FALSE), perc_90, VLOOKUP(R$2, Percentiles!$A$45:$I$59, 7, FALSE), perc_95, VLOOKUP(R$2, Percentiles!$A$45:$I$59, 8, FALSE), perc_85, perc_75 + (perc_90 - perc_75) * (2/3), converted_stat, '2K_Ratings'!R379, IF(bbgm_stat &gt;= perc_95, converted_stat * 3, IF(bbgm_stat &gt;= perc_90, converted_stat * 2, IF(bbgm_stat &gt;= perc_85, converted_stat * 1.5, converted_stat)))))</f>
        <v/>
      </c>
      <c r="S379" s="30" t="str">
        <f t="array" ref="S379">IF($A379="", "", LET(bbgm_stat, INDEX(Players!$A378:$P378, MATCH(S$2, Players!$A$1:$P$1, 0)), perc_75, VLOOKUP(S$2, Percentiles!$A$45:$I$59, 6, FALSE), perc_90, VLOOKUP(S$2, Percentiles!$A$45:$I$59, 7, FALSE), perc_95, VLOOKUP(S$2, Percentiles!$A$45:$I$59, 8, FALSE), perc_85, perc_75 + (perc_90 - perc_75) * (2/3), converted_stat, '2K_Ratings'!S379, IF(bbgm_stat &gt;= perc_95, converted_stat * 3, IF(bbgm_stat &gt;= perc_90, converted_stat * 2, IF(bbgm_stat &gt;= perc_85, converted_stat * 1.5, converted_stat)))))</f>
        <v/>
      </c>
      <c r="T379" s="30" t="str">
        <f t="array" ref="T379">IF($A379="", "", LET(bbgm_stat, INDEX(Players!$A378:$P378, MATCH(T$2, Players!$A$1:$P$1, 0)), perc_75, VLOOKUP(T$2, Percentiles!$A$45:$I$59, 6, FALSE), perc_90, VLOOKUP(T$2, Percentiles!$A$45:$I$59, 7, FALSE), perc_95, VLOOKUP(T$2, Percentiles!$A$45:$I$59, 8, FALSE), perc_85, perc_75 + (perc_90 - perc_75) * (2/3), converted_stat, '2K_Ratings'!T379, IF(bbgm_stat &gt;= perc_95, converted_stat * 3, IF(bbgm_stat &gt;= perc_90, converted_stat * 2, IF(bbgm_stat &gt;= perc_85, converted_stat * 1.5, converted_stat)))))</f>
        <v/>
      </c>
      <c r="U379" s="30" t="str">
        <f t="array" ref="U379">IF($A379="", "", LET(bbgm_stat, INDEX(Players!$A378:$P378, MATCH(U$2, Players!$A$1:$P$1, 0)), perc_75, VLOOKUP(U$2, Percentiles!$A$45:$I$59, 6, FALSE), perc_90, VLOOKUP(U$2, Percentiles!$A$45:$I$59, 7, FALSE), perc_95, VLOOKUP(U$2, Percentiles!$A$45:$I$59, 8, FALSE), perc_85, perc_75 + (perc_90 - perc_75) * (2/3), converted_stat, '2K_Ratings'!U379, IF(bbgm_stat &gt;= perc_95, converted_stat * 3, IF(bbgm_stat &gt;= perc_90, converted_stat * 2, IF(bbgm_stat &gt;= perc_85, converted_stat * 1.5, converted_stat)))))</f>
        <v/>
      </c>
      <c r="V379" s="30" t="str">
        <f t="array" ref="V379">IF($A379="", "", LET(bbgm_stat, INDEX(Players!$A378:$P378, MATCH(V$2, Players!$A$1:$P$1, 0)), perc_75, VLOOKUP(V$2, Percentiles!$A$45:$I$59, 6, FALSE), perc_90, VLOOKUP(V$2, Percentiles!$A$45:$I$59, 7, FALSE), perc_95, VLOOKUP(V$2, Percentiles!$A$45:$I$59, 8, FALSE), perc_85, perc_75 + (perc_90 - perc_75) * (2/3), converted_stat, '2K_Ratings'!V379, IF(bbgm_stat &gt;= perc_95, converted_stat * 3, IF(bbgm_stat &gt;= perc_90, converted_stat * 2, IF(bbgm_stat &gt;= perc_85, converted_stat * 1.5, converted_stat)))))</f>
        <v/>
      </c>
      <c r="W379" s="30" t="str">
        <f t="array" ref="W379">IF($A379="", "", LET(bbgm_stat, INDEX(Players!$A378:$P378, MATCH(W$2, Players!$A$1:$P$1, 0)), perc_75, VLOOKUP(W$2, Percentiles!$A$45:$I$59, 6, FALSE), perc_90, VLOOKUP(W$2, Percentiles!$A$45:$I$59, 7, FALSE), perc_95, VLOOKUP(W$2, Percentiles!$A$45:$I$59, 8, FALSE), perc_85, perc_75 + (perc_90 - perc_75) * (2/3), converted_stat, '2K_Ratings'!W379, IF(bbgm_stat &gt;= perc_95, converted_stat * 3, IF(bbgm_stat &gt;= perc_90, converted_stat * 2, IF(bbgm_stat &gt;= perc_85, converted_stat * 1.5, converted_stat)))))</f>
        <v/>
      </c>
    </row>
    <row r="380">
      <c r="A380" s="30"/>
      <c r="B380" s="30" t="str">
        <f t="array" ref="B380">IF($A380="", "", LET(bbgm_stat, INDEX(Players!$A379:$P379, MATCH(B$2, Players!$A$1:$P$1, 0)), perc_75, VLOOKUP(B$2, Percentiles!$A$45:$I$59, 6, FALSE), perc_90, VLOOKUP(B$2, Percentiles!$A$45:$I$59, 7, FALSE), perc_95, VLOOKUP(B$2, Percentiles!$A$45:$I$59, 8, FALSE), perc_85, perc_75 + (perc_90 - perc_75) * (2/3), converted_stat, '2K_Ratings'!B380, IF(bbgm_stat &gt;= perc_95, converted_stat * 3, IF(bbgm_stat &gt;= perc_90, converted_stat * 2, IF(bbgm_stat &gt;= perc_85, converted_stat * 1.5, converted_stat)))))</f>
        <v/>
      </c>
      <c r="C380" s="30" t="str">
        <f t="array" ref="C380">IF($A380="", "", LET(bbgm_stat, INDEX(Players!$A379:$P379, MATCH(C$2, Players!$A$1:$P$1, 0)), perc_75, VLOOKUP(C$2, Percentiles!$A$45:$I$59, 6, FALSE), perc_90, VLOOKUP(C$2, Percentiles!$A$45:$I$59, 7, FALSE), perc_95, VLOOKUP(C$2, Percentiles!$A$45:$I$59, 8, FALSE), perc_85, perc_75 + (perc_90 - perc_75) * (2/3), converted_stat, '2K_Ratings'!C380, IF(bbgm_stat &gt;= perc_95, converted_stat * 3, IF(bbgm_stat &gt;= perc_90, converted_stat * 2, IF(bbgm_stat &gt;= perc_85, converted_stat * 1.5, converted_stat)))))</f>
        <v/>
      </c>
      <c r="D380" s="30" t="str">
        <f t="array" ref="D380">IF($A380="", "", LET(bbgm_stat, INDEX(Players!$A379:$P379, MATCH(D$2, Players!$A$1:$P$1, 0)), perc_75, VLOOKUP(D$2, Percentiles!$A$45:$I$59, 6, FALSE), perc_90, VLOOKUP(D$2, Percentiles!$A$45:$I$59, 7, FALSE), perc_95, VLOOKUP(D$2, Percentiles!$A$45:$I$59, 8, FALSE), perc_85, perc_75 + (perc_90 - perc_75) * (2/3), converted_stat, '2K_Ratings'!D380, IF(bbgm_stat &gt;= perc_95, converted_stat * 3, IF(bbgm_stat &gt;= perc_90, converted_stat * 2, IF(bbgm_stat &gt;= perc_85, converted_stat * 1.5, converted_stat)))))</f>
        <v/>
      </c>
      <c r="E380" s="30" t="str">
        <f t="array" ref="E380">IF($A380="", "", LET(bbgm_stat, INDEX(Players!$A379:$P379, MATCH(E$2, Players!$A$1:$P$1, 0)), perc_75, VLOOKUP(E$2, Percentiles!$A$45:$I$59, 6, FALSE), perc_90, VLOOKUP(E$2, Percentiles!$A$45:$I$59, 7, FALSE), perc_95, VLOOKUP(E$2, Percentiles!$A$45:$I$59, 8, FALSE), perc_85, perc_75 + (perc_90 - perc_75) * (2/3), converted_stat, '2K_Ratings'!E380, IF(bbgm_stat &gt;= perc_95, converted_stat * 3, IF(bbgm_stat &gt;= perc_90, converted_stat * 2, IF(bbgm_stat &gt;= perc_85, converted_stat * 1.5, converted_stat)))))</f>
        <v/>
      </c>
      <c r="F380" s="30" t="str">
        <f t="array" ref="F380">IF($A380="", "", LET(bbgm_stat, INDEX(Players!$A379:$P379, MATCH(F$2, Players!$A$1:$P$1, 0)), perc_75, VLOOKUP(F$2, Percentiles!$A$45:$I$59, 6, FALSE), perc_90, VLOOKUP(F$2, Percentiles!$A$45:$I$59, 7, FALSE), perc_95, VLOOKUP(F$2, Percentiles!$A$45:$I$59, 8, FALSE), perc_85, perc_75 + (perc_90 - perc_75) * (2/3), converted_stat, '2K_Ratings'!F380, IF(bbgm_stat &gt;= perc_95, converted_stat * 3, IF(bbgm_stat &gt;= perc_90, converted_stat * 2, IF(bbgm_stat &gt;= perc_85, converted_stat * 1.5, converted_stat)))))</f>
        <v/>
      </c>
      <c r="G380" s="30" t="str">
        <f t="array" ref="G380">IF($A380="", "", LET(bbgm_stat, INDEX(Players!$A379:$P379, MATCH(G$2, Players!$A$1:$P$1, 0)), perc_75, VLOOKUP(G$2, Percentiles!$A$45:$I$59, 6, FALSE), perc_90, VLOOKUP(G$2, Percentiles!$A$45:$I$59, 7, FALSE), perc_95, VLOOKUP(G$2, Percentiles!$A$45:$I$59, 8, FALSE), perc_85, perc_75 + (perc_90 - perc_75) * (2/3), converted_stat, '2K_Ratings'!G380, IF(bbgm_stat &gt;= perc_95, converted_stat * 3, IF(bbgm_stat &gt;= perc_90, converted_stat * 2, IF(bbgm_stat &gt;= perc_85, converted_stat * 1.5, converted_stat)))))</f>
        <v/>
      </c>
      <c r="H380" s="30" t="str">
        <f t="array" ref="H380">IF($A380="", "", LET(bbgm_stat, INDEX(Players!$A379:$P379, MATCH(H$2, Players!$A$1:$P$1, 0)), perc_75, VLOOKUP(H$2, Percentiles!$A$45:$I$59, 6, FALSE), perc_90, VLOOKUP(H$2, Percentiles!$A$45:$I$59, 7, FALSE), perc_95, VLOOKUP(H$2, Percentiles!$A$45:$I$59, 8, FALSE), perc_85, perc_75 + (perc_90 - perc_75) * (2/3), converted_stat, '2K_Ratings'!H380, IF(bbgm_stat &gt;= perc_95, converted_stat * 3, IF(bbgm_stat &gt;= perc_90, converted_stat * 2, IF(bbgm_stat &gt;= perc_85, converted_stat * 1.5, converted_stat)))))</f>
        <v/>
      </c>
      <c r="I380" s="30" t="str">
        <f t="array" ref="I380">IF($A380="", "", LET(bbgm_stat, INDEX(Players!$A379:$P379, MATCH(I$2, Players!$A$1:$P$1, 0)), perc_75, VLOOKUP(I$2, Percentiles!$A$45:$I$59, 6, FALSE), perc_90, VLOOKUP(I$2, Percentiles!$A$45:$I$59, 7, FALSE), perc_95, VLOOKUP(I$2, Percentiles!$A$45:$I$59, 8, FALSE), perc_85, perc_75 + (perc_90 - perc_75) * (2/3), converted_stat, '2K_Ratings'!I380, IF(bbgm_stat &gt;= perc_95, converted_stat * 3, IF(bbgm_stat &gt;= perc_90, converted_stat * 2, IF(bbgm_stat &gt;= perc_85, converted_stat * 1.5, converted_stat)))))</f>
        <v/>
      </c>
      <c r="J380" s="30" t="str">
        <f t="array" ref="J380">IF($A380="", "", LET(bbgm_stat, INDEX(Players!$A379:$P379, MATCH(J$2, Players!$A$1:$P$1, 0)), perc_75, VLOOKUP(J$2, Percentiles!$A$45:$I$59, 6, FALSE), perc_90, VLOOKUP(J$2, Percentiles!$A$45:$I$59, 7, FALSE), perc_95, VLOOKUP(J$2, Percentiles!$A$45:$I$59, 8, FALSE), perc_85, perc_75 + (perc_90 - perc_75) * (2/3), converted_stat, '2K_Ratings'!J380, IF(bbgm_stat &gt;= perc_95, converted_stat * 3, IF(bbgm_stat &gt;= perc_90, converted_stat * 2, IF(bbgm_stat &gt;= perc_85, converted_stat * 1.5, converted_stat)))))</f>
        <v/>
      </c>
      <c r="K380" s="30" t="str">
        <f t="array" ref="K380">IF($A380="", "", LET(bbgm_stat, INDEX(Players!$A379:$P379, MATCH(K$2, Players!$A$1:$P$1, 0)), perc_75, VLOOKUP(K$2, Percentiles!$A$45:$I$59, 6, FALSE), perc_90, VLOOKUP(K$2, Percentiles!$A$45:$I$59, 7, FALSE), perc_95, VLOOKUP(K$2, Percentiles!$A$45:$I$59, 8, FALSE), perc_85, perc_75 + (perc_90 - perc_75) * (2/3), converted_stat, '2K_Ratings'!K380, IF(bbgm_stat &gt;= perc_95, converted_stat * 3, IF(bbgm_stat &gt;= perc_90, converted_stat * 2, IF(bbgm_stat &gt;= perc_85, converted_stat * 1.5, converted_stat)))))</f>
        <v/>
      </c>
      <c r="L380" s="30" t="str">
        <f t="array" ref="L380">IF($A380="", "", LET(bbgm_stat, INDEX(Players!$A379:$P379, MATCH(L$2, Players!$A$1:$P$1, 0)), perc_75, VLOOKUP(L$2, Percentiles!$A$45:$I$59, 6, FALSE), perc_90, VLOOKUP(L$2, Percentiles!$A$45:$I$59, 7, FALSE), perc_95, VLOOKUP(L$2, Percentiles!$A$45:$I$59, 8, FALSE), perc_85, perc_75 + (perc_90 - perc_75) * (2/3), converted_stat, '2K_Ratings'!L380, IF(bbgm_stat &gt;= perc_95, converted_stat * 3, IF(bbgm_stat &gt;= perc_90, converted_stat * 2, IF(bbgm_stat &gt;= perc_85, converted_stat * 1.5, converted_stat)))))</f>
        <v/>
      </c>
      <c r="M380" s="30" t="str">
        <f t="array" ref="M380">IF($A380="", "", LET(bbgm_stat, INDEX(Players!$A379:$P379, MATCH(M$2, Players!$A$1:$P$1, 0)), perc_75, VLOOKUP(M$2, Percentiles!$A$45:$I$59, 6, FALSE), perc_90, VLOOKUP(M$2, Percentiles!$A$45:$I$59, 7, FALSE), perc_95, VLOOKUP(M$2, Percentiles!$A$45:$I$59, 8, FALSE), perc_85, perc_75 + (perc_90 - perc_75) * (2/3), converted_stat, '2K_Ratings'!M380, IF(bbgm_stat &gt;= perc_95, converted_stat * 3, IF(bbgm_stat &gt;= perc_90, converted_stat * 2, IF(bbgm_stat &gt;= perc_85, converted_stat * 1.5, converted_stat)))))</f>
        <v/>
      </c>
      <c r="N380" s="30" t="str">
        <f t="array" ref="N380">IF($A380="", "", LET(bbgm_stat, INDEX(Players!$A379:$P379, MATCH(N$2, Players!$A$1:$P$1, 0)), perc_75, VLOOKUP(N$2, Percentiles!$A$45:$I$59, 6, FALSE), perc_90, VLOOKUP(N$2, Percentiles!$A$45:$I$59, 7, FALSE), perc_95, VLOOKUP(N$2, Percentiles!$A$45:$I$59, 8, FALSE), perc_85, perc_75 + (perc_90 - perc_75) * (2/3), converted_stat, '2K_Ratings'!N380, IF(bbgm_stat &gt;= perc_95, converted_stat * 3, IF(bbgm_stat &gt;= perc_90, converted_stat * 2, IF(bbgm_stat &gt;= perc_85, converted_stat * 1.5, converted_stat)))))</f>
        <v/>
      </c>
      <c r="O380" s="30" t="str">
        <f t="array" ref="O380">IF($A380="", "", LET(bbgm_stat, INDEX(Players!$A379:$P379, MATCH(O$2, Players!$A$1:$P$1, 0)), perc_75, VLOOKUP(O$2, Percentiles!$A$45:$I$59, 6, FALSE), perc_90, VLOOKUP(O$2, Percentiles!$A$45:$I$59, 7, FALSE), perc_95, VLOOKUP(O$2, Percentiles!$A$45:$I$59, 8, FALSE), perc_85, perc_75 + (perc_90 - perc_75) * (2/3), converted_stat, '2K_Ratings'!O380, IF(bbgm_stat &gt;= perc_95, converted_stat * 3, IF(bbgm_stat &gt;= perc_90, converted_stat * 2, IF(bbgm_stat &gt;= perc_85, converted_stat * 1.5, converted_stat)))))</f>
        <v/>
      </c>
      <c r="P380" s="30" t="str">
        <f t="array" ref="P380">IF($A380="", "", LET(bbgm_stat, INDEX(Players!$A379:$P379, MATCH(P$2, Players!$A$1:$P$1, 0)), perc_75, VLOOKUP(P$2, Percentiles!$A$45:$I$59, 6, FALSE), perc_90, VLOOKUP(P$2, Percentiles!$A$45:$I$59, 7, FALSE), perc_95, VLOOKUP(P$2, Percentiles!$A$45:$I$59, 8, FALSE), perc_85, perc_75 + (perc_90 - perc_75) * (2/3), converted_stat, '2K_Ratings'!P380, IF(bbgm_stat &gt;= perc_95, converted_stat * 3, IF(bbgm_stat &gt;= perc_90, converted_stat * 2, IF(bbgm_stat &gt;= perc_85, converted_stat * 1.5, converted_stat)))))</f>
        <v/>
      </c>
      <c r="Q380" s="30" t="str">
        <f t="array" ref="Q380">IF($A380="", "", LET(bbgm_stat, INDEX(Players!$A379:$P379, MATCH(Q$2, Players!$A$1:$P$1, 0)), perc_75, VLOOKUP(Q$2, Percentiles!$A$45:$I$59, 6, FALSE), perc_90, VLOOKUP(Q$2, Percentiles!$A$45:$I$59, 7, FALSE), perc_95, VLOOKUP(Q$2, Percentiles!$A$45:$I$59, 8, FALSE), perc_85, perc_75 + (perc_90 - perc_75) * (2/3), converted_stat, '2K_Ratings'!Q380, IF(bbgm_stat &gt;= perc_95, converted_stat * 3, IF(bbgm_stat &gt;= perc_90, converted_stat * 2, IF(bbgm_stat &gt;= perc_85, converted_stat * 1.5, converted_stat)))))</f>
        <v/>
      </c>
      <c r="R380" s="30" t="str">
        <f t="array" ref="R380">IF($A380="", "", LET(bbgm_stat, INDEX(Players!$A379:$P379, MATCH(R$2, Players!$A$1:$P$1, 0)), perc_75, VLOOKUP(R$2, Percentiles!$A$45:$I$59, 6, FALSE), perc_90, VLOOKUP(R$2, Percentiles!$A$45:$I$59, 7, FALSE), perc_95, VLOOKUP(R$2, Percentiles!$A$45:$I$59, 8, FALSE), perc_85, perc_75 + (perc_90 - perc_75) * (2/3), converted_stat, '2K_Ratings'!R380, IF(bbgm_stat &gt;= perc_95, converted_stat * 3, IF(bbgm_stat &gt;= perc_90, converted_stat * 2, IF(bbgm_stat &gt;= perc_85, converted_stat * 1.5, converted_stat)))))</f>
        <v/>
      </c>
      <c r="S380" s="30" t="str">
        <f t="array" ref="S380">IF($A380="", "", LET(bbgm_stat, INDEX(Players!$A379:$P379, MATCH(S$2, Players!$A$1:$P$1, 0)), perc_75, VLOOKUP(S$2, Percentiles!$A$45:$I$59, 6, FALSE), perc_90, VLOOKUP(S$2, Percentiles!$A$45:$I$59, 7, FALSE), perc_95, VLOOKUP(S$2, Percentiles!$A$45:$I$59, 8, FALSE), perc_85, perc_75 + (perc_90 - perc_75) * (2/3), converted_stat, '2K_Ratings'!S380, IF(bbgm_stat &gt;= perc_95, converted_stat * 3, IF(bbgm_stat &gt;= perc_90, converted_stat * 2, IF(bbgm_stat &gt;= perc_85, converted_stat * 1.5, converted_stat)))))</f>
        <v/>
      </c>
      <c r="T380" s="30" t="str">
        <f t="array" ref="T380">IF($A380="", "", LET(bbgm_stat, INDEX(Players!$A379:$P379, MATCH(T$2, Players!$A$1:$P$1, 0)), perc_75, VLOOKUP(T$2, Percentiles!$A$45:$I$59, 6, FALSE), perc_90, VLOOKUP(T$2, Percentiles!$A$45:$I$59, 7, FALSE), perc_95, VLOOKUP(T$2, Percentiles!$A$45:$I$59, 8, FALSE), perc_85, perc_75 + (perc_90 - perc_75) * (2/3), converted_stat, '2K_Ratings'!T380, IF(bbgm_stat &gt;= perc_95, converted_stat * 3, IF(bbgm_stat &gt;= perc_90, converted_stat * 2, IF(bbgm_stat &gt;= perc_85, converted_stat * 1.5, converted_stat)))))</f>
        <v/>
      </c>
      <c r="U380" s="30" t="str">
        <f t="array" ref="U380">IF($A380="", "", LET(bbgm_stat, INDEX(Players!$A379:$P379, MATCH(U$2, Players!$A$1:$P$1, 0)), perc_75, VLOOKUP(U$2, Percentiles!$A$45:$I$59, 6, FALSE), perc_90, VLOOKUP(U$2, Percentiles!$A$45:$I$59, 7, FALSE), perc_95, VLOOKUP(U$2, Percentiles!$A$45:$I$59, 8, FALSE), perc_85, perc_75 + (perc_90 - perc_75) * (2/3), converted_stat, '2K_Ratings'!U380, IF(bbgm_stat &gt;= perc_95, converted_stat * 3, IF(bbgm_stat &gt;= perc_90, converted_stat * 2, IF(bbgm_stat &gt;= perc_85, converted_stat * 1.5, converted_stat)))))</f>
        <v/>
      </c>
      <c r="V380" s="30" t="str">
        <f t="array" ref="V380">IF($A380="", "", LET(bbgm_stat, INDEX(Players!$A379:$P379, MATCH(V$2, Players!$A$1:$P$1, 0)), perc_75, VLOOKUP(V$2, Percentiles!$A$45:$I$59, 6, FALSE), perc_90, VLOOKUP(V$2, Percentiles!$A$45:$I$59, 7, FALSE), perc_95, VLOOKUP(V$2, Percentiles!$A$45:$I$59, 8, FALSE), perc_85, perc_75 + (perc_90 - perc_75) * (2/3), converted_stat, '2K_Ratings'!V380, IF(bbgm_stat &gt;= perc_95, converted_stat * 3, IF(bbgm_stat &gt;= perc_90, converted_stat * 2, IF(bbgm_stat &gt;= perc_85, converted_stat * 1.5, converted_stat)))))</f>
        <v/>
      </c>
      <c r="W380" s="30" t="str">
        <f t="array" ref="W380">IF($A380="", "", LET(bbgm_stat, INDEX(Players!$A379:$P379, MATCH(W$2, Players!$A$1:$P$1, 0)), perc_75, VLOOKUP(W$2, Percentiles!$A$45:$I$59, 6, FALSE), perc_90, VLOOKUP(W$2, Percentiles!$A$45:$I$59, 7, FALSE), perc_95, VLOOKUP(W$2, Percentiles!$A$45:$I$59, 8, FALSE), perc_85, perc_75 + (perc_90 - perc_75) * (2/3), converted_stat, '2K_Ratings'!W380, IF(bbgm_stat &gt;= perc_95, converted_stat * 3, IF(bbgm_stat &gt;= perc_90, converted_stat * 2, IF(bbgm_stat &gt;= perc_85, converted_stat * 1.5, converted_stat)))))</f>
        <v/>
      </c>
    </row>
    <row r="381">
      <c r="A381" s="30"/>
      <c r="B381" s="30" t="str">
        <f t="array" ref="B381">IF($A381="", "", LET(bbgm_stat, INDEX(Players!$A380:$P380, MATCH(B$2, Players!$A$1:$P$1, 0)), perc_75, VLOOKUP(B$2, Percentiles!$A$45:$I$59, 6, FALSE), perc_90, VLOOKUP(B$2, Percentiles!$A$45:$I$59, 7, FALSE), perc_95, VLOOKUP(B$2, Percentiles!$A$45:$I$59, 8, FALSE), perc_85, perc_75 + (perc_90 - perc_75) * (2/3), converted_stat, '2K_Ratings'!B381, IF(bbgm_stat &gt;= perc_95, converted_stat * 3, IF(bbgm_stat &gt;= perc_90, converted_stat * 2, IF(bbgm_stat &gt;= perc_85, converted_stat * 1.5, converted_stat)))))</f>
        <v/>
      </c>
      <c r="C381" s="30" t="str">
        <f t="array" ref="C381">IF($A381="", "", LET(bbgm_stat, INDEX(Players!$A380:$P380, MATCH(C$2, Players!$A$1:$P$1, 0)), perc_75, VLOOKUP(C$2, Percentiles!$A$45:$I$59, 6, FALSE), perc_90, VLOOKUP(C$2, Percentiles!$A$45:$I$59, 7, FALSE), perc_95, VLOOKUP(C$2, Percentiles!$A$45:$I$59, 8, FALSE), perc_85, perc_75 + (perc_90 - perc_75) * (2/3), converted_stat, '2K_Ratings'!C381, IF(bbgm_stat &gt;= perc_95, converted_stat * 3, IF(bbgm_stat &gt;= perc_90, converted_stat * 2, IF(bbgm_stat &gt;= perc_85, converted_stat * 1.5, converted_stat)))))</f>
        <v/>
      </c>
      <c r="D381" s="30" t="str">
        <f t="array" ref="D381">IF($A381="", "", LET(bbgm_stat, INDEX(Players!$A380:$P380, MATCH(D$2, Players!$A$1:$P$1, 0)), perc_75, VLOOKUP(D$2, Percentiles!$A$45:$I$59, 6, FALSE), perc_90, VLOOKUP(D$2, Percentiles!$A$45:$I$59, 7, FALSE), perc_95, VLOOKUP(D$2, Percentiles!$A$45:$I$59, 8, FALSE), perc_85, perc_75 + (perc_90 - perc_75) * (2/3), converted_stat, '2K_Ratings'!D381, IF(bbgm_stat &gt;= perc_95, converted_stat * 3, IF(bbgm_stat &gt;= perc_90, converted_stat * 2, IF(bbgm_stat &gt;= perc_85, converted_stat * 1.5, converted_stat)))))</f>
        <v/>
      </c>
      <c r="E381" s="30" t="str">
        <f t="array" ref="E381">IF($A381="", "", LET(bbgm_stat, INDEX(Players!$A380:$P380, MATCH(E$2, Players!$A$1:$P$1, 0)), perc_75, VLOOKUP(E$2, Percentiles!$A$45:$I$59, 6, FALSE), perc_90, VLOOKUP(E$2, Percentiles!$A$45:$I$59, 7, FALSE), perc_95, VLOOKUP(E$2, Percentiles!$A$45:$I$59, 8, FALSE), perc_85, perc_75 + (perc_90 - perc_75) * (2/3), converted_stat, '2K_Ratings'!E381, IF(bbgm_stat &gt;= perc_95, converted_stat * 3, IF(bbgm_stat &gt;= perc_90, converted_stat * 2, IF(bbgm_stat &gt;= perc_85, converted_stat * 1.5, converted_stat)))))</f>
        <v/>
      </c>
      <c r="F381" s="30" t="str">
        <f t="array" ref="F381">IF($A381="", "", LET(bbgm_stat, INDEX(Players!$A380:$P380, MATCH(F$2, Players!$A$1:$P$1, 0)), perc_75, VLOOKUP(F$2, Percentiles!$A$45:$I$59, 6, FALSE), perc_90, VLOOKUP(F$2, Percentiles!$A$45:$I$59, 7, FALSE), perc_95, VLOOKUP(F$2, Percentiles!$A$45:$I$59, 8, FALSE), perc_85, perc_75 + (perc_90 - perc_75) * (2/3), converted_stat, '2K_Ratings'!F381, IF(bbgm_stat &gt;= perc_95, converted_stat * 3, IF(bbgm_stat &gt;= perc_90, converted_stat * 2, IF(bbgm_stat &gt;= perc_85, converted_stat * 1.5, converted_stat)))))</f>
        <v/>
      </c>
      <c r="G381" s="30" t="str">
        <f t="array" ref="G381">IF($A381="", "", LET(bbgm_stat, INDEX(Players!$A380:$P380, MATCH(G$2, Players!$A$1:$P$1, 0)), perc_75, VLOOKUP(G$2, Percentiles!$A$45:$I$59, 6, FALSE), perc_90, VLOOKUP(G$2, Percentiles!$A$45:$I$59, 7, FALSE), perc_95, VLOOKUP(G$2, Percentiles!$A$45:$I$59, 8, FALSE), perc_85, perc_75 + (perc_90 - perc_75) * (2/3), converted_stat, '2K_Ratings'!G381, IF(bbgm_stat &gt;= perc_95, converted_stat * 3, IF(bbgm_stat &gt;= perc_90, converted_stat * 2, IF(bbgm_stat &gt;= perc_85, converted_stat * 1.5, converted_stat)))))</f>
        <v/>
      </c>
      <c r="H381" s="30" t="str">
        <f t="array" ref="H381">IF($A381="", "", LET(bbgm_stat, INDEX(Players!$A380:$P380, MATCH(H$2, Players!$A$1:$P$1, 0)), perc_75, VLOOKUP(H$2, Percentiles!$A$45:$I$59, 6, FALSE), perc_90, VLOOKUP(H$2, Percentiles!$A$45:$I$59, 7, FALSE), perc_95, VLOOKUP(H$2, Percentiles!$A$45:$I$59, 8, FALSE), perc_85, perc_75 + (perc_90 - perc_75) * (2/3), converted_stat, '2K_Ratings'!H381, IF(bbgm_stat &gt;= perc_95, converted_stat * 3, IF(bbgm_stat &gt;= perc_90, converted_stat * 2, IF(bbgm_stat &gt;= perc_85, converted_stat * 1.5, converted_stat)))))</f>
        <v/>
      </c>
      <c r="I381" s="30" t="str">
        <f t="array" ref="I381">IF($A381="", "", LET(bbgm_stat, INDEX(Players!$A380:$P380, MATCH(I$2, Players!$A$1:$P$1, 0)), perc_75, VLOOKUP(I$2, Percentiles!$A$45:$I$59, 6, FALSE), perc_90, VLOOKUP(I$2, Percentiles!$A$45:$I$59, 7, FALSE), perc_95, VLOOKUP(I$2, Percentiles!$A$45:$I$59, 8, FALSE), perc_85, perc_75 + (perc_90 - perc_75) * (2/3), converted_stat, '2K_Ratings'!I381, IF(bbgm_stat &gt;= perc_95, converted_stat * 3, IF(bbgm_stat &gt;= perc_90, converted_stat * 2, IF(bbgm_stat &gt;= perc_85, converted_stat * 1.5, converted_stat)))))</f>
        <v/>
      </c>
      <c r="J381" s="30" t="str">
        <f t="array" ref="J381">IF($A381="", "", LET(bbgm_stat, INDEX(Players!$A380:$P380, MATCH(J$2, Players!$A$1:$P$1, 0)), perc_75, VLOOKUP(J$2, Percentiles!$A$45:$I$59, 6, FALSE), perc_90, VLOOKUP(J$2, Percentiles!$A$45:$I$59, 7, FALSE), perc_95, VLOOKUP(J$2, Percentiles!$A$45:$I$59, 8, FALSE), perc_85, perc_75 + (perc_90 - perc_75) * (2/3), converted_stat, '2K_Ratings'!J381, IF(bbgm_stat &gt;= perc_95, converted_stat * 3, IF(bbgm_stat &gt;= perc_90, converted_stat * 2, IF(bbgm_stat &gt;= perc_85, converted_stat * 1.5, converted_stat)))))</f>
        <v/>
      </c>
      <c r="K381" s="30" t="str">
        <f t="array" ref="K381">IF($A381="", "", LET(bbgm_stat, INDEX(Players!$A380:$P380, MATCH(K$2, Players!$A$1:$P$1, 0)), perc_75, VLOOKUP(K$2, Percentiles!$A$45:$I$59, 6, FALSE), perc_90, VLOOKUP(K$2, Percentiles!$A$45:$I$59, 7, FALSE), perc_95, VLOOKUP(K$2, Percentiles!$A$45:$I$59, 8, FALSE), perc_85, perc_75 + (perc_90 - perc_75) * (2/3), converted_stat, '2K_Ratings'!K381, IF(bbgm_stat &gt;= perc_95, converted_stat * 3, IF(bbgm_stat &gt;= perc_90, converted_stat * 2, IF(bbgm_stat &gt;= perc_85, converted_stat * 1.5, converted_stat)))))</f>
        <v/>
      </c>
      <c r="L381" s="30" t="str">
        <f t="array" ref="L381">IF($A381="", "", LET(bbgm_stat, INDEX(Players!$A380:$P380, MATCH(L$2, Players!$A$1:$P$1, 0)), perc_75, VLOOKUP(L$2, Percentiles!$A$45:$I$59, 6, FALSE), perc_90, VLOOKUP(L$2, Percentiles!$A$45:$I$59, 7, FALSE), perc_95, VLOOKUP(L$2, Percentiles!$A$45:$I$59, 8, FALSE), perc_85, perc_75 + (perc_90 - perc_75) * (2/3), converted_stat, '2K_Ratings'!L381, IF(bbgm_stat &gt;= perc_95, converted_stat * 3, IF(bbgm_stat &gt;= perc_90, converted_stat * 2, IF(bbgm_stat &gt;= perc_85, converted_stat * 1.5, converted_stat)))))</f>
        <v/>
      </c>
      <c r="M381" s="30" t="str">
        <f t="array" ref="M381">IF($A381="", "", LET(bbgm_stat, INDEX(Players!$A380:$P380, MATCH(M$2, Players!$A$1:$P$1, 0)), perc_75, VLOOKUP(M$2, Percentiles!$A$45:$I$59, 6, FALSE), perc_90, VLOOKUP(M$2, Percentiles!$A$45:$I$59, 7, FALSE), perc_95, VLOOKUP(M$2, Percentiles!$A$45:$I$59, 8, FALSE), perc_85, perc_75 + (perc_90 - perc_75) * (2/3), converted_stat, '2K_Ratings'!M381, IF(bbgm_stat &gt;= perc_95, converted_stat * 3, IF(bbgm_stat &gt;= perc_90, converted_stat * 2, IF(bbgm_stat &gt;= perc_85, converted_stat * 1.5, converted_stat)))))</f>
        <v/>
      </c>
      <c r="N381" s="30" t="str">
        <f t="array" ref="N381">IF($A381="", "", LET(bbgm_stat, INDEX(Players!$A380:$P380, MATCH(N$2, Players!$A$1:$P$1, 0)), perc_75, VLOOKUP(N$2, Percentiles!$A$45:$I$59, 6, FALSE), perc_90, VLOOKUP(N$2, Percentiles!$A$45:$I$59, 7, FALSE), perc_95, VLOOKUP(N$2, Percentiles!$A$45:$I$59, 8, FALSE), perc_85, perc_75 + (perc_90 - perc_75) * (2/3), converted_stat, '2K_Ratings'!N381, IF(bbgm_stat &gt;= perc_95, converted_stat * 3, IF(bbgm_stat &gt;= perc_90, converted_stat * 2, IF(bbgm_stat &gt;= perc_85, converted_stat * 1.5, converted_stat)))))</f>
        <v/>
      </c>
      <c r="O381" s="30" t="str">
        <f t="array" ref="O381">IF($A381="", "", LET(bbgm_stat, INDEX(Players!$A380:$P380, MATCH(O$2, Players!$A$1:$P$1, 0)), perc_75, VLOOKUP(O$2, Percentiles!$A$45:$I$59, 6, FALSE), perc_90, VLOOKUP(O$2, Percentiles!$A$45:$I$59, 7, FALSE), perc_95, VLOOKUP(O$2, Percentiles!$A$45:$I$59, 8, FALSE), perc_85, perc_75 + (perc_90 - perc_75) * (2/3), converted_stat, '2K_Ratings'!O381, IF(bbgm_stat &gt;= perc_95, converted_stat * 3, IF(bbgm_stat &gt;= perc_90, converted_stat * 2, IF(bbgm_stat &gt;= perc_85, converted_stat * 1.5, converted_stat)))))</f>
        <v/>
      </c>
      <c r="P381" s="30" t="str">
        <f t="array" ref="P381">IF($A381="", "", LET(bbgm_stat, INDEX(Players!$A380:$P380, MATCH(P$2, Players!$A$1:$P$1, 0)), perc_75, VLOOKUP(P$2, Percentiles!$A$45:$I$59, 6, FALSE), perc_90, VLOOKUP(P$2, Percentiles!$A$45:$I$59, 7, FALSE), perc_95, VLOOKUP(P$2, Percentiles!$A$45:$I$59, 8, FALSE), perc_85, perc_75 + (perc_90 - perc_75) * (2/3), converted_stat, '2K_Ratings'!P381, IF(bbgm_stat &gt;= perc_95, converted_stat * 3, IF(bbgm_stat &gt;= perc_90, converted_stat * 2, IF(bbgm_stat &gt;= perc_85, converted_stat * 1.5, converted_stat)))))</f>
        <v/>
      </c>
      <c r="Q381" s="30" t="str">
        <f t="array" ref="Q381">IF($A381="", "", LET(bbgm_stat, INDEX(Players!$A380:$P380, MATCH(Q$2, Players!$A$1:$P$1, 0)), perc_75, VLOOKUP(Q$2, Percentiles!$A$45:$I$59, 6, FALSE), perc_90, VLOOKUP(Q$2, Percentiles!$A$45:$I$59, 7, FALSE), perc_95, VLOOKUP(Q$2, Percentiles!$A$45:$I$59, 8, FALSE), perc_85, perc_75 + (perc_90 - perc_75) * (2/3), converted_stat, '2K_Ratings'!Q381, IF(bbgm_stat &gt;= perc_95, converted_stat * 3, IF(bbgm_stat &gt;= perc_90, converted_stat * 2, IF(bbgm_stat &gt;= perc_85, converted_stat * 1.5, converted_stat)))))</f>
        <v/>
      </c>
      <c r="R381" s="30" t="str">
        <f t="array" ref="R381">IF($A381="", "", LET(bbgm_stat, INDEX(Players!$A380:$P380, MATCH(R$2, Players!$A$1:$P$1, 0)), perc_75, VLOOKUP(R$2, Percentiles!$A$45:$I$59, 6, FALSE), perc_90, VLOOKUP(R$2, Percentiles!$A$45:$I$59, 7, FALSE), perc_95, VLOOKUP(R$2, Percentiles!$A$45:$I$59, 8, FALSE), perc_85, perc_75 + (perc_90 - perc_75) * (2/3), converted_stat, '2K_Ratings'!R381, IF(bbgm_stat &gt;= perc_95, converted_stat * 3, IF(bbgm_stat &gt;= perc_90, converted_stat * 2, IF(bbgm_stat &gt;= perc_85, converted_stat * 1.5, converted_stat)))))</f>
        <v/>
      </c>
      <c r="S381" s="30" t="str">
        <f t="array" ref="S381">IF($A381="", "", LET(bbgm_stat, INDEX(Players!$A380:$P380, MATCH(S$2, Players!$A$1:$P$1, 0)), perc_75, VLOOKUP(S$2, Percentiles!$A$45:$I$59, 6, FALSE), perc_90, VLOOKUP(S$2, Percentiles!$A$45:$I$59, 7, FALSE), perc_95, VLOOKUP(S$2, Percentiles!$A$45:$I$59, 8, FALSE), perc_85, perc_75 + (perc_90 - perc_75) * (2/3), converted_stat, '2K_Ratings'!S381, IF(bbgm_stat &gt;= perc_95, converted_stat * 3, IF(bbgm_stat &gt;= perc_90, converted_stat * 2, IF(bbgm_stat &gt;= perc_85, converted_stat * 1.5, converted_stat)))))</f>
        <v/>
      </c>
      <c r="T381" s="30" t="str">
        <f t="array" ref="T381">IF($A381="", "", LET(bbgm_stat, INDEX(Players!$A380:$P380, MATCH(T$2, Players!$A$1:$P$1, 0)), perc_75, VLOOKUP(T$2, Percentiles!$A$45:$I$59, 6, FALSE), perc_90, VLOOKUP(T$2, Percentiles!$A$45:$I$59, 7, FALSE), perc_95, VLOOKUP(T$2, Percentiles!$A$45:$I$59, 8, FALSE), perc_85, perc_75 + (perc_90 - perc_75) * (2/3), converted_stat, '2K_Ratings'!T381, IF(bbgm_stat &gt;= perc_95, converted_stat * 3, IF(bbgm_stat &gt;= perc_90, converted_stat * 2, IF(bbgm_stat &gt;= perc_85, converted_stat * 1.5, converted_stat)))))</f>
        <v/>
      </c>
      <c r="U381" s="30" t="str">
        <f t="array" ref="U381">IF($A381="", "", LET(bbgm_stat, INDEX(Players!$A380:$P380, MATCH(U$2, Players!$A$1:$P$1, 0)), perc_75, VLOOKUP(U$2, Percentiles!$A$45:$I$59, 6, FALSE), perc_90, VLOOKUP(U$2, Percentiles!$A$45:$I$59, 7, FALSE), perc_95, VLOOKUP(U$2, Percentiles!$A$45:$I$59, 8, FALSE), perc_85, perc_75 + (perc_90 - perc_75) * (2/3), converted_stat, '2K_Ratings'!U381, IF(bbgm_stat &gt;= perc_95, converted_stat * 3, IF(bbgm_stat &gt;= perc_90, converted_stat * 2, IF(bbgm_stat &gt;= perc_85, converted_stat * 1.5, converted_stat)))))</f>
        <v/>
      </c>
      <c r="V381" s="30" t="str">
        <f t="array" ref="V381">IF($A381="", "", LET(bbgm_stat, INDEX(Players!$A380:$P380, MATCH(V$2, Players!$A$1:$P$1, 0)), perc_75, VLOOKUP(V$2, Percentiles!$A$45:$I$59, 6, FALSE), perc_90, VLOOKUP(V$2, Percentiles!$A$45:$I$59, 7, FALSE), perc_95, VLOOKUP(V$2, Percentiles!$A$45:$I$59, 8, FALSE), perc_85, perc_75 + (perc_90 - perc_75) * (2/3), converted_stat, '2K_Ratings'!V381, IF(bbgm_stat &gt;= perc_95, converted_stat * 3, IF(bbgm_stat &gt;= perc_90, converted_stat * 2, IF(bbgm_stat &gt;= perc_85, converted_stat * 1.5, converted_stat)))))</f>
        <v/>
      </c>
      <c r="W381" s="30" t="str">
        <f t="array" ref="W381">IF($A381="", "", LET(bbgm_stat, INDEX(Players!$A380:$P380, MATCH(W$2, Players!$A$1:$P$1, 0)), perc_75, VLOOKUP(W$2, Percentiles!$A$45:$I$59, 6, FALSE), perc_90, VLOOKUP(W$2, Percentiles!$A$45:$I$59, 7, FALSE), perc_95, VLOOKUP(W$2, Percentiles!$A$45:$I$59, 8, FALSE), perc_85, perc_75 + (perc_90 - perc_75) * (2/3), converted_stat, '2K_Ratings'!W381, IF(bbgm_stat &gt;= perc_95, converted_stat * 3, IF(bbgm_stat &gt;= perc_90, converted_stat * 2, IF(bbgm_stat &gt;= perc_85, converted_stat * 1.5, converted_stat)))))</f>
        <v/>
      </c>
    </row>
    <row r="382">
      <c r="A382" s="30"/>
      <c r="B382" s="30" t="str">
        <f t="array" ref="B382">IF($A382="", "", LET(bbgm_stat, INDEX(Players!$A381:$P381, MATCH(B$2, Players!$A$1:$P$1, 0)), perc_75, VLOOKUP(B$2, Percentiles!$A$45:$I$59, 6, FALSE), perc_90, VLOOKUP(B$2, Percentiles!$A$45:$I$59, 7, FALSE), perc_95, VLOOKUP(B$2, Percentiles!$A$45:$I$59, 8, FALSE), perc_85, perc_75 + (perc_90 - perc_75) * (2/3), converted_stat, '2K_Ratings'!B382, IF(bbgm_stat &gt;= perc_95, converted_stat * 3, IF(bbgm_stat &gt;= perc_90, converted_stat * 2, IF(bbgm_stat &gt;= perc_85, converted_stat * 1.5, converted_stat)))))</f>
        <v/>
      </c>
      <c r="C382" s="30" t="str">
        <f t="array" ref="C382">IF($A382="", "", LET(bbgm_stat, INDEX(Players!$A381:$P381, MATCH(C$2, Players!$A$1:$P$1, 0)), perc_75, VLOOKUP(C$2, Percentiles!$A$45:$I$59, 6, FALSE), perc_90, VLOOKUP(C$2, Percentiles!$A$45:$I$59, 7, FALSE), perc_95, VLOOKUP(C$2, Percentiles!$A$45:$I$59, 8, FALSE), perc_85, perc_75 + (perc_90 - perc_75) * (2/3), converted_stat, '2K_Ratings'!C382, IF(bbgm_stat &gt;= perc_95, converted_stat * 3, IF(bbgm_stat &gt;= perc_90, converted_stat * 2, IF(bbgm_stat &gt;= perc_85, converted_stat * 1.5, converted_stat)))))</f>
        <v/>
      </c>
      <c r="D382" s="30" t="str">
        <f t="array" ref="D382">IF($A382="", "", LET(bbgm_stat, INDEX(Players!$A381:$P381, MATCH(D$2, Players!$A$1:$P$1, 0)), perc_75, VLOOKUP(D$2, Percentiles!$A$45:$I$59, 6, FALSE), perc_90, VLOOKUP(D$2, Percentiles!$A$45:$I$59, 7, FALSE), perc_95, VLOOKUP(D$2, Percentiles!$A$45:$I$59, 8, FALSE), perc_85, perc_75 + (perc_90 - perc_75) * (2/3), converted_stat, '2K_Ratings'!D382, IF(bbgm_stat &gt;= perc_95, converted_stat * 3, IF(bbgm_stat &gt;= perc_90, converted_stat * 2, IF(bbgm_stat &gt;= perc_85, converted_stat * 1.5, converted_stat)))))</f>
        <v/>
      </c>
      <c r="E382" s="30" t="str">
        <f t="array" ref="E382">IF($A382="", "", LET(bbgm_stat, INDEX(Players!$A381:$P381, MATCH(E$2, Players!$A$1:$P$1, 0)), perc_75, VLOOKUP(E$2, Percentiles!$A$45:$I$59, 6, FALSE), perc_90, VLOOKUP(E$2, Percentiles!$A$45:$I$59, 7, FALSE), perc_95, VLOOKUP(E$2, Percentiles!$A$45:$I$59, 8, FALSE), perc_85, perc_75 + (perc_90 - perc_75) * (2/3), converted_stat, '2K_Ratings'!E382, IF(bbgm_stat &gt;= perc_95, converted_stat * 3, IF(bbgm_stat &gt;= perc_90, converted_stat * 2, IF(bbgm_stat &gt;= perc_85, converted_stat * 1.5, converted_stat)))))</f>
        <v/>
      </c>
      <c r="F382" s="30" t="str">
        <f t="array" ref="F382">IF($A382="", "", LET(bbgm_stat, INDEX(Players!$A381:$P381, MATCH(F$2, Players!$A$1:$P$1, 0)), perc_75, VLOOKUP(F$2, Percentiles!$A$45:$I$59, 6, FALSE), perc_90, VLOOKUP(F$2, Percentiles!$A$45:$I$59, 7, FALSE), perc_95, VLOOKUP(F$2, Percentiles!$A$45:$I$59, 8, FALSE), perc_85, perc_75 + (perc_90 - perc_75) * (2/3), converted_stat, '2K_Ratings'!F382, IF(bbgm_stat &gt;= perc_95, converted_stat * 3, IF(bbgm_stat &gt;= perc_90, converted_stat * 2, IF(bbgm_stat &gt;= perc_85, converted_stat * 1.5, converted_stat)))))</f>
        <v/>
      </c>
      <c r="G382" s="30" t="str">
        <f t="array" ref="G382">IF($A382="", "", LET(bbgm_stat, INDEX(Players!$A381:$P381, MATCH(G$2, Players!$A$1:$P$1, 0)), perc_75, VLOOKUP(G$2, Percentiles!$A$45:$I$59, 6, FALSE), perc_90, VLOOKUP(G$2, Percentiles!$A$45:$I$59, 7, FALSE), perc_95, VLOOKUP(G$2, Percentiles!$A$45:$I$59, 8, FALSE), perc_85, perc_75 + (perc_90 - perc_75) * (2/3), converted_stat, '2K_Ratings'!G382, IF(bbgm_stat &gt;= perc_95, converted_stat * 3, IF(bbgm_stat &gt;= perc_90, converted_stat * 2, IF(bbgm_stat &gt;= perc_85, converted_stat * 1.5, converted_stat)))))</f>
        <v/>
      </c>
      <c r="H382" s="30" t="str">
        <f t="array" ref="H382">IF($A382="", "", LET(bbgm_stat, INDEX(Players!$A381:$P381, MATCH(H$2, Players!$A$1:$P$1, 0)), perc_75, VLOOKUP(H$2, Percentiles!$A$45:$I$59, 6, FALSE), perc_90, VLOOKUP(H$2, Percentiles!$A$45:$I$59, 7, FALSE), perc_95, VLOOKUP(H$2, Percentiles!$A$45:$I$59, 8, FALSE), perc_85, perc_75 + (perc_90 - perc_75) * (2/3), converted_stat, '2K_Ratings'!H382, IF(bbgm_stat &gt;= perc_95, converted_stat * 3, IF(bbgm_stat &gt;= perc_90, converted_stat * 2, IF(bbgm_stat &gt;= perc_85, converted_stat * 1.5, converted_stat)))))</f>
        <v/>
      </c>
      <c r="I382" s="30" t="str">
        <f t="array" ref="I382">IF($A382="", "", LET(bbgm_stat, INDEX(Players!$A381:$P381, MATCH(I$2, Players!$A$1:$P$1, 0)), perc_75, VLOOKUP(I$2, Percentiles!$A$45:$I$59, 6, FALSE), perc_90, VLOOKUP(I$2, Percentiles!$A$45:$I$59, 7, FALSE), perc_95, VLOOKUP(I$2, Percentiles!$A$45:$I$59, 8, FALSE), perc_85, perc_75 + (perc_90 - perc_75) * (2/3), converted_stat, '2K_Ratings'!I382, IF(bbgm_stat &gt;= perc_95, converted_stat * 3, IF(bbgm_stat &gt;= perc_90, converted_stat * 2, IF(bbgm_stat &gt;= perc_85, converted_stat * 1.5, converted_stat)))))</f>
        <v/>
      </c>
      <c r="J382" s="30" t="str">
        <f t="array" ref="J382">IF($A382="", "", LET(bbgm_stat, INDEX(Players!$A381:$P381, MATCH(J$2, Players!$A$1:$P$1, 0)), perc_75, VLOOKUP(J$2, Percentiles!$A$45:$I$59, 6, FALSE), perc_90, VLOOKUP(J$2, Percentiles!$A$45:$I$59, 7, FALSE), perc_95, VLOOKUP(J$2, Percentiles!$A$45:$I$59, 8, FALSE), perc_85, perc_75 + (perc_90 - perc_75) * (2/3), converted_stat, '2K_Ratings'!J382, IF(bbgm_stat &gt;= perc_95, converted_stat * 3, IF(bbgm_stat &gt;= perc_90, converted_stat * 2, IF(bbgm_stat &gt;= perc_85, converted_stat * 1.5, converted_stat)))))</f>
        <v/>
      </c>
      <c r="K382" s="30" t="str">
        <f t="array" ref="K382">IF($A382="", "", LET(bbgm_stat, INDEX(Players!$A381:$P381, MATCH(K$2, Players!$A$1:$P$1, 0)), perc_75, VLOOKUP(K$2, Percentiles!$A$45:$I$59, 6, FALSE), perc_90, VLOOKUP(K$2, Percentiles!$A$45:$I$59, 7, FALSE), perc_95, VLOOKUP(K$2, Percentiles!$A$45:$I$59, 8, FALSE), perc_85, perc_75 + (perc_90 - perc_75) * (2/3), converted_stat, '2K_Ratings'!K382, IF(bbgm_stat &gt;= perc_95, converted_stat * 3, IF(bbgm_stat &gt;= perc_90, converted_stat * 2, IF(bbgm_stat &gt;= perc_85, converted_stat * 1.5, converted_stat)))))</f>
        <v/>
      </c>
      <c r="L382" s="30" t="str">
        <f t="array" ref="L382">IF($A382="", "", LET(bbgm_stat, INDEX(Players!$A381:$P381, MATCH(L$2, Players!$A$1:$P$1, 0)), perc_75, VLOOKUP(L$2, Percentiles!$A$45:$I$59, 6, FALSE), perc_90, VLOOKUP(L$2, Percentiles!$A$45:$I$59, 7, FALSE), perc_95, VLOOKUP(L$2, Percentiles!$A$45:$I$59, 8, FALSE), perc_85, perc_75 + (perc_90 - perc_75) * (2/3), converted_stat, '2K_Ratings'!L382, IF(bbgm_stat &gt;= perc_95, converted_stat * 3, IF(bbgm_stat &gt;= perc_90, converted_stat * 2, IF(bbgm_stat &gt;= perc_85, converted_stat * 1.5, converted_stat)))))</f>
        <v/>
      </c>
      <c r="M382" s="30" t="str">
        <f t="array" ref="M382">IF($A382="", "", LET(bbgm_stat, INDEX(Players!$A381:$P381, MATCH(M$2, Players!$A$1:$P$1, 0)), perc_75, VLOOKUP(M$2, Percentiles!$A$45:$I$59, 6, FALSE), perc_90, VLOOKUP(M$2, Percentiles!$A$45:$I$59, 7, FALSE), perc_95, VLOOKUP(M$2, Percentiles!$A$45:$I$59, 8, FALSE), perc_85, perc_75 + (perc_90 - perc_75) * (2/3), converted_stat, '2K_Ratings'!M382, IF(bbgm_stat &gt;= perc_95, converted_stat * 3, IF(bbgm_stat &gt;= perc_90, converted_stat * 2, IF(bbgm_stat &gt;= perc_85, converted_stat * 1.5, converted_stat)))))</f>
        <v/>
      </c>
      <c r="N382" s="30" t="str">
        <f t="array" ref="N382">IF($A382="", "", LET(bbgm_stat, INDEX(Players!$A381:$P381, MATCH(N$2, Players!$A$1:$P$1, 0)), perc_75, VLOOKUP(N$2, Percentiles!$A$45:$I$59, 6, FALSE), perc_90, VLOOKUP(N$2, Percentiles!$A$45:$I$59, 7, FALSE), perc_95, VLOOKUP(N$2, Percentiles!$A$45:$I$59, 8, FALSE), perc_85, perc_75 + (perc_90 - perc_75) * (2/3), converted_stat, '2K_Ratings'!N382, IF(bbgm_stat &gt;= perc_95, converted_stat * 3, IF(bbgm_stat &gt;= perc_90, converted_stat * 2, IF(bbgm_stat &gt;= perc_85, converted_stat * 1.5, converted_stat)))))</f>
        <v/>
      </c>
      <c r="O382" s="30" t="str">
        <f t="array" ref="O382">IF($A382="", "", LET(bbgm_stat, INDEX(Players!$A381:$P381, MATCH(O$2, Players!$A$1:$P$1, 0)), perc_75, VLOOKUP(O$2, Percentiles!$A$45:$I$59, 6, FALSE), perc_90, VLOOKUP(O$2, Percentiles!$A$45:$I$59, 7, FALSE), perc_95, VLOOKUP(O$2, Percentiles!$A$45:$I$59, 8, FALSE), perc_85, perc_75 + (perc_90 - perc_75) * (2/3), converted_stat, '2K_Ratings'!O382, IF(bbgm_stat &gt;= perc_95, converted_stat * 3, IF(bbgm_stat &gt;= perc_90, converted_stat * 2, IF(bbgm_stat &gt;= perc_85, converted_stat * 1.5, converted_stat)))))</f>
        <v/>
      </c>
      <c r="P382" s="30" t="str">
        <f t="array" ref="P382">IF($A382="", "", LET(bbgm_stat, INDEX(Players!$A381:$P381, MATCH(P$2, Players!$A$1:$P$1, 0)), perc_75, VLOOKUP(P$2, Percentiles!$A$45:$I$59, 6, FALSE), perc_90, VLOOKUP(P$2, Percentiles!$A$45:$I$59, 7, FALSE), perc_95, VLOOKUP(P$2, Percentiles!$A$45:$I$59, 8, FALSE), perc_85, perc_75 + (perc_90 - perc_75) * (2/3), converted_stat, '2K_Ratings'!P382, IF(bbgm_stat &gt;= perc_95, converted_stat * 3, IF(bbgm_stat &gt;= perc_90, converted_stat * 2, IF(bbgm_stat &gt;= perc_85, converted_stat * 1.5, converted_stat)))))</f>
        <v/>
      </c>
      <c r="Q382" s="30" t="str">
        <f t="array" ref="Q382">IF($A382="", "", LET(bbgm_stat, INDEX(Players!$A381:$P381, MATCH(Q$2, Players!$A$1:$P$1, 0)), perc_75, VLOOKUP(Q$2, Percentiles!$A$45:$I$59, 6, FALSE), perc_90, VLOOKUP(Q$2, Percentiles!$A$45:$I$59, 7, FALSE), perc_95, VLOOKUP(Q$2, Percentiles!$A$45:$I$59, 8, FALSE), perc_85, perc_75 + (perc_90 - perc_75) * (2/3), converted_stat, '2K_Ratings'!Q382, IF(bbgm_stat &gt;= perc_95, converted_stat * 3, IF(bbgm_stat &gt;= perc_90, converted_stat * 2, IF(bbgm_stat &gt;= perc_85, converted_stat * 1.5, converted_stat)))))</f>
        <v/>
      </c>
      <c r="R382" s="30" t="str">
        <f t="array" ref="R382">IF($A382="", "", LET(bbgm_stat, INDEX(Players!$A381:$P381, MATCH(R$2, Players!$A$1:$P$1, 0)), perc_75, VLOOKUP(R$2, Percentiles!$A$45:$I$59, 6, FALSE), perc_90, VLOOKUP(R$2, Percentiles!$A$45:$I$59, 7, FALSE), perc_95, VLOOKUP(R$2, Percentiles!$A$45:$I$59, 8, FALSE), perc_85, perc_75 + (perc_90 - perc_75) * (2/3), converted_stat, '2K_Ratings'!R382, IF(bbgm_stat &gt;= perc_95, converted_stat * 3, IF(bbgm_stat &gt;= perc_90, converted_stat * 2, IF(bbgm_stat &gt;= perc_85, converted_stat * 1.5, converted_stat)))))</f>
        <v/>
      </c>
      <c r="S382" s="30" t="str">
        <f t="array" ref="S382">IF($A382="", "", LET(bbgm_stat, INDEX(Players!$A381:$P381, MATCH(S$2, Players!$A$1:$P$1, 0)), perc_75, VLOOKUP(S$2, Percentiles!$A$45:$I$59, 6, FALSE), perc_90, VLOOKUP(S$2, Percentiles!$A$45:$I$59, 7, FALSE), perc_95, VLOOKUP(S$2, Percentiles!$A$45:$I$59, 8, FALSE), perc_85, perc_75 + (perc_90 - perc_75) * (2/3), converted_stat, '2K_Ratings'!S382, IF(bbgm_stat &gt;= perc_95, converted_stat * 3, IF(bbgm_stat &gt;= perc_90, converted_stat * 2, IF(bbgm_stat &gt;= perc_85, converted_stat * 1.5, converted_stat)))))</f>
        <v/>
      </c>
      <c r="T382" s="30" t="str">
        <f t="array" ref="T382">IF($A382="", "", LET(bbgm_stat, INDEX(Players!$A381:$P381, MATCH(T$2, Players!$A$1:$P$1, 0)), perc_75, VLOOKUP(T$2, Percentiles!$A$45:$I$59, 6, FALSE), perc_90, VLOOKUP(T$2, Percentiles!$A$45:$I$59, 7, FALSE), perc_95, VLOOKUP(T$2, Percentiles!$A$45:$I$59, 8, FALSE), perc_85, perc_75 + (perc_90 - perc_75) * (2/3), converted_stat, '2K_Ratings'!T382, IF(bbgm_stat &gt;= perc_95, converted_stat * 3, IF(bbgm_stat &gt;= perc_90, converted_stat * 2, IF(bbgm_stat &gt;= perc_85, converted_stat * 1.5, converted_stat)))))</f>
        <v/>
      </c>
      <c r="U382" s="30" t="str">
        <f t="array" ref="U382">IF($A382="", "", LET(bbgm_stat, INDEX(Players!$A381:$P381, MATCH(U$2, Players!$A$1:$P$1, 0)), perc_75, VLOOKUP(U$2, Percentiles!$A$45:$I$59, 6, FALSE), perc_90, VLOOKUP(U$2, Percentiles!$A$45:$I$59, 7, FALSE), perc_95, VLOOKUP(U$2, Percentiles!$A$45:$I$59, 8, FALSE), perc_85, perc_75 + (perc_90 - perc_75) * (2/3), converted_stat, '2K_Ratings'!U382, IF(bbgm_stat &gt;= perc_95, converted_stat * 3, IF(bbgm_stat &gt;= perc_90, converted_stat * 2, IF(bbgm_stat &gt;= perc_85, converted_stat * 1.5, converted_stat)))))</f>
        <v/>
      </c>
      <c r="V382" s="30" t="str">
        <f t="array" ref="V382">IF($A382="", "", LET(bbgm_stat, INDEX(Players!$A381:$P381, MATCH(V$2, Players!$A$1:$P$1, 0)), perc_75, VLOOKUP(V$2, Percentiles!$A$45:$I$59, 6, FALSE), perc_90, VLOOKUP(V$2, Percentiles!$A$45:$I$59, 7, FALSE), perc_95, VLOOKUP(V$2, Percentiles!$A$45:$I$59, 8, FALSE), perc_85, perc_75 + (perc_90 - perc_75) * (2/3), converted_stat, '2K_Ratings'!V382, IF(bbgm_stat &gt;= perc_95, converted_stat * 3, IF(bbgm_stat &gt;= perc_90, converted_stat * 2, IF(bbgm_stat &gt;= perc_85, converted_stat * 1.5, converted_stat)))))</f>
        <v/>
      </c>
      <c r="W382" s="30" t="str">
        <f t="array" ref="W382">IF($A382="", "", LET(bbgm_stat, INDEX(Players!$A381:$P381, MATCH(W$2, Players!$A$1:$P$1, 0)), perc_75, VLOOKUP(W$2, Percentiles!$A$45:$I$59, 6, FALSE), perc_90, VLOOKUP(W$2, Percentiles!$A$45:$I$59, 7, FALSE), perc_95, VLOOKUP(W$2, Percentiles!$A$45:$I$59, 8, FALSE), perc_85, perc_75 + (perc_90 - perc_75) * (2/3), converted_stat, '2K_Ratings'!W382, IF(bbgm_stat &gt;= perc_95, converted_stat * 3, IF(bbgm_stat &gt;= perc_90, converted_stat * 2, IF(bbgm_stat &gt;= perc_85, converted_stat * 1.5, converted_stat)))))</f>
        <v/>
      </c>
    </row>
    <row r="383">
      <c r="A383" s="30"/>
      <c r="B383" s="30" t="str">
        <f t="array" ref="B383">IF($A383="", "", LET(bbgm_stat, INDEX(Players!$A382:$P382, MATCH(B$2, Players!$A$1:$P$1, 0)), perc_75, VLOOKUP(B$2, Percentiles!$A$45:$I$59, 6, FALSE), perc_90, VLOOKUP(B$2, Percentiles!$A$45:$I$59, 7, FALSE), perc_95, VLOOKUP(B$2, Percentiles!$A$45:$I$59, 8, FALSE), perc_85, perc_75 + (perc_90 - perc_75) * (2/3), converted_stat, '2K_Ratings'!B383, IF(bbgm_stat &gt;= perc_95, converted_stat * 3, IF(bbgm_stat &gt;= perc_90, converted_stat * 2, IF(bbgm_stat &gt;= perc_85, converted_stat * 1.5, converted_stat)))))</f>
        <v/>
      </c>
      <c r="C383" s="30" t="str">
        <f t="array" ref="C383">IF($A383="", "", LET(bbgm_stat, INDEX(Players!$A382:$P382, MATCH(C$2, Players!$A$1:$P$1, 0)), perc_75, VLOOKUP(C$2, Percentiles!$A$45:$I$59, 6, FALSE), perc_90, VLOOKUP(C$2, Percentiles!$A$45:$I$59, 7, FALSE), perc_95, VLOOKUP(C$2, Percentiles!$A$45:$I$59, 8, FALSE), perc_85, perc_75 + (perc_90 - perc_75) * (2/3), converted_stat, '2K_Ratings'!C383, IF(bbgm_stat &gt;= perc_95, converted_stat * 3, IF(bbgm_stat &gt;= perc_90, converted_stat * 2, IF(bbgm_stat &gt;= perc_85, converted_stat * 1.5, converted_stat)))))</f>
        <v/>
      </c>
      <c r="D383" s="30" t="str">
        <f t="array" ref="D383">IF($A383="", "", LET(bbgm_stat, INDEX(Players!$A382:$P382, MATCH(D$2, Players!$A$1:$P$1, 0)), perc_75, VLOOKUP(D$2, Percentiles!$A$45:$I$59, 6, FALSE), perc_90, VLOOKUP(D$2, Percentiles!$A$45:$I$59, 7, FALSE), perc_95, VLOOKUP(D$2, Percentiles!$A$45:$I$59, 8, FALSE), perc_85, perc_75 + (perc_90 - perc_75) * (2/3), converted_stat, '2K_Ratings'!D383, IF(bbgm_stat &gt;= perc_95, converted_stat * 3, IF(bbgm_stat &gt;= perc_90, converted_stat * 2, IF(bbgm_stat &gt;= perc_85, converted_stat * 1.5, converted_stat)))))</f>
        <v/>
      </c>
      <c r="E383" s="30" t="str">
        <f t="array" ref="E383">IF($A383="", "", LET(bbgm_stat, INDEX(Players!$A382:$P382, MATCH(E$2, Players!$A$1:$P$1, 0)), perc_75, VLOOKUP(E$2, Percentiles!$A$45:$I$59, 6, FALSE), perc_90, VLOOKUP(E$2, Percentiles!$A$45:$I$59, 7, FALSE), perc_95, VLOOKUP(E$2, Percentiles!$A$45:$I$59, 8, FALSE), perc_85, perc_75 + (perc_90 - perc_75) * (2/3), converted_stat, '2K_Ratings'!E383, IF(bbgm_stat &gt;= perc_95, converted_stat * 3, IF(bbgm_stat &gt;= perc_90, converted_stat * 2, IF(bbgm_stat &gt;= perc_85, converted_stat * 1.5, converted_stat)))))</f>
        <v/>
      </c>
      <c r="F383" s="30" t="str">
        <f t="array" ref="F383">IF($A383="", "", LET(bbgm_stat, INDEX(Players!$A382:$P382, MATCH(F$2, Players!$A$1:$P$1, 0)), perc_75, VLOOKUP(F$2, Percentiles!$A$45:$I$59, 6, FALSE), perc_90, VLOOKUP(F$2, Percentiles!$A$45:$I$59, 7, FALSE), perc_95, VLOOKUP(F$2, Percentiles!$A$45:$I$59, 8, FALSE), perc_85, perc_75 + (perc_90 - perc_75) * (2/3), converted_stat, '2K_Ratings'!F383, IF(bbgm_stat &gt;= perc_95, converted_stat * 3, IF(bbgm_stat &gt;= perc_90, converted_stat * 2, IF(bbgm_stat &gt;= perc_85, converted_stat * 1.5, converted_stat)))))</f>
        <v/>
      </c>
      <c r="G383" s="30" t="str">
        <f t="array" ref="G383">IF($A383="", "", LET(bbgm_stat, INDEX(Players!$A382:$P382, MATCH(G$2, Players!$A$1:$P$1, 0)), perc_75, VLOOKUP(G$2, Percentiles!$A$45:$I$59, 6, FALSE), perc_90, VLOOKUP(G$2, Percentiles!$A$45:$I$59, 7, FALSE), perc_95, VLOOKUP(G$2, Percentiles!$A$45:$I$59, 8, FALSE), perc_85, perc_75 + (perc_90 - perc_75) * (2/3), converted_stat, '2K_Ratings'!G383, IF(bbgm_stat &gt;= perc_95, converted_stat * 3, IF(bbgm_stat &gt;= perc_90, converted_stat * 2, IF(bbgm_stat &gt;= perc_85, converted_stat * 1.5, converted_stat)))))</f>
        <v/>
      </c>
      <c r="H383" s="30" t="str">
        <f t="array" ref="H383">IF($A383="", "", LET(bbgm_stat, INDEX(Players!$A382:$P382, MATCH(H$2, Players!$A$1:$P$1, 0)), perc_75, VLOOKUP(H$2, Percentiles!$A$45:$I$59, 6, FALSE), perc_90, VLOOKUP(H$2, Percentiles!$A$45:$I$59, 7, FALSE), perc_95, VLOOKUP(H$2, Percentiles!$A$45:$I$59, 8, FALSE), perc_85, perc_75 + (perc_90 - perc_75) * (2/3), converted_stat, '2K_Ratings'!H383, IF(bbgm_stat &gt;= perc_95, converted_stat * 3, IF(bbgm_stat &gt;= perc_90, converted_stat * 2, IF(bbgm_stat &gt;= perc_85, converted_stat * 1.5, converted_stat)))))</f>
        <v/>
      </c>
      <c r="I383" s="30" t="str">
        <f t="array" ref="I383">IF($A383="", "", LET(bbgm_stat, INDEX(Players!$A382:$P382, MATCH(I$2, Players!$A$1:$P$1, 0)), perc_75, VLOOKUP(I$2, Percentiles!$A$45:$I$59, 6, FALSE), perc_90, VLOOKUP(I$2, Percentiles!$A$45:$I$59, 7, FALSE), perc_95, VLOOKUP(I$2, Percentiles!$A$45:$I$59, 8, FALSE), perc_85, perc_75 + (perc_90 - perc_75) * (2/3), converted_stat, '2K_Ratings'!I383, IF(bbgm_stat &gt;= perc_95, converted_stat * 3, IF(bbgm_stat &gt;= perc_90, converted_stat * 2, IF(bbgm_stat &gt;= perc_85, converted_stat * 1.5, converted_stat)))))</f>
        <v/>
      </c>
      <c r="J383" s="30" t="str">
        <f t="array" ref="J383">IF($A383="", "", LET(bbgm_stat, INDEX(Players!$A382:$P382, MATCH(J$2, Players!$A$1:$P$1, 0)), perc_75, VLOOKUP(J$2, Percentiles!$A$45:$I$59, 6, FALSE), perc_90, VLOOKUP(J$2, Percentiles!$A$45:$I$59, 7, FALSE), perc_95, VLOOKUP(J$2, Percentiles!$A$45:$I$59, 8, FALSE), perc_85, perc_75 + (perc_90 - perc_75) * (2/3), converted_stat, '2K_Ratings'!J383, IF(bbgm_stat &gt;= perc_95, converted_stat * 3, IF(bbgm_stat &gt;= perc_90, converted_stat * 2, IF(bbgm_stat &gt;= perc_85, converted_stat * 1.5, converted_stat)))))</f>
        <v/>
      </c>
      <c r="K383" s="30" t="str">
        <f t="array" ref="K383">IF($A383="", "", LET(bbgm_stat, INDEX(Players!$A382:$P382, MATCH(K$2, Players!$A$1:$P$1, 0)), perc_75, VLOOKUP(K$2, Percentiles!$A$45:$I$59, 6, FALSE), perc_90, VLOOKUP(K$2, Percentiles!$A$45:$I$59, 7, FALSE), perc_95, VLOOKUP(K$2, Percentiles!$A$45:$I$59, 8, FALSE), perc_85, perc_75 + (perc_90 - perc_75) * (2/3), converted_stat, '2K_Ratings'!K383, IF(bbgm_stat &gt;= perc_95, converted_stat * 3, IF(bbgm_stat &gt;= perc_90, converted_stat * 2, IF(bbgm_stat &gt;= perc_85, converted_stat * 1.5, converted_stat)))))</f>
        <v/>
      </c>
      <c r="L383" s="30" t="str">
        <f t="array" ref="L383">IF($A383="", "", LET(bbgm_stat, INDEX(Players!$A382:$P382, MATCH(L$2, Players!$A$1:$P$1, 0)), perc_75, VLOOKUP(L$2, Percentiles!$A$45:$I$59, 6, FALSE), perc_90, VLOOKUP(L$2, Percentiles!$A$45:$I$59, 7, FALSE), perc_95, VLOOKUP(L$2, Percentiles!$A$45:$I$59, 8, FALSE), perc_85, perc_75 + (perc_90 - perc_75) * (2/3), converted_stat, '2K_Ratings'!L383, IF(bbgm_stat &gt;= perc_95, converted_stat * 3, IF(bbgm_stat &gt;= perc_90, converted_stat * 2, IF(bbgm_stat &gt;= perc_85, converted_stat * 1.5, converted_stat)))))</f>
        <v/>
      </c>
      <c r="M383" s="30" t="str">
        <f t="array" ref="M383">IF($A383="", "", LET(bbgm_stat, INDEX(Players!$A382:$P382, MATCH(M$2, Players!$A$1:$P$1, 0)), perc_75, VLOOKUP(M$2, Percentiles!$A$45:$I$59, 6, FALSE), perc_90, VLOOKUP(M$2, Percentiles!$A$45:$I$59, 7, FALSE), perc_95, VLOOKUP(M$2, Percentiles!$A$45:$I$59, 8, FALSE), perc_85, perc_75 + (perc_90 - perc_75) * (2/3), converted_stat, '2K_Ratings'!M383, IF(bbgm_stat &gt;= perc_95, converted_stat * 3, IF(bbgm_stat &gt;= perc_90, converted_stat * 2, IF(bbgm_stat &gt;= perc_85, converted_stat * 1.5, converted_stat)))))</f>
        <v/>
      </c>
      <c r="N383" s="30" t="str">
        <f t="array" ref="N383">IF($A383="", "", LET(bbgm_stat, INDEX(Players!$A382:$P382, MATCH(N$2, Players!$A$1:$P$1, 0)), perc_75, VLOOKUP(N$2, Percentiles!$A$45:$I$59, 6, FALSE), perc_90, VLOOKUP(N$2, Percentiles!$A$45:$I$59, 7, FALSE), perc_95, VLOOKUP(N$2, Percentiles!$A$45:$I$59, 8, FALSE), perc_85, perc_75 + (perc_90 - perc_75) * (2/3), converted_stat, '2K_Ratings'!N383, IF(bbgm_stat &gt;= perc_95, converted_stat * 3, IF(bbgm_stat &gt;= perc_90, converted_stat * 2, IF(bbgm_stat &gt;= perc_85, converted_stat * 1.5, converted_stat)))))</f>
        <v/>
      </c>
      <c r="O383" s="30" t="str">
        <f t="array" ref="O383">IF($A383="", "", LET(bbgm_stat, INDEX(Players!$A382:$P382, MATCH(O$2, Players!$A$1:$P$1, 0)), perc_75, VLOOKUP(O$2, Percentiles!$A$45:$I$59, 6, FALSE), perc_90, VLOOKUP(O$2, Percentiles!$A$45:$I$59, 7, FALSE), perc_95, VLOOKUP(O$2, Percentiles!$A$45:$I$59, 8, FALSE), perc_85, perc_75 + (perc_90 - perc_75) * (2/3), converted_stat, '2K_Ratings'!O383, IF(bbgm_stat &gt;= perc_95, converted_stat * 3, IF(bbgm_stat &gt;= perc_90, converted_stat * 2, IF(bbgm_stat &gt;= perc_85, converted_stat * 1.5, converted_stat)))))</f>
        <v/>
      </c>
      <c r="P383" s="30" t="str">
        <f t="array" ref="P383">IF($A383="", "", LET(bbgm_stat, INDEX(Players!$A382:$P382, MATCH(P$2, Players!$A$1:$P$1, 0)), perc_75, VLOOKUP(P$2, Percentiles!$A$45:$I$59, 6, FALSE), perc_90, VLOOKUP(P$2, Percentiles!$A$45:$I$59, 7, FALSE), perc_95, VLOOKUP(P$2, Percentiles!$A$45:$I$59, 8, FALSE), perc_85, perc_75 + (perc_90 - perc_75) * (2/3), converted_stat, '2K_Ratings'!P383, IF(bbgm_stat &gt;= perc_95, converted_stat * 3, IF(bbgm_stat &gt;= perc_90, converted_stat * 2, IF(bbgm_stat &gt;= perc_85, converted_stat * 1.5, converted_stat)))))</f>
        <v/>
      </c>
      <c r="Q383" s="30" t="str">
        <f t="array" ref="Q383">IF($A383="", "", LET(bbgm_stat, INDEX(Players!$A382:$P382, MATCH(Q$2, Players!$A$1:$P$1, 0)), perc_75, VLOOKUP(Q$2, Percentiles!$A$45:$I$59, 6, FALSE), perc_90, VLOOKUP(Q$2, Percentiles!$A$45:$I$59, 7, FALSE), perc_95, VLOOKUP(Q$2, Percentiles!$A$45:$I$59, 8, FALSE), perc_85, perc_75 + (perc_90 - perc_75) * (2/3), converted_stat, '2K_Ratings'!Q383, IF(bbgm_stat &gt;= perc_95, converted_stat * 3, IF(bbgm_stat &gt;= perc_90, converted_stat * 2, IF(bbgm_stat &gt;= perc_85, converted_stat * 1.5, converted_stat)))))</f>
        <v/>
      </c>
      <c r="R383" s="30" t="str">
        <f t="array" ref="R383">IF($A383="", "", LET(bbgm_stat, INDEX(Players!$A382:$P382, MATCH(R$2, Players!$A$1:$P$1, 0)), perc_75, VLOOKUP(R$2, Percentiles!$A$45:$I$59, 6, FALSE), perc_90, VLOOKUP(R$2, Percentiles!$A$45:$I$59, 7, FALSE), perc_95, VLOOKUP(R$2, Percentiles!$A$45:$I$59, 8, FALSE), perc_85, perc_75 + (perc_90 - perc_75) * (2/3), converted_stat, '2K_Ratings'!R383, IF(bbgm_stat &gt;= perc_95, converted_stat * 3, IF(bbgm_stat &gt;= perc_90, converted_stat * 2, IF(bbgm_stat &gt;= perc_85, converted_stat * 1.5, converted_stat)))))</f>
        <v/>
      </c>
      <c r="S383" s="30" t="str">
        <f t="array" ref="S383">IF($A383="", "", LET(bbgm_stat, INDEX(Players!$A382:$P382, MATCH(S$2, Players!$A$1:$P$1, 0)), perc_75, VLOOKUP(S$2, Percentiles!$A$45:$I$59, 6, FALSE), perc_90, VLOOKUP(S$2, Percentiles!$A$45:$I$59, 7, FALSE), perc_95, VLOOKUP(S$2, Percentiles!$A$45:$I$59, 8, FALSE), perc_85, perc_75 + (perc_90 - perc_75) * (2/3), converted_stat, '2K_Ratings'!S383, IF(bbgm_stat &gt;= perc_95, converted_stat * 3, IF(bbgm_stat &gt;= perc_90, converted_stat * 2, IF(bbgm_stat &gt;= perc_85, converted_stat * 1.5, converted_stat)))))</f>
        <v/>
      </c>
      <c r="T383" s="30" t="str">
        <f t="array" ref="T383">IF($A383="", "", LET(bbgm_stat, INDEX(Players!$A382:$P382, MATCH(T$2, Players!$A$1:$P$1, 0)), perc_75, VLOOKUP(T$2, Percentiles!$A$45:$I$59, 6, FALSE), perc_90, VLOOKUP(T$2, Percentiles!$A$45:$I$59, 7, FALSE), perc_95, VLOOKUP(T$2, Percentiles!$A$45:$I$59, 8, FALSE), perc_85, perc_75 + (perc_90 - perc_75) * (2/3), converted_stat, '2K_Ratings'!T383, IF(bbgm_stat &gt;= perc_95, converted_stat * 3, IF(bbgm_stat &gt;= perc_90, converted_stat * 2, IF(bbgm_stat &gt;= perc_85, converted_stat * 1.5, converted_stat)))))</f>
        <v/>
      </c>
      <c r="U383" s="30" t="str">
        <f t="array" ref="U383">IF($A383="", "", LET(bbgm_stat, INDEX(Players!$A382:$P382, MATCH(U$2, Players!$A$1:$P$1, 0)), perc_75, VLOOKUP(U$2, Percentiles!$A$45:$I$59, 6, FALSE), perc_90, VLOOKUP(U$2, Percentiles!$A$45:$I$59, 7, FALSE), perc_95, VLOOKUP(U$2, Percentiles!$A$45:$I$59, 8, FALSE), perc_85, perc_75 + (perc_90 - perc_75) * (2/3), converted_stat, '2K_Ratings'!U383, IF(bbgm_stat &gt;= perc_95, converted_stat * 3, IF(bbgm_stat &gt;= perc_90, converted_stat * 2, IF(bbgm_stat &gt;= perc_85, converted_stat * 1.5, converted_stat)))))</f>
        <v/>
      </c>
      <c r="V383" s="30" t="str">
        <f t="array" ref="V383">IF($A383="", "", LET(bbgm_stat, INDEX(Players!$A382:$P382, MATCH(V$2, Players!$A$1:$P$1, 0)), perc_75, VLOOKUP(V$2, Percentiles!$A$45:$I$59, 6, FALSE), perc_90, VLOOKUP(V$2, Percentiles!$A$45:$I$59, 7, FALSE), perc_95, VLOOKUP(V$2, Percentiles!$A$45:$I$59, 8, FALSE), perc_85, perc_75 + (perc_90 - perc_75) * (2/3), converted_stat, '2K_Ratings'!V383, IF(bbgm_stat &gt;= perc_95, converted_stat * 3, IF(bbgm_stat &gt;= perc_90, converted_stat * 2, IF(bbgm_stat &gt;= perc_85, converted_stat * 1.5, converted_stat)))))</f>
        <v/>
      </c>
      <c r="W383" s="30" t="str">
        <f t="array" ref="W383">IF($A383="", "", LET(bbgm_stat, INDEX(Players!$A382:$P382, MATCH(W$2, Players!$A$1:$P$1, 0)), perc_75, VLOOKUP(W$2, Percentiles!$A$45:$I$59, 6, FALSE), perc_90, VLOOKUP(W$2, Percentiles!$A$45:$I$59, 7, FALSE), perc_95, VLOOKUP(W$2, Percentiles!$A$45:$I$59, 8, FALSE), perc_85, perc_75 + (perc_90 - perc_75) * (2/3), converted_stat, '2K_Ratings'!W383, IF(bbgm_stat &gt;= perc_95, converted_stat * 3, IF(bbgm_stat &gt;= perc_90, converted_stat * 2, IF(bbgm_stat &gt;= perc_85, converted_stat * 1.5, converted_stat)))))</f>
        <v/>
      </c>
    </row>
    <row r="384">
      <c r="A384" s="30"/>
      <c r="B384" s="30" t="str">
        <f t="array" ref="B384">IF($A384="", "", LET(bbgm_stat, INDEX(Players!$A383:$P383, MATCH(B$2, Players!$A$1:$P$1, 0)), perc_75, VLOOKUP(B$2, Percentiles!$A$45:$I$59, 6, FALSE), perc_90, VLOOKUP(B$2, Percentiles!$A$45:$I$59, 7, FALSE), perc_95, VLOOKUP(B$2, Percentiles!$A$45:$I$59, 8, FALSE), perc_85, perc_75 + (perc_90 - perc_75) * (2/3), converted_stat, '2K_Ratings'!B384, IF(bbgm_stat &gt;= perc_95, converted_stat * 3, IF(bbgm_stat &gt;= perc_90, converted_stat * 2, IF(bbgm_stat &gt;= perc_85, converted_stat * 1.5, converted_stat)))))</f>
        <v/>
      </c>
      <c r="C384" s="30" t="str">
        <f t="array" ref="C384">IF($A384="", "", LET(bbgm_stat, INDEX(Players!$A383:$P383, MATCH(C$2, Players!$A$1:$P$1, 0)), perc_75, VLOOKUP(C$2, Percentiles!$A$45:$I$59, 6, FALSE), perc_90, VLOOKUP(C$2, Percentiles!$A$45:$I$59, 7, FALSE), perc_95, VLOOKUP(C$2, Percentiles!$A$45:$I$59, 8, FALSE), perc_85, perc_75 + (perc_90 - perc_75) * (2/3), converted_stat, '2K_Ratings'!C384, IF(bbgm_stat &gt;= perc_95, converted_stat * 3, IF(bbgm_stat &gt;= perc_90, converted_stat * 2, IF(bbgm_stat &gt;= perc_85, converted_stat * 1.5, converted_stat)))))</f>
        <v/>
      </c>
      <c r="D384" s="30" t="str">
        <f t="array" ref="D384">IF($A384="", "", LET(bbgm_stat, INDEX(Players!$A383:$P383, MATCH(D$2, Players!$A$1:$P$1, 0)), perc_75, VLOOKUP(D$2, Percentiles!$A$45:$I$59, 6, FALSE), perc_90, VLOOKUP(D$2, Percentiles!$A$45:$I$59, 7, FALSE), perc_95, VLOOKUP(D$2, Percentiles!$A$45:$I$59, 8, FALSE), perc_85, perc_75 + (perc_90 - perc_75) * (2/3), converted_stat, '2K_Ratings'!D384, IF(bbgm_stat &gt;= perc_95, converted_stat * 3, IF(bbgm_stat &gt;= perc_90, converted_stat * 2, IF(bbgm_stat &gt;= perc_85, converted_stat * 1.5, converted_stat)))))</f>
        <v/>
      </c>
      <c r="E384" s="30" t="str">
        <f t="array" ref="E384">IF($A384="", "", LET(bbgm_stat, INDEX(Players!$A383:$P383, MATCH(E$2, Players!$A$1:$P$1, 0)), perc_75, VLOOKUP(E$2, Percentiles!$A$45:$I$59, 6, FALSE), perc_90, VLOOKUP(E$2, Percentiles!$A$45:$I$59, 7, FALSE), perc_95, VLOOKUP(E$2, Percentiles!$A$45:$I$59, 8, FALSE), perc_85, perc_75 + (perc_90 - perc_75) * (2/3), converted_stat, '2K_Ratings'!E384, IF(bbgm_stat &gt;= perc_95, converted_stat * 3, IF(bbgm_stat &gt;= perc_90, converted_stat * 2, IF(bbgm_stat &gt;= perc_85, converted_stat * 1.5, converted_stat)))))</f>
        <v/>
      </c>
      <c r="F384" s="30" t="str">
        <f t="array" ref="F384">IF($A384="", "", LET(bbgm_stat, INDEX(Players!$A383:$P383, MATCH(F$2, Players!$A$1:$P$1, 0)), perc_75, VLOOKUP(F$2, Percentiles!$A$45:$I$59, 6, FALSE), perc_90, VLOOKUP(F$2, Percentiles!$A$45:$I$59, 7, FALSE), perc_95, VLOOKUP(F$2, Percentiles!$A$45:$I$59, 8, FALSE), perc_85, perc_75 + (perc_90 - perc_75) * (2/3), converted_stat, '2K_Ratings'!F384, IF(bbgm_stat &gt;= perc_95, converted_stat * 3, IF(bbgm_stat &gt;= perc_90, converted_stat * 2, IF(bbgm_stat &gt;= perc_85, converted_stat * 1.5, converted_stat)))))</f>
        <v/>
      </c>
      <c r="G384" s="30" t="str">
        <f t="array" ref="G384">IF($A384="", "", LET(bbgm_stat, INDEX(Players!$A383:$P383, MATCH(G$2, Players!$A$1:$P$1, 0)), perc_75, VLOOKUP(G$2, Percentiles!$A$45:$I$59, 6, FALSE), perc_90, VLOOKUP(G$2, Percentiles!$A$45:$I$59, 7, FALSE), perc_95, VLOOKUP(G$2, Percentiles!$A$45:$I$59, 8, FALSE), perc_85, perc_75 + (perc_90 - perc_75) * (2/3), converted_stat, '2K_Ratings'!G384, IF(bbgm_stat &gt;= perc_95, converted_stat * 3, IF(bbgm_stat &gt;= perc_90, converted_stat * 2, IF(bbgm_stat &gt;= perc_85, converted_stat * 1.5, converted_stat)))))</f>
        <v/>
      </c>
      <c r="H384" s="30" t="str">
        <f t="array" ref="H384">IF($A384="", "", LET(bbgm_stat, INDEX(Players!$A383:$P383, MATCH(H$2, Players!$A$1:$P$1, 0)), perc_75, VLOOKUP(H$2, Percentiles!$A$45:$I$59, 6, FALSE), perc_90, VLOOKUP(H$2, Percentiles!$A$45:$I$59, 7, FALSE), perc_95, VLOOKUP(H$2, Percentiles!$A$45:$I$59, 8, FALSE), perc_85, perc_75 + (perc_90 - perc_75) * (2/3), converted_stat, '2K_Ratings'!H384, IF(bbgm_stat &gt;= perc_95, converted_stat * 3, IF(bbgm_stat &gt;= perc_90, converted_stat * 2, IF(bbgm_stat &gt;= perc_85, converted_stat * 1.5, converted_stat)))))</f>
        <v/>
      </c>
      <c r="I384" s="30" t="str">
        <f t="array" ref="I384">IF($A384="", "", LET(bbgm_stat, INDEX(Players!$A383:$P383, MATCH(I$2, Players!$A$1:$P$1, 0)), perc_75, VLOOKUP(I$2, Percentiles!$A$45:$I$59, 6, FALSE), perc_90, VLOOKUP(I$2, Percentiles!$A$45:$I$59, 7, FALSE), perc_95, VLOOKUP(I$2, Percentiles!$A$45:$I$59, 8, FALSE), perc_85, perc_75 + (perc_90 - perc_75) * (2/3), converted_stat, '2K_Ratings'!I384, IF(bbgm_stat &gt;= perc_95, converted_stat * 3, IF(bbgm_stat &gt;= perc_90, converted_stat * 2, IF(bbgm_stat &gt;= perc_85, converted_stat * 1.5, converted_stat)))))</f>
        <v/>
      </c>
      <c r="J384" s="30" t="str">
        <f t="array" ref="J384">IF($A384="", "", LET(bbgm_stat, INDEX(Players!$A383:$P383, MATCH(J$2, Players!$A$1:$P$1, 0)), perc_75, VLOOKUP(J$2, Percentiles!$A$45:$I$59, 6, FALSE), perc_90, VLOOKUP(J$2, Percentiles!$A$45:$I$59, 7, FALSE), perc_95, VLOOKUP(J$2, Percentiles!$A$45:$I$59, 8, FALSE), perc_85, perc_75 + (perc_90 - perc_75) * (2/3), converted_stat, '2K_Ratings'!J384, IF(bbgm_stat &gt;= perc_95, converted_stat * 3, IF(bbgm_stat &gt;= perc_90, converted_stat * 2, IF(bbgm_stat &gt;= perc_85, converted_stat * 1.5, converted_stat)))))</f>
        <v/>
      </c>
      <c r="K384" s="30" t="str">
        <f t="array" ref="K384">IF($A384="", "", LET(bbgm_stat, INDEX(Players!$A383:$P383, MATCH(K$2, Players!$A$1:$P$1, 0)), perc_75, VLOOKUP(K$2, Percentiles!$A$45:$I$59, 6, FALSE), perc_90, VLOOKUP(K$2, Percentiles!$A$45:$I$59, 7, FALSE), perc_95, VLOOKUP(K$2, Percentiles!$A$45:$I$59, 8, FALSE), perc_85, perc_75 + (perc_90 - perc_75) * (2/3), converted_stat, '2K_Ratings'!K384, IF(bbgm_stat &gt;= perc_95, converted_stat * 3, IF(bbgm_stat &gt;= perc_90, converted_stat * 2, IF(bbgm_stat &gt;= perc_85, converted_stat * 1.5, converted_stat)))))</f>
        <v/>
      </c>
      <c r="L384" s="30" t="str">
        <f t="array" ref="L384">IF($A384="", "", LET(bbgm_stat, INDEX(Players!$A383:$P383, MATCH(L$2, Players!$A$1:$P$1, 0)), perc_75, VLOOKUP(L$2, Percentiles!$A$45:$I$59, 6, FALSE), perc_90, VLOOKUP(L$2, Percentiles!$A$45:$I$59, 7, FALSE), perc_95, VLOOKUP(L$2, Percentiles!$A$45:$I$59, 8, FALSE), perc_85, perc_75 + (perc_90 - perc_75) * (2/3), converted_stat, '2K_Ratings'!L384, IF(bbgm_stat &gt;= perc_95, converted_stat * 3, IF(bbgm_stat &gt;= perc_90, converted_stat * 2, IF(bbgm_stat &gt;= perc_85, converted_stat * 1.5, converted_stat)))))</f>
        <v/>
      </c>
      <c r="M384" s="30" t="str">
        <f t="array" ref="M384">IF($A384="", "", LET(bbgm_stat, INDEX(Players!$A383:$P383, MATCH(M$2, Players!$A$1:$P$1, 0)), perc_75, VLOOKUP(M$2, Percentiles!$A$45:$I$59, 6, FALSE), perc_90, VLOOKUP(M$2, Percentiles!$A$45:$I$59, 7, FALSE), perc_95, VLOOKUP(M$2, Percentiles!$A$45:$I$59, 8, FALSE), perc_85, perc_75 + (perc_90 - perc_75) * (2/3), converted_stat, '2K_Ratings'!M384, IF(bbgm_stat &gt;= perc_95, converted_stat * 3, IF(bbgm_stat &gt;= perc_90, converted_stat * 2, IF(bbgm_stat &gt;= perc_85, converted_stat * 1.5, converted_stat)))))</f>
        <v/>
      </c>
      <c r="N384" s="30" t="str">
        <f t="array" ref="N384">IF($A384="", "", LET(bbgm_stat, INDEX(Players!$A383:$P383, MATCH(N$2, Players!$A$1:$P$1, 0)), perc_75, VLOOKUP(N$2, Percentiles!$A$45:$I$59, 6, FALSE), perc_90, VLOOKUP(N$2, Percentiles!$A$45:$I$59, 7, FALSE), perc_95, VLOOKUP(N$2, Percentiles!$A$45:$I$59, 8, FALSE), perc_85, perc_75 + (perc_90 - perc_75) * (2/3), converted_stat, '2K_Ratings'!N384, IF(bbgm_stat &gt;= perc_95, converted_stat * 3, IF(bbgm_stat &gt;= perc_90, converted_stat * 2, IF(bbgm_stat &gt;= perc_85, converted_stat * 1.5, converted_stat)))))</f>
        <v/>
      </c>
      <c r="O384" s="30" t="str">
        <f t="array" ref="O384">IF($A384="", "", LET(bbgm_stat, INDEX(Players!$A383:$P383, MATCH(O$2, Players!$A$1:$P$1, 0)), perc_75, VLOOKUP(O$2, Percentiles!$A$45:$I$59, 6, FALSE), perc_90, VLOOKUP(O$2, Percentiles!$A$45:$I$59, 7, FALSE), perc_95, VLOOKUP(O$2, Percentiles!$A$45:$I$59, 8, FALSE), perc_85, perc_75 + (perc_90 - perc_75) * (2/3), converted_stat, '2K_Ratings'!O384, IF(bbgm_stat &gt;= perc_95, converted_stat * 3, IF(bbgm_stat &gt;= perc_90, converted_stat * 2, IF(bbgm_stat &gt;= perc_85, converted_stat * 1.5, converted_stat)))))</f>
        <v/>
      </c>
      <c r="P384" s="30" t="str">
        <f t="array" ref="P384">IF($A384="", "", LET(bbgm_stat, INDEX(Players!$A383:$P383, MATCH(P$2, Players!$A$1:$P$1, 0)), perc_75, VLOOKUP(P$2, Percentiles!$A$45:$I$59, 6, FALSE), perc_90, VLOOKUP(P$2, Percentiles!$A$45:$I$59, 7, FALSE), perc_95, VLOOKUP(P$2, Percentiles!$A$45:$I$59, 8, FALSE), perc_85, perc_75 + (perc_90 - perc_75) * (2/3), converted_stat, '2K_Ratings'!P384, IF(bbgm_stat &gt;= perc_95, converted_stat * 3, IF(bbgm_stat &gt;= perc_90, converted_stat * 2, IF(bbgm_stat &gt;= perc_85, converted_stat * 1.5, converted_stat)))))</f>
        <v/>
      </c>
      <c r="Q384" s="30" t="str">
        <f t="array" ref="Q384">IF($A384="", "", LET(bbgm_stat, INDEX(Players!$A383:$P383, MATCH(Q$2, Players!$A$1:$P$1, 0)), perc_75, VLOOKUP(Q$2, Percentiles!$A$45:$I$59, 6, FALSE), perc_90, VLOOKUP(Q$2, Percentiles!$A$45:$I$59, 7, FALSE), perc_95, VLOOKUP(Q$2, Percentiles!$A$45:$I$59, 8, FALSE), perc_85, perc_75 + (perc_90 - perc_75) * (2/3), converted_stat, '2K_Ratings'!Q384, IF(bbgm_stat &gt;= perc_95, converted_stat * 3, IF(bbgm_stat &gt;= perc_90, converted_stat * 2, IF(bbgm_stat &gt;= perc_85, converted_stat * 1.5, converted_stat)))))</f>
        <v/>
      </c>
      <c r="R384" s="30" t="str">
        <f t="array" ref="R384">IF($A384="", "", LET(bbgm_stat, INDEX(Players!$A383:$P383, MATCH(R$2, Players!$A$1:$P$1, 0)), perc_75, VLOOKUP(R$2, Percentiles!$A$45:$I$59, 6, FALSE), perc_90, VLOOKUP(R$2, Percentiles!$A$45:$I$59, 7, FALSE), perc_95, VLOOKUP(R$2, Percentiles!$A$45:$I$59, 8, FALSE), perc_85, perc_75 + (perc_90 - perc_75) * (2/3), converted_stat, '2K_Ratings'!R384, IF(bbgm_stat &gt;= perc_95, converted_stat * 3, IF(bbgm_stat &gt;= perc_90, converted_stat * 2, IF(bbgm_stat &gt;= perc_85, converted_stat * 1.5, converted_stat)))))</f>
        <v/>
      </c>
      <c r="S384" s="30" t="str">
        <f t="array" ref="S384">IF($A384="", "", LET(bbgm_stat, INDEX(Players!$A383:$P383, MATCH(S$2, Players!$A$1:$P$1, 0)), perc_75, VLOOKUP(S$2, Percentiles!$A$45:$I$59, 6, FALSE), perc_90, VLOOKUP(S$2, Percentiles!$A$45:$I$59, 7, FALSE), perc_95, VLOOKUP(S$2, Percentiles!$A$45:$I$59, 8, FALSE), perc_85, perc_75 + (perc_90 - perc_75) * (2/3), converted_stat, '2K_Ratings'!S384, IF(bbgm_stat &gt;= perc_95, converted_stat * 3, IF(bbgm_stat &gt;= perc_90, converted_stat * 2, IF(bbgm_stat &gt;= perc_85, converted_stat * 1.5, converted_stat)))))</f>
        <v/>
      </c>
      <c r="T384" s="30" t="str">
        <f t="array" ref="T384">IF($A384="", "", LET(bbgm_stat, INDEX(Players!$A383:$P383, MATCH(T$2, Players!$A$1:$P$1, 0)), perc_75, VLOOKUP(T$2, Percentiles!$A$45:$I$59, 6, FALSE), perc_90, VLOOKUP(T$2, Percentiles!$A$45:$I$59, 7, FALSE), perc_95, VLOOKUP(T$2, Percentiles!$A$45:$I$59, 8, FALSE), perc_85, perc_75 + (perc_90 - perc_75) * (2/3), converted_stat, '2K_Ratings'!T384, IF(bbgm_stat &gt;= perc_95, converted_stat * 3, IF(bbgm_stat &gt;= perc_90, converted_stat * 2, IF(bbgm_stat &gt;= perc_85, converted_stat * 1.5, converted_stat)))))</f>
        <v/>
      </c>
      <c r="U384" s="30" t="str">
        <f t="array" ref="U384">IF($A384="", "", LET(bbgm_stat, INDEX(Players!$A383:$P383, MATCH(U$2, Players!$A$1:$P$1, 0)), perc_75, VLOOKUP(U$2, Percentiles!$A$45:$I$59, 6, FALSE), perc_90, VLOOKUP(U$2, Percentiles!$A$45:$I$59, 7, FALSE), perc_95, VLOOKUP(U$2, Percentiles!$A$45:$I$59, 8, FALSE), perc_85, perc_75 + (perc_90 - perc_75) * (2/3), converted_stat, '2K_Ratings'!U384, IF(bbgm_stat &gt;= perc_95, converted_stat * 3, IF(bbgm_stat &gt;= perc_90, converted_stat * 2, IF(bbgm_stat &gt;= perc_85, converted_stat * 1.5, converted_stat)))))</f>
        <v/>
      </c>
      <c r="V384" s="30" t="str">
        <f t="array" ref="V384">IF($A384="", "", LET(bbgm_stat, INDEX(Players!$A383:$P383, MATCH(V$2, Players!$A$1:$P$1, 0)), perc_75, VLOOKUP(V$2, Percentiles!$A$45:$I$59, 6, FALSE), perc_90, VLOOKUP(V$2, Percentiles!$A$45:$I$59, 7, FALSE), perc_95, VLOOKUP(V$2, Percentiles!$A$45:$I$59, 8, FALSE), perc_85, perc_75 + (perc_90 - perc_75) * (2/3), converted_stat, '2K_Ratings'!V384, IF(bbgm_stat &gt;= perc_95, converted_stat * 3, IF(bbgm_stat &gt;= perc_90, converted_stat * 2, IF(bbgm_stat &gt;= perc_85, converted_stat * 1.5, converted_stat)))))</f>
        <v/>
      </c>
      <c r="W384" s="30" t="str">
        <f t="array" ref="W384">IF($A384="", "", LET(bbgm_stat, INDEX(Players!$A383:$P383, MATCH(W$2, Players!$A$1:$P$1, 0)), perc_75, VLOOKUP(W$2, Percentiles!$A$45:$I$59, 6, FALSE), perc_90, VLOOKUP(W$2, Percentiles!$A$45:$I$59, 7, FALSE), perc_95, VLOOKUP(W$2, Percentiles!$A$45:$I$59, 8, FALSE), perc_85, perc_75 + (perc_90 - perc_75) * (2/3), converted_stat, '2K_Ratings'!W384, IF(bbgm_stat &gt;= perc_95, converted_stat * 3, IF(bbgm_stat &gt;= perc_90, converted_stat * 2, IF(bbgm_stat &gt;= perc_85, converted_stat * 1.5, converted_stat)))))</f>
        <v/>
      </c>
    </row>
    <row r="385">
      <c r="A385" s="30"/>
      <c r="B385" s="30" t="str">
        <f t="array" ref="B385">IF($A385="", "", LET(bbgm_stat, INDEX(Players!$A384:$P384, MATCH(B$2, Players!$A$1:$P$1, 0)), perc_75, VLOOKUP(B$2, Percentiles!$A$45:$I$59, 6, FALSE), perc_90, VLOOKUP(B$2, Percentiles!$A$45:$I$59, 7, FALSE), perc_95, VLOOKUP(B$2, Percentiles!$A$45:$I$59, 8, FALSE), perc_85, perc_75 + (perc_90 - perc_75) * (2/3), converted_stat, '2K_Ratings'!B385, IF(bbgm_stat &gt;= perc_95, converted_stat * 3, IF(bbgm_stat &gt;= perc_90, converted_stat * 2, IF(bbgm_stat &gt;= perc_85, converted_stat * 1.5, converted_stat)))))</f>
        <v/>
      </c>
      <c r="C385" s="30" t="str">
        <f t="array" ref="C385">IF($A385="", "", LET(bbgm_stat, INDEX(Players!$A384:$P384, MATCH(C$2, Players!$A$1:$P$1, 0)), perc_75, VLOOKUP(C$2, Percentiles!$A$45:$I$59, 6, FALSE), perc_90, VLOOKUP(C$2, Percentiles!$A$45:$I$59, 7, FALSE), perc_95, VLOOKUP(C$2, Percentiles!$A$45:$I$59, 8, FALSE), perc_85, perc_75 + (perc_90 - perc_75) * (2/3), converted_stat, '2K_Ratings'!C385, IF(bbgm_stat &gt;= perc_95, converted_stat * 3, IF(bbgm_stat &gt;= perc_90, converted_stat * 2, IF(bbgm_stat &gt;= perc_85, converted_stat * 1.5, converted_stat)))))</f>
        <v/>
      </c>
      <c r="D385" s="30" t="str">
        <f t="array" ref="D385">IF($A385="", "", LET(bbgm_stat, INDEX(Players!$A384:$P384, MATCH(D$2, Players!$A$1:$P$1, 0)), perc_75, VLOOKUP(D$2, Percentiles!$A$45:$I$59, 6, FALSE), perc_90, VLOOKUP(D$2, Percentiles!$A$45:$I$59, 7, FALSE), perc_95, VLOOKUP(D$2, Percentiles!$A$45:$I$59, 8, FALSE), perc_85, perc_75 + (perc_90 - perc_75) * (2/3), converted_stat, '2K_Ratings'!D385, IF(bbgm_stat &gt;= perc_95, converted_stat * 3, IF(bbgm_stat &gt;= perc_90, converted_stat * 2, IF(bbgm_stat &gt;= perc_85, converted_stat * 1.5, converted_stat)))))</f>
        <v/>
      </c>
      <c r="E385" s="30" t="str">
        <f t="array" ref="E385">IF($A385="", "", LET(bbgm_stat, INDEX(Players!$A384:$P384, MATCH(E$2, Players!$A$1:$P$1, 0)), perc_75, VLOOKUP(E$2, Percentiles!$A$45:$I$59, 6, FALSE), perc_90, VLOOKUP(E$2, Percentiles!$A$45:$I$59, 7, FALSE), perc_95, VLOOKUP(E$2, Percentiles!$A$45:$I$59, 8, FALSE), perc_85, perc_75 + (perc_90 - perc_75) * (2/3), converted_stat, '2K_Ratings'!E385, IF(bbgm_stat &gt;= perc_95, converted_stat * 3, IF(bbgm_stat &gt;= perc_90, converted_stat * 2, IF(bbgm_stat &gt;= perc_85, converted_stat * 1.5, converted_stat)))))</f>
        <v/>
      </c>
      <c r="F385" s="30" t="str">
        <f t="array" ref="F385">IF($A385="", "", LET(bbgm_stat, INDEX(Players!$A384:$P384, MATCH(F$2, Players!$A$1:$P$1, 0)), perc_75, VLOOKUP(F$2, Percentiles!$A$45:$I$59, 6, FALSE), perc_90, VLOOKUP(F$2, Percentiles!$A$45:$I$59, 7, FALSE), perc_95, VLOOKUP(F$2, Percentiles!$A$45:$I$59, 8, FALSE), perc_85, perc_75 + (perc_90 - perc_75) * (2/3), converted_stat, '2K_Ratings'!F385, IF(bbgm_stat &gt;= perc_95, converted_stat * 3, IF(bbgm_stat &gt;= perc_90, converted_stat * 2, IF(bbgm_stat &gt;= perc_85, converted_stat * 1.5, converted_stat)))))</f>
        <v/>
      </c>
      <c r="G385" s="30" t="str">
        <f t="array" ref="G385">IF($A385="", "", LET(bbgm_stat, INDEX(Players!$A384:$P384, MATCH(G$2, Players!$A$1:$P$1, 0)), perc_75, VLOOKUP(G$2, Percentiles!$A$45:$I$59, 6, FALSE), perc_90, VLOOKUP(G$2, Percentiles!$A$45:$I$59, 7, FALSE), perc_95, VLOOKUP(G$2, Percentiles!$A$45:$I$59, 8, FALSE), perc_85, perc_75 + (perc_90 - perc_75) * (2/3), converted_stat, '2K_Ratings'!G385, IF(bbgm_stat &gt;= perc_95, converted_stat * 3, IF(bbgm_stat &gt;= perc_90, converted_stat * 2, IF(bbgm_stat &gt;= perc_85, converted_stat * 1.5, converted_stat)))))</f>
        <v/>
      </c>
      <c r="H385" s="30" t="str">
        <f t="array" ref="H385">IF($A385="", "", LET(bbgm_stat, INDEX(Players!$A384:$P384, MATCH(H$2, Players!$A$1:$P$1, 0)), perc_75, VLOOKUP(H$2, Percentiles!$A$45:$I$59, 6, FALSE), perc_90, VLOOKUP(H$2, Percentiles!$A$45:$I$59, 7, FALSE), perc_95, VLOOKUP(H$2, Percentiles!$A$45:$I$59, 8, FALSE), perc_85, perc_75 + (perc_90 - perc_75) * (2/3), converted_stat, '2K_Ratings'!H385, IF(bbgm_stat &gt;= perc_95, converted_stat * 3, IF(bbgm_stat &gt;= perc_90, converted_stat * 2, IF(bbgm_stat &gt;= perc_85, converted_stat * 1.5, converted_stat)))))</f>
        <v/>
      </c>
      <c r="I385" s="30" t="str">
        <f t="array" ref="I385">IF($A385="", "", LET(bbgm_stat, INDEX(Players!$A384:$P384, MATCH(I$2, Players!$A$1:$P$1, 0)), perc_75, VLOOKUP(I$2, Percentiles!$A$45:$I$59, 6, FALSE), perc_90, VLOOKUP(I$2, Percentiles!$A$45:$I$59, 7, FALSE), perc_95, VLOOKUP(I$2, Percentiles!$A$45:$I$59, 8, FALSE), perc_85, perc_75 + (perc_90 - perc_75) * (2/3), converted_stat, '2K_Ratings'!I385, IF(bbgm_stat &gt;= perc_95, converted_stat * 3, IF(bbgm_stat &gt;= perc_90, converted_stat * 2, IF(bbgm_stat &gt;= perc_85, converted_stat * 1.5, converted_stat)))))</f>
        <v/>
      </c>
      <c r="J385" s="30" t="str">
        <f t="array" ref="J385">IF($A385="", "", LET(bbgm_stat, INDEX(Players!$A384:$P384, MATCH(J$2, Players!$A$1:$P$1, 0)), perc_75, VLOOKUP(J$2, Percentiles!$A$45:$I$59, 6, FALSE), perc_90, VLOOKUP(J$2, Percentiles!$A$45:$I$59, 7, FALSE), perc_95, VLOOKUP(J$2, Percentiles!$A$45:$I$59, 8, FALSE), perc_85, perc_75 + (perc_90 - perc_75) * (2/3), converted_stat, '2K_Ratings'!J385, IF(bbgm_stat &gt;= perc_95, converted_stat * 3, IF(bbgm_stat &gt;= perc_90, converted_stat * 2, IF(bbgm_stat &gt;= perc_85, converted_stat * 1.5, converted_stat)))))</f>
        <v/>
      </c>
      <c r="K385" s="30" t="str">
        <f t="array" ref="K385">IF($A385="", "", LET(bbgm_stat, INDEX(Players!$A384:$P384, MATCH(K$2, Players!$A$1:$P$1, 0)), perc_75, VLOOKUP(K$2, Percentiles!$A$45:$I$59, 6, FALSE), perc_90, VLOOKUP(K$2, Percentiles!$A$45:$I$59, 7, FALSE), perc_95, VLOOKUP(K$2, Percentiles!$A$45:$I$59, 8, FALSE), perc_85, perc_75 + (perc_90 - perc_75) * (2/3), converted_stat, '2K_Ratings'!K385, IF(bbgm_stat &gt;= perc_95, converted_stat * 3, IF(bbgm_stat &gt;= perc_90, converted_stat * 2, IF(bbgm_stat &gt;= perc_85, converted_stat * 1.5, converted_stat)))))</f>
        <v/>
      </c>
      <c r="L385" s="30" t="str">
        <f t="array" ref="L385">IF($A385="", "", LET(bbgm_stat, INDEX(Players!$A384:$P384, MATCH(L$2, Players!$A$1:$P$1, 0)), perc_75, VLOOKUP(L$2, Percentiles!$A$45:$I$59, 6, FALSE), perc_90, VLOOKUP(L$2, Percentiles!$A$45:$I$59, 7, FALSE), perc_95, VLOOKUP(L$2, Percentiles!$A$45:$I$59, 8, FALSE), perc_85, perc_75 + (perc_90 - perc_75) * (2/3), converted_stat, '2K_Ratings'!L385, IF(bbgm_stat &gt;= perc_95, converted_stat * 3, IF(bbgm_stat &gt;= perc_90, converted_stat * 2, IF(bbgm_stat &gt;= perc_85, converted_stat * 1.5, converted_stat)))))</f>
        <v/>
      </c>
      <c r="M385" s="30" t="str">
        <f t="array" ref="M385">IF($A385="", "", LET(bbgm_stat, INDEX(Players!$A384:$P384, MATCH(M$2, Players!$A$1:$P$1, 0)), perc_75, VLOOKUP(M$2, Percentiles!$A$45:$I$59, 6, FALSE), perc_90, VLOOKUP(M$2, Percentiles!$A$45:$I$59, 7, FALSE), perc_95, VLOOKUP(M$2, Percentiles!$A$45:$I$59, 8, FALSE), perc_85, perc_75 + (perc_90 - perc_75) * (2/3), converted_stat, '2K_Ratings'!M385, IF(bbgm_stat &gt;= perc_95, converted_stat * 3, IF(bbgm_stat &gt;= perc_90, converted_stat * 2, IF(bbgm_stat &gt;= perc_85, converted_stat * 1.5, converted_stat)))))</f>
        <v/>
      </c>
      <c r="N385" s="30" t="str">
        <f t="array" ref="N385">IF($A385="", "", LET(bbgm_stat, INDEX(Players!$A384:$P384, MATCH(N$2, Players!$A$1:$P$1, 0)), perc_75, VLOOKUP(N$2, Percentiles!$A$45:$I$59, 6, FALSE), perc_90, VLOOKUP(N$2, Percentiles!$A$45:$I$59, 7, FALSE), perc_95, VLOOKUP(N$2, Percentiles!$A$45:$I$59, 8, FALSE), perc_85, perc_75 + (perc_90 - perc_75) * (2/3), converted_stat, '2K_Ratings'!N385, IF(bbgm_stat &gt;= perc_95, converted_stat * 3, IF(bbgm_stat &gt;= perc_90, converted_stat * 2, IF(bbgm_stat &gt;= perc_85, converted_stat * 1.5, converted_stat)))))</f>
        <v/>
      </c>
      <c r="O385" s="30" t="str">
        <f t="array" ref="O385">IF($A385="", "", LET(bbgm_stat, INDEX(Players!$A384:$P384, MATCH(O$2, Players!$A$1:$P$1, 0)), perc_75, VLOOKUP(O$2, Percentiles!$A$45:$I$59, 6, FALSE), perc_90, VLOOKUP(O$2, Percentiles!$A$45:$I$59, 7, FALSE), perc_95, VLOOKUP(O$2, Percentiles!$A$45:$I$59, 8, FALSE), perc_85, perc_75 + (perc_90 - perc_75) * (2/3), converted_stat, '2K_Ratings'!O385, IF(bbgm_stat &gt;= perc_95, converted_stat * 3, IF(bbgm_stat &gt;= perc_90, converted_stat * 2, IF(bbgm_stat &gt;= perc_85, converted_stat * 1.5, converted_stat)))))</f>
        <v/>
      </c>
      <c r="P385" s="30" t="str">
        <f t="array" ref="P385">IF($A385="", "", LET(bbgm_stat, INDEX(Players!$A384:$P384, MATCH(P$2, Players!$A$1:$P$1, 0)), perc_75, VLOOKUP(P$2, Percentiles!$A$45:$I$59, 6, FALSE), perc_90, VLOOKUP(P$2, Percentiles!$A$45:$I$59, 7, FALSE), perc_95, VLOOKUP(P$2, Percentiles!$A$45:$I$59, 8, FALSE), perc_85, perc_75 + (perc_90 - perc_75) * (2/3), converted_stat, '2K_Ratings'!P385, IF(bbgm_stat &gt;= perc_95, converted_stat * 3, IF(bbgm_stat &gt;= perc_90, converted_stat * 2, IF(bbgm_stat &gt;= perc_85, converted_stat * 1.5, converted_stat)))))</f>
        <v/>
      </c>
      <c r="Q385" s="30" t="str">
        <f t="array" ref="Q385">IF($A385="", "", LET(bbgm_stat, INDEX(Players!$A384:$P384, MATCH(Q$2, Players!$A$1:$P$1, 0)), perc_75, VLOOKUP(Q$2, Percentiles!$A$45:$I$59, 6, FALSE), perc_90, VLOOKUP(Q$2, Percentiles!$A$45:$I$59, 7, FALSE), perc_95, VLOOKUP(Q$2, Percentiles!$A$45:$I$59, 8, FALSE), perc_85, perc_75 + (perc_90 - perc_75) * (2/3), converted_stat, '2K_Ratings'!Q385, IF(bbgm_stat &gt;= perc_95, converted_stat * 3, IF(bbgm_stat &gt;= perc_90, converted_stat * 2, IF(bbgm_stat &gt;= perc_85, converted_stat * 1.5, converted_stat)))))</f>
        <v/>
      </c>
      <c r="R385" s="30" t="str">
        <f t="array" ref="R385">IF($A385="", "", LET(bbgm_stat, INDEX(Players!$A384:$P384, MATCH(R$2, Players!$A$1:$P$1, 0)), perc_75, VLOOKUP(R$2, Percentiles!$A$45:$I$59, 6, FALSE), perc_90, VLOOKUP(R$2, Percentiles!$A$45:$I$59, 7, FALSE), perc_95, VLOOKUP(R$2, Percentiles!$A$45:$I$59, 8, FALSE), perc_85, perc_75 + (perc_90 - perc_75) * (2/3), converted_stat, '2K_Ratings'!R385, IF(bbgm_stat &gt;= perc_95, converted_stat * 3, IF(bbgm_stat &gt;= perc_90, converted_stat * 2, IF(bbgm_stat &gt;= perc_85, converted_stat * 1.5, converted_stat)))))</f>
        <v/>
      </c>
      <c r="S385" s="30" t="str">
        <f t="array" ref="S385">IF($A385="", "", LET(bbgm_stat, INDEX(Players!$A384:$P384, MATCH(S$2, Players!$A$1:$P$1, 0)), perc_75, VLOOKUP(S$2, Percentiles!$A$45:$I$59, 6, FALSE), perc_90, VLOOKUP(S$2, Percentiles!$A$45:$I$59, 7, FALSE), perc_95, VLOOKUP(S$2, Percentiles!$A$45:$I$59, 8, FALSE), perc_85, perc_75 + (perc_90 - perc_75) * (2/3), converted_stat, '2K_Ratings'!S385, IF(bbgm_stat &gt;= perc_95, converted_stat * 3, IF(bbgm_stat &gt;= perc_90, converted_stat * 2, IF(bbgm_stat &gt;= perc_85, converted_stat * 1.5, converted_stat)))))</f>
        <v/>
      </c>
      <c r="T385" s="30" t="str">
        <f t="array" ref="T385">IF($A385="", "", LET(bbgm_stat, INDEX(Players!$A384:$P384, MATCH(T$2, Players!$A$1:$P$1, 0)), perc_75, VLOOKUP(T$2, Percentiles!$A$45:$I$59, 6, FALSE), perc_90, VLOOKUP(T$2, Percentiles!$A$45:$I$59, 7, FALSE), perc_95, VLOOKUP(T$2, Percentiles!$A$45:$I$59, 8, FALSE), perc_85, perc_75 + (perc_90 - perc_75) * (2/3), converted_stat, '2K_Ratings'!T385, IF(bbgm_stat &gt;= perc_95, converted_stat * 3, IF(bbgm_stat &gt;= perc_90, converted_stat * 2, IF(bbgm_stat &gt;= perc_85, converted_stat * 1.5, converted_stat)))))</f>
        <v/>
      </c>
      <c r="U385" s="30" t="str">
        <f t="array" ref="U385">IF($A385="", "", LET(bbgm_stat, INDEX(Players!$A384:$P384, MATCH(U$2, Players!$A$1:$P$1, 0)), perc_75, VLOOKUP(U$2, Percentiles!$A$45:$I$59, 6, FALSE), perc_90, VLOOKUP(U$2, Percentiles!$A$45:$I$59, 7, FALSE), perc_95, VLOOKUP(U$2, Percentiles!$A$45:$I$59, 8, FALSE), perc_85, perc_75 + (perc_90 - perc_75) * (2/3), converted_stat, '2K_Ratings'!U385, IF(bbgm_stat &gt;= perc_95, converted_stat * 3, IF(bbgm_stat &gt;= perc_90, converted_stat * 2, IF(bbgm_stat &gt;= perc_85, converted_stat * 1.5, converted_stat)))))</f>
        <v/>
      </c>
      <c r="V385" s="30" t="str">
        <f t="array" ref="V385">IF($A385="", "", LET(bbgm_stat, INDEX(Players!$A384:$P384, MATCH(V$2, Players!$A$1:$P$1, 0)), perc_75, VLOOKUP(V$2, Percentiles!$A$45:$I$59, 6, FALSE), perc_90, VLOOKUP(V$2, Percentiles!$A$45:$I$59, 7, FALSE), perc_95, VLOOKUP(V$2, Percentiles!$A$45:$I$59, 8, FALSE), perc_85, perc_75 + (perc_90 - perc_75) * (2/3), converted_stat, '2K_Ratings'!V385, IF(bbgm_stat &gt;= perc_95, converted_stat * 3, IF(bbgm_stat &gt;= perc_90, converted_stat * 2, IF(bbgm_stat &gt;= perc_85, converted_stat * 1.5, converted_stat)))))</f>
        <v/>
      </c>
      <c r="W385" s="30" t="str">
        <f t="array" ref="W385">IF($A385="", "", LET(bbgm_stat, INDEX(Players!$A384:$P384, MATCH(W$2, Players!$A$1:$P$1, 0)), perc_75, VLOOKUP(W$2, Percentiles!$A$45:$I$59, 6, FALSE), perc_90, VLOOKUP(W$2, Percentiles!$A$45:$I$59, 7, FALSE), perc_95, VLOOKUP(W$2, Percentiles!$A$45:$I$59, 8, FALSE), perc_85, perc_75 + (perc_90 - perc_75) * (2/3), converted_stat, '2K_Ratings'!W385, IF(bbgm_stat &gt;= perc_95, converted_stat * 3, IF(bbgm_stat &gt;= perc_90, converted_stat * 2, IF(bbgm_stat &gt;= perc_85, converted_stat * 1.5, converted_stat)))))</f>
        <v/>
      </c>
    </row>
    <row r="386">
      <c r="A386" s="30"/>
      <c r="B386" s="30" t="str">
        <f t="array" ref="B386">IF($A386="", "", LET(bbgm_stat, INDEX(Players!$A385:$P385, MATCH(B$2, Players!$A$1:$P$1, 0)), perc_75, VLOOKUP(B$2, Percentiles!$A$45:$I$59, 6, FALSE), perc_90, VLOOKUP(B$2, Percentiles!$A$45:$I$59, 7, FALSE), perc_95, VLOOKUP(B$2, Percentiles!$A$45:$I$59, 8, FALSE), perc_85, perc_75 + (perc_90 - perc_75) * (2/3), converted_stat, '2K_Ratings'!B386, IF(bbgm_stat &gt;= perc_95, converted_stat * 3, IF(bbgm_stat &gt;= perc_90, converted_stat * 2, IF(bbgm_stat &gt;= perc_85, converted_stat * 1.5, converted_stat)))))</f>
        <v/>
      </c>
      <c r="C386" s="30" t="str">
        <f t="array" ref="C386">IF($A386="", "", LET(bbgm_stat, INDEX(Players!$A385:$P385, MATCH(C$2, Players!$A$1:$P$1, 0)), perc_75, VLOOKUP(C$2, Percentiles!$A$45:$I$59, 6, FALSE), perc_90, VLOOKUP(C$2, Percentiles!$A$45:$I$59, 7, FALSE), perc_95, VLOOKUP(C$2, Percentiles!$A$45:$I$59, 8, FALSE), perc_85, perc_75 + (perc_90 - perc_75) * (2/3), converted_stat, '2K_Ratings'!C386, IF(bbgm_stat &gt;= perc_95, converted_stat * 3, IF(bbgm_stat &gt;= perc_90, converted_stat * 2, IF(bbgm_stat &gt;= perc_85, converted_stat * 1.5, converted_stat)))))</f>
        <v/>
      </c>
      <c r="D386" s="30" t="str">
        <f t="array" ref="D386">IF($A386="", "", LET(bbgm_stat, INDEX(Players!$A385:$P385, MATCH(D$2, Players!$A$1:$P$1, 0)), perc_75, VLOOKUP(D$2, Percentiles!$A$45:$I$59, 6, FALSE), perc_90, VLOOKUP(D$2, Percentiles!$A$45:$I$59, 7, FALSE), perc_95, VLOOKUP(D$2, Percentiles!$A$45:$I$59, 8, FALSE), perc_85, perc_75 + (perc_90 - perc_75) * (2/3), converted_stat, '2K_Ratings'!D386, IF(bbgm_stat &gt;= perc_95, converted_stat * 3, IF(bbgm_stat &gt;= perc_90, converted_stat * 2, IF(bbgm_stat &gt;= perc_85, converted_stat * 1.5, converted_stat)))))</f>
        <v/>
      </c>
      <c r="E386" s="30" t="str">
        <f t="array" ref="E386">IF($A386="", "", LET(bbgm_stat, INDEX(Players!$A385:$P385, MATCH(E$2, Players!$A$1:$P$1, 0)), perc_75, VLOOKUP(E$2, Percentiles!$A$45:$I$59, 6, FALSE), perc_90, VLOOKUP(E$2, Percentiles!$A$45:$I$59, 7, FALSE), perc_95, VLOOKUP(E$2, Percentiles!$A$45:$I$59, 8, FALSE), perc_85, perc_75 + (perc_90 - perc_75) * (2/3), converted_stat, '2K_Ratings'!E386, IF(bbgm_stat &gt;= perc_95, converted_stat * 3, IF(bbgm_stat &gt;= perc_90, converted_stat * 2, IF(bbgm_stat &gt;= perc_85, converted_stat * 1.5, converted_stat)))))</f>
        <v/>
      </c>
      <c r="F386" s="30" t="str">
        <f t="array" ref="F386">IF($A386="", "", LET(bbgm_stat, INDEX(Players!$A385:$P385, MATCH(F$2, Players!$A$1:$P$1, 0)), perc_75, VLOOKUP(F$2, Percentiles!$A$45:$I$59, 6, FALSE), perc_90, VLOOKUP(F$2, Percentiles!$A$45:$I$59, 7, FALSE), perc_95, VLOOKUP(F$2, Percentiles!$A$45:$I$59, 8, FALSE), perc_85, perc_75 + (perc_90 - perc_75) * (2/3), converted_stat, '2K_Ratings'!F386, IF(bbgm_stat &gt;= perc_95, converted_stat * 3, IF(bbgm_stat &gt;= perc_90, converted_stat * 2, IF(bbgm_stat &gt;= perc_85, converted_stat * 1.5, converted_stat)))))</f>
        <v/>
      </c>
      <c r="G386" s="30" t="str">
        <f t="array" ref="G386">IF($A386="", "", LET(bbgm_stat, INDEX(Players!$A385:$P385, MATCH(G$2, Players!$A$1:$P$1, 0)), perc_75, VLOOKUP(G$2, Percentiles!$A$45:$I$59, 6, FALSE), perc_90, VLOOKUP(G$2, Percentiles!$A$45:$I$59, 7, FALSE), perc_95, VLOOKUP(G$2, Percentiles!$A$45:$I$59, 8, FALSE), perc_85, perc_75 + (perc_90 - perc_75) * (2/3), converted_stat, '2K_Ratings'!G386, IF(bbgm_stat &gt;= perc_95, converted_stat * 3, IF(bbgm_stat &gt;= perc_90, converted_stat * 2, IF(bbgm_stat &gt;= perc_85, converted_stat * 1.5, converted_stat)))))</f>
        <v/>
      </c>
      <c r="H386" s="30" t="str">
        <f t="array" ref="H386">IF($A386="", "", LET(bbgm_stat, INDEX(Players!$A385:$P385, MATCH(H$2, Players!$A$1:$P$1, 0)), perc_75, VLOOKUP(H$2, Percentiles!$A$45:$I$59, 6, FALSE), perc_90, VLOOKUP(H$2, Percentiles!$A$45:$I$59, 7, FALSE), perc_95, VLOOKUP(H$2, Percentiles!$A$45:$I$59, 8, FALSE), perc_85, perc_75 + (perc_90 - perc_75) * (2/3), converted_stat, '2K_Ratings'!H386, IF(bbgm_stat &gt;= perc_95, converted_stat * 3, IF(bbgm_stat &gt;= perc_90, converted_stat * 2, IF(bbgm_stat &gt;= perc_85, converted_stat * 1.5, converted_stat)))))</f>
        <v/>
      </c>
      <c r="I386" s="30" t="str">
        <f t="array" ref="I386">IF($A386="", "", LET(bbgm_stat, INDEX(Players!$A385:$P385, MATCH(I$2, Players!$A$1:$P$1, 0)), perc_75, VLOOKUP(I$2, Percentiles!$A$45:$I$59, 6, FALSE), perc_90, VLOOKUP(I$2, Percentiles!$A$45:$I$59, 7, FALSE), perc_95, VLOOKUP(I$2, Percentiles!$A$45:$I$59, 8, FALSE), perc_85, perc_75 + (perc_90 - perc_75) * (2/3), converted_stat, '2K_Ratings'!I386, IF(bbgm_stat &gt;= perc_95, converted_stat * 3, IF(bbgm_stat &gt;= perc_90, converted_stat * 2, IF(bbgm_stat &gt;= perc_85, converted_stat * 1.5, converted_stat)))))</f>
        <v/>
      </c>
      <c r="J386" s="30" t="str">
        <f t="array" ref="J386">IF($A386="", "", LET(bbgm_stat, INDEX(Players!$A385:$P385, MATCH(J$2, Players!$A$1:$P$1, 0)), perc_75, VLOOKUP(J$2, Percentiles!$A$45:$I$59, 6, FALSE), perc_90, VLOOKUP(J$2, Percentiles!$A$45:$I$59, 7, FALSE), perc_95, VLOOKUP(J$2, Percentiles!$A$45:$I$59, 8, FALSE), perc_85, perc_75 + (perc_90 - perc_75) * (2/3), converted_stat, '2K_Ratings'!J386, IF(bbgm_stat &gt;= perc_95, converted_stat * 3, IF(bbgm_stat &gt;= perc_90, converted_stat * 2, IF(bbgm_stat &gt;= perc_85, converted_stat * 1.5, converted_stat)))))</f>
        <v/>
      </c>
      <c r="K386" s="30" t="str">
        <f t="array" ref="K386">IF($A386="", "", LET(bbgm_stat, INDEX(Players!$A385:$P385, MATCH(K$2, Players!$A$1:$P$1, 0)), perc_75, VLOOKUP(K$2, Percentiles!$A$45:$I$59, 6, FALSE), perc_90, VLOOKUP(K$2, Percentiles!$A$45:$I$59, 7, FALSE), perc_95, VLOOKUP(K$2, Percentiles!$A$45:$I$59, 8, FALSE), perc_85, perc_75 + (perc_90 - perc_75) * (2/3), converted_stat, '2K_Ratings'!K386, IF(bbgm_stat &gt;= perc_95, converted_stat * 3, IF(bbgm_stat &gt;= perc_90, converted_stat * 2, IF(bbgm_stat &gt;= perc_85, converted_stat * 1.5, converted_stat)))))</f>
        <v/>
      </c>
      <c r="L386" s="30" t="str">
        <f t="array" ref="L386">IF($A386="", "", LET(bbgm_stat, INDEX(Players!$A385:$P385, MATCH(L$2, Players!$A$1:$P$1, 0)), perc_75, VLOOKUP(L$2, Percentiles!$A$45:$I$59, 6, FALSE), perc_90, VLOOKUP(L$2, Percentiles!$A$45:$I$59, 7, FALSE), perc_95, VLOOKUP(L$2, Percentiles!$A$45:$I$59, 8, FALSE), perc_85, perc_75 + (perc_90 - perc_75) * (2/3), converted_stat, '2K_Ratings'!L386, IF(bbgm_stat &gt;= perc_95, converted_stat * 3, IF(bbgm_stat &gt;= perc_90, converted_stat * 2, IF(bbgm_stat &gt;= perc_85, converted_stat * 1.5, converted_stat)))))</f>
        <v/>
      </c>
      <c r="M386" s="30" t="str">
        <f t="array" ref="M386">IF($A386="", "", LET(bbgm_stat, INDEX(Players!$A385:$P385, MATCH(M$2, Players!$A$1:$P$1, 0)), perc_75, VLOOKUP(M$2, Percentiles!$A$45:$I$59, 6, FALSE), perc_90, VLOOKUP(M$2, Percentiles!$A$45:$I$59, 7, FALSE), perc_95, VLOOKUP(M$2, Percentiles!$A$45:$I$59, 8, FALSE), perc_85, perc_75 + (perc_90 - perc_75) * (2/3), converted_stat, '2K_Ratings'!M386, IF(bbgm_stat &gt;= perc_95, converted_stat * 3, IF(bbgm_stat &gt;= perc_90, converted_stat * 2, IF(bbgm_stat &gt;= perc_85, converted_stat * 1.5, converted_stat)))))</f>
        <v/>
      </c>
      <c r="N386" s="30" t="str">
        <f t="array" ref="N386">IF($A386="", "", LET(bbgm_stat, INDEX(Players!$A385:$P385, MATCH(N$2, Players!$A$1:$P$1, 0)), perc_75, VLOOKUP(N$2, Percentiles!$A$45:$I$59, 6, FALSE), perc_90, VLOOKUP(N$2, Percentiles!$A$45:$I$59, 7, FALSE), perc_95, VLOOKUP(N$2, Percentiles!$A$45:$I$59, 8, FALSE), perc_85, perc_75 + (perc_90 - perc_75) * (2/3), converted_stat, '2K_Ratings'!N386, IF(bbgm_stat &gt;= perc_95, converted_stat * 3, IF(bbgm_stat &gt;= perc_90, converted_stat * 2, IF(bbgm_stat &gt;= perc_85, converted_stat * 1.5, converted_stat)))))</f>
        <v/>
      </c>
      <c r="O386" s="30" t="str">
        <f t="array" ref="O386">IF($A386="", "", LET(bbgm_stat, INDEX(Players!$A385:$P385, MATCH(O$2, Players!$A$1:$P$1, 0)), perc_75, VLOOKUP(O$2, Percentiles!$A$45:$I$59, 6, FALSE), perc_90, VLOOKUP(O$2, Percentiles!$A$45:$I$59, 7, FALSE), perc_95, VLOOKUP(O$2, Percentiles!$A$45:$I$59, 8, FALSE), perc_85, perc_75 + (perc_90 - perc_75) * (2/3), converted_stat, '2K_Ratings'!O386, IF(bbgm_stat &gt;= perc_95, converted_stat * 3, IF(bbgm_stat &gt;= perc_90, converted_stat * 2, IF(bbgm_stat &gt;= perc_85, converted_stat * 1.5, converted_stat)))))</f>
        <v/>
      </c>
      <c r="P386" s="30" t="str">
        <f t="array" ref="P386">IF($A386="", "", LET(bbgm_stat, INDEX(Players!$A385:$P385, MATCH(P$2, Players!$A$1:$P$1, 0)), perc_75, VLOOKUP(P$2, Percentiles!$A$45:$I$59, 6, FALSE), perc_90, VLOOKUP(P$2, Percentiles!$A$45:$I$59, 7, FALSE), perc_95, VLOOKUP(P$2, Percentiles!$A$45:$I$59, 8, FALSE), perc_85, perc_75 + (perc_90 - perc_75) * (2/3), converted_stat, '2K_Ratings'!P386, IF(bbgm_stat &gt;= perc_95, converted_stat * 3, IF(bbgm_stat &gt;= perc_90, converted_stat * 2, IF(bbgm_stat &gt;= perc_85, converted_stat * 1.5, converted_stat)))))</f>
        <v/>
      </c>
      <c r="Q386" s="30" t="str">
        <f t="array" ref="Q386">IF($A386="", "", LET(bbgm_stat, INDEX(Players!$A385:$P385, MATCH(Q$2, Players!$A$1:$P$1, 0)), perc_75, VLOOKUP(Q$2, Percentiles!$A$45:$I$59, 6, FALSE), perc_90, VLOOKUP(Q$2, Percentiles!$A$45:$I$59, 7, FALSE), perc_95, VLOOKUP(Q$2, Percentiles!$A$45:$I$59, 8, FALSE), perc_85, perc_75 + (perc_90 - perc_75) * (2/3), converted_stat, '2K_Ratings'!Q386, IF(bbgm_stat &gt;= perc_95, converted_stat * 3, IF(bbgm_stat &gt;= perc_90, converted_stat * 2, IF(bbgm_stat &gt;= perc_85, converted_stat * 1.5, converted_stat)))))</f>
        <v/>
      </c>
      <c r="R386" s="30" t="str">
        <f t="array" ref="R386">IF($A386="", "", LET(bbgm_stat, INDEX(Players!$A385:$P385, MATCH(R$2, Players!$A$1:$P$1, 0)), perc_75, VLOOKUP(R$2, Percentiles!$A$45:$I$59, 6, FALSE), perc_90, VLOOKUP(R$2, Percentiles!$A$45:$I$59, 7, FALSE), perc_95, VLOOKUP(R$2, Percentiles!$A$45:$I$59, 8, FALSE), perc_85, perc_75 + (perc_90 - perc_75) * (2/3), converted_stat, '2K_Ratings'!R386, IF(bbgm_stat &gt;= perc_95, converted_stat * 3, IF(bbgm_stat &gt;= perc_90, converted_stat * 2, IF(bbgm_stat &gt;= perc_85, converted_stat * 1.5, converted_stat)))))</f>
        <v/>
      </c>
      <c r="S386" s="30" t="str">
        <f t="array" ref="S386">IF($A386="", "", LET(bbgm_stat, INDEX(Players!$A385:$P385, MATCH(S$2, Players!$A$1:$P$1, 0)), perc_75, VLOOKUP(S$2, Percentiles!$A$45:$I$59, 6, FALSE), perc_90, VLOOKUP(S$2, Percentiles!$A$45:$I$59, 7, FALSE), perc_95, VLOOKUP(S$2, Percentiles!$A$45:$I$59, 8, FALSE), perc_85, perc_75 + (perc_90 - perc_75) * (2/3), converted_stat, '2K_Ratings'!S386, IF(bbgm_stat &gt;= perc_95, converted_stat * 3, IF(bbgm_stat &gt;= perc_90, converted_stat * 2, IF(bbgm_stat &gt;= perc_85, converted_stat * 1.5, converted_stat)))))</f>
        <v/>
      </c>
      <c r="T386" s="30" t="str">
        <f t="array" ref="T386">IF($A386="", "", LET(bbgm_stat, INDEX(Players!$A385:$P385, MATCH(T$2, Players!$A$1:$P$1, 0)), perc_75, VLOOKUP(T$2, Percentiles!$A$45:$I$59, 6, FALSE), perc_90, VLOOKUP(T$2, Percentiles!$A$45:$I$59, 7, FALSE), perc_95, VLOOKUP(T$2, Percentiles!$A$45:$I$59, 8, FALSE), perc_85, perc_75 + (perc_90 - perc_75) * (2/3), converted_stat, '2K_Ratings'!T386, IF(bbgm_stat &gt;= perc_95, converted_stat * 3, IF(bbgm_stat &gt;= perc_90, converted_stat * 2, IF(bbgm_stat &gt;= perc_85, converted_stat * 1.5, converted_stat)))))</f>
        <v/>
      </c>
      <c r="U386" s="30" t="str">
        <f t="array" ref="U386">IF($A386="", "", LET(bbgm_stat, INDEX(Players!$A385:$P385, MATCH(U$2, Players!$A$1:$P$1, 0)), perc_75, VLOOKUP(U$2, Percentiles!$A$45:$I$59, 6, FALSE), perc_90, VLOOKUP(U$2, Percentiles!$A$45:$I$59, 7, FALSE), perc_95, VLOOKUP(U$2, Percentiles!$A$45:$I$59, 8, FALSE), perc_85, perc_75 + (perc_90 - perc_75) * (2/3), converted_stat, '2K_Ratings'!U386, IF(bbgm_stat &gt;= perc_95, converted_stat * 3, IF(bbgm_stat &gt;= perc_90, converted_stat * 2, IF(bbgm_stat &gt;= perc_85, converted_stat * 1.5, converted_stat)))))</f>
        <v/>
      </c>
      <c r="V386" s="30" t="str">
        <f t="array" ref="V386">IF($A386="", "", LET(bbgm_stat, INDEX(Players!$A385:$P385, MATCH(V$2, Players!$A$1:$P$1, 0)), perc_75, VLOOKUP(V$2, Percentiles!$A$45:$I$59, 6, FALSE), perc_90, VLOOKUP(V$2, Percentiles!$A$45:$I$59, 7, FALSE), perc_95, VLOOKUP(V$2, Percentiles!$A$45:$I$59, 8, FALSE), perc_85, perc_75 + (perc_90 - perc_75) * (2/3), converted_stat, '2K_Ratings'!V386, IF(bbgm_stat &gt;= perc_95, converted_stat * 3, IF(bbgm_stat &gt;= perc_90, converted_stat * 2, IF(bbgm_stat &gt;= perc_85, converted_stat * 1.5, converted_stat)))))</f>
        <v/>
      </c>
      <c r="W386" s="30" t="str">
        <f t="array" ref="W386">IF($A386="", "", LET(bbgm_stat, INDEX(Players!$A385:$P385, MATCH(W$2, Players!$A$1:$P$1, 0)), perc_75, VLOOKUP(W$2, Percentiles!$A$45:$I$59, 6, FALSE), perc_90, VLOOKUP(W$2, Percentiles!$A$45:$I$59, 7, FALSE), perc_95, VLOOKUP(W$2, Percentiles!$A$45:$I$59, 8, FALSE), perc_85, perc_75 + (perc_90 - perc_75) * (2/3), converted_stat, '2K_Ratings'!W386, IF(bbgm_stat &gt;= perc_95, converted_stat * 3, IF(bbgm_stat &gt;= perc_90, converted_stat * 2, IF(bbgm_stat &gt;= perc_85, converted_stat * 1.5, converted_stat)))))</f>
        <v/>
      </c>
    </row>
    <row r="387">
      <c r="A387" s="30"/>
      <c r="B387" s="30" t="str">
        <f t="array" ref="B387">IF($A387="", "", LET(bbgm_stat, INDEX(Players!$A386:$P386, MATCH(B$2, Players!$A$1:$P$1, 0)), perc_75, VLOOKUP(B$2, Percentiles!$A$45:$I$59, 6, FALSE), perc_90, VLOOKUP(B$2, Percentiles!$A$45:$I$59, 7, FALSE), perc_95, VLOOKUP(B$2, Percentiles!$A$45:$I$59, 8, FALSE), perc_85, perc_75 + (perc_90 - perc_75) * (2/3), converted_stat, '2K_Ratings'!B387, IF(bbgm_stat &gt;= perc_95, converted_stat * 3, IF(bbgm_stat &gt;= perc_90, converted_stat * 2, IF(bbgm_stat &gt;= perc_85, converted_stat * 1.5, converted_stat)))))</f>
        <v/>
      </c>
      <c r="C387" s="30" t="str">
        <f t="array" ref="C387">IF($A387="", "", LET(bbgm_stat, INDEX(Players!$A386:$P386, MATCH(C$2, Players!$A$1:$P$1, 0)), perc_75, VLOOKUP(C$2, Percentiles!$A$45:$I$59, 6, FALSE), perc_90, VLOOKUP(C$2, Percentiles!$A$45:$I$59, 7, FALSE), perc_95, VLOOKUP(C$2, Percentiles!$A$45:$I$59, 8, FALSE), perc_85, perc_75 + (perc_90 - perc_75) * (2/3), converted_stat, '2K_Ratings'!C387, IF(bbgm_stat &gt;= perc_95, converted_stat * 3, IF(bbgm_stat &gt;= perc_90, converted_stat * 2, IF(bbgm_stat &gt;= perc_85, converted_stat * 1.5, converted_stat)))))</f>
        <v/>
      </c>
      <c r="D387" s="30" t="str">
        <f t="array" ref="D387">IF($A387="", "", LET(bbgm_stat, INDEX(Players!$A386:$P386, MATCH(D$2, Players!$A$1:$P$1, 0)), perc_75, VLOOKUP(D$2, Percentiles!$A$45:$I$59, 6, FALSE), perc_90, VLOOKUP(D$2, Percentiles!$A$45:$I$59, 7, FALSE), perc_95, VLOOKUP(D$2, Percentiles!$A$45:$I$59, 8, FALSE), perc_85, perc_75 + (perc_90 - perc_75) * (2/3), converted_stat, '2K_Ratings'!D387, IF(bbgm_stat &gt;= perc_95, converted_stat * 3, IF(bbgm_stat &gt;= perc_90, converted_stat * 2, IF(bbgm_stat &gt;= perc_85, converted_stat * 1.5, converted_stat)))))</f>
        <v/>
      </c>
      <c r="E387" s="30" t="str">
        <f t="array" ref="E387">IF($A387="", "", LET(bbgm_stat, INDEX(Players!$A386:$P386, MATCH(E$2, Players!$A$1:$P$1, 0)), perc_75, VLOOKUP(E$2, Percentiles!$A$45:$I$59, 6, FALSE), perc_90, VLOOKUP(E$2, Percentiles!$A$45:$I$59, 7, FALSE), perc_95, VLOOKUP(E$2, Percentiles!$A$45:$I$59, 8, FALSE), perc_85, perc_75 + (perc_90 - perc_75) * (2/3), converted_stat, '2K_Ratings'!E387, IF(bbgm_stat &gt;= perc_95, converted_stat * 3, IF(bbgm_stat &gt;= perc_90, converted_stat * 2, IF(bbgm_stat &gt;= perc_85, converted_stat * 1.5, converted_stat)))))</f>
        <v/>
      </c>
      <c r="F387" s="30" t="str">
        <f t="array" ref="F387">IF($A387="", "", LET(bbgm_stat, INDEX(Players!$A386:$P386, MATCH(F$2, Players!$A$1:$P$1, 0)), perc_75, VLOOKUP(F$2, Percentiles!$A$45:$I$59, 6, FALSE), perc_90, VLOOKUP(F$2, Percentiles!$A$45:$I$59, 7, FALSE), perc_95, VLOOKUP(F$2, Percentiles!$A$45:$I$59, 8, FALSE), perc_85, perc_75 + (perc_90 - perc_75) * (2/3), converted_stat, '2K_Ratings'!F387, IF(bbgm_stat &gt;= perc_95, converted_stat * 3, IF(bbgm_stat &gt;= perc_90, converted_stat * 2, IF(bbgm_stat &gt;= perc_85, converted_stat * 1.5, converted_stat)))))</f>
        <v/>
      </c>
      <c r="G387" s="30" t="str">
        <f t="array" ref="G387">IF($A387="", "", LET(bbgm_stat, INDEX(Players!$A386:$P386, MATCH(G$2, Players!$A$1:$P$1, 0)), perc_75, VLOOKUP(G$2, Percentiles!$A$45:$I$59, 6, FALSE), perc_90, VLOOKUP(G$2, Percentiles!$A$45:$I$59, 7, FALSE), perc_95, VLOOKUP(G$2, Percentiles!$A$45:$I$59, 8, FALSE), perc_85, perc_75 + (perc_90 - perc_75) * (2/3), converted_stat, '2K_Ratings'!G387, IF(bbgm_stat &gt;= perc_95, converted_stat * 3, IF(bbgm_stat &gt;= perc_90, converted_stat * 2, IF(bbgm_stat &gt;= perc_85, converted_stat * 1.5, converted_stat)))))</f>
        <v/>
      </c>
      <c r="H387" s="30" t="str">
        <f t="array" ref="H387">IF($A387="", "", LET(bbgm_stat, INDEX(Players!$A386:$P386, MATCH(H$2, Players!$A$1:$P$1, 0)), perc_75, VLOOKUP(H$2, Percentiles!$A$45:$I$59, 6, FALSE), perc_90, VLOOKUP(H$2, Percentiles!$A$45:$I$59, 7, FALSE), perc_95, VLOOKUP(H$2, Percentiles!$A$45:$I$59, 8, FALSE), perc_85, perc_75 + (perc_90 - perc_75) * (2/3), converted_stat, '2K_Ratings'!H387, IF(bbgm_stat &gt;= perc_95, converted_stat * 3, IF(bbgm_stat &gt;= perc_90, converted_stat * 2, IF(bbgm_stat &gt;= perc_85, converted_stat * 1.5, converted_stat)))))</f>
        <v/>
      </c>
      <c r="I387" s="30" t="str">
        <f t="array" ref="I387">IF($A387="", "", LET(bbgm_stat, INDEX(Players!$A386:$P386, MATCH(I$2, Players!$A$1:$P$1, 0)), perc_75, VLOOKUP(I$2, Percentiles!$A$45:$I$59, 6, FALSE), perc_90, VLOOKUP(I$2, Percentiles!$A$45:$I$59, 7, FALSE), perc_95, VLOOKUP(I$2, Percentiles!$A$45:$I$59, 8, FALSE), perc_85, perc_75 + (perc_90 - perc_75) * (2/3), converted_stat, '2K_Ratings'!I387, IF(bbgm_stat &gt;= perc_95, converted_stat * 3, IF(bbgm_stat &gt;= perc_90, converted_stat * 2, IF(bbgm_stat &gt;= perc_85, converted_stat * 1.5, converted_stat)))))</f>
        <v/>
      </c>
      <c r="J387" s="30" t="str">
        <f t="array" ref="J387">IF($A387="", "", LET(bbgm_stat, INDEX(Players!$A386:$P386, MATCH(J$2, Players!$A$1:$P$1, 0)), perc_75, VLOOKUP(J$2, Percentiles!$A$45:$I$59, 6, FALSE), perc_90, VLOOKUP(J$2, Percentiles!$A$45:$I$59, 7, FALSE), perc_95, VLOOKUP(J$2, Percentiles!$A$45:$I$59, 8, FALSE), perc_85, perc_75 + (perc_90 - perc_75) * (2/3), converted_stat, '2K_Ratings'!J387, IF(bbgm_stat &gt;= perc_95, converted_stat * 3, IF(bbgm_stat &gt;= perc_90, converted_stat * 2, IF(bbgm_stat &gt;= perc_85, converted_stat * 1.5, converted_stat)))))</f>
        <v/>
      </c>
      <c r="K387" s="30" t="str">
        <f t="array" ref="K387">IF($A387="", "", LET(bbgm_stat, INDEX(Players!$A386:$P386, MATCH(K$2, Players!$A$1:$P$1, 0)), perc_75, VLOOKUP(K$2, Percentiles!$A$45:$I$59, 6, FALSE), perc_90, VLOOKUP(K$2, Percentiles!$A$45:$I$59, 7, FALSE), perc_95, VLOOKUP(K$2, Percentiles!$A$45:$I$59, 8, FALSE), perc_85, perc_75 + (perc_90 - perc_75) * (2/3), converted_stat, '2K_Ratings'!K387, IF(bbgm_stat &gt;= perc_95, converted_stat * 3, IF(bbgm_stat &gt;= perc_90, converted_stat * 2, IF(bbgm_stat &gt;= perc_85, converted_stat * 1.5, converted_stat)))))</f>
        <v/>
      </c>
      <c r="L387" s="30" t="str">
        <f t="array" ref="L387">IF($A387="", "", LET(bbgm_stat, INDEX(Players!$A386:$P386, MATCH(L$2, Players!$A$1:$P$1, 0)), perc_75, VLOOKUP(L$2, Percentiles!$A$45:$I$59, 6, FALSE), perc_90, VLOOKUP(L$2, Percentiles!$A$45:$I$59, 7, FALSE), perc_95, VLOOKUP(L$2, Percentiles!$A$45:$I$59, 8, FALSE), perc_85, perc_75 + (perc_90 - perc_75) * (2/3), converted_stat, '2K_Ratings'!L387, IF(bbgm_stat &gt;= perc_95, converted_stat * 3, IF(bbgm_stat &gt;= perc_90, converted_stat * 2, IF(bbgm_stat &gt;= perc_85, converted_stat * 1.5, converted_stat)))))</f>
        <v/>
      </c>
      <c r="M387" s="30" t="str">
        <f t="array" ref="M387">IF($A387="", "", LET(bbgm_stat, INDEX(Players!$A386:$P386, MATCH(M$2, Players!$A$1:$P$1, 0)), perc_75, VLOOKUP(M$2, Percentiles!$A$45:$I$59, 6, FALSE), perc_90, VLOOKUP(M$2, Percentiles!$A$45:$I$59, 7, FALSE), perc_95, VLOOKUP(M$2, Percentiles!$A$45:$I$59, 8, FALSE), perc_85, perc_75 + (perc_90 - perc_75) * (2/3), converted_stat, '2K_Ratings'!M387, IF(bbgm_stat &gt;= perc_95, converted_stat * 3, IF(bbgm_stat &gt;= perc_90, converted_stat * 2, IF(bbgm_stat &gt;= perc_85, converted_stat * 1.5, converted_stat)))))</f>
        <v/>
      </c>
      <c r="N387" s="30" t="str">
        <f t="array" ref="N387">IF($A387="", "", LET(bbgm_stat, INDEX(Players!$A386:$P386, MATCH(N$2, Players!$A$1:$P$1, 0)), perc_75, VLOOKUP(N$2, Percentiles!$A$45:$I$59, 6, FALSE), perc_90, VLOOKUP(N$2, Percentiles!$A$45:$I$59, 7, FALSE), perc_95, VLOOKUP(N$2, Percentiles!$A$45:$I$59, 8, FALSE), perc_85, perc_75 + (perc_90 - perc_75) * (2/3), converted_stat, '2K_Ratings'!N387, IF(bbgm_stat &gt;= perc_95, converted_stat * 3, IF(bbgm_stat &gt;= perc_90, converted_stat * 2, IF(bbgm_stat &gt;= perc_85, converted_stat * 1.5, converted_stat)))))</f>
        <v/>
      </c>
      <c r="O387" s="30" t="str">
        <f t="array" ref="O387">IF($A387="", "", LET(bbgm_stat, INDEX(Players!$A386:$P386, MATCH(O$2, Players!$A$1:$P$1, 0)), perc_75, VLOOKUP(O$2, Percentiles!$A$45:$I$59, 6, FALSE), perc_90, VLOOKUP(O$2, Percentiles!$A$45:$I$59, 7, FALSE), perc_95, VLOOKUP(O$2, Percentiles!$A$45:$I$59, 8, FALSE), perc_85, perc_75 + (perc_90 - perc_75) * (2/3), converted_stat, '2K_Ratings'!O387, IF(bbgm_stat &gt;= perc_95, converted_stat * 3, IF(bbgm_stat &gt;= perc_90, converted_stat * 2, IF(bbgm_stat &gt;= perc_85, converted_stat * 1.5, converted_stat)))))</f>
        <v/>
      </c>
      <c r="P387" s="30" t="str">
        <f t="array" ref="P387">IF($A387="", "", LET(bbgm_stat, INDEX(Players!$A386:$P386, MATCH(P$2, Players!$A$1:$P$1, 0)), perc_75, VLOOKUP(P$2, Percentiles!$A$45:$I$59, 6, FALSE), perc_90, VLOOKUP(P$2, Percentiles!$A$45:$I$59, 7, FALSE), perc_95, VLOOKUP(P$2, Percentiles!$A$45:$I$59, 8, FALSE), perc_85, perc_75 + (perc_90 - perc_75) * (2/3), converted_stat, '2K_Ratings'!P387, IF(bbgm_stat &gt;= perc_95, converted_stat * 3, IF(bbgm_stat &gt;= perc_90, converted_stat * 2, IF(bbgm_stat &gt;= perc_85, converted_stat * 1.5, converted_stat)))))</f>
        <v/>
      </c>
      <c r="Q387" s="30" t="str">
        <f t="array" ref="Q387">IF($A387="", "", LET(bbgm_stat, INDEX(Players!$A386:$P386, MATCH(Q$2, Players!$A$1:$P$1, 0)), perc_75, VLOOKUP(Q$2, Percentiles!$A$45:$I$59, 6, FALSE), perc_90, VLOOKUP(Q$2, Percentiles!$A$45:$I$59, 7, FALSE), perc_95, VLOOKUP(Q$2, Percentiles!$A$45:$I$59, 8, FALSE), perc_85, perc_75 + (perc_90 - perc_75) * (2/3), converted_stat, '2K_Ratings'!Q387, IF(bbgm_stat &gt;= perc_95, converted_stat * 3, IF(bbgm_stat &gt;= perc_90, converted_stat * 2, IF(bbgm_stat &gt;= perc_85, converted_stat * 1.5, converted_stat)))))</f>
        <v/>
      </c>
      <c r="R387" s="30" t="str">
        <f t="array" ref="R387">IF($A387="", "", LET(bbgm_stat, INDEX(Players!$A386:$P386, MATCH(R$2, Players!$A$1:$P$1, 0)), perc_75, VLOOKUP(R$2, Percentiles!$A$45:$I$59, 6, FALSE), perc_90, VLOOKUP(R$2, Percentiles!$A$45:$I$59, 7, FALSE), perc_95, VLOOKUP(R$2, Percentiles!$A$45:$I$59, 8, FALSE), perc_85, perc_75 + (perc_90 - perc_75) * (2/3), converted_stat, '2K_Ratings'!R387, IF(bbgm_stat &gt;= perc_95, converted_stat * 3, IF(bbgm_stat &gt;= perc_90, converted_stat * 2, IF(bbgm_stat &gt;= perc_85, converted_stat * 1.5, converted_stat)))))</f>
        <v/>
      </c>
      <c r="S387" s="30" t="str">
        <f t="array" ref="S387">IF($A387="", "", LET(bbgm_stat, INDEX(Players!$A386:$P386, MATCH(S$2, Players!$A$1:$P$1, 0)), perc_75, VLOOKUP(S$2, Percentiles!$A$45:$I$59, 6, FALSE), perc_90, VLOOKUP(S$2, Percentiles!$A$45:$I$59, 7, FALSE), perc_95, VLOOKUP(S$2, Percentiles!$A$45:$I$59, 8, FALSE), perc_85, perc_75 + (perc_90 - perc_75) * (2/3), converted_stat, '2K_Ratings'!S387, IF(bbgm_stat &gt;= perc_95, converted_stat * 3, IF(bbgm_stat &gt;= perc_90, converted_stat * 2, IF(bbgm_stat &gt;= perc_85, converted_stat * 1.5, converted_stat)))))</f>
        <v/>
      </c>
      <c r="T387" s="30" t="str">
        <f t="array" ref="T387">IF($A387="", "", LET(bbgm_stat, INDEX(Players!$A386:$P386, MATCH(T$2, Players!$A$1:$P$1, 0)), perc_75, VLOOKUP(T$2, Percentiles!$A$45:$I$59, 6, FALSE), perc_90, VLOOKUP(T$2, Percentiles!$A$45:$I$59, 7, FALSE), perc_95, VLOOKUP(T$2, Percentiles!$A$45:$I$59, 8, FALSE), perc_85, perc_75 + (perc_90 - perc_75) * (2/3), converted_stat, '2K_Ratings'!T387, IF(bbgm_stat &gt;= perc_95, converted_stat * 3, IF(bbgm_stat &gt;= perc_90, converted_stat * 2, IF(bbgm_stat &gt;= perc_85, converted_stat * 1.5, converted_stat)))))</f>
        <v/>
      </c>
      <c r="U387" s="30" t="str">
        <f t="array" ref="U387">IF($A387="", "", LET(bbgm_stat, INDEX(Players!$A386:$P386, MATCH(U$2, Players!$A$1:$P$1, 0)), perc_75, VLOOKUP(U$2, Percentiles!$A$45:$I$59, 6, FALSE), perc_90, VLOOKUP(U$2, Percentiles!$A$45:$I$59, 7, FALSE), perc_95, VLOOKUP(U$2, Percentiles!$A$45:$I$59, 8, FALSE), perc_85, perc_75 + (perc_90 - perc_75) * (2/3), converted_stat, '2K_Ratings'!U387, IF(bbgm_stat &gt;= perc_95, converted_stat * 3, IF(bbgm_stat &gt;= perc_90, converted_stat * 2, IF(bbgm_stat &gt;= perc_85, converted_stat * 1.5, converted_stat)))))</f>
        <v/>
      </c>
      <c r="V387" s="30" t="str">
        <f t="array" ref="V387">IF($A387="", "", LET(bbgm_stat, INDEX(Players!$A386:$P386, MATCH(V$2, Players!$A$1:$P$1, 0)), perc_75, VLOOKUP(V$2, Percentiles!$A$45:$I$59, 6, FALSE), perc_90, VLOOKUP(V$2, Percentiles!$A$45:$I$59, 7, FALSE), perc_95, VLOOKUP(V$2, Percentiles!$A$45:$I$59, 8, FALSE), perc_85, perc_75 + (perc_90 - perc_75) * (2/3), converted_stat, '2K_Ratings'!V387, IF(bbgm_stat &gt;= perc_95, converted_stat * 3, IF(bbgm_stat &gt;= perc_90, converted_stat * 2, IF(bbgm_stat &gt;= perc_85, converted_stat * 1.5, converted_stat)))))</f>
        <v/>
      </c>
      <c r="W387" s="30" t="str">
        <f t="array" ref="W387">IF($A387="", "", LET(bbgm_stat, INDEX(Players!$A386:$P386, MATCH(W$2, Players!$A$1:$P$1, 0)), perc_75, VLOOKUP(W$2, Percentiles!$A$45:$I$59, 6, FALSE), perc_90, VLOOKUP(W$2, Percentiles!$A$45:$I$59, 7, FALSE), perc_95, VLOOKUP(W$2, Percentiles!$A$45:$I$59, 8, FALSE), perc_85, perc_75 + (perc_90 - perc_75) * (2/3), converted_stat, '2K_Ratings'!W387, IF(bbgm_stat &gt;= perc_95, converted_stat * 3, IF(bbgm_stat &gt;= perc_90, converted_stat * 2, IF(bbgm_stat &gt;= perc_85, converted_stat * 1.5, converted_stat)))))</f>
        <v/>
      </c>
    </row>
    <row r="388">
      <c r="A388" s="30"/>
      <c r="B388" s="30" t="str">
        <f t="array" ref="B388">IF($A388="", "", LET(bbgm_stat, INDEX(Players!$A387:$P387, MATCH(B$2, Players!$A$1:$P$1, 0)), perc_75, VLOOKUP(B$2, Percentiles!$A$45:$I$59, 6, FALSE), perc_90, VLOOKUP(B$2, Percentiles!$A$45:$I$59, 7, FALSE), perc_95, VLOOKUP(B$2, Percentiles!$A$45:$I$59, 8, FALSE), perc_85, perc_75 + (perc_90 - perc_75) * (2/3), converted_stat, '2K_Ratings'!B388, IF(bbgm_stat &gt;= perc_95, converted_stat * 3, IF(bbgm_stat &gt;= perc_90, converted_stat * 2, IF(bbgm_stat &gt;= perc_85, converted_stat * 1.5, converted_stat)))))</f>
        <v/>
      </c>
      <c r="C388" s="30" t="str">
        <f t="array" ref="C388">IF($A388="", "", LET(bbgm_stat, INDEX(Players!$A387:$P387, MATCH(C$2, Players!$A$1:$P$1, 0)), perc_75, VLOOKUP(C$2, Percentiles!$A$45:$I$59, 6, FALSE), perc_90, VLOOKUP(C$2, Percentiles!$A$45:$I$59, 7, FALSE), perc_95, VLOOKUP(C$2, Percentiles!$A$45:$I$59, 8, FALSE), perc_85, perc_75 + (perc_90 - perc_75) * (2/3), converted_stat, '2K_Ratings'!C388, IF(bbgm_stat &gt;= perc_95, converted_stat * 3, IF(bbgm_stat &gt;= perc_90, converted_stat * 2, IF(bbgm_stat &gt;= perc_85, converted_stat * 1.5, converted_stat)))))</f>
        <v/>
      </c>
      <c r="D388" s="30" t="str">
        <f t="array" ref="D388">IF($A388="", "", LET(bbgm_stat, INDEX(Players!$A387:$P387, MATCH(D$2, Players!$A$1:$P$1, 0)), perc_75, VLOOKUP(D$2, Percentiles!$A$45:$I$59, 6, FALSE), perc_90, VLOOKUP(D$2, Percentiles!$A$45:$I$59, 7, FALSE), perc_95, VLOOKUP(D$2, Percentiles!$A$45:$I$59, 8, FALSE), perc_85, perc_75 + (perc_90 - perc_75) * (2/3), converted_stat, '2K_Ratings'!D388, IF(bbgm_stat &gt;= perc_95, converted_stat * 3, IF(bbgm_stat &gt;= perc_90, converted_stat * 2, IF(bbgm_stat &gt;= perc_85, converted_stat * 1.5, converted_stat)))))</f>
        <v/>
      </c>
      <c r="E388" s="30" t="str">
        <f t="array" ref="E388">IF($A388="", "", LET(bbgm_stat, INDEX(Players!$A387:$P387, MATCH(E$2, Players!$A$1:$P$1, 0)), perc_75, VLOOKUP(E$2, Percentiles!$A$45:$I$59, 6, FALSE), perc_90, VLOOKUP(E$2, Percentiles!$A$45:$I$59, 7, FALSE), perc_95, VLOOKUP(E$2, Percentiles!$A$45:$I$59, 8, FALSE), perc_85, perc_75 + (perc_90 - perc_75) * (2/3), converted_stat, '2K_Ratings'!E388, IF(bbgm_stat &gt;= perc_95, converted_stat * 3, IF(bbgm_stat &gt;= perc_90, converted_stat * 2, IF(bbgm_stat &gt;= perc_85, converted_stat * 1.5, converted_stat)))))</f>
        <v/>
      </c>
      <c r="F388" s="30" t="str">
        <f t="array" ref="F388">IF($A388="", "", LET(bbgm_stat, INDEX(Players!$A387:$P387, MATCH(F$2, Players!$A$1:$P$1, 0)), perc_75, VLOOKUP(F$2, Percentiles!$A$45:$I$59, 6, FALSE), perc_90, VLOOKUP(F$2, Percentiles!$A$45:$I$59, 7, FALSE), perc_95, VLOOKUP(F$2, Percentiles!$A$45:$I$59, 8, FALSE), perc_85, perc_75 + (perc_90 - perc_75) * (2/3), converted_stat, '2K_Ratings'!F388, IF(bbgm_stat &gt;= perc_95, converted_stat * 3, IF(bbgm_stat &gt;= perc_90, converted_stat * 2, IF(bbgm_stat &gt;= perc_85, converted_stat * 1.5, converted_stat)))))</f>
        <v/>
      </c>
      <c r="G388" s="30" t="str">
        <f t="array" ref="G388">IF($A388="", "", LET(bbgm_stat, INDEX(Players!$A387:$P387, MATCH(G$2, Players!$A$1:$P$1, 0)), perc_75, VLOOKUP(G$2, Percentiles!$A$45:$I$59, 6, FALSE), perc_90, VLOOKUP(G$2, Percentiles!$A$45:$I$59, 7, FALSE), perc_95, VLOOKUP(G$2, Percentiles!$A$45:$I$59, 8, FALSE), perc_85, perc_75 + (perc_90 - perc_75) * (2/3), converted_stat, '2K_Ratings'!G388, IF(bbgm_stat &gt;= perc_95, converted_stat * 3, IF(bbgm_stat &gt;= perc_90, converted_stat * 2, IF(bbgm_stat &gt;= perc_85, converted_stat * 1.5, converted_stat)))))</f>
        <v/>
      </c>
      <c r="H388" s="30" t="str">
        <f t="array" ref="H388">IF($A388="", "", LET(bbgm_stat, INDEX(Players!$A387:$P387, MATCH(H$2, Players!$A$1:$P$1, 0)), perc_75, VLOOKUP(H$2, Percentiles!$A$45:$I$59, 6, FALSE), perc_90, VLOOKUP(H$2, Percentiles!$A$45:$I$59, 7, FALSE), perc_95, VLOOKUP(H$2, Percentiles!$A$45:$I$59, 8, FALSE), perc_85, perc_75 + (perc_90 - perc_75) * (2/3), converted_stat, '2K_Ratings'!H388, IF(bbgm_stat &gt;= perc_95, converted_stat * 3, IF(bbgm_stat &gt;= perc_90, converted_stat * 2, IF(bbgm_stat &gt;= perc_85, converted_stat * 1.5, converted_stat)))))</f>
        <v/>
      </c>
      <c r="I388" s="30" t="str">
        <f t="array" ref="I388">IF($A388="", "", LET(bbgm_stat, INDEX(Players!$A387:$P387, MATCH(I$2, Players!$A$1:$P$1, 0)), perc_75, VLOOKUP(I$2, Percentiles!$A$45:$I$59, 6, FALSE), perc_90, VLOOKUP(I$2, Percentiles!$A$45:$I$59, 7, FALSE), perc_95, VLOOKUP(I$2, Percentiles!$A$45:$I$59, 8, FALSE), perc_85, perc_75 + (perc_90 - perc_75) * (2/3), converted_stat, '2K_Ratings'!I388, IF(bbgm_stat &gt;= perc_95, converted_stat * 3, IF(bbgm_stat &gt;= perc_90, converted_stat * 2, IF(bbgm_stat &gt;= perc_85, converted_stat * 1.5, converted_stat)))))</f>
        <v/>
      </c>
      <c r="J388" s="30" t="str">
        <f t="array" ref="J388">IF($A388="", "", LET(bbgm_stat, INDEX(Players!$A387:$P387, MATCH(J$2, Players!$A$1:$P$1, 0)), perc_75, VLOOKUP(J$2, Percentiles!$A$45:$I$59, 6, FALSE), perc_90, VLOOKUP(J$2, Percentiles!$A$45:$I$59, 7, FALSE), perc_95, VLOOKUP(J$2, Percentiles!$A$45:$I$59, 8, FALSE), perc_85, perc_75 + (perc_90 - perc_75) * (2/3), converted_stat, '2K_Ratings'!J388, IF(bbgm_stat &gt;= perc_95, converted_stat * 3, IF(bbgm_stat &gt;= perc_90, converted_stat * 2, IF(bbgm_stat &gt;= perc_85, converted_stat * 1.5, converted_stat)))))</f>
        <v/>
      </c>
      <c r="K388" s="30" t="str">
        <f t="array" ref="K388">IF($A388="", "", LET(bbgm_stat, INDEX(Players!$A387:$P387, MATCH(K$2, Players!$A$1:$P$1, 0)), perc_75, VLOOKUP(K$2, Percentiles!$A$45:$I$59, 6, FALSE), perc_90, VLOOKUP(K$2, Percentiles!$A$45:$I$59, 7, FALSE), perc_95, VLOOKUP(K$2, Percentiles!$A$45:$I$59, 8, FALSE), perc_85, perc_75 + (perc_90 - perc_75) * (2/3), converted_stat, '2K_Ratings'!K388, IF(bbgm_stat &gt;= perc_95, converted_stat * 3, IF(bbgm_stat &gt;= perc_90, converted_stat * 2, IF(bbgm_stat &gt;= perc_85, converted_stat * 1.5, converted_stat)))))</f>
        <v/>
      </c>
      <c r="L388" s="30" t="str">
        <f t="array" ref="L388">IF($A388="", "", LET(bbgm_stat, INDEX(Players!$A387:$P387, MATCH(L$2, Players!$A$1:$P$1, 0)), perc_75, VLOOKUP(L$2, Percentiles!$A$45:$I$59, 6, FALSE), perc_90, VLOOKUP(L$2, Percentiles!$A$45:$I$59, 7, FALSE), perc_95, VLOOKUP(L$2, Percentiles!$A$45:$I$59, 8, FALSE), perc_85, perc_75 + (perc_90 - perc_75) * (2/3), converted_stat, '2K_Ratings'!L388, IF(bbgm_stat &gt;= perc_95, converted_stat * 3, IF(bbgm_stat &gt;= perc_90, converted_stat * 2, IF(bbgm_stat &gt;= perc_85, converted_stat * 1.5, converted_stat)))))</f>
        <v/>
      </c>
      <c r="M388" s="30" t="str">
        <f t="array" ref="M388">IF($A388="", "", LET(bbgm_stat, INDEX(Players!$A387:$P387, MATCH(M$2, Players!$A$1:$P$1, 0)), perc_75, VLOOKUP(M$2, Percentiles!$A$45:$I$59, 6, FALSE), perc_90, VLOOKUP(M$2, Percentiles!$A$45:$I$59, 7, FALSE), perc_95, VLOOKUP(M$2, Percentiles!$A$45:$I$59, 8, FALSE), perc_85, perc_75 + (perc_90 - perc_75) * (2/3), converted_stat, '2K_Ratings'!M388, IF(bbgm_stat &gt;= perc_95, converted_stat * 3, IF(bbgm_stat &gt;= perc_90, converted_stat * 2, IF(bbgm_stat &gt;= perc_85, converted_stat * 1.5, converted_stat)))))</f>
        <v/>
      </c>
      <c r="N388" s="30" t="str">
        <f t="array" ref="N388">IF($A388="", "", LET(bbgm_stat, INDEX(Players!$A387:$P387, MATCH(N$2, Players!$A$1:$P$1, 0)), perc_75, VLOOKUP(N$2, Percentiles!$A$45:$I$59, 6, FALSE), perc_90, VLOOKUP(N$2, Percentiles!$A$45:$I$59, 7, FALSE), perc_95, VLOOKUP(N$2, Percentiles!$A$45:$I$59, 8, FALSE), perc_85, perc_75 + (perc_90 - perc_75) * (2/3), converted_stat, '2K_Ratings'!N388, IF(bbgm_stat &gt;= perc_95, converted_stat * 3, IF(bbgm_stat &gt;= perc_90, converted_stat * 2, IF(bbgm_stat &gt;= perc_85, converted_stat * 1.5, converted_stat)))))</f>
        <v/>
      </c>
      <c r="O388" s="30" t="str">
        <f t="array" ref="O388">IF($A388="", "", LET(bbgm_stat, INDEX(Players!$A387:$P387, MATCH(O$2, Players!$A$1:$P$1, 0)), perc_75, VLOOKUP(O$2, Percentiles!$A$45:$I$59, 6, FALSE), perc_90, VLOOKUP(O$2, Percentiles!$A$45:$I$59, 7, FALSE), perc_95, VLOOKUP(O$2, Percentiles!$A$45:$I$59, 8, FALSE), perc_85, perc_75 + (perc_90 - perc_75) * (2/3), converted_stat, '2K_Ratings'!O388, IF(bbgm_stat &gt;= perc_95, converted_stat * 3, IF(bbgm_stat &gt;= perc_90, converted_stat * 2, IF(bbgm_stat &gt;= perc_85, converted_stat * 1.5, converted_stat)))))</f>
        <v/>
      </c>
      <c r="P388" s="30" t="str">
        <f t="array" ref="P388">IF($A388="", "", LET(bbgm_stat, INDEX(Players!$A387:$P387, MATCH(P$2, Players!$A$1:$P$1, 0)), perc_75, VLOOKUP(P$2, Percentiles!$A$45:$I$59, 6, FALSE), perc_90, VLOOKUP(P$2, Percentiles!$A$45:$I$59, 7, FALSE), perc_95, VLOOKUP(P$2, Percentiles!$A$45:$I$59, 8, FALSE), perc_85, perc_75 + (perc_90 - perc_75) * (2/3), converted_stat, '2K_Ratings'!P388, IF(bbgm_stat &gt;= perc_95, converted_stat * 3, IF(bbgm_stat &gt;= perc_90, converted_stat * 2, IF(bbgm_stat &gt;= perc_85, converted_stat * 1.5, converted_stat)))))</f>
        <v/>
      </c>
      <c r="Q388" s="30" t="str">
        <f t="array" ref="Q388">IF($A388="", "", LET(bbgm_stat, INDEX(Players!$A387:$P387, MATCH(Q$2, Players!$A$1:$P$1, 0)), perc_75, VLOOKUP(Q$2, Percentiles!$A$45:$I$59, 6, FALSE), perc_90, VLOOKUP(Q$2, Percentiles!$A$45:$I$59, 7, FALSE), perc_95, VLOOKUP(Q$2, Percentiles!$A$45:$I$59, 8, FALSE), perc_85, perc_75 + (perc_90 - perc_75) * (2/3), converted_stat, '2K_Ratings'!Q388, IF(bbgm_stat &gt;= perc_95, converted_stat * 3, IF(bbgm_stat &gt;= perc_90, converted_stat * 2, IF(bbgm_stat &gt;= perc_85, converted_stat * 1.5, converted_stat)))))</f>
        <v/>
      </c>
      <c r="R388" s="30" t="str">
        <f t="array" ref="R388">IF($A388="", "", LET(bbgm_stat, INDEX(Players!$A387:$P387, MATCH(R$2, Players!$A$1:$P$1, 0)), perc_75, VLOOKUP(R$2, Percentiles!$A$45:$I$59, 6, FALSE), perc_90, VLOOKUP(R$2, Percentiles!$A$45:$I$59, 7, FALSE), perc_95, VLOOKUP(R$2, Percentiles!$A$45:$I$59, 8, FALSE), perc_85, perc_75 + (perc_90 - perc_75) * (2/3), converted_stat, '2K_Ratings'!R388, IF(bbgm_stat &gt;= perc_95, converted_stat * 3, IF(bbgm_stat &gt;= perc_90, converted_stat * 2, IF(bbgm_stat &gt;= perc_85, converted_stat * 1.5, converted_stat)))))</f>
        <v/>
      </c>
      <c r="S388" s="30" t="str">
        <f t="array" ref="S388">IF($A388="", "", LET(bbgm_stat, INDEX(Players!$A387:$P387, MATCH(S$2, Players!$A$1:$P$1, 0)), perc_75, VLOOKUP(S$2, Percentiles!$A$45:$I$59, 6, FALSE), perc_90, VLOOKUP(S$2, Percentiles!$A$45:$I$59, 7, FALSE), perc_95, VLOOKUP(S$2, Percentiles!$A$45:$I$59, 8, FALSE), perc_85, perc_75 + (perc_90 - perc_75) * (2/3), converted_stat, '2K_Ratings'!S388, IF(bbgm_stat &gt;= perc_95, converted_stat * 3, IF(bbgm_stat &gt;= perc_90, converted_stat * 2, IF(bbgm_stat &gt;= perc_85, converted_stat * 1.5, converted_stat)))))</f>
        <v/>
      </c>
      <c r="T388" s="30" t="str">
        <f t="array" ref="T388">IF($A388="", "", LET(bbgm_stat, INDEX(Players!$A387:$P387, MATCH(T$2, Players!$A$1:$P$1, 0)), perc_75, VLOOKUP(T$2, Percentiles!$A$45:$I$59, 6, FALSE), perc_90, VLOOKUP(T$2, Percentiles!$A$45:$I$59, 7, FALSE), perc_95, VLOOKUP(T$2, Percentiles!$A$45:$I$59, 8, FALSE), perc_85, perc_75 + (perc_90 - perc_75) * (2/3), converted_stat, '2K_Ratings'!T388, IF(bbgm_stat &gt;= perc_95, converted_stat * 3, IF(bbgm_stat &gt;= perc_90, converted_stat * 2, IF(bbgm_stat &gt;= perc_85, converted_stat * 1.5, converted_stat)))))</f>
        <v/>
      </c>
      <c r="U388" s="30" t="str">
        <f t="array" ref="U388">IF($A388="", "", LET(bbgm_stat, INDEX(Players!$A387:$P387, MATCH(U$2, Players!$A$1:$P$1, 0)), perc_75, VLOOKUP(U$2, Percentiles!$A$45:$I$59, 6, FALSE), perc_90, VLOOKUP(U$2, Percentiles!$A$45:$I$59, 7, FALSE), perc_95, VLOOKUP(U$2, Percentiles!$A$45:$I$59, 8, FALSE), perc_85, perc_75 + (perc_90 - perc_75) * (2/3), converted_stat, '2K_Ratings'!U388, IF(bbgm_stat &gt;= perc_95, converted_stat * 3, IF(bbgm_stat &gt;= perc_90, converted_stat * 2, IF(bbgm_stat &gt;= perc_85, converted_stat * 1.5, converted_stat)))))</f>
        <v/>
      </c>
      <c r="V388" s="30" t="str">
        <f t="array" ref="V388">IF($A388="", "", LET(bbgm_stat, INDEX(Players!$A387:$P387, MATCH(V$2, Players!$A$1:$P$1, 0)), perc_75, VLOOKUP(V$2, Percentiles!$A$45:$I$59, 6, FALSE), perc_90, VLOOKUP(V$2, Percentiles!$A$45:$I$59, 7, FALSE), perc_95, VLOOKUP(V$2, Percentiles!$A$45:$I$59, 8, FALSE), perc_85, perc_75 + (perc_90 - perc_75) * (2/3), converted_stat, '2K_Ratings'!V388, IF(bbgm_stat &gt;= perc_95, converted_stat * 3, IF(bbgm_stat &gt;= perc_90, converted_stat * 2, IF(bbgm_stat &gt;= perc_85, converted_stat * 1.5, converted_stat)))))</f>
        <v/>
      </c>
      <c r="W388" s="30" t="str">
        <f t="array" ref="W388">IF($A388="", "", LET(bbgm_stat, INDEX(Players!$A387:$P387, MATCH(W$2, Players!$A$1:$P$1, 0)), perc_75, VLOOKUP(W$2, Percentiles!$A$45:$I$59, 6, FALSE), perc_90, VLOOKUP(W$2, Percentiles!$A$45:$I$59, 7, FALSE), perc_95, VLOOKUP(W$2, Percentiles!$A$45:$I$59, 8, FALSE), perc_85, perc_75 + (perc_90 - perc_75) * (2/3), converted_stat, '2K_Ratings'!W388, IF(bbgm_stat &gt;= perc_95, converted_stat * 3, IF(bbgm_stat &gt;= perc_90, converted_stat * 2, IF(bbgm_stat &gt;= perc_85, converted_stat * 1.5, converted_stat)))))</f>
        <v/>
      </c>
    </row>
    <row r="389">
      <c r="A389" s="30"/>
      <c r="B389" s="30" t="str">
        <f t="array" ref="B389">IF($A389="", "", LET(bbgm_stat, INDEX(Players!$A388:$P388, MATCH(B$2, Players!$A$1:$P$1, 0)), perc_75, VLOOKUP(B$2, Percentiles!$A$45:$I$59, 6, FALSE), perc_90, VLOOKUP(B$2, Percentiles!$A$45:$I$59, 7, FALSE), perc_95, VLOOKUP(B$2, Percentiles!$A$45:$I$59, 8, FALSE), perc_85, perc_75 + (perc_90 - perc_75) * (2/3), converted_stat, '2K_Ratings'!B389, IF(bbgm_stat &gt;= perc_95, converted_stat * 3, IF(bbgm_stat &gt;= perc_90, converted_stat * 2, IF(bbgm_stat &gt;= perc_85, converted_stat * 1.5, converted_stat)))))</f>
        <v/>
      </c>
      <c r="C389" s="30" t="str">
        <f t="array" ref="C389">IF($A389="", "", LET(bbgm_stat, INDEX(Players!$A388:$P388, MATCH(C$2, Players!$A$1:$P$1, 0)), perc_75, VLOOKUP(C$2, Percentiles!$A$45:$I$59, 6, FALSE), perc_90, VLOOKUP(C$2, Percentiles!$A$45:$I$59, 7, FALSE), perc_95, VLOOKUP(C$2, Percentiles!$A$45:$I$59, 8, FALSE), perc_85, perc_75 + (perc_90 - perc_75) * (2/3), converted_stat, '2K_Ratings'!C389, IF(bbgm_stat &gt;= perc_95, converted_stat * 3, IF(bbgm_stat &gt;= perc_90, converted_stat * 2, IF(bbgm_stat &gt;= perc_85, converted_stat * 1.5, converted_stat)))))</f>
        <v/>
      </c>
      <c r="D389" s="30" t="str">
        <f t="array" ref="D389">IF($A389="", "", LET(bbgm_stat, INDEX(Players!$A388:$P388, MATCH(D$2, Players!$A$1:$P$1, 0)), perc_75, VLOOKUP(D$2, Percentiles!$A$45:$I$59, 6, FALSE), perc_90, VLOOKUP(D$2, Percentiles!$A$45:$I$59, 7, FALSE), perc_95, VLOOKUP(D$2, Percentiles!$A$45:$I$59, 8, FALSE), perc_85, perc_75 + (perc_90 - perc_75) * (2/3), converted_stat, '2K_Ratings'!D389, IF(bbgm_stat &gt;= perc_95, converted_stat * 3, IF(bbgm_stat &gt;= perc_90, converted_stat * 2, IF(bbgm_stat &gt;= perc_85, converted_stat * 1.5, converted_stat)))))</f>
        <v/>
      </c>
      <c r="E389" s="30" t="str">
        <f t="array" ref="E389">IF($A389="", "", LET(bbgm_stat, INDEX(Players!$A388:$P388, MATCH(E$2, Players!$A$1:$P$1, 0)), perc_75, VLOOKUP(E$2, Percentiles!$A$45:$I$59, 6, FALSE), perc_90, VLOOKUP(E$2, Percentiles!$A$45:$I$59, 7, FALSE), perc_95, VLOOKUP(E$2, Percentiles!$A$45:$I$59, 8, FALSE), perc_85, perc_75 + (perc_90 - perc_75) * (2/3), converted_stat, '2K_Ratings'!E389, IF(bbgm_stat &gt;= perc_95, converted_stat * 3, IF(bbgm_stat &gt;= perc_90, converted_stat * 2, IF(bbgm_stat &gt;= perc_85, converted_stat * 1.5, converted_stat)))))</f>
        <v/>
      </c>
      <c r="F389" s="30" t="str">
        <f t="array" ref="F389">IF($A389="", "", LET(bbgm_stat, INDEX(Players!$A388:$P388, MATCH(F$2, Players!$A$1:$P$1, 0)), perc_75, VLOOKUP(F$2, Percentiles!$A$45:$I$59, 6, FALSE), perc_90, VLOOKUP(F$2, Percentiles!$A$45:$I$59, 7, FALSE), perc_95, VLOOKUP(F$2, Percentiles!$A$45:$I$59, 8, FALSE), perc_85, perc_75 + (perc_90 - perc_75) * (2/3), converted_stat, '2K_Ratings'!F389, IF(bbgm_stat &gt;= perc_95, converted_stat * 3, IF(bbgm_stat &gt;= perc_90, converted_stat * 2, IF(bbgm_stat &gt;= perc_85, converted_stat * 1.5, converted_stat)))))</f>
        <v/>
      </c>
      <c r="G389" s="30" t="str">
        <f t="array" ref="G389">IF($A389="", "", LET(bbgm_stat, INDEX(Players!$A388:$P388, MATCH(G$2, Players!$A$1:$P$1, 0)), perc_75, VLOOKUP(G$2, Percentiles!$A$45:$I$59, 6, FALSE), perc_90, VLOOKUP(G$2, Percentiles!$A$45:$I$59, 7, FALSE), perc_95, VLOOKUP(G$2, Percentiles!$A$45:$I$59, 8, FALSE), perc_85, perc_75 + (perc_90 - perc_75) * (2/3), converted_stat, '2K_Ratings'!G389, IF(bbgm_stat &gt;= perc_95, converted_stat * 3, IF(bbgm_stat &gt;= perc_90, converted_stat * 2, IF(bbgm_stat &gt;= perc_85, converted_stat * 1.5, converted_stat)))))</f>
        <v/>
      </c>
      <c r="H389" s="30" t="str">
        <f t="array" ref="H389">IF($A389="", "", LET(bbgm_stat, INDEX(Players!$A388:$P388, MATCH(H$2, Players!$A$1:$P$1, 0)), perc_75, VLOOKUP(H$2, Percentiles!$A$45:$I$59, 6, FALSE), perc_90, VLOOKUP(H$2, Percentiles!$A$45:$I$59, 7, FALSE), perc_95, VLOOKUP(H$2, Percentiles!$A$45:$I$59, 8, FALSE), perc_85, perc_75 + (perc_90 - perc_75) * (2/3), converted_stat, '2K_Ratings'!H389, IF(bbgm_stat &gt;= perc_95, converted_stat * 3, IF(bbgm_stat &gt;= perc_90, converted_stat * 2, IF(bbgm_stat &gt;= perc_85, converted_stat * 1.5, converted_stat)))))</f>
        <v/>
      </c>
      <c r="I389" s="30" t="str">
        <f t="array" ref="I389">IF($A389="", "", LET(bbgm_stat, INDEX(Players!$A388:$P388, MATCH(I$2, Players!$A$1:$P$1, 0)), perc_75, VLOOKUP(I$2, Percentiles!$A$45:$I$59, 6, FALSE), perc_90, VLOOKUP(I$2, Percentiles!$A$45:$I$59, 7, FALSE), perc_95, VLOOKUP(I$2, Percentiles!$A$45:$I$59, 8, FALSE), perc_85, perc_75 + (perc_90 - perc_75) * (2/3), converted_stat, '2K_Ratings'!I389, IF(bbgm_stat &gt;= perc_95, converted_stat * 3, IF(bbgm_stat &gt;= perc_90, converted_stat * 2, IF(bbgm_stat &gt;= perc_85, converted_stat * 1.5, converted_stat)))))</f>
        <v/>
      </c>
      <c r="J389" s="30" t="str">
        <f t="array" ref="J389">IF($A389="", "", LET(bbgm_stat, INDEX(Players!$A388:$P388, MATCH(J$2, Players!$A$1:$P$1, 0)), perc_75, VLOOKUP(J$2, Percentiles!$A$45:$I$59, 6, FALSE), perc_90, VLOOKUP(J$2, Percentiles!$A$45:$I$59, 7, FALSE), perc_95, VLOOKUP(J$2, Percentiles!$A$45:$I$59, 8, FALSE), perc_85, perc_75 + (perc_90 - perc_75) * (2/3), converted_stat, '2K_Ratings'!J389, IF(bbgm_stat &gt;= perc_95, converted_stat * 3, IF(bbgm_stat &gt;= perc_90, converted_stat * 2, IF(bbgm_stat &gt;= perc_85, converted_stat * 1.5, converted_stat)))))</f>
        <v/>
      </c>
      <c r="K389" s="30" t="str">
        <f t="array" ref="K389">IF($A389="", "", LET(bbgm_stat, INDEX(Players!$A388:$P388, MATCH(K$2, Players!$A$1:$P$1, 0)), perc_75, VLOOKUP(K$2, Percentiles!$A$45:$I$59, 6, FALSE), perc_90, VLOOKUP(K$2, Percentiles!$A$45:$I$59, 7, FALSE), perc_95, VLOOKUP(K$2, Percentiles!$A$45:$I$59, 8, FALSE), perc_85, perc_75 + (perc_90 - perc_75) * (2/3), converted_stat, '2K_Ratings'!K389, IF(bbgm_stat &gt;= perc_95, converted_stat * 3, IF(bbgm_stat &gt;= perc_90, converted_stat * 2, IF(bbgm_stat &gt;= perc_85, converted_stat * 1.5, converted_stat)))))</f>
        <v/>
      </c>
      <c r="L389" s="30" t="str">
        <f t="array" ref="L389">IF($A389="", "", LET(bbgm_stat, INDEX(Players!$A388:$P388, MATCH(L$2, Players!$A$1:$P$1, 0)), perc_75, VLOOKUP(L$2, Percentiles!$A$45:$I$59, 6, FALSE), perc_90, VLOOKUP(L$2, Percentiles!$A$45:$I$59, 7, FALSE), perc_95, VLOOKUP(L$2, Percentiles!$A$45:$I$59, 8, FALSE), perc_85, perc_75 + (perc_90 - perc_75) * (2/3), converted_stat, '2K_Ratings'!L389, IF(bbgm_stat &gt;= perc_95, converted_stat * 3, IF(bbgm_stat &gt;= perc_90, converted_stat * 2, IF(bbgm_stat &gt;= perc_85, converted_stat * 1.5, converted_stat)))))</f>
        <v/>
      </c>
      <c r="M389" s="30" t="str">
        <f t="array" ref="M389">IF($A389="", "", LET(bbgm_stat, INDEX(Players!$A388:$P388, MATCH(M$2, Players!$A$1:$P$1, 0)), perc_75, VLOOKUP(M$2, Percentiles!$A$45:$I$59, 6, FALSE), perc_90, VLOOKUP(M$2, Percentiles!$A$45:$I$59, 7, FALSE), perc_95, VLOOKUP(M$2, Percentiles!$A$45:$I$59, 8, FALSE), perc_85, perc_75 + (perc_90 - perc_75) * (2/3), converted_stat, '2K_Ratings'!M389, IF(bbgm_stat &gt;= perc_95, converted_stat * 3, IF(bbgm_stat &gt;= perc_90, converted_stat * 2, IF(bbgm_stat &gt;= perc_85, converted_stat * 1.5, converted_stat)))))</f>
        <v/>
      </c>
      <c r="N389" s="30" t="str">
        <f t="array" ref="N389">IF($A389="", "", LET(bbgm_stat, INDEX(Players!$A388:$P388, MATCH(N$2, Players!$A$1:$P$1, 0)), perc_75, VLOOKUP(N$2, Percentiles!$A$45:$I$59, 6, FALSE), perc_90, VLOOKUP(N$2, Percentiles!$A$45:$I$59, 7, FALSE), perc_95, VLOOKUP(N$2, Percentiles!$A$45:$I$59, 8, FALSE), perc_85, perc_75 + (perc_90 - perc_75) * (2/3), converted_stat, '2K_Ratings'!N389, IF(bbgm_stat &gt;= perc_95, converted_stat * 3, IF(bbgm_stat &gt;= perc_90, converted_stat * 2, IF(bbgm_stat &gt;= perc_85, converted_stat * 1.5, converted_stat)))))</f>
        <v/>
      </c>
      <c r="O389" s="30" t="str">
        <f t="array" ref="O389">IF($A389="", "", LET(bbgm_stat, INDEX(Players!$A388:$P388, MATCH(O$2, Players!$A$1:$P$1, 0)), perc_75, VLOOKUP(O$2, Percentiles!$A$45:$I$59, 6, FALSE), perc_90, VLOOKUP(O$2, Percentiles!$A$45:$I$59, 7, FALSE), perc_95, VLOOKUP(O$2, Percentiles!$A$45:$I$59, 8, FALSE), perc_85, perc_75 + (perc_90 - perc_75) * (2/3), converted_stat, '2K_Ratings'!O389, IF(bbgm_stat &gt;= perc_95, converted_stat * 3, IF(bbgm_stat &gt;= perc_90, converted_stat * 2, IF(bbgm_stat &gt;= perc_85, converted_stat * 1.5, converted_stat)))))</f>
        <v/>
      </c>
      <c r="P389" s="30" t="str">
        <f t="array" ref="P389">IF($A389="", "", LET(bbgm_stat, INDEX(Players!$A388:$P388, MATCH(P$2, Players!$A$1:$P$1, 0)), perc_75, VLOOKUP(P$2, Percentiles!$A$45:$I$59, 6, FALSE), perc_90, VLOOKUP(P$2, Percentiles!$A$45:$I$59, 7, FALSE), perc_95, VLOOKUP(P$2, Percentiles!$A$45:$I$59, 8, FALSE), perc_85, perc_75 + (perc_90 - perc_75) * (2/3), converted_stat, '2K_Ratings'!P389, IF(bbgm_stat &gt;= perc_95, converted_stat * 3, IF(bbgm_stat &gt;= perc_90, converted_stat * 2, IF(bbgm_stat &gt;= perc_85, converted_stat * 1.5, converted_stat)))))</f>
        <v/>
      </c>
      <c r="Q389" s="30" t="str">
        <f t="array" ref="Q389">IF($A389="", "", LET(bbgm_stat, INDEX(Players!$A388:$P388, MATCH(Q$2, Players!$A$1:$P$1, 0)), perc_75, VLOOKUP(Q$2, Percentiles!$A$45:$I$59, 6, FALSE), perc_90, VLOOKUP(Q$2, Percentiles!$A$45:$I$59, 7, FALSE), perc_95, VLOOKUP(Q$2, Percentiles!$A$45:$I$59, 8, FALSE), perc_85, perc_75 + (perc_90 - perc_75) * (2/3), converted_stat, '2K_Ratings'!Q389, IF(bbgm_stat &gt;= perc_95, converted_stat * 3, IF(bbgm_stat &gt;= perc_90, converted_stat * 2, IF(bbgm_stat &gt;= perc_85, converted_stat * 1.5, converted_stat)))))</f>
        <v/>
      </c>
      <c r="R389" s="30" t="str">
        <f t="array" ref="R389">IF($A389="", "", LET(bbgm_stat, INDEX(Players!$A388:$P388, MATCH(R$2, Players!$A$1:$P$1, 0)), perc_75, VLOOKUP(R$2, Percentiles!$A$45:$I$59, 6, FALSE), perc_90, VLOOKUP(R$2, Percentiles!$A$45:$I$59, 7, FALSE), perc_95, VLOOKUP(R$2, Percentiles!$A$45:$I$59, 8, FALSE), perc_85, perc_75 + (perc_90 - perc_75) * (2/3), converted_stat, '2K_Ratings'!R389, IF(bbgm_stat &gt;= perc_95, converted_stat * 3, IF(bbgm_stat &gt;= perc_90, converted_stat * 2, IF(bbgm_stat &gt;= perc_85, converted_stat * 1.5, converted_stat)))))</f>
        <v/>
      </c>
      <c r="S389" s="30" t="str">
        <f t="array" ref="S389">IF($A389="", "", LET(bbgm_stat, INDEX(Players!$A388:$P388, MATCH(S$2, Players!$A$1:$P$1, 0)), perc_75, VLOOKUP(S$2, Percentiles!$A$45:$I$59, 6, FALSE), perc_90, VLOOKUP(S$2, Percentiles!$A$45:$I$59, 7, FALSE), perc_95, VLOOKUP(S$2, Percentiles!$A$45:$I$59, 8, FALSE), perc_85, perc_75 + (perc_90 - perc_75) * (2/3), converted_stat, '2K_Ratings'!S389, IF(bbgm_stat &gt;= perc_95, converted_stat * 3, IF(bbgm_stat &gt;= perc_90, converted_stat * 2, IF(bbgm_stat &gt;= perc_85, converted_stat * 1.5, converted_stat)))))</f>
        <v/>
      </c>
      <c r="T389" s="30" t="str">
        <f t="array" ref="T389">IF($A389="", "", LET(bbgm_stat, INDEX(Players!$A388:$P388, MATCH(T$2, Players!$A$1:$P$1, 0)), perc_75, VLOOKUP(T$2, Percentiles!$A$45:$I$59, 6, FALSE), perc_90, VLOOKUP(T$2, Percentiles!$A$45:$I$59, 7, FALSE), perc_95, VLOOKUP(T$2, Percentiles!$A$45:$I$59, 8, FALSE), perc_85, perc_75 + (perc_90 - perc_75) * (2/3), converted_stat, '2K_Ratings'!T389, IF(bbgm_stat &gt;= perc_95, converted_stat * 3, IF(bbgm_stat &gt;= perc_90, converted_stat * 2, IF(bbgm_stat &gt;= perc_85, converted_stat * 1.5, converted_stat)))))</f>
        <v/>
      </c>
      <c r="U389" s="30" t="str">
        <f t="array" ref="U389">IF($A389="", "", LET(bbgm_stat, INDEX(Players!$A388:$P388, MATCH(U$2, Players!$A$1:$P$1, 0)), perc_75, VLOOKUP(U$2, Percentiles!$A$45:$I$59, 6, FALSE), perc_90, VLOOKUP(U$2, Percentiles!$A$45:$I$59, 7, FALSE), perc_95, VLOOKUP(U$2, Percentiles!$A$45:$I$59, 8, FALSE), perc_85, perc_75 + (perc_90 - perc_75) * (2/3), converted_stat, '2K_Ratings'!U389, IF(bbgm_stat &gt;= perc_95, converted_stat * 3, IF(bbgm_stat &gt;= perc_90, converted_stat * 2, IF(bbgm_stat &gt;= perc_85, converted_stat * 1.5, converted_stat)))))</f>
        <v/>
      </c>
      <c r="V389" s="30" t="str">
        <f t="array" ref="V389">IF($A389="", "", LET(bbgm_stat, INDEX(Players!$A388:$P388, MATCH(V$2, Players!$A$1:$P$1, 0)), perc_75, VLOOKUP(V$2, Percentiles!$A$45:$I$59, 6, FALSE), perc_90, VLOOKUP(V$2, Percentiles!$A$45:$I$59, 7, FALSE), perc_95, VLOOKUP(V$2, Percentiles!$A$45:$I$59, 8, FALSE), perc_85, perc_75 + (perc_90 - perc_75) * (2/3), converted_stat, '2K_Ratings'!V389, IF(bbgm_stat &gt;= perc_95, converted_stat * 3, IF(bbgm_stat &gt;= perc_90, converted_stat * 2, IF(bbgm_stat &gt;= perc_85, converted_stat * 1.5, converted_stat)))))</f>
        <v/>
      </c>
      <c r="W389" s="30" t="str">
        <f t="array" ref="W389">IF($A389="", "", LET(bbgm_stat, INDEX(Players!$A388:$P388, MATCH(W$2, Players!$A$1:$P$1, 0)), perc_75, VLOOKUP(W$2, Percentiles!$A$45:$I$59, 6, FALSE), perc_90, VLOOKUP(W$2, Percentiles!$A$45:$I$59, 7, FALSE), perc_95, VLOOKUP(W$2, Percentiles!$A$45:$I$59, 8, FALSE), perc_85, perc_75 + (perc_90 - perc_75) * (2/3), converted_stat, '2K_Ratings'!W389, IF(bbgm_stat &gt;= perc_95, converted_stat * 3, IF(bbgm_stat &gt;= perc_90, converted_stat * 2, IF(bbgm_stat &gt;= perc_85, converted_stat * 1.5, converted_stat)))))</f>
        <v/>
      </c>
    </row>
    <row r="390">
      <c r="A390" s="30"/>
      <c r="B390" s="30" t="str">
        <f t="array" ref="B390">IF($A390="", "", LET(bbgm_stat, INDEX(Players!$A389:$P389, MATCH(B$2, Players!$A$1:$P$1, 0)), perc_75, VLOOKUP(B$2, Percentiles!$A$45:$I$59, 6, FALSE), perc_90, VLOOKUP(B$2, Percentiles!$A$45:$I$59, 7, FALSE), perc_95, VLOOKUP(B$2, Percentiles!$A$45:$I$59, 8, FALSE), perc_85, perc_75 + (perc_90 - perc_75) * (2/3), converted_stat, '2K_Ratings'!B390, IF(bbgm_stat &gt;= perc_95, converted_stat * 3, IF(bbgm_stat &gt;= perc_90, converted_stat * 2, IF(bbgm_stat &gt;= perc_85, converted_stat * 1.5, converted_stat)))))</f>
        <v/>
      </c>
      <c r="C390" s="30" t="str">
        <f t="array" ref="C390">IF($A390="", "", LET(bbgm_stat, INDEX(Players!$A389:$P389, MATCH(C$2, Players!$A$1:$P$1, 0)), perc_75, VLOOKUP(C$2, Percentiles!$A$45:$I$59, 6, FALSE), perc_90, VLOOKUP(C$2, Percentiles!$A$45:$I$59, 7, FALSE), perc_95, VLOOKUP(C$2, Percentiles!$A$45:$I$59, 8, FALSE), perc_85, perc_75 + (perc_90 - perc_75) * (2/3), converted_stat, '2K_Ratings'!C390, IF(bbgm_stat &gt;= perc_95, converted_stat * 3, IF(bbgm_stat &gt;= perc_90, converted_stat * 2, IF(bbgm_stat &gt;= perc_85, converted_stat * 1.5, converted_stat)))))</f>
        <v/>
      </c>
      <c r="D390" s="30" t="str">
        <f t="array" ref="D390">IF($A390="", "", LET(bbgm_stat, INDEX(Players!$A389:$P389, MATCH(D$2, Players!$A$1:$P$1, 0)), perc_75, VLOOKUP(D$2, Percentiles!$A$45:$I$59, 6, FALSE), perc_90, VLOOKUP(D$2, Percentiles!$A$45:$I$59, 7, FALSE), perc_95, VLOOKUP(D$2, Percentiles!$A$45:$I$59, 8, FALSE), perc_85, perc_75 + (perc_90 - perc_75) * (2/3), converted_stat, '2K_Ratings'!D390, IF(bbgm_stat &gt;= perc_95, converted_stat * 3, IF(bbgm_stat &gt;= perc_90, converted_stat * 2, IF(bbgm_stat &gt;= perc_85, converted_stat * 1.5, converted_stat)))))</f>
        <v/>
      </c>
      <c r="E390" s="30" t="str">
        <f t="array" ref="E390">IF($A390="", "", LET(bbgm_stat, INDEX(Players!$A389:$P389, MATCH(E$2, Players!$A$1:$P$1, 0)), perc_75, VLOOKUP(E$2, Percentiles!$A$45:$I$59, 6, FALSE), perc_90, VLOOKUP(E$2, Percentiles!$A$45:$I$59, 7, FALSE), perc_95, VLOOKUP(E$2, Percentiles!$A$45:$I$59, 8, FALSE), perc_85, perc_75 + (perc_90 - perc_75) * (2/3), converted_stat, '2K_Ratings'!E390, IF(bbgm_stat &gt;= perc_95, converted_stat * 3, IF(bbgm_stat &gt;= perc_90, converted_stat * 2, IF(bbgm_stat &gt;= perc_85, converted_stat * 1.5, converted_stat)))))</f>
        <v/>
      </c>
      <c r="F390" s="30" t="str">
        <f t="array" ref="F390">IF($A390="", "", LET(bbgm_stat, INDEX(Players!$A389:$P389, MATCH(F$2, Players!$A$1:$P$1, 0)), perc_75, VLOOKUP(F$2, Percentiles!$A$45:$I$59, 6, FALSE), perc_90, VLOOKUP(F$2, Percentiles!$A$45:$I$59, 7, FALSE), perc_95, VLOOKUP(F$2, Percentiles!$A$45:$I$59, 8, FALSE), perc_85, perc_75 + (perc_90 - perc_75) * (2/3), converted_stat, '2K_Ratings'!F390, IF(bbgm_stat &gt;= perc_95, converted_stat * 3, IF(bbgm_stat &gt;= perc_90, converted_stat * 2, IF(bbgm_stat &gt;= perc_85, converted_stat * 1.5, converted_stat)))))</f>
        <v/>
      </c>
      <c r="G390" s="30" t="str">
        <f t="array" ref="G390">IF($A390="", "", LET(bbgm_stat, INDEX(Players!$A389:$P389, MATCH(G$2, Players!$A$1:$P$1, 0)), perc_75, VLOOKUP(G$2, Percentiles!$A$45:$I$59, 6, FALSE), perc_90, VLOOKUP(G$2, Percentiles!$A$45:$I$59, 7, FALSE), perc_95, VLOOKUP(G$2, Percentiles!$A$45:$I$59, 8, FALSE), perc_85, perc_75 + (perc_90 - perc_75) * (2/3), converted_stat, '2K_Ratings'!G390, IF(bbgm_stat &gt;= perc_95, converted_stat * 3, IF(bbgm_stat &gt;= perc_90, converted_stat * 2, IF(bbgm_stat &gt;= perc_85, converted_stat * 1.5, converted_stat)))))</f>
        <v/>
      </c>
      <c r="H390" s="30" t="str">
        <f t="array" ref="H390">IF($A390="", "", LET(bbgm_stat, INDEX(Players!$A389:$P389, MATCH(H$2, Players!$A$1:$P$1, 0)), perc_75, VLOOKUP(H$2, Percentiles!$A$45:$I$59, 6, FALSE), perc_90, VLOOKUP(H$2, Percentiles!$A$45:$I$59, 7, FALSE), perc_95, VLOOKUP(H$2, Percentiles!$A$45:$I$59, 8, FALSE), perc_85, perc_75 + (perc_90 - perc_75) * (2/3), converted_stat, '2K_Ratings'!H390, IF(bbgm_stat &gt;= perc_95, converted_stat * 3, IF(bbgm_stat &gt;= perc_90, converted_stat * 2, IF(bbgm_stat &gt;= perc_85, converted_stat * 1.5, converted_stat)))))</f>
        <v/>
      </c>
      <c r="I390" s="30" t="str">
        <f t="array" ref="I390">IF($A390="", "", LET(bbgm_stat, INDEX(Players!$A389:$P389, MATCH(I$2, Players!$A$1:$P$1, 0)), perc_75, VLOOKUP(I$2, Percentiles!$A$45:$I$59, 6, FALSE), perc_90, VLOOKUP(I$2, Percentiles!$A$45:$I$59, 7, FALSE), perc_95, VLOOKUP(I$2, Percentiles!$A$45:$I$59, 8, FALSE), perc_85, perc_75 + (perc_90 - perc_75) * (2/3), converted_stat, '2K_Ratings'!I390, IF(bbgm_stat &gt;= perc_95, converted_stat * 3, IF(bbgm_stat &gt;= perc_90, converted_stat * 2, IF(bbgm_stat &gt;= perc_85, converted_stat * 1.5, converted_stat)))))</f>
        <v/>
      </c>
      <c r="J390" s="30" t="str">
        <f t="array" ref="J390">IF($A390="", "", LET(bbgm_stat, INDEX(Players!$A389:$P389, MATCH(J$2, Players!$A$1:$P$1, 0)), perc_75, VLOOKUP(J$2, Percentiles!$A$45:$I$59, 6, FALSE), perc_90, VLOOKUP(J$2, Percentiles!$A$45:$I$59, 7, FALSE), perc_95, VLOOKUP(J$2, Percentiles!$A$45:$I$59, 8, FALSE), perc_85, perc_75 + (perc_90 - perc_75) * (2/3), converted_stat, '2K_Ratings'!J390, IF(bbgm_stat &gt;= perc_95, converted_stat * 3, IF(bbgm_stat &gt;= perc_90, converted_stat * 2, IF(bbgm_stat &gt;= perc_85, converted_stat * 1.5, converted_stat)))))</f>
        <v/>
      </c>
      <c r="K390" s="30" t="str">
        <f t="array" ref="K390">IF($A390="", "", LET(bbgm_stat, INDEX(Players!$A389:$P389, MATCH(K$2, Players!$A$1:$P$1, 0)), perc_75, VLOOKUP(K$2, Percentiles!$A$45:$I$59, 6, FALSE), perc_90, VLOOKUP(K$2, Percentiles!$A$45:$I$59, 7, FALSE), perc_95, VLOOKUP(K$2, Percentiles!$A$45:$I$59, 8, FALSE), perc_85, perc_75 + (perc_90 - perc_75) * (2/3), converted_stat, '2K_Ratings'!K390, IF(bbgm_stat &gt;= perc_95, converted_stat * 3, IF(bbgm_stat &gt;= perc_90, converted_stat * 2, IF(bbgm_stat &gt;= perc_85, converted_stat * 1.5, converted_stat)))))</f>
        <v/>
      </c>
      <c r="L390" s="30" t="str">
        <f t="array" ref="L390">IF($A390="", "", LET(bbgm_stat, INDEX(Players!$A389:$P389, MATCH(L$2, Players!$A$1:$P$1, 0)), perc_75, VLOOKUP(L$2, Percentiles!$A$45:$I$59, 6, FALSE), perc_90, VLOOKUP(L$2, Percentiles!$A$45:$I$59, 7, FALSE), perc_95, VLOOKUP(L$2, Percentiles!$A$45:$I$59, 8, FALSE), perc_85, perc_75 + (perc_90 - perc_75) * (2/3), converted_stat, '2K_Ratings'!L390, IF(bbgm_stat &gt;= perc_95, converted_stat * 3, IF(bbgm_stat &gt;= perc_90, converted_stat * 2, IF(bbgm_stat &gt;= perc_85, converted_stat * 1.5, converted_stat)))))</f>
        <v/>
      </c>
      <c r="M390" s="30" t="str">
        <f t="array" ref="M390">IF($A390="", "", LET(bbgm_stat, INDEX(Players!$A389:$P389, MATCH(M$2, Players!$A$1:$P$1, 0)), perc_75, VLOOKUP(M$2, Percentiles!$A$45:$I$59, 6, FALSE), perc_90, VLOOKUP(M$2, Percentiles!$A$45:$I$59, 7, FALSE), perc_95, VLOOKUP(M$2, Percentiles!$A$45:$I$59, 8, FALSE), perc_85, perc_75 + (perc_90 - perc_75) * (2/3), converted_stat, '2K_Ratings'!M390, IF(bbgm_stat &gt;= perc_95, converted_stat * 3, IF(bbgm_stat &gt;= perc_90, converted_stat * 2, IF(bbgm_stat &gt;= perc_85, converted_stat * 1.5, converted_stat)))))</f>
        <v/>
      </c>
      <c r="N390" s="30" t="str">
        <f t="array" ref="N390">IF($A390="", "", LET(bbgm_stat, INDEX(Players!$A389:$P389, MATCH(N$2, Players!$A$1:$P$1, 0)), perc_75, VLOOKUP(N$2, Percentiles!$A$45:$I$59, 6, FALSE), perc_90, VLOOKUP(N$2, Percentiles!$A$45:$I$59, 7, FALSE), perc_95, VLOOKUP(N$2, Percentiles!$A$45:$I$59, 8, FALSE), perc_85, perc_75 + (perc_90 - perc_75) * (2/3), converted_stat, '2K_Ratings'!N390, IF(bbgm_stat &gt;= perc_95, converted_stat * 3, IF(bbgm_stat &gt;= perc_90, converted_stat * 2, IF(bbgm_stat &gt;= perc_85, converted_stat * 1.5, converted_stat)))))</f>
        <v/>
      </c>
      <c r="O390" s="30" t="str">
        <f t="array" ref="O390">IF($A390="", "", LET(bbgm_stat, INDEX(Players!$A389:$P389, MATCH(O$2, Players!$A$1:$P$1, 0)), perc_75, VLOOKUP(O$2, Percentiles!$A$45:$I$59, 6, FALSE), perc_90, VLOOKUP(O$2, Percentiles!$A$45:$I$59, 7, FALSE), perc_95, VLOOKUP(O$2, Percentiles!$A$45:$I$59, 8, FALSE), perc_85, perc_75 + (perc_90 - perc_75) * (2/3), converted_stat, '2K_Ratings'!O390, IF(bbgm_stat &gt;= perc_95, converted_stat * 3, IF(bbgm_stat &gt;= perc_90, converted_stat * 2, IF(bbgm_stat &gt;= perc_85, converted_stat * 1.5, converted_stat)))))</f>
        <v/>
      </c>
      <c r="P390" s="30" t="str">
        <f t="array" ref="P390">IF($A390="", "", LET(bbgm_stat, INDEX(Players!$A389:$P389, MATCH(P$2, Players!$A$1:$P$1, 0)), perc_75, VLOOKUP(P$2, Percentiles!$A$45:$I$59, 6, FALSE), perc_90, VLOOKUP(P$2, Percentiles!$A$45:$I$59, 7, FALSE), perc_95, VLOOKUP(P$2, Percentiles!$A$45:$I$59, 8, FALSE), perc_85, perc_75 + (perc_90 - perc_75) * (2/3), converted_stat, '2K_Ratings'!P390, IF(bbgm_stat &gt;= perc_95, converted_stat * 3, IF(bbgm_stat &gt;= perc_90, converted_stat * 2, IF(bbgm_stat &gt;= perc_85, converted_stat * 1.5, converted_stat)))))</f>
        <v/>
      </c>
      <c r="Q390" s="30" t="str">
        <f t="array" ref="Q390">IF($A390="", "", LET(bbgm_stat, INDEX(Players!$A389:$P389, MATCH(Q$2, Players!$A$1:$P$1, 0)), perc_75, VLOOKUP(Q$2, Percentiles!$A$45:$I$59, 6, FALSE), perc_90, VLOOKUP(Q$2, Percentiles!$A$45:$I$59, 7, FALSE), perc_95, VLOOKUP(Q$2, Percentiles!$A$45:$I$59, 8, FALSE), perc_85, perc_75 + (perc_90 - perc_75) * (2/3), converted_stat, '2K_Ratings'!Q390, IF(bbgm_stat &gt;= perc_95, converted_stat * 3, IF(bbgm_stat &gt;= perc_90, converted_stat * 2, IF(bbgm_stat &gt;= perc_85, converted_stat * 1.5, converted_stat)))))</f>
        <v/>
      </c>
      <c r="R390" s="30" t="str">
        <f t="array" ref="R390">IF($A390="", "", LET(bbgm_stat, INDEX(Players!$A389:$P389, MATCH(R$2, Players!$A$1:$P$1, 0)), perc_75, VLOOKUP(R$2, Percentiles!$A$45:$I$59, 6, FALSE), perc_90, VLOOKUP(R$2, Percentiles!$A$45:$I$59, 7, FALSE), perc_95, VLOOKUP(R$2, Percentiles!$A$45:$I$59, 8, FALSE), perc_85, perc_75 + (perc_90 - perc_75) * (2/3), converted_stat, '2K_Ratings'!R390, IF(bbgm_stat &gt;= perc_95, converted_stat * 3, IF(bbgm_stat &gt;= perc_90, converted_stat * 2, IF(bbgm_stat &gt;= perc_85, converted_stat * 1.5, converted_stat)))))</f>
        <v/>
      </c>
      <c r="S390" s="30" t="str">
        <f t="array" ref="S390">IF($A390="", "", LET(bbgm_stat, INDEX(Players!$A389:$P389, MATCH(S$2, Players!$A$1:$P$1, 0)), perc_75, VLOOKUP(S$2, Percentiles!$A$45:$I$59, 6, FALSE), perc_90, VLOOKUP(S$2, Percentiles!$A$45:$I$59, 7, FALSE), perc_95, VLOOKUP(S$2, Percentiles!$A$45:$I$59, 8, FALSE), perc_85, perc_75 + (perc_90 - perc_75) * (2/3), converted_stat, '2K_Ratings'!S390, IF(bbgm_stat &gt;= perc_95, converted_stat * 3, IF(bbgm_stat &gt;= perc_90, converted_stat * 2, IF(bbgm_stat &gt;= perc_85, converted_stat * 1.5, converted_stat)))))</f>
        <v/>
      </c>
      <c r="T390" s="30" t="str">
        <f t="array" ref="T390">IF($A390="", "", LET(bbgm_stat, INDEX(Players!$A389:$P389, MATCH(T$2, Players!$A$1:$P$1, 0)), perc_75, VLOOKUP(T$2, Percentiles!$A$45:$I$59, 6, FALSE), perc_90, VLOOKUP(T$2, Percentiles!$A$45:$I$59, 7, FALSE), perc_95, VLOOKUP(T$2, Percentiles!$A$45:$I$59, 8, FALSE), perc_85, perc_75 + (perc_90 - perc_75) * (2/3), converted_stat, '2K_Ratings'!T390, IF(bbgm_stat &gt;= perc_95, converted_stat * 3, IF(bbgm_stat &gt;= perc_90, converted_stat * 2, IF(bbgm_stat &gt;= perc_85, converted_stat * 1.5, converted_stat)))))</f>
        <v/>
      </c>
      <c r="U390" s="30" t="str">
        <f t="array" ref="U390">IF($A390="", "", LET(bbgm_stat, INDEX(Players!$A389:$P389, MATCH(U$2, Players!$A$1:$P$1, 0)), perc_75, VLOOKUP(U$2, Percentiles!$A$45:$I$59, 6, FALSE), perc_90, VLOOKUP(U$2, Percentiles!$A$45:$I$59, 7, FALSE), perc_95, VLOOKUP(U$2, Percentiles!$A$45:$I$59, 8, FALSE), perc_85, perc_75 + (perc_90 - perc_75) * (2/3), converted_stat, '2K_Ratings'!U390, IF(bbgm_stat &gt;= perc_95, converted_stat * 3, IF(bbgm_stat &gt;= perc_90, converted_stat * 2, IF(bbgm_stat &gt;= perc_85, converted_stat * 1.5, converted_stat)))))</f>
        <v/>
      </c>
      <c r="V390" s="30" t="str">
        <f t="array" ref="V390">IF($A390="", "", LET(bbgm_stat, INDEX(Players!$A389:$P389, MATCH(V$2, Players!$A$1:$P$1, 0)), perc_75, VLOOKUP(V$2, Percentiles!$A$45:$I$59, 6, FALSE), perc_90, VLOOKUP(V$2, Percentiles!$A$45:$I$59, 7, FALSE), perc_95, VLOOKUP(V$2, Percentiles!$A$45:$I$59, 8, FALSE), perc_85, perc_75 + (perc_90 - perc_75) * (2/3), converted_stat, '2K_Ratings'!V390, IF(bbgm_stat &gt;= perc_95, converted_stat * 3, IF(bbgm_stat &gt;= perc_90, converted_stat * 2, IF(bbgm_stat &gt;= perc_85, converted_stat * 1.5, converted_stat)))))</f>
        <v/>
      </c>
      <c r="W390" s="30" t="str">
        <f t="array" ref="W390">IF($A390="", "", LET(bbgm_stat, INDEX(Players!$A389:$P389, MATCH(W$2, Players!$A$1:$P$1, 0)), perc_75, VLOOKUP(W$2, Percentiles!$A$45:$I$59, 6, FALSE), perc_90, VLOOKUP(W$2, Percentiles!$A$45:$I$59, 7, FALSE), perc_95, VLOOKUP(W$2, Percentiles!$A$45:$I$59, 8, FALSE), perc_85, perc_75 + (perc_90 - perc_75) * (2/3), converted_stat, '2K_Ratings'!W390, IF(bbgm_stat &gt;= perc_95, converted_stat * 3, IF(bbgm_stat &gt;= perc_90, converted_stat * 2, IF(bbgm_stat &gt;= perc_85, converted_stat * 1.5, converted_stat)))))</f>
        <v/>
      </c>
    </row>
    <row r="391">
      <c r="A391" s="30"/>
      <c r="B391" s="30" t="str">
        <f t="array" ref="B391">IF($A391="", "", LET(bbgm_stat, INDEX(Players!$A390:$P390, MATCH(B$2, Players!$A$1:$P$1, 0)), perc_75, VLOOKUP(B$2, Percentiles!$A$45:$I$59, 6, FALSE), perc_90, VLOOKUP(B$2, Percentiles!$A$45:$I$59, 7, FALSE), perc_95, VLOOKUP(B$2, Percentiles!$A$45:$I$59, 8, FALSE), perc_85, perc_75 + (perc_90 - perc_75) * (2/3), converted_stat, '2K_Ratings'!B391, IF(bbgm_stat &gt;= perc_95, converted_stat * 3, IF(bbgm_stat &gt;= perc_90, converted_stat * 2, IF(bbgm_stat &gt;= perc_85, converted_stat * 1.5, converted_stat)))))</f>
        <v/>
      </c>
      <c r="C391" s="30" t="str">
        <f t="array" ref="C391">IF($A391="", "", LET(bbgm_stat, INDEX(Players!$A390:$P390, MATCH(C$2, Players!$A$1:$P$1, 0)), perc_75, VLOOKUP(C$2, Percentiles!$A$45:$I$59, 6, FALSE), perc_90, VLOOKUP(C$2, Percentiles!$A$45:$I$59, 7, FALSE), perc_95, VLOOKUP(C$2, Percentiles!$A$45:$I$59, 8, FALSE), perc_85, perc_75 + (perc_90 - perc_75) * (2/3), converted_stat, '2K_Ratings'!C391, IF(bbgm_stat &gt;= perc_95, converted_stat * 3, IF(bbgm_stat &gt;= perc_90, converted_stat * 2, IF(bbgm_stat &gt;= perc_85, converted_stat * 1.5, converted_stat)))))</f>
        <v/>
      </c>
      <c r="D391" s="30" t="str">
        <f t="array" ref="D391">IF($A391="", "", LET(bbgm_stat, INDEX(Players!$A390:$P390, MATCH(D$2, Players!$A$1:$P$1, 0)), perc_75, VLOOKUP(D$2, Percentiles!$A$45:$I$59, 6, FALSE), perc_90, VLOOKUP(D$2, Percentiles!$A$45:$I$59, 7, FALSE), perc_95, VLOOKUP(D$2, Percentiles!$A$45:$I$59, 8, FALSE), perc_85, perc_75 + (perc_90 - perc_75) * (2/3), converted_stat, '2K_Ratings'!D391, IF(bbgm_stat &gt;= perc_95, converted_stat * 3, IF(bbgm_stat &gt;= perc_90, converted_stat * 2, IF(bbgm_stat &gt;= perc_85, converted_stat * 1.5, converted_stat)))))</f>
        <v/>
      </c>
      <c r="E391" s="30" t="str">
        <f t="array" ref="E391">IF($A391="", "", LET(bbgm_stat, INDEX(Players!$A390:$P390, MATCH(E$2, Players!$A$1:$P$1, 0)), perc_75, VLOOKUP(E$2, Percentiles!$A$45:$I$59, 6, FALSE), perc_90, VLOOKUP(E$2, Percentiles!$A$45:$I$59, 7, FALSE), perc_95, VLOOKUP(E$2, Percentiles!$A$45:$I$59, 8, FALSE), perc_85, perc_75 + (perc_90 - perc_75) * (2/3), converted_stat, '2K_Ratings'!E391, IF(bbgm_stat &gt;= perc_95, converted_stat * 3, IF(bbgm_stat &gt;= perc_90, converted_stat * 2, IF(bbgm_stat &gt;= perc_85, converted_stat * 1.5, converted_stat)))))</f>
        <v/>
      </c>
      <c r="F391" s="30" t="str">
        <f t="array" ref="F391">IF($A391="", "", LET(bbgm_stat, INDEX(Players!$A390:$P390, MATCH(F$2, Players!$A$1:$P$1, 0)), perc_75, VLOOKUP(F$2, Percentiles!$A$45:$I$59, 6, FALSE), perc_90, VLOOKUP(F$2, Percentiles!$A$45:$I$59, 7, FALSE), perc_95, VLOOKUP(F$2, Percentiles!$A$45:$I$59, 8, FALSE), perc_85, perc_75 + (perc_90 - perc_75) * (2/3), converted_stat, '2K_Ratings'!F391, IF(bbgm_stat &gt;= perc_95, converted_stat * 3, IF(bbgm_stat &gt;= perc_90, converted_stat * 2, IF(bbgm_stat &gt;= perc_85, converted_stat * 1.5, converted_stat)))))</f>
        <v/>
      </c>
      <c r="G391" s="30" t="str">
        <f t="array" ref="G391">IF($A391="", "", LET(bbgm_stat, INDEX(Players!$A390:$P390, MATCH(G$2, Players!$A$1:$P$1, 0)), perc_75, VLOOKUP(G$2, Percentiles!$A$45:$I$59, 6, FALSE), perc_90, VLOOKUP(G$2, Percentiles!$A$45:$I$59, 7, FALSE), perc_95, VLOOKUP(G$2, Percentiles!$A$45:$I$59, 8, FALSE), perc_85, perc_75 + (perc_90 - perc_75) * (2/3), converted_stat, '2K_Ratings'!G391, IF(bbgm_stat &gt;= perc_95, converted_stat * 3, IF(bbgm_stat &gt;= perc_90, converted_stat * 2, IF(bbgm_stat &gt;= perc_85, converted_stat * 1.5, converted_stat)))))</f>
        <v/>
      </c>
      <c r="H391" s="30" t="str">
        <f t="array" ref="H391">IF($A391="", "", LET(bbgm_stat, INDEX(Players!$A390:$P390, MATCH(H$2, Players!$A$1:$P$1, 0)), perc_75, VLOOKUP(H$2, Percentiles!$A$45:$I$59, 6, FALSE), perc_90, VLOOKUP(H$2, Percentiles!$A$45:$I$59, 7, FALSE), perc_95, VLOOKUP(H$2, Percentiles!$A$45:$I$59, 8, FALSE), perc_85, perc_75 + (perc_90 - perc_75) * (2/3), converted_stat, '2K_Ratings'!H391, IF(bbgm_stat &gt;= perc_95, converted_stat * 3, IF(bbgm_stat &gt;= perc_90, converted_stat * 2, IF(bbgm_stat &gt;= perc_85, converted_stat * 1.5, converted_stat)))))</f>
        <v/>
      </c>
      <c r="I391" s="30" t="str">
        <f t="array" ref="I391">IF($A391="", "", LET(bbgm_stat, INDEX(Players!$A390:$P390, MATCH(I$2, Players!$A$1:$P$1, 0)), perc_75, VLOOKUP(I$2, Percentiles!$A$45:$I$59, 6, FALSE), perc_90, VLOOKUP(I$2, Percentiles!$A$45:$I$59, 7, FALSE), perc_95, VLOOKUP(I$2, Percentiles!$A$45:$I$59, 8, FALSE), perc_85, perc_75 + (perc_90 - perc_75) * (2/3), converted_stat, '2K_Ratings'!I391, IF(bbgm_stat &gt;= perc_95, converted_stat * 3, IF(bbgm_stat &gt;= perc_90, converted_stat * 2, IF(bbgm_stat &gt;= perc_85, converted_stat * 1.5, converted_stat)))))</f>
        <v/>
      </c>
      <c r="J391" s="30" t="str">
        <f t="array" ref="J391">IF($A391="", "", LET(bbgm_stat, INDEX(Players!$A390:$P390, MATCH(J$2, Players!$A$1:$P$1, 0)), perc_75, VLOOKUP(J$2, Percentiles!$A$45:$I$59, 6, FALSE), perc_90, VLOOKUP(J$2, Percentiles!$A$45:$I$59, 7, FALSE), perc_95, VLOOKUP(J$2, Percentiles!$A$45:$I$59, 8, FALSE), perc_85, perc_75 + (perc_90 - perc_75) * (2/3), converted_stat, '2K_Ratings'!J391, IF(bbgm_stat &gt;= perc_95, converted_stat * 3, IF(bbgm_stat &gt;= perc_90, converted_stat * 2, IF(bbgm_stat &gt;= perc_85, converted_stat * 1.5, converted_stat)))))</f>
        <v/>
      </c>
      <c r="K391" s="30" t="str">
        <f t="array" ref="K391">IF($A391="", "", LET(bbgm_stat, INDEX(Players!$A390:$P390, MATCH(K$2, Players!$A$1:$P$1, 0)), perc_75, VLOOKUP(K$2, Percentiles!$A$45:$I$59, 6, FALSE), perc_90, VLOOKUP(K$2, Percentiles!$A$45:$I$59, 7, FALSE), perc_95, VLOOKUP(K$2, Percentiles!$A$45:$I$59, 8, FALSE), perc_85, perc_75 + (perc_90 - perc_75) * (2/3), converted_stat, '2K_Ratings'!K391, IF(bbgm_stat &gt;= perc_95, converted_stat * 3, IF(bbgm_stat &gt;= perc_90, converted_stat * 2, IF(bbgm_stat &gt;= perc_85, converted_stat * 1.5, converted_stat)))))</f>
        <v/>
      </c>
      <c r="L391" s="30" t="str">
        <f t="array" ref="L391">IF($A391="", "", LET(bbgm_stat, INDEX(Players!$A390:$P390, MATCH(L$2, Players!$A$1:$P$1, 0)), perc_75, VLOOKUP(L$2, Percentiles!$A$45:$I$59, 6, FALSE), perc_90, VLOOKUP(L$2, Percentiles!$A$45:$I$59, 7, FALSE), perc_95, VLOOKUP(L$2, Percentiles!$A$45:$I$59, 8, FALSE), perc_85, perc_75 + (perc_90 - perc_75) * (2/3), converted_stat, '2K_Ratings'!L391, IF(bbgm_stat &gt;= perc_95, converted_stat * 3, IF(bbgm_stat &gt;= perc_90, converted_stat * 2, IF(bbgm_stat &gt;= perc_85, converted_stat * 1.5, converted_stat)))))</f>
        <v/>
      </c>
      <c r="M391" s="30" t="str">
        <f t="array" ref="M391">IF($A391="", "", LET(bbgm_stat, INDEX(Players!$A390:$P390, MATCH(M$2, Players!$A$1:$P$1, 0)), perc_75, VLOOKUP(M$2, Percentiles!$A$45:$I$59, 6, FALSE), perc_90, VLOOKUP(M$2, Percentiles!$A$45:$I$59, 7, FALSE), perc_95, VLOOKUP(M$2, Percentiles!$A$45:$I$59, 8, FALSE), perc_85, perc_75 + (perc_90 - perc_75) * (2/3), converted_stat, '2K_Ratings'!M391, IF(bbgm_stat &gt;= perc_95, converted_stat * 3, IF(bbgm_stat &gt;= perc_90, converted_stat * 2, IF(bbgm_stat &gt;= perc_85, converted_stat * 1.5, converted_stat)))))</f>
        <v/>
      </c>
      <c r="N391" s="30" t="str">
        <f t="array" ref="N391">IF($A391="", "", LET(bbgm_stat, INDEX(Players!$A390:$P390, MATCH(N$2, Players!$A$1:$P$1, 0)), perc_75, VLOOKUP(N$2, Percentiles!$A$45:$I$59, 6, FALSE), perc_90, VLOOKUP(N$2, Percentiles!$A$45:$I$59, 7, FALSE), perc_95, VLOOKUP(N$2, Percentiles!$A$45:$I$59, 8, FALSE), perc_85, perc_75 + (perc_90 - perc_75) * (2/3), converted_stat, '2K_Ratings'!N391, IF(bbgm_stat &gt;= perc_95, converted_stat * 3, IF(bbgm_stat &gt;= perc_90, converted_stat * 2, IF(bbgm_stat &gt;= perc_85, converted_stat * 1.5, converted_stat)))))</f>
        <v/>
      </c>
      <c r="O391" s="30" t="str">
        <f t="array" ref="O391">IF($A391="", "", LET(bbgm_stat, INDEX(Players!$A390:$P390, MATCH(O$2, Players!$A$1:$P$1, 0)), perc_75, VLOOKUP(O$2, Percentiles!$A$45:$I$59, 6, FALSE), perc_90, VLOOKUP(O$2, Percentiles!$A$45:$I$59, 7, FALSE), perc_95, VLOOKUP(O$2, Percentiles!$A$45:$I$59, 8, FALSE), perc_85, perc_75 + (perc_90 - perc_75) * (2/3), converted_stat, '2K_Ratings'!O391, IF(bbgm_stat &gt;= perc_95, converted_stat * 3, IF(bbgm_stat &gt;= perc_90, converted_stat * 2, IF(bbgm_stat &gt;= perc_85, converted_stat * 1.5, converted_stat)))))</f>
        <v/>
      </c>
      <c r="P391" s="30" t="str">
        <f t="array" ref="P391">IF($A391="", "", LET(bbgm_stat, INDEX(Players!$A390:$P390, MATCH(P$2, Players!$A$1:$P$1, 0)), perc_75, VLOOKUP(P$2, Percentiles!$A$45:$I$59, 6, FALSE), perc_90, VLOOKUP(P$2, Percentiles!$A$45:$I$59, 7, FALSE), perc_95, VLOOKUP(P$2, Percentiles!$A$45:$I$59, 8, FALSE), perc_85, perc_75 + (perc_90 - perc_75) * (2/3), converted_stat, '2K_Ratings'!P391, IF(bbgm_stat &gt;= perc_95, converted_stat * 3, IF(bbgm_stat &gt;= perc_90, converted_stat * 2, IF(bbgm_stat &gt;= perc_85, converted_stat * 1.5, converted_stat)))))</f>
        <v/>
      </c>
      <c r="Q391" s="30" t="str">
        <f t="array" ref="Q391">IF($A391="", "", LET(bbgm_stat, INDEX(Players!$A390:$P390, MATCH(Q$2, Players!$A$1:$P$1, 0)), perc_75, VLOOKUP(Q$2, Percentiles!$A$45:$I$59, 6, FALSE), perc_90, VLOOKUP(Q$2, Percentiles!$A$45:$I$59, 7, FALSE), perc_95, VLOOKUP(Q$2, Percentiles!$A$45:$I$59, 8, FALSE), perc_85, perc_75 + (perc_90 - perc_75) * (2/3), converted_stat, '2K_Ratings'!Q391, IF(bbgm_stat &gt;= perc_95, converted_stat * 3, IF(bbgm_stat &gt;= perc_90, converted_stat * 2, IF(bbgm_stat &gt;= perc_85, converted_stat * 1.5, converted_stat)))))</f>
        <v/>
      </c>
      <c r="R391" s="30" t="str">
        <f t="array" ref="R391">IF($A391="", "", LET(bbgm_stat, INDEX(Players!$A390:$P390, MATCH(R$2, Players!$A$1:$P$1, 0)), perc_75, VLOOKUP(R$2, Percentiles!$A$45:$I$59, 6, FALSE), perc_90, VLOOKUP(R$2, Percentiles!$A$45:$I$59, 7, FALSE), perc_95, VLOOKUP(R$2, Percentiles!$A$45:$I$59, 8, FALSE), perc_85, perc_75 + (perc_90 - perc_75) * (2/3), converted_stat, '2K_Ratings'!R391, IF(bbgm_stat &gt;= perc_95, converted_stat * 3, IF(bbgm_stat &gt;= perc_90, converted_stat * 2, IF(bbgm_stat &gt;= perc_85, converted_stat * 1.5, converted_stat)))))</f>
        <v/>
      </c>
      <c r="S391" s="30" t="str">
        <f t="array" ref="S391">IF($A391="", "", LET(bbgm_stat, INDEX(Players!$A390:$P390, MATCH(S$2, Players!$A$1:$P$1, 0)), perc_75, VLOOKUP(S$2, Percentiles!$A$45:$I$59, 6, FALSE), perc_90, VLOOKUP(S$2, Percentiles!$A$45:$I$59, 7, FALSE), perc_95, VLOOKUP(S$2, Percentiles!$A$45:$I$59, 8, FALSE), perc_85, perc_75 + (perc_90 - perc_75) * (2/3), converted_stat, '2K_Ratings'!S391, IF(bbgm_stat &gt;= perc_95, converted_stat * 3, IF(bbgm_stat &gt;= perc_90, converted_stat * 2, IF(bbgm_stat &gt;= perc_85, converted_stat * 1.5, converted_stat)))))</f>
        <v/>
      </c>
      <c r="T391" s="30" t="str">
        <f t="array" ref="T391">IF($A391="", "", LET(bbgm_stat, INDEX(Players!$A390:$P390, MATCH(T$2, Players!$A$1:$P$1, 0)), perc_75, VLOOKUP(T$2, Percentiles!$A$45:$I$59, 6, FALSE), perc_90, VLOOKUP(T$2, Percentiles!$A$45:$I$59, 7, FALSE), perc_95, VLOOKUP(T$2, Percentiles!$A$45:$I$59, 8, FALSE), perc_85, perc_75 + (perc_90 - perc_75) * (2/3), converted_stat, '2K_Ratings'!T391, IF(bbgm_stat &gt;= perc_95, converted_stat * 3, IF(bbgm_stat &gt;= perc_90, converted_stat * 2, IF(bbgm_stat &gt;= perc_85, converted_stat * 1.5, converted_stat)))))</f>
        <v/>
      </c>
      <c r="U391" s="30" t="str">
        <f t="array" ref="U391">IF($A391="", "", LET(bbgm_stat, INDEX(Players!$A390:$P390, MATCH(U$2, Players!$A$1:$P$1, 0)), perc_75, VLOOKUP(U$2, Percentiles!$A$45:$I$59, 6, FALSE), perc_90, VLOOKUP(U$2, Percentiles!$A$45:$I$59, 7, FALSE), perc_95, VLOOKUP(U$2, Percentiles!$A$45:$I$59, 8, FALSE), perc_85, perc_75 + (perc_90 - perc_75) * (2/3), converted_stat, '2K_Ratings'!U391, IF(bbgm_stat &gt;= perc_95, converted_stat * 3, IF(bbgm_stat &gt;= perc_90, converted_stat * 2, IF(bbgm_stat &gt;= perc_85, converted_stat * 1.5, converted_stat)))))</f>
        <v/>
      </c>
      <c r="V391" s="30" t="str">
        <f t="array" ref="V391">IF($A391="", "", LET(bbgm_stat, INDEX(Players!$A390:$P390, MATCH(V$2, Players!$A$1:$P$1, 0)), perc_75, VLOOKUP(V$2, Percentiles!$A$45:$I$59, 6, FALSE), perc_90, VLOOKUP(V$2, Percentiles!$A$45:$I$59, 7, FALSE), perc_95, VLOOKUP(V$2, Percentiles!$A$45:$I$59, 8, FALSE), perc_85, perc_75 + (perc_90 - perc_75) * (2/3), converted_stat, '2K_Ratings'!V391, IF(bbgm_stat &gt;= perc_95, converted_stat * 3, IF(bbgm_stat &gt;= perc_90, converted_stat * 2, IF(bbgm_stat &gt;= perc_85, converted_stat * 1.5, converted_stat)))))</f>
        <v/>
      </c>
      <c r="W391" s="30" t="str">
        <f t="array" ref="W391">IF($A391="", "", LET(bbgm_stat, INDEX(Players!$A390:$P390, MATCH(W$2, Players!$A$1:$P$1, 0)), perc_75, VLOOKUP(W$2, Percentiles!$A$45:$I$59, 6, FALSE), perc_90, VLOOKUP(W$2, Percentiles!$A$45:$I$59, 7, FALSE), perc_95, VLOOKUP(W$2, Percentiles!$A$45:$I$59, 8, FALSE), perc_85, perc_75 + (perc_90 - perc_75) * (2/3), converted_stat, '2K_Ratings'!W391, IF(bbgm_stat &gt;= perc_95, converted_stat * 3, IF(bbgm_stat &gt;= perc_90, converted_stat * 2, IF(bbgm_stat &gt;= perc_85, converted_stat * 1.5, converted_stat)))))</f>
        <v/>
      </c>
    </row>
    <row r="392">
      <c r="A392" s="30"/>
      <c r="B392" s="30" t="str">
        <f t="array" ref="B392">IF($A392="", "", LET(bbgm_stat, INDEX(Players!$A391:$P391, MATCH(B$2, Players!$A$1:$P$1, 0)), perc_75, VLOOKUP(B$2, Percentiles!$A$45:$I$59, 6, FALSE), perc_90, VLOOKUP(B$2, Percentiles!$A$45:$I$59, 7, FALSE), perc_95, VLOOKUP(B$2, Percentiles!$A$45:$I$59, 8, FALSE), perc_85, perc_75 + (perc_90 - perc_75) * (2/3), converted_stat, '2K_Ratings'!B392, IF(bbgm_stat &gt;= perc_95, converted_stat * 3, IF(bbgm_stat &gt;= perc_90, converted_stat * 2, IF(bbgm_stat &gt;= perc_85, converted_stat * 1.5, converted_stat)))))</f>
        <v/>
      </c>
      <c r="C392" s="30" t="str">
        <f t="array" ref="C392">IF($A392="", "", LET(bbgm_stat, INDEX(Players!$A391:$P391, MATCH(C$2, Players!$A$1:$P$1, 0)), perc_75, VLOOKUP(C$2, Percentiles!$A$45:$I$59, 6, FALSE), perc_90, VLOOKUP(C$2, Percentiles!$A$45:$I$59, 7, FALSE), perc_95, VLOOKUP(C$2, Percentiles!$A$45:$I$59, 8, FALSE), perc_85, perc_75 + (perc_90 - perc_75) * (2/3), converted_stat, '2K_Ratings'!C392, IF(bbgm_stat &gt;= perc_95, converted_stat * 3, IF(bbgm_stat &gt;= perc_90, converted_stat * 2, IF(bbgm_stat &gt;= perc_85, converted_stat * 1.5, converted_stat)))))</f>
        <v/>
      </c>
      <c r="D392" s="30" t="str">
        <f t="array" ref="D392">IF($A392="", "", LET(bbgm_stat, INDEX(Players!$A391:$P391, MATCH(D$2, Players!$A$1:$P$1, 0)), perc_75, VLOOKUP(D$2, Percentiles!$A$45:$I$59, 6, FALSE), perc_90, VLOOKUP(D$2, Percentiles!$A$45:$I$59, 7, FALSE), perc_95, VLOOKUP(D$2, Percentiles!$A$45:$I$59, 8, FALSE), perc_85, perc_75 + (perc_90 - perc_75) * (2/3), converted_stat, '2K_Ratings'!D392, IF(bbgm_stat &gt;= perc_95, converted_stat * 3, IF(bbgm_stat &gt;= perc_90, converted_stat * 2, IF(bbgm_stat &gt;= perc_85, converted_stat * 1.5, converted_stat)))))</f>
        <v/>
      </c>
      <c r="E392" s="30" t="str">
        <f t="array" ref="E392">IF($A392="", "", LET(bbgm_stat, INDEX(Players!$A391:$P391, MATCH(E$2, Players!$A$1:$P$1, 0)), perc_75, VLOOKUP(E$2, Percentiles!$A$45:$I$59, 6, FALSE), perc_90, VLOOKUP(E$2, Percentiles!$A$45:$I$59, 7, FALSE), perc_95, VLOOKUP(E$2, Percentiles!$A$45:$I$59, 8, FALSE), perc_85, perc_75 + (perc_90 - perc_75) * (2/3), converted_stat, '2K_Ratings'!E392, IF(bbgm_stat &gt;= perc_95, converted_stat * 3, IF(bbgm_stat &gt;= perc_90, converted_stat * 2, IF(bbgm_stat &gt;= perc_85, converted_stat * 1.5, converted_stat)))))</f>
        <v/>
      </c>
      <c r="F392" s="30" t="str">
        <f t="array" ref="F392">IF($A392="", "", LET(bbgm_stat, INDEX(Players!$A391:$P391, MATCH(F$2, Players!$A$1:$P$1, 0)), perc_75, VLOOKUP(F$2, Percentiles!$A$45:$I$59, 6, FALSE), perc_90, VLOOKUP(F$2, Percentiles!$A$45:$I$59, 7, FALSE), perc_95, VLOOKUP(F$2, Percentiles!$A$45:$I$59, 8, FALSE), perc_85, perc_75 + (perc_90 - perc_75) * (2/3), converted_stat, '2K_Ratings'!F392, IF(bbgm_stat &gt;= perc_95, converted_stat * 3, IF(bbgm_stat &gt;= perc_90, converted_stat * 2, IF(bbgm_stat &gt;= perc_85, converted_stat * 1.5, converted_stat)))))</f>
        <v/>
      </c>
      <c r="G392" s="30" t="str">
        <f t="array" ref="G392">IF($A392="", "", LET(bbgm_stat, INDEX(Players!$A391:$P391, MATCH(G$2, Players!$A$1:$P$1, 0)), perc_75, VLOOKUP(G$2, Percentiles!$A$45:$I$59, 6, FALSE), perc_90, VLOOKUP(G$2, Percentiles!$A$45:$I$59, 7, FALSE), perc_95, VLOOKUP(G$2, Percentiles!$A$45:$I$59, 8, FALSE), perc_85, perc_75 + (perc_90 - perc_75) * (2/3), converted_stat, '2K_Ratings'!G392, IF(bbgm_stat &gt;= perc_95, converted_stat * 3, IF(bbgm_stat &gt;= perc_90, converted_stat * 2, IF(bbgm_stat &gt;= perc_85, converted_stat * 1.5, converted_stat)))))</f>
        <v/>
      </c>
      <c r="H392" s="30" t="str">
        <f t="array" ref="H392">IF($A392="", "", LET(bbgm_stat, INDEX(Players!$A391:$P391, MATCH(H$2, Players!$A$1:$P$1, 0)), perc_75, VLOOKUP(H$2, Percentiles!$A$45:$I$59, 6, FALSE), perc_90, VLOOKUP(H$2, Percentiles!$A$45:$I$59, 7, FALSE), perc_95, VLOOKUP(H$2, Percentiles!$A$45:$I$59, 8, FALSE), perc_85, perc_75 + (perc_90 - perc_75) * (2/3), converted_stat, '2K_Ratings'!H392, IF(bbgm_stat &gt;= perc_95, converted_stat * 3, IF(bbgm_stat &gt;= perc_90, converted_stat * 2, IF(bbgm_stat &gt;= perc_85, converted_stat * 1.5, converted_stat)))))</f>
        <v/>
      </c>
      <c r="I392" s="30" t="str">
        <f t="array" ref="I392">IF($A392="", "", LET(bbgm_stat, INDEX(Players!$A391:$P391, MATCH(I$2, Players!$A$1:$P$1, 0)), perc_75, VLOOKUP(I$2, Percentiles!$A$45:$I$59, 6, FALSE), perc_90, VLOOKUP(I$2, Percentiles!$A$45:$I$59, 7, FALSE), perc_95, VLOOKUP(I$2, Percentiles!$A$45:$I$59, 8, FALSE), perc_85, perc_75 + (perc_90 - perc_75) * (2/3), converted_stat, '2K_Ratings'!I392, IF(bbgm_stat &gt;= perc_95, converted_stat * 3, IF(bbgm_stat &gt;= perc_90, converted_stat * 2, IF(bbgm_stat &gt;= perc_85, converted_stat * 1.5, converted_stat)))))</f>
        <v/>
      </c>
      <c r="J392" s="30" t="str">
        <f t="array" ref="J392">IF($A392="", "", LET(bbgm_stat, INDEX(Players!$A391:$P391, MATCH(J$2, Players!$A$1:$P$1, 0)), perc_75, VLOOKUP(J$2, Percentiles!$A$45:$I$59, 6, FALSE), perc_90, VLOOKUP(J$2, Percentiles!$A$45:$I$59, 7, FALSE), perc_95, VLOOKUP(J$2, Percentiles!$A$45:$I$59, 8, FALSE), perc_85, perc_75 + (perc_90 - perc_75) * (2/3), converted_stat, '2K_Ratings'!J392, IF(bbgm_stat &gt;= perc_95, converted_stat * 3, IF(bbgm_stat &gt;= perc_90, converted_stat * 2, IF(bbgm_stat &gt;= perc_85, converted_stat * 1.5, converted_stat)))))</f>
        <v/>
      </c>
      <c r="K392" s="30" t="str">
        <f t="array" ref="K392">IF($A392="", "", LET(bbgm_stat, INDEX(Players!$A391:$P391, MATCH(K$2, Players!$A$1:$P$1, 0)), perc_75, VLOOKUP(K$2, Percentiles!$A$45:$I$59, 6, FALSE), perc_90, VLOOKUP(K$2, Percentiles!$A$45:$I$59, 7, FALSE), perc_95, VLOOKUP(K$2, Percentiles!$A$45:$I$59, 8, FALSE), perc_85, perc_75 + (perc_90 - perc_75) * (2/3), converted_stat, '2K_Ratings'!K392, IF(bbgm_stat &gt;= perc_95, converted_stat * 3, IF(bbgm_stat &gt;= perc_90, converted_stat * 2, IF(bbgm_stat &gt;= perc_85, converted_stat * 1.5, converted_stat)))))</f>
        <v/>
      </c>
      <c r="L392" s="30" t="str">
        <f t="array" ref="L392">IF($A392="", "", LET(bbgm_stat, INDEX(Players!$A391:$P391, MATCH(L$2, Players!$A$1:$P$1, 0)), perc_75, VLOOKUP(L$2, Percentiles!$A$45:$I$59, 6, FALSE), perc_90, VLOOKUP(L$2, Percentiles!$A$45:$I$59, 7, FALSE), perc_95, VLOOKUP(L$2, Percentiles!$A$45:$I$59, 8, FALSE), perc_85, perc_75 + (perc_90 - perc_75) * (2/3), converted_stat, '2K_Ratings'!L392, IF(bbgm_stat &gt;= perc_95, converted_stat * 3, IF(bbgm_stat &gt;= perc_90, converted_stat * 2, IF(bbgm_stat &gt;= perc_85, converted_stat * 1.5, converted_stat)))))</f>
        <v/>
      </c>
      <c r="M392" s="30" t="str">
        <f t="array" ref="M392">IF($A392="", "", LET(bbgm_stat, INDEX(Players!$A391:$P391, MATCH(M$2, Players!$A$1:$P$1, 0)), perc_75, VLOOKUP(M$2, Percentiles!$A$45:$I$59, 6, FALSE), perc_90, VLOOKUP(M$2, Percentiles!$A$45:$I$59, 7, FALSE), perc_95, VLOOKUP(M$2, Percentiles!$A$45:$I$59, 8, FALSE), perc_85, perc_75 + (perc_90 - perc_75) * (2/3), converted_stat, '2K_Ratings'!M392, IF(bbgm_stat &gt;= perc_95, converted_stat * 3, IF(bbgm_stat &gt;= perc_90, converted_stat * 2, IF(bbgm_stat &gt;= perc_85, converted_stat * 1.5, converted_stat)))))</f>
        <v/>
      </c>
      <c r="N392" s="30" t="str">
        <f t="array" ref="N392">IF($A392="", "", LET(bbgm_stat, INDEX(Players!$A391:$P391, MATCH(N$2, Players!$A$1:$P$1, 0)), perc_75, VLOOKUP(N$2, Percentiles!$A$45:$I$59, 6, FALSE), perc_90, VLOOKUP(N$2, Percentiles!$A$45:$I$59, 7, FALSE), perc_95, VLOOKUP(N$2, Percentiles!$A$45:$I$59, 8, FALSE), perc_85, perc_75 + (perc_90 - perc_75) * (2/3), converted_stat, '2K_Ratings'!N392, IF(bbgm_stat &gt;= perc_95, converted_stat * 3, IF(bbgm_stat &gt;= perc_90, converted_stat * 2, IF(bbgm_stat &gt;= perc_85, converted_stat * 1.5, converted_stat)))))</f>
        <v/>
      </c>
      <c r="O392" s="30" t="str">
        <f t="array" ref="O392">IF($A392="", "", LET(bbgm_stat, INDEX(Players!$A391:$P391, MATCH(O$2, Players!$A$1:$P$1, 0)), perc_75, VLOOKUP(O$2, Percentiles!$A$45:$I$59, 6, FALSE), perc_90, VLOOKUP(O$2, Percentiles!$A$45:$I$59, 7, FALSE), perc_95, VLOOKUP(O$2, Percentiles!$A$45:$I$59, 8, FALSE), perc_85, perc_75 + (perc_90 - perc_75) * (2/3), converted_stat, '2K_Ratings'!O392, IF(bbgm_stat &gt;= perc_95, converted_stat * 3, IF(bbgm_stat &gt;= perc_90, converted_stat * 2, IF(bbgm_stat &gt;= perc_85, converted_stat * 1.5, converted_stat)))))</f>
        <v/>
      </c>
      <c r="P392" s="30" t="str">
        <f t="array" ref="P392">IF($A392="", "", LET(bbgm_stat, INDEX(Players!$A391:$P391, MATCH(P$2, Players!$A$1:$P$1, 0)), perc_75, VLOOKUP(P$2, Percentiles!$A$45:$I$59, 6, FALSE), perc_90, VLOOKUP(P$2, Percentiles!$A$45:$I$59, 7, FALSE), perc_95, VLOOKUP(P$2, Percentiles!$A$45:$I$59, 8, FALSE), perc_85, perc_75 + (perc_90 - perc_75) * (2/3), converted_stat, '2K_Ratings'!P392, IF(bbgm_stat &gt;= perc_95, converted_stat * 3, IF(bbgm_stat &gt;= perc_90, converted_stat * 2, IF(bbgm_stat &gt;= perc_85, converted_stat * 1.5, converted_stat)))))</f>
        <v/>
      </c>
      <c r="Q392" s="30" t="str">
        <f t="array" ref="Q392">IF($A392="", "", LET(bbgm_stat, INDEX(Players!$A391:$P391, MATCH(Q$2, Players!$A$1:$P$1, 0)), perc_75, VLOOKUP(Q$2, Percentiles!$A$45:$I$59, 6, FALSE), perc_90, VLOOKUP(Q$2, Percentiles!$A$45:$I$59, 7, FALSE), perc_95, VLOOKUP(Q$2, Percentiles!$A$45:$I$59, 8, FALSE), perc_85, perc_75 + (perc_90 - perc_75) * (2/3), converted_stat, '2K_Ratings'!Q392, IF(bbgm_stat &gt;= perc_95, converted_stat * 3, IF(bbgm_stat &gt;= perc_90, converted_stat * 2, IF(bbgm_stat &gt;= perc_85, converted_stat * 1.5, converted_stat)))))</f>
        <v/>
      </c>
      <c r="R392" s="30" t="str">
        <f t="array" ref="R392">IF($A392="", "", LET(bbgm_stat, INDEX(Players!$A391:$P391, MATCH(R$2, Players!$A$1:$P$1, 0)), perc_75, VLOOKUP(R$2, Percentiles!$A$45:$I$59, 6, FALSE), perc_90, VLOOKUP(R$2, Percentiles!$A$45:$I$59, 7, FALSE), perc_95, VLOOKUP(R$2, Percentiles!$A$45:$I$59, 8, FALSE), perc_85, perc_75 + (perc_90 - perc_75) * (2/3), converted_stat, '2K_Ratings'!R392, IF(bbgm_stat &gt;= perc_95, converted_stat * 3, IF(bbgm_stat &gt;= perc_90, converted_stat * 2, IF(bbgm_stat &gt;= perc_85, converted_stat * 1.5, converted_stat)))))</f>
        <v/>
      </c>
      <c r="S392" s="30" t="str">
        <f t="array" ref="S392">IF($A392="", "", LET(bbgm_stat, INDEX(Players!$A391:$P391, MATCH(S$2, Players!$A$1:$P$1, 0)), perc_75, VLOOKUP(S$2, Percentiles!$A$45:$I$59, 6, FALSE), perc_90, VLOOKUP(S$2, Percentiles!$A$45:$I$59, 7, FALSE), perc_95, VLOOKUP(S$2, Percentiles!$A$45:$I$59, 8, FALSE), perc_85, perc_75 + (perc_90 - perc_75) * (2/3), converted_stat, '2K_Ratings'!S392, IF(bbgm_stat &gt;= perc_95, converted_stat * 3, IF(bbgm_stat &gt;= perc_90, converted_stat * 2, IF(bbgm_stat &gt;= perc_85, converted_stat * 1.5, converted_stat)))))</f>
        <v/>
      </c>
      <c r="T392" s="30" t="str">
        <f t="array" ref="T392">IF($A392="", "", LET(bbgm_stat, INDEX(Players!$A391:$P391, MATCH(T$2, Players!$A$1:$P$1, 0)), perc_75, VLOOKUP(T$2, Percentiles!$A$45:$I$59, 6, FALSE), perc_90, VLOOKUP(T$2, Percentiles!$A$45:$I$59, 7, FALSE), perc_95, VLOOKUP(T$2, Percentiles!$A$45:$I$59, 8, FALSE), perc_85, perc_75 + (perc_90 - perc_75) * (2/3), converted_stat, '2K_Ratings'!T392, IF(bbgm_stat &gt;= perc_95, converted_stat * 3, IF(bbgm_stat &gt;= perc_90, converted_stat * 2, IF(bbgm_stat &gt;= perc_85, converted_stat * 1.5, converted_stat)))))</f>
        <v/>
      </c>
      <c r="U392" s="30" t="str">
        <f t="array" ref="U392">IF($A392="", "", LET(bbgm_stat, INDEX(Players!$A391:$P391, MATCH(U$2, Players!$A$1:$P$1, 0)), perc_75, VLOOKUP(U$2, Percentiles!$A$45:$I$59, 6, FALSE), perc_90, VLOOKUP(U$2, Percentiles!$A$45:$I$59, 7, FALSE), perc_95, VLOOKUP(U$2, Percentiles!$A$45:$I$59, 8, FALSE), perc_85, perc_75 + (perc_90 - perc_75) * (2/3), converted_stat, '2K_Ratings'!U392, IF(bbgm_stat &gt;= perc_95, converted_stat * 3, IF(bbgm_stat &gt;= perc_90, converted_stat * 2, IF(bbgm_stat &gt;= perc_85, converted_stat * 1.5, converted_stat)))))</f>
        <v/>
      </c>
      <c r="V392" s="30" t="str">
        <f t="array" ref="V392">IF($A392="", "", LET(bbgm_stat, INDEX(Players!$A391:$P391, MATCH(V$2, Players!$A$1:$P$1, 0)), perc_75, VLOOKUP(V$2, Percentiles!$A$45:$I$59, 6, FALSE), perc_90, VLOOKUP(V$2, Percentiles!$A$45:$I$59, 7, FALSE), perc_95, VLOOKUP(V$2, Percentiles!$A$45:$I$59, 8, FALSE), perc_85, perc_75 + (perc_90 - perc_75) * (2/3), converted_stat, '2K_Ratings'!V392, IF(bbgm_stat &gt;= perc_95, converted_stat * 3, IF(bbgm_stat &gt;= perc_90, converted_stat * 2, IF(bbgm_stat &gt;= perc_85, converted_stat * 1.5, converted_stat)))))</f>
        <v/>
      </c>
      <c r="W392" s="30" t="str">
        <f t="array" ref="W392">IF($A392="", "", LET(bbgm_stat, INDEX(Players!$A391:$P391, MATCH(W$2, Players!$A$1:$P$1, 0)), perc_75, VLOOKUP(W$2, Percentiles!$A$45:$I$59, 6, FALSE), perc_90, VLOOKUP(W$2, Percentiles!$A$45:$I$59, 7, FALSE), perc_95, VLOOKUP(W$2, Percentiles!$A$45:$I$59, 8, FALSE), perc_85, perc_75 + (perc_90 - perc_75) * (2/3), converted_stat, '2K_Ratings'!W392, IF(bbgm_stat &gt;= perc_95, converted_stat * 3, IF(bbgm_stat &gt;= perc_90, converted_stat * 2, IF(bbgm_stat &gt;= perc_85, converted_stat * 1.5, converted_stat)))))</f>
        <v/>
      </c>
    </row>
    <row r="393">
      <c r="A393" s="30"/>
      <c r="B393" s="30" t="str">
        <f t="array" ref="B393">IF($A393="", "", LET(bbgm_stat, INDEX(Players!$A392:$P392, MATCH(B$2, Players!$A$1:$P$1, 0)), perc_75, VLOOKUP(B$2, Percentiles!$A$45:$I$59, 6, FALSE), perc_90, VLOOKUP(B$2, Percentiles!$A$45:$I$59, 7, FALSE), perc_95, VLOOKUP(B$2, Percentiles!$A$45:$I$59, 8, FALSE), perc_85, perc_75 + (perc_90 - perc_75) * (2/3), converted_stat, '2K_Ratings'!B393, IF(bbgm_stat &gt;= perc_95, converted_stat * 3, IF(bbgm_stat &gt;= perc_90, converted_stat * 2, IF(bbgm_stat &gt;= perc_85, converted_stat * 1.5, converted_stat)))))</f>
        <v/>
      </c>
      <c r="C393" s="30" t="str">
        <f t="array" ref="C393">IF($A393="", "", LET(bbgm_stat, INDEX(Players!$A392:$P392, MATCH(C$2, Players!$A$1:$P$1, 0)), perc_75, VLOOKUP(C$2, Percentiles!$A$45:$I$59, 6, FALSE), perc_90, VLOOKUP(C$2, Percentiles!$A$45:$I$59, 7, FALSE), perc_95, VLOOKUP(C$2, Percentiles!$A$45:$I$59, 8, FALSE), perc_85, perc_75 + (perc_90 - perc_75) * (2/3), converted_stat, '2K_Ratings'!C393, IF(bbgm_stat &gt;= perc_95, converted_stat * 3, IF(bbgm_stat &gt;= perc_90, converted_stat * 2, IF(bbgm_stat &gt;= perc_85, converted_stat * 1.5, converted_stat)))))</f>
        <v/>
      </c>
      <c r="D393" s="30" t="str">
        <f t="array" ref="D393">IF($A393="", "", LET(bbgm_stat, INDEX(Players!$A392:$P392, MATCH(D$2, Players!$A$1:$P$1, 0)), perc_75, VLOOKUP(D$2, Percentiles!$A$45:$I$59, 6, FALSE), perc_90, VLOOKUP(D$2, Percentiles!$A$45:$I$59, 7, FALSE), perc_95, VLOOKUP(D$2, Percentiles!$A$45:$I$59, 8, FALSE), perc_85, perc_75 + (perc_90 - perc_75) * (2/3), converted_stat, '2K_Ratings'!D393, IF(bbgm_stat &gt;= perc_95, converted_stat * 3, IF(bbgm_stat &gt;= perc_90, converted_stat * 2, IF(bbgm_stat &gt;= perc_85, converted_stat * 1.5, converted_stat)))))</f>
        <v/>
      </c>
      <c r="E393" s="30" t="str">
        <f t="array" ref="E393">IF($A393="", "", LET(bbgm_stat, INDEX(Players!$A392:$P392, MATCH(E$2, Players!$A$1:$P$1, 0)), perc_75, VLOOKUP(E$2, Percentiles!$A$45:$I$59, 6, FALSE), perc_90, VLOOKUP(E$2, Percentiles!$A$45:$I$59, 7, FALSE), perc_95, VLOOKUP(E$2, Percentiles!$A$45:$I$59, 8, FALSE), perc_85, perc_75 + (perc_90 - perc_75) * (2/3), converted_stat, '2K_Ratings'!E393, IF(bbgm_stat &gt;= perc_95, converted_stat * 3, IF(bbgm_stat &gt;= perc_90, converted_stat * 2, IF(bbgm_stat &gt;= perc_85, converted_stat * 1.5, converted_stat)))))</f>
        <v/>
      </c>
      <c r="F393" s="30" t="str">
        <f t="array" ref="F393">IF($A393="", "", LET(bbgm_stat, INDEX(Players!$A392:$P392, MATCH(F$2, Players!$A$1:$P$1, 0)), perc_75, VLOOKUP(F$2, Percentiles!$A$45:$I$59, 6, FALSE), perc_90, VLOOKUP(F$2, Percentiles!$A$45:$I$59, 7, FALSE), perc_95, VLOOKUP(F$2, Percentiles!$A$45:$I$59, 8, FALSE), perc_85, perc_75 + (perc_90 - perc_75) * (2/3), converted_stat, '2K_Ratings'!F393, IF(bbgm_stat &gt;= perc_95, converted_stat * 3, IF(bbgm_stat &gt;= perc_90, converted_stat * 2, IF(bbgm_stat &gt;= perc_85, converted_stat * 1.5, converted_stat)))))</f>
        <v/>
      </c>
      <c r="G393" s="30" t="str">
        <f t="array" ref="G393">IF($A393="", "", LET(bbgm_stat, INDEX(Players!$A392:$P392, MATCH(G$2, Players!$A$1:$P$1, 0)), perc_75, VLOOKUP(G$2, Percentiles!$A$45:$I$59, 6, FALSE), perc_90, VLOOKUP(G$2, Percentiles!$A$45:$I$59, 7, FALSE), perc_95, VLOOKUP(G$2, Percentiles!$A$45:$I$59, 8, FALSE), perc_85, perc_75 + (perc_90 - perc_75) * (2/3), converted_stat, '2K_Ratings'!G393, IF(bbgm_stat &gt;= perc_95, converted_stat * 3, IF(bbgm_stat &gt;= perc_90, converted_stat * 2, IF(bbgm_stat &gt;= perc_85, converted_stat * 1.5, converted_stat)))))</f>
        <v/>
      </c>
      <c r="H393" s="30" t="str">
        <f t="array" ref="H393">IF($A393="", "", LET(bbgm_stat, INDEX(Players!$A392:$P392, MATCH(H$2, Players!$A$1:$P$1, 0)), perc_75, VLOOKUP(H$2, Percentiles!$A$45:$I$59, 6, FALSE), perc_90, VLOOKUP(H$2, Percentiles!$A$45:$I$59, 7, FALSE), perc_95, VLOOKUP(H$2, Percentiles!$A$45:$I$59, 8, FALSE), perc_85, perc_75 + (perc_90 - perc_75) * (2/3), converted_stat, '2K_Ratings'!H393, IF(bbgm_stat &gt;= perc_95, converted_stat * 3, IF(bbgm_stat &gt;= perc_90, converted_stat * 2, IF(bbgm_stat &gt;= perc_85, converted_stat * 1.5, converted_stat)))))</f>
        <v/>
      </c>
      <c r="I393" s="30" t="str">
        <f t="array" ref="I393">IF($A393="", "", LET(bbgm_stat, INDEX(Players!$A392:$P392, MATCH(I$2, Players!$A$1:$P$1, 0)), perc_75, VLOOKUP(I$2, Percentiles!$A$45:$I$59, 6, FALSE), perc_90, VLOOKUP(I$2, Percentiles!$A$45:$I$59, 7, FALSE), perc_95, VLOOKUP(I$2, Percentiles!$A$45:$I$59, 8, FALSE), perc_85, perc_75 + (perc_90 - perc_75) * (2/3), converted_stat, '2K_Ratings'!I393, IF(bbgm_stat &gt;= perc_95, converted_stat * 3, IF(bbgm_stat &gt;= perc_90, converted_stat * 2, IF(bbgm_stat &gt;= perc_85, converted_stat * 1.5, converted_stat)))))</f>
        <v/>
      </c>
      <c r="J393" s="30" t="str">
        <f t="array" ref="J393">IF($A393="", "", LET(bbgm_stat, INDEX(Players!$A392:$P392, MATCH(J$2, Players!$A$1:$P$1, 0)), perc_75, VLOOKUP(J$2, Percentiles!$A$45:$I$59, 6, FALSE), perc_90, VLOOKUP(J$2, Percentiles!$A$45:$I$59, 7, FALSE), perc_95, VLOOKUP(J$2, Percentiles!$A$45:$I$59, 8, FALSE), perc_85, perc_75 + (perc_90 - perc_75) * (2/3), converted_stat, '2K_Ratings'!J393, IF(bbgm_stat &gt;= perc_95, converted_stat * 3, IF(bbgm_stat &gt;= perc_90, converted_stat * 2, IF(bbgm_stat &gt;= perc_85, converted_stat * 1.5, converted_stat)))))</f>
        <v/>
      </c>
      <c r="K393" s="30" t="str">
        <f t="array" ref="K393">IF($A393="", "", LET(bbgm_stat, INDEX(Players!$A392:$P392, MATCH(K$2, Players!$A$1:$P$1, 0)), perc_75, VLOOKUP(K$2, Percentiles!$A$45:$I$59, 6, FALSE), perc_90, VLOOKUP(K$2, Percentiles!$A$45:$I$59, 7, FALSE), perc_95, VLOOKUP(K$2, Percentiles!$A$45:$I$59, 8, FALSE), perc_85, perc_75 + (perc_90 - perc_75) * (2/3), converted_stat, '2K_Ratings'!K393, IF(bbgm_stat &gt;= perc_95, converted_stat * 3, IF(bbgm_stat &gt;= perc_90, converted_stat * 2, IF(bbgm_stat &gt;= perc_85, converted_stat * 1.5, converted_stat)))))</f>
        <v/>
      </c>
      <c r="L393" s="30" t="str">
        <f t="array" ref="L393">IF($A393="", "", LET(bbgm_stat, INDEX(Players!$A392:$P392, MATCH(L$2, Players!$A$1:$P$1, 0)), perc_75, VLOOKUP(L$2, Percentiles!$A$45:$I$59, 6, FALSE), perc_90, VLOOKUP(L$2, Percentiles!$A$45:$I$59, 7, FALSE), perc_95, VLOOKUP(L$2, Percentiles!$A$45:$I$59, 8, FALSE), perc_85, perc_75 + (perc_90 - perc_75) * (2/3), converted_stat, '2K_Ratings'!L393, IF(bbgm_stat &gt;= perc_95, converted_stat * 3, IF(bbgm_stat &gt;= perc_90, converted_stat * 2, IF(bbgm_stat &gt;= perc_85, converted_stat * 1.5, converted_stat)))))</f>
        <v/>
      </c>
      <c r="M393" s="30" t="str">
        <f t="array" ref="M393">IF($A393="", "", LET(bbgm_stat, INDEX(Players!$A392:$P392, MATCH(M$2, Players!$A$1:$P$1, 0)), perc_75, VLOOKUP(M$2, Percentiles!$A$45:$I$59, 6, FALSE), perc_90, VLOOKUP(M$2, Percentiles!$A$45:$I$59, 7, FALSE), perc_95, VLOOKUP(M$2, Percentiles!$A$45:$I$59, 8, FALSE), perc_85, perc_75 + (perc_90 - perc_75) * (2/3), converted_stat, '2K_Ratings'!M393, IF(bbgm_stat &gt;= perc_95, converted_stat * 3, IF(bbgm_stat &gt;= perc_90, converted_stat * 2, IF(bbgm_stat &gt;= perc_85, converted_stat * 1.5, converted_stat)))))</f>
        <v/>
      </c>
      <c r="N393" s="30" t="str">
        <f t="array" ref="N393">IF($A393="", "", LET(bbgm_stat, INDEX(Players!$A392:$P392, MATCH(N$2, Players!$A$1:$P$1, 0)), perc_75, VLOOKUP(N$2, Percentiles!$A$45:$I$59, 6, FALSE), perc_90, VLOOKUP(N$2, Percentiles!$A$45:$I$59, 7, FALSE), perc_95, VLOOKUP(N$2, Percentiles!$A$45:$I$59, 8, FALSE), perc_85, perc_75 + (perc_90 - perc_75) * (2/3), converted_stat, '2K_Ratings'!N393, IF(bbgm_stat &gt;= perc_95, converted_stat * 3, IF(bbgm_stat &gt;= perc_90, converted_stat * 2, IF(bbgm_stat &gt;= perc_85, converted_stat * 1.5, converted_stat)))))</f>
        <v/>
      </c>
      <c r="O393" s="30" t="str">
        <f t="array" ref="O393">IF($A393="", "", LET(bbgm_stat, INDEX(Players!$A392:$P392, MATCH(O$2, Players!$A$1:$P$1, 0)), perc_75, VLOOKUP(O$2, Percentiles!$A$45:$I$59, 6, FALSE), perc_90, VLOOKUP(O$2, Percentiles!$A$45:$I$59, 7, FALSE), perc_95, VLOOKUP(O$2, Percentiles!$A$45:$I$59, 8, FALSE), perc_85, perc_75 + (perc_90 - perc_75) * (2/3), converted_stat, '2K_Ratings'!O393, IF(bbgm_stat &gt;= perc_95, converted_stat * 3, IF(bbgm_stat &gt;= perc_90, converted_stat * 2, IF(bbgm_stat &gt;= perc_85, converted_stat * 1.5, converted_stat)))))</f>
        <v/>
      </c>
      <c r="P393" s="30" t="str">
        <f t="array" ref="P393">IF($A393="", "", LET(bbgm_stat, INDEX(Players!$A392:$P392, MATCH(P$2, Players!$A$1:$P$1, 0)), perc_75, VLOOKUP(P$2, Percentiles!$A$45:$I$59, 6, FALSE), perc_90, VLOOKUP(P$2, Percentiles!$A$45:$I$59, 7, FALSE), perc_95, VLOOKUP(P$2, Percentiles!$A$45:$I$59, 8, FALSE), perc_85, perc_75 + (perc_90 - perc_75) * (2/3), converted_stat, '2K_Ratings'!P393, IF(bbgm_stat &gt;= perc_95, converted_stat * 3, IF(bbgm_stat &gt;= perc_90, converted_stat * 2, IF(bbgm_stat &gt;= perc_85, converted_stat * 1.5, converted_stat)))))</f>
        <v/>
      </c>
      <c r="Q393" s="30" t="str">
        <f t="array" ref="Q393">IF($A393="", "", LET(bbgm_stat, INDEX(Players!$A392:$P392, MATCH(Q$2, Players!$A$1:$P$1, 0)), perc_75, VLOOKUP(Q$2, Percentiles!$A$45:$I$59, 6, FALSE), perc_90, VLOOKUP(Q$2, Percentiles!$A$45:$I$59, 7, FALSE), perc_95, VLOOKUP(Q$2, Percentiles!$A$45:$I$59, 8, FALSE), perc_85, perc_75 + (perc_90 - perc_75) * (2/3), converted_stat, '2K_Ratings'!Q393, IF(bbgm_stat &gt;= perc_95, converted_stat * 3, IF(bbgm_stat &gt;= perc_90, converted_stat * 2, IF(bbgm_stat &gt;= perc_85, converted_stat * 1.5, converted_stat)))))</f>
        <v/>
      </c>
      <c r="R393" s="30" t="str">
        <f t="array" ref="R393">IF($A393="", "", LET(bbgm_stat, INDEX(Players!$A392:$P392, MATCH(R$2, Players!$A$1:$P$1, 0)), perc_75, VLOOKUP(R$2, Percentiles!$A$45:$I$59, 6, FALSE), perc_90, VLOOKUP(R$2, Percentiles!$A$45:$I$59, 7, FALSE), perc_95, VLOOKUP(R$2, Percentiles!$A$45:$I$59, 8, FALSE), perc_85, perc_75 + (perc_90 - perc_75) * (2/3), converted_stat, '2K_Ratings'!R393, IF(bbgm_stat &gt;= perc_95, converted_stat * 3, IF(bbgm_stat &gt;= perc_90, converted_stat * 2, IF(bbgm_stat &gt;= perc_85, converted_stat * 1.5, converted_stat)))))</f>
        <v/>
      </c>
      <c r="S393" s="30" t="str">
        <f t="array" ref="S393">IF($A393="", "", LET(bbgm_stat, INDEX(Players!$A392:$P392, MATCH(S$2, Players!$A$1:$P$1, 0)), perc_75, VLOOKUP(S$2, Percentiles!$A$45:$I$59, 6, FALSE), perc_90, VLOOKUP(S$2, Percentiles!$A$45:$I$59, 7, FALSE), perc_95, VLOOKUP(S$2, Percentiles!$A$45:$I$59, 8, FALSE), perc_85, perc_75 + (perc_90 - perc_75) * (2/3), converted_stat, '2K_Ratings'!S393, IF(bbgm_stat &gt;= perc_95, converted_stat * 3, IF(bbgm_stat &gt;= perc_90, converted_stat * 2, IF(bbgm_stat &gt;= perc_85, converted_stat * 1.5, converted_stat)))))</f>
        <v/>
      </c>
      <c r="T393" s="30" t="str">
        <f t="array" ref="T393">IF($A393="", "", LET(bbgm_stat, INDEX(Players!$A392:$P392, MATCH(T$2, Players!$A$1:$P$1, 0)), perc_75, VLOOKUP(T$2, Percentiles!$A$45:$I$59, 6, FALSE), perc_90, VLOOKUP(T$2, Percentiles!$A$45:$I$59, 7, FALSE), perc_95, VLOOKUP(T$2, Percentiles!$A$45:$I$59, 8, FALSE), perc_85, perc_75 + (perc_90 - perc_75) * (2/3), converted_stat, '2K_Ratings'!T393, IF(bbgm_stat &gt;= perc_95, converted_stat * 3, IF(bbgm_stat &gt;= perc_90, converted_stat * 2, IF(bbgm_stat &gt;= perc_85, converted_stat * 1.5, converted_stat)))))</f>
        <v/>
      </c>
      <c r="U393" s="30" t="str">
        <f t="array" ref="U393">IF($A393="", "", LET(bbgm_stat, INDEX(Players!$A392:$P392, MATCH(U$2, Players!$A$1:$P$1, 0)), perc_75, VLOOKUP(U$2, Percentiles!$A$45:$I$59, 6, FALSE), perc_90, VLOOKUP(U$2, Percentiles!$A$45:$I$59, 7, FALSE), perc_95, VLOOKUP(U$2, Percentiles!$A$45:$I$59, 8, FALSE), perc_85, perc_75 + (perc_90 - perc_75) * (2/3), converted_stat, '2K_Ratings'!U393, IF(bbgm_stat &gt;= perc_95, converted_stat * 3, IF(bbgm_stat &gt;= perc_90, converted_stat * 2, IF(bbgm_stat &gt;= perc_85, converted_stat * 1.5, converted_stat)))))</f>
        <v/>
      </c>
      <c r="V393" s="30" t="str">
        <f t="array" ref="V393">IF($A393="", "", LET(bbgm_stat, INDEX(Players!$A392:$P392, MATCH(V$2, Players!$A$1:$P$1, 0)), perc_75, VLOOKUP(V$2, Percentiles!$A$45:$I$59, 6, FALSE), perc_90, VLOOKUP(V$2, Percentiles!$A$45:$I$59, 7, FALSE), perc_95, VLOOKUP(V$2, Percentiles!$A$45:$I$59, 8, FALSE), perc_85, perc_75 + (perc_90 - perc_75) * (2/3), converted_stat, '2K_Ratings'!V393, IF(bbgm_stat &gt;= perc_95, converted_stat * 3, IF(bbgm_stat &gt;= perc_90, converted_stat * 2, IF(bbgm_stat &gt;= perc_85, converted_stat * 1.5, converted_stat)))))</f>
        <v/>
      </c>
      <c r="W393" s="30" t="str">
        <f t="array" ref="W393">IF($A393="", "", LET(bbgm_stat, INDEX(Players!$A392:$P392, MATCH(W$2, Players!$A$1:$P$1, 0)), perc_75, VLOOKUP(W$2, Percentiles!$A$45:$I$59, 6, FALSE), perc_90, VLOOKUP(W$2, Percentiles!$A$45:$I$59, 7, FALSE), perc_95, VLOOKUP(W$2, Percentiles!$A$45:$I$59, 8, FALSE), perc_85, perc_75 + (perc_90 - perc_75) * (2/3), converted_stat, '2K_Ratings'!W393, IF(bbgm_stat &gt;= perc_95, converted_stat * 3, IF(bbgm_stat &gt;= perc_90, converted_stat * 2, IF(bbgm_stat &gt;= perc_85, converted_stat * 1.5, converted_stat)))))</f>
        <v/>
      </c>
    </row>
    <row r="394">
      <c r="A394" s="30"/>
      <c r="B394" s="30" t="str">
        <f t="array" ref="B394">IF($A394="", "", LET(bbgm_stat, INDEX(Players!$A393:$P393, MATCH(B$2, Players!$A$1:$P$1, 0)), perc_75, VLOOKUP(B$2, Percentiles!$A$45:$I$59, 6, FALSE), perc_90, VLOOKUP(B$2, Percentiles!$A$45:$I$59, 7, FALSE), perc_95, VLOOKUP(B$2, Percentiles!$A$45:$I$59, 8, FALSE), perc_85, perc_75 + (perc_90 - perc_75) * (2/3), converted_stat, '2K_Ratings'!B394, IF(bbgm_stat &gt;= perc_95, converted_stat * 3, IF(bbgm_stat &gt;= perc_90, converted_stat * 2, IF(bbgm_stat &gt;= perc_85, converted_stat * 1.5, converted_stat)))))</f>
        <v/>
      </c>
      <c r="C394" s="30" t="str">
        <f t="array" ref="C394">IF($A394="", "", LET(bbgm_stat, INDEX(Players!$A393:$P393, MATCH(C$2, Players!$A$1:$P$1, 0)), perc_75, VLOOKUP(C$2, Percentiles!$A$45:$I$59, 6, FALSE), perc_90, VLOOKUP(C$2, Percentiles!$A$45:$I$59, 7, FALSE), perc_95, VLOOKUP(C$2, Percentiles!$A$45:$I$59, 8, FALSE), perc_85, perc_75 + (perc_90 - perc_75) * (2/3), converted_stat, '2K_Ratings'!C394, IF(bbgm_stat &gt;= perc_95, converted_stat * 3, IF(bbgm_stat &gt;= perc_90, converted_stat * 2, IF(bbgm_stat &gt;= perc_85, converted_stat * 1.5, converted_stat)))))</f>
        <v/>
      </c>
      <c r="D394" s="30" t="str">
        <f t="array" ref="D394">IF($A394="", "", LET(bbgm_stat, INDEX(Players!$A393:$P393, MATCH(D$2, Players!$A$1:$P$1, 0)), perc_75, VLOOKUP(D$2, Percentiles!$A$45:$I$59, 6, FALSE), perc_90, VLOOKUP(D$2, Percentiles!$A$45:$I$59, 7, FALSE), perc_95, VLOOKUP(D$2, Percentiles!$A$45:$I$59, 8, FALSE), perc_85, perc_75 + (perc_90 - perc_75) * (2/3), converted_stat, '2K_Ratings'!D394, IF(bbgm_stat &gt;= perc_95, converted_stat * 3, IF(bbgm_stat &gt;= perc_90, converted_stat * 2, IF(bbgm_stat &gt;= perc_85, converted_stat * 1.5, converted_stat)))))</f>
        <v/>
      </c>
      <c r="E394" s="30" t="str">
        <f t="array" ref="E394">IF($A394="", "", LET(bbgm_stat, INDEX(Players!$A393:$P393, MATCH(E$2, Players!$A$1:$P$1, 0)), perc_75, VLOOKUP(E$2, Percentiles!$A$45:$I$59, 6, FALSE), perc_90, VLOOKUP(E$2, Percentiles!$A$45:$I$59, 7, FALSE), perc_95, VLOOKUP(E$2, Percentiles!$A$45:$I$59, 8, FALSE), perc_85, perc_75 + (perc_90 - perc_75) * (2/3), converted_stat, '2K_Ratings'!E394, IF(bbgm_stat &gt;= perc_95, converted_stat * 3, IF(bbgm_stat &gt;= perc_90, converted_stat * 2, IF(bbgm_stat &gt;= perc_85, converted_stat * 1.5, converted_stat)))))</f>
        <v/>
      </c>
      <c r="F394" s="30" t="str">
        <f t="array" ref="F394">IF($A394="", "", LET(bbgm_stat, INDEX(Players!$A393:$P393, MATCH(F$2, Players!$A$1:$P$1, 0)), perc_75, VLOOKUP(F$2, Percentiles!$A$45:$I$59, 6, FALSE), perc_90, VLOOKUP(F$2, Percentiles!$A$45:$I$59, 7, FALSE), perc_95, VLOOKUP(F$2, Percentiles!$A$45:$I$59, 8, FALSE), perc_85, perc_75 + (perc_90 - perc_75) * (2/3), converted_stat, '2K_Ratings'!F394, IF(bbgm_stat &gt;= perc_95, converted_stat * 3, IF(bbgm_stat &gt;= perc_90, converted_stat * 2, IF(bbgm_stat &gt;= perc_85, converted_stat * 1.5, converted_stat)))))</f>
        <v/>
      </c>
      <c r="G394" s="30" t="str">
        <f t="array" ref="G394">IF($A394="", "", LET(bbgm_stat, INDEX(Players!$A393:$P393, MATCH(G$2, Players!$A$1:$P$1, 0)), perc_75, VLOOKUP(G$2, Percentiles!$A$45:$I$59, 6, FALSE), perc_90, VLOOKUP(G$2, Percentiles!$A$45:$I$59, 7, FALSE), perc_95, VLOOKUP(G$2, Percentiles!$A$45:$I$59, 8, FALSE), perc_85, perc_75 + (perc_90 - perc_75) * (2/3), converted_stat, '2K_Ratings'!G394, IF(bbgm_stat &gt;= perc_95, converted_stat * 3, IF(bbgm_stat &gt;= perc_90, converted_stat * 2, IF(bbgm_stat &gt;= perc_85, converted_stat * 1.5, converted_stat)))))</f>
        <v/>
      </c>
      <c r="H394" s="30" t="str">
        <f t="array" ref="H394">IF($A394="", "", LET(bbgm_stat, INDEX(Players!$A393:$P393, MATCH(H$2, Players!$A$1:$P$1, 0)), perc_75, VLOOKUP(H$2, Percentiles!$A$45:$I$59, 6, FALSE), perc_90, VLOOKUP(H$2, Percentiles!$A$45:$I$59, 7, FALSE), perc_95, VLOOKUP(H$2, Percentiles!$A$45:$I$59, 8, FALSE), perc_85, perc_75 + (perc_90 - perc_75) * (2/3), converted_stat, '2K_Ratings'!H394, IF(bbgm_stat &gt;= perc_95, converted_stat * 3, IF(bbgm_stat &gt;= perc_90, converted_stat * 2, IF(bbgm_stat &gt;= perc_85, converted_stat * 1.5, converted_stat)))))</f>
        <v/>
      </c>
      <c r="I394" s="30" t="str">
        <f t="array" ref="I394">IF($A394="", "", LET(bbgm_stat, INDEX(Players!$A393:$P393, MATCH(I$2, Players!$A$1:$P$1, 0)), perc_75, VLOOKUP(I$2, Percentiles!$A$45:$I$59, 6, FALSE), perc_90, VLOOKUP(I$2, Percentiles!$A$45:$I$59, 7, FALSE), perc_95, VLOOKUP(I$2, Percentiles!$A$45:$I$59, 8, FALSE), perc_85, perc_75 + (perc_90 - perc_75) * (2/3), converted_stat, '2K_Ratings'!I394, IF(bbgm_stat &gt;= perc_95, converted_stat * 3, IF(bbgm_stat &gt;= perc_90, converted_stat * 2, IF(bbgm_stat &gt;= perc_85, converted_stat * 1.5, converted_stat)))))</f>
        <v/>
      </c>
      <c r="J394" s="30" t="str">
        <f t="array" ref="J394">IF($A394="", "", LET(bbgm_stat, INDEX(Players!$A393:$P393, MATCH(J$2, Players!$A$1:$P$1, 0)), perc_75, VLOOKUP(J$2, Percentiles!$A$45:$I$59, 6, FALSE), perc_90, VLOOKUP(J$2, Percentiles!$A$45:$I$59, 7, FALSE), perc_95, VLOOKUP(J$2, Percentiles!$A$45:$I$59, 8, FALSE), perc_85, perc_75 + (perc_90 - perc_75) * (2/3), converted_stat, '2K_Ratings'!J394, IF(bbgm_stat &gt;= perc_95, converted_stat * 3, IF(bbgm_stat &gt;= perc_90, converted_stat * 2, IF(bbgm_stat &gt;= perc_85, converted_stat * 1.5, converted_stat)))))</f>
        <v/>
      </c>
      <c r="K394" s="30" t="str">
        <f t="array" ref="K394">IF($A394="", "", LET(bbgm_stat, INDEX(Players!$A393:$P393, MATCH(K$2, Players!$A$1:$P$1, 0)), perc_75, VLOOKUP(K$2, Percentiles!$A$45:$I$59, 6, FALSE), perc_90, VLOOKUP(K$2, Percentiles!$A$45:$I$59, 7, FALSE), perc_95, VLOOKUP(K$2, Percentiles!$A$45:$I$59, 8, FALSE), perc_85, perc_75 + (perc_90 - perc_75) * (2/3), converted_stat, '2K_Ratings'!K394, IF(bbgm_stat &gt;= perc_95, converted_stat * 3, IF(bbgm_stat &gt;= perc_90, converted_stat * 2, IF(bbgm_stat &gt;= perc_85, converted_stat * 1.5, converted_stat)))))</f>
        <v/>
      </c>
      <c r="L394" s="30" t="str">
        <f t="array" ref="L394">IF($A394="", "", LET(bbgm_stat, INDEX(Players!$A393:$P393, MATCH(L$2, Players!$A$1:$P$1, 0)), perc_75, VLOOKUP(L$2, Percentiles!$A$45:$I$59, 6, FALSE), perc_90, VLOOKUP(L$2, Percentiles!$A$45:$I$59, 7, FALSE), perc_95, VLOOKUP(L$2, Percentiles!$A$45:$I$59, 8, FALSE), perc_85, perc_75 + (perc_90 - perc_75) * (2/3), converted_stat, '2K_Ratings'!L394, IF(bbgm_stat &gt;= perc_95, converted_stat * 3, IF(bbgm_stat &gt;= perc_90, converted_stat * 2, IF(bbgm_stat &gt;= perc_85, converted_stat * 1.5, converted_stat)))))</f>
        <v/>
      </c>
      <c r="M394" s="30" t="str">
        <f t="array" ref="M394">IF($A394="", "", LET(bbgm_stat, INDEX(Players!$A393:$P393, MATCH(M$2, Players!$A$1:$P$1, 0)), perc_75, VLOOKUP(M$2, Percentiles!$A$45:$I$59, 6, FALSE), perc_90, VLOOKUP(M$2, Percentiles!$A$45:$I$59, 7, FALSE), perc_95, VLOOKUP(M$2, Percentiles!$A$45:$I$59, 8, FALSE), perc_85, perc_75 + (perc_90 - perc_75) * (2/3), converted_stat, '2K_Ratings'!M394, IF(bbgm_stat &gt;= perc_95, converted_stat * 3, IF(bbgm_stat &gt;= perc_90, converted_stat * 2, IF(bbgm_stat &gt;= perc_85, converted_stat * 1.5, converted_stat)))))</f>
        <v/>
      </c>
      <c r="N394" s="30" t="str">
        <f t="array" ref="N394">IF($A394="", "", LET(bbgm_stat, INDEX(Players!$A393:$P393, MATCH(N$2, Players!$A$1:$P$1, 0)), perc_75, VLOOKUP(N$2, Percentiles!$A$45:$I$59, 6, FALSE), perc_90, VLOOKUP(N$2, Percentiles!$A$45:$I$59, 7, FALSE), perc_95, VLOOKUP(N$2, Percentiles!$A$45:$I$59, 8, FALSE), perc_85, perc_75 + (perc_90 - perc_75) * (2/3), converted_stat, '2K_Ratings'!N394, IF(bbgm_stat &gt;= perc_95, converted_stat * 3, IF(bbgm_stat &gt;= perc_90, converted_stat * 2, IF(bbgm_stat &gt;= perc_85, converted_stat * 1.5, converted_stat)))))</f>
        <v/>
      </c>
      <c r="O394" s="30" t="str">
        <f t="array" ref="O394">IF($A394="", "", LET(bbgm_stat, INDEX(Players!$A393:$P393, MATCH(O$2, Players!$A$1:$P$1, 0)), perc_75, VLOOKUP(O$2, Percentiles!$A$45:$I$59, 6, FALSE), perc_90, VLOOKUP(O$2, Percentiles!$A$45:$I$59, 7, FALSE), perc_95, VLOOKUP(O$2, Percentiles!$A$45:$I$59, 8, FALSE), perc_85, perc_75 + (perc_90 - perc_75) * (2/3), converted_stat, '2K_Ratings'!O394, IF(bbgm_stat &gt;= perc_95, converted_stat * 3, IF(bbgm_stat &gt;= perc_90, converted_stat * 2, IF(bbgm_stat &gt;= perc_85, converted_stat * 1.5, converted_stat)))))</f>
        <v/>
      </c>
      <c r="P394" s="30" t="str">
        <f t="array" ref="P394">IF($A394="", "", LET(bbgm_stat, INDEX(Players!$A393:$P393, MATCH(P$2, Players!$A$1:$P$1, 0)), perc_75, VLOOKUP(P$2, Percentiles!$A$45:$I$59, 6, FALSE), perc_90, VLOOKUP(P$2, Percentiles!$A$45:$I$59, 7, FALSE), perc_95, VLOOKUP(P$2, Percentiles!$A$45:$I$59, 8, FALSE), perc_85, perc_75 + (perc_90 - perc_75) * (2/3), converted_stat, '2K_Ratings'!P394, IF(bbgm_stat &gt;= perc_95, converted_stat * 3, IF(bbgm_stat &gt;= perc_90, converted_stat * 2, IF(bbgm_stat &gt;= perc_85, converted_stat * 1.5, converted_stat)))))</f>
        <v/>
      </c>
      <c r="Q394" s="30" t="str">
        <f t="array" ref="Q394">IF($A394="", "", LET(bbgm_stat, INDEX(Players!$A393:$P393, MATCH(Q$2, Players!$A$1:$P$1, 0)), perc_75, VLOOKUP(Q$2, Percentiles!$A$45:$I$59, 6, FALSE), perc_90, VLOOKUP(Q$2, Percentiles!$A$45:$I$59, 7, FALSE), perc_95, VLOOKUP(Q$2, Percentiles!$A$45:$I$59, 8, FALSE), perc_85, perc_75 + (perc_90 - perc_75) * (2/3), converted_stat, '2K_Ratings'!Q394, IF(bbgm_stat &gt;= perc_95, converted_stat * 3, IF(bbgm_stat &gt;= perc_90, converted_stat * 2, IF(bbgm_stat &gt;= perc_85, converted_stat * 1.5, converted_stat)))))</f>
        <v/>
      </c>
      <c r="R394" s="30" t="str">
        <f t="array" ref="R394">IF($A394="", "", LET(bbgm_stat, INDEX(Players!$A393:$P393, MATCH(R$2, Players!$A$1:$P$1, 0)), perc_75, VLOOKUP(R$2, Percentiles!$A$45:$I$59, 6, FALSE), perc_90, VLOOKUP(R$2, Percentiles!$A$45:$I$59, 7, FALSE), perc_95, VLOOKUP(R$2, Percentiles!$A$45:$I$59, 8, FALSE), perc_85, perc_75 + (perc_90 - perc_75) * (2/3), converted_stat, '2K_Ratings'!R394, IF(bbgm_stat &gt;= perc_95, converted_stat * 3, IF(bbgm_stat &gt;= perc_90, converted_stat * 2, IF(bbgm_stat &gt;= perc_85, converted_stat * 1.5, converted_stat)))))</f>
        <v/>
      </c>
      <c r="S394" s="30" t="str">
        <f t="array" ref="S394">IF($A394="", "", LET(bbgm_stat, INDEX(Players!$A393:$P393, MATCH(S$2, Players!$A$1:$P$1, 0)), perc_75, VLOOKUP(S$2, Percentiles!$A$45:$I$59, 6, FALSE), perc_90, VLOOKUP(S$2, Percentiles!$A$45:$I$59, 7, FALSE), perc_95, VLOOKUP(S$2, Percentiles!$A$45:$I$59, 8, FALSE), perc_85, perc_75 + (perc_90 - perc_75) * (2/3), converted_stat, '2K_Ratings'!S394, IF(bbgm_stat &gt;= perc_95, converted_stat * 3, IF(bbgm_stat &gt;= perc_90, converted_stat * 2, IF(bbgm_stat &gt;= perc_85, converted_stat * 1.5, converted_stat)))))</f>
        <v/>
      </c>
      <c r="T394" s="30" t="str">
        <f t="array" ref="T394">IF($A394="", "", LET(bbgm_stat, INDEX(Players!$A393:$P393, MATCH(T$2, Players!$A$1:$P$1, 0)), perc_75, VLOOKUP(T$2, Percentiles!$A$45:$I$59, 6, FALSE), perc_90, VLOOKUP(T$2, Percentiles!$A$45:$I$59, 7, FALSE), perc_95, VLOOKUP(T$2, Percentiles!$A$45:$I$59, 8, FALSE), perc_85, perc_75 + (perc_90 - perc_75) * (2/3), converted_stat, '2K_Ratings'!T394, IF(bbgm_stat &gt;= perc_95, converted_stat * 3, IF(bbgm_stat &gt;= perc_90, converted_stat * 2, IF(bbgm_stat &gt;= perc_85, converted_stat * 1.5, converted_stat)))))</f>
        <v/>
      </c>
      <c r="U394" s="30" t="str">
        <f t="array" ref="U394">IF($A394="", "", LET(bbgm_stat, INDEX(Players!$A393:$P393, MATCH(U$2, Players!$A$1:$P$1, 0)), perc_75, VLOOKUP(U$2, Percentiles!$A$45:$I$59, 6, FALSE), perc_90, VLOOKUP(U$2, Percentiles!$A$45:$I$59, 7, FALSE), perc_95, VLOOKUP(U$2, Percentiles!$A$45:$I$59, 8, FALSE), perc_85, perc_75 + (perc_90 - perc_75) * (2/3), converted_stat, '2K_Ratings'!U394, IF(bbgm_stat &gt;= perc_95, converted_stat * 3, IF(bbgm_stat &gt;= perc_90, converted_stat * 2, IF(bbgm_stat &gt;= perc_85, converted_stat * 1.5, converted_stat)))))</f>
        <v/>
      </c>
      <c r="V394" s="30" t="str">
        <f t="array" ref="V394">IF($A394="", "", LET(bbgm_stat, INDEX(Players!$A393:$P393, MATCH(V$2, Players!$A$1:$P$1, 0)), perc_75, VLOOKUP(V$2, Percentiles!$A$45:$I$59, 6, FALSE), perc_90, VLOOKUP(V$2, Percentiles!$A$45:$I$59, 7, FALSE), perc_95, VLOOKUP(V$2, Percentiles!$A$45:$I$59, 8, FALSE), perc_85, perc_75 + (perc_90 - perc_75) * (2/3), converted_stat, '2K_Ratings'!V394, IF(bbgm_stat &gt;= perc_95, converted_stat * 3, IF(bbgm_stat &gt;= perc_90, converted_stat * 2, IF(bbgm_stat &gt;= perc_85, converted_stat * 1.5, converted_stat)))))</f>
        <v/>
      </c>
      <c r="W394" s="30" t="str">
        <f t="array" ref="W394">IF($A394="", "", LET(bbgm_stat, INDEX(Players!$A393:$P393, MATCH(W$2, Players!$A$1:$P$1, 0)), perc_75, VLOOKUP(W$2, Percentiles!$A$45:$I$59, 6, FALSE), perc_90, VLOOKUP(W$2, Percentiles!$A$45:$I$59, 7, FALSE), perc_95, VLOOKUP(W$2, Percentiles!$A$45:$I$59, 8, FALSE), perc_85, perc_75 + (perc_90 - perc_75) * (2/3), converted_stat, '2K_Ratings'!W394, IF(bbgm_stat &gt;= perc_95, converted_stat * 3, IF(bbgm_stat &gt;= perc_90, converted_stat * 2, IF(bbgm_stat &gt;= perc_85, converted_stat * 1.5, converted_stat)))))</f>
        <v/>
      </c>
    </row>
    <row r="395">
      <c r="A395" s="30"/>
      <c r="B395" s="30" t="str">
        <f t="array" ref="B395">IF($A395="", "", LET(bbgm_stat, INDEX(Players!$A394:$P394, MATCH(B$2, Players!$A$1:$P$1, 0)), perc_75, VLOOKUP(B$2, Percentiles!$A$45:$I$59, 6, FALSE), perc_90, VLOOKUP(B$2, Percentiles!$A$45:$I$59, 7, FALSE), perc_95, VLOOKUP(B$2, Percentiles!$A$45:$I$59, 8, FALSE), perc_85, perc_75 + (perc_90 - perc_75) * (2/3), converted_stat, '2K_Ratings'!B395, IF(bbgm_stat &gt;= perc_95, converted_stat * 3, IF(bbgm_stat &gt;= perc_90, converted_stat * 2, IF(bbgm_stat &gt;= perc_85, converted_stat * 1.5, converted_stat)))))</f>
        <v/>
      </c>
      <c r="C395" s="30" t="str">
        <f t="array" ref="C395">IF($A395="", "", LET(bbgm_stat, INDEX(Players!$A394:$P394, MATCH(C$2, Players!$A$1:$P$1, 0)), perc_75, VLOOKUP(C$2, Percentiles!$A$45:$I$59, 6, FALSE), perc_90, VLOOKUP(C$2, Percentiles!$A$45:$I$59, 7, FALSE), perc_95, VLOOKUP(C$2, Percentiles!$A$45:$I$59, 8, FALSE), perc_85, perc_75 + (perc_90 - perc_75) * (2/3), converted_stat, '2K_Ratings'!C395, IF(bbgm_stat &gt;= perc_95, converted_stat * 3, IF(bbgm_stat &gt;= perc_90, converted_stat * 2, IF(bbgm_stat &gt;= perc_85, converted_stat * 1.5, converted_stat)))))</f>
        <v/>
      </c>
      <c r="D395" s="30" t="str">
        <f t="array" ref="D395">IF($A395="", "", LET(bbgm_stat, INDEX(Players!$A394:$P394, MATCH(D$2, Players!$A$1:$P$1, 0)), perc_75, VLOOKUP(D$2, Percentiles!$A$45:$I$59, 6, FALSE), perc_90, VLOOKUP(D$2, Percentiles!$A$45:$I$59, 7, FALSE), perc_95, VLOOKUP(D$2, Percentiles!$A$45:$I$59, 8, FALSE), perc_85, perc_75 + (perc_90 - perc_75) * (2/3), converted_stat, '2K_Ratings'!D395, IF(bbgm_stat &gt;= perc_95, converted_stat * 3, IF(bbgm_stat &gt;= perc_90, converted_stat * 2, IF(bbgm_stat &gt;= perc_85, converted_stat * 1.5, converted_stat)))))</f>
        <v/>
      </c>
      <c r="E395" s="30" t="str">
        <f t="array" ref="E395">IF($A395="", "", LET(bbgm_stat, INDEX(Players!$A394:$P394, MATCH(E$2, Players!$A$1:$P$1, 0)), perc_75, VLOOKUP(E$2, Percentiles!$A$45:$I$59, 6, FALSE), perc_90, VLOOKUP(E$2, Percentiles!$A$45:$I$59, 7, FALSE), perc_95, VLOOKUP(E$2, Percentiles!$A$45:$I$59, 8, FALSE), perc_85, perc_75 + (perc_90 - perc_75) * (2/3), converted_stat, '2K_Ratings'!E395, IF(bbgm_stat &gt;= perc_95, converted_stat * 3, IF(bbgm_stat &gt;= perc_90, converted_stat * 2, IF(bbgm_stat &gt;= perc_85, converted_stat * 1.5, converted_stat)))))</f>
        <v/>
      </c>
      <c r="F395" s="30" t="str">
        <f t="array" ref="F395">IF($A395="", "", LET(bbgm_stat, INDEX(Players!$A394:$P394, MATCH(F$2, Players!$A$1:$P$1, 0)), perc_75, VLOOKUP(F$2, Percentiles!$A$45:$I$59, 6, FALSE), perc_90, VLOOKUP(F$2, Percentiles!$A$45:$I$59, 7, FALSE), perc_95, VLOOKUP(F$2, Percentiles!$A$45:$I$59, 8, FALSE), perc_85, perc_75 + (perc_90 - perc_75) * (2/3), converted_stat, '2K_Ratings'!F395, IF(bbgm_stat &gt;= perc_95, converted_stat * 3, IF(bbgm_stat &gt;= perc_90, converted_stat * 2, IF(bbgm_stat &gt;= perc_85, converted_stat * 1.5, converted_stat)))))</f>
        <v/>
      </c>
      <c r="G395" s="30" t="str">
        <f t="array" ref="G395">IF($A395="", "", LET(bbgm_stat, INDEX(Players!$A394:$P394, MATCH(G$2, Players!$A$1:$P$1, 0)), perc_75, VLOOKUP(G$2, Percentiles!$A$45:$I$59, 6, FALSE), perc_90, VLOOKUP(G$2, Percentiles!$A$45:$I$59, 7, FALSE), perc_95, VLOOKUP(G$2, Percentiles!$A$45:$I$59, 8, FALSE), perc_85, perc_75 + (perc_90 - perc_75) * (2/3), converted_stat, '2K_Ratings'!G395, IF(bbgm_stat &gt;= perc_95, converted_stat * 3, IF(bbgm_stat &gt;= perc_90, converted_stat * 2, IF(bbgm_stat &gt;= perc_85, converted_stat * 1.5, converted_stat)))))</f>
        <v/>
      </c>
      <c r="H395" s="30" t="str">
        <f t="array" ref="H395">IF($A395="", "", LET(bbgm_stat, INDEX(Players!$A394:$P394, MATCH(H$2, Players!$A$1:$P$1, 0)), perc_75, VLOOKUP(H$2, Percentiles!$A$45:$I$59, 6, FALSE), perc_90, VLOOKUP(H$2, Percentiles!$A$45:$I$59, 7, FALSE), perc_95, VLOOKUP(H$2, Percentiles!$A$45:$I$59, 8, FALSE), perc_85, perc_75 + (perc_90 - perc_75) * (2/3), converted_stat, '2K_Ratings'!H395, IF(bbgm_stat &gt;= perc_95, converted_stat * 3, IF(bbgm_stat &gt;= perc_90, converted_stat * 2, IF(bbgm_stat &gt;= perc_85, converted_stat * 1.5, converted_stat)))))</f>
        <v/>
      </c>
      <c r="I395" s="30" t="str">
        <f t="array" ref="I395">IF($A395="", "", LET(bbgm_stat, INDEX(Players!$A394:$P394, MATCH(I$2, Players!$A$1:$P$1, 0)), perc_75, VLOOKUP(I$2, Percentiles!$A$45:$I$59, 6, FALSE), perc_90, VLOOKUP(I$2, Percentiles!$A$45:$I$59, 7, FALSE), perc_95, VLOOKUP(I$2, Percentiles!$A$45:$I$59, 8, FALSE), perc_85, perc_75 + (perc_90 - perc_75) * (2/3), converted_stat, '2K_Ratings'!I395, IF(bbgm_stat &gt;= perc_95, converted_stat * 3, IF(bbgm_stat &gt;= perc_90, converted_stat * 2, IF(bbgm_stat &gt;= perc_85, converted_stat * 1.5, converted_stat)))))</f>
        <v/>
      </c>
      <c r="J395" s="30" t="str">
        <f t="array" ref="J395">IF($A395="", "", LET(bbgm_stat, INDEX(Players!$A394:$P394, MATCH(J$2, Players!$A$1:$P$1, 0)), perc_75, VLOOKUP(J$2, Percentiles!$A$45:$I$59, 6, FALSE), perc_90, VLOOKUP(J$2, Percentiles!$A$45:$I$59, 7, FALSE), perc_95, VLOOKUP(J$2, Percentiles!$A$45:$I$59, 8, FALSE), perc_85, perc_75 + (perc_90 - perc_75) * (2/3), converted_stat, '2K_Ratings'!J395, IF(bbgm_stat &gt;= perc_95, converted_stat * 3, IF(bbgm_stat &gt;= perc_90, converted_stat * 2, IF(bbgm_stat &gt;= perc_85, converted_stat * 1.5, converted_stat)))))</f>
        <v/>
      </c>
      <c r="K395" s="30" t="str">
        <f t="array" ref="K395">IF($A395="", "", LET(bbgm_stat, INDEX(Players!$A394:$P394, MATCH(K$2, Players!$A$1:$P$1, 0)), perc_75, VLOOKUP(K$2, Percentiles!$A$45:$I$59, 6, FALSE), perc_90, VLOOKUP(K$2, Percentiles!$A$45:$I$59, 7, FALSE), perc_95, VLOOKUP(K$2, Percentiles!$A$45:$I$59, 8, FALSE), perc_85, perc_75 + (perc_90 - perc_75) * (2/3), converted_stat, '2K_Ratings'!K395, IF(bbgm_stat &gt;= perc_95, converted_stat * 3, IF(bbgm_stat &gt;= perc_90, converted_stat * 2, IF(bbgm_stat &gt;= perc_85, converted_stat * 1.5, converted_stat)))))</f>
        <v/>
      </c>
      <c r="L395" s="30" t="str">
        <f t="array" ref="L395">IF($A395="", "", LET(bbgm_stat, INDEX(Players!$A394:$P394, MATCH(L$2, Players!$A$1:$P$1, 0)), perc_75, VLOOKUP(L$2, Percentiles!$A$45:$I$59, 6, FALSE), perc_90, VLOOKUP(L$2, Percentiles!$A$45:$I$59, 7, FALSE), perc_95, VLOOKUP(L$2, Percentiles!$A$45:$I$59, 8, FALSE), perc_85, perc_75 + (perc_90 - perc_75) * (2/3), converted_stat, '2K_Ratings'!L395, IF(bbgm_stat &gt;= perc_95, converted_stat * 3, IF(bbgm_stat &gt;= perc_90, converted_stat * 2, IF(bbgm_stat &gt;= perc_85, converted_stat * 1.5, converted_stat)))))</f>
        <v/>
      </c>
      <c r="M395" s="30" t="str">
        <f t="array" ref="M395">IF($A395="", "", LET(bbgm_stat, INDEX(Players!$A394:$P394, MATCH(M$2, Players!$A$1:$P$1, 0)), perc_75, VLOOKUP(M$2, Percentiles!$A$45:$I$59, 6, FALSE), perc_90, VLOOKUP(M$2, Percentiles!$A$45:$I$59, 7, FALSE), perc_95, VLOOKUP(M$2, Percentiles!$A$45:$I$59, 8, FALSE), perc_85, perc_75 + (perc_90 - perc_75) * (2/3), converted_stat, '2K_Ratings'!M395, IF(bbgm_stat &gt;= perc_95, converted_stat * 3, IF(bbgm_stat &gt;= perc_90, converted_stat * 2, IF(bbgm_stat &gt;= perc_85, converted_stat * 1.5, converted_stat)))))</f>
        <v/>
      </c>
      <c r="N395" s="30" t="str">
        <f t="array" ref="N395">IF($A395="", "", LET(bbgm_stat, INDEX(Players!$A394:$P394, MATCH(N$2, Players!$A$1:$P$1, 0)), perc_75, VLOOKUP(N$2, Percentiles!$A$45:$I$59, 6, FALSE), perc_90, VLOOKUP(N$2, Percentiles!$A$45:$I$59, 7, FALSE), perc_95, VLOOKUP(N$2, Percentiles!$A$45:$I$59, 8, FALSE), perc_85, perc_75 + (perc_90 - perc_75) * (2/3), converted_stat, '2K_Ratings'!N395, IF(bbgm_stat &gt;= perc_95, converted_stat * 3, IF(bbgm_stat &gt;= perc_90, converted_stat * 2, IF(bbgm_stat &gt;= perc_85, converted_stat * 1.5, converted_stat)))))</f>
        <v/>
      </c>
      <c r="O395" s="30" t="str">
        <f t="array" ref="O395">IF($A395="", "", LET(bbgm_stat, INDEX(Players!$A394:$P394, MATCH(O$2, Players!$A$1:$P$1, 0)), perc_75, VLOOKUP(O$2, Percentiles!$A$45:$I$59, 6, FALSE), perc_90, VLOOKUP(O$2, Percentiles!$A$45:$I$59, 7, FALSE), perc_95, VLOOKUP(O$2, Percentiles!$A$45:$I$59, 8, FALSE), perc_85, perc_75 + (perc_90 - perc_75) * (2/3), converted_stat, '2K_Ratings'!O395, IF(bbgm_stat &gt;= perc_95, converted_stat * 3, IF(bbgm_stat &gt;= perc_90, converted_stat * 2, IF(bbgm_stat &gt;= perc_85, converted_stat * 1.5, converted_stat)))))</f>
        <v/>
      </c>
      <c r="P395" s="30" t="str">
        <f t="array" ref="P395">IF($A395="", "", LET(bbgm_stat, INDEX(Players!$A394:$P394, MATCH(P$2, Players!$A$1:$P$1, 0)), perc_75, VLOOKUP(P$2, Percentiles!$A$45:$I$59, 6, FALSE), perc_90, VLOOKUP(P$2, Percentiles!$A$45:$I$59, 7, FALSE), perc_95, VLOOKUP(P$2, Percentiles!$A$45:$I$59, 8, FALSE), perc_85, perc_75 + (perc_90 - perc_75) * (2/3), converted_stat, '2K_Ratings'!P395, IF(bbgm_stat &gt;= perc_95, converted_stat * 3, IF(bbgm_stat &gt;= perc_90, converted_stat * 2, IF(bbgm_stat &gt;= perc_85, converted_stat * 1.5, converted_stat)))))</f>
        <v/>
      </c>
      <c r="Q395" s="30" t="str">
        <f t="array" ref="Q395">IF($A395="", "", LET(bbgm_stat, INDEX(Players!$A394:$P394, MATCH(Q$2, Players!$A$1:$P$1, 0)), perc_75, VLOOKUP(Q$2, Percentiles!$A$45:$I$59, 6, FALSE), perc_90, VLOOKUP(Q$2, Percentiles!$A$45:$I$59, 7, FALSE), perc_95, VLOOKUP(Q$2, Percentiles!$A$45:$I$59, 8, FALSE), perc_85, perc_75 + (perc_90 - perc_75) * (2/3), converted_stat, '2K_Ratings'!Q395, IF(bbgm_stat &gt;= perc_95, converted_stat * 3, IF(bbgm_stat &gt;= perc_90, converted_stat * 2, IF(bbgm_stat &gt;= perc_85, converted_stat * 1.5, converted_stat)))))</f>
        <v/>
      </c>
      <c r="R395" s="30" t="str">
        <f t="array" ref="R395">IF($A395="", "", LET(bbgm_stat, INDEX(Players!$A394:$P394, MATCH(R$2, Players!$A$1:$P$1, 0)), perc_75, VLOOKUP(R$2, Percentiles!$A$45:$I$59, 6, FALSE), perc_90, VLOOKUP(R$2, Percentiles!$A$45:$I$59, 7, FALSE), perc_95, VLOOKUP(R$2, Percentiles!$A$45:$I$59, 8, FALSE), perc_85, perc_75 + (perc_90 - perc_75) * (2/3), converted_stat, '2K_Ratings'!R395, IF(bbgm_stat &gt;= perc_95, converted_stat * 3, IF(bbgm_stat &gt;= perc_90, converted_stat * 2, IF(bbgm_stat &gt;= perc_85, converted_stat * 1.5, converted_stat)))))</f>
        <v/>
      </c>
      <c r="S395" s="30" t="str">
        <f t="array" ref="S395">IF($A395="", "", LET(bbgm_stat, INDEX(Players!$A394:$P394, MATCH(S$2, Players!$A$1:$P$1, 0)), perc_75, VLOOKUP(S$2, Percentiles!$A$45:$I$59, 6, FALSE), perc_90, VLOOKUP(S$2, Percentiles!$A$45:$I$59, 7, FALSE), perc_95, VLOOKUP(S$2, Percentiles!$A$45:$I$59, 8, FALSE), perc_85, perc_75 + (perc_90 - perc_75) * (2/3), converted_stat, '2K_Ratings'!S395, IF(bbgm_stat &gt;= perc_95, converted_stat * 3, IF(bbgm_stat &gt;= perc_90, converted_stat * 2, IF(bbgm_stat &gt;= perc_85, converted_stat * 1.5, converted_stat)))))</f>
        <v/>
      </c>
      <c r="T395" s="30" t="str">
        <f t="array" ref="T395">IF($A395="", "", LET(bbgm_stat, INDEX(Players!$A394:$P394, MATCH(T$2, Players!$A$1:$P$1, 0)), perc_75, VLOOKUP(T$2, Percentiles!$A$45:$I$59, 6, FALSE), perc_90, VLOOKUP(T$2, Percentiles!$A$45:$I$59, 7, FALSE), perc_95, VLOOKUP(T$2, Percentiles!$A$45:$I$59, 8, FALSE), perc_85, perc_75 + (perc_90 - perc_75) * (2/3), converted_stat, '2K_Ratings'!T395, IF(bbgm_stat &gt;= perc_95, converted_stat * 3, IF(bbgm_stat &gt;= perc_90, converted_stat * 2, IF(bbgm_stat &gt;= perc_85, converted_stat * 1.5, converted_stat)))))</f>
        <v/>
      </c>
      <c r="U395" s="30" t="str">
        <f t="array" ref="U395">IF($A395="", "", LET(bbgm_stat, INDEX(Players!$A394:$P394, MATCH(U$2, Players!$A$1:$P$1, 0)), perc_75, VLOOKUP(U$2, Percentiles!$A$45:$I$59, 6, FALSE), perc_90, VLOOKUP(U$2, Percentiles!$A$45:$I$59, 7, FALSE), perc_95, VLOOKUP(U$2, Percentiles!$A$45:$I$59, 8, FALSE), perc_85, perc_75 + (perc_90 - perc_75) * (2/3), converted_stat, '2K_Ratings'!U395, IF(bbgm_stat &gt;= perc_95, converted_stat * 3, IF(bbgm_stat &gt;= perc_90, converted_stat * 2, IF(bbgm_stat &gt;= perc_85, converted_stat * 1.5, converted_stat)))))</f>
        <v/>
      </c>
      <c r="V395" s="30" t="str">
        <f t="array" ref="V395">IF($A395="", "", LET(bbgm_stat, INDEX(Players!$A394:$P394, MATCH(V$2, Players!$A$1:$P$1, 0)), perc_75, VLOOKUP(V$2, Percentiles!$A$45:$I$59, 6, FALSE), perc_90, VLOOKUP(V$2, Percentiles!$A$45:$I$59, 7, FALSE), perc_95, VLOOKUP(V$2, Percentiles!$A$45:$I$59, 8, FALSE), perc_85, perc_75 + (perc_90 - perc_75) * (2/3), converted_stat, '2K_Ratings'!V395, IF(bbgm_stat &gt;= perc_95, converted_stat * 3, IF(bbgm_stat &gt;= perc_90, converted_stat * 2, IF(bbgm_stat &gt;= perc_85, converted_stat * 1.5, converted_stat)))))</f>
        <v/>
      </c>
      <c r="W395" s="30" t="str">
        <f t="array" ref="W395">IF($A395="", "", LET(bbgm_stat, INDEX(Players!$A394:$P394, MATCH(W$2, Players!$A$1:$P$1, 0)), perc_75, VLOOKUP(W$2, Percentiles!$A$45:$I$59, 6, FALSE), perc_90, VLOOKUP(W$2, Percentiles!$A$45:$I$59, 7, FALSE), perc_95, VLOOKUP(W$2, Percentiles!$A$45:$I$59, 8, FALSE), perc_85, perc_75 + (perc_90 - perc_75) * (2/3), converted_stat, '2K_Ratings'!W395, IF(bbgm_stat &gt;= perc_95, converted_stat * 3, IF(bbgm_stat &gt;= perc_90, converted_stat * 2, IF(bbgm_stat &gt;= perc_85, converted_stat * 1.5, converted_stat)))))</f>
        <v/>
      </c>
    </row>
    <row r="396">
      <c r="A396" s="30"/>
      <c r="B396" s="30" t="str">
        <f t="array" ref="B396">IF($A396="", "", LET(bbgm_stat, INDEX(Players!$A395:$P395, MATCH(B$2, Players!$A$1:$P$1, 0)), perc_75, VLOOKUP(B$2, Percentiles!$A$45:$I$59, 6, FALSE), perc_90, VLOOKUP(B$2, Percentiles!$A$45:$I$59, 7, FALSE), perc_95, VLOOKUP(B$2, Percentiles!$A$45:$I$59, 8, FALSE), perc_85, perc_75 + (perc_90 - perc_75) * (2/3), converted_stat, '2K_Ratings'!B396, IF(bbgm_stat &gt;= perc_95, converted_stat * 3, IF(bbgm_stat &gt;= perc_90, converted_stat * 2, IF(bbgm_stat &gt;= perc_85, converted_stat * 1.5, converted_stat)))))</f>
        <v/>
      </c>
      <c r="C396" s="30" t="str">
        <f t="array" ref="C396">IF($A396="", "", LET(bbgm_stat, INDEX(Players!$A395:$P395, MATCH(C$2, Players!$A$1:$P$1, 0)), perc_75, VLOOKUP(C$2, Percentiles!$A$45:$I$59, 6, FALSE), perc_90, VLOOKUP(C$2, Percentiles!$A$45:$I$59, 7, FALSE), perc_95, VLOOKUP(C$2, Percentiles!$A$45:$I$59, 8, FALSE), perc_85, perc_75 + (perc_90 - perc_75) * (2/3), converted_stat, '2K_Ratings'!C396, IF(bbgm_stat &gt;= perc_95, converted_stat * 3, IF(bbgm_stat &gt;= perc_90, converted_stat * 2, IF(bbgm_stat &gt;= perc_85, converted_stat * 1.5, converted_stat)))))</f>
        <v/>
      </c>
      <c r="D396" s="30" t="str">
        <f t="array" ref="D396">IF($A396="", "", LET(bbgm_stat, INDEX(Players!$A395:$P395, MATCH(D$2, Players!$A$1:$P$1, 0)), perc_75, VLOOKUP(D$2, Percentiles!$A$45:$I$59, 6, FALSE), perc_90, VLOOKUP(D$2, Percentiles!$A$45:$I$59, 7, FALSE), perc_95, VLOOKUP(D$2, Percentiles!$A$45:$I$59, 8, FALSE), perc_85, perc_75 + (perc_90 - perc_75) * (2/3), converted_stat, '2K_Ratings'!D396, IF(bbgm_stat &gt;= perc_95, converted_stat * 3, IF(bbgm_stat &gt;= perc_90, converted_stat * 2, IF(bbgm_stat &gt;= perc_85, converted_stat * 1.5, converted_stat)))))</f>
        <v/>
      </c>
      <c r="E396" s="30" t="str">
        <f t="array" ref="E396">IF($A396="", "", LET(bbgm_stat, INDEX(Players!$A395:$P395, MATCH(E$2, Players!$A$1:$P$1, 0)), perc_75, VLOOKUP(E$2, Percentiles!$A$45:$I$59, 6, FALSE), perc_90, VLOOKUP(E$2, Percentiles!$A$45:$I$59, 7, FALSE), perc_95, VLOOKUP(E$2, Percentiles!$A$45:$I$59, 8, FALSE), perc_85, perc_75 + (perc_90 - perc_75) * (2/3), converted_stat, '2K_Ratings'!E396, IF(bbgm_stat &gt;= perc_95, converted_stat * 3, IF(bbgm_stat &gt;= perc_90, converted_stat * 2, IF(bbgm_stat &gt;= perc_85, converted_stat * 1.5, converted_stat)))))</f>
        <v/>
      </c>
      <c r="F396" s="30" t="str">
        <f t="array" ref="F396">IF($A396="", "", LET(bbgm_stat, INDEX(Players!$A395:$P395, MATCH(F$2, Players!$A$1:$P$1, 0)), perc_75, VLOOKUP(F$2, Percentiles!$A$45:$I$59, 6, FALSE), perc_90, VLOOKUP(F$2, Percentiles!$A$45:$I$59, 7, FALSE), perc_95, VLOOKUP(F$2, Percentiles!$A$45:$I$59, 8, FALSE), perc_85, perc_75 + (perc_90 - perc_75) * (2/3), converted_stat, '2K_Ratings'!F396, IF(bbgm_stat &gt;= perc_95, converted_stat * 3, IF(bbgm_stat &gt;= perc_90, converted_stat * 2, IF(bbgm_stat &gt;= perc_85, converted_stat * 1.5, converted_stat)))))</f>
        <v/>
      </c>
      <c r="G396" s="30" t="str">
        <f t="array" ref="G396">IF($A396="", "", LET(bbgm_stat, INDEX(Players!$A395:$P395, MATCH(G$2, Players!$A$1:$P$1, 0)), perc_75, VLOOKUP(G$2, Percentiles!$A$45:$I$59, 6, FALSE), perc_90, VLOOKUP(G$2, Percentiles!$A$45:$I$59, 7, FALSE), perc_95, VLOOKUP(G$2, Percentiles!$A$45:$I$59, 8, FALSE), perc_85, perc_75 + (perc_90 - perc_75) * (2/3), converted_stat, '2K_Ratings'!G396, IF(bbgm_stat &gt;= perc_95, converted_stat * 3, IF(bbgm_stat &gt;= perc_90, converted_stat * 2, IF(bbgm_stat &gt;= perc_85, converted_stat * 1.5, converted_stat)))))</f>
        <v/>
      </c>
      <c r="H396" s="30" t="str">
        <f t="array" ref="H396">IF($A396="", "", LET(bbgm_stat, INDEX(Players!$A395:$P395, MATCH(H$2, Players!$A$1:$P$1, 0)), perc_75, VLOOKUP(H$2, Percentiles!$A$45:$I$59, 6, FALSE), perc_90, VLOOKUP(H$2, Percentiles!$A$45:$I$59, 7, FALSE), perc_95, VLOOKUP(H$2, Percentiles!$A$45:$I$59, 8, FALSE), perc_85, perc_75 + (perc_90 - perc_75) * (2/3), converted_stat, '2K_Ratings'!H396, IF(bbgm_stat &gt;= perc_95, converted_stat * 3, IF(bbgm_stat &gt;= perc_90, converted_stat * 2, IF(bbgm_stat &gt;= perc_85, converted_stat * 1.5, converted_stat)))))</f>
        <v/>
      </c>
      <c r="I396" s="30" t="str">
        <f t="array" ref="I396">IF($A396="", "", LET(bbgm_stat, INDEX(Players!$A395:$P395, MATCH(I$2, Players!$A$1:$P$1, 0)), perc_75, VLOOKUP(I$2, Percentiles!$A$45:$I$59, 6, FALSE), perc_90, VLOOKUP(I$2, Percentiles!$A$45:$I$59, 7, FALSE), perc_95, VLOOKUP(I$2, Percentiles!$A$45:$I$59, 8, FALSE), perc_85, perc_75 + (perc_90 - perc_75) * (2/3), converted_stat, '2K_Ratings'!I396, IF(bbgm_stat &gt;= perc_95, converted_stat * 3, IF(bbgm_stat &gt;= perc_90, converted_stat * 2, IF(bbgm_stat &gt;= perc_85, converted_stat * 1.5, converted_stat)))))</f>
        <v/>
      </c>
      <c r="J396" s="30" t="str">
        <f t="array" ref="J396">IF($A396="", "", LET(bbgm_stat, INDEX(Players!$A395:$P395, MATCH(J$2, Players!$A$1:$P$1, 0)), perc_75, VLOOKUP(J$2, Percentiles!$A$45:$I$59, 6, FALSE), perc_90, VLOOKUP(J$2, Percentiles!$A$45:$I$59, 7, FALSE), perc_95, VLOOKUP(J$2, Percentiles!$A$45:$I$59, 8, FALSE), perc_85, perc_75 + (perc_90 - perc_75) * (2/3), converted_stat, '2K_Ratings'!J396, IF(bbgm_stat &gt;= perc_95, converted_stat * 3, IF(bbgm_stat &gt;= perc_90, converted_stat * 2, IF(bbgm_stat &gt;= perc_85, converted_stat * 1.5, converted_stat)))))</f>
        <v/>
      </c>
      <c r="K396" s="30" t="str">
        <f t="array" ref="K396">IF($A396="", "", LET(bbgm_stat, INDEX(Players!$A395:$P395, MATCH(K$2, Players!$A$1:$P$1, 0)), perc_75, VLOOKUP(K$2, Percentiles!$A$45:$I$59, 6, FALSE), perc_90, VLOOKUP(K$2, Percentiles!$A$45:$I$59, 7, FALSE), perc_95, VLOOKUP(K$2, Percentiles!$A$45:$I$59, 8, FALSE), perc_85, perc_75 + (perc_90 - perc_75) * (2/3), converted_stat, '2K_Ratings'!K396, IF(bbgm_stat &gt;= perc_95, converted_stat * 3, IF(bbgm_stat &gt;= perc_90, converted_stat * 2, IF(bbgm_stat &gt;= perc_85, converted_stat * 1.5, converted_stat)))))</f>
        <v/>
      </c>
      <c r="L396" s="30" t="str">
        <f t="array" ref="L396">IF($A396="", "", LET(bbgm_stat, INDEX(Players!$A395:$P395, MATCH(L$2, Players!$A$1:$P$1, 0)), perc_75, VLOOKUP(L$2, Percentiles!$A$45:$I$59, 6, FALSE), perc_90, VLOOKUP(L$2, Percentiles!$A$45:$I$59, 7, FALSE), perc_95, VLOOKUP(L$2, Percentiles!$A$45:$I$59, 8, FALSE), perc_85, perc_75 + (perc_90 - perc_75) * (2/3), converted_stat, '2K_Ratings'!L396, IF(bbgm_stat &gt;= perc_95, converted_stat * 3, IF(bbgm_stat &gt;= perc_90, converted_stat * 2, IF(bbgm_stat &gt;= perc_85, converted_stat * 1.5, converted_stat)))))</f>
        <v/>
      </c>
      <c r="M396" s="30" t="str">
        <f t="array" ref="M396">IF($A396="", "", LET(bbgm_stat, INDEX(Players!$A395:$P395, MATCH(M$2, Players!$A$1:$P$1, 0)), perc_75, VLOOKUP(M$2, Percentiles!$A$45:$I$59, 6, FALSE), perc_90, VLOOKUP(M$2, Percentiles!$A$45:$I$59, 7, FALSE), perc_95, VLOOKUP(M$2, Percentiles!$A$45:$I$59, 8, FALSE), perc_85, perc_75 + (perc_90 - perc_75) * (2/3), converted_stat, '2K_Ratings'!M396, IF(bbgm_stat &gt;= perc_95, converted_stat * 3, IF(bbgm_stat &gt;= perc_90, converted_stat * 2, IF(bbgm_stat &gt;= perc_85, converted_stat * 1.5, converted_stat)))))</f>
        <v/>
      </c>
      <c r="N396" s="30" t="str">
        <f t="array" ref="N396">IF($A396="", "", LET(bbgm_stat, INDEX(Players!$A395:$P395, MATCH(N$2, Players!$A$1:$P$1, 0)), perc_75, VLOOKUP(N$2, Percentiles!$A$45:$I$59, 6, FALSE), perc_90, VLOOKUP(N$2, Percentiles!$A$45:$I$59, 7, FALSE), perc_95, VLOOKUP(N$2, Percentiles!$A$45:$I$59, 8, FALSE), perc_85, perc_75 + (perc_90 - perc_75) * (2/3), converted_stat, '2K_Ratings'!N396, IF(bbgm_stat &gt;= perc_95, converted_stat * 3, IF(bbgm_stat &gt;= perc_90, converted_stat * 2, IF(bbgm_stat &gt;= perc_85, converted_stat * 1.5, converted_stat)))))</f>
        <v/>
      </c>
      <c r="O396" s="30" t="str">
        <f t="array" ref="O396">IF($A396="", "", LET(bbgm_stat, INDEX(Players!$A395:$P395, MATCH(O$2, Players!$A$1:$P$1, 0)), perc_75, VLOOKUP(O$2, Percentiles!$A$45:$I$59, 6, FALSE), perc_90, VLOOKUP(O$2, Percentiles!$A$45:$I$59, 7, FALSE), perc_95, VLOOKUP(O$2, Percentiles!$A$45:$I$59, 8, FALSE), perc_85, perc_75 + (perc_90 - perc_75) * (2/3), converted_stat, '2K_Ratings'!O396, IF(bbgm_stat &gt;= perc_95, converted_stat * 3, IF(bbgm_stat &gt;= perc_90, converted_stat * 2, IF(bbgm_stat &gt;= perc_85, converted_stat * 1.5, converted_stat)))))</f>
        <v/>
      </c>
      <c r="P396" s="30" t="str">
        <f t="array" ref="P396">IF($A396="", "", LET(bbgm_stat, INDEX(Players!$A395:$P395, MATCH(P$2, Players!$A$1:$P$1, 0)), perc_75, VLOOKUP(P$2, Percentiles!$A$45:$I$59, 6, FALSE), perc_90, VLOOKUP(P$2, Percentiles!$A$45:$I$59, 7, FALSE), perc_95, VLOOKUP(P$2, Percentiles!$A$45:$I$59, 8, FALSE), perc_85, perc_75 + (perc_90 - perc_75) * (2/3), converted_stat, '2K_Ratings'!P396, IF(bbgm_stat &gt;= perc_95, converted_stat * 3, IF(bbgm_stat &gt;= perc_90, converted_stat * 2, IF(bbgm_stat &gt;= perc_85, converted_stat * 1.5, converted_stat)))))</f>
        <v/>
      </c>
      <c r="Q396" s="30" t="str">
        <f t="array" ref="Q396">IF($A396="", "", LET(bbgm_stat, INDEX(Players!$A395:$P395, MATCH(Q$2, Players!$A$1:$P$1, 0)), perc_75, VLOOKUP(Q$2, Percentiles!$A$45:$I$59, 6, FALSE), perc_90, VLOOKUP(Q$2, Percentiles!$A$45:$I$59, 7, FALSE), perc_95, VLOOKUP(Q$2, Percentiles!$A$45:$I$59, 8, FALSE), perc_85, perc_75 + (perc_90 - perc_75) * (2/3), converted_stat, '2K_Ratings'!Q396, IF(bbgm_stat &gt;= perc_95, converted_stat * 3, IF(bbgm_stat &gt;= perc_90, converted_stat * 2, IF(bbgm_stat &gt;= perc_85, converted_stat * 1.5, converted_stat)))))</f>
        <v/>
      </c>
      <c r="R396" s="30" t="str">
        <f t="array" ref="R396">IF($A396="", "", LET(bbgm_stat, INDEX(Players!$A395:$P395, MATCH(R$2, Players!$A$1:$P$1, 0)), perc_75, VLOOKUP(R$2, Percentiles!$A$45:$I$59, 6, FALSE), perc_90, VLOOKUP(R$2, Percentiles!$A$45:$I$59, 7, FALSE), perc_95, VLOOKUP(R$2, Percentiles!$A$45:$I$59, 8, FALSE), perc_85, perc_75 + (perc_90 - perc_75) * (2/3), converted_stat, '2K_Ratings'!R396, IF(bbgm_stat &gt;= perc_95, converted_stat * 3, IF(bbgm_stat &gt;= perc_90, converted_stat * 2, IF(bbgm_stat &gt;= perc_85, converted_stat * 1.5, converted_stat)))))</f>
        <v/>
      </c>
      <c r="S396" s="30" t="str">
        <f t="array" ref="S396">IF($A396="", "", LET(bbgm_stat, INDEX(Players!$A395:$P395, MATCH(S$2, Players!$A$1:$P$1, 0)), perc_75, VLOOKUP(S$2, Percentiles!$A$45:$I$59, 6, FALSE), perc_90, VLOOKUP(S$2, Percentiles!$A$45:$I$59, 7, FALSE), perc_95, VLOOKUP(S$2, Percentiles!$A$45:$I$59, 8, FALSE), perc_85, perc_75 + (perc_90 - perc_75) * (2/3), converted_stat, '2K_Ratings'!S396, IF(bbgm_stat &gt;= perc_95, converted_stat * 3, IF(bbgm_stat &gt;= perc_90, converted_stat * 2, IF(bbgm_stat &gt;= perc_85, converted_stat * 1.5, converted_stat)))))</f>
        <v/>
      </c>
      <c r="T396" s="30" t="str">
        <f t="array" ref="T396">IF($A396="", "", LET(bbgm_stat, INDEX(Players!$A395:$P395, MATCH(T$2, Players!$A$1:$P$1, 0)), perc_75, VLOOKUP(T$2, Percentiles!$A$45:$I$59, 6, FALSE), perc_90, VLOOKUP(T$2, Percentiles!$A$45:$I$59, 7, FALSE), perc_95, VLOOKUP(T$2, Percentiles!$A$45:$I$59, 8, FALSE), perc_85, perc_75 + (perc_90 - perc_75) * (2/3), converted_stat, '2K_Ratings'!T396, IF(bbgm_stat &gt;= perc_95, converted_stat * 3, IF(bbgm_stat &gt;= perc_90, converted_stat * 2, IF(bbgm_stat &gt;= perc_85, converted_stat * 1.5, converted_stat)))))</f>
        <v/>
      </c>
      <c r="U396" s="30" t="str">
        <f t="array" ref="U396">IF($A396="", "", LET(bbgm_stat, INDEX(Players!$A395:$P395, MATCH(U$2, Players!$A$1:$P$1, 0)), perc_75, VLOOKUP(U$2, Percentiles!$A$45:$I$59, 6, FALSE), perc_90, VLOOKUP(U$2, Percentiles!$A$45:$I$59, 7, FALSE), perc_95, VLOOKUP(U$2, Percentiles!$A$45:$I$59, 8, FALSE), perc_85, perc_75 + (perc_90 - perc_75) * (2/3), converted_stat, '2K_Ratings'!U396, IF(bbgm_stat &gt;= perc_95, converted_stat * 3, IF(bbgm_stat &gt;= perc_90, converted_stat * 2, IF(bbgm_stat &gt;= perc_85, converted_stat * 1.5, converted_stat)))))</f>
        <v/>
      </c>
      <c r="V396" s="30" t="str">
        <f t="array" ref="V396">IF($A396="", "", LET(bbgm_stat, INDEX(Players!$A395:$P395, MATCH(V$2, Players!$A$1:$P$1, 0)), perc_75, VLOOKUP(V$2, Percentiles!$A$45:$I$59, 6, FALSE), perc_90, VLOOKUP(V$2, Percentiles!$A$45:$I$59, 7, FALSE), perc_95, VLOOKUP(V$2, Percentiles!$A$45:$I$59, 8, FALSE), perc_85, perc_75 + (perc_90 - perc_75) * (2/3), converted_stat, '2K_Ratings'!V396, IF(bbgm_stat &gt;= perc_95, converted_stat * 3, IF(bbgm_stat &gt;= perc_90, converted_stat * 2, IF(bbgm_stat &gt;= perc_85, converted_stat * 1.5, converted_stat)))))</f>
        <v/>
      </c>
      <c r="W396" s="30" t="str">
        <f t="array" ref="W396">IF($A396="", "", LET(bbgm_stat, INDEX(Players!$A395:$P395, MATCH(W$2, Players!$A$1:$P$1, 0)), perc_75, VLOOKUP(W$2, Percentiles!$A$45:$I$59, 6, FALSE), perc_90, VLOOKUP(W$2, Percentiles!$A$45:$I$59, 7, FALSE), perc_95, VLOOKUP(W$2, Percentiles!$A$45:$I$59, 8, FALSE), perc_85, perc_75 + (perc_90 - perc_75) * (2/3), converted_stat, '2K_Ratings'!W396, IF(bbgm_stat &gt;= perc_95, converted_stat * 3, IF(bbgm_stat &gt;= perc_90, converted_stat * 2, IF(bbgm_stat &gt;= perc_85, converted_stat * 1.5, converted_stat)))))</f>
        <v/>
      </c>
    </row>
    <row r="397">
      <c r="A397" s="30"/>
      <c r="B397" s="30" t="str">
        <f t="array" ref="B397">IF($A397="", "", LET(bbgm_stat, INDEX(Players!$A396:$P396, MATCH(B$2, Players!$A$1:$P$1, 0)), perc_75, VLOOKUP(B$2, Percentiles!$A$45:$I$59, 6, FALSE), perc_90, VLOOKUP(B$2, Percentiles!$A$45:$I$59, 7, FALSE), perc_95, VLOOKUP(B$2, Percentiles!$A$45:$I$59, 8, FALSE), perc_85, perc_75 + (perc_90 - perc_75) * (2/3), converted_stat, '2K_Ratings'!B397, IF(bbgm_stat &gt;= perc_95, converted_stat * 3, IF(bbgm_stat &gt;= perc_90, converted_stat * 2, IF(bbgm_stat &gt;= perc_85, converted_stat * 1.5, converted_stat)))))</f>
        <v/>
      </c>
      <c r="C397" s="30" t="str">
        <f t="array" ref="C397">IF($A397="", "", LET(bbgm_stat, INDEX(Players!$A396:$P396, MATCH(C$2, Players!$A$1:$P$1, 0)), perc_75, VLOOKUP(C$2, Percentiles!$A$45:$I$59, 6, FALSE), perc_90, VLOOKUP(C$2, Percentiles!$A$45:$I$59, 7, FALSE), perc_95, VLOOKUP(C$2, Percentiles!$A$45:$I$59, 8, FALSE), perc_85, perc_75 + (perc_90 - perc_75) * (2/3), converted_stat, '2K_Ratings'!C397, IF(bbgm_stat &gt;= perc_95, converted_stat * 3, IF(bbgm_stat &gt;= perc_90, converted_stat * 2, IF(bbgm_stat &gt;= perc_85, converted_stat * 1.5, converted_stat)))))</f>
        <v/>
      </c>
      <c r="D397" s="30" t="str">
        <f t="array" ref="D397">IF($A397="", "", LET(bbgm_stat, INDEX(Players!$A396:$P396, MATCH(D$2, Players!$A$1:$P$1, 0)), perc_75, VLOOKUP(D$2, Percentiles!$A$45:$I$59, 6, FALSE), perc_90, VLOOKUP(D$2, Percentiles!$A$45:$I$59, 7, FALSE), perc_95, VLOOKUP(D$2, Percentiles!$A$45:$I$59, 8, FALSE), perc_85, perc_75 + (perc_90 - perc_75) * (2/3), converted_stat, '2K_Ratings'!D397, IF(bbgm_stat &gt;= perc_95, converted_stat * 3, IF(bbgm_stat &gt;= perc_90, converted_stat * 2, IF(bbgm_stat &gt;= perc_85, converted_stat * 1.5, converted_stat)))))</f>
        <v/>
      </c>
      <c r="E397" s="30" t="str">
        <f t="array" ref="E397">IF($A397="", "", LET(bbgm_stat, INDEX(Players!$A396:$P396, MATCH(E$2, Players!$A$1:$P$1, 0)), perc_75, VLOOKUP(E$2, Percentiles!$A$45:$I$59, 6, FALSE), perc_90, VLOOKUP(E$2, Percentiles!$A$45:$I$59, 7, FALSE), perc_95, VLOOKUP(E$2, Percentiles!$A$45:$I$59, 8, FALSE), perc_85, perc_75 + (perc_90 - perc_75) * (2/3), converted_stat, '2K_Ratings'!E397, IF(bbgm_stat &gt;= perc_95, converted_stat * 3, IF(bbgm_stat &gt;= perc_90, converted_stat * 2, IF(bbgm_stat &gt;= perc_85, converted_stat * 1.5, converted_stat)))))</f>
        <v/>
      </c>
      <c r="F397" s="30" t="str">
        <f t="array" ref="F397">IF($A397="", "", LET(bbgm_stat, INDEX(Players!$A396:$P396, MATCH(F$2, Players!$A$1:$P$1, 0)), perc_75, VLOOKUP(F$2, Percentiles!$A$45:$I$59, 6, FALSE), perc_90, VLOOKUP(F$2, Percentiles!$A$45:$I$59, 7, FALSE), perc_95, VLOOKUP(F$2, Percentiles!$A$45:$I$59, 8, FALSE), perc_85, perc_75 + (perc_90 - perc_75) * (2/3), converted_stat, '2K_Ratings'!F397, IF(bbgm_stat &gt;= perc_95, converted_stat * 3, IF(bbgm_stat &gt;= perc_90, converted_stat * 2, IF(bbgm_stat &gt;= perc_85, converted_stat * 1.5, converted_stat)))))</f>
        <v/>
      </c>
      <c r="G397" s="30" t="str">
        <f t="array" ref="G397">IF($A397="", "", LET(bbgm_stat, INDEX(Players!$A396:$P396, MATCH(G$2, Players!$A$1:$P$1, 0)), perc_75, VLOOKUP(G$2, Percentiles!$A$45:$I$59, 6, FALSE), perc_90, VLOOKUP(G$2, Percentiles!$A$45:$I$59, 7, FALSE), perc_95, VLOOKUP(G$2, Percentiles!$A$45:$I$59, 8, FALSE), perc_85, perc_75 + (perc_90 - perc_75) * (2/3), converted_stat, '2K_Ratings'!G397, IF(bbgm_stat &gt;= perc_95, converted_stat * 3, IF(bbgm_stat &gt;= perc_90, converted_stat * 2, IF(bbgm_stat &gt;= perc_85, converted_stat * 1.5, converted_stat)))))</f>
        <v/>
      </c>
      <c r="H397" s="30" t="str">
        <f t="array" ref="H397">IF($A397="", "", LET(bbgm_stat, INDEX(Players!$A396:$P396, MATCH(H$2, Players!$A$1:$P$1, 0)), perc_75, VLOOKUP(H$2, Percentiles!$A$45:$I$59, 6, FALSE), perc_90, VLOOKUP(H$2, Percentiles!$A$45:$I$59, 7, FALSE), perc_95, VLOOKUP(H$2, Percentiles!$A$45:$I$59, 8, FALSE), perc_85, perc_75 + (perc_90 - perc_75) * (2/3), converted_stat, '2K_Ratings'!H397, IF(bbgm_stat &gt;= perc_95, converted_stat * 3, IF(bbgm_stat &gt;= perc_90, converted_stat * 2, IF(bbgm_stat &gt;= perc_85, converted_stat * 1.5, converted_stat)))))</f>
        <v/>
      </c>
      <c r="I397" s="30" t="str">
        <f t="array" ref="I397">IF($A397="", "", LET(bbgm_stat, INDEX(Players!$A396:$P396, MATCH(I$2, Players!$A$1:$P$1, 0)), perc_75, VLOOKUP(I$2, Percentiles!$A$45:$I$59, 6, FALSE), perc_90, VLOOKUP(I$2, Percentiles!$A$45:$I$59, 7, FALSE), perc_95, VLOOKUP(I$2, Percentiles!$A$45:$I$59, 8, FALSE), perc_85, perc_75 + (perc_90 - perc_75) * (2/3), converted_stat, '2K_Ratings'!I397, IF(bbgm_stat &gt;= perc_95, converted_stat * 3, IF(bbgm_stat &gt;= perc_90, converted_stat * 2, IF(bbgm_stat &gt;= perc_85, converted_stat * 1.5, converted_stat)))))</f>
        <v/>
      </c>
      <c r="J397" s="30" t="str">
        <f t="array" ref="J397">IF($A397="", "", LET(bbgm_stat, INDEX(Players!$A396:$P396, MATCH(J$2, Players!$A$1:$P$1, 0)), perc_75, VLOOKUP(J$2, Percentiles!$A$45:$I$59, 6, FALSE), perc_90, VLOOKUP(J$2, Percentiles!$A$45:$I$59, 7, FALSE), perc_95, VLOOKUP(J$2, Percentiles!$A$45:$I$59, 8, FALSE), perc_85, perc_75 + (perc_90 - perc_75) * (2/3), converted_stat, '2K_Ratings'!J397, IF(bbgm_stat &gt;= perc_95, converted_stat * 3, IF(bbgm_stat &gt;= perc_90, converted_stat * 2, IF(bbgm_stat &gt;= perc_85, converted_stat * 1.5, converted_stat)))))</f>
        <v/>
      </c>
      <c r="K397" s="30" t="str">
        <f t="array" ref="K397">IF($A397="", "", LET(bbgm_stat, INDEX(Players!$A396:$P396, MATCH(K$2, Players!$A$1:$P$1, 0)), perc_75, VLOOKUP(K$2, Percentiles!$A$45:$I$59, 6, FALSE), perc_90, VLOOKUP(K$2, Percentiles!$A$45:$I$59, 7, FALSE), perc_95, VLOOKUP(K$2, Percentiles!$A$45:$I$59, 8, FALSE), perc_85, perc_75 + (perc_90 - perc_75) * (2/3), converted_stat, '2K_Ratings'!K397, IF(bbgm_stat &gt;= perc_95, converted_stat * 3, IF(bbgm_stat &gt;= perc_90, converted_stat * 2, IF(bbgm_stat &gt;= perc_85, converted_stat * 1.5, converted_stat)))))</f>
        <v/>
      </c>
      <c r="L397" s="30" t="str">
        <f t="array" ref="L397">IF($A397="", "", LET(bbgm_stat, INDEX(Players!$A396:$P396, MATCH(L$2, Players!$A$1:$P$1, 0)), perc_75, VLOOKUP(L$2, Percentiles!$A$45:$I$59, 6, FALSE), perc_90, VLOOKUP(L$2, Percentiles!$A$45:$I$59, 7, FALSE), perc_95, VLOOKUP(L$2, Percentiles!$A$45:$I$59, 8, FALSE), perc_85, perc_75 + (perc_90 - perc_75) * (2/3), converted_stat, '2K_Ratings'!L397, IF(bbgm_stat &gt;= perc_95, converted_stat * 3, IF(bbgm_stat &gt;= perc_90, converted_stat * 2, IF(bbgm_stat &gt;= perc_85, converted_stat * 1.5, converted_stat)))))</f>
        <v/>
      </c>
      <c r="M397" s="30" t="str">
        <f t="array" ref="M397">IF($A397="", "", LET(bbgm_stat, INDEX(Players!$A396:$P396, MATCH(M$2, Players!$A$1:$P$1, 0)), perc_75, VLOOKUP(M$2, Percentiles!$A$45:$I$59, 6, FALSE), perc_90, VLOOKUP(M$2, Percentiles!$A$45:$I$59, 7, FALSE), perc_95, VLOOKUP(M$2, Percentiles!$A$45:$I$59, 8, FALSE), perc_85, perc_75 + (perc_90 - perc_75) * (2/3), converted_stat, '2K_Ratings'!M397, IF(bbgm_stat &gt;= perc_95, converted_stat * 3, IF(bbgm_stat &gt;= perc_90, converted_stat * 2, IF(bbgm_stat &gt;= perc_85, converted_stat * 1.5, converted_stat)))))</f>
        <v/>
      </c>
      <c r="N397" s="30" t="str">
        <f t="array" ref="N397">IF($A397="", "", LET(bbgm_stat, INDEX(Players!$A396:$P396, MATCH(N$2, Players!$A$1:$P$1, 0)), perc_75, VLOOKUP(N$2, Percentiles!$A$45:$I$59, 6, FALSE), perc_90, VLOOKUP(N$2, Percentiles!$A$45:$I$59, 7, FALSE), perc_95, VLOOKUP(N$2, Percentiles!$A$45:$I$59, 8, FALSE), perc_85, perc_75 + (perc_90 - perc_75) * (2/3), converted_stat, '2K_Ratings'!N397, IF(bbgm_stat &gt;= perc_95, converted_stat * 3, IF(bbgm_stat &gt;= perc_90, converted_stat * 2, IF(bbgm_stat &gt;= perc_85, converted_stat * 1.5, converted_stat)))))</f>
        <v/>
      </c>
      <c r="O397" s="30" t="str">
        <f t="array" ref="O397">IF($A397="", "", LET(bbgm_stat, INDEX(Players!$A396:$P396, MATCH(O$2, Players!$A$1:$P$1, 0)), perc_75, VLOOKUP(O$2, Percentiles!$A$45:$I$59, 6, FALSE), perc_90, VLOOKUP(O$2, Percentiles!$A$45:$I$59, 7, FALSE), perc_95, VLOOKUP(O$2, Percentiles!$A$45:$I$59, 8, FALSE), perc_85, perc_75 + (perc_90 - perc_75) * (2/3), converted_stat, '2K_Ratings'!O397, IF(bbgm_stat &gt;= perc_95, converted_stat * 3, IF(bbgm_stat &gt;= perc_90, converted_stat * 2, IF(bbgm_stat &gt;= perc_85, converted_stat * 1.5, converted_stat)))))</f>
        <v/>
      </c>
      <c r="P397" s="30" t="str">
        <f t="array" ref="P397">IF($A397="", "", LET(bbgm_stat, INDEX(Players!$A396:$P396, MATCH(P$2, Players!$A$1:$P$1, 0)), perc_75, VLOOKUP(P$2, Percentiles!$A$45:$I$59, 6, FALSE), perc_90, VLOOKUP(P$2, Percentiles!$A$45:$I$59, 7, FALSE), perc_95, VLOOKUP(P$2, Percentiles!$A$45:$I$59, 8, FALSE), perc_85, perc_75 + (perc_90 - perc_75) * (2/3), converted_stat, '2K_Ratings'!P397, IF(bbgm_stat &gt;= perc_95, converted_stat * 3, IF(bbgm_stat &gt;= perc_90, converted_stat * 2, IF(bbgm_stat &gt;= perc_85, converted_stat * 1.5, converted_stat)))))</f>
        <v/>
      </c>
      <c r="Q397" s="30" t="str">
        <f t="array" ref="Q397">IF($A397="", "", LET(bbgm_stat, INDEX(Players!$A396:$P396, MATCH(Q$2, Players!$A$1:$P$1, 0)), perc_75, VLOOKUP(Q$2, Percentiles!$A$45:$I$59, 6, FALSE), perc_90, VLOOKUP(Q$2, Percentiles!$A$45:$I$59, 7, FALSE), perc_95, VLOOKUP(Q$2, Percentiles!$A$45:$I$59, 8, FALSE), perc_85, perc_75 + (perc_90 - perc_75) * (2/3), converted_stat, '2K_Ratings'!Q397, IF(bbgm_stat &gt;= perc_95, converted_stat * 3, IF(bbgm_stat &gt;= perc_90, converted_stat * 2, IF(bbgm_stat &gt;= perc_85, converted_stat * 1.5, converted_stat)))))</f>
        <v/>
      </c>
      <c r="R397" s="30" t="str">
        <f t="array" ref="R397">IF($A397="", "", LET(bbgm_stat, INDEX(Players!$A396:$P396, MATCH(R$2, Players!$A$1:$P$1, 0)), perc_75, VLOOKUP(R$2, Percentiles!$A$45:$I$59, 6, FALSE), perc_90, VLOOKUP(R$2, Percentiles!$A$45:$I$59, 7, FALSE), perc_95, VLOOKUP(R$2, Percentiles!$A$45:$I$59, 8, FALSE), perc_85, perc_75 + (perc_90 - perc_75) * (2/3), converted_stat, '2K_Ratings'!R397, IF(bbgm_stat &gt;= perc_95, converted_stat * 3, IF(bbgm_stat &gt;= perc_90, converted_stat * 2, IF(bbgm_stat &gt;= perc_85, converted_stat * 1.5, converted_stat)))))</f>
        <v/>
      </c>
      <c r="S397" s="30" t="str">
        <f t="array" ref="S397">IF($A397="", "", LET(bbgm_stat, INDEX(Players!$A396:$P396, MATCH(S$2, Players!$A$1:$P$1, 0)), perc_75, VLOOKUP(S$2, Percentiles!$A$45:$I$59, 6, FALSE), perc_90, VLOOKUP(S$2, Percentiles!$A$45:$I$59, 7, FALSE), perc_95, VLOOKUP(S$2, Percentiles!$A$45:$I$59, 8, FALSE), perc_85, perc_75 + (perc_90 - perc_75) * (2/3), converted_stat, '2K_Ratings'!S397, IF(bbgm_stat &gt;= perc_95, converted_stat * 3, IF(bbgm_stat &gt;= perc_90, converted_stat * 2, IF(bbgm_stat &gt;= perc_85, converted_stat * 1.5, converted_stat)))))</f>
        <v/>
      </c>
      <c r="T397" s="30" t="str">
        <f t="array" ref="T397">IF($A397="", "", LET(bbgm_stat, INDEX(Players!$A396:$P396, MATCH(T$2, Players!$A$1:$P$1, 0)), perc_75, VLOOKUP(T$2, Percentiles!$A$45:$I$59, 6, FALSE), perc_90, VLOOKUP(T$2, Percentiles!$A$45:$I$59, 7, FALSE), perc_95, VLOOKUP(T$2, Percentiles!$A$45:$I$59, 8, FALSE), perc_85, perc_75 + (perc_90 - perc_75) * (2/3), converted_stat, '2K_Ratings'!T397, IF(bbgm_stat &gt;= perc_95, converted_stat * 3, IF(bbgm_stat &gt;= perc_90, converted_stat * 2, IF(bbgm_stat &gt;= perc_85, converted_stat * 1.5, converted_stat)))))</f>
        <v/>
      </c>
      <c r="U397" s="30" t="str">
        <f t="array" ref="U397">IF($A397="", "", LET(bbgm_stat, INDEX(Players!$A396:$P396, MATCH(U$2, Players!$A$1:$P$1, 0)), perc_75, VLOOKUP(U$2, Percentiles!$A$45:$I$59, 6, FALSE), perc_90, VLOOKUP(U$2, Percentiles!$A$45:$I$59, 7, FALSE), perc_95, VLOOKUP(U$2, Percentiles!$A$45:$I$59, 8, FALSE), perc_85, perc_75 + (perc_90 - perc_75) * (2/3), converted_stat, '2K_Ratings'!U397, IF(bbgm_stat &gt;= perc_95, converted_stat * 3, IF(bbgm_stat &gt;= perc_90, converted_stat * 2, IF(bbgm_stat &gt;= perc_85, converted_stat * 1.5, converted_stat)))))</f>
        <v/>
      </c>
      <c r="V397" s="30" t="str">
        <f t="array" ref="V397">IF($A397="", "", LET(bbgm_stat, INDEX(Players!$A396:$P396, MATCH(V$2, Players!$A$1:$P$1, 0)), perc_75, VLOOKUP(V$2, Percentiles!$A$45:$I$59, 6, FALSE), perc_90, VLOOKUP(V$2, Percentiles!$A$45:$I$59, 7, FALSE), perc_95, VLOOKUP(V$2, Percentiles!$A$45:$I$59, 8, FALSE), perc_85, perc_75 + (perc_90 - perc_75) * (2/3), converted_stat, '2K_Ratings'!V397, IF(bbgm_stat &gt;= perc_95, converted_stat * 3, IF(bbgm_stat &gt;= perc_90, converted_stat * 2, IF(bbgm_stat &gt;= perc_85, converted_stat * 1.5, converted_stat)))))</f>
        <v/>
      </c>
      <c r="W397" s="30" t="str">
        <f t="array" ref="W397">IF($A397="", "", LET(bbgm_stat, INDEX(Players!$A396:$P396, MATCH(W$2, Players!$A$1:$P$1, 0)), perc_75, VLOOKUP(W$2, Percentiles!$A$45:$I$59, 6, FALSE), perc_90, VLOOKUP(W$2, Percentiles!$A$45:$I$59, 7, FALSE), perc_95, VLOOKUP(W$2, Percentiles!$A$45:$I$59, 8, FALSE), perc_85, perc_75 + (perc_90 - perc_75) * (2/3), converted_stat, '2K_Ratings'!W397, IF(bbgm_stat &gt;= perc_95, converted_stat * 3, IF(bbgm_stat &gt;= perc_90, converted_stat * 2, IF(bbgm_stat &gt;= perc_85, converted_stat * 1.5, converted_stat)))))</f>
        <v/>
      </c>
    </row>
    <row r="398">
      <c r="A398" s="30"/>
      <c r="B398" s="30" t="str">
        <f t="array" ref="B398">IF($A398="", "", LET(bbgm_stat, INDEX(Players!$A397:$P397, MATCH(B$2, Players!$A$1:$P$1, 0)), perc_75, VLOOKUP(B$2, Percentiles!$A$45:$I$59, 6, FALSE), perc_90, VLOOKUP(B$2, Percentiles!$A$45:$I$59, 7, FALSE), perc_95, VLOOKUP(B$2, Percentiles!$A$45:$I$59, 8, FALSE), perc_85, perc_75 + (perc_90 - perc_75) * (2/3), converted_stat, '2K_Ratings'!B398, IF(bbgm_stat &gt;= perc_95, converted_stat * 3, IF(bbgm_stat &gt;= perc_90, converted_stat * 2, IF(bbgm_stat &gt;= perc_85, converted_stat * 1.5, converted_stat)))))</f>
        <v/>
      </c>
      <c r="C398" s="30" t="str">
        <f t="array" ref="C398">IF($A398="", "", LET(bbgm_stat, INDEX(Players!$A397:$P397, MATCH(C$2, Players!$A$1:$P$1, 0)), perc_75, VLOOKUP(C$2, Percentiles!$A$45:$I$59, 6, FALSE), perc_90, VLOOKUP(C$2, Percentiles!$A$45:$I$59, 7, FALSE), perc_95, VLOOKUP(C$2, Percentiles!$A$45:$I$59, 8, FALSE), perc_85, perc_75 + (perc_90 - perc_75) * (2/3), converted_stat, '2K_Ratings'!C398, IF(bbgm_stat &gt;= perc_95, converted_stat * 3, IF(bbgm_stat &gt;= perc_90, converted_stat * 2, IF(bbgm_stat &gt;= perc_85, converted_stat * 1.5, converted_stat)))))</f>
        <v/>
      </c>
      <c r="D398" s="30" t="str">
        <f t="array" ref="D398">IF($A398="", "", LET(bbgm_stat, INDEX(Players!$A397:$P397, MATCH(D$2, Players!$A$1:$P$1, 0)), perc_75, VLOOKUP(D$2, Percentiles!$A$45:$I$59, 6, FALSE), perc_90, VLOOKUP(D$2, Percentiles!$A$45:$I$59, 7, FALSE), perc_95, VLOOKUP(D$2, Percentiles!$A$45:$I$59, 8, FALSE), perc_85, perc_75 + (perc_90 - perc_75) * (2/3), converted_stat, '2K_Ratings'!D398, IF(bbgm_stat &gt;= perc_95, converted_stat * 3, IF(bbgm_stat &gt;= perc_90, converted_stat * 2, IF(bbgm_stat &gt;= perc_85, converted_stat * 1.5, converted_stat)))))</f>
        <v/>
      </c>
      <c r="E398" s="30" t="str">
        <f t="array" ref="E398">IF($A398="", "", LET(bbgm_stat, INDEX(Players!$A397:$P397, MATCH(E$2, Players!$A$1:$P$1, 0)), perc_75, VLOOKUP(E$2, Percentiles!$A$45:$I$59, 6, FALSE), perc_90, VLOOKUP(E$2, Percentiles!$A$45:$I$59, 7, FALSE), perc_95, VLOOKUP(E$2, Percentiles!$A$45:$I$59, 8, FALSE), perc_85, perc_75 + (perc_90 - perc_75) * (2/3), converted_stat, '2K_Ratings'!E398, IF(bbgm_stat &gt;= perc_95, converted_stat * 3, IF(bbgm_stat &gt;= perc_90, converted_stat * 2, IF(bbgm_stat &gt;= perc_85, converted_stat * 1.5, converted_stat)))))</f>
        <v/>
      </c>
      <c r="F398" s="30" t="str">
        <f t="array" ref="F398">IF($A398="", "", LET(bbgm_stat, INDEX(Players!$A397:$P397, MATCH(F$2, Players!$A$1:$P$1, 0)), perc_75, VLOOKUP(F$2, Percentiles!$A$45:$I$59, 6, FALSE), perc_90, VLOOKUP(F$2, Percentiles!$A$45:$I$59, 7, FALSE), perc_95, VLOOKUP(F$2, Percentiles!$A$45:$I$59, 8, FALSE), perc_85, perc_75 + (perc_90 - perc_75) * (2/3), converted_stat, '2K_Ratings'!F398, IF(bbgm_stat &gt;= perc_95, converted_stat * 3, IF(bbgm_stat &gt;= perc_90, converted_stat * 2, IF(bbgm_stat &gt;= perc_85, converted_stat * 1.5, converted_stat)))))</f>
        <v/>
      </c>
      <c r="G398" s="30" t="str">
        <f t="array" ref="G398">IF($A398="", "", LET(bbgm_stat, INDEX(Players!$A397:$P397, MATCH(G$2, Players!$A$1:$P$1, 0)), perc_75, VLOOKUP(G$2, Percentiles!$A$45:$I$59, 6, FALSE), perc_90, VLOOKUP(G$2, Percentiles!$A$45:$I$59, 7, FALSE), perc_95, VLOOKUP(G$2, Percentiles!$A$45:$I$59, 8, FALSE), perc_85, perc_75 + (perc_90 - perc_75) * (2/3), converted_stat, '2K_Ratings'!G398, IF(bbgm_stat &gt;= perc_95, converted_stat * 3, IF(bbgm_stat &gt;= perc_90, converted_stat * 2, IF(bbgm_stat &gt;= perc_85, converted_stat * 1.5, converted_stat)))))</f>
        <v/>
      </c>
      <c r="H398" s="30" t="str">
        <f t="array" ref="H398">IF($A398="", "", LET(bbgm_stat, INDEX(Players!$A397:$P397, MATCH(H$2, Players!$A$1:$P$1, 0)), perc_75, VLOOKUP(H$2, Percentiles!$A$45:$I$59, 6, FALSE), perc_90, VLOOKUP(H$2, Percentiles!$A$45:$I$59, 7, FALSE), perc_95, VLOOKUP(H$2, Percentiles!$A$45:$I$59, 8, FALSE), perc_85, perc_75 + (perc_90 - perc_75) * (2/3), converted_stat, '2K_Ratings'!H398, IF(bbgm_stat &gt;= perc_95, converted_stat * 3, IF(bbgm_stat &gt;= perc_90, converted_stat * 2, IF(bbgm_stat &gt;= perc_85, converted_stat * 1.5, converted_stat)))))</f>
        <v/>
      </c>
      <c r="I398" s="30" t="str">
        <f t="array" ref="I398">IF($A398="", "", LET(bbgm_stat, INDEX(Players!$A397:$P397, MATCH(I$2, Players!$A$1:$P$1, 0)), perc_75, VLOOKUP(I$2, Percentiles!$A$45:$I$59, 6, FALSE), perc_90, VLOOKUP(I$2, Percentiles!$A$45:$I$59, 7, FALSE), perc_95, VLOOKUP(I$2, Percentiles!$A$45:$I$59, 8, FALSE), perc_85, perc_75 + (perc_90 - perc_75) * (2/3), converted_stat, '2K_Ratings'!I398, IF(bbgm_stat &gt;= perc_95, converted_stat * 3, IF(bbgm_stat &gt;= perc_90, converted_stat * 2, IF(bbgm_stat &gt;= perc_85, converted_stat * 1.5, converted_stat)))))</f>
        <v/>
      </c>
      <c r="J398" s="30" t="str">
        <f t="array" ref="J398">IF($A398="", "", LET(bbgm_stat, INDEX(Players!$A397:$P397, MATCH(J$2, Players!$A$1:$P$1, 0)), perc_75, VLOOKUP(J$2, Percentiles!$A$45:$I$59, 6, FALSE), perc_90, VLOOKUP(J$2, Percentiles!$A$45:$I$59, 7, FALSE), perc_95, VLOOKUP(J$2, Percentiles!$A$45:$I$59, 8, FALSE), perc_85, perc_75 + (perc_90 - perc_75) * (2/3), converted_stat, '2K_Ratings'!J398, IF(bbgm_stat &gt;= perc_95, converted_stat * 3, IF(bbgm_stat &gt;= perc_90, converted_stat * 2, IF(bbgm_stat &gt;= perc_85, converted_stat * 1.5, converted_stat)))))</f>
        <v/>
      </c>
      <c r="K398" s="30" t="str">
        <f t="array" ref="K398">IF($A398="", "", LET(bbgm_stat, INDEX(Players!$A397:$P397, MATCH(K$2, Players!$A$1:$P$1, 0)), perc_75, VLOOKUP(K$2, Percentiles!$A$45:$I$59, 6, FALSE), perc_90, VLOOKUP(K$2, Percentiles!$A$45:$I$59, 7, FALSE), perc_95, VLOOKUP(K$2, Percentiles!$A$45:$I$59, 8, FALSE), perc_85, perc_75 + (perc_90 - perc_75) * (2/3), converted_stat, '2K_Ratings'!K398, IF(bbgm_stat &gt;= perc_95, converted_stat * 3, IF(bbgm_stat &gt;= perc_90, converted_stat * 2, IF(bbgm_stat &gt;= perc_85, converted_stat * 1.5, converted_stat)))))</f>
        <v/>
      </c>
      <c r="L398" s="30" t="str">
        <f t="array" ref="L398">IF($A398="", "", LET(bbgm_stat, INDEX(Players!$A397:$P397, MATCH(L$2, Players!$A$1:$P$1, 0)), perc_75, VLOOKUP(L$2, Percentiles!$A$45:$I$59, 6, FALSE), perc_90, VLOOKUP(L$2, Percentiles!$A$45:$I$59, 7, FALSE), perc_95, VLOOKUP(L$2, Percentiles!$A$45:$I$59, 8, FALSE), perc_85, perc_75 + (perc_90 - perc_75) * (2/3), converted_stat, '2K_Ratings'!L398, IF(bbgm_stat &gt;= perc_95, converted_stat * 3, IF(bbgm_stat &gt;= perc_90, converted_stat * 2, IF(bbgm_stat &gt;= perc_85, converted_stat * 1.5, converted_stat)))))</f>
        <v/>
      </c>
      <c r="M398" s="30" t="str">
        <f t="array" ref="M398">IF($A398="", "", LET(bbgm_stat, INDEX(Players!$A397:$P397, MATCH(M$2, Players!$A$1:$P$1, 0)), perc_75, VLOOKUP(M$2, Percentiles!$A$45:$I$59, 6, FALSE), perc_90, VLOOKUP(M$2, Percentiles!$A$45:$I$59, 7, FALSE), perc_95, VLOOKUP(M$2, Percentiles!$A$45:$I$59, 8, FALSE), perc_85, perc_75 + (perc_90 - perc_75) * (2/3), converted_stat, '2K_Ratings'!M398, IF(bbgm_stat &gt;= perc_95, converted_stat * 3, IF(bbgm_stat &gt;= perc_90, converted_stat * 2, IF(bbgm_stat &gt;= perc_85, converted_stat * 1.5, converted_stat)))))</f>
        <v/>
      </c>
      <c r="N398" s="30" t="str">
        <f t="array" ref="N398">IF($A398="", "", LET(bbgm_stat, INDEX(Players!$A397:$P397, MATCH(N$2, Players!$A$1:$P$1, 0)), perc_75, VLOOKUP(N$2, Percentiles!$A$45:$I$59, 6, FALSE), perc_90, VLOOKUP(N$2, Percentiles!$A$45:$I$59, 7, FALSE), perc_95, VLOOKUP(N$2, Percentiles!$A$45:$I$59, 8, FALSE), perc_85, perc_75 + (perc_90 - perc_75) * (2/3), converted_stat, '2K_Ratings'!N398, IF(bbgm_stat &gt;= perc_95, converted_stat * 3, IF(bbgm_stat &gt;= perc_90, converted_stat * 2, IF(bbgm_stat &gt;= perc_85, converted_stat * 1.5, converted_stat)))))</f>
        <v/>
      </c>
      <c r="O398" s="30" t="str">
        <f t="array" ref="O398">IF($A398="", "", LET(bbgm_stat, INDEX(Players!$A397:$P397, MATCH(O$2, Players!$A$1:$P$1, 0)), perc_75, VLOOKUP(O$2, Percentiles!$A$45:$I$59, 6, FALSE), perc_90, VLOOKUP(O$2, Percentiles!$A$45:$I$59, 7, FALSE), perc_95, VLOOKUP(O$2, Percentiles!$A$45:$I$59, 8, FALSE), perc_85, perc_75 + (perc_90 - perc_75) * (2/3), converted_stat, '2K_Ratings'!O398, IF(bbgm_stat &gt;= perc_95, converted_stat * 3, IF(bbgm_stat &gt;= perc_90, converted_stat * 2, IF(bbgm_stat &gt;= perc_85, converted_stat * 1.5, converted_stat)))))</f>
        <v/>
      </c>
      <c r="P398" s="30" t="str">
        <f t="array" ref="P398">IF($A398="", "", LET(bbgm_stat, INDEX(Players!$A397:$P397, MATCH(P$2, Players!$A$1:$P$1, 0)), perc_75, VLOOKUP(P$2, Percentiles!$A$45:$I$59, 6, FALSE), perc_90, VLOOKUP(P$2, Percentiles!$A$45:$I$59, 7, FALSE), perc_95, VLOOKUP(P$2, Percentiles!$A$45:$I$59, 8, FALSE), perc_85, perc_75 + (perc_90 - perc_75) * (2/3), converted_stat, '2K_Ratings'!P398, IF(bbgm_stat &gt;= perc_95, converted_stat * 3, IF(bbgm_stat &gt;= perc_90, converted_stat * 2, IF(bbgm_stat &gt;= perc_85, converted_stat * 1.5, converted_stat)))))</f>
        <v/>
      </c>
      <c r="Q398" s="30" t="str">
        <f t="array" ref="Q398">IF($A398="", "", LET(bbgm_stat, INDEX(Players!$A397:$P397, MATCH(Q$2, Players!$A$1:$P$1, 0)), perc_75, VLOOKUP(Q$2, Percentiles!$A$45:$I$59, 6, FALSE), perc_90, VLOOKUP(Q$2, Percentiles!$A$45:$I$59, 7, FALSE), perc_95, VLOOKUP(Q$2, Percentiles!$A$45:$I$59, 8, FALSE), perc_85, perc_75 + (perc_90 - perc_75) * (2/3), converted_stat, '2K_Ratings'!Q398, IF(bbgm_stat &gt;= perc_95, converted_stat * 3, IF(bbgm_stat &gt;= perc_90, converted_stat * 2, IF(bbgm_stat &gt;= perc_85, converted_stat * 1.5, converted_stat)))))</f>
        <v/>
      </c>
      <c r="R398" s="30" t="str">
        <f t="array" ref="R398">IF($A398="", "", LET(bbgm_stat, INDEX(Players!$A397:$P397, MATCH(R$2, Players!$A$1:$P$1, 0)), perc_75, VLOOKUP(R$2, Percentiles!$A$45:$I$59, 6, FALSE), perc_90, VLOOKUP(R$2, Percentiles!$A$45:$I$59, 7, FALSE), perc_95, VLOOKUP(R$2, Percentiles!$A$45:$I$59, 8, FALSE), perc_85, perc_75 + (perc_90 - perc_75) * (2/3), converted_stat, '2K_Ratings'!R398, IF(bbgm_stat &gt;= perc_95, converted_stat * 3, IF(bbgm_stat &gt;= perc_90, converted_stat * 2, IF(bbgm_stat &gt;= perc_85, converted_stat * 1.5, converted_stat)))))</f>
        <v/>
      </c>
      <c r="S398" s="30" t="str">
        <f t="array" ref="S398">IF($A398="", "", LET(bbgm_stat, INDEX(Players!$A397:$P397, MATCH(S$2, Players!$A$1:$P$1, 0)), perc_75, VLOOKUP(S$2, Percentiles!$A$45:$I$59, 6, FALSE), perc_90, VLOOKUP(S$2, Percentiles!$A$45:$I$59, 7, FALSE), perc_95, VLOOKUP(S$2, Percentiles!$A$45:$I$59, 8, FALSE), perc_85, perc_75 + (perc_90 - perc_75) * (2/3), converted_stat, '2K_Ratings'!S398, IF(bbgm_stat &gt;= perc_95, converted_stat * 3, IF(bbgm_stat &gt;= perc_90, converted_stat * 2, IF(bbgm_stat &gt;= perc_85, converted_stat * 1.5, converted_stat)))))</f>
        <v/>
      </c>
      <c r="T398" s="30" t="str">
        <f t="array" ref="T398">IF($A398="", "", LET(bbgm_stat, INDEX(Players!$A397:$P397, MATCH(T$2, Players!$A$1:$P$1, 0)), perc_75, VLOOKUP(T$2, Percentiles!$A$45:$I$59, 6, FALSE), perc_90, VLOOKUP(T$2, Percentiles!$A$45:$I$59, 7, FALSE), perc_95, VLOOKUP(T$2, Percentiles!$A$45:$I$59, 8, FALSE), perc_85, perc_75 + (perc_90 - perc_75) * (2/3), converted_stat, '2K_Ratings'!T398, IF(bbgm_stat &gt;= perc_95, converted_stat * 3, IF(bbgm_stat &gt;= perc_90, converted_stat * 2, IF(bbgm_stat &gt;= perc_85, converted_stat * 1.5, converted_stat)))))</f>
        <v/>
      </c>
      <c r="U398" s="30" t="str">
        <f t="array" ref="U398">IF($A398="", "", LET(bbgm_stat, INDEX(Players!$A397:$P397, MATCH(U$2, Players!$A$1:$P$1, 0)), perc_75, VLOOKUP(U$2, Percentiles!$A$45:$I$59, 6, FALSE), perc_90, VLOOKUP(U$2, Percentiles!$A$45:$I$59, 7, FALSE), perc_95, VLOOKUP(U$2, Percentiles!$A$45:$I$59, 8, FALSE), perc_85, perc_75 + (perc_90 - perc_75) * (2/3), converted_stat, '2K_Ratings'!U398, IF(bbgm_stat &gt;= perc_95, converted_stat * 3, IF(bbgm_stat &gt;= perc_90, converted_stat * 2, IF(bbgm_stat &gt;= perc_85, converted_stat * 1.5, converted_stat)))))</f>
        <v/>
      </c>
      <c r="V398" s="30" t="str">
        <f t="array" ref="V398">IF($A398="", "", LET(bbgm_stat, INDEX(Players!$A397:$P397, MATCH(V$2, Players!$A$1:$P$1, 0)), perc_75, VLOOKUP(V$2, Percentiles!$A$45:$I$59, 6, FALSE), perc_90, VLOOKUP(V$2, Percentiles!$A$45:$I$59, 7, FALSE), perc_95, VLOOKUP(V$2, Percentiles!$A$45:$I$59, 8, FALSE), perc_85, perc_75 + (perc_90 - perc_75) * (2/3), converted_stat, '2K_Ratings'!V398, IF(bbgm_stat &gt;= perc_95, converted_stat * 3, IF(bbgm_stat &gt;= perc_90, converted_stat * 2, IF(bbgm_stat &gt;= perc_85, converted_stat * 1.5, converted_stat)))))</f>
        <v/>
      </c>
      <c r="W398" s="30" t="str">
        <f t="array" ref="W398">IF($A398="", "", LET(bbgm_stat, INDEX(Players!$A397:$P397, MATCH(W$2, Players!$A$1:$P$1, 0)), perc_75, VLOOKUP(W$2, Percentiles!$A$45:$I$59, 6, FALSE), perc_90, VLOOKUP(W$2, Percentiles!$A$45:$I$59, 7, FALSE), perc_95, VLOOKUP(W$2, Percentiles!$A$45:$I$59, 8, FALSE), perc_85, perc_75 + (perc_90 - perc_75) * (2/3), converted_stat, '2K_Ratings'!W398, IF(bbgm_stat &gt;= perc_95, converted_stat * 3, IF(bbgm_stat &gt;= perc_90, converted_stat * 2, IF(bbgm_stat &gt;= perc_85, converted_stat * 1.5, converted_stat)))))</f>
        <v/>
      </c>
    </row>
    <row r="399">
      <c r="A399" s="30"/>
      <c r="B399" s="30" t="str">
        <f t="array" ref="B399">IF($A399="", "", LET(bbgm_stat, INDEX(Players!$A398:$P398, MATCH(B$2, Players!$A$1:$P$1, 0)), perc_75, VLOOKUP(B$2, Percentiles!$A$45:$I$59, 6, FALSE), perc_90, VLOOKUP(B$2, Percentiles!$A$45:$I$59, 7, FALSE), perc_95, VLOOKUP(B$2, Percentiles!$A$45:$I$59, 8, FALSE), perc_85, perc_75 + (perc_90 - perc_75) * (2/3), converted_stat, '2K_Ratings'!B399, IF(bbgm_stat &gt;= perc_95, converted_stat * 3, IF(bbgm_stat &gt;= perc_90, converted_stat * 2, IF(bbgm_stat &gt;= perc_85, converted_stat * 1.5, converted_stat)))))</f>
        <v/>
      </c>
      <c r="C399" s="30" t="str">
        <f t="array" ref="C399">IF($A399="", "", LET(bbgm_stat, INDEX(Players!$A398:$P398, MATCH(C$2, Players!$A$1:$P$1, 0)), perc_75, VLOOKUP(C$2, Percentiles!$A$45:$I$59, 6, FALSE), perc_90, VLOOKUP(C$2, Percentiles!$A$45:$I$59, 7, FALSE), perc_95, VLOOKUP(C$2, Percentiles!$A$45:$I$59, 8, FALSE), perc_85, perc_75 + (perc_90 - perc_75) * (2/3), converted_stat, '2K_Ratings'!C399, IF(bbgm_stat &gt;= perc_95, converted_stat * 3, IF(bbgm_stat &gt;= perc_90, converted_stat * 2, IF(bbgm_stat &gt;= perc_85, converted_stat * 1.5, converted_stat)))))</f>
        <v/>
      </c>
      <c r="D399" s="30" t="str">
        <f t="array" ref="D399">IF($A399="", "", LET(bbgm_stat, INDEX(Players!$A398:$P398, MATCH(D$2, Players!$A$1:$P$1, 0)), perc_75, VLOOKUP(D$2, Percentiles!$A$45:$I$59, 6, FALSE), perc_90, VLOOKUP(D$2, Percentiles!$A$45:$I$59, 7, FALSE), perc_95, VLOOKUP(D$2, Percentiles!$A$45:$I$59, 8, FALSE), perc_85, perc_75 + (perc_90 - perc_75) * (2/3), converted_stat, '2K_Ratings'!D399, IF(bbgm_stat &gt;= perc_95, converted_stat * 3, IF(bbgm_stat &gt;= perc_90, converted_stat * 2, IF(bbgm_stat &gt;= perc_85, converted_stat * 1.5, converted_stat)))))</f>
        <v/>
      </c>
      <c r="E399" s="30" t="str">
        <f t="array" ref="E399">IF($A399="", "", LET(bbgm_stat, INDEX(Players!$A398:$P398, MATCH(E$2, Players!$A$1:$P$1, 0)), perc_75, VLOOKUP(E$2, Percentiles!$A$45:$I$59, 6, FALSE), perc_90, VLOOKUP(E$2, Percentiles!$A$45:$I$59, 7, FALSE), perc_95, VLOOKUP(E$2, Percentiles!$A$45:$I$59, 8, FALSE), perc_85, perc_75 + (perc_90 - perc_75) * (2/3), converted_stat, '2K_Ratings'!E399, IF(bbgm_stat &gt;= perc_95, converted_stat * 3, IF(bbgm_stat &gt;= perc_90, converted_stat * 2, IF(bbgm_stat &gt;= perc_85, converted_stat * 1.5, converted_stat)))))</f>
        <v/>
      </c>
      <c r="F399" s="30" t="str">
        <f t="array" ref="F399">IF($A399="", "", LET(bbgm_stat, INDEX(Players!$A398:$P398, MATCH(F$2, Players!$A$1:$P$1, 0)), perc_75, VLOOKUP(F$2, Percentiles!$A$45:$I$59, 6, FALSE), perc_90, VLOOKUP(F$2, Percentiles!$A$45:$I$59, 7, FALSE), perc_95, VLOOKUP(F$2, Percentiles!$A$45:$I$59, 8, FALSE), perc_85, perc_75 + (perc_90 - perc_75) * (2/3), converted_stat, '2K_Ratings'!F399, IF(bbgm_stat &gt;= perc_95, converted_stat * 3, IF(bbgm_stat &gt;= perc_90, converted_stat * 2, IF(bbgm_stat &gt;= perc_85, converted_stat * 1.5, converted_stat)))))</f>
        <v/>
      </c>
      <c r="G399" s="30" t="str">
        <f t="array" ref="G399">IF($A399="", "", LET(bbgm_stat, INDEX(Players!$A398:$P398, MATCH(G$2, Players!$A$1:$P$1, 0)), perc_75, VLOOKUP(G$2, Percentiles!$A$45:$I$59, 6, FALSE), perc_90, VLOOKUP(G$2, Percentiles!$A$45:$I$59, 7, FALSE), perc_95, VLOOKUP(G$2, Percentiles!$A$45:$I$59, 8, FALSE), perc_85, perc_75 + (perc_90 - perc_75) * (2/3), converted_stat, '2K_Ratings'!G399, IF(bbgm_stat &gt;= perc_95, converted_stat * 3, IF(bbgm_stat &gt;= perc_90, converted_stat * 2, IF(bbgm_stat &gt;= perc_85, converted_stat * 1.5, converted_stat)))))</f>
        <v/>
      </c>
      <c r="H399" s="30" t="str">
        <f t="array" ref="H399">IF($A399="", "", LET(bbgm_stat, INDEX(Players!$A398:$P398, MATCH(H$2, Players!$A$1:$P$1, 0)), perc_75, VLOOKUP(H$2, Percentiles!$A$45:$I$59, 6, FALSE), perc_90, VLOOKUP(H$2, Percentiles!$A$45:$I$59, 7, FALSE), perc_95, VLOOKUP(H$2, Percentiles!$A$45:$I$59, 8, FALSE), perc_85, perc_75 + (perc_90 - perc_75) * (2/3), converted_stat, '2K_Ratings'!H399, IF(bbgm_stat &gt;= perc_95, converted_stat * 3, IF(bbgm_stat &gt;= perc_90, converted_stat * 2, IF(bbgm_stat &gt;= perc_85, converted_stat * 1.5, converted_stat)))))</f>
        <v/>
      </c>
      <c r="I399" s="30" t="str">
        <f t="array" ref="I399">IF($A399="", "", LET(bbgm_stat, INDEX(Players!$A398:$P398, MATCH(I$2, Players!$A$1:$P$1, 0)), perc_75, VLOOKUP(I$2, Percentiles!$A$45:$I$59, 6, FALSE), perc_90, VLOOKUP(I$2, Percentiles!$A$45:$I$59, 7, FALSE), perc_95, VLOOKUP(I$2, Percentiles!$A$45:$I$59, 8, FALSE), perc_85, perc_75 + (perc_90 - perc_75) * (2/3), converted_stat, '2K_Ratings'!I399, IF(bbgm_stat &gt;= perc_95, converted_stat * 3, IF(bbgm_stat &gt;= perc_90, converted_stat * 2, IF(bbgm_stat &gt;= perc_85, converted_stat * 1.5, converted_stat)))))</f>
        <v/>
      </c>
      <c r="J399" s="30" t="str">
        <f t="array" ref="J399">IF($A399="", "", LET(bbgm_stat, INDEX(Players!$A398:$P398, MATCH(J$2, Players!$A$1:$P$1, 0)), perc_75, VLOOKUP(J$2, Percentiles!$A$45:$I$59, 6, FALSE), perc_90, VLOOKUP(J$2, Percentiles!$A$45:$I$59, 7, FALSE), perc_95, VLOOKUP(J$2, Percentiles!$A$45:$I$59, 8, FALSE), perc_85, perc_75 + (perc_90 - perc_75) * (2/3), converted_stat, '2K_Ratings'!J399, IF(bbgm_stat &gt;= perc_95, converted_stat * 3, IF(bbgm_stat &gt;= perc_90, converted_stat * 2, IF(bbgm_stat &gt;= perc_85, converted_stat * 1.5, converted_stat)))))</f>
        <v/>
      </c>
      <c r="K399" s="30" t="str">
        <f t="array" ref="K399">IF($A399="", "", LET(bbgm_stat, INDEX(Players!$A398:$P398, MATCH(K$2, Players!$A$1:$P$1, 0)), perc_75, VLOOKUP(K$2, Percentiles!$A$45:$I$59, 6, FALSE), perc_90, VLOOKUP(K$2, Percentiles!$A$45:$I$59, 7, FALSE), perc_95, VLOOKUP(K$2, Percentiles!$A$45:$I$59, 8, FALSE), perc_85, perc_75 + (perc_90 - perc_75) * (2/3), converted_stat, '2K_Ratings'!K399, IF(bbgm_stat &gt;= perc_95, converted_stat * 3, IF(bbgm_stat &gt;= perc_90, converted_stat * 2, IF(bbgm_stat &gt;= perc_85, converted_stat * 1.5, converted_stat)))))</f>
        <v/>
      </c>
      <c r="L399" s="30" t="str">
        <f t="array" ref="L399">IF($A399="", "", LET(bbgm_stat, INDEX(Players!$A398:$P398, MATCH(L$2, Players!$A$1:$P$1, 0)), perc_75, VLOOKUP(L$2, Percentiles!$A$45:$I$59, 6, FALSE), perc_90, VLOOKUP(L$2, Percentiles!$A$45:$I$59, 7, FALSE), perc_95, VLOOKUP(L$2, Percentiles!$A$45:$I$59, 8, FALSE), perc_85, perc_75 + (perc_90 - perc_75) * (2/3), converted_stat, '2K_Ratings'!L399, IF(bbgm_stat &gt;= perc_95, converted_stat * 3, IF(bbgm_stat &gt;= perc_90, converted_stat * 2, IF(bbgm_stat &gt;= perc_85, converted_stat * 1.5, converted_stat)))))</f>
        <v/>
      </c>
      <c r="M399" s="30" t="str">
        <f t="array" ref="M399">IF($A399="", "", LET(bbgm_stat, INDEX(Players!$A398:$P398, MATCH(M$2, Players!$A$1:$P$1, 0)), perc_75, VLOOKUP(M$2, Percentiles!$A$45:$I$59, 6, FALSE), perc_90, VLOOKUP(M$2, Percentiles!$A$45:$I$59, 7, FALSE), perc_95, VLOOKUP(M$2, Percentiles!$A$45:$I$59, 8, FALSE), perc_85, perc_75 + (perc_90 - perc_75) * (2/3), converted_stat, '2K_Ratings'!M399, IF(bbgm_stat &gt;= perc_95, converted_stat * 3, IF(bbgm_stat &gt;= perc_90, converted_stat * 2, IF(bbgm_stat &gt;= perc_85, converted_stat * 1.5, converted_stat)))))</f>
        <v/>
      </c>
      <c r="N399" s="30" t="str">
        <f t="array" ref="N399">IF($A399="", "", LET(bbgm_stat, INDEX(Players!$A398:$P398, MATCH(N$2, Players!$A$1:$P$1, 0)), perc_75, VLOOKUP(N$2, Percentiles!$A$45:$I$59, 6, FALSE), perc_90, VLOOKUP(N$2, Percentiles!$A$45:$I$59, 7, FALSE), perc_95, VLOOKUP(N$2, Percentiles!$A$45:$I$59, 8, FALSE), perc_85, perc_75 + (perc_90 - perc_75) * (2/3), converted_stat, '2K_Ratings'!N399, IF(bbgm_stat &gt;= perc_95, converted_stat * 3, IF(bbgm_stat &gt;= perc_90, converted_stat * 2, IF(bbgm_stat &gt;= perc_85, converted_stat * 1.5, converted_stat)))))</f>
        <v/>
      </c>
      <c r="O399" s="30" t="str">
        <f t="array" ref="O399">IF($A399="", "", LET(bbgm_stat, INDEX(Players!$A398:$P398, MATCH(O$2, Players!$A$1:$P$1, 0)), perc_75, VLOOKUP(O$2, Percentiles!$A$45:$I$59, 6, FALSE), perc_90, VLOOKUP(O$2, Percentiles!$A$45:$I$59, 7, FALSE), perc_95, VLOOKUP(O$2, Percentiles!$A$45:$I$59, 8, FALSE), perc_85, perc_75 + (perc_90 - perc_75) * (2/3), converted_stat, '2K_Ratings'!O399, IF(bbgm_stat &gt;= perc_95, converted_stat * 3, IF(bbgm_stat &gt;= perc_90, converted_stat * 2, IF(bbgm_stat &gt;= perc_85, converted_stat * 1.5, converted_stat)))))</f>
        <v/>
      </c>
      <c r="P399" s="30" t="str">
        <f t="array" ref="P399">IF($A399="", "", LET(bbgm_stat, INDEX(Players!$A398:$P398, MATCH(P$2, Players!$A$1:$P$1, 0)), perc_75, VLOOKUP(P$2, Percentiles!$A$45:$I$59, 6, FALSE), perc_90, VLOOKUP(P$2, Percentiles!$A$45:$I$59, 7, FALSE), perc_95, VLOOKUP(P$2, Percentiles!$A$45:$I$59, 8, FALSE), perc_85, perc_75 + (perc_90 - perc_75) * (2/3), converted_stat, '2K_Ratings'!P399, IF(bbgm_stat &gt;= perc_95, converted_stat * 3, IF(bbgm_stat &gt;= perc_90, converted_stat * 2, IF(bbgm_stat &gt;= perc_85, converted_stat * 1.5, converted_stat)))))</f>
        <v/>
      </c>
      <c r="Q399" s="30" t="str">
        <f t="array" ref="Q399">IF($A399="", "", LET(bbgm_stat, INDEX(Players!$A398:$P398, MATCH(Q$2, Players!$A$1:$P$1, 0)), perc_75, VLOOKUP(Q$2, Percentiles!$A$45:$I$59, 6, FALSE), perc_90, VLOOKUP(Q$2, Percentiles!$A$45:$I$59, 7, FALSE), perc_95, VLOOKUP(Q$2, Percentiles!$A$45:$I$59, 8, FALSE), perc_85, perc_75 + (perc_90 - perc_75) * (2/3), converted_stat, '2K_Ratings'!Q399, IF(bbgm_stat &gt;= perc_95, converted_stat * 3, IF(bbgm_stat &gt;= perc_90, converted_stat * 2, IF(bbgm_stat &gt;= perc_85, converted_stat * 1.5, converted_stat)))))</f>
        <v/>
      </c>
      <c r="R399" s="30" t="str">
        <f t="array" ref="R399">IF($A399="", "", LET(bbgm_stat, INDEX(Players!$A398:$P398, MATCH(R$2, Players!$A$1:$P$1, 0)), perc_75, VLOOKUP(R$2, Percentiles!$A$45:$I$59, 6, FALSE), perc_90, VLOOKUP(R$2, Percentiles!$A$45:$I$59, 7, FALSE), perc_95, VLOOKUP(R$2, Percentiles!$A$45:$I$59, 8, FALSE), perc_85, perc_75 + (perc_90 - perc_75) * (2/3), converted_stat, '2K_Ratings'!R399, IF(bbgm_stat &gt;= perc_95, converted_stat * 3, IF(bbgm_stat &gt;= perc_90, converted_stat * 2, IF(bbgm_stat &gt;= perc_85, converted_stat * 1.5, converted_stat)))))</f>
        <v/>
      </c>
      <c r="S399" s="30" t="str">
        <f t="array" ref="S399">IF($A399="", "", LET(bbgm_stat, INDEX(Players!$A398:$P398, MATCH(S$2, Players!$A$1:$P$1, 0)), perc_75, VLOOKUP(S$2, Percentiles!$A$45:$I$59, 6, FALSE), perc_90, VLOOKUP(S$2, Percentiles!$A$45:$I$59, 7, FALSE), perc_95, VLOOKUP(S$2, Percentiles!$A$45:$I$59, 8, FALSE), perc_85, perc_75 + (perc_90 - perc_75) * (2/3), converted_stat, '2K_Ratings'!S399, IF(bbgm_stat &gt;= perc_95, converted_stat * 3, IF(bbgm_stat &gt;= perc_90, converted_stat * 2, IF(bbgm_stat &gt;= perc_85, converted_stat * 1.5, converted_stat)))))</f>
        <v/>
      </c>
      <c r="T399" s="30" t="str">
        <f t="array" ref="T399">IF($A399="", "", LET(bbgm_stat, INDEX(Players!$A398:$P398, MATCH(T$2, Players!$A$1:$P$1, 0)), perc_75, VLOOKUP(T$2, Percentiles!$A$45:$I$59, 6, FALSE), perc_90, VLOOKUP(T$2, Percentiles!$A$45:$I$59, 7, FALSE), perc_95, VLOOKUP(T$2, Percentiles!$A$45:$I$59, 8, FALSE), perc_85, perc_75 + (perc_90 - perc_75) * (2/3), converted_stat, '2K_Ratings'!T399, IF(bbgm_stat &gt;= perc_95, converted_stat * 3, IF(bbgm_stat &gt;= perc_90, converted_stat * 2, IF(bbgm_stat &gt;= perc_85, converted_stat * 1.5, converted_stat)))))</f>
        <v/>
      </c>
      <c r="U399" s="30" t="str">
        <f t="array" ref="U399">IF($A399="", "", LET(bbgm_stat, INDEX(Players!$A398:$P398, MATCH(U$2, Players!$A$1:$P$1, 0)), perc_75, VLOOKUP(U$2, Percentiles!$A$45:$I$59, 6, FALSE), perc_90, VLOOKUP(U$2, Percentiles!$A$45:$I$59, 7, FALSE), perc_95, VLOOKUP(U$2, Percentiles!$A$45:$I$59, 8, FALSE), perc_85, perc_75 + (perc_90 - perc_75) * (2/3), converted_stat, '2K_Ratings'!U399, IF(bbgm_stat &gt;= perc_95, converted_stat * 3, IF(bbgm_stat &gt;= perc_90, converted_stat * 2, IF(bbgm_stat &gt;= perc_85, converted_stat * 1.5, converted_stat)))))</f>
        <v/>
      </c>
      <c r="V399" s="30" t="str">
        <f t="array" ref="V399">IF($A399="", "", LET(bbgm_stat, INDEX(Players!$A398:$P398, MATCH(V$2, Players!$A$1:$P$1, 0)), perc_75, VLOOKUP(V$2, Percentiles!$A$45:$I$59, 6, FALSE), perc_90, VLOOKUP(V$2, Percentiles!$A$45:$I$59, 7, FALSE), perc_95, VLOOKUP(V$2, Percentiles!$A$45:$I$59, 8, FALSE), perc_85, perc_75 + (perc_90 - perc_75) * (2/3), converted_stat, '2K_Ratings'!V399, IF(bbgm_stat &gt;= perc_95, converted_stat * 3, IF(bbgm_stat &gt;= perc_90, converted_stat * 2, IF(bbgm_stat &gt;= perc_85, converted_stat * 1.5, converted_stat)))))</f>
        <v/>
      </c>
      <c r="W399" s="30" t="str">
        <f t="array" ref="W399">IF($A399="", "", LET(bbgm_stat, INDEX(Players!$A398:$P398, MATCH(W$2, Players!$A$1:$P$1, 0)), perc_75, VLOOKUP(W$2, Percentiles!$A$45:$I$59, 6, FALSE), perc_90, VLOOKUP(W$2, Percentiles!$A$45:$I$59, 7, FALSE), perc_95, VLOOKUP(W$2, Percentiles!$A$45:$I$59, 8, FALSE), perc_85, perc_75 + (perc_90 - perc_75) * (2/3), converted_stat, '2K_Ratings'!W399, IF(bbgm_stat &gt;= perc_95, converted_stat * 3, IF(bbgm_stat &gt;= perc_90, converted_stat * 2, IF(bbgm_stat &gt;= perc_85, converted_stat * 1.5, converted_stat)))))</f>
        <v/>
      </c>
    </row>
    <row r="400">
      <c r="A400" s="30"/>
      <c r="B400" s="30" t="str">
        <f t="array" ref="B400">IF($A400="", "", LET(bbgm_stat, INDEX(Players!$A399:$P399, MATCH(B$2, Players!$A$1:$P$1, 0)), perc_75, VLOOKUP(B$2, Percentiles!$A$45:$I$59, 6, FALSE), perc_90, VLOOKUP(B$2, Percentiles!$A$45:$I$59, 7, FALSE), perc_95, VLOOKUP(B$2, Percentiles!$A$45:$I$59, 8, FALSE), perc_85, perc_75 + (perc_90 - perc_75) * (2/3), converted_stat, '2K_Ratings'!B400, IF(bbgm_stat &gt;= perc_95, converted_stat * 3, IF(bbgm_stat &gt;= perc_90, converted_stat * 2, IF(bbgm_stat &gt;= perc_85, converted_stat * 1.5, converted_stat)))))</f>
        <v/>
      </c>
      <c r="C400" s="30" t="str">
        <f t="array" ref="C400">IF($A400="", "", LET(bbgm_stat, INDEX(Players!$A399:$P399, MATCH(C$2, Players!$A$1:$P$1, 0)), perc_75, VLOOKUP(C$2, Percentiles!$A$45:$I$59, 6, FALSE), perc_90, VLOOKUP(C$2, Percentiles!$A$45:$I$59, 7, FALSE), perc_95, VLOOKUP(C$2, Percentiles!$A$45:$I$59, 8, FALSE), perc_85, perc_75 + (perc_90 - perc_75) * (2/3), converted_stat, '2K_Ratings'!C400, IF(bbgm_stat &gt;= perc_95, converted_stat * 3, IF(bbgm_stat &gt;= perc_90, converted_stat * 2, IF(bbgm_stat &gt;= perc_85, converted_stat * 1.5, converted_stat)))))</f>
        <v/>
      </c>
      <c r="D400" s="30" t="str">
        <f t="array" ref="D400">IF($A400="", "", LET(bbgm_stat, INDEX(Players!$A399:$P399, MATCH(D$2, Players!$A$1:$P$1, 0)), perc_75, VLOOKUP(D$2, Percentiles!$A$45:$I$59, 6, FALSE), perc_90, VLOOKUP(D$2, Percentiles!$A$45:$I$59, 7, FALSE), perc_95, VLOOKUP(D$2, Percentiles!$A$45:$I$59, 8, FALSE), perc_85, perc_75 + (perc_90 - perc_75) * (2/3), converted_stat, '2K_Ratings'!D400, IF(bbgm_stat &gt;= perc_95, converted_stat * 3, IF(bbgm_stat &gt;= perc_90, converted_stat * 2, IF(bbgm_stat &gt;= perc_85, converted_stat * 1.5, converted_stat)))))</f>
        <v/>
      </c>
      <c r="E400" s="30" t="str">
        <f t="array" ref="E400">IF($A400="", "", LET(bbgm_stat, INDEX(Players!$A399:$P399, MATCH(E$2, Players!$A$1:$P$1, 0)), perc_75, VLOOKUP(E$2, Percentiles!$A$45:$I$59, 6, FALSE), perc_90, VLOOKUP(E$2, Percentiles!$A$45:$I$59, 7, FALSE), perc_95, VLOOKUP(E$2, Percentiles!$A$45:$I$59, 8, FALSE), perc_85, perc_75 + (perc_90 - perc_75) * (2/3), converted_stat, '2K_Ratings'!E400, IF(bbgm_stat &gt;= perc_95, converted_stat * 3, IF(bbgm_stat &gt;= perc_90, converted_stat * 2, IF(bbgm_stat &gt;= perc_85, converted_stat * 1.5, converted_stat)))))</f>
        <v/>
      </c>
      <c r="F400" s="30" t="str">
        <f t="array" ref="F400">IF($A400="", "", LET(bbgm_stat, INDEX(Players!$A399:$P399, MATCH(F$2, Players!$A$1:$P$1, 0)), perc_75, VLOOKUP(F$2, Percentiles!$A$45:$I$59, 6, FALSE), perc_90, VLOOKUP(F$2, Percentiles!$A$45:$I$59, 7, FALSE), perc_95, VLOOKUP(F$2, Percentiles!$A$45:$I$59, 8, FALSE), perc_85, perc_75 + (perc_90 - perc_75) * (2/3), converted_stat, '2K_Ratings'!F400, IF(bbgm_stat &gt;= perc_95, converted_stat * 3, IF(bbgm_stat &gt;= perc_90, converted_stat * 2, IF(bbgm_stat &gt;= perc_85, converted_stat * 1.5, converted_stat)))))</f>
        <v/>
      </c>
      <c r="G400" s="30" t="str">
        <f t="array" ref="G400">IF($A400="", "", LET(bbgm_stat, INDEX(Players!$A399:$P399, MATCH(G$2, Players!$A$1:$P$1, 0)), perc_75, VLOOKUP(G$2, Percentiles!$A$45:$I$59, 6, FALSE), perc_90, VLOOKUP(G$2, Percentiles!$A$45:$I$59, 7, FALSE), perc_95, VLOOKUP(G$2, Percentiles!$A$45:$I$59, 8, FALSE), perc_85, perc_75 + (perc_90 - perc_75) * (2/3), converted_stat, '2K_Ratings'!G400, IF(bbgm_stat &gt;= perc_95, converted_stat * 3, IF(bbgm_stat &gt;= perc_90, converted_stat * 2, IF(bbgm_stat &gt;= perc_85, converted_stat * 1.5, converted_stat)))))</f>
        <v/>
      </c>
      <c r="H400" s="30" t="str">
        <f t="array" ref="H400">IF($A400="", "", LET(bbgm_stat, INDEX(Players!$A399:$P399, MATCH(H$2, Players!$A$1:$P$1, 0)), perc_75, VLOOKUP(H$2, Percentiles!$A$45:$I$59, 6, FALSE), perc_90, VLOOKUP(H$2, Percentiles!$A$45:$I$59, 7, FALSE), perc_95, VLOOKUP(H$2, Percentiles!$A$45:$I$59, 8, FALSE), perc_85, perc_75 + (perc_90 - perc_75) * (2/3), converted_stat, '2K_Ratings'!H400, IF(bbgm_stat &gt;= perc_95, converted_stat * 3, IF(bbgm_stat &gt;= perc_90, converted_stat * 2, IF(bbgm_stat &gt;= perc_85, converted_stat * 1.5, converted_stat)))))</f>
        <v/>
      </c>
      <c r="I400" s="30" t="str">
        <f t="array" ref="I400">IF($A400="", "", LET(bbgm_stat, INDEX(Players!$A399:$P399, MATCH(I$2, Players!$A$1:$P$1, 0)), perc_75, VLOOKUP(I$2, Percentiles!$A$45:$I$59, 6, FALSE), perc_90, VLOOKUP(I$2, Percentiles!$A$45:$I$59, 7, FALSE), perc_95, VLOOKUP(I$2, Percentiles!$A$45:$I$59, 8, FALSE), perc_85, perc_75 + (perc_90 - perc_75) * (2/3), converted_stat, '2K_Ratings'!I400, IF(bbgm_stat &gt;= perc_95, converted_stat * 3, IF(bbgm_stat &gt;= perc_90, converted_stat * 2, IF(bbgm_stat &gt;= perc_85, converted_stat * 1.5, converted_stat)))))</f>
        <v/>
      </c>
      <c r="J400" s="30" t="str">
        <f t="array" ref="J400">IF($A400="", "", LET(bbgm_stat, INDEX(Players!$A399:$P399, MATCH(J$2, Players!$A$1:$P$1, 0)), perc_75, VLOOKUP(J$2, Percentiles!$A$45:$I$59, 6, FALSE), perc_90, VLOOKUP(J$2, Percentiles!$A$45:$I$59, 7, FALSE), perc_95, VLOOKUP(J$2, Percentiles!$A$45:$I$59, 8, FALSE), perc_85, perc_75 + (perc_90 - perc_75) * (2/3), converted_stat, '2K_Ratings'!J400, IF(bbgm_stat &gt;= perc_95, converted_stat * 3, IF(bbgm_stat &gt;= perc_90, converted_stat * 2, IF(bbgm_stat &gt;= perc_85, converted_stat * 1.5, converted_stat)))))</f>
        <v/>
      </c>
      <c r="K400" s="30" t="str">
        <f t="array" ref="K400">IF($A400="", "", LET(bbgm_stat, INDEX(Players!$A399:$P399, MATCH(K$2, Players!$A$1:$P$1, 0)), perc_75, VLOOKUP(K$2, Percentiles!$A$45:$I$59, 6, FALSE), perc_90, VLOOKUP(K$2, Percentiles!$A$45:$I$59, 7, FALSE), perc_95, VLOOKUP(K$2, Percentiles!$A$45:$I$59, 8, FALSE), perc_85, perc_75 + (perc_90 - perc_75) * (2/3), converted_stat, '2K_Ratings'!K400, IF(bbgm_stat &gt;= perc_95, converted_stat * 3, IF(bbgm_stat &gt;= perc_90, converted_stat * 2, IF(bbgm_stat &gt;= perc_85, converted_stat * 1.5, converted_stat)))))</f>
        <v/>
      </c>
      <c r="L400" s="30" t="str">
        <f t="array" ref="L400">IF($A400="", "", LET(bbgm_stat, INDEX(Players!$A399:$P399, MATCH(L$2, Players!$A$1:$P$1, 0)), perc_75, VLOOKUP(L$2, Percentiles!$A$45:$I$59, 6, FALSE), perc_90, VLOOKUP(L$2, Percentiles!$A$45:$I$59, 7, FALSE), perc_95, VLOOKUP(L$2, Percentiles!$A$45:$I$59, 8, FALSE), perc_85, perc_75 + (perc_90 - perc_75) * (2/3), converted_stat, '2K_Ratings'!L400, IF(bbgm_stat &gt;= perc_95, converted_stat * 3, IF(bbgm_stat &gt;= perc_90, converted_stat * 2, IF(bbgm_stat &gt;= perc_85, converted_stat * 1.5, converted_stat)))))</f>
        <v/>
      </c>
      <c r="M400" s="30" t="str">
        <f t="array" ref="M400">IF($A400="", "", LET(bbgm_stat, INDEX(Players!$A399:$P399, MATCH(M$2, Players!$A$1:$P$1, 0)), perc_75, VLOOKUP(M$2, Percentiles!$A$45:$I$59, 6, FALSE), perc_90, VLOOKUP(M$2, Percentiles!$A$45:$I$59, 7, FALSE), perc_95, VLOOKUP(M$2, Percentiles!$A$45:$I$59, 8, FALSE), perc_85, perc_75 + (perc_90 - perc_75) * (2/3), converted_stat, '2K_Ratings'!M400, IF(bbgm_stat &gt;= perc_95, converted_stat * 3, IF(bbgm_stat &gt;= perc_90, converted_stat * 2, IF(bbgm_stat &gt;= perc_85, converted_stat * 1.5, converted_stat)))))</f>
        <v/>
      </c>
      <c r="N400" s="30" t="str">
        <f t="array" ref="N400">IF($A400="", "", LET(bbgm_stat, INDEX(Players!$A399:$P399, MATCH(N$2, Players!$A$1:$P$1, 0)), perc_75, VLOOKUP(N$2, Percentiles!$A$45:$I$59, 6, FALSE), perc_90, VLOOKUP(N$2, Percentiles!$A$45:$I$59, 7, FALSE), perc_95, VLOOKUP(N$2, Percentiles!$A$45:$I$59, 8, FALSE), perc_85, perc_75 + (perc_90 - perc_75) * (2/3), converted_stat, '2K_Ratings'!N400, IF(bbgm_stat &gt;= perc_95, converted_stat * 3, IF(bbgm_stat &gt;= perc_90, converted_stat * 2, IF(bbgm_stat &gt;= perc_85, converted_stat * 1.5, converted_stat)))))</f>
        <v/>
      </c>
      <c r="O400" s="30" t="str">
        <f t="array" ref="O400">IF($A400="", "", LET(bbgm_stat, INDEX(Players!$A399:$P399, MATCH(O$2, Players!$A$1:$P$1, 0)), perc_75, VLOOKUP(O$2, Percentiles!$A$45:$I$59, 6, FALSE), perc_90, VLOOKUP(O$2, Percentiles!$A$45:$I$59, 7, FALSE), perc_95, VLOOKUP(O$2, Percentiles!$A$45:$I$59, 8, FALSE), perc_85, perc_75 + (perc_90 - perc_75) * (2/3), converted_stat, '2K_Ratings'!O400, IF(bbgm_stat &gt;= perc_95, converted_stat * 3, IF(bbgm_stat &gt;= perc_90, converted_stat * 2, IF(bbgm_stat &gt;= perc_85, converted_stat * 1.5, converted_stat)))))</f>
        <v/>
      </c>
      <c r="P400" s="30" t="str">
        <f t="array" ref="P400">IF($A400="", "", LET(bbgm_stat, INDEX(Players!$A399:$P399, MATCH(P$2, Players!$A$1:$P$1, 0)), perc_75, VLOOKUP(P$2, Percentiles!$A$45:$I$59, 6, FALSE), perc_90, VLOOKUP(P$2, Percentiles!$A$45:$I$59, 7, FALSE), perc_95, VLOOKUP(P$2, Percentiles!$A$45:$I$59, 8, FALSE), perc_85, perc_75 + (perc_90 - perc_75) * (2/3), converted_stat, '2K_Ratings'!P400, IF(bbgm_stat &gt;= perc_95, converted_stat * 3, IF(bbgm_stat &gt;= perc_90, converted_stat * 2, IF(bbgm_stat &gt;= perc_85, converted_stat * 1.5, converted_stat)))))</f>
        <v/>
      </c>
      <c r="Q400" s="30" t="str">
        <f t="array" ref="Q400">IF($A400="", "", LET(bbgm_stat, INDEX(Players!$A399:$P399, MATCH(Q$2, Players!$A$1:$P$1, 0)), perc_75, VLOOKUP(Q$2, Percentiles!$A$45:$I$59, 6, FALSE), perc_90, VLOOKUP(Q$2, Percentiles!$A$45:$I$59, 7, FALSE), perc_95, VLOOKUP(Q$2, Percentiles!$A$45:$I$59, 8, FALSE), perc_85, perc_75 + (perc_90 - perc_75) * (2/3), converted_stat, '2K_Ratings'!Q400, IF(bbgm_stat &gt;= perc_95, converted_stat * 3, IF(bbgm_stat &gt;= perc_90, converted_stat * 2, IF(bbgm_stat &gt;= perc_85, converted_stat * 1.5, converted_stat)))))</f>
        <v/>
      </c>
      <c r="R400" s="30" t="str">
        <f t="array" ref="R400">IF($A400="", "", LET(bbgm_stat, INDEX(Players!$A399:$P399, MATCH(R$2, Players!$A$1:$P$1, 0)), perc_75, VLOOKUP(R$2, Percentiles!$A$45:$I$59, 6, FALSE), perc_90, VLOOKUP(R$2, Percentiles!$A$45:$I$59, 7, FALSE), perc_95, VLOOKUP(R$2, Percentiles!$A$45:$I$59, 8, FALSE), perc_85, perc_75 + (perc_90 - perc_75) * (2/3), converted_stat, '2K_Ratings'!R400, IF(bbgm_stat &gt;= perc_95, converted_stat * 3, IF(bbgm_stat &gt;= perc_90, converted_stat * 2, IF(bbgm_stat &gt;= perc_85, converted_stat * 1.5, converted_stat)))))</f>
        <v/>
      </c>
      <c r="S400" s="30" t="str">
        <f t="array" ref="S400">IF($A400="", "", LET(bbgm_stat, INDEX(Players!$A399:$P399, MATCH(S$2, Players!$A$1:$P$1, 0)), perc_75, VLOOKUP(S$2, Percentiles!$A$45:$I$59, 6, FALSE), perc_90, VLOOKUP(S$2, Percentiles!$A$45:$I$59, 7, FALSE), perc_95, VLOOKUP(S$2, Percentiles!$A$45:$I$59, 8, FALSE), perc_85, perc_75 + (perc_90 - perc_75) * (2/3), converted_stat, '2K_Ratings'!S400, IF(bbgm_stat &gt;= perc_95, converted_stat * 3, IF(bbgm_stat &gt;= perc_90, converted_stat * 2, IF(bbgm_stat &gt;= perc_85, converted_stat * 1.5, converted_stat)))))</f>
        <v/>
      </c>
      <c r="T400" s="30" t="str">
        <f t="array" ref="T400">IF($A400="", "", LET(bbgm_stat, INDEX(Players!$A399:$P399, MATCH(T$2, Players!$A$1:$P$1, 0)), perc_75, VLOOKUP(T$2, Percentiles!$A$45:$I$59, 6, FALSE), perc_90, VLOOKUP(T$2, Percentiles!$A$45:$I$59, 7, FALSE), perc_95, VLOOKUP(T$2, Percentiles!$A$45:$I$59, 8, FALSE), perc_85, perc_75 + (perc_90 - perc_75) * (2/3), converted_stat, '2K_Ratings'!T400, IF(bbgm_stat &gt;= perc_95, converted_stat * 3, IF(bbgm_stat &gt;= perc_90, converted_stat * 2, IF(bbgm_stat &gt;= perc_85, converted_stat * 1.5, converted_stat)))))</f>
        <v/>
      </c>
      <c r="U400" s="30" t="str">
        <f t="array" ref="U400">IF($A400="", "", LET(bbgm_stat, INDEX(Players!$A399:$P399, MATCH(U$2, Players!$A$1:$P$1, 0)), perc_75, VLOOKUP(U$2, Percentiles!$A$45:$I$59, 6, FALSE), perc_90, VLOOKUP(U$2, Percentiles!$A$45:$I$59, 7, FALSE), perc_95, VLOOKUP(U$2, Percentiles!$A$45:$I$59, 8, FALSE), perc_85, perc_75 + (perc_90 - perc_75) * (2/3), converted_stat, '2K_Ratings'!U400, IF(bbgm_stat &gt;= perc_95, converted_stat * 3, IF(bbgm_stat &gt;= perc_90, converted_stat * 2, IF(bbgm_stat &gt;= perc_85, converted_stat * 1.5, converted_stat)))))</f>
        <v/>
      </c>
      <c r="V400" s="30" t="str">
        <f t="array" ref="V400">IF($A400="", "", LET(bbgm_stat, INDEX(Players!$A399:$P399, MATCH(V$2, Players!$A$1:$P$1, 0)), perc_75, VLOOKUP(V$2, Percentiles!$A$45:$I$59, 6, FALSE), perc_90, VLOOKUP(V$2, Percentiles!$A$45:$I$59, 7, FALSE), perc_95, VLOOKUP(V$2, Percentiles!$A$45:$I$59, 8, FALSE), perc_85, perc_75 + (perc_90 - perc_75) * (2/3), converted_stat, '2K_Ratings'!V400, IF(bbgm_stat &gt;= perc_95, converted_stat * 3, IF(bbgm_stat &gt;= perc_90, converted_stat * 2, IF(bbgm_stat &gt;= perc_85, converted_stat * 1.5, converted_stat)))))</f>
        <v/>
      </c>
      <c r="W400" s="30" t="str">
        <f t="array" ref="W400">IF($A400="", "", LET(bbgm_stat, INDEX(Players!$A399:$P399, MATCH(W$2, Players!$A$1:$P$1, 0)), perc_75, VLOOKUP(W$2, Percentiles!$A$45:$I$59, 6, FALSE), perc_90, VLOOKUP(W$2, Percentiles!$A$45:$I$59, 7, FALSE), perc_95, VLOOKUP(W$2, Percentiles!$A$45:$I$59, 8, FALSE), perc_85, perc_75 + (perc_90 - perc_75) * (2/3), converted_stat, '2K_Ratings'!W400, IF(bbgm_stat &gt;= perc_95, converted_stat * 3, IF(bbgm_stat &gt;= perc_90, converted_stat * 2, IF(bbgm_stat &gt;= perc_85, converted_stat * 1.5, converted_stat)))))</f>
        <v/>
      </c>
    </row>
    <row r="401">
      <c r="A401" s="30"/>
      <c r="B401" s="30" t="str">
        <f t="array" ref="B401">IF($A401="", "", LET(bbgm_stat, INDEX(Players!$A400:$P400, MATCH(B$2, Players!$A$1:$P$1, 0)), perc_75, VLOOKUP(B$2, Percentiles!$A$45:$I$59, 6, FALSE), perc_90, VLOOKUP(B$2, Percentiles!$A$45:$I$59, 7, FALSE), perc_95, VLOOKUP(B$2, Percentiles!$A$45:$I$59, 8, FALSE), perc_85, perc_75 + (perc_90 - perc_75) * (2/3), converted_stat, '2K_Ratings'!B401, IF(bbgm_stat &gt;= perc_95, converted_stat * 3, IF(bbgm_stat &gt;= perc_90, converted_stat * 2, IF(bbgm_stat &gt;= perc_85, converted_stat * 1.5, converted_stat)))))</f>
        <v/>
      </c>
      <c r="C401" s="30" t="str">
        <f t="array" ref="C401">IF($A401="", "", LET(bbgm_stat, INDEX(Players!$A400:$P400, MATCH(C$2, Players!$A$1:$P$1, 0)), perc_75, VLOOKUP(C$2, Percentiles!$A$45:$I$59, 6, FALSE), perc_90, VLOOKUP(C$2, Percentiles!$A$45:$I$59, 7, FALSE), perc_95, VLOOKUP(C$2, Percentiles!$A$45:$I$59, 8, FALSE), perc_85, perc_75 + (perc_90 - perc_75) * (2/3), converted_stat, '2K_Ratings'!C401, IF(bbgm_stat &gt;= perc_95, converted_stat * 3, IF(bbgm_stat &gt;= perc_90, converted_stat * 2, IF(bbgm_stat &gt;= perc_85, converted_stat * 1.5, converted_stat)))))</f>
        <v/>
      </c>
      <c r="D401" s="30" t="str">
        <f t="array" ref="D401">IF($A401="", "", LET(bbgm_stat, INDEX(Players!$A400:$P400, MATCH(D$2, Players!$A$1:$P$1, 0)), perc_75, VLOOKUP(D$2, Percentiles!$A$45:$I$59, 6, FALSE), perc_90, VLOOKUP(D$2, Percentiles!$A$45:$I$59, 7, FALSE), perc_95, VLOOKUP(D$2, Percentiles!$A$45:$I$59, 8, FALSE), perc_85, perc_75 + (perc_90 - perc_75) * (2/3), converted_stat, '2K_Ratings'!D401, IF(bbgm_stat &gt;= perc_95, converted_stat * 3, IF(bbgm_stat &gt;= perc_90, converted_stat * 2, IF(bbgm_stat &gt;= perc_85, converted_stat * 1.5, converted_stat)))))</f>
        <v/>
      </c>
      <c r="E401" s="30" t="str">
        <f t="array" ref="E401">IF($A401="", "", LET(bbgm_stat, INDEX(Players!$A400:$P400, MATCH(E$2, Players!$A$1:$P$1, 0)), perc_75, VLOOKUP(E$2, Percentiles!$A$45:$I$59, 6, FALSE), perc_90, VLOOKUP(E$2, Percentiles!$A$45:$I$59, 7, FALSE), perc_95, VLOOKUP(E$2, Percentiles!$A$45:$I$59, 8, FALSE), perc_85, perc_75 + (perc_90 - perc_75) * (2/3), converted_stat, '2K_Ratings'!E401, IF(bbgm_stat &gt;= perc_95, converted_stat * 3, IF(bbgm_stat &gt;= perc_90, converted_stat * 2, IF(bbgm_stat &gt;= perc_85, converted_stat * 1.5, converted_stat)))))</f>
        <v/>
      </c>
      <c r="F401" s="30" t="str">
        <f t="array" ref="F401">IF($A401="", "", LET(bbgm_stat, INDEX(Players!$A400:$P400, MATCH(F$2, Players!$A$1:$P$1, 0)), perc_75, VLOOKUP(F$2, Percentiles!$A$45:$I$59, 6, FALSE), perc_90, VLOOKUP(F$2, Percentiles!$A$45:$I$59, 7, FALSE), perc_95, VLOOKUP(F$2, Percentiles!$A$45:$I$59, 8, FALSE), perc_85, perc_75 + (perc_90 - perc_75) * (2/3), converted_stat, '2K_Ratings'!F401, IF(bbgm_stat &gt;= perc_95, converted_stat * 3, IF(bbgm_stat &gt;= perc_90, converted_stat * 2, IF(bbgm_stat &gt;= perc_85, converted_stat * 1.5, converted_stat)))))</f>
        <v/>
      </c>
      <c r="G401" s="30" t="str">
        <f t="array" ref="G401">IF($A401="", "", LET(bbgm_stat, INDEX(Players!$A400:$P400, MATCH(G$2, Players!$A$1:$P$1, 0)), perc_75, VLOOKUP(G$2, Percentiles!$A$45:$I$59, 6, FALSE), perc_90, VLOOKUP(G$2, Percentiles!$A$45:$I$59, 7, FALSE), perc_95, VLOOKUP(G$2, Percentiles!$A$45:$I$59, 8, FALSE), perc_85, perc_75 + (perc_90 - perc_75) * (2/3), converted_stat, '2K_Ratings'!G401, IF(bbgm_stat &gt;= perc_95, converted_stat * 3, IF(bbgm_stat &gt;= perc_90, converted_stat * 2, IF(bbgm_stat &gt;= perc_85, converted_stat * 1.5, converted_stat)))))</f>
        <v/>
      </c>
      <c r="H401" s="30" t="str">
        <f t="array" ref="H401">IF($A401="", "", LET(bbgm_stat, INDEX(Players!$A400:$P400, MATCH(H$2, Players!$A$1:$P$1, 0)), perc_75, VLOOKUP(H$2, Percentiles!$A$45:$I$59, 6, FALSE), perc_90, VLOOKUP(H$2, Percentiles!$A$45:$I$59, 7, FALSE), perc_95, VLOOKUP(H$2, Percentiles!$A$45:$I$59, 8, FALSE), perc_85, perc_75 + (perc_90 - perc_75) * (2/3), converted_stat, '2K_Ratings'!H401, IF(bbgm_stat &gt;= perc_95, converted_stat * 3, IF(bbgm_stat &gt;= perc_90, converted_stat * 2, IF(bbgm_stat &gt;= perc_85, converted_stat * 1.5, converted_stat)))))</f>
        <v/>
      </c>
      <c r="I401" s="30" t="str">
        <f t="array" ref="I401">IF($A401="", "", LET(bbgm_stat, INDEX(Players!$A400:$P400, MATCH(I$2, Players!$A$1:$P$1, 0)), perc_75, VLOOKUP(I$2, Percentiles!$A$45:$I$59, 6, FALSE), perc_90, VLOOKUP(I$2, Percentiles!$A$45:$I$59, 7, FALSE), perc_95, VLOOKUP(I$2, Percentiles!$A$45:$I$59, 8, FALSE), perc_85, perc_75 + (perc_90 - perc_75) * (2/3), converted_stat, '2K_Ratings'!I401, IF(bbgm_stat &gt;= perc_95, converted_stat * 3, IF(bbgm_stat &gt;= perc_90, converted_stat * 2, IF(bbgm_stat &gt;= perc_85, converted_stat * 1.5, converted_stat)))))</f>
        <v/>
      </c>
      <c r="J401" s="30" t="str">
        <f t="array" ref="J401">IF($A401="", "", LET(bbgm_stat, INDEX(Players!$A400:$P400, MATCH(J$2, Players!$A$1:$P$1, 0)), perc_75, VLOOKUP(J$2, Percentiles!$A$45:$I$59, 6, FALSE), perc_90, VLOOKUP(J$2, Percentiles!$A$45:$I$59, 7, FALSE), perc_95, VLOOKUP(J$2, Percentiles!$A$45:$I$59, 8, FALSE), perc_85, perc_75 + (perc_90 - perc_75) * (2/3), converted_stat, '2K_Ratings'!J401, IF(bbgm_stat &gt;= perc_95, converted_stat * 3, IF(bbgm_stat &gt;= perc_90, converted_stat * 2, IF(bbgm_stat &gt;= perc_85, converted_stat * 1.5, converted_stat)))))</f>
        <v/>
      </c>
      <c r="K401" s="30" t="str">
        <f t="array" ref="K401">IF($A401="", "", LET(bbgm_stat, INDEX(Players!$A400:$P400, MATCH(K$2, Players!$A$1:$P$1, 0)), perc_75, VLOOKUP(K$2, Percentiles!$A$45:$I$59, 6, FALSE), perc_90, VLOOKUP(K$2, Percentiles!$A$45:$I$59, 7, FALSE), perc_95, VLOOKUP(K$2, Percentiles!$A$45:$I$59, 8, FALSE), perc_85, perc_75 + (perc_90 - perc_75) * (2/3), converted_stat, '2K_Ratings'!K401, IF(bbgm_stat &gt;= perc_95, converted_stat * 3, IF(bbgm_stat &gt;= perc_90, converted_stat * 2, IF(bbgm_stat &gt;= perc_85, converted_stat * 1.5, converted_stat)))))</f>
        <v/>
      </c>
      <c r="L401" s="30" t="str">
        <f t="array" ref="L401">IF($A401="", "", LET(bbgm_stat, INDEX(Players!$A400:$P400, MATCH(L$2, Players!$A$1:$P$1, 0)), perc_75, VLOOKUP(L$2, Percentiles!$A$45:$I$59, 6, FALSE), perc_90, VLOOKUP(L$2, Percentiles!$A$45:$I$59, 7, FALSE), perc_95, VLOOKUP(L$2, Percentiles!$A$45:$I$59, 8, FALSE), perc_85, perc_75 + (perc_90 - perc_75) * (2/3), converted_stat, '2K_Ratings'!L401, IF(bbgm_stat &gt;= perc_95, converted_stat * 3, IF(bbgm_stat &gt;= perc_90, converted_stat * 2, IF(bbgm_stat &gt;= perc_85, converted_stat * 1.5, converted_stat)))))</f>
        <v/>
      </c>
      <c r="M401" s="30" t="str">
        <f t="array" ref="M401">IF($A401="", "", LET(bbgm_stat, INDEX(Players!$A400:$P400, MATCH(M$2, Players!$A$1:$P$1, 0)), perc_75, VLOOKUP(M$2, Percentiles!$A$45:$I$59, 6, FALSE), perc_90, VLOOKUP(M$2, Percentiles!$A$45:$I$59, 7, FALSE), perc_95, VLOOKUP(M$2, Percentiles!$A$45:$I$59, 8, FALSE), perc_85, perc_75 + (perc_90 - perc_75) * (2/3), converted_stat, '2K_Ratings'!M401, IF(bbgm_stat &gt;= perc_95, converted_stat * 3, IF(bbgm_stat &gt;= perc_90, converted_stat * 2, IF(bbgm_stat &gt;= perc_85, converted_stat * 1.5, converted_stat)))))</f>
        <v/>
      </c>
      <c r="N401" s="30" t="str">
        <f t="array" ref="N401">IF($A401="", "", LET(bbgm_stat, INDEX(Players!$A400:$P400, MATCH(N$2, Players!$A$1:$P$1, 0)), perc_75, VLOOKUP(N$2, Percentiles!$A$45:$I$59, 6, FALSE), perc_90, VLOOKUP(N$2, Percentiles!$A$45:$I$59, 7, FALSE), perc_95, VLOOKUP(N$2, Percentiles!$A$45:$I$59, 8, FALSE), perc_85, perc_75 + (perc_90 - perc_75) * (2/3), converted_stat, '2K_Ratings'!N401, IF(bbgm_stat &gt;= perc_95, converted_stat * 3, IF(bbgm_stat &gt;= perc_90, converted_stat * 2, IF(bbgm_stat &gt;= perc_85, converted_stat * 1.5, converted_stat)))))</f>
        <v/>
      </c>
      <c r="O401" s="30" t="str">
        <f t="array" ref="O401">IF($A401="", "", LET(bbgm_stat, INDEX(Players!$A400:$P400, MATCH(O$2, Players!$A$1:$P$1, 0)), perc_75, VLOOKUP(O$2, Percentiles!$A$45:$I$59, 6, FALSE), perc_90, VLOOKUP(O$2, Percentiles!$A$45:$I$59, 7, FALSE), perc_95, VLOOKUP(O$2, Percentiles!$A$45:$I$59, 8, FALSE), perc_85, perc_75 + (perc_90 - perc_75) * (2/3), converted_stat, '2K_Ratings'!O401, IF(bbgm_stat &gt;= perc_95, converted_stat * 3, IF(bbgm_stat &gt;= perc_90, converted_stat * 2, IF(bbgm_stat &gt;= perc_85, converted_stat * 1.5, converted_stat)))))</f>
        <v/>
      </c>
      <c r="P401" s="30" t="str">
        <f t="array" ref="P401">IF($A401="", "", LET(bbgm_stat, INDEX(Players!$A400:$P400, MATCH(P$2, Players!$A$1:$P$1, 0)), perc_75, VLOOKUP(P$2, Percentiles!$A$45:$I$59, 6, FALSE), perc_90, VLOOKUP(P$2, Percentiles!$A$45:$I$59, 7, FALSE), perc_95, VLOOKUP(P$2, Percentiles!$A$45:$I$59, 8, FALSE), perc_85, perc_75 + (perc_90 - perc_75) * (2/3), converted_stat, '2K_Ratings'!P401, IF(bbgm_stat &gt;= perc_95, converted_stat * 3, IF(bbgm_stat &gt;= perc_90, converted_stat * 2, IF(bbgm_stat &gt;= perc_85, converted_stat * 1.5, converted_stat)))))</f>
        <v/>
      </c>
      <c r="Q401" s="30" t="str">
        <f t="array" ref="Q401">IF($A401="", "", LET(bbgm_stat, INDEX(Players!$A400:$P400, MATCH(Q$2, Players!$A$1:$P$1, 0)), perc_75, VLOOKUP(Q$2, Percentiles!$A$45:$I$59, 6, FALSE), perc_90, VLOOKUP(Q$2, Percentiles!$A$45:$I$59, 7, FALSE), perc_95, VLOOKUP(Q$2, Percentiles!$A$45:$I$59, 8, FALSE), perc_85, perc_75 + (perc_90 - perc_75) * (2/3), converted_stat, '2K_Ratings'!Q401, IF(bbgm_stat &gt;= perc_95, converted_stat * 3, IF(bbgm_stat &gt;= perc_90, converted_stat * 2, IF(bbgm_stat &gt;= perc_85, converted_stat * 1.5, converted_stat)))))</f>
        <v/>
      </c>
      <c r="R401" s="30" t="str">
        <f t="array" ref="R401">IF($A401="", "", LET(bbgm_stat, INDEX(Players!$A400:$P400, MATCH(R$2, Players!$A$1:$P$1, 0)), perc_75, VLOOKUP(R$2, Percentiles!$A$45:$I$59, 6, FALSE), perc_90, VLOOKUP(R$2, Percentiles!$A$45:$I$59, 7, FALSE), perc_95, VLOOKUP(R$2, Percentiles!$A$45:$I$59, 8, FALSE), perc_85, perc_75 + (perc_90 - perc_75) * (2/3), converted_stat, '2K_Ratings'!R401, IF(bbgm_stat &gt;= perc_95, converted_stat * 3, IF(bbgm_stat &gt;= perc_90, converted_stat * 2, IF(bbgm_stat &gt;= perc_85, converted_stat * 1.5, converted_stat)))))</f>
        <v/>
      </c>
      <c r="S401" s="30" t="str">
        <f t="array" ref="S401">IF($A401="", "", LET(bbgm_stat, INDEX(Players!$A400:$P400, MATCH(S$2, Players!$A$1:$P$1, 0)), perc_75, VLOOKUP(S$2, Percentiles!$A$45:$I$59, 6, FALSE), perc_90, VLOOKUP(S$2, Percentiles!$A$45:$I$59, 7, FALSE), perc_95, VLOOKUP(S$2, Percentiles!$A$45:$I$59, 8, FALSE), perc_85, perc_75 + (perc_90 - perc_75) * (2/3), converted_stat, '2K_Ratings'!S401, IF(bbgm_stat &gt;= perc_95, converted_stat * 3, IF(bbgm_stat &gt;= perc_90, converted_stat * 2, IF(bbgm_stat &gt;= perc_85, converted_stat * 1.5, converted_stat)))))</f>
        <v/>
      </c>
      <c r="T401" s="30" t="str">
        <f t="array" ref="T401">IF($A401="", "", LET(bbgm_stat, INDEX(Players!$A400:$P400, MATCH(T$2, Players!$A$1:$P$1, 0)), perc_75, VLOOKUP(T$2, Percentiles!$A$45:$I$59, 6, FALSE), perc_90, VLOOKUP(T$2, Percentiles!$A$45:$I$59, 7, FALSE), perc_95, VLOOKUP(T$2, Percentiles!$A$45:$I$59, 8, FALSE), perc_85, perc_75 + (perc_90 - perc_75) * (2/3), converted_stat, '2K_Ratings'!T401, IF(bbgm_stat &gt;= perc_95, converted_stat * 3, IF(bbgm_stat &gt;= perc_90, converted_stat * 2, IF(bbgm_stat &gt;= perc_85, converted_stat * 1.5, converted_stat)))))</f>
        <v/>
      </c>
      <c r="U401" s="30" t="str">
        <f t="array" ref="U401">IF($A401="", "", LET(bbgm_stat, INDEX(Players!$A400:$P400, MATCH(U$2, Players!$A$1:$P$1, 0)), perc_75, VLOOKUP(U$2, Percentiles!$A$45:$I$59, 6, FALSE), perc_90, VLOOKUP(U$2, Percentiles!$A$45:$I$59, 7, FALSE), perc_95, VLOOKUP(U$2, Percentiles!$A$45:$I$59, 8, FALSE), perc_85, perc_75 + (perc_90 - perc_75) * (2/3), converted_stat, '2K_Ratings'!U401, IF(bbgm_stat &gt;= perc_95, converted_stat * 3, IF(bbgm_stat &gt;= perc_90, converted_stat * 2, IF(bbgm_stat &gt;= perc_85, converted_stat * 1.5, converted_stat)))))</f>
        <v/>
      </c>
      <c r="V401" s="30" t="str">
        <f t="array" ref="V401">IF($A401="", "", LET(bbgm_stat, INDEX(Players!$A400:$P400, MATCH(V$2, Players!$A$1:$P$1, 0)), perc_75, VLOOKUP(V$2, Percentiles!$A$45:$I$59, 6, FALSE), perc_90, VLOOKUP(V$2, Percentiles!$A$45:$I$59, 7, FALSE), perc_95, VLOOKUP(V$2, Percentiles!$A$45:$I$59, 8, FALSE), perc_85, perc_75 + (perc_90 - perc_75) * (2/3), converted_stat, '2K_Ratings'!V401, IF(bbgm_stat &gt;= perc_95, converted_stat * 3, IF(bbgm_stat &gt;= perc_90, converted_stat * 2, IF(bbgm_stat &gt;= perc_85, converted_stat * 1.5, converted_stat)))))</f>
        <v/>
      </c>
      <c r="W401" s="30" t="str">
        <f t="array" ref="W401">IF($A401="", "", LET(bbgm_stat, INDEX(Players!$A400:$P400, MATCH(W$2, Players!$A$1:$P$1, 0)), perc_75, VLOOKUP(W$2, Percentiles!$A$45:$I$59, 6, FALSE), perc_90, VLOOKUP(W$2, Percentiles!$A$45:$I$59, 7, FALSE), perc_95, VLOOKUP(W$2, Percentiles!$A$45:$I$59, 8, FALSE), perc_85, perc_75 + (perc_90 - perc_75) * (2/3), converted_stat, '2K_Ratings'!W401, IF(bbgm_stat &gt;= perc_95, converted_stat * 3, IF(bbgm_stat &gt;= perc_90, converted_stat * 2, IF(bbgm_stat &gt;= perc_85, converted_stat * 1.5, converted_stat)))))</f>
        <v/>
      </c>
    </row>
    <row r="402">
      <c r="A402" s="30"/>
      <c r="B402" s="30" t="str">
        <f t="array" ref="B402">IF($A402="", "", LET(bbgm_stat, INDEX(Players!$A401:$P401, MATCH(B$2, Players!$A$1:$P$1, 0)), perc_75, VLOOKUP(B$2, Percentiles!$A$45:$I$59, 6, FALSE), perc_90, VLOOKUP(B$2, Percentiles!$A$45:$I$59, 7, FALSE), perc_95, VLOOKUP(B$2, Percentiles!$A$45:$I$59, 8, FALSE), perc_85, perc_75 + (perc_90 - perc_75) * (2/3), converted_stat, '2K_Ratings'!B402, IF(bbgm_stat &gt;= perc_95, converted_stat * 3, IF(bbgm_stat &gt;= perc_90, converted_stat * 2, IF(bbgm_stat &gt;= perc_85, converted_stat * 1.5, converted_stat)))))</f>
        <v/>
      </c>
      <c r="C402" s="30" t="str">
        <f t="array" ref="C402">IF($A402="", "", LET(bbgm_stat, INDEX(Players!$A401:$P401, MATCH(C$2, Players!$A$1:$P$1, 0)), perc_75, VLOOKUP(C$2, Percentiles!$A$45:$I$59, 6, FALSE), perc_90, VLOOKUP(C$2, Percentiles!$A$45:$I$59, 7, FALSE), perc_95, VLOOKUP(C$2, Percentiles!$A$45:$I$59, 8, FALSE), perc_85, perc_75 + (perc_90 - perc_75) * (2/3), converted_stat, '2K_Ratings'!C402, IF(bbgm_stat &gt;= perc_95, converted_stat * 3, IF(bbgm_stat &gt;= perc_90, converted_stat * 2, IF(bbgm_stat &gt;= perc_85, converted_stat * 1.5, converted_stat)))))</f>
        <v/>
      </c>
      <c r="D402" s="30" t="str">
        <f t="array" ref="D402">IF($A402="", "", LET(bbgm_stat, INDEX(Players!$A401:$P401, MATCH(D$2, Players!$A$1:$P$1, 0)), perc_75, VLOOKUP(D$2, Percentiles!$A$45:$I$59, 6, FALSE), perc_90, VLOOKUP(D$2, Percentiles!$A$45:$I$59, 7, FALSE), perc_95, VLOOKUP(D$2, Percentiles!$A$45:$I$59, 8, FALSE), perc_85, perc_75 + (perc_90 - perc_75) * (2/3), converted_stat, '2K_Ratings'!D402, IF(bbgm_stat &gt;= perc_95, converted_stat * 3, IF(bbgm_stat &gt;= perc_90, converted_stat * 2, IF(bbgm_stat &gt;= perc_85, converted_stat * 1.5, converted_stat)))))</f>
        <v/>
      </c>
      <c r="E402" s="30" t="str">
        <f t="array" ref="E402">IF($A402="", "", LET(bbgm_stat, INDEX(Players!$A401:$P401, MATCH(E$2, Players!$A$1:$P$1, 0)), perc_75, VLOOKUP(E$2, Percentiles!$A$45:$I$59, 6, FALSE), perc_90, VLOOKUP(E$2, Percentiles!$A$45:$I$59, 7, FALSE), perc_95, VLOOKUP(E$2, Percentiles!$A$45:$I$59, 8, FALSE), perc_85, perc_75 + (perc_90 - perc_75) * (2/3), converted_stat, '2K_Ratings'!E402, IF(bbgm_stat &gt;= perc_95, converted_stat * 3, IF(bbgm_stat &gt;= perc_90, converted_stat * 2, IF(bbgm_stat &gt;= perc_85, converted_stat * 1.5, converted_stat)))))</f>
        <v/>
      </c>
      <c r="F402" s="30" t="str">
        <f t="array" ref="F402">IF($A402="", "", LET(bbgm_stat, INDEX(Players!$A401:$P401, MATCH(F$2, Players!$A$1:$P$1, 0)), perc_75, VLOOKUP(F$2, Percentiles!$A$45:$I$59, 6, FALSE), perc_90, VLOOKUP(F$2, Percentiles!$A$45:$I$59, 7, FALSE), perc_95, VLOOKUP(F$2, Percentiles!$A$45:$I$59, 8, FALSE), perc_85, perc_75 + (perc_90 - perc_75) * (2/3), converted_stat, '2K_Ratings'!F402, IF(bbgm_stat &gt;= perc_95, converted_stat * 3, IF(bbgm_stat &gt;= perc_90, converted_stat * 2, IF(bbgm_stat &gt;= perc_85, converted_stat * 1.5, converted_stat)))))</f>
        <v/>
      </c>
      <c r="G402" s="30" t="str">
        <f t="array" ref="G402">IF($A402="", "", LET(bbgm_stat, INDEX(Players!$A401:$P401, MATCH(G$2, Players!$A$1:$P$1, 0)), perc_75, VLOOKUP(G$2, Percentiles!$A$45:$I$59, 6, FALSE), perc_90, VLOOKUP(G$2, Percentiles!$A$45:$I$59, 7, FALSE), perc_95, VLOOKUP(G$2, Percentiles!$A$45:$I$59, 8, FALSE), perc_85, perc_75 + (perc_90 - perc_75) * (2/3), converted_stat, '2K_Ratings'!G402, IF(bbgm_stat &gt;= perc_95, converted_stat * 3, IF(bbgm_stat &gt;= perc_90, converted_stat * 2, IF(bbgm_stat &gt;= perc_85, converted_stat * 1.5, converted_stat)))))</f>
        <v/>
      </c>
      <c r="H402" s="30" t="str">
        <f t="array" ref="H402">IF($A402="", "", LET(bbgm_stat, INDEX(Players!$A401:$P401, MATCH(H$2, Players!$A$1:$P$1, 0)), perc_75, VLOOKUP(H$2, Percentiles!$A$45:$I$59, 6, FALSE), perc_90, VLOOKUP(H$2, Percentiles!$A$45:$I$59, 7, FALSE), perc_95, VLOOKUP(H$2, Percentiles!$A$45:$I$59, 8, FALSE), perc_85, perc_75 + (perc_90 - perc_75) * (2/3), converted_stat, '2K_Ratings'!H402, IF(bbgm_stat &gt;= perc_95, converted_stat * 3, IF(bbgm_stat &gt;= perc_90, converted_stat * 2, IF(bbgm_stat &gt;= perc_85, converted_stat * 1.5, converted_stat)))))</f>
        <v/>
      </c>
      <c r="I402" s="30" t="str">
        <f t="array" ref="I402">IF($A402="", "", LET(bbgm_stat, INDEX(Players!$A401:$P401, MATCH(I$2, Players!$A$1:$P$1, 0)), perc_75, VLOOKUP(I$2, Percentiles!$A$45:$I$59, 6, FALSE), perc_90, VLOOKUP(I$2, Percentiles!$A$45:$I$59, 7, FALSE), perc_95, VLOOKUP(I$2, Percentiles!$A$45:$I$59, 8, FALSE), perc_85, perc_75 + (perc_90 - perc_75) * (2/3), converted_stat, '2K_Ratings'!I402, IF(bbgm_stat &gt;= perc_95, converted_stat * 3, IF(bbgm_stat &gt;= perc_90, converted_stat * 2, IF(bbgm_stat &gt;= perc_85, converted_stat * 1.5, converted_stat)))))</f>
        <v/>
      </c>
      <c r="J402" s="30" t="str">
        <f t="array" ref="J402">IF($A402="", "", LET(bbgm_stat, INDEX(Players!$A401:$P401, MATCH(J$2, Players!$A$1:$P$1, 0)), perc_75, VLOOKUP(J$2, Percentiles!$A$45:$I$59, 6, FALSE), perc_90, VLOOKUP(J$2, Percentiles!$A$45:$I$59, 7, FALSE), perc_95, VLOOKUP(J$2, Percentiles!$A$45:$I$59, 8, FALSE), perc_85, perc_75 + (perc_90 - perc_75) * (2/3), converted_stat, '2K_Ratings'!J402, IF(bbgm_stat &gt;= perc_95, converted_stat * 3, IF(bbgm_stat &gt;= perc_90, converted_stat * 2, IF(bbgm_stat &gt;= perc_85, converted_stat * 1.5, converted_stat)))))</f>
        <v/>
      </c>
      <c r="K402" s="30" t="str">
        <f t="array" ref="K402">IF($A402="", "", LET(bbgm_stat, INDEX(Players!$A401:$P401, MATCH(K$2, Players!$A$1:$P$1, 0)), perc_75, VLOOKUP(K$2, Percentiles!$A$45:$I$59, 6, FALSE), perc_90, VLOOKUP(K$2, Percentiles!$A$45:$I$59, 7, FALSE), perc_95, VLOOKUP(K$2, Percentiles!$A$45:$I$59, 8, FALSE), perc_85, perc_75 + (perc_90 - perc_75) * (2/3), converted_stat, '2K_Ratings'!K402, IF(bbgm_stat &gt;= perc_95, converted_stat * 3, IF(bbgm_stat &gt;= perc_90, converted_stat * 2, IF(bbgm_stat &gt;= perc_85, converted_stat * 1.5, converted_stat)))))</f>
        <v/>
      </c>
      <c r="L402" s="30" t="str">
        <f t="array" ref="L402">IF($A402="", "", LET(bbgm_stat, INDEX(Players!$A401:$P401, MATCH(L$2, Players!$A$1:$P$1, 0)), perc_75, VLOOKUP(L$2, Percentiles!$A$45:$I$59, 6, FALSE), perc_90, VLOOKUP(L$2, Percentiles!$A$45:$I$59, 7, FALSE), perc_95, VLOOKUP(L$2, Percentiles!$A$45:$I$59, 8, FALSE), perc_85, perc_75 + (perc_90 - perc_75) * (2/3), converted_stat, '2K_Ratings'!L402, IF(bbgm_stat &gt;= perc_95, converted_stat * 3, IF(bbgm_stat &gt;= perc_90, converted_stat * 2, IF(bbgm_stat &gt;= perc_85, converted_stat * 1.5, converted_stat)))))</f>
        <v/>
      </c>
      <c r="M402" s="30" t="str">
        <f t="array" ref="M402">IF($A402="", "", LET(bbgm_stat, INDEX(Players!$A401:$P401, MATCH(M$2, Players!$A$1:$P$1, 0)), perc_75, VLOOKUP(M$2, Percentiles!$A$45:$I$59, 6, FALSE), perc_90, VLOOKUP(M$2, Percentiles!$A$45:$I$59, 7, FALSE), perc_95, VLOOKUP(M$2, Percentiles!$A$45:$I$59, 8, FALSE), perc_85, perc_75 + (perc_90 - perc_75) * (2/3), converted_stat, '2K_Ratings'!M402, IF(bbgm_stat &gt;= perc_95, converted_stat * 3, IF(bbgm_stat &gt;= perc_90, converted_stat * 2, IF(bbgm_stat &gt;= perc_85, converted_stat * 1.5, converted_stat)))))</f>
        <v/>
      </c>
      <c r="N402" s="30" t="str">
        <f t="array" ref="N402">IF($A402="", "", LET(bbgm_stat, INDEX(Players!$A401:$P401, MATCH(N$2, Players!$A$1:$P$1, 0)), perc_75, VLOOKUP(N$2, Percentiles!$A$45:$I$59, 6, FALSE), perc_90, VLOOKUP(N$2, Percentiles!$A$45:$I$59, 7, FALSE), perc_95, VLOOKUP(N$2, Percentiles!$A$45:$I$59, 8, FALSE), perc_85, perc_75 + (perc_90 - perc_75) * (2/3), converted_stat, '2K_Ratings'!N402, IF(bbgm_stat &gt;= perc_95, converted_stat * 3, IF(bbgm_stat &gt;= perc_90, converted_stat * 2, IF(bbgm_stat &gt;= perc_85, converted_stat * 1.5, converted_stat)))))</f>
        <v/>
      </c>
      <c r="O402" s="30" t="str">
        <f t="array" ref="O402">IF($A402="", "", LET(bbgm_stat, INDEX(Players!$A401:$P401, MATCH(O$2, Players!$A$1:$P$1, 0)), perc_75, VLOOKUP(O$2, Percentiles!$A$45:$I$59, 6, FALSE), perc_90, VLOOKUP(O$2, Percentiles!$A$45:$I$59, 7, FALSE), perc_95, VLOOKUP(O$2, Percentiles!$A$45:$I$59, 8, FALSE), perc_85, perc_75 + (perc_90 - perc_75) * (2/3), converted_stat, '2K_Ratings'!O402, IF(bbgm_stat &gt;= perc_95, converted_stat * 3, IF(bbgm_stat &gt;= perc_90, converted_stat * 2, IF(bbgm_stat &gt;= perc_85, converted_stat * 1.5, converted_stat)))))</f>
        <v/>
      </c>
      <c r="P402" s="30" t="str">
        <f t="array" ref="P402">IF($A402="", "", LET(bbgm_stat, INDEX(Players!$A401:$P401, MATCH(P$2, Players!$A$1:$P$1, 0)), perc_75, VLOOKUP(P$2, Percentiles!$A$45:$I$59, 6, FALSE), perc_90, VLOOKUP(P$2, Percentiles!$A$45:$I$59, 7, FALSE), perc_95, VLOOKUP(P$2, Percentiles!$A$45:$I$59, 8, FALSE), perc_85, perc_75 + (perc_90 - perc_75) * (2/3), converted_stat, '2K_Ratings'!P402, IF(bbgm_stat &gt;= perc_95, converted_stat * 3, IF(bbgm_stat &gt;= perc_90, converted_stat * 2, IF(bbgm_stat &gt;= perc_85, converted_stat * 1.5, converted_stat)))))</f>
        <v/>
      </c>
      <c r="Q402" s="30" t="str">
        <f t="array" ref="Q402">IF($A402="", "", LET(bbgm_stat, INDEX(Players!$A401:$P401, MATCH(Q$2, Players!$A$1:$P$1, 0)), perc_75, VLOOKUP(Q$2, Percentiles!$A$45:$I$59, 6, FALSE), perc_90, VLOOKUP(Q$2, Percentiles!$A$45:$I$59, 7, FALSE), perc_95, VLOOKUP(Q$2, Percentiles!$A$45:$I$59, 8, FALSE), perc_85, perc_75 + (perc_90 - perc_75) * (2/3), converted_stat, '2K_Ratings'!Q402, IF(bbgm_stat &gt;= perc_95, converted_stat * 3, IF(bbgm_stat &gt;= perc_90, converted_stat * 2, IF(bbgm_stat &gt;= perc_85, converted_stat * 1.5, converted_stat)))))</f>
        <v/>
      </c>
      <c r="R402" s="30" t="str">
        <f t="array" ref="R402">IF($A402="", "", LET(bbgm_stat, INDEX(Players!$A401:$P401, MATCH(R$2, Players!$A$1:$P$1, 0)), perc_75, VLOOKUP(R$2, Percentiles!$A$45:$I$59, 6, FALSE), perc_90, VLOOKUP(R$2, Percentiles!$A$45:$I$59, 7, FALSE), perc_95, VLOOKUP(R$2, Percentiles!$A$45:$I$59, 8, FALSE), perc_85, perc_75 + (perc_90 - perc_75) * (2/3), converted_stat, '2K_Ratings'!R402, IF(bbgm_stat &gt;= perc_95, converted_stat * 3, IF(bbgm_stat &gt;= perc_90, converted_stat * 2, IF(bbgm_stat &gt;= perc_85, converted_stat * 1.5, converted_stat)))))</f>
        <v/>
      </c>
      <c r="S402" s="30" t="str">
        <f t="array" ref="S402">IF($A402="", "", LET(bbgm_stat, INDEX(Players!$A401:$P401, MATCH(S$2, Players!$A$1:$P$1, 0)), perc_75, VLOOKUP(S$2, Percentiles!$A$45:$I$59, 6, FALSE), perc_90, VLOOKUP(S$2, Percentiles!$A$45:$I$59, 7, FALSE), perc_95, VLOOKUP(S$2, Percentiles!$A$45:$I$59, 8, FALSE), perc_85, perc_75 + (perc_90 - perc_75) * (2/3), converted_stat, '2K_Ratings'!S402, IF(bbgm_stat &gt;= perc_95, converted_stat * 3, IF(bbgm_stat &gt;= perc_90, converted_stat * 2, IF(bbgm_stat &gt;= perc_85, converted_stat * 1.5, converted_stat)))))</f>
        <v/>
      </c>
      <c r="T402" s="30" t="str">
        <f t="array" ref="T402">IF($A402="", "", LET(bbgm_stat, INDEX(Players!$A401:$P401, MATCH(T$2, Players!$A$1:$P$1, 0)), perc_75, VLOOKUP(T$2, Percentiles!$A$45:$I$59, 6, FALSE), perc_90, VLOOKUP(T$2, Percentiles!$A$45:$I$59, 7, FALSE), perc_95, VLOOKUP(T$2, Percentiles!$A$45:$I$59, 8, FALSE), perc_85, perc_75 + (perc_90 - perc_75) * (2/3), converted_stat, '2K_Ratings'!T402, IF(bbgm_stat &gt;= perc_95, converted_stat * 3, IF(bbgm_stat &gt;= perc_90, converted_stat * 2, IF(bbgm_stat &gt;= perc_85, converted_stat * 1.5, converted_stat)))))</f>
        <v/>
      </c>
      <c r="U402" s="30" t="str">
        <f t="array" ref="U402">IF($A402="", "", LET(bbgm_stat, INDEX(Players!$A401:$P401, MATCH(U$2, Players!$A$1:$P$1, 0)), perc_75, VLOOKUP(U$2, Percentiles!$A$45:$I$59, 6, FALSE), perc_90, VLOOKUP(U$2, Percentiles!$A$45:$I$59, 7, FALSE), perc_95, VLOOKUP(U$2, Percentiles!$A$45:$I$59, 8, FALSE), perc_85, perc_75 + (perc_90 - perc_75) * (2/3), converted_stat, '2K_Ratings'!U402, IF(bbgm_stat &gt;= perc_95, converted_stat * 3, IF(bbgm_stat &gt;= perc_90, converted_stat * 2, IF(bbgm_stat &gt;= perc_85, converted_stat * 1.5, converted_stat)))))</f>
        <v/>
      </c>
      <c r="V402" s="30" t="str">
        <f t="array" ref="V402">IF($A402="", "", LET(bbgm_stat, INDEX(Players!$A401:$P401, MATCH(V$2, Players!$A$1:$P$1, 0)), perc_75, VLOOKUP(V$2, Percentiles!$A$45:$I$59, 6, FALSE), perc_90, VLOOKUP(V$2, Percentiles!$A$45:$I$59, 7, FALSE), perc_95, VLOOKUP(V$2, Percentiles!$A$45:$I$59, 8, FALSE), perc_85, perc_75 + (perc_90 - perc_75) * (2/3), converted_stat, '2K_Ratings'!V402, IF(bbgm_stat &gt;= perc_95, converted_stat * 3, IF(bbgm_stat &gt;= perc_90, converted_stat * 2, IF(bbgm_stat &gt;= perc_85, converted_stat * 1.5, converted_stat)))))</f>
        <v/>
      </c>
      <c r="W402" s="30" t="str">
        <f t="array" ref="W402">IF($A402="", "", LET(bbgm_stat, INDEX(Players!$A401:$P401, MATCH(W$2, Players!$A$1:$P$1, 0)), perc_75, VLOOKUP(W$2, Percentiles!$A$45:$I$59, 6, FALSE), perc_90, VLOOKUP(W$2, Percentiles!$A$45:$I$59, 7, FALSE), perc_95, VLOOKUP(W$2, Percentiles!$A$45:$I$59, 8, FALSE), perc_85, perc_75 + (perc_90 - perc_75) * (2/3), converted_stat, '2K_Ratings'!W402, IF(bbgm_stat &gt;= perc_95, converted_stat * 3, IF(bbgm_stat &gt;= perc_90, converted_stat * 2, IF(bbgm_stat &gt;= perc_85, converted_stat * 1.5, converted_stat)))))</f>
        <v/>
      </c>
    </row>
    <row r="403">
      <c r="A403" s="30"/>
      <c r="B403" s="30" t="str">
        <f t="array" ref="B403">IF($A403="", "", LET(bbgm_stat, INDEX(Players!$A402:$P402, MATCH(B$2, Players!$A$1:$P$1, 0)), perc_75, VLOOKUP(B$2, Percentiles!$A$45:$I$59, 6, FALSE), perc_90, VLOOKUP(B$2, Percentiles!$A$45:$I$59, 7, FALSE), perc_95, VLOOKUP(B$2, Percentiles!$A$45:$I$59, 8, FALSE), perc_85, perc_75 + (perc_90 - perc_75) * (2/3), converted_stat, '2K_Ratings'!B403, IF(bbgm_stat &gt;= perc_95, converted_stat * 3, IF(bbgm_stat &gt;= perc_90, converted_stat * 2, IF(bbgm_stat &gt;= perc_85, converted_stat * 1.5, converted_stat)))))</f>
        <v/>
      </c>
      <c r="C403" s="30" t="str">
        <f t="array" ref="C403">IF($A403="", "", LET(bbgm_stat, INDEX(Players!$A402:$P402, MATCH(C$2, Players!$A$1:$P$1, 0)), perc_75, VLOOKUP(C$2, Percentiles!$A$45:$I$59, 6, FALSE), perc_90, VLOOKUP(C$2, Percentiles!$A$45:$I$59, 7, FALSE), perc_95, VLOOKUP(C$2, Percentiles!$A$45:$I$59, 8, FALSE), perc_85, perc_75 + (perc_90 - perc_75) * (2/3), converted_stat, '2K_Ratings'!C403, IF(bbgm_stat &gt;= perc_95, converted_stat * 3, IF(bbgm_stat &gt;= perc_90, converted_stat * 2, IF(bbgm_stat &gt;= perc_85, converted_stat * 1.5, converted_stat)))))</f>
        <v/>
      </c>
      <c r="D403" s="30" t="str">
        <f t="array" ref="D403">IF($A403="", "", LET(bbgm_stat, INDEX(Players!$A402:$P402, MATCH(D$2, Players!$A$1:$P$1, 0)), perc_75, VLOOKUP(D$2, Percentiles!$A$45:$I$59, 6, FALSE), perc_90, VLOOKUP(D$2, Percentiles!$A$45:$I$59, 7, FALSE), perc_95, VLOOKUP(D$2, Percentiles!$A$45:$I$59, 8, FALSE), perc_85, perc_75 + (perc_90 - perc_75) * (2/3), converted_stat, '2K_Ratings'!D403, IF(bbgm_stat &gt;= perc_95, converted_stat * 3, IF(bbgm_stat &gt;= perc_90, converted_stat * 2, IF(bbgm_stat &gt;= perc_85, converted_stat * 1.5, converted_stat)))))</f>
        <v/>
      </c>
      <c r="E403" s="30" t="str">
        <f t="array" ref="E403">IF($A403="", "", LET(bbgm_stat, INDEX(Players!$A402:$P402, MATCH(E$2, Players!$A$1:$P$1, 0)), perc_75, VLOOKUP(E$2, Percentiles!$A$45:$I$59, 6, FALSE), perc_90, VLOOKUP(E$2, Percentiles!$A$45:$I$59, 7, FALSE), perc_95, VLOOKUP(E$2, Percentiles!$A$45:$I$59, 8, FALSE), perc_85, perc_75 + (perc_90 - perc_75) * (2/3), converted_stat, '2K_Ratings'!E403, IF(bbgm_stat &gt;= perc_95, converted_stat * 3, IF(bbgm_stat &gt;= perc_90, converted_stat * 2, IF(bbgm_stat &gt;= perc_85, converted_stat * 1.5, converted_stat)))))</f>
        <v/>
      </c>
      <c r="F403" s="30" t="str">
        <f t="array" ref="F403">IF($A403="", "", LET(bbgm_stat, INDEX(Players!$A402:$P402, MATCH(F$2, Players!$A$1:$P$1, 0)), perc_75, VLOOKUP(F$2, Percentiles!$A$45:$I$59, 6, FALSE), perc_90, VLOOKUP(F$2, Percentiles!$A$45:$I$59, 7, FALSE), perc_95, VLOOKUP(F$2, Percentiles!$A$45:$I$59, 8, FALSE), perc_85, perc_75 + (perc_90 - perc_75) * (2/3), converted_stat, '2K_Ratings'!F403, IF(bbgm_stat &gt;= perc_95, converted_stat * 3, IF(bbgm_stat &gt;= perc_90, converted_stat * 2, IF(bbgm_stat &gt;= perc_85, converted_stat * 1.5, converted_stat)))))</f>
        <v/>
      </c>
      <c r="G403" s="30" t="str">
        <f t="array" ref="G403">IF($A403="", "", LET(bbgm_stat, INDEX(Players!$A402:$P402, MATCH(G$2, Players!$A$1:$P$1, 0)), perc_75, VLOOKUP(G$2, Percentiles!$A$45:$I$59, 6, FALSE), perc_90, VLOOKUP(G$2, Percentiles!$A$45:$I$59, 7, FALSE), perc_95, VLOOKUP(G$2, Percentiles!$A$45:$I$59, 8, FALSE), perc_85, perc_75 + (perc_90 - perc_75) * (2/3), converted_stat, '2K_Ratings'!G403, IF(bbgm_stat &gt;= perc_95, converted_stat * 3, IF(bbgm_stat &gt;= perc_90, converted_stat * 2, IF(bbgm_stat &gt;= perc_85, converted_stat * 1.5, converted_stat)))))</f>
        <v/>
      </c>
      <c r="H403" s="30" t="str">
        <f t="array" ref="H403">IF($A403="", "", LET(bbgm_stat, INDEX(Players!$A402:$P402, MATCH(H$2, Players!$A$1:$P$1, 0)), perc_75, VLOOKUP(H$2, Percentiles!$A$45:$I$59, 6, FALSE), perc_90, VLOOKUP(H$2, Percentiles!$A$45:$I$59, 7, FALSE), perc_95, VLOOKUP(H$2, Percentiles!$A$45:$I$59, 8, FALSE), perc_85, perc_75 + (perc_90 - perc_75) * (2/3), converted_stat, '2K_Ratings'!H403, IF(bbgm_stat &gt;= perc_95, converted_stat * 3, IF(bbgm_stat &gt;= perc_90, converted_stat * 2, IF(bbgm_stat &gt;= perc_85, converted_stat * 1.5, converted_stat)))))</f>
        <v/>
      </c>
      <c r="I403" s="30" t="str">
        <f t="array" ref="I403">IF($A403="", "", LET(bbgm_stat, INDEX(Players!$A402:$P402, MATCH(I$2, Players!$A$1:$P$1, 0)), perc_75, VLOOKUP(I$2, Percentiles!$A$45:$I$59, 6, FALSE), perc_90, VLOOKUP(I$2, Percentiles!$A$45:$I$59, 7, FALSE), perc_95, VLOOKUP(I$2, Percentiles!$A$45:$I$59, 8, FALSE), perc_85, perc_75 + (perc_90 - perc_75) * (2/3), converted_stat, '2K_Ratings'!I403, IF(bbgm_stat &gt;= perc_95, converted_stat * 3, IF(bbgm_stat &gt;= perc_90, converted_stat * 2, IF(bbgm_stat &gt;= perc_85, converted_stat * 1.5, converted_stat)))))</f>
        <v/>
      </c>
      <c r="J403" s="30" t="str">
        <f t="array" ref="J403">IF($A403="", "", LET(bbgm_stat, INDEX(Players!$A402:$P402, MATCH(J$2, Players!$A$1:$P$1, 0)), perc_75, VLOOKUP(J$2, Percentiles!$A$45:$I$59, 6, FALSE), perc_90, VLOOKUP(J$2, Percentiles!$A$45:$I$59, 7, FALSE), perc_95, VLOOKUP(J$2, Percentiles!$A$45:$I$59, 8, FALSE), perc_85, perc_75 + (perc_90 - perc_75) * (2/3), converted_stat, '2K_Ratings'!J403, IF(bbgm_stat &gt;= perc_95, converted_stat * 3, IF(bbgm_stat &gt;= perc_90, converted_stat * 2, IF(bbgm_stat &gt;= perc_85, converted_stat * 1.5, converted_stat)))))</f>
        <v/>
      </c>
      <c r="K403" s="30" t="str">
        <f t="array" ref="K403">IF($A403="", "", LET(bbgm_stat, INDEX(Players!$A402:$P402, MATCH(K$2, Players!$A$1:$P$1, 0)), perc_75, VLOOKUP(K$2, Percentiles!$A$45:$I$59, 6, FALSE), perc_90, VLOOKUP(K$2, Percentiles!$A$45:$I$59, 7, FALSE), perc_95, VLOOKUP(K$2, Percentiles!$A$45:$I$59, 8, FALSE), perc_85, perc_75 + (perc_90 - perc_75) * (2/3), converted_stat, '2K_Ratings'!K403, IF(bbgm_stat &gt;= perc_95, converted_stat * 3, IF(bbgm_stat &gt;= perc_90, converted_stat * 2, IF(bbgm_stat &gt;= perc_85, converted_stat * 1.5, converted_stat)))))</f>
        <v/>
      </c>
      <c r="L403" s="30" t="str">
        <f t="array" ref="L403">IF($A403="", "", LET(bbgm_stat, INDEX(Players!$A402:$P402, MATCH(L$2, Players!$A$1:$P$1, 0)), perc_75, VLOOKUP(L$2, Percentiles!$A$45:$I$59, 6, FALSE), perc_90, VLOOKUP(L$2, Percentiles!$A$45:$I$59, 7, FALSE), perc_95, VLOOKUP(L$2, Percentiles!$A$45:$I$59, 8, FALSE), perc_85, perc_75 + (perc_90 - perc_75) * (2/3), converted_stat, '2K_Ratings'!L403, IF(bbgm_stat &gt;= perc_95, converted_stat * 3, IF(bbgm_stat &gt;= perc_90, converted_stat * 2, IF(bbgm_stat &gt;= perc_85, converted_stat * 1.5, converted_stat)))))</f>
        <v/>
      </c>
      <c r="M403" s="30" t="str">
        <f t="array" ref="M403">IF($A403="", "", LET(bbgm_stat, INDEX(Players!$A402:$P402, MATCH(M$2, Players!$A$1:$P$1, 0)), perc_75, VLOOKUP(M$2, Percentiles!$A$45:$I$59, 6, FALSE), perc_90, VLOOKUP(M$2, Percentiles!$A$45:$I$59, 7, FALSE), perc_95, VLOOKUP(M$2, Percentiles!$A$45:$I$59, 8, FALSE), perc_85, perc_75 + (perc_90 - perc_75) * (2/3), converted_stat, '2K_Ratings'!M403, IF(bbgm_stat &gt;= perc_95, converted_stat * 3, IF(bbgm_stat &gt;= perc_90, converted_stat * 2, IF(bbgm_stat &gt;= perc_85, converted_stat * 1.5, converted_stat)))))</f>
        <v/>
      </c>
      <c r="N403" s="30" t="str">
        <f t="array" ref="N403">IF($A403="", "", LET(bbgm_stat, INDEX(Players!$A402:$P402, MATCH(N$2, Players!$A$1:$P$1, 0)), perc_75, VLOOKUP(N$2, Percentiles!$A$45:$I$59, 6, FALSE), perc_90, VLOOKUP(N$2, Percentiles!$A$45:$I$59, 7, FALSE), perc_95, VLOOKUP(N$2, Percentiles!$A$45:$I$59, 8, FALSE), perc_85, perc_75 + (perc_90 - perc_75) * (2/3), converted_stat, '2K_Ratings'!N403, IF(bbgm_stat &gt;= perc_95, converted_stat * 3, IF(bbgm_stat &gt;= perc_90, converted_stat * 2, IF(bbgm_stat &gt;= perc_85, converted_stat * 1.5, converted_stat)))))</f>
        <v/>
      </c>
      <c r="O403" s="30" t="str">
        <f t="array" ref="O403">IF($A403="", "", LET(bbgm_stat, INDEX(Players!$A402:$P402, MATCH(O$2, Players!$A$1:$P$1, 0)), perc_75, VLOOKUP(O$2, Percentiles!$A$45:$I$59, 6, FALSE), perc_90, VLOOKUP(O$2, Percentiles!$A$45:$I$59, 7, FALSE), perc_95, VLOOKUP(O$2, Percentiles!$A$45:$I$59, 8, FALSE), perc_85, perc_75 + (perc_90 - perc_75) * (2/3), converted_stat, '2K_Ratings'!O403, IF(bbgm_stat &gt;= perc_95, converted_stat * 3, IF(bbgm_stat &gt;= perc_90, converted_stat * 2, IF(bbgm_stat &gt;= perc_85, converted_stat * 1.5, converted_stat)))))</f>
        <v/>
      </c>
      <c r="P403" s="30" t="str">
        <f t="array" ref="P403">IF($A403="", "", LET(bbgm_stat, INDEX(Players!$A402:$P402, MATCH(P$2, Players!$A$1:$P$1, 0)), perc_75, VLOOKUP(P$2, Percentiles!$A$45:$I$59, 6, FALSE), perc_90, VLOOKUP(P$2, Percentiles!$A$45:$I$59, 7, FALSE), perc_95, VLOOKUP(P$2, Percentiles!$A$45:$I$59, 8, FALSE), perc_85, perc_75 + (perc_90 - perc_75) * (2/3), converted_stat, '2K_Ratings'!P403, IF(bbgm_stat &gt;= perc_95, converted_stat * 3, IF(bbgm_stat &gt;= perc_90, converted_stat * 2, IF(bbgm_stat &gt;= perc_85, converted_stat * 1.5, converted_stat)))))</f>
        <v/>
      </c>
      <c r="Q403" s="30" t="str">
        <f t="array" ref="Q403">IF($A403="", "", LET(bbgm_stat, INDEX(Players!$A402:$P402, MATCH(Q$2, Players!$A$1:$P$1, 0)), perc_75, VLOOKUP(Q$2, Percentiles!$A$45:$I$59, 6, FALSE), perc_90, VLOOKUP(Q$2, Percentiles!$A$45:$I$59, 7, FALSE), perc_95, VLOOKUP(Q$2, Percentiles!$A$45:$I$59, 8, FALSE), perc_85, perc_75 + (perc_90 - perc_75) * (2/3), converted_stat, '2K_Ratings'!Q403, IF(bbgm_stat &gt;= perc_95, converted_stat * 3, IF(bbgm_stat &gt;= perc_90, converted_stat * 2, IF(bbgm_stat &gt;= perc_85, converted_stat * 1.5, converted_stat)))))</f>
        <v/>
      </c>
      <c r="R403" s="30" t="str">
        <f t="array" ref="R403">IF($A403="", "", LET(bbgm_stat, INDEX(Players!$A402:$P402, MATCH(R$2, Players!$A$1:$P$1, 0)), perc_75, VLOOKUP(R$2, Percentiles!$A$45:$I$59, 6, FALSE), perc_90, VLOOKUP(R$2, Percentiles!$A$45:$I$59, 7, FALSE), perc_95, VLOOKUP(R$2, Percentiles!$A$45:$I$59, 8, FALSE), perc_85, perc_75 + (perc_90 - perc_75) * (2/3), converted_stat, '2K_Ratings'!R403, IF(bbgm_stat &gt;= perc_95, converted_stat * 3, IF(bbgm_stat &gt;= perc_90, converted_stat * 2, IF(bbgm_stat &gt;= perc_85, converted_stat * 1.5, converted_stat)))))</f>
        <v/>
      </c>
      <c r="S403" s="30" t="str">
        <f t="array" ref="S403">IF($A403="", "", LET(bbgm_stat, INDEX(Players!$A402:$P402, MATCH(S$2, Players!$A$1:$P$1, 0)), perc_75, VLOOKUP(S$2, Percentiles!$A$45:$I$59, 6, FALSE), perc_90, VLOOKUP(S$2, Percentiles!$A$45:$I$59, 7, FALSE), perc_95, VLOOKUP(S$2, Percentiles!$A$45:$I$59, 8, FALSE), perc_85, perc_75 + (perc_90 - perc_75) * (2/3), converted_stat, '2K_Ratings'!S403, IF(bbgm_stat &gt;= perc_95, converted_stat * 3, IF(bbgm_stat &gt;= perc_90, converted_stat * 2, IF(bbgm_stat &gt;= perc_85, converted_stat * 1.5, converted_stat)))))</f>
        <v/>
      </c>
      <c r="T403" s="30" t="str">
        <f t="array" ref="T403">IF($A403="", "", LET(bbgm_stat, INDEX(Players!$A402:$P402, MATCH(T$2, Players!$A$1:$P$1, 0)), perc_75, VLOOKUP(T$2, Percentiles!$A$45:$I$59, 6, FALSE), perc_90, VLOOKUP(T$2, Percentiles!$A$45:$I$59, 7, FALSE), perc_95, VLOOKUP(T$2, Percentiles!$A$45:$I$59, 8, FALSE), perc_85, perc_75 + (perc_90 - perc_75) * (2/3), converted_stat, '2K_Ratings'!T403, IF(bbgm_stat &gt;= perc_95, converted_stat * 3, IF(bbgm_stat &gt;= perc_90, converted_stat * 2, IF(bbgm_stat &gt;= perc_85, converted_stat * 1.5, converted_stat)))))</f>
        <v/>
      </c>
      <c r="U403" s="30" t="str">
        <f t="array" ref="U403">IF($A403="", "", LET(bbgm_stat, INDEX(Players!$A402:$P402, MATCH(U$2, Players!$A$1:$P$1, 0)), perc_75, VLOOKUP(U$2, Percentiles!$A$45:$I$59, 6, FALSE), perc_90, VLOOKUP(U$2, Percentiles!$A$45:$I$59, 7, FALSE), perc_95, VLOOKUP(U$2, Percentiles!$A$45:$I$59, 8, FALSE), perc_85, perc_75 + (perc_90 - perc_75) * (2/3), converted_stat, '2K_Ratings'!U403, IF(bbgm_stat &gt;= perc_95, converted_stat * 3, IF(bbgm_stat &gt;= perc_90, converted_stat * 2, IF(bbgm_stat &gt;= perc_85, converted_stat * 1.5, converted_stat)))))</f>
        <v/>
      </c>
      <c r="V403" s="30" t="str">
        <f t="array" ref="V403">IF($A403="", "", LET(bbgm_stat, INDEX(Players!$A402:$P402, MATCH(V$2, Players!$A$1:$P$1, 0)), perc_75, VLOOKUP(V$2, Percentiles!$A$45:$I$59, 6, FALSE), perc_90, VLOOKUP(V$2, Percentiles!$A$45:$I$59, 7, FALSE), perc_95, VLOOKUP(V$2, Percentiles!$A$45:$I$59, 8, FALSE), perc_85, perc_75 + (perc_90 - perc_75) * (2/3), converted_stat, '2K_Ratings'!V403, IF(bbgm_stat &gt;= perc_95, converted_stat * 3, IF(bbgm_stat &gt;= perc_90, converted_stat * 2, IF(bbgm_stat &gt;= perc_85, converted_stat * 1.5, converted_stat)))))</f>
        <v/>
      </c>
      <c r="W403" s="30" t="str">
        <f t="array" ref="W403">IF($A403="", "", LET(bbgm_stat, INDEX(Players!$A402:$P402, MATCH(W$2, Players!$A$1:$P$1, 0)), perc_75, VLOOKUP(W$2, Percentiles!$A$45:$I$59, 6, FALSE), perc_90, VLOOKUP(W$2, Percentiles!$A$45:$I$59, 7, FALSE), perc_95, VLOOKUP(W$2, Percentiles!$A$45:$I$59, 8, FALSE), perc_85, perc_75 + (perc_90 - perc_75) * (2/3), converted_stat, '2K_Ratings'!W403, IF(bbgm_stat &gt;= perc_95, converted_stat * 3, IF(bbgm_stat &gt;= perc_90, converted_stat * 2, IF(bbgm_stat &gt;= perc_85, converted_stat * 1.5, converted_stat)))))</f>
        <v/>
      </c>
    </row>
    <row r="404">
      <c r="A404" s="30"/>
      <c r="B404" s="30" t="str">
        <f t="array" ref="B404">IF($A404="", "", LET(bbgm_stat, INDEX(Players!$A403:$P403, MATCH(B$2, Players!$A$1:$P$1, 0)), perc_75, VLOOKUP(B$2, Percentiles!$A$45:$I$59, 6, FALSE), perc_90, VLOOKUP(B$2, Percentiles!$A$45:$I$59, 7, FALSE), perc_95, VLOOKUP(B$2, Percentiles!$A$45:$I$59, 8, FALSE), perc_85, perc_75 + (perc_90 - perc_75) * (2/3), converted_stat, '2K_Ratings'!B404, IF(bbgm_stat &gt;= perc_95, converted_stat * 3, IF(bbgm_stat &gt;= perc_90, converted_stat * 2, IF(bbgm_stat &gt;= perc_85, converted_stat * 1.5, converted_stat)))))</f>
        <v/>
      </c>
      <c r="C404" s="30" t="str">
        <f t="array" ref="C404">IF($A404="", "", LET(bbgm_stat, INDEX(Players!$A403:$P403, MATCH(C$2, Players!$A$1:$P$1, 0)), perc_75, VLOOKUP(C$2, Percentiles!$A$45:$I$59, 6, FALSE), perc_90, VLOOKUP(C$2, Percentiles!$A$45:$I$59, 7, FALSE), perc_95, VLOOKUP(C$2, Percentiles!$A$45:$I$59, 8, FALSE), perc_85, perc_75 + (perc_90 - perc_75) * (2/3), converted_stat, '2K_Ratings'!C404, IF(bbgm_stat &gt;= perc_95, converted_stat * 3, IF(bbgm_stat &gt;= perc_90, converted_stat * 2, IF(bbgm_stat &gt;= perc_85, converted_stat * 1.5, converted_stat)))))</f>
        <v/>
      </c>
      <c r="D404" s="30" t="str">
        <f t="array" ref="D404">IF($A404="", "", LET(bbgm_stat, INDEX(Players!$A403:$P403, MATCH(D$2, Players!$A$1:$P$1, 0)), perc_75, VLOOKUP(D$2, Percentiles!$A$45:$I$59, 6, FALSE), perc_90, VLOOKUP(D$2, Percentiles!$A$45:$I$59, 7, FALSE), perc_95, VLOOKUP(D$2, Percentiles!$A$45:$I$59, 8, FALSE), perc_85, perc_75 + (perc_90 - perc_75) * (2/3), converted_stat, '2K_Ratings'!D404, IF(bbgm_stat &gt;= perc_95, converted_stat * 3, IF(bbgm_stat &gt;= perc_90, converted_stat * 2, IF(bbgm_stat &gt;= perc_85, converted_stat * 1.5, converted_stat)))))</f>
        <v/>
      </c>
      <c r="E404" s="30" t="str">
        <f t="array" ref="E404">IF($A404="", "", LET(bbgm_stat, INDEX(Players!$A403:$P403, MATCH(E$2, Players!$A$1:$P$1, 0)), perc_75, VLOOKUP(E$2, Percentiles!$A$45:$I$59, 6, FALSE), perc_90, VLOOKUP(E$2, Percentiles!$A$45:$I$59, 7, FALSE), perc_95, VLOOKUP(E$2, Percentiles!$A$45:$I$59, 8, FALSE), perc_85, perc_75 + (perc_90 - perc_75) * (2/3), converted_stat, '2K_Ratings'!E404, IF(bbgm_stat &gt;= perc_95, converted_stat * 3, IF(bbgm_stat &gt;= perc_90, converted_stat * 2, IF(bbgm_stat &gt;= perc_85, converted_stat * 1.5, converted_stat)))))</f>
        <v/>
      </c>
      <c r="F404" s="30" t="str">
        <f t="array" ref="F404">IF($A404="", "", LET(bbgm_stat, INDEX(Players!$A403:$P403, MATCH(F$2, Players!$A$1:$P$1, 0)), perc_75, VLOOKUP(F$2, Percentiles!$A$45:$I$59, 6, FALSE), perc_90, VLOOKUP(F$2, Percentiles!$A$45:$I$59, 7, FALSE), perc_95, VLOOKUP(F$2, Percentiles!$A$45:$I$59, 8, FALSE), perc_85, perc_75 + (perc_90 - perc_75) * (2/3), converted_stat, '2K_Ratings'!F404, IF(bbgm_stat &gt;= perc_95, converted_stat * 3, IF(bbgm_stat &gt;= perc_90, converted_stat * 2, IF(bbgm_stat &gt;= perc_85, converted_stat * 1.5, converted_stat)))))</f>
        <v/>
      </c>
      <c r="G404" s="30" t="str">
        <f t="array" ref="G404">IF($A404="", "", LET(bbgm_stat, INDEX(Players!$A403:$P403, MATCH(G$2, Players!$A$1:$P$1, 0)), perc_75, VLOOKUP(G$2, Percentiles!$A$45:$I$59, 6, FALSE), perc_90, VLOOKUP(G$2, Percentiles!$A$45:$I$59, 7, FALSE), perc_95, VLOOKUP(G$2, Percentiles!$A$45:$I$59, 8, FALSE), perc_85, perc_75 + (perc_90 - perc_75) * (2/3), converted_stat, '2K_Ratings'!G404, IF(bbgm_stat &gt;= perc_95, converted_stat * 3, IF(bbgm_stat &gt;= perc_90, converted_stat * 2, IF(bbgm_stat &gt;= perc_85, converted_stat * 1.5, converted_stat)))))</f>
        <v/>
      </c>
      <c r="H404" s="30" t="str">
        <f t="array" ref="H404">IF($A404="", "", LET(bbgm_stat, INDEX(Players!$A403:$P403, MATCH(H$2, Players!$A$1:$P$1, 0)), perc_75, VLOOKUP(H$2, Percentiles!$A$45:$I$59, 6, FALSE), perc_90, VLOOKUP(H$2, Percentiles!$A$45:$I$59, 7, FALSE), perc_95, VLOOKUP(H$2, Percentiles!$A$45:$I$59, 8, FALSE), perc_85, perc_75 + (perc_90 - perc_75) * (2/3), converted_stat, '2K_Ratings'!H404, IF(bbgm_stat &gt;= perc_95, converted_stat * 3, IF(bbgm_stat &gt;= perc_90, converted_stat * 2, IF(bbgm_stat &gt;= perc_85, converted_stat * 1.5, converted_stat)))))</f>
        <v/>
      </c>
      <c r="I404" s="30" t="str">
        <f t="array" ref="I404">IF($A404="", "", LET(bbgm_stat, INDEX(Players!$A403:$P403, MATCH(I$2, Players!$A$1:$P$1, 0)), perc_75, VLOOKUP(I$2, Percentiles!$A$45:$I$59, 6, FALSE), perc_90, VLOOKUP(I$2, Percentiles!$A$45:$I$59, 7, FALSE), perc_95, VLOOKUP(I$2, Percentiles!$A$45:$I$59, 8, FALSE), perc_85, perc_75 + (perc_90 - perc_75) * (2/3), converted_stat, '2K_Ratings'!I404, IF(bbgm_stat &gt;= perc_95, converted_stat * 3, IF(bbgm_stat &gt;= perc_90, converted_stat * 2, IF(bbgm_stat &gt;= perc_85, converted_stat * 1.5, converted_stat)))))</f>
        <v/>
      </c>
      <c r="J404" s="30" t="str">
        <f t="array" ref="J404">IF($A404="", "", LET(bbgm_stat, INDEX(Players!$A403:$P403, MATCH(J$2, Players!$A$1:$P$1, 0)), perc_75, VLOOKUP(J$2, Percentiles!$A$45:$I$59, 6, FALSE), perc_90, VLOOKUP(J$2, Percentiles!$A$45:$I$59, 7, FALSE), perc_95, VLOOKUP(J$2, Percentiles!$A$45:$I$59, 8, FALSE), perc_85, perc_75 + (perc_90 - perc_75) * (2/3), converted_stat, '2K_Ratings'!J404, IF(bbgm_stat &gt;= perc_95, converted_stat * 3, IF(bbgm_stat &gt;= perc_90, converted_stat * 2, IF(bbgm_stat &gt;= perc_85, converted_stat * 1.5, converted_stat)))))</f>
        <v/>
      </c>
      <c r="K404" s="30" t="str">
        <f t="array" ref="K404">IF($A404="", "", LET(bbgm_stat, INDEX(Players!$A403:$P403, MATCH(K$2, Players!$A$1:$P$1, 0)), perc_75, VLOOKUP(K$2, Percentiles!$A$45:$I$59, 6, FALSE), perc_90, VLOOKUP(K$2, Percentiles!$A$45:$I$59, 7, FALSE), perc_95, VLOOKUP(K$2, Percentiles!$A$45:$I$59, 8, FALSE), perc_85, perc_75 + (perc_90 - perc_75) * (2/3), converted_stat, '2K_Ratings'!K404, IF(bbgm_stat &gt;= perc_95, converted_stat * 3, IF(bbgm_stat &gt;= perc_90, converted_stat * 2, IF(bbgm_stat &gt;= perc_85, converted_stat * 1.5, converted_stat)))))</f>
        <v/>
      </c>
      <c r="L404" s="30" t="str">
        <f t="array" ref="L404">IF($A404="", "", LET(bbgm_stat, INDEX(Players!$A403:$P403, MATCH(L$2, Players!$A$1:$P$1, 0)), perc_75, VLOOKUP(L$2, Percentiles!$A$45:$I$59, 6, FALSE), perc_90, VLOOKUP(L$2, Percentiles!$A$45:$I$59, 7, FALSE), perc_95, VLOOKUP(L$2, Percentiles!$A$45:$I$59, 8, FALSE), perc_85, perc_75 + (perc_90 - perc_75) * (2/3), converted_stat, '2K_Ratings'!L404, IF(bbgm_stat &gt;= perc_95, converted_stat * 3, IF(bbgm_stat &gt;= perc_90, converted_stat * 2, IF(bbgm_stat &gt;= perc_85, converted_stat * 1.5, converted_stat)))))</f>
        <v/>
      </c>
      <c r="M404" s="30" t="str">
        <f t="array" ref="M404">IF($A404="", "", LET(bbgm_stat, INDEX(Players!$A403:$P403, MATCH(M$2, Players!$A$1:$P$1, 0)), perc_75, VLOOKUP(M$2, Percentiles!$A$45:$I$59, 6, FALSE), perc_90, VLOOKUP(M$2, Percentiles!$A$45:$I$59, 7, FALSE), perc_95, VLOOKUP(M$2, Percentiles!$A$45:$I$59, 8, FALSE), perc_85, perc_75 + (perc_90 - perc_75) * (2/3), converted_stat, '2K_Ratings'!M404, IF(bbgm_stat &gt;= perc_95, converted_stat * 3, IF(bbgm_stat &gt;= perc_90, converted_stat * 2, IF(bbgm_stat &gt;= perc_85, converted_stat * 1.5, converted_stat)))))</f>
        <v/>
      </c>
      <c r="N404" s="30" t="str">
        <f t="array" ref="N404">IF($A404="", "", LET(bbgm_stat, INDEX(Players!$A403:$P403, MATCH(N$2, Players!$A$1:$P$1, 0)), perc_75, VLOOKUP(N$2, Percentiles!$A$45:$I$59, 6, FALSE), perc_90, VLOOKUP(N$2, Percentiles!$A$45:$I$59, 7, FALSE), perc_95, VLOOKUP(N$2, Percentiles!$A$45:$I$59, 8, FALSE), perc_85, perc_75 + (perc_90 - perc_75) * (2/3), converted_stat, '2K_Ratings'!N404, IF(bbgm_stat &gt;= perc_95, converted_stat * 3, IF(bbgm_stat &gt;= perc_90, converted_stat * 2, IF(bbgm_stat &gt;= perc_85, converted_stat * 1.5, converted_stat)))))</f>
        <v/>
      </c>
      <c r="O404" s="30" t="str">
        <f t="array" ref="O404">IF($A404="", "", LET(bbgm_stat, INDEX(Players!$A403:$P403, MATCH(O$2, Players!$A$1:$P$1, 0)), perc_75, VLOOKUP(O$2, Percentiles!$A$45:$I$59, 6, FALSE), perc_90, VLOOKUP(O$2, Percentiles!$A$45:$I$59, 7, FALSE), perc_95, VLOOKUP(O$2, Percentiles!$A$45:$I$59, 8, FALSE), perc_85, perc_75 + (perc_90 - perc_75) * (2/3), converted_stat, '2K_Ratings'!O404, IF(bbgm_stat &gt;= perc_95, converted_stat * 3, IF(bbgm_stat &gt;= perc_90, converted_stat * 2, IF(bbgm_stat &gt;= perc_85, converted_stat * 1.5, converted_stat)))))</f>
        <v/>
      </c>
      <c r="P404" s="30" t="str">
        <f t="array" ref="P404">IF($A404="", "", LET(bbgm_stat, INDEX(Players!$A403:$P403, MATCH(P$2, Players!$A$1:$P$1, 0)), perc_75, VLOOKUP(P$2, Percentiles!$A$45:$I$59, 6, FALSE), perc_90, VLOOKUP(P$2, Percentiles!$A$45:$I$59, 7, FALSE), perc_95, VLOOKUP(P$2, Percentiles!$A$45:$I$59, 8, FALSE), perc_85, perc_75 + (perc_90 - perc_75) * (2/3), converted_stat, '2K_Ratings'!P404, IF(bbgm_stat &gt;= perc_95, converted_stat * 3, IF(bbgm_stat &gt;= perc_90, converted_stat * 2, IF(bbgm_stat &gt;= perc_85, converted_stat * 1.5, converted_stat)))))</f>
        <v/>
      </c>
      <c r="Q404" s="30" t="str">
        <f t="array" ref="Q404">IF($A404="", "", LET(bbgm_stat, INDEX(Players!$A403:$P403, MATCH(Q$2, Players!$A$1:$P$1, 0)), perc_75, VLOOKUP(Q$2, Percentiles!$A$45:$I$59, 6, FALSE), perc_90, VLOOKUP(Q$2, Percentiles!$A$45:$I$59, 7, FALSE), perc_95, VLOOKUP(Q$2, Percentiles!$A$45:$I$59, 8, FALSE), perc_85, perc_75 + (perc_90 - perc_75) * (2/3), converted_stat, '2K_Ratings'!Q404, IF(bbgm_stat &gt;= perc_95, converted_stat * 3, IF(bbgm_stat &gt;= perc_90, converted_stat * 2, IF(bbgm_stat &gt;= perc_85, converted_stat * 1.5, converted_stat)))))</f>
        <v/>
      </c>
      <c r="R404" s="30" t="str">
        <f t="array" ref="R404">IF($A404="", "", LET(bbgm_stat, INDEX(Players!$A403:$P403, MATCH(R$2, Players!$A$1:$P$1, 0)), perc_75, VLOOKUP(R$2, Percentiles!$A$45:$I$59, 6, FALSE), perc_90, VLOOKUP(R$2, Percentiles!$A$45:$I$59, 7, FALSE), perc_95, VLOOKUP(R$2, Percentiles!$A$45:$I$59, 8, FALSE), perc_85, perc_75 + (perc_90 - perc_75) * (2/3), converted_stat, '2K_Ratings'!R404, IF(bbgm_stat &gt;= perc_95, converted_stat * 3, IF(bbgm_stat &gt;= perc_90, converted_stat * 2, IF(bbgm_stat &gt;= perc_85, converted_stat * 1.5, converted_stat)))))</f>
        <v/>
      </c>
      <c r="S404" s="30" t="str">
        <f t="array" ref="S404">IF($A404="", "", LET(bbgm_stat, INDEX(Players!$A403:$P403, MATCH(S$2, Players!$A$1:$P$1, 0)), perc_75, VLOOKUP(S$2, Percentiles!$A$45:$I$59, 6, FALSE), perc_90, VLOOKUP(S$2, Percentiles!$A$45:$I$59, 7, FALSE), perc_95, VLOOKUP(S$2, Percentiles!$A$45:$I$59, 8, FALSE), perc_85, perc_75 + (perc_90 - perc_75) * (2/3), converted_stat, '2K_Ratings'!S404, IF(bbgm_stat &gt;= perc_95, converted_stat * 3, IF(bbgm_stat &gt;= perc_90, converted_stat * 2, IF(bbgm_stat &gt;= perc_85, converted_stat * 1.5, converted_stat)))))</f>
        <v/>
      </c>
      <c r="T404" s="30" t="str">
        <f t="array" ref="T404">IF($A404="", "", LET(bbgm_stat, INDEX(Players!$A403:$P403, MATCH(T$2, Players!$A$1:$P$1, 0)), perc_75, VLOOKUP(T$2, Percentiles!$A$45:$I$59, 6, FALSE), perc_90, VLOOKUP(T$2, Percentiles!$A$45:$I$59, 7, FALSE), perc_95, VLOOKUP(T$2, Percentiles!$A$45:$I$59, 8, FALSE), perc_85, perc_75 + (perc_90 - perc_75) * (2/3), converted_stat, '2K_Ratings'!T404, IF(bbgm_stat &gt;= perc_95, converted_stat * 3, IF(bbgm_stat &gt;= perc_90, converted_stat * 2, IF(bbgm_stat &gt;= perc_85, converted_stat * 1.5, converted_stat)))))</f>
        <v/>
      </c>
      <c r="U404" s="30" t="str">
        <f t="array" ref="U404">IF($A404="", "", LET(bbgm_stat, INDEX(Players!$A403:$P403, MATCH(U$2, Players!$A$1:$P$1, 0)), perc_75, VLOOKUP(U$2, Percentiles!$A$45:$I$59, 6, FALSE), perc_90, VLOOKUP(U$2, Percentiles!$A$45:$I$59, 7, FALSE), perc_95, VLOOKUP(U$2, Percentiles!$A$45:$I$59, 8, FALSE), perc_85, perc_75 + (perc_90 - perc_75) * (2/3), converted_stat, '2K_Ratings'!U404, IF(bbgm_stat &gt;= perc_95, converted_stat * 3, IF(bbgm_stat &gt;= perc_90, converted_stat * 2, IF(bbgm_stat &gt;= perc_85, converted_stat * 1.5, converted_stat)))))</f>
        <v/>
      </c>
      <c r="V404" s="30" t="str">
        <f t="array" ref="V404">IF($A404="", "", LET(bbgm_stat, INDEX(Players!$A403:$P403, MATCH(V$2, Players!$A$1:$P$1, 0)), perc_75, VLOOKUP(V$2, Percentiles!$A$45:$I$59, 6, FALSE), perc_90, VLOOKUP(V$2, Percentiles!$A$45:$I$59, 7, FALSE), perc_95, VLOOKUP(V$2, Percentiles!$A$45:$I$59, 8, FALSE), perc_85, perc_75 + (perc_90 - perc_75) * (2/3), converted_stat, '2K_Ratings'!V404, IF(bbgm_stat &gt;= perc_95, converted_stat * 3, IF(bbgm_stat &gt;= perc_90, converted_stat * 2, IF(bbgm_stat &gt;= perc_85, converted_stat * 1.5, converted_stat)))))</f>
        <v/>
      </c>
      <c r="W404" s="30" t="str">
        <f t="array" ref="W404">IF($A404="", "", LET(bbgm_stat, INDEX(Players!$A403:$P403, MATCH(W$2, Players!$A$1:$P$1, 0)), perc_75, VLOOKUP(W$2, Percentiles!$A$45:$I$59, 6, FALSE), perc_90, VLOOKUP(W$2, Percentiles!$A$45:$I$59, 7, FALSE), perc_95, VLOOKUP(W$2, Percentiles!$A$45:$I$59, 8, FALSE), perc_85, perc_75 + (perc_90 - perc_75) * (2/3), converted_stat, '2K_Ratings'!W404, IF(bbgm_stat &gt;= perc_95, converted_stat * 3, IF(bbgm_stat &gt;= perc_90, converted_stat * 2, IF(bbgm_stat &gt;= perc_85, converted_stat * 1.5, converted_stat)))))</f>
        <v/>
      </c>
    </row>
    <row r="405">
      <c r="A405" s="30"/>
      <c r="B405" s="30" t="str">
        <f t="array" ref="B405">IF($A405="", "", LET(bbgm_stat, INDEX(Players!$A404:$P404, MATCH(B$2, Players!$A$1:$P$1, 0)), perc_75, VLOOKUP(B$2, Percentiles!$A$45:$I$59, 6, FALSE), perc_90, VLOOKUP(B$2, Percentiles!$A$45:$I$59, 7, FALSE), perc_95, VLOOKUP(B$2, Percentiles!$A$45:$I$59, 8, FALSE), perc_85, perc_75 + (perc_90 - perc_75) * (2/3), converted_stat, '2K_Ratings'!B405, IF(bbgm_stat &gt;= perc_95, converted_stat * 3, IF(bbgm_stat &gt;= perc_90, converted_stat * 2, IF(bbgm_stat &gt;= perc_85, converted_stat * 1.5, converted_stat)))))</f>
        <v/>
      </c>
      <c r="C405" s="30" t="str">
        <f t="array" ref="C405">IF($A405="", "", LET(bbgm_stat, INDEX(Players!$A404:$P404, MATCH(C$2, Players!$A$1:$P$1, 0)), perc_75, VLOOKUP(C$2, Percentiles!$A$45:$I$59, 6, FALSE), perc_90, VLOOKUP(C$2, Percentiles!$A$45:$I$59, 7, FALSE), perc_95, VLOOKUP(C$2, Percentiles!$A$45:$I$59, 8, FALSE), perc_85, perc_75 + (perc_90 - perc_75) * (2/3), converted_stat, '2K_Ratings'!C405, IF(bbgm_stat &gt;= perc_95, converted_stat * 3, IF(bbgm_stat &gt;= perc_90, converted_stat * 2, IF(bbgm_stat &gt;= perc_85, converted_stat * 1.5, converted_stat)))))</f>
        <v/>
      </c>
      <c r="D405" s="30" t="str">
        <f t="array" ref="D405">IF($A405="", "", LET(bbgm_stat, INDEX(Players!$A404:$P404, MATCH(D$2, Players!$A$1:$P$1, 0)), perc_75, VLOOKUP(D$2, Percentiles!$A$45:$I$59, 6, FALSE), perc_90, VLOOKUP(D$2, Percentiles!$A$45:$I$59, 7, FALSE), perc_95, VLOOKUP(D$2, Percentiles!$A$45:$I$59, 8, FALSE), perc_85, perc_75 + (perc_90 - perc_75) * (2/3), converted_stat, '2K_Ratings'!D405, IF(bbgm_stat &gt;= perc_95, converted_stat * 3, IF(bbgm_stat &gt;= perc_90, converted_stat * 2, IF(bbgm_stat &gt;= perc_85, converted_stat * 1.5, converted_stat)))))</f>
        <v/>
      </c>
      <c r="E405" s="30" t="str">
        <f t="array" ref="E405">IF($A405="", "", LET(bbgm_stat, INDEX(Players!$A404:$P404, MATCH(E$2, Players!$A$1:$P$1, 0)), perc_75, VLOOKUP(E$2, Percentiles!$A$45:$I$59, 6, FALSE), perc_90, VLOOKUP(E$2, Percentiles!$A$45:$I$59, 7, FALSE), perc_95, VLOOKUP(E$2, Percentiles!$A$45:$I$59, 8, FALSE), perc_85, perc_75 + (perc_90 - perc_75) * (2/3), converted_stat, '2K_Ratings'!E405, IF(bbgm_stat &gt;= perc_95, converted_stat * 3, IF(bbgm_stat &gt;= perc_90, converted_stat * 2, IF(bbgm_stat &gt;= perc_85, converted_stat * 1.5, converted_stat)))))</f>
        <v/>
      </c>
      <c r="F405" s="30" t="str">
        <f t="array" ref="F405">IF($A405="", "", LET(bbgm_stat, INDEX(Players!$A404:$P404, MATCH(F$2, Players!$A$1:$P$1, 0)), perc_75, VLOOKUP(F$2, Percentiles!$A$45:$I$59, 6, FALSE), perc_90, VLOOKUP(F$2, Percentiles!$A$45:$I$59, 7, FALSE), perc_95, VLOOKUP(F$2, Percentiles!$A$45:$I$59, 8, FALSE), perc_85, perc_75 + (perc_90 - perc_75) * (2/3), converted_stat, '2K_Ratings'!F405, IF(bbgm_stat &gt;= perc_95, converted_stat * 3, IF(bbgm_stat &gt;= perc_90, converted_stat * 2, IF(bbgm_stat &gt;= perc_85, converted_stat * 1.5, converted_stat)))))</f>
        <v/>
      </c>
      <c r="G405" s="30" t="str">
        <f t="array" ref="G405">IF($A405="", "", LET(bbgm_stat, INDEX(Players!$A404:$P404, MATCH(G$2, Players!$A$1:$P$1, 0)), perc_75, VLOOKUP(G$2, Percentiles!$A$45:$I$59, 6, FALSE), perc_90, VLOOKUP(G$2, Percentiles!$A$45:$I$59, 7, FALSE), perc_95, VLOOKUP(G$2, Percentiles!$A$45:$I$59, 8, FALSE), perc_85, perc_75 + (perc_90 - perc_75) * (2/3), converted_stat, '2K_Ratings'!G405, IF(bbgm_stat &gt;= perc_95, converted_stat * 3, IF(bbgm_stat &gt;= perc_90, converted_stat * 2, IF(bbgm_stat &gt;= perc_85, converted_stat * 1.5, converted_stat)))))</f>
        <v/>
      </c>
      <c r="H405" s="30" t="str">
        <f t="array" ref="H405">IF($A405="", "", LET(bbgm_stat, INDEX(Players!$A404:$P404, MATCH(H$2, Players!$A$1:$P$1, 0)), perc_75, VLOOKUP(H$2, Percentiles!$A$45:$I$59, 6, FALSE), perc_90, VLOOKUP(H$2, Percentiles!$A$45:$I$59, 7, FALSE), perc_95, VLOOKUP(H$2, Percentiles!$A$45:$I$59, 8, FALSE), perc_85, perc_75 + (perc_90 - perc_75) * (2/3), converted_stat, '2K_Ratings'!H405, IF(bbgm_stat &gt;= perc_95, converted_stat * 3, IF(bbgm_stat &gt;= perc_90, converted_stat * 2, IF(bbgm_stat &gt;= perc_85, converted_stat * 1.5, converted_stat)))))</f>
        <v/>
      </c>
      <c r="I405" s="30" t="str">
        <f t="array" ref="I405">IF($A405="", "", LET(bbgm_stat, INDEX(Players!$A404:$P404, MATCH(I$2, Players!$A$1:$P$1, 0)), perc_75, VLOOKUP(I$2, Percentiles!$A$45:$I$59, 6, FALSE), perc_90, VLOOKUP(I$2, Percentiles!$A$45:$I$59, 7, FALSE), perc_95, VLOOKUP(I$2, Percentiles!$A$45:$I$59, 8, FALSE), perc_85, perc_75 + (perc_90 - perc_75) * (2/3), converted_stat, '2K_Ratings'!I405, IF(bbgm_stat &gt;= perc_95, converted_stat * 3, IF(bbgm_stat &gt;= perc_90, converted_stat * 2, IF(bbgm_stat &gt;= perc_85, converted_stat * 1.5, converted_stat)))))</f>
        <v/>
      </c>
      <c r="J405" s="30" t="str">
        <f t="array" ref="J405">IF($A405="", "", LET(bbgm_stat, INDEX(Players!$A404:$P404, MATCH(J$2, Players!$A$1:$P$1, 0)), perc_75, VLOOKUP(J$2, Percentiles!$A$45:$I$59, 6, FALSE), perc_90, VLOOKUP(J$2, Percentiles!$A$45:$I$59, 7, FALSE), perc_95, VLOOKUP(J$2, Percentiles!$A$45:$I$59, 8, FALSE), perc_85, perc_75 + (perc_90 - perc_75) * (2/3), converted_stat, '2K_Ratings'!J405, IF(bbgm_stat &gt;= perc_95, converted_stat * 3, IF(bbgm_stat &gt;= perc_90, converted_stat * 2, IF(bbgm_stat &gt;= perc_85, converted_stat * 1.5, converted_stat)))))</f>
        <v/>
      </c>
      <c r="K405" s="30" t="str">
        <f t="array" ref="K405">IF($A405="", "", LET(bbgm_stat, INDEX(Players!$A404:$P404, MATCH(K$2, Players!$A$1:$P$1, 0)), perc_75, VLOOKUP(K$2, Percentiles!$A$45:$I$59, 6, FALSE), perc_90, VLOOKUP(K$2, Percentiles!$A$45:$I$59, 7, FALSE), perc_95, VLOOKUP(K$2, Percentiles!$A$45:$I$59, 8, FALSE), perc_85, perc_75 + (perc_90 - perc_75) * (2/3), converted_stat, '2K_Ratings'!K405, IF(bbgm_stat &gt;= perc_95, converted_stat * 3, IF(bbgm_stat &gt;= perc_90, converted_stat * 2, IF(bbgm_stat &gt;= perc_85, converted_stat * 1.5, converted_stat)))))</f>
        <v/>
      </c>
      <c r="L405" s="30" t="str">
        <f t="array" ref="L405">IF($A405="", "", LET(bbgm_stat, INDEX(Players!$A404:$P404, MATCH(L$2, Players!$A$1:$P$1, 0)), perc_75, VLOOKUP(L$2, Percentiles!$A$45:$I$59, 6, FALSE), perc_90, VLOOKUP(L$2, Percentiles!$A$45:$I$59, 7, FALSE), perc_95, VLOOKUP(L$2, Percentiles!$A$45:$I$59, 8, FALSE), perc_85, perc_75 + (perc_90 - perc_75) * (2/3), converted_stat, '2K_Ratings'!L405, IF(bbgm_stat &gt;= perc_95, converted_stat * 3, IF(bbgm_stat &gt;= perc_90, converted_stat * 2, IF(bbgm_stat &gt;= perc_85, converted_stat * 1.5, converted_stat)))))</f>
        <v/>
      </c>
      <c r="M405" s="30" t="str">
        <f t="array" ref="M405">IF($A405="", "", LET(bbgm_stat, INDEX(Players!$A404:$P404, MATCH(M$2, Players!$A$1:$P$1, 0)), perc_75, VLOOKUP(M$2, Percentiles!$A$45:$I$59, 6, FALSE), perc_90, VLOOKUP(M$2, Percentiles!$A$45:$I$59, 7, FALSE), perc_95, VLOOKUP(M$2, Percentiles!$A$45:$I$59, 8, FALSE), perc_85, perc_75 + (perc_90 - perc_75) * (2/3), converted_stat, '2K_Ratings'!M405, IF(bbgm_stat &gt;= perc_95, converted_stat * 3, IF(bbgm_stat &gt;= perc_90, converted_stat * 2, IF(bbgm_stat &gt;= perc_85, converted_stat * 1.5, converted_stat)))))</f>
        <v/>
      </c>
      <c r="N405" s="30" t="str">
        <f t="array" ref="N405">IF($A405="", "", LET(bbgm_stat, INDEX(Players!$A404:$P404, MATCH(N$2, Players!$A$1:$P$1, 0)), perc_75, VLOOKUP(N$2, Percentiles!$A$45:$I$59, 6, FALSE), perc_90, VLOOKUP(N$2, Percentiles!$A$45:$I$59, 7, FALSE), perc_95, VLOOKUP(N$2, Percentiles!$A$45:$I$59, 8, FALSE), perc_85, perc_75 + (perc_90 - perc_75) * (2/3), converted_stat, '2K_Ratings'!N405, IF(bbgm_stat &gt;= perc_95, converted_stat * 3, IF(bbgm_stat &gt;= perc_90, converted_stat * 2, IF(bbgm_stat &gt;= perc_85, converted_stat * 1.5, converted_stat)))))</f>
        <v/>
      </c>
      <c r="O405" s="30" t="str">
        <f t="array" ref="O405">IF($A405="", "", LET(bbgm_stat, INDEX(Players!$A404:$P404, MATCH(O$2, Players!$A$1:$P$1, 0)), perc_75, VLOOKUP(O$2, Percentiles!$A$45:$I$59, 6, FALSE), perc_90, VLOOKUP(O$2, Percentiles!$A$45:$I$59, 7, FALSE), perc_95, VLOOKUP(O$2, Percentiles!$A$45:$I$59, 8, FALSE), perc_85, perc_75 + (perc_90 - perc_75) * (2/3), converted_stat, '2K_Ratings'!O405, IF(bbgm_stat &gt;= perc_95, converted_stat * 3, IF(bbgm_stat &gt;= perc_90, converted_stat * 2, IF(bbgm_stat &gt;= perc_85, converted_stat * 1.5, converted_stat)))))</f>
        <v/>
      </c>
      <c r="P405" s="30" t="str">
        <f t="array" ref="P405">IF($A405="", "", LET(bbgm_stat, INDEX(Players!$A404:$P404, MATCH(P$2, Players!$A$1:$P$1, 0)), perc_75, VLOOKUP(P$2, Percentiles!$A$45:$I$59, 6, FALSE), perc_90, VLOOKUP(P$2, Percentiles!$A$45:$I$59, 7, FALSE), perc_95, VLOOKUP(P$2, Percentiles!$A$45:$I$59, 8, FALSE), perc_85, perc_75 + (perc_90 - perc_75) * (2/3), converted_stat, '2K_Ratings'!P405, IF(bbgm_stat &gt;= perc_95, converted_stat * 3, IF(bbgm_stat &gt;= perc_90, converted_stat * 2, IF(bbgm_stat &gt;= perc_85, converted_stat * 1.5, converted_stat)))))</f>
        <v/>
      </c>
      <c r="Q405" s="30" t="str">
        <f t="array" ref="Q405">IF($A405="", "", LET(bbgm_stat, INDEX(Players!$A404:$P404, MATCH(Q$2, Players!$A$1:$P$1, 0)), perc_75, VLOOKUP(Q$2, Percentiles!$A$45:$I$59, 6, FALSE), perc_90, VLOOKUP(Q$2, Percentiles!$A$45:$I$59, 7, FALSE), perc_95, VLOOKUP(Q$2, Percentiles!$A$45:$I$59, 8, FALSE), perc_85, perc_75 + (perc_90 - perc_75) * (2/3), converted_stat, '2K_Ratings'!Q405, IF(bbgm_stat &gt;= perc_95, converted_stat * 3, IF(bbgm_stat &gt;= perc_90, converted_stat * 2, IF(bbgm_stat &gt;= perc_85, converted_stat * 1.5, converted_stat)))))</f>
        <v/>
      </c>
      <c r="R405" s="30" t="str">
        <f t="array" ref="R405">IF($A405="", "", LET(bbgm_stat, INDEX(Players!$A404:$P404, MATCH(R$2, Players!$A$1:$P$1, 0)), perc_75, VLOOKUP(R$2, Percentiles!$A$45:$I$59, 6, FALSE), perc_90, VLOOKUP(R$2, Percentiles!$A$45:$I$59, 7, FALSE), perc_95, VLOOKUP(R$2, Percentiles!$A$45:$I$59, 8, FALSE), perc_85, perc_75 + (perc_90 - perc_75) * (2/3), converted_stat, '2K_Ratings'!R405, IF(bbgm_stat &gt;= perc_95, converted_stat * 3, IF(bbgm_stat &gt;= perc_90, converted_stat * 2, IF(bbgm_stat &gt;= perc_85, converted_stat * 1.5, converted_stat)))))</f>
        <v/>
      </c>
      <c r="S405" s="30" t="str">
        <f t="array" ref="S405">IF($A405="", "", LET(bbgm_stat, INDEX(Players!$A404:$P404, MATCH(S$2, Players!$A$1:$P$1, 0)), perc_75, VLOOKUP(S$2, Percentiles!$A$45:$I$59, 6, FALSE), perc_90, VLOOKUP(S$2, Percentiles!$A$45:$I$59, 7, FALSE), perc_95, VLOOKUP(S$2, Percentiles!$A$45:$I$59, 8, FALSE), perc_85, perc_75 + (perc_90 - perc_75) * (2/3), converted_stat, '2K_Ratings'!S405, IF(bbgm_stat &gt;= perc_95, converted_stat * 3, IF(bbgm_stat &gt;= perc_90, converted_stat * 2, IF(bbgm_stat &gt;= perc_85, converted_stat * 1.5, converted_stat)))))</f>
        <v/>
      </c>
      <c r="T405" s="30" t="str">
        <f t="array" ref="T405">IF($A405="", "", LET(bbgm_stat, INDEX(Players!$A404:$P404, MATCH(T$2, Players!$A$1:$P$1, 0)), perc_75, VLOOKUP(T$2, Percentiles!$A$45:$I$59, 6, FALSE), perc_90, VLOOKUP(T$2, Percentiles!$A$45:$I$59, 7, FALSE), perc_95, VLOOKUP(T$2, Percentiles!$A$45:$I$59, 8, FALSE), perc_85, perc_75 + (perc_90 - perc_75) * (2/3), converted_stat, '2K_Ratings'!T405, IF(bbgm_stat &gt;= perc_95, converted_stat * 3, IF(bbgm_stat &gt;= perc_90, converted_stat * 2, IF(bbgm_stat &gt;= perc_85, converted_stat * 1.5, converted_stat)))))</f>
        <v/>
      </c>
      <c r="U405" s="30" t="str">
        <f t="array" ref="U405">IF($A405="", "", LET(bbgm_stat, INDEX(Players!$A404:$P404, MATCH(U$2, Players!$A$1:$P$1, 0)), perc_75, VLOOKUP(U$2, Percentiles!$A$45:$I$59, 6, FALSE), perc_90, VLOOKUP(U$2, Percentiles!$A$45:$I$59, 7, FALSE), perc_95, VLOOKUP(U$2, Percentiles!$A$45:$I$59, 8, FALSE), perc_85, perc_75 + (perc_90 - perc_75) * (2/3), converted_stat, '2K_Ratings'!U405, IF(bbgm_stat &gt;= perc_95, converted_stat * 3, IF(bbgm_stat &gt;= perc_90, converted_stat * 2, IF(bbgm_stat &gt;= perc_85, converted_stat * 1.5, converted_stat)))))</f>
        <v/>
      </c>
      <c r="V405" s="30" t="str">
        <f t="array" ref="V405">IF($A405="", "", LET(bbgm_stat, INDEX(Players!$A404:$P404, MATCH(V$2, Players!$A$1:$P$1, 0)), perc_75, VLOOKUP(V$2, Percentiles!$A$45:$I$59, 6, FALSE), perc_90, VLOOKUP(V$2, Percentiles!$A$45:$I$59, 7, FALSE), perc_95, VLOOKUP(V$2, Percentiles!$A$45:$I$59, 8, FALSE), perc_85, perc_75 + (perc_90 - perc_75) * (2/3), converted_stat, '2K_Ratings'!V405, IF(bbgm_stat &gt;= perc_95, converted_stat * 3, IF(bbgm_stat &gt;= perc_90, converted_stat * 2, IF(bbgm_stat &gt;= perc_85, converted_stat * 1.5, converted_stat)))))</f>
        <v/>
      </c>
      <c r="W405" s="30" t="str">
        <f t="array" ref="W405">IF($A405="", "", LET(bbgm_stat, INDEX(Players!$A404:$P404, MATCH(W$2, Players!$A$1:$P$1, 0)), perc_75, VLOOKUP(W$2, Percentiles!$A$45:$I$59, 6, FALSE), perc_90, VLOOKUP(W$2, Percentiles!$A$45:$I$59, 7, FALSE), perc_95, VLOOKUP(W$2, Percentiles!$A$45:$I$59, 8, FALSE), perc_85, perc_75 + (perc_90 - perc_75) * (2/3), converted_stat, '2K_Ratings'!W405, IF(bbgm_stat &gt;= perc_95, converted_stat * 3, IF(bbgm_stat &gt;= perc_90, converted_stat * 2, IF(bbgm_stat &gt;= perc_85, converted_stat * 1.5, converted_stat)))))</f>
        <v/>
      </c>
    </row>
    <row r="406">
      <c r="A406" s="30"/>
      <c r="B406" s="30" t="str">
        <f t="array" ref="B406">IF($A406="", "", LET(bbgm_stat, INDEX(Players!$A405:$P405, MATCH(B$2, Players!$A$1:$P$1, 0)), perc_75, VLOOKUP(B$2, Percentiles!$A$45:$I$59, 6, FALSE), perc_90, VLOOKUP(B$2, Percentiles!$A$45:$I$59, 7, FALSE), perc_95, VLOOKUP(B$2, Percentiles!$A$45:$I$59, 8, FALSE), perc_85, perc_75 + (perc_90 - perc_75) * (2/3), converted_stat, '2K_Ratings'!B406, IF(bbgm_stat &gt;= perc_95, converted_stat * 3, IF(bbgm_stat &gt;= perc_90, converted_stat * 2, IF(bbgm_stat &gt;= perc_85, converted_stat * 1.5, converted_stat)))))</f>
        <v/>
      </c>
      <c r="C406" s="30" t="str">
        <f t="array" ref="C406">IF($A406="", "", LET(bbgm_stat, INDEX(Players!$A405:$P405, MATCH(C$2, Players!$A$1:$P$1, 0)), perc_75, VLOOKUP(C$2, Percentiles!$A$45:$I$59, 6, FALSE), perc_90, VLOOKUP(C$2, Percentiles!$A$45:$I$59, 7, FALSE), perc_95, VLOOKUP(C$2, Percentiles!$A$45:$I$59, 8, FALSE), perc_85, perc_75 + (perc_90 - perc_75) * (2/3), converted_stat, '2K_Ratings'!C406, IF(bbgm_stat &gt;= perc_95, converted_stat * 3, IF(bbgm_stat &gt;= perc_90, converted_stat * 2, IF(bbgm_stat &gt;= perc_85, converted_stat * 1.5, converted_stat)))))</f>
        <v/>
      </c>
      <c r="D406" s="30" t="str">
        <f t="array" ref="D406">IF($A406="", "", LET(bbgm_stat, INDEX(Players!$A405:$P405, MATCH(D$2, Players!$A$1:$P$1, 0)), perc_75, VLOOKUP(D$2, Percentiles!$A$45:$I$59, 6, FALSE), perc_90, VLOOKUP(D$2, Percentiles!$A$45:$I$59, 7, FALSE), perc_95, VLOOKUP(D$2, Percentiles!$A$45:$I$59, 8, FALSE), perc_85, perc_75 + (perc_90 - perc_75) * (2/3), converted_stat, '2K_Ratings'!D406, IF(bbgm_stat &gt;= perc_95, converted_stat * 3, IF(bbgm_stat &gt;= perc_90, converted_stat * 2, IF(bbgm_stat &gt;= perc_85, converted_stat * 1.5, converted_stat)))))</f>
        <v/>
      </c>
      <c r="E406" s="30" t="str">
        <f t="array" ref="E406">IF($A406="", "", LET(bbgm_stat, INDEX(Players!$A405:$P405, MATCH(E$2, Players!$A$1:$P$1, 0)), perc_75, VLOOKUP(E$2, Percentiles!$A$45:$I$59, 6, FALSE), perc_90, VLOOKUP(E$2, Percentiles!$A$45:$I$59, 7, FALSE), perc_95, VLOOKUP(E$2, Percentiles!$A$45:$I$59, 8, FALSE), perc_85, perc_75 + (perc_90 - perc_75) * (2/3), converted_stat, '2K_Ratings'!E406, IF(bbgm_stat &gt;= perc_95, converted_stat * 3, IF(bbgm_stat &gt;= perc_90, converted_stat * 2, IF(bbgm_stat &gt;= perc_85, converted_stat * 1.5, converted_stat)))))</f>
        <v/>
      </c>
      <c r="F406" s="30" t="str">
        <f t="array" ref="F406">IF($A406="", "", LET(bbgm_stat, INDEX(Players!$A405:$P405, MATCH(F$2, Players!$A$1:$P$1, 0)), perc_75, VLOOKUP(F$2, Percentiles!$A$45:$I$59, 6, FALSE), perc_90, VLOOKUP(F$2, Percentiles!$A$45:$I$59, 7, FALSE), perc_95, VLOOKUP(F$2, Percentiles!$A$45:$I$59, 8, FALSE), perc_85, perc_75 + (perc_90 - perc_75) * (2/3), converted_stat, '2K_Ratings'!F406, IF(bbgm_stat &gt;= perc_95, converted_stat * 3, IF(bbgm_stat &gt;= perc_90, converted_stat * 2, IF(bbgm_stat &gt;= perc_85, converted_stat * 1.5, converted_stat)))))</f>
        <v/>
      </c>
      <c r="G406" s="30" t="str">
        <f t="array" ref="G406">IF($A406="", "", LET(bbgm_stat, INDEX(Players!$A405:$P405, MATCH(G$2, Players!$A$1:$P$1, 0)), perc_75, VLOOKUP(G$2, Percentiles!$A$45:$I$59, 6, FALSE), perc_90, VLOOKUP(G$2, Percentiles!$A$45:$I$59, 7, FALSE), perc_95, VLOOKUP(G$2, Percentiles!$A$45:$I$59, 8, FALSE), perc_85, perc_75 + (perc_90 - perc_75) * (2/3), converted_stat, '2K_Ratings'!G406, IF(bbgm_stat &gt;= perc_95, converted_stat * 3, IF(bbgm_stat &gt;= perc_90, converted_stat * 2, IF(bbgm_stat &gt;= perc_85, converted_stat * 1.5, converted_stat)))))</f>
        <v/>
      </c>
      <c r="H406" s="30" t="str">
        <f t="array" ref="H406">IF($A406="", "", LET(bbgm_stat, INDEX(Players!$A405:$P405, MATCH(H$2, Players!$A$1:$P$1, 0)), perc_75, VLOOKUP(H$2, Percentiles!$A$45:$I$59, 6, FALSE), perc_90, VLOOKUP(H$2, Percentiles!$A$45:$I$59, 7, FALSE), perc_95, VLOOKUP(H$2, Percentiles!$A$45:$I$59, 8, FALSE), perc_85, perc_75 + (perc_90 - perc_75) * (2/3), converted_stat, '2K_Ratings'!H406, IF(bbgm_stat &gt;= perc_95, converted_stat * 3, IF(bbgm_stat &gt;= perc_90, converted_stat * 2, IF(bbgm_stat &gt;= perc_85, converted_stat * 1.5, converted_stat)))))</f>
        <v/>
      </c>
      <c r="I406" s="30" t="str">
        <f t="array" ref="I406">IF($A406="", "", LET(bbgm_stat, INDEX(Players!$A405:$P405, MATCH(I$2, Players!$A$1:$P$1, 0)), perc_75, VLOOKUP(I$2, Percentiles!$A$45:$I$59, 6, FALSE), perc_90, VLOOKUP(I$2, Percentiles!$A$45:$I$59, 7, FALSE), perc_95, VLOOKUP(I$2, Percentiles!$A$45:$I$59, 8, FALSE), perc_85, perc_75 + (perc_90 - perc_75) * (2/3), converted_stat, '2K_Ratings'!I406, IF(bbgm_stat &gt;= perc_95, converted_stat * 3, IF(bbgm_stat &gt;= perc_90, converted_stat * 2, IF(bbgm_stat &gt;= perc_85, converted_stat * 1.5, converted_stat)))))</f>
        <v/>
      </c>
      <c r="J406" s="30" t="str">
        <f t="array" ref="J406">IF($A406="", "", LET(bbgm_stat, INDEX(Players!$A405:$P405, MATCH(J$2, Players!$A$1:$P$1, 0)), perc_75, VLOOKUP(J$2, Percentiles!$A$45:$I$59, 6, FALSE), perc_90, VLOOKUP(J$2, Percentiles!$A$45:$I$59, 7, FALSE), perc_95, VLOOKUP(J$2, Percentiles!$A$45:$I$59, 8, FALSE), perc_85, perc_75 + (perc_90 - perc_75) * (2/3), converted_stat, '2K_Ratings'!J406, IF(bbgm_stat &gt;= perc_95, converted_stat * 3, IF(bbgm_stat &gt;= perc_90, converted_stat * 2, IF(bbgm_stat &gt;= perc_85, converted_stat * 1.5, converted_stat)))))</f>
        <v/>
      </c>
      <c r="K406" s="30" t="str">
        <f t="array" ref="K406">IF($A406="", "", LET(bbgm_stat, INDEX(Players!$A405:$P405, MATCH(K$2, Players!$A$1:$P$1, 0)), perc_75, VLOOKUP(K$2, Percentiles!$A$45:$I$59, 6, FALSE), perc_90, VLOOKUP(K$2, Percentiles!$A$45:$I$59, 7, FALSE), perc_95, VLOOKUP(K$2, Percentiles!$A$45:$I$59, 8, FALSE), perc_85, perc_75 + (perc_90 - perc_75) * (2/3), converted_stat, '2K_Ratings'!K406, IF(bbgm_stat &gt;= perc_95, converted_stat * 3, IF(bbgm_stat &gt;= perc_90, converted_stat * 2, IF(bbgm_stat &gt;= perc_85, converted_stat * 1.5, converted_stat)))))</f>
        <v/>
      </c>
      <c r="L406" s="30" t="str">
        <f t="array" ref="L406">IF($A406="", "", LET(bbgm_stat, INDEX(Players!$A405:$P405, MATCH(L$2, Players!$A$1:$P$1, 0)), perc_75, VLOOKUP(L$2, Percentiles!$A$45:$I$59, 6, FALSE), perc_90, VLOOKUP(L$2, Percentiles!$A$45:$I$59, 7, FALSE), perc_95, VLOOKUP(L$2, Percentiles!$A$45:$I$59, 8, FALSE), perc_85, perc_75 + (perc_90 - perc_75) * (2/3), converted_stat, '2K_Ratings'!L406, IF(bbgm_stat &gt;= perc_95, converted_stat * 3, IF(bbgm_stat &gt;= perc_90, converted_stat * 2, IF(bbgm_stat &gt;= perc_85, converted_stat * 1.5, converted_stat)))))</f>
        <v/>
      </c>
      <c r="M406" s="30" t="str">
        <f t="array" ref="M406">IF($A406="", "", LET(bbgm_stat, INDEX(Players!$A405:$P405, MATCH(M$2, Players!$A$1:$P$1, 0)), perc_75, VLOOKUP(M$2, Percentiles!$A$45:$I$59, 6, FALSE), perc_90, VLOOKUP(M$2, Percentiles!$A$45:$I$59, 7, FALSE), perc_95, VLOOKUP(M$2, Percentiles!$A$45:$I$59, 8, FALSE), perc_85, perc_75 + (perc_90 - perc_75) * (2/3), converted_stat, '2K_Ratings'!M406, IF(bbgm_stat &gt;= perc_95, converted_stat * 3, IF(bbgm_stat &gt;= perc_90, converted_stat * 2, IF(bbgm_stat &gt;= perc_85, converted_stat * 1.5, converted_stat)))))</f>
        <v/>
      </c>
      <c r="N406" s="30" t="str">
        <f t="array" ref="N406">IF($A406="", "", LET(bbgm_stat, INDEX(Players!$A405:$P405, MATCH(N$2, Players!$A$1:$P$1, 0)), perc_75, VLOOKUP(N$2, Percentiles!$A$45:$I$59, 6, FALSE), perc_90, VLOOKUP(N$2, Percentiles!$A$45:$I$59, 7, FALSE), perc_95, VLOOKUP(N$2, Percentiles!$A$45:$I$59, 8, FALSE), perc_85, perc_75 + (perc_90 - perc_75) * (2/3), converted_stat, '2K_Ratings'!N406, IF(bbgm_stat &gt;= perc_95, converted_stat * 3, IF(bbgm_stat &gt;= perc_90, converted_stat * 2, IF(bbgm_stat &gt;= perc_85, converted_stat * 1.5, converted_stat)))))</f>
        <v/>
      </c>
      <c r="O406" s="30" t="str">
        <f t="array" ref="O406">IF($A406="", "", LET(bbgm_stat, INDEX(Players!$A405:$P405, MATCH(O$2, Players!$A$1:$P$1, 0)), perc_75, VLOOKUP(O$2, Percentiles!$A$45:$I$59, 6, FALSE), perc_90, VLOOKUP(O$2, Percentiles!$A$45:$I$59, 7, FALSE), perc_95, VLOOKUP(O$2, Percentiles!$A$45:$I$59, 8, FALSE), perc_85, perc_75 + (perc_90 - perc_75) * (2/3), converted_stat, '2K_Ratings'!O406, IF(bbgm_stat &gt;= perc_95, converted_stat * 3, IF(bbgm_stat &gt;= perc_90, converted_stat * 2, IF(bbgm_stat &gt;= perc_85, converted_stat * 1.5, converted_stat)))))</f>
        <v/>
      </c>
      <c r="P406" s="30" t="str">
        <f t="array" ref="P406">IF($A406="", "", LET(bbgm_stat, INDEX(Players!$A405:$P405, MATCH(P$2, Players!$A$1:$P$1, 0)), perc_75, VLOOKUP(P$2, Percentiles!$A$45:$I$59, 6, FALSE), perc_90, VLOOKUP(P$2, Percentiles!$A$45:$I$59, 7, FALSE), perc_95, VLOOKUP(P$2, Percentiles!$A$45:$I$59, 8, FALSE), perc_85, perc_75 + (perc_90 - perc_75) * (2/3), converted_stat, '2K_Ratings'!P406, IF(bbgm_stat &gt;= perc_95, converted_stat * 3, IF(bbgm_stat &gt;= perc_90, converted_stat * 2, IF(bbgm_stat &gt;= perc_85, converted_stat * 1.5, converted_stat)))))</f>
        <v/>
      </c>
      <c r="Q406" s="30" t="str">
        <f t="array" ref="Q406">IF($A406="", "", LET(bbgm_stat, INDEX(Players!$A405:$P405, MATCH(Q$2, Players!$A$1:$P$1, 0)), perc_75, VLOOKUP(Q$2, Percentiles!$A$45:$I$59, 6, FALSE), perc_90, VLOOKUP(Q$2, Percentiles!$A$45:$I$59, 7, FALSE), perc_95, VLOOKUP(Q$2, Percentiles!$A$45:$I$59, 8, FALSE), perc_85, perc_75 + (perc_90 - perc_75) * (2/3), converted_stat, '2K_Ratings'!Q406, IF(bbgm_stat &gt;= perc_95, converted_stat * 3, IF(bbgm_stat &gt;= perc_90, converted_stat * 2, IF(bbgm_stat &gt;= perc_85, converted_stat * 1.5, converted_stat)))))</f>
        <v/>
      </c>
      <c r="R406" s="30" t="str">
        <f t="array" ref="R406">IF($A406="", "", LET(bbgm_stat, INDEX(Players!$A405:$P405, MATCH(R$2, Players!$A$1:$P$1, 0)), perc_75, VLOOKUP(R$2, Percentiles!$A$45:$I$59, 6, FALSE), perc_90, VLOOKUP(R$2, Percentiles!$A$45:$I$59, 7, FALSE), perc_95, VLOOKUP(R$2, Percentiles!$A$45:$I$59, 8, FALSE), perc_85, perc_75 + (perc_90 - perc_75) * (2/3), converted_stat, '2K_Ratings'!R406, IF(bbgm_stat &gt;= perc_95, converted_stat * 3, IF(bbgm_stat &gt;= perc_90, converted_stat * 2, IF(bbgm_stat &gt;= perc_85, converted_stat * 1.5, converted_stat)))))</f>
        <v/>
      </c>
      <c r="S406" s="30" t="str">
        <f t="array" ref="S406">IF($A406="", "", LET(bbgm_stat, INDEX(Players!$A405:$P405, MATCH(S$2, Players!$A$1:$P$1, 0)), perc_75, VLOOKUP(S$2, Percentiles!$A$45:$I$59, 6, FALSE), perc_90, VLOOKUP(S$2, Percentiles!$A$45:$I$59, 7, FALSE), perc_95, VLOOKUP(S$2, Percentiles!$A$45:$I$59, 8, FALSE), perc_85, perc_75 + (perc_90 - perc_75) * (2/3), converted_stat, '2K_Ratings'!S406, IF(bbgm_stat &gt;= perc_95, converted_stat * 3, IF(bbgm_stat &gt;= perc_90, converted_stat * 2, IF(bbgm_stat &gt;= perc_85, converted_stat * 1.5, converted_stat)))))</f>
        <v/>
      </c>
      <c r="T406" s="30" t="str">
        <f t="array" ref="T406">IF($A406="", "", LET(bbgm_stat, INDEX(Players!$A405:$P405, MATCH(T$2, Players!$A$1:$P$1, 0)), perc_75, VLOOKUP(T$2, Percentiles!$A$45:$I$59, 6, FALSE), perc_90, VLOOKUP(T$2, Percentiles!$A$45:$I$59, 7, FALSE), perc_95, VLOOKUP(T$2, Percentiles!$A$45:$I$59, 8, FALSE), perc_85, perc_75 + (perc_90 - perc_75) * (2/3), converted_stat, '2K_Ratings'!T406, IF(bbgm_stat &gt;= perc_95, converted_stat * 3, IF(bbgm_stat &gt;= perc_90, converted_stat * 2, IF(bbgm_stat &gt;= perc_85, converted_stat * 1.5, converted_stat)))))</f>
        <v/>
      </c>
      <c r="U406" s="30" t="str">
        <f t="array" ref="U406">IF($A406="", "", LET(bbgm_stat, INDEX(Players!$A405:$P405, MATCH(U$2, Players!$A$1:$P$1, 0)), perc_75, VLOOKUP(U$2, Percentiles!$A$45:$I$59, 6, FALSE), perc_90, VLOOKUP(U$2, Percentiles!$A$45:$I$59, 7, FALSE), perc_95, VLOOKUP(U$2, Percentiles!$A$45:$I$59, 8, FALSE), perc_85, perc_75 + (perc_90 - perc_75) * (2/3), converted_stat, '2K_Ratings'!U406, IF(bbgm_stat &gt;= perc_95, converted_stat * 3, IF(bbgm_stat &gt;= perc_90, converted_stat * 2, IF(bbgm_stat &gt;= perc_85, converted_stat * 1.5, converted_stat)))))</f>
        <v/>
      </c>
      <c r="V406" s="30" t="str">
        <f t="array" ref="V406">IF($A406="", "", LET(bbgm_stat, INDEX(Players!$A405:$P405, MATCH(V$2, Players!$A$1:$P$1, 0)), perc_75, VLOOKUP(V$2, Percentiles!$A$45:$I$59, 6, FALSE), perc_90, VLOOKUP(V$2, Percentiles!$A$45:$I$59, 7, FALSE), perc_95, VLOOKUP(V$2, Percentiles!$A$45:$I$59, 8, FALSE), perc_85, perc_75 + (perc_90 - perc_75) * (2/3), converted_stat, '2K_Ratings'!V406, IF(bbgm_stat &gt;= perc_95, converted_stat * 3, IF(bbgm_stat &gt;= perc_90, converted_stat * 2, IF(bbgm_stat &gt;= perc_85, converted_stat * 1.5, converted_stat)))))</f>
        <v/>
      </c>
      <c r="W406" s="30" t="str">
        <f t="array" ref="W406">IF($A406="", "", LET(bbgm_stat, INDEX(Players!$A405:$P405, MATCH(W$2, Players!$A$1:$P$1, 0)), perc_75, VLOOKUP(W$2, Percentiles!$A$45:$I$59, 6, FALSE), perc_90, VLOOKUP(W$2, Percentiles!$A$45:$I$59, 7, FALSE), perc_95, VLOOKUP(W$2, Percentiles!$A$45:$I$59, 8, FALSE), perc_85, perc_75 + (perc_90 - perc_75) * (2/3), converted_stat, '2K_Ratings'!W406, IF(bbgm_stat &gt;= perc_95, converted_stat * 3, IF(bbgm_stat &gt;= perc_90, converted_stat * 2, IF(bbgm_stat &gt;= perc_85, converted_stat * 1.5, converted_stat)))))</f>
        <v/>
      </c>
    </row>
    <row r="407">
      <c r="A407" s="30"/>
      <c r="B407" s="30" t="str">
        <f t="array" ref="B407">IF($A407="", "", LET(bbgm_stat, INDEX(Players!$A406:$P406, MATCH(B$2, Players!$A$1:$P$1, 0)), perc_75, VLOOKUP(B$2, Percentiles!$A$45:$I$59, 6, FALSE), perc_90, VLOOKUP(B$2, Percentiles!$A$45:$I$59, 7, FALSE), perc_95, VLOOKUP(B$2, Percentiles!$A$45:$I$59, 8, FALSE), perc_85, perc_75 + (perc_90 - perc_75) * (2/3), converted_stat, '2K_Ratings'!B407, IF(bbgm_stat &gt;= perc_95, converted_stat * 3, IF(bbgm_stat &gt;= perc_90, converted_stat * 2, IF(bbgm_stat &gt;= perc_85, converted_stat * 1.5, converted_stat)))))</f>
        <v/>
      </c>
      <c r="C407" s="30" t="str">
        <f t="array" ref="C407">IF($A407="", "", LET(bbgm_stat, INDEX(Players!$A406:$P406, MATCH(C$2, Players!$A$1:$P$1, 0)), perc_75, VLOOKUP(C$2, Percentiles!$A$45:$I$59, 6, FALSE), perc_90, VLOOKUP(C$2, Percentiles!$A$45:$I$59, 7, FALSE), perc_95, VLOOKUP(C$2, Percentiles!$A$45:$I$59, 8, FALSE), perc_85, perc_75 + (perc_90 - perc_75) * (2/3), converted_stat, '2K_Ratings'!C407, IF(bbgm_stat &gt;= perc_95, converted_stat * 3, IF(bbgm_stat &gt;= perc_90, converted_stat * 2, IF(bbgm_stat &gt;= perc_85, converted_stat * 1.5, converted_stat)))))</f>
        <v/>
      </c>
      <c r="D407" s="30" t="str">
        <f t="array" ref="D407">IF($A407="", "", LET(bbgm_stat, INDEX(Players!$A406:$P406, MATCH(D$2, Players!$A$1:$P$1, 0)), perc_75, VLOOKUP(D$2, Percentiles!$A$45:$I$59, 6, FALSE), perc_90, VLOOKUP(D$2, Percentiles!$A$45:$I$59, 7, FALSE), perc_95, VLOOKUP(D$2, Percentiles!$A$45:$I$59, 8, FALSE), perc_85, perc_75 + (perc_90 - perc_75) * (2/3), converted_stat, '2K_Ratings'!D407, IF(bbgm_stat &gt;= perc_95, converted_stat * 3, IF(bbgm_stat &gt;= perc_90, converted_stat * 2, IF(bbgm_stat &gt;= perc_85, converted_stat * 1.5, converted_stat)))))</f>
        <v/>
      </c>
      <c r="E407" s="30" t="str">
        <f t="array" ref="E407">IF($A407="", "", LET(bbgm_stat, INDEX(Players!$A406:$P406, MATCH(E$2, Players!$A$1:$P$1, 0)), perc_75, VLOOKUP(E$2, Percentiles!$A$45:$I$59, 6, FALSE), perc_90, VLOOKUP(E$2, Percentiles!$A$45:$I$59, 7, FALSE), perc_95, VLOOKUP(E$2, Percentiles!$A$45:$I$59, 8, FALSE), perc_85, perc_75 + (perc_90 - perc_75) * (2/3), converted_stat, '2K_Ratings'!E407, IF(bbgm_stat &gt;= perc_95, converted_stat * 3, IF(bbgm_stat &gt;= perc_90, converted_stat * 2, IF(bbgm_stat &gt;= perc_85, converted_stat * 1.5, converted_stat)))))</f>
        <v/>
      </c>
      <c r="F407" s="30" t="str">
        <f t="array" ref="F407">IF($A407="", "", LET(bbgm_stat, INDEX(Players!$A406:$P406, MATCH(F$2, Players!$A$1:$P$1, 0)), perc_75, VLOOKUP(F$2, Percentiles!$A$45:$I$59, 6, FALSE), perc_90, VLOOKUP(F$2, Percentiles!$A$45:$I$59, 7, FALSE), perc_95, VLOOKUP(F$2, Percentiles!$A$45:$I$59, 8, FALSE), perc_85, perc_75 + (perc_90 - perc_75) * (2/3), converted_stat, '2K_Ratings'!F407, IF(bbgm_stat &gt;= perc_95, converted_stat * 3, IF(bbgm_stat &gt;= perc_90, converted_stat * 2, IF(bbgm_stat &gt;= perc_85, converted_stat * 1.5, converted_stat)))))</f>
        <v/>
      </c>
      <c r="G407" s="30" t="str">
        <f t="array" ref="G407">IF($A407="", "", LET(bbgm_stat, INDEX(Players!$A406:$P406, MATCH(G$2, Players!$A$1:$P$1, 0)), perc_75, VLOOKUP(G$2, Percentiles!$A$45:$I$59, 6, FALSE), perc_90, VLOOKUP(G$2, Percentiles!$A$45:$I$59, 7, FALSE), perc_95, VLOOKUP(G$2, Percentiles!$A$45:$I$59, 8, FALSE), perc_85, perc_75 + (perc_90 - perc_75) * (2/3), converted_stat, '2K_Ratings'!G407, IF(bbgm_stat &gt;= perc_95, converted_stat * 3, IF(bbgm_stat &gt;= perc_90, converted_stat * 2, IF(bbgm_stat &gt;= perc_85, converted_stat * 1.5, converted_stat)))))</f>
        <v/>
      </c>
      <c r="H407" s="30" t="str">
        <f t="array" ref="H407">IF($A407="", "", LET(bbgm_stat, INDEX(Players!$A406:$P406, MATCH(H$2, Players!$A$1:$P$1, 0)), perc_75, VLOOKUP(H$2, Percentiles!$A$45:$I$59, 6, FALSE), perc_90, VLOOKUP(H$2, Percentiles!$A$45:$I$59, 7, FALSE), perc_95, VLOOKUP(H$2, Percentiles!$A$45:$I$59, 8, FALSE), perc_85, perc_75 + (perc_90 - perc_75) * (2/3), converted_stat, '2K_Ratings'!H407, IF(bbgm_stat &gt;= perc_95, converted_stat * 3, IF(bbgm_stat &gt;= perc_90, converted_stat * 2, IF(bbgm_stat &gt;= perc_85, converted_stat * 1.5, converted_stat)))))</f>
        <v/>
      </c>
      <c r="I407" s="30" t="str">
        <f t="array" ref="I407">IF($A407="", "", LET(bbgm_stat, INDEX(Players!$A406:$P406, MATCH(I$2, Players!$A$1:$P$1, 0)), perc_75, VLOOKUP(I$2, Percentiles!$A$45:$I$59, 6, FALSE), perc_90, VLOOKUP(I$2, Percentiles!$A$45:$I$59, 7, FALSE), perc_95, VLOOKUP(I$2, Percentiles!$A$45:$I$59, 8, FALSE), perc_85, perc_75 + (perc_90 - perc_75) * (2/3), converted_stat, '2K_Ratings'!I407, IF(bbgm_stat &gt;= perc_95, converted_stat * 3, IF(bbgm_stat &gt;= perc_90, converted_stat * 2, IF(bbgm_stat &gt;= perc_85, converted_stat * 1.5, converted_stat)))))</f>
        <v/>
      </c>
      <c r="J407" s="30" t="str">
        <f t="array" ref="J407">IF($A407="", "", LET(bbgm_stat, INDEX(Players!$A406:$P406, MATCH(J$2, Players!$A$1:$P$1, 0)), perc_75, VLOOKUP(J$2, Percentiles!$A$45:$I$59, 6, FALSE), perc_90, VLOOKUP(J$2, Percentiles!$A$45:$I$59, 7, FALSE), perc_95, VLOOKUP(J$2, Percentiles!$A$45:$I$59, 8, FALSE), perc_85, perc_75 + (perc_90 - perc_75) * (2/3), converted_stat, '2K_Ratings'!J407, IF(bbgm_stat &gt;= perc_95, converted_stat * 3, IF(bbgm_stat &gt;= perc_90, converted_stat * 2, IF(bbgm_stat &gt;= perc_85, converted_stat * 1.5, converted_stat)))))</f>
        <v/>
      </c>
      <c r="K407" s="30" t="str">
        <f t="array" ref="K407">IF($A407="", "", LET(bbgm_stat, INDEX(Players!$A406:$P406, MATCH(K$2, Players!$A$1:$P$1, 0)), perc_75, VLOOKUP(K$2, Percentiles!$A$45:$I$59, 6, FALSE), perc_90, VLOOKUP(K$2, Percentiles!$A$45:$I$59, 7, FALSE), perc_95, VLOOKUP(K$2, Percentiles!$A$45:$I$59, 8, FALSE), perc_85, perc_75 + (perc_90 - perc_75) * (2/3), converted_stat, '2K_Ratings'!K407, IF(bbgm_stat &gt;= perc_95, converted_stat * 3, IF(bbgm_stat &gt;= perc_90, converted_stat * 2, IF(bbgm_stat &gt;= perc_85, converted_stat * 1.5, converted_stat)))))</f>
        <v/>
      </c>
      <c r="L407" s="30" t="str">
        <f t="array" ref="L407">IF($A407="", "", LET(bbgm_stat, INDEX(Players!$A406:$P406, MATCH(L$2, Players!$A$1:$P$1, 0)), perc_75, VLOOKUP(L$2, Percentiles!$A$45:$I$59, 6, FALSE), perc_90, VLOOKUP(L$2, Percentiles!$A$45:$I$59, 7, FALSE), perc_95, VLOOKUP(L$2, Percentiles!$A$45:$I$59, 8, FALSE), perc_85, perc_75 + (perc_90 - perc_75) * (2/3), converted_stat, '2K_Ratings'!L407, IF(bbgm_stat &gt;= perc_95, converted_stat * 3, IF(bbgm_stat &gt;= perc_90, converted_stat * 2, IF(bbgm_stat &gt;= perc_85, converted_stat * 1.5, converted_stat)))))</f>
        <v/>
      </c>
      <c r="M407" s="30" t="str">
        <f t="array" ref="M407">IF($A407="", "", LET(bbgm_stat, INDEX(Players!$A406:$P406, MATCH(M$2, Players!$A$1:$P$1, 0)), perc_75, VLOOKUP(M$2, Percentiles!$A$45:$I$59, 6, FALSE), perc_90, VLOOKUP(M$2, Percentiles!$A$45:$I$59, 7, FALSE), perc_95, VLOOKUP(M$2, Percentiles!$A$45:$I$59, 8, FALSE), perc_85, perc_75 + (perc_90 - perc_75) * (2/3), converted_stat, '2K_Ratings'!M407, IF(bbgm_stat &gt;= perc_95, converted_stat * 3, IF(bbgm_stat &gt;= perc_90, converted_stat * 2, IF(bbgm_stat &gt;= perc_85, converted_stat * 1.5, converted_stat)))))</f>
        <v/>
      </c>
      <c r="N407" s="30" t="str">
        <f t="array" ref="N407">IF($A407="", "", LET(bbgm_stat, INDEX(Players!$A406:$P406, MATCH(N$2, Players!$A$1:$P$1, 0)), perc_75, VLOOKUP(N$2, Percentiles!$A$45:$I$59, 6, FALSE), perc_90, VLOOKUP(N$2, Percentiles!$A$45:$I$59, 7, FALSE), perc_95, VLOOKUP(N$2, Percentiles!$A$45:$I$59, 8, FALSE), perc_85, perc_75 + (perc_90 - perc_75) * (2/3), converted_stat, '2K_Ratings'!N407, IF(bbgm_stat &gt;= perc_95, converted_stat * 3, IF(bbgm_stat &gt;= perc_90, converted_stat * 2, IF(bbgm_stat &gt;= perc_85, converted_stat * 1.5, converted_stat)))))</f>
        <v/>
      </c>
      <c r="O407" s="30" t="str">
        <f t="array" ref="O407">IF($A407="", "", LET(bbgm_stat, INDEX(Players!$A406:$P406, MATCH(O$2, Players!$A$1:$P$1, 0)), perc_75, VLOOKUP(O$2, Percentiles!$A$45:$I$59, 6, FALSE), perc_90, VLOOKUP(O$2, Percentiles!$A$45:$I$59, 7, FALSE), perc_95, VLOOKUP(O$2, Percentiles!$A$45:$I$59, 8, FALSE), perc_85, perc_75 + (perc_90 - perc_75) * (2/3), converted_stat, '2K_Ratings'!O407, IF(bbgm_stat &gt;= perc_95, converted_stat * 3, IF(bbgm_stat &gt;= perc_90, converted_stat * 2, IF(bbgm_stat &gt;= perc_85, converted_stat * 1.5, converted_stat)))))</f>
        <v/>
      </c>
      <c r="P407" s="30" t="str">
        <f t="array" ref="P407">IF($A407="", "", LET(bbgm_stat, INDEX(Players!$A406:$P406, MATCH(P$2, Players!$A$1:$P$1, 0)), perc_75, VLOOKUP(P$2, Percentiles!$A$45:$I$59, 6, FALSE), perc_90, VLOOKUP(P$2, Percentiles!$A$45:$I$59, 7, FALSE), perc_95, VLOOKUP(P$2, Percentiles!$A$45:$I$59, 8, FALSE), perc_85, perc_75 + (perc_90 - perc_75) * (2/3), converted_stat, '2K_Ratings'!P407, IF(bbgm_stat &gt;= perc_95, converted_stat * 3, IF(bbgm_stat &gt;= perc_90, converted_stat * 2, IF(bbgm_stat &gt;= perc_85, converted_stat * 1.5, converted_stat)))))</f>
        <v/>
      </c>
      <c r="Q407" s="30" t="str">
        <f t="array" ref="Q407">IF($A407="", "", LET(bbgm_stat, INDEX(Players!$A406:$P406, MATCH(Q$2, Players!$A$1:$P$1, 0)), perc_75, VLOOKUP(Q$2, Percentiles!$A$45:$I$59, 6, FALSE), perc_90, VLOOKUP(Q$2, Percentiles!$A$45:$I$59, 7, FALSE), perc_95, VLOOKUP(Q$2, Percentiles!$A$45:$I$59, 8, FALSE), perc_85, perc_75 + (perc_90 - perc_75) * (2/3), converted_stat, '2K_Ratings'!Q407, IF(bbgm_stat &gt;= perc_95, converted_stat * 3, IF(bbgm_stat &gt;= perc_90, converted_stat * 2, IF(bbgm_stat &gt;= perc_85, converted_stat * 1.5, converted_stat)))))</f>
        <v/>
      </c>
      <c r="R407" s="30" t="str">
        <f t="array" ref="R407">IF($A407="", "", LET(bbgm_stat, INDEX(Players!$A406:$P406, MATCH(R$2, Players!$A$1:$P$1, 0)), perc_75, VLOOKUP(R$2, Percentiles!$A$45:$I$59, 6, FALSE), perc_90, VLOOKUP(R$2, Percentiles!$A$45:$I$59, 7, FALSE), perc_95, VLOOKUP(R$2, Percentiles!$A$45:$I$59, 8, FALSE), perc_85, perc_75 + (perc_90 - perc_75) * (2/3), converted_stat, '2K_Ratings'!R407, IF(bbgm_stat &gt;= perc_95, converted_stat * 3, IF(bbgm_stat &gt;= perc_90, converted_stat * 2, IF(bbgm_stat &gt;= perc_85, converted_stat * 1.5, converted_stat)))))</f>
        <v/>
      </c>
      <c r="S407" s="30" t="str">
        <f t="array" ref="S407">IF($A407="", "", LET(bbgm_stat, INDEX(Players!$A406:$P406, MATCH(S$2, Players!$A$1:$P$1, 0)), perc_75, VLOOKUP(S$2, Percentiles!$A$45:$I$59, 6, FALSE), perc_90, VLOOKUP(S$2, Percentiles!$A$45:$I$59, 7, FALSE), perc_95, VLOOKUP(S$2, Percentiles!$A$45:$I$59, 8, FALSE), perc_85, perc_75 + (perc_90 - perc_75) * (2/3), converted_stat, '2K_Ratings'!S407, IF(bbgm_stat &gt;= perc_95, converted_stat * 3, IF(bbgm_stat &gt;= perc_90, converted_stat * 2, IF(bbgm_stat &gt;= perc_85, converted_stat * 1.5, converted_stat)))))</f>
        <v/>
      </c>
      <c r="T407" s="30" t="str">
        <f t="array" ref="T407">IF($A407="", "", LET(bbgm_stat, INDEX(Players!$A406:$P406, MATCH(T$2, Players!$A$1:$P$1, 0)), perc_75, VLOOKUP(T$2, Percentiles!$A$45:$I$59, 6, FALSE), perc_90, VLOOKUP(T$2, Percentiles!$A$45:$I$59, 7, FALSE), perc_95, VLOOKUP(T$2, Percentiles!$A$45:$I$59, 8, FALSE), perc_85, perc_75 + (perc_90 - perc_75) * (2/3), converted_stat, '2K_Ratings'!T407, IF(bbgm_stat &gt;= perc_95, converted_stat * 3, IF(bbgm_stat &gt;= perc_90, converted_stat * 2, IF(bbgm_stat &gt;= perc_85, converted_stat * 1.5, converted_stat)))))</f>
        <v/>
      </c>
      <c r="U407" s="30" t="str">
        <f t="array" ref="U407">IF($A407="", "", LET(bbgm_stat, INDEX(Players!$A406:$P406, MATCH(U$2, Players!$A$1:$P$1, 0)), perc_75, VLOOKUP(U$2, Percentiles!$A$45:$I$59, 6, FALSE), perc_90, VLOOKUP(U$2, Percentiles!$A$45:$I$59, 7, FALSE), perc_95, VLOOKUP(U$2, Percentiles!$A$45:$I$59, 8, FALSE), perc_85, perc_75 + (perc_90 - perc_75) * (2/3), converted_stat, '2K_Ratings'!U407, IF(bbgm_stat &gt;= perc_95, converted_stat * 3, IF(bbgm_stat &gt;= perc_90, converted_stat * 2, IF(bbgm_stat &gt;= perc_85, converted_stat * 1.5, converted_stat)))))</f>
        <v/>
      </c>
      <c r="V407" s="30" t="str">
        <f t="array" ref="V407">IF($A407="", "", LET(bbgm_stat, INDEX(Players!$A406:$P406, MATCH(V$2, Players!$A$1:$P$1, 0)), perc_75, VLOOKUP(V$2, Percentiles!$A$45:$I$59, 6, FALSE), perc_90, VLOOKUP(V$2, Percentiles!$A$45:$I$59, 7, FALSE), perc_95, VLOOKUP(V$2, Percentiles!$A$45:$I$59, 8, FALSE), perc_85, perc_75 + (perc_90 - perc_75) * (2/3), converted_stat, '2K_Ratings'!V407, IF(bbgm_stat &gt;= perc_95, converted_stat * 3, IF(bbgm_stat &gt;= perc_90, converted_stat * 2, IF(bbgm_stat &gt;= perc_85, converted_stat * 1.5, converted_stat)))))</f>
        <v/>
      </c>
      <c r="W407" s="30" t="str">
        <f t="array" ref="W407">IF($A407="", "", LET(bbgm_stat, INDEX(Players!$A406:$P406, MATCH(W$2, Players!$A$1:$P$1, 0)), perc_75, VLOOKUP(W$2, Percentiles!$A$45:$I$59, 6, FALSE), perc_90, VLOOKUP(W$2, Percentiles!$A$45:$I$59, 7, FALSE), perc_95, VLOOKUP(W$2, Percentiles!$A$45:$I$59, 8, FALSE), perc_85, perc_75 + (perc_90 - perc_75) * (2/3), converted_stat, '2K_Ratings'!W407, IF(bbgm_stat &gt;= perc_95, converted_stat * 3, IF(bbgm_stat &gt;= perc_90, converted_stat * 2, IF(bbgm_stat &gt;= perc_85, converted_stat * 1.5, converted_stat)))))</f>
        <v/>
      </c>
    </row>
    <row r="408">
      <c r="A408" s="30"/>
      <c r="B408" s="30" t="str">
        <f t="array" ref="B408">IF($A408="", "", LET(bbgm_stat, INDEX(Players!$A407:$P407, MATCH(B$2, Players!$A$1:$P$1, 0)), perc_75, VLOOKUP(B$2, Percentiles!$A$45:$I$59, 6, FALSE), perc_90, VLOOKUP(B$2, Percentiles!$A$45:$I$59, 7, FALSE), perc_95, VLOOKUP(B$2, Percentiles!$A$45:$I$59, 8, FALSE), perc_85, perc_75 + (perc_90 - perc_75) * (2/3), converted_stat, '2K_Ratings'!B408, IF(bbgm_stat &gt;= perc_95, converted_stat * 3, IF(bbgm_stat &gt;= perc_90, converted_stat * 2, IF(bbgm_stat &gt;= perc_85, converted_stat * 1.5, converted_stat)))))</f>
        <v/>
      </c>
      <c r="C408" s="30" t="str">
        <f t="array" ref="C408">IF($A408="", "", LET(bbgm_stat, INDEX(Players!$A407:$P407, MATCH(C$2, Players!$A$1:$P$1, 0)), perc_75, VLOOKUP(C$2, Percentiles!$A$45:$I$59, 6, FALSE), perc_90, VLOOKUP(C$2, Percentiles!$A$45:$I$59, 7, FALSE), perc_95, VLOOKUP(C$2, Percentiles!$A$45:$I$59, 8, FALSE), perc_85, perc_75 + (perc_90 - perc_75) * (2/3), converted_stat, '2K_Ratings'!C408, IF(bbgm_stat &gt;= perc_95, converted_stat * 3, IF(bbgm_stat &gt;= perc_90, converted_stat * 2, IF(bbgm_stat &gt;= perc_85, converted_stat * 1.5, converted_stat)))))</f>
        <v/>
      </c>
      <c r="D408" s="30" t="str">
        <f t="array" ref="D408">IF($A408="", "", LET(bbgm_stat, INDEX(Players!$A407:$P407, MATCH(D$2, Players!$A$1:$P$1, 0)), perc_75, VLOOKUP(D$2, Percentiles!$A$45:$I$59, 6, FALSE), perc_90, VLOOKUP(D$2, Percentiles!$A$45:$I$59, 7, FALSE), perc_95, VLOOKUP(D$2, Percentiles!$A$45:$I$59, 8, FALSE), perc_85, perc_75 + (perc_90 - perc_75) * (2/3), converted_stat, '2K_Ratings'!D408, IF(bbgm_stat &gt;= perc_95, converted_stat * 3, IF(bbgm_stat &gt;= perc_90, converted_stat * 2, IF(bbgm_stat &gt;= perc_85, converted_stat * 1.5, converted_stat)))))</f>
        <v/>
      </c>
      <c r="E408" s="30" t="str">
        <f t="array" ref="E408">IF($A408="", "", LET(bbgm_stat, INDEX(Players!$A407:$P407, MATCH(E$2, Players!$A$1:$P$1, 0)), perc_75, VLOOKUP(E$2, Percentiles!$A$45:$I$59, 6, FALSE), perc_90, VLOOKUP(E$2, Percentiles!$A$45:$I$59, 7, FALSE), perc_95, VLOOKUP(E$2, Percentiles!$A$45:$I$59, 8, FALSE), perc_85, perc_75 + (perc_90 - perc_75) * (2/3), converted_stat, '2K_Ratings'!E408, IF(bbgm_stat &gt;= perc_95, converted_stat * 3, IF(bbgm_stat &gt;= perc_90, converted_stat * 2, IF(bbgm_stat &gt;= perc_85, converted_stat * 1.5, converted_stat)))))</f>
        <v/>
      </c>
      <c r="F408" s="30" t="str">
        <f t="array" ref="F408">IF($A408="", "", LET(bbgm_stat, INDEX(Players!$A407:$P407, MATCH(F$2, Players!$A$1:$P$1, 0)), perc_75, VLOOKUP(F$2, Percentiles!$A$45:$I$59, 6, FALSE), perc_90, VLOOKUP(F$2, Percentiles!$A$45:$I$59, 7, FALSE), perc_95, VLOOKUP(F$2, Percentiles!$A$45:$I$59, 8, FALSE), perc_85, perc_75 + (perc_90 - perc_75) * (2/3), converted_stat, '2K_Ratings'!F408, IF(bbgm_stat &gt;= perc_95, converted_stat * 3, IF(bbgm_stat &gt;= perc_90, converted_stat * 2, IF(bbgm_stat &gt;= perc_85, converted_stat * 1.5, converted_stat)))))</f>
        <v/>
      </c>
      <c r="G408" s="30" t="str">
        <f t="array" ref="G408">IF($A408="", "", LET(bbgm_stat, INDEX(Players!$A407:$P407, MATCH(G$2, Players!$A$1:$P$1, 0)), perc_75, VLOOKUP(G$2, Percentiles!$A$45:$I$59, 6, FALSE), perc_90, VLOOKUP(G$2, Percentiles!$A$45:$I$59, 7, FALSE), perc_95, VLOOKUP(G$2, Percentiles!$A$45:$I$59, 8, FALSE), perc_85, perc_75 + (perc_90 - perc_75) * (2/3), converted_stat, '2K_Ratings'!G408, IF(bbgm_stat &gt;= perc_95, converted_stat * 3, IF(bbgm_stat &gt;= perc_90, converted_stat * 2, IF(bbgm_stat &gt;= perc_85, converted_stat * 1.5, converted_stat)))))</f>
        <v/>
      </c>
      <c r="H408" s="30" t="str">
        <f t="array" ref="H408">IF($A408="", "", LET(bbgm_stat, INDEX(Players!$A407:$P407, MATCH(H$2, Players!$A$1:$P$1, 0)), perc_75, VLOOKUP(H$2, Percentiles!$A$45:$I$59, 6, FALSE), perc_90, VLOOKUP(H$2, Percentiles!$A$45:$I$59, 7, FALSE), perc_95, VLOOKUP(H$2, Percentiles!$A$45:$I$59, 8, FALSE), perc_85, perc_75 + (perc_90 - perc_75) * (2/3), converted_stat, '2K_Ratings'!H408, IF(bbgm_stat &gt;= perc_95, converted_stat * 3, IF(bbgm_stat &gt;= perc_90, converted_stat * 2, IF(bbgm_stat &gt;= perc_85, converted_stat * 1.5, converted_stat)))))</f>
        <v/>
      </c>
      <c r="I408" s="30" t="str">
        <f t="array" ref="I408">IF($A408="", "", LET(bbgm_stat, INDEX(Players!$A407:$P407, MATCH(I$2, Players!$A$1:$P$1, 0)), perc_75, VLOOKUP(I$2, Percentiles!$A$45:$I$59, 6, FALSE), perc_90, VLOOKUP(I$2, Percentiles!$A$45:$I$59, 7, FALSE), perc_95, VLOOKUP(I$2, Percentiles!$A$45:$I$59, 8, FALSE), perc_85, perc_75 + (perc_90 - perc_75) * (2/3), converted_stat, '2K_Ratings'!I408, IF(bbgm_stat &gt;= perc_95, converted_stat * 3, IF(bbgm_stat &gt;= perc_90, converted_stat * 2, IF(bbgm_stat &gt;= perc_85, converted_stat * 1.5, converted_stat)))))</f>
        <v/>
      </c>
      <c r="J408" s="30" t="str">
        <f t="array" ref="J408">IF($A408="", "", LET(bbgm_stat, INDEX(Players!$A407:$P407, MATCH(J$2, Players!$A$1:$P$1, 0)), perc_75, VLOOKUP(J$2, Percentiles!$A$45:$I$59, 6, FALSE), perc_90, VLOOKUP(J$2, Percentiles!$A$45:$I$59, 7, FALSE), perc_95, VLOOKUP(J$2, Percentiles!$A$45:$I$59, 8, FALSE), perc_85, perc_75 + (perc_90 - perc_75) * (2/3), converted_stat, '2K_Ratings'!J408, IF(bbgm_stat &gt;= perc_95, converted_stat * 3, IF(bbgm_stat &gt;= perc_90, converted_stat * 2, IF(bbgm_stat &gt;= perc_85, converted_stat * 1.5, converted_stat)))))</f>
        <v/>
      </c>
      <c r="K408" s="30" t="str">
        <f t="array" ref="K408">IF($A408="", "", LET(bbgm_stat, INDEX(Players!$A407:$P407, MATCH(K$2, Players!$A$1:$P$1, 0)), perc_75, VLOOKUP(K$2, Percentiles!$A$45:$I$59, 6, FALSE), perc_90, VLOOKUP(K$2, Percentiles!$A$45:$I$59, 7, FALSE), perc_95, VLOOKUP(K$2, Percentiles!$A$45:$I$59, 8, FALSE), perc_85, perc_75 + (perc_90 - perc_75) * (2/3), converted_stat, '2K_Ratings'!K408, IF(bbgm_stat &gt;= perc_95, converted_stat * 3, IF(bbgm_stat &gt;= perc_90, converted_stat * 2, IF(bbgm_stat &gt;= perc_85, converted_stat * 1.5, converted_stat)))))</f>
        <v/>
      </c>
      <c r="L408" s="30" t="str">
        <f t="array" ref="L408">IF($A408="", "", LET(bbgm_stat, INDEX(Players!$A407:$P407, MATCH(L$2, Players!$A$1:$P$1, 0)), perc_75, VLOOKUP(L$2, Percentiles!$A$45:$I$59, 6, FALSE), perc_90, VLOOKUP(L$2, Percentiles!$A$45:$I$59, 7, FALSE), perc_95, VLOOKUP(L$2, Percentiles!$A$45:$I$59, 8, FALSE), perc_85, perc_75 + (perc_90 - perc_75) * (2/3), converted_stat, '2K_Ratings'!L408, IF(bbgm_stat &gt;= perc_95, converted_stat * 3, IF(bbgm_stat &gt;= perc_90, converted_stat * 2, IF(bbgm_stat &gt;= perc_85, converted_stat * 1.5, converted_stat)))))</f>
        <v/>
      </c>
      <c r="M408" s="30" t="str">
        <f t="array" ref="M408">IF($A408="", "", LET(bbgm_stat, INDEX(Players!$A407:$P407, MATCH(M$2, Players!$A$1:$P$1, 0)), perc_75, VLOOKUP(M$2, Percentiles!$A$45:$I$59, 6, FALSE), perc_90, VLOOKUP(M$2, Percentiles!$A$45:$I$59, 7, FALSE), perc_95, VLOOKUP(M$2, Percentiles!$A$45:$I$59, 8, FALSE), perc_85, perc_75 + (perc_90 - perc_75) * (2/3), converted_stat, '2K_Ratings'!M408, IF(bbgm_stat &gt;= perc_95, converted_stat * 3, IF(bbgm_stat &gt;= perc_90, converted_stat * 2, IF(bbgm_stat &gt;= perc_85, converted_stat * 1.5, converted_stat)))))</f>
        <v/>
      </c>
      <c r="N408" s="30" t="str">
        <f t="array" ref="N408">IF($A408="", "", LET(bbgm_stat, INDEX(Players!$A407:$P407, MATCH(N$2, Players!$A$1:$P$1, 0)), perc_75, VLOOKUP(N$2, Percentiles!$A$45:$I$59, 6, FALSE), perc_90, VLOOKUP(N$2, Percentiles!$A$45:$I$59, 7, FALSE), perc_95, VLOOKUP(N$2, Percentiles!$A$45:$I$59, 8, FALSE), perc_85, perc_75 + (perc_90 - perc_75) * (2/3), converted_stat, '2K_Ratings'!N408, IF(bbgm_stat &gt;= perc_95, converted_stat * 3, IF(bbgm_stat &gt;= perc_90, converted_stat * 2, IF(bbgm_stat &gt;= perc_85, converted_stat * 1.5, converted_stat)))))</f>
        <v/>
      </c>
      <c r="O408" s="30" t="str">
        <f t="array" ref="O408">IF($A408="", "", LET(bbgm_stat, INDEX(Players!$A407:$P407, MATCH(O$2, Players!$A$1:$P$1, 0)), perc_75, VLOOKUP(O$2, Percentiles!$A$45:$I$59, 6, FALSE), perc_90, VLOOKUP(O$2, Percentiles!$A$45:$I$59, 7, FALSE), perc_95, VLOOKUP(O$2, Percentiles!$A$45:$I$59, 8, FALSE), perc_85, perc_75 + (perc_90 - perc_75) * (2/3), converted_stat, '2K_Ratings'!O408, IF(bbgm_stat &gt;= perc_95, converted_stat * 3, IF(bbgm_stat &gt;= perc_90, converted_stat * 2, IF(bbgm_stat &gt;= perc_85, converted_stat * 1.5, converted_stat)))))</f>
        <v/>
      </c>
      <c r="P408" s="30" t="str">
        <f t="array" ref="P408">IF($A408="", "", LET(bbgm_stat, INDEX(Players!$A407:$P407, MATCH(P$2, Players!$A$1:$P$1, 0)), perc_75, VLOOKUP(P$2, Percentiles!$A$45:$I$59, 6, FALSE), perc_90, VLOOKUP(P$2, Percentiles!$A$45:$I$59, 7, FALSE), perc_95, VLOOKUP(P$2, Percentiles!$A$45:$I$59, 8, FALSE), perc_85, perc_75 + (perc_90 - perc_75) * (2/3), converted_stat, '2K_Ratings'!P408, IF(bbgm_stat &gt;= perc_95, converted_stat * 3, IF(bbgm_stat &gt;= perc_90, converted_stat * 2, IF(bbgm_stat &gt;= perc_85, converted_stat * 1.5, converted_stat)))))</f>
        <v/>
      </c>
      <c r="Q408" s="30" t="str">
        <f t="array" ref="Q408">IF($A408="", "", LET(bbgm_stat, INDEX(Players!$A407:$P407, MATCH(Q$2, Players!$A$1:$P$1, 0)), perc_75, VLOOKUP(Q$2, Percentiles!$A$45:$I$59, 6, FALSE), perc_90, VLOOKUP(Q$2, Percentiles!$A$45:$I$59, 7, FALSE), perc_95, VLOOKUP(Q$2, Percentiles!$A$45:$I$59, 8, FALSE), perc_85, perc_75 + (perc_90 - perc_75) * (2/3), converted_stat, '2K_Ratings'!Q408, IF(bbgm_stat &gt;= perc_95, converted_stat * 3, IF(bbgm_stat &gt;= perc_90, converted_stat * 2, IF(bbgm_stat &gt;= perc_85, converted_stat * 1.5, converted_stat)))))</f>
        <v/>
      </c>
      <c r="R408" s="30" t="str">
        <f t="array" ref="R408">IF($A408="", "", LET(bbgm_stat, INDEX(Players!$A407:$P407, MATCH(R$2, Players!$A$1:$P$1, 0)), perc_75, VLOOKUP(R$2, Percentiles!$A$45:$I$59, 6, FALSE), perc_90, VLOOKUP(R$2, Percentiles!$A$45:$I$59, 7, FALSE), perc_95, VLOOKUP(R$2, Percentiles!$A$45:$I$59, 8, FALSE), perc_85, perc_75 + (perc_90 - perc_75) * (2/3), converted_stat, '2K_Ratings'!R408, IF(bbgm_stat &gt;= perc_95, converted_stat * 3, IF(bbgm_stat &gt;= perc_90, converted_stat * 2, IF(bbgm_stat &gt;= perc_85, converted_stat * 1.5, converted_stat)))))</f>
        <v/>
      </c>
      <c r="S408" s="30" t="str">
        <f t="array" ref="S408">IF($A408="", "", LET(bbgm_stat, INDEX(Players!$A407:$P407, MATCH(S$2, Players!$A$1:$P$1, 0)), perc_75, VLOOKUP(S$2, Percentiles!$A$45:$I$59, 6, FALSE), perc_90, VLOOKUP(S$2, Percentiles!$A$45:$I$59, 7, FALSE), perc_95, VLOOKUP(S$2, Percentiles!$A$45:$I$59, 8, FALSE), perc_85, perc_75 + (perc_90 - perc_75) * (2/3), converted_stat, '2K_Ratings'!S408, IF(bbgm_stat &gt;= perc_95, converted_stat * 3, IF(bbgm_stat &gt;= perc_90, converted_stat * 2, IF(bbgm_stat &gt;= perc_85, converted_stat * 1.5, converted_stat)))))</f>
        <v/>
      </c>
      <c r="T408" s="30" t="str">
        <f t="array" ref="T408">IF($A408="", "", LET(bbgm_stat, INDEX(Players!$A407:$P407, MATCH(T$2, Players!$A$1:$P$1, 0)), perc_75, VLOOKUP(T$2, Percentiles!$A$45:$I$59, 6, FALSE), perc_90, VLOOKUP(T$2, Percentiles!$A$45:$I$59, 7, FALSE), perc_95, VLOOKUP(T$2, Percentiles!$A$45:$I$59, 8, FALSE), perc_85, perc_75 + (perc_90 - perc_75) * (2/3), converted_stat, '2K_Ratings'!T408, IF(bbgm_stat &gt;= perc_95, converted_stat * 3, IF(bbgm_stat &gt;= perc_90, converted_stat * 2, IF(bbgm_stat &gt;= perc_85, converted_stat * 1.5, converted_stat)))))</f>
        <v/>
      </c>
      <c r="U408" s="30" t="str">
        <f t="array" ref="U408">IF($A408="", "", LET(bbgm_stat, INDEX(Players!$A407:$P407, MATCH(U$2, Players!$A$1:$P$1, 0)), perc_75, VLOOKUP(U$2, Percentiles!$A$45:$I$59, 6, FALSE), perc_90, VLOOKUP(U$2, Percentiles!$A$45:$I$59, 7, FALSE), perc_95, VLOOKUP(U$2, Percentiles!$A$45:$I$59, 8, FALSE), perc_85, perc_75 + (perc_90 - perc_75) * (2/3), converted_stat, '2K_Ratings'!U408, IF(bbgm_stat &gt;= perc_95, converted_stat * 3, IF(bbgm_stat &gt;= perc_90, converted_stat * 2, IF(bbgm_stat &gt;= perc_85, converted_stat * 1.5, converted_stat)))))</f>
        <v/>
      </c>
      <c r="V408" s="30" t="str">
        <f t="array" ref="V408">IF($A408="", "", LET(bbgm_stat, INDEX(Players!$A407:$P407, MATCH(V$2, Players!$A$1:$P$1, 0)), perc_75, VLOOKUP(V$2, Percentiles!$A$45:$I$59, 6, FALSE), perc_90, VLOOKUP(V$2, Percentiles!$A$45:$I$59, 7, FALSE), perc_95, VLOOKUP(V$2, Percentiles!$A$45:$I$59, 8, FALSE), perc_85, perc_75 + (perc_90 - perc_75) * (2/3), converted_stat, '2K_Ratings'!V408, IF(bbgm_stat &gt;= perc_95, converted_stat * 3, IF(bbgm_stat &gt;= perc_90, converted_stat * 2, IF(bbgm_stat &gt;= perc_85, converted_stat * 1.5, converted_stat)))))</f>
        <v/>
      </c>
      <c r="W408" s="30" t="str">
        <f t="array" ref="W408">IF($A408="", "", LET(bbgm_stat, INDEX(Players!$A407:$P407, MATCH(W$2, Players!$A$1:$P$1, 0)), perc_75, VLOOKUP(W$2, Percentiles!$A$45:$I$59, 6, FALSE), perc_90, VLOOKUP(W$2, Percentiles!$A$45:$I$59, 7, FALSE), perc_95, VLOOKUP(W$2, Percentiles!$A$45:$I$59, 8, FALSE), perc_85, perc_75 + (perc_90 - perc_75) * (2/3), converted_stat, '2K_Ratings'!W408, IF(bbgm_stat &gt;= perc_95, converted_stat * 3, IF(bbgm_stat &gt;= perc_90, converted_stat * 2, IF(bbgm_stat &gt;= perc_85, converted_stat * 1.5, converted_stat)))))</f>
        <v/>
      </c>
    </row>
    <row r="409">
      <c r="A409" s="30"/>
      <c r="B409" s="30" t="str">
        <f t="array" ref="B409">IF($A409="", "", LET(bbgm_stat, INDEX(Players!$A408:$P408, MATCH(B$2, Players!$A$1:$P$1, 0)), perc_75, VLOOKUP(B$2, Percentiles!$A$45:$I$59, 6, FALSE), perc_90, VLOOKUP(B$2, Percentiles!$A$45:$I$59, 7, FALSE), perc_95, VLOOKUP(B$2, Percentiles!$A$45:$I$59, 8, FALSE), perc_85, perc_75 + (perc_90 - perc_75) * (2/3), converted_stat, '2K_Ratings'!B409, IF(bbgm_stat &gt;= perc_95, converted_stat * 3, IF(bbgm_stat &gt;= perc_90, converted_stat * 2, IF(bbgm_stat &gt;= perc_85, converted_stat * 1.5, converted_stat)))))</f>
        <v/>
      </c>
      <c r="C409" s="30" t="str">
        <f t="array" ref="C409">IF($A409="", "", LET(bbgm_stat, INDEX(Players!$A408:$P408, MATCH(C$2, Players!$A$1:$P$1, 0)), perc_75, VLOOKUP(C$2, Percentiles!$A$45:$I$59, 6, FALSE), perc_90, VLOOKUP(C$2, Percentiles!$A$45:$I$59, 7, FALSE), perc_95, VLOOKUP(C$2, Percentiles!$A$45:$I$59, 8, FALSE), perc_85, perc_75 + (perc_90 - perc_75) * (2/3), converted_stat, '2K_Ratings'!C409, IF(bbgm_stat &gt;= perc_95, converted_stat * 3, IF(bbgm_stat &gt;= perc_90, converted_stat * 2, IF(bbgm_stat &gt;= perc_85, converted_stat * 1.5, converted_stat)))))</f>
        <v/>
      </c>
      <c r="D409" s="30" t="str">
        <f t="array" ref="D409">IF($A409="", "", LET(bbgm_stat, INDEX(Players!$A408:$P408, MATCH(D$2, Players!$A$1:$P$1, 0)), perc_75, VLOOKUP(D$2, Percentiles!$A$45:$I$59, 6, FALSE), perc_90, VLOOKUP(D$2, Percentiles!$A$45:$I$59, 7, FALSE), perc_95, VLOOKUP(D$2, Percentiles!$A$45:$I$59, 8, FALSE), perc_85, perc_75 + (perc_90 - perc_75) * (2/3), converted_stat, '2K_Ratings'!D409, IF(bbgm_stat &gt;= perc_95, converted_stat * 3, IF(bbgm_stat &gt;= perc_90, converted_stat * 2, IF(bbgm_stat &gt;= perc_85, converted_stat * 1.5, converted_stat)))))</f>
        <v/>
      </c>
      <c r="E409" s="30" t="str">
        <f t="array" ref="E409">IF($A409="", "", LET(bbgm_stat, INDEX(Players!$A408:$P408, MATCH(E$2, Players!$A$1:$P$1, 0)), perc_75, VLOOKUP(E$2, Percentiles!$A$45:$I$59, 6, FALSE), perc_90, VLOOKUP(E$2, Percentiles!$A$45:$I$59, 7, FALSE), perc_95, VLOOKUP(E$2, Percentiles!$A$45:$I$59, 8, FALSE), perc_85, perc_75 + (perc_90 - perc_75) * (2/3), converted_stat, '2K_Ratings'!E409, IF(bbgm_stat &gt;= perc_95, converted_stat * 3, IF(bbgm_stat &gt;= perc_90, converted_stat * 2, IF(bbgm_stat &gt;= perc_85, converted_stat * 1.5, converted_stat)))))</f>
        <v/>
      </c>
      <c r="F409" s="30" t="str">
        <f t="array" ref="F409">IF($A409="", "", LET(bbgm_stat, INDEX(Players!$A408:$P408, MATCH(F$2, Players!$A$1:$P$1, 0)), perc_75, VLOOKUP(F$2, Percentiles!$A$45:$I$59, 6, FALSE), perc_90, VLOOKUP(F$2, Percentiles!$A$45:$I$59, 7, FALSE), perc_95, VLOOKUP(F$2, Percentiles!$A$45:$I$59, 8, FALSE), perc_85, perc_75 + (perc_90 - perc_75) * (2/3), converted_stat, '2K_Ratings'!F409, IF(bbgm_stat &gt;= perc_95, converted_stat * 3, IF(bbgm_stat &gt;= perc_90, converted_stat * 2, IF(bbgm_stat &gt;= perc_85, converted_stat * 1.5, converted_stat)))))</f>
        <v/>
      </c>
      <c r="G409" s="30" t="str">
        <f t="array" ref="G409">IF($A409="", "", LET(bbgm_stat, INDEX(Players!$A408:$P408, MATCH(G$2, Players!$A$1:$P$1, 0)), perc_75, VLOOKUP(G$2, Percentiles!$A$45:$I$59, 6, FALSE), perc_90, VLOOKUP(G$2, Percentiles!$A$45:$I$59, 7, FALSE), perc_95, VLOOKUP(G$2, Percentiles!$A$45:$I$59, 8, FALSE), perc_85, perc_75 + (perc_90 - perc_75) * (2/3), converted_stat, '2K_Ratings'!G409, IF(bbgm_stat &gt;= perc_95, converted_stat * 3, IF(bbgm_stat &gt;= perc_90, converted_stat * 2, IF(bbgm_stat &gt;= perc_85, converted_stat * 1.5, converted_stat)))))</f>
        <v/>
      </c>
      <c r="H409" s="30" t="str">
        <f t="array" ref="H409">IF($A409="", "", LET(bbgm_stat, INDEX(Players!$A408:$P408, MATCH(H$2, Players!$A$1:$P$1, 0)), perc_75, VLOOKUP(H$2, Percentiles!$A$45:$I$59, 6, FALSE), perc_90, VLOOKUP(H$2, Percentiles!$A$45:$I$59, 7, FALSE), perc_95, VLOOKUP(H$2, Percentiles!$A$45:$I$59, 8, FALSE), perc_85, perc_75 + (perc_90 - perc_75) * (2/3), converted_stat, '2K_Ratings'!H409, IF(bbgm_stat &gt;= perc_95, converted_stat * 3, IF(bbgm_stat &gt;= perc_90, converted_stat * 2, IF(bbgm_stat &gt;= perc_85, converted_stat * 1.5, converted_stat)))))</f>
        <v/>
      </c>
      <c r="I409" s="30" t="str">
        <f t="array" ref="I409">IF($A409="", "", LET(bbgm_stat, INDEX(Players!$A408:$P408, MATCH(I$2, Players!$A$1:$P$1, 0)), perc_75, VLOOKUP(I$2, Percentiles!$A$45:$I$59, 6, FALSE), perc_90, VLOOKUP(I$2, Percentiles!$A$45:$I$59, 7, FALSE), perc_95, VLOOKUP(I$2, Percentiles!$A$45:$I$59, 8, FALSE), perc_85, perc_75 + (perc_90 - perc_75) * (2/3), converted_stat, '2K_Ratings'!I409, IF(bbgm_stat &gt;= perc_95, converted_stat * 3, IF(bbgm_stat &gt;= perc_90, converted_stat * 2, IF(bbgm_stat &gt;= perc_85, converted_stat * 1.5, converted_stat)))))</f>
        <v/>
      </c>
      <c r="J409" s="30" t="str">
        <f t="array" ref="J409">IF($A409="", "", LET(bbgm_stat, INDEX(Players!$A408:$P408, MATCH(J$2, Players!$A$1:$P$1, 0)), perc_75, VLOOKUP(J$2, Percentiles!$A$45:$I$59, 6, FALSE), perc_90, VLOOKUP(J$2, Percentiles!$A$45:$I$59, 7, FALSE), perc_95, VLOOKUP(J$2, Percentiles!$A$45:$I$59, 8, FALSE), perc_85, perc_75 + (perc_90 - perc_75) * (2/3), converted_stat, '2K_Ratings'!J409, IF(bbgm_stat &gt;= perc_95, converted_stat * 3, IF(bbgm_stat &gt;= perc_90, converted_stat * 2, IF(bbgm_stat &gt;= perc_85, converted_stat * 1.5, converted_stat)))))</f>
        <v/>
      </c>
      <c r="K409" s="30" t="str">
        <f t="array" ref="K409">IF($A409="", "", LET(bbgm_stat, INDEX(Players!$A408:$P408, MATCH(K$2, Players!$A$1:$P$1, 0)), perc_75, VLOOKUP(K$2, Percentiles!$A$45:$I$59, 6, FALSE), perc_90, VLOOKUP(K$2, Percentiles!$A$45:$I$59, 7, FALSE), perc_95, VLOOKUP(K$2, Percentiles!$A$45:$I$59, 8, FALSE), perc_85, perc_75 + (perc_90 - perc_75) * (2/3), converted_stat, '2K_Ratings'!K409, IF(bbgm_stat &gt;= perc_95, converted_stat * 3, IF(bbgm_stat &gt;= perc_90, converted_stat * 2, IF(bbgm_stat &gt;= perc_85, converted_stat * 1.5, converted_stat)))))</f>
        <v/>
      </c>
      <c r="L409" s="30" t="str">
        <f t="array" ref="L409">IF($A409="", "", LET(bbgm_stat, INDEX(Players!$A408:$P408, MATCH(L$2, Players!$A$1:$P$1, 0)), perc_75, VLOOKUP(L$2, Percentiles!$A$45:$I$59, 6, FALSE), perc_90, VLOOKUP(L$2, Percentiles!$A$45:$I$59, 7, FALSE), perc_95, VLOOKUP(L$2, Percentiles!$A$45:$I$59, 8, FALSE), perc_85, perc_75 + (perc_90 - perc_75) * (2/3), converted_stat, '2K_Ratings'!L409, IF(bbgm_stat &gt;= perc_95, converted_stat * 3, IF(bbgm_stat &gt;= perc_90, converted_stat * 2, IF(bbgm_stat &gt;= perc_85, converted_stat * 1.5, converted_stat)))))</f>
        <v/>
      </c>
      <c r="M409" s="30" t="str">
        <f t="array" ref="M409">IF($A409="", "", LET(bbgm_stat, INDEX(Players!$A408:$P408, MATCH(M$2, Players!$A$1:$P$1, 0)), perc_75, VLOOKUP(M$2, Percentiles!$A$45:$I$59, 6, FALSE), perc_90, VLOOKUP(M$2, Percentiles!$A$45:$I$59, 7, FALSE), perc_95, VLOOKUP(M$2, Percentiles!$A$45:$I$59, 8, FALSE), perc_85, perc_75 + (perc_90 - perc_75) * (2/3), converted_stat, '2K_Ratings'!M409, IF(bbgm_stat &gt;= perc_95, converted_stat * 3, IF(bbgm_stat &gt;= perc_90, converted_stat * 2, IF(bbgm_stat &gt;= perc_85, converted_stat * 1.5, converted_stat)))))</f>
        <v/>
      </c>
      <c r="N409" s="30" t="str">
        <f t="array" ref="N409">IF($A409="", "", LET(bbgm_stat, INDEX(Players!$A408:$P408, MATCH(N$2, Players!$A$1:$P$1, 0)), perc_75, VLOOKUP(N$2, Percentiles!$A$45:$I$59, 6, FALSE), perc_90, VLOOKUP(N$2, Percentiles!$A$45:$I$59, 7, FALSE), perc_95, VLOOKUP(N$2, Percentiles!$A$45:$I$59, 8, FALSE), perc_85, perc_75 + (perc_90 - perc_75) * (2/3), converted_stat, '2K_Ratings'!N409, IF(bbgm_stat &gt;= perc_95, converted_stat * 3, IF(bbgm_stat &gt;= perc_90, converted_stat * 2, IF(bbgm_stat &gt;= perc_85, converted_stat * 1.5, converted_stat)))))</f>
        <v/>
      </c>
      <c r="O409" s="30" t="str">
        <f t="array" ref="O409">IF($A409="", "", LET(bbgm_stat, INDEX(Players!$A408:$P408, MATCH(O$2, Players!$A$1:$P$1, 0)), perc_75, VLOOKUP(O$2, Percentiles!$A$45:$I$59, 6, FALSE), perc_90, VLOOKUP(O$2, Percentiles!$A$45:$I$59, 7, FALSE), perc_95, VLOOKUP(O$2, Percentiles!$A$45:$I$59, 8, FALSE), perc_85, perc_75 + (perc_90 - perc_75) * (2/3), converted_stat, '2K_Ratings'!O409, IF(bbgm_stat &gt;= perc_95, converted_stat * 3, IF(bbgm_stat &gt;= perc_90, converted_stat * 2, IF(bbgm_stat &gt;= perc_85, converted_stat * 1.5, converted_stat)))))</f>
        <v/>
      </c>
      <c r="P409" s="30" t="str">
        <f t="array" ref="P409">IF($A409="", "", LET(bbgm_stat, INDEX(Players!$A408:$P408, MATCH(P$2, Players!$A$1:$P$1, 0)), perc_75, VLOOKUP(P$2, Percentiles!$A$45:$I$59, 6, FALSE), perc_90, VLOOKUP(P$2, Percentiles!$A$45:$I$59, 7, FALSE), perc_95, VLOOKUP(P$2, Percentiles!$A$45:$I$59, 8, FALSE), perc_85, perc_75 + (perc_90 - perc_75) * (2/3), converted_stat, '2K_Ratings'!P409, IF(bbgm_stat &gt;= perc_95, converted_stat * 3, IF(bbgm_stat &gt;= perc_90, converted_stat * 2, IF(bbgm_stat &gt;= perc_85, converted_stat * 1.5, converted_stat)))))</f>
        <v/>
      </c>
      <c r="Q409" s="30" t="str">
        <f t="array" ref="Q409">IF($A409="", "", LET(bbgm_stat, INDEX(Players!$A408:$P408, MATCH(Q$2, Players!$A$1:$P$1, 0)), perc_75, VLOOKUP(Q$2, Percentiles!$A$45:$I$59, 6, FALSE), perc_90, VLOOKUP(Q$2, Percentiles!$A$45:$I$59, 7, FALSE), perc_95, VLOOKUP(Q$2, Percentiles!$A$45:$I$59, 8, FALSE), perc_85, perc_75 + (perc_90 - perc_75) * (2/3), converted_stat, '2K_Ratings'!Q409, IF(bbgm_stat &gt;= perc_95, converted_stat * 3, IF(bbgm_stat &gt;= perc_90, converted_stat * 2, IF(bbgm_stat &gt;= perc_85, converted_stat * 1.5, converted_stat)))))</f>
        <v/>
      </c>
      <c r="R409" s="30" t="str">
        <f t="array" ref="R409">IF($A409="", "", LET(bbgm_stat, INDEX(Players!$A408:$P408, MATCH(R$2, Players!$A$1:$P$1, 0)), perc_75, VLOOKUP(R$2, Percentiles!$A$45:$I$59, 6, FALSE), perc_90, VLOOKUP(R$2, Percentiles!$A$45:$I$59, 7, FALSE), perc_95, VLOOKUP(R$2, Percentiles!$A$45:$I$59, 8, FALSE), perc_85, perc_75 + (perc_90 - perc_75) * (2/3), converted_stat, '2K_Ratings'!R409, IF(bbgm_stat &gt;= perc_95, converted_stat * 3, IF(bbgm_stat &gt;= perc_90, converted_stat * 2, IF(bbgm_stat &gt;= perc_85, converted_stat * 1.5, converted_stat)))))</f>
        <v/>
      </c>
      <c r="S409" s="30" t="str">
        <f t="array" ref="S409">IF($A409="", "", LET(bbgm_stat, INDEX(Players!$A408:$P408, MATCH(S$2, Players!$A$1:$P$1, 0)), perc_75, VLOOKUP(S$2, Percentiles!$A$45:$I$59, 6, FALSE), perc_90, VLOOKUP(S$2, Percentiles!$A$45:$I$59, 7, FALSE), perc_95, VLOOKUP(S$2, Percentiles!$A$45:$I$59, 8, FALSE), perc_85, perc_75 + (perc_90 - perc_75) * (2/3), converted_stat, '2K_Ratings'!S409, IF(bbgm_stat &gt;= perc_95, converted_stat * 3, IF(bbgm_stat &gt;= perc_90, converted_stat * 2, IF(bbgm_stat &gt;= perc_85, converted_stat * 1.5, converted_stat)))))</f>
        <v/>
      </c>
      <c r="T409" s="30" t="str">
        <f t="array" ref="T409">IF($A409="", "", LET(bbgm_stat, INDEX(Players!$A408:$P408, MATCH(T$2, Players!$A$1:$P$1, 0)), perc_75, VLOOKUP(T$2, Percentiles!$A$45:$I$59, 6, FALSE), perc_90, VLOOKUP(T$2, Percentiles!$A$45:$I$59, 7, FALSE), perc_95, VLOOKUP(T$2, Percentiles!$A$45:$I$59, 8, FALSE), perc_85, perc_75 + (perc_90 - perc_75) * (2/3), converted_stat, '2K_Ratings'!T409, IF(bbgm_stat &gt;= perc_95, converted_stat * 3, IF(bbgm_stat &gt;= perc_90, converted_stat * 2, IF(bbgm_stat &gt;= perc_85, converted_stat * 1.5, converted_stat)))))</f>
        <v/>
      </c>
      <c r="U409" s="30" t="str">
        <f t="array" ref="U409">IF($A409="", "", LET(bbgm_stat, INDEX(Players!$A408:$P408, MATCH(U$2, Players!$A$1:$P$1, 0)), perc_75, VLOOKUP(U$2, Percentiles!$A$45:$I$59, 6, FALSE), perc_90, VLOOKUP(U$2, Percentiles!$A$45:$I$59, 7, FALSE), perc_95, VLOOKUP(U$2, Percentiles!$A$45:$I$59, 8, FALSE), perc_85, perc_75 + (perc_90 - perc_75) * (2/3), converted_stat, '2K_Ratings'!U409, IF(bbgm_stat &gt;= perc_95, converted_stat * 3, IF(bbgm_stat &gt;= perc_90, converted_stat * 2, IF(bbgm_stat &gt;= perc_85, converted_stat * 1.5, converted_stat)))))</f>
        <v/>
      </c>
      <c r="V409" s="30" t="str">
        <f t="array" ref="V409">IF($A409="", "", LET(bbgm_stat, INDEX(Players!$A408:$P408, MATCH(V$2, Players!$A$1:$P$1, 0)), perc_75, VLOOKUP(V$2, Percentiles!$A$45:$I$59, 6, FALSE), perc_90, VLOOKUP(V$2, Percentiles!$A$45:$I$59, 7, FALSE), perc_95, VLOOKUP(V$2, Percentiles!$A$45:$I$59, 8, FALSE), perc_85, perc_75 + (perc_90 - perc_75) * (2/3), converted_stat, '2K_Ratings'!V409, IF(bbgm_stat &gt;= perc_95, converted_stat * 3, IF(bbgm_stat &gt;= perc_90, converted_stat * 2, IF(bbgm_stat &gt;= perc_85, converted_stat * 1.5, converted_stat)))))</f>
        <v/>
      </c>
      <c r="W409" s="30" t="str">
        <f t="array" ref="W409">IF($A409="", "", LET(bbgm_stat, INDEX(Players!$A408:$P408, MATCH(W$2, Players!$A$1:$P$1, 0)), perc_75, VLOOKUP(W$2, Percentiles!$A$45:$I$59, 6, FALSE), perc_90, VLOOKUP(W$2, Percentiles!$A$45:$I$59, 7, FALSE), perc_95, VLOOKUP(W$2, Percentiles!$A$45:$I$59, 8, FALSE), perc_85, perc_75 + (perc_90 - perc_75) * (2/3), converted_stat, '2K_Ratings'!W409, IF(bbgm_stat &gt;= perc_95, converted_stat * 3, IF(bbgm_stat &gt;= perc_90, converted_stat * 2, IF(bbgm_stat &gt;= perc_85, converted_stat * 1.5, converted_stat)))))</f>
        <v/>
      </c>
    </row>
    <row r="410">
      <c r="A410" s="30"/>
      <c r="B410" s="30" t="str">
        <f t="array" ref="B410">IF($A410="", "", LET(bbgm_stat, INDEX(Players!$A409:$P409, MATCH(B$2, Players!$A$1:$P$1, 0)), perc_75, VLOOKUP(B$2, Percentiles!$A$45:$I$59, 6, FALSE), perc_90, VLOOKUP(B$2, Percentiles!$A$45:$I$59, 7, FALSE), perc_95, VLOOKUP(B$2, Percentiles!$A$45:$I$59, 8, FALSE), perc_85, perc_75 + (perc_90 - perc_75) * (2/3), converted_stat, '2K_Ratings'!B410, IF(bbgm_stat &gt;= perc_95, converted_stat * 3, IF(bbgm_stat &gt;= perc_90, converted_stat * 2, IF(bbgm_stat &gt;= perc_85, converted_stat * 1.5, converted_stat)))))</f>
        <v/>
      </c>
      <c r="C410" s="30" t="str">
        <f t="array" ref="C410">IF($A410="", "", LET(bbgm_stat, INDEX(Players!$A409:$P409, MATCH(C$2, Players!$A$1:$P$1, 0)), perc_75, VLOOKUP(C$2, Percentiles!$A$45:$I$59, 6, FALSE), perc_90, VLOOKUP(C$2, Percentiles!$A$45:$I$59, 7, FALSE), perc_95, VLOOKUP(C$2, Percentiles!$A$45:$I$59, 8, FALSE), perc_85, perc_75 + (perc_90 - perc_75) * (2/3), converted_stat, '2K_Ratings'!C410, IF(bbgm_stat &gt;= perc_95, converted_stat * 3, IF(bbgm_stat &gt;= perc_90, converted_stat * 2, IF(bbgm_stat &gt;= perc_85, converted_stat * 1.5, converted_stat)))))</f>
        <v/>
      </c>
      <c r="D410" s="30" t="str">
        <f t="array" ref="D410">IF($A410="", "", LET(bbgm_stat, INDEX(Players!$A409:$P409, MATCH(D$2, Players!$A$1:$P$1, 0)), perc_75, VLOOKUP(D$2, Percentiles!$A$45:$I$59, 6, FALSE), perc_90, VLOOKUP(D$2, Percentiles!$A$45:$I$59, 7, FALSE), perc_95, VLOOKUP(D$2, Percentiles!$A$45:$I$59, 8, FALSE), perc_85, perc_75 + (perc_90 - perc_75) * (2/3), converted_stat, '2K_Ratings'!D410, IF(bbgm_stat &gt;= perc_95, converted_stat * 3, IF(bbgm_stat &gt;= perc_90, converted_stat * 2, IF(bbgm_stat &gt;= perc_85, converted_stat * 1.5, converted_stat)))))</f>
        <v/>
      </c>
      <c r="E410" s="30" t="str">
        <f t="array" ref="E410">IF($A410="", "", LET(bbgm_stat, INDEX(Players!$A409:$P409, MATCH(E$2, Players!$A$1:$P$1, 0)), perc_75, VLOOKUP(E$2, Percentiles!$A$45:$I$59, 6, FALSE), perc_90, VLOOKUP(E$2, Percentiles!$A$45:$I$59, 7, FALSE), perc_95, VLOOKUP(E$2, Percentiles!$A$45:$I$59, 8, FALSE), perc_85, perc_75 + (perc_90 - perc_75) * (2/3), converted_stat, '2K_Ratings'!E410, IF(bbgm_stat &gt;= perc_95, converted_stat * 3, IF(bbgm_stat &gt;= perc_90, converted_stat * 2, IF(bbgm_stat &gt;= perc_85, converted_stat * 1.5, converted_stat)))))</f>
        <v/>
      </c>
      <c r="F410" s="30" t="str">
        <f t="array" ref="F410">IF($A410="", "", LET(bbgm_stat, INDEX(Players!$A409:$P409, MATCH(F$2, Players!$A$1:$P$1, 0)), perc_75, VLOOKUP(F$2, Percentiles!$A$45:$I$59, 6, FALSE), perc_90, VLOOKUP(F$2, Percentiles!$A$45:$I$59, 7, FALSE), perc_95, VLOOKUP(F$2, Percentiles!$A$45:$I$59, 8, FALSE), perc_85, perc_75 + (perc_90 - perc_75) * (2/3), converted_stat, '2K_Ratings'!F410, IF(bbgm_stat &gt;= perc_95, converted_stat * 3, IF(bbgm_stat &gt;= perc_90, converted_stat * 2, IF(bbgm_stat &gt;= perc_85, converted_stat * 1.5, converted_stat)))))</f>
        <v/>
      </c>
      <c r="G410" s="30" t="str">
        <f t="array" ref="G410">IF($A410="", "", LET(bbgm_stat, INDEX(Players!$A409:$P409, MATCH(G$2, Players!$A$1:$P$1, 0)), perc_75, VLOOKUP(G$2, Percentiles!$A$45:$I$59, 6, FALSE), perc_90, VLOOKUP(G$2, Percentiles!$A$45:$I$59, 7, FALSE), perc_95, VLOOKUP(G$2, Percentiles!$A$45:$I$59, 8, FALSE), perc_85, perc_75 + (perc_90 - perc_75) * (2/3), converted_stat, '2K_Ratings'!G410, IF(bbgm_stat &gt;= perc_95, converted_stat * 3, IF(bbgm_stat &gt;= perc_90, converted_stat * 2, IF(bbgm_stat &gt;= perc_85, converted_stat * 1.5, converted_stat)))))</f>
        <v/>
      </c>
      <c r="H410" s="30" t="str">
        <f t="array" ref="H410">IF($A410="", "", LET(bbgm_stat, INDEX(Players!$A409:$P409, MATCH(H$2, Players!$A$1:$P$1, 0)), perc_75, VLOOKUP(H$2, Percentiles!$A$45:$I$59, 6, FALSE), perc_90, VLOOKUP(H$2, Percentiles!$A$45:$I$59, 7, FALSE), perc_95, VLOOKUP(H$2, Percentiles!$A$45:$I$59, 8, FALSE), perc_85, perc_75 + (perc_90 - perc_75) * (2/3), converted_stat, '2K_Ratings'!H410, IF(bbgm_stat &gt;= perc_95, converted_stat * 3, IF(bbgm_stat &gt;= perc_90, converted_stat * 2, IF(bbgm_stat &gt;= perc_85, converted_stat * 1.5, converted_stat)))))</f>
        <v/>
      </c>
      <c r="I410" s="30" t="str">
        <f t="array" ref="I410">IF($A410="", "", LET(bbgm_stat, INDEX(Players!$A409:$P409, MATCH(I$2, Players!$A$1:$P$1, 0)), perc_75, VLOOKUP(I$2, Percentiles!$A$45:$I$59, 6, FALSE), perc_90, VLOOKUP(I$2, Percentiles!$A$45:$I$59, 7, FALSE), perc_95, VLOOKUP(I$2, Percentiles!$A$45:$I$59, 8, FALSE), perc_85, perc_75 + (perc_90 - perc_75) * (2/3), converted_stat, '2K_Ratings'!I410, IF(bbgm_stat &gt;= perc_95, converted_stat * 3, IF(bbgm_stat &gt;= perc_90, converted_stat * 2, IF(bbgm_stat &gt;= perc_85, converted_stat * 1.5, converted_stat)))))</f>
        <v/>
      </c>
      <c r="J410" s="30" t="str">
        <f t="array" ref="J410">IF($A410="", "", LET(bbgm_stat, INDEX(Players!$A409:$P409, MATCH(J$2, Players!$A$1:$P$1, 0)), perc_75, VLOOKUP(J$2, Percentiles!$A$45:$I$59, 6, FALSE), perc_90, VLOOKUP(J$2, Percentiles!$A$45:$I$59, 7, FALSE), perc_95, VLOOKUP(J$2, Percentiles!$A$45:$I$59, 8, FALSE), perc_85, perc_75 + (perc_90 - perc_75) * (2/3), converted_stat, '2K_Ratings'!J410, IF(bbgm_stat &gt;= perc_95, converted_stat * 3, IF(bbgm_stat &gt;= perc_90, converted_stat * 2, IF(bbgm_stat &gt;= perc_85, converted_stat * 1.5, converted_stat)))))</f>
        <v/>
      </c>
      <c r="K410" s="30" t="str">
        <f t="array" ref="K410">IF($A410="", "", LET(bbgm_stat, INDEX(Players!$A409:$P409, MATCH(K$2, Players!$A$1:$P$1, 0)), perc_75, VLOOKUP(K$2, Percentiles!$A$45:$I$59, 6, FALSE), perc_90, VLOOKUP(K$2, Percentiles!$A$45:$I$59, 7, FALSE), perc_95, VLOOKUP(K$2, Percentiles!$A$45:$I$59, 8, FALSE), perc_85, perc_75 + (perc_90 - perc_75) * (2/3), converted_stat, '2K_Ratings'!K410, IF(bbgm_stat &gt;= perc_95, converted_stat * 3, IF(bbgm_stat &gt;= perc_90, converted_stat * 2, IF(bbgm_stat &gt;= perc_85, converted_stat * 1.5, converted_stat)))))</f>
        <v/>
      </c>
      <c r="L410" s="30" t="str">
        <f t="array" ref="L410">IF($A410="", "", LET(bbgm_stat, INDEX(Players!$A409:$P409, MATCH(L$2, Players!$A$1:$P$1, 0)), perc_75, VLOOKUP(L$2, Percentiles!$A$45:$I$59, 6, FALSE), perc_90, VLOOKUP(L$2, Percentiles!$A$45:$I$59, 7, FALSE), perc_95, VLOOKUP(L$2, Percentiles!$A$45:$I$59, 8, FALSE), perc_85, perc_75 + (perc_90 - perc_75) * (2/3), converted_stat, '2K_Ratings'!L410, IF(bbgm_stat &gt;= perc_95, converted_stat * 3, IF(bbgm_stat &gt;= perc_90, converted_stat * 2, IF(bbgm_stat &gt;= perc_85, converted_stat * 1.5, converted_stat)))))</f>
        <v/>
      </c>
      <c r="M410" s="30" t="str">
        <f t="array" ref="M410">IF($A410="", "", LET(bbgm_stat, INDEX(Players!$A409:$P409, MATCH(M$2, Players!$A$1:$P$1, 0)), perc_75, VLOOKUP(M$2, Percentiles!$A$45:$I$59, 6, FALSE), perc_90, VLOOKUP(M$2, Percentiles!$A$45:$I$59, 7, FALSE), perc_95, VLOOKUP(M$2, Percentiles!$A$45:$I$59, 8, FALSE), perc_85, perc_75 + (perc_90 - perc_75) * (2/3), converted_stat, '2K_Ratings'!M410, IF(bbgm_stat &gt;= perc_95, converted_stat * 3, IF(bbgm_stat &gt;= perc_90, converted_stat * 2, IF(bbgm_stat &gt;= perc_85, converted_stat * 1.5, converted_stat)))))</f>
        <v/>
      </c>
      <c r="N410" s="30" t="str">
        <f t="array" ref="N410">IF($A410="", "", LET(bbgm_stat, INDEX(Players!$A409:$P409, MATCH(N$2, Players!$A$1:$P$1, 0)), perc_75, VLOOKUP(N$2, Percentiles!$A$45:$I$59, 6, FALSE), perc_90, VLOOKUP(N$2, Percentiles!$A$45:$I$59, 7, FALSE), perc_95, VLOOKUP(N$2, Percentiles!$A$45:$I$59, 8, FALSE), perc_85, perc_75 + (perc_90 - perc_75) * (2/3), converted_stat, '2K_Ratings'!N410, IF(bbgm_stat &gt;= perc_95, converted_stat * 3, IF(bbgm_stat &gt;= perc_90, converted_stat * 2, IF(bbgm_stat &gt;= perc_85, converted_stat * 1.5, converted_stat)))))</f>
        <v/>
      </c>
      <c r="O410" s="30" t="str">
        <f t="array" ref="O410">IF($A410="", "", LET(bbgm_stat, INDEX(Players!$A409:$P409, MATCH(O$2, Players!$A$1:$P$1, 0)), perc_75, VLOOKUP(O$2, Percentiles!$A$45:$I$59, 6, FALSE), perc_90, VLOOKUP(O$2, Percentiles!$A$45:$I$59, 7, FALSE), perc_95, VLOOKUP(O$2, Percentiles!$A$45:$I$59, 8, FALSE), perc_85, perc_75 + (perc_90 - perc_75) * (2/3), converted_stat, '2K_Ratings'!O410, IF(bbgm_stat &gt;= perc_95, converted_stat * 3, IF(bbgm_stat &gt;= perc_90, converted_stat * 2, IF(bbgm_stat &gt;= perc_85, converted_stat * 1.5, converted_stat)))))</f>
        <v/>
      </c>
      <c r="P410" s="30" t="str">
        <f t="array" ref="P410">IF($A410="", "", LET(bbgm_stat, INDEX(Players!$A409:$P409, MATCH(P$2, Players!$A$1:$P$1, 0)), perc_75, VLOOKUP(P$2, Percentiles!$A$45:$I$59, 6, FALSE), perc_90, VLOOKUP(P$2, Percentiles!$A$45:$I$59, 7, FALSE), perc_95, VLOOKUP(P$2, Percentiles!$A$45:$I$59, 8, FALSE), perc_85, perc_75 + (perc_90 - perc_75) * (2/3), converted_stat, '2K_Ratings'!P410, IF(bbgm_stat &gt;= perc_95, converted_stat * 3, IF(bbgm_stat &gt;= perc_90, converted_stat * 2, IF(bbgm_stat &gt;= perc_85, converted_stat * 1.5, converted_stat)))))</f>
        <v/>
      </c>
      <c r="Q410" s="30" t="str">
        <f t="array" ref="Q410">IF($A410="", "", LET(bbgm_stat, INDEX(Players!$A409:$P409, MATCH(Q$2, Players!$A$1:$P$1, 0)), perc_75, VLOOKUP(Q$2, Percentiles!$A$45:$I$59, 6, FALSE), perc_90, VLOOKUP(Q$2, Percentiles!$A$45:$I$59, 7, FALSE), perc_95, VLOOKUP(Q$2, Percentiles!$A$45:$I$59, 8, FALSE), perc_85, perc_75 + (perc_90 - perc_75) * (2/3), converted_stat, '2K_Ratings'!Q410, IF(bbgm_stat &gt;= perc_95, converted_stat * 3, IF(bbgm_stat &gt;= perc_90, converted_stat * 2, IF(bbgm_stat &gt;= perc_85, converted_stat * 1.5, converted_stat)))))</f>
        <v/>
      </c>
      <c r="R410" s="30" t="str">
        <f t="array" ref="R410">IF($A410="", "", LET(bbgm_stat, INDEX(Players!$A409:$P409, MATCH(R$2, Players!$A$1:$P$1, 0)), perc_75, VLOOKUP(R$2, Percentiles!$A$45:$I$59, 6, FALSE), perc_90, VLOOKUP(R$2, Percentiles!$A$45:$I$59, 7, FALSE), perc_95, VLOOKUP(R$2, Percentiles!$A$45:$I$59, 8, FALSE), perc_85, perc_75 + (perc_90 - perc_75) * (2/3), converted_stat, '2K_Ratings'!R410, IF(bbgm_stat &gt;= perc_95, converted_stat * 3, IF(bbgm_stat &gt;= perc_90, converted_stat * 2, IF(bbgm_stat &gt;= perc_85, converted_stat * 1.5, converted_stat)))))</f>
        <v/>
      </c>
      <c r="S410" s="30" t="str">
        <f t="array" ref="S410">IF($A410="", "", LET(bbgm_stat, INDEX(Players!$A409:$P409, MATCH(S$2, Players!$A$1:$P$1, 0)), perc_75, VLOOKUP(S$2, Percentiles!$A$45:$I$59, 6, FALSE), perc_90, VLOOKUP(S$2, Percentiles!$A$45:$I$59, 7, FALSE), perc_95, VLOOKUP(S$2, Percentiles!$A$45:$I$59, 8, FALSE), perc_85, perc_75 + (perc_90 - perc_75) * (2/3), converted_stat, '2K_Ratings'!S410, IF(bbgm_stat &gt;= perc_95, converted_stat * 3, IF(bbgm_stat &gt;= perc_90, converted_stat * 2, IF(bbgm_stat &gt;= perc_85, converted_stat * 1.5, converted_stat)))))</f>
        <v/>
      </c>
      <c r="T410" s="30" t="str">
        <f t="array" ref="T410">IF($A410="", "", LET(bbgm_stat, INDEX(Players!$A409:$P409, MATCH(T$2, Players!$A$1:$P$1, 0)), perc_75, VLOOKUP(T$2, Percentiles!$A$45:$I$59, 6, FALSE), perc_90, VLOOKUP(T$2, Percentiles!$A$45:$I$59, 7, FALSE), perc_95, VLOOKUP(T$2, Percentiles!$A$45:$I$59, 8, FALSE), perc_85, perc_75 + (perc_90 - perc_75) * (2/3), converted_stat, '2K_Ratings'!T410, IF(bbgm_stat &gt;= perc_95, converted_stat * 3, IF(bbgm_stat &gt;= perc_90, converted_stat * 2, IF(bbgm_stat &gt;= perc_85, converted_stat * 1.5, converted_stat)))))</f>
        <v/>
      </c>
      <c r="U410" s="30" t="str">
        <f t="array" ref="U410">IF($A410="", "", LET(bbgm_stat, INDEX(Players!$A409:$P409, MATCH(U$2, Players!$A$1:$P$1, 0)), perc_75, VLOOKUP(U$2, Percentiles!$A$45:$I$59, 6, FALSE), perc_90, VLOOKUP(U$2, Percentiles!$A$45:$I$59, 7, FALSE), perc_95, VLOOKUP(U$2, Percentiles!$A$45:$I$59, 8, FALSE), perc_85, perc_75 + (perc_90 - perc_75) * (2/3), converted_stat, '2K_Ratings'!U410, IF(bbgm_stat &gt;= perc_95, converted_stat * 3, IF(bbgm_stat &gt;= perc_90, converted_stat * 2, IF(bbgm_stat &gt;= perc_85, converted_stat * 1.5, converted_stat)))))</f>
        <v/>
      </c>
      <c r="V410" s="30" t="str">
        <f t="array" ref="V410">IF($A410="", "", LET(bbgm_stat, INDEX(Players!$A409:$P409, MATCH(V$2, Players!$A$1:$P$1, 0)), perc_75, VLOOKUP(V$2, Percentiles!$A$45:$I$59, 6, FALSE), perc_90, VLOOKUP(V$2, Percentiles!$A$45:$I$59, 7, FALSE), perc_95, VLOOKUP(V$2, Percentiles!$A$45:$I$59, 8, FALSE), perc_85, perc_75 + (perc_90 - perc_75) * (2/3), converted_stat, '2K_Ratings'!V410, IF(bbgm_stat &gt;= perc_95, converted_stat * 3, IF(bbgm_stat &gt;= perc_90, converted_stat * 2, IF(bbgm_stat &gt;= perc_85, converted_stat * 1.5, converted_stat)))))</f>
        <v/>
      </c>
      <c r="W410" s="30" t="str">
        <f t="array" ref="W410">IF($A410="", "", LET(bbgm_stat, INDEX(Players!$A409:$P409, MATCH(W$2, Players!$A$1:$P$1, 0)), perc_75, VLOOKUP(W$2, Percentiles!$A$45:$I$59, 6, FALSE), perc_90, VLOOKUP(W$2, Percentiles!$A$45:$I$59, 7, FALSE), perc_95, VLOOKUP(W$2, Percentiles!$A$45:$I$59, 8, FALSE), perc_85, perc_75 + (perc_90 - perc_75) * (2/3), converted_stat, '2K_Ratings'!W410, IF(bbgm_stat &gt;= perc_95, converted_stat * 3, IF(bbgm_stat &gt;= perc_90, converted_stat * 2, IF(bbgm_stat &gt;= perc_85, converted_stat * 1.5, converted_stat)))))</f>
        <v/>
      </c>
    </row>
    <row r="411">
      <c r="A411" s="30"/>
      <c r="B411" s="30" t="str">
        <f t="array" ref="B411">IF($A411="", "", LET(bbgm_stat, INDEX(Players!$A410:$P410, MATCH(B$2, Players!$A$1:$P$1, 0)), perc_75, VLOOKUP(B$2, Percentiles!$A$45:$I$59, 6, FALSE), perc_90, VLOOKUP(B$2, Percentiles!$A$45:$I$59, 7, FALSE), perc_95, VLOOKUP(B$2, Percentiles!$A$45:$I$59, 8, FALSE), perc_85, perc_75 + (perc_90 - perc_75) * (2/3), converted_stat, '2K_Ratings'!B411, IF(bbgm_stat &gt;= perc_95, converted_stat * 3, IF(bbgm_stat &gt;= perc_90, converted_stat * 2, IF(bbgm_stat &gt;= perc_85, converted_stat * 1.5, converted_stat)))))</f>
        <v/>
      </c>
      <c r="C411" s="30" t="str">
        <f t="array" ref="C411">IF($A411="", "", LET(bbgm_stat, INDEX(Players!$A410:$P410, MATCH(C$2, Players!$A$1:$P$1, 0)), perc_75, VLOOKUP(C$2, Percentiles!$A$45:$I$59, 6, FALSE), perc_90, VLOOKUP(C$2, Percentiles!$A$45:$I$59, 7, FALSE), perc_95, VLOOKUP(C$2, Percentiles!$A$45:$I$59, 8, FALSE), perc_85, perc_75 + (perc_90 - perc_75) * (2/3), converted_stat, '2K_Ratings'!C411, IF(bbgm_stat &gt;= perc_95, converted_stat * 3, IF(bbgm_stat &gt;= perc_90, converted_stat * 2, IF(bbgm_stat &gt;= perc_85, converted_stat * 1.5, converted_stat)))))</f>
        <v/>
      </c>
      <c r="D411" s="30" t="str">
        <f t="array" ref="D411">IF($A411="", "", LET(bbgm_stat, INDEX(Players!$A410:$P410, MATCH(D$2, Players!$A$1:$P$1, 0)), perc_75, VLOOKUP(D$2, Percentiles!$A$45:$I$59, 6, FALSE), perc_90, VLOOKUP(D$2, Percentiles!$A$45:$I$59, 7, FALSE), perc_95, VLOOKUP(D$2, Percentiles!$A$45:$I$59, 8, FALSE), perc_85, perc_75 + (perc_90 - perc_75) * (2/3), converted_stat, '2K_Ratings'!D411, IF(bbgm_stat &gt;= perc_95, converted_stat * 3, IF(bbgm_stat &gt;= perc_90, converted_stat * 2, IF(bbgm_stat &gt;= perc_85, converted_stat * 1.5, converted_stat)))))</f>
        <v/>
      </c>
      <c r="E411" s="30" t="str">
        <f t="array" ref="E411">IF($A411="", "", LET(bbgm_stat, INDEX(Players!$A410:$P410, MATCH(E$2, Players!$A$1:$P$1, 0)), perc_75, VLOOKUP(E$2, Percentiles!$A$45:$I$59, 6, FALSE), perc_90, VLOOKUP(E$2, Percentiles!$A$45:$I$59, 7, FALSE), perc_95, VLOOKUP(E$2, Percentiles!$A$45:$I$59, 8, FALSE), perc_85, perc_75 + (perc_90 - perc_75) * (2/3), converted_stat, '2K_Ratings'!E411, IF(bbgm_stat &gt;= perc_95, converted_stat * 3, IF(bbgm_stat &gt;= perc_90, converted_stat * 2, IF(bbgm_stat &gt;= perc_85, converted_stat * 1.5, converted_stat)))))</f>
        <v/>
      </c>
      <c r="F411" s="30" t="str">
        <f t="array" ref="F411">IF($A411="", "", LET(bbgm_stat, INDEX(Players!$A410:$P410, MATCH(F$2, Players!$A$1:$P$1, 0)), perc_75, VLOOKUP(F$2, Percentiles!$A$45:$I$59, 6, FALSE), perc_90, VLOOKUP(F$2, Percentiles!$A$45:$I$59, 7, FALSE), perc_95, VLOOKUP(F$2, Percentiles!$A$45:$I$59, 8, FALSE), perc_85, perc_75 + (perc_90 - perc_75) * (2/3), converted_stat, '2K_Ratings'!F411, IF(bbgm_stat &gt;= perc_95, converted_stat * 3, IF(bbgm_stat &gt;= perc_90, converted_stat * 2, IF(bbgm_stat &gt;= perc_85, converted_stat * 1.5, converted_stat)))))</f>
        <v/>
      </c>
      <c r="G411" s="30" t="str">
        <f t="array" ref="G411">IF($A411="", "", LET(bbgm_stat, INDEX(Players!$A410:$P410, MATCH(G$2, Players!$A$1:$P$1, 0)), perc_75, VLOOKUP(G$2, Percentiles!$A$45:$I$59, 6, FALSE), perc_90, VLOOKUP(G$2, Percentiles!$A$45:$I$59, 7, FALSE), perc_95, VLOOKUP(G$2, Percentiles!$A$45:$I$59, 8, FALSE), perc_85, perc_75 + (perc_90 - perc_75) * (2/3), converted_stat, '2K_Ratings'!G411, IF(bbgm_stat &gt;= perc_95, converted_stat * 3, IF(bbgm_stat &gt;= perc_90, converted_stat * 2, IF(bbgm_stat &gt;= perc_85, converted_stat * 1.5, converted_stat)))))</f>
        <v/>
      </c>
      <c r="H411" s="30" t="str">
        <f t="array" ref="H411">IF($A411="", "", LET(bbgm_stat, INDEX(Players!$A410:$P410, MATCH(H$2, Players!$A$1:$P$1, 0)), perc_75, VLOOKUP(H$2, Percentiles!$A$45:$I$59, 6, FALSE), perc_90, VLOOKUP(H$2, Percentiles!$A$45:$I$59, 7, FALSE), perc_95, VLOOKUP(H$2, Percentiles!$A$45:$I$59, 8, FALSE), perc_85, perc_75 + (perc_90 - perc_75) * (2/3), converted_stat, '2K_Ratings'!H411, IF(bbgm_stat &gt;= perc_95, converted_stat * 3, IF(bbgm_stat &gt;= perc_90, converted_stat * 2, IF(bbgm_stat &gt;= perc_85, converted_stat * 1.5, converted_stat)))))</f>
        <v/>
      </c>
      <c r="I411" s="30" t="str">
        <f t="array" ref="I411">IF($A411="", "", LET(bbgm_stat, INDEX(Players!$A410:$P410, MATCH(I$2, Players!$A$1:$P$1, 0)), perc_75, VLOOKUP(I$2, Percentiles!$A$45:$I$59, 6, FALSE), perc_90, VLOOKUP(I$2, Percentiles!$A$45:$I$59, 7, FALSE), perc_95, VLOOKUP(I$2, Percentiles!$A$45:$I$59, 8, FALSE), perc_85, perc_75 + (perc_90 - perc_75) * (2/3), converted_stat, '2K_Ratings'!I411, IF(bbgm_stat &gt;= perc_95, converted_stat * 3, IF(bbgm_stat &gt;= perc_90, converted_stat * 2, IF(bbgm_stat &gt;= perc_85, converted_stat * 1.5, converted_stat)))))</f>
        <v/>
      </c>
      <c r="J411" s="30" t="str">
        <f t="array" ref="J411">IF($A411="", "", LET(bbgm_stat, INDEX(Players!$A410:$P410, MATCH(J$2, Players!$A$1:$P$1, 0)), perc_75, VLOOKUP(J$2, Percentiles!$A$45:$I$59, 6, FALSE), perc_90, VLOOKUP(J$2, Percentiles!$A$45:$I$59, 7, FALSE), perc_95, VLOOKUP(J$2, Percentiles!$A$45:$I$59, 8, FALSE), perc_85, perc_75 + (perc_90 - perc_75) * (2/3), converted_stat, '2K_Ratings'!J411, IF(bbgm_stat &gt;= perc_95, converted_stat * 3, IF(bbgm_stat &gt;= perc_90, converted_stat * 2, IF(bbgm_stat &gt;= perc_85, converted_stat * 1.5, converted_stat)))))</f>
        <v/>
      </c>
      <c r="K411" s="30" t="str">
        <f t="array" ref="K411">IF($A411="", "", LET(bbgm_stat, INDEX(Players!$A410:$P410, MATCH(K$2, Players!$A$1:$P$1, 0)), perc_75, VLOOKUP(K$2, Percentiles!$A$45:$I$59, 6, FALSE), perc_90, VLOOKUP(K$2, Percentiles!$A$45:$I$59, 7, FALSE), perc_95, VLOOKUP(K$2, Percentiles!$A$45:$I$59, 8, FALSE), perc_85, perc_75 + (perc_90 - perc_75) * (2/3), converted_stat, '2K_Ratings'!K411, IF(bbgm_stat &gt;= perc_95, converted_stat * 3, IF(bbgm_stat &gt;= perc_90, converted_stat * 2, IF(bbgm_stat &gt;= perc_85, converted_stat * 1.5, converted_stat)))))</f>
        <v/>
      </c>
      <c r="L411" s="30" t="str">
        <f t="array" ref="L411">IF($A411="", "", LET(bbgm_stat, INDEX(Players!$A410:$P410, MATCH(L$2, Players!$A$1:$P$1, 0)), perc_75, VLOOKUP(L$2, Percentiles!$A$45:$I$59, 6, FALSE), perc_90, VLOOKUP(L$2, Percentiles!$A$45:$I$59, 7, FALSE), perc_95, VLOOKUP(L$2, Percentiles!$A$45:$I$59, 8, FALSE), perc_85, perc_75 + (perc_90 - perc_75) * (2/3), converted_stat, '2K_Ratings'!L411, IF(bbgm_stat &gt;= perc_95, converted_stat * 3, IF(bbgm_stat &gt;= perc_90, converted_stat * 2, IF(bbgm_stat &gt;= perc_85, converted_stat * 1.5, converted_stat)))))</f>
        <v/>
      </c>
      <c r="M411" s="30" t="str">
        <f t="array" ref="M411">IF($A411="", "", LET(bbgm_stat, INDEX(Players!$A410:$P410, MATCH(M$2, Players!$A$1:$P$1, 0)), perc_75, VLOOKUP(M$2, Percentiles!$A$45:$I$59, 6, FALSE), perc_90, VLOOKUP(M$2, Percentiles!$A$45:$I$59, 7, FALSE), perc_95, VLOOKUP(M$2, Percentiles!$A$45:$I$59, 8, FALSE), perc_85, perc_75 + (perc_90 - perc_75) * (2/3), converted_stat, '2K_Ratings'!M411, IF(bbgm_stat &gt;= perc_95, converted_stat * 3, IF(bbgm_stat &gt;= perc_90, converted_stat * 2, IF(bbgm_stat &gt;= perc_85, converted_stat * 1.5, converted_stat)))))</f>
        <v/>
      </c>
      <c r="N411" s="30" t="str">
        <f t="array" ref="N411">IF($A411="", "", LET(bbgm_stat, INDEX(Players!$A410:$P410, MATCH(N$2, Players!$A$1:$P$1, 0)), perc_75, VLOOKUP(N$2, Percentiles!$A$45:$I$59, 6, FALSE), perc_90, VLOOKUP(N$2, Percentiles!$A$45:$I$59, 7, FALSE), perc_95, VLOOKUP(N$2, Percentiles!$A$45:$I$59, 8, FALSE), perc_85, perc_75 + (perc_90 - perc_75) * (2/3), converted_stat, '2K_Ratings'!N411, IF(bbgm_stat &gt;= perc_95, converted_stat * 3, IF(bbgm_stat &gt;= perc_90, converted_stat * 2, IF(bbgm_stat &gt;= perc_85, converted_stat * 1.5, converted_stat)))))</f>
        <v/>
      </c>
      <c r="O411" s="30" t="str">
        <f t="array" ref="O411">IF($A411="", "", LET(bbgm_stat, INDEX(Players!$A410:$P410, MATCH(O$2, Players!$A$1:$P$1, 0)), perc_75, VLOOKUP(O$2, Percentiles!$A$45:$I$59, 6, FALSE), perc_90, VLOOKUP(O$2, Percentiles!$A$45:$I$59, 7, FALSE), perc_95, VLOOKUP(O$2, Percentiles!$A$45:$I$59, 8, FALSE), perc_85, perc_75 + (perc_90 - perc_75) * (2/3), converted_stat, '2K_Ratings'!O411, IF(bbgm_stat &gt;= perc_95, converted_stat * 3, IF(bbgm_stat &gt;= perc_90, converted_stat * 2, IF(bbgm_stat &gt;= perc_85, converted_stat * 1.5, converted_stat)))))</f>
        <v/>
      </c>
      <c r="P411" s="30" t="str">
        <f t="array" ref="P411">IF($A411="", "", LET(bbgm_stat, INDEX(Players!$A410:$P410, MATCH(P$2, Players!$A$1:$P$1, 0)), perc_75, VLOOKUP(P$2, Percentiles!$A$45:$I$59, 6, FALSE), perc_90, VLOOKUP(P$2, Percentiles!$A$45:$I$59, 7, FALSE), perc_95, VLOOKUP(P$2, Percentiles!$A$45:$I$59, 8, FALSE), perc_85, perc_75 + (perc_90 - perc_75) * (2/3), converted_stat, '2K_Ratings'!P411, IF(bbgm_stat &gt;= perc_95, converted_stat * 3, IF(bbgm_stat &gt;= perc_90, converted_stat * 2, IF(bbgm_stat &gt;= perc_85, converted_stat * 1.5, converted_stat)))))</f>
        <v/>
      </c>
      <c r="Q411" s="30" t="str">
        <f t="array" ref="Q411">IF($A411="", "", LET(bbgm_stat, INDEX(Players!$A410:$P410, MATCH(Q$2, Players!$A$1:$P$1, 0)), perc_75, VLOOKUP(Q$2, Percentiles!$A$45:$I$59, 6, FALSE), perc_90, VLOOKUP(Q$2, Percentiles!$A$45:$I$59, 7, FALSE), perc_95, VLOOKUP(Q$2, Percentiles!$A$45:$I$59, 8, FALSE), perc_85, perc_75 + (perc_90 - perc_75) * (2/3), converted_stat, '2K_Ratings'!Q411, IF(bbgm_stat &gt;= perc_95, converted_stat * 3, IF(bbgm_stat &gt;= perc_90, converted_stat * 2, IF(bbgm_stat &gt;= perc_85, converted_stat * 1.5, converted_stat)))))</f>
        <v/>
      </c>
      <c r="R411" s="30" t="str">
        <f t="array" ref="R411">IF($A411="", "", LET(bbgm_stat, INDEX(Players!$A410:$P410, MATCH(R$2, Players!$A$1:$P$1, 0)), perc_75, VLOOKUP(R$2, Percentiles!$A$45:$I$59, 6, FALSE), perc_90, VLOOKUP(R$2, Percentiles!$A$45:$I$59, 7, FALSE), perc_95, VLOOKUP(R$2, Percentiles!$A$45:$I$59, 8, FALSE), perc_85, perc_75 + (perc_90 - perc_75) * (2/3), converted_stat, '2K_Ratings'!R411, IF(bbgm_stat &gt;= perc_95, converted_stat * 3, IF(bbgm_stat &gt;= perc_90, converted_stat * 2, IF(bbgm_stat &gt;= perc_85, converted_stat * 1.5, converted_stat)))))</f>
        <v/>
      </c>
      <c r="S411" s="30" t="str">
        <f t="array" ref="S411">IF($A411="", "", LET(bbgm_stat, INDEX(Players!$A410:$P410, MATCH(S$2, Players!$A$1:$P$1, 0)), perc_75, VLOOKUP(S$2, Percentiles!$A$45:$I$59, 6, FALSE), perc_90, VLOOKUP(S$2, Percentiles!$A$45:$I$59, 7, FALSE), perc_95, VLOOKUP(S$2, Percentiles!$A$45:$I$59, 8, FALSE), perc_85, perc_75 + (perc_90 - perc_75) * (2/3), converted_stat, '2K_Ratings'!S411, IF(bbgm_stat &gt;= perc_95, converted_stat * 3, IF(bbgm_stat &gt;= perc_90, converted_stat * 2, IF(bbgm_stat &gt;= perc_85, converted_stat * 1.5, converted_stat)))))</f>
        <v/>
      </c>
      <c r="T411" s="30" t="str">
        <f t="array" ref="T411">IF($A411="", "", LET(bbgm_stat, INDEX(Players!$A410:$P410, MATCH(T$2, Players!$A$1:$P$1, 0)), perc_75, VLOOKUP(T$2, Percentiles!$A$45:$I$59, 6, FALSE), perc_90, VLOOKUP(T$2, Percentiles!$A$45:$I$59, 7, FALSE), perc_95, VLOOKUP(T$2, Percentiles!$A$45:$I$59, 8, FALSE), perc_85, perc_75 + (perc_90 - perc_75) * (2/3), converted_stat, '2K_Ratings'!T411, IF(bbgm_stat &gt;= perc_95, converted_stat * 3, IF(bbgm_stat &gt;= perc_90, converted_stat * 2, IF(bbgm_stat &gt;= perc_85, converted_stat * 1.5, converted_stat)))))</f>
        <v/>
      </c>
      <c r="U411" s="30" t="str">
        <f t="array" ref="U411">IF($A411="", "", LET(bbgm_stat, INDEX(Players!$A410:$P410, MATCH(U$2, Players!$A$1:$P$1, 0)), perc_75, VLOOKUP(U$2, Percentiles!$A$45:$I$59, 6, FALSE), perc_90, VLOOKUP(U$2, Percentiles!$A$45:$I$59, 7, FALSE), perc_95, VLOOKUP(U$2, Percentiles!$A$45:$I$59, 8, FALSE), perc_85, perc_75 + (perc_90 - perc_75) * (2/3), converted_stat, '2K_Ratings'!U411, IF(bbgm_stat &gt;= perc_95, converted_stat * 3, IF(bbgm_stat &gt;= perc_90, converted_stat * 2, IF(bbgm_stat &gt;= perc_85, converted_stat * 1.5, converted_stat)))))</f>
        <v/>
      </c>
      <c r="V411" s="30" t="str">
        <f t="array" ref="V411">IF($A411="", "", LET(bbgm_stat, INDEX(Players!$A410:$P410, MATCH(V$2, Players!$A$1:$P$1, 0)), perc_75, VLOOKUP(V$2, Percentiles!$A$45:$I$59, 6, FALSE), perc_90, VLOOKUP(V$2, Percentiles!$A$45:$I$59, 7, FALSE), perc_95, VLOOKUP(V$2, Percentiles!$A$45:$I$59, 8, FALSE), perc_85, perc_75 + (perc_90 - perc_75) * (2/3), converted_stat, '2K_Ratings'!V411, IF(bbgm_stat &gt;= perc_95, converted_stat * 3, IF(bbgm_stat &gt;= perc_90, converted_stat * 2, IF(bbgm_stat &gt;= perc_85, converted_stat * 1.5, converted_stat)))))</f>
        <v/>
      </c>
      <c r="W411" s="30" t="str">
        <f t="array" ref="W411">IF($A411="", "", LET(bbgm_stat, INDEX(Players!$A410:$P410, MATCH(W$2, Players!$A$1:$P$1, 0)), perc_75, VLOOKUP(W$2, Percentiles!$A$45:$I$59, 6, FALSE), perc_90, VLOOKUP(W$2, Percentiles!$A$45:$I$59, 7, FALSE), perc_95, VLOOKUP(W$2, Percentiles!$A$45:$I$59, 8, FALSE), perc_85, perc_75 + (perc_90 - perc_75) * (2/3), converted_stat, '2K_Ratings'!W411, IF(bbgm_stat &gt;= perc_95, converted_stat * 3, IF(bbgm_stat &gt;= perc_90, converted_stat * 2, IF(bbgm_stat &gt;= perc_85, converted_stat * 1.5, converted_stat)))))</f>
        <v/>
      </c>
    </row>
    <row r="412">
      <c r="A412" s="30"/>
      <c r="B412" s="30" t="str">
        <f t="array" ref="B412">IF($A412="", "", LET(bbgm_stat, INDEX(Players!$A411:$P411, MATCH(B$2, Players!$A$1:$P$1, 0)), perc_75, VLOOKUP(B$2, Percentiles!$A$45:$I$59, 6, FALSE), perc_90, VLOOKUP(B$2, Percentiles!$A$45:$I$59, 7, FALSE), perc_95, VLOOKUP(B$2, Percentiles!$A$45:$I$59, 8, FALSE), perc_85, perc_75 + (perc_90 - perc_75) * (2/3), converted_stat, '2K_Ratings'!B412, IF(bbgm_stat &gt;= perc_95, converted_stat * 3, IF(bbgm_stat &gt;= perc_90, converted_stat * 2, IF(bbgm_stat &gt;= perc_85, converted_stat * 1.5, converted_stat)))))</f>
        <v/>
      </c>
      <c r="C412" s="30" t="str">
        <f t="array" ref="C412">IF($A412="", "", LET(bbgm_stat, INDEX(Players!$A411:$P411, MATCH(C$2, Players!$A$1:$P$1, 0)), perc_75, VLOOKUP(C$2, Percentiles!$A$45:$I$59, 6, FALSE), perc_90, VLOOKUP(C$2, Percentiles!$A$45:$I$59, 7, FALSE), perc_95, VLOOKUP(C$2, Percentiles!$A$45:$I$59, 8, FALSE), perc_85, perc_75 + (perc_90 - perc_75) * (2/3), converted_stat, '2K_Ratings'!C412, IF(bbgm_stat &gt;= perc_95, converted_stat * 3, IF(bbgm_stat &gt;= perc_90, converted_stat * 2, IF(bbgm_stat &gt;= perc_85, converted_stat * 1.5, converted_stat)))))</f>
        <v/>
      </c>
      <c r="D412" s="30" t="str">
        <f t="array" ref="D412">IF($A412="", "", LET(bbgm_stat, INDEX(Players!$A411:$P411, MATCH(D$2, Players!$A$1:$P$1, 0)), perc_75, VLOOKUP(D$2, Percentiles!$A$45:$I$59, 6, FALSE), perc_90, VLOOKUP(D$2, Percentiles!$A$45:$I$59, 7, FALSE), perc_95, VLOOKUP(D$2, Percentiles!$A$45:$I$59, 8, FALSE), perc_85, perc_75 + (perc_90 - perc_75) * (2/3), converted_stat, '2K_Ratings'!D412, IF(bbgm_stat &gt;= perc_95, converted_stat * 3, IF(bbgm_stat &gt;= perc_90, converted_stat * 2, IF(bbgm_stat &gt;= perc_85, converted_stat * 1.5, converted_stat)))))</f>
        <v/>
      </c>
      <c r="E412" s="30" t="str">
        <f t="array" ref="E412">IF($A412="", "", LET(bbgm_stat, INDEX(Players!$A411:$P411, MATCH(E$2, Players!$A$1:$P$1, 0)), perc_75, VLOOKUP(E$2, Percentiles!$A$45:$I$59, 6, FALSE), perc_90, VLOOKUP(E$2, Percentiles!$A$45:$I$59, 7, FALSE), perc_95, VLOOKUP(E$2, Percentiles!$A$45:$I$59, 8, FALSE), perc_85, perc_75 + (perc_90 - perc_75) * (2/3), converted_stat, '2K_Ratings'!E412, IF(bbgm_stat &gt;= perc_95, converted_stat * 3, IF(bbgm_stat &gt;= perc_90, converted_stat * 2, IF(bbgm_stat &gt;= perc_85, converted_stat * 1.5, converted_stat)))))</f>
        <v/>
      </c>
      <c r="F412" s="30" t="str">
        <f t="array" ref="F412">IF($A412="", "", LET(bbgm_stat, INDEX(Players!$A411:$P411, MATCH(F$2, Players!$A$1:$P$1, 0)), perc_75, VLOOKUP(F$2, Percentiles!$A$45:$I$59, 6, FALSE), perc_90, VLOOKUP(F$2, Percentiles!$A$45:$I$59, 7, FALSE), perc_95, VLOOKUP(F$2, Percentiles!$A$45:$I$59, 8, FALSE), perc_85, perc_75 + (perc_90 - perc_75) * (2/3), converted_stat, '2K_Ratings'!F412, IF(bbgm_stat &gt;= perc_95, converted_stat * 3, IF(bbgm_stat &gt;= perc_90, converted_stat * 2, IF(bbgm_stat &gt;= perc_85, converted_stat * 1.5, converted_stat)))))</f>
        <v/>
      </c>
      <c r="G412" s="30" t="str">
        <f t="array" ref="G412">IF($A412="", "", LET(bbgm_stat, INDEX(Players!$A411:$P411, MATCH(G$2, Players!$A$1:$P$1, 0)), perc_75, VLOOKUP(G$2, Percentiles!$A$45:$I$59, 6, FALSE), perc_90, VLOOKUP(G$2, Percentiles!$A$45:$I$59, 7, FALSE), perc_95, VLOOKUP(G$2, Percentiles!$A$45:$I$59, 8, FALSE), perc_85, perc_75 + (perc_90 - perc_75) * (2/3), converted_stat, '2K_Ratings'!G412, IF(bbgm_stat &gt;= perc_95, converted_stat * 3, IF(bbgm_stat &gt;= perc_90, converted_stat * 2, IF(bbgm_stat &gt;= perc_85, converted_stat * 1.5, converted_stat)))))</f>
        <v/>
      </c>
      <c r="H412" s="30" t="str">
        <f t="array" ref="H412">IF($A412="", "", LET(bbgm_stat, INDEX(Players!$A411:$P411, MATCH(H$2, Players!$A$1:$P$1, 0)), perc_75, VLOOKUP(H$2, Percentiles!$A$45:$I$59, 6, FALSE), perc_90, VLOOKUP(H$2, Percentiles!$A$45:$I$59, 7, FALSE), perc_95, VLOOKUP(H$2, Percentiles!$A$45:$I$59, 8, FALSE), perc_85, perc_75 + (perc_90 - perc_75) * (2/3), converted_stat, '2K_Ratings'!H412, IF(bbgm_stat &gt;= perc_95, converted_stat * 3, IF(bbgm_stat &gt;= perc_90, converted_stat * 2, IF(bbgm_stat &gt;= perc_85, converted_stat * 1.5, converted_stat)))))</f>
        <v/>
      </c>
      <c r="I412" s="30" t="str">
        <f t="array" ref="I412">IF($A412="", "", LET(bbgm_stat, INDEX(Players!$A411:$P411, MATCH(I$2, Players!$A$1:$P$1, 0)), perc_75, VLOOKUP(I$2, Percentiles!$A$45:$I$59, 6, FALSE), perc_90, VLOOKUP(I$2, Percentiles!$A$45:$I$59, 7, FALSE), perc_95, VLOOKUP(I$2, Percentiles!$A$45:$I$59, 8, FALSE), perc_85, perc_75 + (perc_90 - perc_75) * (2/3), converted_stat, '2K_Ratings'!I412, IF(bbgm_stat &gt;= perc_95, converted_stat * 3, IF(bbgm_stat &gt;= perc_90, converted_stat * 2, IF(bbgm_stat &gt;= perc_85, converted_stat * 1.5, converted_stat)))))</f>
        <v/>
      </c>
      <c r="J412" s="30" t="str">
        <f t="array" ref="J412">IF($A412="", "", LET(bbgm_stat, INDEX(Players!$A411:$P411, MATCH(J$2, Players!$A$1:$P$1, 0)), perc_75, VLOOKUP(J$2, Percentiles!$A$45:$I$59, 6, FALSE), perc_90, VLOOKUP(J$2, Percentiles!$A$45:$I$59, 7, FALSE), perc_95, VLOOKUP(J$2, Percentiles!$A$45:$I$59, 8, FALSE), perc_85, perc_75 + (perc_90 - perc_75) * (2/3), converted_stat, '2K_Ratings'!J412, IF(bbgm_stat &gt;= perc_95, converted_stat * 3, IF(bbgm_stat &gt;= perc_90, converted_stat * 2, IF(bbgm_stat &gt;= perc_85, converted_stat * 1.5, converted_stat)))))</f>
        <v/>
      </c>
      <c r="K412" s="30" t="str">
        <f t="array" ref="K412">IF($A412="", "", LET(bbgm_stat, INDEX(Players!$A411:$P411, MATCH(K$2, Players!$A$1:$P$1, 0)), perc_75, VLOOKUP(K$2, Percentiles!$A$45:$I$59, 6, FALSE), perc_90, VLOOKUP(K$2, Percentiles!$A$45:$I$59, 7, FALSE), perc_95, VLOOKUP(K$2, Percentiles!$A$45:$I$59, 8, FALSE), perc_85, perc_75 + (perc_90 - perc_75) * (2/3), converted_stat, '2K_Ratings'!K412, IF(bbgm_stat &gt;= perc_95, converted_stat * 3, IF(bbgm_stat &gt;= perc_90, converted_stat * 2, IF(bbgm_stat &gt;= perc_85, converted_stat * 1.5, converted_stat)))))</f>
        <v/>
      </c>
      <c r="L412" s="30" t="str">
        <f t="array" ref="L412">IF($A412="", "", LET(bbgm_stat, INDEX(Players!$A411:$P411, MATCH(L$2, Players!$A$1:$P$1, 0)), perc_75, VLOOKUP(L$2, Percentiles!$A$45:$I$59, 6, FALSE), perc_90, VLOOKUP(L$2, Percentiles!$A$45:$I$59, 7, FALSE), perc_95, VLOOKUP(L$2, Percentiles!$A$45:$I$59, 8, FALSE), perc_85, perc_75 + (perc_90 - perc_75) * (2/3), converted_stat, '2K_Ratings'!L412, IF(bbgm_stat &gt;= perc_95, converted_stat * 3, IF(bbgm_stat &gt;= perc_90, converted_stat * 2, IF(bbgm_stat &gt;= perc_85, converted_stat * 1.5, converted_stat)))))</f>
        <v/>
      </c>
      <c r="M412" s="30" t="str">
        <f t="array" ref="M412">IF($A412="", "", LET(bbgm_stat, INDEX(Players!$A411:$P411, MATCH(M$2, Players!$A$1:$P$1, 0)), perc_75, VLOOKUP(M$2, Percentiles!$A$45:$I$59, 6, FALSE), perc_90, VLOOKUP(M$2, Percentiles!$A$45:$I$59, 7, FALSE), perc_95, VLOOKUP(M$2, Percentiles!$A$45:$I$59, 8, FALSE), perc_85, perc_75 + (perc_90 - perc_75) * (2/3), converted_stat, '2K_Ratings'!M412, IF(bbgm_stat &gt;= perc_95, converted_stat * 3, IF(bbgm_stat &gt;= perc_90, converted_stat * 2, IF(bbgm_stat &gt;= perc_85, converted_stat * 1.5, converted_stat)))))</f>
        <v/>
      </c>
      <c r="N412" s="30" t="str">
        <f t="array" ref="N412">IF($A412="", "", LET(bbgm_stat, INDEX(Players!$A411:$P411, MATCH(N$2, Players!$A$1:$P$1, 0)), perc_75, VLOOKUP(N$2, Percentiles!$A$45:$I$59, 6, FALSE), perc_90, VLOOKUP(N$2, Percentiles!$A$45:$I$59, 7, FALSE), perc_95, VLOOKUP(N$2, Percentiles!$A$45:$I$59, 8, FALSE), perc_85, perc_75 + (perc_90 - perc_75) * (2/3), converted_stat, '2K_Ratings'!N412, IF(bbgm_stat &gt;= perc_95, converted_stat * 3, IF(bbgm_stat &gt;= perc_90, converted_stat * 2, IF(bbgm_stat &gt;= perc_85, converted_stat * 1.5, converted_stat)))))</f>
        <v/>
      </c>
      <c r="O412" s="30" t="str">
        <f t="array" ref="O412">IF($A412="", "", LET(bbgm_stat, INDEX(Players!$A411:$P411, MATCH(O$2, Players!$A$1:$P$1, 0)), perc_75, VLOOKUP(O$2, Percentiles!$A$45:$I$59, 6, FALSE), perc_90, VLOOKUP(O$2, Percentiles!$A$45:$I$59, 7, FALSE), perc_95, VLOOKUP(O$2, Percentiles!$A$45:$I$59, 8, FALSE), perc_85, perc_75 + (perc_90 - perc_75) * (2/3), converted_stat, '2K_Ratings'!O412, IF(bbgm_stat &gt;= perc_95, converted_stat * 3, IF(bbgm_stat &gt;= perc_90, converted_stat * 2, IF(bbgm_stat &gt;= perc_85, converted_stat * 1.5, converted_stat)))))</f>
        <v/>
      </c>
      <c r="P412" s="30" t="str">
        <f t="array" ref="P412">IF($A412="", "", LET(bbgm_stat, INDEX(Players!$A411:$P411, MATCH(P$2, Players!$A$1:$P$1, 0)), perc_75, VLOOKUP(P$2, Percentiles!$A$45:$I$59, 6, FALSE), perc_90, VLOOKUP(P$2, Percentiles!$A$45:$I$59, 7, FALSE), perc_95, VLOOKUP(P$2, Percentiles!$A$45:$I$59, 8, FALSE), perc_85, perc_75 + (perc_90 - perc_75) * (2/3), converted_stat, '2K_Ratings'!P412, IF(bbgm_stat &gt;= perc_95, converted_stat * 3, IF(bbgm_stat &gt;= perc_90, converted_stat * 2, IF(bbgm_stat &gt;= perc_85, converted_stat * 1.5, converted_stat)))))</f>
        <v/>
      </c>
      <c r="Q412" s="30" t="str">
        <f t="array" ref="Q412">IF($A412="", "", LET(bbgm_stat, INDEX(Players!$A411:$P411, MATCH(Q$2, Players!$A$1:$P$1, 0)), perc_75, VLOOKUP(Q$2, Percentiles!$A$45:$I$59, 6, FALSE), perc_90, VLOOKUP(Q$2, Percentiles!$A$45:$I$59, 7, FALSE), perc_95, VLOOKUP(Q$2, Percentiles!$A$45:$I$59, 8, FALSE), perc_85, perc_75 + (perc_90 - perc_75) * (2/3), converted_stat, '2K_Ratings'!Q412, IF(bbgm_stat &gt;= perc_95, converted_stat * 3, IF(bbgm_stat &gt;= perc_90, converted_stat * 2, IF(bbgm_stat &gt;= perc_85, converted_stat * 1.5, converted_stat)))))</f>
        <v/>
      </c>
      <c r="R412" s="30" t="str">
        <f t="array" ref="R412">IF($A412="", "", LET(bbgm_stat, INDEX(Players!$A411:$P411, MATCH(R$2, Players!$A$1:$P$1, 0)), perc_75, VLOOKUP(R$2, Percentiles!$A$45:$I$59, 6, FALSE), perc_90, VLOOKUP(R$2, Percentiles!$A$45:$I$59, 7, FALSE), perc_95, VLOOKUP(R$2, Percentiles!$A$45:$I$59, 8, FALSE), perc_85, perc_75 + (perc_90 - perc_75) * (2/3), converted_stat, '2K_Ratings'!R412, IF(bbgm_stat &gt;= perc_95, converted_stat * 3, IF(bbgm_stat &gt;= perc_90, converted_stat * 2, IF(bbgm_stat &gt;= perc_85, converted_stat * 1.5, converted_stat)))))</f>
        <v/>
      </c>
      <c r="S412" s="30" t="str">
        <f t="array" ref="S412">IF($A412="", "", LET(bbgm_stat, INDEX(Players!$A411:$P411, MATCH(S$2, Players!$A$1:$P$1, 0)), perc_75, VLOOKUP(S$2, Percentiles!$A$45:$I$59, 6, FALSE), perc_90, VLOOKUP(S$2, Percentiles!$A$45:$I$59, 7, FALSE), perc_95, VLOOKUP(S$2, Percentiles!$A$45:$I$59, 8, FALSE), perc_85, perc_75 + (perc_90 - perc_75) * (2/3), converted_stat, '2K_Ratings'!S412, IF(bbgm_stat &gt;= perc_95, converted_stat * 3, IF(bbgm_stat &gt;= perc_90, converted_stat * 2, IF(bbgm_stat &gt;= perc_85, converted_stat * 1.5, converted_stat)))))</f>
        <v/>
      </c>
      <c r="T412" s="30" t="str">
        <f t="array" ref="T412">IF($A412="", "", LET(bbgm_stat, INDEX(Players!$A411:$P411, MATCH(T$2, Players!$A$1:$P$1, 0)), perc_75, VLOOKUP(T$2, Percentiles!$A$45:$I$59, 6, FALSE), perc_90, VLOOKUP(T$2, Percentiles!$A$45:$I$59, 7, FALSE), perc_95, VLOOKUP(T$2, Percentiles!$A$45:$I$59, 8, FALSE), perc_85, perc_75 + (perc_90 - perc_75) * (2/3), converted_stat, '2K_Ratings'!T412, IF(bbgm_stat &gt;= perc_95, converted_stat * 3, IF(bbgm_stat &gt;= perc_90, converted_stat * 2, IF(bbgm_stat &gt;= perc_85, converted_stat * 1.5, converted_stat)))))</f>
        <v/>
      </c>
      <c r="U412" s="30" t="str">
        <f t="array" ref="U412">IF($A412="", "", LET(bbgm_stat, INDEX(Players!$A411:$P411, MATCH(U$2, Players!$A$1:$P$1, 0)), perc_75, VLOOKUP(U$2, Percentiles!$A$45:$I$59, 6, FALSE), perc_90, VLOOKUP(U$2, Percentiles!$A$45:$I$59, 7, FALSE), perc_95, VLOOKUP(U$2, Percentiles!$A$45:$I$59, 8, FALSE), perc_85, perc_75 + (perc_90 - perc_75) * (2/3), converted_stat, '2K_Ratings'!U412, IF(bbgm_stat &gt;= perc_95, converted_stat * 3, IF(bbgm_stat &gt;= perc_90, converted_stat * 2, IF(bbgm_stat &gt;= perc_85, converted_stat * 1.5, converted_stat)))))</f>
        <v/>
      </c>
      <c r="V412" s="30" t="str">
        <f t="array" ref="V412">IF($A412="", "", LET(bbgm_stat, INDEX(Players!$A411:$P411, MATCH(V$2, Players!$A$1:$P$1, 0)), perc_75, VLOOKUP(V$2, Percentiles!$A$45:$I$59, 6, FALSE), perc_90, VLOOKUP(V$2, Percentiles!$A$45:$I$59, 7, FALSE), perc_95, VLOOKUP(V$2, Percentiles!$A$45:$I$59, 8, FALSE), perc_85, perc_75 + (perc_90 - perc_75) * (2/3), converted_stat, '2K_Ratings'!V412, IF(bbgm_stat &gt;= perc_95, converted_stat * 3, IF(bbgm_stat &gt;= perc_90, converted_stat * 2, IF(bbgm_stat &gt;= perc_85, converted_stat * 1.5, converted_stat)))))</f>
        <v/>
      </c>
      <c r="W412" s="30" t="str">
        <f t="array" ref="W412">IF($A412="", "", LET(bbgm_stat, INDEX(Players!$A411:$P411, MATCH(W$2, Players!$A$1:$P$1, 0)), perc_75, VLOOKUP(W$2, Percentiles!$A$45:$I$59, 6, FALSE), perc_90, VLOOKUP(W$2, Percentiles!$A$45:$I$59, 7, FALSE), perc_95, VLOOKUP(W$2, Percentiles!$A$45:$I$59, 8, FALSE), perc_85, perc_75 + (perc_90 - perc_75) * (2/3), converted_stat, '2K_Ratings'!W412, IF(bbgm_stat &gt;= perc_95, converted_stat * 3, IF(bbgm_stat &gt;= perc_90, converted_stat * 2, IF(bbgm_stat &gt;= perc_85, converted_stat * 1.5, converted_stat)))))</f>
        <v/>
      </c>
    </row>
    <row r="413">
      <c r="A413" s="30"/>
      <c r="B413" s="30" t="str">
        <f t="array" ref="B413">IF($A413="", "", LET(bbgm_stat, INDEX(Players!$A412:$P412, MATCH(B$2, Players!$A$1:$P$1, 0)), perc_75, VLOOKUP(B$2, Percentiles!$A$45:$I$59, 6, FALSE), perc_90, VLOOKUP(B$2, Percentiles!$A$45:$I$59, 7, FALSE), perc_95, VLOOKUP(B$2, Percentiles!$A$45:$I$59, 8, FALSE), perc_85, perc_75 + (perc_90 - perc_75) * (2/3), converted_stat, '2K_Ratings'!B413, IF(bbgm_stat &gt;= perc_95, converted_stat * 3, IF(bbgm_stat &gt;= perc_90, converted_stat * 2, IF(bbgm_stat &gt;= perc_85, converted_stat * 1.5, converted_stat)))))</f>
        <v/>
      </c>
      <c r="C413" s="30" t="str">
        <f t="array" ref="C413">IF($A413="", "", LET(bbgm_stat, INDEX(Players!$A412:$P412, MATCH(C$2, Players!$A$1:$P$1, 0)), perc_75, VLOOKUP(C$2, Percentiles!$A$45:$I$59, 6, FALSE), perc_90, VLOOKUP(C$2, Percentiles!$A$45:$I$59, 7, FALSE), perc_95, VLOOKUP(C$2, Percentiles!$A$45:$I$59, 8, FALSE), perc_85, perc_75 + (perc_90 - perc_75) * (2/3), converted_stat, '2K_Ratings'!C413, IF(bbgm_stat &gt;= perc_95, converted_stat * 3, IF(bbgm_stat &gt;= perc_90, converted_stat * 2, IF(bbgm_stat &gt;= perc_85, converted_stat * 1.5, converted_stat)))))</f>
        <v/>
      </c>
      <c r="D413" s="30" t="str">
        <f t="array" ref="D413">IF($A413="", "", LET(bbgm_stat, INDEX(Players!$A412:$P412, MATCH(D$2, Players!$A$1:$P$1, 0)), perc_75, VLOOKUP(D$2, Percentiles!$A$45:$I$59, 6, FALSE), perc_90, VLOOKUP(D$2, Percentiles!$A$45:$I$59, 7, FALSE), perc_95, VLOOKUP(D$2, Percentiles!$A$45:$I$59, 8, FALSE), perc_85, perc_75 + (perc_90 - perc_75) * (2/3), converted_stat, '2K_Ratings'!D413, IF(bbgm_stat &gt;= perc_95, converted_stat * 3, IF(bbgm_stat &gt;= perc_90, converted_stat * 2, IF(bbgm_stat &gt;= perc_85, converted_stat * 1.5, converted_stat)))))</f>
        <v/>
      </c>
      <c r="E413" s="30" t="str">
        <f t="array" ref="E413">IF($A413="", "", LET(bbgm_stat, INDEX(Players!$A412:$P412, MATCH(E$2, Players!$A$1:$P$1, 0)), perc_75, VLOOKUP(E$2, Percentiles!$A$45:$I$59, 6, FALSE), perc_90, VLOOKUP(E$2, Percentiles!$A$45:$I$59, 7, FALSE), perc_95, VLOOKUP(E$2, Percentiles!$A$45:$I$59, 8, FALSE), perc_85, perc_75 + (perc_90 - perc_75) * (2/3), converted_stat, '2K_Ratings'!E413, IF(bbgm_stat &gt;= perc_95, converted_stat * 3, IF(bbgm_stat &gt;= perc_90, converted_stat * 2, IF(bbgm_stat &gt;= perc_85, converted_stat * 1.5, converted_stat)))))</f>
        <v/>
      </c>
      <c r="F413" s="30" t="str">
        <f t="array" ref="F413">IF($A413="", "", LET(bbgm_stat, INDEX(Players!$A412:$P412, MATCH(F$2, Players!$A$1:$P$1, 0)), perc_75, VLOOKUP(F$2, Percentiles!$A$45:$I$59, 6, FALSE), perc_90, VLOOKUP(F$2, Percentiles!$A$45:$I$59, 7, FALSE), perc_95, VLOOKUP(F$2, Percentiles!$A$45:$I$59, 8, FALSE), perc_85, perc_75 + (perc_90 - perc_75) * (2/3), converted_stat, '2K_Ratings'!F413, IF(bbgm_stat &gt;= perc_95, converted_stat * 3, IF(bbgm_stat &gt;= perc_90, converted_stat * 2, IF(bbgm_stat &gt;= perc_85, converted_stat * 1.5, converted_stat)))))</f>
        <v/>
      </c>
      <c r="G413" s="30" t="str">
        <f t="array" ref="G413">IF($A413="", "", LET(bbgm_stat, INDEX(Players!$A412:$P412, MATCH(G$2, Players!$A$1:$P$1, 0)), perc_75, VLOOKUP(G$2, Percentiles!$A$45:$I$59, 6, FALSE), perc_90, VLOOKUP(G$2, Percentiles!$A$45:$I$59, 7, FALSE), perc_95, VLOOKUP(G$2, Percentiles!$A$45:$I$59, 8, FALSE), perc_85, perc_75 + (perc_90 - perc_75) * (2/3), converted_stat, '2K_Ratings'!G413, IF(bbgm_stat &gt;= perc_95, converted_stat * 3, IF(bbgm_stat &gt;= perc_90, converted_stat * 2, IF(bbgm_stat &gt;= perc_85, converted_stat * 1.5, converted_stat)))))</f>
        <v/>
      </c>
      <c r="H413" s="30" t="str">
        <f t="array" ref="H413">IF($A413="", "", LET(bbgm_stat, INDEX(Players!$A412:$P412, MATCH(H$2, Players!$A$1:$P$1, 0)), perc_75, VLOOKUP(H$2, Percentiles!$A$45:$I$59, 6, FALSE), perc_90, VLOOKUP(H$2, Percentiles!$A$45:$I$59, 7, FALSE), perc_95, VLOOKUP(H$2, Percentiles!$A$45:$I$59, 8, FALSE), perc_85, perc_75 + (perc_90 - perc_75) * (2/3), converted_stat, '2K_Ratings'!H413, IF(bbgm_stat &gt;= perc_95, converted_stat * 3, IF(bbgm_stat &gt;= perc_90, converted_stat * 2, IF(bbgm_stat &gt;= perc_85, converted_stat * 1.5, converted_stat)))))</f>
        <v/>
      </c>
      <c r="I413" s="30" t="str">
        <f t="array" ref="I413">IF($A413="", "", LET(bbgm_stat, INDEX(Players!$A412:$P412, MATCH(I$2, Players!$A$1:$P$1, 0)), perc_75, VLOOKUP(I$2, Percentiles!$A$45:$I$59, 6, FALSE), perc_90, VLOOKUP(I$2, Percentiles!$A$45:$I$59, 7, FALSE), perc_95, VLOOKUP(I$2, Percentiles!$A$45:$I$59, 8, FALSE), perc_85, perc_75 + (perc_90 - perc_75) * (2/3), converted_stat, '2K_Ratings'!I413, IF(bbgm_stat &gt;= perc_95, converted_stat * 3, IF(bbgm_stat &gt;= perc_90, converted_stat * 2, IF(bbgm_stat &gt;= perc_85, converted_stat * 1.5, converted_stat)))))</f>
        <v/>
      </c>
      <c r="J413" s="30" t="str">
        <f t="array" ref="J413">IF($A413="", "", LET(bbgm_stat, INDEX(Players!$A412:$P412, MATCH(J$2, Players!$A$1:$P$1, 0)), perc_75, VLOOKUP(J$2, Percentiles!$A$45:$I$59, 6, FALSE), perc_90, VLOOKUP(J$2, Percentiles!$A$45:$I$59, 7, FALSE), perc_95, VLOOKUP(J$2, Percentiles!$A$45:$I$59, 8, FALSE), perc_85, perc_75 + (perc_90 - perc_75) * (2/3), converted_stat, '2K_Ratings'!J413, IF(bbgm_stat &gt;= perc_95, converted_stat * 3, IF(bbgm_stat &gt;= perc_90, converted_stat * 2, IF(bbgm_stat &gt;= perc_85, converted_stat * 1.5, converted_stat)))))</f>
        <v/>
      </c>
      <c r="K413" s="30" t="str">
        <f t="array" ref="K413">IF($A413="", "", LET(bbgm_stat, INDEX(Players!$A412:$P412, MATCH(K$2, Players!$A$1:$P$1, 0)), perc_75, VLOOKUP(K$2, Percentiles!$A$45:$I$59, 6, FALSE), perc_90, VLOOKUP(K$2, Percentiles!$A$45:$I$59, 7, FALSE), perc_95, VLOOKUP(K$2, Percentiles!$A$45:$I$59, 8, FALSE), perc_85, perc_75 + (perc_90 - perc_75) * (2/3), converted_stat, '2K_Ratings'!K413, IF(bbgm_stat &gt;= perc_95, converted_stat * 3, IF(bbgm_stat &gt;= perc_90, converted_stat * 2, IF(bbgm_stat &gt;= perc_85, converted_stat * 1.5, converted_stat)))))</f>
        <v/>
      </c>
      <c r="L413" s="30" t="str">
        <f t="array" ref="L413">IF($A413="", "", LET(bbgm_stat, INDEX(Players!$A412:$P412, MATCH(L$2, Players!$A$1:$P$1, 0)), perc_75, VLOOKUP(L$2, Percentiles!$A$45:$I$59, 6, FALSE), perc_90, VLOOKUP(L$2, Percentiles!$A$45:$I$59, 7, FALSE), perc_95, VLOOKUP(L$2, Percentiles!$A$45:$I$59, 8, FALSE), perc_85, perc_75 + (perc_90 - perc_75) * (2/3), converted_stat, '2K_Ratings'!L413, IF(bbgm_stat &gt;= perc_95, converted_stat * 3, IF(bbgm_stat &gt;= perc_90, converted_stat * 2, IF(bbgm_stat &gt;= perc_85, converted_stat * 1.5, converted_stat)))))</f>
        <v/>
      </c>
      <c r="M413" s="30" t="str">
        <f t="array" ref="M413">IF($A413="", "", LET(bbgm_stat, INDEX(Players!$A412:$P412, MATCH(M$2, Players!$A$1:$P$1, 0)), perc_75, VLOOKUP(M$2, Percentiles!$A$45:$I$59, 6, FALSE), perc_90, VLOOKUP(M$2, Percentiles!$A$45:$I$59, 7, FALSE), perc_95, VLOOKUP(M$2, Percentiles!$A$45:$I$59, 8, FALSE), perc_85, perc_75 + (perc_90 - perc_75) * (2/3), converted_stat, '2K_Ratings'!M413, IF(bbgm_stat &gt;= perc_95, converted_stat * 3, IF(bbgm_stat &gt;= perc_90, converted_stat * 2, IF(bbgm_stat &gt;= perc_85, converted_stat * 1.5, converted_stat)))))</f>
        <v/>
      </c>
      <c r="N413" s="30" t="str">
        <f t="array" ref="N413">IF($A413="", "", LET(bbgm_stat, INDEX(Players!$A412:$P412, MATCH(N$2, Players!$A$1:$P$1, 0)), perc_75, VLOOKUP(N$2, Percentiles!$A$45:$I$59, 6, FALSE), perc_90, VLOOKUP(N$2, Percentiles!$A$45:$I$59, 7, FALSE), perc_95, VLOOKUP(N$2, Percentiles!$A$45:$I$59, 8, FALSE), perc_85, perc_75 + (perc_90 - perc_75) * (2/3), converted_stat, '2K_Ratings'!N413, IF(bbgm_stat &gt;= perc_95, converted_stat * 3, IF(bbgm_stat &gt;= perc_90, converted_stat * 2, IF(bbgm_stat &gt;= perc_85, converted_stat * 1.5, converted_stat)))))</f>
        <v/>
      </c>
      <c r="O413" s="30" t="str">
        <f t="array" ref="O413">IF($A413="", "", LET(bbgm_stat, INDEX(Players!$A412:$P412, MATCH(O$2, Players!$A$1:$P$1, 0)), perc_75, VLOOKUP(O$2, Percentiles!$A$45:$I$59, 6, FALSE), perc_90, VLOOKUP(O$2, Percentiles!$A$45:$I$59, 7, FALSE), perc_95, VLOOKUP(O$2, Percentiles!$A$45:$I$59, 8, FALSE), perc_85, perc_75 + (perc_90 - perc_75) * (2/3), converted_stat, '2K_Ratings'!O413, IF(bbgm_stat &gt;= perc_95, converted_stat * 3, IF(bbgm_stat &gt;= perc_90, converted_stat * 2, IF(bbgm_stat &gt;= perc_85, converted_stat * 1.5, converted_stat)))))</f>
        <v/>
      </c>
      <c r="P413" s="30" t="str">
        <f t="array" ref="P413">IF($A413="", "", LET(bbgm_stat, INDEX(Players!$A412:$P412, MATCH(P$2, Players!$A$1:$P$1, 0)), perc_75, VLOOKUP(P$2, Percentiles!$A$45:$I$59, 6, FALSE), perc_90, VLOOKUP(P$2, Percentiles!$A$45:$I$59, 7, FALSE), perc_95, VLOOKUP(P$2, Percentiles!$A$45:$I$59, 8, FALSE), perc_85, perc_75 + (perc_90 - perc_75) * (2/3), converted_stat, '2K_Ratings'!P413, IF(bbgm_stat &gt;= perc_95, converted_stat * 3, IF(bbgm_stat &gt;= perc_90, converted_stat * 2, IF(bbgm_stat &gt;= perc_85, converted_stat * 1.5, converted_stat)))))</f>
        <v/>
      </c>
      <c r="Q413" s="30" t="str">
        <f t="array" ref="Q413">IF($A413="", "", LET(bbgm_stat, INDEX(Players!$A412:$P412, MATCH(Q$2, Players!$A$1:$P$1, 0)), perc_75, VLOOKUP(Q$2, Percentiles!$A$45:$I$59, 6, FALSE), perc_90, VLOOKUP(Q$2, Percentiles!$A$45:$I$59, 7, FALSE), perc_95, VLOOKUP(Q$2, Percentiles!$A$45:$I$59, 8, FALSE), perc_85, perc_75 + (perc_90 - perc_75) * (2/3), converted_stat, '2K_Ratings'!Q413, IF(bbgm_stat &gt;= perc_95, converted_stat * 3, IF(bbgm_stat &gt;= perc_90, converted_stat * 2, IF(bbgm_stat &gt;= perc_85, converted_stat * 1.5, converted_stat)))))</f>
        <v/>
      </c>
      <c r="R413" s="30" t="str">
        <f t="array" ref="R413">IF($A413="", "", LET(bbgm_stat, INDEX(Players!$A412:$P412, MATCH(R$2, Players!$A$1:$P$1, 0)), perc_75, VLOOKUP(R$2, Percentiles!$A$45:$I$59, 6, FALSE), perc_90, VLOOKUP(R$2, Percentiles!$A$45:$I$59, 7, FALSE), perc_95, VLOOKUP(R$2, Percentiles!$A$45:$I$59, 8, FALSE), perc_85, perc_75 + (perc_90 - perc_75) * (2/3), converted_stat, '2K_Ratings'!R413, IF(bbgm_stat &gt;= perc_95, converted_stat * 3, IF(bbgm_stat &gt;= perc_90, converted_stat * 2, IF(bbgm_stat &gt;= perc_85, converted_stat * 1.5, converted_stat)))))</f>
        <v/>
      </c>
      <c r="S413" s="30" t="str">
        <f t="array" ref="S413">IF($A413="", "", LET(bbgm_stat, INDEX(Players!$A412:$P412, MATCH(S$2, Players!$A$1:$P$1, 0)), perc_75, VLOOKUP(S$2, Percentiles!$A$45:$I$59, 6, FALSE), perc_90, VLOOKUP(S$2, Percentiles!$A$45:$I$59, 7, FALSE), perc_95, VLOOKUP(S$2, Percentiles!$A$45:$I$59, 8, FALSE), perc_85, perc_75 + (perc_90 - perc_75) * (2/3), converted_stat, '2K_Ratings'!S413, IF(bbgm_stat &gt;= perc_95, converted_stat * 3, IF(bbgm_stat &gt;= perc_90, converted_stat * 2, IF(bbgm_stat &gt;= perc_85, converted_stat * 1.5, converted_stat)))))</f>
        <v/>
      </c>
      <c r="T413" s="30" t="str">
        <f t="array" ref="T413">IF($A413="", "", LET(bbgm_stat, INDEX(Players!$A412:$P412, MATCH(T$2, Players!$A$1:$P$1, 0)), perc_75, VLOOKUP(T$2, Percentiles!$A$45:$I$59, 6, FALSE), perc_90, VLOOKUP(T$2, Percentiles!$A$45:$I$59, 7, FALSE), perc_95, VLOOKUP(T$2, Percentiles!$A$45:$I$59, 8, FALSE), perc_85, perc_75 + (perc_90 - perc_75) * (2/3), converted_stat, '2K_Ratings'!T413, IF(bbgm_stat &gt;= perc_95, converted_stat * 3, IF(bbgm_stat &gt;= perc_90, converted_stat * 2, IF(bbgm_stat &gt;= perc_85, converted_stat * 1.5, converted_stat)))))</f>
        <v/>
      </c>
      <c r="U413" s="30" t="str">
        <f t="array" ref="U413">IF($A413="", "", LET(bbgm_stat, INDEX(Players!$A412:$P412, MATCH(U$2, Players!$A$1:$P$1, 0)), perc_75, VLOOKUP(U$2, Percentiles!$A$45:$I$59, 6, FALSE), perc_90, VLOOKUP(U$2, Percentiles!$A$45:$I$59, 7, FALSE), perc_95, VLOOKUP(U$2, Percentiles!$A$45:$I$59, 8, FALSE), perc_85, perc_75 + (perc_90 - perc_75) * (2/3), converted_stat, '2K_Ratings'!U413, IF(bbgm_stat &gt;= perc_95, converted_stat * 3, IF(bbgm_stat &gt;= perc_90, converted_stat * 2, IF(bbgm_stat &gt;= perc_85, converted_stat * 1.5, converted_stat)))))</f>
        <v/>
      </c>
      <c r="V413" s="30" t="str">
        <f t="array" ref="V413">IF($A413="", "", LET(bbgm_stat, INDEX(Players!$A412:$P412, MATCH(V$2, Players!$A$1:$P$1, 0)), perc_75, VLOOKUP(V$2, Percentiles!$A$45:$I$59, 6, FALSE), perc_90, VLOOKUP(V$2, Percentiles!$A$45:$I$59, 7, FALSE), perc_95, VLOOKUP(V$2, Percentiles!$A$45:$I$59, 8, FALSE), perc_85, perc_75 + (perc_90 - perc_75) * (2/3), converted_stat, '2K_Ratings'!V413, IF(bbgm_stat &gt;= perc_95, converted_stat * 3, IF(bbgm_stat &gt;= perc_90, converted_stat * 2, IF(bbgm_stat &gt;= perc_85, converted_stat * 1.5, converted_stat)))))</f>
        <v/>
      </c>
      <c r="W413" s="30" t="str">
        <f t="array" ref="W413">IF($A413="", "", LET(bbgm_stat, INDEX(Players!$A412:$P412, MATCH(W$2, Players!$A$1:$P$1, 0)), perc_75, VLOOKUP(W$2, Percentiles!$A$45:$I$59, 6, FALSE), perc_90, VLOOKUP(W$2, Percentiles!$A$45:$I$59, 7, FALSE), perc_95, VLOOKUP(W$2, Percentiles!$A$45:$I$59, 8, FALSE), perc_85, perc_75 + (perc_90 - perc_75) * (2/3), converted_stat, '2K_Ratings'!W413, IF(bbgm_stat &gt;= perc_95, converted_stat * 3, IF(bbgm_stat &gt;= perc_90, converted_stat * 2, IF(bbgm_stat &gt;= perc_85, converted_stat * 1.5, converted_stat)))))</f>
        <v/>
      </c>
    </row>
    <row r="414">
      <c r="A414" s="30"/>
      <c r="B414" s="30" t="str">
        <f t="array" ref="B414">IF($A414="", "", LET(bbgm_stat, INDEX(Players!$A413:$P413, MATCH(B$2, Players!$A$1:$P$1, 0)), perc_75, VLOOKUP(B$2, Percentiles!$A$45:$I$59, 6, FALSE), perc_90, VLOOKUP(B$2, Percentiles!$A$45:$I$59, 7, FALSE), perc_95, VLOOKUP(B$2, Percentiles!$A$45:$I$59, 8, FALSE), perc_85, perc_75 + (perc_90 - perc_75) * (2/3), converted_stat, '2K_Ratings'!B414, IF(bbgm_stat &gt;= perc_95, converted_stat * 3, IF(bbgm_stat &gt;= perc_90, converted_stat * 2, IF(bbgm_stat &gt;= perc_85, converted_stat * 1.5, converted_stat)))))</f>
        <v/>
      </c>
      <c r="C414" s="30" t="str">
        <f t="array" ref="C414">IF($A414="", "", LET(bbgm_stat, INDEX(Players!$A413:$P413, MATCH(C$2, Players!$A$1:$P$1, 0)), perc_75, VLOOKUP(C$2, Percentiles!$A$45:$I$59, 6, FALSE), perc_90, VLOOKUP(C$2, Percentiles!$A$45:$I$59, 7, FALSE), perc_95, VLOOKUP(C$2, Percentiles!$A$45:$I$59, 8, FALSE), perc_85, perc_75 + (perc_90 - perc_75) * (2/3), converted_stat, '2K_Ratings'!C414, IF(bbgm_stat &gt;= perc_95, converted_stat * 3, IF(bbgm_stat &gt;= perc_90, converted_stat * 2, IF(bbgm_stat &gt;= perc_85, converted_stat * 1.5, converted_stat)))))</f>
        <v/>
      </c>
      <c r="D414" s="30" t="str">
        <f t="array" ref="D414">IF($A414="", "", LET(bbgm_stat, INDEX(Players!$A413:$P413, MATCH(D$2, Players!$A$1:$P$1, 0)), perc_75, VLOOKUP(D$2, Percentiles!$A$45:$I$59, 6, FALSE), perc_90, VLOOKUP(D$2, Percentiles!$A$45:$I$59, 7, FALSE), perc_95, VLOOKUP(D$2, Percentiles!$A$45:$I$59, 8, FALSE), perc_85, perc_75 + (perc_90 - perc_75) * (2/3), converted_stat, '2K_Ratings'!D414, IF(bbgm_stat &gt;= perc_95, converted_stat * 3, IF(bbgm_stat &gt;= perc_90, converted_stat * 2, IF(bbgm_stat &gt;= perc_85, converted_stat * 1.5, converted_stat)))))</f>
        <v/>
      </c>
      <c r="E414" s="30" t="str">
        <f t="array" ref="E414">IF($A414="", "", LET(bbgm_stat, INDEX(Players!$A413:$P413, MATCH(E$2, Players!$A$1:$P$1, 0)), perc_75, VLOOKUP(E$2, Percentiles!$A$45:$I$59, 6, FALSE), perc_90, VLOOKUP(E$2, Percentiles!$A$45:$I$59, 7, FALSE), perc_95, VLOOKUP(E$2, Percentiles!$A$45:$I$59, 8, FALSE), perc_85, perc_75 + (perc_90 - perc_75) * (2/3), converted_stat, '2K_Ratings'!E414, IF(bbgm_stat &gt;= perc_95, converted_stat * 3, IF(bbgm_stat &gt;= perc_90, converted_stat * 2, IF(bbgm_stat &gt;= perc_85, converted_stat * 1.5, converted_stat)))))</f>
        <v/>
      </c>
      <c r="F414" s="30" t="str">
        <f t="array" ref="F414">IF($A414="", "", LET(bbgm_stat, INDEX(Players!$A413:$P413, MATCH(F$2, Players!$A$1:$P$1, 0)), perc_75, VLOOKUP(F$2, Percentiles!$A$45:$I$59, 6, FALSE), perc_90, VLOOKUP(F$2, Percentiles!$A$45:$I$59, 7, FALSE), perc_95, VLOOKUP(F$2, Percentiles!$A$45:$I$59, 8, FALSE), perc_85, perc_75 + (perc_90 - perc_75) * (2/3), converted_stat, '2K_Ratings'!F414, IF(bbgm_stat &gt;= perc_95, converted_stat * 3, IF(bbgm_stat &gt;= perc_90, converted_stat * 2, IF(bbgm_stat &gt;= perc_85, converted_stat * 1.5, converted_stat)))))</f>
        <v/>
      </c>
      <c r="G414" s="30" t="str">
        <f t="array" ref="G414">IF($A414="", "", LET(bbgm_stat, INDEX(Players!$A413:$P413, MATCH(G$2, Players!$A$1:$P$1, 0)), perc_75, VLOOKUP(G$2, Percentiles!$A$45:$I$59, 6, FALSE), perc_90, VLOOKUP(G$2, Percentiles!$A$45:$I$59, 7, FALSE), perc_95, VLOOKUP(G$2, Percentiles!$A$45:$I$59, 8, FALSE), perc_85, perc_75 + (perc_90 - perc_75) * (2/3), converted_stat, '2K_Ratings'!G414, IF(bbgm_stat &gt;= perc_95, converted_stat * 3, IF(bbgm_stat &gt;= perc_90, converted_stat * 2, IF(bbgm_stat &gt;= perc_85, converted_stat * 1.5, converted_stat)))))</f>
        <v/>
      </c>
      <c r="H414" s="30" t="str">
        <f t="array" ref="H414">IF($A414="", "", LET(bbgm_stat, INDEX(Players!$A413:$P413, MATCH(H$2, Players!$A$1:$P$1, 0)), perc_75, VLOOKUP(H$2, Percentiles!$A$45:$I$59, 6, FALSE), perc_90, VLOOKUP(H$2, Percentiles!$A$45:$I$59, 7, FALSE), perc_95, VLOOKUP(H$2, Percentiles!$A$45:$I$59, 8, FALSE), perc_85, perc_75 + (perc_90 - perc_75) * (2/3), converted_stat, '2K_Ratings'!H414, IF(bbgm_stat &gt;= perc_95, converted_stat * 3, IF(bbgm_stat &gt;= perc_90, converted_stat * 2, IF(bbgm_stat &gt;= perc_85, converted_stat * 1.5, converted_stat)))))</f>
        <v/>
      </c>
      <c r="I414" s="30" t="str">
        <f t="array" ref="I414">IF($A414="", "", LET(bbgm_stat, INDEX(Players!$A413:$P413, MATCH(I$2, Players!$A$1:$P$1, 0)), perc_75, VLOOKUP(I$2, Percentiles!$A$45:$I$59, 6, FALSE), perc_90, VLOOKUP(I$2, Percentiles!$A$45:$I$59, 7, FALSE), perc_95, VLOOKUP(I$2, Percentiles!$A$45:$I$59, 8, FALSE), perc_85, perc_75 + (perc_90 - perc_75) * (2/3), converted_stat, '2K_Ratings'!I414, IF(bbgm_stat &gt;= perc_95, converted_stat * 3, IF(bbgm_stat &gt;= perc_90, converted_stat * 2, IF(bbgm_stat &gt;= perc_85, converted_stat * 1.5, converted_stat)))))</f>
        <v/>
      </c>
      <c r="J414" s="30" t="str">
        <f t="array" ref="J414">IF($A414="", "", LET(bbgm_stat, INDEX(Players!$A413:$P413, MATCH(J$2, Players!$A$1:$P$1, 0)), perc_75, VLOOKUP(J$2, Percentiles!$A$45:$I$59, 6, FALSE), perc_90, VLOOKUP(J$2, Percentiles!$A$45:$I$59, 7, FALSE), perc_95, VLOOKUP(J$2, Percentiles!$A$45:$I$59, 8, FALSE), perc_85, perc_75 + (perc_90 - perc_75) * (2/3), converted_stat, '2K_Ratings'!J414, IF(bbgm_stat &gt;= perc_95, converted_stat * 3, IF(bbgm_stat &gt;= perc_90, converted_stat * 2, IF(bbgm_stat &gt;= perc_85, converted_stat * 1.5, converted_stat)))))</f>
        <v/>
      </c>
      <c r="K414" s="30" t="str">
        <f t="array" ref="K414">IF($A414="", "", LET(bbgm_stat, INDEX(Players!$A413:$P413, MATCH(K$2, Players!$A$1:$P$1, 0)), perc_75, VLOOKUP(K$2, Percentiles!$A$45:$I$59, 6, FALSE), perc_90, VLOOKUP(K$2, Percentiles!$A$45:$I$59, 7, FALSE), perc_95, VLOOKUP(K$2, Percentiles!$A$45:$I$59, 8, FALSE), perc_85, perc_75 + (perc_90 - perc_75) * (2/3), converted_stat, '2K_Ratings'!K414, IF(bbgm_stat &gt;= perc_95, converted_stat * 3, IF(bbgm_stat &gt;= perc_90, converted_stat * 2, IF(bbgm_stat &gt;= perc_85, converted_stat * 1.5, converted_stat)))))</f>
        <v/>
      </c>
      <c r="L414" s="30" t="str">
        <f t="array" ref="L414">IF($A414="", "", LET(bbgm_stat, INDEX(Players!$A413:$P413, MATCH(L$2, Players!$A$1:$P$1, 0)), perc_75, VLOOKUP(L$2, Percentiles!$A$45:$I$59, 6, FALSE), perc_90, VLOOKUP(L$2, Percentiles!$A$45:$I$59, 7, FALSE), perc_95, VLOOKUP(L$2, Percentiles!$A$45:$I$59, 8, FALSE), perc_85, perc_75 + (perc_90 - perc_75) * (2/3), converted_stat, '2K_Ratings'!L414, IF(bbgm_stat &gt;= perc_95, converted_stat * 3, IF(bbgm_stat &gt;= perc_90, converted_stat * 2, IF(bbgm_stat &gt;= perc_85, converted_stat * 1.5, converted_stat)))))</f>
        <v/>
      </c>
      <c r="M414" s="30" t="str">
        <f t="array" ref="M414">IF($A414="", "", LET(bbgm_stat, INDEX(Players!$A413:$P413, MATCH(M$2, Players!$A$1:$P$1, 0)), perc_75, VLOOKUP(M$2, Percentiles!$A$45:$I$59, 6, FALSE), perc_90, VLOOKUP(M$2, Percentiles!$A$45:$I$59, 7, FALSE), perc_95, VLOOKUP(M$2, Percentiles!$A$45:$I$59, 8, FALSE), perc_85, perc_75 + (perc_90 - perc_75) * (2/3), converted_stat, '2K_Ratings'!M414, IF(bbgm_stat &gt;= perc_95, converted_stat * 3, IF(bbgm_stat &gt;= perc_90, converted_stat * 2, IF(bbgm_stat &gt;= perc_85, converted_stat * 1.5, converted_stat)))))</f>
        <v/>
      </c>
      <c r="N414" s="30" t="str">
        <f t="array" ref="N414">IF($A414="", "", LET(bbgm_stat, INDEX(Players!$A413:$P413, MATCH(N$2, Players!$A$1:$P$1, 0)), perc_75, VLOOKUP(N$2, Percentiles!$A$45:$I$59, 6, FALSE), perc_90, VLOOKUP(N$2, Percentiles!$A$45:$I$59, 7, FALSE), perc_95, VLOOKUP(N$2, Percentiles!$A$45:$I$59, 8, FALSE), perc_85, perc_75 + (perc_90 - perc_75) * (2/3), converted_stat, '2K_Ratings'!N414, IF(bbgm_stat &gt;= perc_95, converted_stat * 3, IF(bbgm_stat &gt;= perc_90, converted_stat * 2, IF(bbgm_stat &gt;= perc_85, converted_stat * 1.5, converted_stat)))))</f>
        <v/>
      </c>
      <c r="O414" s="30" t="str">
        <f t="array" ref="O414">IF($A414="", "", LET(bbgm_stat, INDEX(Players!$A413:$P413, MATCH(O$2, Players!$A$1:$P$1, 0)), perc_75, VLOOKUP(O$2, Percentiles!$A$45:$I$59, 6, FALSE), perc_90, VLOOKUP(O$2, Percentiles!$A$45:$I$59, 7, FALSE), perc_95, VLOOKUP(O$2, Percentiles!$A$45:$I$59, 8, FALSE), perc_85, perc_75 + (perc_90 - perc_75) * (2/3), converted_stat, '2K_Ratings'!O414, IF(bbgm_stat &gt;= perc_95, converted_stat * 3, IF(bbgm_stat &gt;= perc_90, converted_stat * 2, IF(bbgm_stat &gt;= perc_85, converted_stat * 1.5, converted_stat)))))</f>
        <v/>
      </c>
      <c r="P414" s="30" t="str">
        <f t="array" ref="P414">IF($A414="", "", LET(bbgm_stat, INDEX(Players!$A413:$P413, MATCH(P$2, Players!$A$1:$P$1, 0)), perc_75, VLOOKUP(P$2, Percentiles!$A$45:$I$59, 6, FALSE), perc_90, VLOOKUP(P$2, Percentiles!$A$45:$I$59, 7, FALSE), perc_95, VLOOKUP(P$2, Percentiles!$A$45:$I$59, 8, FALSE), perc_85, perc_75 + (perc_90 - perc_75) * (2/3), converted_stat, '2K_Ratings'!P414, IF(bbgm_stat &gt;= perc_95, converted_stat * 3, IF(bbgm_stat &gt;= perc_90, converted_stat * 2, IF(bbgm_stat &gt;= perc_85, converted_stat * 1.5, converted_stat)))))</f>
        <v/>
      </c>
      <c r="Q414" s="30" t="str">
        <f t="array" ref="Q414">IF($A414="", "", LET(bbgm_stat, INDEX(Players!$A413:$P413, MATCH(Q$2, Players!$A$1:$P$1, 0)), perc_75, VLOOKUP(Q$2, Percentiles!$A$45:$I$59, 6, FALSE), perc_90, VLOOKUP(Q$2, Percentiles!$A$45:$I$59, 7, FALSE), perc_95, VLOOKUP(Q$2, Percentiles!$A$45:$I$59, 8, FALSE), perc_85, perc_75 + (perc_90 - perc_75) * (2/3), converted_stat, '2K_Ratings'!Q414, IF(bbgm_stat &gt;= perc_95, converted_stat * 3, IF(bbgm_stat &gt;= perc_90, converted_stat * 2, IF(bbgm_stat &gt;= perc_85, converted_stat * 1.5, converted_stat)))))</f>
        <v/>
      </c>
      <c r="R414" s="30" t="str">
        <f t="array" ref="R414">IF($A414="", "", LET(bbgm_stat, INDEX(Players!$A413:$P413, MATCH(R$2, Players!$A$1:$P$1, 0)), perc_75, VLOOKUP(R$2, Percentiles!$A$45:$I$59, 6, FALSE), perc_90, VLOOKUP(R$2, Percentiles!$A$45:$I$59, 7, FALSE), perc_95, VLOOKUP(R$2, Percentiles!$A$45:$I$59, 8, FALSE), perc_85, perc_75 + (perc_90 - perc_75) * (2/3), converted_stat, '2K_Ratings'!R414, IF(bbgm_stat &gt;= perc_95, converted_stat * 3, IF(bbgm_stat &gt;= perc_90, converted_stat * 2, IF(bbgm_stat &gt;= perc_85, converted_stat * 1.5, converted_stat)))))</f>
        <v/>
      </c>
      <c r="S414" s="30" t="str">
        <f t="array" ref="S414">IF($A414="", "", LET(bbgm_stat, INDEX(Players!$A413:$P413, MATCH(S$2, Players!$A$1:$P$1, 0)), perc_75, VLOOKUP(S$2, Percentiles!$A$45:$I$59, 6, FALSE), perc_90, VLOOKUP(S$2, Percentiles!$A$45:$I$59, 7, FALSE), perc_95, VLOOKUP(S$2, Percentiles!$A$45:$I$59, 8, FALSE), perc_85, perc_75 + (perc_90 - perc_75) * (2/3), converted_stat, '2K_Ratings'!S414, IF(bbgm_stat &gt;= perc_95, converted_stat * 3, IF(bbgm_stat &gt;= perc_90, converted_stat * 2, IF(bbgm_stat &gt;= perc_85, converted_stat * 1.5, converted_stat)))))</f>
        <v/>
      </c>
      <c r="T414" s="30" t="str">
        <f t="array" ref="T414">IF($A414="", "", LET(bbgm_stat, INDEX(Players!$A413:$P413, MATCH(T$2, Players!$A$1:$P$1, 0)), perc_75, VLOOKUP(T$2, Percentiles!$A$45:$I$59, 6, FALSE), perc_90, VLOOKUP(T$2, Percentiles!$A$45:$I$59, 7, FALSE), perc_95, VLOOKUP(T$2, Percentiles!$A$45:$I$59, 8, FALSE), perc_85, perc_75 + (perc_90 - perc_75) * (2/3), converted_stat, '2K_Ratings'!T414, IF(bbgm_stat &gt;= perc_95, converted_stat * 3, IF(bbgm_stat &gt;= perc_90, converted_stat * 2, IF(bbgm_stat &gt;= perc_85, converted_stat * 1.5, converted_stat)))))</f>
        <v/>
      </c>
      <c r="U414" s="30" t="str">
        <f t="array" ref="U414">IF($A414="", "", LET(bbgm_stat, INDEX(Players!$A413:$P413, MATCH(U$2, Players!$A$1:$P$1, 0)), perc_75, VLOOKUP(U$2, Percentiles!$A$45:$I$59, 6, FALSE), perc_90, VLOOKUP(U$2, Percentiles!$A$45:$I$59, 7, FALSE), perc_95, VLOOKUP(U$2, Percentiles!$A$45:$I$59, 8, FALSE), perc_85, perc_75 + (perc_90 - perc_75) * (2/3), converted_stat, '2K_Ratings'!U414, IF(bbgm_stat &gt;= perc_95, converted_stat * 3, IF(bbgm_stat &gt;= perc_90, converted_stat * 2, IF(bbgm_stat &gt;= perc_85, converted_stat * 1.5, converted_stat)))))</f>
        <v/>
      </c>
      <c r="V414" s="30" t="str">
        <f t="array" ref="V414">IF($A414="", "", LET(bbgm_stat, INDEX(Players!$A413:$P413, MATCH(V$2, Players!$A$1:$P$1, 0)), perc_75, VLOOKUP(V$2, Percentiles!$A$45:$I$59, 6, FALSE), perc_90, VLOOKUP(V$2, Percentiles!$A$45:$I$59, 7, FALSE), perc_95, VLOOKUP(V$2, Percentiles!$A$45:$I$59, 8, FALSE), perc_85, perc_75 + (perc_90 - perc_75) * (2/3), converted_stat, '2K_Ratings'!V414, IF(bbgm_stat &gt;= perc_95, converted_stat * 3, IF(bbgm_stat &gt;= perc_90, converted_stat * 2, IF(bbgm_stat &gt;= perc_85, converted_stat * 1.5, converted_stat)))))</f>
        <v/>
      </c>
      <c r="W414" s="30" t="str">
        <f t="array" ref="W414">IF($A414="", "", LET(bbgm_stat, INDEX(Players!$A413:$P413, MATCH(W$2, Players!$A$1:$P$1, 0)), perc_75, VLOOKUP(W$2, Percentiles!$A$45:$I$59, 6, FALSE), perc_90, VLOOKUP(W$2, Percentiles!$A$45:$I$59, 7, FALSE), perc_95, VLOOKUP(W$2, Percentiles!$A$45:$I$59, 8, FALSE), perc_85, perc_75 + (perc_90 - perc_75) * (2/3), converted_stat, '2K_Ratings'!W414, IF(bbgm_stat &gt;= perc_95, converted_stat * 3, IF(bbgm_stat &gt;= perc_90, converted_stat * 2, IF(bbgm_stat &gt;= perc_85, converted_stat * 1.5, converted_stat)))))</f>
        <v/>
      </c>
    </row>
    <row r="415">
      <c r="A415" s="30"/>
      <c r="B415" s="30" t="str">
        <f t="array" ref="B415">IF($A415="", "", LET(bbgm_stat, INDEX(Players!$A414:$P414, MATCH(B$2, Players!$A$1:$P$1, 0)), perc_75, VLOOKUP(B$2, Percentiles!$A$45:$I$59, 6, FALSE), perc_90, VLOOKUP(B$2, Percentiles!$A$45:$I$59, 7, FALSE), perc_95, VLOOKUP(B$2, Percentiles!$A$45:$I$59, 8, FALSE), perc_85, perc_75 + (perc_90 - perc_75) * (2/3), converted_stat, '2K_Ratings'!B415, IF(bbgm_stat &gt;= perc_95, converted_stat * 3, IF(bbgm_stat &gt;= perc_90, converted_stat * 2, IF(bbgm_stat &gt;= perc_85, converted_stat * 1.5, converted_stat)))))</f>
        <v/>
      </c>
      <c r="C415" s="30" t="str">
        <f t="array" ref="C415">IF($A415="", "", LET(bbgm_stat, INDEX(Players!$A414:$P414, MATCH(C$2, Players!$A$1:$P$1, 0)), perc_75, VLOOKUP(C$2, Percentiles!$A$45:$I$59, 6, FALSE), perc_90, VLOOKUP(C$2, Percentiles!$A$45:$I$59, 7, FALSE), perc_95, VLOOKUP(C$2, Percentiles!$A$45:$I$59, 8, FALSE), perc_85, perc_75 + (perc_90 - perc_75) * (2/3), converted_stat, '2K_Ratings'!C415, IF(bbgm_stat &gt;= perc_95, converted_stat * 3, IF(bbgm_stat &gt;= perc_90, converted_stat * 2, IF(bbgm_stat &gt;= perc_85, converted_stat * 1.5, converted_stat)))))</f>
        <v/>
      </c>
      <c r="D415" s="30" t="str">
        <f t="array" ref="D415">IF($A415="", "", LET(bbgm_stat, INDEX(Players!$A414:$P414, MATCH(D$2, Players!$A$1:$P$1, 0)), perc_75, VLOOKUP(D$2, Percentiles!$A$45:$I$59, 6, FALSE), perc_90, VLOOKUP(D$2, Percentiles!$A$45:$I$59, 7, FALSE), perc_95, VLOOKUP(D$2, Percentiles!$A$45:$I$59, 8, FALSE), perc_85, perc_75 + (perc_90 - perc_75) * (2/3), converted_stat, '2K_Ratings'!D415, IF(bbgm_stat &gt;= perc_95, converted_stat * 3, IF(bbgm_stat &gt;= perc_90, converted_stat * 2, IF(bbgm_stat &gt;= perc_85, converted_stat * 1.5, converted_stat)))))</f>
        <v/>
      </c>
      <c r="E415" s="30" t="str">
        <f t="array" ref="E415">IF($A415="", "", LET(bbgm_stat, INDEX(Players!$A414:$P414, MATCH(E$2, Players!$A$1:$P$1, 0)), perc_75, VLOOKUP(E$2, Percentiles!$A$45:$I$59, 6, FALSE), perc_90, VLOOKUP(E$2, Percentiles!$A$45:$I$59, 7, FALSE), perc_95, VLOOKUP(E$2, Percentiles!$A$45:$I$59, 8, FALSE), perc_85, perc_75 + (perc_90 - perc_75) * (2/3), converted_stat, '2K_Ratings'!E415, IF(bbgm_stat &gt;= perc_95, converted_stat * 3, IF(bbgm_stat &gt;= perc_90, converted_stat * 2, IF(bbgm_stat &gt;= perc_85, converted_stat * 1.5, converted_stat)))))</f>
        <v/>
      </c>
      <c r="F415" s="30" t="str">
        <f t="array" ref="F415">IF($A415="", "", LET(bbgm_stat, INDEX(Players!$A414:$P414, MATCH(F$2, Players!$A$1:$P$1, 0)), perc_75, VLOOKUP(F$2, Percentiles!$A$45:$I$59, 6, FALSE), perc_90, VLOOKUP(F$2, Percentiles!$A$45:$I$59, 7, FALSE), perc_95, VLOOKUP(F$2, Percentiles!$A$45:$I$59, 8, FALSE), perc_85, perc_75 + (perc_90 - perc_75) * (2/3), converted_stat, '2K_Ratings'!F415, IF(bbgm_stat &gt;= perc_95, converted_stat * 3, IF(bbgm_stat &gt;= perc_90, converted_stat * 2, IF(bbgm_stat &gt;= perc_85, converted_stat * 1.5, converted_stat)))))</f>
        <v/>
      </c>
      <c r="G415" s="30" t="str">
        <f t="array" ref="G415">IF($A415="", "", LET(bbgm_stat, INDEX(Players!$A414:$P414, MATCH(G$2, Players!$A$1:$P$1, 0)), perc_75, VLOOKUP(G$2, Percentiles!$A$45:$I$59, 6, FALSE), perc_90, VLOOKUP(G$2, Percentiles!$A$45:$I$59, 7, FALSE), perc_95, VLOOKUP(G$2, Percentiles!$A$45:$I$59, 8, FALSE), perc_85, perc_75 + (perc_90 - perc_75) * (2/3), converted_stat, '2K_Ratings'!G415, IF(bbgm_stat &gt;= perc_95, converted_stat * 3, IF(bbgm_stat &gt;= perc_90, converted_stat * 2, IF(bbgm_stat &gt;= perc_85, converted_stat * 1.5, converted_stat)))))</f>
        <v/>
      </c>
      <c r="H415" s="30" t="str">
        <f t="array" ref="H415">IF($A415="", "", LET(bbgm_stat, INDEX(Players!$A414:$P414, MATCH(H$2, Players!$A$1:$P$1, 0)), perc_75, VLOOKUP(H$2, Percentiles!$A$45:$I$59, 6, FALSE), perc_90, VLOOKUP(H$2, Percentiles!$A$45:$I$59, 7, FALSE), perc_95, VLOOKUP(H$2, Percentiles!$A$45:$I$59, 8, FALSE), perc_85, perc_75 + (perc_90 - perc_75) * (2/3), converted_stat, '2K_Ratings'!H415, IF(bbgm_stat &gt;= perc_95, converted_stat * 3, IF(bbgm_stat &gt;= perc_90, converted_stat * 2, IF(bbgm_stat &gt;= perc_85, converted_stat * 1.5, converted_stat)))))</f>
        <v/>
      </c>
      <c r="I415" s="30" t="str">
        <f t="array" ref="I415">IF($A415="", "", LET(bbgm_stat, INDEX(Players!$A414:$P414, MATCH(I$2, Players!$A$1:$P$1, 0)), perc_75, VLOOKUP(I$2, Percentiles!$A$45:$I$59, 6, FALSE), perc_90, VLOOKUP(I$2, Percentiles!$A$45:$I$59, 7, FALSE), perc_95, VLOOKUP(I$2, Percentiles!$A$45:$I$59, 8, FALSE), perc_85, perc_75 + (perc_90 - perc_75) * (2/3), converted_stat, '2K_Ratings'!I415, IF(bbgm_stat &gt;= perc_95, converted_stat * 3, IF(bbgm_stat &gt;= perc_90, converted_stat * 2, IF(bbgm_stat &gt;= perc_85, converted_stat * 1.5, converted_stat)))))</f>
        <v/>
      </c>
      <c r="J415" s="30" t="str">
        <f t="array" ref="J415">IF($A415="", "", LET(bbgm_stat, INDEX(Players!$A414:$P414, MATCH(J$2, Players!$A$1:$P$1, 0)), perc_75, VLOOKUP(J$2, Percentiles!$A$45:$I$59, 6, FALSE), perc_90, VLOOKUP(J$2, Percentiles!$A$45:$I$59, 7, FALSE), perc_95, VLOOKUP(J$2, Percentiles!$A$45:$I$59, 8, FALSE), perc_85, perc_75 + (perc_90 - perc_75) * (2/3), converted_stat, '2K_Ratings'!J415, IF(bbgm_stat &gt;= perc_95, converted_stat * 3, IF(bbgm_stat &gt;= perc_90, converted_stat * 2, IF(bbgm_stat &gt;= perc_85, converted_stat * 1.5, converted_stat)))))</f>
        <v/>
      </c>
      <c r="K415" s="30" t="str">
        <f t="array" ref="K415">IF($A415="", "", LET(bbgm_stat, INDEX(Players!$A414:$P414, MATCH(K$2, Players!$A$1:$P$1, 0)), perc_75, VLOOKUP(K$2, Percentiles!$A$45:$I$59, 6, FALSE), perc_90, VLOOKUP(K$2, Percentiles!$A$45:$I$59, 7, FALSE), perc_95, VLOOKUP(K$2, Percentiles!$A$45:$I$59, 8, FALSE), perc_85, perc_75 + (perc_90 - perc_75) * (2/3), converted_stat, '2K_Ratings'!K415, IF(bbgm_stat &gt;= perc_95, converted_stat * 3, IF(bbgm_stat &gt;= perc_90, converted_stat * 2, IF(bbgm_stat &gt;= perc_85, converted_stat * 1.5, converted_stat)))))</f>
        <v/>
      </c>
      <c r="L415" s="30" t="str">
        <f t="array" ref="L415">IF($A415="", "", LET(bbgm_stat, INDEX(Players!$A414:$P414, MATCH(L$2, Players!$A$1:$P$1, 0)), perc_75, VLOOKUP(L$2, Percentiles!$A$45:$I$59, 6, FALSE), perc_90, VLOOKUP(L$2, Percentiles!$A$45:$I$59, 7, FALSE), perc_95, VLOOKUP(L$2, Percentiles!$A$45:$I$59, 8, FALSE), perc_85, perc_75 + (perc_90 - perc_75) * (2/3), converted_stat, '2K_Ratings'!L415, IF(bbgm_stat &gt;= perc_95, converted_stat * 3, IF(bbgm_stat &gt;= perc_90, converted_stat * 2, IF(bbgm_stat &gt;= perc_85, converted_stat * 1.5, converted_stat)))))</f>
        <v/>
      </c>
      <c r="M415" s="30" t="str">
        <f t="array" ref="M415">IF($A415="", "", LET(bbgm_stat, INDEX(Players!$A414:$P414, MATCH(M$2, Players!$A$1:$P$1, 0)), perc_75, VLOOKUP(M$2, Percentiles!$A$45:$I$59, 6, FALSE), perc_90, VLOOKUP(M$2, Percentiles!$A$45:$I$59, 7, FALSE), perc_95, VLOOKUP(M$2, Percentiles!$A$45:$I$59, 8, FALSE), perc_85, perc_75 + (perc_90 - perc_75) * (2/3), converted_stat, '2K_Ratings'!M415, IF(bbgm_stat &gt;= perc_95, converted_stat * 3, IF(bbgm_stat &gt;= perc_90, converted_stat * 2, IF(bbgm_stat &gt;= perc_85, converted_stat * 1.5, converted_stat)))))</f>
        <v/>
      </c>
      <c r="N415" s="30" t="str">
        <f t="array" ref="N415">IF($A415="", "", LET(bbgm_stat, INDEX(Players!$A414:$P414, MATCH(N$2, Players!$A$1:$P$1, 0)), perc_75, VLOOKUP(N$2, Percentiles!$A$45:$I$59, 6, FALSE), perc_90, VLOOKUP(N$2, Percentiles!$A$45:$I$59, 7, FALSE), perc_95, VLOOKUP(N$2, Percentiles!$A$45:$I$59, 8, FALSE), perc_85, perc_75 + (perc_90 - perc_75) * (2/3), converted_stat, '2K_Ratings'!N415, IF(bbgm_stat &gt;= perc_95, converted_stat * 3, IF(bbgm_stat &gt;= perc_90, converted_stat * 2, IF(bbgm_stat &gt;= perc_85, converted_stat * 1.5, converted_stat)))))</f>
        <v/>
      </c>
      <c r="O415" s="30" t="str">
        <f t="array" ref="O415">IF($A415="", "", LET(bbgm_stat, INDEX(Players!$A414:$P414, MATCH(O$2, Players!$A$1:$P$1, 0)), perc_75, VLOOKUP(O$2, Percentiles!$A$45:$I$59, 6, FALSE), perc_90, VLOOKUP(O$2, Percentiles!$A$45:$I$59, 7, FALSE), perc_95, VLOOKUP(O$2, Percentiles!$A$45:$I$59, 8, FALSE), perc_85, perc_75 + (perc_90 - perc_75) * (2/3), converted_stat, '2K_Ratings'!O415, IF(bbgm_stat &gt;= perc_95, converted_stat * 3, IF(bbgm_stat &gt;= perc_90, converted_stat * 2, IF(bbgm_stat &gt;= perc_85, converted_stat * 1.5, converted_stat)))))</f>
        <v/>
      </c>
      <c r="P415" s="30" t="str">
        <f t="array" ref="P415">IF($A415="", "", LET(bbgm_stat, INDEX(Players!$A414:$P414, MATCH(P$2, Players!$A$1:$P$1, 0)), perc_75, VLOOKUP(P$2, Percentiles!$A$45:$I$59, 6, FALSE), perc_90, VLOOKUP(P$2, Percentiles!$A$45:$I$59, 7, FALSE), perc_95, VLOOKUP(P$2, Percentiles!$A$45:$I$59, 8, FALSE), perc_85, perc_75 + (perc_90 - perc_75) * (2/3), converted_stat, '2K_Ratings'!P415, IF(bbgm_stat &gt;= perc_95, converted_stat * 3, IF(bbgm_stat &gt;= perc_90, converted_stat * 2, IF(bbgm_stat &gt;= perc_85, converted_stat * 1.5, converted_stat)))))</f>
        <v/>
      </c>
      <c r="Q415" s="30" t="str">
        <f t="array" ref="Q415">IF($A415="", "", LET(bbgm_stat, INDEX(Players!$A414:$P414, MATCH(Q$2, Players!$A$1:$P$1, 0)), perc_75, VLOOKUP(Q$2, Percentiles!$A$45:$I$59, 6, FALSE), perc_90, VLOOKUP(Q$2, Percentiles!$A$45:$I$59, 7, FALSE), perc_95, VLOOKUP(Q$2, Percentiles!$A$45:$I$59, 8, FALSE), perc_85, perc_75 + (perc_90 - perc_75) * (2/3), converted_stat, '2K_Ratings'!Q415, IF(bbgm_stat &gt;= perc_95, converted_stat * 3, IF(bbgm_stat &gt;= perc_90, converted_stat * 2, IF(bbgm_stat &gt;= perc_85, converted_stat * 1.5, converted_stat)))))</f>
        <v/>
      </c>
      <c r="R415" s="30" t="str">
        <f t="array" ref="R415">IF($A415="", "", LET(bbgm_stat, INDEX(Players!$A414:$P414, MATCH(R$2, Players!$A$1:$P$1, 0)), perc_75, VLOOKUP(R$2, Percentiles!$A$45:$I$59, 6, FALSE), perc_90, VLOOKUP(R$2, Percentiles!$A$45:$I$59, 7, FALSE), perc_95, VLOOKUP(R$2, Percentiles!$A$45:$I$59, 8, FALSE), perc_85, perc_75 + (perc_90 - perc_75) * (2/3), converted_stat, '2K_Ratings'!R415, IF(bbgm_stat &gt;= perc_95, converted_stat * 3, IF(bbgm_stat &gt;= perc_90, converted_stat * 2, IF(bbgm_stat &gt;= perc_85, converted_stat * 1.5, converted_stat)))))</f>
        <v/>
      </c>
      <c r="S415" s="30" t="str">
        <f t="array" ref="S415">IF($A415="", "", LET(bbgm_stat, INDEX(Players!$A414:$P414, MATCH(S$2, Players!$A$1:$P$1, 0)), perc_75, VLOOKUP(S$2, Percentiles!$A$45:$I$59, 6, FALSE), perc_90, VLOOKUP(S$2, Percentiles!$A$45:$I$59, 7, FALSE), perc_95, VLOOKUP(S$2, Percentiles!$A$45:$I$59, 8, FALSE), perc_85, perc_75 + (perc_90 - perc_75) * (2/3), converted_stat, '2K_Ratings'!S415, IF(bbgm_stat &gt;= perc_95, converted_stat * 3, IF(bbgm_stat &gt;= perc_90, converted_stat * 2, IF(bbgm_stat &gt;= perc_85, converted_stat * 1.5, converted_stat)))))</f>
        <v/>
      </c>
      <c r="T415" s="30" t="str">
        <f t="array" ref="T415">IF($A415="", "", LET(bbgm_stat, INDEX(Players!$A414:$P414, MATCH(T$2, Players!$A$1:$P$1, 0)), perc_75, VLOOKUP(T$2, Percentiles!$A$45:$I$59, 6, FALSE), perc_90, VLOOKUP(T$2, Percentiles!$A$45:$I$59, 7, FALSE), perc_95, VLOOKUP(T$2, Percentiles!$A$45:$I$59, 8, FALSE), perc_85, perc_75 + (perc_90 - perc_75) * (2/3), converted_stat, '2K_Ratings'!T415, IF(bbgm_stat &gt;= perc_95, converted_stat * 3, IF(bbgm_stat &gt;= perc_90, converted_stat * 2, IF(bbgm_stat &gt;= perc_85, converted_stat * 1.5, converted_stat)))))</f>
        <v/>
      </c>
      <c r="U415" s="30" t="str">
        <f t="array" ref="U415">IF($A415="", "", LET(bbgm_stat, INDEX(Players!$A414:$P414, MATCH(U$2, Players!$A$1:$P$1, 0)), perc_75, VLOOKUP(U$2, Percentiles!$A$45:$I$59, 6, FALSE), perc_90, VLOOKUP(U$2, Percentiles!$A$45:$I$59, 7, FALSE), perc_95, VLOOKUP(U$2, Percentiles!$A$45:$I$59, 8, FALSE), perc_85, perc_75 + (perc_90 - perc_75) * (2/3), converted_stat, '2K_Ratings'!U415, IF(bbgm_stat &gt;= perc_95, converted_stat * 3, IF(bbgm_stat &gt;= perc_90, converted_stat * 2, IF(bbgm_stat &gt;= perc_85, converted_stat * 1.5, converted_stat)))))</f>
        <v/>
      </c>
      <c r="V415" s="30" t="str">
        <f t="array" ref="V415">IF($A415="", "", LET(bbgm_stat, INDEX(Players!$A414:$P414, MATCH(V$2, Players!$A$1:$P$1, 0)), perc_75, VLOOKUP(V$2, Percentiles!$A$45:$I$59, 6, FALSE), perc_90, VLOOKUP(V$2, Percentiles!$A$45:$I$59, 7, FALSE), perc_95, VLOOKUP(V$2, Percentiles!$A$45:$I$59, 8, FALSE), perc_85, perc_75 + (perc_90 - perc_75) * (2/3), converted_stat, '2K_Ratings'!V415, IF(bbgm_stat &gt;= perc_95, converted_stat * 3, IF(bbgm_stat &gt;= perc_90, converted_stat * 2, IF(bbgm_stat &gt;= perc_85, converted_stat * 1.5, converted_stat)))))</f>
        <v/>
      </c>
      <c r="W415" s="30" t="str">
        <f t="array" ref="W415">IF($A415="", "", LET(bbgm_stat, INDEX(Players!$A414:$P414, MATCH(W$2, Players!$A$1:$P$1, 0)), perc_75, VLOOKUP(W$2, Percentiles!$A$45:$I$59, 6, FALSE), perc_90, VLOOKUP(W$2, Percentiles!$A$45:$I$59, 7, FALSE), perc_95, VLOOKUP(W$2, Percentiles!$A$45:$I$59, 8, FALSE), perc_85, perc_75 + (perc_90 - perc_75) * (2/3), converted_stat, '2K_Ratings'!W415, IF(bbgm_stat &gt;= perc_95, converted_stat * 3, IF(bbgm_stat &gt;= perc_90, converted_stat * 2, IF(bbgm_stat &gt;= perc_85, converted_stat * 1.5, converted_stat)))))</f>
        <v/>
      </c>
    </row>
    <row r="416">
      <c r="A416" s="30"/>
      <c r="B416" s="30" t="str">
        <f t="array" ref="B416">IF($A416="", "", LET(bbgm_stat, INDEX(Players!$A415:$P415, MATCH(B$2, Players!$A$1:$P$1, 0)), perc_75, VLOOKUP(B$2, Percentiles!$A$45:$I$59, 6, FALSE), perc_90, VLOOKUP(B$2, Percentiles!$A$45:$I$59, 7, FALSE), perc_95, VLOOKUP(B$2, Percentiles!$A$45:$I$59, 8, FALSE), perc_85, perc_75 + (perc_90 - perc_75) * (2/3), converted_stat, '2K_Ratings'!B416, IF(bbgm_stat &gt;= perc_95, converted_stat * 3, IF(bbgm_stat &gt;= perc_90, converted_stat * 2, IF(bbgm_stat &gt;= perc_85, converted_stat * 1.5, converted_stat)))))</f>
        <v/>
      </c>
      <c r="C416" s="30" t="str">
        <f t="array" ref="C416">IF($A416="", "", LET(bbgm_stat, INDEX(Players!$A415:$P415, MATCH(C$2, Players!$A$1:$P$1, 0)), perc_75, VLOOKUP(C$2, Percentiles!$A$45:$I$59, 6, FALSE), perc_90, VLOOKUP(C$2, Percentiles!$A$45:$I$59, 7, FALSE), perc_95, VLOOKUP(C$2, Percentiles!$A$45:$I$59, 8, FALSE), perc_85, perc_75 + (perc_90 - perc_75) * (2/3), converted_stat, '2K_Ratings'!C416, IF(bbgm_stat &gt;= perc_95, converted_stat * 3, IF(bbgm_stat &gt;= perc_90, converted_stat * 2, IF(bbgm_stat &gt;= perc_85, converted_stat * 1.5, converted_stat)))))</f>
        <v/>
      </c>
      <c r="D416" s="30" t="str">
        <f t="array" ref="D416">IF($A416="", "", LET(bbgm_stat, INDEX(Players!$A415:$P415, MATCH(D$2, Players!$A$1:$P$1, 0)), perc_75, VLOOKUP(D$2, Percentiles!$A$45:$I$59, 6, FALSE), perc_90, VLOOKUP(D$2, Percentiles!$A$45:$I$59, 7, FALSE), perc_95, VLOOKUP(D$2, Percentiles!$A$45:$I$59, 8, FALSE), perc_85, perc_75 + (perc_90 - perc_75) * (2/3), converted_stat, '2K_Ratings'!D416, IF(bbgm_stat &gt;= perc_95, converted_stat * 3, IF(bbgm_stat &gt;= perc_90, converted_stat * 2, IF(bbgm_stat &gt;= perc_85, converted_stat * 1.5, converted_stat)))))</f>
        <v/>
      </c>
      <c r="E416" s="30" t="str">
        <f t="array" ref="E416">IF($A416="", "", LET(bbgm_stat, INDEX(Players!$A415:$P415, MATCH(E$2, Players!$A$1:$P$1, 0)), perc_75, VLOOKUP(E$2, Percentiles!$A$45:$I$59, 6, FALSE), perc_90, VLOOKUP(E$2, Percentiles!$A$45:$I$59, 7, FALSE), perc_95, VLOOKUP(E$2, Percentiles!$A$45:$I$59, 8, FALSE), perc_85, perc_75 + (perc_90 - perc_75) * (2/3), converted_stat, '2K_Ratings'!E416, IF(bbgm_stat &gt;= perc_95, converted_stat * 3, IF(bbgm_stat &gt;= perc_90, converted_stat * 2, IF(bbgm_stat &gt;= perc_85, converted_stat * 1.5, converted_stat)))))</f>
        <v/>
      </c>
      <c r="F416" s="30" t="str">
        <f t="array" ref="F416">IF($A416="", "", LET(bbgm_stat, INDEX(Players!$A415:$P415, MATCH(F$2, Players!$A$1:$P$1, 0)), perc_75, VLOOKUP(F$2, Percentiles!$A$45:$I$59, 6, FALSE), perc_90, VLOOKUP(F$2, Percentiles!$A$45:$I$59, 7, FALSE), perc_95, VLOOKUP(F$2, Percentiles!$A$45:$I$59, 8, FALSE), perc_85, perc_75 + (perc_90 - perc_75) * (2/3), converted_stat, '2K_Ratings'!F416, IF(bbgm_stat &gt;= perc_95, converted_stat * 3, IF(bbgm_stat &gt;= perc_90, converted_stat * 2, IF(bbgm_stat &gt;= perc_85, converted_stat * 1.5, converted_stat)))))</f>
        <v/>
      </c>
      <c r="G416" s="30" t="str">
        <f t="array" ref="G416">IF($A416="", "", LET(bbgm_stat, INDEX(Players!$A415:$P415, MATCH(G$2, Players!$A$1:$P$1, 0)), perc_75, VLOOKUP(G$2, Percentiles!$A$45:$I$59, 6, FALSE), perc_90, VLOOKUP(G$2, Percentiles!$A$45:$I$59, 7, FALSE), perc_95, VLOOKUP(G$2, Percentiles!$A$45:$I$59, 8, FALSE), perc_85, perc_75 + (perc_90 - perc_75) * (2/3), converted_stat, '2K_Ratings'!G416, IF(bbgm_stat &gt;= perc_95, converted_stat * 3, IF(bbgm_stat &gt;= perc_90, converted_stat * 2, IF(bbgm_stat &gt;= perc_85, converted_stat * 1.5, converted_stat)))))</f>
        <v/>
      </c>
      <c r="H416" s="30" t="str">
        <f t="array" ref="H416">IF($A416="", "", LET(bbgm_stat, INDEX(Players!$A415:$P415, MATCH(H$2, Players!$A$1:$P$1, 0)), perc_75, VLOOKUP(H$2, Percentiles!$A$45:$I$59, 6, FALSE), perc_90, VLOOKUP(H$2, Percentiles!$A$45:$I$59, 7, FALSE), perc_95, VLOOKUP(H$2, Percentiles!$A$45:$I$59, 8, FALSE), perc_85, perc_75 + (perc_90 - perc_75) * (2/3), converted_stat, '2K_Ratings'!H416, IF(bbgm_stat &gt;= perc_95, converted_stat * 3, IF(bbgm_stat &gt;= perc_90, converted_stat * 2, IF(bbgm_stat &gt;= perc_85, converted_stat * 1.5, converted_stat)))))</f>
        <v/>
      </c>
      <c r="I416" s="30" t="str">
        <f t="array" ref="I416">IF($A416="", "", LET(bbgm_stat, INDEX(Players!$A415:$P415, MATCH(I$2, Players!$A$1:$P$1, 0)), perc_75, VLOOKUP(I$2, Percentiles!$A$45:$I$59, 6, FALSE), perc_90, VLOOKUP(I$2, Percentiles!$A$45:$I$59, 7, FALSE), perc_95, VLOOKUP(I$2, Percentiles!$A$45:$I$59, 8, FALSE), perc_85, perc_75 + (perc_90 - perc_75) * (2/3), converted_stat, '2K_Ratings'!I416, IF(bbgm_stat &gt;= perc_95, converted_stat * 3, IF(bbgm_stat &gt;= perc_90, converted_stat * 2, IF(bbgm_stat &gt;= perc_85, converted_stat * 1.5, converted_stat)))))</f>
        <v/>
      </c>
      <c r="J416" s="30" t="str">
        <f t="array" ref="J416">IF($A416="", "", LET(bbgm_stat, INDEX(Players!$A415:$P415, MATCH(J$2, Players!$A$1:$P$1, 0)), perc_75, VLOOKUP(J$2, Percentiles!$A$45:$I$59, 6, FALSE), perc_90, VLOOKUP(J$2, Percentiles!$A$45:$I$59, 7, FALSE), perc_95, VLOOKUP(J$2, Percentiles!$A$45:$I$59, 8, FALSE), perc_85, perc_75 + (perc_90 - perc_75) * (2/3), converted_stat, '2K_Ratings'!J416, IF(bbgm_stat &gt;= perc_95, converted_stat * 3, IF(bbgm_stat &gt;= perc_90, converted_stat * 2, IF(bbgm_stat &gt;= perc_85, converted_stat * 1.5, converted_stat)))))</f>
        <v/>
      </c>
      <c r="K416" s="30" t="str">
        <f t="array" ref="K416">IF($A416="", "", LET(bbgm_stat, INDEX(Players!$A415:$P415, MATCH(K$2, Players!$A$1:$P$1, 0)), perc_75, VLOOKUP(K$2, Percentiles!$A$45:$I$59, 6, FALSE), perc_90, VLOOKUP(K$2, Percentiles!$A$45:$I$59, 7, FALSE), perc_95, VLOOKUP(K$2, Percentiles!$A$45:$I$59, 8, FALSE), perc_85, perc_75 + (perc_90 - perc_75) * (2/3), converted_stat, '2K_Ratings'!K416, IF(bbgm_stat &gt;= perc_95, converted_stat * 3, IF(bbgm_stat &gt;= perc_90, converted_stat * 2, IF(bbgm_stat &gt;= perc_85, converted_stat * 1.5, converted_stat)))))</f>
        <v/>
      </c>
      <c r="L416" s="30" t="str">
        <f t="array" ref="L416">IF($A416="", "", LET(bbgm_stat, INDEX(Players!$A415:$P415, MATCH(L$2, Players!$A$1:$P$1, 0)), perc_75, VLOOKUP(L$2, Percentiles!$A$45:$I$59, 6, FALSE), perc_90, VLOOKUP(L$2, Percentiles!$A$45:$I$59, 7, FALSE), perc_95, VLOOKUP(L$2, Percentiles!$A$45:$I$59, 8, FALSE), perc_85, perc_75 + (perc_90 - perc_75) * (2/3), converted_stat, '2K_Ratings'!L416, IF(bbgm_stat &gt;= perc_95, converted_stat * 3, IF(bbgm_stat &gt;= perc_90, converted_stat * 2, IF(bbgm_stat &gt;= perc_85, converted_stat * 1.5, converted_stat)))))</f>
        <v/>
      </c>
      <c r="M416" s="30" t="str">
        <f t="array" ref="M416">IF($A416="", "", LET(bbgm_stat, INDEX(Players!$A415:$P415, MATCH(M$2, Players!$A$1:$P$1, 0)), perc_75, VLOOKUP(M$2, Percentiles!$A$45:$I$59, 6, FALSE), perc_90, VLOOKUP(M$2, Percentiles!$A$45:$I$59, 7, FALSE), perc_95, VLOOKUP(M$2, Percentiles!$A$45:$I$59, 8, FALSE), perc_85, perc_75 + (perc_90 - perc_75) * (2/3), converted_stat, '2K_Ratings'!M416, IF(bbgm_stat &gt;= perc_95, converted_stat * 3, IF(bbgm_stat &gt;= perc_90, converted_stat * 2, IF(bbgm_stat &gt;= perc_85, converted_stat * 1.5, converted_stat)))))</f>
        <v/>
      </c>
      <c r="N416" s="30" t="str">
        <f t="array" ref="N416">IF($A416="", "", LET(bbgm_stat, INDEX(Players!$A415:$P415, MATCH(N$2, Players!$A$1:$P$1, 0)), perc_75, VLOOKUP(N$2, Percentiles!$A$45:$I$59, 6, FALSE), perc_90, VLOOKUP(N$2, Percentiles!$A$45:$I$59, 7, FALSE), perc_95, VLOOKUP(N$2, Percentiles!$A$45:$I$59, 8, FALSE), perc_85, perc_75 + (perc_90 - perc_75) * (2/3), converted_stat, '2K_Ratings'!N416, IF(bbgm_stat &gt;= perc_95, converted_stat * 3, IF(bbgm_stat &gt;= perc_90, converted_stat * 2, IF(bbgm_stat &gt;= perc_85, converted_stat * 1.5, converted_stat)))))</f>
        <v/>
      </c>
      <c r="O416" s="30" t="str">
        <f t="array" ref="O416">IF($A416="", "", LET(bbgm_stat, INDEX(Players!$A415:$P415, MATCH(O$2, Players!$A$1:$P$1, 0)), perc_75, VLOOKUP(O$2, Percentiles!$A$45:$I$59, 6, FALSE), perc_90, VLOOKUP(O$2, Percentiles!$A$45:$I$59, 7, FALSE), perc_95, VLOOKUP(O$2, Percentiles!$A$45:$I$59, 8, FALSE), perc_85, perc_75 + (perc_90 - perc_75) * (2/3), converted_stat, '2K_Ratings'!O416, IF(bbgm_stat &gt;= perc_95, converted_stat * 3, IF(bbgm_stat &gt;= perc_90, converted_stat * 2, IF(bbgm_stat &gt;= perc_85, converted_stat * 1.5, converted_stat)))))</f>
        <v/>
      </c>
      <c r="P416" s="30" t="str">
        <f t="array" ref="P416">IF($A416="", "", LET(bbgm_stat, INDEX(Players!$A415:$P415, MATCH(P$2, Players!$A$1:$P$1, 0)), perc_75, VLOOKUP(P$2, Percentiles!$A$45:$I$59, 6, FALSE), perc_90, VLOOKUP(P$2, Percentiles!$A$45:$I$59, 7, FALSE), perc_95, VLOOKUP(P$2, Percentiles!$A$45:$I$59, 8, FALSE), perc_85, perc_75 + (perc_90 - perc_75) * (2/3), converted_stat, '2K_Ratings'!P416, IF(bbgm_stat &gt;= perc_95, converted_stat * 3, IF(bbgm_stat &gt;= perc_90, converted_stat * 2, IF(bbgm_stat &gt;= perc_85, converted_stat * 1.5, converted_stat)))))</f>
        <v/>
      </c>
      <c r="Q416" s="30" t="str">
        <f t="array" ref="Q416">IF($A416="", "", LET(bbgm_stat, INDEX(Players!$A415:$P415, MATCH(Q$2, Players!$A$1:$P$1, 0)), perc_75, VLOOKUP(Q$2, Percentiles!$A$45:$I$59, 6, FALSE), perc_90, VLOOKUP(Q$2, Percentiles!$A$45:$I$59, 7, FALSE), perc_95, VLOOKUP(Q$2, Percentiles!$A$45:$I$59, 8, FALSE), perc_85, perc_75 + (perc_90 - perc_75) * (2/3), converted_stat, '2K_Ratings'!Q416, IF(bbgm_stat &gt;= perc_95, converted_stat * 3, IF(bbgm_stat &gt;= perc_90, converted_stat * 2, IF(bbgm_stat &gt;= perc_85, converted_stat * 1.5, converted_stat)))))</f>
        <v/>
      </c>
      <c r="R416" s="30" t="str">
        <f t="array" ref="R416">IF($A416="", "", LET(bbgm_stat, INDEX(Players!$A415:$P415, MATCH(R$2, Players!$A$1:$P$1, 0)), perc_75, VLOOKUP(R$2, Percentiles!$A$45:$I$59, 6, FALSE), perc_90, VLOOKUP(R$2, Percentiles!$A$45:$I$59, 7, FALSE), perc_95, VLOOKUP(R$2, Percentiles!$A$45:$I$59, 8, FALSE), perc_85, perc_75 + (perc_90 - perc_75) * (2/3), converted_stat, '2K_Ratings'!R416, IF(bbgm_stat &gt;= perc_95, converted_stat * 3, IF(bbgm_stat &gt;= perc_90, converted_stat * 2, IF(bbgm_stat &gt;= perc_85, converted_stat * 1.5, converted_stat)))))</f>
        <v/>
      </c>
      <c r="S416" s="30" t="str">
        <f t="array" ref="S416">IF($A416="", "", LET(bbgm_stat, INDEX(Players!$A415:$P415, MATCH(S$2, Players!$A$1:$P$1, 0)), perc_75, VLOOKUP(S$2, Percentiles!$A$45:$I$59, 6, FALSE), perc_90, VLOOKUP(S$2, Percentiles!$A$45:$I$59, 7, FALSE), perc_95, VLOOKUP(S$2, Percentiles!$A$45:$I$59, 8, FALSE), perc_85, perc_75 + (perc_90 - perc_75) * (2/3), converted_stat, '2K_Ratings'!S416, IF(bbgm_stat &gt;= perc_95, converted_stat * 3, IF(bbgm_stat &gt;= perc_90, converted_stat * 2, IF(bbgm_stat &gt;= perc_85, converted_stat * 1.5, converted_stat)))))</f>
        <v/>
      </c>
      <c r="T416" s="30" t="str">
        <f t="array" ref="T416">IF($A416="", "", LET(bbgm_stat, INDEX(Players!$A415:$P415, MATCH(T$2, Players!$A$1:$P$1, 0)), perc_75, VLOOKUP(T$2, Percentiles!$A$45:$I$59, 6, FALSE), perc_90, VLOOKUP(T$2, Percentiles!$A$45:$I$59, 7, FALSE), perc_95, VLOOKUP(T$2, Percentiles!$A$45:$I$59, 8, FALSE), perc_85, perc_75 + (perc_90 - perc_75) * (2/3), converted_stat, '2K_Ratings'!T416, IF(bbgm_stat &gt;= perc_95, converted_stat * 3, IF(bbgm_stat &gt;= perc_90, converted_stat * 2, IF(bbgm_stat &gt;= perc_85, converted_stat * 1.5, converted_stat)))))</f>
        <v/>
      </c>
      <c r="U416" s="30" t="str">
        <f t="array" ref="U416">IF($A416="", "", LET(bbgm_stat, INDEX(Players!$A415:$P415, MATCH(U$2, Players!$A$1:$P$1, 0)), perc_75, VLOOKUP(U$2, Percentiles!$A$45:$I$59, 6, FALSE), perc_90, VLOOKUP(U$2, Percentiles!$A$45:$I$59, 7, FALSE), perc_95, VLOOKUP(U$2, Percentiles!$A$45:$I$59, 8, FALSE), perc_85, perc_75 + (perc_90 - perc_75) * (2/3), converted_stat, '2K_Ratings'!U416, IF(bbgm_stat &gt;= perc_95, converted_stat * 3, IF(bbgm_stat &gt;= perc_90, converted_stat * 2, IF(bbgm_stat &gt;= perc_85, converted_stat * 1.5, converted_stat)))))</f>
        <v/>
      </c>
      <c r="V416" s="30" t="str">
        <f t="array" ref="V416">IF($A416="", "", LET(bbgm_stat, INDEX(Players!$A415:$P415, MATCH(V$2, Players!$A$1:$P$1, 0)), perc_75, VLOOKUP(V$2, Percentiles!$A$45:$I$59, 6, FALSE), perc_90, VLOOKUP(V$2, Percentiles!$A$45:$I$59, 7, FALSE), perc_95, VLOOKUP(V$2, Percentiles!$A$45:$I$59, 8, FALSE), perc_85, perc_75 + (perc_90 - perc_75) * (2/3), converted_stat, '2K_Ratings'!V416, IF(bbgm_stat &gt;= perc_95, converted_stat * 3, IF(bbgm_stat &gt;= perc_90, converted_stat * 2, IF(bbgm_stat &gt;= perc_85, converted_stat * 1.5, converted_stat)))))</f>
        <v/>
      </c>
      <c r="W416" s="30" t="str">
        <f t="array" ref="W416">IF($A416="", "", LET(bbgm_stat, INDEX(Players!$A415:$P415, MATCH(W$2, Players!$A$1:$P$1, 0)), perc_75, VLOOKUP(W$2, Percentiles!$A$45:$I$59, 6, FALSE), perc_90, VLOOKUP(W$2, Percentiles!$A$45:$I$59, 7, FALSE), perc_95, VLOOKUP(W$2, Percentiles!$A$45:$I$59, 8, FALSE), perc_85, perc_75 + (perc_90 - perc_75) * (2/3), converted_stat, '2K_Ratings'!W416, IF(bbgm_stat &gt;= perc_95, converted_stat * 3, IF(bbgm_stat &gt;= perc_90, converted_stat * 2, IF(bbgm_stat &gt;= perc_85, converted_stat * 1.5, converted_stat)))))</f>
        <v/>
      </c>
    </row>
    <row r="417">
      <c r="A417" s="30"/>
      <c r="B417" s="30" t="str">
        <f t="array" ref="B417">IF($A417="", "", LET(bbgm_stat, INDEX(Players!$A416:$P416, MATCH(B$2, Players!$A$1:$P$1, 0)), perc_75, VLOOKUP(B$2, Percentiles!$A$45:$I$59, 6, FALSE), perc_90, VLOOKUP(B$2, Percentiles!$A$45:$I$59, 7, FALSE), perc_95, VLOOKUP(B$2, Percentiles!$A$45:$I$59, 8, FALSE), perc_85, perc_75 + (perc_90 - perc_75) * (2/3), converted_stat, '2K_Ratings'!B417, IF(bbgm_stat &gt;= perc_95, converted_stat * 3, IF(bbgm_stat &gt;= perc_90, converted_stat * 2, IF(bbgm_stat &gt;= perc_85, converted_stat * 1.5, converted_stat)))))</f>
        <v/>
      </c>
      <c r="C417" s="30" t="str">
        <f t="array" ref="C417">IF($A417="", "", LET(bbgm_stat, INDEX(Players!$A416:$P416, MATCH(C$2, Players!$A$1:$P$1, 0)), perc_75, VLOOKUP(C$2, Percentiles!$A$45:$I$59, 6, FALSE), perc_90, VLOOKUP(C$2, Percentiles!$A$45:$I$59, 7, FALSE), perc_95, VLOOKUP(C$2, Percentiles!$A$45:$I$59, 8, FALSE), perc_85, perc_75 + (perc_90 - perc_75) * (2/3), converted_stat, '2K_Ratings'!C417, IF(bbgm_stat &gt;= perc_95, converted_stat * 3, IF(bbgm_stat &gt;= perc_90, converted_stat * 2, IF(bbgm_stat &gt;= perc_85, converted_stat * 1.5, converted_stat)))))</f>
        <v/>
      </c>
      <c r="D417" s="30" t="str">
        <f t="array" ref="D417">IF($A417="", "", LET(bbgm_stat, INDEX(Players!$A416:$P416, MATCH(D$2, Players!$A$1:$P$1, 0)), perc_75, VLOOKUP(D$2, Percentiles!$A$45:$I$59, 6, FALSE), perc_90, VLOOKUP(D$2, Percentiles!$A$45:$I$59, 7, FALSE), perc_95, VLOOKUP(D$2, Percentiles!$A$45:$I$59, 8, FALSE), perc_85, perc_75 + (perc_90 - perc_75) * (2/3), converted_stat, '2K_Ratings'!D417, IF(bbgm_stat &gt;= perc_95, converted_stat * 3, IF(bbgm_stat &gt;= perc_90, converted_stat * 2, IF(bbgm_stat &gt;= perc_85, converted_stat * 1.5, converted_stat)))))</f>
        <v/>
      </c>
      <c r="E417" s="30" t="str">
        <f t="array" ref="E417">IF($A417="", "", LET(bbgm_stat, INDEX(Players!$A416:$P416, MATCH(E$2, Players!$A$1:$P$1, 0)), perc_75, VLOOKUP(E$2, Percentiles!$A$45:$I$59, 6, FALSE), perc_90, VLOOKUP(E$2, Percentiles!$A$45:$I$59, 7, FALSE), perc_95, VLOOKUP(E$2, Percentiles!$A$45:$I$59, 8, FALSE), perc_85, perc_75 + (perc_90 - perc_75) * (2/3), converted_stat, '2K_Ratings'!E417, IF(bbgm_stat &gt;= perc_95, converted_stat * 3, IF(bbgm_stat &gt;= perc_90, converted_stat * 2, IF(bbgm_stat &gt;= perc_85, converted_stat * 1.5, converted_stat)))))</f>
        <v/>
      </c>
      <c r="F417" s="30" t="str">
        <f t="array" ref="F417">IF($A417="", "", LET(bbgm_stat, INDEX(Players!$A416:$P416, MATCH(F$2, Players!$A$1:$P$1, 0)), perc_75, VLOOKUP(F$2, Percentiles!$A$45:$I$59, 6, FALSE), perc_90, VLOOKUP(F$2, Percentiles!$A$45:$I$59, 7, FALSE), perc_95, VLOOKUP(F$2, Percentiles!$A$45:$I$59, 8, FALSE), perc_85, perc_75 + (perc_90 - perc_75) * (2/3), converted_stat, '2K_Ratings'!F417, IF(bbgm_stat &gt;= perc_95, converted_stat * 3, IF(bbgm_stat &gt;= perc_90, converted_stat * 2, IF(bbgm_stat &gt;= perc_85, converted_stat * 1.5, converted_stat)))))</f>
        <v/>
      </c>
      <c r="G417" s="30" t="str">
        <f t="array" ref="G417">IF($A417="", "", LET(bbgm_stat, INDEX(Players!$A416:$P416, MATCH(G$2, Players!$A$1:$P$1, 0)), perc_75, VLOOKUP(G$2, Percentiles!$A$45:$I$59, 6, FALSE), perc_90, VLOOKUP(G$2, Percentiles!$A$45:$I$59, 7, FALSE), perc_95, VLOOKUP(G$2, Percentiles!$A$45:$I$59, 8, FALSE), perc_85, perc_75 + (perc_90 - perc_75) * (2/3), converted_stat, '2K_Ratings'!G417, IF(bbgm_stat &gt;= perc_95, converted_stat * 3, IF(bbgm_stat &gt;= perc_90, converted_stat * 2, IF(bbgm_stat &gt;= perc_85, converted_stat * 1.5, converted_stat)))))</f>
        <v/>
      </c>
      <c r="H417" s="30" t="str">
        <f t="array" ref="H417">IF($A417="", "", LET(bbgm_stat, INDEX(Players!$A416:$P416, MATCH(H$2, Players!$A$1:$P$1, 0)), perc_75, VLOOKUP(H$2, Percentiles!$A$45:$I$59, 6, FALSE), perc_90, VLOOKUP(H$2, Percentiles!$A$45:$I$59, 7, FALSE), perc_95, VLOOKUP(H$2, Percentiles!$A$45:$I$59, 8, FALSE), perc_85, perc_75 + (perc_90 - perc_75) * (2/3), converted_stat, '2K_Ratings'!H417, IF(bbgm_stat &gt;= perc_95, converted_stat * 3, IF(bbgm_stat &gt;= perc_90, converted_stat * 2, IF(bbgm_stat &gt;= perc_85, converted_stat * 1.5, converted_stat)))))</f>
        <v/>
      </c>
      <c r="I417" s="30" t="str">
        <f t="array" ref="I417">IF($A417="", "", LET(bbgm_stat, INDEX(Players!$A416:$P416, MATCH(I$2, Players!$A$1:$P$1, 0)), perc_75, VLOOKUP(I$2, Percentiles!$A$45:$I$59, 6, FALSE), perc_90, VLOOKUP(I$2, Percentiles!$A$45:$I$59, 7, FALSE), perc_95, VLOOKUP(I$2, Percentiles!$A$45:$I$59, 8, FALSE), perc_85, perc_75 + (perc_90 - perc_75) * (2/3), converted_stat, '2K_Ratings'!I417, IF(bbgm_stat &gt;= perc_95, converted_stat * 3, IF(bbgm_stat &gt;= perc_90, converted_stat * 2, IF(bbgm_stat &gt;= perc_85, converted_stat * 1.5, converted_stat)))))</f>
        <v/>
      </c>
      <c r="J417" s="30" t="str">
        <f t="array" ref="J417">IF($A417="", "", LET(bbgm_stat, INDEX(Players!$A416:$P416, MATCH(J$2, Players!$A$1:$P$1, 0)), perc_75, VLOOKUP(J$2, Percentiles!$A$45:$I$59, 6, FALSE), perc_90, VLOOKUP(J$2, Percentiles!$A$45:$I$59, 7, FALSE), perc_95, VLOOKUP(J$2, Percentiles!$A$45:$I$59, 8, FALSE), perc_85, perc_75 + (perc_90 - perc_75) * (2/3), converted_stat, '2K_Ratings'!J417, IF(bbgm_stat &gt;= perc_95, converted_stat * 3, IF(bbgm_stat &gt;= perc_90, converted_stat * 2, IF(bbgm_stat &gt;= perc_85, converted_stat * 1.5, converted_stat)))))</f>
        <v/>
      </c>
      <c r="K417" s="30" t="str">
        <f t="array" ref="K417">IF($A417="", "", LET(bbgm_stat, INDEX(Players!$A416:$P416, MATCH(K$2, Players!$A$1:$P$1, 0)), perc_75, VLOOKUP(K$2, Percentiles!$A$45:$I$59, 6, FALSE), perc_90, VLOOKUP(K$2, Percentiles!$A$45:$I$59, 7, FALSE), perc_95, VLOOKUP(K$2, Percentiles!$A$45:$I$59, 8, FALSE), perc_85, perc_75 + (perc_90 - perc_75) * (2/3), converted_stat, '2K_Ratings'!K417, IF(bbgm_stat &gt;= perc_95, converted_stat * 3, IF(bbgm_stat &gt;= perc_90, converted_stat * 2, IF(bbgm_stat &gt;= perc_85, converted_stat * 1.5, converted_stat)))))</f>
        <v/>
      </c>
      <c r="L417" s="30" t="str">
        <f t="array" ref="L417">IF($A417="", "", LET(bbgm_stat, INDEX(Players!$A416:$P416, MATCH(L$2, Players!$A$1:$P$1, 0)), perc_75, VLOOKUP(L$2, Percentiles!$A$45:$I$59, 6, FALSE), perc_90, VLOOKUP(L$2, Percentiles!$A$45:$I$59, 7, FALSE), perc_95, VLOOKUP(L$2, Percentiles!$A$45:$I$59, 8, FALSE), perc_85, perc_75 + (perc_90 - perc_75) * (2/3), converted_stat, '2K_Ratings'!L417, IF(bbgm_stat &gt;= perc_95, converted_stat * 3, IF(bbgm_stat &gt;= perc_90, converted_stat * 2, IF(bbgm_stat &gt;= perc_85, converted_stat * 1.5, converted_stat)))))</f>
        <v/>
      </c>
      <c r="M417" s="30" t="str">
        <f t="array" ref="M417">IF($A417="", "", LET(bbgm_stat, INDEX(Players!$A416:$P416, MATCH(M$2, Players!$A$1:$P$1, 0)), perc_75, VLOOKUP(M$2, Percentiles!$A$45:$I$59, 6, FALSE), perc_90, VLOOKUP(M$2, Percentiles!$A$45:$I$59, 7, FALSE), perc_95, VLOOKUP(M$2, Percentiles!$A$45:$I$59, 8, FALSE), perc_85, perc_75 + (perc_90 - perc_75) * (2/3), converted_stat, '2K_Ratings'!M417, IF(bbgm_stat &gt;= perc_95, converted_stat * 3, IF(bbgm_stat &gt;= perc_90, converted_stat * 2, IF(bbgm_stat &gt;= perc_85, converted_stat * 1.5, converted_stat)))))</f>
        <v/>
      </c>
      <c r="N417" s="30" t="str">
        <f t="array" ref="N417">IF($A417="", "", LET(bbgm_stat, INDEX(Players!$A416:$P416, MATCH(N$2, Players!$A$1:$P$1, 0)), perc_75, VLOOKUP(N$2, Percentiles!$A$45:$I$59, 6, FALSE), perc_90, VLOOKUP(N$2, Percentiles!$A$45:$I$59, 7, FALSE), perc_95, VLOOKUP(N$2, Percentiles!$A$45:$I$59, 8, FALSE), perc_85, perc_75 + (perc_90 - perc_75) * (2/3), converted_stat, '2K_Ratings'!N417, IF(bbgm_stat &gt;= perc_95, converted_stat * 3, IF(bbgm_stat &gt;= perc_90, converted_stat * 2, IF(bbgm_stat &gt;= perc_85, converted_stat * 1.5, converted_stat)))))</f>
        <v/>
      </c>
      <c r="O417" s="30" t="str">
        <f t="array" ref="O417">IF($A417="", "", LET(bbgm_stat, INDEX(Players!$A416:$P416, MATCH(O$2, Players!$A$1:$P$1, 0)), perc_75, VLOOKUP(O$2, Percentiles!$A$45:$I$59, 6, FALSE), perc_90, VLOOKUP(O$2, Percentiles!$A$45:$I$59, 7, FALSE), perc_95, VLOOKUP(O$2, Percentiles!$A$45:$I$59, 8, FALSE), perc_85, perc_75 + (perc_90 - perc_75) * (2/3), converted_stat, '2K_Ratings'!O417, IF(bbgm_stat &gt;= perc_95, converted_stat * 3, IF(bbgm_stat &gt;= perc_90, converted_stat * 2, IF(bbgm_stat &gt;= perc_85, converted_stat * 1.5, converted_stat)))))</f>
        <v/>
      </c>
      <c r="P417" s="30" t="str">
        <f t="array" ref="P417">IF($A417="", "", LET(bbgm_stat, INDEX(Players!$A416:$P416, MATCH(P$2, Players!$A$1:$P$1, 0)), perc_75, VLOOKUP(P$2, Percentiles!$A$45:$I$59, 6, FALSE), perc_90, VLOOKUP(P$2, Percentiles!$A$45:$I$59, 7, FALSE), perc_95, VLOOKUP(P$2, Percentiles!$A$45:$I$59, 8, FALSE), perc_85, perc_75 + (perc_90 - perc_75) * (2/3), converted_stat, '2K_Ratings'!P417, IF(bbgm_stat &gt;= perc_95, converted_stat * 3, IF(bbgm_stat &gt;= perc_90, converted_stat * 2, IF(bbgm_stat &gt;= perc_85, converted_stat * 1.5, converted_stat)))))</f>
        <v/>
      </c>
      <c r="Q417" s="30" t="str">
        <f t="array" ref="Q417">IF($A417="", "", LET(bbgm_stat, INDEX(Players!$A416:$P416, MATCH(Q$2, Players!$A$1:$P$1, 0)), perc_75, VLOOKUP(Q$2, Percentiles!$A$45:$I$59, 6, FALSE), perc_90, VLOOKUP(Q$2, Percentiles!$A$45:$I$59, 7, FALSE), perc_95, VLOOKUP(Q$2, Percentiles!$A$45:$I$59, 8, FALSE), perc_85, perc_75 + (perc_90 - perc_75) * (2/3), converted_stat, '2K_Ratings'!Q417, IF(bbgm_stat &gt;= perc_95, converted_stat * 3, IF(bbgm_stat &gt;= perc_90, converted_stat * 2, IF(bbgm_stat &gt;= perc_85, converted_stat * 1.5, converted_stat)))))</f>
        <v/>
      </c>
      <c r="R417" s="30" t="str">
        <f t="array" ref="R417">IF($A417="", "", LET(bbgm_stat, INDEX(Players!$A416:$P416, MATCH(R$2, Players!$A$1:$P$1, 0)), perc_75, VLOOKUP(R$2, Percentiles!$A$45:$I$59, 6, FALSE), perc_90, VLOOKUP(R$2, Percentiles!$A$45:$I$59, 7, FALSE), perc_95, VLOOKUP(R$2, Percentiles!$A$45:$I$59, 8, FALSE), perc_85, perc_75 + (perc_90 - perc_75) * (2/3), converted_stat, '2K_Ratings'!R417, IF(bbgm_stat &gt;= perc_95, converted_stat * 3, IF(bbgm_stat &gt;= perc_90, converted_stat * 2, IF(bbgm_stat &gt;= perc_85, converted_stat * 1.5, converted_stat)))))</f>
        <v/>
      </c>
      <c r="S417" s="30" t="str">
        <f t="array" ref="S417">IF($A417="", "", LET(bbgm_stat, INDEX(Players!$A416:$P416, MATCH(S$2, Players!$A$1:$P$1, 0)), perc_75, VLOOKUP(S$2, Percentiles!$A$45:$I$59, 6, FALSE), perc_90, VLOOKUP(S$2, Percentiles!$A$45:$I$59, 7, FALSE), perc_95, VLOOKUP(S$2, Percentiles!$A$45:$I$59, 8, FALSE), perc_85, perc_75 + (perc_90 - perc_75) * (2/3), converted_stat, '2K_Ratings'!S417, IF(bbgm_stat &gt;= perc_95, converted_stat * 3, IF(bbgm_stat &gt;= perc_90, converted_stat * 2, IF(bbgm_stat &gt;= perc_85, converted_stat * 1.5, converted_stat)))))</f>
        <v/>
      </c>
      <c r="T417" s="30" t="str">
        <f t="array" ref="T417">IF($A417="", "", LET(bbgm_stat, INDEX(Players!$A416:$P416, MATCH(T$2, Players!$A$1:$P$1, 0)), perc_75, VLOOKUP(T$2, Percentiles!$A$45:$I$59, 6, FALSE), perc_90, VLOOKUP(T$2, Percentiles!$A$45:$I$59, 7, FALSE), perc_95, VLOOKUP(T$2, Percentiles!$A$45:$I$59, 8, FALSE), perc_85, perc_75 + (perc_90 - perc_75) * (2/3), converted_stat, '2K_Ratings'!T417, IF(bbgm_stat &gt;= perc_95, converted_stat * 3, IF(bbgm_stat &gt;= perc_90, converted_stat * 2, IF(bbgm_stat &gt;= perc_85, converted_stat * 1.5, converted_stat)))))</f>
        <v/>
      </c>
      <c r="U417" s="30" t="str">
        <f t="array" ref="U417">IF($A417="", "", LET(bbgm_stat, INDEX(Players!$A416:$P416, MATCH(U$2, Players!$A$1:$P$1, 0)), perc_75, VLOOKUP(U$2, Percentiles!$A$45:$I$59, 6, FALSE), perc_90, VLOOKUP(U$2, Percentiles!$A$45:$I$59, 7, FALSE), perc_95, VLOOKUP(U$2, Percentiles!$A$45:$I$59, 8, FALSE), perc_85, perc_75 + (perc_90 - perc_75) * (2/3), converted_stat, '2K_Ratings'!U417, IF(bbgm_stat &gt;= perc_95, converted_stat * 3, IF(bbgm_stat &gt;= perc_90, converted_stat * 2, IF(bbgm_stat &gt;= perc_85, converted_stat * 1.5, converted_stat)))))</f>
        <v/>
      </c>
      <c r="V417" s="30" t="str">
        <f t="array" ref="V417">IF($A417="", "", LET(bbgm_stat, INDEX(Players!$A416:$P416, MATCH(V$2, Players!$A$1:$P$1, 0)), perc_75, VLOOKUP(V$2, Percentiles!$A$45:$I$59, 6, FALSE), perc_90, VLOOKUP(V$2, Percentiles!$A$45:$I$59, 7, FALSE), perc_95, VLOOKUP(V$2, Percentiles!$A$45:$I$59, 8, FALSE), perc_85, perc_75 + (perc_90 - perc_75) * (2/3), converted_stat, '2K_Ratings'!V417, IF(bbgm_stat &gt;= perc_95, converted_stat * 3, IF(bbgm_stat &gt;= perc_90, converted_stat * 2, IF(bbgm_stat &gt;= perc_85, converted_stat * 1.5, converted_stat)))))</f>
        <v/>
      </c>
      <c r="W417" s="30" t="str">
        <f t="array" ref="W417">IF($A417="", "", LET(bbgm_stat, INDEX(Players!$A416:$P416, MATCH(W$2, Players!$A$1:$P$1, 0)), perc_75, VLOOKUP(W$2, Percentiles!$A$45:$I$59, 6, FALSE), perc_90, VLOOKUP(W$2, Percentiles!$A$45:$I$59, 7, FALSE), perc_95, VLOOKUP(W$2, Percentiles!$A$45:$I$59, 8, FALSE), perc_85, perc_75 + (perc_90 - perc_75) * (2/3), converted_stat, '2K_Ratings'!W417, IF(bbgm_stat &gt;= perc_95, converted_stat * 3, IF(bbgm_stat &gt;= perc_90, converted_stat * 2, IF(bbgm_stat &gt;= perc_85, converted_stat * 1.5, converted_stat)))))</f>
        <v/>
      </c>
    </row>
    <row r="418">
      <c r="A418" s="30"/>
      <c r="B418" s="30" t="str">
        <f t="array" ref="B418">IF($A418="", "", LET(bbgm_stat, INDEX(Players!$A417:$P417, MATCH(B$2, Players!$A$1:$P$1, 0)), perc_75, VLOOKUP(B$2, Percentiles!$A$45:$I$59, 6, FALSE), perc_90, VLOOKUP(B$2, Percentiles!$A$45:$I$59, 7, FALSE), perc_95, VLOOKUP(B$2, Percentiles!$A$45:$I$59, 8, FALSE), perc_85, perc_75 + (perc_90 - perc_75) * (2/3), converted_stat, '2K_Ratings'!B418, IF(bbgm_stat &gt;= perc_95, converted_stat * 3, IF(bbgm_stat &gt;= perc_90, converted_stat * 2, IF(bbgm_stat &gt;= perc_85, converted_stat * 1.5, converted_stat)))))</f>
        <v/>
      </c>
      <c r="C418" s="30" t="str">
        <f t="array" ref="C418">IF($A418="", "", LET(bbgm_stat, INDEX(Players!$A417:$P417, MATCH(C$2, Players!$A$1:$P$1, 0)), perc_75, VLOOKUP(C$2, Percentiles!$A$45:$I$59, 6, FALSE), perc_90, VLOOKUP(C$2, Percentiles!$A$45:$I$59, 7, FALSE), perc_95, VLOOKUP(C$2, Percentiles!$A$45:$I$59, 8, FALSE), perc_85, perc_75 + (perc_90 - perc_75) * (2/3), converted_stat, '2K_Ratings'!C418, IF(bbgm_stat &gt;= perc_95, converted_stat * 3, IF(bbgm_stat &gt;= perc_90, converted_stat * 2, IF(bbgm_stat &gt;= perc_85, converted_stat * 1.5, converted_stat)))))</f>
        <v/>
      </c>
      <c r="D418" s="30" t="str">
        <f t="array" ref="D418">IF($A418="", "", LET(bbgm_stat, INDEX(Players!$A417:$P417, MATCH(D$2, Players!$A$1:$P$1, 0)), perc_75, VLOOKUP(D$2, Percentiles!$A$45:$I$59, 6, FALSE), perc_90, VLOOKUP(D$2, Percentiles!$A$45:$I$59, 7, FALSE), perc_95, VLOOKUP(D$2, Percentiles!$A$45:$I$59, 8, FALSE), perc_85, perc_75 + (perc_90 - perc_75) * (2/3), converted_stat, '2K_Ratings'!D418, IF(bbgm_stat &gt;= perc_95, converted_stat * 3, IF(bbgm_stat &gt;= perc_90, converted_stat * 2, IF(bbgm_stat &gt;= perc_85, converted_stat * 1.5, converted_stat)))))</f>
        <v/>
      </c>
      <c r="E418" s="30" t="str">
        <f t="array" ref="E418">IF($A418="", "", LET(bbgm_stat, INDEX(Players!$A417:$P417, MATCH(E$2, Players!$A$1:$P$1, 0)), perc_75, VLOOKUP(E$2, Percentiles!$A$45:$I$59, 6, FALSE), perc_90, VLOOKUP(E$2, Percentiles!$A$45:$I$59, 7, FALSE), perc_95, VLOOKUP(E$2, Percentiles!$A$45:$I$59, 8, FALSE), perc_85, perc_75 + (perc_90 - perc_75) * (2/3), converted_stat, '2K_Ratings'!E418, IF(bbgm_stat &gt;= perc_95, converted_stat * 3, IF(bbgm_stat &gt;= perc_90, converted_stat * 2, IF(bbgm_stat &gt;= perc_85, converted_stat * 1.5, converted_stat)))))</f>
        <v/>
      </c>
      <c r="F418" s="30" t="str">
        <f t="array" ref="F418">IF($A418="", "", LET(bbgm_stat, INDEX(Players!$A417:$P417, MATCH(F$2, Players!$A$1:$P$1, 0)), perc_75, VLOOKUP(F$2, Percentiles!$A$45:$I$59, 6, FALSE), perc_90, VLOOKUP(F$2, Percentiles!$A$45:$I$59, 7, FALSE), perc_95, VLOOKUP(F$2, Percentiles!$A$45:$I$59, 8, FALSE), perc_85, perc_75 + (perc_90 - perc_75) * (2/3), converted_stat, '2K_Ratings'!F418, IF(bbgm_stat &gt;= perc_95, converted_stat * 3, IF(bbgm_stat &gt;= perc_90, converted_stat * 2, IF(bbgm_stat &gt;= perc_85, converted_stat * 1.5, converted_stat)))))</f>
        <v/>
      </c>
      <c r="G418" s="30" t="str">
        <f t="array" ref="G418">IF($A418="", "", LET(bbgm_stat, INDEX(Players!$A417:$P417, MATCH(G$2, Players!$A$1:$P$1, 0)), perc_75, VLOOKUP(G$2, Percentiles!$A$45:$I$59, 6, FALSE), perc_90, VLOOKUP(G$2, Percentiles!$A$45:$I$59, 7, FALSE), perc_95, VLOOKUP(G$2, Percentiles!$A$45:$I$59, 8, FALSE), perc_85, perc_75 + (perc_90 - perc_75) * (2/3), converted_stat, '2K_Ratings'!G418, IF(bbgm_stat &gt;= perc_95, converted_stat * 3, IF(bbgm_stat &gt;= perc_90, converted_stat * 2, IF(bbgm_stat &gt;= perc_85, converted_stat * 1.5, converted_stat)))))</f>
        <v/>
      </c>
      <c r="H418" s="30" t="str">
        <f t="array" ref="H418">IF($A418="", "", LET(bbgm_stat, INDEX(Players!$A417:$P417, MATCH(H$2, Players!$A$1:$P$1, 0)), perc_75, VLOOKUP(H$2, Percentiles!$A$45:$I$59, 6, FALSE), perc_90, VLOOKUP(H$2, Percentiles!$A$45:$I$59, 7, FALSE), perc_95, VLOOKUP(H$2, Percentiles!$A$45:$I$59, 8, FALSE), perc_85, perc_75 + (perc_90 - perc_75) * (2/3), converted_stat, '2K_Ratings'!H418, IF(bbgm_stat &gt;= perc_95, converted_stat * 3, IF(bbgm_stat &gt;= perc_90, converted_stat * 2, IF(bbgm_stat &gt;= perc_85, converted_stat * 1.5, converted_stat)))))</f>
        <v/>
      </c>
      <c r="I418" s="30" t="str">
        <f t="array" ref="I418">IF($A418="", "", LET(bbgm_stat, INDEX(Players!$A417:$P417, MATCH(I$2, Players!$A$1:$P$1, 0)), perc_75, VLOOKUP(I$2, Percentiles!$A$45:$I$59, 6, FALSE), perc_90, VLOOKUP(I$2, Percentiles!$A$45:$I$59, 7, FALSE), perc_95, VLOOKUP(I$2, Percentiles!$A$45:$I$59, 8, FALSE), perc_85, perc_75 + (perc_90 - perc_75) * (2/3), converted_stat, '2K_Ratings'!I418, IF(bbgm_stat &gt;= perc_95, converted_stat * 3, IF(bbgm_stat &gt;= perc_90, converted_stat * 2, IF(bbgm_stat &gt;= perc_85, converted_stat * 1.5, converted_stat)))))</f>
        <v/>
      </c>
      <c r="J418" s="30" t="str">
        <f t="array" ref="J418">IF($A418="", "", LET(bbgm_stat, INDEX(Players!$A417:$P417, MATCH(J$2, Players!$A$1:$P$1, 0)), perc_75, VLOOKUP(J$2, Percentiles!$A$45:$I$59, 6, FALSE), perc_90, VLOOKUP(J$2, Percentiles!$A$45:$I$59, 7, FALSE), perc_95, VLOOKUP(J$2, Percentiles!$A$45:$I$59, 8, FALSE), perc_85, perc_75 + (perc_90 - perc_75) * (2/3), converted_stat, '2K_Ratings'!J418, IF(bbgm_stat &gt;= perc_95, converted_stat * 3, IF(bbgm_stat &gt;= perc_90, converted_stat * 2, IF(bbgm_stat &gt;= perc_85, converted_stat * 1.5, converted_stat)))))</f>
        <v/>
      </c>
      <c r="K418" s="30" t="str">
        <f t="array" ref="K418">IF($A418="", "", LET(bbgm_stat, INDEX(Players!$A417:$P417, MATCH(K$2, Players!$A$1:$P$1, 0)), perc_75, VLOOKUP(K$2, Percentiles!$A$45:$I$59, 6, FALSE), perc_90, VLOOKUP(K$2, Percentiles!$A$45:$I$59, 7, FALSE), perc_95, VLOOKUP(K$2, Percentiles!$A$45:$I$59, 8, FALSE), perc_85, perc_75 + (perc_90 - perc_75) * (2/3), converted_stat, '2K_Ratings'!K418, IF(bbgm_stat &gt;= perc_95, converted_stat * 3, IF(bbgm_stat &gt;= perc_90, converted_stat * 2, IF(bbgm_stat &gt;= perc_85, converted_stat * 1.5, converted_stat)))))</f>
        <v/>
      </c>
      <c r="L418" s="30" t="str">
        <f t="array" ref="L418">IF($A418="", "", LET(bbgm_stat, INDEX(Players!$A417:$P417, MATCH(L$2, Players!$A$1:$P$1, 0)), perc_75, VLOOKUP(L$2, Percentiles!$A$45:$I$59, 6, FALSE), perc_90, VLOOKUP(L$2, Percentiles!$A$45:$I$59, 7, FALSE), perc_95, VLOOKUP(L$2, Percentiles!$A$45:$I$59, 8, FALSE), perc_85, perc_75 + (perc_90 - perc_75) * (2/3), converted_stat, '2K_Ratings'!L418, IF(bbgm_stat &gt;= perc_95, converted_stat * 3, IF(bbgm_stat &gt;= perc_90, converted_stat * 2, IF(bbgm_stat &gt;= perc_85, converted_stat * 1.5, converted_stat)))))</f>
        <v/>
      </c>
      <c r="M418" s="30" t="str">
        <f t="array" ref="M418">IF($A418="", "", LET(bbgm_stat, INDEX(Players!$A417:$P417, MATCH(M$2, Players!$A$1:$P$1, 0)), perc_75, VLOOKUP(M$2, Percentiles!$A$45:$I$59, 6, FALSE), perc_90, VLOOKUP(M$2, Percentiles!$A$45:$I$59, 7, FALSE), perc_95, VLOOKUP(M$2, Percentiles!$A$45:$I$59, 8, FALSE), perc_85, perc_75 + (perc_90 - perc_75) * (2/3), converted_stat, '2K_Ratings'!M418, IF(bbgm_stat &gt;= perc_95, converted_stat * 3, IF(bbgm_stat &gt;= perc_90, converted_stat * 2, IF(bbgm_stat &gt;= perc_85, converted_stat * 1.5, converted_stat)))))</f>
        <v/>
      </c>
      <c r="N418" s="30" t="str">
        <f t="array" ref="N418">IF($A418="", "", LET(bbgm_stat, INDEX(Players!$A417:$P417, MATCH(N$2, Players!$A$1:$P$1, 0)), perc_75, VLOOKUP(N$2, Percentiles!$A$45:$I$59, 6, FALSE), perc_90, VLOOKUP(N$2, Percentiles!$A$45:$I$59, 7, FALSE), perc_95, VLOOKUP(N$2, Percentiles!$A$45:$I$59, 8, FALSE), perc_85, perc_75 + (perc_90 - perc_75) * (2/3), converted_stat, '2K_Ratings'!N418, IF(bbgm_stat &gt;= perc_95, converted_stat * 3, IF(bbgm_stat &gt;= perc_90, converted_stat * 2, IF(bbgm_stat &gt;= perc_85, converted_stat * 1.5, converted_stat)))))</f>
        <v/>
      </c>
      <c r="O418" s="30" t="str">
        <f t="array" ref="O418">IF($A418="", "", LET(bbgm_stat, INDEX(Players!$A417:$P417, MATCH(O$2, Players!$A$1:$P$1, 0)), perc_75, VLOOKUP(O$2, Percentiles!$A$45:$I$59, 6, FALSE), perc_90, VLOOKUP(O$2, Percentiles!$A$45:$I$59, 7, FALSE), perc_95, VLOOKUP(O$2, Percentiles!$A$45:$I$59, 8, FALSE), perc_85, perc_75 + (perc_90 - perc_75) * (2/3), converted_stat, '2K_Ratings'!O418, IF(bbgm_stat &gt;= perc_95, converted_stat * 3, IF(bbgm_stat &gt;= perc_90, converted_stat * 2, IF(bbgm_stat &gt;= perc_85, converted_stat * 1.5, converted_stat)))))</f>
        <v/>
      </c>
      <c r="P418" s="30" t="str">
        <f t="array" ref="P418">IF($A418="", "", LET(bbgm_stat, INDEX(Players!$A417:$P417, MATCH(P$2, Players!$A$1:$P$1, 0)), perc_75, VLOOKUP(P$2, Percentiles!$A$45:$I$59, 6, FALSE), perc_90, VLOOKUP(P$2, Percentiles!$A$45:$I$59, 7, FALSE), perc_95, VLOOKUP(P$2, Percentiles!$A$45:$I$59, 8, FALSE), perc_85, perc_75 + (perc_90 - perc_75) * (2/3), converted_stat, '2K_Ratings'!P418, IF(bbgm_stat &gt;= perc_95, converted_stat * 3, IF(bbgm_stat &gt;= perc_90, converted_stat * 2, IF(bbgm_stat &gt;= perc_85, converted_stat * 1.5, converted_stat)))))</f>
        <v/>
      </c>
      <c r="Q418" s="30" t="str">
        <f t="array" ref="Q418">IF($A418="", "", LET(bbgm_stat, INDEX(Players!$A417:$P417, MATCH(Q$2, Players!$A$1:$P$1, 0)), perc_75, VLOOKUP(Q$2, Percentiles!$A$45:$I$59, 6, FALSE), perc_90, VLOOKUP(Q$2, Percentiles!$A$45:$I$59, 7, FALSE), perc_95, VLOOKUP(Q$2, Percentiles!$A$45:$I$59, 8, FALSE), perc_85, perc_75 + (perc_90 - perc_75) * (2/3), converted_stat, '2K_Ratings'!Q418, IF(bbgm_stat &gt;= perc_95, converted_stat * 3, IF(bbgm_stat &gt;= perc_90, converted_stat * 2, IF(bbgm_stat &gt;= perc_85, converted_stat * 1.5, converted_stat)))))</f>
        <v/>
      </c>
      <c r="R418" s="30" t="str">
        <f t="array" ref="R418">IF($A418="", "", LET(bbgm_stat, INDEX(Players!$A417:$P417, MATCH(R$2, Players!$A$1:$P$1, 0)), perc_75, VLOOKUP(R$2, Percentiles!$A$45:$I$59, 6, FALSE), perc_90, VLOOKUP(R$2, Percentiles!$A$45:$I$59, 7, FALSE), perc_95, VLOOKUP(R$2, Percentiles!$A$45:$I$59, 8, FALSE), perc_85, perc_75 + (perc_90 - perc_75) * (2/3), converted_stat, '2K_Ratings'!R418, IF(bbgm_stat &gt;= perc_95, converted_stat * 3, IF(bbgm_stat &gt;= perc_90, converted_stat * 2, IF(bbgm_stat &gt;= perc_85, converted_stat * 1.5, converted_stat)))))</f>
        <v/>
      </c>
      <c r="S418" s="30" t="str">
        <f t="array" ref="S418">IF($A418="", "", LET(bbgm_stat, INDEX(Players!$A417:$P417, MATCH(S$2, Players!$A$1:$P$1, 0)), perc_75, VLOOKUP(S$2, Percentiles!$A$45:$I$59, 6, FALSE), perc_90, VLOOKUP(S$2, Percentiles!$A$45:$I$59, 7, FALSE), perc_95, VLOOKUP(S$2, Percentiles!$A$45:$I$59, 8, FALSE), perc_85, perc_75 + (perc_90 - perc_75) * (2/3), converted_stat, '2K_Ratings'!S418, IF(bbgm_stat &gt;= perc_95, converted_stat * 3, IF(bbgm_stat &gt;= perc_90, converted_stat * 2, IF(bbgm_stat &gt;= perc_85, converted_stat * 1.5, converted_stat)))))</f>
        <v/>
      </c>
      <c r="T418" s="30" t="str">
        <f t="array" ref="T418">IF($A418="", "", LET(bbgm_stat, INDEX(Players!$A417:$P417, MATCH(T$2, Players!$A$1:$P$1, 0)), perc_75, VLOOKUP(T$2, Percentiles!$A$45:$I$59, 6, FALSE), perc_90, VLOOKUP(T$2, Percentiles!$A$45:$I$59, 7, FALSE), perc_95, VLOOKUP(T$2, Percentiles!$A$45:$I$59, 8, FALSE), perc_85, perc_75 + (perc_90 - perc_75) * (2/3), converted_stat, '2K_Ratings'!T418, IF(bbgm_stat &gt;= perc_95, converted_stat * 3, IF(bbgm_stat &gt;= perc_90, converted_stat * 2, IF(bbgm_stat &gt;= perc_85, converted_stat * 1.5, converted_stat)))))</f>
        <v/>
      </c>
      <c r="U418" s="30" t="str">
        <f t="array" ref="U418">IF($A418="", "", LET(bbgm_stat, INDEX(Players!$A417:$P417, MATCH(U$2, Players!$A$1:$P$1, 0)), perc_75, VLOOKUP(U$2, Percentiles!$A$45:$I$59, 6, FALSE), perc_90, VLOOKUP(U$2, Percentiles!$A$45:$I$59, 7, FALSE), perc_95, VLOOKUP(U$2, Percentiles!$A$45:$I$59, 8, FALSE), perc_85, perc_75 + (perc_90 - perc_75) * (2/3), converted_stat, '2K_Ratings'!U418, IF(bbgm_stat &gt;= perc_95, converted_stat * 3, IF(bbgm_stat &gt;= perc_90, converted_stat * 2, IF(bbgm_stat &gt;= perc_85, converted_stat * 1.5, converted_stat)))))</f>
        <v/>
      </c>
      <c r="V418" s="30" t="str">
        <f t="array" ref="V418">IF($A418="", "", LET(bbgm_stat, INDEX(Players!$A417:$P417, MATCH(V$2, Players!$A$1:$P$1, 0)), perc_75, VLOOKUP(V$2, Percentiles!$A$45:$I$59, 6, FALSE), perc_90, VLOOKUP(V$2, Percentiles!$A$45:$I$59, 7, FALSE), perc_95, VLOOKUP(V$2, Percentiles!$A$45:$I$59, 8, FALSE), perc_85, perc_75 + (perc_90 - perc_75) * (2/3), converted_stat, '2K_Ratings'!V418, IF(bbgm_stat &gt;= perc_95, converted_stat * 3, IF(bbgm_stat &gt;= perc_90, converted_stat * 2, IF(bbgm_stat &gt;= perc_85, converted_stat * 1.5, converted_stat)))))</f>
        <v/>
      </c>
      <c r="W418" s="30" t="str">
        <f t="array" ref="W418">IF($A418="", "", LET(bbgm_stat, INDEX(Players!$A417:$P417, MATCH(W$2, Players!$A$1:$P$1, 0)), perc_75, VLOOKUP(W$2, Percentiles!$A$45:$I$59, 6, FALSE), perc_90, VLOOKUP(W$2, Percentiles!$A$45:$I$59, 7, FALSE), perc_95, VLOOKUP(W$2, Percentiles!$A$45:$I$59, 8, FALSE), perc_85, perc_75 + (perc_90 - perc_75) * (2/3), converted_stat, '2K_Ratings'!W418, IF(bbgm_stat &gt;= perc_95, converted_stat * 3, IF(bbgm_stat &gt;= perc_90, converted_stat * 2, IF(bbgm_stat &gt;= perc_85, converted_stat * 1.5, converted_stat)))))</f>
        <v/>
      </c>
    </row>
    <row r="419">
      <c r="A419" s="30"/>
      <c r="B419" s="30" t="str">
        <f t="array" ref="B419">IF($A419="", "", LET(bbgm_stat, INDEX(Players!$A418:$P418, MATCH(B$2, Players!$A$1:$P$1, 0)), perc_75, VLOOKUP(B$2, Percentiles!$A$45:$I$59, 6, FALSE), perc_90, VLOOKUP(B$2, Percentiles!$A$45:$I$59, 7, FALSE), perc_95, VLOOKUP(B$2, Percentiles!$A$45:$I$59, 8, FALSE), perc_85, perc_75 + (perc_90 - perc_75) * (2/3), converted_stat, '2K_Ratings'!B419, IF(bbgm_stat &gt;= perc_95, converted_stat * 3, IF(bbgm_stat &gt;= perc_90, converted_stat * 2, IF(bbgm_stat &gt;= perc_85, converted_stat * 1.5, converted_stat)))))</f>
        <v/>
      </c>
      <c r="C419" s="30" t="str">
        <f t="array" ref="C419">IF($A419="", "", LET(bbgm_stat, INDEX(Players!$A418:$P418, MATCH(C$2, Players!$A$1:$P$1, 0)), perc_75, VLOOKUP(C$2, Percentiles!$A$45:$I$59, 6, FALSE), perc_90, VLOOKUP(C$2, Percentiles!$A$45:$I$59, 7, FALSE), perc_95, VLOOKUP(C$2, Percentiles!$A$45:$I$59, 8, FALSE), perc_85, perc_75 + (perc_90 - perc_75) * (2/3), converted_stat, '2K_Ratings'!C419, IF(bbgm_stat &gt;= perc_95, converted_stat * 3, IF(bbgm_stat &gt;= perc_90, converted_stat * 2, IF(bbgm_stat &gt;= perc_85, converted_stat * 1.5, converted_stat)))))</f>
        <v/>
      </c>
      <c r="D419" s="30" t="str">
        <f t="array" ref="D419">IF($A419="", "", LET(bbgm_stat, INDEX(Players!$A418:$P418, MATCH(D$2, Players!$A$1:$P$1, 0)), perc_75, VLOOKUP(D$2, Percentiles!$A$45:$I$59, 6, FALSE), perc_90, VLOOKUP(D$2, Percentiles!$A$45:$I$59, 7, FALSE), perc_95, VLOOKUP(D$2, Percentiles!$A$45:$I$59, 8, FALSE), perc_85, perc_75 + (perc_90 - perc_75) * (2/3), converted_stat, '2K_Ratings'!D419, IF(bbgm_stat &gt;= perc_95, converted_stat * 3, IF(bbgm_stat &gt;= perc_90, converted_stat * 2, IF(bbgm_stat &gt;= perc_85, converted_stat * 1.5, converted_stat)))))</f>
        <v/>
      </c>
      <c r="E419" s="30" t="str">
        <f t="array" ref="E419">IF($A419="", "", LET(bbgm_stat, INDEX(Players!$A418:$P418, MATCH(E$2, Players!$A$1:$P$1, 0)), perc_75, VLOOKUP(E$2, Percentiles!$A$45:$I$59, 6, FALSE), perc_90, VLOOKUP(E$2, Percentiles!$A$45:$I$59, 7, FALSE), perc_95, VLOOKUP(E$2, Percentiles!$A$45:$I$59, 8, FALSE), perc_85, perc_75 + (perc_90 - perc_75) * (2/3), converted_stat, '2K_Ratings'!E419, IF(bbgm_stat &gt;= perc_95, converted_stat * 3, IF(bbgm_stat &gt;= perc_90, converted_stat * 2, IF(bbgm_stat &gt;= perc_85, converted_stat * 1.5, converted_stat)))))</f>
        <v/>
      </c>
      <c r="F419" s="30" t="str">
        <f t="array" ref="F419">IF($A419="", "", LET(bbgm_stat, INDEX(Players!$A418:$P418, MATCH(F$2, Players!$A$1:$P$1, 0)), perc_75, VLOOKUP(F$2, Percentiles!$A$45:$I$59, 6, FALSE), perc_90, VLOOKUP(F$2, Percentiles!$A$45:$I$59, 7, FALSE), perc_95, VLOOKUP(F$2, Percentiles!$A$45:$I$59, 8, FALSE), perc_85, perc_75 + (perc_90 - perc_75) * (2/3), converted_stat, '2K_Ratings'!F419, IF(bbgm_stat &gt;= perc_95, converted_stat * 3, IF(bbgm_stat &gt;= perc_90, converted_stat * 2, IF(bbgm_stat &gt;= perc_85, converted_stat * 1.5, converted_stat)))))</f>
        <v/>
      </c>
      <c r="G419" s="30" t="str">
        <f t="array" ref="G419">IF($A419="", "", LET(bbgm_stat, INDEX(Players!$A418:$P418, MATCH(G$2, Players!$A$1:$P$1, 0)), perc_75, VLOOKUP(G$2, Percentiles!$A$45:$I$59, 6, FALSE), perc_90, VLOOKUP(G$2, Percentiles!$A$45:$I$59, 7, FALSE), perc_95, VLOOKUP(G$2, Percentiles!$A$45:$I$59, 8, FALSE), perc_85, perc_75 + (perc_90 - perc_75) * (2/3), converted_stat, '2K_Ratings'!G419, IF(bbgm_stat &gt;= perc_95, converted_stat * 3, IF(bbgm_stat &gt;= perc_90, converted_stat * 2, IF(bbgm_stat &gt;= perc_85, converted_stat * 1.5, converted_stat)))))</f>
        <v/>
      </c>
      <c r="H419" s="30" t="str">
        <f t="array" ref="H419">IF($A419="", "", LET(bbgm_stat, INDEX(Players!$A418:$P418, MATCH(H$2, Players!$A$1:$P$1, 0)), perc_75, VLOOKUP(H$2, Percentiles!$A$45:$I$59, 6, FALSE), perc_90, VLOOKUP(H$2, Percentiles!$A$45:$I$59, 7, FALSE), perc_95, VLOOKUP(H$2, Percentiles!$A$45:$I$59, 8, FALSE), perc_85, perc_75 + (perc_90 - perc_75) * (2/3), converted_stat, '2K_Ratings'!H419, IF(bbgm_stat &gt;= perc_95, converted_stat * 3, IF(bbgm_stat &gt;= perc_90, converted_stat * 2, IF(bbgm_stat &gt;= perc_85, converted_stat * 1.5, converted_stat)))))</f>
        <v/>
      </c>
      <c r="I419" s="30" t="str">
        <f t="array" ref="I419">IF($A419="", "", LET(bbgm_stat, INDEX(Players!$A418:$P418, MATCH(I$2, Players!$A$1:$P$1, 0)), perc_75, VLOOKUP(I$2, Percentiles!$A$45:$I$59, 6, FALSE), perc_90, VLOOKUP(I$2, Percentiles!$A$45:$I$59, 7, FALSE), perc_95, VLOOKUP(I$2, Percentiles!$A$45:$I$59, 8, FALSE), perc_85, perc_75 + (perc_90 - perc_75) * (2/3), converted_stat, '2K_Ratings'!I419, IF(bbgm_stat &gt;= perc_95, converted_stat * 3, IF(bbgm_stat &gt;= perc_90, converted_stat * 2, IF(bbgm_stat &gt;= perc_85, converted_stat * 1.5, converted_stat)))))</f>
        <v/>
      </c>
      <c r="J419" s="30" t="str">
        <f t="array" ref="J419">IF($A419="", "", LET(bbgm_stat, INDEX(Players!$A418:$P418, MATCH(J$2, Players!$A$1:$P$1, 0)), perc_75, VLOOKUP(J$2, Percentiles!$A$45:$I$59, 6, FALSE), perc_90, VLOOKUP(J$2, Percentiles!$A$45:$I$59, 7, FALSE), perc_95, VLOOKUP(J$2, Percentiles!$A$45:$I$59, 8, FALSE), perc_85, perc_75 + (perc_90 - perc_75) * (2/3), converted_stat, '2K_Ratings'!J419, IF(bbgm_stat &gt;= perc_95, converted_stat * 3, IF(bbgm_stat &gt;= perc_90, converted_stat * 2, IF(bbgm_stat &gt;= perc_85, converted_stat * 1.5, converted_stat)))))</f>
        <v/>
      </c>
      <c r="K419" s="30" t="str">
        <f t="array" ref="K419">IF($A419="", "", LET(bbgm_stat, INDEX(Players!$A418:$P418, MATCH(K$2, Players!$A$1:$P$1, 0)), perc_75, VLOOKUP(K$2, Percentiles!$A$45:$I$59, 6, FALSE), perc_90, VLOOKUP(K$2, Percentiles!$A$45:$I$59, 7, FALSE), perc_95, VLOOKUP(K$2, Percentiles!$A$45:$I$59, 8, FALSE), perc_85, perc_75 + (perc_90 - perc_75) * (2/3), converted_stat, '2K_Ratings'!K419, IF(bbgm_stat &gt;= perc_95, converted_stat * 3, IF(bbgm_stat &gt;= perc_90, converted_stat * 2, IF(bbgm_stat &gt;= perc_85, converted_stat * 1.5, converted_stat)))))</f>
        <v/>
      </c>
      <c r="L419" s="30" t="str">
        <f t="array" ref="L419">IF($A419="", "", LET(bbgm_stat, INDEX(Players!$A418:$P418, MATCH(L$2, Players!$A$1:$P$1, 0)), perc_75, VLOOKUP(L$2, Percentiles!$A$45:$I$59, 6, FALSE), perc_90, VLOOKUP(L$2, Percentiles!$A$45:$I$59, 7, FALSE), perc_95, VLOOKUP(L$2, Percentiles!$A$45:$I$59, 8, FALSE), perc_85, perc_75 + (perc_90 - perc_75) * (2/3), converted_stat, '2K_Ratings'!L419, IF(bbgm_stat &gt;= perc_95, converted_stat * 3, IF(bbgm_stat &gt;= perc_90, converted_stat * 2, IF(bbgm_stat &gt;= perc_85, converted_stat * 1.5, converted_stat)))))</f>
        <v/>
      </c>
      <c r="M419" s="30" t="str">
        <f t="array" ref="M419">IF($A419="", "", LET(bbgm_stat, INDEX(Players!$A418:$P418, MATCH(M$2, Players!$A$1:$P$1, 0)), perc_75, VLOOKUP(M$2, Percentiles!$A$45:$I$59, 6, FALSE), perc_90, VLOOKUP(M$2, Percentiles!$A$45:$I$59, 7, FALSE), perc_95, VLOOKUP(M$2, Percentiles!$A$45:$I$59, 8, FALSE), perc_85, perc_75 + (perc_90 - perc_75) * (2/3), converted_stat, '2K_Ratings'!M419, IF(bbgm_stat &gt;= perc_95, converted_stat * 3, IF(bbgm_stat &gt;= perc_90, converted_stat * 2, IF(bbgm_stat &gt;= perc_85, converted_stat * 1.5, converted_stat)))))</f>
        <v/>
      </c>
      <c r="N419" s="30" t="str">
        <f t="array" ref="N419">IF($A419="", "", LET(bbgm_stat, INDEX(Players!$A418:$P418, MATCH(N$2, Players!$A$1:$P$1, 0)), perc_75, VLOOKUP(N$2, Percentiles!$A$45:$I$59, 6, FALSE), perc_90, VLOOKUP(N$2, Percentiles!$A$45:$I$59, 7, FALSE), perc_95, VLOOKUP(N$2, Percentiles!$A$45:$I$59, 8, FALSE), perc_85, perc_75 + (perc_90 - perc_75) * (2/3), converted_stat, '2K_Ratings'!N419, IF(bbgm_stat &gt;= perc_95, converted_stat * 3, IF(bbgm_stat &gt;= perc_90, converted_stat * 2, IF(bbgm_stat &gt;= perc_85, converted_stat * 1.5, converted_stat)))))</f>
        <v/>
      </c>
      <c r="O419" s="30" t="str">
        <f t="array" ref="O419">IF($A419="", "", LET(bbgm_stat, INDEX(Players!$A418:$P418, MATCH(O$2, Players!$A$1:$P$1, 0)), perc_75, VLOOKUP(O$2, Percentiles!$A$45:$I$59, 6, FALSE), perc_90, VLOOKUP(O$2, Percentiles!$A$45:$I$59, 7, FALSE), perc_95, VLOOKUP(O$2, Percentiles!$A$45:$I$59, 8, FALSE), perc_85, perc_75 + (perc_90 - perc_75) * (2/3), converted_stat, '2K_Ratings'!O419, IF(bbgm_stat &gt;= perc_95, converted_stat * 3, IF(bbgm_stat &gt;= perc_90, converted_stat * 2, IF(bbgm_stat &gt;= perc_85, converted_stat * 1.5, converted_stat)))))</f>
        <v/>
      </c>
      <c r="P419" s="30" t="str">
        <f t="array" ref="P419">IF($A419="", "", LET(bbgm_stat, INDEX(Players!$A418:$P418, MATCH(P$2, Players!$A$1:$P$1, 0)), perc_75, VLOOKUP(P$2, Percentiles!$A$45:$I$59, 6, FALSE), perc_90, VLOOKUP(P$2, Percentiles!$A$45:$I$59, 7, FALSE), perc_95, VLOOKUP(P$2, Percentiles!$A$45:$I$59, 8, FALSE), perc_85, perc_75 + (perc_90 - perc_75) * (2/3), converted_stat, '2K_Ratings'!P419, IF(bbgm_stat &gt;= perc_95, converted_stat * 3, IF(bbgm_stat &gt;= perc_90, converted_stat * 2, IF(bbgm_stat &gt;= perc_85, converted_stat * 1.5, converted_stat)))))</f>
        <v/>
      </c>
      <c r="Q419" s="30" t="str">
        <f t="array" ref="Q419">IF($A419="", "", LET(bbgm_stat, INDEX(Players!$A418:$P418, MATCH(Q$2, Players!$A$1:$P$1, 0)), perc_75, VLOOKUP(Q$2, Percentiles!$A$45:$I$59, 6, FALSE), perc_90, VLOOKUP(Q$2, Percentiles!$A$45:$I$59, 7, FALSE), perc_95, VLOOKUP(Q$2, Percentiles!$A$45:$I$59, 8, FALSE), perc_85, perc_75 + (perc_90 - perc_75) * (2/3), converted_stat, '2K_Ratings'!Q419, IF(bbgm_stat &gt;= perc_95, converted_stat * 3, IF(bbgm_stat &gt;= perc_90, converted_stat * 2, IF(bbgm_stat &gt;= perc_85, converted_stat * 1.5, converted_stat)))))</f>
        <v/>
      </c>
      <c r="R419" s="30" t="str">
        <f t="array" ref="R419">IF($A419="", "", LET(bbgm_stat, INDEX(Players!$A418:$P418, MATCH(R$2, Players!$A$1:$P$1, 0)), perc_75, VLOOKUP(R$2, Percentiles!$A$45:$I$59, 6, FALSE), perc_90, VLOOKUP(R$2, Percentiles!$A$45:$I$59, 7, FALSE), perc_95, VLOOKUP(R$2, Percentiles!$A$45:$I$59, 8, FALSE), perc_85, perc_75 + (perc_90 - perc_75) * (2/3), converted_stat, '2K_Ratings'!R419, IF(bbgm_stat &gt;= perc_95, converted_stat * 3, IF(bbgm_stat &gt;= perc_90, converted_stat * 2, IF(bbgm_stat &gt;= perc_85, converted_stat * 1.5, converted_stat)))))</f>
        <v/>
      </c>
      <c r="S419" s="30" t="str">
        <f t="array" ref="S419">IF($A419="", "", LET(bbgm_stat, INDEX(Players!$A418:$P418, MATCH(S$2, Players!$A$1:$P$1, 0)), perc_75, VLOOKUP(S$2, Percentiles!$A$45:$I$59, 6, FALSE), perc_90, VLOOKUP(S$2, Percentiles!$A$45:$I$59, 7, FALSE), perc_95, VLOOKUP(S$2, Percentiles!$A$45:$I$59, 8, FALSE), perc_85, perc_75 + (perc_90 - perc_75) * (2/3), converted_stat, '2K_Ratings'!S419, IF(bbgm_stat &gt;= perc_95, converted_stat * 3, IF(bbgm_stat &gt;= perc_90, converted_stat * 2, IF(bbgm_stat &gt;= perc_85, converted_stat * 1.5, converted_stat)))))</f>
        <v/>
      </c>
      <c r="T419" s="30" t="str">
        <f t="array" ref="T419">IF($A419="", "", LET(bbgm_stat, INDEX(Players!$A418:$P418, MATCH(T$2, Players!$A$1:$P$1, 0)), perc_75, VLOOKUP(T$2, Percentiles!$A$45:$I$59, 6, FALSE), perc_90, VLOOKUP(T$2, Percentiles!$A$45:$I$59, 7, FALSE), perc_95, VLOOKUP(T$2, Percentiles!$A$45:$I$59, 8, FALSE), perc_85, perc_75 + (perc_90 - perc_75) * (2/3), converted_stat, '2K_Ratings'!T419, IF(bbgm_stat &gt;= perc_95, converted_stat * 3, IF(bbgm_stat &gt;= perc_90, converted_stat * 2, IF(bbgm_stat &gt;= perc_85, converted_stat * 1.5, converted_stat)))))</f>
        <v/>
      </c>
      <c r="U419" s="30" t="str">
        <f t="array" ref="U419">IF($A419="", "", LET(bbgm_stat, INDEX(Players!$A418:$P418, MATCH(U$2, Players!$A$1:$P$1, 0)), perc_75, VLOOKUP(U$2, Percentiles!$A$45:$I$59, 6, FALSE), perc_90, VLOOKUP(U$2, Percentiles!$A$45:$I$59, 7, FALSE), perc_95, VLOOKUP(U$2, Percentiles!$A$45:$I$59, 8, FALSE), perc_85, perc_75 + (perc_90 - perc_75) * (2/3), converted_stat, '2K_Ratings'!U419, IF(bbgm_stat &gt;= perc_95, converted_stat * 3, IF(bbgm_stat &gt;= perc_90, converted_stat * 2, IF(bbgm_stat &gt;= perc_85, converted_stat * 1.5, converted_stat)))))</f>
        <v/>
      </c>
      <c r="V419" s="30" t="str">
        <f t="array" ref="V419">IF($A419="", "", LET(bbgm_stat, INDEX(Players!$A418:$P418, MATCH(V$2, Players!$A$1:$P$1, 0)), perc_75, VLOOKUP(V$2, Percentiles!$A$45:$I$59, 6, FALSE), perc_90, VLOOKUP(V$2, Percentiles!$A$45:$I$59, 7, FALSE), perc_95, VLOOKUP(V$2, Percentiles!$A$45:$I$59, 8, FALSE), perc_85, perc_75 + (perc_90 - perc_75) * (2/3), converted_stat, '2K_Ratings'!V419, IF(bbgm_stat &gt;= perc_95, converted_stat * 3, IF(bbgm_stat &gt;= perc_90, converted_stat * 2, IF(bbgm_stat &gt;= perc_85, converted_stat * 1.5, converted_stat)))))</f>
        <v/>
      </c>
      <c r="W419" s="30" t="str">
        <f t="array" ref="W419">IF($A419="", "", LET(bbgm_stat, INDEX(Players!$A418:$P418, MATCH(W$2, Players!$A$1:$P$1, 0)), perc_75, VLOOKUP(W$2, Percentiles!$A$45:$I$59, 6, FALSE), perc_90, VLOOKUP(W$2, Percentiles!$A$45:$I$59, 7, FALSE), perc_95, VLOOKUP(W$2, Percentiles!$A$45:$I$59, 8, FALSE), perc_85, perc_75 + (perc_90 - perc_75) * (2/3), converted_stat, '2K_Ratings'!W419, IF(bbgm_stat &gt;= perc_95, converted_stat * 3, IF(bbgm_stat &gt;= perc_90, converted_stat * 2, IF(bbgm_stat &gt;= perc_85, converted_stat * 1.5, converted_stat)))))</f>
        <v/>
      </c>
    </row>
    <row r="420">
      <c r="A420" s="30"/>
      <c r="B420" s="30" t="str">
        <f t="array" ref="B420">IF($A420="", "", LET(bbgm_stat, INDEX(Players!$A419:$P419, MATCH(B$2, Players!$A$1:$P$1, 0)), perc_75, VLOOKUP(B$2, Percentiles!$A$45:$I$59, 6, FALSE), perc_90, VLOOKUP(B$2, Percentiles!$A$45:$I$59, 7, FALSE), perc_95, VLOOKUP(B$2, Percentiles!$A$45:$I$59, 8, FALSE), perc_85, perc_75 + (perc_90 - perc_75) * (2/3), converted_stat, '2K_Ratings'!B420, IF(bbgm_stat &gt;= perc_95, converted_stat * 3, IF(bbgm_stat &gt;= perc_90, converted_stat * 2, IF(bbgm_stat &gt;= perc_85, converted_stat * 1.5, converted_stat)))))</f>
        <v/>
      </c>
      <c r="C420" s="30" t="str">
        <f t="array" ref="C420">IF($A420="", "", LET(bbgm_stat, INDEX(Players!$A419:$P419, MATCH(C$2, Players!$A$1:$P$1, 0)), perc_75, VLOOKUP(C$2, Percentiles!$A$45:$I$59, 6, FALSE), perc_90, VLOOKUP(C$2, Percentiles!$A$45:$I$59, 7, FALSE), perc_95, VLOOKUP(C$2, Percentiles!$A$45:$I$59, 8, FALSE), perc_85, perc_75 + (perc_90 - perc_75) * (2/3), converted_stat, '2K_Ratings'!C420, IF(bbgm_stat &gt;= perc_95, converted_stat * 3, IF(bbgm_stat &gt;= perc_90, converted_stat * 2, IF(bbgm_stat &gt;= perc_85, converted_stat * 1.5, converted_stat)))))</f>
        <v/>
      </c>
      <c r="D420" s="30" t="str">
        <f t="array" ref="D420">IF($A420="", "", LET(bbgm_stat, INDEX(Players!$A419:$P419, MATCH(D$2, Players!$A$1:$P$1, 0)), perc_75, VLOOKUP(D$2, Percentiles!$A$45:$I$59, 6, FALSE), perc_90, VLOOKUP(D$2, Percentiles!$A$45:$I$59, 7, FALSE), perc_95, VLOOKUP(D$2, Percentiles!$A$45:$I$59, 8, FALSE), perc_85, perc_75 + (perc_90 - perc_75) * (2/3), converted_stat, '2K_Ratings'!D420, IF(bbgm_stat &gt;= perc_95, converted_stat * 3, IF(bbgm_stat &gt;= perc_90, converted_stat * 2, IF(bbgm_stat &gt;= perc_85, converted_stat * 1.5, converted_stat)))))</f>
        <v/>
      </c>
      <c r="E420" s="30" t="str">
        <f t="array" ref="E420">IF($A420="", "", LET(bbgm_stat, INDEX(Players!$A419:$P419, MATCH(E$2, Players!$A$1:$P$1, 0)), perc_75, VLOOKUP(E$2, Percentiles!$A$45:$I$59, 6, FALSE), perc_90, VLOOKUP(E$2, Percentiles!$A$45:$I$59, 7, FALSE), perc_95, VLOOKUP(E$2, Percentiles!$A$45:$I$59, 8, FALSE), perc_85, perc_75 + (perc_90 - perc_75) * (2/3), converted_stat, '2K_Ratings'!E420, IF(bbgm_stat &gt;= perc_95, converted_stat * 3, IF(bbgm_stat &gt;= perc_90, converted_stat * 2, IF(bbgm_stat &gt;= perc_85, converted_stat * 1.5, converted_stat)))))</f>
        <v/>
      </c>
      <c r="F420" s="30" t="str">
        <f t="array" ref="F420">IF($A420="", "", LET(bbgm_stat, INDEX(Players!$A419:$P419, MATCH(F$2, Players!$A$1:$P$1, 0)), perc_75, VLOOKUP(F$2, Percentiles!$A$45:$I$59, 6, FALSE), perc_90, VLOOKUP(F$2, Percentiles!$A$45:$I$59, 7, FALSE), perc_95, VLOOKUP(F$2, Percentiles!$A$45:$I$59, 8, FALSE), perc_85, perc_75 + (perc_90 - perc_75) * (2/3), converted_stat, '2K_Ratings'!F420, IF(bbgm_stat &gt;= perc_95, converted_stat * 3, IF(bbgm_stat &gt;= perc_90, converted_stat * 2, IF(bbgm_stat &gt;= perc_85, converted_stat * 1.5, converted_stat)))))</f>
        <v/>
      </c>
      <c r="G420" s="30" t="str">
        <f t="array" ref="G420">IF($A420="", "", LET(bbgm_stat, INDEX(Players!$A419:$P419, MATCH(G$2, Players!$A$1:$P$1, 0)), perc_75, VLOOKUP(G$2, Percentiles!$A$45:$I$59, 6, FALSE), perc_90, VLOOKUP(G$2, Percentiles!$A$45:$I$59, 7, FALSE), perc_95, VLOOKUP(G$2, Percentiles!$A$45:$I$59, 8, FALSE), perc_85, perc_75 + (perc_90 - perc_75) * (2/3), converted_stat, '2K_Ratings'!G420, IF(bbgm_stat &gt;= perc_95, converted_stat * 3, IF(bbgm_stat &gt;= perc_90, converted_stat * 2, IF(bbgm_stat &gt;= perc_85, converted_stat * 1.5, converted_stat)))))</f>
        <v/>
      </c>
      <c r="H420" s="30" t="str">
        <f t="array" ref="H420">IF($A420="", "", LET(bbgm_stat, INDEX(Players!$A419:$P419, MATCH(H$2, Players!$A$1:$P$1, 0)), perc_75, VLOOKUP(H$2, Percentiles!$A$45:$I$59, 6, FALSE), perc_90, VLOOKUP(H$2, Percentiles!$A$45:$I$59, 7, FALSE), perc_95, VLOOKUP(H$2, Percentiles!$A$45:$I$59, 8, FALSE), perc_85, perc_75 + (perc_90 - perc_75) * (2/3), converted_stat, '2K_Ratings'!H420, IF(bbgm_stat &gt;= perc_95, converted_stat * 3, IF(bbgm_stat &gt;= perc_90, converted_stat * 2, IF(bbgm_stat &gt;= perc_85, converted_stat * 1.5, converted_stat)))))</f>
        <v/>
      </c>
      <c r="I420" s="30" t="str">
        <f t="array" ref="I420">IF($A420="", "", LET(bbgm_stat, INDEX(Players!$A419:$P419, MATCH(I$2, Players!$A$1:$P$1, 0)), perc_75, VLOOKUP(I$2, Percentiles!$A$45:$I$59, 6, FALSE), perc_90, VLOOKUP(I$2, Percentiles!$A$45:$I$59, 7, FALSE), perc_95, VLOOKUP(I$2, Percentiles!$A$45:$I$59, 8, FALSE), perc_85, perc_75 + (perc_90 - perc_75) * (2/3), converted_stat, '2K_Ratings'!I420, IF(bbgm_stat &gt;= perc_95, converted_stat * 3, IF(bbgm_stat &gt;= perc_90, converted_stat * 2, IF(bbgm_stat &gt;= perc_85, converted_stat * 1.5, converted_stat)))))</f>
        <v/>
      </c>
      <c r="J420" s="30" t="str">
        <f t="array" ref="J420">IF($A420="", "", LET(bbgm_stat, INDEX(Players!$A419:$P419, MATCH(J$2, Players!$A$1:$P$1, 0)), perc_75, VLOOKUP(J$2, Percentiles!$A$45:$I$59, 6, FALSE), perc_90, VLOOKUP(J$2, Percentiles!$A$45:$I$59, 7, FALSE), perc_95, VLOOKUP(J$2, Percentiles!$A$45:$I$59, 8, FALSE), perc_85, perc_75 + (perc_90 - perc_75) * (2/3), converted_stat, '2K_Ratings'!J420, IF(bbgm_stat &gt;= perc_95, converted_stat * 3, IF(bbgm_stat &gt;= perc_90, converted_stat * 2, IF(bbgm_stat &gt;= perc_85, converted_stat * 1.5, converted_stat)))))</f>
        <v/>
      </c>
      <c r="K420" s="30" t="str">
        <f t="array" ref="K420">IF($A420="", "", LET(bbgm_stat, INDEX(Players!$A419:$P419, MATCH(K$2, Players!$A$1:$P$1, 0)), perc_75, VLOOKUP(K$2, Percentiles!$A$45:$I$59, 6, FALSE), perc_90, VLOOKUP(K$2, Percentiles!$A$45:$I$59, 7, FALSE), perc_95, VLOOKUP(K$2, Percentiles!$A$45:$I$59, 8, FALSE), perc_85, perc_75 + (perc_90 - perc_75) * (2/3), converted_stat, '2K_Ratings'!K420, IF(bbgm_stat &gt;= perc_95, converted_stat * 3, IF(bbgm_stat &gt;= perc_90, converted_stat * 2, IF(bbgm_stat &gt;= perc_85, converted_stat * 1.5, converted_stat)))))</f>
        <v/>
      </c>
      <c r="L420" s="30" t="str">
        <f t="array" ref="L420">IF($A420="", "", LET(bbgm_stat, INDEX(Players!$A419:$P419, MATCH(L$2, Players!$A$1:$P$1, 0)), perc_75, VLOOKUP(L$2, Percentiles!$A$45:$I$59, 6, FALSE), perc_90, VLOOKUP(L$2, Percentiles!$A$45:$I$59, 7, FALSE), perc_95, VLOOKUP(L$2, Percentiles!$A$45:$I$59, 8, FALSE), perc_85, perc_75 + (perc_90 - perc_75) * (2/3), converted_stat, '2K_Ratings'!L420, IF(bbgm_stat &gt;= perc_95, converted_stat * 3, IF(bbgm_stat &gt;= perc_90, converted_stat * 2, IF(bbgm_stat &gt;= perc_85, converted_stat * 1.5, converted_stat)))))</f>
        <v/>
      </c>
      <c r="M420" s="30" t="str">
        <f t="array" ref="M420">IF($A420="", "", LET(bbgm_stat, INDEX(Players!$A419:$P419, MATCH(M$2, Players!$A$1:$P$1, 0)), perc_75, VLOOKUP(M$2, Percentiles!$A$45:$I$59, 6, FALSE), perc_90, VLOOKUP(M$2, Percentiles!$A$45:$I$59, 7, FALSE), perc_95, VLOOKUP(M$2, Percentiles!$A$45:$I$59, 8, FALSE), perc_85, perc_75 + (perc_90 - perc_75) * (2/3), converted_stat, '2K_Ratings'!M420, IF(bbgm_stat &gt;= perc_95, converted_stat * 3, IF(bbgm_stat &gt;= perc_90, converted_stat * 2, IF(bbgm_stat &gt;= perc_85, converted_stat * 1.5, converted_stat)))))</f>
        <v/>
      </c>
      <c r="N420" s="30" t="str">
        <f t="array" ref="N420">IF($A420="", "", LET(bbgm_stat, INDEX(Players!$A419:$P419, MATCH(N$2, Players!$A$1:$P$1, 0)), perc_75, VLOOKUP(N$2, Percentiles!$A$45:$I$59, 6, FALSE), perc_90, VLOOKUP(N$2, Percentiles!$A$45:$I$59, 7, FALSE), perc_95, VLOOKUP(N$2, Percentiles!$A$45:$I$59, 8, FALSE), perc_85, perc_75 + (perc_90 - perc_75) * (2/3), converted_stat, '2K_Ratings'!N420, IF(bbgm_stat &gt;= perc_95, converted_stat * 3, IF(bbgm_stat &gt;= perc_90, converted_stat * 2, IF(bbgm_stat &gt;= perc_85, converted_stat * 1.5, converted_stat)))))</f>
        <v/>
      </c>
      <c r="O420" s="30" t="str">
        <f t="array" ref="O420">IF($A420="", "", LET(bbgm_stat, INDEX(Players!$A419:$P419, MATCH(O$2, Players!$A$1:$P$1, 0)), perc_75, VLOOKUP(O$2, Percentiles!$A$45:$I$59, 6, FALSE), perc_90, VLOOKUP(O$2, Percentiles!$A$45:$I$59, 7, FALSE), perc_95, VLOOKUP(O$2, Percentiles!$A$45:$I$59, 8, FALSE), perc_85, perc_75 + (perc_90 - perc_75) * (2/3), converted_stat, '2K_Ratings'!O420, IF(bbgm_stat &gt;= perc_95, converted_stat * 3, IF(bbgm_stat &gt;= perc_90, converted_stat * 2, IF(bbgm_stat &gt;= perc_85, converted_stat * 1.5, converted_stat)))))</f>
        <v/>
      </c>
      <c r="P420" s="30" t="str">
        <f t="array" ref="P420">IF($A420="", "", LET(bbgm_stat, INDEX(Players!$A419:$P419, MATCH(P$2, Players!$A$1:$P$1, 0)), perc_75, VLOOKUP(P$2, Percentiles!$A$45:$I$59, 6, FALSE), perc_90, VLOOKUP(P$2, Percentiles!$A$45:$I$59, 7, FALSE), perc_95, VLOOKUP(P$2, Percentiles!$A$45:$I$59, 8, FALSE), perc_85, perc_75 + (perc_90 - perc_75) * (2/3), converted_stat, '2K_Ratings'!P420, IF(bbgm_stat &gt;= perc_95, converted_stat * 3, IF(bbgm_stat &gt;= perc_90, converted_stat * 2, IF(bbgm_stat &gt;= perc_85, converted_stat * 1.5, converted_stat)))))</f>
        <v/>
      </c>
      <c r="Q420" s="30" t="str">
        <f t="array" ref="Q420">IF($A420="", "", LET(bbgm_stat, INDEX(Players!$A419:$P419, MATCH(Q$2, Players!$A$1:$P$1, 0)), perc_75, VLOOKUP(Q$2, Percentiles!$A$45:$I$59, 6, FALSE), perc_90, VLOOKUP(Q$2, Percentiles!$A$45:$I$59, 7, FALSE), perc_95, VLOOKUP(Q$2, Percentiles!$A$45:$I$59, 8, FALSE), perc_85, perc_75 + (perc_90 - perc_75) * (2/3), converted_stat, '2K_Ratings'!Q420, IF(bbgm_stat &gt;= perc_95, converted_stat * 3, IF(bbgm_stat &gt;= perc_90, converted_stat * 2, IF(bbgm_stat &gt;= perc_85, converted_stat * 1.5, converted_stat)))))</f>
        <v/>
      </c>
      <c r="R420" s="30" t="str">
        <f t="array" ref="R420">IF($A420="", "", LET(bbgm_stat, INDEX(Players!$A419:$P419, MATCH(R$2, Players!$A$1:$P$1, 0)), perc_75, VLOOKUP(R$2, Percentiles!$A$45:$I$59, 6, FALSE), perc_90, VLOOKUP(R$2, Percentiles!$A$45:$I$59, 7, FALSE), perc_95, VLOOKUP(R$2, Percentiles!$A$45:$I$59, 8, FALSE), perc_85, perc_75 + (perc_90 - perc_75) * (2/3), converted_stat, '2K_Ratings'!R420, IF(bbgm_stat &gt;= perc_95, converted_stat * 3, IF(bbgm_stat &gt;= perc_90, converted_stat * 2, IF(bbgm_stat &gt;= perc_85, converted_stat * 1.5, converted_stat)))))</f>
        <v/>
      </c>
      <c r="S420" s="30" t="str">
        <f t="array" ref="S420">IF($A420="", "", LET(bbgm_stat, INDEX(Players!$A419:$P419, MATCH(S$2, Players!$A$1:$P$1, 0)), perc_75, VLOOKUP(S$2, Percentiles!$A$45:$I$59, 6, FALSE), perc_90, VLOOKUP(S$2, Percentiles!$A$45:$I$59, 7, FALSE), perc_95, VLOOKUP(S$2, Percentiles!$A$45:$I$59, 8, FALSE), perc_85, perc_75 + (perc_90 - perc_75) * (2/3), converted_stat, '2K_Ratings'!S420, IF(bbgm_stat &gt;= perc_95, converted_stat * 3, IF(bbgm_stat &gt;= perc_90, converted_stat * 2, IF(bbgm_stat &gt;= perc_85, converted_stat * 1.5, converted_stat)))))</f>
        <v/>
      </c>
      <c r="T420" s="30" t="str">
        <f t="array" ref="T420">IF($A420="", "", LET(bbgm_stat, INDEX(Players!$A419:$P419, MATCH(T$2, Players!$A$1:$P$1, 0)), perc_75, VLOOKUP(T$2, Percentiles!$A$45:$I$59, 6, FALSE), perc_90, VLOOKUP(T$2, Percentiles!$A$45:$I$59, 7, FALSE), perc_95, VLOOKUP(T$2, Percentiles!$A$45:$I$59, 8, FALSE), perc_85, perc_75 + (perc_90 - perc_75) * (2/3), converted_stat, '2K_Ratings'!T420, IF(bbgm_stat &gt;= perc_95, converted_stat * 3, IF(bbgm_stat &gt;= perc_90, converted_stat * 2, IF(bbgm_stat &gt;= perc_85, converted_stat * 1.5, converted_stat)))))</f>
        <v/>
      </c>
      <c r="U420" s="30" t="str">
        <f t="array" ref="U420">IF($A420="", "", LET(bbgm_stat, INDEX(Players!$A419:$P419, MATCH(U$2, Players!$A$1:$P$1, 0)), perc_75, VLOOKUP(U$2, Percentiles!$A$45:$I$59, 6, FALSE), perc_90, VLOOKUP(U$2, Percentiles!$A$45:$I$59, 7, FALSE), perc_95, VLOOKUP(U$2, Percentiles!$A$45:$I$59, 8, FALSE), perc_85, perc_75 + (perc_90 - perc_75) * (2/3), converted_stat, '2K_Ratings'!U420, IF(bbgm_stat &gt;= perc_95, converted_stat * 3, IF(bbgm_stat &gt;= perc_90, converted_stat * 2, IF(bbgm_stat &gt;= perc_85, converted_stat * 1.5, converted_stat)))))</f>
        <v/>
      </c>
      <c r="V420" s="30" t="str">
        <f t="array" ref="V420">IF($A420="", "", LET(bbgm_stat, INDEX(Players!$A419:$P419, MATCH(V$2, Players!$A$1:$P$1, 0)), perc_75, VLOOKUP(V$2, Percentiles!$A$45:$I$59, 6, FALSE), perc_90, VLOOKUP(V$2, Percentiles!$A$45:$I$59, 7, FALSE), perc_95, VLOOKUP(V$2, Percentiles!$A$45:$I$59, 8, FALSE), perc_85, perc_75 + (perc_90 - perc_75) * (2/3), converted_stat, '2K_Ratings'!V420, IF(bbgm_stat &gt;= perc_95, converted_stat * 3, IF(bbgm_stat &gt;= perc_90, converted_stat * 2, IF(bbgm_stat &gt;= perc_85, converted_stat * 1.5, converted_stat)))))</f>
        <v/>
      </c>
      <c r="W420" s="30" t="str">
        <f t="array" ref="W420">IF($A420="", "", LET(bbgm_stat, INDEX(Players!$A419:$P419, MATCH(W$2, Players!$A$1:$P$1, 0)), perc_75, VLOOKUP(W$2, Percentiles!$A$45:$I$59, 6, FALSE), perc_90, VLOOKUP(W$2, Percentiles!$A$45:$I$59, 7, FALSE), perc_95, VLOOKUP(W$2, Percentiles!$A$45:$I$59, 8, FALSE), perc_85, perc_75 + (perc_90 - perc_75) * (2/3), converted_stat, '2K_Ratings'!W420, IF(bbgm_stat &gt;= perc_95, converted_stat * 3, IF(bbgm_stat &gt;= perc_90, converted_stat * 2, IF(bbgm_stat &gt;= perc_85, converted_stat * 1.5, converted_stat)))))</f>
        <v/>
      </c>
    </row>
    <row r="421">
      <c r="A421" s="30"/>
      <c r="B421" s="30" t="str">
        <f t="array" ref="B421">IF($A421="", "", LET(bbgm_stat, INDEX(Players!$A420:$P420, MATCH(B$2, Players!$A$1:$P$1, 0)), perc_75, VLOOKUP(B$2, Percentiles!$A$45:$I$59, 6, FALSE), perc_90, VLOOKUP(B$2, Percentiles!$A$45:$I$59, 7, FALSE), perc_95, VLOOKUP(B$2, Percentiles!$A$45:$I$59, 8, FALSE), perc_85, perc_75 + (perc_90 - perc_75) * (2/3), converted_stat, '2K_Ratings'!B421, IF(bbgm_stat &gt;= perc_95, converted_stat * 3, IF(bbgm_stat &gt;= perc_90, converted_stat * 2, IF(bbgm_stat &gt;= perc_85, converted_stat * 1.5, converted_stat)))))</f>
        <v/>
      </c>
      <c r="C421" s="30" t="str">
        <f t="array" ref="C421">IF($A421="", "", LET(bbgm_stat, INDEX(Players!$A420:$P420, MATCH(C$2, Players!$A$1:$P$1, 0)), perc_75, VLOOKUP(C$2, Percentiles!$A$45:$I$59, 6, FALSE), perc_90, VLOOKUP(C$2, Percentiles!$A$45:$I$59, 7, FALSE), perc_95, VLOOKUP(C$2, Percentiles!$A$45:$I$59, 8, FALSE), perc_85, perc_75 + (perc_90 - perc_75) * (2/3), converted_stat, '2K_Ratings'!C421, IF(bbgm_stat &gt;= perc_95, converted_stat * 3, IF(bbgm_stat &gt;= perc_90, converted_stat * 2, IF(bbgm_stat &gt;= perc_85, converted_stat * 1.5, converted_stat)))))</f>
        <v/>
      </c>
      <c r="D421" s="30" t="str">
        <f t="array" ref="D421">IF($A421="", "", LET(bbgm_stat, INDEX(Players!$A420:$P420, MATCH(D$2, Players!$A$1:$P$1, 0)), perc_75, VLOOKUP(D$2, Percentiles!$A$45:$I$59, 6, FALSE), perc_90, VLOOKUP(D$2, Percentiles!$A$45:$I$59, 7, FALSE), perc_95, VLOOKUP(D$2, Percentiles!$A$45:$I$59, 8, FALSE), perc_85, perc_75 + (perc_90 - perc_75) * (2/3), converted_stat, '2K_Ratings'!D421, IF(bbgm_stat &gt;= perc_95, converted_stat * 3, IF(bbgm_stat &gt;= perc_90, converted_stat * 2, IF(bbgm_stat &gt;= perc_85, converted_stat * 1.5, converted_stat)))))</f>
        <v/>
      </c>
      <c r="E421" s="30" t="str">
        <f t="array" ref="E421">IF($A421="", "", LET(bbgm_stat, INDEX(Players!$A420:$P420, MATCH(E$2, Players!$A$1:$P$1, 0)), perc_75, VLOOKUP(E$2, Percentiles!$A$45:$I$59, 6, FALSE), perc_90, VLOOKUP(E$2, Percentiles!$A$45:$I$59, 7, FALSE), perc_95, VLOOKUP(E$2, Percentiles!$A$45:$I$59, 8, FALSE), perc_85, perc_75 + (perc_90 - perc_75) * (2/3), converted_stat, '2K_Ratings'!E421, IF(bbgm_stat &gt;= perc_95, converted_stat * 3, IF(bbgm_stat &gt;= perc_90, converted_stat * 2, IF(bbgm_stat &gt;= perc_85, converted_stat * 1.5, converted_stat)))))</f>
        <v/>
      </c>
      <c r="F421" s="30" t="str">
        <f t="array" ref="F421">IF($A421="", "", LET(bbgm_stat, INDEX(Players!$A420:$P420, MATCH(F$2, Players!$A$1:$P$1, 0)), perc_75, VLOOKUP(F$2, Percentiles!$A$45:$I$59, 6, FALSE), perc_90, VLOOKUP(F$2, Percentiles!$A$45:$I$59, 7, FALSE), perc_95, VLOOKUP(F$2, Percentiles!$A$45:$I$59, 8, FALSE), perc_85, perc_75 + (perc_90 - perc_75) * (2/3), converted_stat, '2K_Ratings'!F421, IF(bbgm_stat &gt;= perc_95, converted_stat * 3, IF(bbgm_stat &gt;= perc_90, converted_stat * 2, IF(bbgm_stat &gt;= perc_85, converted_stat * 1.5, converted_stat)))))</f>
        <v/>
      </c>
      <c r="G421" s="30" t="str">
        <f t="array" ref="G421">IF($A421="", "", LET(bbgm_stat, INDEX(Players!$A420:$P420, MATCH(G$2, Players!$A$1:$P$1, 0)), perc_75, VLOOKUP(G$2, Percentiles!$A$45:$I$59, 6, FALSE), perc_90, VLOOKUP(G$2, Percentiles!$A$45:$I$59, 7, FALSE), perc_95, VLOOKUP(G$2, Percentiles!$A$45:$I$59, 8, FALSE), perc_85, perc_75 + (perc_90 - perc_75) * (2/3), converted_stat, '2K_Ratings'!G421, IF(bbgm_stat &gt;= perc_95, converted_stat * 3, IF(bbgm_stat &gt;= perc_90, converted_stat * 2, IF(bbgm_stat &gt;= perc_85, converted_stat * 1.5, converted_stat)))))</f>
        <v/>
      </c>
      <c r="H421" s="30" t="str">
        <f t="array" ref="H421">IF($A421="", "", LET(bbgm_stat, INDEX(Players!$A420:$P420, MATCH(H$2, Players!$A$1:$P$1, 0)), perc_75, VLOOKUP(H$2, Percentiles!$A$45:$I$59, 6, FALSE), perc_90, VLOOKUP(H$2, Percentiles!$A$45:$I$59, 7, FALSE), perc_95, VLOOKUP(H$2, Percentiles!$A$45:$I$59, 8, FALSE), perc_85, perc_75 + (perc_90 - perc_75) * (2/3), converted_stat, '2K_Ratings'!H421, IF(bbgm_stat &gt;= perc_95, converted_stat * 3, IF(bbgm_stat &gt;= perc_90, converted_stat * 2, IF(bbgm_stat &gt;= perc_85, converted_stat * 1.5, converted_stat)))))</f>
        <v/>
      </c>
      <c r="I421" s="30" t="str">
        <f t="array" ref="I421">IF($A421="", "", LET(bbgm_stat, INDEX(Players!$A420:$P420, MATCH(I$2, Players!$A$1:$P$1, 0)), perc_75, VLOOKUP(I$2, Percentiles!$A$45:$I$59, 6, FALSE), perc_90, VLOOKUP(I$2, Percentiles!$A$45:$I$59, 7, FALSE), perc_95, VLOOKUP(I$2, Percentiles!$A$45:$I$59, 8, FALSE), perc_85, perc_75 + (perc_90 - perc_75) * (2/3), converted_stat, '2K_Ratings'!I421, IF(bbgm_stat &gt;= perc_95, converted_stat * 3, IF(bbgm_stat &gt;= perc_90, converted_stat * 2, IF(bbgm_stat &gt;= perc_85, converted_stat * 1.5, converted_stat)))))</f>
        <v/>
      </c>
      <c r="J421" s="30" t="str">
        <f t="array" ref="J421">IF($A421="", "", LET(bbgm_stat, INDEX(Players!$A420:$P420, MATCH(J$2, Players!$A$1:$P$1, 0)), perc_75, VLOOKUP(J$2, Percentiles!$A$45:$I$59, 6, FALSE), perc_90, VLOOKUP(J$2, Percentiles!$A$45:$I$59, 7, FALSE), perc_95, VLOOKUP(J$2, Percentiles!$A$45:$I$59, 8, FALSE), perc_85, perc_75 + (perc_90 - perc_75) * (2/3), converted_stat, '2K_Ratings'!J421, IF(bbgm_stat &gt;= perc_95, converted_stat * 3, IF(bbgm_stat &gt;= perc_90, converted_stat * 2, IF(bbgm_stat &gt;= perc_85, converted_stat * 1.5, converted_stat)))))</f>
        <v/>
      </c>
      <c r="K421" s="30" t="str">
        <f t="array" ref="K421">IF($A421="", "", LET(bbgm_stat, INDEX(Players!$A420:$P420, MATCH(K$2, Players!$A$1:$P$1, 0)), perc_75, VLOOKUP(K$2, Percentiles!$A$45:$I$59, 6, FALSE), perc_90, VLOOKUP(K$2, Percentiles!$A$45:$I$59, 7, FALSE), perc_95, VLOOKUP(K$2, Percentiles!$A$45:$I$59, 8, FALSE), perc_85, perc_75 + (perc_90 - perc_75) * (2/3), converted_stat, '2K_Ratings'!K421, IF(bbgm_stat &gt;= perc_95, converted_stat * 3, IF(bbgm_stat &gt;= perc_90, converted_stat * 2, IF(bbgm_stat &gt;= perc_85, converted_stat * 1.5, converted_stat)))))</f>
        <v/>
      </c>
      <c r="L421" s="30" t="str">
        <f t="array" ref="L421">IF($A421="", "", LET(bbgm_stat, INDEX(Players!$A420:$P420, MATCH(L$2, Players!$A$1:$P$1, 0)), perc_75, VLOOKUP(L$2, Percentiles!$A$45:$I$59, 6, FALSE), perc_90, VLOOKUP(L$2, Percentiles!$A$45:$I$59, 7, FALSE), perc_95, VLOOKUP(L$2, Percentiles!$A$45:$I$59, 8, FALSE), perc_85, perc_75 + (perc_90 - perc_75) * (2/3), converted_stat, '2K_Ratings'!L421, IF(bbgm_stat &gt;= perc_95, converted_stat * 3, IF(bbgm_stat &gt;= perc_90, converted_stat * 2, IF(bbgm_stat &gt;= perc_85, converted_stat * 1.5, converted_stat)))))</f>
        <v/>
      </c>
      <c r="M421" s="30" t="str">
        <f t="array" ref="M421">IF($A421="", "", LET(bbgm_stat, INDEX(Players!$A420:$P420, MATCH(M$2, Players!$A$1:$P$1, 0)), perc_75, VLOOKUP(M$2, Percentiles!$A$45:$I$59, 6, FALSE), perc_90, VLOOKUP(M$2, Percentiles!$A$45:$I$59, 7, FALSE), perc_95, VLOOKUP(M$2, Percentiles!$A$45:$I$59, 8, FALSE), perc_85, perc_75 + (perc_90 - perc_75) * (2/3), converted_stat, '2K_Ratings'!M421, IF(bbgm_stat &gt;= perc_95, converted_stat * 3, IF(bbgm_stat &gt;= perc_90, converted_stat * 2, IF(bbgm_stat &gt;= perc_85, converted_stat * 1.5, converted_stat)))))</f>
        <v/>
      </c>
      <c r="N421" s="30" t="str">
        <f t="array" ref="N421">IF($A421="", "", LET(bbgm_stat, INDEX(Players!$A420:$P420, MATCH(N$2, Players!$A$1:$P$1, 0)), perc_75, VLOOKUP(N$2, Percentiles!$A$45:$I$59, 6, FALSE), perc_90, VLOOKUP(N$2, Percentiles!$A$45:$I$59, 7, FALSE), perc_95, VLOOKUP(N$2, Percentiles!$A$45:$I$59, 8, FALSE), perc_85, perc_75 + (perc_90 - perc_75) * (2/3), converted_stat, '2K_Ratings'!N421, IF(bbgm_stat &gt;= perc_95, converted_stat * 3, IF(bbgm_stat &gt;= perc_90, converted_stat * 2, IF(bbgm_stat &gt;= perc_85, converted_stat * 1.5, converted_stat)))))</f>
        <v/>
      </c>
      <c r="O421" s="30" t="str">
        <f t="array" ref="O421">IF($A421="", "", LET(bbgm_stat, INDEX(Players!$A420:$P420, MATCH(O$2, Players!$A$1:$P$1, 0)), perc_75, VLOOKUP(O$2, Percentiles!$A$45:$I$59, 6, FALSE), perc_90, VLOOKUP(O$2, Percentiles!$A$45:$I$59, 7, FALSE), perc_95, VLOOKUP(O$2, Percentiles!$A$45:$I$59, 8, FALSE), perc_85, perc_75 + (perc_90 - perc_75) * (2/3), converted_stat, '2K_Ratings'!O421, IF(bbgm_stat &gt;= perc_95, converted_stat * 3, IF(bbgm_stat &gt;= perc_90, converted_stat * 2, IF(bbgm_stat &gt;= perc_85, converted_stat * 1.5, converted_stat)))))</f>
        <v/>
      </c>
      <c r="P421" s="30" t="str">
        <f t="array" ref="P421">IF($A421="", "", LET(bbgm_stat, INDEX(Players!$A420:$P420, MATCH(P$2, Players!$A$1:$P$1, 0)), perc_75, VLOOKUP(P$2, Percentiles!$A$45:$I$59, 6, FALSE), perc_90, VLOOKUP(P$2, Percentiles!$A$45:$I$59, 7, FALSE), perc_95, VLOOKUP(P$2, Percentiles!$A$45:$I$59, 8, FALSE), perc_85, perc_75 + (perc_90 - perc_75) * (2/3), converted_stat, '2K_Ratings'!P421, IF(bbgm_stat &gt;= perc_95, converted_stat * 3, IF(bbgm_stat &gt;= perc_90, converted_stat * 2, IF(bbgm_stat &gt;= perc_85, converted_stat * 1.5, converted_stat)))))</f>
        <v/>
      </c>
      <c r="Q421" s="30" t="str">
        <f t="array" ref="Q421">IF($A421="", "", LET(bbgm_stat, INDEX(Players!$A420:$P420, MATCH(Q$2, Players!$A$1:$P$1, 0)), perc_75, VLOOKUP(Q$2, Percentiles!$A$45:$I$59, 6, FALSE), perc_90, VLOOKUP(Q$2, Percentiles!$A$45:$I$59, 7, FALSE), perc_95, VLOOKUP(Q$2, Percentiles!$A$45:$I$59, 8, FALSE), perc_85, perc_75 + (perc_90 - perc_75) * (2/3), converted_stat, '2K_Ratings'!Q421, IF(bbgm_stat &gt;= perc_95, converted_stat * 3, IF(bbgm_stat &gt;= perc_90, converted_stat * 2, IF(bbgm_stat &gt;= perc_85, converted_stat * 1.5, converted_stat)))))</f>
        <v/>
      </c>
      <c r="R421" s="30" t="str">
        <f t="array" ref="R421">IF($A421="", "", LET(bbgm_stat, INDEX(Players!$A420:$P420, MATCH(R$2, Players!$A$1:$P$1, 0)), perc_75, VLOOKUP(R$2, Percentiles!$A$45:$I$59, 6, FALSE), perc_90, VLOOKUP(R$2, Percentiles!$A$45:$I$59, 7, FALSE), perc_95, VLOOKUP(R$2, Percentiles!$A$45:$I$59, 8, FALSE), perc_85, perc_75 + (perc_90 - perc_75) * (2/3), converted_stat, '2K_Ratings'!R421, IF(bbgm_stat &gt;= perc_95, converted_stat * 3, IF(bbgm_stat &gt;= perc_90, converted_stat * 2, IF(bbgm_stat &gt;= perc_85, converted_stat * 1.5, converted_stat)))))</f>
        <v/>
      </c>
      <c r="S421" s="30" t="str">
        <f t="array" ref="S421">IF($A421="", "", LET(bbgm_stat, INDEX(Players!$A420:$P420, MATCH(S$2, Players!$A$1:$P$1, 0)), perc_75, VLOOKUP(S$2, Percentiles!$A$45:$I$59, 6, FALSE), perc_90, VLOOKUP(S$2, Percentiles!$A$45:$I$59, 7, FALSE), perc_95, VLOOKUP(S$2, Percentiles!$A$45:$I$59, 8, FALSE), perc_85, perc_75 + (perc_90 - perc_75) * (2/3), converted_stat, '2K_Ratings'!S421, IF(bbgm_stat &gt;= perc_95, converted_stat * 3, IF(bbgm_stat &gt;= perc_90, converted_stat * 2, IF(bbgm_stat &gt;= perc_85, converted_stat * 1.5, converted_stat)))))</f>
        <v/>
      </c>
      <c r="T421" s="30" t="str">
        <f t="array" ref="T421">IF($A421="", "", LET(bbgm_stat, INDEX(Players!$A420:$P420, MATCH(T$2, Players!$A$1:$P$1, 0)), perc_75, VLOOKUP(T$2, Percentiles!$A$45:$I$59, 6, FALSE), perc_90, VLOOKUP(T$2, Percentiles!$A$45:$I$59, 7, FALSE), perc_95, VLOOKUP(T$2, Percentiles!$A$45:$I$59, 8, FALSE), perc_85, perc_75 + (perc_90 - perc_75) * (2/3), converted_stat, '2K_Ratings'!T421, IF(bbgm_stat &gt;= perc_95, converted_stat * 3, IF(bbgm_stat &gt;= perc_90, converted_stat * 2, IF(bbgm_stat &gt;= perc_85, converted_stat * 1.5, converted_stat)))))</f>
        <v/>
      </c>
      <c r="U421" s="30" t="str">
        <f t="array" ref="U421">IF($A421="", "", LET(bbgm_stat, INDEX(Players!$A420:$P420, MATCH(U$2, Players!$A$1:$P$1, 0)), perc_75, VLOOKUP(U$2, Percentiles!$A$45:$I$59, 6, FALSE), perc_90, VLOOKUP(U$2, Percentiles!$A$45:$I$59, 7, FALSE), perc_95, VLOOKUP(U$2, Percentiles!$A$45:$I$59, 8, FALSE), perc_85, perc_75 + (perc_90 - perc_75) * (2/3), converted_stat, '2K_Ratings'!U421, IF(bbgm_stat &gt;= perc_95, converted_stat * 3, IF(bbgm_stat &gt;= perc_90, converted_stat * 2, IF(bbgm_stat &gt;= perc_85, converted_stat * 1.5, converted_stat)))))</f>
        <v/>
      </c>
      <c r="V421" s="30" t="str">
        <f t="array" ref="V421">IF($A421="", "", LET(bbgm_stat, INDEX(Players!$A420:$P420, MATCH(V$2, Players!$A$1:$P$1, 0)), perc_75, VLOOKUP(V$2, Percentiles!$A$45:$I$59, 6, FALSE), perc_90, VLOOKUP(V$2, Percentiles!$A$45:$I$59, 7, FALSE), perc_95, VLOOKUP(V$2, Percentiles!$A$45:$I$59, 8, FALSE), perc_85, perc_75 + (perc_90 - perc_75) * (2/3), converted_stat, '2K_Ratings'!V421, IF(bbgm_stat &gt;= perc_95, converted_stat * 3, IF(bbgm_stat &gt;= perc_90, converted_stat * 2, IF(bbgm_stat &gt;= perc_85, converted_stat * 1.5, converted_stat)))))</f>
        <v/>
      </c>
      <c r="W421" s="30" t="str">
        <f t="array" ref="W421">IF($A421="", "", LET(bbgm_stat, INDEX(Players!$A420:$P420, MATCH(W$2, Players!$A$1:$P$1, 0)), perc_75, VLOOKUP(W$2, Percentiles!$A$45:$I$59, 6, FALSE), perc_90, VLOOKUP(W$2, Percentiles!$A$45:$I$59, 7, FALSE), perc_95, VLOOKUP(W$2, Percentiles!$A$45:$I$59, 8, FALSE), perc_85, perc_75 + (perc_90 - perc_75) * (2/3), converted_stat, '2K_Ratings'!W421, IF(bbgm_stat &gt;= perc_95, converted_stat * 3, IF(bbgm_stat &gt;= perc_90, converted_stat * 2, IF(bbgm_stat &gt;= perc_85, converted_stat * 1.5, converted_stat)))))</f>
        <v/>
      </c>
    </row>
    <row r="422">
      <c r="A422" s="30"/>
      <c r="B422" s="30" t="str">
        <f t="array" ref="B422">IF($A422="", "", LET(bbgm_stat, INDEX(Players!$A421:$P421, MATCH(B$2, Players!$A$1:$P$1, 0)), perc_75, VLOOKUP(B$2, Percentiles!$A$45:$I$59, 6, FALSE), perc_90, VLOOKUP(B$2, Percentiles!$A$45:$I$59, 7, FALSE), perc_95, VLOOKUP(B$2, Percentiles!$A$45:$I$59, 8, FALSE), perc_85, perc_75 + (perc_90 - perc_75) * (2/3), converted_stat, '2K_Ratings'!B422, IF(bbgm_stat &gt;= perc_95, converted_stat * 3, IF(bbgm_stat &gt;= perc_90, converted_stat * 2, IF(bbgm_stat &gt;= perc_85, converted_stat * 1.5, converted_stat)))))</f>
        <v/>
      </c>
      <c r="C422" s="30" t="str">
        <f t="array" ref="C422">IF($A422="", "", LET(bbgm_stat, INDEX(Players!$A421:$P421, MATCH(C$2, Players!$A$1:$P$1, 0)), perc_75, VLOOKUP(C$2, Percentiles!$A$45:$I$59, 6, FALSE), perc_90, VLOOKUP(C$2, Percentiles!$A$45:$I$59, 7, FALSE), perc_95, VLOOKUP(C$2, Percentiles!$A$45:$I$59, 8, FALSE), perc_85, perc_75 + (perc_90 - perc_75) * (2/3), converted_stat, '2K_Ratings'!C422, IF(bbgm_stat &gt;= perc_95, converted_stat * 3, IF(bbgm_stat &gt;= perc_90, converted_stat * 2, IF(bbgm_stat &gt;= perc_85, converted_stat * 1.5, converted_stat)))))</f>
        <v/>
      </c>
      <c r="D422" s="30" t="str">
        <f t="array" ref="D422">IF($A422="", "", LET(bbgm_stat, INDEX(Players!$A421:$P421, MATCH(D$2, Players!$A$1:$P$1, 0)), perc_75, VLOOKUP(D$2, Percentiles!$A$45:$I$59, 6, FALSE), perc_90, VLOOKUP(D$2, Percentiles!$A$45:$I$59, 7, FALSE), perc_95, VLOOKUP(D$2, Percentiles!$A$45:$I$59, 8, FALSE), perc_85, perc_75 + (perc_90 - perc_75) * (2/3), converted_stat, '2K_Ratings'!D422, IF(bbgm_stat &gt;= perc_95, converted_stat * 3, IF(bbgm_stat &gt;= perc_90, converted_stat * 2, IF(bbgm_stat &gt;= perc_85, converted_stat * 1.5, converted_stat)))))</f>
        <v/>
      </c>
      <c r="E422" s="30" t="str">
        <f t="array" ref="E422">IF($A422="", "", LET(bbgm_stat, INDEX(Players!$A421:$P421, MATCH(E$2, Players!$A$1:$P$1, 0)), perc_75, VLOOKUP(E$2, Percentiles!$A$45:$I$59, 6, FALSE), perc_90, VLOOKUP(E$2, Percentiles!$A$45:$I$59, 7, FALSE), perc_95, VLOOKUP(E$2, Percentiles!$A$45:$I$59, 8, FALSE), perc_85, perc_75 + (perc_90 - perc_75) * (2/3), converted_stat, '2K_Ratings'!E422, IF(bbgm_stat &gt;= perc_95, converted_stat * 3, IF(bbgm_stat &gt;= perc_90, converted_stat * 2, IF(bbgm_stat &gt;= perc_85, converted_stat * 1.5, converted_stat)))))</f>
        <v/>
      </c>
      <c r="F422" s="30" t="str">
        <f t="array" ref="F422">IF($A422="", "", LET(bbgm_stat, INDEX(Players!$A421:$P421, MATCH(F$2, Players!$A$1:$P$1, 0)), perc_75, VLOOKUP(F$2, Percentiles!$A$45:$I$59, 6, FALSE), perc_90, VLOOKUP(F$2, Percentiles!$A$45:$I$59, 7, FALSE), perc_95, VLOOKUP(F$2, Percentiles!$A$45:$I$59, 8, FALSE), perc_85, perc_75 + (perc_90 - perc_75) * (2/3), converted_stat, '2K_Ratings'!F422, IF(bbgm_stat &gt;= perc_95, converted_stat * 3, IF(bbgm_stat &gt;= perc_90, converted_stat * 2, IF(bbgm_stat &gt;= perc_85, converted_stat * 1.5, converted_stat)))))</f>
        <v/>
      </c>
      <c r="G422" s="30" t="str">
        <f t="array" ref="G422">IF($A422="", "", LET(bbgm_stat, INDEX(Players!$A421:$P421, MATCH(G$2, Players!$A$1:$P$1, 0)), perc_75, VLOOKUP(G$2, Percentiles!$A$45:$I$59, 6, FALSE), perc_90, VLOOKUP(G$2, Percentiles!$A$45:$I$59, 7, FALSE), perc_95, VLOOKUP(G$2, Percentiles!$A$45:$I$59, 8, FALSE), perc_85, perc_75 + (perc_90 - perc_75) * (2/3), converted_stat, '2K_Ratings'!G422, IF(bbgm_stat &gt;= perc_95, converted_stat * 3, IF(bbgm_stat &gt;= perc_90, converted_stat * 2, IF(bbgm_stat &gt;= perc_85, converted_stat * 1.5, converted_stat)))))</f>
        <v/>
      </c>
      <c r="H422" s="30" t="str">
        <f t="array" ref="H422">IF($A422="", "", LET(bbgm_stat, INDEX(Players!$A421:$P421, MATCH(H$2, Players!$A$1:$P$1, 0)), perc_75, VLOOKUP(H$2, Percentiles!$A$45:$I$59, 6, FALSE), perc_90, VLOOKUP(H$2, Percentiles!$A$45:$I$59, 7, FALSE), perc_95, VLOOKUP(H$2, Percentiles!$A$45:$I$59, 8, FALSE), perc_85, perc_75 + (perc_90 - perc_75) * (2/3), converted_stat, '2K_Ratings'!H422, IF(bbgm_stat &gt;= perc_95, converted_stat * 3, IF(bbgm_stat &gt;= perc_90, converted_stat * 2, IF(bbgm_stat &gt;= perc_85, converted_stat * 1.5, converted_stat)))))</f>
        <v/>
      </c>
      <c r="I422" s="30" t="str">
        <f t="array" ref="I422">IF($A422="", "", LET(bbgm_stat, INDEX(Players!$A421:$P421, MATCH(I$2, Players!$A$1:$P$1, 0)), perc_75, VLOOKUP(I$2, Percentiles!$A$45:$I$59, 6, FALSE), perc_90, VLOOKUP(I$2, Percentiles!$A$45:$I$59, 7, FALSE), perc_95, VLOOKUP(I$2, Percentiles!$A$45:$I$59, 8, FALSE), perc_85, perc_75 + (perc_90 - perc_75) * (2/3), converted_stat, '2K_Ratings'!I422, IF(bbgm_stat &gt;= perc_95, converted_stat * 3, IF(bbgm_stat &gt;= perc_90, converted_stat * 2, IF(bbgm_stat &gt;= perc_85, converted_stat * 1.5, converted_stat)))))</f>
        <v/>
      </c>
      <c r="J422" s="30" t="str">
        <f t="array" ref="J422">IF($A422="", "", LET(bbgm_stat, INDEX(Players!$A421:$P421, MATCH(J$2, Players!$A$1:$P$1, 0)), perc_75, VLOOKUP(J$2, Percentiles!$A$45:$I$59, 6, FALSE), perc_90, VLOOKUP(J$2, Percentiles!$A$45:$I$59, 7, FALSE), perc_95, VLOOKUP(J$2, Percentiles!$A$45:$I$59, 8, FALSE), perc_85, perc_75 + (perc_90 - perc_75) * (2/3), converted_stat, '2K_Ratings'!J422, IF(bbgm_stat &gt;= perc_95, converted_stat * 3, IF(bbgm_stat &gt;= perc_90, converted_stat * 2, IF(bbgm_stat &gt;= perc_85, converted_stat * 1.5, converted_stat)))))</f>
        <v/>
      </c>
      <c r="K422" s="30" t="str">
        <f t="array" ref="K422">IF($A422="", "", LET(bbgm_stat, INDEX(Players!$A421:$P421, MATCH(K$2, Players!$A$1:$P$1, 0)), perc_75, VLOOKUP(K$2, Percentiles!$A$45:$I$59, 6, FALSE), perc_90, VLOOKUP(K$2, Percentiles!$A$45:$I$59, 7, FALSE), perc_95, VLOOKUP(K$2, Percentiles!$A$45:$I$59, 8, FALSE), perc_85, perc_75 + (perc_90 - perc_75) * (2/3), converted_stat, '2K_Ratings'!K422, IF(bbgm_stat &gt;= perc_95, converted_stat * 3, IF(bbgm_stat &gt;= perc_90, converted_stat * 2, IF(bbgm_stat &gt;= perc_85, converted_stat * 1.5, converted_stat)))))</f>
        <v/>
      </c>
      <c r="L422" s="30" t="str">
        <f t="array" ref="L422">IF($A422="", "", LET(bbgm_stat, INDEX(Players!$A421:$P421, MATCH(L$2, Players!$A$1:$P$1, 0)), perc_75, VLOOKUP(L$2, Percentiles!$A$45:$I$59, 6, FALSE), perc_90, VLOOKUP(L$2, Percentiles!$A$45:$I$59, 7, FALSE), perc_95, VLOOKUP(L$2, Percentiles!$A$45:$I$59, 8, FALSE), perc_85, perc_75 + (perc_90 - perc_75) * (2/3), converted_stat, '2K_Ratings'!L422, IF(bbgm_stat &gt;= perc_95, converted_stat * 3, IF(bbgm_stat &gt;= perc_90, converted_stat * 2, IF(bbgm_stat &gt;= perc_85, converted_stat * 1.5, converted_stat)))))</f>
        <v/>
      </c>
      <c r="M422" s="30" t="str">
        <f t="array" ref="M422">IF($A422="", "", LET(bbgm_stat, INDEX(Players!$A421:$P421, MATCH(M$2, Players!$A$1:$P$1, 0)), perc_75, VLOOKUP(M$2, Percentiles!$A$45:$I$59, 6, FALSE), perc_90, VLOOKUP(M$2, Percentiles!$A$45:$I$59, 7, FALSE), perc_95, VLOOKUP(M$2, Percentiles!$A$45:$I$59, 8, FALSE), perc_85, perc_75 + (perc_90 - perc_75) * (2/3), converted_stat, '2K_Ratings'!M422, IF(bbgm_stat &gt;= perc_95, converted_stat * 3, IF(bbgm_stat &gt;= perc_90, converted_stat * 2, IF(bbgm_stat &gt;= perc_85, converted_stat * 1.5, converted_stat)))))</f>
        <v/>
      </c>
      <c r="N422" s="30" t="str">
        <f t="array" ref="N422">IF($A422="", "", LET(bbgm_stat, INDEX(Players!$A421:$P421, MATCH(N$2, Players!$A$1:$P$1, 0)), perc_75, VLOOKUP(N$2, Percentiles!$A$45:$I$59, 6, FALSE), perc_90, VLOOKUP(N$2, Percentiles!$A$45:$I$59, 7, FALSE), perc_95, VLOOKUP(N$2, Percentiles!$A$45:$I$59, 8, FALSE), perc_85, perc_75 + (perc_90 - perc_75) * (2/3), converted_stat, '2K_Ratings'!N422, IF(bbgm_stat &gt;= perc_95, converted_stat * 3, IF(bbgm_stat &gt;= perc_90, converted_stat * 2, IF(bbgm_stat &gt;= perc_85, converted_stat * 1.5, converted_stat)))))</f>
        <v/>
      </c>
      <c r="O422" s="30" t="str">
        <f t="array" ref="O422">IF($A422="", "", LET(bbgm_stat, INDEX(Players!$A421:$P421, MATCH(O$2, Players!$A$1:$P$1, 0)), perc_75, VLOOKUP(O$2, Percentiles!$A$45:$I$59, 6, FALSE), perc_90, VLOOKUP(O$2, Percentiles!$A$45:$I$59, 7, FALSE), perc_95, VLOOKUP(O$2, Percentiles!$A$45:$I$59, 8, FALSE), perc_85, perc_75 + (perc_90 - perc_75) * (2/3), converted_stat, '2K_Ratings'!O422, IF(bbgm_stat &gt;= perc_95, converted_stat * 3, IF(bbgm_stat &gt;= perc_90, converted_stat * 2, IF(bbgm_stat &gt;= perc_85, converted_stat * 1.5, converted_stat)))))</f>
        <v/>
      </c>
      <c r="P422" s="30" t="str">
        <f t="array" ref="P422">IF($A422="", "", LET(bbgm_stat, INDEX(Players!$A421:$P421, MATCH(P$2, Players!$A$1:$P$1, 0)), perc_75, VLOOKUP(P$2, Percentiles!$A$45:$I$59, 6, FALSE), perc_90, VLOOKUP(P$2, Percentiles!$A$45:$I$59, 7, FALSE), perc_95, VLOOKUP(P$2, Percentiles!$A$45:$I$59, 8, FALSE), perc_85, perc_75 + (perc_90 - perc_75) * (2/3), converted_stat, '2K_Ratings'!P422, IF(bbgm_stat &gt;= perc_95, converted_stat * 3, IF(bbgm_stat &gt;= perc_90, converted_stat * 2, IF(bbgm_stat &gt;= perc_85, converted_stat * 1.5, converted_stat)))))</f>
        <v/>
      </c>
      <c r="Q422" s="30" t="str">
        <f t="array" ref="Q422">IF($A422="", "", LET(bbgm_stat, INDEX(Players!$A421:$P421, MATCH(Q$2, Players!$A$1:$P$1, 0)), perc_75, VLOOKUP(Q$2, Percentiles!$A$45:$I$59, 6, FALSE), perc_90, VLOOKUP(Q$2, Percentiles!$A$45:$I$59, 7, FALSE), perc_95, VLOOKUP(Q$2, Percentiles!$A$45:$I$59, 8, FALSE), perc_85, perc_75 + (perc_90 - perc_75) * (2/3), converted_stat, '2K_Ratings'!Q422, IF(bbgm_stat &gt;= perc_95, converted_stat * 3, IF(bbgm_stat &gt;= perc_90, converted_stat * 2, IF(bbgm_stat &gt;= perc_85, converted_stat * 1.5, converted_stat)))))</f>
        <v/>
      </c>
      <c r="R422" s="30" t="str">
        <f t="array" ref="R422">IF($A422="", "", LET(bbgm_stat, INDEX(Players!$A421:$P421, MATCH(R$2, Players!$A$1:$P$1, 0)), perc_75, VLOOKUP(R$2, Percentiles!$A$45:$I$59, 6, FALSE), perc_90, VLOOKUP(R$2, Percentiles!$A$45:$I$59, 7, FALSE), perc_95, VLOOKUP(R$2, Percentiles!$A$45:$I$59, 8, FALSE), perc_85, perc_75 + (perc_90 - perc_75) * (2/3), converted_stat, '2K_Ratings'!R422, IF(bbgm_stat &gt;= perc_95, converted_stat * 3, IF(bbgm_stat &gt;= perc_90, converted_stat * 2, IF(bbgm_stat &gt;= perc_85, converted_stat * 1.5, converted_stat)))))</f>
        <v/>
      </c>
      <c r="S422" s="30" t="str">
        <f t="array" ref="S422">IF($A422="", "", LET(bbgm_stat, INDEX(Players!$A421:$P421, MATCH(S$2, Players!$A$1:$P$1, 0)), perc_75, VLOOKUP(S$2, Percentiles!$A$45:$I$59, 6, FALSE), perc_90, VLOOKUP(S$2, Percentiles!$A$45:$I$59, 7, FALSE), perc_95, VLOOKUP(S$2, Percentiles!$A$45:$I$59, 8, FALSE), perc_85, perc_75 + (perc_90 - perc_75) * (2/3), converted_stat, '2K_Ratings'!S422, IF(bbgm_stat &gt;= perc_95, converted_stat * 3, IF(bbgm_stat &gt;= perc_90, converted_stat * 2, IF(bbgm_stat &gt;= perc_85, converted_stat * 1.5, converted_stat)))))</f>
        <v/>
      </c>
      <c r="T422" s="30" t="str">
        <f t="array" ref="T422">IF($A422="", "", LET(bbgm_stat, INDEX(Players!$A421:$P421, MATCH(T$2, Players!$A$1:$P$1, 0)), perc_75, VLOOKUP(T$2, Percentiles!$A$45:$I$59, 6, FALSE), perc_90, VLOOKUP(T$2, Percentiles!$A$45:$I$59, 7, FALSE), perc_95, VLOOKUP(T$2, Percentiles!$A$45:$I$59, 8, FALSE), perc_85, perc_75 + (perc_90 - perc_75) * (2/3), converted_stat, '2K_Ratings'!T422, IF(bbgm_stat &gt;= perc_95, converted_stat * 3, IF(bbgm_stat &gt;= perc_90, converted_stat * 2, IF(bbgm_stat &gt;= perc_85, converted_stat * 1.5, converted_stat)))))</f>
        <v/>
      </c>
      <c r="U422" s="30" t="str">
        <f t="array" ref="U422">IF($A422="", "", LET(bbgm_stat, INDEX(Players!$A421:$P421, MATCH(U$2, Players!$A$1:$P$1, 0)), perc_75, VLOOKUP(U$2, Percentiles!$A$45:$I$59, 6, FALSE), perc_90, VLOOKUP(U$2, Percentiles!$A$45:$I$59, 7, FALSE), perc_95, VLOOKUP(U$2, Percentiles!$A$45:$I$59, 8, FALSE), perc_85, perc_75 + (perc_90 - perc_75) * (2/3), converted_stat, '2K_Ratings'!U422, IF(bbgm_stat &gt;= perc_95, converted_stat * 3, IF(bbgm_stat &gt;= perc_90, converted_stat * 2, IF(bbgm_stat &gt;= perc_85, converted_stat * 1.5, converted_stat)))))</f>
        <v/>
      </c>
      <c r="V422" s="30" t="str">
        <f t="array" ref="V422">IF($A422="", "", LET(bbgm_stat, INDEX(Players!$A421:$P421, MATCH(V$2, Players!$A$1:$P$1, 0)), perc_75, VLOOKUP(V$2, Percentiles!$A$45:$I$59, 6, FALSE), perc_90, VLOOKUP(V$2, Percentiles!$A$45:$I$59, 7, FALSE), perc_95, VLOOKUP(V$2, Percentiles!$A$45:$I$59, 8, FALSE), perc_85, perc_75 + (perc_90 - perc_75) * (2/3), converted_stat, '2K_Ratings'!V422, IF(bbgm_stat &gt;= perc_95, converted_stat * 3, IF(bbgm_stat &gt;= perc_90, converted_stat * 2, IF(bbgm_stat &gt;= perc_85, converted_stat * 1.5, converted_stat)))))</f>
        <v/>
      </c>
      <c r="W422" s="30" t="str">
        <f t="array" ref="W422">IF($A422="", "", LET(bbgm_stat, INDEX(Players!$A421:$P421, MATCH(W$2, Players!$A$1:$P$1, 0)), perc_75, VLOOKUP(W$2, Percentiles!$A$45:$I$59, 6, FALSE), perc_90, VLOOKUP(W$2, Percentiles!$A$45:$I$59, 7, FALSE), perc_95, VLOOKUP(W$2, Percentiles!$A$45:$I$59, 8, FALSE), perc_85, perc_75 + (perc_90 - perc_75) * (2/3), converted_stat, '2K_Ratings'!W422, IF(bbgm_stat &gt;= perc_95, converted_stat * 3, IF(bbgm_stat &gt;= perc_90, converted_stat * 2, IF(bbgm_stat &gt;= perc_85, converted_stat * 1.5, converted_stat)))))</f>
        <v/>
      </c>
    </row>
    <row r="423">
      <c r="A423" s="30"/>
      <c r="B423" s="30" t="str">
        <f t="array" ref="B423">IF($A423="", "", LET(bbgm_stat, INDEX(Players!$A422:$P422, MATCH(B$2, Players!$A$1:$P$1, 0)), perc_75, VLOOKUP(B$2, Percentiles!$A$45:$I$59, 6, FALSE), perc_90, VLOOKUP(B$2, Percentiles!$A$45:$I$59, 7, FALSE), perc_95, VLOOKUP(B$2, Percentiles!$A$45:$I$59, 8, FALSE), perc_85, perc_75 + (perc_90 - perc_75) * (2/3), converted_stat, '2K_Ratings'!B423, IF(bbgm_stat &gt;= perc_95, converted_stat * 3, IF(bbgm_stat &gt;= perc_90, converted_stat * 2, IF(bbgm_stat &gt;= perc_85, converted_stat * 1.5, converted_stat)))))</f>
        <v/>
      </c>
      <c r="C423" s="30" t="str">
        <f t="array" ref="C423">IF($A423="", "", LET(bbgm_stat, INDEX(Players!$A422:$P422, MATCH(C$2, Players!$A$1:$P$1, 0)), perc_75, VLOOKUP(C$2, Percentiles!$A$45:$I$59, 6, FALSE), perc_90, VLOOKUP(C$2, Percentiles!$A$45:$I$59, 7, FALSE), perc_95, VLOOKUP(C$2, Percentiles!$A$45:$I$59, 8, FALSE), perc_85, perc_75 + (perc_90 - perc_75) * (2/3), converted_stat, '2K_Ratings'!C423, IF(bbgm_stat &gt;= perc_95, converted_stat * 3, IF(bbgm_stat &gt;= perc_90, converted_stat * 2, IF(bbgm_stat &gt;= perc_85, converted_stat * 1.5, converted_stat)))))</f>
        <v/>
      </c>
      <c r="D423" s="30" t="str">
        <f t="array" ref="D423">IF($A423="", "", LET(bbgm_stat, INDEX(Players!$A422:$P422, MATCH(D$2, Players!$A$1:$P$1, 0)), perc_75, VLOOKUP(D$2, Percentiles!$A$45:$I$59, 6, FALSE), perc_90, VLOOKUP(D$2, Percentiles!$A$45:$I$59, 7, FALSE), perc_95, VLOOKUP(D$2, Percentiles!$A$45:$I$59, 8, FALSE), perc_85, perc_75 + (perc_90 - perc_75) * (2/3), converted_stat, '2K_Ratings'!D423, IF(bbgm_stat &gt;= perc_95, converted_stat * 3, IF(bbgm_stat &gt;= perc_90, converted_stat * 2, IF(bbgm_stat &gt;= perc_85, converted_stat * 1.5, converted_stat)))))</f>
        <v/>
      </c>
      <c r="E423" s="30" t="str">
        <f t="array" ref="E423">IF($A423="", "", LET(bbgm_stat, INDEX(Players!$A422:$P422, MATCH(E$2, Players!$A$1:$P$1, 0)), perc_75, VLOOKUP(E$2, Percentiles!$A$45:$I$59, 6, FALSE), perc_90, VLOOKUP(E$2, Percentiles!$A$45:$I$59, 7, FALSE), perc_95, VLOOKUP(E$2, Percentiles!$A$45:$I$59, 8, FALSE), perc_85, perc_75 + (perc_90 - perc_75) * (2/3), converted_stat, '2K_Ratings'!E423, IF(bbgm_stat &gt;= perc_95, converted_stat * 3, IF(bbgm_stat &gt;= perc_90, converted_stat * 2, IF(bbgm_stat &gt;= perc_85, converted_stat * 1.5, converted_stat)))))</f>
        <v/>
      </c>
      <c r="F423" s="30" t="str">
        <f t="array" ref="F423">IF($A423="", "", LET(bbgm_stat, INDEX(Players!$A422:$P422, MATCH(F$2, Players!$A$1:$P$1, 0)), perc_75, VLOOKUP(F$2, Percentiles!$A$45:$I$59, 6, FALSE), perc_90, VLOOKUP(F$2, Percentiles!$A$45:$I$59, 7, FALSE), perc_95, VLOOKUP(F$2, Percentiles!$A$45:$I$59, 8, FALSE), perc_85, perc_75 + (perc_90 - perc_75) * (2/3), converted_stat, '2K_Ratings'!F423, IF(bbgm_stat &gt;= perc_95, converted_stat * 3, IF(bbgm_stat &gt;= perc_90, converted_stat * 2, IF(bbgm_stat &gt;= perc_85, converted_stat * 1.5, converted_stat)))))</f>
        <v/>
      </c>
      <c r="G423" s="30" t="str">
        <f t="array" ref="G423">IF($A423="", "", LET(bbgm_stat, INDEX(Players!$A422:$P422, MATCH(G$2, Players!$A$1:$P$1, 0)), perc_75, VLOOKUP(G$2, Percentiles!$A$45:$I$59, 6, FALSE), perc_90, VLOOKUP(G$2, Percentiles!$A$45:$I$59, 7, FALSE), perc_95, VLOOKUP(G$2, Percentiles!$A$45:$I$59, 8, FALSE), perc_85, perc_75 + (perc_90 - perc_75) * (2/3), converted_stat, '2K_Ratings'!G423, IF(bbgm_stat &gt;= perc_95, converted_stat * 3, IF(bbgm_stat &gt;= perc_90, converted_stat * 2, IF(bbgm_stat &gt;= perc_85, converted_stat * 1.5, converted_stat)))))</f>
        <v/>
      </c>
      <c r="H423" s="30" t="str">
        <f t="array" ref="H423">IF($A423="", "", LET(bbgm_stat, INDEX(Players!$A422:$P422, MATCH(H$2, Players!$A$1:$P$1, 0)), perc_75, VLOOKUP(H$2, Percentiles!$A$45:$I$59, 6, FALSE), perc_90, VLOOKUP(H$2, Percentiles!$A$45:$I$59, 7, FALSE), perc_95, VLOOKUP(H$2, Percentiles!$A$45:$I$59, 8, FALSE), perc_85, perc_75 + (perc_90 - perc_75) * (2/3), converted_stat, '2K_Ratings'!H423, IF(bbgm_stat &gt;= perc_95, converted_stat * 3, IF(bbgm_stat &gt;= perc_90, converted_stat * 2, IF(bbgm_stat &gt;= perc_85, converted_stat * 1.5, converted_stat)))))</f>
        <v/>
      </c>
      <c r="I423" s="30" t="str">
        <f t="array" ref="I423">IF($A423="", "", LET(bbgm_stat, INDEX(Players!$A422:$P422, MATCH(I$2, Players!$A$1:$P$1, 0)), perc_75, VLOOKUP(I$2, Percentiles!$A$45:$I$59, 6, FALSE), perc_90, VLOOKUP(I$2, Percentiles!$A$45:$I$59, 7, FALSE), perc_95, VLOOKUP(I$2, Percentiles!$A$45:$I$59, 8, FALSE), perc_85, perc_75 + (perc_90 - perc_75) * (2/3), converted_stat, '2K_Ratings'!I423, IF(bbgm_stat &gt;= perc_95, converted_stat * 3, IF(bbgm_stat &gt;= perc_90, converted_stat * 2, IF(bbgm_stat &gt;= perc_85, converted_stat * 1.5, converted_stat)))))</f>
        <v/>
      </c>
      <c r="J423" s="30" t="str">
        <f t="array" ref="J423">IF($A423="", "", LET(bbgm_stat, INDEX(Players!$A422:$P422, MATCH(J$2, Players!$A$1:$P$1, 0)), perc_75, VLOOKUP(J$2, Percentiles!$A$45:$I$59, 6, FALSE), perc_90, VLOOKUP(J$2, Percentiles!$A$45:$I$59, 7, FALSE), perc_95, VLOOKUP(J$2, Percentiles!$A$45:$I$59, 8, FALSE), perc_85, perc_75 + (perc_90 - perc_75) * (2/3), converted_stat, '2K_Ratings'!J423, IF(bbgm_stat &gt;= perc_95, converted_stat * 3, IF(bbgm_stat &gt;= perc_90, converted_stat * 2, IF(bbgm_stat &gt;= perc_85, converted_stat * 1.5, converted_stat)))))</f>
        <v/>
      </c>
      <c r="K423" s="30" t="str">
        <f t="array" ref="K423">IF($A423="", "", LET(bbgm_stat, INDEX(Players!$A422:$P422, MATCH(K$2, Players!$A$1:$P$1, 0)), perc_75, VLOOKUP(K$2, Percentiles!$A$45:$I$59, 6, FALSE), perc_90, VLOOKUP(K$2, Percentiles!$A$45:$I$59, 7, FALSE), perc_95, VLOOKUP(K$2, Percentiles!$A$45:$I$59, 8, FALSE), perc_85, perc_75 + (perc_90 - perc_75) * (2/3), converted_stat, '2K_Ratings'!K423, IF(bbgm_stat &gt;= perc_95, converted_stat * 3, IF(bbgm_stat &gt;= perc_90, converted_stat * 2, IF(bbgm_stat &gt;= perc_85, converted_stat * 1.5, converted_stat)))))</f>
        <v/>
      </c>
      <c r="L423" s="30" t="str">
        <f t="array" ref="L423">IF($A423="", "", LET(bbgm_stat, INDEX(Players!$A422:$P422, MATCH(L$2, Players!$A$1:$P$1, 0)), perc_75, VLOOKUP(L$2, Percentiles!$A$45:$I$59, 6, FALSE), perc_90, VLOOKUP(L$2, Percentiles!$A$45:$I$59, 7, FALSE), perc_95, VLOOKUP(L$2, Percentiles!$A$45:$I$59, 8, FALSE), perc_85, perc_75 + (perc_90 - perc_75) * (2/3), converted_stat, '2K_Ratings'!L423, IF(bbgm_stat &gt;= perc_95, converted_stat * 3, IF(bbgm_stat &gt;= perc_90, converted_stat * 2, IF(bbgm_stat &gt;= perc_85, converted_stat * 1.5, converted_stat)))))</f>
        <v/>
      </c>
      <c r="M423" s="30" t="str">
        <f t="array" ref="M423">IF($A423="", "", LET(bbgm_stat, INDEX(Players!$A422:$P422, MATCH(M$2, Players!$A$1:$P$1, 0)), perc_75, VLOOKUP(M$2, Percentiles!$A$45:$I$59, 6, FALSE), perc_90, VLOOKUP(M$2, Percentiles!$A$45:$I$59, 7, FALSE), perc_95, VLOOKUP(M$2, Percentiles!$A$45:$I$59, 8, FALSE), perc_85, perc_75 + (perc_90 - perc_75) * (2/3), converted_stat, '2K_Ratings'!M423, IF(bbgm_stat &gt;= perc_95, converted_stat * 3, IF(bbgm_stat &gt;= perc_90, converted_stat * 2, IF(bbgm_stat &gt;= perc_85, converted_stat * 1.5, converted_stat)))))</f>
        <v/>
      </c>
      <c r="N423" s="30" t="str">
        <f t="array" ref="N423">IF($A423="", "", LET(bbgm_stat, INDEX(Players!$A422:$P422, MATCH(N$2, Players!$A$1:$P$1, 0)), perc_75, VLOOKUP(N$2, Percentiles!$A$45:$I$59, 6, FALSE), perc_90, VLOOKUP(N$2, Percentiles!$A$45:$I$59, 7, FALSE), perc_95, VLOOKUP(N$2, Percentiles!$A$45:$I$59, 8, FALSE), perc_85, perc_75 + (perc_90 - perc_75) * (2/3), converted_stat, '2K_Ratings'!N423, IF(bbgm_stat &gt;= perc_95, converted_stat * 3, IF(bbgm_stat &gt;= perc_90, converted_stat * 2, IF(bbgm_stat &gt;= perc_85, converted_stat * 1.5, converted_stat)))))</f>
        <v/>
      </c>
      <c r="O423" s="30" t="str">
        <f t="array" ref="O423">IF($A423="", "", LET(bbgm_stat, INDEX(Players!$A422:$P422, MATCH(O$2, Players!$A$1:$P$1, 0)), perc_75, VLOOKUP(O$2, Percentiles!$A$45:$I$59, 6, FALSE), perc_90, VLOOKUP(O$2, Percentiles!$A$45:$I$59, 7, FALSE), perc_95, VLOOKUP(O$2, Percentiles!$A$45:$I$59, 8, FALSE), perc_85, perc_75 + (perc_90 - perc_75) * (2/3), converted_stat, '2K_Ratings'!O423, IF(bbgm_stat &gt;= perc_95, converted_stat * 3, IF(bbgm_stat &gt;= perc_90, converted_stat * 2, IF(bbgm_stat &gt;= perc_85, converted_stat * 1.5, converted_stat)))))</f>
        <v/>
      </c>
      <c r="P423" s="30" t="str">
        <f t="array" ref="P423">IF($A423="", "", LET(bbgm_stat, INDEX(Players!$A422:$P422, MATCH(P$2, Players!$A$1:$P$1, 0)), perc_75, VLOOKUP(P$2, Percentiles!$A$45:$I$59, 6, FALSE), perc_90, VLOOKUP(P$2, Percentiles!$A$45:$I$59, 7, FALSE), perc_95, VLOOKUP(P$2, Percentiles!$A$45:$I$59, 8, FALSE), perc_85, perc_75 + (perc_90 - perc_75) * (2/3), converted_stat, '2K_Ratings'!P423, IF(bbgm_stat &gt;= perc_95, converted_stat * 3, IF(bbgm_stat &gt;= perc_90, converted_stat * 2, IF(bbgm_stat &gt;= perc_85, converted_stat * 1.5, converted_stat)))))</f>
        <v/>
      </c>
      <c r="Q423" s="30" t="str">
        <f t="array" ref="Q423">IF($A423="", "", LET(bbgm_stat, INDEX(Players!$A422:$P422, MATCH(Q$2, Players!$A$1:$P$1, 0)), perc_75, VLOOKUP(Q$2, Percentiles!$A$45:$I$59, 6, FALSE), perc_90, VLOOKUP(Q$2, Percentiles!$A$45:$I$59, 7, FALSE), perc_95, VLOOKUP(Q$2, Percentiles!$A$45:$I$59, 8, FALSE), perc_85, perc_75 + (perc_90 - perc_75) * (2/3), converted_stat, '2K_Ratings'!Q423, IF(bbgm_stat &gt;= perc_95, converted_stat * 3, IF(bbgm_stat &gt;= perc_90, converted_stat * 2, IF(bbgm_stat &gt;= perc_85, converted_stat * 1.5, converted_stat)))))</f>
        <v/>
      </c>
      <c r="R423" s="30" t="str">
        <f t="array" ref="R423">IF($A423="", "", LET(bbgm_stat, INDEX(Players!$A422:$P422, MATCH(R$2, Players!$A$1:$P$1, 0)), perc_75, VLOOKUP(R$2, Percentiles!$A$45:$I$59, 6, FALSE), perc_90, VLOOKUP(R$2, Percentiles!$A$45:$I$59, 7, FALSE), perc_95, VLOOKUP(R$2, Percentiles!$A$45:$I$59, 8, FALSE), perc_85, perc_75 + (perc_90 - perc_75) * (2/3), converted_stat, '2K_Ratings'!R423, IF(bbgm_stat &gt;= perc_95, converted_stat * 3, IF(bbgm_stat &gt;= perc_90, converted_stat * 2, IF(bbgm_stat &gt;= perc_85, converted_stat * 1.5, converted_stat)))))</f>
        <v/>
      </c>
      <c r="S423" s="30" t="str">
        <f t="array" ref="S423">IF($A423="", "", LET(bbgm_stat, INDEX(Players!$A422:$P422, MATCH(S$2, Players!$A$1:$P$1, 0)), perc_75, VLOOKUP(S$2, Percentiles!$A$45:$I$59, 6, FALSE), perc_90, VLOOKUP(S$2, Percentiles!$A$45:$I$59, 7, FALSE), perc_95, VLOOKUP(S$2, Percentiles!$A$45:$I$59, 8, FALSE), perc_85, perc_75 + (perc_90 - perc_75) * (2/3), converted_stat, '2K_Ratings'!S423, IF(bbgm_stat &gt;= perc_95, converted_stat * 3, IF(bbgm_stat &gt;= perc_90, converted_stat * 2, IF(bbgm_stat &gt;= perc_85, converted_stat * 1.5, converted_stat)))))</f>
        <v/>
      </c>
      <c r="T423" s="30" t="str">
        <f t="array" ref="T423">IF($A423="", "", LET(bbgm_stat, INDEX(Players!$A422:$P422, MATCH(T$2, Players!$A$1:$P$1, 0)), perc_75, VLOOKUP(T$2, Percentiles!$A$45:$I$59, 6, FALSE), perc_90, VLOOKUP(T$2, Percentiles!$A$45:$I$59, 7, FALSE), perc_95, VLOOKUP(T$2, Percentiles!$A$45:$I$59, 8, FALSE), perc_85, perc_75 + (perc_90 - perc_75) * (2/3), converted_stat, '2K_Ratings'!T423, IF(bbgm_stat &gt;= perc_95, converted_stat * 3, IF(bbgm_stat &gt;= perc_90, converted_stat * 2, IF(bbgm_stat &gt;= perc_85, converted_stat * 1.5, converted_stat)))))</f>
        <v/>
      </c>
      <c r="U423" s="30" t="str">
        <f t="array" ref="U423">IF($A423="", "", LET(bbgm_stat, INDEX(Players!$A422:$P422, MATCH(U$2, Players!$A$1:$P$1, 0)), perc_75, VLOOKUP(U$2, Percentiles!$A$45:$I$59, 6, FALSE), perc_90, VLOOKUP(U$2, Percentiles!$A$45:$I$59, 7, FALSE), perc_95, VLOOKUP(U$2, Percentiles!$A$45:$I$59, 8, FALSE), perc_85, perc_75 + (perc_90 - perc_75) * (2/3), converted_stat, '2K_Ratings'!U423, IF(bbgm_stat &gt;= perc_95, converted_stat * 3, IF(bbgm_stat &gt;= perc_90, converted_stat * 2, IF(bbgm_stat &gt;= perc_85, converted_stat * 1.5, converted_stat)))))</f>
        <v/>
      </c>
      <c r="V423" s="30" t="str">
        <f t="array" ref="V423">IF($A423="", "", LET(bbgm_stat, INDEX(Players!$A422:$P422, MATCH(V$2, Players!$A$1:$P$1, 0)), perc_75, VLOOKUP(V$2, Percentiles!$A$45:$I$59, 6, FALSE), perc_90, VLOOKUP(V$2, Percentiles!$A$45:$I$59, 7, FALSE), perc_95, VLOOKUP(V$2, Percentiles!$A$45:$I$59, 8, FALSE), perc_85, perc_75 + (perc_90 - perc_75) * (2/3), converted_stat, '2K_Ratings'!V423, IF(bbgm_stat &gt;= perc_95, converted_stat * 3, IF(bbgm_stat &gt;= perc_90, converted_stat * 2, IF(bbgm_stat &gt;= perc_85, converted_stat * 1.5, converted_stat)))))</f>
        <v/>
      </c>
      <c r="W423" s="30" t="str">
        <f t="array" ref="W423">IF($A423="", "", LET(bbgm_stat, INDEX(Players!$A422:$P422, MATCH(W$2, Players!$A$1:$P$1, 0)), perc_75, VLOOKUP(W$2, Percentiles!$A$45:$I$59, 6, FALSE), perc_90, VLOOKUP(W$2, Percentiles!$A$45:$I$59, 7, FALSE), perc_95, VLOOKUP(W$2, Percentiles!$A$45:$I$59, 8, FALSE), perc_85, perc_75 + (perc_90 - perc_75) * (2/3), converted_stat, '2K_Ratings'!W423, IF(bbgm_stat &gt;= perc_95, converted_stat * 3, IF(bbgm_stat &gt;= perc_90, converted_stat * 2, IF(bbgm_stat &gt;= perc_85, converted_stat * 1.5, converted_stat)))))</f>
        <v/>
      </c>
    </row>
    <row r="424">
      <c r="A424" s="30"/>
      <c r="B424" s="30" t="str">
        <f t="array" ref="B424">IF($A424="", "", LET(bbgm_stat, INDEX(Players!$A423:$P423, MATCH(B$2, Players!$A$1:$P$1, 0)), perc_75, VLOOKUP(B$2, Percentiles!$A$45:$I$59, 6, FALSE), perc_90, VLOOKUP(B$2, Percentiles!$A$45:$I$59, 7, FALSE), perc_95, VLOOKUP(B$2, Percentiles!$A$45:$I$59, 8, FALSE), perc_85, perc_75 + (perc_90 - perc_75) * (2/3), converted_stat, '2K_Ratings'!B424, IF(bbgm_stat &gt;= perc_95, converted_stat * 3, IF(bbgm_stat &gt;= perc_90, converted_stat * 2, IF(bbgm_stat &gt;= perc_85, converted_stat * 1.5, converted_stat)))))</f>
        <v/>
      </c>
      <c r="C424" s="30" t="str">
        <f t="array" ref="C424">IF($A424="", "", LET(bbgm_stat, INDEX(Players!$A423:$P423, MATCH(C$2, Players!$A$1:$P$1, 0)), perc_75, VLOOKUP(C$2, Percentiles!$A$45:$I$59, 6, FALSE), perc_90, VLOOKUP(C$2, Percentiles!$A$45:$I$59, 7, FALSE), perc_95, VLOOKUP(C$2, Percentiles!$A$45:$I$59, 8, FALSE), perc_85, perc_75 + (perc_90 - perc_75) * (2/3), converted_stat, '2K_Ratings'!C424, IF(bbgm_stat &gt;= perc_95, converted_stat * 3, IF(bbgm_stat &gt;= perc_90, converted_stat * 2, IF(bbgm_stat &gt;= perc_85, converted_stat * 1.5, converted_stat)))))</f>
        <v/>
      </c>
      <c r="D424" s="30" t="str">
        <f t="array" ref="D424">IF($A424="", "", LET(bbgm_stat, INDEX(Players!$A423:$P423, MATCH(D$2, Players!$A$1:$P$1, 0)), perc_75, VLOOKUP(D$2, Percentiles!$A$45:$I$59, 6, FALSE), perc_90, VLOOKUP(D$2, Percentiles!$A$45:$I$59, 7, FALSE), perc_95, VLOOKUP(D$2, Percentiles!$A$45:$I$59, 8, FALSE), perc_85, perc_75 + (perc_90 - perc_75) * (2/3), converted_stat, '2K_Ratings'!D424, IF(bbgm_stat &gt;= perc_95, converted_stat * 3, IF(bbgm_stat &gt;= perc_90, converted_stat * 2, IF(bbgm_stat &gt;= perc_85, converted_stat * 1.5, converted_stat)))))</f>
        <v/>
      </c>
      <c r="E424" s="30" t="str">
        <f t="array" ref="E424">IF($A424="", "", LET(bbgm_stat, INDEX(Players!$A423:$P423, MATCH(E$2, Players!$A$1:$P$1, 0)), perc_75, VLOOKUP(E$2, Percentiles!$A$45:$I$59, 6, FALSE), perc_90, VLOOKUP(E$2, Percentiles!$A$45:$I$59, 7, FALSE), perc_95, VLOOKUP(E$2, Percentiles!$A$45:$I$59, 8, FALSE), perc_85, perc_75 + (perc_90 - perc_75) * (2/3), converted_stat, '2K_Ratings'!E424, IF(bbgm_stat &gt;= perc_95, converted_stat * 3, IF(bbgm_stat &gt;= perc_90, converted_stat * 2, IF(bbgm_stat &gt;= perc_85, converted_stat * 1.5, converted_stat)))))</f>
        <v/>
      </c>
      <c r="F424" s="30" t="str">
        <f t="array" ref="F424">IF($A424="", "", LET(bbgm_stat, INDEX(Players!$A423:$P423, MATCH(F$2, Players!$A$1:$P$1, 0)), perc_75, VLOOKUP(F$2, Percentiles!$A$45:$I$59, 6, FALSE), perc_90, VLOOKUP(F$2, Percentiles!$A$45:$I$59, 7, FALSE), perc_95, VLOOKUP(F$2, Percentiles!$A$45:$I$59, 8, FALSE), perc_85, perc_75 + (perc_90 - perc_75) * (2/3), converted_stat, '2K_Ratings'!F424, IF(bbgm_stat &gt;= perc_95, converted_stat * 3, IF(bbgm_stat &gt;= perc_90, converted_stat * 2, IF(bbgm_stat &gt;= perc_85, converted_stat * 1.5, converted_stat)))))</f>
        <v/>
      </c>
      <c r="G424" s="30" t="str">
        <f t="array" ref="G424">IF($A424="", "", LET(bbgm_stat, INDEX(Players!$A423:$P423, MATCH(G$2, Players!$A$1:$P$1, 0)), perc_75, VLOOKUP(G$2, Percentiles!$A$45:$I$59, 6, FALSE), perc_90, VLOOKUP(G$2, Percentiles!$A$45:$I$59, 7, FALSE), perc_95, VLOOKUP(G$2, Percentiles!$A$45:$I$59, 8, FALSE), perc_85, perc_75 + (perc_90 - perc_75) * (2/3), converted_stat, '2K_Ratings'!G424, IF(bbgm_stat &gt;= perc_95, converted_stat * 3, IF(bbgm_stat &gt;= perc_90, converted_stat * 2, IF(bbgm_stat &gt;= perc_85, converted_stat * 1.5, converted_stat)))))</f>
        <v/>
      </c>
      <c r="H424" s="30" t="str">
        <f t="array" ref="H424">IF($A424="", "", LET(bbgm_stat, INDEX(Players!$A423:$P423, MATCH(H$2, Players!$A$1:$P$1, 0)), perc_75, VLOOKUP(H$2, Percentiles!$A$45:$I$59, 6, FALSE), perc_90, VLOOKUP(H$2, Percentiles!$A$45:$I$59, 7, FALSE), perc_95, VLOOKUP(H$2, Percentiles!$A$45:$I$59, 8, FALSE), perc_85, perc_75 + (perc_90 - perc_75) * (2/3), converted_stat, '2K_Ratings'!H424, IF(bbgm_stat &gt;= perc_95, converted_stat * 3, IF(bbgm_stat &gt;= perc_90, converted_stat * 2, IF(bbgm_stat &gt;= perc_85, converted_stat * 1.5, converted_stat)))))</f>
        <v/>
      </c>
      <c r="I424" s="30" t="str">
        <f t="array" ref="I424">IF($A424="", "", LET(bbgm_stat, INDEX(Players!$A423:$P423, MATCH(I$2, Players!$A$1:$P$1, 0)), perc_75, VLOOKUP(I$2, Percentiles!$A$45:$I$59, 6, FALSE), perc_90, VLOOKUP(I$2, Percentiles!$A$45:$I$59, 7, FALSE), perc_95, VLOOKUP(I$2, Percentiles!$A$45:$I$59, 8, FALSE), perc_85, perc_75 + (perc_90 - perc_75) * (2/3), converted_stat, '2K_Ratings'!I424, IF(bbgm_stat &gt;= perc_95, converted_stat * 3, IF(bbgm_stat &gt;= perc_90, converted_stat * 2, IF(bbgm_stat &gt;= perc_85, converted_stat * 1.5, converted_stat)))))</f>
        <v/>
      </c>
      <c r="J424" s="30" t="str">
        <f t="array" ref="J424">IF($A424="", "", LET(bbgm_stat, INDEX(Players!$A423:$P423, MATCH(J$2, Players!$A$1:$P$1, 0)), perc_75, VLOOKUP(J$2, Percentiles!$A$45:$I$59, 6, FALSE), perc_90, VLOOKUP(J$2, Percentiles!$A$45:$I$59, 7, FALSE), perc_95, VLOOKUP(J$2, Percentiles!$A$45:$I$59, 8, FALSE), perc_85, perc_75 + (perc_90 - perc_75) * (2/3), converted_stat, '2K_Ratings'!J424, IF(bbgm_stat &gt;= perc_95, converted_stat * 3, IF(bbgm_stat &gt;= perc_90, converted_stat * 2, IF(bbgm_stat &gt;= perc_85, converted_stat * 1.5, converted_stat)))))</f>
        <v/>
      </c>
      <c r="K424" s="30" t="str">
        <f t="array" ref="K424">IF($A424="", "", LET(bbgm_stat, INDEX(Players!$A423:$P423, MATCH(K$2, Players!$A$1:$P$1, 0)), perc_75, VLOOKUP(K$2, Percentiles!$A$45:$I$59, 6, FALSE), perc_90, VLOOKUP(K$2, Percentiles!$A$45:$I$59, 7, FALSE), perc_95, VLOOKUP(K$2, Percentiles!$A$45:$I$59, 8, FALSE), perc_85, perc_75 + (perc_90 - perc_75) * (2/3), converted_stat, '2K_Ratings'!K424, IF(bbgm_stat &gt;= perc_95, converted_stat * 3, IF(bbgm_stat &gt;= perc_90, converted_stat * 2, IF(bbgm_stat &gt;= perc_85, converted_stat * 1.5, converted_stat)))))</f>
        <v/>
      </c>
      <c r="L424" s="30" t="str">
        <f t="array" ref="L424">IF($A424="", "", LET(bbgm_stat, INDEX(Players!$A423:$P423, MATCH(L$2, Players!$A$1:$P$1, 0)), perc_75, VLOOKUP(L$2, Percentiles!$A$45:$I$59, 6, FALSE), perc_90, VLOOKUP(L$2, Percentiles!$A$45:$I$59, 7, FALSE), perc_95, VLOOKUP(L$2, Percentiles!$A$45:$I$59, 8, FALSE), perc_85, perc_75 + (perc_90 - perc_75) * (2/3), converted_stat, '2K_Ratings'!L424, IF(bbgm_stat &gt;= perc_95, converted_stat * 3, IF(bbgm_stat &gt;= perc_90, converted_stat * 2, IF(bbgm_stat &gt;= perc_85, converted_stat * 1.5, converted_stat)))))</f>
        <v/>
      </c>
      <c r="M424" s="30" t="str">
        <f t="array" ref="M424">IF($A424="", "", LET(bbgm_stat, INDEX(Players!$A423:$P423, MATCH(M$2, Players!$A$1:$P$1, 0)), perc_75, VLOOKUP(M$2, Percentiles!$A$45:$I$59, 6, FALSE), perc_90, VLOOKUP(M$2, Percentiles!$A$45:$I$59, 7, FALSE), perc_95, VLOOKUP(M$2, Percentiles!$A$45:$I$59, 8, FALSE), perc_85, perc_75 + (perc_90 - perc_75) * (2/3), converted_stat, '2K_Ratings'!M424, IF(bbgm_stat &gt;= perc_95, converted_stat * 3, IF(bbgm_stat &gt;= perc_90, converted_stat * 2, IF(bbgm_stat &gt;= perc_85, converted_stat * 1.5, converted_stat)))))</f>
        <v/>
      </c>
      <c r="N424" s="30" t="str">
        <f t="array" ref="N424">IF($A424="", "", LET(bbgm_stat, INDEX(Players!$A423:$P423, MATCH(N$2, Players!$A$1:$P$1, 0)), perc_75, VLOOKUP(N$2, Percentiles!$A$45:$I$59, 6, FALSE), perc_90, VLOOKUP(N$2, Percentiles!$A$45:$I$59, 7, FALSE), perc_95, VLOOKUP(N$2, Percentiles!$A$45:$I$59, 8, FALSE), perc_85, perc_75 + (perc_90 - perc_75) * (2/3), converted_stat, '2K_Ratings'!N424, IF(bbgm_stat &gt;= perc_95, converted_stat * 3, IF(bbgm_stat &gt;= perc_90, converted_stat * 2, IF(bbgm_stat &gt;= perc_85, converted_stat * 1.5, converted_stat)))))</f>
        <v/>
      </c>
      <c r="O424" s="30" t="str">
        <f t="array" ref="O424">IF($A424="", "", LET(bbgm_stat, INDEX(Players!$A423:$P423, MATCH(O$2, Players!$A$1:$P$1, 0)), perc_75, VLOOKUP(O$2, Percentiles!$A$45:$I$59, 6, FALSE), perc_90, VLOOKUP(O$2, Percentiles!$A$45:$I$59, 7, FALSE), perc_95, VLOOKUP(O$2, Percentiles!$A$45:$I$59, 8, FALSE), perc_85, perc_75 + (perc_90 - perc_75) * (2/3), converted_stat, '2K_Ratings'!O424, IF(bbgm_stat &gt;= perc_95, converted_stat * 3, IF(bbgm_stat &gt;= perc_90, converted_stat * 2, IF(bbgm_stat &gt;= perc_85, converted_stat * 1.5, converted_stat)))))</f>
        <v/>
      </c>
      <c r="P424" s="30" t="str">
        <f t="array" ref="P424">IF($A424="", "", LET(bbgm_stat, INDEX(Players!$A423:$P423, MATCH(P$2, Players!$A$1:$P$1, 0)), perc_75, VLOOKUP(P$2, Percentiles!$A$45:$I$59, 6, FALSE), perc_90, VLOOKUP(P$2, Percentiles!$A$45:$I$59, 7, FALSE), perc_95, VLOOKUP(P$2, Percentiles!$A$45:$I$59, 8, FALSE), perc_85, perc_75 + (perc_90 - perc_75) * (2/3), converted_stat, '2K_Ratings'!P424, IF(bbgm_stat &gt;= perc_95, converted_stat * 3, IF(bbgm_stat &gt;= perc_90, converted_stat * 2, IF(bbgm_stat &gt;= perc_85, converted_stat * 1.5, converted_stat)))))</f>
        <v/>
      </c>
      <c r="Q424" s="30" t="str">
        <f t="array" ref="Q424">IF($A424="", "", LET(bbgm_stat, INDEX(Players!$A423:$P423, MATCH(Q$2, Players!$A$1:$P$1, 0)), perc_75, VLOOKUP(Q$2, Percentiles!$A$45:$I$59, 6, FALSE), perc_90, VLOOKUP(Q$2, Percentiles!$A$45:$I$59, 7, FALSE), perc_95, VLOOKUP(Q$2, Percentiles!$A$45:$I$59, 8, FALSE), perc_85, perc_75 + (perc_90 - perc_75) * (2/3), converted_stat, '2K_Ratings'!Q424, IF(bbgm_stat &gt;= perc_95, converted_stat * 3, IF(bbgm_stat &gt;= perc_90, converted_stat * 2, IF(bbgm_stat &gt;= perc_85, converted_stat * 1.5, converted_stat)))))</f>
        <v/>
      </c>
      <c r="R424" s="30" t="str">
        <f t="array" ref="R424">IF($A424="", "", LET(bbgm_stat, INDEX(Players!$A423:$P423, MATCH(R$2, Players!$A$1:$P$1, 0)), perc_75, VLOOKUP(R$2, Percentiles!$A$45:$I$59, 6, FALSE), perc_90, VLOOKUP(R$2, Percentiles!$A$45:$I$59, 7, FALSE), perc_95, VLOOKUP(R$2, Percentiles!$A$45:$I$59, 8, FALSE), perc_85, perc_75 + (perc_90 - perc_75) * (2/3), converted_stat, '2K_Ratings'!R424, IF(bbgm_stat &gt;= perc_95, converted_stat * 3, IF(bbgm_stat &gt;= perc_90, converted_stat * 2, IF(bbgm_stat &gt;= perc_85, converted_stat * 1.5, converted_stat)))))</f>
        <v/>
      </c>
      <c r="S424" s="30" t="str">
        <f t="array" ref="S424">IF($A424="", "", LET(bbgm_stat, INDEX(Players!$A423:$P423, MATCH(S$2, Players!$A$1:$P$1, 0)), perc_75, VLOOKUP(S$2, Percentiles!$A$45:$I$59, 6, FALSE), perc_90, VLOOKUP(S$2, Percentiles!$A$45:$I$59, 7, FALSE), perc_95, VLOOKUP(S$2, Percentiles!$A$45:$I$59, 8, FALSE), perc_85, perc_75 + (perc_90 - perc_75) * (2/3), converted_stat, '2K_Ratings'!S424, IF(bbgm_stat &gt;= perc_95, converted_stat * 3, IF(bbgm_stat &gt;= perc_90, converted_stat * 2, IF(bbgm_stat &gt;= perc_85, converted_stat * 1.5, converted_stat)))))</f>
        <v/>
      </c>
      <c r="T424" s="30" t="str">
        <f t="array" ref="T424">IF($A424="", "", LET(bbgm_stat, INDEX(Players!$A423:$P423, MATCH(T$2, Players!$A$1:$P$1, 0)), perc_75, VLOOKUP(T$2, Percentiles!$A$45:$I$59, 6, FALSE), perc_90, VLOOKUP(T$2, Percentiles!$A$45:$I$59, 7, FALSE), perc_95, VLOOKUP(T$2, Percentiles!$A$45:$I$59, 8, FALSE), perc_85, perc_75 + (perc_90 - perc_75) * (2/3), converted_stat, '2K_Ratings'!T424, IF(bbgm_stat &gt;= perc_95, converted_stat * 3, IF(bbgm_stat &gt;= perc_90, converted_stat * 2, IF(bbgm_stat &gt;= perc_85, converted_stat * 1.5, converted_stat)))))</f>
        <v/>
      </c>
      <c r="U424" s="30" t="str">
        <f t="array" ref="U424">IF($A424="", "", LET(bbgm_stat, INDEX(Players!$A423:$P423, MATCH(U$2, Players!$A$1:$P$1, 0)), perc_75, VLOOKUP(U$2, Percentiles!$A$45:$I$59, 6, FALSE), perc_90, VLOOKUP(U$2, Percentiles!$A$45:$I$59, 7, FALSE), perc_95, VLOOKUP(U$2, Percentiles!$A$45:$I$59, 8, FALSE), perc_85, perc_75 + (perc_90 - perc_75) * (2/3), converted_stat, '2K_Ratings'!U424, IF(bbgm_stat &gt;= perc_95, converted_stat * 3, IF(bbgm_stat &gt;= perc_90, converted_stat * 2, IF(bbgm_stat &gt;= perc_85, converted_stat * 1.5, converted_stat)))))</f>
        <v/>
      </c>
      <c r="V424" s="30" t="str">
        <f t="array" ref="V424">IF($A424="", "", LET(bbgm_stat, INDEX(Players!$A423:$P423, MATCH(V$2, Players!$A$1:$P$1, 0)), perc_75, VLOOKUP(V$2, Percentiles!$A$45:$I$59, 6, FALSE), perc_90, VLOOKUP(V$2, Percentiles!$A$45:$I$59, 7, FALSE), perc_95, VLOOKUP(V$2, Percentiles!$A$45:$I$59, 8, FALSE), perc_85, perc_75 + (perc_90 - perc_75) * (2/3), converted_stat, '2K_Ratings'!V424, IF(bbgm_stat &gt;= perc_95, converted_stat * 3, IF(bbgm_stat &gt;= perc_90, converted_stat * 2, IF(bbgm_stat &gt;= perc_85, converted_stat * 1.5, converted_stat)))))</f>
        <v/>
      </c>
      <c r="W424" s="30" t="str">
        <f t="array" ref="W424">IF($A424="", "", LET(bbgm_stat, INDEX(Players!$A423:$P423, MATCH(W$2, Players!$A$1:$P$1, 0)), perc_75, VLOOKUP(W$2, Percentiles!$A$45:$I$59, 6, FALSE), perc_90, VLOOKUP(W$2, Percentiles!$A$45:$I$59, 7, FALSE), perc_95, VLOOKUP(W$2, Percentiles!$A$45:$I$59, 8, FALSE), perc_85, perc_75 + (perc_90 - perc_75) * (2/3), converted_stat, '2K_Ratings'!W424, IF(bbgm_stat &gt;= perc_95, converted_stat * 3, IF(bbgm_stat &gt;= perc_90, converted_stat * 2, IF(bbgm_stat &gt;= perc_85, converted_stat * 1.5, converted_stat)))))</f>
        <v/>
      </c>
    </row>
    <row r="425">
      <c r="A425" s="30"/>
      <c r="B425" s="30" t="str">
        <f t="array" ref="B425">IF($A425="", "", LET(bbgm_stat, INDEX(Players!$A424:$P424, MATCH(B$2, Players!$A$1:$P$1, 0)), perc_75, VLOOKUP(B$2, Percentiles!$A$45:$I$59, 6, FALSE), perc_90, VLOOKUP(B$2, Percentiles!$A$45:$I$59, 7, FALSE), perc_95, VLOOKUP(B$2, Percentiles!$A$45:$I$59, 8, FALSE), perc_85, perc_75 + (perc_90 - perc_75) * (2/3), converted_stat, '2K_Ratings'!B425, IF(bbgm_stat &gt;= perc_95, converted_stat * 3, IF(bbgm_stat &gt;= perc_90, converted_stat * 2, IF(bbgm_stat &gt;= perc_85, converted_stat * 1.5, converted_stat)))))</f>
        <v/>
      </c>
      <c r="C425" s="30" t="str">
        <f t="array" ref="C425">IF($A425="", "", LET(bbgm_stat, INDEX(Players!$A424:$P424, MATCH(C$2, Players!$A$1:$P$1, 0)), perc_75, VLOOKUP(C$2, Percentiles!$A$45:$I$59, 6, FALSE), perc_90, VLOOKUP(C$2, Percentiles!$A$45:$I$59, 7, FALSE), perc_95, VLOOKUP(C$2, Percentiles!$A$45:$I$59, 8, FALSE), perc_85, perc_75 + (perc_90 - perc_75) * (2/3), converted_stat, '2K_Ratings'!C425, IF(bbgm_stat &gt;= perc_95, converted_stat * 3, IF(bbgm_stat &gt;= perc_90, converted_stat * 2, IF(bbgm_stat &gt;= perc_85, converted_stat * 1.5, converted_stat)))))</f>
        <v/>
      </c>
      <c r="D425" s="30" t="str">
        <f t="array" ref="D425">IF($A425="", "", LET(bbgm_stat, INDEX(Players!$A424:$P424, MATCH(D$2, Players!$A$1:$P$1, 0)), perc_75, VLOOKUP(D$2, Percentiles!$A$45:$I$59, 6, FALSE), perc_90, VLOOKUP(D$2, Percentiles!$A$45:$I$59, 7, FALSE), perc_95, VLOOKUP(D$2, Percentiles!$A$45:$I$59, 8, FALSE), perc_85, perc_75 + (perc_90 - perc_75) * (2/3), converted_stat, '2K_Ratings'!D425, IF(bbgm_stat &gt;= perc_95, converted_stat * 3, IF(bbgm_stat &gt;= perc_90, converted_stat * 2, IF(bbgm_stat &gt;= perc_85, converted_stat * 1.5, converted_stat)))))</f>
        <v/>
      </c>
      <c r="E425" s="30" t="str">
        <f t="array" ref="E425">IF($A425="", "", LET(bbgm_stat, INDEX(Players!$A424:$P424, MATCH(E$2, Players!$A$1:$P$1, 0)), perc_75, VLOOKUP(E$2, Percentiles!$A$45:$I$59, 6, FALSE), perc_90, VLOOKUP(E$2, Percentiles!$A$45:$I$59, 7, FALSE), perc_95, VLOOKUP(E$2, Percentiles!$A$45:$I$59, 8, FALSE), perc_85, perc_75 + (perc_90 - perc_75) * (2/3), converted_stat, '2K_Ratings'!E425, IF(bbgm_stat &gt;= perc_95, converted_stat * 3, IF(bbgm_stat &gt;= perc_90, converted_stat * 2, IF(bbgm_stat &gt;= perc_85, converted_stat * 1.5, converted_stat)))))</f>
        <v/>
      </c>
      <c r="F425" s="30" t="str">
        <f t="array" ref="F425">IF($A425="", "", LET(bbgm_stat, INDEX(Players!$A424:$P424, MATCH(F$2, Players!$A$1:$P$1, 0)), perc_75, VLOOKUP(F$2, Percentiles!$A$45:$I$59, 6, FALSE), perc_90, VLOOKUP(F$2, Percentiles!$A$45:$I$59, 7, FALSE), perc_95, VLOOKUP(F$2, Percentiles!$A$45:$I$59, 8, FALSE), perc_85, perc_75 + (perc_90 - perc_75) * (2/3), converted_stat, '2K_Ratings'!F425, IF(bbgm_stat &gt;= perc_95, converted_stat * 3, IF(bbgm_stat &gt;= perc_90, converted_stat * 2, IF(bbgm_stat &gt;= perc_85, converted_stat * 1.5, converted_stat)))))</f>
        <v/>
      </c>
      <c r="G425" s="30" t="str">
        <f t="array" ref="G425">IF($A425="", "", LET(bbgm_stat, INDEX(Players!$A424:$P424, MATCH(G$2, Players!$A$1:$P$1, 0)), perc_75, VLOOKUP(G$2, Percentiles!$A$45:$I$59, 6, FALSE), perc_90, VLOOKUP(G$2, Percentiles!$A$45:$I$59, 7, FALSE), perc_95, VLOOKUP(G$2, Percentiles!$A$45:$I$59, 8, FALSE), perc_85, perc_75 + (perc_90 - perc_75) * (2/3), converted_stat, '2K_Ratings'!G425, IF(bbgm_stat &gt;= perc_95, converted_stat * 3, IF(bbgm_stat &gt;= perc_90, converted_stat * 2, IF(bbgm_stat &gt;= perc_85, converted_stat * 1.5, converted_stat)))))</f>
        <v/>
      </c>
      <c r="H425" s="30" t="str">
        <f t="array" ref="H425">IF($A425="", "", LET(bbgm_stat, INDEX(Players!$A424:$P424, MATCH(H$2, Players!$A$1:$P$1, 0)), perc_75, VLOOKUP(H$2, Percentiles!$A$45:$I$59, 6, FALSE), perc_90, VLOOKUP(H$2, Percentiles!$A$45:$I$59, 7, FALSE), perc_95, VLOOKUP(H$2, Percentiles!$A$45:$I$59, 8, FALSE), perc_85, perc_75 + (perc_90 - perc_75) * (2/3), converted_stat, '2K_Ratings'!H425, IF(bbgm_stat &gt;= perc_95, converted_stat * 3, IF(bbgm_stat &gt;= perc_90, converted_stat * 2, IF(bbgm_stat &gt;= perc_85, converted_stat * 1.5, converted_stat)))))</f>
        <v/>
      </c>
      <c r="I425" s="30" t="str">
        <f t="array" ref="I425">IF($A425="", "", LET(bbgm_stat, INDEX(Players!$A424:$P424, MATCH(I$2, Players!$A$1:$P$1, 0)), perc_75, VLOOKUP(I$2, Percentiles!$A$45:$I$59, 6, FALSE), perc_90, VLOOKUP(I$2, Percentiles!$A$45:$I$59, 7, FALSE), perc_95, VLOOKUP(I$2, Percentiles!$A$45:$I$59, 8, FALSE), perc_85, perc_75 + (perc_90 - perc_75) * (2/3), converted_stat, '2K_Ratings'!I425, IF(bbgm_stat &gt;= perc_95, converted_stat * 3, IF(bbgm_stat &gt;= perc_90, converted_stat * 2, IF(bbgm_stat &gt;= perc_85, converted_stat * 1.5, converted_stat)))))</f>
        <v/>
      </c>
      <c r="J425" s="30" t="str">
        <f t="array" ref="J425">IF($A425="", "", LET(bbgm_stat, INDEX(Players!$A424:$P424, MATCH(J$2, Players!$A$1:$P$1, 0)), perc_75, VLOOKUP(J$2, Percentiles!$A$45:$I$59, 6, FALSE), perc_90, VLOOKUP(J$2, Percentiles!$A$45:$I$59, 7, FALSE), perc_95, VLOOKUP(J$2, Percentiles!$A$45:$I$59, 8, FALSE), perc_85, perc_75 + (perc_90 - perc_75) * (2/3), converted_stat, '2K_Ratings'!J425, IF(bbgm_stat &gt;= perc_95, converted_stat * 3, IF(bbgm_stat &gt;= perc_90, converted_stat * 2, IF(bbgm_stat &gt;= perc_85, converted_stat * 1.5, converted_stat)))))</f>
        <v/>
      </c>
      <c r="K425" s="30" t="str">
        <f t="array" ref="K425">IF($A425="", "", LET(bbgm_stat, INDEX(Players!$A424:$P424, MATCH(K$2, Players!$A$1:$P$1, 0)), perc_75, VLOOKUP(K$2, Percentiles!$A$45:$I$59, 6, FALSE), perc_90, VLOOKUP(K$2, Percentiles!$A$45:$I$59, 7, FALSE), perc_95, VLOOKUP(K$2, Percentiles!$A$45:$I$59, 8, FALSE), perc_85, perc_75 + (perc_90 - perc_75) * (2/3), converted_stat, '2K_Ratings'!K425, IF(bbgm_stat &gt;= perc_95, converted_stat * 3, IF(bbgm_stat &gt;= perc_90, converted_stat * 2, IF(bbgm_stat &gt;= perc_85, converted_stat * 1.5, converted_stat)))))</f>
        <v/>
      </c>
      <c r="L425" s="30" t="str">
        <f t="array" ref="L425">IF($A425="", "", LET(bbgm_stat, INDEX(Players!$A424:$P424, MATCH(L$2, Players!$A$1:$P$1, 0)), perc_75, VLOOKUP(L$2, Percentiles!$A$45:$I$59, 6, FALSE), perc_90, VLOOKUP(L$2, Percentiles!$A$45:$I$59, 7, FALSE), perc_95, VLOOKUP(L$2, Percentiles!$A$45:$I$59, 8, FALSE), perc_85, perc_75 + (perc_90 - perc_75) * (2/3), converted_stat, '2K_Ratings'!L425, IF(bbgm_stat &gt;= perc_95, converted_stat * 3, IF(bbgm_stat &gt;= perc_90, converted_stat * 2, IF(bbgm_stat &gt;= perc_85, converted_stat * 1.5, converted_stat)))))</f>
        <v/>
      </c>
      <c r="M425" s="30" t="str">
        <f t="array" ref="M425">IF($A425="", "", LET(bbgm_stat, INDEX(Players!$A424:$P424, MATCH(M$2, Players!$A$1:$P$1, 0)), perc_75, VLOOKUP(M$2, Percentiles!$A$45:$I$59, 6, FALSE), perc_90, VLOOKUP(M$2, Percentiles!$A$45:$I$59, 7, FALSE), perc_95, VLOOKUP(M$2, Percentiles!$A$45:$I$59, 8, FALSE), perc_85, perc_75 + (perc_90 - perc_75) * (2/3), converted_stat, '2K_Ratings'!M425, IF(bbgm_stat &gt;= perc_95, converted_stat * 3, IF(bbgm_stat &gt;= perc_90, converted_stat * 2, IF(bbgm_stat &gt;= perc_85, converted_stat * 1.5, converted_stat)))))</f>
        <v/>
      </c>
      <c r="N425" s="30" t="str">
        <f t="array" ref="N425">IF($A425="", "", LET(bbgm_stat, INDEX(Players!$A424:$P424, MATCH(N$2, Players!$A$1:$P$1, 0)), perc_75, VLOOKUP(N$2, Percentiles!$A$45:$I$59, 6, FALSE), perc_90, VLOOKUP(N$2, Percentiles!$A$45:$I$59, 7, FALSE), perc_95, VLOOKUP(N$2, Percentiles!$A$45:$I$59, 8, FALSE), perc_85, perc_75 + (perc_90 - perc_75) * (2/3), converted_stat, '2K_Ratings'!N425, IF(bbgm_stat &gt;= perc_95, converted_stat * 3, IF(bbgm_stat &gt;= perc_90, converted_stat * 2, IF(bbgm_stat &gt;= perc_85, converted_stat * 1.5, converted_stat)))))</f>
        <v/>
      </c>
      <c r="O425" s="30" t="str">
        <f t="array" ref="O425">IF($A425="", "", LET(bbgm_stat, INDEX(Players!$A424:$P424, MATCH(O$2, Players!$A$1:$P$1, 0)), perc_75, VLOOKUP(O$2, Percentiles!$A$45:$I$59, 6, FALSE), perc_90, VLOOKUP(O$2, Percentiles!$A$45:$I$59, 7, FALSE), perc_95, VLOOKUP(O$2, Percentiles!$A$45:$I$59, 8, FALSE), perc_85, perc_75 + (perc_90 - perc_75) * (2/3), converted_stat, '2K_Ratings'!O425, IF(bbgm_stat &gt;= perc_95, converted_stat * 3, IF(bbgm_stat &gt;= perc_90, converted_stat * 2, IF(bbgm_stat &gt;= perc_85, converted_stat * 1.5, converted_stat)))))</f>
        <v/>
      </c>
      <c r="P425" s="30" t="str">
        <f t="array" ref="P425">IF($A425="", "", LET(bbgm_stat, INDEX(Players!$A424:$P424, MATCH(P$2, Players!$A$1:$P$1, 0)), perc_75, VLOOKUP(P$2, Percentiles!$A$45:$I$59, 6, FALSE), perc_90, VLOOKUP(P$2, Percentiles!$A$45:$I$59, 7, FALSE), perc_95, VLOOKUP(P$2, Percentiles!$A$45:$I$59, 8, FALSE), perc_85, perc_75 + (perc_90 - perc_75) * (2/3), converted_stat, '2K_Ratings'!P425, IF(bbgm_stat &gt;= perc_95, converted_stat * 3, IF(bbgm_stat &gt;= perc_90, converted_stat * 2, IF(bbgm_stat &gt;= perc_85, converted_stat * 1.5, converted_stat)))))</f>
        <v/>
      </c>
      <c r="Q425" s="30" t="str">
        <f t="array" ref="Q425">IF($A425="", "", LET(bbgm_stat, INDEX(Players!$A424:$P424, MATCH(Q$2, Players!$A$1:$P$1, 0)), perc_75, VLOOKUP(Q$2, Percentiles!$A$45:$I$59, 6, FALSE), perc_90, VLOOKUP(Q$2, Percentiles!$A$45:$I$59, 7, FALSE), perc_95, VLOOKUP(Q$2, Percentiles!$A$45:$I$59, 8, FALSE), perc_85, perc_75 + (perc_90 - perc_75) * (2/3), converted_stat, '2K_Ratings'!Q425, IF(bbgm_stat &gt;= perc_95, converted_stat * 3, IF(bbgm_stat &gt;= perc_90, converted_stat * 2, IF(bbgm_stat &gt;= perc_85, converted_stat * 1.5, converted_stat)))))</f>
        <v/>
      </c>
      <c r="R425" s="30" t="str">
        <f t="array" ref="R425">IF($A425="", "", LET(bbgm_stat, INDEX(Players!$A424:$P424, MATCH(R$2, Players!$A$1:$P$1, 0)), perc_75, VLOOKUP(R$2, Percentiles!$A$45:$I$59, 6, FALSE), perc_90, VLOOKUP(R$2, Percentiles!$A$45:$I$59, 7, FALSE), perc_95, VLOOKUP(R$2, Percentiles!$A$45:$I$59, 8, FALSE), perc_85, perc_75 + (perc_90 - perc_75) * (2/3), converted_stat, '2K_Ratings'!R425, IF(bbgm_stat &gt;= perc_95, converted_stat * 3, IF(bbgm_stat &gt;= perc_90, converted_stat * 2, IF(bbgm_stat &gt;= perc_85, converted_stat * 1.5, converted_stat)))))</f>
        <v/>
      </c>
      <c r="S425" s="30" t="str">
        <f t="array" ref="S425">IF($A425="", "", LET(bbgm_stat, INDEX(Players!$A424:$P424, MATCH(S$2, Players!$A$1:$P$1, 0)), perc_75, VLOOKUP(S$2, Percentiles!$A$45:$I$59, 6, FALSE), perc_90, VLOOKUP(S$2, Percentiles!$A$45:$I$59, 7, FALSE), perc_95, VLOOKUP(S$2, Percentiles!$A$45:$I$59, 8, FALSE), perc_85, perc_75 + (perc_90 - perc_75) * (2/3), converted_stat, '2K_Ratings'!S425, IF(bbgm_stat &gt;= perc_95, converted_stat * 3, IF(bbgm_stat &gt;= perc_90, converted_stat * 2, IF(bbgm_stat &gt;= perc_85, converted_stat * 1.5, converted_stat)))))</f>
        <v/>
      </c>
      <c r="T425" s="30" t="str">
        <f t="array" ref="T425">IF($A425="", "", LET(bbgm_stat, INDEX(Players!$A424:$P424, MATCH(T$2, Players!$A$1:$P$1, 0)), perc_75, VLOOKUP(T$2, Percentiles!$A$45:$I$59, 6, FALSE), perc_90, VLOOKUP(T$2, Percentiles!$A$45:$I$59, 7, FALSE), perc_95, VLOOKUP(T$2, Percentiles!$A$45:$I$59, 8, FALSE), perc_85, perc_75 + (perc_90 - perc_75) * (2/3), converted_stat, '2K_Ratings'!T425, IF(bbgm_stat &gt;= perc_95, converted_stat * 3, IF(bbgm_stat &gt;= perc_90, converted_stat * 2, IF(bbgm_stat &gt;= perc_85, converted_stat * 1.5, converted_stat)))))</f>
        <v/>
      </c>
      <c r="U425" s="30" t="str">
        <f t="array" ref="U425">IF($A425="", "", LET(bbgm_stat, INDEX(Players!$A424:$P424, MATCH(U$2, Players!$A$1:$P$1, 0)), perc_75, VLOOKUP(U$2, Percentiles!$A$45:$I$59, 6, FALSE), perc_90, VLOOKUP(U$2, Percentiles!$A$45:$I$59, 7, FALSE), perc_95, VLOOKUP(U$2, Percentiles!$A$45:$I$59, 8, FALSE), perc_85, perc_75 + (perc_90 - perc_75) * (2/3), converted_stat, '2K_Ratings'!U425, IF(bbgm_stat &gt;= perc_95, converted_stat * 3, IF(bbgm_stat &gt;= perc_90, converted_stat * 2, IF(bbgm_stat &gt;= perc_85, converted_stat * 1.5, converted_stat)))))</f>
        <v/>
      </c>
      <c r="V425" s="30" t="str">
        <f t="array" ref="V425">IF($A425="", "", LET(bbgm_stat, INDEX(Players!$A424:$P424, MATCH(V$2, Players!$A$1:$P$1, 0)), perc_75, VLOOKUP(V$2, Percentiles!$A$45:$I$59, 6, FALSE), perc_90, VLOOKUP(V$2, Percentiles!$A$45:$I$59, 7, FALSE), perc_95, VLOOKUP(V$2, Percentiles!$A$45:$I$59, 8, FALSE), perc_85, perc_75 + (perc_90 - perc_75) * (2/3), converted_stat, '2K_Ratings'!V425, IF(bbgm_stat &gt;= perc_95, converted_stat * 3, IF(bbgm_stat &gt;= perc_90, converted_stat * 2, IF(bbgm_stat &gt;= perc_85, converted_stat * 1.5, converted_stat)))))</f>
        <v/>
      </c>
      <c r="W425" s="30" t="str">
        <f t="array" ref="W425">IF($A425="", "", LET(bbgm_stat, INDEX(Players!$A424:$P424, MATCH(W$2, Players!$A$1:$P$1, 0)), perc_75, VLOOKUP(W$2, Percentiles!$A$45:$I$59, 6, FALSE), perc_90, VLOOKUP(W$2, Percentiles!$A$45:$I$59, 7, FALSE), perc_95, VLOOKUP(W$2, Percentiles!$A$45:$I$59, 8, FALSE), perc_85, perc_75 + (perc_90 - perc_75) * (2/3), converted_stat, '2K_Ratings'!W425, IF(bbgm_stat &gt;= perc_95, converted_stat * 3, IF(bbgm_stat &gt;= perc_90, converted_stat * 2, IF(bbgm_stat &gt;= perc_85, converted_stat * 1.5, converted_stat)))))</f>
        <v/>
      </c>
    </row>
    <row r="426">
      <c r="A426" s="30"/>
      <c r="B426" s="30" t="str">
        <f t="array" ref="B426">IF($A426="", "", LET(bbgm_stat, INDEX(Players!$A425:$P425, MATCH(B$2, Players!$A$1:$P$1, 0)), perc_75, VLOOKUP(B$2, Percentiles!$A$45:$I$59, 6, FALSE), perc_90, VLOOKUP(B$2, Percentiles!$A$45:$I$59, 7, FALSE), perc_95, VLOOKUP(B$2, Percentiles!$A$45:$I$59, 8, FALSE), perc_85, perc_75 + (perc_90 - perc_75) * (2/3), converted_stat, '2K_Ratings'!B426, IF(bbgm_stat &gt;= perc_95, converted_stat * 3, IF(bbgm_stat &gt;= perc_90, converted_stat * 2, IF(bbgm_stat &gt;= perc_85, converted_stat * 1.5, converted_stat)))))</f>
        <v/>
      </c>
      <c r="C426" s="30" t="str">
        <f t="array" ref="C426">IF($A426="", "", LET(bbgm_stat, INDEX(Players!$A425:$P425, MATCH(C$2, Players!$A$1:$P$1, 0)), perc_75, VLOOKUP(C$2, Percentiles!$A$45:$I$59, 6, FALSE), perc_90, VLOOKUP(C$2, Percentiles!$A$45:$I$59, 7, FALSE), perc_95, VLOOKUP(C$2, Percentiles!$A$45:$I$59, 8, FALSE), perc_85, perc_75 + (perc_90 - perc_75) * (2/3), converted_stat, '2K_Ratings'!C426, IF(bbgm_stat &gt;= perc_95, converted_stat * 3, IF(bbgm_stat &gt;= perc_90, converted_stat * 2, IF(bbgm_stat &gt;= perc_85, converted_stat * 1.5, converted_stat)))))</f>
        <v/>
      </c>
      <c r="D426" s="30" t="str">
        <f t="array" ref="D426">IF($A426="", "", LET(bbgm_stat, INDEX(Players!$A425:$P425, MATCH(D$2, Players!$A$1:$P$1, 0)), perc_75, VLOOKUP(D$2, Percentiles!$A$45:$I$59, 6, FALSE), perc_90, VLOOKUP(D$2, Percentiles!$A$45:$I$59, 7, FALSE), perc_95, VLOOKUP(D$2, Percentiles!$A$45:$I$59, 8, FALSE), perc_85, perc_75 + (perc_90 - perc_75) * (2/3), converted_stat, '2K_Ratings'!D426, IF(bbgm_stat &gt;= perc_95, converted_stat * 3, IF(bbgm_stat &gt;= perc_90, converted_stat * 2, IF(bbgm_stat &gt;= perc_85, converted_stat * 1.5, converted_stat)))))</f>
        <v/>
      </c>
      <c r="E426" s="30" t="str">
        <f t="array" ref="E426">IF($A426="", "", LET(bbgm_stat, INDEX(Players!$A425:$P425, MATCH(E$2, Players!$A$1:$P$1, 0)), perc_75, VLOOKUP(E$2, Percentiles!$A$45:$I$59, 6, FALSE), perc_90, VLOOKUP(E$2, Percentiles!$A$45:$I$59, 7, FALSE), perc_95, VLOOKUP(E$2, Percentiles!$A$45:$I$59, 8, FALSE), perc_85, perc_75 + (perc_90 - perc_75) * (2/3), converted_stat, '2K_Ratings'!E426, IF(bbgm_stat &gt;= perc_95, converted_stat * 3, IF(bbgm_stat &gt;= perc_90, converted_stat * 2, IF(bbgm_stat &gt;= perc_85, converted_stat * 1.5, converted_stat)))))</f>
        <v/>
      </c>
      <c r="F426" s="30" t="str">
        <f t="array" ref="F426">IF($A426="", "", LET(bbgm_stat, INDEX(Players!$A425:$P425, MATCH(F$2, Players!$A$1:$P$1, 0)), perc_75, VLOOKUP(F$2, Percentiles!$A$45:$I$59, 6, FALSE), perc_90, VLOOKUP(F$2, Percentiles!$A$45:$I$59, 7, FALSE), perc_95, VLOOKUP(F$2, Percentiles!$A$45:$I$59, 8, FALSE), perc_85, perc_75 + (perc_90 - perc_75) * (2/3), converted_stat, '2K_Ratings'!F426, IF(bbgm_stat &gt;= perc_95, converted_stat * 3, IF(bbgm_stat &gt;= perc_90, converted_stat * 2, IF(bbgm_stat &gt;= perc_85, converted_stat * 1.5, converted_stat)))))</f>
        <v/>
      </c>
      <c r="G426" s="30" t="str">
        <f t="array" ref="G426">IF($A426="", "", LET(bbgm_stat, INDEX(Players!$A425:$P425, MATCH(G$2, Players!$A$1:$P$1, 0)), perc_75, VLOOKUP(G$2, Percentiles!$A$45:$I$59, 6, FALSE), perc_90, VLOOKUP(G$2, Percentiles!$A$45:$I$59, 7, FALSE), perc_95, VLOOKUP(G$2, Percentiles!$A$45:$I$59, 8, FALSE), perc_85, perc_75 + (perc_90 - perc_75) * (2/3), converted_stat, '2K_Ratings'!G426, IF(bbgm_stat &gt;= perc_95, converted_stat * 3, IF(bbgm_stat &gt;= perc_90, converted_stat * 2, IF(bbgm_stat &gt;= perc_85, converted_stat * 1.5, converted_stat)))))</f>
        <v/>
      </c>
      <c r="H426" s="30" t="str">
        <f t="array" ref="H426">IF($A426="", "", LET(bbgm_stat, INDEX(Players!$A425:$P425, MATCH(H$2, Players!$A$1:$P$1, 0)), perc_75, VLOOKUP(H$2, Percentiles!$A$45:$I$59, 6, FALSE), perc_90, VLOOKUP(H$2, Percentiles!$A$45:$I$59, 7, FALSE), perc_95, VLOOKUP(H$2, Percentiles!$A$45:$I$59, 8, FALSE), perc_85, perc_75 + (perc_90 - perc_75) * (2/3), converted_stat, '2K_Ratings'!H426, IF(bbgm_stat &gt;= perc_95, converted_stat * 3, IF(bbgm_stat &gt;= perc_90, converted_stat * 2, IF(bbgm_stat &gt;= perc_85, converted_stat * 1.5, converted_stat)))))</f>
        <v/>
      </c>
      <c r="I426" s="30" t="str">
        <f t="array" ref="I426">IF($A426="", "", LET(bbgm_stat, INDEX(Players!$A425:$P425, MATCH(I$2, Players!$A$1:$P$1, 0)), perc_75, VLOOKUP(I$2, Percentiles!$A$45:$I$59, 6, FALSE), perc_90, VLOOKUP(I$2, Percentiles!$A$45:$I$59, 7, FALSE), perc_95, VLOOKUP(I$2, Percentiles!$A$45:$I$59, 8, FALSE), perc_85, perc_75 + (perc_90 - perc_75) * (2/3), converted_stat, '2K_Ratings'!I426, IF(bbgm_stat &gt;= perc_95, converted_stat * 3, IF(bbgm_stat &gt;= perc_90, converted_stat * 2, IF(bbgm_stat &gt;= perc_85, converted_stat * 1.5, converted_stat)))))</f>
        <v/>
      </c>
      <c r="J426" s="30" t="str">
        <f t="array" ref="J426">IF($A426="", "", LET(bbgm_stat, INDEX(Players!$A425:$P425, MATCH(J$2, Players!$A$1:$P$1, 0)), perc_75, VLOOKUP(J$2, Percentiles!$A$45:$I$59, 6, FALSE), perc_90, VLOOKUP(J$2, Percentiles!$A$45:$I$59, 7, FALSE), perc_95, VLOOKUP(J$2, Percentiles!$A$45:$I$59, 8, FALSE), perc_85, perc_75 + (perc_90 - perc_75) * (2/3), converted_stat, '2K_Ratings'!J426, IF(bbgm_stat &gt;= perc_95, converted_stat * 3, IF(bbgm_stat &gt;= perc_90, converted_stat * 2, IF(bbgm_stat &gt;= perc_85, converted_stat * 1.5, converted_stat)))))</f>
        <v/>
      </c>
      <c r="K426" s="30" t="str">
        <f t="array" ref="K426">IF($A426="", "", LET(bbgm_stat, INDEX(Players!$A425:$P425, MATCH(K$2, Players!$A$1:$P$1, 0)), perc_75, VLOOKUP(K$2, Percentiles!$A$45:$I$59, 6, FALSE), perc_90, VLOOKUP(K$2, Percentiles!$A$45:$I$59, 7, FALSE), perc_95, VLOOKUP(K$2, Percentiles!$A$45:$I$59, 8, FALSE), perc_85, perc_75 + (perc_90 - perc_75) * (2/3), converted_stat, '2K_Ratings'!K426, IF(bbgm_stat &gt;= perc_95, converted_stat * 3, IF(bbgm_stat &gt;= perc_90, converted_stat * 2, IF(bbgm_stat &gt;= perc_85, converted_stat * 1.5, converted_stat)))))</f>
        <v/>
      </c>
      <c r="L426" s="30" t="str">
        <f t="array" ref="L426">IF($A426="", "", LET(bbgm_stat, INDEX(Players!$A425:$P425, MATCH(L$2, Players!$A$1:$P$1, 0)), perc_75, VLOOKUP(L$2, Percentiles!$A$45:$I$59, 6, FALSE), perc_90, VLOOKUP(L$2, Percentiles!$A$45:$I$59, 7, FALSE), perc_95, VLOOKUP(L$2, Percentiles!$A$45:$I$59, 8, FALSE), perc_85, perc_75 + (perc_90 - perc_75) * (2/3), converted_stat, '2K_Ratings'!L426, IF(bbgm_stat &gt;= perc_95, converted_stat * 3, IF(bbgm_stat &gt;= perc_90, converted_stat * 2, IF(bbgm_stat &gt;= perc_85, converted_stat * 1.5, converted_stat)))))</f>
        <v/>
      </c>
      <c r="M426" s="30" t="str">
        <f t="array" ref="M426">IF($A426="", "", LET(bbgm_stat, INDEX(Players!$A425:$P425, MATCH(M$2, Players!$A$1:$P$1, 0)), perc_75, VLOOKUP(M$2, Percentiles!$A$45:$I$59, 6, FALSE), perc_90, VLOOKUP(M$2, Percentiles!$A$45:$I$59, 7, FALSE), perc_95, VLOOKUP(M$2, Percentiles!$A$45:$I$59, 8, FALSE), perc_85, perc_75 + (perc_90 - perc_75) * (2/3), converted_stat, '2K_Ratings'!M426, IF(bbgm_stat &gt;= perc_95, converted_stat * 3, IF(bbgm_stat &gt;= perc_90, converted_stat * 2, IF(bbgm_stat &gt;= perc_85, converted_stat * 1.5, converted_stat)))))</f>
        <v/>
      </c>
      <c r="N426" s="30" t="str">
        <f t="array" ref="N426">IF($A426="", "", LET(bbgm_stat, INDEX(Players!$A425:$P425, MATCH(N$2, Players!$A$1:$P$1, 0)), perc_75, VLOOKUP(N$2, Percentiles!$A$45:$I$59, 6, FALSE), perc_90, VLOOKUP(N$2, Percentiles!$A$45:$I$59, 7, FALSE), perc_95, VLOOKUP(N$2, Percentiles!$A$45:$I$59, 8, FALSE), perc_85, perc_75 + (perc_90 - perc_75) * (2/3), converted_stat, '2K_Ratings'!N426, IF(bbgm_stat &gt;= perc_95, converted_stat * 3, IF(bbgm_stat &gt;= perc_90, converted_stat * 2, IF(bbgm_stat &gt;= perc_85, converted_stat * 1.5, converted_stat)))))</f>
        <v/>
      </c>
      <c r="O426" s="30" t="str">
        <f t="array" ref="O426">IF($A426="", "", LET(bbgm_stat, INDEX(Players!$A425:$P425, MATCH(O$2, Players!$A$1:$P$1, 0)), perc_75, VLOOKUP(O$2, Percentiles!$A$45:$I$59, 6, FALSE), perc_90, VLOOKUP(O$2, Percentiles!$A$45:$I$59, 7, FALSE), perc_95, VLOOKUP(O$2, Percentiles!$A$45:$I$59, 8, FALSE), perc_85, perc_75 + (perc_90 - perc_75) * (2/3), converted_stat, '2K_Ratings'!O426, IF(bbgm_stat &gt;= perc_95, converted_stat * 3, IF(bbgm_stat &gt;= perc_90, converted_stat * 2, IF(bbgm_stat &gt;= perc_85, converted_stat * 1.5, converted_stat)))))</f>
        <v/>
      </c>
      <c r="P426" s="30" t="str">
        <f t="array" ref="P426">IF($A426="", "", LET(bbgm_stat, INDEX(Players!$A425:$P425, MATCH(P$2, Players!$A$1:$P$1, 0)), perc_75, VLOOKUP(P$2, Percentiles!$A$45:$I$59, 6, FALSE), perc_90, VLOOKUP(P$2, Percentiles!$A$45:$I$59, 7, FALSE), perc_95, VLOOKUP(P$2, Percentiles!$A$45:$I$59, 8, FALSE), perc_85, perc_75 + (perc_90 - perc_75) * (2/3), converted_stat, '2K_Ratings'!P426, IF(bbgm_stat &gt;= perc_95, converted_stat * 3, IF(bbgm_stat &gt;= perc_90, converted_stat * 2, IF(bbgm_stat &gt;= perc_85, converted_stat * 1.5, converted_stat)))))</f>
        <v/>
      </c>
      <c r="Q426" s="30" t="str">
        <f t="array" ref="Q426">IF($A426="", "", LET(bbgm_stat, INDEX(Players!$A425:$P425, MATCH(Q$2, Players!$A$1:$P$1, 0)), perc_75, VLOOKUP(Q$2, Percentiles!$A$45:$I$59, 6, FALSE), perc_90, VLOOKUP(Q$2, Percentiles!$A$45:$I$59, 7, FALSE), perc_95, VLOOKUP(Q$2, Percentiles!$A$45:$I$59, 8, FALSE), perc_85, perc_75 + (perc_90 - perc_75) * (2/3), converted_stat, '2K_Ratings'!Q426, IF(bbgm_stat &gt;= perc_95, converted_stat * 3, IF(bbgm_stat &gt;= perc_90, converted_stat * 2, IF(bbgm_stat &gt;= perc_85, converted_stat * 1.5, converted_stat)))))</f>
        <v/>
      </c>
      <c r="R426" s="30" t="str">
        <f t="array" ref="R426">IF($A426="", "", LET(bbgm_stat, INDEX(Players!$A425:$P425, MATCH(R$2, Players!$A$1:$P$1, 0)), perc_75, VLOOKUP(R$2, Percentiles!$A$45:$I$59, 6, FALSE), perc_90, VLOOKUP(R$2, Percentiles!$A$45:$I$59, 7, FALSE), perc_95, VLOOKUP(R$2, Percentiles!$A$45:$I$59, 8, FALSE), perc_85, perc_75 + (perc_90 - perc_75) * (2/3), converted_stat, '2K_Ratings'!R426, IF(bbgm_stat &gt;= perc_95, converted_stat * 3, IF(bbgm_stat &gt;= perc_90, converted_stat * 2, IF(bbgm_stat &gt;= perc_85, converted_stat * 1.5, converted_stat)))))</f>
        <v/>
      </c>
      <c r="S426" s="30" t="str">
        <f t="array" ref="S426">IF($A426="", "", LET(bbgm_stat, INDEX(Players!$A425:$P425, MATCH(S$2, Players!$A$1:$P$1, 0)), perc_75, VLOOKUP(S$2, Percentiles!$A$45:$I$59, 6, FALSE), perc_90, VLOOKUP(S$2, Percentiles!$A$45:$I$59, 7, FALSE), perc_95, VLOOKUP(S$2, Percentiles!$A$45:$I$59, 8, FALSE), perc_85, perc_75 + (perc_90 - perc_75) * (2/3), converted_stat, '2K_Ratings'!S426, IF(bbgm_stat &gt;= perc_95, converted_stat * 3, IF(bbgm_stat &gt;= perc_90, converted_stat * 2, IF(bbgm_stat &gt;= perc_85, converted_stat * 1.5, converted_stat)))))</f>
        <v/>
      </c>
      <c r="T426" s="30" t="str">
        <f t="array" ref="T426">IF($A426="", "", LET(bbgm_stat, INDEX(Players!$A425:$P425, MATCH(T$2, Players!$A$1:$P$1, 0)), perc_75, VLOOKUP(T$2, Percentiles!$A$45:$I$59, 6, FALSE), perc_90, VLOOKUP(T$2, Percentiles!$A$45:$I$59, 7, FALSE), perc_95, VLOOKUP(T$2, Percentiles!$A$45:$I$59, 8, FALSE), perc_85, perc_75 + (perc_90 - perc_75) * (2/3), converted_stat, '2K_Ratings'!T426, IF(bbgm_stat &gt;= perc_95, converted_stat * 3, IF(bbgm_stat &gt;= perc_90, converted_stat * 2, IF(bbgm_stat &gt;= perc_85, converted_stat * 1.5, converted_stat)))))</f>
        <v/>
      </c>
      <c r="U426" s="30" t="str">
        <f t="array" ref="U426">IF($A426="", "", LET(bbgm_stat, INDEX(Players!$A425:$P425, MATCH(U$2, Players!$A$1:$P$1, 0)), perc_75, VLOOKUP(U$2, Percentiles!$A$45:$I$59, 6, FALSE), perc_90, VLOOKUP(U$2, Percentiles!$A$45:$I$59, 7, FALSE), perc_95, VLOOKUP(U$2, Percentiles!$A$45:$I$59, 8, FALSE), perc_85, perc_75 + (perc_90 - perc_75) * (2/3), converted_stat, '2K_Ratings'!U426, IF(bbgm_stat &gt;= perc_95, converted_stat * 3, IF(bbgm_stat &gt;= perc_90, converted_stat * 2, IF(bbgm_stat &gt;= perc_85, converted_stat * 1.5, converted_stat)))))</f>
        <v/>
      </c>
      <c r="V426" s="30" t="str">
        <f t="array" ref="V426">IF($A426="", "", LET(bbgm_stat, INDEX(Players!$A425:$P425, MATCH(V$2, Players!$A$1:$P$1, 0)), perc_75, VLOOKUP(V$2, Percentiles!$A$45:$I$59, 6, FALSE), perc_90, VLOOKUP(V$2, Percentiles!$A$45:$I$59, 7, FALSE), perc_95, VLOOKUP(V$2, Percentiles!$A$45:$I$59, 8, FALSE), perc_85, perc_75 + (perc_90 - perc_75) * (2/3), converted_stat, '2K_Ratings'!V426, IF(bbgm_stat &gt;= perc_95, converted_stat * 3, IF(bbgm_stat &gt;= perc_90, converted_stat * 2, IF(bbgm_stat &gt;= perc_85, converted_stat * 1.5, converted_stat)))))</f>
        <v/>
      </c>
      <c r="W426" s="30" t="str">
        <f t="array" ref="W426">IF($A426="", "", LET(bbgm_stat, INDEX(Players!$A425:$P425, MATCH(W$2, Players!$A$1:$P$1, 0)), perc_75, VLOOKUP(W$2, Percentiles!$A$45:$I$59, 6, FALSE), perc_90, VLOOKUP(W$2, Percentiles!$A$45:$I$59, 7, FALSE), perc_95, VLOOKUP(W$2, Percentiles!$A$45:$I$59, 8, FALSE), perc_85, perc_75 + (perc_90 - perc_75) * (2/3), converted_stat, '2K_Ratings'!W426, IF(bbgm_stat &gt;= perc_95, converted_stat * 3, IF(bbgm_stat &gt;= perc_90, converted_stat * 2, IF(bbgm_stat &gt;= perc_85, converted_stat * 1.5, converted_stat)))))</f>
        <v/>
      </c>
    </row>
    <row r="427">
      <c r="A427" s="30"/>
      <c r="B427" s="30" t="str">
        <f t="array" ref="B427">IF($A427="", "", LET(bbgm_stat, INDEX(Players!$A426:$P426, MATCH(B$2, Players!$A$1:$P$1, 0)), perc_75, VLOOKUP(B$2, Percentiles!$A$45:$I$59, 6, FALSE), perc_90, VLOOKUP(B$2, Percentiles!$A$45:$I$59, 7, FALSE), perc_95, VLOOKUP(B$2, Percentiles!$A$45:$I$59, 8, FALSE), perc_85, perc_75 + (perc_90 - perc_75) * (2/3), converted_stat, '2K_Ratings'!B427, IF(bbgm_stat &gt;= perc_95, converted_stat * 3, IF(bbgm_stat &gt;= perc_90, converted_stat * 2, IF(bbgm_stat &gt;= perc_85, converted_stat * 1.5, converted_stat)))))</f>
        <v/>
      </c>
      <c r="C427" s="30" t="str">
        <f t="array" ref="C427">IF($A427="", "", LET(bbgm_stat, INDEX(Players!$A426:$P426, MATCH(C$2, Players!$A$1:$P$1, 0)), perc_75, VLOOKUP(C$2, Percentiles!$A$45:$I$59, 6, FALSE), perc_90, VLOOKUP(C$2, Percentiles!$A$45:$I$59, 7, FALSE), perc_95, VLOOKUP(C$2, Percentiles!$A$45:$I$59, 8, FALSE), perc_85, perc_75 + (perc_90 - perc_75) * (2/3), converted_stat, '2K_Ratings'!C427, IF(bbgm_stat &gt;= perc_95, converted_stat * 3, IF(bbgm_stat &gt;= perc_90, converted_stat * 2, IF(bbgm_stat &gt;= perc_85, converted_stat * 1.5, converted_stat)))))</f>
        <v/>
      </c>
      <c r="D427" s="30" t="str">
        <f t="array" ref="D427">IF($A427="", "", LET(bbgm_stat, INDEX(Players!$A426:$P426, MATCH(D$2, Players!$A$1:$P$1, 0)), perc_75, VLOOKUP(D$2, Percentiles!$A$45:$I$59, 6, FALSE), perc_90, VLOOKUP(D$2, Percentiles!$A$45:$I$59, 7, FALSE), perc_95, VLOOKUP(D$2, Percentiles!$A$45:$I$59, 8, FALSE), perc_85, perc_75 + (perc_90 - perc_75) * (2/3), converted_stat, '2K_Ratings'!D427, IF(bbgm_stat &gt;= perc_95, converted_stat * 3, IF(bbgm_stat &gt;= perc_90, converted_stat * 2, IF(bbgm_stat &gt;= perc_85, converted_stat * 1.5, converted_stat)))))</f>
        <v/>
      </c>
      <c r="E427" s="30" t="str">
        <f t="array" ref="E427">IF($A427="", "", LET(bbgm_stat, INDEX(Players!$A426:$P426, MATCH(E$2, Players!$A$1:$P$1, 0)), perc_75, VLOOKUP(E$2, Percentiles!$A$45:$I$59, 6, FALSE), perc_90, VLOOKUP(E$2, Percentiles!$A$45:$I$59, 7, FALSE), perc_95, VLOOKUP(E$2, Percentiles!$A$45:$I$59, 8, FALSE), perc_85, perc_75 + (perc_90 - perc_75) * (2/3), converted_stat, '2K_Ratings'!E427, IF(bbgm_stat &gt;= perc_95, converted_stat * 3, IF(bbgm_stat &gt;= perc_90, converted_stat * 2, IF(bbgm_stat &gt;= perc_85, converted_stat * 1.5, converted_stat)))))</f>
        <v/>
      </c>
      <c r="F427" s="30" t="str">
        <f t="array" ref="F427">IF($A427="", "", LET(bbgm_stat, INDEX(Players!$A426:$P426, MATCH(F$2, Players!$A$1:$P$1, 0)), perc_75, VLOOKUP(F$2, Percentiles!$A$45:$I$59, 6, FALSE), perc_90, VLOOKUP(F$2, Percentiles!$A$45:$I$59, 7, FALSE), perc_95, VLOOKUP(F$2, Percentiles!$A$45:$I$59, 8, FALSE), perc_85, perc_75 + (perc_90 - perc_75) * (2/3), converted_stat, '2K_Ratings'!F427, IF(bbgm_stat &gt;= perc_95, converted_stat * 3, IF(bbgm_stat &gt;= perc_90, converted_stat * 2, IF(bbgm_stat &gt;= perc_85, converted_stat * 1.5, converted_stat)))))</f>
        <v/>
      </c>
      <c r="G427" s="30" t="str">
        <f t="array" ref="G427">IF($A427="", "", LET(bbgm_stat, INDEX(Players!$A426:$P426, MATCH(G$2, Players!$A$1:$P$1, 0)), perc_75, VLOOKUP(G$2, Percentiles!$A$45:$I$59, 6, FALSE), perc_90, VLOOKUP(G$2, Percentiles!$A$45:$I$59, 7, FALSE), perc_95, VLOOKUP(G$2, Percentiles!$A$45:$I$59, 8, FALSE), perc_85, perc_75 + (perc_90 - perc_75) * (2/3), converted_stat, '2K_Ratings'!G427, IF(bbgm_stat &gt;= perc_95, converted_stat * 3, IF(bbgm_stat &gt;= perc_90, converted_stat * 2, IF(bbgm_stat &gt;= perc_85, converted_stat * 1.5, converted_stat)))))</f>
        <v/>
      </c>
      <c r="H427" s="30" t="str">
        <f t="array" ref="H427">IF($A427="", "", LET(bbgm_stat, INDEX(Players!$A426:$P426, MATCH(H$2, Players!$A$1:$P$1, 0)), perc_75, VLOOKUP(H$2, Percentiles!$A$45:$I$59, 6, FALSE), perc_90, VLOOKUP(H$2, Percentiles!$A$45:$I$59, 7, FALSE), perc_95, VLOOKUP(H$2, Percentiles!$A$45:$I$59, 8, FALSE), perc_85, perc_75 + (perc_90 - perc_75) * (2/3), converted_stat, '2K_Ratings'!H427, IF(bbgm_stat &gt;= perc_95, converted_stat * 3, IF(bbgm_stat &gt;= perc_90, converted_stat * 2, IF(bbgm_stat &gt;= perc_85, converted_stat * 1.5, converted_stat)))))</f>
        <v/>
      </c>
      <c r="I427" s="30" t="str">
        <f t="array" ref="I427">IF($A427="", "", LET(bbgm_stat, INDEX(Players!$A426:$P426, MATCH(I$2, Players!$A$1:$P$1, 0)), perc_75, VLOOKUP(I$2, Percentiles!$A$45:$I$59, 6, FALSE), perc_90, VLOOKUP(I$2, Percentiles!$A$45:$I$59, 7, FALSE), perc_95, VLOOKUP(I$2, Percentiles!$A$45:$I$59, 8, FALSE), perc_85, perc_75 + (perc_90 - perc_75) * (2/3), converted_stat, '2K_Ratings'!I427, IF(bbgm_stat &gt;= perc_95, converted_stat * 3, IF(bbgm_stat &gt;= perc_90, converted_stat * 2, IF(bbgm_stat &gt;= perc_85, converted_stat * 1.5, converted_stat)))))</f>
        <v/>
      </c>
      <c r="J427" s="30" t="str">
        <f t="array" ref="J427">IF($A427="", "", LET(bbgm_stat, INDEX(Players!$A426:$P426, MATCH(J$2, Players!$A$1:$P$1, 0)), perc_75, VLOOKUP(J$2, Percentiles!$A$45:$I$59, 6, FALSE), perc_90, VLOOKUP(J$2, Percentiles!$A$45:$I$59, 7, FALSE), perc_95, VLOOKUP(J$2, Percentiles!$A$45:$I$59, 8, FALSE), perc_85, perc_75 + (perc_90 - perc_75) * (2/3), converted_stat, '2K_Ratings'!J427, IF(bbgm_stat &gt;= perc_95, converted_stat * 3, IF(bbgm_stat &gt;= perc_90, converted_stat * 2, IF(bbgm_stat &gt;= perc_85, converted_stat * 1.5, converted_stat)))))</f>
        <v/>
      </c>
      <c r="K427" s="30" t="str">
        <f t="array" ref="K427">IF($A427="", "", LET(bbgm_stat, INDEX(Players!$A426:$P426, MATCH(K$2, Players!$A$1:$P$1, 0)), perc_75, VLOOKUP(K$2, Percentiles!$A$45:$I$59, 6, FALSE), perc_90, VLOOKUP(K$2, Percentiles!$A$45:$I$59, 7, FALSE), perc_95, VLOOKUP(K$2, Percentiles!$A$45:$I$59, 8, FALSE), perc_85, perc_75 + (perc_90 - perc_75) * (2/3), converted_stat, '2K_Ratings'!K427, IF(bbgm_stat &gt;= perc_95, converted_stat * 3, IF(bbgm_stat &gt;= perc_90, converted_stat * 2, IF(bbgm_stat &gt;= perc_85, converted_stat * 1.5, converted_stat)))))</f>
        <v/>
      </c>
      <c r="L427" s="30" t="str">
        <f t="array" ref="L427">IF($A427="", "", LET(bbgm_stat, INDEX(Players!$A426:$P426, MATCH(L$2, Players!$A$1:$P$1, 0)), perc_75, VLOOKUP(L$2, Percentiles!$A$45:$I$59, 6, FALSE), perc_90, VLOOKUP(L$2, Percentiles!$A$45:$I$59, 7, FALSE), perc_95, VLOOKUP(L$2, Percentiles!$A$45:$I$59, 8, FALSE), perc_85, perc_75 + (perc_90 - perc_75) * (2/3), converted_stat, '2K_Ratings'!L427, IF(bbgm_stat &gt;= perc_95, converted_stat * 3, IF(bbgm_stat &gt;= perc_90, converted_stat * 2, IF(bbgm_stat &gt;= perc_85, converted_stat * 1.5, converted_stat)))))</f>
        <v/>
      </c>
      <c r="M427" s="30" t="str">
        <f t="array" ref="M427">IF($A427="", "", LET(bbgm_stat, INDEX(Players!$A426:$P426, MATCH(M$2, Players!$A$1:$P$1, 0)), perc_75, VLOOKUP(M$2, Percentiles!$A$45:$I$59, 6, FALSE), perc_90, VLOOKUP(M$2, Percentiles!$A$45:$I$59, 7, FALSE), perc_95, VLOOKUP(M$2, Percentiles!$A$45:$I$59, 8, FALSE), perc_85, perc_75 + (perc_90 - perc_75) * (2/3), converted_stat, '2K_Ratings'!M427, IF(bbgm_stat &gt;= perc_95, converted_stat * 3, IF(bbgm_stat &gt;= perc_90, converted_stat * 2, IF(bbgm_stat &gt;= perc_85, converted_stat * 1.5, converted_stat)))))</f>
        <v/>
      </c>
      <c r="N427" s="30" t="str">
        <f t="array" ref="N427">IF($A427="", "", LET(bbgm_stat, INDEX(Players!$A426:$P426, MATCH(N$2, Players!$A$1:$P$1, 0)), perc_75, VLOOKUP(N$2, Percentiles!$A$45:$I$59, 6, FALSE), perc_90, VLOOKUP(N$2, Percentiles!$A$45:$I$59, 7, FALSE), perc_95, VLOOKUP(N$2, Percentiles!$A$45:$I$59, 8, FALSE), perc_85, perc_75 + (perc_90 - perc_75) * (2/3), converted_stat, '2K_Ratings'!N427, IF(bbgm_stat &gt;= perc_95, converted_stat * 3, IF(bbgm_stat &gt;= perc_90, converted_stat * 2, IF(bbgm_stat &gt;= perc_85, converted_stat * 1.5, converted_stat)))))</f>
        <v/>
      </c>
      <c r="O427" s="30" t="str">
        <f t="array" ref="O427">IF($A427="", "", LET(bbgm_stat, INDEX(Players!$A426:$P426, MATCH(O$2, Players!$A$1:$P$1, 0)), perc_75, VLOOKUP(O$2, Percentiles!$A$45:$I$59, 6, FALSE), perc_90, VLOOKUP(O$2, Percentiles!$A$45:$I$59, 7, FALSE), perc_95, VLOOKUP(O$2, Percentiles!$A$45:$I$59, 8, FALSE), perc_85, perc_75 + (perc_90 - perc_75) * (2/3), converted_stat, '2K_Ratings'!O427, IF(bbgm_stat &gt;= perc_95, converted_stat * 3, IF(bbgm_stat &gt;= perc_90, converted_stat * 2, IF(bbgm_stat &gt;= perc_85, converted_stat * 1.5, converted_stat)))))</f>
        <v/>
      </c>
      <c r="P427" s="30" t="str">
        <f t="array" ref="P427">IF($A427="", "", LET(bbgm_stat, INDEX(Players!$A426:$P426, MATCH(P$2, Players!$A$1:$P$1, 0)), perc_75, VLOOKUP(P$2, Percentiles!$A$45:$I$59, 6, FALSE), perc_90, VLOOKUP(P$2, Percentiles!$A$45:$I$59, 7, FALSE), perc_95, VLOOKUP(P$2, Percentiles!$A$45:$I$59, 8, FALSE), perc_85, perc_75 + (perc_90 - perc_75) * (2/3), converted_stat, '2K_Ratings'!P427, IF(bbgm_stat &gt;= perc_95, converted_stat * 3, IF(bbgm_stat &gt;= perc_90, converted_stat * 2, IF(bbgm_stat &gt;= perc_85, converted_stat * 1.5, converted_stat)))))</f>
        <v/>
      </c>
      <c r="Q427" s="30" t="str">
        <f t="array" ref="Q427">IF($A427="", "", LET(bbgm_stat, INDEX(Players!$A426:$P426, MATCH(Q$2, Players!$A$1:$P$1, 0)), perc_75, VLOOKUP(Q$2, Percentiles!$A$45:$I$59, 6, FALSE), perc_90, VLOOKUP(Q$2, Percentiles!$A$45:$I$59, 7, FALSE), perc_95, VLOOKUP(Q$2, Percentiles!$A$45:$I$59, 8, FALSE), perc_85, perc_75 + (perc_90 - perc_75) * (2/3), converted_stat, '2K_Ratings'!Q427, IF(bbgm_stat &gt;= perc_95, converted_stat * 3, IF(bbgm_stat &gt;= perc_90, converted_stat * 2, IF(bbgm_stat &gt;= perc_85, converted_stat * 1.5, converted_stat)))))</f>
        <v/>
      </c>
      <c r="R427" s="30" t="str">
        <f t="array" ref="R427">IF($A427="", "", LET(bbgm_stat, INDEX(Players!$A426:$P426, MATCH(R$2, Players!$A$1:$P$1, 0)), perc_75, VLOOKUP(R$2, Percentiles!$A$45:$I$59, 6, FALSE), perc_90, VLOOKUP(R$2, Percentiles!$A$45:$I$59, 7, FALSE), perc_95, VLOOKUP(R$2, Percentiles!$A$45:$I$59, 8, FALSE), perc_85, perc_75 + (perc_90 - perc_75) * (2/3), converted_stat, '2K_Ratings'!R427, IF(bbgm_stat &gt;= perc_95, converted_stat * 3, IF(bbgm_stat &gt;= perc_90, converted_stat * 2, IF(bbgm_stat &gt;= perc_85, converted_stat * 1.5, converted_stat)))))</f>
        <v/>
      </c>
      <c r="S427" s="30" t="str">
        <f t="array" ref="S427">IF($A427="", "", LET(bbgm_stat, INDEX(Players!$A426:$P426, MATCH(S$2, Players!$A$1:$P$1, 0)), perc_75, VLOOKUP(S$2, Percentiles!$A$45:$I$59, 6, FALSE), perc_90, VLOOKUP(S$2, Percentiles!$A$45:$I$59, 7, FALSE), perc_95, VLOOKUP(S$2, Percentiles!$A$45:$I$59, 8, FALSE), perc_85, perc_75 + (perc_90 - perc_75) * (2/3), converted_stat, '2K_Ratings'!S427, IF(bbgm_stat &gt;= perc_95, converted_stat * 3, IF(bbgm_stat &gt;= perc_90, converted_stat * 2, IF(bbgm_stat &gt;= perc_85, converted_stat * 1.5, converted_stat)))))</f>
        <v/>
      </c>
      <c r="T427" s="30" t="str">
        <f t="array" ref="T427">IF($A427="", "", LET(bbgm_stat, INDEX(Players!$A426:$P426, MATCH(T$2, Players!$A$1:$P$1, 0)), perc_75, VLOOKUP(T$2, Percentiles!$A$45:$I$59, 6, FALSE), perc_90, VLOOKUP(T$2, Percentiles!$A$45:$I$59, 7, FALSE), perc_95, VLOOKUP(T$2, Percentiles!$A$45:$I$59, 8, FALSE), perc_85, perc_75 + (perc_90 - perc_75) * (2/3), converted_stat, '2K_Ratings'!T427, IF(bbgm_stat &gt;= perc_95, converted_stat * 3, IF(bbgm_stat &gt;= perc_90, converted_stat * 2, IF(bbgm_stat &gt;= perc_85, converted_stat * 1.5, converted_stat)))))</f>
        <v/>
      </c>
      <c r="U427" s="30" t="str">
        <f t="array" ref="U427">IF($A427="", "", LET(bbgm_stat, INDEX(Players!$A426:$P426, MATCH(U$2, Players!$A$1:$P$1, 0)), perc_75, VLOOKUP(U$2, Percentiles!$A$45:$I$59, 6, FALSE), perc_90, VLOOKUP(U$2, Percentiles!$A$45:$I$59, 7, FALSE), perc_95, VLOOKUP(U$2, Percentiles!$A$45:$I$59, 8, FALSE), perc_85, perc_75 + (perc_90 - perc_75) * (2/3), converted_stat, '2K_Ratings'!U427, IF(bbgm_stat &gt;= perc_95, converted_stat * 3, IF(bbgm_stat &gt;= perc_90, converted_stat * 2, IF(bbgm_stat &gt;= perc_85, converted_stat * 1.5, converted_stat)))))</f>
        <v/>
      </c>
      <c r="V427" s="30" t="str">
        <f t="array" ref="V427">IF($A427="", "", LET(bbgm_stat, INDEX(Players!$A426:$P426, MATCH(V$2, Players!$A$1:$P$1, 0)), perc_75, VLOOKUP(V$2, Percentiles!$A$45:$I$59, 6, FALSE), perc_90, VLOOKUP(V$2, Percentiles!$A$45:$I$59, 7, FALSE), perc_95, VLOOKUP(V$2, Percentiles!$A$45:$I$59, 8, FALSE), perc_85, perc_75 + (perc_90 - perc_75) * (2/3), converted_stat, '2K_Ratings'!V427, IF(bbgm_stat &gt;= perc_95, converted_stat * 3, IF(bbgm_stat &gt;= perc_90, converted_stat * 2, IF(bbgm_stat &gt;= perc_85, converted_stat * 1.5, converted_stat)))))</f>
        <v/>
      </c>
      <c r="W427" s="30" t="str">
        <f t="array" ref="W427">IF($A427="", "", LET(bbgm_stat, INDEX(Players!$A426:$P426, MATCH(W$2, Players!$A$1:$P$1, 0)), perc_75, VLOOKUP(W$2, Percentiles!$A$45:$I$59, 6, FALSE), perc_90, VLOOKUP(W$2, Percentiles!$A$45:$I$59, 7, FALSE), perc_95, VLOOKUP(W$2, Percentiles!$A$45:$I$59, 8, FALSE), perc_85, perc_75 + (perc_90 - perc_75) * (2/3), converted_stat, '2K_Ratings'!W427, IF(bbgm_stat &gt;= perc_95, converted_stat * 3, IF(bbgm_stat &gt;= perc_90, converted_stat * 2, IF(bbgm_stat &gt;= perc_85, converted_stat * 1.5, converted_stat)))))</f>
        <v/>
      </c>
    </row>
    <row r="428">
      <c r="A428" s="30"/>
      <c r="B428" s="30" t="str">
        <f t="array" ref="B428">IF($A428="", "", LET(bbgm_stat, INDEX(Players!$A427:$P427, MATCH(B$2, Players!$A$1:$P$1, 0)), perc_75, VLOOKUP(B$2, Percentiles!$A$45:$I$59, 6, FALSE), perc_90, VLOOKUP(B$2, Percentiles!$A$45:$I$59, 7, FALSE), perc_95, VLOOKUP(B$2, Percentiles!$A$45:$I$59, 8, FALSE), perc_85, perc_75 + (perc_90 - perc_75) * (2/3), converted_stat, '2K_Ratings'!B428, IF(bbgm_stat &gt;= perc_95, converted_stat * 3, IF(bbgm_stat &gt;= perc_90, converted_stat * 2, IF(bbgm_stat &gt;= perc_85, converted_stat * 1.5, converted_stat)))))</f>
        <v/>
      </c>
      <c r="C428" s="30" t="str">
        <f t="array" ref="C428">IF($A428="", "", LET(bbgm_stat, INDEX(Players!$A427:$P427, MATCH(C$2, Players!$A$1:$P$1, 0)), perc_75, VLOOKUP(C$2, Percentiles!$A$45:$I$59, 6, FALSE), perc_90, VLOOKUP(C$2, Percentiles!$A$45:$I$59, 7, FALSE), perc_95, VLOOKUP(C$2, Percentiles!$A$45:$I$59, 8, FALSE), perc_85, perc_75 + (perc_90 - perc_75) * (2/3), converted_stat, '2K_Ratings'!C428, IF(bbgm_stat &gt;= perc_95, converted_stat * 3, IF(bbgm_stat &gt;= perc_90, converted_stat * 2, IF(bbgm_stat &gt;= perc_85, converted_stat * 1.5, converted_stat)))))</f>
        <v/>
      </c>
      <c r="D428" s="30" t="str">
        <f t="array" ref="D428">IF($A428="", "", LET(bbgm_stat, INDEX(Players!$A427:$P427, MATCH(D$2, Players!$A$1:$P$1, 0)), perc_75, VLOOKUP(D$2, Percentiles!$A$45:$I$59, 6, FALSE), perc_90, VLOOKUP(D$2, Percentiles!$A$45:$I$59, 7, FALSE), perc_95, VLOOKUP(D$2, Percentiles!$A$45:$I$59, 8, FALSE), perc_85, perc_75 + (perc_90 - perc_75) * (2/3), converted_stat, '2K_Ratings'!D428, IF(bbgm_stat &gt;= perc_95, converted_stat * 3, IF(bbgm_stat &gt;= perc_90, converted_stat * 2, IF(bbgm_stat &gt;= perc_85, converted_stat * 1.5, converted_stat)))))</f>
        <v/>
      </c>
      <c r="E428" s="30" t="str">
        <f t="array" ref="E428">IF($A428="", "", LET(bbgm_stat, INDEX(Players!$A427:$P427, MATCH(E$2, Players!$A$1:$P$1, 0)), perc_75, VLOOKUP(E$2, Percentiles!$A$45:$I$59, 6, FALSE), perc_90, VLOOKUP(E$2, Percentiles!$A$45:$I$59, 7, FALSE), perc_95, VLOOKUP(E$2, Percentiles!$A$45:$I$59, 8, FALSE), perc_85, perc_75 + (perc_90 - perc_75) * (2/3), converted_stat, '2K_Ratings'!E428, IF(bbgm_stat &gt;= perc_95, converted_stat * 3, IF(bbgm_stat &gt;= perc_90, converted_stat * 2, IF(bbgm_stat &gt;= perc_85, converted_stat * 1.5, converted_stat)))))</f>
        <v/>
      </c>
      <c r="F428" s="30" t="str">
        <f t="array" ref="F428">IF($A428="", "", LET(bbgm_stat, INDEX(Players!$A427:$P427, MATCH(F$2, Players!$A$1:$P$1, 0)), perc_75, VLOOKUP(F$2, Percentiles!$A$45:$I$59, 6, FALSE), perc_90, VLOOKUP(F$2, Percentiles!$A$45:$I$59, 7, FALSE), perc_95, VLOOKUP(F$2, Percentiles!$A$45:$I$59, 8, FALSE), perc_85, perc_75 + (perc_90 - perc_75) * (2/3), converted_stat, '2K_Ratings'!F428, IF(bbgm_stat &gt;= perc_95, converted_stat * 3, IF(bbgm_stat &gt;= perc_90, converted_stat * 2, IF(bbgm_stat &gt;= perc_85, converted_stat * 1.5, converted_stat)))))</f>
        <v/>
      </c>
      <c r="G428" s="30" t="str">
        <f t="array" ref="G428">IF($A428="", "", LET(bbgm_stat, INDEX(Players!$A427:$P427, MATCH(G$2, Players!$A$1:$P$1, 0)), perc_75, VLOOKUP(G$2, Percentiles!$A$45:$I$59, 6, FALSE), perc_90, VLOOKUP(G$2, Percentiles!$A$45:$I$59, 7, FALSE), perc_95, VLOOKUP(G$2, Percentiles!$A$45:$I$59, 8, FALSE), perc_85, perc_75 + (perc_90 - perc_75) * (2/3), converted_stat, '2K_Ratings'!G428, IF(bbgm_stat &gt;= perc_95, converted_stat * 3, IF(bbgm_stat &gt;= perc_90, converted_stat * 2, IF(bbgm_stat &gt;= perc_85, converted_stat * 1.5, converted_stat)))))</f>
        <v/>
      </c>
      <c r="H428" s="30" t="str">
        <f t="array" ref="H428">IF($A428="", "", LET(bbgm_stat, INDEX(Players!$A427:$P427, MATCH(H$2, Players!$A$1:$P$1, 0)), perc_75, VLOOKUP(H$2, Percentiles!$A$45:$I$59, 6, FALSE), perc_90, VLOOKUP(H$2, Percentiles!$A$45:$I$59, 7, FALSE), perc_95, VLOOKUP(H$2, Percentiles!$A$45:$I$59, 8, FALSE), perc_85, perc_75 + (perc_90 - perc_75) * (2/3), converted_stat, '2K_Ratings'!H428, IF(bbgm_stat &gt;= perc_95, converted_stat * 3, IF(bbgm_stat &gt;= perc_90, converted_stat * 2, IF(bbgm_stat &gt;= perc_85, converted_stat * 1.5, converted_stat)))))</f>
        <v/>
      </c>
      <c r="I428" s="30" t="str">
        <f t="array" ref="I428">IF($A428="", "", LET(bbgm_stat, INDEX(Players!$A427:$P427, MATCH(I$2, Players!$A$1:$P$1, 0)), perc_75, VLOOKUP(I$2, Percentiles!$A$45:$I$59, 6, FALSE), perc_90, VLOOKUP(I$2, Percentiles!$A$45:$I$59, 7, FALSE), perc_95, VLOOKUP(I$2, Percentiles!$A$45:$I$59, 8, FALSE), perc_85, perc_75 + (perc_90 - perc_75) * (2/3), converted_stat, '2K_Ratings'!I428, IF(bbgm_stat &gt;= perc_95, converted_stat * 3, IF(bbgm_stat &gt;= perc_90, converted_stat * 2, IF(bbgm_stat &gt;= perc_85, converted_stat * 1.5, converted_stat)))))</f>
        <v/>
      </c>
      <c r="J428" s="30" t="str">
        <f t="array" ref="J428">IF($A428="", "", LET(bbgm_stat, INDEX(Players!$A427:$P427, MATCH(J$2, Players!$A$1:$P$1, 0)), perc_75, VLOOKUP(J$2, Percentiles!$A$45:$I$59, 6, FALSE), perc_90, VLOOKUP(J$2, Percentiles!$A$45:$I$59, 7, FALSE), perc_95, VLOOKUP(J$2, Percentiles!$A$45:$I$59, 8, FALSE), perc_85, perc_75 + (perc_90 - perc_75) * (2/3), converted_stat, '2K_Ratings'!J428, IF(bbgm_stat &gt;= perc_95, converted_stat * 3, IF(bbgm_stat &gt;= perc_90, converted_stat * 2, IF(bbgm_stat &gt;= perc_85, converted_stat * 1.5, converted_stat)))))</f>
        <v/>
      </c>
      <c r="K428" s="30" t="str">
        <f t="array" ref="K428">IF($A428="", "", LET(bbgm_stat, INDEX(Players!$A427:$P427, MATCH(K$2, Players!$A$1:$P$1, 0)), perc_75, VLOOKUP(K$2, Percentiles!$A$45:$I$59, 6, FALSE), perc_90, VLOOKUP(K$2, Percentiles!$A$45:$I$59, 7, FALSE), perc_95, VLOOKUP(K$2, Percentiles!$A$45:$I$59, 8, FALSE), perc_85, perc_75 + (perc_90 - perc_75) * (2/3), converted_stat, '2K_Ratings'!K428, IF(bbgm_stat &gt;= perc_95, converted_stat * 3, IF(bbgm_stat &gt;= perc_90, converted_stat * 2, IF(bbgm_stat &gt;= perc_85, converted_stat * 1.5, converted_stat)))))</f>
        <v/>
      </c>
      <c r="L428" s="30" t="str">
        <f t="array" ref="L428">IF($A428="", "", LET(bbgm_stat, INDEX(Players!$A427:$P427, MATCH(L$2, Players!$A$1:$P$1, 0)), perc_75, VLOOKUP(L$2, Percentiles!$A$45:$I$59, 6, FALSE), perc_90, VLOOKUP(L$2, Percentiles!$A$45:$I$59, 7, FALSE), perc_95, VLOOKUP(L$2, Percentiles!$A$45:$I$59, 8, FALSE), perc_85, perc_75 + (perc_90 - perc_75) * (2/3), converted_stat, '2K_Ratings'!L428, IF(bbgm_stat &gt;= perc_95, converted_stat * 3, IF(bbgm_stat &gt;= perc_90, converted_stat * 2, IF(bbgm_stat &gt;= perc_85, converted_stat * 1.5, converted_stat)))))</f>
        <v/>
      </c>
      <c r="M428" s="30" t="str">
        <f t="array" ref="M428">IF($A428="", "", LET(bbgm_stat, INDEX(Players!$A427:$P427, MATCH(M$2, Players!$A$1:$P$1, 0)), perc_75, VLOOKUP(M$2, Percentiles!$A$45:$I$59, 6, FALSE), perc_90, VLOOKUP(M$2, Percentiles!$A$45:$I$59, 7, FALSE), perc_95, VLOOKUP(M$2, Percentiles!$A$45:$I$59, 8, FALSE), perc_85, perc_75 + (perc_90 - perc_75) * (2/3), converted_stat, '2K_Ratings'!M428, IF(bbgm_stat &gt;= perc_95, converted_stat * 3, IF(bbgm_stat &gt;= perc_90, converted_stat * 2, IF(bbgm_stat &gt;= perc_85, converted_stat * 1.5, converted_stat)))))</f>
        <v/>
      </c>
      <c r="N428" s="30" t="str">
        <f t="array" ref="N428">IF($A428="", "", LET(bbgm_stat, INDEX(Players!$A427:$P427, MATCH(N$2, Players!$A$1:$P$1, 0)), perc_75, VLOOKUP(N$2, Percentiles!$A$45:$I$59, 6, FALSE), perc_90, VLOOKUP(N$2, Percentiles!$A$45:$I$59, 7, FALSE), perc_95, VLOOKUP(N$2, Percentiles!$A$45:$I$59, 8, FALSE), perc_85, perc_75 + (perc_90 - perc_75) * (2/3), converted_stat, '2K_Ratings'!N428, IF(bbgm_stat &gt;= perc_95, converted_stat * 3, IF(bbgm_stat &gt;= perc_90, converted_stat * 2, IF(bbgm_stat &gt;= perc_85, converted_stat * 1.5, converted_stat)))))</f>
        <v/>
      </c>
      <c r="O428" s="30" t="str">
        <f t="array" ref="O428">IF($A428="", "", LET(bbgm_stat, INDEX(Players!$A427:$P427, MATCH(O$2, Players!$A$1:$P$1, 0)), perc_75, VLOOKUP(O$2, Percentiles!$A$45:$I$59, 6, FALSE), perc_90, VLOOKUP(O$2, Percentiles!$A$45:$I$59, 7, FALSE), perc_95, VLOOKUP(O$2, Percentiles!$A$45:$I$59, 8, FALSE), perc_85, perc_75 + (perc_90 - perc_75) * (2/3), converted_stat, '2K_Ratings'!O428, IF(bbgm_stat &gt;= perc_95, converted_stat * 3, IF(bbgm_stat &gt;= perc_90, converted_stat * 2, IF(bbgm_stat &gt;= perc_85, converted_stat * 1.5, converted_stat)))))</f>
        <v/>
      </c>
      <c r="P428" s="30" t="str">
        <f t="array" ref="P428">IF($A428="", "", LET(bbgm_stat, INDEX(Players!$A427:$P427, MATCH(P$2, Players!$A$1:$P$1, 0)), perc_75, VLOOKUP(P$2, Percentiles!$A$45:$I$59, 6, FALSE), perc_90, VLOOKUP(P$2, Percentiles!$A$45:$I$59, 7, FALSE), perc_95, VLOOKUP(P$2, Percentiles!$A$45:$I$59, 8, FALSE), perc_85, perc_75 + (perc_90 - perc_75) * (2/3), converted_stat, '2K_Ratings'!P428, IF(bbgm_stat &gt;= perc_95, converted_stat * 3, IF(bbgm_stat &gt;= perc_90, converted_stat * 2, IF(bbgm_stat &gt;= perc_85, converted_stat * 1.5, converted_stat)))))</f>
        <v/>
      </c>
      <c r="Q428" s="30" t="str">
        <f t="array" ref="Q428">IF($A428="", "", LET(bbgm_stat, INDEX(Players!$A427:$P427, MATCH(Q$2, Players!$A$1:$P$1, 0)), perc_75, VLOOKUP(Q$2, Percentiles!$A$45:$I$59, 6, FALSE), perc_90, VLOOKUP(Q$2, Percentiles!$A$45:$I$59, 7, FALSE), perc_95, VLOOKUP(Q$2, Percentiles!$A$45:$I$59, 8, FALSE), perc_85, perc_75 + (perc_90 - perc_75) * (2/3), converted_stat, '2K_Ratings'!Q428, IF(bbgm_stat &gt;= perc_95, converted_stat * 3, IF(bbgm_stat &gt;= perc_90, converted_stat * 2, IF(bbgm_stat &gt;= perc_85, converted_stat * 1.5, converted_stat)))))</f>
        <v/>
      </c>
      <c r="R428" s="30" t="str">
        <f t="array" ref="R428">IF($A428="", "", LET(bbgm_stat, INDEX(Players!$A427:$P427, MATCH(R$2, Players!$A$1:$P$1, 0)), perc_75, VLOOKUP(R$2, Percentiles!$A$45:$I$59, 6, FALSE), perc_90, VLOOKUP(R$2, Percentiles!$A$45:$I$59, 7, FALSE), perc_95, VLOOKUP(R$2, Percentiles!$A$45:$I$59, 8, FALSE), perc_85, perc_75 + (perc_90 - perc_75) * (2/3), converted_stat, '2K_Ratings'!R428, IF(bbgm_stat &gt;= perc_95, converted_stat * 3, IF(bbgm_stat &gt;= perc_90, converted_stat * 2, IF(bbgm_stat &gt;= perc_85, converted_stat * 1.5, converted_stat)))))</f>
        <v/>
      </c>
      <c r="S428" s="30" t="str">
        <f t="array" ref="S428">IF($A428="", "", LET(bbgm_stat, INDEX(Players!$A427:$P427, MATCH(S$2, Players!$A$1:$P$1, 0)), perc_75, VLOOKUP(S$2, Percentiles!$A$45:$I$59, 6, FALSE), perc_90, VLOOKUP(S$2, Percentiles!$A$45:$I$59, 7, FALSE), perc_95, VLOOKUP(S$2, Percentiles!$A$45:$I$59, 8, FALSE), perc_85, perc_75 + (perc_90 - perc_75) * (2/3), converted_stat, '2K_Ratings'!S428, IF(bbgm_stat &gt;= perc_95, converted_stat * 3, IF(bbgm_stat &gt;= perc_90, converted_stat * 2, IF(bbgm_stat &gt;= perc_85, converted_stat * 1.5, converted_stat)))))</f>
        <v/>
      </c>
      <c r="T428" s="30" t="str">
        <f t="array" ref="T428">IF($A428="", "", LET(bbgm_stat, INDEX(Players!$A427:$P427, MATCH(T$2, Players!$A$1:$P$1, 0)), perc_75, VLOOKUP(T$2, Percentiles!$A$45:$I$59, 6, FALSE), perc_90, VLOOKUP(T$2, Percentiles!$A$45:$I$59, 7, FALSE), perc_95, VLOOKUP(T$2, Percentiles!$A$45:$I$59, 8, FALSE), perc_85, perc_75 + (perc_90 - perc_75) * (2/3), converted_stat, '2K_Ratings'!T428, IF(bbgm_stat &gt;= perc_95, converted_stat * 3, IF(bbgm_stat &gt;= perc_90, converted_stat * 2, IF(bbgm_stat &gt;= perc_85, converted_stat * 1.5, converted_stat)))))</f>
        <v/>
      </c>
      <c r="U428" s="30" t="str">
        <f t="array" ref="U428">IF($A428="", "", LET(bbgm_stat, INDEX(Players!$A427:$P427, MATCH(U$2, Players!$A$1:$P$1, 0)), perc_75, VLOOKUP(U$2, Percentiles!$A$45:$I$59, 6, FALSE), perc_90, VLOOKUP(U$2, Percentiles!$A$45:$I$59, 7, FALSE), perc_95, VLOOKUP(U$2, Percentiles!$A$45:$I$59, 8, FALSE), perc_85, perc_75 + (perc_90 - perc_75) * (2/3), converted_stat, '2K_Ratings'!U428, IF(bbgm_stat &gt;= perc_95, converted_stat * 3, IF(bbgm_stat &gt;= perc_90, converted_stat * 2, IF(bbgm_stat &gt;= perc_85, converted_stat * 1.5, converted_stat)))))</f>
        <v/>
      </c>
      <c r="V428" s="30" t="str">
        <f t="array" ref="V428">IF($A428="", "", LET(bbgm_stat, INDEX(Players!$A427:$P427, MATCH(V$2, Players!$A$1:$P$1, 0)), perc_75, VLOOKUP(V$2, Percentiles!$A$45:$I$59, 6, FALSE), perc_90, VLOOKUP(V$2, Percentiles!$A$45:$I$59, 7, FALSE), perc_95, VLOOKUP(V$2, Percentiles!$A$45:$I$59, 8, FALSE), perc_85, perc_75 + (perc_90 - perc_75) * (2/3), converted_stat, '2K_Ratings'!V428, IF(bbgm_stat &gt;= perc_95, converted_stat * 3, IF(bbgm_stat &gt;= perc_90, converted_stat * 2, IF(bbgm_stat &gt;= perc_85, converted_stat * 1.5, converted_stat)))))</f>
        <v/>
      </c>
      <c r="W428" s="30" t="str">
        <f t="array" ref="W428">IF($A428="", "", LET(bbgm_stat, INDEX(Players!$A427:$P427, MATCH(W$2, Players!$A$1:$P$1, 0)), perc_75, VLOOKUP(W$2, Percentiles!$A$45:$I$59, 6, FALSE), perc_90, VLOOKUP(W$2, Percentiles!$A$45:$I$59, 7, FALSE), perc_95, VLOOKUP(W$2, Percentiles!$A$45:$I$59, 8, FALSE), perc_85, perc_75 + (perc_90 - perc_75) * (2/3), converted_stat, '2K_Ratings'!W428, IF(bbgm_stat &gt;= perc_95, converted_stat * 3, IF(bbgm_stat &gt;= perc_90, converted_stat * 2, IF(bbgm_stat &gt;= perc_85, converted_stat * 1.5, converted_stat)))))</f>
        <v/>
      </c>
    </row>
    <row r="429">
      <c r="A429" s="30"/>
      <c r="B429" s="30" t="str">
        <f t="array" ref="B429">IF($A429="", "", LET(bbgm_stat, INDEX(Players!$A428:$P428, MATCH(B$2, Players!$A$1:$P$1, 0)), perc_75, VLOOKUP(B$2, Percentiles!$A$45:$I$59, 6, FALSE), perc_90, VLOOKUP(B$2, Percentiles!$A$45:$I$59, 7, FALSE), perc_95, VLOOKUP(B$2, Percentiles!$A$45:$I$59, 8, FALSE), perc_85, perc_75 + (perc_90 - perc_75) * (2/3), converted_stat, '2K_Ratings'!B429, IF(bbgm_stat &gt;= perc_95, converted_stat * 3, IF(bbgm_stat &gt;= perc_90, converted_stat * 2, IF(bbgm_stat &gt;= perc_85, converted_stat * 1.5, converted_stat)))))</f>
        <v/>
      </c>
      <c r="C429" s="30" t="str">
        <f t="array" ref="C429">IF($A429="", "", LET(bbgm_stat, INDEX(Players!$A428:$P428, MATCH(C$2, Players!$A$1:$P$1, 0)), perc_75, VLOOKUP(C$2, Percentiles!$A$45:$I$59, 6, FALSE), perc_90, VLOOKUP(C$2, Percentiles!$A$45:$I$59, 7, FALSE), perc_95, VLOOKUP(C$2, Percentiles!$A$45:$I$59, 8, FALSE), perc_85, perc_75 + (perc_90 - perc_75) * (2/3), converted_stat, '2K_Ratings'!C429, IF(bbgm_stat &gt;= perc_95, converted_stat * 3, IF(bbgm_stat &gt;= perc_90, converted_stat * 2, IF(bbgm_stat &gt;= perc_85, converted_stat * 1.5, converted_stat)))))</f>
        <v/>
      </c>
      <c r="D429" s="30" t="str">
        <f t="array" ref="D429">IF($A429="", "", LET(bbgm_stat, INDEX(Players!$A428:$P428, MATCH(D$2, Players!$A$1:$P$1, 0)), perc_75, VLOOKUP(D$2, Percentiles!$A$45:$I$59, 6, FALSE), perc_90, VLOOKUP(D$2, Percentiles!$A$45:$I$59, 7, FALSE), perc_95, VLOOKUP(D$2, Percentiles!$A$45:$I$59, 8, FALSE), perc_85, perc_75 + (perc_90 - perc_75) * (2/3), converted_stat, '2K_Ratings'!D429, IF(bbgm_stat &gt;= perc_95, converted_stat * 3, IF(bbgm_stat &gt;= perc_90, converted_stat * 2, IF(bbgm_stat &gt;= perc_85, converted_stat * 1.5, converted_stat)))))</f>
        <v/>
      </c>
      <c r="E429" s="30" t="str">
        <f t="array" ref="E429">IF($A429="", "", LET(bbgm_stat, INDEX(Players!$A428:$P428, MATCH(E$2, Players!$A$1:$P$1, 0)), perc_75, VLOOKUP(E$2, Percentiles!$A$45:$I$59, 6, FALSE), perc_90, VLOOKUP(E$2, Percentiles!$A$45:$I$59, 7, FALSE), perc_95, VLOOKUP(E$2, Percentiles!$A$45:$I$59, 8, FALSE), perc_85, perc_75 + (perc_90 - perc_75) * (2/3), converted_stat, '2K_Ratings'!E429, IF(bbgm_stat &gt;= perc_95, converted_stat * 3, IF(bbgm_stat &gt;= perc_90, converted_stat * 2, IF(bbgm_stat &gt;= perc_85, converted_stat * 1.5, converted_stat)))))</f>
        <v/>
      </c>
      <c r="F429" s="30" t="str">
        <f t="array" ref="F429">IF($A429="", "", LET(bbgm_stat, INDEX(Players!$A428:$P428, MATCH(F$2, Players!$A$1:$P$1, 0)), perc_75, VLOOKUP(F$2, Percentiles!$A$45:$I$59, 6, FALSE), perc_90, VLOOKUP(F$2, Percentiles!$A$45:$I$59, 7, FALSE), perc_95, VLOOKUP(F$2, Percentiles!$A$45:$I$59, 8, FALSE), perc_85, perc_75 + (perc_90 - perc_75) * (2/3), converted_stat, '2K_Ratings'!F429, IF(bbgm_stat &gt;= perc_95, converted_stat * 3, IF(bbgm_stat &gt;= perc_90, converted_stat * 2, IF(bbgm_stat &gt;= perc_85, converted_stat * 1.5, converted_stat)))))</f>
        <v/>
      </c>
      <c r="G429" s="30" t="str">
        <f t="array" ref="G429">IF($A429="", "", LET(bbgm_stat, INDEX(Players!$A428:$P428, MATCH(G$2, Players!$A$1:$P$1, 0)), perc_75, VLOOKUP(G$2, Percentiles!$A$45:$I$59, 6, FALSE), perc_90, VLOOKUP(G$2, Percentiles!$A$45:$I$59, 7, FALSE), perc_95, VLOOKUP(G$2, Percentiles!$A$45:$I$59, 8, FALSE), perc_85, perc_75 + (perc_90 - perc_75) * (2/3), converted_stat, '2K_Ratings'!G429, IF(bbgm_stat &gt;= perc_95, converted_stat * 3, IF(bbgm_stat &gt;= perc_90, converted_stat * 2, IF(bbgm_stat &gt;= perc_85, converted_stat * 1.5, converted_stat)))))</f>
        <v/>
      </c>
      <c r="H429" s="30" t="str">
        <f t="array" ref="H429">IF($A429="", "", LET(bbgm_stat, INDEX(Players!$A428:$P428, MATCH(H$2, Players!$A$1:$P$1, 0)), perc_75, VLOOKUP(H$2, Percentiles!$A$45:$I$59, 6, FALSE), perc_90, VLOOKUP(H$2, Percentiles!$A$45:$I$59, 7, FALSE), perc_95, VLOOKUP(H$2, Percentiles!$A$45:$I$59, 8, FALSE), perc_85, perc_75 + (perc_90 - perc_75) * (2/3), converted_stat, '2K_Ratings'!H429, IF(bbgm_stat &gt;= perc_95, converted_stat * 3, IF(bbgm_stat &gt;= perc_90, converted_stat * 2, IF(bbgm_stat &gt;= perc_85, converted_stat * 1.5, converted_stat)))))</f>
        <v/>
      </c>
      <c r="I429" s="30" t="str">
        <f t="array" ref="I429">IF($A429="", "", LET(bbgm_stat, INDEX(Players!$A428:$P428, MATCH(I$2, Players!$A$1:$P$1, 0)), perc_75, VLOOKUP(I$2, Percentiles!$A$45:$I$59, 6, FALSE), perc_90, VLOOKUP(I$2, Percentiles!$A$45:$I$59, 7, FALSE), perc_95, VLOOKUP(I$2, Percentiles!$A$45:$I$59, 8, FALSE), perc_85, perc_75 + (perc_90 - perc_75) * (2/3), converted_stat, '2K_Ratings'!I429, IF(bbgm_stat &gt;= perc_95, converted_stat * 3, IF(bbgm_stat &gt;= perc_90, converted_stat * 2, IF(bbgm_stat &gt;= perc_85, converted_stat * 1.5, converted_stat)))))</f>
        <v/>
      </c>
      <c r="J429" s="30" t="str">
        <f t="array" ref="J429">IF($A429="", "", LET(bbgm_stat, INDEX(Players!$A428:$P428, MATCH(J$2, Players!$A$1:$P$1, 0)), perc_75, VLOOKUP(J$2, Percentiles!$A$45:$I$59, 6, FALSE), perc_90, VLOOKUP(J$2, Percentiles!$A$45:$I$59, 7, FALSE), perc_95, VLOOKUP(J$2, Percentiles!$A$45:$I$59, 8, FALSE), perc_85, perc_75 + (perc_90 - perc_75) * (2/3), converted_stat, '2K_Ratings'!J429, IF(bbgm_stat &gt;= perc_95, converted_stat * 3, IF(bbgm_stat &gt;= perc_90, converted_stat * 2, IF(bbgm_stat &gt;= perc_85, converted_stat * 1.5, converted_stat)))))</f>
        <v/>
      </c>
      <c r="K429" s="30" t="str">
        <f t="array" ref="K429">IF($A429="", "", LET(bbgm_stat, INDEX(Players!$A428:$P428, MATCH(K$2, Players!$A$1:$P$1, 0)), perc_75, VLOOKUP(K$2, Percentiles!$A$45:$I$59, 6, FALSE), perc_90, VLOOKUP(K$2, Percentiles!$A$45:$I$59, 7, FALSE), perc_95, VLOOKUP(K$2, Percentiles!$A$45:$I$59, 8, FALSE), perc_85, perc_75 + (perc_90 - perc_75) * (2/3), converted_stat, '2K_Ratings'!K429, IF(bbgm_stat &gt;= perc_95, converted_stat * 3, IF(bbgm_stat &gt;= perc_90, converted_stat * 2, IF(bbgm_stat &gt;= perc_85, converted_stat * 1.5, converted_stat)))))</f>
        <v/>
      </c>
      <c r="L429" s="30" t="str">
        <f t="array" ref="L429">IF($A429="", "", LET(bbgm_stat, INDEX(Players!$A428:$P428, MATCH(L$2, Players!$A$1:$P$1, 0)), perc_75, VLOOKUP(L$2, Percentiles!$A$45:$I$59, 6, FALSE), perc_90, VLOOKUP(L$2, Percentiles!$A$45:$I$59, 7, FALSE), perc_95, VLOOKUP(L$2, Percentiles!$A$45:$I$59, 8, FALSE), perc_85, perc_75 + (perc_90 - perc_75) * (2/3), converted_stat, '2K_Ratings'!L429, IF(bbgm_stat &gt;= perc_95, converted_stat * 3, IF(bbgm_stat &gt;= perc_90, converted_stat * 2, IF(bbgm_stat &gt;= perc_85, converted_stat * 1.5, converted_stat)))))</f>
        <v/>
      </c>
      <c r="M429" s="30" t="str">
        <f t="array" ref="M429">IF($A429="", "", LET(bbgm_stat, INDEX(Players!$A428:$P428, MATCH(M$2, Players!$A$1:$P$1, 0)), perc_75, VLOOKUP(M$2, Percentiles!$A$45:$I$59, 6, FALSE), perc_90, VLOOKUP(M$2, Percentiles!$A$45:$I$59, 7, FALSE), perc_95, VLOOKUP(M$2, Percentiles!$A$45:$I$59, 8, FALSE), perc_85, perc_75 + (perc_90 - perc_75) * (2/3), converted_stat, '2K_Ratings'!M429, IF(bbgm_stat &gt;= perc_95, converted_stat * 3, IF(bbgm_stat &gt;= perc_90, converted_stat * 2, IF(bbgm_stat &gt;= perc_85, converted_stat * 1.5, converted_stat)))))</f>
        <v/>
      </c>
      <c r="N429" s="30" t="str">
        <f t="array" ref="N429">IF($A429="", "", LET(bbgm_stat, INDEX(Players!$A428:$P428, MATCH(N$2, Players!$A$1:$P$1, 0)), perc_75, VLOOKUP(N$2, Percentiles!$A$45:$I$59, 6, FALSE), perc_90, VLOOKUP(N$2, Percentiles!$A$45:$I$59, 7, FALSE), perc_95, VLOOKUP(N$2, Percentiles!$A$45:$I$59, 8, FALSE), perc_85, perc_75 + (perc_90 - perc_75) * (2/3), converted_stat, '2K_Ratings'!N429, IF(bbgm_stat &gt;= perc_95, converted_stat * 3, IF(bbgm_stat &gt;= perc_90, converted_stat * 2, IF(bbgm_stat &gt;= perc_85, converted_stat * 1.5, converted_stat)))))</f>
        <v/>
      </c>
      <c r="O429" s="30" t="str">
        <f t="array" ref="O429">IF($A429="", "", LET(bbgm_stat, INDEX(Players!$A428:$P428, MATCH(O$2, Players!$A$1:$P$1, 0)), perc_75, VLOOKUP(O$2, Percentiles!$A$45:$I$59, 6, FALSE), perc_90, VLOOKUP(O$2, Percentiles!$A$45:$I$59, 7, FALSE), perc_95, VLOOKUP(O$2, Percentiles!$A$45:$I$59, 8, FALSE), perc_85, perc_75 + (perc_90 - perc_75) * (2/3), converted_stat, '2K_Ratings'!O429, IF(bbgm_stat &gt;= perc_95, converted_stat * 3, IF(bbgm_stat &gt;= perc_90, converted_stat * 2, IF(bbgm_stat &gt;= perc_85, converted_stat * 1.5, converted_stat)))))</f>
        <v/>
      </c>
      <c r="P429" s="30" t="str">
        <f t="array" ref="P429">IF($A429="", "", LET(bbgm_stat, INDEX(Players!$A428:$P428, MATCH(P$2, Players!$A$1:$P$1, 0)), perc_75, VLOOKUP(P$2, Percentiles!$A$45:$I$59, 6, FALSE), perc_90, VLOOKUP(P$2, Percentiles!$A$45:$I$59, 7, FALSE), perc_95, VLOOKUP(P$2, Percentiles!$A$45:$I$59, 8, FALSE), perc_85, perc_75 + (perc_90 - perc_75) * (2/3), converted_stat, '2K_Ratings'!P429, IF(bbgm_stat &gt;= perc_95, converted_stat * 3, IF(bbgm_stat &gt;= perc_90, converted_stat * 2, IF(bbgm_stat &gt;= perc_85, converted_stat * 1.5, converted_stat)))))</f>
        <v/>
      </c>
      <c r="Q429" s="30" t="str">
        <f t="array" ref="Q429">IF($A429="", "", LET(bbgm_stat, INDEX(Players!$A428:$P428, MATCH(Q$2, Players!$A$1:$P$1, 0)), perc_75, VLOOKUP(Q$2, Percentiles!$A$45:$I$59, 6, FALSE), perc_90, VLOOKUP(Q$2, Percentiles!$A$45:$I$59, 7, FALSE), perc_95, VLOOKUP(Q$2, Percentiles!$A$45:$I$59, 8, FALSE), perc_85, perc_75 + (perc_90 - perc_75) * (2/3), converted_stat, '2K_Ratings'!Q429, IF(bbgm_stat &gt;= perc_95, converted_stat * 3, IF(bbgm_stat &gt;= perc_90, converted_stat * 2, IF(bbgm_stat &gt;= perc_85, converted_stat * 1.5, converted_stat)))))</f>
        <v/>
      </c>
      <c r="R429" s="30" t="str">
        <f t="array" ref="R429">IF($A429="", "", LET(bbgm_stat, INDEX(Players!$A428:$P428, MATCH(R$2, Players!$A$1:$P$1, 0)), perc_75, VLOOKUP(R$2, Percentiles!$A$45:$I$59, 6, FALSE), perc_90, VLOOKUP(R$2, Percentiles!$A$45:$I$59, 7, FALSE), perc_95, VLOOKUP(R$2, Percentiles!$A$45:$I$59, 8, FALSE), perc_85, perc_75 + (perc_90 - perc_75) * (2/3), converted_stat, '2K_Ratings'!R429, IF(bbgm_stat &gt;= perc_95, converted_stat * 3, IF(bbgm_stat &gt;= perc_90, converted_stat * 2, IF(bbgm_stat &gt;= perc_85, converted_stat * 1.5, converted_stat)))))</f>
        <v/>
      </c>
      <c r="S429" s="30" t="str">
        <f t="array" ref="S429">IF($A429="", "", LET(bbgm_stat, INDEX(Players!$A428:$P428, MATCH(S$2, Players!$A$1:$P$1, 0)), perc_75, VLOOKUP(S$2, Percentiles!$A$45:$I$59, 6, FALSE), perc_90, VLOOKUP(S$2, Percentiles!$A$45:$I$59, 7, FALSE), perc_95, VLOOKUP(S$2, Percentiles!$A$45:$I$59, 8, FALSE), perc_85, perc_75 + (perc_90 - perc_75) * (2/3), converted_stat, '2K_Ratings'!S429, IF(bbgm_stat &gt;= perc_95, converted_stat * 3, IF(bbgm_stat &gt;= perc_90, converted_stat * 2, IF(bbgm_stat &gt;= perc_85, converted_stat * 1.5, converted_stat)))))</f>
        <v/>
      </c>
      <c r="T429" s="30" t="str">
        <f t="array" ref="T429">IF($A429="", "", LET(bbgm_stat, INDEX(Players!$A428:$P428, MATCH(T$2, Players!$A$1:$P$1, 0)), perc_75, VLOOKUP(T$2, Percentiles!$A$45:$I$59, 6, FALSE), perc_90, VLOOKUP(T$2, Percentiles!$A$45:$I$59, 7, FALSE), perc_95, VLOOKUP(T$2, Percentiles!$A$45:$I$59, 8, FALSE), perc_85, perc_75 + (perc_90 - perc_75) * (2/3), converted_stat, '2K_Ratings'!T429, IF(bbgm_stat &gt;= perc_95, converted_stat * 3, IF(bbgm_stat &gt;= perc_90, converted_stat * 2, IF(bbgm_stat &gt;= perc_85, converted_stat * 1.5, converted_stat)))))</f>
        <v/>
      </c>
      <c r="U429" s="30" t="str">
        <f t="array" ref="U429">IF($A429="", "", LET(bbgm_stat, INDEX(Players!$A428:$P428, MATCH(U$2, Players!$A$1:$P$1, 0)), perc_75, VLOOKUP(U$2, Percentiles!$A$45:$I$59, 6, FALSE), perc_90, VLOOKUP(U$2, Percentiles!$A$45:$I$59, 7, FALSE), perc_95, VLOOKUP(U$2, Percentiles!$A$45:$I$59, 8, FALSE), perc_85, perc_75 + (perc_90 - perc_75) * (2/3), converted_stat, '2K_Ratings'!U429, IF(bbgm_stat &gt;= perc_95, converted_stat * 3, IF(bbgm_stat &gt;= perc_90, converted_stat * 2, IF(bbgm_stat &gt;= perc_85, converted_stat * 1.5, converted_stat)))))</f>
        <v/>
      </c>
      <c r="V429" s="30" t="str">
        <f t="array" ref="V429">IF($A429="", "", LET(bbgm_stat, INDEX(Players!$A428:$P428, MATCH(V$2, Players!$A$1:$P$1, 0)), perc_75, VLOOKUP(V$2, Percentiles!$A$45:$I$59, 6, FALSE), perc_90, VLOOKUP(V$2, Percentiles!$A$45:$I$59, 7, FALSE), perc_95, VLOOKUP(V$2, Percentiles!$A$45:$I$59, 8, FALSE), perc_85, perc_75 + (perc_90 - perc_75) * (2/3), converted_stat, '2K_Ratings'!V429, IF(bbgm_stat &gt;= perc_95, converted_stat * 3, IF(bbgm_stat &gt;= perc_90, converted_stat * 2, IF(bbgm_stat &gt;= perc_85, converted_stat * 1.5, converted_stat)))))</f>
        <v/>
      </c>
      <c r="W429" s="30" t="str">
        <f t="array" ref="W429">IF($A429="", "", LET(bbgm_stat, INDEX(Players!$A428:$P428, MATCH(W$2, Players!$A$1:$P$1, 0)), perc_75, VLOOKUP(W$2, Percentiles!$A$45:$I$59, 6, FALSE), perc_90, VLOOKUP(W$2, Percentiles!$A$45:$I$59, 7, FALSE), perc_95, VLOOKUP(W$2, Percentiles!$A$45:$I$59, 8, FALSE), perc_85, perc_75 + (perc_90 - perc_75) * (2/3), converted_stat, '2K_Ratings'!W429, IF(bbgm_stat &gt;= perc_95, converted_stat * 3, IF(bbgm_stat &gt;= perc_90, converted_stat * 2, IF(bbgm_stat &gt;= perc_85, converted_stat * 1.5, converted_stat)))))</f>
        <v/>
      </c>
    </row>
    <row r="430">
      <c r="A430" s="30"/>
      <c r="B430" s="30" t="str">
        <f t="array" ref="B430">IF($A430="", "", LET(bbgm_stat, INDEX(Players!$A429:$P429, MATCH(B$2, Players!$A$1:$P$1, 0)), perc_75, VLOOKUP(B$2, Percentiles!$A$45:$I$59, 6, FALSE), perc_90, VLOOKUP(B$2, Percentiles!$A$45:$I$59, 7, FALSE), perc_95, VLOOKUP(B$2, Percentiles!$A$45:$I$59, 8, FALSE), perc_85, perc_75 + (perc_90 - perc_75) * (2/3), converted_stat, '2K_Ratings'!B430, IF(bbgm_stat &gt;= perc_95, converted_stat * 3, IF(bbgm_stat &gt;= perc_90, converted_stat * 2, IF(bbgm_stat &gt;= perc_85, converted_stat * 1.5, converted_stat)))))</f>
        <v/>
      </c>
      <c r="C430" s="30" t="str">
        <f t="array" ref="C430">IF($A430="", "", LET(bbgm_stat, INDEX(Players!$A429:$P429, MATCH(C$2, Players!$A$1:$P$1, 0)), perc_75, VLOOKUP(C$2, Percentiles!$A$45:$I$59, 6, FALSE), perc_90, VLOOKUP(C$2, Percentiles!$A$45:$I$59, 7, FALSE), perc_95, VLOOKUP(C$2, Percentiles!$A$45:$I$59, 8, FALSE), perc_85, perc_75 + (perc_90 - perc_75) * (2/3), converted_stat, '2K_Ratings'!C430, IF(bbgm_stat &gt;= perc_95, converted_stat * 3, IF(bbgm_stat &gt;= perc_90, converted_stat * 2, IF(bbgm_stat &gt;= perc_85, converted_stat * 1.5, converted_stat)))))</f>
        <v/>
      </c>
      <c r="D430" s="30" t="str">
        <f t="array" ref="D430">IF($A430="", "", LET(bbgm_stat, INDEX(Players!$A429:$P429, MATCH(D$2, Players!$A$1:$P$1, 0)), perc_75, VLOOKUP(D$2, Percentiles!$A$45:$I$59, 6, FALSE), perc_90, VLOOKUP(D$2, Percentiles!$A$45:$I$59, 7, FALSE), perc_95, VLOOKUP(D$2, Percentiles!$A$45:$I$59, 8, FALSE), perc_85, perc_75 + (perc_90 - perc_75) * (2/3), converted_stat, '2K_Ratings'!D430, IF(bbgm_stat &gt;= perc_95, converted_stat * 3, IF(bbgm_stat &gt;= perc_90, converted_stat * 2, IF(bbgm_stat &gt;= perc_85, converted_stat * 1.5, converted_stat)))))</f>
        <v/>
      </c>
      <c r="E430" s="30" t="str">
        <f t="array" ref="E430">IF($A430="", "", LET(bbgm_stat, INDEX(Players!$A429:$P429, MATCH(E$2, Players!$A$1:$P$1, 0)), perc_75, VLOOKUP(E$2, Percentiles!$A$45:$I$59, 6, FALSE), perc_90, VLOOKUP(E$2, Percentiles!$A$45:$I$59, 7, FALSE), perc_95, VLOOKUP(E$2, Percentiles!$A$45:$I$59, 8, FALSE), perc_85, perc_75 + (perc_90 - perc_75) * (2/3), converted_stat, '2K_Ratings'!E430, IF(bbgm_stat &gt;= perc_95, converted_stat * 3, IF(bbgm_stat &gt;= perc_90, converted_stat * 2, IF(bbgm_stat &gt;= perc_85, converted_stat * 1.5, converted_stat)))))</f>
        <v/>
      </c>
      <c r="F430" s="30" t="str">
        <f t="array" ref="F430">IF($A430="", "", LET(bbgm_stat, INDEX(Players!$A429:$P429, MATCH(F$2, Players!$A$1:$P$1, 0)), perc_75, VLOOKUP(F$2, Percentiles!$A$45:$I$59, 6, FALSE), perc_90, VLOOKUP(F$2, Percentiles!$A$45:$I$59, 7, FALSE), perc_95, VLOOKUP(F$2, Percentiles!$A$45:$I$59, 8, FALSE), perc_85, perc_75 + (perc_90 - perc_75) * (2/3), converted_stat, '2K_Ratings'!F430, IF(bbgm_stat &gt;= perc_95, converted_stat * 3, IF(bbgm_stat &gt;= perc_90, converted_stat * 2, IF(bbgm_stat &gt;= perc_85, converted_stat * 1.5, converted_stat)))))</f>
        <v/>
      </c>
      <c r="G430" s="30" t="str">
        <f t="array" ref="G430">IF($A430="", "", LET(bbgm_stat, INDEX(Players!$A429:$P429, MATCH(G$2, Players!$A$1:$P$1, 0)), perc_75, VLOOKUP(G$2, Percentiles!$A$45:$I$59, 6, FALSE), perc_90, VLOOKUP(G$2, Percentiles!$A$45:$I$59, 7, FALSE), perc_95, VLOOKUP(G$2, Percentiles!$A$45:$I$59, 8, FALSE), perc_85, perc_75 + (perc_90 - perc_75) * (2/3), converted_stat, '2K_Ratings'!G430, IF(bbgm_stat &gt;= perc_95, converted_stat * 3, IF(bbgm_stat &gt;= perc_90, converted_stat * 2, IF(bbgm_stat &gt;= perc_85, converted_stat * 1.5, converted_stat)))))</f>
        <v/>
      </c>
      <c r="H430" s="30" t="str">
        <f t="array" ref="H430">IF($A430="", "", LET(bbgm_stat, INDEX(Players!$A429:$P429, MATCH(H$2, Players!$A$1:$P$1, 0)), perc_75, VLOOKUP(H$2, Percentiles!$A$45:$I$59, 6, FALSE), perc_90, VLOOKUP(H$2, Percentiles!$A$45:$I$59, 7, FALSE), perc_95, VLOOKUP(H$2, Percentiles!$A$45:$I$59, 8, FALSE), perc_85, perc_75 + (perc_90 - perc_75) * (2/3), converted_stat, '2K_Ratings'!H430, IF(bbgm_stat &gt;= perc_95, converted_stat * 3, IF(bbgm_stat &gt;= perc_90, converted_stat * 2, IF(bbgm_stat &gt;= perc_85, converted_stat * 1.5, converted_stat)))))</f>
        <v/>
      </c>
      <c r="I430" s="30" t="str">
        <f t="array" ref="I430">IF($A430="", "", LET(bbgm_stat, INDEX(Players!$A429:$P429, MATCH(I$2, Players!$A$1:$P$1, 0)), perc_75, VLOOKUP(I$2, Percentiles!$A$45:$I$59, 6, FALSE), perc_90, VLOOKUP(I$2, Percentiles!$A$45:$I$59, 7, FALSE), perc_95, VLOOKUP(I$2, Percentiles!$A$45:$I$59, 8, FALSE), perc_85, perc_75 + (perc_90 - perc_75) * (2/3), converted_stat, '2K_Ratings'!I430, IF(bbgm_stat &gt;= perc_95, converted_stat * 3, IF(bbgm_stat &gt;= perc_90, converted_stat * 2, IF(bbgm_stat &gt;= perc_85, converted_stat * 1.5, converted_stat)))))</f>
        <v/>
      </c>
      <c r="J430" s="30" t="str">
        <f t="array" ref="J430">IF($A430="", "", LET(bbgm_stat, INDEX(Players!$A429:$P429, MATCH(J$2, Players!$A$1:$P$1, 0)), perc_75, VLOOKUP(J$2, Percentiles!$A$45:$I$59, 6, FALSE), perc_90, VLOOKUP(J$2, Percentiles!$A$45:$I$59, 7, FALSE), perc_95, VLOOKUP(J$2, Percentiles!$A$45:$I$59, 8, FALSE), perc_85, perc_75 + (perc_90 - perc_75) * (2/3), converted_stat, '2K_Ratings'!J430, IF(bbgm_stat &gt;= perc_95, converted_stat * 3, IF(bbgm_stat &gt;= perc_90, converted_stat * 2, IF(bbgm_stat &gt;= perc_85, converted_stat * 1.5, converted_stat)))))</f>
        <v/>
      </c>
      <c r="K430" s="30" t="str">
        <f t="array" ref="K430">IF($A430="", "", LET(bbgm_stat, INDEX(Players!$A429:$P429, MATCH(K$2, Players!$A$1:$P$1, 0)), perc_75, VLOOKUP(K$2, Percentiles!$A$45:$I$59, 6, FALSE), perc_90, VLOOKUP(K$2, Percentiles!$A$45:$I$59, 7, FALSE), perc_95, VLOOKUP(K$2, Percentiles!$A$45:$I$59, 8, FALSE), perc_85, perc_75 + (perc_90 - perc_75) * (2/3), converted_stat, '2K_Ratings'!K430, IF(bbgm_stat &gt;= perc_95, converted_stat * 3, IF(bbgm_stat &gt;= perc_90, converted_stat * 2, IF(bbgm_stat &gt;= perc_85, converted_stat * 1.5, converted_stat)))))</f>
        <v/>
      </c>
      <c r="L430" s="30" t="str">
        <f t="array" ref="L430">IF($A430="", "", LET(bbgm_stat, INDEX(Players!$A429:$P429, MATCH(L$2, Players!$A$1:$P$1, 0)), perc_75, VLOOKUP(L$2, Percentiles!$A$45:$I$59, 6, FALSE), perc_90, VLOOKUP(L$2, Percentiles!$A$45:$I$59, 7, FALSE), perc_95, VLOOKUP(L$2, Percentiles!$A$45:$I$59, 8, FALSE), perc_85, perc_75 + (perc_90 - perc_75) * (2/3), converted_stat, '2K_Ratings'!L430, IF(bbgm_stat &gt;= perc_95, converted_stat * 3, IF(bbgm_stat &gt;= perc_90, converted_stat * 2, IF(bbgm_stat &gt;= perc_85, converted_stat * 1.5, converted_stat)))))</f>
        <v/>
      </c>
      <c r="M430" s="30" t="str">
        <f t="array" ref="M430">IF($A430="", "", LET(bbgm_stat, INDEX(Players!$A429:$P429, MATCH(M$2, Players!$A$1:$P$1, 0)), perc_75, VLOOKUP(M$2, Percentiles!$A$45:$I$59, 6, FALSE), perc_90, VLOOKUP(M$2, Percentiles!$A$45:$I$59, 7, FALSE), perc_95, VLOOKUP(M$2, Percentiles!$A$45:$I$59, 8, FALSE), perc_85, perc_75 + (perc_90 - perc_75) * (2/3), converted_stat, '2K_Ratings'!M430, IF(bbgm_stat &gt;= perc_95, converted_stat * 3, IF(bbgm_stat &gt;= perc_90, converted_stat * 2, IF(bbgm_stat &gt;= perc_85, converted_stat * 1.5, converted_stat)))))</f>
        <v/>
      </c>
      <c r="N430" s="30" t="str">
        <f t="array" ref="N430">IF($A430="", "", LET(bbgm_stat, INDEX(Players!$A429:$P429, MATCH(N$2, Players!$A$1:$P$1, 0)), perc_75, VLOOKUP(N$2, Percentiles!$A$45:$I$59, 6, FALSE), perc_90, VLOOKUP(N$2, Percentiles!$A$45:$I$59, 7, FALSE), perc_95, VLOOKUP(N$2, Percentiles!$A$45:$I$59, 8, FALSE), perc_85, perc_75 + (perc_90 - perc_75) * (2/3), converted_stat, '2K_Ratings'!N430, IF(bbgm_stat &gt;= perc_95, converted_stat * 3, IF(bbgm_stat &gt;= perc_90, converted_stat * 2, IF(bbgm_stat &gt;= perc_85, converted_stat * 1.5, converted_stat)))))</f>
        <v/>
      </c>
      <c r="O430" s="30" t="str">
        <f t="array" ref="O430">IF($A430="", "", LET(bbgm_stat, INDEX(Players!$A429:$P429, MATCH(O$2, Players!$A$1:$P$1, 0)), perc_75, VLOOKUP(O$2, Percentiles!$A$45:$I$59, 6, FALSE), perc_90, VLOOKUP(O$2, Percentiles!$A$45:$I$59, 7, FALSE), perc_95, VLOOKUP(O$2, Percentiles!$A$45:$I$59, 8, FALSE), perc_85, perc_75 + (perc_90 - perc_75) * (2/3), converted_stat, '2K_Ratings'!O430, IF(bbgm_stat &gt;= perc_95, converted_stat * 3, IF(bbgm_stat &gt;= perc_90, converted_stat * 2, IF(bbgm_stat &gt;= perc_85, converted_stat * 1.5, converted_stat)))))</f>
        <v/>
      </c>
      <c r="P430" s="30" t="str">
        <f t="array" ref="P430">IF($A430="", "", LET(bbgm_stat, INDEX(Players!$A429:$P429, MATCH(P$2, Players!$A$1:$P$1, 0)), perc_75, VLOOKUP(P$2, Percentiles!$A$45:$I$59, 6, FALSE), perc_90, VLOOKUP(P$2, Percentiles!$A$45:$I$59, 7, FALSE), perc_95, VLOOKUP(P$2, Percentiles!$A$45:$I$59, 8, FALSE), perc_85, perc_75 + (perc_90 - perc_75) * (2/3), converted_stat, '2K_Ratings'!P430, IF(bbgm_stat &gt;= perc_95, converted_stat * 3, IF(bbgm_stat &gt;= perc_90, converted_stat * 2, IF(bbgm_stat &gt;= perc_85, converted_stat * 1.5, converted_stat)))))</f>
        <v/>
      </c>
      <c r="Q430" s="30" t="str">
        <f t="array" ref="Q430">IF($A430="", "", LET(bbgm_stat, INDEX(Players!$A429:$P429, MATCH(Q$2, Players!$A$1:$P$1, 0)), perc_75, VLOOKUP(Q$2, Percentiles!$A$45:$I$59, 6, FALSE), perc_90, VLOOKUP(Q$2, Percentiles!$A$45:$I$59, 7, FALSE), perc_95, VLOOKUP(Q$2, Percentiles!$A$45:$I$59, 8, FALSE), perc_85, perc_75 + (perc_90 - perc_75) * (2/3), converted_stat, '2K_Ratings'!Q430, IF(bbgm_stat &gt;= perc_95, converted_stat * 3, IF(bbgm_stat &gt;= perc_90, converted_stat * 2, IF(bbgm_stat &gt;= perc_85, converted_stat * 1.5, converted_stat)))))</f>
        <v/>
      </c>
      <c r="R430" s="30" t="str">
        <f t="array" ref="R430">IF($A430="", "", LET(bbgm_stat, INDEX(Players!$A429:$P429, MATCH(R$2, Players!$A$1:$P$1, 0)), perc_75, VLOOKUP(R$2, Percentiles!$A$45:$I$59, 6, FALSE), perc_90, VLOOKUP(R$2, Percentiles!$A$45:$I$59, 7, FALSE), perc_95, VLOOKUP(R$2, Percentiles!$A$45:$I$59, 8, FALSE), perc_85, perc_75 + (perc_90 - perc_75) * (2/3), converted_stat, '2K_Ratings'!R430, IF(bbgm_stat &gt;= perc_95, converted_stat * 3, IF(bbgm_stat &gt;= perc_90, converted_stat * 2, IF(bbgm_stat &gt;= perc_85, converted_stat * 1.5, converted_stat)))))</f>
        <v/>
      </c>
      <c r="S430" s="30" t="str">
        <f t="array" ref="S430">IF($A430="", "", LET(bbgm_stat, INDEX(Players!$A429:$P429, MATCH(S$2, Players!$A$1:$P$1, 0)), perc_75, VLOOKUP(S$2, Percentiles!$A$45:$I$59, 6, FALSE), perc_90, VLOOKUP(S$2, Percentiles!$A$45:$I$59, 7, FALSE), perc_95, VLOOKUP(S$2, Percentiles!$A$45:$I$59, 8, FALSE), perc_85, perc_75 + (perc_90 - perc_75) * (2/3), converted_stat, '2K_Ratings'!S430, IF(bbgm_stat &gt;= perc_95, converted_stat * 3, IF(bbgm_stat &gt;= perc_90, converted_stat * 2, IF(bbgm_stat &gt;= perc_85, converted_stat * 1.5, converted_stat)))))</f>
        <v/>
      </c>
      <c r="T430" s="30" t="str">
        <f t="array" ref="T430">IF($A430="", "", LET(bbgm_stat, INDEX(Players!$A429:$P429, MATCH(T$2, Players!$A$1:$P$1, 0)), perc_75, VLOOKUP(T$2, Percentiles!$A$45:$I$59, 6, FALSE), perc_90, VLOOKUP(T$2, Percentiles!$A$45:$I$59, 7, FALSE), perc_95, VLOOKUP(T$2, Percentiles!$A$45:$I$59, 8, FALSE), perc_85, perc_75 + (perc_90 - perc_75) * (2/3), converted_stat, '2K_Ratings'!T430, IF(bbgm_stat &gt;= perc_95, converted_stat * 3, IF(bbgm_stat &gt;= perc_90, converted_stat * 2, IF(bbgm_stat &gt;= perc_85, converted_stat * 1.5, converted_stat)))))</f>
        <v/>
      </c>
      <c r="U430" s="30" t="str">
        <f t="array" ref="U430">IF($A430="", "", LET(bbgm_stat, INDEX(Players!$A429:$P429, MATCH(U$2, Players!$A$1:$P$1, 0)), perc_75, VLOOKUP(U$2, Percentiles!$A$45:$I$59, 6, FALSE), perc_90, VLOOKUP(U$2, Percentiles!$A$45:$I$59, 7, FALSE), perc_95, VLOOKUP(U$2, Percentiles!$A$45:$I$59, 8, FALSE), perc_85, perc_75 + (perc_90 - perc_75) * (2/3), converted_stat, '2K_Ratings'!U430, IF(bbgm_stat &gt;= perc_95, converted_stat * 3, IF(bbgm_stat &gt;= perc_90, converted_stat * 2, IF(bbgm_stat &gt;= perc_85, converted_stat * 1.5, converted_stat)))))</f>
        <v/>
      </c>
      <c r="V430" s="30" t="str">
        <f t="array" ref="V430">IF($A430="", "", LET(bbgm_stat, INDEX(Players!$A429:$P429, MATCH(V$2, Players!$A$1:$P$1, 0)), perc_75, VLOOKUP(V$2, Percentiles!$A$45:$I$59, 6, FALSE), perc_90, VLOOKUP(V$2, Percentiles!$A$45:$I$59, 7, FALSE), perc_95, VLOOKUP(V$2, Percentiles!$A$45:$I$59, 8, FALSE), perc_85, perc_75 + (perc_90 - perc_75) * (2/3), converted_stat, '2K_Ratings'!V430, IF(bbgm_stat &gt;= perc_95, converted_stat * 3, IF(bbgm_stat &gt;= perc_90, converted_stat * 2, IF(bbgm_stat &gt;= perc_85, converted_stat * 1.5, converted_stat)))))</f>
        <v/>
      </c>
      <c r="W430" s="30" t="str">
        <f t="array" ref="W430">IF($A430="", "", LET(bbgm_stat, INDEX(Players!$A429:$P429, MATCH(W$2, Players!$A$1:$P$1, 0)), perc_75, VLOOKUP(W$2, Percentiles!$A$45:$I$59, 6, FALSE), perc_90, VLOOKUP(W$2, Percentiles!$A$45:$I$59, 7, FALSE), perc_95, VLOOKUP(W$2, Percentiles!$A$45:$I$59, 8, FALSE), perc_85, perc_75 + (perc_90 - perc_75) * (2/3), converted_stat, '2K_Ratings'!W430, IF(bbgm_stat &gt;= perc_95, converted_stat * 3, IF(bbgm_stat &gt;= perc_90, converted_stat * 2, IF(bbgm_stat &gt;= perc_85, converted_stat * 1.5, converted_stat)))))</f>
        <v/>
      </c>
    </row>
    <row r="431">
      <c r="A431" s="30"/>
      <c r="B431" s="30" t="str">
        <f t="array" ref="B431">IF($A431="", "", LET(bbgm_stat, INDEX(Players!$A430:$P430, MATCH(B$2, Players!$A$1:$P$1, 0)), perc_75, VLOOKUP(B$2, Percentiles!$A$45:$I$59, 6, FALSE), perc_90, VLOOKUP(B$2, Percentiles!$A$45:$I$59, 7, FALSE), perc_95, VLOOKUP(B$2, Percentiles!$A$45:$I$59, 8, FALSE), perc_85, perc_75 + (perc_90 - perc_75) * (2/3), converted_stat, '2K_Ratings'!B431, IF(bbgm_stat &gt;= perc_95, converted_stat * 3, IF(bbgm_stat &gt;= perc_90, converted_stat * 2, IF(bbgm_stat &gt;= perc_85, converted_stat * 1.5, converted_stat)))))</f>
        <v/>
      </c>
      <c r="C431" s="30" t="str">
        <f t="array" ref="C431">IF($A431="", "", LET(bbgm_stat, INDEX(Players!$A430:$P430, MATCH(C$2, Players!$A$1:$P$1, 0)), perc_75, VLOOKUP(C$2, Percentiles!$A$45:$I$59, 6, FALSE), perc_90, VLOOKUP(C$2, Percentiles!$A$45:$I$59, 7, FALSE), perc_95, VLOOKUP(C$2, Percentiles!$A$45:$I$59, 8, FALSE), perc_85, perc_75 + (perc_90 - perc_75) * (2/3), converted_stat, '2K_Ratings'!C431, IF(bbgm_stat &gt;= perc_95, converted_stat * 3, IF(bbgm_stat &gt;= perc_90, converted_stat * 2, IF(bbgm_stat &gt;= perc_85, converted_stat * 1.5, converted_stat)))))</f>
        <v/>
      </c>
      <c r="D431" s="30" t="str">
        <f t="array" ref="D431">IF($A431="", "", LET(bbgm_stat, INDEX(Players!$A430:$P430, MATCH(D$2, Players!$A$1:$P$1, 0)), perc_75, VLOOKUP(D$2, Percentiles!$A$45:$I$59, 6, FALSE), perc_90, VLOOKUP(D$2, Percentiles!$A$45:$I$59, 7, FALSE), perc_95, VLOOKUP(D$2, Percentiles!$A$45:$I$59, 8, FALSE), perc_85, perc_75 + (perc_90 - perc_75) * (2/3), converted_stat, '2K_Ratings'!D431, IF(bbgm_stat &gt;= perc_95, converted_stat * 3, IF(bbgm_stat &gt;= perc_90, converted_stat * 2, IF(bbgm_stat &gt;= perc_85, converted_stat * 1.5, converted_stat)))))</f>
        <v/>
      </c>
      <c r="E431" s="30" t="str">
        <f t="array" ref="E431">IF($A431="", "", LET(bbgm_stat, INDEX(Players!$A430:$P430, MATCH(E$2, Players!$A$1:$P$1, 0)), perc_75, VLOOKUP(E$2, Percentiles!$A$45:$I$59, 6, FALSE), perc_90, VLOOKUP(E$2, Percentiles!$A$45:$I$59, 7, FALSE), perc_95, VLOOKUP(E$2, Percentiles!$A$45:$I$59, 8, FALSE), perc_85, perc_75 + (perc_90 - perc_75) * (2/3), converted_stat, '2K_Ratings'!E431, IF(bbgm_stat &gt;= perc_95, converted_stat * 3, IF(bbgm_stat &gt;= perc_90, converted_stat * 2, IF(bbgm_stat &gt;= perc_85, converted_stat * 1.5, converted_stat)))))</f>
        <v/>
      </c>
      <c r="F431" s="30" t="str">
        <f t="array" ref="F431">IF($A431="", "", LET(bbgm_stat, INDEX(Players!$A430:$P430, MATCH(F$2, Players!$A$1:$P$1, 0)), perc_75, VLOOKUP(F$2, Percentiles!$A$45:$I$59, 6, FALSE), perc_90, VLOOKUP(F$2, Percentiles!$A$45:$I$59, 7, FALSE), perc_95, VLOOKUP(F$2, Percentiles!$A$45:$I$59, 8, FALSE), perc_85, perc_75 + (perc_90 - perc_75) * (2/3), converted_stat, '2K_Ratings'!F431, IF(bbgm_stat &gt;= perc_95, converted_stat * 3, IF(bbgm_stat &gt;= perc_90, converted_stat * 2, IF(bbgm_stat &gt;= perc_85, converted_stat * 1.5, converted_stat)))))</f>
        <v/>
      </c>
      <c r="G431" s="30" t="str">
        <f t="array" ref="G431">IF($A431="", "", LET(bbgm_stat, INDEX(Players!$A430:$P430, MATCH(G$2, Players!$A$1:$P$1, 0)), perc_75, VLOOKUP(G$2, Percentiles!$A$45:$I$59, 6, FALSE), perc_90, VLOOKUP(G$2, Percentiles!$A$45:$I$59, 7, FALSE), perc_95, VLOOKUP(G$2, Percentiles!$A$45:$I$59, 8, FALSE), perc_85, perc_75 + (perc_90 - perc_75) * (2/3), converted_stat, '2K_Ratings'!G431, IF(bbgm_stat &gt;= perc_95, converted_stat * 3, IF(bbgm_stat &gt;= perc_90, converted_stat * 2, IF(bbgm_stat &gt;= perc_85, converted_stat * 1.5, converted_stat)))))</f>
        <v/>
      </c>
      <c r="H431" s="30" t="str">
        <f t="array" ref="H431">IF($A431="", "", LET(bbgm_stat, INDEX(Players!$A430:$P430, MATCH(H$2, Players!$A$1:$P$1, 0)), perc_75, VLOOKUP(H$2, Percentiles!$A$45:$I$59, 6, FALSE), perc_90, VLOOKUP(H$2, Percentiles!$A$45:$I$59, 7, FALSE), perc_95, VLOOKUP(H$2, Percentiles!$A$45:$I$59, 8, FALSE), perc_85, perc_75 + (perc_90 - perc_75) * (2/3), converted_stat, '2K_Ratings'!H431, IF(bbgm_stat &gt;= perc_95, converted_stat * 3, IF(bbgm_stat &gt;= perc_90, converted_stat * 2, IF(bbgm_stat &gt;= perc_85, converted_stat * 1.5, converted_stat)))))</f>
        <v/>
      </c>
      <c r="I431" s="30" t="str">
        <f t="array" ref="I431">IF($A431="", "", LET(bbgm_stat, INDEX(Players!$A430:$P430, MATCH(I$2, Players!$A$1:$P$1, 0)), perc_75, VLOOKUP(I$2, Percentiles!$A$45:$I$59, 6, FALSE), perc_90, VLOOKUP(I$2, Percentiles!$A$45:$I$59, 7, FALSE), perc_95, VLOOKUP(I$2, Percentiles!$A$45:$I$59, 8, FALSE), perc_85, perc_75 + (perc_90 - perc_75) * (2/3), converted_stat, '2K_Ratings'!I431, IF(bbgm_stat &gt;= perc_95, converted_stat * 3, IF(bbgm_stat &gt;= perc_90, converted_stat * 2, IF(bbgm_stat &gt;= perc_85, converted_stat * 1.5, converted_stat)))))</f>
        <v/>
      </c>
      <c r="J431" s="30" t="str">
        <f t="array" ref="J431">IF($A431="", "", LET(bbgm_stat, INDEX(Players!$A430:$P430, MATCH(J$2, Players!$A$1:$P$1, 0)), perc_75, VLOOKUP(J$2, Percentiles!$A$45:$I$59, 6, FALSE), perc_90, VLOOKUP(J$2, Percentiles!$A$45:$I$59, 7, FALSE), perc_95, VLOOKUP(J$2, Percentiles!$A$45:$I$59, 8, FALSE), perc_85, perc_75 + (perc_90 - perc_75) * (2/3), converted_stat, '2K_Ratings'!J431, IF(bbgm_stat &gt;= perc_95, converted_stat * 3, IF(bbgm_stat &gt;= perc_90, converted_stat * 2, IF(bbgm_stat &gt;= perc_85, converted_stat * 1.5, converted_stat)))))</f>
        <v/>
      </c>
      <c r="K431" s="30" t="str">
        <f t="array" ref="K431">IF($A431="", "", LET(bbgm_stat, INDEX(Players!$A430:$P430, MATCH(K$2, Players!$A$1:$P$1, 0)), perc_75, VLOOKUP(K$2, Percentiles!$A$45:$I$59, 6, FALSE), perc_90, VLOOKUP(K$2, Percentiles!$A$45:$I$59, 7, FALSE), perc_95, VLOOKUP(K$2, Percentiles!$A$45:$I$59, 8, FALSE), perc_85, perc_75 + (perc_90 - perc_75) * (2/3), converted_stat, '2K_Ratings'!K431, IF(bbgm_stat &gt;= perc_95, converted_stat * 3, IF(bbgm_stat &gt;= perc_90, converted_stat * 2, IF(bbgm_stat &gt;= perc_85, converted_stat * 1.5, converted_stat)))))</f>
        <v/>
      </c>
      <c r="L431" s="30" t="str">
        <f t="array" ref="L431">IF($A431="", "", LET(bbgm_stat, INDEX(Players!$A430:$P430, MATCH(L$2, Players!$A$1:$P$1, 0)), perc_75, VLOOKUP(L$2, Percentiles!$A$45:$I$59, 6, FALSE), perc_90, VLOOKUP(L$2, Percentiles!$A$45:$I$59, 7, FALSE), perc_95, VLOOKUP(L$2, Percentiles!$A$45:$I$59, 8, FALSE), perc_85, perc_75 + (perc_90 - perc_75) * (2/3), converted_stat, '2K_Ratings'!L431, IF(bbgm_stat &gt;= perc_95, converted_stat * 3, IF(bbgm_stat &gt;= perc_90, converted_stat * 2, IF(bbgm_stat &gt;= perc_85, converted_stat * 1.5, converted_stat)))))</f>
        <v/>
      </c>
      <c r="M431" s="30" t="str">
        <f t="array" ref="M431">IF($A431="", "", LET(bbgm_stat, INDEX(Players!$A430:$P430, MATCH(M$2, Players!$A$1:$P$1, 0)), perc_75, VLOOKUP(M$2, Percentiles!$A$45:$I$59, 6, FALSE), perc_90, VLOOKUP(M$2, Percentiles!$A$45:$I$59, 7, FALSE), perc_95, VLOOKUP(M$2, Percentiles!$A$45:$I$59, 8, FALSE), perc_85, perc_75 + (perc_90 - perc_75) * (2/3), converted_stat, '2K_Ratings'!M431, IF(bbgm_stat &gt;= perc_95, converted_stat * 3, IF(bbgm_stat &gt;= perc_90, converted_stat * 2, IF(bbgm_stat &gt;= perc_85, converted_stat * 1.5, converted_stat)))))</f>
        <v/>
      </c>
      <c r="N431" s="30" t="str">
        <f t="array" ref="N431">IF($A431="", "", LET(bbgm_stat, INDEX(Players!$A430:$P430, MATCH(N$2, Players!$A$1:$P$1, 0)), perc_75, VLOOKUP(N$2, Percentiles!$A$45:$I$59, 6, FALSE), perc_90, VLOOKUP(N$2, Percentiles!$A$45:$I$59, 7, FALSE), perc_95, VLOOKUP(N$2, Percentiles!$A$45:$I$59, 8, FALSE), perc_85, perc_75 + (perc_90 - perc_75) * (2/3), converted_stat, '2K_Ratings'!N431, IF(bbgm_stat &gt;= perc_95, converted_stat * 3, IF(bbgm_stat &gt;= perc_90, converted_stat * 2, IF(bbgm_stat &gt;= perc_85, converted_stat * 1.5, converted_stat)))))</f>
        <v/>
      </c>
      <c r="O431" s="30" t="str">
        <f t="array" ref="O431">IF($A431="", "", LET(bbgm_stat, INDEX(Players!$A430:$P430, MATCH(O$2, Players!$A$1:$P$1, 0)), perc_75, VLOOKUP(O$2, Percentiles!$A$45:$I$59, 6, FALSE), perc_90, VLOOKUP(O$2, Percentiles!$A$45:$I$59, 7, FALSE), perc_95, VLOOKUP(O$2, Percentiles!$A$45:$I$59, 8, FALSE), perc_85, perc_75 + (perc_90 - perc_75) * (2/3), converted_stat, '2K_Ratings'!O431, IF(bbgm_stat &gt;= perc_95, converted_stat * 3, IF(bbgm_stat &gt;= perc_90, converted_stat * 2, IF(bbgm_stat &gt;= perc_85, converted_stat * 1.5, converted_stat)))))</f>
        <v/>
      </c>
      <c r="P431" s="30" t="str">
        <f t="array" ref="P431">IF($A431="", "", LET(bbgm_stat, INDEX(Players!$A430:$P430, MATCH(P$2, Players!$A$1:$P$1, 0)), perc_75, VLOOKUP(P$2, Percentiles!$A$45:$I$59, 6, FALSE), perc_90, VLOOKUP(P$2, Percentiles!$A$45:$I$59, 7, FALSE), perc_95, VLOOKUP(P$2, Percentiles!$A$45:$I$59, 8, FALSE), perc_85, perc_75 + (perc_90 - perc_75) * (2/3), converted_stat, '2K_Ratings'!P431, IF(bbgm_stat &gt;= perc_95, converted_stat * 3, IF(bbgm_stat &gt;= perc_90, converted_stat * 2, IF(bbgm_stat &gt;= perc_85, converted_stat * 1.5, converted_stat)))))</f>
        <v/>
      </c>
      <c r="Q431" s="30" t="str">
        <f t="array" ref="Q431">IF($A431="", "", LET(bbgm_stat, INDEX(Players!$A430:$P430, MATCH(Q$2, Players!$A$1:$P$1, 0)), perc_75, VLOOKUP(Q$2, Percentiles!$A$45:$I$59, 6, FALSE), perc_90, VLOOKUP(Q$2, Percentiles!$A$45:$I$59, 7, FALSE), perc_95, VLOOKUP(Q$2, Percentiles!$A$45:$I$59, 8, FALSE), perc_85, perc_75 + (perc_90 - perc_75) * (2/3), converted_stat, '2K_Ratings'!Q431, IF(bbgm_stat &gt;= perc_95, converted_stat * 3, IF(bbgm_stat &gt;= perc_90, converted_stat * 2, IF(bbgm_stat &gt;= perc_85, converted_stat * 1.5, converted_stat)))))</f>
        <v/>
      </c>
      <c r="R431" s="30" t="str">
        <f t="array" ref="R431">IF($A431="", "", LET(bbgm_stat, INDEX(Players!$A430:$P430, MATCH(R$2, Players!$A$1:$P$1, 0)), perc_75, VLOOKUP(R$2, Percentiles!$A$45:$I$59, 6, FALSE), perc_90, VLOOKUP(R$2, Percentiles!$A$45:$I$59, 7, FALSE), perc_95, VLOOKUP(R$2, Percentiles!$A$45:$I$59, 8, FALSE), perc_85, perc_75 + (perc_90 - perc_75) * (2/3), converted_stat, '2K_Ratings'!R431, IF(bbgm_stat &gt;= perc_95, converted_stat * 3, IF(bbgm_stat &gt;= perc_90, converted_stat * 2, IF(bbgm_stat &gt;= perc_85, converted_stat * 1.5, converted_stat)))))</f>
        <v/>
      </c>
      <c r="S431" s="30" t="str">
        <f t="array" ref="S431">IF($A431="", "", LET(bbgm_stat, INDEX(Players!$A430:$P430, MATCH(S$2, Players!$A$1:$P$1, 0)), perc_75, VLOOKUP(S$2, Percentiles!$A$45:$I$59, 6, FALSE), perc_90, VLOOKUP(S$2, Percentiles!$A$45:$I$59, 7, FALSE), perc_95, VLOOKUP(S$2, Percentiles!$A$45:$I$59, 8, FALSE), perc_85, perc_75 + (perc_90 - perc_75) * (2/3), converted_stat, '2K_Ratings'!S431, IF(bbgm_stat &gt;= perc_95, converted_stat * 3, IF(bbgm_stat &gt;= perc_90, converted_stat * 2, IF(bbgm_stat &gt;= perc_85, converted_stat * 1.5, converted_stat)))))</f>
        <v/>
      </c>
      <c r="T431" s="30" t="str">
        <f t="array" ref="T431">IF($A431="", "", LET(bbgm_stat, INDEX(Players!$A430:$P430, MATCH(T$2, Players!$A$1:$P$1, 0)), perc_75, VLOOKUP(T$2, Percentiles!$A$45:$I$59, 6, FALSE), perc_90, VLOOKUP(T$2, Percentiles!$A$45:$I$59, 7, FALSE), perc_95, VLOOKUP(T$2, Percentiles!$A$45:$I$59, 8, FALSE), perc_85, perc_75 + (perc_90 - perc_75) * (2/3), converted_stat, '2K_Ratings'!T431, IF(bbgm_stat &gt;= perc_95, converted_stat * 3, IF(bbgm_stat &gt;= perc_90, converted_stat * 2, IF(bbgm_stat &gt;= perc_85, converted_stat * 1.5, converted_stat)))))</f>
        <v/>
      </c>
      <c r="U431" s="30" t="str">
        <f t="array" ref="U431">IF($A431="", "", LET(bbgm_stat, INDEX(Players!$A430:$P430, MATCH(U$2, Players!$A$1:$P$1, 0)), perc_75, VLOOKUP(U$2, Percentiles!$A$45:$I$59, 6, FALSE), perc_90, VLOOKUP(U$2, Percentiles!$A$45:$I$59, 7, FALSE), perc_95, VLOOKUP(U$2, Percentiles!$A$45:$I$59, 8, FALSE), perc_85, perc_75 + (perc_90 - perc_75) * (2/3), converted_stat, '2K_Ratings'!U431, IF(bbgm_stat &gt;= perc_95, converted_stat * 3, IF(bbgm_stat &gt;= perc_90, converted_stat * 2, IF(bbgm_stat &gt;= perc_85, converted_stat * 1.5, converted_stat)))))</f>
        <v/>
      </c>
      <c r="V431" s="30" t="str">
        <f t="array" ref="V431">IF($A431="", "", LET(bbgm_stat, INDEX(Players!$A430:$P430, MATCH(V$2, Players!$A$1:$P$1, 0)), perc_75, VLOOKUP(V$2, Percentiles!$A$45:$I$59, 6, FALSE), perc_90, VLOOKUP(V$2, Percentiles!$A$45:$I$59, 7, FALSE), perc_95, VLOOKUP(V$2, Percentiles!$A$45:$I$59, 8, FALSE), perc_85, perc_75 + (perc_90 - perc_75) * (2/3), converted_stat, '2K_Ratings'!V431, IF(bbgm_stat &gt;= perc_95, converted_stat * 3, IF(bbgm_stat &gt;= perc_90, converted_stat * 2, IF(bbgm_stat &gt;= perc_85, converted_stat * 1.5, converted_stat)))))</f>
        <v/>
      </c>
      <c r="W431" s="30" t="str">
        <f t="array" ref="W431">IF($A431="", "", LET(bbgm_stat, INDEX(Players!$A430:$P430, MATCH(W$2, Players!$A$1:$P$1, 0)), perc_75, VLOOKUP(W$2, Percentiles!$A$45:$I$59, 6, FALSE), perc_90, VLOOKUP(W$2, Percentiles!$A$45:$I$59, 7, FALSE), perc_95, VLOOKUP(W$2, Percentiles!$A$45:$I$59, 8, FALSE), perc_85, perc_75 + (perc_90 - perc_75) * (2/3), converted_stat, '2K_Ratings'!W431, IF(bbgm_stat &gt;= perc_95, converted_stat * 3, IF(bbgm_stat &gt;= perc_90, converted_stat * 2, IF(bbgm_stat &gt;= perc_85, converted_stat * 1.5, converted_stat)))))</f>
        <v/>
      </c>
    </row>
    <row r="432">
      <c r="A432" s="30"/>
      <c r="B432" s="30" t="str">
        <f t="array" ref="B432">IF($A432="", "", LET(bbgm_stat, INDEX(Players!$A431:$P431, MATCH(B$2, Players!$A$1:$P$1, 0)), perc_75, VLOOKUP(B$2, Percentiles!$A$45:$I$59, 6, FALSE), perc_90, VLOOKUP(B$2, Percentiles!$A$45:$I$59, 7, FALSE), perc_95, VLOOKUP(B$2, Percentiles!$A$45:$I$59, 8, FALSE), perc_85, perc_75 + (perc_90 - perc_75) * (2/3), converted_stat, '2K_Ratings'!B432, IF(bbgm_stat &gt;= perc_95, converted_stat * 3, IF(bbgm_stat &gt;= perc_90, converted_stat * 2, IF(bbgm_stat &gt;= perc_85, converted_stat * 1.5, converted_stat)))))</f>
        <v/>
      </c>
      <c r="C432" s="30" t="str">
        <f t="array" ref="C432">IF($A432="", "", LET(bbgm_stat, INDEX(Players!$A431:$P431, MATCH(C$2, Players!$A$1:$P$1, 0)), perc_75, VLOOKUP(C$2, Percentiles!$A$45:$I$59, 6, FALSE), perc_90, VLOOKUP(C$2, Percentiles!$A$45:$I$59, 7, FALSE), perc_95, VLOOKUP(C$2, Percentiles!$A$45:$I$59, 8, FALSE), perc_85, perc_75 + (perc_90 - perc_75) * (2/3), converted_stat, '2K_Ratings'!C432, IF(bbgm_stat &gt;= perc_95, converted_stat * 3, IF(bbgm_stat &gt;= perc_90, converted_stat * 2, IF(bbgm_stat &gt;= perc_85, converted_stat * 1.5, converted_stat)))))</f>
        <v/>
      </c>
      <c r="D432" s="30" t="str">
        <f t="array" ref="D432">IF($A432="", "", LET(bbgm_stat, INDEX(Players!$A431:$P431, MATCH(D$2, Players!$A$1:$P$1, 0)), perc_75, VLOOKUP(D$2, Percentiles!$A$45:$I$59, 6, FALSE), perc_90, VLOOKUP(D$2, Percentiles!$A$45:$I$59, 7, FALSE), perc_95, VLOOKUP(D$2, Percentiles!$A$45:$I$59, 8, FALSE), perc_85, perc_75 + (perc_90 - perc_75) * (2/3), converted_stat, '2K_Ratings'!D432, IF(bbgm_stat &gt;= perc_95, converted_stat * 3, IF(bbgm_stat &gt;= perc_90, converted_stat * 2, IF(bbgm_stat &gt;= perc_85, converted_stat * 1.5, converted_stat)))))</f>
        <v/>
      </c>
      <c r="E432" s="30" t="str">
        <f t="array" ref="E432">IF($A432="", "", LET(bbgm_stat, INDEX(Players!$A431:$P431, MATCH(E$2, Players!$A$1:$P$1, 0)), perc_75, VLOOKUP(E$2, Percentiles!$A$45:$I$59, 6, FALSE), perc_90, VLOOKUP(E$2, Percentiles!$A$45:$I$59, 7, FALSE), perc_95, VLOOKUP(E$2, Percentiles!$A$45:$I$59, 8, FALSE), perc_85, perc_75 + (perc_90 - perc_75) * (2/3), converted_stat, '2K_Ratings'!E432, IF(bbgm_stat &gt;= perc_95, converted_stat * 3, IF(bbgm_stat &gt;= perc_90, converted_stat * 2, IF(bbgm_stat &gt;= perc_85, converted_stat * 1.5, converted_stat)))))</f>
        <v/>
      </c>
      <c r="F432" s="30" t="str">
        <f t="array" ref="F432">IF($A432="", "", LET(bbgm_stat, INDEX(Players!$A431:$P431, MATCH(F$2, Players!$A$1:$P$1, 0)), perc_75, VLOOKUP(F$2, Percentiles!$A$45:$I$59, 6, FALSE), perc_90, VLOOKUP(F$2, Percentiles!$A$45:$I$59, 7, FALSE), perc_95, VLOOKUP(F$2, Percentiles!$A$45:$I$59, 8, FALSE), perc_85, perc_75 + (perc_90 - perc_75) * (2/3), converted_stat, '2K_Ratings'!F432, IF(bbgm_stat &gt;= perc_95, converted_stat * 3, IF(bbgm_stat &gt;= perc_90, converted_stat * 2, IF(bbgm_stat &gt;= perc_85, converted_stat * 1.5, converted_stat)))))</f>
        <v/>
      </c>
      <c r="G432" s="30" t="str">
        <f t="array" ref="G432">IF($A432="", "", LET(bbgm_stat, INDEX(Players!$A431:$P431, MATCH(G$2, Players!$A$1:$P$1, 0)), perc_75, VLOOKUP(G$2, Percentiles!$A$45:$I$59, 6, FALSE), perc_90, VLOOKUP(G$2, Percentiles!$A$45:$I$59, 7, FALSE), perc_95, VLOOKUP(G$2, Percentiles!$A$45:$I$59, 8, FALSE), perc_85, perc_75 + (perc_90 - perc_75) * (2/3), converted_stat, '2K_Ratings'!G432, IF(bbgm_stat &gt;= perc_95, converted_stat * 3, IF(bbgm_stat &gt;= perc_90, converted_stat * 2, IF(bbgm_stat &gt;= perc_85, converted_stat * 1.5, converted_stat)))))</f>
        <v/>
      </c>
      <c r="H432" s="30" t="str">
        <f t="array" ref="H432">IF($A432="", "", LET(bbgm_stat, INDEX(Players!$A431:$P431, MATCH(H$2, Players!$A$1:$P$1, 0)), perc_75, VLOOKUP(H$2, Percentiles!$A$45:$I$59, 6, FALSE), perc_90, VLOOKUP(H$2, Percentiles!$A$45:$I$59, 7, FALSE), perc_95, VLOOKUP(H$2, Percentiles!$A$45:$I$59, 8, FALSE), perc_85, perc_75 + (perc_90 - perc_75) * (2/3), converted_stat, '2K_Ratings'!H432, IF(bbgm_stat &gt;= perc_95, converted_stat * 3, IF(bbgm_stat &gt;= perc_90, converted_stat * 2, IF(bbgm_stat &gt;= perc_85, converted_stat * 1.5, converted_stat)))))</f>
        <v/>
      </c>
      <c r="I432" s="30" t="str">
        <f t="array" ref="I432">IF($A432="", "", LET(bbgm_stat, INDEX(Players!$A431:$P431, MATCH(I$2, Players!$A$1:$P$1, 0)), perc_75, VLOOKUP(I$2, Percentiles!$A$45:$I$59, 6, FALSE), perc_90, VLOOKUP(I$2, Percentiles!$A$45:$I$59, 7, FALSE), perc_95, VLOOKUP(I$2, Percentiles!$A$45:$I$59, 8, FALSE), perc_85, perc_75 + (perc_90 - perc_75) * (2/3), converted_stat, '2K_Ratings'!I432, IF(bbgm_stat &gt;= perc_95, converted_stat * 3, IF(bbgm_stat &gt;= perc_90, converted_stat * 2, IF(bbgm_stat &gt;= perc_85, converted_stat * 1.5, converted_stat)))))</f>
        <v/>
      </c>
      <c r="J432" s="30" t="str">
        <f t="array" ref="J432">IF($A432="", "", LET(bbgm_stat, INDEX(Players!$A431:$P431, MATCH(J$2, Players!$A$1:$P$1, 0)), perc_75, VLOOKUP(J$2, Percentiles!$A$45:$I$59, 6, FALSE), perc_90, VLOOKUP(J$2, Percentiles!$A$45:$I$59, 7, FALSE), perc_95, VLOOKUP(J$2, Percentiles!$A$45:$I$59, 8, FALSE), perc_85, perc_75 + (perc_90 - perc_75) * (2/3), converted_stat, '2K_Ratings'!J432, IF(bbgm_stat &gt;= perc_95, converted_stat * 3, IF(bbgm_stat &gt;= perc_90, converted_stat * 2, IF(bbgm_stat &gt;= perc_85, converted_stat * 1.5, converted_stat)))))</f>
        <v/>
      </c>
      <c r="K432" s="30" t="str">
        <f t="array" ref="K432">IF($A432="", "", LET(bbgm_stat, INDEX(Players!$A431:$P431, MATCH(K$2, Players!$A$1:$P$1, 0)), perc_75, VLOOKUP(K$2, Percentiles!$A$45:$I$59, 6, FALSE), perc_90, VLOOKUP(K$2, Percentiles!$A$45:$I$59, 7, FALSE), perc_95, VLOOKUP(K$2, Percentiles!$A$45:$I$59, 8, FALSE), perc_85, perc_75 + (perc_90 - perc_75) * (2/3), converted_stat, '2K_Ratings'!K432, IF(bbgm_stat &gt;= perc_95, converted_stat * 3, IF(bbgm_stat &gt;= perc_90, converted_stat * 2, IF(bbgm_stat &gt;= perc_85, converted_stat * 1.5, converted_stat)))))</f>
        <v/>
      </c>
      <c r="L432" s="30" t="str">
        <f t="array" ref="L432">IF($A432="", "", LET(bbgm_stat, INDEX(Players!$A431:$P431, MATCH(L$2, Players!$A$1:$P$1, 0)), perc_75, VLOOKUP(L$2, Percentiles!$A$45:$I$59, 6, FALSE), perc_90, VLOOKUP(L$2, Percentiles!$A$45:$I$59, 7, FALSE), perc_95, VLOOKUP(L$2, Percentiles!$A$45:$I$59, 8, FALSE), perc_85, perc_75 + (perc_90 - perc_75) * (2/3), converted_stat, '2K_Ratings'!L432, IF(bbgm_stat &gt;= perc_95, converted_stat * 3, IF(bbgm_stat &gt;= perc_90, converted_stat * 2, IF(bbgm_stat &gt;= perc_85, converted_stat * 1.5, converted_stat)))))</f>
        <v/>
      </c>
      <c r="M432" s="30" t="str">
        <f t="array" ref="M432">IF($A432="", "", LET(bbgm_stat, INDEX(Players!$A431:$P431, MATCH(M$2, Players!$A$1:$P$1, 0)), perc_75, VLOOKUP(M$2, Percentiles!$A$45:$I$59, 6, FALSE), perc_90, VLOOKUP(M$2, Percentiles!$A$45:$I$59, 7, FALSE), perc_95, VLOOKUP(M$2, Percentiles!$A$45:$I$59, 8, FALSE), perc_85, perc_75 + (perc_90 - perc_75) * (2/3), converted_stat, '2K_Ratings'!M432, IF(bbgm_stat &gt;= perc_95, converted_stat * 3, IF(bbgm_stat &gt;= perc_90, converted_stat * 2, IF(bbgm_stat &gt;= perc_85, converted_stat * 1.5, converted_stat)))))</f>
        <v/>
      </c>
      <c r="N432" s="30" t="str">
        <f t="array" ref="N432">IF($A432="", "", LET(bbgm_stat, INDEX(Players!$A431:$P431, MATCH(N$2, Players!$A$1:$P$1, 0)), perc_75, VLOOKUP(N$2, Percentiles!$A$45:$I$59, 6, FALSE), perc_90, VLOOKUP(N$2, Percentiles!$A$45:$I$59, 7, FALSE), perc_95, VLOOKUP(N$2, Percentiles!$A$45:$I$59, 8, FALSE), perc_85, perc_75 + (perc_90 - perc_75) * (2/3), converted_stat, '2K_Ratings'!N432, IF(bbgm_stat &gt;= perc_95, converted_stat * 3, IF(bbgm_stat &gt;= perc_90, converted_stat * 2, IF(bbgm_stat &gt;= perc_85, converted_stat * 1.5, converted_stat)))))</f>
        <v/>
      </c>
      <c r="O432" s="30" t="str">
        <f t="array" ref="O432">IF($A432="", "", LET(bbgm_stat, INDEX(Players!$A431:$P431, MATCH(O$2, Players!$A$1:$P$1, 0)), perc_75, VLOOKUP(O$2, Percentiles!$A$45:$I$59, 6, FALSE), perc_90, VLOOKUP(O$2, Percentiles!$A$45:$I$59, 7, FALSE), perc_95, VLOOKUP(O$2, Percentiles!$A$45:$I$59, 8, FALSE), perc_85, perc_75 + (perc_90 - perc_75) * (2/3), converted_stat, '2K_Ratings'!O432, IF(bbgm_stat &gt;= perc_95, converted_stat * 3, IF(bbgm_stat &gt;= perc_90, converted_stat * 2, IF(bbgm_stat &gt;= perc_85, converted_stat * 1.5, converted_stat)))))</f>
        <v/>
      </c>
      <c r="P432" s="30" t="str">
        <f t="array" ref="P432">IF($A432="", "", LET(bbgm_stat, INDEX(Players!$A431:$P431, MATCH(P$2, Players!$A$1:$P$1, 0)), perc_75, VLOOKUP(P$2, Percentiles!$A$45:$I$59, 6, FALSE), perc_90, VLOOKUP(P$2, Percentiles!$A$45:$I$59, 7, FALSE), perc_95, VLOOKUP(P$2, Percentiles!$A$45:$I$59, 8, FALSE), perc_85, perc_75 + (perc_90 - perc_75) * (2/3), converted_stat, '2K_Ratings'!P432, IF(bbgm_stat &gt;= perc_95, converted_stat * 3, IF(bbgm_stat &gt;= perc_90, converted_stat * 2, IF(bbgm_stat &gt;= perc_85, converted_stat * 1.5, converted_stat)))))</f>
        <v/>
      </c>
      <c r="Q432" s="30" t="str">
        <f t="array" ref="Q432">IF($A432="", "", LET(bbgm_stat, INDEX(Players!$A431:$P431, MATCH(Q$2, Players!$A$1:$P$1, 0)), perc_75, VLOOKUP(Q$2, Percentiles!$A$45:$I$59, 6, FALSE), perc_90, VLOOKUP(Q$2, Percentiles!$A$45:$I$59, 7, FALSE), perc_95, VLOOKUP(Q$2, Percentiles!$A$45:$I$59, 8, FALSE), perc_85, perc_75 + (perc_90 - perc_75) * (2/3), converted_stat, '2K_Ratings'!Q432, IF(bbgm_stat &gt;= perc_95, converted_stat * 3, IF(bbgm_stat &gt;= perc_90, converted_stat * 2, IF(bbgm_stat &gt;= perc_85, converted_stat * 1.5, converted_stat)))))</f>
        <v/>
      </c>
      <c r="R432" s="30" t="str">
        <f t="array" ref="R432">IF($A432="", "", LET(bbgm_stat, INDEX(Players!$A431:$P431, MATCH(R$2, Players!$A$1:$P$1, 0)), perc_75, VLOOKUP(R$2, Percentiles!$A$45:$I$59, 6, FALSE), perc_90, VLOOKUP(R$2, Percentiles!$A$45:$I$59, 7, FALSE), perc_95, VLOOKUP(R$2, Percentiles!$A$45:$I$59, 8, FALSE), perc_85, perc_75 + (perc_90 - perc_75) * (2/3), converted_stat, '2K_Ratings'!R432, IF(bbgm_stat &gt;= perc_95, converted_stat * 3, IF(bbgm_stat &gt;= perc_90, converted_stat * 2, IF(bbgm_stat &gt;= perc_85, converted_stat * 1.5, converted_stat)))))</f>
        <v/>
      </c>
      <c r="S432" s="30" t="str">
        <f t="array" ref="S432">IF($A432="", "", LET(bbgm_stat, INDEX(Players!$A431:$P431, MATCH(S$2, Players!$A$1:$P$1, 0)), perc_75, VLOOKUP(S$2, Percentiles!$A$45:$I$59, 6, FALSE), perc_90, VLOOKUP(S$2, Percentiles!$A$45:$I$59, 7, FALSE), perc_95, VLOOKUP(S$2, Percentiles!$A$45:$I$59, 8, FALSE), perc_85, perc_75 + (perc_90 - perc_75) * (2/3), converted_stat, '2K_Ratings'!S432, IF(bbgm_stat &gt;= perc_95, converted_stat * 3, IF(bbgm_stat &gt;= perc_90, converted_stat * 2, IF(bbgm_stat &gt;= perc_85, converted_stat * 1.5, converted_stat)))))</f>
        <v/>
      </c>
      <c r="T432" s="30" t="str">
        <f t="array" ref="T432">IF($A432="", "", LET(bbgm_stat, INDEX(Players!$A431:$P431, MATCH(T$2, Players!$A$1:$P$1, 0)), perc_75, VLOOKUP(T$2, Percentiles!$A$45:$I$59, 6, FALSE), perc_90, VLOOKUP(T$2, Percentiles!$A$45:$I$59, 7, FALSE), perc_95, VLOOKUP(T$2, Percentiles!$A$45:$I$59, 8, FALSE), perc_85, perc_75 + (perc_90 - perc_75) * (2/3), converted_stat, '2K_Ratings'!T432, IF(bbgm_stat &gt;= perc_95, converted_stat * 3, IF(bbgm_stat &gt;= perc_90, converted_stat * 2, IF(bbgm_stat &gt;= perc_85, converted_stat * 1.5, converted_stat)))))</f>
        <v/>
      </c>
      <c r="U432" s="30" t="str">
        <f t="array" ref="U432">IF($A432="", "", LET(bbgm_stat, INDEX(Players!$A431:$P431, MATCH(U$2, Players!$A$1:$P$1, 0)), perc_75, VLOOKUP(U$2, Percentiles!$A$45:$I$59, 6, FALSE), perc_90, VLOOKUP(U$2, Percentiles!$A$45:$I$59, 7, FALSE), perc_95, VLOOKUP(U$2, Percentiles!$A$45:$I$59, 8, FALSE), perc_85, perc_75 + (perc_90 - perc_75) * (2/3), converted_stat, '2K_Ratings'!U432, IF(bbgm_stat &gt;= perc_95, converted_stat * 3, IF(bbgm_stat &gt;= perc_90, converted_stat * 2, IF(bbgm_stat &gt;= perc_85, converted_stat * 1.5, converted_stat)))))</f>
        <v/>
      </c>
      <c r="V432" s="30" t="str">
        <f t="array" ref="V432">IF($A432="", "", LET(bbgm_stat, INDEX(Players!$A431:$P431, MATCH(V$2, Players!$A$1:$P$1, 0)), perc_75, VLOOKUP(V$2, Percentiles!$A$45:$I$59, 6, FALSE), perc_90, VLOOKUP(V$2, Percentiles!$A$45:$I$59, 7, FALSE), perc_95, VLOOKUP(V$2, Percentiles!$A$45:$I$59, 8, FALSE), perc_85, perc_75 + (perc_90 - perc_75) * (2/3), converted_stat, '2K_Ratings'!V432, IF(bbgm_stat &gt;= perc_95, converted_stat * 3, IF(bbgm_stat &gt;= perc_90, converted_stat * 2, IF(bbgm_stat &gt;= perc_85, converted_stat * 1.5, converted_stat)))))</f>
        <v/>
      </c>
      <c r="W432" s="30" t="str">
        <f t="array" ref="W432">IF($A432="", "", LET(bbgm_stat, INDEX(Players!$A431:$P431, MATCH(W$2, Players!$A$1:$P$1, 0)), perc_75, VLOOKUP(W$2, Percentiles!$A$45:$I$59, 6, FALSE), perc_90, VLOOKUP(W$2, Percentiles!$A$45:$I$59, 7, FALSE), perc_95, VLOOKUP(W$2, Percentiles!$A$45:$I$59, 8, FALSE), perc_85, perc_75 + (perc_90 - perc_75) * (2/3), converted_stat, '2K_Ratings'!W432, IF(bbgm_stat &gt;= perc_95, converted_stat * 3, IF(bbgm_stat &gt;= perc_90, converted_stat * 2, IF(bbgm_stat &gt;= perc_85, converted_stat * 1.5, converted_stat)))))</f>
        <v/>
      </c>
    </row>
    <row r="433">
      <c r="A433" s="30"/>
      <c r="B433" s="30" t="str">
        <f t="array" ref="B433">IF($A433="", "", LET(bbgm_stat, INDEX(Players!$A432:$P432, MATCH(B$2, Players!$A$1:$P$1, 0)), perc_75, VLOOKUP(B$2, Percentiles!$A$45:$I$59, 6, FALSE), perc_90, VLOOKUP(B$2, Percentiles!$A$45:$I$59, 7, FALSE), perc_95, VLOOKUP(B$2, Percentiles!$A$45:$I$59, 8, FALSE), perc_85, perc_75 + (perc_90 - perc_75) * (2/3), converted_stat, '2K_Ratings'!B433, IF(bbgm_stat &gt;= perc_95, converted_stat * 3, IF(bbgm_stat &gt;= perc_90, converted_stat * 2, IF(bbgm_stat &gt;= perc_85, converted_stat * 1.5, converted_stat)))))</f>
        <v/>
      </c>
      <c r="C433" s="30" t="str">
        <f t="array" ref="C433">IF($A433="", "", LET(bbgm_stat, INDEX(Players!$A432:$P432, MATCH(C$2, Players!$A$1:$P$1, 0)), perc_75, VLOOKUP(C$2, Percentiles!$A$45:$I$59, 6, FALSE), perc_90, VLOOKUP(C$2, Percentiles!$A$45:$I$59, 7, FALSE), perc_95, VLOOKUP(C$2, Percentiles!$A$45:$I$59, 8, FALSE), perc_85, perc_75 + (perc_90 - perc_75) * (2/3), converted_stat, '2K_Ratings'!C433, IF(bbgm_stat &gt;= perc_95, converted_stat * 3, IF(bbgm_stat &gt;= perc_90, converted_stat * 2, IF(bbgm_stat &gt;= perc_85, converted_stat * 1.5, converted_stat)))))</f>
        <v/>
      </c>
      <c r="D433" s="30" t="str">
        <f t="array" ref="D433">IF($A433="", "", LET(bbgm_stat, INDEX(Players!$A432:$P432, MATCH(D$2, Players!$A$1:$P$1, 0)), perc_75, VLOOKUP(D$2, Percentiles!$A$45:$I$59, 6, FALSE), perc_90, VLOOKUP(D$2, Percentiles!$A$45:$I$59, 7, FALSE), perc_95, VLOOKUP(D$2, Percentiles!$A$45:$I$59, 8, FALSE), perc_85, perc_75 + (perc_90 - perc_75) * (2/3), converted_stat, '2K_Ratings'!D433, IF(bbgm_stat &gt;= perc_95, converted_stat * 3, IF(bbgm_stat &gt;= perc_90, converted_stat * 2, IF(bbgm_stat &gt;= perc_85, converted_stat * 1.5, converted_stat)))))</f>
        <v/>
      </c>
      <c r="E433" s="30" t="str">
        <f t="array" ref="E433">IF($A433="", "", LET(bbgm_stat, INDEX(Players!$A432:$P432, MATCH(E$2, Players!$A$1:$P$1, 0)), perc_75, VLOOKUP(E$2, Percentiles!$A$45:$I$59, 6, FALSE), perc_90, VLOOKUP(E$2, Percentiles!$A$45:$I$59, 7, FALSE), perc_95, VLOOKUP(E$2, Percentiles!$A$45:$I$59, 8, FALSE), perc_85, perc_75 + (perc_90 - perc_75) * (2/3), converted_stat, '2K_Ratings'!E433, IF(bbgm_stat &gt;= perc_95, converted_stat * 3, IF(bbgm_stat &gt;= perc_90, converted_stat * 2, IF(bbgm_stat &gt;= perc_85, converted_stat * 1.5, converted_stat)))))</f>
        <v/>
      </c>
      <c r="F433" s="30" t="str">
        <f t="array" ref="F433">IF($A433="", "", LET(bbgm_stat, INDEX(Players!$A432:$P432, MATCH(F$2, Players!$A$1:$P$1, 0)), perc_75, VLOOKUP(F$2, Percentiles!$A$45:$I$59, 6, FALSE), perc_90, VLOOKUP(F$2, Percentiles!$A$45:$I$59, 7, FALSE), perc_95, VLOOKUP(F$2, Percentiles!$A$45:$I$59, 8, FALSE), perc_85, perc_75 + (perc_90 - perc_75) * (2/3), converted_stat, '2K_Ratings'!F433, IF(bbgm_stat &gt;= perc_95, converted_stat * 3, IF(bbgm_stat &gt;= perc_90, converted_stat * 2, IF(bbgm_stat &gt;= perc_85, converted_stat * 1.5, converted_stat)))))</f>
        <v/>
      </c>
      <c r="G433" s="30" t="str">
        <f t="array" ref="G433">IF($A433="", "", LET(bbgm_stat, INDEX(Players!$A432:$P432, MATCH(G$2, Players!$A$1:$P$1, 0)), perc_75, VLOOKUP(G$2, Percentiles!$A$45:$I$59, 6, FALSE), perc_90, VLOOKUP(G$2, Percentiles!$A$45:$I$59, 7, FALSE), perc_95, VLOOKUP(G$2, Percentiles!$A$45:$I$59, 8, FALSE), perc_85, perc_75 + (perc_90 - perc_75) * (2/3), converted_stat, '2K_Ratings'!G433, IF(bbgm_stat &gt;= perc_95, converted_stat * 3, IF(bbgm_stat &gt;= perc_90, converted_stat * 2, IF(bbgm_stat &gt;= perc_85, converted_stat * 1.5, converted_stat)))))</f>
        <v/>
      </c>
      <c r="H433" s="30" t="str">
        <f t="array" ref="H433">IF($A433="", "", LET(bbgm_stat, INDEX(Players!$A432:$P432, MATCH(H$2, Players!$A$1:$P$1, 0)), perc_75, VLOOKUP(H$2, Percentiles!$A$45:$I$59, 6, FALSE), perc_90, VLOOKUP(H$2, Percentiles!$A$45:$I$59, 7, FALSE), perc_95, VLOOKUP(H$2, Percentiles!$A$45:$I$59, 8, FALSE), perc_85, perc_75 + (perc_90 - perc_75) * (2/3), converted_stat, '2K_Ratings'!H433, IF(bbgm_stat &gt;= perc_95, converted_stat * 3, IF(bbgm_stat &gt;= perc_90, converted_stat * 2, IF(bbgm_stat &gt;= perc_85, converted_stat * 1.5, converted_stat)))))</f>
        <v/>
      </c>
      <c r="I433" s="30" t="str">
        <f t="array" ref="I433">IF($A433="", "", LET(bbgm_stat, INDEX(Players!$A432:$P432, MATCH(I$2, Players!$A$1:$P$1, 0)), perc_75, VLOOKUP(I$2, Percentiles!$A$45:$I$59, 6, FALSE), perc_90, VLOOKUP(I$2, Percentiles!$A$45:$I$59, 7, FALSE), perc_95, VLOOKUP(I$2, Percentiles!$A$45:$I$59, 8, FALSE), perc_85, perc_75 + (perc_90 - perc_75) * (2/3), converted_stat, '2K_Ratings'!I433, IF(bbgm_stat &gt;= perc_95, converted_stat * 3, IF(bbgm_stat &gt;= perc_90, converted_stat * 2, IF(bbgm_stat &gt;= perc_85, converted_stat * 1.5, converted_stat)))))</f>
        <v/>
      </c>
      <c r="J433" s="30" t="str">
        <f t="array" ref="J433">IF($A433="", "", LET(bbgm_stat, INDEX(Players!$A432:$P432, MATCH(J$2, Players!$A$1:$P$1, 0)), perc_75, VLOOKUP(J$2, Percentiles!$A$45:$I$59, 6, FALSE), perc_90, VLOOKUP(J$2, Percentiles!$A$45:$I$59, 7, FALSE), perc_95, VLOOKUP(J$2, Percentiles!$A$45:$I$59, 8, FALSE), perc_85, perc_75 + (perc_90 - perc_75) * (2/3), converted_stat, '2K_Ratings'!J433, IF(bbgm_stat &gt;= perc_95, converted_stat * 3, IF(bbgm_stat &gt;= perc_90, converted_stat * 2, IF(bbgm_stat &gt;= perc_85, converted_stat * 1.5, converted_stat)))))</f>
        <v/>
      </c>
      <c r="K433" s="30" t="str">
        <f t="array" ref="K433">IF($A433="", "", LET(bbgm_stat, INDEX(Players!$A432:$P432, MATCH(K$2, Players!$A$1:$P$1, 0)), perc_75, VLOOKUP(K$2, Percentiles!$A$45:$I$59, 6, FALSE), perc_90, VLOOKUP(K$2, Percentiles!$A$45:$I$59, 7, FALSE), perc_95, VLOOKUP(K$2, Percentiles!$A$45:$I$59, 8, FALSE), perc_85, perc_75 + (perc_90 - perc_75) * (2/3), converted_stat, '2K_Ratings'!K433, IF(bbgm_stat &gt;= perc_95, converted_stat * 3, IF(bbgm_stat &gt;= perc_90, converted_stat * 2, IF(bbgm_stat &gt;= perc_85, converted_stat * 1.5, converted_stat)))))</f>
        <v/>
      </c>
      <c r="L433" s="30" t="str">
        <f t="array" ref="L433">IF($A433="", "", LET(bbgm_stat, INDEX(Players!$A432:$P432, MATCH(L$2, Players!$A$1:$P$1, 0)), perc_75, VLOOKUP(L$2, Percentiles!$A$45:$I$59, 6, FALSE), perc_90, VLOOKUP(L$2, Percentiles!$A$45:$I$59, 7, FALSE), perc_95, VLOOKUP(L$2, Percentiles!$A$45:$I$59, 8, FALSE), perc_85, perc_75 + (perc_90 - perc_75) * (2/3), converted_stat, '2K_Ratings'!L433, IF(bbgm_stat &gt;= perc_95, converted_stat * 3, IF(bbgm_stat &gt;= perc_90, converted_stat * 2, IF(bbgm_stat &gt;= perc_85, converted_stat * 1.5, converted_stat)))))</f>
        <v/>
      </c>
      <c r="M433" s="30" t="str">
        <f t="array" ref="M433">IF($A433="", "", LET(bbgm_stat, INDEX(Players!$A432:$P432, MATCH(M$2, Players!$A$1:$P$1, 0)), perc_75, VLOOKUP(M$2, Percentiles!$A$45:$I$59, 6, FALSE), perc_90, VLOOKUP(M$2, Percentiles!$A$45:$I$59, 7, FALSE), perc_95, VLOOKUP(M$2, Percentiles!$A$45:$I$59, 8, FALSE), perc_85, perc_75 + (perc_90 - perc_75) * (2/3), converted_stat, '2K_Ratings'!M433, IF(bbgm_stat &gt;= perc_95, converted_stat * 3, IF(bbgm_stat &gt;= perc_90, converted_stat * 2, IF(bbgm_stat &gt;= perc_85, converted_stat * 1.5, converted_stat)))))</f>
        <v/>
      </c>
      <c r="N433" s="30" t="str">
        <f t="array" ref="N433">IF($A433="", "", LET(bbgm_stat, INDEX(Players!$A432:$P432, MATCH(N$2, Players!$A$1:$P$1, 0)), perc_75, VLOOKUP(N$2, Percentiles!$A$45:$I$59, 6, FALSE), perc_90, VLOOKUP(N$2, Percentiles!$A$45:$I$59, 7, FALSE), perc_95, VLOOKUP(N$2, Percentiles!$A$45:$I$59, 8, FALSE), perc_85, perc_75 + (perc_90 - perc_75) * (2/3), converted_stat, '2K_Ratings'!N433, IF(bbgm_stat &gt;= perc_95, converted_stat * 3, IF(bbgm_stat &gt;= perc_90, converted_stat * 2, IF(bbgm_stat &gt;= perc_85, converted_stat * 1.5, converted_stat)))))</f>
        <v/>
      </c>
      <c r="O433" s="30" t="str">
        <f t="array" ref="O433">IF($A433="", "", LET(bbgm_stat, INDEX(Players!$A432:$P432, MATCH(O$2, Players!$A$1:$P$1, 0)), perc_75, VLOOKUP(O$2, Percentiles!$A$45:$I$59, 6, FALSE), perc_90, VLOOKUP(O$2, Percentiles!$A$45:$I$59, 7, FALSE), perc_95, VLOOKUP(O$2, Percentiles!$A$45:$I$59, 8, FALSE), perc_85, perc_75 + (perc_90 - perc_75) * (2/3), converted_stat, '2K_Ratings'!O433, IF(bbgm_stat &gt;= perc_95, converted_stat * 3, IF(bbgm_stat &gt;= perc_90, converted_stat * 2, IF(bbgm_stat &gt;= perc_85, converted_stat * 1.5, converted_stat)))))</f>
        <v/>
      </c>
      <c r="P433" s="30" t="str">
        <f t="array" ref="P433">IF($A433="", "", LET(bbgm_stat, INDEX(Players!$A432:$P432, MATCH(P$2, Players!$A$1:$P$1, 0)), perc_75, VLOOKUP(P$2, Percentiles!$A$45:$I$59, 6, FALSE), perc_90, VLOOKUP(P$2, Percentiles!$A$45:$I$59, 7, FALSE), perc_95, VLOOKUP(P$2, Percentiles!$A$45:$I$59, 8, FALSE), perc_85, perc_75 + (perc_90 - perc_75) * (2/3), converted_stat, '2K_Ratings'!P433, IF(bbgm_stat &gt;= perc_95, converted_stat * 3, IF(bbgm_stat &gt;= perc_90, converted_stat * 2, IF(bbgm_stat &gt;= perc_85, converted_stat * 1.5, converted_stat)))))</f>
        <v/>
      </c>
      <c r="Q433" s="30" t="str">
        <f t="array" ref="Q433">IF($A433="", "", LET(bbgm_stat, INDEX(Players!$A432:$P432, MATCH(Q$2, Players!$A$1:$P$1, 0)), perc_75, VLOOKUP(Q$2, Percentiles!$A$45:$I$59, 6, FALSE), perc_90, VLOOKUP(Q$2, Percentiles!$A$45:$I$59, 7, FALSE), perc_95, VLOOKUP(Q$2, Percentiles!$A$45:$I$59, 8, FALSE), perc_85, perc_75 + (perc_90 - perc_75) * (2/3), converted_stat, '2K_Ratings'!Q433, IF(bbgm_stat &gt;= perc_95, converted_stat * 3, IF(bbgm_stat &gt;= perc_90, converted_stat * 2, IF(bbgm_stat &gt;= perc_85, converted_stat * 1.5, converted_stat)))))</f>
        <v/>
      </c>
      <c r="R433" s="30" t="str">
        <f t="array" ref="R433">IF($A433="", "", LET(bbgm_stat, INDEX(Players!$A432:$P432, MATCH(R$2, Players!$A$1:$P$1, 0)), perc_75, VLOOKUP(R$2, Percentiles!$A$45:$I$59, 6, FALSE), perc_90, VLOOKUP(R$2, Percentiles!$A$45:$I$59, 7, FALSE), perc_95, VLOOKUP(R$2, Percentiles!$A$45:$I$59, 8, FALSE), perc_85, perc_75 + (perc_90 - perc_75) * (2/3), converted_stat, '2K_Ratings'!R433, IF(bbgm_stat &gt;= perc_95, converted_stat * 3, IF(bbgm_stat &gt;= perc_90, converted_stat * 2, IF(bbgm_stat &gt;= perc_85, converted_stat * 1.5, converted_stat)))))</f>
        <v/>
      </c>
      <c r="S433" s="30" t="str">
        <f t="array" ref="S433">IF($A433="", "", LET(bbgm_stat, INDEX(Players!$A432:$P432, MATCH(S$2, Players!$A$1:$P$1, 0)), perc_75, VLOOKUP(S$2, Percentiles!$A$45:$I$59, 6, FALSE), perc_90, VLOOKUP(S$2, Percentiles!$A$45:$I$59, 7, FALSE), perc_95, VLOOKUP(S$2, Percentiles!$A$45:$I$59, 8, FALSE), perc_85, perc_75 + (perc_90 - perc_75) * (2/3), converted_stat, '2K_Ratings'!S433, IF(bbgm_stat &gt;= perc_95, converted_stat * 3, IF(bbgm_stat &gt;= perc_90, converted_stat * 2, IF(bbgm_stat &gt;= perc_85, converted_stat * 1.5, converted_stat)))))</f>
        <v/>
      </c>
      <c r="T433" s="30" t="str">
        <f t="array" ref="T433">IF($A433="", "", LET(bbgm_stat, INDEX(Players!$A432:$P432, MATCH(T$2, Players!$A$1:$P$1, 0)), perc_75, VLOOKUP(T$2, Percentiles!$A$45:$I$59, 6, FALSE), perc_90, VLOOKUP(T$2, Percentiles!$A$45:$I$59, 7, FALSE), perc_95, VLOOKUP(T$2, Percentiles!$A$45:$I$59, 8, FALSE), perc_85, perc_75 + (perc_90 - perc_75) * (2/3), converted_stat, '2K_Ratings'!T433, IF(bbgm_stat &gt;= perc_95, converted_stat * 3, IF(bbgm_stat &gt;= perc_90, converted_stat * 2, IF(bbgm_stat &gt;= perc_85, converted_stat * 1.5, converted_stat)))))</f>
        <v/>
      </c>
      <c r="U433" s="30" t="str">
        <f t="array" ref="U433">IF($A433="", "", LET(bbgm_stat, INDEX(Players!$A432:$P432, MATCH(U$2, Players!$A$1:$P$1, 0)), perc_75, VLOOKUP(U$2, Percentiles!$A$45:$I$59, 6, FALSE), perc_90, VLOOKUP(U$2, Percentiles!$A$45:$I$59, 7, FALSE), perc_95, VLOOKUP(U$2, Percentiles!$A$45:$I$59, 8, FALSE), perc_85, perc_75 + (perc_90 - perc_75) * (2/3), converted_stat, '2K_Ratings'!U433, IF(bbgm_stat &gt;= perc_95, converted_stat * 3, IF(bbgm_stat &gt;= perc_90, converted_stat * 2, IF(bbgm_stat &gt;= perc_85, converted_stat * 1.5, converted_stat)))))</f>
        <v/>
      </c>
      <c r="V433" s="30" t="str">
        <f t="array" ref="V433">IF($A433="", "", LET(bbgm_stat, INDEX(Players!$A432:$P432, MATCH(V$2, Players!$A$1:$P$1, 0)), perc_75, VLOOKUP(V$2, Percentiles!$A$45:$I$59, 6, FALSE), perc_90, VLOOKUP(V$2, Percentiles!$A$45:$I$59, 7, FALSE), perc_95, VLOOKUP(V$2, Percentiles!$A$45:$I$59, 8, FALSE), perc_85, perc_75 + (perc_90 - perc_75) * (2/3), converted_stat, '2K_Ratings'!V433, IF(bbgm_stat &gt;= perc_95, converted_stat * 3, IF(bbgm_stat &gt;= perc_90, converted_stat * 2, IF(bbgm_stat &gt;= perc_85, converted_stat * 1.5, converted_stat)))))</f>
        <v/>
      </c>
      <c r="W433" s="30" t="str">
        <f t="array" ref="W433">IF($A433="", "", LET(bbgm_stat, INDEX(Players!$A432:$P432, MATCH(W$2, Players!$A$1:$P$1, 0)), perc_75, VLOOKUP(W$2, Percentiles!$A$45:$I$59, 6, FALSE), perc_90, VLOOKUP(W$2, Percentiles!$A$45:$I$59, 7, FALSE), perc_95, VLOOKUP(W$2, Percentiles!$A$45:$I$59, 8, FALSE), perc_85, perc_75 + (perc_90 - perc_75) * (2/3), converted_stat, '2K_Ratings'!W433, IF(bbgm_stat &gt;= perc_95, converted_stat * 3, IF(bbgm_stat &gt;= perc_90, converted_stat * 2, IF(bbgm_stat &gt;= perc_85, converted_stat * 1.5, converted_stat)))))</f>
        <v/>
      </c>
    </row>
    <row r="434">
      <c r="A434" s="30"/>
      <c r="B434" s="30" t="str">
        <f t="array" ref="B434">IF($A434="", "", LET(bbgm_stat, INDEX(Players!$A433:$P433, MATCH(B$2, Players!$A$1:$P$1, 0)), perc_75, VLOOKUP(B$2, Percentiles!$A$45:$I$59, 6, FALSE), perc_90, VLOOKUP(B$2, Percentiles!$A$45:$I$59, 7, FALSE), perc_95, VLOOKUP(B$2, Percentiles!$A$45:$I$59, 8, FALSE), perc_85, perc_75 + (perc_90 - perc_75) * (2/3), converted_stat, '2K_Ratings'!B434, IF(bbgm_stat &gt;= perc_95, converted_stat * 3, IF(bbgm_stat &gt;= perc_90, converted_stat * 2, IF(bbgm_stat &gt;= perc_85, converted_stat * 1.5, converted_stat)))))</f>
        <v/>
      </c>
      <c r="C434" s="30" t="str">
        <f t="array" ref="C434">IF($A434="", "", LET(bbgm_stat, INDEX(Players!$A433:$P433, MATCH(C$2, Players!$A$1:$P$1, 0)), perc_75, VLOOKUP(C$2, Percentiles!$A$45:$I$59, 6, FALSE), perc_90, VLOOKUP(C$2, Percentiles!$A$45:$I$59, 7, FALSE), perc_95, VLOOKUP(C$2, Percentiles!$A$45:$I$59, 8, FALSE), perc_85, perc_75 + (perc_90 - perc_75) * (2/3), converted_stat, '2K_Ratings'!C434, IF(bbgm_stat &gt;= perc_95, converted_stat * 3, IF(bbgm_stat &gt;= perc_90, converted_stat * 2, IF(bbgm_stat &gt;= perc_85, converted_stat * 1.5, converted_stat)))))</f>
        <v/>
      </c>
      <c r="D434" s="30" t="str">
        <f t="array" ref="D434">IF($A434="", "", LET(bbgm_stat, INDEX(Players!$A433:$P433, MATCH(D$2, Players!$A$1:$P$1, 0)), perc_75, VLOOKUP(D$2, Percentiles!$A$45:$I$59, 6, FALSE), perc_90, VLOOKUP(D$2, Percentiles!$A$45:$I$59, 7, FALSE), perc_95, VLOOKUP(D$2, Percentiles!$A$45:$I$59, 8, FALSE), perc_85, perc_75 + (perc_90 - perc_75) * (2/3), converted_stat, '2K_Ratings'!D434, IF(bbgm_stat &gt;= perc_95, converted_stat * 3, IF(bbgm_stat &gt;= perc_90, converted_stat * 2, IF(bbgm_stat &gt;= perc_85, converted_stat * 1.5, converted_stat)))))</f>
        <v/>
      </c>
      <c r="E434" s="30" t="str">
        <f t="array" ref="E434">IF($A434="", "", LET(bbgm_stat, INDEX(Players!$A433:$P433, MATCH(E$2, Players!$A$1:$P$1, 0)), perc_75, VLOOKUP(E$2, Percentiles!$A$45:$I$59, 6, FALSE), perc_90, VLOOKUP(E$2, Percentiles!$A$45:$I$59, 7, FALSE), perc_95, VLOOKUP(E$2, Percentiles!$A$45:$I$59, 8, FALSE), perc_85, perc_75 + (perc_90 - perc_75) * (2/3), converted_stat, '2K_Ratings'!E434, IF(bbgm_stat &gt;= perc_95, converted_stat * 3, IF(bbgm_stat &gt;= perc_90, converted_stat * 2, IF(bbgm_stat &gt;= perc_85, converted_stat * 1.5, converted_stat)))))</f>
        <v/>
      </c>
      <c r="F434" s="30" t="str">
        <f t="array" ref="F434">IF($A434="", "", LET(bbgm_stat, INDEX(Players!$A433:$P433, MATCH(F$2, Players!$A$1:$P$1, 0)), perc_75, VLOOKUP(F$2, Percentiles!$A$45:$I$59, 6, FALSE), perc_90, VLOOKUP(F$2, Percentiles!$A$45:$I$59, 7, FALSE), perc_95, VLOOKUP(F$2, Percentiles!$A$45:$I$59, 8, FALSE), perc_85, perc_75 + (perc_90 - perc_75) * (2/3), converted_stat, '2K_Ratings'!F434, IF(bbgm_stat &gt;= perc_95, converted_stat * 3, IF(bbgm_stat &gt;= perc_90, converted_stat * 2, IF(bbgm_stat &gt;= perc_85, converted_stat * 1.5, converted_stat)))))</f>
        <v/>
      </c>
      <c r="G434" s="30" t="str">
        <f t="array" ref="G434">IF($A434="", "", LET(bbgm_stat, INDEX(Players!$A433:$P433, MATCH(G$2, Players!$A$1:$P$1, 0)), perc_75, VLOOKUP(G$2, Percentiles!$A$45:$I$59, 6, FALSE), perc_90, VLOOKUP(G$2, Percentiles!$A$45:$I$59, 7, FALSE), perc_95, VLOOKUP(G$2, Percentiles!$A$45:$I$59, 8, FALSE), perc_85, perc_75 + (perc_90 - perc_75) * (2/3), converted_stat, '2K_Ratings'!G434, IF(bbgm_stat &gt;= perc_95, converted_stat * 3, IF(bbgm_stat &gt;= perc_90, converted_stat * 2, IF(bbgm_stat &gt;= perc_85, converted_stat * 1.5, converted_stat)))))</f>
        <v/>
      </c>
      <c r="H434" s="30" t="str">
        <f t="array" ref="H434">IF($A434="", "", LET(bbgm_stat, INDEX(Players!$A433:$P433, MATCH(H$2, Players!$A$1:$P$1, 0)), perc_75, VLOOKUP(H$2, Percentiles!$A$45:$I$59, 6, FALSE), perc_90, VLOOKUP(H$2, Percentiles!$A$45:$I$59, 7, FALSE), perc_95, VLOOKUP(H$2, Percentiles!$A$45:$I$59, 8, FALSE), perc_85, perc_75 + (perc_90 - perc_75) * (2/3), converted_stat, '2K_Ratings'!H434, IF(bbgm_stat &gt;= perc_95, converted_stat * 3, IF(bbgm_stat &gt;= perc_90, converted_stat * 2, IF(bbgm_stat &gt;= perc_85, converted_stat * 1.5, converted_stat)))))</f>
        <v/>
      </c>
      <c r="I434" s="30" t="str">
        <f t="array" ref="I434">IF($A434="", "", LET(bbgm_stat, INDEX(Players!$A433:$P433, MATCH(I$2, Players!$A$1:$P$1, 0)), perc_75, VLOOKUP(I$2, Percentiles!$A$45:$I$59, 6, FALSE), perc_90, VLOOKUP(I$2, Percentiles!$A$45:$I$59, 7, FALSE), perc_95, VLOOKUP(I$2, Percentiles!$A$45:$I$59, 8, FALSE), perc_85, perc_75 + (perc_90 - perc_75) * (2/3), converted_stat, '2K_Ratings'!I434, IF(bbgm_stat &gt;= perc_95, converted_stat * 3, IF(bbgm_stat &gt;= perc_90, converted_stat * 2, IF(bbgm_stat &gt;= perc_85, converted_stat * 1.5, converted_stat)))))</f>
        <v/>
      </c>
      <c r="J434" s="30" t="str">
        <f t="array" ref="J434">IF($A434="", "", LET(bbgm_stat, INDEX(Players!$A433:$P433, MATCH(J$2, Players!$A$1:$P$1, 0)), perc_75, VLOOKUP(J$2, Percentiles!$A$45:$I$59, 6, FALSE), perc_90, VLOOKUP(J$2, Percentiles!$A$45:$I$59, 7, FALSE), perc_95, VLOOKUP(J$2, Percentiles!$A$45:$I$59, 8, FALSE), perc_85, perc_75 + (perc_90 - perc_75) * (2/3), converted_stat, '2K_Ratings'!J434, IF(bbgm_stat &gt;= perc_95, converted_stat * 3, IF(bbgm_stat &gt;= perc_90, converted_stat * 2, IF(bbgm_stat &gt;= perc_85, converted_stat * 1.5, converted_stat)))))</f>
        <v/>
      </c>
      <c r="K434" s="30" t="str">
        <f t="array" ref="K434">IF($A434="", "", LET(bbgm_stat, INDEX(Players!$A433:$P433, MATCH(K$2, Players!$A$1:$P$1, 0)), perc_75, VLOOKUP(K$2, Percentiles!$A$45:$I$59, 6, FALSE), perc_90, VLOOKUP(K$2, Percentiles!$A$45:$I$59, 7, FALSE), perc_95, VLOOKUP(K$2, Percentiles!$A$45:$I$59, 8, FALSE), perc_85, perc_75 + (perc_90 - perc_75) * (2/3), converted_stat, '2K_Ratings'!K434, IF(bbgm_stat &gt;= perc_95, converted_stat * 3, IF(bbgm_stat &gt;= perc_90, converted_stat * 2, IF(bbgm_stat &gt;= perc_85, converted_stat * 1.5, converted_stat)))))</f>
        <v/>
      </c>
      <c r="L434" s="30" t="str">
        <f t="array" ref="L434">IF($A434="", "", LET(bbgm_stat, INDEX(Players!$A433:$P433, MATCH(L$2, Players!$A$1:$P$1, 0)), perc_75, VLOOKUP(L$2, Percentiles!$A$45:$I$59, 6, FALSE), perc_90, VLOOKUP(L$2, Percentiles!$A$45:$I$59, 7, FALSE), perc_95, VLOOKUP(L$2, Percentiles!$A$45:$I$59, 8, FALSE), perc_85, perc_75 + (perc_90 - perc_75) * (2/3), converted_stat, '2K_Ratings'!L434, IF(bbgm_stat &gt;= perc_95, converted_stat * 3, IF(bbgm_stat &gt;= perc_90, converted_stat * 2, IF(bbgm_stat &gt;= perc_85, converted_stat * 1.5, converted_stat)))))</f>
        <v/>
      </c>
      <c r="M434" s="30" t="str">
        <f t="array" ref="M434">IF($A434="", "", LET(bbgm_stat, INDEX(Players!$A433:$P433, MATCH(M$2, Players!$A$1:$P$1, 0)), perc_75, VLOOKUP(M$2, Percentiles!$A$45:$I$59, 6, FALSE), perc_90, VLOOKUP(M$2, Percentiles!$A$45:$I$59, 7, FALSE), perc_95, VLOOKUP(M$2, Percentiles!$A$45:$I$59, 8, FALSE), perc_85, perc_75 + (perc_90 - perc_75) * (2/3), converted_stat, '2K_Ratings'!M434, IF(bbgm_stat &gt;= perc_95, converted_stat * 3, IF(bbgm_stat &gt;= perc_90, converted_stat * 2, IF(bbgm_stat &gt;= perc_85, converted_stat * 1.5, converted_stat)))))</f>
        <v/>
      </c>
      <c r="N434" s="30" t="str">
        <f t="array" ref="N434">IF($A434="", "", LET(bbgm_stat, INDEX(Players!$A433:$P433, MATCH(N$2, Players!$A$1:$P$1, 0)), perc_75, VLOOKUP(N$2, Percentiles!$A$45:$I$59, 6, FALSE), perc_90, VLOOKUP(N$2, Percentiles!$A$45:$I$59, 7, FALSE), perc_95, VLOOKUP(N$2, Percentiles!$A$45:$I$59, 8, FALSE), perc_85, perc_75 + (perc_90 - perc_75) * (2/3), converted_stat, '2K_Ratings'!N434, IF(bbgm_stat &gt;= perc_95, converted_stat * 3, IF(bbgm_stat &gt;= perc_90, converted_stat * 2, IF(bbgm_stat &gt;= perc_85, converted_stat * 1.5, converted_stat)))))</f>
        <v/>
      </c>
      <c r="O434" s="30" t="str">
        <f t="array" ref="O434">IF($A434="", "", LET(bbgm_stat, INDEX(Players!$A433:$P433, MATCH(O$2, Players!$A$1:$P$1, 0)), perc_75, VLOOKUP(O$2, Percentiles!$A$45:$I$59, 6, FALSE), perc_90, VLOOKUP(O$2, Percentiles!$A$45:$I$59, 7, FALSE), perc_95, VLOOKUP(O$2, Percentiles!$A$45:$I$59, 8, FALSE), perc_85, perc_75 + (perc_90 - perc_75) * (2/3), converted_stat, '2K_Ratings'!O434, IF(bbgm_stat &gt;= perc_95, converted_stat * 3, IF(bbgm_stat &gt;= perc_90, converted_stat * 2, IF(bbgm_stat &gt;= perc_85, converted_stat * 1.5, converted_stat)))))</f>
        <v/>
      </c>
      <c r="P434" s="30" t="str">
        <f t="array" ref="P434">IF($A434="", "", LET(bbgm_stat, INDEX(Players!$A433:$P433, MATCH(P$2, Players!$A$1:$P$1, 0)), perc_75, VLOOKUP(P$2, Percentiles!$A$45:$I$59, 6, FALSE), perc_90, VLOOKUP(P$2, Percentiles!$A$45:$I$59, 7, FALSE), perc_95, VLOOKUP(P$2, Percentiles!$A$45:$I$59, 8, FALSE), perc_85, perc_75 + (perc_90 - perc_75) * (2/3), converted_stat, '2K_Ratings'!P434, IF(bbgm_stat &gt;= perc_95, converted_stat * 3, IF(bbgm_stat &gt;= perc_90, converted_stat * 2, IF(bbgm_stat &gt;= perc_85, converted_stat * 1.5, converted_stat)))))</f>
        <v/>
      </c>
      <c r="Q434" s="30" t="str">
        <f t="array" ref="Q434">IF($A434="", "", LET(bbgm_stat, INDEX(Players!$A433:$P433, MATCH(Q$2, Players!$A$1:$P$1, 0)), perc_75, VLOOKUP(Q$2, Percentiles!$A$45:$I$59, 6, FALSE), perc_90, VLOOKUP(Q$2, Percentiles!$A$45:$I$59, 7, FALSE), perc_95, VLOOKUP(Q$2, Percentiles!$A$45:$I$59, 8, FALSE), perc_85, perc_75 + (perc_90 - perc_75) * (2/3), converted_stat, '2K_Ratings'!Q434, IF(bbgm_stat &gt;= perc_95, converted_stat * 3, IF(bbgm_stat &gt;= perc_90, converted_stat * 2, IF(bbgm_stat &gt;= perc_85, converted_stat * 1.5, converted_stat)))))</f>
        <v/>
      </c>
      <c r="R434" s="30" t="str">
        <f t="array" ref="R434">IF($A434="", "", LET(bbgm_stat, INDEX(Players!$A433:$P433, MATCH(R$2, Players!$A$1:$P$1, 0)), perc_75, VLOOKUP(R$2, Percentiles!$A$45:$I$59, 6, FALSE), perc_90, VLOOKUP(R$2, Percentiles!$A$45:$I$59, 7, FALSE), perc_95, VLOOKUP(R$2, Percentiles!$A$45:$I$59, 8, FALSE), perc_85, perc_75 + (perc_90 - perc_75) * (2/3), converted_stat, '2K_Ratings'!R434, IF(bbgm_stat &gt;= perc_95, converted_stat * 3, IF(bbgm_stat &gt;= perc_90, converted_stat * 2, IF(bbgm_stat &gt;= perc_85, converted_stat * 1.5, converted_stat)))))</f>
        <v/>
      </c>
      <c r="S434" s="30" t="str">
        <f t="array" ref="S434">IF($A434="", "", LET(bbgm_stat, INDEX(Players!$A433:$P433, MATCH(S$2, Players!$A$1:$P$1, 0)), perc_75, VLOOKUP(S$2, Percentiles!$A$45:$I$59, 6, FALSE), perc_90, VLOOKUP(S$2, Percentiles!$A$45:$I$59, 7, FALSE), perc_95, VLOOKUP(S$2, Percentiles!$A$45:$I$59, 8, FALSE), perc_85, perc_75 + (perc_90 - perc_75) * (2/3), converted_stat, '2K_Ratings'!S434, IF(bbgm_stat &gt;= perc_95, converted_stat * 3, IF(bbgm_stat &gt;= perc_90, converted_stat * 2, IF(bbgm_stat &gt;= perc_85, converted_stat * 1.5, converted_stat)))))</f>
        <v/>
      </c>
      <c r="T434" s="30" t="str">
        <f t="array" ref="T434">IF($A434="", "", LET(bbgm_stat, INDEX(Players!$A433:$P433, MATCH(T$2, Players!$A$1:$P$1, 0)), perc_75, VLOOKUP(T$2, Percentiles!$A$45:$I$59, 6, FALSE), perc_90, VLOOKUP(T$2, Percentiles!$A$45:$I$59, 7, FALSE), perc_95, VLOOKUP(T$2, Percentiles!$A$45:$I$59, 8, FALSE), perc_85, perc_75 + (perc_90 - perc_75) * (2/3), converted_stat, '2K_Ratings'!T434, IF(bbgm_stat &gt;= perc_95, converted_stat * 3, IF(bbgm_stat &gt;= perc_90, converted_stat * 2, IF(bbgm_stat &gt;= perc_85, converted_stat * 1.5, converted_stat)))))</f>
        <v/>
      </c>
      <c r="U434" s="30" t="str">
        <f t="array" ref="U434">IF($A434="", "", LET(bbgm_stat, INDEX(Players!$A433:$P433, MATCH(U$2, Players!$A$1:$P$1, 0)), perc_75, VLOOKUP(U$2, Percentiles!$A$45:$I$59, 6, FALSE), perc_90, VLOOKUP(U$2, Percentiles!$A$45:$I$59, 7, FALSE), perc_95, VLOOKUP(U$2, Percentiles!$A$45:$I$59, 8, FALSE), perc_85, perc_75 + (perc_90 - perc_75) * (2/3), converted_stat, '2K_Ratings'!U434, IF(bbgm_stat &gt;= perc_95, converted_stat * 3, IF(bbgm_stat &gt;= perc_90, converted_stat * 2, IF(bbgm_stat &gt;= perc_85, converted_stat * 1.5, converted_stat)))))</f>
        <v/>
      </c>
      <c r="V434" s="30" t="str">
        <f t="array" ref="V434">IF($A434="", "", LET(bbgm_stat, INDEX(Players!$A433:$P433, MATCH(V$2, Players!$A$1:$P$1, 0)), perc_75, VLOOKUP(V$2, Percentiles!$A$45:$I$59, 6, FALSE), perc_90, VLOOKUP(V$2, Percentiles!$A$45:$I$59, 7, FALSE), perc_95, VLOOKUP(V$2, Percentiles!$A$45:$I$59, 8, FALSE), perc_85, perc_75 + (perc_90 - perc_75) * (2/3), converted_stat, '2K_Ratings'!V434, IF(bbgm_stat &gt;= perc_95, converted_stat * 3, IF(bbgm_stat &gt;= perc_90, converted_stat * 2, IF(bbgm_stat &gt;= perc_85, converted_stat * 1.5, converted_stat)))))</f>
        <v/>
      </c>
      <c r="W434" s="30" t="str">
        <f t="array" ref="W434">IF($A434="", "", LET(bbgm_stat, INDEX(Players!$A433:$P433, MATCH(W$2, Players!$A$1:$P$1, 0)), perc_75, VLOOKUP(W$2, Percentiles!$A$45:$I$59, 6, FALSE), perc_90, VLOOKUP(W$2, Percentiles!$A$45:$I$59, 7, FALSE), perc_95, VLOOKUP(W$2, Percentiles!$A$45:$I$59, 8, FALSE), perc_85, perc_75 + (perc_90 - perc_75) * (2/3), converted_stat, '2K_Ratings'!W434, IF(bbgm_stat &gt;= perc_95, converted_stat * 3, IF(bbgm_stat &gt;= perc_90, converted_stat * 2, IF(bbgm_stat &gt;= perc_85, converted_stat * 1.5, converted_stat)))))</f>
        <v/>
      </c>
    </row>
    <row r="435">
      <c r="A435" s="30"/>
      <c r="B435" s="30" t="str">
        <f t="array" ref="B435">IF($A435="", "", LET(bbgm_stat, INDEX(Players!$A434:$P434, MATCH(B$2, Players!$A$1:$P$1, 0)), perc_75, VLOOKUP(B$2, Percentiles!$A$45:$I$59, 6, FALSE), perc_90, VLOOKUP(B$2, Percentiles!$A$45:$I$59, 7, FALSE), perc_95, VLOOKUP(B$2, Percentiles!$A$45:$I$59, 8, FALSE), perc_85, perc_75 + (perc_90 - perc_75) * (2/3), converted_stat, '2K_Ratings'!B435, IF(bbgm_stat &gt;= perc_95, converted_stat * 3, IF(bbgm_stat &gt;= perc_90, converted_stat * 2, IF(bbgm_stat &gt;= perc_85, converted_stat * 1.5, converted_stat)))))</f>
        <v/>
      </c>
      <c r="C435" s="30" t="str">
        <f t="array" ref="C435">IF($A435="", "", LET(bbgm_stat, INDEX(Players!$A434:$P434, MATCH(C$2, Players!$A$1:$P$1, 0)), perc_75, VLOOKUP(C$2, Percentiles!$A$45:$I$59, 6, FALSE), perc_90, VLOOKUP(C$2, Percentiles!$A$45:$I$59, 7, FALSE), perc_95, VLOOKUP(C$2, Percentiles!$A$45:$I$59, 8, FALSE), perc_85, perc_75 + (perc_90 - perc_75) * (2/3), converted_stat, '2K_Ratings'!C435, IF(bbgm_stat &gt;= perc_95, converted_stat * 3, IF(bbgm_stat &gt;= perc_90, converted_stat * 2, IF(bbgm_stat &gt;= perc_85, converted_stat * 1.5, converted_stat)))))</f>
        <v/>
      </c>
      <c r="D435" s="30" t="str">
        <f t="array" ref="D435">IF($A435="", "", LET(bbgm_stat, INDEX(Players!$A434:$P434, MATCH(D$2, Players!$A$1:$P$1, 0)), perc_75, VLOOKUP(D$2, Percentiles!$A$45:$I$59, 6, FALSE), perc_90, VLOOKUP(D$2, Percentiles!$A$45:$I$59, 7, FALSE), perc_95, VLOOKUP(D$2, Percentiles!$A$45:$I$59, 8, FALSE), perc_85, perc_75 + (perc_90 - perc_75) * (2/3), converted_stat, '2K_Ratings'!D435, IF(bbgm_stat &gt;= perc_95, converted_stat * 3, IF(bbgm_stat &gt;= perc_90, converted_stat * 2, IF(bbgm_stat &gt;= perc_85, converted_stat * 1.5, converted_stat)))))</f>
        <v/>
      </c>
      <c r="E435" s="30" t="str">
        <f t="array" ref="E435">IF($A435="", "", LET(bbgm_stat, INDEX(Players!$A434:$P434, MATCH(E$2, Players!$A$1:$P$1, 0)), perc_75, VLOOKUP(E$2, Percentiles!$A$45:$I$59, 6, FALSE), perc_90, VLOOKUP(E$2, Percentiles!$A$45:$I$59, 7, FALSE), perc_95, VLOOKUP(E$2, Percentiles!$A$45:$I$59, 8, FALSE), perc_85, perc_75 + (perc_90 - perc_75) * (2/3), converted_stat, '2K_Ratings'!E435, IF(bbgm_stat &gt;= perc_95, converted_stat * 3, IF(bbgm_stat &gt;= perc_90, converted_stat * 2, IF(bbgm_stat &gt;= perc_85, converted_stat * 1.5, converted_stat)))))</f>
        <v/>
      </c>
      <c r="F435" s="30" t="str">
        <f t="array" ref="F435">IF($A435="", "", LET(bbgm_stat, INDEX(Players!$A434:$P434, MATCH(F$2, Players!$A$1:$P$1, 0)), perc_75, VLOOKUP(F$2, Percentiles!$A$45:$I$59, 6, FALSE), perc_90, VLOOKUP(F$2, Percentiles!$A$45:$I$59, 7, FALSE), perc_95, VLOOKUP(F$2, Percentiles!$A$45:$I$59, 8, FALSE), perc_85, perc_75 + (perc_90 - perc_75) * (2/3), converted_stat, '2K_Ratings'!F435, IF(bbgm_stat &gt;= perc_95, converted_stat * 3, IF(bbgm_stat &gt;= perc_90, converted_stat * 2, IF(bbgm_stat &gt;= perc_85, converted_stat * 1.5, converted_stat)))))</f>
        <v/>
      </c>
      <c r="G435" s="30" t="str">
        <f t="array" ref="G435">IF($A435="", "", LET(bbgm_stat, INDEX(Players!$A434:$P434, MATCH(G$2, Players!$A$1:$P$1, 0)), perc_75, VLOOKUP(G$2, Percentiles!$A$45:$I$59, 6, FALSE), perc_90, VLOOKUP(G$2, Percentiles!$A$45:$I$59, 7, FALSE), perc_95, VLOOKUP(G$2, Percentiles!$A$45:$I$59, 8, FALSE), perc_85, perc_75 + (perc_90 - perc_75) * (2/3), converted_stat, '2K_Ratings'!G435, IF(bbgm_stat &gt;= perc_95, converted_stat * 3, IF(bbgm_stat &gt;= perc_90, converted_stat * 2, IF(bbgm_stat &gt;= perc_85, converted_stat * 1.5, converted_stat)))))</f>
        <v/>
      </c>
      <c r="H435" s="30" t="str">
        <f t="array" ref="H435">IF($A435="", "", LET(bbgm_stat, INDEX(Players!$A434:$P434, MATCH(H$2, Players!$A$1:$P$1, 0)), perc_75, VLOOKUP(H$2, Percentiles!$A$45:$I$59, 6, FALSE), perc_90, VLOOKUP(H$2, Percentiles!$A$45:$I$59, 7, FALSE), perc_95, VLOOKUP(H$2, Percentiles!$A$45:$I$59, 8, FALSE), perc_85, perc_75 + (perc_90 - perc_75) * (2/3), converted_stat, '2K_Ratings'!H435, IF(bbgm_stat &gt;= perc_95, converted_stat * 3, IF(bbgm_stat &gt;= perc_90, converted_stat * 2, IF(bbgm_stat &gt;= perc_85, converted_stat * 1.5, converted_stat)))))</f>
        <v/>
      </c>
      <c r="I435" s="30" t="str">
        <f t="array" ref="I435">IF($A435="", "", LET(bbgm_stat, INDEX(Players!$A434:$P434, MATCH(I$2, Players!$A$1:$P$1, 0)), perc_75, VLOOKUP(I$2, Percentiles!$A$45:$I$59, 6, FALSE), perc_90, VLOOKUP(I$2, Percentiles!$A$45:$I$59, 7, FALSE), perc_95, VLOOKUP(I$2, Percentiles!$A$45:$I$59, 8, FALSE), perc_85, perc_75 + (perc_90 - perc_75) * (2/3), converted_stat, '2K_Ratings'!I435, IF(bbgm_stat &gt;= perc_95, converted_stat * 3, IF(bbgm_stat &gt;= perc_90, converted_stat * 2, IF(bbgm_stat &gt;= perc_85, converted_stat * 1.5, converted_stat)))))</f>
        <v/>
      </c>
      <c r="J435" s="30" t="str">
        <f t="array" ref="J435">IF($A435="", "", LET(bbgm_stat, INDEX(Players!$A434:$P434, MATCH(J$2, Players!$A$1:$P$1, 0)), perc_75, VLOOKUP(J$2, Percentiles!$A$45:$I$59, 6, FALSE), perc_90, VLOOKUP(J$2, Percentiles!$A$45:$I$59, 7, FALSE), perc_95, VLOOKUP(J$2, Percentiles!$A$45:$I$59, 8, FALSE), perc_85, perc_75 + (perc_90 - perc_75) * (2/3), converted_stat, '2K_Ratings'!J435, IF(bbgm_stat &gt;= perc_95, converted_stat * 3, IF(bbgm_stat &gt;= perc_90, converted_stat * 2, IF(bbgm_stat &gt;= perc_85, converted_stat * 1.5, converted_stat)))))</f>
        <v/>
      </c>
      <c r="K435" s="30" t="str">
        <f t="array" ref="K435">IF($A435="", "", LET(bbgm_stat, INDEX(Players!$A434:$P434, MATCH(K$2, Players!$A$1:$P$1, 0)), perc_75, VLOOKUP(K$2, Percentiles!$A$45:$I$59, 6, FALSE), perc_90, VLOOKUP(K$2, Percentiles!$A$45:$I$59, 7, FALSE), perc_95, VLOOKUP(K$2, Percentiles!$A$45:$I$59, 8, FALSE), perc_85, perc_75 + (perc_90 - perc_75) * (2/3), converted_stat, '2K_Ratings'!K435, IF(bbgm_stat &gt;= perc_95, converted_stat * 3, IF(bbgm_stat &gt;= perc_90, converted_stat * 2, IF(bbgm_stat &gt;= perc_85, converted_stat * 1.5, converted_stat)))))</f>
        <v/>
      </c>
      <c r="L435" s="30" t="str">
        <f t="array" ref="L435">IF($A435="", "", LET(bbgm_stat, INDEX(Players!$A434:$P434, MATCH(L$2, Players!$A$1:$P$1, 0)), perc_75, VLOOKUP(L$2, Percentiles!$A$45:$I$59, 6, FALSE), perc_90, VLOOKUP(L$2, Percentiles!$A$45:$I$59, 7, FALSE), perc_95, VLOOKUP(L$2, Percentiles!$A$45:$I$59, 8, FALSE), perc_85, perc_75 + (perc_90 - perc_75) * (2/3), converted_stat, '2K_Ratings'!L435, IF(bbgm_stat &gt;= perc_95, converted_stat * 3, IF(bbgm_stat &gt;= perc_90, converted_stat * 2, IF(bbgm_stat &gt;= perc_85, converted_stat * 1.5, converted_stat)))))</f>
        <v/>
      </c>
      <c r="M435" s="30" t="str">
        <f t="array" ref="M435">IF($A435="", "", LET(bbgm_stat, INDEX(Players!$A434:$P434, MATCH(M$2, Players!$A$1:$P$1, 0)), perc_75, VLOOKUP(M$2, Percentiles!$A$45:$I$59, 6, FALSE), perc_90, VLOOKUP(M$2, Percentiles!$A$45:$I$59, 7, FALSE), perc_95, VLOOKUP(M$2, Percentiles!$A$45:$I$59, 8, FALSE), perc_85, perc_75 + (perc_90 - perc_75) * (2/3), converted_stat, '2K_Ratings'!M435, IF(bbgm_stat &gt;= perc_95, converted_stat * 3, IF(bbgm_stat &gt;= perc_90, converted_stat * 2, IF(bbgm_stat &gt;= perc_85, converted_stat * 1.5, converted_stat)))))</f>
        <v/>
      </c>
      <c r="N435" s="30" t="str">
        <f t="array" ref="N435">IF($A435="", "", LET(bbgm_stat, INDEX(Players!$A434:$P434, MATCH(N$2, Players!$A$1:$P$1, 0)), perc_75, VLOOKUP(N$2, Percentiles!$A$45:$I$59, 6, FALSE), perc_90, VLOOKUP(N$2, Percentiles!$A$45:$I$59, 7, FALSE), perc_95, VLOOKUP(N$2, Percentiles!$A$45:$I$59, 8, FALSE), perc_85, perc_75 + (perc_90 - perc_75) * (2/3), converted_stat, '2K_Ratings'!N435, IF(bbgm_stat &gt;= perc_95, converted_stat * 3, IF(bbgm_stat &gt;= perc_90, converted_stat * 2, IF(bbgm_stat &gt;= perc_85, converted_stat * 1.5, converted_stat)))))</f>
        <v/>
      </c>
      <c r="O435" s="30" t="str">
        <f t="array" ref="O435">IF($A435="", "", LET(bbgm_stat, INDEX(Players!$A434:$P434, MATCH(O$2, Players!$A$1:$P$1, 0)), perc_75, VLOOKUP(O$2, Percentiles!$A$45:$I$59, 6, FALSE), perc_90, VLOOKUP(O$2, Percentiles!$A$45:$I$59, 7, FALSE), perc_95, VLOOKUP(O$2, Percentiles!$A$45:$I$59, 8, FALSE), perc_85, perc_75 + (perc_90 - perc_75) * (2/3), converted_stat, '2K_Ratings'!O435, IF(bbgm_stat &gt;= perc_95, converted_stat * 3, IF(bbgm_stat &gt;= perc_90, converted_stat * 2, IF(bbgm_stat &gt;= perc_85, converted_stat * 1.5, converted_stat)))))</f>
        <v/>
      </c>
      <c r="P435" s="30" t="str">
        <f t="array" ref="P435">IF($A435="", "", LET(bbgm_stat, INDEX(Players!$A434:$P434, MATCH(P$2, Players!$A$1:$P$1, 0)), perc_75, VLOOKUP(P$2, Percentiles!$A$45:$I$59, 6, FALSE), perc_90, VLOOKUP(P$2, Percentiles!$A$45:$I$59, 7, FALSE), perc_95, VLOOKUP(P$2, Percentiles!$A$45:$I$59, 8, FALSE), perc_85, perc_75 + (perc_90 - perc_75) * (2/3), converted_stat, '2K_Ratings'!P435, IF(bbgm_stat &gt;= perc_95, converted_stat * 3, IF(bbgm_stat &gt;= perc_90, converted_stat * 2, IF(bbgm_stat &gt;= perc_85, converted_stat * 1.5, converted_stat)))))</f>
        <v/>
      </c>
      <c r="Q435" s="30" t="str">
        <f t="array" ref="Q435">IF($A435="", "", LET(bbgm_stat, INDEX(Players!$A434:$P434, MATCH(Q$2, Players!$A$1:$P$1, 0)), perc_75, VLOOKUP(Q$2, Percentiles!$A$45:$I$59, 6, FALSE), perc_90, VLOOKUP(Q$2, Percentiles!$A$45:$I$59, 7, FALSE), perc_95, VLOOKUP(Q$2, Percentiles!$A$45:$I$59, 8, FALSE), perc_85, perc_75 + (perc_90 - perc_75) * (2/3), converted_stat, '2K_Ratings'!Q435, IF(bbgm_stat &gt;= perc_95, converted_stat * 3, IF(bbgm_stat &gt;= perc_90, converted_stat * 2, IF(bbgm_stat &gt;= perc_85, converted_stat * 1.5, converted_stat)))))</f>
        <v/>
      </c>
      <c r="R435" s="30" t="str">
        <f t="array" ref="R435">IF($A435="", "", LET(bbgm_stat, INDEX(Players!$A434:$P434, MATCH(R$2, Players!$A$1:$P$1, 0)), perc_75, VLOOKUP(R$2, Percentiles!$A$45:$I$59, 6, FALSE), perc_90, VLOOKUP(R$2, Percentiles!$A$45:$I$59, 7, FALSE), perc_95, VLOOKUP(R$2, Percentiles!$A$45:$I$59, 8, FALSE), perc_85, perc_75 + (perc_90 - perc_75) * (2/3), converted_stat, '2K_Ratings'!R435, IF(bbgm_stat &gt;= perc_95, converted_stat * 3, IF(bbgm_stat &gt;= perc_90, converted_stat * 2, IF(bbgm_stat &gt;= perc_85, converted_stat * 1.5, converted_stat)))))</f>
        <v/>
      </c>
      <c r="S435" s="30" t="str">
        <f t="array" ref="S435">IF($A435="", "", LET(bbgm_stat, INDEX(Players!$A434:$P434, MATCH(S$2, Players!$A$1:$P$1, 0)), perc_75, VLOOKUP(S$2, Percentiles!$A$45:$I$59, 6, FALSE), perc_90, VLOOKUP(S$2, Percentiles!$A$45:$I$59, 7, FALSE), perc_95, VLOOKUP(S$2, Percentiles!$A$45:$I$59, 8, FALSE), perc_85, perc_75 + (perc_90 - perc_75) * (2/3), converted_stat, '2K_Ratings'!S435, IF(bbgm_stat &gt;= perc_95, converted_stat * 3, IF(bbgm_stat &gt;= perc_90, converted_stat * 2, IF(bbgm_stat &gt;= perc_85, converted_stat * 1.5, converted_stat)))))</f>
        <v/>
      </c>
      <c r="T435" s="30" t="str">
        <f t="array" ref="T435">IF($A435="", "", LET(bbgm_stat, INDEX(Players!$A434:$P434, MATCH(T$2, Players!$A$1:$P$1, 0)), perc_75, VLOOKUP(T$2, Percentiles!$A$45:$I$59, 6, FALSE), perc_90, VLOOKUP(T$2, Percentiles!$A$45:$I$59, 7, FALSE), perc_95, VLOOKUP(T$2, Percentiles!$A$45:$I$59, 8, FALSE), perc_85, perc_75 + (perc_90 - perc_75) * (2/3), converted_stat, '2K_Ratings'!T435, IF(bbgm_stat &gt;= perc_95, converted_stat * 3, IF(bbgm_stat &gt;= perc_90, converted_stat * 2, IF(bbgm_stat &gt;= perc_85, converted_stat * 1.5, converted_stat)))))</f>
        <v/>
      </c>
      <c r="U435" s="30" t="str">
        <f t="array" ref="U435">IF($A435="", "", LET(bbgm_stat, INDEX(Players!$A434:$P434, MATCH(U$2, Players!$A$1:$P$1, 0)), perc_75, VLOOKUP(U$2, Percentiles!$A$45:$I$59, 6, FALSE), perc_90, VLOOKUP(U$2, Percentiles!$A$45:$I$59, 7, FALSE), perc_95, VLOOKUP(U$2, Percentiles!$A$45:$I$59, 8, FALSE), perc_85, perc_75 + (perc_90 - perc_75) * (2/3), converted_stat, '2K_Ratings'!U435, IF(bbgm_stat &gt;= perc_95, converted_stat * 3, IF(bbgm_stat &gt;= perc_90, converted_stat * 2, IF(bbgm_stat &gt;= perc_85, converted_stat * 1.5, converted_stat)))))</f>
        <v/>
      </c>
      <c r="V435" s="30" t="str">
        <f t="array" ref="V435">IF($A435="", "", LET(bbgm_stat, INDEX(Players!$A434:$P434, MATCH(V$2, Players!$A$1:$P$1, 0)), perc_75, VLOOKUP(V$2, Percentiles!$A$45:$I$59, 6, FALSE), perc_90, VLOOKUP(V$2, Percentiles!$A$45:$I$59, 7, FALSE), perc_95, VLOOKUP(V$2, Percentiles!$A$45:$I$59, 8, FALSE), perc_85, perc_75 + (perc_90 - perc_75) * (2/3), converted_stat, '2K_Ratings'!V435, IF(bbgm_stat &gt;= perc_95, converted_stat * 3, IF(bbgm_stat &gt;= perc_90, converted_stat * 2, IF(bbgm_stat &gt;= perc_85, converted_stat * 1.5, converted_stat)))))</f>
        <v/>
      </c>
      <c r="W435" s="30" t="str">
        <f t="array" ref="W435">IF($A435="", "", LET(bbgm_stat, INDEX(Players!$A434:$P434, MATCH(W$2, Players!$A$1:$P$1, 0)), perc_75, VLOOKUP(W$2, Percentiles!$A$45:$I$59, 6, FALSE), perc_90, VLOOKUP(W$2, Percentiles!$A$45:$I$59, 7, FALSE), perc_95, VLOOKUP(W$2, Percentiles!$A$45:$I$59, 8, FALSE), perc_85, perc_75 + (perc_90 - perc_75) * (2/3), converted_stat, '2K_Ratings'!W435, IF(bbgm_stat &gt;= perc_95, converted_stat * 3, IF(bbgm_stat &gt;= perc_90, converted_stat * 2, IF(bbgm_stat &gt;= perc_85, converted_stat * 1.5, converted_stat)))))</f>
        <v/>
      </c>
    </row>
    <row r="436">
      <c r="A436" s="30"/>
      <c r="B436" s="30" t="str">
        <f t="array" ref="B436">IF($A436="", "", LET(bbgm_stat, INDEX(Players!$A435:$P435, MATCH(B$2, Players!$A$1:$P$1, 0)), perc_75, VLOOKUP(B$2, Percentiles!$A$45:$I$59, 6, FALSE), perc_90, VLOOKUP(B$2, Percentiles!$A$45:$I$59, 7, FALSE), perc_95, VLOOKUP(B$2, Percentiles!$A$45:$I$59, 8, FALSE), perc_85, perc_75 + (perc_90 - perc_75) * (2/3), converted_stat, '2K_Ratings'!B436, IF(bbgm_stat &gt;= perc_95, converted_stat * 3, IF(bbgm_stat &gt;= perc_90, converted_stat * 2, IF(bbgm_stat &gt;= perc_85, converted_stat * 1.5, converted_stat)))))</f>
        <v/>
      </c>
      <c r="C436" s="30" t="str">
        <f t="array" ref="C436">IF($A436="", "", LET(bbgm_stat, INDEX(Players!$A435:$P435, MATCH(C$2, Players!$A$1:$P$1, 0)), perc_75, VLOOKUP(C$2, Percentiles!$A$45:$I$59, 6, FALSE), perc_90, VLOOKUP(C$2, Percentiles!$A$45:$I$59, 7, FALSE), perc_95, VLOOKUP(C$2, Percentiles!$A$45:$I$59, 8, FALSE), perc_85, perc_75 + (perc_90 - perc_75) * (2/3), converted_stat, '2K_Ratings'!C436, IF(bbgm_stat &gt;= perc_95, converted_stat * 3, IF(bbgm_stat &gt;= perc_90, converted_stat * 2, IF(bbgm_stat &gt;= perc_85, converted_stat * 1.5, converted_stat)))))</f>
        <v/>
      </c>
      <c r="D436" s="30" t="str">
        <f t="array" ref="D436">IF($A436="", "", LET(bbgm_stat, INDEX(Players!$A435:$P435, MATCH(D$2, Players!$A$1:$P$1, 0)), perc_75, VLOOKUP(D$2, Percentiles!$A$45:$I$59, 6, FALSE), perc_90, VLOOKUP(D$2, Percentiles!$A$45:$I$59, 7, FALSE), perc_95, VLOOKUP(D$2, Percentiles!$A$45:$I$59, 8, FALSE), perc_85, perc_75 + (perc_90 - perc_75) * (2/3), converted_stat, '2K_Ratings'!D436, IF(bbgm_stat &gt;= perc_95, converted_stat * 3, IF(bbgm_stat &gt;= perc_90, converted_stat * 2, IF(bbgm_stat &gt;= perc_85, converted_stat * 1.5, converted_stat)))))</f>
        <v/>
      </c>
      <c r="E436" s="30" t="str">
        <f t="array" ref="E436">IF($A436="", "", LET(bbgm_stat, INDEX(Players!$A435:$P435, MATCH(E$2, Players!$A$1:$P$1, 0)), perc_75, VLOOKUP(E$2, Percentiles!$A$45:$I$59, 6, FALSE), perc_90, VLOOKUP(E$2, Percentiles!$A$45:$I$59, 7, FALSE), perc_95, VLOOKUP(E$2, Percentiles!$A$45:$I$59, 8, FALSE), perc_85, perc_75 + (perc_90 - perc_75) * (2/3), converted_stat, '2K_Ratings'!E436, IF(bbgm_stat &gt;= perc_95, converted_stat * 3, IF(bbgm_stat &gt;= perc_90, converted_stat * 2, IF(bbgm_stat &gt;= perc_85, converted_stat * 1.5, converted_stat)))))</f>
        <v/>
      </c>
      <c r="F436" s="30" t="str">
        <f t="array" ref="F436">IF($A436="", "", LET(bbgm_stat, INDEX(Players!$A435:$P435, MATCH(F$2, Players!$A$1:$P$1, 0)), perc_75, VLOOKUP(F$2, Percentiles!$A$45:$I$59, 6, FALSE), perc_90, VLOOKUP(F$2, Percentiles!$A$45:$I$59, 7, FALSE), perc_95, VLOOKUP(F$2, Percentiles!$A$45:$I$59, 8, FALSE), perc_85, perc_75 + (perc_90 - perc_75) * (2/3), converted_stat, '2K_Ratings'!F436, IF(bbgm_stat &gt;= perc_95, converted_stat * 3, IF(bbgm_stat &gt;= perc_90, converted_stat * 2, IF(bbgm_stat &gt;= perc_85, converted_stat * 1.5, converted_stat)))))</f>
        <v/>
      </c>
      <c r="G436" s="30" t="str">
        <f t="array" ref="G436">IF($A436="", "", LET(bbgm_stat, INDEX(Players!$A435:$P435, MATCH(G$2, Players!$A$1:$P$1, 0)), perc_75, VLOOKUP(G$2, Percentiles!$A$45:$I$59, 6, FALSE), perc_90, VLOOKUP(G$2, Percentiles!$A$45:$I$59, 7, FALSE), perc_95, VLOOKUP(G$2, Percentiles!$A$45:$I$59, 8, FALSE), perc_85, perc_75 + (perc_90 - perc_75) * (2/3), converted_stat, '2K_Ratings'!G436, IF(bbgm_stat &gt;= perc_95, converted_stat * 3, IF(bbgm_stat &gt;= perc_90, converted_stat * 2, IF(bbgm_stat &gt;= perc_85, converted_stat * 1.5, converted_stat)))))</f>
        <v/>
      </c>
      <c r="H436" s="30" t="str">
        <f t="array" ref="H436">IF($A436="", "", LET(bbgm_stat, INDEX(Players!$A435:$P435, MATCH(H$2, Players!$A$1:$P$1, 0)), perc_75, VLOOKUP(H$2, Percentiles!$A$45:$I$59, 6, FALSE), perc_90, VLOOKUP(H$2, Percentiles!$A$45:$I$59, 7, FALSE), perc_95, VLOOKUP(H$2, Percentiles!$A$45:$I$59, 8, FALSE), perc_85, perc_75 + (perc_90 - perc_75) * (2/3), converted_stat, '2K_Ratings'!H436, IF(bbgm_stat &gt;= perc_95, converted_stat * 3, IF(bbgm_stat &gt;= perc_90, converted_stat * 2, IF(bbgm_stat &gt;= perc_85, converted_stat * 1.5, converted_stat)))))</f>
        <v/>
      </c>
      <c r="I436" s="30" t="str">
        <f t="array" ref="I436">IF($A436="", "", LET(bbgm_stat, INDEX(Players!$A435:$P435, MATCH(I$2, Players!$A$1:$P$1, 0)), perc_75, VLOOKUP(I$2, Percentiles!$A$45:$I$59, 6, FALSE), perc_90, VLOOKUP(I$2, Percentiles!$A$45:$I$59, 7, FALSE), perc_95, VLOOKUP(I$2, Percentiles!$A$45:$I$59, 8, FALSE), perc_85, perc_75 + (perc_90 - perc_75) * (2/3), converted_stat, '2K_Ratings'!I436, IF(bbgm_stat &gt;= perc_95, converted_stat * 3, IF(bbgm_stat &gt;= perc_90, converted_stat * 2, IF(bbgm_stat &gt;= perc_85, converted_stat * 1.5, converted_stat)))))</f>
        <v/>
      </c>
      <c r="J436" s="30" t="str">
        <f t="array" ref="J436">IF($A436="", "", LET(bbgm_stat, INDEX(Players!$A435:$P435, MATCH(J$2, Players!$A$1:$P$1, 0)), perc_75, VLOOKUP(J$2, Percentiles!$A$45:$I$59, 6, FALSE), perc_90, VLOOKUP(J$2, Percentiles!$A$45:$I$59, 7, FALSE), perc_95, VLOOKUP(J$2, Percentiles!$A$45:$I$59, 8, FALSE), perc_85, perc_75 + (perc_90 - perc_75) * (2/3), converted_stat, '2K_Ratings'!J436, IF(bbgm_stat &gt;= perc_95, converted_stat * 3, IF(bbgm_stat &gt;= perc_90, converted_stat * 2, IF(bbgm_stat &gt;= perc_85, converted_stat * 1.5, converted_stat)))))</f>
        <v/>
      </c>
      <c r="K436" s="30" t="str">
        <f t="array" ref="K436">IF($A436="", "", LET(bbgm_stat, INDEX(Players!$A435:$P435, MATCH(K$2, Players!$A$1:$P$1, 0)), perc_75, VLOOKUP(K$2, Percentiles!$A$45:$I$59, 6, FALSE), perc_90, VLOOKUP(K$2, Percentiles!$A$45:$I$59, 7, FALSE), perc_95, VLOOKUP(K$2, Percentiles!$A$45:$I$59, 8, FALSE), perc_85, perc_75 + (perc_90 - perc_75) * (2/3), converted_stat, '2K_Ratings'!K436, IF(bbgm_stat &gt;= perc_95, converted_stat * 3, IF(bbgm_stat &gt;= perc_90, converted_stat * 2, IF(bbgm_stat &gt;= perc_85, converted_stat * 1.5, converted_stat)))))</f>
        <v/>
      </c>
      <c r="L436" s="30" t="str">
        <f t="array" ref="L436">IF($A436="", "", LET(bbgm_stat, INDEX(Players!$A435:$P435, MATCH(L$2, Players!$A$1:$P$1, 0)), perc_75, VLOOKUP(L$2, Percentiles!$A$45:$I$59, 6, FALSE), perc_90, VLOOKUP(L$2, Percentiles!$A$45:$I$59, 7, FALSE), perc_95, VLOOKUP(L$2, Percentiles!$A$45:$I$59, 8, FALSE), perc_85, perc_75 + (perc_90 - perc_75) * (2/3), converted_stat, '2K_Ratings'!L436, IF(bbgm_stat &gt;= perc_95, converted_stat * 3, IF(bbgm_stat &gt;= perc_90, converted_stat * 2, IF(bbgm_stat &gt;= perc_85, converted_stat * 1.5, converted_stat)))))</f>
        <v/>
      </c>
      <c r="M436" s="30" t="str">
        <f t="array" ref="M436">IF($A436="", "", LET(bbgm_stat, INDEX(Players!$A435:$P435, MATCH(M$2, Players!$A$1:$P$1, 0)), perc_75, VLOOKUP(M$2, Percentiles!$A$45:$I$59, 6, FALSE), perc_90, VLOOKUP(M$2, Percentiles!$A$45:$I$59, 7, FALSE), perc_95, VLOOKUP(M$2, Percentiles!$A$45:$I$59, 8, FALSE), perc_85, perc_75 + (perc_90 - perc_75) * (2/3), converted_stat, '2K_Ratings'!M436, IF(bbgm_stat &gt;= perc_95, converted_stat * 3, IF(bbgm_stat &gt;= perc_90, converted_stat * 2, IF(bbgm_stat &gt;= perc_85, converted_stat * 1.5, converted_stat)))))</f>
        <v/>
      </c>
      <c r="N436" s="30" t="str">
        <f t="array" ref="N436">IF($A436="", "", LET(bbgm_stat, INDEX(Players!$A435:$P435, MATCH(N$2, Players!$A$1:$P$1, 0)), perc_75, VLOOKUP(N$2, Percentiles!$A$45:$I$59, 6, FALSE), perc_90, VLOOKUP(N$2, Percentiles!$A$45:$I$59, 7, FALSE), perc_95, VLOOKUP(N$2, Percentiles!$A$45:$I$59, 8, FALSE), perc_85, perc_75 + (perc_90 - perc_75) * (2/3), converted_stat, '2K_Ratings'!N436, IF(bbgm_stat &gt;= perc_95, converted_stat * 3, IF(bbgm_stat &gt;= perc_90, converted_stat * 2, IF(bbgm_stat &gt;= perc_85, converted_stat * 1.5, converted_stat)))))</f>
        <v/>
      </c>
      <c r="O436" s="30" t="str">
        <f t="array" ref="O436">IF($A436="", "", LET(bbgm_stat, INDEX(Players!$A435:$P435, MATCH(O$2, Players!$A$1:$P$1, 0)), perc_75, VLOOKUP(O$2, Percentiles!$A$45:$I$59, 6, FALSE), perc_90, VLOOKUP(O$2, Percentiles!$A$45:$I$59, 7, FALSE), perc_95, VLOOKUP(O$2, Percentiles!$A$45:$I$59, 8, FALSE), perc_85, perc_75 + (perc_90 - perc_75) * (2/3), converted_stat, '2K_Ratings'!O436, IF(bbgm_stat &gt;= perc_95, converted_stat * 3, IF(bbgm_stat &gt;= perc_90, converted_stat * 2, IF(bbgm_stat &gt;= perc_85, converted_stat * 1.5, converted_stat)))))</f>
        <v/>
      </c>
      <c r="P436" s="30" t="str">
        <f t="array" ref="P436">IF($A436="", "", LET(bbgm_stat, INDEX(Players!$A435:$P435, MATCH(P$2, Players!$A$1:$P$1, 0)), perc_75, VLOOKUP(P$2, Percentiles!$A$45:$I$59, 6, FALSE), perc_90, VLOOKUP(P$2, Percentiles!$A$45:$I$59, 7, FALSE), perc_95, VLOOKUP(P$2, Percentiles!$A$45:$I$59, 8, FALSE), perc_85, perc_75 + (perc_90 - perc_75) * (2/3), converted_stat, '2K_Ratings'!P436, IF(bbgm_stat &gt;= perc_95, converted_stat * 3, IF(bbgm_stat &gt;= perc_90, converted_stat * 2, IF(bbgm_stat &gt;= perc_85, converted_stat * 1.5, converted_stat)))))</f>
        <v/>
      </c>
      <c r="Q436" s="30" t="str">
        <f t="array" ref="Q436">IF($A436="", "", LET(bbgm_stat, INDEX(Players!$A435:$P435, MATCH(Q$2, Players!$A$1:$P$1, 0)), perc_75, VLOOKUP(Q$2, Percentiles!$A$45:$I$59, 6, FALSE), perc_90, VLOOKUP(Q$2, Percentiles!$A$45:$I$59, 7, FALSE), perc_95, VLOOKUP(Q$2, Percentiles!$A$45:$I$59, 8, FALSE), perc_85, perc_75 + (perc_90 - perc_75) * (2/3), converted_stat, '2K_Ratings'!Q436, IF(bbgm_stat &gt;= perc_95, converted_stat * 3, IF(bbgm_stat &gt;= perc_90, converted_stat * 2, IF(bbgm_stat &gt;= perc_85, converted_stat * 1.5, converted_stat)))))</f>
        <v/>
      </c>
      <c r="R436" s="30" t="str">
        <f t="array" ref="R436">IF($A436="", "", LET(bbgm_stat, INDEX(Players!$A435:$P435, MATCH(R$2, Players!$A$1:$P$1, 0)), perc_75, VLOOKUP(R$2, Percentiles!$A$45:$I$59, 6, FALSE), perc_90, VLOOKUP(R$2, Percentiles!$A$45:$I$59, 7, FALSE), perc_95, VLOOKUP(R$2, Percentiles!$A$45:$I$59, 8, FALSE), perc_85, perc_75 + (perc_90 - perc_75) * (2/3), converted_stat, '2K_Ratings'!R436, IF(bbgm_stat &gt;= perc_95, converted_stat * 3, IF(bbgm_stat &gt;= perc_90, converted_stat * 2, IF(bbgm_stat &gt;= perc_85, converted_stat * 1.5, converted_stat)))))</f>
        <v/>
      </c>
      <c r="S436" s="30" t="str">
        <f t="array" ref="S436">IF($A436="", "", LET(bbgm_stat, INDEX(Players!$A435:$P435, MATCH(S$2, Players!$A$1:$P$1, 0)), perc_75, VLOOKUP(S$2, Percentiles!$A$45:$I$59, 6, FALSE), perc_90, VLOOKUP(S$2, Percentiles!$A$45:$I$59, 7, FALSE), perc_95, VLOOKUP(S$2, Percentiles!$A$45:$I$59, 8, FALSE), perc_85, perc_75 + (perc_90 - perc_75) * (2/3), converted_stat, '2K_Ratings'!S436, IF(bbgm_stat &gt;= perc_95, converted_stat * 3, IF(bbgm_stat &gt;= perc_90, converted_stat * 2, IF(bbgm_stat &gt;= perc_85, converted_stat * 1.5, converted_stat)))))</f>
        <v/>
      </c>
      <c r="T436" s="30" t="str">
        <f t="array" ref="T436">IF($A436="", "", LET(bbgm_stat, INDEX(Players!$A435:$P435, MATCH(T$2, Players!$A$1:$P$1, 0)), perc_75, VLOOKUP(T$2, Percentiles!$A$45:$I$59, 6, FALSE), perc_90, VLOOKUP(T$2, Percentiles!$A$45:$I$59, 7, FALSE), perc_95, VLOOKUP(T$2, Percentiles!$A$45:$I$59, 8, FALSE), perc_85, perc_75 + (perc_90 - perc_75) * (2/3), converted_stat, '2K_Ratings'!T436, IF(bbgm_stat &gt;= perc_95, converted_stat * 3, IF(bbgm_stat &gt;= perc_90, converted_stat * 2, IF(bbgm_stat &gt;= perc_85, converted_stat * 1.5, converted_stat)))))</f>
        <v/>
      </c>
      <c r="U436" s="30" t="str">
        <f t="array" ref="U436">IF($A436="", "", LET(bbgm_stat, INDEX(Players!$A435:$P435, MATCH(U$2, Players!$A$1:$P$1, 0)), perc_75, VLOOKUP(U$2, Percentiles!$A$45:$I$59, 6, FALSE), perc_90, VLOOKUP(U$2, Percentiles!$A$45:$I$59, 7, FALSE), perc_95, VLOOKUP(U$2, Percentiles!$A$45:$I$59, 8, FALSE), perc_85, perc_75 + (perc_90 - perc_75) * (2/3), converted_stat, '2K_Ratings'!U436, IF(bbgm_stat &gt;= perc_95, converted_stat * 3, IF(bbgm_stat &gt;= perc_90, converted_stat * 2, IF(bbgm_stat &gt;= perc_85, converted_stat * 1.5, converted_stat)))))</f>
        <v/>
      </c>
      <c r="V436" s="30" t="str">
        <f t="array" ref="V436">IF($A436="", "", LET(bbgm_stat, INDEX(Players!$A435:$P435, MATCH(V$2, Players!$A$1:$P$1, 0)), perc_75, VLOOKUP(V$2, Percentiles!$A$45:$I$59, 6, FALSE), perc_90, VLOOKUP(V$2, Percentiles!$A$45:$I$59, 7, FALSE), perc_95, VLOOKUP(V$2, Percentiles!$A$45:$I$59, 8, FALSE), perc_85, perc_75 + (perc_90 - perc_75) * (2/3), converted_stat, '2K_Ratings'!V436, IF(bbgm_stat &gt;= perc_95, converted_stat * 3, IF(bbgm_stat &gt;= perc_90, converted_stat * 2, IF(bbgm_stat &gt;= perc_85, converted_stat * 1.5, converted_stat)))))</f>
        <v/>
      </c>
      <c r="W436" s="30" t="str">
        <f t="array" ref="W436">IF($A436="", "", LET(bbgm_stat, INDEX(Players!$A435:$P435, MATCH(W$2, Players!$A$1:$P$1, 0)), perc_75, VLOOKUP(W$2, Percentiles!$A$45:$I$59, 6, FALSE), perc_90, VLOOKUP(W$2, Percentiles!$A$45:$I$59, 7, FALSE), perc_95, VLOOKUP(W$2, Percentiles!$A$45:$I$59, 8, FALSE), perc_85, perc_75 + (perc_90 - perc_75) * (2/3), converted_stat, '2K_Ratings'!W436, IF(bbgm_stat &gt;= perc_95, converted_stat * 3, IF(bbgm_stat &gt;= perc_90, converted_stat * 2, IF(bbgm_stat &gt;= perc_85, converted_stat * 1.5, converted_stat)))))</f>
        <v/>
      </c>
    </row>
    <row r="437">
      <c r="A437" s="30"/>
      <c r="B437" s="30" t="str">
        <f t="array" ref="B437">IF($A437="", "", LET(bbgm_stat, INDEX(Players!$A436:$P436, MATCH(B$2, Players!$A$1:$P$1, 0)), perc_75, VLOOKUP(B$2, Percentiles!$A$45:$I$59, 6, FALSE), perc_90, VLOOKUP(B$2, Percentiles!$A$45:$I$59, 7, FALSE), perc_95, VLOOKUP(B$2, Percentiles!$A$45:$I$59, 8, FALSE), perc_85, perc_75 + (perc_90 - perc_75) * (2/3), converted_stat, '2K_Ratings'!B437, IF(bbgm_stat &gt;= perc_95, converted_stat * 3, IF(bbgm_stat &gt;= perc_90, converted_stat * 2, IF(bbgm_stat &gt;= perc_85, converted_stat * 1.5, converted_stat)))))</f>
        <v/>
      </c>
      <c r="C437" s="30" t="str">
        <f t="array" ref="C437">IF($A437="", "", LET(bbgm_stat, INDEX(Players!$A436:$P436, MATCH(C$2, Players!$A$1:$P$1, 0)), perc_75, VLOOKUP(C$2, Percentiles!$A$45:$I$59, 6, FALSE), perc_90, VLOOKUP(C$2, Percentiles!$A$45:$I$59, 7, FALSE), perc_95, VLOOKUP(C$2, Percentiles!$A$45:$I$59, 8, FALSE), perc_85, perc_75 + (perc_90 - perc_75) * (2/3), converted_stat, '2K_Ratings'!C437, IF(bbgm_stat &gt;= perc_95, converted_stat * 3, IF(bbgm_stat &gt;= perc_90, converted_stat * 2, IF(bbgm_stat &gt;= perc_85, converted_stat * 1.5, converted_stat)))))</f>
        <v/>
      </c>
      <c r="D437" s="30" t="str">
        <f t="array" ref="D437">IF($A437="", "", LET(bbgm_stat, INDEX(Players!$A436:$P436, MATCH(D$2, Players!$A$1:$P$1, 0)), perc_75, VLOOKUP(D$2, Percentiles!$A$45:$I$59, 6, FALSE), perc_90, VLOOKUP(D$2, Percentiles!$A$45:$I$59, 7, FALSE), perc_95, VLOOKUP(D$2, Percentiles!$A$45:$I$59, 8, FALSE), perc_85, perc_75 + (perc_90 - perc_75) * (2/3), converted_stat, '2K_Ratings'!D437, IF(bbgm_stat &gt;= perc_95, converted_stat * 3, IF(bbgm_stat &gt;= perc_90, converted_stat * 2, IF(bbgm_stat &gt;= perc_85, converted_stat * 1.5, converted_stat)))))</f>
        <v/>
      </c>
      <c r="E437" s="30" t="str">
        <f t="array" ref="E437">IF($A437="", "", LET(bbgm_stat, INDEX(Players!$A436:$P436, MATCH(E$2, Players!$A$1:$P$1, 0)), perc_75, VLOOKUP(E$2, Percentiles!$A$45:$I$59, 6, FALSE), perc_90, VLOOKUP(E$2, Percentiles!$A$45:$I$59, 7, FALSE), perc_95, VLOOKUP(E$2, Percentiles!$A$45:$I$59, 8, FALSE), perc_85, perc_75 + (perc_90 - perc_75) * (2/3), converted_stat, '2K_Ratings'!E437, IF(bbgm_stat &gt;= perc_95, converted_stat * 3, IF(bbgm_stat &gt;= perc_90, converted_stat * 2, IF(bbgm_stat &gt;= perc_85, converted_stat * 1.5, converted_stat)))))</f>
        <v/>
      </c>
      <c r="F437" s="30" t="str">
        <f t="array" ref="F437">IF($A437="", "", LET(bbgm_stat, INDEX(Players!$A436:$P436, MATCH(F$2, Players!$A$1:$P$1, 0)), perc_75, VLOOKUP(F$2, Percentiles!$A$45:$I$59, 6, FALSE), perc_90, VLOOKUP(F$2, Percentiles!$A$45:$I$59, 7, FALSE), perc_95, VLOOKUP(F$2, Percentiles!$A$45:$I$59, 8, FALSE), perc_85, perc_75 + (perc_90 - perc_75) * (2/3), converted_stat, '2K_Ratings'!F437, IF(bbgm_stat &gt;= perc_95, converted_stat * 3, IF(bbgm_stat &gt;= perc_90, converted_stat * 2, IF(bbgm_stat &gt;= perc_85, converted_stat * 1.5, converted_stat)))))</f>
        <v/>
      </c>
      <c r="G437" s="30" t="str">
        <f t="array" ref="G437">IF($A437="", "", LET(bbgm_stat, INDEX(Players!$A436:$P436, MATCH(G$2, Players!$A$1:$P$1, 0)), perc_75, VLOOKUP(G$2, Percentiles!$A$45:$I$59, 6, FALSE), perc_90, VLOOKUP(G$2, Percentiles!$A$45:$I$59, 7, FALSE), perc_95, VLOOKUP(G$2, Percentiles!$A$45:$I$59, 8, FALSE), perc_85, perc_75 + (perc_90 - perc_75) * (2/3), converted_stat, '2K_Ratings'!G437, IF(bbgm_stat &gt;= perc_95, converted_stat * 3, IF(bbgm_stat &gt;= perc_90, converted_stat * 2, IF(bbgm_stat &gt;= perc_85, converted_stat * 1.5, converted_stat)))))</f>
        <v/>
      </c>
      <c r="H437" s="30" t="str">
        <f t="array" ref="H437">IF($A437="", "", LET(bbgm_stat, INDEX(Players!$A436:$P436, MATCH(H$2, Players!$A$1:$P$1, 0)), perc_75, VLOOKUP(H$2, Percentiles!$A$45:$I$59, 6, FALSE), perc_90, VLOOKUP(H$2, Percentiles!$A$45:$I$59, 7, FALSE), perc_95, VLOOKUP(H$2, Percentiles!$A$45:$I$59, 8, FALSE), perc_85, perc_75 + (perc_90 - perc_75) * (2/3), converted_stat, '2K_Ratings'!H437, IF(bbgm_stat &gt;= perc_95, converted_stat * 3, IF(bbgm_stat &gt;= perc_90, converted_stat * 2, IF(bbgm_stat &gt;= perc_85, converted_stat * 1.5, converted_stat)))))</f>
        <v/>
      </c>
      <c r="I437" s="30" t="str">
        <f t="array" ref="I437">IF($A437="", "", LET(bbgm_stat, INDEX(Players!$A436:$P436, MATCH(I$2, Players!$A$1:$P$1, 0)), perc_75, VLOOKUP(I$2, Percentiles!$A$45:$I$59, 6, FALSE), perc_90, VLOOKUP(I$2, Percentiles!$A$45:$I$59, 7, FALSE), perc_95, VLOOKUP(I$2, Percentiles!$A$45:$I$59, 8, FALSE), perc_85, perc_75 + (perc_90 - perc_75) * (2/3), converted_stat, '2K_Ratings'!I437, IF(bbgm_stat &gt;= perc_95, converted_stat * 3, IF(bbgm_stat &gt;= perc_90, converted_stat * 2, IF(bbgm_stat &gt;= perc_85, converted_stat * 1.5, converted_stat)))))</f>
        <v/>
      </c>
      <c r="J437" s="30" t="str">
        <f t="array" ref="J437">IF($A437="", "", LET(bbgm_stat, INDEX(Players!$A436:$P436, MATCH(J$2, Players!$A$1:$P$1, 0)), perc_75, VLOOKUP(J$2, Percentiles!$A$45:$I$59, 6, FALSE), perc_90, VLOOKUP(J$2, Percentiles!$A$45:$I$59, 7, FALSE), perc_95, VLOOKUP(J$2, Percentiles!$A$45:$I$59, 8, FALSE), perc_85, perc_75 + (perc_90 - perc_75) * (2/3), converted_stat, '2K_Ratings'!J437, IF(bbgm_stat &gt;= perc_95, converted_stat * 3, IF(bbgm_stat &gt;= perc_90, converted_stat * 2, IF(bbgm_stat &gt;= perc_85, converted_stat * 1.5, converted_stat)))))</f>
        <v/>
      </c>
      <c r="K437" s="30" t="str">
        <f t="array" ref="K437">IF($A437="", "", LET(bbgm_stat, INDEX(Players!$A436:$P436, MATCH(K$2, Players!$A$1:$P$1, 0)), perc_75, VLOOKUP(K$2, Percentiles!$A$45:$I$59, 6, FALSE), perc_90, VLOOKUP(K$2, Percentiles!$A$45:$I$59, 7, FALSE), perc_95, VLOOKUP(K$2, Percentiles!$A$45:$I$59, 8, FALSE), perc_85, perc_75 + (perc_90 - perc_75) * (2/3), converted_stat, '2K_Ratings'!K437, IF(bbgm_stat &gt;= perc_95, converted_stat * 3, IF(bbgm_stat &gt;= perc_90, converted_stat * 2, IF(bbgm_stat &gt;= perc_85, converted_stat * 1.5, converted_stat)))))</f>
        <v/>
      </c>
      <c r="L437" s="30" t="str">
        <f t="array" ref="L437">IF($A437="", "", LET(bbgm_stat, INDEX(Players!$A436:$P436, MATCH(L$2, Players!$A$1:$P$1, 0)), perc_75, VLOOKUP(L$2, Percentiles!$A$45:$I$59, 6, FALSE), perc_90, VLOOKUP(L$2, Percentiles!$A$45:$I$59, 7, FALSE), perc_95, VLOOKUP(L$2, Percentiles!$A$45:$I$59, 8, FALSE), perc_85, perc_75 + (perc_90 - perc_75) * (2/3), converted_stat, '2K_Ratings'!L437, IF(bbgm_stat &gt;= perc_95, converted_stat * 3, IF(bbgm_stat &gt;= perc_90, converted_stat * 2, IF(bbgm_stat &gt;= perc_85, converted_stat * 1.5, converted_stat)))))</f>
        <v/>
      </c>
      <c r="M437" s="30" t="str">
        <f t="array" ref="M437">IF($A437="", "", LET(bbgm_stat, INDEX(Players!$A436:$P436, MATCH(M$2, Players!$A$1:$P$1, 0)), perc_75, VLOOKUP(M$2, Percentiles!$A$45:$I$59, 6, FALSE), perc_90, VLOOKUP(M$2, Percentiles!$A$45:$I$59, 7, FALSE), perc_95, VLOOKUP(M$2, Percentiles!$A$45:$I$59, 8, FALSE), perc_85, perc_75 + (perc_90 - perc_75) * (2/3), converted_stat, '2K_Ratings'!M437, IF(bbgm_stat &gt;= perc_95, converted_stat * 3, IF(bbgm_stat &gt;= perc_90, converted_stat * 2, IF(bbgm_stat &gt;= perc_85, converted_stat * 1.5, converted_stat)))))</f>
        <v/>
      </c>
      <c r="N437" s="30" t="str">
        <f t="array" ref="N437">IF($A437="", "", LET(bbgm_stat, INDEX(Players!$A436:$P436, MATCH(N$2, Players!$A$1:$P$1, 0)), perc_75, VLOOKUP(N$2, Percentiles!$A$45:$I$59, 6, FALSE), perc_90, VLOOKUP(N$2, Percentiles!$A$45:$I$59, 7, FALSE), perc_95, VLOOKUP(N$2, Percentiles!$A$45:$I$59, 8, FALSE), perc_85, perc_75 + (perc_90 - perc_75) * (2/3), converted_stat, '2K_Ratings'!N437, IF(bbgm_stat &gt;= perc_95, converted_stat * 3, IF(bbgm_stat &gt;= perc_90, converted_stat * 2, IF(bbgm_stat &gt;= perc_85, converted_stat * 1.5, converted_stat)))))</f>
        <v/>
      </c>
      <c r="O437" s="30" t="str">
        <f t="array" ref="O437">IF($A437="", "", LET(bbgm_stat, INDEX(Players!$A436:$P436, MATCH(O$2, Players!$A$1:$P$1, 0)), perc_75, VLOOKUP(O$2, Percentiles!$A$45:$I$59, 6, FALSE), perc_90, VLOOKUP(O$2, Percentiles!$A$45:$I$59, 7, FALSE), perc_95, VLOOKUP(O$2, Percentiles!$A$45:$I$59, 8, FALSE), perc_85, perc_75 + (perc_90 - perc_75) * (2/3), converted_stat, '2K_Ratings'!O437, IF(bbgm_stat &gt;= perc_95, converted_stat * 3, IF(bbgm_stat &gt;= perc_90, converted_stat * 2, IF(bbgm_stat &gt;= perc_85, converted_stat * 1.5, converted_stat)))))</f>
        <v/>
      </c>
      <c r="P437" s="30" t="str">
        <f t="array" ref="P437">IF($A437="", "", LET(bbgm_stat, INDEX(Players!$A436:$P436, MATCH(P$2, Players!$A$1:$P$1, 0)), perc_75, VLOOKUP(P$2, Percentiles!$A$45:$I$59, 6, FALSE), perc_90, VLOOKUP(P$2, Percentiles!$A$45:$I$59, 7, FALSE), perc_95, VLOOKUP(P$2, Percentiles!$A$45:$I$59, 8, FALSE), perc_85, perc_75 + (perc_90 - perc_75) * (2/3), converted_stat, '2K_Ratings'!P437, IF(bbgm_stat &gt;= perc_95, converted_stat * 3, IF(bbgm_stat &gt;= perc_90, converted_stat * 2, IF(bbgm_stat &gt;= perc_85, converted_stat * 1.5, converted_stat)))))</f>
        <v/>
      </c>
      <c r="Q437" s="30" t="str">
        <f t="array" ref="Q437">IF($A437="", "", LET(bbgm_stat, INDEX(Players!$A436:$P436, MATCH(Q$2, Players!$A$1:$P$1, 0)), perc_75, VLOOKUP(Q$2, Percentiles!$A$45:$I$59, 6, FALSE), perc_90, VLOOKUP(Q$2, Percentiles!$A$45:$I$59, 7, FALSE), perc_95, VLOOKUP(Q$2, Percentiles!$A$45:$I$59, 8, FALSE), perc_85, perc_75 + (perc_90 - perc_75) * (2/3), converted_stat, '2K_Ratings'!Q437, IF(bbgm_stat &gt;= perc_95, converted_stat * 3, IF(bbgm_stat &gt;= perc_90, converted_stat * 2, IF(bbgm_stat &gt;= perc_85, converted_stat * 1.5, converted_stat)))))</f>
        <v/>
      </c>
      <c r="R437" s="30" t="str">
        <f t="array" ref="R437">IF($A437="", "", LET(bbgm_stat, INDEX(Players!$A436:$P436, MATCH(R$2, Players!$A$1:$P$1, 0)), perc_75, VLOOKUP(R$2, Percentiles!$A$45:$I$59, 6, FALSE), perc_90, VLOOKUP(R$2, Percentiles!$A$45:$I$59, 7, FALSE), perc_95, VLOOKUP(R$2, Percentiles!$A$45:$I$59, 8, FALSE), perc_85, perc_75 + (perc_90 - perc_75) * (2/3), converted_stat, '2K_Ratings'!R437, IF(bbgm_stat &gt;= perc_95, converted_stat * 3, IF(bbgm_stat &gt;= perc_90, converted_stat * 2, IF(bbgm_stat &gt;= perc_85, converted_stat * 1.5, converted_stat)))))</f>
        <v/>
      </c>
      <c r="S437" s="30" t="str">
        <f t="array" ref="S437">IF($A437="", "", LET(bbgm_stat, INDEX(Players!$A436:$P436, MATCH(S$2, Players!$A$1:$P$1, 0)), perc_75, VLOOKUP(S$2, Percentiles!$A$45:$I$59, 6, FALSE), perc_90, VLOOKUP(S$2, Percentiles!$A$45:$I$59, 7, FALSE), perc_95, VLOOKUP(S$2, Percentiles!$A$45:$I$59, 8, FALSE), perc_85, perc_75 + (perc_90 - perc_75) * (2/3), converted_stat, '2K_Ratings'!S437, IF(bbgm_stat &gt;= perc_95, converted_stat * 3, IF(bbgm_stat &gt;= perc_90, converted_stat * 2, IF(bbgm_stat &gt;= perc_85, converted_stat * 1.5, converted_stat)))))</f>
        <v/>
      </c>
      <c r="T437" s="30" t="str">
        <f t="array" ref="T437">IF($A437="", "", LET(bbgm_stat, INDEX(Players!$A436:$P436, MATCH(T$2, Players!$A$1:$P$1, 0)), perc_75, VLOOKUP(T$2, Percentiles!$A$45:$I$59, 6, FALSE), perc_90, VLOOKUP(T$2, Percentiles!$A$45:$I$59, 7, FALSE), perc_95, VLOOKUP(T$2, Percentiles!$A$45:$I$59, 8, FALSE), perc_85, perc_75 + (perc_90 - perc_75) * (2/3), converted_stat, '2K_Ratings'!T437, IF(bbgm_stat &gt;= perc_95, converted_stat * 3, IF(bbgm_stat &gt;= perc_90, converted_stat * 2, IF(bbgm_stat &gt;= perc_85, converted_stat * 1.5, converted_stat)))))</f>
        <v/>
      </c>
      <c r="U437" s="30" t="str">
        <f t="array" ref="U437">IF($A437="", "", LET(bbgm_stat, INDEX(Players!$A436:$P436, MATCH(U$2, Players!$A$1:$P$1, 0)), perc_75, VLOOKUP(U$2, Percentiles!$A$45:$I$59, 6, FALSE), perc_90, VLOOKUP(U$2, Percentiles!$A$45:$I$59, 7, FALSE), perc_95, VLOOKUP(U$2, Percentiles!$A$45:$I$59, 8, FALSE), perc_85, perc_75 + (perc_90 - perc_75) * (2/3), converted_stat, '2K_Ratings'!U437, IF(bbgm_stat &gt;= perc_95, converted_stat * 3, IF(bbgm_stat &gt;= perc_90, converted_stat * 2, IF(bbgm_stat &gt;= perc_85, converted_stat * 1.5, converted_stat)))))</f>
        <v/>
      </c>
      <c r="V437" s="30" t="str">
        <f t="array" ref="V437">IF($A437="", "", LET(bbgm_stat, INDEX(Players!$A436:$P436, MATCH(V$2, Players!$A$1:$P$1, 0)), perc_75, VLOOKUP(V$2, Percentiles!$A$45:$I$59, 6, FALSE), perc_90, VLOOKUP(V$2, Percentiles!$A$45:$I$59, 7, FALSE), perc_95, VLOOKUP(V$2, Percentiles!$A$45:$I$59, 8, FALSE), perc_85, perc_75 + (perc_90 - perc_75) * (2/3), converted_stat, '2K_Ratings'!V437, IF(bbgm_stat &gt;= perc_95, converted_stat * 3, IF(bbgm_stat &gt;= perc_90, converted_stat * 2, IF(bbgm_stat &gt;= perc_85, converted_stat * 1.5, converted_stat)))))</f>
        <v/>
      </c>
      <c r="W437" s="30" t="str">
        <f t="array" ref="W437">IF($A437="", "", LET(bbgm_stat, INDEX(Players!$A436:$P436, MATCH(W$2, Players!$A$1:$P$1, 0)), perc_75, VLOOKUP(W$2, Percentiles!$A$45:$I$59, 6, FALSE), perc_90, VLOOKUP(W$2, Percentiles!$A$45:$I$59, 7, FALSE), perc_95, VLOOKUP(W$2, Percentiles!$A$45:$I$59, 8, FALSE), perc_85, perc_75 + (perc_90 - perc_75) * (2/3), converted_stat, '2K_Ratings'!W437, IF(bbgm_stat &gt;= perc_95, converted_stat * 3, IF(bbgm_stat &gt;= perc_90, converted_stat * 2, IF(bbgm_stat &gt;= perc_85, converted_stat * 1.5, converted_stat)))))</f>
        <v/>
      </c>
    </row>
    <row r="438">
      <c r="A438" s="30"/>
      <c r="B438" s="30" t="str">
        <f t="array" ref="B438">IF($A438="", "", LET(bbgm_stat, INDEX(Players!$A437:$P437, MATCH(B$2, Players!$A$1:$P$1, 0)), perc_75, VLOOKUP(B$2, Percentiles!$A$45:$I$59, 6, FALSE), perc_90, VLOOKUP(B$2, Percentiles!$A$45:$I$59, 7, FALSE), perc_95, VLOOKUP(B$2, Percentiles!$A$45:$I$59, 8, FALSE), perc_85, perc_75 + (perc_90 - perc_75) * (2/3), converted_stat, '2K_Ratings'!B438, IF(bbgm_stat &gt;= perc_95, converted_stat * 3, IF(bbgm_stat &gt;= perc_90, converted_stat * 2, IF(bbgm_stat &gt;= perc_85, converted_stat * 1.5, converted_stat)))))</f>
        <v/>
      </c>
      <c r="C438" s="30" t="str">
        <f t="array" ref="C438">IF($A438="", "", LET(bbgm_stat, INDEX(Players!$A437:$P437, MATCH(C$2, Players!$A$1:$P$1, 0)), perc_75, VLOOKUP(C$2, Percentiles!$A$45:$I$59, 6, FALSE), perc_90, VLOOKUP(C$2, Percentiles!$A$45:$I$59, 7, FALSE), perc_95, VLOOKUP(C$2, Percentiles!$A$45:$I$59, 8, FALSE), perc_85, perc_75 + (perc_90 - perc_75) * (2/3), converted_stat, '2K_Ratings'!C438, IF(bbgm_stat &gt;= perc_95, converted_stat * 3, IF(bbgm_stat &gt;= perc_90, converted_stat * 2, IF(bbgm_stat &gt;= perc_85, converted_stat * 1.5, converted_stat)))))</f>
        <v/>
      </c>
      <c r="D438" s="30" t="str">
        <f t="array" ref="D438">IF($A438="", "", LET(bbgm_stat, INDEX(Players!$A437:$P437, MATCH(D$2, Players!$A$1:$P$1, 0)), perc_75, VLOOKUP(D$2, Percentiles!$A$45:$I$59, 6, FALSE), perc_90, VLOOKUP(D$2, Percentiles!$A$45:$I$59, 7, FALSE), perc_95, VLOOKUP(D$2, Percentiles!$A$45:$I$59, 8, FALSE), perc_85, perc_75 + (perc_90 - perc_75) * (2/3), converted_stat, '2K_Ratings'!D438, IF(bbgm_stat &gt;= perc_95, converted_stat * 3, IF(bbgm_stat &gt;= perc_90, converted_stat * 2, IF(bbgm_stat &gt;= perc_85, converted_stat * 1.5, converted_stat)))))</f>
        <v/>
      </c>
      <c r="E438" s="30" t="str">
        <f t="array" ref="E438">IF($A438="", "", LET(bbgm_stat, INDEX(Players!$A437:$P437, MATCH(E$2, Players!$A$1:$P$1, 0)), perc_75, VLOOKUP(E$2, Percentiles!$A$45:$I$59, 6, FALSE), perc_90, VLOOKUP(E$2, Percentiles!$A$45:$I$59, 7, FALSE), perc_95, VLOOKUP(E$2, Percentiles!$A$45:$I$59, 8, FALSE), perc_85, perc_75 + (perc_90 - perc_75) * (2/3), converted_stat, '2K_Ratings'!E438, IF(bbgm_stat &gt;= perc_95, converted_stat * 3, IF(bbgm_stat &gt;= perc_90, converted_stat * 2, IF(bbgm_stat &gt;= perc_85, converted_stat * 1.5, converted_stat)))))</f>
        <v/>
      </c>
      <c r="F438" s="30" t="str">
        <f t="array" ref="F438">IF($A438="", "", LET(bbgm_stat, INDEX(Players!$A437:$P437, MATCH(F$2, Players!$A$1:$P$1, 0)), perc_75, VLOOKUP(F$2, Percentiles!$A$45:$I$59, 6, FALSE), perc_90, VLOOKUP(F$2, Percentiles!$A$45:$I$59, 7, FALSE), perc_95, VLOOKUP(F$2, Percentiles!$A$45:$I$59, 8, FALSE), perc_85, perc_75 + (perc_90 - perc_75) * (2/3), converted_stat, '2K_Ratings'!F438, IF(bbgm_stat &gt;= perc_95, converted_stat * 3, IF(bbgm_stat &gt;= perc_90, converted_stat * 2, IF(bbgm_stat &gt;= perc_85, converted_stat * 1.5, converted_stat)))))</f>
        <v/>
      </c>
      <c r="G438" s="30" t="str">
        <f t="array" ref="G438">IF($A438="", "", LET(bbgm_stat, INDEX(Players!$A437:$P437, MATCH(G$2, Players!$A$1:$P$1, 0)), perc_75, VLOOKUP(G$2, Percentiles!$A$45:$I$59, 6, FALSE), perc_90, VLOOKUP(G$2, Percentiles!$A$45:$I$59, 7, FALSE), perc_95, VLOOKUP(G$2, Percentiles!$A$45:$I$59, 8, FALSE), perc_85, perc_75 + (perc_90 - perc_75) * (2/3), converted_stat, '2K_Ratings'!G438, IF(bbgm_stat &gt;= perc_95, converted_stat * 3, IF(bbgm_stat &gt;= perc_90, converted_stat * 2, IF(bbgm_stat &gt;= perc_85, converted_stat * 1.5, converted_stat)))))</f>
        <v/>
      </c>
      <c r="H438" s="30" t="str">
        <f t="array" ref="H438">IF($A438="", "", LET(bbgm_stat, INDEX(Players!$A437:$P437, MATCH(H$2, Players!$A$1:$P$1, 0)), perc_75, VLOOKUP(H$2, Percentiles!$A$45:$I$59, 6, FALSE), perc_90, VLOOKUP(H$2, Percentiles!$A$45:$I$59, 7, FALSE), perc_95, VLOOKUP(H$2, Percentiles!$A$45:$I$59, 8, FALSE), perc_85, perc_75 + (perc_90 - perc_75) * (2/3), converted_stat, '2K_Ratings'!H438, IF(bbgm_stat &gt;= perc_95, converted_stat * 3, IF(bbgm_stat &gt;= perc_90, converted_stat * 2, IF(bbgm_stat &gt;= perc_85, converted_stat * 1.5, converted_stat)))))</f>
        <v/>
      </c>
      <c r="I438" s="30" t="str">
        <f t="array" ref="I438">IF($A438="", "", LET(bbgm_stat, INDEX(Players!$A437:$P437, MATCH(I$2, Players!$A$1:$P$1, 0)), perc_75, VLOOKUP(I$2, Percentiles!$A$45:$I$59, 6, FALSE), perc_90, VLOOKUP(I$2, Percentiles!$A$45:$I$59, 7, FALSE), perc_95, VLOOKUP(I$2, Percentiles!$A$45:$I$59, 8, FALSE), perc_85, perc_75 + (perc_90 - perc_75) * (2/3), converted_stat, '2K_Ratings'!I438, IF(bbgm_stat &gt;= perc_95, converted_stat * 3, IF(bbgm_stat &gt;= perc_90, converted_stat * 2, IF(bbgm_stat &gt;= perc_85, converted_stat * 1.5, converted_stat)))))</f>
        <v/>
      </c>
      <c r="J438" s="30" t="str">
        <f t="array" ref="J438">IF($A438="", "", LET(bbgm_stat, INDEX(Players!$A437:$P437, MATCH(J$2, Players!$A$1:$P$1, 0)), perc_75, VLOOKUP(J$2, Percentiles!$A$45:$I$59, 6, FALSE), perc_90, VLOOKUP(J$2, Percentiles!$A$45:$I$59, 7, FALSE), perc_95, VLOOKUP(J$2, Percentiles!$A$45:$I$59, 8, FALSE), perc_85, perc_75 + (perc_90 - perc_75) * (2/3), converted_stat, '2K_Ratings'!J438, IF(bbgm_stat &gt;= perc_95, converted_stat * 3, IF(bbgm_stat &gt;= perc_90, converted_stat * 2, IF(bbgm_stat &gt;= perc_85, converted_stat * 1.5, converted_stat)))))</f>
        <v/>
      </c>
      <c r="K438" s="30" t="str">
        <f t="array" ref="K438">IF($A438="", "", LET(bbgm_stat, INDEX(Players!$A437:$P437, MATCH(K$2, Players!$A$1:$P$1, 0)), perc_75, VLOOKUP(K$2, Percentiles!$A$45:$I$59, 6, FALSE), perc_90, VLOOKUP(K$2, Percentiles!$A$45:$I$59, 7, FALSE), perc_95, VLOOKUP(K$2, Percentiles!$A$45:$I$59, 8, FALSE), perc_85, perc_75 + (perc_90 - perc_75) * (2/3), converted_stat, '2K_Ratings'!K438, IF(bbgm_stat &gt;= perc_95, converted_stat * 3, IF(bbgm_stat &gt;= perc_90, converted_stat * 2, IF(bbgm_stat &gt;= perc_85, converted_stat * 1.5, converted_stat)))))</f>
        <v/>
      </c>
      <c r="L438" s="30" t="str">
        <f t="array" ref="L438">IF($A438="", "", LET(bbgm_stat, INDEX(Players!$A437:$P437, MATCH(L$2, Players!$A$1:$P$1, 0)), perc_75, VLOOKUP(L$2, Percentiles!$A$45:$I$59, 6, FALSE), perc_90, VLOOKUP(L$2, Percentiles!$A$45:$I$59, 7, FALSE), perc_95, VLOOKUP(L$2, Percentiles!$A$45:$I$59, 8, FALSE), perc_85, perc_75 + (perc_90 - perc_75) * (2/3), converted_stat, '2K_Ratings'!L438, IF(bbgm_stat &gt;= perc_95, converted_stat * 3, IF(bbgm_stat &gt;= perc_90, converted_stat * 2, IF(bbgm_stat &gt;= perc_85, converted_stat * 1.5, converted_stat)))))</f>
        <v/>
      </c>
      <c r="M438" s="30" t="str">
        <f t="array" ref="M438">IF($A438="", "", LET(bbgm_stat, INDEX(Players!$A437:$P437, MATCH(M$2, Players!$A$1:$P$1, 0)), perc_75, VLOOKUP(M$2, Percentiles!$A$45:$I$59, 6, FALSE), perc_90, VLOOKUP(M$2, Percentiles!$A$45:$I$59, 7, FALSE), perc_95, VLOOKUP(M$2, Percentiles!$A$45:$I$59, 8, FALSE), perc_85, perc_75 + (perc_90 - perc_75) * (2/3), converted_stat, '2K_Ratings'!M438, IF(bbgm_stat &gt;= perc_95, converted_stat * 3, IF(bbgm_stat &gt;= perc_90, converted_stat * 2, IF(bbgm_stat &gt;= perc_85, converted_stat * 1.5, converted_stat)))))</f>
        <v/>
      </c>
      <c r="N438" s="30" t="str">
        <f t="array" ref="N438">IF($A438="", "", LET(bbgm_stat, INDEX(Players!$A437:$P437, MATCH(N$2, Players!$A$1:$P$1, 0)), perc_75, VLOOKUP(N$2, Percentiles!$A$45:$I$59, 6, FALSE), perc_90, VLOOKUP(N$2, Percentiles!$A$45:$I$59, 7, FALSE), perc_95, VLOOKUP(N$2, Percentiles!$A$45:$I$59, 8, FALSE), perc_85, perc_75 + (perc_90 - perc_75) * (2/3), converted_stat, '2K_Ratings'!N438, IF(bbgm_stat &gt;= perc_95, converted_stat * 3, IF(bbgm_stat &gt;= perc_90, converted_stat * 2, IF(bbgm_stat &gt;= perc_85, converted_stat * 1.5, converted_stat)))))</f>
        <v/>
      </c>
      <c r="O438" s="30" t="str">
        <f t="array" ref="O438">IF($A438="", "", LET(bbgm_stat, INDEX(Players!$A437:$P437, MATCH(O$2, Players!$A$1:$P$1, 0)), perc_75, VLOOKUP(O$2, Percentiles!$A$45:$I$59, 6, FALSE), perc_90, VLOOKUP(O$2, Percentiles!$A$45:$I$59, 7, FALSE), perc_95, VLOOKUP(O$2, Percentiles!$A$45:$I$59, 8, FALSE), perc_85, perc_75 + (perc_90 - perc_75) * (2/3), converted_stat, '2K_Ratings'!O438, IF(bbgm_stat &gt;= perc_95, converted_stat * 3, IF(bbgm_stat &gt;= perc_90, converted_stat * 2, IF(bbgm_stat &gt;= perc_85, converted_stat * 1.5, converted_stat)))))</f>
        <v/>
      </c>
      <c r="P438" s="30" t="str">
        <f t="array" ref="P438">IF($A438="", "", LET(bbgm_stat, INDEX(Players!$A437:$P437, MATCH(P$2, Players!$A$1:$P$1, 0)), perc_75, VLOOKUP(P$2, Percentiles!$A$45:$I$59, 6, FALSE), perc_90, VLOOKUP(P$2, Percentiles!$A$45:$I$59, 7, FALSE), perc_95, VLOOKUP(P$2, Percentiles!$A$45:$I$59, 8, FALSE), perc_85, perc_75 + (perc_90 - perc_75) * (2/3), converted_stat, '2K_Ratings'!P438, IF(bbgm_stat &gt;= perc_95, converted_stat * 3, IF(bbgm_stat &gt;= perc_90, converted_stat * 2, IF(bbgm_stat &gt;= perc_85, converted_stat * 1.5, converted_stat)))))</f>
        <v/>
      </c>
      <c r="Q438" s="30" t="str">
        <f t="array" ref="Q438">IF($A438="", "", LET(bbgm_stat, INDEX(Players!$A437:$P437, MATCH(Q$2, Players!$A$1:$P$1, 0)), perc_75, VLOOKUP(Q$2, Percentiles!$A$45:$I$59, 6, FALSE), perc_90, VLOOKUP(Q$2, Percentiles!$A$45:$I$59, 7, FALSE), perc_95, VLOOKUP(Q$2, Percentiles!$A$45:$I$59, 8, FALSE), perc_85, perc_75 + (perc_90 - perc_75) * (2/3), converted_stat, '2K_Ratings'!Q438, IF(bbgm_stat &gt;= perc_95, converted_stat * 3, IF(bbgm_stat &gt;= perc_90, converted_stat * 2, IF(bbgm_stat &gt;= perc_85, converted_stat * 1.5, converted_stat)))))</f>
        <v/>
      </c>
      <c r="R438" s="30" t="str">
        <f t="array" ref="R438">IF($A438="", "", LET(bbgm_stat, INDEX(Players!$A437:$P437, MATCH(R$2, Players!$A$1:$P$1, 0)), perc_75, VLOOKUP(R$2, Percentiles!$A$45:$I$59, 6, FALSE), perc_90, VLOOKUP(R$2, Percentiles!$A$45:$I$59, 7, FALSE), perc_95, VLOOKUP(R$2, Percentiles!$A$45:$I$59, 8, FALSE), perc_85, perc_75 + (perc_90 - perc_75) * (2/3), converted_stat, '2K_Ratings'!R438, IF(bbgm_stat &gt;= perc_95, converted_stat * 3, IF(bbgm_stat &gt;= perc_90, converted_stat * 2, IF(bbgm_stat &gt;= perc_85, converted_stat * 1.5, converted_stat)))))</f>
        <v/>
      </c>
      <c r="S438" s="30" t="str">
        <f t="array" ref="S438">IF($A438="", "", LET(bbgm_stat, INDEX(Players!$A437:$P437, MATCH(S$2, Players!$A$1:$P$1, 0)), perc_75, VLOOKUP(S$2, Percentiles!$A$45:$I$59, 6, FALSE), perc_90, VLOOKUP(S$2, Percentiles!$A$45:$I$59, 7, FALSE), perc_95, VLOOKUP(S$2, Percentiles!$A$45:$I$59, 8, FALSE), perc_85, perc_75 + (perc_90 - perc_75) * (2/3), converted_stat, '2K_Ratings'!S438, IF(bbgm_stat &gt;= perc_95, converted_stat * 3, IF(bbgm_stat &gt;= perc_90, converted_stat * 2, IF(bbgm_stat &gt;= perc_85, converted_stat * 1.5, converted_stat)))))</f>
        <v/>
      </c>
      <c r="T438" s="30" t="str">
        <f t="array" ref="T438">IF($A438="", "", LET(bbgm_stat, INDEX(Players!$A437:$P437, MATCH(T$2, Players!$A$1:$P$1, 0)), perc_75, VLOOKUP(T$2, Percentiles!$A$45:$I$59, 6, FALSE), perc_90, VLOOKUP(T$2, Percentiles!$A$45:$I$59, 7, FALSE), perc_95, VLOOKUP(T$2, Percentiles!$A$45:$I$59, 8, FALSE), perc_85, perc_75 + (perc_90 - perc_75) * (2/3), converted_stat, '2K_Ratings'!T438, IF(bbgm_stat &gt;= perc_95, converted_stat * 3, IF(bbgm_stat &gt;= perc_90, converted_stat * 2, IF(bbgm_stat &gt;= perc_85, converted_stat * 1.5, converted_stat)))))</f>
        <v/>
      </c>
      <c r="U438" s="30" t="str">
        <f t="array" ref="U438">IF($A438="", "", LET(bbgm_stat, INDEX(Players!$A437:$P437, MATCH(U$2, Players!$A$1:$P$1, 0)), perc_75, VLOOKUP(U$2, Percentiles!$A$45:$I$59, 6, FALSE), perc_90, VLOOKUP(U$2, Percentiles!$A$45:$I$59, 7, FALSE), perc_95, VLOOKUP(U$2, Percentiles!$A$45:$I$59, 8, FALSE), perc_85, perc_75 + (perc_90 - perc_75) * (2/3), converted_stat, '2K_Ratings'!U438, IF(bbgm_stat &gt;= perc_95, converted_stat * 3, IF(bbgm_stat &gt;= perc_90, converted_stat * 2, IF(bbgm_stat &gt;= perc_85, converted_stat * 1.5, converted_stat)))))</f>
        <v/>
      </c>
      <c r="V438" s="30" t="str">
        <f t="array" ref="V438">IF($A438="", "", LET(bbgm_stat, INDEX(Players!$A437:$P437, MATCH(V$2, Players!$A$1:$P$1, 0)), perc_75, VLOOKUP(V$2, Percentiles!$A$45:$I$59, 6, FALSE), perc_90, VLOOKUP(V$2, Percentiles!$A$45:$I$59, 7, FALSE), perc_95, VLOOKUP(V$2, Percentiles!$A$45:$I$59, 8, FALSE), perc_85, perc_75 + (perc_90 - perc_75) * (2/3), converted_stat, '2K_Ratings'!V438, IF(bbgm_stat &gt;= perc_95, converted_stat * 3, IF(bbgm_stat &gt;= perc_90, converted_stat * 2, IF(bbgm_stat &gt;= perc_85, converted_stat * 1.5, converted_stat)))))</f>
        <v/>
      </c>
      <c r="W438" s="30" t="str">
        <f t="array" ref="W438">IF($A438="", "", LET(bbgm_stat, INDEX(Players!$A437:$P437, MATCH(W$2, Players!$A$1:$P$1, 0)), perc_75, VLOOKUP(W$2, Percentiles!$A$45:$I$59, 6, FALSE), perc_90, VLOOKUP(W$2, Percentiles!$A$45:$I$59, 7, FALSE), perc_95, VLOOKUP(W$2, Percentiles!$A$45:$I$59, 8, FALSE), perc_85, perc_75 + (perc_90 - perc_75) * (2/3), converted_stat, '2K_Ratings'!W438, IF(bbgm_stat &gt;= perc_95, converted_stat * 3, IF(bbgm_stat &gt;= perc_90, converted_stat * 2, IF(bbgm_stat &gt;= perc_85, converted_stat * 1.5, converted_stat)))))</f>
        <v/>
      </c>
    </row>
    <row r="439">
      <c r="A439" s="30"/>
      <c r="B439" s="30" t="str">
        <f t="array" ref="B439">IF($A439="", "", LET(bbgm_stat, INDEX(Players!$A438:$P438, MATCH(B$2, Players!$A$1:$P$1, 0)), perc_75, VLOOKUP(B$2, Percentiles!$A$45:$I$59, 6, FALSE), perc_90, VLOOKUP(B$2, Percentiles!$A$45:$I$59, 7, FALSE), perc_95, VLOOKUP(B$2, Percentiles!$A$45:$I$59, 8, FALSE), perc_85, perc_75 + (perc_90 - perc_75) * (2/3), converted_stat, '2K_Ratings'!B439, IF(bbgm_stat &gt;= perc_95, converted_stat * 3, IF(bbgm_stat &gt;= perc_90, converted_stat * 2, IF(bbgm_stat &gt;= perc_85, converted_stat * 1.5, converted_stat)))))</f>
        <v/>
      </c>
      <c r="C439" s="30" t="str">
        <f t="array" ref="C439">IF($A439="", "", LET(bbgm_stat, INDEX(Players!$A438:$P438, MATCH(C$2, Players!$A$1:$P$1, 0)), perc_75, VLOOKUP(C$2, Percentiles!$A$45:$I$59, 6, FALSE), perc_90, VLOOKUP(C$2, Percentiles!$A$45:$I$59, 7, FALSE), perc_95, VLOOKUP(C$2, Percentiles!$A$45:$I$59, 8, FALSE), perc_85, perc_75 + (perc_90 - perc_75) * (2/3), converted_stat, '2K_Ratings'!C439, IF(bbgm_stat &gt;= perc_95, converted_stat * 3, IF(bbgm_stat &gt;= perc_90, converted_stat * 2, IF(bbgm_stat &gt;= perc_85, converted_stat * 1.5, converted_stat)))))</f>
        <v/>
      </c>
      <c r="D439" s="30" t="str">
        <f t="array" ref="D439">IF($A439="", "", LET(bbgm_stat, INDEX(Players!$A438:$P438, MATCH(D$2, Players!$A$1:$P$1, 0)), perc_75, VLOOKUP(D$2, Percentiles!$A$45:$I$59, 6, FALSE), perc_90, VLOOKUP(D$2, Percentiles!$A$45:$I$59, 7, FALSE), perc_95, VLOOKUP(D$2, Percentiles!$A$45:$I$59, 8, FALSE), perc_85, perc_75 + (perc_90 - perc_75) * (2/3), converted_stat, '2K_Ratings'!D439, IF(bbgm_stat &gt;= perc_95, converted_stat * 3, IF(bbgm_stat &gt;= perc_90, converted_stat * 2, IF(bbgm_stat &gt;= perc_85, converted_stat * 1.5, converted_stat)))))</f>
        <v/>
      </c>
      <c r="E439" s="30" t="str">
        <f t="array" ref="E439">IF($A439="", "", LET(bbgm_stat, INDEX(Players!$A438:$P438, MATCH(E$2, Players!$A$1:$P$1, 0)), perc_75, VLOOKUP(E$2, Percentiles!$A$45:$I$59, 6, FALSE), perc_90, VLOOKUP(E$2, Percentiles!$A$45:$I$59, 7, FALSE), perc_95, VLOOKUP(E$2, Percentiles!$A$45:$I$59, 8, FALSE), perc_85, perc_75 + (perc_90 - perc_75) * (2/3), converted_stat, '2K_Ratings'!E439, IF(bbgm_stat &gt;= perc_95, converted_stat * 3, IF(bbgm_stat &gt;= perc_90, converted_stat * 2, IF(bbgm_stat &gt;= perc_85, converted_stat * 1.5, converted_stat)))))</f>
        <v/>
      </c>
      <c r="F439" s="30" t="str">
        <f t="array" ref="F439">IF($A439="", "", LET(bbgm_stat, INDEX(Players!$A438:$P438, MATCH(F$2, Players!$A$1:$P$1, 0)), perc_75, VLOOKUP(F$2, Percentiles!$A$45:$I$59, 6, FALSE), perc_90, VLOOKUP(F$2, Percentiles!$A$45:$I$59, 7, FALSE), perc_95, VLOOKUP(F$2, Percentiles!$A$45:$I$59, 8, FALSE), perc_85, perc_75 + (perc_90 - perc_75) * (2/3), converted_stat, '2K_Ratings'!F439, IF(bbgm_stat &gt;= perc_95, converted_stat * 3, IF(bbgm_stat &gt;= perc_90, converted_stat * 2, IF(bbgm_stat &gt;= perc_85, converted_stat * 1.5, converted_stat)))))</f>
        <v/>
      </c>
      <c r="G439" s="30" t="str">
        <f t="array" ref="G439">IF($A439="", "", LET(bbgm_stat, INDEX(Players!$A438:$P438, MATCH(G$2, Players!$A$1:$P$1, 0)), perc_75, VLOOKUP(G$2, Percentiles!$A$45:$I$59, 6, FALSE), perc_90, VLOOKUP(G$2, Percentiles!$A$45:$I$59, 7, FALSE), perc_95, VLOOKUP(G$2, Percentiles!$A$45:$I$59, 8, FALSE), perc_85, perc_75 + (perc_90 - perc_75) * (2/3), converted_stat, '2K_Ratings'!G439, IF(bbgm_stat &gt;= perc_95, converted_stat * 3, IF(bbgm_stat &gt;= perc_90, converted_stat * 2, IF(bbgm_stat &gt;= perc_85, converted_stat * 1.5, converted_stat)))))</f>
        <v/>
      </c>
      <c r="H439" s="30" t="str">
        <f t="array" ref="H439">IF($A439="", "", LET(bbgm_stat, INDEX(Players!$A438:$P438, MATCH(H$2, Players!$A$1:$P$1, 0)), perc_75, VLOOKUP(H$2, Percentiles!$A$45:$I$59, 6, FALSE), perc_90, VLOOKUP(H$2, Percentiles!$A$45:$I$59, 7, FALSE), perc_95, VLOOKUP(H$2, Percentiles!$A$45:$I$59, 8, FALSE), perc_85, perc_75 + (perc_90 - perc_75) * (2/3), converted_stat, '2K_Ratings'!H439, IF(bbgm_stat &gt;= perc_95, converted_stat * 3, IF(bbgm_stat &gt;= perc_90, converted_stat * 2, IF(bbgm_stat &gt;= perc_85, converted_stat * 1.5, converted_stat)))))</f>
        <v/>
      </c>
      <c r="I439" s="30" t="str">
        <f t="array" ref="I439">IF($A439="", "", LET(bbgm_stat, INDEX(Players!$A438:$P438, MATCH(I$2, Players!$A$1:$P$1, 0)), perc_75, VLOOKUP(I$2, Percentiles!$A$45:$I$59, 6, FALSE), perc_90, VLOOKUP(I$2, Percentiles!$A$45:$I$59, 7, FALSE), perc_95, VLOOKUP(I$2, Percentiles!$A$45:$I$59, 8, FALSE), perc_85, perc_75 + (perc_90 - perc_75) * (2/3), converted_stat, '2K_Ratings'!I439, IF(bbgm_stat &gt;= perc_95, converted_stat * 3, IF(bbgm_stat &gt;= perc_90, converted_stat * 2, IF(bbgm_stat &gt;= perc_85, converted_stat * 1.5, converted_stat)))))</f>
        <v/>
      </c>
      <c r="J439" s="30" t="str">
        <f t="array" ref="J439">IF($A439="", "", LET(bbgm_stat, INDEX(Players!$A438:$P438, MATCH(J$2, Players!$A$1:$P$1, 0)), perc_75, VLOOKUP(J$2, Percentiles!$A$45:$I$59, 6, FALSE), perc_90, VLOOKUP(J$2, Percentiles!$A$45:$I$59, 7, FALSE), perc_95, VLOOKUP(J$2, Percentiles!$A$45:$I$59, 8, FALSE), perc_85, perc_75 + (perc_90 - perc_75) * (2/3), converted_stat, '2K_Ratings'!J439, IF(bbgm_stat &gt;= perc_95, converted_stat * 3, IF(bbgm_stat &gt;= perc_90, converted_stat * 2, IF(bbgm_stat &gt;= perc_85, converted_stat * 1.5, converted_stat)))))</f>
        <v/>
      </c>
      <c r="K439" s="30" t="str">
        <f t="array" ref="K439">IF($A439="", "", LET(bbgm_stat, INDEX(Players!$A438:$P438, MATCH(K$2, Players!$A$1:$P$1, 0)), perc_75, VLOOKUP(K$2, Percentiles!$A$45:$I$59, 6, FALSE), perc_90, VLOOKUP(K$2, Percentiles!$A$45:$I$59, 7, FALSE), perc_95, VLOOKUP(K$2, Percentiles!$A$45:$I$59, 8, FALSE), perc_85, perc_75 + (perc_90 - perc_75) * (2/3), converted_stat, '2K_Ratings'!K439, IF(bbgm_stat &gt;= perc_95, converted_stat * 3, IF(bbgm_stat &gt;= perc_90, converted_stat * 2, IF(bbgm_stat &gt;= perc_85, converted_stat * 1.5, converted_stat)))))</f>
        <v/>
      </c>
      <c r="L439" s="30" t="str">
        <f t="array" ref="L439">IF($A439="", "", LET(bbgm_stat, INDEX(Players!$A438:$P438, MATCH(L$2, Players!$A$1:$P$1, 0)), perc_75, VLOOKUP(L$2, Percentiles!$A$45:$I$59, 6, FALSE), perc_90, VLOOKUP(L$2, Percentiles!$A$45:$I$59, 7, FALSE), perc_95, VLOOKUP(L$2, Percentiles!$A$45:$I$59, 8, FALSE), perc_85, perc_75 + (perc_90 - perc_75) * (2/3), converted_stat, '2K_Ratings'!L439, IF(bbgm_stat &gt;= perc_95, converted_stat * 3, IF(bbgm_stat &gt;= perc_90, converted_stat * 2, IF(bbgm_stat &gt;= perc_85, converted_stat * 1.5, converted_stat)))))</f>
        <v/>
      </c>
      <c r="M439" s="30" t="str">
        <f t="array" ref="M439">IF($A439="", "", LET(bbgm_stat, INDEX(Players!$A438:$P438, MATCH(M$2, Players!$A$1:$P$1, 0)), perc_75, VLOOKUP(M$2, Percentiles!$A$45:$I$59, 6, FALSE), perc_90, VLOOKUP(M$2, Percentiles!$A$45:$I$59, 7, FALSE), perc_95, VLOOKUP(M$2, Percentiles!$A$45:$I$59, 8, FALSE), perc_85, perc_75 + (perc_90 - perc_75) * (2/3), converted_stat, '2K_Ratings'!M439, IF(bbgm_stat &gt;= perc_95, converted_stat * 3, IF(bbgm_stat &gt;= perc_90, converted_stat * 2, IF(bbgm_stat &gt;= perc_85, converted_stat * 1.5, converted_stat)))))</f>
        <v/>
      </c>
      <c r="N439" s="30" t="str">
        <f t="array" ref="N439">IF($A439="", "", LET(bbgm_stat, INDEX(Players!$A438:$P438, MATCH(N$2, Players!$A$1:$P$1, 0)), perc_75, VLOOKUP(N$2, Percentiles!$A$45:$I$59, 6, FALSE), perc_90, VLOOKUP(N$2, Percentiles!$A$45:$I$59, 7, FALSE), perc_95, VLOOKUP(N$2, Percentiles!$A$45:$I$59, 8, FALSE), perc_85, perc_75 + (perc_90 - perc_75) * (2/3), converted_stat, '2K_Ratings'!N439, IF(bbgm_stat &gt;= perc_95, converted_stat * 3, IF(bbgm_stat &gt;= perc_90, converted_stat * 2, IF(bbgm_stat &gt;= perc_85, converted_stat * 1.5, converted_stat)))))</f>
        <v/>
      </c>
      <c r="O439" s="30" t="str">
        <f t="array" ref="O439">IF($A439="", "", LET(bbgm_stat, INDEX(Players!$A438:$P438, MATCH(O$2, Players!$A$1:$P$1, 0)), perc_75, VLOOKUP(O$2, Percentiles!$A$45:$I$59, 6, FALSE), perc_90, VLOOKUP(O$2, Percentiles!$A$45:$I$59, 7, FALSE), perc_95, VLOOKUP(O$2, Percentiles!$A$45:$I$59, 8, FALSE), perc_85, perc_75 + (perc_90 - perc_75) * (2/3), converted_stat, '2K_Ratings'!O439, IF(bbgm_stat &gt;= perc_95, converted_stat * 3, IF(bbgm_stat &gt;= perc_90, converted_stat * 2, IF(bbgm_stat &gt;= perc_85, converted_stat * 1.5, converted_stat)))))</f>
        <v/>
      </c>
      <c r="P439" s="30" t="str">
        <f t="array" ref="P439">IF($A439="", "", LET(bbgm_stat, INDEX(Players!$A438:$P438, MATCH(P$2, Players!$A$1:$P$1, 0)), perc_75, VLOOKUP(P$2, Percentiles!$A$45:$I$59, 6, FALSE), perc_90, VLOOKUP(P$2, Percentiles!$A$45:$I$59, 7, FALSE), perc_95, VLOOKUP(P$2, Percentiles!$A$45:$I$59, 8, FALSE), perc_85, perc_75 + (perc_90 - perc_75) * (2/3), converted_stat, '2K_Ratings'!P439, IF(bbgm_stat &gt;= perc_95, converted_stat * 3, IF(bbgm_stat &gt;= perc_90, converted_stat * 2, IF(bbgm_stat &gt;= perc_85, converted_stat * 1.5, converted_stat)))))</f>
        <v/>
      </c>
      <c r="Q439" s="30" t="str">
        <f t="array" ref="Q439">IF($A439="", "", LET(bbgm_stat, INDEX(Players!$A438:$P438, MATCH(Q$2, Players!$A$1:$P$1, 0)), perc_75, VLOOKUP(Q$2, Percentiles!$A$45:$I$59, 6, FALSE), perc_90, VLOOKUP(Q$2, Percentiles!$A$45:$I$59, 7, FALSE), perc_95, VLOOKUP(Q$2, Percentiles!$A$45:$I$59, 8, FALSE), perc_85, perc_75 + (perc_90 - perc_75) * (2/3), converted_stat, '2K_Ratings'!Q439, IF(bbgm_stat &gt;= perc_95, converted_stat * 3, IF(bbgm_stat &gt;= perc_90, converted_stat * 2, IF(bbgm_stat &gt;= perc_85, converted_stat * 1.5, converted_stat)))))</f>
        <v/>
      </c>
      <c r="R439" s="30" t="str">
        <f t="array" ref="R439">IF($A439="", "", LET(bbgm_stat, INDEX(Players!$A438:$P438, MATCH(R$2, Players!$A$1:$P$1, 0)), perc_75, VLOOKUP(R$2, Percentiles!$A$45:$I$59, 6, FALSE), perc_90, VLOOKUP(R$2, Percentiles!$A$45:$I$59, 7, FALSE), perc_95, VLOOKUP(R$2, Percentiles!$A$45:$I$59, 8, FALSE), perc_85, perc_75 + (perc_90 - perc_75) * (2/3), converted_stat, '2K_Ratings'!R439, IF(bbgm_stat &gt;= perc_95, converted_stat * 3, IF(bbgm_stat &gt;= perc_90, converted_stat * 2, IF(bbgm_stat &gt;= perc_85, converted_stat * 1.5, converted_stat)))))</f>
        <v/>
      </c>
      <c r="S439" s="30" t="str">
        <f t="array" ref="S439">IF($A439="", "", LET(bbgm_stat, INDEX(Players!$A438:$P438, MATCH(S$2, Players!$A$1:$P$1, 0)), perc_75, VLOOKUP(S$2, Percentiles!$A$45:$I$59, 6, FALSE), perc_90, VLOOKUP(S$2, Percentiles!$A$45:$I$59, 7, FALSE), perc_95, VLOOKUP(S$2, Percentiles!$A$45:$I$59, 8, FALSE), perc_85, perc_75 + (perc_90 - perc_75) * (2/3), converted_stat, '2K_Ratings'!S439, IF(bbgm_stat &gt;= perc_95, converted_stat * 3, IF(bbgm_stat &gt;= perc_90, converted_stat * 2, IF(bbgm_stat &gt;= perc_85, converted_stat * 1.5, converted_stat)))))</f>
        <v/>
      </c>
      <c r="T439" s="30" t="str">
        <f t="array" ref="T439">IF($A439="", "", LET(bbgm_stat, INDEX(Players!$A438:$P438, MATCH(T$2, Players!$A$1:$P$1, 0)), perc_75, VLOOKUP(T$2, Percentiles!$A$45:$I$59, 6, FALSE), perc_90, VLOOKUP(T$2, Percentiles!$A$45:$I$59, 7, FALSE), perc_95, VLOOKUP(T$2, Percentiles!$A$45:$I$59, 8, FALSE), perc_85, perc_75 + (perc_90 - perc_75) * (2/3), converted_stat, '2K_Ratings'!T439, IF(bbgm_stat &gt;= perc_95, converted_stat * 3, IF(bbgm_stat &gt;= perc_90, converted_stat * 2, IF(bbgm_stat &gt;= perc_85, converted_stat * 1.5, converted_stat)))))</f>
        <v/>
      </c>
      <c r="U439" s="30" t="str">
        <f t="array" ref="U439">IF($A439="", "", LET(bbgm_stat, INDEX(Players!$A438:$P438, MATCH(U$2, Players!$A$1:$P$1, 0)), perc_75, VLOOKUP(U$2, Percentiles!$A$45:$I$59, 6, FALSE), perc_90, VLOOKUP(U$2, Percentiles!$A$45:$I$59, 7, FALSE), perc_95, VLOOKUP(U$2, Percentiles!$A$45:$I$59, 8, FALSE), perc_85, perc_75 + (perc_90 - perc_75) * (2/3), converted_stat, '2K_Ratings'!U439, IF(bbgm_stat &gt;= perc_95, converted_stat * 3, IF(bbgm_stat &gt;= perc_90, converted_stat * 2, IF(bbgm_stat &gt;= perc_85, converted_stat * 1.5, converted_stat)))))</f>
        <v/>
      </c>
      <c r="V439" s="30" t="str">
        <f t="array" ref="V439">IF($A439="", "", LET(bbgm_stat, INDEX(Players!$A438:$P438, MATCH(V$2, Players!$A$1:$P$1, 0)), perc_75, VLOOKUP(V$2, Percentiles!$A$45:$I$59, 6, FALSE), perc_90, VLOOKUP(V$2, Percentiles!$A$45:$I$59, 7, FALSE), perc_95, VLOOKUP(V$2, Percentiles!$A$45:$I$59, 8, FALSE), perc_85, perc_75 + (perc_90 - perc_75) * (2/3), converted_stat, '2K_Ratings'!V439, IF(bbgm_stat &gt;= perc_95, converted_stat * 3, IF(bbgm_stat &gt;= perc_90, converted_stat * 2, IF(bbgm_stat &gt;= perc_85, converted_stat * 1.5, converted_stat)))))</f>
        <v/>
      </c>
      <c r="W439" s="30" t="str">
        <f t="array" ref="W439">IF($A439="", "", LET(bbgm_stat, INDEX(Players!$A438:$P438, MATCH(W$2, Players!$A$1:$P$1, 0)), perc_75, VLOOKUP(W$2, Percentiles!$A$45:$I$59, 6, FALSE), perc_90, VLOOKUP(W$2, Percentiles!$A$45:$I$59, 7, FALSE), perc_95, VLOOKUP(W$2, Percentiles!$A$45:$I$59, 8, FALSE), perc_85, perc_75 + (perc_90 - perc_75) * (2/3), converted_stat, '2K_Ratings'!W439, IF(bbgm_stat &gt;= perc_95, converted_stat * 3, IF(bbgm_stat &gt;= perc_90, converted_stat * 2, IF(bbgm_stat &gt;= perc_85, converted_stat * 1.5, converted_stat)))))</f>
        <v/>
      </c>
    </row>
    <row r="440">
      <c r="A440" s="30"/>
      <c r="B440" s="30" t="str">
        <f t="array" ref="B440">IF($A440="", "", LET(bbgm_stat, INDEX(Players!$A439:$P439, MATCH(B$2, Players!$A$1:$P$1, 0)), perc_75, VLOOKUP(B$2, Percentiles!$A$45:$I$59, 6, FALSE), perc_90, VLOOKUP(B$2, Percentiles!$A$45:$I$59, 7, FALSE), perc_95, VLOOKUP(B$2, Percentiles!$A$45:$I$59, 8, FALSE), perc_85, perc_75 + (perc_90 - perc_75) * (2/3), converted_stat, '2K_Ratings'!B440, IF(bbgm_stat &gt;= perc_95, converted_stat * 3, IF(bbgm_stat &gt;= perc_90, converted_stat * 2, IF(bbgm_stat &gt;= perc_85, converted_stat * 1.5, converted_stat)))))</f>
        <v/>
      </c>
      <c r="C440" s="30" t="str">
        <f t="array" ref="C440">IF($A440="", "", LET(bbgm_stat, INDEX(Players!$A439:$P439, MATCH(C$2, Players!$A$1:$P$1, 0)), perc_75, VLOOKUP(C$2, Percentiles!$A$45:$I$59, 6, FALSE), perc_90, VLOOKUP(C$2, Percentiles!$A$45:$I$59, 7, FALSE), perc_95, VLOOKUP(C$2, Percentiles!$A$45:$I$59, 8, FALSE), perc_85, perc_75 + (perc_90 - perc_75) * (2/3), converted_stat, '2K_Ratings'!C440, IF(bbgm_stat &gt;= perc_95, converted_stat * 3, IF(bbgm_stat &gt;= perc_90, converted_stat * 2, IF(bbgm_stat &gt;= perc_85, converted_stat * 1.5, converted_stat)))))</f>
        <v/>
      </c>
      <c r="D440" s="30" t="str">
        <f t="array" ref="D440">IF($A440="", "", LET(bbgm_stat, INDEX(Players!$A439:$P439, MATCH(D$2, Players!$A$1:$P$1, 0)), perc_75, VLOOKUP(D$2, Percentiles!$A$45:$I$59, 6, FALSE), perc_90, VLOOKUP(D$2, Percentiles!$A$45:$I$59, 7, FALSE), perc_95, VLOOKUP(D$2, Percentiles!$A$45:$I$59, 8, FALSE), perc_85, perc_75 + (perc_90 - perc_75) * (2/3), converted_stat, '2K_Ratings'!D440, IF(bbgm_stat &gt;= perc_95, converted_stat * 3, IF(bbgm_stat &gt;= perc_90, converted_stat * 2, IF(bbgm_stat &gt;= perc_85, converted_stat * 1.5, converted_stat)))))</f>
        <v/>
      </c>
      <c r="E440" s="30" t="str">
        <f t="array" ref="E440">IF($A440="", "", LET(bbgm_stat, INDEX(Players!$A439:$P439, MATCH(E$2, Players!$A$1:$P$1, 0)), perc_75, VLOOKUP(E$2, Percentiles!$A$45:$I$59, 6, FALSE), perc_90, VLOOKUP(E$2, Percentiles!$A$45:$I$59, 7, FALSE), perc_95, VLOOKUP(E$2, Percentiles!$A$45:$I$59, 8, FALSE), perc_85, perc_75 + (perc_90 - perc_75) * (2/3), converted_stat, '2K_Ratings'!E440, IF(bbgm_stat &gt;= perc_95, converted_stat * 3, IF(bbgm_stat &gt;= perc_90, converted_stat * 2, IF(bbgm_stat &gt;= perc_85, converted_stat * 1.5, converted_stat)))))</f>
        <v/>
      </c>
      <c r="F440" s="30" t="str">
        <f t="array" ref="F440">IF($A440="", "", LET(bbgm_stat, INDEX(Players!$A439:$P439, MATCH(F$2, Players!$A$1:$P$1, 0)), perc_75, VLOOKUP(F$2, Percentiles!$A$45:$I$59, 6, FALSE), perc_90, VLOOKUP(F$2, Percentiles!$A$45:$I$59, 7, FALSE), perc_95, VLOOKUP(F$2, Percentiles!$A$45:$I$59, 8, FALSE), perc_85, perc_75 + (perc_90 - perc_75) * (2/3), converted_stat, '2K_Ratings'!F440, IF(bbgm_stat &gt;= perc_95, converted_stat * 3, IF(bbgm_stat &gt;= perc_90, converted_stat * 2, IF(bbgm_stat &gt;= perc_85, converted_stat * 1.5, converted_stat)))))</f>
        <v/>
      </c>
      <c r="G440" s="30" t="str">
        <f t="array" ref="G440">IF($A440="", "", LET(bbgm_stat, INDEX(Players!$A439:$P439, MATCH(G$2, Players!$A$1:$P$1, 0)), perc_75, VLOOKUP(G$2, Percentiles!$A$45:$I$59, 6, FALSE), perc_90, VLOOKUP(G$2, Percentiles!$A$45:$I$59, 7, FALSE), perc_95, VLOOKUP(G$2, Percentiles!$A$45:$I$59, 8, FALSE), perc_85, perc_75 + (perc_90 - perc_75) * (2/3), converted_stat, '2K_Ratings'!G440, IF(bbgm_stat &gt;= perc_95, converted_stat * 3, IF(bbgm_stat &gt;= perc_90, converted_stat * 2, IF(bbgm_stat &gt;= perc_85, converted_stat * 1.5, converted_stat)))))</f>
        <v/>
      </c>
      <c r="H440" s="30" t="str">
        <f t="array" ref="H440">IF($A440="", "", LET(bbgm_stat, INDEX(Players!$A439:$P439, MATCH(H$2, Players!$A$1:$P$1, 0)), perc_75, VLOOKUP(H$2, Percentiles!$A$45:$I$59, 6, FALSE), perc_90, VLOOKUP(H$2, Percentiles!$A$45:$I$59, 7, FALSE), perc_95, VLOOKUP(H$2, Percentiles!$A$45:$I$59, 8, FALSE), perc_85, perc_75 + (perc_90 - perc_75) * (2/3), converted_stat, '2K_Ratings'!H440, IF(bbgm_stat &gt;= perc_95, converted_stat * 3, IF(bbgm_stat &gt;= perc_90, converted_stat * 2, IF(bbgm_stat &gt;= perc_85, converted_stat * 1.5, converted_stat)))))</f>
        <v/>
      </c>
      <c r="I440" s="30" t="str">
        <f t="array" ref="I440">IF($A440="", "", LET(bbgm_stat, INDEX(Players!$A439:$P439, MATCH(I$2, Players!$A$1:$P$1, 0)), perc_75, VLOOKUP(I$2, Percentiles!$A$45:$I$59, 6, FALSE), perc_90, VLOOKUP(I$2, Percentiles!$A$45:$I$59, 7, FALSE), perc_95, VLOOKUP(I$2, Percentiles!$A$45:$I$59, 8, FALSE), perc_85, perc_75 + (perc_90 - perc_75) * (2/3), converted_stat, '2K_Ratings'!I440, IF(bbgm_stat &gt;= perc_95, converted_stat * 3, IF(bbgm_stat &gt;= perc_90, converted_stat * 2, IF(bbgm_stat &gt;= perc_85, converted_stat * 1.5, converted_stat)))))</f>
        <v/>
      </c>
      <c r="J440" s="30" t="str">
        <f t="array" ref="J440">IF($A440="", "", LET(bbgm_stat, INDEX(Players!$A439:$P439, MATCH(J$2, Players!$A$1:$P$1, 0)), perc_75, VLOOKUP(J$2, Percentiles!$A$45:$I$59, 6, FALSE), perc_90, VLOOKUP(J$2, Percentiles!$A$45:$I$59, 7, FALSE), perc_95, VLOOKUP(J$2, Percentiles!$A$45:$I$59, 8, FALSE), perc_85, perc_75 + (perc_90 - perc_75) * (2/3), converted_stat, '2K_Ratings'!J440, IF(bbgm_stat &gt;= perc_95, converted_stat * 3, IF(bbgm_stat &gt;= perc_90, converted_stat * 2, IF(bbgm_stat &gt;= perc_85, converted_stat * 1.5, converted_stat)))))</f>
        <v/>
      </c>
      <c r="K440" s="30" t="str">
        <f t="array" ref="K440">IF($A440="", "", LET(bbgm_stat, INDEX(Players!$A439:$P439, MATCH(K$2, Players!$A$1:$P$1, 0)), perc_75, VLOOKUP(K$2, Percentiles!$A$45:$I$59, 6, FALSE), perc_90, VLOOKUP(K$2, Percentiles!$A$45:$I$59, 7, FALSE), perc_95, VLOOKUP(K$2, Percentiles!$A$45:$I$59, 8, FALSE), perc_85, perc_75 + (perc_90 - perc_75) * (2/3), converted_stat, '2K_Ratings'!K440, IF(bbgm_stat &gt;= perc_95, converted_stat * 3, IF(bbgm_stat &gt;= perc_90, converted_stat * 2, IF(bbgm_stat &gt;= perc_85, converted_stat * 1.5, converted_stat)))))</f>
        <v/>
      </c>
      <c r="L440" s="30" t="str">
        <f t="array" ref="L440">IF($A440="", "", LET(bbgm_stat, INDEX(Players!$A439:$P439, MATCH(L$2, Players!$A$1:$P$1, 0)), perc_75, VLOOKUP(L$2, Percentiles!$A$45:$I$59, 6, FALSE), perc_90, VLOOKUP(L$2, Percentiles!$A$45:$I$59, 7, FALSE), perc_95, VLOOKUP(L$2, Percentiles!$A$45:$I$59, 8, FALSE), perc_85, perc_75 + (perc_90 - perc_75) * (2/3), converted_stat, '2K_Ratings'!L440, IF(bbgm_stat &gt;= perc_95, converted_stat * 3, IF(bbgm_stat &gt;= perc_90, converted_stat * 2, IF(bbgm_stat &gt;= perc_85, converted_stat * 1.5, converted_stat)))))</f>
        <v/>
      </c>
      <c r="M440" s="30" t="str">
        <f t="array" ref="M440">IF($A440="", "", LET(bbgm_stat, INDEX(Players!$A439:$P439, MATCH(M$2, Players!$A$1:$P$1, 0)), perc_75, VLOOKUP(M$2, Percentiles!$A$45:$I$59, 6, FALSE), perc_90, VLOOKUP(M$2, Percentiles!$A$45:$I$59, 7, FALSE), perc_95, VLOOKUP(M$2, Percentiles!$A$45:$I$59, 8, FALSE), perc_85, perc_75 + (perc_90 - perc_75) * (2/3), converted_stat, '2K_Ratings'!M440, IF(bbgm_stat &gt;= perc_95, converted_stat * 3, IF(bbgm_stat &gt;= perc_90, converted_stat * 2, IF(bbgm_stat &gt;= perc_85, converted_stat * 1.5, converted_stat)))))</f>
        <v/>
      </c>
      <c r="N440" s="30" t="str">
        <f t="array" ref="N440">IF($A440="", "", LET(bbgm_stat, INDEX(Players!$A439:$P439, MATCH(N$2, Players!$A$1:$P$1, 0)), perc_75, VLOOKUP(N$2, Percentiles!$A$45:$I$59, 6, FALSE), perc_90, VLOOKUP(N$2, Percentiles!$A$45:$I$59, 7, FALSE), perc_95, VLOOKUP(N$2, Percentiles!$A$45:$I$59, 8, FALSE), perc_85, perc_75 + (perc_90 - perc_75) * (2/3), converted_stat, '2K_Ratings'!N440, IF(bbgm_stat &gt;= perc_95, converted_stat * 3, IF(bbgm_stat &gt;= perc_90, converted_stat * 2, IF(bbgm_stat &gt;= perc_85, converted_stat * 1.5, converted_stat)))))</f>
        <v/>
      </c>
      <c r="O440" s="30" t="str">
        <f t="array" ref="O440">IF($A440="", "", LET(bbgm_stat, INDEX(Players!$A439:$P439, MATCH(O$2, Players!$A$1:$P$1, 0)), perc_75, VLOOKUP(O$2, Percentiles!$A$45:$I$59, 6, FALSE), perc_90, VLOOKUP(O$2, Percentiles!$A$45:$I$59, 7, FALSE), perc_95, VLOOKUP(O$2, Percentiles!$A$45:$I$59, 8, FALSE), perc_85, perc_75 + (perc_90 - perc_75) * (2/3), converted_stat, '2K_Ratings'!O440, IF(bbgm_stat &gt;= perc_95, converted_stat * 3, IF(bbgm_stat &gt;= perc_90, converted_stat * 2, IF(bbgm_stat &gt;= perc_85, converted_stat * 1.5, converted_stat)))))</f>
        <v/>
      </c>
      <c r="P440" s="30" t="str">
        <f t="array" ref="P440">IF($A440="", "", LET(bbgm_stat, INDEX(Players!$A439:$P439, MATCH(P$2, Players!$A$1:$P$1, 0)), perc_75, VLOOKUP(P$2, Percentiles!$A$45:$I$59, 6, FALSE), perc_90, VLOOKUP(P$2, Percentiles!$A$45:$I$59, 7, FALSE), perc_95, VLOOKUP(P$2, Percentiles!$A$45:$I$59, 8, FALSE), perc_85, perc_75 + (perc_90 - perc_75) * (2/3), converted_stat, '2K_Ratings'!P440, IF(bbgm_stat &gt;= perc_95, converted_stat * 3, IF(bbgm_stat &gt;= perc_90, converted_stat * 2, IF(bbgm_stat &gt;= perc_85, converted_stat * 1.5, converted_stat)))))</f>
        <v/>
      </c>
      <c r="Q440" s="30" t="str">
        <f t="array" ref="Q440">IF($A440="", "", LET(bbgm_stat, INDEX(Players!$A439:$P439, MATCH(Q$2, Players!$A$1:$P$1, 0)), perc_75, VLOOKUP(Q$2, Percentiles!$A$45:$I$59, 6, FALSE), perc_90, VLOOKUP(Q$2, Percentiles!$A$45:$I$59, 7, FALSE), perc_95, VLOOKUP(Q$2, Percentiles!$A$45:$I$59, 8, FALSE), perc_85, perc_75 + (perc_90 - perc_75) * (2/3), converted_stat, '2K_Ratings'!Q440, IF(bbgm_stat &gt;= perc_95, converted_stat * 3, IF(bbgm_stat &gt;= perc_90, converted_stat * 2, IF(bbgm_stat &gt;= perc_85, converted_stat * 1.5, converted_stat)))))</f>
        <v/>
      </c>
      <c r="R440" s="30" t="str">
        <f t="array" ref="R440">IF($A440="", "", LET(bbgm_stat, INDEX(Players!$A439:$P439, MATCH(R$2, Players!$A$1:$P$1, 0)), perc_75, VLOOKUP(R$2, Percentiles!$A$45:$I$59, 6, FALSE), perc_90, VLOOKUP(R$2, Percentiles!$A$45:$I$59, 7, FALSE), perc_95, VLOOKUP(R$2, Percentiles!$A$45:$I$59, 8, FALSE), perc_85, perc_75 + (perc_90 - perc_75) * (2/3), converted_stat, '2K_Ratings'!R440, IF(bbgm_stat &gt;= perc_95, converted_stat * 3, IF(bbgm_stat &gt;= perc_90, converted_stat * 2, IF(bbgm_stat &gt;= perc_85, converted_stat * 1.5, converted_stat)))))</f>
        <v/>
      </c>
      <c r="S440" s="30" t="str">
        <f t="array" ref="S440">IF($A440="", "", LET(bbgm_stat, INDEX(Players!$A439:$P439, MATCH(S$2, Players!$A$1:$P$1, 0)), perc_75, VLOOKUP(S$2, Percentiles!$A$45:$I$59, 6, FALSE), perc_90, VLOOKUP(S$2, Percentiles!$A$45:$I$59, 7, FALSE), perc_95, VLOOKUP(S$2, Percentiles!$A$45:$I$59, 8, FALSE), perc_85, perc_75 + (perc_90 - perc_75) * (2/3), converted_stat, '2K_Ratings'!S440, IF(bbgm_stat &gt;= perc_95, converted_stat * 3, IF(bbgm_stat &gt;= perc_90, converted_stat * 2, IF(bbgm_stat &gt;= perc_85, converted_stat * 1.5, converted_stat)))))</f>
        <v/>
      </c>
      <c r="T440" s="30" t="str">
        <f t="array" ref="T440">IF($A440="", "", LET(bbgm_stat, INDEX(Players!$A439:$P439, MATCH(T$2, Players!$A$1:$P$1, 0)), perc_75, VLOOKUP(T$2, Percentiles!$A$45:$I$59, 6, FALSE), perc_90, VLOOKUP(T$2, Percentiles!$A$45:$I$59, 7, FALSE), perc_95, VLOOKUP(T$2, Percentiles!$A$45:$I$59, 8, FALSE), perc_85, perc_75 + (perc_90 - perc_75) * (2/3), converted_stat, '2K_Ratings'!T440, IF(bbgm_stat &gt;= perc_95, converted_stat * 3, IF(bbgm_stat &gt;= perc_90, converted_stat * 2, IF(bbgm_stat &gt;= perc_85, converted_stat * 1.5, converted_stat)))))</f>
        <v/>
      </c>
      <c r="U440" s="30" t="str">
        <f t="array" ref="U440">IF($A440="", "", LET(bbgm_stat, INDEX(Players!$A439:$P439, MATCH(U$2, Players!$A$1:$P$1, 0)), perc_75, VLOOKUP(U$2, Percentiles!$A$45:$I$59, 6, FALSE), perc_90, VLOOKUP(U$2, Percentiles!$A$45:$I$59, 7, FALSE), perc_95, VLOOKUP(U$2, Percentiles!$A$45:$I$59, 8, FALSE), perc_85, perc_75 + (perc_90 - perc_75) * (2/3), converted_stat, '2K_Ratings'!U440, IF(bbgm_stat &gt;= perc_95, converted_stat * 3, IF(bbgm_stat &gt;= perc_90, converted_stat * 2, IF(bbgm_stat &gt;= perc_85, converted_stat * 1.5, converted_stat)))))</f>
        <v/>
      </c>
      <c r="V440" s="30" t="str">
        <f t="array" ref="V440">IF($A440="", "", LET(bbgm_stat, INDEX(Players!$A439:$P439, MATCH(V$2, Players!$A$1:$P$1, 0)), perc_75, VLOOKUP(V$2, Percentiles!$A$45:$I$59, 6, FALSE), perc_90, VLOOKUP(V$2, Percentiles!$A$45:$I$59, 7, FALSE), perc_95, VLOOKUP(V$2, Percentiles!$A$45:$I$59, 8, FALSE), perc_85, perc_75 + (perc_90 - perc_75) * (2/3), converted_stat, '2K_Ratings'!V440, IF(bbgm_stat &gt;= perc_95, converted_stat * 3, IF(bbgm_stat &gt;= perc_90, converted_stat * 2, IF(bbgm_stat &gt;= perc_85, converted_stat * 1.5, converted_stat)))))</f>
        <v/>
      </c>
      <c r="W440" s="30" t="str">
        <f t="array" ref="W440">IF($A440="", "", LET(bbgm_stat, INDEX(Players!$A439:$P439, MATCH(W$2, Players!$A$1:$P$1, 0)), perc_75, VLOOKUP(W$2, Percentiles!$A$45:$I$59, 6, FALSE), perc_90, VLOOKUP(W$2, Percentiles!$A$45:$I$59, 7, FALSE), perc_95, VLOOKUP(W$2, Percentiles!$A$45:$I$59, 8, FALSE), perc_85, perc_75 + (perc_90 - perc_75) * (2/3), converted_stat, '2K_Ratings'!W440, IF(bbgm_stat &gt;= perc_95, converted_stat * 3, IF(bbgm_stat &gt;= perc_90, converted_stat * 2, IF(bbgm_stat &gt;= perc_85, converted_stat * 1.5, converted_stat)))))</f>
        <v/>
      </c>
    </row>
    <row r="441">
      <c r="A441" s="30"/>
      <c r="B441" s="30" t="str">
        <f t="array" ref="B441">IF($A441="", "", LET(bbgm_stat, INDEX(Players!$A440:$P440, MATCH(B$2, Players!$A$1:$P$1, 0)), perc_75, VLOOKUP(B$2, Percentiles!$A$45:$I$59, 6, FALSE), perc_90, VLOOKUP(B$2, Percentiles!$A$45:$I$59, 7, FALSE), perc_95, VLOOKUP(B$2, Percentiles!$A$45:$I$59, 8, FALSE), perc_85, perc_75 + (perc_90 - perc_75) * (2/3), converted_stat, '2K_Ratings'!B441, IF(bbgm_stat &gt;= perc_95, converted_stat * 3, IF(bbgm_stat &gt;= perc_90, converted_stat * 2, IF(bbgm_stat &gt;= perc_85, converted_stat * 1.5, converted_stat)))))</f>
        <v/>
      </c>
      <c r="C441" s="30" t="str">
        <f t="array" ref="C441">IF($A441="", "", LET(bbgm_stat, INDEX(Players!$A440:$P440, MATCH(C$2, Players!$A$1:$P$1, 0)), perc_75, VLOOKUP(C$2, Percentiles!$A$45:$I$59, 6, FALSE), perc_90, VLOOKUP(C$2, Percentiles!$A$45:$I$59, 7, FALSE), perc_95, VLOOKUP(C$2, Percentiles!$A$45:$I$59, 8, FALSE), perc_85, perc_75 + (perc_90 - perc_75) * (2/3), converted_stat, '2K_Ratings'!C441, IF(bbgm_stat &gt;= perc_95, converted_stat * 3, IF(bbgm_stat &gt;= perc_90, converted_stat * 2, IF(bbgm_stat &gt;= perc_85, converted_stat * 1.5, converted_stat)))))</f>
        <v/>
      </c>
      <c r="D441" s="30" t="str">
        <f t="array" ref="D441">IF($A441="", "", LET(bbgm_stat, INDEX(Players!$A440:$P440, MATCH(D$2, Players!$A$1:$P$1, 0)), perc_75, VLOOKUP(D$2, Percentiles!$A$45:$I$59, 6, FALSE), perc_90, VLOOKUP(D$2, Percentiles!$A$45:$I$59, 7, FALSE), perc_95, VLOOKUP(D$2, Percentiles!$A$45:$I$59, 8, FALSE), perc_85, perc_75 + (perc_90 - perc_75) * (2/3), converted_stat, '2K_Ratings'!D441, IF(bbgm_stat &gt;= perc_95, converted_stat * 3, IF(bbgm_stat &gt;= perc_90, converted_stat * 2, IF(bbgm_stat &gt;= perc_85, converted_stat * 1.5, converted_stat)))))</f>
        <v/>
      </c>
      <c r="E441" s="30" t="str">
        <f t="array" ref="E441">IF($A441="", "", LET(bbgm_stat, INDEX(Players!$A440:$P440, MATCH(E$2, Players!$A$1:$P$1, 0)), perc_75, VLOOKUP(E$2, Percentiles!$A$45:$I$59, 6, FALSE), perc_90, VLOOKUP(E$2, Percentiles!$A$45:$I$59, 7, FALSE), perc_95, VLOOKUP(E$2, Percentiles!$A$45:$I$59, 8, FALSE), perc_85, perc_75 + (perc_90 - perc_75) * (2/3), converted_stat, '2K_Ratings'!E441, IF(bbgm_stat &gt;= perc_95, converted_stat * 3, IF(bbgm_stat &gt;= perc_90, converted_stat * 2, IF(bbgm_stat &gt;= perc_85, converted_stat * 1.5, converted_stat)))))</f>
        <v/>
      </c>
      <c r="F441" s="30" t="str">
        <f t="array" ref="F441">IF($A441="", "", LET(bbgm_stat, INDEX(Players!$A440:$P440, MATCH(F$2, Players!$A$1:$P$1, 0)), perc_75, VLOOKUP(F$2, Percentiles!$A$45:$I$59, 6, FALSE), perc_90, VLOOKUP(F$2, Percentiles!$A$45:$I$59, 7, FALSE), perc_95, VLOOKUP(F$2, Percentiles!$A$45:$I$59, 8, FALSE), perc_85, perc_75 + (perc_90 - perc_75) * (2/3), converted_stat, '2K_Ratings'!F441, IF(bbgm_stat &gt;= perc_95, converted_stat * 3, IF(bbgm_stat &gt;= perc_90, converted_stat * 2, IF(bbgm_stat &gt;= perc_85, converted_stat * 1.5, converted_stat)))))</f>
        <v/>
      </c>
      <c r="G441" s="30" t="str">
        <f t="array" ref="G441">IF($A441="", "", LET(bbgm_stat, INDEX(Players!$A440:$P440, MATCH(G$2, Players!$A$1:$P$1, 0)), perc_75, VLOOKUP(G$2, Percentiles!$A$45:$I$59, 6, FALSE), perc_90, VLOOKUP(G$2, Percentiles!$A$45:$I$59, 7, FALSE), perc_95, VLOOKUP(G$2, Percentiles!$A$45:$I$59, 8, FALSE), perc_85, perc_75 + (perc_90 - perc_75) * (2/3), converted_stat, '2K_Ratings'!G441, IF(bbgm_stat &gt;= perc_95, converted_stat * 3, IF(bbgm_stat &gt;= perc_90, converted_stat * 2, IF(bbgm_stat &gt;= perc_85, converted_stat * 1.5, converted_stat)))))</f>
        <v/>
      </c>
      <c r="H441" s="30" t="str">
        <f t="array" ref="H441">IF($A441="", "", LET(bbgm_stat, INDEX(Players!$A440:$P440, MATCH(H$2, Players!$A$1:$P$1, 0)), perc_75, VLOOKUP(H$2, Percentiles!$A$45:$I$59, 6, FALSE), perc_90, VLOOKUP(H$2, Percentiles!$A$45:$I$59, 7, FALSE), perc_95, VLOOKUP(H$2, Percentiles!$A$45:$I$59, 8, FALSE), perc_85, perc_75 + (perc_90 - perc_75) * (2/3), converted_stat, '2K_Ratings'!H441, IF(bbgm_stat &gt;= perc_95, converted_stat * 3, IF(bbgm_stat &gt;= perc_90, converted_stat * 2, IF(bbgm_stat &gt;= perc_85, converted_stat * 1.5, converted_stat)))))</f>
        <v/>
      </c>
      <c r="I441" s="30" t="str">
        <f t="array" ref="I441">IF($A441="", "", LET(bbgm_stat, INDEX(Players!$A440:$P440, MATCH(I$2, Players!$A$1:$P$1, 0)), perc_75, VLOOKUP(I$2, Percentiles!$A$45:$I$59, 6, FALSE), perc_90, VLOOKUP(I$2, Percentiles!$A$45:$I$59, 7, FALSE), perc_95, VLOOKUP(I$2, Percentiles!$A$45:$I$59, 8, FALSE), perc_85, perc_75 + (perc_90 - perc_75) * (2/3), converted_stat, '2K_Ratings'!I441, IF(bbgm_stat &gt;= perc_95, converted_stat * 3, IF(bbgm_stat &gt;= perc_90, converted_stat * 2, IF(bbgm_stat &gt;= perc_85, converted_stat * 1.5, converted_stat)))))</f>
        <v/>
      </c>
      <c r="J441" s="30" t="str">
        <f t="array" ref="J441">IF($A441="", "", LET(bbgm_stat, INDEX(Players!$A440:$P440, MATCH(J$2, Players!$A$1:$P$1, 0)), perc_75, VLOOKUP(J$2, Percentiles!$A$45:$I$59, 6, FALSE), perc_90, VLOOKUP(J$2, Percentiles!$A$45:$I$59, 7, FALSE), perc_95, VLOOKUP(J$2, Percentiles!$A$45:$I$59, 8, FALSE), perc_85, perc_75 + (perc_90 - perc_75) * (2/3), converted_stat, '2K_Ratings'!J441, IF(bbgm_stat &gt;= perc_95, converted_stat * 3, IF(bbgm_stat &gt;= perc_90, converted_stat * 2, IF(bbgm_stat &gt;= perc_85, converted_stat * 1.5, converted_stat)))))</f>
        <v/>
      </c>
      <c r="K441" s="30" t="str">
        <f t="array" ref="K441">IF($A441="", "", LET(bbgm_stat, INDEX(Players!$A440:$P440, MATCH(K$2, Players!$A$1:$P$1, 0)), perc_75, VLOOKUP(K$2, Percentiles!$A$45:$I$59, 6, FALSE), perc_90, VLOOKUP(K$2, Percentiles!$A$45:$I$59, 7, FALSE), perc_95, VLOOKUP(K$2, Percentiles!$A$45:$I$59, 8, FALSE), perc_85, perc_75 + (perc_90 - perc_75) * (2/3), converted_stat, '2K_Ratings'!K441, IF(bbgm_stat &gt;= perc_95, converted_stat * 3, IF(bbgm_stat &gt;= perc_90, converted_stat * 2, IF(bbgm_stat &gt;= perc_85, converted_stat * 1.5, converted_stat)))))</f>
        <v/>
      </c>
      <c r="L441" s="30" t="str">
        <f t="array" ref="L441">IF($A441="", "", LET(bbgm_stat, INDEX(Players!$A440:$P440, MATCH(L$2, Players!$A$1:$P$1, 0)), perc_75, VLOOKUP(L$2, Percentiles!$A$45:$I$59, 6, FALSE), perc_90, VLOOKUP(L$2, Percentiles!$A$45:$I$59, 7, FALSE), perc_95, VLOOKUP(L$2, Percentiles!$A$45:$I$59, 8, FALSE), perc_85, perc_75 + (perc_90 - perc_75) * (2/3), converted_stat, '2K_Ratings'!L441, IF(bbgm_stat &gt;= perc_95, converted_stat * 3, IF(bbgm_stat &gt;= perc_90, converted_stat * 2, IF(bbgm_stat &gt;= perc_85, converted_stat * 1.5, converted_stat)))))</f>
        <v/>
      </c>
      <c r="M441" s="30" t="str">
        <f t="array" ref="M441">IF($A441="", "", LET(bbgm_stat, INDEX(Players!$A440:$P440, MATCH(M$2, Players!$A$1:$P$1, 0)), perc_75, VLOOKUP(M$2, Percentiles!$A$45:$I$59, 6, FALSE), perc_90, VLOOKUP(M$2, Percentiles!$A$45:$I$59, 7, FALSE), perc_95, VLOOKUP(M$2, Percentiles!$A$45:$I$59, 8, FALSE), perc_85, perc_75 + (perc_90 - perc_75) * (2/3), converted_stat, '2K_Ratings'!M441, IF(bbgm_stat &gt;= perc_95, converted_stat * 3, IF(bbgm_stat &gt;= perc_90, converted_stat * 2, IF(bbgm_stat &gt;= perc_85, converted_stat * 1.5, converted_stat)))))</f>
        <v/>
      </c>
      <c r="N441" s="30" t="str">
        <f t="array" ref="N441">IF($A441="", "", LET(bbgm_stat, INDEX(Players!$A440:$P440, MATCH(N$2, Players!$A$1:$P$1, 0)), perc_75, VLOOKUP(N$2, Percentiles!$A$45:$I$59, 6, FALSE), perc_90, VLOOKUP(N$2, Percentiles!$A$45:$I$59, 7, FALSE), perc_95, VLOOKUP(N$2, Percentiles!$A$45:$I$59, 8, FALSE), perc_85, perc_75 + (perc_90 - perc_75) * (2/3), converted_stat, '2K_Ratings'!N441, IF(bbgm_stat &gt;= perc_95, converted_stat * 3, IF(bbgm_stat &gt;= perc_90, converted_stat * 2, IF(bbgm_stat &gt;= perc_85, converted_stat * 1.5, converted_stat)))))</f>
        <v/>
      </c>
      <c r="O441" s="30" t="str">
        <f t="array" ref="O441">IF($A441="", "", LET(bbgm_stat, INDEX(Players!$A440:$P440, MATCH(O$2, Players!$A$1:$P$1, 0)), perc_75, VLOOKUP(O$2, Percentiles!$A$45:$I$59, 6, FALSE), perc_90, VLOOKUP(O$2, Percentiles!$A$45:$I$59, 7, FALSE), perc_95, VLOOKUP(O$2, Percentiles!$A$45:$I$59, 8, FALSE), perc_85, perc_75 + (perc_90 - perc_75) * (2/3), converted_stat, '2K_Ratings'!O441, IF(bbgm_stat &gt;= perc_95, converted_stat * 3, IF(bbgm_stat &gt;= perc_90, converted_stat * 2, IF(bbgm_stat &gt;= perc_85, converted_stat * 1.5, converted_stat)))))</f>
        <v/>
      </c>
      <c r="P441" s="30" t="str">
        <f t="array" ref="P441">IF($A441="", "", LET(bbgm_stat, INDEX(Players!$A440:$P440, MATCH(P$2, Players!$A$1:$P$1, 0)), perc_75, VLOOKUP(P$2, Percentiles!$A$45:$I$59, 6, FALSE), perc_90, VLOOKUP(P$2, Percentiles!$A$45:$I$59, 7, FALSE), perc_95, VLOOKUP(P$2, Percentiles!$A$45:$I$59, 8, FALSE), perc_85, perc_75 + (perc_90 - perc_75) * (2/3), converted_stat, '2K_Ratings'!P441, IF(bbgm_stat &gt;= perc_95, converted_stat * 3, IF(bbgm_stat &gt;= perc_90, converted_stat * 2, IF(bbgm_stat &gt;= perc_85, converted_stat * 1.5, converted_stat)))))</f>
        <v/>
      </c>
      <c r="Q441" s="30" t="str">
        <f t="array" ref="Q441">IF($A441="", "", LET(bbgm_stat, INDEX(Players!$A440:$P440, MATCH(Q$2, Players!$A$1:$P$1, 0)), perc_75, VLOOKUP(Q$2, Percentiles!$A$45:$I$59, 6, FALSE), perc_90, VLOOKUP(Q$2, Percentiles!$A$45:$I$59, 7, FALSE), perc_95, VLOOKUP(Q$2, Percentiles!$A$45:$I$59, 8, FALSE), perc_85, perc_75 + (perc_90 - perc_75) * (2/3), converted_stat, '2K_Ratings'!Q441, IF(bbgm_stat &gt;= perc_95, converted_stat * 3, IF(bbgm_stat &gt;= perc_90, converted_stat * 2, IF(bbgm_stat &gt;= perc_85, converted_stat * 1.5, converted_stat)))))</f>
        <v/>
      </c>
      <c r="R441" s="30" t="str">
        <f t="array" ref="R441">IF($A441="", "", LET(bbgm_stat, INDEX(Players!$A440:$P440, MATCH(R$2, Players!$A$1:$P$1, 0)), perc_75, VLOOKUP(R$2, Percentiles!$A$45:$I$59, 6, FALSE), perc_90, VLOOKUP(R$2, Percentiles!$A$45:$I$59, 7, FALSE), perc_95, VLOOKUP(R$2, Percentiles!$A$45:$I$59, 8, FALSE), perc_85, perc_75 + (perc_90 - perc_75) * (2/3), converted_stat, '2K_Ratings'!R441, IF(bbgm_stat &gt;= perc_95, converted_stat * 3, IF(bbgm_stat &gt;= perc_90, converted_stat * 2, IF(bbgm_stat &gt;= perc_85, converted_stat * 1.5, converted_stat)))))</f>
        <v/>
      </c>
      <c r="S441" s="30" t="str">
        <f t="array" ref="S441">IF($A441="", "", LET(bbgm_stat, INDEX(Players!$A440:$P440, MATCH(S$2, Players!$A$1:$P$1, 0)), perc_75, VLOOKUP(S$2, Percentiles!$A$45:$I$59, 6, FALSE), perc_90, VLOOKUP(S$2, Percentiles!$A$45:$I$59, 7, FALSE), perc_95, VLOOKUP(S$2, Percentiles!$A$45:$I$59, 8, FALSE), perc_85, perc_75 + (perc_90 - perc_75) * (2/3), converted_stat, '2K_Ratings'!S441, IF(bbgm_stat &gt;= perc_95, converted_stat * 3, IF(bbgm_stat &gt;= perc_90, converted_stat * 2, IF(bbgm_stat &gt;= perc_85, converted_stat * 1.5, converted_stat)))))</f>
        <v/>
      </c>
      <c r="T441" s="30" t="str">
        <f t="array" ref="T441">IF($A441="", "", LET(bbgm_stat, INDEX(Players!$A440:$P440, MATCH(T$2, Players!$A$1:$P$1, 0)), perc_75, VLOOKUP(T$2, Percentiles!$A$45:$I$59, 6, FALSE), perc_90, VLOOKUP(T$2, Percentiles!$A$45:$I$59, 7, FALSE), perc_95, VLOOKUP(T$2, Percentiles!$A$45:$I$59, 8, FALSE), perc_85, perc_75 + (perc_90 - perc_75) * (2/3), converted_stat, '2K_Ratings'!T441, IF(bbgm_stat &gt;= perc_95, converted_stat * 3, IF(bbgm_stat &gt;= perc_90, converted_stat * 2, IF(bbgm_stat &gt;= perc_85, converted_stat * 1.5, converted_stat)))))</f>
        <v/>
      </c>
      <c r="U441" s="30" t="str">
        <f t="array" ref="U441">IF($A441="", "", LET(bbgm_stat, INDEX(Players!$A440:$P440, MATCH(U$2, Players!$A$1:$P$1, 0)), perc_75, VLOOKUP(U$2, Percentiles!$A$45:$I$59, 6, FALSE), perc_90, VLOOKUP(U$2, Percentiles!$A$45:$I$59, 7, FALSE), perc_95, VLOOKUP(U$2, Percentiles!$A$45:$I$59, 8, FALSE), perc_85, perc_75 + (perc_90 - perc_75) * (2/3), converted_stat, '2K_Ratings'!U441, IF(bbgm_stat &gt;= perc_95, converted_stat * 3, IF(bbgm_stat &gt;= perc_90, converted_stat * 2, IF(bbgm_stat &gt;= perc_85, converted_stat * 1.5, converted_stat)))))</f>
        <v/>
      </c>
      <c r="V441" s="30" t="str">
        <f t="array" ref="V441">IF($A441="", "", LET(bbgm_stat, INDEX(Players!$A440:$P440, MATCH(V$2, Players!$A$1:$P$1, 0)), perc_75, VLOOKUP(V$2, Percentiles!$A$45:$I$59, 6, FALSE), perc_90, VLOOKUP(V$2, Percentiles!$A$45:$I$59, 7, FALSE), perc_95, VLOOKUP(V$2, Percentiles!$A$45:$I$59, 8, FALSE), perc_85, perc_75 + (perc_90 - perc_75) * (2/3), converted_stat, '2K_Ratings'!V441, IF(bbgm_stat &gt;= perc_95, converted_stat * 3, IF(bbgm_stat &gt;= perc_90, converted_stat * 2, IF(bbgm_stat &gt;= perc_85, converted_stat * 1.5, converted_stat)))))</f>
        <v/>
      </c>
      <c r="W441" s="30" t="str">
        <f t="array" ref="W441">IF($A441="", "", LET(bbgm_stat, INDEX(Players!$A440:$P440, MATCH(W$2, Players!$A$1:$P$1, 0)), perc_75, VLOOKUP(W$2, Percentiles!$A$45:$I$59, 6, FALSE), perc_90, VLOOKUP(W$2, Percentiles!$A$45:$I$59, 7, FALSE), perc_95, VLOOKUP(W$2, Percentiles!$A$45:$I$59, 8, FALSE), perc_85, perc_75 + (perc_90 - perc_75) * (2/3), converted_stat, '2K_Ratings'!W441, IF(bbgm_stat &gt;= perc_95, converted_stat * 3, IF(bbgm_stat &gt;= perc_90, converted_stat * 2, IF(bbgm_stat &gt;= perc_85, converted_stat * 1.5, converted_stat)))))</f>
        <v/>
      </c>
    </row>
    <row r="442">
      <c r="A442" s="30"/>
      <c r="B442" s="30" t="str">
        <f t="array" ref="B442">IF($A442="", "", LET(bbgm_stat, INDEX(Players!$A441:$P441, MATCH(B$2, Players!$A$1:$P$1, 0)), perc_75, VLOOKUP(B$2, Percentiles!$A$45:$I$59, 6, FALSE), perc_90, VLOOKUP(B$2, Percentiles!$A$45:$I$59, 7, FALSE), perc_95, VLOOKUP(B$2, Percentiles!$A$45:$I$59, 8, FALSE), perc_85, perc_75 + (perc_90 - perc_75) * (2/3), converted_stat, '2K_Ratings'!B442, IF(bbgm_stat &gt;= perc_95, converted_stat * 3, IF(bbgm_stat &gt;= perc_90, converted_stat * 2, IF(bbgm_stat &gt;= perc_85, converted_stat * 1.5, converted_stat)))))</f>
        <v/>
      </c>
      <c r="C442" s="30" t="str">
        <f t="array" ref="C442">IF($A442="", "", LET(bbgm_stat, INDEX(Players!$A441:$P441, MATCH(C$2, Players!$A$1:$P$1, 0)), perc_75, VLOOKUP(C$2, Percentiles!$A$45:$I$59, 6, FALSE), perc_90, VLOOKUP(C$2, Percentiles!$A$45:$I$59, 7, FALSE), perc_95, VLOOKUP(C$2, Percentiles!$A$45:$I$59, 8, FALSE), perc_85, perc_75 + (perc_90 - perc_75) * (2/3), converted_stat, '2K_Ratings'!C442, IF(bbgm_stat &gt;= perc_95, converted_stat * 3, IF(bbgm_stat &gt;= perc_90, converted_stat * 2, IF(bbgm_stat &gt;= perc_85, converted_stat * 1.5, converted_stat)))))</f>
        <v/>
      </c>
      <c r="D442" s="30" t="str">
        <f t="array" ref="D442">IF($A442="", "", LET(bbgm_stat, INDEX(Players!$A441:$P441, MATCH(D$2, Players!$A$1:$P$1, 0)), perc_75, VLOOKUP(D$2, Percentiles!$A$45:$I$59, 6, FALSE), perc_90, VLOOKUP(D$2, Percentiles!$A$45:$I$59, 7, FALSE), perc_95, VLOOKUP(D$2, Percentiles!$A$45:$I$59, 8, FALSE), perc_85, perc_75 + (perc_90 - perc_75) * (2/3), converted_stat, '2K_Ratings'!D442, IF(bbgm_stat &gt;= perc_95, converted_stat * 3, IF(bbgm_stat &gt;= perc_90, converted_stat * 2, IF(bbgm_stat &gt;= perc_85, converted_stat * 1.5, converted_stat)))))</f>
        <v/>
      </c>
      <c r="E442" s="30" t="str">
        <f t="array" ref="E442">IF($A442="", "", LET(bbgm_stat, INDEX(Players!$A441:$P441, MATCH(E$2, Players!$A$1:$P$1, 0)), perc_75, VLOOKUP(E$2, Percentiles!$A$45:$I$59, 6, FALSE), perc_90, VLOOKUP(E$2, Percentiles!$A$45:$I$59, 7, FALSE), perc_95, VLOOKUP(E$2, Percentiles!$A$45:$I$59, 8, FALSE), perc_85, perc_75 + (perc_90 - perc_75) * (2/3), converted_stat, '2K_Ratings'!E442, IF(bbgm_stat &gt;= perc_95, converted_stat * 3, IF(bbgm_stat &gt;= perc_90, converted_stat * 2, IF(bbgm_stat &gt;= perc_85, converted_stat * 1.5, converted_stat)))))</f>
        <v/>
      </c>
      <c r="F442" s="30" t="str">
        <f t="array" ref="F442">IF($A442="", "", LET(bbgm_stat, INDEX(Players!$A441:$P441, MATCH(F$2, Players!$A$1:$P$1, 0)), perc_75, VLOOKUP(F$2, Percentiles!$A$45:$I$59, 6, FALSE), perc_90, VLOOKUP(F$2, Percentiles!$A$45:$I$59, 7, FALSE), perc_95, VLOOKUP(F$2, Percentiles!$A$45:$I$59, 8, FALSE), perc_85, perc_75 + (perc_90 - perc_75) * (2/3), converted_stat, '2K_Ratings'!F442, IF(bbgm_stat &gt;= perc_95, converted_stat * 3, IF(bbgm_stat &gt;= perc_90, converted_stat * 2, IF(bbgm_stat &gt;= perc_85, converted_stat * 1.5, converted_stat)))))</f>
        <v/>
      </c>
      <c r="G442" s="30" t="str">
        <f t="array" ref="G442">IF($A442="", "", LET(bbgm_stat, INDEX(Players!$A441:$P441, MATCH(G$2, Players!$A$1:$P$1, 0)), perc_75, VLOOKUP(G$2, Percentiles!$A$45:$I$59, 6, FALSE), perc_90, VLOOKUP(G$2, Percentiles!$A$45:$I$59, 7, FALSE), perc_95, VLOOKUP(G$2, Percentiles!$A$45:$I$59, 8, FALSE), perc_85, perc_75 + (perc_90 - perc_75) * (2/3), converted_stat, '2K_Ratings'!G442, IF(bbgm_stat &gt;= perc_95, converted_stat * 3, IF(bbgm_stat &gt;= perc_90, converted_stat * 2, IF(bbgm_stat &gt;= perc_85, converted_stat * 1.5, converted_stat)))))</f>
        <v/>
      </c>
      <c r="H442" s="30" t="str">
        <f t="array" ref="H442">IF($A442="", "", LET(bbgm_stat, INDEX(Players!$A441:$P441, MATCH(H$2, Players!$A$1:$P$1, 0)), perc_75, VLOOKUP(H$2, Percentiles!$A$45:$I$59, 6, FALSE), perc_90, VLOOKUP(H$2, Percentiles!$A$45:$I$59, 7, FALSE), perc_95, VLOOKUP(H$2, Percentiles!$A$45:$I$59, 8, FALSE), perc_85, perc_75 + (perc_90 - perc_75) * (2/3), converted_stat, '2K_Ratings'!H442, IF(bbgm_stat &gt;= perc_95, converted_stat * 3, IF(bbgm_stat &gt;= perc_90, converted_stat * 2, IF(bbgm_stat &gt;= perc_85, converted_stat * 1.5, converted_stat)))))</f>
        <v/>
      </c>
      <c r="I442" s="30" t="str">
        <f t="array" ref="I442">IF($A442="", "", LET(bbgm_stat, INDEX(Players!$A441:$P441, MATCH(I$2, Players!$A$1:$P$1, 0)), perc_75, VLOOKUP(I$2, Percentiles!$A$45:$I$59, 6, FALSE), perc_90, VLOOKUP(I$2, Percentiles!$A$45:$I$59, 7, FALSE), perc_95, VLOOKUP(I$2, Percentiles!$A$45:$I$59, 8, FALSE), perc_85, perc_75 + (perc_90 - perc_75) * (2/3), converted_stat, '2K_Ratings'!I442, IF(bbgm_stat &gt;= perc_95, converted_stat * 3, IF(bbgm_stat &gt;= perc_90, converted_stat * 2, IF(bbgm_stat &gt;= perc_85, converted_stat * 1.5, converted_stat)))))</f>
        <v/>
      </c>
      <c r="J442" s="30" t="str">
        <f t="array" ref="J442">IF($A442="", "", LET(bbgm_stat, INDEX(Players!$A441:$P441, MATCH(J$2, Players!$A$1:$P$1, 0)), perc_75, VLOOKUP(J$2, Percentiles!$A$45:$I$59, 6, FALSE), perc_90, VLOOKUP(J$2, Percentiles!$A$45:$I$59, 7, FALSE), perc_95, VLOOKUP(J$2, Percentiles!$A$45:$I$59, 8, FALSE), perc_85, perc_75 + (perc_90 - perc_75) * (2/3), converted_stat, '2K_Ratings'!J442, IF(bbgm_stat &gt;= perc_95, converted_stat * 3, IF(bbgm_stat &gt;= perc_90, converted_stat * 2, IF(bbgm_stat &gt;= perc_85, converted_stat * 1.5, converted_stat)))))</f>
        <v/>
      </c>
      <c r="K442" s="30" t="str">
        <f t="array" ref="K442">IF($A442="", "", LET(bbgm_stat, INDEX(Players!$A441:$P441, MATCH(K$2, Players!$A$1:$P$1, 0)), perc_75, VLOOKUP(K$2, Percentiles!$A$45:$I$59, 6, FALSE), perc_90, VLOOKUP(K$2, Percentiles!$A$45:$I$59, 7, FALSE), perc_95, VLOOKUP(K$2, Percentiles!$A$45:$I$59, 8, FALSE), perc_85, perc_75 + (perc_90 - perc_75) * (2/3), converted_stat, '2K_Ratings'!K442, IF(bbgm_stat &gt;= perc_95, converted_stat * 3, IF(bbgm_stat &gt;= perc_90, converted_stat * 2, IF(bbgm_stat &gt;= perc_85, converted_stat * 1.5, converted_stat)))))</f>
        <v/>
      </c>
      <c r="L442" s="30" t="str">
        <f t="array" ref="L442">IF($A442="", "", LET(bbgm_stat, INDEX(Players!$A441:$P441, MATCH(L$2, Players!$A$1:$P$1, 0)), perc_75, VLOOKUP(L$2, Percentiles!$A$45:$I$59, 6, FALSE), perc_90, VLOOKUP(L$2, Percentiles!$A$45:$I$59, 7, FALSE), perc_95, VLOOKUP(L$2, Percentiles!$A$45:$I$59, 8, FALSE), perc_85, perc_75 + (perc_90 - perc_75) * (2/3), converted_stat, '2K_Ratings'!L442, IF(bbgm_stat &gt;= perc_95, converted_stat * 3, IF(bbgm_stat &gt;= perc_90, converted_stat * 2, IF(bbgm_stat &gt;= perc_85, converted_stat * 1.5, converted_stat)))))</f>
        <v/>
      </c>
      <c r="M442" s="30" t="str">
        <f t="array" ref="M442">IF($A442="", "", LET(bbgm_stat, INDEX(Players!$A441:$P441, MATCH(M$2, Players!$A$1:$P$1, 0)), perc_75, VLOOKUP(M$2, Percentiles!$A$45:$I$59, 6, FALSE), perc_90, VLOOKUP(M$2, Percentiles!$A$45:$I$59, 7, FALSE), perc_95, VLOOKUP(M$2, Percentiles!$A$45:$I$59, 8, FALSE), perc_85, perc_75 + (perc_90 - perc_75) * (2/3), converted_stat, '2K_Ratings'!M442, IF(bbgm_stat &gt;= perc_95, converted_stat * 3, IF(bbgm_stat &gt;= perc_90, converted_stat * 2, IF(bbgm_stat &gt;= perc_85, converted_stat * 1.5, converted_stat)))))</f>
        <v/>
      </c>
      <c r="N442" s="30" t="str">
        <f t="array" ref="N442">IF($A442="", "", LET(bbgm_stat, INDEX(Players!$A441:$P441, MATCH(N$2, Players!$A$1:$P$1, 0)), perc_75, VLOOKUP(N$2, Percentiles!$A$45:$I$59, 6, FALSE), perc_90, VLOOKUP(N$2, Percentiles!$A$45:$I$59, 7, FALSE), perc_95, VLOOKUP(N$2, Percentiles!$A$45:$I$59, 8, FALSE), perc_85, perc_75 + (perc_90 - perc_75) * (2/3), converted_stat, '2K_Ratings'!N442, IF(bbgm_stat &gt;= perc_95, converted_stat * 3, IF(bbgm_stat &gt;= perc_90, converted_stat * 2, IF(bbgm_stat &gt;= perc_85, converted_stat * 1.5, converted_stat)))))</f>
        <v/>
      </c>
      <c r="O442" s="30" t="str">
        <f t="array" ref="O442">IF($A442="", "", LET(bbgm_stat, INDEX(Players!$A441:$P441, MATCH(O$2, Players!$A$1:$P$1, 0)), perc_75, VLOOKUP(O$2, Percentiles!$A$45:$I$59, 6, FALSE), perc_90, VLOOKUP(O$2, Percentiles!$A$45:$I$59, 7, FALSE), perc_95, VLOOKUP(O$2, Percentiles!$A$45:$I$59, 8, FALSE), perc_85, perc_75 + (perc_90 - perc_75) * (2/3), converted_stat, '2K_Ratings'!O442, IF(bbgm_stat &gt;= perc_95, converted_stat * 3, IF(bbgm_stat &gt;= perc_90, converted_stat * 2, IF(bbgm_stat &gt;= perc_85, converted_stat * 1.5, converted_stat)))))</f>
        <v/>
      </c>
      <c r="P442" s="30" t="str">
        <f t="array" ref="P442">IF($A442="", "", LET(bbgm_stat, INDEX(Players!$A441:$P441, MATCH(P$2, Players!$A$1:$P$1, 0)), perc_75, VLOOKUP(P$2, Percentiles!$A$45:$I$59, 6, FALSE), perc_90, VLOOKUP(P$2, Percentiles!$A$45:$I$59, 7, FALSE), perc_95, VLOOKUP(P$2, Percentiles!$A$45:$I$59, 8, FALSE), perc_85, perc_75 + (perc_90 - perc_75) * (2/3), converted_stat, '2K_Ratings'!P442, IF(bbgm_stat &gt;= perc_95, converted_stat * 3, IF(bbgm_stat &gt;= perc_90, converted_stat * 2, IF(bbgm_stat &gt;= perc_85, converted_stat * 1.5, converted_stat)))))</f>
        <v/>
      </c>
      <c r="Q442" s="30" t="str">
        <f t="array" ref="Q442">IF($A442="", "", LET(bbgm_stat, INDEX(Players!$A441:$P441, MATCH(Q$2, Players!$A$1:$P$1, 0)), perc_75, VLOOKUP(Q$2, Percentiles!$A$45:$I$59, 6, FALSE), perc_90, VLOOKUP(Q$2, Percentiles!$A$45:$I$59, 7, FALSE), perc_95, VLOOKUP(Q$2, Percentiles!$A$45:$I$59, 8, FALSE), perc_85, perc_75 + (perc_90 - perc_75) * (2/3), converted_stat, '2K_Ratings'!Q442, IF(bbgm_stat &gt;= perc_95, converted_stat * 3, IF(bbgm_stat &gt;= perc_90, converted_stat * 2, IF(bbgm_stat &gt;= perc_85, converted_stat * 1.5, converted_stat)))))</f>
        <v/>
      </c>
      <c r="R442" s="30" t="str">
        <f t="array" ref="R442">IF($A442="", "", LET(bbgm_stat, INDEX(Players!$A441:$P441, MATCH(R$2, Players!$A$1:$P$1, 0)), perc_75, VLOOKUP(R$2, Percentiles!$A$45:$I$59, 6, FALSE), perc_90, VLOOKUP(R$2, Percentiles!$A$45:$I$59, 7, FALSE), perc_95, VLOOKUP(R$2, Percentiles!$A$45:$I$59, 8, FALSE), perc_85, perc_75 + (perc_90 - perc_75) * (2/3), converted_stat, '2K_Ratings'!R442, IF(bbgm_stat &gt;= perc_95, converted_stat * 3, IF(bbgm_stat &gt;= perc_90, converted_stat * 2, IF(bbgm_stat &gt;= perc_85, converted_stat * 1.5, converted_stat)))))</f>
        <v/>
      </c>
      <c r="S442" s="30" t="str">
        <f t="array" ref="S442">IF($A442="", "", LET(bbgm_stat, INDEX(Players!$A441:$P441, MATCH(S$2, Players!$A$1:$P$1, 0)), perc_75, VLOOKUP(S$2, Percentiles!$A$45:$I$59, 6, FALSE), perc_90, VLOOKUP(S$2, Percentiles!$A$45:$I$59, 7, FALSE), perc_95, VLOOKUP(S$2, Percentiles!$A$45:$I$59, 8, FALSE), perc_85, perc_75 + (perc_90 - perc_75) * (2/3), converted_stat, '2K_Ratings'!S442, IF(bbgm_stat &gt;= perc_95, converted_stat * 3, IF(bbgm_stat &gt;= perc_90, converted_stat * 2, IF(bbgm_stat &gt;= perc_85, converted_stat * 1.5, converted_stat)))))</f>
        <v/>
      </c>
      <c r="T442" s="30" t="str">
        <f t="array" ref="T442">IF($A442="", "", LET(bbgm_stat, INDEX(Players!$A441:$P441, MATCH(T$2, Players!$A$1:$P$1, 0)), perc_75, VLOOKUP(T$2, Percentiles!$A$45:$I$59, 6, FALSE), perc_90, VLOOKUP(T$2, Percentiles!$A$45:$I$59, 7, FALSE), perc_95, VLOOKUP(T$2, Percentiles!$A$45:$I$59, 8, FALSE), perc_85, perc_75 + (perc_90 - perc_75) * (2/3), converted_stat, '2K_Ratings'!T442, IF(bbgm_stat &gt;= perc_95, converted_stat * 3, IF(bbgm_stat &gt;= perc_90, converted_stat * 2, IF(bbgm_stat &gt;= perc_85, converted_stat * 1.5, converted_stat)))))</f>
        <v/>
      </c>
      <c r="U442" s="30" t="str">
        <f t="array" ref="U442">IF($A442="", "", LET(bbgm_stat, INDEX(Players!$A441:$P441, MATCH(U$2, Players!$A$1:$P$1, 0)), perc_75, VLOOKUP(U$2, Percentiles!$A$45:$I$59, 6, FALSE), perc_90, VLOOKUP(U$2, Percentiles!$A$45:$I$59, 7, FALSE), perc_95, VLOOKUP(U$2, Percentiles!$A$45:$I$59, 8, FALSE), perc_85, perc_75 + (perc_90 - perc_75) * (2/3), converted_stat, '2K_Ratings'!U442, IF(bbgm_stat &gt;= perc_95, converted_stat * 3, IF(bbgm_stat &gt;= perc_90, converted_stat * 2, IF(bbgm_stat &gt;= perc_85, converted_stat * 1.5, converted_stat)))))</f>
        <v/>
      </c>
      <c r="V442" s="30" t="str">
        <f t="array" ref="V442">IF($A442="", "", LET(bbgm_stat, INDEX(Players!$A441:$P441, MATCH(V$2, Players!$A$1:$P$1, 0)), perc_75, VLOOKUP(V$2, Percentiles!$A$45:$I$59, 6, FALSE), perc_90, VLOOKUP(V$2, Percentiles!$A$45:$I$59, 7, FALSE), perc_95, VLOOKUP(V$2, Percentiles!$A$45:$I$59, 8, FALSE), perc_85, perc_75 + (perc_90 - perc_75) * (2/3), converted_stat, '2K_Ratings'!V442, IF(bbgm_stat &gt;= perc_95, converted_stat * 3, IF(bbgm_stat &gt;= perc_90, converted_stat * 2, IF(bbgm_stat &gt;= perc_85, converted_stat * 1.5, converted_stat)))))</f>
        <v/>
      </c>
      <c r="W442" s="30" t="str">
        <f t="array" ref="W442">IF($A442="", "", LET(bbgm_stat, INDEX(Players!$A441:$P441, MATCH(W$2, Players!$A$1:$P$1, 0)), perc_75, VLOOKUP(W$2, Percentiles!$A$45:$I$59, 6, FALSE), perc_90, VLOOKUP(W$2, Percentiles!$A$45:$I$59, 7, FALSE), perc_95, VLOOKUP(W$2, Percentiles!$A$45:$I$59, 8, FALSE), perc_85, perc_75 + (perc_90 - perc_75) * (2/3), converted_stat, '2K_Ratings'!W442, IF(bbgm_stat &gt;= perc_95, converted_stat * 3, IF(bbgm_stat &gt;= perc_90, converted_stat * 2, IF(bbgm_stat &gt;= perc_85, converted_stat * 1.5, converted_stat)))))</f>
        <v/>
      </c>
    </row>
    <row r="443">
      <c r="A443" s="30"/>
      <c r="B443" s="30" t="str">
        <f t="array" ref="B443">IF($A443="", "", LET(bbgm_stat, INDEX(Players!$A442:$P442, MATCH(B$2, Players!$A$1:$P$1, 0)), perc_75, VLOOKUP(B$2, Percentiles!$A$45:$I$59, 6, FALSE), perc_90, VLOOKUP(B$2, Percentiles!$A$45:$I$59, 7, FALSE), perc_95, VLOOKUP(B$2, Percentiles!$A$45:$I$59, 8, FALSE), perc_85, perc_75 + (perc_90 - perc_75) * (2/3), converted_stat, '2K_Ratings'!B443, IF(bbgm_stat &gt;= perc_95, converted_stat * 3, IF(bbgm_stat &gt;= perc_90, converted_stat * 2, IF(bbgm_stat &gt;= perc_85, converted_stat * 1.5, converted_stat)))))</f>
        <v/>
      </c>
      <c r="C443" s="30" t="str">
        <f t="array" ref="C443">IF($A443="", "", LET(bbgm_stat, INDEX(Players!$A442:$P442, MATCH(C$2, Players!$A$1:$P$1, 0)), perc_75, VLOOKUP(C$2, Percentiles!$A$45:$I$59, 6, FALSE), perc_90, VLOOKUP(C$2, Percentiles!$A$45:$I$59, 7, FALSE), perc_95, VLOOKUP(C$2, Percentiles!$A$45:$I$59, 8, FALSE), perc_85, perc_75 + (perc_90 - perc_75) * (2/3), converted_stat, '2K_Ratings'!C443, IF(bbgm_stat &gt;= perc_95, converted_stat * 3, IF(bbgm_stat &gt;= perc_90, converted_stat * 2, IF(bbgm_stat &gt;= perc_85, converted_stat * 1.5, converted_stat)))))</f>
        <v/>
      </c>
      <c r="D443" s="30" t="str">
        <f t="array" ref="D443">IF($A443="", "", LET(bbgm_stat, INDEX(Players!$A442:$P442, MATCH(D$2, Players!$A$1:$P$1, 0)), perc_75, VLOOKUP(D$2, Percentiles!$A$45:$I$59, 6, FALSE), perc_90, VLOOKUP(D$2, Percentiles!$A$45:$I$59, 7, FALSE), perc_95, VLOOKUP(D$2, Percentiles!$A$45:$I$59, 8, FALSE), perc_85, perc_75 + (perc_90 - perc_75) * (2/3), converted_stat, '2K_Ratings'!D443, IF(bbgm_stat &gt;= perc_95, converted_stat * 3, IF(bbgm_stat &gt;= perc_90, converted_stat * 2, IF(bbgm_stat &gt;= perc_85, converted_stat * 1.5, converted_stat)))))</f>
        <v/>
      </c>
      <c r="E443" s="30" t="str">
        <f t="array" ref="E443">IF($A443="", "", LET(bbgm_stat, INDEX(Players!$A442:$P442, MATCH(E$2, Players!$A$1:$P$1, 0)), perc_75, VLOOKUP(E$2, Percentiles!$A$45:$I$59, 6, FALSE), perc_90, VLOOKUP(E$2, Percentiles!$A$45:$I$59, 7, FALSE), perc_95, VLOOKUP(E$2, Percentiles!$A$45:$I$59, 8, FALSE), perc_85, perc_75 + (perc_90 - perc_75) * (2/3), converted_stat, '2K_Ratings'!E443, IF(bbgm_stat &gt;= perc_95, converted_stat * 3, IF(bbgm_stat &gt;= perc_90, converted_stat * 2, IF(bbgm_stat &gt;= perc_85, converted_stat * 1.5, converted_stat)))))</f>
        <v/>
      </c>
      <c r="F443" s="30" t="str">
        <f t="array" ref="F443">IF($A443="", "", LET(bbgm_stat, INDEX(Players!$A442:$P442, MATCH(F$2, Players!$A$1:$P$1, 0)), perc_75, VLOOKUP(F$2, Percentiles!$A$45:$I$59, 6, FALSE), perc_90, VLOOKUP(F$2, Percentiles!$A$45:$I$59, 7, FALSE), perc_95, VLOOKUP(F$2, Percentiles!$A$45:$I$59, 8, FALSE), perc_85, perc_75 + (perc_90 - perc_75) * (2/3), converted_stat, '2K_Ratings'!F443, IF(bbgm_stat &gt;= perc_95, converted_stat * 3, IF(bbgm_stat &gt;= perc_90, converted_stat * 2, IF(bbgm_stat &gt;= perc_85, converted_stat * 1.5, converted_stat)))))</f>
        <v/>
      </c>
      <c r="G443" s="30" t="str">
        <f t="array" ref="G443">IF($A443="", "", LET(bbgm_stat, INDEX(Players!$A442:$P442, MATCH(G$2, Players!$A$1:$P$1, 0)), perc_75, VLOOKUP(G$2, Percentiles!$A$45:$I$59, 6, FALSE), perc_90, VLOOKUP(G$2, Percentiles!$A$45:$I$59, 7, FALSE), perc_95, VLOOKUP(G$2, Percentiles!$A$45:$I$59, 8, FALSE), perc_85, perc_75 + (perc_90 - perc_75) * (2/3), converted_stat, '2K_Ratings'!G443, IF(bbgm_stat &gt;= perc_95, converted_stat * 3, IF(bbgm_stat &gt;= perc_90, converted_stat * 2, IF(bbgm_stat &gt;= perc_85, converted_stat * 1.5, converted_stat)))))</f>
        <v/>
      </c>
      <c r="H443" s="30" t="str">
        <f t="array" ref="H443">IF($A443="", "", LET(bbgm_stat, INDEX(Players!$A442:$P442, MATCH(H$2, Players!$A$1:$P$1, 0)), perc_75, VLOOKUP(H$2, Percentiles!$A$45:$I$59, 6, FALSE), perc_90, VLOOKUP(H$2, Percentiles!$A$45:$I$59, 7, FALSE), perc_95, VLOOKUP(H$2, Percentiles!$A$45:$I$59, 8, FALSE), perc_85, perc_75 + (perc_90 - perc_75) * (2/3), converted_stat, '2K_Ratings'!H443, IF(bbgm_stat &gt;= perc_95, converted_stat * 3, IF(bbgm_stat &gt;= perc_90, converted_stat * 2, IF(bbgm_stat &gt;= perc_85, converted_stat * 1.5, converted_stat)))))</f>
        <v/>
      </c>
      <c r="I443" s="30" t="str">
        <f t="array" ref="I443">IF($A443="", "", LET(bbgm_stat, INDEX(Players!$A442:$P442, MATCH(I$2, Players!$A$1:$P$1, 0)), perc_75, VLOOKUP(I$2, Percentiles!$A$45:$I$59, 6, FALSE), perc_90, VLOOKUP(I$2, Percentiles!$A$45:$I$59, 7, FALSE), perc_95, VLOOKUP(I$2, Percentiles!$A$45:$I$59, 8, FALSE), perc_85, perc_75 + (perc_90 - perc_75) * (2/3), converted_stat, '2K_Ratings'!I443, IF(bbgm_stat &gt;= perc_95, converted_stat * 3, IF(bbgm_stat &gt;= perc_90, converted_stat * 2, IF(bbgm_stat &gt;= perc_85, converted_stat * 1.5, converted_stat)))))</f>
        <v/>
      </c>
      <c r="J443" s="30" t="str">
        <f t="array" ref="J443">IF($A443="", "", LET(bbgm_stat, INDEX(Players!$A442:$P442, MATCH(J$2, Players!$A$1:$P$1, 0)), perc_75, VLOOKUP(J$2, Percentiles!$A$45:$I$59, 6, FALSE), perc_90, VLOOKUP(J$2, Percentiles!$A$45:$I$59, 7, FALSE), perc_95, VLOOKUP(J$2, Percentiles!$A$45:$I$59, 8, FALSE), perc_85, perc_75 + (perc_90 - perc_75) * (2/3), converted_stat, '2K_Ratings'!J443, IF(bbgm_stat &gt;= perc_95, converted_stat * 3, IF(bbgm_stat &gt;= perc_90, converted_stat * 2, IF(bbgm_stat &gt;= perc_85, converted_stat * 1.5, converted_stat)))))</f>
        <v/>
      </c>
      <c r="K443" s="30" t="str">
        <f t="array" ref="K443">IF($A443="", "", LET(bbgm_stat, INDEX(Players!$A442:$P442, MATCH(K$2, Players!$A$1:$P$1, 0)), perc_75, VLOOKUP(K$2, Percentiles!$A$45:$I$59, 6, FALSE), perc_90, VLOOKUP(K$2, Percentiles!$A$45:$I$59, 7, FALSE), perc_95, VLOOKUP(K$2, Percentiles!$A$45:$I$59, 8, FALSE), perc_85, perc_75 + (perc_90 - perc_75) * (2/3), converted_stat, '2K_Ratings'!K443, IF(bbgm_stat &gt;= perc_95, converted_stat * 3, IF(bbgm_stat &gt;= perc_90, converted_stat * 2, IF(bbgm_stat &gt;= perc_85, converted_stat * 1.5, converted_stat)))))</f>
        <v/>
      </c>
      <c r="L443" s="30" t="str">
        <f t="array" ref="L443">IF($A443="", "", LET(bbgm_stat, INDEX(Players!$A442:$P442, MATCH(L$2, Players!$A$1:$P$1, 0)), perc_75, VLOOKUP(L$2, Percentiles!$A$45:$I$59, 6, FALSE), perc_90, VLOOKUP(L$2, Percentiles!$A$45:$I$59, 7, FALSE), perc_95, VLOOKUP(L$2, Percentiles!$A$45:$I$59, 8, FALSE), perc_85, perc_75 + (perc_90 - perc_75) * (2/3), converted_stat, '2K_Ratings'!L443, IF(bbgm_stat &gt;= perc_95, converted_stat * 3, IF(bbgm_stat &gt;= perc_90, converted_stat * 2, IF(bbgm_stat &gt;= perc_85, converted_stat * 1.5, converted_stat)))))</f>
        <v/>
      </c>
      <c r="M443" s="30" t="str">
        <f t="array" ref="M443">IF($A443="", "", LET(bbgm_stat, INDEX(Players!$A442:$P442, MATCH(M$2, Players!$A$1:$P$1, 0)), perc_75, VLOOKUP(M$2, Percentiles!$A$45:$I$59, 6, FALSE), perc_90, VLOOKUP(M$2, Percentiles!$A$45:$I$59, 7, FALSE), perc_95, VLOOKUP(M$2, Percentiles!$A$45:$I$59, 8, FALSE), perc_85, perc_75 + (perc_90 - perc_75) * (2/3), converted_stat, '2K_Ratings'!M443, IF(bbgm_stat &gt;= perc_95, converted_stat * 3, IF(bbgm_stat &gt;= perc_90, converted_stat * 2, IF(bbgm_stat &gt;= perc_85, converted_stat * 1.5, converted_stat)))))</f>
        <v/>
      </c>
      <c r="N443" s="30" t="str">
        <f t="array" ref="N443">IF($A443="", "", LET(bbgm_stat, INDEX(Players!$A442:$P442, MATCH(N$2, Players!$A$1:$P$1, 0)), perc_75, VLOOKUP(N$2, Percentiles!$A$45:$I$59, 6, FALSE), perc_90, VLOOKUP(N$2, Percentiles!$A$45:$I$59, 7, FALSE), perc_95, VLOOKUP(N$2, Percentiles!$A$45:$I$59, 8, FALSE), perc_85, perc_75 + (perc_90 - perc_75) * (2/3), converted_stat, '2K_Ratings'!N443, IF(bbgm_stat &gt;= perc_95, converted_stat * 3, IF(bbgm_stat &gt;= perc_90, converted_stat * 2, IF(bbgm_stat &gt;= perc_85, converted_stat * 1.5, converted_stat)))))</f>
        <v/>
      </c>
      <c r="O443" s="30" t="str">
        <f t="array" ref="O443">IF($A443="", "", LET(bbgm_stat, INDEX(Players!$A442:$P442, MATCH(O$2, Players!$A$1:$P$1, 0)), perc_75, VLOOKUP(O$2, Percentiles!$A$45:$I$59, 6, FALSE), perc_90, VLOOKUP(O$2, Percentiles!$A$45:$I$59, 7, FALSE), perc_95, VLOOKUP(O$2, Percentiles!$A$45:$I$59, 8, FALSE), perc_85, perc_75 + (perc_90 - perc_75) * (2/3), converted_stat, '2K_Ratings'!O443, IF(bbgm_stat &gt;= perc_95, converted_stat * 3, IF(bbgm_stat &gt;= perc_90, converted_stat * 2, IF(bbgm_stat &gt;= perc_85, converted_stat * 1.5, converted_stat)))))</f>
        <v/>
      </c>
      <c r="P443" s="30" t="str">
        <f t="array" ref="P443">IF($A443="", "", LET(bbgm_stat, INDEX(Players!$A442:$P442, MATCH(P$2, Players!$A$1:$P$1, 0)), perc_75, VLOOKUP(P$2, Percentiles!$A$45:$I$59, 6, FALSE), perc_90, VLOOKUP(P$2, Percentiles!$A$45:$I$59, 7, FALSE), perc_95, VLOOKUP(P$2, Percentiles!$A$45:$I$59, 8, FALSE), perc_85, perc_75 + (perc_90 - perc_75) * (2/3), converted_stat, '2K_Ratings'!P443, IF(bbgm_stat &gt;= perc_95, converted_stat * 3, IF(bbgm_stat &gt;= perc_90, converted_stat * 2, IF(bbgm_stat &gt;= perc_85, converted_stat * 1.5, converted_stat)))))</f>
        <v/>
      </c>
      <c r="Q443" s="30" t="str">
        <f t="array" ref="Q443">IF($A443="", "", LET(bbgm_stat, INDEX(Players!$A442:$P442, MATCH(Q$2, Players!$A$1:$P$1, 0)), perc_75, VLOOKUP(Q$2, Percentiles!$A$45:$I$59, 6, FALSE), perc_90, VLOOKUP(Q$2, Percentiles!$A$45:$I$59, 7, FALSE), perc_95, VLOOKUP(Q$2, Percentiles!$A$45:$I$59, 8, FALSE), perc_85, perc_75 + (perc_90 - perc_75) * (2/3), converted_stat, '2K_Ratings'!Q443, IF(bbgm_stat &gt;= perc_95, converted_stat * 3, IF(bbgm_stat &gt;= perc_90, converted_stat * 2, IF(bbgm_stat &gt;= perc_85, converted_stat * 1.5, converted_stat)))))</f>
        <v/>
      </c>
      <c r="R443" s="30" t="str">
        <f t="array" ref="R443">IF($A443="", "", LET(bbgm_stat, INDEX(Players!$A442:$P442, MATCH(R$2, Players!$A$1:$P$1, 0)), perc_75, VLOOKUP(R$2, Percentiles!$A$45:$I$59, 6, FALSE), perc_90, VLOOKUP(R$2, Percentiles!$A$45:$I$59, 7, FALSE), perc_95, VLOOKUP(R$2, Percentiles!$A$45:$I$59, 8, FALSE), perc_85, perc_75 + (perc_90 - perc_75) * (2/3), converted_stat, '2K_Ratings'!R443, IF(bbgm_stat &gt;= perc_95, converted_stat * 3, IF(bbgm_stat &gt;= perc_90, converted_stat * 2, IF(bbgm_stat &gt;= perc_85, converted_stat * 1.5, converted_stat)))))</f>
        <v/>
      </c>
      <c r="S443" s="30" t="str">
        <f t="array" ref="S443">IF($A443="", "", LET(bbgm_stat, INDEX(Players!$A442:$P442, MATCH(S$2, Players!$A$1:$P$1, 0)), perc_75, VLOOKUP(S$2, Percentiles!$A$45:$I$59, 6, FALSE), perc_90, VLOOKUP(S$2, Percentiles!$A$45:$I$59, 7, FALSE), perc_95, VLOOKUP(S$2, Percentiles!$A$45:$I$59, 8, FALSE), perc_85, perc_75 + (perc_90 - perc_75) * (2/3), converted_stat, '2K_Ratings'!S443, IF(bbgm_stat &gt;= perc_95, converted_stat * 3, IF(bbgm_stat &gt;= perc_90, converted_stat * 2, IF(bbgm_stat &gt;= perc_85, converted_stat * 1.5, converted_stat)))))</f>
        <v/>
      </c>
      <c r="T443" s="30" t="str">
        <f t="array" ref="T443">IF($A443="", "", LET(bbgm_stat, INDEX(Players!$A442:$P442, MATCH(T$2, Players!$A$1:$P$1, 0)), perc_75, VLOOKUP(T$2, Percentiles!$A$45:$I$59, 6, FALSE), perc_90, VLOOKUP(T$2, Percentiles!$A$45:$I$59, 7, FALSE), perc_95, VLOOKUP(T$2, Percentiles!$A$45:$I$59, 8, FALSE), perc_85, perc_75 + (perc_90 - perc_75) * (2/3), converted_stat, '2K_Ratings'!T443, IF(bbgm_stat &gt;= perc_95, converted_stat * 3, IF(bbgm_stat &gt;= perc_90, converted_stat * 2, IF(bbgm_stat &gt;= perc_85, converted_stat * 1.5, converted_stat)))))</f>
        <v/>
      </c>
      <c r="U443" s="30" t="str">
        <f t="array" ref="U443">IF($A443="", "", LET(bbgm_stat, INDEX(Players!$A442:$P442, MATCH(U$2, Players!$A$1:$P$1, 0)), perc_75, VLOOKUP(U$2, Percentiles!$A$45:$I$59, 6, FALSE), perc_90, VLOOKUP(U$2, Percentiles!$A$45:$I$59, 7, FALSE), perc_95, VLOOKUP(U$2, Percentiles!$A$45:$I$59, 8, FALSE), perc_85, perc_75 + (perc_90 - perc_75) * (2/3), converted_stat, '2K_Ratings'!U443, IF(bbgm_stat &gt;= perc_95, converted_stat * 3, IF(bbgm_stat &gt;= perc_90, converted_stat * 2, IF(bbgm_stat &gt;= perc_85, converted_stat * 1.5, converted_stat)))))</f>
        <v/>
      </c>
      <c r="V443" s="30" t="str">
        <f t="array" ref="V443">IF($A443="", "", LET(bbgm_stat, INDEX(Players!$A442:$P442, MATCH(V$2, Players!$A$1:$P$1, 0)), perc_75, VLOOKUP(V$2, Percentiles!$A$45:$I$59, 6, FALSE), perc_90, VLOOKUP(V$2, Percentiles!$A$45:$I$59, 7, FALSE), perc_95, VLOOKUP(V$2, Percentiles!$A$45:$I$59, 8, FALSE), perc_85, perc_75 + (perc_90 - perc_75) * (2/3), converted_stat, '2K_Ratings'!V443, IF(bbgm_stat &gt;= perc_95, converted_stat * 3, IF(bbgm_stat &gt;= perc_90, converted_stat * 2, IF(bbgm_stat &gt;= perc_85, converted_stat * 1.5, converted_stat)))))</f>
        <v/>
      </c>
      <c r="W443" s="30" t="str">
        <f t="array" ref="W443">IF($A443="", "", LET(bbgm_stat, INDEX(Players!$A442:$P442, MATCH(W$2, Players!$A$1:$P$1, 0)), perc_75, VLOOKUP(W$2, Percentiles!$A$45:$I$59, 6, FALSE), perc_90, VLOOKUP(W$2, Percentiles!$A$45:$I$59, 7, FALSE), perc_95, VLOOKUP(W$2, Percentiles!$A$45:$I$59, 8, FALSE), perc_85, perc_75 + (perc_90 - perc_75) * (2/3), converted_stat, '2K_Ratings'!W443, IF(bbgm_stat &gt;= perc_95, converted_stat * 3, IF(bbgm_stat &gt;= perc_90, converted_stat * 2, IF(bbgm_stat &gt;= perc_85, converted_stat * 1.5, converted_stat)))))</f>
        <v/>
      </c>
    </row>
    <row r="444">
      <c r="A444" s="30"/>
      <c r="B444" s="30" t="str">
        <f t="array" ref="B444">IF($A444="", "", LET(bbgm_stat, INDEX(Players!$A443:$P443, MATCH(B$2, Players!$A$1:$P$1, 0)), perc_75, VLOOKUP(B$2, Percentiles!$A$45:$I$59, 6, FALSE), perc_90, VLOOKUP(B$2, Percentiles!$A$45:$I$59, 7, FALSE), perc_95, VLOOKUP(B$2, Percentiles!$A$45:$I$59, 8, FALSE), perc_85, perc_75 + (perc_90 - perc_75) * (2/3), converted_stat, '2K_Ratings'!B444, IF(bbgm_stat &gt;= perc_95, converted_stat * 3, IF(bbgm_stat &gt;= perc_90, converted_stat * 2, IF(bbgm_stat &gt;= perc_85, converted_stat * 1.5, converted_stat)))))</f>
        <v/>
      </c>
      <c r="C444" s="30" t="str">
        <f t="array" ref="C444">IF($A444="", "", LET(bbgm_stat, INDEX(Players!$A443:$P443, MATCH(C$2, Players!$A$1:$P$1, 0)), perc_75, VLOOKUP(C$2, Percentiles!$A$45:$I$59, 6, FALSE), perc_90, VLOOKUP(C$2, Percentiles!$A$45:$I$59, 7, FALSE), perc_95, VLOOKUP(C$2, Percentiles!$A$45:$I$59, 8, FALSE), perc_85, perc_75 + (perc_90 - perc_75) * (2/3), converted_stat, '2K_Ratings'!C444, IF(bbgm_stat &gt;= perc_95, converted_stat * 3, IF(bbgm_stat &gt;= perc_90, converted_stat * 2, IF(bbgm_stat &gt;= perc_85, converted_stat * 1.5, converted_stat)))))</f>
        <v/>
      </c>
      <c r="D444" s="30" t="str">
        <f t="array" ref="D444">IF($A444="", "", LET(bbgm_stat, INDEX(Players!$A443:$P443, MATCH(D$2, Players!$A$1:$P$1, 0)), perc_75, VLOOKUP(D$2, Percentiles!$A$45:$I$59, 6, FALSE), perc_90, VLOOKUP(D$2, Percentiles!$A$45:$I$59, 7, FALSE), perc_95, VLOOKUP(D$2, Percentiles!$A$45:$I$59, 8, FALSE), perc_85, perc_75 + (perc_90 - perc_75) * (2/3), converted_stat, '2K_Ratings'!D444, IF(bbgm_stat &gt;= perc_95, converted_stat * 3, IF(bbgm_stat &gt;= perc_90, converted_stat * 2, IF(bbgm_stat &gt;= perc_85, converted_stat * 1.5, converted_stat)))))</f>
        <v/>
      </c>
      <c r="E444" s="30" t="str">
        <f t="array" ref="E444">IF($A444="", "", LET(bbgm_stat, INDEX(Players!$A443:$P443, MATCH(E$2, Players!$A$1:$P$1, 0)), perc_75, VLOOKUP(E$2, Percentiles!$A$45:$I$59, 6, FALSE), perc_90, VLOOKUP(E$2, Percentiles!$A$45:$I$59, 7, FALSE), perc_95, VLOOKUP(E$2, Percentiles!$A$45:$I$59, 8, FALSE), perc_85, perc_75 + (perc_90 - perc_75) * (2/3), converted_stat, '2K_Ratings'!E444, IF(bbgm_stat &gt;= perc_95, converted_stat * 3, IF(bbgm_stat &gt;= perc_90, converted_stat * 2, IF(bbgm_stat &gt;= perc_85, converted_stat * 1.5, converted_stat)))))</f>
        <v/>
      </c>
      <c r="F444" s="30" t="str">
        <f t="array" ref="F444">IF($A444="", "", LET(bbgm_stat, INDEX(Players!$A443:$P443, MATCH(F$2, Players!$A$1:$P$1, 0)), perc_75, VLOOKUP(F$2, Percentiles!$A$45:$I$59, 6, FALSE), perc_90, VLOOKUP(F$2, Percentiles!$A$45:$I$59, 7, FALSE), perc_95, VLOOKUP(F$2, Percentiles!$A$45:$I$59, 8, FALSE), perc_85, perc_75 + (perc_90 - perc_75) * (2/3), converted_stat, '2K_Ratings'!F444, IF(bbgm_stat &gt;= perc_95, converted_stat * 3, IF(bbgm_stat &gt;= perc_90, converted_stat * 2, IF(bbgm_stat &gt;= perc_85, converted_stat * 1.5, converted_stat)))))</f>
        <v/>
      </c>
      <c r="G444" s="30" t="str">
        <f t="array" ref="G444">IF($A444="", "", LET(bbgm_stat, INDEX(Players!$A443:$P443, MATCH(G$2, Players!$A$1:$P$1, 0)), perc_75, VLOOKUP(G$2, Percentiles!$A$45:$I$59, 6, FALSE), perc_90, VLOOKUP(G$2, Percentiles!$A$45:$I$59, 7, FALSE), perc_95, VLOOKUP(G$2, Percentiles!$A$45:$I$59, 8, FALSE), perc_85, perc_75 + (perc_90 - perc_75) * (2/3), converted_stat, '2K_Ratings'!G444, IF(bbgm_stat &gt;= perc_95, converted_stat * 3, IF(bbgm_stat &gt;= perc_90, converted_stat * 2, IF(bbgm_stat &gt;= perc_85, converted_stat * 1.5, converted_stat)))))</f>
        <v/>
      </c>
      <c r="H444" s="30" t="str">
        <f t="array" ref="H444">IF($A444="", "", LET(bbgm_stat, INDEX(Players!$A443:$P443, MATCH(H$2, Players!$A$1:$P$1, 0)), perc_75, VLOOKUP(H$2, Percentiles!$A$45:$I$59, 6, FALSE), perc_90, VLOOKUP(H$2, Percentiles!$A$45:$I$59, 7, FALSE), perc_95, VLOOKUP(H$2, Percentiles!$A$45:$I$59, 8, FALSE), perc_85, perc_75 + (perc_90 - perc_75) * (2/3), converted_stat, '2K_Ratings'!H444, IF(bbgm_stat &gt;= perc_95, converted_stat * 3, IF(bbgm_stat &gt;= perc_90, converted_stat * 2, IF(bbgm_stat &gt;= perc_85, converted_stat * 1.5, converted_stat)))))</f>
        <v/>
      </c>
      <c r="I444" s="30" t="str">
        <f t="array" ref="I444">IF($A444="", "", LET(bbgm_stat, INDEX(Players!$A443:$P443, MATCH(I$2, Players!$A$1:$P$1, 0)), perc_75, VLOOKUP(I$2, Percentiles!$A$45:$I$59, 6, FALSE), perc_90, VLOOKUP(I$2, Percentiles!$A$45:$I$59, 7, FALSE), perc_95, VLOOKUP(I$2, Percentiles!$A$45:$I$59, 8, FALSE), perc_85, perc_75 + (perc_90 - perc_75) * (2/3), converted_stat, '2K_Ratings'!I444, IF(bbgm_stat &gt;= perc_95, converted_stat * 3, IF(bbgm_stat &gt;= perc_90, converted_stat * 2, IF(bbgm_stat &gt;= perc_85, converted_stat * 1.5, converted_stat)))))</f>
        <v/>
      </c>
      <c r="J444" s="30" t="str">
        <f t="array" ref="J444">IF($A444="", "", LET(bbgm_stat, INDEX(Players!$A443:$P443, MATCH(J$2, Players!$A$1:$P$1, 0)), perc_75, VLOOKUP(J$2, Percentiles!$A$45:$I$59, 6, FALSE), perc_90, VLOOKUP(J$2, Percentiles!$A$45:$I$59, 7, FALSE), perc_95, VLOOKUP(J$2, Percentiles!$A$45:$I$59, 8, FALSE), perc_85, perc_75 + (perc_90 - perc_75) * (2/3), converted_stat, '2K_Ratings'!J444, IF(bbgm_stat &gt;= perc_95, converted_stat * 3, IF(bbgm_stat &gt;= perc_90, converted_stat * 2, IF(bbgm_stat &gt;= perc_85, converted_stat * 1.5, converted_stat)))))</f>
        <v/>
      </c>
      <c r="K444" s="30" t="str">
        <f t="array" ref="K444">IF($A444="", "", LET(bbgm_stat, INDEX(Players!$A443:$P443, MATCH(K$2, Players!$A$1:$P$1, 0)), perc_75, VLOOKUP(K$2, Percentiles!$A$45:$I$59, 6, FALSE), perc_90, VLOOKUP(K$2, Percentiles!$A$45:$I$59, 7, FALSE), perc_95, VLOOKUP(K$2, Percentiles!$A$45:$I$59, 8, FALSE), perc_85, perc_75 + (perc_90 - perc_75) * (2/3), converted_stat, '2K_Ratings'!K444, IF(bbgm_stat &gt;= perc_95, converted_stat * 3, IF(bbgm_stat &gt;= perc_90, converted_stat * 2, IF(bbgm_stat &gt;= perc_85, converted_stat * 1.5, converted_stat)))))</f>
        <v/>
      </c>
      <c r="L444" s="30" t="str">
        <f t="array" ref="L444">IF($A444="", "", LET(bbgm_stat, INDEX(Players!$A443:$P443, MATCH(L$2, Players!$A$1:$P$1, 0)), perc_75, VLOOKUP(L$2, Percentiles!$A$45:$I$59, 6, FALSE), perc_90, VLOOKUP(L$2, Percentiles!$A$45:$I$59, 7, FALSE), perc_95, VLOOKUP(L$2, Percentiles!$A$45:$I$59, 8, FALSE), perc_85, perc_75 + (perc_90 - perc_75) * (2/3), converted_stat, '2K_Ratings'!L444, IF(bbgm_stat &gt;= perc_95, converted_stat * 3, IF(bbgm_stat &gt;= perc_90, converted_stat * 2, IF(bbgm_stat &gt;= perc_85, converted_stat * 1.5, converted_stat)))))</f>
        <v/>
      </c>
      <c r="M444" s="30" t="str">
        <f t="array" ref="M444">IF($A444="", "", LET(bbgm_stat, INDEX(Players!$A443:$P443, MATCH(M$2, Players!$A$1:$P$1, 0)), perc_75, VLOOKUP(M$2, Percentiles!$A$45:$I$59, 6, FALSE), perc_90, VLOOKUP(M$2, Percentiles!$A$45:$I$59, 7, FALSE), perc_95, VLOOKUP(M$2, Percentiles!$A$45:$I$59, 8, FALSE), perc_85, perc_75 + (perc_90 - perc_75) * (2/3), converted_stat, '2K_Ratings'!M444, IF(bbgm_stat &gt;= perc_95, converted_stat * 3, IF(bbgm_stat &gt;= perc_90, converted_stat * 2, IF(bbgm_stat &gt;= perc_85, converted_stat * 1.5, converted_stat)))))</f>
        <v/>
      </c>
      <c r="N444" s="30" t="str">
        <f t="array" ref="N444">IF($A444="", "", LET(bbgm_stat, INDEX(Players!$A443:$P443, MATCH(N$2, Players!$A$1:$P$1, 0)), perc_75, VLOOKUP(N$2, Percentiles!$A$45:$I$59, 6, FALSE), perc_90, VLOOKUP(N$2, Percentiles!$A$45:$I$59, 7, FALSE), perc_95, VLOOKUP(N$2, Percentiles!$A$45:$I$59, 8, FALSE), perc_85, perc_75 + (perc_90 - perc_75) * (2/3), converted_stat, '2K_Ratings'!N444, IF(bbgm_stat &gt;= perc_95, converted_stat * 3, IF(bbgm_stat &gt;= perc_90, converted_stat * 2, IF(bbgm_stat &gt;= perc_85, converted_stat * 1.5, converted_stat)))))</f>
        <v/>
      </c>
      <c r="O444" s="30" t="str">
        <f t="array" ref="O444">IF($A444="", "", LET(bbgm_stat, INDEX(Players!$A443:$P443, MATCH(O$2, Players!$A$1:$P$1, 0)), perc_75, VLOOKUP(O$2, Percentiles!$A$45:$I$59, 6, FALSE), perc_90, VLOOKUP(O$2, Percentiles!$A$45:$I$59, 7, FALSE), perc_95, VLOOKUP(O$2, Percentiles!$A$45:$I$59, 8, FALSE), perc_85, perc_75 + (perc_90 - perc_75) * (2/3), converted_stat, '2K_Ratings'!O444, IF(bbgm_stat &gt;= perc_95, converted_stat * 3, IF(bbgm_stat &gt;= perc_90, converted_stat * 2, IF(bbgm_stat &gt;= perc_85, converted_stat * 1.5, converted_stat)))))</f>
        <v/>
      </c>
      <c r="P444" s="30" t="str">
        <f t="array" ref="P444">IF($A444="", "", LET(bbgm_stat, INDEX(Players!$A443:$P443, MATCH(P$2, Players!$A$1:$P$1, 0)), perc_75, VLOOKUP(P$2, Percentiles!$A$45:$I$59, 6, FALSE), perc_90, VLOOKUP(P$2, Percentiles!$A$45:$I$59, 7, FALSE), perc_95, VLOOKUP(P$2, Percentiles!$A$45:$I$59, 8, FALSE), perc_85, perc_75 + (perc_90 - perc_75) * (2/3), converted_stat, '2K_Ratings'!P444, IF(bbgm_stat &gt;= perc_95, converted_stat * 3, IF(bbgm_stat &gt;= perc_90, converted_stat * 2, IF(bbgm_stat &gt;= perc_85, converted_stat * 1.5, converted_stat)))))</f>
        <v/>
      </c>
      <c r="Q444" s="30" t="str">
        <f t="array" ref="Q444">IF($A444="", "", LET(bbgm_stat, INDEX(Players!$A443:$P443, MATCH(Q$2, Players!$A$1:$P$1, 0)), perc_75, VLOOKUP(Q$2, Percentiles!$A$45:$I$59, 6, FALSE), perc_90, VLOOKUP(Q$2, Percentiles!$A$45:$I$59, 7, FALSE), perc_95, VLOOKUP(Q$2, Percentiles!$A$45:$I$59, 8, FALSE), perc_85, perc_75 + (perc_90 - perc_75) * (2/3), converted_stat, '2K_Ratings'!Q444, IF(bbgm_stat &gt;= perc_95, converted_stat * 3, IF(bbgm_stat &gt;= perc_90, converted_stat * 2, IF(bbgm_stat &gt;= perc_85, converted_stat * 1.5, converted_stat)))))</f>
        <v/>
      </c>
      <c r="R444" s="30" t="str">
        <f t="array" ref="R444">IF($A444="", "", LET(bbgm_stat, INDEX(Players!$A443:$P443, MATCH(R$2, Players!$A$1:$P$1, 0)), perc_75, VLOOKUP(R$2, Percentiles!$A$45:$I$59, 6, FALSE), perc_90, VLOOKUP(R$2, Percentiles!$A$45:$I$59, 7, FALSE), perc_95, VLOOKUP(R$2, Percentiles!$A$45:$I$59, 8, FALSE), perc_85, perc_75 + (perc_90 - perc_75) * (2/3), converted_stat, '2K_Ratings'!R444, IF(bbgm_stat &gt;= perc_95, converted_stat * 3, IF(bbgm_stat &gt;= perc_90, converted_stat * 2, IF(bbgm_stat &gt;= perc_85, converted_stat * 1.5, converted_stat)))))</f>
        <v/>
      </c>
      <c r="S444" s="30" t="str">
        <f t="array" ref="S444">IF($A444="", "", LET(bbgm_stat, INDEX(Players!$A443:$P443, MATCH(S$2, Players!$A$1:$P$1, 0)), perc_75, VLOOKUP(S$2, Percentiles!$A$45:$I$59, 6, FALSE), perc_90, VLOOKUP(S$2, Percentiles!$A$45:$I$59, 7, FALSE), perc_95, VLOOKUP(S$2, Percentiles!$A$45:$I$59, 8, FALSE), perc_85, perc_75 + (perc_90 - perc_75) * (2/3), converted_stat, '2K_Ratings'!S444, IF(bbgm_stat &gt;= perc_95, converted_stat * 3, IF(bbgm_stat &gt;= perc_90, converted_stat * 2, IF(bbgm_stat &gt;= perc_85, converted_stat * 1.5, converted_stat)))))</f>
        <v/>
      </c>
      <c r="T444" s="30" t="str">
        <f t="array" ref="T444">IF($A444="", "", LET(bbgm_stat, INDEX(Players!$A443:$P443, MATCH(T$2, Players!$A$1:$P$1, 0)), perc_75, VLOOKUP(T$2, Percentiles!$A$45:$I$59, 6, FALSE), perc_90, VLOOKUP(T$2, Percentiles!$A$45:$I$59, 7, FALSE), perc_95, VLOOKUP(T$2, Percentiles!$A$45:$I$59, 8, FALSE), perc_85, perc_75 + (perc_90 - perc_75) * (2/3), converted_stat, '2K_Ratings'!T444, IF(bbgm_stat &gt;= perc_95, converted_stat * 3, IF(bbgm_stat &gt;= perc_90, converted_stat * 2, IF(bbgm_stat &gt;= perc_85, converted_stat * 1.5, converted_stat)))))</f>
        <v/>
      </c>
      <c r="U444" s="30" t="str">
        <f t="array" ref="U444">IF($A444="", "", LET(bbgm_stat, INDEX(Players!$A443:$P443, MATCH(U$2, Players!$A$1:$P$1, 0)), perc_75, VLOOKUP(U$2, Percentiles!$A$45:$I$59, 6, FALSE), perc_90, VLOOKUP(U$2, Percentiles!$A$45:$I$59, 7, FALSE), perc_95, VLOOKUP(U$2, Percentiles!$A$45:$I$59, 8, FALSE), perc_85, perc_75 + (perc_90 - perc_75) * (2/3), converted_stat, '2K_Ratings'!U444, IF(bbgm_stat &gt;= perc_95, converted_stat * 3, IF(bbgm_stat &gt;= perc_90, converted_stat * 2, IF(bbgm_stat &gt;= perc_85, converted_stat * 1.5, converted_stat)))))</f>
        <v/>
      </c>
      <c r="V444" s="30" t="str">
        <f t="array" ref="V444">IF($A444="", "", LET(bbgm_stat, INDEX(Players!$A443:$P443, MATCH(V$2, Players!$A$1:$P$1, 0)), perc_75, VLOOKUP(V$2, Percentiles!$A$45:$I$59, 6, FALSE), perc_90, VLOOKUP(V$2, Percentiles!$A$45:$I$59, 7, FALSE), perc_95, VLOOKUP(V$2, Percentiles!$A$45:$I$59, 8, FALSE), perc_85, perc_75 + (perc_90 - perc_75) * (2/3), converted_stat, '2K_Ratings'!V444, IF(bbgm_stat &gt;= perc_95, converted_stat * 3, IF(bbgm_stat &gt;= perc_90, converted_stat * 2, IF(bbgm_stat &gt;= perc_85, converted_stat * 1.5, converted_stat)))))</f>
        <v/>
      </c>
      <c r="W444" s="30" t="str">
        <f t="array" ref="W444">IF($A444="", "", LET(bbgm_stat, INDEX(Players!$A443:$P443, MATCH(W$2, Players!$A$1:$P$1, 0)), perc_75, VLOOKUP(W$2, Percentiles!$A$45:$I$59, 6, FALSE), perc_90, VLOOKUP(W$2, Percentiles!$A$45:$I$59, 7, FALSE), perc_95, VLOOKUP(W$2, Percentiles!$A$45:$I$59, 8, FALSE), perc_85, perc_75 + (perc_90 - perc_75) * (2/3), converted_stat, '2K_Ratings'!W444, IF(bbgm_stat &gt;= perc_95, converted_stat * 3, IF(bbgm_stat &gt;= perc_90, converted_stat * 2, IF(bbgm_stat &gt;= perc_85, converted_stat * 1.5, converted_stat)))))</f>
        <v/>
      </c>
    </row>
    <row r="445">
      <c r="A445" s="30"/>
      <c r="B445" s="30" t="str">
        <f t="array" ref="B445">IF($A445="", "", LET(bbgm_stat, INDEX(Players!$A444:$P444, MATCH(B$2, Players!$A$1:$P$1, 0)), perc_75, VLOOKUP(B$2, Percentiles!$A$45:$I$59, 6, FALSE), perc_90, VLOOKUP(B$2, Percentiles!$A$45:$I$59, 7, FALSE), perc_95, VLOOKUP(B$2, Percentiles!$A$45:$I$59, 8, FALSE), perc_85, perc_75 + (perc_90 - perc_75) * (2/3), converted_stat, '2K_Ratings'!B445, IF(bbgm_stat &gt;= perc_95, converted_stat * 3, IF(bbgm_stat &gt;= perc_90, converted_stat * 2, IF(bbgm_stat &gt;= perc_85, converted_stat * 1.5, converted_stat)))))</f>
        <v/>
      </c>
      <c r="C445" s="30" t="str">
        <f t="array" ref="C445">IF($A445="", "", LET(bbgm_stat, INDEX(Players!$A444:$P444, MATCH(C$2, Players!$A$1:$P$1, 0)), perc_75, VLOOKUP(C$2, Percentiles!$A$45:$I$59, 6, FALSE), perc_90, VLOOKUP(C$2, Percentiles!$A$45:$I$59, 7, FALSE), perc_95, VLOOKUP(C$2, Percentiles!$A$45:$I$59, 8, FALSE), perc_85, perc_75 + (perc_90 - perc_75) * (2/3), converted_stat, '2K_Ratings'!C445, IF(bbgm_stat &gt;= perc_95, converted_stat * 3, IF(bbgm_stat &gt;= perc_90, converted_stat * 2, IF(bbgm_stat &gt;= perc_85, converted_stat * 1.5, converted_stat)))))</f>
        <v/>
      </c>
      <c r="D445" s="30" t="str">
        <f t="array" ref="D445">IF($A445="", "", LET(bbgm_stat, INDEX(Players!$A444:$P444, MATCH(D$2, Players!$A$1:$P$1, 0)), perc_75, VLOOKUP(D$2, Percentiles!$A$45:$I$59, 6, FALSE), perc_90, VLOOKUP(D$2, Percentiles!$A$45:$I$59, 7, FALSE), perc_95, VLOOKUP(D$2, Percentiles!$A$45:$I$59, 8, FALSE), perc_85, perc_75 + (perc_90 - perc_75) * (2/3), converted_stat, '2K_Ratings'!D445, IF(bbgm_stat &gt;= perc_95, converted_stat * 3, IF(bbgm_stat &gt;= perc_90, converted_stat * 2, IF(bbgm_stat &gt;= perc_85, converted_stat * 1.5, converted_stat)))))</f>
        <v/>
      </c>
      <c r="E445" s="30" t="str">
        <f t="array" ref="E445">IF($A445="", "", LET(bbgm_stat, INDEX(Players!$A444:$P444, MATCH(E$2, Players!$A$1:$P$1, 0)), perc_75, VLOOKUP(E$2, Percentiles!$A$45:$I$59, 6, FALSE), perc_90, VLOOKUP(E$2, Percentiles!$A$45:$I$59, 7, FALSE), perc_95, VLOOKUP(E$2, Percentiles!$A$45:$I$59, 8, FALSE), perc_85, perc_75 + (perc_90 - perc_75) * (2/3), converted_stat, '2K_Ratings'!E445, IF(bbgm_stat &gt;= perc_95, converted_stat * 3, IF(bbgm_stat &gt;= perc_90, converted_stat * 2, IF(bbgm_stat &gt;= perc_85, converted_stat * 1.5, converted_stat)))))</f>
        <v/>
      </c>
      <c r="F445" s="30" t="str">
        <f t="array" ref="F445">IF($A445="", "", LET(bbgm_stat, INDEX(Players!$A444:$P444, MATCH(F$2, Players!$A$1:$P$1, 0)), perc_75, VLOOKUP(F$2, Percentiles!$A$45:$I$59, 6, FALSE), perc_90, VLOOKUP(F$2, Percentiles!$A$45:$I$59, 7, FALSE), perc_95, VLOOKUP(F$2, Percentiles!$A$45:$I$59, 8, FALSE), perc_85, perc_75 + (perc_90 - perc_75) * (2/3), converted_stat, '2K_Ratings'!F445, IF(bbgm_stat &gt;= perc_95, converted_stat * 3, IF(bbgm_stat &gt;= perc_90, converted_stat * 2, IF(bbgm_stat &gt;= perc_85, converted_stat * 1.5, converted_stat)))))</f>
        <v/>
      </c>
      <c r="G445" s="30" t="str">
        <f t="array" ref="G445">IF($A445="", "", LET(bbgm_stat, INDEX(Players!$A444:$P444, MATCH(G$2, Players!$A$1:$P$1, 0)), perc_75, VLOOKUP(G$2, Percentiles!$A$45:$I$59, 6, FALSE), perc_90, VLOOKUP(G$2, Percentiles!$A$45:$I$59, 7, FALSE), perc_95, VLOOKUP(G$2, Percentiles!$A$45:$I$59, 8, FALSE), perc_85, perc_75 + (perc_90 - perc_75) * (2/3), converted_stat, '2K_Ratings'!G445, IF(bbgm_stat &gt;= perc_95, converted_stat * 3, IF(bbgm_stat &gt;= perc_90, converted_stat * 2, IF(bbgm_stat &gt;= perc_85, converted_stat * 1.5, converted_stat)))))</f>
        <v/>
      </c>
      <c r="H445" s="30" t="str">
        <f t="array" ref="H445">IF($A445="", "", LET(bbgm_stat, INDEX(Players!$A444:$P444, MATCH(H$2, Players!$A$1:$P$1, 0)), perc_75, VLOOKUP(H$2, Percentiles!$A$45:$I$59, 6, FALSE), perc_90, VLOOKUP(H$2, Percentiles!$A$45:$I$59, 7, FALSE), perc_95, VLOOKUP(H$2, Percentiles!$A$45:$I$59, 8, FALSE), perc_85, perc_75 + (perc_90 - perc_75) * (2/3), converted_stat, '2K_Ratings'!H445, IF(bbgm_stat &gt;= perc_95, converted_stat * 3, IF(bbgm_stat &gt;= perc_90, converted_stat * 2, IF(bbgm_stat &gt;= perc_85, converted_stat * 1.5, converted_stat)))))</f>
        <v/>
      </c>
      <c r="I445" s="30" t="str">
        <f t="array" ref="I445">IF($A445="", "", LET(bbgm_stat, INDEX(Players!$A444:$P444, MATCH(I$2, Players!$A$1:$P$1, 0)), perc_75, VLOOKUP(I$2, Percentiles!$A$45:$I$59, 6, FALSE), perc_90, VLOOKUP(I$2, Percentiles!$A$45:$I$59, 7, FALSE), perc_95, VLOOKUP(I$2, Percentiles!$A$45:$I$59, 8, FALSE), perc_85, perc_75 + (perc_90 - perc_75) * (2/3), converted_stat, '2K_Ratings'!I445, IF(bbgm_stat &gt;= perc_95, converted_stat * 3, IF(bbgm_stat &gt;= perc_90, converted_stat * 2, IF(bbgm_stat &gt;= perc_85, converted_stat * 1.5, converted_stat)))))</f>
        <v/>
      </c>
      <c r="J445" s="30" t="str">
        <f t="array" ref="J445">IF($A445="", "", LET(bbgm_stat, INDEX(Players!$A444:$P444, MATCH(J$2, Players!$A$1:$P$1, 0)), perc_75, VLOOKUP(J$2, Percentiles!$A$45:$I$59, 6, FALSE), perc_90, VLOOKUP(J$2, Percentiles!$A$45:$I$59, 7, FALSE), perc_95, VLOOKUP(J$2, Percentiles!$A$45:$I$59, 8, FALSE), perc_85, perc_75 + (perc_90 - perc_75) * (2/3), converted_stat, '2K_Ratings'!J445, IF(bbgm_stat &gt;= perc_95, converted_stat * 3, IF(bbgm_stat &gt;= perc_90, converted_stat * 2, IF(bbgm_stat &gt;= perc_85, converted_stat * 1.5, converted_stat)))))</f>
        <v/>
      </c>
      <c r="K445" s="30" t="str">
        <f t="array" ref="K445">IF($A445="", "", LET(bbgm_stat, INDEX(Players!$A444:$P444, MATCH(K$2, Players!$A$1:$P$1, 0)), perc_75, VLOOKUP(K$2, Percentiles!$A$45:$I$59, 6, FALSE), perc_90, VLOOKUP(K$2, Percentiles!$A$45:$I$59, 7, FALSE), perc_95, VLOOKUP(K$2, Percentiles!$A$45:$I$59, 8, FALSE), perc_85, perc_75 + (perc_90 - perc_75) * (2/3), converted_stat, '2K_Ratings'!K445, IF(bbgm_stat &gt;= perc_95, converted_stat * 3, IF(bbgm_stat &gt;= perc_90, converted_stat * 2, IF(bbgm_stat &gt;= perc_85, converted_stat * 1.5, converted_stat)))))</f>
        <v/>
      </c>
      <c r="L445" s="30" t="str">
        <f t="array" ref="L445">IF($A445="", "", LET(bbgm_stat, INDEX(Players!$A444:$P444, MATCH(L$2, Players!$A$1:$P$1, 0)), perc_75, VLOOKUP(L$2, Percentiles!$A$45:$I$59, 6, FALSE), perc_90, VLOOKUP(L$2, Percentiles!$A$45:$I$59, 7, FALSE), perc_95, VLOOKUP(L$2, Percentiles!$A$45:$I$59, 8, FALSE), perc_85, perc_75 + (perc_90 - perc_75) * (2/3), converted_stat, '2K_Ratings'!L445, IF(bbgm_stat &gt;= perc_95, converted_stat * 3, IF(bbgm_stat &gt;= perc_90, converted_stat * 2, IF(bbgm_stat &gt;= perc_85, converted_stat * 1.5, converted_stat)))))</f>
        <v/>
      </c>
      <c r="M445" s="30" t="str">
        <f t="array" ref="M445">IF($A445="", "", LET(bbgm_stat, INDEX(Players!$A444:$P444, MATCH(M$2, Players!$A$1:$P$1, 0)), perc_75, VLOOKUP(M$2, Percentiles!$A$45:$I$59, 6, FALSE), perc_90, VLOOKUP(M$2, Percentiles!$A$45:$I$59, 7, FALSE), perc_95, VLOOKUP(M$2, Percentiles!$A$45:$I$59, 8, FALSE), perc_85, perc_75 + (perc_90 - perc_75) * (2/3), converted_stat, '2K_Ratings'!M445, IF(bbgm_stat &gt;= perc_95, converted_stat * 3, IF(bbgm_stat &gt;= perc_90, converted_stat * 2, IF(bbgm_stat &gt;= perc_85, converted_stat * 1.5, converted_stat)))))</f>
        <v/>
      </c>
      <c r="N445" s="30" t="str">
        <f t="array" ref="N445">IF($A445="", "", LET(bbgm_stat, INDEX(Players!$A444:$P444, MATCH(N$2, Players!$A$1:$P$1, 0)), perc_75, VLOOKUP(N$2, Percentiles!$A$45:$I$59, 6, FALSE), perc_90, VLOOKUP(N$2, Percentiles!$A$45:$I$59, 7, FALSE), perc_95, VLOOKUP(N$2, Percentiles!$A$45:$I$59, 8, FALSE), perc_85, perc_75 + (perc_90 - perc_75) * (2/3), converted_stat, '2K_Ratings'!N445, IF(bbgm_stat &gt;= perc_95, converted_stat * 3, IF(bbgm_stat &gt;= perc_90, converted_stat * 2, IF(bbgm_stat &gt;= perc_85, converted_stat * 1.5, converted_stat)))))</f>
        <v/>
      </c>
      <c r="O445" s="30" t="str">
        <f t="array" ref="O445">IF($A445="", "", LET(bbgm_stat, INDEX(Players!$A444:$P444, MATCH(O$2, Players!$A$1:$P$1, 0)), perc_75, VLOOKUP(O$2, Percentiles!$A$45:$I$59, 6, FALSE), perc_90, VLOOKUP(O$2, Percentiles!$A$45:$I$59, 7, FALSE), perc_95, VLOOKUP(O$2, Percentiles!$A$45:$I$59, 8, FALSE), perc_85, perc_75 + (perc_90 - perc_75) * (2/3), converted_stat, '2K_Ratings'!O445, IF(bbgm_stat &gt;= perc_95, converted_stat * 3, IF(bbgm_stat &gt;= perc_90, converted_stat * 2, IF(bbgm_stat &gt;= perc_85, converted_stat * 1.5, converted_stat)))))</f>
        <v/>
      </c>
      <c r="P445" s="30" t="str">
        <f t="array" ref="P445">IF($A445="", "", LET(bbgm_stat, INDEX(Players!$A444:$P444, MATCH(P$2, Players!$A$1:$P$1, 0)), perc_75, VLOOKUP(P$2, Percentiles!$A$45:$I$59, 6, FALSE), perc_90, VLOOKUP(P$2, Percentiles!$A$45:$I$59, 7, FALSE), perc_95, VLOOKUP(P$2, Percentiles!$A$45:$I$59, 8, FALSE), perc_85, perc_75 + (perc_90 - perc_75) * (2/3), converted_stat, '2K_Ratings'!P445, IF(bbgm_stat &gt;= perc_95, converted_stat * 3, IF(bbgm_stat &gt;= perc_90, converted_stat * 2, IF(bbgm_stat &gt;= perc_85, converted_stat * 1.5, converted_stat)))))</f>
        <v/>
      </c>
      <c r="Q445" s="30" t="str">
        <f t="array" ref="Q445">IF($A445="", "", LET(bbgm_stat, INDEX(Players!$A444:$P444, MATCH(Q$2, Players!$A$1:$P$1, 0)), perc_75, VLOOKUP(Q$2, Percentiles!$A$45:$I$59, 6, FALSE), perc_90, VLOOKUP(Q$2, Percentiles!$A$45:$I$59, 7, FALSE), perc_95, VLOOKUP(Q$2, Percentiles!$A$45:$I$59, 8, FALSE), perc_85, perc_75 + (perc_90 - perc_75) * (2/3), converted_stat, '2K_Ratings'!Q445, IF(bbgm_stat &gt;= perc_95, converted_stat * 3, IF(bbgm_stat &gt;= perc_90, converted_stat * 2, IF(bbgm_stat &gt;= perc_85, converted_stat * 1.5, converted_stat)))))</f>
        <v/>
      </c>
      <c r="R445" s="30" t="str">
        <f t="array" ref="R445">IF($A445="", "", LET(bbgm_stat, INDEX(Players!$A444:$P444, MATCH(R$2, Players!$A$1:$P$1, 0)), perc_75, VLOOKUP(R$2, Percentiles!$A$45:$I$59, 6, FALSE), perc_90, VLOOKUP(R$2, Percentiles!$A$45:$I$59, 7, FALSE), perc_95, VLOOKUP(R$2, Percentiles!$A$45:$I$59, 8, FALSE), perc_85, perc_75 + (perc_90 - perc_75) * (2/3), converted_stat, '2K_Ratings'!R445, IF(bbgm_stat &gt;= perc_95, converted_stat * 3, IF(bbgm_stat &gt;= perc_90, converted_stat * 2, IF(bbgm_stat &gt;= perc_85, converted_stat * 1.5, converted_stat)))))</f>
        <v/>
      </c>
      <c r="S445" s="30" t="str">
        <f t="array" ref="S445">IF($A445="", "", LET(bbgm_stat, INDEX(Players!$A444:$P444, MATCH(S$2, Players!$A$1:$P$1, 0)), perc_75, VLOOKUP(S$2, Percentiles!$A$45:$I$59, 6, FALSE), perc_90, VLOOKUP(S$2, Percentiles!$A$45:$I$59, 7, FALSE), perc_95, VLOOKUP(S$2, Percentiles!$A$45:$I$59, 8, FALSE), perc_85, perc_75 + (perc_90 - perc_75) * (2/3), converted_stat, '2K_Ratings'!S445, IF(bbgm_stat &gt;= perc_95, converted_stat * 3, IF(bbgm_stat &gt;= perc_90, converted_stat * 2, IF(bbgm_stat &gt;= perc_85, converted_stat * 1.5, converted_stat)))))</f>
        <v/>
      </c>
      <c r="T445" s="30" t="str">
        <f t="array" ref="T445">IF($A445="", "", LET(bbgm_stat, INDEX(Players!$A444:$P444, MATCH(T$2, Players!$A$1:$P$1, 0)), perc_75, VLOOKUP(T$2, Percentiles!$A$45:$I$59, 6, FALSE), perc_90, VLOOKUP(T$2, Percentiles!$A$45:$I$59, 7, FALSE), perc_95, VLOOKUP(T$2, Percentiles!$A$45:$I$59, 8, FALSE), perc_85, perc_75 + (perc_90 - perc_75) * (2/3), converted_stat, '2K_Ratings'!T445, IF(bbgm_stat &gt;= perc_95, converted_stat * 3, IF(bbgm_stat &gt;= perc_90, converted_stat * 2, IF(bbgm_stat &gt;= perc_85, converted_stat * 1.5, converted_stat)))))</f>
        <v/>
      </c>
      <c r="U445" s="30" t="str">
        <f t="array" ref="U445">IF($A445="", "", LET(bbgm_stat, INDEX(Players!$A444:$P444, MATCH(U$2, Players!$A$1:$P$1, 0)), perc_75, VLOOKUP(U$2, Percentiles!$A$45:$I$59, 6, FALSE), perc_90, VLOOKUP(U$2, Percentiles!$A$45:$I$59, 7, FALSE), perc_95, VLOOKUP(U$2, Percentiles!$A$45:$I$59, 8, FALSE), perc_85, perc_75 + (perc_90 - perc_75) * (2/3), converted_stat, '2K_Ratings'!U445, IF(bbgm_stat &gt;= perc_95, converted_stat * 3, IF(bbgm_stat &gt;= perc_90, converted_stat * 2, IF(bbgm_stat &gt;= perc_85, converted_stat * 1.5, converted_stat)))))</f>
        <v/>
      </c>
      <c r="V445" s="30" t="str">
        <f t="array" ref="V445">IF($A445="", "", LET(bbgm_stat, INDEX(Players!$A444:$P444, MATCH(V$2, Players!$A$1:$P$1, 0)), perc_75, VLOOKUP(V$2, Percentiles!$A$45:$I$59, 6, FALSE), perc_90, VLOOKUP(V$2, Percentiles!$A$45:$I$59, 7, FALSE), perc_95, VLOOKUP(V$2, Percentiles!$A$45:$I$59, 8, FALSE), perc_85, perc_75 + (perc_90 - perc_75) * (2/3), converted_stat, '2K_Ratings'!V445, IF(bbgm_stat &gt;= perc_95, converted_stat * 3, IF(bbgm_stat &gt;= perc_90, converted_stat * 2, IF(bbgm_stat &gt;= perc_85, converted_stat * 1.5, converted_stat)))))</f>
        <v/>
      </c>
      <c r="W445" s="30" t="str">
        <f t="array" ref="W445">IF($A445="", "", LET(bbgm_stat, INDEX(Players!$A444:$P444, MATCH(W$2, Players!$A$1:$P$1, 0)), perc_75, VLOOKUP(W$2, Percentiles!$A$45:$I$59, 6, FALSE), perc_90, VLOOKUP(W$2, Percentiles!$A$45:$I$59, 7, FALSE), perc_95, VLOOKUP(W$2, Percentiles!$A$45:$I$59, 8, FALSE), perc_85, perc_75 + (perc_90 - perc_75) * (2/3), converted_stat, '2K_Ratings'!W445, IF(bbgm_stat &gt;= perc_95, converted_stat * 3, IF(bbgm_stat &gt;= perc_90, converted_stat * 2, IF(bbgm_stat &gt;= perc_85, converted_stat * 1.5, converted_stat)))))</f>
        <v/>
      </c>
    </row>
    <row r="446">
      <c r="A446" s="30"/>
      <c r="B446" s="30" t="str">
        <f t="array" ref="B446">IF($A446="", "", LET(bbgm_stat, INDEX(Players!$A445:$P445, MATCH(B$2, Players!$A$1:$P$1, 0)), perc_75, VLOOKUP(B$2, Percentiles!$A$45:$I$59, 6, FALSE), perc_90, VLOOKUP(B$2, Percentiles!$A$45:$I$59, 7, FALSE), perc_95, VLOOKUP(B$2, Percentiles!$A$45:$I$59, 8, FALSE), perc_85, perc_75 + (perc_90 - perc_75) * (2/3), converted_stat, '2K_Ratings'!B446, IF(bbgm_stat &gt;= perc_95, converted_stat * 3, IF(bbgm_stat &gt;= perc_90, converted_stat * 2, IF(bbgm_stat &gt;= perc_85, converted_stat * 1.5, converted_stat)))))</f>
        <v/>
      </c>
      <c r="C446" s="30" t="str">
        <f t="array" ref="C446">IF($A446="", "", LET(bbgm_stat, INDEX(Players!$A445:$P445, MATCH(C$2, Players!$A$1:$P$1, 0)), perc_75, VLOOKUP(C$2, Percentiles!$A$45:$I$59, 6, FALSE), perc_90, VLOOKUP(C$2, Percentiles!$A$45:$I$59, 7, FALSE), perc_95, VLOOKUP(C$2, Percentiles!$A$45:$I$59, 8, FALSE), perc_85, perc_75 + (perc_90 - perc_75) * (2/3), converted_stat, '2K_Ratings'!C446, IF(bbgm_stat &gt;= perc_95, converted_stat * 3, IF(bbgm_stat &gt;= perc_90, converted_stat * 2, IF(bbgm_stat &gt;= perc_85, converted_stat * 1.5, converted_stat)))))</f>
        <v/>
      </c>
      <c r="D446" s="30" t="str">
        <f t="array" ref="D446">IF($A446="", "", LET(bbgm_stat, INDEX(Players!$A445:$P445, MATCH(D$2, Players!$A$1:$P$1, 0)), perc_75, VLOOKUP(D$2, Percentiles!$A$45:$I$59, 6, FALSE), perc_90, VLOOKUP(D$2, Percentiles!$A$45:$I$59, 7, FALSE), perc_95, VLOOKUP(D$2, Percentiles!$A$45:$I$59, 8, FALSE), perc_85, perc_75 + (perc_90 - perc_75) * (2/3), converted_stat, '2K_Ratings'!D446, IF(bbgm_stat &gt;= perc_95, converted_stat * 3, IF(bbgm_stat &gt;= perc_90, converted_stat * 2, IF(bbgm_stat &gt;= perc_85, converted_stat * 1.5, converted_stat)))))</f>
        <v/>
      </c>
      <c r="E446" s="30" t="str">
        <f t="array" ref="E446">IF($A446="", "", LET(bbgm_stat, INDEX(Players!$A445:$P445, MATCH(E$2, Players!$A$1:$P$1, 0)), perc_75, VLOOKUP(E$2, Percentiles!$A$45:$I$59, 6, FALSE), perc_90, VLOOKUP(E$2, Percentiles!$A$45:$I$59, 7, FALSE), perc_95, VLOOKUP(E$2, Percentiles!$A$45:$I$59, 8, FALSE), perc_85, perc_75 + (perc_90 - perc_75) * (2/3), converted_stat, '2K_Ratings'!E446, IF(bbgm_stat &gt;= perc_95, converted_stat * 3, IF(bbgm_stat &gt;= perc_90, converted_stat * 2, IF(bbgm_stat &gt;= perc_85, converted_stat * 1.5, converted_stat)))))</f>
        <v/>
      </c>
      <c r="F446" s="30" t="str">
        <f t="array" ref="F446">IF($A446="", "", LET(bbgm_stat, INDEX(Players!$A445:$P445, MATCH(F$2, Players!$A$1:$P$1, 0)), perc_75, VLOOKUP(F$2, Percentiles!$A$45:$I$59, 6, FALSE), perc_90, VLOOKUP(F$2, Percentiles!$A$45:$I$59, 7, FALSE), perc_95, VLOOKUP(F$2, Percentiles!$A$45:$I$59, 8, FALSE), perc_85, perc_75 + (perc_90 - perc_75) * (2/3), converted_stat, '2K_Ratings'!F446, IF(bbgm_stat &gt;= perc_95, converted_stat * 3, IF(bbgm_stat &gt;= perc_90, converted_stat * 2, IF(bbgm_stat &gt;= perc_85, converted_stat * 1.5, converted_stat)))))</f>
        <v/>
      </c>
      <c r="G446" s="30" t="str">
        <f t="array" ref="G446">IF($A446="", "", LET(bbgm_stat, INDEX(Players!$A445:$P445, MATCH(G$2, Players!$A$1:$P$1, 0)), perc_75, VLOOKUP(G$2, Percentiles!$A$45:$I$59, 6, FALSE), perc_90, VLOOKUP(G$2, Percentiles!$A$45:$I$59, 7, FALSE), perc_95, VLOOKUP(G$2, Percentiles!$A$45:$I$59, 8, FALSE), perc_85, perc_75 + (perc_90 - perc_75) * (2/3), converted_stat, '2K_Ratings'!G446, IF(bbgm_stat &gt;= perc_95, converted_stat * 3, IF(bbgm_stat &gt;= perc_90, converted_stat * 2, IF(bbgm_stat &gt;= perc_85, converted_stat * 1.5, converted_stat)))))</f>
        <v/>
      </c>
      <c r="H446" s="30" t="str">
        <f t="array" ref="H446">IF($A446="", "", LET(bbgm_stat, INDEX(Players!$A445:$P445, MATCH(H$2, Players!$A$1:$P$1, 0)), perc_75, VLOOKUP(H$2, Percentiles!$A$45:$I$59, 6, FALSE), perc_90, VLOOKUP(H$2, Percentiles!$A$45:$I$59, 7, FALSE), perc_95, VLOOKUP(H$2, Percentiles!$A$45:$I$59, 8, FALSE), perc_85, perc_75 + (perc_90 - perc_75) * (2/3), converted_stat, '2K_Ratings'!H446, IF(bbgm_stat &gt;= perc_95, converted_stat * 3, IF(bbgm_stat &gt;= perc_90, converted_stat * 2, IF(bbgm_stat &gt;= perc_85, converted_stat * 1.5, converted_stat)))))</f>
        <v/>
      </c>
      <c r="I446" s="30" t="str">
        <f t="array" ref="I446">IF($A446="", "", LET(bbgm_stat, INDEX(Players!$A445:$P445, MATCH(I$2, Players!$A$1:$P$1, 0)), perc_75, VLOOKUP(I$2, Percentiles!$A$45:$I$59, 6, FALSE), perc_90, VLOOKUP(I$2, Percentiles!$A$45:$I$59, 7, FALSE), perc_95, VLOOKUP(I$2, Percentiles!$A$45:$I$59, 8, FALSE), perc_85, perc_75 + (perc_90 - perc_75) * (2/3), converted_stat, '2K_Ratings'!I446, IF(bbgm_stat &gt;= perc_95, converted_stat * 3, IF(bbgm_stat &gt;= perc_90, converted_stat * 2, IF(bbgm_stat &gt;= perc_85, converted_stat * 1.5, converted_stat)))))</f>
        <v/>
      </c>
      <c r="J446" s="30" t="str">
        <f t="array" ref="J446">IF($A446="", "", LET(bbgm_stat, INDEX(Players!$A445:$P445, MATCH(J$2, Players!$A$1:$P$1, 0)), perc_75, VLOOKUP(J$2, Percentiles!$A$45:$I$59, 6, FALSE), perc_90, VLOOKUP(J$2, Percentiles!$A$45:$I$59, 7, FALSE), perc_95, VLOOKUP(J$2, Percentiles!$A$45:$I$59, 8, FALSE), perc_85, perc_75 + (perc_90 - perc_75) * (2/3), converted_stat, '2K_Ratings'!J446, IF(bbgm_stat &gt;= perc_95, converted_stat * 3, IF(bbgm_stat &gt;= perc_90, converted_stat * 2, IF(bbgm_stat &gt;= perc_85, converted_stat * 1.5, converted_stat)))))</f>
        <v/>
      </c>
      <c r="K446" s="30" t="str">
        <f t="array" ref="K446">IF($A446="", "", LET(bbgm_stat, INDEX(Players!$A445:$P445, MATCH(K$2, Players!$A$1:$P$1, 0)), perc_75, VLOOKUP(K$2, Percentiles!$A$45:$I$59, 6, FALSE), perc_90, VLOOKUP(K$2, Percentiles!$A$45:$I$59, 7, FALSE), perc_95, VLOOKUP(K$2, Percentiles!$A$45:$I$59, 8, FALSE), perc_85, perc_75 + (perc_90 - perc_75) * (2/3), converted_stat, '2K_Ratings'!K446, IF(bbgm_stat &gt;= perc_95, converted_stat * 3, IF(bbgm_stat &gt;= perc_90, converted_stat * 2, IF(bbgm_stat &gt;= perc_85, converted_stat * 1.5, converted_stat)))))</f>
        <v/>
      </c>
      <c r="L446" s="30" t="str">
        <f t="array" ref="L446">IF($A446="", "", LET(bbgm_stat, INDEX(Players!$A445:$P445, MATCH(L$2, Players!$A$1:$P$1, 0)), perc_75, VLOOKUP(L$2, Percentiles!$A$45:$I$59, 6, FALSE), perc_90, VLOOKUP(L$2, Percentiles!$A$45:$I$59, 7, FALSE), perc_95, VLOOKUP(L$2, Percentiles!$A$45:$I$59, 8, FALSE), perc_85, perc_75 + (perc_90 - perc_75) * (2/3), converted_stat, '2K_Ratings'!L446, IF(bbgm_stat &gt;= perc_95, converted_stat * 3, IF(bbgm_stat &gt;= perc_90, converted_stat * 2, IF(bbgm_stat &gt;= perc_85, converted_stat * 1.5, converted_stat)))))</f>
        <v/>
      </c>
      <c r="M446" s="30" t="str">
        <f t="array" ref="M446">IF($A446="", "", LET(bbgm_stat, INDEX(Players!$A445:$P445, MATCH(M$2, Players!$A$1:$P$1, 0)), perc_75, VLOOKUP(M$2, Percentiles!$A$45:$I$59, 6, FALSE), perc_90, VLOOKUP(M$2, Percentiles!$A$45:$I$59, 7, FALSE), perc_95, VLOOKUP(M$2, Percentiles!$A$45:$I$59, 8, FALSE), perc_85, perc_75 + (perc_90 - perc_75) * (2/3), converted_stat, '2K_Ratings'!M446, IF(bbgm_stat &gt;= perc_95, converted_stat * 3, IF(bbgm_stat &gt;= perc_90, converted_stat * 2, IF(bbgm_stat &gt;= perc_85, converted_stat * 1.5, converted_stat)))))</f>
        <v/>
      </c>
      <c r="N446" s="30" t="str">
        <f t="array" ref="N446">IF($A446="", "", LET(bbgm_stat, INDEX(Players!$A445:$P445, MATCH(N$2, Players!$A$1:$P$1, 0)), perc_75, VLOOKUP(N$2, Percentiles!$A$45:$I$59, 6, FALSE), perc_90, VLOOKUP(N$2, Percentiles!$A$45:$I$59, 7, FALSE), perc_95, VLOOKUP(N$2, Percentiles!$A$45:$I$59, 8, FALSE), perc_85, perc_75 + (perc_90 - perc_75) * (2/3), converted_stat, '2K_Ratings'!N446, IF(bbgm_stat &gt;= perc_95, converted_stat * 3, IF(bbgm_stat &gt;= perc_90, converted_stat * 2, IF(bbgm_stat &gt;= perc_85, converted_stat * 1.5, converted_stat)))))</f>
        <v/>
      </c>
      <c r="O446" s="30" t="str">
        <f t="array" ref="O446">IF($A446="", "", LET(bbgm_stat, INDEX(Players!$A445:$P445, MATCH(O$2, Players!$A$1:$P$1, 0)), perc_75, VLOOKUP(O$2, Percentiles!$A$45:$I$59, 6, FALSE), perc_90, VLOOKUP(O$2, Percentiles!$A$45:$I$59, 7, FALSE), perc_95, VLOOKUP(O$2, Percentiles!$A$45:$I$59, 8, FALSE), perc_85, perc_75 + (perc_90 - perc_75) * (2/3), converted_stat, '2K_Ratings'!O446, IF(bbgm_stat &gt;= perc_95, converted_stat * 3, IF(bbgm_stat &gt;= perc_90, converted_stat * 2, IF(bbgm_stat &gt;= perc_85, converted_stat * 1.5, converted_stat)))))</f>
        <v/>
      </c>
      <c r="P446" s="30" t="str">
        <f t="array" ref="P446">IF($A446="", "", LET(bbgm_stat, INDEX(Players!$A445:$P445, MATCH(P$2, Players!$A$1:$P$1, 0)), perc_75, VLOOKUP(P$2, Percentiles!$A$45:$I$59, 6, FALSE), perc_90, VLOOKUP(P$2, Percentiles!$A$45:$I$59, 7, FALSE), perc_95, VLOOKUP(P$2, Percentiles!$A$45:$I$59, 8, FALSE), perc_85, perc_75 + (perc_90 - perc_75) * (2/3), converted_stat, '2K_Ratings'!P446, IF(bbgm_stat &gt;= perc_95, converted_stat * 3, IF(bbgm_stat &gt;= perc_90, converted_stat * 2, IF(bbgm_stat &gt;= perc_85, converted_stat * 1.5, converted_stat)))))</f>
        <v/>
      </c>
      <c r="Q446" s="30" t="str">
        <f t="array" ref="Q446">IF($A446="", "", LET(bbgm_stat, INDEX(Players!$A445:$P445, MATCH(Q$2, Players!$A$1:$P$1, 0)), perc_75, VLOOKUP(Q$2, Percentiles!$A$45:$I$59, 6, FALSE), perc_90, VLOOKUP(Q$2, Percentiles!$A$45:$I$59, 7, FALSE), perc_95, VLOOKUP(Q$2, Percentiles!$A$45:$I$59, 8, FALSE), perc_85, perc_75 + (perc_90 - perc_75) * (2/3), converted_stat, '2K_Ratings'!Q446, IF(bbgm_stat &gt;= perc_95, converted_stat * 3, IF(bbgm_stat &gt;= perc_90, converted_stat * 2, IF(bbgm_stat &gt;= perc_85, converted_stat * 1.5, converted_stat)))))</f>
        <v/>
      </c>
      <c r="R446" s="30" t="str">
        <f t="array" ref="R446">IF($A446="", "", LET(bbgm_stat, INDEX(Players!$A445:$P445, MATCH(R$2, Players!$A$1:$P$1, 0)), perc_75, VLOOKUP(R$2, Percentiles!$A$45:$I$59, 6, FALSE), perc_90, VLOOKUP(R$2, Percentiles!$A$45:$I$59, 7, FALSE), perc_95, VLOOKUP(R$2, Percentiles!$A$45:$I$59, 8, FALSE), perc_85, perc_75 + (perc_90 - perc_75) * (2/3), converted_stat, '2K_Ratings'!R446, IF(bbgm_stat &gt;= perc_95, converted_stat * 3, IF(bbgm_stat &gt;= perc_90, converted_stat * 2, IF(bbgm_stat &gt;= perc_85, converted_stat * 1.5, converted_stat)))))</f>
        <v/>
      </c>
      <c r="S446" s="30" t="str">
        <f t="array" ref="S446">IF($A446="", "", LET(bbgm_stat, INDEX(Players!$A445:$P445, MATCH(S$2, Players!$A$1:$P$1, 0)), perc_75, VLOOKUP(S$2, Percentiles!$A$45:$I$59, 6, FALSE), perc_90, VLOOKUP(S$2, Percentiles!$A$45:$I$59, 7, FALSE), perc_95, VLOOKUP(S$2, Percentiles!$A$45:$I$59, 8, FALSE), perc_85, perc_75 + (perc_90 - perc_75) * (2/3), converted_stat, '2K_Ratings'!S446, IF(bbgm_stat &gt;= perc_95, converted_stat * 3, IF(bbgm_stat &gt;= perc_90, converted_stat * 2, IF(bbgm_stat &gt;= perc_85, converted_stat * 1.5, converted_stat)))))</f>
        <v/>
      </c>
      <c r="T446" s="30" t="str">
        <f t="array" ref="T446">IF($A446="", "", LET(bbgm_stat, INDEX(Players!$A445:$P445, MATCH(T$2, Players!$A$1:$P$1, 0)), perc_75, VLOOKUP(T$2, Percentiles!$A$45:$I$59, 6, FALSE), perc_90, VLOOKUP(T$2, Percentiles!$A$45:$I$59, 7, FALSE), perc_95, VLOOKUP(T$2, Percentiles!$A$45:$I$59, 8, FALSE), perc_85, perc_75 + (perc_90 - perc_75) * (2/3), converted_stat, '2K_Ratings'!T446, IF(bbgm_stat &gt;= perc_95, converted_stat * 3, IF(bbgm_stat &gt;= perc_90, converted_stat * 2, IF(bbgm_stat &gt;= perc_85, converted_stat * 1.5, converted_stat)))))</f>
        <v/>
      </c>
      <c r="U446" s="30" t="str">
        <f t="array" ref="U446">IF($A446="", "", LET(bbgm_stat, INDEX(Players!$A445:$P445, MATCH(U$2, Players!$A$1:$P$1, 0)), perc_75, VLOOKUP(U$2, Percentiles!$A$45:$I$59, 6, FALSE), perc_90, VLOOKUP(U$2, Percentiles!$A$45:$I$59, 7, FALSE), perc_95, VLOOKUP(U$2, Percentiles!$A$45:$I$59, 8, FALSE), perc_85, perc_75 + (perc_90 - perc_75) * (2/3), converted_stat, '2K_Ratings'!U446, IF(bbgm_stat &gt;= perc_95, converted_stat * 3, IF(bbgm_stat &gt;= perc_90, converted_stat * 2, IF(bbgm_stat &gt;= perc_85, converted_stat * 1.5, converted_stat)))))</f>
        <v/>
      </c>
      <c r="V446" s="30" t="str">
        <f t="array" ref="V446">IF($A446="", "", LET(bbgm_stat, INDEX(Players!$A445:$P445, MATCH(V$2, Players!$A$1:$P$1, 0)), perc_75, VLOOKUP(V$2, Percentiles!$A$45:$I$59, 6, FALSE), perc_90, VLOOKUP(V$2, Percentiles!$A$45:$I$59, 7, FALSE), perc_95, VLOOKUP(V$2, Percentiles!$A$45:$I$59, 8, FALSE), perc_85, perc_75 + (perc_90 - perc_75) * (2/3), converted_stat, '2K_Ratings'!V446, IF(bbgm_stat &gt;= perc_95, converted_stat * 3, IF(bbgm_stat &gt;= perc_90, converted_stat * 2, IF(bbgm_stat &gt;= perc_85, converted_stat * 1.5, converted_stat)))))</f>
        <v/>
      </c>
      <c r="W446" s="30" t="str">
        <f t="array" ref="W446">IF($A446="", "", LET(bbgm_stat, INDEX(Players!$A445:$P445, MATCH(W$2, Players!$A$1:$P$1, 0)), perc_75, VLOOKUP(W$2, Percentiles!$A$45:$I$59, 6, FALSE), perc_90, VLOOKUP(W$2, Percentiles!$A$45:$I$59, 7, FALSE), perc_95, VLOOKUP(W$2, Percentiles!$A$45:$I$59, 8, FALSE), perc_85, perc_75 + (perc_90 - perc_75) * (2/3), converted_stat, '2K_Ratings'!W446, IF(bbgm_stat &gt;= perc_95, converted_stat * 3, IF(bbgm_stat &gt;= perc_90, converted_stat * 2, IF(bbgm_stat &gt;= perc_85, converted_stat * 1.5, converted_stat)))))</f>
        <v/>
      </c>
    </row>
    <row r="447">
      <c r="A447" s="30"/>
      <c r="B447" s="30" t="str">
        <f t="array" ref="B447">IF($A447="", "", LET(bbgm_stat, INDEX(Players!$A446:$P446, MATCH(B$2, Players!$A$1:$P$1, 0)), perc_75, VLOOKUP(B$2, Percentiles!$A$45:$I$59, 6, FALSE), perc_90, VLOOKUP(B$2, Percentiles!$A$45:$I$59, 7, FALSE), perc_95, VLOOKUP(B$2, Percentiles!$A$45:$I$59, 8, FALSE), perc_85, perc_75 + (perc_90 - perc_75) * (2/3), converted_stat, '2K_Ratings'!B447, IF(bbgm_stat &gt;= perc_95, converted_stat * 3, IF(bbgm_stat &gt;= perc_90, converted_stat * 2, IF(bbgm_stat &gt;= perc_85, converted_stat * 1.5, converted_stat)))))</f>
        <v/>
      </c>
      <c r="C447" s="30" t="str">
        <f t="array" ref="C447">IF($A447="", "", LET(bbgm_stat, INDEX(Players!$A446:$P446, MATCH(C$2, Players!$A$1:$P$1, 0)), perc_75, VLOOKUP(C$2, Percentiles!$A$45:$I$59, 6, FALSE), perc_90, VLOOKUP(C$2, Percentiles!$A$45:$I$59, 7, FALSE), perc_95, VLOOKUP(C$2, Percentiles!$A$45:$I$59, 8, FALSE), perc_85, perc_75 + (perc_90 - perc_75) * (2/3), converted_stat, '2K_Ratings'!C447, IF(bbgm_stat &gt;= perc_95, converted_stat * 3, IF(bbgm_stat &gt;= perc_90, converted_stat * 2, IF(bbgm_stat &gt;= perc_85, converted_stat * 1.5, converted_stat)))))</f>
        <v/>
      </c>
      <c r="D447" s="30" t="str">
        <f t="array" ref="D447">IF($A447="", "", LET(bbgm_stat, INDEX(Players!$A446:$P446, MATCH(D$2, Players!$A$1:$P$1, 0)), perc_75, VLOOKUP(D$2, Percentiles!$A$45:$I$59, 6, FALSE), perc_90, VLOOKUP(D$2, Percentiles!$A$45:$I$59, 7, FALSE), perc_95, VLOOKUP(D$2, Percentiles!$A$45:$I$59, 8, FALSE), perc_85, perc_75 + (perc_90 - perc_75) * (2/3), converted_stat, '2K_Ratings'!D447, IF(bbgm_stat &gt;= perc_95, converted_stat * 3, IF(bbgm_stat &gt;= perc_90, converted_stat * 2, IF(bbgm_stat &gt;= perc_85, converted_stat * 1.5, converted_stat)))))</f>
        <v/>
      </c>
      <c r="E447" s="30" t="str">
        <f t="array" ref="E447">IF($A447="", "", LET(bbgm_stat, INDEX(Players!$A446:$P446, MATCH(E$2, Players!$A$1:$P$1, 0)), perc_75, VLOOKUP(E$2, Percentiles!$A$45:$I$59, 6, FALSE), perc_90, VLOOKUP(E$2, Percentiles!$A$45:$I$59, 7, FALSE), perc_95, VLOOKUP(E$2, Percentiles!$A$45:$I$59, 8, FALSE), perc_85, perc_75 + (perc_90 - perc_75) * (2/3), converted_stat, '2K_Ratings'!E447, IF(bbgm_stat &gt;= perc_95, converted_stat * 3, IF(bbgm_stat &gt;= perc_90, converted_stat * 2, IF(bbgm_stat &gt;= perc_85, converted_stat * 1.5, converted_stat)))))</f>
        <v/>
      </c>
      <c r="F447" s="30" t="str">
        <f t="array" ref="F447">IF($A447="", "", LET(bbgm_stat, INDEX(Players!$A446:$P446, MATCH(F$2, Players!$A$1:$P$1, 0)), perc_75, VLOOKUP(F$2, Percentiles!$A$45:$I$59, 6, FALSE), perc_90, VLOOKUP(F$2, Percentiles!$A$45:$I$59, 7, FALSE), perc_95, VLOOKUP(F$2, Percentiles!$A$45:$I$59, 8, FALSE), perc_85, perc_75 + (perc_90 - perc_75) * (2/3), converted_stat, '2K_Ratings'!F447, IF(bbgm_stat &gt;= perc_95, converted_stat * 3, IF(bbgm_stat &gt;= perc_90, converted_stat * 2, IF(bbgm_stat &gt;= perc_85, converted_stat * 1.5, converted_stat)))))</f>
        <v/>
      </c>
      <c r="G447" s="30" t="str">
        <f t="array" ref="G447">IF($A447="", "", LET(bbgm_stat, INDEX(Players!$A446:$P446, MATCH(G$2, Players!$A$1:$P$1, 0)), perc_75, VLOOKUP(G$2, Percentiles!$A$45:$I$59, 6, FALSE), perc_90, VLOOKUP(G$2, Percentiles!$A$45:$I$59, 7, FALSE), perc_95, VLOOKUP(G$2, Percentiles!$A$45:$I$59, 8, FALSE), perc_85, perc_75 + (perc_90 - perc_75) * (2/3), converted_stat, '2K_Ratings'!G447, IF(bbgm_stat &gt;= perc_95, converted_stat * 3, IF(bbgm_stat &gt;= perc_90, converted_stat * 2, IF(bbgm_stat &gt;= perc_85, converted_stat * 1.5, converted_stat)))))</f>
        <v/>
      </c>
      <c r="H447" s="30" t="str">
        <f t="array" ref="H447">IF($A447="", "", LET(bbgm_stat, INDEX(Players!$A446:$P446, MATCH(H$2, Players!$A$1:$P$1, 0)), perc_75, VLOOKUP(H$2, Percentiles!$A$45:$I$59, 6, FALSE), perc_90, VLOOKUP(H$2, Percentiles!$A$45:$I$59, 7, FALSE), perc_95, VLOOKUP(H$2, Percentiles!$A$45:$I$59, 8, FALSE), perc_85, perc_75 + (perc_90 - perc_75) * (2/3), converted_stat, '2K_Ratings'!H447, IF(bbgm_stat &gt;= perc_95, converted_stat * 3, IF(bbgm_stat &gt;= perc_90, converted_stat * 2, IF(bbgm_stat &gt;= perc_85, converted_stat * 1.5, converted_stat)))))</f>
        <v/>
      </c>
      <c r="I447" s="30" t="str">
        <f t="array" ref="I447">IF($A447="", "", LET(bbgm_stat, INDEX(Players!$A446:$P446, MATCH(I$2, Players!$A$1:$P$1, 0)), perc_75, VLOOKUP(I$2, Percentiles!$A$45:$I$59, 6, FALSE), perc_90, VLOOKUP(I$2, Percentiles!$A$45:$I$59, 7, FALSE), perc_95, VLOOKUP(I$2, Percentiles!$A$45:$I$59, 8, FALSE), perc_85, perc_75 + (perc_90 - perc_75) * (2/3), converted_stat, '2K_Ratings'!I447, IF(bbgm_stat &gt;= perc_95, converted_stat * 3, IF(bbgm_stat &gt;= perc_90, converted_stat * 2, IF(bbgm_stat &gt;= perc_85, converted_stat * 1.5, converted_stat)))))</f>
        <v/>
      </c>
      <c r="J447" s="30" t="str">
        <f t="array" ref="J447">IF($A447="", "", LET(bbgm_stat, INDEX(Players!$A446:$P446, MATCH(J$2, Players!$A$1:$P$1, 0)), perc_75, VLOOKUP(J$2, Percentiles!$A$45:$I$59, 6, FALSE), perc_90, VLOOKUP(J$2, Percentiles!$A$45:$I$59, 7, FALSE), perc_95, VLOOKUP(J$2, Percentiles!$A$45:$I$59, 8, FALSE), perc_85, perc_75 + (perc_90 - perc_75) * (2/3), converted_stat, '2K_Ratings'!J447, IF(bbgm_stat &gt;= perc_95, converted_stat * 3, IF(bbgm_stat &gt;= perc_90, converted_stat * 2, IF(bbgm_stat &gt;= perc_85, converted_stat * 1.5, converted_stat)))))</f>
        <v/>
      </c>
      <c r="K447" s="30" t="str">
        <f t="array" ref="K447">IF($A447="", "", LET(bbgm_stat, INDEX(Players!$A446:$P446, MATCH(K$2, Players!$A$1:$P$1, 0)), perc_75, VLOOKUP(K$2, Percentiles!$A$45:$I$59, 6, FALSE), perc_90, VLOOKUP(K$2, Percentiles!$A$45:$I$59, 7, FALSE), perc_95, VLOOKUP(K$2, Percentiles!$A$45:$I$59, 8, FALSE), perc_85, perc_75 + (perc_90 - perc_75) * (2/3), converted_stat, '2K_Ratings'!K447, IF(bbgm_stat &gt;= perc_95, converted_stat * 3, IF(bbgm_stat &gt;= perc_90, converted_stat * 2, IF(bbgm_stat &gt;= perc_85, converted_stat * 1.5, converted_stat)))))</f>
        <v/>
      </c>
      <c r="L447" s="30" t="str">
        <f t="array" ref="L447">IF($A447="", "", LET(bbgm_stat, INDEX(Players!$A446:$P446, MATCH(L$2, Players!$A$1:$P$1, 0)), perc_75, VLOOKUP(L$2, Percentiles!$A$45:$I$59, 6, FALSE), perc_90, VLOOKUP(L$2, Percentiles!$A$45:$I$59, 7, FALSE), perc_95, VLOOKUP(L$2, Percentiles!$A$45:$I$59, 8, FALSE), perc_85, perc_75 + (perc_90 - perc_75) * (2/3), converted_stat, '2K_Ratings'!L447, IF(bbgm_stat &gt;= perc_95, converted_stat * 3, IF(bbgm_stat &gt;= perc_90, converted_stat * 2, IF(bbgm_stat &gt;= perc_85, converted_stat * 1.5, converted_stat)))))</f>
        <v/>
      </c>
      <c r="M447" s="30" t="str">
        <f t="array" ref="M447">IF($A447="", "", LET(bbgm_stat, INDEX(Players!$A446:$P446, MATCH(M$2, Players!$A$1:$P$1, 0)), perc_75, VLOOKUP(M$2, Percentiles!$A$45:$I$59, 6, FALSE), perc_90, VLOOKUP(M$2, Percentiles!$A$45:$I$59, 7, FALSE), perc_95, VLOOKUP(M$2, Percentiles!$A$45:$I$59, 8, FALSE), perc_85, perc_75 + (perc_90 - perc_75) * (2/3), converted_stat, '2K_Ratings'!M447, IF(bbgm_stat &gt;= perc_95, converted_stat * 3, IF(bbgm_stat &gt;= perc_90, converted_stat * 2, IF(bbgm_stat &gt;= perc_85, converted_stat * 1.5, converted_stat)))))</f>
        <v/>
      </c>
      <c r="N447" s="30" t="str">
        <f t="array" ref="N447">IF($A447="", "", LET(bbgm_stat, INDEX(Players!$A446:$P446, MATCH(N$2, Players!$A$1:$P$1, 0)), perc_75, VLOOKUP(N$2, Percentiles!$A$45:$I$59, 6, FALSE), perc_90, VLOOKUP(N$2, Percentiles!$A$45:$I$59, 7, FALSE), perc_95, VLOOKUP(N$2, Percentiles!$A$45:$I$59, 8, FALSE), perc_85, perc_75 + (perc_90 - perc_75) * (2/3), converted_stat, '2K_Ratings'!N447, IF(bbgm_stat &gt;= perc_95, converted_stat * 3, IF(bbgm_stat &gt;= perc_90, converted_stat * 2, IF(bbgm_stat &gt;= perc_85, converted_stat * 1.5, converted_stat)))))</f>
        <v/>
      </c>
      <c r="O447" s="30" t="str">
        <f t="array" ref="O447">IF($A447="", "", LET(bbgm_stat, INDEX(Players!$A446:$P446, MATCH(O$2, Players!$A$1:$P$1, 0)), perc_75, VLOOKUP(O$2, Percentiles!$A$45:$I$59, 6, FALSE), perc_90, VLOOKUP(O$2, Percentiles!$A$45:$I$59, 7, FALSE), perc_95, VLOOKUP(O$2, Percentiles!$A$45:$I$59, 8, FALSE), perc_85, perc_75 + (perc_90 - perc_75) * (2/3), converted_stat, '2K_Ratings'!O447, IF(bbgm_stat &gt;= perc_95, converted_stat * 3, IF(bbgm_stat &gt;= perc_90, converted_stat * 2, IF(bbgm_stat &gt;= perc_85, converted_stat * 1.5, converted_stat)))))</f>
        <v/>
      </c>
      <c r="P447" s="30" t="str">
        <f t="array" ref="P447">IF($A447="", "", LET(bbgm_stat, INDEX(Players!$A446:$P446, MATCH(P$2, Players!$A$1:$P$1, 0)), perc_75, VLOOKUP(P$2, Percentiles!$A$45:$I$59, 6, FALSE), perc_90, VLOOKUP(P$2, Percentiles!$A$45:$I$59, 7, FALSE), perc_95, VLOOKUP(P$2, Percentiles!$A$45:$I$59, 8, FALSE), perc_85, perc_75 + (perc_90 - perc_75) * (2/3), converted_stat, '2K_Ratings'!P447, IF(bbgm_stat &gt;= perc_95, converted_stat * 3, IF(bbgm_stat &gt;= perc_90, converted_stat * 2, IF(bbgm_stat &gt;= perc_85, converted_stat * 1.5, converted_stat)))))</f>
        <v/>
      </c>
      <c r="Q447" s="30" t="str">
        <f t="array" ref="Q447">IF($A447="", "", LET(bbgm_stat, INDEX(Players!$A446:$P446, MATCH(Q$2, Players!$A$1:$P$1, 0)), perc_75, VLOOKUP(Q$2, Percentiles!$A$45:$I$59, 6, FALSE), perc_90, VLOOKUP(Q$2, Percentiles!$A$45:$I$59, 7, FALSE), perc_95, VLOOKUP(Q$2, Percentiles!$A$45:$I$59, 8, FALSE), perc_85, perc_75 + (perc_90 - perc_75) * (2/3), converted_stat, '2K_Ratings'!Q447, IF(bbgm_stat &gt;= perc_95, converted_stat * 3, IF(bbgm_stat &gt;= perc_90, converted_stat * 2, IF(bbgm_stat &gt;= perc_85, converted_stat * 1.5, converted_stat)))))</f>
        <v/>
      </c>
      <c r="R447" s="30" t="str">
        <f t="array" ref="R447">IF($A447="", "", LET(bbgm_stat, INDEX(Players!$A446:$P446, MATCH(R$2, Players!$A$1:$P$1, 0)), perc_75, VLOOKUP(R$2, Percentiles!$A$45:$I$59, 6, FALSE), perc_90, VLOOKUP(R$2, Percentiles!$A$45:$I$59, 7, FALSE), perc_95, VLOOKUP(R$2, Percentiles!$A$45:$I$59, 8, FALSE), perc_85, perc_75 + (perc_90 - perc_75) * (2/3), converted_stat, '2K_Ratings'!R447, IF(bbgm_stat &gt;= perc_95, converted_stat * 3, IF(bbgm_stat &gt;= perc_90, converted_stat * 2, IF(bbgm_stat &gt;= perc_85, converted_stat * 1.5, converted_stat)))))</f>
        <v/>
      </c>
      <c r="S447" s="30" t="str">
        <f t="array" ref="S447">IF($A447="", "", LET(bbgm_stat, INDEX(Players!$A446:$P446, MATCH(S$2, Players!$A$1:$P$1, 0)), perc_75, VLOOKUP(S$2, Percentiles!$A$45:$I$59, 6, FALSE), perc_90, VLOOKUP(S$2, Percentiles!$A$45:$I$59, 7, FALSE), perc_95, VLOOKUP(S$2, Percentiles!$A$45:$I$59, 8, FALSE), perc_85, perc_75 + (perc_90 - perc_75) * (2/3), converted_stat, '2K_Ratings'!S447, IF(bbgm_stat &gt;= perc_95, converted_stat * 3, IF(bbgm_stat &gt;= perc_90, converted_stat * 2, IF(bbgm_stat &gt;= perc_85, converted_stat * 1.5, converted_stat)))))</f>
        <v/>
      </c>
      <c r="T447" s="30" t="str">
        <f t="array" ref="T447">IF($A447="", "", LET(bbgm_stat, INDEX(Players!$A446:$P446, MATCH(T$2, Players!$A$1:$P$1, 0)), perc_75, VLOOKUP(T$2, Percentiles!$A$45:$I$59, 6, FALSE), perc_90, VLOOKUP(T$2, Percentiles!$A$45:$I$59, 7, FALSE), perc_95, VLOOKUP(T$2, Percentiles!$A$45:$I$59, 8, FALSE), perc_85, perc_75 + (perc_90 - perc_75) * (2/3), converted_stat, '2K_Ratings'!T447, IF(bbgm_stat &gt;= perc_95, converted_stat * 3, IF(bbgm_stat &gt;= perc_90, converted_stat * 2, IF(bbgm_stat &gt;= perc_85, converted_stat * 1.5, converted_stat)))))</f>
        <v/>
      </c>
      <c r="U447" s="30" t="str">
        <f t="array" ref="U447">IF($A447="", "", LET(bbgm_stat, INDEX(Players!$A446:$P446, MATCH(U$2, Players!$A$1:$P$1, 0)), perc_75, VLOOKUP(U$2, Percentiles!$A$45:$I$59, 6, FALSE), perc_90, VLOOKUP(U$2, Percentiles!$A$45:$I$59, 7, FALSE), perc_95, VLOOKUP(U$2, Percentiles!$A$45:$I$59, 8, FALSE), perc_85, perc_75 + (perc_90 - perc_75) * (2/3), converted_stat, '2K_Ratings'!U447, IF(bbgm_stat &gt;= perc_95, converted_stat * 3, IF(bbgm_stat &gt;= perc_90, converted_stat * 2, IF(bbgm_stat &gt;= perc_85, converted_stat * 1.5, converted_stat)))))</f>
        <v/>
      </c>
      <c r="V447" s="30" t="str">
        <f t="array" ref="V447">IF($A447="", "", LET(bbgm_stat, INDEX(Players!$A446:$P446, MATCH(V$2, Players!$A$1:$P$1, 0)), perc_75, VLOOKUP(V$2, Percentiles!$A$45:$I$59, 6, FALSE), perc_90, VLOOKUP(V$2, Percentiles!$A$45:$I$59, 7, FALSE), perc_95, VLOOKUP(V$2, Percentiles!$A$45:$I$59, 8, FALSE), perc_85, perc_75 + (perc_90 - perc_75) * (2/3), converted_stat, '2K_Ratings'!V447, IF(bbgm_stat &gt;= perc_95, converted_stat * 3, IF(bbgm_stat &gt;= perc_90, converted_stat * 2, IF(bbgm_stat &gt;= perc_85, converted_stat * 1.5, converted_stat)))))</f>
        <v/>
      </c>
      <c r="W447" s="30" t="str">
        <f t="array" ref="W447">IF($A447="", "", LET(bbgm_stat, INDEX(Players!$A446:$P446, MATCH(W$2, Players!$A$1:$P$1, 0)), perc_75, VLOOKUP(W$2, Percentiles!$A$45:$I$59, 6, FALSE), perc_90, VLOOKUP(W$2, Percentiles!$A$45:$I$59, 7, FALSE), perc_95, VLOOKUP(W$2, Percentiles!$A$45:$I$59, 8, FALSE), perc_85, perc_75 + (perc_90 - perc_75) * (2/3), converted_stat, '2K_Ratings'!W447, IF(bbgm_stat &gt;= perc_95, converted_stat * 3, IF(bbgm_stat &gt;= perc_90, converted_stat * 2, IF(bbgm_stat &gt;= perc_85, converted_stat * 1.5, converted_stat)))))</f>
        <v/>
      </c>
    </row>
    <row r="448">
      <c r="A448" s="30"/>
      <c r="B448" s="30" t="str">
        <f t="array" ref="B448">IF($A448="", "", LET(bbgm_stat, INDEX(Players!$A447:$P447, MATCH(B$2, Players!$A$1:$P$1, 0)), perc_75, VLOOKUP(B$2, Percentiles!$A$45:$I$59, 6, FALSE), perc_90, VLOOKUP(B$2, Percentiles!$A$45:$I$59, 7, FALSE), perc_95, VLOOKUP(B$2, Percentiles!$A$45:$I$59, 8, FALSE), perc_85, perc_75 + (perc_90 - perc_75) * (2/3), converted_stat, '2K_Ratings'!B448, IF(bbgm_stat &gt;= perc_95, converted_stat * 3, IF(bbgm_stat &gt;= perc_90, converted_stat * 2, IF(bbgm_stat &gt;= perc_85, converted_stat * 1.5, converted_stat)))))</f>
        <v/>
      </c>
      <c r="C448" s="30" t="str">
        <f t="array" ref="C448">IF($A448="", "", LET(bbgm_stat, INDEX(Players!$A447:$P447, MATCH(C$2, Players!$A$1:$P$1, 0)), perc_75, VLOOKUP(C$2, Percentiles!$A$45:$I$59, 6, FALSE), perc_90, VLOOKUP(C$2, Percentiles!$A$45:$I$59, 7, FALSE), perc_95, VLOOKUP(C$2, Percentiles!$A$45:$I$59, 8, FALSE), perc_85, perc_75 + (perc_90 - perc_75) * (2/3), converted_stat, '2K_Ratings'!C448, IF(bbgm_stat &gt;= perc_95, converted_stat * 3, IF(bbgm_stat &gt;= perc_90, converted_stat * 2, IF(bbgm_stat &gt;= perc_85, converted_stat * 1.5, converted_stat)))))</f>
        <v/>
      </c>
      <c r="D448" s="30" t="str">
        <f t="array" ref="D448">IF($A448="", "", LET(bbgm_stat, INDEX(Players!$A447:$P447, MATCH(D$2, Players!$A$1:$P$1, 0)), perc_75, VLOOKUP(D$2, Percentiles!$A$45:$I$59, 6, FALSE), perc_90, VLOOKUP(D$2, Percentiles!$A$45:$I$59, 7, FALSE), perc_95, VLOOKUP(D$2, Percentiles!$A$45:$I$59, 8, FALSE), perc_85, perc_75 + (perc_90 - perc_75) * (2/3), converted_stat, '2K_Ratings'!D448, IF(bbgm_stat &gt;= perc_95, converted_stat * 3, IF(bbgm_stat &gt;= perc_90, converted_stat * 2, IF(bbgm_stat &gt;= perc_85, converted_stat * 1.5, converted_stat)))))</f>
        <v/>
      </c>
      <c r="E448" s="30" t="str">
        <f t="array" ref="E448">IF($A448="", "", LET(bbgm_stat, INDEX(Players!$A447:$P447, MATCH(E$2, Players!$A$1:$P$1, 0)), perc_75, VLOOKUP(E$2, Percentiles!$A$45:$I$59, 6, FALSE), perc_90, VLOOKUP(E$2, Percentiles!$A$45:$I$59, 7, FALSE), perc_95, VLOOKUP(E$2, Percentiles!$A$45:$I$59, 8, FALSE), perc_85, perc_75 + (perc_90 - perc_75) * (2/3), converted_stat, '2K_Ratings'!E448, IF(bbgm_stat &gt;= perc_95, converted_stat * 3, IF(bbgm_stat &gt;= perc_90, converted_stat * 2, IF(bbgm_stat &gt;= perc_85, converted_stat * 1.5, converted_stat)))))</f>
        <v/>
      </c>
      <c r="F448" s="30" t="str">
        <f t="array" ref="F448">IF($A448="", "", LET(bbgm_stat, INDEX(Players!$A447:$P447, MATCH(F$2, Players!$A$1:$P$1, 0)), perc_75, VLOOKUP(F$2, Percentiles!$A$45:$I$59, 6, FALSE), perc_90, VLOOKUP(F$2, Percentiles!$A$45:$I$59, 7, FALSE), perc_95, VLOOKUP(F$2, Percentiles!$A$45:$I$59, 8, FALSE), perc_85, perc_75 + (perc_90 - perc_75) * (2/3), converted_stat, '2K_Ratings'!F448, IF(bbgm_stat &gt;= perc_95, converted_stat * 3, IF(bbgm_stat &gt;= perc_90, converted_stat * 2, IF(bbgm_stat &gt;= perc_85, converted_stat * 1.5, converted_stat)))))</f>
        <v/>
      </c>
      <c r="G448" s="30" t="str">
        <f t="array" ref="G448">IF($A448="", "", LET(bbgm_stat, INDEX(Players!$A447:$P447, MATCH(G$2, Players!$A$1:$P$1, 0)), perc_75, VLOOKUP(G$2, Percentiles!$A$45:$I$59, 6, FALSE), perc_90, VLOOKUP(G$2, Percentiles!$A$45:$I$59, 7, FALSE), perc_95, VLOOKUP(G$2, Percentiles!$A$45:$I$59, 8, FALSE), perc_85, perc_75 + (perc_90 - perc_75) * (2/3), converted_stat, '2K_Ratings'!G448, IF(bbgm_stat &gt;= perc_95, converted_stat * 3, IF(bbgm_stat &gt;= perc_90, converted_stat * 2, IF(bbgm_stat &gt;= perc_85, converted_stat * 1.5, converted_stat)))))</f>
        <v/>
      </c>
      <c r="H448" s="30" t="str">
        <f t="array" ref="H448">IF($A448="", "", LET(bbgm_stat, INDEX(Players!$A447:$P447, MATCH(H$2, Players!$A$1:$P$1, 0)), perc_75, VLOOKUP(H$2, Percentiles!$A$45:$I$59, 6, FALSE), perc_90, VLOOKUP(H$2, Percentiles!$A$45:$I$59, 7, FALSE), perc_95, VLOOKUP(H$2, Percentiles!$A$45:$I$59, 8, FALSE), perc_85, perc_75 + (perc_90 - perc_75) * (2/3), converted_stat, '2K_Ratings'!H448, IF(bbgm_stat &gt;= perc_95, converted_stat * 3, IF(bbgm_stat &gt;= perc_90, converted_stat * 2, IF(bbgm_stat &gt;= perc_85, converted_stat * 1.5, converted_stat)))))</f>
        <v/>
      </c>
      <c r="I448" s="30" t="str">
        <f t="array" ref="I448">IF($A448="", "", LET(bbgm_stat, INDEX(Players!$A447:$P447, MATCH(I$2, Players!$A$1:$P$1, 0)), perc_75, VLOOKUP(I$2, Percentiles!$A$45:$I$59, 6, FALSE), perc_90, VLOOKUP(I$2, Percentiles!$A$45:$I$59, 7, FALSE), perc_95, VLOOKUP(I$2, Percentiles!$A$45:$I$59, 8, FALSE), perc_85, perc_75 + (perc_90 - perc_75) * (2/3), converted_stat, '2K_Ratings'!I448, IF(bbgm_stat &gt;= perc_95, converted_stat * 3, IF(bbgm_stat &gt;= perc_90, converted_stat * 2, IF(bbgm_stat &gt;= perc_85, converted_stat * 1.5, converted_stat)))))</f>
        <v/>
      </c>
      <c r="J448" s="30" t="str">
        <f t="array" ref="J448">IF($A448="", "", LET(bbgm_stat, INDEX(Players!$A447:$P447, MATCH(J$2, Players!$A$1:$P$1, 0)), perc_75, VLOOKUP(J$2, Percentiles!$A$45:$I$59, 6, FALSE), perc_90, VLOOKUP(J$2, Percentiles!$A$45:$I$59, 7, FALSE), perc_95, VLOOKUP(J$2, Percentiles!$A$45:$I$59, 8, FALSE), perc_85, perc_75 + (perc_90 - perc_75) * (2/3), converted_stat, '2K_Ratings'!J448, IF(bbgm_stat &gt;= perc_95, converted_stat * 3, IF(bbgm_stat &gt;= perc_90, converted_stat * 2, IF(bbgm_stat &gt;= perc_85, converted_stat * 1.5, converted_stat)))))</f>
        <v/>
      </c>
      <c r="K448" s="30" t="str">
        <f t="array" ref="K448">IF($A448="", "", LET(bbgm_stat, INDEX(Players!$A447:$P447, MATCH(K$2, Players!$A$1:$P$1, 0)), perc_75, VLOOKUP(K$2, Percentiles!$A$45:$I$59, 6, FALSE), perc_90, VLOOKUP(K$2, Percentiles!$A$45:$I$59, 7, FALSE), perc_95, VLOOKUP(K$2, Percentiles!$A$45:$I$59, 8, FALSE), perc_85, perc_75 + (perc_90 - perc_75) * (2/3), converted_stat, '2K_Ratings'!K448, IF(bbgm_stat &gt;= perc_95, converted_stat * 3, IF(bbgm_stat &gt;= perc_90, converted_stat * 2, IF(bbgm_stat &gt;= perc_85, converted_stat * 1.5, converted_stat)))))</f>
        <v/>
      </c>
      <c r="L448" s="30" t="str">
        <f t="array" ref="L448">IF($A448="", "", LET(bbgm_stat, INDEX(Players!$A447:$P447, MATCH(L$2, Players!$A$1:$P$1, 0)), perc_75, VLOOKUP(L$2, Percentiles!$A$45:$I$59, 6, FALSE), perc_90, VLOOKUP(L$2, Percentiles!$A$45:$I$59, 7, FALSE), perc_95, VLOOKUP(L$2, Percentiles!$A$45:$I$59, 8, FALSE), perc_85, perc_75 + (perc_90 - perc_75) * (2/3), converted_stat, '2K_Ratings'!L448, IF(bbgm_stat &gt;= perc_95, converted_stat * 3, IF(bbgm_stat &gt;= perc_90, converted_stat * 2, IF(bbgm_stat &gt;= perc_85, converted_stat * 1.5, converted_stat)))))</f>
        <v/>
      </c>
      <c r="M448" s="30" t="str">
        <f t="array" ref="M448">IF($A448="", "", LET(bbgm_stat, INDEX(Players!$A447:$P447, MATCH(M$2, Players!$A$1:$P$1, 0)), perc_75, VLOOKUP(M$2, Percentiles!$A$45:$I$59, 6, FALSE), perc_90, VLOOKUP(M$2, Percentiles!$A$45:$I$59, 7, FALSE), perc_95, VLOOKUP(M$2, Percentiles!$A$45:$I$59, 8, FALSE), perc_85, perc_75 + (perc_90 - perc_75) * (2/3), converted_stat, '2K_Ratings'!M448, IF(bbgm_stat &gt;= perc_95, converted_stat * 3, IF(bbgm_stat &gt;= perc_90, converted_stat * 2, IF(bbgm_stat &gt;= perc_85, converted_stat * 1.5, converted_stat)))))</f>
        <v/>
      </c>
      <c r="N448" s="30" t="str">
        <f t="array" ref="N448">IF($A448="", "", LET(bbgm_stat, INDEX(Players!$A447:$P447, MATCH(N$2, Players!$A$1:$P$1, 0)), perc_75, VLOOKUP(N$2, Percentiles!$A$45:$I$59, 6, FALSE), perc_90, VLOOKUP(N$2, Percentiles!$A$45:$I$59, 7, FALSE), perc_95, VLOOKUP(N$2, Percentiles!$A$45:$I$59, 8, FALSE), perc_85, perc_75 + (perc_90 - perc_75) * (2/3), converted_stat, '2K_Ratings'!N448, IF(bbgm_stat &gt;= perc_95, converted_stat * 3, IF(bbgm_stat &gt;= perc_90, converted_stat * 2, IF(bbgm_stat &gt;= perc_85, converted_stat * 1.5, converted_stat)))))</f>
        <v/>
      </c>
      <c r="O448" s="30" t="str">
        <f t="array" ref="O448">IF($A448="", "", LET(bbgm_stat, INDEX(Players!$A447:$P447, MATCH(O$2, Players!$A$1:$P$1, 0)), perc_75, VLOOKUP(O$2, Percentiles!$A$45:$I$59, 6, FALSE), perc_90, VLOOKUP(O$2, Percentiles!$A$45:$I$59, 7, FALSE), perc_95, VLOOKUP(O$2, Percentiles!$A$45:$I$59, 8, FALSE), perc_85, perc_75 + (perc_90 - perc_75) * (2/3), converted_stat, '2K_Ratings'!O448, IF(bbgm_stat &gt;= perc_95, converted_stat * 3, IF(bbgm_stat &gt;= perc_90, converted_stat * 2, IF(bbgm_stat &gt;= perc_85, converted_stat * 1.5, converted_stat)))))</f>
        <v/>
      </c>
      <c r="P448" s="30" t="str">
        <f t="array" ref="P448">IF($A448="", "", LET(bbgm_stat, INDEX(Players!$A447:$P447, MATCH(P$2, Players!$A$1:$P$1, 0)), perc_75, VLOOKUP(P$2, Percentiles!$A$45:$I$59, 6, FALSE), perc_90, VLOOKUP(P$2, Percentiles!$A$45:$I$59, 7, FALSE), perc_95, VLOOKUP(P$2, Percentiles!$A$45:$I$59, 8, FALSE), perc_85, perc_75 + (perc_90 - perc_75) * (2/3), converted_stat, '2K_Ratings'!P448, IF(bbgm_stat &gt;= perc_95, converted_stat * 3, IF(bbgm_stat &gt;= perc_90, converted_stat * 2, IF(bbgm_stat &gt;= perc_85, converted_stat * 1.5, converted_stat)))))</f>
        <v/>
      </c>
      <c r="Q448" s="30" t="str">
        <f t="array" ref="Q448">IF($A448="", "", LET(bbgm_stat, INDEX(Players!$A447:$P447, MATCH(Q$2, Players!$A$1:$P$1, 0)), perc_75, VLOOKUP(Q$2, Percentiles!$A$45:$I$59, 6, FALSE), perc_90, VLOOKUP(Q$2, Percentiles!$A$45:$I$59, 7, FALSE), perc_95, VLOOKUP(Q$2, Percentiles!$A$45:$I$59, 8, FALSE), perc_85, perc_75 + (perc_90 - perc_75) * (2/3), converted_stat, '2K_Ratings'!Q448, IF(bbgm_stat &gt;= perc_95, converted_stat * 3, IF(bbgm_stat &gt;= perc_90, converted_stat * 2, IF(bbgm_stat &gt;= perc_85, converted_stat * 1.5, converted_stat)))))</f>
        <v/>
      </c>
      <c r="R448" s="30" t="str">
        <f t="array" ref="R448">IF($A448="", "", LET(bbgm_stat, INDEX(Players!$A447:$P447, MATCH(R$2, Players!$A$1:$P$1, 0)), perc_75, VLOOKUP(R$2, Percentiles!$A$45:$I$59, 6, FALSE), perc_90, VLOOKUP(R$2, Percentiles!$A$45:$I$59, 7, FALSE), perc_95, VLOOKUP(R$2, Percentiles!$A$45:$I$59, 8, FALSE), perc_85, perc_75 + (perc_90 - perc_75) * (2/3), converted_stat, '2K_Ratings'!R448, IF(bbgm_stat &gt;= perc_95, converted_stat * 3, IF(bbgm_stat &gt;= perc_90, converted_stat * 2, IF(bbgm_stat &gt;= perc_85, converted_stat * 1.5, converted_stat)))))</f>
        <v/>
      </c>
      <c r="S448" s="30" t="str">
        <f t="array" ref="S448">IF($A448="", "", LET(bbgm_stat, INDEX(Players!$A447:$P447, MATCH(S$2, Players!$A$1:$P$1, 0)), perc_75, VLOOKUP(S$2, Percentiles!$A$45:$I$59, 6, FALSE), perc_90, VLOOKUP(S$2, Percentiles!$A$45:$I$59, 7, FALSE), perc_95, VLOOKUP(S$2, Percentiles!$A$45:$I$59, 8, FALSE), perc_85, perc_75 + (perc_90 - perc_75) * (2/3), converted_stat, '2K_Ratings'!S448, IF(bbgm_stat &gt;= perc_95, converted_stat * 3, IF(bbgm_stat &gt;= perc_90, converted_stat * 2, IF(bbgm_stat &gt;= perc_85, converted_stat * 1.5, converted_stat)))))</f>
        <v/>
      </c>
      <c r="T448" s="30" t="str">
        <f t="array" ref="T448">IF($A448="", "", LET(bbgm_stat, INDEX(Players!$A447:$P447, MATCH(T$2, Players!$A$1:$P$1, 0)), perc_75, VLOOKUP(T$2, Percentiles!$A$45:$I$59, 6, FALSE), perc_90, VLOOKUP(T$2, Percentiles!$A$45:$I$59, 7, FALSE), perc_95, VLOOKUP(T$2, Percentiles!$A$45:$I$59, 8, FALSE), perc_85, perc_75 + (perc_90 - perc_75) * (2/3), converted_stat, '2K_Ratings'!T448, IF(bbgm_stat &gt;= perc_95, converted_stat * 3, IF(bbgm_stat &gt;= perc_90, converted_stat * 2, IF(bbgm_stat &gt;= perc_85, converted_stat * 1.5, converted_stat)))))</f>
        <v/>
      </c>
      <c r="U448" s="30" t="str">
        <f t="array" ref="U448">IF($A448="", "", LET(bbgm_stat, INDEX(Players!$A447:$P447, MATCH(U$2, Players!$A$1:$P$1, 0)), perc_75, VLOOKUP(U$2, Percentiles!$A$45:$I$59, 6, FALSE), perc_90, VLOOKUP(U$2, Percentiles!$A$45:$I$59, 7, FALSE), perc_95, VLOOKUP(U$2, Percentiles!$A$45:$I$59, 8, FALSE), perc_85, perc_75 + (perc_90 - perc_75) * (2/3), converted_stat, '2K_Ratings'!U448, IF(bbgm_stat &gt;= perc_95, converted_stat * 3, IF(bbgm_stat &gt;= perc_90, converted_stat * 2, IF(bbgm_stat &gt;= perc_85, converted_stat * 1.5, converted_stat)))))</f>
        <v/>
      </c>
      <c r="V448" s="30" t="str">
        <f t="array" ref="V448">IF($A448="", "", LET(bbgm_stat, INDEX(Players!$A447:$P447, MATCH(V$2, Players!$A$1:$P$1, 0)), perc_75, VLOOKUP(V$2, Percentiles!$A$45:$I$59, 6, FALSE), perc_90, VLOOKUP(V$2, Percentiles!$A$45:$I$59, 7, FALSE), perc_95, VLOOKUP(V$2, Percentiles!$A$45:$I$59, 8, FALSE), perc_85, perc_75 + (perc_90 - perc_75) * (2/3), converted_stat, '2K_Ratings'!V448, IF(bbgm_stat &gt;= perc_95, converted_stat * 3, IF(bbgm_stat &gt;= perc_90, converted_stat * 2, IF(bbgm_stat &gt;= perc_85, converted_stat * 1.5, converted_stat)))))</f>
        <v/>
      </c>
      <c r="W448" s="30" t="str">
        <f t="array" ref="W448">IF($A448="", "", LET(bbgm_stat, INDEX(Players!$A447:$P447, MATCH(W$2, Players!$A$1:$P$1, 0)), perc_75, VLOOKUP(W$2, Percentiles!$A$45:$I$59, 6, FALSE), perc_90, VLOOKUP(W$2, Percentiles!$A$45:$I$59, 7, FALSE), perc_95, VLOOKUP(W$2, Percentiles!$A$45:$I$59, 8, FALSE), perc_85, perc_75 + (perc_90 - perc_75) * (2/3), converted_stat, '2K_Ratings'!W448, IF(bbgm_stat &gt;= perc_95, converted_stat * 3, IF(bbgm_stat &gt;= perc_90, converted_stat * 2, IF(bbgm_stat &gt;= perc_85, converted_stat * 1.5, converted_stat)))))</f>
        <v/>
      </c>
    </row>
    <row r="449">
      <c r="A449" s="30"/>
      <c r="B449" s="30" t="str">
        <f t="array" ref="B449">IF($A449="", "", LET(bbgm_stat, INDEX(Players!$A448:$P448, MATCH(B$2, Players!$A$1:$P$1, 0)), perc_75, VLOOKUP(B$2, Percentiles!$A$45:$I$59, 6, FALSE), perc_90, VLOOKUP(B$2, Percentiles!$A$45:$I$59, 7, FALSE), perc_95, VLOOKUP(B$2, Percentiles!$A$45:$I$59, 8, FALSE), perc_85, perc_75 + (perc_90 - perc_75) * (2/3), converted_stat, '2K_Ratings'!B449, IF(bbgm_stat &gt;= perc_95, converted_stat * 3, IF(bbgm_stat &gt;= perc_90, converted_stat * 2, IF(bbgm_stat &gt;= perc_85, converted_stat * 1.5, converted_stat)))))</f>
        <v/>
      </c>
      <c r="C449" s="30" t="str">
        <f t="array" ref="C449">IF($A449="", "", LET(bbgm_stat, INDEX(Players!$A448:$P448, MATCH(C$2, Players!$A$1:$P$1, 0)), perc_75, VLOOKUP(C$2, Percentiles!$A$45:$I$59, 6, FALSE), perc_90, VLOOKUP(C$2, Percentiles!$A$45:$I$59, 7, FALSE), perc_95, VLOOKUP(C$2, Percentiles!$A$45:$I$59, 8, FALSE), perc_85, perc_75 + (perc_90 - perc_75) * (2/3), converted_stat, '2K_Ratings'!C449, IF(bbgm_stat &gt;= perc_95, converted_stat * 3, IF(bbgm_stat &gt;= perc_90, converted_stat * 2, IF(bbgm_stat &gt;= perc_85, converted_stat * 1.5, converted_stat)))))</f>
        <v/>
      </c>
      <c r="D449" s="30" t="str">
        <f t="array" ref="D449">IF($A449="", "", LET(bbgm_stat, INDEX(Players!$A448:$P448, MATCH(D$2, Players!$A$1:$P$1, 0)), perc_75, VLOOKUP(D$2, Percentiles!$A$45:$I$59, 6, FALSE), perc_90, VLOOKUP(D$2, Percentiles!$A$45:$I$59, 7, FALSE), perc_95, VLOOKUP(D$2, Percentiles!$A$45:$I$59, 8, FALSE), perc_85, perc_75 + (perc_90 - perc_75) * (2/3), converted_stat, '2K_Ratings'!D449, IF(bbgm_stat &gt;= perc_95, converted_stat * 3, IF(bbgm_stat &gt;= perc_90, converted_stat * 2, IF(bbgm_stat &gt;= perc_85, converted_stat * 1.5, converted_stat)))))</f>
        <v/>
      </c>
      <c r="E449" s="30" t="str">
        <f t="array" ref="E449">IF($A449="", "", LET(bbgm_stat, INDEX(Players!$A448:$P448, MATCH(E$2, Players!$A$1:$P$1, 0)), perc_75, VLOOKUP(E$2, Percentiles!$A$45:$I$59, 6, FALSE), perc_90, VLOOKUP(E$2, Percentiles!$A$45:$I$59, 7, FALSE), perc_95, VLOOKUP(E$2, Percentiles!$A$45:$I$59, 8, FALSE), perc_85, perc_75 + (perc_90 - perc_75) * (2/3), converted_stat, '2K_Ratings'!E449, IF(bbgm_stat &gt;= perc_95, converted_stat * 3, IF(bbgm_stat &gt;= perc_90, converted_stat * 2, IF(bbgm_stat &gt;= perc_85, converted_stat * 1.5, converted_stat)))))</f>
        <v/>
      </c>
      <c r="F449" s="30" t="str">
        <f t="array" ref="F449">IF($A449="", "", LET(bbgm_stat, INDEX(Players!$A448:$P448, MATCH(F$2, Players!$A$1:$P$1, 0)), perc_75, VLOOKUP(F$2, Percentiles!$A$45:$I$59, 6, FALSE), perc_90, VLOOKUP(F$2, Percentiles!$A$45:$I$59, 7, FALSE), perc_95, VLOOKUP(F$2, Percentiles!$A$45:$I$59, 8, FALSE), perc_85, perc_75 + (perc_90 - perc_75) * (2/3), converted_stat, '2K_Ratings'!F449, IF(bbgm_stat &gt;= perc_95, converted_stat * 3, IF(bbgm_stat &gt;= perc_90, converted_stat * 2, IF(bbgm_stat &gt;= perc_85, converted_stat * 1.5, converted_stat)))))</f>
        <v/>
      </c>
      <c r="G449" s="30" t="str">
        <f t="array" ref="G449">IF($A449="", "", LET(bbgm_stat, INDEX(Players!$A448:$P448, MATCH(G$2, Players!$A$1:$P$1, 0)), perc_75, VLOOKUP(G$2, Percentiles!$A$45:$I$59, 6, FALSE), perc_90, VLOOKUP(G$2, Percentiles!$A$45:$I$59, 7, FALSE), perc_95, VLOOKUP(G$2, Percentiles!$A$45:$I$59, 8, FALSE), perc_85, perc_75 + (perc_90 - perc_75) * (2/3), converted_stat, '2K_Ratings'!G449, IF(bbgm_stat &gt;= perc_95, converted_stat * 3, IF(bbgm_stat &gt;= perc_90, converted_stat * 2, IF(bbgm_stat &gt;= perc_85, converted_stat * 1.5, converted_stat)))))</f>
        <v/>
      </c>
      <c r="H449" s="30" t="str">
        <f t="array" ref="H449">IF($A449="", "", LET(bbgm_stat, INDEX(Players!$A448:$P448, MATCH(H$2, Players!$A$1:$P$1, 0)), perc_75, VLOOKUP(H$2, Percentiles!$A$45:$I$59, 6, FALSE), perc_90, VLOOKUP(H$2, Percentiles!$A$45:$I$59, 7, FALSE), perc_95, VLOOKUP(H$2, Percentiles!$A$45:$I$59, 8, FALSE), perc_85, perc_75 + (perc_90 - perc_75) * (2/3), converted_stat, '2K_Ratings'!H449, IF(bbgm_stat &gt;= perc_95, converted_stat * 3, IF(bbgm_stat &gt;= perc_90, converted_stat * 2, IF(bbgm_stat &gt;= perc_85, converted_stat * 1.5, converted_stat)))))</f>
        <v/>
      </c>
      <c r="I449" s="30" t="str">
        <f t="array" ref="I449">IF($A449="", "", LET(bbgm_stat, INDEX(Players!$A448:$P448, MATCH(I$2, Players!$A$1:$P$1, 0)), perc_75, VLOOKUP(I$2, Percentiles!$A$45:$I$59, 6, FALSE), perc_90, VLOOKUP(I$2, Percentiles!$A$45:$I$59, 7, FALSE), perc_95, VLOOKUP(I$2, Percentiles!$A$45:$I$59, 8, FALSE), perc_85, perc_75 + (perc_90 - perc_75) * (2/3), converted_stat, '2K_Ratings'!I449, IF(bbgm_stat &gt;= perc_95, converted_stat * 3, IF(bbgm_stat &gt;= perc_90, converted_stat * 2, IF(bbgm_stat &gt;= perc_85, converted_stat * 1.5, converted_stat)))))</f>
        <v/>
      </c>
      <c r="J449" s="30" t="str">
        <f t="array" ref="J449">IF($A449="", "", LET(bbgm_stat, INDEX(Players!$A448:$P448, MATCH(J$2, Players!$A$1:$P$1, 0)), perc_75, VLOOKUP(J$2, Percentiles!$A$45:$I$59, 6, FALSE), perc_90, VLOOKUP(J$2, Percentiles!$A$45:$I$59, 7, FALSE), perc_95, VLOOKUP(J$2, Percentiles!$A$45:$I$59, 8, FALSE), perc_85, perc_75 + (perc_90 - perc_75) * (2/3), converted_stat, '2K_Ratings'!J449, IF(bbgm_stat &gt;= perc_95, converted_stat * 3, IF(bbgm_stat &gt;= perc_90, converted_stat * 2, IF(bbgm_stat &gt;= perc_85, converted_stat * 1.5, converted_stat)))))</f>
        <v/>
      </c>
      <c r="K449" s="30" t="str">
        <f t="array" ref="K449">IF($A449="", "", LET(bbgm_stat, INDEX(Players!$A448:$P448, MATCH(K$2, Players!$A$1:$P$1, 0)), perc_75, VLOOKUP(K$2, Percentiles!$A$45:$I$59, 6, FALSE), perc_90, VLOOKUP(K$2, Percentiles!$A$45:$I$59, 7, FALSE), perc_95, VLOOKUP(K$2, Percentiles!$A$45:$I$59, 8, FALSE), perc_85, perc_75 + (perc_90 - perc_75) * (2/3), converted_stat, '2K_Ratings'!K449, IF(bbgm_stat &gt;= perc_95, converted_stat * 3, IF(bbgm_stat &gt;= perc_90, converted_stat * 2, IF(bbgm_stat &gt;= perc_85, converted_stat * 1.5, converted_stat)))))</f>
        <v/>
      </c>
      <c r="L449" s="30" t="str">
        <f t="array" ref="L449">IF($A449="", "", LET(bbgm_stat, INDEX(Players!$A448:$P448, MATCH(L$2, Players!$A$1:$P$1, 0)), perc_75, VLOOKUP(L$2, Percentiles!$A$45:$I$59, 6, FALSE), perc_90, VLOOKUP(L$2, Percentiles!$A$45:$I$59, 7, FALSE), perc_95, VLOOKUP(L$2, Percentiles!$A$45:$I$59, 8, FALSE), perc_85, perc_75 + (perc_90 - perc_75) * (2/3), converted_stat, '2K_Ratings'!L449, IF(bbgm_stat &gt;= perc_95, converted_stat * 3, IF(bbgm_stat &gt;= perc_90, converted_stat * 2, IF(bbgm_stat &gt;= perc_85, converted_stat * 1.5, converted_stat)))))</f>
        <v/>
      </c>
      <c r="M449" s="30" t="str">
        <f t="array" ref="M449">IF($A449="", "", LET(bbgm_stat, INDEX(Players!$A448:$P448, MATCH(M$2, Players!$A$1:$P$1, 0)), perc_75, VLOOKUP(M$2, Percentiles!$A$45:$I$59, 6, FALSE), perc_90, VLOOKUP(M$2, Percentiles!$A$45:$I$59, 7, FALSE), perc_95, VLOOKUP(M$2, Percentiles!$A$45:$I$59, 8, FALSE), perc_85, perc_75 + (perc_90 - perc_75) * (2/3), converted_stat, '2K_Ratings'!M449, IF(bbgm_stat &gt;= perc_95, converted_stat * 3, IF(bbgm_stat &gt;= perc_90, converted_stat * 2, IF(bbgm_stat &gt;= perc_85, converted_stat * 1.5, converted_stat)))))</f>
        <v/>
      </c>
      <c r="N449" s="30" t="str">
        <f t="array" ref="N449">IF($A449="", "", LET(bbgm_stat, INDEX(Players!$A448:$P448, MATCH(N$2, Players!$A$1:$P$1, 0)), perc_75, VLOOKUP(N$2, Percentiles!$A$45:$I$59, 6, FALSE), perc_90, VLOOKUP(N$2, Percentiles!$A$45:$I$59, 7, FALSE), perc_95, VLOOKUP(N$2, Percentiles!$A$45:$I$59, 8, FALSE), perc_85, perc_75 + (perc_90 - perc_75) * (2/3), converted_stat, '2K_Ratings'!N449, IF(bbgm_stat &gt;= perc_95, converted_stat * 3, IF(bbgm_stat &gt;= perc_90, converted_stat * 2, IF(bbgm_stat &gt;= perc_85, converted_stat * 1.5, converted_stat)))))</f>
        <v/>
      </c>
      <c r="O449" s="30" t="str">
        <f t="array" ref="O449">IF($A449="", "", LET(bbgm_stat, INDEX(Players!$A448:$P448, MATCH(O$2, Players!$A$1:$P$1, 0)), perc_75, VLOOKUP(O$2, Percentiles!$A$45:$I$59, 6, FALSE), perc_90, VLOOKUP(O$2, Percentiles!$A$45:$I$59, 7, FALSE), perc_95, VLOOKUP(O$2, Percentiles!$A$45:$I$59, 8, FALSE), perc_85, perc_75 + (perc_90 - perc_75) * (2/3), converted_stat, '2K_Ratings'!O449, IF(bbgm_stat &gt;= perc_95, converted_stat * 3, IF(bbgm_stat &gt;= perc_90, converted_stat * 2, IF(bbgm_stat &gt;= perc_85, converted_stat * 1.5, converted_stat)))))</f>
        <v/>
      </c>
      <c r="P449" s="30" t="str">
        <f t="array" ref="P449">IF($A449="", "", LET(bbgm_stat, INDEX(Players!$A448:$P448, MATCH(P$2, Players!$A$1:$P$1, 0)), perc_75, VLOOKUP(P$2, Percentiles!$A$45:$I$59, 6, FALSE), perc_90, VLOOKUP(P$2, Percentiles!$A$45:$I$59, 7, FALSE), perc_95, VLOOKUP(P$2, Percentiles!$A$45:$I$59, 8, FALSE), perc_85, perc_75 + (perc_90 - perc_75) * (2/3), converted_stat, '2K_Ratings'!P449, IF(bbgm_stat &gt;= perc_95, converted_stat * 3, IF(bbgm_stat &gt;= perc_90, converted_stat * 2, IF(bbgm_stat &gt;= perc_85, converted_stat * 1.5, converted_stat)))))</f>
        <v/>
      </c>
      <c r="Q449" s="30" t="str">
        <f t="array" ref="Q449">IF($A449="", "", LET(bbgm_stat, INDEX(Players!$A448:$P448, MATCH(Q$2, Players!$A$1:$P$1, 0)), perc_75, VLOOKUP(Q$2, Percentiles!$A$45:$I$59, 6, FALSE), perc_90, VLOOKUP(Q$2, Percentiles!$A$45:$I$59, 7, FALSE), perc_95, VLOOKUP(Q$2, Percentiles!$A$45:$I$59, 8, FALSE), perc_85, perc_75 + (perc_90 - perc_75) * (2/3), converted_stat, '2K_Ratings'!Q449, IF(bbgm_stat &gt;= perc_95, converted_stat * 3, IF(bbgm_stat &gt;= perc_90, converted_stat * 2, IF(bbgm_stat &gt;= perc_85, converted_stat * 1.5, converted_stat)))))</f>
        <v/>
      </c>
      <c r="R449" s="30" t="str">
        <f t="array" ref="R449">IF($A449="", "", LET(bbgm_stat, INDEX(Players!$A448:$P448, MATCH(R$2, Players!$A$1:$P$1, 0)), perc_75, VLOOKUP(R$2, Percentiles!$A$45:$I$59, 6, FALSE), perc_90, VLOOKUP(R$2, Percentiles!$A$45:$I$59, 7, FALSE), perc_95, VLOOKUP(R$2, Percentiles!$A$45:$I$59, 8, FALSE), perc_85, perc_75 + (perc_90 - perc_75) * (2/3), converted_stat, '2K_Ratings'!R449, IF(bbgm_stat &gt;= perc_95, converted_stat * 3, IF(bbgm_stat &gt;= perc_90, converted_stat * 2, IF(bbgm_stat &gt;= perc_85, converted_stat * 1.5, converted_stat)))))</f>
        <v/>
      </c>
      <c r="S449" s="30" t="str">
        <f t="array" ref="S449">IF($A449="", "", LET(bbgm_stat, INDEX(Players!$A448:$P448, MATCH(S$2, Players!$A$1:$P$1, 0)), perc_75, VLOOKUP(S$2, Percentiles!$A$45:$I$59, 6, FALSE), perc_90, VLOOKUP(S$2, Percentiles!$A$45:$I$59, 7, FALSE), perc_95, VLOOKUP(S$2, Percentiles!$A$45:$I$59, 8, FALSE), perc_85, perc_75 + (perc_90 - perc_75) * (2/3), converted_stat, '2K_Ratings'!S449, IF(bbgm_stat &gt;= perc_95, converted_stat * 3, IF(bbgm_stat &gt;= perc_90, converted_stat * 2, IF(bbgm_stat &gt;= perc_85, converted_stat * 1.5, converted_stat)))))</f>
        <v/>
      </c>
      <c r="T449" s="30" t="str">
        <f t="array" ref="T449">IF($A449="", "", LET(bbgm_stat, INDEX(Players!$A448:$P448, MATCH(T$2, Players!$A$1:$P$1, 0)), perc_75, VLOOKUP(T$2, Percentiles!$A$45:$I$59, 6, FALSE), perc_90, VLOOKUP(T$2, Percentiles!$A$45:$I$59, 7, FALSE), perc_95, VLOOKUP(T$2, Percentiles!$A$45:$I$59, 8, FALSE), perc_85, perc_75 + (perc_90 - perc_75) * (2/3), converted_stat, '2K_Ratings'!T449, IF(bbgm_stat &gt;= perc_95, converted_stat * 3, IF(bbgm_stat &gt;= perc_90, converted_stat * 2, IF(bbgm_stat &gt;= perc_85, converted_stat * 1.5, converted_stat)))))</f>
        <v/>
      </c>
      <c r="U449" s="30" t="str">
        <f t="array" ref="U449">IF($A449="", "", LET(bbgm_stat, INDEX(Players!$A448:$P448, MATCH(U$2, Players!$A$1:$P$1, 0)), perc_75, VLOOKUP(U$2, Percentiles!$A$45:$I$59, 6, FALSE), perc_90, VLOOKUP(U$2, Percentiles!$A$45:$I$59, 7, FALSE), perc_95, VLOOKUP(U$2, Percentiles!$A$45:$I$59, 8, FALSE), perc_85, perc_75 + (perc_90 - perc_75) * (2/3), converted_stat, '2K_Ratings'!U449, IF(bbgm_stat &gt;= perc_95, converted_stat * 3, IF(bbgm_stat &gt;= perc_90, converted_stat * 2, IF(bbgm_stat &gt;= perc_85, converted_stat * 1.5, converted_stat)))))</f>
        <v/>
      </c>
      <c r="V449" s="30" t="str">
        <f t="array" ref="V449">IF($A449="", "", LET(bbgm_stat, INDEX(Players!$A448:$P448, MATCH(V$2, Players!$A$1:$P$1, 0)), perc_75, VLOOKUP(V$2, Percentiles!$A$45:$I$59, 6, FALSE), perc_90, VLOOKUP(V$2, Percentiles!$A$45:$I$59, 7, FALSE), perc_95, VLOOKUP(V$2, Percentiles!$A$45:$I$59, 8, FALSE), perc_85, perc_75 + (perc_90 - perc_75) * (2/3), converted_stat, '2K_Ratings'!V449, IF(bbgm_stat &gt;= perc_95, converted_stat * 3, IF(bbgm_stat &gt;= perc_90, converted_stat * 2, IF(bbgm_stat &gt;= perc_85, converted_stat * 1.5, converted_stat)))))</f>
        <v/>
      </c>
      <c r="W449" s="30" t="str">
        <f t="array" ref="W449">IF($A449="", "", LET(bbgm_stat, INDEX(Players!$A448:$P448, MATCH(W$2, Players!$A$1:$P$1, 0)), perc_75, VLOOKUP(W$2, Percentiles!$A$45:$I$59, 6, FALSE), perc_90, VLOOKUP(W$2, Percentiles!$A$45:$I$59, 7, FALSE), perc_95, VLOOKUP(W$2, Percentiles!$A$45:$I$59, 8, FALSE), perc_85, perc_75 + (perc_90 - perc_75) * (2/3), converted_stat, '2K_Ratings'!W449, IF(bbgm_stat &gt;= perc_95, converted_stat * 3, IF(bbgm_stat &gt;= perc_90, converted_stat * 2, IF(bbgm_stat &gt;= perc_85, converted_stat * 1.5, converted_stat)))))</f>
        <v/>
      </c>
    </row>
    <row r="450">
      <c r="A450" s="30"/>
      <c r="B450" s="30" t="str">
        <f t="array" ref="B450">IF($A450="", "", LET(bbgm_stat, INDEX(Players!$A449:$P449, MATCH(B$2, Players!$A$1:$P$1, 0)), perc_75, VLOOKUP(B$2, Percentiles!$A$45:$I$59, 6, FALSE), perc_90, VLOOKUP(B$2, Percentiles!$A$45:$I$59, 7, FALSE), perc_95, VLOOKUP(B$2, Percentiles!$A$45:$I$59, 8, FALSE), perc_85, perc_75 + (perc_90 - perc_75) * (2/3), converted_stat, '2K_Ratings'!B450, IF(bbgm_stat &gt;= perc_95, converted_stat * 3, IF(bbgm_stat &gt;= perc_90, converted_stat * 2, IF(bbgm_stat &gt;= perc_85, converted_stat * 1.5, converted_stat)))))</f>
        <v/>
      </c>
      <c r="C450" s="30" t="str">
        <f t="array" ref="C450">IF($A450="", "", LET(bbgm_stat, INDEX(Players!$A449:$P449, MATCH(C$2, Players!$A$1:$P$1, 0)), perc_75, VLOOKUP(C$2, Percentiles!$A$45:$I$59, 6, FALSE), perc_90, VLOOKUP(C$2, Percentiles!$A$45:$I$59, 7, FALSE), perc_95, VLOOKUP(C$2, Percentiles!$A$45:$I$59, 8, FALSE), perc_85, perc_75 + (perc_90 - perc_75) * (2/3), converted_stat, '2K_Ratings'!C450, IF(bbgm_stat &gt;= perc_95, converted_stat * 3, IF(bbgm_stat &gt;= perc_90, converted_stat * 2, IF(bbgm_stat &gt;= perc_85, converted_stat * 1.5, converted_stat)))))</f>
        <v/>
      </c>
      <c r="D450" s="30" t="str">
        <f t="array" ref="D450">IF($A450="", "", LET(bbgm_stat, INDEX(Players!$A449:$P449, MATCH(D$2, Players!$A$1:$P$1, 0)), perc_75, VLOOKUP(D$2, Percentiles!$A$45:$I$59, 6, FALSE), perc_90, VLOOKUP(D$2, Percentiles!$A$45:$I$59, 7, FALSE), perc_95, VLOOKUP(D$2, Percentiles!$A$45:$I$59, 8, FALSE), perc_85, perc_75 + (perc_90 - perc_75) * (2/3), converted_stat, '2K_Ratings'!D450, IF(bbgm_stat &gt;= perc_95, converted_stat * 3, IF(bbgm_stat &gt;= perc_90, converted_stat * 2, IF(bbgm_stat &gt;= perc_85, converted_stat * 1.5, converted_stat)))))</f>
        <v/>
      </c>
      <c r="E450" s="30" t="str">
        <f t="array" ref="E450">IF($A450="", "", LET(bbgm_stat, INDEX(Players!$A449:$P449, MATCH(E$2, Players!$A$1:$P$1, 0)), perc_75, VLOOKUP(E$2, Percentiles!$A$45:$I$59, 6, FALSE), perc_90, VLOOKUP(E$2, Percentiles!$A$45:$I$59, 7, FALSE), perc_95, VLOOKUP(E$2, Percentiles!$A$45:$I$59, 8, FALSE), perc_85, perc_75 + (perc_90 - perc_75) * (2/3), converted_stat, '2K_Ratings'!E450, IF(bbgm_stat &gt;= perc_95, converted_stat * 3, IF(bbgm_stat &gt;= perc_90, converted_stat * 2, IF(bbgm_stat &gt;= perc_85, converted_stat * 1.5, converted_stat)))))</f>
        <v/>
      </c>
      <c r="F450" s="30" t="str">
        <f t="array" ref="F450">IF($A450="", "", LET(bbgm_stat, INDEX(Players!$A449:$P449, MATCH(F$2, Players!$A$1:$P$1, 0)), perc_75, VLOOKUP(F$2, Percentiles!$A$45:$I$59, 6, FALSE), perc_90, VLOOKUP(F$2, Percentiles!$A$45:$I$59, 7, FALSE), perc_95, VLOOKUP(F$2, Percentiles!$A$45:$I$59, 8, FALSE), perc_85, perc_75 + (perc_90 - perc_75) * (2/3), converted_stat, '2K_Ratings'!F450, IF(bbgm_stat &gt;= perc_95, converted_stat * 3, IF(bbgm_stat &gt;= perc_90, converted_stat * 2, IF(bbgm_stat &gt;= perc_85, converted_stat * 1.5, converted_stat)))))</f>
        <v/>
      </c>
      <c r="G450" s="30" t="str">
        <f t="array" ref="G450">IF($A450="", "", LET(bbgm_stat, INDEX(Players!$A449:$P449, MATCH(G$2, Players!$A$1:$P$1, 0)), perc_75, VLOOKUP(G$2, Percentiles!$A$45:$I$59, 6, FALSE), perc_90, VLOOKUP(G$2, Percentiles!$A$45:$I$59, 7, FALSE), perc_95, VLOOKUP(G$2, Percentiles!$A$45:$I$59, 8, FALSE), perc_85, perc_75 + (perc_90 - perc_75) * (2/3), converted_stat, '2K_Ratings'!G450, IF(bbgm_stat &gt;= perc_95, converted_stat * 3, IF(bbgm_stat &gt;= perc_90, converted_stat * 2, IF(bbgm_stat &gt;= perc_85, converted_stat * 1.5, converted_stat)))))</f>
        <v/>
      </c>
      <c r="H450" s="30" t="str">
        <f t="array" ref="H450">IF($A450="", "", LET(bbgm_stat, INDEX(Players!$A449:$P449, MATCH(H$2, Players!$A$1:$P$1, 0)), perc_75, VLOOKUP(H$2, Percentiles!$A$45:$I$59, 6, FALSE), perc_90, VLOOKUP(H$2, Percentiles!$A$45:$I$59, 7, FALSE), perc_95, VLOOKUP(H$2, Percentiles!$A$45:$I$59, 8, FALSE), perc_85, perc_75 + (perc_90 - perc_75) * (2/3), converted_stat, '2K_Ratings'!H450, IF(bbgm_stat &gt;= perc_95, converted_stat * 3, IF(bbgm_stat &gt;= perc_90, converted_stat * 2, IF(bbgm_stat &gt;= perc_85, converted_stat * 1.5, converted_stat)))))</f>
        <v/>
      </c>
      <c r="I450" s="30" t="str">
        <f t="array" ref="I450">IF($A450="", "", LET(bbgm_stat, INDEX(Players!$A449:$P449, MATCH(I$2, Players!$A$1:$P$1, 0)), perc_75, VLOOKUP(I$2, Percentiles!$A$45:$I$59, 6, FALSE), perc_90, VLOOKUP(I$2, Percentiles!$A$45:$I$59, 7, FALSE), perc_95, VLOOKUP(I$2, Percentiles!$A$45:$I$59, 8, FALSE), perc_85, perc_75 + (perc_90 - perc_75) * (2/3), converted_stat, '2K_Ratings'!I450, IF(bbgm_stat &gt;= perc_95, converted_stat * 3, IF(bbgm_stat &gt;= perc_90, converted_stat * 2, IF(bbgm_stat &gt;= perc_85, converted_stat * 1.5, converted_stat)))))</f>
        <v/>
      </c>
      <c r="J450" s="30" t="str">
        <f t="array" ref="J450">IF($A450="", "", LET(bbgm_stat, INDEX(Players!$A449:$P449, MATCH(J$2, Players!$A$1:$P$1, 0)), perc_75, VLOOKUP(J$2, Percentiles!$A$45:$I$59, 6, FALSE), perc_90, VLOOKUP(J$2, Percentiles!$A$45:$I$59, 7, FALSE), perc_95, VLOOKUP(J$2, Percentiles!$A$45:$I$59, 8, FALSE), perc_85, perc_75 + (perc_90 - perc_75) * (2/3), converted_stat, '2K_Ratings'!J450, IF(bbgm_stat &gt;= perc_95, converted_stat * 3, IF(bbgm_stat &gt;= perc_90, converted_stat * 2, IF(bbgm_stat &gt;= perc_85, converted_stat * 1.5, converted_stat)))))</f>
        <v/>
      </c>
      <c r="K450" s="30" t="str">
        <f t="array" ref="K450">IF($A450="", "", LET(bbgm_stat, INDEX(Players!$A449:$P449, MATCH(K$2, Players!$A$1:$P$1, 0)), perc_75, VLOOKUP(K$2, Percentiles!$A$45:$I$59, 6, FALSE), perc_90, VLOOKUP(K$2, Percentiles!$A$45:$I$59, 7, FALSE), perc_95, VLOOKUP(K$2, Percentiles!$A$45:$I$59, 8, FALSE), perc_85, perc_75 + (perc_90 - perc_75) * (2/3), converted_stat, '2K_Ratings'!K450, IF(bbgm_stat &gt;= perc_95, converted_stat * 3, IF(bbgm_stat &gt;= perc_90, converted_stat * 2, IF(bbgm_stat &gt;= perc_85, converted_stat * 1.5, converted_stat)))))</f>
        <v/>
      </c>
      <c r="L450" s="30" t="str">
        <f t="array" ref="L450">IF($A450="", "", LET(bbgm_stat, INDEX(Players!$A449:$P449, MATCH(L$2, Players!$A$1:$P$1, 0)), perc_75, VLOOKUP(L$2, Percentiles!$A$45:$I$59, 6, FALSE), perc_90, VLOOKUP(L$2, Percentiles!$A$45:$I$59, 7, FALSE), perc_95, VLOOKUP(L$2, Percentiles!$A$45:$I$59, 8, FALSE), perc_85, perc_75 + (perc_90 - perc_75) * (2/3), converted_stat, '2K_Ratings'!L450, IF(bbgm_stat &gt;= perc_95, converted_stat * 3, IF(bbgm_stat &gt;= perc_90, converted_stat * 2, IF(bbgm_stat &gt;= perc_85, converted_stat * 1.5, converted_stat)))))</f>
        <v/>
      </c>
      <c r="M450" s="30" t="str">
        <f t="array" ref="M450">IF($A450="", "", LET(bbgm_stat, INDEX(Players!$A449:$P449, MATCH(M$2, Players!$A$1:$P$1, 0)), perc_75, VLOOKUP(M$2, Percentiles!$A$45:$I$59, 6, FALSE), perc_90, VLOOKUP(M$2, Percentiles!$A$45:$I$59, 7, FALSE), perc_95, VLOOKUP(M$2, Percentiles!$A$45:$I$59, 8, FALSE), perc_85, perc_75 + (perc_90 - perc_75) * (2/3), converted_stat, '2K_Ratings'!M450, IF(bbgm_stat &gt;= perc_95, converted_stat * 3, IF(bbgm_stat &gt;= perc_90, converted_stat * 2, IF(bbgm_stat &gt;= perc_85, converted_stat * 1.5, converted_stat)))))</f>
        <v/>
      </c>
      <c r="N450" s="30" t="str">
        <f t="array" ref="N450">IF($A450="", "", LET(bbgm_stat, INDEX(Players!$A449:$P449, MATCH(N$2, Players!$A$1:$P$1, 0)), perc_75, VLOOKUP(N$2, Percentiles!$A$45:$I$59, 6, FALSE), perc_90, VLOOKUP(N$2, Percentiles!$A$45:$I$59, 7, FALSE), perc_95, VLOOKUP(N$2, Percentiles!$A$45:$I$59, 8, FALSE), perc_85, perc_75 + (perc_90 - perc_75) * (2/3), converted_stat, '2K_Ratings'!N450, IF(bbgm_stat &gt;= perc_95, converted_stat * 3, IF(bbgm_stat &gt;= perc_90, converted_stat * 2, IF(bbgm_stat &gt;= perc_85, converted_stat * 1.5, converted_stat)))))</f>
        <v/>
      </c>
      <c r="O450" s="30" t="str">
        <f t="array" ref="O450">IF($A450="", "", LET(bbgm_stat, INDEX(Players!$A449:$P449, MATCH(O$2, Players!$A$1:$P$1, 0)), perc_75, VLOOKUP(O$2, Percentiles!$A$45:$I$59, 6, FALSE), perc_90, VLOOKUP(O$2, Percentiles!$A$45:$I$59, 7, FALSE), perc_95, VLOOKUP(O$2, Percentiles!$A$45:$I$59, 8, FALSE), perc_85, perc_75 + (perc_90 - perc_75) * (2/3), converted_stat, '2K_Ratings'!O450, IF(bbgm_stat &gt;= perc_95, converted_stat * 3, IF(bbgm_stat &gt;= perc_90, converted_stat * 2, IF(bbgm_stat &gt;= perc_85, converted_stat * 1.5, converted_stat)))))</f>
        <v/>
      </c>
      <c r="P450" s="30" t="str">
        <f t="array" ref="P450">IF($A450="", "", LET(bbgm_stat, INDEX(Players!$A449:$P449, MATCH(P$2, Players!$A$1:$P$1, 0)), perc_75, VLOOKUP(P$2, Percentiles!$A$45:$I$59, 6, FALSE), perc_90, VLOOKUP(P$2, Percentiles!$A$45:$I$59, 7, FALSE), perc_95, VLOOKUP(P$2, Percentiles!$A$45:$I$59, 8, FALSE), perc_85, perc_75 + (perc_90 - perc_75) * (2/3), converted_stat, '2K_Ratings'!P450, IF(bbgm_stat &gt;= perc_95, converted_stat * 3, IF(bbgm_stat &gt;= perc_90, converted_stat * 2, IF(bbgm_stat &gt;= perc_85, converted_stat * 1.5, converted_stat)))))</f>
        <v/>
      </c>
      <c r="Q450" s="30" t="str">
        <f t="array" ref="Q450">IF($A450="", "", LET(bbgm_stat, INDEX(Players!$A449:$P449, MATCH(Q$2, Players!$A$1:$P$1, 0)), perc_75, VLOOKUP(Q$2, Percentiles!$A$45:$I$59, 6, FALSE), perc_90, VLOOKUP(Q$2, Percentiles!$A$45:$I$59, 7, FALSE), perc_95, VLOOKUP(Q$2, Percentiles!$A$45:$I$59, 8, FALSE), perc_85, perc_75 + (perc_90 - perc_75) * (2/3), converted_stat, '2K_Ratings'!Q450, IF(bbgm_stat &gt;= perc_95, converted_stat * 3, IF(bbgm_stat &gt;= perc_90, converted_stat * 2, IF(bbgm_stat &gt;= perc_85, converted_stat * 1.5, converted_stat)))))</f>
        <v/>
      </c>
      <c r="R450" s="30" t="str">
        <f t="array" ref="R450">IF($A450="", "", LET(bbgm_stat, INDEX(Players!$A449:$P449, MATCH(R$2, Players!$A$1:$P$1, 0)), perc_75, VLOOKUP(R$2, Percentiles!$A$45:$I$59, 6, FALSE), perc_90, VLOOKUP(R$2, Percentiles!$A$45:$I$59, 7, FALSE), perc_95, VLOOKUP(R$2, Percentiles!$A$45:$I$59, 8, FALSE), perc_85, perc_75 + (perc_90 - perc_75) * (2/3), converted_stat, '2K_Ratings'!R450, IF(bbgm_stat &gt;= perc_95, converted_stat * 3, IF(bbgm_stat &gt;= perc_90, converted_stat * 2, IF(bbgm_stat &gt;= perc_85, converted_stat * 1.5, converted_stat)))))</f>
        <v/>
      </c>
      <c r="S450" s="30" t="str">
        <f t="array" ref="S450">IF($A450="", "", LET(bbgm_stat, INDEX(Players!$A449:$P449, MATCH(S$2, Players!$A$1:$P$1, 0)), perc_75, VLOOKUP(S$2, Percentiles!$A$45:$I$59, 6, FALSE), perc_90, VLOOKUP(S$2, Percentiles!$A$45:$I$59, 7, FALSE), perc_95, VLOOKUP(S$2, Percentiles!$A$45:$I$59, 8, FALSE), perc_85, perc_75 + (perc_90 - perc_75) * (2/3), converted_stat, '2K_Ratings'!S450, IF(bbgm_stat &gt;= perc_95, converted_stat * 3, IF(bbgm_stat &gt;= perc_90, converted_stat * 2, IF(bbgm_stat &gt;= perc_85, converted_stat * 1.5, converted_stat)))))</f>
        <v/>
      </c>
      <c r="T450" s="30" t="str">
        <f t="array" ref="T450">IF($A450="", "", LET(bbgm_stat, INDEX(Players!$A449:$P449, MATCH(T$2, Players!$A$1:$P$1, 0)), perc_75, VLOOKUP(T$2, Percentiles!$A$45:$I$59, 6, FALSE), perc_90, VLOOKUP(T$2, Percentiles!$A$45:$I$59, 7, FALSE), perc_95, VLOOKUP(T$2, Percentiles!$A$45:$I$59, 8, FALSE), perc_85, perc_75 + (perc_90 - perc_75) * (2/3), converted_stat, '2K_Ratings'!T450, IF(bbgm_stat &gt;= perc_95, converted_stat * 3, IF(bbgm_stat &gt;= perc_90, converted_stat * 2, IF(bbgm_stat &gt;= perc_85, converted_stat * 1.5, converted_stat)))))</f>
        <v/>
      </c>
      <c r="U450" s="30" t="str">
        <f t="array" ref="U450">IF($A450="", "", LET(bbgm_stat, INDEX(Players!$A449:$P449, MATCH(U$2, Players!$A$1:$P$1, 0)), perc_75, VLOOKUP(U$2, Percentiles!$A$45:$I$59, 6, FALSE), perc_90, VLOOKUP(U$2, Percentiles!$A$45:$I$59, 7, FALSE), perc_95, VLOOKUP(U$2, Percentiles!$A$45:$I$59, 8, FALSE), perc_85, perc_75 + (perc_90 - perc_75) * (2/3), converted_stat, '2K_Ratings'!U450, IF(bbgm_stat &gt;= perc_95, converted_stat * 3, IF(bbgm_stat &gt;= perc_90, converted_stat * 2, IF(bbgm_stat &gt;= perc_85, converted_stat * 1.5, converted_stat)))))</f>
        <v/>
      </c>
      <c r="V450" s="30" t="str">
        <f t="array" ref="V450">IF($A450="", "", LET(bbgm_stat, INDEX(Players!$A449:$P449, MATCH(V$2, Players!$A$1:$P$1, 0)), perc_75, VLOOKUP(V$2, Percentiles!$A$45:$I$59, 6, FALSE), perc_90, VLOOKUP(V$2, Percentiles!$A$45:$I$59, 7, FALSE), perc_95, VLOOKUP(V$2, Percentiles!$A$45:$I$59, 8, FALSE), perc_85, perc_75 + (perc_90 - perc_75) * (2/3), converted_stat, '2K_Ratings'!V450, IF(bbgm_stat &gt;= perc_95, converted_stat * 3, IF(bbgm_stat &gt;= perc_90, converted_stat * 2, IF(bbgm_stat &gt;= perc_85, converted_stat * 1.5, converted_stat)))))</f>
        <v/>
      </c>
      <c r="W450" s="30" t="str">
        <f t="array" ref="W450">IF($A450="", "", LET(bbgm_stat, INDEX(Players!$A449:$P449, MATCH(W$2, Players!$A$1:$P$1, 0)), perc_75, VLOOKUP(W$2, Percentiles!$A$45:$I$59, 6, FALSE), perc_90, VLOOKUP(W$2, Percentiles!$A$45:$I$59, 7, FALSE), perc_95, VLOOKUP(W$2, Percentiles!$A$45:$I$59, 8, FALSE), perc_85, perc_75 + (perc_90 - perc_75) * (2/3), converted_stat, '2K_Ratings'!W450, IF(bbgm_stat &gt;= perc_95, converted_stat * 3, IF(bbgm_stat &gt;= perc_90, converted_stat * 2, IF(bbgm_stat &gt;= perc_85, converted_stat * 1.5, converted_stat)))))</f>
        <v/>
      </c>
    </row>
    <row r="451">
      <c r="A451" s="30"/>
      <c r="B451" s="30" t="str">
        <f t="array" ref="B451">IF($A451="", "", LET(bbgm_stat, INDEX(Players!$A450:$P450, MATCH(B$2, Players!$A$1:$P$1, 0)), perc_75, VLOOKUP(B$2, Percentiles!$A$45:$I$59, 6, FALSE), perc_90, VLOOKUP(B$2, Percentiles!$A$45:$I$59, 7, FALSE), perc_95, VLOOKUP(B$2, Percentiles!$A$45:$I$59, 8, FALSE), perc_85, perc_75 + (perc_90 - perc_75) * (2/3), converted_stat, '2K_Ratings'!B451, IF(bbgm_stat &gt;= perc_95, converted_stat * 3, IF(bbgm_stat &gt;= perc_90, converted_stat * 2, IF(bbgm_stat &gt;= perc_85, converted_stat * 1.5, converted_stat)))))</f>
        <v/>
      </c>
      <c r="C451" s="30" t="str">
        <f t="array" ref="C451">IF($A451="", "", LET(bbgm_stat, INDEX(Players!$A450:$P450, MATCH(C$2, Players!$A$1:$P$1, 0)), perc_75, VLOOKUP(C$2, Percentiles!$A$45:$I$59, 6, FALSE), perc_90, VLOOKUP(C$2, Percentiles!$A$45:$I$59, 7, FALSE), perc_95, VLOOKUP(C$2, Percentiles!$A$45:$I$59, 8, FALSE), perc_85, perc_75 + (perc_90 - perc_75) * (2/3), converted_stat, '2K_Ratings'!C451, IF(bbgm_stat &gt;= perc_95, converted_stat * 3, IF(bbgm_stat &gt;= perc_90, converted_stat * 2, IF(bbgm_stat &gt;= perc_85, converted_stat * 1.5, converted_stat)))))</f>
        <v/>
      </c>
      <c r="D451" s="30" t="str">
        <f t="array" ref="D451">IF($A451="", "", LET(bbgm_stat, INDEX(Players!$A450:$P450, MATCH(D$2, Players!$A$1:$P$1, 0)), perc_75, VLOOKUP(D$2, Percentiles!$A$45:$I$59, 6, FALSE), perc_90, VLOOKUP(D$2, Percentiles!$A$45:$I$59, 7, FALSE), perc_95, VLOOKUP(D$2, Percentiles!$A$45:$I$59, 8, FALSE), perc_85, perc_75 + (perc_90 - perc_75) * (2/3), converted_stat, '2K_Ratings'!D451, IF(bbgm_stat &gt;= perc_95, converted_stat * 3, IF(bbgm_stat &gt;= perc_90, converted_stat * 2, IF(bbgm_stat &gt;= perc_85, converted_stat * 1.5, converted_stat)))))</f>
        <v/>
      </c>
      <c r="E451" s="30" t="str">
        <f t="array" ref="E451">IF($A451="", "", LET(bbgm_stat, INDEX(Players!$A450:$P450, MATCH(E$2, Players!$A$1:$P$1, 0)), perc_75, VLOOKUP(E$2, Percentiles!$A$45:$I$59, 6, FALSE), perc_90, VLOOKUP(E$2, Percentiles!$A$45:$I$59, 7, FALSE), perc_95, VLOOKUP(E$2, Percentiles!$A$45:$I$59, 8, FALSE), perc_85, perc_75 + (perc_90 - perc_75) * (2/3), converted_stat, '2K_Ratings'!E451, IF(bbgm_stat &gt;= perc_95, converted_stat * 3, IF(bbgm_stat &gt;= perc_90, converted_stat * 2, IF(bbgm_stat &gt;= perc_85, converted_stat * 1.5, converted_stat)))))</f>
        <v/>
      </c>
      <c r="F451" s="30" t="str">
        <f t="array" ref="F451">IF($A451="", "", LET(bbgm_stat, INDEX(Players!$A450:$P450, MATCH(F$2, Players!$A$1:$P$1, 0)), perc_75, VLOOKUP(F$2, Percentiles!$A$45:$I$59, 6, FALSE), perc_90, VLOOKUP(F$2, Percentiles!$A$45:$I$59, 7, FALSE), perc_95, VLOOKUP(F$2, Percentiles!$A$45:$I$59, 8, FALSE), perc_85, perc_75 + (perc_90 - perc_75) * (2/3), converted_stat, '2K_Ratings'!F451, IF(bbgm_stat &gt;= perc_95, converted_stat * 3, IF(bbgm_stat &gt;= perc_90, converted_stat * 2, IF(bbgm_stat &gt;= perc_85, converted_stat * 1.5, converted_stat)))))</f>
        <v/>
      </c>
      <c r="G451" s="30" t="str">
        <f t="array" ref="G451">IF($A451="", "", LET(bbgm_stat, INDEX(Players!$A450:$P450, MATCH(G$2, Players!$A$1:$P$1, 0)), perc_75, VLOOKUP(G$2, Percentiles!$A$45:$I$59, 6, FALSE), perc_90, VLOOKUP(G$2, Percentiles!$A$45:$I$59, 7, FALSE), perc_95, VLOOKUP(G$2, Percentiles!$A$45:$I$59, 8, FALSE), perc_85, perc_75 + (perc_90 - perc_75) * (2/3), converted_stat, '2K_Ratings'!G451, IF(bbgm_stat &gt;= perc_95, converted_stat * 3, IF(bbgm_stat &gt;= perc_90, converted_stat * 2, IF(bbgm_stat &gt;= perc_85, converted_stat * 1.5, converted_stat)))))</f>
        <v/>
      </c>
      <c r="H451" s="30" t="str">
        <f t="array" ref="H451">IF($A451="", "", LET(bbgm_stat, INDEX(Players!$A450:$P450, MATCH(H$2, Players!$A$1:$P$1, 0)), perc_75, VLOOKUP(H$2, Percentiles!$A$45:$I$59, 6, FALSE), perc_90, VLOOKUP(H$2, Percentiles!$A$45:$I$59, 7, FALSE), perc_95, VLOOKUP(H$2, Percentiles!$A$45:$I$59, 8, FALSE), perc_85, perc_75 + (perc_90 - perc_75) * (2/3), converted_stat, '2K_Ratings'!H451, IF(bbgm_stat &gt;= perc_95, converted_stat * 3, IF(bbgm_stat &gt;= perc_90, converted_stat * 2, IF(bbgm_stat &gt;= perc_85, converted_stat * 1.5, converted_stat)))))</f>
        <v/>
      </c>
      <c r="I451" s="30" t="str">
        <f t="array" ref="I451">IF($A451="", "", LET(bbgm_stat, INDEX(Players!$A450:$P450, MATCH(I$2, Players!$A$1:$P$1, 0)), perc_75, VLOOKUP(I$2, Percentiles!$A$45:$I$59, 6, FALSE), perc_90, VLOOKUP(I$2, Percentiles!$A$45:$I$59, 7, FALSE), perc_95, VLOOKUP(I$2, Percentiles!$A$45:$I$59, 8, FALSE), perc_85, perc_75 + (perc_90 - perc_75) * (2/3), converted_stat, '2K_Ratings'!I451, IF(bbgm_stat &gt;= perc_95, converted_stat * 3, IF(bbgm_stat &gt;= perc_90, converted_stat * 2, IF(bbgm_stat &gt;= perc_85, converted_stat * 1.5, converted_stat)))))</f>
        <v/>
      </c>
      <c r="J451" s="30" t="str">
        <f t="array" ref="J451">IF($A451="", "", LET(bbgm_stat, INDEX(Players!$A450:$P450, MATCH(J$2, Players!$A$1:$P$1, 0)), perc_75, VLOOKUP(J$2, Percentiles!$A$45:$I$59, 6, FALSE), perc_90, VLOOKUP(J$2, Percentiles!$A$45:$I$59, 7, FALSE), perc_95, VLOOKUP(J$2, Percentiles!$A$45:$I$59, 8, FALSE), perc_85, perc_75 + (perc_90 - perc_75) * (2/3), converted_stat, '2K_Ratings'!J451, IF(bbgm_stat &gt;= perc_95, converted_stat * 3, IF(bbgm_stat &gt;= perc_90, converted_stat * 2, IF(bbgm_stat &gt;= perc_85, converted_stat * 1.5, converted_stat)))))</f>
        <v/>
      </c>
      <c r="K451" s="30" t="str">
        <f t="array" ref="K451">IF($A451="", "", LET(bbgm_stat, INDEX(Players!$A450:$P450, MATCH(K$2, Players!$A$1:$P$1, 0)), perc_75, VLOOKUP(K$2, Percentiles!$A$45:$I$59, 6, FALSE), perc_90, VLOOKUP(K$2, Percentiles!$A$45:$I$59, 7, FALSE), perc_95, VLOOKUP(K$2, Percentiles!$A$45:$I$59, 8, FALSE), perc_85, perc_75 + (perc_90 - perc_75) * (2/3), converted_stat, '2K_Ratings'!K451, IF(bbgm_stat &gt;= perc_95, converted_stat * 3, IF(bbgm_stat &gt;= perc_90, converted_stat * 2, IF(bbgm_stat &gt;= perc_85, converted_stat * 1.5, converted_stat)))))</f>
        <v/>
      </c>
      <c r="L451" s="30" t="str">
        <f t="array" ref="L451">IF($A451="", "", LET(bbgm_stat, INDEX(Players!$A450:$P450, MATCH(L$2, Players!$A$1:$P$1, 0)), perc_75, VLOOKUP(L$2, Percentiles!$A$45:$I$59, 6, FALSE), perc_90, VLOOKUP(L$2, Percentiles!$A$45:$I$59, 7, FALSE), perc_95, VLOOKUP(L$2, Percentiles!$A$45:$I$59, 8, FALSE), perc_85, perc_75 + (perc_90 - perc_75) * (2/3), converted_stat, '2K_Ratings'!L451, IF(bbgm_stat &gt;= perc_95, converted_stat * 3, IF(bbgm_stat &gt;= perc_90, converted_stat * 2, IF(bbgm_stat &gt;= perc_85, converted_stat * 1.5, converted_stat)))))</f>
        <v/>
      </c>
      <c r="M451" s="30" t="str">
        <f t="array" ref="M451">IF($A451="", "", LET(bbgm_stat, INDEX(Players!$A450:$P450, MATCH(M$2, Players!$A$1:$P$1, 0)), perc_75, VLOOKUP(M$2, Percentiles!$A$45:$I$59, 6, FALSE), perc_90, VLOOKUP(M$2, Percentiles!$A$45:$I$59, 7, FALSE), perc_95, VLOOKUP(M$2, Percentiles!$A$45:$I$59, 8, FALSE), perc_85, perc_75 + (perc_90 - perc_75) * (2/3), converted_stat, '2K_Ratings'!M451, IF(bbgm_stat &gt;= perc_95, converted_stat * 3, IF(bbgm_stat &gt;= perc_90, converted_stat * 2, IF(bbgm_stat &gt;= perc_85, converted_stat * 1.5, converted_stat)))))</f>
        <v/>
      </c>
      <c r="N451" s="30" t="str">
        <f t="array" ref="N451">IF($A451="", "", LET(bbgm_stat, INDEX(Players!$A450:$P450, MATCH(N$2, Players!$A$1:$P$1, 0)), perc_75, VLOOKUP(N$2, Percentiles!$A$45:$I$59, 6, FALSE), perc_90, VLOOKUP(N$2, Percentiles!$A$45:$I$59, 7, FALSE), perc_95, VLOOKUP(N$2, Percentiles!$A$45:$I$59, 8, FALSE), perc_85, perc_75 + (perc_90 - perc_75) * (2/3), converted_stat, '2K_Ratings'!N451, IF(bbgm_stat &gt;= perc_95, converted_stat * 3, IF(bbgm_stat &gt;= perc_90, converted_stat * 2, IF(bbgm_stat &gt;= perc_85, converted_stat * 1.5, converted_stat)))))</f>
        <v/>
      </c>
      <c r="O451" s="30" t="str">
        <f t="array" ref="O451">IF($A451="", "", LET(bbgm_stat, INDEX(Players!$A450:$P450, MATCH(O$2, Players!$A$1:$P$1, 0)), perc_75, VLOOKUP(O$2, Percentiles!$A$45:$I$59, 6, FALSE), perc_90, VLOOKUP(O$2, Percentiles!$A$45:$I$59, 7, FALSE), perc_95, VLOOKUP(O$2, Percentiles!$A$45:$I$59, 8, FALSE), perc_85, perc_75 + (perc_90 - perc_75) * (2/3), converted_stat, '2K_Ratings'!O451, IF(bbgm_stat &gt;= perc_95, converted_stat * 3, IF(bbgm_stat &gt;= perc_90, converted_stat * 2, IF(bbgm_stat &gt;= perc_85, converted_stat * 1.5, converted_stat)))))</f>
        <v/>
      </c>
      <c r="P451" s="30" t="str">
        <f t="array" ref="P451">IF($A451="", "", LET(bbgm_stat, INDEX(Players!$A450:$P450, MATCH(P$2, Players!$A$1:$P$1, 0)), perc_75, VLOOKUP(P$2, Percentiles!$A$45:$I$59, 6, FALSE), perc_90, VLOOKUP(P$2, Percentiles!$A$45:$I$59, 7, FALSE), perc_95, VLOOKUP(P$2, Percentiles!$A$45:$I$59, 8, FALSE), perc_85, perc_75 + (perc_90 - perc_75) * (2/3), converted_stat, '2K_Ratings'!P451, IF(bbgm_stat &gt;= perc_95, converted_stat * 3, IF(bbgm_stat &gt;= perc_90, converted_stat * 2, IF(bbgm_stat &gt;= perc_85, converted_stat * 1.5, converted_stat)))))</f>
        <v/>
      </c>
      <c r="Q451" s="30" t="str">
        <f t="array" ref="Q451">IF($A451="", "", LET(bbgm_stat, INDEX(Players!$A450:$P450, MATCH(Q$2, Players!$A$1:$P$1, 0)), perc_75, VLOOKUP(Q$2, Percentiles!$A$45:$I$59, 6, FALSE), perc_90, VLOOKUP(Q$2, Percentiles!$A$45:$I$59, 7, FALSE), perc_95, VLOOKUP(Q$2, Percentiles!$A$45:$I$59, 8, FALSE), perc_85, perc_75 + (perc_90 - perc_75) * (2/3), converted_stat, '2K_Ratings'!Q451, IF(bbgm_stat &gt;= perc_95, converted_stat * 3, IF(bbgm_stat &gt;= perc_90, converted_stat * 2, IF(bbgm_stat &gt;= perc_85, converted_stat * 1.5, converted_stat)))))</f>
        <v/>
      </c>
      <c r="R451" s="30" t="str">
        <f t="array" ref="R451">IF($A451="", "", LET(bbgm_stat, INDEX(Players!$A450:$P450, MATCH(R$2, Players!$A$1:$P$1, 0)), perc_75, VLOOKUP(R$2, Percentiles!$A$45:$I$59, 6, FALSE), perc_90, VLOOKUP(R$2, Percentiles!$A$45:$I$59, 7, FALSE), perc_95, VLOOKUP(R$2, Percentiles!$A$45:$I$59, 8, FALSE), perc_85, perc_75 + (perc_90 - perc_75) * (2/3), converted_stat, '2K_Ratings'!R451, IF(bbgm_stat &gt;= perc_95, converted_stat * 3, IF(bbgm_stat &gt;= perc_90, converted_stat * 2, IF(bbgm_stat &gt;= perc_85, converted_stat * 1.5, converted_stat)))))</f>
        <v/>
      </c>
      <c r="S451" s="30" t="str">
        <f t="array" ref="S451">IF($A451="", "", LET(bbgm_stat, INDEX(Players!$A450:$P450, MATCH(S$2, Players!$A$1:$P$1, 0)), perc_75, VLOOKUP(S$2, Percentiles!$A$45:$I$59, 6, FALSE), perc_90, VLOOKUP(S$2, Percentiles!$A$45:$I$59, 7, FALSE), perc_95, VLOOKUP(S$2, Percentiles!$A$45:$I$59, 8, FALSE), perc_85, perc_75 + (perc_90 - perc_75) * (2/3), converted_stat, '2K_Ratings'!S451, IF(bbgm_stat &gt;= perc_95, converted_stat * 3, IF(bbgm_stat &gt;= perc_90, converted_stat * 2, IF(bbgm_stat &gt;= perc_85, converted_stat * 1.5, converted_stat)))))</f>
        <v/>
      </c>
      <c r="T451" s="30" t="str">
        <f t="array" ref="T451">IF($A451="", "", LET(bbgm_stat, INDEX(Players!$A450:$P450, MATCH(T$2, Players!$A$1:$P$1, 0)), perc_75, VLOOKUP(T$2, Percentiles!$A$45:$I$59, 6, FALSE), perc_90, VLOOKUP(T$2, Percentiles!$A$45:$I$59, 7, FALSE), perc_95, VLOOKUP(T$2, Percentiles!$A$45:$I$59, 8, FALSE), perc_85, perc_75 + (perc_90 - perc_75) * (2/3), converted_stat, '2K_Ratings'!T451, IF(bbgm_stat &gt;= perc_95, converted_stat * 3, IF(bbgm_stat &gt;= perc_90, converted_stat * 2, IF(bbgm_stat &gt;= perc_85, converted_stat * 1.5, converted_stat)))))</f>
        <v/>
      </c>
      <c r="U451" s="30" t="str">
        <f t="array" ref="U451">IF($A451="", "", LET(bbgm_stat, INDEX(Players!$A450:$P450, MATCH(U$2, Players!$A$1:$P$1, 0)), perc_75, VLOOKUP(U$2, Percentiles!$A$45:$I$59, 6, FALSE), perc_90, VLOOKUP(U$2, Percentiles!$A$45:$I$59, 7, FALSE), perc_95, VLOOKUP(U$2, Percentiles!$A$45:$I$59, 8, FALSE), perc_85, perc_75 + (perc_90 - perc_75) * (2/3), converted_stat, '2K_Ratings'!U451, IF(bbgm_stat &gt;= perc_95, converted_stat * 3, IF(bbgm_stat &gt;= perc_90, converted_stat * 2, IF(bbgm_stat &gt;= perc_85, converted_stat * 1.5, converted_stat)))))</f>
        <v/>
      </c>
      <c r="V451" s="30" t="str">
        <f t="array" ref="V451">IF($A451="", "", LET(bbgm_stat, INDEX(Players!$A450:$P450, MATCH(V$2, Players!$A$1:$P$1, 0)), perc_75, VLOOKUP(V$2, Percentiles!$A$45:$I$59, 6, FALSE), perc_90, VLOOKUP(V$2, Percentiles!$A$45:$I$59, 7, FALSE), perc_95, VLOOKUP(V$2, Percentiles!$A$45:$I$59, 8, FALSE), perc_85, perc_75 + (perc_90 - perc_75) * (2/3), converted_stat, '2K_Ratings'!V451, IF(bbgm_stat &gt;= perc_95, converted_stat * 3, IF(bbgm_stat &gt;= perc_90, converted_stat * 2, IF(bbgm_stat &gt;= perc_85, converted_stat * 1.5, converted_stat)))))</f>
        <v/>
      </c>
      <c r="W451" s="30" t="str">
        <f t="array" ref="W451">IF($A451="", "", LET(bbgm_stat, INDEX(Players!$A450:$P450, MATCH(W$2, Players!$A$1:$P$1, 0)), perc_75, VLOOKUP(W$2, Percentiles!$A$45:$I$59, 6, FALSE), perc_90, VLOOKUP(W$2, Percentiles!$A$45:$I$59, 7, FALSE), perc_95, VLOOKUP(W$2, Percentiles!$A$45:$I$59, 8, FALSE), perc_85, perc_75 + (perc_90 - perc_75) * (2/3), converted_stat, '2K_Ratings'!W451, IF(bbgm_stat &gt;= perc_95, converted_stat * 3, IF(bbgm_stat &gt;= perc_90, converted_stat * 2, IF(bbgm_stat &gt;= perc_85, converted_stat * 1.5, converted_stat)))))</f>
        <v/>
      </c>
    </row>
    <row r="452">
      <c r="A452" s="30"/>
      <c r="B452" s="30" t="str">
        <f t="array" ref="B452">IF($A452="", "", LET(bbgm_stat, INDEX(Players!$A451:$P451, MATCH(B$2, Players!$A$1:$P$1, 0)), perc_75, VLOOKUP(B$2, Percentiles!$A$45:$I$59, 6, FALSE), perc_90, VLOOKUP(B$2, Percentiles!$A$45:$I$59, 7, FALSE), perc_95, VLOOKUP(B$2, Percentiles!$A$45:$I$59, 8, FALSE), perc_85, perc_75 + (perc_90 - perc_75) * (2/3), converted_stat, '2K_Ratings'!B452, IF(bbgm_stat &gt;= perc_95, converted_stat * 3, IF(bbgm_stat &gt;= perc_90, converted_stat * 2, IF(bbgm_stat &gt;= perc_85, converted_stat * 1.5, converted_stat)))))</f>
        <v/>
      </c>
      <c r="C452" s="30" t="str">
        <f t="array" ref="C452">IF($A452="", "", LET(bbgm_stat, INDEX(Players!$A451:$P451, MATCH(C$2, Players!$A$1:$P$1, 0)), perc_75, VLOOKUP(C$2, Percentiles!$A$45:$I$59, 6, FALSE), perc_90, VLOOKUP(C$2, Percentiles!$A$45:$I$59, 7, FALSE), perc_95, VLOOKUP(C$2, Percentiles!$A$45:$I$59, 8, FALSE), perc_85, perc_75 + (perc_90 - perc_75) * (2/3), converted_stat, '2K_Ratings'!C452, IF(bbgm_stat &gt;= perc_95, converted_stat * 3, IF(bbgm_stat &gt;= perc_90, converted_stat * 2, IF(bbgm_stat &gt;= perc_85, converted_stat * 1.5, converted_stat)))))</f>
        <v/>
      </c>
      <c r="D452" s="30" t="str">
        <f t="array" ref="D452">IF($A452="", "", LET(bbgm_stat, INDEX(Players!$A451:$P451, MATCH(D$2, Players!$A$1:$P$1, 0)), perc_75, VLOOKUP(D$2, Percentiles!$A$45:$I$59, 6, FALSE), perc_90, VLOOKUP(D$2, Percentiles!$A$45:$I$59, 7, FALSE), perc_95, VLOOKUP(D$2, Percentiles!$A$45:$I$59, 8, FALSE), perc_85, perc_75 + (perc_90 - perc_75) * (2/3), converted_stat, '2K_Ratings'!D452, IF(bbgm_stat &gt;= perc_95, converted_stat * 3, IF(bbgm_stat &gt;= perc_90, converted_stat * 2, IF(bbgm_stat &gt;= perc_85, converted_stat * 1.5, converted_stat)))))</f>
        <v/>
      </c>
      <c r="E452" s="30" t="str">
        <f t="array" ref="E452">IF($A452="", "", LET(bbgm_stat, INDEX(Players!$A451:$P451, MATCH(E$2, Players!$A$1:$P$1, 0)), perc_75, VLOOKUP(E$2, Percentiles!$A$45:$I$59, 6, FALSE), perc_90, VLOOKUP(E$2, Percentiles!$A$45:$I$59, 7, FALSE), perc_95, VLOOKUP(E$2, Percentiles!$A$45:$I$59, 8, FALSE), perc_85, perc_75 + (perc_90 - perc_75) * (2/3), converted_stat, '2K_Ratings'!E452, IF(bbgm_stat &gt;= perc_95, converted_stat * 3, IF(bbgm_stat &gt;= perc_90, converted_stat * 2, IF(bbgm_stat &gt;= perc_85, converted_stat * 1.5, converted_stat)))))</f>
        <v/>
      </c>
      <c r="F452" s="30" t="str">
        <f t="array" ref="F452">IF($A452="", "", LET(bbgm_stat, INDEX(Players!$A451:$P451, MATCH(F$2, Players!$A$1:$P$1, 0)), perc_75, VLOOKUP(F$2, Percentiles!$A$45:$I$59, 6, FALSE), perc_90, VLOOKUP(F$2, Percentiles!$A$45:$I$59, 7, FALSE), perc_95, VLOOKUP(F$2, Percentiles!$A$45:$I$59, 8, FALSE), perc_85, perc_75 + (perc_90 - perc_75) * (2/3), converted_stat, '2K_Ratings'!F452, IF(bbgm_stat &gt;= perc_95, converted_stat * 3, IF(bbgm_stat &gt;= perc_90, converted_stat * 2, IF(bbgm_stat &gt;= perc_85, converted_stat * 1.5, converted_stat)))))</f>
        <v/>
      </c>
      <c r="G452" s="30" t="str">
        <f t="array" ref="G452">IF($A452="", "", LET(bbgm_stat, INDEX(Players!$A451:$P451, MATCH(G$2, Players!$A$1:$P$1, 0)), perc_75, VLOOKUP(G$2, Percentiles!$A$45:$I$59, 6, FALSE), perc_90, VLOOKUP(G$2, Percentiles!$A$45:$I$59, 7, FALSE), perc_95, VLOOKUP(G$2, Percentiles!$A$45:$I$59, 8, FALSE), perc_85, perc_75 + (perc_90 - perc_75) * (2/3), converted_stat, '2K_Ratings'!G452, IF(bbgm_stat &gt;= perc_95, converted_stat * 3, IF(bbgm_stat &gt;= perc_90, converted_stat * 2, IF(bbgm_stat &gt;= perc_85, converted_stat * 1.5, converted_stat)))))</f>
        <v/>
      </c>
      <c r="H452" s="30" t="str">
        <f t="array" ref="H452">IF($A452="", "", LET(bbgm_stat, INDEX(Players!$A451:$P451, MATCH(H$2, Players!$A$1:$P$1, 0)), perc_75, VLOOKUP(H$2, Percentiles!$A$45:$I$59, 6, FALSE), perc_90, VLOOKUP(H$2, Percentiles!$A$45:$I$59, 7, FALSE), perc_95, VLOOKUP(H$2, Percentiles!$A$45:$I$59, 8, FALSE), perc_85, perc_75 + (perc_90 - perc_75) * (2/3), converted_stat, '2K_Ratings'!H452, IF(bbgm_stat &gt;= perc_95, converted_stat * 3, IF(bbgm_stat &gt;= perc_90, converted_stat * 2, IF(bbgm_stat &gt;= perc_85, converted_stat * 1.5, converted_stat)))))</f>
        <v/>
      </c>
      <c r="I452" s="30" t="str">
        <f t="array" ref="I452">IF($A452="", "", LET(bbgm_stat, INDEX(Players!$A451:$P451, MATCH(I$2, Players!$A$1:$P$1, 0)), perc_75, VLOOKUP(I$2, Percentiles!$A$45:$I$59, 6, FALSE), perc_90, VLOOKUP(I$2, Percentiles!$A$45:$I$59, 7, FALSE), perc_95, VLOOKUP(I$2, Percentiles!$A$45:$I$59, 8, FALSE), perc_85, perc_75 + (perc_90 - perc_75) * (2/3), converted_stat, '2K_Ratings'!I452, IF(bbgm_stat &gt;= perc_95, converted_stat * 3, IF(bbgm_stat &gt;= perc_90, converted_stat * 2, IF(bbgm_stat &gt;= perc_85, converted_stat * 1.5, converted_stat)))))</f>
        <v/>
      </c>
      <c r="J452" s="30" t="str">
        <f t="array" ref="J452">IF($A452="", "", LET(bbgm_stat, INDEX(Players!$A451:$P451, MATCH(J$2, Players!$A$1:$P$1, 0)), perc_75, VLOOKUP(J$2, Percentiles!$A$45:$I$59, 6, FALSE), perc_90, VLOOKUP(J$2, Percentiles!$A$45:$I$59, 7, FALSE), perc_95, VLOOKUP(J$2, Percentiles!$A$45:$I$59, 8, FALSE), perc_85, perc_75 + (perc_90 - perc_75) * (2/3), converted_stat, '2K_Ratings'!J452, IF(bbgm_stat &gt;= perc_95, converted_stat * 3, IF(bbgm_stat &gt;= perc_90, converted_stat * 2, IF(bbgm_stat &gt;= perc_85, converted_stat * 1.5, converted_stat)))))</f>
        <v/>
      </c>
      <c r="K452" s="30" t="str">
        <f t="array" ref="K452">IF($A452="", "", LET(bbgm_stat, INDEX(Players!$A451:$P451, MATCH(K$2, Players!$A$1:$P$1, 0)), perc_75, VLOOKUP(K$2, Percentiles!$A$45:$I$59, 6, FALSE), perc_90, VLOOKUP(K$2, Percentiles!$A$45:$I$59, 7, FALSE), perc_95, VLOOKUP(K$2, Percentiles!$A$45:$I$59, 8, FALSE), perc_85, perc_75 + (perc_90 - perc_75) * (2/3), converted_stat, '2K_Ratings'!K452, IF(bbgm_stat &gt;= perc_95, converted_stat * 3, IF(bbgm_stat &gt;= perc_90, converted_stat * 2, IF(bbgm_stat &gt;= perc_85, converted_stat * 1.5, converted_stat)))))</f>
        <v/>
      </c>
      <c r="L452" s="30" t="str">
        <f t="array" ref="L452">IF($A452="", "", LET(bbgm_stat, INDEX(Players!$A451:$P451, MATCH(L$2, Players!$A$1:$P$1, 0)), perc_75, VLOOKUP(L$2, Percentiles!$A$45:$I$59, 6, FALSE), perc_90, VLOOKUP(L$2, Percentiles!$A$45:$I$59, 7, FALSE), perc_95, VLOOKUP(L$2, Percentiles!$A$45:$I$59, 8, FALSE), perc_85, perc_75 + (perc_90 - perc_75) * (2/3), converted_stat, '2K_Ratings'!L452, IF(bbgm_stat &gt;= perc_95, converted_stat * 3, IF(bbgm_stat &gt;= perc_90, converted_stat * 2, IF(bbgm_stat &gt;= perc_85, converted_stat * 1.5, converted_stat)))))</f>
        <v/>
      </c>
      <c r="M452" s="30" t="str">
        <f t="array" ref="M452">IF($A452="", "", LET(bbgm_stat, INDEX(Players!$A451:$P451, MATCH(M$2, Players!$A$1:$P$1, 0)), perc_75, VLOOKUP(M$2, Percentiles!$A$45:$I$59, 6, FALSE), perc_90, VLOOKUP(M$2, Percentiles!$A$45:$I$59, 7, FALSE), perc_95, VLOOKUP(M$2, Percentiles!$A$45:$I$59, 8, FALSE), perc_85, perc_75 + (perc_90 - perc_75) * (2/3), converted_stat, '2K_Ratings'!M452, IF(bbgm_stat &gt;= perc_95, converted_stat * 3, IF(bbgm_stat &gt;= perc_90, converted_stat * 2, IF(bbgm_stat &gt;= perc_85, converted_stat * 1.5, converted_stat)))))</f>
        <v/>
      </c>
      <c r="N452" s="30" t="str">
        <f t="array" ref="N452">IF($A452="", "", LET(bbgm_stat, INDEX(Players!$A451:$P451, MATCH(N$2, Players!$A$1:$P$1, 0)), perc_75, VLOOKUP(N$2, Percentiles!$A$45:$I$59, 6, FALSE), perc_90, VLOOKUP(N$2, Percentiles!$A$45:$I$59, 7, FALSE), perc_95, VLOOKUP(N$2, Percentiles!$A$45:$I$59, 8, FALSE), perc_85, perc_75 + (perc_90 - perc_75) * (2/3), converted_stat, '2K_Ratings'!N452, IF(bbgm_stat &gt;= perc_95, converted_stat * 3, IF(bbgm_stat &gt;= perc_90, converted_stat * 2, IF(bbgm_stat &gt;= perc_85, converted_stat * 1.5, converted_stat)))))</f>
        <v/>
      </c>
      <c r="O452" s="30" t="str">
        <f t="array" ref="O452">IF($A452="", "", LET(bbgm_stat, INDEX(Players!$A451:$P451, MATCH(O$2, Players!$A$1:$P$1, 0)), perc_75, VLOOKUP(O$2, Percentiles!$A$45:$I$59, 6, FALSE), perc_90, VLOOKUP(O$2, Percentiles!$A$45:$I$59, 7, FALSE), perc_95, VLOOKUP(O$2, Percentiles!$A$45:$I$59, 8, FALSE), perc_85, perc_75 + (perc_90 - perc_75) * (2/3), converted_stat, '2K_Ratings'!O452, IF(bbgm_stat &gt;= perc_95, converted_stat * 3, IF(bbgm_stat &gt;= perc_90, converted_stat * 2, IF(bbgm_stat &gt;= perc_85, converted_stat * 1.5, converted_stat)))))</f>
        <v/>
      </c>
      <c r="P452" s="30" t="str">
        <f t="array" ref="P452">IF($A452="", "", LET(bbgm_stat, INDEX(Players!$A451:$P451, MATCH(P$2, Players!$A$1:$P$1, 0)), perc_75, VLOOKUP(P$2, Percentiles!$A$45:$I$59, 6, FALSE), perc_90, VLOOKUP(P$2, Percentiles!$A$45:$I$59, 7, FALSE), perc_95, VLOOKUP(P$2, Percentiles!$A$45:$I$59, 8, FALSE), perc_85, perc_75 + (perc_90 - perc_75) * (2/3), converted_stat, '2K_Ratings'!P452, IF(bbgm_stat &gt;= perc_95, converted_stat * 3, IF(bbgm_stat &gt;= perc_90, converted_stat * 2, IF(bbgm_stat &gt;= perc_85, converted_stat * 1.5, converted_stat)))))</f>
        <v/>
      </c>
      <c r="Q452" s="30" t="str">
        <f t="array" ref="Q452">IF($A452="", "", LET(bbgm_stat, INDEX(Players!$A451:$P451, MATCH(Q$2, Players!$A$1:$P$1, 0)), perc_75, VLOOKUP(Q$2, Percentiles!$A$45:$I$59, 6, FALSE), perc_90, VLOOKUP(Q$2, Percentiles!$A$45:$I$59, 7, FALSE), perc_95, VLOOKUP(Q$2, Percentiles!$A$45:$I$59, 8, FALSE), perc_85, perc_75 + (perc_90 - perc_75) * (2/3), converted_stat, '2K_Ratings'!Q452, IF(bbgm_stat &gt;= perc_95, converted_stat * 3, IF(bbgm_stat &gt;= perc_90, converted_stat * 2, IF(bbgm_stat &gt;= perc_85, converted_stat * 1.5, converted_stat)))))</f>
        <v/>
      </c>
      <c r="R452" s="30" t="str">
        <f t="array" ref="R452">IF($A452="", "", LET(bbgm_stat, INDEX(Players!$A451:$P451, MATCH(R$2, Players!$A$1:$P$1, 0)), perc_75, VLOOKUP(R$2, Percentiles!$A$45:$I$59, 6, FALSE), perc_90, VLOOKUP(R$2, Percentiles!$A$45:$I$59, 7, FALSE), perc_95, VLOOKUP(R$2, Percentiles!$A$45:$I$59, 8, FALSE), perc_85, perc_75 + (perc_90 - perc_75) * (2/3), converted_stat, '2K_Ratings'!R452, IF(bbgm_stat &gt;= perc_95, converted_stat * 3, IF(bbgm_stat &gt;= perc_90, converted_stat * 2, IF(bbgm_stat &gt;= perc_85, converted_stat * 1.5, converted_stat)))))</f>
        <v/>
      </c>
      <c r="S452" s="30" t="str">
        <f t="array" ref="S452">IF($A452="", "", LET(bbgm_stat, INDEX(Players!$A451:$P451, MATCH(S$2, Players!$A$1:$P$1, 0)), perc_75, VLOOKUP(S$2, Percentiles!$A$45:$I$59, 6, FALSE), perc_90, VLOOKUP(S$2, Percentiles!$A$45:$I$59, 7, FALSE), perc_95, VLOOKUP(S$2, Percentiles!$A$45:$I$59, 8, FALSE), perc_85, perc_75 + (perc_90 - perc_75) * (2/3), converted_stat, '2K_Ratings'!S452, IF(bbgm_stat &gt;= perc_95, converted_stat * 3, IF(bbgm_stat &gt;= perc_90, converted_stat * 2, IF(bbgm_stat &gt;= perc_85, converted_stat * 1.5, converted_stat)))))</f>
        <v/>
      </c>
      <c r="T452" s="30" t="str">
        <f t="array" ref="T452">IF($A452="", "", LET(bbgm_stat, INDEX(Players!$A451:$P451, MATCH(T$2, Players!$A$1:$P$1, 0)), perc_75, VLOOKUP(T$2, Percentiles!$A$45:$I$59, 6, FALSE), perc_90, VLOOKUP(T$2, Percentiles!$A$45:$I$59, 7, FALSE), perc_95, VLOOKUP(T$2, Percentiles!$A$45:$I$59, 8, FALSE), perc_85, perc_75 + (perc_90 - perc_75) * (2/3), converted_stat, '2K_Ratings'!T452, IF(bbgm_stat &gt;= perc_95, converted_stat * 3, IF(bbgm_stat &gt;= perc_90, converted_stat * 2, IF(bbgm_stat &gt;= perc_85, converted_stat * 1.5, converted_stat)))))</f>
        <v/>
      </c>
      <c r="U452" s="30" t="str">
        <f t="array" ref="U452">IF($A452="", "", LET(bbgm_stat, INDEX(Players!$A451:$P451, MATCH(U$2, Players!$A$1:$P$1, 0)), perc_75, VLOOKUP(U$2, Percentiles!$A$45:$I$59, 6, FALSE), perc_90, VLOOKUP(U$2, Percentiles!$A$45:$I$59, 7, FALSE), perc_95, VLOOKUP(U$2, Percentiles!$A$45:$I$59, 8, FALSE), perc_85, perc_75 + (perc_90 - perc_75) * (2/3), converted_stat, '2K_Ratings'!U452, IF(bbgm_stat &gt;= perc_95, converted_stat * 3, IF(bbgm_stat &gt;= perc_90, converted_stat * 2, IF(bbgm_stat &gt;= perc_85, converted_stat * 1.5, converted_stat)))))</f>
        <v/>
      </c>
      <c r="V452" s="30" t="str">
        <f t="array" ref="V452">IF($A452="", "", LET(bbgm_stat, INDEX(Players!$A451:$P451, MATCH(V$2, Players!$A$1:$P$1, 0)), perc_75, VLOOKUP(V$2, Percentiles!$A$45:$I$59, 6, FALSE), perc_90, VLOOKUP(V$2, Percentiles!$A$45:$I$59, 7, FALSE), perc_95, VLOOKUP(V$2, Percentiles!$A$45:$I$59, 8, FALSE), perc_85, perc_75 + (perc_90 - perc_75) * (2/3), converted_stat, '2K_Ratings'!V452, IF(bbgm_stat &gt;= perc_95, converted_stat * 3, IF(bbgm_stat &gt;= perc_90, converted_stat * 2, IF(bbgm_stat &gt;= perc_85, converted_stat * 1.5, converted_stat)))))</f>
        <v/>
      </c>
      <c r="W452" s="30" t="str">
        <f t="array" ref="W452">IF($A452="", "", LET(bbgm_stat, INDEX(Players!$A451:$P451, MATCH(W$2, Players!$A$1:$P$1, 0)), perc_75, VLOOKUP(W$2, Percentiles!$A$45:$I$59, 6, FALSE), perc_90, VLOOKUP(W$2, Percentiles!$A$45:$I$59, 7, FALSE), perc_95, VLOOKUP(W$2, Percentiles!$A$45:$I$59, 8, FALSE), perc_85, perc_75 + (perc_90 - perc_75) * (2/3), converted_stat, '2K_Ratings'!W452, IF(bbgm_stat &gt;= perc_95, converted_stat * 3, IF(bbgm_stat &gt;= perc_90, converted_stat * 2, IF(bbgm_stat &gt;= perc_85, converted_stat * 1.5, converted_stat)))))</f>
        <v/>
      </c>
    </row>
    <row r="453">
      <c r="A453" s="30"/>
      <c r="B453" s="30" t="str">
        <f t="array" ref="B453">IF($A453="", "", LET(bbgm_stat, INDEX(Players!$A452:$P452, MATCH(B$2, Players!$A$1:$P$1, 0)), perc_75, VLOOKUP(B$2, Percentiles!$A$45:$I$59, 6, FALSE), perc_90, VLOOKUP(B$2, Percentiles!$A$45:$I$59, 7, FALSE), perc_95, VLOOKUP(B$2, Percentiles!$A$45:$I$59, 8, FALSE), perc_85, perc_75 + (perc_90 - perc_75) * (2/3), converted_stat, '2K_Ratings'!B453, IF(bbgm_stat &gt;= perc_95, converted_stat * 3, IF(bbgm_stat &gt;= perc_90, converted_stat * 2, IF(bbgm_stat &gt;= perc_85, converted_stat * 1.5, converted_stat)))))</f>
        <v/>
      </c>
      <c r="C453" s="30" t="str">
        <f t="array" ref="C453">IF($A453="", "", LET(bbgm_stat, INDEX(Players!$A452:$P452, MATCH(C$2, Players!$A$1:$P$1, 0)), perc_75, VLOOKUP(C$2, Percentiles!$A$45:$I$59, 6, FALSE), perc_90, VLOOKUP(C$2, Percentiles!$A$45:$I$59, 7, FALSE), perc_95, VLOOKUP(C$2, Percentiles!$A$45:$I$59, 8, FALSE), perc_85, perc_75 + (perc_90 - perc_75) * (2/3), converted_stat, '2K_Ratings'!C453, IF(bbgm_stat &gt;= perc_95, converted_stat * 3, IF(bbgm_stat &gt;= perc_90, converted_stat * 2, IF(bbgm_stat &gt;= perc_85, converted_stat * 1.5, converted_stat)))))</f>
        <v/>
      </c>
      <c r="D453" s="30" t="str">
        <f t="array" ref="D453">IF($A453="", "", LET(bbgm_stat, INDEX(Players!$A452:$P452, MATCH(D$2, Players!$A$1:$P$1, 0)), perc_75, VLOOKUP(D$2, Percentiles!$A$45:$I$59, 6, FALSE), perc_90, VLOOKUP(D$2, Percentiles!$A$45:$I$59, 7, FALSE), perc_95, VLOOKUP(D$2, Percentiles!$A$45:$I$59, 8, FALSE), perc_85, perc_75 + (perc_90 - perc_75) * (2/3), converted_stat, '2K_Ratings'!D453, IF(bbgm_stat &gt;= perc_95, converted_stat * 3, IF(bbgm_stat &gt;= perc_90, converted_stat * 2, IF(bbgm_stat &gt;= perc_85, converted_stat * 1.5, converted_stat)))))</f>
        <v/>
      </c>
      <c r="E453" s="30" t="str">
        <f t="array" ref="E453">IF($A453="", "", LET(bbgm_stat, INDEX(Players!$A452:$P452, MATCH(E$2, Players!$A$1:$P$1, 0)), perc_75, VLOOKUP(E$2, Percentiles!$A$45:$I$59, 6, FALSE), perc_90, VLOOKUP(E$2, Percentiles!$A$45:$I$59, 7, FALSE), perc_95, VLOOKUP(E$2, Percentiles!$A$45:$I$59, 8, FALSE), perc_85, perc_75 + (perc_90 - perc_75) * (2/3), converted_stat, '2K_Ratings'!E453, IF(bbgm_stat &gt;= perc_95, converted_stat * 3, IF(bbgm_stat &gt;= perc_90, converted_stat * 2, IF(bbgm_stat &gt;= perc_85, converted_stat * 1.5, converted_stat)))))</f>
        <v/>
      </c>
      <c r="F453" s="30" t="str">
        <f t="array" ref="F453">IF($A453="", "", LET(bbgm_stat, INDEX(Players!$A452:$P452, MATCH(F$2, Players!$A$1:$P$1, 0)), perc_75, VLOOKUP(F$2, Percentiles!$A$45:$I$59, 6, FALSE), perc_90, VLOOKUP(F$2, Percentiles!$A$45:$I$59, 7, FALSE), perc_95, VLOOKUP(F$2, Percentiles!$A$45:$I$59, 8, FALSE), perc_85, perc_75 + (perc_90 - perc_75) * (2/3), converted_stat, '2K_Ratings'!F453, IF(bbgm_stat &gt;= perc_95, converted_stat * 3, IF(bbgm_stat &gt;= perc_90, converted_stat * 2, IF(bbgm_stat &gt;= perc_85, converted_stat * 1.5, converted_stat)))))</f>
        <v/>
      </c>
      <c r="G453" s="30" t="str">
        <f t="array" ref="G453">IF($A453="", "", LET(bbgm_stat, INDEX(Players!$A452:$P452, MATCH(G$2, Players!$A$1:$P$1, 0)), perc_75, VLOOKUP(G$2, Percentiles!$A$45:$I$59, 6, FALSE), perc_90, VLOOKUP(G$2, Percentiles!$A$45:$I$59, 7, FALSE), perc_95, VLOOKUP(G$2, Percentiles!$A$45:$I$59, 8, FALSE), perc_85, perc_75 + (perc_90 - perc_75) * (2/3), converted_stat, '2K_Ratings'!G453, IF(bbgm_stat &gt;= perc_95, converted_stat * 3, IF(bbgm_stat &gt;= perc_90, converted_stat * 2, IF(bbgm_stat &gt;= perc_85, converted_stat * 1.5, converted_stat)))))</f>
        <v/>
      </c>
      <c r="H453" s="30" t="str">
        <f t="array" ref="H453">IF($A453="", "", LET(bbgm_stat, INDEX(Players!$A452:$P452, MATCH(H$2, Players!$A$1:$P$1, 0)), perc_75, VLOOKUP(H$2, Percentiles!$A$45:$I$59, 6, FALSE), perc_90, VLOOKUP(H$2, Percentiles!$A$45:$I$59, 7, FALSE), perc_95, VLOOKUP(H$2, Percentiles!$A$45:$I$59, 8, FALSE), perc_85, perc_75 + (perc_90 - perc_75) * (2/3), converted_stat, '2K_Ratings'!H453, IF(bbgm_stat &gt;= perc_95, converted_stat * 3, IF(bbgm_stat &gt;= perc_90, converted_stat * 2, IF(bbgm_stat &gt;= perc_85, converted_stat * 1.5, converted_stat)))))</f>
        <v/>
      </c>
      <c r="I453" s="30" t="str">
        <f t="array" ref="I453">IF($A453="", "", LET(bbgm_stat, INDEX(Players!$A452:$P452, MATCH(I$2, Players!$A$1:$P$1, 0)), perc_75, VLOOKUP(I$2, Percentiles!$A$45:$I$59, 6, FALSE), perc_90, VLOOKUP(I$2, Percentiles!$A$45:$I$59, 7, FALSE), perc_95, VLOOKUP(I$2, Percentiles!$A$45:$I$59, 8, FALSE), perc_85, perc_75 + (perc_90 - perc_75) * (2/3), converted_stat, '2K_Ratings'!I453, IF(bbgm_stat &gt;= perc_95, converted_stat * 3, IF(bbgm_stat &gt;= perc_90, converted_stat * 2, IF(bbgm_stat &gt;= perc_85, converted_stat * 1.5, converted_stat)))))</f>
        <v/>
      </c>
      <c r="J453" s="30" t="str">
        <f t="array" ref="J453">IF($A453="", "", LET(bbgm_stat, INDEX(Players!$A452:$P452, MATCH(J$2, Players!$A$1:$P$1, 0)), perc_75, VLOOKUP(J$2, Percentiles!$A$45:$I$59, 6, FALSE), perc_90, VLOOKUP(J$2, Percentiles!$A$45:$I$59, 7, FALSE), perc_95, VLOOKUP(J$2, Percentiles!$A$45:$I$59, 8, FALSE), perc_85, perc_75 + (perc_90 - perc_75) * (2/3), converted_stat, '2K_Ratings'!J453, IF(bbgm_stat &gt;= perc_95, converted_stat * 3, IF(bbgm_stat &gt;= perc_90, converted_stat * 2, IF(bbgm_stat &gt;= perc_85, converted_stat * 1.5, converted_stat)))))</f>
        <v/>
      </c>
      <c r="K453" s="30" t="str">
        <f t="array" ref="K453">IF($A453="", "", LET(bbgm_stat, INDEX(Players!$A452:$P452, MATCH(K$2, Players!$A$1:$P$1, 0)), perc_75, VLOOKUP(K$2, Percentiles!$A$45:$I$59, 6, FALSE), perc_90, VLOOKUP(K$2, Percentiles!$A$45:$I$59, 7, FALSE), perc_95, VLOOKUP(K$2, Percentiles!$A$45:$I$59, 8, FALSE), perc_85, perc_75 + (perc_90 - perc_75) * (2/3), converted_stat, '2K_Ratings'!K453, IF(bbgm_stat &gt;= perc_95, converted_stat * 3, IF(bbgm_stat &gt;= perc_90, converted_stat * 2, IF(bbgm_stat &gt;= perc_85, converted_stat * 1.5, converted_stat)))))</f>
        <v/>
      </c>
      <c r="L453" s="30" t="str">
        <f t="array" ref="L453">IF($A453="", "", LET(bbgm_stat, INDEX(Players!$A452:$P452, MATCH(L$2, Players!$A$1:$P$1, 0)), perc_75, VLOOKUP(L$2, Percentiles!$A$45:$I$59, 6, FALSE), perc_90, VLOOKUP(L$2, Percentiles!$A$45:$I$59, 7, FALSE), perc_95, VLOOKUP(L$2, Percentiles!$A$45:$I$59, 8, FALSE), perc_85, perc_75 + (perc_90 - perc_75) * (2/3), converted_stat, '2K_Ratings'!L453, IF(bbgm_stat &gt;= perc_95, converted_stat * 3, IF(bbgm_stat &gt;= perc_90, converted_stat * 2, IF(bbgm_stat &gt;= perc_85, converted_stat * 1.5, converted_stat)))))</f>
        <v/>
      </c>
      <c r="M453" s="30" t="str">
        <f t="array" ref="M453">IF($A453="", "", LET(bbgm_stat, INDEX(Players!$A452:$P452, MATCH(M$2, Players!$A$1:$P$1, 0)), perc_75, VLOOKUP(M$2, Percentiles!$A$45:$I$59, 6, FALSE), perc_90, VLOOKUP(M$2, Percentiles!$A$45:$I$59, 7, FALSE), perc_95, VLOOKUP(M$2, Percentiles!$A$45:$I$59, 8, FALSE), perc_85, perc_75 + (perc_90 - perc_75) * (2/3), converted_stat, '2K_Ratings'!M453, IF(bbgm_stat &gt;= perc_95, converted_stat * 3, IF(bbgm_stat &gt;= perc_90, converted_stat * 2, IF(bbgm_stat &gt;= perc_85, converted_stat * 1.5, converted_stat)))))</f>
        <v/>
      </c>
      <c r="N453" s="30" t="str">
        <f t="array" ref="N453">IF($A453="", "", LET(bbgm_stat, INDEX(Players!$A452:$P452, MATCH(N$2, Players!$A$1:$P$1, 0)), perc_75, VLOOKUP(N$2, Percentiles!$A$45:$I$59, 6, FALSE), perc_90, VLOOKUP(N$2, Percentiles!$A$45:$I$59, 7, FALSE), perc_95, VLOOKUP(N$2, Percentiles!$A$45:$I$59, 8, FALSE), perc_85, perc_75 + (perc_90 - perc_75) * (2/3), converted_stat, '2K_Ratings'!N453, IF(bbgm_stat &gt;= perc_95, converted_stat * 3, IF(bbgm_stat &gt;= perc_90, converted_stat * 2, IF(bbgm_stat &gt;= perc_85, converted_stat * 1.5, converted_stat)))))</f>
        <v/>
      </c>
      <c r="O453" s="30" t="str">
        <f t="array" ref="O453">IF($A453="", "", LET(bbgm_stat, INDEX(Players!$A452:$P452, MATCH(O$2, Players!$A$1:$P$1, 0)), perc_75, VLOOKUP(O$2, Percentiles!$A$45:$I$59, 6, FALSE), perc_90, VLOOKUP(O$2, Percentiles!$A$45:$I$59, 7, FALSE), perc_95, VLOOKUP(O$2, Percentiles!$A$45:$I$59, 8, FALSE), perc_85, perc_75 + (perc_90 - perc_75) * (2/3), converted_stat, '2K_Ratings'!O453, IF(bbgm_stat &gt;= perc_95, converted_stat * 3, IF(bbgm_stat &gt;= perc_90, converted_stat * 2, IF(bbgm_stat &gt;= perc_85, converted_stat * 1.5, converted_stat)))))</f>
        <v/>
      </c>
      <c r="P453" s="30" t="str">
        <f t="array" ref="P453">IF($A453="", "", LET(bbgm_stat, INDEX(Players!$A452:$P452, MATCH(P$2, Players!$A$1:$P$1, 0)), perc_75, VLOOKUP(P$2, Percentiles!$A$45:$I$59, 6, FALSE), perc_90, VLOOKUP(P$2, Percentiles!$A$45:$I$59, 7, FALSE), perc_95, VLOOKUP(P$2, Percentiles!$A$45:$I$59, 8, FALSE), perc_85, perc_75 + (perc_90 - perc_75) * (2/3), converted_stat, '2K_Ratings'!P453, IF(bbgm_stat &gt;= perc_95, converted_stat * 3, IF(bbgm_stat &gt;= perc_90, converted_stat * 2, IF(bbgm_stat &gt;= perc_85, converted_stat * 1.5, converted_stat)))))</f>
        <v/>
      </c>
      <c r="Q453" s="30" t="str">
        <f t="array" ref="Q453">IF($A453="", "", LET(bbgm_stat, INDEX(Players!$A452:$P452, MATCH(Q$2, Players!$A$1:$P$1, 0)), perc_75, VLOOKUP(Q$2, Percentiles!$A$45:$I$59, 6, FALSE), perc_90, VLOOKUP(Q$2, Percentiles!$A$45:$I$59, 7, FALSE), perc_95, VLOOKUP(Q$2, Percentiles!$A$45:$I$59, 8, FALSE), perc_85, perc_75 + (perc_90 - perc_75) * (2/3), converted_stat, '2K_Ratings'!Q453, IF(bbgm_stat &gt;= perc_95, converted_stat * 3, IF(bbgm_stat &gt;= perc_90, converted_stat * 2, IF(bbgm_stat &gt;= perc_85, converted_stat * 1.5, converted_stat)))))</f>
        <v/>
      </c>
      <c r="R453" s="30" t="str">
        <f t="array" ref="R453">IF($A453="", "", LET(bbgm_stat, INDEX(Players!$A452:$P452, MATCH(R$2, Players!$A$1:$P$1, 0)), perc_75, VLOOKUP(R$2, Percentiles!$A$45:$I$59, 6, FALSE), perc_90, VLOOKUP(R$2, Percentiles!$A$45:$I$59, 7, FALSE), perc_95, VLOOKUP(R$2, Percentiles!$A$45:$I$59, 8, FALSE), perc_85, perc_75 + (perc_90 - perc_75) * (2/3), converted_stat, '2K_Ratings'!R453, IF(bbgm_stat &gt;= perc_95, converted_stat * 3, IF(bbgm_stat &gt;= perc_90, converted_stat * 2, IF(bbgm_stat &gt;= perc_85, converted_stat * 1.5, converted_stat)))))</f>
        <v/>
      </c>
      <c r="S453" s="30" t="str">
        <f t="array" ref="S453">IF($A453="", "", LET(bbgm_stat, INDEX(Players!$A452:$P452, MATCH(S$2, Players!$A$1:$P$1, 0)), perc_75, VLOOKUP(S$2, Percentiles!$A$45:$I$59, 6, FALSE), perc_90, VLOOKUP(S$2, Percentiles!$A$45:$I$59, 7, FALSE), perc_95, VLOOKUP(S$2, Percentiles!$A$45:$I$59, 8, FALSE), perc_85, perc_75 + (perc_90 - perc_75) * (2/3), converted_stat, '2K_Ratings'!S453, IF(bbgm_stat &gt;= perc_95, converted_stat * 3, IF(bbgm_stat &gt;= perc_90, converted_stat * 2, IF(bbgm_stat &gt;= perc_85, converted_stat * 1.5, converted_stat)))))</f>
        <v/>
      </c>
      <c r="T453" s="30" t="str">
        <f t="array" ref="T453">IF($A453="", "", LET(bbgm_stat, INDEX(Players!$A452:$P452, MATCH(T$2, Players!$A$1:$P$1, 0)), perc_75, VLOOKUP(T$2, Percentiles!$A$45:$I$59, 6, FALSE), perc_90, VLOOKUP(T$2, Percentiles!$A$45:$I$59, 7, FALSE), perc_95, VLOOKUP(T$2, Percentiles!$A$45:$I$59, 8, FALSE), perc_85, perc_75 + (perc_90 - perc_75) * (2/3), converted_stat, '2K_Ratings'!T453, IF(bbgm_stat &gt;= perc_95, converted_stat * 3, IF(bbgm_stat &gt;= perc_90, converted_stat * 2, IF(bbgm_stat &gt;= perc_85, converted_stat * 1.5, converted_stat)))))</f>
        <v/>
      </c>
      <c r="U453" s="30" t="str">
        <f t="array" ref="U453">IF($A453="", "", LET(bbgm_stat, INDEX(Players!$A452:$P452, MATCH(U$2, Players!$A$1:$P$1, 0)), perc_75, VLOOKUP(U$2, Percentiles!$A$45:$I$59, 6, FALSE), perc_90, VLOOKUP(U$2, Percentiles!$A$45:$I$59, 7, FALSE), perc_95, VLOOKUP(U$2, Percentiles!$A$45:$I$59, 8, FALSE), perc_85, perc_75 + (perc_90 - perc_75) * (2/3), converted_stat, '2K_Ratings'!U453, IF(bbgm_stat &gt;= perc_95, converted_stat * 3, IF(bbgm_stat &gt;= perc_90, converted_stat * 2, IF(bbgm_stat &gt;= perc_85, converted_stat * 1.5, converted_stat)))))</f>
        <v/>
      </c>
      <c r="V453" s="30" t="str">
        <f t="array" ref="V453">IF($A453="", "", LET(bbgm_stat, INDEX(Players!$A452:$P452, MATCH(V$2, Players!$A$1:$P$1, 0)), perc_75, VLOOKUP(V$2, Percentiles!$A$45:$I$59, 6, FALSE), perc_90, VLOOKUP(V$2, Percentiles!$A$45:$I$59, 7, FALSE), perc_95, VLOOKUP(V$2, Percentiles!$A$45:$I$59, 8, FALSE), perc_85, perc_75 + (perc_90 - perc_75) * (2/3), converted_stat, '2K_Ratings'!V453, IF(bbgm_stat &gt;= perc_95, converted_stat * 3, IF(bbgm_stat &gt;= perc_90, converted_stat * 2, IF(bbgm_stat &gt;= perc_85, converted_stat * 1.5, converted_stat)))))</f>
        <v/>
      </c>
      <c r="W453" s="30" t="str">
        <f t="array" ref="W453">IF($A453="", "", LET(bbgm_stat, INDEX(Players!$A452:$P452, MATCH(W$2, Players!$A$1:$P$1, 0)), perc_75, VLOOKUP(W$2, Percentiles!$A$45:$I$59, 6, FALSE), perc_90, VLOOKUP(W$2, Percentiles!$A$45:$I$59, 7, FALSE), perc_95, VLOOKUP(W$2, Percentiles!$A$45:$I$59, 8, FALSE), perc_85, perc_75 + (perc_90 - perc_75) * (2/3), converted_stat, '2K_Ratings'!W453, IF(bbgm_stat &gt;= perc_95, converted_stat * 3, IF(bbgm_stat &gt;= perc_90, converted_stat * 2, IF(bbgm_stat &gt;= perc_85, converted_stat * 1.5, converted_stat)))))</f>
        <v/>
      </c>
    </row>
    <row r="454">
      <c r="A454" s="30"/>
      <c r="B454" s="30" t="str">
        <f t="array" ref="B454">IF($A454="", "", LET(bbgm_stat, INDEX(Players!$A453:$P453, MATCH(B$2, Players!$A$1:$P$1, 0)), perc_75, VLOOKUP(B$2, Percentiles!$A$45:$I$59, 6, FALSE), perc_90, VLOOKUP(B$2, Percentiles!$A$45:$I$59, 7, FALSE), perc_95, VLOOKUP(B$2, Percentiles!$A$45:$I$59, 8, FALSE), perc_85, perc_75 + (perc_90 - perc_75) * (2/3), converted_stat, '2K_Ratings'!B454, IF(bbgm_stat &gt;= perc_95, converted_stat * 3, IF(bbgm_stat &gt;= perc_90, converted_stat * 2, IF(bbgm_stat &gt;= perc_85, converted_stat * 1.5, converted_stat)))))</f>
        <v/>
      </c>
      <c r="C454" s="30" t="str">
        <f t="array" ref="C454">IF($A454="", "", LET(bbgm_stat, INDEX(Players!$A453:$P453, MATCH(C$2, Players!$A$1:$P$1, 0)), perc_75, VLOOKUP(C$2, Percentiles!$A$45:$I$59, 6, FALSE), perc_90, VLOOKUP(C$2, Percentiles!$A$45:$I$59, 7, FALSE), perc_95, VLOOKUP(C$2, Percentiles!$A$45:$I$59, 8, FALSE), perc_85, perc_75 + (perc_90 - perc_75) * (2/3), converted_stat, '2K_Ratings'!C454, IF(bbgm_stat &gt;= perc_95, converted_stat * 3, IF(bbgm_stat &gt;= perc_90, converted_stat * 2, IF(bbgm_stat &gt;= perc_85, converted_stat * 1.5, converted_stat)))))</f>
        <v/>
      </c>
      <c r="D454" s="30" t="str">
        <f t="array" ref="D454">IF($A454="", "", LET(bbgm_stat, INDEX(Players!$A453:$P453, MATCH(D$2, Players!$A$1:$P$1, 0)), perc_75, VLOOKUP(D$2, Percentiles!$A$45:$I$59, 6, FALSE), perc_90, VLOOKUP(D$2, Percentiles!$A$45:$I$59, 7, FALSE), perc_95, VLOOKUP(D$2, Percentiles!$A$45:$I$59, 8, FALSE), perc_85, perc_75 + (perc_90 - perc_75) * (2/3), converted_stat, '2K_Ratings'!D454, IF(bbgm_stat &gt;= perc_95, converted_stat * 3, IF(bbgm_stat &gt;= perc_90, converted_stat * 2, IF(bbgm_stat &gt;= perc_85, converted_stat * 1.5, converted_stat)))))</f>
        <v/>
      </c>
      <c r="E454" s="30" t="str">
        <f t="array" ref="E454">IF($A454="", "", LET(bbgm_stat, INDEX(Players!$A453:$P453, MATCH(E$2, Players!$A$1:$P$1, 0)), perc_75, VLOOKUP(E$2, Percentiles!$A$45:$I$59, 6, FALSE), perc_90, VLOOKUP(E$2, Percentiles!$A$45:$I$59, 7, FALSE), perc_95, VLOOKUP(E$2, Percentiles!$A$45:$I$59, 8, FALSE), perc_85, perc_75 + (perc_90 - perc_75) * (2/3), converted_stat, '2K_Ratings'!E454, IF(bbgm_stat &gt;= perc_95, converted_stat * 3, IF(bbgm_stat &gt;= perc_90, converted_stat * 2, IF(bbgm_stat &gt;= perc_85, converted_stat * 1.5, converted_stat)))))</f>
        <v/>
      </c>
      <c r="F454" s="30" t="str">
        <f t="array" ref="F454">IF($A454="", "", LET(bbgm_stat, INDEX(Players!$A453:$P453, MATCH(F$2, Players!$A$1:$P$1, 0)), perc_75, VLOOKUP(F$2, Percentiles!$A$45:$I$59, 6, FALSE), perc_90, VLOOKUP(F$2, Percentiles!$A$45:$I$59, 7, FALSE), perc_95, VLOOKUP(F$2, Percentiles!$A$45:$I$59, 8, FALSE), perc_85, perc_75 + (perc_90 - perc_75) * (2/3), converted_stat, '2K_Ratings'!F454, IF(bbgm_stat &gt;= perc_95, converted_stat * 3, IF(bbgm_stat &gt;= perc_90, converted_stat * 2, IF(bbgm_stat &gt;= perc_85, converted_stat * 1.5, converted_stat)))))</f>
        <v/>
      </c>
      <c r="G454" s="30" t="str">
        <f t="array" ref="G454">IF($A454="", "", LET(bbgm_stat, INDEX(Players!$A453:$P453, MATCH(G$2, Players!$A$1:$P$1, 0)), perc_75, VLOOKUP(G$2, Percentiles!$A$45:$I$59, 6, FALSE), perc_90, VLOOKUP(G$2, Percentiles!$A$45:$I$59, 7, FALSE), perc_95, VLOOKUP(G$2, Percentiles!$A$45:$I$59, 8, FALSE), perc_85, perc_75 + (perc_90 - perc_75) * (2/3), converted_stat, '2K_Ratings'!G454, IF(bbgm_stat &gt;= perc_95, converted_stat * 3, IF(bbgm_stat &gt;= perc_90, converted_stat * 2, IF(bbgm_stat &gt;= perc_85, converted_stat * 1.5, converted_stat)))))</f>
        <v/>
      </c>
      <c r="H454" s="30" t="str">
        <f t="array" ref="H454">IF($A454="", "", LET(bbgm_stat, INDEX(Players!$A453:$P453, MATCH(H$2, Players!$A$1:$P$1, 0)), perc_75, VLOOKUP(H$2, Percentiles!$A$45:$I$59, 6, FALSE), perc_90, VLOOKUP(H$2, Percentiles!$A$45:$I$59, 7, FALSE), perc_95, VLOOKUP(H$2, Percentiles!$A$45:$I$59, 8, FALSE), perc_85, perc_75 + (perc_90 - perc_75) * (2/3), converted_stat, '2K_Ratings'!H454, IF(bbgm_stat &gt;= perc_95, converted_stat * 3, IF(bbgm_stat &gt;= perc_90, converted_stat * 2, IF(bbgm_stat &gt;= perc_85, converted_stat * 1.5, converted_stat)))))</f>
        <v/>
      </c>
      <c r="I454" s="30" t="str">
        <f t="array" ref="I454">IF($A454="", "", LET(bbgm_stat, INDEX(Players!$A453:$P453, MATCH(I$2, Players!$A$1:$P$1, 0)), perc_75, VLOOKUP(I$2, Percentiles!$A$45:$I$59, 6, FALSE), perc_90, VLOOKUP(I$2, Percentiles!$A$45:$I$59, 7, FALSE), perc_95, VLOOKUP(I$2, Percentiles!$A$45:$I$59, 8, FALSE), perc_85, perc_75 + (perc_90 - perc_75) * (2/3), converted_stat, '2K_Ratings'!I454, IF(bbgm_stat &gt;= perc_95, converted_stat * 3, IF(bbgm_stat &gt;= perc_90, converted_stat * 2, IF(bbgm_stat &gt;= perc_85, converted_stat * 1.5, converted_stat)))))</f>
        <v/>
      </c>
      <c r="J454" s="30" t="str">
        <f t="array" ref="J454">IF($A454="", "", LET(bbgm_stat, INDEX(Players!$A453:$P453, MATCH(J$2, Players!$A$1:$P$1, 0)), perc_75, VLOOKUP(J$2, Percentiles!$A$45:$I$59, 6, FALSE), perc_90, VLOOKUP(J$2, Percentiles!$A$45:$I$59, 7, FALSE), perc_95, VLOOKUP(J$2, Percentiles!$A$45:$I$59, 8, FALSE), perc_85, perc_75 + (perc_90 - perc_75) * (2/3), converted_stat, '2K_Ratings'!J454, IF(bbgm_stat &gt;= perc_95, converted_stat * 3, IF(bbgm_stat &gt;= perc_90, converted_stat * 2, IF(bbgm_stat &gt;= perc_85, converted_stat * 1.5, converted_stat)))))</f>
        <v/>
      </c>
      <c r="K454" s="30" t="str">
        <f t="array" ref="K454">IF($A454="", "", LET(bbgm_stat, INDEX(Players!$A453:$P453, MATCH(K$2, Players!$A$1:$P$1, 0)), perc_75, VLOOKUP(K$2, Percentiles!$A$45:$I$59, 6, FALSE), perc_90, VLOOKUP(K$2, Percentiles!$A$45:$I$59, 7, FALSE), perc_95, VLOOKUP(K$2, Percentiles!$A$45:$I$59, 8, FALSE), perc_85, perc_75 + (perc_90 - perc_75) * (2/3), converted_stat, '2K_Ratings'!K454, IF(bbgm_stat &gt;= perc_95, converted_stat * 3, IF(bbgm_stat &gt;= perc_90, converted_stat * 2, IF(bbgm_stat &gt;= perc_85, converted_stat * 1.5, converted_stat)))))</f>
        <v/>
      </c>
      <c r="L454" s="30" t="str">
        <f t="array" ref="L454">IF($A454="", "", LET(bbgm_stat, INDEX(Players!$A453:$P453, MATCH(L$2, Players!$A$1:$P$1, 0)), perc_75, VLOOKUP(L$2, Percentiles!$A$45:$I$59, 6, FALSE), perc_90, VLOOKUP(L$2, Percentiles!$A$45:$I$59, 7, FALSE), perc_95, VLOOKUP(L$2, Percentiles!$A$45:$I$59, 8, FALSE), perc_85, perc_75 + (perc_90 - perc_75) * (2/3), converted_stat, '2K_Ratings'!L454, IF(bbgm_stat &gt;= perc_95, converted_stat * 3, IF(bbgm_stat &gt;= perc_90, converted_stat * 2, IF(bbgm_stat &gt;= perc_85, converted_stat * 1.5, converted_stat)))))</f>
        <v/>
      </c>
      <c r="M454" s="30" t="str">
        <f t="array" ref="M454">IF($A454="", "", LET(bbgm_stat, INDEX(Players!$A453:$P453, MATCH(M$2, Players!$A$1:$P$1, 0)), perc_75, VLOOKUP(M$2, Percentiles!$A$45:$I$59, 6, FALSE), perc_90, VLOOKUP(M$2, Percentiles!$A$45:$I$59, 7, FALSE), perc_95, VLOOKUP(M$2, Percentiles!$A$45:$I$59, 8, FALSE), perc_85, perc_75 + (perc_90 - perc_75) * (2/3), converted_stat, '2K_Ratings'!M454, IF(bbgm_stat &gt;= perc_95, converted_stat * 3, IF(bbgm_stat &gt;= perc_90, converted_stat * 2, IF(bbgm_stat &gt;= perc_85, converted_stat * 1.5, converted_stat)))))</f>
        <v/>
      </c>
      <c r="N454" s="30" t="str">
        <f t="array" ref="N454">IF($A454="", "", LET(bbgm_stat, INDEX(Players!$A453:$P453, MATCH(N$2, Players!$A$1:$P$1, 0)), perc_75, VLOOKUP(N$2, Percentiles!$A$45:$I$59, 6, FALSE), perc_90, VLOOKUP(N$2, Percentiles!$A$45:$I$59, 7, FALSE), perc_95, VLOOKUP(N$2, Percentiles!$A$45:$I$59, 8, FALSE), perc_85, perc_75 + (perc_90 - perc_75) * (2/3), converted_stat, '2K_Ratings'!N454, IF(bbgm_stat &gt;= perc_95, converted_stat * 3, IF(bbgm_stat &gt;= perc_90, converted_stat * 2, IF(bbgm_stat &gt;= perc_85, converted_stat * 1.5, converted_stat)))))</f>
        <v/>
      </c>
      <c r="O454" s="30" t="str">
        <f t="array" ref="O454">IF($A454="", "", LET(bbgm_stat, INDEX(Players!$A453:$P453, MATCH(O$2, Players!$A$1:$P$1, 0)), perc_75, VLOOKUP(O$2, Percentiles!$A$45:$I$59, 6, FALSE), perc_90, VLOOKUP(O$2, Percentiles!$A$45:$I$59, 7, FALSE), perc_95, VLOOKUP(O$2, Percentiles!$A$45:$I$59, 8, FALSE), perc_85, perc_75 + (perc_90 - perc_75) * (2/3), converted_stat, '2K_Ratings'!O454, IF(bbgm_stat &gt;= perc_95, converted_stat * 3, IF(bbgm_stat &gt;= perc_90, converted_stat * 2, IF(bbgm_stat &gt;= perc_85, converted_stat * 1.5, converted_stat)))))</f>
        <v/>
      </c>
      <c r="P454" s="30" t="str">
        <f t="array" ref="P454">IF($A454="", "", LET(bbgm_stat, INDEX(Players!$A453:$P453, MATCH(P$2, Players!$A$1:$P$1, 0)), perc_75, VLOOKUP(P$2, Percentiles!$A$45:$I$59, 6, FALSE), perc_90, VLOOKUP(P$2, Percentiles!$A$45:$I$59, 7, FALSE), perc_95, VLOOKUP(P$2, Percentiles!$A$45:$I$59, 8, FALSE), perc_85, perc_75 + (perc_90 - perc_75) * (2/3), converted_stat, '2K_Ratings'!P454, IF(bbgm_stat &gt;= perc_95, converted_stat * 3, IF(bbgm_stat &gt;= perc_90, converted_stat * 2, IF(bbgm_stat &gt;= perc_85, converted_stat * 1.5, converted_stat)))))</f>
        <v/>
      </c>
      <c r="Q454" s="30" t="str">
        <f t="array" ref="Q454">IF($A454="", "", LET(bbgm_stat, INDEX(Players!$A453:$P453, MATCH(Q$2, Players!$A$1:$P$1, 0)), perc_75, VLOOKUP(Q$2, Percentiles!$A$45:$I$59, 6, FALSE), perc_90, VLOOKUP(Q$2, Percentiles!$A$45:$I$59, 7, FALSE), perc_95, VLOOKUP(Q$2, Percentiles!$A$45:$I$59, 8, FALSE), perc_85, perc_75 + (perc_90 - perc_75) * (2/3), converted_stat, '2K_Ratings'!Q454, IF(bbgm_stat &gt;= perc_95, converted_stat * 3, IF(bbgm_stat &gt;= perc_90, converted_stat * 2, IF(bbgm_stat &gt;= perc_85, converted_stat * 1.5, converted_stat)))))</f>
        <v/>
      </c>
      <c r="R454" s="30" t="str">
        <f t="array" ref="R454">IF($A454="", "", LET(bbgm_stat, INDEX(Players!$A453:$P453, MATCH(R$2, Players!$A$1:$P$1, 0)), perc_75, VLOOKUP(R$2, Percentiles!$A$45:$I$59, 6, FALSE), perc_90, VLOOKUP(R$2, Percentiles!$A$45:$I$59, 7, FALSE), perc_95, VLOOKUP(R$2, Percentiles!$A$45:$I$59, 8, FALSE), perc_85, perc_75 + (perc_90 - perc_75) * (2/3), converted_stat, '2K_Ratings'!R454, IF(bbgm_stat &gt;= perc_95, converted_stat * 3, IF(bbgm_stat &gt;= perc_90, converted_stat * 2, IF(bbgm_stat &gt;= perc_85, converted_stat * 1.5, converted_stat)))))</f>
        <v/>
      </c>
      <c r="S454" s="30" t="str">
        <f t="array" ref="S454">IF($A454="", "", LET(bbgm_stat, INDEX(Players!$A453:$P453, MATCH(S$2, Players!$A$1:$P$1, 0)), perc_75, VLOOKUP(S$2, Percentiles!$A$45:$I$59, 6, FALSE), perc_90, VLOOKUP(S$2, Percentiles!$A$45:$I$59, 7, FALSE), perc_95, VLOOKUP(S$2, Percentiles!$A$45:$I$59, 8, FALSE), perc_85, perc_75 + (perc_90 - perc_75) * (2/3), converted_stat, '2K_Ratings'!S454, IF(bbgm_stat &gt;= perc_95, converted_stat * 3, IF(bbgm_stat &gt;= perc_90, converted_stat * 2, IF(bbgm_stat &gt;= perc_85, converted_stat * 1.5, converted_stat)))))</f>
        <v/>
      </c>
      <c r="T454" s="30" t="str">
        <f t="array" ref="T454">IF($A454="", "", LET(bbgm_stat, INDEX(Players!$A453:$P453, MATCH(T$2, Players!$A$1:$P$1, 0)), perc_75, VLOOKUP(T$2, Percentiles!$A$45:$I$59, 6, FALSE), perc_90, VLOOKUP(T$2, Percentiles!$A$45:$I$59, 7, FALSE), perc_95, VLOOKUP(T$2, Percentiles!$A$45:$I$59, 8, FALSE), perc_85, perc_75 + (perc_90 - perc_75) * (2/3), converted_stat, '2K_Ratings'!T454, IF(bbgm_stat &gt;= perc_95, converted_stat * 3, IF(bbgm_stat &gt;= perc_90, converted_stat * 2, IF(bbgm_stat &gt;= perc_85, converted_stat * 1.5, converted_stat)))))</f>
        <v/>
      </c>
      <c r="U454" s="30" t="str">
        <f t="array" ref="U454">IF($A454="", "", LET(bbgm_stat, INDEX(Players!$A453:$P453, MATCH(U$2, Players!$A$1:$P$1, 0)), perc_75, VLOOKUP(U$2, Percentiles!$A$45:$I$59, 6, FALSE), perc_90, VLOOKUP(U$2, Percentiles!$A$45:$I$59, 7, FALSE), perc_95, VLOOKUP(U$2, Percentiles!$A$45:$I$59, 8, FALSE), perc_85, perc_75 + (perc_90 - perc_75) * (2/3), converted_stat, '2K_Ratings'!U454, IF(bbgm_stat &gt;= perc_95, converted_stat * 3, IF(bbgm_stat &gt;= perc_90, converted_stat * 2, IF(bbgm_stat &gt;= perc_85, converted_stat * 1.5, converted_stat)))))</f>
        <v/>
      </c>
      <c r="V454" s="30" t="str">
        <f t="array" ref="V454">IF($A454="", "", LET(bbgm_stat, INDEX(Players!$A453:$P453, MATCH(V$2, Players!$A$1:$P$1, 0)), perc_75, VLOOKUP(V$2, Percentiles!$A$45:$I$59, 6, FALSE), perc_90, VLOOKUP(V$2, Percentiles!$A$45:$I$59, 7, FALSE), perc_95, VLOOKUP(V$2, Percentiles!$A$45:$I$59, 8, FALSE), perc_85, perc_75 + (perc_90 - perc_75) * (2/3), converted_stat, '2K_Ratings'!V454, IF(bbgm_stat &gt;= perc_95, converted_stat * 3, IF(bbgm_stat &gt;= perc_90, converted_stat * 2, IF(bbgm_stat &gt;= perc_85, converted_stat * 1.5, converted_stat)))))</f>
        <v/>
      </c>
      <c r="W454" s="30" t="str">
        <f t="array" ref="W454">IF($A454="", "", LET(bbgm_stat, INDEX(Players!$A453:$P453, MATCH(W$2, Players!$A$1:$P$1, 0)), perc_75, VLOOKUP(W$2, Percentiles!$A$45:$I$59, 6, FALSE), perc_90, VLOOKUP(W$2, Percentiles!$A$45:$I$59, 7, FALSE), perc_95, VLOOKUP(W$2, Percentiles!$A$45:$I$59, 8, FALSE), perc_85, perc_75 + (perc_90 - perc_75) * (2/3), converted_stat, '2K_Ratings'!W454, IF(bbgm_stat &gt;= perc_95, converted_stat * 3, IF(bbgm_stat &gt;= perc_90, converted_stat * 2, IF(bbgm_stat &gt;= perc_85, converted_stat * 1.5, converted_stat)))))</f>
        <v/>
      </c>
    </row>
    <row r="455">
      <c r="A455" s="30"/>
      <c r="B455" s="30" t="str">
        <f t="array" ref="B455">IF($A455="", "", LET(bbgm_stat, INDEX(Players!$A454:$P454, MATCH(B$2, Players!$A$1:$P$1, 0)), perc_75, VLOOKUP(B$2, Percentiles!$A$45:$I$59, 6, FALSE), perc_90, VLOOKUP(B$2, Percentiles!$A$45:$I$59, 7, FALSE), perc_95, VLOOKUP(B$2, Percentiles!$A$45:$I$59, 8, FALSE), perc_85, perc_75 + (perc_90 - perc_75) * (2/3), converted_stat, '2K_Ratings'!B455, IF(bbgm_stat &gt;= perc_95, converted_stat * 3, IF(bbgm_stat &gt;= perc_90, converted_stat * 2, IF(bbgm_stat &gt;= perc_85, converted_stat * 1.5, converted_stat)))))</f>
        <v/>
      </c>
      <c r="C455" s="30" t="str">
        <f t="array" ref="C455">IF($A455="", "", LET(bbgm_stat, INDEX(Players!$A454:$P454, MATCH(C$2, Players!$A$1:$P$1, 0)), perc_75, VLOOKUP(C$2, Percentiles!$A$45:$I$59, 6, FALSE), perc_90, VLOOKUP(C$2, Percentiles!$A$45:$I$59, 7, FALSE), perc_95, VLOOKUP(C$2, Percentiles!$A$45:$I$59, 8, FALSE), perc_85, perc_75 + (perc_90 - perc_75) * (2/3), converted_stat, '2K_Ratings'!C455, IF(bbgm_stat &gt;= perc_95, converted_stat * 3, IF(bbgm_stat &gt;= perc_90, converted_stat * 2, IF(bbgm_stat &gt;= perc_85, converted_stat * 1.5, converted_stat)))))</f>
        <v/>
      </c>
      <c r="D455" s="30" t="str">
        <f t="array" ref="D455">IF($A455="", "", LET(bbgm_stat, INDEX(Players!$A454:$P454, MATCH(D$2, Players!$A$1:$P$1, 0)), perc_75, VLOOKUP(D$2, Percentiles!$A$45:$I$59, 6, FALSE), perc_90, VLOOKUP(D$2, Percentiles!$A$45:$I$59, 7, FALSE), perc_95, VLOOKUP(D$2, Percentiles!$A$45:$I$59, 8, FALSE), perc_85, perc_75 + (perc_90 - perc_75) * (2/3), converted_stat, '2K_Ratings'!D455, IF(bbgm_stat &gt;= perc_95, converted_stat * 3, IF(bbgm_stat &gt;= perc_90, converted_stat * 2, IF(bbgm_stat &gt;= perc_85, converted_stat * 1.5, converted_stat)))))</f>
        <v/>
      </c>
      <c r="E455" s="30" t="str">
        <f t="array" ref="E455">IF($A455="", "", LET(bbgm_stat, INDEX(Players!$A454:$P454, MATCH(E$2, Players!$A$1:$P$1, 0)), perc_75, VLOOKUP(E$2, Percentiles!$A$45:$I$59, 6, FALSE), perc_90, VLOOKUP(E$2, Percentiles!$A$45:$I$59, 7, FALSE), perc_95, VLOOKUP(E$2, Percentiles!$A$45:$I$59, 8, FALSE), perc_85, perc_75 + (perc_90 - perc_75) * (2/3), converted_stat, '2K_Ratings'!E455, IF(bbgm_stat &gt;= perc_95, converted_stat * 3, IF(bbgm_stat &gt;= perc_90, converted_stat * 2, IF(bbgm_stat &gt;= perc_85, converted_stat * 1.5, converted_stat)))))</f>
        <v/>
      </c>
      <c r="F455" s="30" t="str">
        <f t="array" ref="F455">IF($A455="", "", LET(bbgm_stat, INDEX(Players!$A454:$P454, MATCH(F$2, Players!$A$1:$P$1, 0)), perc_75, VLOOKUP(F$2, Percentiles!$A$45:$I$59, 6, FALSE), perc_90, VLOOKUP(F$2, Percentiles!$A$45:$I$59, 7, FALSE), perc_95, VLOOKUP(F$2, Percentiles!$A$45:$I$59, 8, FALSE), perc_85, perc_75 + (perc_90 - perc_75) * (2/3), converted_stat, '2K_Ratings'!F455, IF(bbgm_stat &gt;= perc_95, converted_stat * 3, IF(bbgm_stat &gt;= perc_90, converted_stat * 2, IF(bbgm_stat &gt;= perc_85, converted_stat * 1.5, converted_stat)))))</f>
        <v/>
      </c>
      <c r="G455" s="30" t="str">
        <f t="array" ref="G455">IF($A455="", "", LET(bbgm_stat, INDEX(Players!$A454:$P454, MATCH(G$2, Players!$A$1:$P$1, 0)), perc_75, VLOOKUP(G$2, Percentiles!$A$45:$I$59, 6, FALSE), perc_90, VLOOKUP(G$2, Percentiles!$A$45:$I$59, 7, FALSE), perc_95, VLOOKUP(G$2, Percentiles!$A$45:$I$59, 8, FALSE), perc_85, perc_75 + (perc_90 - perc_75) * (2/3), converted_stat, '2K_Ratings'!G455, IF(bbgm_stat &gt;= perc_95, converted_stat * 3, IF(bbgm_stat &gt;= perc_90, converted_stat * 2, IF(bbgm_stat &gt;= perc_85, converted_stat * 1.5, converted_stat)))))</f>
        <v/>
      </c>
      <c r="H455" s="30" t="str">
        <f t="array" ref="H455">IF($A455="", "", LET(bbgm_stat, INDEX(Players!$A454:$P454, MATCH(H$2, Players!$A$1:$P$1, 0)), perc_75, VLOOKUP(H$2, Percentiles!$A$45:$I$59, 6, FALSE), perc_90, VLOOKUP(H$2, Percentiles!$A$45:$I$59, 7, FALSE), perc_95, VLOOKUP(H$2, Percentiles!$A$45:$I$59, 8, FALSE), perc_85, perc_75 + (perc_90 - perc_75) * (2/3), converted_stat, '2K_Ratings'!H455, IF(bbgm_stat &gt;= perc_95, converted_stat * 3, IF(bbgm_stat &gt;= perc_90, converted_stat * 2, IF(bbgm_stat &gt;= perc_85, converted_stat * 1.5, converted_stat)))))</f>
        <v/>
      </c>
      <c r="I455" s="30" t="str">
        <f t="array" ref="I455">IF($A455="", "", LET(bbgm_stat, INDEX(Players!$A454:$P454, MATCH(I$2, Players!$A$1:$P$1, 0)), perc_75, VLOOKUP(I$2, Percentiles!$A$45:$I$59, 6, FALSE), perc_90, VLOOKUP(I$2, Percentiles!$A$45:$I$59, 7, FALSE), perc_95, VLOOKUP(I$2, Percentiles!$A$45:$I$59, 8, FALSE), perc_85, perc_75 + (perc_90 - perc_75) * (2/3), converted_stat, '2K_Ratings'!I455, IF(bbgm_stat &gt;= perc_95, converted_stat * 3, IF(bbgm_stat &gt;= perc_90, converted_stat * 2, IF(bbgm_stat &gt;= perc_85, converted_stat * 1.5, converted_stat)))))</f>
        <v/>
      </c>
      <c r="J455" s="30" t="str">
        <f t="array" ref="J455">IF($A455="", "", LET(bbgm_stat, INDEX(Players!$A454:$P454, MATCH(J$2, Players!$A$1:$P$1, 0)), perc_75, VLOOKUP(J$2, Percentiles!$A$45:$I$59, 6, FALSE), perc_90, VLOOKUP(J$2, Percentiles!$A$45:$I$59, 7, FALSE), perc_95, VLOOKUP(J$2, Percentiles!$A$45:$I$59, 8, FALSE), perc_85, perc_75 + (perc_90 - perc_75) * (2/3), converted_stat, '2K_Ratings'!J455, IF(bbgm_stat &gt;= perc_95, converted_stat * 3, IF(bbgm_stat &gt;= perc_90, converted_stat * 2, IF(bbgm_stat &gt;= perc_85, converted_stat * 1.5, converted_stat)))))</f>
        <v/>
      </c>
      <c r="K455" s="30" t="str">
        <f t="array" ref="K455">IF($A455="", "", LET(bbgm_stat, INDEX(Players!$A454:$P454, MATCH(K$2, Players!$A$1:$P$1, 0)), perc_75, VLOOKUP(K$2, Percentiles!$A$45:$I$59, 6, FALSE), perc_90, VLOOKUP(K$2, Percentiles!$A$45:$I$59, 7, FALSE), perc_95, VLOOKUP(K$2, Percentiles!$A$45:$I$59, 8, FALSE), perc_85, perc_75 + (perc_90 - perc_75) * (2/3), converted_stat, '2K_Ratings'!K455, IF(bbgm_stat &gt;= perc_95, converted_stat * 3, IF(bbgm_stat &gt;= perc_90, converted_stat * 2, IF(bbgm_stat &gt;= perc_85, converted_stat * 1.5, converted_stat)))))</f>
        <v/>
      </c>
      <c r="L455" s="30" t="str">
        <f t="array" ref="L455">IF($A455="", "", LET(bbgm_stat, INDEX(Players!$A454:$P454, MATCH(L$2, Players!$A$1:$P$1, 0)), perc_75, VLOOKUP(L$2, Percentiles!$A$45:$I$59, 6, FALSE), perc_90, VLOOKUP(L$2, Percentiles!$A$45:$I$59, 7, FALSE), perc_95, VLOOKUP(L$2, Percentiles!$A$45:$I$59, 8, FALSE), perc_85, perc_75 + (perc_90 - perc_75) * (2/3), converted_stat, '2K_Ratings'!L455, IF(bbgm_stat &gt;= perc_95, converted_stat * 3, IF(bbgm_stat &gt;= perc_90, converted_stat * 2, IF(bbgm_stat &gt;= perc_85, converted_stat * 1.5, converted_stat)))))</f>
        <v/>
      </c>
      <c r="M455" s="30" t="str">
        <f t="array" ref="M455">IF($A455="", "", LET(bbgm_stat, INDEX(Players!$A454:$P454, MATCH(M$2, Players!$A$1:$P$1, 0)), perc_75, VLOOKUP(M$2, Percentiles!$A$45:$I$59, 6, FALSE), perc_90, VLOOKUP(M$2, Percentiles!$A$45:$I$59, 7, FALSE), perc_95, VLOOKUP(M$2, Percentiles!$A$45:$I$59, 8, FALSE), perc_85, perc_75 + (perc_90 - perc_75) * (2/3), converted_stat, '2K_Ratings'!M455, IF(bbgm_stat &gt;= perc_95, converted_stat * 3, IF(bbgm_stat &gt;= perc_90, converted_stat * 2, IF(bbgm_stat &gt;= perc_85, converted_stat * 1.5, converted_stat)))))</f>
        <v/>
      </c>
      <c r="N455" s="30" t="str">
        <f t="array" ref="N455">IF($A455="", "", LET(bbgm_stat, INDEX(Players!$A454:$P454, MATCH(N$2, Players!$A$1:$P$1, 0)), perc_75, VLOOKUP(N$2, Percentiles!$A$45:$I$59, 6, FALSE), perc_90, VLOOKUP(N$2, Percentiles!$A$45:$I$59, 7, FALSE), perc_95, VLOOKUP(N$2, Percentiles!$A$45:$I$59, 8, FALSE), perc_85, perc_75 + (perc_90 - perc_75) * (2/3), converted_stat, '2K_Ratings'!N455, IF(bbgm_stat &gt;= perc_95, converted_stat * 3, IF(bbgm_stat &gt;= perc_90, converted_stat * 2, IF(bbgm_stat &gt;= perc_85, converted_stat * 1.5, converted_stat)))))</f>
        <v/>
      </c>
      <c r="O455" s="30" t="str">
        <f t="array" ref="O455">IF($A455="", "", LET(bbgm_stat, INDEX(Players!$A454:$P454, MATCH(O$2, Players!$A$1:$P$1, 0)), perc_75, VLOOKUP(O$2, Percentiles!$A$45:$I$59, 6, FALSE), perc_90, VLOOKUP(O$2, Percentiles!$A$45:$I$59, 7, FALSE), perc_95, VLOOKUP(O$2, Percentiles!$A$45:$I$59, 8, FALSE), perc_85, perc_75 + (perc_90 - perc_75) * (2/3), converted_stat, '2K_Ratings'!O455, IF(bbgm_stat &gt;= perc_95, converted_stat * 3, IF(bbgm_stat &gt;= perc_90, converted_stat * 2, IF(bbgm_stat &gt;= perc_85, converted_stat * 1.5, converted_stat)))))</f>
        <v/>
      </c>
      <c r="P455" s="30" t="str">
        <f t="array" ref="P455">IF($A455="", "", LET(bbgm_stat, INDEX(Players!$A454:$P454, MATCH(P$2, Players!$A$1:$P$1, 0)), perc_75, VLOOKUP(P$2, Percentiles!$A$45:$I$59, 6, FALSE), perc_90, VLOOKUP(P$2, Percentiles!$A$45:$I$59, 7, FALSE), perc_95, VLOOKUP(P$2, Percentiles!$A$45:$I$59, 8, FALSE), perc_85, perc_75 + (perc_90 - perc_75) * (2/3), converted_stat, '2K_Ratings'!P455, IF(bbgm_stat &gt;= perc_95, converted_stat * 3, IF(bbgm_stat &gt;= perc_90, converted_stat * 2, IF(bbgm_stat &gt;= perc_85, converted_stat * 1.5, converted_stat)))))</f>
        <v/>
      </c>
      <c r="Q455" s="30" t="str">
        <f t="array" ref="Q455">IF($A455="", "", LET(bbgm_stat, INDEX(Players!$A454:$P454, MATCH(Q$2, Players!$A$1:$P$1, 0)), perc_75, VLOOKUP(Q$2, Percentiles!$A$45:$I$59, 6, FALSE), perc_90, VLOOKUP(Q$2, Percentiles!$A$45:$I$59, 7, FALSE), perc_95, VLOOKUP(Q$2, Percentiles!$A$45:$I$59, 8, FALSE), perc_85, perc_75 + (perc_90 - perc_75) * (2/3), converted_stat, '2K_Ratings'!Q455, IF(bbgm_stat &gt;= perc_95, converted_stat * 3, IF(bbgm_stat &gt;= perc_90, converted_stat * 2, IF(bbgm_stat &gt;= perc_85, converted_stat * 1.5, converted_stat)))))</f>
        <v/>
      </c>
      <c r="R455" s="30" t="str">
        <f t="array" ref="R455">IF($A455="", "", LET(bbgm_stat, INDEX(Players!$A454:$P454, MATCH(R$2, Players!$A$1:$P$1, 0)), perc_75, VLOOKUP(R$2, Percentiles!$A$45:$I$59, 6, FALSE), perc_90, VLOOKUP(R$2, Percentiles!$A$45:$I$59, 7, FALSE), perc_95, VLOOKUP(R$2, Percentiles!$A$45:$I$59, 8, FALSE), perc_85, perc_75 + (perc_90 - perc_75) * (2/3), converted_stat, '2K_Ratings'!R455, IF(bbgm_stat &gt;= perc_95, converted_stat * 3, IF(bbgm_stat &gt;= perc_90, converted_stat * 2, IF(bbgm_stat &gt;= perc_85, converted_stat * 1.5, converted_stat)))))</f>
        <v/>
      </c>
      <c r="S455" s="30" t="str">
        <f t="array" ref="S455">IF($A455="", "", LET(bbgm_stat, INDEX(Players!$A454:$P454, MATCH(S$2, Players!$A$1:$P$1, 0)), perc_75, VLOOKUP(S$2, Percentiles!$A$45:$I$59, 6, FALSE), perc_90, VLOOKUP(S$2, Percentiles!$A$45:$I$59, 7, FALSE), perc_95, VLOOKUP(S$2, Percentiles!$A$45:$I$59, 8, FALSE), perc_85, perc_75 + (perc_90 - perc_75) * (2/3), converted_stat, '2K_Ratings'!S455, IF(bbgm_stat &gt;= perc_95, converted_stat * 3, IF(bbgm_stat &gt;= perc_90, converted_stat * 2, IF(bbgm_stat &gt;= perc_85, converted_stat * 1.5, converted_stat)))))</f>
        <v/>
      </c>
      <c r="T455" s="30" t="str">
        <f t="array" ref="T455">IF($A455="", "", LET(bbgm_stat, INDEX(Players!$A454:$P454, MATCH(T$2, Players!$A$1:$P$1, 0)), perc_75, VLOOKUP(T$2, Percentiles!$A$45:$I$59, 6, FALSE), perc_90, VLOOKUP(T$2, Percentiles!$A$45:$I$59, 7, FALSE), perc_95, VLOOKUP(T$2, Percentiles!$A$45:$I$59, 8, FALSE), perc_85, perc_75 + (perc_90 - perc_75) * (2/3), converted_stat, '2K_Ratings'!T455, IF(bbgm_stat &gt;= perc_95, converted_stat * 3, IF(bbgm_stat &gt;= perc_90, converted_stat * 2, IF(bbgm_stat &gt;= perc_85, converted_stat * 1.5, converted_stat)))))</f>
        <v/>
      </c>
      <c r="U455" s="30" t="str">
        <f t="array" ref="U455">IF($A455="", "", LET(bbgm_stat, INDEX(Players!$A454:$P454, MATCH(U$2, Players!$A$1:$P$1, 0)), perc_75, VLOOKUP(U$2, Percentiles!$A$45:$I$59, 6, FALSE), perc_90, VLOOKUP(U$2, Percentiles!$A$45:$I$59, 7, FALSE), perc_95, VLOOKUP(U$2, Percentiles!$A$45:$I$59, 8, FALSE), perc_85, perc_75 + (perc_90 - perc_75) * (2/3), converted_stat, '2K_Ratings'!U455, IF(bbgm_stat &gt;= perc_95, converted_stat * 3, IF(bbgm_stat &gt;= perc_90, converted_stat * 2, IF(bbgm_stat &gt;= perc_85, converted_stat * 1.5, converted_stat)))))</f>
        <v/>
      </c>
      <c r="V455" s="30" t="str">
        <f t="array" ref="V455">IF($A455="", "", LET(bbgm_stat, INDEX(Players!$A454:$P454, MATCH(V$2, Players!$A$1:$P$1, 0)), perc_75, VLOOKUP(V$2, Percentiles!$A$45:$I$59, 6, FALSE), perc_90, VLOOKUP(V$2, Percentiles!$A$45:$I$59, 7, FALSE), perc_95, VLOOKUP(V$2, Percentiles!$A$45:$I$59, 8, FALSE), perc_85, perc_75 + (perc_90 - perc_75) * (2/3), converted_stat, '2K_Ratings'!V455, IF(bbgm_stat &gt;= perc_95, converted_stat * 3, IF(bbgm_stat &gt;= perc_90, converted_stat * 2, IF(bbgm_stat &gt;= perc_85, converted_stat * 1.5, converted_stat)))))</f>
        <v/>
      </c>
      <c r="W455" s="30" t="str">
        <f t="array" ref="W455">IF($A455="", "", LET(bbgm_stat, INDEX(Players!$A454:$P454, MATCH(W$2, Players!$A$1:$P$1, 0)), perc_75, VLOOKUP(W$2, Percentiles!$A$45:$I$59, 6, FALSE), perc_90, VLOOKUP(W$2, Percentiles!$A$45:$I$59, 7, FALSE), perc_95, VLOOKUP(W$2, Percentiles!$A$45:$I$59, 8, FALSE), perc_85, perc_75 + (perc_90 - perc_75) * (2/3), converted_stat, '2K_Ratings'!W455, IF(bbgm_stat &gt;= perc_95, converted_stat * 3, IF(bbgm_stat &gt;= perc_90, converted_stat * 2, IF(bbgm_stat &gt;= perc_85, converted_stat * 1.5, converted_stat)))))</f>
        <v/>
      </c>
    </row>
    <row r="456">
      <c r="A456" s="30"/>
      <c r="B456" s="30" t="str">
        <f t="array" ref="B456">IF($A456="", "", LET(bbgm_stat, INDEX(Players!$A455:$P455, MATCH(B$2, Players!$A$1:$P$1, 0)), perc_75, VLOOKUP(B$2, Percentiles!$A$45:$I$59, 6, FALSE), perc_90, VLOOKUP(B$2, Percentiles!$A$45:$I$59, 7, FALSE), perc_95, VLOOKUP(B$2, Percentiles!$A$45:$I$59, 8, FALSE), perc_85, perc_75 + (perc_90 - perc_75) * (2/3), converted_stat, '2K_Ratings'!B456, IF(bbgm_stat &gt;= perc_95, converted_stat * 3, IF(bbgm_stat &gt;= perc_90, converted_stat * 2, IF(bbgm_stat &gt;= perc_85, converted_stat * 1.5, converted_stat)))))</f>
        <v/>
      </c>
      <c r="C456" s="30" t="str">
        <f t="array" ref="C456">IF($A456="", "", LET(bbgm_stat, INDEX(Players!$A455:$P455, MATCH(C$2, Players!$A$1:$P$1, 0)), perc_75, VLOOKUP(C$2, Percentiles!$A$45:$I$59, 6, FALSE), perc_90, VLOOKUP(C$2, Percentiles!$A$45:$I$59, 7, FALSE), perc_95, VLOOKUP(C$2, Percentiles!$A$45:$I$59, 8, FALSE), perc_85, perc_75 + (perc_90 - perc_75) * (2/3), converted_stat, '2K_Ratings'!C456, IF(bbgm_stat &gt;= perc_95, converted_stat * 3, IF(bbgm_stat &gt;= perc_90, converted_stat * 2, IF(bbgm_stat &gt;= perc_85, converted_stat * 1.5, converted_stat)))))</f>
        <v/>
      </c>
      <c r="D456" s="30" t="str">
        <f t="array" ref="D456">IF($A456="", "", LET(bbgm_stat, INDEX(Players!$A455:$P455, MATCH(D$2, Players!$A$1:$P$1, 0)), perc_75, VLOOKUP(D$2, Percentiles!$A$45:$I$59, 6, FALSE), perc_90, VLOOKUP(D$2, Percentiles!$A$45:$I$59, 7, FALSE), perc_95, VLOOKUP(D$2, Percentiles!$A$45:$I$59, 8, FALSE), perc_85, perc_75 + (perc_90 - perc_75) * (2/3), converted_stat, '2K_Ratings'!D456, IF(bbgm_stat &gt;= perc_95, converted_stat * 3, IF(bbgm_stat &gt;= perc_90, converted_stat * 2, IF(bbgm_stat &gt;= perc_85, converted_stat * 1.5, converted_stat)))))</f>
        <v/>
      </c>
      <c r="E456" s="30" t="str">
        <f t="array" ref="E456">IF($A456="", "", LET(bbgm_stat, INDEX(Players!$A455:$P455, MATCH(E$2, Players!$A$1:$P$1, 0)), perc_75, VLOOKUP(E$2, Percentiles!$A$45:$I$59, 6, FALSE), perc_90, VLOOKUP(E$2, Percentiles!$A$45:$I$59, 7, FALSE), perc_95, VLOOKUP(E$2, Percentiles!$A$45:$I$59, 8, FALSE), perc_85, perc_75 + (perc_90 - perc_75) * (2/3), converted_stat, '2K_Ratings'!E456, IF(bbgm_stat &gt;= perc_95, converted_stat * 3, IF(bbgm_stat &gt;= perc_90, converted_stat * 2, IF(bbgm_stat &gt;= perc_85, converted_stat * 1.5, converted_stat)))))</f>
        <v/>
      </c>
      <c r="F456" s="30" t="str">
        <f t="array" ref="F456">IF($A456="", "", LET(bbgm_stat, INDEX(Players!$A455:$P455, MATCH(F$2, Players!$A$1:$P$1, 0)), perc_75, VLOOKUP(F$2, Percentiles!$A$45:$I$59, 6, FALSE), perc_90, VLOOKUP(F$2, Percentiles!$A$45:$I$59, 7, FALSE), perc_95, VLOOKUP(F$2, Percentiles!$A$45:$I$59, 8, FALSE), perc_85, perc_75 + (perc_90 - perc_75) * (2/3), converted_stat, '2K_Ratings'!F456, IF(bbgm_stat &gt;= perc_95, converted_stat * 3, IF(bbgm_stat &gt;= perc_90, converted_stat * 2, IF(bbgm_stat &gt;= perc_85, converted_stat * 1.5, converted_stat)))))</f>
        <v/>
      </c>
      <c r="G456" s="30" t="str">
        <f t="array" ref="G456">IF($A456="", "", LET(bbgm_stat, INDEX(Players!$A455:$P455, MATCH(G$2, Players!$A$1:$P$1, 0)), perc_75, VLOOKUP(G$2, Percentiles!$A$45:$I$59, 6, FALSE), perc_90, VLOOKUP(G$2, Percentiles!$A$45:$I$59, 7, FALSE), perc_95, VLOOKUP(G$2, Percentiles!$A$45:$I$59, 8, FALSE), perc_85, perc_75 + (perc_90 - perc_75) * (2/3), converted_stat, '2K_Ratings'!G456, IF(bbgm_stat &gt;= perc_95, converted_stat * 3, IF(bbgm_stat &gt;= perc_90, converted_stat * 2, IF(bbgm_stat &gt;= perc_85, converted_stat * 1.5, converted_stat)))))</f>
        <v/>
      </c>
      <c r="H456" s="30" t="str">
        <f t="array" ref="H456">IF($A456="", "", LET(bbgm_stat, INDEX(Players!$A455:$P455, MATCH(H$2, Players!$A$1:$P$1, 0)), perc_75, VLOOKUP(H$2, Percentiles!$A$45:$I$59, 6, FALSE), perc_90, VLOOKUP(H$2, Percentiles!$A$45:$I$59, 7, FALSE), perc_95, VLOOKUP(H$2, Percentiles!$A$45:$I$59, 8, FALSE), perc_85, perc_75 + (perc_90 - perc_75) * (2/3), converted_stat, '2K_Ratings'!H456, IF(bbgm_stat &gt;= perc_95, converted_stat * 3, IF(bbgm_stat &gt;= perc_90, converted_stat * 2, IF(bbgm_stat &gt;= perc_85, converted_stat * 1.5, converted_stat)))))</f>
        <v/>
      </c>
      <c r="I456" s="30" t="str">
        <f t="array" ref="I456">IF($A456="", "", LET(bbgm_stat, INDEX(Players!$A455:$P455, MATCH(I$2, Players!$A$1:$P$1, 0)), perc_75, VLOOKUP(I$2, Percentiles!$A$45:$I$59, 6, FALSE), perc_90, VLOOKUP(I$2, Percentiles!$A$45:$I$59, 7, FALSE), perc_95, VLOOKUP(I$2, Percentiles!$A$45:$I$59, 8, FALSE), perc_85, perc_75 + (perc_90 - perc_75) * (2/3), converted_stat, '2K_Ratings'!I456, IF(bbgm_stat &gt;= perc_95, converted_stat * 3, IF(bbgm_stat &gt;= perc_90, converted_stat * 2, IF(bbgm_stat &gt;= perc_85, converted_stat * 1.5, converted_stat)))))</f>
        <v/>
      </c>
      <c r="J456" s="30" t="str">
        <f t="array" ref="J456">IF($A456="", "", LET(bbgm_stat, INDEX(Players!$A455:$P455, MATCH(J$2, Players!$A$1:$P$1, 0)), perc_75, VLOOKUP(J$2, Percentiles!$A$45:$I$59, 6, FALSE), perc_90, VLOOKUP(J$2, Percentiles!$A$45:$I$59, 7, FALSE), perc_95, VLOOKUP(J$2, Percentiles!$A$45:$I$59, 8, FALSE), perc_85, perc_75 + (perc_90 - perc_75) * (2/3), converted_stat, '2K_Ratings'!J456, IF(bbgm_stat &gt;= perc_95, converted_stat * 3, IF(bbgm_stat &gt;= perc_90, converted_stat * 2, IF(bbgm_stat &gt;= perc_85, converted_stat * 1.5, converted_stat)))))</f>
        <v/>
      </c>
      <c r="K456" s="30" t="str">
        <f t="array" ref="K456">IF($A456="", "", LET(bbgm_stat, INDEX(Players!$A455:$P455, MATCH(K$2, Players!$A$1:$P$1, 0)), perc_75, VLOOKUP(K$2, Percentiles!$A$45:$I$59, 6, FALSE), perc_90, VLOOKUP(K$2, Percentiles!$A$45:$I$59, 7, FALSE), perc_95, VLOOKUP(K$2, Percentiles!$A$45:$I$59, 8, FALSE), perc_85, perc_75 + (perc_90 - perc_75) * (2/3), converted_stat, '2K_Ratings'!K456, IF(bbgm_stat &gt;= perc_95, converted_stat * 3, IF(bbgm_stat &gt;= perc_90, converted_stat * 2, IF(bbgm_stat &gt;= perc_85, converted_stat * 1.5, converted_stat)))))</f>
        <v/>
      </c>
      <c r="L456" s="30" t="str">
        <f t="array" ref="L456">IF($A456="", "", LET(bbgm_stat, INDEX(Players!$A455:$P455, MATCH(L$2, Players!$A$1:$P$1, 0)), perc_75, VLOOKUP(L$2, Percentiles!$A$45:$I$59, 6, FALSE), perc_90, VLOOKUP(L$2, Percentiles!$A$45:$I$59, 7, FALSE), perc_95, VLOOKUP(L$2, Percentiles!$A$45:$I$59, 8, FALSE), perc_85, perc_75 + (perc_90 - perc_75) * (2/3), converted_stat, '2K_Ratings'!L456, IF(bbgm_stat &gt;= perc_95, converted_stat * 3, IF(bbgm_stat &gt;= perc_90, converted_stat * 2, IF(bbgm_stat &gt;= perc_85, converted_stat * 1.5, converted_stat)))))</f>
        <v/>
      </c>
      <c r="M456" s="30" t="str">
        <f t="array" ref="M456">IF($A456="", "", LET(bbgm_stat, INDEX(Players!$A455:$P455, MATCH(M$2, Players!$A$1:$P$1, 0)), perc_75, VLOOKUP(M$2, Percentiles!$A$45:$I$59, 6, FALSE), perc_90, VLOOKUP(M$2, Percentiles!$A$45:$I$59, 7, FALSE), perc_95, VLOOKUP(M$2, Percentiles!$A$45:$I$59, 8, FALSE), perc_85, perc_75 + (perc_90 - perc_75) * (2/3), converted_stat, '2K_Ratings'!M456, IF(bbgm_stat &gt;= perc_95, converted_stat * 3, IF(bbgm_stat &gt;= perc_90, converted_stat * 2, IF(bbgm_stat &gt;= perc_85, converted_stat * 1.5, converted_stat)))))</f>
        <v/>
      </c>
      <c r="N456" s="30" t="str">
        <f t="array" ref="N456">IF($A456="", "", LET(bbgm_stat, INDEX(Players!$A455:$P455, MATCH(N$2, Players!$A$1:$P$1, 0)), perc_75, VLOOKUP(N$2, Percentiles!$A$45:$I$59, 6, FALSE), perc_90, VLOOKUP(N$2, Percentiles!$A$45:$I$59, 7, FALSE), perc_95, VLOOKUP(N$2, Percentiles!$A$45:$I$59, 8, FALSE), perc_85, perc_75 + (perc_90 - perc_75) * (2/3), converted_stat, '2K_Ratings'!N456, IF(bbgm_stat &gt;= perc_95, converted_stat * 3, IF(bbgm_stat &gt;= perc_90, converted_stat * 2, IF(bbgm_stat &gt;= perc_85, converted_stat * 1.5, converted_stat)))))</f>
        <v/>
      </c>
      <c r="O456" s="30" t="str">
        <f t="array" ref="O456">IF($A456="", "", LET(bbgm_stat, INDEX(Players!$A455:$P455, MATCH(O$2, Players!$A$1:$P$1, 0)), perc_75, VLOOKUP(O$2, Percentiles!$A$45:$I$59, 6, FALSE), perc_90, VLOOKUP(O$2, Percentiles!$A$45:$I$59, 7, FALSE), perc_95, VLOOKUP(O$2, Percentiles!$A$45:$I$59, 8, FALSE), perc_85, perc_75 + (perc_90 - perc_75) * (2/3), converted_stat, '2K_Ratings'!O456, IF(bbgm_stat &gt;= perc_95, converted_stat * 3, IF(bbgm_stat &gt;= perc_90, converted_stat * 2, IF(bbgm_stat &gt;= perc_85, converted_stat * 1.5, converted_stat)))))</f>
        <v/>
      </c>
      <c r="P456" s="30" t="str">
        <f t="array" ref="P456">IF($A456="", "", LET(bbgm_stat, INDEX(Players!$A455:$P455, MATCH(P$2, Players!$A$1:$P$1, 0)), perc_75, VLOOKUP(P$2, Percentiles!$A$45:$I$59, 6, FALSE), perc_90, VLOOKUP(P$2, Percentiles!$A$45:$I$59, 7, FALSE), perc_95, VLOOKUP(P$2, Percentiles!$A$45:$I$59, 8, FALSE), perc_85, perc_75 + (perc_90 - perc_75) * (2/3), converted_stat, '2K_Ratings'!P456, IF(bbgm_stat &gt;= perc_95, converted_stat * 3, IF(bbgm_stat &gt;= perc_90, converted_stat * 2, IF(bbgm_stat &gt;= perc_85, converted_stat * 1.5, converted_stat)))))</f>
        <v/>
      </c>
      <c r="Q456" s="30" t="str">
        <f t="array" ref="Q456">IF($A456="", "", LET(bbgm_stat, INDEX(Players!$A455:$P455, MATCH(Q$2, Players!$A$1:$P$1, 0)), perc_75, VLOOKUP(Q$2, Percentiles!$A$45:$I$59, 6, FALSE), perc_90, VLOOKUP(Q$2, Percentiles!$A$45:$I$59, 7, FALSE), perc_95, VLOOKUP(Q$2, Percentiles!$A$45:$I$59, 8, FALSE), perc_85, perc_75 + (perc_90 - perc_75) * (2/3), converted_stat, '2K_Ratings'!Q456, IF(bbgm_stat &gt;= perc_95, converted_stat * 3, IF(bbgm_stat &gt;= perc_90, converted_stat * 2, IF(bbgm_stat &gt;= perc_85, converted_stat * 1.5, converted_stat)))))</f>
        <v/>
      </c>
      <c r="R456" s="30" t="str">
        <f t="array" ref="R456">IF($A456="", "", LET(bbgm_stat, INDEX(Players!$A455:$P455, MATCH(R$2, Players!$A$1:$P$1, 0)), perc_75, VLOOKUP(R$2, Percentiles!$A$45:$I$59, 6, FALSE), perc_90, VLOOKUP(R$2, Percentiles!$A$45:$I$59, 7, FALSE), perc_95, VLOOKUP(R$2, Percentiles!$A$45:$I$59, 8, FALSE), perc_85, perc_75 + (perc_90 - perc_75) * (2/3), converted_stat, '2K_Ratings'!R456, IF(bbgm_stat &gt;= perc_95, converted_stat * 3, IF(bbgm_stat &gt;= perc_90, converted_stat * 2, IF(bbgm_stat &gt;= perc_85, converted_stat * 1.5, converted_stat)))))</f>
        <v/>
      </c>
      <c r="S456" s="30" t="str">
        <f t="array" ref="S456">IF($A456="", "", LET(bbgm_stat, INDEX(Players!$A455:$P455, MATCH(S$2, Players!$A$1:$P$1, 0)), perc_75, VLOOKUP(S$2, Percentiles!$A$45:$I$59, 6, FALSE), perc_90, VLOOKUP(S$2, Percentiles!$A$45:$I$59, 7, FALSE), perc_95, VLOOKUP(S$2, Percentiles!$A$45:$I$59, 8, FALSE), perc_85, perc_75 + (perc_90 - perc_75) * (2/3), converted_stat, '2K_Ratings'!S456, IF(bbgm_stat &gt;= perc_95, converted_stat * 3, IF(bbgm_stat &gt;= perc_90, converted_stat * 2, IF(bbgm_stat &gt;= perc_85, converted_stat * 1.5, converted_stat)))))</f>
        <v/>
      </c>
      <c r="T456" s="30" t="str">
        <f t="array" ref="T456">IF($A456="", "", LET(bbgm_stat, INDEX(Players!$A455:$P455, MATCH(T$2, Players!$A$1:$P$1, 0)), perc_75, VLOOKUP(T$2, Percentiles!$A$45:$I$59, 6, FALSE), perc_90, VLOOKUP(T$2, Percentiles!$A$45:$I$59, 7, FALSE), perc_95, VLOOKUP(T$2, Percentiles!$A$45:$I$59, 8, FALSE), perc_85, perc_75 + (perc_90 - perc_75) * (2/3), converted_stat, '2K_Ratings'!T456, IF(bbgm_stat &gt;= perc_95, converted_stat * 3, IF(bbgm_stat &gt;= perc_90, converted_stat * 2, IF(bbgm_stat &gt;= perc_85, converted_stat * 1.5, converted_stat)))))</f>
        <v/>
      </c>
      <c r="U456" s="30" t="str">
        <f t="array" ref="U456">IF($A456="", "", LET(bbgm_stat, INDEX(Players!$A455:$P455, MATCH(U$2, Players!$A$1:$P$1, 0)), perc_75, VLOOKUP(U$2, Percentiles!$A$45:$I$59, 6, FALSE), perc_90, VLOOKUP(U$2, Percentiles!$A$45:$I$59, 7, FALSE), perc_95, VLOOKUP(U$2, Percentiles!$A$45:$I$59, 8, FALSE), perc_85, perc_75 + (perc_90 - perc_75) * (2/3), converted_stat, '2K_Ratings'!U456, IF(bbgm_stat &gt;= perc_95, converted_stat * 3, IF(bbgm_stat &gt;= perc_90, converted_stat * 2, IF(bbgm_stat &gt;= perc_85, converted_stat * 1.5, converted_stat)))))</f>
        <v/>
      </c>
      <c r="V456" s="30" t="str">
        <f t="array" ref="V456">IF($A456="", "", LET(bbgm_stat, INDEX(Players!$A455:$P455, MATCH(V$2, Players!$A$1:$P$1, 0)), perc_75, VLOOKUP(V$2, Percentiles!$A$45:$I$59, 6, FALSE), perc_90, VLOOKUP(V$2, Percentiles!$A$45:$I$59, 7, FALSE), perc_95, VLOOKUP(V$2, Percentiles!$A$45:$I$59, 8, FALSE), perc_85, perc_75 + (perc_90 - perc_75) * (2/3), converted_stat, '2K_Ratings'!V456, IF(bbgm_stat &gt;= perc_95, converted_stat * 3, IF(bbgm_stat &gt;= perc_90, converted_stat * 2, IF(bbgm_stat &gt;= perc_85, converted_stat * 1.5, converted_stat)))))</f>
        <v/>
      </c>
      <c r="W456" s="30" t="str">
        <f t="array" ref="W456">IF($A456="", "", LET(bbgm_stat, INDEX(Players!$A455:$P455, MATCH(W$2, Players!$A$1:$P$1, 0)), perc_75, VLOOKUP(W$2, Percentiles!$A$45:$I$59, 6, FALSE), perc_90, VLOOKUP(W$2, Percentiles!$A$45:$I$59, 7, FALSE), perc_95, VLOOKUP(W$2, Percentiles!$A$45:$I$59, 8, FALSE), perc_85, perc_75 + (perc_90 - perc_75) * (2/3), converted_stat, '2K_Ratings'!W456, IF(bbgm_stat &gt;= perc_95, converted_stat * 3, IF(bbgm_stat &gt;= perc_90, converted_stat * 2, IF(bbgm_stat &gt;= perc_85, converted_stat * 1.5, converted_stat)))))</f>
        <v/>
      </c>
    </row>
    <row r="457">
      <c r="A457" s="30"/>
      <c r="B457" s="30" t="str">
        <f t="array" ref="B457">IF($A457="", "", LET(bbgm_stat, INDEX(Players!$A456:$P456, MATCH(B$2, Players!$A$1:$P$1, 0)), perc_75, VLOOKUP(B$2, Percentiles!$A$45:$I$59, 6, FALSE), perc_90, VLOOKUP(B$2, Percentiles!$A$45:$I$59, 7, FALSE), perc_95, VLOOKUP(B$2, Percentiles!$A$45:$I$59, 8, FALSE), perc_85, perc_75 + (perc_90 - perc_75) * (2/3), converted_stat, '2K_Ratings'!B457, IF(bbgm_stat &gt;= perc_95, converted_stat * 3, IF(bbgm_stat &gt;= perc_90, converted_stat * 2, IF(bbgm_stat &gt;= perc_85, converted_stat * 1.5, converted_stat)))))</f>
        <v/>
      </c>
      <c r="C457" s="30" t="str">
        <f t="array" ref="C457">IF($A457="", "", LET(bbgm_stat, INDEX(Players!$A456:$P456, MATCH(C$2, Players!$A$1:$P$1, 0)), perc_75, VLOOKUP(C$2, Percentiles!$A$45:$I$59, 6, FALSE), perc_90, VLOOKUP(C$2, Percentiles!$A$45:$I$59, 7, FALSE), perc_95, VLOOKUP(C$2, Percentiles!$A$45:$I$59, 8, FALSE), perc_85, perc_75 + (perc_90 - perc_75) * (2/3), converted_stat, '2K_Ratings'!C457, IF(bbgm_stat &gt;= perc_95, converted_stat * 3, IF(bbgm_stat &gt;= perc_90, converted_stat * 2, IF(bbgm_stat &gt;= perc_85, converted_stat * 1.5, converted_stat)))))</f>
        <v/>
      </c>
      <c r="D457" s="30" t="str">
        <f t="array" ref="D457">IF($A457="", "", LET(bbgm_stat, INDEX(Players!$A456:$P456, MATCH(D$2, Players!$A$1:$P$1, 0)), perc_75, VLOOKUP(D$2, Percentiles!$A$45:$I$59, 6, FALSE), perc_90, VLOOKUP(D$2, Percentiles!$A$45:$I$59, 7, FALSE), perc_95, VLOOKUP(D$2, Percentiles!$A$45:$I$59, 8, FALSE), perc_85, perc_75 + (perc_90 - perc_75) * (2/3), converted_stat, '2K_Ratings'!D457, IF(bbgm_stat &gt;= perc_95, converted_stat * 3, IF(bbgm_stat &gt;= perc_90, converted_stat * 2, IF(bbgm_stat &gt;= perc_85, converted_stat * 1.5, converted_stat)))))</f>
        <v/>
      </c>
      <c r="E457" s="30" t="str">
        <f t="array" ref="E457">IF($A457="", "", LET(bbgm_stat, INDEX(Players!$A456:$P456, MATCH(E$2, Players!$A$1:$P$1, 0)), perc_75, VLOOKUP(E$2, Percentiles!$A$45:$I$59, 6, FALSE), perc_90, VLOOKUP(E$2, Percentiles!$A$45:$I$59, 7, FALSE), perc_95, VLOOKUP(E$2, Percentiles!$A$45:$I$59, 8, FALSE), perc_85, perc_75 + (perc_90 - perc_75) * (2/3), converted_stat, '2K_Ratings'!E457, IF(bbgm_stat &gt;= perc_95, converted_stat * 3, IF(bbgm_stat &gt;= perc_90, converted_stat * 2, IF(bbgm_stat &gt;= perc_85, converted_stat * 1.5, converted_stat)))))</f>
        <v/>
      </c>
      <c r="F457" s="30" t="str">
        <f t="array" ref="F457">IF($A457="", "", LET(bbgm_stat, INDEX(Players!$A456:$P456, MATCH(F$2, Players!$A$1:$P$1, 0)), perc_75, VLOOKUP(F$2, Percentiles!$A$45:$I$59, 6, FALSE), perc_90, VLOOKUP(F$2, Percentiles!$A$45:$I$59, 7, FALSE), perc_95, VLOOKUP(F$2, Percentiles!$A$45:$I$59, 8, FALSE), perc_85, perc_75 + (perc_90 - perc_75) * (2/3), converted_stat, '2K_Ratings'!F457, IF(bbgm_stat &gt;= perc_95, converted_stat * 3, IF(bbgm_stat &gt;= perc_90, converted_stat * 2, IF(bbgm_stat &gt;= perc_85, converted_stat * 1.5, converted_stat)))))</f>
        <v/>
      </c>
      <c r="G457" s="30" t="str">
        <f t="array" ref="G457">IF($A457="", "", LET(bbgm_stat, INDEX(Players!$A456:$P456, MATCH(G$2, Players!$A$1:$P$1, 0)), perc_75, VLOOKUP(G$2, Percentiles!$A$45:$I$59, 6, FALSE), perc_90, VLOOKUP(G$2, Percentiles!$A$45:$I$59, 7, FALSE), perc_95, VLOOKUP(G$2, Percentiles!$A$45:$I$59, 8, FALSE), perc_85, perc_75 + (perc_90 - perc_75) * (2/3), converted_stat, '2K_Ratings'!G457, IF(bbgm_stat &gt;= perc_95, converted_stat * 3, IF(bbgm_stat &gt;= perc_90, converted_stat * 2, IF(bbgm_stat &gt;= perc_85, converted_stat * 1.5, converted_stat)))))</f>
        <v/>
      </c>
      <c r="H457" s="30" t="str">
        <f t="array" ref="H457">IF($A457="", "", LET(bbgm_stat, INDEX(Players!$A456:$P456, MATCH(H$2, Players!$A$1:$P$1, 0)), perc_75, VLOOKUP(H$2, Percentiles!$A$45:$I$59, 6, FALSE), perc_90, VLOOKUP(H$2, Percentiles!$A$45:$I$59, 7, FALSE), perc_95, VLOOKUP(H$2, Percentiles!$A$45:$I$59, 8, FALSE), perc_85, perc_75 + (perc_90 - perc_75) * (2/3), converted_stat, '2K_Ratings'!H457, IF(bbgm_stat &gt;= perc_95, converted_stat * 3, IF(bbgm_stat &gt;= perc_90, converted_stat * 2, IF(bbgm_stat &gt;= perc_85, converted_stat * 1.5, converted_stat)))))</f>
        <v/>
      </c>
      <c r="I457" s="30" t="str">
        <f t="array" ref="I457">IF($A457="", "", LET(bbgm_stat, INDEX(Players!$A456:$P456, MATCH(I$2, Players!$A$1:$P$1, 0)), perc_75, VLOOKUP(I$2, Percentiles!$A$45:$I$59, 6, FALSE), perc_90, VLOOKUP(I$2, Percentiles!$A$45:$I$59, 7, FALSE), perc_95, VLOOKUP(I$2, Percentiles!$A$45:$I$59, 8, FALSE), perc_85, perc_75 + (perc_90 - perc_75) * (2/3), converted_stat, '2K_Ratings'!I457, IF(bbgm_stat &gt;= perc_95, converted_stat * 3, IF(bbgm_stat &gt;= perc_90, converted_stat * 2, IF(bbgm_stat &gt;= perc_85, converted_stat * 1.5, converted_stat)))))</f>
        <v/>
      </c>
      <c r="J457" s="30" t="str">
        <f t="array" ref="J457">IF($A457="", "", LET(bbgm_stat, INDEX(Players!$A456:$P456, MATCH(J$2, Players!$A$1:$P$1, 0)), perc_75, VLOOKUP(J$2, Percentiles!$A$45:$I$59, 6, FALSE), perc_90, VLOOKUP(J$2, Percentiles!$A$45:$I$59, 7, FALSE), perc_95, VLOOKUP(J$2, Percentiles!$A$45:$I$59, 8, FALSE), perc_85, perc_75 + (perc_90 - perc_75) * (2/3), converted_stat, '2K_Ratings'!J457, IF(bbgm_stat &gt;= perc_95, converted_stat * 3, IF(bbgm_stat &gt;= perc_90, converted_stat * 2, IF(bbgm_stat &gt;= perc_85, converted_stat * 1.5, converted_stat)))))</f>
        <v/>
      </c>
      <c r="K457" s="30" t="str">
        <f t="array" ref="K457">IF($A457="", "", LET(bbgm_stat, INDEX(Players!$A456:$P456, MATCH(K$2, Players!$A$1:$P$1, 0)), perc_75, VLOOKUP(K$2, Percentiles!$A$45:$I$59, 6, FALSE), perc_90, VLOOKUP(K$2, Percentiles!$A$45:$I$59, 7, FALSE), perc_95, VLOOKUP(K$2, Percentiles!$A$45:$I$59, 8, FALSE), perc_85, perc_75 + (perc_90 - perc_75) * (2/3), converted_stat, '2K_Ratings'!K457, IF(bbgm_stat &gt;= perc_95, converted_stat * 3, IF(bbgm_stat &gt;= perc_90, converted_stat * 2, IF(bbgm_stat &gt;= perc_85, converted_stat * 1.5, converted_stat)))))</f>
        <v/>
      </c>
      <c r="L457" s="30" t="str">
        <f t="array" ref="L457">IF($A457="", "", LET(bbgm_stat, INDEX(Players!$A456:$P456, MATCH(L$2, Players!$A$1:$P$1, 0)), perc_75, VLOOKUP(L$2, Percentiles!$A$45:$I$59, 6, FALSE), perc_90, VLOOKUP(L$2, Percentiles!$A$45:$I$59, 7, FALSE), perc_95, VLOOKUP(L$2, Percentiles!$A$45:$I$59, 8, FALSE), perc_85, perc_75 + (perc_90 - perc_75) * (2/3), converted_stat, '2K_Ratings'!L457, IF(bbgm_stat &gt;= perc_95, converted_stat * 3, IF(bbgm_stat &gt;= perc_90, converted_stat * 2, IF(bbgm_stat &gt;= perc_85, converted_stat * 1.5, converted_stat)))))</f>
        <v/>
      </c>
      <c r="M457" s="30" t="str">
        <f t="array" ref="M457">IF($A457="", "", LET(bbgm_stat, INDEX(Players!$A456:$P456, MATCH(M$2, Players!$A$1:$P$1, 0)), perc_75, VLOOKUP(M$2, Percentiles!$A$45:$I$59, 6, FALSE), perc_90, VLOOKUP(M$2, Percentiles!$A$45:$I$59, 7, FALSE), perc_95, VLOOKUP(M$2, Percentiles!$A$45:$I$59, 8, FALSE), perc_85, perc_75 + (perc_90 - perc_75) * (2/3), converted_stat, '2K_Ratings'!M457, IF(bbgm_stat &gt;= perc_95, converted_stat * 3, IF(bbgm_stat &gt;= perc_90, converted_stat * 2, IF(bbgm_stat &gt;= perc_85, converted_stat * 1.5, converted_stat)))))</f>
        <v/>
      </c>
      <c r="N457" s="30" t="str">
        <f t="array" ref="N457">IF($A457="", "", LET(bbgm_stat, INDEX(Players!$A456:$P456, MATCH(N$2, Players!$A$1:$P$1, 0)), perc_75, VLOOKUP(N$2, Percentiles!$A$45:$I$59, 6, FALSE), perc_90, VLOOKUP(N$2, Percentiles!$A$45:$I$59, 7, FALSE), perc_95, VLOOKUP(N$2, Percentiles!$A$45:$I$59, 8, FALSE), perc_85, perc_75 + (perc_90 - perc_75) * (2/3), converted_stat, '2K_Ratings'!N457, IF(bbgm_stat &gt;= perc_95, converted_stat * 3, IF(bbgm_stat &gt;= perc_90, converted_stat * 2, IF(bbgm_stat &gt;= perc_85, converted_stat * 1.5, converted_stat)))))</f>
        <v/>
      </c>
      <c r="O457" s="30" t="str">
        <f t="array" ref="O457">IF($A457="", "", LET(bbgm_stat, INDEX(Players!$A456:$P456, MATCH(O$2, Players!$A$1:$P$1, 0)), perc_75, VLOOKUP(O$2, Percentiles!$A$45:$I$59, 6, FALSE), perc_90, VLOOKUP(O$2, Percentiles!$A$45:$I$59, 7, FALSE), perc_95, VLOOKUP(O$2, Percentiles!$A$45:$I$59, 8, FALSE), perc_85, perc_75 + (perc_90 - perc_75) * (2/3), converted_stat, '2K_Ratings'!O457, IF(bbgm_stat &gt;= perc_95, converted_stat * 3, IF(bbgm_stat &gt;= perc_90, converted_stat * 2, IF(bbgm_stat &gt;= perc_85, converted_stat * 1.5, converted_stat)))))</f>
        <v/>
      </c>
      <c r="P457" s="30" t="str">
        <f t="array" ref="P457">IF($A457="", "", LET(bbgm_stat, INDEX(Players!$A456:$P456, MATCH(P$2, Players!$A$1:$P$1, 0)), perc_75, VLOOKUP(P$2, Percentiles!$A$45:$I$59, 6, FALSE), perc_90, VLOOKUP(P$2, Percentiles!$A$45:$I$59, 7, FALSE), perc_95, VLOOKUP(P$2, Percentiles!$A$45:$I$59, 8, FALSE), perc_85, perc_75 + (perc_90 - perc_75) * (2/3), converted_stat, '2K_Ratings'!P457, IF(bbgm_stat &gt;= perc_95, converted_stat * 3, IF(bbgm_stat &gt;= perc_90, converted_stat * 2, IF(bbgm_stat &gt;= perc_85, converted_stat * 1.5, converted_stat)))))</f>
        <v/>
      </c>
      <c r="Q457" s="30" t="str">
        <f t="array" ref="Q457">IF($A457="", "", LET(bbgm_stat, INDEX(Players!$A456:$P456, MATCH(Q$2, Players!$A$1:$P$1, 0)), perc_75, VLOOKUP(Q$2, Percentiles!$A$45:$I$59, 6, FALSE), perc_90, VLOOKUP(Q$2, Percentiles!$A$45:$I$59, 7, FALSE), perc_95, VLOOKUP(Q$2, Percentiles!$A$45:$I$59, 8, FALSE), perc_85, perc_75 + (perc_90 - perc_75) * (2/3), converted_stat, '2K_Ratings'!Q457, IF(bbgm_stat &gt;= perc_95, converted_stat * 3, IF(bbgm_stat &gt;= perc_90, converted_stat * 2, IF(bbgm_stat &gt;= perc_85, converted_stat * 1.5, converted_stat)))))</f>
        <v/>
      </c>
      <c r="R457" s="30" t="str">
        <f t="array" ref="R457">IF($A457="", "", LET(bbgm_stat, INDEX(Players!$A456:$P456, MATCH(R$2, Players!$A$1:$P$1, 0)), perc_75, VLOOKUP(R$2, Percentiles!$A$45:$I$59, 6, FALSE), perc_90, VLOOKUP(R$2, Percentiles!$A$45:$I$59, 7, FALSE), perc_95, VLOOKUP(R$2, Percentiles!$A$45:$I$59, 8, FALSE), perc_85, perc_75 + (perc_90 - perc_75) * (2/3), converted_stat, '2K_Ratings'!R457, IF(bbgm_stat &gt;= perc_95, converted_stat * 3, IF(bbgm_stat &gt;= perc_90, converted_stat * 2, IF(bbgm_stat &gt;= perc_85, converted_stat * 1.5, converted_stat)))))</f>
        <v/>
      </c>
      <c r="S457" s="30" t="str">
        <f t="array" ref="S457">IF($A457="", "", LET(bbgm_stat, INDEX(Players!$A456:$P456, MATCH(S$2, Players!$A$1:$P$1, 0)), perc_75, VLOOKUP(S$2, Percentiles!$A$45:$I$59, 6, FALSE), perc_90, VLOOKUP(S$2, Percentiles!$A$45:$I$59, 7, FALSE), perc_95, VLOOKUP(S$2, Percentiles!$A$45:$I$59, 8, FALSE), perc_85, perc_75 + (perc_90 - perc_75) * (2/3), converted_stat, '2K_Ratings'!S457, IF(bbgm_stat &gt;= perc_95, converted_stat * 3, IF(bbgm_stat &gt;= perc_90, converted_stat * 2, IF(bbgm_stat &gt;= perc_85, converted_stat * 1.5, converted_stat)))))</f>
        <v/>
      </c>
      <c r="T457" s="30" t="str">
        <f t="array" ref="T457">IF($A457="", "", LET(bbgm_stat, INDEX(Players!$A456:$P456, MATCH(T$2, Players!$A$1:$P$1, 0)), perc_75, VLOOKUP(T$2, Percentiles!$A$45:$I$59, 6, FALSE), perc_90, VLOOKUP(T$2, Percentiles!$A$45:$I$59, 7, FALSE), perc_95, VLOOKUP(T$2, Percentiles!$A$45:$I$59, 8, FALSE), perc_85, perc_75 + (perc_90 - perc_75) * (2/3), converted_stat, '2K_Ratings'!T457, IF(bbgm_stat &gt;= perc_95, converted_stat * 3, IF(bbgm_stat &gt;= perc_90, converted_stat * 2, IF(bbgm_stat &gt;= perc_85, converted_stat * 1.5, converted_stat)))))</f>
        <v/>
      </c>
      <c r="U457" s="30" t="str">
        <f t="array" ref="U457">IF($A457="", "", LET(bbgm_stat, INDEX(Players!$A456:$P456, MATCH(U$2, Players!$A$1:$P$1, 0)), perc_75, VLOOKUP(U$2, Percentiles!$A$45:$I$59, 6, FALSE), perc_90, VLOOKUP(U$2, Percentiles!$A$45:$I$59, 7, FALSE), perc_95, VLOOKUP(U$2, Percentiles!$A$45:$I$59, 8, FALSE), perc_85, perc_75 + (perc_90 - perc_75) * (2/3), converted_stat, '2K_Ratings'!U457, IF(bbgm_stat &gt;= perc_95, converted_stat * 3, IF(bbgm_stat &gt;= perc_90, converted_stat * 2, IF(bbgm_stat &gt;= perc_85, converted_stat * 1.5, converted_stat)))))</f>
        <v/>
      </c>
      <c r="V457" s="30" t="str">
        <f t="array" ref="V457">IF($A457="", "", LET(bbgm_stat, INDEX(Players!$A456:$P456, MATCH(V$2, Players!$A$1:$P$1, 0)), perc_75, VLOOKUP(V$2, Percentiles!$A$45:$I$59, 6, FALSE), perc_90, VLOOKUP(V$2, Percentiles!$A$45:$I$59, 7, FALSE), perc_95, VLOOKUP(V$2, Percentiles!$A$45:$I$59, 8, FALSE), perc_85, perc_75 + (perc_90 - perc_75) * (2/3), converted_stat, '2K_Ratings'!V457, IF(bbgm_stat &gt;= perc_95, converted_stat * 3, IF(bbgm_stat &gt;= perc_90, converted_stat * 2, IF(bbgm_stat &gt;= perc_85, converted_stat * 1.5, converted_stat)))))</f>
        <v/>
      </c>
      <c r="W457" s="30" t="str">
        <f t="array" ref="W457">IF($A457="", "", LET(bbgm_stat, INDEX(Players!$A456:$P456, MATCH(W$2, Players!$A$1:$P$1, 0)), perc_75, VLOOKUP(W$2, Percentiles!$A$45:$I$59, 6, FALSE), perc_90, VLOOKUP(W$2, Percentiles!$A$45:$I$59, 7, FALSE), perc_95, VLOOKUP(W$2, Percentiles!$A$45:$I$59, 8, FALSE), perc_85, perc_75 + (perc_90 - perc_75) * (2/3), converted_stat, '2K_Ratings'!W457, IF(bbgm_stat &gt;= perc_95, converted_stat * 3, IF(bbgm_stat &gt;= perc_90, converted_stat * 2, IF(bbgm_stat &gt;= perc_85, converted_stat * 1.5, converted_stat)))))</f>
        <v/>
      </c>
    </row>
    <row r="458">
      <c r="A458" s="30"/>
      <c r="B458" s="30" t="str">
        <f t="array" ref="B458">IF($A458="", "", LET(bbgm_stat, INDEX(Players!$A457:$P457, MATCH(B$2, Players!$A$1:$P$1, 0)), perc_75, VLOOKUP(B$2, Percentiles!$A$45:$I$59, 6, FALSE), perc_90, VLOOKUP(B$2, Percentiles!$A$45:$I$59, 7, FALSE), perc_95, VLOOKUP(B$2, Percentiles!$A$45:$I$59, 8, FALSE), perc_85, perc_75 + (perc_90 - perc_75) * (2/3), converted_stat, '2K_Ratings'!B458, IF(bbgm_stat &gt;= perc_95, converted_stat * 3, IF(bbgm_stat &gt;= perc_90, converted_stat * 2, IF(bbgm_stat &gt;= perc_85, converted_stat * 1.5, converted_stat)))))</f>
        <v/>
      </c>
      <c r="C458" s="30" t="str">
        <f t="array" ref="C458">IF($A458="", "", LET(bbgm_stat, INDEX(Players!$A457:$P457, MATCH(C$2, Players!$A$1:$P$1, 0)), perc_75, VLOOKUP(C$2, Percentiles!$A$45:$I$59, 6, FALSE), perc_90, VLOOKUP(C$2, Percentiles!$A$45:$I$59, 7, FALSE), perc_95, VLOOKUP(C$2, Percentiles!$A$45:$I$59, 8, FALSE), perc_85, perc_75 + (perc_90 - perc_75) * (2/3), converted_stat, '2K_Ratings'!C458, IF(bbgm_stat &gt;= perc_95, converted_stat * 3, IF(bbgm_stat &gt;= perc_90, converted_stat * 2, IF(bbgm_stat &gt;= perc_85, converted_stat * 1.5, converted_stat)))))</f>
        <v/>
      </c>
      <c r="D458" s="30" t="str">
        <f t="array" ref="D458">IF($A458="", "", LET(bbgm_stat, INDEX(Players!$A457:$P457, MATCH(D$2, Players!$A$1:$P$1, 0)), perc_75, VLOOKUP(D$2, Percentiles!$A$45:$I$59, 6, FALSE), perc_90, VLOOKUP(D$2, Percentiles!$A$45:$I$59, 7, FALSE), perc_95, VLOOKUP(D$2, Percentiles!$A$45:$I$59, 8, FALSE), perc_85, perc_75 + (perc_90 - perc_75) * (2/3), converted_stat, '2K_Ratings'!D458, IF(bbgm_stat &gt;= perc_95, converted_stat * 3, IF(bbgm_stat &gt;= perc_90, converted_stat * 2, IF(bbgm_stat &gt;= perc_85, converted_stat * 1.5, converted_stat)))))</f>
        <v/>
      </c>
      <c r="E458" s="30" t="str">
        <f t="array" ref="E458">IF($A458="", "", LET(bbgm_stat, INDEX(Players!$A457:$P457, MATCH(E$2, Players!$A$1:$P$1, 0)), perc_75, VLOOKUP(E$2, Percentiles!$A$45:$I$59, 6, FALSE), perc_90, VLOOKUP(E$2, Percentiles!$A$45:$I$59, 7, FALSE), perc_95, VLOOKUP(E$2, Percentiles!$A$45:$I$59, 8, FALSE), perc_85, perc_75 + (perc_90 - perc_75) * (2/3), converted_stat, '2K_Ratings'!E458, IF(bbgm_stat &gt;= perc_95, converted_stat * 3, IF(bbgm_stat &gt;= perc_90, converted_stat * 2, IF(bbgm_stat &gt;= perc_85, converted_stat * 1.5, converted_stat)))))</f>
        <v/>
      </c>
      <c r="F458" s="30" t="str">
        <f t="array" ref="F458">IF($A458="", "", LET(bbgm_stat, INDEX(Players!$A457:$P457, MATCH(F$2, Players!$A$1:$P$1, 0)), perc_75, VLOOKUP(F$2, Percentiles!$A$45:$I$59, 6, FALSE), perc_90, VLOOKUP(F$2, Percentiles!$A$45:$I$59, 7, FALSE), perc_95, VLOOKUP(F$2, Percentiles!$A$45:$I$59, 8, FALSE), perc_85, perc_75 + (perc_90 - perc_75) * (2/3), converted_stat, '2K_Ratings'!F458, IF(bbgm_stat &gt;= perc_95, converted_stat * 3, IF(bbgm_stat &gt;= perc_90, converted_stat * 2, IF(bbgm_stat &gt;= perc_85, converted_stat * 1.5, converted_stat)))))</f>
        <v/>
      </c>
      <c r="G458" s="30" t="str">
        <f t="array" ref="G458">IF($A458="", "", LET(bbgm_stat, INDEX(Players!$A457:$P457, MATCH(G$2, Players!$A$1:$P$1, 0)), perc_75, VLOOKUP(G$2, Percentiles!$A$45:$I$59, 6, FALSE), perc_90, VLOOKUP(G$2, Percentiles!$A$45:$I$59, 7, FALSE), perc_95, VLOOKUP(G$2, Percentiles!$A$45:$I$59, 8, FALSE), perc_85, perc_75 + (perc_90 - perc_75) * (2/3), converted_stat, '2K_Ratings'!G458, IF(bbgm_stat &gt;= perc_95, converted_stat * 3, IF(bbgm_stat &gt;= perc_90, converted_stat * 2, IF(bbgm_stat &gt;= perc_85, converted_stat * 1.5, converted_stat)))))</f>
        <v/>
      </c>
      <c r="H458" s="30" t="str">
        <f t="array" ref="H458">IF($A458="", "", LET(bbgm_stat, INDEX(Players!$A457:$P457, MATCH(H$2, Players!$A$1:$P$1, 0)), perc_75, VLOOKUP(H$2, Percentiles!$A$45:$I$59, 6, FALSE), perc_90, VLOOKUP(H$2, Percentiles!$A$45:$I$59, 7, FALSE), perc_95, VLOOKUP(H$2, Percentiles!$A$45:$I$59, 8, FALSE), perc_85, perc_75 + (perc_90 - perc_75) * (2/3), converted_stat, '2K_Ratings'!H458, IF(bbgm_stat &gt;= perc_95, converted_stat * 3, IF(bbgm_stat &gt;= perc_90, converted_stat * 2, IF(bbgm_stat &gt;= perc_85, converted_stat * 1.5, converted_stat)))))</f>
        <v/>
      </c>
      <c r="I458" s="30" t="str">
        <f t="array" ref="I458">IF($A458="", "", LET(bbgm_stat, INDEX(Players!$A457:$P457, MATCH(I$2, Players!$A$1:$P$1, 0)), perc_75, VLOOKUP(I$2, Percentiles!$A$45:$I$59, 6, FALSE), perc_90, VLOOKUP(I$2, Percentiles!$A$45:$I$59, 7, FALSE), perc_95, VLOOKUP(I$2, Percentiles!$A$45:$I$59, 8, FALSE), perc_85, perc_75 + (perc_90 - perc_75) * (2/3), converted_stat, '2K_Ratings'!I458, IF(bbgm_stat &gt;= perc_95, converted_stat * 3, IF(bbgm_stat &gt;= perc_90, converted_stat * 2, IF(bbgm_stat &gt;= perc_85, converted_stat * 1.5, converted_stat)))))</f>
        <v/>
      </c>
      <c r="J458" s="30" t="str">
        <f t="array" ref="J458">IF($A458="", "", LET(bbgm_stat, INDEX(Players!$A457:$P457, MATCH(J$2, Players!$A$1:$P$1, 0)), perc_75, VLOOKUP(J$2, Percentiles!$A$45:$I$59, 6, FALSE), perc_90, VLOOKUP(J$2, Percentiles!$A$45:$I$59, 7, FALSE), perc_95, VLOOKUP(J$2, Percentiles!$A$45:$I$59, 8, FALSE), perc_85, perc_75 + (perc_90 - perc_75) * (2/3), converted_stat, '2K_Ratings'!J458, IF(bbgm_stat &gt;= perc_95, converted_stat * 3, IF(bbgm_stat &gt;= perc_90, converted_stat * 2, IF(bbgm_stat &gt;= perc_85, converted_stat * 1.5, converted_stat)))))</f>
        <v/>
      </c>
      <c r="K458" s="30" t="str">
        <f t="array" ref="K458">IF($A458="", "", LET(bbgm_stat, INDEX(Players!$A457:$P457, MATCH(K$2, Players!$A$1:$P$1, 0)), perc_75, VLOOKUP(K$2, Percentiles!$A$45:$I$59, 6, FALSE), perc_90, VLOOKUP(K$2, Percentiles!$A$45:$I$59, 7, FALSE), perc_95, VLOOKUP(K$2, Percentiles!$A$45:$I$59, 8, FALSE), perc_85, perc_75 + (perc_90 - perc_75) * (2/3), converted_stat, '2K_Ratings'!K458, IF(bbgm_stat &gt;= perc_95, converted_stat * 3, IF(bbgm_stat &gt;= perc_90, converted_stat * 2, IF(bbgm_stat &gt;= perc_85, converted_stat * 1.5, converted_stat)))))</f>
        <v/>
      </c>
      <c r="L458" s="30" t="str">
        <f t="array" ref="L458">IF($A458="", "", LET(bbgm_stat, INDEX(Players!$A457:$P457, MATCH(L$2, Players!$A$1:$P$1, 0)), perc_75, VLOOKUP(L$2, Percentiles!$A$45:$I$59, 6, FALSE), perc_90, VLOOKUP(L$2, Percentiles!$A$45:$I$59, 7, FALSE), perc_95, VLOOKUP(L$2, Percentiles!$A$45:$I$59, 8, FALSE), perc_85, perc_75 + (perc_90 - perc_75) * (2/3), converted_stat, '2K_Ratings'!L458, IF(bbgm_stat &gt;= perc_95, converted_stat * 3, IF(bbgm_stat &gt;= perc_90, converted_stat * 2, IF(bbgm_stat &gt;= perc_85, converted_stat * 1.5, converted_stat)))))</f>
        <v/>
      </c>
      <c r="M458" s="30" t="str">
        <f t="array" ref="M458">IF($A458="", "", LET(bbgm_stat, INDEX(Players!$A457:$P457, MATCH(M$2, Players!$A$1:$P$1, 0)), perc_75, VLOOKUP(M$2, Percentiles!$A$45:$I$59, 6, FALSE), perc_90, VLOOKUP(M$2, Percentiles!$A$45:$I$59, 7, FALSE), perc_95, VLOOKUP(M$2, Percentiles!$A$45:$I$59, 8, FALSE), perc_85, perc_75 + (perc_90 - perc_75) * (2/3), converted_stat, '2K_Ratings'!M458, IF(bbgm_stat &gt;= perc_95, converted_stat * 3, IF(bbgm_stat &gt;= perc_90, converted_stat * 2, IF(bbgm_stat &gt;= perc_85, converted_stat * 1.5, converted_stat)))))</f>
        <v/>
      </c>
      <c r="N458" s="30" t="str">
        <f t="array" ref="N458">IF($A458="", "", LET(bbgm_stat, INDEX(Players!$A457:$P457, MATCH(N$2, Players!$A$1:$P$1, 0)), perc_75, VLOOKUP(N$2, Percentiles!$A$45:$I$59, 6, FALSE), perc_90, VLOOKUP(N$2, Percentiles!$A$45:$I$59, 7, FALSE), perc_95, VLOOKUP(N$2, Percentiles!$A$45:$I$59, 8, FALSE), perc_85, perc_75 + (perc_90 - perc_75) * (2/3), converted_stat, '2K_Ratings'!N458, IF(bbgm_stat &gt;= perc_95, converted_stat * 3, IF(bbgm_stat &gt;= perc_90, converted_stat * 2, IF(bbgm_stat &gt;= perc_85, converted_stat * 1.5, converted_stat)))))</f>
        <v/>
      </c>
      <c r="O458" s="30" t="str">
        <f t="array" ref="O458">IF($A458="", "", LET(bbgm_stat, INDEX(Players!$A457:$P457, MATCH(O$2, Players!$A$1:$P$1, 0)), perc_75, VLOOKUP(O$2, Percentiles!$A$45:$I$59, 6, FALSE), perc_90, VLOOKUP(O$2, Percentiles!$A$45:$I$59, 7, FALSE), perc_95, VLOOKUP(O$2, Percentiles!$A$45:$I$59, 8, FALSE), perc_85, perc_75 + (perc_90 - perc_75) * (2/3), converted_stat, '2K_Ratings'!O458, IF(bbgm_stat &gt;= perc_95, converted_stat * 3, IF(bbgm_stat &gt;= perc_90, converted_stat * 2, IF(bbgm_stat &gt;= perc_85, converted_stat * 1.5, converted_stat)))))</f>
        <v/>
      </c>
      <c r="P458" s="30" t="str">
        <f t="array" ref="P458">IF($A458="", "", LET(bbgm_stat, INDEX(Players!$A457:$P457, MATCH(P$2, Players!$A$1:$P$1, 0)), perc_75, VLOOKUP(P$2, Percentiles!$A$45:$I$59, 6, FALSE), perc_90, VLOOKUP(P$2, Percentiles!$A$45:$I$59, 7, FALSE), perc_95, VLOOKUP(P$2, Percentiles!$A$45:$I$59, 8, FALSE), perc_85, perc_75 + (perc_90 - perc_75) * (2/3), converted_stat, '2K_Ratings'!P458, IF(bbgm_stat &gt;= perc_95, converted_stat * 3, IF(bbgm_stat &gt;= perc_90, converted_stat * 2, IF(bbgm_stat &gt;= perc_85, converted_stat * 1.5, converted_stat)))))</f>
        <v/>
      </c>
      <c r="Q458" s="30" t="str">
        <f t="array" ref="Q458">IF($A458="", "", LET(bbgm_stat, INDEX(Players!$A457:$P457, MATCH(Q$2, Players!$A$1:$P$1, 0)), perc_75, VLOOKUP(Q$2, Percentiles!$A$45:$I$59, 6, FALSE), perc_90, VLOOKUP(Q$2, Percentiles!$A$45:$I$59, 7, FALSE), perc_95, VLOOKUP(Q$2, Percentiles!$A$45:$I$59, 8, FALSE), perc_85, perc_75 + (perc_90 - perc_75) * (2/3), converted_stat, '2K_Ratings'!Q458, IF(bbgm_stat &gt;= perc_95, converted_stat * 3, IF(bbgm_stat &gt;= perc_90, converted_stat * 2, IF(bbgm_stat &gt;= perc_85, converted_stat * 1.5, converted_stat)))))</f>
        <v/>
      </c>
      <c r="R458" s="30" t="str">
        <f t="array" ref="R458">IF($A458="", "", LET(bbgm_stat, INDEX(Players!$A457:$P457, MATCH(R$2, Players!$A$1:$P$1, 0)), perc_75, VLOOKUP(R$2, Percentiles!$A$45:$I$59, 6, FALSE), perc_90, VLOOKUP(R$2, Percentiles!$A$45:$I$59, 7, FALSE), perc_95, VLOOKUP(R$2, Percentiles!$A$45:$I$59, 8, FALSE), perc_85, perc_75 + (perc_90 - perc_75) * (2/3), converted_stat, '2K_Ratings'!R458, IF(bbgm_stat &gt;= perc_95, converted_stat * 3, IF(bbgm_stat &gt;= perc_90, converted_stat * 2, IF(bbgm_stat &gt;= perc_85, converted_stat * 1.5, converted_stat)))))</f>
        <v/>
      </c>
      <c r="S458" s="30" t="str">
        <f t="array" ref="S458">IF($A458="", "", LET(bbgm_stat, INDEX(Players!$A457:$P457, MATCH(S$2, Players!$A$1:$P$1, 0)), perc_75, VLOOKUP(S$2, Percentiles!$A$45:$I$59, 6, FALSE), perc_90, VLOOKUP(S$2, Percentiles!$A$45:$I$59, 7, FALSE), perc_95, VLOOKUP(S$2, Percentiles!$A$45:$I$59, 8, FALSE), perc_85, perc_75 + (perc_90 - perc_75) * (2/3), converted_stat, '2K_Ratings'!S458, IF(bbgm_stat &gt;= perc_95, converted_stat * 3, IF(bbgm_stat &gt;= perc_90, converted_stat * 2, IF(bbgm_stat &gt;= perc_85, converted_stat * 1.5, converted_stat)))))</f>
        <v/>
      </c>
      <c r="T458" s="30" t="str">
        <f t="array" ref="T458">IF($A458="", "", LET(bbgm_stat, INDEX(Players!$A457:$P457, MATCH(T$2, Players!$A$1:$P$1, 0)), perc_75, VLOOKUP(T$2, Percentiles!$A$45:$I$59, 6, FALSE), perc_90, VLOOKUP(T$2, Percentiles!$A$45:$I$59, 7, FALSE), perc_95, VLOOKUP(T$2, Percentiles!$A$45:$I$59, 8, FALSE), perc_85, perc_75 + (perc_90 - perc_75) * (2/3), converted_stat, '2K_Ratings'!T458, IF(bbgm_stat &gt;= perc_95, converted_stat * 3, IF(bbgm_stat &gt;= perc_90, converted_stat * 2, IF(bbgm_stat &gt;= perc_85, converted_stat * 1.5, converted_stat)))))</f>
        <v/>
      </c>
      <c r="U458" s="30" t="str">
        <f t="array" ref="U458">IF($A458="", "", LET(bbgm_stat, INDEX(Players!$A457:$P457, MATCH(U$2, Players!$A$1:$P$1, 0)), perc_75, VLOOKUP(U$2, Percentiles!$A$45:$I$59, 6, FALSE), perc_90, VLOOKUP(U$2, Percentiles!$A$45:$I$59, 7, FALSE), perc_95, VLOOKUP(U$2, Percentiles!$A$45:$I$59, 8, FALSE), perc_85, perc_75 + (perc_90 - perc_75) * (2/3), converted_stat, '2K_Ratings'!U458, IF(bbgm_stat &gt;= perc_95, converted_stat * 3, IF(bbgm_stat &gt;= perc_90, converted_stat * 2, IF(bbgm_stat &gt;= perc_85, converted_stat * 1.5, converted_stat)))))</f>
        <v/>
      </c>
      <c r="V458" s="30" t="str">
        <f t="array" ref="V458">IF($A458="", "", LET(bbgm_stat, INDEX(Players!$A457:$P457, MATCH(V$2, Players!$A$1:$P$1, 0)), perc_75, VLOOKUP(V$2, Percentiles!$A$45:$I$59, 6, FALSE), perc_90, VLOOKUP(V$2, Percentiles!$A$45:$I$59, 7, FALSE), perc_95, VLOOKUP(V$2, Percentiles!$A$45:$I$59, 8, FALSE), perc_85, perc_75 + (perc_90 - perc_75) * (2/3), converted_stat, '2K_Ratings'!V458, IF(bbgm_stat &gt;= perc_95, converted_stat * 3, IF(bbgm_stat &gt;= perc_90, converted_stat * 2, IF(bbgm_stat &gt;= perc_85, converted_stat * 1.5, converted_stat)))))</f>
        <v/>
      </c>
      <c r="W458" s="30" t="str">
        <f t="array" ref="W458">IF($A458="", "", LET(bbgm_stat, INDEX(Players!$A457:$P457, MATCH(W$2, Players!$A$1:$P$1, 0)), perc_75, VLOOKUP(W$2, Percentiles!$A$45:$I$59, 6, FALSE), perc_90, VLOOKUP(W$2, Percentiles!$A$45:$I$59, 7, FALSE), perc_95, VLOOKUP(W$2, Percentiles!$A$45:$I$59, 8, FALSE), perc_85, perc_75 + (perc_90 - perc_75) * (2/3), converted_stat, '2K_Ratings'!W458, IF(bbgm_stat &gt;= perc_95, converted_stat * 3, IF(bbgm_stat &gt;= perc_90, converted_stat * 2, IF(bbgm_stat &gt;= perc_85, converted_stat * 1.5, converted_stat)))))</f>
        <v/>
      </c>
    </row>
    <row r="459">
      <c r="A459" s="30"/>
      <c r="B459" s="30" t="str">
        <f t="array" ref="B459">IF($A459="", "", LET(bbgm_stat, INDEX(Players!$A458:$P458, MATCH(B$2, Players!$A$1:$P$1, 0)), perc_75, VLOOKUP(B$2, Percentiles!$A$45:$I$59, 6, FALSE), perc_90, VLOOKUP(B$2, Percentiles!$A$45:$I$59, 7, FALSE), perc_95, VLOOKUP(B$2, Percentiles!$A$45:$I$59, 8, FALSE), perc_85, perc_75 + (perc_90 - perc_75) * (2/3), converted_stat, '2K_Ratings'!B459, IF(bbgm_stat &gt;= perc_95, converted_stat * 3, IF(bbgm_stat &gt;= perc_90, converted_stat * 2, IF(bbgm_stat &gt;= perc_85, converted_stat * 1.5, converted_stat)))))</f>
        <v/>
      </c>
      <c r="C459" s="30" t="str">
        <f t="array" ref="C459">IF($A459="", "", LET(bbgm_stat, INDEX(Players!$A458:$P458, MATCH(C$2, Players!$A$1:$P$1, 0)), perc_75, VLOOKUP(C$2, Percentiles!$A$45:$I$59, 6, FALSE), perc_90, VLOOKUP(C$2, Percentiles!$A$45:$I$59, 7, FALSE), perc_95, VLOOKUP(C$2, Percentiles!$A$45:$I$59, 8, FALSE), perc_85, perc_75 + (perc_90 - perc_75) * (2/3), converted_stat, '2K_Ratings'!C459, IF(bbgm_stat &gt;= perc_95, converted_stat * 3, IF(bbgm_stat &gt;= perc_90, converted_stat * 2, IF(bbgm_stat &gt;= perc_85, converted_stat * 1.5, converted_stat)))))</f>
        <v/>
      </c>
      <c r="D459" s="30" t="str">
        <f t="array" ref="D459">IF($A459="", "", LET(bbgm_stat, INDEX(Players!$A458:$P458, MATCH(D$2, Players!$A$1:$P$1, 0)), perc_75, VLOOKUP(D$2, Percentiles!$A$45:$I$59, 6, FALSE), perc_90, VLOOKUP(D$2, Percentiles!$A$45:$I$59, 7, FALSE), perc_95, VLOOKUP(D$2, Percentiles!$A$45:$I$59, 8, FALSE), perc_85, perc_75 + (perc_90 - perc_75) * (2/3), converted_stat, '2K_Ratings'!D459, IF(bbgm_stat &gt;= perc_95, converted_stat * 3, IF(bbgm_stat &gt;= perc_90, converted_stat * 2, IF(bbgm_stat &gt;= perc_85, converted_stat * 1.5, converted_stat)))))</f>
        <v/>
      </c>
      <c r="E459" s="30" t="str">
        <f t="array" ref="E459">IF($A459="", "", LET(bbgm_stat, INDEX(Players!$A458:$P458, MATCH(E$2, Players!$A$1:$P$1, 0)), perc_75, VLOOKUP(E$2, Percentiles!$A$45:$I$59, 6, FALSE), perc_90, VLOOKUP(E$2, Percentiles!$A$45:$I$59, 7, FALSE), perc_95, VLOOKUP(E$2, Percentiles!$A$45:$I$59, 8, FALSE), perc_85, perc_75 + (perc_90 - perc_75) * (2/3), converted_stat, '2K_Ratings'!E459, IF(bbgm_stat &gt;= perc_95, converted_stat * 3, IF(bbgm_stat &gt;= perc_90, converted_stat * 2, IF(bbgm_stat &gt;= perc_85, converted_stat * 1.5, converted_stat)))))</f>
        <v/>
      </c>
      <c r="F459" s="30" t="str">
        <f t="array" ref="F459">IF($A459="", "", LET(bbgm_stat, INDEX(Players!$A458:$P458, MATCH(F$2, Players!$A$1:$P$1, 0)), perc_75, VLOOKUP(F$2, Percentiles!$A$45:$I$59, 6, FALSE), perc_90, VLOOKUP(F$2, Percentiles!$A$45:$I$59, 7, FALSE), perc_95, VLOOKUP(F$2, Percentiles!$A$45:$I$59, 8, FALSE), perc_85, perc_75 + (perc_90 - perc_75) * (2/3), converted_stat, '2K_Ratings'!F459, IF(bbgm_stat &gt;= perc_95, converted_stat * 3, IF(bbgm_stat &gt;= perc_90, converted_stat * 2, IF(bbgm_stat &gt;= perc_85, converted_stat * 1.5, converted_stat)))))</f>
        <v/>
      </c>
      <c r="G459" s="30" t="str">
        <f t="array" ref="G459">IF($A459="", "", LET(bbgm_stat, INDEX(Players!$A458:$P458, MATCH(G$2, Players!$A$1:$P$1, 0)), perc_75, VLOOKUP(G$2, Percentiles!$A$45:$I$59, 6, FALSE), perc_90, VLOOKUP(G$2, Percentiles!$A$45:$I$59, 7, FALSE), perc_95, VLOOKUP(G$2, Percentiles!$A$45:$I$59, 8, FALSE), perc_85, perc_75 + (perc_90 - perc_75) * (2/3), converted_stat, '2K_Ratings'!G459, IF(bbgm_stat &gt;= perc_95, converted_stat * 3, IF(bbgm_stat &gt;= perc_90, converted_stat * 2, IF(bbgm_stat &gt;= perc_85, converted_stat * 1.5, converted_stat)))))</f>
        <v/>
      </c>
      <c r="H459" s="30" t="str">
        <f t="array" ref="H459">IF($A459="", "", LET(bbgm_stat, INDEX(Players!$A458:$P458, MATCH(H$2, Players!$A$1:$P$1, 0)), perc_75, VLOOKUP(H$2, Percentiles!$A$45:$I$59, 6, FALSE), perc_90, VLOOKUP(H$2, Percentiles!$A$45:$I$59, 7, FALSE), perc_95, VLOOKUP(H$2, Percentiles!$A$45:$I$59, 8, FALSE), perc_85, perc_75 + (perc_90 - perc_75) * (2/3), converted_stat, '2K_Ratings'!H459, IF(bbgm_stat &gt;= perc_95, converted_stat * 3, IF(bbgm_stat &gt;= perc_90, converted_stat * 2, IF(bbgm_stat &gt;= perc_85, converted_stat * 1.5, converted_stat)))))</f>
        <v/>
      </c>
      <c r="I459" s="30" t="str">
        <f t="array" ref="I459">IF($A459="", "", LET(bbgm_stat, INDEX(Players!$A458:$P458, MATCH(I$2, Players!$A$1:$P$1, 0)), perc_75, VLOOKUP(I$2, Percentiles!$A$45:$I$59, 6, FALSE), perc_90, VLOOKUP(I$2, Percentiles!$A$45:$I$59, 7, FALSE), perc_95, VLOOKUP(I$2, Percentiles!$A$45:$I$59, 8, FALSE), perc_85, perc_75 + (perc_90 - perc_75) * (2/3), converted_stat, '2K_Ratings'!I459, IF(bbgm_stat &gt;= perc_95, converted_stat * 3, IF(bbgm_stat &gt;= perc_90, converted_stat * 2, IF(bbgm_stat &gt;= perc_85, converted_stat * 1.5, converted_stat)))))</f>
        <v/>
      </c>
      <c r="J459" s="30" t="str">
        <f t="array" ref="J459">IF($A459="", "", LET(bbgm_stat, INDEX(Players!$A458:$P458, MATCH(J$2, Players!$A$1:$P$1, 0)), perc_75, VLOOKUP(J$2, Percentiles!$A$45:$I$59, 6, FALSE), perc_90, VLOOKUP(J$2, Percentiles!$A$45:$I$59, 7, FALSE), perc_95, VLOOKUP(J$2, Percentiles!$A$45:$I$59, 8, FALSE), perc_85, perc_75 + (perc_90 - perc_75) * (2/3), converted_stat, '2K_Ratings'!J459, IF(bbgm_stat &gt;= perc_95, converted_stat * 3, IF(bbgm_stat &gt;= perc_90, converted_stat * 2, IF(bbgm_stat &gt;= perc_85, converted_stat * 1.5, converted_stat)))))</f>
        <v/>
      </c>
      <c r="K459" s="30" t="str">
        <f t="array" ref="K459">IF($A459="", "", LET(bbgm_stat, INDEX(Players!$A458:$P458, MATCH(K$2, Players!$A$1:$P$1, 0)), perc_75, VLOOKUP(K$2, Percentiles!$A$45:$I$59, 6, FALSE), perc_90, VLOOKUP(K$2, Percentiles!$A$45:$I$59, 7, FALSE), perc_95, VLOOKUP(K$2, Percentiles!$A$45:$I$59, 8, FALSE), perc_85, perc_75 + (perc_90 - perc_75) * (2/3), converted_stat, '2K_Ratings'!K459, IF(bbgm_stat &gt;= perc_95, converted_stat * 3, IF(bbgm_stat &gt;= perc_90, converted_stat * 2, IF(bbgm_stat &gt;= perc_85, converted_stat * 1.5, converted_stat)))))</f>
        <v/>
      </c>
      <c r="L459" s="30" t="str">
        <f t="array" ref="L459">IF($A459="", "", LET(bbgm_stat, INDEX(Players!$A458:$P458, MATCH(L$2, Players!$A$1:$P$1, 0)), perc_75, VLOOKUP(L$2, Percentiles!$A$45:$I$59, 6, FALSE), perc_90, VLOOKUP(L$2, Percentiles!$A$45:$I$59, 7, FALSE), perc_95, VLOOKUP(L$2, Percentiles!$A$45:$I$59, 8, FALSE), perc_85, perc_75 + (perc_90 - perc_75) * (2/3), converted_stat, '2K_Ratings'!L459, IF(bbgm_stat &gt;= perc_95, converted_stat * 3, IF(bbgm_stat &gt;= perc_90, converted_stat * 2, IF(bbgm_stat &gt;= perc_85, converted_stat * 1.5, converted_stat)))))</f>
        <v/>
      </c>
      <c r="M459" s="30" t="str">
        <f t="array" ref="M459">IF($A459="", "", LET(bbgm_stat, INDEX(Players!$A458:$P458, MATCH(M$2, Players!$A$1:$P$1, 0)), perc_75, VLOOKUP(M$2, Percentiles!$A$45:$I$59, 6, FALSE), perc_90, VLOOKUP(M$2, Percentiles!$A$45:$I$59, 7, FALSE), perc_95, VLOOKUP(M$2, Percentiles!$A$45:$I$59, 8, FALSE), perc_85, perc_75 + (perc_90 - perc_75) * (2/3), converted_stat, '2K_Ratings'!M459, IF(bbgm_stat &gt;= perc_95, converted_stat * 3, IF(bbgm_stat &gt;= perc_90, converted_stat * 2, IF(bbgm_stat &gt;= perc_85, converted_stat * 1.5, converted_stat)))))</f>
        <v/>
      </c>
      <c r="N459" s="30" t="str">
        <f t="array" ref="N459">IF($A459="", "", LET(bbgm_stat, INDEX(Players!$A458:$P458, MATCH(N$2, Players!$A$1:$P$1, 0)), perc_75, VLOOKUP(N$2, Percentiles!$A$45:$I$59, 6, FALSE), perc_90, VLOOKUP(N$2, Percentiles!$A$45:$I$59, 7, FALSE), perc_95, VLOOKUP(N$2, Percentiles!$A$45:$I$59, 8, FALSE), perc_85, perc_75 + (perc_90 - perc_75) * (2/3), converted_stat, '2K_Ratings'!N459, IF(bbgm_stat &gt;= perc_95, converted_stat * 3, IF(bbgm_stat &gt;= perc_90, converted_stat * 2, IF(bbgm_stat &gt;= perc_85, converted_stat * 1.5, converted_stat)))))</f>
        <v/>
      </c>
      <c r="O459" s="30" t="str">
        <f t="array" ref="O459">IF($A459="", "", LET(bbgm_stat, INDEX(Players!$A458:$P458, MATCH(O$2, Players!$A$1:$P$1, 0)), perc_75, VLOOKUP(O$2, Percentiles!$A$45:$I$59, 6, FALSE), perc_90, VLOOKUP(O$2, Percentiles!$A$45:$I$59, 7, FALSE), perc_95, VLOOKUP(O$2, Percentiles!$A$45:$I$59, 8, FALSE), perc_85, perc_75 + (perc_90 - perc_75) * (2/3), converted_stat, '2K_Ratings'!O459, IF(bbgm_stat &gt;= perc_95, converted_stat * 3, IF(bbgm_stat &gt;= perc_90, converted_stat * 2, IF(bbgm_stat &gt;= perc_85, converted_stat * 1.5, converted_stat)))))</f>
        <v/>
      </c>
      <c r="P459" s="30" t="str">
        <f t="array" ref="P459">IF($A459="", "", LET(bbgm_stat, INDEX(Players!$A458:$P458, MATCH(P$2, Players!$A$1:$P$1, 0)), perc_75, VLOOKUP(P$2, Percentiles!$A$45:$I$59, 6, FALSE), perc_90, VLOOKUP(P$2, Percentiles!$A$45:$I$59, 7, FALSE), perc_95, VLOOKUP(P$2, Percentiles!$A$45:$I$59, 8, FALSE), perc_85, perc_75 + (perc_90 - perc_75) * (2/3), converted_stat, '2K_Ratings'!P459, IF(bbgm_stat &gt;= perc_95, converted_stat * 3, IF(bbgm_stat &gt;= perc_90, converted_stat * 2, IF(bbgm_stat &gt;= perc_85, converted_stat * 1.5, converted_stat)))))</f>
        <v/>
      </c>
      <c r="Q459" s="30" t="str">
        <f t="array" ref="Q459">IF($A459="", "", LET(bbgm_stat, INDEX(Players!$A458:$P458, MATCH(Q$2, Players!$A$1:$P$1, 0)), perc_75, VLOOKUP(Q$2, Percentiles!$A$45:$I$59, 6, FALSE), perc_90, VLOOKUP(Q$2, Percentiles!$A$45:$I$59, 7, FALSE), perc_95, VLOOKUP(Q$2, Percentiles!$A$45:$I$59, 8, FALSE), perc_85, perc_75 + (perc_90 - perc_75) * (2/3), converted_stat, '2K_Ratings'!Q459, IF(bbgm_stat &gt;= perc_95, converted_stat * 3, IF(bbgm_stat &gt;= perc_90, converted_stat * 2, IF(bbgm_stat &gt;= perc_85, converted_stat * 1.5, converted_stat)))))</f>
        <v/>
      </c>
      <c r="R459" s="30" t="str">
        <f t="array" ref="R459">IF($A459="", "", LET(bbgm_stat, INDEX(Players!$A458:$P458, MATCH(R$2, Players!$A$1:$P$1, 0)), perc_75, VLOOKUP(R$2, Percentiles!$A$45:$I$59, 6, FALSE), perc_90, VLOOKUP(R$2, Percentiles!$A$45:$I$59, 7, FALSE), perc_95, VLOOKUP(R$2, Percentiles!$A$45:$I$59, 8, FALSE), perc_85, perc_75 + (perc_90 - perc_75) * (2/3), converted_stat, '2K_Ratings'!R459, IF(bbgm_stat &gt;= perc_95, converted_stat * 3, IF(bbgm_stat &gt;= perc_90, converted_stat * 2, IF(bbgm_stat &gt;= perc_85, converted_stat * 1.5, converted_stat)))))</f>
        <v/>
      </c>
      <c r="S459" s="30" t="str">
        <f t="array" ref="S459">IF($A459="", "", LET(bbgm_stat, INDEX(Players!$A458:$P458, MATCH(S$2, Players!$A$1:$P$1, 0)), perc_75, VLOOKUP(S$2, Percentiles!$A$45:$I$59, 6, FALSE), perc_90, VLOOKUP(S$2, Percentiles!$A$45:$I$59, 7, FALSE), perc_95, VLOOKUP(S$2, Percentiles!$A$45:$I$59, 8, FALSE), perc_85, perc_75 + (perc_90 - perc_75) * (2/3), converted_stat, '2K_Ratings'!S459, IF(bbgm_stat &gt;= perc_95, converted_stat * 3, IF(bbgm_stat &gt;= perc_90, converted_stat * 2, IF(bbgm_stat &gt;= perc_85, converted_stat * 1.5, converted_stat)))))</f>
        <v/>
      </c>
      <c r="T459" s="30" t="str">
        <f t="array" ref="T459">IF($A459="", "", LET(bbgm_stat, INDEX(Players!$A458:$P458, MATCH(T$2, Players!$A$1:$P$1, 0)), perc_75, VLOOKUP(T$2, Percentiles!$A$45:$I$59, 6, FALSE), perc_90, VLOOKUP(T$2, Percentiles!$A$45:$I$59, 7, FALSE), perc_95, VLOOKUP(T$2, Percentiles!$A$45:$I$59, 8, FALSE), perc_85, perc_75 + (perc_90 - perc_75) * (2/3), converted_stat, '2K_Ratings'!T459, IF(bbgm_stat &gt;= perc_95, converted_stat * 3, IF(bbgm_stat &gt;= perc_90, converted_stat * 2, IF(bbgm_stat &gt;= perc_85, converted_stat * 1.5, converted_stat)))))</f>
        <v/>
      </c>
      <c r="U459" s="30" t="str">
        <f t="array" ref="U459">IF($A459="", "", LET(bbgm_stat, INDEX(Players!$A458:$P458, MATCH(U$2, Players!$A$1:$P$1, 0)), perc_75, VLOOKUP(U$2, Percentiles!$A$45:$I$59, 6, FALSE), perc_90, VLOOKUP(U$2, Percentiles!$A$45:$I$59, 7, FALSE), perc_95, VLOOKUP(U$2, Percentiles!$A$45:$I$59, 8, FALSE), perc_85, perc_75 + (perc_90 - perc_75) * (2/3), converted_stat, '2K_Ratings'!U459, IF(bbgm_stat &gt;= perc_95, converted_stat * 3, IF(bbgm_stat &gt;= perc_90, converted_stat * 2, IF(bbgm_stat &gt;= perc_85, converted_stat * 1.5, converted_stat)))))</f>
        <v/>
      </c>
      <c r="V459" s="30" t="str">
        <f t="array" ref="V459">IF($A459="", "", LET(bbgm_stat, INDEX(Players!$A458:$P458, MATCH(V$2, Players!$A$1:$P$1, 0)), perc_75, VLOOKUP(V$2, Percentiles!$A$45:$I$59, 6, FALSE), perc_90, VLOOKUP(V$2, Percentiles!$A$45:$I$59, 7, FALSE), perc_95, VLOOKUP(V$2, Percentiles!$A$45:$I$59, 8, FALSE), perc_85, perc_75 + (perc_90 - perc_75) * (2/3), converted_stat, '2K_Ratings'!V459, IF(bbgm_stat &gt;= perc_95, converted_stat * 3, IF(bbgm_stat &gt;= perc_90, converted_stat * 2, IF(bbgm_stat &gt;= perc_85, converted_stat * 1.5, converted_stat)))))</f>
        <v/>
      </c>
      <c r="W459" s="30" t="str">
        <f t="array" ref="W459">IF($A459="", "", LET(bbgm_stat, INDEX(Players!$A458:$P458, MATCH(W$2, Players!$A$1:$P$1, 0)), perc_75, VLOOKUP(W$2, Percentiles!$A$45:$I$59, 6, FALSE), perc_90, VLOOKUP(W$2, Percentiles!$A$45:$I$59, 7, FALSE), perc_95, VLOOKUP(W$2, Percentiles!$A$45:$I$59, 8, FALSE), perc_85, perc_75 + (perc_90 - perc_75) * (2/3), converted_stat, '2K_Ratings'!W459, IF(bbgm_stat &gt;= perc_95, converted_stat * 3, IF(bbgm_stat &gt;= perc_90, converted_stat * 2, IF(bbgm_stat &gt;= perc_85, converted_stat * 1.5, converted_stat)))))</f>
        <v/>
      </c>
    </row>
    <row r="460">
      <c r="A460" s="30"/>
      <c r="B460" s="30" t="str">
        <f t="array" ref="B460">IF($A460="", "", LET(bbgm_stat, INDEX(Players!$A459:$P459, MATCH(B$2, Players!$A$1:$P$1, 0)), perc_75, VLOOKUP(B$2, Percentiles!$A$45:$I$59, 6, FALSE), perc_90, VLOOKUP(B$2, Percentiles!$A$45:$I$59, 7, FALSE), perc_95, VLOOKUP(B$2, Percentiles!$A$45:$I$59, 8, FALSE), perc_85, perc_75 + (perc_90 - perc_75) * (2/3), converted_stat, '2K_Ratings'!B460, IF(bbgm_stat &gt;= perc_95, converted_stat * 3, IF(bbgm_stat &gt;= perc_90, converted_stat * 2, IF(bbgm_stat &gt;= perc_85, converted_stat * 1.5, converted_stat)))))</f>
        <v/>
      </c>
      <c r="C460" s="30" t="str">
        <f t="array" ref="C460">IF($A460="", "", LET(bbgm_stat, INDEX(Players!$A459:$P459, MATCH(C$2, Players!$A$1:$P$1, 0)), perc_75, VLOOKUP(C$2, Percentiles!$A$45:$I$59, 6, FALSE), perc_90, VLOOKUP(C$2, Percentiles!$A$45:$I$59, 7, FALSE), perc_95, VLOOKUP(C$2, Percentiles!$A$45:$I$59, 8, FALSE), perc_85, perc_75 + (perc_90 - perc_75) * (2/3), converted_stat, '2K_Ratings'!C460, IF(bbgm_stat &gt;= perc_95, converted_stat * 3, IF(bbgm_stat &gt;= perc_90, converted_stat * 2, IF(bbgm_stat &gt;= perc_85, converted_stat * 1.5, converted_stat)))))</f>
        <v/>
      </c>
      <c r="D460" s="30" t="str">
        <f t="array" ref="D460">IF($A460="", "", LET(bbgm_stat, INDEX(Players!$A459:$P459, MATCH(D$2, Players!$A$1:$P$1, 0)), perc_75, VLOOKUP(D$2, Percentiles!$A$45:$I$59, 6, FALSE), perc_90, VLOOKUP(D$2, Percentiles!$A$45:$I$59, 7, FALSE), perc_95, VLOOKUP(D$2, Percentiles!$A$45:$I$59, 8, FALSE), perc_85, perc_75 + (perc_90 - perc_75) * (2/3), converted_stat, '2K_Ratings'!D460, IF(bbgm_stat &gt;= perc_95, converted_stat * 3, IF(bbgm_stat &gt;= perc_90, converted_stat * 2, IF(bbgm_stat &gt;= perc_85, converted_stat * 1.5, converted_stat)))))</f>
        <v/>
      </c>
      <c r="E460" s="30" t="str">
        <f t="array" ref="E460">IF($A460="", "", LET(bbgm_stat, INDEX(Players!$A459:$P459, MATCH(E$2, Players!$A$1:$P$1, 0)), perc_75, VLOOKUP(E$2, Percentiles!$A$45:$I$59, 6, FALSE), perc_90, VLOOKUP(E$2, Percentiles!$A$45:$I$59, 7, FALSE), perc_95, VLOOKUP(E$2, Percentiles!$A$45:$I$59, 8, FALSE), perc_85, perc_75 + (perc_90 - perc_75) * (2/3), converted_stat, '2K_Ratings'!E460, IF(bbgm_stat &gt;= perc_95, converted_stat * 3, IF(bbgm_stat &gt;= perc_90, converted_stat * 2, IF(bbgm_stat &gt;= perc_85, converted_stat * 1.5, converted_stat)))))</f>
        <v/>
      </c>
      <c r="F460" s="30" t="str">
        <f t="array" ref="F460">IF($A460="", "", LET(bbgm_stat, INDEX(Players!$A459:$P459, MATCH(F$2, Players!$A$1:$P$1, 0)), perc_75, VLOOKUP(F$2, Percentiles!$A$45:$I$59, 6, FALSE), perc_90, VLOOKUP(F$2, Percentiles!$A$45:$I$59, 7, FALSE), perc_95, VLOOKUP(F$2, Percentiles!$A$45:$I$59, 8, FALSE), perc_85, perc_75 + (perc_90 - perc_75) * (2/3), converted_stat, '2K_Ratings'!F460, IF(bbgm_stat &gt;= perc_95, converted_stat * 3, IF(bbgm_stat &gt;= perc_90, converted_stat * 2, IF(bbgm_stat &gt;= perc_85, converted_stat * 1.5, converted_stat)))))</f>
        <v/>
      </c>
      <c r="G460" s="30" t="str">
        <f t="array" ref="G460">IF($A460="", "", LET(bbgm_stat, INDEX(Players!$A459:$P459, MATCH(G$2, Players!$A$1:$P$1, 0)), perc_75, VLOOKUP(G$2, Percentiles!$A$45:$I$59, 6, FALSE), perc_90, VLOOKUP(G$2, Percentiles!$A$45:$I$59, 7, FALSE), perc_95, VLOOKUP(G$2, Percentiles!$A$45:$I$59, 8, FALSE), perc_85, perc_75 + (perc_90 - perc_75) * (2/3), converted_stat, '2K_Ratings'!G460, IF(bbgm_stat &gt;= perc_95, converted_stat * 3, IF(bbgm_stat &gt;= perc_90, converted_stat * 2, IF(bbgm_stat &gt;= perc_85, converted_stat * 1.5, converted_stat)))))</f>
        <v/>
      </c>
      <c r="H460" s="30" t="str">
        <f t="array" ref="H460">IF($A460="", "", LET(bbgm_stat, INDEX(Players!$A459:$P459, MATCH(H$2, Players!$A$1:$P$1, 0)), perc_75, VLOOKUP(H$2, Percentiles!$A$45:$I$59, 6, FALSE), perc_90, VLOOKUP(H$2, Percentiles!$A$45:$I$59, 7, FALSE), perc_95, VLOOKUP(H$2, Percentiles!$A$45:$I$59, 8, FALSE), perc_85, perc_75 + (perc_90 - perc_75) * (2/3), converted_stat, '2K_Ratings'!H460, IF(bbgm_stat &gt;= perc_95, converted_stat * 3, IF(bbgm_stat &gt;= perc_90, converted_stat * 2, IF(bbgm_stat &gt;= perc_85, converted_stat * 1.5, converted_stat)))))</f>
        <v/>
      </c>
      <c r="I460" s="30" t="str">
        <f t="array" ref="I460">IF($A460="", "", LET(bbgm_stat, INDEX(Players!$A459:$P459, MATCH(I$2, Players!$A$1:$P$1, 0)), perc_75, VLOOKUP(I$2, Percentiles!$A$45:$I$59, 6, FALSE), perc_90, VLOOKUP(I$2, Percentiles!$A$45:$I$59, 7, FALSE), perc_95, VLOOKUP(I$2, Percentiles!$A$45:$I$59, 8, FALSE), perc_85, perc_75 + (perc_90 - perc_75) * (2/3), converted_stat, '2K_Ratings'!I460, IF(bbgm_stat &gt;= perc_95, converted_stat * 3, IF(bbgm_stat &gt;= perc_90, converted_stat * 2, IF(bbgm_stat &gt;= perc_85, converted_stat * 1.5, converted_stat)))))</f>
        <v/>
      </c>
      <c r="J460" s="30" t="str">
        <f t="array" ref="J460">IF($A460="", "", LET(bbgm_stat, INDEX(Players!$A459:$P459, MATCH(J$2, Players!$A$1:$P$1, 0)), perc_75, VLOOKUP(J$2, Percentiles!$A$45:$I$59, 6, FALSE), perc_90, VLOOKUP(J$2, Percentiles!$A$45:$I$59, 7, FALSE), perc_95, VLOOKUP(J$2, Percentiles!$A$45:$I$59, 8, FALSE), perc_85, perc_75 + (perc_90 - perc_75) * (2/3), converted_stat, '2K_Ratings'!J460, IF(bbgm_stat &gt;= perc_95, converted_stat * 3, IF(bbgm_stat &gt;= perc_90, converted_stat * 2, IF(bbgm_stat &gt;= perc_85, converted_stat * 1.5, converted_stat)))))</f>
        <v/>
      </c>
      <c r="K460" s="30" t="str">
        <f t="array" ref="K460">IF($A460="", "", LET(bbgm_stat, INDEX(Players!$A459:$P459, MATCH(K$2, Players!$A$1:$P$1, 0)), perc_75, VLOOKUP(K$2, Percentiles!$A$45:$I$59, 6, FALSE), perc_90, VLOOKUP(K$2, Percentiles!$A$45:$I$59, 7, FALSE), perc_95, VLOOKUP(K$2, Percentiles!$A$45:$I$59, 8, FALSE), perc_85, perc_75 + (perc_90 - perc_75) * (2/3), converted_stat, '2K_Ratings'!K460, IF(bbgm_stat &gt;= perc_95, converted_stat * 3, IF(bbgm_stat &gt;= perc_90, converted_stat * 2, IF(bbgm_stat &gt;= perc_85, converted_stat * 1.5, converted_stat)))))</f>
        <v/>
      </c>
      <c r="L460" s="30" t="str">
        <f t="array" ref="L460">IF($A460="", "", LET(bbgm_stat, INDEX(Players!$A459:$P459, MATCH(L$2, Players!$A$1:$P$1, 0)), perc_75, VLOOKUP(L$2, Percentiles!$A$45:$I$59, 6, FALSE), perc_90, VLOOKUP(L$2, Percentiles!$A$45:$I$59, 7, FALSE), perc_95, VLOOKUP(L$2, Percentiles!$A$45:$I$59, 8, FALSE), perc_85, perc_75 + (perc_90 - perc_75) * (2/3), converted_stat, '2K_Ratings'!L460, IF(bbgm_stat &gt;= perc_95, converted_stat * 3, IF(bbgm_stat &gt;= perc_90, converted_stat * 2, IF(bbgm_stat &gt;= perc_85, converted_stat * 1.5, converted_stat)))))</f>
        <v/>
      </c>
      <c r="M460" s="30" t="str">
        <f t="array" ref="M460">IF($A460="", "", LET(bbgm_stat, INDEX(Players!$A459:$P459, MATCH(M$2, Players!$A$1:$P$1, 0)), perc_75, VLOOKUP(M$2, Percentiles!$A$45:$I$59, 6, FALSE), perc_90, VLOOKUP(M$2, Percentiles!$A$45:$I$59, 7, FALSE), perc_95, VLOOKUP(M$2, Percentiles!$A$45:$I$59, 8, FALSE), perc_85, perc_75 + (perc_90 - perc_75) * (2/3), converted_stat, '2K_Ratings'!M460, IF(bbgm_stat &gt;= perc_95, converted_stat * 3, IF(bbgm_stat &gt;= perc_90, converted_stat * 2, IF(bbgm_stat &gt;= perc_85, converted_stat * 1.5, converted_stat)))))</f>
        <v/>
      </c>
      <c r="N460" s="30" t="str">
        <f t="array" ref="N460">IF($A460="", "", LET(bbgm_stat, INDEX(Players!$A459:$P459, MATCH(N$2, Players!$A$1:$P$1, 0)), perc_75, VLOOKUP(N$2, Percentiles!$A$45:$I$59, 6, FALSE), perc_90, VLOOKUP(N$2, Percentiles!$A$45:$I$59, 7, FALSE), perc_95, VLOOKUP(N$2, Percentiles!$A$45:$I$59, 8, FALSE), perc_85, perc_75 + (perc_90 - perc_75) * (2/3), converted_stat, '2K_Ratings'!N460, IF(bbgm_stat &gt;= perc_95, converted_stat * 3, IF(bbgm_stat &gt;= perc_90, converted_stat * 2, IF(bbgm_stat &gt;= perc_85, converted_stat * 1.5, converted_stat)))))</f>
        <v/>
      </c>
      <c r="O460" s="30" t="str">
        <f t="array" ref="O460">IF($A460="", "", LET(bbgm_stat, INDEX(Players!$A459:$P459, MATCH(O$2, Players!$A$1:$P$1, 0)), perc_75, VLOOKUP(O$2, Percentiles!$A$45:$I$59, 6, FALSE), perc_90, VLOOKUP(O$2, Percentiles!$A$45:$I$59, 7, FALSE), perc_95, VLOOKUP(O$2, Percentiles!$A$45:$I$59, 8, FALSE), perc_85, perc_75 + (perc_90 - perc_75) * (2/3), converted_stat, '2K_Ratings'!O460, IF(bbgm_stat &gt;= perc_95, converted_stat * 3, IF(bbgm_stat &gt;= perc_90, converted_stat * 2, IF(bbgm_stat &gt;= perc_85, converted_stat * 1.5, converted_stat)))))</f>
        <v/>
      </c>
      <c r="P460" s="30" t="str">
        <f t="array" ref="P460">IF($A460="", "", LET(bbgm_stat, INDEX(Players!$A459:$P459, MATCH(P$2, Players!$A$1:$P$1, 0)), perc_75, VLOOKUP(P$2, Percentiles!$A$45:$I$59, 6, FALSE), perc_90, VLOOKUP(P$2, Percentiles!$A$45:$I$59, 7, FALSE), perc_95, VLOOKUP(P$2, Percentiles!$A$45:$I$59, 8, FALSE), perc_85, perc_75 + (perc_90 - perc_75) * (2/3), converted_stat, '2K_Ratings'!P460, IF(bbgm_stat &gt;= perc_95, converted_stat * 3, IF(bbgm_stat &gt;= perc_90, converted_stat * 2, IF(bbgm_stat &gt;= perc_85, converted_stat * 1.5, converted_stat)))))</f>
        <v/>
      </c>
      <c r="Q460" s="30" t="str">
        <f t="array" ref="Q460">IF($A460="", "", LET(bbgm_stat, INDEX(Players!$A459:$P459, MATCH(Q$2, Players!$A$1:$P$1, 0)), perc_75, VLOOKUP(Q$2, Percentiles!$A$45:$I$59, 6, FALSE), perc_90, VLOOKUP(Q$2, Percentiles!$A$45:$I$59, 7, FALSE), perc_95, VLOOKUP(Q$2, Percentiles!$A$45:$I$59, 8, FALSE), perc_85, perc_75 + (perc_90 - perc_75) * (2/3), converted_stat, '2K_Ratings'!Q460, IF(bbgm_stat &gt;= perc_95, converted_stat * 3, IF(bbgm_stat &gt;= perc_90, converted_stat * 2, IF(bbgm_stat &gt;= perc_85, converted_stat * 1.5, converted_stat)))))</f>
        <v/>
      </c>
      <c r="R460" s="30" t="str">
        <f t="array" ref="R460">IF($A460="", "", LET(bbgm_stat, INDEX(Players!$A459:$P459, MATCH(R$2, Players!$A$1:$P$1, 0)), perc_75, VLOOKUP(R$2, Percentiles!$A$45:$I$59, 6, FALSE), perc_90, VLOOKUP(R$2, Percentiles!$A$45:$I$59, 7, FALSE), perc_95, VLOOKUP(R$2, Percentiles!$A$45:$I$59, 8, FALSE), perc_85, perc_75 + (perc_90 - perc_75) * (2/3), converted_stat, '2K_Ratings'!R460, IF(bbgm_stat &gt;= perc_95, converted_stat * 3, IF(bbgm_stat &gt;= perc_90, converted_stat * 2, IF(bbgm_stat &gt;= perc_85, converted_stat * 1.5, converted_stat)))))</f>
        <v/>
      </c>
      <c r="S460" s="30" t="str">
        <f t="array" ref="S460">IF($A460="", "", LET(bbgm_stat, INDEX(Players!$A459:$P459, MATCH(S$2, Players!$A$1:$P$1, 0)), perc_75, VLOOKUP(S$2, Percentiles!$A$45:$I$59, 6, FALSE), perc_90, VLOOKUP(S$2, Percentiles!$A$45:$I$59, 7, FALSE), perc_95, VLOOKUP(S$2, Percentiles!$A$45:$I$59, 8, FALSE), perc_85, perc_75 + (perc_90 - perc_75) * (2/3), converted_stat, '2K_Ratings'!S460, IF(bbgm_stat &gt;= perc_95, converted_stat * 3, IF(bbgm_stat &gt;= perc_90, converted_stat * 2, IF(bbgm_stat &gt;= perc_85, converted_stat * 1.5, converted_stat)))))</f>
        <v/>
      </c>
      <c r="T460" s="30" t="str">
        <f t="array" ref="T460">IF($A460="", "", LET(bbgm_stat, INDEX(Players!$A459:$P459, MATCH(T$2, Players!$A$1:$P$1, 0)), perc_75, VLOOKUP(T$2, Percentiles!$A$45:$I$59, 6, FALSE), perc_90, VLOOKUP(T$2, Percentiles!$A$45:$I$59, 7, FALSE), perc_95, VLOOKUP(T$2, Percentiles!$A$45:$I$59, 8, FALSE), perc_85, perc_75 + (perc_90 - perc_75) * (2/3), converted_stat, '2K_Ratings'!T460, IF(bbgm_stat &gt;= perc_95, converted_stat * 3, IF(bbgm_stat &gt;= perc_90, converted_stat * 2, IF(bbgm_stat &gt;= perc_85, converted_stat * 1.5, converted_stat)))))</f>
        <v/>
      </c>
      <c r="U460" s="30" t="str">
        <f t="array" ref="U460">IF($A460="", "", LET(bbgm_stat, INDEX(Players!$A459:$P459, MATCH(U$2, Players!$A$1:$P$1, 0)), perc_75, VLOOKUP(U$2, Percentiles!$A$45:$I$59, 6, FALSE), perc_90, VLOOKUP(U$2, Percentiles!$A$45:$I$59, 7, FALSE), perc_95, VLOOKUP(U$2, Percentiles!$A$45:$I$59, 8, FALSE), perc_85, perc_75 + (perc_90 - perc_75) * (2/3), converted_stat, '2K_Ratings'!U460, IF(bbgm_stat &gt;= perc_95, converted_stat * 3, IF(bbgm_stat &gt;= perc_90, converted_stat * 2, IF(bbgm_stat &gt;= perc_85, converted_stat * 1.5, converted_stat)))))</f>
        <v/>
      </c>
      <c r="V460" s="30" t="str">
        <f t="array" ref="V460">IF($A460="", "", LET(bbgm_stat, INDEX(Players!$A459:$P459, MATCH(V$2, Players!$A$1:$P$1, 0)), perc_75, VLOOKUP(V$2, Percentiles!$A$45:$I$59, 6, FALSE), perc_90, VLOOKUP(V$2, Percentiles!$A$45:$I$59, 7, FALSE), perc_95, VLOOKUP(V$2, Percentiles!$A$45:$I$59, 8, FALSE), perc_85, perc_75 + (perc_90 - perc_75) * (2/3), converted_stat, '2K_Ratings'!V460, IF(bbgm_stat &gt;= perc_95, converted_stat * 3, IF(bbgm_stat &gt;= perc_90, converted_stat * 2, IF(bbgm_stat &gt;= perc_85, converted_stat * 1.5, converted_stat)))))</f>
        <v/>
      </c>
      <c r="W460" s="30" t="str">
        <f t="array" ref="W460">IF($A460="", "", LET(bbgm_stat, INDEX(Players!$A459:$P459, MATCH(W$2, Players!$A$1:$P$1, 0)), perc_75, VLOOKUP(W$2, Percentiles!$A$45:$I$59, 6, FALSE), perc_90, VLOOKUP(W$2, Percentiles!$A$45:$I$59, 7, FALSE), perc_95, VLOOKUP(W$2, Percentiles!$A$45:$I$59, 8, FALSE), perc_85, perc_75 + (perc_90 - perc_75) * (2/3), converted_stat, '2K_Ratings'!W460, IF(bbgm_stat &gt;= perc_95, converted_stat * 3, IF(bbgm_stat &gt;= perc_90, converted_stat * 2, IF(bbgm_stat &gt;= perc_85, converted_stat * 1.5, converted_stat)))))</f>
        <v/>
      </c>
    </row>
    <row r="461">
      <c r="A461" s="30"/>
      <c r="B461" s="30" t="str">
        <f t="array" ref="B461">IF($A461="", "", LET(bbgm_stat, INDEX(Players!$A460:$P460, MATCH(B$2, Players!$A$1:$P$1, 0)), perc_75, VLOOKUP(B$2, Percentiles!$A$45:$I$59, 6, FALSE), perc_90, VLOOKUP(B$2, Percentiles!$A$45:$I$59, 7, FALSE), perc_95, VLOOKUP(B$2, Percentiles!$A$45:$I$59, 8, FALSE), perc_85, perc_75 + (perc_90 - perc_75) * (2/3), converted_stat, '2K_Ratings'!B461, IF(bbgm_stat &gt;= perc_95, converted_stat * 3, IF(bbgm_stat &gt;= perc_90, converted_stat * 2, IF(bbgm_stat &gt;= perc_85, converted_stat * 1.5, converted_stat)))))</f>
        <v/>
      </c>
      <c r="C461" s="30" t="str">
        <f t="array" ref="C461">IF($A461="", "", LET(bbgm_stat, INDEX(Players!$A460:$P460, MATCH(C$2, Players!$A$1:$P$1, 0)), perc_75, VLOOKUP(C$2, Percentiles!$A$45:$I$59, 6, FALSE), perc_90, VLOOKUP(C$2, Percentiles!$A$45:$I$59, 7, FALSE), perc_95, VLOOKUP(C$2, Percentiles!$A$45:$I$59, 8, FALSE), perc_85, perc_75 + (perc_90 - perc_75) * (2/3), converted_stat, '2K_Ratings'!C461, IF(bbgm_stat &gt;= perc_95, converted_stat * 3, IF(bbgm_stat &gt;= perc_90, converted_stat * 2, IF(bbgm_stat &gt;= perc_85, converted_stat * 1.5, converted_stat)))))</f>
        <v/>
      </c>
      <c r="D461" s="30" t="str">
        <f t="array" ref="D461">IF($A461="", "", LET(bbgm_stat, INDEX(Players!$A460:$P460, MATCH(D$2, Players!$A$1:$P$1, 0)), perc_75, VLOOKUP(D$2, Percentiles!$A$45:$I$59, 6, FALSE), perc_90, VLOOKUP(D$2, Percentiles!$A$45:$I$59, 7, FALSE), perc_95, VLOOKUP(D$2, Percentiles!$A$45:$I$59, 8, FALSE), perc_85, perc_75 + (perc_90 - perc_75) * (2/3), converted_stat, '2K_Ratings'!D461, IF(bbgm_stat &gt;= perc_95, converted_stat * 3, IF(bbgm_stat &gt;= perc_90, converted_stat * 2, IF(bbgm_stat &gt;= perc_85, converted_stat * 1.5, converted_stat)))))</f>
        <v/>
      </c>
      <c r="E461" s="30" t="str">
        <f t="array" ref="E461">IF($A461="", "", LET(bbgm_stat, INDEX(Players!$A460:$P460, MATCH(E$2, Players!$A$1:$P$1, 0)), perc_75, VLOOKUP(E$2, Percentiles!$A$45:$I$59, 6, FALSE), perc_90, VLOOKUP(E$2, Percentiles!$A$45:$I$59, 7, FALSE), perc_95, VLOOKUP(E$2, Percentiles!$A$45:$I$59, 8, FALSE), perc_85, perc_75 + (perc_90 - perc_75) * (2/3), converted_stat, '2K_Ratings'!E461, IF(bbgm_stat &gt;= perc_95, converted_stat * 3, IF(bbgm_stat &gt;= perc_90, converted_stat * 2, IF(bbgm_stat &gt;= perc_85, converted_stat * 1.5, converted_stat)))))</f>
        <v/>
      </c>
      <c r="F461" s="30" t="str">
        <f t="array" ref="F461">IF($A461="", "", LET(bbgm_stat, INDEX(Players!$A460:$P460, MATCH(F$2, Players!$A$1:$P$1, 0)), perc_75, VLOOKUP(F$2, Percentiles!$A$45:$I$59, 6, FALSE), perc_90, VLOOKUP(F$2, Percentiles!$A$45:$I$59, 7, FALSE), perc_95, VLOOKUP(F$2, Percentiles!$A$45:$I$59, 8, FALSE), perc_85, perc_75 + (perc_90 - perc_75) * (2/3), converted_stat, '2K_Ratings'!F461, IF(bbgm_stat &gt;= perc_95, converted_stat * 3, IF(bbgm_stat &gt;= perc_90, converted_stat * 2, IF(bbgm_stat &gt;= perc_85, converted_stat * 1.5, converted_stat)))))</f>
        <v/>
      </c>
      <c r="G461" s="30" t="str">
        <f t="array" ref="G461">IF($A461="", "", LET(bbgm_stat, INDEX(Players!$A460:$P460, MATCH(G$2, Players!$A$1:$P$1, 0)), perc_75, VLOOKUP(G$2, Percentiles!$A$45:$I$59, 6, FALSE), perc_90, VLOOKUP(G$2, Percentiles!$A$45:$I$59, 7, FALSE), perc_95, VLOOKUP(G$2, Percentiles!$A$45:$I$59, 8, FALSE), perc_85, perc_75 + (perc_90 - perc_75) * (2/3), converted_stat, '2K_Ratings'!G461, IF(bbgm_stat &gt;= perc_95, converted_stat * 3, IF(bbgm_stat &gt;= perc_90, converted_stat * 2, IF(bbgm_stat &gt;= perc_85, converted_stat * 1.5, converted_stat)))))</f>
        <v/>
      </c>
      <c r="H461" s="30" t="str">
        <f t="array" ref="H461">IF($A461="", "", LET(bbgm_stat, INDEX(Players!$A460:$P460, MATCH(H$2, Players!$A$1:$P$1, 0)), perc_75, VLOOKUP(H$2, Percentiles!$A$45:$I$59, 6, FALSE), perc_90, VLOOKUP(H$2, Percentiles!$A$45:$I$59, 7, FALSE), perc_95, VLOOKUP(H$2, Percentiles!$A$45:$I$59, 8, FALSE), perc_85, perc_75 + (perc_90 - perc_75) * (2/3), converted_stat, '2K_Ratings'!H461, IF(bbgm_stat &gt;= perc_95, converted_stat * 3, IF(bbgm_stat &gt;= perc_90, converted_stat * 2, IF(bbgm_stat &gt;= perc_85, converted_stat * 1.5, converted_stat)))))</f>
        <v/>
      </c>
      <c r="I461" s="30" t="str">
        <f t="array" ref="I461">IF($A461="", "", LET(bbgm_stat, INDEX(Players!$A460:$P460, MATCH(I$2, Players!$A$1:$P$1, 0)), perc_75, VLOOKUP(I$2, Percentiles!$A$45:$I$59, 6, FALSE), perc_90, VLOOKUP(I$2, Percentiles!$A$45:$I$59, 7, FALSE), perc_95, VLOOKUP(I$2, Percentiles!$A$45:$I$59, 8, FALSE), perc_85, perc_75 + (perc_90 - perc_75) * (2/3), converted_stat, '2K_Ratings'!I461, IF(bbgm_stat &gt;= perc_95, converted_stat * 3, IF(bbgm_stat &gt;= perc_90, converted_stat * 2, IF(bbgm_stat &gt;= perc_85, converted_stat * 1.5, converted_stat)))))</f>
        <v/>
      </c>
      <c r="J461" s="30" t="str">
        <f t="array" ref="J461">IF($A461="", "", LET(bbgm_stat, INDEX(Players!$A460:$P460, MATCH(J$2, Players!$A$1:$P$1, 0)), perc_75, VLOOKUP(J$2, Percentiles!$A$45:$I$59, 6, FALSE), perc_90, VLOOKUP(J$2, Percentiles!$A$45:$I$59, 7, FALSE), perc_95, VLOOKUP(J$2, Percentiles!$A$45:$I$59, 8, FALSE), perc_85, perc_75 + (perc_90 - perc_75) * (2/3), converted_stat, '2K_Ratings'!J461, IF(bbgm_stat &gt;= perc_95, converted_stat * 3, IF(bbgm_stat &gt;= perc_90, converted_stat * 2, IF(bbgm_stat &gt;= perc_85, converted_stat * 1.5, converted_stat)))))</f>
        <v/>
      </c>
      <c r="K461" s="30" t="str">
        <f t="array" ref="K461">IF($A461="", "", LET(bbgm_stat, INDEX(Players!$A460:$P460, MATCH(K$2, Players!$A$1:$P$1, 0)), perc_75, VLOOKUP(K$2, Percentiles!$A$45:$I$59, 6, FALSE), perc_90, VLOOKUP(K$2, Percentiles!$A$45:$I$59, 7, FALSE), perc_95, VLOOKUP(K$2, Percentiles!$A$45:$I$59, 8, FALSE), perc_85, perc_75 + (perc_90 - perc_75) * (2/3), converted_stat, '2K_Ratings'!K461, IF(bbgm_stat &gt;= perc_95, converted_stat * 3, IF(bbgm_stat &gt;= perc_90, converted_stat * 2, IF(bbgm_stat &gt;= perc_85, converted_stat * 1.5, converted_stat)))))</f>
        <v/>
      </c>
      <c r="L461" s="30" t="str">
        <f t="array" ref="L461">IF($A461="", "", LET(bbgm_stat, INDEX(Players!$A460:$P460, MATCH(L$2, Players!$A$1:$P$1, 0)), perc_75, VLOOKUP(L$2, Percentiles!$A$45:$I$59, 6, FALSE), perc_90, VLOOKUP(L$2, Percentiles!$A$45:$I$59, 7, FALSE), perc_95, VLOOKUP(L$2, Percentiles!$A$45:$I$59, 8, FALSE), perc_85, perc_75 + (perc_90 - perc_75) * (2/3), converted_stat, '2K_Ratings'!L461, IF(bbgm_stat &gt;= perc_95, converted_stat * 3, IF(bbgm_stat &gt;= perc_90, converted_stat * 2, IF(bbgm_stat &gt;= perc_85, converted_stat * 1.5, converted_stat)))))</f>
        <v/>
      </c>
      <c r="M461" s="30" t="str">
        <f t="array" ref="M461">IF($A461="", "", LET(bbgm_stat, INDEX(Players!$A460:$P460, MATCH(M$2, Players!$A$1:$P$1, 0)), perc_75, VLOOKUP(M$2, Percentiles!$A$45:$I$59, 6, FALSE), perc_90, VLOOKUP(M$2, Percentiles!$A$45:$I$59, 7, FALSE), perc_95, VLOOKUP(M$2, Percentiles!$A$45:$I$59, 8, FALSE), perc_85, perc_75 + (perc_90 - perc_75) * (2/3), converted_stat, '2K_Ratings'!M461, IF(bbgm_stat &gt;= perc_95, converted_stat * 3, IF(bbgm_stat &gt;= perc_90, converted_stat * 2, IF(bbgm_stat &gt;= perc_85, converted_stat * 1.5, converted_stat)))))</f>
        <v/>
      </c>
      <c r="N461" s="30" t="str">
        <f t="array" ref="N461">IF($A461="", "", LET(bbgm_stat, INDEX(Players!$A460:$P460, MATCH(N$2, Players!$A$1:$P$1, 0)), perc_75, VLOOKUP(N$2, Percentiles!$A$45:$I$59, 6, FALSE), perc_90, VLOOKUP(N$2, Percentiles!$A$45:$I$59, 7, FALSE), perc_95, VLOOKUP(N$2, Percentiles!$A$45:$I$59, 8, FALSE), perc_85, perc_75 + (perc_90 - perc_75) * (2/3), converted_stat, '2K_Ratings'!N461, IF(bbgm_stat &gt;= perc_95, converted_stat * 3, IF(bbgm_stat &gt;= perc_90, converted_stat * 2, IF(bbgm_stat &gt;= perc_85, converted_stat * 1.5, converted_stat)))))</f>
        <v/>
      </c>
      <c r="O461" s="30" t="str">
        <f t="array" ref="O461">IF($A461="", "", LET(bbgm_stat, INDEX(Players!$A460:$P460, MATCH(O$2, Players!$A$1:$P$1, 0)), perc_75, VLOOKUP(O$2, Percentiles!$A$45:$I$59, 6, FALSE), perc_90, VLOOKUP(O$2, Percentiles!$A$45:$I$59, 7, FALSE), perc_95, VLOOKUP(O$2, Percentiles!$A$45:$I$59, 8, FALSE), perc_85, perc_75 + (perc_90 - perc_75) * (2/3), converted_stat, '2K_Ratings'!O461, IF(bbgm_stat &gt;= perc_95, converted_stat * 3, IF(bbgm_stat &gt;= perc_90, converted_stat * 2, IF(bbgm_stat &gt;= perc_85, converted_stat * 1.5, converted_stat)))))</f>
        <v/>
      </c>
      <c r="P461" s="30" t="str">
        <f t="array" ref="P461">IF($A461="", "", LET(bbgm_stat, INDEX(Players!$A460:$P460, MATCH(P$2, Players!$A$1:$P$1, 0)), perc_75, VLOOKUP(P$2, Percentiles!$A$45:$I$59, 6, FALSE), perc_90, VLOOKUP(P$2, Percentiles!$A$45:$I$59, 7, FALSE), perc_95, VLOOKUP(P$2, Percentiles!$A$45:$I$59, 8, FALSE), perc_85, perc_75 + (perc_90 - perc_75) * (2/3), converted_stat, '2K_Ratings'!P461, IF(bbgm_stat &gt;= perc_95, converted_stat * 3, IF(bbgm_stat &gt;= perc_90, converted_stat * 2, IF(bbgm_stat &gt;= perc_85, converted_stat * 1.5, converted_stat)))))</f>
        <v/>
      </c>
      <c r="Q461" s="30" t="str">
        <f t="array" ref="Q461">IF($A461="", "", LET(bbgm_stat, INDEX(Players!$A460:$P460, MATCH(Q$2, Players!$A$1:$P$1, 0)), perc_75, VLOOKUP(Q$2, Percentiles!$A$45:$I$59, 6, FALSE), perc_90, VLOOKUP(Q$2, Percentiles!$A$45:$I$59, 7, FALSE), perc_95, VLOOKUP(Q$2, Percentiles!$A$45:$I$59, 8, FALSE), perc_85, perc_75 + (perc_90 - perc_75) * (2/3), converted_stat, '2K_Ratings'!Q461, IF(bbgm_stat &gt;= perc_95, converted_stat * 3, IF(bbgm_stat &gt;= perc_90, converted_stat * 2, IF(bbgm_stat &gt;= perc_85, converted_stat * 1.5, converted_stat)))))</f>
        <v/>
      </c>
      <c r="R461" s="30" t="str">
        <f t="array" ref="R461">IF($A461="", "", LET(bbgm_stat, INDEX(Players!$A460:$P460, MATCH(R$2, Players!$A$1:$P$1, 0)), perc_75, VLOOKUP(R$2, Percentiles!$A$45:$I$59, 6, FALSE), perc_90, VLOOKUP(R$2, Percentiles!$A$45:$I$59, 7, FALSE), perc_95, VLOOKUP(R$2, Percentiles!$A$45:$I$59, 8, FALSE), perc_85, perc_75 + (perc_90 - perc_75) * (2/3), converted_stat, '2K_Ratings'!R461, IF(bbgm_stat &gt;= perc_95, converted_stat * 3, IF(bbgm_stat &gt;= perc_90, converted_stat * 2, IF(bbgm_stat &gt;= perc_85, converted_stat * 1.5, converted_stat)))))</f>
        <v/>
      </c>
      <c r="S461" s="30" t="str">
        <f t="array" ref="S461">IF($A461="", "", LET(bbgm_stat, INDEX(Players!$A460:$P460, MATCH(S$2, Players!$A$1:$P$1, 0)), perc_75, VLOOKUP(S$2, Percentiles!$A$45:$I$59, 6, FALSE), perc_90, VLOOKUP(S$2, Percentiles!$A$45:$I$59, 7, FALSE), perc_95, VLOOKUP(S$2, Percentiles!$A$45:$I$59, 8, FALSE), perc_85, perc_75 + (perc_90 - perc_75) * (2/3), converted_stat, '2K_Ratings'!S461, IF(bbgm_stat &gt;= perc_95, converted_stat * 3, IF(bbgm_stat &gt;= perc_90, converted_stat * 2, IF(bbgm_stat &gt;= perc_85, converted_stat * 1.5, converted_stat)))))</f>
        <v/>
      </c>
      <c r="T461" s="30" t="str">
        <f t="array" ref="T461">IF($A461="", "", LET(bbgm_stat, INDEX(Players!$A460:$P460, MATCH(T$2, Players!$A$1:$P$1, 0)), perc_75, VLOOKUP(T$2, Percentiles!$A$45:$I$59, 6, FALSE), perc_90, VLOOKUP(T$2, Percentiles!$A$45:$I$59, 7, FALSE), perc_95, VLOOKUP(T$2, Percentiles!$A$45:$I$59, 8, FALSE), perc_85, perc_75 + (perc_90 - perc_75) * (2/3), converted_stat, '2K_Ratings'!T461, IF(bbgm_stat &gt;= perc_95, converted_stat * 3, IF(bbgm_stat &gt;= perc_90, converted_stat * 2, IF(bbgm_stat &gt;= perc_85, converted_stat * 1.5, converted_stat)))))</f>
        <v/>
      </c>
      <c r="U461" s="30" t="str">
        <f t="array" ref="U461">IF($A461="", "", LET(bbgm_stat, INDEX(Players!$A460:$P460, MATCH(U$2, Players!$A$1:$P$1, 0)), perc_75, VLOOKUP(U$2, Percentiles!$A$45:$I$59, 6, FALSE), perc_90, VLOOKUP(U$2, Percentiles!$A$45:$I$59, 7, FALSE), perc_95, VLOOKUP(U$2, Percentiles!$A$45:$I$59, 8, FALSE), perc_85, perc_75 + (perc_90 - perc_75) * (2/3), converted_stat, '2K_Ratings'!U461, IF(bbgm_stat &gt;= perc_95, converted_stat * 3, IF(bbgm_stat &gt;= perc_90, converted_stat * 2, IF(bbgm_stat &gt;= perc_85, converted_stat * 1.5, converted_stat)))))</f>
        <v/>
      </c>
      <c r="V461" s="30" t="str">
        <f t="array" ref="V461">IF($A461="", "", LET(bbgm_stat, INDEX(Players!$A460:$P460, MATCH(V$2, Players!$A$1:$P$1, 0)), perc_75, VLOOKUP(V$2, Percentiles!$A$45:$I$59, 6, FALSE), perc_90, VLOOKUP(V$2, Percentiles!$A$45:$I$59, 7, FALSE), perc_95, VLOOKUP(V$2, Percentiles!$A$45:$I$59, 8, FALSE), perc_85, perc_75 + (perc_90 - perc_75) * (2/3), converted_stat, '2K_Ratings'!V461, IF(bbgm_stat &gt;= perc_95, converted_stat * 3, IF(bbgm_stat &gt;= perc_90, converted_stat * 2, IF(bbgm_stat &gt;= perc_85, converted_stat * 1.5, converted_stat)))))</f>
        <v/>
      </c>
      <c r="W461" s="30" t="str">
        <f t="array" ref="W461">IF($A461="", "", LET(bbgm_stat, INDEX(Players!$A460:$P460, MATCH(W$2, Players!$A$1:$P$1, 0)), perc_75, VLOOKUP(W$2, Percentiles!$A$45:$I$59, 6, FALSE), perc_90, VLOOKUP(W$2, Percentiles!$A$45:$I$59, 7, FALSE), perc_95, VLOOKUP(W$2, Percentiles!$A$45:$I$59, 8, FALSE), perc_85, perc_75 + (perc_90 - perc_75) * (2/3), converted_stat, '2K_Ratings'!W461, IF(bbgm_stat &gt;= perc_95, converted_stat * 3, IF(bbgm_stat &gt;= perc_90, converted_stat * 2, IF(bbgm_stat &gt;= perc_85, converted_stat * 1.5, converted_stat)))))</f>
        <v/>
      </c>
    </row>
    <row r="462">
      <c r="A462" s="30"/>
      <c r="B462" s="30" t="str">
        <f t="array" ref="B462">IF($A462="", "", LET(bbgm_stat, INDEX(Players!$A461:$P461, MATCH(B$2, Players!$A$1:$P$1, 0)), perc_75, VLOOKUP(B$2, Percentiles!$A$45:$I$59, 6, FALSE), perc_90, VLOOKUP(B$2, Percentiles!$A$45:$I$59, 7, FALSE), perc_95, VLOOKUP(B$2, Percentiles!$A$45:$I$59, 8, FALSE), perc_85, perc_75 + (perc_90 - perc_75) * (2/3), converted_stat, '2K_Ratings'!B462, IF(bbgm_stat &gt;= perc_95, converted_stat * 3, IF(bbgm_stat &gt;= perc_90, converted_stat * 2, IF(bbgm_stat &gt;= perc_85, converted_stat * 1.5, converted_stat)))))</f>
        <v/>
      </c>
      <c r="C462" s="30" t="str">
        <f t="array" ref="C462">IF($A462="", "", LET(bbgm_stat, INDEX(Players!$A461:$P461, MATCH(C$2, Players!$A$1:$P$1, 0)), perc_75, VLOOKUP(C$2, Percentiles!$A$45:$I$59, 6, FALSE), perc_90, VLOOKUP(C$2, Percentiles!$A$45:$I$59, 7, FALSE), perc_95, VLOOKUP(C$2, Percentiles!$A$45:$I$59, 8, FALSE), perc_85, perc_75 + (perc_90 - perc_75) * (2/3), converted_stat, '2K_Ratings'!C462, IF(bbgm_stat &gt;= perc_95, converted_stat * 3, IF(bbgm_stat &gt;= perc_90, converted_stat * 2, IF(bbgm_stat &gt;= perc_85, converted_stat * 1.5, converted_stat)))))</f>
        <v/>
      </c>
      <c r="D462" s="30" t="str">
        <f t="array" ref="D462">IF($A462="", "", LET(bbgm_stat, INDEX(Players!$A461:$P461, MATCH(D$2, Players!$A$1:$P$1, 0)), perc_75, VLOOKUP(D$2, Percentiles!$A$45:$I$59, 6, FALSE), perc_90, VLOOKUP(D$2, Percentiles!$A$45:$I$59, 7, FALSE), perc_95, VLOOKUP(D$2, Percentiles!$A$45:$I$59, 8, FALSE), perc_85, perc_75 + (perc_90 - perc_75) * (2/3), converted_stat, '2K_Ratings'!D462, IF(bbgm_stat &gt;= perc_95, converted_stat * 3, IF(bbgm_stat &gt;= perc_90, converted_stat * 2, IF(bbgm_stat &gt;= perc_85, converted_stat * 1.5, converted_stat)))))</f>
        <v/>
      </c>
      <c r="E462" s="30" t="str">
        <f t="array" ref="E462">IF($A462="", "", LET(bbgm_stat, INDEX(Players!$A461:$P461, MATCH(E$2, Players!$A$1:$P$1, 0)), perc_75, VLOOKUP(E$2, Percentiles!$A$45:$I$59, 6, FALSE), perc_90, VLOOKUP(E$2, Percentiles!$A$45:$I$59, 7, FALSE), perc_95, VLOOKUP(E$2, Percentiles!$A$45:$I$59, 8, FALSE), perc_85, perc_75 + (perc_90 - perc_75) * (2/3), converted_stat, '2K_Ratings'!E462, IF(bbgm_stat &gt;= perc_95, converted_stat * 3, IF(bbgm_stat &gt;= perc_90, converted_stat * 2, IF(bbgm_stat &gt;= perc_85, converted_stat * 1.5, converted_stat)))))</f>
        <v/>
      </c>
      <c r="F462" s="30" t="str">
        <f t="array" ref="F462">IF($A462="", "", LET(bbgm_stat, INDEX(Players!$A461:$P461, MATCH(F$2, Players!$A$1:$P$1, 0)), perc_75, VLOOKUP(F$2, Percentiles!$A$45:$I$59, 6, FALSE), perc_90, VLOOKUP(F$2, Percentiles!$A$45:$I$59, 7, FALSE), perc_95, VLOOKUP(F$2, Percentiles!$A$45:$I$59, 8, FALSE), perc_85, perc_75 + (perc_90 - perc_75) * (2/3), converted_stat, '2K_Ratings'!F462, IF(bbgm_stat &gt;= perc_95, converted_stat * 3, IF(bbgm_stat &gt;= perc_90, converted_stat * 2, IF(bbgm_stat &gt;= perc_85, converted_stat * 1.5, converted_stat)))))</f>
        <v/>
      </c>
      <c r="G462" s="30" t="str">
        <f t="array" ref="G462">IF($A462="", "", LET(bbgm_stat, INDEX(Players!$A461:$P461, MATCH(G$2, Players!$A$1:$P$1, 0)), perc_75, VLOOKUP(G$2, Percentiles!$A$45:$I$59, 6, FALSE), perc_90, VLOOKUP(G$2, Percentiles!$A$45:$I$59, 7, FALSE), perc_95, VLOOKUP(G$2, Percentiles!$A$45:$I$59, 8, FALSE), perc_85, perc_75 + (perc_90 - perc_75) * (2/3), converted_stat, '2K_Ratings'!G462, IF(bbgm_stat &gt;= perc_95, converted_stat * 3, IF(bbgm_stat &gt;= perc_90, converted_stat * 2, IF(bbgm_stat &gt;= perc_85, converted_stat * 1.5, converted_stat)))))</f>
        <v/>
      </c>
      <c r="H462" s="30" t="str">
        <f t="array" ref="H462">IF($A462="", "", LET(bbgm_stat, INDEX(Players!$A461:$P461, MATCH(H$2, Players!$A$1:$P$1, 0)), perc_75, VLOOKUP(H$2, Percentiles!$A$45:$I$59, 6, FALSE), perc_90, VLOOKUP(H$2, Percentiles!$A$45:$I$59, 7, FALSE), perc_95, VLOOKUP(H$2, Percentiles!$A$45:$I$59, 8, FALSE), perc_85, perc_75 + (perc_90 - perc_75) * (2/3), converted_stat, '2K_Ratings'!H462, IF(bbgm_stat &gt;= perc_95, converted_stat * 3, IF(bbgm_stat &gt;= perc_90, converted_stat * 2, IF(bbgm_stat &gt;= perc_85, converted_stat * 1.5, converted_stat)))))</f>
        <v/>
      </c>
      <c r="I462" s="30" t="str">
        <f t="array" ref="I462">IF($A462="", "", LET(bbgm_stat, INDEX(Players!$A461:$P461, MATCH(I$2, Players!$A$1:$P$1, 0)), perc_75, VLOOKUP(I$2, Percentiles!$A$45:$I$59, 6, FALSE), perc_90, VLOOKUP(I$2, Percentiles!$A$45:$I$59, 7, FALSE), perc_95, VLOOKUP(I$2, Percentiles!$A$45:$I$59, 8, FALSE), perc_85, perc_75 + (perc_90 - perc_75) * (2/3), converted_stat, '2K_Ratings'!I462, IF(bbgm_stat &gt;= perc_95, converted_stat * 3, IF(bbgm_stat &gt;= perc_90, converted_stat * 2, IF(bbgm_stat &gt;= perc_85, converted_stat * 1.5, converted_stat)))))</f>
        <v/>
      </c>
      <c r="J462" s="30" t="str">
        <f t="array" ref="J462">IF($A462="", "", LET(bbgm_stat, INDEX(Players!$A461:$P461, MATCH(J$2, Players!$A$1:$P$1, 0)), perc_75, VLOOKUP(J$2, Percentiles!$A$45:$I$59, 6, FALSE), perc_90, VLOOKUP(J$2, Percentiles!$A$45:$I$59, 7, FALSE), perc_95, VLOOKUP(J$2, Percentiles!$A$45:$I$59, 8, FALSE), perc_85, perc_75 + (perc_90 - perc_75) * (2/3), converted_stat, '2K_Ratings'!J462, IF(bbgm_stat &gt;= perc_95, converted_stat * 3, IF(bbgm_stat &gt;= perc_90, converted_stat * 2, IF(bbgm_stat &gt;= perc_85, converted_stat * 1.5, converted_stat)))))</f>
        <v/>
      </c>
      <c r="K462" s="30" t="str">
        <f t="array" ref="K462">IF($A462="", "", LET(bbgm_stat, INDEX(Players!$A461:$P461, MATCH(K$2, Players!$A$1:$P$1, 0)), perc_75, VLOOKUP(K$2, Percentiles!$A$45:$I$59, 6, FALSE), perc_90, VLOOKUP(K$2, Percentiles!$A$45:$I$59, 7, FALSE), perc_95, VLOOKUP(K$2, Percentiles!$A$45:$I$59, 8, FALSE), perc_85, perc_75 + (perc_90 - perc_75) * (2/3), converted_stat, '2K_Ratings'!K462, IF(bbgm_stat &gt;= perc_95, converted_stat * 3, IF(bbgm_stat &gt;= perc_90, converted_stat * 2, IF(bbgm_stat &gt;= perc_85, converted_stat * 1.5, converted_stat)))))</f>
        <v/>
      </c>
      <c r="L462" s="30" t="str">
        <f t="array" ref="L462">IF($A462="", "", LET(bbgm_stat, INDEX(Players!$A461:$P461, MATCH(L$2, Players!$A$1:$P$1, 0)), perc_75, VLOOKUP(L$2, Percentiles!$A$45:$I$59, 6, FALSE), perc_90, VLOOKUP(L$2, Percentiles!$A$45:$I$59, 7, FALSE), perc_95, VLOOKUP(L$2, Percentiles!$A$45:$I$59, 8, FALSE), perc_85, perc_75 + (perc_90 - perc_75) * (2/3), converted_stat, '2K_Ratings'!L462, IF(bbgm_stat &gt;= perc_95, converted_stat * 3, IF(bbgm_stat &gt;= perc_90, converted_stat * 2, IF(bbgm_stat &gt;= perc_85, converted_stat * 1.5, converted_stat)))))</f>
        <v/>
      </c>
      <c r="M462" s="30" t="str">
        <f t="array" ref="M462">IF($A462="", "", LET(bbgm_stat, INDEX(Players!$A461:$P461, MATCH(M$2, Players!$A$1:$P$1, 0)), perc_75, VLOOKUP(M$2, Percentiles!$A$45:$I$59, 6, FALSE), perc_90, VLOOKUP(M$2, Percentiles!$A$45:$I$59, 7, FALSE), perc_95, VLOOKUP(M$2, Percentiles!$A$45:$I$59, 8, FALSE), perc_85, perc_75 + (perc_90 - perc_75) * (2/3), converted_stat, '2K_Ratings'!M462, IF(bbgm_stat &gt;= perc_95, converted_stat * 3, IF(bbgm_stat &gt;= perc_90, converted_stat * 2, IF(bbgm_stat &gt;= perc_85, converted_stat * 1.5, converted_stat)))))</f>
        <v/>
      </c>
      <c r="N462" s="30" t="str">
        <f t="array" ref="N462">IF($A462="", "", LET(bbgm_stat, INDEX(Players!$A461:$P461, MATCH(N$2, Players!$A$1:$P$1, 0)), perc_75, VLOOKUP(N$2, Percentiles!$A$45:$I$59, 6, FALSE), perc_90, VLOOKUP(N$2, Percentiles!$A$45:$I$59, 7, FALSE), perc_95, VLOOKUP(N$2, Percentiles!$A$45:$I$59, 8, FALSE), perc_85, perc_75 + (perc_90 - perc_75) * (2/3), converted_stat, '2K_Ratings'!N462, IF(bbgm_stat &gt;= perc_95, converted_stat * 3, IF(bbgm_stat &gt;= perc_90, converted_stat * 2, IF(bbgm_stat &gt;= perc_85, converted_stat * 1.5, converted_stat)))))</f>
        <v/>
      </c>
      <c r="O462" s="30" t="str">
        <f t="array" ref="O462">IF($A462="", "", LET(bbgm_stat, INDEX(Players!$A461:$P461, MATCH(O$2, Players!$A$1:$P$1, 0)), perc_75, VLOOKUP(O$2, Percentiles!$A$45:$I$59, 6, FALSE), perc_90, VLOOKUP(O$2, Percentiles!$A$45:$I$59, 7, FALSE), perc_95, VLOOKUP(O$2, Percentiles!$A$45:$I$59, 8, FALSE), perc_85, perc_75 + (perc_90 - perc_75) * (2/3), converted_stat, '2K_Ratings'!O462, IF(bbgm_stat &gt;= perc_95, converted_stat * 3, IF(bbgm_stat &gt;= perc_90, converted_stat * 2, IF(bbgm_stat &gt;= perc_85, converted_stat * 1.5, converted_stat)))))</f>
        <v/>
      </c>
      <c r="P462" s="30" t="str">
        <f t="array" ref="P462">IF($A462="", "", LET(bbgm_stat, INDEX(Players!$A461:$P461, MATCH(P$2, Players!$A$1:$P$1, 0)), perc_75, VLOOKUP(P$2, Percentiles!$A$45:$I$59, 6, FALSE), perc_90, VLOOKUP(P$2, Percentiles!$A$45:$I$59, 7, FALSE), perc_95, VLOOKUP(P$2, Percentiles!$A$45:$I$59, 8, FALSE), perc_85, perc_75 + (perc_90 - perc_75) * (2/3), converted_stat, '2K_Ratings'!P462, IF(bbgm_stat &gt;= perc_95, converted_stat * 3, IF(bbgm_stat &gt;= perc_90, converted_stat * 2, IF(bbgm_stat &gt;= perc_85, converted_stat * 1.5, converted_stat)))))</f>
        <v/>
      </c>
      <c r="Q462" s="30" t="str">
        <f t="array" ref="Q462">IF($A462="", "", LET(bbgm_stat, INDEX(Players!$A461:$P461, MATCH(Q$2, Players!$A$1:$P$1, 0)), perc_75, VLOOKUP(Q$2, Percentiles!$A$45:$I$59, 6, FALSE), perc_90, VLOOKUP(Q$2, Percentiles!$A$45:$I$59, 7, FALSE), perc_95, VLOOKUP(Q$2, Percentiles!$A$45:$I$59, 8, FALSE), perc_85, perc_75 + (perc_90 - perc_75) * (2/3), converted_stat, '2K_Ratings'!Q462, IF(bbgm_stat &gt;= perc_95, converted_stat * 3, IF(bbgm_stat &gt;= perc_90, converted_stat * 2, IF(bbgm_stat &gt;= perc_85, converted_stat * 1.5, converted_stat)))))</f>
        <v/>
      </c>
      <c r="R462" s="30" t="str">
        <f t="array" ref="R462">IF($A462="", "", LET(bbgm_stat, INDEX(Players!$A461:$P461, MATCH(R$2, Players!$A$1:$P$1, 0)), perc_75, VLOOKUP(R$2, Percentiles!$A$45:$I$59, 6, FALSE), perc_90, VLOOKUP(R$2, Percentiles!$A$45:$I$59, 7, FALSE), perc_95, VLOOKUP(R$2, Percentiles!$A$45:$I$59, 8, FALSE), perc_85, perc_75 + (perc_90 - perc_75) * (2/3), converted_stat, '2K_Ratings'!R462, IF(bbgm_stat &gt;= perc_95, converted_stat * 3, IF(bbgm_stat &gt;= perc_90, converted_stat * 2, IF(bbgm_stat &gt;= perc_85, converted_stat * 1.5, converted_stat)))))</f>
        <v/>
      </c>
      <c r="S462" s="30" t="str">
        <f t="array" ref="S462">IF($A462="", "", LET(bbgm_stat, INDEX(Players!$A461:$P461, MATCH(S$2, Players!$A$1:$P$1, 0)), perc_75, VLOOKUP(S$2, Percentiles!$A$45:$I$59, 6, FALSE), perc_90, VLOOKUP(S$2, Percentiles!$A$45:$I$59, 7, FALSE), perc_95, VLOOKUP(S$2, Percentiles!$A$45:$I$59, 8, FALSE), perc_85, perc_75 + (perc_90 - perc_75) * (2/3), converted_stat, '2K_Ratings'!S462, IF(bbgm_stat &gt;= perc_95, converted_stat * 3, IF(bbgm_stat &gt;= perc_90, converted_stat * 2, IF(bbgm_stat &gt;= perc_85, converted_stat * 1.5, converted_stat)))))</f>
        <v/>
      </c>
      <c r="T462" s="30" t="str">
        <f t="array" ref="T462">IF($A462="", "", LET(bbgm_stat, INDEX(Players!$A461:$P461, MATCH(T$2, Players!$A$1:$P$1, 0)), perc_75, VLOOKUP(T$2, Percentiles!$A$45:$I$59, 6, FALSE), perc_90, VLOOKUP(T$2, Percentiles!$A$45:$I$59, 7, FALSE), perc_95, VLOOKUP(T$2, Percentiles!$A$45:$I$59, 8, FALSE), perc_85, perc_75 + (perc_90 - perc_75) * (2/3), converted_stat, '2K_Ratings'!T462, IF(bbgm_stat &gt;= perc_95, converted_stat * 3, IF(bbgm_stat &gt;= perc_90, converted_stat * 2, IF(bbgm_stat &gt;= perc_85, converted_stat * 1.5, converted_stat)))))</f>
        <v/>
      </c>
      <c r="U462" s="30" t="str">
        <f t="array" ref="U462">IF($A462="", "", LET(bbgm_stat, INDEX(Players!$A461:$P461, MATCH(U$2, Players!$A$1:$P$1, 0)), perc_75, VLOOKUP(U$2, Percentiles!$A$45:$I$59, 6, FALSE), perc_90, VLOOKUP(U$2, Percentiles!$A$45:$I$59, 7, FALSE), perc_95, VLOOKUP(U$2, Percentiles!$A$45:$I$59, 8, FALSE), perc_85, perc_75 + (perc_90 - perc_75) * (2/3), converted_stat, '2K_Ratings'!U462, IF(bbgm_stat &gt;= perc_95, converted_stat * 3, IF(bbgm_stat &gt;= perc_90, converted_stat * 2, IF(bbgm_stat &gt;= perc_85, converted_stat * 1.5, converted_stat)))))</f>
        <v/>
      </c>
      <c r="V462" s="30" t="str">
        <f t="array" ref="V462">IF($A462="", "", LET(bbgm_stat, INDEX(Players!$A461:$P461, MATCH(V$2, Players!$A$1:$P$1, 0)), perc_75, VLOOKUP(V$2, Percentiles!$A$45:$I$59, 6, FALSE), perc_90, VLOOKUP(V$2, Percentiles!$A$45:$I$59, 7, FALSE), perc_95, VLOOKUP(V$2, Percentiles!$A$45:$I$59, 8, FALSE), perc_85, perc_75 + (perc_90 - perc_75) * (2/3), converted_stat, '2K_Ratings'!V462, IF(bbgm_stat &gt;= perc_95, converted_stat * 3, IF(bbgm_stat &gt;= perc_90, converted_stat * 2, IF(bbgm_stat &gt;= perc_85, converted_stat * 1.5, converted_stat)))))</f>
        <v/>
      </c>
      <c r="W462" s="30" t="str">
        <f t="array" ref="W462">IF($A462="", "", LET(bbgm_stat, INDEX(Players!$A461:$P461, MATCH(W$2, Players!$A$1:$P$1, 0)), perc_75, VLOOKUP(W$2, Percentiles!$A$45:$I$59, 6, FALSE), perc_90, VLOOKUP(W$2, Percentiles!$A$45:$I$59, 7, FALSE), perc_95, VLOOKUP(W$2, Percentiles!$A$45:$I$59, 8, FALSE), perc_85, perc_75 + (perc_90 - perc_75) * (2/3), converted_stat, '2K_Ratings'!W462, IF(bbgm_stat &gt;= perc_95, converted_stat * 3, IF(bbgm_stat &gt;= perc_90, converted_stat * 2, IF(bbgm_stat &gt;= perc_85, converted_stat * 1.5, converted_stat)))))</f>
        <v/>
      </c>
    </row>
    <row r="463">
      <c r="A463" s="30"/>
      <c r="B463" s="30" t="str">
        <f t="array" ref="B463">IF($A463="", "", LET(bbgm_stat, INDEX(Players!$A462:$P462, MATCH(B$2, Players!$A$1:$P$1, 0)), perc_75, VLOOKUP(B$2, Percentiles!$A$45:$I$59, 6, FALSE), perc_90, VLOOKUP(B$2, Percentiles!$A$45:$I$59, 7, FALSE), perc_95, VLOOKUP(B$2, Percentiles!$A$45:$I$59, 8, FALSE), perc_85, perc_75 + (perc_90 - perc_75) * (2/3), converted_stat, '2K_Ratings'!B463, IF(bbgm_stat &gt;= perc_95, converted_stat * 3, IF(bbgm_stat &gt;= perc_90, converted_stat * 2, IF(bbgm_stat &gt;= perc_85, converted_stat * 1.5, converted_stat)))))</f>
        <v/>
      </c>
      <c r="C463" s="30" t="str">
        <f t="array" ref="C463">IF($A463="", "", LET(bbgm_stat, INDEX(Players!$A462:$P462, MATCH(C$2, Players!$A$1:$P$1, 0)), perc_75, VLOOKUP(C$2, Percentiles!$A$45:$I$59, 6, FALSE), perc_90, VLOOKUP(C$2, Percentiles!$A$45:$I$59, 7, FALSE), perc_95, VLOOKUP(C$2, Percentiles!$A$45:$I$59, 8, FALSE), perc_85, perc_75 + (perc_90 - perc_75) * (2/3), converted_stat, '2K_Ratings'!C463, IF(bbgm_stat &gt;= perc_95, converted_stat * 3, IF(bbgm_stat &gt;= perc_90, converted_stat * 2, IF(bbgm_stat &gt;= perc_85, converted_stat * 1.5, converted_stat)))))</f>
        <v/>
      </c>
      <c r="D463" s="30" t="str">
        <f t="array" ref="D463">IF($A463="", "", LET(bbgm_stat, INDEX(Players!$A462:$P462, MATCH(D$2, Players!$A$1:$P$1, 0)), perc_75, VLOOKUP(D$2, Percentiles!$A$45:$I$59, 6, FALSE), perc_90, VLOOKUP(D$2, Percentiles!$A$45:$I$59, 7, FALSE), perc_95, VLOOKUP(D$2, Percentiles!$A$45:$I$59, 8, FALSE), perc_85, perc_75 + (perc_90 - perc_75) * (2/3), converted_stat, '2K_Ratings'!D463, IF(bbgm_stat &gt;= perc_95, converted_stat * 3, IF(bbgm_stat &gt;= perc_90, converted_stat * 2, IF(bbgm_stat &gt;= perc_85, converted_stat * 1.5, converted_stat)))))</f>
        <v/>
      </c>
      <c r="E463" s="30" t="str">
        <f t="array" ref="E463">IF($A463="", "", LET(bbgm_stat, INDEX(Players!$A462:$P462, MATCH(E$2, Players!$A$1:$P$1, 0)), perc_75, VLOOKUP(E$2, Percentiles!$A$45:$I$59, 6, FALSE), perc_90, VLOOKUP(E$2, Percentiles!$A$45:$I$59, 7, FALSE), perc_95, VLOOKUP(E$2, Percentiles!$A$45:$I$59, 8, FALSE), perc_85, perc_75 + (perc_90 - perc_75) * (2/3), converted_stat, '2K_Ratings'!E463, IF(bbgm_stat &gt;= perc_95, converted_stat * 3, IF(bbgm_stat &gt;= perc_90, converted_stat * 2, IF(bbgm_stat &gt;= perc_85, converted_stat * 1.5, converted_stat)))))</f>
        <v/>
      </c>
      <c r="F463" s="30" t="str">
        <f t="array" ref="F463">IF($A463="", "", LET(bbgm_stat, INDEX(Players!$A462:$P462, MATCH(F$2, Players!$A$1:$P$1, 0)), perc_75, VLOOKUP(F$2, Percentiles!$A$45:$I$59, 6, FALSE), perc_90, VLOOKUP(F$2, Percentiles!$A$45:$I$59, 7, FALSE), perc_95, VLOOKUP(F$2, Percentiles!$A$45:$I$59, 8, FALSE), perc_85, perc_75 + (perc_90 - perc_75) * (2/3), converted_stat, '2K_Ratings'!F463, IF(bbgm_stat &gt;= perc_95, converted_stat * 3, IF(bbgm_stat &gt;= perc_90, converted_stat * 2, IF(bbgm_stat &gt;= perc_85, converted_stat * 1.5, converted_stat)))))</f>
        <v/>
      </c>
      <c r="G463" s="30" t="str">
        <f t="array" ref="G463">IF($A463="", "", LET(bbgm_stat, INDEX(Players!$A462:$P462, MATCH(G$2, Players!$A$1:$P$1, 0)), perc_75, VLOOKUP(G$2, Percentiles!$A$45:$I$59, 6, FALSE), perc_90, VLOOKUP(G$2, Percentiles!$A$45:$I$59, 7, FALSE), perc_95, VLOOKUP(G$2, Percentiles!$A$45:$I$59, 8, FALSE), perc_85, perc_75 + (perc_90 - perc_75) * (2/3), converted_stat, '2K_Ratings'!G463, IF(bbgm_stat &gt;= perc_95, converted_stat * 3, IF(bbgm_stat &gt;= perc_90, converted_stat * 2, IF(bbgm_stat &gt;= perc_85, converted_stat * 1.5, converted_stat)))))</f>
        <v/>
      </c>
      <c r="H463" s="30" t="str">
        <f t="array" ref="H463">IF($A463="", "", LET(bbgm_stat, INDEX(Players!$A462:$P462, MATCH(H$2, Players!$A$1:$P$1, 0)), perc_75, VLOOKUP(H$2, Percentiles!$A$45:$I$59, 6, FALSE), perc_90, VLOOKUP(H$2, Percentiles!$A$45:$I$59, 7, FALSE), perc_95, VLOOKUP(H$2, Percentiles!$A$45:$I$59, 8, FALSE), perc_85, perc_75 + (perc_90 - perc_75) * (2/3), converted_stat, '2K_Ratings'!H463, IF(bbgm_stat &gt;= perc_95, converted_stat * 3, IF(bbgm_stat &gt;= perc_90, converted_stat * 2, IF(bbgm_stat &gt;= perc_85, converted_stat * 1.5, converted_stat)))))</f>
        <v/>
      </c>
      <c r="I463" s="30" t="str">
        <f t="array" ref="I463">IF($A463="", "", LET(bbgm_stat, INDEX(Players!$A462:$P462, MATCH(I$2, Players!$A$1:$P$1, 0)), perc_75, VLOOKUP(I$2, Percentiles!$A$45:$I$59, 6, FALSE), perc_90, VLOOKUP(I$2, Percentiles!$A$45:$I$59, 7, FALSE), perc_95, VLOOKUP(I$2, Percentiles!$A$45:$I$59, 8, FALSE), perc_85, perc_75 + (perc_90 - perc_75) * (2/3), converted_stat, '2K_Ratings'!I463, IF(bbgm_stat &gt;= perc_95, converted_stat * 3, IF(bbgm_stat &gt;= perc_90, converted_stat * 2, IF(bbgm_stat &gt;= perc_85, converted_stat * 1.5, converted_stat)))))</f>
        <v/>
      </c>
      <c r="J463" s="30" t="str">
        <f t="array" ref="J463">IF($A463="", "", LET(bbgm_stat, INDEX(Players!$A462:$P462, MATCH(J$2, Players!$A$1:$P$1, 0)), perc_75, VLOOKUP(J$2, Percentiles!$A$45:$I$59, 6, FALSE), perc_90, VLOOKUP(J$2, Percentiles!$A$45:$I$59, 7, FALSE), perc_95, VLOOKUP(J$2, Percentiles!$A$45:$I$59, 8, FALSE), perc_85, perc_75 + (perc_90 - perc_75) * (2/3), converted_stat, '2K_Ratings'!J463, IF(bbgm_stat &gt;= perc_95, converted_stat * 3, IF(bbgm_stat &gt;= perc_90, converted_stat * 2, IF(bbgm_stat &gt;= perc_85, converted_stat * 1.5, converted_stat)))))</f>
        <v/>
      </c>
      <c r="K463" s="30" t="str">
        <f t="array" ref="K463">IF($A463="", "", LET(bbgm_stat, INDEX(Players!$A462:$P462, MATCH(K$2, Players!$A$1:$P$1, 0)), perc_75, VLOOKUP(K$2, Percentiles!$A$45:$I$59, 6, FALSE), perc_90, VLOOKUP(K$2, Percentiles!$A$45:$I$59, 7, FALSE), perc_95, VLOOKUP(K$2, Percentiles!$A$45:$I$59, 8, FALSE), perc_85, perc_75 + (perc_90 - perc_75) * (2/3), converted_stat, '2K_Ratings'!K463, IF(bbgm_stat &gt;= perc_95, converted_stat * 3, IF(bbgm_stat &gt;= perc_90, converted_stat * 2, IF(bbgm_stat &gt;= perc_85, converted_stat * 1.5, converted_stat)))))</f>
        <v/>
      </c>
      <c r="L463" s="30" t="str">
        <f t="array" ref="L463">IF($A463="", "", LET(bbgm_stat, INDEX(Players!$A462:$P462, MATCH(L$2, Players!$A$1:$P$1, 0)), perc_75, VLOOKUP(L$2, Percentiles!$A$45:$I$59, 6, FALSE), perc_90, VLOOKUP(L$2, Percentiles!$A$45:$I$59, 7, FALSE), perc_95, VLOOKUP(L$2, Percentiles!$A$45:$I$59, 8, FALSE), perc_85, perc_75 + (perc_90 - perc_75) * (2/3), converted_stat, '2K_Ratings'!L463, IF(bbgm_stat &gt;= perc_95, converted_stat * 3, IF(bbgm_stat &gt;= perc_90, converted_stat * 2, IF(bbgm_stat &gt;= perc_85, converted_stat * 1.5, converted_stat)))))</f>
        <v/>
      </c>
      <c r="M463" s="30" t="str">
        <f t="array" ref="M463">IF($A463="", "", LET(bbgm_stat, INDEX(Players!$A462:$P462, MATCH(M$2, Players!$A$1:$P$1, 0)), perc_75, VLOOKUP(M$2, Percentiles!$A$45:$I$59, 6, FALSE), perc_90, VLOOKUP(M$2, Percentiles!$A$45:$I$59, 7, FALSE), perc_95, VLOOKUP(M$2, Percentiles!$A$45:$I$59, 8, FALSE), perc_85, perc_75 + (perc_90 - perc_75) * (2/3), converted_stat, '2K_Ratings'!M463, IF(bbgm_stat &gt;= perc_95, converted_stat * 3, IF(bbgm_stat &gt;= perc_90, converted_stat * 2, IF(bbgm_stat &gt;= perc_85, converted_stat * 1.5, converted_stat)))))</f>
        <v/>
      </c>
      <c r="N463" s="30" t="str">
        <f t="array" ref="N463">IF($A463="", "", LET(bbgm_stat, INDEX(Players!$A462:$P462, MATCH(N$2, Players!$A$1:$P$1, 0)), perc_75, VLOOKUP(N$2, Percentiles!$A$45:$I$59, 6, FALSE), perc_90, VLOOKUP(N$2, Percentiles!$A$45:$I$59, 7, FALSE), perc_95, VLOOKUP(N$2, Percentiles!$A$45:$I$59, 8, FALSE), perc_85, perc_75 + (perc_90 - perc_75) * (2/3), converted_stat, '2K_Ratings'!N463, IF(bbgm_stat &gt;= perc_95, converted_stat * 3, IF(bbgm_stat &gt;= perc_90, converted_stat * 2, IF(bbgm_stat &gt;= perc_85, converted_stat * 1.5, converted_stat)))))</f>
        <v/>
      </c>
      <c r="O463" s="30" t="str">
        <f t="array" ref="O463">IF($A463="", "", LET(bbgm_stat, INDEX(Players!$A462:$P462, MATCH(O$2, Players!$A$1:$P$1, 0)), perc_75, VLOOKUP(O$2, Percentiles!$A$45:$I$59, 6, FALSE), perc_90, VLOOKUP(O$2, Percentiles!$A$45:$I$59, 7, FALSE), perc_95, VLOOKUP(O$2, Percentiles!$A$45:$I$59, 8, FALSE), perc_85, perc_75 + (perc_90 - perc_75) * (2/3), converted_stat, '2K_Ratings'!O463, IF(bbgm_stat &gt;= perc_95, converted_stat * 3, IF(bbgm_stat &gt;= perc_90, converted_stat * 2, IF(bbgm_stat &gt;= perc_85, converted_stat * 1.5, converted_stat)))))</f>
        <v/>
      </c>
      <c r="P463" s="30" t="str">
        <f t="array" ref="P463">IF($A463="", "", LET(bbgm_stat, INDEX(Players!$A462:$P462, MATCH(P$2, Players!$A$1:$P$1, 0)), perc_75, VLOOKUP(P$2, Percentiles!$A$45:$I$59, 6, FALSE), perc_90, VLOOKUP(P$2, Percentiles!$A$45:$I$59, 7, FALSE), perc_95, VLOOKUP(P$2, Percentiles!$A$45:$I$59, 8, FALSE), perc_85, perc_75 + (perc_90 - perc_75) * (2/3), converted_stat, '2K_Ratings'!P463, IF(bbgm_stat &gt;= perc_95, converted_stat * 3, IF(bbgm_stat &gt;= perc_90, converted_stat * 2, IF(bbgm_stat &gt;= perc_85, converted_stat * 1.5, converted_stat)))))</f>
        <v/>
      </c>
      <c r="Q463" s="30" t="str">
        <f t="array" ref="Q463">IF($A463="", "", LET(bbgm_stat, INDEX(Players!$A462:$P462, MATCH(Q$2, Players!$A$1:$P$1, 0)), perc_75, VLOOKUP(Q$2, Percentiles!$A$45:$I$59, 6, FALSE), perc_90, VLOOKUP(Q$2, Percentiles!$A$45:$I$59, 7, FALSE), perc_95, VLOOKUP(Q$2, Percentiles!$A$45:$I$59, 8, FALSE), perc_85, perc_75 + (perc_90 - perc_75) * (2/3), converted_stat, '2K_Ratings'!Q463, IF(bbgm_stat &gt;= perc_95, converted_stat * 3, IF(bbgm_stat &gt;= perc_90, converted_stat * 2, IF(bbgm_stat &gt;= perc_85, converted_stat * 1.5, converted_stat)))))</f>
        <v/>
      </c>
      <c r="R463" s="30" t="str">
        <f t="array" ref="R463">IF($A463="", "", LET(bbgm_stat, INDEX(Players!$A462:$P462, MATCH(R$2, Players!$A$1:$P$1, 0)), perc_75, VLOOKUP(R$2, Percentiles!$A$45:$I$59, 6, FALSE), perc_90, VLOOKUP(R$2, Percentiles!$A$45:$I$59, 7, FALSE), perc_95, VLOOKUP(R$2, Percentiles!$A$45:$I$59, 8, FALSE), perc_85, perc_75 + (perc_90 - perc_75) * (2/3), converted_stat, '2K_Ratings'!R463, IF(bbgm_stat &gt;= perc_95, converted_stat * 3, IF(bbgm_stat &gt;= perc_90, converted_stat * 2, IF(bbgm_stat &gt;= perc_85, converted_stat * 1.5, converted_stat)))))</f>
        <v/>
      </c>
      <c r="S463" s="30" t="str">
        <f t="array" ref="S463">IF($A463="", "", LET(bbgm_stat, INDEX(Players!$A462:$P462, MATCH(S$2, Players!$A$1:$P$1, 0)), perc_75, VLOOKUP(S$2, Percentiles!$A$45:$I$59, 6, FALSE), perc_90, VLOOKUP(S$2, Percentiles!$A$45:$I$59, 7, FALSE), perc_95, VLOOKUP(S$2, Percentiles!$A$45:$I$59, 8, FALSE), perc_85, perc_75 + (perc_90 - perc_75) * (2/3), converted_stat, '2K_Ratings'!S463, IF(bbgm_stat &gt;= perc_95, converted_stat * 3, IF(bbgm_stat &gt;= perc_90, converted_stat * 2, IF(bbgm_stat &gt;= perc_85, converted_stat * 1.5, converted_stat)))))</f>
        <v/>
      </c>
      <c r="T463" s="30" t="str">
        <f t="array" ref="T463">IF($A463="", "", LET(bbgm_stat, INDEX(Players!$A462:$P462, MATCH(T$2, Players!$A$1:$P$1, 0)), perc_75, VLOOKUP(T$2, Percentiles!$A$45:$I$59, 6, FALSE), perc_90, VLOOKUP(T$2, Percentiles!$A$45:$I$59, 7, FALSE), perc_95, VLOOKUP(T$2, Percentiles!$A$45:$I$59, 8, FALSE), perc_85, perc_75 + (perc_90 - perc_75) * (2/3), converted_stat, '2K_Ratings'!T463, IF(bbgm_stat &gt;= perc_95, converted_stat * 3, IF(bbgm_stat &gt;= perc_90, converted_stat * 2, IF(bbgm_stat &gt;= perc_85, converted_stat * 1.5, converted_stat)))))</f>
        <v/>
      </c>
      <c r="U463" s="30" t="str">
        <f t="array" ref="U463">IF($A463="", "", LET(bbgm_stat, INDEX(Players!$A462:$P462, MATCH(U$2, Players!$A$1:$P$1, 0)), perc_75, VLOOKUP(U$2, Percentiles!$A$45:$I$59, 6, FALSE), perc_90, VLOOKUP(U$2, Percentiles!$A$45:$I$59, 7, FALSE), perc_95, VLOOKUP(U$2, Percentiles!$A$45:$I$59, 8, FALSE), perc_85, perc_75 + (perc_90 - perc_75) * (2/3), converted_stat, '2K_Ratings'!U463, IF(bbgm_stat &gt;= perc_95, converted_stat * 3, IF(bbgm_stat &gt;= perc_90, converted_stat * 2, IF(bbgm_stat &gt;= perc_85, converted_stat * 1.5, converted_stat)))))</f>
        <v/>
      </c>
      <c r="V463" s="30" t="str">
        <f t="array" ref="V463">IF($A463="", "", LET(bbgm_stat, INDEX(Players!$A462:$P462, MATCH(V$2, Players!$A$1:$P$1, 0)), perc_75, VLOOKUP(V$2, Percentiles!$A$45:$I$59, 6, FALSE), perc_90, VLOOKUP(V$2, Percentiles!$A$45:$I$59, 7, FALSE), perc_95, VLOOKUP(V$2, Percentiles!$A$45:$I$59, 8, FALSE), perc_85, perc_75 + (perc_90 - perc_75) * (2/3), converted_stat, '2K_Ratings'!V463, IF(bbgm_stat &gt;= perc_95, converted_stat * 3, IF(bbgm_stat &gt;= perc_90, converted_stat * 2, IF(bbgm_stat &gt;= perc_85, converted_stat * 1.5, converted_stat)))))</f>
        <v/>
      </c>
      <c r="W463" s="30" t="str">
        <f t="array" ref="W463">IF($A463="", "", LET(bbgm_stat, INDEX(Players!$A462:$P462, MATCH(W$2, Players!$A$1:$P$1, 0)), perc_75, VLOOKUP(W$2, Percentiles!$A$45:$I$59, 6, FALSE), perc_90, VLOOKUP(W$2, Percentiles!$A$45:$I$59, 7, FALSE), perc_95, VLOOKUP(W$2, Percentiles!$A$45:$I$59, 8, FALSE), perc_85, perc_75 + (perc_90 - perc_75) * (2/3), converted_stat, '2K_Ratings'!W463, IF(bbgm_stat &gt;= perc_95, converted_stat * 3, IF(bbgm_stat &gt;= perc_90, converted_stat * 2, IF(bbgm_stat &gt;= perc_85, converted_stat * 1.5, converted_stat)))))</f>
        <v/>
      </c>
    </row>
    <row r="464">
      <c r="A464" s="30"/>
      <c r="B464" s="30" t="str">
        <f t="array" ref="B464">IF($A464="", "", LET(bbgm_stat, INDEX(Players!$A463:$P463, MATCH(B$2, Players!$A$1:$P$1, 0)), perc_75, VLOOKUP(B$2, Percentiles!$A$45:$I$59, 6, FALSE), perc_90, VLOOKUP(B$2, Percentiles!$A$45:$I$59, 7, FALSE), perc_95, VLOOKUP(B$2, Percentiles!$A$45:$I$59, 8, FALSE), perc_85, perc_75 + (perc_90 - perc_75) * (2/3), converted_stat, '2K_Ratings'!B464, IF(bbgm_stat &gt;= perc_95, converted_stat * 3, IF(bbgm_stat &gt;= perc_90, converted_stat * 2, IF(bbgm_stat &gt;= perc_85, converted_stat * 1.5, converted_stat)))))</f>
        <v/>
      </c>
      <c r="C464" s="30" t="str">
        <f t="array" ref="C464">IF($A464="", "", LET(bbgm_stat, INDEX(Players!$A463:$P463, MATCH(C$2, Players!$A$1:$P$1, 0)), perc_75, VLOOKUP(C$2, Percentiles!$A$45:$I$59, 6, FALSE), perc_90, VLOOKUP(C$2, Percentiles!$A$45:$I$59, 7, FALSE), perc_95, VLOOKUP(C$2, Percentiles!$A$45:$I$59, 8, FALSE), perc_85, perc_75 + (perc_90 - perc_75) * (2/3), converted_stat, '2K_Ratings'!C464, IF(bbgm_stat &gt;= perc_95, converted_stat * 3, IF(bbgm_stat &gt;= perc_90, converted_stat * 2, IF(bbgm_stat &gt;= perc_85, converted_stat * 1.5, converted_stat)))))</f>
        <v/>
      </c>
      <c r="D464" s="30" t="str">
        <f t="array" ref="D464">IF($A464="", "", LET(bbgm_stat, INDEX(Players!$A463:$P463, MATCH(D$2, Players!$A$1:$P$1, 0)), perc_75, VLOOKUP(D$2, Percentiles!$A$45:$I$59, 6, FALSE), perc_90, VLOOKUP(D$2, Percentiles!$A$45:$I$59, 7, FALSE), perc_95, VLOOKUP(D$2, Percentiles!$A$45:$I$59, 8, FALSE), perc_85, perc_75 + (perc_90 - perc_75) * (2/3), converted_stat, '2K_Ratings'!D464, IF(bbgm_stat &gt;= perc_95, converted_stat * 3, IF(bbgm_stat &gt;= perc_90, converted_stat * 2, IF(bbgm_stat &gt;= perc_85, converted_stat * 1.5, converted_stat)))))</f>
        <v/>
      </c>
      <c r="E464" s="30" t="str">
        <f t="array" ref="E464">IF($A464="", "", LET(bbgm_stat, INDEX(Players!$A463:$P463, MATCH(E$2, Players!$A$1:$P$1, 0)), perc_75, VLOOKUP(E$2, Percentiles!$A$45:$I$59, 6, FALSE), perc_90, VLOOKUP(E$2, Percentiles!$A$45:$I$59, 7, FALSE), perc_95, VLOOKUP(E$2, Percentiles!$A$45:$I$59, 8, FALSE), perc_85, perc_75 + (perc_90 - perc_75) * (2/3), converted_stat, '2K_Ratings'!E464, IF(bbgm_stat &gt;= perc_95, converted_stat * 3, IF(bbgm_stat &gt;= perc_90, converted_stat * 2, IF(bbgm_stat &gt;= perc_85, converted_stat * 1.5, converted_stat)))))</f>
        <v/>
      </c>
      <c r="F464" s="30" t="str">
        <f t="array" ref="F464">IF($A464="", "", LET(bbgm_stat, INDEX(Players!$A463:$P463, MATCH(F$2, Players!$A$1:$P$1, 0)), perc_75, VLOOKUP(F$2, Percentiles!$A$45:$I$59, 6, FALSE), perc_90, VLOOKUP(F$2, Percentiles!$A$45:$I$59, 7, FALSE), perc_95, VLOOKUP(F$2, Percentiles!$A$45:$I$59, 8, FALSE), perc_85, perc_75 + (perc_90 - perc_75) * (2/3), converted_stat, '2K_Ratings'!F464, IF(bbgm_stat &gt;= perc_95, converted_stat * 3, IF(bbgm_stat &gt;= perc_90, converted_stat * 2, IF(bbgm_stat &gt;= perc_85, converted_stat * 1.5, converted_stat)))))</f>
        <v/>
      </c>
      <c r="G464" s="30" t="str">
        <f t="array" ref="G464">IF($A464="", "", LET(bbgm_stat, INDEX(Players!$A463:$P463, MATCH(G$2, Players!$A$1:$P$1, 0)), perc_75, VLOOKUP(G$2, Percentiles!$A$45:$I$59, 6, FALSE), perc_90, VLOOKUP(G$2, Percentiles!$A$45:$I$59, 7, FALSE), perc_95, VLOOKUP(G$2, Percentiles!$A$45:$I$59, 8, FALSE), perc_85, perc_75 + (perc_90 - perc_75) * (2/3), converted_stat, '2K_Ratings'!G464, IF(bbgm_stat &gt;= perc_95, converted_stat * 3, IF(bbgm_stat &gt;= perc_90, converted_stat * 2, IF(bbgm_stat &gt;= perc_85, converted_stat * 1.5, converted_stat)))))</f>
        <v/>
      </c>
      <c r="H464" s="30" t="str">
        <f t="array" ref="H464">IF($A464="", "", LET(bbgm_stat, INDEX(Players!$A463:$P463, MATCH(H$2, Players!$A$1:$P$1, 0)), perc_75, VLOOKUP(H$2, Percentiles!$A$45:$I$59, 6, FALSE), perc_90, VLOOKUP(H$2, Percentiles!$A$45:$I$59, 7, FALSE), perc_95, VLOOKUP(H$2, Percentiles!$A$45:$I$59, 8, FALSE), perc_85, perc_75 + (perc_90 - perc_75) * (2/3), converted_stat, '2K_Ratings'!H464, IF(bbgm_stat &gt;= perc_95, converted_stat * 3, IF(bbgm_stat &gt;= perc_90, converted_stat * 2, IF(bbgm_stat &gt;= perc_85, converted_stat * 1.5, converted_stat)))))</f>
        <v/>
      </c>
      <c r="I464" s="30" t="str">
        <f t="array" ref="I464">IF($A464="", "", LET(bbgm_stat, INDEX(Players!$A463:$P463, MATCH(I$2, Players!$A$1:$P$1, 0)), perc_75, VLOOKUP(I$2, Percentiles!$A$45:$I$59, 6, FALSE), perc_90, VLOOKUP(I$2, Percentiles!$A$45:$I$59, 7, FALSE), perc_95, VLOOKUP(I$2, Percentiles!$A$45:$I$59, 8, FALSE), perc_85, perc_75 + (perc_90 - perc_75) * (2/3), converted_stat, '2K_Ratings'!I464, IF(bbgm_stat &gt;= perc_95, converted_stat * 3, IF(bbgm_stat &gt;= perc_90, converted_stat * 2, IF(bbgm_stat &gt;= perc_85, converted_stat * 1.5, converted_stat)))))</f>
        <v/>
      </c>
      <c r="J464" s="30" t="str">
        <f t="array" ref="J464">IF($A464="", "", LET(bbgm_stat, INDEX(Players!$A463:$P463, MATCH(J$2, Players!$A$1:$P$1, 0)), perc_75, VLOOKUP(J$2, Percentiles!$A$45:$I$59, 6, FALSE), perc_90, VLOOKUP(J$2, Percentiles!$A$45:$I$59, 7, FALSE), perc_95, VLOOKUP(J$2, Percentiles!$A$45:$I$59, 8, FALSE), perc_85, perc_75 + (perc_90 - perc_75) * (2/3), converted_stat, '2K_Ratings'!J464, IF(bbgm_stat &gt;= perc_95, converted_stat * 3, IF(bbgm_stat &gt;= perc_90, converted_stat * 2, IF(bbgm_stat &gt;= perc_85, converted_stat * 1.5, converted_stat)))))</f>
        <v/>
      </c>
      <c r="K464" s="30" t="str">
        <f t="array" ref="K464">IF($A464="", "", LET(bbgm_stat, INDEX(Players!$A463:$P463, MATCH(K$2, Players!$A$1:$P$1, 0)), perc_75, VLOOKUP(K$2, Percentiles!$A$45:$I$59, 6, FALSE), perc_90, VLOOKUP(K$2, Percentiles!$A$45:$I$59, 7, FALSE), perc_95, VLOOKUP(K$2, Percentiles!$A$45:$I$59, 8, FALSE), perc_85, perc_75 + (perc_90 - perc_75) * (2/3), converted_stat, '2K_Ratings'!K464, IF(bbgm_stat &gt;= perc_95, converted_stat * 3, IF(bbgm_stat &gt;= perc_90, converted_stat * 2, IF(bbgm_stat &gt;= perc_85, converted_stat * 1.5, converted_stat)))))</f>
        <v/>
      </c>
      <c r="L464" s="30" t="str">
        <f t="array" ref="L464">IF($A464="", "", LET(bbgm_stat, INDEX(Players!$A463:$P463, MATCH(L$2, Players!$A$1:$P$1, 0)), perc_75, VLOOKUP(L$2, Percentiles!$A$45:$I$59, 6, FALSE), perc_90, VLOOKUP(L$2, Percentiles!$A$45:$I$59, 7, FALSE), perc_95, VLOOKUP(L$2, Percentiles!$A$45:$I$59, 8, FALSE), perc_85, perc_75 + (perc_90 - perc_75) * (2/3), converted_stat, '2K_Ratings'!L464, IF(bbgm_stat &gt;= perc_95, converted_stat * 3, IF(bbgm_stat &gt;= perc_90, converted_stat * 2, IF(bbgm_stat &gt;= perc_85, converted_stat * 1.5, converted_stat)))))</f>
        <v/>
      </c>
      <c r="M464" s="30" t="str">
        <f t="array" ref="M464">IF($A464="", "", LET(bbgm_stat, INDEX(Players!$A463:$P463, MATCH(M$2, Players!$A$1:$P$1, 0)), perc_75, VLOOKUP(M$2, Percentiles!$A$45:$I$59, 6, FALSE), perc_90, VLOOKUP(M$2, Percentiles!$A$45:$I$59, 7, FALSE), perc_95, VLOOKUP(M$2, Percentiles!$A$45:$I$59, 8, FALSE), perc_85, perc_75 + (perc_90 - perc_75) * (2/3), converted_stat, '2K_Ratings'!M464, IF(bbgm_stat &gt;= perc_95, converted_stat * 3, IF(bbgm_stat &gt;= perc_90, converted_stat * 2, IF(bbgm_stat &gt;= perc_85, converted_stat * 1.5, converted_stat)))))</f>
        <v/>
      </c>
      <c r="N464" s="30" t="str">
        <f t="array" ref="N464">IF($A464="", "", LET(bbgm_stat, INDEX(Players!$A463:$P463, MATCH(N$2, Players!$A$1:$P$1, 0)), perc_75, VLOOKUP(N$2, Percentiles!$A$45:$I$59, 6, FALSE), perc_90, VLOOKUP(N$2, Percentiles!$A$45:$I$59, 7, FALSE), perc_95, VLOOKUP(N$2, Percentiles!$A$45:$I$59, 8, FALSE), perc_85, perc_75 + (perc_90 - perc_75) * (2/3), converted_stat, '2K_Ratings'!N464, IF(bbgm_stat &gt;= perc_95, converted_stat * 3, IF(bbgm_stat &gt;= perc_90, converted_stat * 2, IF(bbgm_stat &gt;= perc_85, converted_stat * 1.5, converted_stat)))))</f>
        <v/>
      </c>
      <c r="O464" s="30" t="str">
        <f t="array" ref="O464">IF($A464="", "", LET(bbgm_stat, INDEX(Players!$A463:$P463, MATCH(O$2, Players!$A$1:$P$1, 0)), perc_75, VLOOKUP(O$2, Percentiles!$A$45:$I$59, 6, FALSE), perc_90, VLOOKUP(O$2, Percentiles!$A$45:$I$59, 7, FALSE), perc_95, VLOOKUP(O$2, Percentiles!$A$45:$I$59, 8, FALSE), perc_85, perc_75 + (perc_90 - perc_75) * (2/3), converted_stat, '2K_Ratings'!O464, IF(bbgm_stat &gt;= perc_95, converted_stat * 3, IF(bbgm_stat &gt;= perc_90, converted_stat * 2, IF(bbgm_stat &gt;= perc_85, converted_stat * 1.5, converted_stat)))))</f>
        <v/>
      </c>
      <c r="P464" s="30" t="str">
        <f t="array" ref="P464">IF($A464="", "", LET(bbgm_stat, INDEX(Players!$A463:$P463, MATCH(P$2, Players!$A$1:$P$1, 0)), perc_75, VLOOKUP(P$2, Percentiles!$A$45:$I$59, 6, FALSE), perc_90, VLOOKUP(P$2, Percentiles!$A$45:$I$59, 7, FALSE), perc_95, VLOOKUP(P$2, Percentiles!$A$45:$I$59, 8, FALSE), perc_85, perc_75 + (perc_90 - perc_75) * (2/3), converted_stat, '2K_Ratings'!P464, IF(bbgm_stat &gt;= perc_95, converted_stat * 3, IF(bbgm_stat &gt;= perc_90, converted_stat * 2, IF(bbgm_stat &gt;= perc_85, converted_stat * 1.5, converted_stat)))))</f>
        <v/>
      </c>
      <c r="Q464" s="30" t="str">
        <f t="array" ref="Q464">IF($A464="", "", LET(bbgm_stat, INDEX(Players!$A463:$P463, MATCH(Q$2, Players!$A$1:$P$1, 0)), perc_75, VLOOKUP(Q$2, Percentiles!$A$45:$I$59, 6, FALSE), perc_90, VLOOKUP(Q$2, Percentiles!$A$45:$I$59, 7, FALSE), perc_95, VLOOKUP(Q$2, Percentiles!$A$45:$I$59, 8, FALSE), perc_85, perc_75 + (perc_90 - perc_75) * (2/3), converted_stat, '2K_Ratings'!Q464, IF(bbgm_stat &gt;= perc_95, converted_stat * 3, IF(bbgm_stat &gt;= perc_90, converted_stat * 2, IF(bbgm_stat &gt;= perc_85, converted_stat * 1.5, converted_stat)))))</f>
        <v/>
      </c>
      <c r="R464" s="30" t="str">
        <f t="array" ref="R464">IF($A464="", "", LET(bbgm_stat, INDEX(Players!$A463:$P463, MATCH(R$2, Players!$A$1:$P$1, 0)), perc_75, VLOOKUP(R$2, Percentiles!$A$45:$I$59, 6, FALSE), perc_90, VLOOKUP(R$2, Percentiles!$A$45:$I$59, 7, FALSE), perc_95, VLOOKUP(R$2, Percentiles!$A$45:$I$59, 8, FALSE), perc_85, perc_75 + (perc_90 - perc_75) * (2/3), converted_stat, '2K_Ratings'!R464, IF(bbgm_stat &gt;= perc_95, converted_stat * 3, IF(bbgm_stat &gt;= perc_90, converted_stat * 2, IF(bbgm_stat &gt;= perc_85, converted_stat * 1.5, converted_stat)))))</f>
        <v/>
      </c>
      <c r="S464" s="30" t="str">
        <f t="array" ref="S464">IF($A464="", "", LET(bbgm_stat, INDEX(Players!$A463:$P463, MATCH(S$2, Players!$A$1:$P$1, 0)), perc_75, VLOOKUP(S$2, Percentiles!$A$45:$I$59, 6, FALSE), perc_90, VLOOKUP(S$2, Percentiles!$A$45:$I$59, 7, FALSE), perc_95, VLOOKUP(S$2, Percentiles!$A$45:$I$59, 8, FALSE), perc_85, perc_75 + (perc_90 - perc_75) * (2/3), converted_stat, '2K_Ratings'!S464, IF(bbgm_stat &gt;= perc_95, converted_stat * 3, IF(bbgm_stat &gt;= perc_90, converted_stat * 2, IF(bbgm_stat &gt;= perc_85, converted_stat * 1.5, converted_stat)))))</f>
        <v/>
      </c>
      <c r="T464" s="30" t="str">
        <f t="array" ref="T464">IF($A464="", "", LET(bbgm_stat, INDEX(Players!$A463:$P463, MATCH(T$2, Players!$A$1:$P$1, 0)), perc_75, VLOOKUP(T$2, Percentiles!$A$45:$I$59, 6, FALSE), perc_90, VLOOKUP(T$2, Percentiles!$A$45:$I$59, 7, FALSE), perc_95, VLOOKUP(T$2, Percentiles!$A$45:$I$59, 8, FALSE), perc_85, perc_75 + (perc_90 - perc_75) * (2/3), converted_stat, '2K_Ratings'!T464, IF(bbgm_stat &gt;= perc_95, converted_stat * 3, IF(bbgm_stat &gt;= perc_90, converted_stat * 2, IF(bbgm_stat &gt;= perc_85, converted_stat * 1.5, converted_stat)))))</f>
        <v/>
      </c>
      <c r="U464" s="30" t="str">
        <f t="array" ref="U464">IF($A464="", "", LET(bbgm_stat, INDEX(Players!$A463:$P463, MATCH(U$2, Players!$A$1:$P$1, 0)), perc_75, VLOOKUP(U$2, Percentiles!$A$45:$I$59, 6, FALSE), perc_90, VLOOKUP(U$2, Percentiles!$A$45:$I$59, 7, FALSE), perc_95, VLOOKUP(U$2, Percentiles!$A$45:$I$59, 8, FALSE), perc_85, perc_75 + (perc_90 - perc_75) * (2/3), converted_stat, '2K_Ratings'!U464, IF(bbgm_stat &gt;= perc_95, converted_stat * 3, IF(bbgm_stat &gt;= perc_90, converted_stat * 2, IF(bbgm_stat &gt;= perc_85, converted_stat * 1.5, converted_stat)))))</f>
        <v/>
      </c>
      <c r="V464" s="30" t="str">
        <f t="array" ref="V464">IF($A464="", "", LET(bbgm_stat, INDEX(Players!$A463:$P463, MATCH(V$2, Players!$A$1:$P$1, 0)), perc_75, VLOOKUP(V$2, Percentiles!$A$45:$I$59, 6, FALSE), perc_90, VLOOKUP(V$2, Percentiles!$A$45:$I$59, 7, FALSE), perc_95, VLOOKUP(V$2, Percentiles!$A$45:$I$59, 8, FALSE), perc_85, perc_75 + (perc_90 - perc_75) * (2/3), converted_stat, '2K_Ratings'!V464, IF(bbgm_stat &gt;= perc_95, converted_stat * 3, IF(bbgm_stat &gt;= perc_90, converted_stat * 2, IF(bbgm_stat &gt;= perc_85, converted_stat * 1.5, converted_stat)))))</f>
        <v/>
      </c>
      <c r="W464" s="30" t="str">
        <f t="array" ref="W464">IF($A464="", "", LET(bbgm_stat, INDEX(Players!$A463:$P463, MATCH(W$2, Players!$A$1:$P$1, 0)), perc_75, VLOOKUP(W$2, Percentiles!$A$45:$I$59, 6, FALSE), perc_90, VLOOKUP(W$2, Percentiles!$A$45:$I$59, 7, FALSE), perc_95, VLOOKUP(W$2, Percentiles!$A$45:$I$59, 8, FALSE), perc_85, perc_75 + (perc_90 - perc_75) * (2/3), converted_stat, '2K_Ratings'!W464, IF(bbgm_stat &gt;= perc_95, converted_stat * 3, IF(bbgm_stat &gt;= perc_90, converted_stat * 2, IF(bbgm_stat &gt;= perc_85, converted_stat * 1.5, converted_stat)))))</f>
        <v/>
      </c>
    </row>
    <row r="465">
      <c r="A465" s="30"/>
      <c r="B465" s="30" t="str">
        <f t="array" ref="B465">IF($A465="", "", LET(bbgm_stat, INDEX(Players!$A464:$P464, MATCH(B$2, Players!$A$1:$P$1, 0)), perc_75, VLOOKUP(B$2, Percentiles!$A$45:$I$59, 6, FALSE), perc_90, VLOOKUP(B$2, Percentiles!$A$45:$I$59, 7, FALSE), perc_95, VLOOKUP(B$2, Percentiles!$A$45:$I$59, 8, FALSE), perc_85, perc_75 + (perc_90 - perc_75) * (2/3), converted_stat, '2K_Ratings'!B465, IF(bbgm_stat &gt;= perc_95, converted_stat * 3, IF(bbgm_stat &gt;= perc_90, converted_stat * 2, IF(bbgm_stat &gt;= perc_85, converted_stat * 1.5, converted_stat)))))</f>
        <v/>
      </c>
      <c r="C465" s="30" t="str">
        <f t="array" ref="C465">IF($A465="", "", LET(bbgm_stat, INDEX(Players!$A464:$P464, MATCH(C$2, Players!$A$1:$P$1, 0)), perc_75, VLOOKUP(C$2, Percentiles!$A$45:$I$59, 6, FALSE), perc_90, VLOOKUP(C$2, Percentiles!$A$45:$I$59, 7, FALSE), perc_95, VLOOKUP(C$2, Percentiles!$A$45:$I$59, 8, FALSE), perc_85, perc_75 + (perc_90 - perc_75) * (2/3), converted_stat, '2K_Ratings'!C465, IF(bbgm_stat &gt;= perc_95, converted_stat * 3, IF(bbgm_stat &gt;= perc_90, converted_stat * 2, IF(bbgm_stat &gt;= perc_85, converted_stat * 1.5, converted_stat)))))</f>
        <v/>
      </c>
      <c r="D465" s="30" t="str">
        <f t="array" ref="D465">IF($A465="", "", LET(bbgm_stat, INDEX(Players!$A464:$P464, MATCH(D$2, Players!$A$1:$P$1, 0)), perc_75, VLOOKUP(D$2, Percentiles!$A$45:$I$59, 6, FALSE), perc_90, VLOOKUP(D$2, Percentiles!$A$45:$I$59, 7, FALSE), perc_95, VLOOKUP(D$2, Percentiles!$A$45:$I$59, 8, FALSE), perc_85, perc_75 + (perc_90 - perc_75) * (2/3), converted_stat, '2K_Ratings'!D465, IF(bbgm_stat &gt;= perc_95, converted_stat * 3, IF(bbgm_stat &gt;= perc_90, converted_stat * 2, IF(bbgm_stat &gt;= perc_85, converted_stat * 1.5, converted_stat)))))</f>
        <v/>
      </c>
      <c r="E465" s="30" t="str">
        <f t="array" ref="E465">IF($A465="", "", LET(bbgm_stat, INDEX(Players!$A464:$P464, MATCH(E$2, Players!$A$1:$P$1, 0)), perc_75, VLOOKUP(E$2, Percentiles!$A$45:$I$59, 6, FALSE), perc_90, VLOOKUP(E$2, Percentiles!$A$45:$I$59, 7, FALSE), perc_95, VLOOKUP(E$2, Percentiles!$A$45:$I$59, 8, FALSE), perc_85, perc_75 + (perc_90 - perc_75) * (2/3), converted_stat, '2K_Ratings'!E465, IF(bbgm_stat &gt;= perc_95, converted_stat * 3, IF(bbgm_stat &gt;= perc_90, converted_stat * 2, IF(bbgm_stat &gt;= perc_85, converted_stat * 1.5, converted_stat)))))</f>
        <v/>
      </c>
      <c r="F465" s="30" t="str">
        <f t="array" ref="F465">IF($A465="", "", LET(bbgm_stat, INDEX(Players!$A464:$P464, MATCH(F$2, Players!$A$1:$P$1, 0)), perc_75, VLOOKUP(F$2, Percentiles!$A$45:$I$59, 6, FALSE), perc_90, VLOOKUP(F$2, Percentiles!$A$45:$I$59, 7, FALSE), perc_95, VLOOKUP(F$2, Percentiles!$A$45:$I$59, 8, FALSE), perc_85, perc_75 + (perc_90 - perc_75) * (2/3), converted_stat, '2K_Ratings'!F465, IF(bbgm_stat &gt;= perc_95, converted_stat * 3, IF(bbgm_stat &gt;= perc_90, converted_stat * 2, IF(bbgm_stat &gt;= perc_85, converted_stat * 1.5, converted_stat)))))</f>
        <v/>
      </c>
      <c r="G465" s="30" t="str">
        <f t="array" ref="G465">IF($A465="", "", LET(bbgm_stat, INDEX(Players!$A464:$P464, MATCH(G$2, Players!$A$1:$P$1, 0)), perc_75, VLOOKUP(G$2, Percentiles!$A$45:$I$59, 6, FALSE), perc_90, VLOOKUP(G$2, Percentiles!$A$45:$I$59, 7, FALSE), perc_95, VLOOKUP(G$2, Percentiles!$A$45:$I$59, 8, FALSE), perc_85, perc_75 + (perc_90 - perc_75) * (2/3), converted_stat, '2K_Ratings'!G465, IF(bbgm_stat &gt;= perc_95, converted_stat * 3, IF(bbgm_stat &gt;= perc_90, converted_stat * 2, IF(bbgm_stat &gt;= perc_85, converted_stat * 1.5, converted_stat)))))</f>
        <v/>
      </c>
      <c r="H465" s="30" t="str">
        <f t="array" ref="H465">IF($A465="", "", LET(bbgm_stat, INDEX(Players!$A464:$P464, MATCH(H$2, Players!$A$1:$P$1, 0)), perc_75, VLOOKUP(H$2, Percentiles!$A$45:$I$59, 6, FALSE), perc_90, VLOOKUP(H$2, Percentiles!$A$45:$I$59, 7, FALSE), perc_95, VLOOKUP(H$2, Percentiles!$A$45:$I$59, 8, FALSE), perc_85, perc_75 + (perc_90 - perc_75) * (2/3), converted_stat, '2K_Ratings'!H465, IF(bbgm_stat &gt;= perc_95, converted_stat * 3, IF(bbgm_stat &gt;= perc_90, converted_stat * 2, IF(bbgm_stat &gt;= perc_85, converted_stat * 1.5, converted_stat)))))</f>
        <v/>
      </c>
      <c r="I465" s="30" t="str">
        <f t="array" ref="I465">IF($A465="", "", LET(bbgm_stat, INDEX(Players!$A464:$P464, MATCH(I$2, Players!$A$1:$P$1, 0)), perc_75, VLOOKUP(I$2, Percentiles!$A$45:$I$59, 6, FALSE), perc_90, VLOOKUP(I$2, Percentiles!$A$45:$I$59, 7, FALSE), perc_95, VLOOKUP(I$2, Percentiles!$A$45:$I$59, 8, FALSE), perc_85, perc_75 + (perc_90 - perc_75) * (2/3), converted_stat, '2K_Ratings'!I465, IF(bbgm_stat &gt;= perc_95, converted_stat * 3, IF(bbgm_stat &gt;= perc_90, converted_stat * 2, IF(bbgm_stat &gt;= perc_85, converted_stat * 1.5, converted_stat)))))</f>
        <v/>
      </c>
      <c r="J465" s="30" t="str">
        <f t="array" ref="J465">IF($A465="", "", LET(bbgm_stat, INDEX(Players!$A464:$P464, MATCH(J$2, Players!$A$1:$P$1, 0)), perc_75, VLOOKUP(J$2, Percentiles!$A$45:$I$59, 6, FALSE), perc_90, VLOOKUP(J$2, Percentiles!$A$45:$I$59, 7, FALSE), perc_95, VLOOKUP(J$2, Percentiles!$A$45:$I$59, 8, FALSE), perc_85, perc_75 + (perc_90 - perc_75) * (2/3), converted_stat, '2K_Ratings'!J465, IF(bbgm_stat &gt;= perc_95, converted_stat * 3, IF(bbgm_stat &gt;= perc_90, converted_stat * 2, IF(bbgm_stat &gt;= perc_85, converted_stat * 1.5, converted_stat)))))</f>
        <v/>
      </c>
      <c r="K465" s="30" t="str">
        <f t="array" ref="K465">IF($A465="", "", LET(bbgm_stat, INDEX(Players!$A464:$P464, MATCH(K$2, Players!$A$1:$P$1, 0)), perc_75, VLOOKUP(K$2, Percentiles!$A$45:$I$59, 6, FALSE), perc_90, VLOOKUP(K$2, Percentiles!$A$45:$I$59, 7, FALSE), perc_95, VLOOKUP(K$2, Percentiles!$A$45:$I$59, 8, FALSE), perc_85, perc_75 + (perc_90 - perc_75) * (2/3), converted_stat, '2K_Ratings'!K465, IF(bbgm_stat &gt;= perc_95, converted_stat * 3, IF(bbgm_stat &gt;= perc_90, converted_stat * 2, IF(bbgm_stat &gt;= perc_85, converted_stat * 1.5, converted_stat)))))</f>
        <v/>
      </c>
      <c r="L465" s="30" t="str">
        <f t="array" ref="L465">IF($A465="", "", LET(bbgm_stat, INDEX(Players!$A464:$P464, MATCH(L$2, Players!$A$1:$P$1, 0)), perc_75, VLOOKUP(L$2, Percentiles!$A$45:$I$59, 6, FALSE), perc_90, VLOOKUP(L$2, Percentiles!$A$45:$I$59, 7, FALSE), perc_95, VLOOKUP(L$2, Percentiles!$A$45:$I$59, 8, FALSE), perc_85, perc_75 + (perc_90 - perc_75) * (2/3), converted_stat, '2K_Ratings'!L465, IF(bbgm_stat &gt;= perc_95, converted_stat * 3, IF(bbgm_stat &gt;= perc_90, converted_stat * 2, IF(bbgm_stat &gt;= perc_85, converted_stat * 1.5, converted_stat)))))</f>
        <v/>
      </c>
      <c r="M465" s="30" t="str">
        <f t="array" ref="M465">IF($A465="", "", LET(bbgm_stat, INDEX(Players!$A464:$P464, MATCH(M$2, Players!$A$1:$P$1, 0)), perc_75, VLOOKUP(M$2, Percentiles!$A$45:$I$59, 6, FALSE), perc_90, VLOOKUP(M$2, Percentiles!$A$45:$I$59, 7, FALSE), perc_95, VLOOKUP(M$2, Percentiles!$A$45:$I$59, 8, FALSE), perc_85, perc_75 + (perc_90 - perc_75) * (2/3), converted_stat, '2K_Ratings'!M465, IF(bbgm_stat &gt;= perc_95, converted_stat * 3, IF(bbgm_stat &gt;= perc_90, converted_stat * 2, IF(bbgm_stat &gt;= perc_85, converted_stat * 1.5, converted_stat)))))</f>
        <v/>
      </c>
      <c r="N465" s="30" t="str">
        <f t="array" ref="N465">IF($A465="", "", LET(bbgm_stat, INDEX(Players!$A464:$P464, MATCH(N$2, Players!$A$1:$P$1, 0)), perc_75, VLOOKUP(N$2, Percentiles!$A$45:$I$59, 6, FALSE), perc_90, VLOOKUP(N$2, Percentiles!$A$45:$I$59, 7, FALSE), perc_95, VLOOKUP(N$2, Percentiles!$A$45:$I$59, 8, FALSE), perc_85, perc_75 + (perc_90 - perc_75) * (2/3), converted_stat, '2K_Ratings'!N465, IF(bbgm_stat &gt;= perc_95, converted_stat * 3, IF(bbgm_stat &gt;= perc_90, converted_stat * 2, IF(bbgm_stat &gt;= perc_85, converted_stat * 1.5, converted_stat)))))</f>
        <v/>
      </c>
      <c r="O465" s="30" t="str">
        <f t="array" ref="O465">IF($A465="", "", LET(bbgm_stat, INDEX(Players!$A464:$P464, MATCH(O$2, Players!$A$1:$P$1, 0)), perc_75, VLOOKUP(O$2, Percentiles!$A$45:$I$59, 6, FALSE), perc_90, VLOOKUP(O$2, Percentiles!$A$45:$I$59, 7, FALSE), perc_95, VLOOKUP(O$2, Percentiles!$A$45:$I$59, 8, FALSE), perc_85, perc_75 + (perc_90 - perc_75) * (2/3), converted_stat, '2K_Ratings'!O465, IF(bbgm_stat &gt;= perc_95, converted_stat * 3, IF(bbgm_stat &gt;= perc_90, converted_stat * 2, IF(bbgm_stat &gt;= perc_85, converted_stat * 1.5, converted_stat)))))</f>
        <v/>
      </c>
      <c r="P465" s="30" t="str">
        <f t="array" ref="P465">IF($A465="", "", LET(bbgm_stat, INDEX(Players!$A464:$P464, MATCH(P$2, Players!$A$1:$P$1, 0)), perc_75, VLOOKUP(P$2, Percentiles!$A$45:$I$59, 6, FALSE), perc_90, VLOOKUP(P$2, Percentiles!$A$45:$I$59, 7, FALSE), perc_95, VLOOKUP(P$2, Percentiles!$A$45:$I$59, 8, FALSE), perc_85, perc_75 + (perc_90 - perc_75) * (2/3), converted_stat, '2K_Ratings'!P465, IF(bbgm_stat &gt;= perc_95, converted_stat * 3, IF(bbgm_stat &gt;= perc_90, converted_stat * 2, IF(bbgm_stat &gt;= perc_85, converted_stat * 1.5, converted_stat)))))</f>
        <v/>
      </c>
      <c r="Q465" s="30" t="str">
        <f t="array" ref="Q465">IF($A465="", "", LET(bbgm_stat, INDEX(Players!$A464:$P464, MATCH(Q$2, Players!$A$1:$P$1, 0)), perc_75, VLOOKUP(Q$2, Percentiles!$A$45:$I$59, 6, FALSE), perc_90, VLOOKUP(Q$2, Percentiles!$A$45:$I$59, 7, FALSE), perc_95, VLOOKUP(Q$2, Percentiles!$A$45:$I$59, 8, FALSE), perc_85, perc_75 + (perc_90 - perc_75) * (2/3), converted_stat, '2K_Ratings'!Q465, IF(bbgm_stat &gt;= perc_95, converted_stat * 3, IF(bbgm_stat &gt;= perc_90, converted_stat * 2, IF(bbgm_stat &gt;= perc_85, converted_stat * 1.5, converted_stat)))))</f>
        <v/>
      </c>
      <c r="R465" s="30" t="str">
        <f t="array" ref="R465">IF($A465="", "", LET(bbgm_stat, INDEX(Players!$A464:$P464, MATCH(R$2, Players!$A$1:$P$1, 0)), perc_75, VLOOKUP(R$2, Percentiles!$A$45:$I$59, 6, FALSE), perc_90, VLOOKUP(R$2, Percentiles!$A$45:$I$59, 7, FALSE), perc_95, VLOOKUP(R$2, Percentiles!$A$45:$I$59, 8, FALSE), perc_85, perc_75 + (perc_90 - perc_75) * (2/3), converted_stat, '2K_Ratings'!R465, IF(bbgm_stat &gt;= perc_95, converted_stat * 3, IF(bbgm_stat &gt;= perc_90, converted_stat * 2, IF(bbgm_stat &gt;= perc_85, converted_stat * 1.5, converted_stat)))))</f>
        <v/>
      </c>
      <c r="S465" s="30" t="str">
        <f t="array" ref="S465">IF($A465="", "", LET(bbgm_stat, INDEX(Players!$A464:$P464, MATCH(S$2, Players!$A$1:$P$1, 0)), perc_75, VLOOKUP(S$2, Percentiles!$A$45:$I$59, 6, FALSE), perc_90, VLOOKUP(S$2, Percentiles!$A$45:$I$59, 7, FALSE), perc_95, VLOOKUP(S$2, Percentiles!$A$45:$I$59, 8, FALSE), perc_85, perc_75 + (perc_90 - perc_75) * (2/3), converted_stat, '2K_Ratings'!S465, IF(bbgm_stat &gt;= perc_95, converted_stat * 3, IF(bbgm_stat &gt;= perc_90, converted_stat * 2, IF(bbgm_stat &gt;= perc_85, converted_stat * 1.5, converted_stat)))))</f>
        <v/>
      </c>
      <c r="T465" s="30" t="str">
        <f t="array" ref="T465">IF($A465="", "", LET(bbgm_stat, INDEX(Players!$A464:$P464, MATCH(T$2, Players!$A$1:$P$1, 0)), perc_75, VLOOKUP(T$2, Percentiles!$A$45:$I$59, 6, FALSE), perc_90, VLOOKUP(T$2, Percentiles!$A$45:$I$59, 7, FALSE), perc_95, VLOOKUP(T$2, Percentiles!$A$45:$I$59, 8, FALSE), perc_85, perc_75 + (perc_90 - perc_75) * (2/3), converted_stat, '2K_Ratings'!T465, IF(bbgm_stat &gt;= perc_95, converted_stat * 3, IF(bbgm_stat &gt;= perc_90, converted_stat * 2, IF(bbgm_stat &gt;= perc_85, converted_stat * 1.5, converted_stat)))))</f>
        <v/>
      </c>
      <c r="U465" s="30" t="str">
        <f t="array" ref="U465">IF($A465="", "", LET(bbgm_stat, INDEX(Players!$A464:$P464, MATCH(U$2, Players!$A$1:$P$1, 0)), perc_75, VLOOKUP(U$2, Percentiles!$A$45:$I$59, 6, FALSE), perc_90, VLOOKUP(U$2, Percentiles!$A$45:$I$59, 7, FALSE), perc_95, VLOOKUP(U$2, Percentiles!$A$45:$I$59, 8, FALSE), perc_85, perc_75 + (perc_90 - perc_75) * (2/3), converted_stat, '2K_Ratings'!U465, IF(bbgm_stat &gt;= perc_95, converted_stat * 3, IF(bbgm_stat &gt;= perc_90, converted_stat * 2, IF(bbgm_stat &gt;= perc_85, converted_stat * 1.5, converted_stat)))))</f>
        <v/>
      </c>
      <c r="V465" s="30" t="str">
        <f t="array" ref="V465">IF($A465="", "", LET(bbgm_stat, INDEX(Players!$A464:$P464, MATCH(V$2, Players!$A$1:$P$1, 0)), perc_75, VLOOKUP(V$2, Percentiles!$A$45:$I$59, 6, FALSE), perc_90, VLOOKUP(V$2, Percentiles!$A$45:$I$59, 7, FALSE), perc_95, VLOOKUP(V$2, Percentiles!$A$45:$I$59, 8, FALSE), perc_85, perc_75 + (perc_90 - perc_75) * (2/3), converted_stat, '2K_Ratings'!V465, IF(bbgm_stat &gt;= perc_95, converted_stat * 3, IF(bbgm_stat &gt;= perc_90, converted_stat * 2, IF(bbgm_stat &gt;= perc_85, converted_stat * 1.5, converted_stat)))))</f>
        <v/>
      </c>
      <c r="W465" s="30" t="str">
        <f t="array" ref="W465">IF($A465="", "", LET(bbgm_stat, INDEX(Players!$A464:$P464, MATCH(W$2, Players!$A$1:$P$1, 0)), perc_75, VLOOKUP(W$2, Percentiles!$A$45:$I$59, 6, FALSE), perc_90, VLOOKUP(W$2, Percentiles!$A$45:$I$59, 7, FALSE), perc_95, VLOOKUP(W$2, Percentiles!$A$45:$I$59, 8, FALSE), perc_85, perc_75 + (perc_90 - perc_75) * (2/3), converted_stat, '2K_Ratings'!W465, IF(bbgm_stat &gt;= perc_95, converted_stat * 3, IF(bbgm_stat &gt;= perc_90, converted_stat * 2, IF(bbgm_stat &gt;= perc_85, converted_stat * 1.5, converted_stat)))))</f>
        <v/>
      </c>
    </row>
    <row r="466">
      <c r="A466" s="30"/>
      <c r="B466" s="30" t="str">
        <f t="array" ref="B466">IF($A466="", "", LET(bbgm_stat, INDEX(Players!$A465:$P465, MATCH(B$2, Players!$A$1:$P$1, 0)), perc_75, VLOOKUP(B$2, Percentiles!$A$45:$I$59, 6, FALSE), perc_90, VLOOKUP(B$2, Percentiles!$A$45:$I$59, 7, FALSE), perc_95, VLOOKUP(B$2, Percentiles!$A$45:$I$59, 8, FALSE), perc_85, perc_75 + (perc_90 - perc_75) * (2/3), converted_stat, '2K_Ratings'!B466, IF(bbgm_stat &gt;= perc_95, converted_stat * 3, IF(bbgm_stat &gt;= perc_90, converted_stat * 2, IF(bbgm_stat &gt;= perc_85, converted_stat * 1.5, converted_stat)))))</f>
        <v/>
      </c>
      <c r="C466" s="30" t="str">
        <f t="array" ref="C466">IF($A466="", "", LET(bbgm_stat, INDEX(Players!$A465:$P465, MATCH(C$2, Players!$A$1:$P$1, 0)), perc_75, VLOOKUP(C$2, Percentiles!$A$45:$I$59, 6, FALSE), perc_90, VLOOKUP(C$2, Percentiles!$A$45:$I$59, 7, FALSE), perc_95, VLOOKUP(C$2, Percentiles!$A$45:$I$59, 8, FALSE), perc_85, perc_75 + (perc_90 - perc_75) * (2/3), converted_stat, '2K_Ratings'!C466, IF(bbgm_stat &gt;= perc_95, converted_stat * 3, IF(bbgm_stat &gt;= perc_90, converted_stat * 2, IF(bbgm_stat &gt;= perc_85, converted_stat * 1.5, converted_stat)))))</f>
        <v/>
      </c>
      <c r="D466" s="30" t="str">
        <f t="array" ref="D466">IF($A466="", "", LET(bbgm_stat, INDEX(Players!$A465:$P465, MATCH(D$2, Players!$A$1:$P$1, 0)), perc_75, VLOOKUP(D$2, Percentiles!$A$45:$I$59, 6, FALSE), perc_90, VLOOKUP(D$2, Percentiles!$A$45:$I$59, 7, FALSE), perc_95, VLOOKUP(D$2, Percentiles!$A$45:$I$59, 8, FALSE), perc_85, perc_75 + (perc_90 - perc_75) * (2/3), converted_stat, '2K_Ratings'!D466, IF(bbgm_stat &gt;= perc_95, converted_stat * 3, IF(bbgm_stat &gt;= perc_90, converted_stat * 2, IF(bbgm_stat &gt;= perc_85, converted_stat * 1.5, converted_stat)))))</f>
        <v/>
      </c>
      <c r="E466" s="30" t="str">
        <f t="array" ref="E466">IF($A466="", "", LET(bbgm_stat, INDEX(Players!$A465:$P465, MATCH(E$2, Players!$A$1:$P$1, 0)), perc_75, VLOOKUP(E$2, Percentiles!$A$45:$I$59, 6, FALSE), perc_90, VLOOKUP(E$2, Percentiles!$A$45:$I$59, 7, FALSE), perc_95, VLOOKUP(E$2, Percentiles!$A$45:$I$59, 8, FALSE), perc_85, perc_75 + (perc_90 - perc_75) * (2/3), converted_stat, '2K_Ratings'!E466, IF(bbgm_stat &gt;= perc_95, converted_stat * 3, IF(bbgm_stat &gt;= perc_90, converted_stat * 2, IF(bbgm_stat &gt;= perc_85, converted_stat * 1.5, converted_stat)))))</f>
        <v/>
      </c>
      <c r="F466" s="30" t="str">
        <f t="array" ref="F466">IF($A466="", "", LET(bbgm_stat, INDEX(Players!$A465:$P465, MATCH(F$2, Players!$A$1:$P$1, 0)), perc_75, VLOOKUP(F$2, Percentiles!$A$45:$I$59, 6, FALSE), perc_90, VLOOKUP(F$2, Percentiles!$A$45:$I$59, 7, FALSE), perc_95, VLOOKUP(F$2, Percentiles!$A$45:$I$59, 8, FALSE), perc_85, perc_75 + (perc_90 - perc_75) * (2/3), converted_stat, '2K_Ratings'!F466, IF(bbgm_stat &gt;= perc_95, converted_stat * 3, IF(bbgm_stat &gt;= perc_90, converted_stat * 2, IF(bbgm_stat &gt;= perc_85, converted_stat * 1.5, converted_stat)))))</f>
        <v/>
      </c>
      <c r="G466" s="30" t="str">
        <f t="array" ref="G466">IF($A466="", "", LET(bbgm_stat, INDEX(Players!$A465:$P465, MATCH(G$2, Players!$A$1:$P$1, 0)), perc_75, VLOOKUP(G$2, Percentiles!$A$45:$I$59, 6, FALSE), perc_90, VLOOKUP(G$2, Percentiles!$A$45:$I$59, 7, FALSE), perc_95, VLOOKUP(G$2, Percentiles!$A$45:$I$59, 8, FALSE), perc_85, perc_75 + (perc_90 - perc_75) * (2/3), converted_stat, '2K_Ratings'!G466, IF(bbgm_stat &gt;= perc_95, converted_stat * 3, IF(bbgm_stat &gt;= perc_90, converted_stat * 2, IF(bbgm_stat &gt;= perc_85, converted_stat * 1.5, converted_stat)))))</f>
        <v/>
      </c>
      <c r="H466" s="30" t="str">
        <f t="array" ref="H466">IF($A466="", "", LET(bbgm_stat, INDEX(Players!$A465:$P465, MATCH(H$2, Players!$A$1:$P$1, 0)), perc_75, VLOOKUP(H$2, Percentiles!$A$45:$I$59, 6, FALSE), perc_90, VLOOKUP(H$2, Percentiles!$A$45:$I$59, 7, FALSE), perc_95, VLOOKUP(H$2, Percentiles!$A$45:$I$59, 8, FALSE), perc_85, perc_75 + (perc_90 - perc_75) * (2/3), converted_stat, '2K_Ratings'!H466, IF(bbgm_stat &gt;= perc_95, converted_stat * 3, IF(bbgm_stat &gt;= perc_90, converted_stat * 2, IF(bbgm_stat &gt;= perc_85, converted_stat * 1.5, converted_stat)))))</f>
        <v/>
      </c>
      <c r="I466" s="30" t="str">
        <f t="array" ref="I466">IF($A466="", "", LET(bbgm_stat, INDEX(Players!$A465:$P465, MATCH(I$2, Players!$A$1:$P$1, 0)), perc_75, VLOOKUP(I$2, Percentiles!$A$45:$I$59, 6, FALSE), perc_90, VLOOKUP(I$2, Percentiles!$A$45:$I$59, 7, FALSE), perc_95, VLOOKUP(I$2, Percentiles!$A$45:$I$59, 8, FALSE), perc_85, perc_75 + (perc_90 - perc_75) * (2/3), converted_stat, '2K_Ratings'!I466, IF(bbgm_stat &gt;= perc_95, converted_stat * 3, IF(bbgm_stat &gt;= perc_90, converted_stat * 2, IF(bbgm_stat &gt;= perc_85, converted_stat * 1.5, converted_stat)))))</f>
        <v/>
      </c>
      <c r="J466" s="30" t="str">
        <f t="array" ref="J466">IF($A466="", "", LET(bbgm_stat, INDEX(Players!$A465:$P465, MATCH(J$2, Players!$A$1:$P$1, 0)), perc_75, VLOOKUP(J$2, Percentiles!$A$45:$I$59, 6, FALSE), perc_90, VLOOKUP(J$2, Percentiles!$A$45:$I$59, 7, FALSE), perc_95, VLOOKUP(J$2, Percentiles!$A$45:$I$59, 8, FALSE), perc_85, perc_75 + (perc_90 - perc_75) * (2/3), converted_stat, '2K_Ratings'!J466, IF(bbgm_stat &gt;= perc_95, converted_stat * 3, IF(bbgm_stat &gt;= perc_90, converted_stat * 2, IF(bbgm_stat &gt;= perc_85, converted_stat * 1.5, converted_stat)))))</f>
        <v/>
      </c>
      <c r="K466" s="30" t="str">
        <f t="array" ref="K466">IF($A466="", "", LET(bbgm_stat, INDEX(Players!$A465:$P465, MATCH(K$2, Players!$A$1:$P$1, 0)), perc_75, VLOOKUP(K$2, Percentiles!$A$45:$I$59, 6, FALSE), perc_90, VLOOKUP(K$2, Percentiles!$A$45:$I$59, 7, FALSE), perc_95, VLOOKUP(K$2, Percentiles!$A$45:$I$59, 8, FALSE), perc_85, perc_75 + (perc_90 - perc_75) * (2/3), converted_stat, '2K_Ratings'!K466, IF(bbgm_stat &gt;= perc_95, converted_stat * 3, IF(bbgm_stat &gt;= perc_90, converted_stat * 2, IF(bbgm_stat &gt;= perc_85, converted_stat * 1.5, converted_stat)))))</f>
        <v/>
      </c>
      <c r="L466" s="30" t="str">
        <f t="array" ref="L466">IF($A466="", "", LET(bbgm_stat, INDEX(Players!$A465:$P465, MATCH(L$2, Players!$A$1:$P$1, 0)), perc_75, VLOOKUP(L$2, Percentiles!$A$45:$I$59, 6, FALSE), perc_90, VLOOKUP(L$2, Percentiles!$A$45:$I$59, 7, FALSE), perc_95, VLOOKUP(L$2, Percentiles!$A$45:$I$59, 8, FALSE), perc_85, perc_75 + (perc_90 - perc_75) * (2/3), converted_stat, '2K_Ratings'!L466, IF(bbgm_stat &gt;= perc_95, converted_stat * 3, IF(bbgm_stat &gt;= perc_90, converted_stat * 2, IF(bbgm_stat &gt;= perc_85, converted_stat * 1.5, converted_stat)))))</f>
        <v/>
      </c>
      <c r="M466" s="30" t="str">
        <f t="array" ref="M466">IF($A466="", "", LET(bbgm_stat, INDEX(Players!$A465:$P465, MATCH(M$2, Players!$A$1:$P$1, 0)), perc_75, VLOOKUP(M$2, Percentiles!$A$45:$I$59, 6, FALSE), perc_90, VLOOKUP(M$2, Percentiles!$A$45:$I$59, 7, FALSE), perc_95, VLOOKUP(M$2, Percentiles!$A$45:$I$59, 8, FALSE), perc_85, perc_75 + (perc_90 - perc_75) * (2/3), converted_stat, '2K_Ratings'!M466, IF(bbgm_stat &gt;= perc_95, converted_stat * 3, IF(bbgm_stat &gt;= perc_90, converted_stat * 2, IF(bbgm_stat &gt;= perc_85, converted_stat * 1.5, converted_stat)))))</f>
        <v/>
      </c>
      <c r="N466" s="30" t="str">
        <f t="array" ref="N466">IF($A466="", "", LET(bbgm_stat, INDEX(Players!$A465:$P465, MATCH(N$2, Players!$A$1:$P$1, 0)), perc_75, VLOOKUP(N$2, Percentiles!$A$45:$I$59, 6, FALSE), perc_90, VLOOKUP(N$2, Percentiles!$A$45:$I$59, 7, FALSE), perc_95, VLOOKUP(N$2, Percentiles!$A$45:$I$59, 8, FALSE), perc_85, perc_75 + (perc_90 - perc_75) * (2/3), converted_stat, '2K_Ratings'!N466, IF(bbgm_stat &gt;= perc_95, converted_stat * 3, IF(bbgm_stat &gt;= perc_90, converted_stat * 2, IF(bbgm_stat &gt;= perc_85, converted_stat * 1.5, converted_stat)))))</f>
        <v/>
      </c>
      <c r="O466" s="30" t="str">
        <f t="array" ref="O466">IF($A466="", "", LET(bbgm_stat, INDEX(Players!$A465:$P465, MATCH(O$2, Players!$A$1:$P$1, 0)), perc_75, VLOOKUP(O$2, Percentiles!$A$45:$I$59, 6, FALSE), perc_90, VLOOKUP(O$2, Percentiles!$A$45:$I$59, 7, FALSE), perc_95, VLOOKUP(O$2, Percentiles!$A$45:$I$59, 8, FALSE), perc_85, perc_75 + (perc_90 - perc_75) * (2/3), converted_stat, '2K_Ratings'!O466, IF(bbgm_stat &gt;= perc_95, converted_stat * 3, IF(bbgm_stat &gt;= perc_90, converted_stat * 2, IF(bbgm_stat &gt;= perc_85, converted_stat * 1.5, converted_stat)))))</f>
        <v/>
      </c>
      <c r="P466" s="30" t="str">
        <f t="array" ref="P466">IF($A466="", "", LET(bbgm_stat, INDEX(Players!$A465:$P465, MATCH(P$2, Players!$A$1:$P$1, 0)), perc_75, VLOOKUP(P$2, Percentiles!$A$45:$I$59, 6, FALSE), perc_90, VLOOKUP(P$2, Percentiles!$A$45:$I$59, 7, FALSE), perc_95, VLOOKUP(P$2, Percentiles!$A$45:$I$59, 8, FALSE), perc_85, perc_75 + (perc_90 - perc_75) * (2/3), converted_stat, '2K_Ratings'!P466, IF(bbgm_stat &gt;= perc_95, converted_stat * 3, IF(bbgm_stat &gt;= perc_90, converted_stat * 2, IF(bbgm_stat &gt;= perc_85, converted_stat * 1.5, converted_stat)))))</f>
        <v/>
      </c>
      <c r="Q466" s="30" t="str">
        <f t="array" ref="Q466">IF($A466="", "", LET(bbgm_stat, INDEX(Players!$A465:$P465, MATCH(Q$2, Players!$A$1:$P$1, 0)), perc_75, VLOOKUP(Q$2, Percentiles!$A$45:$I$59, 6, FALSE), perc_90, VLOOKUP(Q$2, Percentiles!$A$45:$I$59, 7, FALSE), perc_95, VLOOKUP(Q$2, Percentiles!$A$45:$I$59, 8, FALSE), perc_85, perc_75 + (perc_90 - perc_75) * (2/3), converted_stat, '2K_Ratings'!Q466, IF(bbgm_stat &gt;= perc_95, converted_stat * 3, IF(bbgm_stat &gt;= perc_90, converted_stat * 2, IF(bbgm_stat &gt;= perc_85, converted_stat * 1.5, converted_stat)))))</f>
        <v/>
      </c>
      <c r="R466" s="30" t="str">
        <f t="array" ref="R466">IF($A466="", "", LET(bbgm_stat, INDEX(Players!$A465:$P465, MATCH(R$2, Players!$A$1:$P$1, 0)), perc_75, VLOOKUP(R$2, Percentiles!$A$45:$I$59, 6, FALSE), perc_90, VLOOKUP(R$2, Percentiles!$A$45:$I$59, 7, FALSE), perc_95, VLOOKUP(R$2, Percentiles!$A$45:$I$59, 8, FALSE), perc_85, perc_75 + (perc_90 - perc_75) * (2/3), converted_stat, '2K_Ratings'!R466, IF(bbgm_stat &gt;= perc_95, converted_stat * 3, IF(bbgm_stat &gt;= perc_90, converted_stat * 2, IF(bbgm_stat &gt;= perc_85, converted_stat * 1.5, converted_stat)))))</f>
        <v/>
      </c>
      <c r="S466" s="30" t="str">
        <f t="array" ref="S466">IF($A466="", "", LET(bbgm_stat, INDEX(Players!$A465:$P465, MATCH(S$2, Players!$A$1:$P$1, 0)), perc_75, VLOOKUP(S$2, Percentiles!$A$45:$I$59, 6, FALSE), perc_90, VLOOKUP(S$2, Percentiles!$A$45:$I$59, 7, FALSE), perc_95, VLOOKUP(S$2, Percentiles!$A$45:$I$59, 8, FALSE), perc_85, perc_75 + (perc_90 - perc_75) * (2/3), converted_stat, '2K_Ratings'!S466, IF(bbgm_stat &gt;= perc_95, converted_stat * 3, IF(bbgm_stat &gt;= perc_90, converted_stat * 2, IF(bbgm_stat &gt;= perc_85, converted_stat * 1.5, converted_stat)))))</f>
        <v/>
      </c>
      <c r="T466" s="30" t="str">
        <f t="array" ref="T466">IF($A466="", "", LET(bbgm_stat, INDEX(Players!$A465:$P465, MATCH(T$2, Players!$A$1:$P$1, 0)), perc_75, VLOOKUP(T$2, Percentiles!$A$45:$I$59, 6, FALSE), perc_90, VLOOKUP(T$2, Percentiles!$A$45:$I$59, 7, FALSE), perc_95, VLOOKUP(T$2, Percentiles!$A$45:$I$59, 8, FALSE), perc_85, perc_75 + (perc_90 - perc_75) * (2/3), converted_stat, '2K_Ratings'!T466, IF(bbgm_stat &gt;= perc_95, converted_stat * 3, IF(bbgm_stat &gt;= perc_90, converted_stat * 2, IF(bbgm_stat &gt;= perc_85, converted_stat * 1.5, converted_stat)))))</f>
        <v/>
      </c>
      <c r="U466" s="30" t="str">
        <f t="array" ref="U466">IF($A466="", "", LET(bbgm_stat, INDEX(Players!$A465:$P465, MATCH(U$2, Players!$A$1:$P$1, 0)), perc_75, VLOOKUP(U$2, Percentiles!$A$45:$I$59, 6, FALSE), perc_90, VLOOKUP(U$2, Percentiles!$A$45:$I$59, 7, FALSE), perc_95, VLOOKUP(U$2, Percentiles!$A$45:$I$59, 8, FALSE), perc_85, perc_75 + (perc_90 - perc_75) * (2/3), converted_stat, '2K_Ratings'!U466, IF(bbgm_stat &gt;= perc_95, converted_stat * 3, IF(bbgm_stat &gt;= perc_90, converted_stat * 2, IF(bbgm_stat &gt;= perc_85, converted_stat * 1.5, converted_stat)))))</f>
        <v/>
      </c>
      <c r="V466" s="30" t="str">
        <f t="array" ref="V466">IF($A466="", "", LET(bbgm_stat, INDEX(Players!$A465:$P465, MATCH(V$2, Players!$A$1:$P$1, 0)), perc_75, VLOOKUP(V$2, Percentiles!$A$45:$I$59, 6, FALSE), perc_90, VLOOKUP(V$2, Percentiles!$A$45:$I$59, 7, FALSE), perc_95, VLOOKUP(V$2, Percentiles!$A$45:$I$59, 8, FALSE), perc_85, perc_75 + (perc_90 - perc_75) * (2/3), converted_stat, '2K_Ratings'!V466, IF(bbgm_stat &gt;= perc_95, converted_stat * 3, IF(bbgm_stat &gt;= perc_90, converted_stat * 2, IF(bbgm_stat &gt;= perc_85, converted_stat * 1.5, converted_stat)))))</f>
        <v/>
      </c>
      <c r="W466" s="30" t="str">
        <f t="array" ref="W466">IF($A466="", "", LET(bbgm_stat, INDEX(Players!$A465:$P465, MATCH(W$2, Players!$A$1:$P$1, 0)), perc_75, VLOOKUP(W$2, Percentiles!$A$45:$I$59, 6, FALSE), perc_90, VLOOKUP(W$2, Percentiles!$A$45:$I$59, 7, FALSE), perc_95, VLOOKUP(W$2, Percentiles!$A$45:$I$59, 8, FALSE), perc_85, perc_75 + (perc_90 - perc_75) * (2/3), converted_stat, '2K_Ratings'!W466, IF(bbgm_stat &gt;= perc_95, converted_stat * 3, IF(bbgm_stat &gt;= perc_90, converted_stat * 2, IF(bbgm_stat &gt;= perc_85, converted_stat * 1.5, converted_stat)))))</f>
        <v/>
      </c>
    </row>
    <row r="467">
      <c r="A467" s="30"/>
      <c r="B467" s="30" t="str">
        <f t="array" ref="B467">IF($A467="", "", LET(bbgm_stat, INDEX(Players!$A466:$P466, MATCH(B$2, Players!$A$1:$P$1, 0)), perc_75, VLOOKUP(B$2, Percentiles!$A$45:$I$59, 6, FALSE), perc_90, VLOOKUP(B$2, Percentiles!$A$45:$I$59, 7, FALSE), perc_95, VLOOKUP(B$2, Percentiles!$A$45:$I$59, 8, FALSE), perc_85, perc_75 + (perc_90 - perc_75) * (2/3), converted_stat, '2K_Ratings'!B467, IF(bbgm_stat &gt;= perc_95, converted_stat * 3, IF(bbgm_stat &gt;= perc_90, converted_stat * 2, IF(bbgm_stat &gt;= perc_85, converted_stat * 1.5, converted_stat)))))</f>
        <v/>
      </c>
      <c r="C467" s="30" t="str">
        <f t="array" ref="C467">IF($A467="", "", LET(bbgm_stat, INDEX(Players!$A466:$P466, MATCH(C$2, Players!$A$1:$P$1, 0)), perc_75, VLOOKUP(C$2, Percentiles!$A$45:$I$59, 6, FALSE), perc_90, VLOOKUP(C$2, Percentiles!$A$45:$I$59, 7, FALSE), perc_95, VLOOKUP(C$2, Percentiles!$A$45:$I$59, 8, FALSE), perc_85, perc_75 + (perc_90 - perc_75) * (2/3), converted_stat, '2K_Ratings'!C467, IF(bbgm_stat &gt;= perc_95, converted_stat * 3, IF(bbgm_stat &gt;= perc_90, converted_stat * 2, IF(bbgm_stat &gt;= perc_85, converted_stat * 1.5, converted_stat)))))</f>
        <v/>
      </c>
      <c r="D467" s="30" t="str">
        <f t="array" ref="D467">IF($A467="", "", LET(bbgm_stat, INDEX(Players!$A466:$P466, MATCH(D$2, Players!$A$1:$P$1, 0)), perc_75, VLOOKUP(D$2, Percentiles!$A$45:$I$59, 6, FALSE), perc_90, VLOOKUP(D$2, Percentiles!$A$45:$I$59, 7, FALSE), perc_95, VLOOKUP(D$2, Percentiles!$A$45:$I$59, 8, FALSE), perc_85, perc_75 + (perc_90 - perc_75) * (2/3), converted_stat, '2K_Ratings'!D467, IF(bbgm_stat &gt;= perc_95, converted_stat * 3, IF(bbgm_stat &gt;= perc_90, converted_stat * 2, IF(bbgm_stat &gt;= perc_85, converted_stat * 1.5, converted_stat)))))</f>
        <v/>
      </c>
      <c r="E467" s="30" t="str">
        <f t="array" ref="E467">IF($A467="", "", LET(bbgm_stat, INDEX(Players!$A466:$P466, MATCH(E$2, Players!$A$1:$P$1, 0)), perc_75, VLOOKUP(E$2, Percentiles!$A$45:$I$59, 6, FALSE), perc_90, VLOOKUP(E$2, Percentiles!$A$45:$I$59, 7, FALSE), perc_95, VLOOKUP(E$2, Percentiles!$A$45:$I$59, 8, FALSE), perc_85, perc_75 + (perc_90 - perc_75) * (2/3), converted_stat, '2K_Ratings'!E467, IF(bbgm_stat &gt;= perc_95, converted_stat * 3, IF(bbgm_stat &gt;= perc_90, converted_stat * 2, IF(bbgm_stat &gt;= perc_85, converted_stat * 1.5, converted_stat)))))</f>
        <v/>
      </c>
      <c r="F467" s="30" t="str">
        <f t="array" ref="F467">IF($A467="", "", LET(bbgm_stat, INDEX(Players!$A466:$P466, MATCH(F$2, Players!$A$1:$P$1, 0)), perc_75, VLOOKUP(F$2, Percentiles!$A$45:$I$59, 6, FALSE), perc_90, VLOOKUP(F$2, Percentiles!$A$45:$I$59, 7, FALSE), perc_95, VLOOKUP(F$2, Percentiles!$A$45:$I$59, 8, FALSE), perc_85, perc_75 + (perc_90 - perc_75) * (2/3), converted_stat, '2K_Ratings'!F467, IF(bbgm_stat &gt;= perc_95, converted_stat * 3, IF(bbgm_stat &gt;= perc_90, converted_stat * 2, IF(bbgm_stat &gt;= perc_85, converted_stat * 1.5, converted_stat)))))</f>
        <v/>
      </c>
      <c r="G467" s="30" t="str">
        <f t="array" ref="G467">IF($A467="", "", LET(bbgm_stat, INDEX(Players!$A466:$P466, MATCH(G$2, Players!$A$1:$P$1, 0)), perc_75, VLOOKUP(G$2, Percentiles!$A$45:$I$59, 6, FALSE), perc_90, VLOOKUP(G$2, Percentiles!$A$45:$I$59, 7, FALSE), perc_95, VLOOKUP(G$2, Percentiles!$A$45:$I$59, 8, FALSE), perc_85, perc_75 + (perc_90 - perc_75) * (2/3), converted_stat, '2K_Ratings'!G467, IF(bbgm_stat &gt;= perc_95, converted_stat * 3, IF(bbgm_stat &gt;= perc_90, converted_stat * 2, IF(bbgm_stat &gt;= perc_85, converted_stat * 1.5, converted_stat)))))</f>
        <v/>
      </c>
      <c r="H467" s="30" t="str">
        <f t="array" ref="H467">IF($A467="", "", LET(bbgm_stat, INDEX(Players!$A466:$P466, MATCH(H$2, Players!$A$1:$P$1, 0)), perc_75, VLOOKUP(H$2, Percentiles!$A$45:$I$59, 6, FALSE), perc_90, VLOOKUP(H$2, Percentiles!$A$45:$I$59, 7, FALSE), perc_95, VLOOKUP(H$2, Percentiles!$A$45:$I$59, 8, FALSE), perc_85, perc_75 + (perc_90 - perc_75) * (2/3), converted_stat, '2K_Ratings'!H467, IF(bbgm_stat &gt;= perc_95, converted_stat * 3, IF(bbgm_stat &gt;= perc_90, converted_stat * 2, IF(bbgm_stat &gt;= perc_85, converted_stat * 1.5, converted_stat)))))</f>
        <v/>
      </c>
      <c r="I467" s="30" t="str">
        <f t="array" ref="I467">IF($A467="", "", LET(bbgm_stat, INDEX(Players!$A466:$P466, MATCH(I$2, Players!$A$1:$P$1, 0)), perc_75, VLOOKUP(I$2, Percentiles!$A$45:$I$59, 6, FALSE), perc_90, VLOOKUP(I$2, Percentiles!$A$45:$I$59, 7, FALSE), perc_95, VLOOKUP(I$2, Percentiles!$A$45:$I$59, 8, FALSE), perc_85, perc_75 + (perc_90 - perc_75) * (2/3), converted_stat, '2K_Ratings'!I467, IF(bbgm_stat &gt;= perc_95, converted_stat * 3, IF(bbgm_stat &gt;= perc_90, converted_stat * 2, IF(bbgm_stat &gt;= perc_85, converted_stat * 1.5, converted_stat)))))</f>
        <v/>
      </c>
      <c r="J467" s="30" t="str">
        <f t="array" ref="J467">IF($A467="", "", LET(bbgm_stat, INDEX(Players!$A466:$P466, MATCH(J$2, Players!$A$1:$P$1, 0)), perc_75, VLOOKUP(J$2, Percentiles!$A$45:$I$59, 6, FALSE), perc_90, VLOOKUP(J$2, Percentiles!$A$45:$I$59, 7, FALSE), perc_95, VLOOKUP(J$2, Percentiles!$A$45:$I$59, 8, FALSE), perc_85, perc_75 + (perc_90 - perc_75) * (2/3), converted_stat, '2K_Ratings'!J467, IF(bbgm_stat &gt;= perc_95, converted_stat * 3, IF(bbgm_stat &gt;= perc_90, converted_stat * 2, IF(bbgm_stat &gt;= perc_85, converted_stat * 1.5, converted_stat)))))</f>
        <v/>
      </c>
      <c r="K467" s="30" t="str">
        <f t="array" ref="K467">IF($A467="", "", LET(bbgm_stat, INDEX(Players!$A466:$P466, MATCH(K$2, Players!$A$1:$P$1, 0)), perc_75, VLOOKUP(K$2, Percentiles!$A$45:$I$59, 6, FALSE), perc_90, VLOOKUP(K$2, Percentiles!$A$45:$I$59, 7, FALSE), perc_95, VLOOKUP(K$2, Percentiles!$A$45:$I$59, 8, FALSE), perc_85, perc_75 + (perc_90 - perc_75) * (2/3), converted_stat, '2K_Ratings'!K467, IF(bbgm_stat &gt;= perc_95, converted_stat * 3, IF(bbgm_stat &gt;= perc_90, converted_stat * 2, IF(bbgm_stat &gt;= perc_85, converted_stat * 1.5, converted_stat)))))</f>
        <v/>
      </c>
      <c r="L467" s="30" t="str">
        <f t="array" ref="L467">IF($A467="", "", LET(bbgm_stat, INDEX(Players!$A466:$P466, MATCH(L$2, Players!$A$1:$P$1, 0)), perc_75, VLOOKUP(L$2, Percentiles!$A$45:$I$59, 6, FALSE), perc_90, VLOOKUP(L$2, Percentiles!$A$45:$I$59, 7, FALSE), perc_95, VLOOKUP(L$2, Percentiles!$A$45:$I$59, 8, FALSE), perc_85, perc_75 + (perc_90 - perc_75) * (2/3), converted_stat, '2K_Ratings'!L467, IF(bbgm_stat &gt;= perc_95, converted_stat * 3, IF(bbgm_stat &gt;= perc_90, converted_stat * 2, IF(bbgm_stat &gt;= perc_85, converted_stat * 1.5, converted_stat)))))</f>
        <v/>
      </c>
      <c r="M467" s="30" t="str">
        <f t="array" ref="M467">IF($A467="", "", LET(bbgm_stat, INDEX(Players!$A466:$P466, MATCH(M$2, Players!$A$1:$P$1, 0)), perc_75, VLOOKUP(M$2, Percentiles!$A$45:$I$59, 6, FALSE), perc_90, VLOOKUP(M$2, Percentiles!$A$45:$I$59, 7, FALSE), perc_95, VLOOKUP(M$2, Percentiles!$A$45:$I$59, 8, FALSE), perc_85, perc_75 + (perc_90 - perc_75) * (2/3), converted_stat, '2K_Ratings'!M467, IF(bbgm_stat &gt;= perc_95, converted_stat * 3, IF(bbgm_stat &gt;= perc_90, converted_stat * 2, IF(bbgm_stat &gt;= perc_85, converted_stat * 1.5, converted_stat)))))</f>
        <v/>
      </c>
      <c r="N467" s="30" t="str">
        <f t="array" ref="N467">IF($A467="", "", LET(bbgm_stat, INDEX(Players!$A466:$P466, MATCH(N$2, Players!$A$1:$P$1, 0)), perc_75, VLOOKUP(N$2, Percentiles!$A$45:$I$59, 6, FALSE), perc_90, VLOOKUP(N$2, Percentiles!$A$45:$I$59, 7, FALSE), perc_95, VLOOKUP(N$2, Percentiles!$A$45:$I$59, 8, FALSE), perc_85, perc_75 + (perc_90 - perc_75) * (2/3), converted_stat, '2K_Ratings'!N467, IF(bbgm_stat &gt;= perc_95, converted_stat * 3, IF(bbgm_stat &gt;= perc_90, converted_stat * 2, IF(bbgm_stat &gt;= perc_85, converted_stat * 1.5, converted_stat)))))</f>
        <v/>
      </c>
      <c r="O467" s="30" t="str">
        <f t="array" ref="O467">IF($A467="", "", LET(bbgm_stat, INDEX(Players!$A466:$P466, MATCH(O$2, Players!$A$1:$P$1, 0)), perc_75, VLOOKUP(O$2, Percentiles!$A$45:$I$59, 6, FALSE), perc_90, VLOOKUP(O$2, Percentiles!$A$45:$I$59, 7, FALSE), perc_95, VLOOKUP(O$2, Percentiles!$A$45:$I$59, 8, FALSE), perc_85, perc_75 + (perc_90 - perc_75) * (2/3), converted_stat, '2K_Ratings'!O467, IF(bbgm_stat &gt;= perc_95, converted_stat * 3, IF(bbgm_stat &gt;= perc_90, converted_stat * 2, IF(bbgm_stat &gt;= perc_85, converted_stat * 1.5, converted_stat)))))</f>
        <v/>
      </c>
      <c r="P467" s="30" t="str">
        <f t="array" ref="P467">IF($A467="", "", LET(bbgm_stat, INDEX(Players!$A466:$P466, MATCH(P$2, Players!$A$1:$P$1, 0)), perc_75, VLOOKUP(P$2, Percentiles!$A$45:$I$59, 6, FALSE), perc_90, VLOOKUP(P$2, Percentiles!$A$45:$I$59, 7, FALSE), perc_95, VLOOKUP(P$2, Percentiles!$A$45:$I$59, 8, FALSE), perc_85, perc_75 + (perc_90 - perc_75) * (2/3), converted_stat, '2K_Ratings'!P467, IF(bbgm_stat &gt;= perc_95, converted_stat * 3, IF(bbgm_stat &gt;= perc_90, converted_stat * 2, IF(bbgm_stat &gt;= perc_85, converted_stat * 1.5, converted_stat)))))</f>
        <v/>
      </c>
      <c r="Q467" s="30" t="str">
        <f t="array" ref="Q467">IF($A467="", "", LET(bbgm_stat, INDEX(Players!$A466:$P466, MATCH(Q$2, Players!$A$1:$P$1, 0)), perc_75, VLOOKUP(Q$2, Percentiles!$A$45:$I$59, 6, FALSE), perc_90, VLOOKUP(Q$2, Percentiles!$A$45:$I$59, 7, FALSE), perc_95, VLOOKUP(Q$2, Percentiles!$A$45:$I$59, 8, FALSE), perc_85, perc_75 + (perc_90 - perc_75) * (2/3), converted_stat, '2K_Ratings'!Q467, IF(bbgm_stat &gt;= perc_95, converted_stat * 3, IF(bbgm_stat &gt;= perc_90, converted_stat * 2, IF(bbgm_stat &gt;= perc_85, converted_stat * 1.5, converted_stat)))))</f>
        <v/>
      </c>
      <c r="R467" s="30" t="str">
        <f t="array" ref="R467">IF($A467="", "", LET(bbgm_stat, INDEX(Players!$A466:$P466, MATCH(R$2, Players!$A$1:$P$1, 0)), perc_75, VLOOKUP(R$2, Percentiles!$A$45:$I$59, 6, FALSE), perc_90, VLOOKUP(R$2, Percentiles!$A$45:$I$59, 7, FALSE), perc_95, VLOOKUP(R$2, Percentiles!$A$45:$I$59, 8, FALSE), perc_85, perc_75 + (perc_90 - perc_75) * (2/3), converted_stat, '2K_Ratings'!R467, IF(bbgm_stat &gt;= perc_95, converted_stat * 3, IF(bbgm_stat &gt;= perc_90, converted_stat * 2, IF(bbgm_stat &gt;= perc_85, converted_stat * 1.5, converted_stat)))))</f>
        <v/>
      </c>
      <c r="S467" s="30" t="str">
        <f t="array" ref="S467">IF($A467="", "", LET(bbgm_stat, INDEX(Players!$A466:$P466, MATCH(S$2, Players!$A$1:$P$1, 0)), perc_75, VLOOKUP(S$2, Percentiles!$A$45:$I$59, 6, FALSE), perc_90, VLOOKUP(S$2, Percentiles!$A$45:$I$59, 7, FALSE), perc_95, VLOOKUP(S$2, Percentiles!$A$45:$I$59, 8, FALSE), perc_85, perc_75 + (perc_90 - perc_75) * (2/3), converted_stat, '2K_Ratings'!S467, IF(bbgm_stat &gt;= perc_95, converted_stat * 3, IF(bbgm_stat &gt;= perc_90, converted_stat * 2, IF(bbgm_stat &gt;= perc_85, converted_stat * 1.5, converted_stat)))))</f>
        <v/>
      </c>
      <c r="T467" s="30" t="str">
        <f t="array" ref="T467">IF($A467="", "", LET(bbgm_stat, INDEX(Players!$A466:$P466, MATCH(T$2, Players!$A$1:$P$1, 0)), perc_75, VLOOKUP(T$2, Percentiles!$A$45:$I$59, 6, FALSE), perc_90, VLOOKUP(T$2, Percentiles!$A$45:$I$59, 7, FALSE), perc_95, VLOOKUP(T$2, Percentiles!$A$45:$I$59, 8, FALSE), perc_85, perc_75 + (perc_90 - perc_75) * (2/3), converted_stat, '2K_Ratings'!T467, IF(bbgm_stat &gt;= perc_95, converted_stat * 3, IF(bbgm_stat &gt;= perc_90, converted_stat * 2, IF(bbgm_stat &gt;= perc_85, converted_stat * 1.5, converted_stat)))))</f>
        <v/>
      </c>
      <c r="U467" s="30" t="str">
        <f t="array" ref="U467">IF($A467="", "", LET(bbgm_stat, INDEX(Players!$A466:$P466, MATCH(U$2, Players!$A$1:$P$1, 0)), perc_75, VLOOKUP(U$2, Percentiles!$A$45:$I$59, 6, FALSE), perc_90, VLOOKUP(U$2, Percentiles!$A$45:$I$59, 7, FALSE), perc_95, VLOOKUP(U$2, Percentiles!$A$45:$I$59, 8, FALSE), perc_85, perc_75 + (perc_90 - perc_75) * (2/3), converted_stat, '2K_Ratings'!U467, IF(bbgm_stat &gt;= perc_95, converted_stat * 3, IF(bbgm_stat &gt;= perc_90, converted_stat * 2, IF(bbgm_stat &gt;= perc_85, converted_stat * 1.5, converted_stat)))))</f>
        <v/>
      </c>
      <c r="V467" s="30" t="str">
        <f t="array" ref="V467">IF($A467="", "", LET(bbgm_stat, INDEX(Players!$A466:$P466, MATCH(V$2, Players!$A$1:$P$1, 0)), perc_75, VLOOKUP(V$2, Percentiles!$A$45:$I$59, 6, FALSE), perc_90, VLOOKUP(V$2, Percentiles!$A$45:$I$59, 7, FALSE), perc_95, VLOOKUP(V$2, Percentiles!$A$45:$I$59, 8, FALSE), perc_85, perc_75 + (perc_90 - perc_75) * (2/3), converted_stat, '2K_Ratings'!V467, IF(bbgm_stat &gt;= perc_95, converted_stat * 3, IF(bbgm_stat &gt;= perc_90, converted_stat * 2, IF(bbgm_stat &gt;= perc_85, converted_stat * 1.5, converted_stat)))))</f>
        <v/>
      </c>
      <c r="W467" s="30" t="str">
        <f t="array" ref="W467">IF($A467="", "", LET(bbgm_stat, INDEX(Players!$A466:$P466, MATCH(W$2, Players!$A$1:$P$1, 0)), perc_75, VLOOKUP(W$2, Percentiles!$A$45:$I$59, 6, FALSE), perc_90, VLOOKUP(W$2, Percentiles!$A$45:$I$59, 7, FALSE), perc_95, VLOOKUP(W$2, Percentiles!$A$45:$I$59, 8, FALSE), perc_85, perc_75 + (perc_90 - perc_75) * (2/3), converted_stat, '2K_Ratings'!W467, IF(bbgm_stat &gt;= perc_95, converted_stat * 3, IF(bbgm_stat &gt;= perc_90, converted_stat * 2, IF(bbgm_stat &gt;= perc_85, converted_stat * 1.5, converted_stat)))))</f>
        <v/>
      </c>
    </row>
    <row r="468">
      <c r="A468" s="30"/>
      <c r="B468" s="30" t="str">
        <f t="array" ref="B468">IF($A468="", "", LET(bbgm_stat, INDEX(Players!$A467:$P467, MATCH(B$2, Players!$A$1:$P$1, 0)), perc_75, VLOOKUP(B$2, Percentiles!$A$45:$I$59, 6, FALSE), perc_90, VLOOKUP(B$2, Percentiles!$A$45:$I$59, 7, FALSE), perc_95, VLOOKUP(B$2, Percentiles!$A$45:$I$59, 8, FALSE), perc_85, perc_75 + (perc_90 - perc_75) * (2/3), converted_stat, '2K_Ratings'!B468, IF(bbgm_stat &gt;= perc_95, converted_stat * 3, IF(bbgm_stat &gt;= perc_90, converted_stat * 2, IF(bbgm_stat &gt;= perc_85, converted_stat * 1.5, converted_stat)))))</f>
        <v/>
      </c>
      <c r="C468" s="30" t="str">
        <f t="array" ref="C468">IF($A468="", "", LET(bbgm_stat, INDEX(Players!$A467:$P467, MATCH(C$2, Players!$A$1:$P$1, 0)), perc_75, VLOOKUP(C$2, Percentiles!$A$45:$I$59, 6, FALSE), perc_90, VLOOKUP(C$2, Percentiles!$A$45:$I$59, 7, FALSE), perc_95, VLOOKUP(C$2, Percentiles!$A$45:$I$59, 8, FALSE), perc_85, perc_75 + (perc_90 - perc_75) * (2/3), converted_stat, '2K_Ratings'!C468, IF(bbgm_stat &gt;= perc_95, converted_stat * 3, IF(bbgm_stat &gt;= perc_90, converted_stat * 2, IF(bbgm_stat &gt;= perc_85, converted_stat * 1.5, converted_stat)))))</f>
        <v/>
      </c>
      <c r="D468" s="30" t="str">
        <f t="array" ref="D468">IF($A468="", "", LET(bbgm_stat, INDEX(Players!$A467:$P467, MATCH(D$2, Players!$A$1:$P$1, 0)), perc_75, VLOOKUP(D$2, Percentiles!$A$45:$I$59, 6, FALSE), perc_90, VLOOKUP(D$2, Percentiles!$A$45:$I$59, 7, FALSE), perc_95, VLOOKUP(D$2, Percentiles!$A$45:$I$59, 8, FALSE), perc_85, perc_75 + (perc_90 - perc_75) * (2/3), converted_stat, '2K_Ratings'!D468, IF(bbgm_stat &gt;= perc_95, converted_stat * 3, IF(bbgm_stat &gt;= perc_90, converted_stat * 2, IF(bbgm_stat &gt;= perc_85, converted_stat * 1.5, converted_stat)))))</f>
        <v/>
      </c>
      <c r="E468" s="30" t="str">
        <f t="array" ref="E468">IF($A468="", "", LET(bbgm_stat, INDEX(Players!$A467:$P467, MATCH(E$2, Players!$A$1:$P$1, 0)), perc_75, VLOOKUP(E$2, Percentiles!$A$45:$I$59, 6, FALSE), perc_90, VLOOKUP(E$2, Percentiles!$A$45:$I$59, 7, FALSE), perc_95, VLOOKUP(E$2, Percentiles!$A$45:$I$59, 8, FALSE), perc_85, perc_75 + (perc_90 - perc_75) * (2/3), converted_stat, '2K_Ratings'!E468, IF(bbgm_stat &gt;= perc_95, converted_stat * 3, IF(bbgm_stat &gt;= perc_90, converted_stat * 2, IF(bbgm_stat &gt;= perc_85, converted_stat * 1.5, converted_stat)))))</f>
        <v/>
      </c>
      <c r="F468" s="30" t="str">
        <f t="array" ref="F468">IF($A468="", "", LET(bbgm_stat, INDEX(Players!$A467:$P467, MATCH(F$2, Players!$A$1:$P$1, 0)), perc_75, VLOOKUP(F$2, Percentiles!$A$45:$I$59, 6, FALSE), perc_90, VLOOKUP(F$2, Percentiles!$A$45:$I$59, 7, FALSE), perc_95, VLOOKUP(F$2, Percentiles!$A$45:$I$59, 8, FALSE), perc_85, perc_75 + (perc_90 - perc_75) * (2/3), converted_stat, '2K_Ratings'!F468, IF(bbgm_stat &gt;= perc_95, converted_stat * 3, IF(bbgm_stat &gt;= perc_90, converted_stat * 2, IF(bbgm_stat &gt;= perc_85, converted_stat * 1.5, converted_stat)))))</f>
        <v/>
      </c>
      <c r="G468" s="30" t="str">
        <f t="array" ref="G468">IF($A468="", "", LET(bbgm_stat, INDEX(Players!$A467:$P467, MATCH(G$2, Players!$A$1:$P$1, 0)), perc_75, VLOOKUP(G$2, Percentiles!$A$45:$I$59, 6, FALSE), perc_90, VLOOKUP(G$2, Percentiles!$A$45:$I$59, 7, FALSE), perc_95, VLOOKUP(G$2, Percentiles!$A$45:$I$59, 8, FALSE), perc_85, perc_75 + (perc_90 - perc_75) * (2/3), converted_stat, '2K_Ratings'!G468, IF(bbgm_stat &gt;= perc_95, converted_stat * 3, IF(bbgm_stat &gt;= perc_90, converted_stat * 2, IF(bbgm_stat &gt;= perc_85, converted_stat * 1.5, converted_stat)))))</f>
        <v/>
      </c>
      <c r="H468" s="30" t="str">
        <f t="array" ref="H468">IF($A468="", "", LET(bbgm_stat, INDEX(Players!$A467:$P467, MATCH(H$2, Players!$A$1:$P$1, 0)), perc_75, VLOOKUP(H$2, Percentiles!$A$45:$I$59, 6, FALSE), perc_90, VLOOKUP(H$2, Percentiles!$A$45:$I$59, 7, FALSE), perc_95, VLOOKUP(H$2, Percentiles!$A$45:$I$59, 8, FALSE), perc_85, perc_75 + (perc_90 - perc_75) * (2/3), converted_stat, '2K_Ratings'!H468, IF(bbgm_stat &gt;= perc_95, converted_stat * 3, IF(bbgm_stat &gt;= perc_90, converted_stat * 2, IF(bbgm_stat &gt;= perc_85, converted_stat * 1.5, converted_stat)))))</f>
        <v/>
      </c>
      <c r="I468" s="30" t="str">
        <f t="array" ref="I468">IF($A468="", "", LET(bbgm_stat, INDEX(Players!$A467:$P467, MATCH(I$2, Players!$A$1:$P$1, 0)), perc_75, VLOOKUP(I$2, Percentiles!$A$45:$I$59, 6, FALSE), perc_90, VLOOKUP(I$2, Percentiles!$A$45:$I$59, 7, FALSE), perc_95, VLOOKUP(I$2, Percentiles!$A$45:$I$59, 8, FALSE), perc_85, perc_75 + (perc_90 - perc_75) * (2/3), converted_stat, '2K_Ratings'!I468, IF(bbgm_stat &gt;= perc_95, converted_stat * 3, IF(bbgm_stat &gt;= perc_90, converted_stat * 2, IF(bbgm_stat &gt;= perc_85, converted_stat * 1.5, converted_stat)))))</f>
        <v/>
      </c>
      <c r="J468" s="30" t="str">
        <f t="array" ref="J468">IF($A468="", "", LET(bbgm_stat, INDEX(Players!$A467:$P467, MATCH(J$2, Players!$A$1:$P$1, 0)), perc_75, VLOOKUP(J$2, Percentiles!$A$45:$I$59, 6, FALSE), perc_90, VLOOKUP(J$2, Percentiles!$A$45:$I$59, 7, FALSE), perc_95, VLOOKUP(J$2, Percentiles!$A$45:$I$59, 8, FALSE), perc_85, perc_75 + (perc_90 - perc_75) * (2/3), converted_stat, '2K_Ratings'!J468, IF(bbgm_stat &gt;= perc_95, converted_stat * 3, IF(bbgm_stat &gt;= perc_90, converted_stat * 2, IF(bbgm_stat &gt;= perc_85, converted_stat * 1.5, converted_stat)))))</f>
        <v/>
      </c>
      <c r="K468" s="30" t="str">
        <f t="array" ref="K468">IF($A468="", "", LET(bbgm_stat, INDEX(Players!$A467:$P467, MATCH(K$2, Players!$A$1:$P$1, 0)), perc_75, VLOOKUP(K$2, Percentiles!$A$45:$I$59, 6, FALSE), perc_90, VLOOKUP(K$2, Percentiles!$A$45:$I$59, 7, FALSE), perc_95, VLOOKUP(K$2, Percentiles!$A$45:$I$59, 8, FALSE), perc_85, perc_75 + (perc_90 - perc_75) * (2/3), converted_stat, '2K_Ratings'!K468, IF(bbgm_stat &gt;= perc_95, converted_stat * 3, IF(bbgm_stat &gt;= perc_90, converted_stat * 2, IF(bbgm_stat &gt;= perc_85, converted_stat * 1.5, converted_stat)))))</f>
        <v/>
      </c>
      <c r="L468" s="30" t="str">
        <f t="array" ref="L468">IF($A468="", "", LET(bbgm_stat, INDEX(Players!$A467:$P467, MATCH(L$2, Players!$A$1:$P$1, 0)), perc_75, VLOOKUP(L$2, Percentiles!$A$45:$I$59, 6, FALSE), perc_90, VLOOKUP(L$2, Percentiles!$A$45:$I$59, 7, FALSE), perc_95, VLOOKUP(L$2, Percentiles!$A$45:$I$59, 8, FALSE), perc_85, perc_75 + (perc_90 - perc_75) * (2/3), converted_stat, '2K_Ratings'!L468, IF(bbgm_stat &gt;= perc_95, converted_stat * 3, IF(bbgm_stat &gt;= perc_90, converted_stat * 2, IF(bbgm_stat &gt;= perc_85, converted_stat * 1.5, converted_stat)))))</f>
        <v/>
      </c>
      <c r="M468" s="30" t="str">
        <f t="array" ref="M468">IF($A468="", "", LET(bbgm_stat, INDEX(Players!$A467:$P467, MATCH(M$2, Players!$A$1:$P$1, 0)), perc_75, VLOOKUP(M$2, Percentiles!$A$45:$I$59, 6, FALSE), perc_90, VLOOKUP(M$2, Percentiles!$A$45:$I$59, 7, FALSE), perc_95, VLOOKUP(M$2, Percentiles!$A$45:$I$59, 8, FALSE), perc_85, perc_75 + (perc_90 - perc_75) * (2/3), converted_stat, '2K_Ratings'!M468, IF(bbgm_stat &gt;= perc_95, converted_stat * 3, IF(bbgm_stat &gt;= perc_90, converted_stat * 2, IF(bbgm_stat &gt;= perc_85, converted_stat * 1.5, converted_stat)))))</f>
        <v/>
      </c>
      <c r="N468" s="30" t="str">
        <f t="array" ref="N468">IF($A468="", "", LET(bbgm_stat, INDEX(Players!$A467:$P467, MATCH(N$2, Players!$A$1:$P$1, 0)), perc_75, VLOOKUP(N$2, Percentiles!$A$45:$I$59, 6, FALSE), perc_90, VLOOKUP(N$2, Percentiles!$A$45:$I$59, 7, FALSE), perc_95, VLOOKUP(N$2, Percentiles!$A$45:$I$59, 8, FALSE), perc_85, perc_75 + (perc_90 - perc_75) * (2/3), converted_stat, '2K_Ratings'!N468, IF(bbgm_stat &gt;= perc_95, converted_stat * 3, IF(bbgm_stat &gt;= perc_90, converted_stat * 2, IF(bbgm_stat &gt;= perc_85, converted_stat * 1.5, converted_stat)))))</f>
        <v/>
      </c>
      <c r="O468" s="30" t="str">
        <f t="array" ref="O468">IF($A468="", "", LET(bbgm_stat, INDEX(Players!$A467:$P467, MATCH(O$2, Players!$A$1:$P$1, 0)), perc_75, VLOOKUP(O$2, Percentiles!$A$45:$I$59, 6, FALSE), perc_90, VLOOKUP(O$2, Percentiles!$A$45:$I$59, 7, FALSE), perc_95, VLOOKUP(O$2, Percentiles!$A$45:$I$59, 8, FALSE), perc_85, perc_75 + (perc_90 - perc_75) * (2/3), converted_stat, '2K_Ratings'!O468, IF(bbgm_stat &gt;= perc_95, converted_stat * 3, IF(bbgm_stat &gt;= perc_90, converted_stat * 2, IF(bbgm_stat &gt;= perc_85, converted_stat * 1.5, converted_stat)))))</f>
        <v/>
      </c>
      <c r="P468" s="30" t="str">
        <f t="array" ref="P468">IF($A468="", "", LET(bbgm_stat, INDEX(Players!$A467:$P467, MATCH(P$2, Players!$A$1:$P$1, 0)), perc_75, VLOOKUP(P$2, Percentiles!$A$45:$I$59, 6, FALSE), perc_90, VLOOKUP(P$2, Percentiles!$A$45:$I$59, 7, FALSE), perc_95, VLOOKUP(P$2, Percentiles!$A$45:$I$59, 8, FALSE), perc_85, perc_75 + (perc_90 - perc_75) * (2/3), converted_stat, '2K_Ratings'!P468, IF(bbgm_stat &gt;= perc_95, converted_stat * 3, IF(bbgm_stat &gt;= perc_90, converted_stat * 2, IF(bbgm_stat &gt;= perc_85, converted_stat * 1.5, converted_stat)))))</f>
        <v/>
      </c>
      <c r="Q468" s="30" t="str">
        <f t="array" ref="Q468">IF($A468="", "", LET(bbgm_stat, INDEX(Players!$A467:$P467, MATCH(Q$2, Players!$A$1:$P$1, 0)), perc_75, VLOOKUP(Q$2, Percentiles!$A$45:$I$59, 6, FALSE), perc_90, VLOOKUP(Q$2, Percentiles!$A$45:$I$59, 7, FALSE), perc_95, VLOOKUP(Q$2, Percentiles!$A$45:$I$59, 8, FALSE), perc_85, perc_75 + (perc_90 - perc_75) * (2/3), converted_stat, '2K_Ratings'!Q468, IF(bbgm_stat &gt;= perc_95, converted_stat * 3, IF(bbgm_stat &gt;= perc_90, converted_stat * 2, IF(bbgm_stat &gt;= perc_85, converted_stat * 1.5, converted_stat)))))</f>
        <v/>
      </c>
      <c r="R468" s="30" t="str">
        <f t="array" ref="R468">IF($A468="", "", LET(bbgm_stat, INDEX(Players!$A467:$P467, MATCH(R$2, Players!$A$1:$P$1, 0)), perc_75, VLOOKUP(R$2, Percentiles!$A$45:$I$59, 6, FALSE), perc_90, VLOOKUP(R$2, Percentiles!$A$45:$I$59, 7, FALSE), perc_95, VLOOKUP(R$2, Percentiles!$A$45:$I$59, 8, FALSE), perc_85, perc_75 + (perc_90 - perc_75) * (2/3), converted_stat, '2K_Ratings'!R468, IF(bbgm_stat &gt;= perc_95, converted_stat * 3, IF(bbgm_stat &gt;= perc_90, converted_stat * 2, IF(bbgm_stat &gt;= perc_85, converted_stat * 1.5, converted_stat)))))</f>
        <v/>
      </c>
      <c r="S468" s="30" t="str">
        <f t="array" ref="S468">IF($A468="", "", LET(bbgm_stat, INDEX(Players!$A467:$P467, MATCH(S$2, Players!$A$1:$P$1, 0)), perc_75, VLOOKUP(S$2, Percentiles!$A$45:$I$59, 6, FALSE), perc_90, VLOOKUP(S$2, Percentiles!$A$45:$I$59, 7, FALSE), perc_95, VLOOKUP(S$2, Percentiles!$A$45:$I$59, 8, FALSE), perc_85, perc_75 + (perc_90 - perc_75) * (2/3), converted_stat, '2K_Ratings'!S468, IF(bbgm_stat &gt;= perc_95, converted_stat * 3, IF(bbgm_stat &gt;= perc_90, converted_stat * 2, IF(bbgm_stat &gt;= perc_85, converted_stat * 1.5, converted_stat)))))</f>
        <v/>
      </c>
      <c r="T468" s="30" t="str">
        <f t="array" ref="T468">IF($A468="", "", LET(bbgm_stat, INDEX(Players!$A467:$P467, MATCH(T$2, Players!$A$1:$P$1, 0)), perc_75, VLOOKUP(T$2, Percentiles!$A$45:$I$59, 6, FALSE), perc_90, VLOOKUP(T$2, Percentiles!$A$45:$I$59, 7, FALSE), perc_95, VLOOKUP(T$2, Percentiles!$A$45:$I$59, 8, FALSE), perc_85, perc_75 + (perc_90 - perc_75) * (2/3), converted_stat, '2K_Ratings'!T468, IF(bbgm_stat &gt;= perc_95, converted_stat * 3, IF(bbgm_stat &gt;= perc_90, converted_stat * 2, IF(bbgm_stat &gt;= perc_85, converted_stat * 1.5, converted_stat)))))</f>
        <v/>
      </c>
      <c r="U468" s="30" t="str">
        <f t="array" ref="U468">IF($A468="", "", LET(bbgm_stat, INDEX(Players!$A467:$P467, MATCH(U$2, Players!$A$1:$P$1, 0)), perc_75, VLOOKUP(U$2, Percentiles!$A$45:$I$59, 6, FALSE), perc_90, VLOOKUP(U$2, Percentiles!$A$45:$I$59, 7, FALSE), perc_95, VLOOKUP(U$2, Percentiles!$A$45:$I$59, 8, FALSE), perc_85, perc_75 + (perc_90 - perc_75) * (2/3), converted_stat, '2K_Ratings'!U468, IF(bbgm_stat &gt;= perc_95, converted_stat * 3, IF(bbgm_stat &gt;= perc_90, converted_stat * 2, IF(bbgm_stat &gt;= perc_85, converted_stat * 1.5, converted_stat)))))</f>
        <v/>
      </c>
      <c r="V468" s="30" t="str">
        <f t="array" ref="V468">IF($A468="", "", LET(bbgm_stat, INDEX(Players!$A467:$P467, MATCH(V$2, Players!$A$1:$P$1, 0)), perc_75, VLOOKUP(V$2, Percentiles!$A$45:$I$59, 6, FALSE), perc_90, VLOOKUP(V$2, Percentiles!$A$45:$I$59, 7, FALSE), perc_95, VLOOKUP(V$2, Percentiles!$A$45:$I$59, 8, FALSE), perc_85, perc_75 + (perc_90 - perc_75) * (2/3), converted_stat, '2K_Ratings'!V468, IF(bbgm_stat &gt;= perc_95, converted_stat * 3, IF(bbgm_stat &gt;= perc_90, converted_stat * 2, IF(bbgm_stat &gt;= perc_85, converted_stat * 1.5, converted_stat)))))</f>
        <v/>
      </c>
      <c r="W468" s="30" t="str">
        <f t="array" ref="W468">IF($A468="", "", LET(bbgm_stat, INDEX(Players!$A467:$P467, MATCH(W$2, Players!$A$1:$P$1, 0)), perc_75, VLOOKUP(W$2, Percentiles!$A$45:$I$59, 6, FALSE), perc_90, VLOOKUP(W$2, Percentiles!$A$45:$I$59, 7, FALSE), perc_95, VLOOKUP(W$2, Percentiles!$A$45:$I$59, 8, FALSE), perc_85, perc_75 + (perc_90 - perc_75) * (2/3), converted_stat, '2K_Ratings'!W468, IF(bbgm_stat &gt;= perc_95, converted_stat * 3, IF(bbgm_stat &gt;= perc_90, converted_stat * 2, IF(bbgm_stat &gt;= perc_85, converted_stat * 1.5, converted_stat)))))</f>
        <v/>
      </c>
    </row>
    <row r="469">
      <c r="A469" s="30"/>
      <c r="B469" s="30" t="str">
        <f t="array" ref="B469">IF($A469="", "", LET(bbgm_stat, INDEX(Players!$A468:$P468, MATCH(B$2, Players!$A$1:$P$1, 0)), perc_75, VLOOKUP(B$2, Percentiles!$A$45:$I$59, 6, FALSE), perc_90, VLOOKUP(B$2, Percentiles!$A$45:$I$59, 7, FALSE), perc_95, VLOOKUP(B$2, Percentiles!$A$45:$I$59, 8, FALSE), perc_85, perc_75 + (perc_90 - perc_75) * (2/3), converted_stat, '2K_Ratings'!B469, IF(bbgm_stat &gt;= perc_95, converted_stat * 3, IF(bbgm_stat &gt;= perc_90, converted_stat * 2, IF(bbgm_stat &gt;= perc_85, converted_stat * 1.5, converted_stat)))))</f>
        <v/>
      </c>
      <c r="C469" s="30" t="str">
        <f t="array" ref="C469">IF($A469="", "", LET(bbgm_stat, INDEX(Players!$A468:$P468, MATCH(C$2, Players!$A$1:$P$1, 0)), perc_75, VLOOKUP(C$2, Percentiles!$A$45:$I$59, 6, FALSE), perc_90, VLOOKUP(C$2, Percentiles!$A$45:$I$59, 7, FALSE), perc_95, VLOOKUP(C$2, Percentiles!$A$45:$I$59, 8, FALSE), perc_85, perc_75 + (perc_90 - perc_75) * (2/3), converted_stat, '2K_Ratings'!C469, IF(bbgm_stat &gt;= perc_95, converted_stat * 3, IF(bbgm_stat &gt;= perc_90, converted_stat * 2, IF(bbgm_stat &gt;= perc_85, converted_stat * 1.5, converted_stat)))))</f>
        <v/>
      </c>
      <c r="D469" s="30" t="str">
        <f t="array" ref="D469">IF($A469="", "", LET(bbgm_stat, INDEX(Players!$A468:$P468, MATCH(D$2, Players!$A$1:$P$1, 0)), perc_75, VLOOKUP(D$2, Percentiles!$A$45:$I$59, 6, FALSE), perc_90, VLOOKUP(D$2, Percentiles!$A$45:$I$59, 7, FALSE), perc_95, VLOOKUP(D$2, Percentiles!$A$45:$I$59, 8, FALSE), perc_85, perc_75 + (perc_90 - perc_75) * (2/3), converted_stat, '2K_Ratings'!D469, IF(bbgm_stat &gt;= perc_95, converted_stat * 3, IF(bbgm_stat &gt;= perc_90, converted_stat * 2, IF(bbgm_stat &gt;= perc_85, converted_stat * 1.5, converted_stat)))))</f>
        <v/>
      </c>
      <c r="E469" s="30" t="str">
        <f t="array" ref="E469">IF($A469="", "", LET(bbgm_stat, INDEX(Players!$A468:$P468, MATCH(E$2, Players!$A$1:$P$1, 0)), perc_75, VLOOKUP(E$2, Percentiles!$A$45:$I$59, 6, FALSE), perc_90, VLOOKUP(E$2, Percentiles!$A$45:$I$59, 7, FALSE), perc_95, VLOOKUP(E$2, Percentiles!$A$45:$I$59, 8, FALSE), perc_85, perc_75 + (perc_90 - perc_75) * (2/3), converted_stat, '2K_Ratings'!E469, IF(bbgm_stat &gt;= perc_95, converted_stat * 3, IF(bbgm_stat &gt;= perc_90, converted_stat * 2, IF(bbgm_stat &gt;= perc_85, converted_stat * 1.5, converted_stat)))))</f>
        <v/>
      </c>
      <c r="F469" s="30" t="str">
        <f t="array" ref="F469">IF($A469="", "", LET(bbgm_stat, INDEX(Players!$A468:$P468, MATCH(F$2, Players!$A$1:$P$1, 0)), perc_75, VLOOKUP(F$2, Percentiles!$A$45:$I$59, 6, FALSE), perc_90, VLOOKUP(F$2, Percentiles!$A$45:$I$59, 7, FALSE), perc_95, VLOOKUP(F$2, Percentiles!$A$45:$I$59, 8, FALSE), perc_85, perc_75 + (perc_90 - perc_75) * (2/3), converted_stat, '2K_Ratings'!F469, IF(bbgm_stat &gt;= perc_95, converted_stat * 3, IF(bbgm_stat &gt;= perc_90, converted_stat * 2, IF(bbgm_stat &gt;= perc_85, converted_stat * 1.5, converted_stat)))))</f>
        <v/>
      </c>
      <c r="G469" s="30" t="str">
        <f t="array" ref="G469">IF($A469="", "", LET(bbgm_stat, INDEX(Players!$A468:$P468, MATCH(G$2, Players!$A$1:$P$1, 0)), perc_75, VLOOKUP(G$2, Percentiles!$A$45:$I$59, 6, FALSE), perc_90, VLOOKUP(G$2, Percentiles!$A$45:$I$59, 7, FALSE), perc_95, VLOOKUP(G$2, Percentiles!$A$45:$I$59, 8, FALSE), perc_85, perc_75 + (perc_90 - perc_75) * (2/3), converted_stat, '2K_Ratings'!G469, IF(bbgm_stat &gt;= perc_95, converted_stat * 3, IF(bbgm_stat &gt;= perc_90, converted_stat * 2, IF(bbgm_stat &gt;= perc_85, converted_stat * 1.5, converted_stat)))))</f>
        <v/>
      </c>
      <c r="H469" s="30" t="str">
        <f t="array" ref="H469">IF($A469="", "", LET(bbgm_stat, INDEX(Players!$A468:$P468, MATCH(H$2, Players!$A$1:$P$1, 0)), perc_75, VLOOKUP(H$2, Percentiles!$A$45:$I$59, 6, FALSE), perc_90, VLOOKUP(H$2, Percentiles!$A$45:$I$59, 7, FALSE), perc_95, VLOOKUP(H$2, Percentiles!$A$45:$I$59, 8, FALSE), perc_85, perc_75 + (perc_90 - perc_75) * (2/3), converted_stat, '2K_Ratings'!H469, IF(bbgm_stat &gt;= perc_95, converted_stat * 3, IF(bbgm_stat &gt;= perc_90, converted_stat * 2, IF(bbgm_stat &gt;= perc_85, converted_stat * 1.5, converted_stat)))))</f>
        <v/>
      </c>
      <c r="I469" s="30" t="str">
        <f t="array" ref="I469">IF($A469="", "", LET(bbgm_stat, INDEX(Players!$A468:$P468, MATCH(I$2, Players!$A$1:$P$1, 0)), perc_75, VLOOKUP(I$2, Percentiles!$A$45:$I$59, 6, FALSE), perc_90, VLOOKUP(I$2, Percentiles!$A$45:$I$59, 7, FALSE), perc_95, VLOOKUP(I$2, Percentiles!$A$45:$I$59, 8, FALSE), perc_85, perc_75 + (perc_90 - perc_75) * (2/3), converted_stat, '2K_Ratings'!I469, IF(bbgm_stat &gt;= perc_95, converted_stat * 3, IF(bbgm_stat &gt;= perc_90, converted_stat * 2, IF(bbgm_stat &gt;= perc_85, converted_stat * 1.5, converted_stat)))))</f>
        <v/>
      </c>
      <c r="J469" s="30" t="str">
        <f t="array" ref="J469">IF($A469="", "", LET(bbgm_stat, INDEX(Players!$A468:$P468, MATCH(J$2, Players!$A$1:$P$1, 0)), perc_75, VLOOKUP(J$2, Percentiles!$A$45:$I$59, 6, FALSE), perc_90, VLOOKUP(J$2, Percentiles!$A$45:$I$59, 7, FALSE), perc_95, VLOOKUP(J$2, Percentiles!$A$45:$I$59, 8, FALSE), perc_85, perc_75 + (perc_90 - perc_75) * (2/3), converted_stat, '2K_Ratings'!J469, IF(bbgm_stat &gt;= perc_95, converted_stat * 3, IF(bbgm_stat &gt;= perc_90, converted_stat * 2, IF(bbgm_stat &gt;= perc_85, converted_stat * 1.5, converted_stat)))))</f>
        <v/>
      </c>
      <c r="K469" s="30" t="str">
        <f t="array" ref="K469">IF($A469="", "", LET(bbgm_stat, INDEX(Players!$A468:$P468, MATCH(K$2, Players!$A$1:$P$1, 0)), perc_75, VLOOKUP(K$2, Percentiles!$A$45:$I$59, 6, FALSE), perc_90, VLOOKUP(K$2, Percentiles!$A$45:$I$59, 7, FALSE), perc_95, VLOOKUP(K$2, Percentiles!$A$45:$I$59, 8, FALSE), perc_85, perc_75 + (perc_90 - perc_75) * (2/3), converted_stat, '2K_Ratings'!K469, IF(bbgm_stat &gt;= perc_95, converted_stat * 3, IF(bbgm_stat &gt;= perc_90, converted_stat * 2, IF(bbgm_stat &gt;= perc_85, converted_stat * 1.5, converted_stat)))))</f>
        <v/>
      </c>
      <c r="L469" s="30" t="str">
        <f t="array" ref="L469">IF($A469="", "", LET(bbgm_stat, INDEX(Players!$A468:$P468, MATCH(L$2, Players!$A$1:$P$1, 0)), perc_75, VLOOKUP(L$2, Percentiles!$A$45:$I$59, 6, FALSE), perc_90, VLOOKUP(L$2, Percentiles!$A$45:$I$59, 7, FALSE), perc_95, VLOOKUP(L$2, Percentiles!$A$45:$I$59, 8, FALSE), perc_85, perc_75 + (perc_90 - perc_75) * (2/3), converted_stat, '2K_Ratings'!L469, IF(bbgm_stat &gt;= perc_95, converted_stat * 3, IF(bbgm_stat &gt;= perc_90, converted_stat * 2, IF(bbgm_stat &gt;= perc_85, converted_stat * 1.5, converted_stat)))))</f>
        <v/>
      </c>
      <c r="M469" s="30" t="str">
        <f t="array" ref="M469">IF($A469="", "", LET(bbgm_stat, INDEX(Players!$A468:$P468, MATCH(M$2, Players!$A$1:$P$1, 0)), perc_75, VLOOKUP(M$2, Percentiles!$A$45:$I$59, 6, FALSE), perc_90, VLOOKUP(M$2, Percentiles!$A$45:$I$59, 7, FALSE), perc_95, VLOOKUP(M$2, Percentiles!$A$45:$I$59, 8, FALSE), perc_85, perc_75 + (perc_90 - perc_75) * (2/3), converted_stat, '2K_Ratings'!M469, IF(bbgm_stat &gt;= perc_95, converted_stat * 3, IF(bbgm_stat &gt;= perc_90, converted_stat * 2, IF(bbgm_stat &gt;= perc_85, converted_stat * 1.5, converted_stat)))))</f>
        <v/>
      </c>
      <c r="N469" s="30" t="str">
        <f t="array" ref="N469">IF($A469="", "", LET(bbgm_stat, INDEX(Players!$A468:$P468, MATCH(N$2, Players!$A$1:$P$1, 0)), perc_75, VLOOKUP(N$2, Percentiles!$A$45:$I$59, 6, FALSE), perc_90, VLOOKUP(N$2, Percentiles!$A$45:$I$59, 7, FALSE), perc_95, VLOOKUP(N$2, Percentiles!$A$45:$I$59, 8, FALSE), perc_85, perc_75 + (perc_90 - perc_75) * (2/3), converted_stat, '2K_Ratings'!N469, IF(bbgm_stat &gt;= perc_95, converted_stat * 3, IF(bbgm_stat &gt;= perc_90, converted_stat * 2, IF(bbgm_stat &gt;= perc_85, converted_stat * 1.5, converted_stat)))))</f>
        <v/>
      </c>
      <c r="O469" s="30" t="str">
        <f t="array" ref="O469">IF($A469="", "", LET(bbgm_stat, INDEX(Players!$A468:$P468, MATCH(O$2, Players!$A$1:$P$1, 0)), perc_75, VLOOKUP(O$2, Percentiles!$A$45:$I$59, 6, FALSE), perc_90, VLOOKUP(O$2, Percentiles!$A$45:$I$59, 7, FALSE), perc_95, VLOOKUP(O$2, Percentiles!$A$45:$I$59, 8, FALSE), perc_85, perc_75 + (perc_90 - perc_75) * (2/3), converted_stat, '2K_Ratings'!O469, IF(bbgm_stat &gt;= perc_95, converted_stat * 3, IF(bbgm_stat &gt;= perc_90, converted_stat * 2, IF(bbgm_stat &gt;= perc_85, converted_stat * 1.5, converted_stat)))))</f>
        <v/>
      </c>
      <c r="P469" s="30" t="str">
        <f t="array" ref="P469">IF($A469="", "", LET(bbgm_stat, INDEX(Players!$A468:$P468, MATCH(P$2, Players!$A$1:$P$1, 0)), perc_75, VLOOKUP(P$2, Percentiles!$A$45:$I$59, 6, FALSE), perc_90, VLOOKUP(P$2, Percentiles!$A$45:$I$59, 7, FALSE), perc_95, VLOOKUP(P$2, Percentiles!$A$45:$I$59, 8, FALSE), perc_85, perc_75 + (perc_90 - perc_75) * (2/3), converted_stat, '2K_Ratings'!P469, IF(bbgm_stat &gt;= perc_95, converted_stat * 3, IF(bbgm_stat &gt;= perc_90, converted_stat * 2, IF(bbgm_stat &gt;= perc_85, converted_stat * 1.5, converted_stat)))))</f>
        <v/>
      </c>
      <c r="Q469" s="30" t="str">
        <f t="array" ref="Q469">IF($A469="", "", LET(bbgm_stat, INDEX(Players!$A468:$P468, MATCH(Q$2, Players!$A$1:$P$1, 0)), perc_75, VLOOKUP(Q$2, Percentiles!$A$45:$I$59, 6, FALSE), perc_90, VLOOKUP(Q$2, Percentiles!$A$45:$I$59, 7, FALSE), perc_95, VLOOKUP(Q$2, Percentiles!$A$45:$I$59, 8, FALSE), perc_85, perc_75 + (perc_90 - perc_75) * (2/3), converted_stat, '2K_Ratings'!Q469, IF(bbgm_stat &gt;= perc_95, converted_stat * 3, IF(bbgm_stat &gt;= perc_90, converted_stat * 2, IF(bbgm_stat &gt;= perc_85, converted_stat * 1.5, converted_stat)))))</f>
        <v/>
      </c>
      <c r="R469" s="30" t="str">
        <f t="array" ref="R469">IF($A469="", "", LET(bbgm_stat, INDEX(Players!$A468:$P468, MATCH(R$2, Players!$A$1:$P$1, 0)), perc_75, VLOOKUP(R$2, Percentiles!$A$45:$I$59, 6, FALSE), perc_90, VLOOKUP(R$2, Percentiles!$A$45:$I$59, 7, FALSE), perc_95, VLOOKUP(R$2, Percentiles!$A$45:$I$59, 8, FALSE), perc_85, perc_75 + (perc_90 - perc_75) * (2/3), converted_stat, '2K_Ratings'!R469, IF(bbgm_stat &gt;= perc_95, converted_stat * 3, IF(bbgm_stat &gt;= perc_90, converted_stat * 2, IF(bbgm_stat &gt;= perc_85, converted_stat * 1.5, converted_stat)))))</f>
        <v/>
      </c>
      <c r="S469" s="30" t="str">
        <f t="array" ref="S469">IF($A469="", "", LET(bbgm_stat, INDEX(Players!$A468:$P468, MATCH(S$2, Players!$A$1:$P$1, 0)), perc_75, VLOOKUP(S$2, Percentiles!$A$45:$I$59, 6, FALSE), perc_90, VLOOKUP(S$2, Percentiles!$A$45:$I$59, 7, FALSE), perc_95, VLOOKUP(S$2, Percentiles!$A$45:$I$59, 8, FALSE), perc_85, perc_75 + (perc_90 - perc_75) * (2/3), converted_stat, '2K_Ratings'!S469, IF(bbgm_stat &gt;= perc_95, converted_stat * 3, IF(bbgm_stat &gt;= perc_90, converted_stat * 2, IF(bbgm_stat &gt;= perc_85, converted_stat * 1.5, converted_stat)))))</f>
        <v/>
      </c>
      <c r="T469" s="30" t="str">
        <f t="array" ref="T469">IF($A469="", "", LET(bbgm_stat, INDEX(Players!$A468:$P468, MATCH(T$2, Players!$A$1:$P$1, 0)), perc_75, VLOOKUP(T$2, Percentiles!$A$45:$I$59, 6, FALSE), perc_90, VLOOKUP(T$2, Percentiles!$A$45:$I$59, 7, FALSE), perc_95, VLOOKUP(T$2, Percentiles!$A$45:$I$59, 8, FALSE), perc_85, perc_75 + (perc_90 - perc_75) * (2/3), converted_stat, '2K_Ratings'!T469, IF(bbgm_stat &gt;= perc_95, converted_stat * 3, IF(bbgm_stat &gt;= perc_90, converted_stat * 2, IF(bbgm_stat &gt;= perc_85, converted_stat * 1.5, converted_stat)))))</f>
        <v/>
      </c>
      <c r="U469" s="30" t="str">
        <f t="array" ref="U469">IF($A469="", "", LET(bbgm_stat, INDEX(Players!$A468:$P468, MATCH(U$2, Players!$A$1:$P$1, 0)), perc_75, VLOOKUP(U$2, Percentiles!$A$45:$I$59, 6, FALSE), perc_90, VLOOKUP(U$2, Percentiles!$A$45:$I$59, 7, FALSE), perc_95, VLOOKUP(U$2, Percentiles!$A$45:$I$59, 8, FALSE), perc_85, perc_75 + (perc_90 - perc_75) * (2/3), converted_stat, '2K_Ratings'!U469, IF(bbgm_stat &gt;= perc_95, converted_stat * 3, IF(bbgm_stat &gt;= perc_90, converted_stat * 2, IF(bbgm_stat &gt;= perc_85, converted_stat * 1.5, converted_stat)))))</f>
        <v/>
      </c>
      <c r="V469" s="30" t="str">
        <f t="array" ref="V469">IF($A469="", "", LET(bbgm_stat, INDEX(Players!$A468:$P468, MATCH(V$2, Players!$A$1:$P$1, 0)), perc_75, VLOOKUP(V$2, Percentiles!$A$45:$I$59, 6, FALSE), perc_90, VLOOKUP(V$2, Percentiles!$A$45:$I$59, 7, FALSE), perc_95, VLOOKUP(V$2, Percentiles!$A$45:$I$59, 8, FALSE), perc_85, perc_75 + (perc_90 - perc_75) * (2/3), converted_stat, '2K_Ratings'!V469, IF(bbgm_stat &gt;= perc_95, converted_stat * 3, IF(bbgm_stat &gt;= perc_90, converted_stat * 2, IF(bbgm_stat &gt;= perc_85, converted_stat * 1.5, converted_stat)))))</f>
        <v/>
      </c>
      <c r="W469" s="30" t="str">
        <f t="array" ref="W469">IF($A469="", "", LET(bbgm_stat, INDEX(Players!$A468:$P468, MATCH(W$2, Players!$A$1:$P$1, 0)), perc_75, VLOOKUP(W$2, Percentiles!$A$45:$I$59, 6, FALSE), perc_90, VLOOKUP(W$2, Percentiles!$A$45:$I$59, 7, FALSE), perc_95, VLOOKUP(W$2, Percentiles!$A$45:$I$59, 8, FALSE), perc_85, perc_75 + (perc_90 - perc_75) * (2/3), converted_stat, '2K_Ratings'!W469, IF(bbgm_stat &gt;= perc_95, converted_stat * 3, IF(bbgm_stat &gt;= perc_90, converted_stat * 2, IF(bbgm_stat &gt;= perc_85, converted_stat * 1.5, converted_stat)))))</f>
        <v/>
      </c>
    </row>
    <row r="470">
      <c r="A470" s="30"/>
      <c r="B470" s="30" t="str">
        <f t="array" ref="B470">IF($A470="", "", LET(bbgm_stat, INDEX(Players!$A469:$P469, MATCH(B$2, Players!$A$1:$P$1, 0)), perc_75, VLOOKUP(B$2, Percentiles!$A$45:$I$59, 6, FALSE), perc_90, VLOOKUP(B$2, Percentiles!$A$45:$I$59, 7, FALSE), perc_95, VLOOKUP(B$2, Percentiles!$A$45:$I$59, 8, FALSE), perc_85, perc_75 + (perc_90 - perc_75) * (2/3), converted_stat, '2K_Ratings'!B470, IF(bbgm_stat &gt;= perc_95, converted_stat * 3, IF(bbgm_stat &gt;= perc_90, converted_stat * 2, IF(bbgm_stat &gt;= perc_85, converted_stat * 1.5, converted_stat)))))</f>
        <v/>
      </c>
      <c r="C470" s="30" t="str">
        <f t="array" ref="C470">IF($A470="", "", LET(bbgm_stat, INDEX(Players!$A469:$P469, MATCH(C$2, Players!$A$1:$P$1, 0)), perc_75, VLOOKUP(C$2, Percentiles!$A$45:$I$59, 6, FALSE), perc_90, VLOOKUP(C$2, Percentiles!$A$45:$I$59, 7, FALSE), perc_95, VLOOKUP(C$2, Percentiles!$A$45:$I$59, 8, FALSE), perc_85, perc_75 + (perc_90 - perc_75) * (2/3), converted_stat, '2K_Ratings'!C470, IF(bbgm_stat &gt;= perc_95, converted_stat * 3, IF(bbgm_stat &gt;= perc_90, converted_stat * 2, IF(bbgm_stat &gt;= perc_85, converted_stat * 1.5, converted_stat)))))</f>
        <v/>
      </c>
      <c r="D470" s="30" t="str">
        <f t="array" ref="D470">IF($A470="", "", LET(bbgm_stat, INDEX(Players!$A469:$P469, MATCH(D$2, Players!$A$1:$P$1, 0)), perc_75, VLOOKUP(D$2, Percentiles!$A$45:$I$59, 6, FALSE), perc_90, VLOOKUP(D$2, Percentiles!$A$45:$I$59, 7, FALSE), perc_95, VLOOKUP(D$2, Percentiles!$A$45:$I$59, 8, FALSE), perc_85, perc_75 + (perc_90 - perc_75) * (2/3), converted_stat, '2K_Ratings'!D470, IF(bbgm_stat &gt;= perc_95, converted_stat * 3, IF(bbgm_stat &gt;= perc_90, converted_stat * 2, IF(bbgm_stat &gt;= perc_85, converted_stat * 1.5, converted_stat)))))</f>
        <v/>
      </c>
      <c r="E470" s="30" t="str">
        <f t="array" ref="E470">IF($A470="", "", LET(bbgm_stat, INDEX(Players!$A469:$P469, MATCH(E$2, Players!$A$1:$P$1, 0)), perc_75, VLOOKUP(E$2, Percentiles!$A$45:$I$59, 6, FALSE), perc_90, VLOOKUP(E$2, Percentiles!$A$45:$I$59, 7, FALSE), perc_95, VLOOKUP(E$2, Percentiles!$A$45:$I$59, 8, FALSE), perc_85, perc_75 + (perc_90 - perc_75) * (2/3), converted_stat, '2K_Ratings'!E470, IF(bbgm_stat &gt;= perc_95, converted_stat * 3, IF(bbgm_stat &gt;= perc_90, converted_stat * 2, IF(bbgm_stat &gt;= perc_85, converted_stat * 1.5, converted_stat)))))</f>
        <v/>
      </c>
      <c r="F470" s="30" t="str">
        <f t="array" ref="F470">IF($A470="", "", LET(bbgm_stat, INDEX(Players!$A469:$P469, MATCH(F$2, Players!$A$1:$P$1, 0)), perc_75, VLOOKUP(F$2, Percentiles!$A$45:$I$59, 6, FALSE), perc_90, VLOOKUP(F$2, Percentiles!$A$45:$I$59, 7, FALSE), perc_95, VLOOKUP(F$2, Percentiles!$A$45:$I$59, 8, FALSE), perc_85, perc_75 + (perc_90 - perc_75) * (2/3), converted_stat, '2K_Ratings'!F470, IF(bbgm_stat &gt;= perc_95, converted_stat * 3, IF(bbgm_stat &gt;= perc_90, converted_stat * 2, IF(bbgm_stat &gt;= perc_85, converted_stat * 1.5, converted_stat)))))</f>
        <v/>
      </c>
      <c r="G470" s="30" t="str">
        <f t="array" ref="G470">IF($A470="", "", LET(bbgm_stat, INDEX(Players!$A469:$P469, MATCH(G$2, Players!$A$1:$P$1, 0)), perc_75, VLOOKUP(G$2, Percentiles!$A$45:$I$59, 6, FALSE), perc_90, VLOOKUP(G$2, Percentiles!$A$45:$I$59, 7, FALSE), perc_95, VLOOKUP(G$2, Percentiles!$A$45:$I$59, 8, FALSE), perc_85, perc_75 + (perc_90 - perc_75) * (2/3), converted_stat, '2K_Ratings'!G470, IF(bbgm_stat &gt;= perc_95, converted_stat * 3, IF(bbgm_stat &gt;= perc_90, converted_stat * 2, IF(bbgm_stat &gt;= perc_85, converted_stat * 1.5, converted_stat)))))</f>
        <v/>
      </c>
      <c r="H470" s="30" t="str">
        <f t="array" ref="H470">IF($A470="", "", LET(bbgm_stat, INDEX(Players!$A469:$P469, MATCH(H$2, Players!$A$1:$P$1, 0)), perc_75, VLOOKUP(H$2, Percentiles!$A$45:$I$59, 6, FALSE), perc_90, VLOOKUP(H$2, Percentiles!$A$45:$I$59, 7, FALSE), perc_95, VLOOKUP(H$2, Percentiles!$A$45:$I$59, 8, FALSE), perc_85, perc_75 + (perc_90 - perc_75) * (2/3), converted_stat, '2K_Ratings'!H470, IF(bbgm_stat &gt;= perc_95, converted_stat * 3, IF(bbgm_stat &gt;= perc_90, converted_stat * 2, IF(bbgm_stat &gt;= perc_85, converted_stat * 1.5, converted_stat)))))</f>
        <v/>
      </c>
      <c r="I470" s="30" t="str">
        <f t="array" ref="I470">IF($A470="", "", LET(bbgm_stat, INDEX(Players!$A469:$P469, MATCH(I$2, Players!$A$1:$P$1, 0)), perc_75, VLOOKUP(I$2, Percentiles!$A$45:$I$59, 6, FALSE), perc_90, VLOOKUP(I$2, Percentiles!$A$45:$I$59, 7, FALSE), perc_95, VLOOKUP(I$2, Percentiles!$A$45:$I$59, 8, FALSE), perc_85, perc_75 + (perc_90 - perc_75) * (2/3), converted_stat, '2K_Ratings'!I470, IF(bbgm_stat &gt;= perc_95, converted_stat * 3, IF(bbgm_stat &gt;= perc_90, converted_stat * 2, IF(bbgm_stat &gt;= perc_85, converted_stat * 1.5, converted_stat)))))</f>
        <v/>
      </c>
      <c r="J470" s="30" t="str">
        <f t="array" ref="J470">IF($A470="", "", LET(bbgm_stat, INDEX(Players!$A469:$P469, MATCH(J$2, Players!$A$1:$P$1, 0)), perc_75, VLOOKUP(J$2, Percentiles!$A$45:$I$59, 6, FALSE), perc_90, VLOOKUP(J$2, Percentiles!$A$45:$I$59, 7, FALSE), perc_95, VLOOKUP(J$2, Percentiles!$A$45:$I$59, 8, FALSE), perc_85, perc_75 + (perc_90 - perc_75) * (2/3), converted_stat, '2K_Ratings'!J470, IF(bbgm_stat &gt;= perc_95, converted_stat * 3, IF(bbgm_stat &gt;= perc_90, converted_stat * 2, IF(bbgm_stat &gt;= perc_85, converted_stat * 1.5, converted_stat)))))</f>
        <v/>
      </c>
      <c r="K470" s="30" t="str">
        <f t="array" ref="K470">IF($A470="", "", LET(bbgm_stat, INDEX(Players!$A469:$P469, MATCH(K$2, Players!$A$1:$P$1, 0)), perc_75, VLOOKUP(K$2, Percentiles!$A$45:$I$59, 6, FALSE), perc_90, VLOOKUP(K$2, Percentiles!$A$45:$I$59, 7, FALSE), perc_95, VLOOKUP(K$2, Percentiles!$A$45:$I$59, 8, FALSE), perc_85, perc_75 + (perc_90 - perc_75) * (2/3), converted_stat, '2K_Ratings'!K470, IF(bbgm_stat &gt;= perc_95, converted_stat * 3, IF(bbgm_stat &gt;= perc_90, converted_stat * 2, IF(bbgm_stat &gt;= perc_85, converted_stat * 1.5, converted_stat)))))</f>
        <v/>
      </c>
      <c r="L470" s="30" t="str">
        <f t="array" ref="L470">IF($A470="", "", LET(bbgm_stat, INDEX(Players!$A469:$P469, MATCH(L$2, Players!$A$1:$P$1, 0)), perc_75, VLOOKUP(L$2, Percentiles!$A$45:$I$59, 6, FALSE), perc_90, VLOOKUP(L$2, Percentiles!$A$45:$I$59, 7, FALSE), perc_95, VLOOKUP(L$2, Percentiles!$A$45:$I$59, 8, FALSE), perc_85, perc_75 + (perc_90 - perc_75) * (2/3), converted_stat, '2K_Ratings'!L470, IF(bbgm_stat &gt;= perc_95, converted_stat * 3, IF(bbgm_stat &gt;= perc_90, converted_stat * 2, IF(bbgm_stat &gt;= perc_85, converted_stat * 1.5, converted_stat)))))</f>
        <v/>
      </c>
      <c r="M470" s="30" t="str">
        <f t="array" ref="M470">IF($A470="", "", LET(bbgm_stat, INDEX(Players!$A469:$P469, MATCH(M$2, Players!$A$1:$P$1, 0)), perc_75, VLOOKUP(M$2, Percentiles!$A$45:$I$59, 6, FALSE), perc_90, VLOOKUP(M$2, Percentiles!$A$45:$I$59, 7, FALSE), perc_95, VLOOKUP(M$2, Percentiles!$A$45:$I$59, 8, FALSE), perc_85, perc_75 + (perc_90 - perc_75) * (2/3), converted_stat, '2K_Ratings'!M470, IF(bbgm_stat &gt;= perc_95, converted_stat * 3, IF(bbgm_stat &gt;= perc_90, converted_stat * 2, IF(bbgm_stat &gt;= perc_85, converted_stat * 1.5, converted_stat)))))</f>
        <v/>
      </c>
      <c r="N470" s="30" t="str">
        <f t="array" ref="N470">IF($A470="", "", LET(bbgm_stat, INDEX(Players!$A469:$P469, MATCH(N$2, Players!$A$1:$P$1, 0)), perc_75, VLOOKUP(N$2, Percentiles!$A$45:$I$59, 6, FALSE), perc_90, VLOOKUP(N$2, Percentiles!$A$45:$I$59, 7, FALSE), perc_95, VLOOKUP(N$2, Percentiles!$A$45:$I$59, 8, FALSE), perc_85, perc_75 + (perc_90 - perc_75) * (2/3), converted_stat, '2K_Ratings'!N470, IF(bbgm_stat &gt;= perc_95, converted_stat * 3, IF(bbgm_stat &gt;= perc_90, converted_stat * 2, IF(bbgm_stat &gt;= perc_85, converted_stat * 1.5, converted_stat)))))</f>
        <v/>
      </c>
      <c r="O470" s="30" t="str">
        <f t="array" ref="O470">IF($A470="", "", LET(bbgm_stat, INDEX(Players!$A469:$P469, MATCH(O$2, Players!$A$1:$P$1, 0)), perc_75, VLOOKUP(O$2, Percentiles!$A$45:$I$59, 6, FALSE), perc_90, VLOOKUP(O$2, Percentiles!$A$45:$I$59, 7, FALSE), perc_95, VLOOKUP(O$2, Percentiles!$A$45:$I$59, 8, FALSE), perc_85, perc_75 + (perc_90 - perc_75) * (2/3), converted_stat, '2K_Ratings'!O470, IF(bbgm_stat &gt;= perc_95, converted_stat * 3, IF(bbgm_stat &gt;= perc_90, converted_stat * 2, IF(bbgm_stat &gt;= perc_85, converted_stat * 1.5, converted_stat)))))</f>
        <v/>
      </c>
      <c r="P470" s="30" t="str">
        <f t="array" ref="P470">IF($A470="", "", LET(bbgm_stat, INDEX(Players!$A469:$P469, MATCH(P$2, Players!$A$1:$P$1, 0)), perc_75, VLOOKUP(P$2, Percentiles!$A$45:$I$59, 6, FALSE), perc_90, VLOOKUP(P$2, Percentiles!$A$45:$I$59, 7, FALSE), perc_95, VLOOKUP(P$2, Percentiles!$A$45:$I$59, 8, FALSE), perc_85, perc_75 + (perc_90 - perc_75) * (2/3), converted_stat, '2K_Ratings'!P470, IF(bbgm_stat &gt;= perc_95, converted_stat * 3, IF(bbgm_stat &gt;= perc_90, converted_stat * 2, IF(bbgm_stat &gt;= perc_85, converted_stat * 1.5, converted_stat)))))</f>
        <v/>
      </c>
      <c r="Q470" s="30" t="str">
        <f t="array" ref="Q470">IF($A470="", "", LET(bbgm_stat, INDEX(Players!$A469:$P469, MATCH(Q$2, Players!$A$1:$P$1, 0)), perc_75, VLOOKUP(Q$2, Percentiles!$A$45:$I$59, 6, FALSE), perc_90, VLOOKUP(Q$2, Percentiles!$A$45:$I$59, 7, FALSE), perc_95, VLOOKUP(Q$2, Percentiles!$A$45:$I$59, 8, FALSE), perc_85, perc_75 + (perc_90 - perc_75) * (2/3), converted_stat, '2K_Ratings'!Q470, IF(bbgm_stat &gt;= perc_95, converted_stat * 3, IF(bbgm_stat &gt;= perc_90, converted_stat * 2, IF(bbgm_stat &gt;= perc_85, converted_stat * 1.5, converted_stat)))))</f>
        <v/>
      </c>
      <c r="R470" s="30" t="str">
        <f t="array" ref="R470">IF($A470="", "", LET(bbgm_stat, INDEX(Players!$A469:$P469, MATCH(R$2, Players!$A$1:$P$1, 0)), perc_75, VLOOKUP(R$2, Percentiles!$A$45:$I$59, 6, FALSE), perc_90, VLOOKUP(R$2, Percentiles!$A$45:$I$59, 7, FALSE), perc_95, VLOOKUP(R$2, Percentiles!$A$45:$I$59, 8, FALSE), perc_85, perc_75 + (perc_90 - perc_75) * (2/3), converted_stat, '2K_Ratings'!R470, IF(bbgm_stat &gt;= perc_95, converted_stat * 3, IF(bbgm_stat &gt;= perc_90, converted_stat * 2, IF(bbgm_stat &gt;= perc_85, converted_stat * 1.5, converted_stat)))))</f>
        <v/>
      </c>
      <c r="S470" s="30" t="str">
        <f t="array" ref="S470">IF($A470="", "", LET(bbgm_stat, INDEX(Players!$A469:$P469, MATCH(S$2, Players!$A$1:$P$1, 0)), perc_75, VLOOKUP(S$2, Percentiles!$A$45:$I$59, 6, FALSE), perc_90, VLOOKUP(S$2, Percentiles!$A$45:$I$59, 7, FALSE), perc_95, VLOOKUP(S$2, Percentiles!$A$45:$I$59, 8, FALSE), perc_85, perc_75 + (perc_90 - perc_75) * (2/3), converted_stat, '2K_Ratings'!S470, IF(bbgm_stat &gt;= perc_95, converted_stat * 3, IF(bbgm_stat &gt;= perc_90, converted_stat * 2, IF(bbgm_stat &gt;= perc_85, converted_stat * 1.5, converted_stat)))))</f>
        <v/>
      </c>
      <c r="T470" s="30" t="str">
        <f t="array" ref="T470">IF($A470="", "", LET(bbgm_stat, INDEX(Players!$A469:$P469, MATCH(T$2, Players!$A$1:$P$1, 0)), perc_75, VLOOKUP(T$2, Percentiles!$A$45:$I$59, 6, FALSE), perc_90, VLOOKUP(T$2, Percentiles!$A$45:$I$59, 7, FALSE), perc_95, VLOOKUP(T$2, Percentiles!$A$45:$I$59, 8, FALSE), perc_85, perc_75 + (perc_90 - perc_75) * (2/3), converted_stat, '2K_Ratings'!T470, IF(bbgm_stat &gt;= perc_95, converted_stat * 3, IF(bbgm_stat &gt;= perc_90, converted_stat * 2, IF(bbgm_stat &gt;= perc_85, converted_stat * 1.5, converted_stat)))))</f>
        <v/>
      </c>
      <c r="U470" s="30" t="str">
        <f t="array" ref="U470">IF($A470="", "", LET(bbgm_stat, INDEX(Players!$A469:$P469, MATCH(U$2, Players!$A$1:$P$1, 0)), perc_75, VLOOKUP(U$2, Percentiles!$A$45:$I$59, 6, FALSE), perc_90, VLOOKUP(U$2, Percentiles!$A$45:$I$59, 7, FALSE), perc_95, VLOOKUP(U$2, Percentiles!$A$45:$I$59, 8, FALSE), perc_85, perc_75 + (perc_90 - perc_75) * (2/3), converted_stat, '2K_Ratings'!U470, IF(bbgm_stat &gt;= perc_95, converted_stat * 3, IF(bbgm_stat &gt;= perc_90, converted_stat * 2, IF(bbgm_stat &gt;= perc_85, converted_stat * 1.5, converted_stat)))))</f>
        <v/>
      </c>
      <c r="V470" s="30" t="str">
        <f t="array" ref="V470">IF($A470="", "", LET(bbgm_stat, INDEX(Players!$A469:$P469, MATCH(V$2, Players!$A$1:$P$1, 0)), perc_75, VLOOKUP(V$2, Percentiles!$A$45:$I$59, 6, FALSE), perc_90, VLOOKUP(V$2, Percentiles!$A$45:$I$59, 7, FALSE), perc_95, VLOOKUP(V$2, Percentiles!$A$45:$I$59, 8, FALSE), perc_85, perc_75 + (perc_90 - perc_75) * (2/3), converted_stat, '2K_Ratings'!V470, IF(bbgm_stat &gt;= perc_95, converted_stat * 3, IF(bbgm_stat &gt;= perc_90, converted_stat * 2, IF(bbgm_stat &gt;= perc_85, converted_stat * 1.5, converted_stat)))))</f>
        <v/>
      </c>
      <c r="W470" s="30" t="str">
        <f t="array" ref="W470">IF($A470="", "", LET(bbgm_stat, INDEX(Players!$A469:$P469, MATCH(W$2, Players!$A$1:$P$1, 0)), perc_75, VLOOKUP(W$2, Percentiles!$A$45:$I$59, 6, FALSE), perc_90, VLOOKUP(W$2, Percentiles!$A$45:$I$59, 7, FALSE), perc_95, VLOOKUP(W$2, Percentiles!$A$45:$I$59, 8, FALSE), perc_85, perc_75 + (perc_90 - perc_75) * (2/3), converted_stat, '2K_Ratings'!W470, IF(bbgm_stat &gt;= perc_95, converted_stat * 3, IF(bbgm_stat &gt;= perc_90, converted_stat * 2, IF(bbgm_stat &gt;= perc_85, converted_stat * 1.5, converted_stat)))))</f>
        <v/>
      </c>
    </row>
    <row r="471">
      <c r="A471" s="30"/>
      <c r="B471" s="30" t="str">
        <f t="array" ref="B471">IF($A471="", "", LET(bbgm_stat, INDEX(Players!$A470:$P470, MATCH(B$2, Players!$A$1:$P$1, 0)), perc_75, VLOOKUP(B$2, Percentiles!$A$45:$I$59, 6, FALSE), perc_90, VLOOKUP(B$2, Percentiles!$A$45:$I$59, 7, FALSE), perc_95, VLOOKUP(B$2, Percentiles!$A$45:$I$59, 8, FALSE), perc_85, perc_75 + (perc_90 - perc_75) * (2/3), converted_stat, '2K_Ratings'!B471, IF(bbgm_stat &gt;= perc_95, converted_stat * 3, IF(bbgm_stat &gt;= perc_90, converted_stat * 2, IF(bbgm_stat &gt;= perc_85, converted_stat * 1.5, converted_stat)))))</f>
        <v/>
      </c>
      <c r="C471" s="30" t="str">
        <f t="array" ref="C471">IF($A471="", "", LET(bbgm_stat, INDEX(Players!$A470:$P470, MATCH(C$2, Players!$A$1:$P$1, 0)), perc_75, VLOOKUP(C$2, Percentiles!$A$45:$I$59, 6, FALSE), perc_90, VLOOKUP(C$2, Percentiles!$A$45:$I$59, 7, FALSE), perc_95, VLOOKUP(C$2, Percentiles!$A$45:$I$59, 8, FALSE), perc_85, perc_75 + (perc_90 - perc_75) * (2/3), converted_stat, '2K_Ratings'!C471, IF(bbgm_stat &gt;= perc_95, converted_stat * 3, IF(bbgm_stat &gt;= perc_90, converted_stat * 2, IF(bbgm_stat &gt;= perc_85, converted_stat * 1.5, converted_stat)))))</f>
        <v/>
      </c>
      <c r="D471" s="30" t="str">
        <f t="array" ref="D471">IF($A471="", "", LET(bbgm_stat, INDEX(Players!$A470:$P470, MATCH(D$2, Players!$A$1:$P$1, 0)), perc_75, VLOOKUP(D$2, Percentiles!$A$45:$I$59, 6, FALSE), perc_90, VLOOKUP(D$2, Percentiles!$A$45:$I$59, 7, FALSE), perc_95, VLOOKUP(D$2, Percentiles!$A$45:$I$59, 8, FALSE), perc_85, perc_75 + (perc_90 - perc_75) * (2/3), converted_stat, '2K_Ratings'!D471, IF(bbgm_stat &gt;= perc_95, converted_stat * 3, IF(bbgm_stat &gt;= perc_90, converted_stat * 2, IF(bbgm_stat &gt;= perc_85, converted_stat * 1.5, converted_stat)))))</f>
        <v/>
      </c>
      <c r="E471" s="30" t="str">
        <f t="array" ref="E471">IF($A471="", "", LET(bbgm_stat, INDEX(Players!$A470:$P470, MATCH(E$2, Players!$A$1:$P$1, 0)), perc_75, VLOOKUP(E$2, Percentiles!$A$45:$I$59, 6, FALSE), perc_90, VLOOKUP(E$2, Percentiles!$A$45:$I$59, 7, FALSE), perc_95, VLOOKUP(E$2, Percentiles!$A$45:$I$59, 8, FALSE), perc_85, perc_75 + (perc_90 - perc_75) * (2/3), converted_stat, '2K_Ratings'!E471, IF(bbgm_stat &gt;= perc_95, converted_stat * 3, IF(bbgm_stat &gt;= perc_90, converted_stat * 2, IF(bbgm_stat &gt;= perc_85, converted_stat * 1.5, converted_stat)))))</f>
        <v/>
      </c>
      <c r="F471" s="30" t="str">
        <f t="array" ref="F471">IF($A471="", "", LET(bbgm_stat, INDEX(Players!$A470:$P470, MATCH(F$2, Players!$A$1:$P$1, 0)), perc_75, VLOOKUP(F$2, Percentiles!$A$45:$I$59, 6, FALSE), perc_90, VLOOKUP(F$2, Percentiles!$A$45:$I$59, 7, FALSE), perc_95, VLOOKUP(F$2, Percentiles!$A$45:$I$59, 8, FALSE), perc_85, perc_75 + (perc_90 - perc_75) * (2/3), converted_stat, '2K_Ratings'!F471, IF(bbgm_stat &gt;= perc_95, converted_stat * 3, IF(bbgm_stat &gt;= perc_90, converted_stat * 2, IF(bbgm_stat &gt;= perc_85, converted_stat * 1.5, converted_stat)))))</f>
        <v/>
      </c>
      <c r="G471" s="30" t="str">
        <f t="array" ref="G471">IF($A471="", "", LET(bbgm_stat, INDEX(Players!$A470:$P470, MATCH(G$2, Players!$A$1:$P$1, 0)), perc_75, VLOOKUP(G$2, Percentiles!$A$45:$I$59, 6, FALSE), perc_90, VLOOKUP(G$2, Percentiles!$A$45:$I$59, 7, FALSE), perc_95, VLOOKUP(G$2, Percentiles!$A$45:$I$59, 8, FALSE), perc_85, perc_75 + (perc_90 - perc_75) * (2/3), converted_stat, '2K_Ratings'!G471, IF(bbgm_stat &gt;= perc_95, converted_stat * 3, IF(bbgm_stat &gt;= perc_90, converted_stat * 2, IF(bbgm_stat &gt;= perc_85, converted_stat * 1.5, converted_stat)))))</f>
        <v/>
      </c>
      <c r="H471" s="30" t="str">
        <f t="array" ref="H471">IF($A471="", "", LET(bbgm_stat, INDEX(Players!$A470:$P470, MATCH(H$2, Players!$A$1:$P$1, 0)), perc_75, VLOOKUP(H$2, Percentiles!$A$45:$I$59, 6, FALSE), perc_90, VLOOKUP(H$2, Percentiles!$A$45:$I$59, 7, FALSE), perc_95, VLOOKUP(H$2, Percentiles!$A$45:$I$59, 8, FALSE), perc_85, perc_75 + (perc_90 - perc_75) * (2/3), converted_stat, '2K_Ratings'!H471, IF(bbgm_stat &gt;= perc_95, converted_stat * 3, IF(bbgm_stat &gt;= perc_90, converted_stat * 2, IF(bbgm_stat &gt;= perc_85, converted_stat * 1.5, converted_stat)))))</f>
        <v/>
      </c>
      <c r="I471" s="30" t="str">
        <f t="array" ref="I471">IF($A471="", "", LET(bbgm_stat, INDEX(Players!$A470:$P470, MATCH(I$2, Players!$A$1:$P$1, 0)), perc_75, VLOOKUP(I$2, Percentiles!$A$45:$I$59, 6, FALSE), perc_90, VLOOKUP(I$2, Percentiles!$A$45:$I$59, 7, FALSE), perc_95, VLOOKUP(I$2, Percentiles!$A$45:$I$59, 8, FALSE), perc_85, perc_75 + (perc_90 - perc_75) * (2/3), converted_stat, '2K_Ratings'!I471, IF(bbgm_stat &gt;= perc_95, converted_stat * 3, IF(bbgm_stat &gt;= perc_90, converted_stat * 2, IF(bbgm_stat &gt;= perc_85, converted_stat * 1.5, converted_stat)))))</f>
        <v/>
      </c>
      <c r="J471" s="30" t="str">
        <f t="array" ref="J471">IF($A471="", "", LET(bbgm_stat, INDEX(Players!$A470:$P470, MATCH(J$2, Players!$A$1:$P$1, 0)), perc_75, VLOOKUP(J$2, Percentiles!$A$45:$I$59, 6, FALSE), perc_90, VLOOKUP(J$2, Percentiles!$A$45:$I$59, 7, FALSE), perc_95, VLOOKUP(J$2, Percentiles!$A$45:$I$59, 8, FALSE), perc_85, perc_75 + (perc_90 - perc_75) * (2/3), converted_stat, '2K_Ratings'!J471, IF(bbgm_stat &gt;= perc_95, converted_stat * 3, IF(bbgm_stat &gt;= perc_90, converted_stat * 2, IF(bbgm_stat &gt;= perc_85, converted_stat * 1.5, converted_stat)))))</f>
        <v/>
      </c>
      <c r="K471" s="30" t="str">
        <f t="array" ref="K471">IF($A471="", "", LET(bbgm_stat, INDEX(Players!$A470:$P470, MATCH(K$2, Players!$A$1:$P$1, 0)), perc_75, VLOOKUP(K$2, Percentiles!$A$45:$I$59, 6, FALSE), perc_90, VLOOKUP(K$2, Percentiles!$A$45:$I$59, 7, FALSE), perc_95, VLOOKUP(K$2, Percentiles!$A$45:$I$59, 8, FALSE), perc_85, perc_75 + (perc_90 - perc_75) * (2/3), converted_stat, '2K_Ratings'!K471, IF(bbgm_stat &gt;= perc_95, converted_stat * 3, IF(bbgm_stat &gt;= perc_90, converted_stat * 2, IF(bbgm_stat &gt;= perc_85, converted_stat * 1.5, converted_stat)))))</f>
        <v/>
      </c>
      <c r="L471" s="30" t="str">
        <f t="array" ref="L471">IF($A471="", "", LET(bbgm_stat, INDEX(Players!$A470:$P470, MATCH(L$2, Players!$A$1:$P$1, 0)), perc_75, VLOOKUP(L$2, Percentiles!$A$45:$I$59, 6, FALSE), perc_90, VLOOKUP(L$2, Percentiles!$A$45:$I$59, 7, FALSE), perc_95, VLOOKUP(L$2, Percentiles!$A$45:$I$59, 8, FALSE), perc_85, perc_75 + (perc_90 - perc_75) * (2/3), converted_stat, '2K_Ratings'!L471, IF(bbgm_stat &gt;= perc_95, converted_stat * 3, IF(bbgm_stat &gt;= perc_90, converted_stat * 2, IF(bbgm_stat &gt;= perc_85, converted_stat * 1.5, converted_stat)))))</f>
        <v/>
      </c>
      <c r="M471" s="30" t="str">
        <f t="array" ref="M471">IF($A471="", "", LET(bbgm_stat, INDEX(Players!$A470:$P470, MATCH(M$2, Players!$A$1:$P$1, 0)), perc_75, VLOOKUP(M$2, Percentiles!$A$45:$I$59, 6, FALSE), perc_90, VLOOKUP(M$2, Percentiles!$A$45:$I$59, 7, FALSE), perc_95, VLOOKUP(M$2, Percentiles!$A$45:$I$59, 8, FALSE), perc_85, perc_75 + (perc_90 - perc_75) * (2/3), converted_stat, '2K_Ratings'!M471, IF(bbgm_stat &gt;= perc_95, converted_stat * 3, IF(bbgm_stat &gt;= perc_90, converted_stat * 2, IF(bbgm_stat &gt;= perc_85, converted_stat * 1.5, converted_stat)))))</f>
        <v/>
      </c>
      <c r="N471" s="30" t="str">
        <f t="array" ref="N471">IF($A471="", "", LET(bbgm_stat, INDEX(Players!$A470:$P470, MATCH(N$2, Players!$A$1:$P$1, 0)), perc_75, VLOOKUP(N$2, Percentiles!$A$45:$I$59, 6, FALSE), perc_90, VLOOKUP(N$2, Percentiles!$A$45:$I$59, 7, FALSE), perc_95, VLOOKUP(N$2, Percentiles!$A$45:$I$59, 8, FALSE), perc_85, perc_75 + (perc_90 - perc_75) * (2/3), converted_stat, '2K_Ratings'!N471, IF(bbgm_stat &gt;= perc_95, converted_stat * 3, IF(bbgm_stat &gt;= perc_90, converted_stat * 2, IF(bbgm_stat &gt;= perc_85, converted_stat * 1.5, converted_stat)))))</f>
        <v/>
      </c>
      <c r="O471" s="30" t="str">
        <f t="array" ref="O471">IF($A471="", "", LET(bbgm_stat, INDEX(Players!$A470:$P470, MATCH(O$2, Players!$A$1:$P$1, 0)), perc_75, VLOOKUP(O$2, Percentiles!$A$45:$I$59, 6, FALSE), perc_90, VLOOKUP(O$2, Percentiles!$A$45:$I$59, 7, FALSE), perc_95, VLOOKUP(O$2, Percentiles!$A$45:$I$59, 8, FALSE), perc_85, perc_75 + (perc_90 - perc_75) * (2/3), converted_stat, '2K_Ratings'!O471, IF(bbgm_stat &gt;= perc_95, converted_stat * 3, IF(bbgm_stat &gt;= perc_90, converted_stat * 2, IF(bbgm_stat &gt;= perc_85, converted_stat * 1.5, converted_stat)))))</f>
        <v/>
      </c>
      <c r="P471" s="30" t="str">
        <f t="array" ref="P471">IF($A471="", "", LET(bbgm_stat, INDEX(Players!$A470:$P470, MATCH(P$2, Players!$A$1:$P$1, 0)), perc_75, VLOOKUP(P$2, Percentiles!$A$45:$I$59, 6, FALSE), perc_90, VLOOKUP(P$2, Percentiles!$A$45:$I$59, 7, FALSE), perc_95, VLOOKUP(P$2, Percentiles!$A$45:$I$59, 8, FALSE), perc_85, perc_75 + (perc_90 - perc_75) * (2/3), converted_stat, '2K_Ratings'!P471, IF(bbgm_stat &gt;= perc_95, converted_stat * 3, IF(bbgm_stat &gt;= perc_90, converted_stat * 2, IF(bbgm_stat &gt;= perc_85, converted_stat * 1.5, converted_stat)))))</f>
        <v/>
      </c>
      <c r="Q471" s="30" t="str">
        <f t="array" ref="Q471">IF($A471="", "", LET(bbgm_stat, INDEX(Players!$A470:$P470, MATCH(Q$2, Players!$A$1:$P$1, 0)), perc_75, VLOOKUP(Q$2, Percentiles!$A$45:$I$59, 6, FALSE), perc_90, VLOOKUP(Q$2, Percentiles!$A$45:$I$59, 7, FALSE), perc_95, VLOOKUP(Q$2, Percentiles!$A$45:$I$59, 8, FALSE), perc_85, perc_75 + (perc_90 - perc_75) * (2/3), converted_stat, '2K_Ratings'!Q471, IF(bbgm_stat &gt;= perc_95, converted_stat * 3, IF(bbgm_stat &gt;= perc_90, converted_stat * 2, IF(bbgm_stat &gt;= perc_85, converted_stat * 1.5, converted_stat)))))</f>
        <v/>
      </c>
      <c r="R471" s="30" t="str">
        <f t="array" ref="R471">IF($A471="", "", LET(bbgm_stat, INDEX(Players!$A470:$P470, MATCH(R$2, Players!$A$1:$P$1, 0)), perc_75, VLOOKUP(R$2, Percentiles!$A$45:$I$59, 6, FALSE), perc_90, VLOOKUP(R$2, Percentiles!$A$45:$I$59, 7, FALSE), perc_95, VLOOKUP(R$2, Percentiles!$A$45:$I$59, 8, FALSE), perc_85, perc_75 + (perc_90 - perc_75) * (2/3), converted_stat, '2K_Ratings'!R471, IF(bbgm_stat &gt;= perc_95, converted_stat * 3, IF(bbgm_stat &gt;= perc_90, converted_stat * 2, IF(bbgm_stat &gt;= perc_85, converted_stat * 1.5, converted_stat)))))</f>
        <v/>
      </c>
      <c r="S471" s="30" t="str">
        <f t="array" ref="S471">IF($A471="", "", LET(bbgm_stat, INDEX(Players!$A470:$P470, MATCH(S$2, Players!$A$1:$P$1, 0)), perc_75, VLOOKUP(S$2, Percentiles!$A$45:$I$59, 6, FALSE), perc_90, VLOOKUP(S$2, Percentiles!$A$45:$I$59, 7, FALSE), perc_95, VLOOKUP(S$2, Percentiles!$A$45:$I$59, 8, FALSE), perc_85, perc_75 + (perc_90 - perc_75) * (2/3), converted_stat, '2K_Ratings'!S471, IF(bbgm_stat &gt;= perc_95, converted_stat * 3, IF(bbgm_stat &gt;= perc_90, converted_stat * 2, IF(bbgm_stat &gt;= perc_85, converted_stat * 1.5, converted_stat)))))</f>
        <v/>
      </c>
      <c r="T471" s="30" t="str">
        <f t="array" ref="T471">IF($A471="", "", LET(bbgm_stat, INDEX(Players!$A470:$P470, MATCH(T$2, Players!$A$1:$P$1, 0)), perc_75, VLOOKUP(T$2, Percentiles!$A$45:$I$59, 6, FALSE), perc_90, VLOOKUP(T$2, Percentiles!$A$45:$I$59, 7, FALSE), perc_95, VLOOKUP(T$2, Percentiles!$A$45:$I$59, 8, FALSE), perc_85, perc_75 + (perc_90 - perc_75) * (2/3), converted_stat, '2K_Ratings'!T471, IF(bbgm_stat &gt;= perc_95, converted_stat * 3, IF(bbgm_stat &gt;= perc_90, converted_stat * 2, IF(bbgm_stat &gt;= perc_85, converted_stat * 1.5, converted_stat)))))</f>
        <v/>
      </c>
      <c r="U471" s="30" t="str">
        <f t="array" ref="U471">IF($A471="", "", LET(bbgm_stat, INDEX(Players!$A470:$P470, MATCH(U$2, Players!$A$1:$P$1, 0)), perc_75, VLOOKUP(U$2, Percentiles!$A$45:$I$59, 6, FALSE), perc_90, VLOOKUP(U$2, Percentiles!$A$45:$I$59, 7, FALSE), perc_95, VLOOKUP(U$2, Percentiles!$A$45:$I$59, 8, FALSE), perc_85, perc_75 + (perc_90 - perc_75) * (2/3), converted_stat, '2K_Ratings'!U471, IF(bbgm_stat &gt;= perc_95, converted_stat * 3, IF(bbgm_stat &gt;= perc_90, converted_stat * 2, IF(bbgm_stat &gt;= perc_85, converted_stat * 1.5, converted_stat)))))</f>
        <v/>
      </c>
      <c r="V471" s="30" t="str">
        <f t="array" ref="V471">IF($A471="", "", LET(bbgm_stat, INDEX(Players!$A470:$P470, MATCH(V$2, Players!$A$1:$P$1, 0)), perc_75, VLOOKUP(V$2, Percentiles!$A$45:$I$59, 6, FALSE), perc_90, VLOOKUP(V$2, Percentiles!$A$45:$I$59, 7, FALSE), perc_95, VLOOKUP(V$2, Percentiles!$A$45:$I$59, 8, FALSE), perc_85, perc_75 + (perc_90 - perc_75) * (2/3), converted_stat, '2K_Ratings'!V471, IF(bbgm_stat &gt;= perc_95, converted_stat * 3, IF(bbgm_stat &gt;= perc_90, converted_stat * 2, IF(bbgm_stat &gt;= perc_85, converted_stat * 1.5, converted_stat)))))</f>
        <v/>
      </c>
      <c r="W471" s="30" t="str">
        <f t="array" ref="W471">IF($A471="", "", LET(bbgm_stat, INDEX(Players!$A470:$P470, MATCH(W$2, Players!$A$1:$P$1, 0)), perc_75, VLOOKUP(W$2, Percentiles!$A$45:$I$59, 6, FALSE), perc_90, VLOOKUP(W$2, Percentiles!$A$45:$I$59, 7, FALSE), perc_95, VLOOKUP(W$2, Percentiles!$A$45:$I$59, 8, FALSE), perc_85, perc_75 + (perc_90 - perc_75) * (2/3), converted_stat, '2K_Ratings'!W471, IF(bbgm_stat &gt;= perc_95, converted_stat * 3, IF(bbgm_stat &gt;= perc_90, converted_stat * 2, IF(bbgm_stat &gt;= perc_85, converted_stat * 1.5, converted_stat)))))</f>
        <v/>
      </c>
    </row>
    <row r="472">
      <c r="A472" s="30"/>
      <c r="B472" s="30" t="str">
        <f t="array" ref="B472">IF($A472="", "", LET(bbgm_stat, INDEX(Players!$A471:$P471, MATCH(B$2, Players!$A$1:$P$1, 0)), perc_75, VLOOKUP(B$2, Percentiles!$A$45:$I$59, 6, FALSE), perc_90, VLOOKUP(B$2, Percentiles!$A$45:$I$59, 7, FALSE), perc_95, VLOOKUP(B$2, Percentiles!$A$45:$I$59, 8, FALSE), perc_85, perc_75 + (perc_90 - perc_75) * (2/3), converted_stat, '2K_Ratings'!B472, IF(bbgm_stat &gt;= perc_95, converted_stat * 3, IF(bbgm_stat &gt;= perc_90, converted_stat * 2, IF(bbgm_stat &gt;= perc_85, converted_stat * 1.5, converted_stat)))))</f>
        <v/>
      </c>
      <c r="C472" s="30" t="str">
        <f t="array" ref="C472">IF($A472="", "", LET(bbgm_stat, INDEX(Players!$A471:$P471, MATCH(C$2, Players!$A$1:$P$1, 0)), perc_75, VLOOKUP(C$2, Percentiles!$A$45:$I$59, 6, FALSE), perc_90, VLOOKUP(C$2, Percentiles!$A$45:$I$59, 7, FALSE), perc_95, VLOOKUP(C$2, Percentiles!$A$45:$I$59, 8, FALSE), perc_85, perc_75 + (perc_90 - perc_75) * (2/3), converted_stat, '2K_Ratings'!C472, IF(bbgm_stat &gt;= perc_95, converted_stat * 3, IF(bbgm_stat &gt;= perc_90, converted_stat * 2, IF(bbgm_stat &gt;= perc_85, converted_stat * 1.5, converted_stat)))))</f>
        <v/>
      </c>
      <c r="D472" s="30" t="str">
        <f t="array" ref="D472">IF($A472="", "", LET(bbgm_stat, INDEX(Players!$A471:$P471, MATCH(D$2, Players!$A$1:$P$1, 0)), perc_75, VLOOKUP(D$2, Percentiles!$A$45:$I$59, 6, FALSE), perc_90, VLOOKUP(D$2, Percentiles!$A$45:$I$59, 7, FALSE), perc_95, VLOOKUP(D$2, Percentiles!$A$45:$I$59, 8, FALSE), perc_85, perc_75 + (perc_90 - perc_75) * (2/3), converted_stat, '2K_Ratings'!D472, IF(bbgm_stat &gt;= perc_95, converted_stat * 3, IF(bbgm_stat &gt;= perc_90, converted_stat * 2, IF(bbgm_stat &gt;= perc_85, converted_stat * 1.5, converted_stat)))))</f>
        <v/>
      </c>
      <c r="E472" s="30" t="str">
        <f t="array" ref="E472">IF($A472="", "", LET(bbgm_stat, INDEX(Players!$A471:$P471, MATCH(E$2, Players!$A$1:$P$1, 0)), perc_75, VLOOKUP(E$2, Percentiles!$A$45:$I$59, 6, FALSE), perc_90, VLOOKUP(E$2, Percentiles!$A$45:$I$59, 7, FALSE), perc_95, VLOOKUP(E$2, Percentiles!$A$45:$I$59, 8, FALSE), perc_85, perc_75 + (perc_90 - perc_75) * (2/3), converted_stat, '2K_Ratings'!E472, IF(bbgm_stat &gt;= perc_95, converted_stat * 3, IF(bbgm_stat &gt;= perc_90, converted_stat * 2, IF(bbgm_stat &gt;= perc_85, converted_stat * 1.5, converted_stat)))))</f>
        <v/>
      </c>
      <c r="F472" s="30" t="str">
        <f t="array" ref="F472">IF($A472="", "", LET(bbgm_stat, INDEX(Players!$A471:$P471, MATCH(F$2, Players!$A$1:$P$1, 0)), perc_75, VLOOKUP(F$2, Percentiles!$A$45:$I$59, 6, FALSE), perc_90, VLOOKUP(F$2, Percentiles!$A$45:$I$59, 7, FALSE), perc_95, VLOOKUP(F$2, Percentiles!$A$45:$I$59, 8, FALSE), perc_85, perc_75 + (perc_90 - perc_75) * (2/3), converted_stat, '2K_Ratings'!F472, IF(bbgm_stat &gt;= perc_95, converted_stat * 3, IF(bbgm_stat &gt;= perc_90, converted_stat * 2, IF(bbgm_stat &gt;= perc_85, converted_stat * 1.5, converted_stat)))))</f>
        <v/>
      </c>
      <c r="G472" s="30" t="str">
        <f t="array" ref="G472">IF($A472="", "", LET(bbgm_stat, INDEX(Players!$A471:$P471, MATCH(G$2, Players!$A$1:$P$1, 0)), perc_75, VLOOKUP(G$2, Percentiles!$A$45:$I$59, 6, FALSE), perc_90, VLOOKUP(G$2, Percentiles!$A$45:$I$59, 7, FALSE), perc_95, VLOOKUP(G$2, Percentiles!$A$45:$I$59, 8, FALSE), perc_85, perc_75 + (perc_90 - perc_75) * (2/3), converted_stat, '2K_Ratings'!G472, IF(bbgm_stat &gt;= perc_95, converted_stat * 3, IF(bbgm_stat &gt;= perc_90, converted_stat * 2, IF(bbgm_stat &gt;= perc_85, converted_stat * 1.5, converted_stat)))))</f>
        <v/>
      </c>
      <c r="H472" s="30" t="str">
        <f t="array" ref="H472">IF($A472="", "", LET(bbgm_stat, INDEX(Players!$A471:$P471, MATCH(H$2, Players!$A$1:$P$1, 0)), perc_75, VLOOKUP(H$2, Percentiles!$A$45:$I$59, 6, FALSE), perc_90, VLOOKUP(H$2, Percentiles!$A$45:$I$59, 7, FALSE), perc_95, VLOOKUP(H$2, Percentiles!$A$45:$I$59, 8, FALSE), perc_85, perc_75 + (perc_90 - perc_75) * (2/3), converted_stat, '2K_Ratings'!H472, IF(bbgm_stat &gt;= perc_95, converted_stat * 3, IF(bbgm_stat &gt;= perc_90, converted_stat * 2, IF(bbgm_stat &gt;= perc_85, converted_stat * 1.5, converted_stat)))))</f>
        <v/>
      </c>
      <c r="I472" s="30" t="str">
        <f t="array" ref="I472">IF($A472="", "", LET(bbgm_stat, INDEX(Players!$A471:$P471, MATCH(I$2, Players!$A$1:$P$1, 0)), perc_75, VLOOKUP(I$2, Percentiles!$A$45:$I$59, 6, FALSE), perc_90, VLOOKUP(I$2, Percentiles!$A$45:$I$59, 7, FALSE), perc_95, VLOOKUP(I$2, Percentiles!$A$45:$I$59, 8, FALSE), perc_85, perc_75 + (perc_90 - perc_75) * (2/3), converted_stat, '2K_Ratings'!I472, IF(bbgm_stat &gt;= perc_95, converted_stat * 3, IF(bbgm_stat &gt;= perc_90, converted_stat * 2, IF(bbgm_stat &gt;= perc_85, converted_stat * 1.5, converted_stat)))))</f>
        <v/>
      </c>
      <c r="J472" s="30" t="str">
        <f t="array" ref="J472">IF($A472="", "", LET(bbgm_stat, INDEX(Players!$A471:$P471, MATCH(J$2, Players!$A$1:$P$1, 0)), perc_75, VLOOKUP(J$2, Percentiles!$A$45:$I$59, 6, FALSE), perc_90, VLOOKUP(J$2, Percentiles!$A$45:$I$59, 7, FALSE), perc_95, VLOOKUP(J$2, Percentiles!$A$45:$I$59, 8, FALSE), perc_85, perc_75 + (perc_90 - perc_75) * (2/3), converted_stat, '2K_Ratings'!J472, IF(bbgm_stat &gt;= perc_95, converted_stat * 3, IF(bbgm_stat &gt;= perc_90, converted_stat * 2, IF(bbgm_stat &gt;= perc_85, converted_stat * 1.5, converted_stat)))))</f>
        <v/>
      </c>
      <c r="K472" s="30" t="str">
        <f t="array" ref="K472">IF($A472="", "", LET(bbgm_stat, INDEX(Players!$A471:$P471, MATCH(K$2, Players!$A$1:$P$1, 0)), perc_75, VLOOKUP(K$2, Percentiles!$A$45:$I$59, 6, FALSE), perc_90, VLOOKUP(K$2, Percentiles!$A$45:$I$59, 7, FALSE), perc_95, VLOOKUP(K$2, Percentiles!$A$45:$I$59, 8, FALSE), perc_85, perc_75 + (perc_90 - perc_75) * (2/3), converted_stat, '2K_Ratings'!K472, IF(bbgm_stat &gt;= perc_95, converted_stat * 3, IF(bbgm_stat &gt;= perc_90, converted_stat * 2, IF(bbgm_stat &gt;= perc_85, converted_stat * 1.5, converted_stat)))))</f>
        <v/>
      </c>
      <c r="L472" s="30" t="str">
        <f t="array" ref="L472">IF($A472="", "", LET(bbgm_stat, INDEX(Players!$A471:$P471, MATCH(L$2, Players!$A$1:$P$1, 0)), perc_75, VLOOKUP(L$2, Percentiles!$A$45:$I$59, 6, FALSE), perc_90, VLOOKUP(L$2, Percentiles!$A$45:$I$59, 7, FALSE), perc_95, VLOOKUP(L$2, Percentiles!$A$45:$I$59, 8, FALSE), perc_85, perc_75 + (perc_90 - perc_75) * (2/3), converted_stat, '2K_Ratings'!L472, IF(bbgm_stat &gt;= perc_95, converted_stat * 3, IF(bbgm_stat &gt;= perc_90, converted_stat * 2, IF(bbgm_stat &gt;= perc_85, converted_stat * 1.5, converted_stat)))))</f>
        <v/>
      </c>
      <c r="M472" s="30" t="str">
        <f t="array" ref="M472">IF($A472="", "", LET(bbgm_stat, INDEX(Players!$A471:$P471, MATCH(M$2, Players!$A$1:$P$1, 0)), perc_75, VLOOKUP(M$2, Percentiles!$A$45:$I$59, 6, FALSE), perc_90, VLOOKUP(M$2, Percentiles!$A$45:$I$59, 7, FALSE), perc_95, VLOOKUP(M$2, Percentiles!$A$45:$I$59, 8, FALSE), perc_85, perc_75 + (perc_90 - perc_75) * (2/3), converted_stat, '2K_Ratings'!M472, IF(bbgm_stat &gt;= perc_95, converted_stat * 3, IF(bbgm_stat &gt;= perc_90, converted_stat * 2, IF(bbgm_stat &gt;= perc_85, converted_stat * 1.5, converted_stat)))))</f>
        <v/>
      </c>
      <c r="N472" s="30" t="str">
        <f t="array" ref="N472">IF($A472="", "", LET(bbgm_stat, INDEX(Players!$A471:$P471, MATCH(N$2, Players!$A$1:$P$1, 0)), perc_75, VLOOKUP(N$2, Percentiles!$A$45:$I$59, 6, FALSE), perc_90, VLOOKUP(N$2, Percentiles!$A$45:$I$59, 7, FALSE), perc_95, VLOOKUP(N$2, Percentiles!$A$45:$I$59, 8, FALSE), perc_85, perc_75 + (perc_90 - perc_75) * (2/3), converted_stat, '2K_Ratings'!N472, IF(bbgm_stat &gt;= perc_95, converted_stat * 3, IF(bbgm_stat &gt;= perc_90, converted_stat * 2, IF(bbgm_stat &gt;= perc_85, converted_stat * 1.5, converted_stat)))))</f>
        <v/>
      </c>
      <c r="O472" s="30" t="str">
        <f t="array" ref="O472">IF($A472="", "", LET(bbgm_stat, INDEX(Players!$A471:$P471, MATCH(O$2, Players!$A$1:$P$1, 0)), perc_75, VLOOKUP(O$2, Percentiles!$A$45:$I$59, 6, FALSE), perc_90, VLOOKUP(O$2, Percentiles!$A$45:$I$59, 7, FALSE), perc_95, VLOOKUP(O$2, Percentiles!$A$45:$I$59, 8, FALSE), perc_85, perc_75 + (perc_90 - perc_75) * (2/3), converted_stat, '2K_Ratings'!O472, IF(bbgm_stat &gt;= perc_95, converted_stat * 3, IF(bbgm_stat &gt;= perc_90, converted_stat * 2, IF(bbgm_stat &gt;= perc_85, converted_stat * 1.5, converted_stat)))))</f>
        <v/>
      </c>
      <c r="P472" s="30" t="str">
        <f t="array" ref="P472">IF($A472="", "", LET(bbgm_stat, INDEX(Players!$A471:$P471, MATCH(P$2, Players!$A$1:$P$1, 0)), perc_75, VLOOKUP(P$2, Percentiles!$A$45:$I$59, 6, FALSE), perc_90, VLOOKUP(P$2, Percentiles!$A$45:$I$59, 7, FALSE), perc_95, VLOOKUP(P$2, Percentiles!$A$45:$I$59, 8, FALSE), perc_85, perc_75 + (perc_90 - perc_75) * (2/3), converted_stat, '2K_Ratings'!P472, IF(bbgm_stat &gt;= perc_95, converted_stat * 3, IF(bbgm_stat &gt;= perc_90, converted_stat * 2, IF(bbgm_stat &gt;= perc_85, converted_stat * 1.5, converted_stat)))))</f>
        <v/>
      </c>
      <c r="Q472" s="30" t="str">
        <f t="array" ref="Q472">IF($A472="", "", LET(bbgm_stat, INDEX(Players!$A471:$P471, MATCH(Q$2, Players!$A$1:$P$1, 0)), perc_75, VLOOKUP(Q$2, Percentiles!$A$45:$I$59, 6, FALSE), perc_90, VLOOKUP(Q$2, Percentiles!$A$45:$I$59, 7, FALSE), perc_95, VLOOKUP(Q$2, Percentiles!$A$45:$I$59, 8, FALSE), perc_85, perc_75 + (perc_90 - perc_75) * (2/3), converted_stat, '2K_Ratings'!Q472, IF(bbgm_stat &gt;= perc_95, converted_stat * 3, IF(bbgm_stat &gt;= perc_90, converted_stat * 2, IF(bbgm_stat &gt;= perc_85, converted_stat * 1.5, converted_stat)))))</f>
        <v/>
      </c>
      <c r="R472" s="30" t="str">
        <f t="array" ref="R472">IF($A472="", "", LET(bbgm_stat, INDEX(Players!$A471:$P471, MATCH(R$2, Players!$A$1:$P$1, 0)), perc_75, VLOOKUP(R$2, Percentiles!$A$45:$I$59, 6, FALSE), perc_90, VLOOKUP(R$2, Percentiles!$A$45:$I$59, 7, FALSE), perc_95, VLOOKUP(R$2, Percentiles!$A$45:$I$59, 8, FALSE), perc_85, perc_75 + (perc_90 - perc_75) * (2/3), converted_stat, '2K_Ratings'!R472, IF(bbgm_stat &gt;= perc_95, converted_stat * 3, IF(bbgm_stat &gt;= perc_90, converted_stat * 2, IF(bbgm_stat &gt;= perc_85, converted_stat * 1.5, converted_stat)))))</f>
        <v/>
      </c>
      <c r="S472" s="30" t="str">
        <f t="array" ref="S472">IF($A472="", "", LET(bbgm_stat, INDEX(Players!$A471:$P471, MATCH(S$2, Players!$A$1:$P$1, 0)), perc_75, VLOOKUP(S$2, Percentiles!$A$45:$I$59, 6, FALSE), perc_90, VLOOKUP(S$2, Percentiles!$A$45:$I$59, 7, FALSE), perc_95, VLOOKUP(S$2, Percentiles!$A$45:$I$59, 8, FALSE), perc_85, perc_75 + (perc_90 - perc_75) * (2/3), converted_stat, '2K_Ratings'!S472, IF(bbgm_stat &gt;= perc_95, converted_stat * 3, IF(bbgm_stat &gt;= perc_90, converted_stat * 2, IF(bbgm_stat &gt;= perc_85, converted_stat * 1.5, converted_stat)))))</f>
        <v/>
      </c>
      <c r="T472" s="30" t="str">
        <f t="array" ref="T472">IF($A472="", "", LET(bbgm_stat, INDEX(Players!$A471:$P471, MATCH(T$2, Players!$A$1:$P$1, 0)), perc_75, VLOOKUP(T$2, Percentiles!$A$45:$I$59, 6, FALSE), perc_90, VLOOKUP(T$2, Percentiles!$A$45:$I$59, 7, FALSE), perc_95, VLOOKUP(T$2, Percentiles!$A$45:$I$59, 8, FALSE), perc_85, perc_75 + (perc_90 - perc_75) * (2/3), converted_stat, '2K_Ratings'!T472, IF(bbgm_stat &gt;= perc_95, converted_stat * 3, IF(bbgm_stat &gt;= perc_90, converted_stat * 2, IF(bbgm_stat &gt;= perc_85, converted_stat * 1.5, converted_stat)))))</f>
        <v/>
      </c>
      <c r="U472" s="30" t="str">
        <f t="array" ref="U472">IF($A472="", "", LET(bbgm_stat, INDEX(Players!$A471:$P471, MATCH(U$2, Players!$A$1:$P$1, 0)), perc_75, VLOOKUP(U$2, Percentiles!$A$45:$I$59, 6, FALSE), perc_90, VLOOKUP(U$2, Percentiles!$A$45:$I$59, 7, FALSE), perc_95, VLOOKUP(U$2, Percentiles!$A$45:$I$59, 8, FALSE), perc_85, perc_75 + (perc_90 - perc_75) * (2/3), converted_stat, '2K_Ratings'!U472, IF(bbgm_stat &gt;= perc_95, converted_stat * 3, IF(bbgm_stat &gt;= perc_90, converted_stat * 2, IF(bbgm_stat &gt;= perc_85, converted_stat * 1.5, converted_stat)))))</f>
        <v/>
      </c>
      <c r="V472" s="30" t="str">
        <f t="array" ref="V472">IF($A472="", "", LET(bbgm_stat, INDEX(Players!$A471:$P471, MATCH(V$2, Players!$A$1:$P$1, 0)), perc_75, VLOOKUP(V$2, Percentiles!$A$45:$I$59, 6, FALSE), perc_90, VLOOKUP(V$2, Percentiles!$A$45:$I$59, 7, FALSE), perc_95, VLOOKUP(V$2, Percentiles!$A$45:$I$59, 8, FALSE), perc_85, perc_75 + (perc_90 - perc_75) * (2/3), converted_stat, '2K_Ratings'!V472, IF(bbgm_stat &gt;= perc_95, converted_stat * 3, IF(bbgm_stat &gt;= perc_90, converted_stat * 2, IF(bbgm_stat &gt;= perc_85, converted_stat * 1.5, converted_stat)))))</f>
        <v/>
      </c>
      <c r="W472" s="30" t="str">
        <f t="array" ref="W472">IF($A472="", "", LET(bbgm_stat, INDEX(Players!$A471:$P471, MATCH(W$2, Players!$A$1:$P$1, 0)), perc_75, VLOOKUP(W$2, Percentiles!$A$45:$I$59, 6, FALSE), perc_90, VLOOKUP(W$2, Percentiles!$A$45:$I$59, 7, FALSE), perc_95, VLOOKUP(W$2, Percentiles!$A$45:$I$59, 8, FALSE), perc_85, perc_75 + (perc_90 - perc_75) * (2/3), converted_stat, '2K_Ratings'!W472, IF(bbgm_stat &gt;= perc_95, converted_stat * 3, IF(bbgm_stat &gt;= perc_90, converted_stat * 2, IF(bbgm_stat &gt;= perc_85, converted_stat * 1.5, converted_stat)))))</f>
        <v/>
      </c>
    </row>
    <row r="473">
      <c r="A473" s="30"/>
      <c r="B473" s="30" t="str">
        <f t="array" ref="B473">IF($A473="", "", LET(bbgm_stat, INDEX(Players!$A472:$P472, MATCH(B$2, Players!$A$1:$P$1, 0)), perc_75, VLOOKUP(B$2, Percentiles!$A$45:$I$59, 6, FALSE), perc_90, VLOOKUP(B$2, Percentiles!$A$45:$I$59, 7, FALSE), perc_95, VLOOKUP(B$2, Percentiles!$A$45:$I$59, 8, FALSE), perc_85, perc_75 + (perc_90 - perc_75) * (2/3), converted_stat, '2K_Ratings'!B473, IF(bbgm_stat &gt;= perc_95, converted_stat * 3, IF(bbgm_stat &gt;= perc_90, converted_stat * 2, IF(bbgm_stat &gt;= perc_85, converted_stat * 1.5, converted_stat)))))</f>
        <v/>
      </c>
      <c r="C473" s="30" t="str">
        <f t="array" ref="C473">IF($A473="", "", LET(bbgm_stat, INDEX(Players!$A472:$P472, MATCH(C$2, Players!$A$1:$P$1, 0)), perc_75, VLOOKUP(C$2, Percentiles!$A$45:$I$59, 6, FALSE), perc_90, VLOOKUP(C$2, Percentiles!$A$45:$I$59, 7, FALSE), perc_95, VLOOKUP(C$2, Percentiles!$A$45:$I$59, 8, FALSE), perc_85, perc_75 + (perc_90 - perc_75) * (2/3), converted_stat, '2K_Ratings'!C473, IF(bbgm_stat &gt;= perc_95, converted_stat * 3, IF(bbgm_stat &gt;= perc_90, converted_stat * 2, IF(bbgm_stat &gt;= perc_85, converted_stat * 1.5, converted_stat)))))</f>
        <v/>
      </c>
      <c r="D473" s="30" t="str">
        <f t="array" ref="D473">IF($A473="", "", LET(bbgm_stat, INDEX(Players!$A472:$P472, MATCH(D$2, Players!$A$1:$P$1, 0)), perc_75, VLOOKUP(D$2, Percentiles!$A$45:$I$59, 6, FALSE), perc_90, VLOOKUP(D$2, Percentiles!$A$45:$I$59, 7, FALSE), perc_95, VLOOKUP(D$2, Percentiles!$A$45:$I$59, 8, FALSE), perc_85, perc_75 + (perc_90 - perc_75) * (2/3), converted_stat, '2K_Ratings'!D473, IF(bbgm_stat &gt;= perc_95, converted_stat * 3, IF(bbgm_stat &gt;= perc_90, converted_stat * 2, IF(bbgm_stat &gt;= perc_85, converted_stat * 1.5, converted_stat)))))</f>
        <v/>
      </c>
      <c r="E473" s="30" t="str">
        <f t="array" ref="E473">IF($A473="", "", LET(bbgm_stat, INDEX(Players!$A472:$P472, MATCH(E$2, Players!$A$1:$P$1, 0)), perc_75, VLOOKUP(E$2, Percentiles!$A$45:$I$59, 6, FALSE), perc_90, VLOOKUP(E$2, Percentiles!$A$45:$I$59, 7, FALSE), perc_95, VLOOKUP(E$2, Percentiles!$A$45:$I$59, 8, FALSE), perc_85, perc_75 + (perc_90 - perc_75) * (2/3), converted_stat, '2K_Ratings'!E473, IF(bbgm_stat &gt;= perc_95, converted_stat * 3, IF(bbgm_stat &gt;= perc_90, converted_stat * 2, IF(bbgm_stat &gt;= perc_85, converted_stat * 1.5, converted_stat)))))</f>
        <v/>
      </c>
      <c r="F473" s="30" t="str">
        <f t="array" ref="F473">IF($A473="", "", LET(bbgm_stat, INDEX(Players!$A472:$P472, MATCH(F$2, Players!$A$1:$P$1, 0)), perc_75, VLOOKUP(F$2, Percentiles!$A$45:$I$59, 6, FALSE), perc_90, VLOOKUP(F$2, Percentiles!$A$45:$I$59, 7, FALSE), perc_95, VLOOKUP(F$2, Percentiles!$A$45:$I$59, 8, FALSE), perc_85, perc_75 + (perc_90 - perc_75) * (2/3), converted_stat, '2K_Ratings'!F473, IF(bbgm_stat &gt;= perc_95, converted_stat * 3, IF(bbgm_stat &gt;= perc_90, converted_stat * 2, IF(bbgm_stat &gt;= perc_85, converted_stat * 1.5, converted_stat)))))</f>
        <v/>
      </c>
      <c r="G473" s="30" t="str">
        <f t="array" ref="G473">IF($A473="", "", LET(bbgm_stat, INDEX(Players!$A472:$P472, MATCH(G$2, Players!$A$1:$P$1, 0)), perc_75, VLOOKUP(G$2, Percentiles!$A$45:$I$59, 6, FALSE), perc_90, VLOOKUP(G$2, Percentiles!$A$45:$I$59, 7, FALSE), perc_95, VLOOKUP(G$2, Percentiles!$A$45:$I$59, 8, FALSE), perc_85, perc_75 + (perc_90 - perc_75) * (2/3), converted_stat, '2K_Ratings'!G473, IF(bbgm_stat &gt;= perc_95, converted_stat * 3, IF(bbgm_stat &gt;= perc_90, converted_stat * 2, IF(bbgm_stat &gt;= perc_85, converted_stat * 1.5, converted_stat)))))</f>
        <v/>
      </c>
      <c r="H473" s="30" t="str">
        <f t="array" ref="H473">IF($A473="", "", LET(bbgm_stat, INDEX(Players!$A472:$P472, MATCH(H$2, Players!$A$1:$P$1, 0)), perc_75, VLOOKUP(H$2, Percentiles!$A$45:$I$59, 6, FALSE), perc_90, VLOOKUP(H$2, Percentiles!$A$45:$I$59, 7, FALSE), perc_95, VLOOKUP(H$2, Percentiles!$A$45:$I$59, 8, FALSE), perc_85, perc_75 + (perc_90 - perc_75) * (2/3), converted_stat, '2K_Ratings'!H473, IF(bbgm_stat &gt;= perc_95, converted_stat * 3, IF(bbgm_stat &gt;= perc_90, converted_stat * 2, IF(bbgm_stat &gt;= perc_85, converted_stat * 1.5, converted_stat)))))</f>
        <v/>
      </c>
      <c r="I473" s="30" t="str">
        <f t="array" ref="I473">IF($A473="", "", LET(bbgm_stat, INDEX(Players!$A472:$P472, MATCH(I$2, Players!$A$1:$P$1, 0)), perc_75, VLOOKUP(I$2, Percentiles!$A$45:$I$59, 6, FALSE), perc_90, VLOOKUP(I$2, Percentiles!$A$45:$I$59, 7, FALSE), perc_95, VLOOKUP(I$2, Percentiles!$A$45:$I$59, 8, FALSE), perc_85, perc_75 + (perc_90 - perc_75) * (2/3), converted_stat, '2K_Ratings'!I473, IF(bbgm_stat &gt;= perc_95, converted_stat * 3, IF(bbgm_stat &gt;= perc_90, converted_stat * 2, IF(bbgm_stat &gt;= perc_85, converted_stat * 1.5, converted_stat)))))</f>
        <v/>
      </c>
      <c r="J473" s="30" t="str">
        <f t="array" ref="J473">IF($A473="", "", LET(bbgm_stat, INDEX(Players!$A472:$P472, MATCH(J$2, Players!$A$1:$P$1, 0)), perc_75, VLOOKUP(J$2, Percentiles!$A$45:$I$59, 6, FALSE), perc_90, VLOOKUP(J$2, Percentiles!$A$45:$I$59, 7, FALSE), perc_95, VLOOKUP(J$2, Percentiles!$A$45:$I$59, 8, FALSE), perc_85, perc_75 + (perc_90 - perc_75) * (2/3), converted_stat, '2K_Ratings'!J473, IF(bbgm_stat &gt;= perc_95, converted_stat * 3, IF(bbgm_stat &gt;= perc_90, converted_stat * 2, IF(bbgm_stat &gt;= perc_85, converted_stat * 1.5, converted_stat)))))</f>
        <v/>
      </c>
      <c r="K473" s="30" t="str">
        <f t="array" ref="K473">IF($A473="", "", LET(bbgm_stat, INDEX(Players!$A472:$P472, MATCH(K$2, Players!$A$1:$P$1, 0)), perc_75, VLOOKUP(K$2, Percentiles!$A$45:$I$59, 6, FALSE), perc_90, VLOOKUP(K$2, Percentiles!$A$45:$I$59, 7, FALSE), perc_95, VLOOKUP(K$2, Percentiles!$A$45:$I$59, 8, FALSE), perc_85, perc_75 + (perc_90 - perc_75) * (2/3), converted_stat, '2K_Ratings'!K473, IF(bbgm_stat &gt;= perc_95, converted_stat * 3, IF(bbgm_stat &gt;= perc_90, converted_stat * 2, IF(bbgm_stat &gt;= perc_85, converted_stat * 1.5, converted_stat)))))</f>
        <v/>
      </c>
      <c r="L473" s="30" t="str">
        <f t="array" ref="L473">IF($A473="", "", LET(bbgm_stat, INDEX(Players!$A472:$P472, MATCH(L$2, Players!$A$1:$P$1, 0)), perc_75, VLOOKUP(L$2, Percentiles!$A$45:$I$59, 6, FALSE), perc_90, VLOOKUP(L$2, Percentiles!$A$45:$I$59, 7, FALSE), perc_95, VLOOKUP(L$2, Percentiles!$A$45:$I$59, 8, FALSE), perc_85, perc_75 + (perc_90 - perc_75) * (2/3), converted_stat, '2K_Ratings'!L473, IF(bbgm_stat &gt;= perc_95, converted_stat * 3, IF(bbgm_stat &gt;= perc_90, converted_stat * 2, IF(bbgm_stat &gt;= perc_85, converted_stat * 1.5, converted_stat)))))</f>
        <v/>
      </c>
      <c r="M473" s="30" t="str">
        <f t="array" ref="M473">IF($A473="", "", LET(bbgm_stat, INDEX(Players!$A472:$P472, MATCH(M$2, Players!$A$1:$P$1, 0)), perc_75, VLOOKUP(M$2, Percentiles!$A$45:$I$59, 6, FALSE), perc_90, VLOOKUP(M$2, Percentiles!$A$45:$I$59, 7, FALSE), perc_95, VLOOKUP(M$2, Percentiles!$A$45:$I$59, 8, FALSE), perc_85, perc_75 + (perc_90 - perc_75) * (2/3), converted_stat, '2K_Ratings'!M473, IF(bbgm_stat &gt;= perc_95, converted_stat * 3, IF(bbgm_stat &gt;= perc_90, converted_stat * 2, IF(bbgm_stat &gt;= perc_85, converted_stat * 1.5, converted_stat)))))</f>
        <v/>
      </c>
      <c r="N473" s="30" t="str">
        <f t="array" ref="N473">IF($A473="", "", LET(bbgm_stat, INDEX(Players!$A472:$P472, MATCH(N$2, Players!$A$1:$P$1, 0)), perc_75, VLOOKUP(N$2, Percentiles!$A$45:$I$59, 6, FALSE), perc_90, VLOOKUP(N$2, Percentiles!$A$45:$I$59, 7, FALSE), perc_95, VLOOKUP(N$2, Percentiles!$A$45:$I$59, 8, FALSE), perc_85, perc_75 + (perc_90 - perc_75) * (2/3), converted_stat, '2K_Ratings'!N473, IF(bbgm_stat &gt;= perc_95, converted_stat * 3, IF(bbgm_stat &gt;= perc_90, converted_stat * 2, IF(bbgm_stat &gt;= perc_85, converted_stat * 1.5, converted_stat)))))</f>
        <v/>
      </c>
      <c r="O473" s="30" t="str">
        <f t="array" ref="O473">IF($A473="", "", LET(bbgm_stat, INDEX(Players!$A472:$P472, MATCH(O$2, Players!$A$1:$P$1, 0)), perc_75, VLOOKUP(O$2, Percentiles!$A$45:$I$59, 6, FALSE), perc_90, VLOOKUP(O$2, Percentiles!$A$45:$I$59, 7, FALSE), perc_95, VLOOKUP(O$2, Percentiles!$A$45:$I$59, 8, FALSE), perc_85, perc_75 + (perc_90 - perc_75) * (2/3), converted_stat, '2K_Ratings'!O473, IF(bbgm_stat &gt;= perc_95, converted_stat * 3, IF(bbgm_stat &gt;= perc_90, converted_stat * 2, IF(bbgm_stat &gt;= perc_85, converted_stat * 1.5, converted_stat)))))</f>
        <v/>
      </c>
      <c r="P473" s="30" t="str">
        <f t="array" ref="P473">IF($A473="", "", LET(bbgm_stat, INDEX(Players!$A472:$P472, MATCH(P$2, Players!$A$1:$P$1, 0)), perc_75, VLOOKUP(P$2, Percentiles!$A$45:$I$59, 6, FALSE), perc_90, VLOOKUP(P$2, Percentiles!$A$45:$I$59, 7, FALSE), perc_95, VLOOKUP(P$2, Percentiles!$A$45:$I$59, 8, FALSE), perc_85, perc_75 + (perc_90 - perc_75) * (2/3), converted_stat, '2K_Ratings'!P473, IF(bbgm_stat &gt;= perc_95, converted_stat * 3, IF(bbgm_stat &gt;= perc_90, converted_stat * 2, IF(bbgm_stat &gt;= perc_85, converted_stat * 1.5, converted_stat)))))</f>
        <v/>
      </c>
      <c r="Q473" s="30" t="str">
        <f t="array" ref="Q473">IF($A473="", "", LET(bbgm_stat, INDEX(Players!$A472:$P472, MATCH(Q$2, Players!$A$1:$P$1, 0)), perc_75, VLOOKUP(Q$2, Percentiles!$A$45:$I$59, 6, FALSE), perc_90, VLOOKUP(Q$2, Percentiles!$A$45:$I$59, 7, FALSE), perc_95, VLOOKUP(Q$2, Percentiles!$A$45:$I$59, 8, FALSE), perc_85, perc_75 + (perc_90 - perc_75) * (2/3), converted_stat, '2K_Ratings'!Q473, IF(bbgm_stat &gt;= perc_95, converted_stat * 3, IF(bbgm_stat &gt;= perc_90, converted_stat * 2, IF(bbgm_stat &gt;= perc_85, converted_stat * 1.5, converted_stat)))))</f>
        <v/>
      </c>
      <c r="R473" s="30" t="str">
        <f t="array" ref="R473">IF($A473="", "", LET(bbgm_stat, INDEX(Players!$A472:$P472, MATCH(R$2, Players!$A$1:$P$1, 0)), perc_75, VLOOKUP(R$2, Percentiles!$A$45:$I$59, 6, FALSE), perc_90, VLOOKUP(R$2, Percentiles!$A$45:$I$59, 7, FALSE), perc_95, VLOOKUP(R$2, Percentiles!$A$45:$I$59, 8, FALSE), perc_85, perc_75 + (perc_90 - perc_75) * (2/3), converted_stat, '2K_Ratings'!R473, IF(bbgm_stat &gt;= perc_95, converted_stat * 3, IF(bbgm_stat &gt;= perc_90, converted_stat * 2, IF(bbgm_stat &gt;= perc_85, converted_stat * 1.5, converted_stat)))))</f>
        <v/>
      </c>
      <c r="S473" s="30" t="str">
        <f t="array" ref="S473">IF($A473="", "", LET(bbgm_stat, INDEX(Players!$A472:$P472, MATCH(S$2, Players!$A$1:$P$1, 0)), perc_75, VLOOKUP(S$2, Percentiles!$A$45:$I$59, 6, FALSE), perc_90, VLOOKUP(S$2, Percentiles!$A$45:$I$59, 7, FALSE), perc_95, VLOOKUP(S$2, Percentiles!$A$45:$I$59, 8, FALSE), perc_85, perc_75 + (perc_90 - perc_75) * (2/3), converted_stat, '2K_Ratings'!S473, IF(bbgm_stat &gt;= perc_95, converted_stat * 3, IF(bbgm_stat &gt;= perc_90, converted_stat * 2, IF(bbgm_stat &gt;= perc_85, converted_stat * 1.5, converted_stat)))))</f>
        <v/>
      </c>
      <c r="T473" s="30" t="str">
        <f t="array" ref="T473">IF($A473="", "", LET(bbgm_stat, INDEX(Players!$A472:$P472, MATCH(T$2, Players!$A$1:$P$1, 0)), perc_75, VLOOKUP(T$2, Percentiles!$A$45:$I$59, 6, FALSE), perc_90, VLOOKUP(T$2, Percentiles!$A$45:$I$59, 7, FALSE), perc_95, VLOOKUP(T$2, Percentiles!$A$45:$I$59, 8, FALSE), perc_85, perc_75 + (perc_90 - perc_75) * (2/3), converted_stat, '2K_Ratings'!T473, IF(bbgm_stat &gt;= perc_95, converted_stat * 3, IF(bbgm_stat &gt;= perc_90, converted_stat * 2, IF(bbgm_stat &gt;= perc_85, converted_stat * 1.5, converted_stat)))))</f>
        <v/>
      </c>
      <c r="U473" s="30" t="str">
        <f t="array" ref="U473">IF($A473="", "", LET(bbgm_stat, INDEX(Players!$A472:$P472, MATCH(U$2, Players!$A$1:$P$1, 0)), perc_75, VLOOKUP(U$2, Percentiles!$A$45:$I$59, 6, FALSE), perc_90, VLOOKUP(U$2, Percentiles!$A$45:$I$59, 7, FALSE), perc_95, VLOOKUP(U$2, Percentiles!$A$45:$I$59, 8, FALSE), perc_85, perc_75 + (perc_90 - perc_75) * (2/3), converted_stat, '2K_Ratings'!U473, IF(bbgm_stat &gt;= perc_95, converted_stat * 3, IF(bbgm_stat &gt;= perc_90, converted_stat * 2, IF(bbgm_stat &gt;= perc_85, converted_stat * 1.5, converted_stat)))))</f>
        <v/>
      </c>
      <c r="V473" s="30" t="str">
        <f t="array" ref="V473">IF($A473="", "", LET(bbgm_stat, INDEX(Players!$A472:$P472, MATCH(V$2, Players!$A$1:$P$1, 0)), perc_75, VLOOKUP(V$2, Percentiles!$A$45:$I$59, 6, FALSE), perc_90, VLOOKUP(V$2, Percentiles!$A$45:$I$59, 7, FALSE), perc_95, VLOOKUP(V$2, Percentiles!$A$45:$I$59, 8, FALSE), perc_85, perc_75 + (perc_90 - perc_75) * (2/3), converted_stat, '2K_Ratings'!V473, IF(bbgm_stat &gt;= perc_95, converted_stat * 3, IF(bbgm_stat &gt;= perc_90, converted_stat * 2, IF(bbgm_stat &gt;= perc_85, converted_stat * 1.5, converted_stat)))))</f>
        <v/>
      </c>
      <c r="W473" s="30" t="str">
        <f t="array" ref="W473">IF($A473="", "", LET(bbgm_stat, INDEX(Players!$A472:$P472, MATCH(W$2, Players!$A$1:$P$1, 0)), perc_75, VLOOKUP(W$2, Percentiles!$A$45:$I$59, 6, FALSE), perc_90, VLOOKUP(W$2, Percentiles!$A$45:$I$59, 7, FALSE), perc_95, VLOOKUP(W$2, Percentiles!$A$45:$I$59, 8, FALSE), perc_85, perc_75 + (perc_90 - perc_75) * (2/3), converted_stat, '2K_Ratings'!W473, IF(bbgm_stat &gt;= perc_95, converted_stat * 3, IF(bbgm_stat &gt;= perc_90, converted_stat * 2, IF(bbgm_stat &gt;= perc_85, converted_stat * 1.5, converted_stat)))))</f>
        <v/>
      </c>
    </row>
    <row r="474">
      <c r="A474" s="30"/>
      <c r="B474" s="30" t="str">
        <f t="array" ref="B474">IF($A474="", "", LET(bbgm_stat, INDEX(Players!$A473:$P473, MATCH(B$2, Players!$A$1:$P$1, 0)), perc_75, VLOOKUP(B$2, Percentiles!$A$45:$I$59, 6, FALSE), perc_90, VLOOKUP(B$2, Percentiles!$A$45:$I$59, 7, FALSE), perc_95, VLOOKUP(B$2, Percentiles!$A$45:$I$59, 8, FALSE), perc_85, perc_75 + (perc_90 - perc_75) * (2/3), converted_stat, '2K_Ratings'!B474, IF(bbgm_stat &gt;= perc_95, converted_stat * 3, IF(bbgm_stat &gt;= perc_90, converted_stat * 2, IF(bbgm_stat &gt;= perc_85, converted_stat * 1.5, converted_stat)))))</f>
        <v/>
      </c>
      <c r="C474" s="30" t="str">
        <f t="array" ref="C474">IF($A474="", "", LET(bbgm_stat, INDEX(Players!$A473:$P473, MATCH(C$2, Players!$A$1:$P$1, 0)), perc_75, VLOOKUP(C$2, Percentiles!$A$45:$I$59, 6, FALSE), perc_90, VLOOKUP(C$2, Percentiles!$A$45:$I$59, 7, FALSE), perc_95, VLOOKUP(C$2, Percentiles!$A$45:$I$59, 8, FALSE), perc_85, perc_75 + (perc_90 - perc_75) * (2/3), converted_stat, '2K_Ratings'!C474, IF(bbgm_stat &gt;= perc_95, converted_stat * 3, IF(bbgm_stat &gt;= perc_90, converted_stat * 2, IF(bbgm_stat &gt;= perc_85, converted_stat * 1.5, converted_stat)))))</f>
        <v/>
      </c>
      <c r="D474" s="30" t="str">
        <f t="array" ref="D474">IF($A474="", "", LET(bbgm_stat, INDEX(Players!$A473:$P473, MATCH(D$2, Players!$A$1:$P$1, 0)), perc_75, VLOOKUP(D$2, Percentiles!$A$45:$I$59, 6, FALSE), perc_90, VLOOKUP(D$2, Percentiles!$A$45:$I$59, 7, FALSE), perc_95, VLOOKUP(D$2, Percentiles!$A$45:$I$59, 8, FALSE), perc_85, perc_75 + (perc_90 - perc_75) * (2/3), converted_stat, '2K_Ratings'!D474, IF(bbgm_stat &gt;= perc_95, converted_stat * 3, IF(bbgm_stat &gt;= perc_90, converted_stat * 2, IF(bbgm_stat &gt;= perc_85, converted_stat * 1.5, converted_stat)))))</f>
        <v/>
      </c>
      <c r="E474" s="30" t="str">
        <f t="array" ref="E474">IF($A474="", "", LET(bbgm_stat, INDEX(Players!$A473:$P473, MATCH(E$2, Players!$A$1:$P$1, 0)), perc_75, VLOOKUP(E$2, Percentiles!$A$45:$I$59, 6, FALSE), perc_90, VLOOKUP(E$2, Percentiles!$A$45:$I$59, 7, FALSE), perc_95, VLOOKUP(E$2, Percentiles!$A$45:$I$59, 8, FALSE), perc_85, perc_75 + (perc_90 - perc_75) * (2/3), converted_stat, '2K_Ratings'!E474, IF(bbgm_stat &gt;= perc_95, converted_stat * 3, IF(bbgm_stat &gt;= perc_90, converted_stat * 2, IF(bbgm_stat &gt;= perc_85, converted_stat * 1.5, converted_stat)))))</f>
        <v/>
      </c>
      <c r="F474" s="30" t="str">
        <f t="array" ref="F474">IF($A474="", "", LET(bbgm_stat, INDEX(Players!$A473:$P473, MATCH(F$2, Players!$A$1:$P$1, 0)), perc_75, VLOOKUP(F$2, Percentiles!$A$45:$I$59, 6, FALSE), perc_90, VLOOKUP(F$2, Percentiles!$A$45:$I$59, 7, FALSE), perc_95, VLOOKUP(F$2, Percentiles!$A$45:$I$59, 8, FALSE), perc_85, perc_75 + (perc_90 - perc_75) * (2/3), converted_stat, '2K_Ratings'!F474, IF(bbgm_stat &gt;= perc_95, converted_stat * 3, IF(bbgm_stat &gt;= perc_90, converted_stat * 2, IF(bbgm_stat &gt;= perc_85, converted_stat * 1.5, converted_stat)))))</f>
        <v/>
      </c>
      <c r="G474" s="30" t="str">
        <f t="array" ref="G474">IF($A474="", "", LET(bbgm_stat, INDEX(Players!$A473:$P473, MATCH(G$2, Players!$A$1:$P$1, 0)), perc_75, VLOOKUP(G$2, Percentiles!$A$45:$I$59, 6, FALSE), perc_90, VLOOKUP(G$2, Percentiles!$A$45:$I$59, 7, FALSE), perc_95, VLOOKUP(G$2, Percentiles!$A$45:$I$59, 8, FALSE), perc_85, perc_75 + (perc_90 - perc_75) * (2/3), converted_stat, '2K_Ratings'!G474, IF(bbgm_stat &gt;= perc_95, converted_stat * 3, IF(bbgm_stat &gt;= perc_90, converted_stat * 2, IF(bbgm_stat &gt;= perc_85, converted_stat * 1.5, converted_stat)))))</f>
        <v/>
      </c>
      <c r="H474" s="30" t="str">
        <f t="array" ref="H474">IF($A474="", "", LET(bbgm_stat, INDEX(Players!$A473:$P473, MATCH(H$2, Players!$A$1:$P$1, 0)), perc_75, VLOOKUP(H$2, Percentiles!$A$45:$I$59, 6, FALSE), perc_90, VLOOKUP(H$2, Percentiles!$A$45:$I$59, 7, FALSE), perc_95, VLOOKUP(H$2, Percentiles!$A$45:$I$59, 8, FALSE), perc_85, perc_75 + (perc_90 - perc_75) * (2/3), converted_stat, '2K_Ratings'!H474, IF(bbgm_stat &gt;= perc_95, converted_stat * 3, IF(bbgm_stat &gt;= perc_90, converted_stat * 2, IF(bbgm_stat &gt;= perc_85, converted_stat * 1.5, converted_stat)))))</f>
        <v/>
      </c>
      <c r="I474" s="30" t="str">
        <f t="array" ref="I474">IF($A474="", "", LET(bbgm_stat, INDEX(Players!$A473:$P473, MATCH(I$2, Players!$A$1:$P$1, 0)), perc_75, VLOOKUP(I$2, Percentiles!$A$45:$I$59, 6, FALSE), perc_90, VLOOKUP(I$2, Percentiles!$A$45:$I$59, 7, FALSE), perc_95, VLOOKUP(I$2, Percentiles!$A$45:$I$59, 8, FALSE), perc_85, perc_75 + (perc_90 - perc_75) * (2/3), converted_stat, '2K_Ratings'!I474, IF(bbgm_stat &gt;= perc_95, converted_stat * 3, IF(bbgm_stat &gt;= perc_90, converted_stat * 2, IF(bbgm_stat &gt;= perc_85, converted_stat * 1.5, converted_stat)))))</f>
        <v/>
      </c>
      <c r="J474" s="30" t="str">
        <f t="array" ref="J474">IF($A474="", "", LET(bbgm_stat, INDEX(Players!$A473:$P473, MATCH(J$2, Players!$A$1:$P$1, 0)), perc_75, VLOOKUP(J$2, Percentiles!$A$45:$I$59, 6, FALSE), perc_90, VLOOKUP(J$2, Percentiles!$A$45:$I$59, 7, FALSE), perc_95, VLOOKUP(J$2, Percentiles!$A$45:$I$59, 8, FALSE), perc_85, perc_75 + (perc_90 - perc_75) * (2/3), converted_stat, '2K_Ratings'!J474, IF(bbgm_stat &gt;= perc_95, converted_stat * 3, IF(bbgm_stat &gt;= perc_90, converted_stat * 2, IF(bbgm_stat &gt;= perc_85, converted_stat * 1.5, converted_stat)))))</f>
        <v/>
      </c>
      <c r="K474" s="30" t="str">
        <f t="array" ref="K474">IF($A474="", "", LET(bbgm_stat, INDEX(Players!$A473:$P473, MATCH(K$2, Players!$A$1:$P$1, 0)), perc_75, VLOOKUP(K$2, Percentiles!$A$45:$I$59, 6, FALSE), perc_90, VLOOKUP(K$2, Percentiles!$A$45:$I$59, 7, FALSE), perc_95, VLOOKUP(K$2, Percentiles!$A$45:$I$59, 8, FALSE), perc_85, perc_75 + (perc_90 - perc_75) * (2/3), converted_stat, '2K_Ratings'!K474, IF(bbgm_stat &gt;= perc_95, converted_stat * 3, IF(bbgm_stat &gt;= perc_90, converted_stat * 2, IF(bbgm_stat &gt;= perc_85, converted_stat * 1.5, converted_stat)))))</f>
        <v/>
      </c>
      <c r="L474" s="30" t="str">
        <f t="array" ref="L474">IF($A474="", "", LET(bbgm_stat, INDEX(Players!$A473:$P473, MATCH(L$2, Players!$A$1:$P$1, 0)), perc_75, VLOOKUP(L$2, Percentiles!$A$45:$I$59, 6, FALSE), perc_90, VLOOKUP(L$2, Percentiles!$A$45:$I$59, 7, FALSE), perc_95, VLOOKUP(L$2, Percentiles!$A$45:$I$59, 8, FALSE), perc_85, perc_75 + (perc_90 - perc_75) * (2/3), converted_stat, '2K_Ratings'!L474, IF(bbgm_stat &gt;= perc_95, converted_stat * 3, IF(bbgm_stat &gt;= perc_90, converted_stat * 2, IF(bbgm_stat &gt;= perc_85, converted_stat * 1.5, converted_stat)))))</f>
        <v/>
      </c>
      <c r="M474" s="30" t="str">
        <f t="array" ref="M474">IF($A474="", "", LET(bbgm_stat, INDEX(Players!$A473:$P473, MATCH(M$2, Players!$A$1:$P$1, 0)), perc_75, VLOOKUP(M$2, Percentiles!$A$45:$I$59, 6, FALSE), perc_90, VLOOKUP(M$2, Percentiles!$A$45:$I$59, 7, FALSE), perc_95, VLOOKUP(M$2, Percentiles!$A$45:$I$59, 8, FALSE), perc_85, perc_75 + (perc_90 - perc_75) * (2/3), converted_stat, '2K_Ratings'!M474, IF(bbgm_stat &gt;= perc_95, converted_stat * 3, IF(bbgm_stat &gt;= perc_90, converted_stat * 2, IF(bbgm_stat &gt;= perc_85, converted_stat * 1.5, converted_stat)))))</f>
        <v/>
      </c>
      <c r="N474" s="30" t="str">
        <f t="array" ref="N474">IF($A474="", "", LET(bbgm_stat, INDEX(Players!$A473:$P473, MATCH(N$2, Players!$A$1:$P$1, 0)), perc_75, VLOOKUP(N$2, Percentiles!$A$45:$I$59, 6, FALSE), perc_90, VLOOKUP(N$2, Percentiles!$A$45:$I$59, 7, FALSE), perc_95, VLOOKUP(N$2, Percentiles!$A$45:$I$59, 8, FALSE), perc_85, perc_75 + (perc_90 - perc_75) * (2/3), converted_stat, '2K_Ratings'!N474, IF(bbgm_stat &gt;= perc_95, converted_stat * 3, IF(bbgm_stat &gt;= perc_90, converted_stat * 2, IF(bbgm_stat &gt;= perc_85, converted_stat * 1.5, converted_stat)))))</f>
        <v/>
      </c>
      <c r="O474" s="30" t="str">
        <f t="array" ref="O474">IF($A474="", "", LET(bbgm_stat, INDEX(Players!$A473:$P473, MATCH(O$2, Players!$A$1:$P$1, 0)), perc_75, VLOOKUP(O$2, Percentiles!$A$45:$I$59, 6, FALSE), perc_90, VLOOKUP(O$2, Percentiles!$A$45:$I$59, 7, FALSE), perc_95, VLOOKUP(O$2, Percentiles!$A$45:$I$59, 8, FALSE), perc_85, perc_75 + (perc_90 - perc_75) * (2/3), converted_stat, '2K_Ratings'!O474, IF(bbgm_stat &gt;= perc_95, converted_stat * 3, IF(bbgm_stat &gt;= perc_90, converted_stat * 2, IF(bbgm_stat &gt;= perc_85, converted_stat * 1.5, converted_stat)))))</f>
        <v/>
      </c>
      <c r="P474" s="30" t="str">
        <f t="array" ref="P474">IF($A474="", "", LET(bbgm_stat, INDEX(Players!$A473:$P473, MATCH(P$2, Players!$A$1:$P$1, 0)), perc_75, VLOOKUP(P$2, Percentiles!$A$45:$I$59, 6, FALSE), perc_90, VLOOKUP(P$2, Percentiles!$A$45:$I$59, 7, FALSE), perc_95, VLOOKUP(P$2, Percentiles!$A$45:$I$59, 8, FALSE), perc_85, perc_75 + (perc_90 - perc_75) * (2/3), converted_stat, '2K_Ratings'!P474, IF(bbgm_stat &gt;= perc_95, converted_stat * 3, IF(bbgm_stat &gt;= perc_90, converted_stat * 2, IF(bbgm_stat &gt;= perc_85, converted_stat * 1.5, converted_stat)))))</f>
        <v/>
      </c>
      <c r="Q474" s="30" t="str">
        <f t="array" ref="Q474">IF($A474="", "", LET(bbgm_stat, INDEX(Players!$A473:$P473, MATCH(Q$2, Players!$A$1:$P$1, 0)), perc_75, VLOOKUP(Q$2, Percentiles!$A$45:$I$59, 6, FALSE), perc_90, VLOOKUP(Q$2, Percentiles!$A$45:$I$59, 7, FALSE), perc_95, VLOOKUP(Q$2, Percentiles!$A$45:$I$59, 8, FALSE), perc_85, perc_75 + (perc_90 - perc_75) * (2/3), converted_stat, '2K_Ratings'!Q474, IF(bbgm_stat &gt;= perc_95, converted_stat * 3, IF(bbgm_stat &gt;= perc_90, converted_stat * 2, IF(bbgm_stat &gt;= perc_85, converted_stat * 1.5, converted_stat)))))</f>
        <v/>
      </c>
      <c r="R474" s="30" t="str">
        <f t="array" ref="R474">IF($A474="", "", LET(bbgm_stat, INDEX(Players!$A473:$P473, MATCH(R$2, Players!$A$1:$P$1, 0)), perc_75, VLOOKUP(R$2, Percentiles!$A$45:$I$59, 6, FALSE), perc_90, VLOOKUP(R$2, Percentiles!$A$45:$I$59, 7, FALSE), perc_95, VLOOKUP(R$2, Percentiles!$A$45:$I$59, 8, FALSE), perc_85, perc_75 + (perc_90 - perc_75) * (2/3), converted_stat, '2K_Ratings'!R474, IF(bbgm_stat &gt;= perc_95, converted_stat * 3, IF(bbgm_stat &gt;= perc_90, converted_stat * 2, IF(bbgm_stat &gt;= perc_85, converted_stat * 1.5, converted_stat)))))</f>
        <v/>
      </c>
      <c r="S474" s="30" t="str">
        <f t="array" ref="S474">IF($A474="", "", LET(bbgm_stat, INDEX(Players!$A473:$P473, MATCH(S$2, Players!$A$1:$P$1, 0)), perc_75, VLOOKUP(S$2, Percentiles!$A$45:$I$59, 6, FALSE), perc_90, VLOOKUP(S$2, Percentiles!$A$45:$I$59, 7, FALSE), perc_95, VLOOKUP(S$2, Percentiles!$A$45:$I$59, 8, FALSE), perc_85, perc_75 + (perc_90 - perc_75) * (2/3), converted_stat, '2K_Ratings'!S474, IF(bbgm_stat &gt;= perc_95, converted_stat * 3, IF(bbgm_stat &gt;= perc_90, converted_stat * 2, IF(bbgm_stat &gt;= perc_85, converted_stat * 1.5, converted_stat)))))</f>
        <v/>
      </c>
      <c r="T474" s="30" t="str">
        <f t="array" ref="T474">IF($A474="", "", LET(bbgm_stat, INDEX(Players!$A473:$P473, MATCH(T$2, Players!$A$1:$P$1, 0)), perc_75, VLOOKUP(T$2, Percentiles!$A$45:$I$59, 6, FALSE), perc_90, VLOOKUP(T$2, Percentiles!$A$45:$I$59, 7, FALSE), perc_95, VLOOKUP(T$2, Percentiles!$A$45:$I$59, 8, FALSE), perc_85, perc_75 + (perc_90 - perc_75) * (2/3), converted_stat, '2K_Ratings'!T474, IF(bbgm_stat &gt;= perc_95, converted_stat * 3, IF(bbgm_stat &gt;= perc_90, converted_stat * 2, IF(bbgm_stat &gt;= perc_85, converted_stat * 1.5, converted_stat)))))</f>
        <v/>
      </c>
      <c r="U474" s="30" t="str">
        <f t="array" ref="U474">IF($A474="", "", LET(bbgm_stat, INDEX(Players!$A473:$P473, MATCH(U$2, Players!$A$1:$P$1, 0)), perc_75, VLOOKUP(U$2, Percentiles!$A$45:$I$59, 6, FALSE), perc_90, VLOOKUP(U$2, Percentiles!$A$45:$I$59, 7, FALSE), perc_95, VLOOKUP(U$2, Percentiles!$A$45:$I$59, 8, FALSE), perc_85, perc_75 + (perc_90 - perc_75) * (2/3), converted_stat, '2K_Ratings'!U474, IF(bbgm_stat &gt;= perc_95, converted_stat * 3, IF(bbgm_stat &gt;= perc_90, converted_stat * 2, IF(bbgm_stat &gt;= perc_85, converted_stat * 1.5, converted_stat)))))</f>
        <v/>
      </c>
      <c r="V474" s="30" t="str">
        <f t="array" ref="V474">IF($A474="", "", LET(bbgm_stat, INDEX(Players!$A473:$P473, MATCH(V$2, Players!$A$1:$P$1, 0)), perc_75, VLOOKUP(V$2, Percentiles!$A$45:$I$59, 6, FALSE), perc_90, VLOOKUP(V$2, Percentiles!$A$45:$I$59, 7, FALSE), perc_95, VLOOKUP(V$2, Percentiles!$A$45:$I$59, 8, FALSE), perc_85, perc_75 + (perc_90 - perc_75) * (2/3), converted_stat, '2K_Ratings'!V474, IF(bbgm_stat &gt;= perc_95, converted_stat * 3, IF(bbgm_stat &gt;= perc_90, converted_stat * 2, IF(bbgm_stat &gt;= perc_85, converted_stat * 1.5, converted_stat)))))</f>
        <v/>
      </c>
      <c r="W474" s="30" t="str">
        <f t="array" ref="W474">IF($A474="", "", LET(bbgm_stat, INDEX(Players!$A473:$P473, MATCH(W$2, Players!$A$1:$P$1, 0)), perc_75, VLOOKUP(W$2, Percentiles!$A$45:$I$59, 6, FALSE), perc_90, VLOOKUP(W$2, Percentiles!$A$45:$I$59, 7, FALSE), perc_95, VLOOKUP(W$2, Percentiles!$A$45:$I$59, 8, FALSE), perc_85, perc_75 + (perc_90 - perc_75) * (2/3), converted_stat, '2K_Ratings'!W474, IF(bbgm_stat &gt;= perc_95, converted_stat * 3, IF(bbgm_stat &gt;= perc_90, converted_stat * 2, IF(bbgm_stat &gt;= perc_85, converted_stat * 1.5, converted_stat)))))</f>
        <v/>
      </c>
    </row>
    <row r="475">
      <c r="A475" s="30"/>
      <c r="B475" s="30" t="str">
        <f t="array" ref="B475">IF($A475="", "", LET(bbgm_stat, INDEX(Players!$A474:$P474, MATCH(B$2, Players!$A$1:$P$1, 0)), perc_75, VLOOKUP(B$2, Percentiles!$A$45:$I$59, 6, FALSE), perc_90, VLOOKUP(B$2, Percentiles!$A$45:$I$59, 7, FALSE), perc_95, VLOOKUP(B$2, Percentiles!$A$45:$I$59, 8, FALSE), perc_85, perc_75 + (perc_90 - perc_75) * (2/3), converted_stat, '2K_Ratings'!B475, IF(bbgm_stat &gt;= perc_95, converted_stat * 3, IF(bbgm_stat &gt;= perc_90, converted_stat * 2, IF(bbgm_stat &gt;= perc_85, converted_stat * 1.5, converted_stat)))))</f>
        <v/>
      </c>
      <c r="C475" s="30" t="str">
        <f t="array" ref="C475">IF($A475="", "", LET(bbgm_stat, INDEX(Players!$A474:$P474, MATCH(C$2, Players!$A$1:$P$1, 0)), perc_75, VLOOKUP(C$2, Percentiles!$A$45:$I$59, 6, FALSE), perc_90, VLOOKUP(C$2, Percentiles!$A$45:$I$59, 7, FALSE), perc_95, VLOOKUP(C$2, Percentiles!$A$45:$I$59, 8, FALSE), perc_85, perc_75 + (perc_90 - perc_75) * (2/3), converted_stat, '2K_Ratings'!C475, IF(bbgm_stat &gt;= perc_95, converted_stat * 3, IF(bbgm_stat &gt;= perc_90, converted_stat * 2, IF(bbgm_stat &gt;= perc_85, converted_stat * 1.5, converted_stat)))))</f>
        <v/>
      </c>
      <c r="D475" s="30" t="str">
        <f t="array" ref="D475">IF($A475="", "", LET(bbgm_stat, INDEX(Players!$A474:$P474, MATCH(D$2, Players!$A$1:$P$1, 0)), perc_75, VLOOKUP(D$2, Percentiles!$A$45:$I$59, 6, FALSE), perc_90, VLOOKUP(D$2, Percentiles!$A$45:$I$59, 7, FALSE), perc_95, VLOOKUP(D$2, Percentiles!$A$45:$I$59, 8, FALSE), perc_85, perc_75 + (perc_90 - perc_75) * (2/3), converted_stat, '2K_Ratings'!D475, IF(bbgm_stat &gt;= perc_95, converted_stat * 3, IF(bbgm_stat &gt;= perc_90, converted_stat * 2, IF(bbgm_stat &gt;= perc_85, converted_stat * 1.5, converted_stat)))))</f>
        <v/>
      </c>
      <c r="E475" s="30" t="str">
        <f t="array" ref="E475">IF($A475="", "", LET(bbgm_stat, INDEX(Players!$A474:$P474, MATCH(E$2, Players!$A$1:$P$1, 0)), perc_75, VLOOKUP(E$2, Percentiles!$A$45:$I$59, 6, FALSE), perc_90, VLOOKUP(E$2, Percentiles!$A$45:$I$59, 7, FALSE), perc_95, VLOOKUP(E$2, Percentiles!$A$45:$I$59, 8, FALSE), perc_85, perc_75 + (perc_90 - perc_75) * (2/3), converted_stat, '2K_Ratings'!E475, IF(bbgm_stat &gt;= perc_95, converted_stat * 3, IF(bbgm_stat &gt;= perc_90, converted_stat * 2, IF(bbgm_stat &gt;= perc_85, converted_stat * 1.5, converted_stat)))))</f>
        <v/>
      </c>
      <c r="F475" s="30" t="str">
        <f t="array" ref="F475">IF($A475="", "", LET(bbgm_stat, INDEX(Players!$A474:$P474, MATCH(F$2, Players!$A$1:$P$1, 0)), perc_75, VLOOKUP(F$2, Percentiles!$A$45:$I$59, 6, FALSE), perc_90, VLOOKUP(F$2, Percentiles!$A$45:$I$59, 7, FALSE), perc_95, VLOOKUP(F$2, Percentiles!$A$45:$I$59, 8, FALSE), perc_85, perc_75 + (perc_90 - perc_75) * (2/3), converted_stat, '2K_Ratings'!F475, IF(bbgm_stat &gt;= perc_95, converted_stat * 3, IF(bbgm_stat &gt;= perc_90, converted_stat * 2, IF(bbgm_stat &gt;= perc_85, converted_stat * 1.5, converted_stat)))))</f>
        <v/>
      </c>
      <c r="G475" s="30" t="str">
        <f t="array" ref="G475">IF($A475="", "", LET(bbgm_stat, INDEX(Players!$A474:$P474, MATCH(G$2, Players!$A$1:$P$1, 0)), perc_75, VLOOKUP(G$2, Percentiles!$A$45:$I$59, 6, FALSE), perc_90, VLOOKUP(G$2, Percentiles!$A$45:$I$59, 7, FALSE), perc_95, VLOOKUP(G$2, Percentiles!$A$45:$I$59, 8, FALSE), perc_85, perc_75 + (perc_90 - perc_75) * (2/3), converted_stat, '2K_Ratings'!G475, IF(bbgm_stat &gt;= perc_95, converted_stat * 3, IF(bbgm_stat &gt;= perc_90, converted_stat * 2, IF(bbgm_stat &gt;= perc_85, converted_stat * 1.5, converted_stat)))))</f>
        <v/>
      </c>
      <c r="H475" s="30" t="str">
        <f t="array" ref="H475">IF($A475="", "", LET(bbgm_stat, INDEX(Players!$A474:$P474, MATCH(H$2, Players!$A$1:$P$1, 0)), perc_75, VLOOKUP(H$2, Percentiles!$A$45:$I$59, 6, FALSE), perc_90, VLOOKUP(H$2, Percentiles!$A$45:$I$59, 7, FALSE), perc_95, VLOOKUP(H$2, Percentiles!$A$45:$I$59, 8, FALSE), perc_85, perc_75 + (perc_90 - perc_75) * (2/3), converted_stat, '2K_Ratings'!H475, IF(bbgm_stat &gt;= perc_95, converted_stat * 3, IF(bbgm_stat &gt;= perc_90, converted_stat * 2, IF(bbgm_stat &gt;= perc_85, converted_stat * 1.5, converted_stat)))))</f>
        <v/>
      </c>
      <c r="I475" s="30" t="str">
        <f t="array" ref="I475">IF($A475="", "", LET(bbgm_stat, INDEX(Players!$A474:$P474, MATCH(I$2, Players!$A$1:$P$1, 0)), perc_75, VLOOKUP(I$2, Percentiles!$A$45:$I$59, 6, FALSE), perc_90, VLOOKUP(I$2, Percentiles!$A$45:$I$59, 7, FALSE), perc_95, VLOOKUP(I$2, Percentiles!$A$45:$I$59, 8, FALSE), perc_85, perc_75 + (perc_90 - perc_75) * (2/3), converted_stat, '2K_Ratings'!I475, IF(bbgm_stat &gt;= perc_95, converted_stat * 3, IF(bbgm_stat &gt;= perc_90, converted_stat * 2, IF(bbgm_stat &gt;= perc_85, converted_stat * 1.5, converted_stat)))))</f>
        <v/>
      </c>
      <c r="J475" s="30" t="str">
        <f t="array" ref="J475">IF($A475="", "", LET(bbgm_stat, INDEX(Players!$A474:$P474, MATCH(J$2, Players!$A$1:$P$1, 0)), perc_75, VLOOKUP(J$2, Percentiles!$A$45:$I$59, 6, FALSE), perc_90, VLOOKUP(J$2, Percentiles!$A$45:$I$59, 7, FALSE), perc_95, VLOOKUP(J$2, Percentiles!$A$45:$I$59, 8, FALSE), perc_85, perc_75 + (perc_90 - perc_75) * (2/3), converted_stat, '2K_Ratings'!J475, IF(bbgm_stat &gt;= perc_95, converted_stat * 3, IF(bbgm_stat &gt;= perc_90, converted_stat * 2, IF(bbgm_stat &gt;= perc_85, converted_stat * 1.5, converted_stat)))))</f>
        <v/>
      </c>
      <c r="K475" s="30" t="str">
        <f t="array" ref="K475">IF($A475="", "", LET(bbgm_stat, INDEX(Players!$A474:$P474, MATCH(K$2, Players!$A$1:$P$1, 0)), perc_75, VLOOKUP(K$2, Percentiles!$A$45:$I$59, 6, FALSE), perc_90, VLOOKUP(K$2, Percentiles!$A$45:$I$59, 7, FALSE), perc_95, VLOOKUP(K$2, Percentiles!$A$45:$I$59, 8, FALSE), perc_85, perc_75 + (perc_90 - perc_75) * (2/3), converted_stat, '2K_Ratings'!K475, IF(bbgm_stat &gt;= perc_95, converted_stat * 3, IF(bbgm_stat &gt;= perc_90, converted_stat * 2, IF(bbgm_stat &gt;= perc_85, converted_stat * 1.5, converted_stat)))))</f>
        <v/>
      </c>
      <c r="L475" s="30" t="str">
        <f t="array" ref="L475">IF($A475="", "", LET(bbgm_stat, INDEX(Players!$A474:$P474, MATCH(L$2, Players!$A$1:$P$1, 0)), perc_75, VLOOKUP(L$2, Percentiles!$A$45:$I$59, 6, FALSE), perc_90, VLOOKUP(L$2, Percentiles!$A$45:$I$59, 7, FALSE), perc_95, VLOOKUP(L$2, Percentiles!$A$45:$I$59, 8, FALSE), perc_85, perc_75 + (perc_90 - perc_75) * (2/3), converted_stat, '2K_Ratings'!L475, IF(bbgm_stat &gt;= perc_95, converted_stat * 3, IF(bbgm_stat &gt;= perc_90, converted_stat * 2, IF(bbgm_stat &gt;= perc_85, converted_stat * 1.5, converted_stat)))))</f>
        <v/>
      </c>
      <c r="M475" s="30" t="str">
        <f t="array" ref="M475">IF($A475="", "", LET(bbgm_stat, INDEX(Players!$A474:$P474, MATCH(M$2, Players!$A$1:$P$1, 0)), perc_75, VLOOKUP(M$2, Percentiles!$A$45:$I$59, 6, FALSE), perc_90, VLOOKUP(M$2, Percentiles!$A$45:$I$59, 7, FALSE), perc_95, VLOOKUP(M$2, Percentiles!$A$45:$I$59, 8, FALSE), perc_85, perc_75 + (perc_90 - perc_75) * (2/3), converted_stat, '2K_Ratings'!M475, IF(bbgm_stat &gt;= perc_95, converted_stat * 3, IF(bbgm_stat &gt;= perc_90, converted_stat * 2, IF(bbgm_stat &gt;= perc_85, converted_stat * 1.5, converted_stat)))))</f>
        <v/>
      </c>
      <c r="N475" s="30" t="str">
        <f t="array" ref="N475">IF($A475="", "", LET(bbgm_stat, INDEX(Players!$A474:$P474, MATCH(N$2, Players!$A$1:$P$1, 0)), perc_75, VLOOKUP(N$2, Percentiles!$A$45:$I$59, 6, FALSE), perc_90, VLOOKUP(N$2, Percentiles!$A$45:$I$59, 7, FALSE), perc_95, VLOOKUP(N$2, Percentiles!$A$45:$I$59, 8, FALSE), perc_85, perc_75 + (perc_90 - perc_75) * (2/3), converted_stat, '2K_Ratings'!N475, IF(bbgm_stat &gt;= perc_95, converted_stat * 3, IF(bbgm_stat &gt;= perc_90, converted_stat * 2, IF(bbgm_stat &gt;= perc_85, converted_stat * 1.5, converted_stat)))))</f>
        <v/>
      </c>
      <c r="O475" s="30" t="str">
        <f t="array" ref="O475">IF($A475="", "", LET(bbgm_stat, INDEX(Players!$A474:$P474, MATCH(O$2, Players!$A$1:$P$1, 0)), perc_75, VLOOKUP(O$2, Percentiles!$A$45:$I$59, 6, FALSE), perc_90, VLOOKUP(O$2, Percentiles!$A$45:$I$59, 7, FALSE), perc_95, VLOOKUP(O$2, Percentiles!$A$45:$I$59, 8, FALSE), perc_85, perc_75 + (perc_90 - perc_75) * (2/3), converted_stat, '2K_Ratings'!O475, IF(bbgm_stat &gt;= perc_95, converted_stat * 3, IF(bbgm_stat &gt;= perc_90, converted_stat * 2, IF(bbgm_stat &gt;= perc_85, converted_stat * 1.5, converted_stat)))))</f>
        <v/>
      </c>
      <c r="P475" s="30" t="str">
        <f t="array" ref="P475">IF($A475="", "", LET(bbgm_stat, INDEX(Players!$A474:$P474, MATCH(P$2, Players!$A$1:$P$1, 0)), perc_75, VLOOKUP(P$2, Percentiles!$A$45:$I$59, 6, FALSE), perc_90, VLOOKUP(P$2, Percentiles!$A$45:$I$59, 7, FALSE), perc_95, VLOOKUP(P$2, Percentiles!$A$45:$I$59, 8, FALSE), perc_85, perc_75 + (perc_90 - perc_75) * (2/3), converted_stat, '2K_Ratings'!P475, IF(bbgm_stat &gt;= perc_95, converted_stat * 3, IF(bbgm_stat &gt;= perc_90, converted_stat * 2, IF(bbgm_stat &gt;= perc_85, converted_stat * 1.5, converted_stat)))))</f>
        <v/>
      </c>
      <c r="Q475" s="30" t="str">
        <f t="array" ref="Q475">IF($A475="", "", LET(bbgm_stat, INDEX(Players!$A474:$P474, MATCH(Q$2, Players!$A$1:$P$1, 0)), perc_75, VLOOKUP(Q$2, Percentiles!$A$45:$I$59, 6, FALSE), perc_90, VLOOKUP(Q$2, Percentiles!$A$45:$I$59, 7, FALSE), perc_95, VLOOKUP(Q$2, Percentiles!$A$45:$I$59, 8, FALSE), perc_85, perc_75 + (perc_90 - perc_75) * (2/3), converted_stat, '2K_Ratings'!Q475, IF(bbgm_stat &gt;= perc_95, converted_stat * 3, IF(bbgm_stat &gt;= perc_90, converted_stat * 2, IF(bbgm_stat &gt;= perc_85, converted_stat * 1.5, converted_stat)))))</f>
        <v/>
      </c>
      <c r="R475" s="30" t="str">
        <f t="array" ref="R475">IF($A475="", "", LET(bbgm_stat, INDEX(Players!$A474:$P474, MATCH(R$2, Players!$A$1:$P$1, 0)), perc_75, VLOOKUP(R$2, Percentiles!$A$45:$I$59, 6, FALSE), perc_90, VLOOKUP(R$2, Percentiles!$A$45:$I$59, 7, FALSE), perc_95, VLOOKUP(R$2, Percentiles!$A$45:$I$59, 8, FALSE), perc_85, perc_75 + (perc_90 - perc_75) * (2/3), converted_stat, '2K_Ratings'!R475, IF(bbgm_stat &gt;= perc_95, converted_stat * 3, IF(bbgm_stat &gt;= perc_90, converted_stat * 2, IF(bbgm_stat &gt;= perc_85, converted_stat * 1.5, converted_stat)))))</f>
        <v/>
      </c>
      <c r="S475" s="30" t="str">
        <f t="array" ref="S475">IF($A475="", "", LET(bbgm_stat, INDEX(Players!$A474:$P474, MATCH(S$2, Players!$A$1:$P$1, 0)), perc_75, VLOOKUP(S$2, Percentiles!$A$45:$I$59, 6, FALSE), perc_90, VLOOKUP(S$2, Percentiles!$A$45:$I$59, 7, FALSE), perc_95, VLOOKUP(S$2, Percentiles!$A$45:$I$59, 8, FALSE), perc_85, perc_75 + (perc_90 - perc_75) * (2/3), converted_stat, '2K_Ratings'!S475, IF(bbgm_stat &gt;= perc_95, converted_stat * 3, IF(bbgm_stat &gt;= perc_90, converted_stat * 2, IF(bbgm_stat &gt;= perc_85, converted_stat * 1.5, converted_stat)))))</f>
        <v/>
      </c>
      <c r="T475" s="30" t="str">
        <f t="array" ref="T475">IF($A475="", "", LET(bbgm_stat, INDEX(Players!$A474:$P474, MATCH(T$2, Players!$A$1:$P$1, 0)), perc_75, VLOOKUP(T$2, Percentiles!$A$45:$I$59, 6, FALSE), perc_90, VLOOKUP(T$2, Percentiles!$A$45:$I$59, 7, FALSE), perc_95, VLOOKUP(T$2, Percentiles!$A$45:$I$59, 8, FALSE), perc_85, perc_75 + (perc_90 - perc_75) * (2/3), converted_stat, '2K_Ratings'!T475, IF(bbgm_stat &gt;= perc_95, converted_stat * 3, IF(bbgm_stat &gt;= perc_90, converted_stat * 2, IF(bbgm_stat &gt;= perc_85, converted_stat * 1.5, converted_stat)))))</f>
        <v/>
      </c>
      <c r="U475" s="30" t="str">
        <f t="array" ref="U475">IF($A475="", "", LET(bbgm_stat, INDEX(Players!$A474:$P474, MATCH(U$2, Players!$A$1:$P$1, 0)), perc_75, VLOOKUP(U$2, Percentiles!$A$45:$I$59, 6, FALSE), perc_90, VLOOKUP(U$2, Percentiles!$A$45:$I$59, 7, FALSE), perc_95, VLOOKUP(U$2, Percentiles!$A$45:$I$59, 8, FALSE), perc_85, perc_75 + (perc_90 - perc_75) * (2/3), converted_stat, '2K_Ratings'!U475, IF(bbgm_stat &gt;= perc_95, converted_stat * 3, IF(bbgm_stat &gt;= perc_90, converted_stat * 2, IF(bbgm_stat &gt;= perc_85, converted_stat * 1.5, converted_stat)))))</f>
        <v/>
      </c>
      <c r="V475" s="30" t="str">
        <f t="array" ref="V475">IF($A475="", "", LET(bbgm_stat, INDEX(Players!$A474:$P474, MATCH(V$2, Players!$A$1:$P$1, 0)), perc_75, VLOOKUP(V$2, Percentiles!$A$45:$I$59, 6, FALSE), perc_90, VLOOKUP(V$2, Percentiles!$A$45:$I$59, 7, FALSE), perc_95, VLOOKUP(V$2, Percentiles!$A$45:$I$59, 8, FALSE), perc_85, perc_75 + (perc_90 - perc_75) * (2/3), converted_stat, '2K_Ratings'!V475, IF(bbgm_stat &gt;= perc_95, converted_stat * 3, IF(bbgm_stat &gt;= perc_90, converted_stat * 2, IF(bbgm_stat &gt;= perc_85, converted_stat * 1.5, converted_stat)))))</f>
        <v/>
      </c>
      <c r="W475" s="30" t="str">
        <f t="array" ref="W475">IF($A475="", "", LET(bbgm_stat, INDEX(Players!$A474:$P474, MATCH(W$2, Players!$A$1:$P$1, 0)), perc_75, VLOOKUP(W$2, Percentiles!$A$45:$I$59, 6, FALSE), perc_90, VLOOKUP(W$2, Percentiles!$A$45:$I$59, 7, FALSE), perc_95, VLOOKUP(W$2, Percentiles!$A$45:$I$59, 8, FALSE), perc_85, perc_75 + (perc_90 - perc_75) * (2/3), converted_stat, '2K_Ratings'!W475, IF(bbgm_stat &gt;= perc_95, converted_stat * 3, IF(bbgm_stat &gt;= perc_90, converted_stat * 2, IF(bbgm_stat &gt;= perc_85, converted_stat * 1.5, converted_stat)))))</f>
        <v/>
      </c>
    </row>
    <row r="476">
      <c r="A476" s="30"/>
      <c r="B476" s="30" t="str">
        <f t="array" ref="B476">IF($A476="", "", LET(bbgm_stat, INDEX(Players!$A475:$P475, MATCH(B$2, Players!$A$1:$P$1, 0)), perc_75, VLOOKUP(B$2, Percentiles!$A$45:$I$59, 6, FALSE), perc_90, VLOOKUP(B$2, Percentiles!$A$45:$I$59, 7, FALSE), perc_95, VLOOKUP(B$2, Percentiles!$A$45:$I$59, 8, FALSE), perc_85, perc_75 + (perc_90 - perc_75) * (2/3), converted_stat, '2K_Ratings'!B476, IF(bbgm_stat &gt;= perc_95, converted_stat * 3, IF(bbgm_stat &gt;= perc_90, converted_stat * 2, IF(bbgm_stat &gt;= perc_85, converted_stat * 1.5, converted_stat)))))</f>
        <v/>
      </c>
      <c r="C476" s="30" t="str">
        <f t="array" ref="C476">IF($A476="", "", LET(bbgm_stat, INDEX(Players!$A475:$P475, MATCH(C$2, Players!$A$1:$P$1, 0)), perc_75, VLOOKUP(C$2, Percentiles!$A$45:$I$59, 6, FALSE), perc_90, VLOOKUP(C$2, Percentiles!$A$45:$I$59, 7, FALSE), perc_95, VLOOKUP(C$2, Percentiles!$A$45:$I$59, 8, FALSE), perc_85, perc_75 + (perc_90 - perc_75) * (2/3), converted_stat, '2K_Ratings'!C476, IF(bbgm_stat &gt;= perc_95, converted_stat * 3, IF(bbgm_stat &gt;= perc_90, converted_stat * 2, IF(bbgm_stat &gt;= perc_85, converted_stat * 1.5, converted_stat)))))</f>
        <v/>
      </c>
      <c r="D476" s="30" t="str">
        <f t="array" ref="D476">IF($A476="", "", LET(bbgm_stat, INDEX(Players!$A475:$P475, MATCH(D$2, Players!$A$1:$P$1, 0)), perc_75, VLOOKUP(D$2, Percentiles!$A$45:$I$59, 6, FALSE), perc_90, VLOOKUP(D$2, Percentiles!$A$45:$I$59, 7, FALSE), perc_95, VLOOKUP(D$2, Percentiles!$A$45:$I$59, 8, FALSE), perc_85, perc_75 + (perc_90 - perc_75) * (2/3), converted_stat, '2K_Ratings'!D476, IF(bbgm_stat &gt;= perc_95, converted_stat * 3, IF(bbgm_stat &gt;= perc_90, converted_stat * 2, IF(bbgm_stat &gt;= perc_85, converted_stat * 1.5, converted_stat)))))</f>
        <v/>
      </c>
      <c r="E476" s="30" t="str">
        <f t="array" ref="E476">IF($A476="", "", LET(bbgm_stat, INDEX(Players!$A475:$P475, MATCH(E$2, Players!$A$1:$P$1, 0)), perc_75, VLOOKUP(E$2, Percentiles!$A$45:$I$59, 6, FALSE), perc_90, VLOOKUP(E$2, Percentiles!$A$45:$I$59, 7, FALSE), perc_95, VLOOKUP(E$2, Percentiles!$A$45:$I$59, 8, FALSE), perc_85, perc_75 + (perc_90 - perc_75) * (2/3), converted_stat, '2K_Ratings'!E476, IF(bbgm_stat &gt;= perc_95, converted_stat * 3, IF(bbgm_stat &gt;= perc_90, converted_stat * 2, IF(bbgm_stat &gt;= perc_85, converted_stat * 1.5, converted_stat)))))</f>
        <v/>
      </c>
      <c r="F476" s="30" t="str">
        <f t="array" ref="F476">IF($A476="", "", LET(bbgm_stat, INDEX(Players!$A475:$P475, MATCH(F$2, Players!$A$1:$P$1, 0)), perc_75, VLOOKUP(F$2, Percentiles!$A$45:$I$59, 6, FALSE), perc_90, VLOOKUP(F$2, Percentiles!$A$45:$I$59, 7, FALSE), perc_95, VLOOKUP(F$2, Percentiles!$A$45:$I$59, 8, FALSE), perc_85, perc_75 + (perc_90 - perc_75) * (2/3), converted_stat, '2K_Ratings'!F476, IF(bbgm_stat &gt;= perc_95, converted_stat * 3, IF(bbgm_stat &gt;= perc_90, converted_stat * 2, IF(bbgm_stat &gt;= perc_85, converted_stat * 1.5, converted_stat)))))</f>
        <v/>
      </c>
      <c r="G476" s="30" t="str">
        <f t="array" ref="G476">IF($A476="", "", LET(bbgm_stat, INDEX(Players!$A475:$P475, MATCH(G$2, Players!$A$1:$P$1, 0)), perc_75, VLOOKUP(G$2, Percentiles!$A$45:$I$59, 6, FALSE), perc_90, VLOOKUP(G$2, Percentiles!$A$45:$I$59, 7, FALSE), perc_95, VLOOKUP(G$2, Percentiles!$A$45:$I$59, 8, FALSE), perc_85, perc_75 + (perc_90 - perc_75) * (2/3), converted_stat, '2K_Ratings'!G476, IF(bbgm_stat &gt;= perc_95, converted_stat * 3, IF(bbgm_stat &gt;= perc_90, converted_stat * 2, IF(bbgm_stat &gt;= perc_85, converted_stat * 1.5, converted_stat)))))</f>
        <v/>
      </c>
      <c r="H476" s="30" t="str">
        <f t="array" ref="H476">IF($A476="", "", LET(bbgm_stat, INDEX(Players!$A475:$P475, MATCH(H$2, Players!$A$1:$P$1, 0)), perc_75, VLOOKUP(H$2, Percentiles!$A$45:$I$59, 6, FALSE), perc_90, VLOOKUP(H$2, Percentiles!$A$45:$I$59, 7, FALSE), perc_95, VLOOKUP(H$2, Percentiles!$A$45:$I$59, 8, FALSE), perc_85, perc_75 + (perc_90 - perc_75) * (2/3), converted_stat, '2K_Ratings'!H476, IF(bbgm_stat &gt;= perc_95, converted_stat * 3, IF(bbgm_stat &gt;= perc_90, converted_stat * 2, IF(bbgm_stat &gt;= perc_85, converted_stat * 1.5, converted_stat)))))</f>
        <v/>
      </c>
      <c r="I476" s="30" t="str">
        <f t="array" ref="I476">IF($A476="", "", LET(bbgm_stat, INDEX(Players!$A475:$P475, MATCH(I$2, Players!$A$1:$P$1, 0)), perc_75, VLOOKUP(I$2, Percentiles!$A$45:$I$59, 6, FALSE), perc_90, VLOOKUP(I$2, Percentiles!$A$45:$I$59, 7, FALSE), perc_95, VLOOKUP(I$2, Percentiles!$A$45:$I$59, 8, FALSE), perc_85, perc_75 + (perc_90 - perc_75) * (2/3), converted_stat, '2K_Ratings'!I476, IF(bbgm_stat &gt;= perc_95, converted_stat * 3, IF(bbgm_stat &gt;= perc_90, converted_stat * 2, IF(bbgm_stat &gt;= perc_85, converted_stat * 1.5, converted_stat)))))</f>
        <v/>
      </c>
      <c r="J476" s="30" t="str">
        <f t="array" ref="J476">IF($A476="", "", LET(bbgm_stat, INDEX(Players!$A475:$P475, MATCH(J$2, Players!$A$1:$P$1, 0)), perc_75, VLOOKUP(J$2, Percentiles!$A$45:$I$59, 6, FALSE), perc_90, VLOOKUP(J$2, Percentiles!$A$45:$I$59, 7, FALSE), perc_95, VLOOKUP(J$2, Percentiles!$A$45:$I$59, 8, FALSE), perc_85, perc_75 + (perc_90 - perc_75) * (2/3), converted_stat, '2K_Ratings'!J476, IF(bbgm_stat &gt;= perc_95, converted_stat * 3, IF(bbgm_stat &gt;= perc_90, converted_stat * 2, IF(bbgm_stat &gt;= perc_85, converted_stat * 1.5, converted_stat)))))</f>
        <v/>
      </c>
      <c r="K476" s="30" t="str">
        <f t="array" ref="K476">IF($A476="", "", LET(bbgm_stat, INDEX(Players!$A475:$P475, MATCH(K$2, Players!$A$1:$P$1, 0)), perc_75, VLOOKUP(K$2, Percentiles!$A$45:$I$59, 6, FALSE), perc_90, VLOOKUP(K$2, Percentiles!$A$45:$I$59, 7, FALSE), perc_95, VLOOKUP(K$2, Percentiles!$A$45:$I$59, 8, FALSE), perc_85, perc_75 + (perc_90 - perc_75) * (2/3), converted_stat, '2K_Ratings'!K476, IF(bbgm_stat &gt;= perc_95, converted_stat * 3, IF(bbgm_stat &gt;= perc_90, converted_stat * 2, IF(bbgm_stat &gt;= perc_85, converted_stat * 1.5, converted_stat)))))</f>
        <v/>
      </c>
      <c r="L476" s="30" t="str">
        <f t="array" ref="L476">IF($A476="", "", LET(bbgm_stat, INDEX(Players!$A475:$P475, MATCH(L$2, Players!$A$1:$P$1, 0)), perc_75, VLOOKUP(L$2, Percentiles!$A$45:$I$59, 6, FALSE), perc_90, VLOOKUP(L$2, Percentiles!$A$45:$I$59, 7, FALSE), perc_95, VLOOKUP(L$2, Percentiles!$A$45:$I$59, 8, FALSE), perc_85, perc_75 + (perc_90 - perc_75) * (2/3), converted_stat, '2K_Ratings'!L476, IF(bbgm_stat &gt;= perc_95, converted_stat * 3, IF(bbgm_stat &gt;= perc_90, converted_stat * 2, IF(bbgm_stat &gt;= perc_85, converted_stat * 1.5, converted_stat)))))</f>
        <v/>
      </c>
      <c r="M476" s="30" t="str">
        <f t="array" ref="M476">IF($A476="", "", LET(bbgm_stat, INDEX(Players!$A475:$P475, MATCH(M$2, Players!$A$1:$P$1, 0)), perc_75, VLOOKUP(M$2, Percentiles!$A$45:$I$59, 6, FALSE), perc_90, VLOOKUP(M$2, Percentiles!$A$45:$I$59, 7, FALSE), perc_95, VLOOKUP(M$2, Percentiles!$A$45:$I$59, 8, FALSE), perc_85, perc_75 + (perc_90 - perc_75) * (2/3), converted_stat, '2K_Ratings'!M476, IF(bbgm_stat &gt;= perc_95, converted_stat * 3, IF(bbgm_stat &gt;= perc_90, converted_stat * 2, IF(bbgm_stat &gt;= perc_85, converted_stat * 1.5, converted_stat)))))</f>
        <v/>
      </c>
      <c r="N476" s="30" t="str">
        <f t="array" ref="N476">IF($A476="", "", LET(bbgm_stat, INDEX(Players!$A475:$P475, MATCH(N$2, Players!$A$1:$P$1, 0)), perc_75, VLOOKUP(N$2, Percentiles!$A$45:$I$59, 6, FALSE), perc_90, VLOOKUP(N$2, Percentiles!$A$45:$I$59, 7, FALSE), perc_95, VLOOKUP(N$2, Percentiles!$A$45:$I$59, 8, FALSE), perc_85, perc_75 + (perc_90 - perc_75) * (2/3), converted_stat, '2K_Ratings'!N476, IF(bbgm_stat &gt;= perc_95, converted_stat * 3, IF(bbgm_stat &gt;= perc_90, converted_stat * 2, IF(bbgm_stat &gt;= perc_85, converted_stat * 1.5, converted_stat)))))</f>
        <v/>
      </c>
      <c r="O476" s="30" t="str">
        <f t="array" ref="O476">IF($A476="", "", LET(bbgm_stat, INDEX(Players!$A475:$P475, MATCH(O$2, Players!$A$1:$P$1, 0)), perc_75, VLOOKUP(O$2, Percentiles!$A$45:$I$59, 6, FALSE), perc_90, VLOOKUP(O$2, Percentiles!$A$45:$I$59, 7, FALSE), perc_95, VLOOKUP(O$2, Percentiles!$A$45:$I$59, 8, FALSE), perc_85, perc_75 + (perc_90 - perc_75) * (2/3), converted_stat, '2K_Ratings'!O476, IF(bbgm_stat &gt;= perc_95, converted_stat * 3, IF(bbgm_stat &gt;= perc_90, converted_stat * 2, IF(bbgm_stat &gt;= perc_85, converted_stat * 1.5, converted_stat)))))</f>
        <v/>
      </c>
      <c r="P476" s="30" t="str">
        <f t="array" ref="P476">IF($A476="", "", LET(bbgm_stat, INDEX(Players!$A475:$P475, MATCH(P$2, Players!$A$1:$P$1, 0)), perc_75, VLOOKUP(P$2, Percentiles!$A$45:$I$59, 6, FALSE), perc_90, VLOOKUP(P$2, Percentiles!$A$45:$I$59, 7, FALSE), perc_95, VLOOKUP(P$2, Percentiles!$A$45:$I$59, 8, FALSE), perc_85, perc_75 + (perc_90 - perc_75) * (2/3), converted_stat, '2K_Ratings'!P476, IF(bbgm_stat &gt;= perc_95, converted_stat * 3, IF(bbgm_stat &gt;= perc_90, converted_stat * 2, IF(bbgm_stat &gt;= perc_85, converted_stat * 1.5, converted_stat)))))</f>
        <v/>
      </c>
      <c r="Q476" s="30" t="str">
        <f t="array" ref="Q476">IF($A476="", "", LET(bbgm_stat, INDEX(Players!$A475:$P475, MATCH(Q$2, Players!$A$1:$P$1, 0)), perc_75, VLOOKUP(Q$2, Percentiles!$A$45:$I$59, 6, FALSE), perc_90, VLOOKUP(Q$2, Percentiles!$A$45:$I$59, 7, FALSE), perc_95, VLOOKUP(Q$2, Percentiles!$A$45:$I$59, 8, FALSE), perc_85, perc_75 + (perc_90 - perc_75) * (2/3), converted_stat, '2K_Ratings'!Q476, IF(bbgm_stat &gt;= perc_95, converted_stat * 3, IF(bbgm_stat &gt;= perc_90, converted_stat * 2, IF(bbgm_stat &gt;= perc_85, converted_stat * 1.5, converted_stat)))))</f>
        <v/>
      </c>
      <c r="R476" s="30" t="str">
        <f t="array" ref="R476">IF($A476="", "", LET(bbgm_stat, INDEX(Players!$A475:$P475, MATCH(R$2, Players!$A$1:$P$1, 0)), perc_75, VLOOKUP(R$2, Percentiles!$A$45:$I$59, 6, FALSE), perc_90, VLOOKUP(R$2, Percentiles!$A$45:$I$59, 7, FALSE), perc_95, VLOOKUP(R$2, Percentiles!$A$45:$I$59, 8, FALSE), perc_85, perc_75 + (perc_90 - perc_75) * (2/3), converted_stat, '2K_Ratings'!R476, IF(bbgm_stat &gt;= perc_95, converted_stat * 3, IF(bbgm_stat &gt;= perc_90, converted_stat * 2, IF(bbgm_stat &gt;= perc_85, converted_stat * 1.5, converted_stat)))))</f>
        <v/>
      </c>
      <c r="S476" s="30" t="str">
        <f t="array" ref="S476">IF($A476="", "", LET(bbgm_stat, INDEX(Players!$A475:$P475, MATCH(S$2, Players!$A$1:$P$1, 0)), perc_75, VLOOKUP(S$2, Percentiles!$A$45:$I$59, 6, FALSE), perc_90, VLOOKUP(S$2, Percentiles!$A$45:$I$59, 7, FALSE), perc_95, VLOOKUP(S$2, Percentiles!$A$45:$I$59, 8, FALSE), perc_85, perc_75 + (perc_90 - perc_75) * (2/3), converted_stat, '2K_Ratings'!S476, IF(bbgm_stat &gt;= perc_95, converted_stat * 3, IF(bbgm_stat &gt;= perc_90, converted_stat * 2, IF(bbgm_stat &gt;= perc_85, converted_stat * 1.5, converted_stat)))))</f>
        <v/>
      </c>
      <c r="T476" s="30" t="str">
        <f t="array" ref="T476">IF($A476="", "", LET(bbgm_stat, INDEX(Players!$A475:$P475, MATCH(T$2, Players!$A$1:$P$1, 0)), perc_75, VLOOKUP(T$2, Percentiles!$A$45:$I$59, 6, FALSE), perc_90, VLOOKUP(T$2, Percentiles!$A$45:$I$59, 7, FALSE), perc_95, VLOOKUP(T$2, Percentiles!$A$45:$I$59, 8, FALSE), perc_85, perc_75 + (perc_90 - perc_75) * (2/3), converted_stat, '2K_Ratings'!T476, IF(bbgm_stat &gt;= perc_95, converted_stat * 3, IF(bbgm_stat &gt;= perc_90, converted_stat * 2, IF(bbgm_stat &gt;= perc_85, converted_stat * 1.5, converted_stat)))))</f>
        <v/>
      </c>
      <c r="U476" s="30" t="str">
        <f t="array" ref="U476">IF($A476="", "", LET(bbgm_stat, INDEX(Players!$A475:$P475, MATCH(U$2, Players!$A$1:$P$1, 0)), perc_75, VLOOKUP(U$2, Percentiles!$A$45:$I$59, 6, FALSE), perc_90, VLOOKUP(U$2, Percentiles!$A$45:$I$59, 7, FALSE), perc_95, VLOOKUP(U$2, Percentiles!$A$45:$I$59, 8, FALSE), perc_85, perc_75 + (perc_90 - perc_75) * (2/3), converted_stat, '2K_Ratings'!U476, IF(bbgm_stat &gt;= perc_95, converted_stat * 3, IF(bbgm_stat &gt;= perc_90, converted_stat * 2, IF(bbgm_stat &gt;= perc_85, converted_stat * 1.5, converted_stat)))))</f>
        <v/>
      </c>
      <c r="V476" s="30" t="str">
        <f t="array" ref="V476">IF($A476="", "", LET(bbgm_stat, INDEX(Players!$A475:$P475, MATCH(V$2, Players!$A$1:$P$1, 0)), perc_75, VLOOKUP(V$2, Percentiles!$A$45:$I$59, 6, FALSE), perc_90, VLOOKUP(V$2, Percentiles!$A$45:$I$59, 7, FALSE), perc_95, VLOOKUP(V$2, Percentiles!$A$45:$I$59, 8, FALSE), perc_85, perc_75 + (perc_90 - perc_75) * (2/3), converted_stat, '2K_Ratings'!V476, IF(bbgm_stat &gt;= perc_95, converted_stat * 3, IF(bbgm_stat &gt;= perc_90, converted_stat * 2, IF(bbgm_stat &gt;= perc_85, converted_stat * 1.5, converted_stat)))))</f>
        <v/>
      </c>
      <c r="W476" s="30" t="str">
        <f t="array" ref="W476">IF($A476="", "", LET(bbgm_stat, INDEX(Players!$A475:$P475, MATCH(W$2, Players!$A$1:$P$1, 0)), perc_75, VLOOKUP(W$2, Percentiles!$A$45:$I$59, 6, FALSE), perc_90, VLOOKUP(W$2, Percentiles!$A$45:$I$59, 7, FALSE), perc_95, VLOOKUP(W$2, Percentiles!$A$45:$I$59, 8, FALSE), perc_85, perc_75 + (perc_90 - perc_75) * (2/3), converted_stat, '2K_Ratings'!W476, IF(bbgm_stat &gt;= perc_95, converted_stat * 3, IF(bbgm_stat &gt;= perc_90, converted_stat * 2, IF(bbgm_stat &gt;= perc_85, converted_stat * 1.5, converted_stat)))))</f>
        <v/>
      </c>
    </row>
    <row r="477">
      <c r="A477" s="30"/>
      <c r="B477" s="30" t="str">
        <f t="array" ref="B477">IF($A477="", "", LET(bbgm_stat, INDEX(Players!$A476:$P476, MATCH(B$2, Players!$A$1:$P$1, 0)), perc_75, VLOOKUP(B$2, Percentiles!$A$45:$I$59, 6, FALSE), perc_90, VLOOKUP(B$2, Percentiles!$A$45:$I$59, 7, FALSE), perc_95, VLOOKUP(B$2, Percentiles!$A$45:$I$59, 8, FALSE), perc_85, perc_75 + (perc_90 - perc_75) * (2/3), converted_stat, '2K_Ratings'!B477, IF(bbgm_stat &gt;= perc_95, converted_stat * 3, IF(bbgm_stat &gt;= perc_90, converted_stat * 2, IF(bbgm_stat &gt;= perc_85, converted_stat * 1.5, converted_stat)))))</f>
        <v/>
      </c>
      <c r="C477" s="30" t="str">
        <f t="array" ref="C477">IF($A477="", "", LET(bbgm_stat, INDEX(Players!$A476:$P476, MATCH(C$2, Players!$A$1:$P$1, 0)), perc_75, VLOOKUP(C$2, Percentiles!$A$45:$I$59, 6, FALSE), perc_90, VLOOKUP(C$2, Percentiles!$A$45:$I$59, 7, FALSE), perc_95, VLOOKUP(C$2, Percentiles!$A$45:$I$59, 8, FALSE), perc_85, perc_75 + (perc_90 - perc_75) * (2/3), converted_stat, '2K_Ratings'!C477, IF(bbgm_stat &gt;= perc_95, converted_stat * 3, IF(bbgm_stat &gt;= perc_90, converted_stat * 2, IF(bbgm_stat &gt;= perc_85, converted_stat * 1.5, converted_stat)))))</f>
        <v/>
      </c>
      <c r="D477" s="30" t="str">
        <f t="array" ref="D477">IF($A477="", "", LET(bbgm_stat, INDEX(Players!$A476:$P476, MATCH(D$2, Players!$A$1:$P$1, 0)), perc_75, VLOOKUP(D$2, Percentiles!$A$45:$I$59, 6, FALSE), perc_90, VLOOKUP(D$2, Percentiles!$A$45:$I$59, 7, FALSE), perc_95, VLOOKUP(D$2, Percentiles!$A$45:$I$59, 8, FALSE), perc_85, perc_75 + (perc_90 - perc_75) * (2/3), converted_stat, '2K_Ratings'!D477, IF(bbgm_stat &gt;= perc_95, converted_stat * 3, IF(bbgm_stat &gt;= perc_90, converted_stat * 2, IF(bbgm_stat &gt;= perc_85, converted_stat * 1.5, converted_stat)))))</f>
        <v/>
      </c>
      <c r="E477" s="30" t="str">
        <f t="array" ref="E477">IF($A477="", "", LET(bbgm_stat, INDEX(Players!$A476:$P476, MATCH(E$2, Players!$A$1:$P$1, 0)), perc_75, VLOOKUP(E$2, Percentiles!$A$45:$I$59, 6, FALSE), perc_90, VLOOKUP(E$2, Percentiles!$A$45:$I$59, 7, FALSE), perc_95, VLOOKUP(E$2, Percentiles!$A$45:$I$59, 8, FALSE), perc_85, perc_75 + (perc_90 - perc_75) * (2/3), converted_stat, '2K_Ratings'!E477, IF(bbgm_stat &gt;= perc_95, converted_stat * 3, IF(bbgm_stat &gt;= perc_90, converted_stat * 2, IF(bbgm_stat &gt;= perc_85, converted_stat * 1.5, converted_stat)))))</f>
        <v/>
      </c>
      <c r="F477" s="30" t="str">
        <f t="array" ref="F477">IF($A477="", "", LET(bbgm_stat, INDEX(Players!$A476:$P476, MATCH(F$2, Players!$A$1:$P$1, 0)), perc_75, VLOOKUP(F$2, Percentiles!$A$45:$I$59, 6, FALSE), perc_90, VLOOKUP(F$2, Percentiles!$A$45:$I$59, 7, FALSE), perc_95, VLOOKUP(F$2, Percentiles!$A$45:$I$59, 8, FALSE), perc_85, perc_75 + (perc_90 - perc_75) * (2/3), converted_stat, '2K_Ratings'!F477, IF(bbgm_stat &gt;= perc_95, converted_stat * 3, IF(bbgm_stat &gt;= perc_90, converted_stat * 2, IF(bbgm_stat &gt;= perc_85, converted_stat * 1.5, converted_stat)))))</f>
        <v/>
      </c>
      <c r="G477" s="30" t="str">
        <f t="array" ref="G477">IF($A477="", "", LET(bbgm_stat, INDEX(Players!$A476:$P476, MATCH(G$2, Players!$A$1:$P$1, 0)), perc_75, VLOOKUP(G$2, Percentiles!$A$45:$I$59, 6, FALSE), perc_90, VLOOKUP(G$2, Percentiles!$A$45:$I$59, 7, FALSE), perc_95, VLOOKUP(G$2, Percentiles!$A$45:$I$59, 8, FALSE), perc_85, perc_75 + (perc_90 - perc_75) * (2/3), converted_stat, '2K_Ratings'!G477, IF(bbgm_stat &gt;= perc_95, converted_stat * 3, IF(bbgm_stat &gt;= perc_90, converted_stat * 2, IF(bbgm_stat &gt;= perc_85, converted_stat * 1.5, converted_stat)))))</f>
        <v/>
      </c>
      <c r="H477" s="30" t="str">
        <f t="array" ref="H477">IF($A477="", "", LET(bbgm_stat, INDEX(Players!$A476:$P476, MATCH(H$2, Players!$A$1:$P$1, 0)), perc_75, VLOOKUP(H$2, Percentiles!$A$45:$I$59, 6, FALSE), perc_90, VLOOKUP(H$2, Percentiles!$A$45:$I$59, 7, FALSE), perc_95, VLOOKUP(H$2, Percentiles!$A$45:$I$59, 8, FALSE), perc_85, perc_75 + (perc_90 - perc_75) * (2/3), converted_stat, '2K_Ratings'!H477, IF(bbgm_stat &gt;= perc_95, converted_stat * 3, IF(bbgm_stat &gt;= perc_90, converted_stat * 2, IF(bbgm_stat &gt;= perc_85, converted_stat * 1.5, converted_stat)))))</f>
        <v/>
      </c>
      <c r="I477" s="30" t="str">
        <f t="array" ref="I477">IF($A477="", "", LET(bbgm_stat, INDEX(Players!$A476:$P476, MATCH(I$2, Players!$A$1:$P$1, 0)), perc_75, VLOOKUP(I$2, Percentiles!$A$45:$I$59, 6, FALSE), perc_90, VLOOKUP(I$2, Percentiles!$A$45:$I$59, 7, FALSE), perc_95, VLOOKUP(I$2, Percentiles!$A$45:$I$59, 8, FALSE), perc_85, perc_75 + (perc_90 - perc_75) * (2/3), converted_stat, '2K_Ratings'!I477, IF(bbgm_stat &gt;= perc_95, converted_stat * 3, IF(bbgm_stat &gt;= perc_90, converted_stat * 2, IF(bbgm_stat &gt;= perc_85, converted_stat * 1.5, converted_stat)))))</f>
        <v/>
      </c>
      <c r="J477" s="30" t="str">
        <f t="array" ref="J477">IF($A477="", "", LET(bbgm_stat, INDEX(Players!$A476:$P476, MATCH(J$2, Players!$A$1:$P$1, 0)), perc_75, VLOOKUP(J$2, Percentiles!$A$45:$I$59, 6, FALSE), perc_90, VLOOKUP(J$2, Percentiles!$A$45:$I$59, 7, FALSE), perc_95, VLOOKUP(J$2, Percentiles!$A$45:$I$59, 8, FALSE), perc_85, perc_75 + (perc_90 - perc_75) * (2/3), converted_stat, '2K_Ratings'!J477, IF(bbgm_stat &gt;= perc_95, converted_stat * 3, IF(bbgm_stat &gt;= perc_90, converted_stat * 2, IF(bbgm_stat &gt;= perc_85, converted_stat * 1.5, converted_stat)))))</f>
        <v/>
      </c>
      <c r="K477" s="30" t="str">
        <f t="array" ref="K477">IF($A477="", "", LET(bbgm_stat, INDEX(Players!$A476:$P476, MATCH(K$2, Players!$A$1:$P$1, 0)), perc_75, VLOOKUP(K$2, Percentiles!$A$45:$I$59, 6, FALSE), perc_90, VLOOKUP(K$2, Percentiles!$A$45:$I$59, 7, FALSE), perc_95, VLOOKUP(K$2, Percentiles!$A$45:$I$59, 8, FALSE), perc_85, perc_75 + (perc_90 - perc_75) * (2/3), converted_stat, '2K_Ratings'!K477, IF(bbgm_stat &gt;= perc_95, converted_stat * 3, IF(bbgm_stat &gt;= perc_90, converted_stat * 2, IF(bbgm_stat &gt;= perc_85, converted_stat * 1.5, converted_stat)))))</f>
        <v/>
      </c>
      <c r="L477" s="30" t="str">
        <f t="array" ref="L477">IF($A477="", "", LET(bbgm_stat, INDEX(Players!$A476:$P476, MATCH(L$2, Players!$A$1:$P$1, 0)), perc_75, VLOOKUP(L$2, Percentiles!$A$45:$I$59, 6, FALSE), perc_90, VLOOKUP(L$2, Percentiles!$A$45:$I$59, 7, FALSE), perc_95, VLOOKUP(L$2, Percentiles!$A$45:$I$59, 8, FALSE), perc_85, perc_75 + (perc_90 - perc_75) * (2/3), converted_stat, '2K_Ratings'!L477, IF(bbgm_stat &gt;= perc_95, converted_stat * 3, IF(bbgm_stat &gt;= perc_90, converted_stat * 2, IF(bbgm_stat &gt;= perc_85, converted_stat * 1.5, converted_stat)))))</f>
        <v/>
      </c>
      <c r="M477" s="30" t="str">
        <f t="array" ref="M477">IF($A477="", "", LET(bbgm_stat, INDEX(Players!$A476:$P476, MATCH(M$2, Players!$A$1:$P$1, 0)), perc_75, VLOOKUP(M$2, Percentiles!$A$45:$I$59, 6, FALSE), perc_90, VLOOKUP(M$2, Percentiles!$A$45:$I$59, 7, FALSE), perc_95, VLOOKUP(M$2, Percentiles!$A$45:$I$59, 8, FALSE), perc_85, perc_75 + (perc_90 - perc_75) * (2/3), converted_stat, '2K_Ratings'!M477, IF(bbgm_stat &gt;= perc_95, converted_stat * 3, IF(bbgm_stat &gt;= perc_90, converted_stat * 2, IF(bbgm_stat &gt;= perc_85, converted_stat * 1.5, converted_stat)))))</f>
        <v/>
      </c>
      <c r="N477" s="30" t="str">
        <f t="array" ref="N477">IF($A477="", "", LET(bbgm_stat, INDEX(Players!$A476:$P476, MATCH(N$2, Players!$A$1:$P$1, 0)), perc_75, VLOOKUP(N$2, Percentiles!$A$45:$I$59, 6, FALSE), perc_90, VLOOKUP(N$2, Percentiles!$A$45:$I$59, 7, FALSE), perc_95, VLOOKUP(N$2, Percentiles!$A$45:$I$59, 8, FALSE), perc_85, perc_75 + (perc_90 - perc_75) * (2/3), converted_stat, '2K_Ratings'!N477, IF(bbgm_stat &gt;= perc_95, converted_stat * 3, IF(bbgm_stat &gt;= perc_90, converted_stat * 2, IF(bbgm_stat &gt;= perc_85, converted_stat * 1.5, converted_stat)))))</f>
        <v/>
      </c>
      <c r="O477" s="30" t="str">
        <f t="array" ref="O477">IF($A477="", "", LET(bbgm_stat, INDEX(Players!$A476:$P476, MATCH(O$2, Players!$A$1:$P$1, 0)), perc_75, VLOOKUP(O$2, Percentiles!$A$45:$I$59, 6, FALSE), perc_90, VLOOKUP(O$2, Percentiles!$A$45:$I$59, 7, FALSE), perc_95, VLOOKUP(O$2, Percentiles!$A$45:$I$59, 8, FALSE), perc_85, perc_75 + (perc_90 - perc_75) * (2/3), converted_stat, '2K_Ratings'!O477, IF(bbgm_stat &gt;= perc_95, converted_stat * 3, IF(bbgm_stat &gt;= perc_90, converted_stat * 2, IF(bbgm_stat &gt;= perc_85, converted_stat * 1.5, converted_stat)))))</f>
        <v/>
      </c>
      <c r="P477" s="30" t="str">
        <f t="array" ref="P477">IF($A477="", "", LET(bbgm_stat, INDEX(Players!$A476:$P476, MATCH(P$2, Players!$A$1:$P$1, 0)), perc_75, VLOOKUP(P$2, Percentiles!$A$45:$I$59, 6, FALSE), perc_90, VLOOKUP(P$2, Percentiles!$A$45:$I$59, 7, FALSE), perc_95, VLOOKUP(P$2, Percentiles!$A$45:$I$59, 8, FALSE), perc_85, perc_75 + (perc_90 - perc_75) * (2/3), converted_stat, '2K_Ratings'!P477, IF(bbgm_stat &gt;= perc_95, converted_stat * 3, IF(bbgm_stat &gt;= perc_90, converted_stat * 2, IF(bbgm_stat &gt;= perc_85, converted_stat * 1.5, converted_stat)))))</f>
        <v/>
      </c>
      <c r="Q477" s="30" t="str">
        <f t="array" ref="Q477">IF($A477="", "", LET(bbgm_stat, INDEX(Players!$A476:$P476, MATCH(Q$2, Players!$A$1:$P$1, 0)), perc_75, VLOOKUP(Q$2, Percentiles!$A$45:$I$59, 6, FALSE), perc_90, VLOOKUP(Q$2, Percentiles!$A$45:$I$59, 7, FALSE), perc_95, VLOOKUP(Q$2, Percentiles!$A$45:$I$59, 8, FALSE), perc_85, perc_75 + (perc_90 - perc_75) * (2/3), converted_stat, '2K_Ratings'!Q477, IF(bbgm_stat &gt;= perc_95, converted_stat * 3, IF(bbgm_stat &gt;= perc_90, converted_stat * 2, IF(bbgm_stat &gt;= perc_85, converted_stat * 1.5, converted_stat)))))</f>
        <v/>
      </c>
      <c r="R477" s="30" t="str">
        <f t="array" ref="R477">IF($A477="", "", LET(bbgm_stat, INDEX(Players!$A476:$P476, MATCH(R$2, Players!$A$1:$P$1, 0)), perc_75, VLOOKUP(R$2, Percentiles!$A$45:$I$59, 6, FALSE), perc_90, VLOOKUP(R$2, Percentiles!$A$45:$I$59, 7, FALSE), perc_95, VLOOKUP(R$2, Percentiles!$A$45:$I$59, 8, FALSE), perc_85, perc_75 + (perc_90 - perc_75) * (2/3), converted_stat, '2K_Ratings'!R477, IF(bbgm_stat &gt;= perc_95, converted_stat * 3, IF(bbgm_stat &gt;= perc_90, converted_stat * 2, IF(bbgm_stat &gt;= perc_85, converted_stat * 1.5, converted_stat)))))</f>
        <v/>
      </c>
      <c r="S477" s="30" t="str">
        <f t="array" ref="S477">IF($A477="", "", LET(bbgm_stat, INDEX(Players!$A476:$P476, MATCH(S$2, Players!$A$1:$P$1, 0)), perc_75, VLOOKUP(S$2, Percentiles!$A$45:$I$59, 6, FALSE), perc_90, VLOOKUP(S$2, Percentiles!$A$45:$I$59, 7, FALSE), perc_95, VLOOKUP(S$2, Percentiles!$A$45:$I$59, 8, FALSE), perc_85, perc_75 + (perc_90 - perc_75) * (2/3), converted_stat, '2K_Ratings'!S477, IF(bbgm_stat &gt;= perc_95, converted_stat * 3, IF(bbgm_stat &gt;= perc_90, converted_stat * 2, IF(bbgm_stat &gt;= perc_85, converted_stat * 1.5, converted_stat)))))</f>
        <v/>
      </c>
      <c r="T477" s="30" t="str">
        <f t="array" ref="T477">IF($A477="", "", LET(bbgm_stat, INDEX(Players!$A476:$P476, MATCH(T$2, Players!$A$1:$P$1, 0)), perc_75, VLOOKUP(T$2, Percentiles!$A$45:$I$59, 6, FALSE), perc_90, VLOOKUP(T$2, Percentiles!$A$45:$I$59, 7, FALSE), perc_95, VLOOKUP(T$2, Percentiles!$A$45:$I$59, 8, FALSE), perc_85, perc_75 + (perc_90 - perc_75) * (2/3), converted_stat, '2K_Ratings'!T477, IF(bbgm_stat &gt;= perc_95, converted_stat * 3, IF(bbgm_stat &gt;= perc_90, converted_stat * 2, IF(bbgm_stat &gt;= perc_85, converted_stat * 1.5, converted_stat)))))</f>
        <v/>
      </c>
      <c r="U477" s="30" t="str">
        <f t="array" ref="U477">IF($A477="", "", LET(bbgm_stat, INDEX(Players!$A476:$P476, MATCH(U$2, Players!$A$1:$P$1, 0)), perc_75, VLOOKUP(U$2, Percentiles!$A$45:$I$59, 6, FALSE), perc_90, VLOOKUP(U$2, Percentiles!$A$45:$I$59, 7, FALSE), perc_95, VLOOKUP(U$2, Percentiles!$A$45:$I$59, 8, FALSE), perc_85, perc_75 + (perc_90 - perc_75) * (2/3), converted_stat, '2K_Ratings'!U477, IF(bbgm_stat &gt;= perc_95, converted_stat * 3, IF(bbgm_stat &gt;= perc_90, converted_stat * 2, IF(bbgm_stat &gt;= perc_85, converted_stat * 1.5, converted_stat)))))</f>
        <v/>
      </c>
      <c r="V477" s="30" t="str">
        <f t="array" ref="V477">IF($A477="", "", LET(bbgm_stat, INDEX(Players!$A476:$P476, MATCH(V$2, Players!$A$1:$P$1, 0)), perc_75, VLOOKUP(V$2, Percentiles!$A$45:$I$59, 6, FALSE), perc_90, VLOOKUP(V$2, Percentiles!$A$45:$I$59, 7, FALSE), perc_95, VLOOKUP(V$2, Percentiles!$A$45:$I$59, 8, FALSE), perc_85, perc_75 + (perc_90 - perc_75) * (2/3), converted_stat, '2K_Ratings'!V477, IF(bbgm_stat &gt;= perc_95, converted_stat * 3, IF(bbgm_stat &gt;= perc_90, converted_stat * 2, IF(bbgm_stat &gt;= perc_85, converted_stat * 1.5, converted_stat)))))</f>
        <v/>
      </c>
      <c r="W477" s="30" t="str">
        <f t="array" ref="W477">IF($A477="", "", LET(bbgm_stat, INDEX(Players!$A476:$P476, MATCH(W$2, Players!$A$1:$P$1, 0)), perc_75, VLOOKUP(W$2, Percentiles!$A$45:$I$59, 6, FALSE), perc_90, VLOOKUP(W$2, Percentiles!$A$45:$I$59, 7, FALSE), perc_95, VLOOKUP(W$2, Percentiles!$A$45:$I$59, 8, FALSE), perc_85, perc_75 + (perc_90 - perc_75) * (2/3), converted_stat, '2K_Ratings'!W477, IF(bbgm_stat &gt;= perc_95, converted_stat * 3, IF(bbgm_stat &gt;= perc_90, converted_stat * 2, IF(bbgm_stat &gt;= perc_85, converted_stat * 1.5, converted_stat)))))</f>
        <v/>
      </c>
    </row>
    <row r="478">
      <c r="A478" s="30"/>
      <c r="B478" s="30" t="str">
        <f t="array" ref="B478">IF($A478="", "", LET(bbgm_stat, INDEX(Players!$A477:$P477, MATCH(B$2, Players!$A$1:$P$1, 0)), perc_75, VLOOKUP(B$2, Percentiles!$A$45:$I$59, 6, FALSE), perc_90, VLOOKUP(B$2, Percentiles!$A$45:$I$59, 7, FALSE), perc_95, VLOOKUP(B$2, Percentiles!$A$45:$I$59, 8, FALSE), perc_85, perc_75 + (perc_90 - perc_75) * (2/3), converted_stat, '2K_Ratings'!B478, IF(bbgm_stat &gt;= perc_95, converted_stat * 3, IF(bbgm_stat &gt;= perc_90, converted_stat * 2, IF(bbgm_stat &gt;= perc_85, converted_stat * 1.5, converted_stat)))))</f>
        <v/>
      </c>
      <c r="C478" s="30" t="str">
        <f t="array" ref="C478">IF($A478="", "", LET(bbgm_stat, INDEX(Players!$A477:$P477, MATCH(C$2, Players!$A$1:$P$1, 0)), perc_75, VLOOKUP(C$2, Percentiles!$A$45:$I$59, 6, FALSE), perc_90, VLOOKUP(C$2, Percentiles!$A$45:$I$59, 7, FALSE), perc_95, VLOOKUP(C$2, Percentiles!$A$45:$I$59, 8, FALSE), perc_85, perc_75 + (perc_90 - perc_75) * (2/3), converted_stat, '2K_Ratings'!C478, IF(bbgm_stat &gt;= perc_95, converted_stat * 3, IF(bbgm_stat &gt;= perc_90, converted_stat * 2, IF(bbgm_stat &gt;= perc_85, converted_stat * 1.5, converted_stat)))))</f>
        <v/>
      </c>
      <c r="D478" s="30" t="str">
        <f t="array" ref="D478">IF($A478="", "", LET(bbgm_stat, INDEX(Players!$A477:$P477, MATCH(D$2, Players!$A$1:$P$1, 0)), perc_75, VLOOKUP(D$2, Percentiles!$A$45:$I$59, 6, FALSE), perc_90, VLOOKUP(D$2, Percentiles!$A$45:$I$59, 7, FALSE), perc_95, VLOOKUP(D$2, Percentiles!$A$45:$I$59, 8, FALSE), perc_85, perc_75 + (perc_90 - perc_75) * (2/3), converted_stat, '2K_Ratings'!D478, IF(bbgm_stat &gt;= perc_95, converted_stat * 3, IF(bbgm_stat &gt;= perc_90, converted_stat * 2, IF(bbgm_stat &gt;= perc_85, converted_stat * 1.5, converted_stat)))))</f>
        <v/>
      </c>
      <c r="E478" s="30" t="str">
        <f t="array" ref="E478">IF($A478="", "", LET(bbgm_stat, INDEX(Players!$A477:$P477, MATCH(E$2, Players!$A$1:$P$1, 0)), perc_75, VLOOKUP(E$2, Percentiles!$A$45:$I$59, 6, FALSE), perc_90, VLOOKUP(E$2, Percentiles!$A$45:$I$59, 7, FALSE), perc_95, VLOOKUP(E$2, Percentiles!$A$45:$I$59, 8, FALSE), perc_85, perc_75 + (perc_90 - perc_75) * (2/3), converted_stat, '2K_Ratings'!E478, IF(bbgm_stat &gt;= perc_95, converted_stat * 3, IF(bbgm_stat &gt;= perc_90, converted_stat * 2, IF(bbgm_stat &gt;= perc_85, converted_stat * 1.5, converted_stat)))))</f>
        <v/>
      </c>
      <c r="F478" s="30" t="str">
        <f t="array" ref="F478">IF($A478="", "", LET(bbgm_stat, INDEX(Players!$A477:$P477, MATCH(F$2, Players!$A$1:$P$1, 0)), perc_75, VLOOKUP(F$2, Percentiles!$A$45:$I$59, 6, FALSE), perc_90, VLOOKUP(F$2, Percentiles!$A$45:$I$59, 7, FALSE), perc_95, VLOOKUP(F$2, Percentiles!$A$45:$I$59, 8, FALSE), perc_85, perc_75 + (perc_90 - perc_75) * (2/3), converted_stat, '2K_Ratings'!F478, IF(bbgm_stat &gt;= perc_95, converted_stat * 3, IF(bbgm_stat &gt;= perc_90, converted_stat * 2, IF(bbgm_stat &gt;= perc_85, converted_stat * 1.5, converted_stat)))))</f>
        <v/>
      </c>
      <c r="G478" s="30" t="str">
        <f t="array" ref="G478">IF($A478="", "", LET(bbgm_stat, INDEX(Players!$A477:$P477, MATCH(G$2, Players!$A$1:$P$1, 0)), perc_75, VLOOKUP(G$2, Percentiles!$A$45:$I$59, 6, FALSE), perc_90, VLOOKUP(G$2, Percentiles!$A$45:$I$59, 7, FALSE), perc_95, VLOOKUP(G$2, Percentiles!$A$45:$I$59, 8, FALSE), perc_85, perc_75 + (perc_90 - perc_75) * (2/3), converted_stat, '2K_Ratings'!G478, IF(bbgm_stat &gt;= perc_95, converted_stat * 3, IF(bbgm_stat &gt;= perc_90, converted_stat * 2, IF(bbgm_stat &gt;= perc_85, converted_stat * 1.5, converted_stat)))))</f>
        <v/>
      </c>
      <c r="H478" s="30" t="str">
        <f t="array" ref="H478">IF($A478="", "", LET(bbgm_stat, INDEX(Players!$A477:$P477, MATCH(H$2, Players!$A$1:$P$1, 0)), perc_75, VLOOKUP(H$2, Percentiles!$A$45:$I$59, 6, FALSE), perc_90, VLOOKUP(H$2, Percentiles!$A$45:$I$59, 7, FALSE), perc_95, VLOOKUP(H$2, Percentiles!$A$45:$I$59, 8, FALSE), perc_85, perc_75 + (perc_90 - perc_75) * (2/3), converted_stat, '2K_Ratings'!H478, IF(bbgm_stat &gt;= perc_95, converted_stat * 3, IF(bbgm_stat &gt;= perc_90, converted_stat * 2, IF(bbgm_stat &gt;= perc_85, converted_stat * 1.5, converted_stat)))))</f>
        <v/>
      </c>
      <c r="I478" s="30" t="str">
        <f t="array" ref="I478">IF($A478="", "", LET(bbgm_stat, INDEX(Players!$A477:$P477, MATCH(I$2, Players!$A$1:$P$1, 0)), perc_75, VLOOKUP(I$2, Percentiles!$A$45:$I$59, 6, FALSE), perc_90, VLOOKUP(I$2, Percentiles!$A$45:$I$59, 7, FALSE), perc_95, VLOOKUP(I$2, Percentiles!$A$45:$I$59, 8, FALSE), perc_85, perc_75 + (perc_90 - perc_75) * (2/3), converted_stat, '2K_Ratings'!I478, IF(bbgm_stat &gt;= perc_95, converted_stat * 3, IF(bbgm_stat &gt;= perc_90, converted_stat * 2, IF(bbgm_stat &gt;= perc_85, converted_stat * 1.5, converted_stat)))))</f>
        <v/>
      </c>
      <c r="J478" s="30" t="str">
        <f t="array" ref="J478">IF($A478="", "", LET(bbgm_stat, INDEX(Players!$A477:$P477, MATCH(J$2, Players!$A$1:$P$1, 0)), perc_75, VLOOKUP(J$2, Percentiles!$A$45:$I$59, 6, FALSE), perc_90, VLOOKUP(J$2, Percentiles!$A$45:$I$59, 7, FALSE), perc_95, VLOOKUP(J$2, Percentiles!$A$45:$I$59, 8, FALSE), perc_85, perc_75 + (perc_90 - perc_75) * (2/3), converted_stat, '2K_Ratings'!J478, IF(bbgm_stat &gt;= perc_95, converted_stat * 3, IF(bbgm_stat &gt;= perc_90, converted_stat * 2, IF(bbgm_stat &gt;= perc_85, converted_stat * 1.5, converted_stat)))))</f>
        <v/>
      </c>
      <c r="K478" s="30" t="str">
        <f t="array" ref="K478">IF($A478="", "", LET(bbgm_stat, INDEX(Players!$A477:$P477, MATCH(K$2, Players!$A$1:$P$1, 0)), perc_75, VLOOKUP(K$2, Percentiles!$A$45:$I$59, 6, FALSE), perc_90, VLOOKUP(K$2, Percentiles!$A$45:$I$59, 7, FALSE), perc_95, VLOOKUP(K$2, Percentiles!$A$45:$I$59, 8, FALSE), perc_85, perc_75 + (perc_90 - perc_75) * (2/3), converted_stat, '2K_Ratings'!K478, IF(bbgm_stat &gt;= perc_95, converted_stat * 3, IF(bbgm_stat &gt;= perc_90, converted_stat * 2, IF(bbgm_stat &gt;= perc_85, converted_stat * 1.5, converted_stat)))))</f>
        <v/>
      </c>
      <c r="L478" s="30" t="str">
        <f t="array" ref="L478">IF($A478="", "", LET(bbgm_stat, INDEX(Players!$A477:$P477, MATCH(L$2, Players!$A$1:$P$1, 0)), perc_75, VLOOKUP(L$2, Percentiles!$A$45:$I$59, 6, FALSE), perc_90, VLOOKUP(L$2, Percentiles!$A$45:$I$59, 7, FALSE), perc_95, VLOOKUP(L$2, Percentiles!$A$45:$I$59, 8, FALSE), perc_85, perc_75 + (perc_90 - perc_75) * (2/3), converted_stat, '2K_Ratings'!L478, IF(bbgm_stat &gt;= perc_95, converted_stat * 3, IF(bbgm_stat &gt;= perc_90, converted_stat * 2, IF(bbgm_stat &gt;= perc_85, converted_stat * 1.5, converted_stat)))))</f>
        <v/>
      </c>
      <c r="M478" s="30" t="str">
        <f t="array" ref="M478">IF($A478="", "", LET(bbgm_stat, INDEX(Players!$A477:$P477, MATCH(M$2, Players!$A$1:$P$1, 0)), perc_75, VLOOKUP(M$2, Percentiles!$A$45:$I$59, 6, FALSE), perc_90, VLOOKUP(M$2, Percentiles!$A$45:$I$59, 7, FALSE), perc_95, VLOOKUP(M$2, Percentiles!$A$45:$I$59, 8, FALSE), perc_85, perc_75 + (perc_90 - perc_75) * (2/3), converted_stat, '2K_Ratings'!M478, IF(bbgm_stat &gt;= perc_95, converted_stat * 3, IF(bbgm_stat &gt;= perc_90, converted_stat * 2, IF(bbgm_stat &gt;= perc_85, converted_stat * 1.5, converted_stat)))))</f>
        <v/>
      </c>
      <c r="N478" s="30" t="str">
        <f t="array" ref="N478">IF($A478="", "", LET(bbgm_stat, INDEX(Players!$A477:$P477, MATCH(N$2, Players!$A$1:$P$1, 0)), perc_75, VLOOKUP(N$2, Percentiles!$A$45:$I$59, 6, FALSE), perc_90, VLOOKUP(N$2, Percentiles!$A$45:$I$59, 7, FALSE), perc_95, VLOOKUP(N$2, Percentiles!$A$45:$I$59, 8, FALSE), perc_85, perc_75 + (perc_90 - perc_75) * (2/3), converted_stat, '2K_Ratings'!N478, IF(bbgm_stat &gt;= perc_95, converted_stat * 3, IF(bbgm_stat &gt;= perc_90, converted_stat * 2, IF(bbgm_stat &gt;= perc_85, converted_stat * 1.5, converted_stat)))))</f>
        <v/>
      </c>
      <c r="O478" s="30" t="str">
        <f t="array" ref="O478">IF($A478="", "", LET(bbgm_stat, INDEX(Players!$A477:$P477, MATCH(O$2, Players!$A$1:$P$1, 0)), perc_75, VLOOKUP(O$2, Percentiles!$A$45:$I$59, 6, FALSE), perc_90, VLOOKUP(O$2, Percentiles!$A$45:$I$59, 7, FALSE), perc_95, VLOOKUP(O$2, Percentiles!$A$45:$I$59, 8, FALSE), perc_85, perc_75 + (perc_90 - perc_75) * (2/3), converted_stat, '2K_Ratings'!O478, IF(bbgm_stat &gt;= perc_95, converted_stat * 3, IF(bbgm_stat &gt;= perc_90, converted_stat * 2, IF(bbgm_stat &gt;= perc_85, converted_stat * 1.5, converted_stat)))))</f>
        <v/>
      </c>
      <c r="P478" s="30" t="str">
        <f t="array" ref="P478">IF($A478="", "", LET(bbgm_stat, INDEX(Players!$A477:$P477, MATCH(P$2, Players!$A$1:$P$1, 0)), perc_75, VLOOKUP(P$2, Percentiles!$A$45:$I$59, 6, FALSE), perc_90, VLOOKUP(P$2, Percentiles!$A$45:$I$59, 7, FALSE), perc_95, VLOOKUP(P$2, Percentiles!$A$45:$I$59, 8, FALSE), perc_85, perc_75 + (perc_90 - perc_75) * (2/3), converted_stat, '2K_Ratings'!P478, IF(bbgm_stat &gt;= perc_95, converted_stat * 3, IF(bbgm_stat &gt;= perc_90, converted_stat * 2, IF(bbgm_stat &gt;= perc_85, converted_stat * 1.5, converted_stat)))))</f>
        <v/>
      </c>
      <c r="Q478" s="30" t="str">
        <f t="array" ref="Q478">IF($A478="", "", LET(bbgm_stat, INDEX(Players!$A477:$P477, MATCH(Q$2, Players!$A$1:$P$1, 0)), perc_75, VLOOKUP(Q$2, Percentiles!$A$45:$I$59, 6, FALSE), perc_90, VLOOKUP(Q$2, Percentiles!$A$45:$I$59, 7, FALSE), perc_95, VLOOKUP(Q$2, Percentiles!$A$45:$I$59, 8, FALSE), perc_85, perc_75 + (perc_90 - perc_75) * (2/3), converted_stat, '2K_Ratings'!Q478, IF(bbgm_stat &gt;= perc_95, converted_stat * 3, IF(bbgm_stat &gt;= perc_90, converted_stat * 2, IF(bbgm_stat &gt;= perc_85, converted_stat * 1.5, converted_stat)))))</f>
        <v/>
      </c>
      <c r="R478" s="30" t="str">
        <f t="array" ref="R478">IF($A478="", "", LET(bbgm_stat, INDEX(Players!$A477:$P477, MATCH(R$2, Players!$A$1:$P$1, 0)), perc_75, VLOOKUP(R$2, Percentiles!$A$45:$I$59, 6, FALSE), perc_90, VLOOKUP(R$2, Percentiles!$A$45:$I$59, 7, FALSE), perc_95, VLOOKUP(R$2, Percentiles!$A$45:$I$59, 8, FALSE), perc_85, perc_75 + (perc_90 - perc_75) * (2/3), converted_stat, '2K_Ratings'!R478, IF(bbgm_stat &gt;= perc_95, converted_stat * 3, IF(bbgm_stat &gt;= perc_90, converted_stat * 2, IF(bbgm_stat &gt;= perc_85, converted_stat * 1.5, converted_stat)))))</f>
        <v/>
      </c>
      <c r="S478" s="30" t="str">
        <f t="array" ref="S478">IF($A478="", "", LET(bbgm_stat, INDEX(Players!$A477:$P477, MATCH(S$2, Players!$A$1:$P$1, 0)), perc_75, VLOOKUP(S$2, Percentiles!$A$45:$I$59, 6, FALSE), perc_90, VLOOKUP(S$2, Percentiles!$A$45:$I$59, 7, FALSE), perc_95, VLOOKUP(S$2, Percentiles!$A$45:$I$59, 8, FALSE), perc_85, perc_75 + (perc_90 - perc_75) * (2/3), converted_stat, '2K_Ratings'!S478, IF(bbgm_stat &gt;= perc_95, converted_stat * 3, IF(bbgm_stat &gt;= perc_90, converted_stat * 2, IF(bbgm_stat &gt;= perc_85, converted_stat * 1.5, converted_stat)))))</f>
        <v/>
      </c>
      <c r="T478" s="30" t="str">
        <f t="array" ref="T478">IF($A478="", "", LET(bbgm_stat, INDEX(Players!$A477:$P477, MATCH(T$2, Players!$A$1:$P$1, 0)), perc_75, VLOOKUP(T$2, Percentiles!$A$45:$I$59, 6, FALSE), perc_90, VLOOKUP(T$2, Percentiles!$A$45:$I$59, 7, FALSE), perc_95, VLOOKUP(T$2, Percentiles!$A$45:$I$59, 8, FALSE), perc_85, perc_75 + (perc_90 - perc_75) * (2/3), converted_stat, '2K_Ratings'!T478, IF(bbgm_stat &gt;= perc_95, converted_stat * 3, IF(bbgm_stat &gt;= perc_90, converted_stat * 2, IF(bbgm_stat &gt;= perc_85, converted_stat * 1.5, converted_stat)))))</f>
        <v/>
      </c>
      <c r="U478" s="30" t="str">
        <f t="array" ref="U478">IF($A478="", "", LET(bbgm_stat, INDEX(Players!$A477:$P477, MATCH(U$2, Players!$A$1:$P$1, 0)), perc_75, VLOOKUP(U$2, Percentiles!$A$45:$I$59, 6, FALSE), perc_90, VLOOKUP(U$2, Percentiles!$A$45:$I$59, 7, FALSE), perc_95, VLOOKUP(U$2, Percentiles!$A$45:$I$59, 8, FALSE), perc_85, perc_75 + (perc_90 - perc_75) * (2/3), converted_stat, '2K_Ratings'!U478, IF(bbgm_stat &gt;= perc_95, converted_stat * 3, IF(bbgm_stat &gt;= perc_90, converted_stat * 2, IF(bbgm_stat &gt;= perc_85, converted_stat * 1.5, converted_stat)))))</f>
        <v/>
      </c>
      <c r="V478" s="30" t="str">
        <f t="array" ref="V478">IF($A478="", "", LET(bbgm_stat, INDEX(Players!$A477:$P477, MATCH(V$2, Players!$A$1:$P$1, 0)), perc_75, VLOOKUP(V$2, Percentiles!$A$45:$I$59, 6, FALSE), perc_90, VLOOKUP(V$2, Percentiles!$A$45:$I$59, 7, FALSE), perc_95, VLOOKUP(V$2, Percentiles!$A$45:$I$59, 8, FALSE), perc_85, perc_75 + (perc_90 - perc_75) * (2/3), converted_stat, '2K_Ratings'!V478, IF(bbgm_stat &gt;= perc_95, converted_stat * 3, IF(bbgm_stat &gt;= perc_90, converted_stat * 2, IF(bbgm_stat &gt;= perc_85, converted_stat * 1.5, converted_stat)))))</f>
        <v/>
      </c>
      <c r="W478" s="30" t="str">
        <f t="array" ref="W478">IF($A478="", "", LET(bbgm_stat, INDEX(Players!$A477:$P477, MATCH(W$2, Players!$A$1:$P$1, 0)), perc_75, VLOOKUP(W$2, Percentiles!$A$45:$I$59, 6, FALSE), perc_90, VLOOKUP(W$2, Percentiles!$A$45:$I$59, 7, FALSE), perc_95, VLOOKUP(W$2, Percentiles!$A$45:$I$59, 8, FALSE), perc_85, perc_75 + (perc_90 - perc_75) * (2/3), converted_stat, '2K_Ratings'!W478, IF(bbgm_stat &gt;= perc_95, converted_stat * 3, IF(bbgm_stat &gt;= perc_90, converted_stat * 2, IF(bbgm_stat &gt;= perc_85, converted_stat * 1.5, converted_stat)))))</f>
        <v/>
      </c>
    </row>
    <row r="479">
      <c r="A479" s="30"/>
      <c r="B479" s="30" t="str">
        <f t="array" ref="B479">IF($A479="", "", LET(bbgm_stat, INDEX(Players!$A478:$P478, MATCH(B$2, Players!$A$1:$P$1, 0)), perc_75, VLOOKUP(B$2, Percentiles!$A$45:$I$59, 6, FALSE), perc_90, VLOOKUP(B$2, Percentiles!$A$45:$I$59, 7, FALSE), perc_95, VLOOKUP(B$2, Percentiles!$A$45:$I$59, 8, FALSE), perc_85, perc_75 + (perc_90 - perc_75) * (2/3), converted_stat, '2K_Ratings'!B479, IF(bbgm_stat &gt;= perc_95, converted_stat * 3, IF(bbgm_stat &gt;= perc_90, converted_stat * 2, IF(bbgm_stat &gt;= perc_85, converted_stat * 1.5, converted_stat)))))</f>
        <v/>
      </c>
      <c r="C479" s="30" t="str">
        <f t="array" ref="C479">IF($A479="", "", LET(bbgm_stat, INDEX(Players!$A478:$P478, MATCH(C$2, Players!$A$1:$P$1, 0)), perc_75, VLOOKUP(C$2, Percentiles!$A$45:$I$59, 6, FALSE), perc_90, VLOOKUP(C$2, Percentiles!$A$45:$I$59, 7, FALSE), perc_95, VLOOKUP(C$2, Percentiles!$A$45:$I$59, 8, FALSE), perc_85, perc_75 + (perc_90 - perc_75) * (2/3), converted_stat, '2K_Ratings'!C479, IF(bbgm_stat &gt;= perc_95, converted_stat * 3, IF(bbgm_stat &gt;= perc_90, converted_stat * 2, IF(bbgm_stat &gt;= perc_85, converted_stat * 1.5, converted_stat)))))</f>
        <v/>
      </c>
      <c r="D479" s="30" t="str">
        <f t="array" ref="D479">IF($A479="", "", LET(bbgm_stat, INDEX(Players!$A478:$P478, MATCH(D$2, Players!$A$1:$P$1, 0)), perc_75, VLOOKUP(D$2, Percentiles!$A$45:$I$59, 6, FALSE), perc_90, VLOOKUP(D$2, Percentiles!$A$45:$I$59, 7, FALSE), perc_95, VLOOKUP(D$2, Percentiles!$A$45:$I$59, 8, FALSE), perc_85, perc_75 + (perc_90 - perc_75) * (2/3), converted_stat, '2K_Ratings'!D479, IF(bbgm_stat &gt;= perc_95, converted_stat * 3, IF(bbgm_stat &gt;= perc_90, converted_stat * 2, IF(bbgm_stat &gt;= perc_85, converted_stat * 1.5, converted_stat)))))</f>
        <v/>
      </c>
      <c r="E479" s="30" t="str">
        <f t="array" ref="E479">IF($A479="", "", LET(bbgm_stat, INDEX(Players!$A478:$P478, MATCH(E$2, Players!$A$1:$P$1, 0)), perc_75, VLOOKUP(E$2, Percentiles!$A$45:$I$59, 6, FALSE), perc_90, VLOOKUP(E$2, Percentiles!$A$45:$I$59, 7, FALSE), perc_95, VLOOKUP(E$2, Percentiles!$A$45:$I$59, 8, FALSE), perc_85, perc_75 + (perc_90 - perc_75) * (2/3), converted_stat, '2K_Ratings'!E479, IF(bbgm_stat &gt;= perc_95, converted_stat * 3, IF(bbgm_stat &gt;= perc_90, converted_stat * 2, IF(bbgm_stat &gt;= perc_85, converted_stat * 1.5, converted_stat)))))</f>
        <v/>
      </c>
      <c r="F479" s="30" t="str">
        <f t="array" ref="F479">IF($A479="", "", LET(bbgm_stat, INDEX(Players!$A478:$P478, MATCH(F$2, Players!$A$1:$P$1, 0)), perc_75, VLOOKUP(F$2, Percentiles!$A$45:$I$59, 6, FALSE), perc_90, VLOOKUP(F$2, Percentiles!$A$45:$I$59, 7, FALSE), perc_95, VLOOKUP(F$2, Percentiles!$A$45:$I$59, 8, FALSE), perc_85, perc_75 + (perc_90 - perc_75) * (2/3), converted_stat, '2K_Ratings'!F479, IF(bbgm_stat &gt;= perc_95, converted_stat * 3, IF(bbgm_stat &gt;= perc_90, converted_stat * 2, IF(bbgm_stat &gt;= perc_85, converted_stat * 1.5, converted_stat)))))</f>
        <v/>
      </c>
      <c r="G479" s="30" t="str">
        <f t="array" ref="G479">IF($A479="", "", LET(bbgm_stat, INDEX(Players!$A478:$P478, MATCH(G$2, Players!$A$1:$P$1, 0)), perc_75, VLOOKUP(G$2, Percentiles!$A$45:$I$59, 6, FALSE), perc_90, VLOOKUP(G$2, Percentiles!$A$45:$I$59, 7, FALSE), perc_95, VLOOKUP(G$2, Percentiles!$A$45:$I$59, 8, FALSE), perc_85, perc_75 + (perc_90 - perc_75) * (2/3), converted_stat, '2K_Ratings'!G479, IF(bbgm_stat &gt;= perc_95, converted_stat * 3, IF(bbgm_stat &gt;= perc_90, converted_stat * 2, IF(bbgm_stat &gt;= perc_85, converted_stat * 1.5, converted_stat)))))</f>
        <v/>
      </c>
      <c r="H479" s="30" t="str">
        <f t="array" ref="H479">IF($A479="", "", LET(bbgm_stat, INDEX(Players!$A478:$P478, MATCH(H$2, Players!$A$1:$P$1, 0)), perc_75, VLOOKUP(H$2, Percentiles!$A$45:$I$59, 6, FALSE), perc_90, VLOOKUP(H$2, Percentiles!$A$45:$I$59, 7, FALSE), perc_95, VLOOKUP(H$2, Percentiles!$A$45:$I$59, 8, FALSE), perc_85, perc_75 + (perc_90 - perc_75) * (2/3), converted_stat, '2K_Ratings'!H479, IF(bbgm_stat &gt;= perc_95, converted_stat * 3, IF(bbgm_stat &gt;= perc_90, converted_stat * 2, IF(bbgm_stat &gt;= perc_85, converted_stat * 1.5, converted_stat)))))</f>
        <v/>
      </c>
      <c r="I479" s="30" t="str">
        <f t="array" ref="I479">IF($A479="", "", LET(bbgm_stat, INDEX(Players!$A478:$P478, MATCH(I$2, Players!$A$1:$P$1, 0)), perc_75, VLOOKUP(I$2, Percentiles!$A$45:$I$59, 6, FALSE), perc_90, VLOOKUP(I$2, Percentiles!$A$45:$I$59, 7, FALSE), perc_95, VLOOKUP(I$2, Percentiles!$A$45:$I$59, 8, FALSE), perc_85, perc_75 + (perc_90 - perc_75) * (2/3), converted_stat, '2K_Ratings'!I479, IF(bbgm_stat &gt;= perc_95, converted_stat * 3, IF(bbgm_stat &gt;= perc_90, converted_stat * 2, IF(bbgm_stat &gt;= perc_85, converted_stat * 1.5, converted_stat)))))</f>
        <v/>
      </c>
      <c r="J479" s="30" t="str">
        <f t="array" ref="J479">IF($A479="", "", LET(bbgm_stat, INDEX(Players!$A478:$P478, MATCH(J$2, Players!$A$1:$P$1, 0)), perc_75, VLOOKUP(J$2, Percentiles!$A$45:$I$59, 6, FALSE), perc_90, VLOOKUP(J$2, Percentiles!$A$45:$I$59, 7, FALSE), perc_95, VLOOKUP(J$2, Percentiles!$A$45:$I$59, 8, FALSE), perc_85, perc_75 + (perc_90 - perc_75) * (2/3), converted_stat, '2K_Ratings'!J479, IF(bbgm_stat &gt;= perc_95, converted_stat * 3, IF(bbgm_stat &gt;= perc_90, converted_stat * 2, IF(bbgm_stat &gt;= perc_85, converted_stat * 1.5, converted_stat)))))</f>
        <v/>
      </c>
      <c r="K479" s="30" t="str">
        <f t="array" ref="K479">IF($A479="", "", LET(bbgm_stat, INDEX(Players!$A478:$P478, MATCH(K$2, Players!$A$1:$P$1, 0)), perc_75, VLOOKUP(K$2, Percentiles!$A$45:$I$59, 6, FALSE), perc_90, VLOOKUP(K$2, Percentiles!$A$45:$I$59, 7, FALSE), perc_95, VLOOKUP(K$2, Percentiles!$A$45:$I$59, 8, FALSE), perc_85, perc_75 + (perc_90 - perc_75) * (2/3), converted_stat, '2K_Ratings'!K479, IF(bbgm_stat &gt;= perc_95, converted_stat * 3, IF(bbgm_stat &gt;= perc_90, converted_stat * 2, IF(bbgm_stat &gt;= perc_85, converted_stat * 1.5, converted_stat)))))</f>
        <v/>
      </c>
      <c r="L479" s="30" t="str">
        <f t="array" ref="L479">IF($A479="", "", LET(bbgm_stat, INDEX(Players!$A478:$P478, MATCH(L$2, Players!$A$1:$P$1, 0)), perc_75, VLOOKUP(L$2, Percentiles!$A$45:$I$59, 6, FALSE), perc_90, VLOOKUP(L$2, Percentiles!$A$45:$I$59, 7, FALSE), perc_95, VLOOKUP(L$2, Percentiles!$A$45:$I$59, 8, FALSE), perc_85, perc_75 + (perc_90 - perc_75) * (2/3), converted_stat, '2K_Ratings'!L479, IF(bbgm_stat &gt;= perc_95, converted_stat * 3, IF(bbgm_stat &gt;= perc_90, converted_stat * 2, IF(bbgm_stat &gt;= perc_85, converted_stat * 1.5, converted_stat)))))</f>
        <v/>
      </c>
      <c r="M479" s="30" t="str">
        <f t="array" ref="M479">IF($A479="", "", LET(bbgm_stat, INDEX(Players!$A478:$P478, MATCH(M$2, Players!$A$1:$P$1, 0)), perc_75, VLOOKUP(M$2, Percentiles!$A$45:$I$59, 6, FALSE), perc_90, VLOOKUP(M$2, Percentiles!$A$45:$I$59, 7, FALSE), perc_95, VLOOKUP(M$2, Percentiles!$A$45:$I$59, 8, FALSE), perc_85, perc_75 + (perc_90 - perc_75) * (2/3), converted_stat, '2K_Ratings'!M479, IF(bbgm_stat &gt;= perc_95, converted_stat * 3, IF(bbgm_stat &gt;= perc_90, converted_stat * 2, IF(bbgm_stat &gt;= perc_85, converted_stat * 1.5, converted_stat)))))</f>
        <v/>
      </c>
      <c r="N479" s="30" t="str">
        <f t="array" ref="N479">IF($A479="", "", LET(bbgm_stat, INDEX(Players!$A478:$P478, MATCH(N$2, Players!$A$1:$P$1, 0)), perc_75, VLOOKUP(N$2, Percentiles!$A$45:$I$59, 6, FALSE), perc_90, VLOOKUP(N$2, Percentiles!$A$45:$I$59, 7, FALSE), perc_95, VLOOKUP(N$2, Percentiles!$A$45:$I$59, 8, FALSE), perc_85, perc_75 + (perc_90 - perc_75) * (2/3), converted_stat, '2K_Ratings'!N479, IF(bbgm_stat &gt;= perc_95, converted_stat * 3, IF(bbgm_stat &gt;= perc_90, converted_stat * 2, IF(bbgm_stat &gt;= perc_85, converted_stat * 1.5, converted_stat)))))</f>
        <v/>
      </c>
      <c r="O479" s="30" t="str">
        <f t="array" ref="O479">IF($A479="", "", LET(bbgm_stat, INDEX(Players!$A478:$P478, MATCH(O$2, Players!$A$1:$P$1, 0)), perc_75, VLOOKUP(O$2, Percentiles!$A$45:$I$59, 6, FALSE), perc_90, VLOOKUP(O$2, Percentiles!$A$45:$I$59, 7, FALSE), perc_95, VLOOKUP(O$2, Percentiles!$A$45:$I$59, 8, FALSE), perc_85, perc_75 + (perc_90 - perc_75) * (2/3), converted_stat, '2K_Ratings'!O479, IF(bbgm_stat &gt;= perc_95, converted_stat * 3, IF(bbgm_stat &gt;= perc_90, converted_stat * 2, IF(bbgm_stat &gt;= perc_85, converted_stat * 1.5, converted_stat)))))</f>
        <v/>
      </c>
      <c r="P479" s="30" t="str">
        <f t="array" ref="P479">IF($A479="", "", LET(bbgm_stat, INDEX(Players!$A478:$P478, MATCH(P$2, Players!$A$1:$P$1, 0)), perc_75, VLOOKUP(P$2, Percentiles!$A$45:$I$59, 6, FALSE), perc_90, VLOOKUP(P$2, Percentiles!$A$45:$I$59, 7, FALSE), perc_95, VLOOKUP(P$2, Percentiles!$A$45:$I$59, 8, FALSE), perc_85, perc_75 + (perc_90 - perc_75) * (2/3), converted_stat, '2K_Ratings'!P479, IF(bbgm_stat &gt;= perc_95, converted_stat * 3, IF(bbgm_stat &gt;= perc_90, converted_stat * 2, IF(bbgm_stat &gt;= perc_85, converted_stat * 1.5, converted_stat)))))</f>
        <v/>
      </c>
      <c r="Q479" s="30" t="str">
        <f t="array" ref="Q479">IF($A479="", "", LET(bbgm_stat, INDEX(Players!$A478:$P478, MATCH(Q$2, Players!$A$1:$P$1, 0)), perc_75, VLOOKUP(Q$2, Percentiles!$A$45:$I$59, 6, FALSE), perc_90, VLOOKUP(Q$2, Percentiles!$A$45:$I$59, 7, FALSE), perc_95, VLOOKUP(Q$2, Percentiles!$A$45:$I$59, 8, FALSE), perc_85, perc_75 + (perc_90 - perc_75) * (2/3), converted_stat, '2K_Ratings'!Q479, IF(bbgm_stat &gt;= perc_95, converted_stat * 3, IF(bbgm_stat &gt;= perc_90, converted_stat * 2, IF(bbgm_stat &gt;= perc_85, converted_stat * 1.5, converted_stat)))))</f>
        <v/>
      </c>
      <c r="R479" s="30" t="str">
        <f t="array" ref="R479">IF($A479="", "", LET(bbgm_stat, INDEX(Players!$A478:$P478, MATCH(R$2, Players!$A$1:$P$1, 0)), perc_75, VLOOKUP(R$2, Percentiles!$A$45:$I$59, 6, FALSE), perc_90, VLOOKUP(R$2, Percentiles!$A$45:$I$59, 7, FALSE), perc_95, VLOOKUP(R$2, Percentiles!$A$45:$I$59, 8, FALSE), perc_85, perc_75 + (perc_90 - perc_75) * (2/3), converted_stat, '2K_Ratings'!R479, IF(bbgm_stat &gt;= perc_95, converted_stat * 3, IF(bbgm_stat &gt;= perc_90, converted_stat * 2, IF(bbgm_stat &gt;= perc_85, converted_stat * 1.5, converted_stat)))))</f>
        <v/>
      </c>
      <c r="S479" s="30" t="str">
        <f t="array" ref="S479">IF($A479="", "", LET(bbgm_stat, INDEX(Players!$A478:$P478, MATCH(S$2, Players!$A$1:$P$1, 0)), perc_75, VLOOKUP(S$2, Percentiles!$A$45:$I$59, 6, FALSE), perc_90, VLOOKUP(S$2, Percentiles!$A$45:$I$59, 7, FALSE), perc_95, VLOOKUP(S$2, Percentiles!$A$45:$I$59, 8, FALSE), perc_85, perc_75 + (perc_90 - perc_75) * (2/3), converted_stat, '2K_Ratings'!S479, IF(bbgm_stat &gt;= perc_95, converted_stat * 3, IF(bbgm_stat &gt;= perc_90, converted_stat * 2, IF(bbgm_stat &gt;= perc_85, converted_stat * 1.5, converted_stat)))))</f>
        <v/>
      </c>
      <c r="T479" s="30" t="str">
        <f t="array" ref="T479">IF($A479="", "", LET(bbgm_stat, INDEX(Players!$A478:$P478, MATCH(T$2, Players!$A$1:$P$1, 0)), perc_75, VLOOKUP(T$2, Percentiles!$A$45:$I$59, 6, FALSE), perc_90, VLOOKUP(T$2, Percentiles!$A$45:$I$59, 7, FALSE), perc_95, VLOOKUP(T$2, Percentiles!$A$45:$I$59, 8, FALSE), perc_85, perc_75 + (perc_90 - perc_75) * (2/3), converted_stat, '2K_Ratings'!T479, IF(bbgm_stat &gt;= perc_95, converted_stat * 3, IF(bbgm_stat &gt;= perc_90, converted_stat * 2, IF(bbgm_stat &gt;= perc_85, converted_stat * 1.5, converted_stat)))))</f>
        <v/>
      </c>
      <c r="U479" s="30" t="str">
        <f t="array" ref="U479">IF($A479="", "", LET(bbgm_stat, INDEX(Players!$A478:$P478, MATCH(U$2, Players!$A$1:$P$1, 0)), perc_75, VLOOKUP(U$2, Percentiles!$A$45:$I$59, 6, FALSE), perc_90, VLOOKUP(U$2, Percentiles!$A$45:$I$59, 7, FALSE), perc_95, VLOOKUP(U$2, Percentiles!$A$45:$I$59, 8, FALSE), perc_85, perc_75 + (perc_90 - perc_75) * (2/3), converted_stat, '2K_Ratings'!U479, IF(bbgm_stat &gt;= perc_95, converted_stat * 3, IF(bbgm_stat &gt;= perc_90, converted_stat * 2, IF(bbgm_stat &gt;= perc_85, converted_stat * 1.5, converted_stat)))))</f>
        <v/>
      </c>
      <c r="V479" s="30" t="str">
        <f t="array" ref="V479">IF($A479="", "", LET(bbgm_stat, INDEX(Players!$A478:$P478, MATCH(V$2, Players!$A$1:$P$1, 0)), perc_75, VLOOKUP(V$2, Percentiles!$A$45:$I$59, 6, FALSE), perc_90, VLOOKUP(V$2, Percentiles!$A$45:$I$59, 7, FALSE), perc_95, VLOOKUP(V$2, Percentiles!$A$45:$I$59, 8, FALSE), perc_85, perc_75 + (perc_90 - perc_75) * (2/3), converted_stat, '2K_Ratings'!V479, IF(bbgm_stat &gt;= perc_95, converted_stat * 3, IF(bbgm_stat &gt;= perc_90, converted_stat * 2, IF(bbgm_stat &gt;= perc_85, converted_stat * 1.5, converted_stat)))))</f>
        <v/>
      </c>
      <c r="W479" s="30" t="str">
        <f t="array" ref="W479">IF($A479="", "", LET(bbgm_stat, INDEX(Players!$A478:$P478, MATCH(W$2, Players!$A$1:$P$1, 0)), perc_75, VLOOKUP(W$2, Percentiles!$A$45:$I$59, 6, FALSE), perc_90, VLOOKUP(W$2, Percentiles!$A$45:$I$59, 7, FALSE), perc_95, VLOOKUP(W$2, Percentiles!$A$45:$I$59, 8, FALSE), perc_85, perc_75 + (perc_90 - perc_75) * (2/3), converted_stat, '2K_Ratings'!W479, IF(bbgm_stat &gt;= perc_95, converted_stat * 3, IF(bbgm_stat &gt;= perc_90, converted_stat * 2, IF(bbgm_stat &gt;= perc_85, converted_stat * 1.5, converted_stat)))))</f>
        <v/>
      </c>
    </row>
    <row r="480">
      <c r="A480" s="30"/>
      <c r="B480" s="30" t="str">
        <f t="array" ref="B480">IF($A480="", "", LET(bbgm_stat, INDEX(Players!$A479:$P479, MATCH(B$2, Players!$A$1:$P$1, 0)), perc_75, VLOOKUP(B$2, Percentiles!$A$45:$I$59, 6, FALSE), perc_90, VLOOKUP(B$2, Percentiles!$A$45:$I$59, 7, FALSE), perc_95, VLOOKUP(B$2, Percentiles!$A$45:$I$59, 8, FALSE), perc_85, perc_75 + (perc_90 - perc_75) * (2/3), converted_stat, '2K_Ratings'!B480, IF(bbgm_stat &gt;= perc_95, converted_stat * 3, IF(bbgm_stat &gt;= perc_90, converted_stat * 2, IF(bbgm_stat &gt;= perc_85, converted_stat * 1.5, converted_stat)))))</f>
        <v/>
      </c>
      <c r="C480" s="30" t="str">
        <f t="array" ref="C480">IF($A480="", "", LET(bbgm_stat, INDEX(Players!$A479:$P479, MATCH(C$2, Players!$A$1:$P$1, 0)), perc_75, VLOOKUP(C$2, Percentiles!$A$45:$I$59, 6, FALSE), perc_90, VLOOKUP(C$2, Percentiles!$A$45:$I$59, 7, FALSE), perc_95, VLOOKUP(C$2, Percentiles!$A$45:$I$59, 8, FALSE), perc_85, perc_75 + (perc_90 - perc_75) * (2/3), converted_stat, '2K_Ratings'!C480, IF(bbgm_stat &gt;= perc_95, converted_stat * 3, IF(bbgm_stat &gt;= perc_90, converted_stat * 2, IF(bbgm_stat &gt;= perc_85, converted_stat * 1.5, converted_stat)))))</f>
        <v/>
      </c>
      <c r="D480" s="30" t="str">
        <f t="array" ref="D480">IF($A480="", "", LET(bbgm_stat, INDEX(Players!$A479:$P479, MATCH(D$2, Players!$A$1:$P$1, 0)), perc_75, VLOOKUP(D$2, Percentiles!$A$45:$I$59, 6, FALSE), perc_90, VLOOKUP(D$2, Percentiles!$A$45:$I$59, 7, FALSE), perc_95, VLOOKUP(D$2, Percentiles!$A$45:$I$59, 8, FALSE), perc_85, perc_75 + (perc_90 - perc_75) * (2/3), converted_stat, '2K_Ratings'!D480, IF(bbgm_stat &gt;= perc_95, converted_stat * 3, IF(bbgm_stat &gt;= perc_90, converted_stat * 2, IF(bbgm_stat &gt;= perc_85, converted_stat * 1.5, converted_stat)))))</f>
        <v/>
      </c>
      <c r="E480" s="30" t="str">
        <f t="array" ref="E480">IF($A480="", "", LET(bbgm_stat, INDEX(Players!$A479:$P479, MATCH(E$2, Players!$A$1:$P$1, 0)), perc_75, VLOOKUP(E$2, Percentiles!$A$45:$I$59, 6, FALSE), perc_90, VLOOKUP(E$2, Percentiles!$A$45:$I$59, 7, FALSE), perc_95, VLOOKUP(E$2, Percentiles!$A$45:$I$59, 8, FALSE), perc_85, perc_75 + (perc_90 - perc_75) * (2/3), converted_stat, '2K_Ratings'!E480, IF(bbgm_stat &gt;= perc_95, converted_stat * 3, IF(bbgm_stat &gt;= perc_90, converted_stat * 2, IF(bbgm_stat &gt;= perc_85, converted_stat * 1.5, converted_stat)))))</f>
        <v/>
      </c>
      <c r="F480" s="30" t="str">
        <f t="array" ref="F480">IF($A480="", "", LET(bbgm_stat, INDEX(Players!$A479:$P479, MATCH(F$2, Players!$A$1:$P$1, 0)), perc_75, VLOOKUP(F$2, Percentiles!$A$45:$I$59, 6, FALSE), perc_90, VLOOKUP(F$2, Percentiles!$A$45:$I$59, 7, FALSE), perc_95, VLOOKUP(F$2, Percentiles!$A$45:$I$59, 8, FALSE), perc_85, perc_75 + (perc_90 - perc_75) * (2/3), converted_stat, '2K_Ratings'!F480, IF(bbgm_stat &gt;= perc_95, converted_stat * 3, IF(bbgm_stat &gt;= perc_90, converted_stat * 2, IF(bbgm_stat &gt;= perc_85, converted_stat * 1.5, converted_stat)))))</f>
        <v/>
      </c>
      <c r="G480" s="30" t="str">
        <f t="array" ref="G480">IF($A480="", "", LET(bbgm_stat, INDEX(Players!$A479:$P479, MATCH(G$2, Players!$A$1:$P$1, 0)), perc_75, VLOOKUP(G$2, Percentiles!$A$45:$I$59, 6, FALSE), perc_90, VLOOKUP(G$2, Percentiles!$A$45:$I$59, 7, FALSE), perc_95, VLOOKUP(G$2, Percentiles!$A$45:$I$59, 8, FALSE), perc_85, perc_75 + (perc_90 - perc_75) * (2/3), converted_stat, '2K_Ratings'!G480, IF(bbgm_stat &gt;= perc_95, converted_stat * 3, IF(bbgm_stat &gt;= perc_90, converted_stat * 2, IF(bbgm_stat &gt;= perc_85, converted_stat * 1.5, converted_stat)))))</f>
        <v/>
      </c>
      <c r="H480" s="30" t="str">
        <f t="array" ref="H480">IF($A480="", "", LET(bbgm_stat, INDEX(Players!$A479:$P479, MATCH(H$2, Players!$A$1:$P$1, 0)), perc_75, VLOOKUP(H$2, Percentiles!$A$45:$I$59, 6, FALSE), perc_90, VLOOKUP(H$2, Percentiles!$A$45:$I$59, 7, FALSE), perc_95, VLOOKUP(H$2, Percentiles!$A$45:$I$59, 8, FALSE), perc_85, perc_75 + (perc_90 - perc_75) * (2/3), converted_stat, '2K_Ratings'!H480, IF(bbgm_stat &gt;= perc_95, converted_stat * 3, IF(bbgm_stat &gt;= perc_90, converted_stat * 2, IF(bbgm_stat &gt;= perc_85, converted_stat * 1.5, converted_stat)))))</f>
        <v/>
      </c>
      <c r="I480" s="30" t="str">
        <f t="array" ref="I480">IF($A480="", "", LET(bbgm_stat, INDEX(Players!$A479:$P479, MATCH(I$2, Players!$A$1:$P$1, 0)), perc_75, VLOOKUP(I$2, Percentiles!$A$45:$I$59, 6, FALSE), perc_90, VLOOKUP(I$2, Percentiles!$A$45:$I$59, 7, FALSE), perc_95, VLOOKUP(I$2, Percentiles!$A$45:$I$59, 8, FALSE), perc_85, perc_75 + (perc_90 - perc_75) * (2/3), converted_stat, '2K_Ratings'!I480, IF(bbgm_stat &gt;= perc_95, converted_stat * 3, IF(bbgm_stat &gt;= perc_90, converted_stat * 2, IF(bbgm_stat &gt;= perc_85, converted_stat * 1.5, converted_stat)))))</f>
        <v/>
      </c>
      <c r="J480" s="30" t="str">
        <f t="array" ref="J480">IF($A480="", "", LET(bbgm_stat, INDEX(Players!$A479:$P479, MATCH(J$2, Players!$A$1:$P$1, 0)), perc_75, VLOOKUP(J$2, Percentiles!$A$45:$I$59, 6, FALSE), perc_90, VLOOKUP(J$2, Percentiles!$A$45:$I$59, 7, FALSE), perc_95, VLOOKUP(J$2, Percentiles!$A$45:$I$59, 8, FALSE), perc_85, perc_75 + (perc_90 - perc_75) * (2/3), converted_stat, '2K_Ratings'!J480, IF(bbgm_stat &gt;= perc_95, converted_stat * 3, IF(bbgm_stat &gt;= perc_90, converted_stat * 2, IF(bbgm_stat &gt;= perc_85, converted_stat * 1.5, converted_stat)))))</f>
        <v/>
      </c>
      <c r="K480" s="30" t="str">
        <f t="array" ref="K480">IF($A480="", "", LET(bbgm_stat, INDEX(Players!$A479:$P479, MATCH(K$2, Players!$A$1:$P$1, 0)), perc_75, VLOOKUP(K$2, Percentiles!$A$45:$I$59, 6, FALSE), perc_90, VLOOKUP(K$2, Percentiles!$A$45:$I$59, 7, FALSE), perc_95, VLOOKUP(K$2, Percentiles!$A$45:$I$59, 8, FALSE), perc_85, perc_75 + (perc_90 - perc_75) * (2/3), converted_stat, '2K_Ratings'!K480, IF(bbgm_stat &gt;= perc_95, converted_stat * 3, IF(bbgm_stat &gt;= perc_90, converted_stat * 2, IF(bbgm_stat &gt;= perc_85, converted_stat * 1.5, converted_stat)))))</f>
        <v/>
      </c>
      <c r="L480" s="30" t="str">
        <f t="array" ref="L480">IF($A480="", "", LET(bbgm_stat, INDEX(Players!$A479:$P479, MATCH(L$2, Players!$A$1:$P$1, 0)), perc_75, VLOOKUP(L$2, Percentiles!$A$45:$I$59, 6, FALSE), perc_90, VLOOKUP(L$2, Percentiles!$A$45:$I$59, 7, FALSE), perc_95, VLOOKUP(L$2, Percentiles!$A$45:$I$59, 8, FALSE), perc_85, perc_75 + (perc_90 - perc_75) * (2/3), converted_stat, '2K_Ratings'!L480, IF(bbgm_stat &gt;= perc_95, converted_stat * 3, IF(bbgm_stat &gt;= perc_90, converted_stat * 2, IF(bbgm_stat &gt;= perc_85, converted_stat * 1.5, converted_stat)))))</f>
        <v/>
      </c>
      <c r="M480" s="30" t="str">
        <f t="array" ref="M480">IF($A480="", "", LET(bbgm_stat, INDEX(Players!$A479:$P479, MATCH(M$2, Players!$A$1:$P$1, 0)), perc_75, VLOOKUP(M$2, Percentiles!$A$45:$I$59, 6, FALSE), perc_90, VLOOKUP(M$2, Percentiles!$A$45:$I$59, 7, FALSE), perc_95, VLOOKUP(M$2, Percentiles!$A$45:$I$59, 8, FALSE), perc_85, perc_75 + (perc_90 - perc_75) * (2/3), converted_stat, '2K_Ratings'!M480, IF(bbgm_stat &gt;= perc_95, converted_stat * 3, IF(bbgm_stat &gt;= perc_90, converted_stat * 2, IF(bbgm_stat &gt;= perc_85, converted_stat * 1.5, converted_stat)))))</f>
        <v/>
      </c>
      <c r="N480" s="30" t="str">
        <f t="array" ref="N480">IF($A480="", "", LET(bbgm_stat, INDEX(Players!$A479:$P479, MATCH(N$2, Players!$A$1:$P$1, 0)), perc_75, VLOOKUP(N$2, Percentiles!$A$45:$I$59, 6, FALSE), perc_90, VLOOKUP(N$2, Percentiles!$A$45:$I$59, 7, FALSE), perc_95, VLOOKUP(N$2, Percentiles!$A$45:$I$59, 8, FALSE), perc_85, perc_75 + (perc_90 - perc_75) * (2/3), converted_stat, '2K_Ratings'!N480, IF(bbgm_stat &gt;= perc_95, converted_stat * 3, IF(bbgm_stat &gt;= perc_90, converted_stat * 2, IF(bbgm_stat &gt;= perc_85, converted_stat * 1.5, converted_stat)))))</f>
        <v/>
      </c>
      <c r="O480" s="30" t="str">
        <f t="array" ref="O480">IF($A480="", "", LET(bbgm_stat, INDEX(Players!$A479:$P479, MATCH(O$2, Players!$A$1:$P$1, 0)), perc_75, VLOOKUP(O$2, Percentiles!$A$45:$I$59, 6, FALSE), perc_90, VLOOKUP(O$2, Percentiles!$A$45:$I$59, 7, FALSE), perc_95, VLOOKUP(O$2, Percentiles!$A$45:$I$59, 8, FALSE), perc_85, perc_75 + (perc_90 - perc_75) * (2/3), converted_stat, '2K_Ratings'!O480, IF(bbgm_stat &gt;= perc_95, converted_stat * 3, IF(bbgm_stat &gt;= perc_90, converted_stat * 2, IF(bbgm_stat &gt;= perc_85, converted_stat * 1.5, converted_stat)))))</f>
        <v/>
      </c>
      <c r="P480" s="30" t="str">
        <f t="array" ref="P480">IF($A480="", "", LET(bbgm_stat, INDEX(Players!$A479:$P479, MATCH(P$2, Players!$A$1:$P$1, 0)), perc_75, VLOOKUP(P$2, Percentiles!$A$45:$I$59, 6, FALSE), perc_90, VLOOKUP(P$2, Percentiles!$A$45:$I$59, 7, FALSE), perc_95, VLOOKUP(P$2, Percentiles!$A$45:$I$59, 8, FALSE), perc_85, perc_75 + (perc_90 - perc_75) * (2/3), converted_stat, '2K_Ratings'!P480, IF(bbgm_stat &gt;= perc_95, converted_stat * 3, IF(bbgm_stat &gt;= perc_90, converted_stat * 2, IF(bbgm_stat &gt;= perc_85, converted_stat * 1.5, converted_stat)))))</f>
        <v/>
      </c>
      <c r="Q480" s="30" t="str">
        <f t="array" ref="Q480">IF($A480="", "", LET(bbgm_stat, INDEX(Players!$A479:$P479, MATCH(Q$2, Players!$A$1:$P$1, 0)), perc_75, VLOOKUP(Q$2, Percentiles!$A$45:$I$59, 6, FALSE), perc_90, VLOOKUP(Q$2, Percentiles!$A$45:$I$59, 7, FALSE), perc_95, VLOOKUP(Q$2, Percentiles!$A$45:$I$59, 8, FALSE), perc_85, perc_75 + (perc_90 - perc_75) * (2/3), converted_stat, '2K_Ratings'!Q480, IF(bbgm_stat &gt;= perc_95, converted_stat * 3, IF(bbgm_stat &gt;= perc_90, converted_stat * 2, IF(bbgm_stat &gt;= perc_85, converted_stat * 1.5, converted_stat)))))</f>
        <v/>
      </c>
      <c r="R480" s="30" t="str">
        <f t="array" ref="R480">IF($A480="", "", LET(bbgm_stat, INDEX(Players!$A479:$P479, MATCH(R$2, Players!$A$1:$P$1, 0)), perc_75, VLOOKUP(R$2, Percentiles!$A$45:$I$59, 6, FALSE), perc_90, VLOOKUP(R$2, Percentiles!$A$45:$I$59, 7, FALSE), perc_95, VLOOKUP(R$2, Percentiles!$A$45:$I$59, 8, FALSE), perc_85, perc_75 + (perc_90 - perc_75) * (2/3), converted_stat, '2K_Ratings'!R480, IF(bbgm_stat &gt;= perc_95, converted_stat * 3, IF(bbgm_stat &gt;= perc_90, converted_stat * 2, IF(bbgm_stat &gt;= perc_85, converted_stat * 1.5, converted_stat)))))</f>
        <v/>
      </c>
      <c r="S480" s="30" t="str">
        <f t="array" ref="S480">IF($A480="", "", LET(bbgm_stat, INDEX(Players!$A479:$P479, MATCH(S$2, Players!$A$1:$P$1, 0)), perc_75, VLOOKUP(S$2, Percentiles!$A$45:$I$59, 6, FALSE), perc_90, VLOOKUP(S$2, Percentiles!$A$45:$I$59, 7, FALSE), perc_95, VLOOKUP(S$2, Percentiles!$A$45:$I$59, 8, FALSE), perc_85, perc_75 + (perc_90 - perc_75) * (2/3), converted_stat, '2K_Ratings'!S480, IF(bbgm_stat &gt;= perc_95, converted_stat * 3, IF(bbgm_stat &gt;= perc_90, converted_stat * 2, IF(bbgm_stat &gt;= perc_85, converted_stat * 1.5, converted_stat)))))</f>
        <v/>
      </c>
      <c r="T480" s="30" t="str">
        <f t="array" ref="T480">IF($A480="", "", LET(bbgm_stat, INDEX(Players!$A479:$P479, MATCH(T$2, Players!$A$1:$P$1, 0)), perc_75, VLOOKUP(T$2, Percentiles!$A$45:$I$59, 6, FALSE), perc_90, VLOOKUP(T$2, Percentiles!$A$45:$I$59, 7, FALSE), perc_95, VLOOKUP(T$2, Percentiles!$A$45:$I$59, 8, FALSE), perc_85, perc_75 + (perc_90 - perc_75) * (2/3), converted_stat, '2K_Ratings'!T480, IF(bbgm_stat &gt;= perc_95, converted_stat * 3, IF(bbgm_stat &gt;= perc_90, converted_stat * 2, IF(bbgm_stat &gt;= perc_85, converted_stat * 1.5, converted_stat)))))</f>
        <v/>
      </c>
      <c r="U480" s="30" t="str">
        <f t="array" ref="U480">IF($A480="", "", LET(bbgm_stat, INDEX(Players!$A479:$P479, MATCH(U$2, Players!$A$1:$P$1, 0)), perc_75, VLOOKUP(U$2, Percentiles!$A$45:$I$59, 6, FALSE), perc_90, VLOOKUP(U$2, Percentiles!$A$45:$I$59, 7, FALSE), perc_95, VLOOKUP(U$2, Percentiles!$A$45:$I$59, 8, FALSE), perc_85, perc_75 + (perc_90 - perc_75) * (2/3), converted_stat, '2K_Ratings'!U480, IF(bbgm_stat &gt;= perc_95, converted_stat * 3, IF(bbgm_stat &gt;= perc_90, converted_stat * 2, IF(bbgm_stat &gt;= perc_85, converted_stat * 1.5, converted_stat)))))</f>
        <v/>
      </c>
      <c r="V480" s="30" t="str">
        <f t="array" ref="V480">IF($A480="", "", LET(bbgm_stat, INDEX(Players!$A479:$P479, MATCH(V$2, Players!$A$1:$P$1, 0)), perc_75, VLOOKUP(V$2, Percentiles!$A$45:$I$59, 6, FALSE), perc_90, VLOOKUP(V$2, Percentiles!$A$45:$I$59, 7, FALSE), perc_95, VLOOKUP(V$2, Percentiles!$A$45:$I$59, 8, FALSE), perc_85, perc_75 + (perc_90 - perc_75) * (2/3), converted_stat, '2K_Ratings'!V480, IF(bbgm_stat &gt;= perc_95, converted_stat * 3, IF(bbgm_stat &gt;= perc_90, converted_stat * 2, IF(bbgm_stat &gt;= perc_85, converted_stat * 1.5, converted_stat)))))</f>
        <v/>
      </c>
      <c r="W480" s="30" t="str">
        <f t="array" ref="W480">IF($A480="", "", LET(bbgm_stat, INDEX(Players!$A479:$P479, MATCH(W$2, Players!$A$1:$P$1, 0)), perc_75, VLOOKUP(W$2, Percentiles!$A$45:$I$59, 6, FALSE), perc_90, VLOOKUP(W$2, Percentiles!$A$45:$I$59, 7, FALSE), perc_95, VLOOKUP(W$2, Percentiles!$A$45:$I$59, 8, FALSE), perc_85, perc_75 + (perc_90 - perc_75) * (2/3), converted_stat, '2K_Ratings'!W480, IF(bbgm_stat &gt;= perc_95, converted_stat * 3, IF(bbgm_stat &gt;= perc_90, converted_stat * 2, IF(bbgm_stat &gt;= perc_85, converted_stat * 1.5, converted_stat)))))</f>
        <v/>
      </c>
    </row>
    <row r="481">
      <c r="A481" s="30"/>
      <c r="B481" s="30" t="str">
        <f t="array" ref="B481">IF($A481="", "", LET(bbgm_stat, INDEX(Players!$A480:$P480, MATCH(B$2, Players!$A$1:$P$1, 0)), perc_75, VLOOKUP(B$2, Percentiles!$A$45:$I$59, 6, FALSE), perc_90, VLOOKUP(B$2, Percentiles!$A$45:$I$59, 7, FALSE), perc_95, VLOOKUP(B$2, Percentiles!$A$45:$I$59, 8, FALSE), perc_85, perc_75 + (perc_90 - perc_75) * (2/3), converted_stat, '2K_Ratings'!B481, IF(bbgm_stat &gt;= perc_95, converted_stat * 3, IF(bbgm_stat &gt;= perc_90, converted_stat * 2, IF(bbgm_stat &gt;= perc_85, converted_stat * 1.5, converted_stat)))))</f>
        <v/>
      </c>
      <c r="C481" s="30" t="str">
        <f t="array" ref="C481">IF($A481="", "", LET(bbgm_stat, INDEX(Players!$A480:$P480, MATCH(C$2, Players!$A$1:$P$1, 0)), perc_75, VLOOKUP(C$2, Percentiles!$A$45:$I$59, 6, FALSE), perc_90, VLOOKUP(C$2, Percentiles!$A$45:$I$59, 7, FALSE), perc_95, VLOOKUP(C$2, Percentiles!$A$45:$I$59, 8, FALSE), perc_85, perc_75 + (perc_90 - perc_75) * (2/3), converted_stat, '2K_Ratings'!C481, IF(bbgm_stat &gt;= perc_95, converted_stat * 3, IF(bbgm_stat &gt;= perc_90, converted_stat * 2, IF(bbgm_stat &gt;= perc_85, converted_stat * 1.5, converted_stat)))))</f>
        <v/>
      </c>
      <c r="D481" s="30" t="str">
        <f t="array" ref="D481">IF($A481="", "", LET(bbgm_stat, INDEX(Players!$A480:$P480, MATCH(D$2, Players!$A$1:$P$1, 0)), perc_75, VLOOKUP(D$2, Percentiles!$A$45:$I$59, 6, FALSE), perc_90, VLOOKUP(D$2, Percentiles!$A$45:$I$59, 7, FALSE), perc_95, VLOOKUP(D$2, Percentiles!$A$45:$I$59, 8, FALSE), perc_85, perc_75 + (perc_90 - perc_75) * (2/3), converted_stat, '2K_Ratings'!D481, IF(bbgm_stat &gt;= perc_95, converted_stat * 3, IF(bbgm_stat &gt;= perc_90, converted_stat * 2, IF(bbgm_stat &gt;= perc_85, converted_stat * 1.5, converted_stat)))))</f>
        <v/>
      </c>
      <c r="E481" s="30" t="str">
        <f t="array" ref="E481">IF($A481="", "", LET(bbgm_stat, INDEX(Players!$A480:$P480, MATCH(E$2, Players!$A$1:$P$1, 0)), perc_75, VLOOKUP(E$2, Percentiles!$A$45:$I$59, 6, FALSE), perc_90, VLOOKUP(E$2, Percentiles!$A$45:$I$59, 7, FALSE), perc_95, VLOOKUP(E$2, Percentiles!$A$45:$I$59, 8, FALSE), perc_85, perc_75 + (perc_90 - perc_75) * (2/3), converted_stat, '2K_Ratings'!E481, IF(bbgm_stat &gt;= perc_95, converted_stat * 3, IF(bbgm_stat &gt;= perc_90, converted_stat * 2, IF(bbgm_stat &gt;= perc_85, converted_stat * 1.5, converted_stat)))))</f>
        <v/>
      </c>
      <c r="F481" s="30" t="str">
        <f t="array" ref="F481">IF($A481="", "", LET(bbgm_stat, INDEX(Players!$A480:$P480, MATCH(F$2, Players!$A$1:$P$1, 0)), perc_75, VLOOKUP(F$2, Percentiles!$A$45:$I$59, 6, FALSE), perc_90, VLOOKUP(F$2, Percentiles!$A$45:$I$59, 7, FALSE), perc_95, VLOOKUP(F$2, Percentiles!$A$45:$I$59, 8, FALSE), perc_85, perc_75 + (perc_90 - perc_75) * (2/3), converted_stat, '2K_Ratings'!F481, IF(bbgm_stat &gt;= perc_95, converted_stat * 3, IF(bbgm_stat &gt;= perc_90, converted_stat * 2, IF(bbgm_stat &gt;= perc_85, converted_stat * 1.5, converted_stat)))))</f>
        <v/>
      </c>
      <c r="G481" s="30" t="str">
        <f t="array" ref="G481">IF($A481="", "", LET(bbgm_stat, INDEX(Players!$A480:$P480, MATCH(G$2, Players!$A$1:$P$1, 0)), perc_75, VLOOKUP(G$2, Percentiles!$A$45:$I$59, 6, FALSE), perc_90, VLOOKUP(G$2, Percentiles!$A$45:$I$59, 7, FALSE), perc_95, VLOOKUP(G$2, Percentiles!$A$45:$I$59, 8, FALSE), perc_85, perc_75 + (perc_90 - perc_75) * (2/3), converted_stat, '2K_Ratings'!G481, IF(bbgm_stat &gt;= perc_95, converted_stat * 3, IF(bbgm_stat &gt;= perc_90, converted_stat * 2, IF(bbgm_stat &gt;= perc_85, converted_stat * 1.5, converted_stat)))))</f>
        <v/>
      </c>
      <c r="H481" s="30" t="str">
        <f t="array" ref="H481">IF($A481="", "", LET(bbgm_stat, INDEX(Players!$A480:$P480, MATCH(H$2, Players!$A$1:$P$1, 0)), perc_75, VLOOKUP(H$2, Percentiles!$A$45:$I$59, 6, FALSE), perc_90, VLOOKUP(H$2, Percentiles!$A$45:$I$59, 7, FALSE), perc_95, VLOOKUP(H$2, Percentiles!$A$45:$I$59, 8, FALSE), perc_85, perc_75 + (perc_90 - perc_75) * (2/3), converted_stat, '2K_Ratings'!H481, IF(bbgm_stat &gt;= perc_95, converted_stat * 3, IF(bbgm_stat &gt;= perc_90, converted_stat * 2, IF(bbgm_stat &gt;= perc_85, converted_stat * 1.5, converted_stat)))))</f>
        <v/>
      </c>
      <c r="I481" s="30" t="str">
        <f t="array" ref="I481">IF($A481="", "", LET(bbgm_stat, INDEX(Players!$A480:$P480, MATCH(I$2, Players!$A$1:$P$1, 0)), perc_75, VLOOKUP(I$2, Percentiles!$A$45:$I$59, 6, FALSE), perc_90, VLOOKUP(I$2, Percentiles!$A$45:$I$59, 7, FALSE), perc_95, VLOOKUP(I$2, Percentiles!$A$45:$I$59, 8, FALSE), perc_85, perc_75 + (perc_90 - perc_75) * (2/3), converted_stat, '2K_Ratings'!I481, IF(bbgm_stat &gt;= perc_95, converted_stat * 3, IF(bbgm_stat &gt;= perc_90, converted_stat * 2, IF(bbgm_stat &gt;= perc_85, converted_stat * 1.5, converted_stat)))))</f>
        <v/>
      </c>
      <c r="J481" s="30" t="str">
        <f t="array" ref="J481">IF($A481="", "", LET(bbgm_stat, INDEX(Players!$A480:$P480, MATCH(J$2, Players!$A$1:$P$1, 0)), perc_75, VLOOKUP(J$2, Percentiles!$A$45:$I$59, 6, FALSE), perc_90, VLOOKUP(J$2, Percentiles!$A$45:$I$59, 7, FALSE), perc_95, VLOOKUP(J$2, Percentiles!$A$45:$I$59, 8, FALSE), perc_85, perc_75 + (perc_90 - perc_75) * (2/3), converted_stat, '2K_Ratings'!J481, IF(bbgm_stat &gt;= perc_95, converted_stat * 3, IF(bbgm_stat &gt;= perc_90, converted_stat * 2, IF(bbgm_stat &gt;= perc_85, converted_stat * 1.5, converted_stat)))))</f>
        <v/>
      </c>
      <c r="K481" s="30" t="str">
        <f t="array" ref="K481">IF($A481="", "", LET(bbgm_stat, INDEX(Players!$A480:$P480, MATCH(K$2, Players!$A$1:$P$1, 0)), perc_75, VLOOKUP(K$2, Percentiles!$A$45:$I$59, 6, FALSE), perc_90, VLOOKUP(K$2, Percentiles!$A$45:$I$59, 7, FALSE), perc_95, VLOOKUP(K$2, Percentiles!$A$45:$I$59, 8, FALSE), perc_85, perc_75 + (perc_90 - perc_75) * (2/3), converted_stat, '2K_Ratings'!K481, IF(bbgm_stat &gt;= perc_95, converted_stat * 3, IF(bbgm_stat &gt;= perc_90, converted_stat * 2, IF(bbgm_stat &gt;= perc_85, converted_stat * 1.5, converted_stat)))))</f>
        <v/>
      </c>
      <c r="L481" s="30" t="str">
        <f t="array" ref="L481">IF($A481="", "", LET(bbgm_stat, INDEX(Players!$A480:$P480, MATCH(L$2, Players!$A$1:$P$1, 0)), perc_75, VLOOKUP(L$2, Percentiles!$A$45:$I$59, 6, FALSE), perc_90, VLOOKUP(L$2, Percentiles!$A$45:$I$59, 7, FALSE), perc_95, VLOOKUP(L$2, Percentiles!$A$45:$I$59, 8, FALSE), perc_85, perc_75 + (perc_90 - perc_75) * (2/3), converted_stat, '2K_Ratings'!L481, IF(bbgm_stat &gt;= perc_95, converted_stat * 3, IF(bbgm_stat &gt;= perc_90, converted_stat * 2, IF(bbgm_stat &gt;= perc_85, converted_stat * 1.5, converted_stat)))))</f>
        <v/>
      </c>
      <c r="M481" s="30" t="str">
        <f t="array" ref="M481">IF($A481="", "", LET(bbgm_stat, INDEX(Players!$A480:$P480, MATCH(M$2, Players!$A$1:$P$1, 0)), perc_75, VLOOKUP(M$2, Percentiles!$A$45:$I$59, 6, FALSE), perc_90, VLOOKUP(M$2, Percentiles!$A$45:$I$59, 7, FALSE), perc_95, VLOOKUP(M$2, Percentiles!$A$45:$I$59, 8, FALSE), perc_85, perc_75 + (perc_90 - perc_75) * (2/3), converted_stat, '2K_Ratings'!M481, IF(bbgm_stat &gt;= perc_95, converted_stat * 3, IF(bbgm_stat &gt;= perc_90, converted_stat * 2, IF(bbgm_stat &gt;= perc_85, converted_stat * 1.5, converted_stat)))))</f>
        <v/>
      </c>
      <c r="N481" s="30" t="str">
        <f t="array" ref="N481">IF($A481="", "", LET(bbgm_stat, INDEX(Players!$A480:$P480, MATCH(N$2, Players!$A$1:$P$1, 0)), perc_75, VLOOKUP(N$2, Percentiles!$A$45:$I$59, 6, FALSE), perc_90, VLOOKUP(N$2, Percentiles!$A$45:$I$59, 7, FALSE), perc_95, VLOOKUP(N$2, Percentiles!$A$45:$I$59, 8, FALSE), perc_85, perc_75 + (perc_90 - perc_75) * (2/3), converted_stat, '2K_Ratings'!N481, IF(bbgm_stat &gt;= perc_95, converted_stat * 3, IF(bbgm_stat &gt;= perc_90, converted_stat * 2, IF(bbgm_stat &gt;= perc_85, converted_stat * 1.5, converted_stat)))))</f>
        <v/>
      </c>
      <c r="O481" s="30" t="str">
        <f t="array" ref="O481">IF($A481="", "", LET(bbgm_stat, INDEX(Players!$A480:$P480, MATCH(O$2, Players!$A$1:$P$1, 0)), perc_75, VLOOKUP(O$2, Percentiles!$A$45:$I$59, 6, FALSE), perc_90, VLOOKUP(O$2, Percentiles!$A$45:$I$59, 7, FALSE), perc_95, VLOOKUP(O$2, Percentiles!$A$45:$I$59, 8, FALSE), perc_85, perc_75 + (perc_90 - perc_75) * (2/3), converted_stat, '2K_Ratings'!O481, IF(bbgm_stat &gt;= perc_95, converted_stat * 3, IF(bbgm_stat &gt;= perc_90, converted_stat * 2, IF(bbgm_stat &gt;= perc_85, converted_stat * 1.5, converted_stat)))))</f>
        <v/>
      </c>
      <c r="P481" s="30" t="str">
        <f t="array" ref="P481">IF($A481="", "", LET(bbgm_stat, INDEX(Players!$A480:$P480, MATCH(P$2, Players!$A$1:$P$1, 0)), perc_75, VLOOKUP(P$2, Percentiles!$A$45:$I$59, 6, FALSE), perc_90, VLOOKUP(P$2, Percentiles!$A$45:$I$59, 7, FALSE), perc_95, VLOOKUP(P$2, Percentiles!$A$45:$I$59, 8, FALSE), perc_85, perc_75 + (perc_90 - perc_75) * (2/3), converted_stat, '2K_Ratings'!P481, IF(bbgm_stat &gt;= perc_95, converted_stat * 3, IF(bbgm_stat &gt;= perc_90, converted_stat * 2, IF(bbgm_stat &gt;= perc_85, converted_stat * 1.5, converted_stat)))))</f>
        <v/>
      </c>
      <c r="Q481" s="30" t="str">
        <f t="array" ref="Q481">IF($A481="", "", LET(bbgm_stat, INDEX(Players!$A480:$P480, MATCH(Q$2, Players!$A$1:$P$1, 0)), perc_75, VLOOKUP(Q$2, Percentiles!$A$45:$I$59, 6, FALSE), perc_90, VLOOKUP(Q$2, Percentiles!$A$45:$I$59, 7, FALSE), perc_95, VLOOKUP(Q$2, Percentiles!$A$45:$I$59, 8, FALSE), perc_85, perc_75 + (perc_90 - perc_75) * (2/3), converted_stat, '2K_Ratings'!Q481, IF(bbgm_stat &gt;= perc_95, converted_stat * 3, IF(bbgm_stat &gt;= perc_90, converted_stat * 2, IF(bbgm_stat &gt;= perc_85, converted_stat * 1.5, converted_stat)))))</f>
        <v/>
      </c>
      <c r="R481" s="30" t="str">
        <f t="array" ref="R481">IF($A481="", "", LET(bbgm_stat, INDEX(Players!$A480:$P480, MATCH(R$2, Players!$A$1:$P$1, 0)), perc_75, VLOOKUP(R$2, Percentiles!$A$45:$I$59, 6, FALSE), perc_90, VLOOKUP(R$2, Percentiles!$A$45:$I$59, 7, FALSE), perc_95, VLOOKUP(R$2, Percentiles!$A$45:$I$59, 8, FALSE), perc_85, perc_75 + (perc_90 - perc_75) * (2/3), converted_stat, '2K_Ratings'!R481, IF(bbgm_stat &gt;= perc_95, converted_stat * 3, IF(bbgm_stat &gt;= perc_90, converted_stat * 2, IF(bbgm_stat &gt;= perc_85, converted_stat * 1.5, converted_stat)))))</f>
        <v/>
      </c>
      <c r="S481" s="30" t="str">
        <f t="array" ref="S481">IF($A481="", "", LET(bbgm_stat, INDEX(Players!$A480:$P480, MATCH(S$2, Players!$A$1:$P$1, 0)), perc_75, VLOOKUP(S$2, Percentiles!$A$45:$I$59, 6, FALSE), perc_90, VLOOKUP(S$2, Percentiles!$A$45:$I$59, 7, FALSE), perc_95, VLOOKUP(S$2, Percentiles!$A$45:$I$59, 8, FALSE), perc_85, perc_75 + (perc_90 - perc_75) * (2/3), converted_stat, '2K_Ratings'!S481, IF(bbgm_stat &gt;= perc_95, converted_stat * 3, IF(bbgm_stat &gt;= perc_90, converted_stat * 2, IF(bbgm_stat &gt;= perc_85, converted_stat * 1.5, converted_stat)))))</f>
        <v/>
      </c>
      <c r="T481" s="30" t="str">
        <f t="array" ref="T481">IF($A481="", "", LET(bbgm_stat, INDEX(Players!$A480:$P480, MATCH(T$2, Players!$A$1:$P$1, 0)), perc_75, VLOOKUP(T$2, Percentiles!$A$45:$I$59, 6, FALSE), perc_90, VLOOKUP(T$2, Percentiles!$A$45:$I$59, 7, FALSE), perc_95, VLOOKUP(T$2, Percentiles!$A$45:$I$59, 8, FALSE), perc_85, perc_75 + (perc_90 - perc_75) * (2/3), converted_stat, '2K_Ratings'!T481, IF(bbgm_stat &gt;= perc_95, converted_stat * 3, IF(bbgm_stat &gt;= perc_90, converted_stat * 2, IF(bbgm_stat &gt;= perc_85, converted_stat * 1.5, converted_stat)))))</f>
        <v/>
      </c>
      <c r="U481" s="30" t="str">
        <f t="array" ref="U481">IF($A481="", "", LET(bbgm_stat, INDEX(Players!$A480:$P480, MATCH(U$2, Players!$A$1:$P$1, 0)), perc_75, VLOOKUP(U$2, Percentiles!$A$45:$I$59, 6, FALSE), perc_90, VLOOKUP(U$2, Percentiles!$A$45:$I$59, 7, FALSE), perc_95, VLOOKUP(U$2, Percentiles!$A$45:$I$59, 8, FALSE), perc_85, perc_75 + (perc_90 - perc_75) * (2/3), converted_stat, '2K_Ratings'!U481, IF(bbgm_stat &gt;= perc_95, converted_stat * 3, IF(bbgm_stat &gt;= perc_90, converted_stat * 2, IF(bbgm_stat &gt;= perc_85, converted_stat * 1.5, converted_stat)))))</f>
        <v/>
      </c>
      <c r="V481" s="30" t="str">
        <f t="array" ref="V481">IF($A481="", "", LET(bbgm_stat, INDEX(Players!$A480:$P480, MATCH(V$2, Players!$A$1:$P$1, 0)), perc_75, VLOOKUP(V$2, Percentiles!$A$45:$I$59, 6, FALSE), perc_90, VLOOKUP(V$2, Percentiles!$A$45:$I$59, 7, FALSE), perc_95, VLOOKUP(V$2, Percentiles!$A$45:$I$59, 8, FALSE), perc_85, perc_75 + (perc_90 - perc_75) * (2/3), converted_stat, '2K_Ratings'!V481, IF(bbgm_stat &gt;= perc_95, converted_stat * 3, IF(bbgm_stat &gt;= perc_90, converted_stat * 2, IF(bbgm_stat &gt;= perc_85, converted_stat * 1.5, converted_stat)))))</f>
        <v/>
      </c>
      <c r="W481" s="30" t="str">
        <f t="array" ref="W481">IF($A481="", "", LET(bbgm_stat, INDEX(Players!$A480:$P480, MATCH(W$2, Players!$A$1:$P$1, 0)), perc_75, VLOOKUP(W$2, Percentiles!$A$45:$I$59, 6, FALSE), perc_90, VLOOKUP(W$2, Percentiles!$A$45:$I$59, 7, FALSE), perc_95, VLOOKUP(W$2, Percentiles!$A$45:$I$59, 8, FALSE), perc_85, perc_75 + (perc_90 - perc_75) * (2/3), converted_stat, '2K_Ratings'!W481, IF(bbgm_stat &gt;= perc_95, converted_stat * 3, IF(bbgm_stat &gt;= perc_90, converted_stat * 2, IF(bbgm_stat &gt;= perc_85, converted_stat * 1.5, converted_stat)))))</f>
        <v/>
      </c>
    </row>
    <row r="482">
      <c r="A482" s="30"/>
      <c r="B482" s="30" t="str">
        <f t="array" ref="B482">IF($A482="", "", LET(bbgm_stat, INDEX(Players!$A481:$P481, MATCH(B$2, Players!$A$1:$P$1, 0)), perc_75, VLOOKUP(B$2, Percentiles!$A$45:$I$59, 6, FALSE), perc_90, VLOOKUP(B$2, Percentiles!$A$45:$I$59, 7, FALSE), perc_95, VLOOKUP(B$2, Percentiles!$A$45:$I$59, 8, FALSE), perc_85, perc_75 + (perc_90 - perc_75) * (2/3), converted_stat, '2K_Ratings'!B482, IF(bbgm_stat &gt;= perc_95, converted_stat * 3, IF(bbgm_stat &gt;= perc_90, converted_stat * 2, IF(bbgm_stat &gt;= perc_85, converted_stat * 1.5, converted_stat)))))</f>
        <v/>
      </c>
      <c r="C482" s="30" t="str">
        <f t="array" ref="C482">IF($A482="", "", LET(bbgm_stat, INDEX(Players!$A481:$P481, MATCH(C$2, Players!$A$1:$P$1, 0)), perc_75, VLOOKUP(C$2, Percentiles!$A$45:$I$59, 6, FALSE), perc_90, VLOOKUP(C$2, Percentiles!$A$45:$I$59, 7, FALSE), perc_95, VLOOKUP(C$2, Percentiles!$A$45:$I$59, 8, FALSE), perc_85, perc_75 + (perc_90 - perc_75) * (2/3), converted_stat, '2K_Ratings'!C482, IF(bbgm_stat &gt;= perc_95, converted_stat * 3, IF(bbgm_stat &gt;= perc_90, converted_stat * 2, IF(bbgm_stat &gt;= perc_85, converted_stat * 1.5, converted_stat)))))</f>
        <v/>
      </c>
      <c r="D482" s="30" t="str">
        <f t="array" ref="D482">IF($A482="", "", LET(bbgm_stat, INDEX(Players!$A481:$P481, MATCH(D$2, Players!$A$1:$P$1, 0)), perc_75, VLOOKUP(D$2, Percentiles!$A$45:$I$59, 6, FALSE), perc_90, VLOOKUP(D$2, Percentiles!$A$45:$I$59, 7, FALSE), perc_95, VLOOKUP(D$2, Percentiles!$A$45:$I$59, 8, FALSE), perc_85, perc_75 + (perc_90 - perc_75) * (2/3), converted_stat, '2K_Ratings'!D482, IF(bbgm_stat &gt;= perc_95, converted_stat * 3, IF(bbgm_stat &gt;= perc_90, converted_stat * 2, IF(bbgm_stat &gt;= perc_85, converted_stat * 1.5, converted_stat)))))</f>
        <v/>
      </c>
      <c r="E482" s="30" t="str">
        <f t="array" ref="E482">IF($A482="", "", LET(bbgm_stat, INDEX(Players!$A481:$P481, MATCH(E$2, Players!$A$1:$P$1, 0)), perc_75, VLOOKUP(E$2, Percentiles!$A$45:$I$59, 6, FALSE), perc_90, VLOOKUP(E$2, Percentiles!$A$45:$I$59, 7, FALSE), perc_95, VLOOKUP(E$2, Percentiles!$A$45:$I$59, 8, FALSE), perc_85, perc_75 + (perc_90 - perc_75) * (2/3), converted_stat, '2K_Ratings'!E482, IF(bbgm_stat &gt;= perc_95, converted_stat * 3, IF(bbgm_stat &gt;= perc_90, converted_stat * 2, IF(bbgm_stat &gt;= perc_85, converted_stat * 1.5, converted_stat)))))</f>
        <v/>
      </c>
      <c r="F482" s="30" t="str">
        <f t="array" ref="F482">IF($A482="", "", LET(bbgm_stat, INDEX(Players!$A481:$P481, MATCH(F$2, Players!$A$1:$P$1, 0)), perc_75, VLOOKUP(F$2, Percentiles!$A$45:$I$59, 6, FALSE), perc_90, VLOOKUP(F$2, Percentiles!$A$45:$I$59, 7, FALSE), perc_95, VLOOKUP(F$2, Percentiles!$A$45:$I$59, 8, FALSE), perc_85, perc_75 + (perc_90 - perc_75) * (2/3), converted_stat, '2K_Ratings'!F482, IF(bbgm_stat &gt;= perc_95, converted_stat * 3, IF(bbgm_stat &gt;= perc_90, converted_stat * 2, IF(bbgm_stat &gt;= perc_85, converted_stat * 1.5, converted_stat)))))</f>
        <v/>
      </c>
      <c r="G482" s="30" t="str">
        <f t="array" ref="G482">IF($A482="", "", LET(bbgm_stat, INDEX(Players!$A481:$P481, MATCH(G$2, Players!$A$1:$P$1, 0)), perc_75, VLOOKUP(G$2, Percentiles!$A$45:$I$59, 6, FALSE), perc_90, VLOOKUP(G$2, Percentiles!$A$45:$I$59, 7, FALSE), perc_95, VLOOKUP(G$2, Percentiles!$A$45:$I$59, 8, FALSE), perc_85, perc_75 + (perc_90 - perc_75) * (2/3), converted_stat, '2K_Ratings'!G482, IF(bbgm_stat &gt;= perc_95, converted_stat * 3, IF(bbgm_stat &gt;= perc_90, converted_stat * 2, IF(bbgm_stat &gt;= perc_85, converted_stat * 1.5, converted_stat)))))</f>
        <v/>
      </c>
      <c r="H482" s="30" t="str">
        <f t="array" ref="H482">IF($A482="", "", LET(bbgm_stat, INDEX(Players!$A481:$P481, MATCH(H$2, Players!$A$1:$P$1, 0)), perc_75, VLOOKUP(H$2, Percentiles!$A$45:$I$59, 6, FALSE), perc_90, VLOOKUP(H$2, Percentiles!$A$45:$I$59, 7, FALSE), perc_95, VLOOKUP(H$2, Percentiles!$A$45:$I$59, 8, FALSE), perc_85, perc_75 + (perc_90 - perc_75) * (2/3), converted_stat, '2K_Ratings'!H482, IF(bbgm_stat &gt;= perc_95, converted_stat * 3, IF(bbgm_stat &gt;= perc_90, converted_stat * 2, IF(bbgm_stat &gt;= perc_85, converted_stat * 1.5, converted_stat)))))</f>
        <v/>
      </c>
      <c r="I482" s="30" t="str">
        <f t="array" ref="I482">IF($A482="", "", LET(bbgm_stat, INDEX(Players!$A481:$P481, MATCH(I$2, Players!$A$1:$P$1, 0)), perc_75, VLOOKUP(I$2, Percentiles!$A$45:$I$59, 6, FALSE), perc_90, VLOOKUP(I$2, Percentiles!$A$45:$I$59, 7, FALSE), perc_95, VLOOKUP(I$2, Percentiles!$A$45:$I$59, 8, FALSE), perc_85, perc_75 + (perc_90 - perc_75) * (2/3), converted_stat, '2K_Ratings'!I482, IF(bbgm_stat &gt;= perc_95, converted_stat * 3, IF(bbgm_stat &gt;= perc_90, converted_stat * 2, IF(bbgm_stat &gt;= perc_85, converted_stat * 1.5, converted_stat)))))</f>
        <v/>
      </c>
      <c r="J482" s="30" t="str">
        <f t="array" ref="J482">IF($A482="", "", LET(bbgm_stat, INDEX(Players!$A481:$P481, MATCH(J$2, Players!$A$1:$P$1, 0)), perc_75, VLOOKUP(J$2, Percentiles!$A$45:$I$59, 6, FALSE), perc_90, VLOOKUP(J$2, Percentiles!$A$45:$I$59, 7, FALSE), perc_95, VLOOKUP(J$2, Percentiles!$A$45:$I$59, 8, FALSE), perc_85, perc_75 + (perc_90 - perc_75) * (2/3), converted_stat, '2K_Ratings'!J482, IF(bbgm_stat &gt;= perc_95, converted_stat * 3, IF(bbgm_stat &gt;= perc_90, converted_stat * 2, IF(bbgm_stat &gt;= perc_85, converted_stat * 1.5, converted_stat)))))</f>
        <v/>
      </c>
      <c r="K482" s="30" t="str">
        <f t="array" ref="K482">IF($A482="", "", LET(bbgm_stat, INDEX(Players!$A481:$P481, MATCH(K$2, Players!$A$1:$P$1, 0)), perc_75, VLOOKUP(K$2, Percentiles!$A$45:$I$59, 6, FALSE), perc_90, VLOOKUP(K$2, Percentiles!$A$45:$I$59, 7, FALSE), perc_95, VLOOKUP(K$2, Percentiles!$A$45:$I$59, 8, FALSE), perc_85, perc_75 + (perc_90 - perc_75) * (2/3), converted_stat, '2K_Ratings'!K482, IF(bbgm_stat &gt;= perc_95, converted_stat * 3, IF(bbgm_stat &gt;= perc_90, converted_stat * 2, IF(bbgm_stat &gt;= perc_85, converted_stat * 1.5, converted_stat)))))</f>
        <v/>
      </c>
      <c r="L482" s="30" t="str">
        <f t="array" ref="L482">IF($A482="", "", LET(bbgm_stat, INDEX(Players!$A481:$P481, MATCH(L$2, Players!$A$1:$P$1, 0)), perc_75, VLOOKUP(L$2, Percentiles!$A$45:$I$59, 6, FALSE), perc_90, VLOOKUP(L$2, Percentiles!$A$45:$I$59, 7, FALSE), perc_95, VLOOKUP(L$2, Percentiles!$A$45:$I$59, 8, FALSE), perc_85, perc_75 + (perc_90 - perc_75) * (2/3), converted_stat, '2K_Ratings'!L482, IF(bbgm_stat &gt;= perc_95, converted_stat * 3, IF(bbgm_stat &gt;= perc_90, converted_stat * 2, IF(bbgm_stat &gt;= perc_85, converted_stat * 1.5, converted_stat)))))</f>
        <v/>
      </c>
      <c r="M482" s="30" t="str">
        <f t="array" ref="M482">IF($A482="", "", LET(bbgm_stat, INDEX(Players!$A481:$P481, MATCH(M$2, Players!$A$1:$P$1, 0)), perc_75, VLOOKUP(M$2, Percentiles!$A$45:$I$59, 6, FALSE), perc_90, VLOOKUP(M$2, Percentiles!$A$45:$I$59, 7, FALSE), perc_95, VLOOKUP(M$2, Percentiles!$A$45:$I$59, 8, FALSE), perc_85, perc_75 + (perc_90 - perc_75) * (2/3), converted_stat, '2K_Ratings'!M482, IF(bbgm_stat &gt;= perc_95, converted_stat * 3, IF(bbgm_stat &gt;= perc_90, converted_stat * 2, IF(bbgm_stat &gt;= perc_85, converted_stat * 1.5, converted_stat)))))</f>
        <v/>
      </c>
      <c r="N482" s="30" t="str">
        <f t="array" ref="N482">IF($A482="", "", LET(bbgm_stat, INDEX(Players!$A481:$P481, MATCH(N$2, Players!$A$1:$P$1, 0)), perc_75, VLOOKUP(N$2, Percentiles!$A$45:$I$59, 6, FALSE), perc_90, VLOOKUP(N$2, Percentiles!$A$45:$I$59, 7, FALSE), perc_95, VLOOKUP(N$2, Percentiles!$A$45:$I$59, 8, FALSE), perc_85, perc_75 + (perc_90 - perc_75) * (2/3), converted_stat, '2K_Ratings'!N482, IF(bbgm_stat &gt;= perc_95, converted_stat * 3, IF(bbgm_stat &gt;= perc_90, converted_stat * 2, IF(bbgm_stat &gt;= perc_85, converted_stat * 1.5, converted_stat)))))</f>
        <v/>
      </c>
      <c r="O482" s="30" t="str">
        <f t="array" ref="O482">IF($A482="", "", LET(bbgm_stat, INDEX(Players!$A481:$P481, MATCH(O$2, Players!$A$1:$P$1, 0)), perc_75, VLOOKUP(O$2, Percentiles!$A$45:$I$59, 6, FALSE), perc_90, VLOOKUP(O$2, Percentiles!$A$45:$I$59, 7, FALSE), perc_95, VLOOKUP(O$2, Percentiles!$A$45:$I$59, 8, FALSE), perc_85, perc_75 + (perc_90 - perc_75) * (2/3), converted_stat, '2K_Ratings'!O482, IF(bbgm_stat &gt;= perc_95, converted_stat * 3, IF(bbgm_stat &gt;= perc_90, converted_stat * 2, IF(bbgm_stat &gt;= perc_85, converted_stat * 1.5, converted_stat)))))</f>
        <v/>
      </c>
      <c r="P482" s="30" t="str">
        <f t="array" ref="P482">IF($A482="", "", LET(bbgm_stat, INDEX(Players!$A481:$P481, MATCH(P$2, Players!$A$1:$P$1, 0)), perc_75, VLOOKUP(P$2, Percentiles!$A$45:$I$59, 6, FALSE), perc_90, VLOOKUP(P$2, Percentiles!$A$45:$I$59, 7, FALSE), perc_95, VLOOKUP(P$2, Percentiles!$A$45:$I$59, 8, FALSE), perc_85, perc_75 + (perc_90 - perc_75) * (2/3), converted_stat, '2K_Ratings'!P482, IF(bbgm_stat &gt;= perc_95, converted_stat * 3, IF(bbgm_stat &gt;= perc_90, converted_stat * 2, IF(bbgm_stat &gt;= perc_85, converted_stat * 1.5, converted_stat)))))</f>
        <v/>
      </c>
      <c r="Q482" s="30" t="str">
        <f t="array" ref="Q482">IF($A482="", "", LET(bbgm_stat, INDEX(Players!$A481:$P481, MATCH(Q$2, Players!$A$1:$P$1, 0)), perc_75, VLOOKUP(Q$2, Percentiles!$A$45:$I$59, 6, FALSE), perc_90, VLOOKUP(Q$2, Percentiles!$A$45:$I$59, 7, FALSE), perc_95, VLOOKUP(Q$2, Percentiles!$A$45:$I$59, 8, FALSE), perc_85, perc_75 + (perc_90 - perc_75) * (2/3), converted_stat, '2K_Ratings'!Q482, IF(bbgm_stat &gt;= perc_95, converted_stat * 3, IF(bbgm_stat &gt;= perc_90, converted_stat * 2, IF(bbgm_stat &gt;= perc_85, converted_stat * 1.5, converted_stat)))))</f>
        <v/>
      </c>
      <c r="R482" s="30" t="str">
        <f t="array" ref="R482">IF($A482="", "", LET(bbgm_stat, INDEX(Players!$A481:$P481, MATCH(R$2, Players!$A$1:$P$1, 0)), perc_75, VLOOKUP(R$2, Percentiles!$A$45:$I$59, 6, FALSE), perc_90, VLOOKUP(R$2, Percentiles!$A$45:$I$59, 7, FALSE), perc_95, VLOOKUP(R$2, Percentiles!$A$45:$I$59, 8, FALSE), perc_85, perc_75 + (perc_90 - perc_75) * (2/3), converted_stat, '2K_Ratings'!R482, IF(bbgm_stat &gt;= perc_95, converted_stat * 3, IF(bbgm_stat &gt;= perc_90, converted_stat * 2, IF(bbgm_stat &gt;= perc_85, converted_stat * 1.5, converted_stat)))))</f>
        <v/>
      </c>
      <c r="S482" s="30" t="str">
        <f t="array" ref="S482">IF($A482="", "", LET(bbgm_stat, INDEX(Players!$A481:$P481, MATCH(S$2, Players!$A$1:$P$1, 0)), perc_75, VLOOKUP(S$2, Percentiles!$A$45:$I$59, 6, FALSE), perc_90, VLOOKUP(S$2, Percentiles!$A$45:$I$59, 7, FALSE), perc_95, VLOOKUP(S$2, Percentiles!$A$45:$I$59, 8, FALSE), perc_85, perc_75 + (perc_90 - perc_75) * (2/3), converted_stat, '2K_Ratings'!S482, IF(bbgm_stat &gt;= perc_95, converted_stat * 3, IF(bbgm_stat &gt;= perc_90, converted_stat * 2, IF(bbgm_stat &gt;= perc_85, converted_stat * 1.5, converted_stat)))))</f>
        <v/>
      </c>
      <c r="T482" s="30" t="str">
        <f t="array" ref="T482">IF($A482="", "", LET(bbgm_stat, INDEX(Players!$A481:$P481, MATCH(T$2, Players!$A$1:$P$1, 0)), perc_75, VLOOKUP(T$2, Percentiles!$A$45:$I$59, 6, FALSE), perc_90, VLOOKUP(T$2, Percentiles!$A$45:$I$59, 7, FALSE), perc_95, VLOOKUP(T$2, Percentiles!$A$45:$I$59, 8, FALSE), perc_85, perc_75 + (perc_90 - perc_75) * (2/3), converted_stat, '2K_Ratings'!T482, IF(bbgm_stat &gt;= perc_95, converted_stat * 3, IF(bbgm_stat &gt;= perc_90, converted_stat * 2, IF(bbgm_stat &gt;= perc_85, converted_stat * 1.5, converted_stat)))))</f>
        <v/>
      </c>
      <c r="U482" s="30" t="str">
        <f t="array" ref="U482">IF($A482="", "", LET(bbgm_stat, INDEX(Players!$A481:$P481, MATCH(U$2, Players!$A$1:$P$1, 0)), perc_75, VLOOKUP(U$2, Percentiles!$A$45:$I$59, 6, FALSE), perc_90, VLOOKUP(U$2, Percentiles!$A$45:$I$59, 7, FALSE), perc_95, VLOOKUP(U$2, Percentiles!$A$45:$I$59, 8, FALSE), perc_85, perc_75 + (perc_90 - perc_75) * (2/3), converted_stat, '2K_Ratings'!U482, IF(bbgm_stat &gt;= perc_95, converted_stat * 3, IF(bbgm_stat &gt;= perc_90, converted_stat * 2, IF(bbgm_stat &gt;= perc_85, converted_stat * 1.5, converted_stat)))))</f>
        <v/>
      </c>
      <c r="V482" s="30" t="str">
        <f t="array" ref="V482">IF($A482="", "", LET(bbgm_stat, INDEX(Players!$A481:$P481, MATCH(V$2, Players!$A$1:$P$1, 0)), perc_75, VLOOKUP(V$2, Percentiles!$A$45:$I$59, 6, FALSE), perc_90, VLOOKUP(V$2, Percentiles!$A$45:$I$59, 7, FALSE), perc_95, VLOOKUP(V$2, Percentiles!$A$45:$I$59, 8, FALSE), perc_85, perc_75 + (perc_90 - perc_75) * (2/3), converted_stat, '2K_Ratings'!V482, IF(bbgm_stat &gt;= perc_95, converted_stat * 3, IF(bbgm_stat &gt;= perc_90, converted_stat * 2, IF(bbgm_stat &gt;= perc_85, converted_stat * 1.5, converted_stat)))))</f>
        <v/>
      </c>
      <c r="W482" s="30" t="str">
        <f t="array" ref="W482">IF($A482="", "", LET(bbgm_stat, INDEX(Players!$A481:$P481, MATCH(W$2, Players!$A$1:$P$1, 0)), perc_75, VLOOKUP(W$2, Percentiles!$A$45:$I$59, 6, FALSE), perc_90, VLOOKUP(W$2, Percentiles!$A$45:$I$59, 7, FALSE), perc_95, VLOOKUP(W$2, Percentiles!$A$45:$I$59, 8, FALSE), perc_85, perc_75 + (perc_90 - perc_75) * (2/3), converted_stat, '2K_Ratings'!W482, IF(bbgm_stat &gt;= perc_95, converted_stat * 3, IF(bbgm_stat &gt;= perc_90, converted_stat * 2, IF(bbgm_stat &gt;= perc_85, converted_stat * 1.5, converted_stat)))))</f>
        <v/>
      </c>
    </row>
    <row r="483">
      <c r="A483" s="30"/>
      <c r="B483" s="30" t="str">
        <f t="array" ref="B483">IF($A483="", "", LET(bbgm_stat, INDEX(Players!$A482:$P482, MATCH(B$2, Players!$A$1:$P$1, 0)), perc_75, VLOOKUP(B$2, Percentiles!$A$45:$I$59, 6, FALSE), perc_90, VLOOKUP(B$2, Percentiles!$A$45:$I$59, 7, FALSE), perc_95, VLOOKUP(B$2, Percentiles!$A$45:$I$59, 8, FALSE), perc_85, perc_75 + (perc_90 - perc_75) * (2/3), converted_stat, '2K_Ratings'!B483, IF(bbgm_stat &gt;= perc_95, converted_stat * 3, IF(bbgm_stat &gt;= perc_90, converted_stat * 2, IF(bbgm_stat &gt;= perc_85, converted_stat * 1.5, converted_stat)))))</f>
        <v/>
      </c>
      <c r="C483" s="30" t="str">
        <f t="array" ref="C483">IF($A483="", "", LET(bbgm_stat, INDEX(Players!$A482:$P482, MATCH(C$2, Players!$A$1:$P$1, 0)), perc_75, VLOOKUP(C$2, Percentiles!$A$45:$I$59, 6, FALSE), perc_90, VLOOKUP(C$2, Percentiles!$A$45:$I$59, 7, FALSE), perc_95, VLOOKUP(C$2, Percentiles!$A$45:$I$59, 8, FALSE), perc_85, perc_75 + (perc_90 - perc_75) * (2/3), converted_stat, '2K_Ratings'!C483, IF(bbgm_stat &gt;= perc_95, converted_stat * 3, IF(bbgm_stat &gt;= perc_90, converted_stat * 2, IF(bbgm_stat &gt;= perc_85, converted_stat * 1.5, converted_stat)))))</f>
        <v/>
      </c>
      <c r="D483" s="30" t="str">
        <f t="array" ref="D483">IF($A483="", "", LET(bbgm_stat, INDEX(Players!$A482:$P482, MATCH(D$2, Players!$A$1:$P$1, 0)), perc_75, VLOOKUP(D$2, Percentiles!$A$45:$I$59, 6, FALSE), perc_90, VLOOKUP(D$2, Percentiles!$A$45:$I$59, 7, FALSE), perc_95, VLOOKUP(D$2, Percentiles!$A$45:$I$59, 8, FALSE), perc_85, perc_75 + (perc_90 - perc_75) * (2/3), converted_stat, '2K_Ratings'!D483, IF(bbgm_stat &gt;= perc_95, converted_stat * 3, IF(bbgm_stat &gt;= perc_90, converted_stat * 2, IF(bbgm_stat &gt;= perc_85, converted_stat * 1.5, converted_stat)))))</f>
        <v/>
      </c>
      <c r="E483" s="30" t="str">
        <f t="array" ref="E483">IF($A483="", "", LET(bbgm_stat, INDEX(Players!$A482:$P482, MATCH(E$2, Players!$A$1:$P$1, 0)), perc_75, VLOOKUP(E$2, Percentiles!$A$45:$I$59, 6, FALSE), perc_90, VLOOKUP(E$2, Percentiles!$A$45:$I$59, 7, FALSE), perc_95, VLOOKUP(E$2, Percentiles!$A$45:$I$59, 8, FALSE), perc_85, perc_75 + (perc_90 - perc_75) * (2/3), converted_stat, '2K_Ratings'!E483, IF(bbgm_stat &gt;= perc_95, converted_stat * 3, IF(bbgm_stat &gt;= perc_90, converted_stat * 2, IF(bbgm_stat &gt;= perc_85, converted_stat * 1.5, converted_stat)))))</f>
        <v/>
      </c>
      <c r="F483" s="30" t="str">
        <f t="array" ref="F483">IF($A483="", "", LET(bbgm_stat, INDEX(Players!$A482:$P482, MATCH(F$2, Players!$A$1:$P$1, 0)), perc_75, VLOOKUP(F$2, Percentiles!$A$45:$I$59, 6, FALSE), perc_90, VLOOKUP(F$2, Percentiles!$A$45:$I$59, 7, FALSE), perc_95, VLOOKUP(F$2, Percentiles!$A$45:$I$59, 8, FALSE), perc_85, perc_75 + (perc_90 - perc_75) * (2/3), converted_stat, '2K_Ratings'!F483, IF(bbgm_stat &gt;= perc_95, converted_stat * 3, IF(bbgm_stat &gt;= perc_90, converted_stat * 2, IF(bbgm_stat &gt;= perc_85, converted_stat * 1.5, converted_stat)))))</f>
        <v/>
      </c>
      <c r="G483" s="30" t="str">
        <f t="array" ref="G483">IF($A483="", "", LET(bbgm_stat, INDEX(Players!$A482:$P482, MATCH(G$2, Players!$A$1:$P$1, 0)), perc_75, VLOOKUP(G$2, Percentiles!$A$45:$I$59, 6, FALSE), perc_90, VLOOKUP(G$2, Percentiles!$A$45:$I$59, 7, FALSE), perc_95, VLOOKUP(G$2, Percentiles!$A$45:$I$59, 8, FALSE), perc_85, perc_75 + (perc_90 - perc_75) * (2/3), converted_stat, '2K_Ratings'!G483, IF(bbgm_stat &gt;= perc_95, converted_stat * 3, IF(bbgm_stat &gt;= perc_90, converted_stat * 2, IF(bbgm_stat &gt;= perc_85, converted_stat * 1.5, converted_stat)))))</f>
        <v/>
      </c>
      <c r="H483" s="30" t="str">
        <f t="array" ref="H483">IF($A483="", "", LET(bbgm_stat, INDEX(Players!$A482:$P482, MATCH(H$2, Players!$A$1:$P$1, 0)), perc_75, VLOOKUP(H$2, Percentiles!$A$45:$I$59, 6, FALSE), perc_90, VLOOKUP(H$2, Percentiles!$A$45:$I$59, 7, FALSE), perc_95, VLOOKUP(H$2, Percentiles!$A$45:$I$59, 8, FALSE), perc_85, perc_75 + (perc_90 - perc_75) * (2/3), converted_stat, '2K_Ratings'!H483, IF(bbgm_stat &gt;= perc_95, converted_stat * 3, IF(bbgm_stat &gt;= perc_90, converted_stat * 2, IF(bbgm_stat &gt;= perc_85, converted_stat * 1.5, converted_stat)))))</f>
        <v/>
      </c>
      <c r="I483" s="30" t="str">
        <f t="array" ref="I483">IF($A483="", "", LET(bbgm_stat, INDEX(Players!$A482:$P482, MATCH(I$2, Players!$A$1:$P$1, 0)), perc_75, VLOOKUP(I$2, Percentiles!$A$45:$I$59, 6, FALSE), perc_90, VLOOKUP(I$2, Percentiles!$A$45:$I$59, 7, FALSE), perc_95, VLOOKUP(I$2, Percentiles!$A$45:$I$59, 8, FALSE), perc_85, perc_75 + (perc_90 - perc_75) * (2/3), converted_stat, '2K_Ratings'!I483, IF(bbgm_stat &gt;= perc_95, converted_stat * 3, IF(bbgm_stat &gt;= perc_90, converted_stat * 2, IF(bbgm_stat &gt;= perc_85, converted_stat * 1.5, converted_stat)))))</f>
        <v/>
      </c>
      <c r="J483" s="30" t="str">
        <f t="array" ref="J483">IF($A483="", "", LET(bbgm_stat, INDEX(Players!$A482:$P482, MATCH(J$2, Players!$A$1:$P$1, 0)), perc_75, VLOOKUP(J$2, Percentiles!$A$45:$I$59, 6, FALSE), perc_90, VLOOKUP(J$2, Percentiles!$A$45:$I$59, 7, FALSE), perc_95, VLOOKUP(J$2, Percentiles!$A$45:$I$59, 8, FALSE), perc_85, perc_75 + (perc_90 - perc_75) * (2/3), converted_stat, '2K_Ratings'!J483, IF(bbgm_stat &gt;= perc_95, converted_stat * 3, IF(bbgm_stat &gt;= perc_90, converted_stat * 2, IF(bbgm_stat &gt;= perc_85, converted_stat * 1.5, converted_stat)))))</f>
        <v/>
      </c>
      <c r="K483" s="30" t="str">
        <f t="array" ref="K483">IF($A483="", "", LET(bbgm_stat, INDEX(Players!$A482:$P482, MATCH(K$2, Players!$A$1:$P$1, 0)), perc_75, VLOOKUP(K$2, Percentiles!$A$45:$I$59, 6, FALSE), perc_90, VLOOKUP(K$2, Percentiles!$A$45:$I$59, 7, FALSE), perc_95, VLOOKUP(K$2, Percentiles!$A$45:$I$59, 8, FALSE), perc_85, perc_75 + (perc_90 - perc_75) * (2/3), converted_stat, '2K_Ratings'!K483, IF(bbgm_stat &gt;= perc_95, converted_stat * 3, IF(bbgm_stat &gt;= perc_90, converted_stat * 2, IF(bbgm_stat &gt;= perc_85, converted_stat * 1.5, converted_stat)))))</f>
        <v/>
      </c>
      <c r="L483" s="30" t="str">
        <f t="array" ref="L483">IF($A483="", "", LET(bbgm_stat, INDEX(Players!$A482:$P482, MATCH(L$2, Players!$A$1:$P$1, 0)), perc_75, VLOOKUP(L$2, Percentiles!$A$45:$I$59, 6, FALSE), perc_90, VLOOKUP(L$2, Percentiles!$A$45:$I$59, 7, FALSE), perc_95, VLOOKUP(L$2, Percentiles!$A$45:$I$59, 8, FALSE), perc_85, perc_75 + (perc_90 - perc_75) * (2/3), converted_stat, '2K_Ratings'!L483, IF(bbgm_stat &gt;= perc_95, converted_stat * 3, IF(bbgm_stat &gt;= perc_90, converted_stat * 2, IF(bbgm_stat &gt;= perc_85, converted_stat * 1.5, converted_stat)))))</f>
        <v/>
      </c>
      <c r="M483" s="30" t="str">
        <f t="array" ref="M483">IF($A483="", "", LET(bbgm_stat, INDEX(Players!$A482:$P482, MATCH(M$2, Players!$A$1:$P$1, 0)), perc_75, VLOOKUP(M$2, Percentiles!$A$45:$I$59, 6, FALSE), perc_90, VLOOKUP(M$2, Percentiles!$A$45:$I$59, 7, FALSE), perc_95, VLOOKUP(M$2, Percentiles!$A$45:$I$59, 8, FALSE), perc_85, perc_75 + (perc_90 - perc_75) * (2/3), converted_stat, '2K_Ratings'!M483, IF(bbgm_stat &gt;= perc_95, converted_stat * 3, IF(bbgm_stat &gt;= perc_90, converted_stat * 2, IF(bbgm_stat &gt;= perc_85, converted_stat * 1.5, converted_stat)))))</f>
        <v/>
      </c>
      <c r="N483" s="30" t="str">
        <f t="array" ref="N483">IF($A483="", "", LET(bbgm_stat, INDEX(Players!$A482:$P482, MATCH(N$2, Players!$A$1:$P$1, 0)), perc_75, VLOOKUP(N$2, Percentiles!$A$45:$I$59, 6, FALSE), perc_90, VLOOKUP(N$2, Percentiles!$A$45:$I$59, 7, FALSE), perc_95, VLOOKUP(N$2, Percentiles!$A$45:$I$59, 8, FALSE), perc_85, perc_75 + (perc_90 - perc_75) * (2/3), converted_stat, '2K_Ratings'!N483, IF(bbgm_stat &gt;= perc_95, converted_stat * 3, IF(bbgm_stat &gt;= perc_90, converted_stat * 2, IF(bbgm_stat &gt;= perc_85, converted_stat * 1.5, converted_stat)))))</f>
        <v/>
      </c>
      <c r="O483" s="30" t="str">
        <f t="array" ref="O483">IF($A483="", "", LET(bbgm_stat, INDEX(Players!$A482:$P482, MATCH(O$2, Players!$A$1:$P$1, 0)), perc_75, VLOOKUP(O$2, Percentiles!$A$45:$I$59, 6, FALSE), perc_90, VLOOKUP(O$2, Percentiles!$A$45:$I$59, 7, FALSE), perc_95, VLOOKUP(O$2, Percentiles!$A$45:$I$59, 8, FALSE), perc_85, perc_75 + (perc_90 - perc_75) * (2/3), converted_stat, '2K_Ratings'!O483, IF(bbgm_stat &gt;= perc_95, converted_stat * 3, IF(bbgm_stat &gt;= perc_90, converted_stat * 2, IF(bbgm_stat &gt;= perc_85, converted_stat * 1.5, converted_stat)))))</f>
        <v/>
      </c>
      <c r="P483" s="30" t="str">
        <f t="array" ref="P483">IF($A483="", "", LET(bbgm_stat, INDEX(Players!$A482:$P482, MATCH(P$2, Players!$A$1:$P$1, 0)), perc_75, VLOOKUP(P$2, Percentiles!$A$45:$I$59, 6, FALSE), perc_90, VLOOKUP(P$2, Percentiles!$A$45:$I$59, 7, FALSE), perc_95, VLOOKUP(P$2, Percentiles!$A$45:$I$59, 8, FALSE), perc_85, perc_75 + (perc_90 - perc_75) * (2/3), converted_stat, '2K_Ratings'!P483, IF(bbgm_stat &gt;= perc_95, converted_stat * 3, IF(bbgm_stat &gt;= perc_90, converted_stat * 2, IF(bbgm_stat &gt;= perc_85, converted_stat * 1.5, converted_stat)))))</f>
        <v/>
      </c>
      <c r="Q483" s="30" t="str">
        <f t="array" ref="Q483">IF($A483="", "", LET(bbgm_stat, INDEX(Players!$A482:$P482, MATCH(Q$2, Players!$A$1:$P$1, 0)), perc_75, VLOOKUP(Q$2, Percentiles!$A$45:$I$59, 6, FALSE), perc_90, VLOOKUP(Q$2, Percentiles!$A$45:$I$59, 7, FALSE), perc_95, VLOOKUP(Q$2, Percentiles!$A$45:$I$59, 8, FALSE), perc_85, perc_75 + (perc_90 - perc_75) * (2/3), converted_stat, '2K_Ratings'!Q483, IF(bbgm_stat &gt;= perc_95, converted_stat * 3, IF(bbgm_stat &gt;= perc_90, converted_stat * 2, IF(bbgm_stat &gt;= perc_85, converted_stat * 1.5, converted_stat)))))</f>
        <v/>
      </c>
      <c r="R483" s="30" t="str">
        <f t="array" ref="R483">IF($A483="", "", LET(bbgm_stat, INDEX(Players!$A482:$P482, MATCH(R$2, Players!$A$1:$P$1, 0)), perc_75, VLOOKUP(R$2, Percentiles!$A$45:$I$59, 6, FALSE), perc_90, VLOOKUP(R$2, Percentiles!$A$45:$I$59, 7, FALSE), perc_95, VLOOKUP(R$2, Percentiles!$A$45:$I$59, 8, FALSE), perc_85, perc_75 + (perc_90 - perc_75) * (2/3), converted_stat, '2K_Ratings'!R483, IF(bbgm_stat &gt;= perc_95, converted_stat * 3, IF(bbgm_stat &gt;= perc_90, converted_stat * 2, IF(bbgm_stat &gt;= perc_85, converted_stat * 1.5, converted_stat)))))</f>
        <v/>
      </c>
      <c r="S483" s="30" t="str">
        <f t="array" ref="S483">IF($A483="", "", LET(bbgm_stat, INDEX(Players!$A482:$P482, MATCH(S$2, Players!$A$1:$P$1, 0)), perc_75, VLOOKUP(S$2, Percentiles!$A$45:$I$59, 6, FALSE), perc_90, VLOOKUP(S$2, Percentiles!$A$45:$I$59, 7, FALSE), perc_95, VLOOKUP(S$2, Percentiles!$A$45:$I$59, 8, FALSE), perc_85, perc_75 + (perc_90 - perc_75) * (2/3), converted_stat, '2K_Ratings'!S483, IF(bbgm_stat &gt;= perc_95, converted_stat * 3, IF(bbgm_stat &gt;= perc_90, converted_stat * 2, IF(bbgm_stat &gt;= perc_85, converted_stat * 1.5, converted_stat)))))</f>
        <v/>
      </c>
      <c r="T483" s="30" t="str">
        <f t="array" ref="T483">IF($A483="", "", LET(bbgm_stat, INDEX(Players!$A482:$P482, MATCH(T$2, Players!$A$1:$P$1, 0)), perc_75, VLOOKUP(T$2, Percentiles!$A$45:$I$59, 6, FALSE), perc_90, VLOOKUP(T$2, Percentiles!$A$45:$I$59, 7, FALSE), perc_95, VLOOKUP(T$2, Percentiles!$A$45:$I$59, 8, FALSE), perc_85, perc_75 + (perc_90 - perc_75) * (2/3), converted_stat, '2K_Ratings'!T483, IF(bbgm_stat &gt;= perc_95, converted_stat * 3, IF(bbgm_stat &gt;= perc_90, converted_stat * 2, IF(bbgm_stat &gt;= perc_85, converted_stat * 1.5, converted_stat)))))</f>
        <v/>
      </c>
      <c r="U483" s="30" t="str">
        <f t="array" ref="U483">IF($A483="", "", LET(bbgm_stat, INDEX(Players!$A482:$P482, MATCH(U$2, Players!$A$1:$P$1, 0)), perc_75, VLOOKUP(U$2, Percentiles!$A$45:$I$59, 6, FALSE), perc_90, VLOOKUP(U$2, Percentiles!$A$45:$I$59, 7, FALSE), perc_95, VLOOKUP(U$2, Percentiles!$A$45:$I$59, 8, FALSE), perc_85, perc_75 + (perc_90 - perc_75) * (2/3), converted_stat, '2K_Ratings'!U483, IF(bbgm_stat &gt;= perc_95, converted_stat * 3, IF(bbgm_stat &gt;= perc_90, converted_stat * 2, IF(bbgm_stat &gt;= perc_85, converted_stat * 1.5, converted_stat)))))</f>
        <v/>
      </c>
      <c r="V483" s="30" t="str">
        <f t="array" ref="V483">IF($A483="", "", LET(bbgm_stat, INDEX(Players!$A482:$P482, MATCH(V$2, Players!$A$1:$P$1, 0)), perc_75, VLOOKUP(V$2, Percentiles!$A$45:$I$59, 6, FALSE), perc_90, VLOOKUP(V$2, Percentiles!$A$45:$I$59, 7, FALSE), perc_95, VLOOKUP(V$2, Percentiles!$A$45:$I$59, 8, FALSE), perc_85, perc_75 + (perc_90 - perc_75) * (2/3), converted_stat, '2K_Ratings'!V483, IF(bbgm_stat &gt;= perc_95, converted_stat * 3, IF(bbgm_stat &gt;= perc_90, converted_stat * 2, IF(bbgm_stat &gt;= perc_85, converted_stat * 1.5, converted_stat)))))</f>
        <v/>
      </c>
      <c r="W483" s="30" t="str">
        <f t="array" ref="W483">IF($A483="", "", LET(bbgm_stat, INDEX(Players!$A482:$P482, MATCH(W$2, Players!$A$1:$P$1, 0)), perc_75, VLOOKUP(W$2, Percentiles!$A$45:$I$59, 6, FALSE), perc_90, VLOOKUP(W$2, Percentiles!$A$45:$I$59, 7, FALSE), perc_95, VLOOKUP(W$2, Percentiles!$A$45:$I$59, 8, FALSE), perc_85, perc_75 + (perc_90 - perc_75) * (2/3), converted_stat, '2K_Ratings'!W483, IF(bbgm_stat &gt;= perc_95, converted_stat * 3, IF(bbgm_stat &gt;= perc_90, converted_stat * 2, IF(bbgm_stat &gt;= perc_85, converted_stat * 1.5, converted_stat)))))</f>
        <v/>
      </c>
    </row>
    <row r="484">
      <c r="A484" s="30"/>
      <c r="B484" s="30" t="str">
        <f t="array" ref="B484">IF($A484="", "", LET(bbgm_stat, INDEX(Players!$A483:$P483, MATCH(B$2, Players!$A$1:$P$1, 0)), perc_75, VLOOKUP(B$2, Percentiles!$A$45:$I$59, 6, FALSE), perc_90, VLOOKUP(B$2, Percentiles!$A$45:$I$59, 7, FALSE), perc_95, VLOOKUP(B$2, Percentiles!$A$45:$I$59, 8, FALSE), perc_85, perc_75 + (perc_90 - perc_75) * (2/3), converted_stat, '2K_Ratings'!B484, IF(bbgm_stat &gt;= perc_95, converted_stat * 3, IF(bbgm_stat &gt;= perc_90, converted_stat * 2, IF(bbgm_stat &gt;= perc_85, converted_stat * 1.5, converted_stat)))))</f>
        <v/>
      </c>
      <c r="C484" s="30" t="str">
        <f t="array" ref="C484">IF($A484="", "", LET(bbgm_stat, INDEX(Players!$A483:$P483, MATCH(C$2, Players!$A$1:$P$1, 0)), perc_75, VLOOKUP(C$2, Percentiles!$A$45:$I$59, 6, FALSE), perc_90, VLOOKUP(C$2, Percentiles!$A$45:$I$59, 7, FALSE), perc_95, VLOOKUP(C$2, Percentiles!$A$45:$I$59, 8, FALSE), perc_85, perc_75 + (perc_90 - perc_75) * (2/3), converted_stat, '2K_Ratings'!C484, IF(bbgm_stat &gt;= perc_95, converted_stat * 3, IF(bbgm_stat &gt;= perc_90, converted_stat * 2, IF(bbgm_stat &gt;= perc_85, converted_stat * 1.5, converted_stat)))))</f>
        <v/>
      </c>
      <c r="D484" s="30" t="str">
        <f t="array" ref="D484">IF($A484="", "", LET(bbgm_stat, INDEX(Players!$A483:$P483, MATCH(D$2, Players!$A$1:$P$1, 0)), perc_75, VLOOKUP(D$2, Percentiles!$A$45:$I$59, 6, FALSE), perc_90, VLOOKUP(D$2, Percentiles!$A$45:$I$59, 7, FALSE), perc_95, VLOOKUP(D$2, Percentiles!$A$45:$I$59, 8, FALSE), perc_85, perc_75 + (perc_90 - perc_75) * (2/3), converted_stat, '2K_Ratings'!D484, IF(bbgm_stat &gt;= perc_95, converted_stat * 3, IF(bbgm_stat &gt;= perc_90, converted_stat * 2, IF(bbgm_stat &gt;= perc_85, converted_stat * 1.5, converted_stat)))))</f>
        <v/>
      </c>
      <c r="E484" s="30" t="str">
        <f t="array" ref="E484">IF($A484="", "", LET(bbgm_stat, INDEX(Players!$A483:$P483, MATCH(E$2, Players!$A$1:$P$1, 0)), perc_75, VLOOKUP(E$2, Percentiles!$A$45:$I$59, 6, FALSE), perc_90, VLOOKUP(E$2, Percentiles!$A$45:$I$59, 7, FALSE), perc_95, VLOOKUP(E$2, Percentiles!$A$45:$I$59, 8, FALSE), perc_85, perc_75 + (perc_90 - perc_75) * (2/3), converted_stat, '2K_Ratings'!E484, IF(bbgm_stat &gt;= perc_95, converted_stat * 3, IF(bbgm_stat &gt;= perc_90, converted_stat * 2, IF(bbgm_stat &gt;= perc_85, converted_stat * 1.5, converted_stat)))))</f>
        <v/>
      </c>
      <c r="F484" s="30" t="str">
        <f t="array" ref="F484">IF($A484="", "", LET(bbgm_stat, INDEX(Players!$A483:$P483, MATCH(F$2, Players!$A$1:$P$1, 0)), perc_75, VLOOKUP(F$2, Percentiles!$A$45:$I$59, 6, FALSE), perc_90, VLOOKUP(F$2, Percentiles!$A$45:$I$59, 7, FALSE), perc_95, VLOOKUP(F$2, Percentiles!$A$45:$I$59, 8, FALSE), perc_85, perc_75 + (perc_90 - perc_75) * (2/3), converted_stat, '2K_Ratings'!F484, IF(bbgm_stat &gt;= perc_95, converted_stat * 3, IF(bbgm_stat &gt;= perc_90, converted_stat * 2, IF(bbgm_stat &gt;= perc_85, converted_stat * 1.5, converted_stat)))))</f>
        <v/>
      </c>
      <c r="G484" s="30" t="str">
        <f t="array" ref="G484">IF($A484="", "", LET(bbgm_stat, INDEX(Players!$A483:$P483, MATCH(G$2, Players!$A$1:$P$1, 0)), perc_75, VLOOKUP(G$2, Percentiles!$A$45:$I$59, 6, FALSE), perc_90, VLOOKUP(G$2, Percentiles!$A$45:$I$59, 7, FALSE), perc_95, VLOOKUP(G$2, Percentiles!$A$45:$I$59, 8, FALSE), perc_85, perc_75 + (perc_90 - perc_75) * (2/3), converted_stat, '2K_Ratings'!G484, IF(bbgm_stat &gt;= perc_95, converted_stat * 3, IF(bbgm_stat &gt;= perc_90, converted_stat * 2, IF(bbgm_stat &gt;= perc_85, converted_stat * 1.5, converted_stat)))))</f>
        <v/>
      </c>
      <c r="H484" s="30" t="str">
        <f t="array" ref="H484">IF($A484="", "", LET(bbgm_stat, INDEX(Players!$A483:$P483, MATCH(H$2, Players!$A$1:$P$1, 0)), perc_75, VLOOKUP(H$2, Percentiles!$A$45:$I$59, 6, FALSE), perc_90, VLOOKUP(H$2, Percentiles!$A$45:$I$59, 7, FALSE), perc_95, VLOOKUP(H$2, Percentiles!$A$45:$I$59, 8, FALSE), perc_85, perc_75 + (perc_90 - perc_75) * (2/3), converted_stat, '2K_Ratings'!H484, IF(bbgm_stat &gt;= perc_95, converted_stat * 3, IF(bbgm_stat &gt;= perc_90, converted_stat * 2, IF(bbgm_stat &gt;= perc_85, converted_stat * 1.5, converted_stat)))))</f>
        <v/>
      </c>
      <c r="I484" s="30" t="str">
        <f t="array" ref="I484">IF($A484="", "", LET(bbgm_stat, INDEX(Players!$A483:$P483, MATCH(I$2, Players!$A$1:$P$1, 0)), perc_75, VLOOKUP(I$2, Percentiles!$A$45:$I$59, 6, FALSE), perc_90, VLOOKUP(I$2, Percentiles!$A$45:$I$59, 7, FALSE), perc_95, VLOOKUP(I$2, Percentiles!$A$45:$I$59, 8, FALSE), perc_85, perc_75 + (perc_90 - perc_75) * (2/3), converted_stat, '2K_Ratings'!I484, IF(bbgm_stat &gt;= perc_95, converted_stat * 3, IF(bbgm_stat &gt;= perc_90, converted_stat * 2, IF(bbgm_stat &gt;= perc_85, converted_stat * 1.5, converted_stat)))))</f>
        <v/>
      </c>
      <c r="J484" s="30" t="str">
        <f t="array" ref="J484">IF($A484="", "", LET(bbgm_stat, INDEX(Players!$A483:$P483, MATCH(J$2, Players!$A$1:$P$1, 0)), perc_75, VLOOKUP(J$2, Percentiles!$A$45:$I$59, 6, FALSE), perc_90, VLOOKUP(J$2, Percentiles!$A$45:$I$59, 7, FALSE), perc_95, VLOOKUP(J$2, Percentiles!$A$45:$I$59, 8, FALSE), perc_85, perc_75 + (perc_90 - perc_75) * (2/3), converted_stat, '2K_Ratings'!J484, IF(bbgm_stat &gt;= perc_95, converted_stat * 3, IF(bbgm_stat &gt;= perc_90, converted_stat * 2, IF(bbgm_stat &gt;= perc_85, converted_stat * 1.5, converted_stat)))))</f>
        <v/>
      </c>
      <c r="K484" s="30" t="str">
        <f t="array" ref="K484">IF($A484="", "", LET(bbgm_stat, INDEX(Players!$A483:$P483, MATCH(K$2, Players!$A$1:$P$1, 0)), perc_75, VLOOKUP(K$2, Percentiles!$A$45:$I$59, 6, FALSE), perc_90, VLOOKUP(K$2, Percentiles!$A$45:$I$59, 7, FALSE), perc_95, VLOOKUP(K$2, Percentiles!$A$45:$I$59, 8, FALSE), perc_85, perc_75 + (perc_90 - perc_75) * (2/3), converted_stat, '2K_Ratings'!K484, IF(bbgm_stat &gt;= perc_95, converted_stat * 3, IF(bbgm_stat &gt;= perc_90, converted_stat * 2, IF(bbgm_stat &gt;= perc_85, converted_stat * 1.5, converted_stat)))))</f>
        <v/>
      </c>
      <c r="L484" s="30" t="str">
        <f t="array" ref="L484">IF($A484="", "", LET(bbgm_stat, INDEX(Players!$A483:$P483, MATCH(L$2, Players!$A$1:$P$1, 0)), perc_75, VLOOKUP(L$2, Percentiles!$A$45:$I$59, 6, FALSE), perc_90, VLOOKUP(L$2, Percentiles!$A$45:$I$59, 7, FALSE), perc_95, VLOOKUP(L$2, Percentiles!$A$45:$I$59, 8, FALSE), perc_85, perc_75 + (perc_90 - perc_75) * (2/3), converted_stat, '2K_Ratings'!L484, IF(bbgm_stat &gt;= perc_95, converted_stat * 3, IF(bbgm_stat &gt;= perc_90, converted_stat * 2, IF(bbgm_stat &gt;= perc_85, converted_stat * 1.5, converted_stat)))))</f>
        <v/>
      </c>
      <c r="M484" s="30" t="str">
        <f t="array" ref="M484">IF($A484="", "", LET(bbgm_stat, INDEX(Players!$A483:$P483, MATCH(M$2, Players!$A$1:$P$1, 0)), perc_75, VLOOKUP(M$2, Percentiles!$A$45:$I$59, 6, FALSE), perc_90, VLOOKUP(M$2, Percentiles!$A$45:$I$59, 7, FALSE), perc_95, VLOOKUP(M$2, Percentiles!$A$45:$I$59, 8, FALSE), perc_85, perc_75 + (perc_90 - perc_75) * (2/3), converted_stat, '2K_Ratings'!M484, IF(bbgm_stat &gt;= perc_95, converted_stat * 3, IF(bbgm_stat &gt;= perc_90, converted_stat * 2, IF(bbgm_stat &gt;= perc_85, converted_stat * 1.5, converted_stat)))))</f>
        <v/>
      </c>
      <c r="N484" s="30" t="str">
        <f t="array" ref="N484">IF($A484="", "", LET(bbgm_stat, INDEX(Players!$A483:$P483, MATCH(N$2, Players!$A$1:$P$1, 0)), perc_75, VLOOKUP(N$2, Percentiles!$A$45:$I$59, 6, FALSE), perc_90, VLOOKUP(N$2, Percentiles!$A$45:$I$59, 7, FALSE), perc_95, VLOOKUP(N$2, Percentiles!$A$45:$I$59, 8, FALSE), perc_85, perc_75 + (perc_90 - perc_75) * (2/3), converted_stat, '2K_Ratings'!N484, IF(bbgm_stat &gt;= perc_95, converted_stat * 3, IF(bbgm_stat &gt;= perc_90, converted_stat * 2, IF(bbgm_stat &gt;= perc_85, converted_stat * 1.5, converted_stat)))))</f>
        <v/>
      </c>
      <c r="O484" s="30" t="str">
        <f t="array" ref="O484">IF($A484="", "", LET(bbgm_stat, INDEX(Players!$A483:$P483, MATCH(O$2, Players!$A$1:$P$1, 0)), perc_75, VLOOKUP(O$2, Percentiles!$A$45:$I$59, 6, FALSE), perc_90, VLOOKUP(O$2, Percentiles!$A$45:$I$59, 7, FALSE), perc_95, VLOOKUP(O$2, Percentiles!$A$45:$I$59, 8, FALSE), perc_85, perc_75 + (perc_90 - perc_75) * (2/3), converted_stat, '2K_Ratings'!O484, IF(bbgm_stat &gt;= perc_95, converted_stat * 3, IF(bbgm_stat &gt;= perc_90, converted_stat * 2, IF(bbgm_stat &gt;= perc_85, converted_stat * 1.5, converted_stat)))))</f>
        <v/>
      </c>
      <c r="P484" s="30" t="str">
        <f t="array" ref="P484">IF($A484="", "", LET(bbgm_stat, INDEX(Players!$A483:$P483, MATCH(P$2, Players!$A$1:$P$1, 0)), perc_75, VLOOKUP(P$2, Percentiles!$A$45:$I$59, 6, FALSE), perc_90, VLOOKUP(P$2, Percentiles!$A$45:$I$59, 7, FALSE), perc_95, VLOOKUP(P$2, Percentiles!$A$45:$I$59, 8, FALSE), perc_85, perc_75 + (perc_90 - perc_75) * (2/3), converted_stat, '2K_Ratings'!P484, IF(bbgm_stat &gt;= perc_95, converted_stat * 3, IF(bbgm_stat &gt;= perc_90, converted_stat * 2, IF(bbgm_stat &gt;= perc_85, converted_stat * 1.5, converted_stat)))))</f>
        <v/>
      </c>
      <c r="Q484" s="30" t="str">
        <f t="array" ref="Q484">IF($A484="", "", LET(bbgm_stat, INDEX(Players!$A483:$P483, MATCH(Q$2, Players!$A$1:$P$1, 0)), perc_75, VLOOKUP(Q$2, Percentiles!$A$45:$I$59, 6, FALSE), perc_90, VLOOKUP(Q$2, Percentiles!$A$45:$I$59, 7, FALSE), perc_95, VLOOKUP(Q$2, Percentiles!$A$45:$I$59, 8, FALSE), perc_85, perc_75 + (perc_90 - perc_75) * (2/3), converted_stat, '2K_Ratings'!Q484, IF(bbgm_stat &gt;= perc_95, converted_stat * 3, IF(bbgm_stat &gt;= perc_90, converted_stat * 2, IF(bbgm_stat &gt;= perc_85, converted_stat * 1.5, converted_stat)))))</f>
        <v/>
      </c>
      <c r="R484" s="30" t="str">
        <f t="array" ref="R484">IF($A484="", "", LET(bbgm_stat, INDEX(Players!$A483:$P483, MATCH(R$2, Players!$A$1:$P$1, 0)), perc_75, VLOOKUP(R$2, Percentiles!$A$45:$I$59, 6, FALSE), perc_90, VLOOKUP(R$2, Percentiles!$A$45:$I$59, 7, FALSE), perc_95, VLOOKUP(R$2, Percentiles!$A$45:$I$59, 8, FALSE), perc_85, perc_75 + (perc_90 - perc_75) * (2/3), converted_stat, '2K_Ratings'!R484, IF(bbgm_stat &gt;= perc_95, converted_stat * 3, IF(bbgm_stat &gt;= perc_90, converted_stat * 2, IF(bbgm_stat &gt;= perc_85, converted_stat * 1.5, converted_stat)))))</f>
        <v/>
      </c>
      <c r="S484" s="30" t="str">
        <f t="array" ref="S484">IF($A484="", "", LET(bbgm_stat, INDEX(Players!$A483:$P483, MATCH(S$2, Players!$A$1:$P$1, 0)), perc_75, VLOOKUP(S$2, Percentiles!$A$45:$I$59, 6, FALSE), perc_90, VLOOKUP(S$2, Percentiles!$A$45:$I$59, 7, FALSE), perc_95, VLOOKUP(S$2, Percentiles!$A$45:$I$59, 8, FALSE), perc_85, perc_75 + (perc_90 - perc_75) * (2/3), converted_stat, '2K_Ratings'!S484, IF(bbgm_stat &gt;= perc_95, converted_stat * 3, IF(bbgm_stat &gt;= perc_90, converted_stat * 2, IF(bbgm_stat &gt;= perc_85, converted_stat * 1.5, converted_stat)))))</f>
        <v/>
      </c>
      <c r="T484" s="30" t="str">
        <f t="array" ref="T484">IF($A484="", "", LET(bbgm_stat, INDEX(Players!$A483:$P483, MATCH(T$2, Players!$A$1:$P$1, 0)), perc_75, VLOOKUP(T$2, Percentiles!$A$45:$I$59, 6, FALSE), perc_90, VLOOKUP(T$2, Percentiles!$A$45:$I$59, 7, FALSE), perc_95, VLOOKUP(T$2, Percentiles!$A$45:$I$59, 8, FALSE), perc_85, perc_75 + (perc_90 - perc_75) * (2/3), converted_stat, '2K_Ratings'!T484, IF(bbgm_stat &gt;= perc_95, converted_stat * 3, IF(bbgm_stat &gt;= perc_90, converted_stat * 2, IF(bbgm_stat &gt;= perc_85, converted_stat * 1.5, converted_stat)))))</f>
        <v/>
      </c>
      <c r="U484" s="30" t="str">
        <f t="array" ref="U484">IF($A484="", "", LET(bbgm_stat, INDEX(Players!$A483:$P483, MATCH(U$2, Players!$A$1:$P$1, 0)), perc_75, VLOOKUP(U$2, Percentiles!$A$45:$I$59, 6, FALSE), perc_90, VLOOKUP(U$2, Percentiles!$A$45:$I$59, 7, FALSE), perc_95, VLOOKUP(U$2, Percentiles!$A$45:$I$59, 8, FALSE), perc_85, perc_75 + (perc_90 - perc_75) * (2/3), converted_stat, '2K_Ratings'!U484, IF(bbgm_stat &gt;= perc_95, converted_stat * 3, IF(bbgm_stat &gt;= perc_90, converted_stat * 2, IF(bbgm_stat &gt;= perc_85, converted_stat * 1.5, converted_stat)))))</f>
        <v/>
      </c>
      <c r="V484" s="30" t="str">
        <f t="array" ref="V484">IF($A484="", "", LET(bbgm_stat, INDEX(Players!$A483:$P483, MATCH(V$2, Players!$A$1:$P$1, 0)), perc_75, VLOOKUP(V$2, Percentiles!$A$45:$I$59, 6, FALSE), perc_90, VLOOKUP(V$2, Percentiles!$A$45:$I$59, 7, FALSE), perc_95, VLOOKUP(V$2, Percentiles!$A$45:$I$59, 8, FALSE), perc_85, perc_75 + (perc_90 - perc_75) * (2/3), converted_stat, '2K_Ratings'!V484, IF(bbgm_stat &gt;= perc_95, converted_stat * 3, IF(bbgm_stat &gt;= perc_90, converted_stat * 2, IF(bbgm_stat &gt;= perc_85, converted_stat * 1.5, converted_stat)))))</f>
        <v/>
      </c>
      <c r="W484" s="30" t="str">
        <f t="array" ref="W484">IF($A484="", "", LET(bbgm_stat, INDEX(Players!$A483:$P483, MATCH(W$2, Players!$A$1:$P$1, 0)), perc_75, VLOOKUP(W$2, Percentiles!$A$45:$I$59, 6, FALSE), perc_90, VLOOKUP(W$2, Percentiles!$A$45:$I$59, 7, FALSE), perc_95, VLOOKUP(W$2, Percentiles!$A$45:$I$59, 8, FALSE), perc_85, perc_75 + (perc_90 - perc_75) * (2/3), converted_stat, '2K_Ratings'!W484, IF(bbgm_stat &gt;= perc_95, converted_stat * 3, IF(bbgm_stat &gt;= perc_90, converted_stat * 2, IF(bbgm_stat &gt;= perc_85, converted_stat * 1.5, converted_stat)))))</f>
        <v/>
      </c>
    </row>
    <row r="485">
      <c r="A485" s="30"/>
      <c r="B485" s="30" t="str">
        <f t="array" ref="B485">IF($A485="", "", LET(bbgm_stat, INDEX(Players!$A484:$P484, MATCH(B$2, Players!$A$1:$P$1, 0)), perc_75, VLOOKUP(B$2, Percentiles!$A$45:$I$59, 6, FALSE), perc_90, VLOOKUP(B$2, Percentiles!$A$45:$I$59, 7, FALSE), perc_95, VLOOKUP(B$2, Percentiles!$A$45:$I$59, 8, FALSE), perc_85, perc_75 + (perc_90 - perc_75) * (2/3), converted_stat, '2K_Ratings'!B485, IF(bbgm_stat &gt;= perc_95, converted_stat * 3, IF(bbgm_stat &gt;= perc_90, converted_stat * 2, IF(bbgm_stat &gt;= perc_85, converted_stat * 1.5, converted_stat)))))</f>
        <v/>
      </c>
      <c r="C485" s="30" t="str">
        <f t="array" ref="C485">IF($A485="", "", LET(bbgm_stat, INDEX(Players!$A484:$P484, MATCH(C$2, Players!$A$1:$P$1, 0)), perc_75, VLOOKUP(C$2, Percentiles!$A$45:$I$59, 6, FALSE), perc_90, VLOOKUP(C$2, Percentiles!$A$45:$I$59, 7, FALSE), perc_95, VLOOKUP(C$2, Percentiles!$A$45:$I$59, 8, FALSE), perc_85, perc_75 + (perc_90 - perc_75) * (2/3), converted_stat, '2K_Ratings'!C485, IF(bbgm_stat &gt;= perc_95, converted_stat * 3, IF(bbgm_stat &gt;= perc_90, converted_stat * 2, IF(bbgm_stat &gt;= perc_85, converted_stat * 1.5, converted_stat)))))</f>
        <v/>
      </c>
      <c r="D485" s="30" t="str">
        <f t="array" ref="D485">IF($A485="", "", LET(bbgm_stat, INDEX(Players!$A484:$P484, MATCH(D$2, Players!$A$1:$P$1, 0)), perc_75, VLOOKUP(D$2, Percentiles!$A$45:$I$59, 6, FALSE), perc_90, VLOOKUP(D$2, Percentiles!$A$45:$I$59, 7, FALSE), perc_95, VLOOKUP(D$2, Percentiles!$A$45:$I$59, 8, FALSE), perc_85, perc_75 + (perc_90 - perc_75) * (2/3), converted_stat, '2K_Ratings'!D485, IF(bbgm_stat &gt;= perc_95, converted_stat * 3, IF(bbgm_stat &gt;= perc_90, converted_stat * 2, IF(bbgm_stat &gt;= perc_85, converted_stat * 1.5, converted_stat)))))</f>
        <v/>
      </c>
      <c r="E485" s="30" t="str">
        <f t="array" ref="E485">IF($A485="", "", LET(bbgm_stat, INDEX(Players!$A484:$P484, MATCH(E$2, Players!$A$1:$P$1, 0)), perc_75, VLOOKUP(E$2, Percentiles!$A$45:$I$59, 6, FALSE), perc_90, VLOOKUP(E$2, Percentiles!$A$45:$I$59, 7, FALSE), perc_95, VLOOKUP(E$2, Percentiles!$A$45:$I$59, 8, FALSE), perc_85, perc_75 + (perc_90 - perc_75) * (2/3), converted_stat, '2K_Ratings'!E485, IF(bbgm_stat &gt;= perc_95, converted_stat * 3, IF(bbgm_stat &gt;= perc_90, converted_stat * 2, IF(bbgm_stat &gt;= perc_85, converted_stat * 1.5, converted_stat)))))</f>
        <v/>
      </c>
      <c r="F485" s="30" t="str">
        <f t="array" ref="F485">IF($A485="", "", LET(bbgm_stat, INDEX(Players!$A484:$P484, MATCH(F$2, Players!$A$1:$P$1, 0)), perc_75, VLOOKUP(F$2, Percentiles!$A$45:$I$59, 6, FALSE), perc_90, VLOOKUP(F$2, Percentiles!$A$45:$I$59, 7, FALSE), perc_95, VLOOKUP(F$2, Percentiles!$A$45:$I$59, 8, FALSE), perc_85, perc_75 + (perc_90 - perc_75) * (2/3), converted_stat, '2K_Ratings'!F485, IF(bbgm_stat &gt;= perc_95, converted_stat * 3, IF(bbgm_stat &gt;= perc_90, converted_stat * 2, IF(bbgm_stat &gt;= perc_85, converted_stat * 1.5, converted_stat)))))</f>
        <v/>
      </c>
      <c r="G485" s="30" t="str">
        <f t="array" ref="G485">IF($A485="", "", LET(bbgm_stat, INDEX(Players!$A484:$P484, MATCH(G$2, Players!$A$1:$P$1, 0)), perc_75, VLOOKUP(G$2, Percentiles!$A$45:$I$59, 6, FALSE), perc_90, VLOOKUP(G$2, Percentiles!$A$45:$I$59, 7, FALSE), perc_95, VLOOKUP(G$2, Percentiles!$A$45:$I$59, 8, FALSE), perc_85, perc_75 + (perc_90 - perc_75) * (2/3), converted_stat, '2K_Ratings'!G485, IF(bbgm_stat &gt;= perc_95, converted_stat * 3, IF(bbgm_stat &gt;= perc_90, converted_stat * 2, IF(bbgm_stat &gt;= perc_85, converted_stat * 1.5, converted_stat)))))</f>
        <v/>
      </c>
      <c r="H485" s="30" t="str">
        <f t="array" ref="H485">IF($A485="", "", LET(bbgm_stat, INDEX(Players!$A484:$P484, MATCH(H$2, Players!$A$1:$P$1, 0)), perc_75, VLOOKUP(H$2, Percentiles!$A$45:$I$59, 6, FALSE), perc_90, VLOOKUP(H$2, Percentiles!$A$45:$I$59, 7, FALSE), perc_95, VLOOKUP(H$2, Percentiles!$A$45:$I$59, 8, FALSE), perc_85, perc_75 + (perc_90 - perc_75) * (2/3), converted_stat, '2K_Ratings'!H485, IF(bbgm_stat &gt;= perc_95, converted_stat * 3, IF(bbgm_stat &gt;= perc_90, converted_stat * 2, IF(bbgm_stat &gt;= perc_85, converted_stat * 1.5, converted_stat)))))</f>
        <v/>
      </c>
      <c r="I485" s="30" t="str">
        <f t="array" ref="I485">IF($A485="", "", LET(bbgm_stat, INDEX(Players!$A484:$P484, MATCH(I$2, Players!$A$1:$P$1, 0)), perc_75, VLOOKUP(I$2, Percentiles!$A$45:$I$59, 6, FALSE), perc_90, VLOOKUP(I$2, Percentiles!$A$45:$I$59, 7, FALSE), perc_95, VLOOKUP(I$2, Percentiles!$A$45:$I$59, 8, FALSE), perc_85, perc_75 + (perc_90 - perc_75) * (2/3), converted_stat, '2K_Ratings'!I485, IF(bbgm_stat &gt;= perc_95, converted_stat * 3, IF(bbgm_stat &gt;= perc_90, converted_stat * 2, IF(bbgm_stat &gt;= perc_85, converted_stat * 1.5, converted_stat)))))</f>
        <v/>
      </c>
      <c r="J485" s="30" t="str">
        <f t="array" ref="J485">IF($A485="", "", LET(bbgm_stat, INDEX(Players!$A484:$P484, MATCH(J$2, Players!$A$1:$P$1, 0)), perc_75, VLOOKUP(J$2, Percentiles!$A$45:$I$59, 6, FALSE), perc_90, VLOOKUP(J$2, Percentiles!$A$45:$I$59, 7, FALSE), perc_95, VLOOKUP(J$2, Percentiles!$A$45:$I$59, 8, FALSE), perc_85, perc_75 + (perc_90 - perc_75) * (2/3), converted_stat, '2K_Ratings'!J485, IF(bbgm_stat &gt;= perc_95, converted_stat * 3, IF(bbgm_stat &gt;= perc_90, converted_stat * 2, IF(bbgm_stat &gt;= perc_85, converted_stat * 1.5, converted_stat)))))</f>
        <v/>
      </c>
      <c r="K485" s="30" t="str">
        <f t="array" ref="K485">IF($A485="", "", LET(bbgm_stat, INDEX(Players!$A484:$P484, MATCH(K$2, Players!$A$1:$P$1, 0)), perc_75, VLOOKUP(K$2, Percentiles!$A$45:$I$59, 6, FALSE), perc_90, VLOOKUP(K$2, Percentiles!$A$45:$I$59, 7, FALSE), perc_95, VLOOKUP(K$2, Percentiles!$A$45:$I$59, 8, FALSE), perc_85, perc_75 + (perc_90 - perc_75) * (2/3), converted_stat, '2K_Ratings'!K485, IF(bbgm_stat &gt;= perc_95, converted_stat * 3, IF(bbgm_stat &gt;= perc_90, converted_stat * 2, IF(bbgm_stat &gt;= perc_85, converted_stat * 1.5, converted_stat)))))</f>
        <v/>
      </c>
      <c r="L485" s="30" t="str">
        <f t="array" ref="L485">IF($A485="", "", LET(bbgm_stat, INDEX(Players!$A484:$P484, MATCH(L$2, Players!$A$1:$P$1, 0)), perc_75, VLOOKUP(L$2, Percentiles!$A$45:$I$59, 6, FALSE), perc_90, VLOOKUP(L$2, Percentiles!$A$45:$I$59, 7, FALSE), perc_95, VLOOKUP(L$2, Percentiles!$A$45:$I$59, 8, FALSE), perc_85, perc_75 + (perc_90 - perc_75) * (2/3), converted_stat, '2K_Ratings'!L485, IF(bbgm_stat &gt;= perc_95, converted_stat * 3, IF(bbgm_stat &gt;= perc_90, converted_stat * 2, IF(bbgm_stat &gt;= perc_85, converted_stat * 1.5, converted_stat)))))</f>
        <v/>
      </c>
      <c r="M485" s="30" t="str">
        <f t="array" ref="M485">IF($A485="", "", LET(bbgm_stat, INDEX(Players!$A484:$P484, MATCH(M$2, Players!$A$1:$P$1, 0)), perc_75, VLOOKUP(M$2, Percentiles!$A$45:$I$59, 6, FALSE), perc_90, VLOOKUP(M$2, Percentiles!$A$45:$I$59, 7, FALSE), perc_95, VLOOKUP(M$2, Percentiles!$A$45:$I$59, 8, FALSE), perc_85, perc_75 + (perc_90 - perc_75) * (2/3), converted_stat, '2K_Ratings'!M485, IF(bbgm_stat &gt;= perc_95, converted_stat * 3, IF(bbgm_stat &gt;= perc_90, converted_stat * 2, IF(bbgm_stat &gt;= perc_85, converted_stat * 1.5, converted_stat)))))</f>
        <v/>
      </c>
      <c r="N485" s="30" t="str">
        <f t="array" ref="N485">IF($A485="", "", LET(bbgm_stat, INDEX(Players!$A484:$P484, MATCH(N$2, Players!$A$1:$P$1, 0)), perc_75, VLOOKUP(N$2, Percentiles!$A$45:$I$59, 6, FALSE), perc_90, VLOOKUP(N$2, Percentiles!$A$45:$I$59, 7, FALSE), perc_95, VLOOKUP(N$2, Percentiles!$A$45:$I$59, 8, FALSE), perc_85, perc_75 + (perc_90 - perc_75) * (2/3), converted_stat, '2K_Ratings'!N485, IF(bbgm_stat &gt;= perc_95, converted_stat * 3, IF(bbgm_stat &gt;= perc_90, converted_stat * 2, IF(bbgm_stat &gt;= perc_85, converted_stat * 1.5, converted_stat)))))</f>
        <v/>
      </c>
      <c r="O485" s="30" t="str">
        <f t="array" ref="O485">IF($A485="", "", LET(bbgm_stat, INDEX(Players!$A484:$P484, MATCH(O$2, Players!$A$1:$P$1, 0)), perc_75, VLOOKUP(O$2, Percentiles!$A$45:$I$59, 6, FALSE), perc_90, VLOOKUP(O$2, Percentiles!$A$45:$I$59, 7, FALSE), perc_95, VLOOKUP(O$2, Percentiles!$A$45:$I$59, 8, FALSE), perc_85, perc_75 + (perc_90 - perc_75) * (2/3), converted_stat, '2K_Ratings'!O485, IF(bbgm_stat &gt;= perc_95, converted_stat * 3, IF(bbgm_stat &gt;= perc_90, converted_stat * 2, IF(bbgm_stat &gt;= perc_85, converted_stat * 1.5, converted_stat)))))</f>
        <v/>
      </c>
      <c r="P485" s="30" t="str">
        <f t="array" ref="P485">IF($A485="", "", LET(bbgm_stat, INDEX(Players!$A484:$P484, MATCH(P$2, Players!$A$1:$P$1, 0)), perc_75, VLOOKUP(P$2, Percentiles!$A$45:$I$59, 6, FALSE), perc_90, VLOOKUP(P$2, Percentiles!$A$45:$I$59, 7, FALSE), perc_95, VLOOKUP(P$2, Percentiles!$A$45:$I$59, 8, FALSE), perc_85, perc_75 + (perc_90 - perc_75) * (2/3), converted_stat, '2K_Ratings'!P485, IF(bbgm_stat &gt;= perc_95, converted_stat * 3, IF(bbgm_stat &gt;= perc_90, converted_stat * 2, IF(bbgm_stat &gt;= perc_85, converted_stat * 1.5, converted_stat)))))</f>
        <v/>
      </c>
      <c r="Q485" s="30" t="str">
        <f t="array" ref="Q485">IF($A485="", "", LET(bbgm_stat, INDEX(Players!$A484:$P484, MATCH(Q$2, Players!$A$1:$P$1, 0)), perc_75, VLOOKUP(Q$2, Percentiles!$A$45:$I$59, 6, FALSE), perc_90, VLOOKUP(Q$2, Percentiles!$A$45:$I$59, 7, FALSE), perc_95, VLOOKUP(Q$2, Percentiles!$A$45:$I$59, 8, FALSE), perc_85, perc_75 + (perc_90 - perc_75) * (2/3), converted_stat, '2K_Ratings'!Q485, IF(bbgm_stat &gt;= perc_95, converted_stat * 3, IF(bbgm_stat &gt;= perc_90, converted_stat * 2, IF(bbgm_stat &gt;= perc_85, converted_stat * 1.5, converted_stat)))))</f>
        <v/>
      </c>
      <c r="R485" s="30" t="str">
        <f t="array" ref="R485">IF($A485="", "", LET(bbgm_stat, INDEX(Players!$A484:$P484, MATCH(R$2, Players!$A$1:$P$1, 0)), perc_75, VLOOKUP(R$2, Percentiles!$A$45:$I$59, 6, FALSE), perc_90, VLOOKUP(R$2, Percentiles!$A$45:$I$59, 7, FALSE), perc_95, VLOOKUP(R$2, Percentiles!$A$45:$I$59, 8, FALSE), perc_85, perc_75 + (perc_90 - perc_75) * (2/3), converted_stat, '2K_Ratings'!R485, IF(bbgm_stat &gt;= perc_95, converted_stat * 3, IF(bbgm_stat &gt;= perc_90, converted_stat * 2, IF(bbgm_stat &gt;= perc_85, converted_stat * 1.5, converted_stat)))))</f>
        <v/>
      </c>
      <c r="S485" s="30" t="str">
        <f t="array" ref="S485">IF($A485="", "", LET(bbgm_stat, INDEX(Players!$A484:$P484, MATCH(S$2, Players!$A$1:$P$1, 0)), perc_75, VLOOKUP(S$2, Percentiles!$A$45:$I$59, 6, FALSE), perc_90, VLOOKUP(S$2, Percentiles!$A$45:$I$59, 7, FALSE), perc_95, VLOOKUP(S$2, Percentiles!$A$45:$I$59, 8, FALSE), perc_85, perc_75 + (perc_90 - perc_75) * (2/3), converted_stat, '2K_Ratings'!S485, IF(bbgm_stat &gt;= perc_95, converted_stat * 3, IF(bbgm_stat &gt;= perc_90, converted_stat * 2, IF(bbgm_stat &gt;= perc_85, converted_stat * 1.5, converted_stat)))))</f>
        <v/>
      </c>
      <c r="T485" s="30" t="str">
        <f t="array" ref="T485">IF($A485="", "", LET(bbgm_stat, INDEX(Players!$A484:$P484, MATCH(T$2, Players!$A$1:$P$1, 0)), perc_75, VLOOKUP(T$2, Percentiles!$A$45:$I$59, 6, FALSE), perc_90, VLOOKUP(T$2, Percentiles!$A$45:$I$59, 7, FALSE), perc_95, VLOOKUP(T$2, Percentiles!$A$45:$I$59, 8, FALSE), perc_85, perc_75 + (perc_90 - perc_75) * (2/3), converted_stat, '2K_Ratings'!T485, IF(bbgm_stat &gt;= perc_95, converted_stat * 3, IF(bbgm_stat &gt;= perc_90, converted_stat * 2, IF(bbgm_stat &gt;= perc_85, converted_stat * 1.5, converted_stat)))))</f>
        <v/>
      </c>
      <c r="U485" s="30" t="str">
        <f t="array" ref="U485">IF($A485="", "", LET(bbgm_stat, INDEX(Players!$A484:$P484, MATCH(U$2, Players!$A$1:$P$1, 0)), perc_75, VLOOKUP(U$2, Percentiles!$A$45:$I$59, 6, FALSE), perc_90, VLOOKUP(U$2, Percentiles!$A$45:$I$59, 7, FALSE), perc_95, VLOOKUP(U$2, Percentiles!$A$45:$I$59, 8, FALSE), perc_85, perc_75 + (perc_90 - perc_75) * (2/3), converted_stat, '2K_Ratings'!U485, IF(bbgm_stat &gt;= perc_95, converted_stat * 3, IF(bbgm_stat &gt;= perc_90, converted_stat * 2, IF(bbgm_stat &gt;= perc_85, converted_stat * 1.5, converted_stat)))))</f>
        <v/>
      </c>
      <c r="V485" s="30" t="str">
        <f t="array" ref="V485">IF($A485="", "", LET(bbgm_stat, INDEX(Players!$A484:$P484, MATCH(V$2, Players!$A$1:$P$1, 0)), perc_75, VLOOKUP(V$2, Percentiles!$A$45:$I$59, 6, FALSE), perc_90, VLOOKUP(V$2, Percentiles!$A$45:$I$59, 7, FALSE), perc_95, VLOOKUP(V$2, Percentiles!$A$45:$I$59, 8, FALSE), perc_85, perc_75 + (perc_90 - perc_75) * (2/3), converted_stat, '2K_Ratings'!V485, IF(bbgm_stat &gt;= perc_95, converted_stat * 3, IF(bbgm_stat &gt;= perc_90, converted_stat * 2, IF(bbgm_stat &gt;= perc_85, converted_stat * 1.5, converted_stat)))))</f>
        <v/>
      </c>
      <c r="W485" s="30" t="str">
        <f t="array" ref="W485">IF($A485="", "", LET(bbgm_stat, INDEX(Players!$A484:$P484, MATCH(W$2, Players!$A$1:$P$1, 0)), perc_75, VLOOKUP(W$2, Percentiles!$A$45:$I$59, 6, FALSE), perc_90, VLOOKUP(W$2, Percentiles!$A$45:$I$59, 7, FALSE), perc_95, VLOOKUP(W$2, Percentiles!$A$45:$I$59, 8, FALSE), perc_85, perc_75 + (perc_90 - perc_75) * (2/3), converted_stat, '2K_Ratings'!W485, IF(bbgm_stat &gt;= perc_95, converted_stat * 3, IF(bbgm_stat &gt;= perc_90, converted_stat * 2, IF(bbgm_stat &gt;= perc_85, converted_stat * 1.5, converted_stat)))))</f>
        <v/>
      </c>
    </row>
    <row r="486">
      <c r="A486" s="30"/>
      <c r="B486" s="30" t="str">
        <f t="array" ref="B486">IF($A486="", "", LET(bbgm_stat, INDEX(Players!$A485:$P485, MATCH(B$2, Players!$A$1:$P$1, 0)), perc_75, VLOOKUP(B$2, Percentiles!$A$45:$I$59, 6, FALSE), perc_90, VLOOKUP(B$2, Percentiles!$A$45:$I$59, 7, FALSE), perc_95, VLOOKUP(B$2, Percentiles!$A$45:$I$59, 8, FALSE), perc_85, perc_75 + (perc_90 - perc_75) * (2/3), converted_stat, '2K_Ratings'!B486, IF(bbgm_stat &gt;= perc_95, converted_stat * 3, IF(bbgm_stat &gt;= perc_90, converted_stat * 2, IF(bbgm_stat &gt;= perc_85, converted_stat * 1.5, converted_stat)))))</f>
        <v/>
      </c>
      <c r="C486" s="30" t="str">
        <f t="array" ref="C486">IF($A486="", "", LET(bbgm_stat, INDEX(Players!$A485:$P485, MATCH(C$2, Players!$A$1:$P$1, 0)), perc_75, VLOOKUP(C$2, Percentiles!$A$45:$I$59, 6, FALSE), perc_90, VLOOKUP(C$2, Percentiles!$A$45:$I$59, 7, FALSE), perc_95, VLOOKUP(C$2, Percentiles!$A$45:$I$59, 8, FALSE), perc_85, perc_75 + (perc_90 - perc_75) * (2/3), converted_stat, '2K_Ratings'!C486, IF(bbgm_stat &gt;= perc_95, converted_stat * 3, IF(bbgm_stat &gt;= perc_90, converted_stat * 2, IF(bbgm_stat &gt;= perc_85, converted_stat * 1.5, converted_stat)))))</f>
        <v/>
      </c>
      <c r="D486" s="30" t="str">
        <f t="array" ref="D486">IF($A486="", "", LET(bbgm_stat, INDEX(Players!$A485:$P485, MATCH(D$2, Players!$A$1:$P$1, 0)), perc_75, VLOOKUP(D$2, Percentiles!$A$45:$I$59, 6, FALSE), perc_90, VLOOKUP(D$2, Percentiles!$A$45:$I$59, 7, FALSE), perc_95, VLOOKUP(D$2, Percentiles!$A$45:$I$59, 8, FALSE), perc_85, perc_75 + (perc_90 - perc_75) * (2/3), converted_stat, '2K_Ratings'!D486, IF(bbgm_stat &gt;= perc_95, converted_stat * 3, IF(bbgm_stat &gt;= perc_90, converted_stat * 2, IF(bbgm_stat &gt;= perc_85, converted_stat * 1.5, converted_stat)))))</f>
        <v/>
      </c>
      <c r="E486" s="30" t="str">
        <f t="array" ref="E486">IF($A486="", "", LET(bbgm_stat, INDEX(Players!$A485:$P485, MATCH(E$2, Players!$A$1:$P$1, 0)), perc_75, VLOOKUP(E$2, Percentiles!$A$45:$I$59, 6, FALSE), perc_90, VLOOKUP(E$2, Percentiles!$A$45:$I$59, 7, FALSE), perc_95, VLOOKUP(E$2, Percentiles!$A$45:$I$59, 8, FALSE), perc_85, perc_75 + (perc_90 - perc_75) * (2/3), converted_stat, '2K_Ratings'!E486, IF(bbgm_stat &gt;= perc_95, converted_stat * 3, IF(bbgm_stat &gt;= perc_90, converted_stat * 2, IF(bbgm_stat &gt;= perc_85, converted_stat * 1.5, converted_stat)))))</f>
        <v/>
      </c>
      <c r="F486" s="30" t="str">
        <f t="array" ref="F486">IF($A486="", "", LET(bbgm_stat, INDEX(Players!$A485:$P485, MATCH(F$2, Players!$A$1:$P$1, 0)), perc_75, VLOOKUP(F$2, Percentiles!$A$45:$I$59, 6, FALSE), perc_90, VLOOKUP(F$2, Percentiles!$A$45:$I$59, 7, FALSE), perc_95, VLOOKUP(F$2, Percentiles!$A$45:$I$59, 8, FALSE), perc_85, perc_75 + (perc_90 - perc_75) * (2/3), converted_stat, '2K_Ratings'!F486, IF(bbgm_stat &gt;= perc_95, converted_stat * 3, IF(bbgm_stat &gt;= perc_90, converted_stat * 2, IF(bbgm_stat &gt;= perc_85, converted_stat * 1.5, converted_stat)))))</f>
        <v/>
      </c>
      <c r="G486" s="30" t="str">
        <f t="array" ref="G486">IF($A486="", "", LET(bbgm_stat, INDEX(Players!$A485:$P485, MATCH(G$2, Players!$A$1:$P$1, 0)), perc_75, VLOOKUP(G$2, Percentiles!$A$45:$I$59, 6, FALSE), perc_90, VLOOKUP(G$2, Percentiles!$A$45:$I$59, 7, FALSE), perc_95, VLOOKUP(G$2, Percentiles!$A$45:$I$59, 8, FALSE), perc_85, perc_75 + (perc_90 - perc_75) * (2/3), converted_stat, '2K_Ratings'!G486, IF(bbgm_stat &gt;= perc_95, converted_stat * 3, IF(bbgm_stat &gt;= perc_90, converted_stat * 2, IF(bbgm_stat &gt;= perc_85, converted_stat * 1.5, converted_stat)))))</f>
        <v/>
      </c>
      <c r="H486" s="30" t="str">
        <f t="array" ref="H486">IF($A486="", "", LET(bbgm_stat, INDEX(Players!$A485:$P485, MATCH(H$2, Players!$A$1:$P$1, 0)), perc_75, VLOOKUP(H$2, Percentiles!$A$45:$I$59, 6, FALSE), perc_90, VLOOKUP(H$2, Percentiles!$A$45:$I$59, 7, FALSE), perc_95, VLOOKUP(H$2, Percentiles!$A$45:$I$59, 8, FALSE), perc_85, perc_75 + (perc_90 - perc_75) * (2/3), converted_stat, '2K_Ratings'!H486, IF(bbgm_stat &gt;= perc_95, converted_stat * 3, IF(bbgm_stat &gt;= perc_90, converted_stat * 2, IF(bbgm_stat &gt;= perc_85, converted_stat * 1.5, converted_stat)))))</f>
        <v/>
      </c>
      <c r="I486" s="30" t="str">
        <f t="array" ref="I486">IF($A486="", "", LET(bbgm_stat, INDEX(Players!$A485:$P485, MATCH(I$2, Players!$A$1:$P$1, 0)), perc_75, VLOOKUP(I$2, Percentiles!$A$45:$I$59, 6, FALSE), perc_90, VLOOKUP(I$2, Percentiles!$A$45:$I$59, 7, FALSE), perc_95, VLOOKUP(I$2, Percentiles!$A$45:$I$59, 8, FALSE), perc_85, perc_75 + (perc_90 - perc_75) * (2/3), converted_stat, '2K_Ratings'!I486, IF(bbgm_stat &gt;= perc_95, converted_stat * 3, IF(bbgm_stat &gt;= perc_90, converted_stat * 2, IF(bbgm_stat &gt;= perc_85, converted_stat * 1.5, converted_stat)))))</f>
        <v/>
      </c>
      <c r="J486" s="30" t="str">
        <f t="array" ref="J486">IF($A486="", "", LET(bbgm_stat, INDEX(Players!$A485:$P485, MATCH(J$2, Players!$A$1:$P$1, 0)), perc_75, VLOOKUP(J$2, Percentiles!$A$45:$I$59, 6, FALSE), perc_90, VLOOKUP(J$2, Percentiles!$A$45:$I$59, 7, FALSE), perc_95, VLOOKUP(J$2, Percentiles!$A$45:$I$59, 8, FALSE), perc_85, perc_75 + (perc_90 - perc_75) * (2/3), converted_stat, '2K_Ratings'!J486, IF(bbgm_stat &gt;= perc_95, converted_stat * 3, IF(bbgm_stat &gt;= perc_90, converted_stat * 2, IF(bbgm_stat &gt;= perc_85, converted_stat * 1.5, converted_stat)))))</f>
        <v/>
      </c>
      <c r="K486" s="30" t="str">
        <f t="array" ref="K486">IF($A486="", "", LET(bbgm_stat, INDEX(Players!$A485:$P485, MATCH(K$2, Players!$A$1:$P$1, 0)), perc_75, VLOOKUP(K$2, Percentiles!$A$45:$I$59, 6, FALSE), perc_90, VLOOKUP(K$2, Percentiles!$A$45:$I$59, 7, FALSE), perc_95, VLOOKUP(K$2, Percentiles!$A$45:$I$59, 8, FALSE), perc_85, perc_75 + (perc_90 - perc_75) * (2/3), converted_stat, '2K_Ratings'!K486, IF(bbgm_stat &gt;= perc_95, converted_stat * 3, IF(bbgm_stat &gt;= perc_90, converted_stat * 2, IF(bbgm_stat &gt;= perc_85, converted_stat * 1.5, converted_stat)))))</f>
        <v/>
      </c>
      <c r="L486" s="30" t="str">
        <f t="array" ref="L486">IF($A486="", "", LET(bbgm_stat, INDEX(Players!$A485:$P485, MATCH(L$2, Players!$A$1:$P$1, 0)), perc_75, VLOOKUP(L$2, Percentiles!$A$45:$I$59, 6, FALSE), perc_90, VLOOKUP(L$2, Percentiles!$A$45:$I$59, 7, FALSE), perc_95, VLOOKUP(L$2, Percentiles!$A$45:$I$59, 8, FALSE), perc_85, perc_75 + (perc_90 - perc_75) * (2/3), converted_stat, '2K_Ratings'!L486, IF(bbgm_stat &gt;= perc_95, converted_stat * 3, IF(bbgm_stat &gt;= perc_90, converted_stat * 2, IF(bbgm_stat &gt;= perc_85, converted_stat * 1.5, converted_stat)))))</f>
        <v/>
      </c>
      <c r="M486" s="30" t="str">
        <f t="array" ref="M486">IF($A486="", "", LET(bbgm_stat, INDEX(Players!$A485:$P485, MATCH(M$2, Players!$A$1:$P$1, 0)), perc_75, VLOOKUP(M$2, Percentiles!$A$45:$I$59, 6, FALSE), perc_90, VLOOKUP(M$2, Percentiles!$A$45:$I$59, 7, FALSE), perc_95, VLOOKUP(M$2, Percentiles!$A$45:$I$59, 8, FALSE), perc_85, perc_75 + (perc_90 - perc_75) * (2/3), converted_stat, '2K_Ratings'!M486, IF(bbgm_stat &gt;= perc_95, converted_stat * 3, IF(bbgm_stat &gt;= perc_90, converted_stat * 2, IF(bbgm_stat &gt;= perc_85, converted_stat * 1.5, converted_stat)))))</f>
        <v/>
      </c>
      <c r="N486" s="30" t="str">
        <f t="array" ref="N486">IF($A486="", "", LET(bbgm_stat, INDEX(Players!$A485:$P485, MATCH(N$2, Players!$A$1:$P$1, 0)), perc_75, VLOOKUP(N$2, Percentiles!$A$45:$I$59, 6, FALSE), perc_90, VLOOKUP(N$2, Percentiles!$A$45:$I$59, 7, FALSE), perc_95, VLOOKUP(N$2, Percentiles!$A$45:$I$59, 8, FALSE), perc_85, perc_75 + (perc_90 - perc_75) * (2/3), converted_stat, '2K_Ratings'!N486, IF(bbgm_stat &gt;= perc_95, converted_stat * 3, IF(bbgm_stat &gt;= perc_90, converted_stat * 2, IF(bbgm_stat &gt;= perc_85, converted_stat * 1.5, converted_stat)))))</f>
        <v/>
      </c>
      <c r="O486" s="30" t="str">
        <f t="array" ref="O486">IF($A486="", "", LET(bbgm_stat, INDEX(Players!$A485:$P485, MATCH(O$2, Players!$A$1:$P$1, 0)), perc_75, VLOOKUP(O$2, Percentiles!$A$45:$I$59, 6, FALSE), perc_90, VLOOKUP(O$2, Percentiles!$A$45:$I$59, 7, FALSE), perc_95, VLOOKUP(O$2, Percentiles!$A$45:$I$59, 8, FALSE), perc_85, perc_75 + (perc_90 - perc_75) * (2/3), converted_stat, '2K_Ratings'!O486, IF(bbgm_stat &gt;= perc_95, converted_stat * 3, IF(bbgm_stat &gt;= perc_90, converted_stat * 2, IF(bbgm_stat &gt;= perc_85, converted_stat * 1.5, converted_stat)))))</f>
        <v/>
      </c>
      <c r="P486" s="30" t="str">
        <f t="array" ref="P486">IF($A486="", "", LET(bbgm_stat, INDEX(Players!$A485:$P485, MATCH(P$2, Players!$A$1:$P$1, 0)), perc_75, VLOOKUP(P$2, Percentiles!$A$45:$I$59, 6, FALSE), perc_90, VLOOKUP(P$2, Percentiles!$A$45:$I$59, 7, FALSE), perc_95, VLOOKUP(P$2, Percentiles!$A$45:$I$59, 8, FALSE), perc_85, perc_75 + (perc_90 - perc_75) * (2/3), converted_stat, '2K_Ratings'!P486, IF(bbgm_stat &gt;= perc_95, converted_stat * 3, IF(bbgm_stat &gt;= perc_90, converted_stat * 2, IF(bbgm_stat &gt;= perc_85, converted_stat * 1.5, converted_stat)))))</f>
        <v/>
      </c>
      <c r="Q486" s="30" t="str">
        <f t="array" ref="Q486">IF($A486="", "", LET(bbgm_stat, INDEX(Players!$A485:$P485, MATCH(Q$2, Players!$A$1:$P$1, 0)), perc_75, VLOOKUP(Q$2, Percentiles!$A$45:$I$59, 6, FALSE), perc_90, VLOOKUP(Q$2, Percentiles!$A$45:$I$59, 7, FALSE), perc_95, VLOOKUP(Q$2, Percentiles!$A$45:$I$59, 8, FALSE), perc_85, perc_75 + (perc_90 - perc_75) * (2/3), converted_stat, '2K_Ratings'!Q486, IF(bbgm_stat &gt;= perc_95, converted_stat * 3, IF(bbgm_stat &gt;= perc_90, converted_stat * 2, IF(bbgm_stat &gt;= perc_85, converted_stat * 1.5, converted_stat)))))</f>
        <v/>
      </c>
      <c r="R486" s="30" t="str">
        <f t="array" ref="R486">IF($A486="", "", LET(bbgm_stat, INDEX(Players!$A485:$P485, MATCH(R$2, Players!$A$1:$P$1, 0)), perc_75, VLOOKUP(R$2, Percentiles!$A$45:$I$59, 6, FALSE), perc_90, VLOOKUP(R$2, Percentiles!$A$45:$I$59, 7, FALSE), perc_95, VLOOKUP(R$2, Percentiles!$A$45:$I$59, 8, FALSE), perc_85, perc_75 + (perc_90 - perc_75) * (2/3), converted_stat, '2K_Ratings'!R486, IF(bbgm_stat &gt;= perc_95, converted_stat * 3, IF(bbgm_stat &gt;= perc_90, converted_stat * 2, IF(bbgm_stat &gt;= perc_85, converted_stat * 1.5, converted_stat)))))</f>
        <v/>
      </c>
      <c r="S486" s="30" t="str">
        <f t="array" ref="S486">IF($A486="", "", LET(bbgm_stat, INDEX(Players!$A485:$P485, MATCH(S$2, Players!$A$1:$P$1, 0)), perc_75, VLOOKUP(S$2, Percentiles!$A$45:$I$59, 6, FALSE), perc_90, VLOOKUP(S$2, Percentiles!$A$45:$I$59, 7, FALSE), perc_95, VLOOKUP(S$2, Percentiles!$A$45:$I$59, 8, FALSE), perc_85, perc_75 + (perc_90 - perc_75) * (2/3), converted_stat, '2K_Ratings'!S486, IF(bbgm_stat &gt;= perc_95, converted_stat * 3, IF(bbgm_stat &gt;= perc_90, converted_stat * 2, IF(bbgm_stat &gt;= perc_85, converted_stat * 1.5, converted_stat)))))</f>
        <v/>
      </c>
      <c r="T486" s="30" t="str">
        <f t="array" ref="T486">IF($A486="", "", LET(bbgm_stat, INDEX(Players!$A485:$P485, MATCH(T$2, Players!$A$1:$P$1, 0)), perc_75, VLOOKUP(T$2, Percentiles!$A$45:$I$59, 6, FALSE), perc_90, VLOOKUP(T$2, Percentiles!$A$45:$I$59, 7, FALSE), perc_95, VLOOKUP(T$2, Percentiles!$A$45:$I$59, 8, FALSE), perc_85, perc_75 + (perc_90 - perc_75) * (2/3), converted_stat, '2K_Ratings'!T486, IF(bbgm_stat &gt;= perc_95, converted_stat * 3, IF(bbgm_stat &gt;= perc_90, converted_stat * 2, IF(bbgm_stat &gt;= perc_85, converted_stat * 1.5, converted_stat)))))</f>
        <v/>
      </c>
      <c r="U486" s="30" t="str">
        <f t="array" ref="U486">IF($A486="", "", LET(bbgm_stat, INDEX(Players!$A485:$P485, MATCH(U$2, Players!$A$1:$P$1, 0)), perc_75, VLOOKUP(U$2, Percentiles!$A$45:$I$59, 6, FALSE), perc_90, VLOOKUP(U$2, Percentiles!$A$45:$I$59, 7, FALSE), perc_95, VLOOKUP(U$2, Percentiles!$A$45:$I$59, 8, FALSE), perc_85, perc_75 + (perc_90 - perc_75) * (2/3), converted_stat, '2K_Ratings'!U486, IF(bbgm_stat &gt;= perc_95, converted_stat * 3, IF(bbgm_stat &gt;= perc_90, converted_stat * 2, IF(bbgm_stat &gt;= perc_85, converted_stat * 1.5, converted_stat)))))</f>
        <v/>
      </c>
      <c r="V486" s="30" t="str">
        <f t="array" ref="V486">IF($A486="", "", LET(bbgm_stat, INDEX(Players!$A485:$P485, MATCH(V$2, Players!$A$1:$P$1, 0)), perc_75, VLOOKUP(V$2, Percentiles!$A$45:$I$59, 6, FALSE), perc_90, VLOOKUP(V$2, Percentiles!$A$45:$I$59, 7, FALSE), perc_95, VLOOKUP(V$2, Percentiles!$A$45:$I$59, 8, FALSE), perc_85, perc_75 + (perc_90 - perc_75) * (2/3), converted_stat, '2K_Ratings'!V486, IF(bbgm_stat &gt;= perc_95, converted_stat * 3, IF(bbgm_stat &gt;= perc_90, converted_stat * 2, IF(bbgm_stat &gt;= perc_85, converted_stat * 1.5, converted_stat)))))</f>
        <v/>
      </c>
      <c r="W486" s="30" t="str">
        <f t="array" ref="W486">IF($A486="", "", LET(bbgm_stat, INDEX(Players!$A485:$P485, MATCH(W$2, Players!$A$1:$P$1, 0)), perc_75, VLOOKUP(W$2, Percentiles!$A$45:$I$59, 6, FALSE), perc_90, VLOOKUP(W$2, Percentiles!$A$45:$I$59, 7, FALSE), perc_95, VLOOKUP(W$2, Percentiles!$A$45:$I$59, 8, FALSE), perc_85, perc_75 + (perc_90 - perc_75) * (2/3), converted_stat, '2K_Ratings'!W486, IF(bbgm_stat &gt;= perc_95, converted_stat * 3, IF(bbgm_stat &gt;= perc_90, converted_stat * 2, IF(bbgm_stat &gt;= perc_85, converted_stat * 1.5, converted_stat)))))</f>
        <v/>
      </c>
    </row>
    <row r="487">
      <c r="A487" s="30"/>
      <c r="B487" s="30" t="str">
        <f t="array" ref="B487">IF($A487="", "", LET(bbgm_stat, INDEX(Players!$A486:$P486, MATCH(B$2, Players!$A$1:$P$1, 0)), perc_75, VLOOKUP(B$2, Percentiles!$A$45:$I$59, 6, FALSE), perc_90, VLOOKUP(B$2, Percentiles!$A$45:$I$59, 7, FALSE), perc_95, VLOOKUP(B$2, Percentiles!$A$45:$I$59, 8, FALSE), perc_85, perc_75 + (perc_90 - perc_75) * (2/3), converted_stat, '2K_Ratings'!B487, IF(bbgm_stat &gt;= perc_95, converted_stat * 3, IF(bbgm_stat &gt;= perc_90, converted_stat * 2, IF(bbgm_stat &gt;= perc_85, converted_stat * 1.5, converted_stat)))))</f>
        <v/>
      </c>
      <c r="C487" s="30" t="str">
        <f t="array" ref="C487">IF($A487="", "", LET(bbgm_stat, INDEX(Players!$A486:$P486, MATCH(C$2, Players!$A$1:$P$1, 0)), perc_75, VLOOKUP(C$2, Percentiles!$A$45:$I$59, 6, FALSE), perc_90, VLOOKUP(C$2, Percentiles!$A$45:$I$59, 7, FALSE), perc_95, VLOOKUP(C$2, Percentiles!$A$45:$I$59, 8, FALSE), perc_85, perc_75 + (perc_90 - perc_75) * (2/3), converted_stat, '2K_Ratings'!C487, IF(bbgm_stat &gt;= perc_95, converted_stat * 3, IF(bbgm_stat &gt;= perc_90, converted_stat * 2, IF(bbgm_stat &gt;= perc_85, converted_stat * 1.5, converted_stat)))))</f>
        <v/>
      </c>
      <c r="D487" s="30" t="str">
        <f t="array" ref="D487">IF($A487="", "", LET(bbgm_stat, INDEX(Players!$A486:$P486, MATCH(D$2, Players!$A$1:$P$1, 0)), perc_75, VLOOKUP(D$2, Percentiles!$A$45:$I$59, 6, FALSE), perc_90, VLOOKUP(D$2, Percentiles!$A$45:$I$59, 7, FALSE), perc_95, VLOOKUP(D$2, Percentiles!$A$45:$I$59, 8, FALSE), perc_85, perc_75 + (perc_90 - perc_75) * (2/3), converted_stat, '2K_Ratings'!D487, IF(bbgm_stat &gt;= perc_95, converted_stat * 3, IF(bbgm_stat &gt;= perc_90, converted_stat * 2, IF(bbgm_stat &gt;= perc_85, converted_stat * 1.5, converted_stat)))))</f>
        <v/>
      </c>
      <c r="E487" s="30" t="str">
        <f t="array" ref="E487">IF($A487="", "", LET(bbgm_stat, INDEX(Players!$A486:$P486, MATCH(E$2, Players!$A$1:$P$1, 0)), perc_75, VLOOKUP(E$2, Percentiles!$A$45:$I$59, 6, FALSE), perc_90, VLOOKUP(E$2, Percentiles!$A$45:$I$59, 7, FALSE), perc_95, VLOOKUP(E$2, Percentiles!$A$45:$I$59, 8, FALSE), perc_85, perc_75 + (perc_90 - perc_75) * (2/3), converted_stat, '2K_Ratings'!E487, IF(bbgm_stat &gt;= perc_95, converted_stat * 3, IF(bbgm_stat &gt;= perc_90, converted_stat * 2, IF(bbgm_stat &gt;= perc_85, converted_stat * 1.5, converted_stat)))))</f>
        <v/>
      </c>
      <c r="F487" s="30" t="str">
        <f t="array" ref="F487">IF($A487="", "", LET(bbgm_stat, INDEX(Players!$A486:$P486, MATCH(F$2, Players!$A$1:$P$1, 0)), perc_75, VLOOKUP(F$2, Percentiles!$A$45:$I$59, 6, FALSE), perc_90, VLOOKUP(F$2, Percentiles!$A$45:$I$59, 7, FALSE), perc_95, VLOOKUP(F$2, Percentiles!$A$45:$I$59, 8, FALSE), perc_85, perc_75 + (perc_90 - perc_75) * (2/3), converted_stat, '2K_Ratings'!F487, IF(bbgm_stat &gt;= perc_95, converted_stat * 3, IF(bbgm_stat &gt;= perc_90, converted_stat * 2, IF(bbgm_stat &gt;= perc_85, converted_stat * 1.5, converted_stat)))))</f>
        <v/>
      </c>
      <c r="G487" s="30" t="str">
        <f t="array" ref="G487">IF($A487="", "", LET(bbgm_stat, INDEX(Players!$A486:$P486, MATCH(G$2, Players!$A$1:$P$1, 0)), perc_75, VLOOKUP(G$2, Percentiles!$A$45:$I$59, 6, FALSE), perc_90, VLOOKUP(G$2, Percentiles!$A$45:$I$59, 7, FALSE), perc_95, VLOOKUP(G$2, Percentiles!$A$45:$I$59, 8, FALSE), perc_85, perc_75 + (perc_90 - perc_75) * (2/3), converted_stat, '2K_Ratings'!G487, IF(bbgm_stat &gt;= perc_95, converted_stat * 3, IF(bbgm_stat &gt;= perc_90, converted_stat * 2, IF(bbgm_stat &gt;= perc_85, converted_stat * 1.5, converted_stat)))))</f>
        <v/>
      </c>
      <c r="H487" s="30" t="str">
        <f t="array" ref="H487">IF($A487="", "", LET(bbgm_stat, INDEX(Players!$A486:$P486, MATCH(H$2, Players!$A$1:$P$1, 0)), perc_75, VLOOKUP(H$2, Percentiles!$A$45:$I$59, 6, FALSE), perc_90, VLOOKUP(H$2, Percentiles!$A$45:$I$59, 7, FALSE), perc_95, VLOOKUP(H$2, Percentiles!$A$45:$I$59, 8, FALSE), perc_85, perc_75 + (perc_90 - perc_75) * (2/3), converted_stat, '2K_Ratings'!H487, IF(bbgm_stat &gt;= perc_95, converted_stat * 3, IF(bbgm_stat &gt;= perc_90, converted_stat * 2, IF(bbgm_stat &gt;= perc_85, converted_stat * 1.5, converted_stat)))))</f>
        <v/>
      </c>
      <c r="I487" s="30" t="str">
        <f t="array" ref="I487">IF($A487="", "", LET(bbgm_stat, INDEX(Players!$A486:$P486, MATCH(I$2, Players!$A$1:$P$1, 0)), perc_75, VLOOKUP(I$2, Percentiles!$A$45:$I$59, 6, FALSE), perc_90, VLOOKUP(I$2, Percentiles!$A$45:$I$59, 7, FALSE), perc_95, VLOOKUP(I$2, Percentiles!$A$45:$I$59, 8, FALSE), perc_85, perc_75 + (perc_90 - perc_75) * (2/3), converted_stat, '2K_Ratings'!I487, IF(bbgm_stat &gt;= perc_95, converted_stat * 3, IF(bbgm_stat &gt;= perc_90, converted_stat * 2, IF(bbgm_stat &gt;= perc_85, converted_stat * 1.5, converted_stat)))))</f>
        <v/>
      </c>
      <c r="J487" s="30" t="str">
        <f t="array" ref="J487">IF($A487="", "", LET(bbgm_stat, INDEX(Players!$A486:$P486, MATCH(J$2, Players!$A$1:$P$1, 0)), perc_75, VLOOKUP(J$2, Percentiles!$A$45:$I$59, 6, FALSE), perc_90, VLOOKUP(J$2, Percentiles!$A$45:$I$59, 7, FALSE), perc_95, VLOOKUP(J$2, Percentiles!$A$45:$I$59, 8, FALSE), perc_85, perc_75 + (perc_90 - perc_75) * (2/3), converted_stat, '2K_Ratings'!J487, IF(bbgm_stat &gt;= perc_95, converted_stat * 3, IF(bbgm_stat &gt;= perc_90, converted_stat * 2, IF(bbgm_stat &gt;= perc_85, converted_stat * 1.5, converted_stat)))))</f>
        <v/>
      </c>
      <c r="K487" s="30" t="str">
        <f t="array" ref="K487">IF($A487="", "", LET(bbgm_stat, INDEX(Players!$A486:$P486, MATCH(K$2, Players!$A$1:$P$1, 0)), perc_75, VLOOKUP(K$2, Percentiles!$A$45:$I$59, 6, FALSE), perc_90, VLOOKUP(K$2, Percentiles!$A$45:$I$59, 7, FALSE), perc_95, VLOOKUP(K$2, Percentiles!$A$45:$I$59, 8, FALSE), perc_85, perc_75 + (perc_90 - perc_75) * (2/3), converted_stat, '2K_Ratings'!K487, IF(bbgm_stat &gt;= perc_95, converted_stat * 3, IF(bbgm_stat &gt;= perc_90, converted_stat * 2, IF(bbgm_stat &gt;= perc_85, converted_stat * 1.5, converted_stat)))))</f>
        <v/>
      </c>
      <c r="L487" s="30" t="str">
        <f t="array" ref="L487">IF($A487="", "", LET(bbgm_stat, INDEX(Players!$A486:$P486, MATCH(L$2, Players!$A$1:$P$1, 0)), perc_75, VLOOKUP(L$2, Percentiles!$A$45:$I$59, 6, FALSE), perc_90, VLOOKUP(L$2, Percentiles!$A$45:$I$59, 7, FALSE), perc_95, VLOOKUP(L$2, Percentiles!$A$45:$I$59, 8, FALSE), perc_85, perc_75 + (perc_90 - perc_75) * (2/3), converted_stat, '2K_Ratings'!L487, IF(bbgm_stat &gt;= perc_95, converted_stat * 3, IF(bbgm_stat &gt;= perc_90, converted_stat * 2, IF(bbgm_stat &gt;= perc_85, converted_stat * 1.5, converted_stat)))))</f>
        <v/>
      </c>
      <c r="M487" s="30" t="str">
        <f t="array" ref="M487">IF($A487="", "", LET(bbgm_stat, INDEX(Players!$A486:$P486, MATCH(M$2, Players!$A$1:$P$1, 0)), perc_75, VLOOKUP(M$2, Percentiles!$A$45:$I$59, 6, FALSE), perc_90, VLOOKUP(M$2, Percentiles!$A$45:$I$59, 7, FALSE), perc_95, VLOOKUP(M$2, Percentiles!$A$45:$I$59, 8, FALSE), perc_85, perc_75 + (perc_90 - perc_75) * (2/3), converted_stat, '2K_Ratings'!M487, IF(bbgm_stat &gt;= perc_95, converted_stat * 3, IF(bbgm_stat &gt;= perc_90, converted_stat * 2, IF(bbgm_stat &gt;= perc_85, converted_stat * 1.5, converted_stat)))))</f>
        <v/>
      </c>
      <c r="N487" s="30" t="str">
        <f t="array" ref="N487">IF($A487="", "", LET(bbgm_stat, INDEX(Players!$A486:$P486, MATCH(N$2, Players!$A$1:$P$1, 0)), perc_75, VLOOKUP(N$2, Percentiles!$A$45:$I$59, 6, FALSE), perc_90, VLOOKUP(N$2, Percentiles!$A$45:$I$59, 7, FALSE), perc_95, VLOOKUP(N$2, Percentiles!$A$45:$I$59, 8, FALSE), perc_85, perc_75 + (perc_90 - perc_75) * (2/3), converted_stat, '2K_Ratings'!N487, IF(bbgm_stat &gt;= perc_95, converted_stat * 3, IF(bbgm_stat &gt;= perc_90, converted_stat * 2, IF(bbgm_stat &gt;= perc_85, converted_stat * 1.5, converted_stat)))))</f>
        <v/>
      </c>
      <c r="O487" s="30" t="str">
        <f t="array" ref="O487">IF($A487="", "", LET(bbgm_stat, INDEX(Players!$A486:$P486, MATCH(O$2, Players!$A$1:$P$1, 0)), perc_75, VLOOKUP(O$2, Percentiles!$A$45:$I$59, 6, FALSE), perc_90, VLOOKUP(O$2, Percentiles!$A$45:$I$59, 7, FALSE), perc_95, VLOOKUP(O$2, Percentiles!$A$45:$I$59, 8, FALSE), perc_85, perc_75 + (perc_90 - perc_75) * (2/3), converted_stat, '2K_Ratings'!O487, IF(bbgm_stat &gt;= perc_95, converted_stat * 3, IF(bbgm_stat &gt;= perc_90, converted_stat * 2, IF(bbgm_stat &gt;= perc_85, converted_stat * 1.5, converted_stat)))))</f>
        <v/>
      </c>
      <c r="P487" s="30" t="str">
        <f t="array" ref="P487">IF($A487="", "", LET(bbgm_stat, INDEX(Players!$A486:$P486, MATCH(P$2, Players!$A$1:$P$1, 0)), perc_75, VLOOKUP(P$2, Percentiles!$A$45:$I$59, 6, FALSE), perc_90, VLOOKUP(P$2, Percentiles!$A$45:$I$59, 7, FALSE), perc_95, VLOOKUP(P$2, Percentiles!$A$45:$I$59, 8, FALSE), perc_85, perc_75 + (perc_90 - perc_75) * (2/3), converted_stat, '2K_Ratings'!P487, IF(bbgm_stat &gt;= perc_95, converted_stat * 3, IF(bbgm_stat &gt;= perc_90, converted_stat * 2, IF(bbgm_stat &gt;= perc_85, converted_stat * 1.5, converted_stat)))))</f>
        <v/>
      </c>
      <c r="Q487" s="30" t="str">
        <f t="array" ref="Q487">IF($A487="", "", LET(bbgm_stat, INDEX(Players!$A486:$P486, MATCH(Q$2, Players!$A$1:$P$1, 0)), perc_75, VLOOKUP(Q$2, Percentiles!$A$45:$I$59, 6, FALSE), perc_90, VLOOKUP(Q$2, Percentiles!$A$45:$I$59, 7, FALSE), perc_95, VLOOKUP(Q$2, Percentiles!$A$45:$I$59, 8, FALSE), perc_85, perc_75 + (perc_90 - perc_75) * (2/3), converted_stat, '2K_Ratings'!Q487, IF(bbgm_stat &gt;= perc_95, converted_stat * 3, IF(bbgm_stat &gt;= perc_90, converted_stat * 2, IF(bbgm_stat &gt;= perc_85, converted_stat * 1.5, converted_stat)))))</f>
        <v/>
      </c>
      <c r="R487" s="30" t="str">
        <f t="array" ref="R487">IF($A487="", "", LET(bbgm_stat, INDEX(Players!$A486:$P486, MATCH(R$2, Players!$A$1:$P$1, 0)), perc_75, VLOOKUP(R$2, Percentiles!$A$45:$I$59, 6, FALSE), perc_90, VLOOKUP(R$2, Percentiles!$A$45:$I$59, 7, FALSE), perc_95, VLOOKUP(R$2, Percentiles!$A$45:$I$59, 8, FALSE), perc_85, perc_75 + (perc_90 - perc_75) * (2/3), converted_stat, '2K_Ratings'!R487, IF(bbgm_stat &gt;= perc_95, converted_stat * 3, IF(bbgm_stat &gt;= perc_90, converted_stat * 2, IF(bbgm_stat &gt;= perc_85, converted_stat * 1.5, converted_stat)))))</f>
        <v/>
      </c>
      <c r="S487" s="30" t="str">
        <f t="array" ref="S487">IF($A487="", "", LET(bbgm_stat, INDEX(Players!$A486:$P486, MATCH(S$2, Players!$A$1:$P$1, 0)), perc_75, VLOOKUP(S$2, Percentiles!$A$45:$I$59, 6, FALSE), perc_90, VLOOKUP(S$2, Percentiles!$A$45:$I$59, 7, FALSE), perc_95, VLOOKUP(S$2, Percentiles!$A$45:$I$59, 8, FALSE), perc_85, perc_75 + (perc_90 - perc_75) * (2/3), converted_stat, '2K_Ratings'!S487, IF(bbgm_stat &gt;= perc_95, converted_stat * 3, IF(bbgm_stat &gt;= perc_90, converted_stat * 2, IF(bbgm_stat &gt;= perc_85, converted_stat * 1.5, converted_stat)))))</f>
        <v/>
      </c>
      <c r="T487" s="30" t="str">
        <f t="array" ref="T487">IF($A487="", "", LET(bbgm_stat, INDEX(Players!$A486:$P486, MATCH(T$2, Players!$A$1:$P$1, 0)), perc_75, VLOOKUP(T$2, Percentiles!$A$45:$I$59, 6, FALSE), perc_90, VLOOKUP(T$2, Percentiles!$A$45:$I$59, 7, FALSE), perc_95, VLOOKUP(T$2, Percentiles!$A$45:$I$59, 8, FALSE), perc_85, perc_75 + (perc_90 - perc_75) * (2/3), converted_stat, '2K_Ratings'!T487, IF(bbgm_stat &gt;= perc_95, converted_stat * 3, IF(bbgm_stat &gt;= perc_90, converted_stat * 2, IF(bbgm_stat &gt;= perc_85, converted_stat * 1.5, converted_stat)))))</f>
        <v/>
      </c>
      <c r="U487" s="30" t="str">
        <f t="array" ref="U487">IF($A487="", "", LET(bbgm_stat, INDEX(Players!$A486:$P486, MATCH(U$2, Players!$A$1:$P$1, 0)), perc_75, VLOOKUP(U$2, Percentiles!$A$45:$I$59, 6, FALSE), perc_90, VLOOKUP(U$2, Percentiles!$A$45:$I$59, 7, FALSE), perc_95, VLOOKUP(U$2, Percentiles!$A$45:$I$59, 8, FALSE), perc_85, perc_75 + (perc_90 - perc_75) * (2/3), converted_stat, '2K_Ratings'!U487, IF(bbgm_stat &gt;= perc_95, converted_stat * 3, IF(bbgm_stat &gt;= perc_90, converted_stat * 2, IF(bbgm_stat &gt;= perc_85, converted_stat * 1.5, converted_stat)))))</f>
        <v/>
      </c>
      <c r="V487" s="30" t="str">
        <f t="array" ref="V487">IF($A487="", "", LET(bbgm_stat, INDEX(Players!$A486:$P486, MATCH(V$2, Players!$A$1:$P$1, 0)), perc_75, VLOOKUP(V$2, Percentiles!$A$45:$I$59, 6, FALSE), perc_90, VLOOKUP(V$2, Percentiles!$A$45:$I$59, 7, FALSE), perc_95, VLOOKUP(V$2, Percentiles!$A$45:$I$59, 8, FALSE), perc_85, perc_75 + (perc_90 - perc_75) * (2/3), converted_stat, '2K_Ratings'!V487, IF(bbgm_stat &gt;= perc_95, converted_stat * 3, IF(bbgm_stat &gt;= perc_90, converted_stat * 2, IF(bbgm_stat &gt;= perc_85, converted_stat * 1.5, converted_stat)))))</f>
        <v/>
      </c>
      <c r="W487" s="30" t="str">
        <f t="array" ref="W487">IF($A487="", "", LET(bbgm_stat, INDEX(Players!$A486:$P486, MATCH(W$2, Players!$A$1:$P$1, 0)), perc_75, VLOOKUP(W$2, Percentiles!$A$45:$I$59, 6, FALSE), perc_90, VLOOKUP(W$2, Percentiles!$A$45:$I$59, 7, FALSE), perc_95, VLOOKUP(W$2, Percentiles!$A$45:$I$59, 8, FALSE), perc_85, perc_75 + (perc_90 - perc_75) * (2/3), converted_stat, '2K_Ratings'!W487, IF(bbgm_stat &gt;= perc_95, converted_stat * 3, IF(bbgm_stat &gt;= perc_90, converted_stat * 2, IF(bbgm_stat &gt;= perc_85, converted_stat * 1.5, converted_stat)))))</f>
        <v/>
      </c>
    </row>
    <row r="488">
      <c r="A488" s="30"/>
      <c r="B488" s="30" t="str">
        <f t="array" ref="B488">IF($A488="", "", LET(bbgm_stat, INDEX(Players!$A487:$P487, MATCH(B$2, Players!$A$1:$P$1, 0)), perc_75, VLOOKUP(B$2, Percentiles!$A$45:$I$59, 6, FALSE), perc_90, VLOOKUP(B$2, Percentiles!$A$45:$I$59, 7, FALSE), perc_95, VLOOKUP(B$2, Percentiles!$A$45:$I$59, 8, FALSE), perc_85, perc_75 + (perc_90 - perc_75) * (2/3), converted_stat, '2K_Ratings'!B488, IF(bbgm_stat &gt;= perc_95, converted_stat * 3, IF(bbgm_stat &gt;= perc_90, converted_stat * 2, IF(bbgm_stat &gt;= perc_85, converted_stat * 1.5, converted_stat)))))</f>
        <v/>
      </c>
      <c r="C488" s="30" t="str">
        <f t="array" ref="C488">IF($A488="", "", LET(bbgm_stat, INDEX(Players!$A487:$P487, MATCH(C$2, Players!$A$1:$P$1, 0)), perc_75, VLOOKUP(C$2, Percentiles!$A$45:$I$59, 6, FALSE), perc_90, VLOOKUP(C$2, Percentiles!$A$45:$I$59, 7, FALSE), perc_95, VLOOKUP(C$2, Percentiles!$A$45:$I$59, 8, FALSE), perc_85, perc_75 + (perc_90 - perc_75) * (2/3), converted_stat, '2K_Ratings'!C488, IF(bbgm_stat &gt;= perc_95, converted_stat * 3, IF(bbgm_stat &gt;= perc_90, converted_stat * 2, IF(bbgm_stat &gt;= perc_85, converted_stat * 1.5, converted_stat)))))</f>
        <v/>
      </c>
      <c r="D488" s="30" t="str">
        <f t="array" ref="D488">IF($A488="", "", LET(bbgm_stat, INDEX(Players!$A487:$P487, MATCH(D$2, Players!$A$1:$P$1, 0)), perc_75, VLOOKUP(D$2, Percentiles!$A$45:$I$59, 6, FALSE), perc_90, VLOOKUP(D$2, Percentiles!$A$45:$I$59, 7, FALSE), perc_95, VLOOKUP(D$2, Percentiles!$A$45:$I$59, 8, FALSE), perc_85, perc_75 + (perc_90 - perc_75) * (2/3), converted_stat, '2K_Ratings'!D488, IF(bbgm_stat &gt;= perc_95, converted_stat * 3, IF(bbgm_stat &gt;= perc_90, converted_stat * 2, IF(bbgm_stat &gt;= perc_85, converted_stat * 1.5, converted_stat)))))</f>
        <v/>
      </c>
      <c r="E488" s="30" t="str">
        <f t="array" ref="E488">IF($A488="", "", LET(bbgm_stat, INDEX(Players!$A487:$P487, MATCH(E$2, Players!$A$1:$P$1, 0)), perc_75, VLOOKUP(E$2, Percentiles!$A$45:$I$59, 6, FALSE), perc_90, VLOOKUP(E$2, Percentiles!$A$45:$I$59, 7, FALSE), perc_95, VLOOKUP(E$2, Percentiles!$A$45:$I$59, 8, FALSE), perc_85, perc_75 + (perc_90 - perc_75) * (2/3), converted_stat, '2K_Ratings'!E488, IF(bbgm_stat &gt;= perc_95, converted_stat * 3, IF(bbgm_stat &gt;= perc_90, converted_stat * 2, IF(bbgm_stat &gt;= perc_85, converted_stat * 1.5, converted_stat)))))</f>
        <v/>
      </c>
      <c r="F488" s="30" t="str">
        <f t="array" ref="F488">IF($A488="", "", LET(bbgm_stat, INDEX(Players!$A487:$P487, MATCH(F$2, Players!$A$1:$P$1, 0)), perc_75, VLOOKUP(F$2, Percentiles!$A$45:$I$59, 6, FALSE), perc_90, VLOOKUP(F$2, Percentiles!$A$45:$I$59, 7, FALSE), perc_95, VLOOKUP(F$2, Percentiles!$A$45:$I$59, 8, FALSE), perc_85, perc_75 + (perc_90 - perc_75) * (2/3), converted_stat, '2K_Ratings'!F488, IF(bbgm_stat &gt;= perc_95, converted_stat * 3, IF(bbgm_stat &gt;= perc_90, converted_stat * 2, IF(bbgm_stat &gt;= perc_85, converted_stat * 1.5, converted_stat)))))</f>
        <v/>
      </c>
      <c r="G488" s="30" t="str">
        <f t="array" ref="G488">IF($A488="", "", LET(bbgm_stat, INDEX(Players!$A487:$P487, MATCH(G$2, Players!$A$1:$P$1, 0)), perc_75, VLOOKUP(G$2, Percentiles!$A$45:$I$59, 6, FALSE), perc_90, VLOOKUP(G$2, Percentiles!$A$45:$I$59, 7, FALSE), perc_95, VLOOKUP(G$2, Percentiles!$A$45:$I$59, 8, FALSE), perc_85, perc_75 + (perc_90 - perc_75) * (2/3), converted_stat, '2K_Ratings'!G488, IF(bbgm_stat &gt;= perc_95, converted_stat * 3, IF(bbgm_stat &gt;= perc_90, converted_stat * 2, IF(bbgm_stat &gt;= perc_85, converted_stat * 1.5, converted_stat)))))</f>
        <v/>
      </c>
      <c r="H488" s="30" t="str">
        <f t="array" ref="H488">IF($A488="", "", LET(bbgm_stat, INDEX(Players!$A487:$P487, MATCH(H$2, Players!$A$1:$P$1, 0)), perc_75, VLOOKUP(H$2, Percentiles!$A$45:$I$59, 6, FALSE), perc_90, VLOOKUP(H$2, Percentiles!$A$45:$I$59, 7, FALSE), perc_95, VLOOKUP(H$2, Percentiles!$A$45:$I$59, 8, FALSE), perc_85, perc_75 + (perc_90 - perc_75) * (2/3), converted_stat, '2K_Ratings'!H488, IF(bbgm_stat &gt;= perc_95, converted_stat * 3, IF(bbgm_stat &gt;= perc_90, converted_stat * 2, IF(bbgm_stat &gt;= perc_85, converted_stat * 1.5, converted_stat)))))</f>
        <v/>
      </c>
      <c r="I488" s="30" t="str">
        <f t="array" ref="I488">IF($A488="", "", LET(bbgm_stat, INDEX(Players!$A487:$P487, MATCH(I$2, Players!$A$1:$P$1, 0)), perc_75, VLOOKUP(I$2, Percentiles!$A$45:$I$59, 6, FALSE), perc_90, VLOOKUP(I$2, Percentiles!$A$45:$I$59, 7, FALSE), perc_95, VLOOKUP(I$2, Percentiles!$A$45:$I$59, 8, FALSE), perc_85, perc_75 + (perc_90 - perc_75) * (2/3), converted_stat, '2K_Ratings'!I488, IF(bbgm_stat &gt;= perc_95, converted_stat * 3, IF(bbgm_stat &gt;= perc_90, converted_stat * 2, IF(bbgm_stat &gt;= perc_85, converted_stat * 1.5, converted_stat)))))</f>
        <v/>
      </c>
      <c r="J488" s="30" t="str">
        <f t="array" ref="J488">IF($A488="", "", LET(bbgm_stat, INDEX(Players!$A487:$P487, MATCH(J$2, Players!$A$1:$P$1, 0)), perc_75, VLOOKUP(J$2, Percentiles!$A$45:$I$59, 6, FALSE), perc_90, VLOOKUP(J$2, Percentiles!$A$45:$I$59, 7, FALSE), perc_95, VLOOKUP(J$2, Percentiles!$A$45:$I$59, 8, FALSE), perc_85, perc_75 + (perc_90 - perc_75) * (2/3), converted_stat, '2K_Ratings'!J488, IF(bbgm_stat &gt;= perc_95, converted_stat * 3, IF(bbgm_stat &gt;= perc_90, converted_stat * 2, IF(bbgm_stat &gt;= perc_85, converted_stat * 1.5, converted_stat)))))</f>
        <v/>
      </c>
      <c r="K488" s="30" t="str">
        <f t="array" ref="K488">IF($A488="", "", LET(bbgm_stat, INDEX(Players!$A487:$P487, MATCH(K$2, Players!$A$1:$P$1, 0)), perc_75, VLOOKUP(K$2, Percentiles!$A$45:$I$59, 6, FALSE), perc_90, VLOOKUP(K$2, Percentiles!$A$45:$I$59, 7, FALSE), perc_95, VLOOKUP(K$2, Percentiles!$A$45:$I$59, 8, FALSE), perc_85, perc_75 + (perc_90 - perc_75) * (2/3), converted_stat, '2K_Ratings'!K488, IF(bbgm_stat &gt;= perc_95, converted_stat * 3, IF(bbgm_stat &gt;= perc_90, converted_stat * 2, IF(bbgm_stat &gt;= perc_85, converted_stat * 1.5, converted_stat)))))</f>
        <v/>
      </c>
      <c r="L488" s="30" t="str">
        <f t="array" ref="L488">IF($A488="", "", LET(bbgm_stat, INDEX(Players!$A487:$P487, MATCH(L$2, Players!$A$1:$P$1, 0)), perc_75, VLOOKUP(L$2, Percentiles!$A$45:$I$59, 6, FALSE), perc_90, VLOOKUP(L$2, Percentiles!$A$45:$I$59, 7, FALSE), perc_95, VLOOKUP(L$2, Percentiles!$A$45:$I$59, 8, FALSE), perc_85, perc_75 + (perc_90 - perc_75) * (2/3), converted_stat, '2K_Ratings'!L488, IF(bbgm_stat &gt;= perc_95, converted_stat * 3, IF(bbgm_stat &gt;= perc_90, converted_stat * 2, IF(bbgm_stat &gt;= perc_85, converted_stat * 1.5, converted_stat)))))</f>
        <v/>
      </c>
      <c r="M488" s="30" t="str">
        <f t="array" ref="M488">IF($A488="", "", LET(bbgm_stat, INDEX(Players!$A487:$P487, MATCH(M$2, Players!$A$1:$P$1, 0)), perc_75, VLOOKUP(M$2, Percentiles!$A$45:$I$59, 6, FALSE), perc_90, VLOOKUP(M$2, Percentiles!$A$45:$I$59, 7, FALSE), perc_95, VLOOKUP(M$2, Percentiles!$A$45:$I$59, 8, FALSE), perc_85, perc_75 + (perc_90 - perc_75) * (2/3), converted_stat, '2K_Ratings'!M488, IF(bbgm_stat &gt;= perc_95, converted_stat * 3, IF(bbgm_stat &gt;= perc_90, converted_stat * 2, IF(bbgm_stat &gt;= perc_85, converted_stat * 1.5, converted_stat)))))</f>
        <v/>
      </c>
      <c r="N488" s="30" t="str">
        <f t="array" ref="N488">IF($A488="", "", LET(bbgm_stat, INDEX(Players!$A487:$P487, MATCH(N$2, Players!$A$1:$P$1, 0)), perc_75, VLOOKUP(N$2, Percentiles!$A$45:$I$59, 6, FALSE), perc_90, VLOOKUP(N$2, Percentiles!$A$45:$I$59, 7, FALSE), perc_95, VLOOKUP(N$2, Percentiles!$A$45:$I$59, 8, FALSE), perc_85, perc_75 + (perc_90 - perc_75) * (2/3), converted_stat, '2K_Ratings'!N488, IF(bbgm_stat &gt;= perc_95, converted_stat * 3, IF(bbgm_stat &gt;= perc_90, converted_stat * 2, IF(bbgm_stat &gt;= perc_85, converted_stat * 1.5, converted_stat)))))</f>
        <v/>
      </c>
      <c r="O488" s="30" t="str">
        <f t="array" ref="O488">IF($A488="", "", LET(bbgm_stat, INDEX(Players!$A487:$P487, MATCH(O$2, Players!$A$1:$P$1, 0)), perc_75, VLOOKUP(O$2, Percentiles!$A$45:$I$59, 6, FALSE), perc_90, VLOOKUP(O$2, Percentiles!$A$45:$I$59, 7, FALSE), perc_95, VLOOKUP(O$2, Percentiles!$A$45:$I$59, 8, FALSE), perc_85, perc_75 + (perc_90 - perc_75) * (2/3), converted_stat, '2K_Ratings'!O488, IF(bbgm_stat &gt;= perc_95, converted_stat * 3, IF(bbgm_stat &gt;= perc_90, converted_stat * 2, IF(bbgm_stat &gt;= perc_85, converted_stat * 1.5, converted_stat)))))</f>
        <v/>
      </c>
      <c r="P488" s="30" t="str">
        <f t="array" ref="P488">IF($A488="", "", LET(bbgm_stat, INDEX(Players!$A487:$P487, MATCH(P$2, Players!$A$1:$P$1, 0)), perc_75, VLOOKUP(P$2, Percentiles!$A$45:$I$59, 6, FALSE), perc_90, VLOOKUP(P$2, Percentiles!$A$45:$I$59, 7, FALSE), perc_95, VLOOKUP(P$2, Percentiles!$A$45:$I$59, 8, FALSE), perc_85, perc_75 + (perc_90 - perc_75) * (2/3), converted_stat, '2K_Ratings'!P488, IF(bbgm_stat &gt;= perc_95, converted_stat * 3, IF(bbgm_stat &gt;= perc_90, converted_stat * 2, IF(bbgm_stat &gt;= perc_85, converted_stat * 1.5, converted_stat)))))</f>
        <v/>
      </c>
      <c r="Q488" s="30" t="str">
        <f t="array" ref="Q488">IF($A488="", "", LET(bbgm_stat, INDEX(Players!$A487:$P487, MATCH(Q$2, Players!$A$1:$P$1, 0)), perc_75, VLOOKUP(Q$2, Percentiles!$A$45:$I$59, 6, FALSE), perc_90, VLOOKUP(Q$2, Percentiles!$A$45:$I$59, 7, FALSE), perc_95, VLOOKUP(Q$2, Percentiles!$A$45:$I$59, 8, FALSE), perc_85, perc_75 + (perc_90 - perc_75) * (2/3), converted_stat, '2K_Ratings'!Q488, IF(bbgm_stat &gt;= perc_95, converted_stat * 3, IF(bbgm_stat &gt;= perc_90, converted_stat * 2, IF(bbgm_stat &gt;= perc_85, converted_stat * 1.5, converted_stat)))))</f>
        <v/>
      </c>
      <c r="R488" s="30" t="str">
        <f t="array" ref="R488">IF($A488="", "", LET(bbgm_stat, INDEX(Players!$A487:$P487, MATCH(R$2, Players!$A$1:$P$1, 0)), perc_75, VLOOKUP(R$2, Percentiles!$A$45:$I$59, 6, FALSE), perc_90, VLOOKUP(R$2, Percentiles!$A$45:$I$59, 7, FALSE), perc_95, VLOOKUP(R$2, Percentiles!$A$45:$I$59, 8, FALSE), perc_85, perc_75 + (perc_90 - perc_75) * (2/3), converted_stat, '2K_Ratings'!R488, IF(bbgm_stat &gt;= perc_95, converted_stat * 3, IF(bbgm_stat &gt;= perc_90, converted_stat * 2, IF(bbgm_stat &gt;= perc_85, converted_stat * 1.5, converted_stat)))))</f>
        <v/>
      </c>
      <c r="S488" s="30" t="str">
        <f t="array" ref="S488">IF($A488="", "", LET(bbgm_stat, INDEX(Players!$A487:$P487, MATCH(S$2, Players!$A$1:$P$1, 0)), perc_75, VLOOKUP(S$2, Percentiles!$A$45:$I$59, 6, FALSE), perc_90, VLOOKUP(S$2, Percentiles!$A$45:$I$59, 7, FALSE), perc_95, VLOOKUP(S$2, Percentiles!$A$45:$I$59, 8, FALSE), perc_85, perc_75 + (perc_90 - perc_75) * (2/3), converted_stat, '2K_Ratings'!S488, IF(bbgm_stat &gt;= perc_95, converted_stat * 3, IF(bbgm_stat &gt;= perc_90, converted_stat * 2, IF(bbgm_stat &gt;= perc_85, converted_stat * 1.5, converted_stat)))))</f>
        <v/>
      </c>
      <c r="T488" s="30" t="str">
        <f t="array" ref="T488">IF($A488="", "", LET(bbgm_stat, INDEX(Players!$A487:$P487, MATCH(T$2, Players!$A$1:$P$1, 0)), perc_75, VLOOKUP(T$2, Percentiles!$A$45:$I$59, 6, FALSE), perc_90, VLOOKUP(T$2, Percentiles!$A$45:$I$59, 7, FALSE), perc_95, VLOOKUP(T$2, Percentiles!$A$45:$I$59, 8, FALSE), perc_85, perc_75 + (perc_90 - perc_75) * (2/3), converted_stat, '2K_Ratings'!T488, IF(bbgm_stat &gt;= perc_95, converted_stat * 3, IF(bbgm_stat &gt;= perc_90, converted_stat * 2, IF(bbgm_stat &gt;= perc_85, converted_stat * 1.5, converted_stat)))))</f>
        <v/>
      </c>
      <c r="U488" s="30" t="str">
        <f t="array" ref="U488">IF($A488="", "", LET(bbgm_stat, INDEX(Players!$A487:$P487, MATCH(U$2, Players!$A$1:$P$1, 0)), perc_75, VLOOKUP(U$2, Percentiles!$A$45:$I$59, 6, FALSE), perc_90, VLOOKUP(U$2, Percentiles!$A$45:$I$59, 7, FALSE), perc_95, VLOOKUP(U$2, Percentiles!$A$45:$I$59, 8, FALSE), perc_85, perc_75 + (perc_90 - perc_75) * (2/3), converted_stat, '2K_Ratings'!U488, IF(bbgm_stat &gt;= perc_95, converted_stat * 3, IF(bbgm_stat &gt;= perc_90, converted_stat * 2, IF(bbgm_stat &gt;= perc_85, converted_stat * 1.5, converted_stat)))))</f>
        <v/>
      </c>
      <c r="V488" s="30" t="str">
        <f t="array" ref="V488">IF($A488="", "", LET(bbgm_stat, INDEX(Players!$A487:$P487, MATCH(V$2, Players!$A$1:$P$1, 0)), perc_75, VLOOKUP(V$2, Percentiles!$A$45:$I$59, 6, FALSE), perc_90, VLOOKUP(V$2, Percentiles!$A$45:$I$59, 7, FALSE), perc_95, VLOOKUP(V$2, Percentiles!$A$45:$I$59, 8, FALSE), perc_85, perc_75 + (perc_90 - perc_75) * (2/3), converted_stat, '2K_Ratings'!V488, IF(bbgm_stat &gt;= perc_95, converted_stat * 3, IF(bbgm_stat &gt;= perc_90, converted_stat * 2, IF(bbgm_stat &gt;= perc_85, converted_stat * 1.5, converted_stat)))))</f>
        <v/>
      </c>
      <c r="W488" s="30" t="str">
        <f t="array" ref="W488">IF($A488="", "", LET(bbgm_stat, INDEX(Players!$A487:$P487, MATCH(W$2, Players!$A$1:$P$1, 0)), perc_75, VLOOKUP(W$2, Percentiles!$A$45:$I$59, 6, FALSE), perc_90, VLOOKUP(W$2, Percentiles!$A$45:$I$59, 7, FALSE), perc_95, VLOOKUP(W$2, Percentiles!$A$45:$I$59, 8, FALSE), perc_85, perc_75 + (perc_90 - perc_75) * (2/3), converted_stat, '2K_Ratings'!W488, IF(bbgm_stat &gt;= perc_95, converted_stat * 3, IF(bbgm_stat &gt;= perc_90, converted_stat * 2, IF(bbgm_stat &gt;= perc_85, converted_stat * 1.5, converted_stat)))))</f>
        <v/>
      </c>
    </row>
    <row r="489">
      <c r="A489" s="30"/>
      <c r="B489" s="30" t="str">
        <f t="array" ref="B489">IF($A489="", "", LET(bbgm_stat, INDEX(Players!$A488:$P488, MATCH(B$2, Players!$A$1:$P$1, 0)), perc_75, VLOOKUP(B$2, Percentiles!$A$45:$I$59, 6, FALSE), perc_90, VLOOKUP(B$2, Percentiles!$A$45:$I$59, 7, FALSE), perc_95, VLOOKUP(B$2, Percentiles!$A$45:$I$59, 8, FALSE), perc_85, perc_75 + (perc_90 - perc_75) * (2/3), converted_stat, '2K_Ratings'!B489, IF(bbgm_stat &gt;= perc_95, converted_stat * 3, IF(bbgm_stat &gt;= perc_90, converted_stat * 2, IF(bbgm_stat &gt;= perc_85, converted_stat * 1.5, converted_stat)))))</f>
        <v/>
      </c>
      <c r="C489" s="30" t="str">
        <f t="array" ref="C489">IF($A489="", "", LET(bbgm_stat, INDEX(Players!$A488:$P488, MATCH(C$2, Players!$A$1:$P$1, 0)), perc_75, VLOOKUP(C$2, Percentiles!$A$45:$I$59, 6, FALSE), perc_90, VLOOKUP(C$2, Percentiles!$A$45:$I$59, 7, FALSE), perc_95, VLOOKUP(C$2, Percentiles!$A$45:$I$59, 8, FALSE), perc_85, perc_75 + (perc_90 - perc_75) * (2/3), converted_stat, '2K_Ratings'!C489, IF(bbgm_stat &gt;= perc_95, converted_stat * 3, IF(bbgm_stat &gt;= perc_90, converted_stat * 2, IF(bbgm_stat &gt;= perc_85, converted_stat * 1.5, converted_stat)))))</f>
        <v/>
      </c>
      <c r="D489" s="30" t="str">
        <f t="array" ref="D489">IF($A489="", "", LET(bbgm_stat, INDEX(Players!$A488:$P488, MATCH(D$2, Players!$A$1:$P$1, 0)), perc_75, VLOOKUP(D$2, Percentiles!$A$45:$I$59, 6, FALSE), perc_90, VLOOKUP(D$2, Percentiles!$A$45:$I$59, 7, FALSE), perc_95, VLOOKUP(D$2, Percentiles!$A$45:$I$59, 8, FALSE), perc_85, perc_75 + (perc_90 - perc_75) * (2/3), converted_stat, '2K_Ratings'!D489, IF(bbgm_stat &gt;= perc_95, converted_stat * 3, IF(bbgm_stat &gt;= perc_90, converted_stat * 2, IF(bbgm_stat &gt;= perc_85, converted_stat * 1.5, converted_stat)))))</f>
        <v/>
      </c>
      <c r="E489" s="30" t="str">
        <f t="array" ref="E489">IF($A489="", "", LET(bbgm_stat, INDEX(Players!$A488:$P488, MATCH(E$2, Players!$A$1:$P$1, 0)), perc_75, VLOOKUP(E$2, Percentiles!$A$45:$I$59, 6, FALSE), perc_90, VLOOKUP(E$2, Percentiles!$A$45:$I$59, 7, FALSE), perc_95, VLOOKUP(E$2, Percentiles!$A$45:$I$59, 8, FALSE), perc_85, perc_75 + (perc_90 - perc_75) * (2/3), converted_stat, '2K_Ratings'!E489, IF(bbgm_stat &gt;= perc_95, converted_stat * 3, IF(bbgm_stat &gt;= perc_90, converted_stat * 2, IF(bbgm_stat &gt;= perc_85, converted_stat * 1.5, converted_stat)))))</f>
        <v/>
      </c>
      <c r="F489" s="30" t="str">
        <f t="array" ref="F489">IF($A489="", "", LET(bbgm_stat, INDEX(Players!$A488:$P488, MATCH(F$2, Players!$A$1:$P$1, 0)), perc_75, VLOOKUP(F$2, Percentiles!$A$45:$I$59, 6, FALSE), perc_90, VLOOKUP(F$2, Percentiles!$A$45:$I$59, 7, FALSE), perc_95, VLOOKUP(F$2, Percentiles!$A$45:$I$59, 8, FALSE), perc_85, perc_75 + (perc_90 - perc_75) * (2/3), converted_stat, '2K_Ratings'!F489, IF(bbgm_stat &gt;= perc_95, converted_stat * 3, IF(bbgm_stat &gt;= perc_90, converted_stat * 2, IF(bbgm_stat &gt;= perc_85, converted_stat * 1.5, converted_stat)))))</f>
        <v/>
      </c>
      <c r="G489" s="30" t="str">
        <f t="array" ref="G489">IF($A489="", "", LET(bbgm_stat, INDEX(Players!$A488:$P488, MATCH(G$2, Players!$A$1:$P$1, 0)), perc_75, VLOOKUP(G$2, Percentiles!$A$45:$I$59, 6, FALSE), perc_90, VLOOKUP(G$2, Percentiles!$A$45:$I$59, 7, FALSE), perc_95, VLOOKUP(G$2, Percentiles!$A$45:$I$59, 8, FALSE), perc_85, perc_75 + (perc_90 - perc_75) * (2/3), converted_stat, '2K_Ratings'!G489, IF(bbgm_stat &gt;= perc_95, converted_stat * 3, IF(bbgm_stat &gt;= perc_90, converted_stat * 2, IF(bbgm_stat &gt;= perc_85, converted_stat * 1.5, converted_stat)))))</f>
        <v/>
      </c>
      <c r="H489" s="30" t="str">
        <f t="array" ref="H489">IF($A489="", "", LET(bbgm_stat, INDEX(Players!$A488:$P488, MATCH(H$2, Players!$A$1:$P$1, 0)), perc_75, VLOOKUP(H$2, Percentiles!$A$45:$I$59, 6, FALSE), perc_90, VLOOKUP(H$2, Percentiles!$A$45:$I$59, 7, FALSE), perc_95, VLOOKUP(H$2, Percentiles!$A$45:$I$59, 8, FALSE), perc_85, perc_75 + (perc_90 - perc_75) * (2/3), converted_stat, '2K_Ratings'!H489, IF(bbgm_stat &gt;= perc_95, converted_stat * 3, IF(bbgm_stat &gt;= perc_90, converted_stat * 2, IF(bbgm_stat &gt;= perc_85, converted_stat * 1.5, converted_stat)))))</f>
        <v/>
      </c>
      <c r="I489" s="30" t="str">
        <f t="array" ref="I489">IF($A489="", "", LET(bbgm_stat, INDEX(Players!$A488:$P488, MATCH(I$2, Players!$A$1:$P$1, 0)), perc_75, VLOOKUP(I$2, Percentiles!$A$45:$I$59, 6, FALSE), perc_90, VLOOKUP(I$2, Percentiles!$A$45:$I$59, 7, FALSE), perc_95, VLOOKUP(I$2, Percentiles!$A$45:$I$59, 8, FALSE), perc_85, perc_75 + (perc_90 - perc_75) * (2/3), converted_stat, '2K_Ratings'!I489, IF(bbgm_stat &gt;= perc_95, converted_stat * 3, IF(bbgm_stat &gt;= perc_90, converted_stat * 2, IF(bbgm_stat &gt;= perc_85, converted_stat * 1.5, converted_stat)))))</f>
        <v/>
      </c>
      <c r="J489" s="30" t="str">
        <f t="array" ref="J489">IF($A489="", "", LET(bbgm_stat, INDEX(Players!$A488:$P488, MATCH(J$2, Players!$A$1:$P$1, 0)), perc_75, VLOOKUP(J$2, Percentiles!$A$45:$I$59, 6, FALSE), perc_90, VLOOKUP(J$2, Percentiles!$A$45:$I$59, 7, FALSE), perc_95, VLOOKUP(J$2, Percentiles!$A$45:$I$59, 8, FALSE), perc_85, perc_75 + (perc_90 - perc_75) * (2/3), converted_stat, '2K_Ratings'!J489, IF(bbgm_stat &gt;= perc_95, converted_stat * 3, IF(bbgm_stat &gt;= perc_90, converted_stat * 2, IF(bbgm_stat &gt;= perc_85, converted_stat * 1.5, converted_stat)))))</f>
        <v/>
      </c>
      <c r="K489" s="30" t="str">
        <f t="array" ref="K489">IF($A489="", "", LET(bbgm_stat, INDEX(Players!$A488:$P488, MATCH(K$2, Players!$A$1:$P$1, 0)), perc_75, VLOOKUP(K$2, Percentiles!$A$45:$I$59, 6, FALSE), perc_90, VLOOKUP(K$2, Percentiles!$A$45:$I$59, 7, FALSE), perc_95, VLOOKUP(K$2, Percentiles!$A$45:$I$59, 8, FALSE), perc_85, perc_75 + (perc_90 - perc_75) * (2/3), converted_stat, '2K_Ratings'!K489, IF(bbgm_stat &gt;= perc_95, converted_stat * 3, IF(bbgm_stat &gt;= perc_90, converted_stat * 2, IF(bbgm_stat &gt;= perc_85, converted_stat * 1.5, converted_stat)))))</f>
        <v/>
      </c>
      <c r="L489" s="30" t="str">
        <f t="array" ref="L489">IF($A489="", "", LET(bbgm_stat, INDEX(Players!$A488:$P488, MATCH(L$2, Players!$A$1:$P$1, 0)), perc_75, VLOOKUP(L$2, Percentiles!$A$45:$I$59, 6, FALSE), perc_90, VLOOKUP(L$2, Percentiles!$A$45:$I$59, 7, FALSE), perc_95, VLOOKUP(L$2, Percentiles!$A$45:$I$59, 8, FALSE), perc_85, perc_75 + (perc_90 - perc_75) * (2/3), converted_stat, '2K_Ratings'!L489, IF(bbgm_stat &gt;= perc_95, converted_stat * 3, IF(bbgm_stat &gt;= perc_90, converted_stat * 2, IF(bbgm_stat &gt;= perc_85, converted_stat * 1.5, converted_stat)))))</f>
        <v/>
      </c>
      <c r="M489" s="30" t="str">
        <f t="array" ref="M489">IF($A489="", "", LET(bbgm_stat, INDEX(Players!$A488:$P488, MATCH(M$2, Players!$A$1:$P$1, 0)), perc_75, VLOOKUP(M$2, Percentiles!$A$45:$I$59, 6, FALSE), perc_90, VLOOKUP(M$2, Percentiles!$A$45:$I$59, 7, FALSE), perc_95, VLOOKUP(M$2, Percentiles!$A$45:$I$59, 8, FALSE), perc_85, perc_75 + (perc_90 - perc_75) * (2/3), converted_stat, '2K_Ratings'!M489, IF(bbgm_stat &gt;= perc_95, converted_stat * 3, IF(bbgm_stat &gt;= perc_90, converted_stat * 2, IF(bbgm_stat &gt;= perc_85, converted_stat * 1.5, converted_stat)))))</f>
        <v/>
      </c>
      <c r="N489" s="30" t="str">
        <f t="array" ref="N489">IF($A489="", "", LET(bbgm_stat, INDEX(Players!$A488:$P488, MATCH(N$2, Players!$A$1:$P$1, 0)), perc_75, VLOOKUP(N$2, Percentiles!$A$45:$I$59, 6, FALSE), perc_90, VLOOKUP(N$2, Percentiles!$A$45:$I$59, 7, FALSE), perc_95, VLOOKUP(N$2, Percentiles!$A$45:$I$59, 8, FALSE), perc_85, perc_75 + (perc_90 - perc_75) * (2/3), converted_stat, '2K_Ratings'!N489, IF(bbgm_stat &gt;= perc_95, converted_stat * 3, IF(bbgm_stat &gt;= perc_90, converted_stat * 2, IF(bbgm_stat &gt;= perc_85, converted_stat * 1.5, converted_stat)))))</f>
        <v/>
      </c>
      <c r="O489" s="30" t="str">
        <f t="array" ref="O489">IF($A489="", "", LET(bbgm_stat, INDEX(Players!$A488:$P488, MATCH(O$2, Players!$A$1:$P$1, 0)), perc_75, VLOOKUP(O$2, Percentiles!$A$45:$I$59, 6, FALSE), perc_90, VLOOKUP(O$2, Percentiles!$A$45:$I$59, 7, FALSE), perc_95, VLOOKUP(O$2, Percentiles!$A$45:$I$59, 8, FALSE), perc_85, perc_75 + (perc_90 - perc_75) * (2/3), converted_stat, '2K_Ratings'!O489, IF(bbgm_stat &gt;= perc_95, converted_stat * 3, IF(bbgm_stat &gt;= perc_90, converted_stat * 2, IF(bbgm_stat &gt;= perc_85, converted_stat * 1.5, converted_stat)))))</f>
        <v/>
      </c>
      <c r="P489" s="30" t="str">
        <f t="array" ref="P489">IF($A489="", "", LET(bbgm_stat, INDEX(Players!$A488:$P488, MATCH(P$2, Players!$A$1:$P$1, 0)), perc_75, VLOOKUP(P$2, Percentiles!$A$45:$I$59, 6, FALSE), perc_90, VLOOKUP(P$2, Percentiles!$A$45:$I$59, 7, FALSE), perc_95, VLOOKUP(P$2, Percentiles!$A$45:$I$59, 8, FALSE), perc_85, perc_75 + (perc_90 - perc_75) * (2/3), converted_stat, '2K_Ratings'!P489, IF(bbgm_stat &gt;= perc_95, converted_stat * 3, IF(bbgm_stat &gt;= perc_90, converted_stat * 2, IF(bbgm_stat &gt;= perc_85, converted_stat * 1.5, converted_stat)))))</f>
        <v/>
      </c>
      <c r="Q489" s="30" t="str">
        <f t="array" ref="Q489">IF($A489="", "", LET(bbgm_stat, INDEX(Players!$A488:$P488, MATCH(Q$2, Players!$A$1:$P$1, 0)), perc_75, VLOOKUP(Q$2, Percentiles!$A$45:$I$59, 6, FALSE), perc_90, VLOOKUP(Q$2, Percentiles!$A$45:$I$59, 7, FALSE), perc_95, VLOOKUP(Q$2, Percentiles!$A$45:$I$59, 8, FALSE), perc_85, perc_75 + (perc_90 - perc_75) * (2/3), converted_stat, '2K_Ratings'!Q489, IF(bbgm_stat &gt;= perc_95, converted_stat * 3, IF(bbgm_stat &gt;= perc_90, converted_stat * 2, IF(bbgm_stat &gt;= perc_85, converted_stat * 1.5, converted_stat)))))</f>
        <v/>
      </c>
      <c r="R489" s="30" t="str">
        <f t="array" ref="R489">IF($A489="", "", LET(bbgm_stat, INDEX(Players!$A488:$P488, MATCH(R$2, Players!$A$1:$P$1, 0)), perc_75, VLOOKUP(R$2, Percentiles!$A$45:$I$59, 6, FALSE), perc_90, VLOOKUP(R$2, Percentiles!$A$45:$I$59, 7, FALSE), perc_95, VLOOKUP(R$2, Percentiles!$A$45:$I$59, 8, FALSE), perc_85, perc_75 + (perc_90 - perc_75) * (2/3), converted_stat, '2K_Ratings'!R489, IF(bbgm_stat &gt;= perc_95, converted_stat * 3, IF(bbgm_stat &gt;= perc_90, converted_stat * 2, IF(bbgm_stat &gt;= perc_85, converted_stat * 1.5, converted_stat)))))</f>
        <v/>
      </c>
      <c r="S489" s="30" t="str">
        <f t="array" ref="S489">IF($A489="", "", LET(bbgm_stat, INDEX(Players!$A488:$P488, MATCH(S$2, Players!$A$1:$P$1, 0)), perc_75, VLOOKUP(S$2, Percentiles!$A$45:$I$59, 6, FALSE), perc_90, VLOOKUP(S$2, Percentiles!$A$45:$I$59, 7, FALSE), perc_95, VLOOKUP(S$2, Percentiles!$A$45:$I$59, 8, FALSE), perc_85, perc_75 + (perc_90 - perc_75) * (2/3), converted_stat, '2K_Ratings'!S489, IF(bbgm_stat &gt;= perc_95, converted_stat * 3, IF(bbgm_stat &gt;= perc_90, converted_stat * 2, IF(bbgm_stat &gt;= perc_85, converted_stat * 1.5, converted_stat)))))</f>
        <v/>
      </c>
      <c r="T489" s="30" t="str">
        <f t="array" ref="T489">IF($A489="", "", LET(bbgm_stat, INDEX(Players!$A488:$P488, MATCH(T$2, Players!$A$1:$P$1, 0)), perc_75, VLOOKUP(T$2, Percentiles!$A$45:$I$59, 6, FALSE), perc_90, VLOOKUP(T$2, Percentiles!$A$45:$I$59, 7, FALSE), perc_95, VLOOKUP(T$2, Percentiles!$A$45:$I$59, 8, FALSE), perc_85, perc_75 + (perc_90 - perc_75) * (2/3), converted_stat, '2K_Ratings'!T489, IF(bbgm_stat &gt;= perc_95, converted_stat * 3, IF(bbgm_stat &gt;= perc_90, converted_stat * 2, IF(bbgm_stat &gt;= perc_85, converted_stat * 1.5, converted_stat)))))</f>
        <v/>
      </c>
      <c r="U489" s="30" t="str">
        <f t="array" ref="U489">IF($A489="", "", LET(bbgm_stat, INDEX(Players!$A488:$P488, MATCH(U$2, Players!$A$1:$P$1, 0)), perc_75, VLOOKUP(U$2, Percentiles!$A$45:$I$59, 6, FALSE), perc_90, VLOOKUP(U$2, Percentiles!$A$45:$I$59, 7, FALSE), perc_95, VLOOKUP(U$2, Percentiles!$A$45:$I$59, 8, FALSE), perc_85, perc_75 + (perc_90 - perc_75) * (2/3), converted_stat, '2K_Ratings'!U489, IF(bbgm_stat &gt;= perc_95, converted_stat * 3, IF(bbgm_stat &gt;= perc_90, converted_stat * 2, IF(bbgm_stat &gt;= perc_85, converted_stat * 1.5, converted_stat)))))</f>
        <v/>
      </c>
      <c r="V489" s="30" t="str">
        <f t="array" ref="V489">IF($A489="", "", LET(bbgm_stat, INDEX(Players!$A488:$P488, MATCH(V$2, Players!$A$1:$P$1, 0)), perc_75, VLOOKUP(V$2, Percentiles!$A$45:$I$59, 6, FALSE), perc_90, VLOOKUP(V$2, Percentiles!$A$45:$I$59, 7, FALSE), perc_95, VLOOKUP(V$2, Percentiles!$A$45:$I$59, 8, FALSE), perc_85, perc_75 + (perc_90 - perc_75) * (2/3), converted_stat, '2K_Ratings'!V489, IF(bbgm_stat &gt;= perc_95, converted_stat * 3, IF(bbgm_stat &gt;= perc_90, converted_stat * 2, IF(bbgm_stat &gt;= perc_85, converted_stat * 1.5, converted_stat)))))</f>
        <v/>
      </c>
      <c r="W489" s="30" t="str">
        <f t="array" ref="W489">IF($A489="", "", LET(bbgm_stat, INDEX(Players!$A488:$P488, MATCH(W$2, Players!$A$1:$P$1, 0)), perc_75, VLOOKUP(W$2, Percentiles!$A$45:$I$59, 6, FALSE), perc_90, VLOOKUP(W$2, Percentiles!$A$45:$I$59, 7, FALSE), perc_95, VLOOKUP(W$2, Percentiles!$A$45:$I$59, 8, FALSE), perc_85, perc_75 + (perc_90 - perc_75) * (2/3), converted_stat, '2K_Ratings'!W489, IF(bbgm_stat &gt;= perc_95, converted_stat * 3, IF(bbgm_stat &gt;= perc_90, converted_stat * 2, IF(bbgm_stat &gt;= perc_85, converted_stat * 1.5, converted_stat)))))</f>
        <v/>
      </c>
    </row>
    <row r="490">
      <c r="A490" s="30"/>
      <c r="B490" s="30" t="str">
        <f t="array" ref="B490">IF($A490="", "", LET(bbgm_stat, INDEX(Players!$A489:$P489, MATCH(B$2, Players!$A$1:$P$1, 0)), perc_75, VLOOKUP(B$2, Percentiles!$A$45:$I$59, 6, FALSE), perc_90, VLOOKUP(B$2, Percentiles!$A$45:$I$59, 7, FALSE), perc_95, VLOOKUP(B$2, Percentiles!$A$45:$I$59, 8, FALSE), perc_85, perc_75 + (perc_90 - perc_75) * (2/3), converted_stat, '2K_Ratings'!B490, IF(bbgm_stat &gt;= perc_95, converted_stat * 3, IF(bbgm_stat &gt;= perc_90, converted_stat * 2, IF(bbgm_stat &gt;= perc_85, converted_stat * 1.5, converted_stat)))))</f>
        <v/>
      </c>
      <c r="C490" s="30" t="str">
        <f t="array" ref="C490">IF($A490="", "", LET(bbgm_stat, INDEX(Players!$A489:$P489, MATCH(C$2, Players!$A$1:$P$1, 0)), perc_75, VLOOKUP(C$2, Percentiles!$A$45:$I$59, 6, FALSE), perc_90, VLOOKUP(C$2, Percentiles!$A$45:$I$59, 7, FALSE), perc_95, VLOOKUP(C$2, Percentiles!$A$45:$I$59, 8, FALSE), perc_85, perc_75 + (perc_90 - perc_75) * (2/3), converted_stat, '2K_Ratings'!C490, IF(bbgm_stat &gt;= perc_95, converted_stat * 3, IF(bbgm_stat &gt;= perc_90, converted_stat * 2, IF(bbgm_stat &gt;= perc_85, converted_stat * 1.5, converted_stat)))))</f>
        <v/>
      </c>
      <c r="D490" s="30" t="str">
        <f t="array" ref="D490">IF($A490="", "", LET(bbgm_stat, INDEX(Players!$A489:$P489, MATCH(D$2, Players!$A$1:$P$1, 0)), perc_75, VLOOKUP(D$2, Percentiles!$A$45:$I$59, 6, FALSE), perc_90, VLOOKUP(D$2, Percentiles!$A$45:$I$59, 7, FALSE), perc_95, VLOOKUP(D$2, Percentiles!$A$45:$I$59, 8, FALSE), perc_85, perc_75 + (perc_90 - perc_75) * (2/3), converted_stat, '2K_Ratings'!D490, IF(bbgm_stat &gt;= perc_95, converted_stat * 3, IF(bbgm_stat &gt;= perc_90, converted_stat * 2, IF(bbgm_stat &gt;= perc_85, converted_stat * 1.5, converted_stat)))))</f>
        <v/>
      </c>
      <c r="E490" s="30" t="str">
        <f t="array" ref="E490">IF($A490="", "", LET(bbgm_stat, INDEX(Players!$A489:$P489, MATCH(E$2, Players!$A$1:$P$1, 0)), perc_75, VLOOKUP(E$2, Percentiles!$A$45:$I$59, 6, FALSE), perc_90, VLOOKUP(E$2, Percentiles!$A$45:$I$59, 7, FALSE), perc_95, VLOOKUP(E$2, Percentiles!$A$45:$I$59, 8, FALSE), perc_85, perc_75 + (perc_90 - perc_75) * (2/3), converted_stat, '2K_Ratings'!E490, IF(bbgm_stat &gt;= perc_95, converted_stat * 3, IF(bbgm_stat &gt;= perc_90, converted_stat * 2, IF(bbgm_stat &gt;= perc_85, converted_stat * 1.5, converted_stat)))))</f>
        <v/>
      </c>
      <c r="F490" s="30" t="str">
        <f t="array" ref="F490">IF($A490="", "", LET(bbgm_stat, INDEX(Players!$A489:$P489, MATCH(F$2, Players!$A$1:$P$1, 0)), perc_75, VLOOKUP(F$2, Percentiles!$A$45:$I$59, 6, FALSE), perc_90, VLOOKUP(F$2, Percentiles!$A$45:$I$59, 7, FALSE), perc_95, VLOOKUP(F$2, Percentiles!$A$45:$I$59, 8, FALSE), perc_85, perc_75 + (perc_90 - perc_75) * (2/3), converted_stat, '2K_Ratings'!F490, IF(bbgm_stat &gt;= perc_95, converted_stat * 3, IF(bbgm_stat &gt;= perc_90, converted_stat * 2, IF(bbgm_stat &gt;= perc_85, converted_stat * 1.5, converted_stat)))))</f>
        <v/>
      </c>
      <c r="G490" s="30" t="str">
        <f t="array" ref="G490">IF($A490="", "", LET(bbgm_stat, INDEX(Players!$A489:$P489, MATCH(G$2, Players!$A$1:$P$1, 0)), perc_75, VLOOKUP(G$2, Percentiles!$A$45:$I$59, 6, FALSE), perc_90, VLOOKUP(G$2, Percentiles!$A$45:$I$59, 7, FALSE), perc_95, VLOOKUP(G$2, Percentiles!$A$45:$I$59, 8, FALSE), perc_85, perc_75 + (perc_90 - perc_75) * (2/3), converted_stat, '2K_Ratings'!G490, IF(bbgm_stat &gt;= perc_95, converted_stat * 3, IF(bbgm_stat &gt;= perc_90, converted_stat * 2, IF(bbgm_stat &gt;= perc_85, converted_stat * 1.5, converted_stat)))))</f>
        <v/>
      </c>
      <c r="H490" s="30" t="str">
        <f t="array" ref="H490">IF($A490="", "", LET(bbgm_stat, INDEX(Players!$A489:$P489, MATCH(H$2, Players!$A$1:$P$1, 0)), perc_75, VLOOKUP(H$2, Percentiles!$A$45:$I$59, 6, FALSE), perc_90, VLOOKUP(H$2, Percentiles!$A$45:$I$59, 7, FALSE), perc_95, VLOOKUP(H$2, Percentiles!$A$45:$I$59, 8, FALSE), perc_85, perc_75 + (perc_90 - perc_75) * (2/3), converted_stat, '2K_Ratings'!H490, IF(bbgm_stat &gt;= perc_95, converted_stat * 3, IF(bbgm_stat &gt;= perc_90, converted_stat * 2, IF(bbgm_stat &gt;= perc_85, converted_stat * 1.5, converted_stat)))))</f>
        <v/>
      </c>
      <c r="I490" s="30" t="str">
        <f t="array" ref="I490">IF($A490="", "", LET(bbgm_stat, INDEX(Players!$A489:$P489, MATCH(I$2, Players!$A$1:$P$1, 0)), perc_75, VLOOKUP(I$2, Percentiles!$A$45:$I$59, 6, FALSE), perc_90, VLOOKUP(I$2, Percentiles!$A$45:$I$59, 7, FALSE), perc_95, VLOOKUP(I$2, Percentiles!$A$45:$I$59, 8, FALSE), perc_85, perc_75 + (perc_90 - perc_75) * (2/3), converted_stat, '2K_Ratings'!I490, IF(bbgm_stat &gt;= perc_95, converted_stat * 3, IF(bbgm_stat &gt;= perc_90, converted_stat * 2, IF(bbgm_stat &gt;= perc_85, converted_stat * 1.5, converted_stat)))))</f>
        <v/>
      </c>
      <c r="J490" s="30" t="str">
        <f t="array" ref="J490">IF($A490="", "", LET(bbgm_stat, INDEX(Players!$A489:$P489, MATCH(J$2, Players!$A$1:$P$1, 0)), perc_75, VLOOKUP(J$2, Percentiles!$A$45:$I$59, 6, FALSE), perc_90, VLOOKUP(J$2, Percentiles!$A$45:$I$59, 7, FALSE), perc_95, VLOOKUP(J$2, Percentiles!$A$45:$I$59, 8, FALSE), perc_85, perc_75 + (perc_90 - perc_75) * (2/3), converted_stat, '2K_Ratings'!J490, IF(bbgm_stat &gt;= perc_95, converted_stat * 3, IF(bbgm_stat &gt;= perc_90, converted_stat * 2, IF(bbgm_stat &gt;= perc_85, converted_stat * 1.5, converted_stat)))))</f>
        <v/>
      </c>
      <c r="K490" s="30" t="str">
        <f t="array" ref="K490">IF($A490="", "", LET(bbgm_stat, INDEX(Players!$A489:$P489, MATCH(K$2, Players!$A$1:$P$1, 0)), perc_75, VLOOKUP(K$2, Percentiles!$A$45:$I$59, 6, FALSE), perc_90, VLOOKUP(K$2, Percentiles!$A$45:$I$59, 7, FALSE), perc_95, VLOOKUP(K$2, Percentiles!$A$45:$I$59, 8, FALSE), perc_85, perc_75 + (perc_90 - perc_75) * (2/3), converted_stat, '2K_Ratings'!K490, IF(bbgm_stat &gt;= perc_95, converted_stat * 3, IF(bbgm_stat &gt;= perc_90, converted_stat * 2, IF(bbgm_stat &gt;= perc_85, converted_stat * 1.5, converted_stat)))))</f>
        <v/>
      </c>
      <c r="L490" s="30" t="str">
        <f t="array" ref="L490">IF($A490="", "", LET(bbgm_stat, INDEX(Players!$A489:$P489, MATCH(L$2, Players!$A$1:$P$1, 0)), perc_75, VLOOKUP(L$2, Percentiles!$A$45:$I$59, 6, FALSE), perc_90, VLOOKUP(L$2, Percentiles!$A$45:$I$59, 7, FALSE), perc_95, VLOOKUP(L$2, Percentiles!$A$45:$I$59, 8, FALSE), perc_85, perc_75 + (perc_90 - perc_75) * (2/3), converted_stat, '2K_Ratings'!L490, IF(bbgm_stat &gt;= perc_95, converted_stat * 3, IF(bbgm_stat &gt;= perc_90, converted_stat * 2, IF(bbgm_stat &gt;= perc_85, converted_stat * 1.5, converted_stat)))))</f>
        <v/>
      </c>
      <c r="M490" s="30" t="str">
        <f t="array" ref="M490">IF($A490="", "", LET(bbgm_stat, INDEX(Players!$A489:$P489, MATCH(M$2, Players!$A$1:$P$1, 0)), perc_75, VLOOKUP(M$2, Percentiles!$A$45:$I$59, 6, FALSE), perc_90, VLOOKUP(M$2, Percentiles!$A$45:$I$59, 7, FALSE), perc_95, VLOOKUP(M$2, Percentiles!$A$45:$I$59, 8, FALSE), perc_85, perc_75 + (perc_90 - perc_75) * (2/3), converted_stat, '2K_Ratings'!M490, IF(bbgm_stat &gt;= perc_95, converted_stat * 3, IF(bbgm_stat &gt;= perc_90, converted_stat * 2, IF(bbgm_stat &gt;= perc_85, converted_stat * 1.5, converted_stat)))))</f>
        <v/>
      </c>
      <c r="N490" s="30" t="str">
        <f t="array" ref="N490">IF($A490="", "", LET(bbgm_stat, INDEX(Players!$A489:$P489, MATCH(N$2, Players!$A$1:$P$1, 0)), perc_75, VLOOKUP(N$2, Percentiles!$A$45:$I$59, 6, FALSE), perc_90, VLOOKUP(N$2, Percentiles!$A$45:$I$59, 7, FALSE), perc_95, VLOOKUP(N$2, Percentiles!$A$45:$I$59, 8, FALSE), perc_85, perc_75 + (perc_90 - perc_75) * (2/3), converted_stat, '2K_Ratings'!N490, IF(bbgm_stat &gt;= perc_95, converted_stat * 3, IF(bbgm_stat &gt;= perc_90, converted_stat * 2, IF(bbgm_stat &gt;= perc_85, converted_stat * 1.5, converted_stat)))))</f>
        <v/>
      </c>
      <c r="O490" s="30" t="str">
        <f t="array" ref="O490">IF($A490="", "", LET(bbgm_stat, INDEX(Players!$A489:$P489, MATCH(O$2, Players!$A$1:$P$1, 0)), perc_75, VLOOKUP(O$2, Percentiles!$A$45:$I$59, 6, FALSE), perc_90, VLOOKUP(O$2, Percentiles!$A$45:$I$59, 7, FALSE), perc_95, VLOOKUP(O$2, Percentiles!$A$45:$I$59, 8, FALSE), perc_85, perc_75 + (perc_90 - perc_75) * (2/3), converted_stat, '2K_Ratings'!O490, IF(bbgm_stat &gt;= perc_95, converted_stat * 3, IF(bbgm_stat &gt;= perc_90, converted_stat * 2, IF(bbgm_stat &gt;= perc_85, converted_stat * 1.5, converted_stat)))))</f>
        <v/>
      </c>
      <c r="P490" s="30" t="str">
        <f t="array" ref="P490">IF($A490="", "", LET(bbgm_stat, INDEX(Players!$A489:$P489, MATCH(P$2, Players!$A$1:$P$1, 0)), perc_75, VLOOKUP(P$2, Percentiles!$A$45:$I$59, 6, FALSE), perc_90, VLOOKUP(P$2, Percentiles!$A$45:$I$59, 7, FALSE), perc_95, VLOOKUP(P$2, Percentiles!$A$45:$I$59, 8, FALSE), perc_85, perc_75 + (perc_90 - perc_75) * (2/3), converted_stat, '2K_Ratings'!P490, IF(bbgm_stat &gt;= perc_95, converted_stat * 3, IF(bbgm_stat &gt;= perc_90, converted_stat * 2, IF(bbgm_stat &gt;= perc_85, converted_stat * 1.5, converted_stat)))))</f>
        <v/>
      </c>
      <c r="Q490" s="30" t="str">
        <f t="array" ref="Q490">IF($A490="", "", LET(bbgm_stat, INDEX(Players!$A489:$P489, MATCH(Q$2, Players!$A$1:$P$1, 0)), perc_75, VLOOKUP(Q$2, Percentiles!$A$45:$I$59, 6, FALSE), perc_90, VLOOKUP(Q$2, Percentiles!$A$45:$I$59, 7, FALSE), perc_95, VLOOKUP(Q$2, Percentiles!$A$45:$I$59, 8, FALSE), perc_85, perc_75 + (perc_90 - perc_75) * (2/3), converted_stat, '2K_Ratings'!Q490, IF(bbgm_stat &gt;= perc_95, converted_stat * 3, IF(bbgm_stat &gt;= perc_90, converted_stat * 2, IF(bbgm_stat &gt;= perc_85, converted_stat * 1.5, converted_stat)))))</f>
        <v/>
      </c>
      <c r="R490" s="30" t="str">
        <f t="array" ref="R490">IF($A490="", "", LET(bbgm_stat, INDEX(Players!$A489:$P489, MATCH(R$2, Players!$A$1:$P$1, 0)), perc_75, VLOOKUP(R$2, Percentiles!$A$45:$I$59, 6, FALSE), perc_90, VLOOKUP(R$2, Percentiles!$A$45:$I$59, 7, FALSE), perc_95, VLOOKUP(R$2, Percentiles!$A$45:$I$59, 8, FALSE), perc_85, perc_75 + (perc_90 - perc_75) * (2/3), converted_stat, '2K_Ratings'!R490, IF(bbgm_stat &gt;= perc_95, converted_stat * 3, IF(bbgm_stat &gt;= perc_90, converted_stat * 2, IF(bbgm_stat &gt;= perc_85, converted_stat * 1.5, converted_stat)))))</f>
        <v/>
      </c>
      <c r="S490" s="30" t="str">
        <f t="array" ref="S490">IF($A490="", "", LET(bbgm_stat, INDEX(Players!$A489:$P489, MATCH(S$2, Players!$A$1:$P$1, 0)), perc_75, VLOOKUP(S$2, Percentiles!$A$45:$I$59, 6, FALSE), perc_90, VLOOKUP(S$2, Percentiles!$A$45:$I$59, 7, FALSE), perc_95, VLOOKUP(S$2, Percentiles!$A$45:$I$59, 8, FALSE), perc_85, perc_75 + (perc_90 - perc_75) * (2/3), converted_stat, '2K_Ratings'!S490, IF(bbgm_stat &gt;= perc_95, converted_stat * 3, IF(bbgm_stat &gt;= perc_90, converted_stat * 2, IF(bbgm_stat &gt;= perc_85, converted_stat * 1.5, converted_stat)))))</f>
        <v/>
      </c>
      <c r="T490" s="30" t="str">
        <f t="array" ref="T490">IF($A490="", "", LET(bbgm_stat, INDEX(Players!$A489:$P489, MATCH(T$2, Players!$A$1:$P$1, 0)), perc_75, VLOOKUP(T$2, Percentiles!$A$45:$I$59, 6, FALSE), perc_90, VLOOKUP(T$2, Percentiles!$A$45:$I$59, 7, FALSE), perc_95, VLOOKUP(T$2, Percentiles!$A$45:$I$59, 8, FALSE), perc_85, perc_75 + (perc_90 - perc_75) * (2/3), converted_stat, '2K_Ratings'!T490, IF(bbgm_stat &gt;= perc_95, converted_stat * 3, IF(bbgm_stat &gt;= perc_90, converted_stat * 2, IF(bbgm_stat &gt;= perc_85, converted_stat * 1.5, converted_stat)))))</f>
        <v/>
      </c>
      <c r="U490" s="30" t="str">
        <f t="array" ref="U490">IF($A490="", "", LET(bbgm_stat, INDEX(Players!$A489:$P489, MATCH(U$2, Players!$A$1:$P$1, 0)), perc_75, VLOOKUP(U$2, Percentiles!$A$45:$I$59, 6, FALSE), perc_90, VLOOKUP(U$2, Percentiles!$A$45:$I$59, 7, FALSE), perc_95, VLOOKUP(U$2, Percentiles!$A$45:$I$59, 8, FALSE), perc_85, perc_75 + (perc_90 - perc_75) * (2/3), converted_stat, '2K_Ratings'!U490, IF(bbgm_stat &gt;= perc_95, converted_stat * 3, IF(bbgm_stat &gt;= perc_90, converted_stat * 2, IF(bbgm_stat &gt;= perc_85, converted_stat * 1.5, converted_stat)))))</f>
        <v/>
      </c>
      <c r="V490" s="30" t="str">
        <f t="array" ref="V490">IF($A490="", "", LET(bbgm_stat, INDEX(Players!$A489:$P489, MATCH(V$2, Players!$A$1:$P$1, 0)), perc_75, VLOOKUP(V$2, Percentiles!$A$45:$I$59, 6, FALSE), perc_90, VLOOKUP(V$2, Percentiles!$A$45:$I$59, 7, FALSE), perc_95, VLOOKUP(V$2, Percentiles!$A$45:$I$59, 8, FALSE), perc_85, perc_75 + (perc_90 - perc_75) * (2/3), converted_stat, '2K_Ratings'!V490, IF(bbgm_stat &gt;= perc_95, converted_stat * 3, IF(bbgm_stat &gt;= perc_90, converted_stat * 2, IF(bbgm_stat &gt;= perc_85, converted_stat * 1.5, converted_stat)))))</f>
        <v/>
      </c>
      <c r="W490" s="30" t="str">
        <f t="array" ref="W490">IF($A490="", "", LET(bbgm_stat, INDEX(Players!$A489:$P489, MATCH(W$2, Players!$A$1:$P$1, 0)), perc_75, VLOOKUP(W$2, Percentiles!$A$45:$I$59, 6, FALSE), perc_90, VLOOKUP(W$2, Percentiles!$A$45:$I$59, 7, FALSE), perc_95, VLOOKUP(W$2, Percentiles!$A$45:$I$59, 8, FALSE), perc_85, perc_75 + (perc_90 - perc_75) * (2/3), converted_stat, '2K_Ratings'!W490, IF(bbgm_stat &gt;= perc_95, converted_stat * 3, IF(bbgm_stat &gt;= perc_90, converted_stat * 2, IF(bbgm_stat &gt;= perc_85, converted_stat * 1.5, converted_stat)))))</f>
        <v/>
      </c>
    </row>
    <row r="491">
      <c r="A491" s="30"/>
      <c r="B491" s="30" t="str">
        <f t="array" ref="B491">IF($A491="", "", LET(bbgm_stat, INDEX(Players!$A490:$P490, MATCH(B$2, Players!$A$1:$P$1, 0)), perc_75, VLOOKUP(B$2, Percentiles!$A$45:$I$59, 6, FALSE), perc_90, VLOOKUP(B$2, Percentiles!$A$45:$I$59, 7, FALSE), perc_95, VLOOKUP(B$2, Percentiles!$A$45:$I$59, 8, FALSE), perc_85, perc_75 + (perc_90 - perc_75) * (2/3), converted_stat, '2K_Ratings'!B491, IF(bbgm_stat &gt;= perc_95, converted_stat * 3, IF(bbgm_stat &gt;= perc_90, converted_stat * 2, IF(bbgm_stat &gt;= perc_85, converted_stat * 1.5, converted_stat)))))</f>
        <v/>
      </c>
      <c r="C491" s="30" t="str">
        <f t="array" ref="C491">IF($A491="", "", LET(bbgm_stat, INDEX(Players!$A490:$P490, MATCH(C$2, Players!$A$1:$P$1, 0)), perc_75, VLOOKUP(C$2, Percentiles!$A$45:$I$59, 6, FALSE), perc_90, VLOOKUP(C$2, Percentiles!$A$45:$I$59, 7, FALSE), perc_95, VLOOKUP(C$2, Percentiles!$A$45:$I$59, 8, FALSE), perc_85, perc_75 + (perc_90 - perc_75) * (2/3), converted_stat, '2K_Ratings'!C491, IF(bbgm_stat &gt;= perc_95, converted_stat * 3, IF(bbgm_stat &gt;= perc_90, converted_stat * 2, IF(bbgm_stat &gt;= perc_85, converted_stat * 1.5, converted_stat)))))</f>
        <v/>
      </c>
      <c r="D491" s="30" t="str">
        <f t="array" ref="D491">IF($A491="", "", LET(bbgm_stat, INDEX(Players!$A490:$P490, MATCH(D$2, Players!$A$1:$P$1, 0)), perc_75, VLOOKUP(D$2, Percentiles!$A$45:$I$59, 6, FALSE), perc_90, VLOOKUP(D$2, Percentiles!$A$45:$I$59, 7, FALSE), perc_95, VLOOKUP(D$2, Percentiles!$A$45:$I$59, 8, FALSE), perc_85, perc_75 + (perc_90 - perc_75) * (2/3), converted_stat, '2K_Ratings'!D491, IF(bbgm_stat &gt;= perc_95, converted_stat * 3, IF(bbgm_stat &gt;= perc_90, converted_stat * 2, IF(bbgm_stat &gt;= perc_85, converted_stat * 1.5, converted_stat)))))</f>
        <v/>
      </c>
      <c r="E491" s="30" t="str">
        <f t="array" ref="E491">IF($A491="", "", LET(bbgm_stat, INDEX(Players!$A490:$P490, MATCH(E$2, Players!$A$1:$P$1, 0)), perc_75, VLOOKUP(E$2, Percentiles!$A$45:$I$59, 6, FALSE), perc_90, VLOOKUP(E$2, Percentiles!$A$45:$I$59, 7, FALSE), perc_95, VLOOKUP(E$2, Percentiles!$A$45:$I$59, 8, FALSE), perc_85, perc_75 + (perc_90 - perc_75) * (2/3), converted_stat, '2K_Ratings'!E491, IF(bbgm_stat &gt;= perc_95, converted_stat * 3, IF(bbgm_stat &gt;= perc_90, converted_stat * 2, IF(bbgm_stat &gt;= perc_85, converted_stat * 1.5, converted_stat)))))</f>
        <v/>
      </c>
      <c r="F491" s="30" t="str">
        <f t="array" ref="F491">IF($A491="", "", LET(bbgm_stat, INDEX(Players!$A490:$P490, MATCH(F$2, Players!$A$1:$P$1, 0)), perc_75, VLOOKUP(F$2, Percentiles!$A$45:$I$59, 6, FALSE), perc_90, VLOOKUP(F$2, Percentiles!$A$45:$I$59, 7, FALSE), perc_95, VLOOKUP(F$2, Percentiles!$A$45:$I$59, 8, FALSE), perc_85, perc_75 + (perc_90 - perc_75) * (2/3), converted_stat, '2K_Ratings'!F491, IF(bbgm_stat &gt;= perc_95, converted_stat * 3, IF(bbgm_stat &gt;= perc_90, converted_stat * 2, IF(bbgm_stat &gt;= perc_85, converted_stat * 1.5, converted_stat)))))</f>
        <v/>
      </c>
      <c r="G491" s="30" t="str">
        <f t="array" ref="G491">IF($A491="", "", LET(bbgm_stat, INDEX(Players!$A490:$P490, MATCH(G$2, Players!$A$1:$P$1, 0)), perc_75, VLOOKUP(G$2, Percentiles!$A$45:$I$59, 6, FALSE), perc_90, VLOOKUP(G$2, Percentiles!$A$45:$I$59, 7, FALSE), perc_95, VLOOKUP(G$2, Percentiles!$A$45:$I$59, 8, FALSE), perc_85, perc_75 + (perc_90 - perc_75) * (2/3), converted_stat, '2K_Ratings'!G491, IF(bbgm_stat &gt;= perc_95, converted_stat * 3, IF(bbgm_stat &gt;= perc_90, converted_stat * 2, IF(bbgm_stat &gt;= perc_85, converted_stat * 1.5, converted_stat)))))</f>
        <v/>
      </c>
      <c r="H491" s="30" t="str">
        <f t="array" ref="H491">IF($A491="", "", LET(bbgm_stat, INDEX(Players!$A490:$P490, MATCH(H$2, Players!$A$1:$P$1, 0)), perc_75, VLOOKUP(H$2, Percentiles!$A$45:$I$59, 6, FALSE), perc_90, VLOOKUP(H$2, Percentiles!$A$45:$I$59, 7, FALSE), perc_95, VLOOKUP(H$2, Percentiles!$A$45:$I$59, 8, FALSE), perc_85, perc_75 + (perc_90 - perc_75) * (2/3), converted_stat, '2K_Ratings'!H491, IF(bbgm_stat &gt;= perc_95, converted_stat * 3, IF(bbgm_stat &gt;= perc_90, converted_stat * 2, IF(bbgm_stat &gt;= perc_85, converted_stat * 1.5, converted_stat)))))</f>
        <v/>
      </c>
      <c r="I491" s="30" t="str">
        <f t="array" ref="I491">IF($A491="", "", LET(bbgm_stat, INDEX(Players!$A490:$P490, MATCH(I$2, Players!$A$1:$P$1, 0)), perc_75, VLOOKUP(I$2, Percentiles!$A$45:$I$59, 6, FALSE), perc_90, VLOOKUP(I$2, Percentiles!$A$45:$I$59, 7, FALSE), perc_95, VLOOKUP(I$2, Percentiles!$A$45:$I$59, 8, FALSE), perc_85, perc_75 + (perc_90 - perc_75) * (2/3), converted_stat, '2K_Ratings'!I491, IF(bbgm_stat &gt;= perc_95, converted_stat * 3, IF(bbgm_stat &gt;= perc_90, converted_stat * 2, IF(bbgm_stat &gt;= perc_85, converted_stat * 1.5, converted_stat)))))</f>
        <v/>
      </c>
      <c r="J491" s="30" t="str">
        <f t="array" ref="J491">IF($A491="", "", LET(bbgm_stat, INDEX(Players!$A490:$P490, MATCH(J$2, Players!$A$1:$P$1, 0)), perc_75, VLOOKUP(J$2, Percentiles!$A$45:$I$59, 6, FALSE), perc_90, VLOOKUP(J$2, Percentiles!$A$45:$I$59, 7, FALSE), perc_95, VLOOKUP(J$2, Percentiles!$A$45:$I$59, 8, FALSE), perc_85, perc_75 + (perc_90 - perc_75) * (2/3), converted_stat, '2K_Ratings'!J491, IF(bbgm_stat &gt;= perc_95, converted_stat * 3, IF(bbgm_stat &gt;= perc_90, converted_stat * 2, IF(bbgm_stat &gt;= perc_85, converted_stat * 1.5, converted_stat)))))</f>
        <v/>
      </c>
      <c r="K491" s="30" t="str">
        <f t="array" ref="K491">IF($A491="", "", LET(bbgm_stat, INDEX(Players!$A490:$P490, MATCH(K$2, Players!$A$1:$P$1, 0)), perc_75, VLOOKUP(K$2, Percentiles!$A$45:$I$59, 6, FALSE), perc_90, VLOOKUP(K$2, Percentiles!$A$45:$I$59, 7, FALSE), perc_95, VLOOKUP(K$2, Percentiles!$A$45:$I$59, 8, FALSE), perc_85, perc_75 + (perc_90 - perc_75) * (2/3), converted_stat, '2K_Ratings'!K491, IF(bbgm_stat &gt;= perc_95, converted_stat * 3, IF(bbgm_stat &gt;= perc_90, converted_stat * 2, IF(bbgm_stat &gt;= perc_85, converted_stat * 1.5, converted_stat)))))</f>
        <v/>
      </c>
      <c r="L491" s="30" t="str">
        <f t="array" ref="L491">IF($A491="", "", LET(bbgm_stat, INDEX(Players!$A490:$P490, MATCH(L$2, Players!$A$1:$P$1, 0)), perc_75, VLOOKUP(L$2, Percentiles!$A$45:$I$59, 6, FALSE), perc_90, VLOOKUP(L$2, Percentiles!$A$45:$I$59, 7, FALSE), perc_95, VLOOKUP(L$2, Percentiles!$A$45:$I$59, 8, FALSE), perc_85, perc_75 + (perc_90 - perc_75) * (2/3), converted_stat, '2K_Ratings'!L491, IF(bbgm_stat &gt;= perc_95, converted_stat * 3, IF(bbgm_stat &gt;= perc_90, converted_stat * 2, IF(bbgm_stat &gt;= perc_85, converted_stat * 1.5, converted_stat)))))</f>
        <v/>
      </c>
      <c r="M491" s="30" t="str">
        <f t="array" ref="M491">IF($A491="", "", LET(bbgm_stat, INDEX(Players!$A490:$P490, MATCH(M$2, Players!$A$1:$P$1, 0)), perc_75, VLOOKUP(M$2, Percentiles!$A$45:$I$59, 6, FALSE), perc_90, VLOOKUP(M$2, Percentiles!$A$45:$I$59, 7, FALSE), perc_95, VLOOKUP(M$2, Percentiles!$A$45:$I$59, 8, FALSE), perc_85, perc_75 + (perc_90 - perc_75) * (2/3), converted_stat, '2K_Ratings'!M491, IF(bbgm_stat &gt;= perc_95, converted_stat * 3, IF(bbgm_stat &gt;= perc_90, converted_stat * 2, IF(bbgm_stat &gt;= perc_85, converted_stat * 1.5, converted_stat)))))</f>
        <v/>
      </c>
      <c r="N491" s="30" t="str">
        <f t="array" ref="N491">IF($A491="", "", LET(bbgm_stat, INDEX(Players!$A490:$P490, MATCH(N$2, Players!$A$1:$P$1, 0)), perc_75, VLOOKUP(N$2, Percentiles!$A$45:$I$59, 6, FALSE), perc_90, VLOOKUP(N$2, Percentiles!$A$45:$I$59, 7, FALSE), perc_95, VLOOKUP(N$2, Percentiles!$A$45:$I$59, 8, FALSE), perc_85, perc_75 + (perc_90 - perc_75) * (2/3), converted_stat, '2K_Ratings'!N491, IF(bbgm_stat &gt;= perc_95, converted_stat * 3, IF(bbgm_stat &gt;= perc_90, converted_stat * 2, IF(bbgm_stat &gt;= perc_85, converted_stat * 1.5, converted_stat)))))</f>
        <v/>
      </c>
      <c r="O491" s="30" t="str">
        <f t="array" ref="O491">IF($A491="", "", LET(bbgm_stat, INDEX(Players!$A490:$P490, MATCH(O$2, Players!$A$1:$P$1, 0)), perc_75, VLOOKUP(O$2, Percentiles!$A$45:$I$59, 6, FALSE), perc_90, VLOOKUP(O$2, Percentiles!$A$45:$I$59, 7, FALSE), perc_95, VLOOKUP(O$2, Percentiles!$A$45:$I$59, 8, FALSE), perc_85, perc_75 + (perc_90 - perc_75) * (2/3), converted_stat, '2K_Ratings'!O491, IF(bbgm_stat &gt;= perc_95, converted_stat * 3, IF(bbgm_stat &gt;= perc_90, converted_stat * 2, IF(bbgm_stat &gt;= perc_85, converted_stat * 1.5, converted_stat)))))</f>
        <v/>
      </c>
      <c r="P491" s="30" t="str">
        <f t="array" ref="P491">IF($A491="", "", LET(bbgm_stat, INDEX(Players!$A490:$P490, MATCH(P$2, Players!$A$1:$P$1, 0)), perc_75, VLOOKUP(P$2, Percentiles!$A$45:$I$59, 6, FALSE), perc_90, VLOOKUP(P$2, Percentiles!$A$45:$I$59, 7, FALSE), perc_95, VLOOKUP(P$2, Percentiles!$A$45:$I$59, 8, FALSE), perc_85, perc_75 + (perc_90 - perc_75) * (2/3), converted_stat, '2K_Ratings'!P491, IF(bbgm_stat &gt;= perc_95, converted_stat * 3, IF(bbgm_stat &gt;= perc_90, converted_stat * 2, IF(bbgm_stat &gt;= perc_85, converted_stat * 1.5, converted_stat)))))</f>
        <v/>
      </c>
      <c r="Q491" s="30" t="str">
        <f t="array" ref="Q491">IF($A491="", "", LET(bbgm_stat, INDEX(Players!$A490:$P490, MATCH(Q$2, Players!$A$1:$P$1, 0)), perc_75, VLOOKUP(Q$2, Percentiles!$A$45:$I$59, 6, FALSE), perc_90, VLOOKUP(Q$2, Percentiles!$A$45:$I$59, 7, FALSE), perc_95, VLOOKUP(Q$2, Percentiles!$A$45:$I$59, 8, FALSE), perc_85, perc_75 + (perc_90 - perc_75) * (2/3), converted_stat, '2K_Ratings'!Q491, IF(bbgm_stat &gt;= perc_95, converted_stat * 3, IF(bbgm_stat &gt;= perc_90, converted_stat * 2, IF(bbgm_stat &gt;= perc_85, converted_stat * 1.5, converted_stat)))))</f>
        <v/>
      </c>
      <c r="R491" s="30" t="str">
        <f t="array" ref="R491">IF($A491="", "", LET(bbgm_stat, INDEX(Players!$A490:$P490, MATCH(R$2, Players!$A$1:$P$1, 0)), perc_75, VLOOKUP(R$2, Percentiles!$A$45:$I$59, 6, FALSE), perc_90, VLOOKUP(R$2, Percentiles!$A$45:$I$59, 7, FALSE), perc_95, VLOOKUP(R$2, Percentiles!$A$45:$I$59, 8, FALSE), perc_85, perc_75 + (perc_90 - perc_75) * (2/3), converted_stat, '2K_Ratings'!R491, IF(bbgm_stat &gt;= perc_95, converted_stat * 3, IF(bbgm_stat &gt;= perc_90, converted_stat * 2, IF(bbgm_stat &gt;= perc_85, converted_stat * 1.5, converted_stat)))))</f>
        <v/>
      </c>
      <c r="S491" s="30" t="str">
        <f t="array" ref="S491">IF($A491="", "", LET(bbgm_stat, INDEX(Players!$A490:$P490, MATCH(S$2, Players!$A$1:$P$1, 0)), perc_75, VLOOKUP(S$2, Percentiles!$A$45:$I$59, 6, FALSE), perc_90, VLOOKUP(S$2, Percentiles!$A$45:$I$59, 7, FALSE), perc_95, VLOOKUP(S$2, Percentiles!$A$45:$I$59, 8, FALSE), perc_85, perc_75 + (perc_90 - perc_75) * (2/3), converted_stat, '2K_Ratings'!S491, IF(bbgm_stat &gt;= perc_95, converted_stat * 3, IF(bbgm_stat &gt;= perc_90, converted_stat * 2, IF(bbgm_stat &gt;= perc_85, converted_stat * 1.5, converted_stat)))))</f>
        <v/>
      </c>
      <c r="T491" s="30" t="str">
        <f t="array" ref="T491">IF($A491="", "", LET(bbgm_stat, INDEX(Players!$A490:$P490, MATCH(T$2, Players!$A$1:$P$1, 0)), perc_75, VLOOKUP(T$2, Percentiles!$A$45:$I$59, 6, FALSE), perc_90, VLOOKUP(T$2, Percentiles!$A$45:$I$59, 7, FALSE), perc_95, VLOOKUP(T$2, Percentiles!$A$45:$I$59, 8, FALSE), perc_85, perc_75 + (perc_90 - perc_75) * (2/3), converted_stat, '2K_Ratings'!T491, IF(bbgm_stat &gt;= perc_95, converted_stat * 3, IF(bbgm_stat &gt;= perc_90, converted_stat * 2, IF(bbgm_stat &gt;= perc_85, converted_stat * 1.5, converted_stat)))))</f>
        <v/>
      </c>
      <c r="U491" s="30" t="str">
        <f t="array" ref="U491">IF($A491="", "", LET(bbgm_stat, INDEX(Players!$A490:$P490, MATCH(U$2, Players!$A$1:$P$1, 0)), perc_75, VLOOKUP(U$2, Percentiles!$A$45:$I$59, 6, FALSE), perc_90, VLOOKUP(U$2, Percentiles!$A$45:$I$59, 7, FALSE), perc_95, VLOOKUP(U$2, Percentiles!$A$45:$I$59, 8, FALSE), perc_85, perc_75 + (perc_90 - perc_75) * (2/3), converted_stat, '2K_Ratings'!U491, IF(bbgm_stat &gt;= perc_95, converted_stat * 3, IF(bbgm_stat &gt;= perc_90, converted_stat * 2, IF(bbgm_stat &gt;= perc_85, converted_stat * 1.5, converted_stat)))))</f>
        <v/>
      </c>
      <c r="V491" s="30" t="str">
        <f t="array" ref="V491">IF($A491="", "", LET(bbgm_stat, INDEX(Players!$A490:$P490, MATCH(V$2, Players!$A$1:$P$1, 0)), perc_75, VLOOKUP(V$2, Percentiles!$A$45:$I$59, 6, FALSE), perc_90, VLOOKUP(V$2, Percentiles!$A$45:$I$59, 7, FALSE), perc_95, VLOOKUP(V$2, Percentiles!$A$45:$I$59, 8, FALSE), perc_85, perc_75 + (perc_90 - perc_75) * (2/3), converted_stat, '2K_Ratings'!V491, IF(bbgm_stat &gt;= perc_95, converted_stat * 3, IF(bbgm_stat &gt;= perc_90, converted_stat * 2, IF(bbgm_stat &gt;= perc_85, converted_stat * 1.5, converted_stat)))))</f>
        <v/>
      </c>
      <c r="W491" s="30" t="str">
        <f t="array" ref="W491">IF($A491="", "", LET(bbgm_stat, INDEX(Players!$A490:$P490, MATCH(W$2, Players!$A$1:$P$1, 0)), perc_75, VLOOKUP(W$2, Percentiles!$A$45:$I$59, 6, FALSE), perc_90, VLOOKUP(W$2, Percentiles!$A$45:$I$59, 7, FALSE), perc_95, VLOOKUP(W$2, Percentiles!$A$45:$I$59, 8, FALSE), perc_85, perc_75 + (perc_90 - perc_75) * (2/3), converted_stat, '2K_Ratings'!W491, IF(bbgm_stat &gt;= perc_95, converted_stat * 3, IF(bbgm_stat &gt;= perc_90, converted_stat * 2, IF(bbgm_stat &gt;= perc_85, converted_stat * 1.5, converted_stat)))))</f>
        <v/>
      </c>
    </row>
    <row r="492">
      <c r="A492" s="30"/>
      <c r="B492" s="30" t="str">
        <f t="array" ref="B492">IF($A492="", "", LET(bbgm_stat, INDEX(Players!$A491:$P491, MATCH(B$2, Players!$A$1:$P$1, 0)), perc_75, VLOOKUP(B$2, Percentiles!$A$45:$I$59, 6, FALSE), perc_90, VLOOKUP(B$2, Percentiles!$A$45:$I$59, 7, FALSE), perc_95, VLOOKUP(B$2, Percentiles!$A$45:$I$59, 8, FALSE), perc_85, perc_75 + (perc_90 - perc_75) * (2/3), converted_stat, '2K_Ratings'!B492, IF(bbgm_stat &gt;= perc_95, converted_stat * 3, IF(bbgm_stat &gt;= perc_90, converted_stat * 2, IF(bbgm_stat &gt;= perc_85, converted_stat * 1.5, converted_stat)))))</f>
        <v/>
      </c>
      <c r="C492" s="30" t="str">
        <f t="array" ref="C492">IF($A492="", "", LET(bbgm_stat, INDEX(Players!$A491:$P491, MATCH(C$2, Players!$A$1:$P$1, 0)), perc_75, VLOOKUP(C$2, Percentiles!$A$45:$I$59, 6, FALSE), perc_90, VLOOKUP(C$2, Percentiles!$A$45:$I$59, 7, FALSE), perc_95, VLOOKUP(C$2, Percentiles!$A$45:$I$59, 8, FALSE), perc_85, perc_75 + (perc_90 - perc_75) * (2/3), converted_stat, '2K_Ratings'!C492, IF(bbgm_stat &gt;= perc_95, converted_stat * 3, IF(bbgm_stat &gt;= perc_90, converted_stat * 2, IF(bbgm_stat &gt;= perc_85, converted_stat * 1.5, converted_stat)))))</f>
        <v/>
      </c>
      <c r="D492" s="30" t="str">
        <f t="array" ref="D492">IF($A492="", "", LET(bbgm_stat, INDEX(Players!$A491:$P491, MATCH(D$2, Players!$A$1:$P$1, 0)), perc_75, VLOOKUP(D$2, Percentiles!$A$45:$I$59, 6, FALSE), perc_90, VLOOKUP(D$2, Percentiles!$A$45:$I$59, 7, FALSE), perc_95, VLOOKUP(D$2, Percentiles!$A$45:$I$59, 8, FALSE), perc_85, perc_75 + (perc_90 - perc_75) * (2/3), converted_stat, '2K_Ratings'!D492, IF(bbgm_stat &gt;= perc_95, converted_stat * 3, IF(bbgm_stat &gt;= perc_90, converted_stat * 2, IF(bbgm_stat &gt;= perc_85, converted_stat * 1.5, converted_stat)))))</f>
        <v/>
      </c>
      <c r="E492" s="30" t="str">
        <f t="array" ref="E492">IF($A492="", "", LET(bbgm_stat, INDEX(Players!$A491:$P491, MATCH(E$2, Players!$A$1:$P$1, 0)), perc_75, VLOOKUP(E$2, Percentiles!$A$45:$I$59, 6, FALSE), perc_90, VLOOKUP(E$2, Percentiles!$A$45:$I$59, 7, FALSE), perc_95, VLOOKUP(E$2, Percentiles!$A$45:$I$59, 8, FALSE), perc_85, perc_75 + (perc_90 - perc_75) * (2/3), converted_stat, '2K_Ratings'!E492, IF(bbgm_stat &gt;= perc_95, converted_stat * 3, IF(bbgm_stat &gt;= perc_90, converted_stat * 2, IF(bbgm_stat &gt;= perc_85, converted_stat * 1.5, converted_stat)))))</f>
        <v/>
      </c>
      <c r="F492" s="30" t="str">
        <f t="array" ref="F492">IF($A492="", "", LET(bbgm_stat, INDEX(Players!$A491:$P491, MATCH(F$2, Players!$A$1:$P$1, 0)), perc_75, VLOOKUP(F$2, Percentiles!$A$45:$I$59, 6, FALSE), perc_90, VLOOKUP(F$2, Percentiles!$A$45:$I$59, 7, FALSE), perc_95, VLOOKUP(F$2, Percentiles!$A$45:$I$59, 8, FALSE), perc_85, perc_75 + (perc_90 - perc_75) * (2/3), converted_stat, '2K_Ratings'!F492, IF(bbgm_stat &gt;= perc_95, converted_stat * 3, IF(bbgm_stat &gt;= perc_90, converted_stat * 2, IF(bbgm_stat &gt;= perc_85, converted_stat * 1.5, converted_stat)))))</f>
        <v/>
      </c>
      <c r="G492" s="30" t="str">
        <f t="array" ref="G492">IF($A492="", "", LET(bbgm_stat, INDEX(Players!$A491:$P491, MATCH(G$2, Players!$A$1:$P$1, 0)), perc_75, VLOOKUP(G$2, Percentiles!$A$45:$I$59, 6, FALSE), perc_90, VLOOKUP(G$2, Percentiles!$A$45:$I$59, 7, FALSE), perc_95, VLOOKUP(G$2, Percentiles!$A$45:$I$59, 8, FALSE), perc_85, perc_75 + (perc_90 - perc_75) * (2/3), converted_stat, '2K_Ratings'!G492, IF(bbgm_stat &gt;= perc_95, converted_stat * 3, IF(bbgm_stat &gt;= perc_90, converted_stat * 2, IF(bbgm_stat &gt;= perc_85, converted_stat * 1.5, converted_stat)))))</f>
        <v/>
      </c>
      <c r="H492" s="30" t="str">
        <f t="array" ref="H492">IF($A492="", "", LET(bbgm_stat, INDEX(Players!$A491:$P491, MATCH(H$2, Players!$A$1:$P$1, 0)), perc_75, VLOOKUP(H$2, Percentiles!$A$45:$I$59, 6, FALSE), perc_90, VLOOKUP(H$2, Percentiles!$A$45:$I$59, 7, FALSE), perc_95, VLOOKUP(H$2, Percentiles!$A$45:$I$59, 8, FALSE), perc_85, perc_75 + (perc_90 - perc_75) * (2/3), converted_stat, '2K_Ratings'!H492, IF(bbgm_stat &gt;= perc_95, converted_stat * 3, IF(bbgm_stat &gt;= perc_90, converted_stat * 2, IF(bbgm_stat &gt;= perc_85, converted_stat * 1.5, converted_stat)))))</f>
        <v/>
      </c>
      <c r="I492" s="30" t="str">
        <f t="array" ref="I492">IF($A492="", "", LET(bbgm_stat, INDEX(Players!$A491:$P491, MATCH(I$2, Players!$A$1:$P$1, 0)), perc_75, VLOOKUP(I$2, Percentiles!$A$45:$I$59, 6, FALSE), perc_90, VLOOKUP(I$2, Percentiles!$A$45:$I$59, 7, FALSE), perc_95, VLOOKUP(I$2, Percentiles!$A$45:$I$59, 8, FALSE), perc_85, perc_75 + (perc_90 - perc_75) * (2/3), converted_stat, '2K_Ratings'!I492, IF(bbgm_stat &gt;= perc_95, converted_stat * 3, IF(bbgm_stat &gt;= perc_90, converted_stat * 2, IF(bbgm_stat &gt;= perc_85, converted_stat * 1.5, converted_stat)))))</f>
        <v/>
      </c>
      <c r="J492" s="30" t="str">
        <f t="array" ref="J492">IF($A492="", "", LET(bbgm_stat, INDEX(Players!$A491:$P491, MATCH(J$2, Players!$A$1:$P$1, 0)), perc_75, VLOOKUP(J$2, Percentiles!$A$45:$I$59, 6, FALSE), perc_90, VLOOKUP(J$2, Percentiles!$A$45:$I$59, 7, FALSE), perc_95, VLOOKUP(J$2, Percentiles!$A$45:$I$59, 8, FALSE), perc_85, perc_75 + (perc_90 - perc_75) * (2/3), converted_stat, '2K_Ratings'!J492, IF(bbgm_stat &gt;= perc_95, converted_stat * 3, IF(bbgm_stat &gt;= perc_90, converted_stat * 2, IF(bbgm_stat &gt;= perc_85, converted_stat * 1.5, converted_stat)))))</f>
        <v/>
      </c>
      <c r="K492" s="30" t="str">
        <f t="array" ref="K492">IF($A492="", "", LET(bbgm_stat, INDEX(Players!$A491:$P491, MATCH(K$2, Players!$A$1:$P$1, 0)), perc_75, VLOOKUP(K$2, Percentiles!$A$45:$I$59, 6, FALSE), perc_90, VLOOKUP(K$2, Percentiles!$A$45:$I$59, 7, FALSE), perc_95, VLOOKUP(K$2, Percentiles!$A$45:$I$59, 8, FALSE), perc_85, perc_75 + (perc_90 - perc_75) * (2/3), converted_stat, '2K_Ratings'!K492, IF(bbgm_stat &gt;= perc_95, converted_stat * 3, IF(bbgm_stat &gt;= perc_90, converted_stat * 2, IF(bbgm_stat &gt;= perc_85, converted_stat * 1.5, converted_stat)))))</f>
        <v/>
      </c>
      <c r="L492" s="30" t="str">
        <f t="array" ref="L492">IF($A492="", "", LET(bbgm_stat, INDEX(Players!$A491:$P491, MATCH(L$2, Players!$A$1:$P$1, 0)), perc_75, VLOOKUP(L$2, Percentiles!$A$45:$I$59, 6, FALSE), perc_90, VLOOKUP(L$2, Percentiles!$A$45:$I$59, 7, FALSE), perc_95, VLOOKUP(L$2, Percentiles!$A$45:$I$59, 8, FALSE), perc_85, perc_75 + (perc_90 - perc_75) * (2/3), converted_stat, '2K_Ratings'!L492, IF(bbgm_stat &gt;= perc_95, converted_stat * 3, IF(bbgm_stat &gt;= perc_90, converted_stat * 2, IF(bbgm_stat &gt;= perc_85, converted_stat * 1.5, converted_stat)))))</f>
        <v/>
      </c>
      <c r="M492" s="30" t="str">
        <f t="array" ref="M492">IF($A492="", "", LET(bbgm_stat, INDEX(Players!$A491:$P491, MATCH(M$2, Players!$A$1:$P$1, 0)), perc_75, VLOOKUP(M$2, Percentiles!$A$45:$I$59, 6, FALSE), perc_90, VLOOKUP(M$2, Percentiles!$A$45:$I$59, 7, FALSE), perc_95, VLOOKUP(M$2, Percentiles!$A$45:$I$59, 8, FALSE), perc_85, perc_75 + (perc_90 - perc_75) * (2/3), converted_stat, '2K_Ratings'!M492, IF(bbgm_stat &gt;= perc_95, converted_stat * 3, IF(bbgm_stat &gt;= perc_90, converted_stat * 2, IF(bbgm_stat &gt;= perc_85, converted_stat * 1.5, converted_stat)))))</f>
        <v/>
      </c>
      <c r="N492" s="30" t="str">
        <f t="array" ref="N492">IF($A492="", "", LET(bbgm_stat, INDEX(Players!$A491:$P491, MATCH(N$2, Players!$A$1:$P$1, 0)), perc_75, VLOOKUP(N$2, Percentiles!$A$45:$I$59, 6, FALSE), perc_90, VLOOKUP(N$2, Percentiles!$A$45:$I$59, 7, FALSE), perc_95, VLOOKUP(N$2, Percentiles!$A$45:$I$59, 8, FALSE), perc_85, perc_75 + (perc_90 - perc_75) * (2/3), converted_stat, '2K_Ratings'!N492, IF(bbgm_stat &gt;= perc_95, converted_stat * 3, IF(bbgm_stat &gt;= perc_90, converted_stat * 2, IF(bbgm_stat &gt;= perc_85, converted_stat * 1.5, converted_stat)))))</f>
        <v/>
      </c>
      <c r="O492" s="30" t="str">
        <f t="array" ref="O492">IF($A492="", "", LET(bbgm_stat, INDEX(Players!$A491:$P491, MATCH(O$2, Players!$A$1:$P$1, 0)), perc_75, VLOOKUP(O$2, Percentiles!$A$45:$I$59, 6, FALSE), perc_90, VLOOKUP(O$2, Percentiles!$A$45:$I$59, 7, FALSE), perc_95, VLOOKUP(O$2, Percentiles!$A$45:$I$59, 8, FALSE), perc_85, perc_75 + (perc_90 - perc_75) * (2/3), converted_stat, '2K_Ratings'!O492, IF(bbgm_stat &gt;= perc_95, converted_stat * 3, IF(bbgm_stat &gt;= perc_90, converted_stat * 2, IF(bbgm_stat &gt;= perc_85, converted_stat * 1.5, converted_stat)))))</f>
        <v/>
      </c>
      <c r="P492" s="30" t="str">
        <f t="array" ref="P492">IF($A492="", "", LET(bbgm_stat, INDEX(Players!$A491:$P491, MATCH(P$2, Players!$A$1:$P$1, 0)), perc_75, VLOOKUP(P$2, Percentiles!$A$45:$I$59, 6, FALSE), perc_90, VLOOKUP(P$2, Percentiles!$A$45:$I$59, 7, FALSE), perc_95, VLOOKUP(P$2, Percentiles!$A$45:$I$59, 8, FALSE), perc_85, perc_75 + (perc_90 - perc_75) * (2/3), converted_stat, '2K_Ratings'!P492, IF(bbgm_stat &gt;= perc_95, converted_stat * 3, IF(bbgm_stat &gt;= perc_90, converted_stat * 2, IF(bbgm_stat &gt;= perc_85, converted_stat * 1.5, converted_stat)))))</f>
        <v/>
      </c>
      <c r="Q492" s="30" t="str">
        <f t="array" ref="Q492">IF($A492="", "", LET(bbgm_stat, INDEX(Players!$A491:$P491, MATCH(Q$2, Players!$A$1:$P$1, 0)), perc_75, VLOOKUP(Q$2, Percentiles!$A$45:$I$59, 6, FALSE), perc_90, VLOOKUP(Q$2, Percentiles!$A$45:$I$59, 7, FALSE), perc_95, VLOOKUP(Q$2, Percentiles!$A$45:$I$59, 8, FALSE), perc_85, perc_75 + (perc_90 - perc_75) * (2/3), converted_stat, '2K_Ratings'!Q492, IF(bbgm_stat &gt;= perc_95, converted_stat * 3, IF(bbgm_stat &gt;= perc_90, converted_stat * 2, IF(bbgm_stat &gt;= perc_85, converted_stat * 1.5, converted_stat)))))</f>
        <v/>
      </c>
      <c r="R492" s="30" t="str">
        <f t="array" ref="R492">IF($A492="", "", LET(bbgm_stat, INDEX(Players!$A491:$P491, MATCH(R$2, Players!$A$1:$P$1, 0)), perc_75, VLOOKUP(R$2, Percentiles!$A$45:$I$59, 6, FALSE), perc_90, VLOOKUP(R$2, Percentiles!$A$45:$I$59, 7, FALSE), perc_95, VLOOKUP(R$2, Percentiles!$A$45:$I$59, 8, FALSE), perc_85, perc_75 + (perc_90 - perc_75) * (2/3), converted_stat, '2K_Ratings'!R492, IF(bbgm_stat &gt;= perc_95, converted_stat * 3, IF(bbgm_stat &gt;= perc_90, converted_stat * 2, IF(bbgm_stat &gt;= perc_85, converted_stat * 1.5, converted_stat)))))</f>
        <v/>
      </c>
      <c r="S492" s="30" t="str">
        <f t="array" ref="S492">IF($A492="", "", LET(bbgm_stat, INDEX(Players!$A491:$P491, MATCH(S$2, Players!$A$1:$P$1, 0)), perc_75, VLOOKUP(S$2, Percentiles!$A$45:$I$59, 6, FALSE), perc_90, VLOOKUP(S$2, Percentiles!$A$45:$I$59, 7, FALSE), perc_95, VLOOKUP(S$2, Percentiles!$A$45:$I$59, 8, FALSE), perc_85, perc_75 + (perc_90 - perc_75) * (2/3), converted_stat, '2K_Ratings'!S492, IF(bbgm_stat &gt;= perc_95, converted_stat * 3, IF(bbgm_stat &gt;= perc_90, converted_stat * 2, IF(bbgm_stat &gt;= perc_85, converted_stat * 1.5, converted_stat)))))</f>
        <v/>
      </c>
      <c r="T492" s="30" t="str">
        <f t="array" ref="T492">IF($A492="", "", LET(bbgm_stat, INDEX(Players!$A491:$P491, MATCH(T$2, Players!$A$1:$P$1, 0)), perc_75, VLOOKUP(T$2, Percentiles!$A$45:$I$59, 6, FALSE), perc_90, VLOOKUP(T$2, Percentiles!$A$45:$I$59, 7, FALSE), perc_95, VLOOKUP(T$2, Percentiles!$A$45:$I$59, 8, FALSE), perc_85, perc_75 + (perc_90 - perc_75) * (2/3), converted_stat, '2K_Ratings'!T492, IF(bbgm_stat &gt;= perc_95, converted_stat * 3, IF(bbgm_stat &gt;= perc_90, converted_stat * 2, IF(bbgm_stat &gt;= perc_85, converted_stat * 1.5, converted_stat)))))</f>
        <v/>
      </c>
      <c r="U492" s="30" t="str">
        <f t="array" ref="U492">IF($A492="", "", LET(bbgm_stat, INDEX(Players!$A491:$P491, MATCH(U$2, Players!$A$1:$P$1, 0)), perc_75, VLOOKUP(U$2, Percentiles!$A$45:$I$59, 6, FALSE), perc_90, VLOOKUP(U$2, Percentiles!$A$45:$I$59, 7, FALSE), perc_95, VLOOKUP(U$2, Percentiles!$A$45:$I$59, 8, FALSE), perc_85, perc_75 + (perc_90 - perc_75) * (2/3), converted_stat, '2K_Ratings'!U492, IF(bbgm_stat &gt;= perc_95, converted_stat * 3, IF(bbgm_stat &gt;= perc_90, converted_stat * 2, IF(bbgm_stat &gt;= perc_85, converted_stat * 1.5, converted_stat)))))</f>
        <v/>
      </c>
      <c r="V492" s="30" t="str">
        <f t="array" ref="V492">IF($A492="", "", LET(bbgm_stat, INDEX(Players!$A491:$P491, MATCH(V$2, Players!$A$1:$P$1, 0)), perc_75, VLOOKUP(V$2, Percentiles!$A$45:$I$59, 6, FALSE), perc_90, VLOOKUP(V$2, Percentiles!$A$45:$I$59, 7, FALSE), perc_95, VLOOKUP(V$2, Percentiles!$A$45:$I$59, 8, FALSE), perc_85, perc_75 + (perc_90 - perc_75) * (2/3), converted_stat, '2K_Ratings'!V492, IF(bbgm_stat &gt;= perc_95, converted_stat * 3, IF(bbgm_stat &gt;= perc_90, converted_stat * 2, IF(bbgm_stat &gt;= perc_85, converted_stat * 1.5, converted_stat)))))</f>
        <v/>
      </c>
      <c r="W492" s="30" t="str">
        <f t="array" ref="W492">IF($A492="", "", LET(bbgm_stat, INDEX(Players!$A491:$P491, MATCH(W$2, Players!$A$1:$P$1, 0)), perc_75, VLOOKUP(W$2, Percentiles!$A$45:$I$59, 6, FALSE), perc_90, VLOOKUP(W$2, Percentiles!$A$45:$I$59, 7, FALSE), perc_95, VLOOKUP(W$2, Percentiles!$A$45:$I$59, 8, FALSE), perc_85, perc_75 + (perc_90 - perc_75) * (2/3), converted_stat, '2K_Ratings'!W492, IF(bbgm_stat &gt;= perc_95, converted_stat * 3, IF(bbgm_stat &gt;= perc_90, converted_stat * 2, IF(bbgm_stat &gt;= perc_85, converted_stat * 1.5, converted_stat)))))</f>
        <v/>
      </c>
    </row>
    <row r="493">
      <c r="A493" s="30"/>
      <c r="B493" s="30" t="str">
        <f t="array" ref="B493">IF($A493="", "", LET(bbgm_stat, INDEX(Players!$A492:$P492, MATCH(B$2, Players!$A$1:$P$1, 0)), perc_75, VLOOKUP(B$2, Percentiles!$A$45:$I$59, 6, FALSE), perc_90, VLOOKUP(B$2, Percentiles!$A$45:$I$59, 7, FALSE), perc_95, VLOOKUP(B$2, Percentiles!$A$45:$I$59, 8, FALSE), perc_85, perc_75 + (perc_90 - perc_75) * (2/3), converted_stat, '2K_Ratings'!B493, IF(bbgm_stat &gt;= perc_95, converted_stat * 3, IF(bbgm_stat &gt;= perc_90, converted_stat * 2, IF(bbgm_stat &gt;= perc_85, converted_stat * 1.5, converted_stat)))))</f>
        <v/>
      </c>
      <c r="C493" s="30" t="str">
        <f t="array" ref="C493">IF($A493="", "", LET(bbgm_stat, INDEX(Players!$A492:$P492, MATCH(C$2, Players!$A$1:$P$1, 0)), perc_75, VLOOKUP(C$2, Percentiles!$A$45:$I$59, 6, FALSE), perc_90, VLOOKUP(C$2, Percentiles!$A$45:$I$59, 7, FALSE), perc_95, VLOOKUP(C$2, Percentiles!$A$45:$I$59, 8, FALSE), perc_85, perc_75 + (perc_90 - perc_75) * (2/3), converted_stat, '2K_Ratings'!C493, IF(bbgm_stat &gt;= perc_95, converted_stat * 3, IF(bbgm_stat &gt;= perc_90, converted_stat * 2, IF(bbgm_stat &gt;= perc_85, converted_stat * 1.5, converted_stat)))))</f>
        <v/>
      </c>
      <c r="D493" s="30" t="str">
        <f t="array" ref="D493">IF($A493="", "", LET(bbgm_stat, INDEX(Players!$A492:$P492, MATCH(D$2, Players!$A$1:$P$1, 0)), perc_75, VLOOKUP(D$2, Percentiles!$A$45:$I$59, 6, FALSE), perc_90, VLOOKUP(D$2, Percentiles!$A$45:$I$59, 7, FALSE), perc_95, VLOOKUP(D$2, Percentiles!$A$45:$I$59, 8, FALSE), perc_85, perc_75 + (perc_90 - perc_75) * (2/3), converted_stat, '2K_Ratings'!D493, IF(bbgm_stat &gt;= perc_95, converted_stat * 3, IF(bbgm_stat &gt;= perc_90, converted_stat * 2, IF(bbgm_stat &gt;= perc_85, converted_stat * 1.5, converted_stat)))))</f>
        <v/>
      </c>
      <c r="E493" s="30" t="str">
        <f t="array" ref="E493">IF($A493="", "", LET(bbgm_stat, INDEX(Players!$A492:$P492, MATCH(E$2, Players!$A$1:$P$1, 0)), perc_75, VLOOKUP(E$2, Percentiles!$A$45:$I$59, 6, FALSE), perc_90, VLOOKUP(E$2, Percentiles!$A$45:$I$59, 7, FALSE), perc_95, VLOOKUP(E$2, Percentiles!$A$45:$I$59, 8, FALSE), perc_85, perc_75 + (perc_90 - perc_75) * (2/3), converted_stat, '2K_Ratings'!E493, IF(bbgm_stat &gt;= perc_95, converted_stat * 3, IF(bbgm_stat &gt;= perc_90, converted_stat * 2, IF(bbgm_stat &gt;= perc_85, converted_stat * 1.5, converted_stat)))))</f>
        <v/>
      </c>
      <c r="F493" s="30" t="str">
        <f t="array" ref="F493">IF($A493="", "", LET(bbgm_stat, INDEX(Players!$A492:$P492, MATCH(F$2, Players!$A$1:$P$1, 0)), perc_75, VLOOKUP(F$2, Percentiles!$A$45:$I$59, 6, FALSE), perc_90, VLOOKUP(F$2, Percentiles!$A$45:$I$59, 7, FALSE), perc_95, VLOOKUP(F$2, Percentiles!$A$45:$I$59, 8, FALSE), perc_85, perc_75 + (perc_90 - perc_75) * (2/3), converted_stat, '2K_Ratings'!F493, IF(bbgm_stat &gt;= perc_95, converted_stat * 3, IF(bbgm_stat &gt;= perc_90, converted_stat * 2, IF(bbgm_stat &gt;= perc_85, converted_stat * 1.5, converted_stat)))))</f>
        <v/>
      </c>
      <c r="G493" s="30" t="str">
        <f t="array" ref="G493">IF($A493="", "", LET(bbgm_stat, INDEX(Players!$A492:$P492, MATCH(G$2, Players!$A$1:$P$1, 0)), perc_75, VLOOKUP(G$2, Percentiles!$A$45:$I$59, 6, FALSE), perc_90, VLOOKUP(G$2, Percentiles!$A$45:$I$59, 7, FALSE), perc_95, VLOOKUP(G$2, Percentiles!$A$45:$I$59, 8, FALSE), perc_85, perc_75 + (perc_90 - perc_75) * (2/3), converted_stat, '2K_Ratings'!G493, IF(bbgm_stat &gt;= perc_95, converted_stat * 3, IF(bbgm_stat &gt;= perc_90, converted_stat * 2, IF(bbgm_stat &gt;= perc_85, converted_stat * 1.5, converted_stat)))))</f>
        <v/>
      </c>
      <c r="H493" s="30" t="str">
        <f t="array" ref="H493">IF($A493="", "", LET(bbgm_stat, INDEX(Players!$A492:$P492, MATCH(H$2, Players!$A$1:$P$1, 0)), perc_75, VLOOKUP(H$2, Percentiles!$A$45:$I$59, 6, FALSE), perc_90, VLOOKUP(H$2, Percentiles!$A$45:$I$59, 7, FALSE), perc_95, VLOOKUP(H$2, Percentiles!$A$45:$I$59, 8, FALSE), perc_85, perc_75 + (perc_90 - perc_75) * (2/3), converted_stat, '2K_Ratings'!H493, IF(bbgm_stat &gt;= perc_95, converted_stat * 3, IF(bbgm_stat &gt;= perc_90, converted_stat * 2, IF(bbgm_stat &gt;= perc_85, converted_stat * 1.5, converted_stat)))))</f>
        <v/>
      </c>
      <c r="I493" s="30" t="str">
        <f t="array" ref="I493">IF($A493="", "", LET(bbgm_stat, INDEX(Players!$A492:$P492, MATCH(I$2, Players!$A$1:$P$1, 0)), perc_75, VLOOKUP(I$2, Percentiles!$A$45:$I$59, 6, FALSE), perc_90, VLOOKUP(I$2, Percentiles!$A$45:$I$59, 7, FALSE), perc_95, VLOOKUP(I$2, Percentiles!$A$45:$I$59, 8, FALSE), perc_85, perc_75 + (perc_90 - perc_75) * (2/3), converted_stat, '2K_Ratings'!I493, IF(bbgm_stat &gt;= perc_95, converted_stat * 3, IF(bbgm_stat &gt;= perc_90, converted_stat * 2, IF(bbgm_stat &gt;= perc_85, converted_stat * 1.5, converted_stat)))))</f>
        <v/>
      </c>
      <c r="J493" s="30" t="str">
        <f t="array" ref="J493">IF($A493="", "", LET(bbgm_stat, INDEX(Players!$A492:$P492, MATCH(J$2, Players!$A$1:$P$1, 0)), perc_75, VLOOKUP(J$2, Percentiles!$A$45:$I$59, 6, FALSE), perc_90, VLOOKUP(J$2, Percentiles!$A$45:$I$59, 7, FALSE), perc_95, VLOOKUP(J$2, Percentiles!$A$45:$I$59, 8, FALSE), perc_85, perc_75 + (perc_90 - perc_75) * (2/3), converted_stat, '2K_Ratings'!J493, IF(bbgm_stat &gt;= perc_95, converted_stat * 3, IF(bbgm_stat &gt;= perc_90, converted_stat * 2, IF(bbgm_stat &gt;= perc_85, converted_stat * 1.5, converted_stat)))))</f>
        <v/>
      </c>
      <c r="K493" s="30" t="str">
        <f t="array" ref="K493">IF($A493="", "", LET(bbgm_stat, INDEX(Players!$A492:$P492, MATCH(K$2, Players!$A$1:$P$1, 0)), perc_75, VLOOKUP(K$2, Percentiles!$A$45:$I$59, 6, FALSE), perc_90, VLOOKUP(K$2, Percentiles!$A$45:$I$59, 7, FALSE), perc_95, VLOOKUP(K$2, Percentiles!$A$45:$I$59, 8, FALSE), perc_85, perc_75 + (perc_90 - perc_75) * (2/3), converted_stat, '2K_Ratings'!K493, IF(bbgm_stat &gt;= perc_95, converted_stat * 3, IF(bbgm_stat &gt;= perc_90, converted_stat * 2, IF(bbgm_stat &gt;= perc_85, converted_stat * 1.5, converted_stat)))))</f>
        <v/>
      </c>
      <c r="L493" s="30" t="str">
        <f t="array" ref="L493">IF($A493="", "", LET(bbgm_stat, INDEX(Players!$A492:$P492, MATCH(L$2, Players!$A$1:$P$1, 0)), perc_75, VLOOKUP(L$2, Percentiles!$A$45:$I$59, 6, FALSE), perc_90, VLOOKUP(L$2, Percentiles!$A$45:$I$59, 7, FALSE), perc_95, VLOOKUP(L$2, Percentiles!$A$45:$I$59, 8, FALSE), perc_85, perc_75 + (perc_90 - perc_75) * (2/3), converted_stat, '2K_Ratings'!L493, IF(bbgm_stat &gt;= perc_95, converted_stat * 3, IF(bbgm_stat &gt;= perc_90, converted_stat * 2, IF(bbgm_stat &gt;= perc_85, converted_stat * 1.5, converted_stat)))))</f>
        <v/>
      </c>
      <c r="M493" s="30" t="str">
        <f t="array" ref="M493">IF($A493="", "", LET(bbgm_stat, INDEX(Players!$A492:$P492, MATCH(M$2, Players!$A$1:$P$1, 0)), perc_75, VLOOKUP(M$2, Percentiles!$A$45:$I$59, 6, FALSE), perc_90, VLOOKUP(M$2, Percentiles!$A$45:$I$59, 7, FALSE), perc_95, VLOOKUP(M$2, Percentiles!$A$45:$I$59, 8, FALSE), perc_85, perc_75 + (perc_90 - perc_75) * (2/3), converted_stat, '2K_Ratings'!M493, IF(bbgm_stat &gt;= perc_95, converted_stat * 3, IF(bbgm_stat &gt;= perc_90, converted_stat * 2, IF(bbgm_stat &gt;= perc_85, converted_stat * 1.5, converted_stat)))))</f>
        <v/>
      </c>
      <c r="N493" s="30" t="str">
        <f t="array" ref="N493">IF($A493="", "", LET(bbgm_stat, INDEX(Players!$A492:$P492, MATCH(N$2, Players!$A$1:$P$1, 0)), perc_75, VLOOKUP(N$2, Percentiles!$A$45:$I$59, 6, FALSE), perc_90, VLOOKUP(N$2, Percentiles!$A$45:$I$59, 7, FALSE), perc_95, VLOOKUP(N$2, Percentiles!$A$45:$I$59, 8, FALSE), perc_85, perc_75 + (perc_90 - perc_75) * (2/3), converted_stat, '2K_Ratings'!N493, IF(bbgm_stat &gt;= perc_95, converted_stat * 3, IF(bbgm_stat &gt;= perc_90, converted_stat * 2, IF(bbgm_stat &gt;= perc_85, converted_stat * 1.5, converted_stat)))))</f>
        <v/>
      </c>
      <c r="O493" s="30" t="str">
        <f t="array" ref="O493">IF($A493="", "", LET(bbgm_stat, INDEX(Players!$A492:$P492, MATCH(O$2, Players!$A$1:$P$1, 0)), perc_75, VLOOKUP(O$2, Percentiles!$A$45:$I$59, 6, FALSE), perc_90, VLOOKUP(O$2, Percentiles!$A$45:$I$59, 7, FALSE), perc_95, VLOOKUP(O$2, Percentiles!$A$45:$I$59, 8, FALSE), perc_85, perc_75 + (perc_90 - perc_75) * (2/3), converted_stat, '2K_Ratings'!O493, IF(bbgm_stat &gt;= perc_95, converted_stat * 3, IF(bbgm_stat &gt;= perc_90, converted_stat * 2, IF(bbgm_stat &gt;= perc_85, converted_stat * 1.5, converted_stat)))))</f>
        <v/>
      </c>
      <c r="P493" s="30" t="str">
        <f t="array" ref="P493">IF($A493="", "", LET(bbgm_stat, INDEX(Players!$A492:$P492, MATCH(P$2, Players!$A$1:$P$1, 0)), perc_75, VLOOKUP(P$2, Percentiles!$A$45:$I$59, 6, FALSE), perc_90, VLOOKUP(P$2, Percentiles!$A$45:$I$59, 7, FALSE), perc_95, VLOOKUP(P$2, Percentiles!$A$45:$I$59, 8, FALSE), perc_85, perc_75 + (perc_90 - perc_75) * (2/3), converted_stat, '2K_Ratings'!P493, IF(bbgm_stat &gt;= perc_95, converted_stat * 3, IF(bbgm_stat &gt;= perc_90, converted_stat * 2, IF(bbgm_stat &gt;= perc_85, converted_stat * 1.5, converted_stat)))))</f>
        <v/>
      </c>
      <c r="Q493" s="30" t="str">
        <f t="array" ref="Q493">IF($A493="", "", LET(bbgm_stat, INDEX(Players!$A492:$P492, MATCH(Q$2, Players!$A$1:$P$1, 0)), perc_75, VLOOKUP(Q$2, Percentiles!$A$45:$I$59, 6, FALSE), perc_90, VLOOKUP(Q$2, Percentiles!$A$45:$I$59, 7, FALSE), perc_95, VLOOKUP(Q$2, Percentiles!$A$45:$I$59, 8, FALSE), perc_85, perc_75 + (perc_90 - perc_75) * (2/3), converted_stat, '2K_Ratings'!Q493, IF(bbgm_stat &gt;= perc_95, converted_stat * 3, IF(bbgm_stat &gt;= perc_90, converted_stat * 2, IF(bbgm_stat &gt;= perc_85, converted_stat * 1.5, converted_stat)))))</f>
        <v/>
      </c>
      <c r="R493" s="30" t="str">
        <f t="array" ref="R493">IF($A493="", "", LET(bbgm_stat, INDEX(Players!$A492:$P492, MATCH(R$2, Players!$A$1:$P$1, 0)), perc_75, VLOOKUP(R$2, Percentiles!$A$45:$I$59, 6, FALSE), perc_90, VLOOKUP(R$2, Percentiles!$A$45:$I$59, 7, FALSE), perc_95, VLOOKUP(R$2, Percentiles!$A$45:$I$59, 8, FALSE), perc_85, perc_75 + (perc_90 - perc_75) * (2/3), converted_stat, '2K_Ratings'!R493, IF(bbgm_stat &gt;= perc_95, converted_stat * 3, IF(bbgm_stat &gt;= perc_90, converted_stat * 2, IF(bbgm_stat &gt;= perc_85, converted_stat * 1.5, converted_stat)))))</f>
        <v/>
      </c>
      <c r="S493" s="30" t="str">
        <f t="array" ref="S493">IF($A493="", "", LET(bbgm_stat, INDEX(Players!$A492:$P492, MATCH(S$2, Players!$A$1:$P$1, 0)), perc_75, VLOOKUP(S$2, Percentiles!$A$45:$I$59, 6, FALSE), perc_90, VLOOKUP(S$2, Percentiles!$A$45:$I$59, 7, FALSE), perc_95, VLOOKUP(S$2, Percentiles!$A$45:$I$59, 8, FALSE), perc_85, perc_75 + (perc_90 - perc_75) * (2/3), converted_stat, '2K_Ratings'!S493, IF(bbgm_stat &gt;= perc_95, converted_stat * 3, IF(bbgm_stat &gt;= perc_90, converted_stat * 2, IF(bbgm_stat &gt;= perc_85, converted_stat * 1.5, converted_stat)))))</f>
        <v/>
      </c>
      <c r="T493" s="30" t="str">
        <f t="array" ref="T493">IF($A493="", "", LET(bbgm_stat, INDEX(Players!$A492:$P492, MATCH(T$2, Players!$A$1:$P$1, 0)), perc_75, VLOOKUP(T$2, Percentiles!$A$45:$I$59, 6, FALSE), perc_90, VLOOKUP(T$2, Percentiles!$A$45:$I$59, 7, FALSE), perc_95, VLOOKUP(T$2, Percentiles!$A$45:$I$59, 8, FALSE), perc_85, perc_75 + (perc_90 - perc_75) * (2/3), converted_stat, '2K_Ratings'!T493, IF(bbgm_stat &gt;= perc_95, converted_stat * 3, IF(bbgm_stat &gt;= perc_90, converted_stat * 2, IF(bbgm_stat &gt;= perc_85, converted_stat * 1.5, converted_stat)))))</f>
        <v/>
      </c>
      <c r="U493" s="30" t="str">
        <f t="array" ref="U493">IF($A493="", "", LET(bbgm_stat, INDEX(Players!$A492:$P492, MATCH(U$2, Players!$A$1:$P$1, 0)), perc_75, VLOOKUP(U$2, Percentiles!$A$45:$I$59, 6, FALSE), perc_90, VLOOKUP(U$2, Percentiles!$A$45:$I$59, 7, FALSE), perc_95, VLOOKUP(U$2, Percentiles!$A$45:$I$59, 8, FALSE), perc_85, perc_75 + (perc_90 - perc_75) * (2/3), converted_stat, '2K_Ratings'!U493, IF(bbgm_stat &gt;= perc_95, converted_stat * 3, IF(bbgm_stat &gt;= perc_90, converted_stat * 2, IF(bbgm_stat &gt;= perc_85, converted_stat * 1.5, converted_stat)))))</f>
        <v/>
      </c>
      <c r="V493" s="30" t="str">
        <f t="array" ref="V493">IF($A493="", "", LET(bbgm_stat, INDEX(Players!$A492:$P492, MATCH(V$2, Players!$A$1:$P$1, 0)), perc_75, VLOOKUP(V$2, Percentiles!$A$45:$I$59, 6, FALSE), perc_90, VLOOKUP(V$2, Percentiles!$A$45:$I$59, 7, FALSE), perc_95, VLOOKUP(V$2, Percentiles!$A$45:$I$59, 8, FALSE), perc_85, perc_75 + (perc_90 - perc_75) * (2/3), converted_stat, '2K_Ratings'!V493, IF(bbgm_stat &gt;= perc_95, converted_stat * 3, IF(bbgm_stat &gt;= perc_90, converted_stat * 2, IF(bbgm_stat &gt;= perc_85, converted_stat * 1.5, converted_stat)))))</f>
        <v/>
      </c>
      <c r="W493" s="30" t="str">
        <f t="array" ref="W493">IF($A493="", "", LET(bbgm_stat, INDEX(Players!$A492:$P492, MATCH(W$2, Players!$A$1:$P$1, 0)), perc_75, VLOOKUP(W$2, Percentiles!$A$45:$I$59, 6, FALSE), perc_90, VLOOKUP(W$2, Percentiles!$A$45:$I$59, 7, FALSE), perc_95, VLOOKUP(W$2, Percentiles!$A$45:$I$59, 8, FALSE), perc_85, perc_75 + (perc_90 - perc_75) * (2/3), converted_stat, '2K_Ratings'!W493, IF(bbgm_stat &gt;= perc_95, converted_stat * 3, IF(bbgm_stat &gt;= perc_90, converted_stat * 2, IF(bbgm_stat &gt;= perc_85, converted_stat * 1.5, converted_stat)))))</f>
        <v/>
      </c>
    </row>
    <row r="494">
      <c r="A494" s="30"/>
      <c r="B494" s="30" t="str">
        <f t="array" ref="B494">IF($A494="", "", LET(bbgm_stat, INDEX(Players!$A493:$P493, MATCH(B$2, Players!$A$1:$P$1, 0)), perc_75, VLOOKUP(B$2, Percentiles!$A$45:$I$59, 6, FALSE), perc_90, VLOOKUP(B$2, Percentiles!$A$45:$I$59, 7, FALSE), perc_95, VLOOKUP(B$2, Percentiles!$A$45:$I$59, 8, FALSE), perc_85, perc_75 + (perc_90 - perc_75) * (2/3), converted_stat, '2K_Ratings'!B494, IF(bbgm_stat &gt;= perc_95, converted_stat * 3, IF(bbgm_stat &gt;= perc_90, converted_stat * 2, IF(bbgm_stat &gt;= perc_85, converted_stat * 1.5, converted_stat)))))</f>
        <v/>
      </c>
      <c r="C494" s="30" t="str">
        <f t="array" ref="C494">IF($A494="", "", LET(bbgm_stat, INDEX(Players!$A493:$P493, MATCH(C$2, Players!$A$1:$P$1, 0)), perc_75, VLOOKUP(C$2, Percentiles!$A$45:$I$59, 6, FALSE), perc_90, VLOOKUP(C$2, Percentiles!$A$45:$I$59, 7, FALSE), perc_95, VLOOKUP(C$2, Percentiles!$A$45:$I$59, 8, FALSE), perc_85, perc_75 + (perc_90 - perc_75) * (2/3), converted_stat, '2K_Ratings'!C494, IF(bbgm_stat &gt;= perc_95, converted_stat * 3, IF(bbgm_stat &gt;= perc_90, converted_stat * 2, IF(bbgm_stat &gt;= perc_85, converted_stat * 1.5, converted_stat)))))</f>
        <v/>
      </c>
      <c r="D494" s="30" t="str">
        <f t="array" ref="D494">IF($A494="", "", LET(bbgm_stat, INDEX(Players!$A493:$P493, MATCH(D$2, Players!$A$1:$P$1, 0)), perc_75, VLOOKUP(D$2, Percentiles!$A$45:$I$59, 6, FALSE), perc_90, VLOOKUP(D$2, Percentiles!$A$45:$I$59, 7, FALSE), perc_95, VLOOKUP(D$2, Percentiles!$A$45:$I$59, 8, FALSE), perc_85, perc_75 + (perc_90 - perc_75) * (2/3), converted_stat, '2K_Ratings'!D494, IF(bbgm_stat &gt;= perc_95, converted_stat * 3, IF(bbgm_stat &gt;= perc_90, converted_stat * 2, IF(bbgm_stat &gt;= perc_85, converted_stat * 1.5, converted_stat)))))</f>
        <v/>
      </c>
      <c r="E494" s="30" t="str">
        <f t="array" ref="E494">IF($A494="", "", LET(bbgm_stat, INDEX(Players!$A493:$P493, MATCH(E$2, Players!$A$1:$P$1, 0)), perc_75, VLOOKUP(E$2, Percentiles!$A$45:$I$59, 6, FALSE), perc_90, VLOOKUP(E$2, Percentiles!$A$45:$I$59, 7, FALSE), perc_95, VLOOKUP(E$2, Percentiles!$A$45:$I$59, 8, FALSE), perc_85, perc_75 + (perc_90 - perc_75) * (2/3), converted_stat, '2K_Ratings'!E494, IF(bbgm_stat &gt;= perc_95, converted_stat * 3, IF(bbgm_stat &gt;= perc_90, converted_stat * 2, IF(bbgm_stat &gt;= perc_85, converted_stat * 1.5, converted_stat)))))</f>
        <v/>
      </c>
      <c r="F494" s="30" t="str">
        <f t="array" ref="F494">IF($A494="", "", LET(bbgm_stat, INDEX(Players!$A493:$P493, MATCH(F$2, Players!$A$1:$P$1, 0)), perc_75, VLOOKUP(F$2, Percentiles!$A$45:$I$59, 6, FALSE), perc_90, VLOOKUP(F$2, Percentiles!$A$45:$I$59, 7, FALSE), perc_95, VLOOKUP(F$2, Percentiles!$A$45:$I$59, 8, FALSE), perc_85, perc_75 + (perc_90 - perc_75) * (2/3), converted_stat, '2K_Ratings'!F494, IF(bbgm_stat &gt;= perc_95, converted_stat * 3, IF(bbgm_stat &gt;= perc_90, converted_stat * 2, IF(bbgm_stat &gt;= perc_85, converted_stat * 1.5, converted_stat)))))</f>
        <v/>
      </c>
      <c r="G494" s="30" t="str">
        <f t="array" ref="G494">IF($A494="", "", LET(bbgm_stat, INDEX(Players!$A493:$P493, MATCH(G$2, Players!$A$1:$P$1, 0)), perc_75, VLOOKUP(G$2, Percentiles!$A$45:$I$59, 6, FALSE), perc_90, VLOOKUP(G$2, Percentiles!$A$45:$I$59, 7, FALSE), perc_95, VLOOKUP(G$2, Percentiles!$A$45:$I$59, 8, FALSE), perc_85, perc_75 + (perc_90 - perc_75) * (2/3), converted_stat, '2K_Ratings'!G494, IF(bbgm_stat &gt;= perc_95, converted_stat * 3, IF(bbgm_stat &gt;= perc_90, converted_stat * 2, IF(bbgm_stat &gt;= perc_85, converted_stat * 1.5, converted_stat)))))</f>
        <v/>
      </c>
      <c r="H494" s="30" t="str">
        <f t="array" ref="H494">IF($A494="", "", LET(bbgm_stat, INDEX(Players!$A493:$P493, MATCH(H$2, Players!$A$1:$P$1, 0)), perc_75, VLOOKUP(H$2, Percentiles!$A$45:$I$59, 6, FALSE), perc_90, VLOOKUP(H$2, Percentiles!$A$45:$I$59, 7, FALSE), perc_95, VLOOKUP(H$2, Percentiles!$A$45:$I$59, 8, FALSE), perc_85, perc_75 + (perc_90 - perc_75) * (2/3), converted_stat, '2K_Ratings'!H494, IF(bbgm_stat &gt;= perc_95, converted_stat * 3, IF(bbgm_stat &gt;= perc_90, converted_stat * 2, IF(bbgm_stat &gt;= perc_85, converted_stat * 1.5, converted_stat)))))</f>
        <v/>
      </c>
      <c r="I494" s="30" t="str">
        <f t="array" ref="I494">IF($A494="", "", LET(bbgm_stat, INDEX(Players!$A493:$P493, MATCH(I$2, Players!$A$1:$P$1, 0)), perc_75, VLOOKUP(I$2, Percentiles!$A$45:$I$59, 6, FALSE), perc_90, VLOOKUP(I$2, Percentiles!$A$45:$I$59, 7, FALSE), perc_95, VLOOKUP(I$2, Percentiles!$A$45:$I$59, 8, FALSE), perc_85, perc_75 + (perc_90 - perc_75) * (2/3), converted_stat, '2K_Ratings'!I494, IF(bbgm_stat &gt;= perc_95, converted_stat * 3, IF(bbgm_stat &gt;= perc_90, converted_stat * 2, IF(bbgm_stat &gt;= perc_85, converted_stat * 1.5, converted_stat)))))</f>
        <v/>
      </c>
      <c r="J494" s="30" t="str">
        <f t="array" ref="J494">IF($A494="", "", LET(bbgm_stat, INDEX(Players!$A493:$P493, MATCH(J$2, Players!$A$1:$P$1, 0)), perc_75, VLOOKUP(J$2, Percentiles!$A$45:$I$59, 6, FALSE), perc_90, VLOOKUP(J$2, Percentiles!$A$45:$I$59, 7, FALSE), perc_95, VLOOKUP(J$2, Percentiles!$A$45:$I$59, 8, FALSE), perc_85, perc_75 + (perc_90 - perc_75) * (2/3), converted_stat, '2K_Ratings'!J494, IF(bbgm_stat &gt;= perc_95, converted_stat * 3, IF(bbgm_stat &gt;= perc_90, converted_stat * 2, IF(bbgm_stat &gt;= perc_85, converted_stat * 1.5, converted_stat)))))</f>
        <v/>
      </c>
      <c r="K494" s="30" t="str">
        <f t="array" ref="K494">IF($A494="", "", LET(bbgm_stat, INDEX(Players!$A493:$P493, MATCH(K$2, Players!$A$1:$P$1, 0)), perc_75, VLOOKUP(K$2, Percentiles!$A$45:$I$59, 6, FALSE), perc_90, VLOOKUP(K$2, Percentiles!$A$45:$I$59, 7, FALSE), perc_95, VLOOKUP(K$2, Percentiles!$A$45:$I$59, 8, FALSE), perc_85, perc_75 + (perc_90 - perc_75) * (2/3), converted_stat, '2K_Ratings'!K494, IF(bbgm_stat &gt;= perc_95, converted_stat * 3, IF(bbgm_stat &gt;= perc_90, converted_stat * 2, IF(bbgm_stat &gt;= perc_85, converted_stat * 1.5, converted_stat)))))</f>
        <v/>
      </c>
      <c r="L494" s="30" t="str">
        <f t="array" ref="L494">IF($A494="", "", LET(bbgm_stat, INDEX(Players!$A493:$P493, MATCH(L$2, Players!$A$1:$P$1, 0)), perc_75, VLOOKUP(L$2, Percentiles!$A$45:$I$59, 6, FALSE), perc_90, VLOOKUP(L$2, Percentiles!$A$45:$I$59, 7, FALSE), perc_95, VLOOKUP(L$2, Percentiles!$A$45:$I$59, 8, FALSE), perc_85, perc_75 + (perc_90 - perc_75) * (2/3), converted_stat, '2K_Ratings'!L494, IF(bbgm_stat &gt;= perc_95, converted_stat * 3, IF(bbgm_stat &gt;= perc_90, converted_stat * 2, IF(bbgm_stat &gt;= perc_85, converted_stat * 1.5, converted_stat)))))</f>
        <v/>
      </c>
      <c r="M494" s="30" t="str">
        <f t="array" ref="M494">IF($A494="", "", LET(bbgm_stat, INDEX(Players!$A493:$P493, MATCH(M$2, Players!$A$1:$P$1, 0)), perc_75, VLOOKUP(M$2, Percentiles!$A$45:$I$59, 6, FALSE), perc_90, VLOOKUP(M$2, Percentiles!$A$45:$I$59, 7, FALSE), perc_95, VLOOKUP(M$2, Percentiles!$A$45:$I$59, 8, FALSE), perc_85, perc_75 + (perc_90 - perc_75) * (2/3), converted_stat, '2K_Ratings'!M494, IF(bbgm_stat &gt;= perc_95, converted_stat * 3, IF(bbgm_stat &gt;= perc_90, converted_stat * 2, IF(bbgm_stat &gt;= perc_85, converted_stat * 1.5, converted_stat)))))</f>
        <v/>
      </c>
      <c r="N494" s="30" t="str">
        <f t="array" ref="N494">IF($A494="", "", LET(bbgm_stat, INDEX(Players!$A493:$P493, MATCH(N$2, Players!$A$1:$P$1, 0)), perc_75, VLOOKUP(N$2, Percentiles!$A$45:$I$59, 6, FALSE), perc_90, VLOOKUP(N$2, Percentiles!$A$45:$I$59, 7, FALSE), perc_95, VLOOKUP(N$2, Percentiles!$A$45:$I$59, 8, FALSE), perc_85, perc_75 + (perc_90 - perc_75) * (2/3), converted_stat, '2K_Ratings'!N494, IF(bbgm_stat &gt;= perc_95, converted_stat * 3, IF(bbgm_stat &gt;= perc_90, converted_stat * 2, IF(bbgm_stat &gt;= perc_85, converted_stat * 1.5, converted_stat)))))</f>
        <v/>
      </c>
      <c r="O494" s="30" t="str">
        <f t="array" ref="O494">IF($A494="", "", LET(bbgm_stat, INDEX(Players!$A493:$P493, MATCH(O$2, Players!$A$1:$P$1, 0)), perc_75, VLOOKUP(O$2, Percentiles!$A$45:$I$59, 6, FALSE), perc_90, VLOOKUP(O$2, Percentiles!$A$45:$I$59, 7, FALSE), perc_95, VLOOKUP(O$2, Percentiles!$A$45:$I$59, 8, FALSE), perc_85, perc_75 + (perc_90 - perc_75) * (2/3), converted_stat, '2K_Ratings'!O494, IF(bbgm_stat &gt;= perc_95, converted_stat * 3, IF(bbgm_stat &gt;= perc_90, converted_stat * 2, IF(bbgm_stat &gt;= perc_85, converted_stat * 1.5, converted_stat)))))</f>
        <v/>
      </c>
      <c r="P494" s="30" t="str">
        <f t="array" ref="P494">IF($A494="", "", LET(bbgm_stat, INDEX(Players!$A493:$P493, MATCH(P$2, Players!$A$1:$P$1, 0)), perc_75, VLOOKUP(P$2, Percentiles!$A$45:$I$59, 6, FALSE), perc_90, VLOOKUP(P$2, Percentiles!$A$45:$I$59, 7, FALSE), perc_95, VLOOKUP(P$2, Percentiles!$A$45:$I$59, 8, FALSE), perc_85, perc_75 + (perc_90 - perc_75) * (2/3), converted_stat, '2K_Ratings'!P494, IF(bbgm_stat &gt;= perc_95, converted_stat * 3, IF(bbgm_stat &gt;= perc_90, converted_stat * 2, IF(bbgm_stat &gt;= perc_85, converted_stat * 1.5, converted_stat)))))</f>
        <v/>
      </c>
      <c r="Q494" s="30" t="str">
        <f t="array" ref="Q494">IF($A494="", "", LET(bbgm_stat, INDEX(Players!$A493:$P493, MATCH(Q$2, Players!$A$1:$P$1, 0)), perc_75, VLOOKUP(Q$2, Percentiles!$A$45:$I$59, 6, FALSE), perc_90, VLOOKUP(Q$2, Percentiles!$A$45:$I$59, 7, FALSE), perc_95, VLOOKUP(Q$2, Percentiles!$A$45:$I$59, 8, FALSE), perc_85, perc_75 + (perc_90 - perc_75) * (2/3), converted_stat, '2K_Ratings'!Q494, IF(bbgm_stat &gt;= perc_95, converted_stat * 3, IF(bbgm_stat &gt;= perc_90, converted_stat * 2, IF(bbgm_stat &gt;= perc_85, converted_stat * 1.5, converted_stat)))))</f>
        <v/>
      </c>
      <c r="R494" s="30" t="str">
        <f t="array" ref="R494">IF($A494="", "", LET(bbgm_stat, INDEX(Players!$A493:$P493, MATCH(R$2, Players!$A$1:$P$1, 0)), perc_75, VLOOKUP(R$2, Percentiles!$A$45:$I$59, 6, FALSE), perc_90, VLOOKUP(R$2, Percentiles!$A$45:$I$59, 7, FALSE), perc_95, VLOOKUP(R$2, Percentiles!$A$45:$I$59, 8, FALSE), perc_85, perc_75 + (perc_90 - perc_75) * (2/3), converted_stat, '2K_Ratings'!R494, IF(bbgm_stat &gt;= perc_95, converted_stat * 3, IF(bbgm_stat &gt;= perc_90, converted_stat * 2, IF(bbgm_stat &gt;= perc_85, converted_stat * 1.5, converted_stat)))))</f>
        <v/>
      </c>
      <c r="S494" s="30" t="str">
        <f t="array" ref="S494">IF($A494="", "", LET(bbgm_stat, INDEX(Players!$A493:$P493, MATCH(S$2, Players!$A$1:$P$1, 0)), perc_75, VLOOKUP(S$2, Percentiles!$A$45:$I$59, 6, FALSE), perc_90, VLOOKUP(S$2, Percentiles!$A$45:$I$59, 7, FALSE), perc_95, VLOOKUP(S$2, Percentiles!$A$45:$I$59, 8, FALSE), perc_85, perc_75 + (perc_90 - perc_75) * (2/3), converted_stat, '2K_Ratings'!S494, IF(bbgm_stat &gt;= perc_95, converted_stat * 3, IF(bbgm_stat &gt;= perc_90, converted_stat * 2, IF(bbgm_stat &gt;= perc_85, converted_stat * 1.5, converted_stat)))))</f>
        <v/>
      </c>
      <c r="T494" s="30" t="str">
        <f t="array" ref="T494">IF($A494="", "", LET(bbgm_stat, INDEX(Players!$A493:$P493, MATCH(T$2, Players!$A$1:$P$1, 0)), perc_75, VLOOKUP(T$2, Percentiles!$A$45:$I$59, 6, FALSE), perc_90, VLOOKUP(T$2, Percentiles!$A$45:$I$59, 7, FALSE), perc_95, VLOOKUP(T$2, Percentiles!$A$45:$I$59, 8, FALSE), perc_85, perc_75 + (perc_90 - perc_75) * (2/3), converted_stat, '2K_Ratings'!T494, IF(bbgm_stat &gt;= perc_95, converted_stat * 3, IF(bbgm_stat &gt;= perc_90, converted_stat * 2, IF(bbgm_stat &gt;= perc_85, converted_stat * 1.5, converted_stat)))))</f>
        <v/>
      </c>
      <c r="U494" s="30" t="str">
        <f t="array" ref="U494">IF($A494="", "", LET(bbgm_stat, INDEX(Players!$A493:$P493, MATCH(U$2, Players!$A$1:$P$1, 0)), perc_75, VLOOKUP(U$2, Percentiles!$A$45:$I$59, 6, FALSE), perc_90, VLOOKUP(U$2, Percentiles!$A$45:$I$59, 7, FALSE), perc_95, VLOOKUP(U$2, Percentiles!$A$45:$I$59, 8, FALSE), perc_85, perc_75 + (perc_90 - perc_75) * (2/3), converted_stat, '2K_Ratings'!U494, IF(bbgm_stat &gt;= perc_95, converted_stat * 3, IF(bbgm_stat &gt;= perc_90, converted_stat * 2, IF(bbgm_stat &gt;= perc_85, converted_stat * 1.5, converted_stat)))))</f>
        <v/>
      </c>
      <c r="V494" s="30" t="str">
        <f t="array" ref="V494">IF($A494="", "", LET(bbgm_stat, INDEX(Players!$A493:$P493, MATCH(V$2, Players!$A$1:$P$1, 0)), perc_75, VLOOKUP(V$2, Percentiles!$A$45:$I$59, 6, FALSE), perc_90, VLOOKUP(V$2, Percentiles!$A$45:$I$59, 7, FALSE), perc_95, VLOOKUP(V$2, Percentiles!$A$45:$I$59, 8, FALSE), perc_85, perc_75 + (perc_90 - perc_75) * (2/3), converted_stat, '2K_Ratings'!V494, IF(bbgm_stat &gt;= perc_95, converted_stat * 3, IF(bbgm_stat &gt;= perc_90, converted_stat * 2, IF(bbgm_stat &gt;= perc_85, converted_stat * 1.5, converted_stat)))))</f>
        <v/>
      </c>
      <c r="W494" s="30" t="str">
        <f t="array" ref="W494">IF($A494="", "", LET(bbgm_stat, INDEX(Players!$A493:$P493, MATCH(W$2, Players!$A$1:$P$1, 0)), perc_75, VLOOKUP(W$2, Percentiles!$A$45:$I$59, 6, FALSE), perc_90, VLOOKUP(W$2, Percentiles!$A$45:$I$59, 7, FALSE), perc_95, VLOOKUP(W$2, Percentiles!$A$45:$I$59, 8, FALSE), perc_85, perc_75 + (perc_90 - perc_75) * (2/3), converted_stat, '2K_Ratings'!W494, IF(bbgm_stat &gt;= perc_95, converted_stat * 3, IF(bbgm_stat &gt;= perc_90, converted_stat * 2, IF(bbgm_stat &gt;= perc_85, converted_stat * 1.5, converted_stat)))))</f>
        <v/>
      </c>
    </row>
    <row r="495">
      <c r="A495" s="30"/>
      <c r="B495" s="30" t="str">
        <f t="array" ref="B495">IF($A495="", "", LET(bbgm_stat, INDEX(Players!$A494:$P494, MATCH(B$2, Players!$A$1:$P$1, 0)), perc_75, VLOOKUP(B$2, Percentiles!$A$45:$I$59, 6, FALSE), perc_90, VLOOKUP(B$2, Percentiles!$A$45:$I$59, 7, FALSE), perc_95, VLOOKUP(B$2, Percentiles!$A$45:$I$59, 8, FALSE), perc_85, perc_75 + (perc_90 - perc_75) * (2/3), converted_stat, '2K_Ratings'!B495, IF(bbgm_stat &gt;= perc_95, converted_stat * 3, IF(bbgm_stat &gt;= perc_90, converted_stat * 2, IF(bbgm_stat &gt;= perc_85, converted_stat * 1.5, converted_stat)))))</f>
        <v/>
      </c>
      <c r="C495" s="30" t="str">
        <f t="array" ref="C495">IF($A495="", "", LET(bbgm_stat, INDEX(Players!$A494:$P494, MATCH(C$2, Players!$A$1:$P$1, 0)), perc_75, VLOOKUP(C$2, Percentiles!$A$45:$I$59, 6, FALSE), perc_90, VLOOKUP(C$2, Percentiles!$A$45:$I$59, 7, FALSE), perc_95, VLOOKUP(C$2, Percentiles!$A$45:$I$59, 8, FALSE), perc_85, perc_75 + (perc_90 - perc_75) * (2/3), converted_stat, '2K_Ratings'!C495, IF(bbgm_stat &gt;= perc_95, converted_stat * 3, IF(bbgm_stat &gt;= perc_90, converted_stat * 2, IF(bbgm_stat &gt;= perc_85, converted_stat * 1.5, converted_stat)))))</f>
        <v/>
      </c>
      <c r="D495" s="30" t="str">
        <f t="array" ref="D495">IF($A495="", "", LET(bbgm_stat, INDEX(Players!$A494:$P494, MATCH(D$2, Players!$A$1:$P$1, 0)), perc_75, VLOOKUP(D$2, Percentiles!$A$45:$I$59, 6, FALSE), perc_90, VLOOKUP(D$2, Percentiles!$A$45:$I$59, 7, FALSE), perc_95, VLOOKUP(D$2, Percentiles!$A$45:$I$59, 8, FALSE), perc_85, perc_75 + (perc_90 - perc_75) * (2/3), converted_stat, '2K_Ratings'!D495, IF(bbgm_stat &gt;= perc_95, converted_stat * 3, IF(bbgm_stat &gt;= perc_90, converted_stat * 2, IF(bbgm_stat &gt;= perc_85, converted_stat * 1.5, converted_stat)))))</f>
        <v/>
      </c>
      <c r="E495" s="30" t="str">
        <f t="array" ref="E495">IF($A495="", "", LET(bbgm_stat, INDEX(Players!$A494:$P494, MATCH(E$2, Players!$A$1:$P$1, 0)), perc_75, VLOOKUP(E$2, Percentiles!$A$45:$I$59, 6, FALSE), perc_90, VLOOKUP(E$2, Percentiles!$A$45:$I$59, 7, FALSE), perc_95, VLOOKUP(E$2, Percentiles!$A$45:$I$59, 8, FALSE), perc_85, perc_75 + (perc_90 - perc_75) * (2/3), converted_stat, '2K_Ratings'!E495, IF(bbgm_stat &gt;= perc_95, converted_stat * 3, IF(bbgm_stat &gt;= perc_90, converted_stat * 2, IF(bbgm_stat &gt;= perc_85, converted_stat * 1.5, converted_stat)))))</f>
        <v/>
      </c>
      <c r="F495" s="30" t="str">
        <f t="array" ref="F495">IF($A495="", "", LET(bbgm_stat, INDEX(Players!$A494:$P494, MATCH(F$2, Players!$A$1:$P$1, 0)), perc_75, VLOOKUP(F$2, Percentiles!$A$45:$I$59, 6, FALSE), perc_90, VLOOKUP(F$2, Percentiles!$A$45:$I$59, 7, FALSE), perc_95, VLOOKUP(F$2, Percentiles!$A$45:$I$59, 8, FALSE), perc_85, perc_75 + (perc_90 - perc_75) * (2/3), converted_stat, '2K_Ratings'!F495, IF(bbgm_stat &gt;= perc_95, converted_stat * 3, IF(bbgm_stat &gt;= perc_90, converted_stat * 2, IF(bbgm_stat &gt;= perc_85, converted_stat * 1.5, converted_stat)))))</f>
        <v/>
      </c>
      <c r="G495" s="30" t="str">
        <f t="array" ref="G495">IF($A495="", "", LET(bbgm_stat, INDEX(Players!$A494:$P494, MATCH(G$2, Players!$A$1:$P$1, 0)), perc_75, VLOOKUP(G$2, Percentiles!$A$45:$I$59, 6, FALSE), perc_90, VLOOKUP(G$2, Percentiles!$A$45:$I$59, 7, FALSE), perc_95, VLOOKUP(G$2, Percentiles!$A$45:$I$59, 8, FALSE), perc_85, perc_75 + (perc_90 - perc_75) * (2/3), converted_stat, '2K_Ratings'!G495, IF(bbgm_stat &gt;= perc_95, converted_stat * 3, IF(bbgm_stat &gt;= perc_90, converted_stat * 2, IF(bbgm_stat &gt;= perc_85, converted_stat * 1.5, converted_stat)))))</f>
        <v/>
      </c>
      <c r="H495" s="30" t="str">
        <f t="array" ref="H495">IF($A495="", "", LET(bbgm_stat, INDEX(Players!$A494:$P494, MATCH(H$2, Players!$A$1:$P$1, 0)), perc_75, VLOOKUP(H$2, Percentiles!$A$45:$I$59, 6, FALSE), perc_90, VLOOKUP(H$2, Percentiles!$A$45:$I$59, 7, FALSE), perc_95, VLOOKUP(H$2, Percentiles!$A$45:$I$59, 8, FALSE), perc_85, perc_75 + (perc_90 - perc_75) * (2/3), converted_stat, '2K_Ratings'!H495, IF(bbgm_stat &gt;= perc_95, converted_stat * 3, IF(bbgm_stat &gt;= perc_90, converted_stat * 2, IF(bbgm_stat &gt;= perc_85, converted_stat * 1.5, converted_stat)))))</f>
        <v/>
      </c>
      <c r="I495" s="30" t="str">
        <f t="array" ref="I495">IF($A495="", "", LET(bbgm_stat, INDEX(Players!$A494:$P494, MATCH(I$2, Players!$A$1:$P$1, 0)), perc_75, VLOOKUP(I$2, Percentiles!$A$45:$I$59, 6, FALSE), perc_90, VLOOKUP(I$2, Percentiles!$A$45:$I$59, 7, FALSE), perc_95, VLOOKUP(I$2, Percentiles!$A$45:$I$59, 8, FALSE), perc_85, perc_75 + (perc_90 - perc_75) * (2/3), converted_stat, '2K_Ratings'!I495, IF(bbgm_stat &gt;= perc_95, converted_stat * 3, IF(bbgm_stat &gt;= perc_90, converted_stat * 2, IF(bbgm_stat &gt;= perc_85, converted_stat * 1.5, converted_stat)))))</f>
        <v/>
      </c>
      <c r="J495" s="30" t="str">
        <f t="array" ref="J495">IF($A495="", "", LET(bbgm_stat, INDEX(Players!$A494:$P494, MATCH(J$2, Players!$A$1:$P$1, 0)), perc_75, VLOOKUP(J$2, Percentiles!$A$45:$I$59, 6, FALSE), perc_90, VLOOKUP(J$2, Percentiles!$A$45:$I$59, 7, FALSE), perc_95, VLOOKUP(J$2, Percentiles!$A$45:$I$59, 8, FALSE), perc_85, perc_75 + (perc_90 - perc_75) * (2/3), converted_stat, '2K_Ratings'!J495, IF(bbgm_stat &gt;= perc_95, converted_stat * 3, IF(bbgm_stat &gt;= perc_90, converted_stat * 2, IF(bbgm_stat &gt;= perc_85, converted_stat * 1.5, converted_stat)))))</f>
        <v/>
      </c>
      <c r="K495" s="30" t="str">
        <f t="array" ref="K495">IF($A495="", "", LET(bbgm_stat, INDEX(Players!$A494:$P494, MATCH(K$2, Players!$A$1:$P$1, 0)), perc_75, VLOOKUP(K$2, Percentiles!$A$45:$I$59, 6, FALSE), perc_90, VLOOKUP(K$2, Percentiles!$A$45:$I$59, 7, FALSE), perc_95, VLOOKUP(K$2, Percentiles!$A$45:$I$59, 8, FALSE), perc_85, perc_75 + (perc_90 - perc_75) * (2/3), converted_stat, '2K_Ratings'!K495, IF(bbgm_stat &gt;= perc_95, converted_stat * 3, IF(bbgm_stat &gt;= perc_90, converted_stat * 2, IF(bbgm_stat &gt;= perc_85, converted_stat * 1.5, converted_stat)))))</f>
        <v/>
      </c>
      <c r="L495" s="30" t="str">
        <f t="array" ref="L495">IF($A495="", "", LET(bbgm_stat, INDEX(Players!$A494:$P494, MATCH(L$2, Players!$A$1:$P$1, 0)), perc_75, VLOOKUP(L$2, Percentiles!$A$45:$I$59, 6, FALSE), perc_90, VLOOKUP(L$2, Percentiles!$A$45:$I$59, 7, FALSE), perc_95, VLOOKUP(L$2, Percentiles!$A$45:$I$59, 8, FALSE), perc_85, perc_75 + (perc_90 - perc_75) * (2/3), converted_stat, '2K_Ratings'!L495, IF(bbgm_stat &gt;= perc_95, converted_stat * 3, IF(bbgm_stat &gt;= perc_90, converted_stat * 2, IF(bbgm_stat &gt;= perc_85, converted_stat * 1.5, converted_stat)))))</f>
        <v/>
      </c>
      <c r="M495" s="30" t="str">
        <f t="array" ref="M495">IF($A495="", "", LET(bbgm_stat, INDEX(Players!$A494:$P494, MATCH(M$2, Players!$A$1:$P$1, 0)), perc_75, VLOOKUP(M$2, Percentiles!$A$45:$I$59, 6, FALSE), perc_90, VLOOKUP(M$2, Percentiles!$A$45:$I$59, 7, FALSE), perc_95, VLOOKUP(M$2, Percentiles!$A$45:$I$59, 8, FALSE), perc_85, perc_75 + (perc_90 - perc_75) * (2/3), converted_stat, '2K_Ratings'!M495, IF(bbgm_stat &gt;= perc_95, converted_stat * 3, IF(bbgm_stat &gt;= perc_90, converted_stat * 2, IF(bbgm_stat &gt;= perc_85, converted_stat * 1.5, converted_stat)))))</f>
        <v/>
      </c>
      <c r="N495" s="30" t="str">
        <f t="array" ref="N495">IF($A495="", "", LET(bbgm_stat, INDEX(Players!$A494:$P494, MATCH(N$2, Players!$A$1:$P$1, 0)), perc_75, VLOOKUP(N$2, Percentiles!$A$45:$I$59, 6, FALSE), perc_90, VLOOKUP(N$2, Percentiles!$A$45:$I$59, 7, FALSE), perc_95, VLOOKUP(N$2, Percentiles!$A$45:$I$59, 8, FALSE), perc_85, perc_75 + (perc_90 - perc_75) * (2/3), converted_stat, '2K_Ratings'!N495, IF(bbgm_stat &gt;= perc_95, converted_stat * 3, IF(bbgm_stat &gt;= perc_90, converted_stat * 2, IF(bbgm_stat &gt;= perc_85, converted_stat * 1.5, converted_stat)))))</f>
        <v/>
      </c>
      <c r="O495" s="30" t="str">
        <f t="array" ref="O495">IF($A495="", "", LET(bbgm_stat, INDEX(Players!$A494:$P494, MATCH(O$2, Players!$A$1:$P$1, 0)), perc_75, VLOOKUP(O$2, Percentiles!$A$45:$I$59, 6, FALSE), perc_90, VLOOKUP(O$2, Percentiles!$A$45:$I$59, 7, FALSE), perc_95, VLOOKUP(O$2, Percentiles!$A$45:$I$59, 8, FALSE), perc_85, perc_75 + (perc_90 - perc_75) * (2/3), converted_stat, '2K_Ratings'!O495, IF(bbgm_stat &gt;= perc_95, converted_stat * 3, IF(bbgm_stat &gt;= perc_90, converted_stat * 2, IF(bbgm_stat &gt;= perc_85, converted_stat * 1.5, converted_stat)))))</f>
        <v/>
      </c>
      <c r="P495" s="30" t="str">
        <f t="array" ref="P495">IF($A495="", "", LET(bbgm_stat, INDEX(Players!$A494:$P494, MATCH(P$2, Players!$A$1:$P$1, 0)), perc_75, VLOOKUP(P$2, Percentiles!$A$45:$I$59, 6, FALSE), perc_90, VLOOKUP(P$2, Percentiles!$A$45:$I$59, 7, FALSE), perc_95, VLOOKUP(P$2, Percentiles!$A$45:$I$59, 8, FALSE), perc_85, perc_75 + (perc_90 - perc_75) * (2/3), converted_stat, '2K_Ratings'!P495, IF(bbgm_stat &gt;= perc_95, converted_stat * 3, IF(bbgm_stat &gt;= perc_90, converted_stat * 2, IF(bbgm_stat &gt;= perc_85, converted_stat * 1.5, converted_stat)))))</f>
        <v/>
      </c>
      <c r="Q495" s="30" t="str">
        <f t="array" ref="Q495">IF($A495="", "", LET(bbgm_stat, INDEX(Players!$A494:$P494, MATCH(Q$2, Players!$A$1:$P$1, 0)), perc_75, VLOOKUP(Q$2, Percentiles!$A$45:$I$59, 6, FALSE), perc_90, VLOOKUP(Q$2, Percentiles!$A$45:$I$59, 7, FALSE), perc_95, VLOOKUP(Q$2, Percentiles!$A$45:$I$59, 8, FALSE), perc_85, perc_75 + (perc_90 - perc_75) * (2/3), converted_stat, '2K_Ratings'!Q495, IF(bbgm_stat &gt;= perc_95, converted_stat * 3, IF(bbgm_stat &gt;= perc_90, converted_stat * 2, IF(bbgm_stat &gt;= perc_85, converted_stat * 1.5, converted_stat)))))</f>
        <v/>
      </c>
      <c r="R495" s="30" t="str">
        <f t="array" ref="R495">IF($A495="", "", LET(bbgm_stat, INDEX(Players!$A494:$P494, MATCH(R$2, Players!$A$1:$P$1, 0)), perc_75, VLOOKUP(R$2, Percentiles!$A$45:$I$59, 6, FALSE), perc_90, VLOOKUP(R$2, Percentiles!$A$45:$I$59, 7, FALSE), perc_95, VLOOKUP(R$2, Percentiles!$A$45:$I$59, 8, FALSE), perc_85, perc_75 + (perc_90 - perc_75) * (2/3), converted_stat, '2K_Ratings'!R495, IF(bbgm_stat &gt;= perc_95, converted_stat * 3, IF(bbgm_stat &gt;= perc_90, converted_stat * 2, IF(bbgm_stat &gt;= perc_85, converted_stat * 1.5, converted_stat)))))</f>
        <v/>
      </c>
      <c r="S495" s="30" t="str">
        <f t="array" ref="S495">IF($A495="", "", LET(bbgm_stat, INDEX(Players!$A494:$P494, MATCH(S$2, Players!$A$1:$P$1, 0)), perc_75, VLOOKUP(S$2, Percentiles!$A$45:$I$59, 6, FALSE), perc_90, VLOOKUP(S$2, Percentiles!$A$45:$I$59, 7, FALSE), perc_95, VLOOKUP(S$2, Percentiles!$A$45:$I$59, 8, FALSE), perc_85, perc_75 + (perc_90 - perc_75) * (2/3), converted_stat, '2K_Ratings'!S495, IF(bbgm_stat &gt;= perc_95, converted_stat * 3, IF(bbgm_stat &gt;= perc_90, converted_stat * 2, IF(bbgm_stat &gt;= perc_85, converted_stat * 1.5, converted_stat)))))</f>
        <v/>
      </c>
      <c r="T495" s="30" t="str">
        <f t="array" ref="T495">IF($A495="", "", LET(bbgm_stat, INDEX(Players!$A494:$P494, MATCH(T$2, Players!$A$1:$P$1, 0)), perc_75, VLOOKUP(T$2, Percentiles!$A$45:$I$59, 6, FALSE), perc_90, VLOOKUP(T$2, Percentiles!$A$45:$I$59, 7, FALSE), perc_95, VLOOKUP(T$2, Percentiles!$A$45:$I$59, 8, FALSE), perc_85, perc_75 + (perc_90 - perc_75) * (2/3), converted_stat, '2K_Ratings'!T495, IF(bbgm_stat &gt;= perc_95, converted_stat * 3, IF(bbgm_stat &gt;= perc_90, converted_stat * 2, IF(bbgm_stat &gt;= perc_85, converted_stat * 1.5, converted_stat)))))</f>
        <v/>
      </c>
      <c r="U495" s="30" t="str">
        <f t="array" ref="U495">IF($A495="", "", LET(bbgm_stat, INDEX(Players!$A494:$P494, MATCH(U$2, Players!$A$1:$P$1, 0)), perc_75, VLOOKUP(U$2, Percentiles!$A$45:$I$59, 6, FALSE), perc_90, VLOOKUP(U$2, Percentiles!$A$45:$I$59, 7, FALSE), perc_95, VLOOKUP(U$2, Percentiles!$A$45:$I$59, 8, FALSE), perc_85, perc_75 + (perc_90 - perc_75) * (2/3), converted_stat, '2K_Ratings'!U495, IF(bbgm_stat &gt;= perc_95, converted_stat * 3, IF(bbgm_stat &gt;= perc_90, converted_stat * 2, IF(bbgm_stat &gt;= perc_85, converted_stat * 1.5, converted_stat)))))</f>
        <v/>
      </c>
      <c r="V495" s="30" t="str">
        <f t="array" ref="V495">IF($A495="", "", LET(bbgm_stat, INDEX(Players!$A494:$P494, MATCH(V$2, Players!$A$1:$P$1, 0)), perc_75, VLOOKUP(V$2, Percentiles!$A$45:$I$59, 6, FALSE), perc_90, VLOOKUP(V$2, Percentiles!$A$45:$I$59, 7, FALSE), perc_95, VLOOKUP(V$2, Percentiles!$A$45:$I$59, 8, FALSE), perc_85, perc_75 + (perc_90 - perc_75) * (2/3), converted_stat, '2K_Ratings'!V495, IF(bbgm_stat &gt;= perc_95, converted_stat * 3, IF(bbgm_stat &gt;= perc_90, converted_stat * 2, IF(bbgm_stat &gt;= perc_85, converted_stat * 1.5, converted_stat)))))</f>
        <v/>
      </c>
      <c r="W495" s="30" t="str">
        <f t="array" ref="W495">IF($A495="", "", LET(bbgm_stat, INDEX(Players!$A494:$P494, MATCH(W$2, Players!$A$1:$P$1, 0)), perc_75, VLOOKUP(W$2, Percentiles!$A$45:$I$59, 6, FALSE), perc_90, VLOOKUP(W$2, Percentiles!$A$45:$I$59, 7, FALSE), perc_95, VLOOKUP(W$2, Percentiles!$A$45:$I$59, 8, FALSE), perc_85, perc_75 + (perc_90 - perc_75) * (2/3), converted_stat, '2K_Ratings'!W495, IF(bbgm_stat &gt;= perc_95, converted_stat * 3, IF(bbgm_stat &gt;= perc_90, converted_stat * 2, IF(bbgm_stat &gt;= perc_85, converted_stat * 1.5, converted_stat)))))</f>
        <v/>
      </c>
    </row>
    <row r="496">
      <c r="A496" s="30"/>
      <c r="B496" s="30" t="str">
        <f t="array" ref="B496">IF($A496="", "", LET(bbgm_stat, INDEX(Players!$A495:$P495, MATCH(B$2, Players!$A$1:$P$1, 0)), perc_75, VLOOKUP(B$2, Percentiles!$A$45:$I$59, 6, FALSE), perc_90, VLOOKUP(B$2, Percentiles!$A$45:$I$59, 7, FALSE), perc_95, VLOOKUP(B$2, Percentiles!$A$45:$I$59, 8, FALSE), perc_85, perc_75 + (perc_90 - perc_75) * (2/3), converted_stat, '2K_Ratings'!B496, IF(bbgm_stat &gt;= perc_95, converted_stat * 3, IF(bbgm_stat &gt;= perc_90, converted_stat * 2, IF(bbgm_stat &gt;= perc_85, converted_stat * 1.5, converted_stat)))))</f>
        <v/>
      </c>
      <c r="C496" s="30" t="str">
        <f t="array" ref="C496">IF($A496="", "", LET(bbgm_stat, INDEX(Players!$A495:$P495, MATCH(C$2, Players!$A$1:$P$1, 0)), perc_75, VLOOKUP(C$2, Percentiles!$A$45:$I$59, 6, FALSE), perc_90, VLOOKUP(C$2, Percentiles!$A$45:$I$59, 7, FALSE), perc_95, VLOOKUP(C$2, Percentiles!$A$45:$I$59, 8, FALSE), perc_85, perc_75 + (perc_90 - perc_75) * (2/3), converted_stat, '2K_Ratings'!C496, IF(bbgm_stat &gt;= perc_95, converted_stat * 3, IF(bbgm_stat &gt;= perc_90, converted_stat * 2, IF(bbgm_stat &gt;= perc_85, converted_stat * 1.5, converted_stat)))))</f>
        <v/>
      </c>
      <c r="D496" s="30" t="str">
        <f t="array" ref="D496">IF($A496="", "", LET(bbgm_stat, INDEX(Players!$A495:$P495, MATCH(D$2, Players!$A$1:$P$1, 0)), perc_75, VLOOKUP(D$2, Percentiles!$A$45:$I$59, 6, FALSE), perc_90, VLOOKUP(D$2, Percentiles!$A$45:$I$59, 7, FALSE), perc_95, VLOOKUP(D$2, Percentiles!$A$45:$I$59, 8, FALSE), perc_85, perc_75 + (perc_90 - perc_75) * (2/3), converted_stat, '2K_Ratings'!D496, IF(bbgm_stat &gt;= perc_95, converted_stat * 3, IF(bbgm_stat &gt;= perc_90, converted_stat * 2, IF(bbgm_stat &gt;= perc_85, converted_stat * 1.5, converted_stat)))))</f>
        <v/>
      </c>
      <c r="E496" s="30" t="str">
        <f t="array" ref="E496">IF($A496="", "", LET(bbgm_stat, INDEX(Players!$A495:$P495, MATCH(E$2, Players!$A$1:$P$1, 0)), perc_75, VLOOKUP(E$2, Percentiles!$A$45:$I$59, 6, FALSE), perc_90, VLOOKUP(E$2, Percentiles!$A$45:$I$59, 7, FALSE), perc_95, VLOOKUP(E$2, Percentiles!$A$45:$I$59, 8, FALSE), perc_85, perc_75 + (perc_90 - perc_75) * (2/3), converted_stat, '2K_Ratings'!E496, IF(bbgm_stat &gt;= perc_95, converted_stat * 3, IF(bbgm_stat &gt;= perc_90, converted_stat * 2, IF(bbgm_stat &gt;= perc_85, converted_stat * 1.5, converted_stat)))))</f>
        <v/>
      </c>
      <c r="F496" s="30" t="str">
        <f t="array" ref="F496">IF($A496="", "", LET(bbgm_stat, INDEX(Players!$A495:$P495, MATCH(F$2, Players!$A$1:$P$1, 0)), perc_75, VLOOKUP(F$2, Percentiles!$A$45:$I$59, 6, FALSE), perc_90, VLOOKUP(F$2, Percentiles!$A$45:$I$59, 7, FALSE), perc_95, VLOOKUP(F$2, Percentiles!$A$45:$I$59, 8, FALSE), perc_85, perc_75 + (perc_90 - perc_75) * (2/3), converted_stat, '2K_Ratings'!F496, IF(bbgm_stat &gt;= perc_95, converted_stat * 3, IF(bbgm_stat &gt;= perc_90, converted_stat * 2, IF(bbgm_stat &gt;= perc_85, converted_stat * 1.5, converted_stat)))))</f>
        <v/>
      </c>
      <c r="G496" s="30" t="str">
        <f t="array" ref="G496">IF($A496="", "", LET(bbgm_stat, INDEX(Players!$A495:$P495, MATCH(G$2, Players!$A$1:$P$1, 0)), perc_75, VLOOKUP(G$2, Percentiles!$A$45:$I$59, 6, FALSE), perc_90, VLOOKUP(G$2, Percentiles!$A$45:$I$59, 7, FALSE), perc_95, VLOOKUP(G$2, Percentiles!$A$45:$I$59, 8, FALSE), perc_85, perc_75 + (perc_90 - perc_75) * (2/3), converted_stat, '2K_Ratings'!G496, IF(bbgm_stat &gt;= perc_95, converted_stat * 3, IF(bbgm_stat &gt;= perc_90, converted_stat * 2, IF(bbgm_stat &gt;= perc_85, converted_stat * 1.5, converted_stat)))))</f>
        <v/>
      </c>
      <c r="H496" s="30" t="str">
        <f t="array" ref="H496">IF($A496="", "", LET(bbgm_stat, INDEX(Players!$A495:$P495, MATCH(H$2, Players!$A$1:$P$1, 0)), perc_75, VLOOKUP(H$2, Percentiles!$A$45:$I$59, 6, FALSE), perc_90, VLOOKUP(H$2, Percentiles!$A$45:$I$59, 7, FALSE), perc_95, VLOOKUP(H$2, Percentiles!$A$45:$I$59, 8, FALSE), perc_85, perc_75 + (perc_90 - perc_75) * (2/3), converted_stat, '2K_Ratings'!H496, IF(bbgm_stat &gt;= perc_95, converted_stat * 3, IF(bbgm_stat &gt;= perc_90, converted_stat * 2, IF(bbgm_stat &gt;= perc_85, converted_stat * 1.5, converted_stat)))))</f>
        <v/>
      </c>
      <c r="I496" s="30" t="str">
        <f t="array" ref="I496">IF($A496="", "", LET(bbgm_stat, INDEX(Players!$A495:$P495, MATCH(I$2, Players!$A$1:$P$1, 0)), perc_75, VLOOKUP(I$2, Percentiles!$A$45:$I$59, 6, FALSE), perc_90, VLOOKUP(I$2, Percentiles!$A$45:$I$59, 7, FALSE), perc_95, VLOOKUP(I$2, Percentiles!$A$45:$I$59, 8, FALSE), perc_85, perc_75 + (perc_90 - perc_75) * (2/3), converted_stat, '2K_Ratings'!I496, IF(bbgm_stat &gt;= perc_95, converted_stat * 3, IF(bbgm_stat &gt;= perc_90, converted_stat * 2, IF(bbgm_stat &gt;= perc_85, converted_stat * 1.5, converted_stat)))))</f>
        <v/>
      </c>
      <c r="J496" s="30" t="str">
        <f t="array" ref="J496">IF($A496="", "", LET(bbgm_stat, INDEX(Players!$A495:$P495, MATCH(J$2, Players!$A$1:$P$1, 0)), perc_75, VLOOKUP(J$2, Percentiles!$A$45:$I$59, 6, FALSE), perc_90, VLOOKUP(J$2, Percentiles!$A$45:$I$59, 7, FALSE), perc_95, VLOOKUP(J$2, Percentiles!$A$45:$I$59, 8, FALSE), perc_85, perc_75 + (perc_90 - perc_75) * (2/3), converted_stat, '2K_Ratings'!J496, IF(bbgm_stat &gt;= perc_95, converted_stat * 3, IF(bbgm_stat &gt;= perc_90, converted_stat * 2, IF(bbgm_stat &gt;= perc_85, converted_stat * 1.5, converted_stat)))))</f>
        <v/>
      </c>
      <c r="K496" s="30" t="str">
        <f t="array" ref="K496">IF($A496="", "", LET(bbgm_stat, INDEX(Players!$A495:$P495, MATCH(K$2, Players!$A$1:$P$1, 0)), perc_75, VLOOKUP(K$2, Percentiles!$A$45:$I$59, 6, FALSE), perc_90, VLOOKUP(K$2, Percentiles!$A$45:$I$59, 7, FALSE), perc_95, VLOOKUP(K$2, Percentiles!$A$45:$I$59, 8, FALSE), perc_85, perc_75 + (perc_90 - perc_75) * (2/3), converted_stat, '2K_Ratings'!K496, IF(bbgm_stat &gt;= perc_95, converted_stat * 3, IF(bbgm_stat &gt;= perc_90, converted_stat * 2, IF(bbgm_stat &gt;= perc_85, converted_stat * 1.5, converted_stat)))))</f>
        <v/>
      </c>
      <c r="L496" s="30" t="str">
        <f t="array" ref="L496">IF($A496="", "", LET(bbgm_stat, INDEX(Players!$A495:$P495, MATCH(L$2, Players!$A$1:$P$1, 0)), perc_75, VLOOKUP(L$2, Percentiles!$A$45:$I$59, 6, FALSE), perc_90, VLOOKUP(L$2, Percentiles!$A$45:$I$59, 7, FALSE), perc_95, VLOOKUP(L$2, Percentiles!$A$45:$I$59, 8, FALSE), perc_85, perc_75 + (perc_90 - perc_75) * (2/3), converted_stat, '2K_Ratings'!L496, IF(bbgm_stat &gt;= perc_95, converted_stat * 3, IF(bbgm_stat &gt;= perc_90, converted_stat * 2, IF(bbgm_stat &gt;= perc_85, converted_stat * 1.5, converted_stat)))))</f>
        <v/>
      </c>
      <c r="M496" s="30" t="str">
        <f t="array" ref="M496">IF($A496="", "", LET(bbgm_stat, INDEX(Players!$A495:$P495, MATCH(M$2, Players!$A$1:$P$1, 0)), perc_75, VLOOKUP(M$2, Percentiles!$A$45:$I$59, 6, FALSE), perc_90, VLOOKUP(M$2, Percentiles!$A$45:$I$59, 7, FALSE), perc_95, VLOOKUP(M$2, Percentiles!$A$45:$I$59, 8, FALSE), perc_85, perc_75 + (perc_90 - perc_75) * (2/3), converted_stat, '2K_Ratings'!M496, IF(bbgm_stat &gt;= perc_95, converted_stat * 3, IF(bbgm_stat &gt;= perc_90, converted_stat * 2, IF(bbgm_stat &gt;= perc_85, converted_stat * 1.5, converted_stat)))))</f>
        <v/>
      </c>
      <c r="N496" s="30" t="str">
        <f t="array" ref="N496">IF($A496="", "", LET(bbgm_stat, INDEX(Players!$A495:$P495, MATCH(N$2, Players!$A$1:$P$1, 0)), perc_75, VLOOKUP(N$2, Percentiles!$A$45:$I$59, 6, FALSE), perc_90, VLOOKUP(N$2, Percentiles!$A$45:$I$59, 7, FALSE), perc_95, VLOOKUP(N$2, Percentiles!$A$45:$I$59, 8, FALSE), perc_85, perc_75 + (perc_90 - perc_75) * (2/3), converted_stat, '2K_Ratings'!N496, IF(bbgm_stat &gt;= perc_95, converted_stat * 3, IF(bbgm_stat &gt;= perc_90, converted_stat * 2, IF(bbgm_stat &gt;= perc_85, converted_stat * 1.5, converted_stat)))))</f>
        <v/>
      </c>
      <c r="O496" s="30" t="str">
        <f t="array" ref="O496">IF($A496="", "", LET(bbgm_stat, INDEX(Players!$A495:$P495, MATCH(O$2, Players!$A$1:$P$1, 0)), perc_75, VLOOKUP(O$2, Percentiles!$A$45:$I$59, 6, FALSE), perc_90, VLOOKUP(O$2, Percentiles!$A$45:$I$59, 7, FALSE), perc_95, VLOOKUP(O$2, Percentiles!$A$45:$I$59, 8, FALSE), perc_85, perc_75 + (perc_90 - perc_75) * (2/3), converted_stat, '2K_Ratings'!O496, IF(bbgm_stat &gt;= perc_95, converted_stat * 3, IF(bbgm_stat &gt;= perc_90, converted_stat * 2, IF(bbgm_stat &gt;= perc_85, converted_stat * 1.5, converted_stat)))))</f>
        <v/>
      </c>
      <c r="P496" s="30" t="str">
        <f t="array" ref="P496">IF($A496="", "", LET(bbgm_stat, INDEX(Players!$A495:$P495, MATCH(P$2, Players!$A$1:$P$1, 0)), perc_75, VLOOKUP(P$2, Percentiles!$A$45:$I$59, 6, FALSE), perc_90, VLOOKUP(P$2, Percentiles!$A$45:$I$59, 7, FALSE), perc_95, VLOOKUP(P$2, Percentiles!$A$45:$I$59, 8, FALSE), perc_85, perc_75 + (perc_90 - perc_75) * (2/3), converted_stat, '2K_Ratings'!P496, IF(bbgm_stat &gt;= perc_95, converted_stat * 3, IF(bbgm_stat &gt;= perc_90, converted_stat * 2, IF(bbgm_stat &gt;= perc_85, converted_stat * 1.5, converted_stat)))))</f>
        <v/>
      </c>
      <c r="Q496" s="30" t="str">
        <f t="array" ref="Q496">IF($A496="", "", LET(bbgm_stat, INDEX(Players!$A495:$P495, MATCH(Q$2, Players!$A$1:$P$1, 0)), perc_75, VLOOKUP(Q$2, Percentiles!$A$45:$I$59, 6, FALSE), perc_90, VLOOKUP(Q$2, Percentiles!$A$45:$I$59, 7, FALSE), perc_95, VLOOKUP(Q$2, Percentiles!$A$45:$I$59, 8, FALSE), perc_85, perc_75 + (perc_90 - perc_75) * (2/3), converted_stat, '2K_Ratings'!Q496, IF(bbgm_stat &gt;= perc_95, converted_stat * 3, IF(bbgm_stat &gt;= perc_90, converted_stat * 2, IF(bbgm_stat &gt;= perc_85, converted_stat * 1.5, converted_stat)))))</f>
        <v/>
      </c>
      <c r="R496" s="30" t="str">
        <f t="array" ref="R496">IF($A496="", "", LET(bbgm_stat, INDEX(Players!$A495:$P495, MATCH(R$2, Players!$A$1:$P$1, 0)), perc_75, VLOOKUP(R$2, Percentiles!$A$45:$I$59, 6, FALSE), perc_90, VLOOKUP(R$2, Percentiles!$A$45:$I$59, 7, FALSE), perc_95, VLOOKUP(R$2, Percentiles!$A$45:$I$59, 8, FALSE), perc_85, perc_75 + (perc_90 - perc_75) * (2/3), converted_stat, '2K_Ratings'!R496, IF(bbgm_stat &gt;= perc_95, converted_stat * 3, IF(bbgm_stat &gt;= perc_90, converted_stat * 2, IF(bbgm_stat &gt;= perc_85, converted_stat * 1.5, converted_stat)))))</f>
        <v/>
      </c>
      <c r="S496" s="30" t="str">
        <f t="array" ref="S496">IF($A496="", "", LET(bbgm_stat, INDEX(Players!$A495:$P495, MATCH(S$2, Players!$A$1:$P$1, 0)), perc_75, VLOOKUP(S$2, Percentiles!$A$45:$I$59, 6, FALSE), perc_90, VLOOKUP(S$2, Percentiles!$A$45:$I$59, 7, FALSE), perc_95, VLOOKUP(S$2, Percentiles!$A$45:$I$59, 8, FALSE), perc_85, perc_75 + (perc_90 - perc_75) * (2/3), converted_stat, '2K_Ratings'!S496, IF(bbgm_stat &gt;= perc_95, converted_stat * 3, IF(bbgm_stat &gt;= perc_90, converted_stat * 2, IF(bbgm_stat &gt;= perc_85, converted_stat * 1.5, converted_stat)))))</f>
        <v/>
      </c>
      <c r="T496" s="30" t="str">
        <f t="array" ref="T496">IF($A496="", "", LET(bbgm_stat, INDEX(Players!$A495:$P495, MATCH(T$2, Players!$A$1:$P$1, 0)), perc_75, VLOOKUP(T$2, Percentiles!$A$45:$I$59, 6, FALSE), perc_90, VLOOKUP(T$2, Percentiles!$A$45:$I$59, 7, FALSE), perc_95, VLOOKUP(T$2, Percentiles!$A$45:$I$59, 8, FALSE), perc_85, perc_75 + (perc_90 - perc_75) * (2/3), converted_stat, '2K_Ratings'!T496, IF(bbgm_stat &gt;= perc_95, converted_stat * 3, IF(bbgm_stat &gt;= perc_90, converted_stat * 2, IF(bbgm_stat &gt;= perc_85, converted_stat * 1.5, converted_stat)))))</f>
        <v/>
      </c>
      <c r="U496" s="30" t="str">
        <f t="array" ref="U496">IF($A496="", "", LET(bbgm_stat, INDEX(Players!$A495:$P495, MATCH(U$2, Players!$A$1:$P$1, 0)), perc_75, VLOOKUP(U$2, Percentiles!$A$45:$I$59, 6, FALSE), perc_90, VLOOKUP(U$2, Percentiles!$A$45:$I$59, 7, FALSE), perc_95, VLOOKUP(U$2, Percentiles!$A$45:$I$59, 8, FALSE), perc_85, perc_75 + (perc_90 - perc_75) * (2/3), converted_stat, '2K_Ratings'!U496, IF(bbgm_stat &gt;= perc_95, converted_stat * 3, IF(bbgm_stat &gt;= perc_90, converted_stat * 2, IF(bbgm_stat &gt;= perc_85, converted_stat * 1.5, converted_stat)))))</f>
        <v/>
      </c>
      <c r="V496" s="30" t="str">
        <f t="array" ref="V496">IF($A496="", "", LET(bbgm_stat, INDEX(Players!$A495:$P495, MATCH(V$2, Players!$A$1:$P$1, 0)), perc_75, VLOOKUP(V$2, Percentiles!$A$45:$I$59, 6, FALSE), perc_90, VLOOKUP(V$2, Percentiles!$A$45:$I$59, 7, FALSE), perc_95, VLOOKUP(V$2, Percentiles!$A$45:$I$59, 8, FALSE), perc_85, perc_75 + (perc_90 - perc_75) * (2/3), converted_stat, '2K_Ratings'!V496, IF(bbgm_stat &gt;= perc_95, converted_stat * 3, IF(bbgm_stat &gt;= perc_90, converted_stat * 2, IF(bbgm_stat &gt;= perc_85, converted_stat * 1.5, converted_stat)))))</f>
        <v/>
      </c>
      <c r="W496" s="30" t="str">
        <f t="array" ref="W496">IF($A496="", "", LET(bbgm_stat, INDEX(Players!$A495:$P495, MATCH(W$2, Players!$A$1:$P$1, 0)), perc_75, VLOOKUP(W$2, Percentiles!$A$45:$I$59, 6, FALSE), perc_90, VLOOKUP(W$2, Percentiles!$A$45:$I$59, 7, FALSE), perc_95, VLOOKUP(W$2, Percentiles!$A$45:$I$59, 8, FALSE), perc_85, perc_75 + (perc_90 - perc_75) * (2/3), converted_stat, '2K_Ratings'!W496, IF(bbgm_stat &gt;= perc_95, converted_stat * 3, IF(bbgm_stat &gt;= perc_90, converted_stat * 2, IF(bbgm_stat &gt;= perc_85, converted_stat * 1.5, converted_stat)))))</f>
        <v/>
      </c>
    </row>
    <row r="497">
      <c r="A497" s="30"/>
      <c r="B497" s="30" t="str">
        <f t="array" ref="B497">IF($A497="", "", LET(bbgm_stat, INDEX(Players!$A496:$P496, MATCH(B$2, Players!$A$1:$P$1, 0)), perc_75, VLOOKUP(B$2, Percentiles!$A$45:$I$59, 6, FALSE), perc_90, VLOOKUP(B$2, Percentiles!$A$45:$I$59, 7, FALSE), perc_95, VLOOKUP(B$2, Percentiles!$A$45:$I$59, 8, FALSE), perc_85, perc_75 + (perc_90 - perc_75) * (2/3), converted_stat, '2K_Ratings'!B497, IF(bbgm_stat &gt;= perc_95, converted_stat * 3, IF(bbgm_stat &gt;= perc_90, converted_stat * 2, IF(bbgm_stat &gt;= perc_85, converted_stat * 1.5, converted_stat)))))</f>
        <v/>
      </c>
      <c r="C497" s="30" t="str">
        <f t="array" ref="C497">IF($A497="", "", LET(bbgm_stat, INDEX(Players!$A496:$P496, MATCH(C$2, Players!$A$1:$P$1, 0)), perc_75, VLOOKUP(C$2, Percentiles!$A$45:$I$59, 6, FALSE), perc_90, VLOOKUP(C$2, Percentiles!$A$45:$I$59, 7, FALSE), perc_95, VLOOKUP(C$2, Percentiles!$A$45:$I$59, 8, FALSE), perc_85, perc_75 + (perc_90 - perc_75) * (2/3), converted_stat, '2K_Ratings'!C497, IF(bbgm_stat &gt;= perc_95, converted_stat * 3, IF(bbgm_stat &gt;= perc_90, converted_stat * 2, IF(bbgm_stat &gt;= perc_85, converted_stat * 1.5, converted_stat)))))</f>
        <v/>
      </c>
      <c r="D497" s="30" t="str">
        <f t="array" ref="D497">IF($A497="", "", LET(bbgm_stat, INDEX(Players!$A496:$P496, MATCH(D$2, Players!$A$1:$P$1, 0)), perc_75, VLOOKUP(D$2, Percentiles!$A$45:$I$59, 6, FALSE), perc_90, VLOOKUP(D$2, Percentiles!$A$45:$I$59, 7, FALSE), perc_95, VLOOKUP(D$2, Percentiles!$A$45:$I$59, 8, FALSE), perc_85, perc_75 + (perc_90 - perc_75) * (2/3), converted_stat, '2K_Ratings'!D497, IF(bbgm_stat &gt;= perc_95, converted_stat * 3, IF(bbgm_stat &gt;= perc_90, converted_stat * 2, IF(bbgm_stat &gt;= perc_85, converted_stat * 1.5, converted_stat)))))</f>
        <v/>
      </c>
      <c r="E497" s="30" t="str">
        <f t="array" ref="E497">IF($A497="", "", LET(bbgm_stat, INDEX(Players!$A496:$P496, MATCH(E$2, Players!$A$1:$P$1, 0)), perc_75, VLOOKUP(E$2, Percentiles!$A$45:$I$59, 6, FALSE), perc_90, VLOOKUP(E$2, Percentiles!$A$45:$I$59, 7, FALSE), perc_95, VLOOKUP(E$2, Percentiles!$A$45:$I$59, 8, FALSE), perc_85, perc_75 + (perc_90 - perc_75) * (2/3), converted_stat, '2K_Ratings'!E497, IF(bbgm_stat &gt;= perc_95, converted_stat * 3, IF(bbgm_stat &gt;= perc_90, converted_stat * 2, IF(bbgm_stat &gt;= perc_85, converted_stat * 1.5, converted_stat)))))</f>
        <v/>
      </c>
      <c r="F497" s="30" t="str">
        <f t="array" ref="F497">IF($A497="", "", LET(bbgm_stat, INDEX(Players!$A496:$P496, MATCH(F$2, Players!$A$1:$P$1, 0)), perc_75, VLOOKUP(F$2, Percentiles!$A$45:$I$59, 6, FALSE), perc_90, VLOOKUP(F$2, Percentiles!$A$45:$I$59, 7, FALSE), perc_95, VLOOKUP(F$2, Percentiles!$A$45:$I$59, 8, FALSE), perc_85, perc_75 + (perc_90 - perc_75) * (2/3), converted_stat, '2K_Ratings'!F497, IF(bbgm_stat &gt;= perc_95, converted_stat * 3, IF(bbgm_stat &gt;= perc_90, converted_stat * 2, IF(bbgm_stat &gt;= perc_85, converted_stat * 1.5, converted_stat)))))</f>
        <v/>
      </c>
      <c r="G497" s="30" t="str">
        <f t="array" ref="G497">IF($A497="", "", LET(bbgm_stat, INDEX(Players!$A496:$P496, MATCH(G$2, Players!$A$1:$P$1, 0)), perc_75, VLOOKUP(G$2, Percentiles!$A$45:$I$59, 6, FALSE), perc_90, VLOOKUP(G$2, Percentiles!$A$45:$I$59, 7, FALSE), perc_95, VLOOKUP(G$2, Percentiles!$A$45:$I$59, 8, FALSE), perc_85, perc_75 + (perc_90 - perc_75) * (2/3), converted_stat, '2K_Ratings'!G497, IF(bbgm_stat &gt;= perc_95, converted_stat * 3, IF(bbgm_stat &gt;= perc_90, converted_stat * 2, IF(bbgm_stat &gt;= perc_85, converted_stat * 1.5, converted_stat)))))</f>
        <v/>
      </c>
      <c r="H497" s="30" t="str">
        <f t="array" ref="H497">IF($A497="", "", LET(bbgm_stat, INDEX(Players!$A496:$P496, MATCH(H$2, Players!$A$1:$P$1, 0)), perc_75, VLOOKUP(H$2, Percentiles!$A$45:$I$59, 6, FALSE), perc_90, VLOOKUP(H$2, Percentiles!$A$45:$I$59, 7, FALSE), perc_95, VLOOKUP(H$2, Percentiles!$A$45:$I$59, 8, FALSE), perc_85, perc_75 + (perc_90 - perc_75) * (2/3), converted_stat, '2K_Ratings'!H497, IF(bbgm_stat &gt;= perc_95, converted_stat * 3, IF(bbgm_stat &gt;= perc_90, converted_stat * 2, IF(bbgm_stat &gt;= perc_85, converted_stat * 1.5, converted_stat)))))</f>
        <v/>
      </c>
      <c r="I497" s="30" t="str">
        <f t="array" ref="I497">IF($A497="", "", LET(bbgm_stat, INDEX(Players!$A496:$P496, MATCH(I$2, Players!$A$1:$P$1, 0)), perc_75, VLOOKUP(I$2, Percentiles!$A$45:$I$59, 6, FALSE), perc_90, VLOOKUP(I$2, Percentiles!$A$45:$I$59, 7, FALSE), perc_95, VLOOKUP(I$2, Percentiles!$A$45:$I$59, 8, FALSE), perc_85, perc_75 + (perc_90 - perc_75) * (2/3), converted_stat, '2K_Ratings'!I497, IF(bbgm_stat &gt;= perc_95, converted_stat * 3, IF(bbgm_stat &gt;= perc_90, converted_stat * 2, IF(bbgm_stat &gt;= perc_85, converted_stat * 1.5, converted_stat)))))</f>
        <v/>
      </c>
      <c r="J497" s="30" t="str">
        <f t="array" ref="J497">IF($A497="", "", LET(bbgm_stat, INDEX(Players!$A496:$P496, MATCH(J$2, Players!$A$1:$P$1, 0)), perc_75, VLOOKUP(J$2, Percentiles!$A$45:$I$59, 6, FALSE), perc_90, VLOOKUP(J$2, Percentiles!$A$45:$I$59, 7, FALSE), perc_95, VLOOKUP(J$2, Percentiles!$A$45:$I$59, 8, FALSE), perc_85, perc_75 + (perc_90 - perc_75) * (2/3), converted_stat, '2K_Ratings'!J497, IF(bbgm_stat &gt;= perc_95, converted_stat * 3, IF(bbgm_stat &gt;= perc_90, converted_stat * 2, IF(bbgm_stat &gt;= perc_85, converted_stat * 1.5, converted_stat)))))</f>
        <v/>
      </c>
      <c r="K497" s="30" t="str">
        <f t="array" ref="K497">IF($A497="", "", LET(bbgm_stat, INDEX(Players!$A496:$P496, MATCH(K$2, Players!$A$1:$P$1, 0)), perc_75, VLOOKUP(K$2, Percentiles!$A$45:$I$59, 6, FALSE), perc_90, VLOOKUP(K$2, Percentiles!$A$45:$I$59, 7, FALSE), perc_95, VLOOKUP(K$2, Percentiles!$A$45:$I$59, 8, FALSE), perc_85, perc_75 + (perc_90 - perc_75) * (2/3), converted_stat, '2K_Ratings'!K497, IF(bbgm_stat &gt;= perc_95, converted_stat * 3, IF(bbgm_stat &gt;= perc_90, converted_stat * 2, IF(bbgm_stat &gt;= perc_85, converted_stat * 1.5, converted_stat)))))</f>
        <v/>
      </c>
      <c r="L497" s="30" t="str">
        <f t="array" ref="L497">IF($A497="", "", LET(bbgm_stat, INDEX(Players!$A496:$P496, MATCH(L$2, Players!$A$1:$P$1, 0)), perc_75, VLOOKUP(L$2, Percentiles!$A$45:$I$59, 6, FALSE), perc_90, VLOOKUP(L$2, Percentiles!$A$45:$I$59, 7, FALSE), perc_95, VLOOKUP(L$2, Percentiles!$A$45:$I$59, 8, FALSE), perc_85, perc_75 + (perc_90 - perc_75) * (2/3), converted_stat, '2K_Ratings'!L497, IF(bbgm_stat &gt;= perc_95, converted_stat * 3, IF(bbgm_stat &gt;= perc_90, converted_stat * 2, IF(bbgm_stat &gt;= perc_85, converted_stat * 1.5, converted_stat)))))</f>
        <v/>
      </c>
      <c r="M497" s="30" t="str">
        <f t="array" ref="M497">IF($A497="", "", LET(bbgm_stat, INDEX(Players!$A496:$P496, MATCH(M$2, Players!$A$1:$P$1, 0)), perc_75, VLOOKUP(M$2, Percentiles!$A$45:$I$59, 6, FALSE), perc_90, VLOOKUP(M$2, Percentiles!$A$45:$I$59, 7, FALSE), perc_95, VLOOKUP(M$2, Percentiles!$A$45:$I$59, 8, FALSE), perc_85, perc_75 + (perc_90 - perc_75) * (2/3), converted_stat, '2K_Ratings'!M497, IF(bbgm_stat &gt;= perc_95, converted_stat * 3, IF(bbgm_stat &gt;= perc_90, converted_stat * 2, IF(bbgm_stat &gt;= perc_85, converted_stat * 1.5, converted_stat)))))</f>
        <v/>
      </c>
      <c r="N497" s="30" t="str">
        <f t="array" ref="N497">IF($A497="", "", LET(bbgm_stat, INDEX(Players!$A496:$P496, MATCH(N$2, Players!$A$1:$P$1, 0)), perc_75, VLOOKUP(N$2, Percentiles!$A$45:$I$59, 6, FALSE), perc_90, VLOOKUP(N$2, Percentiles!$A$45:$I$59, 7, FALSE), perc_95, VLOOKUP(N$2, Percentiles!$A$45:$I$59, 8, FALSE), perc_85, perc_75 + (perc_90 - perc_75) * (2/3), converted_stat, '2K_Ratings'!N497, IF(bbgm_stat &gt;= perc_95, converted_stat * 3, IF(bbgm_stat &gt;= perc_90, converted_stat * 2, IF(bbgm_stat &gt;= perc_85, converted_stat * 1.5, converted_stat)))))</f>
        <v/>
      </c>
      <c r="O497" s="30" t="str">
        <f t="array" ref="O497">IF($A497="", "", LET(bbgm_stat, INDEX(Players!$A496:$P496, MATCH(O$2, Players!$A$1:$P$1, 0)), perc_75, VLOOKUP(O$2, Percentiles!$A$45:$I$59, 6, FALSE), perc_90, VLOOKUP(O$2, Percentiles!$A$45:$I$59, 7, FALSE), perc_95, VLOOKUP(O$2, Percentiles!$A$45:$I$59, 8, FALSE), perc_85, perc_75 + (perc_90 - perc_75) * (2/3), converted_stat, '2K_Ratings'!O497, IF(bbgm_stat &gt;= perc_95, converted_stat * 3, IF(bbgm_stat &gt;= perc_90, converted_stat * 2, IF(bbgm_stat &gt;= perc_85, converted_stat * 1.5, converted_stat)))))</f>
        <v/>
      </c>
      <c r="P497" s="30" t="str">
        <f t="array" ref="P497">IF($A497="", "", LET(bbgm_stat, INDEX(Players!$A496:$P496, MATCH(P$2, Players!$A$1:$P$1, 0)), perc_75, VLOOKUP(P$2, Percentiles!$A$45:$I$59, 6, FALSE), perc_90, VLOOKUP(P$2, Percentiles!$A$45:$I$59, 7, FALSE), perc_95, VLOOKUP(P$2, Percentiles!$A$45:$I$59, 8, FALSE), perc_85, perc_75 + (perc_90 - perc_75) * (2/3), converted_stat, '2K_Ratings'!P497, IF(bbgm_stat &gt;= perc_95, converted_stat * 3, IF(bbgm_stat &gt;= perc_90, converted_stat * 2, IF(bbgm_stat &gt;= perc_85, converted_stat * 1.5, converted_stat)))))</f>
        <v/>
      </c>
      <c r="Q497" s="30" t="str">
        <f t="array" ref="Q497">IF($A497="", "", LET(bbgm_stat, INDEX(Players!$A496:$P496, MATCH(Q$2, Players!$A$1:$P$1, 0)), perc_75, VLOOKUP(Q$2, Percentiles!$A$45:$I$59, 6, FALSE), perc_90, VLOOKUP(Q$2, Percentiles!$A$45:$I$59, 7, FALSE), perc_95, VLOOKUP(Q$2, Percentiles!$A$45:$I$59, 8, FALSE), perc_85, perc_75 + (perc_90 - perc_75) * (2/3), converted_stat, '2K_Ratings'!Q497, IF(bbgm_stat &gt;= perc_95, converted_stat * 3, IF(bbgm_stat &gt;= perc_90, converted_stat * 2, IF(bbgm_stat &gt;= perc_85, converted_stat * 1.5, converted_stat)))))</f>
        <v/>
      </c>
      <c r="R497" s="30" t="str">
        <f t="array" ref="R497">IF($A497="", "", LET(bbgm_stat, INDEX(Players!$A496:$P496, MATCH(R$2, Players!$A$1:$P$1, 0)), perc_75, VLOOKUP(R$2, Percentiles!$A$45:$I$59, 6, FALSE), perc_90, VLOOKUP(R$2, Percentiles!$A$45:$I$59, 7, FALSE), perc_95, VLOOKUP(R$2, Percentiles!$A$45:$I$59, 8, FALSE), perc_85, perc_75 + (perc_90 - perc_75) * (2/3), converted_stat, '2K_Ratings'!R497, IF(bbgm_stat &gt;= perc_95, converted_stat * 3, IF(bbgm_stat &gt;= perc_90, converted_stat * 2, IF(bbgm_stat &gt;= perc_85, converted_stat * 1.5, converted_stat)))))</f>
        <v/>
      </c>
      <c r="S497" s="30" t="str">
        <f t="array" ref="S497">IF($A497="", "", LET(bbgm_stat, INDEX(Players!$A496:$P496, MATCH(S$2, Players!$A$1:$P$1, 0)), perc_75, VLOOKUP(S$2, Percentiles!$A$45:$I$59, 6, FALSE), perc_90, VLOOKUP(S$2, Percentiles!$A$45:$I$59, 7, FALSE), perc_95, VLOOKUP(S$2, Percentiles!$A$45:$I$59, 8, FALSE), perc_85, perc_75 + (perc_90 - perc_75) * (2/3), converted_stat, '2K_Ratings'!S497, IF(bbgm_stat &gt;= perc_95, converted_stat * 3, IF(bbgm_stat &gt;= perc_90, converted_stat * 2, IF(bbgm_stat &gt;= perc_85, converted_stat * 1.5, converted_stat)))))</f>
        <v/>
      </c>
      <c r="T497" s="30" t="str">
        <f t="array" ref="T497">IF($A497="", "", LET(bbgm_stat, INDEX(Players!$A496:$P496, MATCH(T$2, Players!$A$1:$P$1, 0)), perc_75, VLOOKUP(T$2, Percentiles!$A$45:$I$59, 6, FALSE), perc_90, VLOOKUP(T$2, Percentiles!$A$45:$I$59, 7, FALSE), perc_95, VLOOKUP(T$2, Percentiles!$A$45:$I$59, 8, FALSE), perc_85, perc_75 + (perc_90 - perc_75) * (2/3), converted_stat, '2K_Ratings'!T497, IF(bbgm_stat &gt;= perc_95, converted_stat * 3, IF(bbgm_stat &gt;= perc_90, converted_stat * 2, IF(bbgm_stat &gt;= perc_85, converted_stat * 1.5, converted_stat)))))</f>
        <v/>
      </c>
      <c r="U497" s="30" t="str">
        <f t="array" ref="U497">IF($A497="", "", LET(bbgm_stat, INDEX(Players!$A496:$P496, MATCH(U$2, Players!$A$1:$P$1, 0)), perc_75, VLOOKUP(U$2, Percentiles!$A$45:$I$59, 6, FALSE), perc_90, VLOOKUP(U$2, Percentiles!$A$45:$I$59, 7, FALSE), perc_95, VLOOKUP(U$2, Percentiles!$A$45:$I$59, 8, FALSE), perc_85, perc_75 + (perc_90 - perc_75) * (2/3), converted_stat, '2K_Ratings'!U497, IF(bbgm_stat &gt;= perc_95, converted_stat * 3, IF(bbgm_stat &gt;= perc_90, converted_stat * 2, IF(bbgm_stat &gt;= perc_85, converted_stat * 1.5, converted_stat)))))</f>
        <v/>
      </c>
      <c r="V497" s="30" t="str">
        <f t="array" ref="V497">IF($A497="", "", LET(bbgm_stat, INDEX(Players!$A496:$P496, MATCH(V$2, Players!$A$1:$P$1, 0)), perc_75, VLOOKUP(V$2, Percentiles!$A$45:$I$59, 6, FALSE), perc_90, VLOOKUP(V$2, Percentiles!$A$45:$I$59, 7, FALSE), perc_95, VLOOKUP(V$2, Percentiles!$A$45:$I$59, 8, FALSE), perc_85, perc_75 + (perc_90 - perc_75) * (2/3), converted_stat, '2K_Ratings'!V497, IF(bbgm_stat &gt;= perc_95, converted_stat * 3, IF(bbgm_stat &gt;= perc_90, converted_stat * 2, IF(bbgm_stat &gt;= perc_85, converted_stat * 1.5, converted_stat)))))</f>
        <v/>
      </c>
      <c r="W497" s="30" t="str">
        <f t="array" ref="W497">IF($A497="", "", LET(bbgm_stat, INDEX(Players!$A496:$P496, MATCH(W$2, Players!$A$1:$P$1, 0)), perc_75, VLOOKUP(W$2, Percentiles!$A$45:$I$59, 6, FALSE), perc_90, VLOOKUP(W$2, Percentiles!$A$45:$I$59, 7, FALSE), perc_95, VLOOKUP(W$2, Percentiles!$A$45:$I$59, 8, FALSE), perc_85, perc_75 + (perc_90 - perc_75) * (2/3), converted_stat, '2K_Ratings'!W497, IF(bbgm_stat &gt;= perc_95, converted_stat * 3, IF(bbgm_stat &gt;= perc_90, converted_stat * 2, IF(bbgm_stat &gt;= perc_85, converted_stat * 1.5, converted_stat)))))</f>
        <v/>
      </c>
    </row>
    <row r="498">
      <c r="A498" s="30"/>
      <c r="B498" s="30" t="str">
        <f t="array" ref="B498">IF($A498="", "", LET(bbgm_stat, INDEX(Players!$A497:$P497, MATCH(B$2, Players!$A$1:$P$1, 0)), perc_75, VLOOKUP(B$2, Percentiles!$A$45:$I$59, 6, FALSE), perc_90, VLOOKUP(B$2, Percentiles!$A$45:$I$59, 7, FALSE), perc_95, VLOOKUP(B$2, Percentiles!$A$45:$I$59, 8, FALSE), perc_85, perc_75 + (perc_90 - perc_75) * (2/3), converted_stat, '2K_Ratings'!B498, IF(bbgm_stat &gt;= perc_95, converted_stat * 3, IF(bbgm_stat &gt;= perc_90, converted_stat * 2, IF(bbgm_stat &gt;= perc_85, converted_stat * 1.5, converted_stat)))))</f>
        <v/>
      </c>
      <c r="C498" s="30" t="str">
        <f t="array" ref="C498">IF($A498="", "", LET(bbgm_stat, INDEX(Players!$A497:$P497, MATCH(C$2, Players!$A$1:$P$1, 0)), perc_75, VLOOKUP(C$2, Percentiles!$A$45:$I$59, 6, FALSE), perc_90, VLOOKUP(C$2, Percentiles!$A$45:$I$59, 7, FALSE), perc_95, VLOOKUP(C$2, Percentiles!$A$45:$I$59, 8, FALSE), perc_85, perc_75 + (perc_90 - perc_75) * (2/3), converted_stat, '2K_Ratings'!C498, IF(bbgm_stat &gt;= perc_95, converted_stat * 3, IF(bbgm_stat &gt;= perc_90, converted_stat * 2, IF(bbgm_stat &gt;= perc_85, converted_stat * 1.5, converted_stat)))))</f>
        <v/>
      </c>
      <c r="D498" s="30" t="str">
        <f t="array" ref="D498">IF($A498="", "", LET(bbgm_stat, INDEX(Players!$A497:$P497, MATCH(D$2, Players!$A$1:$P$1, 0)), perc_75, VLOOKUP(D$2, Percentiles!$A$45:$I$59, 6, FALSE), perc_90, VLOOKUP(D$2, Percentiles!$A$45:$I$59, 7, FALSE), perc_95, VLOOKUP(D$2, Percentiles!$A$45:$I$59, 8, FALSE), perc_85, perc_75 + (perc_90 - perc_75) * (2/3), converted_stat, '2K_Ratings'!D498, IF(bbgm_stat &gt;= perc_95, converted_stat * 3, IF(bbgm_stat &gt;= perc_90, converted_stat * 2, IF(bbgm_stat &gt;= perc_85, converted_stat * 1.5, converted_stat)))))</f>
        <v/>
      </c>
      <c r="E498" s="30" t="str">
        <f t="array" ref="E498">IF($A498="", "", LET(bbgm_stat, INDEX(Players!$A497:$P497, MATCH(E$2, Players!$A$1:$P$1, 0)), perc_75, VLOOKUP(E$2, Percentiles!$A$45:$I$59, 6, FALSE), perc_90, VLOOKUP(E$2, Percentiles!$A$45:$I$59, 7, FALSE), perc_95, VLOOKUP(E$2, Percentiles!$A$45:$I$59, 8, FALSE), perc_85, perc_75 + (perc_90 - perc_75) * (2/3), converted_stat, '2K_Ratings'!E498, IF(bbgm_stat &gt;= perc_95, converted_stat * 3, IF(bbgm_stat &gt;= perc_90, converted_stat * 2, IF(bbgm_stat &gt;= perc_85, converted_stat * 1.5, converted_stat)))))</f>
        <v/>
      </c>
      <c r="F498" s="30" t="str">
        <f t="array" ref="F498">IF($A498="", "", LET(bbgm_stat, INDEX(Players!$A497:$P497, MATCH(F$2, Players!$A$1:$P$1, 0)), perc_75, VLOOKUP(F$2, Percentiles!$A$45:$I$59, 6, FALSE), perc_90, VLOOKUP(F$2, Percentiles!$A$45:$I$59, 7, FALSE), perc_95, VLOOKUP(F$2, Percentiles!$A$45:$I$59, 8, FALSE), perc_85, perc_75 + (perc_90 - perc_75) * (2/3), converted_stat, '2K_Ratings'!F498, IF(bbgm_stat &gt;= perc_95, converted_stat * 3, IF(bbgm_stat &gt;= perc_90, converted_stat * 2, IF(bbgm_stat &gt;= perc_85, converted_stat * 1.5, converted_stat)))))</f>
        <v/>
      </c>
      <c r="G498" s="30" t="str">
        <f t="array" ref="G498">IF($A498="", "", LET(bbgm_stat, INDEX(Players!$A497:$P497, MATCH(G$2, Players!$A$1:$P$1, 0)), perc_75, VLOOKUP(G$2, Percentiles!$A$45:$I$59, 6, FALSE), perc_90, VLOOKUP(G$2, Percentiles!$A$45:$I$59, 7, FALSE), perc_95, VLOOKUP(G$2, Percentiles!$A$45:$I$59, 8, FALSE), perc_85, perc_75 + (perc_90 - perc_75) * (2/3), converted_stat, '2K_Ratings'!G498, IF(bbgm_stat &gt;= perc_95, converted_stat * 3, IF(bbgm_stat &gt;= perc_90, converted_stat * 2, IF(bbgm_stat &gt;= perc_85, converted_stat * 1.5, converted_stat)))))</f>
        <v/>
      </c>
      <c r="H498" s="30" t="str">
        <f t="array" ref="H498">IF($A498="", "", LET(bbgm_stat, INDEX(Players!$A497:$P497, MATCH(H$2, Players!$A$1:$P$1, 0)), perc_75, VLOOKUP(H$2, Percentiles!$A$45:$I$59, 6, FALSE), perc_90, VLOOKUP(H$2, Percentiles!$A$45:$I$59, 7, FALSE), perc_95, VLOOKUP(H$2, Percentiles!$A$45:$I$59, 8, FALSE), perc_85, perc_75 + (perc_90 - perc_75) * (2/3), converted_stat, '2K_Ratings'!H498, IF(bbgm_stat &gt;= perc_95, converted_stat * 3, IF(bbgm_stat &gt;= perc_90, converted_stat * 2, IF(bbgm_stat &gt;= perc_85, converted_stat * 1.5, converted_stat)))))</f>
        <v/>
      </c>
      <c r="I498" s="30" t="str">
        <f t="array" ref="I498">IF($A498="", "", LET(bbgm_stat, INDEX(Players!$A497:$P497, MATCH(I$2, Players!$A$1:$P$1, 0)), perc_75, VLOOKUP(I$2, Percentiles!$A$45:$I$59, 6, FALSE), perc_90, VLOOKUP(I$2, Percentiles!$A$45:$I$59, 7, FALSE), perc_95, VLOOKUP(I$2, Percentiles!$A$45:$I$59, 8, FALSE), perc_85, perc_75 + (perc_90 - perc_75) * (2/3), converted_stat, '2K_Ratings'!I498, IF(bbgm_stat &gt;= perc_95, converted_stat * 3, IF(bbgm_stat &gt;= perc_90, converted_stat * 2, IF(bbgm_stat &gt;= perc_85, converted_stat * 1.5, converted_stat)))))</f>
        <v/>
      </c>
      <c r="J498" s="30" t="str">
        <f t="array" ref="J498">IF($A498="", "", LET(bbgm_stat, INDEX(Players!$A497:$P497, MATCH(J$2, Players!$A$1:$P$1, 0)), perc_75, VLOOKUP(J$2, Percentiles!$A$45:$I$59, 6, FALSE), perc_90, VLOOKUP(J$2, Percentiles!$A$45:$I$59, 7, FALSE), perc_95, VLOOKUP(J$2, Percentiles!$A$45:$I$59, 8, FALSE), perc_85, perc_75 + (perc_90 - perc_75) * (2/3), converted_stat, '2K_Ratings'!J498, IF(bbgm_stat &gt;= perc_95, converted_stat * 3, IF(bbgm_stat &gt;= perc_90, converted_stat * 2, IF(bbgm_stat &gt;= perc_85, converted_stat * 1.5, converted_stat)))))</f>
        <v/>
      </c>
      <c r="K498" s="30" t="str">
        <f t="array" ref="K498">IF($A498="", "", LET(bbgm_stat, INDEX(Players!$A497:$P497, MATCH(K$2, Players!$A$1:$P$1, 0)), perc_75, VLOOKUP(K$2, Percentiles!$A$45:$I$59, 6, FALSE), perc_90, VLOOKUP(K$2, Percentiles!$A$45:$I$59, 7, FALSE), perc_95, VLOOKUP(K$2, Percentiles!$A$45:$I$59, 8, FALSE), perc_85, perc_75 + (perc_90 - perc_75) * (2/3), converted_stat, '2K_Ratings'!K498, IF(bbgm_stat &gt;= perc_95, converted_stat * 3, IF(bbgm_stat &gt;= perc_90, converted_stat * 2, IF(bbgm_stat &gt;= perc_85, converted_stat * 1.5, converted_stat)))))</f>
        <v/>
      </c>
      <c r="L498" s="30" t="str">
        <f t="array" ref="L498">IF($A498="", "", LET(bbgm_stat, INDEX(Players!$A497:$P497, MATCH(L$2, Players!$A$1:$P$1, 0)), perc_75, VLOOKUP(L$2, Percentiles!$A$45:$I$59, 6, FALSE), perc_90, VLOOKUP(L$2, Percentiles!$A$45:$I$59, 7, FALSE), perc_95, VLOOKUP(L$2, Percentiles!$A$45:$I$59, 8, FALSE), perc_85, perc_75 + (perc_90 - perc_75) * (2/3), converted_stat, '2K_Ratings'!L498, IF(bbgm_stat &gt;= perc_95, converted_stat * 3, IF(bbgm_stat &gt;= perc_90, converted_stat * 2, IF(bbgm_stat &gt;= perc_85, converted_stat * 1.5, converted_stat)))))</f>
        <v/>
      </c>
      <c r="M498" s="30" t="str">
        <f t="array" ref="M498">IF($A498="", "", LET(bbgm_stat, INDEX(Players!$A497:$P497, MATCH(M$2, Players!$A$1:$P$1, 0)), perc_75, VLOOKUP(M$2, Percentiles!$A$45:$I$59, 6, FALSE), perc_90, VLOOKUP(M$2, Percentiles!$A$45:$I$59, 7, FALSE), perc_95, VLOOKUP(M$2, Percentiles!$A$45:$I$59, 8, FALSE), perc_85, perc_75 + (perc_90 - perc_75) * (2/3), converted_stat, '2K_Ratings'!M498, IF(bbgm_stat &gt;= perc_95, converted_stat * 3, IF(bbgm_stat &gt;= perc_90, converted_stat * 2, IF(bbgm_stat &gt;= perc_85, converted_stat * 1.5, converted_stat)))))</f>
        <v/>
      </c>
      <c r="N498" s="30" t="str">
        <f t="array" ref="N498">IF($A498="", "", LET(bbgm_stat, INDEX(Players!$A497:$P497, MATCH(N$2, Players!$A$1:$P$1, 0)), perc_75, VLOOKUP(N$2, Percentiles!$A$45:$I$59, 6, FALSE), perc_90, VLOOKUP(N$2, Percentiles!$A$45:$I$59, 7, FALSE), perc_95, VLOOKUP(N$2, Percentiles!$A$45:$I$59, 8, FALSE), perc_85, perc_75 + (perc_90 - perc_75) * (2/3), converted_stat, '2K_Ratings'!N498, IF(bbgm_stat &gt;= perc_95, converted_stat * 3, IF(bbgm_stat &gt;= perc_90, converted_stat * 2, IF(bbgm_stat &gt;= perc_85, converted_stat * 1.5, converted_stat)))))</f>
        <v/>
      </c>
      <c r="O498" s="30" t="str">
        <f t="array" ref="O498">IF($A498="", "", LET(bbgm_stat, INDEX(Players!$A497:$P497, MATCH(O$2, Players!$A$1:$P$1, 0)), perc_75, VLOOKUP(O$2, Percentiles!$A$45:$I$59, 6, FALSE), perc_90, VLOOKUP(O$2, Percentiles!$A$45:$I$59, 7, FALSE), perc_95, VLOOKUP(O$2, Percentiles!$A$45:$I$59, 8, FALSE), perc_85, perc_75 + (perc_90 - perc_75) * (2/3), converted_stat, '2K_Ratings'!O498, IF(bbgm_stat &gt;= perc_95, converted_stat * 3, IF(bbgm_stat &gt;= perc_90, converted_stat * 2, IF(bbgm_stat &gt;= perc_85, converted_stat * 1.5, converted_stat)))))</f>
        <v/>
      </c>
      <c r="P498" s="30" t="str">
        <f t="array" ref="P498">IF($A498="", "", LET(bbgm_stat, INDEX(Players!$A497:$P497, MATCH(P$2, Players!$A$1:$P$1, 0)), perc_75, VLOOKUP(P$2, Percentiles!$A$45:$I$59, 6, FALSE), perc_90, VLOOKUP(P$2, Percentiles!$A$45:$I$59, 7, FALSE), perc_95, VLOOKUP(P$2, Percentiles!$A$45:$I$59, 8, FALSE), perc_85, perc_75 + (perc_90 - perc_75) * (2/3), converted_stat, '2K_Ratings'!P498, IF(bbgm_stat &gt;= perc_95, converted_stat * 3, IF(bbgm_stat &gt;= perc_90, converted_stat * 2, IF(bbgm_stat &gt;= perc_85, converted_stat * 1.5, converted_stat)))))</f>
        <v/>
      </c>
      <c r="Q498" s="30" t="str">
        <f t="array" ref="Q498">IF($A498="", "", LET(bbgm_stat, INDEX(Players!$A497:$P497, MATCH(Q$2, Players!$A$1:$P$1, 0)), perc_75, VLOOKUP(Q$2, Percentiles!$A$45:$I$59, 6, FALSE), perc_90, VLOOKUP(Q$2, Percentiles!$A$45:$I$59, 7, FALSE), perc_95, VLOOKUP(Q$2, Percentiles!$A$45:$I$59, 8, FALSE), perc_85, perc_75 + (perc_90 - perc_75) * (2/3), converted_stat, '2K_Ratings'!Q498, IF(bbgm_stat &gt;= perc_95, converted_stat * 3, IF(bbgm_stat &gt;= perc_90, converted_stat * 2, IF(bbgm_stat &gt;= perc_85, converted_stat * 1.5, converted_stat)))))</f>
        <v/>
      </c>
      <c r="R498" s="30" t="str">
        <f t="array" ref="R498">IF($A498="", "", LET(bbgm_stat, INDEX(Players!$A497:$P497, MATCH(R$2, Players!$A$1:$P$1, 0)), perc_75, VLOOKUP(R$2, Percentiles!$A$45:$I$59, 6, FALSE), perc_90, VLOOKUP(R$2, Percentiles!$A$45:$I$59, 7, FALSE), perc_95, VLOOKUP(R$2, Percentiles!$A$45:$I$59, 8, FALSE), perc_85, perc_75 + (perc_90 - perc_75) * (2/3), converted_stat, '2K_Ratings'!R498, IF(bbgm_stat &gt;= perc_95, converted_stat * 3, IF(bbgm_stat &gt;= perc_90, converted_stat * 2, IF(bbgm_stat &gt;= perc_85, converted_stat * 1.5, converted_stat)))))</f>
        <v/>
      </c>
      <c r="S498" s="30" t="str">
        <f t="array" ref="S498">IF($A498="", "", LET(bbgm_stat, INDEX(Players!$A497:$P497, MATCH(S$2, Players!$A$1:$P$1, 0)), perc_75, VLOOKUP(S$2, Percentiles!$A$45:$I$59, 6, FALSE), perc_90, VLOOKUP(S$2, Percentiles!$A$45:$I$59, 7, FALSE), perc_95, VLOOKUP(S$2, Percentiles!$A$45:$I$59, 8, FALSE), perc_85, perc_75 + (perc_90 - perc_75) * (2/3), converted_stat, '2K_Ratings'!S498, IF(bbgm_stat &gt;= perc_95, converted_stat * 3, IF(bbgm_stat &gt;= perc_90, converted_stat * 2, IF(bbgm_stat &gt;= perc_85, converted_stat * 1.5, converted_stat)))))</f>
        <v/>
      </c>
      <c r="T498" s="30" t="str">
        <f t="array" ref="T498">IF($A498="", "", LET(bbgm_stat, INDEX(Players!$A497:$P497, MATCH(T$2, Players!$A$1:$P$1, 0)), perc_75, VLOOKUP(T$2, Percentiles!$A$45:$I$59, 6, FALSE), perc_90, VLOOKUP(T$2, Percentiles!$A$45:$I$59, 7, FALSE), perc_95, VLOOKUP(T$2, Percentiles!$A$45:$I$59, 8, FALSE), perc_85, perc_75 + (perc_90 - perc_75) * (2/3), converted_stat, '2K_Ratings'!T498, IF(bbgm_stat &gt;= perc_95, converted_stat * 3, IF(bbgm_stat &gt;= perc_90, converted_stat * 2, IF(bbgm_stat &gt;= perc_85, converted_stat * 1.5, converted_stat)))))</f>
        <v/>
      </c>
      <c r="U498" s="30" t="str">
        <f t="array" ref="U498">IF($A498="", "", LET(bbgm_stat, INDEX(Players!$A497:$P497, MATCH(U$2, Players!$A$1:$P$1, 0)), perc_75, VLOOKUP(U$2, Percentiles!$A$45:$I$59, 6, FALSE), perc_90, VLOOKUP(U$2, Percentiles!$A$45:$I$59, 7, FALSE), perc_95, VLOOKUP(U$2, Percentiles!$A$45:$I$59, 8, FALSE), perc_85, perc_75 + (perc_90 - perc_75) * (2/3), converted_stat, '2K_Ratings'!U498, IF(bbgm_stat &gt;= perc_95, converted_stat * 3, IF(bbgm_stat &gt;= perc_90, converted_stat * 2, IF(bbgm_stat &gt;= perc_85, converted_stat * 1.5, converted_stat)))))</f>
        <v/>
      </c>
      <c r="V498" s="30" t="str">
        <f t="array" ref="V498">IF($A498="", "", LET(bbgm_stat, INDEX(Players!$A497:$P497, MATCH(V$2, Players!$A$1:$P$1, 0)), perc_75, VLOOKUP(V$2, Percentiles!$A$45:$I$59, 6, FALSE), perc_90, VLOOKUP(V$2, Percentiles!$A$45:$I$59, 7, FALSE), perc_95, VLOOKUP(V$2, Percentiles!$A$45:$I$59, 8, FALSE), perc_85, perc_75 + (perc_90 - perc_75) * (2/3), converted_stat, '2K_Ratings'!V498, IF(bbgm_stat &gt;= perc_95, converted_stat * 3, IF(bbgm_stat &gt;= perc_90, converted_stat * 2, IF(bbgm_stat &gt;= perc_85, converted_stat * 1.5, converted_stat)))))</f>
        <v/>
      </c>
      <c r="W498" s="30" t="str">
        <f t="array" ref="W498">IF($A498="", "", LET(bbgm_stat, INDEX(Players!$A497:$P497, MATCH(W$2, Players!$A$1:$P$1, 0)), perc_75, VLOOKUP(W$2, Percentiles!$A$45:$I$59, 6, FALSE), perc_90, VLOOKUP(W$2, Percentiles!$A$45:$I$59, 7, FALSE), perc_95, VLOOKUP(W$2, Percentiles!$A$45:$I$59, 8, FALSE), perc_85, perc_75 + (perc_90 - perc_75) * (2/3), converted_stat, '2K_Ratings'!W498, IF(bbgm_stat &gt;= perc_95, converted_stat * 3, IF(bbgm_stat &gt;= perc_90, converted_stat * 2, IF(bbgm_stat &gt;= perc_85, converted_stat * 1.5, converted_stat)))))</f>
        <v/>
      </c>
    </row>
    <row r="499">
      <c r="A499" s="30"/>
      <c r="B499" s="30" t="str">
        <f t="array" ref="B499">IF($A499="", "", LET(bbgm_stat, INDEX(Players!$A498:$P498, MATCH(B$2, Players!$A$1:$P$1, 0)), perc_75, VLOOKUP(B$2, Percentiles!$A$45:$I$59, 6, FALSE), perc_90, VLOOKUP(B$2, Percentiles!$A$45:$I$59, 7, FALSE), perc_95, VLOOKUP(B$2, Percentiles!$A$45:$I$59, 8, FALSE), perc_85, perc_75 + (perc_90 - perc_75) * (2/3), converted_stat, '2K_Ratings'!B499, IF(bbgm_stat &gt;= perc_95, converted_stat * 3, IF(bbgm_stat &gt;= perc_90, converted_stat * 2, IF(bbgm_stat &gt;= perc_85, converted_stat * 1.5, converted_stat)))))</f>
        <v/>
      </c>
      <c r="C499" s="30" t="str">
        <f t="array" ref="C499">IF($A499="", "", LET(bbgm_stat, INDEX(Players!$A498:$P498, MATCH(C$2, Players!$A$1:$P$1, 0)), perc_75, VLOOKUP(C$2, Percentiles!$A$45:$I$59, 6, FALSE), perc_90, VLOOKUP(C$2, Percentiles!$A$45:$I$59, 7, FALSE), perc_95, VLOOKUP(C$2, Percentiles!$A$45:$I$59, 8, FALSE), perc_85, perc_75 + (perc_90 - perc_75) * (2/3), converted_stat, '2K_Ratings'!C499, IF(bbgm_stat &gt;= perc_95, converted_stat * 3, IF(bbgm_stat &gt;= perc_90, converted_stat * 2, IF(bbgm_stat &gt;= perc_85, converted_stat * 1.5, converted_stat)))))</f>
        <v/>
      </c>
      <c r="D499" s="30" t="str">
        <f t="array" ref="D499">IF($A499="", "", LET(bbgm_stat, INDEX(Players!$A498:$P498, MATCH(D$2, Players!$A$1:$P$1, 0)), perc_75, VLOOKUP(D$2, Percentiles!$A$45:$I$59, 6, FALSE), perc_90, VLOOKUP(D$2, Percentiles!$A$45:$I$59, 7, FALSE), perc_95, VLOOKUP(D$2, Percentiles!$A$45:$I$59, 8, FALSE), perc_85, perc_75 + (perc_90 - perc_75) * (2/3), converted_stat, '2K_Ratings'!D499, IF(bbgm_stat &gt;= perc_95, converted_stat * 3, IF(bbgm_stat &gt;= perc_90, converted_stat * 2, IF(bbgm_stat &gt;= perc_85, converted_stat * 1.5, converted_stat)))))</f>
        <v/>
      </c>
      <c r="E499" s="30" t="str">
        <f t="array" ref="E499">IF($A499="", "", LET(bbgm_stat, INDEX(Players!$A498:$P498, MATCH(E$2, Players!$A$1:$P$1, 0)), perc_75, VLOOKUP(E$2, Percentiles!$A$45:$I$59, 6, FALSE), perc_90, VLOOKUP(E$2, Percentiles!$A$45:$I$59, 7, FALSE), perc_95, VLOOKUP(E$2, Percentiles!$A$45:$I$59, 8, FALSE), perc_85, perc_75 + (perc_90 - perc_75) * (2/3), converted_stat, '2K_Ratings'!E499, IF(bbgm_stat &gt;= perc_95, converted_stat * 3, IF(bbgm_stat &gt;= perc_90, converted_stat * 2, IF(bbgm_stat &gt;= perc_85, converted_stat * 1.5, converted_stat)))))</f>
        <v/>
      </c>
      <c r="F499" s="30" t="str">
        <f t="array" ref="F499">IF($A499="", "", LET(bbgm_stat, INDEX(Players!$A498:$P498, MATCH(F$2, Players!$A$1:$P$1, 0)), perc_75, VLOOKUP(F$2, Percentiles!$A$45:$I$59, 6, FALSE), perc_90, VLOOKUP(F$2, Percentiles!$A$45:$I$59, 7, FALSE), perc_95, VLOOKUP(F$2, Percentiles!$A$45:$I$59, 8, FALSE), perc_85, perc_75 + (perc_90 - perc_75) * (2/3), converted_stat, '2K_Ratings'!F499, IF(bbgm_stat &gt;= perc_95, converted_stat * 3, IF(bbgm_stat &gt;= perc_90, converted_stat * 2, IF(bbgm_stat &gt;= perc_85, converted_stat * 1.5, converted_stat)))))</f>
        <v/>
      </c>
      <c r="G499" s="30" t="str">
        <f t="array" ref="G499">IF($A499="", "", LET(bbgm_stat, INDEX(Players!$A498:$P498, MATCH(G$2, Players!$A$1:$P$1, 0)), perc_75, VLOOKUP(G$2, Percentiles!$A$45:$I$59, 6, FALSE), perc_90, VLOOKUP(G$2, Percentiles!$A$45:$I$59, 7, FALSE), perc_95, VLOOKUP(G$2, Percentiles!$A$45:$I$59, 8, FALSE), perc_85, perc_75 + (perc_90 - perc_75) * (2/3), converted_stat, '2K_Ratings'!G499, IF(bbgm_stat &gt;= perc_95, converted_stat * 3, IF(bbgm_stat &gt;= perc_90, converted_stat * 2, IF(bbgm_stat &gt;= perc_85, converted_stat * 1.5, converted_stat)))))</f>
        <v/>
      </c>
      <c r="H499" s="30" t="str">
        <f t="array" ref="H499">IF($A499="", "", LET(bbgm_stat, INDEX(Players!$A498:$P498, MATCH(H$2, Players!$A$1:$P$1, 0)), perc_75, VLOOKUP(H$2, Percentiles!$A$45:$I$59, 6, FALSE), perc_90, VLOOKUP(H$2, Percentiles!$A$45:$I$59, 7, FALSE), perc_95, VLOOKUP(H$2, Percentiles!$A$45:$I$59, 8, FALSE), perc_85, perc_75 + (perc_90 - perc_75) * (2/3), converted_stat, '2K_Ratings'!H499, IF(bbgm_stat &gt;= perc_95, converted_stat * 3, IF(bbgm_stat &gt;= perc_90, converted_stat * 2, IF(bbgm_stat &gt;= perc_85, converted_stat * 1.5, converted_stat)))))</f>
        <v/>
      </c>
      <c r="I499" s="30" t="str">
        <f t="array" ref="I499">IF($A499="", "", LET(bbgm_stat, INDEX(Players!$A498:$P498, MATCH(I$2, Players!$A$1:$P$1, 0)), perc_75, VLOOKUP(I$2, Percentiles!$A$45:$I$59, 6, FALSE), perc_90, VLOOKUP(I$2, Percentiles!$A$45:$I$59, 7, FALSE), perc_95, VLOOKUP(I$2, Percentiles!$A$45:$I$59, 8, FALSE), perc_85, perc_75 + (perc_90 - perc_75) * (2/3), converted_stat, '2K_Ratings'!I499, IF(bbgm_stat &gt;= perc_95, converted_stat * 3, IF(bbgm_stat &gt;= perc_90, converted_stat * 2, IF(bbgm_stat &gt;= perc_85, converted_stat * 1.5, converted_stat)))))</f>
        <v/>
      </c>
      <c r="J499" s="30" t="str">
        <f t="array" ref="J499">IF($A499="", "", LET(bbgm_stat, INDEX(Players!$A498:$P498, MATCH(J$2, Players!$A$1:$P$1, 0)), perc_75, VLOOKUP(J$2, Percentiles!$A$45:$I$59, 6, FALSE), perc_90, VLOOKUP(J$2, Percentiles!$A$45:$I$59, 7, FALSE), perc_95, VLOOKUP(J$2, Percentiles!$A$45:$I$59, 8, FALSE), perc_85, perc_75 + (perc_90 - perc_75) * (2/3), converted_stat, '2K_Ratings'!J499, IF(bbgm_stat &gt;= perc_95, converted_stat * 3, IF(bbgm_stat &gt;= perc_90, converted_stat * 2, IF(bbgm_stat &gt;= perc_85, converted_stat * 1.5, converted_stat)))))</f>
        <v/>
      </c>
      <c r="K499" s="30" t="str">
        <f t="array" ref="K499">IF($A499="", "", LET(bbgm_stat, INDEX(Players!$A498:$P498, MATCH(K$2, Players!$A$1:$P$1, 0)), perc_75, VLOOKUP(K$2, Percentiles!$A$45:$I$59, 6, FALSE), perc_90, VLOOKUP(K$2, Percentiles!$A$45:$I$59, 7, FALSE), perc_95, VLOOKUP(K$2, Percentiles!$A$45:$I$59, 8, FALSE), perc_85, perc_75 + (perc_90 - perc_75) * (2/3), converted_stat, '2K_Ratings'!K499, IF(bbgm_stat &gt;= perc_95, converted_stat * 3, IF(bbgm_stat &gt;= perc_90, converted_stat * 2, IF(bbgm_stat &gt;= perc_85, converted_stat * 1.5, converted_stat)))))</f>
        <v/>
      </c>
      <c r="L499" s="30" t="str">
        <f t="array" ref="L499">IF($A499="", "", LET(bbgm_stat, INDEX(Players!$A498:$P498, MATCH(L$2, Players!$A$1:$P$1, 0)), perc_75, VLOOKUP(L$2, Percentiles!$A$45:$I$59, 6, FALSE), perc_90, VLOOKUP(L$2, Percentiles!$A$45:$I$59, 7, FALSE), perc_95, VLOOKUP(L$2, Percentiles!$A$45:$I$59, 8, FALSE), perc_85, perc_75 + (perc_90 - perc_75) * (2/3), converted_stat, '2K_Ratings'!L499, IF(bbgm_stat &gt;= perc_95, converted_stat * 3, IF(bbgm_stat &gt;= perc_90, converted_stat * 2, IF(bbgm_stat &gt;= perc_85, converted_stat * 1.5, converted_stat)))))</f>
        <v/>
      </c>
      <c r="M499" s="30" t="str">
        <f t="array" ref="M499">IF($A499="", "", LET(bbgm_stat, INDEX(Players!$A498:$P498, MATCH(M$2, Players!$A$1:$P$1, 0)), perc_75, VLOOKUP(M$2, Percentiles!$A$45:$I$59, 6, FALSE), perc_90, VLOOKUP(M$2, Percentiles!$A$45:$I$59, 7, FALSE), perc_95, VLOOKUP(M$2, Percentiles!$A$45:$I$59, 8, FALSE), perc_85, perc_75 + (perc_90 - perc_75) * (2/3), converted_stat, '2K_Ratings'!M499, IF(bbgm_stat &gt;= perc_95, converted_stat * 3, IF(bbgm_stat &gt;= perc_90, converted_stat * 2, IF(bbgm_stat &gt;= perc_85, converted_stat * 1.5, converted_stat)))))</f>
        <v/>
      </c>
      <c r="N499" s="30" t="str">
        <f t="array" ref="N499">IF($A499="", "", LET(bbgm_stat, INDEX(Players!$A498:$P498, MATCH(N$2, Players!$A$1:$P$1, 0)), perc_75, VLOOKUP(N$2, Percentiles!$A$45:$I$59, 6, FALSE), perc_90, VLOOKUP(N$2, Percentiles!$A$45:$I$59, 7, FALSE), perc_95, VLOOKUP(N$2, Percentiles!$A$45:$I$59, 8, FALSE), perc_85, perc_75 + (perc_90 - perc_75) * (2/3), converted_stat, '2K_Ratings'!N499, IF(bbgm_stat &gt;= perc_95, converted_stat * 3, IF(bbgm_stat &gt;= perc_90, converted_stat * 2, IF(bbgm_stat &gt;= perc_85, converted_stat * 1.5, converted_stat)))))</f>
        <v/>
      </c>
      <c r="O499" s="30" t="str">
        <f t="array" ref="O499">IF($A499="", "", LET(bbgm_stat, INDEX(Players!$A498:$P498, MATCH(O$2, Players!$A$1:$P$1, 0)), perc_75, VLOOKUP(O$2, Percentiles!$A$45:$I$59, 6, FALSE), perc_90, VLOOKUP(O$2, Percentiles!$A$45:$I$59, 7, FALSE), perc_95, VLOOKUP(O$2, Percentiles!$A$45:$I$59, 8, FALSE), perc_85, perc_75 + (perc_90 - perc_75) * (2/3), converted_stat, '2K_Ratings'!O499, IF(bbgm_stat &gt;= perc_95, converted_stat * 3, IF(bbgm_stat &gt;= perc_90, converted_stat * 2, IF(bbgm_stat &gt;= perc_85, converted_stat * 1.5, converted_stat)))))</f>
        <v/>
      </c>
      <c r="P499" s="30" t="str">
        <f t="array" ref="P499">IF($A499="", "", LET(bbgm_stat, INDEX(Players!$A498:$P498, MATCH(P$2, Players!$A$1:$P$1, 0)), perc_75, VLOOKUP(P$2, Percentiles!$A$45:$I$59, 6, FALSE), perc_90, VLOOKUP(P$2, Percentiles!$A$45:$I$59, 7, FALSE), perc_95, VLOOKUP(P$2, Percentiles!$A$45:$I$59, 8, FALSE), perc_85, perc_75 + (perc_90 - perc_75) * (2/3), converted_stat, '2K_Ratings'!P499, IF(bbgm_stat &gt;= perc_95, converted_stat * 3, IF(bbgm_stat &gt;= perc_90, converted_stat * 2, IF(bbgm_stat &gt;= perc_85, converted_stat * 1.5, converted_stat)))))</f>
        <v/>
      </c>
      <c r="Q499" s="30" t="str">
        <f t="array" ref="Q499">IF($A499="", "", LET(bbgm_stat, INDEX(Players!$A498:$P498, MATCH(Q$2, Players!$A$1:$P$1, 0)), perc_75, VLOOKUP(Q$2, Percentiles!$A$45:$I$59, 6, FALSE), perc_90, VLOOKUP(Q$2, Percentiles!$A$45:$I$59, 7, FALSE), perc_95, VLOOKUP(Q$2, Percentiles!$A$45:$I$59, 8, FALSE), perc_85, perc_75 + (perc_90 - perc_75) * (2/3), converted_stat, '2K_Ratings'!Q499, IF(bbgm_stat &gt;= perc_95, converted_stat * 3, IF(bbgm_stat &gt;= perc_90, converted_stat * 2, IF(bbgm_stat &gt;= perc_85, converted_stat * 1.5, converted_stat)))))</f>
        <v/>
      </c>
      <c r="R499" s="30" t="str">
        <f t="array" ref="R499">IF($A499="", "", LET(bbgm_stat, INDEX(Players!$A498:$P498, MATCH(R$2, Players!$A$1:$P$1, 0)), perc_75, VLOOKUP(R$2, Percentiles!$A$45:$I$59, 6, FALSE), perc_90, VLOOKUP(R$2, Percentiles!$A$45:$I$59, 7, FALSE), perc_95, VLOOKUP(R$2, Percentiles!$A$45:$I$59, 8, FALSE), perc_85, perc_75 + (perc_90 - perc_75) * (2/3), converted_stat, '2K_Ratings'!R499, IF(bbgm_stat &gt;= perc_95, converted_stat * 3, IF(bbgm_stat &gt;= perc_90, converted_stat * 2, IF(bbgm_stat &gt;= perc_85, converted_stat * 1.5, converted_stat)))))</f>
        <v/>
      </c>
      <c r="S499" s="30" t="str">
        <f t="array" ref="S499">IF($A499="", "", LET(bbgm_stat, INDEX(Players!$A498:$P498, MATCH(S$2, Players!$A$1:$P$1, 0)), perc_75, VLOOKUP(S$2, Percentiles!$A$45:$I$59, 6, FALSE), perc_90, VLOOKUP(S$2, Percentiles!$A$45:$I$59, 7, FALSE), perc_95, VLOOKUP(S$2, Percentiles!$A$45:$I$59, 8, FALSE), perc_85, perc_75 + (perc_90 - perc_75) * (2/3), converted_stat, '2K_Ratings'!S499, IF(bbgm_stat &gt;= perc_95, converted_stat * 3, IF(bbgm_stat &gt;= perc_90, converted_stat * 2, IF(bbgm_stat &gt;= perc_85, converted_stat * 1.5, converted_stat)))))</f>
        <v/>
      </c>
      <c r="T499" s="30" t="str">
        <f t="array" ref="T499">IF($A499="", "", LET(bbgm_stat, INDEX(Players!$A498:$P498, MATCH(T$2, Players!$A$1:$P$1, 0)), perc_75, VLOOKUP(T$2, Percentiles!$A$45:$I$59, 6, FALSE), perc_90, VLOOKUP(T$2, Percentiles!$A$45:$I$59, 7, FALSE), perc_95, VLOOKUP(T$2, Percentiles!$A$45:$I$59, 8, FALSE), perc_85, perc_75 + (perc_90 - perc_75) * (2/3), converted_stat, '2K_Ratings'!T499, IF(bbgm_stat &gt;= perc_95, converted_stat * 3, IF(bbgm_stat &gt;= perc_90, converted_stat * 2, IF(bbgm_stat &gt;= perc_85, converted_stat * 1.5, converted_stat)))))</f>
        <v/>
      </c>
      <c r="U499" s="30" t="str">
        <f t="array" ref="U499">IF($A499="", "", LET(bbgm_stat, INDEX(Players!$A498:$P498, MATCH(U$2, Players!$A$1:$P$1, 0)), perc_75, VLOOKUP(U$2, Percentiles!$A$45:$I$59, 6, FALSE), perc_90, VLOOKUP(U$2, Percentiles!$A$45:$I$59, 7, FALSE), perc_95, VLOOKUP(U$2, Percentiles!$A$45:$I$59, 8, FALSE), perc_85, perc_75 + (perc_90 - perc_75) * (2/3), converted_stat, '2K_Ratings'!U499, IF(bbgm_stat &gt;= perc_95, converted_stat * 3, IF(bbgm_stat &gt;= perc_90, converted_stat * 2, IF(bbgm_stat &gt;= perc_85, converted_stat * 1.5, converted_stat)))))</f>
        <v/>
      </c>
      <c r="V499" s="30" t="str">
        <f t="array" ref="V499">IF($A499="", "", LET(bbgm_stat, INDEX(Players!$A498:$P498, MATCH(V$2, Players!$A$1:$P$1, 0)), perc_75, VLOOKUP(V$2, Percentiles!$A$45:$I$59, 6, FALSE), perc_90, VLOOKUP(V$2, Percentiles!$A$45:$I$59, 7, FALSE), perc_95, VLOOKUP(V$2, Percentiles!$A$45:$I$59, 8, FALSE), perc_85, perc_75 + (perc_90 - perc_75) * (2/3), converted_stat, '2K_Ratings'!V499, IF(bbgm_stat &gt;= perc_95, converted_stat * 3, IF(bbgm_stat &gt;= perc_90, converted_stat * 2, IF(bbgm_stat &gt;= perc_85, converted_stat * 1.5, converted_stat)))))</f>
        <v/>
      </c>
      <c r="W499" s="30" t="str">
        <f t="array" ref="W499">IF($A499="", "", LET(bbgm_stat, INDEX(Players!$A498:$P498, MATCH(W$2, Players!$A$1:$P$1, 0)), perc_75, VLOOKUP(W$2, Percentiles!$A$45:$I$59, 6, FALSE), perc_90, VLOOKUP(W$2, Percentiles!$A$45:$I$59, 7, FALSE), perc_95, VLOOKUP(W$2, Percentiles!$A$45:$I$59, 8, FALSE), perc_85, perc_75 + (perc_90 - perc_75) * (2/3), converted_stat, '2K_Ratings'!W499, IF(bbgm_stat &gt;= perc_95, converted_stat * 3, IF(bbgm_stat &gt;= perc_90, converted_stat * 2, IF(bbgm_stat &gt;= perc_85, converted_stat * 1.5, converted_stat)))))</f>
        <v/>
      </c>
    </row>
    <row r="500">
      <c r="A500" s="30"/>
      <c r="B500" s="30" t="str">
        <f t="array" ref="B500">IF($A500="", "", LET(bbgm_stat, INDEX(Players!$A499:$P499, MATCH(B$2, Players!$A$1:$P$1, 0)), perc_75, VLOOKUP(B$2, Percentiles!$A$45:$I$59, 6, FALSE), perc_90, VLOOKUP(B$2, Percentiles!$A$45:$I$59, 7, FALSE), perc_95, VLOOKUP(B$2, Percentiles!$A$45:$I$59, 8, FALSE), perc_85, perc_75 + (perc_90 - perc_75) * (2/3), converted_stat, '2K_Ratings'!B500, IF(bbgm_stat &gt;= perc_95, converted_stat * 3, IF(bbgm_stat &gt;= perc_90, converted_stat * 2, IF(bbgm_stat &gt;= perc_85, converted_stat * 1.5, converted_stat)))))</f>
        <v/>
      </c>
      <c r="C500" s="30" t="str">
        <f t="array" ref="C500">IF($A500="", "", LET(bbgm_stat, INDEX(Players!$A499:$P499, MATCH(C$2, Players!$A$1:$P$1, 0)), perc_75, VLOOKUP(C$2, Percentiles!$A$45:$I$59, 6, FALSE), perc_90, VLOOKUP(C$2, Percentiles!$A$45:$I$59, 7, FALSE), perc_95, VLOOKUP(C$2, Percentiles!$A$45:$I$59, 8, FALSE), perc_85, perc_75 + (perc_90 - perc_75) * (2/3), converted_stat, '2K_Ratings'!C500, IF(bbgm_stat &gt;= perc_95, converted_stat * 3, IF(bbgm_stat &gt;= perc_90, converted_stat * 2, IF(bbgm_stat &gt;= perc_85, converted_stat * 1.5, converted_stat)))))</f>
        <v/>
      </c>
      <c r="D500" s="30" t="str">
        <f t="array" ref="D500">IF($A500="", "", LET(bbgm_stat, INDEX(Players!$A499:$P499, MATCH(D$2, Players!$A$1:$P$1, 0)), perc_75, VLOOKUP(D$2, Percentiles!$A$45:$I$59, 6, FALSE), perc_90, VLOOKUP(D$2, Percentiles!$A$45:$I$59, 7, FALSE), perc_95, VLOOKUP(D$2, Percentiles!$A$45:$I$59, 8, FALSE), perc_85, perc_75 + (perc_90 - perc_75) * (2/3), converted_stat, '2K_Ratings'!D500, IF(bbgm_stat &gt;= perc_95, converted_stat * 3, IF(bbgm_stat &gt;= perc_90, converted_stat * 2, IF(bbgm_stat &gt;= perc_85, converted_stat * 1.5, converted_stat)))))</f>
        <v/>
      </c>
      <c r="E500" s="30" t="str">
        <f t="array" ref="E500">IF($A500="", "", LET(bbgm_stat, INDEX(Players!$A499:$P499, MATCH(E$2, Players!$A$1:$P$1, 0)), perc_75, VLOOKUP(E$2, Percentiles!$A$45:$I$59, 6, FALSE), perc_90, VLOOKUP(E$2, Percentiles!$A$45:$I$59, 7, FALSE), perc_95, VLOOKUP(E$2, Percentiles!$A$45:$I$59, 8, FALSE), perc_85, perc_75 + (perc_90 - perc_75) * (2/3), converted_stat, '2K_Ratings'!E500, IF(bbgm_stat &gt;= perc_95, converted_stat * 3, IF(bbgm_stat &gt;= perc_90, converted_stat * 2, IF(bbgm_stat &gt;= perc_85, converted_stat * 1.5, converted_stat)))))</f>
        <v/>
      </c>
      <c r="F500" s="30" t="str">
        <f t="array" ref="F500">IF($A500="", "", LET(bbgm_stat, INDEX(Players!$A499:$P499, MATCH(F$2, Players!$A$1:$P$1, 0)), perc_75, VLOOKUP(F$2, Percentiles!$A$45:$I$59, 6, FALSE), perc_90, VLOOKUP(F$2, Percentiles!$A$45:$I$59, 7, FALSE), perc_95, VLOOKUP(F$2, Percentiles!$A$45:$I$59, 8, FALSE), perc_85, perc_75 + (perc_90 - perc_75) * (2/3), converted_stat, '2K_Ratings'!F500, IF(bbgm_stat &gt;= perc_95, converted_stat * 3, IF(bbgm_stat &gt;= perc_90, converted_stat * 2, IF(bbgm_stat &gt;= perc_85, converted_stat * 1.5, converted_stat)))))</f>
        <v/>
      </c>
      <c r="G500" s="30" t="str">
        <f t="array" ref="G500">IF($A500="", "", LET(bbgm_stat, INDEX(Players!$A499:$P499, MATCH(G$2, Players!$A$1:$P$1, 0)), perc_75, VLOOKUP(G$2, Percentiles!$A$45:$I$59, 6, FALSE), perc_90, VLOOKUP(G$2, Percentiles!$A$45:$I$59, 7, FALSE), perc_95, VLOOKUP(G$2, Percentiles!$A$45:$I$59, 8, FALSE), perc_85, perc_75 + (perc_90 - perc_75) * (2/3), converted_stat, '2K_Ratings'!G500, IF(bbgm_stat &gt;= perc_95, converted_stat * 3, IF(bbgm_stat &gt;= perc_90, converted_stat * 2, IF(bbgm_stat &gt;= perc_85, converted_stat * 1.5, converted_stat)))))</f>
        <v/>
      </c>
      <c r="H500" s="30" t="str">
        <f t="array" ref="H500">IF($A500="", "", LET(bbgm_stat, INDEX(Players!$A499:$P499, MATCH(H$2, Players!$A$1:$P$1, 0)), perc_75, VLOOKUP(H$2, Percentiles!$A$45:$I$59, 6, FALSE), perc_90, VLOOKUP(H$2, Percentiles!$A$45:$I$59, 7, FALSE), perc_95, VLOOKUP(H$2, Percentiles!$A$45:$I$59, 8, FALSE), perc_85, perc_75 + (perc_90 - perc_75) * (2/3), converted_stat, '2K_Ratings'!H500, IF(bbgm_stat &gt;= perc_95, converted_stat * 3, IF(bbgm_stat &gt;= perc_90, converted_stat * 2, IF(bbgm_stat &gt;= perc_85, converted_stat * 1.5, converted_stat)))))</f>
        <v/>
      </c>
      <c r="I500" s="30" t="str">
        <f t="array" ref="I500">IF($A500="", "", LET(bbgm_stat, INDEX(Players!$A499:$P499, MATCH(I$2, Players!$A$1:$P$1, 0)), perc_75, VLOOKUP(I$2, Percentiles!$A$45:$I$59, 6, FALSE), perc_90, VLOOKUP(I$2, Percentiles!$A$45:$I$59, 7, FALSE), perc_95, VLOOKUP(I$2, Percentiles!$A$45:$I$59, 8, FALSE), perc_85, perc_75 + (perc_90 - perc_75) * (2/3), converted_stat, '2K_Ratings'!I500, IF(bbgm_stat &gt;= perc_95, converted_stat * 3, IF(bbgm_stat &gt;= perc_90, converted_stat * 2, IF(bbgm_stat &gt;= perc_85, converted_stat * 1.5, converted_stat)))))</f>
        <v/>
      </c>
      <c r="J500" s="30" t="str">
        <f t="array" ref="J500">IF($A500="", "", LET(bbgm_stat, INDEX(Players!$A499:$P499, MATCH(J$2, Players!$A$1:$P$1, 0)), perc_75, VLOOKUP(J$2, Percentiles!$A$45:$I$59, 6, FALSE), perc_90, VLOOKUP(J$2, Percentiles!$A$45:$I$59, 7, FALSE), perc_95, VLOOKUP(J$2, Percentiles!$A$45:$I$59, 8, FALSE), perc_85, perc_75 + (perc_90 - perc_75) * (2/3), converted_stat, '2K_Ratings'!J500, IF(bbgm_stat &gt;= perc_95, converted_stat * 3, IF(bbgm_stat &gt;= perc_90, converted_stat * 2, IF(bbgm_stat &gt;= perc_85, converted_stat * 1.5, converted_stat)))))</f>
        <v/>
      </c>
      <c r="K500" s="30" t="str">
        <f t="array" ref="K500">IF($A500="", "", LET(bbgm_stat, INDEX(Players!$A499:$P499, MATCH(K$2, Players!$A$1:$P$1, 0)), perc_75, VLOOKUP(K$2, Percentiles!$A$45:$I$59, 6, FALSE), perc_90, VLOOKUP(K$2, Percentiles!$A$45:$I$59, 7, FALSE), perc_95, VLOOKUP(K$2, Percentiles!$A$45:$I$59, 8, FALSE), perc_85, perc_75 + (perc_90 - perc_75) * (2/3), converted_stat, '2K_Ratings'!K500, IF(bbgm_stat &gt;= perc_95, converted_stat * 3, IF(bbgm_stat &gt;= perc_90, converted_stat * 2, IF(bbgm_stat &gt;= perc_85, converted_stat * 1.5, converted_stat)))))</f>
        <v/>
      </c>
      <c r="L500" s="30" t="str">
        <f t="array" ref="L500">IF($A500="", "", LET(bbgm_stat, INDEX(Players!$A499:$P499, MATCH(L$2, Players!$A$1:$P$1, 0)), perc_75, VLOOKUP(L$2, Percentiles!$A$45:$I$59, 6, FALSE), perc_90, VLOOKUP(L$2, Percentiles!$A$45:$I$59, 7, FALSE), perc_95, VLOOKUP(L$2, Percentiles!$A$45:$I$59, 8, FALSE), perc_85, perc_75 + (perc_90 - perc_75) * (2/3), converted_stat, '2K_Ratings'!L500, IF(bbgm_stat &gt;= perc_95, converted_stat * 3, IF(bbgm_stat &gt;= perc_90, converted_stat * 2, IF(bbgm_stat &gt;= perc_85, converted_stat * 1.5, converted_stat)))))</f>
        <v/>
      </c>
      <c r="M500" s="30" t="str">
        <f t="array" ref="M500">IF($A500="", "", LET(bbgm_stat, INDEX(Players!$A499:$P499, MATCH(M$2, Players!$A$1:$P$1, 0)), perc_75, VLOOKUP(M$2, Percentiles!$A$45:$I$59, 6, FALSE), perc_90, VLOOKUP(M$2, Percentiles!$A$45:$I$59, 7, FALSE), perc_95, VLOOKUP(M$2, Percentiles!$A$45:$I$59, 8, FALSE), perc_85, perc_75 + (perc_90 - perc_75) * (2/3), converted_stat, '2K_Ratings'!M500, IF(bbgm_stat &gt;= perc_95, converted_stat * 3, IF(bbgm_stat &gt;= perc_90, converted_stat * 2, IF(bbgm_stat &gt;= perc_85, converted_stat * 1.5, converted_stat)))))</f>
        <v/>
      </c>
      <c r="N500" s="30" t="str">
        <f t="array" ref="N500">IF($A500="", "", LET(bbgm_stat, INDEX(Players!$A499:$P499, MATCH(N$2, Players!$A$1:$P$1, 0)), perc_75, VLOOKUP(N$2, Percentiles!$A$45:$I$59, 6, FALSE), perc_90, VLOOKUP(N$2, Percentiles!$A$45:$I$59, 7, FALSE), perc_95, VLOOKUP(N$2, Percentiles!$A$45:$I$59, 8, FALSE), perc_85, perc_75 + (perc_90 - perc_75) * (2/3), converted_stat, '2K_Ratings'!N500, IF(bbgm_stat &gt;= perc_95, converted_stat * 3, IF(bbgm_stat &gt;= perc_90, converted_stat * 2, IF(bbgm_stat &gt;= perc_85, converted_stat * 1.5, converted_stat)))))</f>
        <v/>
      </c>
      <c r="O500" s="30" t="str">
        <f t="array" ref="O500">IF($A500="", "", LET(bbgm_stat, INDEX(Players!$A499:$P499, MATCH(O$2, Players!$A$1:$P$1, 0)), perc_75, VLOOKUP(O$2, Percentiles!$A$45:$I$59, 6, FALSE), perc_90, VLOOKUP(O$2, Percentiles!$A$45:$I$59, 7, FALSE), perc_95, VLOOKUP(O$2, Percentiles!$A$45:$I$59, 8, FALSE), perc_85, perc_75 + (perc_90 - perc_75) * (2/3), converted_stat, '2K_Ratings'!O500, IF(bbgm_stat &gt;= perc_95, converted_stat * 3, IF(bbgm_stat &gt;= perc_90, converted_stat * 2, IF(bbgm_stat &gt;= perc_85, converted_stat * 1.5, converted_stat)))))</f>
        <v/>
      </c>
      <c r="P500" s="30" t="str">
        <f t="array" ref="P500">IF($A500="", "", LET(bbgm_stat, INDEX(Players!$A499:$P499, MATCH(P$2, Players!$A$1:$P$1, 0)), perc_75, VLOOKUP(P$2, Percentiles!$A$45:$I$59, 6, FALSE), perc_90, VLOOKUP(P$2, Percentiles!$A$45:$I$59, 7, FALSE), perc_95, VLOOKUP(P$2, Percentiles!$A$45:$I$59, 8, FALSE), perc_85, perc_75 + (perc_90 - perc_75) * (2/3), converted_stat, '2K_Ratings'!P500, IF(bbgm_stat &gt;= perc_95, converted_stat * 3, IF(bbgm_stat &gt;= perc_90, converted_stat * 2, IF(bbgm_stat &gt;= perc_85, converted_stat * 1.5, converted_stat)))))</f>
        <v/>
      </c>
      <c r="Q500" s="30" t="str">
        <f t="array" ref="Q500">IF($A500="", "", LET(bbgm_stat, INDEX(Players!$A499:$P499, MATCH(Q$2, Players!$A$1:$P$1, 0)), perc_75, VLOOKUP(Q$2, Percentiles!$A$45:$I$59, 6, FALSE), perc_90, VLOOKUP(Q$2, Percentiles!$A$45:$I$59, 7, FALSE), perc_95, VLOOKUP(Q$2, Percentiles!$A$45:$I$59, 8, FALSE), perc_85, perc_75 + (perc_90 - perc_75) * (2/3), converted_stat, '2K_Ratings'!Q500, IF(bbgm_stat &gt;= perc_95, converted_stat * 3, IF(bbgm_stat &gt;= perc_90, converted_stat * 2, IF(bbgm_stat &gt;= perc_85, converted_stat * 1.5, converted_stat)))))</f>
        <v/>
      </c>
      <c r="R500" s="30" t="str">
        <f t="array" ref="R500">IF($A500="", "", LET(bbgm_stat, INDEX(Players!$A499:$P499, MATCH(R$2, Players!$A$1:$P$1, 0)), perc_75, VLOOKUP(R$2, Percentiles!$A$45:$I$59, 6, FALSE), perc_90, VLOOKUP(R$2, Percentiles!$A$45:$I$59, 7, FALSE), perc_95, VLOOKUP(R$2, Percentiles!$A$45:$I$59, 8, FALSE), perc_85, perc_75 + (perc_90 - perc_75) * (2/3), converted_stat, '2K_Ratings'!R500, IF(bbgm_stat &gt;= perc_95, converted_stat * 3, IF(bbgm_stat &gt;= perc_90, converted_stat * 2, IF(bbgm_stat &gt;= perc_85, converted_stat * 1.5, converted_stat)))))</f>
        <v/>
      </c>
      <c r="S500" s="30" t="str">
        <f t="array" ref="S500">IF($A500="", "", LET(bbgm_stat, INDEX(Players!$A499:$P499, MATCH(S$2, Players!$A$1:$P$1, 0)), perc_75, VLOOKUP(S$2, Percentiles!$A$45:$I$59, 6, FALSE), perc_90, VLOOKUP(S$2, Percentiles!$A$45:$I$59, 7, FALSE), perc_95, VLOOKUP(S$2, Percentiles!$A$45:$I$59, 8, FALSE), perc_85, perc_75 + (perc_90 - perc_75) * (2/3), converted_stat, '2K_Ratings'!S500, IF(bbgm_stat &gt;= perc_95, converted_stat * 3, IF(bbgm_stat &gt;= perc_90, converted_stat * 2, IF(bbgm_stat &gt;= perc_85, converted_stat * 1.5, converted_stat)))))</f>
        <v/>
      </c>
      <c r="T500" s="30" t="str">
        <f t="array" ref="T500">IF($A500="", "", LET(bbgm_stat, INDEX(Players!$A499:$P499, MATCH(T$2, Players!$A$1:$P$1, 0)), perc_75, VLOOKUP(T$2, Percentiles!$A$45:$I$59, 6, FALSE), perc_90, VLOOKUP(T$2, Percentiles!$A$45:$I$59, 7, FALSE), perc_95, VLOOKUP(T$2, Percentiles!$A$45:$I$59, 8, FALSE), perc_85, perc_75 + (perc_90 - perc_75) * (2/3), converted_stat, '2K_Ratings'!T500, IF(bbgm_stat &gt;= perc_95, converted_stat * 3, IF(bbgm_stat &gt;= perc_90, converted_stat * 2, IF(bbgm_stat &gt;= perc_85, converted_stat * 1.5, converted_stat)))))</f>
        <v/>
      </c>
      <c r="U500" s="30" t="str">
        <f t="array" ref="U500">IF($A500="", "", LET(bbgm_stat, INDEX(Players!$A499:$P499, MATCH(U$2, Players!$A$1:$P$1, 0)), perc_75, VLOOKUP(U$2, Percentiles!$A$45:$I$59, 6, FALSE), perc_90, VLOOKUP(U$2, Percentiles!$A$45:$I$59, 7, FALSE), perc_95, VLOOKUP(U$2, Percentiles!$A$45:$I$59, 8, FALSE), perc_85, perc_75 + (perc_90 - perc_75) * (2/3), converted_stat, '2K_Ratings'!U500, IF(bbgm_stat &gt;= perc_95, converted_stat * 3, IF(bbgm_stat &gt;= perc_90, converted_stat * 2, IF(bbgm_stat &gt;= perc_85, converted_stat * 1.5, converted_stat)))))</f>
        <v/>
      </c>
      <c r="V500" s="30" t="str">
        <f t="array" ref="V500">IF($A500="", "", LET(bbgm_stat, INDEX(Players!$A499:$P499, MATCH(V$2, Players!$A$1:$P$1, 0)), perc_75, VLOOKUP(V$2, Percentiles!$A$45:$I$59, 6, FALSE), perc_90, VLOOKUP(V$2, Percentiles!$A$45:$I$59, 7, FALSE), perc_95, VLOOKUP(V$2, Percentiles!$A$45:$I$59, 8, FALSE), perc_85, perc_75 + (perc_90 - perc_75) * (2/3), converted_stat, '2K_Ratings'!V500, IF(bbgm_stat &gt;= perc_95, converted_stat * 3, IF(bbgm_stat &gt;= perc_90, converted_stat * 2, IF(bbgm_stat &gt;= perc_85, converted_stat * 1.5, converted_stat)))))</f>
        <v/>
      </c>
      <c r="W500" s="30" t="str">
        <f t="array" ref="W500">IF($A500="", "", LET(bbgm_stat, INDEX(Players!$A499:$P499, MATCH(W$2, Players!$A$1:$P$1, 0)), perc_75, VLOOKUP(W$2, Percentiles!$A$45:$I$59, 6, FALSE), perc_90, VLOOKUP(W$2, Percentiles!$A$45:$I$59, 7, FALSE), perc_95, VLOOKUP(W$2, Percentiles!$A$45:$I$59, 8, FALSE), perc_85, perc_75 + (perc_90 - perc_75) * (2/3), converted_stat, '2K_Ratings'!W500, IF(bbgm_stat &gt;= perc_95, converted_stat * 3, IF(bbgm_stat &gt;= perc_90, converted_stat * 2, IF(bbgm_stat &gt;= perc_85, converted_stat * 1.5, converted_stat)))))</f>
        <v/>
      </c>
    </row>
    <row r="501">
      <c r="A501" s="30"/>
      <c r="B501" s="30" t="str">
        <f t="array" ref="B501">IF($A501="", "", LET(bbgm_stat, INDEX(Players!$A500:$P500, MATCH(B$2, Players!$A$1:$P$1, 0)), perc_75, VLOOKUP(B$2, Percentiles!$A$45:$I$59, 6, FALSE), perc_90, VLOOKUP(B$2, Percentiles!$A$45:$I$59, 7, FALSE), perc_95, VLOOKUP(B$2, Percentiles!$A$45:$I$59, 8, FALSE), perc_85, perc_75 + (perc_90 - perc_75) * (2/3), converted_stat, '2K_Ratings'!B501, IF(bbgm_stat &gt;= perc_95, converted_stat * 3, IF(bbgm_stat &gt;= perc_90, converted_stat * 2, IF(bbgm_stat &gt;= perc_85, converted_stat * 1.5, converted_stat)))))</f>
        <v/>
      </c>
      <c r="C501" s="30" t="str">
        <f t="array" ref="C501">IF($A501="", "", LET(bbgm_stat, INDEX(Players!$A500:$P500, MATCH(C$2, Players!$A$1:$P$1, 0)), perc_75, VLOOKUP(C$2, Percentiles!$A$45:$I$59, 6, FALSE), perc_90, VLOOKUP(C$2, Percentiles!$A$45:$I$59, 7, FALSE), perc_95, VLOOKUP(C$2, Percentiles!$A$45:$I$59, 8, FALSE), perc_85, perc_75 + (perc_90 - perc_75) * (2/3), converted_stat, '2K_Ratings'!C501, IF(bbgm_stat &gt;= perc_95, converted_stat * 3, IF(bbgm_stat &gt;= perc_90, converted_stat * 2, IF(bbgm_stat &gt;= perc_85, converted_stat * 1.5, converted_stat)))))</f>
        <v/>
      </c>
      <c r="D501" s="30" t="str">
        <f t="array" ref="D501">IF($A501="", "", LET(bbgm_stat, INDEX(Players!$A500:$P500, MATCH(D$2, Players!$A$1:$P$1, 0)), perc_75, VLOOKUP(D$2, Percentiles!$A$45:$I$59, 6, FALSE), perc_90, VLOOKUP(D$2, Percentiles!$A$45:$I$59, 7, FALSE), perc_95, VLOOKUP(D$2, Percentiles!$A$45:$I$59, 8, FALSE), perc_85, perc_75 + (perc_90 - perc_75) * (2/3), converted_stat, '2K_Ratings'!D501, IF(bbgm_stat &gt;= perc_95, converted_stat * 3, IF(bbgm_stat &gt;= perc_90, converted_stat * 2, IF(bbgm_stat &gt;= perc_85, converted_stat * 1.5, converted_stat)))))</f>
        <v/>
      </c>
      <c r="E501" s="30" t="str">
        <f t="array" ref="E501">IF($A501="", "", LET(bbgm_stat, INDEX(Players!$A500:$P500, MATCH(E$2, Players!$A$1:$P$1, 0)), perc_75, VLOOKUP(E$2, Percentiles!$A$45:$I$59, 6, FALSE), perc_90, VLOOKUP(E$2, Percentiles!$A$45:$I$59, 7, FALSE), perc_95, VLOOKUP(E$2, Percentiles!$A$45:$I$59, 8, FALSE), perc_85, perc_75 + (perc_90 - perc_75) * (2/3), converted_stat, '2K_Ratings'!E501, IF(bbgm_stat &gt;= perc_95, converted_stat * 3, IF(bbgm_stat &gt;= perc_90, converted_stat * 2, IF(bbgm_stat &gt;= perc_85, converted_stat * 1.5, converted_stat)))))</f>
        <v/>
      </c>
      <c r="F501" s="30" t="str">
        <f t="array" ref="F501">IF($A501="", "", LET(bbgm_stat, INDEX(Players!$A500:$P500, MATCH(F$2, Players!$A$1:$P$1, 0)), perc_75, VLOOKUP(F$2, Percentiles!$A$45:$I$59, 6, FALSE), perc_90, VLOOKUP(F$2, Percentiles!$A$45:$I$59, 7, FALSE), perc_95, VLOOKUP(F$2, Percentiles!$A$45:$I$59, 8, FALSE), perc_85, perc_75 + (perc_90 - perc_75) * (2/3), converted_stat, '2K_Ratings'!F501, IF(bbgm_stat &gt;= perc_95, converted_stat * 3, IF(bbgm_stat &gt;= perc_90, converted_stat * 2, IF(bbgm_stat &gt;= perc_85, converted_stat * 1.5, converted_stat)))))</f>
        <v/>
      </c>
      <c r="G501" s="30" t="str">
        <f t="array" ref="G501">IF($A501="", "", LET(bbgm_stat, INDEX(Players!$A500:$P500, MATCH(G$2, Players!$A$1:$P$1, 0)), perc_75, VLOOKUP(G$2, Percentiles!$A$45:$I$59, 6, FALSE), perc_90, VLOOKUP(G$2, Percentiles!$A$45:$I$59, 7, FALSE), perc_95, VLOOKUP(G$2, Percentiles!$A$45:$I$59, 8, FALSE), perc_85, perc_75 + (perc_90 - perc_75) * (2/3), converted_stat, '2K_Ratings'!G501, IF(bbgm_stat &gt;= perc_95, converted_stat * 3, IF(bbgm_stat &gt;= perc_90, converted_stat * 2, IF(bbgm_stat &gt;= perc_85, converted_stat * 1.5, converted_stat)))))</f>
        <v/>
      </c>
      <c r="H501" s="30" t="str">
        <f t="array" ref="H501">IF($A501="", "", LET(bbgm_stat, INDEX(Players!$A500:$P500, MATCH(H$2, Players!$A$1:$P$1, 0)), perc_75, VLOOKUP(H$2, Percentiles!$A$45:$I$59, 6, FALSE), perc_90, VLOOKUP(H$2, Percentiles!$A$45:$I$59, 7, FALSE), perc_95, VLOOKUP(H$2, Percentiles!$A$45:$I$59, 8, FALSE), perc_85, perc_75 + (perc_90 - perc_75) * (2/3), converted_stat, '2K_Ratings'!H501, IF(bbgm_stat &gt;= perc_95, converted_stat * 3, IF(bbgm_stat &gt;= perc_90, converted_stat * 2, IF(bbgm_stat &gt;= perc_85, converted_stat * 1.5, converted_stat)))))</f>
        <v/>
      </c>
      <c r="I501" s="30" t="str">
        <f t="array" ref="I501">IF($A501="", "", LET(bbgm_stat, INDEX(Players!$A500:$P500, MATCH(I$2, Players!$A$1:$P$1, 0)), perc_75, VLOOKUP(I$2, Percentiles!$A$45:$I$59, 6, FALSE), perc_90, VLOOKUP(I$2, Percentiles!$A$45:$I$59, 7, FALSE), perc_95, VLOOKUP(I$2, Percentiles!$A$45:$I$59, 8, FALSE), perc_85, perc_75 + (perc_90 - perc_75) * (2/3), converted_stat, '2K_Ratings'!I501, IF(bbgm_stat &gt;= perc_95, converted_stat * 3, IF(bbgm_stat &gt;= perc_90, converted_stat * 2, IF(bbgm_stat &gt;= perc_85, converted_stat * 1.5, converted_stat)))))</f>
        <v/>
      </c>
      <c r="J501" s="30" t="str">
        <f t="array" ref="J501">IF($A501="", "", LET(bbgm_stat, INDEX(Players!$A500:$P500, MATCH(J$2, Players!$A$1:$P$1, 0)), perc_75, VLOOKUP(J$2, Percentiles!$A$45:$I$59, 6, FALSE), perc_90, VLOOKUP(J$2, Percentiles!$A$45:$I$59, 7, FALSE), perc_95, VLOOKUP(J$2, Percentiles!$A$45:$I$59, 8, FALSE), perc_85, perc_75 + (perc_90 - perc_75) * (2/3), converted_stat, '2K_Ratings'!J501, IF(bbgm_stat &gt;= perc_95, converted_stat * 3, IF(bbgm_stat &gt;= perc_90, converted_stat * 2, IF(bbgm_stat &gt;= perc_85, converted_stat * 1.5, converted_stat)))))</f>
        <v/>
      </c>
      <c r="K501" s="30" t="str">
        <f t="array" ref="K501">IF($A501="", "", LET(bbgm_stat, INDEX(Players!$A500:$P500, MATCH(K$2, Players!$A$1:$P$1, 0)), perc_75, VLOOKUP(K$2, Percentiles!$A$45:$I$59, 6, FALSE), perc_90, VLOOKUP(K$2, Percentiles!$A$45:$I$59, 7, FALSE), perc_95, VLOOKUP(K$2, Percentiles!$A$45:$I$59, 8, FALSE), perc_85, perc_75 + (perc_90 - perc_75) * (2/3), converted_stat, '2K_Ratings'!K501, IF(bbgm_stat &gt;= perc_95, converted_stat * 3, IF(bbgm_stat &gt;= perc_90, converted_stat * 2, IF(bbgm_stat &gt;= perc_85, converted_stat * 1.5, converted_stat)))))</f>
        <v/>
      </c>
      <c r="L501" s="30" t="str">
        <f t="array" ref="L501">IF($A501="", "", LET(bbgm_stat, INDEX(Players!$A500:$P500, MATCH(L$2, Players!$A$1:$P$1, 0)), perc_75, VLOOKUP(L$2, Percentiles!$A$45:$I$59, 6, FALSE), perc_90, VLOOKUP(L$2, Percentiles!$A$45:$I$59, 7, FALSE), perc_95, VLOOKUP(L$2, Percentiles!$A$45:$I$59, 8, FALSE), perc_85, perc_75 + (perc_90 - perc_75) * (2/3), converted_stat, '2K_Ratings'!L501, IF(bbgm_stat &gt;= perc_95, converted_stat * 3, IF(bbgm_stat &gt;= perc_90, converted_stat * 2, IF(bbgm_stat &gt;= perc_85, converted_stat * 1.5, converted_stat)))))</f>
        <v/>
      </c>
      <c r="M501" s="30" t="str">
        <f t="array" ref="M501">IF($A501="", "", LET(bbgm_stat, INDEX(Players!$A500:$P500, MATCH(M$2, Players!$A$1:$P$1, 0)), perc_75, VLOOKUP(M$2, Percentiles!$A$45:$I$59, 6, FALSE), perc_90, VLOOKUP(M$2, Percentiles!$A$45:$I$59, 7, FALSE), perc_95, VLOOKUP(M$2, Percentiles!$A$45:$I$59, 8, FALSE), perc_85, perc_75 + (perc_90 - perc_75) * (2/3), converted_stat, '2K_Ratings'!M501, IF(bbgm_stat &gt;= perc_95, converted_stat * 3, IF(bbgm_stat &gt;= perc_90, converted_stat * 2, IF(bbgm_stat &gt;= perc_85, converted_stat * 1.5, converted_stat)))))</f>
        <v/>
      </c>
      <c r="N501" s="30" t="str">
        <f t="array" ref="N501">IF($A501="", "", LET(bbgm_stat, INDEX(Players!$A500:$P500, MATCH(N$2, Players!$A$1:$P$1, 0)), perc_75, VLOOKUP(N$2, Percentiles!$A$45:$I$59, 6, FALSE), perc_90, VLOOKUP(N$2, Percentiles!$A$45:$I$59, 7, FALSE), perc_95, VLOOKUP(N$2, Percentiles!$A$45:$I$59, 8, FALSE), perc_85, perc_75 + (perc_90 - perc_75) * (2/3), converted_stat, '2K_Ratings'!N501, IF(bbgm_stat &gt;= perc_95, converted_stat * 3, IF(bbgm_stat &gt;= perc_90, converted_stat * 2, IF(bbgm_stat &gt;= perc_85, converted_stat * 1.5, converted_stat)))))</f>
        <v/>
      </c>
      <c r="O501" s="30" t="str">
        <f t="array" ref="O501">IF($A501="", "", LET(bbgm_stat, INDEX(Players!$A500:$P500, MATCH(O$2, Players!$A$1:$P$1, 0)), perc_75, VLOOKUP(O$2, Percentiles!$A$45:$I$59, 6, FALSE), perc_90, VLOOKUP(O$2, Percentiles!$A$45:$I$59, 7, FALSE), perc_95, VLOOKUP(O$2, Percentiles!$A$45:$I$59, 8, FALSE), perc_85, perc_75 + (perc_90 - perc_75) * (2/3), converted_stat, '2K_Ratings'!O501, IF(bbgm_stat &gt;= perc_95, converted_stat * 3, IF(bbgm_stat &gt;= perc_90, converted_stat * 2, IF(bbgm_stat &gt;= perc_85, converted_stat * 1.5, converted_stat)))))</f>
        <v/>
      </c>
      <c r="P501" s="30" t="str">
        <f t="array" ref="P501">IF($A501="", "", LET(bbgm_stat, INDEX(Players!$A500:$P500, MATCH(P$2, Players!$A$1:$P$1, 0)), perc_75, VLOOKUP(P$2, Percentiles!$A$45:$I$59, 6, FALSE), perc_90, VLOOKUP(P$2, Percentiles!$A$45:$I$59, 7, FALSE), perc_95, VLOOKUP(P$2, Percentiles!$A$45:$I$59, 8, FALSE), perc_85, perc_75 + (perc_90 - perc_75) * (2/3), converted_stat, '2K_Ratings'!P501, IF(bbgm_stat &gt;= perc_95, converted_stat * 3, IF(bbgm_stat &gt;= perc_90, converted_stat * 2, IF(bbgm_stat &gt;= perc_85, converted_stat * 1.5, converted_stat)))))</f>
        <v/>
      </c>
      <c r="Q501" s="30" t="str">
        <f t="array" ref="Q501">IF($A501="", "", LET(bbgm_stat, INDEX(Players!$A500:$P500, MATCH(Q$2, Players!$A$1:$P$1, 0)), perc_75, VLOOKUP(Q$2, Percentiles!$A$45:$I$59, 6, FALSE), perc_90, VLOOKUP(Q$2, Percentiles!$A$45:$I$59, 7, FALSE), perc_95, VLOOKUP(Q$2, Percentiles!$A$45:$I$59, 8, FALSE), perc_85, perc_75 + (perc_90 - perc_75) * (2/3), converted_stat, '2K_Ratings'!Q501, IF(bbgm_stat &gt;= perc_95, converted_stat * 3, IF(bbgm_stat &gt;= perc_90, converted_stat * 2, IF(bbgm_stat &gt;= perc_85, converted_stat * 1.5, converted_stat)))))</f>
        <v/>
      </c>
      <c r="R501" s="30" t="str">
        <f t="array" ref="R501">IF($A501="", "", LET(bbgm_stat, INDEX(Players!$A500:$P500, MATCH(R$2, Players!$A$1:$P$1, 0)), perc_75, VLOOKUP(R$2, Percentiles!$A$45:$I$59, 6, FALSE), perc_90, VLOOKUP(R$2, Percentiles!$A$45:$I$59, 7, FALSE), perc_95, VLOOKUP(R$2, Percentiles!$A$45:$I$59, 8, FALSE), perc_85, perc_75 + (perc_90 - perc_75) * (2/3), converted_stat, '2K_Ratings'!R501, IF(bbgm_stat &gt;= perc_95, converted_stat * 3, IF(bbgm_stat &gt;= perc_90, converted_stat * 2, IF(bbgm_stat &gt;= perc_85, converted_stat * 1.5, converted_stat)))))</f>
        <v/>
      </c>
      <c r="S501" s="30" t="str">
        <f t="array" ref="S501">IF($A501="", "", LET(bbgm_stat, INDEX(Players!$A500:$P500, MATCH(S$2, Players!$A$1:$P$1, 0)), perc_75, VLOOKUP(S$2, Percentiles!$A$45:$I$59, 6, FALSE), perc_90, VLOOKUP(S$2, Percentiles!$A$45:$I$59, 7, FALSE), perc_95, VLOOKUP(S$2, Percentiles!$A$45:$I$59, 8, FALSE), perc_85, perc_75 + (perc_90 - perc_75) * (2/3), converted_stat, '2K_Ratings'!S501, IF(bbgm_stat &gt;= perc_95, converted_stat * 3, IF(bbgm_stat &gt;= perc_90, converted_stat * 2, IF(bbgm_stat &gt;= perc_85, converted_stat * 1.5, converted_stat)))))</f>
        <v/>
      </c>
      <c r="T501" s="30" t="str">
        <f t="array" ref="T501">IF($A501="", "", LET(bbgm_stat, INDEX(Players!$A500:$P500, MATCH(T$2, Players!$A$1:$P$1, 0)), perc_75, VLOOKUP(T$2, Percentiles!$A$45:$I$59, 6, FALSE), perc_90, VLOOKUP(T$2, Percentiles!$A$45:$I$59, 7, FALSE), perc_95, VLOOKUP(T$2, Percentiles!$A$45:$I$59, 8, FALSE), perc_85, perc_75 + (perc_90 - perc_75) * (2/3), converted_stat, '2K_Ratings'!T501, IF(bbgm_stat &gt;= perc_95, converted_stat * 3, IF(bbgm_stat &gt;= perc_90, converted_stat * 2, IF(bbgm_stat &gt;= perc_85, converted_stat * 1.5, converted_stat)))))</f>
        <v/>
      </c>
      <c r="U501" s="30" t="str">
        <f t="array" ref="U501">IF($A501="", "", LET(bbgm_stat, INDEX(Players!$A500:$P500, MATCH(U$2, Players!$A$1:$P$1, 0)), perc_75, VLOOKUP(U$2, Percentiles!$A$45:$I$59, 6, FALSE), perc_90, VLOOKUP(U$2, Percentiles!$A$45:$I$59, 7, FALSE), perc_95, VLOOKUP(U$2, Percentiles!$A$45:$I$59, 8, FALSE), perc_85, perc_75 + (perc_90 - perc_75) * (2/3), converted_stat, '2K_Ratings'!U501, IF(bbgm_stat &gt;= perc_95, converted_stat * 3, IF(bbgm_stat &gt;= perc_90, converted_stat * 2, IF(bbgm_stat &gt;= perc_85, converted_stat * 1.5, converted_stat)))))</f>
        <v/>
      </c>
      <c r="V501" s="30" t="str">
        <f t="array" ref="V501">IF($A501="", "", LET(bbgm_stat, INDEX(Players!$A500:$P500, MATCH(V$2, Players!$A$1:$P$1, 0)), perc_75, VLOOKUP(V$2, Percentiles!$A$45:$I$59, 6, FALSE), perc_90, VLOOKUP(V$2, Percentiles!$A$45:$I$59, 7, FALSE), perc_95, VLOOKUP(V$2, Percentiles!$A$45:$I$59, 8, FALSE), perc_85, perc_75 + (perc_90 - perc_75) * (2/3), converted_stat, '2K_Ratings'!V501, IF(bbgm_stat &gt;= perc_95, converted_stat * 3, IF(bbgm_stat &gt;= perc_90, converted_stat * 2, IF(bbgm_stat &gt;= perc_85, converted_stat * 1.5, converted_stat)))))</f>
        <v/>
      </c>
      <c r="W501" s="30" t="str">
        <f t="array" ref="W501">IF($A501="", "", LET(bbgm_stat, INDEX(Players!$A500:$P500, MATCH(W$2, Players!$A$1:$P$1, 0)), perc_75, VLOOKUP(W$2, Percentiles!$A$45:$I$59, 6, FALSE), perc_90, VLOOKUP(W$2, Percentiles!$A$45:$I$59, 7, FALSE), perc_95, VLOOKUP(W$2, Percentiles!$A$45:$I$59, 8, FALSE), perc_85, perc_75 + (perc_90 - perc_75) * (2/3), converted_stat, '2K_Ratings'!W501, IF(bbgm_stat &gt;= perc_95, converted_stat * 3, IF(bbgm_stat &gt;= perc_90, converted_stat * 2, IF(bbgm_stat &gt;= perc_85, converted_stat * 1.5, converted_stat)))))</f>
        <v/>
      </c>
    </row>
    <row r="502">
      <c r="A502" s="30"/>
      <c r="B502" s="30" t="str">
        <f t="array" ref="B502">IF($A502="", "", LET(bbgm_stat, INDEX(Players!$A501:$P501, MATCH(B$2, Players!$A$1:$P$1, 0)), perc_75, VLOOKUP(B$2, Percentiles!$A$45:$I$59, 6, FALSE), perc_90, VLOOKUP(B$2, Percentiles!$A$45:$I$59, 7, FALSE), perc_95, VLOOKUP(B$2, Percentiles!$A$45:$I$59, 8, FALSE), perc_85, perc_75 + (perc_90 - perc_75) * (2/3), converted_stat, '2K_Ratings'!B502, IF(bbgm_stat &gt;= perc_95, converted_stat * 3, IF(bbgm_stat &gt;= perc_90, converted_stat * 2, IF(bbgm_stat &gt;= perc_85, converted_stat * 1.5, converted_stat)))))</f>
        <v/>
      </c>
      <c r="C502" s="30" t="str">
        <f t="array" ref="C502">IF($A502="", "", LET(bbgm_stat, INDEX(Players!$A501:$P501, MATCH(C$2, Players!$A$1:$P$1, 0)), perc_75, VLOOKUP(C$2, Percentiles!$A$45:$I$59, 6, FALSE), perc_90, VLOOKUP(C$2, Percentiles!$A$45:$I$59, 7, FALSE), perc_95, VLOOKUP(C$2, Percentiles!$A$45:$I$59, 8, FALSE), perc_85, perc_75 + (perc_90 - perc_75) * (2/3), converted_stat, '2K_Ratings'!C502, IF(bbgm_stat &gt;= perc_95, converted_stat * 3, IF(bbgm_stat &gt;= perc_90, converted_stat * 2, IF(bbgm_stat &gt;= perc_85, converted_stat * 1.5, converted_stat)))))</f>
        <v/>
      </c>
      <c r="D502" s="30" t="str">
        <f t="array" ref="D502">IF($A502="", "", LET(bbgm_stat, INDEX(Players!$A501:$P501, MATCH(D$2, Players!$A$1:$P$1, 0)), perc_75, VLOOKUP(D$2, Percentiles!$A$45:$I$59, 6, FALSE), perc_90, VLOOKUP(D$2, Percentiles!$A$45:$I$59, 7, FALSE), perc_95, VLOOKUP(D$2, Percentiles!$A$45:$I$59, 8, FALSE), perc_85, perc_75 + (perc_90 - perc_75) * (2/3), converted_stat, '2K_Ratings'!D502, IF(bbgm_stat &gt;= perc_95, converted_stat * 3, IF(bbgm_stat &gt;= perc_90, converted_stat * 2, IF(bbgm_stat &gt;= perc_85, converted_stat * 1.5, converted_stat)))))</f>
        <v/>
      </c>
      <c r="E502" s="30" t="str">
        <f t="array" ref="E502">IF($A502="", "", LET(bbgm_stat, INDEX(Players!$A501:$P501, MATCH(E$2, Players!$A$1:$P$1, 0)), perc_75, VLOOKUP(E$2, Percentiles!$A$45:$I$59, 6, FALSE), perc_90, VLOOKUP(E$2, Percentiles!$A$45:$I$59, 7, FALSE), perc_95, VLOOKUP(E$2, Percentiles!$A$45:$I$59, 8, FALSE), perc_85, perc_75 + (perc_90 - perc_75) * (2/3), converted_stat, '2K_Ratings'!E502, IF(bbgm_stat &gt;= perc_95, converted_stat * 3, IF(bbgm_stat &gt;= perc_90, converted_stat * 2, IF(bbgm_stat &gt;= perc_85, converted_stat * 1.5, converted_stat)))))</f>
        <v/>
      </c>
      <c r="F502" s="30" t="str">
        <f t="array" ref="F502">IF($A502="", "", LET(bbgm_stat, INDEX(Players!$A501:$P501, MATCH(F$2, Players!$A$1:$P$1, 0)), perc_75, VLOOKUP(F$2, Percentiles!$A$45:$I$59, 6, FALSE), perc_90, VLOOKUP(F$2, Percentiles!$A$45:$I$59, 7, FALSE), perc_95, VLOOKUP(F$2, Percentiles!$A$45:$I$59, 8, FALSE), perc_85, perc_75 + (perc_90 - perc_75) * (2/3), converted_stat, '2K_Ratings'!F502, IF(bbgm_stat &gt;= perc_95, converted_stat * 3, IF(bbgm_stat &gt;= perc_90, converted_stat * 2, IF(bbgm_stat &gt;= perc_85, converted_stat * 1.5, converted_stat)))))</f>
        <v/>
      </c>
      <c r="G502" s="30" t="str">
        <f t="array" ref="G502">IF($A502="", "", LET(bbgm_stat, INDEX(Players!$A501:$P501, MATCH(G$2, Players!$A$1:$P$1, 0)), perc_75, VLOOKUP(G$2, Percentiles!$A$45:$I$59, 6, FALSE), perc_90, VLOOKUP(G$2, Percentiles!$A$45:$I$59, 7, FALSE), perc_95, VLOOKUP(G$2, Percentiles!$A$45:$I$59, 8, FALSE), perc_85, perc_75 + (perc_90 - perc_75) * (2/3), converted_stat, '2K_Ratings'!G502, IF(bbgm_stat &gt;= perc_95, converted_stat * 3, IF(bbgm_stat &gt;= perc_90, converted_stat * 2, IF(bbgm_stat &gt;= perc_85, converted_stat * 1.5, converted_stat)))))</f>
        <v/>
      </c>
      <c r="H502" s="30" t="str">
        <f t="array" ref="H502">IF($A502="", "", LET(bbgm_stat, INDEX(Players!$A501:$P501, MATCH(H$2, Players!$A$1:$P$1, 0)), perc_75, VLOOKUP(H$2, Percentiles!$A$45:$I$59, 6, FALSE), perc_90, VLOOKUP(H$2, Percentiles!$A$45:$I$59, 7, FALSE), perc_95, VLOOKUP(H$2, Percentiles!$A$45:$I$59, 8, FALSE), perc_85, perc_75 + (perc_90 - perc_75) * (2/3), converted_stat, '2K_Ratings'!H502, IF(bbgm_stat &gt;= perc_95, converted_stat * 3, IF(bbgm_stat &gt;= perc_90, converted_stat * 2, IF(bbgm_stat &gt;= perc_85, converted_stat * 1.5, converted_stat)))))</f>
        <v/>
      </c>
      <c r="I502" s="30" t="str">
        <f t="array" ref="I502">IF($A502="", "", LET(bbgm_stat, INDEX(Players!$A501:$P501, MATCH(I$2, Players!$A$1:$P$1, 0)), perc_75, VLOOKUP(I$2, Percentiles!$A$45:$I$59, 6, FALSE), perc_90, VLOOKUP(I$2, Percentiles!$A$45:$I$59, 7, FALSE), perc_95, VLOOKUP(I$2, Percentiles!$A$45:$I$59, 8, FALSE), perc_85, perc_75 + (perc_90 - perc_75) * (2/3), converted_stat, '2K_Ratings'!I502, IF(bbgm_stat &gt;= perc_95, converted_stat * 3, IF(bbgm_stat &gt;= perc_90, converted_stat * 2, IF(bbgm_stat &gt;= perc_85, converted_stat * 1.5, converted_stat)))))</f>
        <v/>
      </c>
      <c r="J502" s="30" t="str">
        <f t="array" ref="J502">IF($A502="", "", LET(bbgm_stat, INDEX(Players!$A501:$P501, MATCH(J$2, Players!$A$1:$P$1, 0)), perc_75, VLOOKUP(J$2, Percentiles!$A$45:$I$59, 6, FALSE), perc_90, VLOOKUP(J$2, Percentiles!$A$45:$I$59, 7, FALSE), perc_95, VLOOKUP(J$2, Percentiles!$A$45:$I$59, 8, FALSE), perc_85, perc_75 + (perc_90 - perc_75) * (2/3), converted_stat, '2K_Ratings'!J502, IF(bbgm_stat &gt;= perc_95, converted_stat * 3, IF(bbgm_stat &gt;= perc_90, converted_stat * 2, IF(bbgm_stat &gt;= perc_85, converted_stat * 1.5, converted_stat)))))</f>
        <v/>
      </c>
      <c r="K502" s="30" t="str">
        <f t="array" ref="K502">IF($A502="", "", LET(bbgm_stat, INDEX(Players!$A501:$P501, MATCH(K$2, Players!$A$1:$P$1, 0)), perc_75, VLOOKUP(K$2, Percentiles!$A$45:$I$59, 6, FALSE), perc_90, VLOOKUP(K$2, Percentiles!$A$45:$I$59, 7, FALSE), perc_95, VLOOKUP(K$2, Percentiles!$A$45:$I$59, 8, FALSE), perc_85, perc_75 + (perc_90 - perc_75) * (2/3), converted_stat, '2K_Ratings'!K502, IF(bbgm_stat &gt;= perc_95, converted_stat * 3, IF(bbgm_stat &gt;= perc_90, converted_stat * 2, IF(bbgm_stat &gt;= perc_85, converted_stat * 1.5, converted_stat)))))</f>
        <v/>
      </c>
      <c r="L502" s="30" t="str">
        <f t="array" ref="L502">IF($A502="", "", LET(bbgm_stat, INDEX(Players!$A501:$P501, MATCH(L$2, Players!$A$1:$P$1, 0)), perc_75, VLOOKUP(L$2, Percentiles!$A$45:$I$59, 6, FALSE), perc_90, VLOOKUP(L$2, Percentiles!$A$45:$I$59, 7, FALSE), perc_95, VLOOKUP(L$2, Percentiles!$A$45:$I$59, 8, FALSE), perc_85, perc_75 + (perc_90 - perc_75) * (2/3), converted_stat, '2K_Ratings'!L502, IF(bbgm_stat &gt;= perc_95, converted_stat * 3, IF(bbgm_stat &gt;= perc_90, converted_stat * 2, IF(bbgm_stat &gt;= perc_85, converted_stat * 1.5, converted_stat)))))</f>
        <v/>
      </c>
      <c r="M502" s="30" t="str">
        <f t="array" ref="M502">IF($A502="", "", LET(bbgm_stat, INDEX(Players!$A501:$P501, MATCH(M$2, Players!$A$1:$P$1, 0)), perc_75, VLOOKUP(M$2, Percentiles!$A$45:$I$59, 6, FALSE), perc_90, VLOOKUP(M$2, Percentiles!$A$45:$I$59, 7, FALSE), perc_95, VLOOKUP(M$2, Percentiles!$A$45:$I$59, 8, FALSE), perc_85, perc_75 + (perc_90 - perc_75) * (2/3), converted_stat, '2K_Ratings'!M502, IF(bbgm_stat &gt;= perc_95, converted_stat * 3, IF(bbgm_stat &gt;= perc_90, converted_stat * 2, IF(bbgm_stat &gt;= perc_85, converted_stat * 1.5, converted_stat)))))</f>
        <v/>
      </c>
      <c r="N502" s="30" t="str">
        <f t="array" ref="N502">IF($A502="", "", LET(bbgm_stat, INDEX(Players!$A501:$P501, MATCH(N$2, Players!$A$1:$P$1, 0)), perc_75, VLOOKUP(N$2, Percentiles!$A$45:$I$59, 6, FALSE), perc_90, VLOOKUP(N$2, Percentiles!$A$45:$I$59, 7, FALSE), perc_95, VLOOKUP(N$2, Percentiles!$A$45:$I$59, 8, FALSE), perc_85, perc_75 + (perc_90 - perc_75) * (2/3), converted_stat, '2K_Ratings'!N502, IF(bbgm_stat &gt;= perc_95, converted_stat * 3, IF(bbgm_stat &gt;= perc_90, converted_stat * 2, IF(bbgm_stat &gt;= perc_85, converted_stat * 1.5, converted_stat)))))</f>
        <v/>
      </c>
      <c r="O502" s="30" t="str">
        <f t="array" ref="O502">IF($A502="", "", LET(bbgm_stat, INDEX(Players!$A501:$P501, MATCH(O$2, Players!$A$1:$P$1, 0)), perc_75, VLOOKUP(O$2, Percentiles!$A$45:$I$59, 6, FALSE), perc_90, VLOOKUP(O$2, Percentiles!$A$45:$I$59, 7, FALSE), perc_95, VLOOKUP(O$2, Percentiles!$A$45:$I$59, 8, FALSE), perc_85, perc_75 + (perc_90 - perc_75) * (2/3), converted_stat, '2K_Ratings'!O502, IF(bbgm_stat &gt;= perc_95, converted_stat * 3, IF(bbgm_stat &gt;= perc_90, converted_stat * 2, IF(bbgm_stat &gt;= perc_85, converted_stat * 1.5, converted_stat)))))</f>
        <v/>
      </c>
      <c r="P502" s="30" t="str">
        <f t="array" ref="P502">IF($A502="", "", LET(bbgm_stat, INDEX(Players!$A501:$P501, MATCH(P$2, Players!$A$1:$P$1, 0)), perc_75, VLOOKUP(P$2, Percentiles!$A$45:$I$59, 6, FALSE), perc_90, VLOOKUP(P$2, Percentiles!$A$45:$I$59, 7, FALSE), perc_95, VLOOKUP(P$2, Percentiles!$A$45:$I$59, 8, FALSE), perc_85, perc_75 + (perc_90 - perc_75) * (2/3), converted_stat, '2K_Ratings'!P502, IF(bbgm_stat &gt;= perc_95, converted_stat * 3, IF(bbgm_stat &gt;= perc_90, converted_stat * 2, IF(bbgm_stat &gt;= perc_85, converted_stat * 1.5, converted_stat)))))</f>
        <v/>
      </c>
      <c r="Q502" s="30" t="str">
        <f t="array" ref="Q502">IF($A502="", "", LET(bbgm_stat, INDEX(Players!$A501:$P501, MATCH(Q$2, Players!$A$1:$P$1, 0)), perc_75, VLOOKUP(Q$2, Percentiles!$A$45:$I$59, 6, FALSE), perc_90, VLOOKUP(Q$2, Percentiles!$A$45:$I$59, 7, FALSE), perc_95, VLOOKUP(Q$2, Percentiles!$A$45:$I$59, 8, FALSE), perc_85, perc_75 + (perc_90 - perc_75) * (2/3), converted_stat, '2K_Ratings'!Q502, IF(bbgm_stat &gt;= perc_95, converted_stat * 3, IF(bbgm_stat &gt;= perc_90, converted_stat * 2, IF(bbgm_stat &gt;= perc_85, converted_stat * 1.5, converted_stat)))))</f>
        <v/>
      </c>
      <c r="R502" s="30" t="str">
        <f t="array" ref="R502">IF($A502="", "", LET(bbgm_stat, INDEX(Players!$A501:$P501, MATCH(R$2, Players!$A$1:$P$1, 0)), perc_75, VLOOKUP(R$2, Percentiles!$A$45:$I$59, 6, FALSE), perc_90, VLOOKUP(R$2, Percentiles!$A$45:$I$59, 7, FALSE), perc_95, VLOOKUP(R$2, Percentiles!$A$45:$I$59, 8, FALSE), perc_85, perc_75 + (perc_90 - perc_75) * (2/3), converted_stat, '2K_Ratings'!R502, IF(bbgm_stat &gt;= perc_95, converted_stat * 3, IF(bbgm_stat &gt;= perc_90, converted_stat * 2, IF(bbgm_stat &gt;= perc_85, converted_stat * 1.5, converted_stat)))))</f>
        <v/>
      </c>
      <c r="S502" s="30" t="str">
        <f t="array" ref="S502">IF($A502="", "", LET(bbgm_stat, INDEX(Players!$A501:$P501, MATCH(S$2, Players!$A$1:$P$1, 0)), perc_75, VLOOKUP(S$2, Percentiles!$A$45:$I$59, 6, FALSE), perc_90, VLOOKUP(S$2, Percentiles!$A$45:$I$59, 7, FALSE), perc_95, VLOOKUP(S$2, Percentiles!$A$45:$I$59, 8, FALSE), perc_85, perc_75 + (perc_90 - perc_75) * (2/3), converted_stat, '2K_Ratings'!S502, IF(bbgm_stat &gt;= perc_95, converted_stat * 3, IF(bbgm_stat &gt;= perc_90, converted_stat * 2, IF(bbgm_stat &gt;= perc_85, converted_stat * 1.5, converted_stat)))))</f>
        <v/>
      </c>
      <c r="T502" s="30" t="str">
        <f t="array" ref="T502">IF($A502="", "", LET(bbgm_stat, INDEX(Players!$A501:$P501, MATCH(T$2, Players!$A$1:$P$1, 0)), perc_75, VLOOKUP(T$2, Percentiles!$A$45:$I$59, 6, FALSE), perc_90, VLOOKUP(T$2, Percentiles!$A$45:$I$59, 7, FALSE), perc_95, VLOOKUP(T$2, Percentiles!$A$45:$I$59, 8, FALSE), perc_85, perc_75 + (perc_90 - perc_75) * (2/3), converted_stat, '2K_Ratings'!T502, IF(bbgm_stat &gt;= perc_95, converted_stat * 3, IF(bbgm_stat &gt;= perc_90, converted_stat * 2, IF(bbgm_stat &gt;= perc_85, converted_stat * 1.5, converted_stat)))))</f>
        <v/>
      </c>
      <c r="U502" s="30" t="str">
        <f t="array" ref="U502">IF($A502="", "", LET(bbgm_stat, INDEX(Players!$A501:$P501, MATCH(U$2, Players!$A$1:$P$1, 0)), perc_75, VLOOKUP(U$2, Percentiles!$A$45:$I$59, 6, FALSE), perc_90, VLOOKUP(U$2, Percentiles!$A$45:$I$59, 7, FALSE), perc_95, VLOOKUP(U$2, Percentiles!$A$45:$I$59, 8, FALSE), perc_85, perc_75 + (perc_90 - perc_75) * (2/3), converted_stat, '2K_Ratings'!U502, IF(bbgm_stat &gt;= perc_95, converted_stat * 3, IF(bbgm_stat &gt;= perc_90, converted_stat * 2, IF(bbgm_stat &gt;= perc_85, converted_stat * 1.5, converted_stat)))))</f>
        <v/>
      </c>
      <c r="V502" s="30" t="str">
        <f t="array" ref="V502">IF($A502="", "", LET(bbgm_stat, INDEX(Players!$A501:$P501, MATCH(V$2, Players!$A$1:$P$1, 0)), perc_75, VLOOKUP(V$2, Percentiles!$A$45:$I$59, 6, FALSE), perc_90, VLOOKUP(V$2, Percentiles!$A$45:$I$59, 7, FALSE), perc_95, VLOOKUP(V$2, Percentiles!$A$45:$I$59, 8, FALSE), perc_85, perc_75 + (perc_90 - perc_75) * (2/3), converted_stat, '2K_Ratings'!V502, IF(bbgm_stat &gt;= perc_95, converted_stat * 3, IF(bbgm_stat &gt;= perc_90, converted_stat * 2, IF(bbgm_stat &gt;= perc_85, converted_stat * 1.5, converted_stat)))))</f>
        <v/>
      </c>
      <c r="W502" s="30" t="str">
        <f t="array" ref="W502">IF($A502="", "", LET(bbgm_stat, INDEX(Players!$A501:$P501, MATCH(W$2, Players!$A$1:$P$1, 0)), perc_75, VLOOKUP(W$2, Percentiles!$A$45:$I$59, 6, FALSE), perc_90, VLOOKUP(W$2, Percentiles!$A$45:$I$59, 7, FALSE), perc_95, VLOOKUP(W$2, Percentiles!$A$45:$I$59, 8, FALSE), perc_85, perc_75 + (perc_90 - perc_75) * (2/3), converted_stat, '2K_Ratings'!W502, IF(bbgm_stat &gt;= perc_95, converted_stat * 3, IF(bbgm_stat &gt;= perc_90, converted_stat * 2, IF(bbgm_stat &gt;= perc_85, converted_stat * 1.5, converted_stat)))))</f>
        <v/>
      </c>
    </row>
    <row r="503">
      <c r="A503" s="30"/>
      <c r="B503" s="30" t="str">
        <f t="array" ref="B503">IF($A503="", "", LET(bbgm_stat, INDEX(Players!$A502:$P502, MATCH(B$2, Players!$A$1:$P$1, 0)), perc_75, VLOOKUP(B$2, Percentiles!$A$45:$I$59, 6, FALSE), perc_90, VLOOKUP(B$2, Percentiles!$A$45:$I$59, 7, FALSE), perc_95, VLOOKUP(B$2, Percentiles!$A$45:$I$59, 8, FALSE), perc_85, perc_75 + (perc_90 - perc_75) * (2/3), converted_stat, '2K_Ratings'!B503, IF(bbgm_stat &gt;= perc_95, converted_stat * 3, IF(bbgm_stat &gt;= perc_90, converted_stat * 2, IF(bbgm_stat &gt;= perc_85, converted_stat * 1.5, converted_stat)))))</f>
        <v/>
      </c>
      <c r="C503" s="30" t="str">
        <f t="array" ref="C503">IF($A503="", "", LET(bbgm_stat, INDEX(Players!$A502:$P502, MATCH(C$2, Players!$A$1:$P$1, 0)), perc_75, VLOOKUP(C$2, Percentiles!$A$45:$I$59, 6, FALSE), perc_90, VLOOKUP(C$2, Percentiles!$A$45:$I$59, 7, FALSE), perc_95, VLOOKUP(C$2, Percentiles!$A$45:$I$59, 8, FALSE), perc_85, perc_75 + (perc_90 - perc_75) * (2/3), converted_stat, '2K_Ratings'!C503, IF(bbgm_stat &gt;= perc_95, converted_stat * 3, IF(bbgm_stat &gt;= perc_90, converted_stat * 2, IF(bbgm_stat &gt;= perc_85, converted_stat * 1.5, converted_stat)))))</f>
        <v/>
      </c>
      <c r="D503" s="30" t="str">
        <f t="array" ref="D503">IF($A503="", "", LET(bbgm_stat, INDEX(Players!$A502:$P502, MATCH(D$2, Players!$A$1:$P$1, 0)), perc_75, VLOOKUP(D$2, Percentiles!$A$45:$I$59, 6, FALSE), perc_90, VLOOKUP(D$2, Percentiles!$A$45:$I$59, 7, FALSE), perc_95, VLOOKUP(D$2, Percentiles!$A$45:$I$59, 8, FALSE), perc_85, perc_75 + (perc_90 - perc_75) * (2/3), converted_stat, '2K_Ratings'!D503, IF(bbgm_stat &gt;= perc_95, converted_stat * 3, IF(bbgm_stat &gt;= perc_90, converted_stat * 2, IF(bbgm_stat &gt;= perc_85, converted_stat * 1.5, converted_stat)))))</f>
        <v/>
      </c>
      <c r="E503" s="30" t="str">
        <f t="array" ref="E503">IF($A503="", "", LET(bbgm_stat, INDEX(Players!$A502:$P502, MATCH(E$2, Players!$A$1:$P$1, 0)), perc_75, VLOOKUP(E$2, Percentiles!$A$45:$I$59, 6, FALSE), perc_90, VLOOKUP(E$2, Percentiles!$A$45:$I$59, 7, FALSE), perc_95, VLOOKUP(E$2, Percentiles!$A$45:$I$59, 8, FALSE), perc_85, perc_75 + (perc_90 - perc_75) * (2/3), converted_stat, '2K_Ratings'!E503, IF(bbgm_stat &gt;= perc_95, converted_stat * 3, IF(bbgm_stat &gt;= perc_90, converted_stat * 2, IF(bbgm_stat &gt;= perc_85, converted_stat * 1.5, converted_stat)))))</f>
        <v/>
      </c>
      <c r="F503" s="30" t="str">
        <f t="array" ref="F503">IF($A503="", "", LET(bbgm_stat, INDEX(Players!$A502:$P502, MATCH(F$2, Players!$A$1:$P$1, 0)), perc_75, VLOOKUP(F$2, Percentiles!$A$45:$I$59, 6, FALSE), perc_90, VLOOKUP(F$2, Percentiles!$A$45:$I$59, 7, FALSE), perc_95, VLOOKUP(F$2, Percentiles!$A$45:$I$59, 8, FALSE), perc_85, perc_75 + (perc_90 - perc_75) * (2/3), converted_stat, '2K_Ratings'!F503, IF(bbgm_stat &gt;= perc_95, converted_stat * 3, IF(bbgm_stat &gt;= perc_90, converted_stat * 2, IF(bbgm_stat &gt;= perc_85, converted_stat * 1.5, converted_stat)))))</f>
        <v/>
      </c>
      <c r="G503" s="30" t="str">
        <f t="array" ref="G503">IF($A503="", "", LET(bbgm_stat, INDEX(Players!$A502:$P502, MATCH(G$2, Players!$A$1:$P$1, 0)), perc_75, VLOOKUP(G$2, Percentiles!$A$45:$I$59, 6, FALSE), perc_90, VLOOKUP(G$2, Percentiles!$A$45:$I$59, 7, FALSE), perc_95, VLOOKUP(G$2, Percentiles!$A$45:$I$59, 8, FALSE), perc_85, perc_75 + (perc_90 - perc_75) * (2/3), converted_stat, '2K_Ratings'!G503, IF(bbgm_stat &gt;= perc_95, converted_stat * 3, IF(bbgm_stat &gt;= perc_90, converted_stat * 2, IF(bbgm_stat &gt;= perc_85, converted_stat * 1.5, converted_stat)))))</f>
        <v/>
      </c>
      <c r="H503" s="30" t="str">
        <f t="array" ref="H503">IF($A503="", "", LET(bbgm_stat, INDEX(Players!$A502:$P502, MATCH(H$2, Players!$A$1:$P$1, 0)), perc_75, VLOOKUP(H$2, Percentiles!$A$45:$I$59, 6, FALSE), perc_90, VLOOKUP(H$2, Percentiles!$A$45:$I$59, 7, FALSE), perc_95, VLOOKUP(H$2, Percentiles!$A$45:$I$59, 8, FALSE), perc_85, perc_75 + (perc_90 - perc_75) * (2/3), converted_stat, '2K_Ratings'!H503, IF(bbgm_stat &gt;= perc_95, converted_stat * 3, IF(bbgm_stat &gt;= perc_90, converted_stat * 2, IF(bbgm_stat &gt;= perc_85, converted_stat * 1.5, converted_stat)))))</f>
        <v/>
      </c>
      <c r="I503" s="30" t="str">
        <f t="array" ref="I503">IF($A503="", "", LET(bbgm_stat, INDEX(Players!$A502:$P502, MATCH(I$2, Players!$A$1:$P$1, 0)), perc_75, VLOOKUP(I$2, Percentiles!$A$45:$I$59, 6, FALSE), perc_90, VLOOKUP(I$2, Percentiles!$A$45:$I$59, 7, FALSE), perc_95, VLOOKUP(I$2, Percentiles!$A$45:$I$59, 8, FALSE), perc_85, perc_75 + (perc_90 - perc_75) * (2/3), converted_stat, '2K_Ratings'!I503, IF(bbgm_stat &gt;= perc_95, converted_stat * 3, IF(bbgm_stat &gt;= perc_90, converted_stat * 2, IF(bbgm_stat &gt;= perc_85, converted_stat * 1.5, converted_stat)))))</f>
        <v/>
      </c>
      <c r="J503" s="30" t="str">
        <f t="array" ref="J503">IF($A503="", "", LET(bbgm_stat, INDEX(Players!$A502:$P502, MATCH(J$2, Players!$A$1:$P$1, 0)), perc_75, VLOOKUP(J$2, Percentiles!$A$45:$I$59, 6, FALSE), perc_90, VLOOKUP(J$2, Percentiles!$A$45:$I$59, 7, FALSE), perc_95, VLOOKUP(J$2, Percentiles!$A$45:$I$59, 8, FALSE), perc_85, perc_75 + (perc_90 - perc_75) * (2/3), converted_stat, '2K_Ratings'!J503, IF(bbgm_stat &gt;= perc_95, converted_stat * 3, IF(bbgm_stat &gt;= perc_90, converted_stat * 2, IF(bbgm_stat &gt;= perc_85, converted_stat * 1.5, converted_stat)))))</f>
        <v/>
      </c>
      <c r="K503" s="30" t="str">
        <f t="array" ref="K503">IF($A503="", "", LET(bbgm_stat, INDEX(Players!$A502:$P502, MATCH(K$2, Players!$A$1:$P$1, 0)), perc_75, VLOOKUP(K$2, Percentiles!$A$45:$I$59, 6, FALSE), perc_90, VLOOKUP(K$2, Percentiles!$A$45:$I$59, 7, FALSE), perc_95, VLOOKUP(K$2, Percentiles!$A$45:$I$59, 8, FALSE), perc_85, perc_75 + (perc_90 - perc_75) * (2/3), converted_stat, '2K_Ratings'!K503, IF(bbgm_stat &gt;= perc_95, converted_stat * 3, IF(bbgm_stat &gt;= perc_90, converted_stat * 2, IF(bbgm_stat &gt;= perc_85, converted_stat * 1.5, converted_stat)))))</f>
        <v/>
      </c>
      <c r="L503" s="30" t="str">
        <f t="array" ref="L503">IF($A503="", "", LET(bbgm_stat, INDEX(Players!$A502:$P502, MATCH(L$2, Players!$A$1:$P$1, 0)), perc_75, VLOOKUP(L$2, Percentiles!$A$45:$I$59, 6, FALSE), perc_90, VLOOKUP(L$2, Percentiles!$A$45:$I$59, 7, FALSE), perc_95, VLOOKUP(L$2, Percentiles!$A$45:$I$59, 8, FALSE), perc_85, perc_75 + (perc_90 - perc_75) * (2/3), converted_stat, '2K_Ratings'!L503, IF(bbgm_stat &gt;= perc_95, converted_stat * 3, IF(bbgm_stat &gt;= perc_90, converted_stat * 2, IF(bbgm_stat &gt;= perc_85, converted_stat * 1.5, converted_stat)))))</f>
        <v/>
      </c>
      <c r="M503" s="30" t="str">
        <f t="array" ref="M503">IF($A503="", "", LET(bbgm_stat, INDEX(Players!$A502:$P502, MATCH(M$2, Players!$A$1:$P$1, 0)), perc_75, VLOOKUP(M$2, Percentiles!$A$45:$I$59, 6, FALSE), perc_90, VLOOKUP(M$2, Percentiles!$A$45:$I$59, 7, FALSE), perc_95, VLOOKUP(M$2, Percentiles!$A$45:$I$59, 8, FALSE), perc_85, perc_75 + (perc_90 - perc_75) * (2/3), converted_stat, '2K_Ratings'!M503, IF(bbgm_stat &gt;= perc_95, converted_stat * 3, IF(bbgm_stat &gt;= perc_90, converted_stat * 2, IF(bbgm_stat &gt;= perc_85, converted_stat * 1.5, converted_stat)))))</f>
        <v/>
      </c>
      <c r="N503" s="30" t="str">
        <f t="array" ref="N503">IF($A503="", "", LET(bbgm_stat, INDEX(Players!$A502:$P502, MATCH(N$2, Players!$A$1:$P$1, 0)), perc_75, VLOOKUP(N$2, Percentiles!$A$45:$I$59, 6, FALSE), perc_90, VLOOKUP(N$2, Percentiles!$A$45:$I$59, 7, FALSE), perc_95, VLOOKUP(N$2, Percentiles!$A$45:$I$59, 8, FALSE), perc_85, perc_75 + (perc_90 - perc_75) * (2/3), converted_stat, '2K_Ratings'!N503, IF(bbgm_stat &gt;= perc_95, converted_stat * 3, IF(bbgm_stat &gt;= perc_90, converted_stat * 2, IF(bbgm_stat &gt;= perc_85, converted_stat * 1.5, converted_stat)))))</f>
        <v/>
      </c>
      <c r="O503" s="30" t="str">
        <f t="array" ref="O503">IF($A503="", "", LET(bbgm_stat, INDEX(Players!$A502:$P502, MATCH(O$2, Players!$A$1:$P$1, 0)), perc_75, VLOOKUP(O$2, Percentiles!$A$45:$I$59, 6, FALSE), perc_90, VLOOKUP(O$2, Percentiles!$A$45:$I$59, 7, FALSE), perc_95, VLOOKUP(O$2, Percentiles!$A$45:$I$59, 8, FALSE), perc_85, perc_75 + (perc_90 - perc_75) * (2/3), converted_stat, '2K_Ratings'!O503, IF(bbgm_stat &gt;= perc_95, converted_stat * 3, IF(bbgm_stat &gt;= perc_90, converted_stat * 2, IF(bbgm_stat &gt;= perc_85, converted_stat * 1.5, converted_stat)))))</f>
        <v/>
      </c>
      <c r="P503" s="30" t="str">
        <f t="array" ref="P503">IF($A503="", "", LET(bbgm_stat, INDEX(Players!$A502:$P502, MATCH(P$2, Players!$A$1:$P$1, 0)), perc_75, VLOOKUP(P$2, Percentiles!$A$45:$I$59, 6, FALSE), perc_90, VLOOKUP(P$2, Percentiles!$A$45:$I$59, 7, FALSE), perc_95, VLOOKUP(P$2, Percentiles!$A$45:$I$59, 8, FALSE), perc_85, perc_75 + (perc_90 - perc_75) * (2/3), converted_stat, '2K_Ratings'!P503, IF(bbgm_stat &gt;= perc_95, converted_stat * 3, IF(bbgm_stat &gt;= perc_90, converted_stat * 2, IF(bbgm_stat &gt;= perc_85, converted_stat * 1.5, converted_stat)))))</f>
        <v/>
      </c>
      <c r="Q503" s="30" t="str">
        <f t="array" ref="Q503">IF($A503="", "", LET(bbgm_stat, INDEX(Players!$A502:$P502, MATCH(Q$2, Players!$A$1:$P$1, 0)), perc_75, VLOOKUP(Q$2, Percentiles!$A$45:$I$59, 6, FALSE), perc_90, VLOOKUP(Q$2, Percentiles!$A$45:$I$59, 7, FALSE), perc_95, VLOOKUP(Q$2, Percentiles!$A$45:$I$59, 8, FALSE), perc_85, perc_75 + (perc_90 - perc_75) * (2/3), converted_stat, '2K_Ratings'!Q503, IF(bbgm_stat &gt;= perc_95, converted_stat * 3, IF(bbgm_stat &gt;= perc_90, converted_stat * 2, IF(bbgm_stat &gt;= perc_85, converted_stat * 1.5, converted_stat)))))</f>
        <v/>
      </c>
      <c r="R503" s="30" t="str">
        <f t="array" ref="R503">IF($A503="", "", LET(bbgm_stat, INDEX(Players!$A502:$P502, MATCH(R$2, Players!$A$1:$P$1, 0)), perc_75, VLOOKUP(R$2, Percentiles!$A$45:$I$59, 6, FALSE), perc_90, VLOOKUP(R$2, Percentiles!$A$45:$I$59, 7, FALSE), perc_95, VLOOKUP(R$2, Percentiles!$A$45:$I$59, 8, FALSE), perc_85, perc_75 + (perc_90 - perc_75) * (2/3), converted_stat, '2K_Ratings'!R503, IF(bbgm_stat &gt;= perc_95, converted_stat * 3, IF(bbgm_stat &gt;= perc_90, converted_stat * 2, IF(bbgm_stat &gt;= perc_85, converted_stat * 1.5, converted_stat)))))</f>
        <v/>
      </c>
      <c r="S503" s="30" t="str">
        <f t="array" ref="S503">IF($A503="", "", LET(bbgm_stat, INDEX(Players!$A502:$P502, MATCH(S$2, Players!$A$1:$P$1, 0)), perc_75, VLOOKUP(S$2, Percentiles!$A$45:$I$59, 6, FALSE), perc_90, VLOOKUP(S$2, Percentiles!$A$45:$I$59, 7, FALSE), perc_95, VLOOKUP(S$2, Percentiles!$A$45:$I$59, 8, FALSE), perc_85, perc_75 + (perc_90 - perc_75) * (2/3), converted_stat, '2K_Ratings'!S503, IF(bbgm_stat &gt;= perc_95, converted_stat * 3, IF(bbgm_stat &gt;= perc_90, converted_stat * 2, IF(bbgm_stat &gt;= perc_85, converted_stat * 1.5, converted_stat)))))</f>
        <v/>
      </c>
      <c r="T503" s="30" t="str">
        <f t="array" ref="T503">IF($A503="", "", LET(bbgm_stat, INDEX(Players!$A502:$P502, MATCH(T$2, Players!$A$1:$P$1, 0)), perc_75, VLOOKUP(T$2, Percentiles!$A$45:$I$59, 6, FALSE), perc_90, VLOOKUP(T$2, Percentiles!$A$45:$I$59, 7, FALSE), perc_95, VLOOKUP(T$2, Percentiles!$A$45:$I$59, 8, FALSE), perc_85, perc_75 + (perc_90 - perc_75) * (2/3), converted_stat, '2K_Ratings'!T503, IF(bbgm_stat &gt;= perc_95, converted_stat * 3, IF(bbgm_stat &gt;= perc_90, converted_stat * 2, IF(bbgm_stat &gt;= perc_85, converted_stat * 1.5, converted_stat)))))</f>
        <v/>
      </c>
      <c r="U503" s="30" t="str">
        <f t="array" ref="U503">IF($A503="", "", LET(bbgm_stat, INDEX(Players!$A502:$P502, MATCH(U$2, Players!$A$1:$P$1, 0)), perc_75, VLOOKUP(U$2, Percentiles!$A$45:$I$59, 6, FALSE), perc_90, VLOOKUP(U$2, Percentiles!$A$45:$I$59, 7, FALSE), perc_95, VLOOKUP(U$2, Percentiles!$A$45:$I$59, 8, FALSE), perc_85, perc_75 + (perc_90 - perc_75) * (2/3), converted_stat, '2K_Ratings'!U503, IF(bbgm_stat &gt;= perc_95, converted_stat * 3, IF(bbgm_stat &gt;= perc_90, converted_stat * 2, IF(bbgm_stat &gt;= perc_85, converted_stat * 1.5, converted_stat)))))</f>
        <v/>
      </c>
      <c r="V503" s="30" t="str">
        <f t="array" ref="V503">IF($A503="", "", LET(bbgm_stat, INDEX(Players!$A502:$P502, MATCH(V$2, Players!$A$1:$P$1, 0)), perc_75, VLOOKUP(V$2, Percentiles!$A$45:$I$59, 6, FALSE), perc_90, VLOOKUP(V$2, Percentiles!$A$45:$I$59, 7, FALSE), perc_95, VLOOKUP(V$2, Percentiles!$A$45:$I$59, 8, FALSE), perc_85, perc_75 + (perc_90 - perc_75) * (2/3), converted_stat, '2K_Ratings'!V503, IF(bbgm_stat &gt;= perc_95, converted_stat * 3, IF(bbgm_stat &gt;= perc_90, converted_stat * 2, IF(bbgm_stat &gt;= perc_85, converted_stat * 1.5, converted_stat)))))</f>
        <v/>
      </c>
      <c r="W503" s="30" t="str">
        <f t="array" ref="W503">IF($A503="", "", LET(bbgm_stat, INDEX(Players!$A502:$P502, MATCH(W$2, Players!$A$1:$P$1, 0)), perc_75, VLOOKUP(W$2, Percentiles!$A$45:$I$59, 6, FALSE), perc_90, VLOOKUP(W$2, Percentiles!$A$45:$I$59, 7, FALSE), perc_95, VLOOKUP(W$2, Percentiles!$A$45:$I$59, 8, FALSE), perc_85, perc_75 + (perc_90 - perc_75) * (2/3), converted_stat, '2K_Ratings'!W503, IF(bbgm_stat &gt;= perc_95, converted_stat * 3, IF(bbgm_stat &gt;= perc_90, converted_stat * 2, IF(bbgm_stat &gt;= perc_85, converted_stat * 1.5, converted_stat)))))</f>
        <v/>
      </c>
    </row>
    <row r="504">
      <c r="A504" s="30"/>
      <c r="B504" s="30" t="str">
        <f t="array" ref="B504">IF($A504="", "", LET(bbgm_stat, INDEX(Players!$A503:$P503, MATCH(B$2, Players!$A$1:$P$1, 0)), perc_75, VLOOKUP(B$2, Percentiles!$A$45:$I$59, 6, FALSE), perc_90, VLOOKUP(B$2, Percentiles!$A$45:$I$59, 7, FALSE), perc_95, VLOOKUP(B$2, Percentiles!$A$45:$I$59, 8, FALSE), perc_85, perc_75 + (perc_90 - perc_75) * (2/3), converted_stat, '2K_Ratings'!B504, IF(bbgm_stat &gt;= perc_95, converted_stat * 3, IF(bbgm_stat &gt;= perc_90, converted_stat * 2, IF(bbgm_stat &gt;= perc_85, converted_stat * 1.5, converted_stat)))))</f>
        <v/>
      </c>
      <c r="C504" s="30" t="str">
        <f t="array" ref="C504">IF($A504="", "", LET(bbgm_stat, INDEX(Players!$A503:$P503, MATCH(C$2, Players!$A$1:$P$1, 0)), perc_75, VLOOKUP(C$2, Percentiles!$A$45:$I$59, 6, FALSE), perc_90, VLOOKUP(C$2, Percentiles!$A$45:$I$59, 7, FALSE), perc_95, VLOOKUP(C$2, Percentiles!$A$45:$I$59, 8, FALSE), perc_85, perc_75 + (perc_90 - perc_75) * (2/3), converted_stat, '2K_Ratings'!C504, IF(bbgm_stat &gt;= perc_95, converted_stat * 3, IF(bbgm_stat &gt;= perc_90, converted_stat * 2, IF(bbgm_stat &gt;= perc_85, converted_stat * 1.5, converted_stat)))))</f>
        <v/>
      </c>
      <c r="D504" s="30" t="str">
        <f t="array" ref="D504">IF($A504="", "", LET(bbgm_stat, INDEX(Players!$A503:$P503, MATCH(D$2, Players!$A$1:$P$1, 0)), perc_75, VLOOKUP(D$2, Percentiles!$A$45:$I$59, 6, FALSE), perc_90, VLOOKUP(D$2, Percentiles!$A$45:$I$59, 7, FALSE), perc_95, VLOOKUP(D$2, Percentiles!$A$45:$I$59, 8, FALSE), perc_85, perc_75 + (perc_90 - perc_75) * (2/3), converted_stat, '2K_Ratings'!D504, IF(bbgm_stat &gt;= perc_95, converted_stat * 3, IF(bbgm_stat &gt;= perc_90, converted_stat * 2, IF(bbgm_stat &gt;= perc_85, converted_stat * 1.5, converted_stat)))))</f>
        <v/>
      </c>
      <c r="E504" s="30" t="str">
        <f t="array" ref="E504">IF($A504="", "", LET(bbgm_stat, INDEX(Players!$A503:$P503, MATCH(E$2, Players!$A$1:$P$1, 0)), perc_75, VLOOKUP(E$2, Percentiles!$A$45:$I$59, 6, FALSE), perc_90, VLOOKUP(E$2, Percentiles!$A$45:$I$59, 7, FALSE), perc_95, VLOOKUP(E$2, Percentiles!$A$45:$I$59, 8, FALSE), perc_85, perc_75 + (perc_90 - perc_75) * (2/3), converted_stat, '2K_Ratings'!E504, IF(bbgm_stat &gt;= perc_95, converted_stat * 3, IF(bbgm_stat &gt;= perc_90, converted_stat * 2, IF(bbgm_stat &gt;= perc_85, converted_stat * 1.5, converted_stat)))))</f>
        <v/>
      </c>
      <c r="F504" s="30" t="str">
        <f t="array" ref="F504">IF($A504="", "", LET(bbgm_stat, INDEX(Players!$A503:$P503, MATCH(F$2, Players!$A$1:$P$1, 0)), perc_75, VLOOKUP(F$2, Percentiles!$A$45:$I$59, 6, FALSE), perc_90, VLOOKUP(F$2, Percentiles!$A$45:$I$59, 7, FALSE), perc_95, VLOOKUP(F$2, Percentiles!$A$45:$I$59, 8, FALSE), perc_85, perc_75 + (perc_90 - perc_75) * (2/3), converted_stat, '2K_Ratings'!F504, IF(bbgm_stat &gt;= perc_95, converted_stat * 3, IF(bbgm_stat &gt;= perc_90, converted_stat * 2, IF(bbgm_stat &gt;= perc_85, converted_stat * 1.5, converted_stat)))))</f>
        <v/>
      </c>
      <c r="G504" s="30" t="str">
        <f t="array" ref="G504">IF($A504="", "", LET(bbgm_stat, INDEX(Players!$A503:$P503, MATCH(G$2, Players!$A$1:$P$1, 0)), perc_75, VLOOKUP(G$2, Percentiles!$A$45:$I$59, 6, FALSE), perc_90, VLOOKUP(G$2, Percentiles!$A$45:$I$59, 7, FALSE), perc_95, VLOOKUP(G$2, Percentiles!$A$45:$I$59, 8, FALSE), perc_85, perc_75 + (perc_90 - perc_75) * (2/3), converted_stat, '2K_Ratings'!G504, IF(bbgm_stat &gt;= perc_95, converted_stat * 3, IF(bbgm_stat &gt;= perc_90, converted_stat * 2, IF(bbgm_stat &gt;= perc_85, converted_stat * 1.5, converted_stat)))))</f>
        <v/>
      </c>
      <c r="H504" s="30" t="str">
        <f t="array" ref="H504">IF($A504="", "", LET(bbgm_stat, INDEX(Players!$A503:$P503, MATCH(H$2, Players!$A$1:$P$1, 0)), perc_75, VLOOKUP(H$2, Percentiles!$A$45:$I$59, 6, FALSE), perc_90, VLOOKUP(H$2, Percentiles!$A$45:$I$59, 7, FALSE), perc_95, VLOOKUP(H$2, Percentiles!$A$45:$I$59, 8, FALSE), perc_85, perc_75 + (perc_90 - perc_75) * (2/3), converted_stat, '2K_Ratings'!H504, IF(bbgm_stat &gt;= perc_95, converted_stat * 3, IF(bbgm_stat &gt;= perc_90, converted_stat * 2, IF(bbgm_stat &gt;= perc_85, converted_stat * 1.5, converted_stat)))))</f>
        <v/>
      </c>
      <c r="I504" s="30" t="str">
        <f t="array" ref="I504">IF($A504="", "", LET(bbgm_stat, INDEX(Players!$A503:$P503, MATCH(I$2, Players!$A$1:$P$1, 0)), perc_75, VLOOKUP(I$2, Percentiles!$A$45:$I$59, 6, FALSE), perc_90, VLOOKUP(I$2, Percentiles!$A$45:$I$59, 7, FALSE), perc_95, VLOOKUP(I$2, Percentiles!$A$45:$I$59, 8, FALSE), perc_85, perc_75 + (perc_90 - perc_75) * (2/3), converted_stat, '2K_Ratings'!I504, IF(bbgm_stat &gt;= perc_95, converted_stat * 3, IF(bbgm_stat &gt;= perc_90, converted_stat * 2, IF(bbgm_stat &gt;= perc_85, converted_stat * 1.5, converted_stat)))))</f>
        <v/>
      </c>
      <c r="J504" s="30" t="str">
        <f t="array" ref="J504">IF($A504="", "", LET(bbgm_stat, INDEX(Players!$A503:$P503, MATCH(J$2, Players!$A$1:$P$1, 0)), perc_75, VLOOKUP(J$2, Percentiles!$A$45:$I$59, 6, FALSE), perc_90, VLOOKUP(J$2, Percentiles!$A$45:$I$59, 7, FALSE), perc_95, VLOOKUP(J$2, Percentiles!$A$45:$I$59, 8, FALSE), perc_85, perc_75 + (perc_90 - perc_75) * (2/3), converted_stat, '2K_Ratings'!J504, IF(bbgm_stat &gt;= perc_95, converted_stat * 3, IF(bbgm_stat &gt;= perc_90, converted_stat * 2, IF(bbgm_stat &gt;= perc_85, converted_stat * 1.5, converted_stat)))))</f>
        <v/>
      </c>
      <c r="K504" s="30" t="str">
        <f t="array" ref="K504">IF($A504="", "", LET(bbgm_stat, INDEX(Players!$A503:$P503, MATCH(K$2, Players!$A$1:$P$1, 0)), perc_75, VLOOKUP(K$2, Percentiles!$A$45:$I$59, 6, FALSE), perc_90, VLOOKUP(K$2, Percentiles!$A$45:$I$59, 7, FALSE), perc_95, VLOOKUP(K$2, Percentiles!$A$45:$I$59, 8, FALSE), perc_85, perc_75 + (perc_90 - perc_75) * (2/3), converted_stat, '2K_Ratings'!K504, IF(bbgm_stat &gt;= perc_95, converted_stat * 3, IF(bbgm_stat &gt;= perc_90, converted_stat * 2, IF(bbgm_stat &gt;= perc_85, converted_stat * 1.5, converted_stat)))))</f>
        <v/>
      </c>
      <c r="L504" s="30" t="str">
        <f t="array" ref="L504">IF($A504="", "", LET(bbgm_stat, INDEX(Players!$A503:$P503, MATCH(L$2, Players!$A$1:$P$1, 0)), perc_75, VLOOKUP(L$2, Percentiles!$A$45:$I$59, 6, FALSE), perc_90, VLOOKUP(L$2, Percentiles!$A$45:$I$59, 7, FALSE), perc_95, VLOOKUP(L$2, Percentiles!$A$45:$I$59, 8, FALSE), perc_85, perc_75 + (perc_90 - perc_75) * (2/3), converted_stat, '2K_Ratings'!L504, IF(bbgm_stat &gt;= perc_95, converted_stat * 3, IF(bbgm_stat &gt;= perc_90, converted_stat * 2, IF(bbgm_stat &gt;= perc_85, converted_stat * 1.5, converted_stat)))))</f>
        <v/>
      </c>
      <c r="M504" s="30" t="str">
        <f t="array" ref="M504">IF($A504="", "", LET(bbgm_stat, INDEX(Players!$A503:$P503, MATCH(M$2, Players!$A$1:$P$1, 0)), perc_75, VLOOKUP(M$2, Percentiles!$A$45:$I$59, 6, FALSE), perc_90, VLOOKUP(M$2, Percentiles!$A$45:$I$59, 7, FALSE), perc_95, VLOOKUP(M$2, Percentiles!$A$45:$I$59, 8, FALSE), perc_85, perc_75 + (perc_90 - perc_75) * (2/3), converted_stat, '2K_Ratings'!M504, IF(bbgm_stat &gt;= perc_95, converted_stat * 3, IF(bbgm_stat &gt;= perc_90, converted_stat * 2, IF(bbgm_stat &gt;= perc_85, converted_stat * 1.5, converted_stat)))))</f>
        <v/>
      </c>
      <c r="N504" s="30" t="str">
        <f t="array" ref="N504">IF($A504="", "", LET(bbgm_stat, INDEX(Players!$A503:$P503, MATCH(N$2, Players!$A$1:$P$1, 0)), perc_75, VLOOKUP(N$2, Percentiles!$A$45:$I$59, 6, FALSE), perc_90, VLOOKUP(N$2, Percentiles!$A$45:$I$59, 7, FALSE), perc_95, VLOOKUP(N$2, Percentiles!$A$45:$I$59, 8, FALSE), perc_85, perc_75 + (perc_90 - perc_75) * (2/3), converted_stat, '2K_Ratings'!N504, IF(bbgm_stat &gt;= perc_95, converted_stat * 3, IF(bbgm_stat &gt;= perc_90, converted_stat * 2, IF(bbgm_stat &gt;= perc_85, converted_stat * 1.5, converted_stat)))))</f>
        <v/>
      </c>
      <c r="O504" s="30" t="str">
        <f t="array" ref="O504">IF($A504="", "", LET(bbgm_stat, INDEX(Players!$A503:$P503, MATCH(O$2, Players!$A$1:$P$1, 0)), perc_75, VLOOKUP(O$2, Percentiles!$A$45:$I$59, 6, FALSE), perc_90, VLOOKUP(O$2, Percentiles!$A$45:$I$59, 7, FALSE), perc_95, VLOOKUP(O$2, Percentiles!$A$45:$I$59, 8, FALSE), perc_85, perc_75 + (perc_90 - perc_75) * (2/3), converted_stat, '2K_Ratings'!O504, IF(bbgm_stat &gt;= perc_95, converted_stat * 3, IF(bbgm_stat &gt;= perc_90, converted_stat * 2, IF(bbgm_stat &gt;= perc_85, converted_stat * 1.5, converted_stat)))))</f>
        <v/>
      </c>
      <c r="P504" s="30" t="str">
        <f t="array" ref="P504">IF($A504="", "", LET(bbgm_stat, INDEX(Players!$A503:$P503, MATCH(P$2, Players!$A$1:$P$1, 0)), perc_75, VLOOKUP(P$2, Percentiles!$A$45:$I$59, 6, FALSE), perc_90, VLOOKUP(P$2, Percentiles!$A$45:$I$59, 7, FALSE), perc_95, VLOOKUP(P$2, Percentiles!$A$45:$I$59, 8, FALSE), perc_85, perc_75 + (perc_90 - perc_75) * (2/3), converted_stat, '2K_Ratings'!P504, IF(bbgm_stat &gt;= perc_95, converted_stat * 3, IF(bbgm_stat &gt;= perc_90, converted_stat * 2, IF(bbgm_stat &gt;= perc_85, converted_stat * 1.5, converted_stat)))))</f>
        <v/>
      </c>
      <c r="Q504" s="30" t="str">
        <f t="array" ref="Q504">IF($A504="", "", LET(bbgm_stat, INDEX(Players!$A503:$P503, MATCH(Q$2, Players!$A$1:$P$1, 0)), perc_75, VLOOKUP(Q$2, Percentiles!$A$45:$I$59, 6, FALSE), perc_90, VLOOKUP(Q$2, Percentiles!$A$45:$I$59, 7, FALSE), perc_95, VLOOKUP(Q$2, Percentiles!$A$45:$I$59, 8, FALSE), perc_85, perc_75 + (perc_90 - perc_75) * (2/3), converted_stat, '2K_Ratings'!Q504, IF(bbgm_stat &gt;= perc_95, converted_stat * 3, IF(bbgm_stat &gt;= perc_90, converted_stat * 2, IF(bbgm_stat &gt;= perc_85, converted_stat * 1.5, converted_stat)))))</f>
        <v/>
      </c>
      <c r="R504" s="30" t="str">
        <f t="array" ref="R504">IF($A504="", "", LET(bbgm_stat, INDEX(Players!$A503:$P503, MATCH(R$2, Players!$A$1:$P$1, 0)), perc_75, VLOOKUP(R$2, Percentiles!$A$45:$I$59, 6, FALSE), perc_90, VLOOKUP(R$2, Percentiles!$A$45:$I$59, 7, FALSE), perc_95, VLOOKUP(R$2, Percentiles!$A$45:$I$59, 8, FALSE), perc_85, perc_75 + (perc_90 - perc_75) * (2/3), converted_stat, '2K_Ratings'!R504, IF(bbgm_stat &gt;= perc_95, converted_stat * 3, IF(bbgm_stat &gt;= perc_90, converted_stat * 2, IF(bbgm_stat &gt;= perc_85, converted_stat * 1.5, converted_stat)))))</f>
        <v/>
      </c>
      <c r="S504" s="30" t="str">
        <f t="array" ref="S504">IF($A504="", "", LET(bbgm_stat, INDEX(Players!$A503:$P503, MATCH(S$2, Players!$A$1:$P$1, 0)), perc_75, VLOOKUP(S$2, Percentiles!$A$45:$I$59, 6, FALSE), perc_90, VLOOKUP(S$2, Percentiles!$A$45:$I$59, 7, FALSE), perc_95, VLOOKUP(S$2, Percentiles!$A$45:$I$59, 8, FALSE), perc_85, perc_75 + (perc_90 - perc_75) * (2/3), converted_stat, '2K_Ratings'!S504, IF(bbgm_stat &gt;= perc_95, converted_stat * 3, IF(bbgm_stat &gt;= perc_90, converted_stat * 2, IF(bbgm_stat &gt;= perc_85, converted_stat * 1.5, converted_stat)))))</f>
        <v/>
      </c>
      <c r="T504" s="30" t="str">
        <f t="array" ref="T504">IF($A504="", "", LET(bbgm_stat, INDEX(Players!$A503:$P503, MATCH(T$2, Players!$A$1:$P$1, 0)), perc_75, VLOOKUP(T$2, Percentiles!$A$45:$I$59, 6, FALSE), perc_90, VLOOKUP(T$2, Percentiles!$A$45:$I$59, 7, FALSE), perc_95, VLOOKUP(T$2, Percentiles!$A$45:$I$59, 8, FALSE), perc_85, perc_75 + (perc_90 - perc_75) * (2/3), converted_stat, '2K_Ratings'!T504, IF(bbgm_stat &gt;= perc_95, converted_stat * 3, IF(bbgm_stat &gt;= perc_90, converted_stat * 2, IF(bbgm_stat &gt;= perc_85, converted_stat * 1.5, converted_stat)))))</f>
        <v/>
      </c>
      <c r="U504" s="30" t="str">
        <f t="array" ref="U504">IF($A504="", "", LET(bbgm_stat, INDEX(Players!$A503:$P503, MATCH(U$2, Players!$A$1:$P$1, 0)), perc_75, VLOOKUP(U$2, Percentiles!$A$45:$I$59, 6, FALSE), perc_90, VLOOKUP(U$2, Percentiles!$A$45:$I$59, 7, FALSE), perc_95, VLOOKUP(U$2, Percentiles!$A$45:$I$59, 8, FALSE), perc_85, perc_75 + (perc_90 - perc_75) * (2/3), converted_stat, '2K_Ratings'!U504, IF(bbgm_stat &gt;= perc_95, converted_stat * 3, IF(bbgm_stat &gt;= perc_90, converted_stat * 2, IF(bbgm_stat &gt;= perc_85, converted_stat * 1.5, converted_stat)))))</f>
        <v/>
      </c>
      <c r="V504" s="30" t="str">
        <f t="array" ref="V504">IF($A504="", "", LET(bbgm_stat, INDEX(Players!$A503:$P503, MATCH(V$2, Players!$A$1:$P$1, 0)), perc_75, VLOOKUP(V$2, Percentiles!$A$45:$I$59, 6, FALSE), perc_90, VLOOKUP(V$2, Percentiles!$A$45:$I$59, 7, FALSE), perc_95, VLOOKUP(V$2, Percentiles!$A$45:$I$59, 8, FALSE), perc_85, perc_75 + (perc_90 - perc_75) * (2/3), converted_stat, '2K_Ratings'!V504, IF(bbgm_stat &gt;= perc_95, converted_stat * 3, IF(bbgm_stat &gt;= perc_90, converted_stat * 2, IF(bbgm_stat &gt;= perc_85, converted_stat * 1.5, converted_stat)))))</f>
        <v/>
      </c>
      <c r="W504" s="30" t="str">
        <f t="array" ref="W504">IF($A504="", "", LET(bbgm_stat, INDEX(Players!$A503:$P503, MATCH(W$2, Players!$A$1:$P$1, 0)), perc_75, VLOOKUP(W$2, Percentiles!$A$45:$I$59, 6, FALSE), perc_90, VLOOKUP(W$2, Percentiles!$A$45:$I$59, 7, FALSE), perc_95, VLOOKUP(W$2, Percentiles!$A$45:$I$59, 8, FALSE), perc_85, perc_75 + (perc_90 - perc_75) * (2/3), converted_stat, '2K_Ratings'!W504, IF(bbgm_stat &gt;= perc_95, converted_stat * 3, IF(bbgm_stat &gt;= perc_90, converted_stat * 2, IF(bbgm_stat &gt;= perc_85, converted_stat * 1.5, converted_stat)))))</f>
        <v/>
      </c>
    </row>
    <row r="505">
      <c r="A505" s="30"/>
      <c r="B505" s="30" t="str">
        <f t="array" ref="B505">IF($A505="", "", LET(bbgm_stat, INDEX(Players!$A504:$P504, MATCH(B$2, Players!$A$1:$P$1, 0)), perc_75, VLOOKUP(B$2, Percentiles!$A$45:$I$59, 6, FALSE), perc_90, VLOOKUP(B$2, Percentiles!$A$45:$I$59, 7, FALSE), perc_95, VLOOKUP(B$2, Percentiles!$A$45:$I$59, 8, FALSE), perc_85, perc_75 + (perc_90 - perc_75) * (2/3), converted_stat, '2K_Ratings'!B505, IF(bbgm_stat &gt;= perc_95, converted_stat * 3, IF(bbgm_stat &gt;= perc_90, converted_stat * 2, IF(bbgm_stat &gt;= perc_85, converted_stat * 1.5, converted_stat)))))</f>
        <v/>
      </c>
      <c r="C505" s="30" t="str">
        <f t="array" ref="C505">IF($A505="", "", LET(bbgm_stat, INDEX(Players!$A504:$P504, MATCH(C$2, Players!$A$1:$P$1, 0)), perc_75, VLOOKUP(C$2, Percentiles!$A$45:$I$59, 6, FALSE), perc_90, VLOOKUP(C$2, Percentiles!$A$45:$I$59, 7, FALSE), perc_95, VLOOKUP(C$2, Percentiles!$A$45:$I$59, 8, FALSE), perc_85, perc_75 + (perc_90 - perc_75) * (2/3), converted_stat, '2K_Ratings'!C505, IF(bbgm_stat &gt;= perc_95, converted_stat * 3, IF(bbgm_stat &gt;= perc_90, converted_stat * 2, IF(bbgm_stat &gt;= perc_85, converted_stat * 1.5, converted_stat)))))</f>
        <v/>
      </c>
      <c r="D505" s="30" t="str">
        <f t="array" ref="D505">IF($A505="", "", LET(bbgm_stat, INDEX(Players!$A504:$P504, MATCH(D$2, Players!$A$1:$P$1, 0)), perc_75, VLOOKUP(D$2, Percentiles!$A$45:$I$59, 6, FALSE), perc_90, VLOOKUP(D$2, Percentiles!$A$45:$I$59, 7, FALSE), perc_95, VLOOKUP(D$2, Percentiles!$A$45:$I$59, 8, FALSE), perc_85, perc_75 + (perc_90 - perc_75) * (2/3), converted_stat, '2K_Ratings'!D505, IF(bbgm_stat &gt;= perc_95, converted_stat * 3, IF(bbgm_stat &gt;= perc_90, converted_stat * 2, IF(bbgm_stat &gt;= perc_85, converted_stat * 1.5, converted_stat)))))</f>
        <v/>
      </c>
      <c r="E505" s="30" t="str">
        <f t="array" ref="E505">IF($A505="", "", LET(bbgm_stat, INDEX(Players!$A504:$P504, MATCH(E$2, Players!$A$1:$P$1, 0)), perc_75, VLOOKUP(E$2, Percentiles!$A$45:$I$59, 6, FALSE), perc_90, VLOOKUP(E$2, Percentiles!$A$45:$I$59, 7, FALSE), perc_95, VLOOKUP(E$2, Percentiles!$A$45:$I$59, 8, FALSE), perc_85, perc_75 + (perc_90 - perc_75) * (2/3), converted_stat, '2K_Ratings'!E505, IF(bbgm_stat &gt;= perc_95, converted_stat * 3, IF(bbgm_stat &gt;= perc_90, converted_stat * 2, IF(bbgm_stat &gt;= perc_85, converted_stat * 1.5, converted_stat)))))</f>
        <v/>
      </c>
      <c r="F505" s="30" t="str">
        <f t="array" ref="F505">IF($A505="", "", LET(bbgm_stat, INDEX(Players!$A504:$P504, MATCH(F$2, Players!$A$1:$P$1, 0)), perc_75, VLOOKUP(F$2, Percentiles!$A$45:$I$59, 6, FALSE), perc_90, VLOOKUP(F$2, Percentiles!$A$45:$I$59, 7, FALSE), perc_95, VLOOKUP(F$2, Percentiles!$A$45:$I$59, 8, FALSE), perc_85, perc_75 + (perc_90 - perc_75) * (2/3), converted_stat, '2K_Ratings'!F505, IF(bbgm_stat &gt;= perc_95, converted_stat * 3, IF(bbgm_stat &gt;= perc_90, converted_stat * 2, IF(bbgm_stat &gt;= perc_85, converted_stat * 1.5, converted_stat)))))</f>
        <v/>
      </c>
      <c r="G505" s="30" t="str">
        <f t="array" ref="G505">IF($A505="", "", LET(bbgm_stat, INDEX(Players!$A504:$P504, MATCH(G$2, Players!$A$1:$P$1, 0)), perc_75, VLOOKUP(G$2, Percentiles!$A$45:$I$59, 6, FALSE), perc_90, VLOOKUP(G$2, Percentiles!$A$45:$I$59, 7, FALSE), perc_95, VLOOKUP(G$2, Percentiles!$A$45:$I$59, 8, FALSE), perc_85, perc_75 + (perc_90 - perc_75) * (2/3), converted_stat, '2K_Ratings'!G505, IF(bbgm_stat &gt;= perc_95, converted_stat * 3, IF(bbgm_stat &gt;= perc_90, converted_stat * 2, IF(bbgm_stat &gt;= perc_85, converted_stat * 1.5, converted_stat)))))</f>
        <v/>
      </c>
      <c r="H505" s="30" t="str">
        <f t="array" ref="H505">IF($A505="", "", LET(bbgm_stat, INDEX(Players!$A504:$P504, MATCH(H$2, Players!$A$1:$P$1, 0)), perc_75, VLOOKUP(H$2, Percentiles!$A$45:$I$59, 6, FALSE), perc_90, VLOOKUP(H$2, Percentiles!$A$45:$I$59, 7, FALSE), perc_95, VLOOKUP(H$2, Percentiles!$A$45:$I$59, 8, FALSE), perc_85, perc_75 + (perc_90 - perc_75) * (2/3), converted_stat, '2K_Ratings'!H505, IF(bbgm_stat &gt;= perc_95, converted_stat * 3, IF(bbgm_stat &gt;= perc_90, converted_stat * 2, IF(bbgm_stat &gt;= perc_85, converted_stat * 1.5, converted_stat)))))</f>
        <v/>
      </c>
      <c r="I505" s="30" t="str">
        <f t="array" ref="I505">IF($A505="", "", LET(bbgm_stat, INDEX(Players!$A504:$P504, MATCH(I$2, Players!$A$1:$P$1, 0)), perc_75, VLOOKUP(I$2, Percentiles!$A$45:$I$59, 6, FALSE), perc_90, VLOOKUP(I$2, Percentiles!$A$45:$I$59, 7, FALSE), perc_95, VLOOKUP(I$2, Percentiles!$A$45:$I$59, 8, FALSE), perc_85, perc_75 + (perc_90 - perc_75) * (2/3), converted_stat, '2K_Ratings'!I505, IF(bbgm_stat &gt;= perc_95, converted_stat * 3, IF(bbgm_stat &gt;= perc_90, converted_stat * 2, IF(bbgm_stat &gt;= perc_85, converted_stat * 1.5, converted_stat)))))</f>
        <v/>
      </c>
      <c r="J505" s="30" t="str">
        <f t="array" ref="J505">IF($A505="", "", LET(bbgm_stat, INDEX(Players!$A504:$P504, MATCH(J$2, Players!$A$1:$P$1, 0)), perc_75, VLOOKUP(J$2, Percentiles!$A$45:$I$59, 6, FALSE), perc_90, VLOOKUP(J$2, Percentiles!$A$45:$I$59, 7, FALSE), perc_95, VLOOKUP(J$2, Percentiles!$A$45:$I$59, 8, FALSE), perc_85, perc_75 + (perc_90 - perc_75) * (2/3), converted_stat, '2K_Ratings'!J505, IF(bbgm_stat &gt;= perc_95, converted_stat * 3, IF(bbgm_stat &gt;= perc_90, converted_stat * 2, IF(bbgm_stat &gt;= perc_85, converted_stat * 1.5, converted_stat)))))</f>
        <v/>
      </c>
      <c r="K505" s="30" t="str">
        <f t="array" ref="K505">IF($A505="", "", LET(bbgm_stat, INDEX(Players!$A504:$P504, MATCH(K$2, Players!$A$1:$P$1, 0)), perc_75, VLOOKUP(K$2, Percentiles!$A$45:$I$59, 6, FALSE), perc_90, VLOOKUP(K$2, Percentiles!$A$45:$I$59, 7, FALSE), perc_95, VLOOKUP(K$2, Percentiles!$A$45:$I$59, 8, FALSE), perc_85, perc_75 + (perc_90 - perc_75) * (2/3), converted_stat, '2K_Ratings'!K505, IF(bbgm_stat &gt;= perc_95, converted_stat * 3, IF(bbgm_stat &gt;= perc_90, converted_stat * 2, IF(bbgm_stat &gt;= perc_85, converted_stat * 1.5, converted_stat)))))</f>
        <v/>
      </c>
      <c r="L505" s="30" t="str">
        <f t="array" ref="L505">IF($A505="", "", LET(bbgm_stat, INDEX(Players!$A504:$P504, MATCH(L$2, Players!$A$1:$P$1, 0)), perc_75, VLOOKUP(L$2, Percentiles!$A$45:$I$59, 6, FALSE), perc_90, VLOOKUP(L$2, Percentiles!$A$45:$I$59, 7, FALSE), perc_95, VLOOKUP(L$2, Percentiles!$A$45:$I$59, 8, FALSE), perc_85, perc_75 + (perc_90 - perc_75) * (2/3), converted_stat, '2K_Ratings'!L505, IF(bbgm_stat &gt;= perc_95, converted_stat * 3, IF(bbgm_stat &gt;= perc_90, converted_stat * 2, IF(bbgm_stat &gt;= perc_85, converted_stat * 1.5, converted_stat)))))</f>
        <v/>
      </c>
      <c r="M505" s="30" t="str">
        <f t="array" ref="M505">IF($A505="", "", LET(bbgm_stat, INDEX(Players!$A504:$P504, MATCH(M$2, Players!$A$1:$P$1, 0)), perc_75, VLOOKUP(M$2, Percentiles!$A$45:$I$59, 6, FALSE), perc_90, VLOOKUP(M$2, Percentiles!$A$45:$I$59, 7, FALSE), perc_95, VLOOKUP(M$2, Percentiles!$A$45:$I$59, 8, FALSE), perc_85, perc_75 + (perc_90 - perc_75) * (2/3), converted_stat, '2K_Ratings'!M505, IF(bbgm_stat &gt;= perc_95, converted_stat * 3, IF(bbgm_stat &gt;= perc_90, converted_stat * 2, IF(bbgm_stat &gt;= perc_85, converted_stat * 1.5, converted_stat)))))</f>
        <v/>
      </c>
      <c r="N505" s="30" t="str">
        <f t="array" ref="N505">IF($A505="", "", LET(bbgm_stat, INDEX(Players!$A504:$P504, MATCH(N$2, Players!$A$1:$P$1, 0)), perc_75, VLOOKUP(N$2, Percentiles!$A$45:$I$59, 6, FALSE), perc_90, VLOOKUP(N$2, Percentiles!$A$45:$I$59, 7, FALSE), perc_95, VLOOKUP(N$2, Percentiles!$A$45:$I$59, 8, FALSE), perc_85, perc_75 + (perc_90 - perc_75) * (2/3), converted_stat, '2K_Ratings'!N505, IF(bbgm_stat &gt;= perc_95, converted_stat * 3, IF(bbgm_stat &gt;= perc_90, converted_stat * 2, IF(bbgm_stat &gt;= perc_85, converted_stat * 1.5, converted_stat)))))</f>
        <v/>
      </c>
      <c r="O505" s="30" t="str">
        <f t="array" ref="O505">IF($A505="", "", LET(bbgm_stat, INDEX(Players!$A504:$P504, MATCH(O$2, Players!$A$1:$P$1, 0)), perc_75, VLOOKUP(O$2, Percentiles!$A$45:$I$59, 6, FALSE), perc_90, VLOOKUP(O$2, Percentiles!$A$45:$I$59, 7, FALSE), perc_95, VLOOKUP(O$2, Percentiles!$A$45:$I$59, 8, FALSE), perc_85, perc_75 + (perc_90 - perc_75) * (2/3), converted_stat, '2K_Ratings'!O505, IF(bbgm_stat &gt;= perc_95, converted_stat * 3, IF(bbgm_stat &gt;= perc_90, converted_stat * 2, IF(bbgm_stat &gt;= perc_85, converted_stat * 1.5, converted_stat)))))</f>
        <v/>
      </c>
      <c r="P505" s="30" t="str">
        <f t="array" ref="P505">IF($A505="", "", LET(bbgm_stat, INDEX(Players!$A504:$P504, MATCH(P$2, Players!$A$1:$P$1, 0)), perc_75, VLOOKUP(P$2, Percentiles!$A$45:$I$59, 6, FALSE), perc_90, VLOOKUP(P$2, Percentiles!$A$45:$I$59, 7, FALSE), perc_95, VLOOKUP(P$2, Percentiles!$A$45:$I$59, 8, FALSE), perc_85, perc_75 + (perc_90 - perc_75) * (2/3), converted_stat, '2K_Ratings'!P505, IF(bbgm_stat &gt;= perc_95, converted_stat * 3, IF(bbgm_stat &gt;= perc_90, converted_stat * 2, IF(bbgm_stat &gt;= perc_85, converted_stat * 1.5, converted_stat)))))</f>
        <v/>
      </c>
      <c r="Q505" s="30" t="str">
        <f t="array" ref="Q505">IF($A505="", "", LET(bbgm_stat, INDEX(Players!$A504:$P504, MATCH(Q$2, Players!$A$1:$P$1, 0)), perc_75, VLOOKUP(Q$2, Percentiles!$A$45:$I$59, 6, FALSE), perc_90, VLOOKUP(Q$2, Percentiles!$A$45:$I$59, 7, FALSE), perc_95, VLOOKUP(Q$2, Percentiles!$A$45:$I$59, 8, FALSE), perc_85, perc_75 + (perc_90 - perc_75) * (2/3), converted_stat, '2K_Ratings'!Q505, IF(bbgm_stat &gt;= perc_95, converted_stat * 3, IF(bbgm_stat &gt;= perc_90, converted_stat * 2, IF(bbgm_stat &gt;= perc_85, converted_stat * 1.5, converted_stat)))))</f>
        <v/>
      </c>
      <c r="R505" s="30" t="str">
        <f t="array" ref="R505">IF($A505="", "", LET(bbgm_stat, INDEX(Players!$A504:$P504, MATCH(R$2, Players!$A$1:$P$1, 0)), perc_75, VLOOKUP(R$2, Percentiles!$A$45:$I$59, 6, FALSE), perc_90, VLOOKUP(R$2, Percentiles!$A$45:$I$59, 7, FALSE), perc_95, VLOOKUP(R$2, Percentiles!$A$45:$I$59, 8, FALSE), perc_85, perc_75 + (perc_90 - perc_75) * (2/3), converted_stat, '2K_Ratings'!R505, IF(bbgm_stat &gt;= perc_95, converted_stat * 3, IF(bbgm_stat &gt;= perc_90, converted_stat * 2, IF(bbgm_stat &gt;= perc_85, converted_stat * 1.5, converted_stat)))))</f>
        <v/>
      </c>
      <c r="S505" s="30" t="str">
        <f t="array" ref="S505">IF($A505="", "", LET(bbgm_stat, INDEX(Players!$A504:$P504, MATCH(S$2, Players!$A$1:$P$1, 0)), perc_75, VLOOKUP(S$2, Percentiles!$A$45:$I$59, 6, FALSE), perc_90, VLOOKUP(S$2, Percentiles!$A$45:$I$59, 7, FALSE), perc_95, VLOOKUP(S$2, Percentiles!$A$45:$I$59, 8, FALSE), perc_85, perc_75 + (perc_90 - perc_75) * (2/3), converted_stat, '2K_Ratings'!S505, IF(bbgm_stat &gt;= perc_95, converted_stat * 3, IF(bbgm_stat &gt;= perc_90, converted_stat * 2, IF(bbgm_stat &gt;= perc_85, converted_stat * 1.5, converted_stat)))))</f>
        <v/>
      </c>
      <c r="T505" s="30" t="str">
        <f t="array" ref="T505">IF($A505="", "", LET(bbgm_stat, INDEX(Players!$A504:$P504, MATCH(T$2, Players!$A$1:$P$1, 0)), perc_75, VLOOKUP(T$2, Percentiles!$A$45:$I$59, 6, FALSE), perc_90, VLOOKUP(T$2, Percentiles!$A$45:$I$59, 7, FALSE), perc_95, VLOOKUP(T$2, Percentiles!$A$45:$I$59, 8, FALSE), perc_85, perc_75 + (perc_90 - perc_75) * (2/3), converted_stat, '2K_Ratings'!T505, IF(bbgm_stat &gt;= perc_95, converted_stat * 3, IF(bbgm_stat &gt;= perc_90, converted_stat * 2, IF(bbgm_stat &gt;= perc_85, converted_stat * 1.5, converted_stat)))))</f>
        <v/>
      </c>
      <c r="U505" s="30" t="str">
        <f t="array" ref="U505">IF($A505="", "", LET(bbgm_stat, INDEX(Players!$A504:$P504, MATCH(U$2, Players!$A$1:$P$1, 0)), perc_75, VLOOKUP(U$2, Percentiles!$A$45:$I$59, 6, FALSE), perc_90, VLOOKUP(U$2, Percentiles!$A$45:$I$59, 7, FALSE), perc_95, VLOOKUP(U$2, Percentiles!$A$45:$I$59, 8, FALSE), perc_85, perc_75 + (perc_90 - perc_75) * (2/3), converted_stat, '2K_Ratings'!U505, IF(bbgm_stat &gt;= perc_95, converted_stat * 3, IF(bbgm_stat &gt;= perc_90, converted_stat * 2, IF(bbgm_stat &gt;= perc_85, converted_stat * 1.5, converted_stat)))))</f>
        <v/>
      </c>
      <c r="V505" s="30" t="str">
        <f t="array" ref="V505">IF($A505="", "", LET(bbgm_stat, INDEX(Players!$A504:$P504, MATCH(V$2, Players!$A$1:$P$1, 0)), perc_75, VLOOKUP(V$2, Percentiles!$A$45:$I$59, 6, FALSE), perc_90, VLOOKUP(V$2, Percentiles!$A$45:$I$59, 7, FALSE), perc_95, VLOOKUP(V$2, Percentiles!$A$45:$I$59, 8, FALSE), perc_85, perc_75 + (perc_90 - perc_75) * (2/3), converted_stat, '2K_Ratings'!V505, IF(bbgm_stat &gt;= perc_95, converted_stat * 3, IF(bbgm_stat &gt;= perc_90, converted_stat * 2, IF(bbgm_stat &gt;= perc_85, converted_stat * 1.5, converted_stat)))))</f>
        <v/>
      </c>
      <c r="W505" s="30" t="str">
        <f t="array" ref="W505">IF($A505="", "", LET(bbgm_stat, INDEX(Players!$A504:$P504, MATCH(W$2, Players!$A$1:$P$1, 0)), perc_75, VLOOKUP(W$2, Percentiles!$A$45:$I$59, 6, FALSE), perc_90, VLOOKUP(W$2, Percentiles!$A$45:$I$59, 7, FALSE), perc_95, VLOOKUP(W$2, Percentiles!$A$45:$I$59, 8, FALSE), perc_85, perc_75 + (perc_90 - perc_75) * (2/3), converted_stat, '2K_Ratings'!W505, IF(bbgm_stat &gt;= perc_95, converted_stat * 3, IF(bbgm_stat &gt;= perc_90, converted_stat * 2, IF(bbgm_stat &gt;= perc_85, converted_stat * 1.5, converted_stat)))))</f>
        <v/>
      </c>
    </row>
    <row r="506">
      <c r="A506" s="30"/>
      <c r="B506" s="30" t="str">
        <f t="array" ref="B506">IF($A506="", "", LET(bbgm_stat, INDEX(Players!$A505:$P505, MATCH(B$2, Players!$A$1:$P$1, 0)), perc_75, VLOOKUP(B$2, Percentiles!$A$45:$I$59, 6, FALSE), perc_90, VLOOKUP(B$2, Percentiles!$A$45:$I$59, 7, FALSE), perc_95, VLOOKUP(B$2, Percentiles!$A$45:$I$59, 8, FALSE), perc_85, perc_75 + (perc_90 - perc_75) * (2/3), converted_stat, '2K_Ratings'!B506, IF(bbgm_stat &gt;= perc_95, converted_stat * 3, IF(bbgm_stat &gt;= perc_90, converted_stat * 2, IF(bbgm_stat &gt;= perc_85, converted_stat * 1.5, converted_stat)))))</f>
        <v/>
      </c>
      <c r="C506" s="30" t="str">
        <f t="array" ref="C506">IF($A506="", "", LET(bbgm_stat, INDEX(Players!$A505:$P505, MATCH(C$2, Players!$A$1:$P$1, 0)), perc_75, VLOOKUP(C$2, Percentiles!$A$45:$I$59, 6, FALSE), perc_90, VLOOKUP(C$2, Percentiles!$A$45:$I$59, 7, FALSE), perc_95, VLOOKUP(C$2, Percentiles!$A$45:$I$59, 8, FALSE), perc_85, perc_75 + (perc_90 - perc_75) * (2/3), converted_stat, '2K_Ratings'!C506, IF(bbgm_stat &gt;= perc_95, converted_stat * 3, IF(bbgm_stat &gt;= perc_90, converted_stat * 2, IF(bbgm_stat &gt;= perc_85, converted_stat * 1.5, converted_stat)))))</f>
        <v/>
      </c>
      <c r="D506" s="30" t="str">
        <f t="array" ref="D506">IF($A506="", "", LET(bbgm_stat, INDEX(Players!$A505:$P505, MATCH(D$2, Players!$A$1:$P$1, 0)), perc_75, VLOOKUP(D$2, Percentiles!$A$45:$I$59, 6, FALSE), perc_90, VLOOKUP(D$2, Percentiles!$A$45:$I$59, 7, FALSE), perc_95, VLOOKUP(D$2, Percentiles!$A$45:$I$59, 8, FALSE), perc_85, perc_75 + (perc_90 - perc_75) * (2/3), converted_stat, '2K_Ratings'!D506, IF(bbgm_stat &gt;= perc_95, converted_stat * 3, IF(bbgm_stat &gt;= perc_90, converted_stat * 2, IF(bbgm_stat &gt;= perc_85, converted_stat * 1.5, converted_stat)))))</f>
        <v/>
      </c>
      <c r="E506" s="30" t="str">
        <f t="array" ref="E506">IF($A506="", "", LET(bbgm_stat, INDEX(Players!$A505:$P505, MATCH(E$2, Players!$A$1:$P$1, 0)), perc_75, VLOOKUP(E$2, Percentiles!$A$45:$I$59, 6, FALSE), perc_90, VLOOKUP(E$2, Percentiles!$A$45:$I$59, 7, FALSE), perc_95, VLOOKUP(E$2, Percentiles!$A$45:$I$59, 8, FALSE), perc_85, perc_75 + (perc_90 - perc_75) * (2/3), converted_stat, '2K_Ratings'!E506, IF(bbgm_stat &gt;= perc_95, converted_stat * 3, IF(bbgm_stat &gt;= perc_90, converted_stat * 2, IF(bbgm_stat &gt;= perc_85, converted_stat * 1.5, converted_stat)))))</f>
        <v/>
      </c>
      <c r="F506" s="30" t="str">
        <f t="array" ref="F506">IF($A506="", "", LET(bbgm_stat, INDEX(Players!$A505:$P505, MATCH(F$2, Players!$A$1:$P$1, 0)), perc_75, VLOOKUP(F$2, Percentiles!$A$45:$I$59, 6, FALSE), perc_90, VLOOKUP(F$2, Percentiles!$A$45:$I$59, 7, FALSE), perc_95, VLOOKUP(F$2, Percentiles!$A$45:$I$59, 8, FALSE), perc_85, perc_75 + (perc_90 - perc_75) * (2/3), converted_stat, '2K_Ratings'!F506, IF(bbgm_stat &gt;= perc_95, converted_stat * 3, IF(bbgm_stat &gt;= perc_90, converted_stat * 2, IF(bbgm_stat &gt;= perc_85, converted_stat * 1.5, converted_stat)))))</f>
        <v/>
      </c>
      <c r="G506" s="30" t="str">
        <f t="array" ref="G506">IF($A506="", "", LET(bbgm_stat, INDEX(Players!$A505:$P505, MATCH(G$2, Players!$A$1:$P$1, 0)), perc_75, VLOOKUP(G$2, Percentiles!$A$45:$I$59, 6, FALSE), perc_90, VLOOKUP(G$2, Percentiles!$A$45:$I$59, 7, FALSE), perc_95, VLOOKUP(G$2, Percentiles!$A$45:$I$59, 8, FALSE), perc_85, perc_75 + (perc_90 - perc_75) * (2/3), converted_stat, '2K_Ratings'!G506, IF(bbgm_stat &gt;= perc_95, converted_stat * 3, IF(bbgm_stat &gt;= perc_90, converted_stat * 2, IF(bbgm_stat &gt;= perc_85, converted_stat * 1.5, converted_stat)))))</f>
        <v/>
      </c>
      <c r="H506" s="30" t="str">
        <f t="array" ref="H506">IF($A506="", "", LET(bbgm_stat, INDEX(Players!$A505:$P505, MATCH(H$2, Players!$A$1:$P$1, 0)), perc_75, VLOOKUP(H$2, Percentiles!$A$45:$I$59, 6, FALSE), perc_90, VLOOKUP(H$2, Percentiles!$A$45:$I$59, 7, FALSE), perc_95, VLOOKUP(H$2, Percentiles!$A$45:$I$59, 8, FALSE), perc_85, perc_75 + (perc_90 - perc_75) * (2/3), converted_stat, '2K_Ratings'!H506, IF(bbgm_stat &gt;= perc_95, converted_stat * 3, IF(bbgm_stat &gt;= perc_90, converted_stat * 2, IF(bbgm_stat &gt;= perc_85, converted_stat * 1.5, converted_stat)))))</f>
        <v/>
      </c>
      <c r="I506" s="30" t="str">
        <f t="array" ref="I506">IF($A506="", "", LET(bbgm_stat, INDEX(Players!$A505:$P505, MATCH(I$2, Players!$A$1:$P$1, 0)), perc_75, VLOOKUP(I$2, Percentiles!$A$45:$I$59, 6, FALSE), perc_90, VLOOKUP(I$2, Percentiles!$A$45:$I$59, 7, FALSE), perc_95, VLOOKUP(I$2, Percentiles!$A$45:$I$59, 8, FALSE), perc_85, perc_75 + (perc_90 - perc_75) * (2/3), converted_stat, '2K_Ratings'!I506, IF(bbgm_stat &gt;= perc_95, converted_stat * 3, IF(bbgm_stat &gt;= perc_90, converted_stat * 2, IF(bbgm_stat &gt;= perc_85, converted_stat * 1.5, converted_stat)))))</f>
        <v/>
      </c>
      <c r="J506" s="30" t="str">
        <f t="array" ref="J506">IF($A506="", "", LET(bbgm_stat, INDEX(Players!$A505:$P505, MATCH(J$2, Players!$A$1:$P$1, 0)), perc_75, VLOOKUP(J$2, Percentiles!$A$45:$I$59, 6, FALSE), perc_90, VLOOKUP(J$2, Percentiles!$A$45:$I$59, 7, FALSE), perc_95, VLOOKUP(J$2, Percentiles!$A$45:$I$59, 8, FALSE), perc_85, perc_75 + (perc_90 - perc_75) * (2/3), converted_stat, '2K_Ratings'!J506, IF(bbgm_stat &gt;= perc_95, converted_stat * 3, IF(bbgm_stat &gt;= perc_90, converted_stat * 2, IF(bbgm_stat &gt;= perc_85, converted_stat * 1.5, converted_stat)))))</f>
        <v/>
      </c>
      <c r="K506" s="30" t="str">
        <f t="array" ref="K506">IF($A506="", "", LET(bbgm_stat, INDEX(Players!$A505:$P505, MATCH(K$2, Players!$A$1:$P$1, 0)), perc_75, VLOOKUP(K$2, Percentiles!$A$45:$I$59, 6, FALSE), perc_90, VLOOKUP(K$2, Percentiles!$A$45:$I$59, 7, FALSE), perc_95, VLOOKUP(K$2, Percentiles!$A$45:$I$59, 8, FALSE), perc_85, perc_75 + (perc_90 - perc_75) * (2/3), converted_stat, '2K_Ratings'!K506, IF(bbgm_stat &gt;= perc_95, converted_stat * 3, IF(bbgm_stat &gt;= perc_90, converted_stat * 2, IF(bbgm_stat &gt;= perc_85, converted_stat * 1.5, converted_stat)))))</f>
        <v/>
      </c>
      <c r="L506" s="30" t="str">
        <f t="array" ref="L506">IF($A506="", "", LET(bbgm_stat, INDEX(Players!$A505:$P505, MATCH(L$2, Players!$A$1:$P$1, 0)), perc_75, VLOOKUP(L$2, Percentiles!$A$45:$I$59, 6, FALSE), perc_90, VLOOKUP(L$2, Percentiles!$A$45:$I$59, 7, FALSE), perc_95, VLOOKUP(L$2, Percentiles!$A$45:$I$59, 8, FALSE), perc_85, perc_75 + (perc_90 - perc_75) * (2/3), converted_stat, '2K_Ratings'!L506, IF(bbgm_stat &gt;= perc_95, converted_stat * 3, IF(bbgm_stat &gt;= perc_90, converted_stat * 2, IF(bbgm_stat &gt;= perc_85, converted_stat * 1.5, converted_stat)))))</f>
        <v/>
      </c>
      <c r="M506" s="30" t="str">
        <f t="array" ref="M506">IF($A506="", "", LET(bbgm_stat, INDEX(Players!$A505:$P505, MATCH(M$2, Players!$A$1:$P$1, 0)), perc_75, VLOOKUP(M$2, Percentiles!$A$45:$I$59, 6, FALSE), perc_90, VLOOKUP(M$2, Percentiles!$A$45:$I$59, 7, FALSE), perc_95, VLOOKUP(M$2, Percentiles!$A$45:$I$59, 8, FALSE), perc_85, perc_75 + (perc_90 - perc_75) * (2/3), converted_stat, '2K_Ratings'!M506, IF(bbgm_stat &gt;= perc_95, converted_stat * 3, IF(bbgm_stat &gt;= perc_90, converted_stat * 2, IF(bbgm_stat &gt;= perc_85, converted_stat * 1.5, converted_stat)))))</f>
        <v/>
      </c>
      <c r="N506" s="30" t="str">
        <f t="array" ref="N506">IF($A506="", "", LET(bbgm_stat, INDEX(Players!$A505:$P505, MATCH(N$2, Players!$A$1:$P$1, 0)), perc_75, VLOOKUP(N$2, Percentiles!$A$45:$I$59, 6, FALSE), perc_90, VLOOKUP(N$2, Percentiles!$A$45:$I$59, 7, FALSE), perc_95, VLOOKUP(N$2, Percentiles!$A$45:$I$59, 8, FALSE), perc_85, perc_75 + (perc_90 - perc_75) * (2/3), converted_stat, '2K_Ratings'!N506, IF(bbgm_stat &gt;= perc_95, converted_stat * 3, IF(bbgm_stat &gt;= perc_90, converted_stat * 2, IF(bbgm_stat &gt;= perc_85, converted_stat * 1.5, converted_stat)))))</f>
        <v/>
      </c>
      <c r="O506" s="30" t="str">
        <f t="array" ref="O506">IF($A506="", "", LET(bbgm_stat, INDEX(Players!$A505:$P505, MATCH(O$2, Players!$A$1:$P$1, 0)), perc_75, VLOOKUP(O$2, Percentiles!$A$45:$I$59, 6, FALSE), perc_90, VLOOKUP(O$2, Percentiles!$A$45:$I$59, 7, FALSE), perc_95, VLOOKUP(O$2, Percentiles!$A$45:$I$59, 8, FALSE), perc_85, perc_75 + (perc_90 - perc_75) * (2/3), converted_stat, '2K_Ratings'!O506, IF(bbgm_stat &gt;= perc_95, converted_stat * 3, IF(bbgm_stat &gt;= perc_90, converted_stat * 2, IF(bbgm_stat &gt;= perc_85, converted_stat * 1.5, converted_stat)))))</f>
        <v/>
      </c>
      <c r="P506" s="30" t="str">
        <f t="array" ref="P506">IF($A506="", "", LET(bbgm_stat, INDEX(Players!$A505:$P505, MATCH(P$2, Players!$A$1:$P$1, 0)), perc_75, VLOOKUP(P$2, Percentiles!$A$45:$I$59, 6, FALSE), perc_90, VLOOKUP(P$2, Percentiles!$A$45:$I$59, 7, FALSE), perc_95, VLOOKUP(P$2, Percentiles!$A$45:$I$59, 8, FALSE), perc_85, perc_75 + (perc_90 - perc_75) * (2/3), converted_stat, '2K_Ratings'!P506, IF(bbgm_stat &gt;= perc_95, converted_stat * 3, IF(bbgm_stat &gt;= perc_90, converted_stat * 2, IF(bbgm_stat &gt;= perc_85, converted_stat * 1.5, converted_stat)))))</f>
        <v/>
      </c>
      <c r="Q506" s="30" t="str">
        <f t="array" ref="Q506">IF($A506="", "", LET(bbgm_stat, INDEX(Players!$A505:$P505, MATCH(Q$2, Players!$A$1:$P$1, 0)), perc_75, VLOOKUP(Q$2, Percentiles!$A$45:$I$59, 6, FALSE), perc_90, VLOOKUP(Q$2, Percentiles!$A$45:$I$59, 7, FALSE), perc_95, VLOOKUP(Q$2, Percentiles!$A$45:$I$59, 8, FALSE), perc_85, perc_75 + (perc_90 - perc_75) * (2/3), converted_stat, '2K_Ratings'!Q506, IF(bbgm_stat &gt;= perc_95, converted_stat * 3, IF(bbgm_stat &gt;= perc_90, converted_stat * 2, IF(bbgm_stat &gt;= perc_85, converted_stat * 1.5, converted_stat)))))</f>
        <v/>
      </c>
      <c r="R506" s="30" t="str">
        <f t="array" ref="R506">IF($A506="", "", LET(bbgm_stat, INDEX(Players!$A505:$P505, MATCH(R$2, Players!$A$1:$P$1, 0)), perc_75, VLOOKUP(R$2, Percentiles!$A$45:$I$59, 6, FALSE), perc_90, VLOOKUP(R$2, Percentiles!$A$45:$I$59, 7, FALSE), perc_95, VLOOKUP(R$2, Percentiles!$A$45:$I$59, 8, FALSE), perc_85, perc_75 + (perc_90 - perc_75) * (2/3), converted_stat, '2K_Ratings'!R506, IF(bbgm_stat &gt;= perc_95, converted_stat * 3, IF(bbgm_stat &gt;= perc_90, converted_stat * 2, IF(bbgm_stat &gt;= perc_85, converted_stat * 1.5, converted_stat)))))</f>
        <v/>
      </c>
      <c r="S506" s="30" t="str">
        <f t="array" ref="S506">IF($A506="", "", LET(bbgm_stat, INDEX(Players!$A505:$P505, MATCH(S$2, Players!$A$1:$P$1, 0)), perc_75, VLOOKUP(S$2, Percentiles!$A$45:$I$59, 6, FALSE), perc_90, VLOOKUP(S$2, Percentiles!$A$45:$I$59, 7, FALSE), perc_95, VLOOKUP(S$2, Percentiles!$A$45:$I$59, 8, FALSE), perc_85, perc_75 + (perc_90 - perc_75) * (2/3), converted_stat, '2K_Ratings'!S506, IF(bbgm_stat &gt;= perc_95, converted_stat * 3, IF(bbgm_stat &gt;= perc_90, converted_stat * 2, IF(bbgm_stat &gt;= perc_85, converted_stat * 1.5, converted_stat)))))</f>
        <v/>
      </c>
      <c r="T506" s="30" t="str">
        <f t="array" ref="T506">IF($A506="", "", LET(bbgm_stat, INDEX(Players!$A505:$P505, MATCH(T$2, Players!$A$1:$P$1, 0)), perc_75, VLOOKUP(T$2, Percentiles!$A$45:$I$59, 6, FALSE), perc_90, VLOOKUP(T$2, Percentiles!$A$45:$I$59, 7, FALSE), perc_95, VLOOKUP(T$2, Percentiles!$A$45:$I$59, 8, FALSE), perc_85, perc_75 + (perc_90 - perc_75) * (2/3), converted_stat, '2K_Ratings'!T506, IF(bbgm_stat &gt;= perc_95, converted_stat * 3, IF(bbgm_stat &gt;= perc_90, converted_stat * 2, IF(bbgm_stat &gt;= perc_85, converted_stat * 1.5, converted_stat)))))</f>
        <v/>
      </c>
      <c r="U506" s="30" t="str">
        <f t="array" ref="U506">IF($A506="", "", LET(bbgm_stat, INDEX(Players!$A505:$P505, MATCH(U$2, Players!$A$1:$P$1, 0)), perc_75, VLOOKUP(U$2, Percentiles!$A$45:$I$59, 6, FALSE), perc_90, VLOOKUP(U$2, Percentiles!$A$45:$I$59, 7, FALSE), perc_95, VLOOKUP(U$2, Percentiles!$A$45:$I$59, 8, FALSE), perc_85, perc_75 + (perc_90 - perc_75) * (2/3), converted_stat, '2K_Ratings'!U506, IF(bbgm_stat &gt;= perc_95, converted_stat * 3, IF(bbgm_stat &gt;= perc_90, converted_stat * 2, IF(bbgm_stat &gt;= perc_85, converted_stat * 1.5, converted_stat)))))</f>
        <v/>
      </c>
      <c r="V506" s="30" t="str">
        <f t="array" ref="V506">IF($A506="", "", LET(bbgm_stat, INDEX(Players!$A505:$P505, MATCH(V$2, Players!$A$1:$P$1, 0)), perc_75, VLOOKUP(V$2, Percentiles!$A$45:$I$59, 6, FALSE), perc_90, VLOOKUP(V$2, Percentiles!$A$45:$I$59, 7, FALSE), perc_95, VLOOKUP(V$2, Percentiles!$A$45:$I$59, 8, FALSE), perc_85, perc_75 + (perc_90 - perc_75) * (2/3), converted_stat, '2K_Ratings'!V506, IF(bbgm_stat &gt;= perc_95, converted_stat * 3, IF(bbgm_stat &gt;= perc_90, converted_stat * 2, IF(bbgm_stat &gt;= perc_85, converted_stat * 1.5, converted_stat)))))</f>
        <v/>
      </c>
      <c r="W506" s="30" t="str">
        <f t="array" ref="W506">IF($A506="", "", LET(bbgm_stat, INDEX(Players!$A505:$P505, MATCH(W$2, Players!$A$1:$P$1, 0)), perc_75, VLOOKUP(W$2, Percentiles!$A$45:$I$59, 6, FALSE), perc_90, VLOOKUP(W$2, Percentiles!$A$45:$I$59, 7, FALSE), perc_95, VLOOKUP(W$2, Percentiles!$A$45:$I$59, 8, FALSE), perc_85, perc_75 + (perc_90 - perc_75) * (2/3), converted_stat, '2K_Ratings'!W506, IF(bbgm_stat &gt;= perc_95, converted_stat * 3, IF(bbgm_stat &gt;= perc_90, converted_stat * 2, IF(bbgm_stat &gt;= perc_85, converted_stat * 1.5, converted_stat)))))</f>
        <v/>
      </c>
    </row>
    <row r="507">
      <c r="A507" s="30"/>
      <c r="B507" s="30" t="str">
        <f t="array" ref="B507">IF($A507="", "", LET(bbgm_stat, INDEX(Players!$A506:$P506, MATCH(B$2, Players!$A$1:$P$1, 0)), perc_75, VLOOKUP(B$2, Percentiles!$A$45:$I$59, 6, FALSE), perc_90, VLOOKUP(B$2, Percentiles!$A$45:$I$59, 7, FALSE), perc_95, VLOOKUP(B$2, Percentiles!$A$45:$I$59, 8, FALSE), perc_85, perc_75 + (perc_90 - perc_75) * (2/3), converted_stat, '2K_Ratings'!B507, IF(bbgm_stat &gt;= perc_95, converted_stat * 3, IF(bbgm_stat &gt;= perc_90, converted_stat * 2, IF(bbgm_stat &gt;= perc_85, converted_stat * 1.5, converted_stat)))))</f>
        <v/>
      </c>
      <c r="C507" s="30" t="str">
        <f t="array" ref="C507">IF($A507="", "", LET(bbgm_stat, INDEX(Players!$A506:$P506, MATCH(C$2, Players!$A$1:$P$1, 0)), perc_75, VLOOKUP(C$2, Percentiles!$A$45:$I$59, 6, FALSE), perc_90, VLOOKUP(C$2, Percentiles!$A$45:$I$59, 7, FALSE), perc_95, VLOOKUP(C$2, Percentiles!$A$45:$I$59, 8, FALSE), perc_85, perc_75 + (perc_90 - perc_75) * (2/3), converted_stat, '2K_Ratings'!C507, IF(bbgm_stat &gt;= perc_95, converted_stat * 3, IF(bbgm_stat &gt;= perc_90, converted_stat * 2, IF(bbgm_stat &gt;= perc_85, converted_stat * 1.5, converted_stat)))))</f>
        <v/>
      </c>
      <c r="D507" s="30" t="str">
        <f t="array" ref="D507">IF($A507="", "", LET(bbgm_stat, INDEX(Players!$A506:$P506, MATCH(D$2, Players!$A$1:$P$1, 0)), perc_75, VLOOKUP(D$2, Percentiles!$A$45:$I$59, 6, FALSE), perc_90, VLOOKUP(D$2, Percentiles!$A$45:$I$59, 7, FALSE), perc_95, VLOOKUP(D$2, Percentiles!$A$45:$I$59, 8, FALSE), perc_85, perc_75 + (perc_90 - perc_75) * (2/3), converted_stat, '2K_Ratings'!D507, IF(bbgm_stat &gt;= perc_95, converted_stat * 3, IF(bbgm_stat &gt;= perc_90, converted_stat * 2, IF(bbgm_stat &gt;= perc_85, converted_stat * 1.5, converted_stat)))))</f>
        <v/>
      </c>
      <c r="E507" s="30" t="str">
        <f t="array" ref="E507">IF($A507="", "", LET(bbgm_stat, INDEX(Players!$A506:$P506, MATCH(E$2, Players!$A$1:$P$1, 0)), perc_75, VLOOKUP(E$2, Percentiles!$A$45:$I$59, 6, FALSE), perc_90, VLOOKUP(E$2, Percentiles!$A$45:$I$59, 7, FALSE), perc_95, VLOOKUP(E$2, Percentiles!$A$45:$I$59, 8, FALSE), perc_85, perc_75 + (perc_90 - perc_75) * (2/3), converted_stat, '2K_Ratings'!E507, IF(bbgm_stat &gt;= perc_95, converted_stat * 3, IF(bbgm_stat &gt;= perc_90, converted_stat * 2, IF(bbgm_stat &gt;= perc_85, converted_stat * 1.5, converted_stat)))))</f>
        <v/>
      </c>
      <c r="F507" s="30" t="str">
        <f t="array" ref="F507">IF($A507="", "", LET(bbgm_stat, INDEX(Players!$A506:$P506, MATCH(F$2, Players!$A$1:$P$1, 0)), perc_75, VLOOKUP(F$2, Percentiles!$A$45:$I$59, 6, FALSE), perc_90, VLOOKUP(F$2, Percentiles!$A$45:$I$59, 7, FALSE), perc_95, VLOOKUP(F$2, Percentiles!$A$45:$I$59, 8, FALSE), perc_85, perc_75 + (perc_90 - perc_75) * (2/3), converted_stat, '2K_Ratings'!F507, IF(bbgm_stat &gt;= perc_95, converted_stat * 3, IF(bbgm_stat &gt;= perc_90, converted_stat * 2, IF(bbgm_stat &gt;= perc_85, converted_stat * 1.5, converted_stat)))))</f>
        <v/>
      </c>
      <c r="G507" s="30" t="str">
        <f t="array" ref="G507">IF($A507="", "", LET(bbgm_stat, INDEX(Players!$A506:$P506, MATCH(G$2, Players!$A$1:$P$1, 0)), perc_75, VLOOKUP(G$2, Percentiles!$A$45:$I$59, 6, FALSE), perc_90, VLOOKUP(G$2, Percentiles!$A$45:$I$59, 7, FALSE), perc_95, VLOOKUP(G$2, Percentiles!$A$45:$I$59, 8, FALSE), perc_85, perc_75 + (perc_90 - perc_75) * (2/3), converted_stat, '2K_Ratings'!G507, IF(bbgm_stat &gt;= perc_95, converted_stat * 3, IF(bbgm_stat &gt;= perc_90, converted_stat * 2, IF(bbgm_stat &gt;= perc_85, converted_stat * 1.5, converted_stat)))))</f>
        <v/>
      </c>
      <c r="H507" s="30" t="str">
        <f t="array" ref="H507">IF($A507="", "", LET(bbgm_stat, INDEX(Players!$A506:$P506, MATCH(H$2, Players!$A$1:$P$1, 0)), perc_75, VLOOKUP(H$2, Percentiles!$A$45:$I$59, 6, FALSE), perc_90, VLOOKUP(H$2, Percentiles!$A$45:$I$59, 7, FALSE), perc_95, VLOOKUP(H$2, Percentiles!$A$45:$I$59, 8, FALSE), perc_85, perc_75 + (perc_90 - perc_75) * (2/3), converted_stat, '2K_Ratings'!H507, IF(bbgm_stat &gt;= perc_95, converted_stat * 3, IF(bbgm_stat &gt;= perc_90, converted_stat * 2, IF(bbgm_stat &gt;= perc_85, converted_stat * 1.5, converted_stat)))))</f>
        <v/>
      </c>
      <c r="I507" s="30" t="str">
        <f t="array" ref="I507">IF($A507="", "", LET(bbgm_stat, INDEX(Players!$A506:$P506, MATCH(I$2, Players!$A$1:$P$1, 0)), perc_75, VLOOKUP(I$2, Percentiles!$A$45:$I$59, 6, FALSE), perc_90, VLOOKUP(I$2, Percentiles!$A$45:$I$59, 7, FALSE), perc_95, VLOOKUP(I$2, Percentiles!$A$45:$I$59, 8, FALSE), perc_85, perc_75 + (perc_90 - perc_75) * (2/3), converted_stat, '2K_Ratings'!I507, IF(bbgm_stat &gt;= perc_95, converted_stat * 3, IF(bbgm_stat &gt;= perc_90, converted_stat * 2, IF(bbgm_stat &gt;= perc_85, converted_stat * 1.5, converted_stat)))))</f>
        <v/>
      </c>
      <c r="J507" s="30" t="str">
        <f t="array" ref="J507">IF($A507="", "", LET(bbgm_stat, INDEX(Players!$A506:$P506, MATCH(J$2, Players!$A$1:$P$1, 0)), perc_75, VLOOKUP(J$2, Percentiles!$A$45:$I$59, 6, FALSE), perc_90, VLOOKUP(J$2, Percentiles!$A$45:$I$59, 7, FALSE), perc_95, VLOOKUP(J$2, Percentiles!$A$45:$I$59, 8, FALSE), perc_85, perc_75 + (perc_90 - perc_75) * (2/3), converted_stat, '2K_Ratings'!J507, IF(bbgm_stat &gt;= perc_95, converted_stat * 3, IF(bbgm_stat &gt;= perc_90, converted_stat * 2, IF(bbgm_stat &gt;= perc_85, converted_stat * 1.5, converted_stat)))))</f>
        <v/>
      </c>
      <c r="K507" s="30" t="str">
        <f t="array" ref="K507">IF($A507="", "", LET(bbgm_stat, INDEX(Players!$A506:$P506, MATCH(K$2, Players!$A$1:$P$1, 0)), perc_75, VLOOKUP(K$2, Percentiles!$A$45:$I$59, 6, FALSE), perc_90, VLOOKUP(K$2, Percentiles!$A$45:$I$59, 7, FALSE), perc_95, VLOOKUP(K$2, Percentiles!$A$45:$I$59, 8, FALSE), perc_85, perc_75 + (perc_90 - perc_75) * (2/3), converted_stat, '2K_Ratings'!K507, IF(bbgm_stat &gt;= perc_95, converted_stat * 3, IF(bbgm_stat &gt;= perc_90, converted_stat * 2, IF(bbgm_stat &gt;= perc_85, converted_stat * 1.5, converted_stat)))))</f>
        <v/>
      </c>
      <c r="L507" s="30" t="str">
        <f t="array" ref="L507">IF($A507="", "", LET(bbgm_stat, INDEX(Players!$A506:$P506, MATCH(L$2, Players!$A$1:$P$1, 0)), perc_75, VLOOKUP(L$2, Percentiles!$A$45:$I$59, 6, FALSE), perc_90, VLOOKUP(L$2, Percentiles!$A$45:$I$59, 7, FALSE), perc_95, VLOOKUP(L$2, Percentiles!$A$45:$I$59, 8, FALSE), perc_85, perc_75 + (perc_90 - perc_75) * (2/3), converted_stat, '2K_Ratings'!L507, IF(bbgm_stat &gt;= perc_95, converted_stat * 3, IF(bbgm_stat &gt;= perc_90, converted_stat * 2, IF(bbgm_stat &gt;= perc_85, converted_stat * 1.5, converted_stat)))))</f>
        <v/>
      </c>
      <c r="M507" s="30" t="str">
        <f t="array" ref="M507">IF($A507="", "", LET(bbgm_stat, INDEX(Players!$A506:$P506, MATCH(M$2, Players!$A$1:$P$1, 0)), perc_75, VLOOKUP(M$2, Percentiles!$A$45:$I$59, 6, FALSE), perc_90, VLOOKUP(M$2, Percentiles!$A$45:$I$59, 7, FALSE), perc_95, VLOOKUP(M$2, Percentiles!$A$45:$I$59, 8, FALSE), perc_85, perc_75 + (perc_90 - perc_75) * (2/3), converted_stat, '2K_Ratings'!M507, IF(bbgm_stat &gt;= perc_95, converted_stat * 3, IF(bbgm_stat &gt;= perc_90, converted_stat * 2, IF(bbgm_stat &gt;= perc_85, converted_stat * 1.5, converted_stat)))))</f>
        <v/>
      </c>
      <c r="N507" s="30" t="str">
        <f t="array" ref="N507">IF($A507="", "", LET(bbgm_stat, INDEX(Players!$A506:$P506, MATCH(N$2, Players!$A$1:$P$1, 0)), perc_75, VLOOKUP(N$2, Percentiles!$A$45:$I$59, 6, FALSE), perc_90, VLOOKUP(N$2, Percentiles!$A$45:$I$59, 7, FALSE), perc_95, VLOOKUP(N$2, Percentiles!$A$45:$I$59, 8, FALSE), perc_85, perc_75 + (perc_90 - perc_75) * (2/3), converted_stat, '2K_Ratings'!N507, IF(bbgm_stat &gt;= perc_95, converted_stat * 3, IF(bbgm_stat &gt;= perc_90, converted_stat * 2, IF(bbgm_stat &gt;= perc_85, converted_stat * 1.5, converted_stat)))))</f>
        <v/>
      </c>
      <c r="O507" s="30" t="str">
        <f t="array" ref="O507">IF($A507="", "", LET(bbgm_stat, INDEX(Players!$A506:$P506, MATCH(O$2, Players!$A$1:$P$1, 0)), perc_75, VLOOKUP(O$2, Percentiles!$A$45:$I$59, 6, FALSE), perc_90, VLOOKUP(O$2, Percentiles!$A$45:$I$59, 7, FALSE), perc_95, VLOOKUP(O$2, Percentiles!$A$45:$I$59, 8, FALSE), perc_85, perc_75 + (perc_90 - perc_75) * (2/3), converted_stat, '2K_Ratings'!O507, IF(bbgm_stat &gt;= perc_95, converted_stat * 3, IF(bbgm_stat &gt;= perc_90, converted_stat * 2, IF(bbgm_stat &gt;= perc_85, converted_stat * 1.5, converted_stat)))))</f>
        <v/>
      </c>
      <c r="P507" s="30" t="str">
        <f t="array" ref="P507">IF($A507="", "", LET(bbgm_stat, INDEX(Players!$A506:$P506, MATCH(P$2, Players!$A$1:$P$1, 0)), perc_75, VLOOKUP(P$2, Percentiles!$A$45:$I$59, 6, FALSE), perc_90, VLOOKUP(P$2, Percentiles!$A$45:$I$59, 7, FALSE), perc_95, VLOOKUP(P$2, Percentiles!$A$45:$I$59, 8, FALSE), perc_85, perc_75 + (perc_90 - perc_75) * (2/3), converted_stat, '2K_Ratings'!P507, IF(bbgm_stat &gt;= perc_95, converted_stat * 3, IF(bbgm_stat &gt;= perc_90, converted_stat * 2, IF(bbgm_stat &gt;= perc_85, converted_stat * 1.5, converted_stat)))))</f>
        <v/>
      </c>
      <c r="Q507" s="30" t="str">
        <f t="array" ref="Q507">IF($A507="", "", LET(bbgm_stat, INDEX(Players!$A506:$P506, MATCH(Q$2, Players!$A$1:$P$1, 0)), perc_75, VLOOKUP(Q$2, Percentiles!$A$45:$I$59, 6, FALSE), perc_90, VLOOKUP(Q$2, Percentiles!$A$45:$I$59, 7, FALSE), perc_95, VLOOKUP(Q$2, Percentiles!$A$45:$I$59, 8, FALSE), perc_85, perc_75 + (perc_90 - perc_75) * (2/3), converted_stat, '2K_Ratings'!Q507, IF(bbgm_stat &gt;= perc_95, converted_stat * 3, IF(bbgm_stat &gt;= perc_90, converted_stat * 2, IF(bbgm_stat &gt;= perc_85, converted_stat * 1.5, converted_stat)))))</f>
        <v/>
      </c>
      <c r="R507" s="30" t="str">
        <f t="array" ref="R507">IF($A507="", "", LET(bbgm_stat, INDEX(Players!$A506:$P506, MATCH(R$2, Players!$A$1:$P$1, 0)), perc_75, VLOOKUP(R$2, Percentiles!$A$45:$I$59, 6, FALSE), perc_90, VLOOKUP(R$2, Percentiles!$A$45:$I$59, 7, FALSE), perc_95, VLOOKUP(R$2, Percentiles!$A$45:$I$59, 8, FALSE), perc_85, perc_75 + (perc_90 - perc_75) * (2/3), converted_stat, '2K_Ratings'!R507, IF(bbgm_stat &gt;= perc_95, converted_stat * 3, IF(bbgm_stat &gt;= perc_90, converted_stat * 2, IF(bbgm_stat &gt;= perc_85, converted_stat * 1.5, converted_stat)))))</f>
        <v/>
      </c>
      <c r="S507" s="30" t="str">
        <f t="array" ref="S507">IF($A507="", "", LET(bbgm_stat, INDEX(Players!$A506:$P506, MATCH(S$2, Players!$A$1:$P$1, 0)), perc_75, VLOOKUP(S$2, Percentiles!$A$45:$I$59, 6, FALSE), perc_90, VLOOKUP(S$2, Percentiles!$A$45:$I$59, 7, FALSE), perc_95, VLOOKUP(S$2, Percentiles!$A$45:$I$59, 8, FALSE), perc_85, perc_75 + (perc_90 - perc_75) * (2/3), converted_stat, '2K_Ratings'!S507, IF(bbgm_stat &gt;= perc_95, converted_stat * 3, IF(bbgm_stat &gt;= perc_90, converted_stat * 2, IF(bbgm_stat &gt;= perc_85, converted_stat * 1.5, converted_stat)))))</f>
        <v/>
      </c>
      <c r="T507" s="30" t="str">
        <f t="array" ref="T507">IF($A507="", "", LET(bbgm_stat, INDEX(Players!$A506:$P506, MATCH(T$2, Players!$A$1:$P$1, 0)), perc_75, VLOOKUP(T$2, Percentiles!$A$45:$I$59, 6, FALSE), perc_90, VLOOKUP(T$2, Percentiles!$A$45:$I$59, 7, FALSE), perc_95, VLOOKUP(T$2, Percentiles!$A$45:$I$59, 8, FALSE), perc_85, perc_75 + (perc_90 - perc_75) * (2/3), converted_stat, '2K_Ratings'!T507, IF(bbgm_stat &gt;= perc_95, converted_stat * 3, IF(bbgm_stat &gt;= perc_90, converted_stat * 2, IF(bbgm_stat &gt;= perc_85, converted_stat * 1.5, converted_stat)))))</f>
        <v/>
      </c>
      <c r="U507" s="30" t="str">
        <f t="array" ref="U507">IF($A507="", "", LET(bbgm_stat, INDEX(Players!$A506:$P506, MATCH(U$2, Players!$A$1:$P$1, 0)), perc_75, VLOOKUP(U$2, Percentiles!$A$45:$I$59, 6, FALSE), perc_90, VLOOKUP(U$2, Percentiles!$A$45:$I$59, 7, FALSE), perc_95, VLOOKUP(U$2, Percentiles!$A$45:$I$59, 8, FALSE), perc_85, perc_75 + (perc_90 - perc_75) * (2/3), converted_stat, '2K_Ratings'!U507, IF(bbgm_stat &gt;= perc_95, converted_stat * 3, IF(bbgm_stat &gt;= perc_90, converted_stat * 2, IF(bbgm_stat &gt;= perc_85, converted_stat * 1.5, converted_stat)))))</f>
        <v/>
      </c>
      <c r="V507" s="30" t="str">
        <f t="array" ref="V507">IF($A507="", "", LET(bbgm_stat, INDEX(Players!$A506:$P506, MATCH(V$2, Players!$A$1:$P$1, 0)), perc_75, VLOOKUP(V$2, Percentiles!$A$45:$I$59, 6, FALSE), perc_90, VLOOKUP(V$2, Percentiles!$A$45:$I$59, 7, FALSE), perc_95, VLOOKUP(V$2, Percentiles!$A$45:$I$59, 8, FALSE), perc_85, perc_75 + (perc_90 - perc_75) * (2/3), converted_stat, '2K_Ratings'!V507, IF(bbgm_stat &gt;= perc_95, converted_stat * 3, IF(bbgm_stat &gt;= perc_90, converted_stat * 2, IF(bbgm_stat &gt;= perc_85, converted_stat * 1.5, converted_stat)))))</f>
        <v/>
      </c>
      <c r="W507" s="30" t="str">
        <f t="array" ref="W507">IF($A507="", "", LET(bbgm_stat, INDEX(Players!$A506:$P506, MATCH(W$2, Players!$A$1:$P$1, 0)), perc_75, VLOOKUP(W$2, Percentiles!$A$45:$I$59, 6, FALSE), perc_90, VLOOKUP(W$2, Percentiles!$A$45:$I$59, 7, FALSE), perc_95, VLOOKUP(W$2, Percentiles!$A$45:$I$59, 8, FALSE), perc_85, perc_75 + (perc_90 - perc_75) * (2/3), converted_stat, '2K_Ratings'!W507, IF(bbgm_stat &gt;= perc_95, converted_stat * 3, IF(bbgm_stat &gt;= perc_90, converted_stat * 2, IF(bbgm_stat &gt;= perc_85, converted_stat * 1.5, converted_stat)))))</f>
        <v/>
      </c>
    </row>
    <row r="508">
      <c r="A508" s="30"/>
      <c r="B508" s="30" t="str">
        <f t="array" ref="B508">IF($A508="", "", LET(bbgm_stat, INDEX(Players!$A507:$P507, MATCH(B$2, Players!$A$1:$P$1, 0)), perc_75, VLOOKUP(B$2, Percentiles!$A$45:$I$59, 6, FALSE), perc_90, VLOOKUP(B$2, Percentiles!$A$45:$I$59, 7, FALSE), perc_95, VLOOKUP(B$2, Percentiles!$A$45:$I$59, 8, FALSE), perc_85, perc_75 + (perc_90 - perc_75) * (2/3), converted_stat, '2K_Ratings'!B508, IF(bbgm_stat &gt;= perc_95, converted_stat * 3, IF(bbgm_stat &gt;= perc_90, converted_stat * 2, IF(bbgm_stat &gt;= perc_85, converted_stat * 1.5, converted_stat)))))</f>
        <v/>
      </c>
      <c r="C508" s="30" t="str">
        <f t="array" ref="C508">IF($A508="", "", LET(bbgm_stat, INDEX(Players!$A507:$P507, MATCH(C$2, Players!$A$1:$P$1, 0)), perc_75, VLOOKUP(C$2, Percentiles!$A$45:$I$59, 6, FALSE), perc_90, VLOOKUP(C$2, Percentiles!$A$45:$I$59, 7, FALSE), perc_95, VLOOKUP(C$2, Percentiles!$A$45:$I$59, 8, FALSE), perc_85, perc_75 + (perc_90 - perc_75) * (2/3), converted_stat, '2K_Ratings'!C508, IF(bbgm_stat &gt;= perc_95, converted_stat * 3, IF(bbgm_stat &gt;= perc_90, converted_stat * 2, IF(bbgm_stat &gt;= perc_85, converted_stat * 1.5, converted_stat)))))</f>
        <v/>
      </c>
      <c r="D508" s="30" t="str">
        <f t="array" ref="D508">IF($A508="", "", LET(bbgm_stat, INDEX(Players!$A507:$P507, MATCH(D$2, Players!$A$1:$P$1, 0)), perc_75, VLOOKUP(D$2, Percentiles!$A$45:$I$59, 6, FALSE), perc_90, VLOOKUP(D$2, Percentiles!$A$45:$I$59, 7, FALSE), perc_95, VLOOKUP(D$2, Percentiles!$A$45:$I$59, 8, FALSE), perc_85, perc_75 + (perc_90 - perc_75) * (2/3), converted_stat, '2K_Ratings'!D508, IF(bbgm_stat &gt;= perc_95, converted_stat * 3, IF(bbgm_stat &gt;= perc_90, converted_stat * 2, IF(bbgm_stat &gt;= perc_85, converted_stat * 1.5, converted_stat)))))</f>
        <v/>
      </c>
      <c r="E508" s="30" t="str">
        <f t="array" ref="E508">IF($A508="", "", LET(bbgm_stat, INDEX(Players!$A507:$P507, MATCH(E$2, Players!$A$1:$P$1, 0)), perc_75, VLOOKUP(E$2, Percentiles!$A$45:$I$59, 6, FALSE), perc_90, VLOOKUP(E$2, Percentiles!$A$45:$I$59, 7, FALSE), perc_95, VLOOKUP(E$2, Percentiles!$A$45:$I$59, 8, FALSE), perc_85, perc_75 + (perc_90 - perc_75) * (2/3), converted_stat, '2K_Ratings'!E508, IF(bbgm_stat &gt;= perc_95, converted_stat * 3, IF(bbgm_stat &gt;= perc_90, converted_stat * 2, IF(bbgm_stat &gt;= perc_85, converted_stat * 1.5, converted_stat)))))</f>
        <v/>
      </c>
      <c r="F508" s="30" t="str">
        <f t="array" ref="F508">IF($A508="", "", LET(bbgm_stat, INDEX(Players!$A507:$P507, MATCH(F$2, Players!$A$1:$P$1, 0)), perc_75, VLOOKUP(F$2, Percentiles!$A$45:$I$59, 6, FALSE), perc_90, VLOOKUP(F$2, Percentiles!$A$45:$I$59, 7, FALSE), perc_95, VLOOKUP(F$2, Percentiles!$A$45:$I$59, 8, FALSE), perc_85, perc_75 + (perc_90 - perc_75) * (2/3), converted_stat, '2K_Ratings'!F508, IF(bbgm_stat &gt;= perc_95, converted_stat * 3, IF(bbgm_stat &gt;= perc_90, converted_stat * 2, IF(bbgm_stat &gt;= perc_85, converted_stat * 1.5, converted_stat)))))</f>
        <v/>
      </c>
      <c r="G508" s="30" t="str">
        <f t="array" ref="G508">IF($A508="", "", LET(bbgm_stat, INDEX(Players!$A507:$P507, MATCH(G$2, Players!$A$1:$P$1, 0)), perc_75, VLOOKUP(G$2, Percentiles!$A$45:$I$59, 6, FALSE), perc_90, VLOOKUP(G$2, Percentiles!$A$45:$I$59, 7, FALSE), perc_95, VLOOKUP(G$2, Percentiles!$A$45:$I$59, 8, FALSE), perc_85, perc_75 + (perc_90 - perc_75) * (2/3), converted_stat, '2K_Ratings'!G508, IF(bbgm_stat &gt;= perc_95, converted_stat * 3, IF(bbgm_stat &gt;= perc_90, converted_stat * 2, IF(bbgm_stat &gt;= perc_85, converted_stat * 1.5, converted_stat)))))</f>
        <v/>
      </c>
      <c r="H508" s="30" t="str">
        <f t="array" ref="H508">IF($A508="", "", LET(bbgm_stat, INDEX(Players!$A507:$P507, MATCH(H$2, Players!$A$1:$P$1, 0)), perc_75, VLOOKUP(H$2, Percentiles!$A$45:$I$59, 6, FALSE), perc_90, VLOOKUP(H$2, Percentiles!$A$45:$I$59, 7, FALSE), perc_95, VLOOKUP(H$2, Percentiles!$A$45:$I$59, 8, FALSE), perc_85, perc_75 + (perc_90 - perc_75) * (2/3), converted_stat, '2K_Ratings'!H508, IF(bbgm_stat &gt;= perc_95, converted_stat * 3, IF(bbgm_stat &gt;= perc_90, converted_stat * 2, IF(bbgm_stat &gt;= perc_85, converted_stat * 1.5, converted_stat)))))</f>
        <v/>
      </c>
      <c r="I508" s="30" t="str">
        <f t="array" ref="I508">IF($A508="", "", LET(bbgm_stat, INDEX(Players!$A507:$P507, MATCH(I$2, Players!$A$1:$P$1, 0)), perc_75, VLOOKUP(I$2, Percentiles!$A$45:$I$59, 6, FALSE), perc_90, VLOOKUP(I$2, Percentiles!$A$45:$I$59, 7, FALSE), perc_95, VLOOKUP(I$2, Percentiles!$A$45:$I$59, 8, FALSE), perc_85, perc_75 + (perc_90 - perc_75) * (2/3), converted_stat, '2K_Ratings'!I508, IF(bbgm_stat &gt;= perc_95, converted_stat * 3, IF(bbgm_stat &gt;= perc_90, converted_stat * 2, IF(bbgm_stat &gt;= perc_85, converted_stat * 1.5, converted_stat)))))</f>
        <v/>
      </c>
      <c r="J508" s="30" t="str">
        <f t="array" ref="J508">IF($A508="", "", LET(bbgm_stat, INDEX(Players!$A507:$P507, MATCH(J$2, Players!$A$1:$P$1, 0)), perc_75, VLOOKUP(J$2, Percentiles!$A$45:$I$59, 6, FALSE), perc_90, VLOOKUP(J$2, Percentiles!$A$45:$I$59, 7, FALSE), perc_95, VLOOKUP(J$2, Percentiles!$A$45:$I$59, 8, FALSE), perc_85, perc_75 + (perc_90 - perc_75) * (2/3), converted_stat, '2K_Ratings'!J508, IF(bbgm_stat &gt;= perc_95, converted_stat * 3, IF(bbgm_stat &gt;= perc_90, converted_stat * 2, IF(bbgm_stat &gt;= perc_85, converted_stat * 1.5, converted_stat)))))</f>
        <v/>
      </c>
      <c r="K508" s="30" t="str">
        <f t="array" ref="K508">IF($A508="", "", LET(bbgm_stat, INDEX(Players!$A507:$P507, MATCH(K$2, Players!$A$1:$P$1, 0)), perc_75, VLOOKUP(K$2, Percentiles!$A$45:$I$59, 6, FALSE), perc_90, VLOOKUP(K$2, Percentiles!$A$45:$I$59, 7, FALSE), perc_95, VLOOKUP(K$2, Percentiles!$A$45:$I$59, 8, FALSE), perc_85, perc_75 + (perc_90 - perc_75) * (2/3), converted_stat, '2K_Ratings'!K508, IF(bbgm_stat &gt;= perc_95, converted_stat * 3, IF(bbgm_stat &gt;= perc_90, converted_stat * 2, IF(bbgm_stat &gt;= perc_85, converted_stat * 1.5, converted_stat)))))</f>
        <v/>
      </c>
      <c r="L508" s="30" t="str">
        <f t="array" ref="L508">IF($A508="", "", LET(bbgm_stat, INDEX(Players!$A507:$P507, MATCH(L$2, Players!$A$1:$P$1, 0)), perc_75, VLOOKUP(L$2, Percentiles!$A$45:$I$59, 6, FALSE), perc_90, VLOOKUP(L$2, Percentiles!$A$45:$I$59, 7, FALSE), perc_95, VLOOKUP(L$2, Percentiles!$A$45:$I$59, 8, FALSE), perc_85, perc_75 + (perc_90 - perc_75) * (2/3), converted_stat, '2K_Ratings'!L508, IF(bbgm_stat &gt;= perc_95, converted_stat * 3, IF(bbgm_stat &gt;= perc_90, converted_stat * 2, IF(bbgm_stat &gt;= perc_85, converted_stat * 1.5, converted_stat)))))</f>
        <v/>
      </c>
      <c r="M508" s="30" t="str">
        <f t="array" ref="M508">IF($A508="", "", LET(bbgm_stat, INDEX(Players!$A507:$P507, MATCH(M$2, Players!$A$1:$P$1, 0)), perc_75, VLOOKUP(M$2, Percentiles!$A$45:$I$59, 6, FALSE), perc_90, VLOOKUP(M$2, Percentiles!$A$45:$I$59, 7, FALSE), perc_95, VLOOKUP(M$2, Percentiles!$A$45:$I$59, 8, FALSE), perc_85, perc_75 + (perc_90 - perc_75) * (2/3), converted_stat, '2K_Ratings'!M508, IF(bbgm_stat &gt;= perc_95, converted_stat * 3, IF(bbgm_stat &gt;= perc_90, converted_stat * 2, IF(bbgm_stat &gt;= perc_85, converted_stat * 1.5, converted_stat)))))</f>
        <v/>
      </c>
      <c r="N508" s="30" t="str">
        <f t="array" ref="N508">IF($A508="", "", LET(bbgm_stat, INDEX(Players!$A507:$P507, MATCH(N$2, Players!$A$1:$P$1, 0)), perc_75, VLOOKUP(N$2, Percentiles!$A$45:$I$59, 6, FALSE), perc_90, VLOOKUP(N$2, Percentiles!$A$45:$I$59, 7, FALSE), perc_95, VLOOKUP(N$2, Percentiles!$A$45:$I$59, 8, FALSE), perc_85, perc_75 + (perc_90 - perc_75) * (2/3), converted_stat, '2K_Ratings'!N508, IF(bbgm_stat &gt;= perc_95, converted_stat * 3, IF(bbgm_stat &gt;= perc_90, converted_stat * 2, IF(bbgm_stat &gt;= perc_85, converted_stat * 1.5, converted_stat)))))</f>
        <v/>
      </c>
      <c r="O508" s="30" t="str">
        <f t="array" ref="O508">IF($A508="", "", LET(bbgm_stat, INDEX(Players!$A507:$P507, MATCH(O$2, Players!$A$1:$P$1, 0)), perc_75, VLOOKUP(O$2, Percentiles!$A$45:$I$59, 6, FALSE), perc_90, VLOOKUP(O$2, Percentiles!$A$45:$I$59, 7, FALSE), perc_95, VLOOKUP(O$2, Percentiles!$A$45:$I$59, 8, FALSE), perc_85, perc_75 + (perc_90 - perc_75) * (2/3), converted_stat, '2K_Ratings'!O508, IF(bbgm_stat &gt;= perc_95, converted_stat * 3, IF(bbgm_stat &gt;= perc_90, converted_stat * 2, IF(bbgm_stat &gt;= perc_85, converted_stat * 1.5, converted_stat)))))</f>
        <v/>
      </c>
      <c r="P508" s="30" t="str">
        <f t="array" ref="P508">IF($A508="", "", LET(bbgm_stat, INDEX(Players!$A507:$P507, MATCH(P$2, Players!$A$1:$P$1, 0)), perc_75, VLOOKUP(P$2, Percentiles!$A$45:$I$59, 6, FALSE), perc_90, VLOOKUP(P$2, Percentiles!$A$45:$I$59, 7, FALSE), perc_95, VLOOKUP(P$2, Percentiles!$A$45:$I$59, 8, FALSE), perc_85, perc_75 + (perc_90 - perc_75) * (2/3), converted_stat, '2K_Ratings'!P508, IF(bbgm_stat &gt;= perc_95, converted_stat * 3, IF(bbgm_stat &gt;= perc_90, converted_stat * 2, IF(bbgm_stat &gt;= perc_85, converted_stat * 1.5, converted_stat)))))</f>
        <v/>
      </c>
      <c r="Q508" s="30" t="str">
        <f t="array" ref="Q508">IF($A508="", "", LET(bbgm_stat, INDEX(Players!$A507:$P507, MATCH(Q$2, Players!$A$1:$P$1, 0)), perc_75, VLOOKUP(Q$2, Percentiles!$A$45:$I$59, 6, FALSE), perc_90, VLOOKUP(Q$2, Percentiles!$A$45:$I$59, 7, FALSE), perc_95, VLOOKUP(Q$2, Percentiles!$A$45:$I$59, 8, FALSE), perc_85, perc_75 + (perc_90 - perc_75) * (2/3), converted_stat, '2K_Ratings'!Q508, IF(bbgm_stat &gt;= perc_95, converted_stat * 3, IF(bbgm_stat &gt;= perc_90, converted_stat * 2, IF(bbgm_stat &gt;= perc_85, converted_stat * 1.5, converted_stat)))))</f>
        <v/>
      </c>
      <c r="R508" s="30" t="str">
        <f t="array" ref="R508">IF($A508="", "", LET(bbgm_stat, INDEX(Players!$A507:$P507, MATCH(R$2, Players!$A$1:$P$1, 0)), perc_75, VLOOKUP(R$2, Percentiles!$A$45:$I$59, 6, FALSE), perc_90, VLOOKUP(R$2, Percentiles!$A$45:$I$59, 7, FALSE), perc_95, VLOOKUP(R$2, Percentiles!$A$45:$I$59, 8, FALSE), perc_85, perc_75 + (perc_90 - perc_75) * (2/3), converted_stat, '2K_Ratings'!R508, IF(bbgm_stat &gt;= perc_95, converted_stat * 3, IF(bbgm_stat &gt;= perc_90, converted_stat * 2, IF(bbgm_stat &gt;= perc_85, converted_stat * 1.5, converted_stat)))))</f>
        <v/>
      </c>
      <c r="S508" s="30" t="str">
        <f t="array" ref="S508">IF($A508="", "", LET(bbgm_stat, INDEX(Players!$A507:$P507, MATCH(S$2, Players!$A$1:$P$1, 0)), perc_75, VLOOKUP(S$2, Percentiles!$A$45:$I$59, 6, FALSE), perc_90, VLOOKUP(S$2, Percentiles!$A$45:$I$59, 7, FALSE), perc_95, VLOOKUP(S$2, Percentiles!$A$45:$I$59, 8, FALSE), perc_85, perc_75 + (perc_90 - perc_75) * (2/3), converted_stat, '2K_Ratings'!S508, IF(bbgm_stat &gt;= perc_95, converted_stat * 3, IF(bbgm_stat &gt;= perc_90, converted_stat * 2, IF(bbgm_stat &gt;= perc_85, converted_stat * 1.5, converted_stat)))))</f>
        <v/>
      </c>
      <c r="T508" s="30" t="str">
        <f t="array" ref="T508">IF($A508="", "", LET(bbgm_stat, INDEX(Players!$A507:$P507, MATCH(T$2, Players!$A$1:$P$1, 0)), perc_75, VLOOKUP(T$2, Percentiles!$A$45:$I$59, 6, FALSE), perc_90, VLOOKUP(T$2, Percentiles!$A$45:$I$59, 7, FALSE), perc_95, VLOOKUP(T$2, Percentiles!$A$45:$I$59, 8, FALSE), perc_85, perc_75 + (perc_90 - perc_75) * (2/3), converted_stat, '2K_Ratings'!T508, IF(bbgm_stat &gt;= perc_95, converted_stat * 3, IF(bbgm_stat &gt;= perc_90, converted_stat * 2, IF(bbgm_stat &gt;= perc_85, converted_stat * 1.5, converted_stat)))))</f>
        <v/>
      </c>
      <c r="U508" s="30" t="str">
        <f t="array" ref="U508">IF($A508="", "", LET(bbgm_stat, INDEX(Players!$A507:$P507, MATCH(U$2, Players!$A$1:$P$1, 0)), perc_75, VLOOKUP(U$2, Percentiles!$A$45:$I$59, 6, FALSE), perc_90, VLOOKUP(U$2, Percentiles!$A$45:$I$59, 7, FALSE), perc_95, VLOOKUP(U$2, Percentiles!$A$45:$I$59, 8, FALSE), perc_85, perc_75 + (perc_90 - perc_75) * (2/3), converted_stat, '2K_Ratings'!U508, IF(bbgm_stat &gt;= perc_95, converted_stat * 3, IF(bbgm_stat &gt;= perc_90, converted_stat * 2, IF(bbgm_stat &gt;= perc_85, converted_stat * 1.5, converted_stat)))))</f>
        <v/>
      </c>
      <c r="V508" s="30" t="str">
        <f t="array" ref="V508">IF($A508="", "", LET(bbgm_stat, INDEX(Players!$A507:$P507, MATCH(V$2, Players!$A$1:$P$1, 0)), perc_75, VLOOKUP(V$2, Percentiles!$A$45:$I$59, 6, FALSE), perc_90, VLOOKUP(V$2, Percentiles!$A$45:$I$59, 7, FALSE), perc_95, VLOOKUP(V$2, Percentiles!$A$45:$I$59, 8, FALSE), perc_85, perc_75 + (perc_90 - perc_75) * (2/3), converted_stat, '2K_Ratings'!V508, IF(bbgm_stat &gt;= perc_95, converted_stat * 3, IF(bbgm_stat &gt;= perc_90, converted_stat * 2, IF(bbgm_stat &gt;= perc_85, converted_stat * 1.5, converted_stat)))))</f>
        <v/>
      </c>
      <c r="W508" s="30" t="str">
        <f t="array" ref="W508">IF($A508="", "", LET(bbgm_stat, INDEX(Players!$A507:$P507, MATCH(W$2, Players!$A$1:$P$1, 0)), perc_75, VLOOKUP(W$2, Percentiles!$A$45:$I$59, 6, FALSE), perc_90, VLOOKUP(W$2, Percentiles!$A$45:$I$59, 7, FALSE), perc_95, VLOOKUP(W$2, Percentiles!$A$45:$I$59, 8, FALSE), perc_85, perc_75 + (perc_90 - perc_75) * (2/3), converted_stat, '2K_Ratings'!W508, IF(bbgm_stat &gt;= perc_95, converted_stat * 3, IF(bbgm_stat &gt;= perc_90, converted_stat * 2, IF(bbgm_stat &gt;= perc_85, converted_stat * 1.5, converted_stat)))))</f>
        <v/>
      </c>
    </row>
    <row r="509">
      <c r="A509" s="30"/>
      <c r="B509" s="30" t="str">
        <f t="array" ref="B509">IF($A509="", "", LET(bbgm_stat, INDEX(Players!$A508:$P508, MATCH(B$2, Players!$A$1:$P$1, 0)), perc_75, VLOOKUP(B$2, Percentiles!$A$45:$I$59, 6, FALSE), perc_90, VLOOKUP(B$2, Percentiles!$A$45:$I$59, 7, FALSE), perc_95, VLOOKUP(B$2, Percentiles!$A$45:$I$59, 8, FALSE), perc_85, perc_75 + (perc_90 - perc_75) * (2/3), converted_stat, '2K_Ratings'!B509, IF(bbgm_stat &gt;= perc_95, converted_stat * 3, IF(bbgm_stat &gt;= perc_90, converted_stat * 2, IF(bbgm_stat &gt;= perc_85, converted_stat * 1.5, converted_stat)))))</f>
        <v/>
      </c>
      <c r="C509" s="30" t="str">
        <f t="array" ref="C509">IF($A509="", "", LET(bbgm_stat, INDEX(Players!$A508:$P508, MATCH(C$2, Players!$A$1:$P$1, 0)), perc_75, VLOOKUP(C$2, Percentiles!$A$45:$I$59, 6, FALSE), perc_90, VLOOKUP(C$2, Percentiles!$A$45:$I$59, 7, FALSE), perc_95, VLOOKUP(C$2, Percentiles!$A$45:$I$59, 8, FALSE), perc_85, perc_75 + (perc_90 - perc_75) * (2/3), converted_stat, '2K_Ratings'!C509, IF(bbgm_stat &gt;= perc_95, converted_stat * 3, IF(bbgm_stat &gt;= perc_90, converted_stat * 2, IF(bbgm_stat &gt;= perc_85, converted_stat * 1.5, converted_stat)))))</f>
        <v/>
      </c>
      <c r="D509" s="30" t="str">
        <f t="array" ref="D509">IF($A509="", "", LET(bbgm_stat, INDEX(Players!$A508:$P508, MATCH(D$2, Players!$A$1:$P$1, 0)), perc_75, VLOOKUP(D$2, Percentiles!$A$45:$I$59, 6, FALSE), perc_90, VLOOKUP(D$2, Percentiles!$A$45:$I$59, 7, FALSE), perc_95, VLOOKUP(D$2, Percentiles!$A$45:$I$59, 8, FALSE), perc_85, perc_75 + (perc_90 - perc_75) * (2/3), converted_stat, '2K_Ratings'!D509, IF(bbgm_stat &gt;= perc_95, converted_stat * 3, IF(bbgm_stat &gt;= perc_90, converted_stat * 2, IF(bbgm_stat &gt;= perc_85, converted_stat * 1.5, converted_stat)))))</f>
        <v/>
      </c>
      <c r="E509" s="30" t="str">
        <f t="array" ref="E509">IF($A509="", "", LET(bbgm_stat, INDEX(Players!$A508:$P508, MATCH(E$2, Players!$A$1:$P$1, 0)), perc_75, VLOOKUP(E$2, Percentiles!$A$45:$I$59, 6, FALSE), perc_90, VLOOKUP(E$2, Percentiles!$A$45:$I$59, 7, FALSE), perc_95, VLOOKUP(E$2, Percentiles!$A$45:$I$59, 8, FALSE), perc_85, perc_75 + (perc_90 - perc_75) * (2/3), converted_stat, '2K_Ratings'!E509, IF(bbgm_stat &gt;= perc_95, converted_stat * 3, IF(bbgm_stat &gt;= perc_90, converted_stat * 2, IF(bbgm_stat &gt;= perc_85, converted_stat * 1.5, converted_stat)))))</f>
        <v/>
      </c>
      <c r="F509" s="30" t="str">
        <f t="array" ref="F509">IF($A509="", "", LET(bbgm_stat, INDEX(Players!$A508:$P508, MATCH(F$2, Players!$A$1:$P$1, 0)), perc_75, VLOOKUP(F$2, Percentiles!$A$45:$I$59, 6, FALSE), perc_90, VLOOKUP(F$2, Percentiles!$A$45:$I$59, 7, FALSE), perc_95, VLOOKUP(F$2, Percentiles!$A$45:$I$59, 8, FALSE), perc_85, perc_75 + (perc_90 - perc_75) * (2/3), converted_stat, '2K_Ratings'!F509, IF(bbgm_stat &gt;= perc_95, converted_stat * 3, IF(bbgm_stat &gt;= perc_90, converted_stat * 2, IF(bbgm_stat &gt;= perc_85, converted_stat * 1.5, converted_stat)))))</f>
        <v/>
      </c>
      <c r="G509" s="30" t="str">
        <f t="array" ref="G509">IF($A509="", "", LET(bbgm_stat, INDEX(Players!$A508:$P508, MATCH(G$2, Players!$A$1:$P$1, 0)), perc_75, VLOOKUP(G$2, Percentiles!$A$45:$I$59, 6, FALSE), perc_90, VLOOKUP(G$2, Percentiles!$A$45:$I$59, 7, FALSE), perc_95, VLOOKUP(G$2, Percentiles!$A$45:$I$59, 8, FALSE), perc_85, perc_75 + (perc_90 - perc_75) * (2/3), converted_stat, '2K_Ratings'!G509, IF(bbgm_stat &gt;= perc_95, converted_stat * 3, IF(bbgm_stat &gt;= perc_90, converted_stat * 2, IF(bbgm_stat &gt;= perc_85, converted_stat * 1.5, converted_stat)))))</f>
        <v/>
      </c>
      <c r="H509" s="30" t="str">
        <f t="array" ref="H509">IF($A509="", "", LET(bbgm_stat, INDEX(Players!$A508:$P508, MATCH(H$2, Players!$A$1:$P$1, 0)), perc_75, VLOOKUP(H$2, Percentiles!$A$45:$I$59, 6, FALSE), perc_90, VLOOKUP(H$2, Percentiles!$A$45:$I$59, 7, FALSE), perc_95, VLOOKUP(H$2, Percentiles!$A$45:$I$59, 8, FALSE), perc_85, perc_75 + (perc_90 - perc_75) * (2/3), converted_stat, '2K_Ratings'!H509, IF(bbgm_stat &gt;= perc_95, converted_stat * 3, IF(bbgm_stat &gt;= perc_90, converted_stat * 2, IF(bbgm_stat &gt;= perc_85, converted_stat * 1.5, converted_stat)))))</f>
        <v/>
      </c>
      <c r="I509" s="30" t="str">
        <f t="array" ref="I509">IF($A509="", "", LET(bbgm_stat, INDEX(Players!$A508:$P508, MATCH(I$2, Players!$A$1:$P$1, 0)), perc_75, VLOOKUP(I$2, Percentiles!$A$45:$I$59, 6, FALSE), perc_90, VLOOKUP(I$2, Percentiles!$A$45:$I$59, 7, FALSE), perc_95, VLOOKUP(I$2, Percentiles!$A$45:$I$59, 8, FALSE), perc_85, perc_75 + (perc_90 - perc_75) * (2/3), converted_stat, '2K_Ratings'!I509, IF(bbgm_stat &gt;= perc_95, converted_stat * 3, IF(bbgm_stat &gt;= perc_90, converted_stat * 2, IF(bbgm_stat &gt;= perc_85, converted_stat * 1.5, converted_stat)))))</f>
        <v/>
      </c>
      <c r="J509" s="30" t="str">
        <f t="array" ref="J509">IF($A509="", "", LET(bbgm_stat, INDEX(Players!$A508:$P508, MATCH(J$2, Players!$A$1:$P$1, 0)), perc_75, VLOOKUP(J$2, Percentiles!$A$45:$I$59, 6, FALSE), perc_90, VLOOKUP(J$2, Percentiles!$A$45:$I$59, 7, FALSE), perc_95, VLOOKUP(J$2, Percentiles!$A$45:$I$59, 8, FALSE), perc_85, perc_75 + (perc_90 - perc_75) * (2/3), converted_stat, '2K_Ratings'!J509, IF(bbgm_stat &gt;= perc_95, converted_stat * 3, IF(bbgm_stat &gt;= perc_90, converted_stat * 2, IF(bbgm_stat &gt;= perc_85, converted_stat * 1.5, converted_stat)))))</f>
        <v/>
      </c>
      <c r="K509" s="30" t="str">
        <f t="array" ref="K509">IF($A509="", "", LET(bbgm_stat, INDEX(Players!$A508:$P508, MATCH(K$2, Players!$A$1:$P$1, 0)), perc_75, VLOOKUP(K$2, Percentiles!$A$45:$I$59, 6, FALSE), perc_90, VLOOKUP(K$2, Percentiles!$A$45:$I$59, 7, FALSE), perc_95, VLOOKUP(K$2, Percentiles!$A$45:$I$59, 8, FALSE), perc_85, perc_75 + (perc_90 - perc_75) * (2/3), converted_stat, '2K_Ratings'!K509, IF(bbgm_stat &gt;= perc_95, converted_stat * 3, IF(bbgm_stat &gt;= perc_90, converted_stat * 2, IF(bbgm_stat &gt;= perc_85, converted_stat * 1.5, converted_stat)))))</f>
        <v/>
      </c>
      <c r="L509" s="30" t="str">
        <f t="array" ref="L509">IF($A509="", "", LET(bbgm_stat, INDEX(Players!$A508:$P508, MATCH(L$2, Players!$A$1:$P$1, 0)), perc_75, VLOOKUP(L$2, Percentiles!$A$45:$I$59, 6, FALSE), perc_90, VLOOKUP(L$2, Percentiles!$A$45:$I$59, 7, FALSE), perc_95, VLOOKUP(L$2, Percentiles!$A$45:$I$59, 8, FALSE), perc_85, perc_75 + (perc_90 - perc_75) * (2/3), converted_stat, '2K_Ratings'!L509, IF(bbgm_stat &gt;= perc_95, converted_stat * 3, IF(bbgm_stat &gt;= perc_90, converted_stat * 2, IF(bbgm_stat &gt;= perc_85, converted_stat * 1.5, converted_stat)))))</f>
        <v/>
      </c>
      <c r="M509" s="30" t="str">
        <f t="array" ref="M509">IF($A509="", "", LET(bbgm_stat, INDEX(Players!$A508:$P508, MATCH(M$2, Players!$A$1:$P$1, 0)), perc_75, VLOOKUP(M$2, Percentiles!$A$45:$I$59, 6, FALSE), perc_90, VLOOKUP(M$2, Percentiles!$A$45:$I$59, 7, FALSE), perc_95, VLOOKUP(M$2, Percentiles!$A$45:$I$59, 8, FALSE), perc_85, perc_75 + (perc_90 - perc_75) * (2/3), converted_stat, '2K_Ratings'!M509, IF(bbgm_stat &gt;= perc_95, converted_stat * 3, IF(bbgm_stat &gt;= perc_90, converted_stat * 2, IF(bbgm_stat &gt;= perc_85, converted_stat * 1.5, converted_stat)))))</f>
        <v/>
      </c>
      <c r="N509" s="30" t="str">
        <f t="array" ref="N509">IF($A509="", "", LET(bbgm_stat, INDEX(Players!$A508:$P508, MATCH(N$2, Players!$A$1:$P$1, 0)), perc_75, VLOOKUP(N$2, Percentiles!$A$45:$I$59, 6, FALSE), perc_90, VLOOKUP(N$2, Percentiles!$A$45:$I$59, 7, FALSE), perc_95, VLOOKUP(N$2, Percentiles!$A$45:$I$59, 8, FALSE), perc_85, perc_75 + (perc_90 - perc_75) * (2/3), converted_stat, '2K_Ratings'!N509, IF(bbgm_stat &gt;= perc_95, converted_stat * 3, IF(bbgm_stat &gt;= perc_90, converted_stat * 2, IF(bbgm_stat &gt;= perc_85, converted_stat * 1.5, converted_stat)))))</f>
        <v/>
      </c>
      <c r="O509" s="30" t="str">
        <f t="array" ref="O509">IF($A509="", "", LET(bbgm_stat, INDEX(Players!$A508:$P508, MATCH(O$2, Players!$A$1:$P$1, 0)), perc_75, VLOOKUP(O$2, Percentiles!$A$45:$I$59, 6, FALSE), perc_90, VLOOKUP(O$2, Percentiles!$A$45:$I$59, 7, FALSE), perc_95, VLOOKUP(O$2, Percentiles!$A$45:$I$59, 8, FALSE), perc_85, perc_75 + (perc_90 - perc_75) * (2/3), converted_stat, '2K_Ratings'!O509, IF(bbgm_stat &gt;= perc_95, converted_stat * 3, IF(bbgm_stat &gt;= perc_90, converted_stat * 2, IF(bbgm_stat &gt;= perc_85, converted_stat * 1.5, converted_stat)))))</f>
        <v/>
      </c>
      <c r="P509" s="30" t="str">
        <f t="array" ref="P509">IF($A509="", "", LET(bbgm_stat, INDEX(Players!$A508:$P508, MATCH(P$2, Players!$A$1:$P$1, 0)), perc_75, VLOOKUP(P$2, Percentiles!$A$45:$I$59, 6, FALSE), perc_90, VLOOKUP(P$2, Percentiles!$A$45:$I$59, 7, FALSE), perc_95, VLOOKUP(P$2, Percentiles!$A$45:$I$59, 8, FALSE), perc_85, perc_75 + (perc_90 - perc_75) * (2/3), converted_stat, '2K_Ratings'!P509, IF(bbgm_stat &gt;= perc_95, converted_stat * 3, IF(bbgm_stat &gt;= perc_90, converted_stat * 2, IF(bbgm_stat &gt;= perc_85, converted_stat * 1.5, converted_stat)))))</f>
        <v/>
      </c>
      <c r="Q509" s="30" t="str">
        <f t="array" ref="Q509">IF($A509="", "", LET(bbgm_stat, INDEX(Players!$A508:$P508, MATCH(Q$2, Players!$A$1:$P$1, 0)), perc_75, VLOOKUP(Q$2, Percentiles!$A$45:$I$59, 6, FALSE), perc_90, VLOOKUP(Q$2, Percentiles!$A$45:$I$59, 7, FALSE), perc_95, VLOOKUP(Q$2, Percentiles!$A$45:$I$59, 8, FALSE), perc_85, perc_75 + (perc_90 - perc_75) * (2/3), converted_stat, '2K_Ratings'!Q509, IF(bbgm_stat &gt;= perc_95, converted_stat * 3, IF(bbgm_stat &gt;= perc_90, converted_stat * 2, IF(bbgm_stat &gt;= perc_85, converted_stat * 1.5, converted_stat)))))</f>
        <v/>
      </c>
      <c r="R509" s="30" t="str">
        <f t="array" ref="R509">IF($A509="", "", LET(bbgm_stat, INDEX(Players!$A508:$P508, MATCH(R$2, Players!$A$1:$P$1, 0)), perc_75, VLOOKUP(R$2, Percentiles!$A$45:$I$59, 6, FALSE), perc_90, VLOOKUP(R$2, Percentiles!$A$45:$I$59, 7, FALSE), perc_95, VLOOKUP(R$2, Percentiles!$A$45:$I$59, 8, FALSE), perc_85, perc_75 + (perc_90 - perc_75) * (2/3), converted_stat, '2K_Ratings'!R509, IF(bbgm_stat &gt;= perc_95, converted_stat * 3, IF(bbgm_stat &gt;= perc_90, converted_stat * 2, IF(bbgm_stat &gt;= perc_85, converted_stat * 1.5, converted_stat)))))</f>
        <v/>
      </c>
      <c r="S509" s="30" t="str">
        <f t="array" ref="S509">IF($A509="", "", LET(bbgm_stat, INDEX(Players!$A508:$P508, MATCH(S$2, Players!$A$1:$P$1, 0)), perc_75, VLOOKUP(S$2, Percentiles!$A$45:$I$59, 6, FALSE), perc_90, VLOOKUP(S$2, Percentiles!$A$45:$I$59, 7, FALSE), perc_95, VLOOKUP(S$2, Percentiles!$A$45:$I$59, 8, FALSE), perc_85, perc_75 + (perc_90 - perc_75) * (2/3), converted_stat, '2K_Ratings'!S509, IF(bbgm_stat &gt;= perc_95, converted_stat * 3, IF(bbgm_stat &gt;= perc_90, converted_stat * 2, IF(bbgm_stat &gt;= perc_85, converted_stat * 1.5, converted_stat)))))</f>
        <v/>
      </c>
      <c r="T509" s="30" t="str">
        <f t="array" ref="T509">IF($A509="", "", LET(bbgm_stat, INDEX(Players!$A508:$P508, MATCH(T$2, Players!$A$1:$P$1, 0)), perc_75, VLOOKUP(T$2, Percentiles!$A$45:$I$59, 6, FALSE), perc_90, VLOOKUP(T$2, Percentiles!$A$45:$I$59, 7, FALSE), perc_95, VLOOKUP(T$2, Percentiles!$A$45:$I$59, 8, FALSE), perc_85, perc_75 + (perc_90 - perc_75) * (2/3), converted_stat, '2K_Ratings'!T509, IF(bbgm_stat &gt;= perc_95, converted_stat * 3, IF(bbgm_stat &gt;= perc_90, converted_stat * 2, IF(bbgm_stat &gt;= perc_85, converted_stat * 1.5, converted_stat)))))</f>
        <v/>
      </c>
      <c r="U509" s="30" t="str">
        <f t="array" ref="U509">IF($A509="", "", LET(bbgm_stat, INDEX(Players!$A508:$P508, MATCH(U$2, Players!$A$1:$P$1, 0)), perc_75, VLOOKUP(U$2, Percentiles!$A$45:$I$59, 6, FALSE), perc_90, VLOOKUP(U$2, Percentiles!$A$45:$I$59, 7, FALSE), perc_95, VLOOKUP(U$2, Percentiles!$A$45:$I$59, 8, FALSE), perc_85, perc_75 + (perc_90 - perc_75) * (2/3), converted_stat, '2K_Ratings'!U509, IF(bbgm_stat &gt;= perc_95, converted_stat * 3, IF(bbgm_stat &gt;= perc_90, converted_stat * 2, IF(bbgm_stat &gt;= perc_85, converted_stat * 1.5, converted_stat)))))</f>
        <v/>
      </c>
      <c r="V509" s="30" t="str">
        <f t="array" ref="V509">IF($A509="", "", LET(bbgm_stat, INDEX(Players!$A508:$P508, MATCH(V$2, Players!$A$1:$P$1, 0)), perc_75, VLOOKUP(V$2, Percentiles!$A$45:$I$59, 6, FALSE), perc_90, VLOOKUP(V$2, Percentiles!$A$45:$I$59, 7, FALSE), perc_95, VLOOKUP(V$2, Percentiles!$A$45:$I$59, 8, FALSE), perc_85, perc_75 + (perc_90 - perc_75) * (2/3), converted_stat, '2K_Ratings'!V509, IF(bbgm_stat &gt;= perc_95, converted_stat * 3, IF(bbgm_stat &gt;= perc_90, converted_stat * 2, IF(bbgm_stat &gt;= perc_85, converted_stat * 1.5, converted_stat)))))</f>
        <v/>
      </c>
      <c r="W509" s="30" t="str">
        <f t="array" ref="W509">IF($A509="", "", LET(bbgm_stat, INDEX(Players!$A508:$P508, MATCH(W$2, Players!$A$1:$P$1, 0)), perc_75, VLOOKUP(W$2, Percentiles!$A$45:$I$59, 6, FALSE), perc_90, VLOOKUP(W$2, Percentiles!$A$45:$I$59, 7, FALSE), perc_95, VLOOKUP(W$2, Percentiles!$A$45:$I$59, 8, FALSE), perc_85, perc_75 + (perc_90 - perc_75) * (2/3), converted_stat, '2K_Ratings'!W509, IF(bbgm_stat &gt;= perc_95, converted_stat * 3, IF(bbgm_stat &gt;= perc_90, converted_stat * 2, IF(bbgm_stat &gt;= perc_85, converted_stat * 1.5, converted_stat)))))</f>
        <v/>
      </c>
    </row>
    <row r="510">
      <c r="A510" s="30"/>
      <c r="B510" s="30" t="str">
        <f t="array" ref="B510">IF($A510="", "", LET(bbgm_stat, INDEX(Players!$A509:$P509, MATCH(B$2, Players!$A$1:$P$1, 0)), perc_75, VLOOKUP(B$2, Percentiles!$A$45:$I$59, 6, FALSE), perc_90, VLOOKUP(B$2, Percentiles!$A$45:$I$59, 7, FALSE), perc_95, VLOOKUP(B$2, Percentiles!$A$45:$I$59, 8, FALSE), perc_85, perc_75 + (perc_90 - perc_75) * (2/3), converted_stat, '2K_Ratings'!B510, IF(bbgm_stat &gt;= perc_95, converted_stat * 3, IF(bbgm_stat &gt;= perc_90, converted_stat * 2, IF(bbgm_stat &gt;= perc_85, converted_stat * 1.5, converted_stat)))))</f>
        <v/>
      </c>
      <c r="C510" s="30" t="str">
        <f t="array" ref="C510">IF($A510="", "", LET(bbgm_stat, INDEX(Players!$A509:$P509, MATCH(C$2, Players!$A$1:$P$1, 0)), perc_75, VLOOKUP(C$2, Percentiles!$A$45:$I$59, 6, FALSE), perc_90, VLOOKUP(C$2, Percentiles!$A$45:$I$59, 7, FALSE), perc_95, VLOOKUP(C$2, Percentiles!$A$45:$I$59, 8, FALSE), perc_85, perc_75 + (perc_90 - perc_75) * (2/3), converted_stat, '2K_Ratings'!C510, IF(bbgm_stat &gt;= perc_95, converted_stat * 3, IF(bbgm_stat &gt;= perc_90, converted_stat * 2, IF(bbgm_stat &gt;= perc_85, converted_stat * 1.5, converted_stat)))))</f>
        <v/>
      </c>
      <c r="D510" s="30" t="str">
        <f t="array" ref="D510">IF($A510="", "", LET(bbgm_stat, INDEX(Players!$A509:$P509, MATCH(D$2, Players!$A$1:$P$1, 0)), perc_75, VLOOKUP(D$2, Percentiles!$A$45:$I$59, 6, FALSE), perc_90, VLOOKUP(D$2, Percentiles!$A$45:$I$59, 7, FALSE), perc_95, VLOOKUP(D$2, Percentiles!$A$45:$I$59, 8, FALSE), perc_85, perc_75 + (perc_90 - perc_75) * (2/3), converted_stat, '2K_Ratings'!D510, IF(bbgm_stat &gt;= perc_95, converted_stat * 3, IF(bbgm_stat &gt;= perc_90, converted_stat * 2, IF(bbgm_stat &gt;= perc_85, converted_stat * 1.5, converted_stat)))))</f>
        <v/>
      </c>
      <c r="E510" s="30" t="str">
        <f t="array" ref="E510">IF($A510="", "", LET(bbgm_stat, INDEX(Players!$A509:$P509, MATCH(E$2, Players!$A$1:$P$1, 0)), perc_75, VLOOKUP(E$2, Percentiles!$A$45:$I$59, 6, FALSE), perc_90, VLOOKUP(E$2, Percentiles!$A$45:$I$59, 7, FALSE), perc_95, VLOOKUP(E$2, Percentiles!$A$45:$I$59, 8, FALSE), perc_85, perc_75 + (perc_90 - perc_75) * (2/3), converted_stat, '2K_Ratings'!E510, IF(bbgm_stat &gt;= perc_95, converted_stat * 3, IF(bbgm_stat &gt;= perc_90, converted_stat * 2, IF(bbgm_stat &gt;= perc_85, converted_stat * 1.5, converted_stat)))))</f>
        <v/>
      </c>
      <c r="F510" s="30" t="str">
        <f t="array" ref="F510">IF($A510="", "", LET(bbgm_stat, INDEX(Players!$A509:$P509, MATCH(F$2, Players!$A$1:$P$1, 0)), perc_75, VLOOKUP(F$2, Percentiles!$A$45:$I$59, 6, FALSE), perc_90, VLOOKUP(F$2, Percentiles!$A$45:$I$59, 7, FALSE), perc_95, VLOOKUP(F$2, Percentiles!$A$45:$I$59, 8, FALSE), perc_85, perc_75 + (perc_90 - perc_75) * (2/3), converted_stat, '2K_Ratings'!F510, IF(bbgm_stat &gt;= perc_95, converted_stat * 3, IF(bbgm_stat &gt;= perc_90, converted_stat * 2, IF(bbgm_stat &gt;= perc_85, converted_stat * 1.5, converted_stat)))))</f>
        <v/>
      </c>
      <c r="G510" s="30" t="str">
        <f t="array" ref="G510">IF($A510="", "", LET(bbgm_stat, INDEX(Players!$A509:$P509, MATCH(G$2, Players!$A$1:$P$1, 0)), perc_75, VLOOKUP(G$2, Percentiles!$A$45:$I$59, 6, FALSE), perc_90, VLOOKUP(G$2, Percentiles!$A$45:$I$59, 7, FALSE), perc_95, VLOOKUP(G$2, Percentiles!$A$45:$I$59, 8, FALSE), perc_85, perc_75 + (perc_90 - perc_75) * (2/3), converted_stat, '2K_Ratings'!G510, IF(bbgm_stat &gt;= perc_95, converted_stat * 3, IF(bbgm_stat &gt;= perc_90, converted_stat * 2, IF(bbgm_stat &gt;= perc_85, converted_stat * 1.5, converted_stat)))))</f>
        <v/>
      </c>
      <c r="H510" s="30" t="str">
        <f t="array" ref="H510">IF($A510="", "", LET(bbgm_stat, INDEX(Players!$A509:$P509, MATCH(H$2, Players!$A$1:$P$1, 0)), perc_75, VLOOKUP(H$2, Percentiles!$A$45:$I$59, 6, FALSE), perc_90, VLOOKUP(H$2, Percentiles!$A$45:$I$59, 7, FALSE), perc_95, VLOOKUP(H$2, Percentiles!$A$45:$I$59, 8, FALSE), perc_85, perc_75 + (perc_90 - perc_75) * (2/3), converted_stat, '2K_Ratings'!H510, IF(bbgm_stat &gt;= perc_95, converted_stat * 3, IF(bbgm_stat &gt;= perc_90, converted_stat * 2, IF(bbgm_stat &gt;= perc_85, converted_stat * 1.5, converted_stat)))))</f>
        <v/>
      </c>
      <c r="I510" s="30" t="str">
        <f t="array" ref="I510">IF($A510="", "", LET(bbgm_stat, INDEX(Players!$A509:$P509, MATCH(I$2, Players!$A$1:$P$1, 0)), perc_75, VLOOKUP(I$2, Percentiles!$A$45:$I$59, 6, FALSE), perc_90, VLOOKUP(I$2, Percentiles!$A$45:$I$59, 7, FALSE), perc_95, VLOOKUP(I$2, Percentiles!$A$45:$I$59, 8, FALSE), perc_85, perc_75 + (perc_90 - perc_75) * (2/3), converted_stat, '2K_Ratings'!I510, IF(bbgm_stat &gt;= perc_95, converted_stat * 3, IF(bbgm_stat &gt;= perc_90, converted_stat * 2, IF(bbgm_stat &gt;= perc_85, converted_stat * 1.5, converted_stat)))))</f>
        <v/>
      </c>
      <c r="J510" s="30" t="str">
        <f t="array" ref="J510">IF($A510="", "", LET(bbgm_stat, INDEX(Players!$A509:$P509, MATCH(J$2, Players!$A$1:$P$1, 0)), perc_75, VLOOKUP(J$2, Percentiles!$A$45:$I$59, 6, FALSE), perc_90, VLOOKUP(J$2, Percentiles!$A$45:$I$59, 7, FALSE), perc_95, VLOOKUP(J$2, Percentiles!$A$45:$I$59, 8, FALSE), perc_85, perc_75 + (perc_90 - perc_75) * (2/3), converted_stat, '2K_Ratings'!J510, IF(bbgm_stat &gt;= perc_95, converted_stat * 3, IF(bbgm_stat &gt;= perc_90, converted_stat * 2, IF(bbgm_stat &gt;= perc_85, converted_stat * 1.5, converted_stat)))))</f>
        <v/>
      </c>
      <c r="K510" s="30" t="str">
        <f t="array" ref="K510">IF($A510="", "", LET(bbgm_stat, INDEX(Players!$A509:$P509, MATCH(K$2, Players!$A$1:$P$1, 0)), perc_75, VLOOKUP(K$2, Percentiles!$A$45:$I$59, 6, FALSE), perc_90, VLOOKUP(K$2, Percentiles!$A$45:$I$59, 7, FALSE), perc_95, VLOOKUP(K$2, Percentiles!$A$45:$I$59, 8, FALSE), perc_85, perc_75 + (perc_90 - perc_75) * (2/3), converted_stat, '2K_Ratings'!K510, IF(bbgm_stat &gt;= perc_95, converted_stat * 3, IF(bbgm_stat &gt;= perc_90, converted_stat * 2, IF(bbgm_stat &gt;= perc_85, converted_stat * 1.5, converted_stat)))))</f>
        <v/>
      </c>
      <c r="L510" s="30" t="str">
        <f t="array" ref="L510">IF($A510="", "", LET(bbgm_stat, INDEX(Players!$A509:$P509, MATCH(L$2, Players!$A$1:$P$1, 0)), perc_75, VLOOKUP(L$2, Percentiles!$A$45:$I$59, 6, FALSE), perc_90, VLOOKUP(L$2, Percentiles!$A$45:$I$59, 7, FALSE), perc_95, VLOOKUP(L$2, Percentiles!$A$45:$I$59, 8, FALSE), perc_85, perc_75 + (perc_90 - perc_75) * (2/3), converted_stat, '2K_Ratings'!L510, IF(bbgm_stat &gt;= perc_95, converted_stat * 3, IF(bbgm_stat &gt;= perc_90, converted_stat * 2, IF(bbgm_stat &gt;= perc_85, converted_stat * 1.5, converted_stat)))))</f>
        <v/>
      </c>
      <c r="M510" s="30" t="str">
        <f t="array" ref="M510">IF($A510="", "", LET(bbgm_stat, INDEX(Players!$A509:$P509, MATCH(M$2, Players!$A$1:$P$1, 0)), perc_75, VLOOKUP(M$2, Percentiles!$A$45:$I$59, 6, FALSE), perc_90, VLOOKUP(M$2, Percentiles!$A$45:$I$59, 7, FALSE), perc_95, VLOOKUP(M$2, Percentiles!$A$45:$I$59, 8, FALSE), perc_85, perc_75 + (perc_90 - perc_75) * (2/3), converted_stat, '2K_Ratings'!M510, IF(bbgm_stat &gt;= perc_95, converted_stat * 3, IF(bbgm_stat &gt;= perc_90, converted_stat * 2, IF(bbgm_stat &gt;= perc_85, converted_stat * 1.5, converted_stat)))))</f>
        <v/>
      </c>
      <c r="N510" s="30" t="str">
        <f t="array" ref="N510">IF($A510="", "", LET(bbgm_stat, INDEX(Players!$A509:$P509, MATCH(N$2, Players!$A$1:$P$1, 0)), perc_75, VLOOKUP(N$2, Percentiles!$A$45:$I$59, 6, FALSE), perc_90, VLOOKUP(N$2, Percentiles!$A$45:$I$59, 7, FALSE), perc_95, VLOOKUP(N$2, Percentiles!$A$45:$I$59, 8, FALSE), perc_85, perc_75 + (perc_90 - perc_75) * (2/3), converted_stat, '2K_Ratings'!N510, IF(bbgm_stat &gt;= perc_95, converted_stat * 3, IF(bbgm_stat &gt;= perc_90, converted_stat * 2, IF(bbgm_stat &gt;= perc_85, converted_stat * 1.5, converted_stat)))))</f>
        <v/>
      </c>
      <c r="O510" s="30" t="str">
        <f t="array" ref="O510">IF($A510="", "", LET(bbgm_stat, INDEX(Players!$A509:$P509, MATCH(O$2, Players!$A$1:$P$1, 0)), perc_75, VLOOKUP(O$2, Percentiles!$A$45:$I$59, 6, FALSE), perc_90, VLOOKUP(O$2, Percentiles!$A$45:$I$59, 7, FALSE), perc_95, VLOOKUP(O$2, Percentiles!$A$45:$I$59, 8, FALSE), perc_85, perc_75 + (perc_90 - perc_75) * (2/3), converted_stat, '2K_Ratings'!O510, IF(bbgm_stat &gt;= perc_95, converted_stat * 3, IF(bbgm_stat &gt;= perc_90, converted_stat * 2, IF(bbgm_stat &gt;= perc_85, converted_stat * 1.5, converted_stat)))))</f>
        <v/>
      </c>
      <c r="P510" s="30" t="str">
        <f t="array" ref="P510">IF($A510="", "", LET(bbgm_stat, INDEX(Players!$A509:$P509, MATCH(P$2, Players!$A$1:$P$1, 0)), perc_75, VLOOKUP(P$2, Percentiles!$A$45:$I$59, 6, FALSE), perc_90, VLOOKUP(P$2, Percentiles!$A$45:$I$59, 7, FALSE), perc_95, VLOOKUP(P$2, Percentiles!$A$45:$I$59, 8, FALSE), perc_85, perc_75 + (perc_90 - perc_75) * (2/3), converted_stat, '2K_Ratings'!P510, IF(bbgm_stat &gt;= perc_95, converted_stat * 3, IF(bbgm_stat &gt;= perc_90, converted_stat * 2, IF(bbgm_stat &gt;= perc_85, converted_stat * 1.5, converted_stat)))))</f>
        <v/>
      </c>
      <c r="Q510" s="30" t="str">
        <f t="array" ref="Q510">IF($A510="", "", LET(bbgm_stat, INDEX(Players!$A509:$P509, MATCH(Q$2, Players!$A$1:$P$1, 0)), perc_75, VLOOKUP(Q$2, Percentiles!$A$45:$I$59, 6, FALSE), perc_90, VLOOKUP(Q$2, Percentiles!$A$45:$I$59, 7, FALSE), perc_95, VLOOKUP(Q$2, Percentiles!$A$45:$I$59, 8, FALSE), perc_85, perc_75 + (perc_90 - perc_75) * (2/3), converted_stat, '2K_Ratings'!Q510, IF(bbgm_stat &gt;= perc_95, converted_stat * 3, IF(bbgm_stat &gt;= perc_90, converted_stat * 2, IF(bbgm_stat &gt;= perc_85, converted_stat * 1.5, converted_stat)))))</f>
        <v/>
      </c>
      <c r="R510" s="30" t="str">
        <f t="array" ref="R510">IF($A510="", "", LET(bbgm_stat, INDEX(Players!$A509:$P509, MATCH(R$2, Players!$A$1:$P$1, 0)), perc_75, VLOOKUP(R$2, Percentiles!$A$45:$I$59, 6, FALSE), perc_90, VLOOKUP(R$2, Percentiles!$A$45:$I$59, 7, FALSE), perc_95, VLOOKUP(R$2, Percentiles!$A$45:$I$59, 8, FALSE), perc_85, perc_75 + (perc_90 - perc_75) * (2/3), converted_stat, '2K_Ratings'!R510, IF(bbgm_stat &gt;= perc_95, converted_stat * 3, IF(bbgm_stat &gt;= perc_90, converted_stat * 2, IF(bbgm_stat &gt;= perc_85, converted_stat * 1.5, converted_stat)))))</f>
        <v/>
      </c>
      <c r="S510" s="30" t="str">
        <f t="array" ref="S510">IF($A510="", "", LET(bbgm_stat, INDEX(Players!$A509:$P509, MATCH(S$2, Players!$A$1:$P$1, 0)), perc_75, VLOOKUP(S$2, Percentiles!$A$45:$I$59, 6, FALSE), perc_90, VLOOKUP(S$2, Percentiles!$A$45:$I$59, 7, FALSE), perc_95, VLOOKUP(S$2, Percentiles!$A$45:$I$59, 8, FALSE), perc_85, perc_75 + (perc_90 - perc_75) * (2/3), converted_stat, '2K_Ratings'!S510, IF(bbgm_stat &gt;= perc_95, converted_stat * 3, IF(bbgm_stat &gt;= perc_90, converted_stat * 2, IF(bbgm_stat &gt;= perc_85, converted_stat * 1.5, converted_stat)))))</f>
        <v/>
      </c>
      <c r="T510" s="30" t="str">
        <f t="array" ref="T510">IF($A510="", "", LET(bbgm_stat, INDEX(Players!$A509:$P509, MATCH(T$2, Players!$A$1:$P$1, 0)), perc_75, VLOOKUP(T$2, Percentiles!$A$45:$I$59, 6, FALSE), perc_90, VLOOKUP(T$2, Percentiles!$A$45:$I$59, 7, FALSE), perc_95, VLOOKUP(T$2, Percentiles!$A$45:$I$59, 8, FALSE), perc_85, perc_75 + (perc_90 - perc_75) * (2/3), converted_stat, '2K_Ratings'!T510, IF(bbgm_stat &gt;= perc_95, converted_stat * 3, IF(bbgm_stat &gt;= perc_90, converted_stat * 2, IF(bbgm_stat &gt;= perc_85, converted_stat * 1.5, converted_stat)))))</f>
        <v/>
      </c>
      <c r="U510" s="30" t="str">
        <f t="array" ref="U510">IF($A510="", "", LET(bbgm_stat, INDEX(Players!$A509:$P509, MATCH(U$2, Players!$A$1:$P$1, 0)), perc_75, VLOOKUP(U$2, Percentiles!$A$45:$I$59, 6, FALSE), perc_90, VLOOKUP(U$2, Percentiles!$A$45:$I$59, 7, FALSE), perc_95, VLOOKUP(U$2, Percentiles!$A$45:$I$59, 8, FALSE), perc_85, perc_75 + (perc_90 - perc_75) * (2/3), converted_stat, '2K_Ratings'!U510, IF(bbgm_stat &gt;= perc_95, converted_stat * 3, IF(bbgm_stat &gt;= perc_90, converted_stat * 2, IF(bbgm_stat &gt;= perc_85, converted_stat * 1.5, converted_stat)))))</f>
        <v/>
      </c>
      <c r="V510" s="30" t="str">
        <f t="array" ref="V510">IF($A510="", "", LET(bbgm_stat, INDEX(Players!$A509:$P509, MATCH(V$2, Players!$A$1:$P$1, 0)), perc_75, VLOOKUP(V$2, Percentiles!$A$45:$I$59, 6, FALSE), perc_90, VLOOKUP(V$2, Percentiles!$A$45:$I$59, 7, FALSE), perc_95, VLOOKUP(V$2, Percentiles!$A$45:$I$59, 8, FALSE), perc_85, perc_75 + (perc_90 - perc_75) * (2/3), converted_stat, '2K_Ratings'!V510, IF(bbgm_stat &gt;= perc_95, converted_stat * 3, IF(bbgm_stat &gt;= perc_90, converted_stat * 2, IF(bbgm_stat &gt;= perc_85, converted_stat * 1.5, converted_stat)))))</f>
        <v/>
      </c>
      <c r="W510" s="30" t="str">
        <f t="array" ref="W510">IF($A510="", "", LET(bbgm_stat, INDEX(Players!$A509:$P509, MATCH(W$2, Players!$A$1:$P$1, 0)), perc_75, VLOOKUP(W$2, Percentiles!$A$45:$I$59, 6, FALSE), perc_90, VLOOKUP(W$2, Percentiles!$A$45:$I$59, 7, FALSE), perc_95, VLOOKUP(W$2, Percentiles!$A$45:$I$59, 8, FALSE), perc_85, perc_75 + (perc_90 - perc_75) * (2/3), converted_stat, '2K_Ratings'!W510, IF(bbgm_stat &gt;= perc_95, converted_stat * 3, IF(bbgm_stat &gt;= perc_90, converted_stat * 2, IF(bbgm_stat &gt;= perc_85, converted_stat * 1.5, converted_stat)))))</f>
        <v/>
      </c>
    </row>
    <row r="511">
      <c r="A511" s="30"/>
      <c r="B511" s="30" t="str">
        <f t="array" ref="B511">IF($A511="", "", LET(bbgm_stat, INDEX(Players!$A510:$P510, MATCH(B$2, Players!$A$1:$P$1, 0)), perc_75, VLOOKUP(B$2, Percentiles!$A$45:$I$59, 6, FALSE), perc_90, VLOOKUP(B$2, Percentiles!$A$45:$I$59, 7, FALSE), perc_95, VLOOKUP(B$2, Percentiles!$A$45:$I$59, 8, FALSE), perc_85, perc_75 + (perc_90 - perc_75) * (2/3), converted_stat, '2K_Ratings'!B511, IF(bbgm_stat &gt;= perc_95, converted_stat * 3, IF(bbgm_stat &gt;= perc_90, converted_stat * 2, IF(bbgm_stat &gt;= perc_85, converted_stat * 1.5, converted_stat)))))</f>
        <v/>
      </c>
      <c r="C511" s="30" t="str">
        <f t="array" ref="C511">IF($A511="", "", LET(bbgm_stat, INDEX(Players!$A510:$P510, MATCH(C$2, Players!$A$1:$P$1, 0)), perc_75, VLOOKUP(C$2, Percentiles!$A$45:$I$59, 6, FALSE), perc_90, VLOOKUP(C$2, Percentiles!$A$45:$I$59, 7, FALSE), perc_95, VLOOKUP(C$2, Percentiles!$A$45:$I$59, 8, FALSE), perc_85, perc_75 + (perc_90 - perc_75) * (2/3), converted_stat, '2K_Ratings'!C511, IF(bbgm_stat &gt;= perc_95, converted_stat * 3, IF(bbgm_stat &gt;= perc_90, converted_stat * 2, IF(bbgm_stat &gt;= perc_85, converted_stat * 1.5, converted_stat)))))</f>
        <v/>
      </c>
      <c r="D511" s="30" t="str">
        <f t="array" ref="D511">IF($A511="", "", LET(bbgm_stat, INDEX(Players!$A510:$P510, MATCH(D$2, Players!$A$1:$P$1, 0)), perc_75, VLOOKUP(D$2, Percentiles!$A$45:$I$59, 6, FALSE), perc_90, VLOOKUP(D$2, Percentiles!$A$45:$I$59, 7, FALSE), perc_95, VLOOKUP(D$2, Percentiles!$A$45:$I$59, 8, FALSE), perc_85, perc_75 + (perc_90 - perc_75) * (2/3), converted_stat, '2K_Ratings'!D511, IF(bbgm_stat &gt;= perc_95, converted_stat * 3, IF(bbgm_stat &gt;= perc_90, converted_stat * 2, IF(bbgm_stat &gt;= perc_85, converted_stat * 1.5, converted_stat)))))</f>
        <v/>
      </c>
      <c r="E511" s="30" t="str">
        <f t="array" ref="E511">IF($A511="", "", LET(bbgm_stat, INDEX(Players!$A510:$P510, MATCH(E$2, Players!$A$1:$P$1, 0)), perc_75, VLOOKUP(E$2, Percentiles!$A$45:$I$59, 6, FALSE), perc_90, VLOOKUP(E$2, Percentiles!$A$45:$I$59, 7, FALSE), perc_95, VLOOKUP(E$2, Percentiles!$A$45:$I$59, 8, FALSE), perc_85, perc_75 + (perc_90 - perc_75) * (2/3), converted_stat, '2K_Ratings'!E511, IF(bbgm_stat &gt;= perc_95, converted_stat * 3, IF(bbgm_stat &gt;= perc_90, converted_stat * 2, IF(bbgm_stat &gt;= perc_85, converted_stat * 1.5, converted_stat)))))</f>
        <v/>
      </c>
      <c r="F511" s="30" t="str">
        <f t="array" ref="F511">IF($A511="", "", LET(bbgm_stat, INDEX(Players!$A510:$P510, MATCH(F$2, Players!$A$1:$P$1, 0)), perc_75, VLOOKUP(F$2, Percentiles!$A$45:$I$59, 6, FALSE), perc_90, VLOOKUP(F$2, Percentiles!$A$45:$I$59, 7, FALSE), perc_95, VLOOKUP(F$2, Percentiles!$A$45:$I$59, 8, FALSE), perc_85, perc_75 + (perc_90 - perc_75) * (2/3), converted_stat, '2K_Ratings'!F511, IF(bbgm_stat &gt;= perc_95, converted_stat * 3, IF(bbgm_stat &gt;= perc_90, converted_stat * 2, IF(bbgm_stat &gt;= perc_85, converted_stat * 1.5, converted_stat)))))</f>
        <v/>
      </c>
      <c r="G511" s="30" t="str">
        <f t="array" ref="G511">IF($A511="", "", LET(bbgm_stat, INDEX(Players!$A510:$P510, MATCH(G$2, Players!$A$1:$P$1, 0)), perc_75, VLOOKUP(G$2, Percentiles!$A$45:$I$59, 6, FALSE), perc_90, VLOOKUP(G$2, Percentiles!$A$45:$I$59, 7, FALSE), perc_95, VLOOKUP(G$2, Percentiles!$A$45:$I$59, 8, FALSE), perc_85, perc_75 + (perc_90 - perc_75) * (2/3), converted_stat, '2K_Ratings'!G511, IF(bbgm_stat &gt;= perc_95, converted_stat * 3, IF(bbgm_stat &gt;= perc_90, converted_stat * 2, IF(bbgm_stat &gt;= perc_85, converted_stat * 1.5, converted_stat)))))</f>
        <v/>
      </c>
      <c r="H511" s="30" t="str">
        <f t="array" ref="H511">IF($A511="", "", LET(bbgm_stat, INDEX(Players!$A510:$P510, MATCH(H$2, Players!$A$1:$P$1, 0)), perc_75, VLOOKUP(H$2, Percentiles!$A$45:$I$59, 6, FALSE), perc_90, VLOOKUP(H$2, Percentiles!$A$45:$I$59, 7, FALSE), perc_95, VLOOKUP(H$2, Percentiles!$A$45:$I$59, 8, FALSE), perc_85, perc_75 + (perc_90 - perc_75) * (2/3), converted_stat, '2K_Ratings'!H511, IF(bbgm_stat &gt;= perc_95, converted_stat * 3, IF(bbgm_stat &gt;= perc_90, converted_stat * 2, IF(bbgm_stat &gt;= perc_85, converted_stat * 1.5, converted_stat)))))</f>
        <v/>
      </c>
      <c r="I511" s="30" t="str">
        <f t="array" ref="I511">IF($A511="", "", LET(bbgm_stat, INDEX(Players!$A510:$P510, MATCH(I$2, Players!$A$1:$P$1, 0)), perc_75, VLOOKUP(I$2, Percentiles!$A$45:$I$59, 6, FALSE), perc_90, VLOOKUP(I$2, Percentiles!$A$45:$I$59, 7, FALSE), perc_95, VLOOKUP(I$2, Percentiles!$A$45:$I$59, 8, FALSE), perc_85, perc_75 + (perc_90 - perc_75) * (2/3), converted_stat, '2K_Ratings'!I511, IF(bbgm_stat &gt;= perc_95, converted_stat * 3, IF(bbgm_stat &gt;= perc_90, converted_stat * 2, IF(bbgm_stat &gt;= perc_85, converted_stat * 1.5, converted_stat)))))</f>
        <v/>
      </c>
      <c r="J511" s="30" t="str">
        <f t="array" ref="J511">IF($A511="", "", LET(bbgm_stat, INDEX(Players!$A510:$P510, MATCH(J$2, Players!$A$1:$P$1, 0)), perc_75, VLOOKUP(J$2, Percentiles!$A$45:$I$59, 6, FALSE), perc_90, VLOOKUP(J$2, Percentiles!$A$45:$I$59, 7, FALSE), perc_95, VLOOKUP(J$2, Percentiles!$A$45:$I$59, 8, FALSE), perc_85, perc_75 + (perc_90 - perc_75) * (2/3), converted_stat, '2K_Ratings'!J511, IF(bbgm_stat &gt;= perc_95, converted_stat * 3, IF(bbgm_stat &gt;= perc_90, converted_stat * 2, IF(bbgm_stat &gt;= perc_85, converted_stat * 1.5, converted_stat)))))</f>
        <v/>
      </c>
      <c r="K511" s="30" t="str">
        <f t="array" ref="K511">IF($A511="", "", LET(bbgm_stat, INDEX(Players!$A510:$P510, MATCH(K$2, Players!$A$1:$P$1, 0)), perc_75, VLOOKUP(K$2, Percentiles!$A$45:$I$59, 6, FALSE), perc_90, VLOOKUP(K$2, Percentiles!$A$45:$I$59, 7, FALSE), perc_95, VLOOKUP(K$2, Percentiles!$A$45:$I$59, 8, FALSE), perc_85, perc_75 + (perc_90 - perc_75) * (2/3), converted_stat, '2K_Ratings'!K511, IF(bbgm_stat &gt;= perc_95, converted_stat * 3, IF(bbgm_stat &gt;= perc_90, converted_stat * 2, IF(bbgm_stat &gt;= perc_85, converted_stat * 1.5, converted_stat)))))</f>
        <v/>
      </c>
      <c r="L511" s="30" t="str">
        <f t="array" ref="L511">IF($A511="", "", LET(bbgm_stat, INDEX(Players!$A510:$P510, MATCH(L$2, Players!$A$1:$P$1, 0)), perc_75, VLOOKUP(L$2, Percentiles!$A$45:$I$59, 6, FALSE), perc_90, VLOOKUP(L$2, Percentiles!$A$45:$I$59, 7, FALSE), perc_95, VLOOKUP(L$2, Percentiles!$A$45:$I$59, 8, FALSE), perc_85, perc_75 + (perc_90 - perc_75) * (2/3), converted_stat, '2K_Ratings'!L511, IF(bbgm_stat &gt;= perc_95, converted_stat * 3, IF(bbgm_stat &gt;= perc_90, converted_stat * 2, IF(bbgm_stat &gt;= perc_85, converted_stat * 1.5, converted_stat)))))</f>
        <v/>
      </c>
      <c r="M511" s="30" t="str">
        <f t="array" ref="M511">IF($A511="", "", LET(bbgm_stat, INDEX(Players!$A510:$P510, MATCH(M$2, Players!$A$1:$P$1, 0)), perc_75, VLOOKUP(M$2, Percentiles!$A$45:$I$59, 6, FALSE), perc_90, VLOOKUP(M$2, Percentiles!$A$45:$I$59, 7, FALSE), perc_95, VLOOKUP(M$2, Percentiles!$A$45:$I$59, 8, FALSE), perc_85, perc_75 + (perc_90 - perc_75) * (2/3), converted_stat, '2K_Ratings'!M511, IF(bbgm_stat &gt;= perc_95, converted_stat * 3, IF(bbgm_stat &gt;= perc_90, converted_stat * 2, IF(bbgm_stat &gt;= perc_85, converted_stat * 1.5, converted_stat)))))</f>
        <v/>
      </c>
      <c r="N511" s="30" t="str">
        <f t="array" ref="N511">IF($A511="", "", LET(bbgm_stat, INDEX(Players!$A510:$P510, MATCH(N$2, Players!$A$1:$P$1, 0)), perc_75, VLOOKUP(N$2, Percentiles!$A$45:$I$59, 6, FALSE), perc_90, VLOOKUP(N$2, Percentiles!$A$45:$I$59, 7, FALSE), perc_95, VLOOKUP(N$2, Percentiles!$A$45:$I$59, 8, FALSE), perc_85, perc_75 + (perc_90 - perc_75) * (2/3), converted_stat, '2K_Ratings'!N511, IF(bbgm_stat &gt;= perc_95, converted_stat * 3, IF(bbgm_stat &gt;= perc_90, converted_stat * 2, IF(bbgm_stat &gt;= perc_85, converted_stat * 1.5, converted_stat)))))</f>
        <v/>
      </c>
      <c r="O511" s="30" t="str">
        <f t="array" ref="O511">IF($A511="", "", LET(bbgm_stat, INDEX(Players!$A510:$P510, MATCH(O$2, Players!$A$1:$P$1, 0)), perc_75, VLOOKUP(O$2, Percentiles!$A$45:$I$59, 6, FALSE), perc_90, VLOOKUP(O$2, Percentiles!$A$45:$I$59, 7, FALSE), perc_95, VLOOKUP(O$2, Percentiles!$A$45:$I$59, 8, FALSE), perc_85, perc_75 + (perc_90 - perc_75) * (2/3), converted_stat, '2K_Ratings'!O511, IF(bbgm_stat &gt;= perc_95, converted_stat * 3, IF(bbgm_stat &gt;= perc_90, converted_stat * 2, IF(bbgm_stat &gt;= perc_85, converted_stat * 1.5, converted_stat)))))</f>
        <v/>
      </c>
      <c r="P511" s="30" t="str">
        <f t="array" ref="P511">IF($A511="", "", LET(bbgm_stat, INDEX(Players!$A510:$P510, MATCH(P$2, Players!$A$1:$P$1, 0)), perc_75, VLOOKUP(P$2, Percentiles!$A$45:$I$59, 6, FALSE), perc_90, VLOOKUP(P$2, Percentiles!$A$45:$I$59, 7, FALSE), perc_95, VLOOKUP(P$2, Percentiles!$A$45:$I$59, 8, FALSE), perc_85, perc_75 + (perc_90 - perc_75) * (2/3), converted_stat, '2K_Ratings'!P511, IF(bbgm_stat &gt;= perc_95, converted_stat * 3, IF(bbgm_stat &gt;= perc_90, converted_stat * 2, IF(bbgm_stat &gt;= perc_85, converted_stat * 1.5, converted_stat)))))</f>
        <v/>
      </c>
      <c r="Q511" s="30" t="str">
        <f t="array" ref="Q511">IF($A511="", "", LET(bbgm_stat, INDEX(Players!$A510:$P510, MATCH(Q$2, Players!$A$1:$P$1, 0)), perc_75, VLOOKUP(Q$2, Percentiles!$A$45:$I$59, 6, FALSE), perc_90, VLOOKUP(Q$2, Percentiles!$A$45:$I$59, 7, FALSE), perc_95, VLOOKUP(Q$2, Percentiles!$A$45:$I$59, 8, FALSE), perc_85, perc_75 + (perc_90 - perc_75) * (2/3), converted_stat, '2K_Ratings'!Q511, IF(bbgm_stat &gt;= perc_95, converted_stat * 3, IF(bbgm_stat &gt;= perc_90, converted_stat * 2, IF(bbgm_stat &gt;= perc_85, converted_stat * 1.5, converted_stat)))))</f>
        <v/>
      </c>
      <c r="R511" s="30" t="str">
        <f t="array" ref="R511">IF($A511="", "", LET(bbgm_stat, INDEX(Players!$A510:$P510, MATCH(R$2, Players!$A$1:$P$1, 0)), perc_75, VLOOKUP(R$2, Percentiles!$A$45:$I$59, 6, FALSE), perc_90, VLOOKUP(R$2, Percentiles!$A$45:$I$59, 7, FALSE), perc_95, VLOOKUP(R$2, Percentiles!$A$45:$I$59, 8, FALSE), perc_85, perc_75 + (perc_90 - perc_75) * (2/3), converted_stat, '2K_Ratings'!R511, IF(bbgm_stat &gt;= perc_95, converted_stat * 3, IF(bbgm_stat &gt;= perc_90, converted_stat * 2, IF(bbgm_stat &gt;= perc_85, converted_stat * 1.5, converted_stat)))))</f>
        <v/>
      </c>
      <c r="S511" s="30" t="str">
        <f t="array" ref="S511">IF($A511="", "", LET(bbgm_stat, INDEX(Players!$A510:$P510, MATCH(S$2, Players!$A$1:$P$1, 0)), perc_75, VLOOKUP(S$2, Percentiles!$A$45:$I$59, 6, FALSE), perc_90, VLOOKUP(S$2, Percentiles!$A$45:$I$59, 7, FALSE), perc_95, VLOOKUP(S$2, Percentiles!$A$45:$I$59, 8, FALSE), perc_85, perc_75 + (perc_90 - perc_75) * (2/3), converted_stat, '2K_Ratings'!S511, IF(bbgm_stat &gt;= perc_95, converted_stat * 3, IF(bbgm_stat &gt;= perc_90, converted_stat * 2, IF(bbgm_stat &gt;= perc_85, converted_stat * 1.5, converted_stat)))))</f>
        <v/>
      </c>
      <c r="T511" s="30" t="str">
        <f t="array" ref="T511">IF($A511="", "", LET(bbgm_stat, INDEX(Players!$A510:$P510, MATCH(T$2, Players!$A$1:$P$1, 0)), perc_75, VLOOKUP(T$2, Percentiles!$A$45:$I$59, 6, FALSE), perc_90, VLOOKUP(T$2, Percentiles!$A$45:$I$59, 7, FALSE), perc_95, VLOOKUP(T$2, Percentiles!$A$45:$I$59, 8, FALSE), perc_85, perc_75 + (perc_90 - perc_75) * (2/3), converted_stat, '2K_Ratings'!T511, IF(bbgm_stat &gt;= perc_95, converted_stat * 3, IF(bbgm_stat &gt;= perc_90, converted_stat * 2, IF(bbgm_stat &gt;= perc_85, converted_stat * 1.5, converted_stat)))))</f>
        <v/>
      </c>
      <c r="U511" s="30" t="str">
        <f t="array" ref="U511">IF($A511="", "", LET(bbgm_stat, INDEX(Players!$A510:$P510, MATCH(U$2, Players!$A$1:$P$1, 0)), perc_75, VLOOKUP(U$2, Percentiles!$A$45:$I$59, 6, FALSE), perc_90, VLOOKUP(U$2, Percentiles!$A$45:$I$59, 7, FALSE), perc_95, VLOOKUP(U$2, Percentiles!$A$45:$I$59, 8, FALSE), perc_85, perc_75 + (perc_90 - perc_75) * (2/3), converted_stat, '2K_Ratings'!U511, IF(bbgm_stat &gt;= perc_95, converted_stat * 3, IF(bbgm_stat &gt;= perc_90, converted_stat * 2, IF(bbgm_stat &gt;= perc_85, converted_stat * 1.5, converted_stat)))))</f>
        <v/>
      </c>
      <c r="V511" s="30" t="str">
        <f t="array" ref="V511">IF($A511="", "", LET(bbgm_stat, INDEX(Players!$A510:$P510, MATCH(V$2, Players!$A$1:$P$1, 0)), perc_75, VLOOKUP(V$2, Percentiles!$A$45:$I$59, 6, FALSE), perc_90, VLOOKUP(V$2, Percentiles!$A$45:$I$59, 7, FALSE), perc_95, VLOOKUP(V$2, Percentiles!$A$45:$I$59, 8, FALSE), perc_85, perc_75 + (perc_90 - perc_75) * (2/3), converted_stat, '2K_Ratings'!V511, IF(bbgm_stat &gt;= perc_95, converted_stat * 3, IF(bbgm_stat &gt;= perc_90, converted_stat * 2, IF(bbgm_stat &gt;= perc_85, converted_stat * 1.5, converted_stat)))))</f>
        <v/>
      </c>
      <c r="W511" s="30" t="str">
        <f t="array" ref="W511">IF($A511="", "", LET(bbgm_stat, INDEX(Players!$A510:$P510, MATCH(W$2, Players!$A$1:$P$1, 0)), perc_75, VLOOKUP(W$2, Percentiles!$A$45:$I$59, 6, FALSE), perc_90, VLOOKUP(W$2, Percentiles!$A$45:$I$59, 7, FALSE), perc_95, VLOOKUP(W$2, Percentiles!$A$45:$I$59, 8, FALSE), perc_85, perc_75 + (perc_90 - perc_75) * (2/3), converted_stat, '2K_Ratings'!W511, IF(bbgm_stat &gt;= perc_95, converted_stat * 3, IF(bbgm_stat &gt;= perc_90, converted_stat * 2, IF(bbgm_stat &gt;= perc_85, converted_stat * 1.5, converted_stat)))))</f>
        <v/>
      </c>
    </row>
    <row r="512">
      <c r="A512" s="30"/>
      <c r="B512" s="30" t="str">
        <f t="array" ref="B512">IF($A512="", "", LET(bbgm_stat, INDEX(Players!$A511:$P511, MATCH(B$2, Players!$A$1:$P$1, 0)), perc_75, VLOOKUP(B$2, Percentiles!$A$45:$I$59, 6, FALSE), perc_90, VLOOKUP(B$2, Percentiles!$A$45:$I$59, 7, FALSE), perc_95, VLOOKUP(B$2, Percentiles!$A$45:$I$59, 8, FALSE), perc_85, perc_75 + (perc_90 - perc_75) * (2/3), converted_stat, '2K_Ratings'!B512, IF(bbgm_stat &gt;= perc_95, converted_stat * 3, IF(bbgm_stat &gt;= perc_90, converted_stat * 2, IF(bbgm_stat &gt;= perc_85, converted_stat * 1.5, converted_stat)))))</f>
        <v/>
      </c>
      <c r="C512" s="30" t="str">
        <f t="array" ref="C512">IF($A512="", "", LET(bbgm_stat, INDEX(Players!$A511:$P511, MATCH(C$2, Players!$A$1:$P$1, 0)), perc_75, VLOOKUP(C$2, Percentiles!$A$45:$I$59, 6, FALSE), perc_90, VLOOKUP(C$2, Percentiles!$A$45:$I$59, 7, FALSE), perc_95, VLOOKUP(C$2, Percentiles!$A$45:$I$59, 8, FALSE), perc_85, perc_75 + (perc_90 - perc_75) * (2/3), converted_stat, '2K_Ratings'!C512, IF(bbgm_stat &gt;= perc_95, converted_stat * 3, IF(bbgm_stat &gt;= perc_90, converted_stat * 2, IF(bbgm_stat &gt;= perc_85, converted_stat * 1.5, converted_stat)))))</f>
        <v/>
      </c>
      <c r="D512" s="30" t="str">
        <f t="array" ref="D512">IF($A512="", "", LET(bbgm_stat, INDEX(Players!$A511:$P511, MATCH(D$2, Players!$A$1:$P$1, 0)), perc_75, VLOOKUP(D$2, Percentiles!$A$45:$I$59, 6, FALSE), perc_90, VLOOKUP(D$2, Percentiles!$A$45:$I$59, 7, FALSE), perc_95, VLOOKUP(D$2, Percentiles!$A$45:$I$59, 8, FALSE), perc_85, perc_75 + (perc_90 - perc_75) * (2/3), converted_stat, '2K_Ratings'!D512, IF(bbgm_stat &gt;= perc_95, converted_stat * 3, IF(bbgm_stat &gt;= perc_90, converted_stat * 2, IF(bbgm_stat &gt;= perc_85, converted_stat * 1.5, converted_stat)))))</f>
        <v/>
      </c>
      <c r="E512" s="30" t="str">
        <f t="array" ref="E512">IF($A512="", "", LET(bbgm_stat, INDEX(Players!$A511:$P511, MATCH(E$2, Players!$A$1:$P$1, 0)), perc_75, VLOOKUP(E$2, Percentiles!$A$45:$I$59, 6, FALSE), perc_90, VLOOKUP(E$2, Percentiles!$A$45:$I$59, 7, FALSE), perc_95, VLOOKUP(E$2, Percentiles!$A$45:$I$59, 8, FALSE), perc_85, perc_75 + (perc_90 - perc_75) * (2/3), converted_stat, '2K_Ratings'!E512, IF(bbgm_stat &gt;= perc_95, converted_stat * 3, IF(bbgm_stat &gt;= perc_90, converted_stat * 2, IF(bbgm_stat &gt;= perc_85, converted_stat * 1.5, converted_stat)))))</f>
        <v/>
      </c>
      <c r="F512" s="30" t="str">
        <f t="array" ref="F512">IF($A512="", "", LET(bbgm_stat, INDEX(Players!$A511:$P511, MATCH(F$2, Players!$A$1:$P$1, 0)), perc_75, VLOOKUP(F$2, Percentiles!$A$45:$I$59, 6, FALSE), perc_90, VLOOKUP(F$2, Percentiles!$A$45:$I$59, 7, FALSE), perc_95, VLOOKUP(F$2, Percentiles!$A$45:$I$59, 8, FALSE), perc_85, perc_75 + (perc_90 - perc_75) * (2/3), converted_stat, '2K_Ratings'!F512, IF(bbgm_stat &gt;= perc_95, converted_stat * 3, IF(bbgm_stat &gt;= perc_90, converted_stat * 2, IF(bbgm_stat &gt;= perc_85, converted_stat * 1.5, converted_stat)))))</f>
        <v/>
      </c>
      <c r="G512" s="30" t="str">
        <f t="array" ref="G512">IF($A512="", "", LET(bbgm_stat, INDEX(Players!$A511:$P511, MATCH(G$2, Players!$A$1:$P$1, 0)), perc_75, VLOOKUP(G$2, Percentiles!$A$45:$I$59, 6, FALSE), perc_90, VLOOKUP(G$2, Percentiles!$A$45:$I$59, 7, FALSE), perc_95, VLOOKUP(G$2, Percentiles!$A$45:$I$59, 8, FALSE), perc_85, perc_75 + (perc_90 - perc_75) * (2/3), converted_stat, '2K_Ratings'!G512, IF(bbgm_stat &gt;= perc_95, converted_stat * 3, IF(bbgm_stat &gt;= perc_90, converted_stat * 2, IF(bbgm_stat &gt;= perc_85, converted_stat * 1.5, converted_stat)))))</f>
        <v/>
      </c>
      <c r="H512" s="30" t="str">
        <f t="array" ref="H512">IF($A512="", "", LET(bbgm_stat, INDEX(Players!$A511:$P511, MATCH(H$2, Players!$A$1:$P$1, 0)), perc_75, VLOOKUP(H$2, Percentiles!$A$45:$I$59, 6, FALSE), perc_90, VLOOKUP(H$2, Percentiles!$A$45:$I$59, 7, FALSE), perc_95, VLOOKUP(H$2, Percentiles!$A$45:$I$59, 8, FALSE), perc_85, perc_75 + (perc_90 - perc_75) * (2/3), converted_stat, '2K_Ratings'!H512, IF(bbgm_stat &gt;= perc_95, converted_stat * 3, IF(bbgm_stat &gt;= perc_90, converted_stat * 2, IF(bbgm_stat &gt;= perc_85, converted_stat * 1.5, converted_stat)))))</f>
        <v/>
      </c>
      <c r="I512" s="30" t="str">
        <f t="array" ref="I512">IF($A512="", "", LET(bbgm_stat, INDEX(Players!$A511:$P511, MATCH(I$2, Players!$A$1:$P$1, 0)), perc_75, VLOOKUP(I$2, Percentiles!$A$45:$I$59, 6, FALSE), perc_90, VLOOKUP(I$2, Percentiles!$A$45:$I$59, 7, FALSE), perc_95, VLOOKUP(I$2, Percentiles!$A$45:$I$59, 8, FALSE), perc_85, perc_75 + (perc_90 - perc_75) * (2/3), converted_stat, '2K_Ratings'!I512, IF(bbgm_stat &gt;= perc_95, converted_stat * 3, IF(bbgm_stat &gt;= perc_90, converted_stat * 2, IF(bbgm_stat &gt;= perc_85, converted_stat * 1.5, converted_stat)))))</f>
        <v/>
      </c>
      <c r="J512" s="30" t="str">
        <f t="array" ref="J512">IF($A512="", "", LET(bbgm_stat, INDEX(Players!$A511:$P511, MATCH(J$2, Players!$A$1:$P$1, 0)), perc_75, VLOOKUP(J$2, Percentiles!$A$45:$I$59, 6, FALSE), perc_90, VLOOKUP(J$2, Percentiles!$A$45:$I$59, 7, FALSE), perc_95, VLOOKUP(J$2, Percentiles!$A$45:$I$59, 8, FALSE), perc_85, perc_75 + (perc_90 - perc_75) * (2/3), converted_stat, '2K_Ratings'!J512, IF(bbgm_stat &gt;= perc_95, converted_stat * 3, IF(bbgm_stat &gt;= perc_90, converted_stat * 2, IF(bbgm_stat &gt;= perc_85, converted_stat * 1.5, converted_stat)))))</f>
        <v/>
      </c>
      <c r="K512" s="30" t="str">
        <f t="array" ref="K512">IF($A512="", "", LET(bbgm_stat, INDEX(Players!$A511:$P511, MATCH(K$2, Players!$A$1:$P$1, 0)), perc_75, VLOOKUP(K$2, Percentiles!$A$45:$I$59, 6, FALSE), perc_90, VLOOKUP(K$2, Percentiles!$A$45:$I$59, 7, FALSE), perc_95, VLOOKUP(K$2, Percentiles!$A$45:$I$59, 8, FALSE), perc_85, perc_75 + (perc_90 - perc_75) * (2/3), converted_stat, '2K_Ratings'!K512, IF(bbgm_stat &gt;= perc_95, converted_stat * 3, IF(bbgm_stat &gt;= perc_90, converted_stat * 2, IF(bbgm_stat &gt;= perc_85, converted_stat * 1.5, converted_stat)))))</f>
        <v/>
      </c>
      <c r="L512" s="30" t="str">
        <f t="array" ref="L512">IF($A512="", "", LET(bbgm_stat, INDEX(Players!$A511:$P511, MATCH(L$2, Players!$A$1:$P$1, 0)), perc_75, VLOOKUP(L$2, Percentiles!$A$45:$I$59, 6, FALSE), perc_90, VLOOKUP(L$2, Percentiles!$A$45:$I$59, 7, FALSE), perc_95, VLOOKUP(L$2, Percentiles!$A$45:$I$59, 8, FALSE), perc_85, perc_75 + (perc_90 - perc_75) * (2/3), converted_stat, '2K_Ratings'!L512, IF(bbgm_stat &gt;= perc_95, converted_stat * 3, IF(bbgm_stat &gt;= perc_90, converted_stat * 2, IF(bbgm_stat &gt;= perc_85, converted_stat * 1.5, converted_stat)))))</f>
        <v/>
      </c>
      <c r="M512" s="30" t="str">
        <f t="array" ref="M512">IF($A512="", "", LET(bbgm_stat, INDEX(Players!$A511:$P511, MATCH(M$2, Players!$A$1:$P$1, 0)), perc_75, VLOOKUP(M$2, Percentiles!$A$45:$I$59, 6, FALSE), perc_90, VLOOKUP(M$2, Percentiles!$A$45:$I$59, 7, FALSE), perc_95, VLOOKUP(M$2, Percentiles!$A$45:$I$59, 8, FALSE), perc_85, perc_75 + (perc_90 - perc_75) * (2/3), converted_stat, '2K_Ratings'!M512, IF(bbgm_stat &gt;= perc_95, converted_stat * 3, IF(bbgm_stat &gt;= perc_90, converted_stat * 2, IF(bbgm_stat &gt;= perc_85, converted_stat * 1.5, converted_stat)))))</f>
        <v/>
      </c>
      <c r="N512" s="30" t="str">
        <f t="array" ref="N512">IF($A512="", "", LET(bbgm_stat, INDEX(Players!$A511:$P511, MATCH(N$2, Players!$A$1:$P$1, 0)), perc_75, VLOOKUP(N$2, Percentiles!$A$45:$I$59, 6, FALSE), perc_90, VLOOKUP(N$2, Percentiles!$A$45:$I$59, 7, FALSE), perc_95, VLOOKUP(N$2, Percentiles!$A$45:$I$59, 8, FALSE), perc_85, perc_75 + (perc_90 - perc_75) * (2/3), converted_stat, '2K_Ratings'!N512, IF(bbgm_stat &gt;= perc_95, converted_stat * 3, IF(bbgm_stat &gt;= perc_90, converted_stat * 2, IF(bbgm_stat &gt;= perc_85, converted_stat * 1.5, converted_stat)))))</f>
        <v/>
      </c>
      <c r="O512" s="30" t="str">
        <f t="array" ref="O512">IF($A512="", "", LET(bbgm_stat, INDEX(Players!$A511:$P511, MATCH(O$2, Players!$A$1:$P$1, 0)), perc_75, VLOOKUP(O$2, Percentiles!$A$45:$I$59, 6, FALSE), perc_90, VLOOKUP(O$2, Percentiles!$A$45:$I$59, 7, FALSE), perc_95, VLOOKUP(O$2, Percentiles!$A$45:$I$59, 8, FALSE), perc_85, perc_75 + (perc_90 - perc_75) * (2/3), converted_stat, '2K_Ratings'!O512, IF(bbgm_stat &gt;= perc_95, converted_stat * 3, IF(bbgm_stat &gt;= perc_90, converted_stat * 2, IF(bbgm_stat &gt;= perc_85, converted_stat * 1.5, converted_stat)))))</f>
        <v/>
      </c>
      <c r="P512" s="30" t="str">
        <f t="array" ref="P512">IF($A512="", "", LET(bbgm_stat, INDEX(Players!$A511:$P511, MATCH(P$2, Players!$A$1:$P$1, 0)), perc_75, VLOOKUP(P$2, Percentiles!$A$45:$I$59, 6, FALSE), perc_90, VLOOKUP(P$2, Percentiles!$A$45:$I$59, 7, FALSE), perc_95, VLOOKUP(P$2, Percentiles!$A$45:$I$59, 8, FALSE), perc_85, perc_75 + (perc_90 - perc_75) * (2/3), converted_stat, '2K_Ratings'!P512, IF(bbgm_stat &gt;= perc_95, converted_stat * 3, IF(bbgm_stat &gt;= perc_90, converted_stat * 2, IF(bbgm_stat &gt;= perc_85, converted_stat * 1.5, converted_stat)))))</f>
        <v/>
      </c>
      <c r="Q512" s="30" t="str">
        <f t="array" ref="Q512">IF($A512="", "", LET(bbgm_stat, INDEX(Players!$A511:$P511, MATCH(Q$2, Players!$A$1:$P$1, 0)), perc_75, VLOOKUP(Q$2, Percentiles!$A$45:$I$59, 6, FALSE), perc_90, VLOOKUP(Q$2, Percentiles!$A$45:$I$59, 7, FALSE), perc_95, VLOOKUP(Q$2, Percentiles!$A$45:$I$59, 8, FALSE), perc_85, perc_75 + (perc_90 - perc_75) * (2/3), converted_stat, '2K_Ratings'!Q512, IF(bbgm_stat &gt;= perc_95, converted_stat * 3, IF(bbgm_stat &gt;= perc_90, converted_stat * 2, IF(bbgm_stat &gt;= perc_85, converted_stat * 1.5, converted_stat)))))</f>
        <v/>
      </c>
      <c r="R512" s="30" t="str">
        <f t="array" ref="R512">IF($A512="", "", LET(bbgm_stat, INDEX(Players!$A511:$P511, MATCH(R$2, Players!$A$1:$P$1, 0)), perc_75, VLOOKUP(R$2, Percentiles!$A$45:$I$59, 6, FALSE), perc_90, VLOOKUP(R$2, Percentiles!$A$45:$I$59, 7, FALSE), perc_95, VLOOKUP(R$2, Percentiles!$A$45:$I$59, 8, FALSE), perc_85, perc_75 + (perc_90 - perc_75) * (2/3), converted_stat, '2K_Ratings'!R512, IF(bbgm_stat &gt;= perc_95, converted_stat * 3, IF(bbgm_stat &gt;= perc_90, converted_stat * 2, IF(bbgm_stat &gt;= perc_85, converted_stat * 1.5, converted_stat)))))</f>
        <v/>
      </c>
      <c r="S512" s="30" t="str">
        <f t="array" ref="S512">IF($A512="", "", LET(bbgm_stat, INDEX(Players!$A511:$P511, MATCH(S$2, Players!$A$1:$P$1, 0)), perc_75, VLOOKUP(S$2, Percentiles!$A$45:$I$59, 6, FALSE), perc_90, VLOOKUP(S$2, Percentiles!$A$45:$I$59, 7, FALSE), perc_95, VLOOKUP(S$2, Percentiles!$A$45:$I$59, 8, FALSE), perc_85, perc_75 + (perc_90 - perc_75) * (2/3), converted_stat, '2K_Ratings'!S512, IF(bbgm_stat &gt;= perc_95, converted_stat * 3, IF(bbgm_stat &gt;= perc_90, converted_stat * 2, IF(bbgm_stat &gt;= perc_85, converted_stat * 1.5, converted_stat)))))</f>
        <v/>
      </c>
      <c r="T512" s="30" t="str">
        <f t="array" ref="T512">IF($A512="", "", LET(bbgm_stat, INDEX(Players!$A511:$P511, MATCH(T$2, Players!$A$1:$P$1, 0)), perc_75, VLOOKUP(T$2, Percentiles!$A$45:$I$59, 6, FALSE), perc_90, VLOOKUP(T$2, Percentiles!$A$45:$I$59, 7, FALSE), perc_95, VLOOKUP(T$2, Percentiles!$A$45:$I$59, 8, FALSE), perc_85, perc_75 + (perc_90 - perc_75) * (2/3), converted_stat, '2K_Ratings'!T512, IF(bbgm_stat &gt;= perc_95, converted_stat * 3, IF(bbgm_stat &gt;= perc_90, converted_stat * 2, IF(bbgm_stat &gt;= perc_85, converted_stat * 1.5, converted_stat)))))</f>
        <v/>
      </c>
      <c r="U512" s="30" t="str">
        <f t="array" ref="U512">IF($A512="", "", LET(bbgm_stat, INDEX(Players!$A511:$P511, MATCH(U$2, Players!$A$1:$P$1, 0)), perc_75, VLOOKUP(U$2, Percentiles!$A$45:$I$59, 6, FALSE), perc_90, VLOOKUP(U$2, Percentiles!$A$45:$I$59, 7, FALSE), perc_95, VLOOKUP(U$2, Percentiles!$A$45:$I$59, 8, FALSE), perc_85, perc_75 + (perc_90 - perc_75) * (2/3), converted_stat, '2K_Ratings'!U512, IF(bbgm_stat &gt;= perc_95, converted_stat * 3, IF(bbgm_stat &gt;= perc_90, converted_stat * 2, IF(bbgm_stat &gt;= perc_85, converted_stat * 1.5, converted_stat)))))</f>
        <v/>
      </c>
      <c r="V512" s="30" t="str">
        <f t="array" ref="V512">IF($A512="", "", LET(bbgm_stat, INDEX(Players!$A511:$P511, MATCH(V$2, Players!$A$1:$P$1, 0)), perc_75, VLOOKUP(V$2, Percentiles!$A$45:$I$59, 6, FALSE), perc_90, VLOOKUP(V$2, Percentiles!$A$45:$I$59, 7, FALSE), perc_95, VLOOKUP(V$2, Percentiles!$A$45:$I$59, 8, FALSE), perc_85, perc_75 + (perc_90 - perc_75) * (2/3), converted_stat, '2K_Ratings'!V512, IF(bbgm_stat &gt;= perc_95, converted_stat * 3, IF(bbgm_stat &gt;= perc_90, converted_stat * 2, IF(bbgm_stat &gt;= perc_85, converted_stat * 1.5, converted_stat)))))</f>
        <v/>
      </c>
      <c r="W512" s="30" t="str">
        <f t="array" ref="W512">IF($A512="", "", LET(bbgm_stat, INDEX(Players!$A511:$P511, MATCH(W$2, Players!$A$1:$P$1, 0)), perc_75, VLOOKUP(W$2, Percentiles!$A$45:$I$59, 6, FALSE), perc_90, VLOOKUP(W$2, Percentiles!$A$45:$I$59, 7, FALSE), perc_95, VLOOKUP(W$2, Percentiles!$A$45:$I$59, 8, FALSE), perc_85, perc_75 + (perc_90 - perc_75) * (2/3), converted_stat, '2K_Ratings'!W512, IF(bbgm_stat &gt;= perc_95, converted_stat * 3, IF(bbgm_stat &gt;= perc_90, converted_stat * 2, IF(bbgm_stat &gt;= perc_85, converted_stat * 1.5, converted_stat)))))</f>
        <v/>
      </c>
    </row>
    <row r="513">
      <c r="A513" s="30"/>
      <c r="B513" s="30" t="str">
        <f t="array" ref="B513">IF($A513="", "", LET(bbgm_stat, INDEX(Players!$A512:$P512, MATCH(B$2, Players!$A$1:$P$1, 0)), perc_75, VLOOKUP(B$2, Percentiles!$A$45:$I$59, 6, FALSE), perc_90, VLOOKUP(B$2, Percentiles!$A$45:$I$59, 7, FALSE), perc_95, VLOOKUP(B$2, Percentiles!$A$45:$I$59, 8, FALSE), perc_85, perc_75 + (perc_90 - perc_75) * (2/3), converted_stat, '2K_Ratings'!B513, IF(bbgm_stat &gt;= perc_95, converted_stat * 3, IF(bbgm_stat &gt;= perc_90, converted_stat * 2, IF(bbgm_stat &gt;= perc_85, converted_stat * 1.5, converted_stat)))))</f>
        <v/>
      </c>
      <c r="C513" s="30" t="str">
        <f t="array" ref="C513">IF($A513="", "", LET(bbgm_stat, INDEX(Players!$A512:$P512, MATCH(C$2, Players!$A$1:$P$1, 0)), perc_75, VLOOKUP(C$2, Percentiles!$A$45:$I$59, 6, FALSE), perc_90, VLOOKUP(C$2, Percentiles!$A$45:$I$59, 7, FALSE), perc_95, VLOOKUP(C$2, Percentiles!$A$45:$I$59, 8, FALSE), perc_85, perc_75 + (perc_90 - perc_75) * (2/3), converted_stat, '2K_Ratings'!C513, IF(bbgm_stat &gt;= perc_95, converted_stat * 3, IF(bbgm_stat &gt;= perc_90, converted_stat * 2, IF(bbgm_stat &gt;= perc_85, converted_stat * 1.5, converted_stat)))))</f>
        <v/>
      </c>
      <c r="D513" s="30" t="str">
        <f t="array" ref="D513">IF($A513="", "", LET(bbgm_stat, INDEX(Players!$A512:$P512, MATCH(D$2, Players!$A$1:$P$1, 0)), perc_75, VLOOKUP(D$2, Percentiles!$A$45:$I$59, 6, FALSE), perc_90, VLOOKUP(D$2, Percentiles!$A$45:$I$59, 7, FALSE), perc_95, VLOOKUP(D$2, Percentiles!$A$45:$I$59, 8, FALSE), perc_85, perc_75 + (perc_90 - perc_75) * (2/3), converted_stat, '2K_Ratings'!D513, IF(bbgm_stat &gt;= perc_95, converted_stat * 3, IF(bbgm_stat &gt;= perc_90, converted_stat * 2, IF(bbgm_stat &gt;= perc_85, converted_stat * 1.5, converted_stat)))))</f>
        <v/>
      </c>
      <c r="E513" s="30" t="str">
        <f t="array" ref="E513">IF($A513="", "", LET(bbgm_stat, INDEX(Players!$A512:$P512, MATCH(E$2, Players!$A$1:$P$1, 0)), perc_75, VLOOKUP(E$2, Percentiles!$A$45:$I$59, 6, FALSE), perc_90, VLOOKUP(E$2, Percentiles!$A$45:$I$59, 7, FALSE), perc_95, VLOOKUP(E$2, Percentiles!$A$45:$I$59, 8, FALSE), perc_85, perc_75 + (perc_90 - perc_75) * (2/3), converted_stat, '2K_Ratings'!E513, IF(bbgm_stat &gt;= perc_95, converted_stat * 3, IF(bbgm_stat &gt;= perc_90, converted_stat * 2, IF(bbgm_stat &gt;= perc_85, converted_stat * 1.5, converted_stat)))))</f>
        <v/>
      </c>
      <c r="F513" s="30" t="str">
        <f t="array" ref="F513">IF($A513="", "", LET(bbgm_stat, INDEX(Players!$A512:$P512, MATCH(F$2, Players!$A$1:$P$1, 0)), perc_75, VLOOKUP(F$2, Percentiles!$A$45:$I$59, 6, FALSE), perc_90, VLOOKUP(F$2, Percentiles!$A$45:$I$59, 7, FALSE), perc_95, VLOOKUP(F$2, Percentiles!$A$45:$I$59, 8, FALSE), perc_85, perc_75 + (perc_90 - perc_75) * (2/3), converted_stat, '2K_Ratings'!F513, IF(bbgm_stat &gt;= perc_95, converted_stat * 3, IF(bbgm_stat &gt;= perc_90, converted_stat * 2, IF(bbgm_stat &gt;= perc_85, converted_stat * 1.5, converted_stat)))))</f>
        <v/>
      </c>
      <c r="G513" s="30" t="str">
        <f t="array" ref="G513">IF($A513="", "", LET(bbgm_stat, INDEX(Players!$A512:$P512, MATCH(G$2, Players!$A$1:$P$1, 0)), perc_75, VLOOKUP(G$2, Percentiles!$A$45:$I$59, 6, FALSE), perc_90, VLOOKUP(G$2, Percentiles!$A$45:$I$59, 7, FALSE), perc_95, VLOOKUP(G$2, Percentiles!$A$45:$I$59, 8, FALSE), perc_85, perc_75 + (perc_90 - perc_75) * (2/3), converted_stat, '2K_Ratings'!G513, IF(bbgm_stat &gt;= perc_95, converted_stat * 3, IF(bbgm_stat &gt;= perc_90, converted_stat * 2, IF(bbgm_stat &gt;= perc_85, converted_stat * 1.5, converted_stat)))))</f>
        <v/>
      </c>
      <c r="H513" s="30" t="str">
        <f t="array" ref="H513">IF($A513="", "", LET(bbgm_stat, INDEX(Players!$A512:$P512, MATCH(H$2, Players!$A$1:$P$1, 0)), perc_75, VLOOKUP(H$2, Percentiles!$A$45:$I$59, 6, FALSE), perc_90, VLOOKUP(H$2, Percentiles!$A$45:$I$59, 7, FALSE), perc_95, VLOOKUP(H$2, Percentiles!$A$45:$I$59, 8, FALSE), perc_85, perc_75 + (perc_90 - perc_75) * (2/3), converted_stat, '2K_Ratings'!H513, IF(bbgm_stat &gt;= perc_95, converted_stat * 3, IF(bbgm_stat &gt;= perc_90, converted_stat * 2, IF(bbgm_stat &gt;= perc_85, converted_stat * 1.5, converted_stat)))))</f>
        <v/>
      </c>
      <c r="I513" s="30" t="str">
        <f t="array" ref="I513">IF($A513="", "", LET(bbgm_stat, INDEX(Players!$A512:$P512, MATCH(I$2, Players!$A$1:$P$1, 0)), perc_75, VLOOKUP(I$2, Percentiles!$A$45:$I$59, 6, FALSE), perc_90, VLOOKUP(I$2, Percentiles!$A$45:$I$59, 7, FALSE), perc_95, VLOOKUP(I$2, Percentiles!$A$45:$I$59, 8, FALSE), perc_85, perc_75 + (perc_90 - perc_75) * (2/3), converted_stat, '2K_Ratings'!I513, IF(bbgm_stat &gt;= perc_95, converted_stat * 3, IF(bbgm_stat &gt;= perc_90, converted_stat * 2, IF(bbgm_stat &gt;= perc_85, converted_stat * 1.5, converted_stat)))))</f>
        <v/>
      </c>
      <c r="J513" s="30" t="str">
        <f t="array" ref="J513">IF($A513="", "", LET(bbgm_stat, INDEX(Players!$A512:$P512, MATCH(J$2, Players!$A$1:$P$1, 0)), perc_75, VLOOKUP(J$2, Percentiles!$A$45:$I$59, 6, FALSE), perc_90, VLOOKUP(J$2, Percentiles!$A$45:$I$59, 7, FALSE), perc_95, VLOOKUP(J$2, Percentiles!$A$45:$I$59, 8, FALSE), perc_85, perc_75 + (perc_90 - perc_75) * (2/3), converted_stat, '2K_Ratings'!J513, IF(bbgm_stat &gt;= perc_95, converted_stat * 3, IF(bbgm_stat &gt;= perc_90, converted_stat * 2, IF(bbgm_stat &gt;= perc_85, converted_stat * 1.5, converted_stat)))))</f>
        <v/>
      </c>
      <c r="K513" s="30" t="str">
        <f t="array" ref="K513">IF($A513="", "", LET(bbgm_stat, INDEX(Players!$A512:$P512, MATCH(K$2, Players!$A$1:$P$1, 0)), perc_75, VLOOKUP(K$2, Percentiles!$A$45:$I$59, 6, FALSE), perc_90, VLOOKUP(K$2, Percentiles!$A$45:$I$59, 7, FALSE), perc_95, VLOOKUP(K$2, Percentiles!$A$45:$I$59, 8, FALSE), perc_85, perc_75 + (perc_90 - perc_75) * (2/3), converted_stat, '2K_Ratings'!K513, IF(bbgm_stat &gt;= perc_95, converted_stat * 3, IF(bbgm_stat &gt;= perc_90, converted_stat * 2, IF(bbgm_stat &gt;= perc_85, converted_stat * 1.5, converted_stat)))))</f>
        <v/>
      </c>
      <c r="L513" s="30" t="str">
        <f t="array" ref="L513">IF($A513="", "", LET(bbgm_stat, INDEX(Players!$A512:$P512, MATCH(L$2, Players!$A$1:$P$1, 0)), perc_75, VLOOKUP(L$2, Percentiles!$A$45:$I$59, 6, FALSE), perc_90, VLOOKUP(L$2, Percentiles!$A$45:$I$59, 7, FALSE), perc_95, VLOOKUP(L$2, Percentiles!$A$45:$I$59, 8, FALSE), perc_85, perc_75 + (perc_90 - perc_75) * (2/3), converted_stat, '2K_Ratings'!L513, IF(bbgm_stat &gt;= perc_95, converted_stat * 3, IF(bbgm_stat &gt;= perc_90, converted_stat * 2, IF(bbgm_stat &gt;= perc_85, converted_stat * 1.5, converted_stat)))))</f>
        <v/>
      </c>
      <c r="M513" s="30" t="str">
        <f t="array" ref="M513">IF($A513="", "", LET(bbgm_stat, INDEX(Players!$A512:$P512, MATCH(M$2, Players!$A$1:$P$1, 0)), perc_75, VLOOKUP(M$2, Percentiles!$A$45:$I$59, 6, FALSE), perc_90, VLOOKUP(M$2, Percentiles!$A$45:$I$59, 7, FALSE), perc_95, VLOOKUP(M$2, Percentiles!$A$45:$I$59, 8, FALSE), perc_85, perc_75 + (perc_90 - perc_75) * (2/3), converted_stat, '2K_Ratings'!M513, IF(bbgm_stat &gt;= perc_95, converted_stat * 3, IF(bbgm_stat &gt;= perc_90, converted_stat * 2, IF(bbgm_stat &gt;= perc_85, converted_stat * 1.5, converted_stat)))))</f>
        <v/>
      </c>
      <c r="N513" s="30" t="str">
        <f t="array" ref="N513">IF($A513="", "", LET(bbgm_stat, INDEX(Players!$A512:$P512, MATCH(N$2, Players!$A$1:$P$1, 0)), perc_75, VLOOKUP(N$2, Percentiles!$A$45:$I$59, 6, FALSE), perc_90, VLOOKUP(N$2, Percentiles!$A$45:$I$59, 7, FALSE), perc_95, VLOOKUP(N$2, Percentiles!$A$45:$I$59, 8, FALSE), perc_85, perc_75 + (perc_90 - perc_75) * (2/3), converted_stat, '2K_Ratings'!N513, IF(bbgm_stat &gt;= perc_95, converted_stat * 3, IF(bbgm_stat &gt;= perc_90, converted_stat * 2, IF(bbgm_stat &gt;= perc_85, converted_stat * 1.5, converted_stat)))))</f>
        <v/>
      </c>
      <c r="O513" s="30" t="str">
        <f t="array" ref="O513">IF($A513="", "", LET(bbgm_stat, INDEX(Players!$A512:$P512, MATCH(O$2, Players!$A$1:$P$1, 0)), perc_75, VLOOKUP(O$2, Percentiles!$A$45:$I$59, 6, FALSE), perc_90, VLOOKUP(O$2, Percentiles!$A$45:$I$59, 7, FALSE), perc_95, VLOOKUP(O$2, Percentiles!$A$45:$I$59, 8, FALSE), perc_85, perc_75 + (perc_90 - perc_75) * (2/3), converted_stat, '2K_Ratings'!O513, IF(bbgm_stat &gt;= perc_95, converted_stat * 3, IF(bbgm_stat &gt;= perc_90, converted_stat * 2, IF(bbgm_stat &gt;= perc_85, converted_stat * 1.5, converted_stat)))))</f>
        <v/>
      </c>
      <c r="P513" s="30" t="str">
        <f t="array" ref="P513">IF($A513="", "", LET(bbgm_stat, INDEX(Players!$A512:$P512, MATCH(P$2, Players!$A$1:$P$1, 0)), perc_75, VLOOKUP(P$2, Percentiles!$A$45:$I$59, 6, FALSE), perc_90, VLOOKUP(P$2, Percentiles!$A$45:$I$59, 7, FALSE), perc_95, VLOOKUP(P$2, Percentiles!$A$45:$I$59, 8, FALSE), perc_85, perc_75 + (perc_90 - perc_75) * (2/3), converted_stat, '2K_Ratings'!P513, IF(bbgm_stat &gt;= perc_95, converted_stat * 3, IF(bbgm_stat &gt;= perc_90, converted_stat * 2, IF(bbgm_stat &gt;= perc_85, converted_stat * 1.5, converted_stat)))))</f>
        <v/>
      </c>
      <c r="Q513" s="30" t="str">
        <f t="array" ref="Q513">IF($A513="", "", LET(bbgm_stat, INDEX(Players!$A512:$P512, MATCH(Q$2, Players!$A$1:$P$1, 0)), perc_75, VLOOKUP(Q$2, Percentiles!$A$45:$I$59, 6, FALSE), perc_90, VLOOKUP(Q$2, Percentiles!$A$45:$I$59, 7, FALSE), perc_95, VLOOKUP(Q$2, Percentiles!$A$45:$I$59, 8, FALSE), perc_85, perc_75 + (perc_90 - perc_75) * (2/3), converted_stat, '2K_Ratings'!Q513, IF(bbgm_stat &gt;= perc_95, converted_stat * 3, IF(bbgm_stat &gt;= perc_90, converted_stat * 2, IF(bbgm_stat &gt;= perc_85, converted_stat * 1.5, converted_stat)))))</f>
        <v/>
      </c>
      <c r="R513" s="30" t="str">
        <f t="array" ref="R513">IF($A513="", "", LET(bbgm_stat, INDEX(Players!$A512:$P512, MATCH(R$2, Players!$A$1:$P$1, 0)), perc_75, VLOOKUP(R$2, Percentiles!$A$45:$I$59, 6, FALSE), perc_90, VLOOKUP(R$2, Percentiles!$A$45:$I$59, 7, FALSE), perc_95, VLOOKUP(R$2, Percentiles!$A$45:$I$59, 8, FALSE), perc_85, perc_75 + (perc_90 - perc_75) * (2/3), converted_stat, '2K_Ratings'!R513, IF(bbgm_stat &gt;= perc_95, converted_stat * 3, IF(bbgm_stat &gt;= perc_90, converted_stat * 2, IF(bbgm_stat &gt;= perc_85, converted_stat * 1.5, converted_stat)))))</f>
        <v/>
      </c>
      <c r="S513" s="30" t="str">
        <f t="array" ref="S513">IF($A513="", "", LET(bbgm_stat, INDEX(Players!$A512:$P512, MATCH(S$2, Players!$A$1:$P$1, 0)), perc_75, VLOOKUP(S$2, Percentiles!$A$45:$I$59, 6, FALSE), perc_90, VLOOKUP(S$2, Percentiles!$A$45:$I$59, 7, FALSE), perc_95, VLOOKUP(S$2, Percentiles!$A$45:$I$59, 8, FALSE), perc_85, perc_75 + (perc_90 - perc_75) * (2/3), converted_stat, '2K_Ratings'!S513, IF(bbgm_stat &gt;= perc_95, converted_stat * 3, IF(bbgm_stat &gt;= perc_90, converted_stat * 2, IF(bbgm_stat &gt;= perc_85, converted_stat * 1.5, converted_stat)))))</f>
        <v/>
      </c>
      <c r="T513" s="30" t="str">
        <f t="array" ref="T513">IF($A513="", "", LET(bbgm_stat, INDEX(Players!$A512:$P512, MATCH(T$2, Players!$A$1:$P$1, 0)), perc_75, VLOOKUP(T$2, Percentiles!$A$45:$I$59, 6, FALSE), perc_90, VLOOKUP(T$2, Percentiles!$A$45:$I$59, 7, FALSE), perc_95, VLOOKUP(T$2, Percentiles!$A$45:$I$59, 8, FALSE), perc_85, perc_75 + (perc_90 - perc_75) * (2/3), converted_stat, '2K_Ratings'!T513, IF(bbgm_stat &gt;= perc_95, converted_stat * 3, IF(bbgm_stat &gt;= perc_90, converted_stat * 2, IF(bbgm_stat &gt;= perc_85, converted_stat * 1.5, converted_stat)))))</f>
        <v/>
      </c>
      <c r="U513" s="30" t="str">
        <f t="array" ref="U513">IF($A513="", "", LET(bbgm_stat, INDEX(Players!$A512:$P512, MATCH(U$2, Players!$A$1:$P$1, 0)), perc_75, VLOOKUP(U$2, Percentiles!$A$45:$I$59, 6, FALSE), perc_90, VLOOKUP(U$2, Percentiles!$A$45:$I$59, 7, FALSE), perc_95, VLOOKUP(U$2, Percentiles!$A$45:$I$59, 8, FALSE), perc_85, perc_75 + (perc_90 - perc_75) * (2/3), converted_stat, '2K_Ratings'!U513, IF(bbgm_stat &gt;= perc_95, converted_stat * 3, IF(bbgm_stat &gt;= perc_90, converted_stat * 2, IF(bbgm_stat &gt;= perc_85, converted_stat * 1.5, converted_stat)))))</f>
        <v/>
      </c>
      <c r="V513" s="30" t="str">
        <f t="array" ref="V513">IF($A513="", "", LET(bbgm_stat, INDEX(Players!$A512:$P512, MATCH(V$2, Players!$A$1:$P$1, 0)), perc_75, VLOOKUP(V$2, Percentiles!$A$45:$I$59, 6, FALSE), perc_90, VLOOKUP(V$2, Percentiles!$A$45:$I$59, 7, FALSE), perc_95, VLOOKUP(V$2, Percentiles!$A$45:$I$59, 8, FALSE), perc_85, perc_75 + (perc_90 - perc_75) * (2/3), converted_stat, '2K_Ratings'!V513, IF(bbgm_stat &gt;= perc_95, converted_stat * 3, IF(bbgm_stat &gt;= perc_90, converted_stat * 2, IF(bbgm_stat &gt;= perc_85, converted_stat * 1.5, converted_stat)))))</f>
        <v/>
      </c>
      <c r="W513" s="30" t="str">
        <f t="array" ref="W513">IF($A513="", "", LET(bbgm_stat, INDEX(Players!$A512:$P512, MATCH(W$2, Players!$A$1:$P$1, 0)), perc_75, VLOOKUP(W$2, Percentiles!$A$45:$I$59, 6, FALSE), perc_90, VLOOKUP(W$2, Percentiles!$A$45:$I$59, 7, FALSE), perc_95, VLOOKUP(W$2, Percentiles!$A$45:$I$59, 8, FALSE), perc_85, perc_75 + (perc_90 - perc_75) * (2/3), converted_stat, '2K_Ratings'!W513, IF(bbgm_stat &gt;= perc_95, converted_stat * 3, IF(bbgm_stat &gt;= perc_90, converted_stat * 2, IF(bbgm_stat &gt;= perc_85, converted_stat * 1.5, converted_stat)))))</f>
        <v/>
      </c>
    </row>
    <row r="514">
      <c r="A514" s="30"/>
      <c r="B514" s="30" t="str">
        <f t="array" ref="B514">IF($A514="", "", LET(bbgm_stat, INDEX(Players!$A513:$P513, MATCH(B$2, Players!$A$1:$P$1, 0)), perc_75, VLOOKUP(B$2, Percentiles!$A$45:$I$59, 6, FALSE), perc_90, VLOOKUP(B$2, Percentiles!$A$45:$I$59, 7, FALSE), perc_95, VLOOKUP(B$2, Percentiles!$A$45:$I$59, 8, FALSE), perc_85, perc_75 + (perc_90 - perc_75) * (2/3), converted_stat, '2K_Ratings'!B514, IF(bbgm_stat &gt;= perc_95, converted_stat * 3, IF(bbgm_stat &gt;= perc_90, converted_stat * 2, IF(bbgm_stat &gt;= perc_85, converted_stat * 1.5, converted_stat)))))</f>
        <v/>
      </c>
      <c r="C514" s="30" t="str">
        <f t="array" ref="C514">IF($A514="", "", LET(bbgm_stat, INDEX(Players!$A513:$P513, MATCH(C$2, Players!$A$1:$P$1, 0)), perc_75, VLOOKUP(C$2, Percentiles!$A$45:$I$59, 6, FALSE), perc_90, VLOOKUP(C$2, Percentiles!$A$45:$I$59, 7, FALSE), perc_95, VLOOKUP(C$2, Percentiles!$A$45:$I$59, 8, FALSE), perc_85, perc_75 + (perc_90 - perc_75) * (2/3), converted_stat, '2K_Ratings'!C514, IF(bbgm_stat &gt;= perc_95, converted_stat * 3, IF(bbgm_stat &gt;= perc_90, converted_stat * 2, IF(bbgm_stat &gt;= perc_85, converted_stat * 1.5, converted_stat)))))</f>
        <v/>
      </c>
      <c r="D514" s="30" t="str">
        <f t="array" ref="D514">IF($A514="", "", LET(bbgm_stat, INDEX(Players!$A513:$P513, MATCH(D$2, Players!$A$1:$P$1, 0)), perc_75, VLOOKUP(D$2, Percentiles!$A$45:$I$59, 6, FALSE), perc_90, VLOOKUP(D$2, Percentiles!$A$45:$I$59, 7, FALSE), perc_95, VLOOKUP(D$2, Percentiles!$A$45:$I$59, 8, FALSE), perc_85, perc_75 + (perc_90 - perc_75) * (2/3), converted_stat, '2K_Ratings'!D514, IF(bbgm_stat &gt;= perc_95, converted_stat * 3, IF(bbgm_stat &gt;= perc_90, converted_stat * 2, IF(bbgm_stat &gt;= perc_85, converted_stat * 1.5, converted_stat)))))</f>
        <v/>
      </c>
      <c r="E514" s="30" t="str">
        <f t="array" ref="E514">IF($A514="", "", LET(bbgm_stat, INDEX(Players!$A513:$P513, MATCH(E$2, Players!$A$1:$P$1, 0)), perc_75, VLOOKUP(E$2, Percentiles!$A$45:$I$59, 6, FALSE), perc_90, VLOOKUP(E$2, Percentiles!$A$45:$I$59, 7, FALSE), perc_95, VLOOKUP(E$2, Percentiles!$A$45:$I$59, 8, FALSE), perc_85, perc_75 + (perc_90 - perc_75) * (2/3), converted_stat, '2K_Ratings'!E514, IF(bbgm_stat &gt;= perc_95, converted_stat * 3, IF(bbgm_stat &gt;= perc_90, converted_stat * 2, IF(bbgm_stat &gt;= perc_85, converted_stat * 1.5, converted_stat)))))</f>
        <v/>
      </c>
      <c r="F514" s="30" t="str">
        <f t="array" ref="F514">IF($A514="", "", LET(bbgm_stat, INDEX(Players!$A513:$P513, MATCH(F$2, Players!$A$1:$P$1, 0)), perc_75, VLOOKUP(F$2, Percentiles!$A$45:$I$59, 6, FALSE), perc_90, VLOOKUP(F$2, Percentiles!$A$45:$I$59, 7, FALSE), perc_95, VLOOKUP(F$2, Percentiles!$A$45:$I$59, 8, FALSE), perc_85, perc_75 + (perc_90 - perc_75) * (2/3), converted_stat, '2K_Ratings'!F514, IF(bbgm_stat &gt;= perc_95, converted_stat * 3, IF(bbgm_stat &gt;= perc_90, converted_stat * 2, IF(bbgm_stat &gt;= perc_85, converted_stat * 1.5, converted_stat)))))</f>
        <v/>
      </c>
      <c r="G514" s="30" t="str">
        <f t="array" ref="G514">IF($A514="", "", LET(bbgm_stat, INDEX(Players!$A513:$P513, MATCH(G$2, Players!$A$1:$P$1, 0)), perc_75, VLOOKUP(G$2, Percentiles!$A$45:$I$59, 6, FALSE), perc_90, VLOOKUP(G$2, Percentiles!$A$45:$I$59, 7, FALSE), perc_95, VLOOKUP(G$2, Percentiles!$A$45:$I$59, 8, FALSE), perc_85, perc_75 + (perc_90 - perc_75) * (2/3), converted_stat, '2K_Ratings'!G514, IF(bbgm_stat &gt;= perc_95, converted_stat * 3, IF(bbgm_stat &gt;= perc_90, converted_stat * 2, IF(bbgm_stat &gt;= perc_85, converted_stat * 1.5, converted_stat)))))</f>
        <v/>
      </c>
      <c r="H514" s="30" t="str">
        <f t="array" ref="H514">IF($A514="", "", LET(bbgm_stat, INDEX(Players!$A513:$P513, MATCH(H$2, Players!$A$1:$P$1, 0)), perc_75, VLOOKUP(H$2, Percentiles!$A$45:$I$59, 6, FALSE), perc_90, VLOOKUP(H$2, Percentiles!$A$45:$I$59, 7, FALSE), perc_95, VLOOKUP(H$2, Percentiles!$A$45:$I$59, 8, FALSE), perc_85, perc_75 + (perc_90 - perc_75) * (2/3), converted_stat, '2K_Ratings'!H514, IF(bbgm_stat &gt;= perc_95, converted_stat * 3, IF(bbgm_stat &gt;= perc_90, converted_stat * 2, IF(bbgm_stat &gt;= perc_85, converted_stat * 1.5, converted_stat)))))</f>
        <v/>
      </c>
      <c r="I514" s="30" t="str">
        <f t="array" ref="I514">IF($A514="", "", LET(bbgm_stat, INDEX(Players!$A513:$P513, MATCH(I$2, Players!$A$1:$P$1, 0)), perc_75, VLOOKUP(I$2, Percentiles!$A$45:$I$59, 6, FALSE), perc_90, VLOOKUP(I$2, Percentiles!$A$45:$I$59, 7, FALSE), perc_95, VLOOKUP(I$2, Percentiles!$A$45:$I$59, 8, FALSE), perc_85, perc_75 + (perc_90 - perc_75) * (2/3), converted_stat, '2K_Ratings'!I514, IF(bbgm_stat &gt;= perc_95, converted_stat * 3, IF(bbgm_stat &gt;= perc_90, converted_stat * 2, IF(bbgm_stat &gt;= perc_85, converted_stat * 1.5, converted_stat)))))</f>
        <v/>
      </c>
      <c r="J514" s="30" t="str">
        <f t="array" ref="J514">IF($A514="", "", LET(bbgm_stat, INDEX(Players!$A513:$P513, MATCH(J$2, Players!$A$1:$P$1, 0)), perc_75, VLOOKUP(J$2, Percentiles!$A$45:$I$59, 6, FALSE), perc_90, VLOOKUP(J$2, Percentiles!$A$45:$I$59, 7, FALSE), perc_95, VLOOKUP(J$2, Percentiles!$A$45:$I$59, 8, FALSE), perc_85, perc_75 + (perc_90 - perc_75) * (2/3), converted_stat, '2K_Ratings'!J514, IF(bbgm_stat &gt;= perc_95, converted_stat * 3, IF(bbgm_stat &gt;= perc_90, converted_stat * 2, IF(bbgm_stat &gt;= perc_85, converted_stat * 1.5, converted_stat)))))</f>
        <v/>
      </c>
      <c r="K514" s="30" t="str">
        <f t="array" ref="K514">IF($A514="", "", LET(bbgm_stat, INDEX(Players!$A513:$P513, MATCH(K$2, Players!$A$1:$P$1, 0)), perc_75, VLOOKUP(K$2, Percentiles!$A$45:$I$59, 6, FALSE), perc_90, VLOOKUP(K$2, Percentiles!$A$45:$I$59, 7, FALSE), perc_95, VLOOKUP(K$2, Percentiles!$A$45:$I$59, 8, FALSE), perc_85, perc_75 + (perc_90 - perc_75) * (2/3), converted_stat, '2K_Ratings'!K514, IF(bbgm_stat &gt;= perc_95, converted_stat * 3, IF(bbgm_stat &gt;= perc_90, converted_stat * 2, IF(bbgm_stat &gt;= perc_85, converted_stat * 1.5, converted_stat)))))</f>
        <v/>
      </c>
      <c r="L514" s="30" t="str">
        <f t="array" ref="L514">IF($A514="", "", LET(bbgm_stat, INDEX(Players!$A513:$P513, MATCH(L$2, Players!$A$1:$P$1, 0)), perc_75, VLOOKUP(L$2, Percentiles!$A$45:$I$59, 6, FALSE), perc_90, VLOOKUP(L$2, Percentiles!$A$45:$I$59, 7, FALSE), perc_95, VLOOKUP(L$2, Percentiles!$A$45:$I$59, 8, FALSE), perc_85, perc_75 + (perc_90 - perc_75) * (2/3), converted_stat, '2K_Ratings'!L514, IF(bbgm_stat &gt;= perc_95, converted_stat * 3, IF(bbgm_stat &gt;= perc_90, converted_stat * 2, IF(bbgm_stat &gt;= perc_85, converted_stat * 1.5, converted_stat)))))</f>
        <v/>
      </c>
      <c r="M514" s="30" t="str">
        <f t="array" ref="M514">IF($A514="", "", LET(bbgm_stat, INDEX(Players!$A513:$P513, MATCH(M$2, Players!$A$1:$P$1, 0)), perc_75, VLOOKUP(M$2, Percentiles!$A$45:$I$59, 6, FALSE), perc_90, VLOOKUP(M$2, Percentiles!$A$45:$I$59, 7, FALSE), perc_95, VLOOKUP(M$2, Percentiles!$A$45:$I$59, 8, FALSE), perc_85, perc_75 + (perc_90 - perc_75) * (2/3), converted_stat, '2K_Ratings'!M514, IF(bbgm_stat &gt;= perc_95, converted_stat * 3, IF(bbgm_stat &gt;= perc_90, converted_stat * 2, IF(bbgm_stat &gt;= perc_85, converted_stat * 1.5, converted_stat)))))</f>
        <v/>
      </c>
      <c r="N514" s="30" t="str">
        <f t="array" ref="N514">IF($A514="", "", LET(bbgm_stat, INDEX(Players!$A513:$P513, MATCH(N$2, Players!$A$1:$P$1, 0)), perc_75, VLOOKUP(N$2, Percentiles!$A$45:$I$59, 6, FALSE), perc_90, VLOOKUP(N$2, Percentiles!$A$45:$I$59, 7, FALSE), perc_95, VLOOKUP(N$2, Percentiles!$A$45:$I$59, 8, FALSE), perc_85, perc_75 + (perc_90 - perc_75) * (2/3), converted_stat, '2K_Ratings'!N514, IF(bbgm_stat &gt;= perc_95, converted_stat * 3, IF(bbgm_stat &gt;= perc_90, converted_stat * 2, IF(bbgm_stat &gt;= perc_85, converted_stat * 1.5, converted_stat)))))</f>
        <v/>
      </c>
      <c r="O514" s="30" t="str">
        <f t="array" ref="O514">IF($A514="", "", LET(bbgm_stat, INDEX(Players!$A513:$P513, MATCH(O$2, Players!$A$1:$P$1, 0)), perc_75, VLOOKUP(O$2, Percentiles!$A$45:$I$59, 6, FALSE), perc_90, VLOOKUP(O$2, Percentiles!$A$45:$I$59, 7, FALSE), perc_95, VLOOKUP(O$2, Percentiles!$A$45:$I$59, 8, FALSE), perc_85, perc_75 + (perc_90 - perc_75) * (2/3), converted_stat, '2K_Ratings'!O514, IF(bbgm_stat &gt;= perc_95, converted_stat * 3, IF(bbgm_stat &gt;= perc_90, converted_stat * 2, IF(bbgm_stat &gt;= perc_85, converted_stat * 1.5, converted_stat)))))</f>
        <v/>
      </c>
      <c r="P514" s="30" t="str">
        <f t="array" ref="P514">IF($A514="", "", LET(bbgm_stat, INDEX(Players!$A513:$P513, MATCH(P$2, Players!$A$1:$P$1, 0)), perc_75, VLOOKUP(P$2, Percentiles!$A$45:$I$59, 6, FALSE), perc_90, VLOOKUP(P$2, Percentiles!$A$45:$I$59, 7, FALSE), perc_95, VLOOKUP(P$2, Percentiles!$A$45:$I$59, 8, FALSE), perc_85, perc_75 + (perc_90 - perc_75) * (2/3), converted_stat, '2K_Ratings'!P514, IF(bbgm_stat &gt;= perc_95, converted_stat * 3, IF(bbgm_stat &gt;= perc_90, converted_stat * 2, IF(bbgm_stat &gt;= perc_85, converted_stat * 1.5, converted_stat)))))</f>
        <v/>
      </c>
      <c r="Q514" s="30" t="str">
        <f t="array" ref="Q514">IF($A514="", "", LET(bbgm_stat, INDEX(Players!$A513:$P513, MATCH(Q$2, Players!$A$1:$P$1, 0)), perc_75, VLOOKUP(Q$2, Percentiles!$A$45:$I$59, 6, FALSE), perc_90, VLOOKUP(Q$2, Percentiles!$A$45:$I$59, 7, FALSE), perc_95, VLOOKUP(Q$2, Percentiles!$A$45:$I$59, 8, FALSE), perc_85, perc_75 + (perc_90 - perc_75) * (2/3), converted_stat, '2K_Ratings'!Q514, IF(bbgm_stat &gt;= perc_95, converted_stat * 3, IF(bbgm_stat &gt;= perc_90, converted_stat * 2, IF(bbgm_stat &gt;= perc_85, converted_stat * 1.5, converted_stat)))))</f>
        <v/>
      </c>
      <c r="R514" s="30" t="str">
        <f t="array" ref="R514">IF($A514="", "", LET(bbgm_stat, INDEX(Players!$A513:$P513, MATCH(R$2, Players!$A$1:$P$1, 0)), perc_75, VLOOKUP(R$2, Percentiles!$A$45:$I$59, 6, FALSE), perc_90, VLOOKUP(R$2, Percentiles!$A$45:$I$59, 7, FALSE), perc_95, VLOOKUP(R$2, Percentiles!$A$45:$I$59, 8, FALSE), perc_85, perc_75 + (perc_90 - perc_75) * (2/3), converted_stat, '2K_Ratings'!R514, IF(bbgm_stat &gt;= perc_95, converted_stat * 3, IF(bbgm_stat &gt;= perc_90, converted_stat * 2, IF(bbgm_stat &gt;= perc_85, converted_stat * 1.5, converted_stat)))))</f>
        <v/>
      </c>
      <c r="S514" s="30" t="str">
        <f t="array" ref="S514">IF($A514="", "", LET(bbgm_stat, INDEX(Players!$A513:$P513, MATCH(S$2, Players!$A$1:$P$1, 0)), perc_75, VLOOKUP(S$2, Percentiles!$A$45:$I$59, 6, FALSE), perc_90, VLOOKUP(S$2, Percentiles!$A$45:$I$59, 7, FALSE), perc_95, VLOOKUP(S$2, Percentiles!$A$45:$I$59, 8, FALSE), perc_85, perc_75 + (perc_90 - perc_75) * (2/3), converted_stat, '2K_Ratings'!S514, IF(bbgm_stat &gt;= perc_95, converted_stat * 3, IF(bbgm_stat &gt;= perc_90, converted_stat * 2, IF(bbgm_stat &gt;= perc_85, converted_stat * 1.5, converted_stat)))))</f>
        <v/>
      </c>
      <c r="T514" s="30" t="str">
        <f t="array" ref="T514">IF($A514="", "", LET(bbgm_stat, INDEX(Players!$A513:$P513, MATCH(T$2, Players!$A$1:$P$1, 0)), perc_75, VLOOKUP(T$2, Percentiles!$A$45:$I$59, 6, FALSE), perc_90, VLOOKUP(T$2, Percentiles!$A$45:$I$59, 7, FALSE), perc_95, VLOOKUP(T$2, Percentiles!$A$45:$I$59, 8, FALSE), perc_85, perc_75 + (perc_90 - perc_75) * (2/3), converted_stat, '2K_Ratings'!T514, IF(bbgm_stat &gt;= perc_95, converted_stat * 3, IF(bbgm_stat &gt;= perc_90, converted_stat * 2, IF(bbgm_stat &gt;= perc_85, converted_stat * 1.5, converted_stat)))))</f>
        <v/>
      </c>
      <c r="U514" s="30" t="str">
        <f t="array" ref="U514">IF($A514="", "", LET(bbgm_stat, INDEX(Players!$A513:$P513, MATCH(U$2, Players!$A$1:$P$1, 0)), perc_75, VLOOKUP(U$2, Percentiles!$A$45:$I$59, 6, FALSE), perc_90, VLOOKUP(U$2, Percentiles!$A$45:$I$59, 7, FALSE), perc_95, VLOOKUP(U$2, Percentiles!$A$45:$I$59, 8, FALSE), perc_85, perc_75 + (perc_90 - perc_75) * (2/3), converted_stat, '2K_Ratings'!U514, IF(bbgm_stat &gt;= perc_95, converted_stat * 3, IF(bbgm_stat &gt;= perc_90, converted_stat * 2, IF(bbgm_stat &gt;= perc_85, converted_stat * 1.5, converted_stat)))))</f>
        <v/>
      </c>
      <c r="V514" s="30" t="str">
        <f t="array" ref="V514">IF($A514="", "", LET(bbgm_stat, INDEX(Players!$A513:$P513, MATCH(V$2, Players!$A$1:$P$1, 0)), perc_75, VLOOKUP(V$2, Percentiles!$A$45:$I$59, 6, FALSE), perc_90, VLOOKUP(V$2, Percentiles!$A$45:$I$59, 7, FALSE), perc_95, VLOOKUP(V$2, Percentiles!$A$45:$I$59, 8, FALSE), perc_85, perc_75 + (perc_90 - perc_75) * (2/3), converted_stat, '2K_Ratings'!V514, IF(bbgm_stat &gt;= perc_95, converted_stat * 3, IF(bbgm_stat &gt;= perc_90, converted_stat * 2, IF(bbgm_stat &gt;= perc_85, converted_stat * 1.5, converted_stat)))))</f>
        <v/>
      </c>
      <c r="W514" s="30" t="str">
        <f t="array" ref="W514">IF($A514="", "", LET(bbgm_stat, INDEX(Players!$A513:$P513, MATCH(W$2, Players!$A$1:$P$1, 0)), perc_75, VLOOKUP(W$2, Percentiles!$A$45:$I$59, 6, FALSE), perc_90, VLOOKUP(W$2, Percentiles!$A$45:$I$59, 7, FALSE), perc_95, VLOOKUP(W$2, Percentiles!$A$45:$I$59, 8, FALSE), perc_85, perc_75 + (perc_90 - perc_75) * (2/3), converted_stat, '2K_Ratings'!W514, IF(bbgm_stat &gt;= perc_95, converted_stat * 3, IF(bbgm_stat &gt;= perc_90, converted_stat * 2, IF(bbgm_stat &gt;= perc_85, converted_stat * 1.5, converted_stat)))))</f>
        <v/>
      </c>
    </row>
    <row r="515">
      <c r="A515" s="30"/>
      <c r="B515" s="30" t="str">
        <f t="array" ref="B515">IF($A515="", "", LET(bbgm_stat, INDEX(Players!$A514:$P514, MATCH(B$2, Players!$A$1:$P$1, 0)), perc_75, VLOOKUP(B$2, Percentiles!$A$45:$I$59, 6, FALSE), perc_90, VLOOKUP(B$2, Percentiles!$A$45:$I$59, 7, FALSE), perc_95, VLOOKUP(B$2, Percentiles!$A$45:$I$59, 8, FALSE), perc_85, perc_75 + (perc_90 - perc_75) * (2/3), converted_stat, '2K_Ratings'!B515, IF(bbgm_stat &gt;= perc_95, converted_stat * 3, IF(bbgm_stat &gt;= perc_90, converted_stat * 2, IF(bbgm_stat &gt;= perc_85, converted_stat * 1.5, converted_stat)))))</f>
        <v/>
      </c>
      <c r="C515" s="30" t="str">
        <f t="array" ref="C515">IF($A515="", "", LET(bbgm_stat, INDEX(Players!$A514:$P514, MATCH(C$2, Players!$A$1:$P$1, 0)), perc_75, VLOOKUP(C$2, Percentiles!$A$45:$I$59, 6, FALSE), perc_90, VLOOKUP(C$2, Percentiles!$A$45:$I$59, 7, FALSE), perc_95, VLOOKUP(C$2, Percentiles!$A$45:$I$59, 8, FALSE), perc_85, perc_75 + (perc_90 - perc_75) * (2/3), converted_stat, '2K_Ratings'!C515, IF(bbgm_stat &gt;= perc_95, converted_stat * 3, IF(bbgm_stat &gt;= perc_90, converted_stat * 2, IF(bbgm_stat &gt;= perc_85, converted_stat * 1.5, converted_stat)))))</f>
        <v/>
      </c>
      <c r="D515" s="30" t="str">
        <f t="array" ref="D515">IF($A515="", "", LET(bbgm_stat, INDEX(Players!$A514:$P514, MATCH(D$2, Players!$A$1:$P$1, 0)), perc_75, VLOOKUP(D$2, Percentiles!$A$45:$I$59, 6, FALSE), perc_90, VLOOKUP(D$2, Percentiles!$A$45:$I$59, 7, FALSE), perc_95, VLOOKUP(D$2, Percentiles!$A$45:$I$59, 8, FALSE), perc_85, perc_75 + (perc_90 - perc_75) * (2/3), converted_stat, '2K_Ratings'!D515, IF(bbgm_stat &gt;= perc_95, converted_stat * 3, IF(bbgm_stat &gt;= perc_90, converted_stat * 2, IF(bbgm_stat &gt;= perc_85, converted_stat * 1.5, converted_stat)))))</f>
        <v/>
      </c>
      <c r="E515" s="30" t="str">
        <f t="array" ref="E515">IF($A515="", "", LET(bbgm_stat, INDEX(Players!$A514:$P514, MATCH(E$2, Players!$A$1:$P$1, 0)), perc_75, VLOOKUP(E$2, Percentiles!$A$45:$I$59, 6, FALSE), perc_90, VLOOKUP(E$2, Percentiles!$A$45:$I$59, 7, FALSE), perc_95, VLOOKUP(E$2, Percentiles!$A$45:$I$59, 8, FALSE), perc_85, perc_75 + (perc_90 - perc_75) * (2/3), converted_stat, '2K_Ratings'!E515, IF(bbgm_stat &gt;= perc_95, converted_stat * 3, IF(bbgm_stat &gt;= perc_90, converted_stat * 2, IF(bbgm_stat &gt;= perc_85, converted_stat * 1.5, converted_stat)))))</f>
        <v/>
      </c>
      <c r="F515" s="30" t="str">
        <f t="array" ref="F515">IF($A515="", "", LET(bbgm_stat, INDEX(Players!$A514:$P514, MATCH(F$2, Players!$A$1:$P$1, 0)), perc_75, VLOOKUP(F$2, Percentiles!$A$45:$I$59, 6, FALSE), perc_90, VLOOKUP(F$2, Percentiles!$A$45:$I$59, 7, FALSE), perc_95, VLOOKUP(F$2, Percentiles!$A$45:$I$59, 8, FALSE), perc_85, perc_75 + (perc_90 - perc_75) * (2/3), converted_stat, '2K_Ratings'!F515, IF(bbgm_stat &gt;= perc_95, converted_stat * 3, IF(bbgm_stat &gt;= perc_90, converted_stat * 2, IF(bbgm_stat &gt;= perc_85, converted_stat * 1.5, converted_stat)))))</f>
        <v/>
      </c>
      <c r="G515" s="30" t="str">
        <f t="array" ref="G515">IF($A515="", "", LET(bbgm_stat, INDEX(Players!$A514:$P514, MATCH(G$2, Players!$A$1:$P$1, 0)), perc_75, VLOOKUP(G$2, Percentiles!$A$45:$I$59, 6, FALSE), perc_90, VLOOKUP(G$2, Percentiles!$A$45:$I$59, 7, FALSE), perc_95, VLOOKUP(G$2, Percentiles!$A$45:$I$59, 8, FALSE), perc_85, perc_75 + (perc_90 - perc_75) * (2/3), converted_stat, '2K_Ratings'!G515, IF(bbgm_stat &gt;= perc_95, converted_stat * 3, IF(bbgm_stat &gt;= perc_90, converted_stat * 2, IF(bbgm_stat &gt;= perc_85, converted_stat * 1.5, converted_stat)))))</f>
        <v/>
      </c>
      <c r="H515" s="30" t="str">
        <f t="array" ref="H515">IF($A515="", "", LET(bbgm_stat, INDEX(Players!$A514:$P514, MATCH(H$2, Players!$A$1:$P$1, 0)), perc_75, VLOOKUP(H$2, Percentiles!$A$45:$I$59, 6, FALSE), perc_90, VLOOKUP(H$2, Percentiles!$A$45:$I$59, 7, FALSE), perc_95, VLOOKUP(H$2, Percentiles!$A$45:$I$59, 8, FALSE), perc_85, perc_75 + (perc_90 - perc_75) * (2/3), converted_stat, '2K_Ratings'!H515, IF(bbgm_stat &gt;= perc_95, converted_stat * 3, IF(bbgm_stat &gt;= perc_90, converted_stat * 2, IF(bbgm_stat &gt;= perc_85, converted_stat * 1.5, converted_stat)))))</f>
        <v/>
      </c>
      <c r="I515" s="30" t="str">
        <f t="array" ref="I515">IF($A515="", "", LET(bbgm_stat, INDEX(Players!$A514:$P514, MATCH(I$2, Players!$A$1:$P$1, 0)), perc_75, VLOOKUP(I$2, Percentiles!$A$45:$I$59, 6, FALSE), perc_90, VLOOKUP(I$2, Percentiles!$A$45:$I$59, 7, FALSE), perc_95, VLOOKUP(I$2, Percentiles!$A$45:$I$59, 8, FALSE), perc_85, perc_75 + (perc_90 - perc_75) * (2/3), converted_stat, '2K_Ratings'!I515, IF(bbgm_stat &gt;= perc_95, converted_stat * 3, IF(bbgm_stat &gt;= perc_90, converted_stat * 2, IF(bbgm_stat &gt;= perc_85, converted_stat * 1.5, converted_stat)))))</f>
        <v/>
      </c>
      <c r="J515" s="30" t="str">
        <f t="array" ref="J515">IF($A515="", "", LET(bbgm_stat, INDEX(Players!$A514:$P514, MATCH(J$2, Players!$A$1:$P$1, 0)), perc_75, VLOOKUP(J$2, Percentiles!$A$45:$I$59, 6, FALSE), perc_90, VLOOKUP(J$2, Percentiles!$A$45:$I$59, 7, FALSE), perc_95, VLOOKUP(J$2, Percentiles!$A$45:$I$59, 8, FALSE), perc_85, perc_75 + (perc_90 - perc_75) * (2/3), converted_stat, '2K_Ratings'!J515, IF(bbgm_stat &gt;= perc_95, converted_stat * 3, IF(bbgm_stat &gt;= perc_90, converted_stat * 2, IF(bbgm_stat &gt;= perc_85, converted_stat * 1.5, converted_stat)))))</f>
        <v/>
      </c>
      <c r="K515" s="30" t="str">
        <f t="array" ref="K515">IF($A515="", "", LET(bbgm_stat, INDEX(Players!$A514:$P514, MATCH(K$2, Players!$A$1:$P$1, 0)), perc_75, VLOOKUP(K$2, Percentiles!$A$45:$I$59, 6, FALSE), perc_90, VLOOKUP(K$2, Percentiles!$A$45:$I$59, 7, FALSE), perc_95, VLOOKUP(K$2, Percentiles!$A$45:$I$59, 8, FALSE), perc_85, perc_75 + (perc_90 - perc_75) * (2/3), converted_stat, '2K_Ratings'!K515, IF(bbgm_stat &gt;= perc_95, converted_stat * 3, IF(bbgm_stat &gt;= perc_90, converted_stat * 2, IF(bbgm_stat &gt;= perc_85, converted_stat * 1.5, converted_stat)))))</f>
        <v/>
      </c>
      <c r="L515" s="30" t="str">
        <f t="array" ref="L515">IF($A515="", "", LET(bbgm_stat, INDEX(Players!$A514:$P514, MATCH(L$2, Players!$A$1:$P$1, 0)), perc_75, VLOOKUP(L$2, Percentiles!$A$45:$I$59, 6, FALSE), perc_90, VLOOKUP(L$2, Percentiles!$A$45:$I$59, 7, FALSE), perc_95, VLOOKUP(L$2, Percentiles!$A$45:$I$59, 8, FALSE), perc_85, perc_75 + (perc_90 - perc_75) * (2/3), converted_stat, '2K_Ratings'!L515, IF(bbgm_stat &gt;= perc_95, converted_stat * 3, IF(bbgm_stat &gt;= perc_90, converted_stat * 2, IF(bbgm_stat &gt;= perc_85, converted_stat * 1.5, converted_stat)))))</f>
        <v/>
      </c>
      <c r="M515" s="30" t="str">
        <f t="array" ref="M515">IF($A515="", "", LET(bbgm_stat, INDEX(Players!$A514:$P514, MATCH(M$2, Players!$A$1:$P$1, 0)), perc_75, VLOOKUP(M$2, Percentiles!$A$45:$I$59, 6, FALSE), perc_90, VLOOKUP(M$2, Percentiles!$A$45:$I$59, 7, FALSE), perc_95, VLOOKUP(M$2, Percentiles!$A$45:$I$59, 8, FALSE), perc_85, perc_75 + (perc_90 - perc_75) * (2/3), converted_stat, '2K_Ratings'!M515, IF(bbgm_stat &gt;= perc_95, converted_stat * 3, IF(bbgm_stat &gt;= perc_90, converted_stat * 2, IF(bbgm_stat &gt;= perc_85, converted_stat * 1.5, converted_stat)))))</f>
        <v/>
      </c>
      <c r="N515" s="30" t="str">
        <f t="array" ref="N515">IF($A515="", "", LET(bbgm_stat, INDEX(Players!$A514:$P514, MATCH(N$2, Players!$A$1:$P$1, 0)), perc_75, VLOOKUP(N$2, Percentiles!$A$45:$I$59, 6, FALSE), perc_90, VLOOKUP(N$2, Percentiles!$A$45:$I$59, 7, FALSE), perc_95, VLOOKUP(N$2, Percentiles!$A$45:$I$59, 8, FALSE), perc_85, perc_75 + (perc_90 - perc_75) * (2/3), converted_stat, '2K_Ratings'!N515, IF(bbgm_stat &gt;= perc_95, converted_stat * 3, IF(bbgm_stat &gt;= perc_90, converted_stat * 2, IF(bbgm_stat &gt;= perc_85, converted_stat * 1.5, converted_stat)))))</f>
        <v/>
      </c>
      <c r="O515" s="30" t="str">
        <f t="array" ref="O515">IF($A515="", "", LET(bbgm_stat, INDEX(Players!$A514:$P514, MATCH(O$2, Players!$A$1:$P$1, 0)), perc_75, VLOOKUP(O$2, Percentiles!$A$45:$I$59, 6, FALSE), perc_90, VLOOKUP(O$2, Percentiles!$A$45:$I$59, 7, FALSE), perc_95, VLOOKUP(O$2, Percentiles!$A$45:$I$59, 8, FALSE), perc_85, perc_75 + (perc_90 - perc_75) * (2/3), converted_stat, '2K_Ratings'!O515, IF(bbgm_stat &gt;= perc_95, converted_stat * 3, IF(bbgm_stat &gt;= perc_90, converted_stat * 2, IF(bbgm_stat &gt;= perc_85, converted_stat * 1.5, converted_stat)))))</f>
        <v/>
      </c>
      <c r="P515" s="30" t="str">
        <f t="array" ref="P515">IF($A515="", "", LET(bbgm_stat, INDEX(Players!$A514:$P514, MATCH(P$2, Players!$A$1:$P$1, 0)), perc_75, VLOOKUP(P$2, Percentiles!$A$45:$I$59, 6, FALSE), perc_90, VLOOKUP(P$2, Percentiles!$A$45:$I$59, 7, FALSE), perc_95, VLOOKUP(P$2, Percentiles!$A$45:$I$59, 8, FALSE), perc_85, perc_75 + (perc_90 - perc_75) * (2/3), converted_stat, '2K_Ratings'!P515, IF(bbgm_stat &gt;= perc_95, converted_stat * 3, IF(bbgm_stat &gt;= perc_90, converted_stat * 2, IF(bbgm_stat &gt;= perc_85, converted_stat * 1.5, converted_stat)))))</f>
        <v/>
      </c>
      <c r="Q515" s="30" t="str">
        <f t="array" ref="Q515">IF($A515="", "", LET(bbgm_stat, INDEX(Players!$A514:$P514, MATCH(Q$2, Players!$A$1:$P$1, 0)), perc_75, VLOOKUP(Q$2, Percentiles!$A$45:$I$59, 6, FALSE), perc_90, VLOOKUP(Q$2, Percentiles!$A$45:$I$59, 7, FALSE), perc_95, VLOOKUP(Q$2, Percentiles!$A$45:$I$59, 8, FALSE), perc_85, perc_75 + (perc_90 - perc_75) * (2/3), converted_stat, '2K_Ratings'!Q515, IF(bbgm_stat &gt;= perc_95, converted_stat * 3, IF(bbgm_stat &gt;= perc_90, converted_stat * 2, IF(bbgm_stat &gt;= perc_85, converted_stat * 1.5, converted_stat)))))</f>
        <v/>
      </c>
      <c r="R515" s="30" t="str">
        <f t="array" ref="R515">IF($A515="", "", LET(bbgm_stat, INDEX(Players!$A514:$P514, MATCH(R$2, Players!$A$1:$P$1, 0)), perc_75, VLOOKUP(R$2, Percentiles!$A$45:$I$59, 6, FALSE), perc_90, VLOOKUP(R$2, Percentiles!$A$45:$I$59, 7, FALSE), perc_95, VLOOKUP(R$2, Percentiles!$A$45:$I$59, 8, FALSE), perc_85, perc_75 + (perc_90 - perc_75) * (2/3), converted_stat, '2K_Ratings'!R515, IF(bbgm_stat &gt;= perc_95, converted_stat * 3, IF(bbgm_stat &gt;= perc_90, converted_stat * 2, IF(bbgm_stat &gt;= perc_85, converted_stat * 1.5, converted_stat)))))</f>
        <v/>
      </c>
      <c r="S515" s="30" t="str">
        <f t="array" ref="S515">IF($A515="", "", LET(bbgm_stat, INDEX(Players!$A514:$P514, MATCH(S$2, Players!$A$1:$P$1, 0)), perc_75, VLOOKUP(S$2, Percentiles!$A$45:$I$59, 6, FALSE), perc_90, VLOOKUP(S$2, Percentiles!$A$45:$I$59, 7, FALSE), perc_95, VLOOKUP(S$2, Percentiles!$A$45:$I$59, 8, FALSE), perc_85, perc_75 + (perc_90 - perc_75) * (2/3), converted_stat, '2K_Ratings'!S515, IF(bbgm_stat &gt;= perc_95, converted_stat * 3, IF(bbgm_stat &gt;= perc_90, converted_stat * 2, IF(bbgm_stat &gt;= perc_85, converted_stat * 1.5, converted_stat)))))</f>
        <v/>
      </c>
      <c r="T515" s="30" t="str">
        <f t="array" ref="T515">IF($A515="", "", LET(bbgm_stat, INDEX(Players!$A514:$P514, MATCH(T$2, Players!$A$1:$P$1, 0)), perc_75, VLOOKUP(T$2, Percentiles!$A$45:$I$59, 6, FALSE), perc_90, VLOOKUP(T$2, Percentiles!$A$45:$I$59, 7, FALSE), perc_95, VLOOKUP(T$2, Percentiles!$A$45:$I$59, 8, FALSE), perc_85, perc_75 + (perc_90 - perc_75) * (2/3), converted_stat, '2K_Ratings'!T515, IF(bbgm_stat &gt;= perc_95, converted_stat * 3, IF(bbgm_stat &gt;= perc_90, converted_stat * 2, IF(bbgm_stat &gt;= perc_85, converted_stat * 1.5, converted_stat)))))</f>
        <v/>
      </c>
      <c r="U515" s="30" t="str">
        <f t="array" ref="U515">IF($A515="", "", LET(bbgm_stat, INDEX(Players!$A514:$P514, MATCH(U$2, Players!$A$1:$P$1, 0)), perc_75, VLOOKUP(U$2, Percentiles!$A$45:$I$59, 6, FALSE), perc_90, VLOOKUP(U$2, Percentiles!$A$45:$I$59, 7, FALSE), perc_95, VLOOKUP(U$2, Percentiles!$A$45:$I$59, 8, FALSE), perc_85, perc_75 + (perc_90 - perc_75) * (2/3), converted_stat, '2K_Ratings'!U515, IF(bbgm_stat &gt;= perc_95, converted_stat * 3, IF(bbgm_stat &gt;= perc_90, converted_stat * 2, IF(bbgm_stat &gt;= perc_85, converted_stat * 1.5, converted_stat)))))</f>
        <v/>
      </c>
      <c r="V515" s="30" t="str">
        <f t="array" ref="V515">IF($A515="", "", LET(bbgm_stat, INDEX(Players!$A514:$P514, MATCH(V$2, Players!$A$1:$P$1, 0)), perc_75, VLOOKUP(V$2, Percentiles!$A$45:$I$59, 6, FALSE), perc_90, VLOOKUP(V$2, Percentiles!$A$45:$I$59, 7, FALSE), perc_95, VLOOKUP(V$2, Percentiles!$A$45:$I$59, 8, FALSE), perc_85, perc_75 + (perc_90 - perc_75) * (2/3), converted_stat, '2K_Ratings'!V515, IF(bbgm_stat &gt;= perc_95, converted_stat * 3, IF(bbgm_stat &gt;= perc_90, converted_stat * 2, IF(bbgm_stat &gt;= perc_85, converted_stat * 1.5, converted_stat)))))</f>
        <v/>
      </c>
      <c r="W515" s="30" t="str">
        <f t="array" ref="W515">IF($A515="", "", LET(bbgm_stat, INDEX(Players!$A514:$P514, MATCH(W$2, Players!$A$1:$P$1, 0)), perc_75, VLOOKUP(W$2, Percentiles!$A$45:$I$59, 6, FALSE), perc_90, VLOOKUP(W$2, Percentiles!$A$45:$I$59, 7, FALSE), perc_95, VLOOKUP(W$2, Percentiles!$A$45:$I$59, 8, FALSE), perc_85, perc_75 + (perc_90 - perc_75) * (2/3), converted_stat, '2K_Ratings'!W515, IF(bbgm_stat &gt;= perc_95, converted_stat * 3, IF(bbgm_stat &gt;= perc_90, converted_stat * 2, IF(bbgm_stat &gt;= perc_85, converted_stat * 1.5, converted_stat)))))</f>
        <v/>
      </c>
    </row>
    <row r="516">
      <c r="A516" s="30"/>
      <c r="B516" s="30" t="str">
        <f t="array" ref="B516">IF($A516="", "", LET(bbgm_stat, INDEX(Players!$A515:$P515, MATCH(B$2, Players!$A$1:$P$1, 0)), perc_75, VLOOKUP(B$2, Percentiles!$A$45:$I$59, 6, FALSE), perc_90, VLOOKUP(B$2, Percentiles!$A$45:$I$59, 7, FALSE), perc_95, VLOOKUP(B$2, Percentiles!$A$45:$I$59, 8, FALSE), perc_85, perc_75 + (perc_90 - perc_75) * (2/3), converted_stat, '2K_Ratings'!B516, IF(bbgm_stat &gt;= perc_95, converted_stat * 3, IF(bbgm_stat &gt;= perc_90, converted_stat * 2, IF(bbgm_stat &gt;= perc_85, converted_stat * 1.5, converted_stat)))))</f>
        <v/>
      </c>
      <c r="C516" s="30" t="str">
        <f t="array" ref="C516">IF($A516="", "", LET(bbgm_stat, INDEX(Players!$A515:$P515, MATCH(C$2, Players!$A$1:$P$1, 0)), perc_75, VLOOKUP(C$2, Percentiles!$A$45:$I$59, 6, FALSE), perc_90, VLOOKUP(C$2, Percentiles!$A$45:$I$59, 7, FALSE), perc_95, VLOOKUP(C$2, Percentiles!$A$45:$I$59, 8, FALSE), perc_85, perc_75 + (perc_90 - perc_75) * (2/3), converted_stat, '2K_Ratings'!C516, IF(bbgm_stat &gt;= perc_95, converted_stat * 3, IF(bbgm_stat &gt;= perc_90, converted_stat * 2, IF(bbgm_stat &gt;= perc_85, converted_stat * 1.5, converted_stat)))))</f>
        <v/>
      </c>
      <c r="D516" s="30" t="str">
        <f t="array" ref="D516">IF($A516="", "", LET(bbgm_stat, INDEX(Players!$A515:$P515, MATCH(D$2, Players!$A$1:$P$1, 0)), perc_75, VLOOKUP(D$2, Percentiles!$A$45:$I$59, 6, FALSE), perc_90, VLOOKUP(D$2, Percentiles!$A$45:$I$59, 7, FALSE), perc_95, VLOOKUP(D$2, Percentiles!$A$45:$I$59, 8, FALSE), perc_85, perc_75 + (perc_90 - perc_75) * (2/3), converted_stat, '2K_Ratings'!D516, IF(bbgm_stat &gt;= perc_95, converted_stat * 3, IF(bbgm_stat &gt;= perc_90, converted_stat * 2, IF(bbgm_stat &gt;= perc_85, converted_stat * 1.5, converted_stat)))))</f>
        <v/>
      </c>
      <c r="E516" s="30" t="str">
        <f t="array" ref="E516">IF($A516="", "", LET(bbgm_stat, INDEX(Players!$A515:$P515, MATCH(E$2, Players!$A$1:$P$1, 0)), perc_75, VLOOKUP(E$2, Percentiles!$A$45:$I$59, 6, FALSE), perc_90, VLOOKUP(E$2, Percentiles!$A$45:$I$59, 7, FALSE), perc_95, VLOOKUP(E$2, Percentiles!$A$45:$I$59, 8, FALSE), perc_85, perc_75 + (perc_90 - perc_75) * (2/3), converted_stat, '2K_Ratings'!E516, IF(bbgm_stat &gt;= perc_95, converted_stat * 3, IF(bbgm_stat &gt;= perc_90, converted_stat * 2, IF(bbgm_stat &gt;= perc_85, converted_stat * 1.5, converted_stat)))))</f>
        <v/>
      </c>
      <c r="F516" s="30" t="str">
        <f t="array" ref="F516">IF($A516="", "", LET(bbgm_stat, INDEX(Players!$A515:$P515, MATCH(F$2, Players!$A$1:$P$1, 0)), perc_75, VLOOKUP(F$2, Percentiles!$A$45:$I$59, 6, FALSE), perc_90, VLOOKUP(F$2, Percentiles!$A$45:$I$59, 7, FALSE), perc_95, VLOOKUP(F$2, Percentiles!$A$45:$I$59, 8, FALSE), perc_85, perc_75 + (perc_90 - perc_75) * (2/3), converted_stat, '2K_Ratings'!F516, IF(bbgm_stat &gt;= perc_95, converted_stat * 3, IF(bbgm_stat &gt;= perc_90, converted_stat * 2, IF(bbgm_stat &gt;= perc_85, converted_stat * 1.5, converted_stat)))))</f>
        <v/>
      </c>
      <c r="G516" s="30" t="str">
        <f t="array" ref="G516">IF($A516="", "", LET(bbgm_stat, INDEX(Players!$A515:$P515, MATCH(G$2, Players!$A$1:$P$1, 0)), perc_75, VLOOKUP(G$2, Percentiles!$A$45:$I$59, 6, FALSE), perc_90, VLOOKUP(G$2, Percentiles!$A$45:$I$59, 7, FALSE), perc_95, VLOOKUP(G$2, Percentiles!$A$45:$I$59, 8, FALSE), perc_85, perc_75 + (perc_90 - perc_75) * (2/3), converted_stat, '2K_Ratings'!G516, IF(bbgm_stat &gt;= perc_95, converted_stat * 3, IF(bbgm_stat &gt;= perc_90, converted_stat * 2, IF(bbgm_stat &gt;= perc_85, converted_stat * 1.5, converted_stat)))))</f>
        <v/>
      </c>
      <c r="H516" s="30" t="str">
        <f t="array" ref="H516">IF($A516="", "", LET(bbgm_stat, INDEX(Players!$A515:$P515, MATCH(H$2, Players!$A$1:$P$1, 0)), perc_75, VLOOKUP(H$2, Percentiles!$A$45:$I$59, 6, FALSE), perc_90, VLOOKUP(H$2, Percentiles!$A$45:$I$59, 7, FALSE), perc_95, VLOOKUP(H$2, Percentiles!$A$45:$I$59, 8, FALSE), perc_85, perc_75 + (perc_90 - perc_75) * (2/3), converted_stat, '2K_Ratings'!H516, IF(bbgm_stat &gt;= perc_95, converted_stat * 3, IF(bbgm_stat &gt;= perc_90, converted_stat * 2, IF(bbgm_stat &gt;= perc_85, converted_stat * 1.5, converted_stat)))))</f>
        <v/>
      </c>
      <c r="I516" s="30" t="str">
        <f t="array" ref="I516">IF($A516="", "", LET(bbgm_stat, INDEX(Players!$A515:$P515, MATCH(I$2, Players!$A$1:$P$1, 0)), perc_75, VLOOKUP(I$2, Percentiles!$A$45:$I$59, 6, FALSE), perc_90, VLOOKUP(I$2, Percentiles!$A$45:$I$59, 7, FALSE), perc_95, VLOOKUP(I$2, Percentiles!$A$45:$I$59, 8, FALSE), perc_85, perc_75 + (perc_90 - perc_75) * (2/3), converted_stat, '2K_Ratings'!I516, IF(bbgm_stat &gt;= perc_95, converted_stat * 3, IF(bbgm_stat &gt;= perc_90, converted_stat * 2, IF(bbgm_stat &gt;= perc_85, converted_stat * 1.5, converted_stat)))))</f>
        <v/>
      </c>
      <c r="J516" s="30" t="str">
        <f t="array" ref="J516">IF($A516="", "", LET(bbgm_stat, INDEX(Players!$A515:$P515, MATCH(J$2, Players!$A$1:$P$1, 0)), perc_75, VLOOKUP(J$2, Percentiles!$A$45:$I$59, 6, FALSE), perc_90, VLOOKUP(J$2, Percentiles!$A$45:$I$59, 7, FALSE), perc_95, VLOOKUP(J$2, Percentiles!$A$45:$I$59, 8, FALSE), perc_85, perc_75 + (perc_90 - perc_75) * (2/3), converted_stat, '2K_Ratings'!J516, IF(bbgm_stat &gt;= perc_95, converted_stat * 3, IF(bbgm_stat &gt;= perc_90, converted_stat * 2, IF(bbgm_stat &gt;= perc_85, converted_stat * 1.5, converted_stat)))))</f>
        <v/>
      </c>
      <c r="K516" s="30" t="str">
        <f t="array" ref="K516">IF($A516="", "", LET(bbgm_stat, INDEX(Players!$A515:$P515, MATCH(K$2, Players!$A$1:$P$1, 0)), perc_75, VLOOKUP(K$2, Percentiles!$A$45:$I$59, 6, FALSE), perc_90, VLOOKUP(K$2, Percentiles!$A$45:$I$59, 7, FALSE), perc_95, VLOOKUP(K$2, Percentiles!$A$45:$I$59, 8, FALSE), perc_85, perc_75 + (perc_90 - perc_75) * (2/3), converted_stat, '2K_Ratings'!K516, IF(bbgm_stat &gt;= perc_95, converted_stat * 3, IF(bbgm_stat &gt;= perc_90, converted_stat * 2, IF(bbgm_stat &gt;= perc_85, converted_stat * 1.5, converted_stat)))))</f>
        <v/>
      </c>
      <c r="L516" s="30" t="str">
        <f t="array" ref="L516">IF($A516="", "", LET(bbgm_stat, INDEX(Players!$A515:$P515, MATCH(L$2, Players!$A$1:$P$1, 0)), perc_75, VLOOKUP(L$2, Percentiles!$A$45:$I$59, 6, FALSE), perc_90, VLOOKUP(L$2, Percentiles!$A$45:$I$59, 7, FALSE), perc_95, VLOOKUP(L$2, Percentiles!$A$45:$I$59, 8, FALSE), perc_85, perc_75 + (perc_90 - perc_75) * (2/3), converted_stat, '2K_Ratings'!L516, IF(bbgm_stat &gt;= perc_95, converted_stat * 3, IF(bbgm_stat &gt;= perc_90, converted_stat * 2, IF(bbgm_stat &gt;= perc_85, converted_stat * 1.5, converted_stat)))))</f>
        <v/>
      </c>
      <c r="M516" s="30" t="str">
        <f t="array" ref="M516">IF($A516="", "", LET(bbgm_stat, INDEX(Players!$A515:$P515, MATCH(M$2, Players!$A$1:$P$1, 0)), perc_75, VLOOKUP(M$2, Percentiles!$A$45:$I$59, 6, FALSE), perc_90, VLOOKUP(M$2, Percentiles!$A$45:$I$59, 7, FALSE), perc_95, VLOOKUP(M$2, Percentiles!$A$45:$I$59, 8, FALSE), perc_85, perc_75 + (perc_90 - perc_75) * (2/3), converted_stat, '2K_Ratings'!M516, IF(bbgm_stat &gt;= perc_95, converted_stat * 3, IF(bbgm_stat &gt;= perc_90, converted_stat * 2, IF(bbgm_stat &gt;= perc_85, converted_stat * 1.5, converted_stat)))))</f>
        <v/>
      </c>
      <c r="N516" s="30" t="str">
        <f t="array" ref="N516">IF($A516="", "", LET(bbgm_stat, INDEX(Players!$A515:$P515, MATCH(N$2, Players!$A$1:$P$1, 0)), perc_75, VLOOKUP(N$2, Percentiles!$A$45:$I$59, 6, FALSE), perc_90, VLOOKUP(N$2, Percentiles!$A$45:$I$59, 7, FALSE), perc_95, VLOOKUP(N$2, Percentiles!$A$45:$I$59, 8, FALSE), perc_85, perc_75 + (perc_90 - perc_75) * (2/3), converted_stat, '2K_Ratings'!N516, IF(bbgm_stat &gt;= perc_95, converted_stat * 3, IF(bbgm_stat &gt;= perc_90, converted_stat * 2, IF(bbgm_stat &gt;= perc_85, converted_stat * 1.5, converted_stat)))))</f>
        <v/>
      </c>
      <c r="O516" s="30" t="str">
        <f t="array" ref="O516">IF($A516="", "", LET(bbgm_stat, INDEX(Players!$A515:$P515, MATCH(O$2, Players!$A$1:$P$1, 0)), perc_75, VLOOKUP(O$2, Percentiles!$A$45:$I$59, 6, FALSE), perc_90, VLOOKUP(O$2, Percentiles!$A$45:$I$59, 7, FALSE), perc_95, VLOOKUP(O$2, Percentiles!$A$45:$I$59, 8, FALSE), perc_85, perc_75 + (perc_90 - perc_75) * (2/3), converted_stat, '2K_Ratings'!O516, IF(bbgm_stat &gt;= perc_95, converted_stat * 3, IF(bbgm_stat &gt;= perc_90, converted_stat * 2, IF(bbgm_stat &gt;= perc_85, converted_stat * 1.5, converted_stat)))))</f>
        <v/>
      </c>
      <c r="P516" s="30" t="str">
        <f t="array" ref="P516">IF($A516="", "", LET(bbgm_stat, INDEX(Players!$A515:$P515, MATCH(P$2, Players!$A$1:$P$1, 0)), perc_75, VLOOKUP(P$2, Percentiles!$A$45:$I$59, 6, FALSE), perc_90, VLOOKUP(P$2, Percentiles!$A$45:$I$59, 7, FALSE), perc_95, VLOOKUP(P$2, Percentiles!$A$45:$I$59, 8, FALSE), perc_85, perc_75 + (perc_90 - perc_75) * (2/3), converted_stat, '2K_Ratings'!P516, IF(bbgm_stat &gt;= perc_95, converted_stat * 3, IF(bbgm_stat &gt;= perc_90, converted_stat * 2, IF(bbgm_stat &gt;= perc_85, converted_stat * 1.5, converted_stat)))))</f>
        <v/>
      </c>
      <c r="Q516" s="30" t="str">
        <f t="array" ref="Q516">IF($A516="", "", LET(bbgm_stat, INDEX(Players!$A515:$P515, MATCH(Q$2, Players!$A$1:$P$1, 0)), perc_75, VLOOKUP(Q$2, Percentiles!$A$45:$I$59, 6, FALSE), perc_90, VLOOKUP(Q$2, Percentiles!$A$45:$I$59, 7, FALSE), perc_95, VLOOKUP(Q$2, Percentiles!$A$45:$I$59, 8, FALSE), perc_85, perc_75 + (perc_90 - perc_75) * (2/3), converted_stat, '2K_Ratings'!Q516, IF(bbgm_stat &gt;= perc_95, converted_stat * 3, IF(bbgm_stat &gt;= perc_90, converted_stat * 2, IF(bbgm_stat &gt;= perc_85, converted_stat * 1.5, converted_stat)))))</f>
        <v/>
      </c>
      <c r="R516" s="30" t="str">
        <f t="array" ref="R516">IF($A516="", "", LET(bbgm_stat, INDEX(Players!$A515:$P515, MATCH(R$2, Players!$A$1:$P$1, 0)), perc_75, VLOOKUP(R$2, Percentiles!$A$45:$I$59, 6, FALSE), perc_90, VLOOKUP(R$2, Percentiles!$A$45:$I$59, 7, FALSE), perc_95, VLOOKUP(R$2, Percentiles!$A$45:$I$59, 8, FALSE), perc_85, perc_75 + (perc_90 - perc_75) * (2/3), converted_stat, '2K_Ratings'!R516, IF(bbgm_stat &gt;= perc_95, converted_stat * 3, IF(bbgm_stat &gt;= perc_90, converted_stat * 2, IF(bbgm_stat &gt;= perc_85, converted_stat * 1.5, converted_stat)))))</f>
        <v/>
      </c>
      <c r="S516" s="30" t="str">
        <f t="array" ref="S516">IF($A516="", "", LET(bbgm_stat, INDEX(Players!$A515:$P515, MATCH(S$2, Players!$A$1:$P$1, 0)), perc_75, VLOOKUP(S$2, Percentiles!$A$45:$I$59, 6, FALSE), perc_90, VLOOKUP(S$2, Percentiles!$A$45:$I$59, 7, FALSE), perc_95, VLOOKUP(S$2, Percentiles!$A$45:$I$59, 8, FALSE), perc_85, perc_75 + (perc_90 - perc_75) * (2/3), converted_stat, '2K_Ratings'!S516, IF(bbgm_stat &gt;= perc_95, converted_stat * 3, IF(bbgm_stat &gt;= perc_90, converted_stat * 2, IF(bbgm_stat &gt;= perc_85, converted_stat * 1.5, converted_stat)))))</f>
        <v/>
      </c>
      <c r="T516" s="30" t="str">
        <f t="array" ref="T516">IF($A516="", "", LET(bbgm_stat, INDEX(Players!$A515:$P515, MATCH(T$2, Players!$A$1:$P$1, 0)), perc_75, VLOOKUP(T$2, Percentiles!$A$45:$I$59, 6, FALSE), perc_90, VLOOKUP(T$2, Percentiles!$A$45:$I$59, 7, FALSE), perc_95, VLOOKUP(T$2, Percentiles!$A$45:$I$59, 8, FALSE), perc_85, perc_75 + (perc_90 - perc_75) * (2/3), converted_stat, '2K_Ratings'!T516, IF(bbgm_stat &gt;= perc_95, converted_stat * 3, IF(bbgm_stat &gt;= perc_90, converted_stat * 2, IF(bbgm_stat &gt;= perc_85, converted_stat * 1.5, converted_stat)))))</f>
        <v/>
      </c>
      <c r="U516" s="30" t="str">
        <f t="array" ref="U516">IF($A516="", "", LET(bbgm_stat, INDEX(Players!$A515:$P515, MATCH(U$2, Players!$A$1:$P$1, 0)), perc_75, VLOOKUP(U$2, Percentiles!$A$45:$I$59, 6, FALSE), perc_90, VLOOKUP(U$2, Percentiles!$A$45:$I$59, 7, FALSE), perc_95, VLOOKUP(U$2, Percentiles!$A$45:$I$59, 8, FALSE), perc_85, perc_75 + (perc_90 - perc_75) * (2/3), converted_stat, '2K_Ratings'!U516, IF(bbgm_stat &gt;= perc_95, converted_stat * 3, IF(bbgm_stat &gt;= perc_90, converted_stat * 2, IF(bbgm_stat &gt;= perc_85, converted_stat * 1.5, converted_stat)))))</f>
        <v/>
      </c>
      <c r="V516" s="30" t="str">
        <f t="array" ref="V516">IF($A516="", "", LET(bbgm_stat, INDEX(Players!$A515:$P515, MATCH(V$2, Players!$A$1:$P$1, 0)), perc_75, VLOOKUP(V$2, Percentiles!$A$45:$I$59, 6, FALSE), perc_90, VLOOKUP(V$2, Percentiles!$A$45:$I$59, 7, FALSE), perc_95, VLOOKUP(V$2, Percentiles!$A$45:$I$59, 8, FALSE), perc_85, perc_75 + (perc_90 - perc_75) * (2/3), converted_stat, '2K_Ratings'!V516, IF(bbgm_stat &gt;= perc_95, converted_stat * 3, IF(bbgm_stat &gt;= perc_90, converted_stat * 2, IF(bbgm_stat &gt;= perc_85, converted_stat * 1.5, converted_stat)))))</f>
        <v/>
      </c>
      <c r="W516" s="30" t="str">
        <f t="array" ref="W516">IF($A516="", "", LET(bbgm_stat, INDEX(Players!$A515:$P515, MATCH(W$2, Players!$A$1:$P$1, 0)), perc_75, VLOOKUP(W$2, Percentiles!$A$45:$I$59, 6, FALSE), perc_90, VLOOKUP(W$2, Percentiles!$A$45:$I$59, 7, FALSE), perc_95, VLOOKUP(W$2, Percentiles!$A$45:$I$59, 8, FALSE), perc_85, perc_75 + (perc_90 - perc_75) * (2/3), converted_stat, '2K_Ratings'!W516, IF(bbgm_stat &gt;= perc_95, converted_stat * 3, IF(bbgm_stat &gt;= perc_90, converted_stat * 2, IF(bbgm_stat &gt;= perc_85, converted_stat * 1.5, converted_stat)))))</f>
        <v/>
      </c>
    </row>
    <row r="517">
      <c r="A517" s="30"/>
      <c r="B517" s="30" t="str">
        <f t="array" ref="B517">IF($A517="", "", LET(bbgm_stat, INDEX(Players!$A516:$P516, MATCH(B$2, Players!$A$1:$P$1, 0)), perc_75, VLOOKUP(B$2, Percentiles!$A$45:$I$59, 6, FALSE), perc_90, VLOOKUP(B$2, Percentiles!$A$45:$I$59, 7, FALSE), perc_95, VLOOKUP(B$2, Percentiles!$A$45:$I$59, 8, FALSE), perc_85, perc_75 + (perc_90 - perc_75) * (2/3), converted_stat, '2K_Ratings'!B517, IF(bbgm_stat &gt;= perc_95, converted_stat * 3, IF(bbgm_stat &gt;= perc_90, converted_stat * 2, IF(bbgm_stat &gt;= perc_85, converted_stat * 1.5, converted_stat)))))</f>
        <v/>
      </c>
      <c r="C517" s="30" t="str">
        <f t="array" ref="C517">IF($A517="", "", LET(bbgm_stat, INDEX(Players!$A516:$P516, MATCH(C$2, Players!$A$1:$P$1, 0)), perc_75, VLOOKUP(C$2, Percentiles!$A$45:$I$59, 6, FALSE), perc_90, VLOOKUP(C$2, Percentiles!$A$45:$I$59, 7, FALSE), perc_95, VLOOKUP(C$2, Percentiles!$A$45:$I$59, 8, FALSE), perc_85, perc_75 + (perc_90 - perc_75) * (2/3), converted_stat, '2K_Ratings'!C517, IF(bbgm_stat &gt;= perc_95, converted_stat * 3, IF(bbgm_stat &gt;= perc_90, converted_stat * 2, IF(bbgm_stat &gt;= perc_85, converted_stat * 1.5, converted_stat)))))</f>
        <v/>
      </c>
      <c r="D517" s="30" t="str">
        <f t="array" ref="D517">IF($A517="", "", LET(bbgm_stat, INDEX(Players!$A516:$P516, MATCH(D$2, Players!$A$1:$P$1, 0)), perc_75, VLOOKUP(D$2, Percentiles!$A$45:$I$59, 6, FALSE), perc_90, VLOOKUP(D$2, Percentiles!$A$45:$I$59, 7, FALSE), perc_95, VLOOKUP(D$2, Percentiles!$A$45:$I$59, 8, FALSE), perc_85, perc_75 + (perc_90 - perc_75) * (2/3), converted_stat, '2K_Ratings'!D517, IF(bbgm_stat &gt;= perc_95, converted_stat * 3, IF(bbgm_stat &gt;= perc_90, converted_stat * 2, IF(bbgm_stat &gt;= perc_85, converted_stat * 1.5, converted_stat)))))</f>
        <v/>
      </c>
      <c r="E517" s="30" t="str">
        <f t="array" ref="E517">IF($A517="", "", LET(bbgm_stat, INDEX(Players!$A516:$P516, MATCH(E$2, Players!$A$1:$P$1, 0)), perc_75, VLOOKUP(E$2, Percentiles!$A$45:$I$59, 6, FALSE), perc_90, VLOOKUP(E$2, Percentiles!$A$45:$I$59, 7, FALSE), perc_95, VLOOKUP(E$2, Percentiles!$A$45:$I$59, 8, FALSE), perc_85, perc_75 + (perc_90 - perc_75) * (2/3), converted_stat, '2K_Ratings'!E517, IF(bbgm_stat &gt;= perc_95, converted_stat * 3, IF(bbgm_stat &gt;= perc_90, converted_stat * 2, IF(bbgm_stat &gt;= perc_85, converted_stat * 1.5, converted_stat)))))</f>
        <v/>
      </c>
      <c r="F517" s="30" t="str">
        <f t="array" ref="F517">IF($A517="", "", LET(bbgm_stat, INDEX(Players!$A516:$P516, MATCH(F$2, Players!$A$1:$P$1, 0)), perc_75, VLOOKUP(F$2, Percentiles!$A$45:$I$59, 6, FALSE), perc_90, VLOOKUP(F$2, Percentiles!$A$45:$I$59, 7, FALSE), perc_95, VLOOKUP(F$2, Percentiles!$A$45:$I$59, 8, FALSE), perc_85, perc_75 + (perc_90 - perc_75) * (2/3), converted_stat, '2K_Ratings'!F517, IF(bbgm_stat &gt;= perc_95, converted_stat * 3, IF(bbgm_stat &gt;= perc_90, converted_stat * 2, IF(bbgm_stat &gt;= perc_85, converted_stat * 1.5, converted_stat)))))</f>
        <v/>
      </c>
      <c r="G517" s="30" t="str">
        <f t="array" ref="G517">IF($A517="", "", LET(bbgm_stat, INDEX(Players!$A516:$P516, MATCH(G$2, Players!$A$1:$P$1, 0)), perc_75, VLOOKUP(G$2, Percentiles!$A$45:$I$59, 6, FALSE), perc_90, VLOOKUP(G$2, Percentiles!$A$45:$I$59, 7, FALSE), perc_95, VLOOKUP(G$2, Percentiles!$A$45:$I$59, 8, FALSE), perc_85, perc_75 + (perc_90 - perc_75) * (2/3), converted_stat, '2K_Ratings'!G517, IF(bbgm_stat &gt;= perc_95, converted_stat * 3, IF(bbgm_stat &gt;= perc_90, converted_stat * 2, IF(bbgm_stat &gt;= perc_85, converted_stat * 1.5, converted_stat)))))</f>
        <v/>
      </c>
      <c r="H517" s="30" t="str">
        <f t="array" ref="H517">IF($A517="", "", LET(bbgm_stat, INDEX(Players!$A516:$P516, MATCH(H$2, Players!$A$1:$P$1, 0)), perc_75, VLOOKUP(H$2, Percentiles!$A$45:$I$59, 6, FALSE), perc_90, VLOOKUP(H$2, Percentiles!$A$45:$I$59, 7, FALSE), perc_95, VLOOKUP(H$2, Percentiles!$A$45:$I$59, 8, FALSE), perc_85, perc_75 + (perc_90 - perc_75) * (2/3), converted_stat, '2K_Ratings'!H517, IF(bbgm_stat &gt;= perc_95, converted_stat * 3, IF(bbgm_stat &gt;= perc_90, converted_stat * 2, IF(bbgm_stat &gt;= perc_85, converted_stat * 1.5, converted_stat)))))</f>
        <v/>
      </c>
      <c r="I517" s="30" t="str">
        <f t="array" ref="I517">IF($A517="", "", LET(bbgm_stat, INDEX(Players!$A516:$P516, MATCH(I$2, Players!$A$1:$P$1, 0)), perc_75, VLOOKUP(I$2, Percentiles!$A$45:$I$59, 6, FALSE), perc_90, VLOOKUP(I$2, Percentiles!$A$45:$I$59, 7, FALSE), perc_95, VLOOKUP(I$2, Percentiles!$A$45:$I$59, 8, FALSE), perc_85, perc_75 + (perc_90 - perc_75) * (2/3), converted_stat, '2K_Ratings'!I517, IF(bbgm_stat &gt;= perc_95, converted_stat * 3, IF(bbgm_stat &gt;= perc_90, converted_stat * 2, IF(bbgm_stat &gt;= perc_85, converted_stat * 1.5, converted_stat)))))</f>
        <v/>
      </c>
      <c r="J517" s="30" t="str">
        <f t="array" ref="J517">IF($A517="", "", LET(bbgm_stat, INDEX(Players!$A516:$P516, MATCH(J$2, Players!$A$1:$P$1, 0)), perc_75, VLOOKUP(J$2, Percentiles!$A$45:$I$59, 6, FALSE), perc_90, VLOOKUP(J$2, Percentiles!$A$45:$I$59, 7, FALSE), perc_95, VLOOKUP(J$2, Percentiles!$A$45:$I$59, 8, FALSE), perc_85, perc_75 + (perc_90 - perc_75) * (2/3), converted_stat, '2K_Ratings'!J517, IF(bbgm_stat &gt;= perc_95, converted_stat * 3, IF(bbgm_stat &gt;= perc_90, converted_stat * 2, IF(bbgm_stat &gt;= perc_85, converted_stat * 1.5, converted_stat)))))</f>
        <v/>
      </c>
      <c r="K517" s="30" t="str">
        <f t="array" ref="K517">IF($A517="", "", LET(bbgm_stat, INDEX(Players!$A516:$P516, MATCH(K$2, Players!$A$1:$P$1, 0)), perc_75, VLOOKUP(K$2, Percentiles!$A$45:$I$59, 6, FALSE), perc_90, VLOOKUP(K$2, Percentiles!$A$45:$I$59, 7, FALSE), perc_95, VLOOKUP(K$2, Percentiles!$A$45:$I$59, 8, FALSE), perc_85, perc_75 + (perc_90 - perc_75) * (2/3), converted_stat, '2K_Ratings'!K517, IF(bbgm_stat &gt;= perc_95, converted_stat * 3, IF(bbgm_stat &gt;= perc_90, converted_stat * 2, IF(bbgm_stat &gt;= perc_85, converted_stat * 1.5, converted_stat)))))</f>
        <v/>
      </c>
      <c r="L517" s="30" t="str">
        <f t="array" ref="L517">IF($A517="", "", LET(bbgm_stat, INDEX(Players!$A516:$P516, MATCH(L$2, Players!$A$1:$P$1, 0)), perc_75, VLOOKUP(L$2, Percentiles!$A$45:$I$59, 6, FALSE), perc_90, VLOOKUP(L$2, Percentiles!$A$45:$I$59, 7, FALSE), perc_95, VLOOKUP(L$2, Percentiles!$A$45:$I$59, 8, FALSE), perc_85, perc_75 + (perc_90 - perc_75) * (2/3), converted_stat, '2K_Ratings'!L517, IF(bbgm_stat &gt;= perc_95, converted_stat * 3, IF(bbgm_stat &gt;= perc_90, converted_stat * 2, IF(bbgm_stat &gt;= perc_85, converted_stat * 1.5, converted_stat)))))</f>
        <v/>
      </c>
      <c r="M517" s="30" t="str">
        <f t="array" ref="M517">IF($A517="", "", LET(bbgm_stat, INDEX(Players!$A516:$P516, MATCH(M$2, Players!$A$1:$P$1, 0)), perc_75, VLOOKUP(M$2, Percentiles!$A$45:$I$59, 6, FALSE), perc_90, VLOOKUP(M$2, Percentiles!$A$45:$I$59, 7, FALSE), perc_95, VLOOKUP(M$2, Percentiles!$A$45:$I$59, 8, FALSE), perc_85, perc_75 + (perc_90 - perc_75) * (2/3), converted_stat, '2K_Ratings'!M517, IF(bbgm_stat &gt;= perc_95, converted_stat * 3, IF(bbgm_stat &gt;= perc_90, converted_stat * 2, IF(bbgm_stat &gt;= perc_85, converted_stat * 1.5, converted_stat)))))</f>
        <v/>
      </c>
      <c r="N517" s="30" t="str">
        <f t="array" ref="N517">IF($A517="", "", LET(bbgm_stat, INDEX(Players!$A516:$P516, MATCH(N$2, Players!$A$1:$P$1, 0)), perc_75, VLOOKUP(N$2, Percentiles!$A$45:$I$59, 6, FALSE), perc_90, VLOOKUP(N$2, Percentiles!$A$45:$I$59, 7, FALSE), perc_95, VLOOKUP(N$2, Percentiles!$A$45:$I$59, 8, FALSE), perc_85, perc_75 + (perc_90 - perc_75) * (2/3), converted_stat, '2K_Ratings'!N517, IF(bbgm_stat &gt;= perc_95, converted_stat * 3, IF(bbgm_stat &gt;= perc_90, converted_stat * 2, IF(bbgm_stat &gt;= perc_85, converted_stat * 1.5, converted_stat)))))</f>
        <v/>
      </c>
      <c r="O517" s="30" t="str">
        <f t="array" ref="O517">IF($A517="", "", LET(bbgm_stat, INDEX(Players!$A516:$P516, MATCH(O$2, Players!$A$1:$P$1, 0)), perc_75, VLOOKUP(O$2, Percentiles!$A$45:$I$59, 6, FALSE), perc_90, VLOOKUP(O$2, Percentiles!$A$45:$I$59, 7, FALSE), perc_95, VLOOKUP(O$2, Percentiles!$A$45:$I$59, 8, FALSE), perc_85, perc_75 + (perc_90 - perc_75) * (2/3), converted_stat, '2K_Ratings'!O517, IF(bbgm_stat &gt;= perc_95, converted_stat * 3, IF(bbgm_stat &gt;= perc_90, converted_stat * 2, IF(bbgm_stat &gt;= perc_85, converted_stat * 1.5, converted_stat)))))</f>
        <v/>
      </c>
      <c r="P517" s="30" t="str">
        <f t="array" ref="P517">IF($A517="", "", LET(bbgm_stat, INDEX(Players!$A516:$P516, MATCH(P$2, Players!$A$1:$P$1, 0)), perc_75, VLOOKUP(P$2, Percentiles!$A$45:$I$59, 6, FALSE), perc_90, VLOOKUP(P$2, Percentiles!$A$45:$I$59, 7, FALSE), perc_95, VLOOKUP(P$2, Percentiles!$A$45:$I$59, 8, FALSE), perc_85, perc_75 + (perc_90 - perc_75) * (2/3), converted_stat, '2K_Ratings'!P517, IF(bbgm_stat &gt;= perc_95, converted_stat * 3, IF(bbgm_stat &gt;= perc_90, converted_stat * 2, IF(bbgm_stat &gt;= perc_85, converted_stat * 1.5, converted_stat)))))</f>
        <v/>
      </c>
      <c r="Q517" s="30" t="str">
        <f t="array" ref="Q517">IF($A517="", "", LET(bbgm_stat, INDEX(Players!$A516:$P516, MATCH(Q$2, Players!$A$1:$P$1, 0)), perc_75, VLOOKUP(Q$2, Percentiles!$A$45:$I$59, 6, FALSE), perc_90, VLOOKUP(Q$2, Percentiles!$A$45:$I$59, 7, FALSE), perc_95, VLOOKUP(Q$2, Percentiles!$A$45:$I$59, 8, FALSE), perc_85, perc_75 + (perc_90 - perc_75) * (2/3), converted_stat, '2K_Ratings'!Q517, IF(bbgm_stat &gt;= perc_95, converted_stat * 3, IF(bbgm_stat &gt;= perc_90, converted_stat * 2, IF(bbgm_stat &gt;= perc_85, converted_stat * 1.5, converted_stat)))))</f>
        <v/>
      </c>
      <c r="R517" s="30" t="str">
        <f t="array" ref="R517">IF($A517="", "", LET(bbgm_stat, INDEX(Players!$A516:$P516, MATCH(R$2, Players!$A$1:$P$1, 0)), perc_75, VLOOKUP(R$2, Percentiles!$A$45:$I$59, 6, FALSE), perc_90, VLOOKUP(R$2, Percentiles!$A$45:$I$59, 7, FALSE), perc_95, VLOOKUP(R$2, Percentiles!$A$45:$I$59, 8, FALSE), perc_85, perc_75 + (perc_90 - perc_75) * (2/3), converted_stat, '2K_Ratings'!R517, IF(bbgm_stat &gt;= perc_95, converted_stat * 3, IF(bbgm_stat &gt;= perc_90, converted_stat * 2, IF(bbgm_stat &gt;= perc_85, converted_stat * 1.5, converted_stat)))))</f>
        <v/>
      </c>
      <c r="S517" s="30" t="str">
        <f t="array" ref="S517">IF($A517="", "", LET(bbgm_stat, INDEX(Players!$A516:$P516, MATCH(S$2, Players!$A$1:$P$1, 0)), perc_75, VLOOKUP(S$2, Percentiles!$A$45:$I$59, 6, FALSE), perc_90, VLOOKUP(S$2, Percentiles!$A$45:$I$59, 7, FALSE), perc_95, VLOOKUP(S$2, Percentiles!$A$45:$I$59, 8, FALSE), perc_85, perc_75 + (perc_90 - perc_75) * (2/3), converted_stat, '2K_Ratings'!S517, IF(bbgm_stat &gt;= perc_95, converted_stat * 3, IF(bbgm_stat &gt;= perc_90, converted_stat * 2, IF(bbgm_stat &gt;= perc_85, converted_stat * 1.5, converted_stat)))))</f>
        <v/>
      </c>
      <c r="T517" s="30" t="str">
        <f t="array" ref="T517">IF($A517="", "", LET(bbgm_stat, INDEX(Players!$A516:$P516, MATCH(T$2, Players!$A$1:$P$1, 0)), perc_75, VLOOKUP(T$2, Percentiles!$A$45:$I$59, 6, FALSE), perc_90, VLOOKUP(T$2, Percentiles!$A$45:$I$59, 7, FALSE), perc_95, VLOOKUP(T$2, Percentiles!$A$45:$I$59, 8, FALSE), perc_85, perc_75 + (perc_90 - perc_75) * (2/3), converted_stat, '2K_Ratings'!T517, IF(bbgm_stat &gt;= perc_95, converted_stat * 3, IF(bbgm_stat &gt;= perc_90, converted_stat * 2, IF(bbgm_stat &gt;= perc_85, converted_stat * 1.5, converted_stat)))))</f>
        <v/>
      </c>
      <c r="U517" s="30" t="str">
        <f t="array" ref="U517">IF($A517="", "", LET(bbgm_stat, INDEX(Players!$A516:$P516, MATCH(U$2, Players!$A$1:$P$1, 0)), perc_75, VLOOKUP(U$2, Percentiles!$A$45:$I$59, 6, FALSE), perc_90, VLOOKUP(U$2, Percentiles!$A$45:$I$59, 7, FALSE), perc_95, VLOOKUP(U$2, Percentiles!$A$45:$I$59, 8, FALSE), perc_85, perc_75 + (perc_90 - perc_75) * (2/3), converted_stat, '2K_Ratings'!U517, IF(bbgm_stat &gt;= perc_95, converted_stat * 3, IF(bbgm_stat &gt;= perc_90, converted_stat * 2, IF(bbgm_stat &gt;= perc_85, converted_stat * 1.5, converted_stat)))))</f>
        <v/>
      </c>
      <c r="V517" s="30" t="str">
        <f t="array" ref="V517">IF($A517="", "", LET(bbgm_stat, INDEX(Players!$A516:$P516, MATCH(V$2, Players!$A$1:$P$1, 0)), perc_75, VLOOKUP(V$2, Percentiles!$A$45:$I$59, 6, FALSE), perc_90, VLOOKUP(V$2, Percentiles!$A$45:$I$59, 7, FALSE), perc_95, VLOOKUP(V$2, Percentiles!$A$45:$I$59, 8, FALSE), perc_85, perc_75 + (perc_90 - perc_75) * (2/3), converted_stat, '2K_Ratings'!V517, IF(bbgm_stat &gt;= perc_95, converted_stat * 3, IF(bbgm_stat &gt;= perc_90, converted_stat * 2, IF(bbgm_stat &gt;= perc_85, converted_stat * 1.5, converted_stat)))))</f>
        <v/>
      </c>
      <c r="W517" s="30" t="str">
        <f t="array" ref="W517">IF($A517="", "", LET(bbgm_stat, INDEX(Players!$A516:$P516, MATCH(W$2, Players!$A$1:$P$1, 0)), perc_75, VLOOKUP(W$2, Percentiles!$A$45:$I$59, 6, FALSE), perc_90, VLOOKUP(W$2, Percentiles!$A$45:$I$59, 7, FALSE), perc_95, VLOOKUP(W$2, Percentiles!$A$45:$I$59, 8, FALSE), perc_85, perc_75 + (perc_90 - perc_75) * (2/3), converted_stat, '2K_Ratings'!W517, IF(bbgm_stat &gt;= perc_95, converted_stat * 3, IF(bbgm_stat &gt;= perc_90, converted_stat * 2, IF(bbgm_stat &gt;= perc_85, converted_stat * 1.5, converted_stat)))))</f>
        <v/>
      </c>
    </row>
    <row r="518">
      <c r="A518" s="30"/>
      <c r="B518" s="30" t="str">
        <f t="array" ref="B518">IF($A518="", "", LET(bbgm_stat, INDEX(Players!$A517:$P517, MATCH(B$2, Players!$A$1:$P$1, 0)), perc_75, VLOOKUP(B$2, Percentiles!$A$45:$I$59, 6, FALSE), perc_90, VLOOKUP(B$2, Percentiles!$A$45:$I$59, 7, FALSE), perc_95, VLOOKUP(B$2, Percentiles!$A$45:$I$59, 8, FALSE), perc_85, perc_75 + (perc_90 - perc_75) * (2/3), converted_stat, '2K_Ratings'!B518, IF(bbgm_stat &gt;= perc_95, converted_stat * 3, IF(bbgm_stat &gt;= perc_90, converted_stat * 2, IF(bbgm_stat &gt;= perc_85, converted_stat * 1.5, converted_stat)))))</f>
        <v/>
      </c>
      <c r="C518" s="30" t="str">
        <f t="array" ref="C518">IF($A518="", "", LET(bbgm_stat, INDEX(Players!$A517:$P517, MATCH(C$2, Players!$A$1:$P$1, 0)), perc_75, VLOOKUP(C$2, Percentiles!$A$45:$I$59, 6, FALSE), perc_90, VLOOKUP(C$2, Percentiles!$A$45:$I$59, 7, FALSE), perc_95, VLOOKUP(C$2, Percentiles!$A$45:$I$59, 8, FALSE), perc_85, perc_75 + (perc_90 - perc_75) * (2/3), converted_stat, '2K_Ratings'!C518, IF(bbgm_stat &gt;= perc_95, converted_stat * 3, IF(bbgm_stat &gt;= perc_90, converted_stat * 2, IF(bbgm_stat &gt;= perc_85, converted_stat * 1.5, converted_stat)))))</f>
        <v/>
      </c>
      <c r="D518" s="30" t="str">
        <f t="array" ref="D518">IF($A518="", "", LET(bbgm_stat, INDEX(Players!$A517:$P517, MATCH(D$2, Players!$A$1:$P$1, 0)), perc_75, VLOOKUP(D$2, Percentiles!$A$45:$I$59, 6, FALSE), perc_90, VLOOKUP(D$2, Percentiles!$A$45:$I$59, 7, FALSE), perc_95, VLOOKUP(D$2, Percentiles!$A$45:$I$59, 8, FALSE), perc_85, perc_75 + (perc_90 - perc_75) * (2/3), converted_stat, '2K_Ratings'!D518, IF(bbgm_stat &gt;= perc_95, converted_stat * 3, IF(bbgm_stat &gt;= perc_90, converted_stat * 2, IF(bbgm_stat &gt;= perc_85, converted_stat * 1.5, converted_stat)))))</f>
        <v/>
      </c>
      <c r="E518" s="30" t="str">
        <f t="array" ref="E518">IF($A518="", "", LET(bbgm_stat, INDEX(Players!$A517:$P517, MATCH(E$2, Players!$A$1:$P$1, 0)), perc_75, VLOOKUP(E$2, Percentiles!$A$45:$I$59, 6, FALSE), perc_90, VLOOKUP(E$2, Percentiles!$A$45:$I$59, 7, FALSE), perc_95, VLOOKUP(E$2, Percentiles!$A$45:$I$59, 8, FALSE), perc_85, perc_75 + (perc_90 - perc_75) * (2/3), converted_stat, '2K_Ratings'!E518, IF(bbgm_stat &gt;= perc_95, converted_stat * 3, IF(bbgm_stat &gt;= perc_90, converted_stat * 2, IF(bbgm_stat &gt;= perc_85, converted_stat * 1.5, converted_stat)))))</f>
        <v/>
      </c>
      <c r="F518" s="30" t="str">
        <f t="array" ref="F518">IF($A518="", "", LET(bbgm_stat, INDEX(Players!$A517:$P517, MATCH(F$2, Players!$A$1:$P$1, 0)), perc_75, VLOOKUP(F$2, Percentiles!$A$45:$I$59, 6, FALSE), perc_90, VLOOKUP(F$2, Percentiles!$A$45:$I$59, 7, FALSE), perc_95, VLOOKUP(F$2, Percentiles!$A$45:$I$59, 8, FALSE), perc_85, perc_75 + (perc_90 - perc_75) * (2/3), converted_stat, '2K_Ratings'!F518, IF(bbgm_stat &gt;= perc_95, converted_stat * 3, IF(bbgm_stat &gt;= perc_90, converted_stat * 2, IF(bbgm_stat &gt;= perc_85, converted_stat * 1.5, converted_stat)))))</f>
        <v/>
      </c>
      <c r="G518" s="30" t="str">
        <f t="array" ref="G518">IF($A518="", "", LET(bbgm_stat, INDEX(Players!$A517:$P517, MATCH(G$2, Players!$A$1:$P$1, 0)), perc_75, VLOOKUP(G$2, Percentiles!$A$45:$I$59, 6, FALSE), perc_90, VLOOKUP(G$2, Percentiles!$A$45:$I$59, 7, FALSE), perc_95, VLOOKUP(G$2, Percentiles!$A$45:$I$59, 8, FALSE), perc_85, perc_75 + (perc_90 - perc_75) * (2/3), converted_stat, '2K_Ratings'!G518, IF(bbgm_stat &gt;= perc_95, converted_stat * 3, IF(bbgm_stat &gt;= perc_90, converted_stat * 2, IF(bbgm_stat &gt;= perc_85, converted_stat * 1.5, converted_stat)))))</f>
        <v/>
      </c>
      <c r="H518" s="30" t="str">
        <f t="array" ref="H518">IF($A518="", "", LET(bbgm_stat, INDEX(Players!$A517:$P517, MATCH(H$2, Players!$A$1:$P$1, 0)), perc_75, VLOOKUP(H$2, Percentiles!$A$45:$I$59, 6, FALSE), perc_90, VLOOKUP(H$2, Percentiles!$A$45:$I$59, 7, FALSE), perc_95, VLOOKUP(H$2, Percentiles!$A$45:$I$59, 8, FALSE), perc_85, perc_75 + (perc_90 - perc_75) * (2/3), converted_stat, '2K_Ratings'!H518, IF(bbgm_stat &gt;= perc_95, converted_stat * 3, IF(bbgm_stat &gt;= perc_90, converted_stat * 2, IF(bbgm_stat &gt;= perc_85, converted_stat * 1.5, converted_stat)))))</f>
        <v/>
      </c>
      <c r="I518" s="30" t="str">
        <f t="array" ref="I518">IF($A518="", "", LET(bbgm_stat, INDEX(Players!$A517:$P517, MATCH(I$2, Players!$A$1:$P$1, 0)), perc_75, VLOOKUP(I$2, Percentiles!$A$45:$I$59, 6, FALSE), perc_90, VLOOKUP(I$2, Percentiles!$A$45:$I$59, 7, FALSE), perc_95, VLOOKUP(I$2, Percentiles!$A$45:$I$59, 8, FALSE), perc_85, perc_75 + (perc_90 - perc_75) * (2/3), converted_stat, '2K_Ratings'!I518, IF(bbgm_stat &gt;= perc_95, converted_stat * 3, IF(bbgm_stat &gt;= perc_90, converted_stat * 2, IF(bbgm_stat &gt;= perc_85, converted_stat * 1.5, converted_stat)))))</f>
        <v/>
      </c>
      <c r="J518" s="30" t="str">
        <f t="array" ref="J518">IF($A518="", "", LET(bbgm_stat, INDEX(Players!$A517:$P517, MATCH(J$2, Players!$A$1:$P$1, 0)), perc_75, VLOOKUP(J$2, Percentiles!$A$45:$I$59, 6, FALSE), perc_90, VLOOKUP(J$2, Percentiles!$A$45:$I$59, 7, FALSE), perc_95, VLOOKUP(J$2, Percentiles!$A$45:$I$59, 8, FALSE), perc_85, perc_75 + (perc_90 - perc_75) * (2/3), converted_stat, '2K_Ratings'!J518, IF(bbgm_stat &gt;= perc_95, converted_stat * 3, IF(bbgm_stat &gt;= perc_90, converted_stat * 2, IF(bbgm_stat &gt;= perc_85, converted_stat * 1.5, converted_stat)))))</f>
        <v/>
      </c>
      <c r="K518" s="30" t="str">
        <f t="array" ref="K518">IF($A518="", "", LET(bbgm_stat, INDEX(Players!$A517:$P517, MATCH(K$2, Players!$A$1:$P$1, 0)), perc_75, VLOOKUP(K$2, Percentiles!$A$45:$I$59, 6, FALSE), perc_90, VLOOKUP(K$2, Percentiles!$A$45:$I$59, 7, FALSE), perc_95, VLOOKUP(K$2, Percentiles!$A$45:$I$59, 8, FALSE), perc_85, perc_75 + (perc_90 - perc_75) * (2/3), converted_stat, '2K_Ratings'!K518, IF(bbgm_stat &gt;= perc_95, converted_stat * 3, IF(bbgm_stat &gt;= perc_90, converted_stat * 2, IF(bbgm_stat &gt;= perc_85, converted_stat * 1.5, converted_stat)))))</f>
        <v/>
      </c>
      <c r="L518" s="30" t="str">
        <f t="array" ref="L518">IF($A518="", "", LET(bbgm_stat, INDEX(Players!$A517:$P517, MATCH(L$2, Players!$A$1:$P$1, 0)), perc_75, VLOOKUP(L$2, Percentiles!$A$45:$I$59, 6, FALSE), perc_90, VLOOKUP(L$2, Percentiles!$A$45:$I$59, 7, FALSE), perc_95, VLOOKUP(L$2, Percentiles!$A$45:$I$59, 8, FALSE), perc_85, perc_75 + (perc_90 - perc_75) * (2/3), converted_stat, '2K_Ratings'!L518, IF(bbgm_stat &gt;= perc_95, converted_stat * 3, IF(bbgm_stat &gt;= perc_90, converted_stat * 2, IF(bbgm_stat &gt;= perc_85, converted_stat * 1.5, converted_stat)))))</f>
        <v/>
      </c>
      <c r="M518" s="30" t="str">
        <f t="array" ref="M518">IF($A518="", "", LET(bbgm_stat, INDEX(Players!$A517:$P517, MATCH(M$2, Players!$A$1:$P$1, 0)), perc_75, VLOOKUP(M$2, Percentiles!$A$45:$I$59, 6, FALSE), perc_90, VLOOKUP(M$2, Percentiles!$A$45:$I$59, 7, FALSE), perc_95, VLOOKUP(M$2, Percentiles!$A$45:$I$59, 8, FALSE), perc_85, perc_75 + (perc_90 - perc_75) * (2/3), converted_stat, '2K_Ratings'!M518, IF(bbgm_stat &gt;= perc_95, converted_stat * 3, IF(bbgm_stat &gt;= perc_90, converted_stat * 2, IF(bbgm_stat &gt;= perc_85, converted_stat * 1.5, converted_stat)))))</f>
        <v/>
      </c>
      <c r="N518" s="30" t="str">
        <f t="array" ref="N518">IF($A518="", "", LET(bbgm_stat, INDEX(Players!$A517:$P517, MATCH(N$2, Players!$A$1:$P$1, 0)), perc_75, VLOOKUP(N$2, Percentiles!$A$45:$I$59, 6, FALSE), perc_90, VLOOKUP(N$2, Percentiles!$A$45:$I$59, 7, FALSE), perc_95, VLOOKUP(N$2, Percentiles!$A$45:$I$59, 8, FALSE), perc_85, perc_75 + (perc_90 - perc_75) * (2/3), converted_stat, '2K_Ratings'!N518, IF(bbgm_stat &gt;= perc_95, converted_stat * 3, IF(bbgm_stat &gt;= perc_90, converted_stat * 2, IF(bbgm_stat &gt;= perc_85, converted_stat * 1.5, converted_stat)))))</f>
        <v/>
      </c>
      <c r="O518" s="30" t="str">
        <f t="array" ref="O518">IF($A518="", "", LET(bbgm_stat, INDEX(Players!$A517:$P517, MATCH(O$2, Players!$A$1:$P$1, 0)), perc_75, VLOOKUP(O$2, Percentiles!$A$45:$I$59, 6, FALSE), perc_90, VLOOKUP(O$2, Percentiles!$A$45:$I$59, 7, FALSE), perc_95, VLOOKUP(O$2, Percentiles!$A$45:$I$59, 8, FALSE), perc_85, perc_75 + (perc_90 - perc_75) * (2/3), converted_stat, '2K_Ratings'!O518, IF(bbgm_stat &gt;= perc_95, converted_stat * 3, IF(bbgm_stat &gt;= perc_90, converted_stat * 2, IF(bbgm_stat &gt;= perc_85, converted_stat * 1.5, converted_stat)))))</f>
        <v/>
      </c>
      <c r="P518" s="30" t="str">
        <f t="array" ref="P518">IF($A518="", "", LET(bbgm_stat, INDEX(Players!$A517:$P517, MATCH(P$2, Players!$A$1:$P$1, 0)), perc_75, VLOOKUP(P$2, Percentiles!$A$45:$I$59, 6, FALSE), perc_90, VLOOKUP(P$2, Percentiles!$A$45:$I$59, 7, FALSE), perc_95, VLOOKUP(P$2, Percentiles!$A$45:$I$59, 8, FALSE), perc_85, perc_75 + (perc_90 - perc_75) * (2/3), converted_stat, '2K_Ratings'!P518, IF(bbgm_stat &gt;= perc_95, converted_stat * 3, IF(bbgm_stat &gt;= perc_90, converted_stat * 2, IF(bbgm_stat &gt;= perc_85, converted_stat * 1.5, converted_stat)))))</f>
        <v/>
      </c>
      <c r="Q518" s="30" t="str">
        <f t="array" ref="Q518">IF($A518="", "", LET(bbgm_stat, INDEX(Players!$A517:$P517, MATCH(Q$2, Players!$A$1:$P$1, 0)), perc_75, VLOOKUP(Q$2, Percentiles!$A$45:$I$59, 6, FALSE), perc_90, VLOOKUP(Q$2, Percentiles!$A$45:$I$59, 7, FALSE), perc_95, VLOOKUP(Q$2, Percentiles!$A$45:$I$59, 8, FALSE), perc_85, perc_75 + (perc_90 - perc_75) * (2/3), converted_stat, '2K_Ratings'!Q518, IF(bbgm_stat &gt;= perc_95, converted_stat * 3, IF(bbgm_stat &gt;= perc_90, converted_stat * 2, IF(bbgm_stat &gt;= perc_85, converted_stat * 1.5, converted_stat)))))</f>
        <v/>
      </c>
      <c r="R518" s="30" t="str">
        <f t="array" ref="R518">IF($A518="", "", LET(bbgm_stat, INDEX(Players!$A517:$P517, MATCH(R$2, Players!$A$1:$P$1, 0)), perc_75, VLOOKUP(R$2, Percentiles!$A$45:$I$59, 6, FALSE), perc_90, VLOOKUP(R$2, Percentiles!$A$45:$I$59, 7, FALSE), perc_95, VLOOKUP(R$2, Percentiles!$A$45:$I$59, 8, FALSE), perc_85, perc_75 + (perc_90 - perc_75) * (2/3), converted_stat, '2K_Ratings'!R518, IF(bbgm_stat &gt;= perc_95, converted_stat * 3, IF(bbgm_stat &gt;= perc_90, converted_stat * 2, IF(bbgm_stat &gt;= perc_85, converted_stat * 1.5, converted_stat)))))</f>
        <v/>
      </c>
      <c r="S518" s="30" t="str">
        <f t="array" ref="S518">IF($A518="", "", LET(bbgm_stat, INDEX(Players!$A517:$P517, MATCH(S$2, Players!$A$1:$P$1, 0)), perc_75, VLOOKUP(S$2, Percentiles!$A$45:$I$59, 6, FALSE), perc_90, VLOOKUP(S$2, Percentiles!$A$45:$I$59, 7, FALSE), perc_95, VLOOKUP(S$2, Percentiles!$A$45:$I$59, 8, FALSE), perc_85, perc_75 + (perc_90 - perc_75) * (2/3), converted_stat, '2K_Ratings'!S518, IF(bbgm_stat &gt;= perc_95, converted_stat * 3, IF(bbgm_stat &gt;= perc_90, converted_stat * 2, IF(bbgm_stat &gt;= perc_85, converted_stat * 1.5, converted_stat)))))</f>
        <v/>
      </c>
      <c r="T518" s="30" t="str">
        <f t="array" ref="T518">IF($A518="", "", LET(bbgm_stat, INDEX(Players!$A517:$P517, MATCH(T$2, Players!$A$1:$P$1, 0)), perc_75, VLOOKUP(T$2, Percentiles!$A$45:$I$59, 6, FALSE), perc_90, VLOOKUP(T$2, Percentiles!$A$45:$I$59, 7, FALSE), perc_95, VLOOKUP(T$2, Percentiles!$A$45:$I$59, 8, FALSE), perc_85, perc_75 + (perc_90 - perc_75) * (2/3), converted_stat, '2K_Ratings'!T518, IF(bbgm_stat &gt;= perc_95, converted_stat * 3, IF(bbgm_stat &gt;= perc_90, converted_stat * 2, IF(bbgm_stat &gt;= perc_85, converted_stat * 1.5, converted_stat)))))</f>
        <v/>
      </c>
      <c r="U518" s="30" t="str">
        <f t="array" ref="U518">IF($A518="", "", LET(bbgm_stat, INDEX(Players!$A517:$P517, MATCH(U$2, Players!$A$1:$P$1, 0)), perc_75, VLOOKUP(U$2, Percentiles!$A$45:$I$59, 6, FALSE), perc_90, VLOOKUP(U$2, Percentiles!$A$45:$I$59, 7, FALSE), perc_95, VLOOKUP(U$2, Percentiles!$A$45:$I$59, 8, FALSE), perc_85, perc_75 + (perc_90 - perc_75) * (2/3), converted_stat, '2K_Ratings'!U518, IF(bbgm_stat &gt;= perc_95, converted_stat * 3, IF(bbgm_stat &gt;= perc_90, converted_stat * 2, IF(bbgm_stat &gt;= perc_85, converted_stat * 1.5, converted_stat)))))</f>
        <v/>
      </c>
      <c r="V518" s="30" t="str">
        <f t="array" ref="V518">IF($A518="", "", LET(bbgm_stat, INDEX(Players!$A517:$P517, MATCH(V$2, Players!$A$1:$P$1, 0)), perc_75, VLOOKUP(V$2, Percentiles!$A$45:$I$59, 6, FALSE), perc_90, VLOOKUP(V$2, Percentiles!$A$45:$I$59, 7, FALSE), perc_95, VLOOKUP(V$2, Percentiles!$A$45:$I$59, 8, FALSE), perc_85, perc_75 + (perc_90 - perc_75) * (2/3), converted_stat, '2K_Ratings'!V518, IF(bbgm_stat &gt;= perc_95, converted_stat * 3, IF(bbgm_stat &gt;= perc_90, converted_stat * 2, IF(bbgm_stat &gt;= perc_85, converted_stat * 1.5, converted_stat)))))</f>
        <v/>
      </c>
      <c r="W518" s="30" t="str">
        <f t="array" ref="W518">IF($A518="", "", LET(bbgm_stat, INDEX(Players!$A517:$P517, MATCH(W$2, Players!$A$1:$P$1, 0)), perc_75, VLOOKUP(W$2, Percentiles!$A$45:$I$59, 6, FALSE), perc_90, VLOOKUP(W$2, Percentiles!$A$45:$I$59, 7, FALSE), perc_95, VLOOKUP(W$2, Percentiles!$A$45:$I$59, 8, FALSE), perc_85, perc_75 + (perc_90 - perc_75) * (2/3), converted_stat, '2K_Ratings'!W518, IF(bbgm_stat &gt;= perc_95, converted_stat * 3, IF(bbgm_stat &gt;= perc_90, converted_stat * 2, IF(bbgm_stat &gt;= perc_85, converted_stat * 1.5, converted_stat)))))</f>
        <v/>
      </c>
    </row>
    <row r="519">
      <c r="A519" s="30"/>
      <c r="B519" s="30" t="str">
        <f t="array" ref="B519">IF($A519="", "", LET(bbgm_stat, INDEX(Players!$A518:$P518, MATCH(B$2, Players!$A$1:$P$1, 0)), perc_75, VLOOKUP(B$2, Percentiles!$A$45:$I$59, 6, FALSE), perc_90, VLOOKUP(B$2, Percentiles!$A$45:$I$59, 7, FALSE), perc_95, VLOOKUP(B$2, Percentiles!$A$45:$I$59, 8, FALSE), perc_85, perc_75 + (perc_90 - perc_75) * (2/3), converted_stat, '2K_Ratings'!B519, IF(bbgm_stat &gt;= perc_95, converted_stat * 3, IF(bbgm_stat &gt;= perc_90, converted_stat * 2, IF(bbgm_stat &gt;= perc_85, converted_stat * 1.5, converted_stat)))))</f>
        <v/>
      </c>
      <c r="C519" s="30" t="str">
        <f t="array" ref="C519">IF($A519="", "", LET(bbgm_stat, INDEX(Players!$A518:$P518, MATCH(C$2, Players!$A$1:$P$1, 0)), perc_75, VLOOKUP(C$2, Percentiles!$A$45:$I$59, 6, FALSE), perc_90, VLOOKUP(C$2, Percentiles!$A$45:$I$59, 7, FALSE), perc_95, VLOOKUP(C$2, Percentiles!$A$45:$I$59, 8, FALSE), perc_85, perc_75 + (perc_90 - perc_75) * (2/3), converted_stat, '2K_Ratings'!C519, IF(bbgm_stat &gt;= perc_95, converted_stat * 3, IF(bbgm_stat &gt;= perc_90, converted_stat * 2, IF(bbgm_stat &gt;= perc_85, converted_stat * 1.5, converted_stat)))))</f>
        <v/>
      </c>
      <c r="D519" s="30" t="str">
        <f t="array" ref="D519">IF($A519="", "", LET(bbgm_stat, INDEX(Players!$A518:$P518, MATCH(D$2, Players!$A$1:$P$1, 0)), perc_75, VLOOKUP(D$2, Percentiles!$A$45:$I$59, 6, FALSE), perc_90, VLOOKUP(D$2, Percentiles!$A$45:$I$59, 7, FALSE), perc_95, VLOOKUP(D$2, Percentiles!$A$45:$I$59, 8, FALSE), perc_85, perc_75 + (perc_90 - perc_75) * (2/3), converted_stat, '2K_Ratings'!D519, IF(bbgm_stat &gt;= perc_95, converted_stat * 3, IF(bbgm_stat &gt;= perc_90, converted_stat * 2, IF(bbgm_stat &gt;= perc_85, converted_stat * 1.5, converted_stat)))))</f>
        <v/>
      </c>
      <c r="E519" s="30" t="str">
        <f t="array" ref="E519">IF($A519="", "", LET(bbgm_stat, INDEX(Players!$A518:$P518, MATCH(E$2, Players!$A$1:$P$1, 0)), perc_75, VLOOKUP(E$2, Percentiles!$A$45:$I$59, 6, FALSE), perc_90, VLOOKUP(E$2, Percentiles!$A$45:$I$59, 7, FALSE), perc_95, VLOOKUP(E$2, Percentiles!$A$45:$I$59, 8, FALSE), perc_85, perc_75 + (perc_90 - perc_75) * (2/3), converted_stat, '2K_Ratings'!E519, IF(bbgm_stat &gt;= perc_95, converted_stat * 3, IF(bbgm_stat &gt;= perc_90, converted_stat * 2, IF(bbgm_stat &gt;= perc_85, converted_stat * 1.5, converted_stat)))))</f>
        <v/>
      </c>
      <c r="F519" s="30" t="str">
        <f t="array" ref="F519">IF($A519="", "", LET(bbgm_stat, INDEX(Players!$A518:$P518, MATCH(F$2, Players!$A$1:$P$1, 0)), perc_75, VLOOKUP(F$2, Percentiles!$A$45:$I$59, 6, FALSE), perc_90, VLOOKUP(F$2, Percentiles!$A$45:$I$59, 7, FALSE), perc_95, VLOOKUP(F$2, Percentiles!$A$45:$I$59, 8, FALSE), perc_85, perc_75 + (perc_90 - perc_75) * (2/3), converted_stat, '2K_Ratings'!F519, IF(bbgm_stat &gt;= perc_95, converted_stat * 3, IF(bbgm_stat &gt;= perc_90, converted_stat * 2, IF(bbgm_stat &gt;= perc_85, converted_stat * 1.5, converted_stat)))))</f>
        <v/>
      </c>
      <c r="G519" s="30" t="str">
        <f t="array" ref="G519">IF($A519="", "", LET(bbgm_stat, INDEX(Players!$A518:$P518, MATCH(G$2, Players!$A$1:$P$1, 0)), perc_75, VLOOKUP(G$2, Percentiles!$A$45:$I$59, 6, FALSE), perc_90, VLOOKUP(G$2, Percentiles!$A$45:$I$59, 7, FALSE), perc_95, VLOOKUP(G$2, Percentiles!$A$45:$I$59, 8, FALSE), perc_85, perc_75 + (perc_90 - perc_75) * (2/3), converted_stat, '2K_Ratings'!G519, IF(bbgm_stat &gt;= perc_95, converted_stat * 3, IF(bbgm_stat &gt;= perc_90, converted_stat * 2, IF(bbgm_stat &gt;= perc_85, converted_stat * 1.5, converted_stat)))))</f>
        <v/>
      </c>
      <c r="H519" s="30" t="str">
        <f t="array" ref="H519">IF($A519="", "", LET(bbgm_stat, INDEX(Players!$A518:$P518, MATCH(H$2, Players!$A$1:$P$1, 0)), perc_75, VLOOKUP(H$2, Percentiles!$A$45:$I$59, 6, FALSE), perc_90, VLOOKUP(H$2, Percentiles!$A$45:$I$59, 7, FALSE), perc_95, VLOOKUP(H$2, Percentiles!$A$45:$I$59, 8, FALSE), perc_85, perc_75 + (perc_90 - perc_75) * (2/3), converted_stat, '2K_Ratings'!H519, IF(bbgm_stat &gt;= perc_95, converted_stat * 3, IF(bbgm_stat &gt;= perc_90, converted_stat * 2, IF(bbgm_stat &gt;= perc_85, converted_stat * 1.5, converted_stat)))))</f>
        <v/>
      </c>
      <c r="I519" s="30" t="str">
        <f t="array" ref="I519">IF($A519="", "", LET(bbgm_stat, INDEX(Players!$A518:$P518, MATCH(I$2, Players!$A$1:$P$1, 0)), perc_75, VLOOKUP(I$2, Percentiles!$A$45:$I$59, 6, FALSE), perc_90, VLOOKUP(I$2, Percentiles!$A$45:$I$59, 7, FALSE), perc_95, VLOOKUP(I$2, Percentiles!$A$45:$I$59, 8, FALSE), perc_85, perc_75 + (perc_90 - perc_75) * (2/3), converted_stat, '2K_Ratings'!I519, IF(bbgm_stat &gt;= perc_95, converted_stat * 3, IF(bbgm_stat &gt;= perc_90, converted_stat * 2, IF(bbgm_stat &gt;= perc_85, converted_stat * 1.5, converted_stat)))))</f>
        <v/>
      </c>
      <c r="J519" s="30" t="str">
        <f t="array" ref="J519">IF($A519="", "", LET(bbgm_stat, INDEX(Players!$A518:$P518, MATCH(J$2, Players!$A$1:$P$1, 0)), perc_75, VLOOKUP(J$2, Percentiles!$A$45:$I$59, 6, FALSE), perc_90, VLOOKUP(J$2, Percentiles!$A$45:$I$59, 7, FALSE), perc_95, VLOOKUP(J$2, Percentiles!$A$45:$I$59, 8, FALSE), perc_85, perc_75 + (perc_90 - perc_75) * (2/3), converted_stat, '2K_Ratings'!J519, IF(bbgm_stat &gt;= perc_95, converted_stat * 3, IF(bbgm_stat &gt;= perc_90, converted_stat * 2, IF(bbgm_stat &gt;= perc_85, converted_stat * 1.5, converted_stat)))))</f>
        <v/>
      </c>
      <c r="K519" s="30" t="str">
        <f t="array" ref="K519">IF($A519="", "", LET(bbgm_stat, INDEX(Players!$A518:$P518, MATCH(K$2, Players!$A$1:$P$1, 0)), perc_75, VLOOKUP(K$2, Percentiles!$A$45:$I$59, 6, FALSE), perc_90, VLOOKUP(K$2, Percentiles!$A$45:$I$59, 7, FALSE), perc_95, VLOOKUP(K$2, Percentiles!$A$45:$I$59, 8, FALSE), perc_85, perc_75 + (perc_90 - perc_75) * (2/3), converted_stat, '2K_Ratings'!K519, IF(bbgm_stat &gt;= perc_95, converted_stat * 3, IF(bbgm_stat &gt;= perc_90, converted_stat * 2, IF(bbgm_stat &gt;= perc_85, converted_stat * 1.5, converted_stat)))))</f>
        <v/>
      </c>
      <c r="L519" s="30" t="str">
        <f t="array" ref="L519">IF($A519="", "", LET(bbgm_stat, INDEX(Players!$A518:$P518, MATCH(L$2, Players!$A$1:$P$1, 0)), perc_75, VLOOKUP(L$2, Percentiles!$A$45:$I$59, 6, FALSE), perc_90, VLOOKUP(L$2, Percentiles!$A$45:$I$59, 7, FALSE), perc_95, VLOOKUP(L$2, Percentiles!$A$45:$I$59, 8, FALSE), perc_85, perc_75 + (perc_90 - perc_75) * (2/3), converted_stat, '2K_Ratings'!L519, IF(bbgm_stat &gt;= perc_95, converted_stat * 3, IF(bbgm_stat &gt;= perc_90, converted_stat * 2, IF(bbgm_stat &gt;= perc_85, converted_stat * 1.5, converted_stat)))))</f>
        <v/>
      </c>
      <c r="M519" s="30" t="str">
        <f t="array" ref="M519">IF($A519="", "", LET(bbgm_stat, INDEX(Players!$A518:$P518, MATCH(M$2, Players!$A$1:$P$1, 0)), perc_75, VLOOKUP(M$2, Percentiles!$A$45:$I$59, 6, FALSE), perc_90, VLOOKUP(M$2, Percentiles!$A$45:$I$59, 7, FALSE), perc_95, VLOOKUP(M$2, Percentiles!$A$45:$I$59, 8, FALSE), perc_85, perc_75 + (perc_90 - perc_75) * (2/3), converted_stat, '2K_Ratings'!M519, IF(bbgm_stat &gt;= perc_95, converted_stat * 3, IF(bbgm_stat &gt;= perc_90, converted_stat * 2, IF(bbgm_stat &gt;= perc_85, converted_stat * 1.5, converted_stat)))))</f>
        <v/>
      </c>
      <c r="N519" s="30" t="str">
        <f t="array" ref="N519">IF($A519="", "", LET(bbgm_stat, INDEX(Players!$A518:$P518, MATCH(N$2, Players!$A$1:$P$1, 0)), perc_75, VLOOKUP(N$2, Percentiles!$A$45:$I$59, 6, FALSE), perc_90, VLOOKUP(N$2, Percentiles!$A$45:$I$59, 7, FALSE), perc_95, VLOOKUP(N$2, Percentiles!$A$45:$I$59, 8, FALSE), perc_85, perc_75 + (perc_90 - perc_75) * (2/3), converted_stat, '2K_Ratings'!N519, IF(bbgm_stat &gt;= perc_95, converted_stat * 3, IF(bbgm_stat &gt;= perc_90, converted_stat * 2, IF(bbgm_stat &gt;= perc_85, converted_stat * 1.5, converted_stat)))))</f>
        <v/>
      </c>
      <c r="O519" s="30" t="str">
        <f t="array" ref="O519">IF($A519="", "", LET(bbgm_stat, INDEX(Players!$A518:$P518, MATCH(O$2, Players!$A$1:$P$1, 0)), perc_75, VLOOKUP(O$2, Percentiles!$A$45:$I$59, 6, FALSE), perc_90, VLOOKUP(O$2, Percentiles!$A$45:$I$59, 7, FALSE), perc_95, VLOOKUP(O$2, Percentiles!$A$45:$I$59, 8, FALSE), perc_85, perc_75 + (perc_90 - perc_75) * (2/3), converted_stat, '2K_Ratings'!O519, IF(bbgm_stat &gt;= perc_95, converted_stat * 3, IF(bbgm_stat &gt;= perc_90, converted_stat * 2, IF(bbgm_stat &gt;= perc_85, converted_stat * 1.5, converted_stat)))))</f>
        <v/>
      </c>
      <c r="P519" s="30" t="str">
        <f t="array" ref="P519">IF($A519="", "", LET(bbgm_stat, INDEX(Players!$A518:$P518, MATCH(P$2, Players!$A$1:$P$1, 0)), perc_75, VLOOKUP(P$2, Percentiles!$A$45:$I$59, 6, FALSE), perc_90, VLOOKUP(P$2, Percentiles!$A$45:$I$59, 7, FALSE), perc_95, VLOOKUP(P$2, Percentiles!$A$45:$I$59, 8, FALSE), perc_85, perc_75 + (perc_90 - perc_75) * (2/3), converted_stat, '2K_Ratings'!P519, IF(bbgm_stat &gt;= perc_95, converted_stat * 3, IF(bbgm_stat &gt;= perc_90, converted_stat * 2, IF(bbgm_stat &gt;= perc_85, converted_stat * 1.5, converted_stat)))))</f>
        <v/>
      </c>
      <c r="Q519" s="30" t="str">
        <f t="array" ref="Q519">IF($A519="", "", LET(bbgm_stat, INDEX(Players!$A518:$P518, MATCH(Q$2, Players!$A$1:$P$1, 0)), perc_75, VLOOKUP(Q$2, Percentiles!$A$45:$I$59, 6, FALSE), perc_90, VLOOKUP(Q$2, Percentiles!$A$45:$I$59, 7, FALSE), perc_95, VLOOKUP(Q$2, Percentiles!$A$45:$I$59, 8, FALSE), perc_85, perc_75 + (perc_90 - perc_75) * (2/3), converted_stat, '2K_Ratings'!Q519, IF(bbgm_stat &gt;= perc_95, converted_stat * 3, IF(bbgm_stat &gt;= perc_90, converted_stat * 2, IF(bbgm_stat &gt;= perc_85, converted_stat * 1.5, converted_stat)))))</f>
        <v/>
      </c>
      <c r="R519" s="30" t="str">
        <f t="array" ref="R519">IF($A519="", "", LET(bbgm_stat, INDEX(Players!$A518:$P518, MATCH(R$2, Players!$A$1:$P$1, 0)), perc_75, VLOOKUP(R$2, Percentiles!$A$45:$I$59, 6, FALSE), perc_90, VLOOKUP(R$2, Percentiles!$A$45:$I$59, 7, FALSE), perc_95, VLOOKUP(R$2, Percentiles!$A$45:$I$59, 8, FALSE), perc_85, perc_75 + (perc_90 - perc_75) * (2/3), converted_stat, '2K_Ratings'!R519, IF(bbgm_stat &gt;= perc_95, converted_stat * 3, IF(bbgm_stat &gt;= perc_90, converted_stat * 2, IF(bbgm_stat &gt;= perc_85, converted_stat * 1.5, converted_stat)))))</f>
        <v/>
      </c>
      <c r="S519" s="30" t="str">
        <f t="array" ref="S519">IF($A519="", "", LET(bbgm_stat, INDEX(Players!$A518:$P518, MATCH(S$2, Players!$A$1:$P$1, 0)), perc_75, VLOOKUP(S$2, Percentiles!$A$45:$I$59, 6, FALSE), perc_90, VLOOKUP(S$2, Percentiles!$A$45:$I$59, 7, FALSE), perc_95, VLOOKUP(S$2, Percentiles!$A$45:$I$59, 8, FALSE), perc_85, perc_75 + (perc_90 - perc_75) * (2/3), converted_stat, '2K_Ratings'!S519, IF(bbgm_stat &gt;= perc_95, converted_stat * 3, IF(bbgm_stat &gt;= perc_90, converted_stat * 2, IF(bbgm_stat &gt;= perc_85, converted_stat * 1.5, converted_stat)))))</f>
        <v/>
      </c>
      <c r="T519" s="30" t="str">
        <f t="array" ref="T519">IF($A519="", "", LET(bbgm_stat, INDEX(Players!$A518:$P518, MATCH(T$2, Players!$A$1:$P$1, 0)), perc_75, VLOOKUP(T$2, Percentiles!$A$45:$I$59, 6, FALSE), perc_90, VLOOKUP(T$2, Percentiles!$A$45:$I$59, 7, FALSE), perc_95, VLOOKUP(T$2, Percentiles!$A$45:$I$59, 8, FALSE), perc_85, perc_75 + (perc_90 - perc_75) * (2/3), converted_stat, '2K_Ratings'!T519, IF(bbgm_stat &gt;= perc_95, converted_stat * 3, IF(bbgm_stat &gt;= perc_90, converted_stat * 2, IF(bbgm_stat &gt;= perc_85, converted_stat * 1.5, converted_stat)))))</f>
        <v/>
      </c>
      <c r="U519" s="30" t="str">
        <f t="array" ref="U519">IF($A519="", "", LET(bbgm_stat, INDEX(Players!$A518:$P518, MATCH(U$2, Players!$A$1:$P$1, 0)), perc_75, VLOOKUP(U$2, Percentiles!$A$45:$I$59, 6, FALSE), perc_90, VLOOKUP(U$2, Percentiles!$A$45:$I$59, 7, FALSE), perc_95, VLOOKUP(U$2, Percentiles!$A$45:$I$59, 8, FALSE), perc_85, perc_75 + (perc_90 - perc_75) * (2/3), converted_stat, '2K_Ratings'!U519, IF(bbgm_stat &gt;= perc_95, converted_stat * 3, IF(bbgm_stat &gt;= perc_90, converted_stat * 2, IF(bbgm_stat &gt;= perc_85, converted_stat * 1.5, converted_stat)))))</f>
        <v/>
      </c>
      <c r="V519" s="30" t="str">
        <f t="array" ref="V519">IF($A519="", "", LET(bbgm_stat, INDEX(Players!$A518:$P518, MATCH(V$2, Players!$A$1:$P$1, 0)), perc_75, VLOOKUP(V$2, Percentiles!$A$45:$I$59, 6, FALSE), perc_90, VLOOKUP(V$2, Percentiles!$A$45:$I$59, 7, FALSE), perc_95, VLOOKUP(V$2, Percentiles!$A$45:$I$59, 8, FALSE), perc_85, perc_75 + (perc_90 - perc_75) * (2/3), converted_stat, '2K_Ratings'!V519, IF(bbgm_stat &gt;= perc_95, converted_stat * 3, IF(bbgm_stat &gt;= perc_90, converted_stat * 2, IF(bbgm_stat &gt;= perc_85, converted_stat * 1.5, converted_stat)))))</f>
        <v/>
      </c>
      <c r="W519" s="30" t="str">
        <f t="array" ref="W519">IF($A519="", "", LET(bbgm_stat, INDEX(Players!$A518:$P518, MATCH(W$2, Players!$A$1:$P$1, 0)), perc_75, VLOOKUP(W$2, Percentiles!$A$45:$I$59, 6, FALSE), perc_90, VLOOKUP(W$2, Percentiles!$A$45:$I$59, 7, FALSE), perc_95, VLOOKUP(W$2, Percentiles!$A$45:$I$59, 8, FALSE), perc_85, perc_75 + (perc_90 - perc_75) * (2/3), converted_stat, '2K_Ratings'!W519, IF(bbgm_stat &gt;= perc_95, converted_stat * 3, IF(bbgm_stat &gt;= perc_90, converted_stat * 2, IF(bbgm_stat &gt;= perc_85, converted_stat * 1.5, converted_stat)))))</f>
        <v/>
      </c>
    </row>
    <row r="520">
      <c r="A520" s="30"/>
      <c r="B520" s="30" t="str">
        <f t="array" ref="B520">IF($A520="", "", LET(bbgm_stat, INDEX(Players!$A519:$P519, MATCH(B$2, Players!$A$1:$P$1, 0)), perc_75, VLOOKUP(B$2, Percentiles!$A$45:$I$59, 6, FALSE), perc_90, VLOOKUP(B$2, Percentiles!$A$45:$I$59, 7, FALSE), perc_95, VLOOKUP(B$2, Percentiles!$A$45:$I$59, 8, FALSE), perc_85, perc_75 + (perc_90 - perc_75) * (2/3), converted_stat, '2K_Ratings'!B520, IF(bbgm_stat &gt;= perc_95, converted_stat * 3, IF(bbgm_stat &gt;= perc_90, converted_stat * 2, IF(bbgm_stat &gt;= perc_85, converted_stat * 1.5, converted_stat)))))</f>
        <v/>
      </c>
      <c r="C520" s="30" t="str">
        <f t="array" ref="C520">IF($A520="", "", LET(bbgm_stat, INDEX(Players!$A519:$P519, MATCH(C$2, Players!$A$1:$P$1, 0)), perc_75, VLOOKUP(C$2, Percentiles!$A$45:$I$59, 6, FALSE), perc_90, VLOOKUP(C$2, Percentiles!$A$45:$I$59, 7, FALSE), perc_95, VLOOKUP(C$2, Percentiles!$A$45:$I$59, 8, FALSE), perc_85, perc_75 + (perc_90 - perc_75) * (2/3), converted_stat, '2K_Ratings'!C520, IF(bbgm_stat &gt;= perc_95, converted_stat * 3, IF(bbgm_stat &gt;= perc_90, converted_stat * 2, IF(bbgm_stat &gt;= perc_85, converted_stat * 1.5, converted_stat)))))</f>
        <v/>
      </c>
      <c r="D520" s="30" t="str">
        <f t="array" ref="D520">IF($A520="", "", LET(bbgm_stat, INDEX(Players!$A519:$P519, MATCH(D$2, Players!$A$1:$P$1, 0)), perc_75, VLOOKUP(D$2, Percentiles!$A$45:$I$59, 6, FALSE), perc_90, VLOOKUP(D$2, Percentiles!$A$45:$I$59, 7, FALSE), perc_95, VLOOKUP(D$2, Percentiles!$A$45:$I$59, 8, FALSE), perc_85, perc_75 + (perc_90 - perc_75) * (2/3), converted_stat, '2K_Ratings'!D520, IF(bbgm_stat &gt;= perc_95, converted_stat * 3, IF(bbgm_stat &gt;= perc_90, converted_stat * 2, IF(bbgm_stat &gt;= perc_85, converted_stat * 1.5, converted_stat)))))</f>
        <v/>
      </c>
      <c r="E520" s="30" t="str">
        <f t="array" ref="E520">IF($A520="", "", LET(bbgm_stat, INDEX(Players!$A519:$P519, MATCH(E$2, Players!$A$1:$P$1, 0)), perc_75, VLOOKUP(E$2, Percentiles!$A$45:$I$59, 6, FALSE), perc_90, VLOOKUP(E$2, Percentiles!$A$45:$I$59, 7, FALSE), perc_95, VLOOKUP(E$2, Percentiles!$A$45:$I$59, 8, FALSE), perc_85, perc_75 + (perc_90 - perc_75) * (2/3), converted_stat, '2K_Ratings'!E520, IF(bbgm_stat &gt;= perc_95, converted_stat * 3, IF(bbgm_stat &gt;= perc_90, converted_stat * 2, IF(bbgm_stat &gt;= perc_85, converted_stat * 1.5, converted_stat)))))</f>
        <v/>
      </c>
      <c r="F520" s="30" t="str">
        <f t="array" ref="F520">IF($A520="", "", LET(bbgm_stat, INDEX(Players!$A519:$P519, MATCH(F$2, Players!$A$1:$P$1, 0)), perc_75, VLOOKUP(F$2, Percentiles!$A$45:$I$59, 6, FALSE), perc_90, VLOOKUP(F$2, Percentiles!$A$45:$I$59, 7, FALSE), perc_95, VLOOKUP(F$2, Percentiles!$A$45:$I$59, 8, FALSE), perc_85, perc_75 + (perc_90 - perc_75) * (2/3), converted_stat, '2K_Ratings'!F520, IF(bbgm_stat &gt;= perc_95, converted_stat * 3, IF(bbgm_stat &gt;= perc_90, converted_stat * 2, IF(bbgm_stat &gt;= perc_85, converted_stat * 1.5, converted_stat)))))</f>
        <v/>
      </c>
      <c r="G520" s="30" t="str">
        <f t="array" ref="G520">IF($A520="", "", LET(bbgm_stat, INDEX(Players!$A519:$P519, MATCH(G$2, Players!$A$1:$P$1, 0)), perc_75, VLOOKUP(G$2, Percentiles!$A$45:$I$59, 6, FALSE), perc_90, VLOOKUP(G$2, Percentiles!$A$45:$I$59, 7, FALSE), perc_95, VLOOKUP(G$2, Percentiles!$A$45:$I$59, 8, FALSE), perc_85, perc_75 + (perc_90 - perc_75) * (2/3), converted_stat, '2K_Ratings'!G520, IF(bbgm_stat &gt;= perc_95, converted_stat * 3, IF(bbgm_stat &gt;= perc_90, converted_stat * 2, IF(bbgm_stat &gt;= perc_85, converted_stat * 1.5, converted_stat)))))</f>
        <v/>
      </c>
      <c r="H520" s="30" t="str">
        <f t="array" ref="H520">IF($A520="", "", LET(bbgm_stat, INDEX(Players!$A519:$P519, MATCH(H$2, Players!$A$1:$P$1, 0)), perc_75, VLOOKUP(H$2, Percentiles!$A$45:$I$59, 6, FALSE), perc_90, VLOOKUP(H$2, Percentiles!$A$45:$I$59, 7, FALSE), perc_95, VLOOKUP(H$2, Percentiles!$A$45:$I$59, 8, FALSE), perc_85, perc_75 + (perc_90 - perc_75) * (2/3), converted_stat, '2K_Ratings'!H520, IF(bbgm_stat &gt;= perc_95, converted_stat * 3, IF(bbgm_stat &gt;= perc_90, converted_stat * 2, IF(bbgm_stat &gt;= perc_85, converted_stat * 1.5, converted_stat)))))</f>
        <v/>
      </c>
      <c r="I520" s="30" t="str">
        <f t="array" ref="I520">IF($A520="", "", LET(bbgm_stat, INDEX(Players!$A519:$P519, MATCH(I$2, Players!$A$1:$P$1, 0)), perc_75, VLOOKUP(I$2, Percentiles!$A$45:$I$59, 6, FALSE), perc_90, VLOOKUP(I$2, Percentiles!$A$45:$I$59, 7, FALSE), perc_95, VLOOKUP(I$2, Percentiles!$A$45:$I$59, 8, FALSE), perc_85, perc_75 + (perc_90 - perc_75) * (2/3), converted_stat, '2K_Ratings'!I520, IF(bbgm_stat &gt;= perc_95, converted_stat * 3, IF(bbgm_stat &gt;= perc_90, converted_stat * 2, IF(bbgm_stat &gt;= perc_85, converted_stat * 1.5, converted_stat)))))</f>
        <v/>
      </c>
      <c r="J520" s="30" t="str">
        <f t="array" ref="J520">IF($A520="", "", LET(bbgm_stat, INDEX(Players!$A519:$P519, MATCH(J$2, Players!$A$1:$P$1, 0)), perc_75, VLOOKUP(J$2, Percentiles!$A$45:$I$59, 6, FALSE), perc_90, VLOOKUP(J$2, Percentiles!$A$45:$I$59, 7, FALSE), perc_95, VLOOKUP(J$2, Percentiles!$A$45:$I$59, 8, FALSE), perc_85, perc_75 + (perc_90 - perc_75) * (2/3), converted_stat, '2K_Ratings'!J520, IF(bbgm_stat &gt;= perc_95, converted_stat * 3, IF(bbgm_stat &gt;= perc_90, converted_stat * 2, IF(bbgm_stat &gt;= perc_85, converted_stat * 1.5, converted_stat)))))</f>
        <v/>
      </c>
      <c r="K520" s="30" t="str">
        <f t="array" ref="K520">IF($A520="", "", LET(bbgm_stat, INDEX(Players!$A519:$P519, MATCH(K$2, Players!$A$1:$P$1, 0)), perc_75, VLOOKUP(K$2, Percentiles!$A$45:$I$59, 6, FALSE), perc_90, VLOOKUP(K$2, Percentiles!$A$45:$I$59, 7, FALSE), perc_95, VLOOKUP(K$2, Percentiles!$A$45:$I$59, 8, FALSE), perc_85, perc_75 + (perc_90 - perc_75) * (2/3), converted_stat, '2K_Ratings'!K520, IF(bbgm_stat &gt;= perc_95, converted_stat * 3, IF(bbgm_stat &gt;= perc_90, converted_stat * 2, IF(bbgm_stat &gt;= perc_85, converted_stat * 1.5, converted_stat)))))</f>
        <v/>
      </c>
      <c r="L520" s="30" t="str">
        <f t="array" ref="L520">IF($A520="", "", LET(bbgm_stat, INDEX(Players!$A519:$P519, MATCH(L$2, Players!$A$1:$P$1, 0)), perc_75, VLOOKUP(L$2, Percentiles!$A$45:$I$59, 6, FALSE), perc_90, VLOOKUP(L$2, Percentiles!$A$45:$I$59, 7, FALSE), perc_95, VLOOKUP(L$2, Percentiles!$A$45:$I$59, 8, FALSE), perc_85, perc_75 + (perc_90 - perc_75) * (2/3), converted_stat, '2K_Ratings'!L520, IF(bbgm_stat &gt;= perc_95, converted_stat * 3, IF(bbgm_stat &gt;= perc_90, converted_stat * 2, IF(bbgm_stat &gt;= perc_85, converted_stat * 1.5, converted_stat)))))</f>
        <v/>
      </c>
      <c r="M520" s="30" t="str">
        <f t="array" ref="M520">IF($A520="", "", LET(bbgm_stat, INDEX(Players!$A519:$P519, MATCH(M$2, Players!$A$1:$P$1, 0)), perc_75, VLOOKUP(M$2, Percentiles!$A$45:$I$59, 6, FALSE), perc_90, VLOOKUP(M$2, Percentiles!$A$45:$I$59, 7, FALSE), perc_95, VLOOKUP(M$2, Percentiles!$A$45:$I$59, 8, FALSE), perc_85, perc_75 + (perc_90 - perc_75) * (2/3), converted_stat, '2K_Ratings'!M520, IF(bbgm_stat &gt;= perc_95, converted_stat * 3, IF(bbgm_stat &gt;= perc_90, converted_stat * 2, IF(bbgm_stat &gt;= perc_85, converted_stat * 1.5, converted_stat)))))</f>
        <v/>
      </c>
      <c r="N520" s="30" t="str">
        <f t="array" ref="N520">IF($A520="", "", LET(bbgm_stat, INDEX(Players!$A519:$P519, MATCH(N$2, Players!$A$1:$P$1, 0)), perc_75, VLOOKUP(N$2, Percentiles!$A$45:$I$59, 6, FALSE), perc_90, VLOOKUP(N$2, Percentiles!$A$45:$I$59, 7, FALSE), perc_95, VLOOKUP(N$2, Percentiles!$A$45:$I$59, 8, FALSE), perc_85, perc_75 + (perc_90 - perc_75) * (2/3), converted_stat, '2K_Ratings'!N520, IF(bbgm_stat &gt;= perc_95, converted_stat * 3, IF(bbgm_stat &gt;= perc_90, converted_stat * 2, IF(bbgm_stat &gt;= perc_85, converted_stat * 1.5, converted_stat)))))</f>
        <v/>
      </c>
      <c r="O520" s="30" t="str">
        <f t="array" ref="O520">IF($A520="", "", LET(bbgm_stat, INDEX(Players!$A519:$P519, MATCH(O$2, Players!$A$1:$P$1, 0)), perc_75, VLOOKUP(O$2, Percentiles!$A$45:$I$59, 6, FALSE), perc_90, VLOOKUP(O$2, Percentiles!$A$45:$I$59, 7, FALSE), perc_95, VLOOKUP(O$2, Percentiles!$A$45:$I$59, 8, FALSE), perc_85, perc_75 + (perc_90 - perc_75) * (2/3), converted_stat, '2K_Ratings'!O520, IF(bbgm_stat &gt;= perc_95, converted_stat * 3, IF(bbgm_stat &gt;= perc_90, converted_stat * 2, IF(bbgm_stat &gt;= perc_85, converted_stat * 1.5, converted_stat)))))</f>
        <v/>
      </c>
      <c r="P520" s="30" t="str">
        <f t="array" ref="P520">IF($A520="", "", LET(bbgm_stat, INDEX(Players!$A519:$P519, MATCH(P$2, Players!$A$1:$P$1, 0)), perc_75, VLOOKUP(P$2, Percentiles!$A$45:$I$59, 6, FALSE), perc_90, VLOOKUP(P$2, Percentiles!$A$45:$I$59, 7, FALSE), perc_95, VLOOKUP(P$2, Percentiles!$A$45:$I$59, 8, FALSE), perc_85, perc_75 + (perc_90 - perc_75) * (2/3), converted_stat, '2K_Ratings'!P520, IF(bbgm_stat &gt;= perc_95, converted_stat * 3, IF(bbgm_stat &gt;= perc_90, converted_stat * 2, IF(bbgm_stat &gt;= perc_85, converted_stat * 1.5, converted_stat)))))</f>
        <v/>
      </c>
      <c r="Q520" s="30" t="str">
        <f t="array" ref="Q520">IF($A520="", "", LET(bbgm_stat, INDEX(Players!$A519:$P519, MATCH(Q$2, Players!$A$1:$P$1, 0)), perc_75, VLOOKUP(Q$2, Percentiles!$A$45:$I$59, 6, FALSE), perc_90, VLOOKUP(Q$2, Percentiles!$A$45:$I$59, 7, FALSE), perc_95, VLOOKUP(Q$2, Percentiles!$A$45:$I$59, 8, FALSE), perc_85, perc_75 + (perc_90 - perc_75) * (2/3), converted_stat, '2K_Ratings'!Q520, IF(bbgm_stat &gt;= perc_95, converted_stat * 3, IF(bbgm_stat &gt;= perc_90, converted_stat * 2, IF(bbgm_stat &gt;= perc_85, converted_stat * 1.5, converted_stat)))))</f>
        <v/>
      </c>
      <c r="R520" s="30" t="str">
        <f t="array" ref="R520">IF($A520="", "", LET(bbgm_stat, INDEX(Players!$A519:$P519, MATCH(R$2, Players!$A$1:$P$1, 0)), perc_75, VLOOKUP(R$2, Percentiles!$A$45:$I$59, 6, FALSE), perc_90, VLOOKUP(R$2, Percentiles!$A$45:$I$59, 7, FALSE), perc_95, VLOOKUP(R$2, Percentiles!$A$45:$I$59, 8, FALSE), perc_85, perc_75 + (perc_90 - perc_75) * (2/3), converted_stat, '2K_Ratings'!R520, IF(bbgm_stat &gt;= perc_95, converted_stat * 3, IF(bbgm_stat &gt;= perc_90, converted_stat * 2, IF(bbgm_stat &gt;= perc_85, converted_stat * 1.5, converted_stat)))))</f>
        <v/>
      </c>
      <c r="S520" s="30" t="str">
        <f t="array" ref="S520">IF($A520="", "", LET(bbgm_stat, INDEX(Players!$A519:$P519, MATCH(S$2, Players!$A$1:$P$1, 0)), perc_75, VLOOKUP(S$2, Percentiles!$A$45:$I$59, 6, FALSE), perc_90, VLOOKUP(S$2, Percentiles!$A$45:$I$59, 7, FALSE), perc_95, VLOOKUP(S$2, Percentiles!$A$45:$I$59, 8, FALSE), perc_85, perc_75 + (perc_90 - perc_75) * (2/3), converted_stat, '2K_Ratings'!S520, IF(bbgm_stat &gt;= perc_95, converted_stat * 3, IF(bbgm_stat &gt;= perc_90, converted_stat * 2, IF(bbgm_stat &gt;= perc_85, converted_stat * 1.5, converted_stat)))))</f>
        <v/>
      </c>
      <c r="T520" s="30" t="str">
        <f t="array" ref="T520">IF($A520="", "", LET(bbgm_stat, INDEX(Players!$A519:$P519, MATCH(T$2, Players!$A$1:$P$1, 0)), perc_75, VLOOKUP(T$2, Percentiles!$A$45:$I$59, 6, FALSE), perc_90, VLOOKUP(T$2, Percentiles!$A$45:$I$59, 7, FALSE), perc_95, VLOOKUP(T$2, Percentiles!$A$45:$I$59, 8, FALSE), perc_85, perc_75 + (perc_90 - perc_75) * (2/3), converted_stat, '2K_Ratings'!T520, IF(bbgm_stat &gt;= perc_95, converted_stat * 3, IF(bbgm_stat &gt;= perc_90, converted_stat * 2, IF(bbgm_stat &gt;= perc_85, converted_stat * 1.5, converted_stat)))))</f>
        <v/>
      </c>
      <c r="U520" s="30" t="str">
        <f t="array" ref="U520">IF($A520="", "", LET(bbgm_stat, INDEX(Players!$A519:$P519, MATCH(U$2, Players!$A$1:$P$1, 0)), perc_75, VLOOKUP(U$2, Percentiles!$A$45:$I$59, 6, FALSE), perc_90, VLOOKUP(U$2, Percentiles!$A$45:$I$59, 7, FALSE), perc_95, VLOOKUP(U$2, Percentiles!$A$45:$I$59, 8, FALSE), perc_85, perc_75 + (perc_90 - perc_75) * (2/3), converted_stat, '2K_Ratings'!U520, IF(bbgm_stat &gt;= perc_95, converted_stat * 3, IF(bbgm_stat &gt;= perc_90, converted_stat * 2, IF(bbgm_stat &gt;= perc_85, converted_stat * 1.5, converted_stat)))))</f>
        <v/>
      </c>
      <c r="V520" s="30" t="str">
        <f t="array" ref="V520">IF($A520="", "", LET(bbgm_stat, INDEX(Players!$A519:$P519, MATCH(V$2, Players!$A$1:$P$1, 0)), perc_75, VLOOKUP(V$2, Percentiles!$A$45:$I$59, 6, FALSE), perc_90, VLOOKUP(V$2, Percentiles!$A$45:$I$59, 7, FALSE), perc_95, VLOOKUP(V$2, Percentiles!$A$45:$I$59, 8, FALSE), perc_85, perc_75 + (perc_90 - perc_75) * (2/3), converted_stat, '2K_Ratings'!V520, IF(bbgm_stat &gt;= perc_95, converted_stat * 3, IF(bbgm_stat &gt;= perc_90, converted_stat * 2, IF(bbgm_stat &gt;= perc_85, converted_stat * 1.5, converted_stat)))))</f>
        <v/>
      </c>
      <c r="W520" s="30" t="str">
        <f t="array" ref="W520">IF($A520="", "", LET(bbgm_stat, INDEX(Players!$A519:$P519, MATCH(W$2, Players!$A$1:$P$1, 0)), perc_75, VLOOKUP(W$2, Percentiles!$A$45:$I$59, 6, FALSE), perc_90, VLOOKUP(W$2, Percentiles!$A$45:$I$59, 7, FALSE), perc_95, VLOOKUP(W$2, Percentiles!$A$45:$I$59, 8, FALSE), perc_85, perc_75 + (perc_90 - perc_75) * (2/3), converted_stat, '2K_Ratings'!W520, IF(bbgm_stat &gt;= perc_95, converted_stat * 3, IF(bbgm_stat &gt;= perc_90, converted_stat * 2, IF(bbgm_stat &gt;= perc_85, converted_stat * 1.5, converted_stat)))))</f>
        <v/>
      </c>
    </row>
    <row r="521">
      <c r="A521" s="30"/>
      <c r="B521" s="30" t="str">
        <f t="array" ref="B521">IF($A521="", "", LET(bbgm_stat, INDEX(Players!$A520:$P520, MATCH(B$2, Players!$A$1:$P$1, 0)), perc_75, VLOOKUP(B$2, Percentiles!$A$45:$I$59, 6, FALSE), perc_90, VLOOKUP(B$2, Percentiles!$A$45:$I$59, 7, FALSE), perc_95, VLOOKUP(B$2, Percentiles!$A$45:$I$59, 8, FALSE), perc_85, perc_75 + (perc_90 - perc_75) * (2/3), converted_stat, '2K_Ratings'!B521, IF(bbgm_stat &gt;= perc_95, converted_stat * 3, IF(bbgm_stat &gt;= perc_90, converted_stat * 2, IF(bbgm_stat &gt;= perc_85, converted_stat * 1.5, converted_stat)))))</f>
        <v/>
      </c>
      <c r="C521" s="30" t="str">
        <f t="array" ref="C521">IF($A521="", "", LET(bbgm_stat, INDEX(Players!$A520:$P520, MATCH(C$2, Players!$A$1:$P$1, 0)), perc_75, VLOOKUP(C$2, Percentiles!$A$45:$I$59, 6, FALSE), perc_90, VLOOKUP(C$2, Percentiles!$A$45:$I$59, 7, FALSE), perc_95, VLOOKUP(C$2, Percentiles!$A$45:$I$59, 8, FALSE), perc_85, perc_75 + (perc_90 - perc_75) * (2/3), converted_stat, '2K_Ratings'!C521, IF(bbgm_stat &gt;= perc_95, converted_stat * 3, IF(bbgm_stat &gt;= perc_90, converted_stat * 2, IF(bbgm_stat &gt;= perc_85, converted_stat * 1.5, converted_stat)))))</f>
        <v/>
      </c>
      <c r="D521" s="30" t="str">
        <f t="array" ref="D521">IF($A521="", "", LET(bbgm_stat, INDEX(Players!$A520:$P520, MATCH(D$2, Players!$A$1:$P$1, 0)), perc_75, VLOOKUP(D$2, Percentiles!$A$45:$I$59, 6, FALSE), perc_90, VLOOKUP(D$2, Percentiles!$A$45:$I$59, 7, FALSE), perc_95, VLOOKUP(D$2, Percentiles!$A$45:$I$59, 8, FALSE), perc_85, perc_75 + (perc_90 - perc_75) * (2/3), converted_stat, '2K_Ratings'!D521, IF(bbgm_stat &gt;= perc_95, converted_stat * 3, IF(bbgm_stat &gt;= perc_90, converted_stat * 2, IF(bbgm_stat &gt;= perc_85, converted_stat * 1.5, converted_stat)))))</f>
        <v/>
      </c>
      <c r="E521" s="30" t="str">
        <f t="array" ref="E521">IF($A521="", "", LET(bbgm_stat, INDEX(Players!$A520:$P520, MATCH(E$2, Players!$A$1:$P$1, 0)), perc_75, VLOOKUP(E$2, Percentiles!$A$45:$I$59, 6, FALSE), perc_90, VLOOKUP(E$2, Percentiles!$A$45:$I$59, 7, FALSE), perc_95, VLOOKUP(E$2, Percentiles!$A$45:$I$59, 8, FALSE), perc_85, perc_75 + (perc_90 - perc_75) * (2/3), converted_stat, '2K_Ratings'!E521, IF(bbgm_stat &gt;= perc_95, converted_stat * 3, IF(bbgm_stat &gt;= perc_90, converted_stat * 2, IF(bbgm_stat &gt;= perc_85, converted_stat * 1.5, converted_stat)))))</f>
        <v/>
      </c>
      <c r="F521" s="30" t="str">
        <f t="array" ref="F521">IF($A521="", "", LET(bbgm_stat, INDEX(Players!$A520:$P520, MATCH(F$2, Players!$A$1:$P$1, 0)), perc_75, VLOOKUP(F$2, Percentiles!$A$45:$I$59, 6, FALSE), perc_90, VLOOKUP(F$2, Percentiles!$A$45:$I$59, 7, FALSE), perc_95, VLOOKUP(F$2, Percentiles!$A$45:$I$59, 8, FALSE), perc_85, perc_75 + (perc_90 - perc_75) * (2/3), converted_stat, '2K_Ratings'!F521, IF(bbgm_stat &gt;= perc_95, converted_stat * 3, IF(bbgm_stat &gt;= perc_90, converted_stat * 2, IF(bbgm_stat &gt;= perc_85, converted_stat * 1.5, converted_stat)))))</f>
        <v/>
      </c>
      <c r="G521" s="30" t="str">
        <f t="array" ref="G521">IF($A521="", "", LET(bbgm_stat, INDEX(Players!$A520:$P520, MATCH(G$2, Players!$A$1:$P$1, 0)), perc_75, VLOOKUP(G$2, Percentiles!$A$45:$I$59, 6, FALSE), perc_90, VLOOKUP(G$2, Percentiles!$A$45:$I$59, 7, FALSE), perc_95, VLOOKUP(G$2, Percentiles!$A$45:$I$59, 8, FALSE), perc_85, perc_75 + (perc_90 - perc_75) * (2/3), converted_stat, '2K_Ratings'!G521, IF(bbgm_stat &gt;= perc_95, converted_stat * 3, IF(bbgm_stat &gt;= perc_90, converted_stat * 2, IF(bbgm_stat &gt;= perc_85, converted_stat * 1.5, converted_stat)))))</f>
        <v/>
      </c>
      <c r="H521" s="30" t="str">
        <f t="array" ref="H521">IF($A521="", "", LET(bbgm_stat, INDEX(Players!$A520:$P520, MATCH(H$2, Players!$A$1:$P$1, 0)), perc_75, VLOOKUP(H$2, Percentiles!$A$45:$I$59, 6, FALSE), perc_90, VLOOKUP(H$2, Percentiles!$A$45:$I$59, 7, FALSE), perc_95, VLOOKUP(H$2, Percentiles!$A$45:$I$59, 8, FALSE), perc_85, perc_75 + (perc_90 - perc_75) * (2/3), converted_stat, '2K_Ratings'!H521, IF(bbgm_stat &gt;= perc_95, converted_stat * 3, IF(bbgm_stat &gt;= perc_90, converted_stat * 2, IF(bbgm_stat &gt;= perc_85, converted_stat * 1.5, converted_stat)))))</f>
        <v/>
      </c>
      <c r="I521" s="30" t="str">
        <f t="array" ref="I521">IF($A521="", "", LET(bbgm_stat, INDEX(Players!$A520:$P520, MATCH(I$2, Players!$A$1:$P$1, 0)), perc_75, VLOOKUP(I$2, Percentiles!$A$45:$I$59, 6, FALSE), perc_90, VLOOKUP(I$2, Percentiles!$A$45:$I$59, 7, FALSE), perc_95, VLOOKUP(I$2, Percentiles!$A$45:$I$59, 8, FALSE), perc_85, perc_75 + (perc_90 - perc_75) * (2/3), converted_stat, '2K_Ratings'!I521, IF(bbgm_stat &gt;= perc_95, converted_stat * 3, IF(bbgm_stat &gt;= perc_90, converted_stat * 2, IF(bbgm_stat &gt;= perc_85, converted_stat * 1.5, converted_stat)))))</f>
        <v/>
      </c>
      <c r="J521" s="30" t="str">
        <f t="array" ref="J521">IF($A521="", "", LET(bbgm_stat, INDEX(Players!$A520:$P520, MATCH(J$2, Players!$A$1:$P$1, 0)), perc_75, VLOOKUP(J$2, Percentiles!$A$45:$I$59, 6, FALSE), perc_90, VLOOKUP(J$2, Percentiles!$A$45:$I$59, 7, FALSE), perc_95, VLOOKUP(J$2, Percentiles!$A$45:$I$59, 8, FALSE), perc_85, perc_75 + (perc_90 - perc_75) * (2/3), converted_stat, '2K_Ratings'!J521, IF(bbgm_stat &gt;= perc_95, converted_stat * 3, IF(bbgm_stat &gt;= perc_90, converted_stat * 2, IF(bbgm_stat &gt;= perc_85, converted_stat * 1.5, converted_stat)))))</f>
        <v/>
      </c>
      <c r="K521" s="30" t="str">
        <f t="array" ref="K521">IF($A521="", "", LET(bbgm_stat, INDEX(Players!$A520:$P520, MATCH(K$2, Players!$A$1:$P$1, 0)), perc_75, VLOOKUP(K$2, Percentiles!$A$45:$I$59, 6, FALSE), perc_90, VLOOKUP(K$2, Percentiles!$A$45:$I$59, 7, FALSE), perc_95, VLOOKUP(K$2, Percentiles!$A$45:$I$59, 8, FALSE), perc_85, perc_75 + (perc_90 - perc_75) * (2/3), converted_stat, '2K_Ratings'!K521, IF(bbgm_stat &gt;= perc_95, converted_stat * 3, IF(bbgm_stat &gt;= perc_90, converted_stat * 2, IF(bbgm_stat &gt;= perc_85, converted_stat * 1.5, converted_stat)))))</f>
        <v/>
      </c>
      <c r="L521" s="30" t="str">
        <f t="array" ref="L521">IF($A521="", "", LET(bbgm_stat, INDEX(Players!$A520:$P520, MATCH(L$2, Players!$A$1:$P$1, 0)), perc_75, VLOOKUP(L$2, Percentiles!$A$45:$I$59, 6, FALSE), perc_90, VLOOKUP(L$2, Percentiles!$A$45:$I$59, 7, FALSE), perc_95, VLOOKUP(L$2, Percentiles!$A$45:$I$59, 8, FALSE), perc_85, perc_75 + (perc_90 - perc_75) * (2/3), converted_stat, '2K_Ratings'!L521, IF(bbgm_stat &gt;= perc_95, converted_stat * 3, IF(bbgm_stat &gt;= perc_90, converted_stat * 2, IF(bbgm_stat &gt;= perc_85, converted_stat * 1.5, converted_stat)))))</f>
        <v/>
      </c>
      <c r="M521" s="30" t="str">
        <f t="array" ref="M521">IF($A521="", "", LET(bbgm_stat, INDEX(Players!$A520:$P520, MATCH(M$2, Players!$A$1:$P$1, 0)), perc_75, VLOOKUP(M$2, Percentiles!$A$45:$I$59, 6, FALSE), perc_90, VLOOKUP(M$2, Percentiles!$A$45:$I$59, 7, FALSE), perc_95, VLOOKUP(M$2, Percentiles!$A$45:$I$59, 8, FALSE), perc_85, perc_75 + (perc_90 - perc_75) * (2/3), converted_stat, '2K_Ratings'!M521, IF(bbgm_stat &gt;= perc_95, converted_stat * 3, IF(bbgm_stat &gt;= perc_90, converted_stat * 2, IF(bbgm_stat &gt;= perc_85, converted_stat * 1.5, converted_stat)))))</f>
        <v/>
      </c>
      <c r="N521" s="30" t="str">
        <f t="array" ref="N521">IF($A521="", "", LET(bbgm_stat, INDEX(Players!$A520:$P520, MATCH(N$2, Players!$A$1:$P$1, 0)), perc_75, VLOOKUP(N$2, Percentiles!$A$45:$I$59, 6, FALSE), perc_90, VLOOKUP(N$2, Percentiles!$A$45:$I$59, 7, FALSE), perc_95, VLOOKUP(N$2, Percentiles!$A$45:$I$59, 8, FALSE), perc_85, perc_75 + (perc_90 - perc_75) * (2/3), converted_stat, '2K_Ratings'!N521, IF(bbgm_stat &gt;= perc_95, converted_stat * 3, IF(bbgm_stat &gt;= perc_90, converted_stat * 2, IF(bbgm_stat &gt;= perc_85, converted_stat * 1.5, converted_stat)))))</f>
        <v/>
      </c>
      <c r="O521" s="30" t="str">
        <f t="array" ref="O521">IF($A521="", "", LET(bbgm_stat, INDEX(Players!$A520:$P520, MATCH(O$2, Players!$A$1:$P$1, 0)), perc_75, VLOOKUP(O$2, Percentiles!$A$45:$I$59, 6, FALSE), perc_90, VLOOKUP(O$2, Percentiles!$A$45:$I$59, 7, FALSE), perc_95, VLOOKUP(O$2, Percentiles!$A$45:$I$59, 8, FALSE), perc_85, perc_75 + (perc_90 - perc_75) * (2/3), converted_stat, '2K_Ratings'!O521, IF(bbgm_stat &gt;= perc_95, converted_stat * 3, IF(bbgm_stat &gt;= perc_90, converted_stat * 2, IF(bbgm_stat &gt;= perc_85, converted_stat * 1.5, converted_stat)))))</f>
        <v/>
      </c>
      <c r="P521" s="30" t="str">
        <f t="array" ref="P521">IF($A521="", "", LET(bbgm_stat, INDEX(Players!$A520:$P520, MATCH(P$2, Players!$A$1:$P$1, 0)), perc_75, VLOOKUP(P$2, Percentiles!$A$45:$I$59, 6, FALSE), perc_90, VLOOKUP(P$2, Percentiles!$A$45:$I$59, 7, FALSE), perc_95, VLOOKUP(P$2, Percentiles!$A$45:$I$59, 8, FALSE), perc_85, perc_75 + (perc_90 - perc_75) * (2/3), converted_stat, '2K_Ratings'!P521, IF(bbgm_stat &gt;= perc_95, converted_stat * 3, IF(bbgm_stat &gt;= perc_90, converted_stat * 2, IF(bbgm_stat &gt;= perc_85, converted_stat * 1.5, converted_stat)))))</f>
        <v/>
      </c>
      <c r="Q521" s="30" t="str">
        <f t="array" ref="Q521">IF($A521="", "", LET(bbgm_stat, INDEX(Players!$A520:$P520, MATCH(Q$2, Players!$A$1:$P$1, 0)), perc_75, VLOOKUP(Q$2, Percentiles!$A$45:$I$59, 6, FALSE), perc_90, VLOOKUP(Q$2, Percentiles!$A$45:$I$59, 7, FALSE), perc_95, VLOOKUP(Q$2, Percentiles!$A$45:$I$59, 8, FALSE), perc_85, perc_75 + (perc_90 - perc_75) * (2/3), converted_stat, '2K_Ratings'!Q521, IF(bbgm_stat &gt;= perc_95, converted_stat * 3, IF(bbgm_stat &gt;= perc_90, converted_stat * 2, IF(bbgm_stat &gt;= perc_85, converted_stat * 1.5, converted_stat)))))</f>
        <v/>
      </c>
      <c r="R521" s="30" t="str">
        <f t="array" ref="R521">IF($A521="", "", LET(bbgm_stat, INDEX(Players!$A520:$P520, MATCH(R$2, Players!$A$1:$P$1, 0)), perc_75, VLOOKUP(R$2, Percentiles!$A$45:$I$59, 6, FALSE), perc_90, VLOOKUP(R$2, Percentiles!$A$45:$I$59, 7, FALSE), perc_95, VLOOKUP(R$2, Percentiles!$A$45:$I$59, 8, FALSE), perc_85, perc_75 + (perc_90 - perc_75) * (2/3), converted_stat, '2K_Ratings'!R521, IF(bbgm_stat &gt;= perc_95, converted_stat * 3, IF(bbgm_stat &gt;= perc_90, converted_stat * 2, IF(bbgm_stat &gt;= perc_85, converted_stat * 1.5, converted_stat)))))</f>
        <v/>
      </c>
      <c r="S521" s="30" t="str">
        <f t="array" ref="S521">IF($A521="", "", LET(bbgm_stat, INDEX(Players!$A520:$P520, MATCH(S$2, Players!$A$1:$P$1, 0)), perc_75, VLOOKUP(S$2, Percentiles!$A$45:$I$59, 6, FALSE), perc_90, VLOOKUP(S$2, Percentiles!$A$45:$I$59, 7, FALSE), perc_95, VLOOKUP(S$2, Percentiles!$A$45:$I$59, 8, FALSE), perc_85, perc_75 + (perc_90 - perc_75) * (2/3), converted_stat, '2K_Ratings'!S521, IF(bbgm_stat &gt;= perc_95, converted_stat * 3, IF(bbgm_stat &gt;= perc_90, converted_stat * 2, IF(bbgm_stat &gt;= perc_85, converted_stat * 1.5, converted_stat)))))</f>
        <v/>
      </c>
      <c r="T521" s="30" t="str">
        <f t="array" ref="T521">IF($A521="", "", LET(bbgm_stat, INDEX(Players!$A520:$P520, MATCH(T$2, Players!$A$1:$P$1, 0)), perc_75, VLOOKUP(T$2, Percentiles!$A$45:$I$59, 6, FALSE), perc_90, VLOOKUP(T$2, Percentiles!$A$45:$I$59, 7, FALSE), perc_95, VLOOKUP(T$2, Percentiles!$A$45:$I$59, 8, FALSE), perc_85, perc_75 + (perc_90 - perc_75) * (2/3), converted_stat, '2K_Ratings'!T521, IF(bbgm_stat &gt;= perc_95, converted_stat * 3, IF(bbgm_stat &gt;= perc_90, converted_stat * 2, IF(bbgm_stat &gt;= perc_85, converted_stat * 1.5, converted_stat)))))</f>
        <v/>
      </c>
      <c r="U521" s="30" t="str">
        <f t="array" ref="U521">IF($A521="", "", LET(bbgm_stat, INDEX(Players!$A520:$P520, MATCH(U$2, Players!$A$1:$P$1, 0)), perc_75, VLOOKUP(U$2, Percentiles!$A$45:$I$59, 6, FALSE), perc_90, VLOOKUP(U$2, Percentiles!$A$45:$I$59, 7, FALSE), perc_95, VLOOKUP(U$2, Percentiles!$A$45:$I$59, 8, FALSE), perc_85, perc_75 + (perc_90 - perc_75) * (2/3), converted_stat, '2K_Ratings'!U521, IF(bbgm_stat &gt;= perc_95, converted_stat * 3, IF(bbgm_stat &gt;= perc_90, converted_stat * 2, IF(bbgm_stat &gt;= perc_85, converted_stat * 1.5, converted_stat)))))</f>
        <v/>
      </c>
      <c r="V521" s="30" t="str">
        <f t="array" ref="V521">IF($A521="", "", LET(bbgm_stat, INDEX(Players!$A520:$P520, MATCH(V$2, Players!$A$1:$P$1, 0)), perc_75, VLOOKUP(V$2, Percentiles!$A$45:$I$59, 6, FALSE), perc_90, VLOOKUP(V$2, Percentiles!$A$45:$I$59, 7, FALSE), perc_95, VLOOKUP(V$2, Percentiles!$A$45:$I$59, 8, FALSE), perc_85, perc_75 + (perc_90 - perc_75) * (2/3), converted_stat, '2K_Ratings'!V521, IF(bbgm_stat &gt;= perc_95, converted_stat * 3, IF(bbgm_stat &gt;= perc_90, converted_stat * 2, IF(bbgm_stat &gt;= perc_85, converted_stat * 1.5, converted_stat)))))</f>
        <v/>
      </c>
      <c r="W521" s="30" t="str">
        <f t="array" ref="W521">IF($A521="", "", LET(bbgm_stat, INDEX(Players!$A520:$P520, MATCH(W$2, Players!$A$1:$P$1, 0)), perc_75, VLOOKUP(W$2, Percentiles!$A$45:$I$59, 6, FALSE), perc_90, VLOOKUP(W$2, Percentiles!$A$45:$I$59, 7, FALSE), perc_95, VLOOKUP(W$2, Percentiles!$A$45:$I$59, 8, FALSE), perc_85, perc_75 + (perc_90 - perc_75) * (2/3), converted_stat, '2K_Ratings'!W521, IF(bbgm_stat &gt;= perc_95, converted_stat * 3, IF(bbgm_stat &gt;= perc_90, converted_stat * 2, IF(bbgm_stat &gt;= perc_85, converted_stat * 1.5, converted_stat)))))</f>
        <v/>
      </c>
    </row>
    <row r="522">
      <c r="A522" s="30"/>
      <c r="B522" s="30" t="str">
        <f t="array" ref="B522">IF($A522="", "", LET(bbgm_stat, INDEX(Players!$A521:$P521, MATCH(B$2, Players!$A$1:$P$1, 0)), perc_75, VLOOKUP(B$2, Percentiles!$A$45:$I$59, 6, FALSE), perc_90, VLOOKUP(B$2, Percentiles!$A$45:$I$59, 7, FALSE), perc_95, VLOOKUP(B$2, Percentiles!$A$45:$I$59, 8, FALSE), perc_85, perc_75 + (perc_90 - perc_75) * (2/3), converted_stat, '2K_Ratings'!B522, IF(bbgm_stat &gt;= perc_95, converted_stat * 3, IF(bbgm_stat &gt;= perc_90, converted_stat * 2, IF(bbgm_stat &gt;= perc_85, converted_stat * 1.5, converted_stat)))))</f>
        <v/>
      </c>
      <c r="C522" s="30" t="str">
        <f t="array" ref="C522">IF($A522="", "", LET(bbgm_stat, INDEX(Players!$A521:$P521, MATCH(C$2, Players!$A$1:$P$1, 0)), perc_75, VLOOKUP(C$2, Percentiles!$A$45:$I$59, 6, FALSE), perc_90, VLOOKUP(C$2, Percentiles!$A$45:$I$59, 7, FALSE), perc_95, VLOOKUP(C$2, Percentiles!$A$45:$I$59, 8, FALSE), perc_85, perc_75 + (perc_90 - perc_75) * (2/3), converted_stat, '2K_Ratings'!C522, IF(bbgm_stat &gt;= perc_95, converted_stat * 3, IF(bbgm_stat &gt;= perc_90, converted_stat * 2, IF(bbgm_stat &gt;= perc_85, converted_stat * 1.5, converted_stat)))))</f>
        <v/>
      </c>
      <c r="D522" s="30" t="str">
        <f t="array" ref="D522">IF($A522="", "", LET(bbgm_stat, INDEX(Players!$A521:$P521, MATCH(D$2, Players!$A$1:$P$1, 0)), perc_75, VLOOKUP(D$2, Percentiles!$A$45:$I$59, 6, FALSE), perc_90, VLOOKUP(D$2, Percentiles!$A$45:$I$59, 7, FALSE), perc_95, VLOOKUP(D$2, Percentiles!$A$45:$I$59, 8, FALSE), perc_85, perc_75 + (perc_90 - perc_75) * (2/3), converted_stat, '2K_Ratings'!D522, IF(bbgm_stat &gt;= perc_95, converted_stat * 3, IF(bbgm_stat &gt;= perc_90, converted_stat * 2, IF(bbgm_stat &gt;= perc_85, converted_stat * 1.5, converted_stat)))))</f>
        <v/>
      </c>
      <c r="E522" s="30" t="str">
        <f t="array" ref="E522">IF($A522="", "", LET(bbgm_stat, INDEX(Players!$A521:$P521, MATCH(E$2, Players!$A$1:$P$1, 0)), perc_75, VLOOKUP(E$2, Percentiles!$A$45:$I$59, 6, FALSE), perc_90, VLOOKUP(E$2, Percentiles!$A$45:$I$59, 7, FALSE), perc_95, VLOOKUP(E$2, Percentiles!$A$45:$I$59, 8, FALSE), perc_85, perc_75 + (perc_90 - perc_75) * (2/3), converted_stat, '2K_Ratings'!E522, IF(bbgm_stat &gt;= perc_95, converted_stat * 3, IF(bbgm_stat &gt;= perc_90, converted_stat * 2, IF(bbgm_stat &gt;= perc_85, converted_stat * 1.5, converted_stat)))))</f>
        <v/>
      </c>
      <c r="F522" s="30" t="str">
        <f t="array" ref="F522">IF($A522="", "", LET(bbgm_stat, INDEX(Players!$A521:$P521, MATCH(F$2, Players!$A$1:$P$1, 0)), perc_75, VLOOKUP(F$2, Percentiles!$A$45:$I$59, 6, FALSE), perc_90, VLOOKUP(F$2, Percentiles!$A$45:$I$59, 7, FALSE), perc_95, VLOOKUP(F$2, Percentiles!$A$45:$I$59, 8, FALSE), perc_85, perc_75 + (perc_90 - perc_75) * (2/3), converted_stat, '2K_Ratings'!F522, IF(bbgm_stat &gt;= perc_95, converted_stat * 3, IF(bbgm_stat &gt;= perc_90, converted_stat * 2, IF(bbgm_stat &gt;= perc_85, converted_stat * 1.5, converted_stat)))))</f>
        <v/>
      </c>
      <c r="G522" s="30" t="str">
        <f t="array" ref="G522">IF($A522="", "", LET(bbgm_stat, INDEX(Players!$A521:$P521, MATCH(G$2, Players!$A$1:$P$1, 0)), perc_75, VLOOKUP(G$2, Percentiles!$A$45:$I$59, 6, FALSE), perc_90, VLOOKUP(G$2, Percentiles!$A$45:$I$59, 7, FALSE), perc_95, VLOOKUP(G$2, Percentiles!$A$45:$I$59, 8, FALSE), perc_85, perc_75 + (perc_90 - perc_75) * (2/3), converted_stat, '2K_Ratings'!G522, IF(bbgm_stat &gt;= perc_95, converted_stat * 3, IF(bbgm_stat &gt;= perc_90, converted_stat * 2, IF(bbgm_stat &gt;= perc_85, converted_stat * 1.5, converted_stat)))))</f>
        <v/>
      </c>
      <c r="H522" s="30" t="str">
        <f t="array" ref="H522">IF($A522="", "", LET(bbgm_stat, INDEX(Players!$A521:$P521, MATCH(H$2, Players!$A$1:$P$1, 0)), perc_75, VLOOKUP(H$2, Percentiles!$A$45:$I$59, 6, FALSE), perc_90, VLOOKUP(H$2, Percentiles!$A$45:$I$59, 7, FALSE), perc_95, VLOOKUP(H$2, Percentiles!$A$45:$I$59, 8, FALSE), perc_85, perc_75 + (perc_90 - perc_75) * (2/3), converted_stat, '2K_Ratings'!H522, IF(bbgm_stat &gt;= perc_95, converted_stat * 3, IF(bbgm_stat &gt;= perc_90, converted_stat * 2, IF(bbgm_stat &gt;= perc_85, converted_stat * 1.5, converted_stat)))))</f>
        <v/>
      </c>
      <c r="I522" s="30" t="str">
        <f t="array" ref="I522">IF($A522="", "", LET(bbgm_stat, INDEX(Players!$A521:$P521, MATCH(I$2, Players!$A$1:$P$1, 0)), perc_75, VLOOKUP(I$2, Percentiles!$A$45:$I$59, 6, FALSE), perc_90, VLOOKUP(I$2, Percentiles!$A$45:$I$59, 7, FALSE), perc_95, VLOOKUP(I$2, Percentiles!$A$45:$I$59, 8, FALSE), perc_85, perc_75 + (perc_90 - perc_75) * (2/3), converted_stat, '2K_Ratings'!I522, IF(bbgm_stat &gt;= perc_95, converted_stat * 3, IF(bbgm_stat &gt;= perc_90, converted_stat * 2, IF(bbgm_stat &gt;= perc_85, converted_stat * 1.5, converted_stat)))))</f>
        <v/>
      </c>
      <c r="J522" s="30" t="str">
        <f t="array" ref="J522">IF($A522="", "", LET(bbgm_stat, INDEX(Players!$A521:$P521, MATCH(J$2, Players!$A$1:$P$1, 0)), perc_75, VLOOKUP(J$2, Percentiles!$A$45:$I$59, 6, FALSE), perc_90, VLOOKUP(J$2, Percentiles!$A$45:$I$59, 7, FALSE), perc_95, VLOOKUP(J$2, Percentiles!$A$45:$I$59, 8, FALSE), perc_85, perc_75 + (perc_90 - perc_75) * (2/3), converted_stat, '2K_Ratings'!J522, IF(bbgm_stat &gt;= perc_95, converted_stat * 3, IF(bbgm_stat &gt;= perc_90, converted_stat * 2, IF(bbgm_stat &gt;= perc_85, converted_stat * 1.5, converted_stat)))))</f>
        <v/>
      </c>
      <c r="K522" s="30" t="str">
        <f t="array" ref="K522">IF($A522="", "", LET(bbgm_stat, INDEX(Players!$A521:$P521, MATCH(K$2, Players!$A$1:$P$1, 0)), perc_75, VLOOKUP(K$2, Percentiles!$A$45:$I$59, 6, FALSE), perc_90, VLOOKUP(K$2, Percentiles!$A$45:$I$59, 7, FALSE), perc_95, VLOOKUP(K$2, Percentiles!$A$45:$I$59, 8, FALSE), perc_85, perc_75 + (perc_90 - perc_75) * (2/3), converted_stat, '2K_Ratings'!K522, IF(bbgm_stat &gt;= perc_95, converted_stat * 3, IF(bbgm_stat &gt;= perc_90, converted_stat * 2, IF(bbgm_stat &gt;= perc_85, converted_stat * 1.5, converted_stat)))))</f>
        <v/>
      </c>
      <c r="L522" s="30" t="str">
        <f t="array" ref="L522">IF($A522="", "", LET(bbgm_stat, INDEX(Players!$A521:$P521, MATCH(L$2, Players!$A$1:$P$1, 0)), perc_75, VLOOKUP(L$2, Percentiles!$A$45:$I$59, 6, FALSE), perc_90, VLOOKUP(L$2, Percentiles!$A$45:$I$59, 7, FALSE), perc_95, VLOOKUP(L$2, Percentiles!$A$45:$I$59, 8, FALSE), perc_85, perc_75 + (perc_90 - perc_75) * (2/3), converted_stat, '2K_Ratings'!L522, IF(bbgm_stat &gt;= perc_95, converted_stat * 3, IF(bbgm_stat &gt;= perc_90, converted_stat * 2, IF(bbgm_stat &gt;= perc_85, converted_stat * 1.5, converted_stat)))))</f>
        <v/>
      </c>
      <c r="M522" s="30" t="str">
        <f t="array" ref="M522">IF($A522="", "", LET(bbgm_stat, INDEX(Players!$A521:$P521, MATCH(M$2, Players!$A$1:$P$1, 0)), perc_75, VLOOKUP(M$2, Percentiles!$A$45:$I$59, 6, FALSE), perc_90, VLOOKUP(M$2, Percentiles!$A$45:$I$59, 7, FALSE), perc_95, VLOOKUP(M$2, Percentiles!$A$45:$I$59, 8, FALSE), perc_85, perc_75 + (perc_90 - perc_75) * (2/3), converted_stat, '2K_Ratings'!M522, IF(bbgm_stat &gt;= perc_95, converted_stat * 3, IF(bbgm_stat &gt;= perc_90, converted_stat * 2, IF(bbgm_stat &gt;= perc_85, converted_stat * 1.5, converted_stat)))))</f>
        <v/>
      </c>
      <c r="N522" s="30" t="str">
        <f t="array" ref="N522">IF($A522="", "", LET(bbgm_stat, INDEX(Players!$A521:$P521, MATCH(N$2, Players!$A$1:$P$1, 0)), perc_75, VLOOKUP(N$2, Percentiles!$A$45:$I$59, 6, FALSE), perc_90, VLOOKUP(N$2, Percentiles!$A$45:$I$59, 7, FALSE), perc_95, VLOOKUP(N$2, Percentiles!$A$45:$I$59, 8, FALSE), perc_85, perc_75 + (perc_90 - perc_75) * (2/3), converted_stat, '2K_Ratings'!N522, IF(bbgm_stat &gt;= perc_95, converted_stat * 3, IF(bbgm_stat &gt;= perc_90, converted_stat * 2, IF(bbgm_stat &gt;= perc_85, converted_stat * 1.5, converted_stat)))))</f>
        <v/>
      </c>
      <c r="O522" s="30" t="str">
        <f t="array" ref="O522">IF($A522="", "", LET(bbgm_stat, INDEX(Players!$A521:$P521, MATCH(O$2, Players!$A$1:$P$1, 0)), perc_75, VLOOKUP(O$2, Percentiles!$A$45:$I$59, 6, FALSE), perc_90, VLOOKUP(O$2, Percentiles!$A$45:$I$59, 7, FALSE), perc_95, VLOOKUP(O$2, Percentiles!$A$45:$I$59, 8, FALSE), perc_85, perc_75 + (perc_90 - perc_75) * (2/3), converted_stat, '2K_Ratings'!O522, IF(bbgm_stat &gt;= perc_95, converted_stat * 3, IF(bbgm_stat &gt;= perc_90, converted_stat * 2, IF(bbgm_stat &gt;= perc_85, converted_stat * 1.5, converted_stat)))))</f>
        <v/>
      </c>
      <c r="P522" s="30" t="str">
        <f t="array" ref="P522">IF($A522="", "", LET(bbgm_stat, INDEX(Players!$A521:$P521, MATCH(P$2, Players!$A$1:$P$1, 0)), perc_75, VLOOKUP(P$2, Percentiles!$A$45:$I$59, 6, FALSE), perc_90, VLOOKUP(P$2, Percentiles!$A$45:$I$59, 7, FALSE), perc_95, VLOOKUP(P$2, Percentiles!$A$45:$I$59, 8, FALSE), perc_85, perc_75 + (perc_90 - perc_75) * (2/3), converted_stat, '2K_Ratings'!P522, IF(bbgm_stat &gt;= perc_95, converted_stat * 3, IF(bbgm_stat &gt;= perc_90, converted_stat * 2, IF(bbgm_stat &gt;= perc_85, converted_stat * 1.5, converted_stat)))))</f>
        <v/>
      </c>
      <c r="Q522" s="30" t="str">
        <f t="array" ref="Q522">IF($A522="", "", LET(bbgm_stat, INDEX(Players!$A521:$P521, MATCH(Q$2, Players!$A$1:$P$1, 0)), perc_75, VLOOKUP(Q$2, Percentiles!$A$45:$I$59, 6, FALSE), perc_90, VLOOKUP(Q$2, Percentiles!$A$45:$I$59, 7, FALSE), perc_95, VLOOKUP(Q$2, Percentiles!$A$45:$I$59, 8, FALSE), perc_85, perc_75 + (perc_90 - perc_75) * (2/3), converted_stat, '2K_Ratings'!Q522, IF(bbgm_stat &gt;= perc_95, converted_stat * 3, IF(bbgm_stat &gt;= perc_90, converted_stat * 2, IF(bbgm_stat &gt;= perc_85, converted_stat * 1.5, converted_stat)))))</f>
        <v/>
      </c>
      <c r="R522" s="30" t="str">
        <f t="array" ref="R522">IF($A522="", "", LET(bbgm_stat, INDEX(Players!$A521:$P521, MATCH(R$2, Players!$A$1:$P$1, 0)), perc_75, VLOOKUP(R$2, Percentiles!$A$45:$I$59, 6, FALSE), perc_90, VLOOKUP(R$2, Percentiles!$A$45:$I$59, 7, FALSE), perc_95, VLOOKUP(R$2, Percentiles!$A$45:$I$59, 8, FALSE), perc_85, perc_75 + (perc_90 - perc_75) * (2/3), converted_stat, '2K_Ratings'!R522, IF(bbgm_stat &gt;= perc_95, converted_stat * 3, IF(bbgm_stat &gt;= perc_90, converted_stat * 2, IF(bbgm_stat &gt;= perc_85, converted_stat * 1.5, converted_stat)))))</f>
        <v/>
      </c>
      <c r="S522" s="30" t="str">
        <f t="array" ref="S522">IF($A522="", "", LET(bbgm_stat, INDEX(Players!$A521:$P521, MATCH(S$2, Players!$A$1:$P$1, 0)), perc_75, VLOOKUP(S$2, Percentiles!$A$45:$I$59, 6, FALSE), perc_90, VLOOKUP(S$2, Percentiles!$A$45:$I$59, 7, FALSE), perc_95, VLOOKUP(S$2, Percentiles!$A$45:$I$59, 8, FALSE), perc_85, perc_75 + (perc_90 - perc_75) * (2/3), converted_stat, '2K_Ratings'!S522, IF(bbgm_stat &gt;= perc_95, converted_stat * 3, IF(bbgm_stat &gt;= perc_90, converted_stat * 2, IF(bbgm_stat &gt;= perc_85, converted_stat * 1.5, converted_stat)))))</f>
        <v/>
      </c>
      <c r="T522" s="30" t="str">
        <f t="array" ref="T522">IF($A522="", "", LET(bbgm_stat, INDEX(Players!$A521:$P521, MATCH(T$2, Players!$A$1:$P$1, 0)), perc_75, VLOOKUP(T$2, Percentiles!$A$45:$I$59, 6, FALSE), perc_90, VLOOKUP(T$2, Percentiles!$A$45:$I$59, 7, FALSE), perc_95, VLOOKUP(T$2, Percentiles!$A$45:$I$59, 8, FALSE), perc_85, perc_75 + (perc_90 - perc_75) * (2/3), converted_stat, '2K_Ratings'!T522, IF(bbgm_stat &gt;= perc_95, converted_stat * 3, IF(bbgm_stat &gt;= perc_90, converted_stat * 2, IF(bbgm_stat &gt;= perc_85, converted_stat * 1.5, converted_stat)))))</f>
        <v/>
      </c>
      <c r="U522" s="30" t="str">
        <f t="array" ref="U522">IF($A522="", "", LET(bbgm_stat, INDEX(Players!$A521:$P521, MATCH(U$2, Players!$A$1:$P$1, 0)), perc_75, VLOOKUP(U$2, Percentiles!$A$45:$I$59, 6, FALSE), perc_90, VLOOKUP(U$2, Percentiles!$A$45:$I$59, 7, FALSE), perc_95, VLOOKUP(U$2, Percentiles!$A$45:$I$59, 8, FALSE), perc_85, perc_75 + (perc_90 - perc_75) * (2/3), converted_stat, '2K_Ratings'!U522, IF(bbgm_stat &gt;= perc_95, converted_stat * 3, IF(bbgm_stat &gt;= perc_90, converted_stat * 2, IF(bbgm_stat &gt;= perc_85, converted_stat * 1.5, converted_stat)))))</f>
        <v/>
      </c>
      <c r="V522" s="30" t="str">
        <f t="array" ref="V522">IF($A522="", "", LET(bbgm_stat, INDEX(Players!$A521:$P521, MATCH(V$2, Players!$A$1:$P$1, 0)), perc_75, VLOOKUP(V$2, Percentiles!$A$45:$I$59, 6, FALSE), perc_90, VLOOKUP(V$2, Percentiles!$A$45:$I$59, 7, FALSE), perc_95, VLOOKUP(V$2, Percentiles!$A$45:$I$59, 8, FALSE), perc_85, perc_75 + (perc_90 - perc_75) * (2/3), converted_stat, '2K_Ratings'!V522, IF(bbgm_stat &gt;= perc_95, converted_stat * 3, IF(bbgm_stat &gt;= perc_90, converted_stat * 2, IF(bbgm_stat &gt;= perc_85, converted_stat * 1.5, converted_stat)))))</f>
        <v/>
      </c>
      <c r="W522" s="30" t="str">
        <f t="array" ref="W522">IF($A522="", "", LET(bbgm_stat, INDEX(Players!$A521:$P521, MATCH(W$2, Players!$A$1:$P$1, 0)), perc_75, VLOOKUP(W$2, Percentiles!$A$45:$I$59, 6, FALSE), perc_90, VLOOKUP(W$2, Percentiles!$A$45:$I$59, 7, FALSE), perc_95, VLOOKUP(W$2, Percentiles!$A$45:$I$59, 8, FALSE), perc_85, perc_75 + (perc_90 - perc_75) * (2/3), converted_stat, '2K_Ratings'!W522, IF(bbgm_stat &gt;= perc_95, converted_stat * 3, IF(bbgm_stat &gt;= perc_90, converted_stat * 2, IF(bbgm_stat &gt;= perc_85, converted_stat * 1.5, converted_stat)))))</f>
        <v/>
      </c>
    </row>
    <row r="523">
      <c r="A523" s="30"/>
      <c r="B523" s="30" t="str">
        <f t="array" ref="B523">IF($A523="", "", LET(bbgm_stat, INDEX(Players!$A522:$P522, MATCH(B$2, Players!$A$1:$P$1, 0)), perc_75, VLOOKUP(B$2, Percentiles!$A$45:$I$59, 6, FALSE), perc_90, VLOOKUP(B$2, Percentiles!$A$45:$I$59, 7, FALSE), perc_95, VLOOKUP(B$2, Percentiles!$A$45:$I$59, 8, FALSE), perc_85, perc_75 + (perc_90 - perc_75) * (2/3), converted_stat, '2K_Ratings'!B523, IF(bbgm_stat &gt;= perc_95, converted_stat * 3, IF(bbgm_stat &gt;= perc_90, converted_stat * 2, IF(bbgm_stat &gt;= perc_85, converted_stat * 1.5, converted_stat)))))</f>
        <v/>
      </c>
      <c r="C523" s="30" t="str">
        <f t="array" ref="C523">IF($A523="", "", LET(bbgm_stat, INDEX(Players!$A522:$P522, MATCH(C$2, Players!$A$1:$P$1, 0)), perc_75, VLOOKUP(C$2, Percentiles!$A$45:$I$59, 6, FALSE), perc_90, VLOOKUP(C$2, Percentiles!$A$45:$I$59, 7, FALSE), perc_95, VLOOKUP(C$2, Percentiles!$A$45:$I$59, 8, FALSE), perc_85, perc_75 + (perc_90 - perc_75) * (2/3), converted_stat, '2K_Ratings'!C523, IF(bbgm_stat &gt;= perc_95, converted_stat * 3, IF(bbgm_stat &gt;= perc_90, converted_stat * 2, IF(bbgm_stat &gt;= perc_85, converted_stat * 1.5, converted_stat)))))</f>
        <v/>
      </c>
      <c r="D523" s="30" t="str">
        <f t="array" ref="D523">IF($A523="", "", LET(bbgm_stat, INDEX(Players!$A522:$P522, MATCH(D$2, Players!$A$1:$P$1, 0)), perc_75, VLOOKUP(D$2, Percentiles!$A$45:$I$59, 6, FALSE), perc_90, VLOOKUP(D$2, Percentiles!$A$45:$I$59, 7, FALSE), perc_95, VLOOKUP(D$2, Percentiles!$A$45:$I$59, 8, FALSE), perc_85, perc_75 + (perc_90 - perc_75) * (2/3), converted_stat, '2K_Ratings'!D523, IF(bbgm_stat &gt;= perc_95, converted_stat * 3, IF(bbgm_stat &gt;= perc_90, converted_stat * 2, IF(bbgm_stat &gt;= perc_85, converted_stat * 1.5, converted_stat)))))</f>
        <v/>
      </c>
      <c r="E523" s="30" t="str">
        <f t="array" ref="E523">IF($A523="", "", LET(bbgm_stat, INDEX(Players!$A522:$P522, MATCH(E$2, Players!$A$1:$P$1, 0)), perc_75, VLOOKUP(E$2, Percentiles!$A$45:$I$59, 6, FALSE), perc_90, VLOOKUP(E$2, Percentiles!$A$45:$I$59, 7, FALSE), perc_95, VLOOKUP(E$2, Percentiles!$A$45:$I$59, 8, FALSE), perc_85, perc_75 + (perc_90 - perc_75) * (2/3), converted_stat, '2K_Ratings'!E523, IF(bbgm_stat &gt;= perc_95, converted_stat * 3, IF(bbgm_stat &gt;= perc_90, converted_stat * 2, IF(bbgm_stat &gt;= perc_85, converted_stat * 1.5, converted_stat)))))</f>
        <v/>
      </c>
      <c r="F523" s="30" t="str">
        <f t="array" ref="F523">IF($A523="", "", LET(bbgm_stat, INDEX(Players!$A522:$P522, MATCH(F$2, Players!$A$1:$P$1, 0)), perc_75, VLOOKUP(F$2, Percentiles!$A$45:$I$59, 6, FALSE), perc_90, VLOOKUP(F$2, Percentiles!$A$45:$I$59, 7, FALSE), perc_95, VLOOKUP(F$2, Percentiles!$A$45:$I$59, 8, FALSE), perc_85, perc_75 + (perc_90 - perc_75) * (2/3), converted_stat, '2K_Ratings'!F523, IF(bbgm_stat &gt;= perc_95, converted_stat * 3, IF(bbgm_stat &gt;= perc_90, converted_stat * 2, IF(bbgm_stat &gt;= perc_85, converted_stat * 1.5, converted_stat)))))</f>
        <v/>
      </c>
      <c r="G523" s="30" t="str">
        <f t="array" ref="G523">IF($A523="", "", LET(bbgm_stat, INDEX(Players!$A522:$P522, MATCH(G$2, Players!$A$1:$P$1, 0)), perc_75, VLOOKUP(G$2, Percentiles!$A$45:$I$59, 6, FALSE), perc_90, VLOOKUP(G$2, Percentiles!$A$45:$I$59, 7, FALSE), perc_95, VLOOKUP(G$2, Percentiles!$A$45:$I$59, 8, FALSE), perc_85, perc_75 + (perc_90 - perc_75) * (2/3), converted_stat, '2K_Ratings'!G523, IF(bbgm_stat &gt;= perc_95, converted_stat * 3, IF(bbgm_stat &gt;= perc_90, converted_stat * 2, IF(bbgm_stat &gt;= perc_85, converted_stat * 1.5, converted_stat)))))</f>
        <v/>
      </c>
      <c r="H523" s="30" t="str">
        <f t="array" ref="H523">IF($A523="", "", LET(bbgm_stat, INDEX(Players!$A522:$P522, MATCH(H$2, Players!$A$1:$P$1, 0)), perc_75, VLOOKUP(H$2, Percentiles!$A$45:$I$59, 6, FALSE), perc_90, VLOOKUP(H$2, Percentiles!$A$45:$I$59, 7, FALSE), perc_95, VLOOKUP(H$2, Percentiles!$A$45:$I$59, 8, FALSE), perc_85, perc_75 + (perc_90 - perc_75) * (2/3), converted_stat, '2K_Ratings'!H523, IF(bbgm_stat &gt;= perc_95, converted_stat * 3, IF(bbgm_stat &gt;= perc_90, converted_stat * 2, IF(bbgm_stat &gt;= perc_85, converted_stat * 1.5, converted_stat)))))</f>
        <v/>
      </c>
      <c r="I523" s="30" t="str">
        <f t="array" ref="I523">IF($A523="", "", LET(bbgm_stat, INDEX(Players!$A522:$P522, MATCH(I$2, Players!$A$1:$P$1, 0)), perc_75, VLOOKUP(I$2, Percentiles!$A$45:$I$59, 6, FALSE), perc_90, VLOOKUP(I$2, Percentiles!$A$45:$I$59, 7, FALSE), perc_95, VLOOKUP(I$2, Percentiles!$A$45:$I$59, 8, FALSE), perc_85, perc_75 + (perc_90 - perc_75) * (2/3), converted_stat, '2K_Ratings'!I523, IF(bbgm_stat &gt;= perc_95, converted_stat * 3, IF(bbgm_stat &gt;= perc_90, converted_stat * 2, IF(bbgm_stat &gt;= perc_85, converted_stat * 1.5, converted_stat)))))</f>
        <v/>
      </c>
      <c r="J523" s="30" t="str">
        <f t="array" ref="J523">IF($A523="", "", LET(bbgm_stat, INDEX(Players!$A522:$P522, MATCH(J$2, Players!$A$1:$P$1, 0)), perc_75, VLOOKUP(J$2, Percentiles!$A$45:$I$59, 6, FALSE), perc_90, VLOOKUP(J$2, Percentiles!$A$45:$I$59, 7, FALSE), perc_95, VLOOKUP(J$2, Percentiles!$A$45:$I$59, 8, FALSE), perc_85, perc_75 + (perc_90 - perc_75) * (2/3), converted_stat, '2K_Ratings'!J523, IF(bbgm_stat &gt;= perc_95, converted_stat * 3, IF(bbgm_stat &gt;= perc_90, converted_stat * 2, IF(bbgm_stat &gt;= perc_85, converted_stat * 1.5, converted_stat)))))</f>
        <v/>
      </c>
      <c r="K523" s="30" t="str">
        <f t="array" ref="K523">IF($A523="", "", LET(bbgm_stat, INDEX(Players!$A522:$P522, MATCH(K$2, Players!$A$1:$P$1, 0)), perc_75, VLOOKUP(K$2, Percentiles!$A$45:$I$59, 6, FALSE), perc_90, VLOOKUP(K$2, Percentiles!$A$45:$I$59, 7, FALSE), perc_95, VLOOKUP(K$2, Percentiles!$A$45:$I$59, 8, FALSE), perc_85, perc_75 + (perc_90 - perc_75) * (2/3), converted_stat, '2K_Ratings'!K523, IF(bbgm_stat &gt;= perc_95, converted_stat * 3, IF(bbgm_stat &gt;= perc_90, converted_stat * 2, IF(bbgm_stat &gt;= perc_85, converted_stat * 1.5, converted_stat)))))</f>
        <v/>
      </c>
      <c r="L523" s="30" t="str">
        <f t="array" ref="L523">IF($A523="", "", LET(bbgm_stat, INDEX(Players!$A522:$P522, MATCH(L$2, Players!$A$1:$P$1, 0)), perc_75, VLOOKUP(L$2, Percentiles!$A$45:$I$59, 6, FALSE), perc_90, VLOOKUP(L$2, Percentiles!$A$45:$I$59, 7, FALSE), perc_95, VLOOKUP(L$2, Percentiles!$A$45:$I$59, 8, FALSE), perc_85, perc_75 + (perc_90 - perc_75) * (2/3), converted_stat, '2K_Ratings'!L523, IF(bbgm_stat &gt;= perc_95, converted_stat * 3, IF(bbgm_stat &gt;= perc_90, converted_stat * 2, IF(bbgm_stat &gt;= perc_85, converted_stat * 1.5, converted_stat)))))</f>
        <v/>
      </c>
      <c r="M523" s="30" t="str">
        <f t="array" ref="M523">IF($A523="", "", LET(bbgm_stat, INDEX(Players!$A522:$P522, MATCH(M$2, Players!$A$1:$P$1, 0)), perc_75, VLOOKUP(M$2, Percentiles!$A$45:$I$59, 6, FALSE), perc_90, VLOOKUP(M$2, Percentiles!$A$45:$I$59, 7, FALSE), perc_95, VLOOKUP(M$2, Percentiles!$A$45:$I$59, 8, FALSE), perc_85, perc_75 + (perc_90 - perc_75) * (2/3), converted_stat, '2K_Ratings'!M523, IF(bbgm_stat &gt;= perc_95, converted_stat * 3, IF(bbgm_stat &gt;= perc_90, converted_stat * 2, IF(bbgm_stat &gt;= perc_85, converted_stat * 1.5, converted_stat)))))</f>
        <v/>
      </c>
      <c r="N523" s="30" t="str">
        <f t="array" ref="N523">IF($A523="", "", LET(bbgm_stat, INDEX(Players!$A522:$P522, MATCH(N$2, Players!$A$1:$P$1, 0)), perc_75, VLOOKUP(N$2, Percentiles!$A$45:$I$59, 6, FALSE), perc_90, VLOOKUP(N$2, Percentiles!$A$45:$I$59, 7, FALSE), perc_95, VLOOKUP(N$2, Percentiles!$A$45:$I$59, 8, FALSE), perc_85, perc_75 + (perc_90 - perc_75) * (2/3), converted_stat, '2K_Ratings'!N523, IF(bbgm_stat &gt;= perc_95, converted_stat * 3, IF(bbgm_stat &gt;= perc_90, converted_stat * 2, IF(bbgm_stat &gt;= perc_85, converted_stat * 1.5, converted_stat)))))</f>
        <v/>
      </c>
      <c r="O523" s="30" t="str">
        <f t="array" ref="O523">IF($A523="", "", LET(bbgm_stat, INDEX(Players!$A522:$P522, MATCH(O$2, Players!$A$1:$P$1, 0)), perc_75, VLOOKUP(O$2, Percentiles!$A$45:$I$59, 6, FALSE), perc_90, VLOOKUP(O$2, Percentiles!$A$45:$I$59, 7, FALSE), perc_95, VLOOKUP(O$2, Percentiles!$A$45:$I$59, 8, FALSE), perc_85, perc_75 + (perc_90 - perc_75) * (2/3), converted_stat, '2K_Ratings'!O523, IF(bbgm_stat &gt;= perc_95, converted_stat * 3, IF(bbgm_stat &gt;= perc_90, converted_stat * 2, IF(bbgm_stat &gt;= perc_85, converted_stat * 1.5, converted_stat)))))</f>
        <v/>
      </c>
      <c r="P523" s="30" t="str">
        <f t="array" ref="P523">IF($A523="", "", LET(bbgm_stat, INDEX(Players!$A522:$P522, MATCH(P$2, Players!$A$1:$P$1, 0)), perc_75, VLOOKUP(P$2, Percentiles!$A$45:$I$59, 6, FALSE), perc_90, VLOOKUP(P$2, Percentiles!$A$45:$I$59, 7, FALSE), perc_95, VLOOKUP(P$2, Percentiles!$A$45:$I$59, 8, FALSE), perc_85, perc_75 + (perc_90 - perc_75) * (2/3), converted_stat, '2K_Ratings'!P523, IF(bbgm_stat &gt;= perc_95, converted_stat * 3, IF(bbgm_stat &gt;= perc_90, converted_stat * 2, IF(bbgm_stat &gt;= perc_85, converted_stat * 1.5, converted_stat)))))</f>
        <v/>
      </c>
      <c r="Q523" s="30" t="str">
        <f t="array" ref="Q523">IF($A523="", "", LET(bbgm_stat, INDEX(Players!$A522:$P522, MATCH(Q$2, Players!$A$1:$P$1, 0)), perc_75, VLOOKUP(Q$2, Percentiles!$A$45:$I$59, 6, FALSE), perc_90, VLOOKUP(Q$2, Percentiles!$A$45:$I$59, 7, FALSE), perc_95, VLOOKUP(Q$2, Percentiles!$A$45:$I$59, 8, FALSE), perc_85, perc_75 + (perc_90 - perc_75) * (2/3), converted_stat, '2K_Ratings'!Q523, IF(bbgm_stat &gt;= perc_95, converted_stat * 3, IF(bbgm_stat &gt;= perc_90, converted_stat * 2, IF(bbgm_stat &gt;= perc_85, converted_stat * 1.5, converted_stat)))))</f>
        <v/>
      </c>
      <c r="R523" s="30" t="str">
        <f t="array" ref="R523">IF($A523="", "", LET(bbgm_stat, INDEX(Players!$A522:$P522, MATCH(R$2, Players!$A$1:$P$1, 0)), perc_75, VLOOKUP(R$2, Percentiles!$A$45:$I$59, 6, FALSE), perc_90, VLOOKUP(R$2, Percentiles!$A$45:$I$59, 7, FALSE), perc_95, VLOOKUP(R$2, Percentiles!$A$45:$I$59, 8, FALSE), perc_85, perc_75 + (perc_90 - perc_75) * (2/3), converted_stat, '2K_Ratings'!R523, IF(bbgm_stat &gt;= perc_95, converted_stat * 3, IF(bbgm_stat &gt;= perc_90, converted_stat * 2, IF(bbgm_stat &gt;= perc_85, converted_stat * 1.5, converted_stat)))))</f>
        <v/>
      </c>
      <c r="S523" s="30" t="str">
        <f t="array" ref="S523">IF($A523="", "", LET(bbgm_stat, INDEX(Players!$A522:$P522, MATCH(S$2, Players!$A$1:$P$1, 0)), perc_75, VLOOKUP(S$2, Percentiles!$A$45:$I$59, 6, FALSE), perc_90, VLOOKUP(S$2, Percentiles!$A$45:$I$59, 7, FALSE), perc_95, VLOOKUP(S$2, Percentiles!$A$45:$I$59, 8, FALSE), perc_85, perc_75 + (perc_90 - perc_75) * (2/3), converted_stat, '2K_Ratings'!S523, IF(bbgm_stat &gt;= perc_95, converted_stat * 3, IF(bbgm_stat &gt;= perc_90, converted_stat * 2, IF(bbgm_stat &gt;= perc_85, converted_stat * 1.5, converted_stat)))))</f>
        <v/>
      </c>
      <c r="T523" s="30" t="str">
        <f t="array" ref="T523">IF($A523="", "", LET(bbgm_stat, INDEX(Players!$A522:$P522, MATCH(T$2, Players!$A$1:$P$1, 0)), perc_75, VLOOKUP(T$2, Percentiles!$A$45:$I$59, 6, FALSE), perc_90, VLOOKUP(T$2, Percentiles!$A$45:$I$59, 7, FALSE), perc_95, VLOOKUP(T$2, Percentiles!$A$45:$I$59, 8, FALSE), perc_85, perc_75 + (perc_90 - perc_75) * (2/3), converted_stat, '2K_Ratings'!T523, IF(bbgm_stat &gt;= perc_95, converted_stat * 3, IF(bbgm_stat &gt;= perc_90, converted_stat * 2, IF(bbgm_stat &gt;= perc_85, converted_stat * 1.5, converted_stat)))))</f>
        <v/>
      </c>
      <c r="U523" s="30" t="str">
        <f t="array" ref="U523">IF($A523="", "", LET(bbgm_stat, INDEX(Players!$A522:$P522, MATCH(U$2, Players!$A$1:$P$1, 0)), perc_75, VLOOKUP(U$2, Percentiles!$A$45:$I$59, 6, FALSE), perc_90, VLOOKUP(U$2, Percentiles!$A$45:$I$59, 7, FALSE), perc_95, VLOOKUP(U$2, Percentiles!$A$45:$I$59, 8, FALSE), perc_85, perc_75 + (perc_90 - perc_75) * (2/3), converted_stat, '2K_Ratings'!U523, IF(bbgm_stat &gt;= perc_95, converted_stat * 3, IF(bbgm_stat &gt;= perc_90, converted_stat * 2, IF(bbgm_stat &gt;= perc_85, converted_stat * 1.5, converted_stat)))))</f>
        <v/>
      </c>
      <c r="V523" s="30" t="str">
        <f t="array" ref="V523">IF($A523="", "", LET(bbgm_stat, INDEX(Players!$A522:$P522, MATCH(V$2, Players!$A$1:$P$1, 0)), perc_75, VLOOKUP(V$2, Percentiles!$A$45:$I$59, 6, FALSE), perc_90, VLOOKUP(V$2, Percentiles!$A$45:$I$59, 7, FALSE), perc_95, VLOOKUP(V$2, Percentiles!$A$45:$I$59, 8, FALSE), perc_85, perc_75 + (perc_90 - perc_75) * (2/3), converted_stat, '2K_Ratings'!V523, IF(bbgm_stat &gt;= perc_95, converted_stat * 3, IF(bbgm_stat &gt;= perc_90, converted_stat * 2, IF(bbgm_stat &gt;= perc_85, converted_stat * 1.5, converted_stat)))))</f>
        <v/>
      </c>
      <c r="W523" s="30" t="str">
        <f t="array" ref="W523">IF($A523="", "", LET(bbgm_stat, INDEX(Players!$A522:$P522, MATCH(W$2, Players!$A$1:$P$1, 0)), perc_75, VLOOKUP(W$2, Percentiles!$A$45:$I$59, 6, FALSE), perc_90, VLOOKUP(W$2, Percentiles!$A$45:$I$59, 7, FALSE), perc_95, VLOOKUP(W$2, Percentiles!$A$45:$I$59, 8, FALSE), perc_85, perc_75 + (perc_90 - perc_75) * (2/3), converted_stat, '2K_Ratings'!W523, IF(bbgm_stat &gt;= perc_95, converted_stat * 3, IF(bbgm_stat &gt;= perc_90, converted_stat * 2, IF(bbgm_stat &gt;= perc_85, converted_stat * 1.5, converted_stat)))))</f>
        <v/>
      </c>
    </row>
    <row r="524">
      <c r="A524" s="30"/>
      <c r="B524" s="30" t="str">
        <f t="array" ref="B524">IF($A524="", "", LET(bbgm_stat, INDEX(Players!$A523:$P523, MATCH(B$2, Players!$A$1:$P$1, 0)), perc_75, VLOOKUP(B$2, Percentiles!$A$45:$I$59, 6, FALSE), perc_90, VLOOKUP(B$2, Percentiles!$A$45:$I$59, 7, FALSE), perc_95, VLOOKUP(B$2, Percentiles!$A$45:$I$59, 8, FALSE), perc_85, perc_75 + (perc_90 - perc_75) * (2/3), converted_stat, '2K_Ratings'!B524, IF(bbgm_stat &gt;= perc_95, converted_stat * 3, IF(bbgm_stat &gt;= perc_90, converted_stat * 2, IF(bbgm_stat &gt;= perc_85, converted_stat * 1.5, converted_stat)))))</f>
        <v/>
      </c>
      <c r="C524" s="30" t="str">
        <f t="array" ref="C524">IF($A524="", "", LET(bbgm_stat, INDEX(Players!$A523:$P523, MATCH(C$2, Players!$A$1:$P$1, 0)), perc_75, VLOOKUP(C$2, Percentiles!$A$45:$I$59, 6, FALSE), perc_90, VLOOKUP(C$2, Percentiles!$A$45:$I$59, 7, FALSE), perc_95, VLOOKUP(C$2, Percentiles!$A$45:$I$59, 8, FALSE), perc_85, perc_75 + (perc_90 - perc_75) * (2/3), converted_stat, '2K_Ratings'!C524, IF(bbgm_stat &gt;= perc_95, converted_stat * 3, IF(bbgm_stat &gt;= perc_90, converted_stat * 2, IF(bbgm_stat &gt;= perc_85, converted_stat * 1.5, converted_stat)))))</f>
        <v/>
      </c>
      <c r="D524" s="30" t="str">
        <f t="array" ref="D524">IF($A524="", "", LET(bbgm_stat, INDEX(Players!$A523:$P523, MATCH(D$2, Players!$A$1:$P$1, 0)), perc_75, VLOOKUP(D$2, Percentiles!$A$45:$I$59, 6, FALSE), perc_90, VLOOKUP(D$2, Percentiles!$A$45:$I$59, 7, FALSE), perc_95, VLOOKUP(D$2, Percentiles!$A$45:$I$59, 8, FALSE), perc_85, perc_75 + (perc_90 - perc_75) * (2/3), converted_stat, '2K_Ratings'!D524, IF(bbgm_stat &gt;= perc_95, converted_stat * 3, IF(bbgm_stat &gt;= perc_90, converted_stat * 2, IF(bbgm_stat &gt;= perc_85, converted_stat * 1.5, converted_stat)))))</f>
        <v/>
      </c>
      <c r="E524" s="30" t="str">
        <f t="array" ref="E524">IF($A524="", "", LET(bbgm_stat, INDEX(Players!$A523:$P523, MATCH(E$2, Players!$A$1:$P$1, 0)), perc_75, VLOOKUP(E$2, Percentiles!$A$45:$I$59, 6, FALSE), perc_90, VLOOKUP(E$2, Percentiles!$A$45:$I$59, 7, FALSE), perc_95, VLOOKUP(E$2, Percentiles!$A$45:$I$59, 8, FALSE), perc_85, perc_75 + (perc_90 - perc_75) * (2/3), converted_stat, '2K_Ratings'!E524, IF(bbgm_stat &gt;= perc_95, converted_stat * 3, IF(bbgm_stat &gt;= perc_90, converted_stat * 2, IF(bbgm_stat &gt;= perc_85, converted_stat * 1.5, converted_stat)))))</f>
        <v/>
      </c>
      <c r="F524" s="30" t="str">
        <f t="array" ref="F524">IF($A524="", "", LET(bbgm_stat, INDEX(Players!$A523:$P523, MATCH(F$2, Players!$A$1:$P$1, 0)), perc_75, VLOOKUP(F$2, Percentiles!$A$45:$I$59, 6, FALSE), perc_90, VLOOKUP(F$2, Percentiles!$A$45:$I$59, 7, FALSE), perc_95, VLOOKUP(F$2, Percentiles!$A$45:$I$59, 8, FALSE), perc_85, perc_75 + (perc_90 - perc_75) * (2/3), converted_stat, '2K_Ratings'!F524, IF(bbgm_stat &gt;= perc_95, converted_stat * 3, IF(bbgm_stat &gt;= perc_90, converted_stat * 2, IF(bbgm_stat &gt;= perc_85, converted_stat * 1.5, converted_stat)))))</f>
        <v/>
      </c>
      <c r="G524" s="30" t="str">
        <f t="array" ref="G524">IF($A524="", "", LET(bbgm_stat, INDEX(Players!$A523:$P523, MATCH(G$2, Players!$A$1:$P$1, 0)), perc_75, VLOOKUP(G$2, Percentiles!$A$45:$I$59, 6, FALSE), perc_90, VLOOKUP(G$2, Percentiles!$A$45:$I$59, 7, FALSE), perc_95, VLOOKUP(G$2, Percentiles!$A$45:$I$59, 8, FALSE), perc_85, perc_75 + (perc_90 - perc_75) * (2/3), converted_stat, '2K_Ratings'!G524, IF(bbgm_stat &gt;= perc_95, converted_stat * 3, IF(bbgm_stat &gt;= perc_90, converted_stat * 2, IF(bbgm_stat &gt;= perc_85, converted_stat * 1.5, converted_stat)))))</f>
        <v/>
      </c>
      <c r="H524" s="30" t="str">
        <f t="array" ref="H524">IF($A524="", "", LET(bbgm_stat, INDEX(Players!$A523:$P523, MATCH(H$2, Players!$A$1:$P$1, 0)), perc_75, VLOOKUP(H$2, Percentiles!$A$45:$I$59, 6, FALSE), perc_90, VLOOKUP(H$2, Percentiles!$A$45:$I$59, 7, FALSE), perc_95, VLOOKUP(H$2, Percentiles!$A$45:$I$59, 8, FALSE), perc_85, perc_75 + (perc_90 - perc_75) * (2/3), converted_stat, '2K_Ratings'!H524, IF(bbgm_stat &gt;= perc_95, converted_stat * 3, IF(bbgm_stat &gt;= perc_90, converted_stat * 2, IF(bbgm_stat &gt;= perc_85, converted_stat * 1.5, converted_stat)))))</f>
        <v/>
      </c>
      <c r="I524" s="30" t="str">
        <f t="array" ref="I524">IF($A524="", "", LET(bbgm_stat, INDEX(Players!$A523:$P523, MATCH(I$2, Players!$A$1:$P$1, 0)), perc_75, VLOOKUP(I$2, Percentiles!$A$45:$I$59, 6, FALSE), perc_90, VLOOKUP(I$2, Percentiles!$A$45:$I$59, 7, FALSE), perc_95, VLOOKUP(I$2, Percentiles!$A$45:$I$59, 8, FALSE), perc_85, perc_75 + (perc_90 - perc_75) * (2/3), converted_stat, '2K_Ratings'!I524, IF(bbgm_stat &gt;= perc_95, converted_stat * 3, IF(bbgm_stat &gt;= perc_90, converted_stat * 2, IF(bbgm_stat &gt;= perc_85, converted_stat * 1.5, converted_stat)))))</f>
        <v/>
      </c>
      <c r="J524" s="30" t="str">
        <f t="array" ref="J524">IF($A524="", "", LET(bbgm_stat, INDEX(Players!$A523:$P523, MATCH(J$2, Players!$A$1:$P$1, 0)), perc_75, VLOOKUP(J$2, Percentiles!$A$45:$I$59, 6, FALSE), perc_90, VLOOKUP(J$2, Percentiles!$A$45:$I$59, 7, FALSE), perc_95, VLOOKUP(J$2, Percentiles!$A$45:$I$59, 8, FALSE), perc_85, perc_75 + (perc_90 - perc_75) * (2/3), converted_stat, '2K_Ratings'!J524, IF(bbgm_stat &gt;= perc_95, converted_stat * 3, IF(bbgm_stat &gt;= perc_90, converted_stat * 2, IF(bbgm_stat &gt;= perc_85, converted_stat * 1.5, converted_stat)))))</f>
        <v/>
      </c>
      <c r="K524" s="30" t="str">
        <f t="array" ref="K524">IF($A524="", "", LET(bbgm_stat, INDEX(Players!$A523:$P523, MATCH(K$2, Players!$A$1:$P$1, 0)), perc_75, VLOOKUP(K$2, Percentiles!$A$45:$I$59, 6, FALSE), perc_90, VLOOKUP(K$2, Percentiles!$A$45:$I$59, 7, FALSE), perc_95, VLOOKUP(K$2, Percentiles!$A$45:$I$59, 8, FALSE), perc_85, perc_75 + (perc_90 - perc_75) * (2/3), converted_stat, '2K_Ratings'!K524, IF(bbgm_stat &gt;= perc_95, converted_stat * 3, IF(bbgm_stat &gt;= perc_90, converted_stat * 2, IF(bbgm_stat &gt;= perc_85, converted_stat * 1.5, converted_stat)))))</f>
        <v/>
      </c>
      <c r="L524" s="30" t="str">
        <f t="array" ref="L524">IF($A524="", "", LET(bbgm_stat, INDEX(Players!$A523:$P523, MATCH(L$2, Players!$A$1:$P$1, 0)), perc_75, VLOOKUP(L$2, Percentiles!$A$45:$I$59, 6, FALSE), perc_90, VLOOKUP(L$2, Percentiles!$A$45:$I$59, 7, FALSE), perc_95, VLOOKUP(L$2, Percentiles!$A$45:$I$59, 8, FALSE), perc_85, perc_75 + (perc_90 - perc_75) * (2/3), converted_stat, '2K_Ratings'!L524, IF(bbgm_stat &gt;= perc_95, converted_stat * 3, IF(bbgm_stat &gt;= perc_90, converted_stat * 2, IF(bbgm_stat &gt;= perc_85, converted_stat * 1.5, converted_stat)))))</f>
        <v/>
      </c>
      <c r="M524" s="30" t="str">
        <f t="array" ref="M524">IF($A524="", "", LET(bbgm_stat, INDEX(Players!$A523:$P523, MATCH(M$2, Players!$A$1:$P$1, 0)), perc_75, VLOOKUP(M$2, Percentiles!$A$45:$I$59, 6, FALSE), perc_90, VLOOKUP(M$2, Percentiles!$A$45:$I$59, 7, FALSE), perc_95, VLOOKUP(M$2, Percentiles!$A$45:$I$59, 8, FALSE), perc_85, perc_75 + (perc_90 - perc_75) * (2/3), converted_stat, '2K_Ratings'!M524, IF(bbgm_stat &gt;= perc_95, converted_stat * 3, IF(bbgm_stat &gt;= perc_90, converted_stat * 2, IF(bbgm_stat &gt;= perc_85, converted_stat * 1.5, converted_stat)))))</f>
        <v/>
      </c>
      <c r="N524" s="30" t="str">
        <f t="array" ref="N524">IF($A524="", "", LET(bbgm_stat, INDEX(Players!$A523:$P523, MATCH(N$2, Players!$A$1:$P$1, 0)), perc_75, VLOOKUP(N$2, Percentiles!$A$45:$I$59, 6, FALSE), perc_90, VLOOKUP(N$2, Percentiles!$A$45:$I$59, 7, FALSE), perc_95, VLOOKUP(N$2, Percentiles!$A$45:$I$59, 8, FALSE), perc_85, perc_75 + (perc_90 - perc_75) * (2/3), converted_stat, '2K_Ratings'!N524, IF(bbgm_stat &gt;= perc_95, converted_stat * 3, IF(bbgm_stat &gt;= perc_90, converted_stat * 2, IF(bbgm_stat &gt;= perc_85, converted_stat * 1.5, converted_stat)))))</f>
        <v/>
      </c>
      <c r="O524" s="30" t="str">
        <f t="array" ref="O524">IF($A524="", "", LET(bbgm_stat, INDEX(Players!$A523:$P523, MATCH(O$2, Players!$A$1:$P$1, 0)), perc_75, VLOOKUP(O$2, Percentiles!$A$45:$I$59, 6, FALSE), perc_90, VLOOKUP(O$2, Percentiles!$A$45:$I$59, 7, FALSE), perc_95, VLOOKUP(O$2, Percentiles!$A$45:$I$59, 8, FALSE), perc_85, perc_75 + (perc_90 - perc_75) * (2/3), converted_stat, '2K_Ratings'!O524, IF(bbgm_stat &gt;= perc_95, converted_stat * 3, IF(bbgm_stat &gt;= perc_90, converted_stat * 2, IF(bbgm_stat &gt;= perc_85, converted_stat * 1.5, converted_stat)))))</f>
        <v/>
      </c>
      <c r="P524" s="30" t="str">
        <f t="array" ref="P524">IF($A524="", "", LET(bbgm_stat, INDEX(Players!$A523:$P523, MATCH(P$2, Players!$A$1:$P$1, 0)), perc_75, VLOOKUP(P$2, Percentiles!$A$45:$I$59, 6, FALSE), perc_90, VLOOKUP(P$2, Percentiles!$A$45:$I$59, 7, FALSE), perc_95, VLOOKUP(P$2, Percentiles!$A$45:$I$59, 8, FALSE), perc_85, perc_75 + (perc_90 - perc_75) * (2/3), converted_stat, '2K_Ratings'!P524, IF(bbgm_stat &gt;= perc_95, converted_stat * 3, IF(bbgm_stat &gt;= perc_90, converted_stat * 2, IF(bbgm_stat &gt;= perc_85, converted_stat * 1.5, converted_stat)))))</f>
        <v/>
      </c>
      <c r="Q524" s="30" t="str">
        <f t="array" ref="Q524">IF($A524="", "", LET(bbgm_stat, INDEX(Players!$A523:$P523, MATCH(Q$2, Players!$A$1:$P$1, 0)), perc_75, VLOOKUP(Q$2, Percentiles!$A$45:$I$59, 6, FALSE), perc_90, VLOOKUP(Q$2, Percentiles!$A$45:$I$59, 7, FALSE), perc_95, VLOOKUP(Q$2, Percentiles!$A$45:$I$59, 8, FALSE), perc_85, perc_75 + (perc_90 - perc_75) * (2/3), converted_stat, '2K_Ratings'!Q524, IF(bbgm_stat &gt;= perc_95, converted_stat * 3, IF(bbgm_stat &gt;= perc_90, converted_stat * 2, IF(bbgm_stat &gt;= perc_85, converted_stat * 1.5, converted_stat)))))</f>
        <v/>
      </c>
      <c r="R524" s="30" t="str">
        <f t="array" ref="R524">IF($A524="", "", LET(bbgm_stat, INDEX(Players!$A523:$P523, MATCH(R$2, Players!$A$1:$P$1, 0)), perc_75, VLOOKUP(R$2, Percentiles!$A$45:$I$59, 6, FALSE), perc_90, VLOOKUP(R$2, Percentiles!$A$45:$I$59, 7, FALSE), perc_95, VLOOKUP(R$2, Percentiles!$A$45:$I$59, 8, FALSE), perc_85, perc_75 + (perc_90 - perc_75) * (2/3), converted_stat, '2K_Ratings'!R524, IF(bbgm_stat &gt;= perc_95, converted_stat * 3, IF(bbgm_stat &gt;= perc_90, converted_stat * 2, IF(bbgm_stat &gt;= perc_85, converted_stat * 1.5, converted_stat)))))</f>
        <v/>
      </c>
      <c r="S524" s="30" t="str">
        <f t="array" ref="S524">IF($A524="", "", LET(bbgm_stat, INDEX(Players!$A523:$P523, MATCH(S$2, Players!$A$1:$P$1, 0)), perc_75, VLOOKUP(S$2, Percentiles!$A$45:$I$59, 6, FALSE), perc_90, VLOOKUP(S$2, Percentiles!$A$45:$I$59, 7, FALSE), perc_95, VLOOKUP(S$2, Percentiles!$A$45:$I$59, 8, FALSE), perc_85, perc_75 + (perc_90 - perc_75) * (2/3), converted_stat, '2K_Ratings'!S524, IF(bbgm_stat &gt;= perc_95, converted_stat * 3, IF(bbgm_stat &gt;= perc_90, converted_stat * 2, IF(bbgm_stat &gt;= perc_85, converted_stat * 1.5, converted_stat)))))</f>
        <v/>
      </c>
      <c r="T524" s="30" t="str">
        <f t="array" ref="T524">IF($A524="", "", LET(bbgm_stat, INDEX(Players!$A523:$P523, MATCH(T$2, Players!$A$1:$P$1, 0)), perc_75, VLOOKUP(T$2, Percentiles!$A$45:$I$59, 6, FALSE), perc_90, VLOOKUP(T$2, Percentiles!$A$45:$I$59, 7, FALSE), perc_95, VLOOKUP(T$2, Percentiles!$A$45:$I$59, 8, FALSE), perc_85, perc_75 + (perc_90 - perc_75) * (2/3), converted_stat, '2K_Ratings'!T524, IF(bbgm_stat &gt;= perc_95, converted_stat * 3, IF(bbgm_stat &gt;= perc_90, converted_stat * 2, IF(bbgm_stat &gt;= perc_85, converted_stat * 1.5, converted_stat)))))</f>
        <v/>
      </c>
      <c r="U524" s="30" t="str">
        <f t="array" ref="U524">IF($A524="", "", LET(bbgm_stat, INDEX(Players!$A523:$P523, MATCH(U$2, Players!$A$1:$P$1, 0)), perc_75, VLOOKUP(U$2, Percentiles!$A$45:$I$59, 6, FALSE), perc_90, VLOOKUP(U$2, Percentiles!$A$45:$I$59, 7, FALSE), perc_95, VLOOKUP(U$2, Percentiles!$A$45:$I$59, 8, FALSE), perc_85, perc_75 + (perc_90 - perc_75) * (2/3), converted_stat, '2K_Ratings'!U524, IF(bbgm_stat &gt;= perc_95, converted_stat * 3, IF(bbgm_stat &gt;= perc_90, converted_stat * 2, IF(bbgm_stat &gt;= perc_85, converted_stat * 1.5, converted_stat)))))</f>
        <v/>
      </c>
      <c r="V524" s="30" t="str">
        <f t="array" ref="V524">IF($A524="", "", LET(bbgm_stat, INDEX(Players!$A523:$P523, MATCH(V$2, Players!$A$1:$P$1, 0)), perc_75, VLOOKUP(V$2, Percentiles!$A$45:$I$59, 6, FALSE), perc_90, VLOOKUP(V$2, Percentiles!$A$45:$I$59, 7, FALSE), perc_95, VLOOKUP(V$2, Percentiles!$A$45:$I$59, 8, FALSE), perc_85, perc_75 + (perc_90 - perc_75) * (2/3), converted_stat, '2K_Ratings'!V524, IF(bbgm_stat &gt;= perc_95, converted_stat * 3, IF(bbgm_stat &gt;= perc_90, converted_stat * 2, IF(bbgm_stat &gt;= perc_85, converted_stat * 1.5, converted_stat)))))</f>
        <v/>
      </c>
      <c r="W524" s="30" t="str">
        <f t="array" ref="W524">IF($A524="", "", LET(bbgm_stat, INDEX(Players!$A523:$P523, MATCH(W$2, Players!$A$1:$P$1, 0)), perc_75, VLOOKUP(W$2, Percentiles!$A$45:$I$59, 6, FALSE), perc_90, VLOOKUP(W$2, Percentiles!$A$45:$I$59, 7, FALSE), perc_95, VLOOKUP(W$2, Percentiles!$A$45:$I$59, 8, FALSE), perc_85, perc_75 + (perc_90 - perc_75) * (2/3), converted_stat, '2K_Ratings'!W524, IF(bbgm_stat &gt;= perc_95, converted_stat * 3, IF(bbgm_stat &gt;= perc_90, converted_stat * 2, IF(bbgm_stat &gt;= perc_85, converted_stat * 1.5, converted_stat)))))</f>
        <v/>
      </c>
    </row>
    <row r="525">
      <c r="A525" s="30"/>
      <c r="B525" s="30" t="str">
        <f t="array" ref="B525">IF($A525="", "", LET(bbgm_stat, INDEX(Players!$A524:$P524, MATCH(B$2, Players!$A$1:$P$1, 0)), perc_75, VLOOKUP(B$2, Percentiles!$A$45:$I$59, 6, FALSE), perc_90, VLOOKUP(B$2, Percentiles!$A$45:$I$59, 7, FALSE), perc_95, VLOOKUP(B$2, Percentiles!$A$45:$I$59, 8, FALSE), perc_85, perc_75 + (perc_90 - perc_75) * (2/3), converted_stat, '2K_Ratings'!B525, IF(bbgm_stat &gt;= perc_95, converted_stat * 3, IF(bbgm_stat &gt;= perc_90, converted_stat * 2, IF(bbgm_stat &gt;= perc_85, converted_stat * 1.5, converted_stat)))))</f>
        <v/>
      </c>
      <c r="C525" s="30" t="str">
        <f t="array" ref="C525">IF($A525="", "", LET(bbgm_stat, INDEX(Players!$A524:$P524, MATCH(C$2, Players!$A$1:$P$1, 0)), perc_75, VLOOKUP(C$2, Percentiles!$A$45:$I$59, 6, FALSE), perc_90, VLOOKUP(C$2, Percentiles!$A$45:$I$59, 7, FALSE), perc_95, VLOOKUP(C$2, Percentiles!$A$45:$I$59, 8, FALSE), perc_85, perc_75 + (perc_90 - perc_75) * (2/3), converted_stat, '2K_Ratings'!C525, IF(bbgm_stat &gt;= perc_95, converted_stat * 3, IF(bbgm_stat &gt;= perc_90, converted_stat * 2, IF(bbgm_stat &gt;= perc_85, converted_stat * 1.5, converted_stat)))))</f>
        <v/>
      </c>
      <c r="D525" s="30" t="str">
        <f t="array" ref="D525">IF($A525="", "", LET(bbgm_stat, INDEX(Players!$A524:$P524, MATCH(D$2, Players!$A$1:$P$1, 0)), perc_75, VLOOKUP(D$2, Percentiles!$A$45:$I$59, 6, FALSE), perc_90, VLOOKUP(D$2, Percentiles!$A$45:$I$59, 7, FALSE), perc_95, VLOOKUP(D$2, Percentiles!$A$45:$I$59, 8, FALSE), perc_85, perc_75 + (perc_90 - perc_75) * (2/3), converted_stat, '2K_Ratings'!D525, IF(bbgm_stat &gt;= perc_95, converted_stat * 3, IF(bbgm_stat &gt;= perc_90, converted_stat * 2, IF(bbgm_stat &gt;= perc_85, converted_stat * 1.5, converted_stat)))))</f>
        <v/>
      </c>
      <c r="E525" s="30" t="str">
        <f t="array" ref="E525">IF($A525="", "", LET(bbgm_stat, INDEX(Players!$A524:$P524, MATCH(E$2, Players!$A$1:$P$1, 0)), perc_75, VLOOKUP(E$2, Percentiles!$A$45:$I$59, 6, FALSE), perc_90, VLOOKUP(E$2, Percentiles!$A$45:$I$59, 7, FALSE), perc_95, VLOOKUP(E$2, Percentiles!$A$45:$I$59, 8, FALSE), perc_85, perc_75 + (perc_90 - perc_75) * (2/3), converted_stat, '2K_Ratings'!E525, IF(bbgm_stat &gt;= perc_95, converted_stat * 3, IF(bbgm_stat &gt;= perc_90, converted_stat * 2, IF(bbgm_stat &gt;= perc_85, converted_stat * 1.5, converted_stat)))))</f>
        <v/>
      </c>
      <c r="F525" s="30" t="str">
        <f t="array" ref="F525">IF($A525="", "", LET(bbgm_stat, INDEX(Players!$A524:$P524, MATCH(F$2, Players!$A$1:$P$1, 0)), perc_75, VLOOKUP(F$2, Percentiles!$A$45:$I$59, 6, FALSE), perc_90, VLOOKUP(F$2, Percentiles!$A$45:$I$59, 7, FALSE), perc_95, VLOOKUP(F$2, Percentiles!$A$45:$I$59, 8, FALSE), perc_85, perc_75 + (perc_90 - perc_75) * (2/3), converted_stat, '2K_Ratings'!F525, IF(bbgm_stat &gt;= perc_95, converted_stat * 3, IF(bbgm_stat &gt;= perc_90, converted_stat * 2, IF(bbgm_stat &gt;= perc_85, converted_stat * 1.5, converted_stat)))))</f>
        <v/>
      </c>
      <c r="G525" s="30" t="str">
        <f t="array" ref="G525">IF($A525="", "", LET(bbgm_stat, INDEX(Players!$A524:$P524, MATCH(G$2, Players!$A$1:$P$1, 0)), perc_75, VLOOKUP(G$2, Percentiles!$A$45:$I$59, 6, FALSE), perc_90, VLOOKUP(G$2, Percentiles!$A$45:$I$59, 7, FALSE), perc_95, VLOOKUP(G$2, Percentiles!$A$45:$I$59, 8, FALSE), perc_85, perc_75 + (perc_90 - perc_75) * (2/3), converted_stat, '2K_Ratings'!G525, IF(bbgm_stat &gt;= perc_95, converted_stat * 3, IF(bbgm_stat &gt;= perc_90, converted_stat * 2, IF(bbgm_stat &gt;= perc_85, converted_stat * 1.5, converted_stat)))))</f>
        <v/>
      </c>
      <c r="H525" s="30" t="str">
        <f t="array" ref="H525">IF($A525="", "", LET(bbgm_stat, INDEX(Players!$A524:$P524, MATCH(H$2, Players!$A$1:$P$1, 0)), perc_75, VLOOKUP(H$2, Percentiles!$A$45:$I$59, 6, FALSE), perc_90, VLOOKUP(H$2, Percentiles!$A$45:$I$59, 7, FALSE), perc_95, VLOOKUP(H$2, Percentiles!$A$45:$I$59, 8, FALSE), perc_85, perc_75 + (perc_90 - perc_75) * (2/3), converted_stat, '2K_Ratings'!H525, IF(bbgm_stat &gt;= perc_95, converted_stat * 3, IF(bbgm_stat &gt;= perc_90, converted_stat * 2, IF(bbgm_stat &gt;= perc_85, converted_stat * 1.5, converted_stat)))))</f>
        <v/>
      </c>
      <c r="I525" s="30" t="str">
        <f t="array" ref="I525">IF($A525="", "", LET(bbgm_stat, INDEX(Players!$A524:$P524, MATCH(I$2, Players!$A$1:$P$1, 0)), perc_75, VLOOKUP(I$2, Percentiles!$A$45:$I$59, 6, FALSE), perc_90, VLOOKUP(I$2, Percentiles!$A$45:$I$59, 7, FALSE), perc_95, VLOOKUP(I$2, Percentiles!$A$45:$I$59, 8, FALSE), perc_85, perc_75 + (perc_90 - perc_75) * (2/3), converted_stat, '2K_Ratings'!I525, IF(bbgm_stat &gt;= perc_95, converted_stat * 3, IF(bbgm_stat &gt;= perc_90, converted_stat * 2, IF(bbgm_stat &gt;= perc_85, converted_stat * 1.5, converted_stat)))))</f>
        <v/>
      </c>
      <c r="J525" s="30" t="str">
        <f t="array" ref="J525">IF($A525="", "", LET(bbgm_stat, INDEX(Players!$A524:$P524, MATCH(J$2, Players!$A$1:$P$1, 0)), perc_75, VLOOKUP(J$2, Percentiles!$A$45:$I$59, 6, FALSE), perc_90, VLOOKUP(J$2, Percentiles!$A$45:$I$59, 7, FALSE), perc_95, VLOOKUP(J$2, Percentiles!$A$45:$I$59, 8, FALSE), perc_85, perc_75 + (perc_90 - perc_75) * (2/3), converted_stat, '2K_Ratings'!J525, IF(bbgm_stat &gt;= perc_95, converted_stat * 3, IF(bbgm_stat &gt;= perc_90, converted_stat * 2, IF(bbgm_stat &gt;= perc_85, converted_stat * 1.5, converted_stat)))))</f>
        <v/>
      </c>
      <c r="K525" s="30" t="str">
        <f t="array" ref="K525">IF($A525="", "", LET(bbgm_stat, INDEX(Players!$A524:$P524, MATCH(K$2, Players!$A$1:$P$1, 0)), perc_75, VLOOKUP(K$2, Percentiles!$A$45:$I$59, 6, FALSE), perc_90, VLOOKUP(K$2, Percentiles!$A$45:$I$59, 7, FALSE), perc_95, VLOOKUP(K$2, Percentiles!$A$45:$I$59, 8, FALSE), perc_85, perc_75 + (perc_90 - perc_75) * (2/3), converted_stat, '2K_Ratings'!K525, IF(bbgm_stat &gt;= perc_95, converted_stat * 3, IF(bbgm_stat &gt;= perc_90, converted_stat * 2, IF(bbgm_stat &gt;= perc_85, converted_stat * 1.5, converted_stat)))))</f>
        <v/>
      </c>
      <c r="L525" s="30" t="str">
        <f t="array" ref="L525">IF($A525="", "", LET(bbgm_stat, INDEX(Players!$A524:$P524, MATCH(L$2, Players!$A$1:$P$1, 0)), perc_75, VLOOKUP(L$2, Percentiles!$A$45:$I$59, 6, FALSE), perc_90, VLOOKUP(L$2, Percentiles!$A$45:$I$59, 7, FALSE), perc_95, VLOOKUP(L$2, Percentiles!$A$45:$I$59, 8, FALSE), perc_85, perc_75 + (perc_90 - perc_75) * (2/3), converted_stat, '2K_Ratings'!L525, IF(bbgm_stat &gt;= perc_95, converted_stat * 3, IF(bbgm_stat &gt;= perc_90, converted_stat * 2, IF(bbgm_stat &gt;= perc_85, converted_stat * 1.5, converted_stat)))))</f>
        <v/>
      </c>
      <c r="M525" s="30" t="str">
        <f t="array" ref="M525">IF($A525="", "", LET(bbgm_stat, INDEX(Players!$A524:$P524, MATCH(M$2, Players!$A$1:$P$1, 0)), perc_75, VLOOKUP(M$2, Percentiles!$A$45:$I$59, 6, FALSE), perc_90, VLOOKUP(M$2, Percentiles!$A$45:$I$59, 7, FALSE), perc_95, VLOOKUP(M$2, Percentiles!$A$45:$I$59, 8, FALSE), perc_85, perc_75 + (perc_90 - perc_75) * (2/3), converted_stat, '2K_Ratings'!M525, IF(bbgm_stat &gt;= perc_95, converted_stat * 3, IF(bbgm_stat &gt;= perc_90, converted_stat * 2, IF(bbgm_stat &gt;= perc_85, converted_stat * 1.5, converted_stat)))))</f>
        <v/>
      </c>
      <c r="N525" s="30" t="str">
        <f t="array" ref="N525">IF($A525="", "", LET(bbgm_stat, INDEX(Players!$A524:$P524, MATCH(N$2, Players!$A$1:$P$1, 0)), perc_75, VLOOKUP(N$2, Percentiles!$A$45:$I$59, 6, FALSE), perc_90, VLOOKUP(N$2, Percentiles!$A$45:$I$59, 7, FALSE), perc_95, VLOOKUP(N$2, Percentiles!$A$45:$I$59, 8, FALSE), perc_85, perc_75 + (perc_90 - perc_75) * (2/3), converted_stat, '2K_Ratings'!N525, IF(bbgm_stat &gt;= perc_95, converted_stat * 3, IF(bbgm_stat &gt;= perc_90, converted_stat * 2, IF(bbgm_stat &gt;= perc_85, converted_stat * 1.5, converted_stat)))))</f>
        <v/>
      </c>
      <c r="O525" s="30" t="str">
        <f t="array" ref="O525">IF($A525="", "", LET(bbgm_stat, INDEX(Players!$A524:$P524, MATCH(O$2, Players!$A$1:$P$1, 0)), perc_75, VLOOKUP(O$2, Percentiles!$A$45:$I$59, 6, FALSE), perc_90, VLOOKUP(O$2, Percentiles!$A$45:$I$59, 7, FALSE), perc_95, VLOOKUP(O$2, Percentiles!$A$45:$I$59, 8, FALSE), perc_85, perc_75 + (perc_90 - perc_75) * (2/3), converted_stat, '2K_Ratings'!O525, IF(bbgm_stat &gt;= perc_95, converted_stat * 3, IF(bbgm_stat &gt;= perc_90, converted_stat * 2, IF(bbgm_stat &gt;= perc_85, converted_stat * 1.5, converted_stat)))))</f>
        <v/>
      </c>
      <c r="P525" s="30" t="str">
        <f t="array" ref="P525">IF($A525="", "", LET(bbgm_stat, INDEX(Players!$A524:$P524, MATCH(P$2, Players!$A$1:$P$1, 0)), perc_75, VLOOKUP(P$2, Percentiles!$A$45:$I$59, 6, FALSE), perc_90, VLOOKUP(P$2, Percentiles!$A$45:$I$59, 7, FALSE), perc_95, VLOOKUP(P$2, Percentiles!$A$45:$I$59, 8, FALSE), perc_85, perc_75 + (perc_90 - perc_75) * (2/3), converted_stat, '2K_Ratings'!P525, IF(bbgm_stat &gt;= perc_95, converted_stat * 3, IF(bbgm_stat &gt;= perc_90, converted_stat * 2, IF(bbgm_stat &gt;= perc_85, converted_stat * 1.5, converted_stat)))))</f>
        <v/>
      </c>
      <c r="Q525" s="30" t="str">
        <f t="array" ref="Q525">IF($A525="", "", LET(bbgm_stat, INDEX(Players!$A524:$P524, MATCH(Q$2, Players!$A$1:$P$1, 0)), perc_75, VLOOKUP(Q$2, Percentiles!$A$45:$I$59, 6, FALSE), perc_90, VLOOKUP(Q$2, Percentiles!$A$45:$I$59, 7, FALSE), perc_95, VLOOKUP(Q$2, Percentiles!$A$45:$I$59, 8, FALSE), perc_85, perc_75 + (perc_90 - perc_75) * (2/3), converted_stat, '2K_Ratings'!Q525, IF(bbgm_stat &gt;= perc_95, converted_stat * 3, IF(bbgm_stat &gt;= perc_90, converted_stat * 2, IF(bbgm_stat &gt;= perc_85, converted_stat * 1.5, converted_stat)))))</f>
        <v/>
      </c>
      <c r="R525" s="30" t="str">
        <f t="array" ref="R525">IF($A525="", "", LET(bbgm_stat, INDEX(Players!$A524:$P524, MATCH(R$2, Players!$A$1:$P$1, 0)), perc_75, VLOOKUP(R$2, Percentiles!$A$45:$I$59, 6, FALSE), perc_90, VLOOKUP(R$2, Percentiles!$A$45:$I$59, 7, FALSE), perc_95, VLOOKUP(R$2, Percentiles!$A$45:$I$59, 8, FALSE), perc_85, perc_75 + (perc_90 - perc_75) * (2/3), converted_stat, '2K_Ratings'!R525, IF(bbgm_stat &gt;= perc_95, converted_stat * 3, IF(bbgm_stat &gt;= perc_90, converted_stat * 2, IF(bbgm_stat &gt;= perc_85, converted_stat * 1.5, converted_stat)))))</f>
        <v/>
      </c>
      <c r="S525" s="30" t="str">
        <f t="array" ref="S525">IF($A525="", "", LET(bbgm_stat, INDEX(Players!$A524:$P524, MATCH(S$2, Players!$A$1:$P$1, 0)), perc_75, VLOOKUP(S$2, Percentiles!$A$45:$I$59, 6, FALSE), perc_90, VLOOKUP(S$2, Percentiles!$A$45:$I$59, 7, FALSE), perc_95, VLOOKUP(S$2, Percentiles!$A$45:$I$59, 8, FALSE), perc_85, perc_75 + (perc_90 - perc_75) * (2/3), converted_stat, '2K_Ratings'!S525, IF(bbgm_stat &gt;= perc_95, converted_stat * 3, IF(bbgm_stat &gt;= perc_90, converted_stat * 2, IF(bbgm_stat &gt;= perc_85, converted_stat * 1.5, converted_stat)))))</f>
        <v/>
      </c>
      <c r="T525" s="30" t="str">
        <f t="array" ref="T525">IF($A525="", "", LET(bbgm_stat, INDEX(Players!$A524:$P524, MATCH(T$2, Players!$A$1:$P$1, 0)), perc_75, VLOOKUP(T$2, Percentiles!$A$45:$I$59, 6, FALSE), perc_90, VLOOKUP(T$2, Percentiles!$A$45:$I$59, 7, FALSE), perc_95, VLOOKUP(T$2, Percentiles!$A$45:$I$59, 8, FALSE), perc_85, perc_75 + (perc_90 - perc_75) * (2/3), converted_stat, '2K_Ratings'!T525, IF(bbgm_stat &gt;= perc_95, converted_stat * 3, IF(bbgm_stat &gt;= perc_90, converted_stat * 2, IF(bbgm_stat &gt;= perc_85, converted_stat * 1.5, converted_stat)))))</f>
        <v/>
      </c>
      <c r="U525" s="30" t="str">
        <f t="array" ref="U525">IF($A525="", "", LET(bbgm_stat, INDEX(Players!$A524:$P524, MATCH(U$2, Players!$A$1:$P$1, 0)), perc_75, VLOOKUP(U$2, Percentiles!$A$45:$I$59, 6, FALSE), perc_90, VLOOKUP(U$2, Percentiles!$A$45:$I$59, 7, FALSE), perc_95, VLOOKUP(U$2, Percentiles!$A$45:$I$59, 8, FALSE), perc_85, perc_75 + (perc_90 - perc_75) * (2/3), converted_stat, '2K_Ratings'!U525, IF(bbgm_stat &gt;= perc_95, converted_stat * 3, IF(bbgm_stat &gt;= perc_90, converted_stat * 2, IF(bbgm_stat &gt;= perc_85, converted_stat * 1.5, converted_stat)))))</f>
        <v/>
      </c>
      <c r="V525" s="30" t="str">
        <f t="array" ref="V525">IF($A525="", "", LET(bbgm_stat, INDEX(Players!$A524:$P524, MATCH(V$2, Players!$A$1:$P$1, 0)), perc_75, VLOOKUP(V$2, Percentiles!$A$45:$I$59, 6, FALSE), perc_90, VLOOKUP(V$2, Percentiles!$A$45:$I$59, 7, FALSE), perc_95, VLOOKUP(V$2, Percentiles!$A$45:$I$59, 8, FALSE), perc_85, perc_75 + (perc_90 - perc_75) * (2/3), converted_stat, '2K_Ratings'!V525, IF(bbgm_stat &gt;= perc_95, converted_stat * 3, IF(bbgm_stat &gt;= perc_90, converted_stat * 2, IF(bbgm_stat &gt;= perc_85, converted_stat * 1.5, converted_stat)))))</f>
        <v/>
      </c>
      <c r="W525" s="30" t="str">
        <f t="array" ref="W525">IF($A525="", "", LET(bbgm_stat, INDEX(Players!$A524:$P524, MATCH(W$2, Players!$A$1:$P$1, 0)), perc_75, VLOOKUP(W$2, Percentiles!$A$45:$I$59, 6, FALSE), perc_90, VLOOKUP(W$2, Percentiles!$A$45:$I$59, 7, FALSE), perc_95, VLOOKUP(W$2, Percentiles!$A$45:$I$59, 8, FALSE), perc_85, perc_75 + (perc_90 - perc_75) * (2/3), converted_stat, '2K_Ratings'!W525, IF(bbgm_stat &gt;= perc_95, converted_stat * 3, IF(bbgm_stat &gt;= perc_90, converted_stat * 2, IF(bbgm_stat &gt;= perc_85, converted_stat * 1.5, converted_stat)))))</f>
        <v/>
      </c>
    </row>
    <row r="526">
      <c r="A526" s="30"/>
      <c r="B526" s="30" t="str">
        <f t="array" ref="B526">IF($A526="", "", LET(bbgm_stat, INDEX(Players!$A525:$P525, MATCH(B$2, Players!$A$1:$P$1, 0)), perc_75, VLOOKUP(B$2, Percentiles!$A$45:$I$59, 6, FALSE), perc_90, VLOOKUP(B$2, Percentiles!$A$45:$I$59, 7, FALSE), perc_95, VLOOKUP(B$2, Percentiles!$A$45:$I$59, 8, FALSE), perc_85, perc_75 + (perc_90 - perc_75) * (2/3), converted_stat, '2K_Ratings'!B526, IF(bbgm_stat &gt;= perc_95, converted_stat * 3, IF(bbgm_stat &gt;= perc_90, converted_stat * 2, IF(bbgm_stat &gt;= perc_85, converted_stat * 1.5, converted_stat)))))</f>
        <v/>
      </c>
      <c r="C526" s="30" t="str">
        <f t="array" ref="C526">IF($A526="", "", LET(bbgm_stat, INDEX(Players!$A525:$P525, MATCH(C$2, Players!$A$1:$P$1, 0)), perc_75, VLOOKUP(C$2, Percentiles!$A$45:$I$59, 6, FALSE), perc_90, VLOOKUP(C$2, Percentiles!$A$45:$I$59, 7, FALSE), perc_95, VLOOKUP(C$2, Percentiles!$A$45:$I$59, 8, FALSE), perc_85, perc_75 + (perc_90 - perc_75) * (2/3), converted_stat, '2K_Ratings'!C526, IF(bbgm_stat &gt;= perc_95, converted_stat * 3, IF(bbgm_stat &gt;= perc_90, converted_stat * 2, IF(bbgm_stat &gt;= perc_85, converted_stat * 1.5, converted_stat)))))</f>
        <v/>
      </c>
      <c r="D526" s="30" t="str">
        <f t="array" ref="D526">IF($A526="", "", LET(bbgm_stat, INDEX(Players!$A525:$P525, MATCH(D$2, Players!$A$1:$P$1, 0)), perc_75, VLOOKUP(D$2, Percentiles!$A$45:$I$59, 6, FALSE), perc_90, VLOOKUP(D$2, Percentiles!$A$45:$I$59, 7, FALSE), perc_95, VLOOKUP(D$2, Percentiles!$A$45:$I$59, 8, FALSE), perc_85, perc_75 + (perc_90 - perc_75) * (2/3), converted_stat, '2K_Ratings'!D526, IF(bbgm_stat &gt;= perc_95, converted_stat * 3, IF(bbgm_stat &gt;= perc_90, converted_stat * 2, IF(bbgm_stat &gt;= perc_85, converted_stat * 1.5, converted_stat)))))</f>
        <v/>
      </c>
      <c r="E526" s="30" t="str">
        <f t="array" ref="E526">IF($A526="", "", LET(bbgm_stat, INDEX(Players!$A525:$P525, MATCH(E$2, Players!$A$1:$P$1, 0)), perc_75, VLOOKUP(E$2, Percentiles!$A$45:$I$59, 6, FALSE), perc_90, VLOOKUP(E$2, Percentiles!$A$45:$I$59, 7, FALSE), perc_95, VLOOKUP(E$2, Percentiles!$A$45:$I$59, 8, FALSE), perc_85, perc_75 + (perc_90 - perc_75) * (2/3), converted_stat, '2K_Ratings'!E526, IF(bbgm_stat &gt;= perc_95, converted_stat * 3, IF(bbgm_stat &gt;= perc_90, converted_stat * 2, IF(bbgm_stat &gt;= perc_85, converted_stat * 1.5, converted_stat)))))</f>
        <v/>
      </c>
      <c r="F526" s="30" t="str">
        <f t="array" ref="F526">IF($A526="", "", LET(bbgm_stat, INDEX(Players!$A525:$P525, MATCH(F$2, Players!$A$1:$P$1, 0)), perc_75, VLOOKUP(F$2, Percentiles!$A$45:$I$59, 6, FALSE), perc_90, VLOOKUP(F$2, Percentiles!$A$45:$I$59, 7, FALSE), perc_95, VLOOKUP(F$2, Percentiles!$A$45:$I$59, 8, FALSE), perc_85, perc_75 + (perc_90 - perc_75) * (2/3), converted_stat, '2K_Ratings'!F526, IF(bbgm_stat &gt;= perc_95, converted_stat * 3, IF(bbgm_stat &gt;= perc_90, converted_stat * 2, IF(bbgm_stat &gt;= perc_85, converted_stat * 1.5, converted_stat)))))</f>
        <v/>
      </c>
      <c r="G526" s="30" t="str">
        <f t="array" ref="G526">IF($A526="", "", LET(bbgm_stat, INDEX(Players!$A525:$P525, MATCH(G$2, Players!$A$1:$P$1, 0)), perc_75, VLOOKUP(G$2, Percentiles!$A$45:$I$59, 6, FALSE), perc_90, VLOOKUP(G$2, Percentiles!$A$45:$I$59, 7, FALSE), perc_95, VLOOKUP(G$2, Percentiles!$A$45:$I$59, 8, FALSE), perc_85, perc_75 + (perc_90 - perc_75) * (2/3), converted_stat, '2K_Ratings'!G526, IF(bbgm_stat &gt;= perc_95, converted_stat * 3, IF(bbgm_stat &gt;= perc_90, converted_stat * 2, IF(bbgm_stat &gt;= perc_85, converted_stat * 1.5, converted_stat)))))</f>
        <v/>
      </c>
      <c r="H526" s="30" t="str">
        <f t="array" ref="H526">IF($A526="", "", LET(bbgm_stat, INDEX(Players!$A525:$P525, MATCH(H$2, Players!$A$1:$P$1, 0)), perc_75, VLOOKUP(H$2, Percentiles!$A$45:$I$59, 6, FALSE), perc_90, VLOOKUP(H$2, Percentiles!$A$45:$I$59, 7, FALSE), perc_95, VLOOKUP(H$2, Percentiles!$A$45:$I$59, 8, FALSE), perc_85, perc_75 + (perc_90 - perc_75) * (2/3), converted_stat, '2K_Ratings'!H526, IF(bbgm_stat &gt;= perc_95, converted_stat * 3, IF(bbgm_stat &gt;= perc_90, converted_stat * 2, IF(bbgm_stat &gt;= perc_85, converted_stat * 1.5, converted_stat)))))</f>
        <v/>
      </c>
      <c r="I526" s="30" t="str">
        <f t="array" ref="I526">IF($A526="", "", LET(bbgm_stat, INDEX(Players!$A525:$P525, MATCH(I$2, Players!$A$1:$P$1, 0)), perc_75, VLOOKUP(I$2, Percentiles!$A$45:$I$59, 6, FALSE), perc_90, VLOOKUP(I$2, Percentiles!$A$45:$I$59, 7, FALSE), perc_95, VLOOKUP(I$2, Percentiles!$A$45:$I$59, 8, FALSE), perc_85, perc_75 + (perc_90 - perc_75) * (2/3), converted_stat, '2K_Ratings'!I526, IF(bbgm_stat &gt;= perc_95, converted_stat * 3, IF(bbgm_stat &gt;= perc_90, converted_stat * 2, IF(bbgm_stat &gt;= perc_85, converted_stat * 1.5, converted_stat)))))</f>
        <v/>
      </c>
      <c r="J526" s="30" t="str">
        <f t="array" ref="J526">IF($A526="", "", LET(bbgm_stat, INDEX(Players!$A525:$P525, MATCH(J$2, Players!$A$1:$P$1, 0)), perc_75, VLOOKUP(J$2, Percentiles!$A$45:$I$59, 6, FALSE), perc_90, VLOOKUP(J$2, Percentiles!$A$45:$I$59, 7, FALSE), perc_95, VLOOKUP(J$2, Percentiles!$A$45:$I$59, 8, FALSE), perc_85, perc_75 + (perc_90 - perc_75) * (2/3), converted_stat, '2K_Ratings'!J526, IF(bbgm_stat &gt;= perc_95, converted_stat * 3, IF(bbgm_stat &gt;= perc_90, converted_stat * 2, IF(bbgm_stat &gt;= perc_85, converted_stat * 1.5, converted_stat)))))</f>
        <v/>
      </c>
      <c r="K526" s="30" t="str">
        <f t="array" ref="K526">IF($A526="", "", LET(bbgm_stat, INDEX(Players!$A525:$P525, MATCH(K$2, Players!$A$1:$P$1, 0)), perc_75, VLOOKUP(K$2, Percentiles!$A$45:$I$59, 6, FALSE), perc_90, VLOOKUP(K$2, Percentiles!$A$45:$I$59, 7, FALSE), perc_95, VLOOKUP(K$2, Percentiles!$A$45:$I$59, 8, FALSE), perc_85, perc_75 + (perc_90 - perc_75) * (2/3), converted_stat, '2K_Ratings'!K526, IF(bbgm_stat &gt;= perc_95, converted_stat * 3, IF(bbgm_stat &gt;= perc_90, converted_stat * 2, IF(bbgm_stat &gt;= perc_85, converted_stat * 1.5, converted_stat)))))</f>
        <v/>
      </c>
      <c r="L526" s="30" t="str">
        <f t="array" ref="L526">IF($A526="", "", LET(bbgm_stat, INDEX(Players!$A525:$P525, MATCH(L$2, Players!$A$1:$P$1, 0)), perc_75, VLOOKUP(L$2, Percentiles!$A$45:$I$59, 6, FALSE), perc_90, VLOOKUP(L$2, Percentiles!$A$45:$I$59, 7, FALSE), perc_95, VLOOKUP(L$2, Percentiles!$A$45:$I$59, 8, FALSE), perc_85, perc_75 + (perc_90 - perc_75) * (2/3), converted_stat, '2K_Ratings'!L526, IF(bbgm_stat &gt;= perc_95, converted_stat * 3, IF(bbgm_stat &gt;= perc_90, converted_stat * 2, IF(bbgm_stat &gt;= perc_85, converted_stat * 1.5, converted_stat)))))</f>
        <v/>
      </c>
      <c r="M526" s="30" t="str">
        <f t="array" ref="M526">IF($A526="", "", LET(bbgm_stat, INDEX(Players!$A525:$P525, MATCH(M$2, Players!$A$1:$P$1, 0)), perc_75, VLOOKUP(M$2, Percentiles!$A$45:$I$59, 6, FALSE), perc_90, VLOOKUP(M$2, Percentiles!$A$45:$I$59, 7, FALSE), perc_95, VLOOKUP(M$2, Percentiles!$A$45:$I$59, 8, FALSE), perc_85, perc_75 + (perc_90 - perc_75) * (2/3), converted_stat, '2K_Ratings'!M526, IF(bbgm_stat &gt;= perc_95, converted_stat * 3, IF(bbgm_stat &gt;= perc_90, converted_stat * 2, IF(bbgm_stat &gt;= perc_85, converted_stat * 1.5, converted_stat)))))</f>
        <v/>
      </c>
      <c r="N526" s="30" t="str">
        <f t="array" ref="N526">IF($A526="", "", LET(bbgm_stat, INDEX(Players!$A525:$P525, MATCH(N$2, Players!$A$1:$P$1, 0)), perc_75, VLOOKUP(N$2, Percentiles!$A$45:$I$59, 6, FALSE), perc_90, VLOOKUP(N$2, Percentiles!$A$45:$I$59, 7, FALSE), perc_95, VLOOKUP(N$2, Percentiles!$A$45:$I$59, 8, FALSE), perc_85, perc_75 + (perc_90 - perc_75) * (2/3), converted_stat, '2K_Ratings'!N526, IF(bbgm_stat &gt;= perc_95, converted_stat * 3, IF(bbgm_stat &gt;= perc_90, converted_stat * 2, IF(bbgm_stat &gt;= perc_85, converted_stat * 1.5, converted_stat)))))</f>
        <v/>
      </c>
      <c r="O526" s="30" t="str">
        <f t="array" ref="O526">IF($A526="", "", LET(bbgm_stat, INDEX(Players!$A525:$P525, MATCH(O$2, Players!$A$1:$P$1, 0)), perc_75, VLOOKUP(O$2, Percentiles!$A$45:$I$59, 6, FALSE), perc_90, VLOOKUP(O$2, Percentiles!$A$45:$I$59, 7, FALSE), perc_95, VLOOKUP(O$2, Percentiles!$A$45:$I$59, 8, FALSE), perc_85, perc_75 + (perc_90 - perc_75) * (2/3), converted_stat, '2K_Ratings'!O526, IF(bbgm_stat &gt;= perc_95, converted_stat * 3, IF(bbgm_stat &gt;= perc_90, converted_stat * 2, IF(bbgm_stat &gt;= perc_85, converted_stat * 1.5, converted_stat)))))</f>
        <v/>
      </c>
      <c r="P526" s="30" t="str">
        <f t="array" ref="P526">IF($A526="", "", LET(bbgm_stat, INDEX(Players!$A525:$P525, MATCH(P$2, Players!$A$1:$P$1, 0)), perc_75, VLOOKUP(P$2, Percentiles!$A$45:$I$59, 6, FALSE), perc_90, VLOOKUP(P$2, Percentiles!$A$45:$I$59, 7, FALSE), perc_95, VLOOKUP(P$2, Percentiles!$A$45:$I$59, 8, FALSE), perc_85, perc_75 + (perc_90 - perc_75) * (2/3), converted_stat, '2K_Ratings'!P526, IF(bbgm_stat &gt;= perc_95, converted_stat * 3, IF(bbgm_stat &gt;= perc_90, converted_stat * 2, IF(bbgm_stat &gt;= perc_85, converted_stat * 1.5, converted_stat)))))</f>
        <v/>
      </c>
      <c r="Q526" s="30" t="str">
        <f t="array" ref="Q526">IF($A526="", "", LET(bbgm_stat, INDEX(Players!$A525:$P525, MATCH(Q$2, Players!$A$1:$P$1, 0)), perc_75, VLOOKUP(Q$2, Percentiles!$A$45:$I$59, 6, FALSE), perc_90, VLOOKUP(Q$2, Percentiles!$A$45:$I$59, 7, FALSE), perc_95, VLOOKUP(Q$2, Percentiles!$A$45:$I$59, 8, FALSE), perc_85, perc_75 + (perc_90 - perc_75) * (2/3), converted_stat, '2K_Ratings'!Q526, IF(bbgm_stat &gt;= perc_95, converted_stat * 3, IF(bbgm_stat &gt;= perc_90, converted_stat * 2, IF(bbgm_stat &gt;= perc_85, converted_stat * 1.5, converted_stat)))))</f>
        <v/>
      </c>
      <c r="R526" s="30" t="str">
        <f t="array" ref="R526">IF($A526="", "", LET(bbgm_stat, INDEX(Players!$A525:$P525, MATCH(R$2, Players!$A$1:$P$1, 0)), perc_75, VLOOKUP(R$2, Percentiles!$A$45:$I$59, 6, FALSE), perc_90, VLOOKUP(R$2, Percentiles!$A$45:$I$59, 7, FALSE), perc_95, VLOOKUP(R$2, Percentiles!$A$45:$I$59, 8, FALSE), perc_85, perc_75 + (perc_90 - perc_75) * (2/3), converted_stat, '2K_Ratings'!R526, IF(bbgm_stat &gt;= perc_95, converted_stat * 3, IF(bbgm_stat &gt;= perc_90, converted_stat * 2, IF(bbgm_stat &gt;= perc_85, converted_stat * 1.5, converted_stat)))))</f>
        <v/>
      </c>
      <c r="S526" s="30" t="str">
        <f t="array" ref="S526">IF($A526="", "", LET(bbgm_stat, INDEX(Players!$A525:$P525, MATCH(S$2, Players!$A$1:$P$1, 0)), perc_75, VLOOKUP(S$2, Percentiles!$A$45:$I$59, 6, FALSE), perc_90, VLOOKUP(S$2, Percentiles!$A$45:$I$59, 7, FALSE), perc_95, VLOOKUP(S$2, Percentiles!$A$45:$I$59, 8, FALSE), perc_85, perc_75 + (perc_90 - perc_75) * (2/3), converted_stat, '2K_Ratings'!S526, IF(bbgm_stat &gt;= perc_95, converted_stat * 3, IF(bbgm_stat &gt;= perc_90, converted_stat * 2, IF(bbgm_stat &gt;= perc_85, converted_stat * 1.5, converted_stat)))))</f>
        <v/>
      </c>
      <c r="T526" s="30" t="str">
        <f t="array" ref="T526">IF($A526="", "", LET(bbgm_stat, INDEX(Players!$A525:$P525, MATCH(T$2, Players!$A$1:$P$1, 0)), perc_75, VLOOKUP(T$2, Percentiles!$A$45:$I$59, 6, FALSE), perc_90, VLOOKUP(T$2, Percentiles!$A$45:$I$59, 7, FALSE), perc_95, VLOOKUP(T$2, Percentiles!$A$45:$I$59, 8, FALSE), perc_85, perc_75 + (perc_90 - perc_75) * (2/3), converted_stat, '2K_Ratings'!T526, IF(bbgm_stat &gt;= perc_95, converted_stat * 3, IF(bbgm_stat &gt;= perc_90, converted_stat * 2, IF(bbgm_stat &gt;= perc_85, converted_stat * 1.5, converted_stat)))))</f>
        <v/>
      </c>
      <c r="U526" s="30" t="str">
        <f t="array" ref="U526">IF($A526="", "", LET(bbgm_stat, INDEX(Players!$A525:$P525, MATCH(U$2, Players!$A$1:$P$1, 0)), perc_75, VLOOKUP(U$2, Percentiles!$A$45:$I$59, 6, FALSE), perc_90, VLOOKUP(U$2, Percentiles!$A$45:$I$59, 7, FALSE), perc_95, VLOOKUP(U$2, Percentiles!$A$45:$I$59, 8, FALSE), perc_85, perc_75 + (perc_90 - perc_75) * (2/3), converted_stat, '2K_Ratings'!U526, IF(bbgm_stat &gt;= perc_95, converted_stat * 3, IF(bbgm_stat &gt;= perc_90, converted_stat * 2, IF(bbgm_stat &gt;= perc_85, converted_stat * 1.5, converted_stat)))))</f>
        <v/>
      </c>
      <c r="V526" s="30" t="str">
        <f t="array" ref="V526">IF($A526="", "", LET(bbgm_stat, INDEX(Players!$A525:$P525, MATCH(V$2, Players!$A$1:$P$1, 0)), perc_75, VLOOKUP(V$2, Percentiles!$A$45:$I$59, 6, FALSE), perc_90, VLOOKUP(V$2, Percentiles!$A$45:$I$59, 7, FALSE), perc_95, VLOOKUP(V$2, Percentiles!$A$45:$I$59, 8, FALSE), perc_85, perc_75 + (perc_90 - perc_75) * (2/3), converted_stat, '2K_Ratings'!V526, IF(bbgm_stat &gt;= perc_95, converted_stat * 3, IF(bbgm_stat &gt;= perc_90, converted_stat * 2, IF(bbgm_stat &gt;= perc_85, converted_stat * 1.5, converted_stat)))))</f>
        <v/>
      </c>
      <c r="W526" s="30" t="str">
        <f t="array" ref="W526">IF($A526="", "", LET(bbgm_stat, INDEX(Players!$A525:$P525, MATCH(W$2, Players!$A$1:$P$1, 0)), perc_75, VLOOKUP(W$2, Percentiles!$A$45:$I$59, 6, FALSE), perc_90, VLOOKUP(W$2, Percentiles!$A$45:$I$59, 7, FALSE), perc_95, VLOOKUP(W$2, Percentiles!$A$45:$I$59, 8, FALSE), perc_85, perc_75 + (perc_90 - perc_75) * (2/3), converted_stat, '2K_Ratings'!W526, IF(bbgm_stat &gt;= perc_95, converted_stat * 3, IF(bbgm_stat &gt;= perc_90, converted_stat * 2, IF(bbgm_stat &gt;= perc_85, converted_stat * 1.5, converted_stat)))))</f>
        <v/>
      </c>
    </row>
    <row r="527">
      <c r="A527" s="30"/>
      <c r="B527" s="30" t="str">
        <f t="array" ref="B527">IF($A527="", "", LET(bbgm_stat, INDEX(Players!$A526:$P526, MATCH(B$2, Players!$A$1:$P$1, 0)), perc_75, VLOOKUP(B$2, Percentiles!$A$45:$I$59, 6, FALSE), perc_90, VLOOKUP(B$2, Percentiles!$A$45:$I$59, 7, FALSE), perc_95, VLOOKUP(B$2, Percentiles!$A$45:$I$59, 8, FALSE), perc_85, perc_75 + (perc_90 - perc_75) * (2/3), converted_stat, '2K_Ratings'!B527, IF(bbgm_stat &gt;= perc_95, converted_stat * 3, IF(bbgm_stat &gt;= perc_90, converted_stat * 2, IF(bbgm_stat &gt;= perc_85, converted_stat * 1.5, converted_stat)))))</f>
        <v/>
      </c>
      <c r="C527" s="30" t="str">
        <f t="array" ref="C527">IF($A527="", "", LET(bbgm_stat, INDEX(Players!$A526:$P526, MATCH(C$2, Players!$A$1:$P$1, 0)), perc_75, VLOOKUP(C$2, Percentiles!$A$45:$I$59, 6, FALSE), perc_90, VLOOKUP(C$2, Percentiles!$A$45:$I$59, 7, FALSE), perc_95, VLOOKUP(C$2, Percentiles!$A$45:$I$59, 8, FALSE), perc_85, perc_75 + (perc_90 - perc_75) * (2/3), converted_stat, '2K_Ratings'!C527, IF(bbgm_stat &gt;= perc_95, converted_stat * 3, IF(bbgm_stat &gt;= perc_90, converted_stat * 2, IF(bbgm_stat &gt;= perc_85, converted_stat * 1.5, converted_stat)))))</f>
        <v/>
      </c>
      <c r="D527" s="30" t="str">
        <f t="array" ref="D527">IF($A527="", "", LET(bbgm_stat, INDEX(Players!$A526:$P526, MATCH(D$2, Players!$A$1:$P$1, 0)), perc_75, VLOOKUP(D$2, Percentiles!$A$45:$I$59, 6, FALSE), perc_90, VLOOKUP(D$2, Percentiles!$A$45:$I$59, 7, FALSE), perc_95, VLOOKUP(D$2, Percentiles!$A$45:$I$59, 8, FALSE), perc_85, perc_75 + (perc_90 - perc_75) * (2/3), converted_stat, '2K_Ratings'!D527, IF(bbgm_stat &gt;= perc_95, converted_stat * 3, IF(bbgm_stat &gt;= perc_90, converted_stat * 2, IF(bbgm_stat &gt;= perc_85, converted_stat * 1.5, converted_stat)))))</f>
        <v/>
      </c>
      <c r="E527" s="30" t="str">
        <f t="array" ref="E527">IF($A527="", "", LET(bbgm_stat, INDEX(Players!$A526:$P526, MATCH(E$2, Players!$A$1:$P$1, 0)), perc_75, VLOOKUP(E$2, Percentiles!$A$45:$I$59, 6, FALSE), perc_90, VLOOKUP(E$2, Percentiles!$A$45:$I$59, 7, FALSE), perc_95, VLOOKUP(E$2, Percentiles!$A$45:$I$59, 8, FALSE), perc_85, perc_75 + (perc_90 - perc_75) * (2/3), converted_stat, '2K_Ratings'!E527, IF(bbgm_stat &gt;= perc_95, converted_stat * 3, IF(bbgm_stat &gt;= perc_90, converted_stat * 2, IF(bbgm_stat &gt;= perc_85, converted_stat * 1.5, converted_stat)))))</f>
        <v/>
      </c>
      <c r="F527" s="30" t="str">
        <f t="array" ref="F527">IF($A527="", "", LET(bbgm_stat, INDEX(Players!$A526:$P526, MATCH(F$2, Players!$A$1:$P$1, 0)), perc_75, VLOOKUP(F$2, Percentiles!$A$45:$I$59, 6, FALSE), perc_90, VLOOKUP(F$2, Percentiles!$A$45:$I$59, 7, FALSE), perc_95, VLOOKUP(F$2, Percentiles!$A$45:$I$59, 8, FALSE), perc_85, perc_75 + (perc_90 - perc_75) * (2/3), converted_stat, '2K_Ratings'!F527, IF(bbgm_stat &gt;= perc_95, converted_stat * 3, IF(bbgm_stat &gt;= perc_90, converted_stat * 2, IF(bbgm_stat &gt;= perc_85, converted_stat * 1.5, converted_stat)))))</f>
        <v/>
      </c>
      <c r="G527" s="30" t="str">
        <f t="array" ref="G527">IF($A527="", "", LET(bbgm_stat, INDEX(Players!$A526:$P526, MATCH(G$2, Players!$A$1:$P$1, 0)), perc_75, VLOOKUP(G$2, Percentiles!$A$45:$I$59, 6, FALSE), perc_90, VLOOKUP(G$2, Percentiles!$A$45:$I$59, 7, FALSE), perc_95, VLOOKUP(G$2, Percentiles!$A$45:$I$59, 8, FALSE), perc_85, perc_75 + (perc_90 - perc_75) * (2/3), converted_stat, '2K_Ratings'!G527, IF(bbgm_stat &gt;= perc_95, converted_stat * 3, IF(bbgm_stat &gt;= perc_90, converted_stat * 2, IF(bbgm_stat &gt;= perc_85, converted_stat * 1.5, converted_stat)))))</f>
        <v/>
      </c>
      <c r="H527" s="30" t="str">
        <f t="array" ref="H527">IF($A527="", "", LET(bbgm_stat, INDEX(Players!$A526:$P526, MATCH(H$2, Players!$A$1:$P$1, 0)), perc_75, VLOOKUP(H$2, Percentiles!$A$45:$I$59, 6, FALSE), perc_90, VLOOKUP(H$2, Percentiles!$A$45:$I$59, 7, FALSE), perc_95, VLOOKUP(H$2, Percentiles!$A$45:$I$59, 8, FALSE), perc_85, perc_75 + (perc_90 - perc_75) * (2/3), converted_stat, '2K_Ratings'!H527, IF(bbgm_stat &gt;= perc_95, converted_stat * 3, IF(bbgm_stat &gt;= perc_90, converted_stat * 2, IF(bbgm_stat &gt;= perc_85, converted_stat * 1.5, converted_stat)))))</f>
        <v/>
      </c>
      <c r="I527" s="30" t="str">
        <f t="array" ref="I527">IF($A527="", "", LET(bbgm_stat, INDEX(Players!$A526:$P526, MATCH(I$2, Players!$A$1:$P$1, 0)), perc_75, VLOOKUP(I$2, Percentiles!$A$45:$I$59, 6, FALSE), perc_90, VLOOKUP(I$2, Percentiles!$A$45:$I$59, 7, FALSE), perc_95, VLOOKUP(I$2, Percentiles!$A$45:$I$59, 8, FALSE), perc_85, perc_75 + (perc_90 - perc_75) * (2/3), converted_stat, '2K_Ratings'!I527, IF(bbgm_stat &gt;= perc_95, converted_stat * 3, IF(bbgm_stat &gt;= perc_90, converted_stat * 2, IF(bbgm_stat &gt;= perc_85, converted_stat * 1.5, converted_stat)))))</f>
        <v/>
      </c>
      <c r="J527" s="30" t="str">
        <f t="array" ref="J527">IF($A527="", "", LET(bbgm_stat, INDEX(Players!$A526:$P526, MATCH(J$2, Players!$A$1:$P$1, 0)), perc_75, VLOOKUP(J$2, Percentiles!$A$45:$I$59, 6, FALSE), perc_90, VLOOKUP(J$2, Percentiles!$A$45:$I$59, 7, FALSE), perc_95, VLOOKUP(J$2, Percentiles!$A$45:$I$59, 8, FALSE), perc_85, perc_75 + (perc_90 - perc_75) * (2/3), converted_stat, '2K_Ratings'!J527, IF(bbgm_stat &gt;= perc_95, converted_stat * 3, IF(bbgm_stat &gt;= perc_90, converted_stat * 2, IF(bbgm_stat &gt;= perc_85, converted_stat * 1.5, converted_stat)))))</f>
        <v/>
      </c>
      <c r="K527" s="30" t="str">
        <f t="array" ref="K527">IF($A527="", "", LET(bbgm_stat, INDEX(Players!$A526:$P526, MATCH(K$2, Players!$A$1:$P$1, 0)), perc_75, VLOOKUP(K$2, Percentiles!$A$45:$I$59, 6, FALSE), perc_90, VLOOKUP(K$2, Percentiles!$A$45:$I$59, 7, FALSE), perc_95, VLOOKUP(K$2, Percentiles!$A$45:$I$59, 8, FALSE), perc_85, perc_75 + (perc_90 - perc_75) * (2/3), converted_stat, '2K_Ratings'!K527, IF(bbgm_stat &gt;= perc_95, converted_stat * 3, IF(bbgm_stat &gt;= perc_90, converted_stat * 2, IF(bbgm_stat &gt;= perc_85, converted_stat * 1.5, converted_stat)))))</f>
        <v/>
      </c>
      <c r="L527" s="30" t="str">
        <f t="array" ref="L527">IF($A527="", "", LET(bbgm_stat, INDEX(Players!$A526:$P526, MATCH(L$2, Players!$A$1:$P$1, 0)), perc_75, VLOOKUP(L$2, Percentiles!$A$45:$I$59, 6, FALSE), perc_90, VLOOKUP(L$2, Percentiles!$A$45:$I$59, 7, FALSE), perc_95, VLOOKUP(L$2, Percentiles!$A$45:$I$59, 8, FALSE), perc_85, perc_75 + (perc_90 - perc_75) * (2/3), converted_stat, '2K_Ratings'!L527, IF(bbgm_stat &gt;= perc_95, converted_stat * 3, IF(bbgm_stat &gt;= perc_90, converted_stat * 2, IF(bbgm_stat &gt;= perc_85, converted_stat * 1.5, converted_stat)))))</f>
        <v/>
      </c>
      <c r="M527" s="30" t="str">
        <f t="array" ref="M527">IF($A527="", "", LET(bbgm_stat, INDEX(Players!$A526:$P526, MATCH(M$2, Players!$A$1:$P$1, 0)), perc_75, VLOOKUP(M$2, Percentiles!$A$45:$I$59, 6, FALSE), perc_90, VLOOKUP(M$2, Percentiles!$A$45:$I$59, 7, FALSE), perc_95, VLOOKUP(M$2, Percentiles!$A$45:$I$59, 8, FALSE), perc_85, perc_75 + (perc_90 - perc_75) * (2/3), converted_stat, '2K_Ratings'!M527, IF(bbgm_stat &gt;= perc_95, converted_stat * 3, IF(bbgm_stat &gt;= perc_90, converted_stat * 2, IF(bbgm_stat &gt;= perc_85, converted_stat * 1.5, converted_stat)))))</f>
        <v/>
      </c>
      <c r="N527" s="30" t="str">
        <f t="array" ref="N527">IF($A527="", "", LET(bbgm_stat, INDEX(Players!$A526:$P526, MATCH(N$2, Players!$A$1:$P$1, 0)), perc_75, VLOOKUP(N$2, Percentiles!$A$45:$I$59, 6, FALSE), perc_90, VLOOKUP(N$2, Percentiles!$A$45:$I$59, 7, FALSE), perc_95, VLOOKUP(N$2, Percentiles!$A$45:$I$59, 8, FALSE), perc_85, perc_75 + (perc_90 - perc_75) * (2/3), converted_stat, '2K_Ratings'!N527, IF(bbgm_stat &gt;= perc_95, converted_stat * 3, IF(bbgm_stat &gt;= perc_90, converted_stat * 2, IF(bbgm_stat &gt;= perc_85, converted_stat * 1.5, converted_stat)))))</f>
        <v/>
      </c>
      <c r="O527" s="30" t="str">
        <f t="array" ref="O527">IF($A527="", "", LET(bbgm_stat, INDEX(Players!$A526:$P526, MATCH(O$2, Players!$A$1:$P$1, 0)), perc_75, VLOOKUP(O$2, Percentiles!$A$45:$I$59, 6, FALSE), perc_90, VLOOKUP(O$2, Percentiles!$A$45:$I$59, 7, FALSE), perc_95, VLOOKUP(O$2, Percentiles!$A$45:$I$59, 8, FALSE), perc_85, perc_75 + (perc_90 - perc_75) * (2/3), converted_stat, '2K_Ratings'!O527, IF(bbgm_stat &gt;= perc_95, converted_stat * 3, IF(bbgm_stat &gt;= perc_90, converted_stat * 2, IF(bbgm_stat &gt;= perc_85, converted_stat * 1.5, converted_stat)))))</f>
        <v/>
      </c>
      <c r="P527" s="30" t="str">
        <f t="array" ref="P527">IF($A527="", "", LET(bbgm_stat, INDEX(Players!$A526:$P526, MATCH(P$2, Players!$A$1:$P$1, 0)), perc_75, VLOOKUP(P$2, Percentiles!$A$45:$I$59, 6, FALSE), perc_90, VLOOKUP(P$2, Percentiles!$A$45:$I$59, 7, FALSE), perc_95, VLOOKUP(P$2, Percentiles!$A$45:$I$59, 8, FALSE), perc_85, perc_75 + (perc_90 - perc_75) * (2/3), converted_stat, '2K_Ratings'!P527, IF(bbgm_stat &gt;= perc_95, converted_stat * 3, IF(bbgm_stat &gt;= perc_90, converted_stat * 2, IF(bbgm_stat &gt;= perc_85, converted_stat * 1.5, converted_stat)))))</f>
        <v/>
      </c>
      <c r="Q527" s="30" t="str">
        <f t="array" ref="Q527">IF($A527="", "", LET(bbgm_stat, INDEX(Players!$A526:$P526, MATCH(Q$2, Players!$A$1:$P$1, 0)), perc_75, VLOOKUP(Q$2, Percentiles!$A$45:$I$59, 6, FALSE), perc_90, VLOOKUP(Q$2, Percentiles!$A$45:$I$59, 7, FALSE), perc_95, VLOOKUP(Q$2, Percentiles!$A$45:$I$59, 8, FALSE), perc_85, perc_75 + (perc_90 - perc_75) * (2/3), converted_stat, '2K_Ratings'!Q527, IF(bbgm_stat &gt;= perc_95, converted_stat * 3, IF(bbgm_stat &gt;= perc_90, converted_stat * 2, IF(bbgm_stat &gt;= perc_85, converted_stat * 1.5, converted_stat)))))</f>
        <v/>
      </c>
      <c r="R527" s="30" t="str">
        <f t="array" ref="R527">IF($A527="", "", LET(bbgm_stat, INDEX(Players!$A526:$P526, MATCH(R$2, Players!$A$1:$P$1, 0)), perc_75, VLOOKUP(R$2, Percentiles!$A$45:$I$59, 6, FALSE), perc_90, VLOOKUP(R$2, Percentiles!$A$45:$I$59, 7, FALSE), perc_95, VLOOKUP(R$2, Percentiles!$A$45:$I$59, 8, FALSE), perc_85, perc_75 + (perc_90 - perc_75) * (2/3), converted_stat, '2K_Ratings'!R527, IF(bbgm_stat &gt;= perc_95, converted_stat * 3, IF(bbgm_stat &gt;= perc_90, converted_stat * 2, IF(bbgm_stat &gt;= perc_85, converted_stat * 1.5, converted_stat)))))</f>
        <v/>
      </c>
      <c r="S527" s="30" t="str">
        <f t="array" ref="S527">IF($A527="", "", LET(bbgm_stat, INDEX(Players!$A526:$P526, MATCH(S$2, Players!$A$1:$P$1, 0)), perc_75, VLOOKUP(S$2, Percentiles!$A$45:$I$59, 6, FALSE), perc_90, VLOOKUP(S$2, Percentiles!$A$45:$I$59, 7, FALSE), perc_95, VLOOKUP(S$2, Percentiles!$A$45:$I$59, 8, FALSE), perc_85, perc_75 + (perc_90 - perc_75) * (2/3), converted_stat, '2K_Ratings'!S527, IF(bbgm_stat &gt;= perc_95, converted_stat * 3, IF(bbgm_stat &gt;= perc_90, converted_stat * 2, IF(bbgm_stat &gt;= perc_85, converted_stat * 1.5, converted_stat)))))</f>
        <v/>
      </c>
      <c r="T527" s="30" t="str">
        <f t="array" ref="T527">IF($A527="", "", LET(bbgm_stat, INDEX(Players!$A526:$P526, MATCH(T$2, Players!$A$1:$P$1, 0)), perc_75, VLOOKUP(T$2, Percentiles!$A$45:$I$59, 6, FALSE), perc_90, VLOOKUP(T$2, Percentiles!$A$45:$I$59, 7, FALSE), perc_95, VLOOKUP(T$2, Percentiles!$A$45:$I$59, 8, FALSE), perc_85, perc_75 + (perc_90 - perc_75) * (2/3), converted_stat, '2K_Ratings'!T527, IF(bbgm_stat &gt;= perc_95, converted_stat * 3, IF(bbgm_stat &gt;= perc_90, converted_stat * 2, IF(bbgm_stat &gt;= perc_85, converted_stat * 1.5, converted_stat)))))</f>
        <v/>
      </c>
      <c r="U527" s="30" t="str">
        <f t="array" ref="U527">IF($A527="", "", LET(bbgm_stat, INDEX(Players!$A526:$P526, MATCH(U$2, Players!$A$1:$P$1, 0)), perc_75, VLOOKUP(U$2, Percentiles!$A$45:$I$59, 6, FALSE), perc_90, VLOOKUP(U$2, Percentiles!$A$45:$I$59, 7, FALSE), perc_95, VLOOKUP(U$2, Percentiles!$A$45:$I$59, 8, FALSE), perc_85, perc_75 + (perc_90 - perc_75) * (2/3), converted_stat, '2K_Ratings'!U527, IF(bbgm_stat &gt;= perc_95, converted_stat * 3, IF(bbgm_stat &gt;= perc_90, converted_stat * 2, IF(bbgm_stat &gt;= perc_85, converted_stat * 1.5, converted_stat)))))</f>
        <v/>
      </c>
      <c r="V527" s="30" t="str">
        <f t="array" ref="V527">IF($A527="", "", LET(bbgm_stat, INDEX(Players!$A526:$P526, MATCH(V$2, Players!$A$1:$P$1, 0)), perc_75, VLOOKUP(V$2, Percentiles!$A$45:$I$59, 6, FALSE), perc_90, VLOOKUP(V$2, Percentiles!$A$45:$I$59, 7, FALSE), perc_95, VLOOKUP(V$2, Percentiles!$A$45:$I$59, 8, FALSE), perc_85, perc_75 + (perc_90 - perc_75) * (2/3), converted_stat, '2K_Ratings'!V527, IF(bbgm_stat &gt;= perc_95, converted_stat * 3, IF(bbgm_stat &gt;= perc_90, converted_stat * 2, IF(bbgm_stat &gt;= perc_85, converted_stat * 1.5, converted_stat)))))</f>
        <v/>
      </c>
      <c r="W527" s="30" t="str">
        <f t="array" ref="W527">IF($A527="", "", LET(bbgm_stat, INDEX(Players!$A526:$P526, MATCH(W$2, Players!$A$1:$P$1, 0)), perc_75, VLOOKUP(W$2, Percentiles!$A$45:$I$59, 6, FALSE), perc_90, VLOOKUP(W$2, Percentiles!$A$45:$I$59, 7, FALSE), perc_95, VLOOKUP(W$2, Percentiles!$A$45:$I$59, 8, FALSE), perc_85, perc_75 + (perc_90 - perc_75) * (2/3), converted_stat, '2K_Ratings'!W527, IF(bbgm_stat &gt;= perc_95, converted_stat * 3, IF(bbgm_stat &gt;= perc_90, converted_stat * 2, IF(bbgm_stat &gt;= perc_85, converted_stat * 1.5, converted_stat)))))</f>
        <v/>
      </c>
    </row>
    <row r="528">
      <c r="A528" s="30"/>
      <c r="B528" s="30" t="str">
        <f t="array" ref="B528">IF($A528="", "", LET(bbgm_stat, INDEX(Players!$A527:$P527, MATCH(B$2, Players!$A$1:$P$1, 0)), perc_75, VLOOKUP(B$2, Percentiles!$A$45:$I$59, 6, FALSE), perc_90, VLOOKUP(B$2, Percentiles!$A$45:$I$59, 7, FALSE), perc_95, VLOOKUP(B$2, Percentiles!$A$45:$I$59, 8, FALSE), perc_85, perc_75 + (perc_90 - perc_75) * (2/3), converted_stat, '2K_Ratings'!B528, IF(bbgm_stat &gt;= perc_95, converted_stat * 3, IF(bbgm_stat &gt;= perc_90, converted_stat * 2, IF(bbgm_stat &gt;= perc_85, converted_stat * 1.5, converted_stat)))))</f>
        <v/>
      </c>
      <c r="C528" s="30" t="str">
        <f t="array" ref="C528">IF($A528="", "", LET(bbgm_stat, INDEX(Players!$A527:$P527, MATCH(C$2, Players!$A$1:$P$1, 0)), perc_75, VLOOKUP(C$2, Percentiles!$A$45:$I$59, 6, FALSE), perc_90, VLOOKUP(C$2, Percentiles!$A$45:$I$59, 7, FALSE), perc_95, VLOOKUP(C$2, Percentiles!$A$45:$I$59, 8, FALSE), perc_85, perc_75 + (perc_90 - perc_75) * (2/3), converted_stat, '2K_Ratings'!C528, IF(bbgm_stat &gt;= perc_95, converted_stat * 3, IF(bbgm_stat &gt;= perc_90, converted_stat * 2, IF(bbgm_stat &gt;= perc_85, converted_stat * 1.5, converted_stat)))))</f>
        <v/>
      </c>
      <c r="D528" s="30" t="str">
        <f t="array" ref="D528">IF($A528="", "", LET(bbgm_stat, INDEX(Players!$A527:$P527, MATCH(D$2, Players!$A$1:$P$1, 0)), perc_75, VLOOKUP(D$2, Percentiles!$A$45:$I$59, 6, FALSE), perc_90, VLOOKUP(D$2, Percentiles!$A$45:$I$59, 7, FALSE), perc_95, VLOOKUP(D$2, Percentiles!$A$45:$I$59, 8, FALSE), perc_85, perc_75 + (perc_90 - perc_75) * (2/3), converted_stat, '2K_Ratings'!D528, IF(bbgm_stat &gt;= perc_95, converted_stat * 3, IF(bbgm_stat &gt;= perc_90, converted_stat * 2, IF(bbgm_stat &gt;= perc_85, converted_stat * 1.5, converted_stat)))))</f>
        <v/>
      </c>
      <c r="E528" s="30" t="str">
        <f t="array" ref="E528">IF($A528="", "", LET(bbgm_stat, INDEX(Players!$A527:$P527, MATCH(E$2, Players!$A$1:$P$1, 0)), perc_75, VLOOKUP(E$2, Percentiles!$A$45:$I$59, 6, FALSE), perc_90, VLOOKUP(E$2, Percentiles!$A$45:$I$59, 7, FALSE), perc_95, VLOOKUP(E$2, Percentiles!$A$45:$I$59, 8, FALSE), perc_85, perc_75 + (perc_90 - perc_75) * (2/3), converted_stat, '2K_Ratings'!E528, IF(bbgm_stat &gt;= perc_95, converted_stat * 3, IF(bbgm_stat &gt;= perc_90, converted_stat * 2, IF(bbgm_stat &gt;= perc_85, converted_stat * 1.5, converted_stat)))))</f>
        <v/>
      </c>
      <c r="F528" s="30" t="str">
        <f t="array" ref="F528">IF($A528="", "", LET(bbgm_stat, INDEX(Players!$A527:$P527, MATCH(F$2, Players!$A$1:$P$1, 0)), perc_75, VLOOKUP(F$2, Percentiles!$A$45:$I$59, 6, FALSE), perc_90, VLOOKUP(F$2, Percentiles!$A$45:$I$59, 7, FALSE), perc_95, VLOOKUP(F$2, Percentiles!$A$45:$I$59, 8, FALSE), perc_85, perc_75 + (perc_90 - perc_75) * (2/3), converted_stat, '2K_Ratings'!F528, IF(bbgm_stat &gt;= perc_95, converted_stat * 3, IF(bbgm_stat &gt;= perc_90, converted_stat * 2, IF(bbgm_stat &gt;= perc_85, converted_stat * 1.5, converted_stat)))))</f>
        <v/>
      </c>
      <c r="G528" s="30" t="str">
        <f t="array" ref="G528">IF($A528="", "", LET(bbgm_stat, INDEX(Players!$A527:$P527, MATCH(G$2, Players!$A$1:$P$1, 0)), perc_75, VLOOKUP(G$2, Percentiles!$A$45:$I$59, 6, FALSE), perc_90, VLOOKUP(G$2, Percentiles!$A$45:$I$59, 7, FALSE), perc_95, VLOOKUP(G$2, Percentiles!$A$45:$I$59, 8, FALSE), perc_85, perc_75 + (perc_90 - perc_75) * (2/3), converted_stat, '2K_Ratings'!G528, IF(bbgm_stat &gt;= perc_95, converted_stat * 3, IF(bbgm_stat &gt;= perc_90, converted_stat * 2, IF(bbgm_stat &gt;= perc_85, converted_stat * 1.5, converted_stat)))))</f>
        <v/>
      </c>
      <c r="H528" s="30" t="str">
        <f t="array" ref="H528">IF($A528="", "", LET(bbgm_stat, INDEX(Players!$A527:$P527, MATCH(H$2, Players!$A$1:$P$1, 0)), perc_75, VLOOKUP(H$2, Percentiles!$A$45:$I$59, 6, FALSE), perc_90, VLOOKUP(H$2, Percentiles!$A$45:$I$59, 7, FALSE), perc_95, VLOOKUP(H$2, Percentiles!$A$45:$I$59, 8, FALSE), perc_85, perc_75 + (perc_90 - perc_75) * (2/3), converted_stat, '2K_Ratings'!H528, IF(bbgm_stat &gt;= perc_95, converted_stat * 3, IF(bbgm_stat &gt;= perc_90, converted_stat * 2, IF(bbgm_stat &gt;= perc_85, converted_stat * 1.5, converted_stat)))))</f>
        <v/>
      </c>
      <c r="I528" s="30" t="str">
        <f t="array" ref="I528">IF($A528="", "", LET(bbgm_stat, INDEX(Players!$A527:$P527, MATCH(I$2, Players!$A$1:$P$1, 0)), perc_75, VLOOKUP(I$2, Percentiles!$A$45:$I$59, 6, FALSE), perc_90, VLOOKUP(I$2, Percentiles!$A$45:$I$59, 7, FALSE), perc_95, VLOOKUP(I$2, Percentiles!$A$45:$I$59, 8, FALSE), perc_85, perc_75 + (perc_90 - perc_75) * (2/3), converted_stat, '2K_Ratings'!I528, IF(bbgm_stat &gt;= perc_95, converted_stat * 3, IF(bbgm_stat &gt;= perc_90, converted_stat * 2, IF(bbgm_stat &gt;= perc_85, converted_stat * 1.5, converted_stat)))))</f>
        <v/>
      </c>
      <c r="J528" s="30" t="str">
        <f t="array" ref="J528">IF($A528="", "", LET(bbgm_stat, INDEX(Players!$A527:$P527, MATCH(J$2, Players!$A$1:$P$1, 0)), perc_75, VLOOKUP(J$2, Percentiles!$A$45:$I$59, 6, FALSE), perc_90, VLOOKUP(J$2, Percentiles!$A$45:$I$59, 7, FALSE), perc_95, VLOOKUP(J$2, Percentiles!$A$45:$I$59, 8, FALSE), perc_85, perc_75 + (perc_90 - perc_75) * (2/3), converted_stat, '2K_Ratings'!J528, IF(bbgm_stat &gt;= perc_95, converted_stat * 3, IF(bbgm_stat &gt;= perc_90, converted_stat * 2, IF(bbgm_stat &gt;= perc_85, converted_stat * 1.5, converted_stat)))))</f>
        <v/>
      </c>
      <c r="K528" s="30" t="str">
        <f t="array" ref="K528">IF($A528="", "", LET(bbgm_stat, INDEX(Players!$A527:$P527, MATCH(K$2, Players!$A$1:$P$1, 0)), perc_75, VLOOKUP(K$2, Percentiles!$A$45:$I$59, 6, FALSE), perc_90, VLOOKUP(K$2, Percentiles!$A$45:$I$59, 7, FALSE), perc_95, VLOOKUP(K$2, Percentiles!$A$45:$I$59, 8, FALSE), perc_85, perc_75 + (perc_90 - perc_75) * (2/3), converted_stat, '2K_Ratings'!K528, IF(bbgm_stat &gt;= perc_95, converted_stat * 3, IF(bbgm_stat &gt;= perc_90, converted_stat * 2, IF(bbgm_stat &gt;= perc_85, converted_stat * 1.5, converted_stat)))))</f>
        <v/>
      </c>
      <c r="L528" s="30" t="str">
        <f t="array" ref="L528">IF($A528="", "", LET(bbgm_stat, INDEX(Players!$A527:$P527, MATCH(L$2, Players!$A$1:$P$1, 0)), perc_75, VLOOKUP(L$2, Percentiles!$A$45:$I$59, 6, FALSE), perc_90, VLOOKUP(L$2, Percentiles!$A$45:$I$59, 7, FALSE), perc_95, VLOOKUP(L$2, Percentiles!$A$45:$I$59, 8, FALSE), perc_85, perc_75 + (perc_90 - perc_75) * (2/3), converted_stat, '2K_Ratings'!L528, IF(bbgm_stat &gt;= perc_95, converted_stat * 3, IF(bbgm_stat &gt;= perc_90, converted_stat * 2, IF(bbgm_stat &gt;= perc_85, converted_stat * 1.5, converted_stat)))))</f>
        <v/>
      </c>
      <c r="M528" s="30" t="str">
        <f t="array" ref="M528">IF($A528="", "", LET(bbgm_stat, INDEX(Players!$A527:$P527, MATCH(M$2, Players!$A$1:$P$1, 0)), perc_75, VLOOKUP(M$2, Percentiles!$A$45:$I$59, 6, FALSE), perc_90, VLOOKUP(M$2, Percentiles!$A$45:$I$59, 7, FALSE), perc_95, VLOOKUP(M$2, Percentiles!$A$45:$I$59, 8, FALSE), perc_85, perc_75 + (perc_90 - perc_75) * (2/3), converted_stat, '2K_Ratings'!M528, IF(bbgm_stat &gt;= perc_95, converted_stat * 3, IF(bbgm_stat &gt;= perc_90, converted_stat * 2, IF(bbgm_stat &gt;= perc_85, converted_stat * 1.5, converted_stat)))))</f>
        <v/>
      </c>
      <c r="N528" s="30" t="str">
        <f t="array" ref="N528">IF($A528="", "", LET(bbgm_stat, INDEX(Players!$A527:$P527, MATCH(N$2, Players!$A$1:$P$1, 0)), perc_75, VLOOKUP(N$2, Percentiles!$A$45:$I$59, 6, FALSE), perc_90, VLOOKUP(N$2, Percentiles!$A$45:$I$59, 7, FALSE), perc_95, VLOOKUP(N$2, Percentiles!$A$45:$I$59, 8, FALSE), perc_85, perc_75 + (perc_90 - perc_75) * (2/3), converted_stat, '2K_Ratings'!N528, IF(bbgm_stat &gt;= perc_95, converted_stat * 3, IF(bbgm_stat &gt;= perc_90, converted_stat * 2, IF(bbgm_stat &gt;= perc_85, converted_stat * 1.5, converted_stat)))))</f>
        <v/>
      </c>
      <c r="O528" s="30" t="str">
        <f t="array" ref="O528">IF($A528="", "", LET(bbgm_stat, INDEX(Players!$A527:$P527, MATCH(O$2, Players!$A$1:$P$1, 0)), perc_75, VLOOKUP(O$2, Percentiles!$A$45:$I$59, 6, FALSE), perc_90, VLOOKUP(O$2, Percentiles!$A$45:$I$59, 7, FALSE), perc_95, VLOOKUP(O$2, Percentiles!$A$45:$I$59, 8, FALSE), perc_85, perc_75 + (perc_90 - perc_75) * (2/3), converted_stat, '2K_Ratings'!O528, IF(bbgm_stat &gt;= perc_95, converted_stat * 3, IF(bbgm_stat &gt;= perc_90, converted_stat * 2, IF(bbgm_stat &gt;= perc_85, converted_stat * 1.5, converted_stat)))))</f>
        <v/>
      </c>
      <c r="P528" s="30" t="str">
        <f t="array" ref="P528">IF($A528="", "", LET(bbgm_stat, INDEX(Players!$A527:$P527, MATCH(P$2, Players!$A$1:$P$1, 0)), perc_75, VLOOKUP(P$2, Percentiles!$A$45:$I$59, 6, FALSE), perc_90, VLOOKUP(P$2, Percentiles!$A$45:$I$59, 7, FALSE), perc_95, VLOOKUP(P$2, Percentiles!$A$45:$I$59, 8, FALSE), perc_85, perc_75 + (perc_90 - perc_75) * (2/3), converted_stat, '2K_Ratings'!P528, IF(bbgm_stat &gt;= perc_95, converted_stat * 3, IF(bbgm_stat &gt;= perc_90, converted_stat * 2, IF(bbgm_stat &gt;= perc_85, converted_stat * 1.5, converted_stat)))))</f>
        <v/>
      </c>
      <c r="Q528" s="30" t="str">
        <f t="array" ref="Q528">IF($A528="", "", LET(bbgm_stat, INDEX(Players!$A527:$P527, MATCH(Q$2, Players!$A$1:$P$1, 0)), perc_75, VLOOKUP(Q$2, Percentiles!$A$45:$I$59, 6, FALSE), perc_90, VLOOKUP(Q$2, Percentiles!$A$45:$I$59, 7, FALSE), perc_95, VLOOKUP(Q$2, Percentiles!$A$45:$I$59, 8, FALSE), perc_85, perc_75 + (perc_90 - perc_75) * (2/3), converted_stat, '2K_Ratings'!Q528, IF(bbgm_stat &gt;= perc_95, converted_stat * 3, IF(bbgm_stat &gt;= perc_90, converted_stat * 2, IF(bbgm_stat &gt;= perc_85, converted_stat * 1.5, converted_stat)))))</f>
        <v/>
      </c>
      <c r="R528" s="30" t="str">
        <f t="array" ref="R528">IF($A528="", "", LET(bbgm_stat, INDEX(Players!$A527:$P527, MATCH(R$2, Players!$A$1:$P$1, 0)), perc_75, VLOOKUP(R$2, Percentiles!$A$45:$I$59, 6, FALSE), perc_90, VLOOKUP(R$2, Percentiles!$A$45:$I$59, 7, FALSE), perc_95, VLOOKUP(R$2, Percentiles!$A$45:$I$59, 8, FALSE), perc_85, perc_75 + (perc_90 - perc_75) * (2/3), converted_stat, '2K_Ratings'!R528, IF(bbgm_stat &gt;= perc_95, converted_stat * 3, IF(bbgm_stat &gt;= perc_90, converted_stat * 2, IF(bbgm_stat &gt;= perc_85, converted_stat * 1.5, converted_stat)))))</f>
        <v/>
      </c>
      <c r="S528" s="30" t="str">
        <f t="array" ref="S528">IF($A528="", "", LET(bbgm_stat, INDEX(Players!$A527:$P527, MATCH(S$2, Players!$A$1:$P$1, 0)), perc_75, VLOOKUP(S$2, Percentiles!$A$45:$I$59, 6, FALSE), perc_90, VLOOKUP(S$2, Percentiles!$A$45:$I$59, 7, FALSE), perc_95, VLOOKUP(S$2, Percentiles!$A$45:$I$59, 8, FALSE), perc_85, perc_75 + (perc_90 - perc_75) * (2/3), converted_stat, '2K_Ratings'!S528, IF(bbgm_stat &gt;= perc_95, converted_stat * 3, IF(bbgm_stat &gt;= perc_90, converted_stat * 2, IF(bbgm_stat &gt;= perc_85, converted_stat * 1.5, converted_stat)))))</f>
        <v/>
      </c>
      <c r="T528" s="30" t="str">
        <f t="array" ref="T528">IF($A528="", "", LET(bbgm_stat, INDEX(Players!$A527:$P527, MATCH(T$2, Players!$A$1:$P$1, 0)), perc_75, VLOOKUP(T$2, Percentiles!$A$45:$I$59, 6, FALSE), perc_90, VLOOKUP(T$2, Percentiles!$A$45:$I$59, 7, FALSE), perc_95, VLOOKUP(T$2, Percentiles!$A$45:$I$59, 8, FALSE), perc_85, perc_75 + (perc_90 - perc_75) * (2/3), converted_stat, '2K_Ratings'!T528, IF(bbgm_stat &gt;= perc_95, converted_stat * 3, IF(bbgm_stat &gt;= perc_90, converted_stat * 2, IF(bbgm_stat &gt;= perc_85, converted_stat * 1.5, converted_stat)))))</f>
        <v/>
      </c>
      <c r="U528" s="30" t="str">
        <f t="array" ref="U528">IF($A528="", "", LET(bbgm_stat, INDEX(Players!$A527:$P527, MATCH(U$2, Players!$A$1:$P$1, 0)), perc_75, VLOOKUP(U$2, Percentiles!$A$45:$I$59, 6, FALSE), perc_90, VLOOKUP(U$2, Percentiles!$A$45:$I$59, 7, FALSE), perc_95, VLOOKUP(U$2, Percentiles!$A$45:$I$59, 8, FALSE), perc_85, perc_75 + (perc_90 - perc_75) * (2/3), converted_stat, '2K_Ratings'!U528, IF(bbgm_stat &gt;= perc_95, converted_stat * 3, IF(bbgm_stat &gt;= perc_90, converted_stat * 2, IF(bbgm_stat &gt;= perc_85, converted_stat * 1.5, converted_stat)))))</f>
        <v/>
      </c>
      <c r="V528" s="30" t="str">
        <f t="array" ref="V528">IF($A528="", "", LET(bbgm_stat, INDEX(Players!$A527:$P527, MATCH(V$2, Players!$A$1:$P$1, 0)), perc_75, VLOOKUP(V$2, Percentiles!$A$45:$I$59, 6, FALSE), perc_90, VLOOKUP(V$2, Percentiles!$A$45:$I$59, 7, FALSE), perc_95, VLOOKUP(V$2, Percentiles!$A$45:$I$59, 8, FALSE), perc_85, perc_75 + (perc_90 - perc_75) * (2/3), converted_stat, '2K_Ratings'!V528, IF(bbgm_stat &gt;= perc_95, converted_stat * 3, IF(bbgm_stat &gt;= perc_90, converted_stat * 2, IF(bbgm_stat &gt;= perc_85, converted_stat * 1.5, converted_stat)))))</f>
        <v/>
      </c>
      <c r="W528" s="30" t="str">
        <f t="array" ref="W528">IF($A528="", "", LET(bbgm_stat, INDEX(Players!$A527:$P527, MATCH(W$2, Players!$A$1:$P$1, 0)), perc_75, VLOOKUP(W$2, Percentiles!$A$45:$I$59, 6, FALSE), perc_90, VLOOKUP(W$2, Percentiles!$A$45:$I$59, 7, FALSE), perc_95, VLOOKUP(W$2, Percentiles!$A$45:$I$59, 8, FALSE), perc_85, perc_75 + (perc_90 - perc_75) * (2/3), converted_stat, '2K_Ratings'!W528, IF(bbgm_stat &gt;= perc_95, converted_stat * 3, IF(bbgm_stat &gt;= perc_90, converted_stat * 2, IF(bbgm_stat &gt;= perc_85, converted_stat * 1.5, converted_stat)))))</f>
        <v/>
      </c>
    </row>
    <row r="529">
      <c r="A529" s="30"/>
      <c r="B529" s="30" t="str">
        <f t="array" ref="B529">IF($A529="", "", LET(bbgm_stat, INDEX(Players!$A528:$P528, MATCH(B$2, Players!$A$1:$P$1, 0)), perc_75, VLOOKUP(B$2, Percentiles!$A$45:$I$59, 6, FALSE), perc_90, VLOOKUP(B$2, Percentiles!$A$45:$I$59, 7, FALSE), perc_95, VLOOKUP(B$2, Percentiles!$A$45:$I$59, 8, FALSE), perc_85, perc_75 + (perc_90 - perc_75) * (2/3), converted_stat, '2K_Ratings'!B529, IF(bbgm_stat &gt;= perc_95, converted_stat * 3, IF(bbgm_stat &gt;= perc_90, converted_stat * 2, IF(bbgm_stat &gt;= perc_85, converted_stat * 1.5, converted_stat)))))</f>
        <v/>
      </c>
      <c r="C529" s="30" t="str">
        <f t="array" ref="C529">IF($A529="", "", LET(bbgm_stat, INDEX(Players!$A528:$P528, MATCH(C$2, Players!$A$1:$P$1, 0)), perc_75, VLOOKUP(C$2, Percentiles!$A$45:$I$59, 6, FALSE), perc_90, VLOOKUP(C$2, Percentiles!$A$45:$I$59, 7, FALSE), perc_95, VLOOKUP(C$2, Percentiles!$A$45:$I$59, 8, FALSE), perc_85, perc_75 + (perc_90 - perc_75) * (2/3), converted_stat, '2K_Ratings'!C529, IF(bbgm_stat &gt;= perc_95, converted_stat * 3, IF(bbgm_stat &gt;= perc_90, converted_stat * 2, IF(bbgm_stat &gt;= perc_85, converted_stat * 1.5, converted_stat)))))</f>
        <v/>
      </c>
      <c r="D529" s="30" t="str">
        <f t="array" ref="D529">IF($A529="", "", LET(bbgm_stat, INDEX(Players!$A528:$P528, MATCH(D$2, Players!$A$1:$P$1, 0)), perc_75, VLOOKUP(D$2, Percentiles!$A$45:$I$59, 6, FALSE), perc_90, VLOOKUP(D$2, Percentiles!$A$45:$I$59, 7, FALSE), perc_95, VLOOKUP(D$2, Percentiles!$A$45:$I$59, 8, FALSE), perc_85, perc_75 + (perc_90 - perc_75) * (2/3), converted_stat, '2K_Ratings'!D529, IF(bbgm_stat &gt;= perc_95, converted_stat * 3, IF(bbgm_stat &gt;= perc_90, converted_stat * 2, IF(bbgm_stat &gt;= perc_85, converted_stat * 1.5, converted_stat)))))</f>
        <v/>
      </c>
      <c r="E529" s="30" t="str">
        <f t="array" ref="E529">IF($A529="", "", LET(bbgm_stat, INDEX(Players!$A528:$P528, MATCH(E$2, Players!$A$1:$P$1, 0)), perc_75, VLOOKUP(E$2, Percentiles!$A$45:$I$59, 6, FALSE), perc_90, VLOOKUP(E$2, Percentiles!$A$45:$I$59, 7, FALSE), perc_95, VLOOKUP(E$2, Percentiles!$A$45:$I$59, 8, FALSE), perc_85, perc_75 + (perc_90 - perc_75) * (2/3), converted_stat, '2K_Ratings'!E529, IF(bbgm_stat &gt;= perc_95, converted_stat * 3, IF(bbgm_stat &gt;= perc_90, converted_stat * 2, IF(bbgm_stat &gt;= perc_85, converted_stat * 1.5, converted_stat)))))</f>
        <v/>
      </c>
      <c r="F529" s="30" t="str">
        <f t="array" ref="F529">IF($A529="", "", LET(bbgm_stat, INDEX(Players!$A528:$P528, MATCH(F$2, Players!$A$1:$P$1, 0)), perc_75, VLOOKUP(F$2, Percentiles!$A$45:$I$59, 6, FALSE), perc_90, VLOOKUP(F$2, Percentiles!$A$45:$I$59, 7, FALSE), perc_95, VLOOKUP(F$2, Percentiles!$A$45:$I$59, 8, FALSE), perc_85, perc_75 + (perc_90 - perc_75) * (2/3), converted_stat, '2K_Ratings'!F529, IF(bbgm_stat &gt;= perc_95, converted_stat * 3, IF(bbgm_stat &gt;= perc_90, converted_stat * 2, IF(bbgm_stat &gt;= perc_85, converted_stat * 1.5, converted_stat)))))</f>
        <v/>
      </c>
      <c r="G529" s="30" t="str">
        <f t="array" ref="G529">IF($A529="", "", LET(bbgm_stat, INDEX(Players!$A528:$P528, MATCH(G$2, Players!$A$1:$P$1, 0)), perc_75, VLOOKUP(G$2, Percentiles!$A$45:$I$59, 6, FALSE), perc_90, VLOOKUP(G$2, Percentiles!$A$45:$I$59, 7, FALSE), perc_95, VLOOKUP(G$2, Percentiles!$A$45:$I$59, 8, FALSE), perc_85, perc_75 + (perc_90 - perc_75) * (2/3), converted_stat, '2K_Ratings'!G529, IF(bbgm_stat &gt;= perc_95, converted_stat * 3, IF(bbgm_stat &gt;= perc_90, converted_stat * 2, IF(bbgm_stat &gt;= perc_85, converted_stat * 1.5, converted_stat)))))</f>
        <v/>
      </c>
      <c r="H529" s="30" t="str">
        <f t="array" ref="H529">IF($A529="", "", LET(bbgm_stat, INDEX(Players!$A528:$P528, MATCH(H$2, Players!$A$1:$P$1, 0)), perc_75, VLOOKUP(H$2, Percentiles!$A$45:$I$59, 6, FALSE), perc_90, VLOOKUP(H$2, Percentiles!$A$45:$I$59, 7, FALSE), perc_95, VLOOKUP(H$2, Percentiles!$A$45:$I$59, 8, FALSE), perc_85, perc_75 + (perc_90 - perc_75) * (2/3), converted_stat, '2K_Ratings'!H529, IF(bbgm_stat &gt;= perc_95, converted_stat * 3, IF(bbgm_stat &gt;= perc_90, converted_stat * 2, IF(bbgm_stat &gt;= perc_85, converted_stat * 1.5, converted_stat)))))</f>
        <v/>
      </c>
      <c r="I529" s="30" t="str">
        <f t="array" ref="I529">IF($A529="", "", LET(bbgm_stat, INDEX(Players!$A528:$P528, MATCH(I$2, Players!$A$1:$P$1, 0)), perc_75, VLOOKUP(I$2, Percentiles!$A$45:$I$59, 6, FALSE), perc_90, VLOOKUP(I$2, Percentiles!$A$45:$I$59, 7, FALSE), perc_95, VLOOKUP(I$2, Percentiles!$A$45:$I$59, 8, FALSE), perc_85, perc_75 + (perc_90 - perc_75) * (2/3), converted_stat, '2K_Ratings'!I529, IF(bbgm_stat &gt;= perc_95, converted_stat * 3, IF(bbgm_stat &gt;= perc_90, converted_stat * 2, IF(bbgm_stat &gt;= perc_85, converted_stat * 1.5, converted_stat)))))</f>
        <v/>
      </c>
      <c r="J529" s="30" t="str">
        <f t="array" ref="J529">IF($A529="", "", LET(bbgm_stat, INDEX(Players!$A528:$P528, MATCH(J$2, Players!$A$1:$P$1, 0)), perc_75, VLOOKUP(J$2, Percentiles!$A$45:$I$59, 6, FALSE), perc_90, VLOOKUP(J$2, Percentiles!$A$45:$I$59, 7, FALSE), perc_95, VLOOKUP(J$2, Percentiles!$A$45:$I$59, 8, FALSE), perc_85, perc_75 + (perc_90 - perc_75) * (2/3), converted_stat, '2K_Ratings'!J529, IF(bbgm_stat &gt;= perc_95, converted_stat * 3, IF(bbgm_stat &gt;= perc_90, converted_stat * 2, IF(bbgm_stat &gt;= perc_85, converted_stat * 1.5, converted_stat)))))</f>
        <v/>
      </c>
      <c r="K529" s="30" t="str">
        <f t="array" ref="K529">IF($A529="", "", LET(bbgm_stat, INDEX(Players!$A528:$P528, MATCH(K$2, Players!$A$1:$P$1, 0)), perc_75, VLOOKUP(K$2, Percentiles!$A$45:$I$59, 6, FALSE), perc_90, VLOOKUP(K$2, Percentiles!$A$45:$I$59, 7, FALSE), perc_95, VLOOKUP(K$2, Percentiles!$A$45:$I$59, 8, FALSE), perc_85, perc_75 + (perc_90 - perc_75) * (2/3), converted_stat, '2K_Ratings'!K529, IF(bbgm_stat &gt;= perc_95, converted_stat * 3, IF(bbgm_stat &gt;= perc_90, converted_stat * 2, IF(bbgm_stat &gt;= perc_85, converted_stat * 1.5, converted_stat)))))</f>
        <v/>
      </c>
      <c r="L529" s="30" t="str">
        <f t="array" ref="L529">IF($A529="", "", LET(bbgm_stat, INDEX(Players!$A528:$P528, MATCH(L$2, Players!$A$1:$P$1, 0)), perc_75, VLOOKUP(L$2, Percentiles!$A$45:$I$59, 6, FALSE), perc_90, VLOOKUP(L$2, Percentiles!$A$45:$I$59, 7, FALSE), perc_95, VLOOKUP(L$2, Percentiles!$A$45:$I$59, 8, FALSE), perc_85, perc_75 + (perc_90 - perc_75) * (2/3), converted_stat, '2K_Ratings'!L529, IF(bbgm_stat &gt;= perc_95, converted_stat * 3, IF(bbgm_stat &gt;= perc_90, converted_stat * 2, IF(bbgm_stat &gt;= perc_85, converted_stat * 1.5, converted_stat)))))</f>
        <v/>
      </c>
      <c r="M529" s="30" t="str">
        <f t="array" ref="M529">IF($A529="", "", LET(bbgm_stat, INDEX(Players!$A528:$P528, MATCH(M$2, Players!$A$1:$P$1, 0)), perc_75, VLOOKUP(M$2, Percentiles!$A$45:$I$59, 6, FALSE), perc_90, VLOOKUP(M$2, Percentiles!$A$45:$I$59, 7, FALSE), perc_95, VLOOKUP(M$2, Percentiles!$A$45:$I$59, 8, FALSE), perc_85, perc_75 + (perc_90 - perc_75) * (2/3), converted_stat, '2K_Ratings'!M529, IF(bbgm_stat &gt;= perc_95, converted_stat * 3, IF(bbgm_stat &gt;= perc_90, converted_stat * 2, IF(bbgm_stat &gt;= perc_85, converted_stat * 1.5, converted_stat)))))</f>
        <v/>
      </c>
      <c r="N529" s="30" t="str">
        <f t="array" ref="N529">IF($A529="", "", LET(bbgm_stat, INDEX(Players!$A528:$P528, MATCH(N$2, Players!$A$1:$P$1, 0)), perc_75, VLOOKUP(N$2, Percentiles!$A$45:$I$59, 6, FALSE), perc_90, VLOOKUP(N$2, Percentiles!$A$45:$I$59, 7, FALSE), perc_95, VLOOKUP(N$2, Percentiles!$A$45:$I$59, 8, FALSE), perc_85, perc_75 + (perc_90 - perc_75) * (2/3), converted_stat, '2K_Ratings'!N529, IF(bbgm_stat &gt;= perc_95, converted_stat * 3, IF(bbgm_stat &gt;= perc_90, converted_stat * 2, IF(bbgm_stat &gt;= perc_85, converted_stat * 1.5, converted_stat)))))</f>
        <v/>
      </c>
      <c r="O529" s="30" t="str">
        <f t="array" ref="O529">IF($A529="", "", LET(bbgm_stat, INDEX(Players!$A528:$P528, MATCH(O$2, Players!$A$1:$P$1, 0)), perc_75, VLOOKUP(O$2, Percentiles!$A$45:$I$59, 6, FALSE), perc_90, VLOOKUP(O$2, Percentiles!$A$45:$I$59, 7, FALSE), perc_95, VLOOKUP(O$2, Percentiles!$A$45:$I$59, 8, FALSE), perc_85, perc_75 + (perc_90 - perc_75) * (2/3), converted_stat, '2K_Ratings'!O529, IF(bbgm_stat &gt;= perc_95, converted_stat * 3, IF(bbgm_stat &gt;= perc_90, converted_stat * 2, IF(bbgm_stat &gt;= perc_85, converted_stat * 1.5, converted_stat)))))</f>
        <v/>
      </c>
      <c r="P529" s="30" t="str">
        <f t="array" ref="P529">IF($A529="", "", LET(bbgm_stat, INDEX(Players!$A528:$P528, MATCH(P$2, Players!$A$1:$P$1, 0)), perc_75, VLOOKUP(P$2, Percentiles!$A$45:$I$59, 6, FALSE), perc_90, VLOOKUP(P$2, Percentiles!$A$45:$I$59, 7, FALSE), perc_95, VLOOKUP(P$2, Percentiles!$A$45:$I$59, 8, FALSE), perc_85, perc_75 + (perc_90 - perc_75) * (2/3), converted_stat, '2K_Ratings'!P529, IF(bbgm_stat &gt;= perc_95, converted_stat * 3, IF(bbgm_stat &gt;= perc_90, converted_stat * 2, IF(bbgm_stat &gt;= perc_85, converted_stat * 1.5, converted_stat)))))</f>
        <v/>
      </c>
      <c r="Q529" s="30" t="str">
        <f t="array" ref="Q529">IF($A529="", "", LET(bbgm_stat, INDEX(Players!$A528:$P528, MATCH(Q$2, Players!$A$1:$P$1, 0)), perc_75, VLOOKUP(Q$2, Percentiles!$A$45:$I$59, 6, FALSE), perc_90, VLOOKUP(Q$2, Percentiles!$A$45:$I$59, 7, FALSE), perc_95, VLOOKUP(Q$2, Percentiles!$A$45:$I$59, 8, FALSE), perc_85, perc_75 + (perc_90 - perc_75) * (2/3), converted_stat, '2K_Ratings'!Q529, IF(bbgm_stat &gt;= perc_95, converted_stat * 3, IF(bbgm_stat &gt;= perc_90, converted_stat * 2, IF(bbgm_stat &gt;= perc_85, converted_stat * 1.5, converted_stat)))))</f>
        <v/>
      </c>
      <c r="R529" s="30" t="str">
        <f t="array" ref="R529">IF($A529="", "", LET(bbgm_stat, INDEX(Players!$A528:$P528, MATCH(R$2, Players!$A$1:$P$1, 0)), perc_75, VLOOKUP(R$2, Percentiles!$A$45:$I$59, 6, FALSE), perc_90, VLOOKUP(R$2, Percentiles!$A$45:$I$59, 7, FALSE), perc_95, VLOOKUP(R$2, Percentiles!$A$45:$I$59, 8, FALSE), perc_85, perc_75 + (perc_90 - perc_75) * (2/3), converted_stat, '2K_Ratings'!R529, IF(bbgm_stat &gt;= perc_95, converted_stat * 3, IF(bbgm_stat &gt;= perc_90, converted_stat * 2, IF(bbgm_stat &gt;= perc_85, converted_stat * 1.5, converted_stat)))))</f>
        <v/>
      </c>
      <c r="S529" s="30" t="str">
        <f t="array" ref="S529">IF($A529="", "", LET(bbgm_stat, INDEX(Players!$A528:$P528, MATCH(S$2, Players!$A$1:$P$1, 0)), perc_75, VLOOKUP(S$2, Percentiles!$A$45:$I$59, 6, FALSE), perc_90, VLOOKUP(S$2, Percentiles!$A$45:$I$59, 7, FALSE), perc_95, VLOOKUP(S$2, Percentiles!$A$45:$I$59, 8, FALSE), perc_85, perc_75 + (perc_90 - perc_75) * (2/3), converted_stat, '2K_Ratings'!S529, IF(bbgm_stat &gt;= perc_95, converted_stat * 3, IF(bbgm_stat &gt;= perc_90, converted_stat * 2, IF(bbgm_stat &gt;= perc_85, converted_stat * 1.5, converted_stat)))))</f>
        <v/>
      </c>
      <c r="T529" s="30" t="str">
        <f t="array" ref="T529">IF($A529="", "", LET(bbgm_stat, INDEX(Players!$A528:$P528, MATCH(T$2, Players!$A$1:$P$1, 0)), perc_75, VLOOKUP(T$2, Percentiles!$A$45:$I$59, 6, FALSE), perc_90, VLOOKUP(T$2, Percentiles!$A$45:$I$59, 7, FALSE), perc_95, VLOOKUP(T$2, Percentiles!$A$45:$I$59, 8, FALSE), perc_85, perc_75 + (perc_90 - perc_75) * (2/3), converted_stat, '2K_Ratings'!T529, IF(bbgm_stat &gt;= perc_95, converted_stat * 3, IF(bbgm_stat &gt;= perc_90, converted_stat * 2, IF(bbgm_stat &gt;= perc_85, converted_stat * 1.5, converted_stat)))))</f>
        <v/>
      </c>
      <c r="U529" s="30" t="str">
        <f t="array" ref="U529">IF($A529="", "", LET(bbgm_stat, INDEX(Players!$A528:$P528, MATCH(U$2, Players!$A$1:$P$1, 0)), perc_75, VLOOKUP(U$2, Percentiles!$A$45:$I$59, 6, FALSE), perc_90, VLOOKUP(U$2, Percentiles!$A$45:$I$59, 7, FALSE), perc_95, VLOOKUP(U$2, Percentiles!$A$45:$I$59, 8, FALSE), perc_85, perc_75 + (perc_90 - perc_75) * (2/3), converted_stat, '2K_Ratings'!U529, IF(bbgm_stat &gt;= perc_95, converted_stat * 3, IF(bbgm_stat &gt;= perc_90, converted_stat * 2, IF(bbgm_stat &gt;= perc_85, converted_stat * 1.5, converted_stat)))))</f>
        <v/>
      </c>
      <c r="V529" s="30" t="str">
        <f t="array" ref="V529">IF($A529="", "", LET(bbgm_stat, INDEX(Players!$A528:$P528, MATCH(V$2, Players!$A$1:$P$1, 0)), perc_75, VLOOKUP(V$2, Percentiles!$A$45:$I$59, 6, FALSE), perc_90, VLOOKUP(V$2, Percentiles!$A$45:$I$59, 7, FALSE), perc_95, VLOOKUP(V$2, Percentiles!$A$45:$I$59, 8, FALSE), perc_85, perc_75 + (perc_90 - perc_75) * (2/3), converted_stat, '2K_Ratings'!V529, IF(bbgm_stat &gt;= perc_95, converted_stat * 3, IF(bbgm_stat &gt;= perc_90, converted_stat * 2, IF(bbgm_stat &gt;= perc_85, converted_stat * 1.5, converted_stat)))))</f>
        <v/>
      </c>
      <c r="W529" s="30" t="str">
        <f t="array" ref="W529">IF($A529="", "", LET(bbgm_stat, INDEX(Players!$A528:$P528, MATCH(W$2, Players!$A$1:$P$1, 0)), perc_75, VLOOKUP(W$2, Percentiles!$A$45:$I$59, 6, FALSE), perc_90, VLOOKUP(W$2, Percentiles!$A$45:$I$59, 7, FALSE), perc_95, VLOOKUP(W$2, Percentiles!$A$45:$I$59, 8, FALSE), perc_85, perc_75 + (perc_90 - perc_75) * (2/3), converted_stat, '2K_Ratings'!W529, IF(bbgm_stat &gt;= perc_95, converted_stat * 3, IF(bbgm_stat &gt;= perc_90, converted_stat * 2, IF(bbgm_stat &gt;= perc_85, converted_stat * 1.5, converted_stat)))))</f>
        <v/>
      </c>
    </row>
    <row r="530">
      <c r="A530" s="30"/>
      <c r="B530" s="30" t="str">
        <f t="array" ref="B530">IF($A530="", "", LET(bbgm_stat, INDEX(Players!$A529:$P529, MATCH(B$2, Players!$A$1:$P$1, 0)), perc_75, VLOOKUP(B$2, Percentiles!$A$45:$I$59, 6, FALSE), perc_90, VLOOKUP(B$2, Percentiles!$A$45:$I$59, 7, FALSE), perc_95, VLOOKUP(B$2, Percentiles!$A$45:$I$59, 8, FALSE), perc_85, perc_75 + (perc_90 - perc_75) * (2/3), converted_stat, '2K_Ratings'!B530, IF(bbgm_stat &gt;= perc_95, converted_stat * 3, IF(bbgm_stat &gt;= perc_90, converted_stat * 2, IF(bbgm_stat &gt;= perc_85, converted_stat * 1.5, converted_stat)))))</f>
        <v/>
      </c>
      <c r="C530" s="30" t="str">
        <f t="array" ref="C530">IF($A530="", "", LET(bbgm_stat, INDEX(Players!$A529:$P529, MATCH(C$2, Players!$A$1:$P$1, 0)), perc_75, VLOOKUP(C$2, Percentiles!$A$45:$I$59, 6, FALSE), perc_90, VLOOKUP(C$2, Percentiles!$A$45:$I$59, 7, FALSE), perc_95, VLOOKUP(C$2, Percentiles!$A$45:$I$59, 8, FALSE), perc_85, perc_75 + (perc_90 - perc_75) * (2/3), converted_stat, '2K_Ratings'!C530, IF(bbgm_stat &gt;= perc_95, converted_stat * 3, IF(bbgm_stat &gt;= perc_90, converted_stat * 2, IF(bbgm_stat &gt;= perc_85, converted_stat * 1.5, converted_stat)))))</f>
        <v/>
      </c>
      <c r="D530" s="30" t="str">
        <f t="array" ref="D530">IF($A530="", "", LET(bbgm_stat, INDEX(Players!$A529:$P529, MATCH(D$2, Players!$A$1:$P$1, 0)), perc_75, VLOOKUP(D$2, Percentiles!$A$45:$I$59, 6, FALSE), perc_90, VLOOKUP(D$2, Percentiles!$A$45:$I$59, 7, FALSE), perc_95, VLOOKUP(D$2, Percentiles!$A$45:$I$59, 8, FALSE), perc_85, perc_75 + (perc_90 - perc_75) * (2/3), converted_stat, '2K_Ratings'!D530, IF(bbgm_stat &gt;= perc_95, converted_stat * 3, IF(bbgm_stat &gt;= perc_90, converted_stat * 2, IF(bbgm_stat &gt;= perc_85, converted_stat * 1.5, converted_stat)))))</f>
        <v/>
      </c>
      <c r="E530" s="30" t="str">
        <f t="array" ref="E530">IF($A530="", "", LET(bbgm_stat, INDEX(Players!$A529:$P529, MATCH(E$2, Players!$A$1:$P$1, 0)), perc_75, VLOOKUP(E$2, Percentiles!$A$45:$I$59, 6, FALSE), perc_90, VLOOKUP(E$2, Percentiles!$A$45:$I$59, 7, FALSE), perc_95, VLOOKUP(E$2, Percentiles!$A$45:$I$59, 8, FALSE), perc_85, perc_75 + (perc_90 - perc_75) * (2/3), converted_stat, '2K_Ratings'!E530, IF(bbgm_stat &gt;= perc_95, converted_stat * 3, IF(bbgm_stat &gt;= perc_90, converted_stat * 2, IF(bbgm_stat &gt;= perc_85, converted_stat * 1.5, converted_stat)))))</f>
        <v/>
      </c>
      <c r="F530" s="30" t="str">
        <f t="array" ref="F530">IF($A530="", "", LET(bbgm_stat, INDEX(Players!$A529:$P529, MATCH(F$2, Players!$A$1:$P$1, 0)), perc_75, VLOOKUP(F$2, Percentiles!$A$45:$I$59, 6, FALSE), perc_90, VLOOKUP(F$2, Percentiles!$A$45:$I$59, 7, FALSE), perc_95, VLOOKUP(F$2, Percentiles!$A$45:$I$59, 8, FALSE), perc_85, perc_75 + (perc_90 - perc_75) * (2/3), converted_stat, '2K_Ratings'!F530, IF(bbgm_stat &gt;= perc_95, converted_stat * 3, IF(bbgm_stat &gt;= perc_90, converted_stat * 2, IF(bbgm_stat &gt;= perc_85, converted_stat * 1.5, converted_stat)))))</f>
        <v/>
      </c>
      <c r="G530" s="30" t="str">
        <f t="array" ref="G530">IF($A530="", "", LET(bbgm_stat, INDEX(Players!$A529:$P529, MATCH(G$2, Players!$A$1:$P$1, 0)), perc_75, VLOOKUP(G$2, Percentiles!$A$45:$I$59, 6, FALSE), perc_90, VLOOKUP(G$2, Percentiles!$A$45:$I$59, 7, FALSE), perc_95, VLOOKUP(G$2, Percentiles!$A$45:$I$59, 8, FALSE), perc_85, perc_75 + (perc_90 - perc_75) * (2/3), converted_stat, '2K_Ratings'!G530, IF(bbgm_stat &gt;= perc_95, converted_stat * 3, IF(bbgm_stat &gt;= perc_90, converted_stat * 2, IF(bbgm_stat &gt;= perc_85, converted_stat * 1.5, converted_stat)))))</f>
        <v/>
      </c>
      <c r="H530" s="30" t="str">
        <f t="array" ref="H530">IF($A530="", "", LET(bbgm_stat, INDEX(Players!$A529:$P529, MATCH(H$2, Players!$A$1:$P$1, 0)), perc_75, VLOOKUP(H$2, Percentiles!$A$45:$I$59, 6, FALSE), perc_90, VLOOKUP(H$2, Percentiles!$A$45:$I$59, 7, FALSE), perc_95, VLOOKUP(H$2, Percentiles!$A$45:$I$59, 8, FALSE), perc_85, perc_75 + (perc_90 - perc_75) * (2/3), converted_stat, '2K_Ratings'!H530, IF(bbgm_stat &gt;= perc_95, converted_stat * 3, IF(bbgm_stat &gt;= perc_90, converted_stat * 2, IF(bbgm_stat &gt;= perc_85, converted_stat * 1.5, converted_stat)))))</f>
        <v/>
      </c>
      <c r="I530" s="30" t="str">
        <f t="array" ref="I530">IF($A530="", "", LET(bbgm_stat, INDEX(Players!$A529:$P529, MATCH(I$2, Players!$A$1:$P$1, 0)), perc_75, VLOOKUP(I$2, Percentiles!$A$45:$I$59, 6, FALSE), perc_90, VLOOKUP(I$2, Percentiles!$A$45:$I$59, 7, FALSE), perc_95, VLOOKUP(I$2, Percentiles!$A$45:$I$59, 8, FALSE), perc_85, perc_75 + (perc_90 - perc_75) * (2/3), converted_stat, '2K_Ratings'!I530, IF(bbgm_stat &gt;= perc_95, converted_stat * 3, IF(bbgm_stat &gt;= perc_90, converted_stat * 2, IF(bbgm_stat &gt;= perc_85, converted_stat * 1.5, converted_stat)))))</f>
        <v/>
      </c>
      <c r="J530" s="30" t="str">
        <f t="array" ref="J530">IF($A530="", "", LET(bbgm_stat, INDEX(Players!$A529:$P529, MATCH(J$2, Players!$A$1:$P$1, 0)), perc_75, VLOOKUP(J$2, Percentiles!$A$45:$I$59, 6, FALSE), perc_90, VLOOKUP(J$2, Percentiles!$A$45:$I$59, 7, FALSE), perc_95, VLOOKUP(J$2, Percentiles!$A$45:$I$59, 8, FALSE), perc_85, perc_75 + (perc_90 - perc_75) * (2/3), converted_stat, '2K_Ratings'!J530, IF(bbgm_stat &gt;= perc_95, converted_stat * 3, IF(bbgm_stat &gt;= perc_90, converted_stat * 2, IF(bbgm_stat &gt;= perc_85, converted_stat * 1.5, converted_stat)))))</f>
        <v/>
      </c>
      <c r="K530" s="30" t="str">
        <f t="array" ref="K530">IF($A530="", "", LET(bbgm_stat, INDEX(Players!$A529:$P529, MATCH(K$2, Players!$A$1:$P$1, 0)), perc_75, VLOOKUP(K$2, Percentiles!$A$45:$I$59, 6, FALSE), perc_90, VLOOKUP(K$2, Percentiles!$A$45:$I$59, 7, FALSE), perc_95, VLOOKUP(K$2, Percentiles!$A$45:$I$59, 8, FALSE), perc_85, perc_75 + (perc_90 - perc_75) * (2/3), converted_stat, '2K_Ratings'!K530, IF(bbgm_stat &gt;= perc_95, converted_stat * 3, IF(bbgm_stat &gt;= perc_90, converted_stat * 2, IF(bbgm_stat &gt;= perc_85, converted_stat * 1.5, converted_stat)))))</f>
        <v/>
      </c>
      <c r="L530" s="30" t="str">
        <f t="array" ref="L530">IF($A530="", "", LET(bbgm_stat, INDEX(Players!$A529:$P529, MATCH(L$2, Players!$A$1:$P$1, 0)), perc_75, VLOOKUP(L$2, Percentiles!$A$45:$I$59, 6, FALSE), perc_90, VLOOKUP(L$2, Percentiles!$A$45:$I$59, 7, FALSE), perc_95, VLOOKUP(L$2, Percentiles!$A$45:$I$59, 8, FALSE), perc_85, perc_75 + (perc_90 - perc_75) * (2/3), converted_stat, '2K_Ratings'!L530, IF(bbgm_stat &gt;= perc_95, converted_stat * 3, IF(bbgm_stat &gt;= perc_90, converted_stat * 2, IF(bbgm_stat &gt;= perc_85, converted_stat * 1.5, converted_stat)))))</f>
        <v/>
      </c>
      <c r="M530" s="30" t="str">
        <f t="array" ref="M530">IF($A530="", "", LET(bbgm_stat, INDEX(Players!$A529:$P529, MATCH(M$2, Players!$A$1:$P$1, 0)), perc_75, VLOOKUP(M$2, Percentiles!$A$45:$I$59, 6, FALSE), perc_90, VLOOKUP(M$2, Percentiles!$A$45:$I$59, 7, FALSE), perc_95, VLOOKUP(M$2, Percentiles!$A$45:$I$59, 8, FALSE), perc_85, perc_75 + (perc_90 - perc_75) * (2/3), converted_stat, '2K_Ratings'!M530, IF(bbgm_stat &gt;= perc_95, converted_stat * 3, IF(bbgm_stat &gt;= perc_90, converted_stat * 2, IF(bbgm_stat &gt;= perc_85, converted_stat * 1.5, converted_stat)))))</f>
        <v/>
      </c>
      <c r="N530" s="30" t="str">
        <f t="array" ref="N530">IF($A530="", "", LET(bbgm_stat, INDEX(Players!$A529:$P529, MATCH(N$2, Players!$A$1:$P$1, 0)), perc_75, VLOOKUP(N$2, Percentiles!$A$45:$I$59, 6, FALSE), perc_90, VLOOKUP(N$2, Percentiles!$A$45:$I$59, 7, FALSE), perc_95, VLOOKUP(N$2, Percentiles!$A$45:$I$59, 8, FALSE), perc_85, perc_75 + (perc_90 - perc_75) * (2/3), converted_stat, '2K_Ratings'!N530, IF(bbgm_stat &gt;= perc_95, converted_stat * 3, IF(bbgm_stat &gt;= perc_90, converted_stat * 2, IF(bbgm_stat &gt;= perc_85, converted_stat * 1.5, converted_stat)))))</f>
        <v/>
      </c>
      <c r="O530" s="30" t="str">
        <f t="array" ref="O530">IF($A530="", "", LET(bbgm_stat, INDEX(Players!$A529:$P529, MATCH(O$2, Players!$A$1:$P$1, 0)), perc_75, VLOOKUP(O$2, Percentiles!$A$45:$I$59, 6, FALSE), perc_90, VLOOKUP(O$2, Percentiles!$A$45:$I$59, 7, FALSE), perc_95, VLOOKUP(O$2, Percentiles!$A$45:$I$59, 8, FALSE), perc_85, perc_75 + (perc_90 - perc_75) * (2/3), converted_stat, '2K_Ratings'!O530, IF(bbgm_stat &gt;= perc_95, converted_stat * 3, IF(bbgm_stat &gt;= perc_90, converted_stat * 2, IF(bbgm_stat &gt;= perc_85, converted_stat * 1.5, converted_stat)))))</f>
        <v/>
      </c>
      <c r="P530" s="30" t="str">
        <f t="array" ref="P530">IF($A530="", "", LET(bbgm_stat, INDEX(Players!$A529:$P529, MATCH(P$2, Players!$A$1:$P$1, 0)), perc_75, VLOOKUP(P$2, Percentiles!$A$45:$I$59, 6, FALSE), perc_90, VLOOKUP(P$2, Percentiles!$A$45:$I$59, 7, FALSE), perc_95, VLOOKUP(P$2, Percentiles!$A$45:$I$59, 8, FALSE), perc_85, perc_75 + (perc_90 - perc_75) * (2/3), converted_stat, '2K_Ratings'!P530, IF(bbgm_stat &gt;= perc_95, converted_stat * 3, IF(bbgm_stat &gt;= perc_90, converted_stat * 2, IF(bbgm_stat &gt;= perc_85, converted_stat * 1.5, converted_stat)))))</f>
        <v/>
      </c>
      <c r="Q530" s="30" t="str">
        <f t="array" ref="Q530">IF($A530="", "", LET(bbgm_stat, INDEX(Players!$A529:$P529, MATCH(Q$2, Players!$A$1:$P$1, 0)), perc_75, VLOOKUP(Q$2, Percentiles!$A$45:$I$59, 6, FALSE), perc_90, VLOOKUP(Q$2, Percentiles!$A$45:$I$59, 7, FALSE), perc_95, VLOOKUP(Q$2, Percentiles!$A$45:$I$59, 8, FALSE), perc_85, perc_75 + (perc_90 - perc_75) * (2/3), converted_stat, '2K_Ratings'!Q530, IF(bbgm_stat &gt;= perc_95, converted_stat * 3, IF(bbgm_stat &gt;= perc_90, converted_stat * 2, IF(bbgm_stat &gt;= perc_85, converted_stat * 1.5, converted_stat)))))</f>
        <v/>
      </c>
      <c r="R530" s="30" t="str">
        <f t="array" ref="R530">IF($A530="", "", LET(bbgm_stat, INDEX(Players!$A529:$P529, MATCH(R$2, Players!$A$1:$P$1, 0)), perc_75, VLOOKUP(R$2, Percentiles!$A$45:$I$59, 6, FALSE), perc_90, VLOOKUP(R$2, Percentiles!$A$45:$I$59, 7, FALSE), perc_95, VLOOKUP(R$2, Percentiles!$A$45:$I$59, 8, FALSE), perc_85, perc_75 + (perc_90 - perc_75) * (2/3), converted_stat, '2K_Ratings'!R530, IF(bbgm_stat &gt;= perc_95, converted_stat * 3, IF(bbgm_stat &gt;= perc_90, converted_stat * 2, IF(bbgm_stat &gt;= perc_85, converted_stat * 1.5, converted_stat)))))</f>
        <v/>
      </c>
      <c r="S530" s="30" t="str">
        <f t="array" ref="S530">IF($A530="", "", LET(bbgm_stat, INDEX(Players!$A529:$P529, MATCH(S$2, Players!$A$1:$P$1, 0)), perc_75, VLOOKUP(S$2, Percentiles!$A$45:$I$59, 6, FALSE), perc_90, VLOOKUP(S$2, Percentiles!$A$45:$I$59, 7, FALSE), perc_95, VLOOKUP(S$2, Percentiles!$A$45:$I$59, 8, FALSE), perc_85, perc_75 + (perc_90 - perc_75) * (2/3), converted_stat, '2K_Ratings'!S530, IF(bbgm_stat &gt;= perc_95, converted_stat * 3, IF(bbgm_stat &gt;= perc_90, converted_stat * 2, IF(bbgm_stat &gt;= perc_85, converted_stat * 1.5, converted_stat)))))</f>
        <v/>
      </c>
      <c r="T530" s="30" t="str">
        <f t="array" ref="T530">IF($A530="", "", LET(bbgm_stat, INDEX(Players!$A529:$P529, MATCH(T$2, Players!$A$1:$P$1, 0)), perc_75, VLOOKUP(T$2, Percentiles!$A$45:$I$59, 6, FALSE), perc_90, VLOOKUP(T$2, Percentiles!$A$45:$I$59, 7, FALSE), perc_95, VLOOKUP(T$2, Percentiles!$A$45:$I$59, 8, FALSE), perc_85, perc_75 + (perc_90 - perc_75) * (2/3), converted_stat, '2K_Ratings'!T530, IF(bbgm_stat &gt;= perc_95, converted_stat * 3, IF(bbgm_stat &gt;= perc_90, converted_stat * 2, IF(bbgm_stat &gt;= perc_85, converted_stat * 1.5, converted_stat)))))</f>
        <v/>
      </c>
      <c r="U530" s="30" t="str">
        <f t="array" ref="U530">IF($A530="", "", LET(bbgm_stat, INDEX(Players!$A529:$P529, MATCH(U$2, Players!$A$1:$P$1, 0)), perc_75, VLOOKUP(U$2, Percentiles!$A$45:$I$59, 6, FALSE), perc_90, VLOOKUP(U$2, Percentiles!$A$45:$I$59, 7, FALSE), perc_95, VLOOKUP(U$2, Percentiles!$A$45:$I$59, 8, FALSE), perc_85, perc_75 + (perc_90 - perc_75) * (2/3), converted_stat, '2K_Ratings'!U530, IF(bbgm_stat &gt;= perc_95, converted_stat * 3, IF(bbgm_stat &gt;= perc_90, converted_stat * 2, IF(bbgm_stat &gt;= perc_85, converted_stat * 1.5, converted_stat)))))</f>
        <v/>
      </c>
      <c r="V530" s="30" t="str">
        <f t="array" ref="V530">IF($A530="", "", LET(bbgm_stat, INDEX(Players!$A529:$P529, MATCH(V$2, Players!$A$1:$P$1, 0)), perc_75, VLOOKUP(V$2, Percentiles!$A$45:$I$59, 6, FALSE), perc_90, VLOOKUP(V$2, Percentiles!$A$45:$I$59, 7, FALSE), perc_95, VLOOKUP(V$2, Percentiles!$A$45:$I$59, 8, FALSE), perc_85, perc_75 + (perc_90 - perc_75) * (2/3), converted_stat, '2K_Ratings'!V530, IF(bbgm_stat &gt;= perc_95, converted_stat * 3, IF(bbgm_stat &gt;= perc_90, converted_stat * 2, IF(bbgm_stat &gt;= perc_85, converted_stat * 1.5, converted_stat)))))</f>
        <v/>
      </c>
      <c r="W530" s="30" t="str">
        <f t="array" ref="W530">IF($A530="", "", LET(bbgm_stat, INDEX(Players!$A529:$P529, MATCH(W$2, Players!$A$1:$P$1, 0)), perc_75, VLOOKUP(W$2, Percentiles!$A$45:$I$59, 6, FALSE), perc_90, VLOOKUP(W$2, Percentiles!$A$45:$I$59, 7, FALSE), perc_95, VLOOKUP(W$2, Percentiles!$A$45:$I$59, 8, FALSE), perc_85, perc_75 + (perc_90 - perc_75) * (2/3), converted_stat, '2K_Ratings'!W530, IF(bbgm_stat &gt;= perc_95, converted_stat * 3, IF(bbgm_stat &gt;= perc_90, converted_stat * 2, IF(bbgm_stat &gt;= perc_85, converted_stat * 1.5, converted_stat)))))</f>
        <v/>
      </c>
    </row>
    <row r="531">
      <c r="A531" s="30"/>
      <c r="B531" s="30" t="str">
        <f t="array" ref="B531">IF($A531="", "", LET(bbgm_stat, INDEX(Players!$A530:$P530, MATCH(B$2, Players!$A$1:$P$1, 0)), perc_75, VLOOKUP(B$2, Percentiles!$A$45:$I$59, 6, FALSE), perc_90, VLOOKUP(B$2, Percentiles!$A$45:$I$59, 7, FALSE), perc_95, VLOOKUP(B$2, Percentiles!$A$45:$I$59, 8, FALSE), perc_85, perc_75 + (perc_90 - perc_75) * (2/3), converted_stat, '2K_Ratings'!B531, IF(bbgm_stat &gt;= perc_95, converted_stat * 3, IF(bbgm_stat &gt;= perc_90, converted_stat * 2, IF(bbgm_stat &gt;= perc_85, converted_stat * 1.5, converted_stat)))))</f>
        <v/>
      </c>
      <c r="C531" s="30" t="str">
        <f t="array" ref="C531">IF($A531="", "", LET(bbgm_stat, INDEX(Players!$A530:$P530, MATCH(C$2, Players!$A$1:$P$1, 0)), perc_75, VLOOKUP(C$2, Percentiles!$A$45:$I$59, 6, FALSE), perc_90, VLOOKUP(C$2, Percentiles!$A$45:$I$59, 7, FALSE), perc_95, VLOOKUP(C$2, Percentiles!$A$45:$I$59, 8, FALSE), perc_85, perc_75 + (perc_90 - perc_75) * (2/3), converted_stat, '2K_Ratings'!C531, IF(bbgm_stat &gt;= perc_95, converted_stat * 3, IF(bbgm_stat &gt;= perc_90, converted_stat * 2, IF(bbgm_stat &gt;= perc_85, converted_stat * 1.5, converted_stat)))))</f>
        <v/>
      </c>
      <c r="D531" s="30" t="str">
        <f t="array" ref="D531">IF($A531="", "", LET(bbgm_stat, INDEX(Players!$A530:$P530, MATCH(D$2, Players!$A$1:$P$1, 0)), perc_75, VLOOKUP(D$2, Percentiles!$A$45:$I$59, 6, FALSE), perc_90, VLOOKUP(D$2, Percentiles!$A$45:$I$59, 7, FALSE), perc_95, VLOOKUP(D$2, Percentiles!$A$45:$I$59, 8, FALSE), perc_85, perc_75 + (perc_90 - perc_75) * (2/3), converted_stat, '2K_Ratings'!D531, IF(bbgm_stat &gt;= perc_95, converted_stat * 3, IF(bbgm_stat &gt;= perc_90, converted_stat * 2, IF(bbgm_stat &gt;= perc_85, converted_stat * 1.5, converted_stat)))))</f>
        <v/>
      </c>
      <c r="E531" s="30" t="str">
        <f t="array" ref="E531">IF($A531="", "", LET(bbgm_stat, INDEX(Players!$A530:$P530, MATCH(E$2, Players!$A$1:$P$1, 0)), perc_75, VLOOKUP(E$2, Percentiles!$A$45:$I$59, 6, FALSE), perc_90, VLOOKUP(E$2, Percentiles!$A$45:$I$59, 7, FALSE), perc_95, VLOOKUP(E$2, Percentiles!$A$45:$I$59, 8, FALSE), perc_85, perc_75 + (perc_90 - perc_75) * (2/3), converted_stat, '2K_Ratings'!E531, IF(bbgm_stat &gt;= perc_95, converted_stat * 3, IF(bbgm_stat &gt;= perc_90, converted_stat * 2, IF(bbgm_stat &gt;= perc_85, converted_stat * 1.5, converted_stat)))))</f>
        <v/>
      </c>
      <c r="F531" s="30" t="str">
        <f t="array" ref="F531">IF($A531="", "", LET(bbgm_stat, INDEX(Players!$A530:$P530, MATCH(F$2, Players!$A$1:$P$1, 0)), perc_75, VLOOKUP(F$2, Percentiles!$A$45:$I$59, 6, FALSE), perc_90, VLOOKUP(F$2, Percentiles!$A$45:$I$59, 7, FALSE), perc_95, VLOOKUP(F$2, Percentiles!$A$45:$I$59, 8, FALSE), perc_85, perc_75 + (perc_90 - perc_75) * (2/3), converted_stat, '2K_Ratings'!F531, IF(bbgm_stat &gt;= perc_95, converted_stat * 3, IF(bbgm_stat &gt;= perc_90, converted_stat * 2, IF(bbgm_stat &gt;= perc_85, converted_stat * 1.5, converted_stat)))))</f>
        <v/>
      </c>
      <c r="G531" s="30" t="str">
        <f t="array" ref="G531">IF($A531="", "", LET(bbgm_stat, INDEX(Players!$A530:$P530, MATCH(G$2, Players!$A$1:$P$1, 0)), perc_75, VLOOKUP(G$2, Percentiles!$A$45:$I$59, 6, FALSE), perc_90, VLOOKUP(G$2, Percentiles!$A$45:$I$59, 7, FALSE), perc_95, VLOOKUP(G$2, Percentiles!$A$45:$I$59, 8, FALSE), perc_85, perc_75 + (perc_90 - perc_75) * (2/3), converted_stat, '2K_Ratings'!G531, IF(bbgm_stat &gt;= perc_95, converted_stat * 3, IF(bbgm_stat &gt;= perc_90, converted_stat * 2, IF(bbgm_stat &gt;= perc_85, converted_stat * 1.5, converted_stat)))))</f>
        <v/>
      </c>
      <c r="H531" s="30" t="str">
        <f t="array" ref="H531">IF($A531="", "", LET(bbgm_stat, INDEX(Players!$A530:$P530, MATCH(H$2, Players!$A$1:$P$1, 0)), perc_75, VLOOKUP(H$2, Percentiles!$A$45:$I$59, 6, FALSE), perc_90, VLOOKUP(H$2, Percentiles!$A$45:$I$59, 7, FALSE), perc_95, VLOOKUP(H$2, Percentiles!$A$45:$I$59, 8, FALSE), perc_85, perc_75 + (perc_90 - perc_75) * (2/3), converted_stat, '2K_Ratings'!H531, IF(bbgm_stat &gt;= perc_95, converted_stat * 3, IF(bbgm_stat &gt;= perc_90, converted_stat * 2, IF(bbgm_stat &gt;= perc_85, converted_stat * 1.5, converted_stat)))))</f>
        <v/>
      </c>
      <c r="I531" s="30" t="str">
        <f t="array" ref="I531">IF($A531="", "", LET(bbgm_stat, INDEX(Players!$A530:$P530, MATCH(I$2, Players!$A$1:$P$1, 0)), perc_75, VLOOKUP(I$2, Percentiles!$A$45:$I$59, 6, FALSE), perc_90, VLOOKUP(I$2, Percentiles!$A$45:$I$59, 7, FALSE), perc_95, VLOOKUP(I$2, Percentiles!$A$45:$I$59, 8, FALSE), perc_85, perc_75 + (perc_90 - perc_75) * (2/3), converted_stat, '2K_Ratings'!I531, IF(bbgm_stat &gt;= perc_95, converted_stat * 3, IF(bbgm_stat &gt;= perc_90, converted_stat * 2, IF(bbgm_stat &gt;= perc_85, converted_stat * 1.5, converted_stat)))))</f>
        <v/>
      </c>
      <c r="J531" s="30" t="str">
        <f t="array" ref="J531">IF($A531="", "", LET(bbgm_stat, INDEX(Players!$A530:$P530, MATCH(J$2, Players!$A$1:$P$1, 0)), perc_75, VLOOKUP(J$2, Percentiles!$A$45:$I$59, 6, FALSE), perc_90, VLOOKUP(J$2, Percentiles!$A$45:$I$59, 7, FALSE), perc_95, VLOOKUP(J$2, Percentiles!$A$45:$I$59, 8, FALSE), perc_85, perc_75 + (perc_90 - perc_75) * (2/3), converted_stat, '2K_Ratings'!J531, IF(bbgm_stat &gt;= perc_95, converted_stat * 3, IF(bbgm_stat &gt;= perc_90, converted_stat * 2, IF(bbgm_stat &gt;= perc_85, converted_stat * 1.5, converted_stat)))))</f>
        <v/>
      </c>
      <c r="K531" s="30" t="str">
        <f t="array" ref="K531">IF($A531="", "", LET(bbgm_stat, INDEX(Players!$A530:$P530, MATCH(K$2, Players!$A$1:$P$1, 0)), perc_75, VLOOKUP(K$2, Percentiles!$A$45:$I$59, 6, FALSE), perc_90, VLOOKUP(K$2, Percentiles!$A$45:$I$59, 7, FALSE), perc_95, VLOOKUP(K$2, Percentiles!$A$45:$I$59, 8, FALSE), perc_85, perc_75 + (perc_90 - perc_75) * (2/3), converted_stat, '2K_Ratings'!K531, IF(bbgm_stat &gt;= perc_95, converted_stat * 3, IF(bbgm_stat &gt;= perc_90, converted_stat * 2, IF(bbgm_stat &gt;= perc_85, converted_stat * 1.5, converted_stat)))))</f>
        <v/>
      </c>
      <c r="L531" s="30" t="str">
        <f t="array" ref="L531">IF($A531="", "", LET(bbgm_stat, INDEX(Players!$A530:$P530, MATCH(L$2, Players!$A$1:$P$1, 0)), perc_75, VLOOKUP(L$2, Percentiles!$A$45:$I$59, 6, FALSE), perc_90, VLOOKUP(L$2, Percentiles!$A$45:$I$59, 7, FALSE), perc_95, VLOOKUP(L$2, Percentiles!$A$45:$I$59, 8, FALSE), perc_85, perc_75 + (perc_90 - perc_75) * (2/3), converted_stat, '2K_Ratings'!L531, IF(bbgm_stat &gt;= perc_95, converted_stat * 3, IF(bbgm_stat &gt;= perc_90, converted_stat * 2, IF(bbgm_stat &gt;= perc_85, converted_stat * 1.5, converted_stat)))))</f>
        <v/>
      </c>
      <c r="M531" s="30" t="str">
        <f t="array" ref="M531">IF($A531="", "", LET(bbgm_stat, INDEX(Players!$A530:$P530, MATCH(M$2, Players!$A$1:$P$1, 0)), perc_75, VLOOKUP(M$2, Percentiles!$A$45:$I$59, 6, FALSE), perc_90, VLOOKUP(M$2, Percentiles!$A$45:$I$59, 7, FALSE), perc_95, VLOOKUP(M$2, Percentiles!$A$45:$I$59, 8, FALSE), perc_85, perc_75 + (perc_90 - perc_75) * (2/3), converted_stat, '2K_Ratings'!M531, IF(bbgm_stat &gt;= perc_95, converted_stat * 3, IF(bbgm_stat &gt;= perc_90, converted_stat * 2, IF(bbgm_stat &gt;= perc_85, converted_stat * 1.5, converted_stat)))))</f>
        <v/>
      </c>
      <c r="N531" s="30" t="str">
        <f t="array" ref="N531">IF($A531="", "", LET(bbgm_stat, INDEX(Players!$A530:$P530, MATCH(N$2, Players!$A$1:$P$1, 0)), perc_75, VLOOKUP(N$2, Percentiles!$A$45:$I$59, 6, FALSE), perc_90, VLOOKUP(N$2, Percentiles!$A$45:$I$59, 7, FALSE), perc_95, VLOOKUP(N$2, Percentiles!$A$45:$I$59, 8, FALSE), perc_85, perc_75 + (perc_90 - perc_75) * (2/3), converted_stat, '2K_Ratings'!N531, IF(bbgm_stat &gt;= perc_95, converted_stat * 3, IF(bbgm_stat &gt;= perc_90, converted_stat * 2, IF(bbgm_stat &gt;= perc_85, converted_stat * 1.5, converted_stat)))))</f>
        <v/>
      </c>
      <c r="O531" s="30" t="str">
        <f t="array" ref="O531">IF($A531="", "", LET(bbgm_stat, INDEX(Players!$A530:$P530, MATCH(O$2, Players!$A$1:$P$1, 0)), perc_75, VLOOKUP(O$2, Percentiles!$A$45:$I$59, 6, FALSE), perc_90, VLOOKUP(O$2, Percentiles!$A$45:$I$59, 7, FALSE), perc_95, VLOOKUP(O$2, Percentiles!$A$45:$I$59, 8, FALSE), perc_85, perc_75 + (perc_90 - perc_75) * (2/3), converted_stat, '2K_Ratings'!O531, IF(bbgm_stat &gt;= perc_95, converted_stat * 3, IF(bbgm_stat &gt;= perc_90, converted_stat * 2, IF(bbgm_stat &gt;= perc_85, converted_stat * 1.5, converted_stat)))))</f>
        <v/>
      </c>
      <c r="P531" s="30" t="str">
        <f t="array" ref="P531">IF($A531="", "", LET(bbgm_stat, INDEX(Players!$A530:$P530, MATCH(P$2, Players!$A$1:$P$1, 0)), perc_75, VLOOKUP(P$2, Percentiles!$A$45:$I$59, 6, FALSE), perc_90, VLOOKUP(P$2, Percentiles!$A$45:$I$59, 7, FALSE), perc_95, VLOOKUP(P$2, Percentiles!$A$45:$I$59, 8, FALSE), perc_85, perc_75 + (perc_90 - perc_75) * (2/3), converted_stat, '2K_Ratings'!P531, IF(bbgm_stat &gt;= perc_95, converted_stat * 3, IF(bbgm_stat &gt;= perc_90, converted_stat * 2, IF(bbgm_stat &gt;= perc_85, converted_stat * 1.5, converted_stat)))))</f>
        <v/>
      </c>
      <c r="Q531" s="30" t="str">
        <f t="array" ref="Q531">IF($A531="", "", LET(bbgm_stat, INDEX(Players!$A530:$P530, MATCH(Q$2, Players!$A$1:$P$1, 0)), perc_75, VLOOKUP(Q$2, Percentiles!$A$45:$I$59, 6, FALSE), perc_90, VLOOKUP(Q$2, Percentiles!$A$45:$I$59, 7, FALSE), perc_95, VLOOKUP(Q$2, Percentiles!$A$45:$I$59, 8, FALSE), perc_85, perc_75 + (perc_90 - perc_75) * (2/3), converted_stat, '2K_Ratings'!Q531, IF(bbgm_stat &gt;= perc_95, converted_stat * 3, IF(bbgm_stat &gt;= perc_90, converted_stat * 2, IF(bbgm_stat &gt;= perc_85, converted_stat * 1.5, converted_stat)))))</f>
        <v/>
      </c>
      <c r="R531" s="30" t="str">
        <f t="array" ref="R531">IF($A531="", "", LET(bbgm_stat, INDEX(Players!$A530:$P530, MATCH(R$2, Players!$A$1:$P$1, 0)), perc_75, VLOOKUP(R$2, Percentiles!$A$45:$I$59, 6, FALSE), perc_90, VLOOKUP(R$2, Percentiles!$A$45:$I$59, 7, FALSE), perc_95, VLOOKUP(R$2, Percentiles!$A$45:$I$59, 8, FALSE), perc_85, perc_75 + (perc_90 - perc_75) * (2/3), converted_stat, '2K_Ratings'!R531, IF(bbgm_stat &gt;= perc_95, converted_stat * 3, IF(bbgm_stat &gt;= perc_90, converted_stat * 2, IF(bbgm_stat &gt;= perc_85, converted_stat * 1.5, converted_stat)))))</f>
        <v/>
      </c>
      <c r="S531" s="30" t="str">
        <f t="array" ref="S531">IF($A531="", "", LET(bbgm_stat, INDEX(Players!$A530:$P530, MATCH(S$2, Players!$A$1:$P$1, 0)), perc_75, VLOOKUP(S$2, Percentiles!$A$45:$I$59, 6, FALSE), perc_90, VLOOKUP(S$2, Percentiles!$A$45:$I$59, 7, FALSE), perc_95, VLOOKUP(S$2, Percentiles!$A$45:$I$59, 8, FALSE), perc_85, perc_75 + (perc_90 - perc_75) * (2/3), converted_stat, '2K_Ratings'!S531, IF(bbgm_stat &gt;= perc_95, converted_stat * 3, IF(bbgm_stat &gt;= perc_90, converted_stat * 2, IF(bbgm_stat &gt;= perc_85, converted_stat * 1.5, converted_stat)))))</f>
        <v/>
      </c>
      <c r="T531" s="30" t="str">
        <f t="array" ref="T531">IF($A531="", "", LET(bbgm_stat, INDEX(Players!$A530:$P530, MATCH(T$2, Players!$A$1:$P$1, 0)), perc_75, VLOOKUP(T$2, Percentiles!$A$45:$I$59, 6, FALSE), perc_90, VLOOKUP(T$2, Percentiles!$A$45:$I$59, 7, FALSE), perc_95, VLOOKUP(T$2, Percentiles!$A$45:$I$59, 8, FALSE), perc_85, perc_75 + (perc_90 - perc_75) * (2/3), converted_stat, '2K_Ratings'!T531, IF(bbgm_stat &gt;= perc_95, converted_stat * 3, IF(bbgm_stat &gt;= perc_90, converted_stat * 2, IF(bbgm_stat &gt;= perc_85, converted_stat * 1.5, converted_stat)))))</f>
        <v/>
      </c>
      <c r="U531" s="30" t="str">
        <f t="array" ref="U531">IF($A531="", "", LET(bbgm_stat, INDEX(Players!$A530:$P530, MATCH(U$2, Players!$A$1:$P$1, 0)), perc_75, VLOOKUP(U$2, Percentiles!$A$45:$I$59, 6, FALSE), perc_90, VLOOKUP(U$2, Percentiles!$A$45:$I$59, 7, FALSE), perc_95, VLOOKUP(U$2, Percentiles!$A$45:$I$59, 8, FALSE), perc_85, perc_75 + (perc_90 - perc_75) * (2/3), converted_stat, '2K_Ratings'!U531, IF(bbgm_stat &gt;= perc_95, converted_stat * 3, IF(bbgm_stat &gt;= perc_90, converted_stat * 2, IF(bbgm_stat &gt;= perc_85, converted_stat * 1.5, converted_stat)))))</f>
        <v/>
      </c>
      <c r="V531" s="30" t="str">
        <f t="array" ref="V531">IF($A531="", "", LET(bbgm_stat, INDEX(Players!$A530:$P530, MATCH(V$2, Players!$A$1:$P$1, 0)), perc_75, VLOOKUP(V$2, Percentiles!$A$45:$I$59, 6, FALSE), perc_90, VLOOKUP(V$2, Percentiles!$A$45:$I$59, 7, FALSE), perc_95, VLOOKUP(V$2, Percentiles!$A$45:$I$59, 8, FALSE), perc_85, perc_75 + (perc_90 - perc_75) * (2/3), converted_stat, '2K_Ratings'!V531, IF(bbgm_stat &gt;= perc_95, converted_stat * 3, IF(bbgm_stat &gt;= perc_90, converted_stat * 2, IF(bbgm_stat &gt;= perc_85, converted_stat * 1.5, converted_stat)))))</f>
        <v/>
      </c>
      <c r="W531" s="30" t="str">
        <f t="array" ref="W531">IF($A531="", "", LET(bbgm_stat, INDEX(Players!$A530:$P530, MATCH(W$2, Players!$A$1:$P$1, 0)), perc_75, VLOOKUP(W$2, Percentiles!$A$45:$I$59, 6, FALSE), perc_90, VLOOKUP(W$2, Percentiles!$A$45:$I$59, 7, FALSE), perc_95, VLOOKUP(W$2, Percentiles!$A$45:$I$59, 8, FALSE), perc_85, perc_75 + (perc_90 - perc_75) * (2/3), converted_stat, '2K_Ratings'!W531, IF(bbgm_stat &gt;= perc_95, converted_stat * 3, IF(bbgm_stat &gt;= perc_90, converted_stat * 2, IF(bbgm_stat &gt;= perc_85, converted_stat * 1.5, converted_stat)))))</f>
        <v/>
      </c>
    </row>
    <row r="532">
      <c r="A532" s="30"/>
      <c r="B532" s="30" t="str">
        <f t="array" ref="B532">IF($A532="", "", LET(bbgm_stat, INDEX(Players!$A531:$P531, MATCH(B$2, Players!$A$1:$P$1, 0)), perc_75, VLOOKUP(B$2, Percentiles!$A$45:$I$59, 6, FALSE), perc_90, VLOOKUP(B$2, Percentiles!$A$45:$I$59, 7, FALSE), perc_95, VLOOKUP(B$2, Percentiles!$A$45:$I$59, 8, FALSE), perc_85, perc_75 + (perc_90 - perc_75) * (2/3), converted_stat, '2K_Ratings'!B532, IF(bbgm_stat &gt;= perc_95, converted_stat * 3, IF(bbgm_stat &gt;= perc_90, converted_stat * 2, IF(bbgm_stat &gt;= perc_85, converted_stat * 1.5, converted_stat)))))</f>
        <v/>
      </c>
      <c r="C532" s="30" t="str">
        <f t="array" ref="C532">IF($A532="", "", LET(bbgm_stat, INDEX(Players!$A531:$P531, MATCH(C$2, Players!$A$1:$P$1, 0)), perc_75, VLOOKUP(C$2, Percentiles!$A$45:$I$59, 6, FALSE), perc_90, VLOOKUP(C$2, Percentiles!$A$45:$I$59, 7, FALSE), perc_95, VLOOKUP(C$2, Percentiles!$A$45:$I$59, 8, FALSE), perc_85, perc_75 + (perc_90 - perc_75) * (2/3), converted_stat, '2K_Ratings'!C532, IF(bbgm_stat &gt;= perc_95, converted_stat * 3, IF(bbgm_stat &gt;= perc_90, converted_stat * 2, IF(bbgm_stat &gt;= perc_85, converted_stat * 1.5, converted_stat)))))</f>
        <v/>
      </c>
      <c r="D532" s="30" t="str">
        <f t="array" ref="D532">IF($A532="", "", LET(bbgm_stat, INDEX(Players!$A531:$P531, MATCH(D$2, Players!$A$1:$P$1, 0)), perc_75, VLOOKUP(D$2, Percentiles!$A$45:$I$59, 6, FALSE), perc_90, VLOOKUP(D$2, Percentiles!$A$45:$I$59, 7, FALSE), perc_95, VLOOKUP(D$2, Percentiles!$A$45:$I$59, 8, FALSE), perc_85, perc_75 + (perc_90 - perc_75) * (2/3), converted_stat, '2K_Ratings'!D532, IF(bbgm_stat &gt;= perc_95, converted_stat * 3, IF(bbgm_stat &gt;= perc_90, converted_stat * 2, IF(bbgm_stat &gt;= perc_85, converted_stat * 1.5, converted_stat)))))</f>
        <v/>
      </c>
      <c r="E532" s="30" t="str">
        <f t="array" ref="E532">IF($A532="", "", LET(bbgm_stat, INDEX(Players!$A531:$P531, MATCH(E$2, Players!$A$1:$P$1, 0)), perc_75, VLOOKUP(E$2, Percentiles!$A$45:$I$59, 6, FALSE), perc_90, VLOOKUP(E$2, Percentiles!$A$45:$I$59, 7, FALSE), perc_95, VLOOKUP(E$2, Percentiles!$A$45:$I$59, 8, FALSE), perc_85, perc_75 + (perc_90 - perc_75) * (2/3), converted_stat, '2K_Ratings'!E532, IF(bbgm_stat &gt;= perc_95, converted_stat * 3, IF(bbgm_stat &gt;= perc_90, converted_stat * 2, IF(bbgm_stat &gt;= perc_85, converted_stat * 1.5, converted_stat)))))</f>
        <v/>
      </c>
      <c r="F532" s="30" t="str">
        <f t="array" ref="F532">IF($A532="", "", LET(bbgm_stat, INDEX(Players!$A531:$P531, MATCH(F$2, Players!$A$1:$P$1, 0)), perc_75, VLOOKUP(F$2, Percentiles!$A$45:$I$59, 6, FALSE), perc_90, VLOOKUP(F$2, Percentiles!$A$45:$I$59, 7, FALSE), perc_95, VLOOKUP(F$2, Percentiles!$A$45:$I$59, 8, FALSE), perc_85, perc_75 + (perc_90 - perc_75) * (2/3), converted_stat, '2K_Ratings'!F532, IF(bbgm_stat &gt;= perc_95, converted_stat * 3, IF(bbgm_stat &gt;= perc_90, converted_stat * 2, IF(bbgm_stat &gt;= perc_85, converted_stat * 1.5, converted_stat)))))</f>
        <v/>
      </c>
      <c r="G532" s="30" t="str">
        <f t="array" ref="G532">IF($A532="", "", LET(bbgm_stat, INDEX(Players!$A531:$P531, MATCH(G$2, Players!$A$1:$P$1, 0)), perc_75, VLOOKUP(G$2, Percentiles!$A$45:$I$59, 6, FALSE), perc_90, VLOOKUP(G$2, Percentiles!$A$45:$I$59, 7, FALSE), perc_95, VLOOKUP(G$2, Percentiles!$A$45:$I$59, 8, FALSE), perc_85, perc_75 + (perc_90 - perc_75) * (2/3), converted_stat, '2K_Ratings'!G532, IF(bbgm_stat &gt;= perc_95, converted_stat * 3, IF(bbgm_stat &gt;= perc_90, converted_stat * 2, IF(bbgm_stat &gt;= perc_85, converted_stat * 1.5, converted_stat)))))</f>
        <v/>
      </c>
      <c r="H532" s="30" t="str">
        <f t="array" ref="H532">IF($A532="", "", LET(bbgm_stat, INDEX(Players!$A531:$P531, MATCH(H$2, Players!$A$1:$P$1, 0)), perc_75, VLOOKUP(H$2, Percentiles!$A$45:$I$59, 6, FALSE), perc_90, VLOOKUP(H$2, Percentiles!$A$45:$I$59, 7, FALSE), perc_95, VLOOKUP(H$2, Percentiles!$A$45:$I$59, 8, FALSE), perc_85, perc_75 + (perc_90 - perc_75) * (2/3), converted_stat, '2K_Ratings'!H532, IF(bbgm_stat &gt;= perc_95, converted_stat * 3, IF(bbgm_stat &gt;= perc_90, converted_stat * 2, IF(bbgm_stat &gt;= perc_85, converted_stat * 1.5, converted_stat)))))</f>
        <v/>
      </c>
      <c r="I532" s="30" t="str">
        <f t="array" ref="I532">IF($A532="", "", LET(bbgm_stat, INDEX(Players!$A531:$P531, MATCH(I$2, Players!$A$1:$P$1, 0)), perc_75, VLOOKUP(I$2, Percentiles!$A$45:$I$59, 6, FALSE), perc_90, VLOOKUP(I$2, Percentiles!$A$45:$I$59, 7, FALSE), perc_95, VLOOKUP(I$2, Percentiles!$A$45:$I$59, 8, FALSE), perc_85, perc_75 + (perc_90 - perc_75) * (2/3), converted_stat, '2K_Ratings'!I532, IF(bbgm_stat &gt;= perc_95, converted_stat * 3, IF(bbgm_stat &gt;= perc_90, converted_stat * 2, IF(bbgm_stat &gt;= perc_85, converted_stat * 1.5, converted_stat)))))</f>
        <v/>
      </c>
      <c r="J532" s="30" t="str">
        <f t="array" ref="J532">IF($A532="", "", LET(bbgm_stat, INDEX(Players!$A531:$P531, MATCH(J$2, Players!$A$1:$P$1, 0)), perc_75, VLOOKUP(J$2, Percentiles!$A$45:$I$59, 6, FALSE), perc_90, VLOOKUP(J$2, Percentiles!$A$45:$I$59, 7, FALSE), perc_95, VLOOKUP(J$2, Percentiles!$A$45:$I$59, 8, FALSE), perc_85, perc_75 + (perc_90 - perc_75) * (2/3), converted_stat, '2K_Ratings'!J532, IF(bbgm_stat &gt;= perc_95, converted_stat * 3, IF(bbgm_stat &gt;= perc_90, converted_stat * 2, IF(bbgm_stat &gt;= perc_85, converted_stat * 1.5, converted_stat)))))</f>
        <v/>
      </c>
      <c r="K532" s="30" t="str">
        <f t="array" ref="K532">IF($A532="", "", LET(bbgm_stat, INDEX(Players!$A531:$P531, MATCH(K$2, Players!$A$1:$P$1, 0)), perc_75, VLOOKUP(K$2, Percentiles!$A$45:$I$59, 6, FALSE), perc_90, VLOOKUP(K$2, Percentiles!$A$45:$I$59, 7, FALSE), perc_95, VLOOKUP(K$2, Percentiles!$A$45:$I$59, 8, FALSE), perc_85, perc_75 + (perc_90 - perc_75) * (2/3), converted_stat, '2K_Ratings'!K532, IF(bbgm_stat &gt;= perc_95, converted_stat * 3, IF(bbgm_stat &gt;= perc_90, converted_stat * 2, IF(bbgm_stat &gt;= perc_85, converted_stat * 1.5, converted_stat)))))</f>
        <v/>
      </c>
      <c r="L532" s="30" t="str">
        <f t="array" ref="L532">IF($A532="", "", LET(bbgm_stat, INDEX(Players!$A531:$P531, MATCH(L$2, Players!$A$1:$P$1, 0)), perc_75, VLOOKUP(L$2, Percentiles!$A$45:$I$59, 6, FALSE), perc_90, VLOOKUP(L$2, Percentiles!$A$45:$I$59, 7, FALSE), perc_95, VLOOKUP(L$2, Percentiles!$A$45:$I$59, 8, FALSE), perc_85, perc_75 + (perc_90 - perc_75) * (2/3), converted_stat, '2K_Ratings'!L532, IF(bbgm_stat &gt;= perc_95, converted_stat * 3, IF(bbgm_stat &gt;= perc_90, converted_stat * 2, IF(bbgm_stat &gt;= perc_85, converted_stat * 1.5, converted_stat)))))</f>
        <v/>
      </c>
      <c r="M532" s="30" t="str">
        <f t="array" ref="M532">IF($A532="", "", LET(bbgm_stat, INDEX(Players!$A531:$P531, MATCH(M$2, Players!$A$1:$P$1, 0)), perc_75, VLOOKUP(M$2, Percentiles!$A$45:$I$59, 6, FALSE), perc_90, VLOOKUP(M$2, Percentiles!$A$45:$I$59, 7, FALSE), perc_95, VLOOKUP(M$2, Percentiles!$A$45:$I$59, 8, FALSE), perc_85, perc_75 + (perc_90 - perc_75) * (2/3), converted_stat, '2K_Ratings'!M532, IF(bbgm_stat &gt;= perc_95, converted_stat * 3, IF(bbgm_stat &gt;= perc_90, converted_stat * 2, IF(bbgm_stat &gt;= perc_85, converted_stat * 1.5, converted_stat)))))</f>
        <v/>
      </c>
      <c r="N532" s="30" t="str">
        <f t="array" ref="N532">IF($A532="", "", LET(bbgm_stat, INDEX(Players!$A531:$P531, MATCH(N$2, Players!$A$1:$P$1, 0)), perc_75, VLOOKUP(N$2, Percentiles!$A$45:$I$59, 6, FALSE), perc_90, VLOOKUP(N$2, Percentiles!$A$45:$I$59, 7, FALSE), perc_95, VLOOKUP(N$2, Percentiles!$A$45:$I$59, 8, FALSE), perc_85, perc_75 + (perc_90 - perc_75) * (2/3), converted_stat, '2K_Ratings'!N532, IF(bbgm_stat &gt;= perc_95, converted_stat * 3, IF(bbgm_stat &gt;= perc_90, converted_stat * 2, IF(bbgm_stat &gt;= perc_85, converted_stat * 1.5, converted_stat)))))</f>
        <v/>
      </c>
      <c r="O532" s="30" t="str">
        <f t="array" ref="O532">IF($A532="", "", LET(bbgm_stat, INDEX(Players!$A531:$P531, MATCH(O$2, Players!$A$1:$P$1, 0)), perc_75, VLOOKUP(O$2, Percentiles!$A$45:$I$59, 6, FALSE), perc_90, VLOOKUP(O$2, Percentiles!$A$45:$I$59, 7, FALSE), perc_95, VLOOKUP(O$2, Percentiles!$A$45:$I$59, 8, FALSE), perc_85, perc_75 + (perc_90 - perc_75) * (2/3), converted_stat, '2K_Ratings'!O532, IF(bbgm_stat &gt;= perc_95, converted_stat * 3, IF(bbgm_stat &gt;= perc_90, converted_stat * 2, IF(bbgm_stat &gt;= perc_85, converted_stat * 1.5, converted_stat)))))</f>
        <v/>
      </c>
      <c r="P532" s="30" t="str">
        <f t="array" ref="P532">IF($A532="", "", LET(bbgm_stat, INDEX(Players!$A531:$P531, MATCH(P$2, Players!$A$1:$P$1, 0)), perc_75, VLOOKUP(P$2, Percentiles!$A$45:$I$59, 6, FALSE), perc_90, VLOOKUP(P$2, Percentiles!$A$45:$I$59, 7, FALSE), perc_95, VLOOKUP(P$2, Percentiles!$A$45:$I$59, 8, FALSE), perc_85, perc_75 + (perc_90 - perc_75) * (2/3), converted_stat, '2K_Ratings'!P532, IF(bbgm_stat &gt;= perc_95, converted_stat * 3, IF(bbgm_stat &gt;= perc_90, converted_stat * 2, IF(bbgm_stat &gt;= perc_85, converted_stat * 1.5, converted_stat)))))</f>
        <v/>
      </c>
      <c r="Q532" s="30" t="str">
        <f t="array" ref="Q532">IF($A532="", "", LET(bbgm_stat, INDEX(Players!$A531:$P531, MATCH(Q$2, Players!$A$1:$P$1, 0)), perc_75, VLOOKUP(Q$2, Percentiles!$A$45:$I$59, 6, FALSE), perc_90, VLOOKUP(Q$2, Percentiles!$A$45:$I$59, 7, FALSE), perc_95, VLOOKUP(Q$2, Percentiles!$A$45:$I$59, 8, FALSE), perc_85, perc_75 + (perc_90 - perc_75) * (2/3), converted_stat, '2K_Ratings'!Q532, IF(bbgm_stat &gt;= perc_95, converted_stat * 3, IF(bbgm_stat &gt;= perc_90, converted_stat * 2, IF(bbgm_stat &gt;= perc_85, converted_stat * 1.5, converted_stat)))))</f>
        <v/>
      </c>
      <c r="R532" s="30" t="str">
        <f t="array" ref="R532">IF($A532="", "", LET(bbgm_stat, INDEX(Players!$A531:$P531, MATCH(R$2, Players!$A$1:$P$1, 0)), perc_75, VLOOKUP(R$2, Percentiles!$A$45:$I$59, 6, FALSE), perc_90, VLOOKUP(R$2, Percentiles!$A$45:$I$59, 7, FALSE), perc_95, VLOOKUP(R$2, Percentiles!$A$45:$I$59, 8, FALSE), perc_85, perc_75 + (perc_90 - perc_75) * (2/3), converted_stat, '2K_Ratings'!R532, IF(bbgm_stat &gt;= perc_95, converted_stat * 3, IF(bbgm_stat &gt;= perc_90, converted_stat * 2, IF(bbgm_stat &gt;= perc_85, converted_stat * 1.5, converted_stat)))))</f>
        <v/>
      </c>
      <c r="S532" s="30" t="str">
        <f t="array" ref="S532">IF($A532="", "", LET(bbgm_stat, INDEX(Players!$A531:$P531, MATCH(S$2, Players!$A$1:$P$1, 0)), perc_75, VLOOKUP(S$2, Percentiles!$A$45:$I$59, 6, FALSE), perc_90, VLOOKUP(S$2, Percentiles!$A$45:$I$59, 7, FALSE), perc_95, VLOOKUP(S$2, Percentiles!$A$45:$I$59, 8, FALSE), perc_85, perc_75 + (perc_90 - perc_75) * (2/3), converted_stat, '2K_Ratings'!S532, IF(bbgm_stat &gt;= perc_95, converted_stat * 3, IF(bbgm_stat &gt;= perc_90, converted_stat * 2, IF(bbgm_stat &gt;= perc_85, converted_stat * 1.5, converted_stat)))))</f>
        <v/>
      </c>
      <c r="T532" s="30" t="str">
        <f t="array" ref="T532">IF($A532="", "", LET(bbgm_stat, INDEX(Players!$A531:$P531, MATCH(T$2, Players!$A$1:$P$1, 0)), perc_75, VLOOKUP(T$2, Percentiles!$A$45:$I$59, 6, FALSE), perc_90, VLOOKUP(T$2, Percentiles!$A$45:$I$59, 7, FALSE), perc_95, VLOOKUP(T$2, Percentiles!$A$45:$I$59, 8, FALSE), perc_85, perc_75 + (perc_90 - perc_75) * (2/3), converted_stat, '2K_Ratings'!T532, IF(bbgm_stat &gt;= perc_95, converted_stat * 3, IF(bbgm_stat &gt;= perc_90, converted_stat * 2, IF(bbgm_stat &gt;= perc_85, converted_stat * 1.5, converted_stat)))))</f>
        <v/>
      </c>
      <c r="U532" s="30" t="str">
        <f t="array" ref="U532">IF($A532="", "", LET(bbgm_stat, INDEX(Players!$A531:$P531, MATCH(U$2, Players!$A$1:$P$1, 0)), perc_75, VLOOKUP(U$2, Percentiles!$A$45:$I$59, 6, FALSE), perc_90, VLOOKUP(U$2, Percentiles!$A$45:$I$59, 7, FALSE), perc_95, VLOOKUP(U$2, Percentiles!$A$45:$I$59, 8, FALSE), perc_85, perc_75 + (perc_90 - perc_75) * (2/3), converted_stat, '2K_Ratings'!U532, IF(bbgm_stat &gt;= perc_95, converted_stat * 3, IF(bbgm_stat &gt;= perc_90, converted_stat * 2, IF(bbgm_stat &gt;= perc_85, converted_stat * 1.5, converted_stat)))))</f>
        <v/>
      </c>
      <c r="V532" s="30" t="str">
        <f t="array" ref="V532">IF($A532="", "", LET(bbgm_stat, INDEX(Players!$A531:$P531, MATCH(V$2, Players!$A$1:$P$1, 0)), perc_75, VLOOKUP(V$2, Percentiles!$A$45:$I$59, 6, FALSE), perc_90, VLOOKUP(V$2, Percentiles!$A$45:$I$59, 7, FALSE), perc_95, VLOOKUP(V$2, Percentiles!$A$45:$I$59, 8, FALSE), perc_85, perc_75 + (perc_90 - perc_75) * (2/3), converted_stat, '2K_Ratings'!V532, IF(bbgm_stat &gt;= perc_95, converted_stat * 3, IF(bbgm_stat &gt;= perc_90, converted_stat * 2, IF(bbgm_stat &gt;= perc_85, converted_stat * 1.5, converted_stat)))))</f>
        <v/>
      </c>
      <c r="W532" s="30" t="str">
        <f t="array" ref="W532">IF($A532="", "", LET(bbgm_stat, INDEX(Players!$A531:$P531, MATCH(W$2, Players!$A$1:$P$1, 0)), perc_75, VLOOKUP(W$2, Percentiles!$A$45:$I$59, 6, FALSE), perc_90, VLOOKUP(W$2, Percentiles!$A$45:$I$59, 7, FALSE), perc_95, VLOOKUP(W$2, Percentiles!$A$45:$I$59, 8, FALSE), perc_85, perc_75 + (perc_90 - perc_75) * (2/3), converted_stat, '2K_Ratings'!W532, IF(bbgm_stat &gt;= perc_95, converted_stat * 3, IF(bbgm_stat &gt;= perc_90, converted_stat * 2, IF(bbgm_stat &gt;= perc_85, converted_stat * 1.5, converted_stat)))))</f>
        <v/>
      </c>
    </row>
    <row r="533">
      <c r="A533" s="30"/>
      <c r="B533" s="30" t="str">
        <f t="array" ref="B533">IF($A533="", "", LET(bbgm_stat, INDEX(Players!$A532:$P532, MATCH(B$2, Players!$A$1:$P$1, 0)), perc_75, VLOOKUP(B$2, Percentiles!$A$45:$I$59, 6, FALSE), perc_90, VLOOKUP(B$2, Percentiles!$A$45:$I$59, 7, FALSE), perc_95, VLOOKUP(B$2, Percentiles!$A$45:$I$59, 8, FALSE), perc_85, perc_75 + (perc_90 - perc_75) * (2/3), converted_stat, '2K_Ratings'!B533, IF(bbgm_stat &gt;= perc_95, converted_stat * 3, IF(bbgm_stat &gt;= perc_90, converted_stat * 2, IF(bbgm_stat &gt;= perc_85, converted_stat * 1.5, converted_stat)))))</f>
        <v/>
      </c>
      <c r="C533" s="30" t="str">
        <f t="array" ref="C533">IF($A533="", "", LET(bbgm_stat, INDEX(Players!$A532:$P532, MATCH(C$2, Players!$A$1:$P$1, 0)), perc_75, VLOOKUP(C$2, Percentiles!$A$45:$I$59, 6, FALSE), perc_90, VLOOKUP(C$2, Percentiles!$A$45:$I$59, 7, FALSE), perc_95, VLOOKUP(C$2, Percentiles!$A$45:$I$59, 8, FALSE), perc_85, perc_75 + (perc_90 - perc_75) * (2/3), converted_stat, '2K_Ratings'!C533, IF(bbgm_stat &gt;= perc_95, converted_stat * 3, IF(bbgm_stat &gt;= perc_90, converted_stat * 2, IF(bbgm_stat &gt;= perc_85, converted_stat * 1.5, converted_stat)))))</f>
        <v/>
      </c>
      <c r="D533" s="30" t="str">
        <f t="array" ref="D533">IF($A533="", "", LET(bbgm_stat, INDEX(Players!$A532:$P532, MATCH(D$2, Players!$A$1:$P$1, 0)), perc_75, VLOOKUP(D$2, Percentiles!$A$45:$I$59, 6, FALSE), perc_90, VLOOKUP(D$2, Percentiles!$A$45:$I$59, 7, FALSE), perc_95, VLOOKUP(D$2, Percentiles!$A$45:$I$59, 8, FALSE), perc_85, perc_75 + (perc_90 - perc_75) * (2/3), converted_stat, '2K_Ratings'!D533, IF(bbgm_stat &gt;= perc_95, converted_stat * 3, IF(bbgm_stat &gt;= perc_90, converted_stat * 2, IF(bbgm_stat &gt;= perc_85, converted_stat * 1.5, converted_stat)))))</f>
        <v/>
      </c>
      <c r="E533" s="30" t="str">
        <f t="array" ref="E533">IF($A533="", "", LET(bbgm_stat, INDEX(Players!$A532:$P532, MATCH(E$2, Players!$A$1:$P$1, 0)), perc_75, VLOOKUP(E$2, Percentiles!$A$45:$I$59, 6, FALSE), perc_90, VLOOKUP(E$2, Percentiles!$A$45:$I$59, 7, FALSE), perc_95, VLOOKUP(E$2, Percentiles!$A$45:$I$59, 8, FALSE), perc_85, perc_75 + (perc_90 - perc_75) * (2/3), converted_stat, '2K_Ratings'!E533, IF(bbgm_stat &gt;= perc_95, converted_stat * 3, IF(bbgm_stat &gt;= perc_90, converted_stat * 2, IF(bbgm_stat &gt;= perc_85, converted_stat * 1.5, converted_stat)))))</f>
        <v/>
      </c>
      <c r="F533" s="30" t="str">
        <f t="array" ref="F533">IF($A533="", "", LET(bbgm_stat, INDEX(Players!$A532:$P532, MATCH(F$2, Players!$A$1:$P$1, 0)), perc_75, VLOOKUP(F$2, Percentiles!$A$45:$I$59, 6, FALSE), perc_90, VLOOKUP(F$2, Percentiles!$A$45:$I$59, 7, FALSE), perc_95, VLOOKUP(F$2, Percentiles!$A$45:$I$59, 8, FALSE), perc_85, perc_75 + (perc_90 - perc_75) * (2/3), converted_stat, '2K_Ratings'!F533, IF(bbgm_stat &gt;= perc_95, converted_stat * 3, IF(bbgm_stat &gt;= perc_90, converted_stat * 2, IF(bbgm_stat &gt;= perc_85, converted_stat * 1.5, converted_stat)))))</f>
        <v/>
      </c>
      <c r="G533" s="30" t="str">
        <f t="array" ref="G533">IF($A533="", "", LET(bbgm_stat, INDEX(Players!$A532:$P532, MATCH(G$2, Players!$A$1:$P$1, 0)), perc_75, VLOOKUP(G$2, Percentiles!$A$45:$I$59, 6, FALSE), perc_90, VLOOKUP(G$2, Percentiles!$A$45:$I$59, 7, FALSE), perc_95, VLOOKUP(G$2, Percentiles!$A$45:$I$59, 8, FALSE), perc_85, perc_75 + (perc_90 - perc_75) * (2/3), converted_stat, '2K_Ratings'!G533, IF(bbgm_stat &gt;= perc_95, converted_stat * 3, IF(bbgm_stat &gt;= perc_90, converted_stat * 2, IF(bbgm_stat &gt;= perc_85, converted_stat * 1.5, converted_stat)))))</f>
        <v/>
      </c>
      <c r="H533" s="30" t="str">
        <f t="array" ref="H533">IF($A533="", "", LET(bbgm_stat, INDEX(Players!$A532:$P532, MATCH(H$2, Players!$A$1:$P$1, 0)), perc_75, VLOOKUP(H$2, Percentiles!$A$45:$I$59, 6, FALSE), perc_90, VLOOKUP(H$2, Percentiles!$A$45:$I$59, 7, FALSE), perc_95, VLOOKUP(H$2, Percentiles!$A$45:$I$59, 8, FALSE), perc_85, perc_75 + (perc_90 - perc_75) * (2/3), converted_stat, '2K_Ratings'!H533, IF(bbgm_stat &gt;= perc_95, converted_stat * 3, IF(bbgm_stat &gt;= perc_90, converted_stat * 2, IF(bbgm_stat &gt;= perc_85, converted_stat * 1.5, converted_stat)))))</f>
        <v/>
      </c>
      <c r="I533" s="30" t="str">
        <f t="array" ref="I533">IF($A533="", "", LET(bbgm_stat, INDEX(Players!$A532:$P532, MATCH(I$2, Players!$A$1:$P$1, 0)), perc_75, VLOOKUP(I$2, Percentiles!$A$45:$I$59, 6, FALSE), perc_90, VLOOKUP(I$2, Percentiles!$A$45:$I$59, 7, FALSE), perc_95, VLOOKUP(I$2, Percentiles!$A$45:$I$59, 8, FALSE), perc_85, perc_75 + (perc_90 - perc_75) * (2/3), converted_stat, '2K_Ratings'!I533, IF(bbgm_stat &gt;= perc_95, converted_stat * 3, IF(bbgm_stat &gt;= perc_90, converted_stat * 2, IF(bbgm_stat &gt;= perc_85, converted_stat * 1.5, converted_stat)))))</f>
        <v/>
      </c>
      <c r="J533" s="30" t="str">
        <f t="array" ref="J533">IF($A533="", "", LET(bbgm_stat, INDEX(Players!$A532:$P532, MATCH(J$2, Players!$A$1:$P$1, 0)), perc_75, VLOOKUP(J$2, Percentiles!$A$45:$I$59, 6, FALSE), perc_90, VLOOKUP(J$2, Percentiles!$A$45:$I$59, 7, FALSE), perc_95, VLOOKUP(J$2, Percentiles!$A$45:$I$59, 8, FALSE), perc_85, perc_75 + (perc_90 - perc_75) * (2/3), converted_stat, '2K_Ratings'!J533, IF(bbgm_stat &gt;= perc_95, converted_stat * 3, IF(bbgm_stat &gt;= perc_90, converted_stat * 2, IF(bbgm_stat &gt;= perc_85, converted_stat * 1.5, converted_stat)))))</f>
        <v/>
      </c>
      <c r="K533" s="30" t="str">
        <f t="array" ref="K533">IF($A533="", "", LET(bbgm_stat, INDEX(Players!$A532:$P532, MATCH(K$2, Players!$A$1:$P$1, 0)), perc_75, VLOOKUP(K$2, Percentiles!$A$45:$I$59, 6, FALSE), perc_90, VLOOKUP(K$2, Percentiles!$A$45:$I$59, 7, FALSE), perc_95, VLOOKUP(K$2, Percentiles!$A$45:$I$59, 8, FALSE), perc_85, perc_75 + (perc_90 - perc_75) * (2/3), converted_stat, '2K_Ratings'!K533, IF(bbgm_stat &gt;= perc_95, converted_stat * 3, IF(bbgm_stat &gt;= perc_90, converted_stat * 2, IF(bbgm_stat &gt;= perc_85, converted_stat * 1.5, converted_stat)))))</f>
        <v/>
      </c>
      <c r="L533" s="30" t="str">
        <f t="array" ref="L533">IF($A533="", "", LET(bbgm_stat, INDEX(Players!$A532:$P532, MATCH(L$2, Players!$A$1:$P$1, 0)), perc_75, VLOOKUP(L$2, Percentiles!$A$45:$I$59, 6, FALSE), perc_90, VLOOKUP(L$2, Percentiles!$A$45:$I$59, 7, FALSE), perc_95, VLOOKUP(L$2, Percentiles!$A$45:$I$59, 8, FALSE), perc_85, perc_75 + (perc_90 - perc_75) * (2/3), converted_stat, '2K_Ratings'!L533, IF(bbgm_stat &gt;= perc_95, converted_stat * 3, IF(bbgm_stat &gt;= perc_90, converted_stat * 2, IF(bbgm_stat &gt;= perc_85, converted_stat * 1.5, converted_stat)))))</f>
        <v/>
      </c>
      <c r="M533" s="30" t="str">
        <f t="array" ref="M533">IF($A533="", "", LET(bbgm_stat, INDEX(Players!$A532:$P532, MATCH(M$2, Players!$A$1:$P$1, 0)), perc_75, VLOOKUP(M$2, Percentiles!$A$45:$I$59, 6, FALSE), perc_90, VLOOKUP(M$2, Percentiles!$A$45:$I$59, 7, FALSE), perc_95, VLOOKUP(M$2, Percentiles!$A$45:$I$59, 8, FALSE), perc_85, perc_75 + (perc_90 - perc_75) * (2/3), converted_stat, '2K_Ratings'!M533, IF(bbgm_stat &gt;= perc_95, converted_stat * 3, IF(bbgm_stat &gt;= perc_90, converted_stat * 2, IF(bbgm_stat &gt;= perc_85, converted_stat * 1.5, converted_stat)))))</f>
        <v/>
      </c>
      <c r="N533" s="30" t="str">
        <f t="array" ref="N533">IF($A533="", "", LET(bbgm_stat, INDEX(Players!$A532:$P532, MATCH(N$2, Players!$A$1:$P$1, 0)), perc_75, VLOOKUP(N$2, Percentiles!$A$45:$I$59, 6, FALSE), perc_90, VLOOKUP(N$2, Percentiles!$A$45:$I$59, 7, FALSE), perc_95, VLOOKUP(N$2, Percentiles!$A$45:$I$59, 8, FALSE), perc_85, perc_75 + (perc_90 - perc_75) * (2/3), converted_stat, '2K_Ratings'!N533, IF(bbgm_stat &gt;= perc_95, converted_stat * 3, IF(bbgm_stat &gt;= perc_90, converted_stat * 2, IF(bbgm_stat &gt;= perc_85, converted_stat * 1.5, converted_stat)))))</f>
        <v/>
      </c>
      <c r="O533" s="30" t="str">
        <f t="array" ref="O533">IF($A533="", "", LET(bbgm_stat, INDEX(Players!$A532:$P532, MATCH(O$2, Players!$A$1:$P$1, 0)), perc_75, VLOOKUP(O$2, Percentiles!$A$45:$I$59, 6, FALSE), perc_90, VLOOKUP(O$2, Percentiles!$A$45:$I$59, 7, FALSE), perc_95, VLOOKUP(O$2, Percentiles!$A$45:$I$59, 8, FALSE), perc_85, perc_75 + (perc_90 - perc_75) * (2/3), converted_stat, '2K_Ratings'!O533, IF(bbgm_stat &gt;= perc_95, converted_stat * 3, IF(bbgm_stat &gt;= perc_90, converted_stat * 2, IF(bbgm_stat &gt;= perc_85, converted_stat * 1.5, converted_stat)))))</f>
        <v/>
      </c>
      <c r="P533" s="30" t="str">
        <f t="array" ref="P533">IF($A533="", "", LET(bbgm_stat, INDEX(Players!$A532:$P532, MATCH(P$2, Players!$A$1:$P$1, 0)), perc_75, VLOOKUP(P$2, Percentiles!$A$45:$I$59, 6, FALSE), perc_90, VLOOKUP(P$2, Percentiles!$A$45:$I$59, 7, FALSE), perc_95, VLOOKUP(P$2, Percentiles!$A$45:$I$59, 8, FALSE), perc_85, perc_75 + (perc_90 - perc_75) * (2/3), converted_stat, '2K_Ratings'!P533, IF(bbgm_stat &gt;= perc_95, converted_stat * 3, IF(bbgm_stat &gt;= perc_90, converted_stat * 2, IF(bbgm_stat &gt;= perc_85, converted_stat * 1.5, converted_stat)))))</f>
        <v/>
      </c>
      <c r="Q533" s="30" t="str">
        <f t="array" ref="Q533">IF($A533="", "", LET(bbgm_stat, INDEX(Players!$A532:$P532, MATCH(Q$2, Players!$A$1:$P$1, 0)), perc_75, VLOOKUP(Q$2, Percentiles!$A$45:$I$59, 6, FALSE), perc_90, VLOOKUP(Q$2, Percentiles!$A$45:$I$59, 7, FALSE), perc_95, VLOOKUP(Q$2, Percentiles!$A$45:$I$59, 8, FALSE), perc_85, perc_75 + (perc_90 - perc_75) * (2/3), converted_stat, '2K_Ratings'!Q533, IF(bbgm_stat &gt;= perc_95, converted_stat * 3, IF(bbgm_stat &gt;= perc_90, converted_stat * 2, IF(bbgm_stat &gt;= perc_85, converted_stat * 1.5, converted_stat)))))</f>
        <v/>
      </c>
      <c r="R533" s="30" t="str">
        <f t="array" ref="R533">IF($A533="", "", LET(bbgm_stat, INDEX(Players!$A532:$P532, MATCH(R$2, Players!$A$1:$P$1, 0)), perc_75, VLOOKUP(R$2, Percentiles!$A$45:$I$59, 6, FALSE), perc_90, VLOOKUP(R$2, Percentiles!$A$45:$I$59, 7, FALSE), perc_95, VLOOKUP(R$2, Percentiles!$A$45:$I$59, 8, FALSE), perc_85, perc_75 + (perc_90 - perc_75) * (2/3), converted_stat, '2K_Ratings'!R533, IF(bbgm_stat &gt;= perc_95, converted_stat * 3, IF(bbgm_stat &gt;= perc_90, converted_stat * 2, IF(bbgm_stat &gt;= perc_85, converted_stat * 1.5, converted_stat)))))</f>
        <v/>
      </c>
      <c r="S533" s="30" t="str">
        <f t="array" ref="S533">IF($A533="", "", LET(bbgm_stat, INDEX(Players!$A532:$P532, MATCH(S$2, Players!$A$1:$P$1, 0)), perc_75, VLOOKUP(S$2, Percentiles!$A$45:$I$59, 6, FALSE), perc_90, VLOOKUP(S$2, Percentiles!$A$45:$I$59, 7, FALSE), perc_95, VLOOKUP(S$2, Percentiles!$A$45:$I$59, 8, FALSE), perc_85, perc_75 + (perc_90 - perc_75) * (2/3), converted_stat, '2K_Ratings'!S533, IF(bbgm_stat &gt;= perc_95, converted_stat * 3, IF(bbgm_stat &gt;= perc_90, converted_stat * 2, IF(bbgm_stat &gt;= perc_85, converted_stat * 1.5, converted_stat)))))</f>
        <v/>
      </c>
      <c r="T533" s="30" t="str">
        <f t="array" ref="T533">IF($A533="", "", LET(bbgm_stat, INDEX(Players!$A532:$P532, MATCH(T$2, Players!$A$1:$P$1, 0)), perc_75, VLOOKUP(T$2, Percentiles!$A$45:$I$59, 6, FALSE), perc_90, VLOOKUP(T$2, Percentiles!$A$45:$I$59, 7, FALSE), perc_95, VLOOKUP(T$2, Percentiles!$A$45:$I$59, 8, FALSE), perc_85, perc_75 + (perc_90 - perc_75) * (2/3), converted_stat, '2K_Ratings'!T533, IF(bbgm_stat &gt;= perc_95, converted_stat * 3, IF(bbgm_stat &gt;= perc_90, converted_stat * 2, IF(bbgm_stat &gt;= perc_85, converted_stat * 1.5, converted_stat)))))</f>
        <v/>
      </c>
      <c r="U533" s="30" t="str">
        <f t="array" ref="U533">IF($A533="", "", LET(bbgm_stat, INDEX(Players!$A532:$P532, MATCH(U$2, Players!$A$1:$P$1, 0)), perc_75, VLOOKUP(U$2, Percentiles!$A$45:$I$59, 6, FALSE), perc_90, VLOOKUP(U$2, Percentiles!$A$45:$I$59, 7, FALSE), perc_95, VLOOKUP(U$2, Percentiles!$A$45:$I$59, 8, FALSE), perc_85, perc_75 + (perc_90 - perc_75) * (2/3), converted_stat, '2K_Ratings'!U533, IF(bbgm_stat &gt;= perc_95, converted_stat * 3, IF(bbgm_stat &gt;= perc_90, converted_stat * 2, IF(bbgm_stat &gt;= perc_85, converted_stat * 1.5, converted_stat)))))</f>
        <v/>
      </c>
      <c r="V533" s="30" t="str">
        <f t="array" ref="V533">IF($A533="", "", LET(bbgm_stat, INDEX(Players!$A532:$P532, MATCH(V$2, Players!$A$1:$P$1, 0)), perc_75, VLOOKUP(V$2, Percentiles!$A$45:$I$59, 6, FALSE), perc_90, VLOOKUP(V$2, Percentiles!$A$45:$I$59, 7, FALSE), perc_95, VLOOKUP(V$2, Percentiles!$A$45:$I$59, 8, FALSE), perc_85, perc_75 + (perc_90 - perc_75) * (2/3), converted_stat, '2K_Ratings'!V533, IF(bbgm_stat &gt;= perc_95, converted_stat * 3, IF(bbgm_stat &gt;= perc_90, converted_stat * 2, IF(bbgm_stat &gt;= perc_85, converted_stat * 1.5, converted_stat)))))</f>
        <v/>
      </c>
      <c r="W533" s="30" t="str">
        <f t="array" ref="W533">IF($A533="", "", LET(bbgm_stat, INDEX(Players!$A532:$P532, MATCH(W$2, Players!$A$1:$P$1, 0)), perc_75, VLOOKUP(W$2, Percentiles!$A$45:$I$59, 6, FALSE), perc_90, VLOOKUP(W$2, Percentiles!$A$45:$I$59, 7, FALSE), perc_95, VLOOKUP(W$2, Percentiles!$A$45:$I$59, 8, FALSE), perc_85, perc_75 + (perc_90 - perc_75) * (2/3), converted_stat, '2K_Ratings'!W533, IF(bbgm_stat &gt;= perc_95, converted_stat * 3, IF(bbgm_stat &gt;= perc_90, converted_stat * 2, IF(bbgm_stat &gt;= perc_85, converted_stat * 1.5, converted_stat)))))</f>
        <v/>
      </c>
    </row>
    <row r="534">
      <c r="A534" s="30"/>
      <c r="B534" s="30" t="str">
        <f t="array" ref="B534">IF($A534="", "", LET(bbgm_stat, INDEX(Players!$A533:$P533, MATCH(B$2, Players!$A$1:$P$1, 0)), perc_75, VLOOKUP(B$2, Percentiles!$A$45:$I$59, 6, FALSE), perc_90, VLOOKUP(B$2, Percentiles!$A$45:$I$59, 7, FALSE), perc_95, VLOOKUP(B$2, Percentiles!$A$45:$I$59, 8, FALSE), perc_85, perc_75 + (perc_90 - perc_75) * (2/3), converted_stat, '2K_Ratings'!B534, IF(bbgm_stat &gt;= perc_95, converted_stat * 3, IF(bbgm_stat &gt;= perc_90, converted_stat * 2, IF(bbgm_stat &gt;= perc_85, converted_stat * 1.5, converted_stat)))))</f>
        <v/>
      </c>
      <c r="C534" s="30" t="str">
        <f t="array" ref="C534">IF($A534="", "", LET(bbgm_stat, INDEX(Players!$A533:$P533, MATCH(C$2, Players!$A$1:$P$1, 0)), perc_75, VLOOKUP(C$2, Percentiles!$A$45:$I$59, 6, FALSE), perc_90, VLOOKUP(C$2, Percentiles!$A$45:$I$59, 7, FALSE), perc_95, VLOOKUP(C$2, Percentiles!$A$45:$I$59, 8, FALSE), perc_85, perc_75 + (perc_90 - perc_75) * (2/3), converted_stat, '2K_Ratings'!C534, IF(bbgm_stat &gt;= perc_95, converted_stat * 3, IF(bbgm_stat &gt;= perc_90, converted_stat * 2, IF(bbgm_stat &gt;= perc_85, converted_stat * 1.5, converted_stat)))))</f>
        <v/>
      </c>
      <c r="D534" s="30" t="str">
        <f t="array" ref="D534">IF($A534="", "", LET(bbgm_stat, INDEX(Players!$A533:$P533, MATCH(D$2, Players!$A$1:$P$1, 0)), perc_75, VLOOKUP(D$2, Percentiles!$A$45:$I$59, 6, FALSE), perc_90, VLOOKUP(D$2, Percentiles!$A$45:$I$59, 7, FALSE), perc_95, VLOOKUP(D$2, Percentiles!$A$45:$I$59, 8, FALSE), perc_85, perc_75 + (perc_90 - perc_75) * (2/3), converted_stat, '2K_Ratings'!D534, IF(bbgm_stat &gt;= perc_95, converted_stat * 3, IF(bbgm_stat &gt;= perc_90, converted_stat * 2, IF(bbgm_stat &gt;= perc_85, converted_stat * 1.5, converted_stat)))))</f>
        <v/>
      </c>
      <c r="E534" s="30" t="str">
        <f t="array" ref="E534">IF($A534="", "", LET(bbgm_stat, INDEX(Players!$A533:$P533, MATCH(E$2, Players!$A$1:$P$1, 0)), perc_75, VLOOKUP(E$2, Percentiles!$A$45:$I$59, 6, FALSE), perc_90, VLOOKUP(E$2, Percentiles!$A$45:$I$59, 7, FALSE), perc_95, VLOOKUP(E$2, Percentiles!$A$45:$I$59, 8, FALSE), perc_85, perc_75 + (perc_90 - perc_75) * (2/3), converted_stat, '2K_Ratings'!E534, IF(bbgm_stat &gt;= perc_95, converted_stat * 3, IF(bbgm_stat &gt;= perc_90, converted_stat * 2, IF(bbgm_stat &gt;= perc_85, converted_stat * 1.5, converted_stat)))))</f>
        <v/>
      </c>
      <c r="F534" s="30" t="str">
        <f t="array" ref="F534">IF($A534="", "", LET(bbgm_stat, INDEX(Players!$A533:$P533, MATCH(F$2, Players!$A$1:$P$1, 0)), perc_75, VLOOKUP(F$2, Percentiles!$A$45:$I$59, 6, FALSE), perc_90, VLOOKUP(F$2, Percentiles!$A$45:$I$59, 7, FALSE), perc_95, VLOOKUP(F$2, Percentiles!$A$45:$I$59, 8, FALSE), perc_85, perc_75 + (perc_90 - perc_75) * (2/3), converted_stat, '2K_Ratings'!F534, IF(bbgm_stat &gt;= perc_95, converted_stat * 3, IF(bbgm_stat &gt;= perc_90, converted_stat * 2, IF(bbgm_stat &gt;= perc_85, converted_stat * 1.5, converted_stat)))))</f>
        <v/>
      </c>
      <c r="G534" s="30" t="str">
        <f t="array" ref="G534">IF($A534="", "", LET(bbgm_stat, INDEX(Players!$A533:$P533, MATCH(G$2, Players!$A$1:$P$1, 0)), perc_75, VLOOKUP(G$2, Percentiles!$A$45:$I$59, 6, FALSE), perc_90, VLOOKUP(G$2, Percentiles!$A$45:$I$59, 7, FALSE), perc_95, VLOOKUP(G$2, Percentiles!$A$45:$I$59, 8, FALSE), perc_85, perc_75 + (perc_90 - perc_75) * (2/3), converted_stat, '2K_Ratings'!G534, IF(bbgm_stat &gt;= perc_95, converted_stat * 3, IF(bbgm_stat &gt;= perc_90, converted_stat * 2, IF(bbgm_stat &gt;= perc_85, converted_stat * 1.5, converted_stat)))))</f>
        <v/>
      </c>
      <c r="H534" s="30" t="str">
        <f t="array" ref="H534">IF($A534="", "", LET(bbgm_stat, INDEX(Players!$A533:$P533, MATCH(H$2, Players!$A$1:$P$1, 0)), perc_75, VLOOKUP(H$2, Percentiles!$A$45:$I$59, 6, FALSE), perc_90, VLOOKUP(H$2, Percentiles!$A$45:$I$59, 7, FALSE), perc_95, VLOOKUP(H$2, Percentiles!$A$45:$I$59, 8, FALSE), perc_85, perc_75 + (perc_90 - perc_75) * (2/3), converted_stat, '2K_Ratings'!H534, IF(bbgm_stat &gt;= perc_95, converted_stat * 3, IF(bbgm_stat &gt;= perc_90, converted_stat * 2, IF(bbgm_stat &gt;= perc_85, converted_stat * 1.5, converted_stat)))))</f>
        <v/>
      </c>
      <c r="I534" s="30" t="str">
        <f t="array" ref="I534">IF($A534="", "", LET(bbgm_stat, INDEX(Players!$A533:$P533, MATCH(I$2, Players!$A$1:$P$1, 0)), perc_75, VLOOKUP(I$2, Percentiles!$A$45:$I$59, 6, FALSE), perc_90, VLOOKUP(I$2, Percentiles!$A$45:$I$59, 7, FALSE), perc_95, VLOOKUP(I$2, Percentiles!$A$45:$I$59, 8, FALSE), perc_85, perc_75 + (perc_90 - perc_75) * (2/3), converted_stat, '2K_Ratings'!I534, IF(bbgm_stat &gt;= perc_95, converted_stat * 3, IF(bbgm_stat &gt;= perc_90, converted_stat * 2, IF(bbgm_stat &gt;= perc_85, converted_stat * 1.5, converted_stat)))))</f>
        <v/>
      </c>
      <c r="J534" s="30" t="str">
        <f t="array" ref="J534">IF($A534="", "", LET(bbgm_stat, INDEX(Players!$A533:$P533, MATCH(J$2, Players!$A$1:$P$1, 0)), perc_75, VLOOKUP(J$2, Percentiles!$A$45:$I$59, 6, FALSE), perc_90, VLOOKUP(J$2, Percentiles!$A$45:$I$59, 7, FALSE), perc_95, VLOOKUP(J$2, Percentiles!$A$45:$I$59, 8, FALSE), perc_85, perc_75 + (perc_90 - perc_75) * (2/3), converted_stat, '2K_Ratings'!J534, IF(bbgm_stat &gt;= perc_95, converted_stat * 3, IF(bbgm_stat &gt;= perc_90, converted_stat * 2, IF(bbgm_stat &gt;= perc_85, converted_stat * 1.5, converted_stat)))))</f>
        <v/>
      </c>
      <c r="K534" s="30" t="str">
        <f t="array" ref="K534">IF($A534="", "", LET(bbgm_stat, INDEX(Players!$A533:$P533, MATCH(K$2, Players!$A$1:$P$1, 0)), perc_75, VLOOKUP(K$2, Percentiles!$A$45:$I$59, 6, FALSE), perc_90, VLOOKUP(K$2, Percentiles!$A$45:$I$59, 7, FALSE), perc_95, VLOOKUP(K$2, Percentiles!$A$45:$I$59, 8, FALSE), perc_85, perc_75 + (perc_90 - perc_75) * (2/3), converted_stat, '2K_Ratings'!K534, IF(bbgm_stat &gt;= perc_95, converted_stat * 3, IF(bbgm_stat &gt;= perc_90, converted_stat * 2, IF(bbgm_stat &gt;= perc_85, converted_stat * 1.5, converted_stat)))))</f>
        <v/>
      </c>
      <c r="L534" s="30" t="str">
        <f t="array" ref="L534">IF($A534="", "", LET(bbgm_stat, INDEX(Players!$A533:$P533, MATCH(L$2, Players!$A$1:$P$1, 0)), perc_75, VLOOKUP(L$2, Percentiles!$A$45:$I$59, 6, FALSE), perc_90, VLOOKUP(L$2, Percentiles!$A$45:$I$59, 7, FALSE), perc_95, VLOOKUP(L$2, Percentiles!$A$45:$I$59, 8, FALSE), perc_85, perc_75 + (perc_90 - perc_75) * (2/3), converted_stat, '2K_Ratings'!L534, IF(bbgm_stat &gt;= perc_95, converted_stat * 3, IF(bbgm_stat &gt;= perc_90, converted_stat * 2, IF(bbgm_stat &gt;= perc_85, converted_stat * 1.5, converted_stat)))))</f>
        <v/>
      </c>
      <c r="M534" s="30" t="str">
        <f t="array" ref="M534">IF($A534="", "", LET(bbgm_stat, INDEX(Players!$A533:$P533, MATCH(M$2, Players!$A$1:$P$1, 0)), perc_75, VLOOKUP(M$2, Percentiles!$A$45:$I$59, 6, FALSE), perc_90, VLOOKUP(M$2, Percentiles!$A$45:$I$59, 7, FALSE), perc_95, VLOOKUP(M$2, Percentiles!$A$45:$I$59, 8, FALSE), perc_85, perc_75 + (perc_90 - perc_75) * (2/3), converted_stat, '2K_Ratings'!M534, IF(bbgm_stat &gt;= perc_95, converted_stat * 3, IF(bbgm_stat &gt;= perc_90, converted_stat * 2, IF(bbgm_stat &gt;= perc_85, converted_stat * 1.5, converted_stat)))))</f>
        <v/>
      </c>
      <c r="N534" s="30" t="str">
        <f t="array" ref="N534">IF($A534="", "", LET(bbgm_stat, INDEX(Players!$A533:$P533, MATCH(N$2, Players!$A$1:$P$1, 0)), perc_75, VLOOKUP(N$2, Percentiles!$A$45:$I$59, 6, FALSE), perc_90, VLOOKUP(N$2, Percentiles!$A$45:$I$59, 7, FALSE), perc_95, VLOOKUP(N$2, Percentiles!$A$45:$I$59, 8, FALSE), perc_85, perc_75 + (perc_90 - perc_75) * (2/3), converted_stat, '2K_Ratings'!N534, IF(bbgm_stat &gt;= perc_95, converted_stat * 3, IF(bbgm_stat &gt;= perc_90, converted_stat * 2, IF(bbgm_stat &gt;= perc_85, converted_stat * 1.5, converted_stat)))))</f>
        <v/>
      </c>
      <c r="O534" s="30" t="str">
        <f t="array" ref="O534">IF($A534="", "", LET(bbgm_stat, INDEX(Players!$A533:$P533, MATCH(O$2, Players!$A$1:$P$1, 0)), perc_75, VLOOKUP(O$2, Percentiles!$A$45:$I$59, 6, FALSE), perc_90, VLOOKUP(O$2, Percentiles!$A$45:$I$59, 7, FALSE), perc_95, VLOOKUP(O$2, Percentiles!$A$45:$I$59, 8, FALSE), perc_85, perc_75 + (perc_90 - perc_75) * (2/3), converted_stat, '2K_Ratings'!O534, IF(bbgm_stat &gt;= perc_95, converted_stat * 3, IF(bbgm_stat &gt;= perc_90, converted_stat * 2, IF(bbgm_stat &gt;= perc_85, converted_stat * 1.5, converted_stat)))))</f>
        <v/>
      </c>
      <c r="P534" s="30" t="str">
        <f t="array" ref="P534">IF($A534="", "", LET(bbgm_stat, INDEX(Players!$A533:$P533, MATCH(P$2, Players!$A$1:$P$1, 0)), perc_75, VLOOKUP(P$2, Percentiles!$A$45:$I$59, 6, FALSE), perc_90, VLOOKUP(P$2, Percentiles!$A$45:$I$59, 7, FALSE), perc_95, VLOOKUP(P$2, Percentiles!$A$45:$I$59, 8, FALSE), perc_85, perc_75 + (perc_90 - perc_75) * (2/3), converted_stat, '2K_Ratings'!P534, IF(bbgm_stat &gt;= perc_95, converted_stat * 3, IF(bbgm_stat &gt;= perc_90, converted_stat * 2, IF(bbgm_stat &gt;= perc_85, converted_stat * 1.5, converted_stat)))))</f>
        <v/>
      </c>
      <c r="Q534" s="30" t="str">
        <f t="array" ref="Q534">IF($A534="", "", LET(bbgm_stat, INDEX(Players!$A533:$P533, MATCH(Q$2, Players!$A$1:$P$1, 0)), perc_75, VLOOKUP(Q$2, Percentiles!$A$45:$I$59, 6, FALSE), perc_90, VLOOKUP(Q$2, Percentiles!$A$45:$I$59, 7, FALSE), perc_95, VLOOKUP(Q$2, Percentiles!$A$45:$I$59, 8, FALSE), perc_85, perc_75 + (perc_90 - perc_75) * (2/3), converted_stat, '2K_Ratings'!Q534, IF(bbgm_stat &gt;= perc_95, converted_stat * 3, IF(bbgm_stat &gt;= perc_90, converted_stat * 2, IF(bbgm_stat &gt;= perc_85, converted_stat * 1.5, converted_stat)))))</f>
        <v/>
      </c>
      <c r="R534" s="30" t="str">
        <f t="array" ref="R534">IF($A534="", "", LET(bbgm_stat, INDEX(Players!$A533:$P533, MATCH(R$2, Players!$A$1:$P$1, 0)), perc_75, VLOOKUP(R$2, Percentiles!$A$45:$I$59, 6, FALSE), perc_90, VLOOKUP(R$2, Percentiles!$A$45:$I$59, 7, FALSE), perc_95, VLOOKUP(R$2, Percentiles!$A$45:$I$59, 8, FALSE), perc_85, perc_75 + (perc_90 - perc_75) * (2/3), converted_stat, '2K_Ratings'!R534, IF(bbgm_stat &gt;= perc_95, converted_stat * 3, IF(bbgm_stat &gt;= perc_90, converted_stat * 2, IF(bbgm_stat &gt;= perc_85, converted_stat * 1.5, converted_stat)))))</f>
        <v/>
      </c>
      <c r="S534" s="30" t="str">
        <f t="array" ref="S534">IF($A534="", "", LET(bbgm_stat, INDEX(Players!$A533:$P533, MATCH(S$2, Players!$A$1:$P$1, 0)), perc_75, VLOOKUP(S$2, Percentiles!$A$45:$I$59, 6, FALSE), perc_90, VLOOKUP(S$2, Percentiles!$A$45:$I$59, 7, FALSE), perc_95, VLOOKUP(S$2, Percentiles!$A$45:$I$59, 8, FALSE), perc_85, perc_75 + (perc_90 - perc_75) * (2/3), converted_stat, '2K_Ratings'!S534, IF(bbgm_stat &gt;= perc_95, converted_stat * 3, IF(bbgm_stat &gt;= perc_90, converted_stat * 2, IF(bbgm_stat &gt;= perc_85, converted_stat * 1.5, converted_stat)))))</f>
        <v/>
      </c>
      <c r="T534" s="30" t="str">
        <f t="array" ref="T534">IF($A534="", "", LET(bbgm_stat, INDEX(Players!$A533:$P533, MATCH(T$2, Players!$A$1:$P$1, 0)), perc_75, VLOOKUP(T$2, Percentiles!$A$45:$I$59, 6, FALSE), perc_90, VLOOKUP(T$2, Percentiles!$A$45:$I$59, 7, FALSE), perc_95, VLOOKUP(T$2, Percentiles!$A$45:$I$59, 8, FALSE), perc_85, perc_75 + (perc_90 - perc_75) * (2/3), converted_stat, '2K_Ratings'!T534, IF(bbgm_stat &gt;= perc_95, converted_stat * 3, IF(bbgm_stat &gt;= perc_90, converted_stat * 2, IF(bbgm_stat &gt;= perc_85, converted_stat * 1.5, converted_stat)))))</f>
        <v/>
      </c>
      <c r="U534" s="30" t="str">
        <f t="array" ref="U534">IF($A534="", "", LET(bbgm_stat, INDEX(Players!$A533:$P533, MATCH(U$2, Players!$A$1:$P$1, 0)), perc_75, VLOOKUP(U$2, Percentiles!$A$45:$I$59, 6, FALSE), perc_90, VLOOKUP(U$2, Percentiles!$A$45:$I$59, 7, FALSE), perc_95, VLOOKUP(U$2, Percentiles!$A$45:$I$59, 8, FALSE), perc_85, perc_75 + (perc_90 - perc_75) * (2/3), converted_stat, '2K_Ratings'!U534, IF(bbgm_stat &gt;= perc_95, converted_stat * 3, IF(bbgm_stat &gt;= perc_90, converted_stat * 2, IF(bbgm_stat &gt;= perc_85, converted_stat * 1.5, converted_stat)))))</f>
        <v/>
      </c>
      <c r="V534" s="30" t="str">
        <f t="array" ref="V534">IF($A534="", "", LET(bbgm_stat, INDEX(Players!$A533:$P533, MATCH(V$2, Players!$A$1:$P$1, 0)), perc_75, VLOOKUP(V$2, Percentiles!$A$45:$I$59, 6, FALSE), perc_90, VLOOKUP(V$2, Percentiles!$A$45:$I$59, 7, FALSE), perc_95, VLOOKUP(V$2, Percentiles!$A$45:$I$59, 8, FALSE), perc_85, perc_75 + (perc_90 - perc_75) * (2/3), converted_stat, '2K_Ratings'!V534, IF(bbgm_stat &gt;= perc_95, converted_stat * 3, IF(bbgm_stat &gt;= perc_90, converted_stat * 2, IF(bbgm_stat &gt;= perc_85, converted_stat * 1.5, converted_stat)))))</f>
        <v/>
      </c>
      <c r="W534" s="30" t="str">
        <f t="array" ref="W534">IF($A534="", "", LET(bbgm_stat, INDEX(Players!$A533:$P533, MATCH(W$2, Players!$A$1:$P$1, 0)), perc_75, VLOOKUP(W$2, Percentiles!$A$45:$I$59, 6, FALSE), perc_90, VLOOKUP(W$2, Percentiles!$A$45:$I$59, 7, FALSE), perc_95, VLOOKUP(W$2, Percentiles!$A$45:$I$59, 8, FALSE), perc_85, perc_75 + (perc_90 - perc_75) * (2/3), converted_stat, '2K_Ratings'!W534, IF(bbgm_stat &gt;= perc_95, converted_stat * 3, IF(bbgm_stat &gt;= perc_90, converted_stat * 2, IF(bbgm_stat &gt;= perc_85, converted_stat * 1.5, converted_stat)))))</f>
        <v/>
      </c>
    </row>
    <row r="535">
      <c r="A535" s="30"/>
      <c r="B535" s="30" t="str">
        <f t="array" ref="B535">IF($A535="", "", LET(bbgm_stat, INDEX(Players!$A534:$P534, MATCH(B$2, Players!$A$1:$P$1, 0)), perc_75, VLOOKUP(B$2, Percentiles!$A$45:$I$59, 6, FALSE), perc_90, VLOOKUP(B$2, Percentiles!$A$45:$I$59, 7, FALSE), perc_95, VLOOKUP(B$2, Percentiles!$A$45:$I$59, 8, FALSE), perc_85, perc_75 + (perc_90 - perc_75) * (2/3), converted_stat, '2K_Ratings'!B535, IF(bbgm_stat &gt;= perc_95, converted_stat * 3, IF(bbgm_stat &gt;= perc_90, converted_stat * 2, IF(bbgm_stat &gt;= perc_85, converted_stat * 1.5, converted_stat)))))</f>
        <v/>
      </c>
      <c r="C535" s="30" t="str">
        <f t="array" ref="C535">IF($A535="", "", LET(bbgm_stat, INDEX(Players!$A534:$P534, MATCH(C$2, Players!$A$1:$P$1, 0)), perc_75, VLOOKUP(C$2, Percentiles!$A$45:$I$59, 6, FALSE), perc_90, VLOOKUP(C$2, Percentiles!$A$45:$I$59, 7, FALSE), perc_95, VLOOKUP(C$2, Percentiles!$A$45:$I$59, 8, FALSE), perc_85, perc_75 + (perc_90 - perc_75) * (2/3), converted_stat, '2K_Ratings'!C535, IF(bbgm_stat &gt;= perc_95, converted_stat * 3, IF(bbgm_stat &gt;= perc_90, converted_stat * 2, IF(bbgm_stat &gt;= perc_85, converted_stat * 1.5, converted_stat)))))</f>
        <v/>
      </c>
      <c r="D535" s="30" t="str">
        <f t="array" ref="D535">IF($A535="", "", LET(bbgm_stat, INDEX(Players!$A534:$P534, MATCH(D$2, Players!$A$1:$P$1, 0)), perc_75, VLOOKUP(D$2, Percentiles!$A$45:$I$59, 6, FALSE), perc_90, VLOOKUP(D$2, Percentiles!$A$45:$I$59, 7, FALSE), perc_95, VLOOKUP(D$2, Percentiles!$A$45:$I$59, 8, FALSE), perc_85, perc_75 + (perc_90 - perc_75) * (2/3), converted_stat, '2K_Ratings'!D535, IF(bbgm_stat &gt;= perc_95, converted_stat * 3, IF(bbgm_stat &gt;= perc_90, converted_stat * 2, IF(bbgm_stat &gt;= perc_85, converted_stat * 1.5, converted_stat)))))</f>
        <v/>
      </c>
      <c r="E535" s="30" t="str">
        <f t="array" ref="E535">IF($A535="", "", LET(bbgm_stat, INDEX(Players!$A534:$P534, MATCH(E$2, Players!$A$1:$P$1, 0)), perc_75, VLOOKUP(E$2, Percentiles!$A$45:$I$59, 6, FALSE), perc_90, VLOOKUP(E$2, Percentiles!$A$45:$I$59, 7, FALSE), perc_95, VLOOKUP(E$2, Percentiles!$A$45:$I$59, 8, FALSE), perc_85, perc_75 + (perc_90 - perc_75) * (2/3), converted_stat, '2K_Ratings'!E535, IF(bbgm_stat &gt;= perc_95, converted_stat * 3, IF(bbgm_stat &gt;= perc_90, converted_stat * 2, IF(bbgm_stat &gt;= perc_85, converted_stat * 1.5, converted_stat)))))</f>
        <v/>
      </c>
      <c r="F535" s="30" t="str">
        <f t="array" ref="F535">IF($A535="", "", LET(bbgm_stat, INDEX(Players!$A534:$P534, MATCH(F$2, Players!$A$1:$P$1, 0)), perc_75, VLOOKUP(F$2, Percentiles!$A$45:$I$59, 6, FALSE), perc_90, VLOOKUP(F$2, Percentiles!$A$45:$I$59, 7, FALSE), perc_95, VLOOKUP(F$2, Percentiles!$A$45:$I$59, 8, FALSE), perc_85, perc_75 + (perc_90 - perc_75) * (2/3), converted_stat, '2K_Ratings'!F535, IF(bbgm_stat &gt;= perc_95, converted_stat * 3, IF(bbgm_stat &gt;= perc_90, converted_stat * 2, IF(bbgm_stat &gt;= perc_85, converted_stat * 1.5, converted_stat)))))</f>
        <v/>
      </c>
      <c r="G535" s="30" t="str">
        <f t="array" ref="G535">IF($A535="", "", LET(bbgm_stat, INDEX(Players!$A534:$P534, MATCH(G$2, Players!$A$1:$P$1, 0)), perc_75, VLOOKUP(G$2, Percentiles!$A$45:$I$59, 6, FALSE), perc_90, VLOOKUP(G$2, Percentiles!$A$45:$I$59, 7, FALSE), perc_95, VLOOKUP(G$2, Percentiles!$A$45:$I$59, 8, FALSE), perc_85, perc_75 + (perc_90 - perc_75) * (2/3), converted_stat, '2K_Ratings'!G535, IF(bbgm_stat &gt;= perc_95, converted_stat * 3, IF(bbgm_stat &gt;= perc_90, converted_stat * 2, IF(bbgm_stat &gt;= perc_85, converted_stat * 1.5, converted_stat)))))</f>
        <v/>
      </c>
      <c r="H535" s="30" t="str">
        <f t="array" ref="H535">IF($A535="", "", LET(bbgm_stat, INDEX(Players!$A534:$P534, MATCH(H$2, Players!$A$1:$P$1, 0)), perc_75, VLOOKUP(H$2, Percentiles!$A$45:$I$59, 6, FALSE), perc_90, VLOOKUP(H$2, Percentiles!$A$45:$I$59, 7, FALSE), perc_95, VLOOKUP(H$2, Percentiles!$A$45:$I$59, 8, FALSE), perc_85, perc_75 + (perc_90 - perc_75) * (2/3), converted_stat, '2K_Ratings'!H535, IF(bbgm_stat &gt;= perc_95, converted_stat * 3, IF(bbgm_stat &gt;= perc_90, converted_stat * 2, IF(bbgm_stat &gt;= perc_85, converted_stat * 1.5, converted_stat)))))</f>
        <v/>
      </c>
      <c r="I535" s="30" t="str">
        <f t="array" ref="I535">IF($A535="", "", LET(bbgm_stat, INDEX(Players!$A534:$P534, MATCH(I$2, Players!$A$1:$P$1, 0)), perc_75, VLOOKUP(I$2, Percentiles!$A$45:$I$59, 6, FALSE), perc_90, VLOOKUP(I$2, Percentiles!$A$45:$I$59, 7, FALSE), perc_95, VLOOKUP(I$2, Percentiles!$A$45:$I$59, 8, FALSE), perc_85, perc_75 + (perc_90 - perc_75) * (2/3), converted_stat, '2K_Ratings'!I535, IF(bbgm_stat &gt;= perc_95, converted_stat * 3, IF(bbgm_stat &gt;= perc_90, converted_stat * 2, IF(bbgm_stat &gt;= perc_85, converted_stat * 1.5, converted_stat)))))</f>
        <v/>
      </c>
      <c r="J535" s="30" t="str">
        <f t="array" ref="J535">IF($A535="", "", LET(bbgm_stat, INDEX(Players!$A534:$P534, MATCH(J$2, Players!$A$1:$P$1, 0)), perc_75, VLOOKUP(J$2, Percentiles!$A$45:$I$59, 6, FALSE), perc_90, VLOOKUP(J$2, Percentiles!$A$45:$I$59, 7, FALSE), perc_95, VLOOKUP(J$2, Percentiles!$A$45:$I$59, 8, FALSE), perc_85, perc_75 + (perc_90 - perc_75) * (2/3), converted_stat, '2K_Ratings'!J535, IF(bbgm_stat &gt;= perc_95, converted_stat * 3, IF(bbgm_stat &gt;= perc_90, converted_stat * 2, IF(bbgm_stat &gt;= perc_85, converted_stat * 1.5, converted_stat)))))</f>
        <v/>
      </c>
      <c r="K535" s="30" t="str">
        <f t="array" ref="K535">IF($A535="", "", LET(bbgm_stat, INDEX(Players!$A534:$P534, MATCH(K$2, Players!$A$1:$P$1, 0)), perc_75, VLOOKUP(K$2, Percentiles!$A$45:$I$59, 6, FALSE), perc_90, VLOOKUP(K$2, Percentiles!$A$45:$I$59, 7, FALSE), perc_95, VLOOKUP(K$2, Percentiles!$A$45:$I$59, 8, FALSE), perc_85, perc_75 + (perc_90 - perc_75) * (2/3), converted_stat, '2K_Ratings'!K535, IF(bbgm_stat &gt;= perc_95, converted_stat * 3, IF(bbgm_stat &gt;= perc_90, converted_stat * 2, IF(bbgm_stat &gt;= perc_85, converted_stat * 1.5, converted_stat)))))</f>
        <v/>
      </c>
      <c r="L535" s="30" t="str">
        <f t="array" ref="L535">IF($A535="", "", LET(bbgm_stat, INDEX(Players!$A534:$P534, MATCH(L$2, Players!$A$1:$P$1, 0)), perc_75, VLOOKUP(L$2, Percentiles!$A$45:$I$59, 6, FALSE), perc_90, VLOOKUP(L$2, Percentiles!$A$45:$I$59, 7, FALSE), perc_95, VLOOKUP(L$2, Percentiles!$A$45:$I$59, 8, FALSE), perc_85, perc_75 + (perc_90 - perc_75) * (2/3), converted_stat, '2K_Ratings'!L535, IF(bbgm_stat &gt;= perc_95, converted_stat * 3, IF(bbgm_stat &gt;= perc_90, converted_stat * 2, IF(bbgm_stat &gt;= perc_85, converted_stat * 1.5, converted_stat)))))</f>
        <v/>
      </c>
      <c r="M535" s="30" t="str">
        <f t="array" ref="M535">IF($A535="", "", LET(bbgm_stat, INDEX(Players!$A534:$P534, MATCH(M$2, Players!$A$1:$P$1, 0)), perc_75, VLOOKUP(M$2, Percentiles!$A$45:$I$59, 6, FALSE), perc_90, VLOOKUP(M$2, Percentiles!$A$45:$I$59, 7, FALSE), perc_95, VLOOKUP(M$2, Percentiles!$A$45:$I$59, 8, FALSE), perc_85, perc_75 + (perc_90 - perc_75) * (2/3), converted_stat, '2K_Ratings'!M535, IF(bbgm_stat &gt;= perc_95, converted_stat * 3, IF(bbgm_stat &gt;= perc_90, converted_stat * 2, IF(bbgm_stat &gt;= perc_85, converted_stat * 1.5, converted_stat)))))</f>
        <v/>
      </c>
      <c r="N535" s="30" t="str">
        <f t="array" ref="N535">IF($A535="", "", LET(bbgm_stat, INDEX(Players!$A534:$P534, MATCH(N$2, Players!$A$1:$P$1, 0)), perc_75, VLOOKUP(N$2, Percentiles!$A$45:$I$59, 6, FALSE), perc_90, VLOOKUP(N$2, Percentiles!$A$45:$I$59, 7, FALSE), perc_95, VLOOKUP(N$2, Percentiles!$A$45:$I$59, 8, FALSE), perc_85, perc_75 + (perc_90 - perc_75) * (2/3), converted_stat, '2K_Ratings'!N535, IF(bbgm_stat &gt;= perc_95, converted_stat * 3, IF(bbgm_stat &gt;= perc_90, converted_stat * 2, IF(bbgm_stat &gt;= perc_85, converted_stat * 1.5, converted_stat)))))</f>
        <v/>
      </c>
      <c r="O535" s="30" t="str">
        <f t="array" ref="O535">IF($A535="", "", LET(bbgm_stat, INDEX(Players!$A534:$P534, MATCH(O$2, Players!$A$1:$P$1, 0)), perc_75, VLOOKUP(O$2, Percentiles!$A$45:$I$59, 6, FALSE), perc_90, VLOOKUP(O$2, Percentiles!$A$45:$I$59, 7, FALSE), perc_95, VLOOKUP(O$2, Percentiles!$A$45:$I$59, 8, FALSE), perc_85, perc_75 + (perc_90 - perc_75) * (2/3), converted_stat, '2K_Ratings'!O535, IF(bbgm_stat &gt;= perc_95, converted_stat * 3, IF(bbgm_stat &gt;= perc_90, converted_stat * 2, IF(bbgm_stat &gt;= perc_85, converted_stat * 1.5, converted_stat)))))</f>
        <v/>
      </c>
      <c r="P535" s="30" t="str">
        <f t="array" ref="P535">IF($A535="", "", LET(bbgm_stat, INDEX(Players!$A534:$P534, MATCH(P$2, Players!$A$1:$P$1, 0)), perc_75, VLOOKUP(P$2, Percentiles!$A$45:$I$59, 6, FALSE), perc_90, VLOOKUP(P$2, Percentiles!$A$45:$I$59, 7, FALSE), perc_95, VLOOKUP(P$2, Percentiles!$A$45:$I$59, 8, FALSE), perc_85, perc_75 + (perc_90 - perc_75) * (2/3), converted_stat, '2K_Ratings'!P535, IF(bbgm_stat &gt;= perc_95, converted_stat * 3, IF(bbgm_stat &gt;= perc_90, converted_stat * 2, IF(bbgm_stat &gt;= perc_85, converted_stat * 1.5, converted_stat)))))</f>
        <v/>
      </c>
      <c r="Q535" s="30" t="str">
        <f t="array" ref="Q535">IF($A535="", "", LET(bbgm_stat, INDEX(Players!$A534:$P534, MATCH(Q$2, Players!$A$1:$P$1, 0)), perc_75, VLOOKUP(Q$2, Percentiles!$A$45:$I$59, 6, FALSE), perc_90, VLOOKUP(Q$2, Percentiles!$A$45:$I$59, 7, FALSE), perc_95, VLOOKUP(Q$2, Percentiles!$A$45:$I$59, 8, FALSE), perc_85, perc_75 + (perc_90 - perc_75) * (2/3), converted_stat, '2K_Ratings'!Q535, IF(bbgm_stat &gt;= perc_95, converted_stat * 3, IF(bbgm_stat &gt;= perc_90, converted_stat * 2, IF(bbgm_stat &gt;= perc_85, converted_stat * 1.5, converted_stat)))))</f>
        <v/>
      </c>
      <c r="R535" s="30" t="str">
        <f t="array" ref="R535">IF($A535="", "", LET(bbgm_stat, INDEX(Players!$A534:$P534, MATCH(R$2, Players!$A$1:$P$1, 0)), perc_75, VLOOKUP(R$2, Percentiles!$A$45:$I$59, 6, FALSE), perc_90, VLOOKUP(R$2, Percentiles!$A$45:$I$59, 7, FALSE), perc_95, VLOOKUP(R$2, Percentiles!$A$45:$I$59, 8, FALSE), perc_85, perc_75 + (perc_90 - perc_75) * (2/3), converted_stat, '2K_Ratings'!R535, IF(bbgm_stat &gt;= perc_95, converted_stat * 3, IF(bbgm_stat &gt;= perc_90, converted_stat * 2, IF(bbgm_stat &gt;= perc_85, converted_stat * 1.5, converted_stat)))))</f>
        <v/>
      </c>
      <c r="S535" s="30" t="str">
        <f t="array" ref="S535">IF($A535="", "", LET(bbgm_stat, INDEX(Players!$A534:$P534, MATCH(S$2, Players!$A$1:$P$1, 0)), perc_75, VLOOKUP(S$2, Percentiles!$A$45:$I$59, 6, FALSE), perc_90, VLOOKUP(S$2, Percentiles!$A$45:$I$59, 7, FALSE), perc_95, VLOOKUP(S$2, Percentiles!$A$45:$I$59, 8, FALSE), perc_85, perc_75 + (perc_90 - perc_75) * (2/3), converted_stat, '2K_Ratings'!S535, IF(bbgm_stat &gt;= perc_95, converted_stat * 3, IF(bbgm_stat &gt;= perc_90, converted_stat * 2, IF(bbgm_stat &gt;= perc_85, converted_stat * 1.5, converted_stat)))))</f>
        <v/>
      </c>
      <c r="T535" s="30" t="str">
        <f t="array" ref="T535">IF($A535="", "", LET(bbgm_stat, INDEX(Players!$A534:$P534, MATCH(T$2, Players!$A$1:$P$1, 0)), perc_75, VLOOKUP(T$2, Percentiles!$A$45:$I$59, 6, FALSE), perc_90, VLOOKUP(T$2, Percentiles!$A$45:$I$59, 7, FALSE), perc_95, VLOOKUP(T$2, Percentiles!$A$45:$I$59, 8, FALSE), perc_85, perc_75 + (perc_90 - perc_75) * (2/3), converted_stat, '2K_Ratings'!T535, IF(bbgm_stat &gt;= perc_95, converted_stat * 3, IF(bbgm_stat &gt;= perc_90, converted_stat * 2, IF(bbgm_stat &gt;= perc_85, converted_stat * 1.5, converted_stat)))))</f>
        <v/>
      </c>
      <c r="U535" s="30" t="str">
        <f t="array" ref="U535">IF($A535="", "", LET(bbgm_stat, INDEX(Players!$A534:$P534, MATCH(U$2, Players!$A$1:$P$1, 0)), perc_75, VLOOKUP(U$2, Percentiles!$A$45:$I$59, 6, FALSE), perc_90, VLOOKUP(U$2, Percentiles!$A$45:$I$59, 7, FALSE), perc_95, VLOOKUP(U$2, Percentiles!$A$45:$I$59, 8, FALSE), perc_85, perc_75 + (perc_90 - perc_75) * (2/3), converted_stat, '2K_Ratings'!U535, IF(bbgm_stat &gt;= perc_95, converted_stat * 3, IF(bbgm_stat &gt;= perc_90, converted_stat * 2, IF(bbgm_stat &gt;= perc_85, converted_stat * 1.5, converted_stat)))))</f>
        <v/>
      </c>
      <c r="V535" s="30" t="str">
        <f t="array" ref="V535">IF($A535="", "", LET(bbgm_stat, INDEX(Players!$A534:$P534, MATCH(V$2, Players!$A$1:$P$1, 0)), perc_75, VLOOKUP(V$2, Percentiles!$A$45:$I$59, 6, FALSE), perc_90, VLOOKUP(V$2, Percentiles!$A$45:$I$59, 7, FALSE), perc_95, VLOOKUP(V$2, Percentiles!$A$45:$I$59, 8, FALSE), perc_85, perc_75 + (perc_90 - perc_75) * (2/3), converted_stat, '2K_Ratings'!V535, IF(bbgm_stat &gt;= perc_95, converted_stat * 3, IF(bbgm_stat &gt;= perc_90, converted_stat * 2, IF(bbgm_stat &gt;= perc_85, converted_stat * 1.5, converted_stat)))))</f>
        <v/>
      </c>
      <c r="W535" s="30" t="str">
        <f t="array" ref="W535">IF($A535="", "", LET(bbgm_stat, INDEX(Players!$A534:$P534, MATCH(W$2, Players!$A$1:$P$1, 0)), perc_75, VLOOKUP(W$2, Percentiles!$A$45:$I$59, 6, FALSE), perc_90, VLOOKUP(W$2, Percentiles!$A$45:$I$59, 7, FALSE), perc_95, VLOOKUP(W$2, Percentiles!$A$45:$I$59, 8, FALSE), perc_85, perc_75 + (perc_90 - perc_75) * (2/3), converted_stat, '2K_Ratings'!W535, IF(bbgm_stat &gt;= perc_95, converted_stat * 3, IF(bbgm_stat &gt;= perc_90, converted_stat * 2, IF(bbgm_stat &gt;= perc_85, converted_stat * 1.5, converted_stat)))))</f>
        <v/>
      </c>
    </row>
    <row r="536">
      <c r="A536" s="30"/>
      <c r="B536" s="30" t="str">
        <f t="array" ref="B536">IF($A536="", "", LET(bbgm_stat, INDEX(Players!$A535:$P535, MATCH(B$2, Players!$A$1:$P$1, 0)), perc_75, VLOOKUP(B$2, Percentiles!$A$45:$I$59, 6, FALSE), perc_90, VLOOKUP(B$2, Percentiles!$A$45:$I$59, 7, FALSE), perc_95, VLOOKUP(B$2, Percentiles!$A$45:$I$59, 8, FALSE), perc_85, perc_75 + (perc_90 - perc_75) * (2/3), converted_stat, '2K_Ratings'!B536, IF(bbgm_stat &gt;= perc_95, converted_stat * 3, IF(bbgm_stat &gt;= perc_90, converted_stat * 2, IF(bbgm_stat &gt;= perc_85, converted_stat * 1.5, converted_stat)))))</f>
        <v/>
      </c>
      <c r="C536" s="30" t="str">
        <f t="array" ref="C536">IF($A536="", "", LET(bbgm_stat, INDEX(Players!$A535:$P535, MATCH(C$2, Players!$A$1:$P$1, 0)), perc_75, VLOOKUP(C$2, Percentiles!$A$45:$I$59, 6, FALSE), perc_90, VLOOKUP(C$2, Percentiles!$A$45:$I$59, 7, FALSE), perc_95, VLOOKUP(C$2, Percentiles!$A$45:$I$59, 8, FALSE), perc_85, perc_75 + (perc_90 - perc_75) * (2/3), converted_stat, '2K_Ratings'!C536, IF(bbgm_stat &gt;= perc_95, converted_stat * 3, IF(bbgm_stat &gt;= perc_90, converted_stat * 2, IF(bbgm_stat &gt;= perc_85, converted_stat * 1.5, converted_stat)))))</f>
        <v/>
      </c>
      <c r="D536" s="30" t="str">
        <f t="array" ref="D536">IF($A536="", "", LET(bbgm_stat, INDEX(Players!$A535:$P535, MATCH(D$2, Players!$A$1:$P$1, 0)), perc_75, VLOOKUP(D$2, Percentiles!$A$45:$I$59, 6, FALSE), perc_90, VLOOKUP(D$2, Percentiles!$A$45:$I$59, 7, FALSE), perc_95, VLOOKUP(D$2, Percentiles!$A$45:$I$59, 8, FALSE), perc_85, perc_75 + (perc_90 - perc_75) * (2/3), converted_stat, '2K_Ratings'!D536, IF(bbgm_stat &gt;= perc_95, converted_stat * 3, IF(bbgm_stat &gt;= perc_90, converted_stat * 2, IF(bbgm_stat &gt;= perc_85, converted_stat * 1.5, converted_stat)))))</f>
        <v/>
      </c>
      <c r="E536" s="30" t="str">
        <f t="array" ref="E536">IF($A536="", "", LET(bbgm_stat, INDEX(Players!$A535:$P535, MATCH(E$2, Players!$A$1:$P$1, 0)), perc_75, VLOOKUP(E$2, Percentiles!$A$45:$I$59, 6, FALSE), perc_90, VLOOKUP(E$2, Percentiles!$A$45:$I$59, 7, FALSE), perc_95, VLOOKUP(E$2, Percentiles!$A$45:$I$59, 8, FALSE), perc_85, perc_75 + (perc_90 - perc_75) * (2/3), converted_stat, '2K_Ratings'!E536, IF(bbgm_stat &gt;= perc_95, converted_stat * 3, IF(bbgm_stat &gt;= perc_90, converted_stat * 2, IF(bbgm_stat &gt;= perc_85, converted_stat * 1.5, converted_stat)))))</f>
        <v/>
      </c>
      <c r="F536" s="30" t="str">
        <f t="array" ref="F536">IF($A536="", "", LET(bbgm_stat, INDEX(Players!$A535:$P535, MATCH(F$2, Players!$A$1:$P$1, 0)), perc_75, VLOOKUP(F$2, Percentiles!$A$45:$I$59, 6, FALSE), perc_90, VLOOKUP(F$2, Percentiles!$A$45:$I$59, 7, FALSE), perc_95, VLOOKUP(F$2, Percentiles!$A$45:$I$59, 8, FALSE), perc_85, perc_75 + (perc_90 - perc_75) * (2/3), converted_stat, '2K_Ratings'!F536, IF(bbgm_stat &gt;= perc_95, converted_stat * 3, IF(bbgm_stat &gt;= perc_90, converted_stat * 2, IF(bbgm_stat &gt;= perc_85, converted_stat * 1.5, converted_stat)))))</f>
        <v/>
      </c>
      <c r="G536" s="30" t="str">
        <f t="array" ref="G536">IF($A536="", "", LET(bbgm_stat, INDEX(Players!$A535:$P535, MATCH(G$2, Players!$A$1:$P$1, 0)), perc_75, VLOOKUP(G$2, Percentiles!$A$45:$I$59, 6, FALSE), perc_90, VLOOKUP(G$2, Percentiles!$A$45:$I$59, 7, FALSE), perc_95, VLOOKUP(G$2, Percentiles!$A$45:$I$59, 8, FALSE), perc_85, perc_75 + (perc_90 - perc_75) * (2/3), converted_stat, '2K_Ratings'!G536, IF(bbgm_stat &gt;= perc_95, converted_stat * 3, IF(bbgm_stat &gt;= perc_90, converted_stat * 2, IF(bbgm_stat &gt;= perc_85, converted_stat * 1.5, converted_stat)))))</f>
        <v/>
      </c>
      <c r="H536" s="30" t="str">
        <f t="array" ref="H536">IF($A536="", "", LET(bbgm_stat, INDEX(Players!$A535:$P535, MATCH(H$2, Players!$A$1:$P$1, 0)), perc_75, VLOOKUP(H$2, Percentiles!$A$45:$I$59, 6, FALSE), perc_90, VLOOKUP(H$2, Percentiles!$A$45:$I$59, 7, FALSE), perc_95, VLOOKUP(H$2, Percentiles!$A$45:$I$59, 8, FALSE), perc_85, perc_75 + (perc_90 - perc_75) * (2/3), converted_stat, '2K_Ratings'!H536, IF(bbgm_stat &gt;= perc_95, converted_stat * 3, IF(bbgm_stat &gt;= perc_90, converted_stat * 2, IF(bbgm_stat &gt;= perc_85, converted_stat * 1.5, converted_stat)))))</f>
        <v/>
      </c>
      <c r="I536" s="30" t="str">
        <f t="array" ref="I536">IF($A536="", "", LET(bbgm_stat, INDEX(Players!$A535:$P535, MATCH(I$2, Players!$A$1:$P$1, 0)), perc_75, VLOOKUP(I$2, Percentiles!$A$45:$I$59, 6, FALSE), perc_90, VLOOKUP(I$2, Percentiles!$A$45:$I$59, 7, FALSE), perc_95, VLOOKUP(I$2, Percentiles!$A$45:$I$59, 8, FALSE), perc_85, perc_75 + (perc_90 - perc_75) * (2/3), converted_stat, '2K_Ratings'!I536, IF(bbgm_stat &gt;= perc_95, converted_stat * 3, IF(bbgm_stat &gt;= perc_90, converted_stat * 2, IF(bbgm_stat &gt;= perc_85, converted_stat * 1.5, converted_stat)))))</f>
        <v/>
      </c>
      <c r="J536" s="30" t="str">
        <f t="array" ref="J536">IF($A536="", "", LET(bbgm_stat, INDEX(Players!$A535:$P535, MATCH(J$2, Players!$A$1:$P$1, 0)), perc_75, VLOOKUP(J$2, Percentiles!$A$45:$I$59, 6, FALSE), perc_90, VLOOKUP(J$2, Percentiles!$A$45:$I$59, 7, FALSE), perc_95, VLOOKUP(J$2, Percentiles!$A$45:$I$59, 8, FALSE), perc_85, perc_75 + (perc_90 - perc_75) * (2/3), converted_stat, '2K_Ratings'!J536, IF(bbgm_stat &gt;= perc_95, converted_stat * 3, IF(bbgm_stat &gt;= perc_90, converted_stat * 2, IF(bbgm_stat &gt;= perc_85, converted_stat * 1.5, converted_stat)))))</f>
        <v/>
      </c>
      <c r="K536" s="30" t="str">
        <f t="array" ref="K536">IF($A536="", "", LET(bbgm_stat, INDEX(Players!$A535:$P535, MATCH(K$2, Players!$A$1:$P$1, 0)), perc_75, VLOOKUP(K$2, Percentiles!$A$45:$I$59, 6, FALSE), perc_90, VLOOKUP(K$2, Percentiles!$A$45:$I$59, 7, FALSE), perc_95, VLOOKUP(K$2, Percentiles!$A$45:$I$59, 8, FALSE), perc_85, perc_75 + (perc_90 - perc_75) * (2/3), converted_stat, '2K_Ratings'!K536, IF(bbgm_stat &gt;= perc_95, converted_stat * 3, IF(bbgm_stat &gt;= perc_90, converted_stat * 2, IF(bbgm_stat &gt;= perc_85, converted_stat * 1.5, converted_stat)))))</f>
        <v/>
      </c>
      <c r="L536" s="30" t="str">
        <f t="array" ref="L536">IF($A536="", "", LET(bbgm_stat, INDEX(Players!$A535:$P535, MATCH(L$2, Players!$A$1:$P$1, 0)), perc_75, VLOOKUP(L$2, Percentiles!$A$45:$I$59, 6, FALSE), perc_90, VLOOKUP(L$2, Percentiles!$A$45:$I$59, 7, FALSE), perc_95, VLOOKUP(L$2, Percentiles!$A$45:$I$59, 8, FALSE), perc_85, perc_75 + (perc_90 - perc_75) * (2/3), converted_stat, '2K_Ratings'!L536, IF(bbgm_stat &gt;= perc_95, converted_stat * 3, IF(bbgm_stat &gt;= perc_90, converted_stat * 2, IF(bbgm_stat &gt;= perc_85, converted_stat * 1.5, converted_stat)))))</f>
        <v/>
      </c>
      <c r="M536" s="30" t="str">
        <f t="array" ref="M536">IF($A536="", "", LET(bbgm_stat, INDEX(Players!$A535:$P535, MATCH(M$2, Players!$A$1:$P$1, 0)), perc_75, VLOOKUP(M$2, Percentiles!$A$45:$I$59, 6, FALSE), perc_90, VLOOKUP(M$2, Percentiles!$A$45:$I$59, 7, FALSE), perc_95, VLOOKUP(M$2, Percentiles!$A$45:$I$59, 8, FALSE), perc_85, perc_75 + (perc_90 - perc_75) * (2/3), converted_stat, '2K_Ratings'!M536, IF(bbgm_stat &gt;= perc_95, converted_stat * 3, IF(bbgm_stat &gt;= perc_90, converted_stat * 2, IF(bbgm_stat &gt;= perc_85, converted_stat * 1.5, converted_stat)))))</f>
        <v/>
      </c>
      <c r="N536" s="30" t="str">
        <f t="array" ref="N536">IF($A536="", "", LET(bbgm_stat, INDEX(Players!$A535:$P535, MATCH(N$2, Players!$A$1:$P$1, 0)), perc_75, VLOOKUP(N$2, Percentiles!$A$45:$I$59, 6, FALSE), perc_90, VLOOKUP(N$2, Percentiles!$A$45:$I$59, 7, FALSE), perc_95, VLOOKUP(N$2, Percentiles!$A$45:$I$59, 8, FALSE), perc_85, perc_75 + (perc_90 - perc_75) * (2/3), converted_stat, '2K_Ratings'!N536, IF(bbgm_stat &gt;= perc_95, converted_stat * 3, IF(bbgm_stat &gt;= perc_90, converted_stat * 2, IF(bbgm_stat &gt;= perc_85, converted_stat * 1.5, converted_stat)))))</f>
        <v/>
      </c>
      <c r="O536" s="30" t="str">
        <f t="array" ref="O536">IF($A536="", "", LET(bbgm_stat, INDEX(Players!$A535:$P535, MATCH(O$2, Players!$A$1:$P$1, 0)), perc_75, VLOOKUP(O$2, Percentiles!$A$45:$I$59, 6, FALSE), perc_90, VLOOKUP(O$2, Percentiles!$A$45:$I$59, 7, FALSE), perc_95, VLOOKUP(O$2, Percentiles!$A$45:$I$59, 8, FALSE), perc_85, perc_75 + (perc_90 - perc_75) * (2/3), converted_stat, '2K_Ratings'!O536, IF(bbgm_stat &gt;= perc_95, converted_stat * 3, IF(bbgm_stat &gt;= perc_90, converted_stat * 2, IF(bbgm_stat &gt;= perc_85, converted_stat * 1.5, converted_stat)))))</f>
        <v/>
      </c>
      <c r="P536" s="30" t="str">
        <f t="array" ref="P536">IF($A536="", "", LET(bbgm_stat, INDEX(Players!$A535:$P535, MATCH(P$2, Players!$A$1:$P$1, 0)), perc_75, VLOOKUP(P$2, Percentiles!$A$45:$I$59, 6, FALSE), perc_90, VLOOKUP(P$2, Percentiles!$A$45:$I$59, 7, FALSE), perc_95, VLOOKUP(P$2, Percentiles!$A$45:$I$59, 8, FALSE), perc_85, perc_75 + (perc_90 - perc_75) * (2/3), converted_stat, '2K_Ratings'!P536, IF(bbgm_stat &gt;= perc_95, converted_stat * 3, IF(bbgm_stat &gt;= perc_90, converted_stat * 2, IF(bbgm_stat &gt;= perc_85, converted_stat * 1.5, converted_stat)))))</f>
        <v/>
      </c>
      <c r="Q536" s="30" t="str">
        <f t="array" ref="Q536">IF($A536="", "", LET(bbgm_stat, INDEX(Players!$A535:$P535, MATCH(Q$2, Players!$A$1:$P$1, 0)), perc_75, VLOOKUP(Q$2, Percentiles!$A$45:$I$59, 6, FALSE), perc_90, VLOOKUP(Q$2, Percentiles!$A$45:$I$59, 7, FALSE), perc_95, VLOOKUP(Q$2, Percentiles!$A$45:$I$59, 8, FALSE), perc_85, perc_75 + (perc_90 - perc_75) * (2/3), converted_stat, '2K_Ratings'!Q536, IF(bbgm_stat &gt;= perc_95, converted_stat * 3, IF(bbgm_stat &gt;= perc_90, converted_stat * 2, IF(bbgm_stat &gt;= perc_85, converted_stat * 1.5, converted_stat)))))</f>
        <v/>
      </c>
      <c r="R536" s="30" t="str">
        <f t="array" ref="R536">IF($A536="", "", LET(bbgm_stat, INDEX(Players!$A535:$P535, MATCH(R$2, Players!$A$1:$P$1, 0)), perc_75, VLOOKUP(R$2, Percentiles!$A$45:$I$59, 6, FALSE), perc_90, VLOOKUP(R$2, Percentiles!$A$45:$I$59, 7, FALSE), perc_95, VLOOKUP(R$2, Percentiles!$A$45:$I$59, 8, FALSE), perc_85, perc_75 + (perc_90 - perc_75) * (2/3), converted_stat, '2K_Ratings'!R536, IF(bbgm_stat &gt;= perc_95, converted_stat * 3, IF(bbgm_stat &gt;= perc_90, converted_stat * 2, IF(bbgm_stat &gt;= perc_85, converted_stat * 1.5, converted_stat)))))</f>
        <v/>
      </c>
      <c r="S536" s="30" t="str">
        <f t="array" ref="S536">IF($A536="", "", LET(bbgm_stat, INDEX(Players!$A535:$P535, MATCH(S$2, Players!$A$1:$P$1, 0)), perc_75, VLOOKUP(S$2, Percentiles!$A$45:$I$59, 6, FALSE), perc_90, VLOOKUP(S$2, Percentiles!$A$45:$I$59, 7, FALSE), perc_95, VLOOKUP(S$2, Percentiles!$A$45:$I$59, 8, FALSE), perc_85, perc_75 + (perc_90 - perc_75) * (2/3), converted_stat, '2K_Ratings'!S536, IF(bbgm_stat &gt;= perc_95, converted_stat * 3, IF(bbgm_stat &gt;= perc_90, converted_stat * 2, IF(bbgm_stat &gt;= perc_85, converted_stat * 1.5, converted_stat)))))</f>
        <v/>
      </c>
      <c r="T536" s="30" t="str">
        <f t="array" ref="T536">IF($A536="", "", LET(bbgm_stat, INDEX(Players!$A535:$P535, MATCH(T$2, Players!$A$1:$P$1, 0)), perc_75, VLOOKUP(T$2, Percentiles!$A$45:$I$59, 6, FALSE), perc_90, VLOOKUP(T$2, Percentiles!$A$45:$I$59, 7, FALSE), perc_95, VLOOKUP(T$2, Percentiles!$A$45:$I$59, 8, FALSE), perc_85, perc_75 + (perc_90 - perc_75) * (2/3), converted_stat, '2K_Ratings'!T536, IF(bbgm_stat &gt;= perc_95, converted_stat * 3, IF(bbgm_stat &gt;= perc_90, converted_stat * 2, IF(bbgm_stat &gt;= perc_85, converted_stat * 1.5, converted_stat)))))</f>
        <v/>
      </c>
      <c r="U536" s="30" t="str">
        <f t="array" ref="U536">IF($A536="", "", LET(bbgm_stat, INDEX(Players!$A535:$P535, MATCH(U$2, Players!$A$1:$P$1, 0)), perc_75, VLOOKUP(U$2, Percentiles!$A$45:$I$59, 6, FALSE), perc_90, VLOOKUP(U$2, Percentiles!$A$45:$I$59, 7, FALSE), perc_95, VLOOKUP(U$2, Percentiles!$A$45:$I$59, 8, FALSE), perc_85, perc_75 + (perc_90 - perc_75) * (2/3), converted_stat, '2K_Ratings'!U536, IF(bbgm_stat &gt;= perc_95, converted_stat * 3, IF(bbgm_stat &gt;= perc_90, converted_stat * 2, IF(bbgm_stat &gt;= perc_85, converted_stat * 1.5, converted_stat)))))</f>
        <v/>
      </c>
      <c r="V536" s="30" t="str">
        <f t="array" ref="V536">IF($A536="", "", LET(bbgm_stat, INDEX(Players!$A535:$P535, MATCH(V$2, Players!$A$1:$P$1, 0)), perc_75, VLOOKUP(V$2, Percentiles!$A$45:$I$59, 6, FALSE), perc_90, VLOOKUP(V$2, Percentiles!$A$45:$I$59, 7, FALSE), perc_95, VLOOKUP(V$2, Percentiles!$A$45:$I$59, 8, FALSE), perc_85, perc_75 + (perc_90 - perc_75) * (2/3), converted_stat, '2K_Ratings'!V536, IF(bbgm_stat &gt;= perc_95, converted_stat * 3, IF(bbgm_stat &gt;= perc_90, converted_stat * 2, IF(bbgm_stat &gt;= perc_85, converted_stat * 1.5, converted_stat)))))</f>
        <v/>
      </c>
      <c r="W536" s="30" t="str">
        <f t="array" ref="W536">IF($A536="", "", LET(bbgm_stat, INDEX(Players!$A535:$P535, MATCH(W$2, Players!$A$1:$P$1, 0)), perc_75, VLOOKUP(W$2, Percentiles!$A$45:$I$59, 6, FALSE), perc_90, VLOOKUP(W$2, Percentiles!$A$45:$I$59, 7, FALSE), perc_95, VLOOKUP(W$2, Percentiles!$A$45:$I$59, 8, FALSE), perc_85, perc_75 + (perc_90 - perc_75) * (2/3), converted_stat, '2K_Ratings'!W536, IF(bbgm_stat &gt;= perc_95, converted_stat * 3, IF(bbgm_stat &gt;= perc_90, converted_stat * 2, IF(bbgm_stat &gt;= perc_85, converted_stat * 1.5, converted_stat)))))</f>
        <v/>
      </c>
    </row>
    <row r="537">
      <c r="A537" s="30"/>
      <c r="B537" s="30" t="str">
        <f t="array" ref="B537">IF($A537="", "", LET(bbgm_stat, INDEX(Players!$A536:$P536, MATCH(B$2, Players!$A$1:$P$1, 0)), perc_75, VLOOKUP(B$2, Percentiles!$A$45:$I$59, 6, FALSE), perc_90, VLOOKUP(B$2, Percentiles!$A$45:$I$59, 7, FALSE), perc_95, VLOOKUP(B$2, Percentiles!$A$45:$I$59, 8, FALSE), perc_85, perc_75 + (perc_90 - perc_75) * (2/3), converted_stat, '2K_Ratings'!B537, IF(bbgm_stat &gt;= perc_95, converted_stat * 3, IF(bbgm_stat &gt;= perc_90, converted_stat * 2, IF(bbgm_stat &gt;= perc_85, converted_stat * 1.5, converted_stat)))))</f>
        <v/>
      </c>
      <c r="C537" s="30" t="str">
        <f t="array" ref="C537">IF($A537="", "", LET(bbgm_stat, INDEX(Players!$A536:$P536, MATCH(C$2, Players!$A$1:$P$1, 0)), perc_75, VLOOKUP(C$2, Percentiles!$A$45:$I$59, 6, FALSE), perc_90, VLOOKUP(C$2, Percentiles!$A$45:$I$59, 7, FALSE), perc_95, VLOOKUP(C$2, Percentiles!$A$45:$I$59, 8, FALSE), perc_85, perc_75 + (perc_90 - perc_75) * (2/3), converted_stat, '2K_Ratings'!C537, IF(bbgm_stat &gt;= perc_95, converted_stat * 3, IF(bbgm_stat &gt;= perc_90, converted_stat * 2, IF(bbgm_stat &gt;= perc_85, converted_stat * 1.5, converted_stat)))))</f>
        <v/>
      </c>
      <c r="D537" s="30" t="str">
        <f t="array" ref="D537">IF($A537="", "", LET(bbgm_stat, INDEX(Players!$A536:$P536, MATCH(D$2, Players!$A$1:$P$1, 0)), perc_75, VLOOKUP(D$2, Percentiles!$A$45:$I$59, 6, FALSE), perc_90, VLOOKUP(D$2, Percentiles!$A$45:$I$59, 7, FALSE), perc_95, VLOOKUP(D$2, Percentiles!$A$45:$I$59, 8, FALSE), perc_85, perc_75 + (perc_90 - perc_75) * (2/3), converted_stat, '2K_Ratings'!D537, IF(bbgm_stat &gt;= perc_95, converted_stat * 3, IF(bbgm_stat &gt;= perc_90, converted_stat * 2, IF(bbgm_stat &gt;= perc_85, converted_stat * 1.5, converted_stat)))))</f>
        <v/>
      </c>
      <c r="E537" s="30" t="str">
        <f t="array" ref="E537">IF($A537="", "", LET(bbgm_stat, INDEX(Players!$A536:$P536, MATCH(E$2, Players!$A$1:$P$1, 0)), perc_75, VLOOKUP(E$2, Percentiles!$A$45:$I$59, 6, FALSE), perc_90, VLOOKUP(E$2, Percentiles!$A$45:$I$59, 7, FALSE), perc_95, VLOOKUP(E$2, Percentiles!$A$45:$I$59, 8, FALSE), perc_85, perc_75 + (perc_90 - perc_75) * (2/3), converted_stat, '2K_Ratings'!E537, IF(bbgm_stat &gt;= perc_95, converted_stat * 3, IF(bbgm_stat &gt;= perc_90, converted_stat * 2, IF(bbgm_stat &gt;= perc_85, converted_stat * 1.5, converted_stat)))))</f>
        <v/>
      </c>
      <c r="F537" s="30" t="str">
        <f t="array" ref="F537">IF($A537="", "", LET(bbgm_stat, INDEX(Players!$A536:$P536, MATCH(F$2, Players!$A$1:$P$1, 0)), perc_75, VLOOKUP(F$2, Percentiles!$A$45:$I$59, 6, FALSE), perc_90, VLOOKUP(F$2, Percentiles!$A$45:$I$59, 7, FALSE), perc_95, VLOOKUP(F$2, Percentiles!$A$45:$I$59, 8, FALSE), perc_85, perc_75 + (perc_90 - perc_75) * (2/3), converted_stat, '2K_Ratings'!F537, IF(bbgm_stat &gt;= perc_95, converted_stat * 3, IF(bbgm_stat &gt;= perc_90, converted_stat * 2, IF(bbgm_stat &gt;= perc_85, converted_stat * 1.5, converted_stat)))))</f>
        <v/>
      </c>
      <c r="G537" s="30" t="str">
        <f t="array" ref="G537">IF($A537="", "", LET(bbgm_stat, INDEX(Players!$A536:$P536, MATCH(G$2, Players!$A$1:$P$1, 0)), perc_75, VLOOKUP(G$2, Percentiles!$A$45:$I$59, 6, FALSE), perc_90, VLOOKUP(G$2, Percentiles!$A$45:$I$59, 7, FALSE), perc_95, VLOOKUP(G$2, Percentiles!$A$45:$I$59, 8, FALSE), perc_85, perc_75 + (perc_90 - perc_75) * (2/3), converted_stat, '2K_Ratings'!G537, IF(bbgm_stat &gt;= perc_95, converted_stat * 3, IF(bbgm_stat &gt;= perc_90, converted_stat * 2, IF(bbgm_stat &gt;= perc_85, converted_stat * 1.5, converted_stat)))))</f>
        <v/>
      </c>
      <c r="H537" s="30" t="str">
        <f t="array" ref="H537">IF($A537="", "", LET(bbgm_stat, INDEX(Players!$A536:$P536, MATCH(H$2, Players!$A$1:$P$1, 0)), perc_75, VLOOKUP(H$2, Percentiles!$A$45:$I$59, 6, FALSE), perc_90, VLOOKUP(H$2, Percentiles!$A$45:$I$59, 7, FALSE), perc_95, VLOOKUP(H$2, Percentiles!$A$45:$I$59, 8, FALSE), perc_85, perc_75 + (perc_90 - perc_75) * (2/3), converted_stat, '2K_Ratings'!H537, IF(bbgm_stat &gt;= perc_95, converted_stat * 3, IF(bbgm_stat &gt;= perc_90, converted_stat * 2, IF(bbgm_stat &gt;= perc_85, converted_stat * 1.5, converted_stat)))))</f>
        <v/>
      </c>
      <c r="I537" s="30" t="str">
        <f t="array" ref="I537">IF($A537="", "", LET(bbgm_stat, INDEX(Players!$A536:$P536, MATCH(I$2, Players!$A$1:$P$1, 0)), perc_75, VLOOKUP(I$2, Percentiles!$A$45:$I$59, 6, FALSE), perc_90, VLOOKUP(I$2, Percentiles!$A$45:$I$59, 7, FALSE), perc_95, VLOOKUP(I$2, Percentiles!$A$45:$I$59, 8, FALSE), perc_85, perc_75 + (perc_90 - perc_75) * (2/3), converted_stat, '2K_Ratings'!I537, IF(bbgm_stat &gt;= perc_95, converted_stat * 3, IF(bbgm_stat &gt;= perc_90, converted_stat * 2, IF(bbgm_stat &gt;= perc_85, converted_stat * 1.5, converted_stat)))))</f>
        <v/>
      </c>
      <c r="J537" s="30" t="str">
        <f t="array" ref="J537">IF($A537="", "", LET(bbgm_stat, INDEX(Players!$A536:$P536, MATCH(J$2, Players!$A$1:$P$1, 0)), perc_75, VLOOKUP(J$2, Percentiles!$A$45:$I$59, 6, FALSE), perc_90, VLOOKUP(J$2, Percentiles!$A$45:$I$59, 7, FALSE), perc_95, VLOOKUP(J$2, Percentiles!$A$45:$I$59, 8, FALSE), perc_85, perc_75 + (perc_90 - perc_75) * (2/3), converted_stat, '2K_Ratings'!J537, IF(bbgm_stat &gt;= perc_95, converted_stat * 3, IF(bbgm_stat &gt;= perc_90, converted_stat * 2, IF(bbgm_stat &gt;= perc_85, converted_stat * 1.5, converted_stat)))))</f>
        <v/>
      </c>
      <c r="K537" s="30" t="str">
        <f t="array" ref="K537">IF($A537="", "", LET(bbgm_stat, INDEX(Players!$A536:$P536, MATCH(K$2, Players!$A$1:$P$1, 0)), perc_75, VLOOKUP(K$2, Percentiles!$A$45:$I$59, 6, FALSE), perc_90, VLOOKUP(K$2, Percentiles!$A$45:$I$59, 7, FALSE), perc_95, VLOOKUP(K$2, Percentiles!$A$45:$I$59, 8, FALSE), perc_85, perc_75 + (perc_90 - perc_75) * (2/3), converted_stat, '2K_Ratings'!K537, IF(bbgm_stat &gt;= perc_95, converted_stat * 3, IF(bbgm_stat &gt;= perc_90, converted_stat * 2, IF(bbgm_stat &gt;= perc_85, converted_stat * 1.5, converted_stat)))))</f>
        <v/>
      </c>
      <c r="L537" s="30" t="str">
        <f t="array" ref="L537">IF($A537="", "", LET(bbgm_stat, INDEX(Players!$A536:$P536, MATCH(L$2, Players!$A$1:$P$1, 0)), perc_75, VLOOKUP(L$2, Percentiles!$A$45:$I$59, 6, FALSE), perc_90, VLOOKUP(L$2, Percentiles!$A$45:$I$59, 7, FALSE), perc_95, VLOOKUP(L$2, Percentiles!$A$45:$I$59, 8, FALSE), perc_85, perc_75 + (perc_90 - perc_75) * (2/3), converted_stat, '2K_Ratings'!L537, IF(bbgm_stat &gt;= perc_95, converted_stat * 3, IF(bbgm_stat &gt;= perc_90, converted_stat * 2, IF(bbgm_stat &gt;= perc_85, converted_stat * 1.5, converted_stat)))))</f>
        <v/>
      </c>
      <c r="M537" s="30" t="str">
        <f t="array" ref="M537">IF($A537="", "", LET(bbgm_stat, INDEX(Players!$A536:$P536, MATCH(M$2, Players!$A$1:$P$1, 0)), perc_75, VLOOKUP(M$2, Percentiles!$A$45:$I$59, 6, FALSE), perc_90, VLOOKUP(M$2, Percentiles!$A$45:$I$59, 7, FALSE), perc_95, VLOOKUP(M$2, Percentiles!$A$45:$I$59, 8, FALSE), perc_85, perc_75 + (perc_90 - perc_75) * (2/3), converted_stat, '2K_Ratings'!M537, IF(bbgm_stat &gt;= perc_95, converted_stat * 3, IF(bbgm_stat &gt;= perc_90, converted_stat * 2, IF(bbgm_stat &gt;= perc_85, converted_stat * 1.5, converted_stat)))))</f>
        <v/>
      </c>
      <c r="N537" s="30" t="str">
        <f t="array" ref="N537">IF($A537="", "", LET(bbgm_stat, INDEX(Players!$A536:$P536, MATCH(N$2, Players!$A$1:$P$1, 0)), perc_75, VLOOKUP(N$2, Percentiles!$A$45:$I$59, 6, FALSE), perc_90, VLOOKUP(N$2, Percentiles!$A$45:$I$59, 7, FALSE), perc_95, VLOOKUP(N$2, Percentiles!$A$45:$I$59, 8, FALSE), perc_85, perc_75 + (perc_90 - perc_75) * (2/3), converted_stat, '2K_Ratings'!N537, IF(bbgm_stat &gt;= perc_95, converted_stat * 3, IF(bbgm_stat &gt;= perc_90, converted_stat * 2, IF(bbgm_stat &gt;= perc_85, converted_stat * 1.5, converted_stat)))))</f>
        <v/>
      </c>
      <c r="O537" s="30" t="str">
        <f t="array" ref="O537">IF($A537="", "", LET(bbgm_stat, INDEX(Players!$A536:$P536, MATCH(O$2, Players!$A$1:$P$1, 0)), perc_75, VLOOKUP(O$2, Percentiles!$A$45:$I$59, 6, FALSE), perc_90, VLOOKUP(O$2, Percentiles!$A$45:$I$59, 7, FALSE), perc_95, VLOOKUP(O$2, Percentiles!$A$45:$I$59, 8, FALSE), perc_85, perc_75 + (perc_90 - perc_75) * (2/3), converted_stat, '2K_Ratings'!O537, IF(bbgm_stat &gt;= perc_95, converted_stat * 3, IF(bbgm_stat &gt;= perc_90, converted_stat * 2, IF(bbgm_stat &gt;= perc_85, converted_stat * 1.5, converted_stat)))))</f>
        <v/>
      </c>
      <c r="P537" s="30" t="str">
        <f t="array" ref="P537">IF($A537="", "", LET(bbgm_stat, INDEX(Players!$A536:$P536, MATCH(P$2, Players!$A$1:$P$1, 0)), perc_75, VLOOKUP(P$2, Percentiles!$A$45:$I$59, 6, FALSE), perc_90, VLOOKUP(P$2, Percentiles!$A$45:$I$59, 7, FALSE), perc_95, VLOOKUP(P$2, Percentiles!$A$45:$I$59, 8, FALSE), perc_85, perc_75 + (perc_90 - perc_75) * (2/3), converted_stat, '2K_Ratings'!P537, IF(bbgm_stat &gt;= perc_95, converted_stat * 3, IF(bbgm_stat &gt;= perc_90, converted_stat * 2, IF(bbgm_stat &gt;= perc_85, converted_stat * 1.5, converted_stat)))))</f>
        <v/>
      </c>
      <c r="Q537" s="30" t="str">
        <f t="array" ref="Q537">IF($A537="", "", LET(bbgm_stat, INDEX(Players!$A536:$P536, MATCH(Q$2, Players!$A$1:$P$1, 0)), perc_75, VLOOKUP(Q$2, Percentiles!$A$45:$I$59, 6, FALSE), perc_90, VLOOKUP(Q$2, Percentiles!$A$45:$I$59, 7, FALSE), perc_95, VLOOKUP(Q$2, Percentiles!$A$45:$I$59, 8, FALSE), perc_85, perc_75 + (perc_90 - perc_75) * (2/3), converted_stat, '2K_Ratings'!Q537, IF(bbgm_stat &gt;= perc_95, converted_stat * 3, IF(bbgm_stat &gt;= perc_90, converted_stat * 2, IF(bbgm_stat &gt;= perc_85, converted_stat * 1.5, converted_stat)))))</f>
        <v/>
      </c>
      <c r="R537" s="30" t="str">
        <f t="array" ref="R537">IF($A537="", "", LET(bbgm_stat, INDEX(Players!$A536:$P536, MATCH(R$2, Players!$A$1:$P$1, 0)), perc_75, VLOOKUP(R$2, Percentiles!$A$45:$I$59, 6, FALSE), perc_90, VLOOKUP(R$2, Percentiles!$A$45:$I$59, 7, FALSE), perc_95, VLOOKUP(R$2, Percentiles!$A$45:$I$59, 8, FALSE), perc_85, perc_75 + (perc_90 - perc_75) * (2/3), converted_stat, '2K_Ratings'!R537, IF(bbgm_stat &gt;= perc_95, converted_stat * 3, IF(bbgm_stat &gt;= perc_90, converted_stat * 2, IF(bbgm_stat &gt;= perc_85, converted_stat * 1.5, converted_stat)))))</f>
        <v/>
      </c>
      <c r="S537" s="30" t="str">
        <f t="array" ref="S537">IF($A537="", "", LET(bbgm_stat, INDEX(Players!$A536:$P536, MATCH(S$2, Players!$A$1:$P$1, 0)), perc_75, VLOOKUP(S$2, Percentiles!$A$45:$I$59, 6, FALSE), perc_90, VLOOKUP(S$2, Percentiles!$A$45:$I$59, 7, FALSE), perc_95, VLOOKUP(S$2, Percentiles!$A$45:$I$59, 8, FALSE), perc_85, perc_75 + (perc_90 - perc_75) * (2/3), converted_stat, '2K_Ratings'!S537, IF(bbgm_stat &gt;= perc_95, converted_stat * 3, IF(bbgm_stat &gt;= perc_90, converted_stat * 2, IF(bbgm_stat &gt;= perc_85, converted_stat * 1.5, converted_stat)))))</f>
        <v/>
      </c>
      <c r="T537" s="30" t="str">
        <f t="array" ref="T537">IF($A537="", "", LET(bbgm_stat, INDEX(Players!$A536:$P536, MATCH(T$2, Players!$A$1:$P$1, 0)), perc_75, VLOOKUP(T$2, Percentiles!$A$45:$I$59, 6, FALSE), perc_90, VLOOKUP(T$2, Percentiles!$A$45:$I$59, 7, FALSE), perc_95, VLOOKUP(T$2, Percentiles!$A$45:$I$59, 8, FALSE), perc_85, perc_75 + (perc_90 - perc_75) * (2/3), converted_stat, '2K_Ratings'!T537, IF(bbgm_stat &gt;= perc_95, converted_stat * 3, IF(bbgm_stat &gt;= perc_90, converted_stat * 2, IF(bbgm_stat &gt;= perc_85, converted_stat * 1.5, converted_stat)))))</f>
        <v/>
      </c>
      <c r="U537" s="30" t="str">
        <f t="array" ref="U537">IF($A537="", "", LET(bbgm_stat, INDEX(Players!$A536:$P536, MATCH(U$2, Players!$A$1:$P$1, 0)), perc_75, VLOOKUP(U$2, Percentiles!$A$45:$I$59, 6, FALSE), perc_90, VLOOKUP(U$2, Percentiles!$A$45:$I$59, 7, FALSE), perc_95, VLOOKUP(U$2, Percentiles!$A$45:$I$59, 8, FALSE), perc_85, perc_75 + (perc_90 - perc_75) * (2/3), converted_stat, '2K_Ratings'!U537, IF(bbgm_stat &gt;= perc_95, converted_stat * 3, IF(bbgm_stat &gt;= perc_90, converted_stat * 2, IF(bbgm_stat &gt;= perc_85, converted_stat * 1.5, converted_stat)))))</f>
        <v/>
      </c>
      <c r="V537" s="30" t="str">
        <f t="array" ref="V537">IF($A537="", "", LET(bbgm_stat, INDEX(Players!$A536:$P536, MATCH(V$2, Players!$A$1:$P$1, 0)), perc_75, VLOOKUP(V$2, Percentiles!$A$45:$I$59, 6, FALSE), perc_90, VLOOKUP(V$2, Percentiles!$A$45:$I$59, 7, FALSE), perc_95, VLOOKUP(V$2, Percentiles!$A$45:$I$59, 8, FALSE), perc_85, perc_75 + (perc_90 - perc_75) * (2/3), converted_stat, '2K_Ratings'!V537, IF(bbgm_stat &gt;= perc_95, converted_stat * 3, IF(bbgm_stat &gt;= perc_90, converted_stat * 2, IF(bbgm_stat &gt;= perc_85, converted_stat * 1.5, converted_stat)))))</f>
        <v/>
      </c>
      <c r="W537" s="30" t="str">
        <f t="array" ref="W537">IF($A537="", "", LET(bbgm_stat, INDEX(Players!$A536:$P536, MATCH(W$2, Players!$A$1:$P$1, 0)), perc_75, VLOOKUP(W$2, Percentiles!$A$45:$I$59, 6, FALSE), perc_90, VLOOKUP(W$2, Percentiles!$A$45:$I$59, 7, FALSE), perc_95, VLOOKUP(W$2, Percentiles!$A$45:$I$59, 8, FALSE), perc_85, perc_75 + (perc_90 - perc_75) * (2/3), converted_stat, '2K_Ratings'!W537, IF(bbgm_stat &gt;= perc_95, converted_stat * 3, IF(bbgm_stat &gt;= perc_90, converted_stat * 2, IF(bbgm_stat &gt;= perc_85, converted_stat * 1.5, converted_stat)))))</f>
        <v/>
      </c>
    </row>
    <row r="538">
      <c r="A538" s="30"/>
      <c r="B538" s="30" t="str">
        <f t="array" ref="B538">IF($A538="", "", LET(bbgm_stat, INDEX(Players!$A537:$P537, MATCH(B$2, Players!$A$1:$P$1, 0)), perc_75, VLOOKUP(B$2, Percentiles!$A$45:$I$59, 6, FALSE), perc_90, VLOOKUP(B$2, Percentiles!$A$45:$I$59, 7, FALSE), perc_95, VLOOKUP(B$2, Percentiles!$A$45:$I$59, 8, FALSE), perc_85, perc_75 + (perc_90 - perc_75) * (2/3), converted_stat, '2K_Ratings'!B538, IF(bbgm_stat &gt;= perc_95, converted_stat * 3, IF(bbgm_stat &gt;= perc_90, converted_stat * 2, IF(bbgm_stat &gt;= perc_85, converted_stat * 1.5, converted_stat)))))</f>
        <v/>
      </c>
      <c r="C538" s="30" t="str">
        <f t="array" ref="C538">IF($A538="", "", LET(bbgm_stat, INDEX(Players!$A537:$P537, MATCH(C$2, Players!$A$1:$P$1, 0)), perc_75, VLOOKUP(C$2, Percentiles!$A$45:$I$59, 6, FALSE), perc_90, VLOOKUP(C$2, Percentiles!$A$45:$I$59, 7, FALSE), perc_95, VLOOKUP(C$2, Percentiles!$A$45:$I$59, 8, FALSE), perc_85, perc_75 + (perc_90 - perc_75) * (2/3), converted_stat, '2K_Ratings'!C538, IF(bbgm_stat &gt;= perc_95, converted_stat * 3, IF(bbgm_stat &gt;= perc_90, converted_stat * 2, IF(bbgm_stat &gt;= perc_85, converted_stat * 1.5, converted_stat)))))</f>
        <v/>
      </c>
      <c r="D538" s="30" t="str">
        <f t="array" ref="D538">IF($A538="", "", LET(bbgm_stat, INDEX(Players!$A537:$P537, MATCH(D$2, Players!$A$1:$P$1, 0)), perc_75, VLOOKUP(D$2, Percentiles!$A$45:$I$59, 6, FALSE), perc_90, VLOOKUP(D$2, Percentiles!$A$45:$I$59, 7, FALSE), perc_95, VLOOKUP(D$2, Percentiles!$A$45:$I$59, 8, FALSE), perc_85, perc_75 + (perc_90 - perc_75) * (2/3), converted_stat, '2K_Ratings'!D538, IF(bbgm_stat &gt;= perc_95, converted_stat * 3, IF(bbgm_stat &gt;= perc_90, converted_stat * 2, IF(bbgm_stat &gt;= perc_85, converted_stat * 1.5, converted_stat)))))</f>
        <v/>
      </c>
      <c r="E538" s="30" t="str">
        <f t="array" ref="E538">IF($A538="", "", LET(bbgm_stat, INDEX(Players!$A537:$P537, MATCH(E$2, Players!$A$1:$P$1, 0)), perc_75, VLOOKUP(E$2, Percentiles!$A$45:$I$59, 6, FALSE), perc_90, VLOOKUP(E$2, Percentiles!$A$45:$I$59, 7, FALSE), perc_95, VLOOKUP(E$2, Percentiles!$A$45:$I$59, 8, FALSE), perc_85, perc_75 + (perc_90 - perc_75) * (2/3), converted_stat, '2K_Ratings'!E538, IF(bbgm_stat &gt;= perc_95, converted_stat * 3, IF(bbgm_stat &gt;= perc_90, converted_stat * 2, IF(bbgm_stat &gt;= perc_85, converted_stat * 1.5, converted_stat)))))</f>
        <v/>
      </c>
      <c r="F538" s="30" t="str">
        <f t="array" ref="F538">IF($A538="", "", LET(bbgm_stat, INDEX(Players!$A537:$P537, MATCH(F$2, Players!$A$1:$P$1, 0)), perc_75, VLOOKUP(F$2, Percentiles!$A$45:$I$59, 6, FALSE), perc_90, VLOOKUP(F$2, Percentiles!$A$45:$I$59, 7, FALSE), perc_95, VLOOKUP(F$2, Percentiles!$A$45:$I$59, 8, FALSE), perc_85, perc_75 + (perc_90 - perc_75) * (2/3), converted_stat, '2K_Ratings'!F538, IF(bbgm_stat &gt;= perc_95, converted_stat * 3, IF(bbgm_stat &gt;= perc_90, converted_stat * 2, IF(bbgm_stat &gt;= perc_85, converted_stat * 1.5, converted_stat)))))</f>
        <v/>
      </c>
      <c r="G538" s="30" t="str">
        <f t="array" ref="G538">IF($A538="", "", LET(bbgm_stat, INDEX(Players!$A537:$P537, MATCH(G$2, Players!$A$1:$P$1, 0)), perc_75, VLOOKUP(G$2, Percentiles!$A$45:$I$59, 6, FALSE), perc_90, VLOOKUP(G$2, Percentiles!$A$45:$I$59, 7, FALSE), perc_95, VLOOKUP(G$2, Percentiles!$A$45:$I$59, 8, FALSE), perc_85, perc_75 + (perc_90 - perc_75) * (2/3), converted_stat, '2K_Ratings'!G538, IF(bbgm_stat &gt;= perc_95, converted_stat * 3, IF(bbgm_stat &gt;= perc_90, converted_stat * 2, IF(bbgm_stat &gt;= perc_85, converted_stat * 1.5, converted_stat)))))</f>
        <v/>
      </c>
      <c r="H538" s="30" t="str">
        <f t="array" ref="H538">IF($A538="", "", LET(bbgm_stat, INDEX(Players!$A537:$P537, MATCH(H$2, Players!$A$1:$P$1, 0)), perc_75, VLOOKUP(H$2, Percentiles!$A$45:$I$59, 6, FALSE), perc_90, VLOOKUP(H$2, Percentiles!$A$45:$I$59, 7, FALSE), perc_95, VLOOKUP(H$2, Percentiles!$A$45:$I$59, 8, FALSE), perc_85, perc_75 + (perc_90 - perc_75) * (2/3), converted_stat, '2K_Ratings'!H538, IF(bbgm_stat &gt;= perc_95, converted_stat * 3, IF(bbgm_stat &gt;= perc_90, converted_stat * 2, IF(bbgm_stat &gt;= perc_85, converted_stat * 1.5, converted_stat)))))</f>
        <v/>
      </c>
      <c r="I538" s="30" t="str">
        <f t="array" ref="I538">IF($A538="", "", LET(bbgm_stat, INDEX(Players!$A537:$P537, MATCH(I$2, Players!$A$1:$P$1, 0)), perc_75, VLOOKUP(I$2, Percentiles!$A$45:$I$59, 6, FALSE), perc_90, VLOOKUP(I$2, Percentiles!$A$45:$I$59, 7, FALSE), perc_95, VLOOKUP(I$2, Percentiles!$A$45:$I$59, 8, FALSE), perc_85, perc_75 + (perc_90 - perc_75) * (2/3), converted_stat, '2K_Ratings'!I538, IF(bbgm_stat &gt;= perc_95, converted_stat * 3, IF(bbgm_stat &gt;= perc_90, converted_stat * 2, IF(bbgm_stat &gt;= perc_85, converted_stat * 1.5, converted_stat)))))</f>
        <v/>
      </c>
      <c r="J538" s="30" t="str">
        <f t="array" ref="J538">IF($A538="", "", LET(bbgm_stat, INDEX(Players!$A537:$P537, MATCH(J$2, Players!$A$1:$P$1, 0)), perc_75, VLOOKUP(J$2, Percentiles!$A$45:$I$59, 6, FALSE), perc_90, VLOOKUP(J$2, Percentiles!$A$45:$I$59, 7, FALSE), perc_95, VLOOKUP(J$2, Percentiles!$A$45:$I$59, 8, FALSE), perc_85, perc_75 + (perc_90 - perc_75) * (2/3), converted_stat, '2K_Ratings'!J538, IF(bbgm_stat &gt;= perc_95, converted_stat * 3, IF(bbgm_stat &gt;= perc_90, converted_stat * 2, IF(bbgm_stat &gt;= perc_85, converted_stat * 1.5, converted_stat)))))</f>
        <v/>
      </c>
      <c r="K538" s="30" t="str">
        <f t="array" ref="K538">IF($A538="", "", LET(bbgm_stat, INDEX(Players!$A537:$P537, MATCH(K$2, Players!$A$1:$P$1, 0)), perc_75, VLOOKUP(K$2, Percentiles!$A$45:$I$59, 6, FALSE), perc_90, VLOOKUP(K$2, Percentiles!$A$45:$I$59, 7, FALSE), perc_95, VLOOKUP(K$2, Percentiles!$A$45:$I$59, 8, FALSE), perc_85, perc_75 + (perc_90 - perc_75) * (2/3), converted_stat, '2K_Ratings'!K538, IF(bbgm_stat &gt;= perc_95, converted_stat * 3, IF(bbgm_stat &gt;= perc_90, converted_stat * 2, IF(bbgm_stat &gt;= perc_85, converted_stat * 1.5, converted_stat)))))</f>
        <v/>
      </c>
      <c r="L538" s="30" t="str">
        <f t="array" ref="L538">IF($A538="", "", LET(bbgm_stat, INDEX(Players!$A537:$P537, MATCH(L$2, Players!$A$1:$P$1, 0)), perc_75, VLOOKUP(L$2, Percentiles!$A$45:$I$59, 6, FALSE), perc_90, VLOOKUP(L$2, Percentiles!$A$45:$I$59, 7, FALSE), perc_95, VLOOKUP(L$2, Percentiles!$A$45:$I$59, 8, FALSE), perc_85, perc_75 + (perc_90 - perc_75) * (2/3), converted_stat, '2K_Ratings'!L538, IF(bbgm_stat &gt;= perc_95, converted_stat * 3, IF(bbgm_stat &gt;= perc_90, converted_stat * 2, IF(bbgm_stat &gt;= perc_85, converted_stat * 1.5, converted_stat)))))</f>
        <v/>
      </c>
      <c r="M538" s="30" t="str">
        <f t="array" ref="M538">IF($A538="", "", LET(bbgm_stat, INDEX(Players!$A537:$P537, MATCH(M$2, Players!$A$1:$P$1, 0)), perc_75, VLOOKUP(M$2, Percentiles!$A$45:$I$59, 6, FALSE), perc_90, VLOOKUP(M$2, Percentiles!$A$45:$I$59, 7, FALSE), perc_95, VLOOKUP(M$2, Percentiles!$A$45:$I$59, 8, FALSE), perc_85, perc_75 + (perc_90 - perc_75) * (2/3), converted_stat, '2K_Ratings'!M538, IF(bbgm_stat &gt;= perc_95, converted_stat * 3, IF(bbgm_stat &gt;= perc_90, converted_stat * 2, IF(bbgm_stat &gt;= perc_85, converted_stat * 1.5, converted_stat)))))</f>
        <v/>
      </c>
      <c r="N538" s="30" t="str">
        <f t="array" ref="N538">IF($A538="", "", LET(bbgm_stat, INDEX(Players!$A537:$P537, MATCH(N$2, Players!$A$1:$P$1, 0)), perc_75, VLOOKUP(N$2, Percentiles!$A$45:$I$59, 6, FALSE), perc_90, VLOOKUP(N$2, Percentiles!$A$45:$I$59, 7, FALSE), perc_95, VLOOKUP(N$2, Percentiles!$A$45:$I$59, 8, FALSE), perc_85, perc_75 + (perc_90 - perc_75) * (2/3), converted_stat, '2K_Ratings'!N538, IF(bbgm_stat &gt;= perc_95, converted_stat * 3, IF(bbgm_stat &gt;= perc_90, converted_stat * 2, IF(bbgm_stat &gt;= perc_85, converted_stat * 1.5, converted_stat)))))</f>
        <v/>
      </c>
      <c r="O538" s="30" t="str">
        <f t="array" ref="O538">IF($A538="", "", LET(bbgm_stat, INDEX(Players!$A537:$P537, MATCH(O$2, Players!$A$1:$P$1, 0)), perc_75, VLOOKUP(O$2, Percentiles!$A$45:$I$59, 6, FALSE), perc_90, VLOOKUP(O$2, Percentiles!$A$45:$I$59, 7, FALSE), perc_95, VLOOKUP(O$2, Percentiles!$A$45:$I$59, 8, FALSE), perc_85, perc_75 + (perc_90 - perc_75) * (2/3), converted_stat, '2K_Ratings'!O538, IF(bbgm_stat &gt;= perc_95, converted_stat * 3, IF(bbgm_stat &gt;= perc_90, converted_stat * 2, IF(bbgm_stat &gt;= perc_85, converted_stat * 1.5, converted_stat)))))</f>
        <v/>
      </c>
      <c r="P538" s="30" t="str">
        <f t="array" ref="P538">IF($A538="", "", LET(bbgm_stat, INDEX(Players!$A537:$P537, MATCH(P$2, Players!$A$1:$P$1, 0)), perc_75, VLOOKUP(P$2, Percentiles!$A$45:$I$59, 6, FALSE), perc_90, VLOOKUP(P$2, Percentiles!$A$45:$I$59, 7, FALSE), perc_95, VLOOKUP(P$2, Percentiles!$A$45:$I$59, 8, FALSE), perc_85, perc_75 + (perc_90 - perc_75) * (2/3), converted_stat, '2K_Ratings'!P538, IF(bbgm_stat &gt;= perc_95, converted_stat * 3, IF(bbgm_stat &gt;= perc_90, converted_stat * 2, IF(bbgm_stat &gt;= perc_85, converted_stat * 1.5, converted_stat)))))</f>
        <v/>
      </c>
      <c r="Q538" s="30" t="str">
        <f t="array" ref="Q538">IF($A538="", "", LET(bbgm_stat, INDEX(Players!$A537:$P537, MATCH(Q$2, Players!$A$1:$P$1, 0)), perc_75, VLOOKUP(Q$2, Percentiles!$A$45:$I$59, 6, FALSE), perc_90, VLOOKUP(Q$2, Percentiles!$A$45:$I$59, 7, FALSE), perc_95, VLOOKUP(Q$2, Percentiles!$A$45:$I$59, 8, FALSE), perc_85, perc_75 + (perc_90 - perc_75) * (2/3), converted_stat, '2K_Ratings'!Q538, IF(bbgm_stat &gt;= perc_95, converted_stat * 3, IF(bbgm_stat &gt;= perc_90, converted_stat * 2, IF(bbgm_stat &gt;= perc_85, converted_stat * 1.5, converted_stat)))))</f>
        <v/>
      </c>
      <c r="R538" s="30" t="str">
        <f t="array" ref="R538">IF($A538="", "", LET(bbgm_stat, INDEX(Players!$A537:$P537, MATCH(R$2, Players!$A$1:$P$1, 0)), perc_75, VLOOKUP(R$2, Percentiles!$A$45:$I$59, 6, FALSE), perc_90, VLOOKUP(R$2, Percentiles!$A$45:$I$59, 7, FALSE), perc_95, VLOOKUP(R$2, Percentiles!$A$45:$I$59, 8, FALSE), perc_85, perc_75 + (perc_90 - perc_75) * (2/3), converted_stat, '2K_Ratings'!R538, IF(bbgm_stat &gt;= perc_95, converted_stat * 3, IF(bbgm_stat &gt;= perc_90, converted_stat * 2, IF(bbgm_stat &gt;= perc_85, converted_stat * 1.5, converted_stat)))))</f>
        <v/>
      </c>
      <c r="S538" s="30" t="str">
        <f t="array" ref="S538">IF($A538="", "", LET(bbgm_stat, INDEX(Players!$A537:$P537, MATCH(S$2, Players!$A$1:$P$1, 0)), perc_75, VLOOKUP(S$2, Percentiles!$A$45:$I$59, 6, FALSE), perc_90, VLOOKUP(S$2, Percentiles!$A$45:$I$59, 7, FALSE), perc_95, VLOOKUP(S$2, Percentiles!$A$45:$I$59, 8, FALSE), perc_85, perc_75 + (perc_90 - perc_75) * (2/3), converted_stat, '2K_Ratings'!S538, IF(bbgm_stat &gt;= perc_95, converted_stat * 3, IF(bbgm_stat &gt;= perc_90, converted_stat * 2, IF(bbgm_stat &gt;= perc_85, converted_stat * 1.5, converted_stat)))))</f>
        <v/>
      </c>
      <c r="T538" s="30" t="str">
        <f t="array" ref="T538">IF($A538="", "", LET(bbgm_stat, INDEX(Players!$A537:$P537, MATCH(T$2, Players!$A$1:$P$1, 0)), perc_75, VLOOKUP(T$2, Percentiles!$A$45:$I$59, 6, FALSE), perc_90, VLOOKUP(T$2, Percentiles!$A$45:$I$59, 7, FALSE), perc_95, VLOOKUP(T$2, Percentiles!$A$45:$I$59, 8, FALSE), perc_85, perc_75 + (perc_90 - perc_75) * (2/3), converted_stat, '2K_Ratings'!T538, IF(bbgm_stat &gt;= perc_95, converted_stat * 3, IF(bbgm_stat &gt;= perc_90, converted_stat * 2, IF(bbgm_stat &gt;= perc_85, converted_stat * 1.5, converted_stat)))))</f>
        <v/>
      </c>
      <c r="U538" s="30" t="str">
        <f t="array" ref="U538">IF($A538="", "", LET(bbgm_stat, INDEX(Players!$A537:$P537, MATCH(U$2, Players!$A$1:$P$1, 0)), perc_75, VLOOKUP(U$2, Percentiles!$A$45:$I$59, 6, FALSE), perc_90, VLOOKUP(U$2, Percentiles!$A$45:$I$59, 7, FALSE), perc_95, VLOOKUP(U$2, Percentiles!$A$45:$I$59, 8, FALSE), perc_85, perc_75 + (perc_90 - perc_75) * (2/3), converted_stat, '2K_Ratings'!U538, IF(bbgm_stat &gt;= perc_95, converted_stat * 3, IF(bbgm_stat &gt;= perc_90, converted_stat * 2, IF(bbgm_stat &gt;= perc_85, converted_stat * 1.5, converted_stat)))))</f>
        <v/>
      </c>
      <c r="V538" s="30" t="str">
        <f t="array" ref="V538">IF($A538="", "", LET(bbgm_stat, INDEX(Players!$A537:$P537, MATCH(V$2, Players!$A$1:$P$1, 0)), perc_75, VLOOKUP(V$2, Percentiles!$A$45:$I$59, 6, FALSE), perc_90, VLOOKUP(V$2, Percentiles!$A$45:$I$59, 7, FALSE), perc_95, VLOOKUP(V$2, Percentiles!$A$45:$I$59, 8, FALSE), perc_85, perc_75 + (perc_90 - perc_75) * (2/3), converted_stat, '2K_Ratings'!V538, IF(bbgm_stat &gt;= perc_95, converted_stat * 3, IF(bbgm_stat &gt;= perc_90, converted_stat * 2, IF(bbgm_stat &gt;= perc_85, converted_stat * 1.5, converted_stat)))))</f>
        <v/>
      </c>
      <c r="W538" s="30" t="str">
        <f t="array" ref="W538">IF($A538="", "", LET(bbgm_stat, INDEX(Players!$A537:$P537, MATCH(W$2, Players!$A$1:$P$1, 0)), perc_75, VLOOKUP(W$2, Percentiles!$A$45:$I$59, 6, FALSE), perc_90, VLOOKUP(W$2, Percentiles!$A$45:$I$59, 7, FALSE), perc_95, VLOOKUP(W$2, Percentiles!$A$45:$I$59, 8, FALSE), perc_85, perc_75 + (perc_90 - perc_75) * (2/3), converted_stat, '2K_Ratings'!W538, IF(bbgm_stat &gt;= perc_95, converted_stat * 3, IF(bbgm_stat &gt;= perc_90, converted_stat * 2, IF(bbgm_stat &gt;= perc_85, converted_stat * 1.5, converted_stat)))))</f>
        <v/>
      </c>
    </row>
    <row r="539">
      <c r="A539" s="30"/>
      <c r="B539" s="30" t="str">
        <f t="array" ref="B539">IF($A539="", "", LET(bbgm_stat, INDEX(Players!$A538:$P538, MATCH(B$2, Players!$A$1:$P$1, 0)), perc_75, VLOOKUP(B$2, Percentiles!$A$45:$I$59, 6, FALSE), perc_90, VLOOKUP(B$2, Percentiles!$A$45:$I$59, 7, FALSE), perc_95, VLOOKUP(B$2, Percentiles!$A$45:$I$59, 8, FALSE), perc_85, perc_75 + (perc_90 - perc_75) * (2/3), converted_stat, '2K_Ratings'!B539, IF(bbgm_stat &gt;= perc_95, converted_stat * 3, IF(bbgm_stat &gt;= perc_90, converted_stat * 2, IF(bbgm_stat &gt;= perc_85, converted_stat * 1.5, converted_stat)))))</f>
        <v/>
      </c>
      <c r="C539" s="30" t="str">
        <f t="array" ref="C539">IF($A539="", "", LET(bbgm_stat, INDEX(Players!$A538:$P538, MATCH(C$2, Players!$A$1:$P$1, 0)), perc_75, VLOOKUP(C$2, Percentiles!$A$45:$I$59, 6, FALSE), perc_90, VLOOKUP(C$2, Percentiles!$A$45:$I$59, 7, FALSE), perc_95, VLOOKUP(C$2, Percentiles!$A$45:$I$59, 8, FALSE), perc_85, perc_75 + (perc_90 - perc_75) * (2/3), converted_stat, '2K_Ratings'!C539, IF(bbgm_stat &gt;= perc_95, converted_stat * 3, IF(bbgm_stat &gt;= perc_90, converted_stat * 2, IF(bbgm_stat &gt;= perc_85, converted_stat * 1.5, converted_stat)))))</f>
        <v/>
      </c>
      <c r="D539" s="30" t="str">
        <f t="array" ref="D539">IF($A539="", "", LET(bbgm_stat, INDEX(Players!$A538:$P538, MATCH(D$2, Players!$A$1:$P$1, 0)), perc_75, VLOOKUP(D$2, Percentiles!$A$45:$I$59, 6, FALSE), perc_90, VLOOKUP(D$2, Percentiles!$A$45:$I$59, 7, FALSE), perc_95, VLOOKUP(D$2, Percentiles!$A$45:$I$59, 8, FALSE), perc_85, perc_75 + (perc_90 - perc_75) * (2/3), converted_stat, '2K_Ratings'!D539, IF(bbgm_stat &gt;= perc_95, converted_stat * 3, IF(bbgm_stat &gt;= perc_90, converted_stat * 2, IF(bbgm_stat &gt;= perc_85, converted_stat * 1.5, converted_stat)))))</f>
        <v/>
      </c>
      <c r="E539" s="30" t="str">
        <f t="array" ref="E539">IF($A539="", "", LET(bbgm_stat, INDEX(Players!$A538:$P538, MATCH(E$2, Players!$A$1:$P$1, 0)), perc_75, VLOOKUP(E$2, Percentiles!$A$45:$I$59, 6, FALSE), perc_90, VLOOKUP(E$2, Percentiles!$A$45:$I$59, 7, FALSE), perc_95, VLOOKUP(E$2, Percentiles!$A$45:$I$59, 8, FALSE), perc_85, perc_75 + (perc_90 - perc_75) * (2/3), converted_stat, '2K_Ratings'!E539, IF(bbgm_stat &gt;= perc_95, converted_stat * 3, IF(bbgm_stat &gt;= perc_90, converted_stat * 2, IF(bbgm_stat &gt;= perc_85, converted_stat * 1.5, converted_stat)))))</f>
        <v/>
      </c>
      <c r="F539" s="30" t="str">
        <f t="array" ref="F539">IF($A539="", "", LET(bbgm_stat, INDEX(Players!$A538:$P538, MATCH(F$2, Players!$A$1:$P$1, 0)), perc_75, VLOOKUP(F$2, Percentiles!$A$45:$I$59, 6, FALSE), perc_90, VLOOKUP(F$2, Percentiles!$A$45:$I$59, 7, FALSE), perc_95, VLOOKUP(F$2, Percentiles!$A$45:$I$59, 8, FALSE), perc_85, perc_75 + (perc_90 - perc_75) * (2/3), converted_stat, '2K_Ratings'!F539, IF(bbgm_stat &gt;= perc_95, converted_stat * 3, IF(bbgm_stat &gt;= perc_90, converted_stat * 2, IF(bbgm_stat &gt;= perc_85, converted_stat * 1.5, converted_stat)))))</f>
        <v/>
      </c>
      <c r="G539" s="30" t="str">
        <f t="array" ref="G539">IF($A539="", "", LET(bbgm_stat, INDEX(Players!$A538:$P538, MATCH(G$2, Players!$A$1:$P$1, 0)), perc_75, VLOOKUP(G$2, Percentiles!$A$45:$I$59, 6, FALSE), perc_90, VLOOKUP(G$2, Percentiles!$A$45:$I$59, 7, FALSE), perc_95, VLOOKUP(G$2, Percentiles!$A$45:$I$59, 8, FALSE), perc_85, perc_75 + (perc_90 - perc_75) * (2/3), converted_stat, '2K_Ratings'!G539, IF(bbgm_stat &gt;= perc_95, converted_stat * 3, IF(bbgm_stat &gt;= perc_90, converted_stat * 2, IF(bbgm_stat &gt;= perc_85, converted_stat * 1.5, converted_stat)))))</f>
        <v/>
      </c>
      <c r="H539" s="30" t="str">
        <f t="array" ref="H539">IF($A539="", "", LET(bbgm_stat, INDEX(Players!$A538:$P538, MATCH(H$2, Players!$A$1:$P$1, 0)), perc_75, VLOOKUP(H$2, Percentiles!$A$45:$I$59, 6, FALSE), perc_90, VLOOKUP(H$2, Percentiles!$A$45:$I$59, 7, FALSE), perc_95, VLOOKUP(H$2, Percentiles!$A$45:$I$59, 8, FALSE), perc_85, perc_75 + (perc_90 - perc_75) * (2/3), converted_stat, '2K_Ratings'!H539, IF(bbgm_stat &gt;= perc_95, converted_stat * 3, IF(bbgm_stat &gt;= perc_90, converted_stat * 2, IF(bbgm_stat &gt;= perc_85, converted_stat * 1.5, converted_stat)))))</f>
        <v/>
      </c>
      <c r="I539" s="30" t="str">
        <f t="array" ref="I539">IF($A539="", "", LET(bbgm_stat, INDEX(Players!$A538:$P538, MATCH(I$2, Players!$A$1:$P$1, 0)), perc_75, VLOOKUP(I$2, Percentiles!$A$45:$I$59, 6, FALSE), perc_90, VLOOKUP(I$2, Percentiles!$A$45:$I$59, 7, FALSE), perc_95, VLOOKUP(I$2, Percentiles!$A$45:$I$59, 8, FALSE), perc_85, perc_75 + (perc_90 - perc_75) * (2/3), converted_stat, '2K_Ratings'!I539, IF(bbgm_stat &gt;= perc_95, converted_stat * 3, IF(bbgm_stat &gt;= perc_90, converted_stat * 2, IF(bbgm_stat &gt;= perc_85, converted_stat * 1.5, converted_stat)))))</f>
        <v/>
      </c>
      <c r="J539" s="30" t="str">
        <f t="array" ref="J539">IF($A539="", "", LET(bbgm_stat, INDEX(Players!$A538:$P538, MATCH(J$2, Players!$A$1:$P$1, 0)), perc_75, VLOOKUP(J$2, Percentiles!$A$45:$I$59, 6, FALSE), perc_90, VLOOKUP(J$2, Percentiles!$A$45:$I$59, 7, FALSE), perc_95, VLOOKUP(J$2, Percentiles!$A$45:$I$59, 8, FALSE), perc_85, perc_75 + (perc_90 - perc_75) * (2/3), converted_stat, '2K_Ratings'!J539, IF(bbgm_stat &gt;= perc_95, converted_stat * 3, IF(bbgm_stat &gt;= perc_90, converted_stat * 2, IF(bbgm_stat &gt;= perc_85, converted_stat * 1.5, converted_stat)))))</f>
        <v/>
      </c>
      <c r="K539" s="30" t="str">
        <f t="array" ref="K539">IF($A539="", "", LET(bbgm_stat, INDEX(Players!$A538:$P538, MATCH(K$2, Players!$A$1:$P$1, 0)), perc_75, VLOOKUP(K$2, Percentiles!$A$45:$I$59, 6, FALSE), perc_90, VLOOKUP(K$2, Percentiles!$A$45:$I$59, 7, FALSE), perc_95, VLOOKUP(K$2, Percentiles!$A$45:$I$59, 8, FALSE), perc_85, perc_75 + (perc_90 - perc_75) * (2/3), converted_stat, '2K_Ratings'!K539, IF(bbgm_stat &gt;= perc_95, converted_stat * 3, IF(bbgm_stat &gt;= perc_90, converted_stat * 2, IF(bbgm_stat &gt;= perc_85, converted_stat * 1.5, converted_stat)))))</f>
        <v/>
      </c>
      <c r="L539" s="30" t="str">
        <f t="array" ref="L539">IF($A539="", "", LET(bbgm_stat, INDEX(Players!$A538:$P538, MATCH(L$2, Players!$A$1:$P$1, 0)), perc_75, VLOOKUP(L$2, Percentiles!$A$45:$I$59, 6, FALSE), perc_90, VLOOKUP(L$2, Percentiles!$A$45:$I$59, 7, FALSE), perc_95, VLOOKUP(L$2, Percentiles!$A$45:$I$59, 8, FALSE), perc_85, perc_75 + (perc_90 - perc_75) * (2/3), converted_stat, '2K_Ratings'!L539, IF(bbgm_stat &gt;= perc_95, converted_stat * 3, IF(bbgm_stat &gt;= perc_90, converted_stat * 2, IF(bbgm_stat &gt;= perc_85, converted_stat * 1.5, converted_stat)))))</f>
        <v/>
      </c>
      <c r="M539" s="30" t="str">
        <f t="array" ref="M539">IF($A539="", "", LET(bbgm_stat, INDEX(Players!$A538:$P538, MATCH(M$2, Players!$A$1:$P$1, 0)), perc_75, VLOOKUP(M$2, Percentiles!$A$45:$I$59, 6, FALSE), perc_90, VLOOKUP(M$2, Percentiles!$A$45:$I$59, 7, FALSE), perc_95, VLOOKUP(M$2, Percentiles!$A$45:$I$59, 8, FALSE), perc_85, perc_75 + (perc_90 - perc_75) * (2/3), converted_stat, '2K_Ratings'!M539, IF(bbgm_stat &gt;= perc_95, converted_stat * 3, IF(bbgm_stat &gt;= perc_90, converted_stat * 2, IF(bbgm_stat &gt;= perc_85, converted_stat * 1.5, converted_stat)))))</f>
        <v/>
      </c>
      <c r="N539" s="30" t="str">
        <f t="array" ref="N539">IF($A539="", "", LET(bbgm_stat, INDEX(Players!$A538:$P538, MATCH(N$2, Players!$A$1:$P$1, 0)), perc_75, VLOOKUP(N$2, Percentiles!$A$45:$I$59, 6, FALSE), perc_90, VLOOKUP(N$2, Percentiles!$A$45:$I$59, 7, FALSE), perc_95, VLOOKUP(N$2, Percentiles!$A$45:$I$59, 8, FALSE), perc_85, perc_75 + (perc_90 - perc_75) * (2/3), converted_stat, '2K_Ratings'!N539, IF(bbgm_stat &gt;= perc_95, converted_stat * 3, IF(bbgm_stat &gt;= perc_90, converted_stat * 2, IF(bbgm_stat &gt;= perc_85, converted_stat * 1.5, converted_stat)))))</f>
        <v/>
      </c>
      <c r="O539" s="30" t="str">
        <f t="array" ref="O539">IF($A539="", "", LET(bbgm_stat, INDEX(Players!$A538:$P538, MATCH(O$2, Players!$A$1:$P$1, 0)), perc_75, VLOOKUP(O$2, Percentiles!$A$45:$I$59, 6, FALSE), perc_90, VLOOKUP(O$2, Percentiles!$A$45:$I$59, 7, FALSE), perc_95, VLOOKUP(O$2, Percentiles!$A$45:$I$59, 8, FALSE), perc_85, perc_75 + (perc_90 - perc_75) * (2/3), converted_stat, '2K_Ratings'!O539, IF(bbgm_stat &gt;= perc_95, converted_stat * 3, IF(bbgm_stat &gt;= perc_90, converted_stat * 2, IF(bbgm_stat &gt;= perc_85, converted_stat * 1.5, converted_stat)))))</f>
        <v/>
      </c>
      <c r="P539" s="30" t="str">
        <f t="array" ref="P539">IF($A539="", "", LET(bbgm_stat, INDEX(Players!$A538:$P538, MATCH(P$2, Players!$A$1:$P$1, 0)), perc_75, VLOOKUP(P$2, Percentiles!$A$45:$I$59, 6, FALSE), perc_90, VLOOKUP(P$2, Percentiles!$A$45:$I$59, 7, FALSE), perc_95, VLOOKUP(P$2, Percentiles!$A$45:$I$59, 8, FALSE), perc_85, perc_75 + (perc_90 - perc_75) * (2/3), converted_stat, '2K_Ratings'!P539, IF(bbgm_stat &gt;= perc_95, converted_stat * 3, IF(bbgm_stat &gt;= perc_90, converted_stat * 2, IF(bbgm_stat &gt;= perc_85, converted_stat * 1.5, converted_stat)))))</f>
        <v/>
      </c>
      <c r="Q539" s="30" t="str">
        <f t="array" ref="Q539">IF($A539="", "", LET(bbgm_stat, INDEX(Players!$A538:$P538, MATCH(Q$2, Players!$A$1:$P$1, 0)), perc_75, VLOOKUP(Q$2, Percentiles!$A$45:$I$59, 6, FALSE), perc_90, VLOOKUP(Q$2, Percentiles!$A$45:$I$59, 7, FALSE), perc_95, VLOOKUP(Q$2, Percentiles!$A$45:$I$59, 8, FALSE), perc_85, perc_75 + (perc_90 - perc_75) * (2/3), converted_stat, '2K_Ratings'!Q539, IF(bbgm_stat &gt;= perc_95, converted_stat * 3, IF(bbgm_stat &gt;= perc_90, converted_stat * 2, IF(bbgm_stat &gt;= perc_85, converted_stat * 1.5, converted_stat)))))</f>
        <v/>
      </c>
      <c r="R539" s="30" t="str">
        <f t="array" ref="R539">IF($A539="", "", LET(bbgm_stat, INDEX(Players!$A538:$P538, MATCH(R$2, Players!$A$1:$P$1, 0)), perc_75, VLOOKUP(R$2, Percentiles!$A$45:$I$59, 6, FALSE), perc_90, VLOOKUP(R$2, Percentiles!$A$45:$I$59, 7, FALSE), perc_95, VLOOKUP(R$2, Percentiles!$A$45:$I$59, 8, FALSE), perc_85, perc_75 + (perc_90 - perc_75) * (2/3), converted_stat, '2K_Ratings'!R539, IF(bbgm_stat &gt;= perc_95, converted_stat * 3, IF(bbgm_stat &gt;= perc_90, converted_stat * 2, IF(bbgm_stat &gt;= perc_85, converted_stat * 1.5, converted_stat)))))</f>
        <v/>
      </c>
      <c r="S539" s="30" t="str">
        <f t="array" ref="S539">IF($A539="", "", LET(bbgm_stat, INDEX(Players!$A538:$P538, MATCH(S$2, Players!$A$1:$P$1, 0)), perc_75, VLOOKUP(S$2, Percentiles!$A$45:$I$59, 6, FALSE), perc_90, VLOOKUP(S$2, Percentiles!$A$45:$I$59, 7, FALSE), perc_95, VLOOKUP(S$2, Percentiles!$A$45:$I$59, 8, FALSE), perc_85, perc_75 + (perc_90 - perc_75) * (2/3), converted_stat, '2K_Ratings'!S539, IF(bbgm_stat &gt;= perc_95, converted_stat * 3, IF(bbgm_stat &gt;= perc_90, converted_stat * 2, IF(bbgm_stat &gt;= perc_85, converted_stat * 1.5, converted_stat)))))</f>
        <v/>
      </c>
      <c r="T539" s="30" t="str">
        <f t="array" ref="T539">IF($A539="", "", LET(bbgm_stat, INDEX(Players!$A538:$P538, MATCH(T$2, Players!$A$1:$P$1, 0)), perc_75, VLOOKUP(T$2, Percentiles!$A$45:$I$59, 6, FALSE), perc_90, VLOOKUP(T$2, Percentiles!$A$45:$I$59, 7, FALSE), perc_95, VLOOKUP(T$2, Percentiles!$A$45:$I$59, 8, FALSE), perc_85, perc_75 + (perc_90 - perc_75) * (2/3), converted_stat, '2K_Ratings'!T539, IF(bbgm_stat &gt;= perc_95, converted_stat * 3, IF(bbgm_stat &gt;= perc_90, converted_stat * 2, IF(bbgm_stat &gt;= perc_85, converted_stat * 1.5, converted_stat)))))</f>
        <v/>
      </c>
      <c r="U539" s="30" t="str">
        <f t="array" ref="U539">IF($A539="", "", LET(bbgm_stat, INDEX(Players!$A538:$P538, MATCH(U$2, Players!$A$1:$P$1, 0)), perc_75, VLOOKUP(U$2, Percentiles!$A$45:$I$59, 6, FALSE), perc_90, VLOOKUP(U$2, Percentiles!$A$45:$I$59, 7, FALSE), perc_95, VLOOKUP(U$2, Percentiles!$A$45:$I$59, 8, FALSE), perc_85, perc_75 + (perc_90 - perc_75) * (2/3), converted_stat, '2K_Ratings'!U539, IF(bbgm_stat &gt;= perc_95, converted_stat * 3, IF(bbgm_stat &gt;= perc_90, converted_stat * 2, IF(bbgm_stat &gt;= perc_85, converted_stat * 1.5, converted_stat)))))</f>
        <v/>
      </c>
      <c r="V539" s="30" t="str">
        <f t="array" ref="V539">IF($A539="", "", LET(bbgm_stat, INDEX(Players!$A538:$P538, MATCH(V$2, Players!$A$1:$P$1, 0)), perc_75, VLOOKUP(V$2, Percentiles!$A$45:$I$59, 6, FALSE), perc_90, VLOOKUP(V$2, Percentiles!$A$45:$I$59, 7, FALSE), perc_95, VLOOKUP(V$2, Percentiles!$A$45:$I$59, 8, FALSE), perc_85, perc_75 + (perc_90 - perc_75) * (2/3), converted_stat, '2K_Ratings'!V539, IF(bbgm_stat &gt;= perc_95, converted_stat * 3, IF(bbgm_stat &gt;= perc_90, converted_stat * 2, IF(bbgm_stat &gt;= perc_85, converted_stat * 1.5, converted_stat)))))</f>
        <v/>
      </c>
      <c r="W539" s="30" t="str">
        <f t="array" ref="W539">IF($A539="", "", LET(bbgm_stat, INDEX(Players!$A538:$P538, MATCH(W$2, Players!$A$1:$P$1, 0)), perc_75, VLOOKUP(W$2, Percentiles!$A$45:$I$59, 6, FALSE), perc_90, VLOOKUP(W$2, Percentiles!$A$45:$I$59, 7, FALSE), perc_95, VLOOKUP(W$2, Percentiles!$A$45:$I$59, 8, FALSE), perc_85, perc_75 + (perc_90 - perc_75) * (2/3), converted_stat, '2K_Ratings'!W539, IF(bbgm_stat &gt;= perc_95, converted_stat * 3, IF(bbgm_stat &gt;= perc_90, converted_stat * 2, IF(bbgm_stat &gt;= perc_85, converted_stat * 1.5, converted_stat)))))</f>
        <v/>
      </c>
    </row>
    <row r="540">
      <c r="A540" s="30"/>
      <c r="B540" s="30" t="str">
        <f t="array" ref="B540">IF($A540="", "", LET(bbgm_stat, INDEX(Players!$A539:$P539, MATCH(B$2, Players!$A$1:$P$1, 0)), perc_75, VLOOKUP(B$2, Percentiles!$A$45:$I$59, 6, FALSE), perc_90, VLOOKUP(B$2, Percentiles!$A$45:$I$59, 7, FALSE), perc_95, VLOOKUP(B$2, Percentiles!$A$45:$I$59, 8, FALSE), perc_85, perc_75 + (perc_90 - perc_75) * (2/3), converted_stat, '2K_Ratings'!B540, IF(bbgm_stat &gt;= perc_95, converted_stat * 3, IF(bbgm_stat &gt;= perc_90, converted_stat * 2, IF(bbgm_stat &gt;= perc_85, converted_stat * 1.5, converted_stat)))))</f>
        <v/>
      </c>
      <c r="C540" s="30" t="str">
        <f t="array" ref="C540">IF($A540="", "", LET(bbgm_stat, INDEX(Players!$A539:$P539, MATCH(C$2, Players!$A$1:$P$1, 0)), perc_75, VLOOKUP(C$2, Percentiles!$A$45:$I$59, 6, FALSE), perc_90, VLOOKUP(C$2, Percentiles!$A$45:$I$59, 7, FALSE), perc_95, VLOOKUP(C$2, Percentiles!$A$45:$I$59, 8, FALSE), perc_85, perc_75 + (perc_90 - perc_75) * (2/3), converted_stat, '2K_Ratings'!C540, IF(bbgm_stat &gt;= perc_95, converted_stat * 3, IF(bbgm_stat &gt;= perc_90, converted_stat * 2, IF(bbgm_stat &gt;= perc_85, converted_stat * 1.5, converted_stat)))))</f>
        <v/>
      </c>
      <c r="D540" s="30" t="str">
        <f t="array" ref="D540">IF($A540="", "", LET(bbgm_stat, INDEX(Players!$A539:$P539, MATCH(D$2, Players!$A$1:$P$1, 0)), perc_75, VLOOKUP(D$2, Percentiles!$A$45:$I$59, 6, FALSE), perc_90, VLOOKUP(D$2, Percentiles!$A$45:$I$59, 7, FALSE), perc_95, VLOOKUP(D$2, Percentiles!$A$45:$I$59, 8, FALSE), perc_85, perc_75 + (perc_90 - perc_75) * (2/3), converted_stat, '2K_Ratings'!D540, IF(bbgm_stat &gt;= perc_95, converted_stat * 3, IF(bbgm_stat &gt;= perc_90, converted_stat * 2, IF(bbgm_stat &gt;= perc_85, converted_stat * 1.5, converted_stat)))))</f>
        <v/>
      </c>
      <c r="E540" s="30" t="str">
        <f t="array" ref="E540">IF($A540="", "", LET(bbgm_stat, INDEX(Players!$A539:$P539, MATCH(E$2, Players!$A$1:$P$1, 0)), perc_75, VLOOKUP(E$2, Percentiles!$A$45:$I$59, 6, FALSE), perc_90, VLOOKUP(E$2, Percentiles!$A$45:$I$59, 7, FALSE), perc_95, VLOOKUP(E$2, Percentiles!$A$45:$I$59, 8, FALSE), perc_85, perc_75 + (perc_90 - perc_75) * (2/3), converted_stat, '2K_Ratings'!E540, IF(bbgm_stat &gt;= perc_95, converted_stat * 3, IF(bbgm_stat &gt;= perc_90, converted_stat * 2, IF(bbgm_stat &gt;= perc_85, converted_stat * 1.5, converted_stat)))))</f>
        <v/>
      </c>
      <c r="F540" s="30" t="str">
        <f t="array" ref="F540">IF($A540="", "", LET(bbgm_stat, INDEX(Players!$A539:$P539, MATCH(F$2, Players!$A$1:$P$1, 0)), perc_75, VLOOKUP(F$2, Percentiles!$A$45:$I$59, 6, FALSE), perc_90, VLOOKUP(F$2, Percentiles!$A$45:$I$59, 7, FALSE), perc_95, VLOOKUP(F$2, Percentiles!$A$45:$I$59, 8, FALSE), perc_85, perc_75 + (perc_90 - perc_75) * (2/3), converted_stat, '2K_Ratings'!F540, IF(bbgm_stat &gt;= perc_95, converted_stat * 3, IF(bbgm_stat &gt;= perc_90, converted_stat * 2, IF(bbgm_stat &gt;= perc_85, converted_stat * 1.5, converted_stat)))))</f>
        <v/>
      </c>
      <c r="G540" s="30" t="str">
        <f t="array" ref="G540">IF($A540="", "", LET(bbgm_stat, INDEX(Players!$A539:$P539, MATCH(G$2, Players!$A$1:$P$1, 0)), perc_75, VLOOKUP(G$2, Percentiles!$A$45:$I$59, 6, FALSE), perc_90, VLOOKUP(G$2, Percentiles!$A$45:$I$59, 7, FALSE), perc_95, VLOOKUP(G$2, Percentiles!$A$45:$I$59, 8, FALSE), perc_85, perc_75 + (perc_90 - perc_75) * (2/3), converted_stat, '2K_Ratings'!G540, IF(bbgm_stat &gt;= perc_95, converted_stat * 3, IF(bbgm_stat &gt;= perc_90, converted_stat * 2, IF(bbgm_stat &gt;= perc_85, converted_stat * 1.5, converted_stat)))))</f>
        <v/>
      </c>
      <c r="H540" s="30" t="str">
        <f t="array" ref="H540">IF($A540="", "", LET(bbgm_stat, INDEX(Players!$A539:$P539, MATCH(H$2, Players!$A$1:$P$1, 0)), perc_75, VLOOKUP(H$2, Percentiles!$A$45:$I$59, 6, FALSE), perc_90, VLOOKUP(H$2, Percentiles!$A$45:$I$59, 7, FALSE), perc_95, VLOOKUP(H$2, Percentiles!$A$45:$I$59, 8, FALSE), perc_85, perc_75 + (perc_90 - perc_75) * (2/3), converted_stat, '2K_Ratings'!H540, IF(bbgm_stat &gt;= perc_95, converted_stat * 3, IF(bbgm_stat &gt;= perc_90, converted_stat * 2, IF(bbgm_stat &gt;= perc_85, converted_stat * 1.5, converted_stat)))))</f>
        <v/>
      </c>
      <c r="I540" s="30" t="str">
        <f t="array" ref="I540">IF($A540="", "", LET(bbgm_stat, INDEX(Players!$A539:$P539, MATCH(I$2, Players!$A$1:$P$1, 0)), perc_75, VLOOKUP(I$2, Percentiles!$A$45:$I$59, 6, FALSE), perc_90, VLOOKUP(I$2, Percentiles!$A$45:$I$59, 7, FALSE), perc_95, VLOOKUP(I$2, Percentiles!$A$45:$I$59, 8, FALSE), perc_85, perc_75 + (perc_90 - perc_75) * (2/3), converted_stat, '2K_Ratings'!I540, IF(bbgm_stat &gt;= perc_95, converted_stat * 3, IF(bbgm_stat &gt;= perc_90, converted_stat * 2, IF(bbgm_stat &gt;= perc_85, converted_stat * 1.5, converted_stat)))))</f>
        <v/>
      </c>
      <c r="J540" s="30" t="str">
        <f t="array" ref="J540">IF($A540="", "", LET(bbgm_stat, INDEX(Players!$A539:$P539, MATCH(J$2, Players!$A$1:$P$1, 0)), perc_75, VLOOKUP(J$2, Percentiles!$A$45:$I$59, 6, FALSE), perc_90, VLOOKUP(J$2, Percentiles!$A$45:$I$59, 7, FALSE), perc_95, VLOOKUP(J$2, Percentiles!$A$45:$I$59, 8, FALSE), perc_85, perc_75 + (perc_90 - perc_75) * (2/3), converted_stat, '2K_Ratings'!J540, IF(bbgm_stat &gt;= perc_95, converted_stat * 3, IF(bbgm_stat &gt;= perc_90, converted_stat * 2, IF(bbgm_stat &gt;= perc_85, converted_stat * 1.5, converted_stat)))))</f>
        <v/>
      </c>
      <c r="K540" s="30" t="str">
        <f t="array" ref="K540">IF($A540="", "", LET(bbgm_stat, INDEX(Players!$A539:$P539, MATCH(K$2, Players!$A$1:$P$1, 0)), perc_75, VLOOKUP(K$2, Percentiles!$A$45:$I$59, 6, FALSE), perc_90, VLOOKUP(K$2, Percentiles!$A$45:$I$59, 7, FALSE), perc_95, VLOOKUP(K$2, Percentiles!$A$45:$I$59, 8, FALSE), perc_85, perc_75 + (perc_90 - perc_75) * (2/3), converted_stat, '2K_Ratings'!K540, IF(bbgm_stat &gt;= perc_95, converted_stat * 3, IF(bbgm_stat &gt;= perc_90, converted_stat * 2, IF(bbgm_stat &gt;= perc_85, converted_stat * 1.5, converted_stat)))))</f>
        <v/>
      </c>
      <c r="L540" s="30" t="str">
        <f t="array" ref="L540">IF($A540="", "", LET(bbgm_stat, INDEX(Players!$A539:$P539, MATCH(L$2, Players!$A$1:$P$1, 0)), perc_75, VLOOKUP(L$2, Percentiles!$A$45:$I$59, 6, FALSE), perc_90, VLOOKUP(L$2, Percentiles!$A$45:$I$59, 7, FALSE), perc_95, VLOOKUP(L$2, Percentiles!$A$45:$I$59, 8, FALSE), perc_85, perc_75 + (perc_90 - perc_75) * (2/3), converted_stat, '2K_Ratings'!L540, IF(bbgm_stat &gt;= perc_95, converted_stat * 3, IF(bbgm_stat &gt;= perc_90, converted_stat * 2, IF(bbgm_stat &gt;= perc_85, converted_stat * 1.5, converted_stat)))))</f>
        <v/>
      </c>
      <c r="M540" s="30" t="str">
        <f t="array" ref="M540">IF($A540="", "", LET(bbgm_stat, INDEX(Players!$A539:$P539, MATCH(M$2, Players!$A$1:$P$1, 0)), perc_75, VLOOKUP(M$2, Percentiles!$A$45:$I$59, 6, FALSE), perc_90, VLOOKUP(M$2, Percentiles!$A$45:$I$59, 7, FALSE), perc_95, VLOOKUP(M$2, Percentiles!$A$45:$I$59, 8, FALSE), perc_85, perc_75 + (perc_90 - perc_75) * (2/3), converted_stat, '2K_Ratings'!M540, IF(bbgm_stat &gt;= perc_95, converted_stat * 3, IF(bbgm_stat &gt;= perc_90, converted_stat * 2, IF(bbgm_stat &gt;= perc_85, converted_stat * 1.5, converted_stat)))))</f>
        <v/>
      </c>
      <c r="N540" s="30" t="str">
        <f t="array" ref="N540">IF($A540="", "", LET(bbgm_stat, INDEX(Players!$A539:$P539, MATCH(N$2, Players!$A$1:$P$1, 0)), perc_75, VLOOKUP(N$2, Percentiles!$A$45:$I$59, 6, FALSE), perc_90, VLOOKUP(N$2, Percentiles!$A$45:$I$59, 7, FALSE), perc_95, VLOOKUP(N$2, Percentiles!$A$45:$I$59, 8, FALSE), perc_85, perc_75 + (perc_90 - perc_75) * (2/3), converted_stat, '2K_Ratings'!N540, IF(bbgm_stat &gt;= perc_95, converted_stat * 3, IF(bbgm_stat &gt;= perc_90, converted_stat * 2, IF(bbgm_stat &gt;= perc_85, converted_stat * 1.5, converted_stat)))))</f>
        <v/>
      </c>
      <c r="O540" s="30" t="str">
        <f t="array" ref="O540">IF($A540="", "", LET(bbgm_stat, INDEX(Players!$A539:$P539, MATCH(O$2, Players!$A$1:$P$1, 0)), perc_75, VLOOKUP(O$2, Percentiles!$A$45:$I$59, 6, FALSE), perc_90, VLOOKUP(O$2, Percentiles!$A$45:$I$59, 7, FALSE), perc_95, VLOOKUP(O$2, Percentiles!$A$45:$I$59, 8, FALSE), perc_85, perc_75 + (perc_90 - perc_75) * (2/3), converted_stat, '2K_Ratings'!O540, IF(bbgm_stat &gt;= perc_95, converted_stat * 3, IF(bbgm_stat &gt;= perc_90, converted_stat * 2, IF(bbgm_stat &gt;= perc_85, converted_stat * 1.5, converted_stat)))))</f>
        <v/>
      </c>
      <c r="P540" s="30" t="str">
        <f t="array" ref="P540">IF($A540="", "", LET(bbgm_stat, INDEX(Players!$A539:$P539, MATCH(P$2, Players!$A$1:$P$1, 0)), perc_75, VLOOKUP(P$2, Percentiles!$A$45:$I$59, 6, FALSE), perc_90, VLOOKUP(P$2, Percentiles!$A$45:$I$59, 7, FALSE), perc_95, VLOOKUP(P$2, Percentiles!$A$45:$I$59, 8, FALSE), perc_85, perc_75 + (perc_90 - perc_75) * (2/3), converted_stat, '2K_Ratings'!P540, IF(bbgm_stat &gt;= perc_95, converted_stat * 3, IF(bbgm_stat &gt;= perc_90, converted_stat * 2, IF(bbgm_stat &gt;= perc_85, converted_stat * 1.5, converted_stat)))))</f>
        <v/>
      </c>
      <c r="Q540" s="30" t="str">
        <f t="array" ref="Q540">IF($A540="", "", LET(bbgm_stat, INDEX(Players!$A539:$P539, MATCH(Q$2, Players!$A$1:$P$1, 0)), perc_75, VLOOKUP(Q$2, Percentiles!$A$45:$I$59, 6, FALSE), perc_90, VLOOKUP(Q$2, Percentiles!$A$45:$I$59, 7, FALSE), perc_95, VLOOKUP(Q$2, Percentiles!$A$45:$I$59, 8, FALSE), perc_85, perc_75 + (perc_90 - perc_75) * (2/3), converted_stat, '2K_Ratings'!Q540, IF(bbgm_stat &gt;= perc_95, converted_stat * 3, IF(bbgm_stat &gt;= perc_90, converted_stat * 2, IF(bbgm_stat &gt;= perc_85, converted_stat * 1.5, converted_stat)))))</f>
        <v/>
      </c>
      <c r="R540" s="30" t="str">
        <f t="array" ref="R540">IF($A540="", "", LET(bbgm_stat, INDEX(Players!$A539:$P539, MATCH(R$2, Players!$A$1:$P$1, 0)), perc_75, VLOOKUP(R$2, Percentiles!$A$45:$I$59, 6, FALSE), perc_90, VLOOKUP(R$2, Percentiles!$A$45:$I$59, 7, FALSE), perc_95, VLOOKUP(R$2, Percentiles!$A$45:$I$59, 8, FALSE), perc_85, perc_75 + (perc_90 - perc_75) * (2/3), converted_stat, '2K_Ratings'!R540, IF(bbgm_stat &gt;= perc_95, converted_stat * 3, IF(bbgm_stat &gt;= perc_90, converted_stat * 2, IF(bbgm_stat &gt;= perc_85, converted_stat * 1.5, converted_stat)))))</f>
        <v/>
      </c>
      <c r="S540" s="30" t="str">
        <f t="array" ref="S540">IF($A540="", "", LET(bbgm_stat, INDEX(Players!$A539:$P539, MATCH(S$2, Players!$A$1:$P$1, 0)), perc_75, VLOOKUP(S$2, Percentiles!$A$45:$I$59, 6, FALSE), perc_90, VLOOKUP(S$2, Percentiles!$A$45:$I$59, 7, FALSE), perc_95, VLOOKUP(S$2, Percentiles!$A$45:$I$59, 8, FALSE), perc_85, perc_75 + (perc_90 - perc_75) * (2/3), converted_stat, '2K_Ratings'!S540, IF(bbgm_stat &gt;= perc_95, converted_stat * 3, IF(bbgm_stat &gt;= perc_90, converted_stat * 2, IF(bbgm_stat &gt;= perc_85, converted_stat * 1.5, converted_stat)))))</f>
        <v/>
      </c>
      <c r="T540" s="30" t="str">
        <f t="array" ref="T540">IF($A540="", "", LET(bbgm_stat, INDEX(Players!$A539:$P539, MATCH(T$2, Players!$A$1:$P$1, 0)), perc_75, VLOOKUP(T$2, Percentiles!$A$45:$I$59, 6, FALSE), perc_90, VLOOKUP(T$2, Percentiles!$A$45:$I$59, 7, FALSE), perc_95, VLOOKUP(T$2, Percentiles!$A$45:$I$59, 8, FALSE), perc_85, perc_75 + (perc_90 - perc_75) * (2/3), converted_stat, '2K_Ratings'!T540, IF(bbgm_stat &gt;= perc_95, converted_stat * 3, IF(bbgm_stat &gt;= perc_90, converted_stat * 2, IF(bbgm_stat &gt;= perc_85, converted_stat * 1.5, converted_stat)))))</f>
        <v/>
      </c>
      <c r="U540" s="30" t="str">
        <f t="array" ref="U540">IF($A540="", "", LET(bbgm_stat, INDEX(Players!$A539:$P539, MATCH(U$2, Players!$A$1:$P$1, 0)), perc_75, VLOOKUP(U$2, Percentiles!$A$45:$I$59, 6, FALSE), perc_90, VLOOKUP(U$2, Percentiles!$A$45:$I$59, 7, FALSE), perc_95, VLOOKUP(U$2, Percentiles!$A$45:$I$59, 8, FALSE), perc_85, perc_75 + (perc_90 - perc_75) * (2/3), converted_stat, '2K_Ratings'!U540, IF(bbgm_stat &gt;= perc_95, converted_stat * 3, IF(bbgm_stat &gt;= perc_90, converted_stat * 2, IF(bbgm_stat &gt;= perc_85, converted_stat * 1.5, converted_stat)))))</f>
        <v/>
      </c>
      <c r="V540" s="30" t="str">
        <f t="array" ref="V540">IF($A540="", "", LET(bbgm_stat, INDEX(Players!$A539:$P539, MATCH(V$2, Players!$A$1:$P$1, 0)), perc_75, VLOOKUP(V$2, Percentiles!$A$45:$I$59, 6, FALSE), perc_90, VLOOKUP(V$2, Percentiles!$A$45:$I$59, 7, FALSE), perc_95, VLOOKUP(V$2, Percentiles!$A$45:$I$59, 8, FALSE), perc_85, perc_75 + (perc_90 - perc_75) * (2/3), converted_stat, '2K_Ratings'!V540, IF(bbgm_stat &gt;= perc_95, converted_stat * 3, IF(bbgm_stat &gt;= perc_90, converted_stat * 2, IF(bbgm_stat &gt;= perc_85, converted_stat * 1.5, converted_stat)))))</f>
        <v/>
      </c>
      <c r="W540" s="30" t="str">
        <f t="array" ref="W540">IF($A540="", "", LET(bbgm_stat, INDEX(Players!$A539:$P539, MATCH(W$2, Players!$A$1:$P$1, 0)), perc_75, VLOOKUP(W$2, Percentiles!$A$45:$I$59, 6, FALSE), perc_90, VLOOKUP(W$2, Percentiles!$A$45:$I$59, 7, FALSE), perc_95, VLOOKUP(W$2, Percentiles!$A$45:$I$59, 8, FALSE), perc_85, perc_75 + (perc_90 - perc_75) * (2/3), converted_stat, '2K_Ratings'!W540, IF(bbgm_stat &gt;= perc_95, converted_stat * 3, IF(bbgm_stat &gt;= perc_90, converted_stat * 2, IF(bbgm_stat &gt;= perc_85, converted_stat * 1.5, converted_stat)))))</f>
        <v/>
      </c>
    </row>
    <row r="541">
      <c r="A541" s="30"/>
      <c r="B541" s="30" t="str">
        <f t="array" ref="B541">IF($A541="", "", LET(bbgm_stat, INDEX(Players!$A540:$P540, MATCH(B$2, Players!$A$1:$P$1, 0)), perc_75, VLOOKUP(B$2, Percentiles!$A$45:$I$59, 6, FALSE), perc_90, VLOOKUP(B$2, Percentiles!$A$45:$I$59, 7, FALSE), perc_95, VLOOKUP(B$2, Percentiles!$A$45:$I$59, 8, FALSE), perc_85, perc_75 + (perc_90 - perc_75) * (2/3), converted_stat, '2K_Ratings'!B541, IF(bbgm_stat &gt;= perc_95, converted_stat * 3, IF(bbgm_stat &gt;= perc_90, converted_stat * 2, IF(bbgm_stat &gt;= perc_85, converted_stat * 1.5, converted_stat)))))</f>
        <v/>
      </c>
      <c r="C541" s="30" t="str">
        <f t="array" ref="C541">IF($A541="", "", LET(bbgm_stat, INDEX(Players!$A540:$P540, MATCH(C$2, Players!$A$1:$P$1, 0)), perc_75, VLOOKUP(C$2, Percentiles!$A$45:$I$59, 6, FALSE), perc_90, VLOOKUP(C$2, Percentiles!$A$45:$I$59, 7, FALSE), perc_95, VLOOKUP(C$2, Percentiles!$A$45:$I$59, 8, FALSE), perc_85, perc_75 + (perc_90 - perc_75) * (2/3), converted_stat, '2K_Ratings'!C541, IF(bbgm_stat &gt;= perc_95, converted_stat * 3, IF(bbgm_stat &gt;= perc_90, converted_stat * 2, IF(bbgm_stat &gt;= perc_85, converted_stat * 1.5, converted_stat)))))</f>
        <v/>
      </c>
      <c r="D541" s="30" t="str">
        <f t="array" ref="D541">IF($A541="", "", LET(bbgm_stat, INDEX(Players!$A540:$P540, MATCH(D$2, Players!$A$1:$P$1, 0)), perc_75, VLOOKUP(D$2, Percentiles!$A$45:$I$59, 6, FALSE), perc_90, VLOOKUP(D$2, Percentiles!$A$45:$I$59, 7, FALSE), perc_95, VLOOKUP(D$2, Percentiles!$A$45:$I$59, 8, FALSE), perc_85, perc_75 + (perc_90 - perc_75) * (2/3), converted_stat, '2K_Ratings'!D541, IF(bbgm_stat &gt;= perc_95, converted_stat * 3, IF(bbgm_stat &gt;= perc_90, converted_stat * 2, IF(bbgm_stat &gt;= perc_85, converted_stat * 1.5, converted_stat)))))</f>
        <v/>
      </c>
      <c r="E541" s="30" t="str">
        <f t="array" ref="E541">IF($A541="", "", LET(bbgm_stat, INDEX(Players!$A540:$P540, MATCH(E$2, Players!$A$1:$P$1, 0)), perc_75, VLOOKUP(E$2, Percentiles!$A$45:$I$59, 6, FALSE), perc_90, VLOOKUP(E$2, Percentiles!$A$45:$I$59, 7, FALSE), perc_95, VLOOKUP(E$2, Percentiles!$A$45:$I$59, 8, FALSE), perc_85, perc_75 + (perc_90 - perc_75) * (2/3), converted_stat, '2K_Ratings'!E541, IF(bbgm_stat &gt;= perc_95, converted_stat * 3, IF(bbgm_stat &gt;= perc_90, converted_stat * 2, IF(bbgm_stat &gt;= perc_85, converted_stat * 1.5, converted_stat)))))</f>
        <v/>
      </c>
      <c r="F541" s="30" t="str">
        <f t="array" ref="F541">IF($A541="", "", LET(bbgm_stat, INDEX(Players!$A540:$P540, MATCH(F$2, Players!$A$1:$P$1, 0)), perc_75, VLOOKUP(F$2, Percentiles!$A$45:$I$59, 6, FALSE), perc_90, VLOOKUP(F$2, Percentiles!$A$45:$I$59, 7, FALSE), perc_95, VLOOKUP(F$2, Percentiles!$A$45:$I$59, 8, FALSE), perc_85, perc_75 + (perc_90 - perc_75) * (2/3), converted_stat, '2K_Ratings'!F541, IF(bbgm_stat &gt;= perc_95, converted_stat * 3, IF(bbgm_stat &gt;= perc_90, converted_stat * 2, IF(bbgm_stat &gt;= perc_85, converted_stat * 1.5, converted_stat)))))</f>
        <v/>
      </c>
      <c r="G541" s="30" t="str">
        <f t="array" ref="G541">IF($A541="", "", LET(bbgm_stat, INDEX(Players!$A540:$P540, MATCH(G$2, Players!$A$1:$P$1, 0)), perc_75, VLOOKUP(G$2, Percentiles!$A$45:$I$59, 6, FALSE), perc_90, VLOOKUP(G$2, Percentiles!$A$45:$I$59, 7, FALSE), perc_95, VLOOKUP(G$2, Percentiles!$A$45:$I$59, 8, FALSE), perc_85, perc_75 + (perc_90 - perc_75) * (2/3), converted_stat, '2K_Ratings'!G541, IF(bbgm_stat &gt;= perc_95, converted_stat * 3, IF(bbgm_stat &gt;= perc_90, converted_stat * 2, IF(bbgm_stat &gt;= perc_85, converted_stat * 1.5, converted_stat)))))</f>
        <v/>
      </c>
      <c r="H541" s="30" t="str">
        <f t="array" ref="H541">IF($A541="", "", LET(bbgm_stat, INDEX(Players!$A540:$P540, MATCH(H$2, Players!$A$1:$P$1, 0)), perc_75, VLOOKUP(H$2, Percentiles!$A$45:$I$59, 6, FALSE), perc_90, VLOOKUP(H$2, Percentiles!$A$45:$I$59, 7, FALSE), perc_95, VLOOKUP(H$2, Percentiles!$A$45:$I$59, 8, FALSE), perc_85, perc_75 + (perc_90 - perc_75) * (2/3), converted_stat, '2K_Ratings'!H541, IF(bbgm_stat &gt;= perc_95, converted_stat * 3, IF(bbgm_stat &gt;= perc_90, converted_stat * 2, IF(bbgm_stat &gt;= perc_85, converted_stat * 1.5, converted_stat)))))</f>
        <v/>
      </c>
      <c r="I541" s="30" t="str">
        <f t="array" ref="I541">IF($A541="", "", LET(bbgm_stat, INDEX(Players!$A540:$P540, MATCH(I$2, Players!$A$1:$P$1, 0)), perc_75, VLOOKUP(I$2, Percentiles!$A$45:$I$59, 6, FALSE), perc_90, VLOOKUP(I$2, Percentiles!$A$45:$I$59, 7, FALSE), perc_95, VLOOKUP(I$2, Percentiles!$A$45:$I$59, 8, FALSE), perc_85, perc_75 + (perc_90 - perc_75) * (2/3), converted_stat, '2K_Ratings'!I541, IF(bbgm_stat &gt;= perc_95, converted_stat * 3, IF(bbgm_stat &gt;= perc_90, converted_stat * 2, IF(bbgm_stat &gt;= perc_85, converted_stat * 1.5, converted_stat)))))</f>
        <v/>
      </c>
      <c r="J541" s="30" t="str">
        <f t="array" ref="J541">IF($A541="", "", LET(bbgm_stat, INDEX(Players!$A540:$P540, MATCH(J$2, Players!$A$1:$P$1, 0)), perc_75, VLOOKUP(J$2, Percentiles!$A$45:$I$59, 6, FALSE), perc_90, VLOOKUP(J$2, Percentiles!$A$45:$I$59, 7, FALSE), perc_95, VLOOKUP(J$2, Percentiles!$A$45:$I$59, 8, FALSE), perc_85, perc_75 + (perc_90 - perc_75) * (2/3), converted_stat, '2K_Ratings'!J541, IF(bbgm_stat &gt;= perc_95, converted_stat * 3, IF(bbgm_stat &gt;= perc_90, converted_stat * 2, IF(bbgm_stat &gt;= perc_85, converted_stat * 1.5, converted_stat)))))</f>
        <v/>
      </c>
      <c r="K541" s="30" t="str">
        <f t="array" ref="K541">IF($A541="", "", LET(bbgm_stat, INDEX(Players!$A540:$P540, MATCH(K$2, Players!$A$1:$P$1, 0)), perc_75, VLOOKUP(K$2, Percentiles!$A$45:$I$59, 6, FALSE), perc_90, VLOOKUP(K$2, Percentiles!$A$45:$I$59, 7, FALSE), perc_95, VLOOKUP(K$2, Percentiles!$A$45:$I$59, 8, FALSE), perc_85, perc_75 + (perc_90 - perc_75) * (2/3), converted_stat, '2K_Ratings'!K541, IF(bbgm_stat &gt;= perc_95, converted_stat * 3, IF(bbgm_stat &gt;= perc_90, converted_stat * 2, IF(bbgm_stat &gt;= perc_85, converted_stat * 1.5, converted_stat)))))</f>
        <v/>
      </c>
      <c r="L541" s="30" t="str">
        <f t="array" ref="L541">IF($A541="", "", LET(bbgm_stat, INDEX(Players!$A540:$P540, MATCH(L$2, Players!$A$1:$P$1, 0)), perc_75, VLOOKUP(L$2, Percentiles!$A$45:$I$59, 6, FALSE), perc_90, VLOOKUP(L$2, Percentiles!$A$45:$I$59, 7, FALSE), perc_95, VLOOKUP(L$2, Percentiles!$A$45:$I$59, 8, FALSE), perc_85, perc_75 + (perc_90 - perc_75) * (2/3), converted_stat, '2K_Ratings'!L541, IF(bbgm_stat &gt;= perc_95, converted_stat * 3, IF(bbgm_stat &gt;= perc_90, converted_stat * 2, IF(bbgm_stat &gt;= perc_85, converted_stat * 1.5, converted_stat)))))</f>
        <v/>
      </c>
      <c r="M541" s="30" t="str">
        <f t="array" ref="M541">IF($A541="", "", LET(bbgm_stat, INDEX(Players!$A540:$P540, MATCH(M$2, Players!$A$1:$P$1, 0)), perc_75, VLOOKUP(M$2, Percentiles!$A$45:$I$59, 6, FALSE), perc_90, VLOOKUP(M$2, Percentiles!$A$45:$I$59, 7, FALSE), perc_95, VLOOKUP(M$2, Percentiles!$A$45:$I$59, 8, FALSE), perc_85, perc_75 + (perc_90 - perc_75) * (2/3), converted_stat, '2K_Ratings'!M541, IF(bbgm_stat &gt;= perc_95, converted_stat * 3, IF(bbgm_stat &gt;= perc_90, converted_stat * 2, IF(bbgm_stat &gt;= perc_85, converted_stat * 1.5, converted_stat)))))</f>
        <v/>
      </c>
      <c r="N541" s="30" t="str">
        <f t="array" ref="N541">IF($A541="", "", LET(bbgm_stat, INDEX(Players!$A540:$P540, MATCH(N$2, Players!$A$1:$P$1, 0)), perc_75, VLOOKUP(N$2, Percentiles!$A$45:$I$59, 6, FALSE), perc_90, VLOOKUP(N$2, Percentiles!$A$45:$I$59, 7, FALSE), perc_95, VLOOKUP(N$2, Percentiles!$A$45:$I$59, 8, FALSE), perc_85, perc_75 + (perc_90 - perc_75) * (2/3), converted_stat, '2K_Ratings'!N541, IF(bbgm_stat &gt;= perc_95, converted_stat * 3, IF(bbgm_stat &gt;= perc_90, converted_stat * 2, IF(bbgm_stat &gt;= perc_85, converted_stat * 1.5, converted_stat)))))</f>
        <v/>
      </c>
      <c r="O541" s="30" t="str">
        <f t="array" ref="O541">IF($A541="", "", LET(bbgm_stat, INDEX(Players!$A540:$P540, MATCH(O$2, Players!$A$1:$P$1, 0)), perc_75, VLOOKUP(O$2, Percentiles!$A$45:$I$59, 6, FALSE), perc_90, VLOOKUP(O$2, Percentiles!$A$45:$I$59, 7, FALSE), perc_95, VLOOKUP(O$2, Percentiles!$A$45:$I$59, 8, FALSE), perc_85, perc_75 + (perc_90 - perc_75) * (2/3), converted_stat, '2K_Ratings'!O541, IF(bbgm_stat &gt;= perc_95, converted_stat * 3, IF(bbgm_stat &gt;= perc_90, converted_stat * 2, IF(bbgm_stat &gt;= perc_85, converted_stat * 1.5, converted_stat)))))</f>
        <v/>
      </c>
      <c r="P541" s="30" t="str">
        <f t="array" ref="P541">IF($A541="", "", LET(bbgm_stat, INDEX(Players!$A540:$P540, MATCH(P$2, Players!$A$1:$P$1, 0)), perc_75, VLOOKUP(P$2, Percentiles!$A$45:$I$59, 6, FALSE), perc_90, VLOOKUP(P$2, Percentiles!$A$45:$I$59, 7, FALSE), perc_95, VLOOKUP(P$2, Percentiles!$A$45:$I$59, 8, FALSE), perc_85, perc_75 + (perc_90 - perc_75) * (2/3), converted_stat, '2K_Ratings'!P541, IF(bbgm_stat &gt;= perc_95, converted_stat * 3, IF(bbgm_stat &gt;= perc_90, converted_stat * 2, IF(bbgm_stat &gt;= perc_85, converted_stat * 1.5, converted_stat)))))</f>
        <v/>
      </c>
      <c r="Q541" s="30" t="str">
        <f t="array" ref="Q541">IF($A541="", "", LET(bbgm_stat, INDEX(Players!$A540:$P540, MATCH(Q$2, Players!$A$1:$P$1, 0)), perc_75, VLOOKUP(Q$2, Percentiles!$A$45:$I$59, 6, FALSE), perc_90, VLOOKUP(Q$2, Percentiles!$A$45:$I$59, 7, FALSE), perc_95, VLOOKUP(Q$2, Percentiles!$A$45:$I$59, 8, FALSE), perc_85, perc_75 + (perc_90 - perc_75) * (2/3), converted_stat, '2K_Ratings'!Q541, IF(bbgm_stat &gt;= perc_95, converted_stat * 3, IF(bbgm_stat &gt;= perc_90, converted_stat * 2, IF(bbgm_stat &gt;= perc_85, converted_stat * 1.5, converted_stat)))))</f>
        <v/>
      </c>
      <c r="R541" s="30" t="str">
        <f t="array" ref="R541">IF($A541="", "", LET(bbgm_stat, INDEX(Players!$A540:$P540, MATCH(R$2, Players!$A$1:$P$1, 0)), perc_75, VLOOKUP(R$2, Percentiles!$A$45:$I$59, 6, FALSE), perc_90, VLOOKUP(R$2, Percentiles!$A$45:$I$59, 7, FALSE), perc_95, VLOOKUP(R$2, Percentiles!$A$45:$I$59, 8, FALSE), perc_85, perc_75 + (perc_90 - perc_75) * (2/3), converted_stat, '2K_Ratings'!R541, IF(bbgm_stat &gt;= perc_95, converted_stat * 3, IF(bbgm_stat &gt;= perc_90, converted_stat * 2, IF(bbgm_stat &gt;= perc_85, converted_stat * 1.5, converted_stat)))))</f>
        <v/>
      </c>
      <c r="S541" s="30" t="str">
        <f t="array" ref="S541">IF($A541="", "", LET(bbgm_stat, INDEX(Players!$A540:$P540, MATCH(S$2, Players!$A$1:$P$1, 0)), perc_75, VLOOKUP(S$2, Percentiles!$A$45:$I$59, 6, FALSE), perc_90, VLOOKUP(S$2, Percentiles!$A$45:$I$59, 7, FALSE), perc_95, VLOOKUP(S$2, Percentiles!$A$45:$I$59, 8, FALSE), perc_85, perc_75 + (perc_90 - perc_75) * (2/3), converted_stat, '2K_Ratings'!S541, IF(bbgm_stat &gt;= perc_95, converted_stat * 3, IF(bbgm_stat &gt;= perc_90, converted_stat * 2, IF(bbgm_stat &gt;= perc_85, converted_stat * 1.5, converted_stat)))))</f>
        <v/>
      </c>
      <c r="T541" s="30" t="str">
        <f t="array" ref="T541">IF($A541="", "", LET(bbgm_stat, INDEX(Players!$A540:$P540, MATCH(T$2, Players!$A$1:$P$1, 0)), perc_75, VLOOKUP(T$2, Percentiles!$A$45:$I$59, 6, FALSE), perc_90, VLOOKUP(T$2, Percentiles!$A$45:$I$59, 7, FALSE), perc_95, VLOOKUP(T$2, Percentiles!$A$45:$I$59, 8, FALSE), perc_85, perc_75 + (perc_90 - perc_75) * (2/3), converted_stat, '2K_Ratings'!T541, IF(bbgm_stat &gt;= perc_95, converted_stat * 3, IF(bbgm_stat &gt;= perc_90, converted_stat * 2, IF(bbgm_stat &gt;= perc_85, converted_stat * 1.5, converted_stat)))))</f>
        <v/>
      </c>
      <c r="U541" s="30" t="str">
        <f t="array" ref="U541">IF($A541="", "", LET(bbgm_stat, INDEX(Players!$A540:$P540, MATCH(U$2, Players!$A$1:$P$1, 0)), perc_75, VLOOKUP(U$2, Percentiles!$A$45:$I$59, 6, FALSE), perc_90, VLOOKUP(U$2, Percentiles!$A$45:$I$59, 7, FALSE), perc_95, VLOOKUP(U$2, Percentiles!$A$45:$I$59, 8, FALSE), perc_85, perc_75 + (perc_90 - perc_75) * (2/3), converted_stat, '2K_Ratings'!U541, IF(bbgm_stat &gt;= perc_95, converted_stat * 3, IF(bbgm_stat &gt;= perc_90, converted_stat * 2, IF(bbgm_stat &gt;= perc_85, converted_stat * 1.5, converted_stat)))))</f>
        <v/>
      </c>
      <c r="V541" s="30" t="str">
        <f t="array" ref="V541">IF($A541="", "", LET(bbgm_stat, INDEX(Players!$A540:$P540, MATCH(V$2, Players!$A$1:$P$1, 0)), perc_75, VLOOKUP(V$2, Percentiles!$A$45:$I$59, 6, FALSE), perc_90, VLOOKUP(V$2, Percentiles!$A$45:$I$59, 7, FALSE), perc_95, VLOOKUP(V$2, Percentiles!$A$45:$I$59, 8, FALSE), perc_85, perc_75 + (perc_90 - perc_75) * (2/3), converted_stat, '2K_Ratings'!V541, IF(bbgm_stat &gt;= perc_95, converted_stat * 3, IF(bbgm_stat &gt;= perc_90, converted_stat * 2, IF(bbgm_stat &gt;= perc_85, converted_stat * 1.5, converted_stat)))))</f>
        <v/>
      </c>
      <c r="W541" s="30" t="str">
        <f t="array" ref="W541">IF($A541="", "", LET(bbgm_stat, INDEX(Players!$A540:$P540, MATCH(W$2, Players!$A$1:$P$1, 0)), perc_75, VLOOKUP(W$2, Percentiles!$A$45:$I$59, 6, FALSE), perc_90, VLOOKUP(W$2, Percentiles!$A$45:$I$59, 7, FALSE), perc_95, VLOOKUP(W$2, Percentiles!$A$45:$I$59, 8, FALSE), perc_85, perc_75 + (perc_90 - perc_75) * (2/3), converted_stat, '2K_Ratings'!W541, IF(bbgm_stat &gt;= perc_95, converted_stat * 3, IF(bbgm_stat &gt;= perc_90, converted_stat * 2, IF(bbgm_stat &gt;= perc_85, converted_stat * 1.5, converted_stat)))))</f>
        <v/>
      </c>
    </row>
    <row r="542">
      <c r="A542" s="30"/>
      <c r="B542" s="30" t="str">
        <f t="array" ref="B542">IF($A542="", "", LET(bbgm_stat, INDEX(Players!$A541:$P541, MATCH(B$2, Players!$A$1:$P$1, 0)), perc_75, VLOOKUP(B$2, Percentiles!$A$45:$I$59, 6, FALSE), perc_90, VLOOKUP(B$2, Percentiles!$A$45:$I$59, 7, FALSE), perc_95, VLOOKUP(B$2, Percentiles!$A$45:$I$59, 8, FALSE), perc_85, perc_75 + (perc_90 - perc_75) * (2/3), converted_stat, '2K_Ratings'!B542, IF(bbgm_stat &gt;= perc_95, converted_stat * 3, IF(bbgm_stat &gt;= perc_90, converted_stat * 2, IF(bbgm_stat &gt;= perc_85, converted_stat * 1.5, converted_stat)))))</f>
        <v/>
      </c>
      <c r="C542" s="30" t="str">
        <f t="array" ref="C542">IF($A542="", "", LET(bbgm_stat, INDEX(Players!$A541:$P541, MATCH(C$2, Players!$A$1:$P$1, 0)), perc_75, VLOOKUP(C$2, Percentiles!$A$45:$I$59, 6, FALSE), perc_90, VLOOKUP(C$2, Percentiles!$A$45:$I$59, 7, FALSE), perc_95, VLOOKUP(C$2, Percentiles!$A$45:$I$59, 8, FALSE), perc_85, perc_75 + (perc_90 - perc_75) * (2/3), converted_stat, '2K_Ratings'!C542, IF(bbgm_stat &gt;= perc_95, converted_stat * 3, IF(bbgm_stat &gt;= perc_90, converted_stat * 2, IF(bbgm_stat &gt;= perc_85, converted_stat * 1.5, converted_stat)))))</f>
        <v/>
      </c>
      <c r="D542" s="30" t="str">
        <f t="array" ref="D542">IF($A542="", "", LET(bbgm_stat, INDEX(Players!$A541:$P541, MATCH(D$2, Players!$A$1:$P$1, 0)), perc_75, VLOOKUP(D$2, Percentiles!$A$45:$I$59, 6, FALSE), perc_90, VLOOKUP(D$2, Percentiles!$A$45:$I$59, 7, FALSE), perc_95, VLOOKUP(D$2, Percentiles!$A$45:$I$59, 8, FALSE), perc_85, perc_75 + (perc_90 - perc_75) * (2/3), converted_stat, '2K_Ratings'!D542, IF(bbgm_stat &gt;= perc_95, converted_stat * 3, IF(bbgm_stat &gt;= perc_90, converted_stat * 2, IF(bbgm_stat &gt;= perc_85, converted_stat * 1.5, converted_stat)))))</f>
        <v/>
      </c>
      <c r="E542" s="30" t="str">
        <f t="array" ref="E542">IF($A542="", "", LET(bbgm_stat, INDEX(Players!$A541:$P541, MATCH(E$2, Players!$A$1:$P$1, 0)), perc_75, VLOOKUP(E$2, Percentiles!$A$45:$I$59, 6, FALSE), perc_90, VLOOKUP(E$2, Percentiles!$A$45:$I$59, 7, FALSE), perc_95, VLOOKUP(E$2, Percentiles!$A$45:$I$59, 8, FALSE), perc_85, perc_75 + (perc_90 - perc_75) * (2/3), converted_stat, '2K_Ratings'!E542, IF(bbgm_stat &gt;= perc_95, converted_stat * 3, IF(bbgm_stat &gt;= perc_90, converted_stat * 2, IF(bbgm_stat &gt;= perc_85, converted_stat * 1.5, converted_stat)))))</f>
        <v/>
      </c>
      <c r="F542" s="30" t="str">
        <f t="array" ref="F542">IF($A542="", "", LET(bbgm_stat, INDEX(Players!$A541:$P541, MATCH(F$2, Players!$A$1:$P$1, 0)), perc_75, VLOOKUP(F$2, Percentiles!$A$45:$I$59, 6, FALSE), perc_90, VLOOKUP(F$2, Percentiles!$A$45:$I$59, 7, FALSE), perc_95, VLOOKUP(F$2, Percentiles!$A$45:$I$59, 8, FALSE), perc_85, perc_75 + (perc_90 - perc_75) * (2/3), converted_stat, '2K_Ratings'!F542, IF(bbgm_stat &gt;= perc_95, converted_stat * 3, IF(bbgm_stat &gt;= perc_90, converted_stat * 2, IF(bbgm_stat &gt;= perc_85, converted_stat * 1.5, converted_stat)))))</f>
        <v/>
      </c>
      <c r="G542" s="30" t="str">
        <f t="array" ref="G542">IF($A542="", "", LET(bbgm_stat, INDEX(Players!$A541:$P541, MATCH(G$2, Players!$A$1:$P$1, 0)), perc_75, VLOOKUP(G$2, Percentiles!$A$45:$I$59, 6, FALSE), perc_90, VLOOKUP(G$2, Percentiles!$A$45:$I$59, 7, FALSE), perc_95, VLOOKUP(G$2, Percentiles!$A$45:$I$59, 8, FALSE), perc_85, perc_75 + (perc_90 - perc_75) * (2/3), converted_stat, '2K_Ratings'!G542, IF(bbgm_stat &gt;= perc_95, converted_stat * 3, IF(bbgm_stat &gt;= perc_90, converted_stat * 2, IF(bbgm_stat &gt;= perc_85, converted_stat * 1.5, converted_stat)))))</f>
        <v/>
      </c>
      <c r="H542" s="30" t="str">
        <f t="array" ref="H542">IF($A542="", "", LET(bbgm_stat, INDEX(Players!$A541:$P541, MATCH(H$2, Players!$A$1:$P$1, 0)), perc_75, VLOOKUP(H$2, Percentiles!$A$45:$I$59, 6, FALSE), perc_90, VLOOKUP(H$2, Percentiles!$A$45:$I$59, 7, FALSE), perc_95, VLOOKUP(H$2, Percentiles!$A$45:$I$59, 8, FALSE), perc_85, perc_75 + (perc_90 - perc_75) * (2/3), converted_stat, '2K_Ratings'!H542, IF(bbgm_stat &gt;= perc_95, converted_stat * 3, IF(bbgm_stat &gt;= perc_90, converted_stat * 2, IF(bbgm_stat &gt;= perc_85, converted_stat * 1.5, converted_stat)))))</f>
        <v/>
      </c>
      <c r="I542" s="30" t="str">
        <f t="array" ref="I542">IF($A542="", "", LET(bbgm_stat, INDEX(Players!$A541:$P541, MATCH(I$2, Players!$A$1:$P$1, 0)), perc_75, VLOOKUP(I$2, Percentiles!$A$45:$I$59, 6, FALSE), perc_90, VLOOKUP(I$2, Percentiles!$A$45:$I$59, 7, FALSE), perc_95, VLOOKUP(I$2, Percentiles!$A$45:$I$59, 8, FALSE), perc_85, perc_75 + (perc_90 - perc_75) * (2/3), converted_stat, '2K_Ratings'!I542, IF(bbgm_stat &gt;= perc_95, converted_stat * 3, IF(bbgm_stat &gt;= perc_90, converted_stat * 2, IF(bbgm_stat &gt;= perc_85, converted_stat * 1.5, converted_stat)))))</f>
        <v/>
      </c>
      <c r="J542" s="30" t="str">
        <f t="array" ref="J542">IF($A542="", "", LET(bbgm_stat, INDEX(Players!$A541:$P541, MATCH(J$2, Players!$A$1:$P$1, 0)), perc_75, VLOOKUP(J$2, Percentiles!$A$45:$I$59, 6, FALSE), perc_90, VLOOKUP(J$2, Percentiles!$A$45:$I$59, 7, FALSE), perc_95, VLOOKUP(J$2, Percentiles!$A$45:$I$59, 8, FALSE), perc_85, perc_75 + (perc_90 - perc_75) * (2/3), converted_stat, '2K_Ratings'!J542, IF(bbgm_stat &gt;= perc_95, converted_stat * 3, IF(bbgm_stat &gt;= perc_90, converted_stat * 2, IF(bbgm_stat &gt;= perc_85, converted_stat * 1.5, converted_stat)))))</f>
        <v/>
      </c>
      <c r="K542" s="30" t="str">
        <f t="array" ref="K542">IF($A542="", "", LET(bbgm_stat, INDEX(Players!$A541:$P541, MATCH(K$2, Players!$A$1:$P$1, 0)), perc_75, VLOOKUP(K$2, Percentiles!$A$45:$I$59, 6, FALSE), perc_90, VLOOKUP(K$2, Percentiles!$A$45:$I$59, 7, FALSE), perc_95, VLOOKUP(K$2, Percentiles!$A$45:$I$59, 8, FALSE), perc_85, perc_75 + (perc_90 - perc_75) * (2/3), converted_stat, '2K_Ratings'!K542, IF(bbgm_stat &gt;= perc_95, converted_stat * 3, IF(bbgm_stat &gt;= perc_90, converted_stat * 2, IF(bbgm_stat &gt;= perc_85, converted_stat * 1.5, converted_stat)))))</f>
        <v/>
      </c>
      <c r="L542" s="30" t="str">
        <f t="array" ref="L542">IF($A542="", "", LET(bbgm_stat, INDEX(Players!$A541:$P541, MATCH(L$2, Players!$A$1:$P$1, 0)), perc_75, VLOOKUP(L$2, Percentiles!$A$45:$I$59, 6, FALSE), perc_90, VLOOKUP(L$2, Percentiles!$A$45:$I$59, 7, FALSE), perc_95, VLOOKUP(L$2, Percentiles!$A$45:$I$59, 8, FALSE), perc_85, perc_75 + (perc_90 - perc_75) * (2/3), converted_stat, '2K_Ratings'!L542, IF(bbgm_stat &gt;= perc_95, converted_stat * 3, IF(bbgm_stat &gt;= perc_90, converted_stat * 2, IF(bbgm_stat &gt;= perc_85, converted_stat * 1.5, converted_stat)))))</f>
        <v/>
      </c>
      <c r="M542" s="30" t="str">
        <f t="array" ref="M542">IF($A542="", "", LET(bbgm_stat, INDEX(Players!$A541:$P541, MATCH(M$2, Players!$A$1:$P$1, 0)), perc_75, VLOOKUP(M$2, Percentiles!$A$45:$I$59, 6, FALSE), perc_90, VLOOKUP(M$2, Percentiles!$A$45:$I$59, 7, FALSE), perc_95, VLOOKUP(M$2, Percentiles!$A$45:$I$59, 8, FALSE), perc_85, perc_75 + (perc_90 - perc_75) * (2/3), converted_stat, '2K_Ratings'!M542, IF(bbgm_stat &gt;= perc_95, converted_stat * 3, IF(bbgm_stat &gt;= perc_90, converted_stat * 2, IF(bbgm_stat &gt;= perc_85, converted_stat * 1.5, converted_stat)))))</f>
        <v/>
      </c>
      <c r="N542" s="30" t="str">
        <f t="array" ref="N542">IF($A542="", "", LET(bbgm_stat, INDEX(Players!$A541:$P541, MATCH(N$2, Players!$A$1:$P$1, 0)), perc_75, VLOOKUP(N$2, Percentiles!$A$45:$I$59, 6, FALSE), perc_90, VLOOKUP(N$2, Percentiles!$A$45:$I$59, 7, FALSE), perc_95, VLOOKUP(N$2, Percentiles!$A$45:$I$59, 8, FALSE), perc_85, perc_75 + (perc_90 - perc_75) * (2/3), converted_stat, '2K_Ratings'!N542, IF(bbgm_stat &gt;= perc_95, converted_stat * 3, IF(bbgm_stat &gt;= perc_90, converted_stat * 2, IF(bbgm_stat &gt;= perc_85, converted_stat * 1.5, converted_stat)))))</f>
        <v/>
      </c>
      <c r="O542" s="30" t="str">
        <f t="array" ref="O542">IF($A542="", "", LET(bbgm_stat, INDEX(Players!$A541:$P541, MATCH(O$2, Players!$A$1:$P$1, 0)), perc_75, VLOOKUP(O$2, Percentiles!$A$45:$I$59, 6, FALSE), perc_90, VLOOKUP(O$2, Percentiles!$A$45:$I$59, 7, FALSE), perc_95, VLOOKUP(O$2, Percentiles!$A$45:$I$59, 8, FALSE), perc_85, perc_75 + (perc_90 - perc_75) * (2/3), converted_stat, '2K_Ratings'!O542, IF(bbgm_stat &gt;= perc_95, converted_stat * 3, IF(bbgm_stat &gt;= perc_90, converted_stat * 2, IF(bbgm_stat &gt;= perc_85, converted_stat * 1.5, converted_stat)))))</f>
        <v/>
      </c>
      <c r="P542" s="30" t="str">
        <f t="array" ref="P542">IF($A542="", "", LET(bbgm_stat, INDEX(Players!$A541:$P541, MATCH(P$2, Players!$A$1:$P$1, 0)), perc_75, VLOOKUP(P$2, Percentiles!$A$45:$I$59, 6, FALSE), perc_90, VLOOKUP(P$2, Percentiles!$A$45:$I$59, 7, FALSE), perc_95, VLOOKUP(P$2, Percentiles!$A$45:$I$59, 8, FALSE), perc_85, perc_75 + (perc_90 - perc_75) * (2/3), converted_stat, '2K_Ratings'!P542, IF(bbgm_stat &gt;= perc_95, converted_stat * 3, IF(bbgm_stat &gt;= perc_90, converted_stat * 2, IF(bbgm_stat &gt;= perc_85, converted_stat * 1.5, converted_stat)))))</f>
        <v/>
      </c>
      <c r="Q542" s="30" t="str">
        <f t="array" ref="Q542">IF($A542="", "", LET(bbgm_stat, INDEX(Players!$A541:$P541, MATCH(Q$2, Players!$A$1:$P$1, 0)), perc_75, VLOOKUP(Q$2, Percentiles!$A$45:$I$59, 6, FALSE), perc_90, VLOOKUP(Q$2, Percentiles!$A$45:$I$59, 7, FALSE), perc_95, VLOOKUP(Q$2, Percentiles!$A$45:$I$59, 8, FALSE), perc_85, perc_75 + (perc_90 - perc_75) * (2/3), converted_stat, '2K_Ratings'!Q542, IF(bbgm_stat &gt;= perc_95, converted_stat * 3, IF(bbgm_stat &gt;= perc_90, converted_stat * 2, IF(bbgm_stat &gt;= perc_85, converted_stat * 1.5, converted_stat)))))</f>
        <v/>
      </c>
      <c r="R542" s="30" t="str">
        <f t="array" ref="R542">IF($A542="", "", LET(bbgm_stat, INDEX(Players!$A541:$P541, MATCH(R$2, Players!$A$1:$P$1, 0)), perc_75, VLOOKUP(R$2, Percentiles!$A$45:$I$59, 6, FALSE), perc_90, VLOOKUP(R$2, Percentiles!$A$45:$I$59, 7, FALSE), perc_95, VLOOKUP(R$2, Percentiles!$A$45:$I$59, 8, FALSE), perc_85, perc_75 + (perc_90 - perc_75) * (2/3), converted_stat, '2K_Ratings'!R542, IF(bbgm_stat &gt;= perc_95, converted_stat * 3, IF(bbgm_stat &gt;= perc_90, converted_stat * 2, IF(bbgm_stat &gt;= perc_85, converted_stat * 1.5, converted_stat)))))</f>
        <v/>
      </c>
      <c r="S542" s="30" t="str">
        <f t="array" ref="S542">IF($A542="", "", LET(bbgm_stat, INDEX(Players!$A541:$P541, MATCH(S$2, Players!$A$1:$P$1, 0)), perc_75, VLOOKUP(S$2, Percentiles!$A$45:$I$59, 6, FALSE), perc_90, VLOOKUP(S$2, Percentiles!$A$45:$I$59, 7, FALSE), perc_95, VLOOKUP(S$2, Percentiles!$A$45:$I$59, 8, FALSE), perc_85, perc_75 + (perc_90 - perc_75) * (2/3), converted_stat, '2K_Ratings'!S542, IF(bbgm_stat &gt;= perc_95, converted_stat * 3, IF(bbgm_stat &gt;= perc_90, converted_stat * 2, IF(bbgm_stat &gt;= perc_85, converted_stat * 1.5, converted_stat)))))</f>
        <v/>
      </c>
      <c r="T542" s="30" t="str">
        <f t="array" ref="T542">IF($A542="", "", LET(bbgm_stat, INDEX(Players!$A541:$P541, MATCH(T$2, Players!$A$1:$P$1, 0)), perc_75, VLOOKUP(T$2, Percentiles!$A$45:$I$59, 6, FALSE), perc_90, VLOOKUP(T$2, Percentiles!$A$45:$I$59, 7, FALSE), perc_95, VLOOKUP(T$2, Percentiles!$A$45:$I$59, 8, FALSE), perc_85, perc_75 + (perc_90 - perc_75) * (2/3), converted_stat, '2K_Ratings'!T542, IF(bbgm_stat &gt;= perc_95, converted_stat * 3, IF(bbgm_stat &gt;= perc_90, converted_stat * 2, IF(bbgm_stat &gt;= perc_85, converted_stat * 1.5, converted_stat)))))</f>
        <v/>
      </c>
      <c r="U542" s="30" t="str">
        <f t="array" ref="U542">IF($A542="", "", LET(bbgm_stat, INDEX(Players!$A541:$P541, MATCH(U$2, Players!$A$1:$P$1, 0)), perc_75, VLOOKUP(U$2, Percentiles!$A$45:$I$59, 6, FALSE), perc_90, VLOOKUP(U$2, Percentiles!$A$45:$I$59, 7, FALSE), perc_95, VLOOKUP(U$2, Percentiles!$A$45:$I$59, 8, FALSE), perc_85, perc_75 + (perc_90 - perc_75) * (2/3), converted_stat, '2K_Ratings'!U542, IF(bbgm_stat &gt;= perc_95, converted_stat * 3, IF(bbgm_stat &gt;= perc_90, converted_stat * 2, IF(bbgm_stat &gt;= perc_85, converted_stat * 1.5, converted_stat)))))</f>
        <v/>
      </c>
      <c r="V542" s="30" t="str">
        <f t="array" ref="V542">IF($A542="", "", LET(bbgm_stat, INDEX(Players!$A541:$P541, MATCH(V$2, Players!$A$1:$P$1, 0)), perc_75, VLOOKUP(V$2, Percentiles!$A$45:$I$59, 6, FALSE), perc_90, VLOOKUP(V$2, Percentiles!$A$45:$I$59, 7, FALSE), perc_95, VLOOKUP(V$2, Percentiles!$A$45:$I$59, 8, FALSE), perc_85, perc_75 + (perc_90 - perc_75) * (2/3), converted_stat, '2K_Ratings'!V542, IF(bbgm_stat &gt;= perc_95, converted_stat * 3, IF(bbgm_stat &gt;= perc_90, converted_stat * 2, IF(bbgm_stat &gt;= perc_85, converted_stat * 1.5, converted_stat)))))</f>
        <v/>
      </c>
      <c r="W542" s="30" t="str">
        <f t="array" ref="W542">IF($A542="", "", LET(bbgm_stat, INDEX(Players!$A541:$P541, MATCH(W$2, Players!$A$1:$P$1, 0)), perc_75, VLOOKUP(W$2, Percentiles!$A$45:$I$59, 6, FALSE), perc_90, VLOOKUP(W$2, Percentiles!$A$45:$I$59, 7, FALSE), perc_95, VLOOKUP(W$2, Percentiles!$A$45:$I$59, 8, FALSE), perc_85, perc_75 + (perc_90 - perc_75) * (2/3), converted_stat, '2K_Ratings'!W542, IF(bbgm_stat &gt;= perc_95, converted_stat * 3, IF(bbgm_stat &gt;= perc_90, converted_stat * 2, IF(bbgm_stat &gt;= perc_85, converted_stat * 1.5, converted_stat)))))</f>
        <v/>
      </c>
    </row>
    <row r="543">
      <c r="A543" s="30"/>
      <c r="B543" s="30" t="str">
        <f t="array" ref="B543">IF($A543="", "", LET(bbgm_stat, INDEX(Players!$A542:$P542, MATCH(B$2, Players!$A$1:$P$1, 0)), perc_75, VLOOKUP(B$2, Percentiles!$A$45:$I$59, 6, FALSE), perc_90, VLOOKUP(B$2, Percentiles!$A$45:$I$59, 7, FALSE), perc_95, VLOOKUP(B$2, Percentiles!$A$45:$I$59, 8, FALSE), perc_85, perc_75 + (perc_90 - perc_75) * (2/3), converted_stat, '2K_Ratings'!B543, IF(bbgm_stat &gt;= perc_95, converted_stat * 3, IF(bbgm_stat &gt;= perc_90, converted_stat * 2, IF(bbgm_stat &gt;= perc_85, converted_stat * 1.5, converted_stat)))))</f>
        <v/>
      </c>
      <c r="C543" s="30" t="str">
        <f t="array" ref="C543">IF($A543="", "", LET(bbgm_stat, INDEX(Players!$A542:$P542, MATCH(C$2, Players!$A$1:$P$1, 0)), perc_75, VLOOKUP(C$2, Percentiles!$A$45:$I$59, 6, FALSE), perc_90, VLOOKUP(C$2, Percentiles!$A$45:$I$59, 7, FALSE), perc_95, VLOOKUP(C$2, Percentiles!$A$45:$I$59, 8, FALSE), perc_85, perc_75 + (perc_90 - perc_75) * (2/3), converted_stat, '2K_Ratings'!C543, IF(bbgm_stat &gt;= perc_95, converted_stat * 3, IF(bbgm_stat &gt;= perc_90, converted_stat * 2, IF(bbgm_stat &gt;= perc_85, converted_stat * 1.5, converted_stat)))))</f>
        <v/>
      </c>
      <c r="D543" s="30" t="str">
        <f t="array" ref="D543">IF($A543="", "", LET(bbgm_stat, INDEX(Players!$A542:$P542, MATCH(D$2, Players!$A$1:$P$1, 0)), perc_75, VLOOKUP(D$2, Percentiles!$A$45:$I$59, 6, FALSE), perc_90, VLOOKUP(D$2, Percentiles!$A$45:$I$59, 7, FALSE), perc_95, VLOOKUP(D$2, Percentiles!$A$45:$I$59, 8, FALSE), perc_85, perc_75 + (perc_90 - perc_75) * (2/3), converted_stat, '2K_Ratings'!D543, IF(bbgm_stat &gt;= perc_95, converted_stat * 3, IF(bbgm_stat &gt;= perc_90, converted_stat * 2, IF(bbgm_stat &gt;= perc_85, converted_stat * 1.5, converted_stat)))))</f>
        <v/>
      </c>
      <c r="E543" s="30" t="str">
        <f t="array" ref="E543">IF($A543="", "", LET(bbgm_stat, INDEX(Players!$A542:$P542, MATCH(E$2, Players!$A$1:$P$1, 0)), perc_75, VLOOKUP(E$2, Percentiles!$A$45:$I$59, 6, FALSE), perc_90, VLOOKUP(E$2, Percentiles!$A$45:$I$59, 7, FALSE), perc_95, VLOOKUP(E$2, Percentiles!$A$45:$I$59, 8, FALSE), perc_85, perc_75 + (perc_90 - perc_75) * (2/3), converted_stat, '2K_Ratings'!E543, IF(bbgm_stat &gt;= perc_95, converted_stat * 3, IF(bbgm_stat &gt;= perc_90, converted_stat * 2, IF(bbgm_stat &gt;= perc_85, converted_stat * 1.5, converted_stat)))))</f>
        <v/>
      </c>
      <c r="F543" s="30" t="str">
        <f t="array" ref="F543">IF($A543="", "", LET(bbgm_stat, INDEX(Players!$A542:$P542, MATCH(F$2, Players!$A$1:$P$1, 0)), perc_75, VLOOKUP(F$2, Percentiles!$A$45:$I$59, 6, FALSE), perc_90, VLOOKUP(F$2, Percentiles!$A$45:$I$59, 7, FALSE), perc_95, VLOOKUP(F$2, Percentiles!$A$45:$I$59, 8, FALSE), perc_85, perc_75 + (perc_90 - perc_75) * (2/3), converted_stat, '2K_Ratings'!F543, IF(bbgm_stat &gt;= perc_95, converted_stat * 3, IF(bbgm_stat &gt;= perc_90, converted_stat * 2, IF(bbgm_stat &gt;= perc_85, converted_stat * 1.5, converted_stat)))))</f>
        <v/>
      </c>
      <c r="G543" s="30" t="str">
        <f t="array" ref="G543">IF($A543="", "", LET(bbgm_stat, INDEX(Players!$A542:$P542, MATCH(G$2, Players!$A$1:$P$1, 0)), perc_75, VLOOKUP(G$2, Percentiles!$A$45:$I$59, 6, FALSE), perc_90, VLOOKUP(G$2, Percentiles!$A$45:$I$59, 7, FALSE), perc_95, VLOOKUP(G$2, Percentiles!$A$45:$I$59, 8, FALSE), perc_85, perc_75 + (perc_90 - perc_75) * (2/3), converted_stat, '2K_Ratings'!G543, IF(bbgm_stat &gt;= perc_95, converted_stat * 3, IF(bbgm_stat &gt;= perc_90, converted_stat * 2, IF(bbgm_stat &gt;= perc_85, converted_stat * 1.5, converted_stat)))))</f>
        <v/>
      </c>
      <c r="H543" s="30" t="str">
        <f t="array" ref="H543">IF($A543="", "", LET(bbgm_stat, INDEX(Players!$A542:$P542, MATCH(H$2, Players!$A$1:$P$1, 0)), perc_75, VLOOKUP(H$2, Percentiles!$A$45:$I$59, 6, FALSE), perc_90, VLOOKUP(H$2, Percentiles!$A$45:$I$59, 7, FALSE), perc_95, VLOOKUP(H$2, Percentiles!$A$45:$I$59, 8, FALSE), perc_85, perc_75 + (perc_90 - perc_75) * (2/3), converted_stat, '2K_Ratings'!H543, IF(bbgm_stat &gt;= perc_95, converted_stat * 3, IF(bbgm_stat &gt;= perc_90, converted_stat * 2, IF(bbgm_stat &gt;= perc_85, converted_stat * 1.5, converted_stat)))))</f>
        <v/>
      </c>
      <c r="I543" s="30" t="str">
        <f t="array" ref="I543">IF($A543="", "", LET(bbgm_stat, INDEX(Players!$A542:$P542, MATCH(I$2, Players!$A$1:$P$1, 0)), perc_75, VLOOKUP(I$2, Percentiles!$A$45:$I$59, 6, FALSE), perc_90, VLOOKUP(I$2, Percentiles!$A$45:$I$59, 7, FALSE), perc_95, VLOOKUP(I$2, Percentiles!$A$45:$I$59, 8, FALSE), perc_85, perc_75 + (perc_90 - perc_75) * (2/3), converted_stat, '2K_Ratings'!I543, IF(bbgm_stat &gt;= perc_95, converted_stat * 3, IF(bbgm_stat &gt;= perc_90, converted_stat * 2, IF(bbgm_stat &gt;= perc_85, converted_stat * 1.5, converted_stat)))))</f>
        <v/>
      </c>
      <c r="J543" s="30" t="str">
        <f t="array" ref="J543">IF($A543="", "", LET(bbgm_stat, INDEX(Players!$A542:$P542, MATCH(J$2, Players!$A$1:$P$1, 0)), perc_75, VLOOKUP(J$2, Percentiles!$A$45:$I$59, 6, FALSE), perc_90, VLOOKUP(J$2, Percentiles!$A$45:$I$59, 7, FALSE), perc_95, VLOOKUP(J$2, Percentiles!$A$45:$I$59, 8, FALSE), perc_85, perc_75 + (perc_90 - perc_75) * (2/3), converted_stat, '2K_Ratings'!J543, IF(bbgm_stat &gt;= perc_95, converted_stat * 3, IF(bbgm_stat &gt;= perc_90, converted_stat * 2, IF(bbgm_stat &gt;= perc_85, converted_stat * 1.5, converted_stat)))))</f>
        <v/>
      </c>
      <c r="K543" s="30" t="str">
        <f t="array" ref="K543">IF($A543="", "", LET(bbgm_stat, INDEX(Players!$A542:$P542, MATCH(K$2, Players!$A$1:$P$1, 0)), perc_75, VLOOKUP(K$2, Percentiles!$A$45:$I$59, 6, FALSE), perc_90, VLOOKUP(K$2, Percentiles!$A$45:$I$59, 7, FALSE), perc_95, VLOOKUP(K$2, Percentiles!$A$45:$I$59, 8, FALSE), perc_85, perc_75 + (perc_90 - perc_75) * (2/3), converted_stat, '2K_Ratings'!K543, IF(bbgm_stat &gt;= perc_95, converted_stat * 3, IF(bbgm_stat &gt;= perc_90, converted_stat * 2, IF(bbgm_stat &gt;= perc_85, converted_stat * 1.5, converted_stat)))))</f>
        <v/>
      </c>
      <c r="L543" s="30" t="str">
        <f t="array" ref="L543">IF($A543="", "", LET(bbgm_stat, INDEX(Players!$A542:$P542, MATCH(L$2, Players!$A$1:$P$1, 0)), perc_75, VLOOKUP(L$2, Percentiles!$A$45:$I$59, 6, FALSE), perc_90, VLOOKUP(L$2, Percentiles!$A$45:$I$59, 7, FALSE), perc_95, VLOOKUP(L$2, Percentiles!$A$45:$I$59, 8, FALSE), perc_85, perc_75 + (perc_90 - perc_75) * (2/3), converted_stat, '2K_Ratings'!L543, IF(bbgm_stat &gt;= perc_95, converted_stat * 3, IF(bbgm_stat &gt;= perc_90, converted_stat * 2, IF(bbgm_stat &gt;= perc_85, converted_stat * 1.5, converted_stat)))))</f>
        <v/>
      </c>
      <c r="M543" s="30" t="str">
        <f t="array" ref="M543">IF($A543="", "", LET(bbgm_stat, INDEX(Players!$A542:$P542, MATCH(M$2, Players!$A$1:$P$1, 0)), perc_75, VLOOKUP(M$2, Percentiles!$A$45:$I$59, 6, FALSE), perc_90, VLOOKUP(M$2, Percentiles!$A$45:$I$59, 7, FALSE), perc_95, VLOOKUP(M$2, Percentiles!$A$45:$I$59, 8, FALSE), perc_85, perc_75 + (perc_90 - perc_75) * (2/3), converted_stat, '2K_Ratings'!M543, IF(bbgm_stat &gt;= perc_95, converted_stat * 3, IF(bbgm_stat &gt;= perc_90, converted_stat * 2, IF(bbgm_stat &gt;= perc_85, converted_stat * 1.5, converted_stat)))))</f>
        <v/>
      </c>
      <c r="N543" s="30" t="str">
        <f t="array" ref="N543">IF($A543="", "", LET(bbgm_stat, INDEX(Players!$A542:$P542, MATCH(N$2, Players!$A$1:$P$1, 0)), perc_75, VLOOKUP(N$2, Percentiles!$A$45:$I$59, 6, FALSE), perc_90, VLOOKUP(N$2, Percentiles!$A$45:$I$59, 7, FALSE), perc_95, VLOOKUP(N$2, Percentiles!$A$45:$I$59, 8, FALSE), perc_85, perc_75 + (perc_90 - perc_75) * (2/3), converted_stat, '2K_Ratings'!N543, IF(bbgm_stat &gt;= perc_95, converted_stat * 3, IF(bbgm_stat &gt;= perc_90, converted_stat * 2, IF(bbgm_stat &gt;= perc_85, converted_stat * 1.5, converted_stat)))))</f>
        <v/>
      </c>
      <c r="O543" s="30" t="str">
        <f t="array" ref="O543">IF($A543="", "", LET(bbgm_stat, INDEX(Players!$A542:$P542, MATCH(O$2, Players!$A$1:$P$1, 0)), perc_75, VLOOKUP(O$2, Percentiles!$A$45:$I$59, 6, FALSE), perc_90, VLOOKUP(O$2, Percentiles!$A$45:$I$59, 7, FALSE), perc_95, VLOOKUP(O$2, Percentiles!$A$45:$I$59, 8, FALSE), perc_85, perc_75 + (perc_90 - perc_75) * (2/3), converted_stat, '2K_Ratings'!O543, IF(bbgm_stat &gt;= perc_95, converted_stat * 3, IF(bbgm_stat &gt;= perc_90, converted_stat * 2, IF(bbgm_stat &gt;= perc_85, converted_stat * 1.5, converted_stat)))))</f>
        <v/>
      </c>
      <c r="P543" s="30" t="str">
        <f t="array" ref="P543">IF($A543="", "", LET(bbgm_stat, INDEX(Players!$A542:$P542, MATCH(P$2, Players!$A$1:$P$1, 0)), perc_75, VLOOKUP(P$2, Percentiles!$A$45:$I$59, 6, FALSE), perc_90, VLOOKUP(P$2, Percentiles!$A$45:$I$59, 7, FALSE), perc_95, VLOOKUP(P$2, Percentiles!$A$45:$I$59, 8, FALSE), perc_85, perc_75 + (perc_90 - perc_75) * (2/3), converted_stat, '2K_Ratings'!P543, IF(bbgm_stat &gt;= perc_95, converted_stat * 3, IF(bbgm_stat &gt;= perc_90, converted_stat * 2, IF(bbgm_stat &gt;= perc_85, converted_stat * 1.5, converted_stat)))))</f>
        <v/>
      </c>
      <c r="Q543" s="30" t="str">
        <f t="array" ref="Q543">IF($A543="", "", LET(bbgm_stat, INDEX(Players!$A542:$P542, MATCH(Q$2, Players!$A$1:$P$1, 0)), perc_75, VLOOKUP(Q$2, Percentiles!$A$45:$I$59, 6, FALSE), perc_90, VLOOKUP(Q$2, Percentiles!$A$45:$I$59, 7, FALSE), perc_95, VLOOKUP(Q$2, Percentiles!$A$45:$I$59, 8, FALSE), perc_85, perc_75 + (perc_90 - perc_75) * (2/3), converted_stat, '2K_Ratings'!Q543, IF(bbgm_stat &gt;= perc_95, converted_stat * 3, IF(bbgm_stat &gt;= perc_90, converted_stat * 2, IF(bbgm_stat &gt;= perc_85, converted_stat * 1.5, converted_stat)))))</f>
        <v/>
      </c>
      <c r="R543" s="30" t="str">
        <f t="array" ref="R543">IF($A543="", "", LET(bbgm_stat, INDEX(Players!$A542:$P542, MATCH(R$2, Players!$A$1:$P$1, 0)), perc_75, VLOOKUP(R$2, Percentiles!$A$45:$I$59, 6, FALSE), perc_90, VLOOKUP(R$2, Percentiles!$A$45:$I$59, 7, FALSE), perc_95, VLOOKUP(R$2, Percentiles!$A$45:$I$59, 8, FALSE), perc_85, perc_75 + (perc_90 - perc_75) * (2/3), converted_stat, '2K_Ratings'!R543, IF(bbgm_stat &gt;= perc_95, converted_stat * 3, IF(bbgm_stat &gt;= perc_90, converted_stat * 2, IF(bbgm_stat &gt;= perc_85, converted_stat * 1.5, converted_stat)))))</f>
        <v/>
      </c>
      <c r="S543" s="30" t="str">
        <f t="array" ref="S543">IF($A543="", "", LET(bbgm_stat, INDEX(Players!$A542:$P542, MATCH(S$2, Players!$A$1:$P$1, 0)), perc_75, VLOOKUP(S$2, Percentiles!$A$45:$I$59, 6, FALSE), perc_90, VLOOKUP(S$2, Percentiles!$A$45:$I$59, 7, FALSE), perc_95, VLOOKUP(S$2, Percentiles!$A$45:$I$59, 8, FALSE), perc_85, perc_75 + (perc_90 - perc_75) * (2/3), converted_stat, '2K_Ratings'!S543, IF(bbgm_stat &gt;= perc_95, converted_stat * 3, IF(bbgm_stat &gt;= perc_90, converted_stat * 2, IF(bbgm_stat &gt;= perc_85, converted_stat * 1.5, converted_stat)))))</f>
        <v/>
      </c>
      <c r="T543" s="30" t="str">
        <f t="array" ref="T543">IF($A543="", "", LET(bbgm_stat, INDEX(Players!$A542:$P542, MATCH(T$2, Players!$A$1:$P$1, 0)), perc_75, VLOOKUP(T$2, Percentiles!$A$45:$I$59, 6, FALSE), perc_90, VLOOKUP(T$2, Percentiles!$A$45:$I$59, 7, FALSE), perc_95, VLOOKUP(T$2, Percentiles!$A$45:$I$59, 8, FALSE), perc_85, perc_75 + (perc_90 - perc_75) * (2/3), converted_stat, '2K_Ratings'!T543, IF(bbgm_stat &gt;= perc_95, converted_stat * 3, IF(bbgm_stat &gt;= perc_90, converted_stat * 2, IF(bbgm_stat &gt;= perc_85, converted_stat * 1.5, converted_stat)))))</f>
        <v/>
      </c>
      <c r="U543" s="30" t="str">
        <f t="array" ref="U543">IF($A543="", "", LET(bbgm_stat, INDEX(Players!$A542:$P542, MATCH(U$2, Players!$A$1:$P$1, 0)), perc_75, VLOOKUP(U$2, Percentiles!$A$45:$I$59, 6, FALSE), perc_90, VLOOKUP(U$2, Percentiles!$A$45:$I$59, 7, FALSE), perc_95, VLOOKUP(U$2, Percentiles!$A$45:$I$59, 8, FALSE), perc_85, perc_75 + (perc_90 - perc_75) * (2/3), converted_stat, '2K_Ratings'!U543, IF(bbgm_stat &gt;= perc_95, converted_stat * 3, IF(bbgm_stat &gt;= perc_90, converted_stat * 2, IF(bbgm_stat &gt;= perc_85, converted_stat * 1.5, converted_stat)))))</f>
        <v/>
      </c>
      <c r="V543" s="30" t="str">
        <f t="array" ref="V543">IF($A543="", "", LET(bbgm_stat, INDEX(Players!$A542:$P542, MATCH(V$2, Players!$A$1:$P$1, 0)), perc_75, VLOOKUP(V$2, Percentiles!$A$45:$I$59, 6, FALSE), perc_90, VLOOKUP(V$2, Percentiles!$A$45:$I$59, 7, FALSE), perc_95, VLOOKUP(V$2, Percentiles!$A$45:$I$59, 8, FALSE), perc_85, perc_75 + (perc_90 - perc_75) * (2/3), converted_stat, '2K_Ratings'!V543, IF(bbgm_stat &gt;= perc_95, converted_stat * 3, IF(bbgm_stat &gt;= perc_90, converted_stat * 2, IF(bbgm_stat &gt;= perc_85, converted_stat * 1.5, converted_stat)))))</f>
        <v/>
      </c>
      <c r="W543" s="30" t="str">
        <f t="array" ref="W543">IF($A543="", "", LET(bbgm_stat, INDEX(Players!$A542:$P542, MATCH(W$2, Players!$A$1:$P$1, 0)), perc_75, VLOOKUP(W$2, Percentiles!$A$45:$I$59, 6, FALSE), perc_90, VLOOKUP(W$2, Percentiles!$A$45:$I$59, 7, FALSE), perc_95, VLOOKUP(W$2, Percentiles!$A$45:$I$59, 8, FALSE), perc_85, perc_75 + (perc_90 - perc_75) * (2/3), converted_stat, '2K_Ratings'!W543, IF(bbgm_stat &gt;= perc_95, converted_stat * 3, IF(bbgm_stat &gt;= perc_90, converted_stat * 2, IF(bbgm_stat &gt;= perc_85, converted_stat * 1.5, converted_stat)))))</f>
        <v/>
      </c>
    </row>
    <row r="544">
      <c r="A544" s="30"/>
      <c r="B544" s="30" t="str">
        <f t="array" ref="B544">IF($A544="", "", LET(bbgm_stat, INDEX(Players!$A543:$P543, MATCH(B$2, Players!$A$1:$P$1, 0)), perc_75, VLOOKUP(B$2, Percentiles!$A$45:$I$59, 6, FALSE), perc_90, VLOOKUP(B$2, Percentiles!$A$45:$I$59, 7, FALSE), perc_95, VLOOKUP(B$2, Percentiles!$A$45:$I$59, 8, FALSE), perc_85, perc_75 + (perc_90 - perc_75) * (2/3), converted_stat, '2K_Ratings'!B544, IF(bbgm_stat &gt;= perc_95, converted_stat * 3, IF(bbgm_stat &gt;= perc_90, converted_stat * 2, IF(bbgm_stat &gt;= perc_85, converted_stat * 1.5, converted_stat)))))</f>
        <v/>
      </c>
      <c r="C544" s="30" t="str">
        <f t="array" ref="C544">IF($A544="", "", LET(bbgm_stat, INDEX(Players!$A543:$P543, MATCH(C$2, Players!$A$1:$P$1, 0)), perc_75, VLOOKUP(C$2, Percentiles!$A$45:$I$59, 6, FALSE), perc_90, VLOOKUP(C$2, Percentiles!$A$45:$I$59, 7, FALSE), perc_95, VLOOKUP(C$2, Percentiles!$A$45:$I$59, 8, FALSE), perc_85, perc_75 + (perc_90 - perc_75) * (2/3), converted_stat, '2K_Ratings'!C544, IF(bbgm_stat &gt;= perc_95, converted_stat * 3, IF(bbgm_stat &gt;= perc_90, converted_stat * 2, IF(bbgm_stat &gt;= perc_85, converted_stat * 1.5, converted_stat)))))</f>
        <v/>
      </c>
      <c r="D544" s="30" t="str">
        <f t="array" ref="D544">IF($A544="", "", LET(bbgm_stat, INDEX(Players!$A543:$P543, MATCH(D$2, Players!$A$1:$P$1, 0)), perc_75, VLOOKUP(D$2, Percentiles!$A$45:$I$59, 6, FALSE), perc_90, VLOOKUP(D$2, Percentiles!$A$45:$I$59, 7, FALSE), perc_95, VLOOKUP(D$2, Percentiles!$A$45:$I$59, 8, FALSE), perc_85, perc_75 + (perc_90 - perc_75) * (2/3), converted_stat, '2K_Ratings'!D544, IF(bbgm_stat &gt;= perc_95, converted_stat * 3, IF(bbgm_stat &gt;= perc_90, converted_stat * 2, IF(bbgm_stat &gt;= perc_85, converted_stat * 1.5, converted_stat)))))</f>
        <v/>
      </c>
      <c r="E544" s="30" t="str">
        <f t="array" ref="E544">IF($A544="", "", LET(bbgm_stat, INDEX(Players!$A543:$P543, MATCH(E$2, Players!$A$1:$P$1, 0)), perc_75, VLOOKUP(E$2, Percentiles!$A$45:$I$59, 6, FALSE), perc_90, VLOOKUP(E$2, Percentiles!$A$45:$I$59, 7, FALSE), perc_95, VLOOKUP(E$2, Percentiles!$A$45:$I$59, 8, FALSE), perc_85, perc_75 + (perc_90 - perc_75) * (2/3), converted_stat, '2K_Ratings'!E544, IF(bbgm_stat &gt;= perc_95, converted_stat * 3, IF(bbgm_stat &gt;= perc_90, converted_stat * 2, IF(bbgm_stat &gt;= perc_85, converted_stat * 1.5, converted_stat)))))</f>
        <v/>
      </c>
      <c r="F544" s="30" t="str">
        <f t="array" ref="F544">IF($A544="", "", LET(bbgm_stat, INDEX(Players!$A543:$P543, MATCH(F$2, Players!$A$1:$P$1, 0)), perc_75, VLOOKUP(F$2, Percentiles!$A$45:$I$59, 6, FALSE), perc_90, VLOOKUP(F$2, Percentiles!$A$45:$I$59, 7, FALSE), perc_95, VLOOKUP(F$2, Percentiles!$A$45:$I$59, 8, FALSE), perc_85, perc_75 + (perc_90 - perc_75) * (2/3), converted_stat, '2K_Ratings'!F544, IF(bbgm_stat &gt;= perc_95, converted_stat * 3, IF(bbgm_stat &gt;= perc_90, converted_stat * 2, IF(bbgm_stat &gt;= perc_85, converted_stat * 1.5, converted_stat)))))</f>
        <v/>
      </c>
      <c r="G544" s="30" t="str">
        <f t="array" ref="G544">IF($A544="", "", LET(bbgm_stat, INDEX(Players!$A543:$P543, MATCH(G$2, Players!$A$1:$P$1, 0)), perc_75, VLOOKUP(G$2, Percentiles!$A$45:$I$59, 6, FALSE), perc_90, VLOOKUP(G$2, Percentiles!$A$45:$I$59, 7, FALSE), perc_95, VLOOKUP(G$2, Percentiles!$A$45:$I$59, 8, FALSE), perc_85, perc_75 + (perc_90 - perc_75) * (2/3), converted_stat, '2K_Ratings'!G544, IF(bbgm_stat &gt;= perc_95, converted_stat * 3, IF(bbgm_stat &gt;= perc_90, converted_stat * 2, IF(bbgm_stat &gt;= perc_85, converted_stat * 1.5, converted_stat)))))</f>
        <v/>
      </c>
      <c r="H544" s="30" t="str">
        <f t="array" ref="H544">IF($A544="", "", LET(bbgm_stat, INDEX(Players!$A543:$P543, MATCH(H$2, Players!$A$1:$P$1, 0)), perc_75, VLOOKUP(H$2, Percentiles!$A$45:$I$59, 6, FALSE), perc_90, VLOOKUP(H$2, Percentiles!$A$45:$I$59, 7, FALSE), perc_95, VLOOKUP(H$2, Percentiles!$A$45:$I$59, 8, FALSE), perc_85, perc_75 + (perc_90 - perc_75) * (2/3), converted_stat, '2K_Ratings'!H544, IF(bbgm_stat &gt;= perc_95, converted_stat * 3, IF(bbgm_stat &gt;= perc_90, converted_stat * 2, IF(bbgm_stat &gt;= perc_85, converted_stat * 1.5, converted_stat)))))</f>
        <v/>
      </c>
      <c r="I544" s="30" t="str">
        <f t="array" ref="I544">IF($A544="", "", LET(bbgm_stat, INDEX(Players!$A543:$P543, MATCH(I$2, Players!$A$1:$P$1, 0)), perc_75, VLOOKUP(I$2, Percentiles!$A$45:$I$59, 6, FALSE), perc_90, VLOOKUP(I$2, Percentiles!$A$45:$I$59, 7, FALSE), perc_95, VLOOKUP(I$2, Percentiles!$A$45:$I$59, 8, FALSE), perc_85, perc_75 + (perc_90 - perc_75) * (2/3), converted_stat, '2K_Ratings'!I544, IF(bbgm_stat &gt;= perc_95, converted_stat * 3, IF(bbgm_stat &gt;= perc_90, converted_stat * 2, IF(bbgm_stat &gt;= perc_85, converted_stat * 1.5, converted_stat)))))</f>
        <v/>
      </c>
      <c r="J544" s="30" t="str">
        <f t="array" ref="J544">IF($A544="", "", LET(bbgm_stat, INDEX(Players!$A543:$P543, MATCH(J$2, Players!$A$1:$P$1, 0)), perc_75, VLOOKUP(J$2, Percentiles!$A$45:$I$59, 6, FALSE), perc_90, VLOOKUP(J$2, Percentiles!$A$45:$I$59, 7, FALSE), perc_95, VLOOKUP(J$2, Percentiles!$A$45:$I$59, 8, FALSE), perc_85, perc_75 + (perc_90 - perc_75) * (2/3), converted_stat, '2K_Ratings'!J544, IF(bbgm_stat &gt;= perc_95, converted_stat * 3, IF(bbgm_stat &gt;= perc_90, converted_stat * 2, IF(bbgm_stat &gt;= perc_85, converted_stat * 1.5, converted_stat)))))</f>
        <v/>
      </c>
      <c r="K544" s="30" t="str">
        <f t="array" ref="K544">IF($A544="", "", LET(bbgm_stat, INDEX(Players!$A543:$P543, MATCH(K$2, Players!$A$1:$P$1, 0)), perc_75, VLOOKUP(K$2, Percentiles!$A$45:$I$59, 6, FALSE), perc_90, VLOOKUP(K$2, Percentiles!$A$45:$I$59, 7, FALSE), perc_95, VLOOKUP(K$2, Percentiles!$A$45:$I$59, 8, FALSE), perc_85, perc_75 + (perc_90 - perc_75) * (2/3), converted_stat, '2K_Ratings'!K544, IF(bbgm_stat &gt;= perc_95, converted_stat * 3, IF(bbgm_stat &gt;= perc_90, converted_stat * 2, IF(bbgm_stat &gt;= perc_85, converted_stat * 1.5, converted_stat)))))</f>
        <v/>
      </c>
      <c r="L544" s="30" t="str">
        <f t="array" ref="L544">IF($A544="", "", LET(bbgm_stat, INDEX(Players!$A543:$P543, MATCH(L$2, Players!$A$1:$P$1, 0)), perc_75, VLOOKUP(L$2, Percentiles!$A$45:$I$59, 6, FALSE), perc_90, VLOOKUP(L$2, Percentiles!$A$45:$I$59, 7, FALSE), perc_95, VLOOKUP(L$2, Percentiles!$A$45:$I$59, 8, FALSE), perc_85, perc_75 + (perc_90 - perc_75) * (2/3), converted_stat, '2K_Ratings'!L544, IF(bbgm_stat &gt;= perc_95, converted_stat * 3, IF(bbgm_stat &gt;= perc_90, converted_stat * 2, IF(bbgm_stat &gt;= perc_85, converted_stat * 1.5, converted_stat)))))</f>
        <v/>
      </c>
      <c r="M544" s="30" t="str">
        <f t="array" ref="M544">IF($A544="", "", LET(bbgm_stat, INDEX(Players!$A543:$P543, MATCH(M$2, Players!$A$1:$P$1, 0)), perc_75, VLOOKUP(M$2, Percentiles!$A$45:$I$59, 6, FALSE), perc_90, VLOOKUP(M$2, Percentiles!$A$45:$I$59, 7, FALSE), perc_95, VLOOKUP(M$2, Percentiles!$A$45:$I$59, 8, FALSE), perc_85, perc_75 + (perc_90 - perc_75) * (2/3), converted_stat, '2K_Ratings'!M544, IF(bbgm_stat &gt;= perc_95, converted_stat * 3, IF(bbgm_stat &gt;= perc_90, converted_stat * 2, IF(bbgm_stat &gt;= perc_85, converted_stat * 1.5, converted_stat)))))</f>
        <v/>
      </c>
      <c r="N544" s="30" t="str">
        <f t="array" ref="N544">IF($A544="", "", LET(bbgm_stat, INDEX(Players!$A543:$P543, MATCH(N$2, Players!$A$1:$P$1, 0)), perc_75, VLOOKUP(N$2, Percentiles!$A$45:$I$59, 6, FALSE), perc_90, VLOOKUP(N$2, Percentiles!$A$45:$I$59, 7, FALSE), perc_95, VLOOKUP(N$2, Percentiles!$A$45:$I$59, 8, FALSE), perc_85, perc_75 + (perc_90 - perc_75) * (2/3), converted_stat, '2K_Ratings'!N544, IF(bbgm_stat &gt;= perc_95, converted_stat * 3, IF(bbgm_stat &gt;= perc_90, converted_stat * 2, IF(bbgm_stat &gt;= perc_85, converted_stat * 1.5, converted_stat)))))</f>
        <v/>
      </c>
      <c r="O544" s="30" t="str">
        <f t="array" ref="O544">IF($A544="", "", LET(bbgm_stat, INDEX(Players!$A543:$P543, MATCH(O$2, Players!$A$1:$P$1, 0)), perc_75, VLOOKUP(O$2, Percentiles!$A$45:$I$59, 6, FALSE), perc_90, VLOOKUP(O$2, Percentiles!$A$45:$I$59, 7, FALSE), perc_95, VLOOKUP(O$2, Percentiles!$A$45:$I$59, 8, FALSE), perc_85, perc_75 + (perc_90 - perc_75) * (2/3), converted_stat, '2K_Ratings'!O544, IF(bbgm_stat &gt;= perc_95, converted_stat * 3, IF(bbgm_stat &gt;= perc_90, converted_stat * 2, IF(bbgm_stat &gt;= perc_85, converted_stat * 1.5, converted_stat)))))</f>
        <v/>
      </c>
      <c r="P544" s="30" t="str">
        <f t="array" ref="P544">IF($A544="", "", LET(bbgm_stat, INDEX(Players!$A543:$P543, MATCH(P$2, Players!$A$1:$P$1, 0)), perc_75, VLOOKUP(P$2, Percentiles!$A$45:$I$59, 6, FALSE), perc_90, VLOOKUP(P$2, Percentiles!$A$45:$I$59, 7, FALSE), perc_95, VLOOKUP(P$2, Percentiles!$A$45:$I$59, 8, FALSE), perc_85, perc_75 + (perc_90 - perc_75) * (2/3), converted_stat, '2K_Ratings'!P544, IF(bbgm_stat &gt;= perc_95, converted_stat * 3, IF(bbgm_stat &gt;= perc_90, converted_stat * 2, IF(bbgm_stat &gt;= perc_85, converted_stat * 1.5, converted_stat)))))</f>
        <v/>
      </c>
      <c r="Q544" s="30" t="str">
        <f t="array" ref="Q544">IF($A544="", "", LET(bbgm_stat, INDEX(Players!$A543:$P543, MATCH(Q$2, Players!$A$1:$P$1, 0)), perc_75, VLOOKUP(Q$2, Percentiles!$A$45:$I$59, 6, FALSE), perc_90, VLOOKUP(Q$2, Percentiles!$A$45:$I$59, 7, FALSE), perc_95, VLOOKUP(Q$2, Percentiles!$A$45:$I$59, 8, FALSE), perc_85, perc_75 + (perc_90 - perc_75) * (2/3), converted_stat, '2K_Ratings'!Q544, IF(bbgm_stat &gt;= perc_95, converted_stat * 3, IF(bbgm_stat &gt;= perc_90, converted_stat * 2, IF(bbgm_stat &gt;= perc_85, converted_stat * 1.5, converted_stat)))))</f>
        <v/>
      </c>
      <c r="R544" s="30" t="str">
        <f t="array" ref="R544">IF($A544="", "", LET(bbgm_stat, INDEX(Players!$A543:$P543, MATCH(R$2, Players!$A$1:$P$1, 0)), perc_75, VLOOKUP(R$2, Percentiles!$A$45:$I$59, 6, FALSE), perc_90, VLOOKUP(R$2, Percentiles!$A$45:$I$59, 7, FALSE), perc_95, VLOOKUP(R$2, Percentiles!$A$45:$I$59, 8, FALSE), perc_85, perc_75 + (perc_90 - perc_75) * (2/3), converted_stat, '2K_Ratings'!R544, IF(bbgm_stat &gt;= perc_95, converted_stat * 3, IF(bbgm_stat &gt;= perc_90, converted_stat * 2, IF(bbgm_stat &gt;= perc_85, converted_stat * 1.5, converted_stat)))))</f>
        <v/>
      </c>
      <c r="S544" s="30" t="str">
        <f t="array" ref="S544">IF($A544="", "", LET(bbgm_stat, INDEX(Players!$A543:$P543, MATCH(S$2, Players!$A$1:$P$1, 0)), perc_75, VLOOKUP(S$2, Percentiles!$A$45:$I$59, 6, FALSE), perc_90, VLOOKUP(S$2, Percentiles!$A$45:$I$59, 7, FALSE), perc_95, VLOOKUP(S$2, Percentiles!$A$45:$I$59, 8, FALSE), perc_85, perc_75 + (perc_90 - perc_75) * (2/3), converted_stat, '2K_Ratings'!S544, IF(bbgm_stat &gt;= perc_95, converted_stat * 3, IF(bbgm_stat &gt;= perc_90, converted_stat * 2, IF(bbgm_stat &gt;= perc_85, converted_stat * 1.5, converted_stat)))))</f>
        <v/>
      </c>
      <c r="T544" s="30" t="str">
        <f t="array" ref="T544">IF($A544="", "", LET(bbgm_stat, INDEX(Players!$A543:$P543, MATCH(T$2, Players!$A$1:$P$1, 0)), perc_75, VLOOKUP(T$2, Percentiles!$A$45:$I$59, 6, FALSE), perc_90, VLOOKUP(T$2, Percentiles!$A$45:$I$59, 7, FALSE), perc_95, VLOOKUP(T$2, Percentiles!$A$45:$I$59, 8, FALSE), perc_85, perc_75 + (perc_90 - perc_75) * (2/3), converted_stat, '2K_Ratings'!T544, IF(bbgm_stat &gt;= perc_95, converted_stat * 3, IF(bbgm_stat &gt;= perc_90, converted_stat * 2, IF(bbgm_stat &gt;= perc_85, converted_stat * 1.5, converted_stat)))))</f>
        <v/>
      </c>
      <c r="U544" s="30" t="str">
        <f t="array" ref="U544">IF($A544="", "", LET(bbgm_stat, INDEX(Players!$A543:$P543, MATCH(U$2, Players!$A$1:$P$1, 0)), perc_75, VLOOKUP(U$2, Percentiles!$A$45:$I$59, 6, FALSE), perc_90, VLOOKUP(U$2, Percentiles!$A$45:$I$59, 7, FALSE), perc_95, VLOOKUP(U$2, Percentiles!$A$45:$I$59, 8, FALSE), perc_85, perc_75 + (perc_90 - perc_75) * (2/3), converted_stat, '2K_Ratings'!U544, IF(bbgm_stat &gt;= perc_95, converted_stat * 3, IF(bbgm_stat &gt;= perc_90, converted_stat * 2, IF(bbgm_stat &gt;= perc_85, converted_stat * 1.5, converted_stat)))))</f>
        <v/>
      </c>
      <c r="V544" s="30" t="str">
        <f t="array" ref="V544">IF($A544="", "", LET(bbgm_stat, INDEX(Players!$A543:$P543, MATCH(V$2, Players!$A$1:$P$1, 0)), perc_75, VLOOKUP(V$2, Percentiles!$A$45:$I$59, 6, FALSE), perc_90, VLOOKUP(V$2, Percentiles!$A$45:$I$59, 7, FALSE), perc_95, VLOOKUP(V$2, Percentiles!$A$45:$I$59, 8, FALSE), perc_85, perc_75 + (perc_90 - perc_75) * (2/3), converted_stat, '2K_Ratings'!V544, IF(bbgm_stat &gt;= perc_95, converted_stat * 3, IF(bbgm_stat &gt;= perc_90, converted_stat * 2, IF(bbgm_stat &gt;= perc_85, converted_stat * 1.5, converted_stat)))))</f>
        <v/>
      </c>
      <c r="W544" s="30" t="str">
        <f t="array" ref="W544">IF($A544="", "", LET(bbgm_stat, INDEX(Players!$A543:$P543, MATCH(W$2, Players!$A$1:$P$1, 0)), perc_75, VLOOKUP(W$2, Percentiles!$A$45:$I$59, 6, FALSE), perc_90, VLOOKUP(W$2, Percentiles!$A$45:$I$59, 7, FALSE), perc_95, VLOOKUP(W$2, Percentiles!$A$45:$I$59, 8, FALSE), perc_85, perc_75 + (perc_90 - perc_75) * (2/3), converted_stat, '2K_Ratings'!W544, IF(bbgm_stat &gt;= perc_95, converted_stat * 3, IF(bbgm_stat &gt;= perc_90, converted_stat * 2, IF(bbgm_stat &gt;= perc_85, converted_stat * 1.5, converted_stat)))))</f>
        <v/>
      </c>
    </row>
    <row r="545">
      <c r="A545" s="30"/>
      <c r="B545" s="30" t="str">
        <f t="array" ref="B545">IF($A545="", "", LET(bbgm_stat, INDEX(Players!$A544:$P544, MATCH(B$2, Players!$A$1:$P$1, 0)), perc_75, VLOOKUP(B$2, Percentiles!$A$45:$I$59, 6, FALSE), perc_90, VLOOKUP(B$2, Percentiles!$A$45:$I$59, 7, FALSE), perc_95, VLOOKUP(B$2, Percentiles!$A$45:$I$59, 8, FALSE), perc_85, perc_75 + (perc_90 - perc_75) * (2/3), converted_stat, '2K_Ratings'!B545, IF(bbgm_stat &gt;= perc_95, converted_stat * 3, IF(bbgm_stat &gt;= perc_90, converted_stat * 2, IF(bbgm_stat &gt;= perc_85, converted_stat * 1.5, converted_stat)))))</f>
        <v/>
      </c>
      <c r="C545" s="30" t="str">
        <f t="array" ref="C545">IF($A545="", "", LET(bbgm_stat, INDEX(Players!$A544:$P544, MATCH(C$2, Players!$A$1:$P$1, 0)), perc_75, VLOOKUP(C$2, Percentiles!$A$45:$I$59, 6, FALSE), perc_90, VLOOKUP(C$2, Percentiles!$A$45:$I$59, 7, FALSE), perc_95, VLOOKUP(C$2, Percentiles!$A$45:$I$59, 8, FALSE), perc_85, perc_75 + (perc_90 - perc_75) * (2/3), converted_stat, '2K_Ratings'!C545, IF(bbgm_stat &gt;= perc_95, converted_stat * 3, IF(bbgm_stat &gt;= perc_90, converted_stat * 2, IF(bbgm_stat &gt;= perc_85, converted_stat * 1.5, converted_stat)))))</f>
        <v/>
      </c>
      <c r="D545" s="30" t="str">
        <f t="array" ref="D545">IF($A545="", "", LET(bbgm_stat, INDEX(Players!$A544:$P544, MATCH(D$2, Players!$A$1:$P$1, 0)), perc_75, VLOOKUP(D$2, Percentiles!$A$45:$I$59, 6, FALSE), perc_90, VLOOKUP(D$2, Percentiles!$A$45:$I$59, 7, FALSE), perc_95, VLOOKUP(D$2, Percentiles!$A$45:$I$59, 8, FALSE), perc_85, perc_75 + (perc_90 - perc_75) * (2/3), converted_stat, '2K_Ratings'!D545, IF(bbgm_stat &gt;= perc_95, converted_stat * 3, IF(bbgm_stat &gt;= perc_90, converted_stat * 2, IF(bbgm_stat &gt;= perc_85, converted_stat * 1.5, converted_stat)))))</f>
        <v/>
      </c>
      <c r="E545" s="30" t="str">
        <f t="array" ref="E545">IF($A545="", "", LET(bbgm_stat, INDEX(Players!$A544:$P544, MATCH(E$2, Players!$A$1:$P$1, 0)), perc_75, VLOOKUP(E$2, Percentiles!$A$45:$I$59, 6, FALSE), perc_90, VLOOKUP(E$2, Percentiles!$A$45:$I$59, 7, FALSE), perc_95, VLOOKUP(E$2, Percentiles!$A$45:$I$59, 8, FALSE), perc_85, perc_75 + (perc_90 - perc_75) * (2/3), converted_stat, '2K_Ratings'!E545, IF(bbgm_stat &gt;= perc_95, converted_stat * 3, IF(bbgm_stat &gt;= perc_90, converted_stat * 2, IF(bbgm_stat &gt;= perc_85, converted_stat * 1.5, converted_stat)))))</f>
        <v/>
      </c>
      <c r="F545" s="30" t="str">
        <f t="array" ref="F545">IF($A545="", "", LET(bbgm_stat, INDEX(Players!$A544:$P544, MATCH(F$2, Players!$A$1:$P$1, 0)), perc_75, VLOOKUP(F$2, Percentiles!$A$45:$I$59, 6, FALSE), perc_90, VLOOKUP(F$2, Percentiles!$A$45:$I$59, 7, FALSE), perc_95, VLOOKUP(F$2, Percentiles!$A$45:$I$59, 8, FALSE), perc_85, perc_75 + (perc_90 - perc_75) * (2/3), converted_stat, '2K_Ratings'!F545, IF(bbgm_stat &gt;= perc_95, converted_stat * 3, IF(bbgm_stat &gt;= perc_90, converted_stat * 2, IF(bbgm_stat &gt;= perc_85, converted_stat * 1.5, converted_stat)))))</f>
        <v/>
      </c>
      <c r="G545" s="30" t="str">
        <f t="array" ref="G545">IF($A545="", "", LET(bbgm_stat, INDEX(Players!$A544:$P544, MATCH(G$2, Players!$A$1:$P$1, 0)), perc_75, VLOOKUP(G$2, Percentiles!$A$45:$I$59, 6, FALSE), perc_90, VLOOKUP(G$2, Percentiles!$A$45:$I$59, 7, FALSE), perc_95, VLOOKUP(G$2, Percentiles!$A$45:$I$59, 8, FALSE), perc_85, perc_75 + (perc_90 - perc_75) * (2/3), converted_stat, '2K_Ratings'!G545, IF(bbgm_stat &gt;= perc_95, converted_stat * 3, IF(bbgm_stat &gt;= perc_90, converted_stat * 2, IF(bbgm_stat &gt;= perc_85, converted_stat * 1.5, converted_stat)))))</f>
        <v/>
      </c>
      <c r="H545" s="30" t="str">
        <f t="array" ref="H545">IF($A545="", "", LET(bbgm_stat, INDEX(Players!$A544:$P544, MATCH(H$2, Players!$A$1:$P$1, 0)), perc_75, VLOOKUP(H$2, Percentiles!$A$45:$I$59, 6, FALSE), perc_90, VLOOKUP(H$2, Percentiles!$A$45:$I$59, 7, FALSE), perc_95, VLOOKUP(H$2, Percentiles!$A$45:$I$59, 8, FALSE), perc_85, perc_75 + (perc_90 - perc_75) * (2/3), converted_stat, '2K_Ratings'!H545, IF(bbgm_stat &gt;= perc_95, converted_stat * 3, IF(bbgm_stat &gt;= perc_90, converted_stat * 2, IF(bbgm_stat &gt;= perc_85, converted_stat * 1.5, converted_stat)))))</f>
        <v/>
      </c>
      <c r="I545" s="30" t="str">
        <f t="array" ref="I545">IF($A545="", "", LET(bbgm_stat, INDEX(Players!$A544:$P544, MATCH(I$2, Players!$A$1:$P$1, 0)), perc_75, VLOOKUP(I$2, Percentiles!$A$45:$I$59, 6, FALSE), perc_90, VLOOKUP(I$2, Percentiles!$A$45:$I$59, 7, FALSE), perc_95, VLOOKUP(I$2, Percentiles!$A$45:$I$59, 8, FALSE), perc_85, perc_75 + (perc_90 - perc_75) * (2/3), converted_stat, '2K_Ratings'!I545, IF(bbgm_stat &gt;= perc_95, converted_stat * 3, IF(bbgm_stat &gt;= perc_90, converted_stat * 2, IF(bbgm_stat &gt;= perc_85, converted_stat * 1.5, converted_stat)))))</f>
        <v/>
      </c>
      <c r="J545" s="30" t="str">
        <f t="array" ref="J545">IF($A545="", "", LET(bbgm_stat, INDEX(Players!$A544:$P544, MATCH(J$2, Players!$A$1:$P$1, 0)), perc_75, VLOOKUP(J$2, Percentiles!$A$45:$I$59, 6, FALSE), perc_90, VLOOKUP(J$2, Percentiles!$A$45:$I$59, 7, FALSE), perc_95, VLOOKUP(J$2, Percentiles!$A$45:$I$59, 8, FALSE), perc_85, perc_75 + (perc_90 - perc_75) * (2/3), converted_stat, '2K_Ratings'!J545, IF(bbgm_stat &gt;= perc_95, converted_stat * 3, IF(bbgm_stat &gt;= perc_90, converted_stat * 2, IF(bbgm_stat &gt;= perc_85, converted_stat * 1.5, converted_stat)))))</f>
        <v/>
      </c>
      <c r="K545" s="30" t="str">
        <f t="array" ref="K545">IF($A545="", "", LET(bbgm_stat, INDEX(Players!$A544:$P544, MATCH(K$2, Players!$A$1:$P$1, 0)), perc_75, VLOOKUP(K$2, Percentiles!$A$45:$I$59, 6, FALSE), perc_90, VLOOKUP(K$2, Percentiles!$A$45:$I$59, 7, FALSE), perc_95, VLOOKUP(K$2, Percentiles!$A$45:$I$59, 8, FALSE), perc_85, perc_75 + (perc_90 - perc_75) * (2/3), converted_stat, '2K_Ratings'!K545, IF(bbgm_stat &gt;= perc_95, converted_stat * 3, IF(bbgm_stat &gt;= perc_90, converted_stat * 2, IF(bbgm_stat &gt;= perc_85, converted_stat * 1.5, converted_stat)))))</f>
        <v/>
      </c>
      <c r="L545" s="30" t="str">
        <f t="array" ref="L545">IF($A545="", "", LET(bbgm_stat, INDEX(Players!$A544:$P544, MATCH(L$2, Players!$A$1:$P$1, 0)), perc_75, VLOOKUP(L$2, Percentiles!$A$45:$I$59, 6, FALSE), perc_90, VLOOKUP(L$2, Percentiles!$A$45:$I$59, 7, FALSE), perc_95, VLOOKUP(L$2, Percentiles!$A$45:$I$59, 8, FALSE), perc_85, perc_75 + (perc_90 - perc_75) * (2/3), converted_stat, '2K_Ratings'!L545, IF(bbgm_stat &gt;= perc_95, converted_stat * 3, IF(bbgm_stat &gt;= perc_90, converted_stat * 2, IF(bbgm_stat &gt;= perc_85, converted_stat * 1.5, converted_stat)))))</f>
        <v/>
      </c>
      <c r="M545" s="30" t="str">
        <f t="array" ref="M545">IF($A545="", "", LET(bbgm_stat, INDEX(Players!$A544:$P544, MATCH(M$2, Players!$A$1:$P$1, 0)), perc_75, VLOOKUP(M$2, Percentiles!$A$45:$I$59, 6, FALSE), perc_90, VLOOKUP(M$2, Percentiles!$A$45:$I$59, 7, FALSE), perc_95, VLOOKUP(M$2, Percentiles!$A$45:$I$59, 8, FALSE), perc_85, perc_75 + (perc_90 - perc_75) * (2/3), converted_stat, '2K_Ratings'!M545, IF(bbgm_stat &gt;= perc_95, converted_stat * 3, IF(bbgm_stat &gt;= perc_90, converted_stat * 2, IF(bbgm_stat &gt;= perc_85, converted_stat * 1.5, converted_stat)))))</f>
        <v/>
      </c>
      <c r="N545" s="30" t="str">
        <f t="array" ref="N545">IF($A545="", "", LET(bbgm_stat, INDEX(Players!$A544:$P544, MATCH(N$2, Players!$A$1:$P$1, 0)), perc_75, VLOOKUP(N$2, Percentiles!$A$45:$I$59, 6, FALSE), perc_90, VLOOKUP(N$2, Percentiles!$A$45:$I$59, 7, FALSE), perc_95, VLOOKUP(N$2, Percentiles!$A$45:$I$59, 8, FALSE), perc_85, perc_75 + (perc_90 - perc_75) * (2/3), converted_stat, '2K_Ratings'!N545, IF(bbgm_stat &gt;= perc_95, converted_stat * 3, IF(bbgm_stat &gt;= perc_90, converted_stat * 2, IF(bbgm_stat &gt;= perc_85, converted_stat * 1.5, converted_stat)))))</f>
        <v/>
      </c>
      <c r="O545" s="30" t="str">
        <f t="array" ref="O545">IF($A545="", "", LET(bbgm_stat, INDEX(Players!$A544:$P544, MATCH(O$2, Players!$A$1:$P$1, 0)), perc_75, VLOOKUP(O$2, Percentiles!$A$45:$I$59, 6, FALSE), perc_90, VLOOKUP(O$2, Percentiles!$A$45:$I$59, 7, FALSE), perc_95, VLOOKUP(O$2, Percentiles!$A$45:$I$59, 8, FALSE), perc_85, perc_75 + (perc_90 - perc_75) * (2/3), converted_stat, '2K_Ratings'!O545, IF(bbgm_stat &gt;= perc_95, converted_stat * 3, IF(bbgm_stat &gt;= perc_90, converted_stat * 2, IF(bbgm_stat &gt;= perc_85, converted_stat * 1.5, converted_stat)))))</f>
        <v/>
      </c>
      <c r="P545" s="30" t="str">
        <f t="array" ref="P545">IF($A545="", "", LET(bbgm_stat, INDEX(Players!$A544:$P544, MATCH(P$2, Players!$A$1:$P$1, 0)), perc_75, VLOOKUP(P$2, Percentiles!$A$45:$I$59, 6, FALSE), perc_90, VLOOKUP(P$2, Percentiles!$A$45:$I$59, 7, FALSE), perc_95, VLOOKUP(P$2, Percentiles!$A$45:$I$59, 8, FALSE), perc_85, perc_75 + (perc_90 - perc_75) * (2/3), converted_stat, '2K_Ratings'!P545, IF(bbgm_stat &gt;= perc_95, converted_stat * 3, IF(bbgm_stat &gt;= perc_90, converted_stat * 2, IF(bbgm_stat &gt;= perc_85, converted_stat * 1.5, converted_stat)))))</f>
        <v/>
      </c>
      <c r="Q545" s="30" t="str">
        <f t="array" ref="Q545">IF($A545="", "", LET(bbgm_stat, INDEX(Players!$A544:$P544, MATCH(Q$2, Players!$A$1:$P$1, 0)), perc_75, VLOOKUP(Q$2, Percentiles!$A$45:$I$59, 6, FALSE), perc_90, VLOOKUP(Q$2, Percentiles!$A$45:$I$59, 7, FALSE), perc_95, VLOOKUP(Q$2, Percentiles!$A$45:$I$59, 8, FALSE), perc_85, perc_75 + (perc_90 - perc_75) * (2/3), converted_stat, '2K_Ratings'!Q545, IF(bbgm_stat &gt;= perc_95, converted_stat * 3, IF(bbgm_stat &gt;= perc_90, converted_stat * 2, IF(bbgm_stat &gt;= perc_85, converted_stat * 1.5, converted_stat)))))</f>
        <v/>
      </c>
      <c r="R545" s="30" t="str">
        <f t="array" ref="R545">IF($A545="", "", LET(bbgm_stat, INDEX(Players!$A544:$P544, MATCH(R$2, Players!$A$1:$P$1, 0)), perc_75, VLOOKUP(R$2, Percentiles!$A$45:$I$59, 6, FALSE), perc_90, VLOOKUP(R$2, Percentiles!$A$45:$I$59, 7, FALSE), perc_95, VLOOKUP(R$2, Percentiles!$A$45:$I$59, 8, FALSE), perc_85, perc_75 + (perc_90 - perc_75) * (2/3), converted_stat, '2K_Ratings'!R545, IF(bbgm_stat &gt;= perc_95, converted_stat * 3, IF(bbgm_stat &gt;= perc_90, converted_stat * 2, IF(bbgm_stat &gt;= perc_85, converted_stat * 1.5, converted_stat)))))</f>
        <v/>
      </c>
      <c r="S545" s="30" t="str">
        <f t="array" ref="S545">IF($A545="", "", LET(bbgm_stat, INDEX(Players!$A544:$P544, MATCH(S$2, Players!$A$1:$P$1, 0)), perc_75, VLOOKUP(S$2, Percentiles!$A$45:$I$59, 6, FALSE), perc_90, VLOOKUP(S$2, Percentiles!$A$45:$I$59, 7, FALSE), perc_95, VLOOKUP(S$2, Percentiles!$A$45:$I$59, 8, FALSE), perc_85, perc_75 + (perc_90 - perc_75) * (2/3), converted_stat, '2K_Ratings'!S545, IF(bbgm_stat &gt;= perc_95, converted_stat * 3, IF(bbgm_stat &gt;= perc_90, converted_stat * 2, IF(bbgm_stat &gt;= perc_85, converted_stat * 1.5, converted_stat)))))</f>
        <v/>
      </c>
      <c r="T545" s="30" t="str">
        <f t="array" ref="T545">IF($A545="", "", LET(bbgm_stat, INDEX(Players!$A544:$P544, MATCH(T$2, Players!$A$1:$P$1, 0)), perc_75, VLOOKUP(T$2, Percentiles!$A$45:$I$59, 6, FALSE), perc_90, VLOOKUP(T$2, Percentiles!$A$45:$I$59, 7, FALSE), perc_95, VLOOKUP(T$2, Percentiles!$A$45:$I$59, 8, FALSE), perc_85, perc_75 + (perc_90 - perc_75) * (2/3), converted_stat, '2K_Ratings'!T545, IF(bbgm_stat &gt;= perc_95, converted_stat * 3, IF(bbgm_stat &gt;= perc_90, converted_stat * 2, IF(bbgm_stat &gt;= perc_85, converted_stat * 1.5, converted_stat)))))</f>
        <v/>
      </c>
      <c r="U545" s="30" t="str">
        <f t="array" ref="U545">IF($A545="", "", LET(bbgm_stat, INDEX(Players!$A544:$P544, MATCH(U$2, Players!$A$1:$P$1, 0)), perc_75, VLOOKUP(U$2, Percentiles!$A$45:$I$59, 6, FALSE), perc_90, VLOOKUP(U$2, Percentiles!$A$45:$I$59, 7, FALSE), perc_95, VLOOKUP(U$2, Percentiles!$A$45:$I$59, 8, FALSE), perc_85, perc_75 + (perc_90 - perc_75) * (2/3), converted_stat, '2K_Ratings'!U545, IF(bbgm_stat &gt;= perc_95, converted_stat * 3, IF(bbgm_stat &gt;= perc_90, converted_stat * 2, IF(bbgm_stat &gt;= perc_85, converted_stat * 1.5, converted_stat)))))</f>
        <v/>
      </c>
      <c r="V545" s="30" t="str">
        <f t="array" ref="V545">IF($A545="", "", LET(bbgm_stat, INDEX(Players!$A544:$P544, MATCH(V$2, Players!$A$1:$P$1, 0)), perc_75, VLOOKUP(V$2, Percentiles!$A$45:$I$59, 6, FALSE), perc_90, VLOOKUP(V$2, Percentiles!$A$45:$I$59, 7, FALSE), perc_95, VLOOKUP(V$2, Percentiles!$A$45:$I$59, 8, FALSE), perc_85, perc_75 + (perc_90 - perc_75) * (2/3), converted_stat, '2K_Ratings'!V545, IF(bbgm_stat &gt;= perc_95, converted_stat * 3, IF(bbgm_stat &gt;= perc_90, converted_stat * 2, IF(bbgm_stat &gt;= perc_85, converted_stat * 1.5, converted_stat)))))</f>
        <v/>
      </c>
      <c r="W545" s="30" t="str">
        <f t="array" ref="W545">IF($A545="", "", LET(bbgm_stat, INDEX(Players!$A544:$P544, MATCH(W$2, Players!$A$1:$P$1, 0)), perc_75, VLOOKUP(W$2, Percentiles!$A$45:$I$59, 6, FALSE), perc_90, VLOOKUP(W$2, Percentiles!$A$45:$I$59, 7, FALSE), perc_95, VLOOKUP(W$2, Percentiles!$A$45:$I$59, 8, FALSE), perc_85, perc_75 + (perc_90 - perc_75) * (2/3), converted_stat, '2K_Ratings'!W545, IF(bbgm_stat &gt;= perc_95, converted_stat * 3, IF(bbgm_stat &gt;= perc_90, converted_stat * 2, IF(bbgm_stat &gt;= perc_85, converted_stat * 1.5, converted_stat)))))</f>
        <v/>
      </c>
    </row>
    <row r="546">
      <c r="A546" s="30"/>
      <c r="B546" s="30" t="str">
        <f t="array" ref="B546">IF($A546="", "", LET(bbgm_stat, INDEX(Players!$A545:$P545, MATCH(B$2, Players!$A$1:$P$1, 0)), perc_75, VLOOKUP(B$2, Percentiles!$A$45:$I$59, 6, FALSE), perc_90, VLOOKUP(B$2, Percentiles!$A$45:$I$59, 7, FALSE), perc_95, VLOOKUP(B$2, Percentiles!$A$45:$I$59, 8, FALSE), perc_85, perc_75 + (perc_90 - perc_75) * (2/3), converted_stat, '2K_Ratings'!B546, IF(bbgm_stat &gt;= perc_95, converted_stat * 3, IF(bbgm_stat &gt;= perc_90, converted_stat * 2, IF(bbgm_stat &gt;= perc_85, converted_stat * 1.5, converted_stat)))))</f>
        <v/>
      </c>
      <c r="C546" s="30" t="str">
        <f t="array" ref="C546">IF($A546="", "", LET(bbgm_stat, INDEX(Players!$A545:$P545, MATCH(C$2, Players!$A$1:$P$1, 0)), perc_75, VLOOKUP(C$2, Percentiles!$A$45:$I$59, 6, FALSE), perc_90, VLOOKUP(C$2, Percentiles!$A$45:$I$59, 7, FALSE), perc_95, VLOOKUP(C$2, Percentiles!$A$45:$I$59, 8, FALSE), perc_85, perc_75 + (perc_90 - perc_75) * (2/3), converted_stat, '2K_Ratings'!C546, IF(bbgm_stat &gt;= perc_95, converted_stat * 3, IF(bbgm_stat &gt;= perc_90, converted_stat * 2, IF(bbgm_stat &gt;= perc_85, converted_stat * 1.5, converted_stat)))))</f>
        <v/>
      </c>
      <c r="D546" s="30" t="str">
        <f t="array" ref="D546">IF($A546="", "", LET(bbgm_stat, INDEX(Players!$A545:$P545, MATCH(D$2, Players!$A$1:$P$1, 0)), perc_75, VLOOKUP(D$2, Percentiles!$A$45:$I$59, 6, FALSE), perc_90, VLOOKUP(D$2, Percentiles!$A$45:$I$59, 7, FALSE), perc_95, VLOOKUP(D$2, Percentiles!$A$45:$I$59, 8, FALSE), perc_85, perc_75 + (perc_90 - perc_75) * (2/3), converted_stat, '2K_Ratings'!D546, IF(bbgm_stat &gt;= perc_95, converted_stat * 3, IF(bbgm_stat &gt;= perc_90, converted_stat * 2, IF(bbgm_stat &gt;= perc_85, converted_stat * 1.5, converted_stat)))))</f>
        <v/>
      </c>
      <c r="E546" s="30" t="str">
        <f t="array" ref="E546">IF($A546="", "", LET(bbgm_stat, INDEX(Players!$A545:$P545, MATCH(E$2, Players!$A$1:$P$1, 0)), perc_75, VLOOKUP(E$2, Percentiles!$A$45:$I$59, 6, FALSE), perc_90, VLOOKUP(E$2, Percentiles!$A$45:$I$59, 7, FALSE), perc_95, VLOOKUP(E$2, Percentiles!$A$45:$I$59, 8, FALSE), perc_85, perc_75 + (perc_90 - perc_75) * (2/3), converted_stat, '2K_Ratings'!E546, IF(bbgm_stat &gt;= perc_95, converted_stat * 3, IF(bbgm_stat &gt;= perc_90, converted_stat * 2, IF(bbgm_stat &gt;= perc_85, converted_stat * 1.5, converted_stat)))))</f>
        <v/>
      </c>
      <c r="F546" s="30" t="str">
        <f t="array" ref="F546">IF($A546="", "", LET(bbgm_stat, INDEX(Players!$A545:$P545, MATCH(F$2, Players!$A$1:$P$1, 0)), perc_75, VLOOKUP(F$2, Percentiles!$A$45:$I$59, 6, FALSE), perc_90, VLOOKUP(F$2, Percentiles!$A$45:$I$59, 7, FALSE), perc_95, VLOOKUP(F$2, Percentiles!$A$45:$I$59, 8, FALSE), perc_85, perc_75 + (perc_90 - perc_75) * (2/3), converted_stat, '2K_Ratings'!F546, IF(bbgm_stat &gt;= perc_95, converted_stat * 3, IF(bbgm_stat &gt;= perc_90, converted_stat * 2, IF(bbgm_stat &gt;= perc_85, converted_stat * 1.5, converted_stat)))))</f>
        <v/>
      </c>
      <c r="G546" s="30" t="str">
        <f t="array" ref="G546">IF($A546="", "", LET(bbgm_stat, INDEX(Players!$A545:$P545, MATCH(G$2, Players!$A$1:$P$1, 0)), perc_75, VLOOKUP(G$2, Percentiles!$A$45:$I$59, 6, FALSE), perc_90, VLOOKUP(G$2, Percentiles!$A$45:$I$59, 7, FALSE), perc_95, VLOOKUP(G$2, Percentiles!$A$45:$I$59, 8, FALSE), perc_85, perc_75 + (perc_90 - perc_75) * (2/3), converted_stat, '2K_Ratings'!G546, IF(bbgm_stat &gt;= perc_95, converted_stat * 3, IF(bbgm_stat &gt;= perc_90, converted_stat * 2, IF(bbgm_stat &gt;= perc_85, converted_stat * 1.5, converted_stat)))))</f>
        <v/>
      </c>
      <c r="H546" s="30" t="str">
        <f t="array" ref="H546">IF($A546="", "", LET(bbgm_stat, INDEX(Players!$A545:$P545, MATCH(H$2, Players!$A$1:$P$1, 0)), perc_75, VLOOKUP(H$2, Percentiles!$A$45:$I$59, 6, FALSE), perc_90, VLOOKUP(H$2, Percentiles!$A$45:$I$59, 7, FALSE), perc_95, VLOOKUP(H$2, Percentiles!$A$45:$I$59, 8, FALSE), perc_85, perc_75 + (perc_90 - perc_75) * (2/3), converted_stat, '2K_Ratings'!H546, IF(bbgm_stat &gt;= perc_95, converted_stat * 3, IF(bbgm_stat &gt;= perc_90, converted_stat * 2, IF(bbgm_stat &gt;= perc_85, converted_stat * 1.5, converted_stat)))))</f>
        <v/>
      </c>
      <c r="I546" s="30" t="str">
        <f t="array" ref="I546">IF($A546="", "", LET(bbgm_stat, INDEX(Players!$A545:$P545, MATCH(I$2, Players!$A$1:$P$1, 0)), perc_75, VLOOKUP(I$2, Percentiles!$A$45:$I$59, 6, FALSE), perc_90, VLOOKUP(I$2, Percentiles!$A$45:$I$59, 7, FALSE), perc_95, VLOOKUP(I$2, Percentiles!$A$45:$I$59, 8, FALSE), perc_85, perc_75 + (perc_90 - perc_75) * (2/3), converted_stat, '2K_Ratings'!I546, IF(bbgm_stat &gt;= perc_95, converted_stat * 3, IF(bbgm_stat &gt;= perc_90, converted_stat * 2, IF(bbgm_stat &gt;= perc_85, converted_stat * 1.5, converted_stat)))))</f>
        <v/>
      </c>
      <c r="J546" s="30" t="str">
        <f t="array" ref="J546">IF($A546="", "", LET(bbgm_stat, INDEX(Players!$A545:$P545, MATCH(J$2, Players!$A$1:$P$1, 0)), perc_75, VLOOKUP(J$2, Percentiles!$A$45:$I$59, 6, FALSE), perc_90, VLOOKUP(J$2, Percentiles!$A$45:$I$59, 7, FALSE), perc_95, VLOOKUP(J$2, Percentiles!$A$45:$I$59, 8, FALSE), perc_85, perc_75 + (perc_90 - perc_75) * (2/3), converted_stat, '2K_Ratings'!J546, IF(bbgm_stat &gt;= perc_95, converted_stat * 3, IF(bbgm_stat &gt;= perc_90, converted_stat * 2, IF(bbgm_stat &gt;= perc_85, converted_stat * 1.5, converted_stat)))))</f>
        <v/>
      </c>
      <c r="K546" s="30" t="str">
        <f t="array" ref="K546">IF($A546="", "", LET(bbgm_stat, INDEX(Players!$A545:$P545, MATCH(K$2, Players!$A$1:$P$1, 0)), perc_75, VLOOKUP(K$2, Percentiles!$A$45:$I$59, 6, FALSE), perc_90, VLOOKUP(K$2, Percentiles!$A$45:$I$59, 7, FALSE), perc_95, VLOOKUP(K$2, Percentiles!$A$45:$I$59, 8, FALSE), perc_85, perc_75 + (perc_90 - perc_75) * (2/3), converted_stat, '2K_Ratings'!K546, IF(bbgm_stat &gt;= perc_95, converted_stat * 3, IF(bbgm_stat &gt;= perc_90, converted_stat * 2, IF(bbgm_stat &gt;= perc_85, converted_stat * 1.5, converted_stat)))))</f>
        <v/>
      </c>
      <c r="L546" s="30" t="str">
        <f t="array" ref="L546">IF($A546="", "", LET(bbgm_stat, INDEX(Players!$A545:$P545, MATCH(L$2, Players!$A$1:$P$1, 0)), perc_75, VLOOKUP(L$2, Percentiles!$A$45:$I$59, 6, FALSE), perc_90, VLOOKUP(L$2, Percentiles!$A$45:$I$59, 7, FALSE), perc_95, VLOOKUP(L$2, Percentiles!$A$45:$I$59, 8, FALSE), perc_85, perc_75 + (perc_90 - perc_75) * (2/3), converted_stat, '2K_Ratings'!L546, IF(bbgm_stat &gt;= perc_95, converted_stat * 3, IF(bbgm_stat &gt;= perc_90, converted_stat * 2, IF(bbgm_stat &gt;= perc_85, converted_stat * 1.5, converted_stat)))))</f>
        <v/>
      </c>
      <c r="M546" s="30" t="str">
        <f t="array" ref="M546">IF($A546="", "", LET(bbgm_stat, INDEX(Players!$A545:$P545, MATCH(M$2, Players!$A$1:$P$1, 0)), perc_75, VLOOKUP(M$2, Percentiles!$A$45:$I$59, 6, FALSE), perc_90, VLOOKUP(M$2, Percentiles!$A$45:$I$59, 7, FALSE), perc_95, VLOOKUP(M$2, Percentiles!$A$45:$I$59, 8, FALSE), perc_85, perc_75 + (perc_90 - perc_75) * (2/3), converted_stat, '2K_Ratings'!M546, IF(bbgm_stat &gt;= perc_95, converted_stat * 3, IF(bbgm_stat &gt;= perc_90, converted_stat * 2, IF(bbgm_stat &gt;= perc_85, converted_stat * 1.5, converted_stat)))))</f>
        <v/>
      </c>
      <c r="N546" s="30" t="str">
        <f t="array" ref="N546">IF($A546="", "", LET(bbgm_stat, INDEX(Players!$A545:$P545, MATCH(N$2, Players!$A$1:$P$1, 0)), perc_75, VLOOKUP(N$2, Percentiles!$A$45:$I$59, 6, FALSE), perc_90, VLOOKUP(N$2, Percentiles!$A$45:$I$59, 7, FALSE), perc_95, VLOOKUP(N$2, Percentiles!$A$45:$I$59, 8, FALSE), perc_85, perc_75 + (perc_90 - perc_75) * (2/3), converted_stat, '2K_Ratings'!N546, IF(bbgm_stat &gt;= perc_95, converted_stat * 3, IF(bbgm_stat &gt;= perc_90, converted_stat * 2, IF(bbgm_stat &gt;= perc_85, converted_stat * 1.5, converted_stat)))))</f>
        <v/>
      </c>
      <c r="O546" s="30" t="str">
        <f t="array" ref="O546">IF($A546="", "", LET(bbgm_stat, INDEX(Players!$A545:$P545, MATCH(O$2, Players!$A$1:$P$1, 0)), perc_75, VLOOKUP(O$2, Percentiles!$A$45:$I$59, 6, FALSE), perc_90, VLOOKUP(O$2, Percentiles!$A$45:$I$59, 7, FALSE), perc_95, VLOOKUP(O$2, Percentiles!$A$45:$I$59, 8, FALSE), perc_85, perc_75 + (perc_90 - perc_75) * (2/3), converted_stat, '2K_Ratings'!O546, IF(bbgm_stat &gt;= perc_95, converted_stat * 3, IF(bbgm_stat &gt;= perc_90, converted_stat * 2, IF(bbgm_stat &gt;= perc_85, converted_stat * 1.5, converted_stat)))))</f>
        <v/>
      </c>
      <c r="P546" s="30" t="str">
        <f t="array" ref="P546">IF($A546="", "", LET(bbgm_stat, INDEX(Players!$A545:$P545, MATCH(P$2, Players!$A$1:$P$1, 0)), perc_75, VLOOKUP(P$2, Percentiles!$A$45:$I$59, 6, FALSE), perc_90, VLOOKUP(P$2, Percentiles!$A$45:$I$59, 7, FALSE), perc_95, VLOOKUP(P$2, Percentiles!$A$45:$I$59, 8, FALSE), perc_85, perc_75 + (perc_90 - perc_75) * (2/3), converted_stat, '2K_Ratings'!P546, IF(bbgm_stat &gt;= perc_95, converted_stat * 3, IF(bbgm_stat &gt;= perc_90, converted_stat * 2, IF(bbgm_stat &gt;= perc_85, converted_stat * 1.5, converted_stat)))))</f>
        <v/>
      </c>
      <c r="Q546" s="30" t="str">
        <f t="array" ref="Q546">IF($A546="", "", LET(bbgm_stat, INDEX(Players!$A545:$P545, MATCH(Q$2, Players!$A$1:$P$1, 0)), perc_75, VLOOKUP(Q$2, Percentiles!$A$45:$I$59, 6, FALSE), perc_90, VLOOKUP(Q$2, Percentiles!$A$45:$I$59, 7, FALSE), perc_95, VLOOKUP(Q$2, Percentiles!$A$45:$I$59, 8, FALSE), perc_85, perc_75 + (perc_90 - perc_75) * (2/3), converted_stat, '2K_Ratings'!Q546, IF(bbgm_stat &gt;= perc_95, converted_stat * 3, IF(bbgm_stat &gt;= perc_90, converted_stat * 2, IF(bbgm_stat &gt;= perc_85, converted_stat * 1.5, converted_stat)))))</f>
        <v/>
      </c>
      <c r="R546" s="30" t="str">
        <f t="array" ref="R546">IF($A546="", "", LET(bbgm_stat, INDEX(Players!$A545:$P545, MATCH(R$2, Players!$A$1:$P$1, 0)), perc_75, VLOOKUP(R$2, Percentiles!$A$45:$I$59, 6, FALSE), perc_90, VLOOKUP(R$2, Percentiles!$A$45:$I$59, 7, FALSE), perc_95, VLOOKUP(R$2, Percentiles!$A$45:$I$59, 8, FALSE), perc_85, perc_75 + (perc_90 - perc_75) * (2/3), converted_stat, '2K_Ratings'!R546, IF(bbgm_stat &gt;= perc_95, converted_stat * 3, IF(bbgm_stat &gt;= perc_90, converted_stat * 2, IF(bbgm_stat &gt;= perc_85, converted_stat * 1.5, converted_stat)))))</f>
        <v/>
      </c>
      <c r="S546" s="30" t="str">
        <f t="array" ref="S546">IF($A546="", "", LET(bbgm_stat, INDEX(Players!$A545:$P545, MATCH(S$2, Players!$A$1:$P$1, 0)), perc_75, VLOOKUP(S$2, Percentiles!$A$45:$I$59, 6, FALSE), perc_90, VLOOKUP(S$2, Percentiles!$A$45:$I$59, 7, FALSE), perc_95, VLOOKUP(S$2, Percentiles!$A$45:$I$59, 8, FALSE), perc_85, perc_75 + (perc_90 - perc_75) * (2/3), converted_stat, '2K_Ratings'!S546, IF(bbgm_stat &gt;= perc_95, converted_stat * 3, IF(bbgm_stat &gt;= perc_90, converted_stat * 2, IF(bbgm_stat &gt;= perc_85, converted_stat * 1.5, converted_stat)))))</f>
        <v/>
      </c>
      <c r="T546" s="30" t="str">
        <f t="array" ref="T546">IF($A546="", "", LET(bbgm_stat, INDEX(Players!$A545:$P545, MATCH(T$2, Players!$A$1:$P$1, 0)), perc_75, VLOOKUP(T$2, Percentiles!$A$45:$I$59, 6, FALSE), perc_90, VLOOKUP(T$2, Percentiles!$A$45:$I$59, 7, FALSE), perc_95, VLOOKUP(T$2, Percentiles!$A$45:$I$59, 8, FALSE), perc_85, perc_75 + (perc_90 - perc_75) * (2/3), converted_stat, '2K_Ratings'!T546, IF(bbgm_stat &gt;= perc_95, converted_stat * 3, IF(bbgm_stat &gt;= perc_90, converted_stat * 2, IF(bbgm_stat &gt;= perc_85, converted_stat * 1.5, converted_stat)))))</f>
        <v/>
      </c>
      <c r="U546" s="30" t="str">
        <f t="array" ref="U546">IF($A546="", "", LET(bbgm_stat, INDEX(Players!$A545:$P545, MATCH(U$2, Players!$A$1:$P$1, 0)), perc_75, VLOOKUP(U$2, Percentiles!$A$45:$I$59, 6, FALSE), perc_90, VLOOKUP(U$2, Percentiles!$A$45:$I$59, 7, FALSE), perc_95, VLOOKUP(U$2, Percentiles!$A$45:$I$59, 8, FALSE), perc_85, perc_75 + (perc_90 - perc_75) * (2/3), converted_stat, '2K_Ratings'!U546, IF(bbgm_stat &gt;= perc_95, converted_stat * 3, IF(bbgm_stat &gt;= perc_90, converted_stat * 2, IF(bbgm_stat &gt;= perc_85, converted_stat * 1.5, converted_stat)))))</f>
        <v/>
      </c>
      <c r="V546" s="30" t="str">
        <f t="array" ref="V546">IF($A546="", "", LET(bbgm_stat, INDEX(Players!$A545:$P545, MATCH(V$2, Players!$A$1:$P$1, 0)), perc_75, VLOOKUP(V$2, Percentiles!$A$45:$I$59, 6, FALSE), perc_90, VLOOKUP(V$2, Percentiles!$A$45:$I$59, 7, FALSE), perc_95, VLOOKUP(V$2, Percentiles!$A$45:$I$59, 8, FALSE), perc_85, perc_75 + (perc_90 - perc_75) * (2/3), converted_stat, '2K_Ratings'!V546, IF(bbgm_stat &gt;= perc_95, converted_stat * 3, IF(bbgm_stat &gt;= perc_90, converted_stat * 2, IF(bbgm_stat &gt;= perc_85, converted_stat * 1.5, converted_stat)))))</f>
        <v/>
      </c>
      <c r="W546" s="30" t="str">
        <f t="array" ref="W546">IF($A546="", "", LET(bbgm_stat, INDEX(Players!$A545:$P545, MATCH(W$2, Players!$A$1:$P$1, 0)), perc_75, VLOOKUP(W$2, Percentiles!$A$45:$I$59, 6, FALSE), perc_90, VLOOKUP(W$2, Percentiles!$A$45:$I$59, 7, FALSE), perc_95, VLOOKUP(W$2, Percentiles!$A$45:$I$59, 8, FALSE), perc_85, perc_75 + (perc_90 - perc_75) * (2/3), converted_stat, '2K_Ratings'!W546, IF(bbgm_stat &gt;= perc_95, converted_stat * 3, IF(bbgm_stat &gt;= perc_90, converted_stat * 2, IF(bbgm_stat &gt;= perc_85, converted_stat * 1.5, converted_stat)))))</f>
        <v/>
      </c>
    </row>
    <row r="547">
      <c r="A547" s="30"/>
      <c r="B547" s="30" t="str">
        <f t="array" ref="B547">IF($A547="", "", LET(bbgm_stat, INDEX(Players!$A546:$P546, MATCH(B$2, Players!$A$1:$P$1, 0)), perc_75, VLOOKUP(B$2, Percentiles!$A$45:$I$59, 6, FALSE), perc_90, VLOOKUP(B$2, Percentiles!$A$45:$I$59, 7, FALSE), perc_95, VLOOKUP(B$2, Percentiles!$A$45:$I$59, 8, FALSE), perc_85, perc_75 + (perc_90 - perc_75) * (2/3), converted_stat, '2K_Ratings'!B547, IF(bbgm_stat &gt;= perc_95, converted_stat * 3, IF(bbgm_stat &gt;= perc_90, converted_stat * 2, IF(bbgm_stat &gt;= perc_85, converted_stat * 1.5, converted_stat)))))</f>
        <v/>
      </c>
      <c r="C547" s="30" t="str">
        <f t="array" ref="C547">IF($A547="", "", LET(bbgm_stat, INDEX(Players!$A546:$P546, MATCH(C$2, Players!$A$1:$P$1, 0)), perc_75, VLOOKUP(C$2, Percentiles!$A$45:$I$59, 6, FALSE), perc_90, VLOOKUP(C$2, Percentiles!$A$45:$I$59, 7, FALSE), perc_95, VLOOKUP(C$2, Percentiles!$A$45:$I$59, 8, FALSE), perc_85, perc_75 + (perc_90 - perc_75) * (2/3), converted_stat, '2K_Ratings'!C547, IF(bbgm_stat &gt;= perc_95, converted_stat * 3, IF(bbgm_stat &gt;= perc_90, converted_stat * 2, IF(bbgm_stat &gt;= perc_85, converted_stat * 1.5, converted_stat)))))</f>
        <v/>
      </c>
      <c r="D547" s="30" t="str">
        <f t="array" ref="D547">IF($A547="", "", LET(bbgm_stat, INDEX(Players!$A546:$P546, MATCH(D$2, Players!$A$1:$P$1, 0)), perc_75, VLOOKUP(D$2, Percentiles!$A$45:$I$59, 6, FALSE), perc_90, VLOOKUP(D$2, Percentiles!$A$45:$I$59, 7, FALSE), perc_95, VLOOKUP(D$2, Percentiles!$A$45:$I$59, 8, FALSE), perc_85, perc_75 + (perc_90 - perc_75) * (2/3), converted_stat, '2K_Ratings'!D547, IF(bbgm_stat &gt;= perc_95, converted_stat * 3, IF(bbgm_stat &gt;= perc_90, converted_stat * 2, IF(bbgm_stat &gt;= perc_85, converted_stat * 1.5, converted_stat)))))</f>
        <v/>
      </c>
      <c r="E547" s="30" t="str">
        <f t="array" ref="E547">IF($A547="", "", LET(bbgm_stat, INDEX(Players!$A546:$P546, MATCH(E$2, Players!$A$1:$P$1, 0)), perc_75, VLOOKUP(E$2, Percentiles!$A$45:$I$59, 6, FALSE), perc_90, VLOOKUP(E$2, Percentiles!$A$45:$I$59, 7, FALSE), perc_95, VLOOKUP(E$2, Percentiles!$A$45:$I$59, 8, FALSE), perc_85, perc_75 + (perc_90 - perc_75) * (2/3), converted_stat, '2K_Ratings'!E547, IF(bbgm_stat &gt;= perc_95, converted_stat * 3, IF(bbgm_stat &gt;= perc_90, converted_stat * 2, IF(bbgm_stat &gt;= perc_85, converted_stat * 1.5, converted_stat)))))</f>
        <v/>
      </c>
      <c r="F547" s="30" t="str">
        <f t="array" ref="F547">IF($A547="", "", LET(bbgm_stat, INDEX(Players!$A546:$P546, MATCH(F$2, Players!$A$1:$P$1, 0)), perc_75, VLOOKUP(F$2, Percentiles!$A$45:$I$59, 6, FALSE), perc_90, VLOOKUP(F$2, Percentiles!$A$45:$I$59, 7, FALSE), perc_95, VLOOKUP(F$2, Percentiles!$A$45:$I$59, 8, FALSE), perc_85, perc_75 + (perc_90 - perc_75) * (2/3), converted_stat, '2K_Ratings'!F547, IF(bbgm_stat &gt;= perc_95, converted_stat * 3, IF(bbgm_stat &gt;= perc_90, converted_stat * 2, IF(bbgm_stat &gt;= perc_85, converted_stat * 1.5, converted_stat)))))</f>
        <v/>
      </c>
      <c r="G547" s="30" t="str">
        <f t="array" ref="G547">IF($A547="", "", LET(bbgm_stat, INDEX(Players!$A546:$P546, MATCH(G$2, Players!$A$1:$P$1, 0)), perc_75, VLOOKUP(G$2, Percentiles!$A$45:$I$59, 6, FALSE), perc_90, VLOOKUP(G$2, Percentiles!$A$45:$I$59, 7, FALSE), perc_95, VLOOKUP(G$2, Percentiles!$A$45:$I$59, 8, FALSE), perc_85, perc_75 + (perc_90 - perc_75) * (2/3), converted_stat, '2K_Ratings'!G547, IF(bbgm_stat &gt;= perc_95, converted_stat * 3, IF(bbgm_stat &gt;= perc_90, converted_stat * 2, IF(bbgm_stat &gt;= perc_85, converted_stat * 1.5, converted_stat)))))</f>
        <v/>
      </c>
      <c r="H547" s="30" t="str">
        <f t="array" ref="H547">IF($A547="", "", LET(bbgm_stat, INDEX(Players!$A546:$P546, MATCH(H$2, Players!$A$1:$P$1, 0)), perc_75, VLOOKUP(H$2, Percentiles!$A$45:$I$59, 6, FALSE), perc_90, VLOOKUP(H$2, Percentiles!$A$45:$I$59, 7, FALSE), perc_95, VLOOKUP(H$2, Percentiles!$A$45:$I$59, 8, FALSE), perc_85, perc_75 + (perc_90 - perc_75) * (2/3), converted_stat, '2K_Ratings'!H547, IF(bbgm_stat &gt;= perc_95, converted_stat * 3, IF(bbgm_stat &gt;= perc_90, converted_stat * 2, IF(bbgm_stat &gt;= perc_85, converted_stat * 1.5, converted_stat)))))</f>
        <v/>
      </c>
      <c r="I547" s="30" t="str">
        <f t="array" ref="I547">IF($A547="", "", LET(bbgm_stat, INDEX(Players!$A546:$P546, MATCH(I$2, Players!$A$1:$P$1, 0)), perc_75, VLOOKUP(I$2, Percentiles!$A$45:$I$59, 6, FALSE), perc_90, VLOOKUP(I$2, Percentiles!$A$45:$I$59, 7, FALSE), perc_95, VLOOKUP(I$2, Percentiles!$A$45:$I$59, 8, FALSE), perc_85, perc_75 + (perc_90 - perc_75) * (2/3), converted_stat, '2K_Ratings'!I547, IF(bbgm_stat &gt;= perc_95, converted_stat * 3, IF(bbgm_stat &gt;= perc_90, converted_stat * 2, IF(bbgm_stat &gt;= perc_85, converted_stat * 1.5, converted_stat)))))</f>
        <v/>
      </c>
      <c r="J547" s="30" t="str">
        <f t="array" ref="J547">IF($A547="", "", LET(bbgm_stat, INDEX(Players!$A546:$P546, MATCH(J$2, Players!$A$1:$P$1, 0)), perc_75, VLOOKUP(J$2, Percentiles!$A$45:$I$59, 6, FALSE), perc_90, VLOOKUP(J$2, Percentiles!$A$45:$I$59, 7, FALSE), perc_95, VLOOKUP(J$2, Percentiles!$A$45:$I$59, 8, FALSE), perc_85, perc_75 + (perc_90 - perc_75) * (2/3), converted_stat, '2K_Ratings'!J547, IF(bbgm_stat &gt;= perc_95, converted_stat * 3, IF(bbgm_stat &gt;= perc_90, converted_stat * 2, IF(bbgm_stat &gt;= perc_85, converted_stat * 1.5, converted_stat)))))</f>
        <v/>
      </c>
      <c r="K547" s="30" t="str">
        <f t="array" ref="K547">IF($A547="", "", LET(bbgm_stat, INDEX(Players!$A546:$P546, MATCH(K$2, Players!$A$1:$P$1, 0)), perc_75, VLOOKUP(K$2, Percentiles!$A$45:$I$59, 6, FALSE), perc_90, VLOOKUP(K$2, Percentiles!$A$45:$I$59, 7, FALSE), perc_95, VLOOKUP(K$2, Percentiles!$A$45:$I$59, 8, FALSE), perc_85, perc_75 + (perc_90 - perc_75) * (2/3), converted_stat, '2K_Ratings'!K547, IF(bbgm_stat &gt;= perc_95, converted_stat * 3, IF(bbgm_stat &gt;= perc_90, converted_stat * 2, IF(bbgm_stat &gt;= perc_85, converted_stat * 1.5, converted_stat)))))</f>
        <v/>
      </c>
      <c r="L547" s="30" t="str">
        <f t="array" ref="L547">IF($A547="", "", LET(bbgm_stat, INDEX(Players!$A546:$P546, MATCH(L$2, Players!$A$1:$P$1, 0)), perc_75, VLOOKUP(L$2, Percentiles!$A$45:$I$59, 6, FALSE), perc_90, VLOOKUP(L$2, Percentiles!$A$45:$I$59, 7, FALSE), perc_95, VLOOKUP(L$2, Percentiles!$A$45:$I$59, 8, FALSE), perc_85, perc_75 + (perc_90 - perc_75) * (2/3), converted_stat, '2K_Ratings'!L547, IF(bbgm_stat &gt;= perc_95, converted_stat * 3, IF(bbgm_stat &gt;= perc_90, converted_stat * 2, IF(bbgm_stat &gt;= perc_85, converted_stat * 1.5, converted_stat)))))</f>
        <v/>
      </c>
      <c r="M547" s="30" t="str">
        <f t="array" ref="M547">IF($A547="", "", LET(bbgm_stat, INDEX(Players!$A546:$P546, MATCH(M$2, Players!$A$1:$P$1, 0)), perc_75, VLOOKUP(M$2, Percentiles!$A$45:$I$59, 6, FALSE), perc_90, VLOOKUP(M$2, Percentiles!$A$45:$I$59, 7, FALSE), perc_95, VLOOKUP(M$2, Percentiles!$A$45:$I$59, 8, FALSE), perc_85, perc_75 + (perc_90 - perc_75) * (2/3), converted_stat, '2K_Ratings'!M547, IF(bbgm_stat &gt;= perc_95, converted_stat * 3, IF(bbgm_stat &gt;= perc_90, converted_stat * 2, IF(bbgm_stat &gt;= perc_85, converted_stat * 1.5, converted_stat)))))</f>
        <v/>
      </c>
      <c r="N547" s="30" t="str">
        <f t="array" ref="N547">IF($A547="", "", LET(bbgm_stat, INDEX(Players!$A546:$P546, MATCH(N$2, Players!$A$1:$P$1, 0)), perc_75, VLOOKUP(N$2, Percentiles!$A$45:$I$59, 6, FALSE), perc_90, VLOOKUP(N$2, Percentiles!$A$45:$I$59, 7, FALSE), perc_95, VLOOKUP(N$2, Percentiles!$A$45:$I$59, 8, FALSE), perc_85, perc_75 + (perc_90 - perc_75) * (2/3), converted_stat, '2K_Ratings'!N547, IF(bbgm_stat &gt;= perc_95, converted_stat * 3, IF(bbgm_stat &gt;= perc_90, converted_stat * 2, IF(bbgm_stat &gt;= perc_85, converted_stat * 1.5, converted_stat)))))</f>
        <v/>
      </c>
      <c r="O547" s="30" t="str">
        <f t="array" ref="O547">IF($A547="", "", LET(bbgm_stat, INDEX(Players!$A546:$P546, MATCH(O$2, Players!$A$1:$P$1, 0)), perc_75, VLOOKUP(O$2, Percentiles!$A$45:$I$59, 6, FALSE), perc_90, VLOOKUP(O$2, Percentiles!$A$45:$I$59, 7, FALSE), perc_95, VLOOKUP(O$2, Percentiles!$A$45:$I$59, 8, FALSE), perc_85, perc_75 + (perc_90 - perc_75) * (2/3), converted_stat, '2K_Ratings'!O547, IF(bbgm_stat &gt;= perc_95, converted_stat * 3, IF(bbgm_stat &gt;= perc_90, converted_stat * 2, IF(bbgm_stat &gt;= perc_85, converted_stat * 1.5, converted_stat)))))</f>
        <v/>
      </c>
      <c r="P547" s="30" t="str">
        <f t="array" ref="P547">IF($A547="", "", LET(bbgm_stat, INDEX(Players!$A546:$P546, MATCH(P$2, Players!$A$1:$P$1, 0)), perc_75, VLOOKUP(P$2, Percentiles!$A$45:$I$59, 6, FALSE), perc_90, VLOOKUP(P$2, Percentiles!$A$45:$I$59, 7, FALSE), perc_95, VLOOKUP(P$2, Percentiles!$A$45:$I$59, 8, FALSE), perc_85, perc_75 + (perc_90 - perc_75) * (2/3), converted_stat, '2K_Ratings'!P547, IF(bbgm_stat &gt;= perc_95, converted_stat * 3, IF(bbgm_stat &gt;= perc_90, converted_stat * 2, IF(bbgm_stat &gt;= perc_85, converted_stat * 1.5, converted_stat)))))</f>
        <v/>
      </c>
      <c r="Q547" s="30" t="str">
        <f t="array" ref="Q547">IF($A547="", "", LET(bbgm_stat, INDEX(Players!$A546:$P546, MATCH(Q$2, Players!$A$1:$P$1, 0)), perc_75, VLOOKUP(Q$2, Percentiles!$A$45:$I$59, 6, FALSE), perc_90, VLOOKUP(Q$2, Percentiles!$A$45:$I$59, 7, FALSE), perc_95, VLOOKUP(Q$2, Percentiles!$A$45:$I$59, 8, FALSE), perc_85, perc_75 + (perc_90 - perc_75) * (2/3), converted_stat, '2K_Ratings'!Q547, IF(bbgm_stat &gt;= perc_95, converted_stat * 3, IF(bbgm_stat &gt;= perc_90, converted_stat * 2, IF(bbgm_stat &gt;= perc_85, converted_stat * 1.5, converted_stat)))))</f>
        <v/>
      </c>
      <c r="R547" s="30" t="str">
        <f t="array" ref="R547">IF($A547="", "", LET(bbgm_stat, INDEX(Players!$A546:$P546, MATCH(R$2, Players!$A$1:$P$1, 0)), perc_75, VLOOKUP(R$2, Percentiles!$A$45:$I$59, 6, FALSE), perc_90, VLOOKUP(R$2, Percentiles!$A$45:$I$59, 7, FALSE), perc_95, VLOOKUP(R$2, Percentiles!$A$45:$I$59, 8, FALSE), perc_85, perc_75 + (perc_90 - perc_75) * (2/3), converted_stat, '2K_Ratings'!R547, IF(bbgm_stat &gt;= perc_95, converted_stat * 3, IF(bbgm_stat &gt;= perc_90, converted_stat * 2, IF(bbgm_stat &gt;= perc_85, converted_stat * 1.5, converted_stat)))))</f>
        <v/>
      </c>
      <c r="S547" s="30" t="str">
        <f t="array" ref="S547">IF($A547="", "", LET(bbgm_stat, INDEX(Players!$A546:$P546, MATCH(S$2, Players!$A$1:$P$1, 0)), perc_75, VLOOKUP(S$2, Percentiles!$A$45:$I$59, 6, FALSE), perc_90, VLOOKUP(S$2, Percentiles!$A$45:$I$59, 7, FALSE), perc_95, VLOOKUP(S$2, Percentiles!$A$45:$I$59, 8, FALSE), perc_85, perc_75 + (perc_90 - perc_75) * (2/3), converted_stat, '2K_Ratings'!S547, IF(bbgm_stat &gt;= perc_95, converted_stat * 3, IF(bbgm_stat &gt;= perc_90, converted_stat * 2, IF(bbgm_stat &gt;= perc_85, converted_stat * 1.5, converted_stat)))))</f>
        <v/>
      </c>
      <c r="T547" s="30" t="str">
        <f t="array" ref="T547">IF($A547="", "", LET(bbgm_stat, INDEX(Players!$A546:$P546, MATCH(T$2, Players!$A$1:$P$1, 0)), perc_75, VLOOKUP(T$2, Percentiles!$A$45:$I$59, 6, FALSE), perc_90, VLOOKUP(T$2, Percentiles!$A$45:$I$59, 7, FALSE), perc_95, VLOOKUP(T$2, Percentiles!$A$45:$I$59, 8, FALSE), perc_85, perc_75 + (perc_90 - perc_75) * (2/3), converted_stat, '2K_Ratings'!T547, IF(bbgm_stat &gt;= perc_95, converted_stat * 3, IF(bbgm_stat &gt;= perc_90, converted_stat * 2, IF(bbgm_stat &gt;= perc_85, converted_stat * 1.5, converted_stat)))))</f>
        <v/>
      </c>
      <c r="U547" s="30" t="str">
        <f t="array" ref="U547">IF($A547="", "", LET(bbgm_stat, INDEX(Players!$A546:$P546, MATCH(U$2, Players!$A$1:$P$1, 0)), perc_75, VLOOKUP(U$2, Percentiles!$A$45:$I$59, 6, FALSE), perc_90, VLOOKUP(U$2, Percentiles!$A$45:$I$59, 7, FALSE), perc_95, VLOOKUP(U$2, Percentiles!$A$45:$I$59, 8, FALSE), perc_85, perc_75 + (perc_90 - perc_75) * (2/3), converted_stat, '2K_Ratings'!U547, IF(bbgm_stat &gt;= perc_95, converted_stat * 3, IF(bbgm_stat &gt;= perc_90, converted_stat * 2, IF(bbgm_stat &gt;= perc_85, converted_stat * 1.5, converted_stat)))))</f>
        <v/>
      </c>
      <c r="V547" s="30" t="str">
        <f t="array" ref="V547">IF($A547="", "", LET(bbgm_stat, INDEX(Players!$A546:$P546, MATCH(V$2, Players!$A$1:$P$1, 0)), perc_75, VLOOKUP(V$2, Percentiles!$A$45:$I$59, 6, FALSE), perc_90, VLOOKUP(V$2, Percentiles!$A$45:$I$59, 7, FALSE), perc_95, VLOOKUP(V$2, Percentiles!$A$45:$I$59, 8, FALSE), perc_85, perc_75 + (perc_90 - perc_75) * (2/3), converted_stat, '2K_Ratings'!V547, IF(bbgm_stat &gt;= perc_95, converted_stat * 3, IF(bbgm_stat &gt;= perc_90, converted_stat * 2, IF(bbgm_stat &gt;= perc_85, converted_stat * 1.5, converted_stat)))))</f>
        <v/>
      </c>
      <c r="W547" s="30" t="str">
        <f t="array" ref="W547">IF($A547="", "", LET(bbgm_stat, INDEX(Players!$A546:$P546, MATCH(W$2, Players!$A$1:$P$1, 0)), perc_75, VLOOKUP(W$2, Percentiles!$A$45:$I$59, 6, FALSE), perc_90, VLOOKUP(W$2, Percentiles!$A$45:$I$59, 7, FALSE), perc_95, VLOOKUP(W$2, Percentiles!$A$45:$I$59, 8, FALSE), perc_85, perc_75 + (perc_90 - perc_75) * (2/3), converted_stat, '2K_Ratings'!W547, IF(bbgm_stat &gt;= perc_95, converted_stat * 3, IF(bbgm_stat &gt;= perc_90, converted_stat * 2, IF(bbgm_stat &gt;= perc_85, converted_stat * 1.5, converted_stat)))))</f>
        <v/>
      </c>
    </row>
    <row r="548">
      <c r="A548" s="30"/>
      <c r="B548" s="30" t="str">
        <f t="array" ref="B548">IF($A548="", "", LET(bbgm_stat, INDEX(Players!$A547:$P547, MATCH(B$2, Players!$A$1:$P$1, 0)), perc_75, VLOOKUP(B$2, Percentiles!$A$45:$I$59, 6, FALSE), perc_90, VLOOKUP(B$2, Percentiles!$A$45:$I$59, 7, FALSE), perc_95, VLOOKUP(B$2, Percentiles!$A$45:$I$59, 8, FALSE), perc_85, perc_75 + (perc_90 - perc_75) * (2/3), converted_stat, '2K_Ratings'!B548, IF(bbgm_stat &gt;= perc_95, converted_stat * 3, IF(bbgm_stat &gt;= perc_90, converted_stat * 2, IF(bbgm_stat &gt;= perc_85, converted_stat * 1.5, converted_stat)))))</f>
        <v/>
      </c>
      <c r="C548" s="30" t="str">
        <f t="array" ref="C548">IF($A548="", "", LET(bbgm_stat, INDEX(Players!$A547:$P547, MATCH(C$2, Players!$A$1:$P$1, 0)), perc_75, VLOOKUP(C$2, Percentiles!$A$45:$I$59, 6, FALSE), perc_90, VLOOKUP(C$2, Percentiles!$A$45:$I$59, 7, FALSE), perc_95, VLOOKUP(C$2, Percentiles!$A$45:$I$59, 8, FALSE), perc_85, perc_75 + (perc_90 - perc_75) * (2/3), converted_stat, '2K_Ratings'!C548, IF(bbgm_stat &gt;= perc_95, converted_stat * 3, IF(bbgm_stat &gt;= perc_90, converted_stat * 2, IF(bbgm_stat &gt;= perc_85, converted_stat * 1.5, converted_stat)))))</f>
        <v/>
      </c>
      <c r="D548" s="30" t="str">
        <f t="array" ref="D548">IF($A548="", "", LET(bbgm_stat, INDEX(Players!$A547:$P547, MATCH(D$2, Players!$A$1:$P$1, 0)), perc_75, VLOOKUP(D$2, Percentiles!$A$45:$I$59, 6, FALSE), perc_90, VLOOKUP(D$2, Percentiles!$A$45:$I$59, 7, FALSE), perc_95, VLOOKUP(D$2, Percentiles!$A$45:$I$59, 8, FALSE), perc_85, perc_75 + (perc_90 - perc_75) * (2/3), converted_stat, '2K_Ratings'!D548, IF(bbgm_stat &gt;= perc_95, converted_stat * 3, IF(bbgm_stat &gt;= perc_90, converted_stat * 2, IF(bbgm_stat &gt;= perc_85, converted_stat * 1.5, converted_stat)))))</f>
        <v/>
      </c>
      <c r="E548" s="30" t="str">
        <f t="array" ref="E548">IF($A548="", "", LET(bbgm_stat, INDEX(Players!$A547:$P547, MATCH(E$2, Players!$A$1:$P$1, 0)), perc_75, VLOOKUP(E$2, Percentiles!$A$45:$I$59, 6, FALSE), perc_90, VLOOKUP(E$2, Percentiles!$A$45:$I$59, 7, FALSE), perc_95, VLOOKUP(E$2, Percentiles!$A$45:$I$59, 8, FALSE), perc_85, perc_75 + (perc_90 - perc_75) * (2/3), converted_stat, '2K_Ratings'!E548, IF(bbgm_stat &gt;= perc_95, converted_stat * 3, IF(bbgm_stat &gt;= perc_90, converted_stat * 2, IF(bbgm_stat &gt;= perc_85, converted_stat * 1.5, converted_stat)))))</f>
        <v/>
      </c>
      <c r="F548" s="30" t="str">
        <f t="array" ref="F548">IF($A548="", "", LET(bbgm_stat, INDEX(Players!$A547:$P547, MATCH(F$2, Players!$A$1:$P$1, 0)), perc_75, VLOOKUP(F$2, Percentiles!$A$45:$I$59, 6, FALSE), perc_90, VLOOKUP(F$2, Percentiles!$A$45:$I$59, 7, FALSE), perc_95, VLOOKUP(F$2, Percentiles!$A$45:$I$59, 8, FALSE), perc_85, perc_75 + (perc_90 - perc_75) * (2/3), converted_stat, '2K_Ratings'!F548, IF(bbgm_stat &gt;= perc_95, converted_stat * 3, IF(bbgm_stat &gt;= perc_90, converted_stat * 2, IF(bbgm_stat &gt;= perc_85, converted_stat * 1.5, converted_stat)))))</f>
        <v/>
      </c>
      <c r="G548" s="30" t="str">
        <f t="array" ref="G548">IF($A548="", "", LET(bbgm_stat, INDEX(Players!$A547:$P547, MATCH(G$2, Players!$A$1:$P$1, 0)), perc_75, VLOOKUP(G$2, Percentiles!$A$45:$I$59, 6, FALSE), perc_90, VLOOKUP(G$2, Percentiles!$A$45:$I$59, 7, FALSE), perc_95, VLOOKUP(G$2, Percentiles!$A$45:$I$59, 8, FALSE), perc_85, perc_75 + (perc_90 - perc_75) * (2/3), converted_stat, '2K_Ratings'!G548, IF(bbgm_stat &gt;= perc_95, converted_stat * 3, IF(bbgm_stat &gt;= perc_90, converted_stat * 2, IF(bbgm_stat &gt;= perc_85, converted_stat * 1.5, converted_stat)))))</f>
        <v/>
      </c>
      <c r="H548" s="30" t="str">
        <f t="array" ref="H548">IF($A548="", "", LET(bbgm_stat, INDEX(Players!$A547:$P547, MATCH(H$2, Players!$A$1:$P$1, 0)), perc_75, VLOOKUP(H$2, Percentiles!$A$45:$I$59, 6, FALSE), perc_90, VLOOKUP(H$2, Percentiles!$A$45:$I$59, 7, FALSE), perc_95, VLOOKUP(H$2, Percentiles!$A$45:$I$59, 8, FALSE), perc_85, perc_75 + (perc_90 - perc_75) * (2/3), converted_stat, '2K_Ratings'!H548, IF(bbgm_stat &gt;= perc_95, converted_stat * 3, IF(bbgm_stat &gt;= perc_90, converted_stat * 2, IF(bbgm_stat &gt;= perc_85, converted_stat * 1.5, converted_stat)))))</f>
        <v/>
      </c>
      <c r="I548" s="30" t="str">
        <f t="array" ref="I548">IF($A548="", "", LET(bbgm_stat, INDEX(Players!$A547:$P547, MATCH(I$2, Players!$A$1:$P$1, 0)), perc_75, VLOOKUP(I$2, Percentiles!$A$45:$I$59, 6, FALSE), perc_90, VLOOKUP(I$2, Percentiles!$A$45:$I$59, 7, FALSE), perc_95, VLOOKUP(I$2, Percentiles!$A$45:$I$59, 8, FALSE), perc_85, perc_75 + (perc_90 - perc_75) * (2/3), converted_stat, '2K_Ratings'!I548, IF(bbgm_stat &gt;= perc_95, converted_stat * 3, IF(bbgm_stat &gt;= perc_90, converted_stat * 2, IF(bbgm_stat &gt;= perc_85, converted_stat * 1.5, converted_stat)))))</f>
        <v/>
      </c>
      <c r="J548" s="30" t="str">
        <f t="array" ref="J548">IF($A548="", "", LET(bbgm_stat, INDEX(Players!$A547:$P547, MATCH(J$2, Players!$A$1:$P$1, 0)), perc_75, VLOOKUP(J$2, Percentiles!$A$45:$I$59, 6, FALSE), perc_90, VLOOKUP(J$2, Percentiles!$A$45:$I$59, 7, FALSE), perc_95, VLOOKUP(J$2, Percentiles!$A$45:$I$59, 8, FALSE), perc_85, perc_75 + (perc_90 - perc_75) * (2/3), converted_stat, '2K_Ratings'!J548, IF(bbgm_stat &gt;= perc_95, converted_stat * 3, IF(bbgm_stat &gt;= perc_90, converted_stat * 2, IF(bbgm_stat &gt;= perc_85, converted_stat * 1.5, converted_stat)))))</f>
        <v/>
      </c>
      <c r="K548" s="30" t="str">
        <f t="array" ref="K548">IF($A548="", "", LET(bbgm_stat, INDEX(Players!$A547:$P547, MATCH(K$2, Players!$A$1:$P$1, 0)), perc_75, VLOOKUP(K$2, Percentiles!$A$45:$I$59, 6, FALSE), perc_90, VLOOKUP(K$2, Percentiles!$A$45:$I$59, 7, FALSE), perc_95, VLOOKUP(K$2, Percentiles!$A$45:$I$59, 8, FALSE), perc_85, perc_75 + (perc_90 - perc_75) * (2/3), converted_stat, '2K_Ratings'!K548, IF(bbgm_stat &gt;= perc_95, converted_stat * 3, IF(bbgm_stat &gt;= perc_90, converted_stat * 2, IF(bbgm_stat &gt;= perc_85, converted_stat * 1.5, converted_stat)))))</f>
        <v/>
      </c>
      <c r="L548" s="30" t="str">
        <f t="array" ref="L548">IF($A548="", "", LET(bbgm_stat, INDEX(Players!$A547:$P547, MATCH(L$2, Players!$A$1:$P$1, 0)), perc_75, VLOOKUP(L$2, Percentiles!$A$45:$I$59, 6, FALSE), perc_90, VLOOKUP(L$2, Percentiles!$A$45:$I$59, 7, FALSE), perc_95, VLOOKUP(L$2, Percentiles!$A$45:$I$59, 8, FALSE), perc_85, perc_75 + (perc_90 - perc_75) * (2/3), converted_stat, '2K_Ratings'!L548, IF(bbgm_stat &gt;= perc_95, converted_stat * 3, IF(bbgm_stat &gt;= perc_90, converted_stat * 2, IF(bbgm_stat &gt;= perc_85, converted_stat * 1.5, converted_stat)))))</f>
        <v/>
      </c>
      <c r="M548" s="30" t="str">
        <f t="array" ref="M548">IF($A548="", "", LET(bbgm_stat, INDEX(Players!$A547:$P547, MATCH(M$2, Players!$A$1:$P$1, 0)), perc_75, VLOOKUP(M$2, Percentiles!$A$45:$I$59, 6, FALSE), perc_90, VLOOKUP(M$2, Percentiles!$A$45:$I$59, 7, FALSE), perc_95, VLOOKUP(M$2, Percentiles!$A$45:$I$59, 8, FALSE), perc_85, perc_75 + (perc_90 - perc_75) * (2/3), converted_stat, '2K_Ratings'!M548, IF(bbgm_stat &gt;= perc_95, converted_stat * 3, IF(bbgm_stat &gt;= perc_90, converted_stat * 2, IF(bbgm_stat &gt;= perc_85, converted_stat * 1.5, converted_stat)))))</f>
        <v/>
      </c>
      <c r="N548" s="30" t="str">
        <f t="array" ref="N548">IF($A548="", "", LET(bbgm_stat, INDEX(Players!$A547:$P547, MATCH(N$2, Players!$A$1:$P$1, 0)), perc_75, VLOOKUP(N$2, Percentiles!$A$45:$I$59, 6, FALSE), perc_90, VLOOKUP(N$2, Percentiles!$A$45:$I$59, 7, FALSE), perc_95, VLOOKUP(N$2, Percentiles!$A$45:$I$59, 8, FALSE), perc_85, perc_75 + (perc_90 - perc_75) * (2/3), converted_stat, '2K_Ratings'!N548, IF(bbgm_stat &gt;= perc_95, converted_stat * 3, IF(bbgm_stat &gt;= perc_90, converted_stat * 2, IF(bbgm_stat &gt;= perc_85, converted_stat * 1.5, converted_stat)))))</f>
        <v/>
      </c>
      <c r="O548" s="30" t="str">
        <f t="array" ref="O548">IF($A548="", "", LET(bbgm_stat, INDEX(Players!$A547:$P547, MATCH(O$2, Players!$A$1:$P$1, 0)), perc_75, VLOOKUP(O$2, Percentiles!$A$45:$I$59, 6, FALSE), perc_90, VLOOKUP(O$2, Percentiles!$A$45:$I$59, 7, FALSE), perc_95, VLOOKUP(O$2, Percentiles!$A$45:$I$59, 8, FALSE), perc_85, perc_75 + (perc_90 - perc_75) * (2/3), converted_stat, '2K_Ratings'!O548, IF(bbgm_stat &gt;= perc_95, converted_stat * 3, IF(bbgm_stat &gt;= perc_90, converted_stat * 2, IF(bbgm_stat &gt;= perc_85, converted_stat * 1.5, converted_stat)))))</f>
        <v/>
      </c>
      <c r="P548" s="30" t="str">
        <f t="array" ref="P548">IF($A548="", "", LET(bbgm_stat, INDEX(Players!$A547:$P547, MATCH(P$2, Players!$A$1:$P$1, 0)), perc_75, VLOOKUP(P$2, Percentiles!$A$45:$I$59, 6, FALSE), perc_90, VLOOKUP(P$2, Percentiles!$A$45:$I$59, 7, FALSE), perc_95, VLOOKUP(P$2, Percentiles!$A$45:$I$59, 8, FALSE), perc_85, perc_75 + (perc_90 - perc_75) * (2/3), converted_stat, '2K_Ratings'!P548, IF(bbgm_stat &gt;= perc_95, converted_stat * 3, IF(bbgm_stat &gt;= perc_90, converted_stat * 2, IF(bbgm_stat &gt;= perc_85, converted_stat * 1.5, converted_stat)))))</f>
        <v/>
      </c>
      <c r="Q548" s="30" t="str">
        <f t="array" ref="Q548">IF($A548="", "", LET(bbgm_stat, INDEX(Players!$A547:$P547, MATCH(Q$2, Players!$A$1:$P$1, 0)), perc_75, VLOOKUP(Q$2, Percentiles!$A$45:$I$59, 6, FALSE), perc_90, VLOOKUP(Q$2, Percentiles!$A$45:$I$59, 7, FALSE), perc_95, VLOOKUP(Q$2, Percentiles!$A$45:$I$59, 8, FALSE), perc_85, perc_75 + (perc_90 - perc_75) * (2/3), converted_stat, '2K_Ratings'!Q548, IF(bbgm_stat &gt;= perc_95, converted_stat * 3, IF(bbgm_stat &gt;= perc_90, converted_stat * 2, IF(bbgm_stat &gt;= perc_85, converted_stat * 1.5, converted_stat)))))</f>
        <v/>
      </c>
      <c r="R548" s="30" t="str">
        <f t="array" ref="R548">IF($A548="", "", LET(bbgm_stat, INDEX(Players!$A547:$P547, MATCH(R$2, Players!$A$1:$P$1, 0)), perc_75, VLOOKUP(R$2, Percentiles!$A$45:$I$59, 6, FALSE), perc_90, VLOOKUP(R$2, Percentiles!$A$45:$I$59, 7, FALSE), perc_95, VLOOKUP(R$2, Percentiles!$A$45:$I$59, 8, FALSE), perc_85, perc_75 + (perc_90 - perc_75) * (2/3), converted_stat, '2K_Ratings'!R548, IF(bbgm_stat &gt;= perc_95, converted_stat * 3, IF(bbgm_stat &gt;= perc_90, converted_stat * 2, IF(bbgm_stat &gt;= perc_85, converted_stat * 1.5, converted_stat)))))</f>
        <v/>
      </c>
      <c r="S548" s="30" t="str">
        <f t="array" ref="S548">IF($A548="", "", LET(bbgm_stat, INDEX(Players!$A547:$P547, MATCH(S$2, Players!$A$1:$P$1, 0)), perc_75, VLOOKUP(S$2, Percentiles!$A$45:$I$59, 6, FALSE), perc_90, VLOOKUP(S$2, Percentiles!$A$45:$I$59, 7, FALSE), perc_95, VLOOKUP(S$2, Percentiles!$A$45:$I$59, 8, FALSE), perc_85, perc_75 + (perc_90 - perc_75) * (2/3), converted_stat, '2K_Ratings'!S548, IF(bbgm_stat &gt;= perc_95, converted_stat * 3, IF(bbgm_stat &gt;= perc_90, converted_stat * 2, IF(bbgm_stat &gt;= perc_85, converted_stat * 1.5, converted_stat)))))</f>
        <v/>
      </c>
      <c r="T548" s="30" t="str">
        <f t="array" ref="T548">IF($A548="", "", LET(bbgm_stat, INDEX(Players!$A547:$P547, MATCH(T$2, Players!$A$1:$P$1, 0)), perc_75, VLOOKUP(T$2, Percentiles!$A$45:$I$59, 6, FALSE), perc_90, VLOOKUP(T$2, Percentiles!$A$45:$I$59, 7, FALSE), perc_95, VLOOKUP(T$2, Percentiles!$A$45:$I$59, 8, FALSE), perc_85, perc_75 + (perc_90 - perc_75) * (2/3), converted_stat, '2K_Ratings'!T548, IF(bbgm_stat &gt;= perc_95, converted_stat * 3, IF(bbgm_stat &gt;= perc_90, converted_stat * 2, IF(bbgm_stat &gt;= perc_85, converted_stat * 1.5, converted_stat)))))</f>
        <v/>
      </c>
      <c r="U548" s="30" t="str">
        <f t="array" ref="U548">IF($A548="", "", LET(bbgm_stat, INDEX(Players!$A547:$P547, MATCH(U$2, Players!$A$1:$P$1, 0)), perc_75, VLOOKUP(U$2, Percentiles!$A$45:$I$59, 6, FALSE), perc_90, VLOOKUP(U$2, Percentiles!$A$45:$I$59, 7, FALSE), perc_95, VLOOKUP(U$2, Percentiles!$A$45:$I$59, 8, FALSE), perc_85, perc_75 + (perc_90 - perc_75) * (2/3), converted_stat, '2K_Ratings'!U548, IF(bbgm_stat &gt;= perc_95, converted_stat * 3, IF(bbgm_stat &gt;= perc_90, converted_stat * 2, IF(bbgm_stat &gt;= perc_85, converted_stat * 1.5, converted_stat)))))</f>
        <v/>
      </c>
      <c r="V548" s="30" t="str">
        <f t="array" ref="V548">IF($A548="", "", LET(bbgm_stat, INDEX(Players!$A547:$P547, MATCH(V$2, Players!$A$1:$P$1, 0)), perc_75, VLOOKUP(V$2, Percentiles!$A$45:$I$59, 6, FALSE), perc_90, VLOOKUP(V$2, Percentiles!$A$45:$I$59, 7, FALSE), perc_95, VLOOKUP(V$2, Percentiles!$A$45:$I$59, 8, FALSE), perc_85, perc_75 + (perc_90 - perc_75) * (2/3), converted_stat, '2K_Ratings'!V548, IF(bbgm_stat &gt;= perc_95, converted_stat * 3, IF(bbgm_stat &gt;= perc_90, converted_stat * 2, IF(bbgm_stat &gt;= perc_85, converted_stat * 1.5, converted_stat)))))</f>
        <v/>
      </c>
      <c r="W548" s="30" t="str">
        <f t="array" ref="W548">IF($A548="", "", LET(bbgm_stat, INDEX(Players!$A547:$P547, MATCH(W$2, Players!$A$1:$P$1, 0)), perc_75, VLOOKUP(W$2, Percentiles!$A$45:$I$59, 6, FALSE), perc_90, VLOOKUP(W$2, Percentiles!$A$45:$I$59, 7, FALSE), perc_95, VLOOKUP(W$2, Percentiles!$A$45:$I$59, 8, FALSE), perc_85, perc_75 + (perc_90 - perc_75) * (2/3), converted_stat, '2K_Ratings'!W548, IF(bbgm_stat &gt;= perc_95, converted_stat * 3, IF(bbgm_stat &gt;= perc_90, converted_stat * 2, IF(bbgm_stat &gt;= perc_85, converted_stat * 1.5, converted_stat)))))</f>
        <v/>
      </c>
    </row>
    <row r="549">
      <c r="A549" s="30"/>
      <c r="B549" s="30" t="str">
        <f t="array" ref="B549">IF($A549="", "", LET(bbgm_stat, INDEX(Players!$A548:$P548, MATCH(B$2, Players!$A$1:$P$1, 0)), perc_75, VLOOKUP(B$2, Percentiles!$A$45:$I$59, 6, FALSE), perc_90, VLOOKUP(B$2, Percentiles!$A$45:$I$59, 7, FALSE), perc_95, VLOOKUP(B$2, Percentiles!$A$45:$I$59, 8, FALSE), perc_85, perc_75 + (perc_90 - perc_75) * (2/3), converted_stat, '2K_Ratings'!B549, IF(bbgm_stat &gt;= perc_95, converted_stat * 3, IF(bbgm_stat &gt;= perc_90, converted_stat * 2, IF(bbgm_stat &gt;= perc_85, converted_stat * 1.5, converted_stat)))))</f>
        <v/>
      </c>
      <c r="C549" s="30" t="str">
        <f t="array" ref="C549">IF($A549="", "", LET(bbgm_stat, INDEX(Players!$A548:$P548, MATCH(C$2, Players!$A$1:$P$1, 0)), perc_75, VLOOKUP(C$2, Percentiles!$A$45:$I$59, 6, FALSE), perc_90, VLOOKUP(C$2, Percentiles!$A$45:$I$59, 7, FALSE), perc_95, VLOOKUP(C$2, Percentiles!$A$45:$I$59, 8, FALSE), perc_85, perc_75 + (perc_90 - perc_75) * (2/3), converted_stat, '2K_Ratings'!C549, IF(bbgm_stat &gt;= perc_95, converted_stat * 3, IF(bbgm_stat &gt;= perc_90, converted_stat * 2, IF(bbgm_stat &gt;= perc_85, converted_stat * 1.5, converted_stat)))))</f>
        <v/>
      </c>
      <c r="D549" s="30" t="str">
        <f t="array" ref="D549">IF($A549="", "", LET(bbgm_stat, INDEX(Players!$A548:$P548, MATCH(D$2, Players!$A$1:$P$1, 0)), perc_75, VLOOKUP(D$2, Percentiles!$A$45:$I$59, 6, FALSE), perc_90, VLOOKUP(D$2, Percentiles!$A$45:$I$59, 7, FALSE), perc_95, VLOOKUP(D$2, Percentiles!$A$45:$I$59, 8, FALSE), perc_85, perc_75 + (perc_90 - perc_75) * (2/3), converted_stat, '2K_Ratings'!D549, IF(bbgm_stat &gt;= perc_95, converted_stat * 3, IF(bbgm_stat &gt;= perc_90, converted_stat * 2, IF(bbgm_stat &gt;= perc_85, converted_stat * 1.5, converted_stat)))))</f>
        <v/>
      </c>
      <c r="E549" s="30" t="str">
        <f t="array" ref="E549">IF($A549="", "", LET(bbgm_stat, INDEX(Players!$A548:$P548, MATCH(E$2, Players!$A$1:$P$1, 0)), perc_75, VLOOKUP(E$2, Percentiles!$A$45:$I$59, 6, FALSE), perc_90, VLOOKUP(E$2, Percentiles!$A$45:$I$59, 7, FALSE), perc_95, VLOOKUP(E$2, Percentiles!$A$45:$I$59, 8, FALSE), perc_85, perc_75 + (perc_90 - perc_75) * (2/3), converted_stat, '2K_Ratings'!E549, IF(bbgm_stat &gt;= perc_95, converted_stat * 3, IF(bbgm_stat &gt;= perc_90, converted_stat * 2, IF(bbgm_stat &gt;= perc_85, converted_stat * 1.5, converted_stat)))))</f>
        <v/>
      </c>
      <c r="F549" s="30" t="str">
        <f t="array" ref="F549">IF($A549="", "", LET(bbgm_stat, INDEX(Players!$A548:$P548, MATCH(F$2, Players!$A$1:$P$1, 0)), perc_75, VLOOKUP(F$2, Percentiles!$A$45:$I$59, 6, FALSE), perc_90, VLOOKUP(F$2, Percentiles!$A$45:$I$59, 7, FALSE), perc_95, VLOOKUP(F$2, Percentiles!$A$45:$I$59, 8, FALSE), perc_85, perc_75 + (perc_90 - perc_75) * (2/3), converted_stat, '2K_Ratings'!F549, IF(bbgm_stat &gt;= perc_95, converted_stat * 3, IF(bbgm_stat &gt;= perc_90, converted_stat * 2, IF(bbgm_stat &gt;= perc_85, converted_stat * 1.5, converted_stat)))))</f>
        <v/>
      </c>
      <c r="G549" s="30" t="str">
        <f t="array" ref="G549">IF($A549="", "", LET(bbgm_stat, INDEX(Players!$A548:$P548, MATCH(G$2, Players!$A$1:$P$1, 0)), perc_75, VLOOKUP(G$2, Percentiles!$A$45:$I$59, 6, FALSE), perc_90, VLOOKUP(G$2, Percentiles!$A$45:$I$59, 7, FALSE), perc_95, VLOOKUP(G$2, Percentiles!$A$45:$I$59, 8, FALSE), perc_85, perc_75 + (perc_90 - perc_75) * (2/3), converted_stat, '2K_Ratings'!G549, IF(bbgm_stat &gt;= perc_95, converted_stat * 3, IF(bbgm_stat &gt;= perc_90, converted_stat * 2, IF(bbgm_stat &gt;= perc_85, converted_stat * 1.5, converted_stat)))))</f>
        <v/>
      </c>
      <c r="H549" s="30" t="str">
        <f t="array" ref="H549">IF($A549="", "", LET(bbgm_stat, INDEX(Players!$A548:$P548, MATCH(H$2, Players!$A$1:$P$1, 0)), perc_75, VLOOKUP(H$2, Percentiles!$A$45:$I$59, 6, FALSE), perc_90, VLOOKUP(H$2, Percentiles!$A$45:$I$59, 7, FALSE), perc_95, VLOOKUP(H$2, Percentiles!$A$45:$I$59, 8, FALSE), perc_85, perc_75 + (perc_90 - perc_75) * (2/3), converted_stat, '2K_Ratings'!H549, IF(bbgm_stat &gt;= perc_95, converted_stat * 3, IF(bbgm_stat &gt;= perc_90, converted_stat * 2, IF(bbgm_stat &gt;= perc_85, converted_stat * 1.5, converted_stat)))))</f>
        <v/>
      </c>
      <c r="I549" s="30" t="str">
        <f t="array" ref="I549">IF($A549="", "", LET(bbgm_stat, INDEX(Players!$A548:$P548, MATCH(I$2, Players!$A$1:$P$1, 0)), perc_75, VLOOKUP(I$2, Percentiles!$A$45:$I$59, 6, FALSE), perc_90, VLOOKUP(I$2, Percentiles!$A$45:$I$59, 7, FALSE), perc_95, VLOOKUP(I$2, Percentiles!$A$45:$I$59, 8, FALSE), perc_85, perc_75 + (perc_90 - perc_75) * (2/3), converted_stat, '2K_Ratings'!I549, IF(bbgm_stat &gt;= perc_95, converted_stat * 3, IF(bbgm_stat &gt;= perc_90, converted_stat * 2, IF(bbgm_stat &gt;= perc_85, converted_stat * 1.5, converted_stat)))))</f>
        <v/>
      </c>
      <c r="J549" s="30" t="str">
        <f t="array" ref="J549">IF($A549="", "", LET(bbgm_stat, INDEX(Players!$A548:$P548, MATCH(J$2, Players!$A$1:$P$1, 0)), perc_75, VLOOKUP(J$2, Percentiles!$A$45:$I$59, 6, FALSE), perc_90, VLOOKUP(J$2, Percentiles!$A$45:$I$59, 7, FALSE), perc_95, VLOOKUP(J$2, Percentiles!$A$45:$I$59, 8, FALSE), perc_85, perc_75 + (perc_90 - perc_75) * (2/3), converted_stat, '2K_Ratings'!J549, IF(bbgm_stat &gt;= perc_95, converted_stat * 3, IF(bbgm_stat &gt;= perc_90, converted_stat * 2, IF(bbgm_stat &gt;= perc_85, converted_stat * 1.5, converted_stat)))))</f>
        <v/>
      </c>
      <c r="K549" s="30" t="str">
        <f t="array" ref="K549">IF($A549="", "", LET(bbgm_stat, INDEX(Players!$A548:$P548, MATCH(K$2, Players!$A$1:$P$1, 0)), perc_75, VLOOKUP(K$2, Percentiles!$A$45:$I$59, 6, FALSE), perc_90, VLOOKUP(K$2, Percentiles!$A$45:$I$59, 7, FALSE), perc_95, VLOOKUP(K$2, Percentiles!$A$45:$I$59, 8, FALSE), perc_85, perc_75 + (perc_90 - perc_75) * (2/3), converted_stat, '2K_Ratings'!K549, IF(bbgm_stat &gt;= perc_95, converted_stat * 3, IF(bbgm_stat &gt;= perc_90, converted_stat * 2, IF(bbgm_stat &gt;= perc_85, converted_stat * 1.5, converted_stat)))))</f>
        <v/>
      </c>
      <c r="L549" s="30" t="str">
        <f t="array" ref="L549">IF($A549="", "", LET(bbgm_stat, INDEX(Players!$A548:$P548, MATCH(L$2, Players!$A$1:$P$1, 0)), perc_75, VLOOKUP(L$2, Percentiles!$A$45:$I$59, 6, FALSE), perc_90, VLOOKUP(L$2, Percentiles!$A$45:$I$59, 7, FALSE), perc_95, VLOOKUP(L$2, Percentiles!$A$45:$I$59, 8, FALSE), perc_85, perc_75 + (perc_90 - perc_75) * (2/3), converted_stat, '2K_Ratings'!L549, IF(bbgm_stat &gt;= perc_95, converted_stat * 3, IF(bbgm_stat &gt;= perc_90, converted_stat * 2, IF(bbgm_stat &gt;= perc_85, converted_stat * 1.5, converted_stat)))))</f>
        <v/>
      </c>
      <c r="M549" s="30" t="str">
        <f t="array" ref="M549">IF($A549="", "", LET(bbgm_stat, INDEX(Players!$A548:$P548, MATCH(M$2, Players!$A$1:$P$1, 0)), perc_75, VLOOKUP(M$2, Percentiles!$A$45:$I$59, 6, FALSE), perc_90, VLOOKUP(M$2, Percentiles!$A$45:$I$59, 7, FALSE), perc_95, VLOOKUP(M$2, Percentiles!$A$45:$I$59, 8, FALSE), perc_85, perc_75 + (perc_90 - perc_75) * (2/3), converted_stat, '2K_Ratings'!M549, IF(bbgm_stat &gt;= perc_95, converted_stat * 3, IF(bbgm_stat &gt;= perc_90, converted_stat * 2, IF(bbgm_stat &gt;= perc_85, converted_stat * 1.5, converted_stat)))))</f>
        <v/>
      </c>
      <c r="N549" s="30" t="str">
        <f t="array" ref="N549">IF($A549="", "", LET(bbgm_stat, INDEX(Players!$A548:$P548, MATCH(N$2, Players!$A$1:$P$1, 0)), perc_75, VLOOKUP(N$2, Percentiles!$A$45:$I$59, 6, FALSE), perc_90, VLOOKUP(N$2, Percentiles!$A$45:$I$59, 7, FALSE), perc_95, VLOOKUP(N$2, Percentiles!$A$45:$I$59, 8, FALSE), perc_85, perc_75 + (perc_90 - perc_75) * (2/3), converted_stat, '2K_Ratings'!N549, IF(bbgm_stat &gt;= perc_95, converted_stat * 3, IF(bbgm_stat &gt;= perc_90, converted_stat * 2, IF(bbgm_stat &gt;= perc_85, converted_stat * 1.5, converted_stat)))))</f>
        <v/>
      </c>
      <c r="O549" s="30" t="str">
        <f t="array" ref="O549">IF($A549="", "", LET(bbgm_stat, INDEX(Players!$A548:$P548, MATCH(O$2, Players!$A$1:$P$1, 0)), perc_75, VLOOKUP(O$2, Percentiles!$A$45:$I$59, 6, FALSE), perc_90, VLOOKUP(O$2, Percentiles!$A$45:$I$59, 7, FALSE), perc_95, VLOOKUP(O$2, Percentiles!$A$45:$I$59, 8, FALSE), perc_85, perc_75 + (perc_90 - perc_75) * (2/3), converted_stat, '2K_Ratings'!O549, IF(bbgm_stat &gt;= perc_95, converted_stat * 3, IF(bbgm_stat &gt;= perc_90, converted_stat * 2, IF(bbgm_stat &gt;= perc_85, converted_stat * 1.5, converted_stat)))))</f>
        <v/>
      </c>
      <c r="P549" s="30" t="str">
        <f t="array" ref="P549">IF($A549="", "", LET(bbgm_stat, INDEX(Players!$A548:$P548, MATCH(P$2, Players!$A$1:$P$1, 0)), perc_75, VLOOKUP(P$2, Percentiles!$A$45:$I$59, 6, FALSE), perc_90, VLOOKUP(P$2, Percentiles!$A$45:$I$59, 7, FALSE), perc_95, VLOOKUP(P$2, Percentiles!$A$45:$I$59, 8, FALSE), perc_85, perc_75 + (perc_90 - perc_75) * (2/3), converted_stat, '2K_Ratings'!P549, IF(bbgm_stat &gt;= perc_95, converted_stat * 3, IF(bbgm_stat &gt;= perc_90, converted_stat * 2, IF(bbgm_stat &gt;= perc_85, converted_stat * 1.5, converted_stat)))))</f>
        <v/>
      </c>
      <c r="Q549" s="30" t="str">
        <f t="array" ref="Q549">IF($A549="", "", LET(bbgm_stat, INDEX(Players!$A548:$P548, MATCH(Q$2, Players!$A$1:$P$1, 0)), perc_75, VLOOKUP(Q$2, Percentiles!$A$45:$I$59, 6, FALSE), perc_90, VLOOKUP(Q$2, Percentiles!$A$45:$I$59, 7, FALSE), perc_95, VLOOKUP(Q$2, Percentiles!$A$45:$I$59, 8, FALSE), perc_85, perc_75 + (perc_90 - perc_75) * (2/3), converted_stat, '2K_Ratings'!Q549, IF(bbgm_stat &gt;= perc_95, converted_stat * 3, IF(bbgm_stat &gt;= perc_90, converted_stat * 2, IF(bbgm_stat &gt;= perc_85, converted_stat * 1.5, converted_stat)))))</f>
        <v/>
      </c>
      <c r="R549" s="30" t="str">
        <f t="array" ref="R549">IF($A549="", "", LET(bbgm_stat, INDEX(Players!$A548:$P548, MATCH(R$2, Players!$A$1:$P$1, 0)), perc_75, VLOOKUP(R$2, Percentiles!$A$45:$I$59, 6, FALSE), perc_90, VLOOKUP(R$2, Percentiles!$A$45:$I$59, 7, FALSE), perc_95, VLOOKUP(R$2, Percentiles!$A$45:$I$59, 8, FALSE), perc_85, perc_75 + (perc_90 - perc_75) * (2/3), converted_stat, '2K_Ratings'!R549, IF(bbgm_stat &gt;= perc_95, converted_stat * 3, IF(bbgm_stat &gt;= perc_90, converted_stat * 2, IF(bbgm_stat &gt;= perc_85, converted_stat * 1.5, converted_stat)))))</f>
        <v/>
      </c>
      <c r="S549" s="30" t="str">
        <f t="array" ref="S549">IF($A549="", "", LET(bbgm_stat, INDEX(Players!$A548:$P548, MATCH(S$2, Players!$A$1:$P$1, 0)), perc_75, VLOOKUP(S$2, Percentiles!$A$45:$I$59, 6, FALSE), perc_90, VLOOKUP(S$2, Percentiles!$A$45:$I$59, 7, FALSE), perc_95, VLOOKUP(S$2, Percentiles!$A$45:$I$59, 8, FALSE), perc_85, perc_75 + (perc_90 - perc_75) * (2/3), converted_stat, '2K_Ratings'!S549, IF(bbgm_stat &gt;= perc_95, converted_stat * 3, IF(bbgm_stat &gt;= perc_90, converted_stat * 2, IF(bbgm_stat &gt;= perc_85, converted_stat * 1.5, converted_stat)))))</f>
        <v/>
      </c>
      <c r="T549" s="30" t="str">
        <f t="array" ref="T549">IF($A549="", "", LET(bbgm_stat, INDEX(Players!$A548:$P548, MATCH(T$2, Players!$A$1:$P$1, 0)), perc_75, VLOOKUP(T$2, Percentiles!$A$45:$I$59, 6, FALSE), perc_90, VLOOKUP(T$2, Percentiles!$A$45:$I$59, 7, FALSE), perc_95, VLOOKUP(T$2, Percentiles!$A$45:$I$59, 8, FALSE), perc_85, perc_75 + (perc_90 - perc_75) * (2/3), converted_stat, '2K_Ratings'!T549, IF(bbgm_stat &gt;= perc_95, converted_stat * 3, IF(bbgm_stat &gt;= perc_90, converted_stat * 2, IF(bbgm_stat &gt;= perc_85, converted_stat * 1.5, converted_stat)))))</f>
        <v/>
      </c>
      <c r="U549" s="30" t="str">
        <f t="array" ref="U549">IF($A549="", "", LET(bbgm_stat, INDEX(Players!$A548:$P548, MATCH(U$2, Players!$A$1:$P$1, 0)), perc_75, VLOOKUP(U$2, Percentiles!$A$45:$I$59, 6, FALSE), perc_90, VLOOKUP(U$2, Percentiles!$A$45:$I$59, 7, FALSE), perc_95, VLOOKUP(U$2, Percentiles!$A$45:$I$59, 8, FALSE), perc_85, perc_75 + (perc_90 - perc_75) * (2/3), converted_stat, '2K_Ratings'!U549, IF(bbgm_stat &gt;= perc_95, converted_stat * 3, IF(bbgm_stat &gt;= perc_90, converted_stat * 2, IF(bbgm_stat &gt;= perc_85, converted_stat * 1.5, converted_stat)))))</f>
        <v/>
      </c>
      <c r="V549" s="30" t="str">
        <f t="array" ref="V549">IF($A549="", "", LET(bbgm_stat, INDEX(Players!$A548:$P548, MATCH(V$2, Players!$A$1:$P$1, 0)), perc_75, VLOOKUP(V$2, Percentiles!$A$45:$I$59, 6, FALSE), perc_90, VLOOKUP(V$2, Percentiles!$A$45:$I$59, 7, FALSE), perc_95, VLOOKUP(V$2, Percentiles!$A$45:$I$59, 8, FALSE), perc_85, perc_75 + (perc_90 - perc_75) * (2/3), converted_stat, '2K_Ratings'!V549, IF(bbgm_stat &gt;= perc_95, converted_stat * 3, IF(bbgm_stat &gt;= perc_90, converted_stat * 2, IF(bbgm_stat &gt;= perc_85, converted_stat * 1.5, converted_stat)))))</f>
        <v/>
      </c>
      <c r="W549" s="30" t="str">
        <f t="array" ref="W549">IF($A549="", "", LET(bbgm_stat, INDEX(Players!$A548:$P548, MATCH(W$2, Players!$A$1:$P$1, 0)), perc_75, VLOOKUP(W$2, Percentiles!$A$45:$I$59, 6, FALSE), perc_90, VLOOKUP(W$2, Percentiles!$A$45:$I$59, 7, FALSE), perc_95, VLOOKUP(W$2, Percentiles!$A$45:$I$59, 8, FALSE), perc_85, perc_75 + (perc_90 - perc_75) * (2/3), converted_stat, '2K_Ratings'!W549, IF(bbgm_stat &gt;= perc_95, converted_stat * 3, IF(bbgm_stat &gt;= perc_90, converted_stat * 2, IF(bbgm_stat &gt;= perc_85, converted_stat * 1.5, converted_stat)))))</f>
        <v/>
      </c>
    </row>
    <row r="550">
      <c r="A550" s="30"/>
      <c r="B550" s="30" t="str">
        <f t="array" ref="B550">IF($A550="", "", LET(bbgm_stat, INDEX(Players!$A549:$P549, MATCH(B$2, Players!$A$1:$P$1, 0)), perc_75, VLOOKUP(B$2, Percentiles!$A$45:$I$59, 6, FALSE), perc_90, VLOOKUP(B$2, Percentiles!$A$45:$I$59, 7, FALSE), perc_95, VLOOKUP(B$2, Percentiles!$A$45:$I$59, 8, FALSE), perc_85, perc_75 + (perc_90 - perc_75) * (2/3), converted_stat, '2K_Ratings'!B550, IF(bbgm_stat &gt;= perc_95, converted_stat * 3, IF(bbgm_stat &gt;= perc_90, converted_stat * 2, IF(bbgm_stat &gt;= perc_85, converted_stat * 1.5, converted_stat)))))</f>
        <v/>
      </c>
      <c r="C550" s="30" t="str">
        <f t="array" ref="C550">IF($A550="", "", LET(bbgm_stat, INDEX(Players!$A549:$P549, MATCH(C$2, Players!$A$1:$P$1, 0)), perc_75, VLOOKUP(C$2, Percentiles!$A$45:$I$59, 6, FALSE), perc_90, VLOOKUP(C$2, Percentiles!$A$45:$I$59, 7, FALSE), perc_95, VLOOKUP(C$2, Percentiles!$A$45:$I$59, 8, FALSE), perc_85, perc_75 + (perc_90 - perc_75) * (2/3), converted_stat, '2K_Ratings'!C550, IF(bbgm_stat &gt;= perc_95, converted_stat * 3, IF(bbgm_stat &gt;= perc_90, converted_stat * 2, IF(bbgm_stat &gt;= perc_85, converted_stat * 1.5, converted_stat)))))</f>
        <v/>
      </c>
      <c r="D550" s="30" t="str">
        <f t="array" ref="D550">IF($A550="", "", LET(bbgm_stat, INDEX(Players!$A549:$P549, MATCH(D$2, Players!$A$1:$P$1, 0)), perc_75, VLOOKUP(D$2, Percentiles!$A$45:$I$59, 6, FALSE), perc_90, VLOOKUP(D$2, Percentiles!$A$45:$I$59, 7, FALSE), perc_95, VLOOKUP(D$2, Percentiles!$A$45:$I$59, 8, FALSE), perc_85, perc_75 + (perc_90 - perc_75) * (2/3), converted_stat, '2K_Ratings'!D550, IF(bbgm_stat &gt;= perc_95, converted_stat * 3, IF(bbgm_stat &gt;= perc_90, converted_stat * 2, IF(bbgm_stat &gt;= perc_85, converted_stat * 1.5, converted_stat)))))</f>
        <v/>
      </c>
      <c r="E550" s="30" t="str">
        <f t="array" ref="E550">IF($A550="", "", LET(bbgm_stat, INDEX(Players!$A549:$P549, MATCH(E$2, Players!$A$1:$P$1, 0)), perc_75, VLOOKUP(E$2, Percentiles!$A$45:$I$59, 6, FALSE), perc_90, VLOOKUP(E$2, Percentiles!$A$45:$I$59, 7, FALSE), perc_95, VLOOKUP(E$2, Percentiles!$A$45:$I$59, 8, FALSE), perc_85, perc_75 + (perc_90 - perc_75) * (2/3), converted_stat, '2K_Ratings'!E550, IF(bbgm_stat &gt;= perc_95, converted_stat * 3, IF(bbgm_stat &gt;= perc_90, converted_stat * 2, IF(bbgm_stat &gt;= perc_85, converted_stat * 1.5, converted_stat)))))</f>
        <v/>
      </c>
      <c r="F550" s="30" t="str">
        <f t="array" ref="F550">IF($A550="", "", LET(bbgm_stat, INDEX(Players!$A549:$P549, MATCH(F$2, Players!$A$1:$P$1, 0)), perc_75, VLOOKUP(F$2, Percentiles!$A$45:$I$59, 6, FALSE), perc_90, VLOOKUP(F$2, Percentiles!$A$45:$I$59, 7, FALSE), perc_95, VLOOKUP(F$2, Percentiles!$A$45:$I$59, 8, FALSE), perc_85, perc_75 + (perc_90 - perc_75) * (2/3), converted_stat, '2K_Ratings'!F550, IF(bbgm_stat &gt;= perc_95, converted_stat * 3, IF(bbgm_stat &gt;= perc_90, converted_stat * 2, IF(bbgm_stat &gt;= perc_85, converted_stat * 1.5, converted_stat)))))</f>
        <v/>
      </c>
      <c r="G550" s="30" t="str">
        <f t="array" ref="G550">IF($A550="", "", LET(bbgm_stat, INDEX(Players!$A549:$P549, MATCH(G$2, Players!$A$1:$P$1, 0)), perc_75, VLOOKUP(G$2, Percentiles!$A$45:$I$59, 6, FALSE), perc_90, VLOOKUP(G$2, Percentiles!$A$45:$I$59, 7, FALSE), perc_95, VLOOKUP(G$2, Percentiles!$A$45:$I$59, 8, FALSE), perc_85, perc_75 + (perc_90 - perc_75) * (2/3), converted_stat, '2K_Ratings'!G550, IF(bbgm_stat &gt;= perc_95, converted_stat * 3, IF(bbgm_stat &gt;= perc_90, converted_stat * 2, IF(bbgm_stat &gt;= perc_85, converted_stat * 1.5, converted_stat)))))</f>
        <v/>
      </c>
      <c r="H550" s="30" t="str">
        <f t="array" ref="H550">IF($A550="", "", LET(bbgm_stat, INDEX(Players!$A549:$P549, MATCH(H$2, Players!$A$1:$P$1, 0)), perc_75, VLOOKUP(H$2, Percentiles!$A$45:$I$59, 6, FALSE), perc_90, VLOOKUP(H$2, Percentiles!$A$45:$I$59, 7, FALSE), perc_95, VLOOKUP(H$2, Percentiles!$A$45:$I$59, 8, FALSE), perc_85, perc_75 + (perc_90 - perc_75) * (2/3), converted_stat, '2K_Ratings'!H550, IF(bbgm_stat &gt;= perc_95, converted_stat * 3, IF(bbgm_stat &gt;= perc_90, converted_stat * 2, IF(bbgm_stat &gt;= perc_85, converted_stat * 1.5, converted_stat)))))</f>
        <v/>
      </c>
      <c r="I550" s="30" t="str">
        <f t="array" ref="I550">IF($A550="", "", LET(bbgm_stat, INDEX(Players!$A549:$P549, MATCH(I$2, Players!$A$1:$P$1, 0)), perc_75, VLOOKUP(I$2, Percentiles!$A$45:$I$59, 6, FALSE), perc_90, VLOOKUP(I$2, Percentiles!$A$45:$I$59, 7, FALSE), perc_95, VLOOKUP(I$2, Percentiles!$A$45:$I$59, 8, FALSE), perc_85, perc_75 + (perc_90 - perc_75) * (2/3), converted_stat, '2K_Ratings'!I550, IF(bbgm_stat &gt;= perc_95, converted_stat * 3, IF(bbgm_stat &gt;= perc_90, converted_stat * 2, IF(bbgm_stat &gt;= perc_85, converted_stat * 1.5, converted_stat)))))</f>
        <v/>
      </c>
      <c r="J550" s="30" t="str">
        <f t="array" ref="J550">IF($A550="", "", LET(bbgm_stat, INDEX(Players!$A549:$P549, MATCH(J$2, Players!$A$1:$P$1, 0)), perc_75, VLOOKUP(J$2, Percentiles!$A$45:$I$59, 6, FALSE), perc_90, VLOOKUP(J$2, Percentiles!$A$45:$I$59, 7, FALSE), perc_95, VLOOKUP(J$2, Percentiles!$A$45:$I$59, 8, FALSE), perc_85, perc_75 + (perc_90 - perc_75) * (2/3), converted_stat, '2K_Ratings'!J550, IF(bbgm_stat &gt;= perc_95, converted_stat * 3, IF(bbgm_stat &gt;= perc_90, converted_stat * 2, IF(bbgm_stat &gt;= perc_85, converted_stat * 1.5, converted_stat)))))</f>
        <v/>
      </c>
      <c r="K550" s="30" t="str">
        <f t="array" ref="K550">IF($A550="", "", LET(bbgm_stat, INDEX(Players!$A549:$P549, MATCH(K$2, Players!$A$1:$P$1, 0)), perc_75, VLOOKUP(K$2, Percentiles!$A$45:$I$59, 6, FALSE), perc_90, VLOOKUP(K$2, Percentiles!$A$45:$I$59, 7, FALSE), perc_95, VLOOKUP(K$2, Percentiles!$A$45:$I$59, 8, FALSE), perc_85, perc_75 + (perc_90 - perc_75) * (2/3), converted_stat, '2K_Ratings'!K550, IF(bbgm_stat &gt;= perc_95, converted_stat * 3, IF(bbgm_stat &gt;= perc_90, converted_stat * 2, IF(bbgm_stat &gt;= perc_85, converted_stat * 1.5, converted_stat)))))</f>
        <v/>
      </c>
      <c r="L550" s="30" t="str">
        <f t="array" ref="L550">IF($A550="", "", LET(bbgm_stat, INDEX(Players!$A549:$P549, MATCH(L$2, Players!$A$1:$P$1, 0)), perc_75, VLOOKUP(L$2, Percentiles!$A$45:$I$59, 6, FALSE), perc_90, VLOOKUP(L$2, Percentiles!$A$45:$I$59, 7, FALSE), perc_95, VLOOKUP(L$2, Percentiles!$A$45:$I$59, 8, FALSE), perc_85, perc_75 + (perc_90 - perc_75) * (2/3), converted_stat, '2K_Ratings'!L550, IF(bbgm_stat &gt;= perc_95, converted_stat * 3, IF(bbgm_stat &gt;= perc_90, converted_stat * 2, IF(bbgm_stat &gt;= perc_85, converted_stat * 1.5, converted_stat)))))</f>
        <v/>
      </c>
      <c r="M550" s="30" t="str">
        <f t="array" ref="M550">IF($A550="", "", LET(bbgm_stat, INDEX(Players!$A549:$P549, MATCH(M$2, Players!$A$1:$P$1, 0)), perc_75, VLOOKUP(M$2, Percentiles!$A$45:$I$59, 6, FALSE), perc_90, VLOOKUP(M$2, Percentiles!$A$45:$I$59, 7, FALSE), perc_95, VLOOKUP(M$2, Percentiles!$A$45:$I$59, 8, FALSE), perc_85, perc_75 + (perc_90 - perc_75) * (2/3), converted_stat, '2K_Ratings'!M550, IF(bbgm_stat &gt;= perc_95, converted_stat * 3, IF(bbgm_stat &gt;= perc_90, converted_stat * 2, IF(bbgm_stat &gt;= perc_85, converted_stat * 1.5, converted_stat)))))</f>
        <v/>
      </c>
      <c r="N550" s="30" t="str">
        <f t="array" ref="N550">IF($A550="", "", LET(bbgm_stat, INDEX(Players!$A549:$P549, MATCH(N$2, Players!$A$1:$P$1, 0)), perc_75, VLOOKUP(N$2, Percentiles!$A$45:$I$59, 6, FALSE), perc_90, VLOOKUP(N$2, Percentiles!$A$45:$I$59, 7, FALSE), perc_95, VLOOKUP(N$2, Percentiles!$A$45:$I$59, 8, FALSE), perc_85, perc_75 + (perc_90 - perc_75) * (2/3), converted_stat, '2K_Ratings'!N550, IF(bbgm_stat &gt;= perc_95, converted_stat * 3, IF(bbgm_stat &gt;= perc_90, converted_stat * 2, IF(bbgm_stat &gt;= perc_85, converted_stat * 1.5, converted_stat)))))</f>
        <v/>
      </c>
      <c r="O550" s="30" t="str">
        <f t="array" ref="O550">IF($A550="", "", LET(bbgm_stat, INDEX(Players!$A549:$P549, MATCH(O$2, Players!$A$1:$P$1, 0)), perc_75, VLOOKUP(O$2, Percentiles!$A$45:$I$59, 6, FALSE), perc_90, VLOOKUP(O$2, Percentiles!$A$45:$I$59, 7, FALSE), perc_95, VLOOKUP(O$2, Percentiles!$A$45:$I$59, 8, FALSE), perc_85, perc_75 + (perc_90 - perc_75) * (2/3), converted_stat, '2K_Ratings'!O550, IF(bbgm_stat &gt;= perc_95, converted_stat * 3, IF(bbgm_stat &gt;= perc_90, converted_stat * 2, IF(bbgm_stat &gt;= perc_85, converted_stat * 1.5, converted_stat)))))</f>
        <v/>
      </c>
      <c r="P550" s="30" t="str">
        <f t="array" ref="P550">IF($A550="", "", LET(bbgm_stat, INDEX(Players!$A549:$P549, MATCH(P$2, Players!$A$1:$P$1, 0)), perc_75, VLOOKUP(P$2, Percentiles!$A$45:$I$59, 6, FALSE), perc_90, VLOOKUP(P$2, Percentiles!$A$45:$I$59, 7, FALSE), perc_95, VLOOKUP(P$2, Percentiles!$A$45:$I$59, 8, FALSE), perc_85, perc_75 + (perc_90 - perc_75) * (2/3), converted_stat, '2K_Ratings'!P550, IF(bbgm_stat &gt;= perc_95, converted_stat * 3, IF(bbgm_stat &gt;= perc_90, converted_stat * 2, IF(bbgm_stat &gt;= perc_85, converted_stat * 1.5, converted_stat)))))</f>
        <v/>
      </c>
      <c r="Q550" s="30" t="str">
        <f t="array" ref="Q550">IF($A550="", "", LET(bbgm_stat, INDEX(Players!$A549:$P549, MATCH(Q$2, Players!$A$1:$P$1, 0)), perc_75, VLOOKUP(Q$2, Percentiles!$A$45:$I$59, 6, FALSE), perc_90, VLOOKUP(Q$2, Percentiles!$A$45:$I$59, 7, FALSE), perc_95, VLOOKUP(Q$2, Percentiles!$A$45:$I$59, 8, FALSE), perc_85, perc_75 + (perc_90 - perc_75) * (2/3), converted_stat, '2K_Ratings'!Q550, IF(bbgm_stat &gt;= perc_95, converted_stat * 3, IF(bbgm_stat &gt;= perc_90, converted_stat * 2, IF(bbgm_stat &gt;= perc_85, converted_stat * 1.5, converted_stat)))))</f>
        <v/>
      </c>
      <c r="R550" s="30" t="str">
        <f t="array" ref="R550">IF($A550="", "", LET(bbgm_stat, INDEX(Players!$A549:$P549, MATCH(R$2, Players!$A$1:$P$1, 0)), perc_75, VLOOKUP(R$2, Percentiles!$A$45:$I$59, 6, FALSE), perc_90, VLOOKUP(R$2, Percentiles!$A$45:$I$59, 7, FALSE), perc_95, VLOOKUP(R$2, Percentiles!$A$45:$I$59, 8, FALSE), perc_85, perc_75 + (perc_90 - perc_75) * (2/3), converted_stat, '2K_Ratings'!R550, IF(bbgm_stat &gt;= perc_95, converted_stat * 3, IF(bbgm_stat &gt;= perc_90, converted_stat * 2, IF(bbgm_stat &gt;= perc_85, converted_stat * 1.5, converted_stat)))))</f>
        <v/>
      </c>
      <c r="S550" s="30" t="str">
        <f t="array" ref="S550">IF($A550="", "", LET(bbgm_stat, INDEX(Players!$A549:$P549, MATCH(S$2, Players!$A$1:$P$1, 0)), perc_75, VLOOKUP(S$2, Percentiles!$A$45:$I$59, 6, FALSE), perc_90, VLOOKUP(S$2, Percentiles!$A$45:$I$59, 7, FALSE), perc_95, VLOOKUP(S$2, Percentiles!$A$45:$I$59, 8, FALSE), perc_85, perc_75 + (perc_90 - perc_75) * (2/3), converted_stat, '2K_Ratings'!S550, IF(bbgm_stat &gt;= perc_95, converted_stat * 3, IF(bbgm_stat &gt;= perc_90, converted_stat * 2, IF(bbgm_stat &gt;= perc_85, converted_stat * 1.5, converted_stat)))))</f>
        <v/>
      </c>
      <c r="T550" s="30" t="str">
        <f t="array" ref="T550">IF($A550="", "", LET(bbgm_stat, INDEX(Players!$A549:$P549, MATCH(T$2, Players!$A$1:$P$1, 0)), perc_75, VLOOKUP(T$2, Percentiles!$A$45:$I$59, 6, FALSE), perc_90, VLOOKUP(T$2, Percentiles!$A$45:$I$59, 7, FALSE), perc_95, VLOOKUP(T$2, Percentiles!$A$45:$I$59, 8, FALSE), perc_85, perc_75 + (perc_90 - perc_75) * (2/3), converted_stat, '2K_Ratings'!T550, IF(bbgm_stat &gt;= perc_95, converted_stat * 3, IF(bbgm_stat &gt;= perc_90, converted_stat * 2, IF(bbgm_stat &gt;= perc_85, converted_stat * 1.5, converted_stat)))))</f>
        <v/>
      </c>
      <c r="U550" s="30" t="str">
        <f t="array" ref="U550">IF($A550="", "", LET(bbgm_stat, INDEX(Players!$A549:$P549, MATCH(U$2, Players!$A$1:$P$1, 0)), perc_75, VLOOKUP(U$2, Percentiles!$A$45:$I$59, 6, FALSE), perc_90, VLOOKUP(U$2, Percentiles!$A$45:$I$59, 7, FALSE), perc_95, VLOOKUP(U$2, Percentiles!$A$45:$I$59, 8, FALSE), perc_85, perc_75 + (perc_90 - perc_75) * (2/3), converted_stat, '2K_Ratings'!U550, IF(bbgm_stat &gt;= perc_95, converted_stat * 3, IF(bbgm_stat &gt;= perc_90, converted_stat * 2, IF(bbgm_stat &gt;= perc_85, converted_stat * 1.5, converted_stat)))))</f>
        <v/>
      </c>
      <c r="V550" s="30" t="str">
        <f t="array" ref="V550">IF($A550="", "", LET(bbgm_stat, INDEX(Players!$A549:$P549, MATCH(V$2, Players!$A$1:$P$1, 0)), perc_75, VLOOKUP(V$2, Percentiles!$A$45:$I$59, 6, FALSE), perc_90, VLOOKUP(V$2, Percentiles!$A$45:$I$59, 7, FALSE), perc_95, VLOOKUP(V$2, Percentiles!$A$45:$I$59, 8, FALSE), perc_85, perc_75 + (perc_90 - perc_75) * (2/3), converted_stat, '2K_Ratings'!V550, IF(bbgm_stat &gt;= perc_95, converted_stat * 3, IF(bbgm_stat &gt;= perc_90, converted_stat * 2, IF(bbgm_stat &gt;= perc_85, converted_stat * 1.5, converted_stat)))))</f>
        <v/>
      </c>
      <c r="W550" s="30" t="str">
        <f t="array" ref="W550">IF($A550="", "", LET(bbgm_stat, INDEX(Players!$A549:$P549, MATCH(W$2, Players!$A$1:$P$1, 0)), perc_75, VLOOKUP(W$2, Percentiles!$A$45:$I$59, 6, FALSE), perc_90, VLOOKUP(W$2, Percentiles!$A$45:$I$59, 7, FALSE), perc_95, VLOOKUP(W$2, Percentiles!$A$45:$I$59, 8, FALSE), perc_85, perc_75 + (perc_90 - perc_75) * (2/3), converted_stat, '2K_Ratings'!W550, IF(bbgm_stat &gt;= perc_95, converted_stat * 3, IF(bbgm_stat &gt;= perc_90, converted_stat * 2, IF(bbgm_stat &gt;= perc_85, converted_stat * 1.5, converted_stat)))))</f>
        <v/>
      </c>
    </row>
    <row r="551">
      <c r="A551" s="30"/>
      <c r="B551" s="30" t="str">
        <f t="array" ref="B551">IF($A551="", "", LET(bbgm_stat, INDEX(Players!$A550:$P550, MATCH(B$2, Players!$A$1:$P$1, 0)), perc_75, VLOOKUP(B$2, Percentiles!$A$45:$I$59, 6, FALSE), perc_90, VLOOKUP(B$2, Percentiles!$A$45:$I$59, 7, FALSE), perc_95, VLOOKUP(B$2, Percentiles!$A$45:$I$59, 8, FALSE), perc_85, perc_75 + (perc_90 - perc_75) * (2/3), converted_stat, '2K_Ratings'!B551, IF(bbgm_stat &gt;= perc_95, converted_stat * 3, IF(bbgm_stat &gt;= perc_90, converted_stat * 2, IF(bbgm_stat &gt;= perc_85, converted_stat * 1.5, converted_stat)))))</f>
        <v/>
      </c>
      <c r="C551" s="30" t="str">
        <f t="array" ref="C551">IF($A551="", "", LET(bbgm_stat, INDEX(Players!$A550:$P550, MATCH(C$2, Players!$A$1:$P$1, 0)), perc_75, VLOOKUP(C$2, Percentiles!$A$45:$I$59, 6, FALSE), perc_90, VLOOKUP(C$2, Percentiles!$A$45:$I$59, 7, FALSE), perc_95, VLOOKUP(C$2, Percentiles!$A$45:$I$59, 8, FALSE), perc_85, perc_75 + (perc_90 - perc_75) * (2/3), converted_stat, '2K_Ratings'!C551, IF(bbgm_stat &gt;= perc_95, converted_stat * 3, IF(bbgm_stat &gt;= perc_90, converted_stat * 2, IF(bbgm_stat &gt;= perc_85, converted_stat * 1.5, converted_stat)))))</f>
        <v/>
      </c>
      <c r="D551" s="30" t="str">
        <f t="array" ref="D551">IF($A551="", "", LET(bbgm_stat, INDEX(Players!$A550:$P550, MATCH(D$2, Players!$A$1:$P$1, 0)), perc_75, VLOOKUP(D$2, Percentiles!$A$45:$I$59, 6, FALSE), perc_90, VLOOKUP(D$2, Percentiles!$A$45:$I$59, 7, FALSE), perc_95, VLOOKUP(D$2, Percentiles!$A$45:$I$59, 8, FALSE), perc_85, perc_75 + (perc_90 - perc_75) * (2/3), converted_stat, '2K_Ratings'!D551, IF(bbgm_stat &gt;= perc_95, converted_stat * 3, IF(bbgm_stat &gt;= perc_90, converted_stat * 2, IF(bbgm_stat &gt;= perc_85, converted_stat * 1.5, converted_stat)))))</f>
        <v/>
      </c>
      <c r="E551" s="30" t="str">
        <f t="array" ref="E551">IF($A551="", "", LET(bbgm_stat, INDEX(Players!$A550:$P550, MATCH(E$2, Players!$A$1:$P$1, 0)), perc_75, VLOOKUP(E$2, Percentiles!$A$45:$I$59, 6, FALSE), perc_90, VLOOKUP(E$2, Percentiles!$A$45:$I$59, 7, FALSE), perc_95, VLOOKUP(E$2, Percentiles!$A$45:$I$59, 8, FALSE), perc_85, perc_75 + (perc_90 - perc_75) * (2/3), converted_stat, '2K_Ratings'!E551, IF(bbgm_stat &gt;= perc_95, converted_stat * 3, IF(bbgm_stat &gt;= perc_90, converted_stat * 2, IF(bbgm_stat &gt;= perc_85, converted_stat * 1.5, converted_stat)))))</f>
        <v/>
      </c>
      <c r="F551" s="30" t="str">
        <f t="array" ref="F551">IF($A551="", "", LET(bbgm_stat, INDEX(Players!$A550:$P550, MATCH(F$2, Players!$A$1:$P$1, 0)), perc_75, VLOOKUP(F$2, Percentiles!$A$45:$I$59, 6, FALSE), perc_90, VLOOKUP(F$2, Percentiles!$A$45:$I$59, 7, FALSE), perc_95, VLOOKUP(F$2, Percentiles!$A$45:$I$59, 8, FALSE), perc_85, perc_75 + (perc_90 - perc_75) * (2/3), converted_stat, '2K_Ratings'!F551, IF(bbgm_stat &gt;= perc_95, converted_stat * 3, IF(bbgm_stat &gt;= perc_90, converted_stat * 2, IF(bbgm_stat &gt;= perc_85, converted_stat * 1.5, converted_stat)))))</f>
        <v/>
      </c>
      <c r="G551" s="30" t="str">
        <f t="array" ref="G551">IF($A551="", "", LET(bbgm_stat, INDEX(Players!$A550:$P550, MATCH(G$2, Players!$A$1:$P$1, 0)), perc_75, VLOOKUP(G$2, Percentiles!$A$45:$I$59, 6, FALSE), perc_90, VLOOKUP(G$2, Percentiles!$A$45:$I$59, 7, FALSE), perc_95, VLOOKUP(G$2, Percentiles!$A$45:$I$59, 8, FALSE), perc_85, perc_75 + (perc_90 - perc_75) * (2/3), converted_stat, '2K_Ratings'!G551, IF(bbgm_stat &gt;= perc_95, converted_stat * 3, IF(bbgm_stat &gt;= perc_90, converted_stat * 2, IF(bbgm_stat &gt;= perc_85, converted_stat * 1.5, converted_stat)))))</f>
        <v/>
      </c>
      <c r="H551" s="30" t="str">
        <f t="array" ref="H551">IF($A551="", "", LET(bbgm_stat, INDEX(Players!$A550:$P550, MATCH(H$2, Players!$A$1:$P$1, 0)), perc_75, VLOOKUP(H$2, Percentiles!$A$45:$I$59, 6, FALSE), perc_90, VLOOKUP(H$2, Percentiles!$A$45:$I$59, 7, FALSE), perc_95, VLOOKUP(H$2, Percentiles!$A$45:$I$59, 8, FALSE), perc_85, perc_75 + (perc_90 - perc_75) * (2/3), converted_stat, '2K_Ratings'!H551, IF(bbgm_stat &gt;= perc_95, converted_stat * 3, IF(bbgm_stat &gt;= perc_90, converted_stat * 2, IF(bbgm_stat &gt;= perc_85, converted_stat * 1.5, converted_stat)))))</f>
        <v/>
      </c>
      <c r="I551" s="30" t="str">
        <f t="array" ref="I551">IF($A551="", "", LET(bbgm_stat, INDEX(Players!$A550:$P550, MATCH(I$2, Players!$A$1:$P$1, 0)), perc_75, VLOOKUP(I$2, Percentiles!$A$45:$I$59, 6, FALSE), perc_90, VLOOKUP(I$2, Percentiles!$A$45:$I$59, 7, FALSE), perc_95, VLOOKUP(I$2, Percentiles!$A$45:$I$59, 8, FALSE), perc_85, perc_75 + (perc_90 - perc_75) * (2/3), converted_stat, '2K_Ratings'!I551, IF(bbgm_stat &gt;= perc_95, converted_stat * 3, IF(bbgm_stat &gt;= perc_90, converted_stat * 2, IF(bbgm_stat &gt;= perc_85, converted_stat * 1.5, converted_stat)))))</f>
        <v/>
      </c>
      <c r="J551" s="30" t="str">
        <f t="array" ref="J551">IF($A551="", "", LET(bbgm_stat, INDEX(Players!$A550:$P550, MATCH(J$2, Players!$A$1:$P$1, 0)), perc_75, VLOOKUP(J$2, Percentiles!$A$45:$I$59, 6, FALSE), perc_90, VLOOKUP(J$2, Percentiles!$A$45:$I$59, 7, FALSE), perc_95, VLOOKUP(J$2, Percentiles!$A$45:$I$59, 8, FALSE), perc_85, perc_75 + (perc_90 - perc_75) * (2/3), converted_stat, '2K_Ratings'!J551, IF(bbgm_stat &gt;= perc_95, converted_stat * 3, IF(bbgm_stat &gt;= perc_90, converted_stat * 2, IF(bbgm_stat &gt;= perc_85, converted_stat * 1.5, converted_stat)))))</f>
        <v/>
      </c>
      <c r="K551" s="30" t="str">
        <f t="array" ref="K551">IF($A551="", "", LET(bbgm_stat, INDEX(Players!$A550:$P550, MATCH(K$2, Players!$A$1:$P$1, 0)), perc_75, VLOOKUP(K$2, Percentiles!$A$45:$I$59, 6, FALSE), perc_90, VLOOKUP(K$2, Percentiles!$A$45:$I$59, 7, FALSE), perc_95, VLOOKUP(K$2, Percentiles!$A$45:$I$59, 8, FALSE), perc_85, perc_75 + (perc_90 - perc_75) * (2/3), converted_stat, '2K_Ratings'!K551, IF(bbgm_stat &gt;= perc_95, converted_stat * 3, IF(bbgm_stat &gt;= perc_90, converted_stat * 2, IF(bbgm_stat &gt;= perc_85, converted_stat * 1.5, converted_stat)))))</f>
        <v/>
      </c>
      <c r="L551" s="30" t="str">
        <f t="array" ref="L551">IF($A551="", "", LET(bbgm_stat, INDEX(Players!$A550:$P550, MATCH(L$2, Players!$A$1:$P$1, 0)), perc_75, VLOOKUP(L$2, Percentiles!$A$45:$I$59, 6, FALSE), perc_90, VLOOKUP(L$2, Percentiles!$A$45:$I$59, 7, FALSE), perc_95, VLOOKUP(L$2, Percentiles!$A$45:$I$59, 8, FALSE), perc_85, perc_75 + (perc_90 - perc_75) * (2/3), converted_stat, '2K_Ratings'!L551, IF(bbgm_stat &gt;= perc_95, converted_stat * 3, IF(bbgm_stat &gt;= perc_90, converted_stat * 2, IF(bbgm_stat &gt;= perc_85, converted_stat * 1.5, converted_stat)))))</f>
        <v/>
      </c>
      <c r="M551" s="30" t="str">
        <f t="array" ref="M551">IF($A551="", "", LET(bbgm_stat, INDEX(Players!$A550:$P550, MATCH(M$2, Players!$A$1:$P$1, 0)), perc_75, VLOOKUP(M$2, Percentiles!$A$45:$I$59, 6, FALSE), perc_90, VLOOKUP(M$2, Percentiles!$A$45:$I$59, 7, FALSE), perc_95, VLOOKUP(M$2, Percentiles!$A$45:$I$59, 8, FALSE), perc_85, perc_75 + (perc_90 - perc_75) * (2/3), converted_stat, '2K_Ratings'!M551, IF(bbgm_stat &gt;= perc_95, converted_stat * 3, IF(bbgm_stat &gt;= perc_90, converted_stat * 2, IF(bbgm_stat &gt;= perc_85, converted_stat * 1.5, converted_stat)))))</f>
        <v/>
      </c>
      <c r="N551" s="30" t="str">
        <f t="array" ref="N551">IF($A551="", "", LET(bbgm_stat, INDEX(Players!$A550:$P550, MATCH(N$2, Players!$A$1:$P$1, 0)), perc_75, VLOOKUP(N$2, Percentiles!$A$45:$I$59, 6, FALSE), perc_90, VLOOKUP(N$2, Percentiles!$A$45:$I$59, 7, FALSE), perc_95, VLOOKUP(N$2, Percentiles!$A$45:$I$59, 8, FALSE), perc_85, perc_75 + (perc_90 - perc_75) * (2/3), converted_stat, '2K_Ratings'!N551, IF(bbgm_stat &gt;= perc_95, converted_stat * 3, IF(bbgm_stat &gt;= perc_90, converted_stat * 2, IF(bbgm_stat &gt;= perc_85, converted_stat * 1.5, converted_stat)))))</f>
        <v/>
      </c>
      <c r="O551" s="30" t="str">
        <f t="array" ref="O551">IF($A551="", "", LET(bbgm_stat, INDEX(Players!$A550:$P550, MATCH(O$2, Players!$A$1:$P$1, 0)), perc_75, VLOOKUP(O$2, Percentiles!$A$45:$I$59, 6, FALSE), perc_90, VLOOKUP(O$2, Percentiles!$A$45:$I$59, 7, FALSE), perc_95, VLOOKUP(O$2, Percentiles!$A$45:$I$59, 8, FALSE), perc_85, perc_75 + (perc_90 - perc_75) * (2/3), converted_stat, '2K_Ratings'!O551, IF(bbgm_stat &gt;= perc_95, converted_stat * 3, IF(bbgm_stat &gt;= perc_90, converted_stat * 2, IF(bbgm_stat &gt;= perc_85, converted_stat * 1.5, converted_stat)))))</f>
        <v/>
      </c>
      <c r="P551" s="30" t="str">
        <f t="array" ref="P551">IF($A551="", "", LET(bbgm_stat, INDEX(Players!$A550:$P550, MATCH(P$2, Players!$A$1:$P$1, 0)), perc_75, VLOOKUP(P$2, Percentiles!$A$45:$I$59, 6, FALSE), perc_90, VLOOKUP(P$2, Percentiles!$A$45:$I$59, 7, FALSE), perc_95, VLOOKUP(P$2, Percentiles!$A$45:$I$59, 8, FALSE), perc_85, perc_75 + (perc_90 - perc_75) * (2/3), converted_stat, '2K_Ratings'!P551, IF(bbgm_stat &gt;= perc_95, converted_stat * 3, IF(bbgm_stat &gt;= perc_90, converted_stat * 2, IF(bbgm_stat &gt;= perc_85, converted_stat * 1.5, converted_stat)))))</f>
        <v/>
      </c>
      <c r="Q551" s="30" t="str">
        <f t="array" ref="Q551">IF($A551="", "", LET(bbgm_stat, INDEX(Players!$A550:$P550, MATCH(Q$2, Players!$A$1:$P$1, 0)), perc_75, VLOOKUP(Q$2, Percentiles!$A$45:$I$59, 6, FALSE), perc_90, VLOOKUP(Q$2, Percentiles!$A$45:$I$59, 7, FALSE), perc_95, VLOOKUP(Q$2, Percentiles!$A$45:$I$59, 8, FALSE), perc_85, perc_75 + (perc_90 - perc_75) * (2/3), converted_stat, '2K_Ratings'!Q551, IF(bbgm_stat &gt;= perc_95, converted_stat * 3, IF(bbgm_stat &gt;= perc_90, converted_stat * 2, IF(bbgm_stat &gt;= perc_85, converted_stat * 1.5, converted_stat)))))</f>
        <v/>
      </c>
      <c r="R551" s="30" t="str">
        <f t="array" ref="R551">IF($A551="", "", LET(bbgm_stat, INDEX(Players!$A550:$P550, MATCH(R$2, Players!$A$1:$P$1, 0)), perc_75, VLOOKUP(R$2, Percentiles!$A$45:$I$59, 6, FALSE), perc_90, VLOOKUP(R$2, Percentiles!$A$45:$I$59, 7, FALSE), perc_95, VLOOKUP(R$2, Percentiles!$A$45:$I$59, 8, FALSE), perc_85, perc_75 + (perc_90 - perc_75) * (2/3), converted_stat, '2K_Ratings'!R551, IF(bbgm_stat &gt;= perc_95, converted_stat * 3, IF(bbgm_stat &gt;= perc_90, converted_stat * 2, IF(bbgm_stat &gt;= perc_85, converted_stat * 1.5, converted_stat)))))</f>
        <v/>
      </c>
      <c r="S551" s="30" t="str">
        <f t="array" ref="S551">IF($A551="", "", LET(bbgm_stat, INDEX(Players!$A550:$P550, MATCH(S$2, Players!$A$1:$P$1, 0)), perc_75, VLOOKUP(S$2, Percentiles!$A$45:$I$59, 6, FALSE), perc_90, VLOOKUP(S$2, Percentiles!$A$45:$I$59, 7, FALSE), perc_95, VLOOKUP(S$2, Percentiles!$A$45:$I$59, 8, FALSE), perc_85, perc_75 + (perc_90 - perc_75) * (2/3), converted_stat, '2K_Ratings'!S551, IF(bbgm_stat &gt;= perc_95, converted_stat * 3, IF(bbgm_stat &gt;= perc_90, converted_stat * 2, IF(bbgm_stat &gt;= perc_85, converted_stat * 1.5, converted_stat)))))</f>
        <v/>
      </c>
      <c r="T551" s="30" t="str">
        <f t="array" ref="T551">IF($A551="", "", LET(bbgm_stat, INDEX(Players!$A550:$P550, MATCH(T$2, Players!$A$1:$P$1, 0)), perc_75, VLOOKUP(T$2, Percentiles!$A$45:$I$59, 6, FALSE), perc_90, VLOOKUP(T$2, Percentiles!$A$45:$I$59, 7, FALSE), perc_95, VLOOKUP(T$2, Percentiles!$A$45:$I$59, 8, FALSE), perc_85, perc_75 + (perc_90 - perc_75) * (2/3), converted_stat, '2K_Ratings'!T551, IF(bbgm_stat &gt;= perc_95, converted_stat * 3, IF(bbgm_stat &gt;= perc_90, converted_stat * 2, IF(bbgm_stat &gt;= perc_85, converted_stat * 1.5, converted_stat)))))</f>
        <v/>
      </c>
      <c r="U551" s="30" t="str">
        <f t="array" ref="U551">IF($A551="", "", LET(bbgm_stat, INDEX(Players!$A550:$P550, MATCH(U$2, Players!$A$1:$P$1, 0)), perc_75, VLOOKUP(U$2, Percentiles!$A$45:$I$59, 6, FALSE), perc_90, VLOOKUP(U$2, Percentiles!$A$45:$I$59, 7, FALSE), perc_95, VLOOKUP(U$2, Percentiles!$A$45:$I$59, 8, FALSE), perc_85, perc_75 + (perc_90 - perc_75) * (2/3), converted_stat, '2K_Ratings'!U551, IF(bbgm_stat &gt;= perc_95, converted_stat * 3, IF(bbgm_stat &gt;= perc_90, converted_stat * 2, IF(bbgm_stat &gt;= perc_85, converted_stat * 1.5, converted_stat)))))</f>
        <v/>
      </c>
      <c r="V551" s="30" t="str">
        <f t="array" ref="V551">IF($A551="", "", LET(bbgm_stat, INDEX(Players!$A550:$P550, MATCH(V$2, Players!$A$1:$P$1, 0)), perc_75, VLOOKUP(V$2, Percentiles!$A$45:$I$59, 6, FALSE), perc_90, VLOOKUP(V$2, Percentiles!$A$45:$I$59, 7, FALSE), perc_95, VLOOKUP(V$2, Percentiles!$A$45:$I$59, 8, FALSE), perc_85, perc_75 + (perc_90 - perc_75) * (2/3), converted_stat, '2K_Ratings'!V551, IF(bbgm_stat &gt;= perc_95, converted_stat * 3, IF(bbgm_stat &gt;= perc_90, converted_stat * 2, IF(bbgm_stat &gt;= perc_85, converted_stat * 1.5, converted_stat)))))</f>
        <v/>
      </c>
      <c r="W551" s="30" t="str">
        <f t="array" ref="W551">IF($A551="", "", LET(bbgm_stat, INDEX(Players!$A550:$P550, MATCH(W$2, Players!$A$1:$P$1, 0)), perc_75, VLOOKUP(W$2, Percentiles!$A$45:$I$59, 6, FALSE), perc_90, VLOOKUP(W$2, Percentiles!$A$45:$I$59, 7, FALSE), perc_95, VLOOKUP(W$2, Percentiles!$A$45:$I$59, 8, FALSE), perc_85, perc_75 + (perc_90 - perc_75) * (2/3), converted_stat, '2K_Ratings'!W551, IF(bbgm_stat &gt;= perc_95, converted_stat * 3, IF(bbgm_stat &gt;= perc_90, converted_stat * 2, IF(bbgm_stat &gt;= perc_85, converted_stat * 1.5, converted_stat)))))</f>
        <v/>
      </c>
    </row>
    <row r="552">
      <c r="A552" s="30"/>
      <c r="B552" s="30" t="str">
        <f t="array" ref="B552">IF($A552="", "", LET(bbgm_stat, INDEX(Players!$A551:$P551, MATCH(B$2, Players!$A$1:$P$1, 0)), perc_75, VLOOKUP(B$2, Percentiles!$A$45:$I$59, 6, FALSE), perc_90, VLOOKUP(B$2, Percentiles!$A$45:$I$59, 7, FALSE), perc_95, VLOOKUP(B$2, Percentiles!$A$45:$I$59, 8, FALSE), perc_85, perc_75 + (perc_90 - perc_75) * (2/3), converted_stat, '2K_Ratings'!B552, IF(bbgm_stat &gt;= perc_95, converted_stat * 3, IF(bbgm_stat &gt;= perc_90, converted_stat * 2, IF(bbgm_stat &gt;= perc_85, converted_stat * 1.5, converted_stat)))))</f>
        <v/>
      </c>
      <c r="C552" s="30" t="str">
        <f t="array" ref="C552">IF($A552="", "", LET(bbgm_stat, INDEX(Players!$A551:$P551, MATCH(C$2, Players!$A$1:$P$1, 0)), perc_75, VLOOKUP(C$2, Percentiles!$A$45:$I$59, 6, FALSE), perc_90, VLOOKUP(C$2, Percentiles!$A$45:$I$59, 7, FALSE), perc_95, VLOOKUP(C$2, Percentiles!$A$45:$I$59, 8, FALSE), perc_85, perc_75 + (perc_90 - perc_75) * (2/3), converted_stat, '2K_Ratings'!C552, IF(bbgm_stat &gt;= perc_95, converted_stat * 3, IF(bbgm_stat &gt;= perc_90, converted_stat * 2, IF(bbgm_stat &gt;= perc_85, converted_stat * 1.5, converted_stat)))))</f>
        <v/>
      </c>
      <c r="D552" s="30" t="str">
        <f t="array" ref="D552">IF($A552="", "", LET(bbgm_stat, INDEX(Players!$A551:$P551, MATCH(D$2, Players!$A$1:$P$1, 0)), perc_75, VLOOKUP(D$2, Percentiles!$A$45:$I$59, 6, FALSE), perc_90, VLOOKUP(D$2, Percentiles!$A$45:$I$59, 7, FALSE), perc_95, VLOOKUP(D$2, Percentiles!$A$45:$I$59, 8, FALSE), perc_85, perc_75 + (perc_90 - perc_75) * (2/3), converted_stat, '2K_Ratings'!D552, IF(bbgm_stat &gt;= perc_95, converted_stat * 3, IF(bbgm_stat &gt;= perc_90, converted_stat * 2, IF(bbgm_stat &gt;= perc_85, converted_stat * 1.5, converted_stat)))))</f>
        <v/>
      </c>
      <c r="E552" s="30" t="str">
        <f t="array" ref="E552">IF($A552="", "", LET(bbgm_stat, INDEX(Players!$A551:$P551, MATCH(E$2, Players!$A$1:$P$1, 0)), perc_75, VLOOKUP(E$2, Percentiles!$A$45:$I$59, 6, FALSE), perc_90, VLOOKUP(E$2, Percentiles!$A$45:$I$59, 7, FALSE), perc_95, VLOOKUP(E$2, Percentiles!$A$45:$I$59, 8, FALSE), perc_85, perc_75 + (perc_90 - perc_75) * (2/3), converted_stat, '2K_Ratings'!E552, IF(bbgm_stat &gt;= perc_95, converted_stat * 3, IF(bbgm_stat &gt;= perc_90, converted_stat * 2, IF(bbgm_stat &gt;= perc_85, converted_stat * 1.5, converted_stat)))))</f>
        <v/>
      </c>
      <c r="F552" s="30" t="str">
        <f t="array" ref="F552">IF($A552="", "", LET(bbgm_stat, INDEX(Players!$A551:$P551, MATCH(F$2, Players!$A$1:$P$1, 0)), perc_75, VLOOKUP(F$2, Percentiles!$A$45:$I$59, 6, FALSE), perc_90, VLOOKUP(F$2, Percentiles!$A$45:$I$59, 7, FALSE), perc_95, VLOOKUP(F$2, Percentiles!$A$45:$I$59, 8, FALSE), perc_85, perc_75 + (perc_90 - perc_75) * (2/3), converted_stat, '2K_Ratings'!F552, IF(bbgm_stat &gt;= perc_95, converted_stat * 3, IF(bbgm_stat &gt;= perc_90, converted_stat * 2, IF(bbgm_stat &gt;= perc_85, converted_stat * 1.5, converted_stat)))))</f>
        <v/>
      </c>
      <c r="G552" s="30" t="str">
        <f t="array" ref="G552">IF($A552="", "", LET(bbgm_stat, INDEX(Players!$A551:$P551, MATCH(G$2, Players!$A$1:$P$1, 0)), perc_75, VLOOKUP(G$2, Percentiles!$A$45:$I$59, 6, FALSE), perc_90, VLOOKUP(G$2, Percentiles!$A$45:$I$59, 7, FALSE), perc_95, VLOOKUP(G$2, Percentiles!$A$45:$I$59, 8, FALSE), perc_85, perc_75 + (perc_90 - perc_75) * (2/3), converted_stat, '2K_Ratings'!G552, IF(bbgm_stat &gt;= perc_95, converted_stat * 3, IF(bbgm_stat &gt;= perc_90, converted_stat * 2, IF(bbgm_stat &gt;= perc_85, converted_stat * 1.5, converted_stat)))))</f>
        <v/>
      </c>
      <c r="H552" s="30" t="str">
        <f t="array" ref="H552">IF($A552="", "", LET(bbgm_stat, INDEX(Players!$A551:$P551, MATCH(H$2, Players!$A$1:$P$1, 0)), perc_75, VLOOKUP(H$2, Percentiles!$A$45:$I$59, 6, FALSE), perc_90, VLOOKUP(H$2, Percentiles!$A$45:$I$59, 7, FALSE), perc_95, VLOOKUP(H$2, Percentiles!$A$45:$I$59, 8, FALSE), perc_85, perc_75 + (perc_90 - perc_75) * (2/3), converted_stat, '2K_Ratings'!H552, IF(bbgm_stat &gt;= perc_95, converted_stat * 3, IF(bbgm_stat &gt;= perc_90, converted_stat * 2, IF(bbgm_stat &gt;= perc_85, converted_stat * 1.5, converted_stat)))))</f>
        <v/>
      </c>
      <c r="I552" s="30" t="str">
        <f t="array" ref="I552">IF($A552="", "", LET(bbgm_stat, INDEX(Players!$A551:$P551, MATCH(I$2, Players!$A$1:$P$1, 0)), perc_75, VLOOKUP(I$2, Percentiles!$A$45:$I$59, 6, FALSE), perc_90, VLOOKUP(I$2, Percentiles!$A$45:$I$59, 7, FALSE), perc_95, VLOOKUP(I$2, Percentiles!$A$45:$I$59, 8, FALSE), perc_85, perc_75 + (perc_90 - perc_75) * (2/3), converted_stat, '2K_Ratings'!I552, IF(bbgm_stat &gt;= perc_95, converted_stat * 3, IF(bbgm_stat &gt;= perc_90, converted_stat * 2, IF(bbgm_stat &gt;= perc_85, converted_stat * 1.5, converted_stat)))))</f>
        <v/>
      </c>
      <c r="J552" s="30" t="str">
        <f t="array" ref="J552">IF($A552="", "", LET(bbgm_stat, INDEX(Players!$A551:$P551, MATCH(J$2, Players!$A$1:$P$1, 0)), perc_75, VLOOKUP(J$2, Percentiles!$A$45:$I$59, 6, FALSE), perc_90, VLOOKUP(J$2, Percentiles!$A$45:$I$59, 7, FALSE), perc_95, VLOOKUP(J$2, Percentiles!$A$45:$I$59, 8, FALSE), perc_85, perc_75 + (perc_90 - perc_75) * (2/3), converted_stat, '2K_Ratings'!J552, IF(bbgm_stat &gt;= perc_95, converted_stat * 3, IF(bbgm_stat &gt;= perc_90, converted_stat * 2, IF(bbgm_stat &gt;= perc_85, converted_stat * 1.5, converted_stat)))))</f>
        <v/>
      </c>
      <c r="K552" s="30" t="str">
        <f t="array" ref="K552">IF($A552="", "", LET(bbgm_stat, INDEX(Players!$A551:$P551, MATCH(K$2, Players!$A$1:$P$1, 0)), perc_75, VLOOKUP(K$2, Percentiles!$A$45:$I$59, 6, FALSE), perc_90, VLOOKUP(K$2, Percentiles!$A$45:$I$59, 7, FALSE), perc_95, VLOOKUP(K$2, Percentiles!$A$45:$I$59, 8, FALSE), perc_85, perc_75 + (perc_90 - perc_75) * (2/3), converted_stat, '2K_Ratings'!K552, IF(bbgm_stat &gt;= perc_95, converted_stat * 3, IF(bbgm_stat &gt;= perc_90, converted_stat * 2, IF(bbgm_stat &gt;= perc_85, converted_stat * 1.5, converted_stat)))))</f>
        <v/>
      </c>
      <c r="L552" s="30" t="str">
        <f t="array" ref="L552">IF($A552="", "", LET(bbgm_stat, INDEX(Players!$A551:$P551, MATCH(L$2, Players!$A$1:$P$1, 0)), perc_75, VLOOKUP(L$2, Percentiles!$A$45:$I$59, 6, FALSE), perc_90, VLOOKUP(L$2, Percentiles!$A$45:$I$59, 7, FALSE), perc_95, VLOOKUP(L$2, Percentiles!$A$45:$I$59, 8, FALSE), perc_85, perc_75 + (perc_90 - perc_75) * (2/3), converted_stat, '2K_Ratings'!L552, IF(bbgm_stat &gt;= perc_95, converted_stat * 3, IF(bbgm_stat &gt;= perc_90, converted_stat * 2, IF(bbgm_stat &gt;= perc_85, converted_stat * 1.5, converted_stat)))))</f>
        <v/>
      </c>
      <c r="M552" s="30" t="str">
        <f t="array" ref="M552">IF($A552="", "", LET(bbgm_stat, INDEX(Players!$A551:$P551, MATCH(M$2, Players!$A$1:$P$1, 0)), perc_75, VLOOKUP(M$2, Percentiles!$A$45:$I$59, 6, FALSE), perc_90, VLOOKUP(M$2, Percentiles!$A$45:$I$59, 7, FALSE), perc_95, VLOOKUP(M$2, Percentiles!$A$45:$I$59, 8, FALSE), perc_85, perc_75 + (perc_90 - perc_75) * (2/3), converted_stat, '2K_Ratings'!M552, IF(bbgm_stat &gt;= perc_95, converted_stat * 3, IF(bbgm_stat &gt;= perc_90, converted_stat * 2, IF(bbgm_stat &gt;= perc_85, converted_stat * 1.5, converted_stat)))))</f>
        <v/>
      </c>
      <c r="N552" s="30" t="str">
        <f t="array" ref="N552">IF($A552="", "", LET(bbgm_stat, INDEX(Players!$A551:$P551, MATCH(N$2, Players!$A$1:$P$1, 0)), perc_75, VLOOKUP(N$2, Percentiles!$A$45:$I$59, 6, FALSE), perc_90, VLOOKUP(N$2, Percentiles!$A$45:$I$59, 7, FALSE), perc_95, VLOOKUP(N$2, Percentiles!$A$45:$I$59, 8, FALSE), perc_85, perc_75 + (perc_90 - perc_75) * (2/3), converted_stat, '2K_Ratings'!N552, IF(bbgm_stat &gt;= perc_95, converted_stat * 3, IF(bbgm_stat &gt;= perc_90, converted_stat * 2, IF(bbgm_stat &gt;= perc_85, converted_stat * 1.5, converted_stat)))))</f>
        <v/>
      </c>
      <c r="O552" s="30" t="str">
        <f t="array" ref="O552">IF($A552="", "", LET(bbgm_stat, INDEX(Players!$A551:$P551, MATCH(O$2, Players!$A$1:$P$1, 0)), perc_75, VLOOKUP(O$2, Percentiles!$A$45:$I$59, 6, FALSE), perc_90, VLOOKUP(O$2, Percentiles!$A$45:$I$59, 7, FALSE), perc_95, VLOOKUP(O$2, Percentiles!$A$45:$I$59, 8, FALSE), perc_85, perc_75 + (perc_90 - perc_75) * (2/3), converted_stat, '2K_Ratings'!O552, IF(bbgm_stat &gt;= perc_95, converted_stat * 3, IF(bbgm_stat &gt;= perc_90, converted_stat * 2, IF(bbgm_stat &gt;= perc_85, converted_stat * 1.5, converted_stat)))))</f>
        <v/>
      </c>
      <c r="P552" s="30" t="str">
        <f t="array" ref="P552">IF($A552="", "", LET(bbgm_stat, INDEX(Players!$A551:$P551, MATCH(P$2, Players!$A$1:$P$1, 0)), perc_75, VLOOKUP(P$2, Percentiles!$A$45:$I$59, 6, FALSE), perc_90, VLOOKUP(P$2, Percentiles!$A$45:$I$59, 7, FALSE), perc_95, VLOOKUP(P$2, Percentiles!$A$45:$I$59, 8, FALSE), perc_85, perc_75 + (perc_90 - perc_75) * (2/3), converted_stat, '2K_Ratings'!P552, IF(bbgm_stat &gt;= perc_95, converted_stat * 3, IF(bbgm_stat &gt;= perc_90, converted_stat * 2, IF(bbgm_stat &gt;= perc_85, converted_stat * 1.5, converted_stat)))))</f>
        <v/>
      </c>
      <c r="Q552" s="30" t="str">
        <f t="array" ref="Q552">IF($A552="", "", LET(bbgm_stat, INDEX(Players!$A551:$P551, MATCH(Q$2, Players!$A$1:$P$1, 0)), perc_75, VLOOKUP(Q$2, Percentiles!$A$45:$I$59, 6, FALSE), perc_90, VLOOKUP(Q$2, Percentiles!$A$45:$I$59, 7, FALSE), perc_95, VLOOKUP(Q$2, Percentiles!$A$45:$I$59, 8, FALSE), perc_85, perc_75 + (perc_90 - perc_75) * (2/3), converted_stat, '2K_Ratings'!Q552, IF(bbgm_stat &gt;= perc_95, converted_stat * 3, IF(bbgm_stat &gt;= perc_90, converted_stat * 2, IF(bbgm_stat &gt;= perc_85, converted_stat * 1.5, converted_stat)))))</f>
        <v/>
      </c>
      <c r="R552" s="30" t="str">
        <f t="array" ref="R552">IF($A552="", "", LET(bbgm_stat, INDEX(Players!$A551:$P551, MATCH(R$2, Players!$A$1:$P$1, 0)), perc_75, VLOOKUP(R$2, Percentiles!$A$45:$I$59, 6, FALSE), perc_90, VLOOKUP(R$2, Percentiles!$A$45:$I$59, 7, FALSE), perc_95, VLOOKUP(R$2, Percentiles!$A$45:$I$59, 8, FALSE), perc_85, perc_75 + (perc_90 - perc_75) * (2/3), converted_stat, '2K_Ratings'!R552, IF(bbgm_stat &gt;= perc_95, converted_stat * 3, IF(bbgm_stat &gt;= perc_90, converted_stat * 2, IF(bbgm_stat &gt;= perc_85, converted_stat * 1.5, converted_stat)))))</f>
        <v/>
      </c>
      <c r="S552" s="30" t="str">
        <f t="array" ref="S552">IF($A552="", "", LET(bbgm_stat, INDEX(Players!$A551:$P551, MATCH(S$2, Players!$A$1:$P$1, 0)), perc_75, VLOOKUP(S$2, Percentiles!$A$45:$I$59, 6, FALSE), perc_90, VLOOKUP(S$2, Percentiles!$A$45:$I$59, 7, FALSE), perc_95, VLOOKUP(S$2, Percentiles!$A$45:$I$59, 8, FALSE), perc_85, perc_75 + (perc_90 - perc_75) * (2/3), converted_stat, '2K_Ratings'!S552, IF(bbgm_stat &gt;= perc_95, converted_stat * 3, IF(bbgm_stat &gt;= perc_90, converted_stat * 2, IF(bbgm_stat &gt;= perc_85, converted_stat * 1.5, converted_stat)))))</f>
        <v/>
      </c>
      <c r="T552" s="30" t="str">
        <f t="array" ref="T552">IF($A552="", "", LET(bbgm_stat, INDEX(Players!$A551:$P551, MATCH(T$2, Players!$A$1:$P$1, 0)), perc_75, VLOOKUP(T$2, Percentiles!$A$45:$I$59, 6, FALSE), perc_90, VLOOKUP(T$2, Percentiles!$A$45:$I$59, 7, FALSE), perc_95, VLOOKUP(T$2, Percentiles!$A$45:$I$59, 8, FALSE), perc_85, perc_75 + (perc_90 - perc_75) * (2/3), converted_stat, '2K_Ratings'!T552, IF(bbgm_stat &gt;= perc_95, converted_stat * 3, IF(bbgm_stat &gt;= perc_90, converted_stat * 2, IF(bbgm_stat &gt;= perc_85, converted_stat * 1.5, converted_stat)))))</f>
        <v/>
      </c>
      <c r="U552" s="30" t="str">
        <f t="array" ref="U552">IF($A552="", "", LET(bbgm_stat, INDEX(Players!$A551:$P551, MATCH(U$2, Players!$A$1:$P$1, 0)), perc_75, VLOOKUP(U$2, Percentiles!$A$45:$I$59, 6, FALSE), perc_90, VLOOKUP(U$2, Percentiles!$A$45:$I$59, 7, FALSE), perc_95, VLOOKUP(U$2, Percentiles!$A$45:$I$59, 8, FALSE), perc_85, perc_75 + (perc_90 - perc_75) * (2/3), converted_stat, '2K_Ratings'!U552, IF(bbgm_stat &gt;= perc_95, converted_stat * 3, IF(bbgm_stat &gt;= perc_90, converted_stat * 2, IF(bbgm_stat &gt;= perc_85, converted_stat * 1.5, converted_stat)))))</f>
        <v/>
      </c>
      <c r="V552" s="30" t="str">
        <f t="array" ref="V552">IF($A552="", "", LET(bbgm_stat, INDEX(Players!$A551:$P551, MATCH(V$2, Players!$A$1:$P$1, 0)), perc_75, VLOOKUP(V$2, Percentiles!$A$45:$I$59, 6, FALSE), perc_90, VLOOKUP(V$2, Percentiles!$A$45:$I$59, 7, FALSE), perc_95, VLOOKUP(V$2, Percentiles!$A$45:$I$59, 8, FALSE), perc_85, perc_75 + (perc_90 - perc_75) * (2/3), converted_stat, '2K_Ratings'!V552, IF(bbgm_stat &gt;= perc_95, converted_stat * 3, IF(bbgm_stat &gt;= perc_90, converted_stat * 2, IF(bbgm_stat &gt;= perc_85, converted_stat * 1.5, converted_stat)))))</f>
        <v/>
      </c>
      <c r="W552" s="30" t="str">
        <f t="array" ref="W552">IF($A552="", "", LET(bbgm_stat, INDEX(Players!$A551:$P551, MATCH(W$2, Players!$A$1:$P$1, 0)), perc_75, VLOOKUP(W$2, Percentiles!$A$45:$I$59, 6, FALSE), perc_90, VLOOKUP(W$2, Percentiles!$A$45:$I$59, 7, FALSE), perc_95, VLOOKUP(W$2, Percentiles!$A$45:$I$59, 8, FALSE), perc_85, perc_75 + (perc_90 - perc_75) * (2/3), converted_stat, '2K_Ratings'!W552, IF(bbgm_stat &gt;= perc_95, converted_stat * 3, IF(bbgm_stat &gt;= perc_90, converted_stat * 2, IF(bbgm_stat &gt;= perc_85, converted_stat * 1.5, converted_stat)))))</f>
        <v/>
      </c>
    </row>
    <row r="553">
      <c r="A553" s="30"/>
      <c r="B553" s="30" t="str">
        <f t="array" ref="B553">IF($A553="", "", LET(bbgm_stat, INDEX(Players!$A552:$P552, MATCH(B$2, Players!$A$1:$P$1, 0)), perc_75, VLOOKUP(B$2, Percentiles!$A$45:$I$59, 6, FALSE), perc_90, VLOOKUP(B$2, Percentiles!$A$45:$I$59, 7, FALSE), perc_95, VLOOKUP(B$2, Percentiles!$A$45:$I$59, 8, FALSE), perc_85, perc_75 + (perc_90 - perc_75) * (2/3), converted_stat, '2K_Ratings'!B553, IF(bbgm_stat &gt;= perc_95, converted_stat * 3, IF(bbgm_stat &gt;= perc_90, converted_stat * 2, IF(bbgm_stat &gt;= perc_85, converted_stat * 1.5, converted_stat)))))</f>
        <v/>
      </c>
      <c r="C553" s="30" t="str">
        <f t="array" ref="C553">IF($A553="", "", LET(bbgm_stat, INDEX(Players!$A552:$P552, MATCH(C$2, Players!$A$1:$P$1, 0)), perc_75, VLOOKUP(C$2, Percentiles!$A$45:$I$59, 6, FALSE), perc_90, VLOOKUP(C$2, Percentiles!$A$45:$I$59, 7, FALSE), perc_95, VLOOKUP(C$2, Percentiles!$A$45:$I$59, 8, FALSE), perc_85, perc_75 + (perc_90 - perc_75) * (2/3), converted_stat, '2K_Ratings'!C553, IF(bbgm_stat &gt;= perc_95, converted_stat * 3, IF(bbgm_stat &gt;= perc_90, converted_stat * 2, IF(bbgm_stat &gt;= perc_85, converted_stat * 1.5, converted_stat)))))</f>
        <v/>
      </c>
      <c r="D553" s="30" t="str">
        <f t="array" ref="D553">IF($A553="", "", LET(bbgm_stat, INDEX(Players!$A552:$P552, MATCH(D$2, Players!$A$1:$P$1, 0)), perc_75, VLOOKUP(D$2, Percentiles!$A$45:$I$59, 6, FALSE), perc_90, VLOOKUP(D$2, Percentiles!$A$45:$I$59, 7, FALSE), perc_95, VLOOKUP(D$2, Percentiles!$A$45:$I$59, 8, FALSE), perc_85, perc_75 + (perc_90 - perc_75) * (2/3), converted_stat, '2K_Ratings'!D553, IF(bbgm_stat &gt;= perc_95, converted_stat * 3, IF(bbgm_stat &gt;= perc_90, converted_stat * 2, IF(bbgm_stat &gt;= perc_85, converted_stat * 1.5, converted_stat)))))</f>
        <v/>
      </c>
      <c r="E553" s="30" t="str">
        <f t="array" ref="E553">IF($A553="", "", LET(bbgm_stat, INDEX(Players!$A552:$P552, MATCH(E$2, Players!$A$1:$P$1, 0)), perc_75, VLOOKUP(E$2, Percentiles!$A$45:$I$59, 6, FALSE), perc_90, VLOOKUP(E$2, Percentiles!$A$45:$I$59, 7, FALSE), perc_95, VLOOKUP(E$2, Percentiles!$A$45:$I$59, 8, FALSE), perc_85, perc_75 + (perc_90 - perc_75) * (2/3), converted_stat, '2K_Ratings'!E553, IF(bbgm_stat &gt;= perc_95, converted_stat * 3, IF(bbgm_stat &gt;= perc_90, converted_stat * 2, IF(bbgm_stat &gt;= perc_85, converted_stat * 1.5, converted_stat)))))</f>
        <v/>
      </c>
      <c r="F553" s="30" t="str">
        <f t="array" ref="F553">IF($A553="", "", LET(bbgm_stat, INDEX(Players!$A552:$P552, MATCH(F$2, Players!$A$1:$P$1, 0)), perc_75, VLOOKUP(F$2, Percentiles!$A$45:$I$59, 6, FALSE), perc_90, VLOOKUP(F$2, Percentiles!$A$45:$I$59, 7, FALSE), perc_95, VLOOKUP(F$2, Percentiles!$A$45:$I$59, 8, FALSE), perc_85, perc_75 + (perc_90 - perc_75) * (2/3), converted_stat, '2K_Ratings'!F553, IF(bbgm_stat &gt;= perc_95, converted_stat * 3, IF(bbgm_stat &gt;= perc_90, converted_stat * 2, IF(bbgm_stat &gt;= perc_85, converted_stat * 1.5, converted_stat)))))</f>
        <v/>
      </c>
      <c r="G553" s="30" t="str">
        <f t="array" ref="G553">IF($A553="", "", LET(bbgm_stat, INDEX(Players!$A552:$P552, MATCH(G$2, Players!$A$1:$P$1, 0)), perc_75, VLOOKUP(G$2, Percentiles!$A$45:$I$59, 6, FALSE), perc_90, VLOOKUP(G$2, Percentiles!$A$45:$I$59, 7, FALSE), perc_95, VLOOKUP(G$2, Percentiles!$A$45:$I$59, 8, FALSE), perc_85, perc_75 + (perc_90 - perc_75) * (2/3), converted_stat, '2K_Ratings'!G553, IF(bbgm_stat &gt;= perc_95, converted_stat * 3, IF(bbgm_stat &gt;= perc_90, converted_stat * 2, IF(bbgm_stat &gt;= perc_85, converted_stat * 1.5, converted_stat)))))</f>
        <v/>
      </c>
      <c r="H553" s="30" t="str">
        <f t="array" ref="H553">IF($A553="", "", LET(bbgm_stat, INDEX(Players!$A552:$P552, MATCH(H$2, Players!$A$1:$P$1, 0)), perc_75, VLOOKUP(H$2, Percentiles!$A$45:$I$59, 6, FALSE), perc_90, VLOOKUP(H$2, Percentiles!$A$45:$I$59, 7, FALSE), perc_95, VLOOKUP(H$2, Percentiles!$A$45:$I$59, 8, FALSE), perc_85, perc_75 + (perc_90 - perc_75) * (2/3), converted_stat, '2K_Ratings'!H553, IF(bbgm_stat &gt;= perc_95, converted_stat * 3, IF(bbgm_stat &gt;= perc_90, converted_stat * 2, IF(bbgm_stat &gt;= perc_85, converted_stat * 1.5, converted_stat)))))</f>
        <v/>
      </c>
      <c r="I553" s="30" t="str">
        <f t="array" ref="I553">IF($A553="", "", LET(bbgm_stat, INDEX(Players!$A552:$P552, MATCH(I$2, Players!$A$1:$P$1, 0)), perc_75, VLOOKUP(I$2, Percentiles!$A$45:$I$59, 6, FALSE), perc_90, VLOOKUP(I$2, Percentiles!$A$45:$I$59, 7, FALSE), perc_95, VLOOKUP(I$2, Percentiles!$A$45:$I$59, 8, FALSE), perc_85, perc_75 + (perc_90 - perc_75) * (2/3), converted_stat, '2K_Ratings'!I553, IF(bbgm_stat &gt;= perc_95, converted_stat * 3, IF(bbgm_stat &gt;= perc_90, converted_stat * 2, IF(bbgm_stat &gt;= perc_85, converted_stat * 1.5, converted_stat)))))</f>
        <v/>
      </c>
      <c r="J553" s="30" t="str">
        <f t="array" ref="J553">IF($A553="", "", LET(bbgm_stat, INDEX(Players!$A552:$P552, MATCH(J$2, Players!$A$1:$P$1, 0)), perc_75, VLOOKUP(J$2, Percentiles!$A$45:$I$59, 6, FALSE), perc_90, VLOOKUP(J$2, Percentiles!$A$45:$I$59, 7, FALSE), perc_95, VLOOKUP(J$2, Percentiles!$A$45:$I$59, 8, FALSE), perc_85, perc_75 + (perc_90 - perc_75) * (2/3), converted_stat, '2K_Ratings'!J553, IF(bbgm_stat &gt;= perc_95, converted_stat * 3, IF(bbgm_stat &gt;= perc_90, converted_stat * 2, IF(bbgm_stat &gt;= perc_85, converted_stat * 1.5, converted_stat)))))</f>
        <v/>
      </c>
      <c r="K553" s="30" t="str">
        <f t="array" ref="K553">IF($A553="", "", LET(bbgm_stat, INDEX(Players!$A552:$P552, MATCH(K$2, Players!$A$1:$P$1, 0)), perc_75, VLOOKUP(K$2, Percentiles!$A$45:$I$59, 6, FALSE), perc_90, VLOOKUP(K$2, Percentiles!$A$45:$I$59, 7, FALSE), perc_95, VLOOKUP(K$2, Percentiles!$A$45:$I$59, 8, FALSE), perc_85, perc_75 + (perc_90 - perc_75) * (2/3), converted_stat, '2K_Ratings'!K553, IF(bbgm_stat &gt;= perc_95, converted_stat * 3, IF(bbgm_stat &gt;= perc_90, converted_stat * 2, IF(bbgm_stat &gt;= perc_85, converted_stat * 1.5, converted_stat)))))</f>
        <v/>
      </c>
      <c r="L553" s="30" t="str">
        <f t="array" ref="L553">IF($A553="", "", LET(bbgm_stat, INDEX(Players!$A552:$P552, MATCH(L$2, Players!$A$1:$P$1, 0)), perc_75, VLOOKUP(L$2, Percentiles!$A$45:$I$59, 6, FALSE), perc_90, VLOOKUP(L$2, Percentiles!$A$45:$I$59, 7, FALSE), perc_95, VLOOKUP(L$2, Percentiles!$A$45:$I$59, 8, FALSE), perc_85, perc_75 + (perc_90 - perc_75) * (2/3), converted_stat, '2K_Ratings'!L553, IF(bbgm_stat &gt;= perc_95, converted_stat * 3, IF(bbgm_stat &gt;= perc_90, converted_stat * 2, IF(bbgm_stat &gt;= perc_85, converted_stat * 1.5, converted_stat)))))</f>
        <v/>
      </c>
      <c r="M553" s="30" t="str">
        <f t="array" ref="M553">IF($A553="", "", LET(bbgm_stat, INDEX(Players!$A552:$P552, MATCH(M$2, Players!$A$1:$P$1, 0)), perc_75, VLOOKUP(M$2, Percentiles!$A$45:$I$59, 6, FALSE), perc_90, VLOOKUP(M$2, Percentiles!$A$45:$I$59, 7, FALSE), perc_95, VLOOKUP(M$2, Percentiles!$A$45:$I$59, 8, FALSE), perc_85, perc_75 + (perc_90 - perc_75) * (2/3), converted_stat, '2K_Ratings'!M553, IF(bbgm_stat &gt;= perc_95, converted_stat * 3, IF(bbgm_stat &gt;= perc_90, converted_stat * 2, IF(bbgm_stat &gt;= perc_85, converted_stat * 1.5, converted_stat)))))</f>
        <v/>
      </c>
      <c r="N553" s="30" t="str">
        <f t="array" ref="N553">IF($A553="", "", LET(bbgm_stat, INDEX(Players!$A552:$P552, MATCH(N$2, Players!$A$1:$P$1, 0)), perc_75, VLOOKUP(N$2, Percentiles!$A$45:$I$59, 6, FALSE), perc_90, VLOOKUP(N$2, Percentiles!$A$45:$I$59, 7, FALSE), perc_95, VLOOKUP(N$2, Percentiles!$A$45:$I$59, 8, FALSE), perc_85, perc_75 + (perc_90 - perc_75) * (2/3), converted_stat, '2K_Ratings'!N553, IF(bbgm_stat &gt;= perc_95, converted_stat * 3, IF(bbgm_stat &gt;= perc_90, converted_stat * 2, IF(bbgm_stat &gt;= perc_85, converted_stat * 1.5, converted_stat)))))</f>
        <v/>
      </c>
      <c r="O553" s="30" t="str">
        <f t="array" ref="O553">IF($A553="", "", LET(bbgm_stat, INDEX(Players!$A552:$P552, MATCH(O$2, Players!$A$1:$P$1, 0)), perc_75, VLOOKUP(O$2, Percentiles!$A$45:$I$59, 6, FALSE), perc_90, VLOOKUP(O$2, Percentiles!$A$45:$I$59, 7, FALSE), perc_95, VLOOKUP(O$2, Percentiles!$A$45:$I$59, 8, FALSE), perc_85, perc_75 + (perc_90 - perc_75) * (2/3), converted_stat, '2K_Ratings'!O553, IF(bbgm_stat &gt;= perc_95, converted_stat * 3, IF(bbgm_stat &gt;= perc_90, converted_stat * 2, IF(bbgm_stat &gt;= perc_85, converted_stat * 1.5, converted_stat)))))</f>
        <v/>
      </c>
      <c r="P553" s="30" t="str">
        <f t="array" ref="P553">IF($A553="", "", LET(bbgm_stat, INDEX(Players!$A552:$P552, MATCH(P$2, Players!$A$1:$P$1, 0)), perc_75, VLOOKUP(P$2, Percentiles!$A$45:$I$59, 6, FALSE), perc_90, VLOOKUP(P$2, Percentiles!$A$45:$I$59, 7, FALSE), perc_95, VLOOKUP(P$2, Percentiles!$A$45:$I$59, 8, FALSE), perc_85, perc_75 + (perc_90 - perc_75) * (2/3), converted_stat, '2K_Ratings'!P553, IF(bbgm_stat &gt;= perc_95, converted_stat * 3, IF(bbgm_stat &gt;= perc_90, converted_stat * 2, IF(bbgm_stat &gt;= perc_85, converted_stat * 1.5, converted_stat)))))</f>
        <v/>
      </c>
      <c r="Q553" s="30" t="str">
        <f t="array" ref="Q553">IF($A553="", "", LET(bbgm_stat, INDEX(Players!$A552:$P552, MATCH(Q$2, Players!$A$1:$P$1, 0)), perc_75, VLOOKUP(Q$2, Percentiles!$A$45:$I$59, 6, FALSE), perc_90, VLOOKUP(Q$2, Percentiles!$A$45:$I$59, 7, FALSE), perc_95, VLOOKUP(Q$2, Percentiles!$A$45:$I$59, 8, FALSE), perc_85, perc_75 + (perc_90 - perc_75) * (2/3), converted_stat, '2K_Ratings'!Q553, IF(bbgm_stat &gt;= perc_95, converted_stat * 3, IF(bbgm_stat &gt;= perc_90, converted_stat * 2, IF(bbgm_stat &gt;= perc_85, converted_stat * 1.5, converted_stat)))))</f>
        <v/>
      </c>
      <c r="R553" s="30" t="str">
        <f t="array" ref="R553">IF($A553="", "", LET(bbgm_stat, INDEX(Players!$A552:$P552, MATCH(R$2, Players!$A$1:$P$1, 0)), perc_75, VLOOKUP(R$2, Percentiles!$A$45:$I$59, 6, FALSE), perc_90, VLOOKUP(R$2, Percentiles!$A$45:$I$59, 7, FALSE), perc_95, VLOOKUP(R$2, Percentiles!$A$45:$I$59, 8, FALSE), perc_85, perc_75 + (perc_90 - perc_75) * (2/3), converted_stat, '2K_Ratings'!R553, IF(bbgm_stat &gt;= perc_95, converted_stat * 3, IF(bbgm_stat &gt;= perc_90, converted_stat * 2, IF(bbgm_stat &gt;= perc_85, converted_stat * 1.5, converted_stat)))))</f>
        <v/>
      </c>
      <c r="S553" s="30" t="str">
        <f t="array" ref="S553">IF($A553="", "", LET(bbgm_stat, INDEX(Players!$A552:$P552, MATCH(S$2, Players!$A$1:$P$1, 0)), perc_75, VLOOKUP(S$2, Percentiles!$A$45:$I$59, 6, FALSE), perc_90, VLOOKUP(S$2, Percentiles!$A$45:$I$59, 7, FALSE), perc_95, VLOOKUP(S$2, Percentiles!$A$45:$I$59, 8, FALSE), perc_85, perc_75 + (perc_90 - perc_75) * (2/3), converted_stat, '2K_Ratings'!S553, IF(bbgm_stat &gt;= perc_95, converted_stat * 3, IF(bbgm_stat &gt;= perc_90, converted_stat * 2, IF(bbgm_stat &gt;= perc_85, converted_stat * 1.5, converted_stat)))))</f>
        <v/>
      </c>
      <c r="T553" s="30" t="str">
        <f t="array" ref="T553">IF($A553="", "", LET(bbgm_stat, INDEX(Players!$A552:$P552, MATCH(T$2, Players!$A$1:$P$1, 0)), perc_75, VLOOKUP(T$2, Percentiles!$A$45:$I$59, 6, FALSE), perc_90, VLOOKUP(T$2, Percentiles!$A$45:$I$59, 7, FALSE), perc_95, VLOOKUP(T$2, Percentiles!$A$45:$I$59, 8, FALSE), perc_85, perc_75 + (perc_90 - perc_75) * (2/3), converted_stat, '2K_Ratings'!T553, IF(bbgm_stat &gt;= perc_95, converted_stat * 3, IF(bbgm_stat &gt;= perc_90, converted_stat * 2, IF(bbgm_stat &gt;= perc_85, converted_stat * 1.5, converted_stat)))))</f>
        <v/>
      </c>
      <c r="U553" s="30" t="str">
        <f t="array" ref="U553">IF($A553="", "", LET(bbgm_stat, INDEX(Players!$A552:$P552, MATCH(U$2, Players!$A$1:$P$1, 0)), perc_75, VLOOKUP(U$2, Percentiles!$A$45:$I$59, 6, FALSE), perc_90, VLOOKUP(U$2, Percentiles!$A$45:$I$59, 7, FALSE), perc_95, VLOOKUP(U$2, Percentiles!$A$45:$I$59, 8, FALSE), perc_85, perc_75 + (perc_90 - perc_75) * (2/3), converted_stat, '2K_Ratings'!U553, IF(bbgm_stat &gt;= perc_95, converted_stat * 3, IF(bbgm_stat &gt;= perc_90, converted_stat * 2, IF(bbgm_stat &gt;= perc_85, converted_stat * 1.5, converted_stat)))))</f>
        <v/>
      </c>
      <c r="V553" s="30" t="str">
        <f t="array" ref="V553">IF($A553="", "", LET(bbgm_stat, INDEX(Players!$A552:$P552, MATCH(V$2, Players!$A$1:$P$1, 0)), perc_75, VLOOKUP(V$2, Percentiles!$A$45:$I$59, 6, FALSE), perc_90, VLOOKUP(V$2, Percentiles!$A$45:$I$59, 7, FALSE), perc_95, VLOOKUP(V$2, Percentiles!$A$45:$I$59, 8, FALSE), perc_85, perc_75 + (perc_90 - perc_75) * (2/3), converted_stat, '2K_Ratings'!V553, IF(bbgm_stat &gt;= perc_95, converted_stat * 3, IF(bbgm_stat &gt;= perc_90, converted_stat * 2, IF(bbgm_stat &gt;= perc_85, converted_stat * 1.5, converted_stat)))))</f>
        <v/>
      </c>
      <c r="W553" s="30" t="str">
        <f t="array" ref="W553">IF($A553="", "", LET(bbgm_stat, INDEX(Players!$A552:$P552, MATCH(W$2, Players!$A$1:$P$1, 0)), perc_75, VLOOKUP(W$2, Percentiles!$A$45:$I$59, 6, FALSE), perc_90, VLOOKUP(W$2, Percentiles!$A$45:$I$59, 7, FALSE), perc_95, VLOOKUP(W$2, Percentiles!$A$45:$I$59, 8, FALSE), perc_85, perc_75 + (perc_90 - perc_75) * (2/3), converted_stat, '2K_Ratings'!W553, IF(bbgm_stat &gt;= perc_95, converted_stat * 3, IF(bbgm_stat &gt;= perc_90, converted_stat * 2, IF(bbgm_stat &gt;= perc_85, converted_stat * 1.5, converted_stat)))))</f>
        <v/>
      </c>
    </row>
    <row r="554">
      <c r="A554" s="30"/>
      <c r="B554" s="30" t="str">
        <f t="array" ref="B554">IF($A554="", "", LET(bbgm_stat, INDEX(Players!$A553:$P553, MATCH(B$2, Players!$A$1:$P$1, 0)), perc_75, VLOOKUP(B$2, Percentiles!$A$45:$I$59, 6, FALSE), perc_90, VLOOKUP(B$2, Percentiles!$A$45:$I$59, 7, FALSE), perc_95, VLOOKUP(B$2, Percentiles!$A$45:$I$59, 8, FALSE), perc_85, perc_75 + (perc_90 - perc_75) * (2/3), converted_stat, '2K_Ratings'!B554, IF(bbgm_stat &gt;= perc_95, converted_stat * 3, IF(bbgm_stat &gt;= perc_90, converted_stat * 2, IF(bbgm_stat &gt;= perc_85, converted_stat * 1.5, converted_stat)))))</f>
        <v/>
      </c>
      <c r="C554" s="30" t="str">
        <f t="array" ref="C554">IF($A554="", "", LET(bbgm_stat, INDEX(Players!$A553:$P553, MATCH(C$2, Players!$A$1:$P$1, 0)), perc_75, VLOOKUP(C$2, Percentiles!$A$45:$I$59, 6, FALSE), perc_90, VLOOKUP(C$2, Percentiles!$A$45:$I$59, 7, FALSE), perc_95, VLOOKUP(C$2, Percentiles!$A$45:$I$59, 8, FALSE), perc_85, perc_75 + (perc_90 - perc_75) * (2/3), converted_stat, '2K_Ratings'!C554, IF(bbgm_stat &gt;= perc_95, converted_stat * 3, IF(bbgm_stat &gt;= perc_90, converted_stat * 2, IF(bbgm_stat &gt;= perc_85, converted_stat * 1.5, converted_stat)))))</f>
        <v/>
      </c>
      <c r="D554" s="30" t="str">
        <f t="array" ref="D554">IF($A554="", "", LET(bbgm_stat, INDEX(Players!$A553:$P553, MATCH(D$2, Players!$A$1:$P$1, 0)), perc_75, VLOOKUP(D$2, Percentiles!$A$45:$I$59, 6, FALSE), perc_90, VLOOKUP(D$2, Percentiles!$A$45:$I$59, 7, FALSE), perc_95, VLOOKUP(D$2, Percentiles!$A$45:$I$59, 8, FALSE), perc_85, perc_75 + (perc_90 - perc_75) * (2/3), converted_stat, '2K_Ratings'!D554, IF(bbgm_stat &gt;= perc_95, converted_stat * 3, IF(bbgm_stat &gt;= perc_90, converted_stat * 2, IF(bbgm_stat &gt;= perc_85, converted_stat * 1.5, converted_stat)))))</f>
        <v/>
      </c>
      <c r="E554" s="30" t="str">
        <f t="array" ref="E554">IF($A554="", "", LET(bbgm_stat, INDEX(Players!$A553:$P553, MATCH(E$2, Players!$A$1:$P$1, 0)), perc_75, VLOOKUP(E$2, Percentiles!$A$45:$I$59, 6, FALSE), perc_90, VLOOKUP(E$2, Percentiles!$A$45:$I$59, 7, FALSE), perc_95, VLOOKUP(E$2, Percentiles!$A$45:$I$59, 8, FALSE), perc_85, perc_75 + (perc_90 - perc_75) * (2/3), converted_stat, '2K_Ratings'!E554, IF(bbgm_stat &gt;= perc_95, converted_stat * 3, IF(bbgm_stat &gt;= perc_90, converted_stat * 2, IF(bbgm_stat &gt;= perc_85, converted_stat * 1.5, converted_stat)))))</f>
        <v/>
      </c>
      <c r="F554" s="30" t="str">
        <f t="array" ref="F554">IF($A554="", "", LET(bbgm_stat, INDEX(Players!$A553:$P553, MATCH(F$2, Players!$A$1:$P$1, 0)), perc_75, VLOOKUP(F$2, Percentiles!$A$45:$I$59, 6, FALSE), perc_90, VLOOKUP(F$2, Percentiles!$A$45:$I$59, 7, FALSE), perc_95, VLOOKUP(F$2, Percentiles!$A$45:$I$59, 8, FALSE), perc_85, perc_75 + (perc_90 - perc_75) * (2/3), converted_stat, '2K_Ratings'!F554, IF(bbgm_stat &gt;= perc_95, converted_stat * 3, IF(bbgm_stat &gt;= perc_90, converted_stat * 2, IF(bbgm_stat &gt;= perc_85, converted_stat * 1.5, converted_stat)))))</f>
        <v/>
      </c>
      <c r="G554" s="30" t="str">
        <f t="array" ref="G554">IF($A554="", "", LET(bbgm_stat, INDEX(Players!$A553:$P553, MATCH(G$2, Players!$A$1:$P$1, 0)), perc_75, VLOOKUP(G$2, Percentiles!$A$45:$I$59, 6, FALSE), perc_90, VLOOKUP(G$2, Percentiles!$A$45:$I$59, 7, FALSE), perc_95, VLOOKUP(G$2, Percentiles!$A$45:$I$59, 8, FALSE), perc_85, perc_75 + (perc_90 - perc_75) * (2/3), converted_stat, '2K_Ratings'!G554, IF(bbgm_stat &gt;= perc_95, converted_stat * 3, IF(bbgm_stat &gt;= perc_90, converted_stat * 2, IF(bbgm_stat &gt;= perc_85, converted_stat * 1.5, converted_stat)))))</f>
        <v/>
      </c>
      <c r="H554" s="30" t="str">
        <f t="array" ref="H554">IF($A554="", "", LET(bbgm_stat, INDEX(Players!$A553:$P553, MATCH(H$2, Players!$A$1:$P$1, 0)), perc_75, VLOOKUP(H$2, Percentiles!$A$45:$I$59, 6, FALSE), perc_90, VLOOKUP(H$2, Percentiles!$A$45:$I$59, 7, FALSE), perc_95, VLOOKUP(H$2, Percentiles!$A$45:$I$59, 8, FALSE), perc_85, perc_75 + (perc_90 - perc_75) * (2/3), converted_stat, '2K_Ratings'!H554, IF(bbgm_stat &gt;= perc_95, converted_stat * 3, IF(bbgm_stat &gt;= perc_90, converted_stat * 2, IF(bbgm_stat &gt;= perc_85, converted_stat * 1.5, converted_stat)))))</f>
        <v/>
      </c>
      <c r="I554" s="30" t="str">
        <f t="array" ref="I554">IF($A554="", "", LET(bbgm_stat, INDEX(Players!$A553:$P553, MATCH(I$2, Players!$A$1:$P$1, 0)), perc_75, VLOOKUP(I$2, Percentiles!$A$45:$I$59, 6, FALSE), perc_90, VLOOKUP(I$2, Percentiles!$A$45:$I$59, 7, FALSE), perc_95, VLOOKUP(I$2, Percentiles!$A$45:$I$59, 8, FALSE), perc_85, perc_75 + (perc_90 - perc_75) * (2/3), converted_stat, '2K_Ratings'!I554, IF(bbgm_stat &gt;= perc_95, converted_stat * 3, IF(bbgm_stat &gt;= perc_90, converted_stat * 2, IF(bbgm_stat &gt;= perc_85, converted_stat * 1.5, converted_stat)))))</f>
        <v/>
      </c>
      <c r="J554" s="30" t="str">
        <f t="array" ref="J554">IF($A554="", "", LET(bbgm_stat, INDEX(Players!$A553:$P553, MATCH(J$2, Players!$A$1:$P$1, 0)), perc_75, VLOOKUP(J$2, Percentiles!$A$45:$I$59, 6, FALSE), perc_90, VLOOKUP(J$2, Percentiles!$A$45:$I$59, 7, FALSE), perc_95, VLOOKUP(J$2, Percentiles!$A$45:$I$59, 8, FALSE), perc_85, perc_75 + (perc_90 - perc_75) * (2/3), converted_stat, '2K_Ratings'!J554, IF(bbgm_stat &gt;= perc_95, converted_stat * 3, IF(bbgm_stat &gt;= perc_90, converted_stat * 2, IF(bbgm_stat &gt;= perc_85, converted_stat * 1.5, converted_stat)))))</f>
        <v/>
      </c>
      <c r="K554" s="30" t="str">
        <f t="array" ref="K554">IF($A554="", "", LET(bbgm_stat, INDEX(Players!$A553:$P553, MATCH(K$2, Players!$A$1:$P$1, 0)), perc_75, VLOOKUP(K$2, Percentiles!$A$45:$I$59, 6, FALSE), perc_90, VLOOKUP(K$2, Percentiles!$A$45:$I$59, 7, FALSE), perc_95, VLOOKUP(K$2, Percentiles!$A$45:$I$59, 8, FALSE), perc_85, perc_75 + (perc_90 - perc_75) * (2/3), converted_stat, '2K_Ratings'!K554, IF(bbgm_stat &gt;= perc_95, converted_stat * 3, IF(bbgm_stat &gt;= perc_90, converted_stat * 2, IF(bbgm_stat &gt;= perc_85, converted_stat * 1.5, converted_stat)))))</f>
        <v/>
      </c>
      <c r="L554" s="30" t="str">
        <f t="array" ref="L554">IF($A554="", "", LET(bbgm_stat, INDEX(Players!$A553:$P553, MATCH(L$2, Players!$A$1:$P$1, 0)), perc_75, VLOOKUP(L$2, Percentiles!$A$45:$I$59, 6, FALSE), perc_90, VLOOKUP(L$2, Percentiles!$A$45:$I$59, 7, FALSE), perc_95, VLOOKUP(L$2, Percentiles!$A$45:$I$59, 8, FALSE), perc_85, perc_75 + (perc_90 - perc_75) * (2/3), converted_stat, '2K_Ratings'!L554, IF(bbgm_stat &gt;= perc_95, converted_stat * 3, IF(bbgm_stat &gt;= perc_90, converted_stat * 2, IF(bbgm_stat &gt;= perc_85, converted_stat * 1.5, converted_stat)))))</f>
        <v/>
      </c>
      <c r="M554" s="30" t="str">
        <f t="array" ref="M554">IF($A554="", "", LET(bbgm_stat, INDEX(Players!$A553:$P553, MATCH(M$2, Players!$A$1:$P$1, 0)), perc_75, VLOOKUP(M$2, Percentiles!$A$45:$I$59, 6, FALSE), perc_90, VLOOKUP(M$2, Percentiles!$A$45:$I$59, 7, FALSE), perc_95, VLOOKUP(M$2, Percentiles!$A$45:$I$59, 8, FALSE), perc_85, perc_75 + (perc_90 - perc_75) * (2/3), converted_stat, '2K_Ratings'!M554, IF(bbgm_stat &gt;= perc_95, converted_stat * 3, IF(bbgm_stat &gt;= perc_90, converted_stat * 2, IF(bbgm_stat &gt;= perc_85, converted_stat * 1.5, converted_stat)))))</f>
        <v/>
      </c>
      <c r="N554" s="30" t="str">
        <f t="array" ref="N554">IF($A554="", "", LET(bbgm_stat, INDEX(Players!$A553:$P553, MATCH(N$2, Players!$A$1:$P$1, 0)), perc_75, VLOOKUP(N$2, Percentiles!$A$45:$I$59, 6, FALSE), perc_90, VLOOKUP(N$2, Percentiles!$A$45:$I$59, 7, FALSE), perc_95, VLOOKUP(N$2, Percentiles!$A$45:$I$59, 8, FALSE), perc_85, perc_75 + (perc_90 - perc_75) * (2/3), converted_stat, '2K_Ratings'!N554, IF(bbgm_stat &gt;= perc_95, converted_stat * 3, IF(bbgm_stat &gt;= perc_90, converted_stat * 2, IF(bbgm_stat &gt;= perc_85, converted_stat * 1.5, converted_stat)))))</f>
        <v/>
      </c>
      <c r="O554" s="30" t="str">
        <f t="array" ref="O554">IF($A554="", "", LET(bbgm_stat, INDEX(Players!$A553:$P553, MATCH(O$2, Players!$A$1:$P$1, 0)), perc_75, VLOOKUP(O$2, Percentiles!$A$45:$I$59, 6, FALSE), perc_90, VLOOKUP(O$2, Percentiles!$A$45:$I$59, 7, FALSE), perc_95, VLOOKUP(O$2, Percentiles!$A$45:$I$59, 8, FALSE), perc_85, perc_75 + (perc_90 - perc_75) * (2/3), converted_stat, '2K_Ratings'!O554, IF(bbgm_stat &gt;= perc_95, converted_stat * 3, IF(bbgm_stat &gt;= perc_90, converted_stat * 2, IF(bbgm_stat &gt;= perc_85, converted_stat * 1.5, converted_stat)))))</f>
        <v/>
      </c>
      <c r="P554" s="30" t="str">
        <f t="array" ref="P554">IF($A554="", "", LET(bbgm_stat, INDEX(Players!$A553:$P553, MATCH(P$2, Players!$A$1:$P$1, 0)), perc_75, VLOOKUP(P$2, Percentiles!$A$45:$I$59, 6, FALSE), perc_90, VLOOKUP(P$2, Percentiles!$A$45:$I$59, 7, FALSE), perc_95, VLOOKUP(P$2, Percentiles!$A$45:$I$59, 8, FALSE), perc_85, perc_75 + (perc_90 - perc_75) * (2/3), converted_stat, '2K_Ratings'!P554, IF(bbgm_stat &gt;= perc_95, converted_stat * 3, IF(bbgm_stat &gt;= perc_90, converted_stat * 2, IF(bbgm_stat &gt;= perc_85, converted_stat * 1.5, converted_stat)))))</f>
        <v/>
      </c>
      <c r="Q554" s="30" t="str">
        <f t="array" ref="Q554">IF($A554="", "", LET(bbgm_stat, INDEX(Players!$A553:$P553, MATCH(Q$2, Players!$A$1:$P$1, 0)), perc_75, VLOOKUP(Q$2, Percentiles!$A$45:$I$59, 6, FALSE), perc_90, VLOOKUP(Q$2, Percentiles!$A$45:$I$59, 7, FALSE), perc_95, VLOOKUP(Q$2, Percentiles!$A$45:$I$59, 8, FALSE), perc_85, perc_75 + (perc_90 - perc_75) * (2/3), converted_stat, '2K_Ratings'!Q554, IF(bbgm_stat &gt;= perc_95, converted_stat * 3, IF(bbgm_stat &gt;= perc_90, converted_stat * 2, IF(bbgm_stat &gt;= perc_85, converted_stat * 1.5, converted_stat)))))</f>
        <v/>
      </c>
      <c r="R554" s="30" t="str">
        <f t="array" ref="R554">IF($A554="", "", LET(bbgm_stat, INDEX(Players!$A553:$P553, MATCH(R$2, Players!$A$1:$P$1, 0)), perc_75, VLOOKUP(R$2, Percentiles!$A$45:$I$59, 6, FALSE), perc_90, VLOOKUP(R$2, Percentiles!$A$45:$I$59, 7, FALSE), perc_95, VLOOKUP(R$2, Percentiles!$A$45:$I$59, 8, FALSE), perc_85, perc_75 + (perc_90 - perc_75) * (2/3), converted_stat, '2K_Ratings'!R554, IF(bbgm_stat &gt;= perc_95, converted_stat * 3, IF(bbgm_stat &gt;= perc_90, converted_stat * 2, IF(bbgm_stat &gt;= perc_85, converted_stat * 1.5, converted_stat)))))</f>
        <v/>
      </c>
      <c r="S554" s="30" t="str">
        <f t="array" ref="S554">IF($A554="", "", LET(bbgm_stat, INDEX(Players!$A553:$P553, MATCH(S$2, Players!$A$1:$P$1, 0)), perc_75, VLOOKUP(S$2, Percentiles!$A$45:$I$59, 6, FALSE), perc_90, VLOOKUP(S$2, Percentiles!$A$45:$I$59, 7, FALSE), perc_95, VLOOKUP(S$2, Percentiles!$A$45:$I$59, 8, FALSE), perc_85, perc_75 + (perc_90 - perc_75) * (2/3), converted_stat, '2K_Ratings'!S554, IF(bbgm_stat &gt;= perc_95, converted_stat * 3, IF(bbgm_stat &gt;= perc_90, converted_stat * 2, IF(bbgm_stat &gt;= perc_85, converted_stat * 1.5, converted_stat)))))</f>
        <v/>
      </c>
      <c r="T554" s="30" t="str">
        <f t="array" ref="T554">IF($A554="", "", LET(bbgm_stat, INDEX(Players!$A553:$P553, MATCH(T$2, Players!$A$1:$P$1, 0)), perc_75, VLOOKUP(T$2, Percentiles!$A$45:$I$59, 6, FALSE), perc_90, VLOOKUP(T$2, Percentiles!$A$45:$I$59, 7, FALSE), perc_95, VLOOKUP(T$2, Percentiles!$A$45:$I$59, 8, FALSE), perc_85, perc_75 + (perc_90 - perc_75) * (2/3), converted_stat, '2K_Ratings'!T554, IF(bbgm_stat &gt;= perc_95, converted_stat * 3, IF(bbgm_stat &gt;= perc_90, converted_stat * 2, IF(bbgm_stat &gt;= perc_85, converted_stat * 1.5, converted_stat)))))</f>
        <v/>
      </c>
      <c r="U554" s="30" t="str">
        <f t="array" ref="U554">IF($A554="", "", LET(bbgm_stat, INDEX(Players!$A553:$P553, MATCH(U$2, Players!$A$1:$P$1, 0)), perc_75, VLOOKUP(U$2, Percentiles!$A$45:$I$59, 6, FALSE), perc_90, VLOOKUP(U$2, Percentiles!$A$45:$I$59, 7, FALSE), perc_95, VLOOKUP(U$2, Percentiles!$A$45:$I$59, 8, FALSE), perc_85, perc_75 + (perc_90 - perc_75) * (2/3), converted_stat, '2K_Ratings'!U554, IF(bbgm_stat &gt;= perc_95, converted_stat * 3, IF(bbgm_stat &gt;= perc_90, converted_stat * 2, IF(bbgm_stat &gt;= perc_85, converted_stat * 1.5, converted_stat)))))</f>
        <v/>
      </c>
      <c r="V554" s="30" t="str">
        <f t="array" ref="V554">IF($A554="", "", LET(bbgm_stat, INDEX(Players!$A553:$P553, MATCH(V$2, Players!$A$1:$P$1, 0)), perc_75, VLOOKUP(V$2, Percentiles!$A$45:$I$59, 6, FALSE), perc_90, VLOOKUP(V$2, Percentiles!$A$45:$I$59, 7, FALSE), perc_95, VLOOKUP(V$2, Percentiles!$A$45:$I$59, 8, FALSE), perc_85, perc_75 + (perc_90 - perc_75) * (2/3), converted_stat, '2K_Ratings'!V554, IF(bbgm_stat &gt;= perc_95, converted_stat * 3, IF(bbgm_stat &gt;= perc_90, converted_stat * 2, IF(bbgm_stat &gt;= perc_85, converted_stat * 1.5, converted_stat)))))</f>
        <v/>
      </c>
      <c r="W554" s="30" t="str">
        <f t="array" ref="W554">IF($A554="", "", LET(bbgm_stat, INDEX(Players!$A553:$P553, MATCH(W$2, Players!$A$1:$P$1, 0)), perc_75, VLOOKUP(W$2, Percentiles!$A$45:$I$59, 6, FALSE), perc_90, VLOOKUP(W$2, Percentiles!$A$45:$I$59, 7, FALSE), perc_95, VLOOKUP(W$2, Percentiles!$A$45:$I$59, 8, FALSE), perc_85, perc_75 + (perc_90 - perc_75) * (2/3), converted_stat, '2K_Ratings'!W554, IF(bbgm_stat &gt;= perc_95, converted_stat * 3, IF(bbgm_stat &gt;= perc_90, converted_stat * 2, IF(bbgm_stat &gt;= perc_85, converted_stat * 1.5, converted_stat)))))</f>
        <v/>
      </c>
    </row>
    <row r="555">
      <c r="A555" s="30"/>
      <c r="B555" s="30" t="str">
        <f t="array" ref="B555">IF($A555="", "", LET(bbgm_stat, INDEX(Players!$A554:$P554, MATCH(B$2, Players!$A$1:$P$1, 0)), perc_75, VLOOKUP(B$2, Percentiles!$A$45:$I$59, 6, FALSE), perc_90, VLOOKUP(B$2, Percentiles!$A$45:$I$59, 7, FALSE), perc_95, VLOOKUP(B$2, Percentiles!$A$45:$I$59, 8, FALSE), perc_85, perc_75 + (perc_90 - perc_75) * (2/3), converted_stat, '2K_Ratings'!B555, IF(bbgm_stat &gt;= perc_95, converted_stat * 3, IF(bbgm_stat &gt;= perc_90, converted_stat * 2, IF(bbgm_stat &gt;= perc_85, converted_stat * 1.5, converted_stat)))))</f>
        <v/>
      </c>
      <c r="C555" s="30" t="str">
        <f t="array" ref="C555">IF($A555="", "", LET(bbgm_stat, INDEX(Players!$A554:$P554, MATCH(C$2, Players!$A$1:$P$1, 0)), perc_75, VLOOKUP(C$2, Percentiles!$A$45:$I$59, 6, FALSE), perc_90, VLOOKUP(C$2, Percentiles!$A$45:$I$59, 7, FALSE), perc_95, VLOOKUP(C$2, Percentiles!$A$45:$I$59, 8, FALSE), perc_85, perc_75 + (perc_90 - perc_75) * (2/3), converted_stat, '2K_Ratings'!C555, IF(bbgm_stat &gt;= perc_95, converted_stat * 3, IF(bbgm_stat &gt;= perc_90, converted_stat * 2, IF(bbgm_stat &gt;= perc_85, converted_stat * 1.5, converted_stat)))))</f>
        <v/>
      </c>
      <c r="D555" s="30" t="str">
        <f t="array" ref="D555">IF($A555="", "", LET(bbgm_stat, INDEX(Players!$A554:$P554, MATCH(D$2, Players!$A$1:$P$1, 0)), perc_75, VLOOKUP(D$2, Percentiles!$A$45:$I$59, 6, FALSE), perc_90, VLOOKUP(D$2, Percentiles!$A$45:$I$59, 7, FALSE), perc_95, VLOOKUP(D$2, Percentiles!$A$45:$I$59, 8, FALSE), perc_85, perc_75 + (perc_90 - perc_75) * (2/3), converted_stat, '2K_Ratings'!D555, IF(bbgm_stat &gt;= perc_95, converted_stat * 3, IF(bbgm_stat &gt;= perc_90, converted_stat * 2, IF(bbgm_stat &gt;= perc_85, converted_stat * 1.5, converted_stat)))))</f>
        <v/>
      </c>
      <c r="E555" s="30" t="str">
        <f t="array" ref="E555">IF($A555="", "", LET(bbgm_stat, INDEX(Players!$A554:$P554, MATCH(E$2, Players!$A$1:$P$1, 0)), perc_75, VLOOKUP(E$2, Percentiles!$A$45:$I$59, 6, FALSE), perc_90, VLOOKUP(E$2, Percentiles!$A$45:$I$59, 7, FALSE), perc_95, VLOOKUP(E$2, Percentiles!$A$45:$I$59, 8, FALSE), perc_85, perc_75 + (perc_90 - perc_75) * (2/3), converted_stat, '2K_Ratings'!E555, IF(bbgm_stat &gt;= perc_95, converted_stat * 3, IF(bbgm_stat &gt;= perc_90, converted_stat * 2, IF(bbgm_stat &gt;= perc_85, converted_stat * 1.5, converted_stat)))))</f>
        <v/>
      </c>
      <c r="F555" s="30" t="str">
        <f t="array" ref="F555">IF($A555="", "", LET(bbgm_stat, INDEX(Players!$A554:$P554, MATCH(F$2, Players!$A$1:$P$1, 0)), perc_75, VLOOKUP(F$2, Percentiles!$A$45:$I$59, 6, FALSE), perc_90, VLOOKUP(F$2, Percentiles!$A$45:$I$59, 7, FALSE), perc_95, VLOOKUP(F$2, Percentiles!$A$45:$I$59, 8, FALSE), perc_85, perc_75 + (perc_90 - perc_75) * (2/3), converted_stat, '2K_Ratings'!F555, IF(bbgm_stat &gt;= perc_95, converted_stat * 3, IF(bbgm_stat &gt;= perc_90, converted_stat * 2, IF(bbgm_stat &gt;= perc_85, converted_stat * 1.5, converted_stat)))))</f>
        <v/>
      </c>
      <c r="G555" s="30" t="str">
        <f t="array" ref="G555">IF($A555="", "", LET(bbgm_stat, INDEX(Players!$A554:$P554, MATCH(G$2, Players!$A$1:$P$1, 0)), perc_75, VLOOKUP(G$2, Percentiles!$A$45:$I$59, 6, FALSE), perc_90, VLOOKUP(G$2, Percentiles!$A$45:$I$59, 7, FALSE), perc_95, VLOOKUP(G$2, Percentiles!$A$45:$I$59, 8, FALSE), perc_85, perc_75 + (perc_90 - perc_75) * (2/3), converted_stat, '2K_Ratings'!G555, IF(bbgm_stat &gt;= perc_95, converted_stat * 3, IF(bbgm_stat &gt;= perc_90, converted_stat * 2, IF(bbgm_stat &gt;= perc_85, converted_stat * 1.5, converted_stat)))))</f>
        <v/>
      </c>
      <c r="H555" s="30" t="str">
        <f t="array" ref="H555">IF($A555="", "", LET(bbgm_stat, INDEX(Players!$A554:$P554, MATCH(H$2, Players!$A$1:$P$1, 0)), perc_75, VLOOKUP(H$2, Percentiles!$A$45:$I$59, 6, FALSE), perc_90, VLOOKUP(H$2, Percentiles!$A$45:$I$59, 7, FALSE), perc_95, VLOOKUP(H$2, Percentiles!$A$45:$I$59, 8, FALSE), perc_85, perc_75 + (perc_90 - perc_75) * (2/3), converted_stat, '2K_Ratings'!H555, IF(bbgm_stat &gt;= perc_95, converted_stat * 3, IF(bbgm_stat &gt;= perc_90, converted_stat * 2, IF(bbgm_stat &gt;= perc_85, converted_stat * 1.5, converted_stat)))))</f>
        <v/>
      </c>
      <c r="I555" s="30" t="str">
        <f t="array" ref="I555">IF($A555="", "", LET(bbgm_stat, INDEX(Players!$A554:$P554, MATCH(I$2, Players!$A$1:$P$1, 0)), perc_75, VLOOKUP(I$2, Percentiles!$A$45:$I$59, 6, FALSE), perc_90, VLOOKUP(I$2, Percentiles!$A$45:$I$59, 7, FALSE), perc_95, VLOOKUP(I$2, Percentiles!$A$45:$I$59, 8, FALSE), perc_85, perc_75 + (perc_90 - perc_75) * (2/3), converted_stat, '2K_Ratings'!I555, IF(bbgm_stat &gt;= perc_95, converted_stat * 3, IF(bbgm_stat &gt;= perc_90, converted_stat * 2, IF(bbgm_stat &gt;= perc_85, converted_stat * 1.5, converted_stat)))))</f>
        <v/>
      </c>
      <c r="J555" s="30" t="str">
        <f t="array" ref="J555">IF($A555="", "", LET(bbgm_stat, INDEX(Players!$A554:$P554, MATCH(J$2, Players!$A$1:$P$1, 0)), perc_75, VLOOKUP(J$2, Percentiles!$A$45:$I$59, 6, FALSE), perc_90, VLOOKUP(J$2, Percentiles!$A$45:$I$59, 7, FALSE), perc_95, VLOOKUP(J$2, Percentiles!$A$45:$I$59, 8, FALSE), perc_85, perc_75 + (perc_90 - perc_75) * (2/3), converted_stat, '2K_Ratings'!J555, IF(bbgm_stat &gt;= perc_95, converted_stat * 3, IF(bbgm_stat &gt;= perc_90, converted_stat * 2, IF(bbgm_stat &gt;= perc_85, converted_stat * 1.5, converted_stat)))))</f>
        <v/>
      </c>
      <c r="K555" s="30" t="str">
        <f t="array" ref="K555">IF($A555="", "", LET(bbgm_stat, INDEX(Players!$A554:$P554, MATCH(K$2, Players!$A$1:$P$1, 0)), perc_75, VLOOKUP(K$2, Percentiles!$A$45:$I$59, 6, FALSE), perc_90, VLOOKUP(K$2, Percentiles!$A$45:$I$59, 7, FALSE), perc_95, VLOOKUP(K$2, Percentiles!$A$45:$I$59, 8, FALSE), perc_85, perc_75 + (perc_90 - perc_75) * (2/3), converted_stat, '2K_Ratings'!K555, IF(bbgm_stat &gt;= perc_95, converted_stat * 3, IF(bbgm_stat &gt;= perc_90, converted_stat * 2, IF(bbgm_stat &gt;= perc_85, converted_stat * 1.5, converted_stat)))))</f>
        <v/>
      </c>
      <c r="L555" s="30" t="str">
        <f t="array" ref="L555">IF($A555="", "", LET(bbgm_stat, INDEX(Players!$A554:$P554, MATCH(L$2, Players!$A$1:$P$1, 0)), perc_75, VLOOKUP(L$2, Percentiles!$A$45:$I$59, 6, FALSE), perc_90, VLOOKUP(L$2, Percentiles!$A$45:$I$59, 7, FALSE), perc_95, VLOOKUP(L$2, Percentiles!$A$45:$I$59, 8, FALSE), perc_85, perc_75 + (perc_90 - perc_75) * (2/3), converted_stat, '2K_Ratings'!L555, IF(bbgm_stat &gt;= perc_95, converted_stat * 3, IF(bbgm_stat &gt;= perc_90, converted_stat * 2, IF(bbgm_stat &gt;= perc_85, converted_stat * 1.5, converted_stat)))))</f>
        <v/>
      </c>
      <c r="M555" s="30" t="str">
        <f t="array" ref="M555">IF($A555="", "", LET(bbgm_stat, INDEX(Players!$A554:$P554, MATCH(M$2, Players!$A$1:$P$1, 0)), perc_75, VLOOKUP(M$2, Percentiles!$A$45:$I$59, 6, FALSE), perc_90, VLOOKUP(M$2, Percentiles!$A$45:$I$59, 7, FALSE), perc_95, VLOOKUP(M$2, Percentiles!$A$45:$I$59, 8, FALSE), perc_85, perc_75 + (perc_90 - perc_75) * (2/3), converted_stat, '2K_Ratings'!M555, IF(bbgm_stat &gt;= perc_95, converted_stat * 3, IF(bbgm_stat &gt;= perc_90, converted_stat * 2, IF(bbgm_stat &gt;= perc_85, converted_stat * 1.5, converted_stat)))))</f>
        <v/>
      </c>
      <c r="N555" s="30" t="str">
        <f t="array" ref="N555">IF($A555="", "", LET(bbgm_stat, INDEX(Players!$A554:$P554, MATCH(N$2, Players!$A$1:$P$1, 0)), perc_75, VLOOKUP(N$2, Percentiles!$A$45:$I$59, 6, FALSE), perc_90, VLOOKUP(N$2, Percentiles!$A$45:$I$59, 7, FALSE), perc_95, VLOOKUP(N$2, Percentiles!$A$45:$I$59, 8, FALSE), perc_85, perc_75 + (perc_90 - perc_75) * (2/3), converted_stat, '2K_Ratings'!N555, IF(bbgm_stat &gt;= perc_95, converted_stat * 3, IF(bbgm_stat &gt;= perc_90, converted_stat * 2, IF(bbgm_stat &gt;= perc_85, converted_stat * 1.5, converted_stat)))))</f>
        <v/>
      </c>
      <c r="O555" s="30" t="str">
        <f t="array" ref="O555">IF($A555="", "", LET(bbgm_stat, INDEX(Players!$A554:$P554, MATCH(O$2, Players!$A$1:$P$1, 0)), perc_75, VLOOKUP(O$2, Percentiles!$A$45:$I$59, 6, FALSE), perc_90, VLOOKUP(O$2, Percentiles!$A$45:$I$59, 7, FALSE), perc_95, VLOOKUP(O$2, Percentiles!$A$45:$I$59, 8, FALSE), perc_85, perc_75 + (perc_90 - perc_75) * (2/3), converted_stat, '2K_Ratings'!O555, IF(bbgm_stat &gt;= perc_95, converted_stat * 3, IF(bbgm_stat &gt;= perc_90, converted_stat * 2, IF(bbgm_stat &gt;= perc_85, converted_stat * 1.5, converted_stat)))))</f>
        <v/>
      </c>
      <c r="P555" s="30" t="str">
        <f t="array" ref="P555">IF($A555="", "", LET(bbgm_stat, INDEX(Players!$A554:$P554, MATCH(P$2, Players!$A$1:$P$1, 0)), perc_75, VLOOKUP(P$2, Percentiles!$A$45:$I$59, 6, FALSE), perc_90, VLOOKUP(P$2, Percentiles!$A$45:$I$59, 7, FALSE), perc_95, VLOOKUP(P$2, Percentiles!$A$45:$I$59, 8, FALSE), perc_85, perc_75 + (perc_90 - perc_75) * (2/3), converted_stat, '2K_Ratings'!P555, IF(bbgm_stat &gt;= perc_95, converted_stat * 3, IF(bbgm_stat &gt;= perc_90, converted_stat * 2, IF(bbgm_stat &gt;= perc_85, converted_stat * 1.5, converted_stat)))))</f>
        <v/>
      </c>
      <c r="Q555" s="30" t="str">
        <f t="array" ref="Q555">IF($A555="", "", LET(bbgm_stat, INDEX(Players!$A554:$P554, MATCH(Q$2, Players!$A$1:$P$1, 0)), perc_75, VLOOKUP(Q$2, Percentiles!$A$45:$I$59, 6, FALSE), perc_90, VLOOKUP(Q$2, Percentiles!$A$45:$I$59, 7, FALSE), perc_95, VLOOKUP(Q$2, Percentiles!$A$45:$I$59, 8, FALSE), perc_85, perc_75 + (perc_90 - perc_75) * (2/3), converted_stat, '2K_Ratings'!Q555, IF(bbgm_stat &gt;= perc_95, converted_stat * 3, IF(bbgm_stat &gt;= perc_90, converted_stat * 2, IF(bbgm_stat &gt;= perc_85, converted_stat * 1.5, converted_stat)))))</f>
        <v/>
      </c>
      <c r="R555" s="30" t="str">
        <f t="array" ref="R555">IF($A555="", "", LET(bbgm_stat, INDEX(Players!$A554:$P554, MATCH(R$2, Players!$A$1:$P$1, 0)), perc_75, VLOOKUP(R$2, Percentiles!$A$45:$I$59, 6, FALSE), perc_90, VLOOKUP(R$2, Percentiles!$A$45:$I$59, 7, FALSE), perc_95, VLOOKUP(R$2, Percentiles!$A$45:$I$59, 8, FALSE), perc_85, perc_75 + (perc_90 - perc_75) * (2/3), converted_stat, '2K_Ratings'!R555, IF(bbgm_stat &gt;= perc_95, converted_stat * 3, IF(bbgm_stat &gt;= perc_90, converted_stat * 2, IF(bbgm_stat &gt;= perc_85, converted_stat * 1.5, converted_stat)))))</f>
        <v/>
      </c>
      <c r="S555" s="30" t="str">
        <f t="array" ref="S555">IF($A555="", "", LET(bbgm_stat, INDEX(Players!$A554:$P554, MATCH(S$2, Players!$A$1:$P$1, 0)), perc_75, VLOOKUP(S$2, Percentiles!$A$45:$I$59, 6, FALSE), perc_90, VLOOKUP(S$2, Percentiles!$A$45:$I$59, 7, FALSE), perc_95, VLOOKUP(S$2, Percentiles!$A$45:$I$59, 8, FALSE), perc_85, perc_75 + (perc_90 - perc_75) * (2/3), converted_stat, '2K_Ratings'!S555, IF(bbgm_stat &gt;= perc_95, converted_stat * 3, IF(bbgm_stat &gt;= perc_90, converted_stat * 2, IF(bbgm_stat &gt;= perc_85, converted_stat * 1.5, converted_stat)))))</f>
        <v/>
      </c>
      <c r="T555" s="30" t="str">
        <f t="array" ref="T555">IF($A555="", "", LET(bbgm_stat, INDEX(Players!$A554:$P554, MATCH(T$2, Players!$A$1:$P$1, 0)), perc_75, VLOOKUP(T$2, Percentiles!$A$45:$I$59, 6, FALSE), perc_90, VLOOKUP(T$2, Percentiles!$A$45:$I$59, 7, FALSE), perc_95, VLOOKUP(T$2, Percentiles!$A$45:$I$59, 8, FALSE), perc_85, perc_75 + (perc_90 - perc_75) * (2/3), converted_stat, '2K_Ratings'!T555, IF(bbgm_stat &gt;= perc_95, converted_stat * 3, IF(bbgm_stat &gt;= perc_90, converted_stat * 2, IF(bbgm_stat &gt;= perc_85, converted_stat * 1.5, converted_stat)))))</f>
        <v/>
      </c>
      <c r="U555" s="30" t="str">
        <f t="array" ref="U555">IF($A555="", "", LET(bbgm_stat, INDEX(Players!$A554:$P554, MATCH(U$2, Players!$A$1:$P$1, 0)), perc_75, VLOOKUP(U$2, Percentiles!$A$45:$I$59, 6, FALSE), perc_90, VLOOKUP(U$2, Percentiles!$A$45:$I$59, 7, FALSE), perc_95, VLOOKUP(U$2, Percentiles!$A$45:$I$59, 8, FALSE), perc_85, perc_75 + (perc_90 - perc_75) * (2/3), converted_stat, '2K_Ratings'!U555, IF(bbgm_stat &gt;= perc_95, converted_stat * 3, IF(bbgm_stat &gt;= perc_90, converted_stat * 2, IF(bbgm_stat &gt;= perc_85, converted_stat * 1.5, converted_stat)))))</f>
        <v/>
      </c>
      <c r="V555" s="30" t="str">
        <f t="array" ref="V555">IF($A555="", "", LET(bbgm_stat, INDEX(Players!$A554:$P554, MATCH(V$2, Players!$A$1:$P$1, 0)), perc_75, VLOOKUP(V$2, Percentiles!$A$45:$I$59, 6, FALSE), perc_90, VLOOKUP(V$2, Percentiles!$A$45:$I$59, 7, FALSE), perc_95, VLOOKUP(V$2, Percentiles!$A$45:$I$59, 8, FALSE), perc_85, perc_75 + (perc_90 - perc_75) * (2/3), converted_stat, '2K_Ratings'!V555, IF(bbgm_stat &gt;= perc_95, converted_stat * 3, IF(bbgm_stat &gt;= perc_90, converted_stat * 2, IF(bbgm_stat &gt;= perc_85, converted_stat * 1.5, converted_stat)))))</f>
        <v/>
      </c>
      <c r="W555" s="30" t="str">
        <f t="array" ref="W555">IF($A555="", "", LET(bbgm_stat, INDEX(Players!$A554:$P554, MATCH(W$2, Players!$A$1:$P$1, 0)), perc_75, VLOOKUP(W$2, Percentiles!$A$45:$I$59, 6, FALSE), perc_90, VLOOKUP(W$2, Percentiles!$A$45:$I$59, 7, FALSE), perc_95, VLOOKUP(W$2, Percentiles!$A$45:$I$59, 8, FALSE), perc_85, perc_75 + (perc_90 - perc_75) * (2/3), converted_stat, '2K_Ratings'!W555, IF(bbgm_stat &gt;= perc_95, converted_stat * 3, IF(bbgm_stat &gt;= perc_90, converted_stat * 2, IF(bbgm_stat &gt;= perc_85, converted_stat * 1.5, converted_stat)))))</f>
        <v/>
      </c>
    </row>
    <row r="556">
      <c r="A556" s="30"/>
      <c r="B556" s="30" t="str">
        <f t="array" ref="B556">IF($A556="", "", LET(bbgm_stat, INDEX(Players!$A555:$P555, MATCH(B$2, Players!$A$1:$P$1, 0)), perc_75, VLOOKUP(B$2, Percentiles!$A$45:$I$59, 6, FALSE), perc_90, VLOOKUP(B$2, Percentiles!$A$45:$I$59, 7, FALSE), perc_95, VLOOKUP(B$2, Percentiles!$A$45:$I$59, 8, FALSE), perc_85, perc_75 + (perc_90 - perc_75) * (2/3), converted_stat, '2K_Ratings'!B556, IF(bbgm_stat &gt;= perc_95, converted_stat * 3, IF(bbgm_stat &gt;= perc_90, converted_stat * 2, IF(bbgm_stat &gt;= perc_85, converted_stat * 1.5, converted_stat)))))</f>
        <v/>
      </c>
      <c r="C556" s="30" t="str">
        <f t="array" ref="C556">IF($A556="", "", LET(bbgm_stat, INDEX(Players!$A555:$P555, MATCH(C$2, Players!$A$1:$P$1, 0)), perc_75, VLOOKUP(C$2, Percentiles!$A$45:$I$59, 6, FALSE), perc_90, VLOOKUP(C$2, Percentiles!$A$45:$I$59, 7, FALSE), perc_95, VLOOKUP(C$2, Percentiles!$A$45:$I$59, 8, FALSE), perc_85, perc_75 + (perc_90 - perc_75) * (2/3), converted_stat, '2K_Ratings'!C556, IF(bbgm_stat &gt;= perc_95, converted_stat * 3, IF(bbgm_stat &gt;= perc_90, converted_stat * 2, IF(bbgm_stat &gt;= perc_85, converted_stat * 1.5, converted_stat)))))</f>
        <v/>
      </c>
      <c r="D556" s="30" t="str">
        <f t="array" ref="D556">IF($A556="", "", LET(bbgm_stat, INDEX(Players!$A555:$P555, MATCH(D$2, Players!$A$1:$P$1, 0)), perc_75, VLOOKUP(D$2, Percentiles!$A$45:$I$59, 6, FALSE), perc_90, VLOOKUP(D$2, Percentiles!$A$45:$I$59, 7, FALSE), perc_95, VLOOKUP(D$2, Percentiles!$A$45:$I$59, 8, FALSE), perc_85, perc_75 + (perc_90 - perc_75) * (2/3), converted_stat, '2K_Ratings'!D556, IF(bbgm_stat &gt;= perc_95, converted_stat * 3, IF(bbgm_stat &gt;= perc_90, converted_stat * 2, IF(bbgm_stat &gt;= perc_85, converted_stat * 1.5, converted_stat)))))</f>
        <v/>
      </c>
      <c r="E556" s="30" t="str">
        <f t="array" ref="E556">IF($A556="", "", LET(bbgm_stat, INDEX(Players!$A555:$P555, MATCH(E$2, Players!$A$1:$P$1, 0)), perc_75, VLOOKUP(E$2, Percentiles!$A$45:$I$59, 6, FALSE), perc_90, VLOOKUP(E$2, Percentiles!$A$45:$I$59, 7, FALSE), perc_95, VLOOKUP(E$2, Percentiles!$A$45:$I$59, 8, FALSE), perc_85, perc_75 + (perc_90 - perc_75) * (2/3), converted_stat, '2K_Ratings'!E556, IF(bbgm_stat &gt;= perc_95, converted_stat * 3, IF(bbgm_stat &gt;= perc_90, converted_stat * 2, IF(bbgm_stat &gt;= perc_85, converted_stat * 1.5, converted_stat)))))</f>
        <v/>
      </c>
      <c r="F556" s="30" t="str">
        <f t="array" ref="F556">IF($A556="", "", LET(bbgm_stat, INDEX(Players!$A555:$P555, MATCH(F$2, Players!$A$1:$P$1, 0)), perc_75, VLOOKUP(F$2, Percentiles!$A$45:$I$59, 6, FALSE), perc_90, VLOOKUP(F$2, Percentiles!$A$45:$I$59, 7, FALSE), perc_95, VLOOKUP(F$2, Percentiles!$A$45:$I$59, 8, FALSE), perc_85, perc_75 + (perc_90 - perc_75) * (2/3), converted_stat, '2K_Ratings'!F556, IF(bbgm_stat &gt;= perc_95, converted_stat * 3, IF(bbgm_stat &gt;= perc_90, converted_stat * 2, IF(bbgm_stat &gt;= perc_85, converted_stat * 1.5, converted_stat)))))</f>
        <v/>
      </c>
      <c r="G556" s="30" t="str">
        <f t="array" ref="G556">IF($A556="", "", LET(bbgm_stat, INDEX(Players!$A555:$P555, MATCH(G$2, Players!$A$1:$P$1, 0)), perc_75, VLOOKUP(G$2, Percentiles!$A$45:$I$59, 6, FALSE), perc_90, VLOOKUP(G$2, Percentiles!$A$45:$I$59, 7, FALSE), perc_95, VLOOKUP(G$2, Percentiles!$A$45:$I$59, 8, FALSE), perc_85, perc_75 + (perc_90 - perc_75) * (2/3), converted_stat, '2K_Ratings'!G556, IF(bbgm_stat &gt;= perc_95, converted_stat * 3, IF(bbgm_stat &gt;= perc_90, converted_stat * 2, IF(bbgm_stat &gt;= perc_85, converted_stat * 1.5, converted_stat)))))</f>
        <v/>
      </c>
      <c r="H556" s="30" t="str">
        <f t="array" ref="H556">IF($A556="", "", LET(bbgm_stat, INDEX(Players!$A555:$P555, MATCH(H$2, Players!$A$1:$P$1, 0)), perc_75, VLOOKUP(H$2, Percentiles!$A$45:$I$59, 6, FALSE), perc_90, VLOOKUP(H$2, Percentiles!$A$45:$I$59, 7, FALSE), perc_95, VLOOKUP(H$2, Percentiles!$A$45:$I$59, 8, FALSE), perc_85, perc_75 + (perc_90 - perc_75) * (2/3), converted_stat, '2K_Ratings'!H556, IF(bbgm_stat &gt;= perc_95, converted_stat * 3, IF(bbgm_stat &gt;= perc_90, converted_stat * 2, IF(bbgm_stat &gt;= perc_85, converted_stat * 1.5, converted_stat)))))</f>
        <v/>
      </c>
      <c r="I556" s="30" t="str">
        <f t="array" ref="I556">IF($A556="", "", LET(bbgm_stat, INDEX(Players!$A555:$P555, MATCH(I$2, Players!$A$1:$P$1, 0)), perc_75, VLOOKUP(I$2, Percentiles!$A$45:$I$59, 6, FALSE), perc_90, VLOOKUP(I$2, Percentiles!$A$45:$I$59, 7, FALSE), perc_95, VLOOKUP(I$2, Percentiles!$A$45:$I$59, 8, FALSE), perc_85, perc_75 + (perc_90 - perc_75) * (2/3), converted_stat, '2K_Ratings'!I556, IF(bbgm_stat &gt;= perc_95, converted_stat * 3, IF(bbgm_stat &gt;= perc_90, converted_stat * 2, IF(bbgm_stat &gt;= perc_85, converted_stat * 1.5, converted_stat)))))</f>
        <v/>
      </c>
      <c r="J556" s="30" t="str">
        <f t="array" ref="J556">IF($A556="", "", LET(bbgm_stat, INDEX(Players!$A555:$P555, MATCH(J$2, Players!$A$1:$P$1, 0)), perc_75, VLOOKUP(J$2, Percentiles!$A$45:$I$59, 6, FALSE), perc_90, VLOOKUP(J$2, Percentiles!$A$45:$I$59, 7, FALSE), perc_95, VLOOKUP(J$2, Percentiles!$A$45:$I$59, 8, FALSE), perc_85, perc_75 + (perc_90 - perc_75) * (2/3), converted_stat, '2K_Ratings'!J556, IF(bbgm_stat &gt;= perc_95, converted_stat * 3, IF(bbgm_stat &gt;= perc_90, converted_stat * 2, IF(bbgm_stat &gt;= perc_85, converted_stat * 1.5, converted_stat)))))</f>
        <v/>
      </c>
      <c r="K556" s="30" t="str">
        <f t="array" ref="K556">IF($A556="", "", LET(bbgm_stat, INDEX(Players!$A555:$P555, MATCH(K$2, Players!$A$1:$P$1, 0)), perc_75, VLOOKUP(K$2, Percentiles!$A$45:$I$59, 6, FALSE), perc_90, VLOOKUP(K$2, Percentiles!$A$45:$I$59, 7, FALSE), perc_95, VLOOKUP(K$2, Percentiles!$A$45:$I$59, 8, FALSE), perc_85, perc_75 + (perc_90 - perc_75) * (2/3), converted_stat, '2K_Ratings'!K556, IF(bbgm_stat &gt;= perc_95, converted_stat * 3, IF(bbgm_stat &gt;= perc_90, converted_stat * 2, IF(bbgm_stat &gt;= perc_85, converted_stat * 1.5, converted_stat)))))</f>
        <v/>
      </c>
      <c r="L556" s="30" t="str">
        <f t="array" ref="L556">IF($A556="", "", LET(bbgm_stat, INDEX(Players!$A555:$P555, MATCH(L$2, Players!$A$1:$P$1, 0)), perc_75, VLOOKUP(L$2, Percentiles!$A$45:$I$59, 6, FALSE), perc_90, VLOOKUP(L$2, Percentiles!$A$45:$I$59, 7, FALSE), perc_95, VLOOKUP(L$2, Percentiles!$A$45:$I$59, 8, FALSE), perc_85, perc_75 + (perc_90 - perc_75) * (2/3), converted_stat, '2K_Ratings'!L556, IF(bbgm_stat &gt;= perc_95, converted_stat * 3, IF(bbgm_stat &gt;= perc_90, converted_stat * 2, IF(bbgm_stat &gt;= perc_85, converted_stat * 1.5, converted_stat)))))</f>
        <v/>
      </c>
      <c r="M556" s="30" t="str">
        <f t="array" ref="M556">IF($A556="", "", LET(bbgm_stat, INDEX(Players!$A555:$P555, MATCH(M$2, Players!$A$1:$P$1, 0)), perc_75, VLOOKUP(M$2, Percentiles!$A$45:$I$59, 6, FALSE), perc_90, VLOOKUP(M$2, Percentiles!$A$45:$I$59, 7, FALSE), perc_95, VLOOKUP(M$2, Percentiles!$A$45:$I$59, 8, FALSE), perc_85, perc_75 + (perc_90 - perc_75) * (2/3), converted_stat, '2K_Ratings'!M556, IF(bbgm_stat &gt;= perc_95, converted_stat * 3, IF(bbgm_stat &gt;= perc_90, converted_stat * 2, IF(bbgm_stat &gt;= perc_85, converted_stat * 1.5, converted_stat)))))</f>
        <v/>
      </c>
      <c r="N556" s="30" t="str">
        <f t="array" ref="N556">IF($A556="", "", LET(bbgm_stat, INDEX(Players!$A555:$P555, MATCH(N$2, Players!$A$1:$P$1, 0)), perc_75, VLOOKUP(N$2, Percentiles!$A$45:$I$59, 6, FALSE), perc_90, VLOOKUP(N$2, Percentiles!$A$45:$I$59, 7, FALSE), perc_95, VLOOKUP(N$2, Percentiles!$A$45:$I$59, 8, FALSE), perc_85, perc_75 + (perc_90 - perc_75) * (2/3), converted_stat, '2K_Ratings'!N556, IF(bbgm_stat &gt;= perc_95, converted_stat * 3, IF(bbgm_stat &gt;= perc_90, converted_stat * 2, IF(bbgm_stat &gt;= perc_85, converted_stat * 1.5, converted_stat)))))</f>
        <v/>
      </c>
      <c r="O556" s="30" t="str">
        <f t="array" ref="O556">IF($A556="", "", LET(bbgm_stat, INDEX(Players!$A555:$P555, MATCH(O$2, Players!$A$1:$P$1, 0)), perc_75, VLOOKUP(O$2, Percentiles!$A$45:$I$59, 6, FALSE), perc_90, VLOOKUP(O$2, Percentiles!$A$45:$I$59, 7, FALSE), perc_95, VLOOKUP(O$2, Percentiles!$A$45:$I$59, 8, FALSE), perc_85, perc_75 + (perc_90 - perc_75) * (2/3), converted_stat, '2K_Ratings'!O556, IF(bbgm_stat &gt;= perc_95, converted_stat * 3, IF(bbgm_stat &gt;= perc_90, converted_stat * 2, IF(bbgm_stat &gt;= perc_85, converted_stat * 1.5, converted_stat)))))</f>
        <v/>
      </c>
      <c r="P556" s="30" t="str">
        <f t="array" ref="P556">IF($A556="", "", LET(bbgm_stat, INDEX(Players!$A555:$P555, MATCH(P$2, Players!$A$1:$P$1, 0)), perc_75, VLOOKUP(P$2, Percentiles!$A$45:$I$59, 6, FALSE), perc_90, VLOOKUP(P$2, Percentiles!$A$45:$I$59, 7, FALSE), perc_95, VLOOKUP(P$2, Percentiles!$A$45:$I$59, 8, FALSE), perc_85, perc_75 + (perc_90 - perc_75) * (2/3), converted_stat, '2K_Ratings'!P556, IF(bbgm_stat &gt;= perc_95, converted_stat * 3, IF(bbgm_stat &gt;= perc_90, converted_stat * 2, IF(bbgm_stat &gt;= perc_85, converted_stat * 1.5, converted_stat)))))</f>
        <v/>
      </c>
      <c r="Q556" s="30" t="str">
        <f t="array" ref="Q556">IF($A556="", "", LET(bbgm_stat, INDEX(Players!$A555:$P555, MATCH(Q$2, Players!$A$1:$P$1, 0)), perc_75, VLOOKUP(Q$2, Percentiles!$A$45:$I$59, 6, FALSE), perc_90, VLOOKUP(Q$2, Percentiles!$A$45:$I$59, 7, FALSE), perc_95, VLOOKUP(Q$2, Percentiles!$A$45:$I$59, 8, FALSE), perc_85, perc_75 + (perc_90 - perc_75) * (2/3), converted_stat, '2K_Ratings'!Q556, IF(bbgm_stat &gt;= perc_95, converted_stat * 3, IF(bbgm_stat &gt;= perc_90, converted_stat * 2, IF(bbgm_stat &gt;= perc_85, converted_stat * 1.5, converted_stat)))))</f>
        <v/>
      </c>
      <c r="R556" s="30" t="str">
        <f t="array" ref="R556">IF($A556="", "", LET(bbgm_stat, INDEX(Players!$A555:$P555, MATCH(R$2, Players!$A$1:$P$1, 0)), perc_75, VLOOKUP(R$2, Percentiles!$A$45:$I$59, 6, FALSE), perc_90, VLOOKUP(R$2, Percentiles!$A$45:$I$59, 7, FALSE), perc_95, VLOOKUP(R$2, Percentiles!$A$45:$I$59, 8, FALSE), perc_85, perc_75 + (perc_90 - perc_75) * (2/3), converted_stat, '2K_Ratings'!R556, IF(bbgm_stat &gt;= perc_95, converted_stat * 3, IF(bbgm_stat &gt;= perc_90, converted_stat * 2, IF(bbgm_stat &gt;= perc_85, converted_stat * 1.5, converted_stat)))))</f>
        <v/>
      </c>
      <c r="S556" s="30" t="str">
        <f t="array" ref="S556">IF($A556="", "", LET(bbgm_stat, INDEX(Players!$A555:$P555, MATCH(S$2, Players!$A$1:$P$1, 0)), perc_75, VLOOKUP(S$2, Percentiles!$A$45:$I$59, 6, FALSE), perc_90, VLOOKUP(S$2, Percentiles!$A$45:$I$59, 7, FALSE), perc_95, VLOOKUP(S$2, Percentiles!$A$45:$I$59, 8, FALSE), perc_85, perc_75 + (perc_90 - perc_75) * (2/3), converted_stat, '2K_Ratings'!S556, IF(bbgm_stat &gt;= perc_95, converted_stat * 3, IF(bbgm_stat &gt;= perc_90, converted_stat * 2, IF(bbgm_stat &gt;= perc_85, converted_stat * 1.5, converted_stat)))))</f>
        <v/>
      </c>
      <c r="T556" s="30" t="str">
        <f t="array" ref="T556">IF($A556="", "", LET(bbgm_stat, INDEX(Players!$A555:$P555, MATCH(T$2, Players!$A$1:$P$1, 0)), perc_75, VLOOKUP(T$2, Percentiles!$A$45:$I$59, 6, FALSE), perc_90, VLOOKUP(T$2, Percentiles!$A$45:$I$59, 7, FALSE), perc_95, VLOOKUP(T$2, Percentiles!$A$45:$I$59, 8, FALSE), perc_85, perc_75 + (perc_90 - perc_75) * (2/3), converted_stat, '2K_Ratings'!T556, IF(bbgm_stat &gt;= perc_95, converted_stat * 3, IF(bbgm_stat &gt;= perc_90, converted_stat * 2, IF(bbgm_stat &gt;= perc_85, converted_stat * 1.5, converted_stat)))))</f>
        <v/>
      </c>
      <c r="U556" s="30" t="str">
        <f t="array" ref="U556">IF($A556="", "", LET(bbgm_stat, INDEX(Players!$A555:$P555, MATCH(U$2, Players!$A$1:$P$1, 0)), perc_75, VLOOKUP(U$2, Percentiles!$A$45:$I$59, 6, FALSE), perc_90, VLOOKUP(U$2, Percentiles!$A$45:$I$59, 7, FALSE), perc_95, VLOOKUP(U$2, Percentiles!$A$45:$I$59, 8, FALSE), perc_85, perc_75 + (perc_90 - perc_75) * (2/3), converted_stat, '2K_Ratings'!U556, IF(bbgm_stat &gt;= perc_95, converted_stat * 3, IF(bbgm_stat &gt;= perc_90, converted_stat * 2, IF(bbgm_stat &gt;= perc_85, converted_stat * 1.5, converted_stat)))))</f>
        <v/>
      </c>
      <c r="V556" s="30" t="str">
        <f t="array" ref="V556">IF($A556="", "", LET(bbgm_stat, INDEX(Players!$A555:$P555, MATCH(V$2, Players!$A$1:$P$1, 0)), perc_75, VLOOKUP(V$2, Percentiles!$A$45:$I$59, 6, FALSE), perc_90, VLOOKUP(V$2, Percentiles!$A$45:$I$59, 7, FALSE), perc_95, VLOOKUP(V$2, Percentiles!$A$45:$I$59, 8, FALSE), perc_85, perc_75 + (perc_90 - perc_75) * (2/3), converted_stat, '2K_Ratings'!V556, IF(bbgm_stat &gt;= perc_95, converted_stat * 3, IF(bbgm_stat &gt;= perc_90, converted_stat * 2, IF(bbgm_stat &gt;= perc_85, converted_stat * 1.5, converted_stat)))))</f>
        <v/>
      </c>
      <c r="W556" s="30" t="str">
        <f t="array" ref="W556">IF($A556="", "", LET(bbgm_stat, INDEX(Players!$A555:$P555, MATCH(W$2, Players!$A$1:$P$1, 0)), perc_75, VLOOKUP(W$2, Percentiles!$A$45:$I$59, 6, FALSE), perc_90, VLOOKUP(W$2, Percentiles!$A$45:$I$59, 7, FALSE), perc_95, VLOOKUP(W$2, Percentiles!$A$45:$I$59, 8, FALSE), perc_85, perc_75 + (perc_90 - perc_75) * (2/3), converted_stat, '2K_Ratings'!W556, IF(bbgm_stat &gt;= perc_95, converted_stat * 3, IF(bbgm_stat &gt;= perc_90, converted_stat * 2, IF(bbgm_stat &gt;= perc_85, converted_stat * 1.5, converted_stat)))))</f>
        <v/>
      </c>
    </row>
    <row r="557">
      <c r="A557" s="30"/>
      <c r="B557" s="30" t="str">
        <f t="array" ref="B557">IF($A557="", "", LET(bbgm_stat, INDEX(Players!$A556:$P556, MATCH(B$2, Players!$A$1:$P$1, 0)), perc_75, VLOOKUP(B$2, Percentiles!$A$45:$I$59, 6, FALSE), perc_90, VLOOKUP(B$2, Percentiles!$A$45:$I$59, 7, FALSE), perc_95, VLOOKUP(B$2, Percentiles!$A$45:$I$59, 8, FALSE), perc_85, perc_75 + (perc_90 - perc_75) * (2/3), converted_stat, '2K_Ratings'!B557, IF(bbgm_stat &gt;= perc_95, converted_stat * 3, IF(bbgm_stat &gt;= perc_90, converted_stat * 2, IF(bbgm_stat &gt;= perc_85, converted_stat * 1.5, converted_stat)))))</f>
        <v/>
      </c>
      <c r="C557" s="30" t="str">
        <f t="array" ref="C557">IF($A557="", "", LET(bbgm_stat, INDEX(Players!$A556:$P556, MATCH(C$2, Players!$A$1:$P$1, 0)), perc_75, VLOOKUP(C$2, Percentiles!$A$45:$I$59, 6, FALSE), perc_90, VLOOKUP(C$2, Percentiles!$A$45:$I$59, 7, FALSE), perc_95, VLOOKUP(C$2, Percentiles!$A$45:$I$59, 8, FALSE), perc_85, perc_75 + (perc_90 - perc_75) * (2/3), converted_stat, '2K_Ratings'!C557, IF(bbgm_stat &gt;= perc_95, converted_stat * 3, IF(bbgm_stat &gt;= perc_90, converted_stat * 2, IF(bbgm_stat &gt;= perc_85, converted_stat * 1.5, converted_stat)))))</f>
        <v/>
      </c>
      <c r="D557" s="30" t="str">
        <f t="array" ref="D557">IF($A557="", "", LET(bbgm_stat, INDEX(Players!$A556:$P556, MATCH(D$2, Players!$A$1:$P$1, 0)), perc_75, VLOOKUP(D$2, Percentiles!$A$45:$I$59, 6, FALSE), perc_90, VLOOKUP(D$2, Percentiles!$A$45:$I$59, 7, FALSE), perc_95, VLOOKUP(D$2, Percentiles!$A$45:$I$59, 8, FALSE), perc_85, perc_75 + (perc_90 - perc_75) * (2/3), converted_stat, '2K_Ratings'!D557, IF(bbgm_stat &gt;= perc_95, converted_stat * 3, IF(bbgm_stat &gt;= perc_90, converted_stat * 2, IF(bbgm_stat &gt;= perc_85, converted_stat * 1.5, converted_stat)))))</f>
        <v/>
      </c>
      <c r="E557" s="30" t="str">
        <f t="array" ref="E557">IF($A557="", "", LET(bbgm_stat, INDEX(Players!$A556:$P556, MATCH(E$2, Players!$A$1:$P$1, 0)), perc_75, VLOOKUP(E$2, Percentiles!$A$45:$I$59, 6, FALSE), perc_90, VLOOKUP(E$2, Percentiles!$A$45:$I$59, 7, FALSE), perc_95, VLOOKUP(E$2, Percentiles!$A$45:$I$59, 8, FALSE), perc_85, perc_75 + (perc_90 - perc_75) * (2/3), converted_stat, '2K_Ratings'!E557, IF(bbgm_stat &gt;= perc_95, converted_stat * 3, IF(bbgm_stat &gt;= perc_90, converted_stat * 2, IF(bbgm_stat &gt;= perc_85, converted_stat * 1.5, converted_stat)))))</f>
        <v/>
      </c>
      <c r="F557" s="30" t="str">
        <f t="array" ref="F557">IF($A557="", "", LET(bbgm_stat, INDEX(Players!$A556:$P556, MATCH(F$2, Players!$A$1:$P$1, 0)), perc_75, VLOOKUP(F$2, Percentiles!$A$45:$I$59, 6, FALSE), perc_90, VLOOKUP(F$2, Percentiles!$A$45:$I$59, 7, FALSE), perc_95, VLOOKUP(F$2, Percentiles!$A$45:$I$59, 8, FALSE), perc_85, perc_75 + (perc_90 - perc_75) * (2/3), converted_stat, '2K_Ratings'!F557, IF(bbgm_stat &gt;= perc_95, converted_stat * 3, IF(bbgm_stat &gt;= perc_90, converted_stat * 2, IF(bbgm_stat &gt;= perc_85, converted_stat * 1.5, converted_stat)))))</f>
        <v/>
      </c>
      <c r="G557" s="30" t="str">
        <f t="array" ref="G557">IF($A557="", "", LET(bbgm_stat, INDEX(Players!$A556:$P556, MATCH(G$2, Players!$A$1:$P$1, 0)), perc_75, VLOOKUP(G$2, Percentiles!$A$45:$I$59, 6, FALSE), perc_90, VLOOKUP(G$2, Percentiles!$A$45:$I$59, 7, FALSE), perc_95, VLOOKUP(G$2, Percentiles!$A$45:$I$59, 8, FALSE), perc_85, perc_75 + (perc_90 - perc_75) * (2/3), converted_stat, '2K_Ratings'!G557, IF(bbgm_stat &gt;= perc_95, converted_stat * 3, IF(bbgm_stat &gt;= perc_90, converted_stat * 2, IF(bbgm_stat &gt;= perc_85, converted_stat * 1.5, converted_stat)))))</f>
        <v/>
      </c>
      <c r="H557" s="30" t="str">
        <f t="array" ref="H557">IF($A557="", "", LET(bbgm_stat, INDEX(Players!$A556:$P556, MATCH(H$2, Players!$A$1:$P$1, 0)), perc_75, VLOOKUP(H$2, Percentiles!$A$45:$I$59, 6, FALSE), perc_90, VLOOKUP(H$2, Percentiles!$A$45:$I$59, 7, FALSE), perc_95, VLOOKUP(H$2, Percentiles!$A$45:$I$59, 8, FALSE), perc_85, perc_75 + (perc_90 - perc_75) * (2/3), converted_stat, '2K_Ratings'!H557, IF(bbgm_stat &gt;= perc_95, converted_stat * 3, IF(bbgm_stat &gt;= perc_90, converted_stat * 2, IF(bbgm_stat &gt;= perc_85, converted_stat * 1.5, converted_stat)))))</f>
        <v/>
      </c>
      <c r="I557" s="30" t="str">
        <f t="array" ref="I557">IF($A557="", "", LET(bbgm_stat, INDEX(Players!$A556:$P556, MATCH(I$2, Players!$A$1:$P$1, 0)), perc_75, VLOOKUP(I$2, Percentiles!$A$45:$I$59, 6, FALSE), perc_90, VLOOKUP(I$2, Percentiles!$A$45:$I$59, 7, FALSE), perc_95, VLOOKUP(I$2, Percentiles!$A$45:$I$59, 8, FALSE), perc_85, perc_75 + (perc_90 - perc_75) * (2/3), converted_stat, '2K_Ratings'!I557, IF(bbgm_stat &gt;= perc_95, converted_stat * 3, IF(bbgm_stat &gt;= perc_90, converted_stat * 2, IF(bbgm_stat &gt;= perc_85, converted_stat * 1.5, converted_stat)))))</f>
        <v/>
      </c>
      <c r="J557" s="30" t="str">
        <f t="array" ref="J557">IF($A557="", "", LET(bbgm_stat, INDEX(Players!$A556:$P556, MATCH(J$2, Players!$A$1:$P$1, 0)), perc_75, VLOOKUP(J$2, Percentiles!$A$45:$I$59, 6, FALSE), perc_90, VLOOKUP(J$2, Percentiles!$A$45:$I$59, 7, FALSE), perc_95, VLOOKUP(J$2, Percentiles!$A$45:$I$59, 8, FALSE), perc_85, perc_75 + (perc_90 - perc_75) * (2/3), converted_stat, '2K_Ratings'!J557, IF(bbgm_stat &gt;= perc_95, converted_stat * 3, IF(bbgm_stat &gt;= perc_90, converted_stat * 2, IF(bbgm_stat &gt;= perc_85, converted_stat * 1.5, converted_stat)))))</f>
        <v/>
      </c>
      <c r="K557" s="30" t="str">
        <f t="array" ref="K557">IF($A557="", "", LET(bbgm_stat, INDEX(Players!$A556:$P556, MATCH(K$2, Players!$A$1:$P$1, 0)), perc_75, VLOOKUP(K$2, Percentiles!$A$45:$I$59, 6, FALSE), perc_90, VLOOKUP(K$2, Percentiles!$A$45:$I$59, 7, FALSE), perc_95, VLOOKUP(K$2, Percentiles!$A$45:$I$59, 8, FALSE), perc_85, perc_75 + (perc_90 - perc_75) * (2/3), converted_stat, '2K_Ratings'!K557, IF(bbgm_stat &gt;= perc_95, converted_stat * 3, IF(bbgm_stat &gt;= perc_90, converted_stat * 2, IF(bbgm_stat &gt;= perc_85, converted_stat * 1.5, converted_stat)))))</f>
        <v/>
      </c>
      <c r="L557" s="30" t="str">
        <f t="array" ref="L557">IF($A557="", "", LET(bbgm_stat, INDEX(Players!$A556:$P556, MATCH(L$2, Players!$A$1:$P$1, 0)), perc_75, VLOOKUP(L$2, Percentiles!$A$45:$I$59, 6, FALSE), perc_90, VLOOKUP(L$2, Percentiles!$A$45:$I$59, 7, FALSE), perc_95, VLOOKUP(L$2, Percentiles!$A$45:$I$59, 8, FALSE), perc_85, perc_75 + (perc_90 - perc_75) * (2/3), converted_stat, '2K_Ratings'!L557, IF(bbgm_stat &gt;= perc_95, converted_stat * 3, IF(bbgm_stat &gt;= perc_90, converted_stat * 2, IF(bbgm_stat &gt;= perc_85, converted_stat * 1.5, converted_stat)))))</f>
        <v/>
      </c>
      <c r="M557" s="30" t="str">
        <f t="array" ref="M557">IF($A557="", "", LET(bbgm_stat, INDEX(Players!$A556:$P556, MATCH(M$2, Players!$A$1:$P$1, 0)), perc_75, VLOOKUP(M$2, Percentiles!$A$45:$I$59, 6, FALSE), perc_90, VLOOKUP(M$2, Percentiles!$A$45:$I$59, 7, FALSE), perc_95, VLOOKUP(M$2, Percentiles!$A$45:$I$59, 8, FALSE), perc_85, perc_75 + (perc_90 - perc_75) * (2/3), converted_stat, '2K_Ratings'!M557, IF(bbgm_stat &gt;= perc_95, converted_stat * 3, IF(bbgm_stat &gt;= perc_90, converted_stat * 2, IF(bbgm_stat &gt;= perc_85, converted_stat * 1.5, converted_stat)))))</f>
        <v/>
      </c>
      <c r="N557" s="30" t="str">
        <f t="array" ref="N557">IF($A557="", "", LET(bbgm_stat, INDEX(Players!$A556:$P556, MATCH(N$2, Players!$A$1:$P$1, 0)), perc_75, VLOOKUP(N$2, Percentiles!$A$45:$I$59, 6, FALSE), perc_90, VLOOKUP(N$2, Percentiles!$A$45:$I$59, 7, FALSE), perc_95, VLOOKUP(N$2, Percentiles!$A$45:$I$59, 8, FALSE), perc_85, perc_75 + (perc_90 - perc_75) * (2/3), converted_stat, '2K_Ratings'!N557, IF(bbgm_stat &gt;= perc_95, converted_stat * 3, IF(bbgm_stat &gt;= perc_90, converted_stat * 2, IF(bbgm_stat &gt;= perc_85, converted_stat * 1.5, converted_stat)))))</f>
        <v/>
      </c>
      <c r="O557" s="30" t="str">
        <f t="array" ref="O557">IF($A557="", "", LET(bbgm_stat, INDEX(Players!$A556:$P556, MATCH(O$2, Players!$A$1:$P$1, 0)), perc_75, VLOOKUP(O$2, Percentiles!$A$45:$I$59, 6, FALSE), perc_90, VLOOKUP(O$2, Percentiles!$A$45:$I$59, 7, FALSE), perc_95, VLOOKUP(O$2, Percentiles!$A$45:$I$59, 8, FALSE), perc_85, perc_75 + (perc_90 - perc_75) * (2/3), converted_stat, '2K_Ratings'!O557, IF(bbgm_stat &gt;= perc_95, converted_stat * 3, IF(bbgm_stat &gt;= perc_90, converted_stat * 2, IF(bbgm_stat &gt;= perc_85, converted_stat * 1.5, converted_stat)))))</f>
        <v/>
      </c>
      <c r="P557" s="30" t="str">
        <f t="array" ref="P557">IF($A557="", "", LET(bbgm_stat, INDEX(Players!$A556:$P556, MATCH(P$2, Players!$A$1:$P$1, 0)), perc_75, VLOOKUP(P$2, Percentiles!$A$45:$I$59, 6, FALSE), perc_90, VLOOKUP(P$2, Percentiles!$A$45:$I$59, 7, FALSE), perc_95, VLOOKUP(P$2, Percentiles!$A$45:$I$59, 8, FALSE), perc_85, perc_75 + (perc_90 - perc_75) * (2/3), converted_stat, '2K_Ratings'!P557, IF(bbgm_stat &gt;= perc_95, converted_stat * 3, IF(bbgm_stat &gt;= perc_90, converted_stat * 2, IF(bbgm_stat &gt;= perc_85, converted_stat * 1.5, converted_stat)))))</f>
        <v/>
      </c>
      <c r="Q557" s="30" t="str">
        <f t="array" ref="Q557">IF($A557="", "", LET(bbgm_stat, INDEX(Players!$A556:$P556, MATCH(Q$2, Players!$A$1:$P$1, 0)), perc_75, VLOOKUP(Q$2, Percentiles!$A$45:$I$59, 6, FALSE), perc_90, VLOOKUP(Q$2, Percentiles!$A$45:$I$59, 7, FALSE), perc_95, VLOOKUP(Q$2, Percentiles!$A$45:$I$59, 8, FALSE), perc_85, perc_75 + (perc_90 - perc_75) * (2/3), converted_stat, '2K_Ratings'!Q557, IF(bbgm_stat &gt;= perc_95, converted_stat * 3, IF(bbgm_stat &gt;= perc_90, converted_stat * 2, IF(bbgm_stat &gt;= perc_85, converted_stat * 1.5, converted_stat)))))</f>
        <v/>
      </c>
      <c r="R557" s="30" t="str">
        <f t="array" ref="R557">IF($A557="", "", LET(bbgm_stat, INDEX(Players!$A556:$P556, MATCH(R$2, Players!$A$1:$P$1, 0)), perc_75, VLOOKUP(R$2, Percentiles!$A$45:$I$59, 6, FALSE), perc_90, VLOOKUP(R$2, Percentiles!$A$45:$I$59, 7, FALSE), perc_95, VLOOKUP(R$2, Percentiles!$A$45:$I$59, 8, FALSE), perc_85, perc_75 + (perc_90 - perc_75) * (2/3), converted_stat, '2K_Ratings'!R557, IF(bbgm_stat &gt;= perc_95, converted_stat * 3, IF(bbgm_stat &gt;= perc_90, converted_stat * 2, IF(bbgm_stat &gt;= perc_85, converted_stat * 1.5, converted_stat)))))</f>
        <v/>
      </c>
      <c r="S557" s="30" t="str">
        <f t="array" ref="S557">IF($A557="", "", LET(bbgm_stat, INDEX(Players!$A556:$P556, MATCH(S$2, Players!$A$1:$P$1, 0)), perc_75, VLOOKUP(S$2, Percentiles!$A$45:$I$59, 6, FALSE), perc_90, VLOOKUP(S$2, Percentiles!$A$45:$I$59, 7, FALSE), perc_95, VLOOKUP(S$2, Percentiles!$A$45:$I$59, 8, FALSE), perc_85, perc_75 + (perc_90 - perc_75) * (2/3), converted_stat, '2K_Ratings'!S557, IF(bbgm_stat &gt;= perc_95, converted_stat * 3, IF(bbgm_stat &gt;= perc_90, converted_stat * 2, IF(bbgm_stat &gt;= perc_85, converted_stat * 1.5, converted_stat)))))</f>
        <v/>
      </c>
      <c r="T557" s="30" t="str">
        <f t="array" ref="T557">IF($A557="", "", LET(bbgm_stat, INDEX(Players!$A556:$P556, MATCH(T$2, Players!$A$1:$P$1, 0)), perc_75, VLOOKUP(T$2, Percentiles!$A$45:$I$59, 6, FALSE), perc_90, VLOOKUP(T$2, Percentiles!$A$45:$I$59, 7, FALSE), perc_95, VLOOKUP(T$2, Percentiles!$A$45:$I$59, 8, FALSE), perc_85, perc_75 + (perc_90 - perc_75) * (2/3), converted_stat, '2K_Ratings'!T557, IF(bbgm_stat &gt;= perc_95, converted_stat * 3, IF(bbgm_stat &gt;= perc_90, converted_stat * 2, IF(bbgm_stat &gt;= perc_85, converted_stat * 1.5, converted_stat)))))</f>
        <v/>
      </c>
      <c r="U557" s="30" t="str">
        <f t="array" ref="U557">IF($A557="", "", LET(bbgm_stat, INDEX(Players!$A556:$P556, MATCH(U$2, Players!$A$1:$P$1, 0)), perc_75, VLOOKUP(U$2, Percentiles!$A$45:$I$59, 6, FALSE), perc_90, VLOOKUP(U$2, Percentiles!$A$45:$I$59, 7, FALSE), perc_95, VLOOKUP(U$2, Percentiles!$A$45:$I$59, 8, FALSE), perc_85, perc_75 + (perc_90 - perc_75) * (2/3), converted_stat, '2K_Ratings'!U557, IF(bbgm_stat &gt;= perc_95, converted_stat * 3, IF(bbgm_stat &gt;= perc_90, converted_stat * 2, IF(bbgm_stat &gt;= perc_85, converted_stat * 1.5, converted_stat)))))</f>
        <v/>
      </c>
      <c r="V557" s="30" t="str">
        <f t="array" ref="V557">IF($A557="", "", LET(bbgm_stat, INDEX(Players!$A556:$P556, MATCH(V$2, Players!$A$1:$P$1, 0)), perc_75, VLOOKUP(V$2, Percentiles!$A$45:$I$59, 6, FALSE), perc_90, VLOOKUP(V$2, Percentiles!$A$45:$I$59, 7, FALSE), perc_95, VLOOKUP(V$2, Percentiles!$A$45:$I$59, 8, FALSE), perc_85, perc_75 + (perc_90 - perc_75) * (2/3), converted_stat, '2K_Ratings'!V557, IF(bbgm_stat &gt;= perc_95, converted_stat * 3, IF(bbgm_stat &gt;= perc_90, converted_stat * 2, IF(bbgm_stat &gt;= perc_85, converted_stat * 1.5, converted_stat)))))</f>
        <v/>
      </c>
      <c r="W557" s="30" t="str">
        <f t="array" ref="W557">IF($A557="", "", LET(bbgm_stat, INDEX(Players!$A556:$P556, MATCH(W$2, Players!$A$1:$P$1, 0)), perc_75, VLOOKUP(W$2, Percentiles!$A$45:$I$59, 6, FALSE), perc_90, VLOOKUP(W$2, Percentiles!$A$45:$I$59, 7, FALSE), perc_95, VLOOKUP(W$2, Percentiles!$A$45:$I$59, 8, FALSE), perc_85, perc_75 + (perc_90 - perc_75) * (2/3), converted_stat, '2K_Ratings'!W557, IF(bbgm_stat &gt;= perc_95, converted_stat * 3, IF(bbgm_stat &gt;= perc_90, converted_stat * 2, IF(bbgm_stat &gt;= perc_85, converted_stat * 1.5, converted_stat)))))</f>
        <v/>
      </c>
    </row>
    <row r="558">
      <c r="A558" s="30"/>
      <c r="B558" s="30" t="str">
        <f t="array" ref="B558">IF($A558="", "", LET(bbgm_stat, INDEX(Players!$A557:$P557, MATCH(B$2, Players!$A$1:$P$1, 0)), perc_75, VLOOKUP(B$2, Percentiles!$A$45:$I$59, 6, FALSE), perc_90, VLOOKUP(B$2, Percentiles!$A$45:$I$59, 7, FALSE), perc_95, VLOOKUP(B$2, Percentiles!$A$45:$I$59, 8, FALSE), perc_85, perc_75 + (perc_90 - perc_75) * (2/3), converted_stat, '2K_Ratings'!B558, IF(bbgm_stat &gt;= perc_95, converted_stat * 3, IF(bbgm_stat &gt;= perc_90, converted_stat * 2, IF(bbgm_stat &gt;= perc_85, converted_stat * 1.5, converted_stat)))))</f>
        <v/>
      </c>
      <c r="C558" s="30" t="str">
        <f t="array" ref="C558">IF($A558="", "", LET(bbgm_stat, INDEX(Players!$A557:$P557, MATCH(C$2, Players!$A$1:$P$1, 0)), perc_75, VLOOKUP(C$2, Percentiles!$A$45:$I$59, 6, FALSE), perc_90, VLOOKUP(C$2, Percentiles!$A$45:$I$59, 7, FALSE), perc_95, VLOOKUP(C$2, Percentiles!$A$45:$I$59, 8, FALSE), perc_85, perc_75 + (perc_90 - perc_75) * (2/3), converted_stat, '2K_Ratings'!C558, IF(bbgm_stat &gt;= perc_95, converted_stat * 3, IF(bbgm_stat &gt;= perc_90, converted_stat * 2, IF(bbgm_stat &gt;= perc_85, converted_stat * 1.5, converted_stat)))))</f>
        <v/>
      </c>
      <c r="D558" s="30" t="str">
        <f t="array" ref="D558">IF($A558="", "", LET(bbgm_stat, INDEX(Players!$A557:$P557, MATCH(D$2, Players!$A$1:$P$1, 0)), perc_75, VLOOKUP(D$2, Percentiles!$A$45:$I$59, 6, FALSE), perc_90, VLOOKUP(D$2, Percentiles!$A$45:$I$59, 7, FALSE), perc_95, VLOOKUP(D$2, Percentiles!$A$45:$I$59, 8, FALSE), perc_85, perc_75 + (perc_90 - perc_75) * (2/3), converted_stat, '2K_Ratings'!D558, IF(bbgm_stat &gt;= perc_95, converted_stat * 3, IF(bbgm_stat &gt;= perc_90, converted_stat * 2, IF(bbgm_stat &gt;= perc_85, converted_stat * 1.5, converted_stat)))))</f>
        <v/>
      </c>
      <c r="E558" s="30" t="str">
        <f t="array" ref="E558">IF($A558="", "", LET(bbgm_stat, INDEX(Players!$A557:$P557, MATCH(E$2, Players!$A$1:$P$1, 0)), perc_75, VLOOKUP(E$2, Percentiles!$A$45:$I$59, 6, FALSE), perc_90, VLOOKUP(E$2, Percentiles!$A$45:$I$59, 7, FALSE), perc_95, VLOOKUP(E$2, Percentiles!$A$45:$I$59, 8, FALSE), perc_85, perc_75 + (perc_90 - perc_75) * (2/3), converted_stat, '2K_Ratings'!E558, IF(bbgm_stat &gt;= perc_95, converted_stat * 3, IF(bbgm_stat &gt;= perc_90, converted_stat * 2, IF(bbgm_stat &gt;= perc_85, converted_stat * 1.5, converted_stat)))))</f>
        <v/>
      </c>
      <c r="F558" s="30" t="str">
        <f t="array" ref="F558">IF($A558="", "", LET(bbgm_stat, INDEX(Players!$A557:$P557, MATCH(F$2, Players!$A$1:$P$1, 0)), perc_75, VLOOKUP(F$2, Percentiles!$A$45:$I$59, 6, FALSE), perc_90, VLOOKUP(F$2, Percentiles!$A$45:$I$59, 7, FALSE), perc_95, VLOOKUP(F$2, Percentiles!$A$45:$I$59, 8, FALSE), perc_85, perc_75 + (perc_90 - perc_75) * (2/3), converted_stat, '2K_Ratings'!F558, IF(bbgm_stat &gt;= perc_95, converted_stat * 3, IF(bbgm_stat &gt;= perc_90, converted_stat * 2, IF(bbgm_stat &gt;= perc_85, converted_stat * 1.5, converted_stat)))))</f>
        <v/>
      </c>
      <c r="G558" s="30" t="str">
        <f t="array" ref="G558">IF($A558="", "", LET(bbgm_stat, INDEX(Players!$A557:$P557, MATCH(G$2, Players!$A$1:$P$1, 0)), perc_75, VLOOKUP(G$2, Percentiles!$A$45:$I$59, 6, FALSE), perc_90, VLOOKUP(G$2, Percentiles!$A$45:$I$59, 7, FALSE), perc_95, VLOOKUP(G$2, Percentiles!$A$45:$I$59, 8, FALSE), perc_85, perc_75 + (perc_90 - perc_75) * (2/3), converted_stat, '2K_Ratings'!G558, IF(bbgm_stat &gt;= perc_95, converted_stat * 3, IF(bbgm_stat &gt;= perc_90, converted_stat * 2, IF(bbgm_stat &gt;= perc_85, converted_stat * 1.5, converted_stat)))))</f>
        <v/>
      </c>
      <c r="H558" s="30" t="str">
        <f t="array" ref="H558">IF($A558="", "", LET(bbgm_stat, INDEX(Players!$A557:$P557, MATCH(H$2, Players!$A$1:$P$1, 0)), perc_75, VLOOKUP(H$2, Percentiles!$A$45:$I$59, 6, FALSE), perc_90, VLOOKUP(H$2, Percentiles!$A$45:$I$59, 7, FALSE), perc_95, VLOOKUP(H$2, Percentiles!$A$45:$I$59, 8, FALSE), perc_85, perc_75 + (perc_90 - perc_75) * (2/3), converted_stat, '2K_Ratings'!H558, IF(bbgm_stat &gt;= perc_95, converted_stat * 3, IF(bbgm_stat &gt;= perc_90, converted_stat * 2, IF(bbgm_stat &gt;= perc_85, converted_stat * 1.5, converted_stat)))))</f>
        <v/>
      </c>
      <c r="I558" s="30" t="str">
        <f t="array" ref="I558">IF($A558="", "", LET(bbgm_stat, INDEX(Players!$A557:$P557, MATCH(I$2, Players!$A$1:$P$1, 0)), perc_75, VLOOKUP(I$2, Percentiles!$A$45:$I$59, 6, FALSE), perc_90, VLOOKUP(I$2, Percentiles!$A$45:$I$59, 7, FALSE), perc_95, VLOOKUP(I$2, Percentiles!$A$45:$I$59, 8, FALSE), perc_85, perc_75 + (perc_90 - perc_75) * (2/3), converted_stat, '2K_Ratings'!I558, IF(bbgm_stat &gt;= perc_95, converted_stat * 3, IF(bbgm_stat &gt;= perc_90, converted_stat * 2, IF(bbgm_stat &gt;= perc_85, converted_stat * 1.5, converted_stat)))))</f>
        <v/>
      </c>
      <c r="J558" s="30" t="str">
        <f t="array" ref="J558">IF($A558="", "", LET(bbgm_stat, INDEX(Players!$A557:$P557, MATCH(J$2, Players!$A$1:$P$1, 0)), perc_75, VLOOKUP(J$2, Percentiles!$A$45:$I$59, 6, FALSE), perc_90, VLOOKUP(J$2, Percentiles!$A$45:$I$59, 7, FALSE), perc_95, VLOOKUP(J$2, Percentiles!$A$45:$I$59, 8, FALSE), perc_85, perc_75 + (perc_90 - perc_75) * (2/3), converted_stat, '2K_Ratings'!J558, IF(bbgm_stat &gt;= perc_95, converted_stat * 3, IF(bbgm_stat &gt;= perc_90, converted_stat * 2, IF(bbgm_stat &gt;= perc_85, converted_stat * 1.5, converted_stat)))))</f>
        <v/>
      </c>
      <c r="K558" s="30" t="str">
        <f t="array" ref="K558">IF($A558="", "", LET(bbgm_stat, INDEX(Players!$A557:$P557, MATCH(K$2, Players!$A$1:$P$1, 0)), perc_75, VLOOKUP(K$2, Percentiles!$A$45:$I$59, 6, FALSE), perc_90, VLOOKUP(K$2, Percentiles!$A$45:$I$59, 7, FALSE), perc_95, VLOOKUP(K$2, Percentiles!$A$45:$I$59, 8, FALSE), perc_85, perc_75 + (perc_90 - perc_75) * (2/3), converted_stat, '2K_Ratings'!K558, IF(bbgm_stat &gt;= perc_95, converted_stat * 3, IF(bbgm_stat &gt;= perc_90, converted_stat * 2, IF(bbgm_stat &gt;= perc_85, converted_stat * 1.5, converted_stat)))))</f>
        <v/>
      </c>
      <c r="L558" s="30" t="str">
        <f t="array" ref="L558">IF($A558="", "", LET(bbgm_stat, INDEX(Players!$A557:$P557, MATCH(L$2, Players!$A$1:$P$1, 0)), perc_75, VLOOKUP(L$2, Percentiles!$A$45:$I$59, 6, FALSE), perc_90, VLOOKUP(L$2, Percentiles!$A$45:$I$59, 7, FALSE), perc_95, VLOOKUP(L$2, Percentiles!$A$45:$I$59, 8, FALSE), perc_85, perc_75 + (perc_90 - perc_75) * (2/3), converted_stat, '2K_Ratings'!L558, IF(bbgm_stat &gt;= perc_95, converted_stat * 3, IF(bbgm_stat &gt;= perc_90, converted_stat * 2, IF(bbgm_stat &gt;= perc_85, converted_stat * 1.5, converted_stat)))))</f>
        <v/>
      </c>
      <c r="M558" s="30" t="str">
        <f t="array" ref="M558">IF($A558="", "", LET(bbgm_stat, INDEX(Players!$A557:$P557, MATCH(M$2, Players!$A$1:$P$1, 0)), perc_75, VLOOKUP(M$2, Percentiles!$A$45:$I$59, 6, FALSE), perc_90, VLOOKUP(M$2, Percentiles!$A$45:$I$59, 7, FALSE), perc_95, VLOOKUP(M$2, Percentiles!$A$45:$I$59, 8, FALSE), perc_85, perc_75 + (perc_90 - perc_75) * (2/3), converted_stat, '2K_Ratings'!M558, IF(bbgm_stat &gt;= perc_95, converted_stat * 3, IF(bbgm_stat &gt;= perc_90, converted_stat * 2, IF(bbgm_stat &gt;= perc_85, converted_stat * 1.5, converted_stat)))))</f>
        <v/>
      </c>
      <c r="N558" s="30" t="str">
        <f t="array" ref="N558">IF($A558="", "", LET(bbgm_stat, INDEX(Players!$A557:$P557, MATCH(N$2, Players!$A$1:$P$1, 0)), perc_75, VLOOKUP(N$2, Percentiles!$A$45:$I$59, 6, FALSE), perc_90, VLOOKUP(N$2, Percentiles!$A$45:$I$59, 7, FALSE), perc_95, VLOOKUP(N$2, Percentiles!$A$45:$I$59, 8, FALSE), perc_85, perc_75 + (perc_90 - perc_75) * (2/3), converted_stat, '2K_Ratings'!N558, IF(bbgm_stat &gt;= perc_95, converted_stat * 3, IF(bbgm_stat &gt;= perc_90, converted_stat * 2, IF(bbgm_stat &gt;= perc_85, converted_stat * 1.5, converted_stat)))))</f>
        <v/>
      </c>
      <c r="O558" s="30" t="str">
        <f t="array" ref="O558">IF($A558="", "", LET(bbgm_stat, INDEX(Players!$A557:$P557, MATCH(O$2, Players!$A$1:$P$1, 0)), perc_75, VLOOKUP(O$2, Percentiles!$A$45:$I$59, 6, FALSE), perc_90, VLOOKUP(O$2, Percentiles!$A$45:$I$59, 7, FALSE), perc_95, VLOOKUP(O$2, Percentiles!$A$45:$I$59, 8, FALSE), perc_85, perc_75 + (perc_90 - perc_75) * (2/3), converted_stat, '2K_Ratings'!O558, IF(bbgm_stat &gt;= perc_95, converted_stat * 3, IF(bbgm_stat &gt;= perc_90, converted_stat * 2, IF(bbgm_stat &gt;= perc_85, converted_stat * 1.5, converted_stat)))))</f>
        <v/>
      </c>
      <c r="P558" s="30" t="str">
        <f t="array" ref="P558">IF($A558="", "", LET(bbgm_stat, INDEX(Players!$A557:$P557, MATCH(P$2, Players!$A$1:$P$1, 0)), perc_75, VLOOKUP(P$2, Percentiles!$A$45:$I$59, 6, FALSE), perc_90, VLOOKUP(P$2, Percentiles!$A$45:$I$59, 7, FALSE), perc_95, VLOOKUP(P$2, Percentiles!$A$45:$I$59, 8, FALSE), perc_85, perc_75 + (perc_90 - perc_75) * (2/3), converted_stat, '2K_Ratings'!P558, IF(bbgm_stat &gt;= perc_95, converted_stat * 3, IF(bbgm_stat &gt;= perc_90, converted_stat * 2, IF(bbgm_stat &gt;= perc_85, converted_stat * 1.5, converted_stat)))))</f>
        <v/>
      </c>
      <c r="Q558" s="30" t="str">
        <f t="array" ref="Q558">IF($A558="", "", LET(bbgm_stat, INDEX(Players!$A557:$P557, MATCH(Q$2, Players!$A$1:$P$1, 0)), perc_75, VLOOKUP(Q$2, Percentiles!$A$45:$I$59, 6, FALSE), perc_90, VLOOKUP(Q$2, Percentiles!$A$45:$I$59, 7, FALSE), perc_95, VLOOKUP(Q$2, Percentiles!$A$45:$I$59, 8, FALSE), perc_85, perc_75 + (perc_90 - perc_75) * (2/3), converted_stat, '2K_Ratings'!Q558, IF(bbgm_stat &gt;= perc_95, converted_stat * 3, IF(bbgm_stat &gt;= perc_90, converted_stat * 2, IF(bbgm_stat &gt;= perc_85, converted_stat * 1.5, converted_stat)))))</f>
        <v/>
      </c>
      <c r="R558" s="30" t="str">
        <f t="array" ref="R558">IF($A558="", "", LET(bbgm_stat, INDEX(Players!$A557:$P557, MATCH(R$2, Players!$A$1:$P$1, 0)), perc_75, VLOOKUP(R$2, Percentiles!$A$45:$I$59, 6, FALSE), perc_90, VLOOKUP(R$2, Percentiles!$A$45:$I$59, 7, FALSE), perc_95, VLOOKUP(R$2, Percentiles!$A$45:$I$59, 8, FALSE), perc_85, perc_75 + (perc_90 - perc_75) * (2/3), converted_stat, '2K_Ratings'!R558, IF(bbgm_stat &gt;= perc_95, converted_stat * 3, IF(bbgm_stat &gt;= perc_90, converted_stat * 2, IF(bbgm_stat &gt;= perc_85, converted_stat * 1.5, converted_stat)))))</f>
        <v/>
      </c>
      <c r="S558" s="30" t="str">
        <f t="array" ref="S558">IF($A558="", "", LET(bbgm_stat, INDEX(Players!$A557:$P557, MATCH(S$2, Players!$A$1:$P$1, 0)), perc_75, VLOOKUP(S$2, Percentiles!$A$45:$I$59, 6, FALSE), perc_90, VLOOKUP(S$2, Percentiles!$A$45:$I$59, 7, FALSE), perc_95, VLOOKUP(S$2, Percentiles!$A$45:$I$59, 8, FALSE), perc_85, perc_75 + (perc_90 - perc_75) * (2/3), converted_stat, '2K_Ratings'!S558, IF(bbgm_stat &gt;= perc_95, converted_stat * 3, IF(bbgm_stat &gt;= perc_90, converted_stat * 2, IF(bbgm_stat &gt;= perc_85, converted_stat * 1.5, converted_stat)))))</f>
        <v/>
      </c>
      <c r="T558" s="30" t="str">
        <f t="array" ref="T558">IF($A558="", "", LET(bbgm_stat, INDEX(Players!$A557:$P557, MATCH(T$2, Players!$A$1:$P$1, 0)), perc_75, VLOOKUP(T$2, Percentiles!$A$45:$I$59, 6, FALSE), perc_90, VLOOKUP(T$2, Percentiles!$A$45:$I$59, 7, FALSE), perc_95, VLOOKUP(T$2, Percentiles!$A$45:$I$59, 8, FALSE), perc_85, perc_75 + (perc_90 - perc_75) * (2/3), converted_stat, '2K_Ratings'!T558, IF(bbgm_stat &gt;= perc_95, converted_stat * 3, IF(bbgm_stat &gt;= perc_90, converted_stat * 2, IF(bbgm_stat &gt;= perc_85, converted_stat * 1.5, converted_stat)))))</f>
        <v/>
      </c>
      <c r="U558" s="30" t="str">
        <f t="array" ref="U558">IF($A558="", "", LET(bbgm_stat, INDEX(Players!$A557:$P557, MATCH(U$2, Players!$A$1:$P$1, 0)), perc_75, VLOOKUP(U$2, Percentiles!$A$45:$I$59, 6, FALSE), perc_90, VLOOKUP(U$2, Percentiles!$A$45:$I$59, 7, FALSE), perc_95, VLOOKUP(U$2, Percentiles!$A$45:$I$59, 8, FALSE), perc_85, perc_75 + (perc_90 - perc_75) * (2/3), converted_stat, '2K_Ratings'!U558, IF(bbgm_stat &gt;= perc_95, converted_stat * 3, IF(bbgm_stat &gt;= perc_90, converted_stat * 2, IF(bbgm_stat &gt;= perc_85, converted_stat * 1.5, converted_stat)))))</f>
        <v/>
      </c>
      <c r="V558" s="30" t="str">
        <f t="array" ref="V558">IF($A558="", "", LET(bbgm_stat, INDEX(Players!$A557:$P557, MATCH(V$2, Players!$A$1:$P$1, 0)), perc_75, VLOOKUP(V$2, Percentiles!$A$45:$I$59, 6, FALSE), perc_90, VLOOKUP(V$2, Percentiles!$A$45:$I$59, 7, FALSE), perc_95, VLOOKUP(V$2, Percentiles!$A$45:$I$59, 8, FALSE), perc_85, perc_75 + (perc_90 - perc_75) * (2/3), converted_stat, '2K_Ratings'!V558, IF(bbgm_stat &gt;= perc_95, converted_stat * 3, IF(bbgm_stat &gt;= perc_90, converted_stat * 2, IF(bbgm_stat &gt;= perc_85, converted_stat * 1.5, converted_stat)))))</f>
        <v/>
      </c>
      <c r="W558" s="30" t="str">
        <f t="array" ref="W558">IF($A558="", "", LET(bbgm_stat, INDEX(Players!$A557:$P557, MATCH(W$2, Players!$A$1:$P$1, 0)), perc_75, VLOOKUP(W$2, Percentiles!$A$45:$I$59, 6, FALSE), perc_90, VLOOKUP(W$2, Percentiles!$A$45:$I$59, 7, FALSE), perc_95, VLOOKUP(W$2, Percentiles!$A$45:$I$59, 8, FALSE), perc_85, perc_75 + (perc_90 - perc_75) * (2/3), converted_stat, '2K_Ratings'!W558, IF(bbgm_stat &gt;= perc_95, converted_stat * 3, IF(bbgm_stat &gt;= perc_90, converted_stat * 2, IF(bbgm_stat &gt;= perc_85, converted_stat * 1.5, converted_stat)))))</f>
        <v/>
      </c>
    </row>
    <row r="559">
      <c r="A559" s="30"/>
      <c r="B559" s="30" t="str">
        <f t="array" ref="B559">IF($A559="", "", LET(bbgm_stat, INDEX(Players!$A558:$P558, MATCH(B$2, Players!$A$1:$P$1, 0)), perc_75, VLOOKUP(B$2, Percentiles!$A$45:$I$59, 6, FALSE), perc_90, VLOOKUP(B$2, Percentiles!$A$45:$I$59, 7, FALSE), perc_95, VLOOKUP(B$2, Percentiles!$A$45:$I$59, 8, FALSE), perc_85, perc_75 + (perc_90 - perc_75) * (2/3), converted_stat, '2K_Ratings'!B559, IF(bbgm_stat &gt;= perc_95, converted_stat * 3, IF(bbgm_stat &gt;= perc_90, converted_stat * 2, IF(bbgm_stat &gt;= perc_85, converted_stat * 1.5, converted_stat)))))</f>
        <v/>
      </c>
      <c r="C559" s="30" t="str">
        <f t="array" ref="C559">IF($A559="", "", LET(bbgm_stat, INDEX(Players!$A558:$P558, MATCH(C$2, Players!$A$1:$P$1, 0)), perc_75, VLOOKUP(C$2, Percentiles!$A$45:$I$59, 6, FALSE), perc_90, VLOOKUP(C$2, Percentiles!$A$45:$I$59, 7, FALSE), perc_95, VLOOKUP(C$2, Percentiles!$A$45:$I$59, 8, FALSE), perc_85, perc_75 + (perc_90 - perc_75) * (2/3), converted_stat, '2K_Ratings'!C559, IF(bbgm_stat &gt;= perc_95, converted_stat * 3, IF(bbgm_stat &gt;= perc_90, converted_stat * 2, IF(bbgm_stat &gt;= perc_85, converted_stat * 1.5, converted_stat)))))</f>
        <v/>
      </c>
      <c r="D559" s="30" t="str">
        <f t="array" ref="D559">IF($A559="", "", LET(bbgm_stat, INDEX(Players!$A558:$P558, MATCH(D$2, Players!$A$1:$P$1, 0)), perc_75, VLOOKUP(D$2, Percentiles!$A$45:$I$59, 6, FALSE), perc_90, VLOOKUP(D$2, Percentiles!$A$45:$I$59, 7, FALSE), perc_95, VLOOKUP(D$2, Percentiles!$A$45:$I$59, 8, FALSE), perc_85, perc_75 + (perc_90 - perc_75) * (2/3), converted_stat, '2K_Ratings'!D559, IF(bbgm_stat &gt;= perc_95, converted_stat * 3, IF(bbgm_stat &gt;= perc_90, converted_stat * 2, IF(bbgm_stat &gt;= perc_85, converted_stat * 1.5, converted_stat)))))</f>
        <v/>
      </c>
      <c r="E559" s="30" t="str">
        <f t="array" ref="E559">IF($A559="", "", LET(bbgm_stat, INDEX(Players!$A558:$P558, MATCH(E$2, Players!$A$1:$P$1, 0)), perc_75, VLOOKUP(E$2, Percentiles!$A$45:$I$59, 6, FALSE), perc_90, VLOOKUP(E$2, Percentiles!$A$45:$I$59, 7, FALSE), perc_95, VLOOKUP(E$2, Percentiles!$A$45:$I$59, 8, FALSE), perc_85, perc_75 + (perc_90 - perc_75) * (2/3), converted_stat, '2K_Ratings'!E559, IF(bbgm_stat &gt;= perc_95, converted_stat * 3, IF(bbgm_stat &gt;= perc_90, converted_stat * 2, IF(bbgm_stat &gt;= perc_85, converted_stat * 1.5, converted_stat)))))</f>
        <v/>
      </c>
      <c r="F559" s="30" t="str">
        <f t="array" ref="F559">IF($A559="", "", LET(bbgm_stat, INDEX(Players!$A558:$P558, MATCH(F$2, Players!$A$1:$P$1, 0)), perc_75, VLOOKUP(F$2, Percentiles!$A$45:$I$59, 6, FALSE), perc_90, VLOOKUP(F$2, Percentiles!$A$45:$I$59, 7, FALSE), perc_95, VLOOKUP(F$2, Percentiles!$A$45:$I$59, 8, FALSE), perc_85, perc_75 + (perc_90 - perc_75) * (2/3), converted_stat, '2K_Ratings'!F559, IF(bbgm_stat &gt;= perc_95, converted_stat * 3, IF(bbgm_stat &gt;= perc_90, converted_stat * 2, IF(bbgm_stat &gt;= perc_85, converted_stat * 1.5, converted_stat)))))</f>
        <v/>
      </c>
      <c r="G559" s="30" t="str">
        <f t="array" ref="G559">IF($A559="", "", LET(bbgm_stat, INDEX(Players!$A558:$P558, MATCH(G$2, Players!$A$1:$P$1, 0)), perc_75, VLOOKUP(G$2, Percentiles!$A$45:$I$59, 6, FALSE), perc_90, VLOOKUP(G$2, Percentiles!$A$45:$I$59, 7, FALSE), perc_95, VLOOKUP(G$2, Percentiles!$A$45:$I$59, 8, FALSE), perc_85, perc_75 + (perc_90 - perc_75) * (2/3), converted_stat, '2K_Ratings'!G559, IF(bbgm_stat &gt;= perc_95, converted_stat * 3, IF(bbgm_stat &gt;= perc_90, converted_stat * 2, IF(bbgm_stat &gt;= perc_85, converted_stat * 1.5, converted_stat)))))</f>
        <v/>
      </c>
      <c r="H559" s="30" t="str">
        <f t="array" ref="H559">IF($A559="", "", LET(bbgm_stat, INDEX(Players!$A558:$P558, MATCH(H$2, Players!$A$1:$P$1, 0)), perc_75, VLOOKUP(H$2, Percentiles!$A$45:$I$59, 6, FALSE), perc_90, VLOOKUP(H$2, Percentiles!$A$45:$I$59, 7, FALSE), perc_95, VLOOKUP(H$2, Percentiles!$A$45:$I$59, 8, FALSE), perc_85, perc_75 + (perc_90 - perc_75) * (2/3), converted_stat, '2K_Ratings'!H559, IF(bbgm_stat &gt;= perc_95, converted_stat * 3, IF(bbgm_stat &gt;= perc_90, converted_stat * 2, IF(bbgm_stat &gt;= perc_85, converted_stat * 1.5, converted_stat)))))</f>
        <v/>
      </c>
      <c r="I559" s="30" t="str">
        <f t="array" ref="I559">IF($A559="", "", LET(bbgm_stat, INDEX(Players!$A558:$P558, MATCH(I$2, Players!$A$1:$P$1, 0)), perc_75, VLOOKUP(I$2, Percentiles!$A$45:$I$59, 6, FALSE), perc_90, VLOOKUP(I$2, Percentiles!$A$45:$I$59, 7, FALSE), perc_95, VLOOKUP(I$2, Percentiles!$A$45:$I$59, 8, FALSE), perc_85, perc_75 + (perc_90 - perc_75) * (2/3), converted_stat, '2K_Ratings'!I559, IF(bbgm_stat &gt;= perc_95, converted_stat * 3, IF(bbgm_stat &gt;= perc_90, converted_stat * 2, IF(bbgm_stat &gt;= perc_85, converted_stat * 1.5, converted_stat)))))</f>
        <v/>
      </c>
      <c r="J559" s="30" t="str">
        <f t="array" ref="J559">IF($A559="", "", LET(bbgm_stat, INDEX(Players!$A558:$P558, MATCH(J$2, Players!$A$1:$P$1, 0)), perc_75, VLOOKUP(J$2, Percentiles!$A$45:$I$59, 6, FALSE), perc_90, VLOOKUP(J$2, Percentiles!$A$45:$I$59, 7, FALSE), perc_95, VLOOKUP(J$2, Percentiles!$A$45:$I$59, 8, FALSE), perc_85, perc_75 + (perc_90 - perc_75) * (2/3), converted_stat, '2K_Ratings'!J559, IF(bbgm_stat &gt;= perc_95, converted_stat * 3, IF(bbgm_stat &gt;= perc_90, converted_stat * 2, IF(bbgm_stat &gt;= perc_85, converted_stat * 1.5, converted_stat)))))</f>
        <v/>
      </c>
      <c r="K559" s="30" t="str">
        <f t="array" ref="K559">IF($A559="", "", LET(bbgm_stat, INDEX(Players!$A558:$P558, MATCH(K$2, Players!$A$1:$P$1, 0)), perc_75, VLOOKUP(K$2, Percentiles!$A$45:$I$59, 6, FALSE), perc_90, VLOOKUP(K$2, Percentiles!$A$45:$I$59, 7, FALSE), perc_95, VLOOKUP(K$2, Percentiles!$A$45:$I$59, 8, FALSE), perc_85, perc_75 + (perc_90 - perc_75) * (2/3), converted_stat, '2K_Ratings'!K559, IF(bbgm_stat &gt;= perc_95, converted_stat * 3, IF(bbgm_stat &gt;= perc_90, converted_stat * 2, IF(bbgm_stat &gt;= perc_85, converted_stat * 1.5, converted_stat)))))</f>
        <v/>
      </c>
      <c r="L559" s="30" t="str">
        <f t="array" ref="L559">IF($A559="", "", LET(bbgm_stat, INDEX(Players!$A558:$P558, MATCH(L$2, Players!$A$1:$P$1, 0)), perc_75, VLOOKUP(L$2, Percentiles!$A$45:$I$59, 6, FALSE), perc_90, VLOOKUP(L$2, Percentiles!$A$45:$I$59, 7, FALSE), perc_95, VLOOKUP(L$2, Percentiles!$A$45:$I$59, 8, FALSE), perc_85, perc_75 + (perc_90 - perc_75) * (2/3), converted_stat, '2K_Ratings'!L559, IF(bbgm_stat &gt;= perc_95, converted_stat * 3, IF(bbgm_stat &gt;= perc_90, converted_stat * 2, IF(bbgm_stat &gt;= perc_85, converted_stat * 1.5, converted_stat)))))</f>
        <v/>
      </c>
      <c r="M559" s="30" t="str">
        <f t="array" ref="M559">IF($A559="", "", LET(bbgm_stat, INDEX(Players!$A558:$P558, MATCH(M$2, Players!$A$1:$P$1, 0)), perc_75, VLOOKUP(M$2, Percentiles!$A$45:$I$59, 6, FALSE), perc_90, VLOOKUP(M$2, Percentiles!$A$45:$I$59, 7, FALSE), perc_95, VLOOKUP(M$2, Percentiles!$A$45:$I$59, 8, FALSE), perc_85, perc_75 + (perc_90 - perc_75) * (2/3), converted_stat, '2K_Ratings'!M559, IF(bbgm_stat &gt;= perc_95, converted_stat * 3, IF(bbgm_stat &gt;= perc_90, converted_stat * 2, IF(bbgm_stat &gt;= perc_85, converted_stat * 1.5, converted_stat)))))</f>
        <v/>
      </c>
      <c r="N559" s="30" t="str">
        <f t="array" ref="N559">IF($A559="", "", LET(bbgm_stat, INDEX(Players!$A558:$P558, MATCH(N$2, Players!$A$1:$P$1, 0)), perc_75, VLOOKUP(N$2, Percentiles!$A$45:$I$59, 6, FALSE), perc_90, VLOOKUP(N$2, Percentiles!$A$45:$I$59, 7, FALSE), perc_95, VLOOKUP(N$2, Percentiles!$A$45:$I$59, 8, FALSE), perc_85, perc_75 + (perc_90 - perc_75) * (2/3), converted_stat, '2K_Ratings'!N559, IF(bbgm_stat &gt;= perc_95, converted_stat * 3, IF(bbgm_stat &gt;= perc_90, converted_stat * 2, IF(bbgm_stat &gt;= perc_85, converted_stat * 1.5, converted_stat)))))</f>
        <v/>
      </c>
      <c r="O559" s="30" t="str">
        <f t="array" ref="O559">IF($A559="", "", LET(bbgm_stat, INDEX(Players!$A558:$P558, MATCH(O$2, Players!$A$1:$P$1, 0)), perc_75, VLOOKUP(O$2, Percentiles!$A$45:$I$59, 6, FALSE), perc_90, VLOOKUP(O$2, Percentiles!$A$45:$I$59, 7, FALSE), perc_95, VLOOKUP(O$2, Percentiles!$A$45:$I$59, 8, FALSE), perc_85, perc_75 + (perc_90 - perc_75) * (2/3), converted_stat, '2K_Ratings'!O559, IF(bbgm_stat &gt;= perc_95, converted_stat * 3, IF(bbgm_stat &gt;= perc_90, converted_stat * 2, IF(bbgm_stat &gt;= perc_85, converted_stat * 1.5, converted_stat)))))</f>
        <v/>
      </c>
      <c r="P559" s="30" t="str">
        <f t="array" ref="P559">IF($A559="", "", LET(bbgm_stat, INDEX(Players!$A558:$P558, MATCH(P$2, Players!$A$1:$P$1, 0)), perc_75, VLOOKUP(P$2, Percentiles!$A$45:$I$59, 6, FALSE), perc_90, VLOOKUP(P$2, Percentiles!$A$45:$I$59, 7, FALSE), perc_95, VLOOKUP(P$2, Percentiles!$A$45:$I$59, 8, FALSE), perc_85, perc_75 + (perc_90 - perc_75) * (2/3), converted_stat, '2K_Ratings'!P559, IF(bbgm_stat &gt;= perc_95, converted_stat * 3, IF(bbgm_stat &gt;= perc_90, converted_stat * 2, IF(bbgm_stat &gt;= perc_85, converted_stat * 1.5, converted_stat)))))</f>
        <v/>
      </c>
      <c r="Q559" s="30" t="str">
        <f t="array" ref="Q559">IF($A559="", "", LET(bbgm_stat, INDEX(Players!$A558:$P558, MATCH(Q$2, Players!$A$1:$P$1, 0)), perc_75, VLOOKUP(Q$2, Percentiles!$A$45:$I$59, 6, FALSE), perc_90, VLOOKUP(Q$2, Percentiles!$A$45:$I$59, 7, FALSE), perc_95, VLOOKUP(Q$2, Percentiles!$A$45:$I$59, 8, FALSE), perc_85, perc_75 + (perc_90 - perc_75) * (2/3), converted_stat, '2K_Ratings'!Q559, IF(bbgm_stat &gt;= perc_95, converted_stat * 3, IF(bbgm_stat &gt;= perc_90, converted_stat * 2, IF(bbgm_stat &gt;= perc_85, converted_stat * 1.5, converted_stat)))))</f>
        <v/>
      </c>
      <c r="R559" s="30" t="str">
        <f t="array" ref="R559">IF($A559="", "", LET(bbgm_stat, INDEX(Players!$A558:$P558, MATCH(R$2, Players!$A$1:$P$1, 0)), perc_75, VLOOKUP(R$2, Percentiles!$A$45:$I$59, 6, FALSE), perc_90, VLOOKUP(R$2, Percentiles!$A$45:$I$59, 7, FALSE), perc_95, VLOOKUP(R$2, Percentiles!$A$45:$I$59, 8, FALSE), perc_85, perc_75 + (perc_90 - perc_75) * (2/3), converted_stat, '2K_Ratings'!R559, IF(bbgm_stat &gt;= perc_95, converted_stat * 3, IF(bbgm_stat &gt;= perc_90, converted_stat * 2, IF(bbgm_stat &gt;= perc_85, converted_stat * 1.5, converted_stat)))))</f>
        <v/>
      </c>
      <c r="S559" s="30" t="str">
        <f t="array" ref="S559">IF($A559="", "", LET(bbgm_stat, INDEX(Players!$A558:$P558, MATCH(S$2, Players!$A$1:$P$1, 0)), perc_75, VLOOKUP(S$2, Percentiles!$A$45:$I$59, 6, FALSE), perc_90, VLOOKUP(S$2, Percentiles!$A$45:$I$59, 7, FALSE), perc_95, VLOOKUP(S$2, Percentiles!$A$45:$I$59, 8, FALSE), perc_85, perc_75 + (perc_90 - perc_75) * (2/3), converted_stat, '2K_Ratings'!S559, IF(bbgm_stat &gt;= perc_95, converted_stat * 3, IF(bbgm_stat &gt;= perc_90, converted_stat * 2, IF(bbgm_stat &gt;= perc_85, converted_stat * 1.5, converted_stat)))))</f>
        <v/>
      </c>
      <c r="T559" s="30" t="str">
        <f t="array" ref="T559">IF($A559="", "", LET(bbgm_stat, INDEX(Players!$A558:$P558, MATCH(T$2, Players!$A$1:$P$1, 0)), perc_75, VLOOKUP(T$2, Percentiles!$A$45:$I$59, 6, FALSE), perc_90, VLOOKUP(T$2, Percentiles!$A$45:$I$59, 7, FALSE), perc_95, VLOOKUP(T$2, Percentiles!$A$45:$I$59, 8, FALSE), perc_85, perc_75 + (perc_90 - perc_75) * (2/3), converted_stat, '2K_Ratings'!T559, IF(bbgm_stat &gt;= perc_95, converted_stat * 3, IF(bbgm_stat &gt;= perc_90, converted_stat * 2, IF(bbgm_stat &gt;= perc_85, converted_stat * 1.5, converted_stat)))))</f>
        <v/>
      </c>
      <c r="U559" s="30" t="str">
        <f t="array" ref="U559">IF($A559="", "", LET(bbgm_stat, INDEX(Players!$A558:$P558, MATCH(U$2, Players!$A$1:$P$1, 0)), perc_75, VLOOKUP(U$2, Percentiles!$A$45:$I$59, 6, FALSE), perc_90, VLOOKUP(U$2, Percentiles!$A$45:$I$59, 7, FALSE), perc_95, VLOOKUP(U$2, Percentiles!$A$45:$I$59, 8, FALSE), perc_85, perc_75 + (perc_90 - perc_75) * (2/3), converted_stat, '2K_Ratings'!U559, IF(bbgm_stat &gt;= perc_95, converted_stat * 3, IF(bbgm_stat &gt;= perc_90, converted_stat * 2, IF(bbgm_stat &gt;= perc_85, converted_stat * 1.5, converted_stat)))))</f>
        <v/>
      </c>
      <c r="V559" s="30" t="str">
        <f t="array" ref="V559">IF($A559="", "", LET(bbgm_stat, INDEX(Players!$A558:$P558, MATCH(V$2, Players!$A$1:$P$1, 0)), perc_75, VLOOKUP(V$2, Percentiles!$A$45:$I$59, 6, FALSE), perc_90, VLOOKUP(V$2, Percentiles!$A$45:$I$59, 7, FALSE), perc_95, VLOOKUP(V$2, Percentiles!$A$45:$I$59, 8, FALSE), perc_85, perc_75 + (perc_90 - perc_75) * (2/3), converted_stat, '2K_Ratings'!V559, IF(bbgm_stat &gt;= perc_95, converted_stat * 3, IF(bbgm_stat &gt;= perc_90, converted_stat * 2, IF(bbgm_stat &gt;= perc_85, converted_stat * 1.5, converted_stat)))))</f>
        <v/>
      </c>
      <c r="W559" s="30" t="str">
        <f t="array" ref="W559">IF($A559="", "", LET(bbgm_stat, INDEX(Players!$A558:$P558, MATCH(W$2, Players!$A$1:$P$1, 0)), perc_75, VLOOKUP(W$2, Percentiles!$A$45:$I$59, 6, FALSE), perc_90, VLOOKUP(W$2, Percentiles!$A$45:$I$59, 7, FALSE), perc_95, VLOOKUP(W$2, Percentiles!$A$45:$I$59, 8, FALSE), perc_85, perc_75 + (perc_90 - perc_75) * (2/3), converted_stat, '2K_Ratings'!W559, IF(bbgm_stat &gt;= perc_95, converted_stat * 3, IF(bbgm_stat &gt;= perc_90, converted_stat * 2, IF(bbgm_stat &gt;= perc_85, converted_stat * 1.5, converted_stat)))))</f>
        <v/>
      </c>
    </row>
    <row r="560">
      <c r="A560" s="30"/>
      <c r="B560" s="30" t="str">
        <f t="array" ref="B560">IF($A560="", "", LET(bbgm_stat, INDEX(Players!$A559:$P559, MATCH(B$2, Players!$A$1:$P$1, 0)), perc_75, VLOOKUP(B$2, Percentiles!$A$45:$I$59, 6, FALSE), perc_90, VLOOKUP(B$2, Percentiles!$A$45:$I$59, 7, FALSE), perc_95, VLOOKUP(B$2, Percentiles!$A$45:$I$59, 8, FALSE), perc_85, perc_75 + (perc_90 - perc_75) * (2/3), converted_stat, '2K_Ratings'!B560, IF(bbgm_stat &gt;= perc_95, converted_stat * 3, IF(bbgm_stat &gt;= perc_90, converted_stat * 2, IF(bbgm_stat &gt;= perc_85, converted_stat * 1.5, converted_stat)))))</f>
        <v/>
      </c>
      <c r="C560" s="30" t="str">
        <f t="array" ref="C560">IF($A560="", "", LET(bbgm_stat, INDEX(Players!$A559:$P559, MATCH(C$2, Players!$A$1:$P$1, 0)), perc_75, VLOOKUP(C$2, Percentiles!$A$45:$I$59, 6, FALSE), perc_90, VLOOKUP(C$2, Percentiles!$A$45:$I$59, 7, FALSE), perc_95, VLOOKUP(C$2, Percentiles!$A$45:$I$59, 8, FALSE), perc_85, perc_75 + (perc_90 - perc_75) * (2/3), converted_stat, '2K_Ratings'!C560, IF(bbgm_stat &gt;= perc_95, converted_stat * 3, IF(bbgm_stat &gt;= perc_90, converted_stat * 2, IF(bbgm_stat &gt;= perc_85, converted_stat * 1.5, converted_stat)))))</f>
        <v/>
      </c>
      <c r="D560" s="30" t="str">
        <f t="array" ref="D560">IF($A560="", "", LET(bbgm_stat, INDEX(Players!$A559:$P559, MATCH(D$2, Players!$A$1:$P$1, 0)), perc_75, VLOOKUP(D$2, Percentiles!$A$45:$I$59, 6, FALSE), perc_90, VLOOKUP(D$2, Percentiles!$A$45:$I$59, 7, FALSE), perc_95, VLOOKUP(D$2, Percentiles!$A$45:$I$59, 8, FALSE), perc_85, perc_75 + (perc_90 - perc_75) * (2/3), converted_stat, '2K_Ratings'!D560, IF(bbgm_stat &gt;= perc_95, converted_stat * 3, IF(bbgm_stat &gt;= perc_90, converted_stat * 2, IF(bbgm_stat &gt;= perc_85, converted_stat * 1.5, converted_stat)))))</f>
        <v/>
      </c>
      <c r="E560" s="30" t="str">
        <f t="array" ref="E560">IF($A560="", "", LET(bbgm_stat, INDEX(Players!$A559:$P559, MATCH(E$2, Players!$A$1:$P$1, 0)), perc_75, VLOOKUP(E$2, Percentiles!$A$45:$I$59, 6, FALSE), perc_90, VLOOKUP(E$2, Percentiles!$A$45:$I$59, 7, FALSE), perc_95, VLOOKUP(E$2, Percentiles!$A$45:$I$59, 8, FALSE), perc_85, perc_75 + (perc_90 - perc_75) * (2/3), converted_stat, '2K_Ratings'!E560, IF(bbgm_stat &gt;= perc_95, converted_stat * 3, IF(bbgm_stat &gt;= perc_90, converted_stat * 2, IF(bbgm_stat &gt;= perc_85, converted_stat * 1.5, converted_stat)))))</f>
        <v/>
      </c>
      <c r="F560" s="30" t="str">
        <f t="array" ref="F560">IF($A560="", "", LET(bbgm_stat, INDEX(Players!$A559:$P559, MATCH(F$2, Players!$A$1:$P$1, 0)), perc_75, VLOOKUP(F$2, Percentiles!$A$45:$I$59, 6, FALSE), perc_90, VLOOKUP(F$2, Percentiles!$A$45:$I$59, 7, FALSE), perc_95, VLOOKUP(F$2, Percentiles!$A$45:$I$59, 8, FALSE), perc_85, perc_75 + (perc_90 - perc_75) * (2/3), converted_stat, '2K_Ratings'!F560, IF(bbgm_stat &gt;= perc_95, converted_stat * 3, IF(bbgm_stat &gt;= perc_90, converted_stat * 2, IF(bbgm_stat &gt;= perc_85, converted_stat * 1.5, converted_stat)))))</f>
        <v/>
      </c>
      <c r="G560" s="30" t="str">
        <f t="array" ref="G560">IF($A560="", "", LET(bbgm_stat, INDEX(Players!$A559:$P559, MATCH(G$2, Players!$A$1:$P$1, 0)), perc_75, VLOOKUP(G$2, Percentiles!$A$45:$I$59, 6, FALSE), perc_90, VLOOKUP(G$2, Percentiles!$A$45:$I$59, 7, FALSE), perc_95, VLOOKUP(G$2, Percentiles!$A$45:$I$59, 8, FALSE), perc_85, perc_75 + (perc_90 - perc_75) * (2/3), converted_stat, '2K_Ratings'!G560, IF(bbgm_stat &gt;= perc_95, converted_stat * 3, IF(bbgm_stat &gt;= perc_90, converted_stat * 2, IF(bbgm_stat &gt;= perc_85, converted_stat * 1.5, converted_stat)))))</f>
        <v/>
      </c>
      <c r="H560" s="30" t="str">
        <f t="array" ref="H560">IF($A560="", "", LET(bbgm_stat, INDEX(Players!$A559:$P559, MATCH(H$2, Players!$A$1:$P$1, 0)), perc_75, VLOOKUP(H$2, Percentiles!$A$45:$I$59, 6, FALSE), perc_90, VLOOKUP(H$2, Percentiles!$A$45:$I$59, 7, FALSE), perc_95, VLOOKUP(H$2, Percentiles!$A$45:$I$59, 8, FALSE), perc_85, perc_75 + (perc_90 - perc_75) * (2/3), converted_stat, '2K_Ratings'!H560, IF(bbgm_stat &gt;= perc_95, converted_stat * 3, IF(bbgm_stat &gt;= perc_90, converted_stat * 2, IF(bbgm_stat &gt;= perc_85, converted_stat * 1.5, converted_stat)))))</f>
        <v/>
      </c>
      <c r="I560" s="30" t="str">
        <f t="array" ref="I560">IF($A560="", "", LET(bbgm_stat, INDEX(Players!$A559:$P559, MATCH(I$2, Players!$A$1:$P$1, 0)), perc_75, VLOOKUP(I$2, Percentiles!$A$45:$I$59, 6, FALSE), perc_90, VLOOKUP(I$2, Percentiles!$A$45:$I$59, 7, FALSE), perc_95, VLOOKUP(I$2, Percentiles!$A$45:$I$59, 8, FALSE), perc_85, perc_75 + (perc_90 - perc_75) * (2/3), converted_stat, '2K_Ratings'!I560, IF(bbgm_stat &gt;= perc_95, converted_stat * 3, IF(bbgm_stat &gt;= perc_90, converted_stat * 2, IF(bbgm_stat &gt;= perc_85, converted_stat * 1.5, converted_stat)))))</f>
        <v/>
      </c>
      <c r="J560" s="30" t="str">
        <f t="array" ref="J560">IF($A560="", "", LET(bbgm_stat, INDEX(Players!$A559:$P559, MATCH(J$2, Players!$A$1:$P$1, 0)), perc_75, VLOOKUP(J$2, Percentiles!$A$45:$I$59, 6, FALSE), perc_90, VLOOKUP(J$2, Percentiles!$A$45:$I$59, 7, FALSE), perc_95, VLOOKUP(J$2, Percentiles!$A$45:$I$59, 8, FALSE), perc_85, perc_75 + (perc_90 - perc_75) * (2/3), converted_stat, '2K_Ratings'!J560, IF(bbgm_stat &gt;= perc_95, converted_stat * 3, IF(bbgm_stat &gt;= perc_90, converted_stat * 2, IF(bbgm_stat &gt;= perc_85, converted_stat * 1.5, converted_stat)))))</f>
        <v/>
      </c>
      <c r="K560" s="30" t="str">
        <f t="array" ref="K560">IF($A560="", "", LET(bbgm_stat, INDEX(Players!$A559:$P559, MATCH(K$2, Players!$A$1:$P$1, 0)), perc_75, VLOOKUP(K$2, Percentiles!$A$45:$I$59, 6, FALSE), perc_90, VLOOKUP(K$2, Percentiles!$A$45:$I$59, 7, FALSE), perc_95, VLOOKUP(K$2, Percentiles!$A$45:$I$59, 8, FALSE), perc_85, perc_75 + (perc_90 - perc_75) * (2/3), converted_stat, '2K_Ratings'!K560, IF(bbgm_stat &gt;= perc_95, converted_stat * 3, IF(bbgm_stat &gt;= perc_90, converted_stat * 2, IF(bbgm_stat &gt;= perc_85, converted_stat * 1.5, converted_stat)))))</f>
        <v/>
      </c>
      <c r="L560" s="30" t="str">
        <f t="array" ref="L560">IF($A560="", "", LET(bbgm_stat, INDEX(Players!$A559:$P559, MATCH(L$2, Players!$A$1:$P$1, 0)), perc_75, VLOOKUP(L$2, Percentiles!$A$45:$I$59, 6, FALSE), perc_90, VLOOKUP(L$2, Percentiles!$A$45:$I$59, 7, FALSE), perc_95, VLOOKUP(L$2, Percentiles!$A$45:$I$59, 8, FALSE), perc_85, perc_75 + (perc_90 - perc_75) * (2/3), converted_stat, '2K_Ratings'!L560, IF(bbgm_stat &gt;= perc_95, converted_stat * 3, IF(bbgm_stat &gt;= perc_90, converted_stat * 2, IF(bbgm_stat &gt;= perc_85, converted_stat * 1.5, converted_stat)))))</f>
        <v/>
      </c>
      <c r="M560" s="30" t="str">
        <f t="array" ref="M560">IF($A560="", "", LET(bbgm_stat, INDEX(Players!$A559:$P559, MATCH(M$2, Players!$A$1:$P$1, 0)), perc_75, VLOOKUP(M$2, Percentiles!$A$45:$I$59, 6, FALSE), perc_90, VLOOKUP(M$2, Percentiles!$A$45:$I$59, 7, FALSE), perc_95, VLOOKUP(M$2, Percentiles!$A$45:$I$59, 8, FALSE), perc_85, perc_75 + (perc_90 - perc_75) * (2/3), converted_stat, '2K_Ratings'!M560, IF(bbgm_stat &gt;= perc_95, converted_stat * 3, IF(bbgm_stat &gt;= perc_90, converted_stat * 2, IF(bbgm_stat &gt;= perc_85, converted_stat * 1.5, converted_stat)))))</f>
        <v/>
      </c>
      <c r="N560" s="30" t="str">
        <f t="array" ref="N560">IF($A560="", "", LET(bbgm_stat, INDEX(Players!$A559:$P559, MATCH(N$2, Players!$A$1:$P$1, 0)), perc_75, VLOOKUP(N$2, Percentiles!$A$45:$I$59, 6, FALSE), perc_90, VLOOKUP(N$2, Percentiles!$A$45:$I$59, 7, FALSE), perc_95, VLOOKUP(N$2, Percentiles!$A$45:$I$59, 8, FALSE), perc_85, perc_75 + (perc_90 - perc_75) * (2/3), converted_stat, '2K_Ratings'!N560, IF(bbgm_stat &gt;= perc_95, converted_stat * 3, IF(bbgm_stat &gt;= perc_90, converted_stat * 2, IF(bbgm_stat &gt;= perc_85, converted_stat * 1.5, converted_stat)))))</f>
        <v/>
      </c>
      <c r="O560" s="30" t="str">
        <f t="array" ref="O560">IF($A560="", "", LET(bbgm_stat, INDEX(Players!$A559:$P559, MATCH(O$2, Players!$A$1:$P$1, 0)), perc_75, VLOOKUP(O$2, Percentiles!$A$45:$I$59, 6, FALSE), perc_90, VLOOKUP(O$2, Percentiles!$A$45:$I$59, 7, FALSE), perc_95, VLOOKUP(O$2, Percentiles!$A$45:$I$59, 8, FALSE), perc_85, perc_75 + (perc_90 - perc_75) * (2/3), converted_stat, '2K_Ratings'!O560, IF(bbgm_stat &gt;= perc_95, converted_stat * 3, IF(bbgm_stat &gt;= perc_90, converted_stat * 2, IF(bbgm_stat &gt;= perc_85, converted_stat * 1.5, converted_stat)))))</f>
        <v/>
      </c>
      <c r="P560" s="30" t="str">
        <f t="array" ref="P560">IF($A560="", "", LET(bbgm_stat, INDEX(Players!$A559:$P559, MATCH(P$2, Players!$A$1:$P$1, 0)), perc_75, VLOOKUP(P$2, Percentiles!$A$45:$I$59, 6, FALSE), perc_90, VLOOKUP(P$2, Percentiles!$A$45:$I$59, 7, FALSE), perc_95, VLOOKUP(P$2, Percentiles!$A$45:$I$59, 8, FALSE), perc_85, perc_75 + (perc_90 - perc_75) * (2/3), converted_stat, '2K_Ratings'!P560, IF(bbgm_stat &gt;= perc_95, converted_stat * 3, IF(bbgm_stat &gt;= perc_90, converted_stat * 2, IF(bbgm_stat &gt;= perc_85, converted_stat * 1.5, converted_stat)))))</f>
        <v/>
      </c>
      <c r="Q560" s="30" t="str">
        <f t="array" ref="Q560">IF($A560="", "", LET(bbgm_stat, INDEX(Players!$A559:$P559, MATCH(Q$2, Players!$A$1:$P$1, 0)), perc_75, VLOOKUP(Q$2, Percentiles!$A$45:$I$59, 6, FALSE), perc_90, VLOOKUP(Q$2, Percentiles!$A$45:$I$59, 7, FALSE), perc_95, VLOOKUP(Q$2, Percentiles!$A$45:$I$59, 8, FALSE), perc_85, perc_75 + (perc_90 - perc_75) * (2/3), converted_stat, '2K_Ratings'!Q560, IF(bbgm_stat &gt;= perc_95, converted_stat * 3, IF(bbgm_stat &gt;= perc_90, converted_stat * 2, IF(bbgm_stat &gt;= perc_85, converted_stat * 1.5, converted_stat)))))</f>
        <v/>
      </c>
      <c r="R560" s="30" t="str">
        <f t="array" ref="R560">IF($A560="", "", LET(bbgm_stat, INDEX(Players!$A559:$P559, MATCH(R$2, Players!$A$1:$P$1, 0)), perc_75, VLOOKUP(R$2, Percentiles!$A$45:$I$59, 6, FALSE), perc_90, VLOOKUP(R$2, Percentiles!$A$45:$I$59, 7, FALSE), perc_95, VLOOKUP(R$2, Percentiles!$A$45:$I$59, 8, FALSE), perc_85, perc_75 + (perc_90 - perc_75) * (2/3), converted_stat, '2K_Ratings'!R560, IF(bbgm_stat &gt;= perc_95, converted_stat * 3, IF(bbgm_stat &gt;= perc_90, converted_stat * 2, IF(bbgm_stat &gt;= perc_85, converted_stat * 1.5, converted_stat)))))</f>
        <v/>
      </c>
      <c r="S560" s="30" t="str">
        <f t="array" ref="S560">IF($A560="", "", LET(bbgm_stat, INDEX(Players!$A559:$P559, MATCH(S$2, Players!$A$1:$P$1, 0)), perc_75, VLOOKUP(S$2, Percentiles!$A$45:$I$59, 6, FALSE), perc_90, VLOOKUP(S$2, Percentiles!$A$45:$I$59, 7, FALSE), perc_95, VLOOKUP(S$2, Percentiles!$A$45:$I$59, 8, FALSE), perc_85, perc_75 + (perc_90 - perc_75) * (2/3), converted_stat, '2K_Ratings'!S560, IF(bbgm_stat &gt;= perc_95, converted_stat * 3, IF(bbgm_stat &gt;= perc_90, converted_stat * 2, IF(bbgm_stat &gt;= perc_85, converted_stat * 1.5, converted_stat)))))</f>
        <v/>
      </c>
      <c r="T560" s="30" t="str">
        <f t="array" ref="T560">IF($A560="", "", LET(bbgm_stat, INDEX(Players!$A559:$P559, MATCH(T$2, Players!$A$1:$P$1, 0)), perc_75, VLOOKUP(T$2, Percentiles!$A$45:$I$59, 6, FALSE), perc_90, VLOOKUP(T$2, Percentiles!$A$45:$I$59, 7, FALSE), perc_95, VLOOKUP(T$2, Percentiles!$A$45:$I$59, 8, FALSE), perc_85, perc_75 + (perc_90 - perc_75) * (2/3), converted_stat, '2K_Ratings'!T560, IF(bbgm_stat &gt;= perc_95, converted_stat * 3, IF(bbgm_stat &gt;= perc_90, converted_stat * 2, IF(bbgm_stat &gt;= perc_85, converted_stat * 1.5, converted_stat)))))</f>
        <v/>
      </c>
      <c r="U560" s="30" t="str">
        <f t="array" ref="U560">IF($A560="", "", LET(bbgm_stat, INDEX(Players!$A559:$P559, MATCH(U$2, Players!$A$1:$P$1, 0)), perc_75, VLOOKUP(U$2, Percentiles!$A$45:$I$59, 6, FALSE), perc_90, VLOOKUP(U$2, Percentiles!$A$45:$I$59, 7, FALSE), perc_95, VLOOKUP(U$2, Percentiles!$A$45:$I$59, 8, FALSE), perc_85, perc_75 + (perc_90 - perc_75) * (2/3), converted_stat, '2K_Ratings'!U560, IF(bbgm_stat &gt;= perc_95, converted_stat * 3, IF(bbgm_stat &gt;= perc_90, converted_stat * 2, IF(bbgm_stat &gt;= perc_85, converted_stat * 1.5, converted_stat)))))</f>
        <v/>
      </c>
      <c r="V560" s="30" t="str">
        <f t="array" ref="V560">IF($A560="", "", LET(bbgm_stat, INDEX(Players!$A559:$P559, MATCH(V$2, Players!$A$1:$P$1, 0)), perc_75, VLOOKUP(V$2, Percentiles!$A$45:$I$59, 6, FALSE), perc_90, VLOOKUP(V$2, Percentiles!$A$45:$I$59, 7, FALSE), perc_95, VLOOKUP(V$2, Percentiles!$A$45:$I$59, 8, FALSE), perc_85, perc_75 + (perc_90 - perc_75) * (2/3), converted_stat, '2K_Ratings'!V560, IF(bbgm_stat &gt;= perc_95, converted_stat * 3, IF(bbgm_stat &gt;= perc_90, converted_stat * 2, IF(bbgm_stat &gt;= perc_85, converted_stat * 1.5, converted_stat)))))</f>
        <v/>
      </c>
      <c r="W560" s="30" t="str">
        <f t="array" ref="W560">IF($A560="", "", LET(bbgm_stat, INDEX(Players!$A559:$P559, MATCH(W$2, Players!$A$1:$P$1, 0)), perc_75, VLOOKUP(W$2, Percentiles!$A$45:$I$59, 6, FALSE), perc_90, VLOOKUP(W$2, Percentiles!$A$45:$I$59, 7, FALSE), perc_95, VLOOKUP(W$2, Percentiles!$A$45:$I$59, 8, FALSE), perc_85, perc_75 + (perc_90 - perc_75) * (2/3), converted_stat, '2K_Ratings'!W560, IF(bbgm_stat &gt;= perc_95, converted_stat * 3, IF(bbgm_stat &gt;= perc_90, converted_stat * 2, IF(bbgm_stat &gt;= perc_85, converted_stat * 1.5, converted_stat)))))</f>
        <v/>
      </c>
    </row>
    <row r="561">
      <c r="A561" s="30"/>
      <c r="B561" s="30" t="str">
        <f t="array" ref="B561">IF($A561="", "", LET(bbgm_stat, INDEX(Players!$A560:$P560, MATCH(B$2, Players!$A$1:$P$1, 0)), perc_75, VLOOKUP(B$2, Percentiles!$A$45:$I$59, 6, FALSE), perc_90, VLOOKUP(B$2, Percentiles!$A$45:$I$59, 7, FALSE), perc_95, VLOOKUP(B$2, Percentiles!$A$45:$I$59, 8, FALSE), perc_85, perc_75 + (perc_90 - perc_75) * (2/3), converted_stat, '2K_Ratings'!B561, IF(bbgm_stat &gt;= perc_95, converted_stat * 3, IF(bbgm_stat &gt;= perc_90, converted_stat * 2, IF(bbgm_stat &gt;= perc_85, converted_stat * 1.5, converted_stat)))))</f>
        <v/>
      </c>
      <c r="C561" s="30" t="str">
        <f t="array" ref="C561">IF($A561="", "", LET(bbgm_stat, INDEX(Players!$A560:$P560, MATCH(C$2, Players!$A$1:$P$1, 0)), perc_75, VLOOKUP(C$2, Percentiles!$A$45:$I$59, 6, FALSE), perc_90, VLOOKUP(C$2, Percentiles!$A$45:$I$59, 7, FALSE), perc_95, VLOOKUP(C$2, Percentiles!$A$45:$I$59, 8, FALSE), perc_85, perc_75 + (perc_90 - perc_75) * (2/3), converted_stat, '2K_Ratings'!C561, IF(bbgm_stat &gt;= perc_95, converted_stat * 3, IF(bbgm_stat &gt;= perc_90, converted_stat * 2, IF(bbgm_stat &gt;= perc_85, converted_stat * 1.5, converted_stat)))))</f>
        <v/>
      </c>
      <c r="D561" s="30" t="str">
        <f t="array" ref="D561">IF($A561="", "", LET(bbgm_stat, INDEX(Players!$A560:$P560, MATCH(D$2, Players!$A$1:$P$1, 0)), perc_75, VLOOKUP(D$2, Percentiles!$A$45:$I$59, 6, FALSE), perc_90, VLOOKUP(D$2, Percentiles!$A$45:$I$59, 7, FALSE), perc_95, VLOOKUP(D$2, Percentiles!$A$45:$I$59, 8, FALSE), perc_85, perc_75 + (perc_90 - perc_75) * (2/3), converted_stat, '2K_Ratings'!D561, IF(bbgm_stat &gt;= perc_95, converted_stat * 3, IF(bbgm_stat &gt;= perc_90, converted_stat * 2, IF(bbgm_stat &gt;= perc_85, converted_stat * 1.5, converted_stat)))))</f>
        <v/>
      </c>
      <c r="E561" s="30" t="str">
        <f t="array" ref="E561">IF($A561="", "", LET(bbgm_stat, INDEX(Players!$A560:$P560, MATCH(E$2, Players!$A$1:$P$1, 0)), perc_75, VLOOKUP(E$2, Percentiles!$A$45:$I$59, 6, FALSE), perc_90, VLOOKUP(E$2, Percentiles!$A$45:$I$59, 7, FALSE), perc_95, VLOOKUP(E$2, Percentiles!$A$45:$I$59, 8, FALSE), perc_85, perc_75 + (perc_90 - perc_75) * (2/3), converted_stat, '2K_Ratings'!E561, IF(bbgm_stat &gt;= perc_95, converted_stat * 3, IF(bbgm_stat &gt;= perc_90, converted_stat * 2, IF(bbgm_stat &gt;= perc_85, converted_stat * 1.5, converted_stat)))))</f>
        <v/>
      </c>
      <c r="F561" s="30" t="str">
        <f t="array" ref="F561">IF($A561="", "", LET(bbgm_stat, INDEX(Players!$A560:$P560, MATCH(F$2, Players!$A$1:$P$1, 0)), perc_75, VLOOKUP(F$2, Percentiles!$A$45:$I$59, 6, FALSE), perc_90, VLOOKUP(F$2, Percentiles!$A$45:$I$59, 7, FALSE), perc_95, VLOOKUP(F$2, Percentiles!$A$45:$I$59, 8, FALSE), perc_85, perc_75 + (perc_90 - perc_75) * (2/3), converted_stat, '2K_Ratings'!F561, IF(bbgm_stat &gt;= perc_95, converted_stat * 3, IF(bbgm_stat &gt;= perc_90, converted_stat * 2, IF(bbgm_stat &gt;= perc_85, converted_stat * 1.5, converted_stat)))))</f>
        <v/>
      </c>
      <c r="G561" s="30" t="str">
        <f t="array" ref="G561">IF($A561="", "", LET(bbgm_stat, INDEX(Players!$A560:$P560, MATCH(G$2, Players!$A$1:$P$1, 0)), perc_75, VLOOKUP(G$2, Percentiles!$A$45:$I$59, 6, FALSE), perc_90, VLOOKUP(G$2, Percentiles!$A$45:$I$59, 7, FALSE), perc_95, VLOOKUP(G$2, Percentiles!$A$45:$I$59, 8, FALSE), perc_85, perc_75 + (perc_90 - perc_75) * (2/3), converted_stat, '2K_Ratings'!G561, IF(bbgm_stat &gt;= perc_95, converted_stat * 3, IF(bbgm_stat &gt;= perc_90, converted_stat * 2, IF(bbgm_stat &gt;= perc_85, converted_stat * 1.5, converted_stat)))))</f>
        <v/>
      </c>
      <c r="H561" s="30" t="str">
        <f t="array" ref="H561">IF($A561="", "", LET(bbgm_stat, INDEX(Players!$A560:$P560, MATCH(H$2, Players!$A$1:$P$1, 0)), perc_75, VLOOKUP(H$2, Percentiles!$A$45:$I$59, 6, FALSE), perc_90, VLOOKUP(H$2, Percentiles!$A$45:$I$59, 7, FALSE), perc_95, VLOOKUP(H$2, Percentiles!$A$45:$I$59, 8, FALSE), perc_85, perc_75 + (perc_90 - perc_75) * (2/3), converted_stat, '2K_Ratings'!H561, IF(bbgm_stat &gt;= perc_95, converted_stat * 3, IF(bbgm_stat &gt;= perc_90, converted_stat * 2, IF(bbgm_stat &gt;= perc_85, converted_stat * 1.5, converted_stat)))))</f>
        <v/>
      </c>
      <c r="I561" s="30" t="str">
        <f t="array" ref="I561">IF($A561="", "", LET(bbgm_stat, INDEX(Players!$A560:$P560, MATCH(I$2, Players!$A$1:$P$1, 0)), perc_75, VLOOKUP(I$2, Percentiles!$A$45:$I$59, 6, FALSE), perc_90, VLOOKUP(I$2, Percentiles!$A$45:$I$59, 7, FALSE), perc_95, VLOOKUP(I$2, Percentiles!$A$45:$I$59, 8, FALSE), perc_85, perc_75 + (perc_90 - perc_75) * (2/3), converted_stat, '2K_Ratings'!I561, IF(bbgm_stat &gt;= perc_95, converted_stat * 3, IF(bbgm_stat &gt;= perc_90, converted_stat * 2, IF(bbgm_stat &gt;= perc_85, converted_stat * 1.5, converted_stat)))))</f>
        <v/>
      </c>
      <c r="J561" s="30" t="str">
        <f t="array" ref="J561">IF($A561="", "", LET(bbgm_stat, INDEX(Players!$A560:$P560, MATCH(J$2, Players!$A$1:$P$1, 0)), perc_75, VLOOKUP(J$2, Percentiles!$A$45:$I$59, 6, FALSE), perc_90, VLOOKUP(J$2, Percentiles!$A$45:$I$59, 7, FALSE), perc_95, VLOOKUP(J$2, Percentiles!$A$45:$I$59, 8, FALSE), perc_85, perc_75 + (perc_90 - perc_75) * (2/3), converted_stat, '2K_Ratings'!J561, IF(bbgm_stat &gt;= perc_95, converted_stat * 3, IF(bbgm_stat &gt;= perc_90, converted_stat * 2, IF(bbgm_stat &gt;= perc_85, converted_stat * 1.5, converted_stat)))))</f>
        <v/>
      </c>
      <c r="K561" s="30" t="str">
        <f t="array" ref="K561">IF($A561="", "", LET(bbgm_stat, INDEX(Players!$A560:$P560, MATCH(K$2, Players!$A$1:$P$1, 0)), perc_75, VLOOKUP(K$2, Percentiles!$A$45:$I$59, 6, FALSE), perc_90, VLOOKUP(K$2, Percentiles!$A$45:$I$59, 7, FALSE), perc_95, VLOOKUP(K$2, Percentiles!$A$45:$I$59, 8, FALSE), perc_85, perc_75 + (perc_90 - perc_75) * (2/3), converted_stat, '2K_Ratings'!K561, IF(bbgm_stat &gt;= perc_95, converted_stat * 3, IF(bbgm_stat &gt;= perc_90, converted_stat * 2, IF(bbgm_stat &gt;= perc_85, converted_stat * 1.5, converted_stat)))))</f>
        <v/>
      </c>
      <c r="L561" s="30" t="str">
        <f t="array" ref="L561">IF($A561="", "", LET(bbgm_stat, INDEX(Players!$A560:$P560, MATCH(L$2, Players!$A$1:$P$1, 0)), perc_75, VLOOKUP(L$2, Percentiles!$A$45:$I$59, 6, FALSE), perc_90, VLOOKUP(L$2, Percentiles!$A$45:$I$59, 7, FALSE), perc_95, VLOOKUP(L$2, Percentiles!$A$45:$I$59, 8, FALSE), perc_85, perc_75 + (perc_90 - perc_75) * (2/3), converted_stat, '2K_Ratings'!L561, IF(bbgm_stat &gt;= perc_95, converted_stat * 3, IF(bbgm_stat &gt;= perc_90, converted_stat * 2, IF(bbgm_stat &gt;= perc_85, converted_stat * 1.5, converted_stat)))))</f>
        <v/>
      </c>
      <c r="M561" s="30" t="str">
        <f t="array" ref="M561">IF($A561="", "", LET(bbgm_stat, INDEX(Players!$A560:$P560, MATCH(M$2, Players!$A$1:$P$1, 0)), perc_75, VLOOKUP(M$2, Percentiles!$A$45:$I$59, 6, FALSE), perc_90, VLOOKUP(M$2, Percentiles!$A$45:$I$59, 7, FALSE), perc_95, VLOOKUP(M$2, Percentiles!$A$45:$I$59, 8, FALSE), perc_85, perc_75 + (perc_90 - perc_75) * (2/3), converted_stat, '2K_Ratings'!M561, IF(bbgm_stat &gt;= perc_95, converted_stat * 3, IF(bbgm_stat &gt;= perc_90, converted_stat * 2, IF(bbgm_stat &gt;= perc_85, converted_stat * 1.5, converted_stat)))))</f>
        <v/>
      </c>
      <c r="N561" s="30" t="str">
        <f t="array" ref="N561">IF($A561="", "", LET(bbgm_stat, INDEX(Players!$A560:$P560, MATCH(N$2, Players!$A$1:$P$1, 0)), perc_75, VLOOKUP(N$2, Percentiles!$A$45:$I$59, 6, FALSE), perc_90, VLOOKUP(N$2, Percentiles!$A$45:$I$59, 7, FALSE), perc_95, VLOOKUP(N$2, Percentiles!$A$45:$I$59, 8, FALSE), perc_85, perc_75 + (perc_90 - perc_75) * (2/3), converted_stat, '2K_Ratings'!N561, IF(bbgm_stat &gt;= perc_95, converted_stat * 3, IF(bbgm_stat &gt;= perc_90, converted_stat * 2, IF(bbgm_stat &gt;= perc_85, converted_stat * 1.5, converted_stat)))))</f>
        <v/>
      </c>
      <c r="O561" s="30" t="str">
        <f t="array" ref="O561">IF($A561="", "", LET(bbgm_stat, INDEX(Players!$A560:$P560, MATCH(O$2, Players!$A$1:$P$1, 0)), perc_75, VLOOKUP(O$2, Percentiles!$A$45:$I$59, 6, FALSE), perc_90, VLOOKUP(O$2, Percentiles!$A$45:$I$59, 7, FALSE), perc_95, VLOOKUP(O$2, Percentiles!$A$45:$I$59, 8, FALSE), perc_85, perc_75 + (perc_90 - perc_75) * (2/3), converted_stat, '2K_Ratings'!O561, IF(bbgm_stat &gt;= perc_95, converted_stat * 3, IF(bbgm_stat &gt;= perc_90, converted_stat * 2, IF(bbgm_stat &gt;= perc_85, converted_stat * 1.5, converted_stat)))))</f>
        <v/>
      </c>
      <c r="P561" s="30" t="str">
        <f t="array" ref="P561">IF($A561="", "", LET(bbgm_stat, INDEX(Players!$A560:$P560, MATCH(P$2, Players!$A$1:$P$1, 0)), perc_75, VLOOKUP(P$2, Percentiles!$A$45:$I$59, 6, FALSE), perc_90, VLOOKUP(P$2, Percentiles!$A$45:$I$59, 7, FALSE), perc_95, VLOOKUP(P$2, Percentiles!$A$45:$I$59, 8, FALSE), perc_85, perc_75 + (perc_90 - perc_75) * (2/3), converted_stat, '2K_Ratings'!P561, IF(bbgm_stat &gt;= perc_95, converted_stat * 3, IF(bbgm_stat &gt;= perc_90, converted_stat * 2, IF(bbgm_stat &gt;= perc_85, converted_stat * 1.5, converted_stat)))))</f>
        <v/>
      </c>
      <c r="Q561" s="30" t="str">
        <f t="array" ref="Q561">IF($A561="", "", LET(bbgm_stat, INDEX(Players!$A560:$P560, MATCH(Q$2, Players!$A$1:$P$1, 0)), perc_75, VLOOKUP(Q$2, Percentiles!$A$45:$I$59, 6, FALSE), perc_90, VLOOKUP(Q$2, Percentiles!$A$45:$I$59, 7, FALSE), perc_95, VLOOKUP(Q$2, Percentiles!$A$45:$I$59, 8, FALSE), perc_85, perc_75 + (perc_90 - perc_75) * (2/3), converted_stat, '2K_Ratings'!Q561, IF(bbgm_stat &gt;= perc_95, converted_stat * 3, IF(bbgm_stat &gt;= perc_90, converted_stat * 2, IF(bbgm_stat &gt;= perc_85, converted_stat * 1.5, converted_stat)))))</f>
        <v/>
      </c>
      <c r="R561" s="30" t="str">
        <f t="array" ref="R561">IF($A561="", "", LET(bbgm_stat, INDEX(Players!$A560:$P560, MATCH(R$2, Players!$A$1:$P$1, 0)), perc_75, VLOOKUP(R$2, Percentiles!$A$45:$I$59, 6, FALSE), perc_90, VLOOKUP(R$2, Percentiles!$A$45:$I$59, 7, FALSE), perc_95, VLOOKUP(R$2, Percentiles!$A$45:$I$59, 8, FALSE), perc_85, perc_75 + (perc_90 - perc_75) * (2/3), converted_stat, '2K_Ratings'!R561, IF(bbgm_stat &gt;= perc_95, converted_stat * 3, IF(bbgm_stat &gt;= perc_90, converted_stat * 2, IF(bbgm_stat &gt;= perc_85, converted_stat * 1.5, converted_stat)))))</f>
        <v/>
      </c>
      <c r="S561" s="30" t="str">
        <f t="array" ref="S561">IF($A561="", "", LET(bbgm_stat, INDEX(Players!$A560:$P560, MATCH(S$2, Players!$A$1:$P$1, 0)), perc_75, VLOOKUP(S$2, Percentiles!$A$45:$I$59, 6, FALSE), perc_90, VLOOKUP(S$2, Percentiles!$A$45:$I$59, 7, FALSE), perc_95, VLOOKUP(S$2, Percentiles!$A$45:$I$59, 8, FALSE), perc_85, perc_75 + (perc_90 - perc_75) * (2/3), converted_stat, '2K_Ratings'!S561, IF(bbgm_stat &gt;= perc_95, converted_stat * 3, IF(bbgm_stat &gt;= perc_90, converted_stat * 2, IF(bbgm_stat &gt;= perc_85, converted_stat * 1.5, converted_stat)))))</f>
        <v/>
      </c>
      <c r="T561" s="30" t="str">
        <f t="array" ref="T561">IF($A561="", "", LET(bbgm_stat, INDEX(Players!$A560:$P560, MATCH(T$2, Players!$A$1:$P$1, 0)), perc_75, VLOOKUP(T$2, Percentiles!$A$45:$I$59, 6, FALSE), perc_90, VLOOKUP(T$2, Percentiles!$A$45:$I$59, 7, FALSE), perc_95, VLOOKUP(T$2, Percentiles!$A$45:$I$59, 8, FALSE), perc_85, perc_75 + (perc_90 - perc_75) * (2/3), converted_stat, '2K_Ratings'!T561, IF(bbgm_stat &gt;= perc_95, converted_stat * 3, IF(bbgm_stat &gt;= perc_90, converted_stat * 2, IF(bbgm_stat &gt;= perc_85, converted_stat * 1.5, converted_stat)))))</f>
        <v/>
      </c>
      <c r="U561" s="30" t="str">
        <f t="array" ref="U561">IF($A561="", "", LET(bbgm_stat, INDEX(Players!$A560:$P560, MATCH(U$2, Players!$A$1:$P$1, 0)), perc_75, VLOOKUP(U$2, Percentiles!$A$45:$I$59, 6, FALSE), perc_90, VLOOKUP(U$2, Percentiles!$A$45:$I$59, 7, FALSE), perc_95, VLOOKUP(U$2, Percentiles!$A$45:$I$59, 8, FALSE), perc_85, perc_75 + (perc_90 - perc_75) * (2/3), converted_stat, '2K_Ratings'!U561, IF(bbgm_stat &gt;= perc_95, converted_stat * 3, IF(bbgm_stat &gt;= perc_90, converted_stat * 2, IF(bbgm_stat &gt;= perc_85, converted_stat * 1.5, converted_stat)))))</f>
        <v/>
      </c>
      <c r="V561" s="30" t="str">
        <f t="array" ref="V561">IF($A561="", "", LET(bbgm_stat, INDEX(Players!$A560:$P560, MATCH(V$2, Players!$A$1:$P$1, 0)), perc_75, VLOOKUP(V$2, Percentiles!$A$45:$I$59, 6, FALSE), perc_90, VLOOKUP(V$2, Percentiles!$A$45:$I$59, 7, FALSE), perc_95, VLOOKUP(V$2, Percentiles!$A$45:$I$59, 8, FALSE), perc_85, perc_75 + (perc_90 - perc_75) * (2/3), converted_stat, '2K_Ratings'!V561, IF(bbgm_stat &gt;= perc_95, converted_stat * 3, IF(bbgm_stat &gt;= perc_90, converted_stat * 2, IF(bbgm_stat &gt;= perc_85, converted_stat * 1.5, converted_stat)))))</f>
        <v/>
      </c>
      <c r="W561" s="30" t="str">
        <f t="array" ref="W561">IF($A561="", "", LET(bbgm_stat, INDEX(Players!$A560:$P560, MATCH(W$2, Players!$A$1:$P$1, 0)), perc_75, VLOOKUP(W$2, Percentiles!$A$45:$I$59, 6, FALSE), perc_90, VLOOKUP(W$2, Percentiles!$A$45:$I$59, 7, FALSE), perc_95, VLOOKUP(W$2, Percentiles!$A$45:$I$59, 8, FALSE), perc_85, perc_75 + (perc_90 - perc_75) * (2/3), converted_stat, '2K_Ratings'!W561, IF(bbgm_stat &gt;= perc_95, converted_stat * 3, IF(bbgm_stat &gt;= perc_90, converted_stat * 2, IF(bbgm_stat &gt;= perc_85, converted_stat * 1.5, converted_stat)))))</f>
        <v/>
      </c>
    </row>
    <row r="562">
      <c r="A562" s="30"/>
      <c r="B562" s="30" t="str">
        <f t="array" ref="B562">IF($A562="", "", LET(bbgm_stat, INDEX(Players!$A561:$P561, MATCH(B$2, Players!$A$1:$P$1, 0)), perc_75, VLOOKUP(B$2, Percentiles!$A$45:$I$59, 6, FALSE), perc_90, VLOOKUP(B$2, Percentiles!$A$45:$I$59, 7, FALSE), perc_95, VLOOKUP(B$2, Percentiles!$A$45:$I$59, 8, FALSE), perc_85, perc_75 + (perc_90 - perc_75) * (2/3), converted_stat, '2K_Ratings'!B562, IF(bbgm_stat &gt;= perc_95, converted_stat * 3, IF(bbgm_stat &gt;= perc_90, converted_stat * 2, IF(bbgm_stat &gt;= perc_85, converted_stat * 1.5, converted_stat)))))</f>
        <v/>
      </c>
      <c r="C562" s="30" t="str">
        <f t="array" ref="C562">IF($A562="", "", LET(bbgm_stat, INDEX(Players!$A561:$P561, MATCH(C$2, Players!$A$1:$P$1, 0)), perc_75, VLOOKUP(C$2, Percentiles!$A$45:$I$59, 6, FALSE), perc_90, VLOOKUP(C$2, Percentiles!$A$45:$I$59, 7, FALSE), perc_95, VLOOKUP(C$2, Percentiles!$A$45:$I$59, 8, FALSE), perc_85, perc_75 + (perc_90 - perc_75) * (2/3), converted_stat, '2K_Ratings'!C562, IF(bbgm_stat &gt;= perc_95, converted_stat * 3, IF(bbgm_stat &gt;= perc_90, converted_stat * 2, IF(bbgm_stat &gt;= perc_85, converted_stat * 1.5, converted_stat)))))</f>
        <v/>
      </c>
      <c r="D562" s="30" t="str">
        <f t="array" ref="D562">IF($A562="", "", LET(bbgm_stat, INDEX(Players!$A561:$P561, MATCH(D$2, Players!$A$1:$P$1, 0)), perc_75, VLOOKUP(D$2, Percentiles!$A$45:$I$59, 6, FALSE), perc_90, VLOOKUP(D$2, Percentiles!$A$45:$I$59, 7, FALSE), perc_95, VLOOKUP(D$2, Percentiles!$A$45:$I$59, 8, FALSE), perc_85, perc_75 + (perc_90 - perc_75) * (2/3), converted_stat, '2K_Ratings'!D562, IF(bbgm_stat &gt;= perc_95, converted_stat * 3, IF(bbgm_stat &gt;= perc_90, converted_stat * 2, IF(bbgm_stat &gt;= perc_85, converted_stat * 1.5, converted_stat)))))</f>
        <v/>
      </c>
      <c r="E562" s="30" t="str">
        <f t="array" ref="E562">IF($A562="", "", LET(bbgm_stat, INDEX(Players!$A561:$P561, MATCH(E$2, Players!$A$1:$P$1, 0)), perc_75, VLOOKUP(E$2, Percentiles!$A$45:$I$59, 6, FALSE), perc_90, VLOOKUP(E$2, Percentiles!$A$45:$I$59, 7, FALSE), perc_95, VLOOKUP(E$2, Percentiles!$A$45:$I$59, 8, FALSE), perc_85, perc_75 + (perc_90 - perc_75) * (2/3), converted_stat, '2K_Ratings'!E562, IF(bbgm_stat &gt;= perc_95, converted_stat * 3, IF(bbgm_stat &gt;= perc_90, converted_stat * 2, IF(bbgm_stat &gt;= perc_85, converted_stat * 1.5, converted_stat)))))</f>
        <v/>
      </c>
      <c r="F562" s="30" t="str">
        <f t="array" ref="F562">IF($A562="", "", LET(bbgm_stat, INDEX(Players!$A561:$P561, MATCH(F$2, Players!$A$1:$P$1, 0)), perc_75, VLOOKUP(F$2, Percentiles!$A$45:$I$59, 6, FALSE), perc_90, VLOOKUP(F$2, Percentiles!$A$45:$I$59, 7, FALSE), perc_95, VLOOKUP(F$2, Percentiles!$A$45:$I$59, 8, FALSE), perc_85, perc_75 + (perc_90 - perc_75) * (2/3), converted_stat, '2K_Ratings'!F562, IF(bbgm_stat &gt;= perc_95, converted_stat * 3, IF(bbgm_stat &gt;= perc_90, converted_stat * 2, IF(bbgm_stat &gt;= perc_85, converted_stat * 1.5, converted_stat)))))</f>
        <v/>
      </c>
      <c r="G562" s="30" t="str">
        <f t="array" ref="G562">IF($A562="", "", LET(bbgm_stat, INDEX(Players!$A561:$P561, MATCH(G$2, Players!$A$1:$P$1, 0)), perc_75, VLOOKUP(G$2, Percentiles!$A$45:$I$59, 6, FALSE), perc_90, VLOOKUP(G$2, Percentiles!$A$45:$I$59, 7, FALSE), perc_95, VLOOKUP(G$2, Percentiles!$A$45:$I$59, 8, FALSE), perc_85, perc_75 + (perc_90 - perc_75) * (2/3), converted_stat, '2K_Ratings'!G562, IF(bbgm_stat &gt;= perc_95, converted_stat * 3, IF(bbgm_stat &gt;= perc_90, converted_stat * 2, IF(bbgm_stat &gt;= perc_85, converted_stat * 1.5, converted_stat)))))</f>
        <v/>
      </c>
      <c r="H562" s="30" t="str">
        <f t="array" ref="H562">IF($A562="", "", LET(bbgm_stat, INDEX(Players!$A561:$P561, MATCH(H$2, Players!$A$1:$P$1, 0)), perc_75, VLOOKUP(H$2, Percentiles!$A$45:$I$59, 6, FALSE), perc_90, VLOOKUP(H$2, Percentiles!$A$45:$I$59, 7, FALSE), perc_95, VLOOKUP(H$2, Percentiles!$A$45:$I$59, 8, FALSE), perc_85, perc_75 + (perc_90 - perc_75) * (2/3), converted_stat, '2K_Ratings'!H562, IF(bbgm_stat &gt;= perc_95, converted_stat * 3, IF(bbgm_stat &gt;= perc_90, converted_stat * 2, IF(bbgm_stat &gt;= perc_85, converted_stat * 1.5, converted_stat)))))</f>
        <v/>
      </c>
      <c r="I562" s="30" t="str">
        <f t="array" ref="I562">IF($A562="", "", LET(bbgm_stat, INDEX(Players!$A561:$P561, MATCH(I$2, Players!$A$1:$P$1, 0)), perc_75, VLOOKUP(I$2, Percentiles!$A$45:$I$59, 6, FALSE), perc_90, VLOOKUP(I$2, Percentiles!$A$45:$I$59, 7, FALSE), perc_95, VLOOKUP(I$2, Percentiles!$A$45:$I$59, 8, FALSE), perc_85, perc_75 + (perc_90 - perc_75) * (2/3), converted_stat, '2K_Ratings'!I562, IF(bbgm_stat &gt;= perc_95, converted_stat * 3, IF(bbgm_stat &gt;= perc_90, converted_stat * 2, IF(bbgm_stat &gt;= perc_85, converted_stat * 1.5, converted_stat)))))</f>
        <v/>
      </c>
      <c r="J562" s="30" t="str">
        <f t="array" ref="J562">IF($A562="", "", LET(bbgm_stat, INDEX(Players!$A561:$P561, MATCH(J$2, Players!$A$1:$P$1, 0)), perc_75, VLOOKUP(J$2, Percentiles!$A$45:$I$59, 6, FALSE), perc_90, VLOOKUP(J$2, Percentiles!$A$45:$I$59, 7, FALSE), perc_95, VLOOKUP(J$2, Percentiles!$A$45:$I$59, 8, FALSE), perc_85, perc_75 + (perc_90 - perc_75) * (2/3), converted_stat, '2K_Ratings'!J562, IF(bbgm_stat &gt;= perc_95, converted_stat * 3, IF(bbgm_stat &gt;= perc_90, converted_stat * 2, IF(bbgm_stat &gt;= perc_85, converted_stat * 1.5, converted_stat)))))</f>
        <v/>
      </c>
      <c r="K562" s="30" t="str">
        <f t="array" ref="K562">IF($A562="", "", LET(bbgm_stat, INDEX(Players!$A561:$P561, MATCH(K$2, Players!$A$1:$P$1, 0)), perc_75, VLOOKUP(K$2, Percentiles!$A$45:$I$59, 6, FALSE), perc_90, VLOOKUP(K$2, Percentiles!$A$45:$I$59, 7, FALSE), perc_95, VLOOKUP(K$2, Percentiles!$A$45:$I$59, 8, FALSE), perc_85, perc_75 + (perc_90 - perc_75) * (2/3), converted_stat, '2K_Ratings'!K562, IF(bbgm_stat &gt;= perc_95, converted_stat * 3, IF(bbgm_stat &gt;= perc_90, converted_stat * 2, IF(bbgm_stat &gt;= perc_85, converted_stat * 1.5, converted_stat)))))</f>
        <v/>
      </c>
      <c r="L562" s="30" t="str">
        <f t="array" ref="L562">IF($A562="", "", LET(bbgm_stat, INDEX(Players!$A561:$P561, MATCH(L$2, Players!$A$1:$P$1, 0)), perc_75, VLOOKUP(L$2, Percentiles!$A$45:$I$59, 6, FALSE), perc_90, VLOOKUP(L$2, Percentiles!$A$45:$I$59, 7, FALSE), perc_95, VLOOKUP(L$2, Percentiles!$A$45:$I$59, 8, FALSE), perc_85, perc_75 + (perc_90 - perc_75) * (2/3), converted_stat, '2K_Ratings'!L562, IF(bbgm_stat &gt;= perc_95, converted_stat * 3, IF(bbgm_stat &gt;= perc_90, converted_stat * 2, IF(bbgm_stat &gt;= perc_85, converted_stat * 1.5, converted_stat)))))</f>
        <v/>
      </c>
      <c r="M562" s="30" t="str">
        <f t="array" ref="M562">IF($A562="", "", LET(bbgm_stat, INDEX(Players!$A561:$P561, MATCH(M$2, Players!$A$1:$P$1, 0)), perc_75, VLOOKUP(M$2, Percentiles!$A$45:$I$59, 6, FALSE), perc_90, VLOOKUP(M$2, Percentiles!$A$45:$I$59, 7, FALSE), perc_95, VLOOKUP(M$2, Percentiles!$A$45:$I$59, 8, FALSE), perc_85, perc_75 + (perc_90 - perc_75) * (2/3), converted_stat, '2K_Ratings'!M562, IF(bbgm_stat &gt;= perc_95, converted_stat * 3, IF(bbgm_stat &gt;= perc_90, converted_stat * 2, IF(bbgm_stat &gt;= perc_85, converted_stat * 1.5, converted_stat)))))</f>
        <v/>
      </c>
      <c r="N562" s="30" t="str">
        <f t="array" ref="N562">IF($A562="", "", LET(bbgm_stat, INDEX(Players!$A561:$P561, MATCH(N$2, Players!$A$1:$P$1, 0)), perc_75, VLOOKUP(N$2, Percentiles!$A$45:$I$59, 6, FALSE), perc_90, VLOOKUP(N$2, Percentiles!$A$45:$I$59, 7, FALSE), perc_95, VLOOKUP(N$2, Percentiles!$A$45:$I$59, 8, FALSE), perc_85, perc_75 + (perc_90 - perc_75) * (2/3), converted_stat, '2K_Ratings'!N562, IF(bbgm_stat &gt;= perc_95, converted_stat * 3, IF(bbgm_stat &gt;= perc_90, converted_stat * 2, IF(bbgm_stat &gt;= perc_85, converted_stat * 1.5, converted_stat)))))</f>
        <v/>
      </c>
      <c r="O562" s="30" t="str">
        <f t="array" ref="O562">IF($A562="", "", LET(bbgm_stat, INDEX(Players!$A561:$P561, MATCH(O$2, Players!$A$1:$P$1, 0)), perc_75, VLOOKUP(O$2, Percentiles!$A$45:$I$59, 6, FALSE), perc_90, VLOOKUP(O$2, Percentiles!$A$45:$I$59, 7, FALSE), perc_95, VLOOKUP(O$2, Percentiles!$A$45:$I$59, 8, FALSE), perc_85, perc_75 + (perc_90 - perc_75) * (2/3), converted_stat, '2K_Ratings'!O562, IF(bbgm_stat &gt;= perc_95, converted_stat * 3, IF(bbgm_stat &gt;= perc_90, converted_stat * 2, IF(bbgm_stat &gt;= perc_85, converted_stat * 1.5, converted_stat)))))</f>
        <v/>
      </c>
      <c r="P562" s="30" t="str">
        <f t="array" ref="P562">IF($A562="", "", LET(bbgm_stat, INDEX(Players!$A561:$P561, MATCH(P$2, Players!$A$1:$P$1, 0)), perc_75, VLOOKUP(P$2, Percentiles!$A$45:$I$59, 6, FALSE), perc_90, VLOOKUP(P$2, Percentiles!$A$45:$I$59, 7, FALSE), perc_95, VLOOKUP(P$2, Percentiles!$A$45:$I$59, 8, FALSE), perc_85, perc_75 + (perc_90 - perc_75) * (2/3), converted_stat, '2K_Ratings'!P562, IF(bbgm_stat &gt;= perc_95, converted_stat * 3, IF(bbgm_stat &gt;= perc_90, converted_stat * 2, IF(bbgm_stat &gt;= perc_85, converted_stat * 1.5, converted_stat)))))</f>
        <v/>
      </c>
      <c r="Q562" s="30" t="str">
        <f t="array" ref="Q562">IF($A562="", "", LET(bbgm_stat, INDEX(Players!$A561:$P561, MATCH(Q$2, Players!$A$1:$P$1, 0)), perc_75, VLOOKUP(Q$2, Percentiles!$A$45:$I$59, 6, FALSE), perc_90, VLOOKUP(Q$2, Percentiles!$A$45:$I$59, 7, FALSE), perc_95, VLOOKUP(Q$2, Percentiles!$A$45:$I$59, 8, FALSE), perc_85, perc_75 + (perc_90 - perc_75) * (2/3), converted_stat, '2K_Ratings'!Q562, IF(bbgm_stat &gt;= perc_95, converted_stat * 3, IF(bbgm_stat &gt;= perc_90, converted_stat * 2, IF(bbgm_stat &gt;= perc_85, converted_stat * 1.5, converted_stat)))))</f>
        <v/>
      </c>
      <c r="R562" s="30" t="str">
        <f t="array" ref="R562">IF($A562="", "", LET(bbgm_stat, INDEX(Players!$A561:$P561, MATCH(R$2, Players!$A$1:$P$1, 0)), perc_75, VLOOKUP(R$2, Percentiles!$A$45:$I$59, 6, FALSE), perc_90, VLOOKUP(R$2, Percentiles!$A$45:$I$59, 7, FALSE), perc_95, VLOOKUP(R$2, Percentiles!$A$45:$I$59, 8, FALSE), perc_85, perc_75 + (perc_90 - perc_75) * (2/3), converted_stat, '2K_Ratings'!R562, IF(bbgm_stat &gt;= perc_95, converted_stat * 3, IF(bbgm_stat &gt;= perc_90, converted_stat * 2, IF(bbgm_stat &gt;= perc_85, converted_stat * 1.5, converted_stat)))))</f>
        <v/>
      </c>
      <c r="S562" s="30" t="str">
        <f t="array" ref="S562">IF($A562="", "", LET(bbgm_stat, INDEX(Players!$A561:$P561, MATCH(S$2, Players!$A$1:$P$1, 0)), perc_75, VLOOKUP(S$2, Percentiles!$A$45:$I$59, 6, FALSE), perc_90, VLOOKUP(S$2, Percentiles!$A$45:$I$59, 7, FALSE), perc_95, VLOOKUP(S$2, Percentiles!$A$45:$I$59, 8, FALSE), perc_85, perc_75 + (perc_90 - perc_75) * (2/3), converted_stat, '2K_Ratings'!S562, IF(bbgm_stat &gt;= perc_95, converted_stat * 3, IF(bbgm_stat &gt;= perc_90, converted_stat * 2, IF(bbgm_stat &gt;= perc_85, converted_stat * 1.5, converted_stat)))))</f>
        <v/>
      </c>
      <c r="T562" s="30" t="str">
        <f t="array" ref="T562">IF($A562="", "", LET(bbgm_stat, INDEX(Players!$A561:$P561, MATCH(T$2, Players!$A$1:$P$1, 0)), perc_75, VLOOKUP(T$2, Percentiles!$A$45:$I$59, 6, FALSE), perc_90, VLOOKUP(T$2, Percentiles!$A$45:$I$59, 7, FALSE), perc_95, VLOOKUP(T$2, Percentiles!$A$45:$I$59, 8, FALSE), perc_85, perc_75 + (perc_90 - perc_75) * (2/3), converted_stat, '2K_Ratings'!T562, IF(bbgm_stat &gt;= perc_95, converted_stat * 3, IF(bbgm_stat &gt;= perc_90, converted_stat * 2, IF(bbgm_stat &gt;= perc_85, converted_stat * 1.5, converted_stat)))))</f>
        <v/>
      </c>
      <c r="U562" s="30" t="str">
        <f t="array" ref="U562">IF($A562="", "", LET(bbgm_stat, INDEX(Players!$A561:$P561, MATCH(U$2, Players!$A$1:$P$1, 0)), perc_75, VLOOKUP(U$2, Percentiles!$A$45:$I$59, 6, FALSE), perc_90, VLOOKUP(U$2, Percentiles!$A$45:$I$59, 7, FALSE), perc_95, VLOOKUP(U$2, Percentiles!$A$45:$I$59, 8, FALSE), perc_85, perc_75 + (perc_90 - perc_75) * (2/3), converted_stat, '2K_Ratings'!U562, IF(bbgm_stat &gt;= perc_95, converted_stat * 3, IF(bbgm_stat &gt;= perc_90, converted_stat * 2, IF(bbgm_stat &gt;= perc_85, converted_stat * 1.5, converted_stat)))))</f>
        <v/>
      </c>
      <c r="V562" s="30" t="str">
        <f t="array" ref="V562">IF($A562="", "", LET(bbgm_stat, INDEX(Players!$A561:$P561, MATCH(V$2, Players!$A$1:$P$1, 0)), perc_75, VLOOKUP(V$2, Percentiles!$A$45:$I$59, 6, FALSE), perc_90, VLOOKUP(V$2, Percentiles!$A$45:$I$59, 7, FALSE), perc_95, VLOOKUP(V$2, Percentiles!$A$45:$I$59, 8, FALSE), perc_85, perc_75 + (perc_90 - perc_75) * (2/3), converted_stat, '2K_Ratings'!V562, IF(bbgm_stat &gt;= perc_95, converted_stat * 3, IF(bbgm_stat &gt;= perc_90, converted_stat * 2, IF(bbgm_stat &gt;= perc_85, converted_stat * 1.5, converted_stat)))))</f>
        <v/>
      </c>
      <c r="W562" s="30" t="str">
        <f t="array" ref="W562">IF($A562="", "", LET(bbgm_stat, INDEX(Players!$A561:$P561, MATCH(W$2, Players!$A$1:$P$1, 0)), perc_75, VLOOKUP(W$2, Percentiles!$A$45:$I$59, 6, FALSE), perc_90, VLOOKUP(W$2, Percentiles!$A$45:$I$59, 7, FALSE), perc_95, VLOOKUP(W$2, Percentiles!$A$45:$I$59, 8, FALSE), perc_85, perc_75 + (perc_90 - perc_75) * (2/3), converted_stat, '2K_Ratings'!W562, IF(bbgm_stat &gt;= perc_95, converted_stat * 3, IF(bbgm_stat &gt;= perc_90, converted_stat * 2, IF(bbgm_stat &gt;= perc_85, converted_stat * 1.5, converted_stat)))))</f>
        <v/>
      </c>
    </row>
    <row r="563">
      <c r="A563" s="30"/>
      <c r="B563" s="30" t="str">
        <f t="array" ref="B563">IF($A563="", "", LET(bbgm_stat, INDEX(Players!$A562:$P562, MATCH(B$2, Players!$A$1:$P$1, 0)), perc_75, VLOOKUP(B$2, Percentiles!$A$45:$I$59, 6, FALSE), perc_90, VLOOKUP(B$2, Percentiles!$A$45:$I$59, 7, FALSE), perc_95, VLOOKUP(B$2, Percentiles!$A$45:$I$59, 8, FALSE), perc_85, perc_75 + (perc_90 - perc_75) * (2/3), converted_stat, '2K_Ratings'!B563, IF(bbgm_stat &gt;= perc_95, converted_stat * 3, IF(bbgm_stat &gt;= perc_90, converted_stat * 2, IF(bbgm_stat &gt;= perc_85, converted_stat * 1.5, converted_stat)))))</f>
        <v/>
      </c>
      <c r="C563" s="30" t="str">
        <f t="array" ref="C563">IF($A563="", "", LET(bbgm_stat, INDEX(Players!$A562:$P562, MATCH(C$2, Players!$A$1:$P$1, 0)), perc_75, VLOOKUP(C$2, Percentiles!$A$45:$I$59, 6, FALSE), perc_90, VLOOKUP(C$2, Percentiles!$A$45:$I$59, 7, FALSE), perc_95, VLOOKUP(C$2, Percentiles!$A$45:$I$59, 8, FALSE), perc_85, perc_75 + (perc_90 - perc_75) * (2/3), converted_stat, '2K_Ratings'!C563, IF(bbgm_stat &gt;= perc_95, converted_stat * 3, IF(bbgm_stat &gt;= perc_90, converted_stat * 2, IF(bbgm_stat &gt;= perc_85, converted_stat * 1.5, converted_stat)))))</f>
        <v/>
      </c>
      <c r="D563" s="30" t="str">
        <f t="array" ref="D563">IF($A563="", "", LET(bbgm_stat, INDEX(Players!$A562:$P562, MATCH(D$2, Players!$A$1:$P$1, 0)), perc_75, VLOOKUP(D$2, Percentiles!$A$45:$I$59, 6, FALSE), perc_90, VLOOKUP(D$2, Percentiles!$A$45:$I$59, 7, FALSE), perc_95, VLOOKUP(D$2, Percentiles!$A$45:$I$59, 8, FALSE), perc_85, perc_75 + (perc_90 - perc_75) * (2/3), converted_stat, '2K_Ratings'!D563, IF(bbgm_stat &gt;= perc_95, converted_stat * 3, IF(bbgm_stat &gt;= perc_90, converted_stat * 2, IF(bbgm_stat &gt;= perc_85, converted_stat * 1.5, converted_stat)))))</f>
        <v/>
      </c>
      <c r="E563" s="30" t="str">
        <f t="array" ref="E563">IF($A563="", "", LET(bbgm_stat, INDEX(Players!$A562:$P562, MATCH(E$2, Players!$A$1:$P$1, 0)), perc_75, VLOOKUP(E$2, Percentiles!$A$45:$I$59, 6, FALSE), perc_90, VLOOKUP(E$2, Percentiles!$A$45:$I$59, 7, FALSE), perc_95, VLOOKUP(E$2, Percentiles!$A$45:$I$59, 8, FALSE), perc_85, perc_75 + (perc_90 - perc_75) * (2/3), converted_stat, '2K_Ratings'!E563, IF(bbgm_stat &gt;= perc_95, converted_stat * 3, IF(bbgm_stat &gt;= perc_90, converted_stat * 2, IF(bbgm_stat &gt;= perc_85, converted_stat * 1.5, converted_stat)))))</f>
        <v/>
      </c>
      <c r="F563" s="30" t="str">
        <f t="array" ref="F563">IF($A563="", "", LET(bbgm_stat, INDEX(Players!$A562:$P562, MATCH(F$2, Players!$A$1:$P$1, 0)), perc_75, VLOOKUP(F$2, Percentiles!$A$45:$I$59, 6, FALSE), perc_90, VLOOKUP(F$2, Percentiles!$A$45:$I$59, 7, FALSE), perc_95, VLOOKUP(F$2, Percentiles!$A$45:$I$59, 8, FALSE), perc_85, perc_75 + (perc_90 - perc_75) * (2/3), converted_stat, '2K_Ratings'!F563, IF(bbgm_stat &gt;= perc_95, converted_stat * 3, IF(bbgm_stat &gt;= perc_90, converted_stat * 2, IF(bbgm_stat &gt;= perc_85, converted_stat * 1.5, converted_stat)))))</f>
        <v/>
      </c>
      <c r="G563" s="30" t="str">
        <f t="array" ref="G563">IF($A563="", "", LET(bbgm_stat, INDEX(Players!$A562:$P562, MATCH(G$2, Players!$A$1:$P$1, 0)), perc_75, VLOOKUP(G$2, Percentiles!$A$45:$I$59, 6, FALSE), perc_90, VLOOKUP(G$2, Percentiles!$A$45:$I$59, 7, FALSE), perc_95, VLOOKUP(G$2, Percentiles!$A$45:$I$59, 8, FALSE), perc_85, perc_75 + (perc_90 - perc_75) * (2/3), converted_stat, '2K_Ratings'!G563, IF(bbgm_stat &gt;= perc_95, converted_stat * 3, IF(bbgm_stat &gt;= perc_90, converted_stat * 2, IF(bbgm_stat &gt;= perc_85, converted_stat * 1.5, converted_stat)))))</f>
        <v/>
      </c>
      <c r="H563" s="30" t="str">
        <f t="array" ref="H563">IF($A563="", "", LET(bbgm_stat, INDEX(Players!$A562:$P562, MATCH(H$2, Players!$A$1:$P$1, 0)), perc_75, VLOOKUP(H$2, Percentiles!$A$45:$I$59, 6, FALSE), perc_90, VLOOKUP(H$2, Percentiles!$A$45:$I$59, 7, FALSE), perc_95, VLOOKUP(H$2, Percentiles!$A$45:$I$59, 8, FALSE), perc_85, perc_75 + (perc_90 - perc_75) * (2/3), converted_stat, '2K_Ratings'!H563, IF(bbgm_stat &gt;= perc_95, converted_stat * 3, IF(bbgm_stat &gt;= perc_90, converted_stat * 2, IF(bbgm_stat &gt;= perc_85, converted_stat * 1.5, converted_stat)))))</f>
        <v/>
      </c>
      <c r="I563" s="30" t="str">
        <f t="array" ref="I563">IF($A563="", "", LET(bbgm_stat, INDEX(Players!$A562:$P562, MATCH(I$2, Players!$A$1:$P$1, 0)), perc_75, VLOOKUP(I$2, Percentiles!$A$45:$I$59, 6, FALSE), perc_90, VLOOKUP(I$2, Percentiles!$A$45:$I$59, 7, FALSE), perc_95, VLOOKUP(I$2, Percentiles!$A$45:$I$59, 8, FALSE), perc_85, perc_75 + (perc_90 - perc_75) * (2/3), converted_stat, '2K_Ratings'!I563, IF(bbgm_stat &gt;= perc_95, converted_stat * 3, IF(bbgm_stat &gt;= perc_90, converted_stat * 2, IF(bbgm_stat &gt;= perc_85, converted_stat * 1.5, converted_stat)))))</f>
        <v/>
      </c>
      <c r="J563" s="30" t="str">
        <f t="array" ref="J563">IF($A563="", "", LET(bbgm_stat, INDEX(Players!$A562:$P562, MATCH(J$2, Players!$A$1:$P$1, 0)), perc_75, VLOOKUP(J$2, Percentiles!$A$45:$I$59, 6, FALSE), perc_90, VLOOKUP(J$2, Percentiles!$A$45:$I$59, 7, FALSE), perc_95, VLOOKUP(J$2, Percentiles!$A$45:$I$59, 8, FALSE), perc_85, perc_75 + (perc_90 - perc_75) * (2/3), converted_stat, '2K_Ratings'!J563, IF(bbgm_stat &gt;= perc_95, converted_stat * 3, IF(bbgm_stat &gt;= perc_90, converted_stat * 2, IF(bbgm_stat &gt;= perc_85, converted_stat * 1.5, converted_stat)))))</f>
        <v/>
      </c>
      <c r="K563" s="30" t="str">
        <f t="array" ref="K563">IF($A563="", "", LET(bbgm_stat, INDEX(Players!$A562:$P562, MATCH(K$2, Players!$A$1:$P$1, 0)), perc_75, VLOOKUP(K$2, Percentiles!$A$45:$I$59, 6, FALSE), perc_90, VLOOKUP(K$2, Percentiles!$A$45:$I$59, 7, FALSE), perc_95, VLOOKUP(K$2, Percentiles!$A$45:$I$59, 8, FALSE), perc_85, perc_75 + (perc_90 - perc_75) * (2/3), converted_stat, '2K_Ratings'!K563, IF(bbgm_stat &gt;= perc_95, converted_stat * 3, IF(bbgm_stat &gt;= perc_90, converted_stat * 2, IF(bbgm_stat &gt;= perc_85, converted_stat * 1.5, converted_stat)))))</f>
        <v/>
      </c>
      <c r="L563" s="30" t="str">
        <f t="array" ref="L563">IF($A563="", "", LET(bbgm_stat, INDEX(Players!$A562:$P562, MATCH(L$2, Players!$A$1:$P$1, 0)), perc_75, VLOOKUP(L$2, Percentiles!$A$45:$I$59, 6, FALSE), perc_90, VLOOKUP(L$2, Percentiles!$A$45:$I$59, 7, FALSE), perc_95, VLOOKUP(L$2, Percentiles!$A$45:$I$59, 8, FALSE), perc_85, perc_75 + (perc_90 - perc_75) * (2/3), converted_stat, '2K_Ratings'!L563, IF(bbgm_stat &gt;= perc_95, converted_stat * 3, IF(bbgm_stat &gt;= perc_90, converted_stat * 2, IF(bbgm_stat &gt;= perc_85, converted_stat * 1.5, converted_stat)))))</f>
        <v/>
      </c>
      <c r="M563" s="30" t="str">
        <f t="array" ref="M563">IF($A563="", "", LET(bbgm_stat, INDEX(Players!$A562:$P562, MATCH(M$2, Players!$A$1:$P$1, 0)), perc_75, VLOOKUP(M$2, Percentiles!$A$45:$I$59, 6, FALSE), perc_90, VLOOKUP(M$2, Percentiles!$A$45:$I$59, 7, FALSE), perc_95, VLOOKUP(M$2, Percentiles!$A$45:$I$59, 8, FALSE), perc_85, perc_75 + (perc_90 - perc_75) * (2/3), converted_stat, '2K_Ratings'!M563, IF(bbgm_stat &gt;= perc_95, converted_stat * 3, IF(bbgm_stat &gt;= perc_90, converted_stat * 2, IF(bbgm_stat &gt;= perc_85, converted_stat * 1.5, converted_stat)))))</f>
        <v/>
      </c>
      <c r="N563" s="30" t="str">
        <f t="array" ref="N563">IF($A563="", "", LET(bbgm_stat, INDEX(Players!$A562:$P562, MATCH(N$2, Players!$A$1:$P$1, 0)), perc_75, VLOOKUP(N$2, Percentiles!$A$45:$I$59, 6, FALSE), perc_90, VLOOKUP(N$2, Percentiles!$A$45:$I$59, 7, FALSE), perc_95, VLOOKUP(N$2, Percentiles!$A$45:$I$59, 8, FALSE), perc_85, perc_75 + (perc_90 - perc_75) * (2/3), converted_stat, '2K_Ratings'!N563, IF(bbgm_stat &gt;= perc_95, converted_stat * 3, IF(bbgm_stat &gt;= perc_90, converted_stat * 2, IF(bbgm_stat &gt;= perc_85, converted_stat * 1.5, converted_stat)))))</f>
        <v/>
      </c>
      <c r="O563" s="30" t="str">
        <f t="array" ref="O563">IF($A563="", "", LET(bbgm_stat, INDEX(Players!$A562:$P562, MATCH(O$2, Players!$A$1:$P$1, 0)), perc_75, VLOOKUP(O$2, Percentiles!$A$45:$I$59, 6, FALSE), perc_90, VLOOKUP(O$2, Percentiles!$A$45:$I$59, 7, FALSE), perc_95, VLOOKUP(O$2, Percentiles!$A$45:$I$59, 8, FALSE), perc_85, perc_75 + (perc_90 - perc_75) * (2/3), converted_stat, '2K_Ratings'!O563, IF(bbgm_stat &gt;= perc_95, converted_stat * 3, IF(bbgm_stat &gt;= perc_90, converted_stat * 2, IF(bbgm_stat &gt;= perc_85, converted_stat * 1.5, converted_stat)))))</f>
        <v/>
      </c>
      <c r="P563" s="30" t="str">
        <f t="array" ref="P563">IF($A563="", "", LET(bbgm_stat, INDEX(Players!$A562:$P562, MATCH(P$2, Players!$A$1:$P$1, 0)), perc_75, VLOOKUP(P$2, Percentiles!$A$45:$I$59, 6, FALSE), perc_90, VLOOKUP(P$2, Percentiles!$A$45:$I$59, 7, FALSE), perc_95, VLOOKUP(P$2, Percentiles!$A$45:$I$59, 8, FALSE), perc_85, perc_75 + (perc_90 - perc_75) * (2/3), converted_stat, '2K_Ratings'!P563, IF(bbgm_stat &gt;= perc_95, converted_stat * 3, IF(bbgm_stat &gt;= perc_90, converted_stat * 2, IF(bbgm_stat &gt;= perc_85, converted_stat * 1.5, converted_stat)))))</f>
        <v/>
      </c>
      <c r="Q563" s="30" t="str">
        <f t="array" ref="Q563">IF($A563="", "", LET(bbgm_stat, INDEX(Players!$A562:$P562, MATCH(Q$2, Players!$A$1:$P$1, 0)), perc_75, VLOOKUP(Q$2, Percentiles!$A$45:$I$59, 6, FALSE), perc_90, VLOOKUP(Q$2, Percentiles!$A$45:$I$59, 7, FALSE), perc_95, VLOOKUP(Q$2, Percentiles!$A$45:$I$59, 8, FALSE), perc_85, perc_75 + (perc_90 - perc_75) * (2/3), converted_stat, '2K_Ratings'!Q563, IF(bbgm_stat &gt;= perc_95, converted_stat * 3, IF(bbgm_stat &gt;= perc_90, converted_stat * 2, IF(bbgm_stat &gt;= perc_85, converted_stat * 1.5, converted_stat)))))</f>
        <v/>
      </c>
      <c r="R563" s="30" t="str">
        <f t="array" ref="R563">IF($A563="", "", LET(bbgm_stat, INDEX(Players!$A562:$P562, MATCH(R$2, Players!$A$1:$P$1, 0)), perc_75, VLOOKUP(R$2, Percentiles!$A$45:$I$59, 6, FALSE), perc_90, VLOOKUP(R$2, Percentiles!$A$45:$I$59, 7, FALSE), perc_95, VLOOKUP(R$2, Percentiles!$A$45:$I$59, 8, FALSE), perc_85, perc_75 + (perc_90 - perc_75) * (2/3), converted_stat, '2K_Ratings'!R563, IF(bbgm_stat &gt;= perc_95, converted_stat * 3, IF(bbgm_stat &gt;= perc_90, converted_stat * 2, IF(bbgm_stat &gt;= perc_85, converted_stat * 1.5, converted_stat)))))</f>
        <v/>
      </c>
      <c r="S563" s="30" t="str">
        <f t="array" ref="S563">IF($A563="", "", LET(bbgm_stat, INDEX(Players!$A562:$P562, MATCH(S$2, Players!$A$1:$P$1, 0)), perc_75, VLOOKUP(S$2, Percentiles!$A$45:$I$59, 6, FALSE), perc_90, VLOOKUP(S$2, Percentiles!$A$45:$I$59, 7, FALSE), perc_95, VLOOKUP(S$2, Percentiles!$A$45:$I$59, 8, FALSE), perc_85, perc_75 + (perc_90 - perc_75) * (2/3), converted_stat, '2K_Ratings'!S563, IF(bbgm_stat &gt;= perc_95, converted_stat * 3, IF(bbgm_stat &gt;= perc_90, converted_stat * 2, IF(bbgm_stat &gt;= perc_85, converted_stat * 1.5, converted_stat)))))</f>
        <v/>
      </c>
      <c r="T563" s="30" t="str">
        <f t="array" ref="T563">IF($A563="", "", LET(bbgm_stat, INDEX(Players!$A562:$P562, MATCH(T$2, Players!$A$1:$P$1, 0)), perc_75, VLOOKUP(T$2, Percentiles!$A$45:$I$59, 6, FALSE), perc_90, VLOOKUP(T$2, Percentiles!$A$45:$I$59, 7, FALSE), perc_95, VLOOKUP(T$2, Percentiles!$A$45:$I$59, 8, FALSE), perc_85, perc_75 + (perc_90 - perc_75) * (2/3), converted_stat, '2K_Ratings'!T563, IF(bbgm_stat &gt;= perc_95, converted_stat * 3, IF(bbgm_stat &gt;= perc_90, converted_stat * 2, IF(bbgm_stat &gt;= perc_85, converted_stat * 1.5, converted_stat)))))</f>
        <v/>
      </c>
      <c r="U563" s="30" t="str">
        <f t="array" ref="U563">IF($A563="", "", LET(bbgm_stat, INDEX(Players!$A562:$P562, MATCH(U$2, Players!$A$1:$P$1, 0)), perc_75, VLOOKUP(U$2, Percentiles!$A$45:$I$59, 6, FALSE), perc_90, VLOOKUP(U$2, Percentiles!$A$45:$I$59, 7, FALSE), perc_95, VLOOKUP(U$2, Percentiles!$A$45:$I$59, 8, FALSE), perc_85, perc_75 + (perc_90 - perc_75) * (2/3), converted_stat, '2K_Ratings'!U563, IF(bbgm_stat &gt;= perc_95, converted_stat * 3, IF(bbgm_stat &gt;= perc_90, converted_stat * 2, IF(bbgm_stat &gt;= perc_85, converted_stat * 1.5, converted_stat)))))</f>
        <v/>
      </c>
      <c r="V563" s="30" t="str">
        <f t="array" ref="V563">IF($A563="", "", LET(bbgm_stat, INDEX(Players!$A562:$P562, MATCH(V$2, Players!$A$1:$P$1, 0)), perc_75, VLOOKUP(V$2, Percentiles!$A$45:$I$59, 6, FALSE), perc_90, VLOOKUP(V$2, Percentiles!$A$45:$I$59, 7, FALSE), perc_95, VLOOKUP(V$2, Percentiles!$A$45:$I$59, 8, FALSE), perc_85, perc_75 + (perc_90 - perc_75) * (2/3), converted_stat, '2K_Ratings'!V563, IF(bbgm_stat &gt;= perc_95, converted_stat * 3, IF(bbgm_stat &gt;= perc_90, converted_stat * 2, IF(bbgm_stat &gt;= perc_85, converted_stat * 1.5, converted_stat)))))</f>
        <v/>
      </c>
      <c r="W563" s="30" t="str">
        <f t="array" ref="W563">IF($A563="", "", LET(bbgm_stat, INDEX(Players!$A562:$P562, MATCH(W$2, Players!$A$1:$P$1, 0)), perc_75, VLOOKUP(W$2, Percentiles!$A$45:$I$59, 6, FALSE), perc_90, VLOOKUP(W$2, Percentiles!$A$45:$I$59, 7, FALSE), perc_95, VLOOKUP(W$2, Percentiles!$A$45:$I$59, 8, FALSE), perc_85, perc_75 + (perc_90 - perc_75) * (2/3), converted_stat, '2K_Ratings'!W563, IF(bbgm_stat &gt;= perc_95, converted_stat * 3, IF(bbgm_stat &gt;= perc_90, converted_stat * 2, IF(bbgm_stat &gt;= perc_85, converted_stat * 1.5, converted_stat)))))</f>
        <v/>
      </c>
    </row>
    <row r="564">
      <c r="A564" s="30"/>
      <c r="B564" s="30" t="str">
        <f t="array" ref="B564">IF($A564="", "", LET(bbgm_stat, INDEX(Players!$A563:$P563, MATCH(B$2, Players!$A$1:$P$1, 0)), perc_75, VLOOKUP(B$2, Percentiles!$A$45:$I$59, 6, FALSE), perc_90, VLOOKUP(B$2, Percentiles!$A$45:$I$59, 7, FALSE), perc_95, VLOOKUP(B$2, Percentiles!$A$45:$I$59, 8, FALSE), perc_85, perc_75 + (perc_90 - perc_75) * (2/3), converted_stat, '2K_Ratings'!B564, IF(bbgm_stat &gt;= perc_95, converted_stat * 3, IF(bbgm_stat &gt;= perc_90, converted_stat * 2, IF(bbgm_stat &gt;= perc_85, converted_stat * 1.5, converted_stat)))))</f>
        <v/>
      </c>
      <c r="C564" s="30" t="str">
        <f t="array" ref="C564">IF($A564="", "", LET(bbgm_stat, INDEX(Players!$A563:$P563, MATCH(C$2, Players!$A$1:$P$1, 0)), perc_75, VLOOKUP(C$2, Percentiles!$A$45:$I$59, 6, FALSE), perc_90, VLOOKUP(C$2, Percentiles!$A$45:$I$59, 7, FALSE), perc_95, VLOOKUP(C$2, Percentiles!$A$45:$I$59, 8, FALSE), perc_85, perc_75 + (perc_90 - perc_75) * (2/3), converted_stat, '2K_Ratings'!C564, IF(bbgm_stat &gt;= perc_95, converted_stat * 3, IF(bbgm_stat &gt;= perc_90, converted_stat * 2, IF(bbgm_stat &gt;= perc_85, converted_stat * 1.5, converted_stat)))))</f>
        <v/>
      </c>
      <c r="D564" s="30" t="str">
        <f t="array" ref="D564">IF($A564="", "", LET(bbgm_stat, INDEX(Players!$A563:$P563, MATCH(D$2, Players!$A$1:$P$1, 0)), perc_75, VLOOKUP(D$2, Percentiles!$A$45:$I$59, 6, FALSE), perc_90, VLOOKUP(D$2, Percentiles!$A$45:$I$59, 7, FALSE), perc_95, VLOOKUP(D$2, Percentiles!$A$45:$I$59, 8, FALSE), perc_85, perc_75 + (perc_90 - perc_75) * (2/3), converted_stat, '2K_Ratings'!D564, IF(bbgm_stat &gt;= perc_95, converted_stat * 3, IF(bbgm_stat &gt;= perc_90, converted_stat * 2, IF(bbgm_stat &gt;= perc_85, converted_stat * 1.5, converted_stat)))))</f>
        <v/>
      </c>
      <c r="E564" s="30" t="str">
        <f t="array" ref="E564">IF($A564="", "", LET(bbgm_stat, INDEX(Players!$A563:$P563, MATCH(E$2, Players!$A$1:$P$1, 0)), perc_75, VLOOKUP(E$2, Percentiles!$A$45:$I$59, 6, FALSE), perc_90, VLOOKUP(E$2, Percentiles!$A$45:$I$59, 7, FALSE), perc_95, VLOOKUP(E$2, Percentiles!$A$45:$I$59, 8, FALSE), perc_85, perc_75 + (perc_90 - perc_75) * (2/3), converted_stat, '2K_Ratings'!E564, IF(bbgm_stat &gt;= perc_95, converted_stat * 3, IF(bbgm_stat &gt;= perc_90, converted_stat * 2, IF(bbgm_stat &gt;= perc_85, converted_stat * 1.5, converted_stat)))))</f>
        <v/>
      </c>
      <c r="F564" s="30" t="str">
        <f t="array" ref="F564">IF($A564="", "", LET(bbgm_stat, INDEX(Players!$A563:$P563, MATCH(F$2, Players!$A$1:$P$1, 0)), perc_75, VLOOKUP(F$2, Percentiles!$A$45:$I$59, 6, FALSE), perc_90, VLOOKUP(F$2, Percentiles!$A$45:$I$59, 7, FALSE), perc_95, VLOOKUP(F$2, Percentiles!$A$45:$I$59, 8, FALSE), perc_85, perc_75 + (perc_90 - perc_75) * (2/3), converted_stat, '2K_Ratings'!F564, IF(bbgm_stat &gt;= perc_95, converted_stat * 3, IF(bbgm_stat &gt;= perc_90, converted_stat * 2, IF(bbgm_stat &gt;= perc_85, converted_stat * 1.5, converted_stat)))))</f>
        <v/>
      </c>
      <c r="G564" s="30" t="str">
        <f t="array" ref="G564">IF($A564="", "", LET(bbgm_stat, INDEX(Players!$A563:$P563, MATCH(G$2, Players!$A$1:$P$1, 0)), perc_75, VLOOKUP(G$2, Percentiles!$A$45:$I$59, 6, FALSE), perc_90, VLOOKUP(G$2, Percentiles!$A$45:$I$59, 7, FALSE), perc_95, VLOOKUP(G$2, Percentiles!$A$45:$I$59, 8, FALSE), perc_85, perc_75 + (perc_90 - perc_75) * (2/3), converted_stat, '2K_Ratings'!G564, IF(bbgm_stat &gt;= perc_95, converted_stat * 3, IF(bbgm_stat &gt;= perc_90, converted_stat * 2, IF(bbgm_stat &gt;= perc_85, converted_stat * 1.5, converted_stat)))))</f>
        <v/>
      </c>
      <c r="H564" s="30" t="str">
        <f t="array" ref="H564">IF($A564="", "", LET(bbgm_stat, INDEX(Players!$A563:$P563, MATCH(H$2, Players!$A$1:$P$1, 0)), perc_75, VLOOKUP(H$2, Percentiles!$A$45:$I$59, 6, FALSE), perc_90, VLOOKUP(H$2, Percentiles!$A$45:$I$59, 7, FALSE), perc_95, VLOOKUP(H$2, Percentiles!$A$45:$I$59, 8, FALSE), perc_85, perc_75 + (perc_90 - perc_75) * (2/3), converted_stat, '2K_Ratings'!H564, IF(bbgm_stat &gt;= perc_95, converted_stat * 3, IF(bbgm_stat &gt;= perc_90, converted_stat * 2, IF(bbgm_stat &gt;= perc_85, converted_stat * 1.5, converted_stat)))))</f>
        <v/>
      </c>
      <c r="I564" s="30" t="str">
        <f t="array" ref="I564">IF($A564="", "", LET(bbgm_stat, INDEX(Players!$A563:$P563, MATCH(I$2, Players!$A$1:$P$1, 0)), perc_75, VLOOKUP(I$2, Percentiles!$A$45:$I$59, 6, FALSE), perc_90, VLOOKUP(I$2, Percentiles!$A$45:$I$59, 7, FALSE), perc_95, VLOOKUP(I$2, Percentiles!$A$45:$I$59, 8, FALSE), perc_85, perc_75 + (perc_90 - perc_75) * (2/3), converted_stat, '2K_Ratings'!I564, IF(bbgm_stat &gt;= perc_95, converted_stat * 3, IF(bbgm_stat &gt;= perc_90, converted_stat * 2, IF(bbgm_stat &gt;= perc_85, converted_stat * 1.5, converted_stat)))))</f>
        <v/>
      </c>
      <c r="J564" s="30" t="str">
        <f t="array" ref="J564">IF($A564="", "", LET(bbgm_stat, INDEX(Players!$A563:$P563, MATCH(J$2, Players!$A$1:$P$1, 0)), perc_75, VLOOKUP(J$2, Percentiles!$A$45:$I$59, 6, FALSE), perc_90, VLOOKUP(J$2, Percentiles!$A$45:$I$59, 7, FALSE), perc_95, VLOOKUP(J$2, Percentiles!$A$45:$I$59, 8, FALSE), perc_85, perc_75 + (perc_90 - perc_75) * (2/3), converted_stat, '2K_Ratings'!J564, IF(bbgm_stat &gt;= perc_95, converted_stat * 3, IF(bbgm_stat &gt;= perc_90, converted_stat * 2, IF(bbgm_stat &gt;= perc_85, converted_stat * 1.5, converted_stat)))))</f>
        <v/>
      </c>
      <c r="K564" s="30" t="str">
        <f t="array" ref="K564">IF($A564="", "", LET(bbgm_stat, INDEX(Players!$A563:$P563, MATCH(K$2, Players!$A$1:$P$1, 0)), perc_75, VLOOKUP(K$2, Percentiles!$A$45:$I$59, 6, FALSE), perc_90, VLOOKUP(K$2, Percentiles!$A$45:$I$59, 7, FALSE), perc_95, VLOOKUP(K$2, Percentiles!$A$45:$I$59, 8, FALSE), perc_85, perc_75 + (perc_90 - perc_75) * (2/3), converted_stat, '2K_Ratings'!K564, IF(bbgm_stat &gt;= perc_95, converted_stat * 3, IF(bbgm_stat &gt;= perc_90, converted_stat * 2, IF(bbgm_stat &gt;= perc_85, converted_stat * 1.5, converted_stat)))))</f>
        <v/>
      </c>
      <c r="L564" s="30" t="str">
        <f t="array" ref="L564">IF($A564="", "", LET(bbgm_stat, INDEX(Players!$A563:$P563, MATCH(L$2, Players!$A$1:$P$1, 0)), perc_75, VLOOKUP(L$2, Percentiles!$A$45:$I$59, 6, FALSE), perc_90, VLOOKUP(L$2, Percentiles!$A$45:$I$59, 7, FALSE), perc_95, VLOOKUP(L$2, Percentiles!$A$45:$I$59, 8, FALSE), perc_85, perc_75 + (perc_90 - perc_75) * (2/3), converted_stat, '2K_Ratings'!L564, IF(bbgm_stat &gt;= perc_95, converted_stat * 3, IF(bbgm_stat &gt;= perc_90, converted_stat * 2, IF(bbgm_stat &gt;= perc_85, converted_stat * 1.5, converted_stat)))))</f>
        <v/>
      </c>
      <c r="M564" s="30" t="str">
        <f t="array" ref="M564">IF($A564="", "", LET(bbgm_stat, INDEX(Players!$A563:$P563, MATCH(M$2, Players!$A$1:$P$1, 0)), perc_75, VLOOKUP(M$2, Percentiles!$A$45:$I$59, 6, FALSE), perc_90, VLOOKUP(M$2, Percentiles!$A$45:$I$59, 7, FALSE), perc_95, VLOOKUP(M$2, Percentiles!$A$45:$I$59, 8, FALSE), perc_85, perc_75 + (perc_90 - perc_75) * (2/3), converted_stat, '2K_Ratings'!M564, IF(bbgm_stat &gt;= perc_95, converted_stat * 3, IF(bbgm_stat &gt;= perc_90, converted_stat * 2, IF(bbgm_stat &gt;= perc_85, converted_stat * 1.5, converted_stat)))))</f>
        <v/>
      </c>
      <c r="N564" s="30" t="str">
        <f t="array" ref="N564">IF($A564="", "", LET(bbgm_stat, INDEX(Players!$A563:$P563, MATCH(N$2, Players!$A$1:$P$1, 0)), perc_75, VLOOKUP(N$2, Percentiles!$A$45:$I$59, 6, FALSE), perc_90, VLOOKUP(N$2, Percentiles!$A$45:$I$59, 7, FALSE), perc_95, VLOOKUP(N$2, Percentiles!$A$45:$I$59, 8, FALSE), perc_85, perc_75 + (perc_90 - perc_75) * (2/3), converted_stat, '2K_Ratings'!N564, IF(bbgm_stat &gt;= perc_95, converted_stat * 3, IF(bbgm_stat &gt;= perc_90, converted_stat * 2, IF(bbgm_stat &gt;= perc_85, converted_stat * 1.5, converted_stat)))))</f>
        <v/>
      </c>
      <c r="O564" s="30" t="str">
        <f t="array" ref="O564">IF($A564="", "", LET(bbgm_stat, INDEX(Players!$A563:$P563, MATCH(O$2, Players!$A$1:$P$1, 0)), perc_75, VLOOKUP(O$2, Percentiles!$A$45:$I$59, 6, FALSE), perc_90, VLOOKUP(O$2, Percentiles!$A$45:$I$59, 7, FALSE), perc_95, VLOOKUP(O$2, Percentiles!$A$45:$I$59, 8, FALSE), perc_85, perc_75 + (perc_90 - perc_75) * (2/3), converted_stat, '2K_Ratings'!O564, IF(bbgm_stat &gt;= perc_95, converted_stat * 3, IF(bbgm_stat &gt;= perc_90, converted_stat * 2, IF(bbgm_stat &gt;= perc_85, converted_stat * 1.5, converted_stat)))))</f>
        <v/>
      </c>
      <c r="P564" s="30" t="str">
        <f t="array" ref="P564">IF($A564="", "", LET(bbgm_stat, INDEX(Players!$A563:$P563, MATCH(P$2, Players!$A$1:$P$1, 0)), perc_75, VLOOKUP(P$2, Percentiles!$A$45:$I$59, 6, FALSE), perc_90, VLOOKUP(P$2, Percentiles!$A$45:$I$59, 7, FALSE), perc_95, VLOOKUP(P$2, Percentiles!$A$45:$I$59, 8, FALSE), perc_85, perc_75 + (perc_90 - perc_75) * (2/3), converted_stat, '2K_Ratings'!P564, IF(bbgm_stat &gt;= perc_95, converted_stat * 3, IF(bbgm_stat &gt;= perc_90, converted_stat * 2, IF(bbgm_stat &gt;= perc_85, converted_stat * 1.5, converted_stat)))))</f>
        <v/>
      </c>
      <c r="Q564" s="30" t="str">
        <f t="array" ref="Q564">IF($A564="", "", LET(bbgm_stat, INDEX(Players!$A563:$P563, MATCH(Q$2, Players!$A$1:$P$1, 0)), perc_75, VLOOKUP(Q$2, Percentiles!$A$45:$I$59, 6, FALSE), perc_90, VLOOKUP(Q$2, Percentiles!$A$45:$I$59, 7, FALSE), perc_95, VLOOKUP(Q$2, Percentiles!$A$45:$I$59, 8, FALSE), perc_85, perc_75 + (perc_90 - perc_75) * (2/3), converted_stat, '2K_Ratings'!Q564, IF(bbgm_stat &gt;= perc_95, converted_stat * 3, IF(bbgm_stat &gt;= perc_90, converted_stat * 2, IF(bbgm_stat &gt;= perc_85, converted_stat * 1.5, converted_stat)))))</f>
        <v/>
      </c>
      <c r="R564" s="30" t="str">
        <f t="array" ref="R564">IF($A564="", "", LET(bbgm_stat, INDEX(Players!$A563:$P563, MATCH(R$2, Players!$A$1:$P$1, 0)), perc_75, VLOOKUP(R$2, Percentiles!$A$45:$I$59, 6, FALSE), perc_90, VLOOKUP(R$2, Percentiles!$A$45:$I$59, 7, FALSE), perc_95, VLOOKUP(R$2, Percentiles!$A$45:$I$59, 8, FALSE), perc_85, perc_75 + (perc_90 - perc_75) * (2/3), converted_stat, '2K_Ratings'!R564, IF(bbgm_stat &gt;= perc_95, converted_stat * 3, IF(bbgm_stat &gt;= perc_90, converted_stat * 2, IF(bbgm_stat &gt;= perc_85, converted_stat * 1.5, converted_stat)))))</f>
        <v/>
      </c>
      <c r="S564" s="30" t="str">
        <f t="array" ref="S564">IF($A564="", "", LET(bbgm_stat, INDEX(Players!$A563:$P563, MATCH(S$2, Players!$A$1:$P$1, 0)), perc_75, VLOOKUP(S$2, Percentiles!$A$45:$I$59, 6, FALSE), perc_90, VLOOKUP(S$2, Percentiles!$A$45:$I$59, 7, FALSE), perc_95, VLOOKUP(S$2, Percentiles!$A$45:$I$59, 8, FALSE), perc_85, perc_75 + (perc_90 - perc_75) * (2/3), converted_stat, '2K_Ratings'!S564, IF(bbgm_stat &gt;= perc_95, converted_stat * 3, IF(bbgm_stat &gt;= perc_90, converted_stat * 2, IF(bbgm_stat &gt;= perc_85, converted_stat * 1.5, converted_stat)))))</f>
        <v/>
      </c>
      <c r="T564" s="30" t="str">
        <f t="array" ref="T564">IF($A564="", "", LET(bbgm_stat, INDEX(Players!$A563:$P563, MATCH(T$2, Players!$A$1:$P$1, 0)), perc_75, VLOOKUP(T$2, Percentiles!$A$45:$I$59, 6, FALSE), perc_90, VLOOKUP(T$2, Percentiles!$A$45:$I$59, 7, FALSE), perc_95, VLOOKUP(T$2, Percentiles!$A$45:$I$59, 8, FALSE), perc_85, perc_75 + (perc_90 - perc_75) * (2/3), converted_stat, '2K_Ratings'!T564, IF(bbgm_stat &gt;= perc_95, converted_stat * 3, IF(bbgm_stat &gt;= perc_90, converted_stat * 2, IF(bbgm_stat &gt;= perc_85, converted_stat * 1.5, converted_stat)))))</f>
        <v/>
      </c>
      <c r="U564" s="30" t="str">
        <f t="array" ref="U564">IF($A564="", "", LET(bbgm_stat, INDEX(Players!$A563:$P563, MATCH(U$2, Players!$A$1:$P$1, 0)), perc_75, VLOOKUP(U$2, Percentiles!$A$45:$I$59, 6, FALSE), perc_90, VLOOKUP(U$2, Percentiles!$A$45:$I$59, 7, FALSE), perc_95, VLOOKUP(U$2, Percentiles!$A$45:$I$59, 8, FALSE), perc_85, perc_75 + (perc_90 - perc_75) * (2/3), converted_stat, '2K_Ratings'!U564, IF(bbgm_stat &gt;= perc_95, converted_stat * 3, IF(bbgm_stat &gt;= perc_90, converted_stat * 2, IF(bbgm_stat &gt;= perc_85, converted_stat * 1.5, converted_stat)))))</f>
        <v/>
      </c>
      <c r="V564" s="30" t="str">
        <f t="array" ref="V564">IF($A564="", "", LET(bbgm_stat, INDEX(Players!$A563:$P563, MATCH(V$2, Players!$A$1:$P$1, 0)), perc_75, VLOOKUP(V$2, Percentiles!$A$45:$I$59, 6, FALSE), perc_90, VLOOKUP(V$2, Percentiles!$A$45:$I$59, 7, FALSE), perc_95, VLOOKUP(V$2, Percentiles!$A$45:$I$59, 8, FALSE), perc_85, perc_75 + (perc_90 - perc_75) * (2/3), converted_stat, '2K_Ratings'!V564, IF(bbgm_stat &gt;= perc_95, converted_stat * 3, IF(bbgm_stat &gt;= perc_90, converted_stat * 2, IF(bbgm_stat &gt;= perc_85, converted_stat * 1.5, converted_stat)))))</f>
        <v/>
      </c>
      <c r="W564" s="30" t="str">
        <f t="array" ref="W564">IF($A564="", "", LET(bbgm_stat, INDEX(Players!$A563:$P563, MATCH(W$2, Players!$A$1:$P$1, 0)), perc_75, VLOOKUP(W$2, Percentiles!$A$45:$I$59, 6, FALSE), perc_90, VLOOKUP(W$2, Percentiles!$A$45:$I$59, 7, FALSE), perc_95, VLOOKUP(W$2, Percentiles!$A$45:$I$59, 8, FALSE), perc_85, perc_75 + (perc_90 - perc_75) * (2/3), converted_stat, '2K_Ratings'!W564, IF(bbgm_stat &gt;= perc_95, converted_stat * 3, IF(bbgm_stat &gt;= perc_90, converted_stat * 2, IF(bbgm_stat &gt;= perc_85, converted_stat * 1.5, converted_stat)))))</f>
        <v/>
      </c>
    </row>
    <row r="565">
      <c r="A565" s="30"/>
      <c r="B565" s="30" t="str">
        <f t="array" ref="B565">IF($A565="", "", LET(bbgm_stat, INDEX(Players!$A564:$P564, MATCH(B$2, Players!$A$1:$P$1, 0)), perc_75, VLOOKUP(B$2, Percentiles!$A$45:$I$59, 6, FALSE), perc_90, VLOOKUP(B$2, Percentiles!$A$45:$I$59, 7, FALSE), perc_95, VLOOKUP(B$2, Percentiles!$A$45:$I$59, 8, FALSE), perc_85, perc_75 + (perc_90 - perc_75) * (2/3), converted_stat, '2K_Ratings'!B565, IF(bbgm_stat &gt;= perc_95, converted_stat * 3, IF(bbgm_stat &gt;= perc_90, converted_stat * 2, IF(bbgm_stat &gt;= perc_85, converted_stat * 1.5, converted_stat)))))</f>
        <v/>
      </c>
      <c r="C565" s="30" t="str">
        <f t="array" ref="C565">IF($A565="", "", LET(bbgm_stat, INDEX(Players!$A564:$P564, MATCH(C$2, Players!$A$1:$P$1, 0)), perc_75, VLOOKUP(C$2, Percentiles!$A$45:$I$59, 6, FALSE), perc_90, VLOOKUP(C$2, Percentiles!$A$45:$I$59, 7, FALSE), perc_95, VLOOKUP(C$2, Percentiles!$A$45:$I$59, 8, FALSE), perc_85, perc_75 + (perc_90 - perc_75) * (2/3), converted_stat, '2K_Ratings'!C565, IF(bbgm_stat &gt;= perc_95, converted_stat * 3, IF(bbgm_stat &gt;= perc_90, converted_stat * 2, IF(bbgm_stat &gt;= perc_85, converted_stat * 1.5, converted_stat)))))</f>
        <v/>
      </c>
      <c r="D565" s="30" t="str">
        <f t="array" ref="D565">IF($A565="", "", LET(bbgm_stat, INDEX(Players!$A564:$P564, MATCH(D$2, Players!$A$1:$P$1, 0)), perc_75, VLOOKUP(D$2, Percentiles!$A$45:$I$59, 6, FALSE), perc_90, VLOOKUP(D$2, Percentiles!$A$45:$I$59, 7, FALSE), perc_95, VLOOKUP(D$2, Percentiles!$A$45:$I$59, 8, FALSE), perc_85, perc_75 + (perc_90 - perc_75) * (2/3), converted_stat, '2K_Ratings'!D565, IF(bbgm_stat &gt;= perc_95, converted_stat * 3, IF(bbgm_stat &gt;= perc_90, converted_stat * 2, IF(bbgm_stat &gt;= perc_85, converted_stat * 1.5, converted_stat)))))</f>
        <v/>
      </c>
      <c r="E565" s="30" t="str">
        <f t="array" ref="E565">IF($A565="", "", LET(bbgm_stat, INDEX(Players!$A564:$P564, MATCH(E$2, Players!$A$1:$P$1, 0)), perc_75, VLOOKUP(E$2, Percentiles!$A$45:$I$59, 6, FALSE), perc_90, VLOOKUP(E$2, Percentiles!$A$45:$I$59, 7, FALSE), perc_95, VLOOKUP(E$2, Percentiles!$A$45:$I$59, 8, FALSE), perc_85, perc_75 + (perc_90 - perc_75) * (2/3), converted_stat, '2K_Ratings'!E565, IF(bbgm_stat &gt;= perc_95, converted_stat * 3, IF(bbgm_stat &gt;= perc_90, converted_stat * 2, IF(bbgm_stat &gt;= perc_85, converted_stat * 1.5, converted_stat)))))</f>
        <v/>
      </c>
      <c r="F565" s="30" t="str">
        <f t="array" ref="F565">IF($A565="", "", LET(bbgm_stat, INDEX(Players!$A564:$P564, MATCH(F$2, Players!$A$1:$P$1, 0)), perc_75, VLOOKUP(F$2, Percentiles!$A$45:$I$59, 6, FALSE), perc_90, VLOOKUP(F$2, Percentiles!$A$45:$I$59, 7, FALSE), perc_95, VLOOKUP(F$2, Percentiles!$A$45:$I$59, 8, FALSE), perc_85, perc_75 + (perc_90 - perc_75) * (2/3), converted_stat, '2K_Ratings'!F565, IF(bbgm_stat &gt;= perc_95, converted_stat * 3, IF(bbgm_stat &gt;= perc_90, converted_stat * 2, IF(bbgm_stat &gt;= perc_85, converted_stat * 1.5, converted_stat)))))</f>
        <v/>
      </c>
      <c r="G565" s="30" t="str">
        <f t="array" ref="G565">IF($A565="", "", LET(bbgm_stat, INDEX(Players!$A564:$P564, MATCH(G$2, Players!$A$1:$P$1, 0)), perc_75, VLOOKUP(G$2, Percentiles!$A$45:$I$59, 6, FALSE), perc_90, VLOOKUP(G$2, Percentiles!$A$45:$I$59, 7, FALSE), perc_95, VLOOKUP(G$2, Percentiles!$A$45:$I$59, 8, FALSE), perc_85, perc_75 + (perc_90 - perc_75) * (2/3), converted_stat, '2K_Ratings'!G565, IF(bbgm_stat &gt;= perc_95, converted_stat * 3, IF(bbgm_stat &gt;= perc_90, converted_stat * 2, IF(bbgm_stat &gt;= perc_85, converted_stat * 1.5, converted_stat)))))</f>
        <v/>
      </c>
      <c r="H565" s="30" t="str">
        <f t="array" ref="H565">IF($A565="", "", LET(bbgm_stat, INDEX(Players!$A564:$P564, MATCH(H$2, Players!$A$1:$P$1, 0)), perc_75, VLOOKUP(H$2, Percentiles!$A$45:$I$59, 6, FALSE), perc_90, VLOOKUP(H$2, Percentiles!$A$45:$I$59, 7, FALSE), perc_95, VLOOKUP(H$2, Percentiles!$A$45:$I$59, 8, FALSE), perc_85, perc_75 + (perc_90 - perc_75) * (2/3), converted_stat, '2K_Ratings'!H565, IF(bbgm_stat &gt;= perc_95, converted_stat * 3, IF(bbgm_stat &gt;= perc_90, converted_stat * 2, IF(bbgm_stat &gt;= perc_85, converted_stat * 1.5, converted_stat)))))</f>
        <v/>
      </c>
      <c r="I565" s="30" t="str">
        <f t="array" ref="I565">IF($A565="", "", LET(bbgm_stat, INDEX(Players!$A564:$P564, MATCH(I$2, Players!$A$1:$P$1, 0)), perc_75, VLOOKUP(I$2, Percentiles!$A$45:$I$59, 6, FALSE), perc_90, VLOOKUP(I$2, Percentiles!$A$45:$I$59, 7, FALSE), perc_95, VLOOKUP(I$2, Percentiles!$A$45:$I$59, 8, FALSE), perc_85, perc_75 + (perc_90 - perc_75) * (2/3), converted_stat, '2K_Ratings'!I565, IF(bbgm_stat &gt;= perc_95, converted_stat * 3, IF(bbgm_stat &gt;= perc_90, converted_stat * 2, IF(bbgm_stat &gt;= perc_85, converted_stat * 1.5, converted_stat)))))</f>
        <v/>
      </c>
      <c r="J565" s="30" t="str">
        <f t="array" ref="J565">IF($A565="", "", LET(bbgm_stat, INDEX(Players!$A564:$P564, MATCH(J$2, Players!$A$1:$P$1, 0)), perc_75, VLOOKUP(J$2, Percentiles!$A$45:$I$59, 6, FALSE), perc_90, VLOOKUP(J$2, Percentiles!$A$45:$I$59, 7, FALSE), perc_95, VLOOKUP(J$2, Percentiles!$A$45:$I$59, 8, FALSE), perc_85, perc_75 + (perc_90 - perc_75) * (2/3), converted_stat, '2K_Ratings'!J565, IF(bbgm_stat &gt;= perc_95, converted_stat * 3, IF(bbgm_stat &gt;= perc_90, converted_stat * 2, IF(bbgm_stat &gt;= perc_85, converted_stat * 1.5, converted_stat)))))</f>
        <v/>
      </c>
      <c r="K565" s="30" t="str">
        <f t="array" ref="K565">IF($A565="", "", LET(bbgm_stat, INDEX(Players!$A564:$P564, MATCH(K$2, Players!$A$1:$P$1, 0)), perc_75, VLOOKUP(K$2, Percentiles!$A$45:$I$59, 6, FALSE), perc_90, VLOOKUP(K$2, Percentiles!$A$45:$I$59, 7, FALSE), perc_95, VLOOKUP(K$2, Percentiles!$A$45:$I$59, 8, FALSE), perc_85, perc_75 + (perc_90 - perc_75) * (2/3), converted_stat, '2K_Ratings'!K565, IF(bbgm_stat &gt;= perc_95, converted_stat * 3, IF(bbgm_stat &gt;= perc_90, converted_stat * 2, IF(bbgm_stat &gt;= perc_85, converted_stat * 1.5, converted_stat)))))</f>
        <v/>
      </c>
      <c r="L565" s="30" t="str">
        <f t="array" ref="L565">IF($A565="", "", LET(bbgm_stat, INDEX(Players!$A564:$P564, MATCH(L$2, Players!$A$1:$P$1, 0)), perc_75, VLOOKUP(L$2, Percentiles!$A$45:$I$59, 6, FALSE), perc_90, VLOOKUP(L$2, Percentiles!$A$45:$I$59, 7, FALSE), perc_95, VLOOKUP(L$2, Percentiles!$A$45:$I$59, 8, FALSE), perc_85, perc_75 + (perc_90 - perc_75) * (2/3), converted_stat, '2K_Ratings'!L565, IF(bbgm_stat &gt;= perc_95, converted_stat * 3, IF(bbgm_stat &gt;= perc_90, converted_stat * 2, IF(bbgm_stat &gt;= perc_85, converted_stat * 1.5, converted_stat)))))</f>
        <v/>
      </c>
      <c r="M565" s="30" t="str">
        <f t="array" ref="M565">IF($A565="", "", LET(bbgm_stat, INDEX(Players!$A564:$P564, MATCH(M$2, Players!$A$1:$P$1, 0)), perc_75, VLOOKUP(M$2, Percentiles!$A$45:$I$59, 6, FALSE), perc_90, VLOOKUP(M$2, Percentiles!$A$45:$I$59, 7, FALSE), perc_95, VLOOKUP(M$2, Percentiles!$A$45:$I$59, 8, FALSE), perc_85, perc_75 + (perc_90 - perc_75) * (2/3), converted_stat, '2K_Ratings'!M565, IF(bbgm_stat &gt;= perc_95, converted_stat * 3, IF(bbgm_stat &gt;= perc_90, converted_stat * 2, IF(bbgm_stat &gt;= perc_85, converted_stat * 1.5, converted_stat)))))</f>
        <v/>
      </c>
      <c r="N565" s="30" t="str">
        <f t="array" ref="N565">IF($A565="", "", LET(bbgm_stat, INDEX(Players!$A564:$P564, MATCH(N$2, Players!$A$1:$P$1, 0)), perc_75, VLOOKUP(N$2, Percentiles!$A$45:$I$59, 6, FALSE), perc_90, VLOOKUP(N$2, Percentiles!$A$45:$I$59, 7, FALSE), perc_95, VLOOKUP(N$2, Percentiles!$A$45:$I$59, 8, FALSE), perc_85, perc_75 + (perc_90 - perc_75) * (2/3), converted_stat, '2K_Ratings'!N565, IF(bbgm_stat &gt;= perc_95, converted_stat * 3, IF(bbgm_stat &gt;= perc_90, converted_stat * 2, IF(bbgm_stat &gt;= perc_85, converted_stat * 1.5, converted_stat)))))</f>
        <v/>
      </c>
      <c r="O565" s="30" t="str">
        <f t="array" ref="O565">IF($A565="", "", LET(bbgm_stat, INDEX(Players!$A564:$P564, MATCH(O$2, Players!$A$1:$P$1, 0)), perc_75, VLOOKUP(O$2, Percentiles!$A$45:$I$59, 6, FALSE), perc_90, VLOOKUP(O$2, Percentiles!$A$45:$I$59, 7, FALSE), perc_95, VLOOKUP(O$2, Percentiles!$A$45:$I$59, 8, FALSE), perc_85, perc_75 + (perc_90 - perc_75) * (2/3), converted_stat, '2K_Ratings'!O565, IF(bbgm_stat &gt;= perc_95, converted_stat * 3, IF(bbgm_stat &gt;= perc_90, converted_stat * 2, IF(bbgm_stat &gt;= perc_85, converted_stat * 1.5, converted_stat)))))</f>
        <v/>
      </c>
      <c r="P565" s="30" t="str">
        <f t="array" ref="P565">IF($A565="", "", LET(bbgm_stat, INDEX(Players!$A564:$P564, MATCH(P$2, Players!$A$1:$P$1, 0)), perc_75, VLOOKUP(P$2, Percentiles!$A$45:$I$59, 6, FALSE), perc_90, VLOOKUP(P$2, Percentiles!$A$45:$I$59, 7, FALSE), perc_95, VLOOKUP(P$2, Percentiles!$A$45:$I$59, 8, FALSE), perc_85, perc_75 + (perc_90 - perc_75) * (2/3), converted_stat, '2K_Ratings'!P565, IF(bbgm_stat &gt;= perc_95, converted_stat * 3, IF(bbgm_stat &gt;= perc_90, converted_stat * 2, IF(bbgm_stat &gt;= perc_85, converted_stat * 1.5, converted_stat)))))</f>
        <v/>
      </c>
      <c r="Q565" s="30" t="str">
        <f t="array" ref="Q565">IF($A565="", "", LET(bbgm_stat, INDEX(Players!$A564:$P564, MATCH(Q$2, Players!$A$1:$P$1, 0)), perc_75, VLOOKUP(Q$2, Percentiles!$A$45:$I$59, 6, FALSE), perc_90, VLOOKUP(Q$2, Percentiles!$A$45:$I$59, 7, FALSE), perc_95, VLOOKUP(Q$2, Percentiles!$A$45:$I$59, 8, FALSE), perc_85, perc_75 + (perc_90 - perc_75) * (2/3), converted_stat, '2K_Ratings'!Q565, IF(bbgm_stat &gt;= perc_95, converted_stat * 3, IF(bbgm_stat &gt;= perc_90, converted_stat * 2, IF(bbgm_stat &gt;= perc_85, converted_stat * 1.5, converted_stat)))))</f>
        <v/>
      </c>
      <c r="R565" s="30" t="str">
        <f t="array" ref="R565">IF($A565="", "", LET(bbgm_stat, INDEX(Players!$A564:$P564, MATCH(R$2, Players!$A$1:$P$1, 0)), perc_75, VLOOKUP(R$2, Percentiles!$A$45:$I$59, 6, FALSE), perc_90, VLOOKUP(R$2, Percentiles!$A$45:$I$59, 7, FALSE), perc_95, VLOOKUP(R$2, Percentiles!$A$45:$I$59, 8, FALSE), perc_85, perc_75 + (perc_90 - perc_75) * (2/3), converted_stat, '2K_Ratings'!R565, IF(bbgm_stat &gt;= perc_95, converted_stat * 3, IF(bbgm_stat &gt;= perc_90, converted_stat * 2, IF(bbgm_stat &gt;= perc_85, converted_stat * 1.5, converted_stat)))))</f>
        <v/>
      </c>
      <c r="S565" s="30" t="str">
        <f t="array" ref="S565">IF($A565="", "", LET(bbgm_stat, INDEX(Players!$A564:$P564, MATCH(S$2, Players!$A$1:$P$1, 0)), perc_75, VLOOKUP(S$2, Percentiles!$A$45:$I$59, 6, FALSE), perc_90, VLOOKUP(S$2, Percentiles!$A$45:$I$59, 7, FALSE), perc_95, VLOOKUP(S$2, Percentiles!$A$45:$I$59, 8, FALSE), perc_85, perc_75 + (perc_90 - perc_75) * (2/3), converted_stat, '2K_Ratings'!S565, IF(bbgm_stat &gt;= perc_95, converted_stat * 3, IF(bbgm_stat &gt;= perc_90, converted_stat * 2, IF(bbgm_stat &gt;= perc_85, converted_stat * 1.5, converted_stat)))))</f>
        <v/>
      </c>
      <c r="T565" s="30" t="str">
        <f t="array" ref="T565">IF($A565="", "", LET(bbgm_stat, INDEX(Players!$A564:$P564, MATCH(T$2, Players!$A$1:$P$1, 0)), perc_75, VLOOKUP(T$2, Percentiles!$A$45:$I$59, 6, FALSE), perc_90, VLOOKUP(T$2, Percentiles!$A$45:$I$59, 7, FALSE), perc_95, VLOOKUP(T$2, Percentiles!$A$45:$I$59, 8, FALSE), perc_85, perc_75 + (perc_90 - perc_75) * (2/3), converted_stat, '2K_Ratings'!T565, IF(bbgm_stat &gt;= perc_95, converted_stat * 3, IF(bbgm_stat &gt;= perc_90, converted_stat * 2, IF(bbgm_stat &gt;= perc_85, converted_stat * 1.5, converted_stat)))))</f>
        <v/>
      </c>
      <c r="U565" s="30" t="str">
        <f t="array" ref="U565">IF($A565="", "", LET(bbgm_stat, INDEX(Players!$A564:$P564, MATCH(U$2, Players!$A$1:$P$1, 0)), perc_75, VLOOKUP(U$2, Percentiles!$A$45:$I$59, 6, FALSE), perc_90, VLOOKUP(U$2, Percentiles!$A$45:$I$59, 7, FALSE), perc_95, VLOOKUP(U$2, Percentiles!$A$45:$I$59, 8, FALSE), perc_85, perc_75 + (perc_90 - perc_75) * (2/3), converted_stat, '2K_Ratings'!U565, IF(bbgm_stat &gt;= perc_95, converted_stat * 3, IF(bbgm_stat &gt;= perc_90, converted_stat * 2, IF(bbgm_stat &gt;= perc_85, converted_stat * 1.5, converted_stat)))))</f>
        <v/>
      </c>
      <c r="V565" s="30" t="str">
        <f t="array" ref="V565">IF($A565="", "", LET(bbgm_stat, INDEX(Players!$A564:$P564, MATCH(V$2, Players!$A$1:$P$1, 0)), perc_75, VLOOKUP(V$2, Percentiles!$A$45:$I$59, 6, FALSE), perc_90, VLOOKUP(V$2, Percentiles!$A$45:$I$59, 7, FALSE), perc_95, VLOOKUP(V$2, Percentiles!$A$45:$I$59, 8, FALSE), perc_85, perc_75 + (perc_90 - perc_75) * (2/3), converted_stat, '2K_Ratings'!V565, IF(bbgm_stat &gt;= perc_95, converted_stat * 3, IF(bbgm_stat &gt;= perc_90, converted_stat * 2, IF(bbgm_stat &gt;= perc_85, converted_stat * 1.5, converted_stat)))))</f>
        <v/>
      </c>
      <c r="W565" s="30" t="str">
        <f t="array" ref="W565">IF($A565="", "", LET(bbgm_stat, INDEX(Players!$A564:$P564, MATCH(W$2, Players!$A$1:$P$1, 0)), perc_75, VLOOKUP(W$2, Percentiles!$A$45:$I$59, 6, FALSE), perc_90, VLOOKUP(W$2, Percentiles!$A$45:$I$59, 7, FALSE), perc_95, VLOOKUP(W$2, Percentiles!$A$45:$I$59, 8, FALSE), perc_85, perc_75 + (perc_90 - perc_75) * (2/3), converted_stat, '2K_Ratings'!W565, IF(bbgm_stat &gt;= perc_95, converted_stat * 3, IF(bbgm_stat &gt;= perc_90, converted_stat * 2, IF(bbgm_stat &gt;= perc_85, converted_stat * 1.5, converted_stat)))))</f>
        <v/>
      </c>
    </row>
    <row r="566">
      <c r="A566" s="30"/>
      <c r="B566" s="30" t="str">
        <f t="array" ref="B566">IF($A566="", "", LET(bbgm_stat, INDEX(Players!$A565:$P565, MATCH(B$2, Players!$A$1:$P$1, 0)), perc_75, VLOOKUP(B$2, Percentiles!$A$45:$I$59, 6, FALSE), perc_90, VLOOKUP(B$2, Percentiles!$A$45:$I$59, 7, FALSE), perc_95, VLOOKUP(B$2, Percentiles!$A$45:$I$59, 8, FALSE), perc_85, perc_75 + (perc_90 - perc_75) * (2/3), converted_stat, '2K_Ratings'!B566, IF(bbgm_stat &gt;= perc_95, converted_stat * 3, IF(bbgm_stat &gt;= perc_90, converted_stat * 2, IF(bbgm_stat &gt;= perc_85, converted_stat * 1.5, converted_stat)))))</f>
        <v/>
      </c>
      <c r="C566" s="30" t="str">
        <f t="array" ref="C566">IF($A566="", "", LET(bbgm_stat, INDEX(Players!$A565:$P565, MATCH(C$2, Players!$A$1:$P$1, 0)), perc_75, VLOOKUP(C$2, Percentiles!$A$45:$I$59, 6, FALSE), perc_90, VLOOKUP(C$2, Percentiles!$A$45:$I$59, 7, FALSE), perc_95, VLOOKUP(C$2, Percentiles!$A$45:$I$59, 8, FALSE), perc_85, perc_75 + (perc_90 - perc_75) * (2/3), converted_stat, '2K_Ratings'!C566, IF(bbgm_stat &gt;= perc_95, converted_stat * 3, IF(bbgm_stat &gt;= perc_90, converted_stat * 2, IF(bbgm_stat &gt;= perc_85, converted_stat * 1.5, converted_stat)))))</f>
        <v/>
      </c>
      <c r="D566" s="30" t="str">
        <f t="array" ref="D566">IF($A566="", "", LET(bbgm_stat, INDEX(Players!$A565:$P565, MATCH(D$2, Players!$A$1:$P$1, 0)), perc_75, VLOOKUP(D$2, Percentiles!$A$45:$I$59, 6, FALSE), perc_90, VLOOKUP(D$2, Percentiles!$A$45:$I$59, 7, FALSE), perc_95, VLOOKUP(D$2, Percentiles!$A$45:$I$59, 8, FALSE), perc_85, perc_75 + (perc_90 - perc_75) * (2/3), converted_stat, '2K_Ratings'!D566, IF(bbgm_stat &gt;= perc_95, converted_stat * 3, IF(bbgm_stat &gt;= perc_90, converted_stat * 2, IF(bbgm_stat &gt;= perc_85, converted_stat * 1.5, converted_stat)))))</f>
        <v/>
      </c>
      <c r="E566" s="30" t="str">
        <f t="array" ref="E566">IF($A566="", "", LET(bbgm_stat, INDEX(Players!$A565:$P565, MATCH(E$2, Players!$A$1:$P$1, 0)), perc_75, VLOOKUP(E$2, Percentiles!$A$45:$I$59, 6, FALSE), perc_90, VLOOKUP(E$2, Percentiles!$A$45:$I$59, 7, FALSE), perc_95, VLOOKUP(E$2, Percentiles!$A$45:$I$59, 8, FALSE), perc_85, perc_75 + (perc_90 - perc_75) * (2/3), converted_stat, '2K_Ratings'!E566, IF(bbgm_stat &gt;= perc_95, converted_stat * 3, IF(bbgm_stat &gt;= perc_90, converted_stat * 2, IF(bbgm_stat &gt;= perc_85, converted_stat * 1.5, converted_stat)))))</f>
        <v/>
      </c>
      <c r="F566" s="30" t="str">
        <f t="array" ref="F566">IF($A566="", "", LET(bbgm_stat, INDEX(Players!$A565:$P565, MATCH(F$2, Players!$A$1:$P$1, 0)), perc_75, VLOOKUP(F$2, Percentiles!$A$45:$I$59, 6, FALSE), perc_90, VLOOKUP(F$2, Percentiles!$A$45:$I$59, 7, FALSE), perc_95, VLOOKUP(F$2, Percentiles!$A$45:$I$59, 8, FALSE), perc_85, perc_75 + (perc_90 - perc_75) * (2/3), converted_stat, '2K_Ratings'!F566, IF(bbgm_stat &gt;= perc_95, converted_stat * 3, IF(bbgm_stat &gt;= perc_90, converted_stat * 2, IF(bbgm_stat &gt;= perc_85, converted_stat * 1.5, converted_stat)))))</f>
        <v/>
      </c>
      <c r="G566" s="30" t="str">
        <f t="array" ref="G566">IF($A566="", "", LET(bbgm_stat, INDEX(Players!$A565:$P565, MATCH(G$2, Players!$A$1:$P$1, 0)), perc_75, VLOOKUP(G$2, Percentiles!$A$45:$I$59, 6, FALSE), perc_90, VLOOKUP(G$2, Percentiles!$A$45:$I$59, 7, FALSE), perc_95, VLOOKUP(G$2, Percentiles!$A$45:$I$59, 8, FALSE), perc_85, perc_75 + (perc_90 - perc_75) * (2/3), converted_stat, '2K_Ratings'!G566, IF(bbgm_stat &gt;= perc_95, converted_stat * 3, IF(bbgm_stat &gt;= perc_90, converted_stat * 2, IF(bbgm_stat &gt;= perc_85, converted_stat * 1.5, converted_stat)))))</f>
        <v/>
      </c>
      <c r="H566" s="30" t="str">
        <f t="array" ref="H566">IF($A566="", "", LET(bbgm_stat, INDEX(Players!$A565:$P565, MATCH(H$2, Players!$A$1:$P$1, 0)), perc_75, VLOOKUP(H$2, Percentiles!$A$45:$I$59, 6, FALSE), perc_90, VLOOKUP(H$2, Percentiles!$A$45:$I$59, 7, FALSE), perc_95, VLOOKUP(H$2, Percentiles!$A$45:$I$59, 8, FALSE), perc_85, perc_75 + (perc_90 - perc_75) * (2/3), converted_stat, '2K_Ratings'!H566, IF(bbgm_stat &gt;= perc_95, converted_stat * 3, IF(bbgm_stat &gt;= perc_90, converted_stat * 2, IF(bbgm_stat &gt;= perc_85, converted_stat * 1.5, converted_stat)))))</f>
        <v/>
      </c>
      <c r="I566" s="30" t="str">
        <f t="array" ref="I566">IF($A566="", "", LET(bbgm_stat, INDEX(Players!$A565:$P565, MATCH(I$2, Players!$A$1:$P$1, 0)), perc_75, VLOOKUP(I$2, Percentiles!$A$45:$I$59, 6, FALSE), perc_90, VLOOKUP(I$2, Percentiles!$A$45:$I$59, 7, FALSE), perc_95, VLOOKUP(I$2, Percentiles!$A$45:$I$59, 8, FALSE), perc_85, perc_75 + (perc_90 - perc_75) * (2/3), converted_stat, '2K_Ratings'!I566, IF(bbgm_stat &gt;= perc_95, converted_stat * 3, IF(bbgm_stat &gt;= perc_90, converted_stat * 2, IF(bbgm_stat &gt;= perc_85, converted_stat * 1.5, converted_stat)))))</f>
        <v/>
      </c>
      <c r="J566" s="30" t="str">
        <f t="array" ref="J566">IF($A566="", "", LET(bbgm_stat, INDEX(Players!$A565:$P565, MATCH(J$2, Players!$A$1:$P$1, 0)), perc_75, VLOOKUP(J$2, Percentiles!$A$45:$I$59, 6, FALSE), perc_90, VLOOKUP(J$2, Percentiles!$A$45:$I$59, 7, FALSE), perc_95, VLOOKUP(J$2, Percentiles!$A$45:$I$59, 8, FALSE), perc_85, perc_75 + (perc_90 - perc_75) * (2/3), converted_stat, '2K_Ratings'!J566, IF(bbgm_stat &gt;= perc_95, converted_stat * 3, IF(bbgm_stat &gt;= perc_90, converted_stat * 2, IF(bbgm_stat &gt;= perc_85, converted_stat * 1.5, converted_stat)))))</f>
        <v/>
      </c>
      <c r="K566" s="30" t="str">
        <f t="array" ref="K566">IF($A566="", "", LET(bbgm_stat, INDEX(Players!$A565:$P565, MATCH(K$2, Players!$A$1:$P$1, 0)), perc_75, VLOOKUP(K$2, Percentiles!$A$45:$I$59, 6, FALSE), perc_90, VLOOKUP(K$2, Percentiles!$A$45:$I$59, 7, FALSE), perc_95, VLOOKUP(K$2, Percentiles!$A$45:$I$59, 8, FALSE), perc_85, perc_75 + (perc_90 - perc_75) * (2/3), converted_stat, '2K_Ratings'!K566, IF(bbgm_stat &gt;= perc_95, converted_stat * 3, IF(bbgm_stat &gt;= perc_90, converted_stat * 2, IF(bbgm_stat &gt;= perc_85, converted_stat * 1.5, converted_stat)))))</f>
        <v/>
      </c>
      <c r="L566" s="30" t="str">
        <f t="array" ref="L566">IF($A566="", "", LET(bbgm_stat, INDEX(Players!$A565:$P565, MATCH(L$2, Players!$A$1:$P$1, 0)), perc_75, VLOOKUP(L$2, Percentiles!$A$45:$I$59, 6, FALSE), perc_90, VLOOKUP(L$2, Percentiles!$A$45:$I$59, 7, FALSE), perc_95, VLOOKUP(L$2, Percentiles!$A$45:$I$59, 8, FALSE), perc_85, perc_75 + (perc_90 - perc_75) * (2/3), converted_stat, '2K_Ratings'!L566, IF(bbgm_stat &gt;= perc_95, converted_stat * 3, IF(bbgm_stat &gt;= perc_90, converted_stat * 2, IF(bbgm_stat &gt;= perc_85, converted_stat * 1.5, converted_stat)))))</f>
        <v/>
      </c>
      <c r="M566" s="30" t="str">
        <f t="array" ref="M566">IF($A566="", "", LET(bbgm_stat, INDEX(Players!$A565:$P565, MATCH(M$2, Players!$A$1:$P$1, 0)), perc_75, VLOOKUP(M$2, Percentiles!$A$45:$I$59, 6, FALSE), perc_90, VLOOKUP(M$2, Percentiles!$A$45:$I$59, 7, FALSE), perc_95, VLOOKUP(M$2, Percentiles!$A$45:$I$59, 8, FALSE), perc_85, perc_75 + (perc_90 - perc_75) * (2/3), converted_stat, '2K_Ratings'!M566, IF(bbgm_stat &gt;= perc_95, converted_stat * 3, IF(bbgm_stat &gt;= perc_90, converted_stat * 2, IF(bbgm_stat &gt;= perc_85, converted_stat * 1.5, converted_stat)))))</f>
        <v/>
      </c>
      <c r="N566" s="30" t="str">
        <f t="array" ref="N566">IF($A566="", "", LET(bbgm_stat, INDEX(Players!$A565:$P565, MATCH(N$2, Players!$A$1:$P$1, 0)), perc_75, VLOOKUP(N$2, Percentiles!$A$45:$I$59, 6, FALSE), perc_90, VLOOKUP(N$2, Percentiles!$A$45:$I$59, 7, FALSE), perc_95, VLOOKUP(N$2, Percentiles!$A$45:$I$59, 8, FALSE), perc_85, perc_75 + (perc_90 - perc_75) * (2/3), converted_stat, '2K_Ratings'!N566, IF(bbgm_stat &gt;= perc_95, converted_stat * 3, IF(bbgm_stat &gt;= perc_90, converted_stat * 2, IF(bbgm_stat &gt;= perc_85, converted_stat * 1.5, converted_stat)))))</f>
        <v/>
      </c>
      <c r="O566" s="30" t="str">
        <f t="array" ref="O566">IF($A566="", "", LET(bbgm_stat, INDEX(Players!$A565:$P565, MATCH(O$2, Players!$A$1:$P$1, 0)), perc_75, VLOOKUP(O$2, Percentiles!$A$45:$I$59, 6, FALSE), perc_90, VLOOKUP(O$2, Percentiles!$A$45:$I$59, 7, FALSE), perc_95, VLOOKUP(O$2, Percentiles!$A$45:$I$59, 8, FALSE), perc_85, perc_75 + (perc_90 - perc_75) * (2/3), converted_stat, '2K_Ratings'!O566, IF(bbgm_stat &gt;= perc_95, converted_stat * 3, IF(bbgm_stat &gt;= perc_90, converted_stat * 2, IF(bbgm_stat &gt;= perc_85, converted_stat * 1.5, converted_stat)))))</f>
        <v/>
      </c>
      <c r="P566" s="30" t="str">
        <f t="array" ref="P566">IF($A566="", "", LET(bbgm_stat, INDEX(Players!$A565:$P565, MATCH(P$2, Players!$A$1:$P$1, 0)), perc_75, VLOOKUP(P$2, Percentiles!$A$45:$I$59, 6, FALSE), perc_90, VLOOKUP(P$2, Percentiles!$A$45:$I$59, 7, FALSE), perc_95, VLOOKUP(P$2, Percentiles!$A$45:$I$59, 8, FALSE), perc_85, perc_75 + (perc_90 - perc_75) * (2/3), converted_stat, '2K_Ratings'!P566, IF(bbgm_stat &gt;= perc_95, converted_stat * 3, IF(bbgm_stat &gt;= perc_90, converted_stat * 2, IF(bbgm_stat &gt;= perc_85, converted_stat * 1.5, converted_stat)))))</f>
        <v/>
      </c>
      <c r="Q566" s="30" t="str">
        <f t="array" ref="Q566">IF($A566="", "", LET(bbgm_stat, INDEX(Players!$A565:$P565, MATCH(Q$2, Players!$A$1:$P$1, 0)), perc_75, VLOOKUP(Q$2, Percentiles!$A$45:$I$59, 6, FALSE), perc_90, VLOOKUP(Q$2, Percentiles!$A$45:$I$59, 7, FALSE), perc_95, VLOOKUP(Q$2, Percentiles!$A$45:$I$59, 8, FALSE), perc_85, perc_75 + (perc_90 - perc_75) * (2/3), converted_stat, '2K_Ratings'!Q566, IF(bbgm_stat &gt;= perc_95, converted_stat * 3, IF(bbgm_stat &gt;= perc_90, converted_stat * 2, IF(bbgm_stat &gt;= perc_85, converted_stat * 1.5, converted_stat)))))</f>
        <v/>
      </c>
      <c r="R566" s="30" t="str">
        <f t="array" ref="R566">IF($A566="", "", LET(bbgm_stat, INDEX(Players!$A565:$P565, MATCH(R$2, Players!$A$1:$P$1, 0)), perc_75, VLOOKUP(R$2, Percentiles!$A$45:$I$59, 6, FALSE), perc_90, VLOOKUP(R$2, Percentiles!$A$45:$I$59, 7, FALSE), perc_95, VLOOKUP(R$2, Percentiles!$A$45:$I$59, 8, FALSE), perc_85, perc_75 + (perc_90 - perc_75) * (2/3), converted_stat, '2K_Ratings'!R566, IF(bbgm_stat &gt;= perc_95, converted_stat * 3, IF(bbgm_stat &gt;= perc_90, converted_stat * 2, IF(bbgm_stat &gt;= perc_85, converted_stat * 1.5, converted_stat)))))</f>
        <v/>
      </c>
      <c r="S566" s="30" t="str">
        <f t="array" ref="S566">IF($A566="", "", LET(bbgm_stat, INDEX(Players!$A565:$P565, MATCH(S$2, Players!$A$1:$P$1, 0)), perc_75, VLOOKUP(S$2, Percentiles!$A$45:$I$59, 6, FALSE), perc_90, VLOOKUP(S$2, Percentiles!$A$45:$I$59, 7, FALSE), perc_95, VLOOKUP(S$2, Percentiles!$A$45:$I$59, 8, FALSE), perc_85, perc_75 + (perc_90 - perc_75) * (2/3), converted_stat, '2K_Ratings'!S566, IF(bbgm_stat &gt;= perc_95, converted_stat * 3, IF(bbgm_stat &gt;= perc_90, converted_stat * 2, IF(bbgm_stat &gt;= perc_85, converted_stat * 1.5, converted_stat)))))</f>
        <v/>
      </c>
      <c r="T566" s="30" t="str">
        <f t="array" ref="T566">IF($A566="", "", LET(bbgm_stat, INDEX(Players!$A565:$P565, MATCH(T$2, Players!$A$1:$P$1, 0)), perc_75, VLOOKUP(T$2, Percentiles!$A$45:$I$59, 6, FALSE), perc_90, VLOOKUP(T$2, Percentiles!$A$45:$I$59, 7, FALSE), perc_95, VLOOKUP(T$2, Percentiles!$A$45:$I$59, 8, FALSE), perc_85, perc_75 + (perc_90 - perc_75) * (2/3), converted_stat, '2K_Ratings'!T566, IF(bbgm_stat &gt;= perc_95, converted_stat * 3, IF(bbgm_stat &gt;= perc_90, converted_stat * 2, IF(bbgm_stat &gt;= perc_85, converted_stat * 1.5, converted_stat)))))</f>
        <v/>
      </c>
      <c r="U566" s="30" t="str">
        <f t="array" ref="U566">IF($A566="", "", LET(bbgm_stat, INDEX(Players!$A565:$P565, MATCH(U$2, Players!$A$1:$P$1, 0)), perc_75, VLOOKUP(U$2, Percentiles!$A$45:$I$59, 6, FALSE), perc_90, VLOOKUP(U$2, Percentiles!$A$45:$I$59, 7, FALSE), perc_95, VLOOKUP(U$2, Percentiles!$A$45:$I$59, 8, FALSE), perc_85, perc_75 + (perc_90 - perc_75) * (2/3), converted_stat, '2K_Ratings'!U566, IF(bbgm_stat &gt;= perc_95, converted_stat * 3, IF(bbgm_stat &gt;= perc_90, converted_stat * 2, IF(bbgm_stat &gt;= perc_85, converted_stat * 1.5, converted_stat)))))</f>
        <v/>
      </c>
      <c r="V566" s="30" t="str">
        <f t="array" ref="V566">IF($A566="", "", LET(bbgm_stat, INDEX(Players!$A565:$P565, MATCH(V$2, Players!$A$1:$P$1, 0)), perc_75, VLOOKUP(V$2, Percentiles!$A$45:$I$59, 6, FALSE), perc_90, VLOOKUP(V$2, Percentiles!$A$45:$I$59, 7, FALSE), perc_95, VLOOKUP(V$2, Percentiles!$A$45:$I$59, 8, FALSE), perc_85, perc_75 + (perc_90 - perc_75) * (2/3), converted_stat, '2K_Ratings'!V566, IF(bbgm_stat &gt;= perc_95, converted_stat * 3, IF(bbgm_stat &gt;= perc_90, converted_stat * 2, IF(bbgm_stat &gt;= perc_85, converted_stat * 1.5, converted_stat)))))</f>
        <v/>
      </c>
      <c r="W566" s="30" t="str">
        <f t="array" ref="W566">IF($A566="", "", LET(bbgm_stat, INDEX(Players!$A565:$P565, MATCH(W$2, Players!$A$1:$P$1, 0)), perc_75, VLOOKUP(W$2, Percentiles!$A$45:$I$59, 6, FALSE), perc_90, VLOOKUP(W$2, Percentiles!$A$45:$I$59, 7, FALSE), perc_95, VLOOKUP(W$2, Percentiles!$A$45:$I$59, 8, FALSE), perc_85, perc_75 + (perc_90 - perc_75) * (2/3), converted_stat, '2K_Ratings'!W566, IF(bbgm_stat &gt;= perc_95, converted_stat * 3, IF(bbgm_stat &gt;= perc_90, converted_stat * 2, IF(bbgm_stat &gt;= perc_85, converted_stat * 1.5, converted_stat)))))</f>
        <v/>
      </c>
    </row>
    <row r="567">
      <c r="A567" s="30"/>
      <c r="B567" s="30" t="str">
        <f t="array" ref="B567">IF($A567="", "", LET(bbgm_stat, INDEX(Players!$A566:$P566, MATCH(B$2, Players!$A$1:$P$1, 0)), perc_75, VLOOKUP(B$2, Percentiles!$A$45:$I$59, 6, FALSE), perc_90, VLOOKUP(B$2, Percentiles!$A$45:$I$59, 7, FALSE), perc_95, VLOOKUP(B$2, Percentiles!$A$45:$I$59, 8, FALSE), perc_85, perc_75 + (perc_90 - perc_75) * (2/3), converted_stat, '2K_Ratings'!B567, IF(bbgm_stat &gt;= perc_95, converted_stat * 3, IF(bbgm_stat &gt;= perc_90, converted_stat * 2, IF(bbgm_stat &gt;= perc_85, converted_stat * 1.5, converted_stat)))))</f>
        <v/>
      </c>
      <c r="C567" s="30" t="str">
        <f t="array" ref="C567">IF($A567="", "", LET(bbgm_stat, INDEX(Players!$A566:$P566, MATCH(C$2, Players!$A$1:$P$1, 0)), perc_75, VLOOKUP(C$2, Percentiles!$A$45:$I$59, 6, FALSE), perc_90, VLOOKUP(C$2, Percentiles!$A$45:$I$59, 7, FALSE), perc_95, VLOOKUP(C$2, Percentiles!$A$45:$I$59, 8, FALSE), perc_85, perc_75 + (perc_90 - perc_75) * (2/3), converted_stat, '2K_Ratings'!C567, IF(bbgm_stat &gt;= perc_95, converted_stat * 3, IF(bbgm_stat &gt;= perc_90, converted_stat * 2, IF(bbgm_stat &gt;= perc_85, converted_stat * 1.5, converted_stat)))))</f>
        <v/>
      </c>
      <c r="D567" s="30" t="str">
        <f t="array" ref="D567">IF($A567="", "", LET(bbgm_stat, INDEX(Players!$A566:$P566, MATCH(D$2, Players!$A$1:$P$1, 0)), perc_75, VLOOKUP(D$2, Percentiles!$A$45:$I$59, 6, FALSE), perc_90, VLOOKUP(D$2, Percentiles!$A$45:$I$59, 7, FALSE), perc_95, VLOOKUP(D$2, Percentiles!$A$45:$I$59, 8, FALSE), perc_85, perc_75 + (perc_90 - perc_75) * (2/3), converted_stat, '2K_Ratings'!D567, IF(bbgm_stat &gt;= perc_95, converted_stat * 3, IF(bbgm_stat &gt;= perc_90, converted_stat * 2, IF(bbgm_stat &gt;= perc_85, converted_stat * 1.5, converted_stat)))))</f>
        <v/>
      </c>
      <c r="E567" s="30" t="str">
        <f t="array" ref="E567">IF($A567="", "", LET(bbgm_stat, INDEX(Players!$A566:$P566, MATCH(E$2, Players!$A$1:$P$1, 0)), perc_75, VLOOKUP(E$2, Percentiles!$A$45:$I$59, 6, FALSE), perc_90, VLOOKUP(E$2, Percentiles!$A$45:$I$59, 7, FALSE), perc_95, VLOOKUP(E$2, Percentiles!$A$45:$I$59, 8, FALSE), perc_85, perc_75 + (perc_90 - perc_75) * (2/3), converted_stat, '2K_Ratings'!E567, IF(bbgm_stat &gt;= perc_95, converted_stat * 3, IF(bbgm_stat &gt;= perc_90, converted_stat * 2, IF(bbgm_stat &gt;= perc_85, converted_stat * 1.5, converted_stat)))))</f>
        <v/>
      </c>
      <c r="F567" s="30" t="str">
        <f t="array" ref="F567">IF($A567="", "", LET(bbgm_stat, INDEX(Players!$A566:$P566, MATCH(F$2, Players!$A$1:$P$1, 0)), perc_75, VLOOKUP(F$2, Percentiles!$A$45:$I$59, 6, FALSE), perc_90, VLOOKUP(F$2, Percentiles!$A$45:$I$59, 7, FALSE), perc_95, VLOOKUP(F$2, Percentiles!$A$45:$I$59, 8, FALSE), perc_85, perc_75 + (perc_90 - perc_75) * (2/3), converted_stat, '2K_Ratings'!F567, IF(bbgm_stat &gt;= perc_95, converted_stat * 3, IF(bbgm_stat &gt;= perc_90, converted_stat * 2, IF(bbgm_stat &gt;= perc_85, converted_stat * 1.5, converted_stat)))))</f>
        <v/>
      </c>
      <c r="G567" s="30" t="str">
        <f t="array" ref="G567">IF($A567="", "", LET(bbgm_stat, INDEX(Players!$A566:$P566, MATCH(G$2, Players!$A$1:$P$1, 0)), perc_75, VLOOKUP(G$2, Percentiles!$A$45:$I$59, 6, FALSE), perc_90, VLOOKUP(G$2, Percentiles!$A$45:$I$59, 7, FALSE), perc_95, VLOOKUP(G$2, Percentiles!$A$45:$I$59, 8, FALSE), perc_85, perc_75 + (perc_90 - perc_75) * (2/3), converted_stat, '2K_Ratings'!G567, IF(bbgm_stat &gt;= perc_95, converted_stat * 3, IF(bbgm_stat &gt;= perc_90, converted_stat * 2, IF(bbgm_stat &gt;= perc_85, converted_stat * 1.5, converted_stat)))))</f>
        <v/>
      </c>
      <c r="H567" s="30" t="str">
        <f t="array" ref="H567">IF($A567="", "", LET(bbgm_stat, INDEX(Players!$A566:$P566, MATCH(H$2, Players!$A$1:$P$1, 0)), perc_75, VLOOKUP(H$2, Percentiles!$A$45:$I$59, 6, FALSE), perc_90, VLOOKUP(H$2, Percentiles!$A$45:$I$59, 7, FALSE), perc_95, VLOOKUP(H$2, Percentiles!$A$45:$I$59, 8, FALSE), perc_85, perc_75 + (perc_90 - perc_75) * (2/3), converted_stat, '2K_Ratings'!H567, IF(bbgm_stat &gt;= perc_95, converted_stat * 3, IF(bbgm_stat &gt;= perc_90, converted_stat * 2, IF(bbgm_stat &gt;= perc_85, converted_stat * 1.5, converted_stat)))))</f>
        <v/>
      </c>
      <c r="I567" s="30" t="str">
        <f t="array" ref="I567">IF($A567="", "", LET(bbgm_stat, INDEX(Players!$A566:$P566, MATCH(I$2, Players!$A$1:$P$1, 0)), perc_75, VLOOKUP(I$2, Percentiles!$A$45:$I$59, 6, FALSE), perc_90, VLOOKUP(I$2, Percentiles!$A$45:$I$59, 7, FALSE), perc_95, VLOOKUP(I$2, Percentiles!$A$45:$I$59, 8, FALSE), perc_85, perc_75 + (perc_90 - perc_75) * (2/3), converted_stat, '2K_Ratings'!I567, IF(bbgm_stat &gt;= perc_95, converted_stat * 3, IF(bbgm_stat &gt;= perc_90, converted_stat * 2, IF(bbgm_stat &gt;= perc_85, converted_stat * 1.5, converted_stat)))))</f>
        <v/>
      </c>
      <c r="J567" s="30" t="str">
        <f t="array" ref="J567">IF($A567="", "", LET(bbgm_stat, INDEX(Players!$A566:$P566, MATCH(J$2, Players!$A$1:$P$1, 0)), perc_75, VLOOKUP(J$2, Percentiles!$A$45:$I$59, 6, FALSE), perc_90, VLOOKUP(J$2, Percentiles!$A$45:$I$59, 7, FALSE), perc_95, VLOOKUP(J$2, Percentiles!$A$45:$I$59, 8, FALSE), perc_85, perc_75 + (perc_90 - perc_75) * (2/3), converted_stat, '2K_Ratings'!J567, IF(bbgm_stat &gt;= perc_95, converted_stat * 3, IF(bbgm_stat &gt;= perc_90, converted_stat * 2, IF(bbgm_stat &gt;= perc_85, converted_stat * 1.5, converted_stat)))))</f>
        <v/>
      </c>
      <c r="K567" s="30" t="str">
        <f t="array" ref="K567">IF($A567="", "", LET(bbgm_stat, INDEX(Players!$A566:$P566, MATCH(K$2, Players!$A$1:$P$1, 0)), perc_75, VLOOKUP(K$2, Percentiles!$A$45:$I$59, 6, FALSE), perc_90, VLOOKUP(K$2, Percentiles!$A$45:$I$59, 7, FALSE), perc_95, VLOOKUP(K$2, Percentiles!$A$45:$I$59, 8, FALSE), perc_85, perc_75 + (perc_90 - perc_75) * (2/3), converted_stat, '2K_Ratings'!K567, IF(bbgm_stat &gt;= perc_95, converted_stat * 3, IF(bbgm_stat &gt;= perc_90, converted_stat * 2, IF(bbgm_stat &gt;= perc_85, converted_stat * 1.5, converted_stat)))))</f>
        <v/>
      </c>
      <c r="L567" s="30" t="str">
        <f t="array" ref="L567">IF($A567="", "", LET(bbgm_stat, INDEX(Players!$A566:$P566, MATCH(L$2, Players!$A$1:$P$1, 0)), perc_75, VLOOKUP(L$2, Percentiles!$A$45:$I$59, 6, FALSE), perc_90, VLOOKUP(L$2, Percentiles!$A$45:$I$59, 7, FALSE), perc_95, VLOOKUP(L$2, Percentiles!$A$45:$I$59, 8, FALSE), perc_85, perc_75 + (perc_90 - perc_75) * (2/3), converted_stat, '2K_Ratings'!L567, IF(bbgm_stat &gt;= perc_95, converted_stat * 3, IF(bbgm_stat &gt;= perc_90, converted_stat * 2, IF(bbgm_stat &gt;= perc_85, converted_stat * 1.5, converted_stat)))))</f>
        <v/>
      </c>
      <c r="M567" s="30" t="str">
        <f t="array" ref="M567">IF($A567="", "", LET(bbgm_stat, INDEX(Players!$A566:$P566, MATCH(M$2, Players!$A$1:$P$1, 0)), perc_75, VLOOKUP(M$2, Percentiles!$A$45:$I$59, 6, FALSE), perc_90, VLOOKUP(M$2, Percentiles!$A$45:$I$59, 7, FALSE), perc_95, VLOOKUP(M$2, Percentiles!$A$45:$I$59, 8, FALSE), perc_85, perc_75 + (perc_90 - perc_75) * (2/3), converted_stat, '2K_Ratings'!M567, IF(bbgm_stat &gt;= perc_95, converted_stat * 3, IF(bbgm_stat &gt;= perc_90, converted_stat * 2, IF(bbgm_stat &gt;= perc_85, converted_stat * 1.5, converted_stat)))))</f>
        <v/>
      </c>
      <c r="N567" s="30" t="str">
        <f t="array" ref="N567">IF($A567="", "", LET(bbgm_stat, INDEX(Players!$A566:$P566, MATCH(N$2, Players!$A$1:$P$1, 0)), perc_75, VLOOKUP(N$2, Percentiles!$A$45:$I$59, 6, FALSE), perc_90, VLOOKUP(N$2, Percentiles!$A$45:$I$59, 7, FALSE), perc_95, VLOOKUP(N$2, Percentiles!$A$45:$I$59, 8, FALSE), perc_85, perc_75 + (perc_90 - perc_75) * (2/3), converted_stat, '2K_Ratings'!N567, IF(bbgm_stat &gt;= perc_95, converted_stat * 3, IF(bbgm_stat &gt;= perc_90, converted_stat * 2, IF(bbgm_stat &gt;= perc_85, converted_stat * 1.5, converted_stat)))))</f>
        <v/>
      </c>
      <c r="O567" s="30" t="str">
        <f t="array" ref="O567">IF($A567="", "", LET(bbgm_stat, INDEX(Players!$A566:$P566, MATCH(O$2, Players!$A$1:$P$1, 0)), perc_75, VLOOKUP(O$2, Percentiles!$A$45:$I$59, 6, FALSE), perc_90, VLOOKUP(O$2, Percentiles!$A$45:$I$59, 7, FALSE), perc_95, VLOOKUP(O$2, Percentiles!$A$45:$I$59, 8, FALSE), perc_85, perc_75 + (perc_90 - perc_75) * (2/3), converted_stat, '2K_Ratings'!O567, IF(bbgm_stat &gt;= perc_95, converted_stat * 3, IF(bbgm_stat &gt;= perc_90, converted_stat * 2, IF(bbgm_stat &gt;= perc_85, converted_stat * 1.5, converted_stat)))))</f>
        <v/>
      </c>
      <c r="P567" s="30" t="str">
        <f t="array" ref="P567">IF($A567="", "", LET(bbgm_stat, INDEX(Players!$A566:$P566, MATCH(P$2, Players!$A$1:$P$1, 0)), perc_75, VLOOKUP(P$2, Percentiles!$A$45:$I$59, 6, FALSE), perc_90, VLOOKUP(P$2, Percentiles!$A$45:$I$59, 7, FALSE), perc_95, VLOOKUP(P$2, Percentiles!$A$45:$I$59, 8, FALSE), perc_85, perc_75 + (perc_90 - perc_75) * (2/3), converted_stat, '2K_Ratings'!P567, IF(bbgm_stat &gt;= perc_95, converted_stat * 3, IF(bbgm_stat &gt;= perc_90, converted_stat * 2, IF(bbgm_stat &gt;= perc_85, converted_stat * 1.5, converted_stat)))))</f>
        <v/>
      </c>
      <c r="Q567" s="30" t="str">
        <f t="array" ref="Q567">IF($A567="", "", LET(bbgm_stat, INDEX(Players!$A566:$P566, MATCH(Q$2, Players!$A$1:$P$1, 0)), perc_75, VLOOKUP(Q$2, Percentiles!$A$45:$I$59, 6, FALSE), perc_90, VLOOKUP(Q$2, Percentiles!$A$45:$I$59, 7, FALSE), perc_95, VLOOKUP(Q$2, Percentiles!$A$45:$I$59, 8, FALSE), perc_85, perc_75 + (perc_90 - perc_75) * (2/3), converted_stat, '2K_Ratings'!Q567, IF(bbgm_stat &gt;= perc_95, converted_stat * 3, IF(bbgm_stat &gt;= perc_90, converted_stat * 2, IF(bbgm_stat &gt;= perc_85, converted_stat * 1.5, converted_stat)))))</f>
        <v/>
      </c>
      <c r="R567" s="30" t="str">
        <f t="array" ref="R567">IF($A567="", "", LET(bbgm_stat, INDEX(Players!$A566:$P566, MATCH(R$2, Players!$A$1:$P$1, 0)), perc_75, VLOOKUP(R$2, Percentiles!$A$45:$I$59, 6, FALSE), perc_90, VLOOKUP(R$2, Percentiles!$A$45:$I$59, 7, FALSE), perc_95, VLOOKUP(R$2, Percentiles!$A$45:$I$59, 8, FALSE), perc_85, perc_75 + (perc_90 - perc_75) * (2/3), converted_stat, '2K_Ratings'!R567, IF(bbgm_stat &gt;= perc_95, converted_stat * 3, IF(bbgm_stat &gt;= perc_90, converted_stat * 2, IF(bbgm_stat &gt;= perc_85, converted_stat * 1.5, converted_stat)))))</f>
        <v/>
      </c>
      <c r="S567" s="30" t="str">
        <f t="array" ref="S567">IF($A567="", "", LET(bbgm_stat, INDEX(Players!$A566:$P566, MATCH(S$2, Players!$A$1:$P$1, 0)), perc_75, VLOOKUP(S$2, Percentiles!$A$45:$I$59, 6, FALSE), perc_90, VLOOKUP(S$2, Percentiles!$A$45:$I$59, 7, FALSE), perc_95, VLOOKUP(S$2, Percentiles!$A$45:$I$59, 8, FALSE), perc_85, perc_75 + (perc_90 - perc_75) * (2/3), converted_stat, '2K_Ratings'!S567, IF(bbgm_stat &gt;= perc_95, converted_stat * 3, IF(bbgm_stat &gt;= perc_90, converted_stat * 2, IF(bbgm_stat &gt;= perc_85, converted_stat * 1.5, converted_stat)))))</f>
        <v/>
      </c>
      <c r="T567" s="30" t="str">
        <f t="array" ref="T567">IF($A567="", "", LET(bbgm_stat, INDEX(Players!$A566:$P566, MATCH(T$2, Players!$A$1:$P$1, 0)), perc_75, VLOOKUP(T$2, Percentiles!$A$45:$I$59, 6, FALSE), perc_90, VLOOKUP(T$2, Percentiles!$A$45:$I$59, 7, FALSE), perc_95, VLOOKUP(T$2, Percentiles!$A$45:$I$59, 8, FALSE), perc_85, perc_75 + (perc_90 - perc_75) * (2/3), converted_stat, '2K_Ratings'!T567, IF(bbgm_stat &gt;= perc_95, converted_stat * 3, IF(bbgm_stat &gt;= perc_90, converted_stat * 2, IF(bbgm_stat &gt;= perc_85, converted_stat * 1.5, converted_stat)))))</f>
        <v/>
      </c>
      <c r="U567" s="30" t="str">
        <f t="array" ref="U567">IF($A567="", "", LET(bbgm_stat, INDEX(Players!$A566:$P566, MATCH(U$2, Players!$A$1:$P$1, 0)), perc_75, VLOOKUP(U$2, Percentiles!$A$45:$I$59, 6, FALSE), perc_90, VLOOKUP(U$2, Percentiles!$A$45:$I$59, 7, FALSE), perc_95, VLOOKUP(U$2, Percentiles!$A$45:$I$59, 8, FALSE), perc_85, perc_75 + (perc_90 - perc_75) * (2/3), converted_stat, '2K_Ratings'!U567, IF(bbgm_stat &gt;= perc_95, converted_stat * 3, IF(bbgm_stat &gt;= perc_90, converted_stat * 2, IF(bbgm_stat &gt;= perc_85, converted_stat * 1.5, converted_stat)))))</f>
        <v/>
      </c>
      <c r="V567" s="30" t="str">
        <f t="array" ref="V567">IF($A567="", "", LET(bbgm_stat, INDEX(Players!$A566:$P566, MATCH(V$2, Players!$A$1:$P$1, 0)), perc_75, VLOOKUP(V$2, Percentiles!$A$45:$I$59, 6, FALSE), perc_90, VLOOKUP(V$2, Percentiles!$A$45:$I$59, 7, FALSE), perc_95, VLOOKUP(V$2, Percentiles!$A$45:$I$59, 8, FALSE), perc_85, perc_75 + (perc_90 - perc_75) * (2/3), converted_stat, '2K_Ratings'!V567, IF(bbgm_stat &gt;= perc_95, converted_stat * 3, IF(bbgm_stat &gt;= perc_90, converted_stat * 2, IF(bbgm_stat &gt;= perc_85, converted_stat * 1.5, converted_stat)))))</f>
        <v/>
      </c>
      <c r="W567" s="30" t="str">
        <f t="array" ref="W567">IF($A567="", "", LET(bbgm_stat, INDEX(Players!$A566:$P566, MATCH(W$2, Players!$A$1:$P$1, 0)), perc_75, VLOOKUP(W$2, Percentiles!$A$45:$I$59, 6, FALSE), perc_90, VLOOKUP(W$2, Percentiles!$A$45:$I$59, 7, FALSE), perc_95, VLOOKUP(W$2, Percentiles!$A$45:$I$59, 8, FALSE), perc_85, perc_75 + (perc_90 - perc_75) * (2/3), converted_stat, '2K_Ratings'!W567, IF(bbgm_stat &gt;= perc_95, converted_stat * 3, IF(bbgm_stat &gt;= perc_90, converted_stat * 2, IF(bbgm_stat &gt;= perc_85, converted_stat * 1.5, converted_stat)))))</f>
        <v/>
      </c>
    </row>
    <row r="568">
      <c r="A568" s="30"/>
      <c r="B568" s="30" t="str">
        <f t="array" ref="B568">IF($A568="", "", LET(bbgm_stat, INDEX(Players!$A567:$P567, MATCH(B$2, Players!$A$1:$P$1, 0)), perc_75, VLOOKUP(B$2, Percentiles!$A$45:$I$59, 6, FALSE), perc_90, VLOOKUP(B$2, Percentiles!$A$45:$I$59, 7, FALSE), perc_95, VLOOKUP(B$2, Percentiles!$A$45:$I$59, 8, FALSE), perc_85, perc_75 + (perc_90 - perc_75) * (2/3), converted_stat, '2K_Ratings'!B568, IF(bbgm_stat &gt;= perc_95, converted_stat * 3, IF(bbgm_stat &gt;= perc_90, converted_stat * 2, IF(bbgm_stat &gt;= perc_85, converted_stat * 1.5, converted_stat)))))</f>
        <v/>
      </c>
      <c r="C568" s="30" t="str">
        <f t="array" ref="C568">IF($A568="", "", LET(bbgm_stat, INDEX(Players!$A567:$P567, MATCH(C$2, Players!$A$1:$P$1, 0)), perc_75, VLOOKUP(C$2, Percentiles!$A$45:$I$59, 6, FALSE), perc_90, VLOOKUP(C$2, Percentiles!$A$45:$I$59, 7, FALSE), perc_95, VLOOKUP(C$2, Percentiles!$A$45:$I$59, 8, FALSE), perc_85, perc_75 + (perc_90 - perc_75) * (2/3), converted_stat, '2K_Ratings'!C568, IF(bbgm_stat &gt;= perc_95, converted_stat * 3, IF(bbgm_stat &gt;= perc_90, converted_stat * 2, IF(bbgm_stat &gt;= perc_85, converted_stat * 1.5, converted_stat)))))</f>
        <v/>
      </c>
      <c r="D568" s="30" t="str">
        <f t="array" ref="D568">IF($A568="", "", LET(bbgm_stat, INDEX(Players!$A567:$P567, MATCH(D$2, Players!$A$1:$P$1, 0)), perc_75, VLOOKUP(D$2, Percentiles!$A$45:$I$59, 6, FALSE), perc_90, VLOOKUP(D$2, Percentiles!$A$45:$I$59, 7, FALSE), perc_95, VLOOKUP(D$2, Percentiles!$A$45:$I$59, 8, FALSE), perc_85, perc_75 + (perc_90 - perc_75) * (2/3), converted_stat, '2K_Ratings'!D568, IF(bbgm_stat &gt;= perc_95, converted_stat * 3, IF(bbgm_stat &gt;= perc_90, converted_stat * 2, IF(bbgm_stat &gt;= perc_85, converted_stat * 1.5, converted_stat)))))</f>
        <v/>
      </c>
      <c r="E568" s="30" t="str">
        <f t="array" ref="E568">IF($A568="", "", LET(bbgm_stat, INDEX(Players!$A567:$P567, MATCH(E$2, Players!$A$1:$P$1, 0)), perc_75, VLOOKUP(E$2, Percentiles!$A$45:$I$59, 6, FALSE), perc_90, VLOOKUP(E$2, Percentiles!$A$45:$I$59, 7, FALSE), perc_95, VLOOKUP(E$2, Percentiles!$A$45:$I$59, 8, FALSE), perc_85, perc_75 + (perc_90 - perc_75) * (2/3), converted_stat, '2K_Ratings'!E568, IF(bbgm_stat &gt;= perc_95, converted_stat * 3, IF(bbgm_stat &gt;= perc_90, converted_stat * 2, IF(bbgm_stat &gt;= perc_85, converted_stat * 1.5, converted_stat)))))</f>
        <v/>
      </c>
      <c r="F568" s="30" t="str">
        <f t="array" ref="F568">IF($A568="", "", LET(bbgm_stat, INDEX(Players!$A567:$P567, MATCH(F$2, Players!$A$1:$P$1, 0)), perc_75, VLOOKUP(F$2, Percentiles!$A$45:$I$59, 6, FALSE), perc_90, VLOOKUP(F$2, Percentiles!$A$45:$I$59, 7, FALSE), perc_95, VLOOKUP(F$2, Percentiles!$A$45:$I$59, 8, FALSE), perc_85, perc_75 + (perc_90 - perc_75) * (2/3), converted_stat, '2K_Ratings'!F568, IF(bbgm_stat &gt;= perc_95, converted_stat * 3, IF(bbgm_stat &gt;= perc_90, converted_stat * 2, IF(bbgm_stat &gt;= perc_85, converted_stat * 1.5, converted_stat)))))</f>
        <v/>
      </c>
      <c r="G568" s="30" t="str">
        <f t="array" ref="G568">IF($A568="", "", LET(bbgm_stat, INDEX(Players!$A567:$P567, MATCH(G$2, Players!$A$1:$P$1, 0)), perc_75, VLOOKUP(G$2, Percentiles!$A$45:$I$59, 6, FALSE), perc_90, VLOOKUP(G$2, Percentiles!$A$45:$I$59, 7, FALSE), perc_95, VLOOKUP(G$2, Percentiles!$A$45:$I$59, 8, FALSE), perc_85, perc_75 + (perc_90 - perc_75) * (2/3), converted_stat, '2K_Ratings'!G568, IF(bbgm_stat &gt;= perc_95, converted_stat * 3, IF(bbgm_stat &gt;= perc_90, converted_stat * 2, IF(bbgm_stat &gt;= perc_85, converted_stat * 1.5, converted_stat)))))</f>
        <v/>
      </c>
      <c r="H568" s="30" t="str">
        <f t="array" ref="H568">IF($A568="", "", LET(bbgm_stat, INDEX(Players!$A567:$P567, MATCH(H$2, Players!$A$1:$P$1, 0)), perc_75, VLOOKUP(H$2, Percentiles!$A$45:$I$59, 6, FALSE), perc_90, VLOOKUP(H$2, Percentiles!$A$45:$I$59, 7, FALSE), perc_95, VLOOKUP(H$2, Percentiles!$A$45:$I$59, 8, FALSE), perc_85, perc_75 + (perc_90 - perc_75) * (2/3), converted_stat, '2K_Ratings'!H568, IF(bbgm_stat &gt;= perc_95, converted_stat * 3, IF(bbgm_stat &gt;= perc_90, converted_stat * 2, IF(bbgm_stat &gt;= perc_85, converted_stat * 1.5, converted_stat)))))</f>
        <v/>
      </c>
      <c r="I568" s="30" t="str">
        <f t="array" ref="I568">IF($A568="", "", LET(bbgm_stat, INDEX(Players!$A567:$P567, MATCH(I$2, Players!$A$1:$P$1, 0)), perc_75, VLOOKUP(I$2, Percentiles!$A$45:$I$59, 6, FALSE), perc_90, VLOOKUP(I$2, Percentiles!$A$45:$I$59, 7, FALSE), perc_95, VLOOKUP(I$2, Percentiles!$A$45:$I$59, 8, FALSE), perc_85, perc_75 + (perc_90 - perc_75) * (2/3), converted_stat, '2K_Ratings'!I568, IF(bbgm_stat &gt;= perc_95, converted_stat * 3, IF(bbgm_stat &gt;= perc_90, converted_stat * 2, IF(bbgm_stat &gt;= perc_85, converted_stat * 1.5, converted_stat)))))</f>
        <v/>
      </c>
      <c r="J568" s="30" t="str">
        <f t="array" ref="J568">IF($A568="", "", LET(bbgm_stat, INDEX(Players!$A567:$P567, MATCH(J$2, Players!$A$1:$P$1, 0)), perc_75, VLOOKUP(J$2, Percentiles!$A$45:$I$59, 6, FALSE), perc_90, VLOOKUP(J$2, Percentiles!$A$45:$I$59, 7, FALSE), perc_95, VLOOKUP(J$2, Percentiles!$A$45:$I$59, 8, FALSE), perc_85, perc_75 + (perc_90 - perc_75) * (2/3), converted_stat, '2K_Ratings'!J568, IF(bbgm_stat &gt;= perc_95, converted_stat * 3, IF(bbgm_stat &gt;= perc_90, converted_stat * 2, IF(bbgm_stat &gt;= perc_85, converted_stat * 1.5, converted_stat)))))</f>
        <v/>
      </c>
      <c r="K568" s="30" t="str">
        <f t="array" ref="K568">IF($A568="", "", LET(bbgm_stat, INDEX(Players!$A567:$P567, MATCH(K$2, Players!$A$1:$P$1, 0)), perc_75, VLOOKUP(K$2, Percentiles!$A$45:$I$59, 6, FALSE), perc_90, VLOOKUP(K$2, Percentiles!$A$45:$I$59, 7, FALSE), perc_95, VLOOKUP(K$2, Percentiles!$A$45:$I$59, 8, FALSE), perc_85, perc_75 + (perc_90 - perc_75) * (2/3), converted_stat, '2K_Ratings'!K568, IF(bbgm_stat &gt;= perc_95, converted_stat * 3, IF(bbgm_stat &gt;= perc_90, converted_stat * 2, IF(bbgm_stat &gt;= perc_85, converted_stat * 1.5, converted_stat)))))</f>
        <v/>
      </c>
      <c r="L568" s="30" t="str">
        <f t="array" ref="L568">IF($A568="", "", LET(bbgm_stat, INDEX(Players!$A567:$P567, MATCH(L$2, Players!$A$1:$P$1, 0)), perc_75, VLOOKUP(L$2, Percentiles!$A$45:$I$59, 6, FALSE), perc_90, VLOOKUP(L$2, Percentiles!$A$45:$I$59, 7, FALSE), perc_95, VLOOKUP(L$2, Percentiles!$A$45:$I$59, 8, FALSE), perc_85, perc_75 + (perc_90 - perc_75) * (2/3), converted_stat, '2K_Ratings'!L568, IF(bbgm_stat &gt;= perc_95, converted_stat * 3, IF(bbgm_stat &gt;= perc_90, converted_stat * 2, IF(bbgm_stat &gt;= perc_85, converted_stat * 1.5, converted_stat)))))</f>
        <v/>
      </c>
      <c r="M568" s="30" t="str">
        <f t="array" ref="M568">IF($A568="", "", LET(bbgm_stat, INDEX(Players!$A567:$P567, MATCH(M$2, Players!$A$1:$P$1, 0)), perc_75, VLOOKUP(M$2, Percentiles!$A$45:$I$59, 6, FALSE), perc_90, VLOOKUP(M$2, Percentiles!$A$45:$I$59, 7, FALSE), perc_95, VLOOKUP(M$2, Percentiles!$A$45:$I$59, 8, FALSE), perc_85, perc_75 + (perc_90 - perc_75) * (2/3), converted_stat, '2K_Ratings'!M568, IF(bbgm_stat &gt;= perc_95, converted_stat * 3, IF(bbgm_stat &gt;= perc_90, converted_stat * 2, IF(bbgm_stat &gt;= perc_85, converted_stat * 1.5, converted_stat)))))</f>
        <v/>
      </c>
      <c r="N568" s="30" t="str">
        <f t="array" ref="N568">IF($A568="", "", LET(bbgm_stat, INDEX(Players!$A567:$P567, MATCH(N$2, Players!$A$1:$P$1, 0)), perc_75, VLOOKUP(N$2, Percentiles!$A$45:$I$59, 6, FALSE), perc_90, VLOOKUP(N$2, Percentiles!$A$45:$I$59, 7, FALSE), perc_95, VLOOKUP(N$2, Percentiles!$A$45:$I$59, 8, FALSE), perc_85, perc_75 + (perc_90 - perc_75) * (2/3), converted_stat, '2K_Ratings'!N568, IF(bbgm_stat &gt;= perc_95, converted_stat * 3, IF(bbgm_stat &gt;= perc_90, converted_stat * 2, IF(bbgm_stat &gt;= perc_85, converted_stat * 1.5, converted_stat)))))</f>
        <v/>
      </c>
      <c r="O568" s="30" t="str">
        <f t="array" ref="O568">IF($A568="", "", LET(bbgm_stat, INDEX(Players!$A567:$P567, MATCH(O$2, Players!$A$1:$P$1, 0)), perc_75, VLOOKUP(O$2, Percentiles!$A$45:$I$59, 6, FALSE), perc_90, VLOOKUP(O$2, Percentiles!$A$45:$I$59, 7, FALSE), perc_95, VLOOKUP(O$2, Percentiles!$A$45:$I$59, 8, FALSE), perc_85, perc_75 + (perc_90 - perc_75) * (2/3), converted_stat, '2K_Ratings'!O568, IF(bbgm_stat &gt;= perc_95, converted_stat * 3, IF(bbgm_stat &gt;= perc_90, converted_stat * 2, IF(bbgm_stat &gt;= perc_85, converted_stat * 1.5, converted_stat)))))</f>
        <v/>
      </c>
      <c r="P568" s="30" t="str">
        <f t="array" ref="P568">IF($A568="", "", LET(bbgm_stat, INDEX(Players!$A567:$P567, MATCH(P$2, Players!$A$1:$P$1, 0)), perc_75, VLOOKUP(P$2, Percentiles!$A$45:$I$59, 6, FALSE), perc_90, VLOOKUP(P$2, Percentiles!$A$45:$I$59, 7, FALSE), perc_95, VLOOKUP(P$2, Percentiles!$A$45:$I$59, 8, FALSE), perc_85, perc_75 + (perc_90 - perc_75) * (2/3), converted_stat, '2K_Ratings'!P568, IF(bbgm_stat &gt;= perc_95, converted_stat * 3, IF(bbgm_stat &gt;= perc_90, converted_stat * 2, IF(bbgm_stat &gt;= perc_85, converted_stat * 1.5, converted_stat)))))</f>
        <v/>
      </c>
      <c r="Q568" s="30" t="str">
        <f t="array" ref="Q568">IF($A568="", "", LET(bbgm_stat, INDEX(Players!$A567:$P567, MATCH(Q$2, Players!$A$1:$P$1, 0)), perc_75, VLOOKUP(Q$2, Percentiles!$A$45:$I$59, 6, FALSE), perc_90, VLOOKUP(Q$2, Percentiles!$A$45:$I$59, 7, FALSE), perc_95, VLOOKUP(Q$2, Percentiles!$A$45:$I$59, 8, FALSE), perc_85, perc_75 + (perc_90 - perc_75) * (2/3), converted_stat, '2K_Ratings'!Q568, IF(bbgm_stat &gt;= perc_95, converted_stat * 3, IF(bbgm_stat &gt;= perc_90, converted_stat * 2, IF(bbgm_stat &gt;= perc_85, converted_stat * 1.5, converted_stat)))))</f>
        <v/>
      </c>
      <c r="R568" s="30" t="str">
        <f t="array" ref="R568">IF($A568="", "", LET(bbgm_stat, INDEX(Players!$A567:$P567, MATCH(R$2, Players!$A$1:$P$1, 0)), perc_75, VLOOKUP(R$2, Percentiles!$A$45:$I$59, 6, FALSE), perc_90, VLOOKUP(R$2, Percentiles!$A$45:$I$59, 7, FALSE), perc_95, VLOOKUP(R$2, Percentiles!$A$45:$I$59, 8, FALSE), perc_85, perc_75 + (perc_90 - perc_75) * (2/3), converted_stat, '2K_Ratings'!R568, IF(bbgm_stat &gt;= perc_95, converted_stat * 3, IF(bbgm_stat &gt;= perc_90, converted_stat * 2, IF(bbgm_stat &gt;= perc_85, converted_stat * 1.5, converted_stat)))))</f>
        <v/>
      </c>
      <c r="S568" s="30" t="str">
        <f t="array" ref="S568">IF($A568="", "", LET(bbgm_stat, INDEX(Players!$A567:$P567, MATCH(S$2, Players!$A$1:$P$1, 0)), perc_75, VLOOKUP(S$2, Percentiles!$A$45:$I$59, 6, FALSE), perc_90, VLOOKUP(S$2, Percentiles!$A$45:$I$59, 7, FALSE), perc_95, VLOOKUP(S$2, Percentiles!$A$45:$I$59, 8, FALSE), perc_85, perc_75 + (perc_90 - perc_75) * (2/3), converted_stat, '2K_Ratings'!S568, IF(bbgm_stat &gt;= perc_95, converted_stat * 3, IF(bbgm_stat &gt;= perc_90, converted_stat * 2, IF(bbgm_stat &gt;= perc_85, converted_stat * 1.5, converted_stat)))))</f>
        <v/>
      </c>
      <c r="T568" s="30" t="str">
        <f t="array" ref="T568">IF($A568="", "", LET(bbgm_stat, INDEX(Players!$A567:$P567, MATCH(T$2, Players!$A$1:$P$1, 0)), perc_75, VLOOKUP(T$2, Percentiles!$A$45:$I$59, 6, FALSE), perc_90, VLOOKUP(T$2, Percentiles!$A$45:$I$59, 7, FALSE), perc_95, VLOOKUP(T$2, Percentiles!$A$45:$I$59, 8, FALSE), perc_85, perc_75 + (perc_90 - perc_75) * (2/3), converted_stat, '2K_Ratings'!T568, IF(bbgm_stat &gt;= perc_95, converted_stat * 3, IF(bbgm_stat &gt;= perc_90, converted_stat * 2, IF(bbgm_stat &gt;= perc_85, converted_stat * 1.5, converted_stat)))))</f>
        <v/>
      </c>
      <c r="U568" s="30" t="str">
        <f t="array" ref="U568">IF($A568="", "", LET(bbgm_stat, INDEX(Players!$A567:$P567, MATCH(U$2, Players!$A$1:$P$1, 0)), perc_75, VLOOKUP(U$2, Percentiles!$A$45:$I$59, 6, FALSE), perc_90, VLOOKUP(U$2, Percentiles!$A$45:$I$59, 7, FALSE), perc_95, VLOOKUP(U$2, Percentiles!$A$45:$I$59, 8, FALSE), perc_85, perc_75 + (perc_90 - perc_75) * (2/3), converted_stat, '2K_Ratings'!U568, IF(bbgm_stat &gt;= perc_95, converted_stat * 3, IF(bbgm_stat &gt;= perc_90, converted_stat * 2, IF(bbgm_stat &gt;= perc_85, converted_stat * 1.5, converted_stat)))))</f>
        <v/>
      </c>
      <c r="V568" s="30" t="str">
        <f t="array" ref="V568">IF($A568="", "", LET(bbgm_stat, INDEX(Players!$A567:$P567, MATCH(V$2, Players!$A$1:$P$1, 0)), perc_75, VLOOKUP(V$2, Percentiles!$A$45:$I$59, 6, FALSE), perc_90, VLOOKUP(V$2, Percentiles!$A$45:$I$59, 7, FALSE), perc_95, VLOOKUP(V$2, Percentiles!$A$45:$I$59, 8, FALSE), perc_85, perc_75 + (perc_90 - perc_75) * (2/3), converted_stat, '2K_Ratings'!V568, IF(bbgm_stat &gt;= perc_95, converted_stat * 3, IF(bbgm_stat &gt;= perc_90, converted_stat * 2, IF(bbgm_stat &gt;= perc_85, converted_stat * 1.5, converted_stat)))))</f>
        <v/>
      </c>
      <c r="W568" s="30" t="str">
        <f t="array" ref="W568">IF($A568="", "", LET(bbgm_stat, INDEX(Players!$A567:$P567, MATCH(W$2, Players!$A$1:$P$1, 0)), perc_75, VLOOKUP(W$2, Percentiles!$A$45:$I$59, 6, FALSE), perc_90, VLOOKUP(W$2, Percentiles!$A$45:$I$59, 7, FALSE), perc_95, VLOOKUP(W$2, Percentiles!$A$45:$I$59, 8, FALSE), perc_85, perc_75 + (perc_90 - perc_75) * (2/3), converted_stat, '2K_Ratings'!W568, IF(bbgm_stat &gt;= perc_95, converted_stat * 3, IF(bbgm_stat &gt;= perc_90, converted_stat * 2, IF(bbgm_stat &gt;= perc_85, converted_stat * 1.5, converted_stat)))))</f>
        <v/>
      </c>
    </row>
    <row r="569">
      <c r="A569" s="30"/>
      <c r="B569" s="30" t="str">
        <f t="array" ref="B569">IF($A569="", "", LET(bbgm_stat, INDEX(Players!$A568:$P568, MATCH(B$2, Players!$A$1:$P$1, 0)), perc_75, VLOOKUP(B$2, Percentiles!$A$45:$I$59, 6, FALSE), perc_90, VLOOKUP(B$2, Percentiles!$A$45:$I$59, 7, FALSE), perc_95, VLOOKUP(B$2, Percentiles!$A$45:$I$59, 8, FALSE), perc_85, perc_75 + (perc_90 - perc_75) * (2/3), converted_stat, '2K_Ratings'!B569, IF(bbgm_stat &gt;= perc_95, converted_stat * 3, IF(bbgm_stat &gt;= perc_90, converted_stat * 2, IF(bbgm_stat &gt;= perc_85, converted_stat * 1.5, converted_stat)))))</f>
        <v/>
      </c>
      <c r="C569" s="30" t="str">
        <f t="array" ref="C569">IF($A569="", "", LET(bbgm_stat, INDEX(Players!$A568:$P568, MATCH(C$2, Players!$A$1:$P$1, 0)), perc_75, VLOOKUP(C$2, Percentiles!$A$45:$I$59, 6, FALSE), perc_90, VLOOKUP(C$2, Percentiles!$A$45:$I$59, 7, FALSE), perc_95, VLOOKUP(C$2, Percentiles!$A$45:$I$59, 8, FALSE), perc_85, perc_75 + (perc_90 - perc_75) * (2/3), converted_stat, '2K_Ratings'!C569, IF(bbgm_stat &gt;= perc_95, converted_stat * 3, IF(bbgm_stat &gt;= perc_90, converted_stat * 2, IF(bbgm_stat &gt;= perc_85, converted_stat * 1.5, converted_stat)))))</f>
        <v/>
      </c>
      <c r="D569" s="30" t="str">
        <f t="array" ref="D569">IF($A569="", "", LET(bbgm_stat, INDEX(Players!$A568:$P568, MATCH(D$2, Players!$A$1:$P$1, 0)), perc_75, VLOOKUP(D$2, Percentiles!$A$45:$I$59, 6, FALSE), perc_90, VLOOKUP(D$2, Percentiles!$A$45:$I$59, 7, FALSE), perc_95, VLOOKUP(D$2, Percentiles!$A$45:$I$59, 8, FALSE), perc_85, perc_75 + (perc_90 - perc_75) * (2/3), converted_stat, '2K_Ratings'!D569, IF(bbgm_stat &gt;= perc_95, converted_stat * 3, IF(bbgm_stat &gt;= perc_90, converted_stat * 2, IF(bbgm_stat &gt;= perc_85, converted_stat * 1.5, converted_stat)))))</f>
        <v/>
      </c>
      <c r="E569" s="30" t="str">
        <f t="array" ref="E569">IF($A569="", "", LET(bbgm_stat, INDEX(Players!$A568:$P568, MATCH(E$2, Players!$A$1:$P$1, 0)), perc_75, VLOOKUP(E$2, Percentiles!$A$45:$I$59, 6, FALSE), perc_90, VLOOKUP(E$2, Percentiles!$A$45:$I$59, 7, FALSE), perc_95, VLOOKUP(E$2, Percentiles!$A$45:$I$59, 8, FALSE), perc_85, perc_75 + (perc_90 - perc_75) * (2/3), converted_stat, '2K_Ratings'!E569, IF(bbgm_stat &gt;= perc_95, converted_stat * 3, IF(bbgm_stat &gt;= perc_90, converted_stat * 2, IF(bbgm_stat &gt;= perc_85, converted_stat * 1.5, converted_stat)))))</f>
        <v/>
      </c>
      <c r="F569" s="30" t="str">
        <f t="array" ref="F569">IF($A569="", "", LET(bbgm_stat, INDEX(Players!$A568:$P568, MATCH(F$2, Players!$A$1:$P$1, 0)), perc_75, VLOOKUP(F$2, Percentiles!$A$45:$I$59, 6, FALSE), perc_90, VLOOKUP(F$2, Percentiles!$A$45:$I$59, 7, FALSE), perc_95, VLOOKUP(F$2, Percentiles!$A$45:$I$59, 8, FALSE), perc_85, perc_75 + (perc_90 - perc_75) * (2/3), converted_stat, '2K_Ratings'!F569, IF(bbgm_stat &gt;= perc_95, converted_stat * 3, IF(bbgm_stat &gt;= perc_90, converted_stat * 2, IF(bbgm_stat &gt;= perc_85, converted_stat * 1.5, converted_stat)))))</f>
        <v/>
      </c>
      <c r="G569" s="30" t="str">
        <f t="array" ref="G569">IF($A569="", "", LET(bbgm_stat, INDEX(Players!$A568:$P568, MATCH(G$2, Players!$A$1:$P$1, 0)), perc_75, VLOOKUP(G$2, Percentiles!$A$45:$I$59, 6, FALSE), perc_90, VLOOKUP(G$2, Percentiles!$A$45:$I$59, 7, FALSE), perc_95, VLOOKUP(G$2, Percentiles!$A$45:$I$59, 8, FALSE), perc_85, perc_75 + (perc_90 - perc_75) * (2/3), converted_stat, '2K_Ratings'!G569, IF(bbgm_stat &gt;= perc_95, converted_stat * 3, IF(bbgm_stat &gt;= perc_90, converted_stat * 2, IF(bbgm_stat &gt;= perc_85, converted_stat * 1.5, converted_stat)))))</f>
        <v/>
      </c>
      <c r="H569" s="30" t="str">
        <f t="array" ref="H569">IF($A569="", "", LET(bbgm_stat, INDEX(Players!$A568:$P568, MATCH(H$2, Players!$A$1:$P$1, 0)), perc_75, VLOOKUP(H$2, Percentiles!$A$45:$I$59, 6, FALSE), perc_90, VLOOKUP(H$2, Percentiles!$A$45:$I$59, 7, FALSE), perc_95, VLOOKUP(H$2, Percentiles!$A$45:$I$59, 8, FALSE), perc_85, perc_75 + (perc_90 - perc_75) * (2/3), converted_stat, '2K_Ratings'!H569, IF(bbgm_stat &gt;= perc_95, converted_stat * 3, IF(bbgm_stat &gt;= perc_90, converted_stat * 2, IF(bbgm_stat &gt;= perc_85, converted_stat * 1.5, converted_stat)))))</f>
        <v/>
      </c>
      <c r="I569" s="30" t="str">
        <f t="array" ref="I569">IF($A569="", "", LET(bbgm_stat, INDEX(Players!$A568:$P568, MATCH(I$2, Players!$A$1:$P$1, 0)), perc_75, VLOOKUP(I$2, Percentiles!$A$45:$I$59, 6, FALSE), perc_90, VLOOKUP(I$2, Percentiles!$A$45:$I$59, 7, FALSE), perc_95, VLOOKUP(I$2, Percentiles!$A$45:$I$59, 8, FALSE), perc_85, perc_75 + (perc_90 - perc_75) * (2/3), converted_stat, '2K_Ratings'!I569, IF(bbgm_stat &gt;= perc_95, converted_stat * 3, IF(bbgm_stat &gt;= perc_90, converted_stat * 2, IF(bbgm_stat &gt;= perc_85, converted_stat * 1.5, converted_stat)))))</f>
        <v/>
      </c>
      <c r="J569" s="30" t="str">
        <f t="array" ref="J569">IF($A569="", "", LET(bbgm_stat, INDEX(Players!$A568:$P568, MATCH(J$2, Players!$A$1:$P$1, 0)), perc_75, VLOOKUP(J$2, Percentiles!$A$45:$I$59, 6, FALSE), perc_90, VLOOKUP(J$2, Percentiles!$A$45:$I$59, 7, FALSE), perc_95, VLOOKUP(J$2, Percentiles!$A$45:$I$59, 8, FALSE), perc_85, perc_75 + (perc_90 - perc_75) * (2/3), converted_stat, '2K_Ratings'!J569, IF(bbgm_stat &gt;= perc_95, converted_stat * 3, IF(bbgm_stat &gt;= perc_90, converted_stat * 2, IF(bbgm_stat &gt;= perc_85, converted_stat * 1.5, converted_stat)))))</f>
        <v/>
      </c>
      <c r="K569" s="30" t="str">
        <f t="array" ref="K569">IF($A569="", "", LET(bbgm_stat, INDEX(Players!$A568:$P568, MATCH(K$2, Players!$A$1:$P$1, 0)), perc_75, VLOOKUP(K$2, Percentiles!$A$45:$I$59, 6, FALSE), perc_90, VLOOKUP(K$2, Percentiles!$A$45:$I$59, 7, FALSE), perc_95, VLOOKUP(K$2, Percentiles!$A$45:$I$59, 8, FALSE), perc_85, perc_75 + (perc_90 - perc_75) * (2/3), converted_stat, '2K_Ratings'!K569, IF(bbgm_stat &gt;= perc_95, converted_stat * 3, IF(bbgm_stat &gt;= perc_90, converted_stat * 2, IF(bbgm_stat &gt;= perc_85, converted_stat * 1.5, converted_stat)))))</f>
        <v/>
      </c>
      <c r="L569" s="30" t="str">
        <f t="array" ref="L569">IF($A569="", "", LET(bbgm_stat, INDEX(Players!$A568:$P568, MATCH(L$2, Players!$A$1:$P$1, 0)), perc_75, VLOOKUP(L$2, Percentiles!$A$45:$I$59, 6, FALSE), perc_90, VLOOKUP(L$2, Percentiles!$A$45:$I$59, 7, FALSE), perc_95, VLOOKUP(L$2, Percentiles!$A$45:$I$59, 8, FALSE), perc_85, perc_75 + (perc_90 - perc_75) * (2/3), converted_stat, '2K_Ratings'!L569, IF(bbgm_stat &gt;= perc_95, converted_stat * 3, IF(bbgm_stat &gt;= perc_90, converted_stat * 2, IF(bbgm_stat &gt;= perc_85, converted_stat * 1.5, converted_stat)))))</f>
        <v/>
      </c>
      <c r="M569" s="30" t="str">
        <f t="array" ref="M569">IF($A569="", "", LET(bbgm_stat, INDEX(Players!$A568:$P568, MATCH(M$2, Players!$A$1:$P$1, 0)), perc_75, VLOOKUP(M$2, Percentiles!$A$45:$I$59, 6, FALSE), perc_90, VLOOKUP(M$2, Percentiles!$A$45:$I$59, 7, FALSE), perc_95, VLOOKUP(M$2, Percentiles!$A$45:$I$59, 8, FALSE), perc_85, perc_75 + (perc_90 - perc_75) * (2/3), converted_stat, '2K_Ratings'!M569, IF(bbgm_stat &gt;= perc_95, converted_stat * 3, IF(bbgm_stat &gt;= perc_90, converted_stat * 2, IF(bbgm_stat &gt;= perc_85, converted_stat * 1.5, converted_stat)))))</f>
        <v/>
      </c>
      <c r="N569" s="30" t="str">
        <f t="array" ref="N569">IF($A569="", "", LET(bbgm_stat, INDEX(Players!$A568:$P568, MATCH(N$2, Players!$A$1:$P$1, 0)), perc_75, VLOOKUP(N$2, Percentiles!$A$45:$I$59, 6, FALSE), perc_90, VLOOKUP(N$2, Percentiles!$A$45:$I$59, 7, FALSE), perc_95, VLOOKUP(N$2, Percentiles!$A$45:$I$59, 8, FALSE), perc_85, perc_75 + (perc_90 - perc_75) * (2/3), converted_stat, '2K_Ratings'!N569, IF(bbgm_stat &gt;= perc_95, converted_stat * 3, IF(bbgm_stat &gt;= perc_90, converted_stat * 2, IF(bbgm_stat &gt;= perc_85, converted_stat * 1.5, converted_stat)))))</f>
        <v/>
      </c>
      <c r="O569" s="30" t="str">
        <f t="array" ref="O569">IF($A569="", "", LET(bbgm_stat, INDEX(Players!$A568:$P568, MATCH(O$2, Players!$A$1:$P$1, 0)), perc_75, VLOOKUP(O$2, Percentiles!$A$45:$I$59, 6, FALSE), perc_90, VLOOKUP(O$2, Percentiles!$A$45:$I$59, 7, FALSE), perc_95, VLOOKUP(O$2, Percentiles!$A$45:$I$59, 8, FALSE), perc_85, perc_75 + (perc_90 - perc_75) * (2/3), converted_stat, '2K_Ratings'!O569, IF(bbgm_stat &gt;= perc_95, converted_stat * 3, IF(bbgm_stat &gt;= perc_90, converted_stat * 2, IF(bbgm_stat &gt;= perc_85, converted_stat * 1.5, converted_stat)))))</f>
        <v/>
      </c>
      <c r="P569" s="30" t="str">
        <f t="array" ref="P569">IF($A569="", "", LET(bbgm_stat, INDEX(Players!$A568:$P568, MATCH(P$2, Players!$A$1:$P$1, 0)), perc_75, VLOOKUP(P$2, Percentiles!$A$45:$I$59, 6, FALSE), perc_90, VLOOKUP(P$2, Percentiles!$A$45:$I$59, 7, FALSE), perc_95, VLOOKUP(P$2, Percentiles!$A$45:$I$59, 8, FALSE), perc_85, perc_75 + (perc_90 - perc_75) * (2/3), converted_stat, '2K_Ratings'!P569, IF(bbgm_stat &gt;= perc_95, converted_stat * 3, IF(bbgm_stat &gt;= perc_90, converted_stat * 2, IF(bbgm_stat &gt;= perc_85, converted_stat * 1.5, converted_stat)))))</f>
        <v/>
      </c>
      <c r="Q569" s="30" t="str">
        <f t="array" ref="Q569">IF($A569="", "", LET(bbgm_stat, INDEX(Players!$A568:$P568, MATCH(Q$2, Players!$A$1:$P$1, 0)), perc_75, VLOOKUP(Q$2, Percentiles!$A$45:$I$59, 6, FALSE), perc_90, VLOOKUP(Q$2, Percentiles!$A$45:$I$59, 7, FALSE), perc_95, VLOOKUP(Q$2, Percentiles!$A$45:$I$59, 8, FALSE), perc_85, perc_75 + (perc_90 - perc_75) * (2/3), converted_stat, '2K_Ratings'!Q569, IF(bbgm_stat &gt;= perc_95, converted_stat * 3, IF(bbgm_stat &gt;= perc_90, converted_stat * 2, IF(bbgm_stat &gt;= perc_85, converted_stat * 1.5, converted_stat)))))</f>
        <v/>
      </c>
      <c r="R569" s="30" t="str">
        <f t="array" ref="R569">IF($A569="", "", LET(bbgm_stat, INDEX(Players!$A568:$P568, MATCH(R$2, Players!$A$1:$P$1, 0)), perc_75, VLOOKUP(R$2, Percentiles!$A$45:$I$59, 6, FALSE), perc_90, VLOOKUP(R$2, Percentiles!$A$45:$I$59, 7, FALSE), perc_95, VLOOKUP(R$2, Percentiles!$A$45:$I$59, 8, FALSE), perc_85, perc_75 + (perc_90 - perc_75) * (2/3), converted_stat, '2K_Ratings'!R569, IF(bbgm_stat &gt;= perc_95, converted_stat * 3, IF(bbgm_stat &gt;= perc_90, converted_stat * 2, IF(bbgm_stat &gt;= perc_85, converted_stat * 1.5, converted_stat)))))</f>
        <v/>
      </c>
      <c r="S569" s="30" t="str">
        <f t="array" ref="S569">IF($A569="", "", LET(bbgm_stat, INDEX(Players!$A568:$P568, MATCH(S$2, Players!$A$1:$P$1, 0)), perc_75, VLOOKUP(S$2, Percentiles!$A$45:$I$59, 6, FALSE), perc_90, VLOOKUP(S$2, Percentiles!$A$45:$I$59, 7, FALSE), perc_95, VLOOKUP(S$2, Percentiles!$A$45:$I$59, 8, FALSE), perc_85, perc_75 + (perc_90 - perc_75) * (2/3), converted_stat, '2K_Ratings'!S569, IF(bbgm_stat &gt;= perc_95, converted_stat * 3, IF(bbgm_stat &gt;= perc_90, converted_stat * 2, IF(bbgm_stat &gt;= perc_85, converted_stat * 1.5, converted_stat)))))</f>
        <v/>
      </c>
      <c r="T569" s="30" t="str">
        <f t="array" ref="T569">IF($A569="", "", LET(bbgm_stat, INDEX(Players!$A568:$P568, MATCH(T$2, Players!$A$1:$P$1, 0)), perc_75, VLOOKUP(T$2, Percentiles!$A$45:$I$59, 6, FALSE), perc_90, VLOOKUP(T$2, Percentiles!$A$45:$I$59, 7, FALSE), perc_95, VLOOKUP(T$2, Percentiles!$A$45:$I$59, 8, FALSE), perc_85, perc_75 + (perc_90 - perc_75) * (2/3), converted_stat, '2K_Ratings'!T569, IF(bbgm_stat &gt;= perc_95, converted_stat * 3, IF(bbgm_stat &gt;= perc_90, converted_stat * 2, IF(bbgm_stat &gt;= perc_85, converted_stat * 1.5, converted_stat)))))</f>
        <v/>
      </c>
      <c r="U569" s="30" t="str">
        <f t="array" ref="U569">IF($A569="", "", LET(bbgm_stat, INDEX(Players!$A568:$P568, MATCH(U$2, Players!$A$1:$P$1, 0)), perc_75, VLOOKUP(U$2, Percentiles!$A$45:$I$59, 6, FALSE), perc_90, VLOOKUP(U$2, Percentiles!$A$45:$I$59, 7, FALSE), perc_95, VLOOKUP(U$2, Percentiles!$A$45:$I$59, 8, FALSE), perc_85, perc_75 + (perc_90 - perc_75) * (2/3), converted_stat, '2K_Ratings'!U569, IF(bbgm_stat &gt;= perc_95, converted_stat * 3, IF(bbgm_stat &gt;= perc_90, converted_stat * 2, IF(bbgm_stat &gt;= perc_85, converted_stat * 1.5, converted_stat)))))</f>
        <v/>
      </c>
      <c r="V569" s="30" t="str">
        <f t="array" ref="V569">IF($A569="", "", LET(bbgm_stat, INDEX(Players!$A568:$P568, MATCH(V$2, Players!$A$1:$P$1, 0)), perc_75, VLOOKUP(V$2, Percentiles!$A$45:$I$59, 6, FALSE), perc_90, VLOOKUP(V$2, Percentiles!$A$45:$I$59, 7, FALSE), perc_95, VLOOKUP(V$2, Percentiles!$A$45:$I$59, 8, FALSE), perc_85, perc_75 + (perc_90 - perc_75) * (2/3), converted_stat, '2K_Ratings'!V569, IF(bbgm_stat &gt;= perc_95, converted_stat * 3, IF(bbgm_stat &gt;= perc_90, converted_stat * 2, IF(bbgm_stat &gt;= perc_85, converted_stat * 1.5, converted_stat)))))</f>
        <v/>
      </c>
      <c r="W569" s="30" t="str">
        <f t="array" ref="W569">IF($A569="", "", LET(bbgm_stat, INDEX(Players!$A568:$P568, MATCH(W$2, Players!$A$1:$P$1, 0)), perc_75, VLOOKUP(W$2, Percentiles!$A$45:$I$59, 6, FALSE), perc_90, VLOOKUP(W$2, Percentiles!$A$45:$I$59, 7, FALSE), perc_95, VLOOKUP(W$2, Percentiles!$A$45:$I$59, 8, FALSE), perc_85, perc_75 + (perc_90 - perc_75) * (2/3), converted_stat, '2K_Ratings'!W569, IF(bbgm_stat &gt;= perc_95, converted_stat * 3, IF(bbgm_stat &gt;= perc_90, converted_stat * 2, IF(bbgm_stat &gt;= perc_85, converted_stat * 1.5, converted_stat)))))</f>
        <v/>
      </c>
    </row>
    <row r="570">
      <c r="A570" s="30"/>
      <c r="B570" s="30" t="str">
        <f t="array" ref="B570">IF($A570="", "", LET(bbgm_stat, INDEX(Players!$A569:$P569, MATCH(B$2, Players!$A$1:$P$1, 0)), perc_75, VLOOKUP(B$2, Percentiles!$A$45:$I$59, 6, FALSE), perc_90, VLOOKUP(B$2, Percentiles!$A$45:$I$59, 7, FALSE), perc_95, VLOOKUP(B$2, Percentiles!$A$45:$I$59, 8, FALSE), perc_85, perc_75 + (perc_90 - perc_75) * (2/3), converted_stat, '2K_Ratings'!B570, IF(bbgm_stat &gt;= perc_95, converted_stat * 3, IF(bbgm_stat &gt;= perc_90, converted_stat * 2, IF(bbgm_stat &gt;= perc_85, converted_stat * 1.5, converted_stat)))))</f>
        <v/>
      </c>
      <c r="C570" s="30" t="str">
        <f t="array" ref="C570">IF($A570="", "", LET(bbgm_stat, INDEX(Players!$A569:$P569, MATCH(C$2, Players!$A$1:$P$1, 0)), perc_75, VLOOKUP(C$2, Percentiles!$A$45:$I$59, 6, FALSE), perc_90, VLOOKUP(C$2, Percentiles!$A$45:$I$59, 7, FALSE), perc_95, VLOOKUP(C$2, Percentiles!$A$45:$I$59, 8, FALSE), perc_85, perc_75 + (perc_90 - perc_75) * (2/3), converted_stat, '2K_Ratings'!C570, IF(bbgm_stat &gt;= perc_95, converted_stat * 3, IF(bbgm_stat &gt;= perc_90, converted_stat * 2, IF(bbgm_stat &gt;= perc_85, converted_stat * 1.5, converted_stat)))))</f>
        <v/>
      </c>
      <c r="D570" s="30" t="str">
        <f t="array" ref="D570">IF($A570="", "", LET(bbgm_stat, INDEX(Players!$A569:$P569, MATCH(D$2, Players!$A$1:$P$1, 0)), perc_75, VLOOKUP(D$2, Percentiles!$A$45:$I$59, 6, FALSE), perc_90, VLOOKUP(D$2, Percentiles!$A$45:$I$59, 7, FALSE), perc_95, VLOOKUP(D$2, Percentiles!$A$45:$I$59, 8, FALSE), perc_85, perc_75 + (perc_90 - perc_75) * (2/3), converted_stat, '2K_Ratings'!D570, IF(bbgm_stat &gt;= perc_95, converted_stat * 3, IF(bbgm_stat &gt;= perc_90, converted_stat * 2, IF(bbgm_stat &gt;= perc_85, converted_stat * 1.5, converted_stat)))))</f>
        <v/>
      </c>
      <c r="E570" s="30" t="str">
        <f t="array" ref="E570">IF($A570="", "", LET(bbgm_stat, INDEX(Players!$A569:$P569, MATCH(E$2, Players!$A$1:$P$1, 0)), perc_75, VLOOKUP(E$2, Percentiles!$A$45:$I$59, 6, FALSE), perc_90, VLOOKUP(E$2, Percentiles!$A$45:$I$59, 7, FALSE), perc_95, VLOOKUP(E$2, Percentiles!$A$45:$I$59, 8, FALSE), perc_85, perc_75 + (perc_90 - perc_75) * (2/3), converted_stat, '2K_Ratings'!E570, IF(bbgm_stat &gt;= perc_95, converted_stat * 3, IF(bbgm_stat &gt;= perc_90, converted_stat * 2, IF(bbgm_stat &gt;= perc_85, converted_stat * 1.5, converted_stat)))))</f>
        <v/>
      </c>
      <c r="F570" s="30" t="str">
        <f t="array" ref="F570">IF($A570="", "", LET(bbgm_stat, INDEX(Players!$A569:$P569, MATCH(F$2, Players!$A$1:$P$1, 0)), perc_75, VLOOKUP(F$2, Percentiles!$A$45:$I$59, 6, FALSE), perc_90, VLOOKUP(F$2, Percentiles!$A$45:$I$59, 7, FALSE), perc_95, VLOOKUP(F$2, Percentiles!$A$45:$I$59, 8, FALSE), perc_85, perc_75 + (perc_90 - perc_75) * (2/3), converted_stat, '2K_Ratings'!F570, IF(bbgm_stat &gt;= perc_95, converted_stat * 3, IF(bbgm_stat &gt;= perc_90, converted_stat * 2, IF(bbgm_stat &gt;= perc_85, converted_stat * 1.5, converted_stat)))))</f>
        <v/>
      </c>
      <c r="G570" s="30" t="str">
        <f t="array" ref="G570">IF($A570="", "", LET(bbgm_stat, INDEX(Players!$A569:$P569, MATCH(G$2, Players!$A$1:$P$1, 0)), perc_75, VLOOKUP(G$2, Percentiles!$A$45:$I$59, 6, FALSE), perc_90, VLOOKUP(G$2, Percentiles!$A$45:$I$59, 7, FALSE), perc_95, VLOOKUP(G$2, Percentiles!$A$45:$I$59, 8, FALSE), perc_85, perc_75 + (perc_90 - perc_75) * (2/3), converted_stat, '2K_Ratings'!G570, IF(bbgm_stat &gt;= perc_95, converted_stat * 3, IF(bbgm_stat &gt;= perc_90, converted_stat * 2, IF(bbgm_stat &gt;= perc_85, converted_stat * 1.5, converted_stat)))))</f>
        <v/>
      </c>
      <c r="H570" s="30" t="str">
        <f t="array" ref="H570">IF($A570="", "", LET(bbgm_stat, INDEX(Players!$A569:$P569, MATCH(H$2, Players!$A$1:$P$1, 0)), perc_75, VLOOKUP(H$2, Percentiles!$A$45:$I$59, 6, FALSE), perc_90, VLOOKUP(H$2, Percentiles!$A$45:$I$59, 7, FALSE), perc_95, VLOOKUP(H$2, Percentiles!$A$45:$I$59, 8, FALSE), perc_85, perc_75 + (perc_90 - perc_75) * (2/3), converted_stat, '2K_Ratings'!H570, IF(bbgm_stat &gt;= perc_95, converted_stat * 3, IF(bbgm_stat &gt;= perc_90, converted_stat * 2, IF(bbgm_stat &gt;= perc_85, converted_stat * 1.5, converted_stat)))))</f>
        <v/>
      </c>
      <c r="I570" s="30" t="str">
        <f t="array" ref="I570">IF($A570="", "", LET(bbgm_stat, INDEX(Players!$A569:$P569, MATCH(I$2, Players!$A$1:$P$1, 0)), perc_75, VLOOKUP(I$2, Percentiles!$A$45:$I$59, 6, FALSE), perc_90, VLOOKUP(I$2, Percentiles!$A$45:$I$59, 7, FALSE), perc_95, VLOOKUP(I$2, Percentiles!$A$45:$I$59, 8, FALSE), perc_85, perc_75 + (perc_90 - perc_75) * (2/3), converted_stat, '2K_Ratings'!I570, IF(bbgm_stat &gt;= perc_95, converted_stat * 3, IF(bbgm_stat &gt;= perc_90, converted_stat * 2, IF(bbgm_stat &gt;= perc_85, converted_stat * 1.5, converted_stat)))))</f>
        <v/>
      </c>
      <c r="J570" s="30" t="str">
        <f t="array" ref="J570">IF($A570="", "", LET(bbgm_stat, INDEX(Players!$A569:$P569, MATCH(J$2, Players!$A$1:$P$1, 0)), perc_75, VLOOKUP(J$2, Percentiles!$A$45:$I$59, 6, FALSE), perc_90, VLOOKUP(J$2, Percentiles!$A$45:$I$59, 7, FALSE), perc_95, VLOOKUP(J$2, Percentiles!$A$45:$I$59, 8, FALSE), perc_85, perc_75 + (perc_90 - perc_75) * (2/3), converted_stat, '2K_Ratings'!J570, IF(bbgm_stat &gt;= perc_95, converted_stat * 3, IF(bbgm_stat &gt;= perc_90, converted_stat * 2, IF(bbgm_stat &gt;= perc_85, converted_stat * 1.5, converted_stat)))))</f>
        <v/>
      </c>
      <c r="K570" s="30" t="str">
        <f t="array" ref="K570">IF($A570="", "", LET(bbgm_stat, INDEX(Players!$A569:$P569, MATCH(K$2, Players!$A$1:$P$1, 0)), perc_75, VLOOKUP(K$2, Percentiles!$A$45:$I$59, 6, FALSE), perc_90, VLOOKUP(K$2, Percentiles!$A$45:$I$59, 7, FALSE), perc_95, VLOOKUP(K$2, Percentiles!$A$45:$I$59, 8, FALSE), perc_85, perc_75 + (perc_90 - perc_75) * (2/3), converted_stat, '2K_Ratings'!K570, IF(bbgm_stat &gt;= perc_95, converted_stat * 3, IF(bbgm_stat &gt;= perc_90, converted_stat * 2, IF(bbgm_stat &gt;= perc_85, converted_stat * 1.5, converted_stat)))))</f>
        <v/>
      </c>
      <c r="L570" s="30" t="str">
        <f t="array" ref="L570">IF($A570="", "", LET(bbgm_stat, INDEX(Players!$A569:$P569, MATCH(L$2, Players!$A$1:$P$1, 0)), perc_75, VLOOKUP(L$2, Percentiles!$A$45:$I$59, 6, FALSE), perc_90, VLOOKUP(L$2, Percentiles!$A$45:$I$59, 7, FALSE), perc_95, VLOOKUP(L$2, Percentiles!$A$45:$I$59, 8, FALSE), perc_85, perc_75 + (perc_90 - perc_75) * (2/3), converted_stat, '2K_Ratings'!L570, IF(bbgm_stat &gt;= perc_95, converted_stat * 3, IF(bbgm_stat &gt;= perc_90, converted_stat * 2, IF(bbgm_stat &gt;= perc_85, converted_stat * 1.5, converted_stat)))))</f>
        <v/>
      </c>
      <c r="M570" s="30" t="str">
        <f t="array" ref="M570">IF($A570="", "", LET(bbgm_stat, INDEX(Players!$A569:$P569, MATCH(M$2, Players!$A$1:$P$1, 0)), perc_75, VLOOKUP(M$2, Percentiles!$A$45:$I$59, 6, FALSE), perc_90, VLOOKUP(M$2, Percentiles!$A$45:$I$59, 7, FALSE), perc_95, VLOOKUP(M$2, Percentiles!$A$45:$I$59, 8, FALSE), perc_85, perc_75 + (perc_90 - perc_75) * (2/3), converted_stat, '2K_Ratings'!M570, IF(bbgm_stat &gt;= perc_95, converted_stat * 3, IF(bbgm_stat &gt;= perc_90, converted_stat * 2, IF(bbgm_stat &gt;= perc_85, converted_stat * 1.5, converted_stat)))))</f>
        <v/>
      </c>
      <c r="N570" s="30" t="str">
        <f t="array" ref="N570">IF($A570="", "", LET(bbgm_stat, INDEX(Players!$A569:$P569, MATCH(N$2, Players!$A$1:$P$1, 0)), perc_75, VLOOKUP(N$2, Percentiles!$A$45:$I$59, 6, FALSE), perc_90, VLOOKUP(N$2, Percentiles!$A$45:$I$59, 7, FALSE), perc_95, VLOOKUP(N$2, Percentiles!$A$45:$I$59, 8, FALSE), perc_85, perc_75 + (perc_90 - perc_75) * (2/3), converted_stat, '2K_Ratings'!N570, IF(bbgm_stat &gt;= perc_95, converted_stat * 3, IF(bbgm_stat &gt;= perc_90, converted_stat * 2, IF(bbgm_stat &gt;= perc_85, converted_stat * 1.5, converted_stat)))))</f>
        <v/>
      </c>
      <c r="O570" s="30" t="str">
        <f t="array" ref="O570">IF($A570="", "", LET(bbgm_stat, INDEX(Players!$A569:$P569, MATCH(O$2, Players!$A$1:$P$1, 0)), perc_75, VLOOKUP(O$2, Percentiles!$A$45:$I$59, 6, FALSE), perc_90, VLOOKUP(O$2, Percentiles!$A$45:$I$59, 7, FALSE), perc_95, VLOOKUP(O$2, Percentiles!$A$45:$I$59, 8, FALSE), perc_85, perc_75 + (perc_90 - perc_75) * (2/3), converted_stat, '2K_Ratings'!O570, IF(bbgm_stat &gt;= perc_95, converted_stat * 3, IF(bbgm_stat &gt;= perc_90, converted_stat * 2, IF(bbgm_stat &gt;= perc_85, converted_stat * 1.5, converted_stat)))))</f>
        <v/>
      </c>
      <c r="P570" s="30" t="str">
        <f t="array" ref="P570">IF($A570="", "", LET(bbgm_stat, INDEX(Players!$A569:$P569, MATCH(P$2, Players!$A$1:$P$1, 0)), perc_75, VLOOKUP(P$2, Percentiles!$A$45:$I$59, 6, FALSE), perc_90, VLOOKUP(P$2, Percentiles!$A$45:$I$59, 7, FALSE), perc_95, VLOOKUP(P$2, Percentiles!$A$45:$I$59, 8, FALSE), perc_85, perc_75 + (perc_90 - perc_75) * (2/3), converted_stat, '2K_Ratings'!P570, IF(bbgm_stat &gt;= perc_95, converted_stat * 3, IF(bbgm_stat &gt;= perc_90, converted_stat * 2, IF(bbgm_stat &gt;= perc_85, converted_stat * 1.5, converted_stat)))))</f>
        <v/>
      </c>
      <c r="Q570" s="30" t="str">
        <f t="array" ref="Q570">IF($A570="", "", LET(bbgm_stat, INDEX(Players!$A569:$P569, MATCH(Q$2, Players!$A$1:$P$1, 0)), perc_75, VLOOKUP(Q$2, Percentiles!$A$45:$I$59, 6, FALSE), perc_90, VLOOKUP(Q$2, Percentiles!$A$45:$I$59, 7, FALSE), perc_95, VLOOKUP(Q$2, Percentiles!$A$45:$I$59, 8, FALSE), perc_85, perc_75 + (perc_90 - perc_75) * (2/3), converted_stat, '2K_Ratings'!Q570, IF(bbgm_stat &gt;= perc_95, converted_stat * 3, IF(bbgm_stat &gt;= perc_90, converted_stat * 2, IF(bbgm_stat &gt;= perc_85, converted_stat * 1.5, converted_stat)))))</f>
        <v/>
      </c>
      <c r="R570" s="30" t="str">
        <f t="array" ref="R570">IF($A570="", "", LET(bbgm_stat, INDEX(Players!$A569:$P569, MATCH(R$2, Players!$A$1:$P$1, 0)), perc_75, VLOOKUP(R$2, Percentiles!$A$45:$I$59, 6, FALSE), perc_90, VLOOKUP(R$2, Percentiles!$A$45:$I$59, 7, FALSE), perc_95, VLOOKUP(R$2, Percentiles!$A$45:$I$59, 8, FALSE), perc_85, perc_75 + (perc_90 - perc_75) * (2/3), converted_stat, '2K_Ratings'!R570, IF(bbgm_stat &gt;= perc_95, converted_stat * 3, IF(bbgm_stat &gt;= perc_90, converted_stat * 2, IF(bbgm_stat &gt;= perc_85, converted_stat * 1.5, converted_stat)))))</f>
        <v/>
      </c>
      <c r="S570" s="30" t="str">
        <f t="array" ref="S570">IF($A570="", "", LET(bbgm_stat, INDEX(Players!$A569:$P569, MATCH(S$2, Players!$A$1:$P$1, 0)), perc_75, VLOOKUP(S$2, Percentiles!$A$45:$I$59, 6, FALSE), perc_90, VLOOKUP(S$2, Percentiles!$A$45:$I$59, 7, FALSE), perc_95, VLOOKUP(S$2, Percentiles!$A$45:$I$59, 8, FALSE), perc_85, perc_75 + (perc_90 - perc_75) * (2/3), converted_stat, '2K_Ratings'!S570, IF(bbgm_stat &gt;= perc_95, converted_stat * 3, IF(bbgm_stat &gt;= perc_90, converted_stat * 2, IF(bbgm_stat &gt;= perc_85, converted_stat * 1.5, converted_stat)))))</f>
        <v/>
      </c>
      <c r="T570" s="30" t="str">
        <f t="array" ref="T570">IF($A570="", "", LET(bbgm_stat, INDEX(Players!$A569:$P569, MATCH(T$2, Players!$A$1:$P$1, 0)), perc_75, VLOOKUP(T$2, Percentiles!$A$45:$I$59, 6, FALSE), perc_90, VLOOKUP(T$2, Percentiles!$A$45:$I$59, 7, FALSE), perc_95, VLOOKUP(T$2, Percentiles!$A$45:$I$59, 8, FALSE), perc_85, perc_75 + (perc_90 - perc_75) * (2/3), converted_stat, '2K_Ratings'!T570, IF(bbgm_stat &gt;= perc_95, converted_stat * 3, IF(bbgm_stat &gt;= perc_90, converted_stat * 2, IF(bbgm_stat &gt;= perc_85, converted_stat * 1.5, converted_stat)))))</f>
        <v/>
      </c>
      <c r="U570" s="30" t="str">
        <f t="array" ref="U570">IF($A570="", "", LET(bbgm_stat, INDEX(Players!$A569:$P569, MATCH(U$2, Players!$A$1:$P$1, 0)), perc_75, VLOOKUP(U$2, Percentiles!$A$45:$I$59, 6, FALSE), perc_90, VLOOKUP(U$2, Percentiles!$A$45:$I$59, 7, FALSE), perc_95, VLOOKUP(U$2, Percentiles!$A$45:$I$59, 8, FALSE), perc_85, perc_75 + (perc_90 - perc_75) * (2/3), converted_stat, '2K_Ratings'!U570, IF(bbgm_stat &gt;= perc_95, converted_stat * 3, IF(bbgm_stat &gt;= perc_90, converted_stat * 2, IF(bbgm_stat &gt;= perc_85, converted_stat * 1.5, converted_stat)))))</f>
        <v/>
      </c>
      <c r="V570" s="30" t="str">
        <f t="array" ref="V570">IF($A570="", "", LET(bbgm_stat, INDEX(Players!$A569:$P569, MATCH(V$2, Players!$A$1:$P$1, 0)), perc_75, VLOOKUP(V$2, Percentiles!$A$45:$I$59, 6, FALSE), perc_90, VLOOKUP(V$2, Percentiles!$A$45:$I$59, 7, FALSE), perc_95, VLOOKUP(V$2, Percentiles!$A$45:$I$59, 8, FALSE), perc_85, perc_75 + (perc_90 - perc_75) * (2/3), converted_stat, '2K_Ratings'!V570, IF(bbgm_stat &gt;= perc_95, converted_stat * 3, IF(bbgm_stat &gt;= perc_90, converted_stat * 2, IF(bbgm_stat &gt;= perc_85, converted_stat * 1.5, converted_stat)))))</f>
        <v/>
      </c>
      <c r="W570" s="30" t="str">
        <f t="array" ref="W570">IF($A570="", "", LET(bbgm_stat, INDEX(Players!$A569:$P569, MATCH(W$2, Players!$A$1:$P$1, 0)), perc_75, VLOOKUP(W$2, Percentiles!$A$45:$I$59, 6, FALSE), perc_90, VLOOKUP(W$2, Percentiles!$A$45:$I$59, 7, FALSE), perc_95, VLOOKUP(W$2, Percentiles!$A$45:$I$59, 8, FALSE), perc_85, perc_75 + (perc_90 - perc_75) * (2/3), converted_stat, '2K_Ratings'!W570, IF(bbgm_stat &gt;= perc_95, converted_stat * 3, IF(bbgm_stat &gt;= perc_90, converted_stat * 2, IF(bbgm_stat &gt;= perc_85, converted_stat * 1.5, converted_stat)))))</f>
        <v/>
      </c>
    </row>
    <row r="571">
      <c r="A571" s="30"/>
      <c r="B571" s="30" t="str">
        <f t="array" ref="B571">IF($A571="", "", LET(bbgm_stat, INDEX(Players!$A570:$P570, MATCH(B$2, Players!$A$1:$P$1, 0)), perc_75, VLOOKUP(B$2, Percentiles!$A$45:$I$59, 6, FALSE), perc_90, VLOOKUP(B$2, Percentiles!$A$45:$I$59, 7, FALSE), perc_95, VLOOKUP(B$2, Percentiles!$A$45:$I$59, 8, FALSE), perc_85, perc_75 + (perc_90 - perc_75) * (2/3), converted_stat, '2K_Ratings'!B571, IF(bbgm_stat &gt;= perc_95, converted_stat * 3, IF(bbgm_stat &gt;= perc_90, converted_stat * 2, IF(bbgm_stat &gt;= perc_85, converted_stat * 1.5, converted_stat)))))</f>
        <v/>
      </c>
      <c r="C571" s="30" t="str">
        <f t="array" ref="C571">IF($A571="", "", LET(bbgm_stat, INDEX(Players!$A570:$P570, MATCH(C$2, Players!$A$1:$P$1, 0)), perc_75, VLOOKUP(C$2, Percentiles!$A$45:$I$59, 6, FALSE), perc_90, VLOOKUP(C$2, Percentiles!$A$45:$I$59, 7, FALSE), perc_95, VLOOKUP(C$2, Percentiles!$A$45:$I$59, 8, FALSE), perc_85, perc_75 + (perc_90 - perc_75) * (2/3), converted_stat, '2K_Ratings'!C571, IF(bbgm_stat &gt;= perc_95, converted_stat * 3, IF(bbgm_stat &gt;= perc_90, converted_stat * 2, IF(bbgm_stat &gt;= perc_85, converted_stat * 1.5, converted_stat)))))</f>
        <v/>
      </c>
      <c r="D571" s="30" t="str">
        <f t="array" ref="D571">IF($A571="", "", LET(bbgm_stat, INDEX(Players!$A570:$P570, MATCH(D$2, Players!$A$1:$P$1, 0)), perc_75, VLOOKUP(D$2, Percentiles!$A$45:$I$59, 6, FALSE), perc_90, VLOOKUP(D$2, Percentiles!$A$45:$I$59, 7, FALSE), perc_95, VLOOKUP(D$2, Percentiles!$A$45:$I$59, 8, FALSE), perc_85, perc_75 + (perc_90 - perc_75) * (2/3), converted_stat, '2K_Ratings'!D571, IF(bbgm_stat &gt;= perc_95, converted_stat * 3, IF(bbgm_stat &gt;= perc_90, converted_stat * 2, IF(bbgm_stat &gt;= perc_85, converted_stat * 1.5, converted_stat)))))</f>
        <v/>
      </c>
      <c r="E571" s="30" t="str">
        <f t="array" ref="E571">IF($A571="", "", LET(bbgm_stat, INDEX(Players!$A570:$P570, MATCH(E$2, Players!$A$1:$P$1, 0)), perc_75, VLOOKUP(E$2, Percentiles!$A$45:$I$59, 6, FALSE), perc_90, VLOOKUP(E$2, Percentiles!$A$45:$I$59, 7, FALSE), perc_95, VLOOKUP(E$2, Percentiles!$A$45:$I$59, 8, FALSE), perc_85, perc_75 + (perc_90 - perc_75) * (2/3), converted_stat, '2K_Ratings'!E571, IF(bbgm_stat &gt;= perc_95, converted_stat * 3, IF(bbgm_stat &gt;= perc_90, converted_stat * 2, IF(bbgm_stat &gt;= perc_85, converted_stat * 1.5, converted_stat)))))</f>
        <v/>
      </c>
      <c r="F571" s="30" t="str">
        <f t="array" ref="F571">IF($A571="", "", LET(bbgm_stat, INDEX(Players!$A570:$P570, MATCH(F$2, Players!$A$1:$P$1, 0)), perc_75, VLOOKUP(F$2, Percentiles!$A$45:$I$59, 6, FALSE), perc_90, VLOOKUP(F$2, Percentiles!$A$45:$I$59, 7, FALSE), perc_95, VLOOKUP(F$2, Percentiles!$A$45:$I$59, 8, FALSE), perc_85, perc_75 + (perc_90 - perc_75) * (2/3), converted_stat, '2K_Ratings'!F571, IF(bbgm_stat &gt;= perc_95, converted_stat * 3, IF(bbgm_stat &gt;= perc_90, converted_stat * 2, IF(bbgm_stat &gt;= perc_85, converted_stat * 1.5, converted_stat)))))</f>
        <v/>
      </c>
      <c r="G571" s="30" t="str">
        <f t="array" ref="G571">IF($A571="", "", LET(bbgm_stat, INDEX(Players!$A570:$P570, MATCH(G$2, Players!$A$1:$P$1, 0)), perc_75, VLOOKUP(G$2, Percentiles!$A$45:$I$59, 6, FALSE), perc_90, VLOOKUP(G$2, Percentiles!$A$45:$I$59, 7, FALSE), perc_95, VLOOKUP(G$2, Percentiles!$A$45:$I$59, 8, FALSE), perc_85, perc_75 + (perc_90 - perc_75) * (2/3), converted_stat, '2K_Ratings'!G571, IF(bbgm_stat &gt;= perc_95, converted_stat * 3, IF(bbgm_stat &gt;= perc_90, converted_stat * 2, IF(bbgm_stat &gt;= perc_85, converted_stat * 1.5, converted_stat)))))</f>
        <v/>
      </c>
      <c r="H571" s="30" t="str">
        <f t="array" ref="H571">IF($A571="", "", LET(bbgm_stat, INDEX(Players!$A570:$P570, MATCH(H$2, Players!$A$1:$P$1, 0)), perc_75, VLOOKUP(H$2, Percentiles!$A$45:$I$59, 6, FALSE), perc_90, VLOOKUP(H$2, Percentiles!$A$45:$I$59, 7, FALSE), perc_95, VLOOKUP(H$2, Percentiles!$A$45:$I$59, 8, FALSE), perc_85, perc_75 + (perc_90 - perc_75) * (2/3), converted_stat, '2K_Ratings'!H571, IF(bbgm_stat &gt;= perc_95, converted_stat * 3, IF(bbgm_stat &gt;= perc_90, converted_stat * 2, IF(bbgm_stat &gt;= perc_85, converted_stat * 1.5, converted_stat)))))</f>
        <v/>
      </c>
      <c r="I571" s="30" t="str">
        <f t="array" ref="I571">IF($A571="", "", LET(bbgm_stat, INDEX(Players!$A570:$P570, MATCH(I$2, Players!$A$1:$P$1, 0)), perc_75, VLOOKUP(I$2, Percentiles!$A$45:$I$59, 6, FALSE), perc_90, VLOOKUP(I$2, Percentiles!$A$45:$I$59, 7, FALSE), perc_95, VLOOKUP(I$2, Percentiles!$A$45:$I$59, 8, FALSE), perc_85, perc_75 + (perc_90 - perc_75) * (2/3), converted_stat, '2K_Ratings'!I571, IF(bbgm_stat &gt;= perc_95, converted_stat * 3, IF(bbgm_stat &gt;= perc_90, converted_stat * 2, IF(bbgm_stat &gt;= perc_85, converted_stat * 1.5, converted_stat)))))</f>
        <v/>
      </c>
      <c r="J571" s="30" t="str">
        <f t="array" ref="J571">IF($A571="", "", LET(bbgm_stat, INDEX(Players!$A570:$P570, MATCH(J$2, Players!$A$1:$P$1, 0)), perc_75, VLOOKUP(J$2, Percentiles!$A$45:$I$59, 6, FALSE), perc_90, VLOOKUP(J$2, Percentiles!$A$45:$I$59, 7, FALSE), perc_95, VLOOKUP(J$2, Percentiles!$A$45:$I$59, 8, FALSE), perc_85, perc_75 + (perc_90 - perc_75) * (2/3), converted_stat, '2K_Ratings'!J571, IF(bbgm_stat &gt;= perc_95, converted_stat * 3, IF(bbgm_stat &gt;= perc_90, converted_stat * 2, IF(bbgm_stat &gt;= perc_85, converted_stat * 1.5, converted_stat)))))</f>
        <v/>
      </c>
      <c r="K571" s="30" t="str">
        <f t="array" ref="K571">IF($A571="", "", LET(bbgm_stat, INDEX(Players!$A570:$P570, MATCH(K$2, Players!$A$1:$P$1, 0)), perc_75, VLOOKUP(K$2, Percentiles!$A$45:$I$59, 6, FALSE), perc_90, VLOOKUP(K$2, Percentiles!$A$45:$I$59, 7, FALSE), perc_95, VLOOKUP(K$2, Percentiles!$A$45:$I$59, 8, FALSE), perc_85, perc_75 + (perc_90 - perc_75) * (2/3), converted_stat, '2K_Ratings'!K571, IF(bbgm_stat &gt;= perc_95, converted_stat * 3, IF(bbgm_stat &gt;= perc_90, converted_stat * 2, IF(bbgm_stat &gt;= perc_85, converted_stat * 1.5, converted_stat)))))</f>
        <v/>
      </c>
      <c r="L571" s="30" t="str">
        <f t="array" ref="L571">IF($A571="", "", LET(bbgm_stat, INDEX(Players!$A570:$P570, MATCH(L$2, Players!$A$1:$P$1, 0)), perc_75, VLOOKUP(L$2, Percentiles!$A$45:$I$59, 6, FALSE), perc_90, VLOOKUP(L$2, Percentiles!$A$45:$I$59, 7, FALSE), perc_95, VLOOKUP(L$2, Percentiles!$A$45:$I$59, 8, FALSE), perc_85, perc_75 + (perc_90 - perc_75) * (2/3), converted_stat, '2K_Ratings'!L571, IF(bbgm_stat &gt;= perc_95, converted_stat * 3, IF(bbgm_stat &gt;= perc_90, converted_stat * 2, IF(bbgm_stat &gt;= perc_85, converted_stat * 1.5, converted_stat)))))</f>
        <v/>
      </c>
      <c r="M571" s="30" t="str">
        <f t="array" ref="M571">IF($A571="", "", LET(bbgm_stat, INDEX(Players!$A570:$P570, MATCH(M$2, Players!$A$1:$P$1, 0)), perc_75, VLOOKUP(M$2, Percentiles!$A$45:$I$59, 6, FALSE), perc_90, VLOOKUP(M$2, Percentiles!$A$45:$I$59, 7, FALSE), perc_95, VLOOKUP(M$2, Percentiles!$A$45:$I$59, 8, FALSE), perc_85, perc_75 + (perc_90 - perc_75) * (2/3), converted_stat, '2K_Ratings'!M571, IF(bbgm_stat &gt;= perc_95, converted_stat * 3, IF(bbgm_stat &gt;= perc_90, converted_stat * 2, IF(bbgm_stat &gt;= perc_85, converted_stat * 1.5, converted_stat)))))</f>
        <v/>
      </c>
      <c r="N571" s="30" t="str">
        <f t="array" ref="N571">IF($A571="", "", LET(bbgm_stat, INDEX(Players!$A570:$P570, MATCH(N$2, Players!$A$1:$P$1, 0)), perc_75, VLOOKUP(N$2, Percentiles!$A$45:$I$59, 6, FALSE), perc_90, VLOOKUP(N$2, Percentiles!$A$45:$I$59, 7, FALSE), perc_95, VLOOKUP(N$2, Percentiles!$A$45:$I$59, 8, FALSE), perc_85, perc_75 + (perc_90 - perc_75) * (2/3), converted_stat, '2K_Ratings'!N571, IF(bbgm_stat &gt;= perc_95, converted_stat * 3, IF(bbgm_stat &gt;= perc_90, converted_stat * 2, IF(bbgm_stat &gt;= perc_85, converted_stat * 1.5, converted_stat)))))</f>
        <v/>
      </c>
      <c r="O571" s="30" t="str">
        <f t="array" ref="O571">IF($A571="", "", LET(bbgm_stat, INDEX(Players!$A570:$P570, MATCH(O$2, Players!$A$1:$P$1, 0)), perc_75, VLOOKUP(O$2, Percentiles!$A$45:$I$59, 6, FALSE), perc_90, VLOOKUP(O$2, Percentiles!$A$45:$I$59, 7, FALSE), perc_95, VLOOKUP(O$2, Percentiles!$A$45:$I$59, 8, FALSE), perc_85, perc_75 + (perc_90 - perc_75) * (2/3), converted_stat, '2K_Ratings'!O571, IF(bbgm_stat &gt;= perc_95, converted_stat * 3, IF(bbgm_stat &gt;= perc_90, converted_stat * 2, IF(bbgm_stat &gt;= perc_85, converted_stat * 1.5, converted_stat)))))</f>
        <v/>
      </c>
      <c r="P571" s="30" t="str">
        <f t="array" ref="P571">IF($A571="", "", LET(bbgm_stat, INDEX(Players!$A570:$P570, MATCH(P$2, Players!$A$1:$P$1, 0)), perc_75, VLOOKUP(P$2, Percentiles!$A$45:$I$59, 6, FALSE), perc_90, VLOOKUP(P$2, Percentiles!$A$45:$I$59, 7, FALSE), perc_95, VLOOKUP(P$2, Percentiles!$A$45:$I$59, 8, FALSE), perc_85, perc_75 + (perc_90 - perc_75) * (2/3), converted_stat, '2K_Ratings'!P571, IF(bbgm_stat &gt;= perc_95, converted_stat * 3, IF(bbgm_stat &gt;= perc_90, converted_stat * 2, IF(bbgm_stat &gt;= perc_85, converted_stat * 1.5, converted_stat)))))</f>
        <v/>
      </c>
      <c r="Q571" s="30" t="str">
        <f t="array" ref="Q571">IF($A571="", "", LET(bbgm_stat, INDEX(Players!$A570:$P570, MATCH(Q$2, Players!$A$1:$P$1, 0)), perc_75, VLOOKUP(Q$2, Percentiles!$A$45:$I$59, 6, FALSE), perc_90, VLOOKUP(Q$2, Percentiles!$A$45:$I$59, 7, FALSE), perc_95, VLOOKUP(Q$2, Percentiles!$A$45:$I$59, 8, FALSE), perc_85, perc_75 + (perc_90 - perc_75) * (2/3), converted_stat, '2K_Ratings'!Q571, IF(bbgm_stat &gt;= perc_95, converted_stat * 3, IF(bbgm_stat &gt;= perc_90, converted_stat * 2, IF(bbgm_stat &gt;= perc_85, converted_stat * 1.5, converted_stat)))))</f>
        <v/>
      </c>
      <c r="R571" s="30" t="str">
        <f t="array" ref="R571">IF($A571="", "", LET(bbgm_stat, INDEX(Players!$A570:$P570, MATCH(R$2, Players!$A$1:$P$1, 0)), perc_75, VLOOKUP(R$2, Percentiles!$A$45:$I$59, 6, FALSE), perc_90, VLOOKUP(R$2, Percentiles!$A$45:$I$59, 7, FALSE), perc_95, VLOOKUP(R$2, Percentiles!$A$45:$I$59, 8, FALSE), perc_85, perc_75 + (perc_90 - perc_75) * (2/3), converted_stat, '2K_Ratings'!R571, IF(bbgm_stat &gt;= perc_95, converted_stat * 3, IF(bbgm_stat &gt;= perc_90, converted_stat * 2, IF(bbgm_stat &gt;= perc_85, converted_stat * 1.5, converted_stat)))))</f>
        <v/>
      </c>
      <c r="S571" s="30" t="str">
        <f t="array" ref="S571">IF($A571="", "", LET(bbgm_stat, INDEX(Players!$A570:$P570, MATCH(S$2, Players!$A$1:$P$1, 0)), perc_75, VLOOKUP(S$2, Percentiles!$A$45:$I$59, 6, FALSE), perc_90, VLOOKUP(S$2, Percentiles!$A$45:$I$59, 7, FALSE), perc_95, VLOOKUP(S$2, Percentiles!$A$45:$I$59, 8, FALSE), perc_85, perc_75 + (perc_90 - perc_75) * (2/3), converted_stat, '2K_Ratings'!S571, IF(bbgm_stat &gt;= perc_95, converted_stat * 3, IF(bbgm_stat &gt;= perc_90, converted_stat * 2, IF(bbgm_stat &gt;= perc_85, converted_stat * 1.5, converted_stat)))))</f>
        <v/>
      </c>
      <c r="T571" s="30" t="str">
        <f t="array" ref="T571">IF($A571="", "", LET(bbgm_stat, INDEX(Players!$A570:$P570, MATCH(T$2, Players!$A$1:$P$1, 0)), perc_75, VLOOKUP(T$2, Percentiles!$A$45:$I$59, 6, FALSE), perc_90, VLOOKUP(T$2, Percentiles!$A$45:$I$59, 7, FALSE), perc_95, VLOOKUP(T$2, Percentiles!$A$45:$I$59, 8, FALSE), perc_85, perc_75 + (perc_90 - perc_75) * (2/3), converted_stat, '2K_Ratings'!T571, IF(bbgm_stat &gt;= perc_95, converted_stat * 3, IF(bbgm_stat &gt;= perc_90, converted_stat * 2, IF(bbgm_stat &gt;= perc_85, converted_stat * 1.5, converted_stat)))))</f>
        <v/>
      </c>
      <c r="U571" s="30" t="str">
        <f t="array" ref="U571">IF($A571="", "", LET(bbgm_stat, INDEX(Players!$A570:$P570, MATCH(U$2, Players!$A$1:$P$1, 0)), perc_75, VLOOKUP(U$2, Percentiles!$A$45:$I$59, 6, FALSE), perc_90, VLOOKUP(U$2, Percentiles!$A$45:$I$59, 7, FALSE), perc_95, VLOOKUP(U$2, Percentiles!$A$45:$I$59, 8, FALSE), perc_85, perc_75 + (perc_90 - perc_75) * (2/3), converted_stat, '2K_Ratings'!U571, IF(bbgm_stat &gt;= perc_95, converted_stat * 3, IF(bbgm_stat &gt;= perc_90, converted_stat * 2, IF(bbgm_stat &gt;= perc_85, converted_stat * 1.5, converted_stat)))))</f>
        <v/>
      </c>
      <c r="V571" s="30" t="str">
        <f t="array" ref="V571">IF($A571="", "", LET(bbgm_stat, INDEX(Players!$A570:$P570, MATCH(V$2, Players!$A$1:$P$1, 0)), perc_75, VLOOKUP(V$2, Percentiles!$A$45:$I$59, 6, FALSE), perc_90, VLOOKUP(V$2, Percentiles!$A$45:$I$59, 7, FALSE), perc_95, VLOOKUP(V$2, Percentiles!$A$45:$I$59, 8, FALSE), perc_85, perc_75 + (perc_90 - perc_75) * (2/3), converted_stat, '2K_Ratings'!V571, IF(bbgm_stat &gt;= perc_95, converted_stat * 3, IF(bbgm_stat &gt;= perc_90, converted_stat * 2, IF(bbgm_stat &gt;= perc_85, converted_stat * 1.5, converted_stat)))))</f>
        <v/>
      </c>
      <c r="W571" s="30" t="str">
        <f t="array" ref="W571">IF($A571="", "", LET(bbgm_stat, INDEX(Players!$A570:$P570, MATCH(W$2, Players!$A$1:$P$1, 0)), perc_75, VLOOKUP(W$2, Percentiles!$A$45:$I$59, 6, FALSE), perc_90, VLOOKUP(W$2, Percentiles!$A$45:$I$59, 7, FALSE), perc_95, VLOOKUP(W$2, Percentiles!$A$45:$I$59, 8, FALSE), perc_85, perc_75 + (perc_90 - perc_75) * (2/3), converted_stat, '2K_Ratings'!W571, IF(bbgm_stat &gt;= perc_95, converted_stat * 3, IF(bbgm_stat &gt;= perc_90, converted_stat * 2, IF(bbgm_stat &gt;= perc_85, converted_stat * 1.5, converted_stat)))))</f>
        <v/>
      </c>
    </row>
    <row r="572">
      <c r="A572" s="30"/>
      <c r="B572" s="30" t="str">
        <f t="array" ref="B572">IF($A572="", "", LET(bbgm_stat, INDEX(Players!$A571:$P571, MATCH(B$2, Players!$A$1:$P$1, 0)), perc_75, VLOOKUP(B$2, Percentiles!$A$45:$I$59, 6, FALSE), perc_90, VLOOKUP(B$2, Percentiles!$A$45:$I$59, 7, FALSE), perc_95, VLOOKUP(B$2, Percentiles!$A$45:$I$59, 8, FALSE), perc_85, perc_75 + (perc_90 - perc_75) * (2/3), converted_stat, '2K_Ratings'!B572, IF(bbgm_stat &gt;= perc_95, converted_stat * 3, IF(bbgm_stat &gt;= perc_90, converted_stat * 2, IF(bbgm_stat &gt;= perc_85, converted_stat * 1.5, converted_stat)))))</f>
        <v/>
      </c>
      <c r="C572" s="30" t="str">
        <f t="array" ref="C572">IF($A572="", "", LET(bbgm_stat, INDEX(Players!$A571:$P571, MATCH(C$2, Players!$A$1:$P$1, 0)), perc_75, VLOOKUP(C$2, Percentiles!$A$45:$I$59, 6, FALSE), perc_90, VLOOKUP(C$2, Percentiles!$A$45:$I$59, 7, FALSE), perc_95, VLOOKUP(C$2, Percentiles!$A$45:$I$59, 8, FALSE), perc_85, perc_75 + (perc_90 - perc_75) * (2/3), converted_stat, '2K_Ratings'!C572, IF(bbgm_stat &gt;= perc_95, converted_stat * 3, IF(bbgm_stat &gt;= perc_90, converted_stat * 2, IF(bbgm_stat &gt;= perc_85, converted_stat * 1.5, converted_stat)))))</f>
        <v/>
      </c>
      <c r="D572" s="30" t="str">
        <f t="array" ref="D572">IF($A572="", "", LET(bbgm_stat, INDEX(Players!$A571:$P571, MATCH(D$2, Players!$A$1:$P$1, 0)), perc_75, VLOOKUP(D$2, Percentiles!$A$45:$I$59, 6, FALSE), perc_90, VLOOKUP(D$2, Percentiles!$A$45:$I$59, 7, FALSE), perc_95, VLOOKUP(D$2, Percentiles!$A$45:$I$59, 8, FALSE), perc_85, perc_75 + (perc_90 - perc_75) * (2/3), converted_stat, '2K_Ratings'!D572, IF(bbgm_stat &gt;= perc_95, converted_stat * 3, IF(bbgm_stat &gt;= perc_90, converted_stat * 2, IF(bbgm_stat &gt;= perc_85, converted_stat * 1.5, converted_stat)))))</f>
        <v/>
      </c>
      <c r="E572" s="30" t="str">
        <f t="array" ref="E572">IF($A572="", "", LET(bbgm_stat, INDEX(Players!$A571:$P571, MATCH(E$2, Players!$A$1:$P$1, 0)), perc_75, VLOOKUP(E$2, Percentiles!$A$45:$I$59, 6, FALSE), perc_90, VLOOKUP(E$2, Percentiles!$A$45:$I$59, 7, FALSE), perc_95, VLOOKUP(E$2, Percentiles!$A$45:$I$59, 8, FALSE), perc_85, perc_75 + (perc_90 - perc_75) * (2/3), converted_stat, '2K_Ratings'!E572, IF(bbgm_stat &gt;= perc_95, converted_stat * 3, IF(bbgm_stat &gt;= perc_90, converted_stat * 2, IF(bbgm_stat &gt;= perc_85, converted_stat * 1.5, converted_stat)))))</f>
        <v/>
      </c>
      <c r="F572" s="30" t="str">
        <f t="array" ref="F572">IF($A572="", "", LET(bbgm_stat, INDEX(Players!$A571:$P571, MATCH(F$2, Players!$A$1:$P$1, 0)), perc_75, VLOOKUP(F$2, Percentiles!$A$45:$I$59, 6, FALSE), perc_90, VLOOKUP(F$2, Percentiles!$A$45:$I$59, 7, FALSE), perc_95, VLOOKUP(F$2, Percentiles!$A$45:$I$59, 8, FALSE), perc_85, perc_75 + (perc_90 - perc_75) * (2/3), converted_stat, '2K_Ratings'!F572, IF(bbgm_stat &gt;= perc_95, converted_stat * 3, IF(bbgm_stat &gt;= perc_90, converted_stat * 2, IF(bbgm_stat &gt;= perc_85, converted_stat * 1.5, converted_stat)))))</f>
        <v/>
      </c>
      <c r="G572" s="30" t="str">
        <f t="array" ref="G572">IF($A572="", "", LET(bbgm_stat, INDEX(Players!$A571:$P571, MATCH(G$2, Players!$A$1:$P$1, 0)), perc_75, VLOOKUP(G$2, Percentiles!$A$45:$I$59, 6, FALSE), perc_90, VLOOKUP(G$2, Percentiles!$A$45:$I$59, 7, FALSE), perc_95, VLOOKUP(G$2, Percentiles!$A$45:$I$59, 8, FALSE), perc_85, perc_75 + (perc_90 - perc_75) * (2/3), converted_stat, '2K_Ratings'!G572, IF(bbgm_stat &gt;= perc_95, converted_stat * 3, IF(bbgm_stat &gt;= perc_90, converted_stat * 2, IF(bbgm_stat &gt;= perc_85, converted_stat * 1.5, converted_stat)))))</f>
        <v/>
      </c>
      <c r="H572" s="30" t="str">
        <f t="array" ref="H572">IF($A572="", "", LET(bbgm_stat, INDEX(Players!$A571:$P571, MATCH(H$2, Players!$A$1:$P$1, 0)), perc_75, VLOOKUP(H$2, Percentiles!$A$45:$I$59, 6, FALSE), perc_90, VLOOKUP(H$2, Percentiles!$A$45:$I$59, 7, FALSE), perc_95, VLOOKUP(H$2, Percentiles!$A$45:$I$59, 8, FALSE), perc_85, perc_75 + (perc_90 - perc_75) * (2/3), converted_stat, '2K_Ratings'!H572, IF(bbgm_stat &gt;= perc_95, converted_stat * 3, IF(bbgm_stat &gt;= perc_90, converted_stat * 2, IF(bbgm_stat &gt;= perc_85, converted_stat * 1.5, converted_stat)))))</f>
        <v/>
      </c>
      <c r="I572" s="30" t="str">
        <f t="array" ref="I572">IF($A572="", "", LET(bbgm_stat, INDEX(Players!$A571:$P571, MATCH(I$2, Players!$A$1:$P$1, 0)), perc_75, VLOOKUP(I$2, Percentiles!$A$45:$I$59, 6, FALSE), perc_90, VLOOKUP(I$2, Percentiles!$A$45:$I$59, 7, FALSE), perc_95, VLOOKUP(I$2, Percentiles!$A$45:$I$59, 8, FALSE), perc_85, perc_75 + (perc_90 - perc_75) * (2/3), converted_stat, '2K_Ratings'!I572, IF(bbgm_stat &gt;= perc_95, converted_stat * 3, IF(bbgm_stat &gt;= perc_90, converted_stat * 2, IF(bbgm_stat &gt;= perc_85, converted_stat * 1.5, converted_stat)))))</f>
        <v/>
      </c>
      <c r="J572" s="30" t="str">
        <f t="array" ref="J572">IF($A572="", "", LET(bbgm_stat, INDEX(Players!$A571:$P571, MATCH(J$2, Players!$A$1:$P$1, 0)), perc_75, VLOOKUP(J$2, Percentiles!$A$45:$I$59, 6, FALSE), perc_90, VLOOKUP(J$2, Percentiles!$A$45:$I$59, 7, FALSE), perc_95, VLOOKUP(J$2, Percentiles!$A$45:$I$59, 8, FALSE), perc_85, perc_75 + (perc_90 - perc_75) * (2/3), converted_stat, '2K_Ratings'!J572, IF(bbgm_stat &gt;= perc_95, converted_stat * 3, IF(bbgm_stat &gt;= perc_90, converted_stat * 2, IF(bbgm_stat &gt;= perc_85, converted_stat * 1.5, converted_stat)))))</f>
        <v/>
      </c>
      <c r="K572" s="30" t="str">
        <f t="array" ref="K572">IF($A572="", "", LET(bbgm_stat, INDEX(Players!$A571:$P571, MATCH(K$2, Players!$A$1:$P$1, 0)), perc_75, VLOOKUP(K$2, Percentiles!$A$45:$I$59, 6, FALSE), perc_90, VLOOKUP(K$2, Percentiles!$A$45:$I$59, 7, FALSE), perc_95, VLOOKUP(K$2, Percentiles!$A$45:$I$59, 8, FALSE), perc_85, perc_75 + (perc_90 - perc_75) * (2/3), converted_stat, '2K_Ratings'!K572, IF(bbgm_stat &gt;= perc_95, converted_stat * 3, IF(bbgm_stat &gt;= perc_90, converted_stat * 2, IF(bbgm_stat &gt;= perc_85, converted_stat * 1.5, converted_stat)))))</f>
        <v/>
      </c>
      <c r="L572" s="30" t="str">
        <f t="array" ref="L572">IF($A572="", "", LET(bbgm_stat, INDEX(Players!$A571:$P571, MATCH(L$2, Players!$A$1:$P$1, 0)), perc_75, VLOOKUP(L$2, Percentiles!$A$45:$I$59, 6, FALSE), perc_90, VLOOKUP(L$2, Percentiles!$A$45:$I$59, 7, FALSE), perc_95, VLOOKUP(L$2, Percentiles!$A$45:$I$59, 8, FALSE), perc_85, perc_75 + (perc_90 - perc_75) * (2/3), converted_stat, '2K_Ratings'!L572, IF(bbgm_stat &gt;= perc_95, converted_stat * 3, IF(bbgm_stat &gt;= perc_90, converted_stat * 2, IF(bbgm_stat &gt;= perc_85, converted_stat * 1.5, converted_stat)))))</f>
        <v/>
      </c>
      <c r="M572" s="30" t="str">
        <f t="array" ref="M572">IF($A572="", "", LET(bbgm_stat, INDEX(Players!$A571:$P571, MATCH(M$2, Players!$A$1:$P$1, 0)), perc_75, VLOOKUP(M$2, Percentiles!$A$45:$I$59, 6, FALSE), perc_90, VLOOKUP(M$2, Percentiles!$A$45:$I$59, 7, FALSE), perc_95, VLOOKUP(M$2, Percentiles!$A$45:$I$59, 8, FALSE), perc_85, perc_75 + (perc_90 - perc_75) * (2/3), converted_stat, '2K_Ratings'!M572, IF(bbgm_stat &gt;= perc_95, converted_stat * 3, IF(bbgm_stat &gt;= perc_90, converted_stat * 2, IF(bbgm_stat &gt;= perc_85, converted_stat * 1.5, converted_stat)))))</f>
        <v/>
      </c>
      <c r="N572" s="30" t="str">
        <f t="array" ref="N572">IF($A572="", "", LET(bbgm_stat, INDEX(Players!$A571:$P571, MATCH(N$2, Players!$A$1:$P$1, 0)), perc_75, VLOOKUP(N$2, Percentiles!$A$45:$I$59, 6, FALSE), perc_90, VLOOKUP(N$2, Percentiles!$A$45:$I$59, 7, FALSE), perc_95, VLOOKUP(N$2, Percentiles!$A$45:$I$59, 8, FALSE), perc_85, perc_75 + (perc_90 - perc_75) * (2/3), converted_stat, '2K_Ratings'!N572, IF(bbgm_stat &gt;= perc_95, converted_stat * 3, IF(bbgm_stat &gt;= perc_90, converted_stat * 2, IF(bbgm_stat &gt;= perc_85, converted_stat * 1.5, converted_stat)))))</f>
        <v/>
      </c>
      <c r="O572" s="30" t="str">
        <f t="array" ref="O572">IF($A572="", "", LET(bbgm_stat, INDEX(Players!$A571:$P571, MATCH(O$2, Players!$A$1:$P$1, 0)), perc_75, VLOOKUP(O$2, Percentiles!$A$45:$I$59, 6, FALSE), perc_90, VLOOKUP(O$2, Percentiles!$A$45:$I$59, 7, FALSE), perc_95, VLOOKUP(O$2, Percentiles!$A$45:$I$59, 8, FALSE), perc_85, perc_75 + (perc_90 - perc_75) * (2/3), converted_stat, '2K_Ratings'!O572, IF(bbgm_stat &gt;= perc_95, converted_stat * 3, IF(bbgm_stat &gt;= perc_90, converted_stat * 2, IF(bbgm_stat &gt;= perc_85, converted_stat * 1.5, converted_stat)))))</f>
        <v/>
      </c>
      <c r="P572" s="30" t="str">
        <f t="array" ref="P572">IF($A572="", "", LET(bbgm_stat, INDEX(Players!$A571:$P571, MATCH(P$2, Players!$A$1:$P$1, 0)), perc_75, VLOOKUP(P$2, Percentiles!$A$45:$I$59, 6, FALSE), perc_90, VLOOKUP(P$2, Percentiles!$A$45:$I$59, 7, FALSE), perc_95, VLOOKUP(P$2, Percentiles!$A$45:$I$59, 8, FALSE), perc_85, perc_75 + (perc_90 - perc_75) * (2/3), converted_stat, '2K_Ratings'!P572, IF(bbgm_stat &gt;= perc_95, converted_stat * 3, IF(bbgm_stat &gt;= perc_90, converted_stat * 2, IF(bbgm_stat &gt;= perc_85, converted_stat * 1.5, converted_stat)))))</f>
        <v/>
      </c>
      <c r="Q572" s="30" t="str">
        <f t="array" ref="Q572">IF($A572="", "", LET(bbgm_stat, INDEX(Players!$A571:$P571, MATCH(Q$2, Players!$A$1:$P$1, 0)), perc_75, VLOOKUP(Q$2, Percentiles!$A$45:$I$59, 6, FALSE), perc_90, VLOOKUP(Q$2, Percentiles!$A$45:$I$59, 7, FALSE), perc_95, VLOOKUP(Q$2, Percentiles!$A$45:$I$59, 8, FALSE), perc_85, perc_75 + (perc_90 - perc_75) * (2/3), converted_stat, '2K_Ratings'!Q572, IF(bbgm_stat &gt;= perc_95, converted_stat * 3, IF(bbgm_stat &gt;= perc_90, converted_stat * 2, IF(bbgm_stat &gt;= perc_85, converted_stat * 1.5, converted_stat)))))</f>
        <v/>
      </c>
      <c r="R572" s="30" t="str">
        <f t="array" ref="R572">IF($A572="", "", LET(bbgm_stat, INDEX(Players!$A571:$P571, MATCH(R$2, Players!$A$1:$P$1, 0)), perc_75, VLOOKUP(R$2, Percentiles!$A$45:$I$59, 6, FALSE), perc_90, VLOOKUP(R$2, Percentiles!$A$45:$I$59, 7, FALSE), perc_95, VLOOKUP(R$2, Percentiles!$A$45:$I$59, 8, FALSE), perc_85, perc_75 + (perc_90 - perc_75) * (2/3), converted_stat, '2K_Ratings'!R572, IF(bbgm_stat &gt;= perc_95, converted_stat * 3, IF(bbgm_stat &gt;= perc_90, converted_stat * 2, IF(bbgm_stat &gt;= perc_85, converted_stat * 1.5, converted_stat)))))</f>
        <v/>
      </c>
      <c r="S572" s="30" t="str">
        <f t="array" ref="S572">IF($A572="", "", LET(bbgm_stat, INDEX(Players!$A571:$P571, MATCH(S$2, Players!$A$1:$P$1, 0)), perc_75, VLOOKUP(S$2, Percentiles!$A$45:$I$59, 6, FALSE), perc_90, VLOOKUP(S$2, Percentiles!$A$45:$I$59, 7, FALSE), perc_95, VLOOKUP(S$2, Percentiles!$A$45:$I$59, 8, FALSE), perc_85, perc_75 + (perc_90 - perc_75) * (2/3), converted_stat, '2K_Ratings'!S572, IF(bbgm_stat &gt;= perc_95, converted_stat * 3, IF(bbgm_stat &gt;= perc_90, converted_stat * 2, IF(bbgm_stat &gt;= perc_85, converted_stat * 1.5, converted_stat)))))</f>
        <v/>
      </c>
      <c r="T572" s="30" t="str">
        <f t="array" ref="T572">IF($A572="", "", LET(bbgm_stat, INDEX(Players!$A571:$P571, MATCH(T$2, Players!$A$1:$P$1, 0)), perc_75, VLOOKUP(T$2, Percentiles!$A$45:$I$59, 6, FALSE), perc_90, VLOOKUP(T$2, Percentiles!$A$45:$I$59, 7, FALSE), perc_95, VLOOKUP(T$2, Percentiles!$A$45:$I$59, 8, FALSE), perc_85, perc_75 + (perc_90 - perc_75) * (2/3), converted_stat, '2K_Ratings'!T572, IF(bbgm_stat &gt;= perc_95, converted_stat * 3, IF(bbgm_stat &gt;= perc_90, converted_stat * 2, IF(bbgm_stat &gt;= perc_85, converted_stat * 1.5, converted_stat)))))</f>
        <v/>
      </c>
      <c r="U572" s="30" t="str">
        <f t="array" ref="U572">IF($A572="", "", LET(bbgm_stat, INDEX(Players!$A571:$P571, MATCH(U$2, Players!$A$1:$P$1, 0)), perc_75, VLOOKUP(U$2, Percentiles!$A$45:$I$59, 6, FALSE), perc_90, VLOOKUP(U$2, Percentiles!$A$45:$I$59, 7, FALSE), perc_95, VLOOKUP(U$2, Percentiles!$A$45:$I$59, 8, FALSE), perc_85, perc_75 + (perc_90 - perc_75) * (2/3), converted_stat, '2K_Ratings'!U572, IF(bbgm_stat &gt;= perc_95, converted_stat * 3, IF(bbgm_stat &gt;= perc_90, converted_stat * 2, IF(bbgm_stat &gt;= perc_85, converted_stat * 1.5, converted_stat)))))</f>
        <v/>
      </c>
      <c r="V572" s="30" t="str">
        <f t="array" ref="V572">IF($A572="", "", LET(bbgm_stat, INDEX(Players!$A571:$P571, MATCH(V$2, Players!$A$1:$P$1, 0)), perc_75, VLOOKUP(V$2, Percentiles!$A$45:$I$59, 6, FALSE), perc_90, VLOOKUP(V$2, Percentiles!$A$45:$I$59, 7, FALSE), perc_95, VLOOKUP(V$2, Percentiles!$A$45:$I$59, 8, FALSE), perc_85, perc_75 + (perc_90 - perc_75) * (2/3), converted_stat, '2K_Ratings'!V572, IF(bbgm_stat &gt;= perc_95, converted_stat * 3, IF(bbgm_stat &gt;= perc_90, converted_stat * 2, IF(bbgm_stat &gt;= perc_85, converted_stat * 1.5, converted_stat)))))</f>
        <v/>
      </c>
      <c r="W572" s="30" t="str">
        <f t="array" ref="W572">IF($A572="", "", LET(bbgm_stat, INDEX(Players!$A571:$P571, MATCH(W$2, Players!$A$1:$P$1, 0)), perc_75, VLOOKUP(W$2, Percentiles!$A$45:$I$59, 6, FALSE), perc_90, VLOOKUP(W$2, Percentiles!$A$45:$I$59, 7, FALSE), perc_95, VLOOKUP(W$2, Percentiles!$A$45:$I$59, 8, FALSE), perc_85, perc_75 + (perc_90 - perc_75) * (2/3), converted_stat, '2K_Ratings'!W572, IF(bbgm_stat &gt;= perc_95, converted_stat * 3, IF(bbgm_stat &gt;= perc_90, converted_stat * 2, IF(bbgm_stat &gt;= perc_85, converted_stat * 1.5, converted_stat)))))</f>
        <v/>
      </c>
    </row>
    <row r="573">
      <c r="A573" s="30"/>
      <c r="B573" s="30" t="str">
        <f t="array" ref="B573">IF($A573="", "", LET(bbgm_stat, INDEX(Players!$A572:$P572, MATCH(B$2, Players!$A$1:$P$1, 0)), perc_75, VLOOKUP(B$2, Percentiles!$A$45:$I$59, 6, FALSE), perc_90, VLOOKUP(B$2, Percentiles!$A$45:$I$59, 7, FALSE), perc_95, VLOOKUP(B$2, Percentiles!$A$45:$I$59, 8, FALSE), perc_85, perc_75 + (perc_90 - perc_75) * (2/3), converted_stat, '2K_Ratings'!B573, IF(bbgm_stat &gt;= perc_95, converted_stat * 3, IF(bbgm_stat &gt;= perc_90, converted_stat * 2, IF(bbgm_stat &gt;= perc_85, converted_stat * 1.5, converted_stat)))))</f>
        <v/>
      </c>
      <c r="C573" s="30" t="str">
        <f t="array" ref="C573">IF($A573="", "", LET(bbgm_stat, INDEX(Players!$A572:$P572, MATCH(C$2, Players!$A$1:$P$1, 0)), perc_75, VLOOKUP(C$2, Percentiles!$A$45:$I$59, 6, FALSE), perc_90, VLOOKUP(C$2, Percentiles!$A$45:$I$59, 7, FALSE), perc_95, VLOOKUP(C$2, Percentiles!$A$45:$I$59, 8, FALSE), perc_85, perc_75 + (perc_90 - perc_75) * (2/3), converted_stat, '2K_Ratings'!C573, IF(bbgm_stat &gt;= perc_95, converted_stat * 3, IF(bbgm_stat &gt;= perc_90, converted_stat * 2, IF(bbgm_stat &gt;= perc_85, converted_stat * 1.5, converted_stat)))))</f>
        <v/>
      </c>
      <c r="D573" s="30" t="str">
        <f t="array" ref="D573">IF($A573="", "", LET(bbgm_stat, INDEX(Players!$A572:$P572, MATCH(D$2, Players!$A$1:$P$1, 0)), perc_75, VLOOKUP(D$2, Percentiles!$A$45:$I$59, 6, FALSE), perc_90, VLOOKUP(D$2, Percentiles!$A$45:$I$59, 7, FALSE), perc_95, VLOOKUP(D$2, Percentiles!$A$45:$I$59, 8, FALSE), perc_85, perc_75 + (perc_90 - perc_75) * (2/3), converted_stat, '2K_Ratings'!D573, IF(bbgm_stat &gt;= perc_95, converted_stat * 3, IF(bbgm_stat &gt;= perc_90, converted_stat * 2, IF(bbgm_stat &gt;= perc_85, converted_stat * 1.5, converted_stat)))))</f>
        <v/>
      </c>
      <c r="E573" s="30" t="str">
        <f t="array" ref="E573">IF($A573="", "", LET(bbgm_stat, INDEX(Players!$A572:$P572, MATCH(E$2, Players!$A$1:$P$1, 0)), perc_75, VLOOKUP(E$2, Percentiles!$A$45:$I$59, 6, FALSE), perc_90, VLOOKUP(E$2, Percentiles!$A$45:$I$59, 7, FALSE), perc_95, VLOOKUP(E$2, Percentiles!$A$45:$I$59, 8, FALSE), perc_85, perc_75 + (perc_90 - perc_75) * (2/3), converted_stat, '2K_Ratings'!E573, IF(bbgm_stat &gt;= perc_95, converted_stat * 3, IF(bbgm_stat &gt;= perc_90, converted_stat * 2, IF(bbgm_stat &gt;= perc_85, converted_stat * 1.5, converted_stat)))))</f>
        <v/>
      </c>
      <c r="F573" s="30" t="str">
        <f t="array" ref="F573">IF($A573="", "", LET(bbgm_stat, INDEX(Players!$A572:$P572, MATCH(F$2, Players!$A$1:$P$1, 0)), perc_75, VLOOKUP(F$2, Percentiles!$A$45:$I$59, 6, FALSE), perc_90, VLOOKUP(F$2, Percentiles!$A$45:$I$59, 7, FALSE), perc_95, VLOOKUP(F$2, Percentiles!$A$45:$I$59, 8, FALSE), perc_85, perc_75 + (perc_90 - perc_75) * (2/3), converted_stat, '2K_Ratings'!F573, IF(bbgm_stat &gt;= perc_95, converted_stat * 3, IF(bbgm_stat &gt;= perc_90, converted_stat * 2, IF(bbgm_stat &gt;= perc_85, converted_stat * 1.5, converted_stat)))))</f>
        <v/>
      </c>
      <c r="G573" s="30" t="str">
        <f t="array" ref="G573">IF($A573="", "", LET(bbgm_stat, INDEX(Players!$A572:$P572, MATCH(G$2, Players!$A$1:$P$1, 0)), perc_75, VLOOKUP(G$2, Percentiles!$A$45:$I$59, 6, FALSE), perc_90, VLOOKUP(G$2, Percentiles!$A$45:$I$59, 7, FALSE), perc_95, VLOOKUP(G$2, Percentiles!$A$45:$I$59, 8, FALSE), perc_85, perc_75 + (perc_90 - perc_75) * (2/3), converted_stat, '2K_Ratings'!G573, IF(bbgm_stat &gt;= perc_95, converted_stat * 3, IF(bbgm_stat &gt;= perc_90, converted_stat * 2, IF(bbgm_stat &gt;= perc_85, converted_stat * 1.5, converted_stat)))))</f>
        <v/>
      </c>
      <c r="H573" s="30" t="str">
        <f t="array" ref="H573">IF($A573="", "", LET(bbgm_stat, INDEX(Players!$A572:$P572, MATCH(H$2, Players!$A$1:$P$1, 0)), perc_75, VLOOKUP(H$2, Percentiles!$A$45:$I$59, 6, FALSE), perc_90, VLOOKUP(H$2, Percentiles!$A$45:$I$59, 7, FALSE), perc_95, VLOOKUP(H$2, Percentiles!$A$45:$I$59, 8, FALSE), perc_85, perc_75 + (perc_90 - perc_75) * (2/3), converted_stat, '2K_Ratings'!H573, IF(bbgm_stat &gt;= perc_95, converted_stat * 3, IF(bbgm_stat &gt;= perc_90, converted_stat * 2, IF(bbgm_stat &gt;= perc_85, converted_stat * 1.5, converted_stat)))))</f>
        <v/>
      </c>
      <c r="I573" s="30" t="str">
        <f t="array" ref="I573">IF($A573="", "", LET(bbgm_stat, INDEX(Players!$A572:$P572, MATCH(I$2, Players!$A$1:$P$1, 0)), perc_75, VLOOKUP(I$2, Percentiles!$A$45:$I$59, 6, FALSE), perc_90, VLOOKUP(I$2, Percentiles!$A$45:$I$59, 7, FALSE), perc_95, VLOOKUP(I$2, Percentiles!$A$45:$I$59, 8, FALSE), perc_85, perc_75 + (perc_90 - perc_75) * (2/3), converted_stat, '2K_Ratings'!I573, IF(bbgm_stat &gt;= perc_95, converted_stat * 3, IF(bbgm_stat &gt;= perc_90, converted_stat * 2, IF(bbgm_stat &gt;= perc_85, converted_stat * 1.5, converted_stat)))))</f>
        <v/>
      </c>
      <c r="J573" s="30" t="str">
        <f t="array" ref="J573">IF($A573="", "", LET(bbgm_stat, INDEX(Players!$A572:$P572, MATCH(J$2, Players!$A$1:$P$1, 0)), perc_75, VLOOKUP(J$2, Percentiles!$A$45:$I$59, 6, FALSE), perc_90, VLOOKUP(J$2, Percentiles!$A$45:$I$59, 7, FALSE), perc_95, VLOOKUP(J$2, Percentiles!$A$45:$I$59, 8, FALSE), perc_85, perc_75 + (perc_90 - perc_75) * (2/3), converted_stat, '2K_Ratings'!J573, IF(bbgm_stat &gt;= perc_95, converted_stat * 3, IF(bbgm_stat &gt;= perc_90, converted_stat * 2, IF(bbgm_stat &gt;= perc_85, converted_stat * 1.5, converted_stat)))))</f>
        <v/>
      </c>
      <c r="K573" s="30" t="str">
        <f t="array" ref="K573">IF($A573="", "", LET(bbgm_stat, INDEX(Players!$A572:$P572, MATCH(K$2, Players!$A$1:$P$1, 0)), perc_75, VLOOKUP(K$2, Percentiles!$A$45:$I$59, 6, FALSE), perc_90, VLOOKUP(K$2, Percentiles!$A$45:$I$59, 7, FALSE), perc_95, VLOOKUP(K$2, Percentiles!$A$45:$I$59, 8, FALSE), perc_85, perc_75 + (perc_90 - perc_75) * (2/3), converted_stat, '2K_Ratings'!K573, IF(bbgm_stat &gt;= perc_95, converted_stat * 3, IF(bbgm_stat &gt;= perc_90, converted_stat * 2, IF(bbgm_stat &gt;= perc_85, converted_stat * 1.5, converted_stat)))))</f>
        <v/>
      </c>
      <c r="L573" s="30" t="str">
        <f t="array" ref="L573">IF($A573="", "", LET(bbgm_stat, INDEX(Players!$A572:$P572, MATCH(L$2, Players!$A$1:$P$1, 0)), perc_75, VLOOKUP(L$2, Percentiles!$A$45:$I$59, 6, FALSE), perc_90, VLOOKUP(L$2, Percentiles!$A$45:$I$59, 7, FALSE), perc_95, VLOOKUP(L$2, Percentiles!$A$45:$I$59, 8, FALSE), perc_85, perc_75 + (perc_90 - perc_75) * (2/3), converted_stat, '2K_Ratings'!L573, IF(bbgm_stat &gt;= perc_95, converted_stat * 3, IF(bbgm_stat &gt;= perc_90, converted_stat * 2, IF(bbgm_stat &gt;= perc_85, converted_stat * 1.5, converted_stat)))))</f>
        <v/>
      </c>
      <c r="M573" s="30" t="str">
        <f t="array" ref="M573">IF($A573="", "", LET(bbgm_stat, INDEX(Players!$A572:$P572, MATCH(M$2, Players!$A$1:$P$1, 0)), perc_75, VLOOKUP(M$2, Percentiles!$A$45:$I$59, 6, FALSE), perc_90, VLOOKUP(M$2, Percentiles!$A$45:$I$59, 7, FALSE), perc_95, VLOOKUP(M$2, Percentiles!$A$45:$I$59, 8, FALSE), perc_85, perc_75 + (perc_90 - perc_75) * (2/3), converted_stat, '2K_Ratings'!M573, IF(bbgm_stat &gt;= perc_95, converted_stat * 3, IF(bbgm_stat &gt;= perc_90, converted_stat * 2, IF(bbgm_stat &gt;= perc_85, converted_stat * 1.5, converted_stat)))))</f>
        <v/>
      </c>
      <c r="N573" s="30" t="str">
        <f t="array" ref="N573">IF($A573="", "", LET(bbgm_stat, INDEX(Players!$A572:$P572, MATCH(N$2, Players!$A$1:$P$1, 0)), perc_75, VLOOKUP(N$2, Percentiles!$A$45:$I$59, 6, FALSE), perc_90, VLOOKUP(N$2, Percentiles!$A$45:$I$59, 7, FALSE), perc_95, VLOOKUP(N$2, Percentiles!$A$45:$I$59, 8, FALSE), perc_85, perc_75 + (perc_90 - perc_75) * (2/3), converted_stat, '2K_Ratings'!N573, IF(bbgm_stat &gt;= perc_95, converted_stat * 3, IF(bbgm_stat &gt;= perc_90, converted_stat * 2, IF(bbgm_stat &gt;= perc_85, converted_stat * 1.5, converted_stat)))))</f>
        <v/>
      </c>
      <c r="O573" s="30" t="str">
        <f t="array" ref="O573">IF($A573="", "", LET(bbgm_stat, INDEX(Players!$A572:$P572, MATCH(O$2, Players!$A$1:$P$1, 0)), perc_75, VLOOKUP(O$2, Percentiles!$A$45:$I$59, 6, FALSE), perc_90, VLOOKUP(O$2, Percentiles!$A$45:$I$59, 7, FALSE), perc_95, VLOOKUP(O$2, Percentiles!$A$45:$I$59, 8, FALSE), perc_85, perc_75 + (perc_90 - perc_75) * (2/3), converted_stat, '2K_Ratings'!O573, IF(bbgm_stat &gt;= perc_95, converted_stat * 3, IF(bbgm_stat &gt;= perc_90, converted_stat * 2, IF(bbgm_stat &gt;= perc_85, converted_stat * 1.5, converted_stat)))))</f>
        <v/>
      </c>
      <c r="P573" s="30" t="str">
        <f t="array" ref="P573">IF($A573="", "", LET(bbgm_stat, INDEX(Players!$A572:$P572, MATCH(P$2, Players!$A$1:$P$1, 0)), perc_75, VLOOKUP(P$2, Percentiles!$A$45:$I$59, 6, FALSE), perc_90, VLOOKUP(P$2, Percentiles!$A$45:$I$59, 7, FALSE), perc_95, VLOOKUP(P$2, Percentiles!$A$45:$I$59, 8, FALSE), perc_85, perc_75 + (perc_90 - perc_75) * (2/3), converted_stat, '2K_Ratings'!P573, IF(bbgm_stat &gt;= perc_95, converted_stat * 3, IF(bbgm_stat &gt;= perc_90, converted_stat * 2, IF(bbgm_stat &gt;= perc_85, converted_stat * 1.5, converted_stat)))))</f>
        <v/>
      </c>
      <c r="Q573" s="30" t="str">
        <f t="array" ref="Q573">IF($A573="", "", LET(bbgm_stat, INDEX(Players!$A572:$P572, MATCH(Q$2, Players!$A$1:$P$1, 0)), perc_75, VLOOKUP(Q$2, Percentiles!$A$45:$I$59, 6, FALSE), perc_90, VLOOKUP(Q$2, Percentiles!$A$45:$I$59, 7, FALSE), perc_95, VLOOKUP(Q$2, Percentiles!$A$45:$I$59, 8, FALSE), perc_85, perc_75 + (perc_90 - perc_75) * (2/3), converted_stat, '2K_Ratings'!Q573, IF(bbgm_stat &gt;= perc_95, converted_stat * 3, IF(bbgm_stat &gt;= perc_90, converted_stat * 2, IF(bbgm_stat &gt;= perc_85, converted_stat * 1.5, converted_stat)))))</f>
        <v/>
      </c>
      <c r="R573" s="30" t="str">
        <f t="array" ref="R573">IF($A573="", "", LET(bbgm_stat, INDEX(Players!$A572:$P572, MATCH(R$2, Players!$A$1:$P$1, 0)), perc_75, VLOOKUP(R$2, Percentiles!$A$45:$I$59, 6, FALSE), perc_90, VLOOKUP(R$2, Percentiles!$A$45:$I$59, 7, FALSE), perc_95, VLOOKUP(R$2, Percentiles!$A$45:$I$59, 8, FALSE), perc_85, perc_75 + (perc_90 - perc_75) * (2/3), converted_stat, '2K_Ratings'!R573, IF(bbgm_stat &gt;= perc_95, converted_stat * 3, IF(bbgm_stat &gt;= perc_90, converted_stat * 2, IF(bbgm_stat &gt;= perc_85, converted_stat * 1.5, converted_stat)))))</f>
        <v/>
      </c>
      <c r="S573" s="30" t="str">
        <f t="array" ref="S573">IF($A573="", "", LET(bbgm_stat, INDEX(Players!$A572:$P572, MATCH(S$2, Players!$A$1:$P$1, 0)), perc_75, VLOOKUP(S$2, Percentiles!$A$45:$I$59, 6, FALSE), perc_90, VLOOKUP(S$2, Percentiles!$A$45:$I$59, 7, FALSE), perc_95, VLOOKUP(S$2, Percentiles!$A$45:$I$59, 8, FALSE), perc_85, perc_75 + (perc_90 - perc_75) * (2/3), converted_stat, '2K_Ratings'!S573, IF(bbgm_stat &gt;= perc_95, converted_stat * 3, IF(bbgm_stat &gt;= perc_90, converted_stat * 2, IF(bbgm_stat &gt;= perc_85, converted_stat * 1.5, converted_stat)))))</f>
        <v/>
      </c>
      <c r="T573" s="30" t="str">
        <f t="array" ref="T573">IF($A573="", "", LET(bbgm_stat, INDEX(Players!$A572:$P572, MATCH(T$2, Players!$A$1:$P$1, 0)), perc_75, VLOOKUP(T$2, Percentiles!$A$45:$I$59, 6, FALSE), perc_90, VLOOKUP(T$2, Percentiles!$A$45:$I$59, 7, FALSE), perc_95, VLOOKUP(T$2, Percentiles!$A$45:$I$59, 8, FALSE), perc_85, perc_75 + (perc_90 - perc_75) * (2/3), converted_stat, '2K_Ratings'!T573, IF(bbgm_stat &gt;= perc_95, converted_stat * 3, IF(bbgm_stat &gt;= perc_90, converted_stat * 2, IF(bbgm_stat &gt;= perc_85, converted_stat * 1.5, converted_stat)))))</f>
        <v/>
      </c>
      <c r="U573" s="30" t="str">
        <f t="array" ref="U573">IF($A573="", "", LET(bbgm_stat, INDEX(Players!$A572:$P572, MATCH(U$2, Players!$A$1:$P$1, 0)), perc_75, VLOOKUP(U$2, Percentiles!$A$45:$I$59, 6, FALSE), perc_90, VLOOKUP(U$2, Percentiles!$A$45:$I$59, 7, FALSE), perc_95, VLOOKUP(U$2, Percentiles!$A$45:$I$59, 8, FALSE), perc_85, perc_75 + (perc_90 - perc_75) * (2/3), converted_stat, '2K_Ratings'!U573, IF(bbgm_stat &gt;= perc_95, converted_stat * 3, IF(bbgm_stat &gt;= perc_90, converted_stat * 2, IF(bbgm_stat &gt;= perc_85, converted_stat * 1.5, converted_stat)))))</f>
        <v/>
      </c>
      <c r="V573" s="30" t="str">
        <f t="array" ref="V573">IF($A573="", "", LET(bbgm_stat, INDEX(Players!$A572:$P572, MATCH(V$2, Players!$A$1:$P$1, 0)), perc_75, VLOOKUP(V$2, Percentiles!$A$45:$I$59, 6, FALSE), perc_90, VLOOKUP(V$2, Percentiles!$A$45:$I$59, 7, FALSE), perc_95, VLOOKUP(V$2, Percentiles!$A$45:$I$59, 8, FALSE), perc_85, perc_75 + (perc_90 - perc_75) * (2/3), converted_stat, '2K_Ratings'!V573, IF(bbgm_stat &gt;= perc_95, converted_stat * 3, IF(bbgm_stat &gt;= perc_90, converted_stat * 2, IF(bbgm_stat &gt;= perc_85, converted_stat * 1.5, converted_stat)))))</f>
        <v/>
      </c>
      <c r="W573" s="30" t="str">
        <f t="array" ref="W573">IF($A573="", "", LET(bbgm_stat, INDEX(Players!$A572:$P572, MATCH(W$2, Players!$A$1:$P$1, 0)), perc_75, VLOOKUP(W$2, Percentiles!$A$45:$I$59, 6, FALSE), perc_90, VLOOKUP(W$2, Percentiles!$A$45:$I$59, 7, FALSE), perc_95, VLOOKUP(W$2, Percentiles!$A$45:$I$59, 8, FALSE), perc_85, perc_75 + (perc_90 - perc_75) * (2/3), converted_stat, '2K_Ratings'!W573, IF(bbgm_stat &gt;= perc_95, converted_stat * 3, IF(bbgm_stat &gt;= perc_90, converted_stat * 2, IF(bbgm_stat &gt;= perc_85, converted_stat * 1.5, converted_stat)))))</f>
        <v/>
      </c>
    </row>
    <row r="574">
      <c r="A574" s="30"/>
      <c r="B574" s="30" t="str">
        <f t="array" ref="B574">IF($A574="", "", LET(bbgm_stat, INDEX(Players!$A573:$P573, MATCH(B$2, Players!$A$1:$P$1, 0)), perc_75, VLOOKUP(B$2, Percentiles!$A$45:$I$59, 6, FALSE), perc_90, VLOOKUP(B$2, Percentiles!$A$45:$I$59, 7, FALSE), perc_95, VLOOKUP(B$2, Percentiles!$A$45:$I$59, 8, FALSE), perc_85, perc_75 + (perc_90 - perc_75) * (2/3), converted_stat, '2K_Ratings'!B574, IF(bbgm_stat &gt;= perc_95, converted_stat * 3, IF(bbgm_stat &gt;= perc_90, converted_stat * 2, IF(bbgm_stat &gt;= perc_85, converted_stat * 1.5, converted_stat)))))</f>
        <v/>
      </c>
      <c r="C574" s="30" t="str">
        <f t="array" ref="C574">IF($A574="", "", LET(bbgm_stat, INDEX(Players!$A573:$P573, MATCH(C$2, Players!$A$1:$P$1, 0)), perc_75, VLOOKUP(C$2, Percentiles!$A$45:$I$59, 6, FALSE), perc_90, VLOOKUP(C$2, Percentiles!$A$45:$I$59, 7, FALSE), perc_95, VLOOKUP(C$2, Percentiles!$A$45:$I$59, 8, FALSE), perc_85, perc_75 + (perc_90 - perc_75) * (2/3), converted_stat, '2K_Ratings'!C574, IF(bbgm_stat &gt;= perc_95, converted_stat * 3, IF(bbgm_stat &gt;= perc_90, converted_stat * 2, IF(bbgm_stat &gt;= perc_85, converted_stat * 1.5, converted_stat)))))</f>
        <v/>
      </c>
      <c r="D574" s="30" t="str">
        <f t="array" ref="D574">IF($A574="", "", LET(bbgm_stat, INDEX(Players!$A573:$P573, MATCH(D$2, Players!$A$1:$P$1, 0)), perc_75, VLOOKUP(D$2, Percentiles!$A$45:$I$59, 6, FALSE), perc_90, VLOOKUP(D$2, Percentiles!$A$45:$I$59, 7, FALSE), perc_95, VLOOKUP(D$2, Percentiles!$A$45:$I$59, 8, FALSE), perc_85, perc_75 + (perc_90 - perc_75) * (2/3), converted_stat, '2K_Ratings'!D574, IF(bbgm_stat &gt;= perc_95, converted_stat * 3, IF(bbgm_stat &gt;= perc_90, converted_stat * 2, IF(bbgm_stat &gt;= perc_85, converted_stat * 1.5, converted_stat)))))</f>
        <v/>
      </c>
      <c r="E574" s="30" t="str">
        <f t="array" ref="E574">IF($A574="", "", LET(bbgm_stat, INDEX(Players!$A573:$P573, MATCH(E$2, Players!$A$1:$P$1, 0)), perc_75, VLOOKUP(E$2, Percentiles!$A$45:$I$59, 6, FALSE), perc_90, VLOOKUP(E$2, Percentiles!$A$45:$I$59, 7, FALSE), perc_95, VLOOKUP(E$2, Percentiles!$A$45:$I$59, 8, FALSE), perc_85, perc_75 + (perc_90 - perc_75) * (2/3), converted_stat, '2K_Ratings'!E574, IF(bbgm_stat &gt;= perc_95, converted_stat * 3, IF(bbgm_stat &gt;= perc_90, converted_stat * 2, IF(bbgm_stat &gt;= perc_85, converted_stat * 1.5, converted_stat)))))</f>
        <v/>
      </c>
      <c r="F574" s="30" t="str">
        <f t="array" ref="F574">IF($A574="", "", LET(bbgm_stat, INDEX(Players!$A573:$P573, MATCH(F$2, Players!$A$1:$P$1, 0)), perc_75, VLOOKUP(F$2, Percentiles!$A$45:$I$59, 6, FALSE), perc_90, VLOOKUP(F$2, Percentiles!$A$45:$I$59, 7, FALSE), perc_95, VLOOKUP(F$2, Percentiles!$A$45:$I$59, 8, FALSE), perc_85, perc_75 + (perc_90 - perc_75) * (2/3), converted_stat, '2K_Ratings'!F574, IF(bbgm_stat &gt;= perc_95, converted_stat * 3, IF(bbgm_stat &gt;= perc_90, converted_stat * 2, IF(bbgm_stat &gt;= perc_85, converted_stat * 1.5, converted_stat)))))</f>
        <v/>
      </c>
      <c r="G574" s="30" t="str">
        <f t="array" ref="G574">IF($A574="", "", LET(bbgm_stat, INDEX(Players!$A573:$P573, MATCH(G$2, Players!$A$1:$P$1, 0)), perc_75, VLOOKUP(G$2, Percentiles!$A$45:$I$59, 6, FALSE), perc_90, VLOOKUP(G$2, Percentiles!$A$45:$I$59, 7, FALSE), perc_95, VLOOKUP(G$2, Percentiles!$A$45:$I$59, 8, FALSE), perc_85, perc_75 + (perc_90 - perc_75) * (2/3), converted_stat, '2K_Ratings'!G574, IF(bbgm_stat &gt;= perc_95, converted_stat * 3, IF(bbgm_stat &gt;= perc_90, converted_stat * 2, IF(bbgm_stat &gt;= perc_85, converted_stat * 1.5, converted_stat)))))</f>
        <v/>
      </c>
      <c r="H574" s="30" t="str">
        <f t="array" ref="H574">IF($A574="", "", LET(bbgm_stat, INDEX(Players!$A573:$P573, MATCH(H$2, Players!$A$1:$P$1, 0)), perc_75, VLOOKUP(H$2, Percentiles!$A$45:$I$59, 6, FALSE), perc_90, VLOOKUP(H$2, Percentiles!$A$45:$I$59, 7, FALSE), perc_95, VLOOKUP(H$2, Percentiles!$A$45:$I$59, 8, FALSE), perc_85, perc_75 + (perc_90 - perc_75) * (2/3), converted_stat, '2K_Ratings'!H574, IF(bbgm_stat &gt;= perc_95, converted_stat * 3, IF(bbgm_stat &gt;= perc_90, converted_stat * 2, IF(bbgm_stat &gt;= perc_85, converted_stat * 1.5, converted_stat)))))</f>
        <v/>
      </c>
      <c r="I574" s="30" t="str">
        <f t="array" ref="I574">IF($A574="", "", LET(bbgm_stat, INDEX(Players!$A573:$P573, MATCH(I$2, Players!$A$1:$P$1, 0)), perc_75, VLOOKUP(I$2, Percentiles!$A$45:$I$59, 6, FALSE), perc_90, VLOOKUP(I$2, Percentiles!$A$45:$I$59, 7, FALSE), perc_95, VLOOKUP(I$2, Percentiles!$A$45:$I$59, 8, FALSE), perc_85, perc_75 + (perc_90 - perc_75) * (2/3), converted_stat, '2K_Ratings'!I574, IF(bbgm_stat &gt;= perc_95, converted_stat * 3, IF(bbgm_stat &gt;= perc_90, converted_stat * 2, IF(bbgm_stat &gt;= perc_85, converted_stat * 1.5, converted_stat)))))</f>
        <v/>
      </c>
      <c r="J574" s="30" t="str">
        <f t="array" ref="J574">IF($A574="", "", LET(bbgm_stat, INDEX(Players!$A573:$P573, MATCH(J$2, Players!$A$1:$P$1, 0)), perc_75, VLOOKUP(J$2, Percentiles!$A$45:$I$59, 6, FALSE), perc_90, VLOOKUP(J$2, Percentiles!$A$45:$I$59, 7, FALSE), perc_95, VLOOKUP(J$2, Percentiles!$A$45:$I$59, 8, FALSE), perc_85, perc_75 + (perc_90 - perc_75) * (2/3), converted_stat, '2K_Ratings'!J574, IF(bbgm_stat &gt;= perc_95, converted_stat * 3, IF(bbgm_stat &gt;= perc_90, converted_stat * 2, IF(bbgm_stat &gt;= perc_85, converted_stat * 1.5, converted_stat)))))</f>
        <v/>
      </c>
      <c r="K574" s="30" t="str">
        <f t="array" ref="K574">IF($A574="", "", LET(bbgm_stat, INDEX(Players!$A573:$P573, MATCH(K$2, Players!$A$1:$P$1, 0)), perc_75, VLOOKUP(K$2, Percentiles!$A$45:$I$59, 6, FALSE), perc_90, VLOOKUP(K$2, Percentiles!$A$45:$I$59, 7, FALSE), perc_95, VLOOKUP(K$2, Percentiles!$A$45:$I$59, 8, FALSE), perc_85, perc_75 + (perc_90 - perc_75) * (2/3), converted_stat, '2K_Ratings'!K574, IF(bbgm_stat &gt;= perc_95, converted_stat * 3, IF(bbgm_stat &gt;= perc_90, converted_stat * 2, IF(bbgm_stat &gt;= perc_85, converted_stat * 1.5, converted_stat)))))</f>
        <v/>
      </c>
      <c r="L574" s="30" t="str">
        <f t="array" ref="L574">IF($A574="", "", LET(bbgm_stat, INDEX(Players!$A573:$P573, MATCH(L$2, Players!$A$1:$P$1, 0)), perc_75, VLOOKUP(L$2, Percentiles!$A$45:$I$59, 6, FALSE), perc_90, VLOOKUP(L$2, Percentiles!$A$45:$I$59, 7, FALSE), perc_95, VLOOKUP(L$2, Percentiles!$A$45:$I$59, 8, FALSE), perc_85, perc_75 + (perc_90 - perc_75) * (2/3), converted_stat, '2K_Ratings'!L574, IF(bbgm_stat &gt;= perc_95, converted_stat * 3, IF(bbgm_stat &gt;= perc_90, converted_stat * 2, IF(bbgm_stat &gt;= perc_85, converted_stat * 1.5, converted_stat)))))</f>
        <v/>
      </c>
      <c r="M574" s="30" t="str">
        <f t="array" ref="M574">IF($A574="", "", LET(bbgm_stat, INDEX(Players!$A573:$P573, MATCH(M$2, Players!$A$1:$P$1, 0)), perc_75, VLOOKUP(M$2, Percentiles!$A$45:$I$59, 6, FALSE), perc_90, VLOOKUP(M$2, Percentiles!$A$45:$I$59, 7, FALSE), perc_95, VLOOKUP(M$2, Percentiles!$A$45:$I$59, 8, FALSE), perc_85, perc_75 + (perc_90 - perc_75) * (2/3), converted_stat, '2K_Ratings'!M574, IF(bbgm_stat &gt;= perc_95, converted_stat * 3, IF(bbgm_stat &gt;= perc_90, converted_stat * 2, IF(bbgm_stat &gt;= perc_85, converted_stat * 1.5, converted_stat)))))</f>
        <v/>
      </c>
      <c r="N574" s="30" t="str">
        <f t="array" ref="N574">IF($A574="", "", LET(bbgm_stat, INDEX(Players!$A573:$P573, MATCH(N$2, Players!$A$1:$P$1, 0)), perc_75, VLOOKUP(N$2, Percentiles!$A$45:$I$59, 6, FALSE), perc_90, VLOOKUP(N$2, Percentiles!$A$45:$I$59, 7, FALSE), perc_95, VLOOKUP(N$2, Percentiles!$A$45:$I$59, 8, FALSE), perc_85, perc_75 + (perc_90 - perc_75) * (2/3), converted_stat, '2K_Ratings'!N574, IF(bbgm_stat &gt;= perc_95, converted_stat * 3, IF(bbgm_stat &gt;= perc_90, converted_stat * 2, IF(bbgm_stat &gt;= perc_85, converted_stat * 1.5, converted_stat)))))</f>
        <v/>
      </c>
      <c r="O574" s="30" t="str">
        <f t="array" ref="O574">IF($A574="", "", LET(bbgm_stat, INDEX(Players!$A573:$P573, MATCH(O$2, Players!$A$1:$P$1, 0)), perc_75, VLOOKUP(O$2, Percentiles!$A$45:$I$59, 6, FALSE), perc_90, VLOOKUP(O$2, Percentiles!$A$45:$I$59, 7, FALSE), perc_95, VLOOKUP(O$2, Percentiles!$A$45:$I$59, 8, FALSE), perc_85, perc_75 + (perc_90 - perc_75) * (2/3), converted_stat, '2K_Ratings'!O574, IF(bbgm_stat &gt;= perc_95, converted_stat * 3, IF(bbgm_stat &gt;= perc_90, converted_stat * 2, IF(bbgm_stat &gt;= perc_85, converted_stat * 1.5, converted_stat)))))</f>
        <v/>
      </c>
      <c r="P574" s="30" t="str">
        <f t="array" ref="P574">IF($A574="", "", LET(bbgm_stat, INDEX(Players!$A573:$P573, MATCH(P$2, Players!$A$1:$P$1, 0)), perc_75, VLOOKUP(P$2, Percentiles!$A$45:$I$59, 6, FALSE), perc_90, VLOOKUP(P$2, Percentiles!$A$45:$I$59, 7, FALSE), perc_95, VLOOKUP(P$2, Percentiles!$A$45:$I$59, 8, FALSE), perc_85, perc_75 + (perc_90 - perc_75) * (2/3), converted_stat, '2K_Ratings'!P574, IF(bbgm_stat &gt;= perc_95, converted_stat * 3, IF(bbgm_stat &gt;= perc_90, converted_stat * 2, IF(bbgm_stat &gt;= perc_85, converted_stat * 1.5, converted_stat)))))</f>
        <v/>
      </c>
      <c r="Q574" s="30" t="str">
        <f t="array" ref="Q574">IF($A574="", "", LET(bbgm_stat, INDEX(Players!$A573:$P573, MATCH(Q$2, Players!$A$1:$P$1, 0)), perc_75, VLOOKUP(Q$2, Percentiles!$A$45:$I$59, 6, FALSE), perc_90, VLOOKUP(Q$2, Percentiles!$A$45:$I$59, 7, FALSE), perc_95, VLOOKUP(Q$2, Percentiles!$A$45:$I$59, 8, FALSE), perc_85, perc_75 + (perc_90 - perc_75) * (2/3), converted_stat, '2K_Ratings'!Q574, IF(bbgm_stat &gt;= perc_95, converted_stat * 3, IF(bbgm_stat &gt;= perc_90, converted_stat * 2, IF(bbgm_stat &gt;= perc_85, converted_stat * 1.5, converted_stat)))))</f>
        <v/>
      </c>
      <c r="R574" s="30" t="str">
        <f t="array" ref="R574">IF($A574="", "", LET(bbgm_stat, INDEX(Players!$A573:$P573, MATCH(R$2, Players!$A$1:$P$1, 0)), perc_75, VLOOKUP(R$2, Percentiles!$A$45:$I$59, 6, FALSE), perc_90, VLOOKUP(R$2, Percentiles!$A$45:$I$59, 7, FALSE), perc_95, VLOOKUP(R$2, Percentiles!$A$45:$I$59, 8, FALSE), perc_85, perc_75 + (perc_90 - perc_75) * (2/3), converted_stat, '2K_Ratings'!R574, IF(bbgm_stat &gt;= perc_95, converted_stat * 3, IF(bbgm_stat &gt;= perc_90, converted_stat * 2, IF(bbgm_stat &gt;= perc_85, converted_stat * 1.5, converted_stat)))))</f>
        <v/>
      </c>
      <c r="S574" s="30" t="str">
        <f t="array" ref="S574">IF($A574="", "", LET(bbgm_stat, INDEX(Players!$A573:$P573, MATCH(S$2, Players!$A$1:$P$1, 0)), perc_75, VLOOKUP(S$2, Percentiles!$A$45:$I$59, 6, FALSE), perc_90, VLOOKUP(S$2, Percentiles!$A$45:$I$59, 7, FALSE), perc_95, VLOOKUP(S$2, Percentiles!$A$45:$I$59, 8, FALSE), perc_85, perc_75 + (perc_90 - perc_75) * (2/3), converted_stat, '2K_Ratings'!S574, IF(bbgm_stat &gt;= perc_95, converted_stat * 3, IF(bbgm_stat &gt;= perc_90, converted_stat * 2, IF(bbgm_stat &gt;= perc_85, converted_stat * 1.5, converted_stat)))))</f>
        <v/>
      </c>
      <c r="T574" s="30" t="str">
        <f t="array" ref="T574">IF($A574="", "", LET(bbgm_stat, INDEX(Players!$A573:$P573, MATCH(T$2, Players!$A$1:$P$1, 0)), perc_75, VLOOKUP(T$2, Percentiles!$A$45:$I$59, 6, FALSE), perc_90, VLOOKUP(T$2, Percentiles!$A$45:$I$59, 7, FALSE), perc_95, VLOOKUP(T$2, Percentiles!$A$45:$I$59, 8, FALSE), perc_85, perc_75 + (perc_90 - perc_75) * (2/3), converted_stat, '2K_Ratings'!T574, IF(bbgm_stat &gt;= perc_95, converted_stat * 3, IF(bbgm_stat &gt;= perc_90, converted_stat * 2, IF(bbgm_stat &gt;= perc_85, converted_stat * 1.5, converted_stat)))))</f>
        <v/>
      </c>
      <c r="U574" s="30" t="str">
        <f t="array" ref="U574">IF($A574="", "", LET(bbgm_stat, INDEX(Players!$A573:$P573, MATCH(U$2, Players!$A$1:$P$1, 0)), perc_75, VLOOKUP(U$2, Percentiles!$A$45:$I$59, 6, FALSE), perc_90, VLOOKUP(U$2, Percentiles!$A$45:$I$59, 7, FALSE), perc_95, VLOOKUP(U$2, Percentiles!$A$45:$I$59, 8, FALSE), perc_85, perc_75 + (perc_90 - perc_75) * (2/3), converted_stat, '2K_Ratings'!U574, IF(bbgm_stat &gt;= perc_95, converted_stat * 3, IF(bbgm_stat &gt;= perc_90, converted_stat * 2, IF(bbgm_stat &gt;= perc_85, converted_stat * 1.5, converted_stat)))))</f>
        <v/>
      </c>
      <c r="V574" s="30" t="str">
        <f t="array" ref="V574">IF($A574="", "", LET(bbgm_stat, INDEX(Players!$A573:$P573, MATCH(V$2, Players!$A$1:$P$1, 0)), perc_75, VLOOKUP(V$2, Percentiles!$A$45:$I$59, 6, FALSE), perc_90, VLOOKUP(V$2, Percentiles!$A$45:$I$59, 7, FALSE), perc_95, VLOOKUP(V$2, Percentiles!$A$45:$I$59, 8, FALSE), perc_85, perc_75 + (perc_90 - perc_75) * (2/3), converted_stat, '2K_Ratings'!V574, IF(bbgm_stat &gt;= perc_95, converted_stat * 3, IF(bbgm_stat &gt;= perc_90, converted_stat * 2, IF(bbgm_stat &gt;= perc_85, converted_stat * 1.5, converted_stat)))))</f>
        <v/>
      </c>
      <c r="W574" s="30" t="str">
        <f t="array" ref="W574">IF($A574="", "", LET(bbgm_stat, INDEX(Players!$A573:$P573, MATCH(W$2, Players!$A$1:$P$1, 0)), perc_75, VLOOKUP(W$2, Percentiles!$A$45:$I$59, 6, FALSE), perc_90, VLOOKUP(W$2, Percentiles!$A$45:$I$59, 7, FALSE), perc_95, VLOOKUP(W$2, Percentiles!$A$45:$I$59, 8, FALSE), perc_85, perc_75 + (perc_90 - perc_75) * (2/3), converted_stat, '2K_Ratings'!W574, IF(bbgm_stat &gt;= perc_95, converted_stat * 3, IF(bbgm_stat &gt;= perc_90, converted_stat * 2, IF(bbgm_stat &gt;= perc_85, converted_stat * 1.5, converted_stat)))))</f>
        <v/>
      </c>
    </row>
    <row r="575">
      <c r="A575" s="30"/>
      <c r="B575" s="30" t="str">
        <f t="array" ref="B575">IF($A575="", "", LET(bbgm_stat, INDEX(Players!$A574:$P574, MATCH(B$2, Players!$A$1:$P$1, 0)), perc_75, VLOOKUP(B$2, Percentiles!$A$45:$I$59, 6, FALSE), perc_90, VLOOKUP(B$2, Percentiles!$A$45:$I$59, 7, FALSE), perc_95, VLOOKUP(B$2, Percentiles!$A$45:$I$59, 8, FALSE), perc_85, perc_75 + (perc_90 - perc_75) * (2/3), converted_stat, '2K_Ratings'!B575, IF(bbgm_stat &gt;= perc_95, converted_stat * 3, IF(bbgm_stat &gt;= perc_90, converted_stat * 2, IF(bbgm_stat &gt;= perc_85, converted_stat * 1.5, converted_stat)))))</f>
        <v/>
      </c>
      <c r="C575" s="30" t="str">
        <f t="array" ref="C575">IF($A575="", "", LET(bbgm_stat, INDEX(Players!$A574:$P574, MATCH(C$2, Players!$A$1:$P$1, 0)), perc_75, VLOOKUP(C$2, Percentiles!$A$45:$I$59, 6, FALSE), perc_90, VLOOKUP(C$2, Percentiles!$A$45:$I$59, 7, FALSE), perc_95, VLOOKUP(C$2, Percentiles!$A$45:$I$59, 8, FALSE), perc_85, perc_75 + (perc_90 - perc_75) * (2/3), converted_stat, '2K_Ratings'!C575, IF(bbgm_stat &gt;= perc_95, converted_stat * 3, IF(bbgm_stat &gt;= perc_90, converted_stat * 2, IF(bbgm_stat &gt;= perc_85, converted_stat * 1.5, converted_stat)))))</f>
        <v/>
      </c>
      <c r="D575" s="30" t="str">
        <f t="array" ref="D575">IF($A575="", "", LET(bbgm_stat, INDEX(Players!$A574:$P574, MATCH(D$2, Players!$A$1:$P$1, 0)), perc_75, VLOOKUP(D$2, Percentiles!$A$45:$I$59, 6, FALSE), perc_90, VLOOKUP(D$2, Percentiles!$A$45:$I$59, 7, FALSE), perc_95, VLOOKUP(D$2, Percentiles!$A$45:$I$59, 8, FALSE), perc_85, perc_75 + (perc_90 - perc_75) * (2/3), converted_stat, '2K_Ratings'!D575, IF(bbgm_stat &gt;= perc_95, converted_stat * 3, IF(bbgm_stat &gt;= perc_90, converted_stat * 2, IF(bbgm_stat &gt;= perc_85, converted_stat * 1.5, converted_stat)))))</f>
        <v/>
      </c>
      <c r="E575" s="30" t="str">
        <f t="array" ref="E575">IF($A575="", "", LET(bbgm_stat, INDEX(Players!$A574:$P574, MATCH(E$2, Players!$A$1:$P$1, 0)), perc_75, VLOOKUP(E$2, Percentiles!$A$45:$I$59, 6, FALSE), perc_90, VLOOKUP(E$2, Percentiles!$A$45:$I$59, 7, FALSE), perc_95, VLOOKUP(E$2, Percentiles!$A$45:$I$59, 8, FALSE), perc_85, perc_75 + (perc_90 - perc_75) * (2/3), converted_stat, '2K_Ratings'!E575, IF(bbgm_stat &gt;= perc_95, converted_stat * 3, IF(bbgm_stat &gt;= perc_90, converted_stat * 2, IF(bbgm_stat &gt;= perc_85, converted_stat * 1.5, converted_stat)))))</f>
        <v/>
      </c>
      <c r="F575" s="30" t="str">
        <f t="array" ref="F575">IF($A575="", "", LET(bbgm_stat, INDEX(Players!$A574:$P574, MATCH(F$2, Players!$A$1:$P$1, 0)), perc_75, VLOOKUP(F$2, Percentiles!$A$45:$I$59, 6, FALSE), perc_90, VLOOKUP(F$2, Percentiles!$A$45:$I$59, 7, FALSE), perc_95, VLOOKUP(F$2, Percentiles!$A$45:$I$59, 8, FALSE), perc_85, perc_75 + (perc_90 - perc_75) * (2/3), converted_stat, '2K_Ratings'!F575, IF(bbgm_stat &gt;= perc_95, converted_stat * 3, IF(bbgm_stat &gt;= perc_90, converted_stat * 2, IF(bbgm_stat &gt;= perc_85, converted_stat * 1.5, converted_stat)))))</f>
        <v/>
      </c>
      <c r="G575" s="30" t="str">
        <f t="array" ref="G575">IF($A575="", "", LET(bbgm_stat, INDEX(Players!$A574:$P574, MATCH(G$2, Players!$A$1:$P$1, 0)), perc_75, VLOOKUP(G$2, Percentiles!$A$45:$I$59, 6, FALSE), perc_90, VLOOKUP(G$2, Percentiles!$A$45:$I$59, 7, FALSE), perc_95, VLOOKUP(G$2, Percentiles!$A$45:$I$59, 8, FALSE), perc_85, perc_75 + (perc_90 - perc_75) * (2/3), converted_stat, '2K_Ratings'!G575, IF(bbgm_stat &gt;= perc_95, converted_stat * 3, IF(bbgm_stat &gt;= perc_90, converted_stat * 2, IF(bbgm_stat &gt;= perc_85, converted_stat * 1.5, converted_stat)))))</f>
        <v/>
      </c>
      <c r="H575" s="30" t="str">
        <f t="array" ref="H575">IF($A575="", "", LET(bbgm_stat, INDEX(Players!$A574:$P574, MATCH(H$2, Players!$A$1:$P$1, 0)), perc_75, VLOOKUP(H$2, Percentiles!$A$45:$I$59, 6, FALSE), perc_90, VLOOKUP(H$2, Percentiles!$A$45:$I$59, 7, FALSE), perc_95, VLOOKUP(H$2, Percentiles!$A$45:$I$59, 8, FALSE), perc_85, perc_75 + (perc_90 - perc_75) * (2/3), converted_stat, '2K_Ratings'!H575, IF(bbgm_stat &gt;= perc_95, converted_stat * 3, IF(bbgm_stat &gt;= perc_90, converted_stat * 2, IF(bbgm_stat &gt;= perc_85, converted_stat * 1.5, converted_stat)))))</f>
        <v/>
      </c>
      <c r="I575" s="30" t="str">
        <f t="array" ref="I575">IF($A575="", "", LET(bbgm_stat, INDEX(Players!$A574:$P574, MATCH(I$2, Players!$A$1:$P$1, 0)), perc_75, VLOOKUP(I$2, Percentiles!$A$45:$I$59, 6, FALSE), perc_90, VLOOKUP(I$2, Percentiles!$A$45:$I$59, 7, FALSE), perc_95, VLOOKUP(I$2, Percentiles!$A$45:$I$59, 8, FALSE), perc_85, perc_75 + (perc_90 - perc_75) * (2/3), converted_stat, '2K_Ratings'!I575, IF(bbgm_stat &gt;= perc_95, converted_stat * 3, IF(bbgm_stat &gt;= perc_90, converted_stat * 2, IF(bbgm_stat &gt;= perc_85, converted_stat * 1.5, converted_stat)))))</f>
        <v/>
      </c>
      <c r="J575" s="30" t="str">
        <f t="array" ref="J575">IF($A575="", "", LET(bbgm_stat, INDEX(Players!$A574:$P574, MATCH(J$2, Players!$A$1:$P$1, 0)), perc_75, VLOOKUP(J$2, Percentiles!$A$45:$I$59, 6, FALSE), perc_90, VLOOKUP(J$2, Percentiles!$A$45:$I$59, 7, FALSE), perc_95, VLOOKUP(J$2, Percentiles!$A$45:$I$59, 8, FALSE), perc_85, perc_75 + (perc_90 - perc_75) * (2/3), converted_stat, '2K_Ratings'!J575, IF(bbgm_stat &gt;= perc_95, converted_stat * 3, IF(bbgm_stat &gt;= perc_90, converted_stat * 2, IF(bbgm_stat &gt;= perc_85, converted_stat * 1.5, converted_stat)))))</f>
        <v/>
      </c>
      <c r="K575" s="30" t="str">
        <f t="array" ref="K575">IF($A575="", "", LET(bbgm_stat, INDEX(Players!$A574:$P574, MATCH(K$2, Players!$A$1:$P$1, 0)), perc_75, VLOOKUP(K$2, Percentiles!$A$45:$I$59, 6, FALSE), perc_90, VLOOKUP(K$2, Percentiles!$A$45:$I$59, 7, FALSE), perc_95, VLOOKUP(K$2, Percentiles!$A$45:$I$59, 8, FALSE), perc_85, perc_75 + (perc_90 - perc_75) * (2/3), converted_stat, '2K_Ratings'!K575, IF(bbgm_stat &gt;= perc_95, converted_stat * 3, IF(bbgm_stat &gt;= perc_90, converted_stat * 2, IF(bbgm_stat &gt;= perc_85, converted_stat * 1.5, converted_stat)))))</f>
        <v/>
      </c>
      <c r="L575" s="30" t="str">
        <f t="array" ref="L575">IF($A575="", "", LET(bbgm_stat, INDEX(Players!$A574:$P574, MATCH(L$2, Players!$A$1:$P$1, 0)), perc_75, VLOOKUP(L$2, Percentiles!$A$45:$I$59, 6, FALSE), perc_90, VLOOKUP(L$2, Percentiles!$A$45:$I$59, 7, FALSE), perc_95, VLOOKUP(L$2, Percentiles!$A$45:$I$59, 8, FALSE), perc_85, perc_75 + (perc_90 - perc_75) * (2/3), converted_stat, '2K_Ratings'!L575, IF(bbgm_stat &gt;= perc_95, converted_stat * 3, IF(bbgm_stat &gt;= perc_90, converted_stat * 2, IF(bbgm_stat &gt;= perc_85, converted_stat * 1.5, converted_stat)))))</f>
        <v/>
      </c>
      <c r="M575" s="30" t="str">
        <f t="array" ref="M575">IF($A575="", "", LET(bbgm_stat, INDEX(Players!$A574:$P574, MATCH(M$2, Players!$A$1:$P$1, 0)), perc_75, VLOOKUP(M$2, Percentiles!$A$45:$I$59, 6, FALSE), perc_90, VLOOKUP(M$2, Percentiles!$A$45:$I$59, 7, FALSE), perc_95, VLOOKUP(M$2, Percentiles!$A$45:$I$59, 8, FALSE), perc_85, perc_75 + (perc_90 - perc_75) * (2/3), converted_stat, '2K_Ratings'!M575, IF(bbgm_stat &gt;= perc_95, converted_stat * 3, IF(bbgm_stat &gt;= perc_90, converted_stat * 2, IF(bbgm_stat &gt;= perc_85, converted_stat * 1.5, converted_stat)))))</f>
        <v/>
      </c>
      <c r="N575" s="30" t="str">
        <f t="array" ref="N575">IF($A575="", "", LET(bbgm_stat, INDEX(Players!$A574:$P574, MATCH(N$2, Players!$A$1:$P$1, 0)), perc_75, VLOOKUP(N$2, Percentiles!$A$45:$I$59, 6, FALSE), perc_90, VLOOKUP(N$2, Percentiles!$A$45:$I$59, 7, FALSE), perc_95, VLOOKUP(N$2, Percentiles!$A$45:$I$59, 8, FALSE), perc_85, perc_75 + (perc_90 - perc_75) * (2/3), converted_stat, '2K_Ratings'!N575, IF(bbgm_stat &gt;= perc_95, converted_stat * 3, IF(bbgm_stat &gt;= perc_90, converted_stat * 2, IF(bbgm_stat &gt;= perc_85, converted_stat * 1.5, converted_stat)))))</f>
        <v/>
      </c>
      <c r="O575" s="30" t="str">
        <f t="array" ref="O575">IF($A575="", "", LET(bbgm_stat, INDEX(Players!$A574:$P574, MATCH(O$2, Players!$A$1:$P$1, 0)), perc_75, VLOOKUP(O$2, Percentiles!$A$45:$I$59, 6, FALSE), perc_90, VLOOKUP(O$2, Percentiles!$A$45:$I$59, 7, FALSE), perc_95, VLOOKUP(O$2, Percentiles!$A$45:$I$59, 8, FALSE), perc_85, perc_75 + (perc_90 - perc_75) * (2/3), converted_stat, '2K_Ratings'!O575, IF(bbgm_stat &gt;= perc_95, converted_stat * 3, IF(bbgm_stat &gt;= perc_90, converted_stat * 2, IF(bbgm_stat &gt;= perc_85, converted_stat * 1.5, converted_stat)))))</f>
        <v/>
      </c>
      <c r="P575" s="30" t="str">
        <f t="array" ref="P575">IF($A575="", "", LET(bbgm_stat, INDEX(Players!$A574:$P574, MATCH(P$2, Players!$A$1:$P$1, 0)), perc_75, VLOOKUP(P$2, Percentiles!$A$45:$I$59, 6, FALSE), perc_90, VLOOKUP(P$2, Percentiles!$A$45:$I$59, 7, FALSE), perc_95, VLOOKUP(P$2, Percentiles!$A$45:$I$59, 8, FALSE), perc_85, perc_75 + (perc_90 - perc_75) * (2/3), converted_stat, '2K_Ratings'!P575, IF(bbgm_stat &gt;= perc_95, converted_stat * 3, IF(bbgm_stat &gt;= perc_90, converted_stat * 2, IF(bbgm_stat &gt;= perc_85, converted_stat * 1.5, converted_stat)))))</f>
        <v/>
      </c>
      <c r="Q575" s="30" t="str">
        <f t="array" ref="Q575">IF($A575="", "", LET(bbgm_stat, INDEX(Players!$A574:$P574, MATCH(Q$2, Players!$A$1:$P$1, 0)), perc_75, VLOOKUP(Q$2, Percentiles!$A$45:$I$59, 6, FALSE), perc_90, VLOOKUP(Q$2, Percentiles!$A$45:$I$59, 7, FALSE), perc_95, VLOOKUP(Q$2, Percentiles!$A$45:$I$59, 8, FALSE), perc_85, perc_75 + (perc_90 - perc_75) * (2/3), converted_stat, '2K_Ratings'!Q575, IF(bbgm_stat &gt;= perc_95, converted_stat * 3, IF(bbgm_stat &gt;= perc_90, converted_stat * 2, IF(bbgm_stat &gt;= perc_85, converted_stat * 1.5, converted_stat)))))</f>
        <v/>
      </c>
      <c r="R575" s="30" t="str">
        <f t="array" ref="R575">IF($A575="", "", LET(bbgm_stat, INDEX(Players!$A574:$P574, MATCH(R$2, Players!$A$1:$P$1, 0)), perc_75, VLOOKUP(R$2, Percentiles!$A$45:$I$59, 6, FALSE), perc_90, VLOOKUP(R$2, Percentiles!$A$45:$I$59, 7, FALSE), perc_95, VLOOKUP(R$2, Percentiles!$A$45:$I$59, 8, FALSE), perc_85, perc_75 + (perc_90 - perc_75) * (2/3), converted_stat, '2K_Ratings'!R575, IF(bbgm_stat &gt;= perc_95, converted_stat * 3, IF(bbgm_stat &gt;= perc_90, converted_stat * 2, IF(bbgm_stat &gt;= perc_85, converted_stat * 1.5, converted_stat)))))</f>
        <v/>
      </c>
      <c r="S575" s="30" t="str">
        <f t="array" ref="S575">IF($A575="", "", LET(bbgm_stat, INDEX(Players!$A574:$P574, MATCH(S$2, Players!$A$1:$P$1, 0)), perc_75, VLOOKUP(S$2, Percentiles!$A$45:$I$59, 6, FALSE), perc_90, VLOOKUP(S$2, Percentiles!$A$45:$I$59, 7, FALSE), perc_95, VLOOKUP(S$2, Percentiles!$A$45:$I$59, 8, FALSE), perc_85, perc_75 + (perc_90 - perc_75) * (2/3), converted_stat, '2K_Ratings'!S575, IF(bbgm_stat &gt;= perc_95, converted_stat * 3, IF(bbgm_stat &gt;= perc_90, converted_stat * 2, IF(bbgm_stat &gt;= perc_85, converted_stat * 1.5, converted_stat)))))</f>
        <v/>
      </c>
      <c r="T575" s="30" t="str">
        <f t="array" ref="T575">IF($A575="", "", LET(bbgm_stat, INDEX(Players!$A574:$P574, MATCH(T$2, Players!$A$1:$P$1, 0)), perc_75, VLOOKUP(T$2, Percentiles!$A$45:$I$59, 6, FALSE), perc_90, VLOOKUP(T$2, Percentiles!$A$45:$I$59, 7, FALSE), perc_95, VLOOKUP(T$2, Percentiles!$A$45:$I$59, 8, FALSE), perc_85, perc_75 + (perc_90 - perc_75) * (2/3), converted_stat, '2K_Ratings'!T575, IF(bbgm_stat &gt;= perc_95, converted_stat * 3, IF(bbgm_stat &gt;= perc_90, converted_stat * 2, IF(bbgm_stat &gt;= perc_85, converted_stat * 1.5, converted_stat)))))</f>
        <v/>
      </c>
      <c r="U575" s="30" t="str">
        <f t="array" ref="U575">IF($A575="", "", LET(bbgm_stat, INDEX(Players!$A574:$P574, MATCH(U$2, Players!$A$1:$P$1, 0)), perc_75, VLOOKUP(U$2, Percentiles!$A$45:$I$59, 6, FALSE), perc_90, VLOOKUP(U$2, Percentiles!$A$45:$I$59, 7, FALSE), perc_95, VLOOKUP(U$2, Percentiles!$A$45:$I$59, 8, FALSE), perc_85, perc_75 + (perc_90 - perc_75) * (2/3), converted_stat, '2K_Ratings'!U575, IF(bbgm_stat &gt;= perc_95, converted_stat * 3, IF(bbgm_stat &gt;= perc_90, converted_stat * 2, IF(bbgm_stat &gt;= perc_85, converted_stat * 1.5, converted_stat)))))</f>
        <v/>
      </c>
      <c r="V575" s="30" t="str">
        <f t="array" ref="V575">IF($A575="", "", LET(bbgm_stat, INDEX(Players!$A574:$P574, MATCH(V$2, Players!$A$1:$P$1, 0)), perc_75, VLOOKUP(V$2, Percentiles!$A$45:$I$59, 6, FALSE), perc_90, VLOOKUP(V$2, Percentiles!$A$45:$I$59, 7, FALSE), perc_95, VLOOKUP(V$2, Percentiles!$A$45:$I$59, 8, FALSE), perc_85, perc_75 + (perc_90 - perc_75) * (2/3), converted_stat, '2K_Ratings'!V575, IF(bbgm_stat &gt;= perc_95, converted_stat * 3, IF(bbgm_stat &gt;= perc_90, converted_stat * 2, IF(bbgm_stat &gt;= perc_85, converted_stat * 1.5, converted_stat)))))</f>
        <v/>
      </c>
      <c r="W575" s="30" t="str">
        <f t="array" ref="W575">IF($A575="", "", LET(bbgm_stat, INDEX(Players!$A574:$P574, MATCH(W$2, Players!$A$1:$P$1, 0)), perc_75, VLOOKUP(W$2, Percentiles!$A$45:$I$59, 6, FALSE), perc_90, VLOOKUP(W$2, Percentiles!$A$45:$I$59, 7, FALSE), perc_95, VLOOKUP(W$2, Percentiles!$A$45:$I$59, 8, FALSE), perc_85, perc_75 + (perc_90 - perc_75) * (2/3), converted_stat, '2K_Ratings'!W575, IF(bbgm_stat &gt;= perc_95, converted_stat * 3, IF(bbgm_stat &gt;= perc_90, converted_stat * 2, IF(bbgm_stat &gt;= perc_85, converted_stat * 1.5, converted_stat)))))</f>
        <v/>
      </c>
    </row>
    <row r="576">
      <c r="A576" s="30"/>
      <c r="B576" s="30" t="str">
        <f t="array" ref="B576">IF($A576="", "", LET(bbgm_stat, INDEX(Players!$A575:$P575, MATCH(B$2, Players!$A$1:$P$1, 0)), perc_75, VLOOKUP(B$2, Percentiles!$A$45:$I$59, 6, FALSE), perc_90, VLOOKUP(B$2, Percentiles!$A$45:$I$59, 7, FALSE), perc_95, VLOOKUP(B$2, Percentiles!$A$45:$I$59, 8, FALSE), perc_85, perc_75 + (perc_90 - perc_75) * (2/3), converted_stat, '2K_Ratings'!B576, IF(bbgm_stat &gt;= perc_95, converted_stat * 3, IF(bbgm_stat &gt;= perc_90, converted_stat * 2, IF(bbgm_stat &gt;= perc_85, converted_stat * 1.5, converted_stat)))))</f>
        <v/>
      </c>
      <c r="C576" s="30" t="str">
        <f t="array" ref="C576">IF($A576="", "", LET(bbgm_stat, INDEX(Players!$A575:$P575, MATCH(C$2, Players!$A$1:$P$1, 0)), perc_75, VLOOKUP(C$2, Percentiles!$A$45:$I$59, 6, FALSE), perc_90, VLOOKUP(C$2, Percentiles!$A$45:$I$59, 7, FALSE), perc_95, VLOOKUP(C$2, Percentiles!$A$45:$I$59, 8, FALSE), perc_85, perc_75 + (perc_90 - perc_75) * (2/3), converted_stat, '2K_Ratings'!C576, IF(bbgm_stat &gt;= perc_95, converted_stat * 3, IF(bbgm_stat &gt;= perc_90, converted_stat * 2, IF(bbgm_stat &gt;= perc_85, converted_stat * 1.5, converted_stat)))))</f>
        <v/>
      </c>
      <c r="D576" s="30" t="str">
        <f t="array" ref="D576">IF($A576="", "", LET(bbgm_stat, INDEX(Players!$A575:$P575, MATCH(D$2, Players!$A$1:$P$1, 0)), perc_75, VLOOKUP(D$2, Percentiles!$A$45:$I$59, 6, FALSE), perc_90, VLOOKUP(D$2, Percentiles!$A$45:$I$59, 7, FALSE), perc_95, VLOOKUP(D$2, Percentiles!$A$45:$I$59, 8, FALSE), perc_85, perc_75 + (perc_90 - perc_75) * (2/3), converted_stat, '2K_Ratings'!D576, IF(bbgm_stat &gt;= perc_95, converted_stat * 3, IF(bbgm_stat &gt;= perc_90, converted_stat * 2, IF(bbgm_stat &gt;= perc_85, converted_stat * 1.5, converted_stat)))))</f>
        <v/>
      </c>
      <c r="E576" s="30" t="str">
        <f t="array" ref="E576">IF($A576="", "", LET(bbgm_stat, INDEX(Players!$A575:$P575, MATCH(E$2, Players!$A$1:$P$1, 0)), perc_75, VLOOKUP(E$2, Percentiles!$A$45:$I$59, 6, FALSE), perc_90, VLOOKUP(E$2, Percentiles!$A$45:$I$59, 7, FALSE), perc_95, VLOOKUP(E$2, Percentiles!$A$45:$I$59, 8, FALSE), perc_85, perc_75 + (perc_90 - perc_75) * (2/3), converted_stat, '2K_Ratings'!E576, IF(bbgm_stat &gt;= perc_95, converted_stat * 3, IF(bbgm_stat &gt;= perc_90, converted_stat * 2, IF(bbgm_stat &gt;= perc_85, converted_stat * 1.5, converted_stat)))))</f>
        <v/>
      </c>
      <c r="F576" s="30" t="str">
        <f t="array" ref="F576">IF($A576="", "", LET(bbgm_stat, INDEX(Players!$A575:$P575, MATCH(F$2, Players!$A$1:$P$1, 0)), perc_75, VLOOKUP(F$2, Percentiles!$A$45:$I$59, 6, FALSE), perc_90, VLOOKUP(F$2, Percentiles!$A$45:$I$59, 7, FALSE), perc_95, VLOOKUP(F$2, Percentiles!$A$45:$I$59, 8, FALSE), perc_85, perc_75 + (perc_90 - perc_75) * (2/3), converted_stat, '2K_Ratings'!F576, IF(bbgm_stat &gt;= perc_95, converted_stat * 3, IF(bbgm_stat &gt;= perc_90, converted_stat * 2, IF(bbgm_stat &gt;= perc_85, converted_stat * 1.5, converted_stat)))))</f>
        <v/>
      </c>
      <c r="G576" s="30" t="str">
        <f t="array" ref="G576">IF($A576="", "", LET(bbgm_stat, INDEX(Players!$A575:$P575, MATCH(G$2, Players!$A$1:$P$1, 0)), perc_75, VLOOKUP(G$2, Percentiles!$A$45:$I$59, 6, FALSE), perc_90, VLOOKUP(G$2, Percentiles!$A$45:$I$59, 7, FALSE), perc_95, VLOOKUP(G$2, Percentiles!$A$45:$I$59, 8, FALSE), perc_85, perc_75 + (perc_90 - perc_75) * (2/3), converted_stat, '2K_Ratings'!G576, IF(bbgm_stat &gt;= perc_95, converted_stat * 3, IF(bbgm_stat &gt;= perc_90, converted_stat * 2, IF(bbgm_stat &gt;= perc_85, converted_stat * 1.5, converted_stat)))))</f>
        <v/>
      </c>
      <c r="H576" s="30" t="str">
        <f t="array" ref="H576">IF($A576="", "", LET(bbgm_stat, INDEX(Players!$A575:$P575, MATCH(H$2, Players!$A$1:$P$1, 0)), perc_75, VLOOKUP(H$2, Percentiles!$A$45:$I$59, 6, FALSE), perc_90, VLOOKUP(H$2, Percentiles!$A$45:$I$59, 7, FALSE), perc_95, VLOOKUP(H$2, Percentiles!$A$45:$I$59, 8, FALSE), perc_85, perc_75 + (perc_90 - perc_75) * (2/3), converted_stat, '2K_Ratings'!H576, IF(bbgm_stat &gt;= perc_95, converted_stat * 3, IF(bbgm_stat &gt;= perc_90, converted_stat * 2, IF(bbgm_stat &gt;= perc_85, converted_stat * 1.5, converted_stat)))))</f>
        <v/>
      </c>
      <c r="I576" s="30" t="str">
        <f t="array" ref="I576">IF($A576="", "", LET(bbgm_stat, INDEX(Players!$A575:$P575, MATCH(I$2, Players!$A$1:$P$1, 0)), perc_75, VLOOKUP(I$2, Percentiles!$A$45:$I$59, 6, FALSE), perc_90, VLOOKUP(I$2, Percentiles!$A$45:$I$59, 7, FALSE), perc_95, VLOOKUP(I$2, Percentiles!$A$45:$I$59, 8, FALSE), perc_85, perc_75 + (perc_90 - perc_75) * (2/3), converted_stat, '2K_Ratings'!I576, IF(bbgm_stat &gt;= perc_95, converted_stat * 3, IF(bbgm_stat &gt;= perc_90, converted_stat * 2, IF(bbgm_stat &gt;= perc_85, converted_stat * 1.5, converted_stat)))))</f>
        <v/>
      </c>
      <c r="J576" s="30" t="str">
        <f t="array" ref="J576">IF($A576="", "", LET(bbgm_stat, INDEX(Players!$A575:$P575, MATCH(J$2, Players!$A$1:$P$1, 0)), perc_75, VLOOKUP(J$2, Percentiles!$A$45:$I$59, 6, FALSE), perc_90, VLOOKUP(J$2, Percentiles!$A$45:$I$59, 7, FALSE), perc_95, VLOOKUP(J$2, Percentiles!$A$45:$I$59, 8, FALSE), perc_85, perc_75 + (perc_90 - perc_75) * (2/3), converted_stat, '2K_Ratings'!J576, IF(bbgm_stat &gt;= perc_95, converted_stat * 3, IF(bbgm_stat &gt;= perc_90, converted_stat * 2, IF(bbgm_stat &gt;= perc_85, converted_stat * 1.5, converted_stat)))))</f>
        <v/>
      </c>
      <c r="K576" s="30" t="str">
        <f t="array" ref="K576">IF($A576="", "", LET(bbgm_stat, INDEX(Players!$A575:$P575, MATCH(K$2, Players!$A$1:$P$1, 0)), perc_75, VLOOKUP(K$2, Percentiles!$A$45:$I$59, 6, FALSE), perc_90, VLOOKUP(K$2, Percentiles!$A$45:$I$59, 7, FALSE), perc_95, VLOOKUP(K$2, Percentiles!$A$45:$I$59, 8, FALSE), perc_85, perc_75 + (perc_90 - perc_75) * (2/3), converted_stat, '2K_Ratings'!K576, IF(bbgm_stat &gt;= perc_95, converted_stat * 3, IF(bbgm_stat &gt;= perc_90, converted_stat * 2, IF(bbgm_stat &gt;= perc_85, converted_stat * 1.5, converted_stat)))))</f>
        <v/>
      </c>
      <c r="L576" s="30" t="str">
        <f t="array" ref="L576">IF($A576="", "", LET(bbgm_stat, INDEX(Players!$A575:$P575, MATCH(L$2, Players!$A$1:$P$1, 0)), perc_75, VLOOKUP(L$2, Percentiles!$A$45:$I$59, 6, FALSE), perc_90, VLOOKUP(L$2, Percentiles!$A$45:$I$59, 7, FALSE), perc_95, VLOOKUP(L$2, Percentiles!$A$45:$I$59, 8, FALSE), perc_85, perc_75 + (perc_90 - perc_75) * (2/3), converted_stat, '2K_Ratings'!L576, IF(bbgm_stat &gt;= perc_95, converted_stat * 3, IF(bbgm_stat &gt;= perc_90, converted_stat * 2, IF(bbgm_stat &gt;= perc_85, converted_stat * 1.5, converted_stat)))))</f>
        <v/>
      </c>
      <c r="M576" s="30" t="str">
        <f t="array" ref="M576">IF($A576="", "", LET(bbgm_stat, INDEX(Players!$A575:$P575, MATCH(M$2, Players!$A$1:$P$1, 0)), perc_75, VLOOKUP(M$2, Percentiles!$A$45:$I$59, 6, FALSE), perc_90, VLOOKUP(M$2, Percentiles!$A$45:$I$59, 7, FALSE), perc_95, VLOOKUP(M$2, Percentiles!$A$45:$I$59, 8, FALSE), perc_85, perc_75 + (perc_90 - perc_75) * (2/3), converted_stat, '2K_Ratings'!M576, IF(bbgm_stat &gt;= perc_95, converted_stat * 3, IF(bbgm_stat &gt;= perc_90, converted_stat * 2, IF(bbgm_stat &gt;= perc_85, converted_stat * 1.5, converted_stat)))))</f>
        <v/>
      </c>
      <c r="N576" s="30" t="str">
        <f t="array" ref="N576">IF($A576="", "", LET(bbgm_stat, INDEX(Players!$A575:$P575, MATCH(N$2, Players!$A$1:$P$1, 0)), perc_75, VLOOKUP(N$2, Percentiles!$A$45:$I$59, 6, FALSE), perc_90, VLOOKUP(N$2, Percentiles!$A$45:$I$59, 7, FALSE), perc_95, VLOOKUP(N$2, Percentiles!$A$45:$I$59, 8, FALSE), perc_85, perc_75 + (perc_90 - perc_75) * (2/3), converted_stat, '2K_Ratings'!N576, IF(bbgm_stat &gt;= perc_95, converted_stat * 3, IF(bbgm_stat &gt;= perc_90, converted_stat * 2, IF(bbgm_stat &gt;= perc_85, converted_stat * 1.5, converted_stat)))))</f>
        <v/>
      </c>
      <c r="O576" s="30" t="str">
        <f t="array" ref="O576">IF($A576="", "", LET(bbgm_stat, INDEX(Players!$A575:$P575, MATCH(O$2, Players!$A$1:$P$1, 0)), perc_75, VLOOKUP(O$2, Percentiles!$A$45:$I$59, 6, FALSE), perc_90, VLOOKUP(O$2, Percentiles!$A$45:$I$59, 7, FALSE), perc_95, VLOOKUP(O$2, Percentiles!$A$45:$I$59, 8, FALSE), perc_85, perc_75 + (perc_90 - perc_75) * (2/3), converted_stat, '2K_Ratings'!O576, IF(bbgm_stat &gt;= perc_95, converted_stat * 3, IF(bbgm_stat &gt;= perc_90, converted_stat * 2, IF(bbgm_stat &gt;= perc_85, converted_stat * 1.5, converted_stat)))))</f>
        <v/>
      </c>
      <c r="P576" s="30" t="str">
        <f t="array" ref="P576">IF($A576="", "", LET(bbgm_stat, INDEX(Players!$A575:$P575, MATCH(P$2, Players!$A$1:$P$1, 0)), perc_75, VLOOKUP(P$2, Percentiles!$A$45:$I$59, 6, FALSE), perc_90, VLOOKUP(P$2, Percentiles!$A$45:$I$59, 7, FALSE), perc_95, VLOOKUP(P$2, Percentiles!$A$45:$I$59, 8, FALSE), perc_85, perc_75 + (perc_90 - perc_75) * (2/3), converted_stat, '2K_Ratings'!P576, IF(bbgm_stat &gt;= perc_95, converted_stat * 3, IF(bbgm_stat &gt;= perc_90, converted_stat * 2, IF(bbgm_stat &gt;= perc_85, converted_stat * 1.5, converted_stat)))))</f>
        <v/>
      </c>
      <c r="Q576" s="30" t="str">
        <f t="array" ref="Q576">IF($A576="", "", LET(bbgm_stat, INDEX(Players!$A575:$P575, MATCH(Q$2, Players!$A$1:$P$1, 0)), perc_75, VLOOKUP(Q$2, Percentiles!$A$45:$I$59, 6, FALSE), perc_90, VLOOKUP(Q$2, Percentiles!$A$45:$I$59, 7, FALSE), perc_95, VLOOKUP(Q$2, Percentiles!$A$45:$I$59, 8, FALSE), perc_85, perc_75 + (perc_90 - perc_75) * (2/3), converted_stat, '2K_Ratings'!Q576, IF(bbgm_stat &gt;= perc_95, converted_stat * 3, IF(bbgm_stat &gt;= perc_90, converted_stat * 2, IF(bbgm_stat &gt;= perc_85, converted_stat * 1.5, converted_stat)))))</f>
        <v/>
      </c>
      <c r="R576" s="30" t="str">
        <f t="array" ref="R576">IF($A576="", "", LET(bbgm_stat, INDEX(Players!$A575:$P575, MATCH(R$2, Players!$A$1:$P$1, 0)), perc_75, VLOOKUP(R$2, Percentiles!$A$45:$I$59, 6, FALSE), perc_90, VLOOKUP(R$2, Percentiles!$A$45:$I$59, 7, FALSE), perc_95, VLOOKUP(R$2, Percentiles!$A$45:$I$59, 8, FALSE), perc_85, perc_75 + (perc_90 - perc_75) * (2/3), converted_stat, '2K_Ratings'!R576, IF(bbgm_stat &gt;= perc_95, converted_stat * 3, IF(bbgm_stat &gt;= perc_90, converted_stat * 2, IF(bbgm_stat &gt;= perc_85, converted_stat * 1.5, converted_stat)))))</f>
        <v/>
      </c>
      <c r="S576" s="30" t="str">
        <f t="array" ref="S576">IF($A576="", "", LET(bbgm_stat, INDEX(Players!$A575:$P575, MATCH(S$2, Players!$A$1:$P$1, 0)), perc_75, VLOOKUP(S$2, Percentiles!$A$45:$I$59, 6, FALSE), perc_90, VLOOKUP(S$2, Percentiles!$A$45:$I$59, 7, FALSE), perc_95, VLOOKUP(S$2, Percentiles!$A$45:$I$59, 8, FALSE), perc_85, perc_75 + (perc_90 - perc_75) * (2/3), converted_stat, '2K_Ratings'!S576, IF(bbgm_stat &gt;= perc_95, converted_stat * 3, IF(bbgm_stat &gt;= perc_90, converted_stat * 2, IF(bbgm_stat &gt;= perc_85, converted_stat * 1.5, converted_stat)))))</f>
        <v/>
      </c>
      <c r="T576" s="30" t="str">
        <f t="array" ref="T576">IF($A576="", "", LET(bbgm_stat, INDEX(Players!$A575:$P575, MATCH(T$2, Players!$A$1:$P$1, 0)), perc_75, VLOOKUP(T$2, Percentiles!$A$45:$I$59, 6, FALSE), perc_90, VLOOKUP(T$2, Percentiles!$A$45:$I$59, 7, FALSE), perc_95, VLOOKUP(T$2, Percentiles!$A$45:$I$59, 8, FALSE), perc_85, perc_75 + (perc_90 - perc_75) * (2/3), converted_stat, '2K_Ratings'!T576, IF(bbgm_stat &gt;= perc_95, converted_stat * 3, IF(bbgm_stat &gt;= perc_90, converted_stat * 2, IF(bbgm_stat &gt;= perc_85, converted_stat * 1.5, converted_stat)))))</f>
        <v/>
      </c>
      <c r="U576" s="30" t="str">
        <f t="array" ref="U576">IF($A576="", "", LET(bbgm_stat, INDEX(Players!$A575:$P575, MATCH(U$2, Players!$A$1:$P$1, 0)), perc_75, VLOOKUP(U$2, Percentiles!$A$45:$I$59, 6, FALSE), perc_90, VLOOKUP(U$2, Percentiles!$A$45:$I$59, 7, FALSE), perc_95, VLOOKUP(U$2, Percentiles!$A$45:$I$59, 8, FALSE), perc_85, perc_75 + (perc_90 - perc_75) * (2/3), converted_stat, '2K_Ratings'!U576, IF(bbgm_stat &gt;= perc_95, converted_stat * 3, IF(bbgm_stat &gt;= perc_90, converted_stat * 2, IF(bbgm_stat &gt;= perc_85, converted_stat * 1.5, converted_stat)))))</f>
        <v/>
      </c>
      <c r="V576" s="30" t="str">
        <f t="array" ref="V576">IF($A576="", "", LET(bbgm_stat, INDEX(Players!$A575:$P575, MATCH(V$2, Players!$A$1:$P$1, 0)), perc_75, VLOOKUP(V$2, Percentiles!$A$45:$I$59, 6, FALSE), perc_90, VLOOKUP(V$2, Percentiles!$A$45:$I$59, 7, FALSE), perc_95, VLOOKUP(V$2, Percentiles!$A$45:$I$59, 8, FALSE), perc_85, perc_75 + (perc_90 - perc_75) * (2/3), converted_stat, '2K_Ratings'!V576, IF(bbgm_stat &gt;= perc_95, converted_stat * 3, IF(bbgm_stat &gt;= perc_90, converted_stat * 2, IF(bbgm_stat &gt;= perc_85, converted_stat * 1.5, converted_stat)))))</f>
        <v/>
      </c>
      <c r="W576" s="30" t="str">
        <f t="array" ref="W576">IF($A576="", "", LET(bbgm_stat, INDEX(Players!$A575:$P575, MATCH(W$2, Players!$A$1:$P$1, 0)), perc_75, VLOOKUP(W$2, Percentiles!$A$45:$I$59, 6, FALSE), perc_90, VLOOKUP(W$2, Percentiles!$A$45:$I$59, 7, FALSE), perc_95, VLOOKUP(W$2, Percentiles!$A$45:$I$59, 8, FALSE), perc_85, perc_75 + (perc_90 - perc_75) * (2/3), converted_stat, '2K_Ratings'!W576, IF(bbgm_stat &gt;= perc_95, converted_stat * 3, IF(bbgm_stat &gt;= perc_90, converted_stat * 2, IF(bbgm_stat &gt;= perc_85, converted_stat * 1.5, converted_stat)))))</f>
        <v/>
      </c>
    </row>
    <row r="577">
      <c r="A577" s="30"/>
      <c r="B577" s="30" t="str">
        <f t="array" ref="B577">IF($A577="", "", LET(bbgm_stat, INDEX(Players!$A576:$P576, MATCH(B$2, Players!$A$1:$P$1, 0)), perc_75, VLOOKUP(B$2, Percentiles!$A$45:$I$59, 6, FALSE), perc_90, VLOOKUP(B$2, Percentiles!$A$45:$I$59, 7, FALSE), perc_95, VLOOKUP(B$2, Percentiles!$A$45:$I$59, 8, FALSE), perc_85, perc_75 + (perc_90 - perc_75) * (2/3), converted_stat, '2K_Ratings'!B577, IF(bbgm_stat &gt;= perc_95, converted_stat * 3, IF(bbgm_stat &gt;= perc_90, converted_stat * 2, IF(bbgm_stat &gt;= perc_85, converted_stat * 1.5, converted_stat)))))</f>
        <v/>
      </c>
      <c r="C577" s="30" t="str">
        <f t="array" ref="C577">IF($A577="", "", LET(bbgm_stat, INDEX(Players!$A576:$P576, MATCH(C$2, Players!$A$1:$P$1, 0)), perc_75, VLOOKUP(C$2, Percentiles!$A$45:$I$59, 6, FALSE), perc_90, VLOOKUP(C$2, Percentiles!$A$45:$I$59, 7, FALSE), perc_95, VLOOKUP(C$2, Percentiles!$A$45:$I$59, 8, FALSE), perc_85, perc_75 + (perc_90 - perc_75) * (2/3), converted_stat, '2K_Ratings'!C577, IF(bbgm_stat &gt;= perc_95, converted_stat * 3, IF(bbgm_stat &gt;= perc_90, converted_stat * 2, IF(bbgm_stat &gt;= perc_85, converted_stat * 1.5, converted_stat)))))</f>
        <v/>
      </c>
      <c r="D577" s="30" t="str">
        <f t="array" ref="D577">IF($A577="", "", LET(bbgm_stat, INDEX(Players!$A576:$P576, MATCH(D$2, Players!$A$1:$P$1, 0)), perc_75, VLOOKUP(D$2, Percentiles!$A$45:$I$59, 6, FALSE), perc_90, VLOOKUP(D$2, Percentiles!$A$45:$I$59, 7, FALSE), perc_95, VLOOKUP(D$2, Percentiles!$A$45:$I$59, 8, FALSE), perc_85, perc_75 + (perc_90 - perc_75) * (2/3), converted_stat, '2K_Ratings'!D577, IF(bbgm_stat &gt;= perc_95, converted_stat * 3, IF(bbgm_stat &gt;= perc_90, converted_stat * 2, IF(bbgm_stat &gt;= perc_85, converted_stat * 1.5, converted_stat)))))</f>
        <v/>
      </c>
      <c r="E577" s="30" t="str">
        <f t="array" ref="E577">IF($A577="", "", LET(bbgm_stat, INDEX(Players!$A576:$P576, MATCH(E$2, Players!$A$1:$P$1, 0)), perc_75, VLOOKUP(E$2, Percentiles!$A$45:$I$59, 6, FALSE), perc_90, VLOOKUP(E$2, Percentiles!$A$45:$I$59, 7, FALSE), perc_95, VLOOKUP(E$2, Percentiles!$A$45:$I$59, 8, FALSE), perc_85, perc_75 + (perc_90 - perc_75) * (2/3), converted_stat, '2K_Ratings'!E577, IF(bbgm_stat &gt;= perc_95, converted_stat * 3, IF(bbgm_stat &gt;= perc_90, converted_stat * 2, IF(bbgm_stat &gt;= perc_85, converted_stat * 1.5, converted_stat)))))</f>
        <v/>
      </c>
      <c r="F577" s="30" t="str">
        <f t="array" ref="F577">IF($A577="", "", LET(bbgm_stat, INDEX(Players!$A576:$P576, MATCH(F$2, Players!$A$1:$P$1, 0)), perc_75, VLOOKUP(F$2, Percentiles!$A$45:$I$59, 6, FALSE), perc_90, VLOOKUP(F$2, Percentiles!$A$45:$I$59, 7, FALSE), perc_95, VLOOKUP(F$2, Percentiles!$A$45:$I$59, 8, FALSE), perc_85, perc_75 + (perc_90 - perc_75) * (2/3), converted_stat, '2K_Ratings'!F577, IF(bbgm_stat &gt;= perc_95, converted_stat * 3, IF(bbgm_stat &gt;= perc_90, converted_stat * 2, IF(bbgm_stat &gt;= perc_85, converted_stat * 1.5, converted_stat)))))</f>
        <v/>
      </c>
      <c r="G577" s="30" t="str">
        <f t="array" ref="G577">IF($A577="", "", LET(bbgm_stat, INDEX(Players!$A576:$P576, MATCH(G$2, Players!$A$1:$P$1, 0)), perc_75, VLOOKUP(G$2, Percentiles!$A$45:$I$59, 6, FALSE), perc_90, VLOOKUP(G$2, Percentiles!$A$45:$I$59, 7, FALSE), perc_95, VLOOKUP(G$2, Percentiles!$A$45:$I$59, 8, FALSE), perc_85, perc_75 + (perc_90 - perc_75) * (2/3), converted_stat, '2K_Ratings'!G577, IF(bbgm_stat &gt;= perc_95, converted_stat * 3, IF(bbgm_stat &gt;= perc_90, converted_stat * 2, IF(bbgm_stat &gt;= perc_85, converted_stat * 1.5, converted_stat)))))</f>
        <v/>
      </c>
      <c r="H577" s="30" t="str">
        <f t="array" ref="H577">IF($A577="", "", LET(bbgm_stat, INDEX(Players!$A576:$P576, MATCH(H$2, Players!$A$1:$P$1, 0)), perc_75, VLOOKUP(H$2, Percentiles!$A$45:$I$59, 6, FALSE), perc_90, VLOOKUP(H$2, Percentiles!$A$45:$I$59, 7, FALSE), perc_95, VLOOKUP(H$2, Percentiles!$A$45:$I$59, 8, FALSE), perc_85, perc_75 + (perc_90 - perc_75) * (2/3), converted_stat, '2K_Ratings'!H577, IF(bbgm_stat &gt;= perc_95, converted_stat * 3, IF(bbgm_stat &gt;= perc_90, converted_stat * 2, IF(bbgm_stat &gt;= perc_85, converted_stat * 1.5, converted_stat)))))</f>
        <v/>
      </c>
      <c r="I577" s="30" t="str">
        <f t="array" ref="I577">IF($A577="", "", LET(bbgm_stat, INDEX(Players!$A576:$P576, MATCH(I$2, Players!$A$1:$P$1, 0)), perc_75, VLOOKUP(I$2, Percentiles!$A$45:$I$59, 6, FALSE), perc_90, VLOOKUP(I$2, Percentiles!$A$45:$I$59, 7, FALSE), perc_95, VLOOKUP(I$2, Percentiles!$A$45:$I$59, 8, FALSE), perc_85, perc_75 + (perc_90 - perc_75) * (2/3), converted_stat, '2K_Ratings'!I577, IF(bbgm_stat &gt;= perc_95, converted_stat * 3, IF(bbgm_stat &gt;= perc_90, converted_stat * 2, IF(bbgm_stat &gt;= perc_85, converted_stat * 1.5, converted_stat)))))</f>
        <v/>
      </c>
      <c r="J577" s="30" t="str">
        <f t="array" ref="J577">IF($A577="", "", LET(bbgm_stat, INDEX(Players!$A576:$P576, MATCH(J$2, Players!$A$1:$P$1, 0)), perc_75, VLOOKUP(J$2, Percentiles!$A$45:$I$59, 6, FALSE), perc_90, VLOOKUP(J$2, Percentiles!$A$45:$I$59, 7, FALSE), perc_95, VLOOKUP(J$2, Percentiles!$A$45:$I$59, 8, FALSE), perc_85, perc_75 + (perc_90 - perc_75) * (2/3), converted_stat, '2K_Ratings'!J577, IF(bbgm_stat &gt;= perc_95, converted_stat * 3, IF(bbgm_stat &gt;= perc_90, converted_stat * 2, IF(bbgm_stat &gt;= perc_85, converted_stat * 1.5, converted_stat)))))</f>
        <v/>
      </c>
      <c r="K577" s="30" t="str">
        <f t="array" ref="K577">IF($A577="", "", LET(bbgm_stat, INDEX(Players!$A576:$P576, MATCH(K$2, Players!$A$1:$P$1, 0)), perc_75, VLOOKUP(K$2, Percentiles!$A$45:$I$59, 6, FALSE), perc_90, VLOOKUP(K$2, Percentiles!$A$45:$I$59, 7, FALSE), perc_95, VLOOKUP(K$2, Percentiles!$A$45:$I$59, 8, FALSE), perc_85, perc_75 + (perc_90 - perc_75) * (2/3), converted_stat, '2K_Ratings'!K577, IF(bbgm_stat &gt;= perc_95, converted_stat * 3, IF(bbgm_stat &gt;= perc_90, converted_stat * 2, IF(bbgm_stat &gt;= perc_85, converted_stat * 1.5, converted_stat)))))</f>
        <v/>
      </c>
      <c r="L577" s="30" t="str">
        <f t="array" ref="L577">IF($A577="", "", LET(bbgm_stat, INDEX(Players!$A576:$P576, MATCH(L$2, Players!$A$1:$P$1, 0)), perc_75, VLOOKUP(L$2, Percentiles!$A$45:$I$59, 6, FALSE), perc_90, VLOOKUP(L$2, Percentiles!$A$45:$I$59, 7, FALSE), perc_95, VLOOKUP(L$2, Percentiles!$A$45:$I$59, 8, FALSE), perc_85, perc_75 + (perc_90 - perc_75) * (2/3), converted_stat, '2K_Ratings'!L577, IF(bbgm_stat &gt;= perc_95, converted_stat * 3, IF(bbgm_stat &gt;= perc_90, converted_stat * 2, IF(bbgm_stat &gt;= perc_85, converted_stat * 1.5, converted_stat)))))</f>
        <v/>
      </c>
      <c r="M577" s="30" t="str">
        <f t="array" ref="M577">IF($A577="", "", LET(bbgm_stat, INDEX(Players!$A576:$P576, MATCH(M$2, Players!$A$1:$P$1, 0)), perc_75, VLOOKUP(M$2, Percentiles!$A$45:$I$59, 6, FALSE), perc_90, VLOOKUP(M$2, Percentiles!$A$45:$I$59, 7, FALSE), perc_95, VLOOKUP(M$2, Percentiles!$A$45:$I$59, 8, FALSE), perc_85, perc_75 + (perc_90 - perc_75) * (2/3), converted_stat, '2K_Ratings'!M577, IF(bbgm_stat &gt;= perc_95, converted_stat * 3, IF(bbgm_stat &gt;= perc_90, converted_stat * 2, IF(bbgm_stat &gt;= perc_85, converted_stat * 1.5, converted_stat)))))</f>
        <v/>
      </c>
      <c r="N577" s="30" t="str">
        <f t="array" ref="N577">IF($A577="", "", LET(bbgm_stat, INDEX(Players!$A576:$P576, MATCH(N$2, Players!$A$1:$P$1, 0)), perc_75, VLOOKUP(N$2, Percentiles!$A$45:$I$59, 6, FALSE), perc_90, VLOOKUP(N$2, Percentiles!$A$45:$I$59, 7, FALSE), perc_95, VLOOKUP(N$2, Percentiles!$A$45:$I$59, 8, FALSE), perc_85, perc_75 + (perc_90 - perc_75) * (2/3), converted_stat, '2K_Ratings'!N577, IF(bbgm_stat &gt;= perc_95, converted_stat * 3, IF(bbgm_stat &gt;= perc_90, converted_stat * 2, IF(bbgm_stat &gt;= perc_85, converted_stat * 1.5, converted_stat)))))</f>
        <v/>
      </c>
      <c r="O577" s="30" t="str">
        <f t="array" ref="O577">IF($A577="", "", LET(bbgm_stat, INDEX(Players!$A576:$P576, MATCH(O$2, Players!$A$1:$P$1, 0)), perc_75, VLOOKUP(O$2, Percentiles!$A$45:$I$59, 6, FALSE), perc_90, VLOOKUP(O$2, Percentiles!$A$45:$I$59, 7, FALSE), perc_95, VLOOKUP(O$2, Percentiles!$A$45:$I$59, 8, FALSE), perc_85, perc_75 + (perc_90 - perc_75) * (2/3), converted_stat, '2K_Ratings'!O577, IF(bbgm_stat &gt;= perc_95, converted_stat * 3, IF(bbgm_stat &gt;= perc_90, converted_stat * 2, IF(bbgm_stat &gt;= perc_85, converted_stat * 1.5, converted_stat)))))</f>
        <v/>
      </c>
      <c r="P577" s="30" t="str">
        <f t="array" ref="P577">IF($A577="", "", LET(bbgm_stat, INDEX(Players!$A576:$P576, MATCH(P$2, Players!$A$1:$P$1, 0)), perc_75, VLOOKUP(P$2, Percentiles!$A$45:$I$59, 6, FALSE), perc_90, VLOOKUP(P$2, Percentiles!$A$45:$I$59, 7, FALSE), perc_95, VLOOKUP(P$2, Percentiles!$A$45:$I$59, 8, FALSE), perc_85, perc_75 + (perc_90 - perc_75) * (2/3), converted_stat, '2K_Ratings'!P577, IF(bbgm_stat &gt;= perc_95, converted_stat * 3, IF(bbgm_stat &gt;= perc_90, converted_stat * 2, IF(bbgm_stat &gt;= perc_85, converted_stat * 1.5, converted_stat)))))</f>
        <v/>
      </c>
      <c r="Q577" s="30" t="str">
        <f t="array" ref="Q577">IF($A577="", "", LET(bbgm_stat, INDEX(Players!$A576:$P576, MATCH(Q$2, Players!$A$1:$P$1, 0)), perc_75, VLOOKUP(Q$2, Percentiles!$A$45:$I$59, 6, FALSE), perc_90, VLOOKUP(Q$2, Percentiles!$A$45:$I$59, 7, FALSE), perc_95, VLOOKUP(Q$2, Percentiles!$A$45:$I$59, 8, FALSE), perc_85, perc_75 + (perc_90 - perc_75) * (2/3), converted_stat, '2K_Ratings'!Q577, IF(bbgm_stat &gt;= perc_95, converted_stat * 3, IF(bbgm_stat &gt;= perc_90, converted_stat * 2, IF(bbgm_stat &gt;= perc_85, converted_stat * 1.5, converted_stat)))))</f>
        <v/>
      </c>
      <c r="R577" s="30" t="str">
        <f t="array" ref="R577">IF($A577="", "", LET(bbgm_stat, INDEX(Players!$A576:$P576, MATCH(R$2, Players!$A$1:$P$1, 0)), perc_75, VLOOKUP(R$2, Percentiles!$A$45:$I$59, 6, FALSE), perc_90, VLOOKUP(R$2, Percentiles!$A$45:$I$59, 7, FALSE), perc_95, VLOOKUP(R$2, Percentiles!$A$45:$I$59, 8, FALSE), perc_85, perc_75 + (perc_90 - perc_75) * (2/3), converted_stat, '2K_Ratings'!R577, IF(bbgm_stat &gt;= perc_95, converted_stat * 3, IF(bbgm_stat &gt;= perc_90, converted_stat * 2, IF(bbgm_stat &gt;= perc_85, converted_stat * 1.5, converted_stat)))))</f>
        <v/>
      </c>
      <c r="S577" s="30" t="str">
        <f t="array" ref="S577">IF($A577="", "", LET(bbgm_stat, INDEX(Players!$A576:$P576, MATCH(S$2, Players!$A$1:$P$1, 0)), perc_75, VLOOKUP(S$2, Percentiles!$A$45:$I$59, 6, FALSE), perc_90, VLOOKUP(S$2, Percentiles!$A$45:$I$59, 7, FALSE), perc_95, VLOOKUP(S$2, Percentiles!$A$45:$I$59, 8, FALSE), perc_85, perc_75 + (perc_90 - perc_75) * (2/3), converted_stat, '2K_Ratings'!S577, IF(bbgm_stat &gt;= perc_95, converted_stat * 3, IF(bbgm_stat &gt;= perc_90, converted_stat * 2, IF(bbgm_stat &gt;= perc_85, converted_stat * 1.5, converted_stat)))))</f>
        <v/>
      </c>
      <c r="T577" s="30" t="str">
        <f t="array" ref="T577">IF($A577="", "", LET(bbgm_stat, INDEX(Players!$A576:$P576, MATCH(T$2, Players!$A$1:$P$1, 0)), perc_75, VLOOKUP(T$2, Percentiles!$A$45:$I$59, 6, FALSE), perc_90, VLOOKUP(T$2, Percentiles!$A$45:$I$59, 7, FALSE), perc_95, VLOOKUP(T$2, Percentiles!$A$45:$I$59, 8, FALSE), perc_85, perc_75 + (perc_90 - perc_75) * (2/3), converted_stat, '2K_Ratings'!T577, IF(bbgm_stat &gt;= perc_95, converted_stat * 3, IF(bbgm_stat &gt;= perc_90, converted_stat * 2, IF(bbgm_stat &gt;= perc_85, converted_stat * 1.5, converted_stat)))))</f>
        <v/>
      </c>
      <c r="U577" s="30" t="str">
        <f t="array" ref="U577">IF($A577="", "", LET(bbgm_stat, INDEX(Players!$A576:$P576, MATCH(U$2, Players!$A$1:$P$1, 0)), perc_75, VLOOKUP(U$2, Percentiles!$A$45:$I$59, 6, FALSE), perc_90, VLOOKUP(U$2, Percentiles!$A$45:$I$59, 7, FALSE), perc_95, VLOOKUP(U$2, Percentiles!$A$45:$I$59, 8, FALSE), perc_85, perc_75 + (perc_90 - perc_75) * (2/3), converted_stat, '2K_Ratings'!U577, IF(bbgm_stat &gt;= perc_95, converted_stat * 3, IF(bbgm_stat &gt;= perc_90, converted_stat * 2, IF(bbgm_stat &gt;= perc_85, converted_stat * 1.5, converted_stat)))))</f>
        <v/>
      </c>
      <c r="V577" s="30" t="str">
        <f t="array" ref="V577">IF($A577="", "", LET(bbgm_stat, INDEX(Players!$A576:$P576, MATCH(V$2, Players!$A$1:$P$1, 0)), perc_75, VLOOKUP(V$2, Percentiles!$A$45:$I$59, 6, FALSE), perc_90, VLOOKUP(V$2, Percentiles!$A$45:$I$59, 7, FALSE), perc_95, VLOOKUP(V$2, Percentiles!$A$45:$I$59, 8, FALSE), perc_85, perc_75 + (perc_90 - perc_75) * (2/3), converted_stat, '2K_Ratings'!V577, IF(bbgm_stat &gt;= perc_95, converted_stat * 3, IF(bbgm_stat &gt;= perc_90, converted_stat * 2, IF(bbgm_stat &gt;= perc_85, converted_stat * 1.5, converted_stat)))))</f>
        <v/>
      </c>
      <c r="W577" s="30" t="str">
        <f t="array" ref="W577">IF($A577="", "", LET(bbgm_stat, INDEX(Players!$A576:$P576, MATCH(W$2, Players!$A$1:$P$1, 0)), perc_75, VLOOKUP(W$2, Percentiles!$A$45:$I$59, 6, FALSE), perc_90, VLOOKUP(W$2, Percentiles!$A$45:$I$59, 7, FALSE), perc_95, VLOOKUP(W$2, Percentiles!$A$45:$I$59, 8, FALSE), perc_85, perc_75 + (perc_90 - perc_75) * (2/3), converted_stat, '2K_Ratings'!W577, IF(bbgm_stat &gt;= perc_95, converted_stat * 3, IF(bbgm_stat &gt;= perc_90, converted_stat * 2, IF(bbgm_stat &gt;= perc_85, converted_stat * 1.5, converted_stat)))))</f>
        <v/>
      </c>
    </row>
    <row r="578">
      <c r="A578" s="30"/>
      <c r="B578" s="30" t="str">
        <f t="array" ref="B578">IF($A578="", "", LET(bbgm_stat, INDEX(Players!$A577:$P577, MATCH(B$2, Players!$A$1:$P$1, 0)), perc_75, VLOOKUP(B$2, Percentiles!$A$45:$I$59, 6, FALSE), perc_90, VLOOKUP(B$2, Percentiles!$A$45:$I$59, 7, FALSE), perc_95, VLOOKUP(B$2, Percentiles!$A$45:$I$59, 8, FALSE), perc_85, perc_75 + (perc_90 - perc_75) * (2/3), converted_stat, '2K_Ratings'!B578, IF(bbgm_stat &gt;= perc_95, converted_stat * 3, IF(bbgm_stat &gt;= perc_90, converted_stat * 2, IF(bbgm_stat &gt;= perc_85, converted_stat * 1.5, converted_stat)))))</f>
        <v/>
      </c>
      <c r="C578" s="30" t="str">
        <f t="array" ref="C578">IF($A578="", "", LET(bbgm_stat, INDEX(Players!$A577:$P577, MATCH(C$2, Players!$A$1:$P$1, 0)), perc_75, VLOOKUP(C$2, Percentiles!$A$45:$I$59, 6, FALSE), perc_90, VLOOKUP(C$2, Percentiles!$A$45:$I$59, 7, FALSE), perc_95, VLOOKUP(C$2, Percentiles!$A$45:$I$59, 8, FALSE), perc_85, perc_75 + (perc_90 - perc_75) * (2/3), converted_stat, '2K_Ratings'!C578, IF(bbgm_stat &gt;= perc_95, converted_stat * 3, IF(bbgm_stat &gt;= perc_90, converted_stat * 2, IF(bbgm_stat &gt;= perc_85, converted_stat * 1.5, converted_stat)))))</f>
        <v/>
      </c>
      <c r="D578" s="30" t="str">
        <f t="array" ref="D578">IF($A578="", "", LET(bbgm_stat, INDEX(Players!$A577:$P577, MATCH(D$2, Players!$A$1:$P$1, 0)), perc_75, VLOOKUP(D$2, Percentiles!$A$45:$I$59, 6, FALSE), perc_90, VLOOKUP(D$2, Percentiles!$A$45:$I$59, 7, FALSE), perc_95, VLOOKUP(D$2, Percentiles!$A$45:$I$59, 8, FALSE), perc_85, perc_75 + (perc_90 - perc_75) * (2/3), converted_stat, '2K_Ratings'!D578, IF(bbgm_stat &gt;= perc_95, converted_stat * 3, IF(bbgm_stat &gt;= perc_90, converted_stat * 2, IF(bbgm_stat &gt;= perc_85, converted_stat * 1.5, converted_stat)))))</f>
        <v/>
      </c>
      <c r="E578" s="30" t="str">
        <f t="array" ref="E578">IF($A578="", "", LET(bbgm_stat, INDEX(Players!$A577:$P577, MATCH(E$2, Players!$A$1:$P$1, 0)), perc_75, VLOOKUP(E$2, Percentiles!$A$45:$I$59, 6, FALSE), perc_90, VLOOKUP(E$2, Percentiles!$A$45:$I$59, 7, FALSE), perc_95, VLOOKUP(E$2, Percentiles!$A$45:$I$59, 8, FALSE), perc_85, perc_75 + (perc_90 - perc_75) * (2/3), converted_stat, '2K_Ratings'!E578, IF(bbgm_stat &gt;= perc_95, converted_stat * 3, IF(bbgm_stat &gt;= perc_90, converted_stat * 2, IF(bbgm_stat &gt;= perc_85, converted_stat * 1.5, converted_stat)))))</f>
        <v/>
      </c>
      <c r="F578" s="30" t="str">
        <f t="array" ref="F578">IF($A578="", "", LET(bbgm_stat, INDEX(Players!$A577:$P577, MATCH(F$2, Players!$A$1:$P$1, 0)), perc_75, VLOOKUP(F$2, Percentiles!$A$45:$I$59, 6, FALSE), perc_90, VLOOKUP(F$2, Percentiles!$A$45:$I$59, 7, FALSE), perc_95, VLOOKUP(F$2, Percentiles!$A$45:$I$59, 8, FALSE), perc_85, perc_75 + (perc_90 - perc_75) * (2/3), converted_stat, '2K_Ratings'!F578, IF(bbgm_stat &gt;= perc_95, converted_stat * 3, IF(bbgm_stat &gt;= perc_90, converted_stat * 2, IF(bbgm_stat &gt;= perc_85, converted_stat * 1.5, converted_stat)))))</f>
        <v/>
      </c>
      <c r="G578" s="30" t="str">
        <f t="array" ref="G578">IF($A578="", "", LET(bbgm_stat, INDEX(Players!$A577:$P577, MATCH(G$2, Players!$A$1:$P$1, 0)), perc_75, VLOOKUP(G$2, Percentiles!$A$45:$I$59, 6, FALSE), perc_90, VLOOKUP(G$2, Percentiles!$A$45:$I$59, 7, FALSE), perc_95, VLOOKUP(G$2, Percentiles!$A$45:$I$59, 8, FALSE), perc_85, perc_75 + (perc_90 - perc_75) * (2/3), converted_stat, '2K_Ratings'!G578, IF(bbgm_stat &gt;= perc_95, converted_stat * 3, IF(bbgm_stat &gt;= perc_90, converted_stat * 2, IF(bbgm_stat &gt;= perc_85, converted_stat * 1.5, converted_stat)))))</f>
        <v/>
      </c>
      <c r="H578" s="30" t="str">
        <f t="array" ref="H578">IF($A578="", "", LET(bbgm_stat, INDEX(Players!$A577:$P577, MATCH(H$2, Players!$A$1:$P$1, 0)), perc_75, VLOOKUP(H$2, Percentiles!$A$45:$I$59, 6, FALSE), perc_90, VLOOKUP(H$2, Percentiles!$A$45:$I$59, 7, FALSE), perc_95, VLOOKUP(H$2, Percentiles!$A$45:$I$59, 8, FALSE), perc_85, perc_75 + (perc_90 - perc_75) * (2/3), converted_stat, '2K_Ratings'!H578, IF(bbgm_stat &gt;= perc_95, converted_stat * 3, IF(bbgm_stat &gt;= perc_90, converted_stat * 2, IF(bbgm_stat &gt;= perc_85, converted_stat * 1.5, converted_stat)))))</f>
        <v/>
      </c>
      <c r="I578" s="30" t="str">
        <f t="array" ref="I578">IF($A578="", "", LET(bbgm_stat, INDEX(Players!$A577:$P577, MATCH(I$2, Players!$A$1:$P$1, 0)), perc_75, VLOOKUP(I$2, Percentiles!$A$45:$I$59, 6, FALSE), perc_90, VLOOKUP(I$2, Percentiles!$A$45:$I$59, 7, FALSE), perc_95, VLOOKUP(I$2, Percentiles!$A$45:$I$59, 8, FALSE), perc_85, perc_75 + (perc_90 - perc_75) * (2/3), converted_stat, '2K_Ratings'!I578, IF(bbgm_stat &gt;= perc_95, converted_stat * 3, IF(bbgm_stat &gt;= perc_90, converted_stat * 2, IF(bbgm_stat &gt;= perc_85, converted_stat * 1.5, converted_stat)))))</f>
        <v/>
      </c>
      <c r="J578" s="30" t="str">
        <f t="array" ref="J578">IF($A578="", "", LET(bbgm_stat, INDEX(Players!$A577:$P577, MATCH(J$2, Players!$A$1:$P$1, 0)), perc_75, VLOOKUP(J$2, Percentiles!$A$45:$I$59, 6, FALSE), perc_90, VLOOKUP(J$2, Percentiles!$A$45:$I$59, 7, FALSE), perc_95, VLOOKUP(J$2, Percentiles!$A$45:$I$59, 8, FALSE), perc_85, perc_75 + (perc_90 - perc_75) * (2/3), converted_stat, '2K_Ratings'!J578, IF(bbgm_stat &gt;= perc_95, converted_stat * 3, IF(bbgm_stat &gt;= perc_90, converted_stat * 2, IF(bbgm_stat &gt;= perc_85, converted_stat * 1.5, converted_stat)))))</f>
        <v/>
      </c>
      <c r="K578" s="30" t="str">
        <f t="array" ref="K578">IF($A578="", "", LET(bbgm_stat, INDEX(Players!$A577:$P577, MATCH(K$2, Players!$A$1:$P$1, 0)), perc_75, VLOOKUP(K$2, Percentiles!$A$45:$I$59, 6, FALSE), perc_90, VLOOKUP(K$2, Percentiles!$A$45:$I$59, 7, FALSE), perc_95, VLOOKUP(K$2, Percentiles!$A$45:$I$59, 8, FALSE), perc_85, perc_75 + (perc_90 - perc_75) * (2/3), converted_stat, '2K_Ratings'!K578, IF(bbgm_stat &gt;= perc_95, converted_stat * 3, IF(bbgm_stat &gt;= perc_90, converted_stat * 2, IF(bbgm_stat &gt;= perc_85, converted_stat * 1.5, converted_stat)))))</f>
        <v/>
      </c>
      <c r="L578" s="30" t="str">
        <f t="array" ref="L578">IF($A578="", "", LET(bbgm_stat, INDEX(Players!$A577:$P577, MATCH(L$2, Players!$A$1:$P$1, 0)), perc_75, VLOOKUP(L$2, Percentiles!$A$45:$I$59, 6, FALSE), perc_90, VLOOKUP(L$2, Percentiles!$A$45:$I$59, 7, FALSE), perc_95, VLOOKUP(L$2, Percentiles!$A$45:$I$59, 8, FALSE), perc_85, perc_75 + (perc_90 - perc_75) * (2/3), converted_stat, '2K_Ratings'!L578, IF(bbgm_stat &gt;= perc_95, converted_stat * 3, IF(bbgm_stat &gt;= perc_90, converted_stat * 2, IF(bbgm_stat &gt;= perc_85, converted_stat * 1.5, converted_stat)))))</f>
        <v/>
      </c>
      <c r="M578" s="30" t="str">
        <f t="array" ref="M578">IF($A578="", "", LET(bbgm_stat, INDEX(Players!$A577:$P577, MATCH(M$2, Players!$A$1:$P$1, 0)), perc_75, VLOOKUP(M$2, Percentiles!$A$45:$I$59, 6, FALSE), perc_90, VLOOKUP(M$2, Percentiles!$A$45:$I$59, 7, FALSE), perc_95, VLOOKUP(M$2, Percentiles!$A$45:$I$59, 8, FALSE), perc_85, perc_75 + (perc_90 - perc_75) * (2/3), converted_stat, '2K_Ratings'!M578, IF(bbgm_stat &gt;= perc_95, converted_stat * 3, IF(bbgm_stat &gt;= perc_90, converted_stat * 2, IF(bbgm_stat &gt;= perc_85, converted_stat * 1.5, converted_stat)))))</f>
        <v/>
      </c>
      <c r="N578" s="30" t="str">
        <f t="array" ref="N578">IF($A578="", "", LET(bbgm_stat, INDEX(Players!$A577:$P577, MATCH(N$2, Players!$A$1:$P$1, 0)), perc_75, VLOOKUP(N$2, Percentiles!$A$45:$I$59, 6, FALSE), perc_90, VLOOKUP(N$2, Percentiles!$A$45:$I$59, 7, FALSE), perc_95, VLOOKUP(N$2, Percentiles!$A$45:$I$59, 8, FALSE), perc_85, perc_75 + (perc_90 - perc_75) * (2/3), converted_stat, '2K_Ratings'!N578, IF(bbgm_stat &gt;= perc_95, converted_stat * 3, IF(bbgm_stat &gt;= perc_90, converted_stat * 2, IF(bbgm_stat &gt;= perc_85, converted_stat * 1.5, converted_stat)))))</f>
        <v/>
      </c>
      <c r="O578" s="30" t="str">
        <f t="array" ref="O578">IF($A578="", "", LET(bbgm_stat, INDEX(Players!$A577:$P577, MATCH(O$2, Players!$A$1:$P$1, 0)), perc_75, VLOOKUP(O$2, Percentiles!$A$45:$I$59, 6, FALSE), perc_90, VLOOKUP(O$2, Percentiles!$A$45:$I$59, 7, FALSE), perc_95, VLOOKUP(O$2, Percentiles!$A$45:$I$59, 8, FALSE), perc_85, perc_75 + (perc_90 - perc_75) * (2/3), converted_stat, '2K_Ratings'!O578, IF(bbgm_stat &gt;= perc_95, converted_stat * 3, IF(bbgm_stat &gt;= perc_90, converted_stat * 2, IF(bbgm_stat &gt;= perc_85, converted_stat * 1.5, converted_stat)))))</f>
        <v/>
      </c>
      <c r="P578" s="30" t="str">
        <f t="array" ref="P578">IF($A578="", "", LET(bbgm_stat, INDEX(Players!$A577:$P577, MATCH(P$2, Players!$A$1:$P$1, 0)), perc_75, VLOOKUP(P$2, Percentiles!$A$45:$I$59, 6, FALSE), perc_90, VLOOKUP(P$2, Percentiles!$A$45:$I$59, 7, FALSE), perc_95, VLOOKUP(P$2, Percentiles!$A$45:$I$59, 8, FALSE), perc_85, perc_75 + (perc_90 - perc_75) * (2/3), converted_stat, '2K_Ratings'!P578, IF(bbgm_stat &gt;= perc_95, converted_stat * 3, IF(bbgm_stat &gt;= perc_90, converted_stat * 2, IF(bbgm_stat &gt;= perc_85, converted_stat * 1.5, converted_stat)))))</f>
        <v/>
      </c>
      <c r="Q578" s="30" t="str">
        <f t="array" ref="Q578">IF($A578="", "", LET(bbgm_stat, INDEX(Players!$A577:$P577, MATCH(Q$2, Players!$A$1:$P$1, 0)), perc_75, VLOOKUP(Q$2, Percentiles!$A$45:$I$59, 6, FALSE), perc_90, VLOOKUP(Q$2, Percentiles!$A$45:$I$59, 7, FALSE), perc_95, VLOOKUP(Q$2, Percentiles!$A$45:$I$59, 8, FALSE), perc_85, perc_75 + (perc_90 - perc_75) * (2/3), converted_stat, '2K_Ratings'!Q578, IF(bbgm_stat &gt;= perc_95, converted_stat * 3, IF(bbgm_stat &gt;= perc_90, converted_stat * 2, IF(bbgm_stat &gt;= perc_85, converted_stat * 1.5, converted_stat)))))</f>
        <v/>
      </c>
      <c r="R578" s="30" t="str">
        <f t="array" ref="R578">IF($A578="", "", LET(bbgm_stat, INDEX(Players!$A577:$P577, MATCH(R$2, Players!$A$1:$P$1, 0)), perc_75, VLOOKUP(R$2, Percentiles!$A$45:$I$59, 6, FALSE), perc_90, VLOOKUP(R$2, Percentiles!$A$45:$I$59, 7, FALSE), perc_95, VLOOKUP(R$2, Percentiles!$A$45:$I$59, 8, FALSE), perc_85, perc_75 + (perc_90 - perc_75) * (2/3), converted_stat, '2K_Ratings'!R578, IF(bbgm_stat &gt;= perc_95, converted_stat * 3, IF(bbgm_stat &gt;= perc_90, converted_stat * 2, IF(bbgm_stat &gt;= perc_85, converted_stat * 1.5, converted_stat)))))</f>
        <v/>
      </c>
      <c r="S578" s="30" t="str">
        <f t="array" ref="S578">IF($A578="", "", LET(bbgm_stat, INDEX(Players!$A577:$P577, MATCH(S$2, Players!$A$1:$P$1, 0)), perc_75, VLOOKUP(S$2, Percentiles!$A$45:$I$59, 6, FALSE), perc_90, VLOOKUP(S$2, Percentiles!$A$45:$I$59, 7, FALSE), perc_95, VLOOKUP(S$2, Percentiles!$A$45:$I$59, 8, FALSE), perc_85, perc_75 + (perc_90 - perc_75) * (2/3), converted_stat, '2K_Ratings'!S578, IF(bbgm_stat &gt;= perc_95, converted_stat * 3, IF(bbgm_stat &gt;= perc_90, converted_stat * 2, IF(bbgm_stat &gt;= perc_85, converted_stat * 1.5, converted_stat)))))</f>
        <v/>
      </c>
      <c r="T578" s="30" t="str">
        <f t="array" ref="T578">IF($A578="", "", LET(bbgm_stat, INDEX(Players!$A577:$P577, MATCH(T$2, Players!$A$1:$P$1, 0)), perc_75, VLOOKUP(T$2, Percentiles!$A$45:$I$59, 6, FALSE), perc_90, VLOOKUP(T$2, Percentiles!$A$45:$I$59, 7, FALSE), perc_95, VLOOKUP(T$2, Percentiles!$A$45:$I$59, 8, FALSE), perc_85, perc_75 + (perc_90 - perc_75) * (2/3), converted_stat, '2K_Ratings'!T578, IF(bbgm_stat &gt;= perc_95, converted_stat * 3, IF(bbgm_stat &gt;= perc_90, converted_stat * 2, IF(bbgm_stat &gt;= perc_85, converted_stat * 1.5, converted_stat)))))</f>
        <v/>
      </c>
      <c r="U578" s="30" t="str">
        <f t="array" ref="U578">IF($A578="", "", LET(bbgm_stat, INDEX(Players!$A577:$P577, MATCH(U$2, Players!$A$1:$P$1, 0)), perc_75, VLOOKUP(U$2, Percentiles!$A$45:$I$59, 6, FALSE), perc_90, VLOOKUP(U$2, Percentiles!$A$45:$I$59, 7, FALSE), perc_95, VLOOKUP(U$2, Percentiles!$A$45:$I$59, 8, FALSE), perc_85, perc_75 + (perc_90 - perc_75) * (2/3), converted_stat, '2K_Ratings'!U578, IF(bbgm_stat &gt;= perc_95, converted_stat * 3, IF(bbgm_stat &gt;= perc_90, converted_stat * 2, IF(bbgm_stat &gt;= perc_85, converted_stat * 1.5, converted_stat)))))</f>
        <v/>
      </c>
      <c r="V578" s="30" t="str">
        <f t="array" ref="V578">IF($A578="", "", LET(bbgm_stat, INDEX(Players!$A577:$P577, MATCH(V$2, Players!$A$1:$P$1, 0)), perc_75, VLOOKUP(V$2, Percentiles!$A$45:$I$59, 6, FALSE), perc_90, VLOOKUP(V$2, Percentiles!$A$45:$I$59, 7, FALSE), perc_95, VLOOKUP(V$2, Percentiles!$A$45:$I$59, 8, FALSE), perc_85, perc_75 + (perc_90 - perc_75) * (2/3), converted_stat, '2K_Ratings'!V578, IF(bbgm_stat &gt;= perc_95, converted_stat * 3, IF(bbgm_stat &gt;= perc_90, converted_stat * 2, IF(bbgm_stat &gt;= perc_85, converted_stat * 1.5, converted_stat)))))</f>
        <v/>
      </c>
      <c r="W578" s="30" t="str">
        <f t="array" ref="W578">IF($A578="", "", LET(bbgm_stat, INDEX(Players!$A577:$P577, MATCH(W$2, Players!$A$1:$P$1, 0)), perc_75, VLOOKUP(W$2, Percentiles!$A$45:$I$59, 6, FALSE), perc_90, VLOOKUP(W$2, Percentiles!$A$45:$I$59, 7, FALSE), perc_95, VLOOKUP(W$2, Percentiles!$A$45:$I$59, 8, FALSE), perc_85, perc_75 + (perc_90 - perc_75) * (2/3), converted_stat, '2K_Ratings'!W578, IF(bbgm_stat &gt;= perc_95, converted_stat * 3, IF(bbgm_stat &gt;= perc_90, converted_stat * 2, IF(bbgm_stat &gt;= perc_85, converted_stat * 1.5, converted_stat)))))</f>
        <v/>
      </c>
    </row>
    <row r="579">
      <c r="A579" s="30"/>
      <c r="B579" s="30" t="str">
        <f t="array" ref="B579">IF($A579="", "", LET(bbgm_stat, INDEX(Players!$A578:$P578, MATCH(B$2, Players!$A$1:$P$1, 0)), perc_75, VLOOKUP(B$2, Percentiles!$A$45:$I$59, 6, FALSE), perc_90, VLOOKUP(B$2, Percentiles!$A$45:$I$59, 7, FALSE), perc_95, VLOOKUP(B$2, Percentiles!$A$45:$I$59, 8, FALSE), perc_85, perc_75 + (perc_90 - perc_75) * (2/3), converted_stat, '2K_Ratings'!B579, IF(bbgm_stat &gt;= perc_95, converted_stat * 3, IF(bbgm_stat &gt;= perc_90, converted_stat * 2, IF(bbgm_stat &gt;= perc_85, converted_stat * 1.5, converted_stat)))))</f>
        <v/>
      </c>
      <c r="C579" s="30" t="str">
        <f t="array" ref="C579">IF($A579="", "", LET(bbgm_stat, INDEX(Players!$A578:$P578, MATCH(C$2, Players!$A$1:$P$1, 0)), perc_75, VLOOKUP(C$2, Percentiles!$A$45:$I$59, 6, FALSE), perc_90, VLOOKUP(C$2, Percentiles!$A$45:$I$59, 7, FALSE), perc_95, VLOOKUP(C$2, Percentiles!$A$45:$I$59, 8, FALSE), perc_85, perc_75 + (perc_90 - perc_75) * (2/3), converted_stat, '2K_Ratings'!C579, IF(bbgm_stat &gt;= perc_95, converted_stat * 3, IF(bbgm_stat &gt;= perc_90, converted_stat * 2, IF(bbgm_stat &gt;= perc_85, converted_stat * 1.5, converted_stat)))))</f>
        <v/>
      </c>
      <c r="D579" s="30" t="str">
        <f t="array" ref="D579">IF($A579="", "", LET(bbgm_stat, INDEX(Players!$A578:$P578, MATCH(D$2, Players!$A$1:$P$1, 0)), perc_75, VLOOKUP(D$2, Percentiles!$A$45:$I$59, 6, FALSE), perc_90, VLOOKUP(D$2, Percentiles!$A$45:$I$59, 7, FALSE), perc_95, VLOOKUP(D$2, Percentiles!$A$45:$I$59, 8, FALSE), perc_85, perc_75 + (perc_90 - perc_75) * (2/3), converted_stat, '2K_Ratings'!D579, IF(bbgm_stat &gt;= perc_95, converted_stat * 3, IF(bbgm_stat &gt;= perc_90, converted_stat * 2, IF(bbgm_stat &gt;= perc_85, converted_stat * 1.5, converted_stat)))))</f>
        <v/>
      </c>
      <c r="E579" s="30" t="str">
        <f t="array" ref="E579">IF($A579="", "", LET(bbgm_stat, INDEX(Players!$A578:$P578, MATCH(E$2, Players!$A$1:$P$1, 0)), perc_75, VLOOKUP(E$2, Percentiles!$A$45:$I$59, 6, FALSE), perc_90, VLOOKUP(E$2, Percentiles!$A$45:$I$59, 7, FALSE), perc_95, VLOOKUP(E$2, Percentiles!$A$45:$I$59, 8, FALSE), perc_85, perc_75 + (perc_90 - perc_75) * (2/3), converted_stat, '2K_Ratings'!E579, IF(bbgm_stat &gt;= perc_95, converted_stat * 3, IF(bbgm_stat &gt;= perc_90, converted_stat * 2, IF(bbgm_stat &gt;= perc_85, converted_stat * 1.5, converted_stat)))))</f>
        <v/>
      </c>
      <c r="F579" s="30" t="str">
        <f t="array" ref="F579">IF($A579="", "", LET(bbgm_stat, INDEX(Players!$A578:$P578, MATCH(F$2, Players!$A$1:$P$1, 0)), perc_75, VLOOKUP(F$2, Percentiles!$A$45:$I$59, 6, FALSE), perc_90, VLOOKUP(F$2, Percentiles!$A$45:$I$59, 7, FALSE), perc_95, VLOOKUP(F$2, Percentiles!$A$45:$I$59, 8, FALSE), perc_85, perc_75 + (perc_90 - perc_75) * (2/3), converted_stat, '2K_Ratings'!F579, IF(bbgm_stat &gt;= perc_95, converted_stat * 3, IF(bbgm_stat &gt;= perc_90, converted_stat * 2, IF(bbgm_stat &gt;= perc_85, converted_stat * 1.5, converted_stat)))))</f>
        <v/>
      </c>
      <c r="G579" s="30" t="str">
        <f t="array" ref="G579">IF($A579="", "", LET(bbgm_stat, INDEX(Players!$A578:$P578, MATCH(G$2, Players!$A$1:$P$1, 0)), perc_75, VLOOKUP(G$2, Percentiles!$A$45:$I$59, 6, FALSE), perc_90, VLOOKUP(G$2, Percentiles!$A$45:$I$59, 7, FALSE), perc_95, VLOOKUP(G$2, Percentiles!$A$45:$I$59, 8, FALSE), perc_85, perc_75 + (perc_90 - perc_75) * (2/3), converted_stat, '2K_Ratings'!G579, IF(bbgm_stat &gt;= perc_95, converted_stat * 3, IF(bbgm_stat &gt;= perc_90, converted_stat * 2, IF(bbgm_stat &gt;= perc_85, converted_stat * 1.5, converted_stat)))))</f>
        <v/>
      </c>
      <c r="H579" s="30" t="str">
        <f t="array" ref="H579">IF($A579="", "", LET(bbgm_stat, INDEX(Players!$A578:$P578, MATCH(H$2, Players!$A$1:$P$1, 0)), perc_75, VLOOKUP(H$2, Percentiles!$A$45:$I$59, 6, FALSE), perc_90, VLOOKUP(H$2, Percentiles!$A$45:$I$59, 7, FALSE), perc_95, VLOOKUP(H$2, Percentiles!$A$45:$I$59, 8, FALSE), perc_85, perc_75 + (perc_90 - perc_75) * (2/3), converted_stat, '2K_Ratings'!H579, IF(bbgm_stat &gt;= perc_95, converted_stat * 3, IF(bbgm_stat &gt;= perc_90, converted_stat * 2, IF(bbgm_stat &gt;= perc_85, converted_stat * 1.5, converted_stat)))))</f>
        <v/>
      </c>
      <c r="I579" s="30" t="str">
        <f t="array" ref="I579">IF($A579="", "", LET(bbgm_stat, INDEX(Players!$A578:$P578, MATCH(I$2, Players!$A$1:$P$1, 0)), perc_75, VLOOKUP(I$2, Percentiles!$A$45:$I$59, 6, FALSE), perc_90, VLOOKUP(I$2, Percentiles!$A$45:$I$59, 7, FALSE), perc_95, VLOOKUP(I$2, Percentiles!$A$45:$I$59, 8, FALSE), perc_85, perc_75 + (perc_90 - perc_75) * (2/3), converted_stat, '2K_Ratings'!I579, IF(bbgm_stat &gt;= perc_95, converted_stat * 3, IF(bbgm_stat &gt;= perc_90, converted_stat * 2, IF(bbgm_stat &gt;= perc_85, converted_stat * 1.5, converted_stat)))))</f>
        <v/>
      </c>
      <c r="J579" s="30" t="str">
        <f t="array" ref="J579">IF($A579="", "", LET(bbgm_stat, INDEX(Players!$A578:$P578, MATCH(J$2, Players!$A$1:$P$1, 0)), perc_75, VLOOKUP(J$2, Percentiles!$A$45:$I$59, 6, FALSE), perc_90, VLOOKUP(J$2, Percentiles!$A$45:$I$59, 7, FALSE), perc_95, VLOOKUP(J$2, Percentiles!$A$45:$I$59, 8, FALSE), perc_85, perc_75 + (perc_90 - perc_75) * (2/3), converted_stat, '2K_Ratings'!J579, IF(bbgm_stat &gt;= perc_95, converted_stat * 3, IF(bbgm_stat &gt;= perc_90, converted_stat * 2, IF(bbgm_stat &gt;= perc_85, converted_stat * 1.5, converted_stat)))))</f>
        <v/>
      </c>
      <c r="K579" s="30" t="str">
        <f t="array" ref="K579">IF($A579="", "", LET(bbgm_stat, INDEX(Players!$A578:$P578, MATCH(K$2, Players!$A$1:$P$1, 0)), perc_75, VLOOKUP(K$2, Percentiles!$A$45:$I$59, 6, FALSE), perc_90, VLOOKUP(K$2, Percentiles!$A$45:$I$59, 7, FALSE), perc_95, VLOOKUP(K$2, Percentiles!$A$45:$I$59, 8, FALSE), perc_85, perc_75 + (perc_90 - perc_75) * (2/3), converted_stat, '2K_Ratings'!K579, IF(bbgm_stat &gt;= perc_95, converted_stat * 3, IF(bbgm_stat &gt;= perc_90, converted_stat * 2, IF(bbgm_stat &gt;= perc_85, converted_stat * 1.5, converted_stat)))))</f>
        <v/>
      </c>
      <c r="L579" s="30" t="str">
        <f t="array" ref="L579">IF($A579="", "", LET(bbgm_stat, INDEX(Players!$A578:$P578, MATCH(L$2, Players!$A$1:$P$1, 0)), perc_75, VLOOKUP(L$2, Percentiles!$A$45:$I$59, 6, FALSE), perc_90, VLOOKUP(L$2, Percentiles!$A$45:$I$59, 7, FALSE), perc_95, VLOOKUP(L$2, Percentiles!$A$45:$I$59, 8, FALSE), perc_85, perc_75 + (perc_90 - perc_75) * (2/3), converted_stat, '2K_Ratings'!L579, IF(bbgm_stat &gt;= perc_95, converted_stat * 3, IF(bbgm_stat &gt;= perc_90, converted_stat * 2, IF(bbgm_stat &gt;= perc_85, converted_stat * 1.5, converted_stat)))))</f>
        <v/>
      </c>
      <c r="M579" s="30" t="str">
        <f t="array" ref="M579">IF($A579="", "", LET(bbgm_stat, INDEX(Players!$A578:$P578, MATCH(M$2, Players!$A$1:$P$1, 0)), perc_75, VLOOKUP(M$2, Percentiles!$A$45:$I$59, 6, FALSE), perc_90, VLOOKUP(M$2, Percentiles!$A$45:$I$59, 7, FALSE), perc_95, VLOOKUP(M$2, Percentiles!$A$45:$I$59, 8, FALSE), perc_85, perc_75 + (perc_90 - perc_75) * (2/3), converted_stat, '2K_Ratings'!M579, IF(bbgm_stat &gt;= perc_95, converted_stat * 3, IF(bbgm_stat &gt;= perc_90, converted_stat * 2, IF(bbgm_stat &gt;= perc_85, converted_stat * 1.5, converted_stat)))))</f>
        <v/>
      </c>
      <c r="N579" s="30" t="str">
        <f t="array" ref="N579">IF($A579="", "", LET(bbgm_stat, INDEX(Players!$A578:$P578, MATCH(N$2, Players!$A$1:$P$1, 0)), perc_75, VLOOKUP(N$2, Percentiles!$A$45:$I$59, 6, FALSE), perc_90, VLOOKUP(N$2, Percentiles!$A$45:$I$59, 7, FALSE), perc_95, VLOOKUP(N$2, Percentiles!$A$45:$I$59, 8, FALSE), perc_85, perc_75 + (perc_90 - perc_75) * (2/3), converted_stat, '2K_Ratings'!N579, IF(bbgm_stat &gt;= perc_95, converted_stat * 3, IF(bbgm_stat &gt;= perc_90, converted_stat * 2, IF(bbgm_stat &gt;= perc_85, converted_stat * 1.5, converted_stat)))))</f>
        <v/>
      </c>
      <c r="O579" s="30" t="str">
        <f t="array" ref="O579">IF($A579="", "", LET(bbgm_stat, INDEX(Players!$A578:$P578, MATCH(O$2, Players!$A$1:$P$1, 0)), perc_75, VLOOKUP(O$2, Percentiles!$A$45:$I$59, 6, FALSE), perc_90, VLOOKUP(O$2, Percentiles!$A$45:$I$59, 7, FALSE), perc_95, VLOOKUP(O$2, Percentiles!$A$45:$I$59, 8, FALSE), perc_85, perc_75 + (perc_90 - perc_75) * (2/3), converted_stat, '2K_Ratings'!O579, IF(bbgm_stat &gt;= perc_95, converted_stat * 3, IF(bbgm_stat &gt;= perc_90, converted_stat * 2, IF(bbgm_stat &gt;= perc_85, converted_stat * 1.5, converted_stat)))))</f>
        <v/>
      </c>
      <c r="P579" s="30" t="str">
        <f t="array" ref="P579">IF($A579="", "", LET(bbgm_stat, INDEX(Players!$A578:$P578, MATCH(P$2, Players!$A$1:$P$1, 0)), perc_75, VLOOKUP(P$2, Percentiles!$A$45:$I$59, 6, FALSE), perc_90, VLOOKUP(P$2, Percentiles!$A$45:$I$59, 7, FALSE), perc_95, VLOOKUP(P$2, Percentiles!$A$45:$I$59, 8, FALSE), perc_85, perc_75 + (perc_90 - perc_75) * (2/3), converted_stat, '2K_Ratings'!P579, IF(bbgm_stat &gt;= perc_95, converted_stat * 3, IF(bbgm_stat &gt;= perc_90, converted_stat * 2, IF(bbgm_stat &gt;= perc_85, converted_stat * 1.5, converted_stat)))))</f>
        <v/>
      </c>
      <c r="Q579" s="30" t="str">
        <f t="array" ref="Q579">IF($A579="", "", LET(bbgm_stat, INDEX(Players!$A578:$P578, MATCH(Q$2, Players!$A$1:$P$1, 0)), perc_75, VLOOKUP(Q$2, Percentiles!$A$45:$I$59, 6, FALSE), perc_90, VLOOKUP(Q$2, Percentiles!$A$45:$I$59, 7, FALSE), perc_95, VLOOKUP(Q$2, Percentiles!$A$45:$I$59, 8, FALSE), perc_85, perc_75 + (perc_90 - perc_75) * (2/3), converted_stat, '2K_Ratings'!Q579, IF(bbgm_stat &gt;= perc_95, converted_stat * 3, IF(bbgm_stat &gt;= perc_90, converted_stat * 2, IF(bbgm_stat &gt;= perc_85, converted_stat * 1.5, converted_stat)))))</f>
        <v/>
      </c>
      <c r="R579" s="30" t="str">
        <f t="array" ref="R579">IF($A579="", "", LET(bbgm_stat, INDEX(Players!$A578:$P578, MATCH(R$2, Players!$A$1:$P$1, 0)), perc_75, VLOOKUP(R$2, Percentiles!$A$45:$I$59, 6, FALSE), perc_90, VLOOKUP(R$2, Percentiles!$A$45:$I$59, 7, FALSE), perc_95, VLOOKUP(R$2, Percentiles!$A$45:$I$59, 8, FALSE), perc_85, perc_75 + (perc_90 - perc_75) * (2/3), converted_stat, '2K_Ratings'!R579, IF(bbgm_stat &gt;= perc_95, converted_stat * 3, IF(bbgm_stat &gt;= perc_90, converted_stat * 2, IF(bbgm_stat &gt;= perc_85, converted_stat * 1.5, converted_stat)))))</f>
        <v/>
      </c>
      <c r="S579" s="30" t="str">
        <f t="array" ref="S579">IF($A579="", "", LET(bbgm_stat, INDEX(Players!$A578:$P578, MATCH(S$2, Players!$A$1:$P$1, 0)), perc_75, VLOOKUP(S$2, Percentiles!$A$45:$I$59, 6, FALSE), perc_90, VLOOKUP(S$2, Percentiles!$A$45:$I$59, 7, FALSE), perc_95, VLOOKUP(S$2, Percentiles!$A$45:$I$59, 8, FALSE), perc_85, perc_75 + (perc_90 - perc_75) * (2/3), converted_stat, '2K_Ratings'!S579, IF(bbgm_stat &gt;= perc_95, converted_stat * 3, IF(bbgm_stat &gt;= perc_90, converted_stat * 2, IF(bbgm_stat &gt;= perc_85, converted_stat * 1.5, converted_stat)))))</f>
        <v/>
      </c>
      <c r="T579" s="30" t="str">
        <f t="array" ref="T579">IF($A579="", "", LET(bbgm_stat, INDEX(Players!$A578:$P578, MATCH(T$2, Players!$A$1:$P$1, 0)), perc_75, VLOOKUP(T$2, Percentiles!$A$45:$I$59, 6, FALSE), perc_90, VLOOKUP(T$2, Percentiles!$A$45:$I$59, 7, FALSE), perc_95, VLOOKUP(T$2, Percentiles!$A$45:$I$59, 8, FALSE), perc_85, perc_75 + (perc_90 - perc_75) * (2/3), converted_stat, '2K_Ratings'!T579, IF(bbgm_stat &gt;= perc_95, converted_stat * 3, IF(bbgm_stat &gt;= perc_90, converted_stat * 2, IF(bbgm_stat &gt;= perc_85, converted_stat * 1.5, converted_stat)))))</f>
        <v/>
      </c>
      <c r="U579" s="30" t="str">
        <f t="array" ref="U579">IF($A579="", "", LET(bbgm_stat, INDEX(Players!$A578:$P578, MATCH(U$2, Players!$A$1:$P$1, 0)), perc_75, VLOOKUP(U$2, Percentiles!$A$45:$I$59, 6, FALSE), perc_90, VLOOKUP(U$2, Percentiles!$A$45:$I$59, 7, FALSE), perc_95, VLOOKUP(U$2, Percentiles!$A$45:$I$59, 8, FALSE), perc_85, perc_75 + (perc_90 - perc_75) * (2/3), converted_stat, '2K_Ratings'!U579, IF(bbgm_stat &gt;= perc_95, converted_stat * 3, IF(bbgm_stat &gt;= perc_90, converted_stat * 2, IF(bbgm_stat &gt;= perc_85, converted_stat * 1.5, converted_stat)))))</f>
        <v/>
      </c>
      <c r="V579" s="30" t="str">
        <f t="array" ref="V579">IF($A579="", "", LET(bbgm_stat, INDEX(Players!$A578:$P578, MATCH(V$2, Players!$A$1:$P$1, 0)), perc_75, VLOOKUP(V$2, Percentiles!$A$45:$I$59, 6, FALSE), perc_90, VLOOKUP(V$2, Percentiles!$A$45:$I$59, 7, FALSE), perc_95, VLOOKUP(V$2, Percentiles!$A$45:$I$59, 8, FALSE), perc_85, perc_75 + (perc_90 - perc_75) * (2/3), converted_stat, '2K_Ratings'!V579, IF(bbgm_stat &gt;= perc_95, converted_stat * 3, IF(bbgm_stat &gt;= perc_90, converted_stat * 2, IF(bbgm_stat &gt;= perc_85, converted_stat * 1.5, converted_stat)))))</f>
        <v/>
      </c>
      <c r="W579" s="30" t="str">
        <f t="array" ref="W579">IF($A579="", "", LET(bbgm_stat, INDEX(Players!$A578:$P578, MATCH(W$2, Players!$A$1:$P$1, 0)), perc_75, VLOOKUP(W$2, Percentiles!$A$45:$I$59, 6, FALSE), perc_90, VLOOKUP(W$2, Percentiles!$A$45:$I$59, 7, FALSE), perc_95, VLOOKUP(W$2, Percentiles!$A$45:$I$59, 8, FALSE), perc_85, perc_75 + (perc_90 - perc_75) * (2/3), converted_stat, '2K_Ratings'!W579, IF(bbgm_stat &gt;= perc_95, converted_stat * 3, IF(bbgm_stat &gt;= perc_90, converted_stat * 2, IF(bbgm_stat &gt;= perc_85, converted_stat * 1.5, converted_stat)))))</f>
        <v/>
      </c>
    </row>
    <row r="580">
      <c r="A580" s="30"/>
      <c r="B580" s="30" t="str">
        <f t="array" ref="B580">IF($A580="", "", LET(bbgm_stat, INDEX(Players!$A579:$P579, MATCH(B$2, Players!$A$1:$P$1, 0)), perc_75, VLOOKUP(B$2, Percentiles!$A$45:$I$59, 6, FALSE), perc_90, VLOOKUP(B$2, Percentiles!$A$45:$I$59, 7, FALSE), perc_95, VLOOKUP(B$2, Percentiles!$A$45:$I$59, 8, FALSE), perc_85, perc_75 + (perc_90 - perc_75) * (2/3), converted_stat, '2K_Ratings'!B580, IF(bbgm_stat &gt;= perc_95, converted_stat * 3, IF(bbgm_stat &gt;= perc_90, converted_stat * 2, IF(bbgm_stat &gt;= perc_85, converted_stat * 1.5, converted_stat)))))</f>
        <v/>
      </c>
      <c r="C580" s="30" t="str">
        <f t="array" ref="C580">IF($A580="", "", LET(bbgm_stat, INDEX(Players!$A579:$P579, MATCH(C$2, Players!$A$1:$P$1, 0)), perc_75, VLOOKUP(C$2, Percentiles!$A$45:$I$59, 6, FALSE), perc_90, VLOOKUP(C$2, Percentiles!$A$45:$I$59, 7, FALSE), perc_95, VLOOKUP(C$2, Percentiles!$A$45:$I$59, 8, FALSE), perc_85, perc_75 + (perc_90 - perc_75) * (2/3), converted_stat, '2K_Ratings'!C580, IF(bbgm_stat &gt;= perc_95, converted_stat * 3, IF(bbgm_stat &gt;= perc_90, converted_stat * 2, IF(bbgm_stat &gt;= perc_85, converted_stat * 1.5, converted_stat)))))</f>
        <v/>
      </c>
      <c r="D580" s="30" t="str">
        <f t="array" ref="D580">IF($A580="", "", LET(bbgm_stat, INDEX(Players!$A579:$P579, MATCH(D$2, Players!$A$1:$P$1, 0)), perc_75, VLOOKUP(D$2, Percentiles!$A$45:$I$59, 6, FALSE), perc_90, VLOOKUP(D$2, Percentiles!$A$45:$I$59, 7, FALSE), perc_95, VLOOKUP(D$2, Percentiles!$A$45:$I$59, 8, FALSE), perc_85, perc_75 + (perc_90 - perc_75) * (2/3), converted_stat, '2K_Ratings'!D580, IF(bbgm_stat &gt;= perc_95, converted_stat * 3, IF(bbgm_stat &gt;= perc_90, converted_stat * 2, IF(bbgm_stat &gt;= perc_85, converted_stat * 1.5, converted_stat)))))</f>
        <v/>
      </c>
      <c r="E580" s="30" t="str">
        <f t="array" ref="E580">IF($A580="", "", LET(bbgm_stat, INDEX(Players!$A579:$P579, MATCH(E$2, Players!$A$1:$P$1, 0)), perc_75, VLOOKUP(E$2, Percentiles!$A$45:$I$59, 6, FALSE), perc_90, VLOOKUP(E$2, Percentiles!$A$45:$I$59, 7, FALSE), perc_95, VLOOKUP(E$2, Percentiles!$A$45:$I$59, 8, FALSE), perc_85, perc_75 + (perc_90 - perc_75) * (2/3), converted_stat, '2K_Ratings'!E580, IF(bbgm_stat &gt;= perc_95, converted_stat * 3, IF(bbgm_stat &gt;= perc_90, converted_stat * 2, IF(bbgm_stat &gt;= perc_85, converted_stat * 1.5, converted_stat)))))</f>
        <v/>
      </c>
      <c r="F580" s="30" t="str">
        <f t="array" ref="F580">IF($A580="", "", LET(bbgm_stat, INDEX(Players!$A579:$P579, MATCH(F$2, Players!$A$1:$P$1, 0)), perc_75, VLOOKUP(F$2, Percentiles!$A$45:$I$59, 6, FALSE), perc_90, VLOOKUP(F$2, Percentiles!$A$45:$I$59, 7, FALSE), perc_95, VLOOKUP(F$2, Percentiles!$A$45:$I$59, 8, FALSE), perc_85, perc_75 + (perc_90 - perc_75) * (2/3), converted_stat, '2K_Ratings'!F580, IF(bbgm_stat &gt;= perc_95, converted_stat * 3, IF(bbgm_stat &gt;= perc_90, converted_stat * 2, IF(bbgm_stat &gt;= perc_85, converted_stat * 1.5, converted_stat)))))</f>
        <v/>
      </c>
      <c r="G580" s="30" t="str">
        <f t="array" ref="G580">IF($A580="", "", LET(bbgm_stat, INDEX(Players!$A579:$P579, MATCH(G$2, Players!$A$1:$P$1, 0)), perc_75, VLOOKUP(G$2, Percentiles!$A$45:$I$59, 6, FALSE), perc_90, VLOOKUP(G$2, Percentiles!$A$45:$I$59, 7, FALSE), perc_95, VLOOKUP(G$2, Percentiles!$A$45:$I$59, 8, FALSE), perc_85, perc_75 + (perc_90 - perc_75) * (2/3), converted_stat, '2K_Ratings'!G580, IF(bbgm_stat &gt;= perc_95, converted_stat * 3, IF(bbgm_stat &gt;= perc_90, converted_stat * 2, IF(bbgm_stat &gt;= perc_85, converted_stat * 1.5, converted_stat)))))</f>
        <v/>
      </c>
      <c r="H580" s="30" t="str">
        <f t="array" ref="H580">IF($A580="", "", LET(bbgm_stat, INDEX(Players!$A579:$P579, MATCH(H$2, Players!$A$1:$P$1, 0)), perc_75, VLOOKUP(H$2, Percentiles!$A$45:$I$59, 6, FALSE), perc_90, VLOOKUP(H$2, Percentiles!$A$45:$I$59, 7, FALSE), perc_95, VLOOKUP(H$2, Percentiles!$A$45:$I$59, 8, FALSE), perc_85, perc_75 + (perc_90 - perc_75) * (2/3), converted_stat, '2K_Ratings'!H580, IF(bbgm_stat &gt;= perc_95, converted_stat * 3, IF(bbgm_stat &gt;= perc_90, converted_stat * 2, IF(bbgm_stat &gt;= perc_85, converted_stat * 1.5, converted_stat)))))</f>
        <v/>
      </c>
      <c r="I580" s="30" t="str">
        <f t="array" ref="I580">IF($A580="", "", LET(bbgm_stat, INDEX(Players!$A579:$P579, MATCH(I$2, Players!$A$1:$P$1, 0)), perc_75, VLOOKUP(I$2, Percentiles!$A$45:$I$59, 6, FALSE), perc_90, VLOOKUP(I$2, Percentiles!$A$45:$I$59, 7, FALSE), perc_95, VLOOKUP(I$2, Percentiles!$A$45:$I$59, 8, FALSE), perc_85, perc_75 + (perc_90 - perc_75) * (2/3), converted_stat, '2K_Ratings'!I580, IF(bbgm_stat &gt;= perc_95, converted_stat * 3, IF(bbgm_stat &gt;= perc_90, converted_stat * 2, IF(bbgm_stat &gt;= perc_85, converted_stat * 1.5, converted_stat)))))</f>
        <v/>
      </c>
      <c r="J580" s="30" t="str">
        <f t="array" ref="J580">IF($A580="", "", LET(bbgm_stat, INDEX(Players!$A579:$P579, MATCH(J$2, Players!$A$1:$P$1, 0)), perc_75, VLOOKUP(J$2, Percentiles!$A$45:$I$59, 6, FALSE), perc_90, VLOOKUP(J$2, Percentiles!$A$45:$I$59, 7, FALSE), perc_95, VLOOKUP(J$2, Percentiles!$A$45:$I$59, 8, FALSE), perc_85, perc_75 + (perc_90 - perc_75) * (2/3), converted_stat, '2K_Ratings'!J580, IF(bbgm_stat &gt;= perc_95, converted_stat * 3, IF(bbgm_stat &gt;= perc_90, converted_stat * 2, IF(bbgm_stat &gt;= perc_85, converted_stat * 1.5, converted_stat)))))</f>
        <v/>
      </c>
      <c r="K580" s="30" t="str">
        <f t="array" ref="K580">IF($A580="", "", LET(bbgm_stat, INDEX(Players!$A579:$P579, MATCH(K$2, Players!$A$1:$P$1, 0)), perc_75, VLOOKUP(K$2, Percentiles!$A$45:$I$59, 6, FALSE), perc_90, VLOOKUP(K$2, Percentiles!$A$45:$I$59, 7, FALSE), perc_95, VLOOKUP(K$2, Percentiles!$A$45:$I$59, 8, FALSE), perc_85, perc_75 + (perc_90 - perc_75) * (2/3), converted_stat, '2K_Ratings'!K580, IF(bbgm_stat &gt;= perc_95, converted_stat * 3, IF(bbgm_stat &gt;= perc_90, converted_stat * 2, IF(bbgm_stat &gt;= perc_85, converted_stat * 1.5, converted_stat)))))</f>
        <v/>
      </c>
      <c r="L580" s="30" t="str">
        <f t="array" ref="L580">IF($A580="", "", LET(bbgm_stat, INDEX(Players!$A579:$P579, MATCH(L$2, Players!$A$1:$P$1, 0)), perc_75, VLOOKUP(L$2, Percentiles!$A$45:$I$59, 6, FALSE), perc_90, VLOOKUP(L$2, Percentiles!$A$45:$I$59, 7, FALSE), perc_95, VLOOKUP(L$2, Percentiles!$A$45:$I$59, 8, FALSE), perc_85, perc_75 + (perc_90 - perc_75) * (2/3), converted_stat, '2K_Ratings'!L580, IF(bbgm_stat &gt;= perc_95, converted_stat * 3, IF(bbgm_stat &gt;= perc_90, converted_stat * 2, IF(bbgm_stat &gt;= perc_85, converted_stat * 1.5, converted_stat)))))</f>
        <v/>
      </c>
      <c r="M580" s="30" t="str">
        <f t="array" ref="M580">IF($A580="", "", LET(bbgm_stat, INDEX(Players!$A579:$P579, MATCH(M$2, Players!$A$1:$P$1, 0)), perc_75, VLOOKUP(M$2, Percentiles!$A$45:$I$59, 6, FALSE), perc_90, VLOOKUP(M$2, Percentiles!$A$45:$I$59, 7, FALSE), perc_95, VLOOKUP(M$2, Percentiles!$A$45:$I$59, 8, FALSE), perc_85, perc_75 + (perc_90 - perc_75) * (2/3), converted_stat, '2K_Ratings'!M580, IF(bbgm_stat &gt;= perc_95, converted_stat * 3, IF(bbgm_stat &gt;= perc_90, converted_stat * 2, IF(bbgm_stat &gt;= perc_85, converted_stat * 1.5, converted_stat)))))</f>
        <v/>
      </c>
      <c r="N580" s="30" t="str">
        <f t="array" ref="N580">IF($A580="", "", LET(bbgm_stat, INDEX(Players!$A579:$P579, MATCH(N$2, Players!$A$1:$P$1, 0)), perc_75, VLOOKUP(N$2, Percentiles!$A$45:$I$59, 6, FALSE), perc_90, VLOOKUP(N$2, Percentiles!$A$45:$I$59, 7, FALSE), perc_95, VLOOKUP(N$2, Percentiles!$A$45:$I$59, 8, FALSE), perc_85, perc_75 + (perc_90 - perc_75) * (2/3), converted_stat, '2K_Ratings'!N580, IF(bbgm_stat &gt;= perc_95, converted_stat * 3, IF(bbgm_stat &gt;= perc_90, converted_stat * 2, IF(bbgm_stat &gt;= perc_85, converted_stat * 1.5, converted_stat)))))</f>
        <v/>
      </c>
      <c r="O580" s="30" t="str">
        <f t="array" ref="O580">IF($A580="", "", LET(bbgm_stat, INDEX(Players!$A579:$P579, MATCH(O$2, Players!$A$1:$P$1, 0)), perc_75, VLOOKUP(O$2, Percentiles!$A$45:$I$59, 6, FALSE), perc_90, VLOOKUP(O$2, Percentiles!$A$45:$I$59, 7, FALSE), perc_95, VLOOKUP(O$2, Percentiles!$A$45:$I$59, 8, FALSE), perc_85, perc_75 + (perc_90 - perc_75) * (2/3), converted_stat, '2K_Ratings'!O580, IF(bbgm_stat &gt;= perc_95, converted_stat * 3, IF(bbgm_stat &gt;= perc_90, converted_stat * 2, IF(bbgm_stat &gt;= perc_85, converted_stat * 1.5, converted_stat)))))</f>
        <v/>
      </c>
      <c r="P580" s="30" t="str">
        <f t="array" ref="P580">IF($A580="", "", LET(bbgm_stat, INDEX(Players!$A579:$P579, MATCH(P$2, Players!$A$1:$P$1, 0)), perc_75, VLOOKUP(P$2, Percentiles!$A$45:$I$59, 6, FALSE), perc_90, VLOOKUP(P$2, Percentiles!$A$45:$I$59, 7, FALSE), perc_95, VLOOKUP(P$2, Percentiles!$A$45:$I$59, 8, FALSE), perc_85, perc_75 + (perc_90 - perc_75) * (2/3), converted_stat, '2K_Ratings'!P580, IF(bbgm_stat &gt;= perc_95, converted_stat * 3, IF(bbgm_stat &gt;= perc_90, converted_stat * 2, IF(bbgm_stat &gt;= perc_85, converted_stat * 1.5, converted_stat)))))</f>
        <v/>
      </c>
      <c r="Q580" s="30" t="str">
        <f t="array" ref="Q580">IF($A580="", "", LET(bbgm_stat, INDEX(Players!$A579:$P579, MATCH(Q$2, Players!$A$1:$P$1, 0)), perc_75, VLOOKUP(Q$2, Percentiles!$A$45:$I$59, 6, FALSE), perc_90, VLOOKUP(Q$2, Percentiles!$A$45:$I$59, 7, FALSE), perc_95, VLOOKUP(Q$2, Percentiles!$A$45:$I$59, 8, FALSE), perc_85, perc_75 + (perc_90 - perc_75) * (2/3), converted_stat, '2K_Ratings'!Q580, IF(bbgm_stat &gt;= perc_95, converted_stat * 3, IF(bbgm_stat &gt;= perc_90, converted_stat * 2, IF(bbgm_stat &gt;= perc_85, converted_stat * 1.5, converted_stat)))))</f>
        <v/>
      </c>
      <c r="R580" s="30" t="str">
        <f t="array" ref="R580">IF($A580="", "", LET(bbgm_stat, INDEX(Players!$A579:$P579, MATCH(R$2, Players!$A$1:$P$1, 0)), perc_75, VLOOKUP(R$2, Percentiles!$A$45:$I$59, 6, FALSE), perc_90, VLOOKUP(R$2, Percentiles!$A$45:$I$59, 7, FALSE), perc_95, VLOOKUP(R$2, Percentiles!$A$45:$I$59, 8, FALSE), perc_85, perc_75 + (perc_90 - perc_75) * (2/3), converted_stat, '2K_Ratings'!R580, IF(bbgm_stat &gt;= perc_95, converted_stat * 3, IF(bbgm_stat &gt;= perc_90, converted_stat * 2, IF(bbgm_stat &gt;= perc_85, converted_stat * 1.5, converted_stat)))))</f>
        <v/>
      </c>
      <c r="S580" s="30" t="str">
        <f t="array" ref="S580">IF($A580="", "", LET(bbgm_stat, INDEX(Players!$A579:$P579, MATCH(S$2, Players!$A$1:$P$1, 0)), perc_75, VLOOKUP(S$2, Percentiles!$A$45:$I$59, 6, FALSE), perc_90, VLOOKUP(S$2, Percentiles!$A$45:$I$59, 7, FALSE), perc_95, VLOOKUP(S$2, Percentiles!$A$45:$I$59, 8, FALSE), perc_85, perc_75 + (perc_90 - perc_75) * (2/3), converted_stat, '2K_Ratings'!S580, IF(bbgm_stat &gt;= perc_95, converted_stat * 3, IF(bbgm_stat &gt;= perc_90, converted_stat * 2, IF(bbgm_stat &gt;= perc_85, converted_stat * 1.5, converted_stat)))))</f>
        <v/>
      </c>
      <c r="T580" s="30" t="str">
        <f t="array" ref="T580">IF($A580="", "", LET(bbgm_stat, INDEX(Players!$A579:$P579, MATCH(T$2, Players!$A$1:$P$1, 0)), perc_75, VLOOKUP(T$2, Percentiles!$A$45:$I$59, 6, FALSE), perc_90, VLOOKUP(T$2, Percentiles!$A$45:$I$59, 7, FALSE), perc_95, VLOOKUP(T$2, Percentiles!$A$45:$I$59, 8, FALSE), perc_85, perc_75 + (perc_90 - perc_75) * (2/3), converted_stat, '2K_Ratings'!T580, IF(bbgm_stat &gt;= perc_95, converted_stat * 3, IF(bbgm_stat &gt;= perc_90, converted_stat * 2, IF(bbgm_stat &gt;= perc_85, converted_stat * 1.5, converted_stat)))))</f>
        <v/>
      </c>
      <c r="U580" s="30" t="str">
        <f t="array" ref="U580">IF($A580="", "", LET(bbgm_stat, INDEX(Players!$A579:$P579, MATCH(U$2, Players!$A$1:$P$1, 0)), perc_75, VLOOKUP(U$2, Percentiles!$A$45:$I$59, 6, FALSE), perc_90, VLOOKUP(U$2, Percentiles!$A$45:$I$59, 7, FALSE), perc_95, VLOOKUP(U$2, Percentiles!$A$45:$I$59, 8, FALSE), perc_85, perc_75 + (perc_90 - perc_75) * (2/3), converted_stat, '2K_Ratings'!U580, IF(bbgm_stat &gt;= perc_95, converted_stat * 3, IF(bbgm_stat &gt;= perc_90, converted_stat * 2, IF(bbgm_stat &gt;= perc_85, converted_stat * 1.5, converted_stat)))))</f>
        <v/>
      </c>
      <c r="V580" s="30" t="str">
        <f t="array" ref="V580">IF($A580="", "", LET(bbgm_stat, INDEX(Players!$A579:$P579, MATCH(V$2, Players!$A$1:$P$1, 0)), perc_75, VLOOKUP(V$2, Percentiles!$A$45:$I$59, 6, FALSE), perc_90, VLOOKUP(V$2, Percentiles!$A$45:$I$59, 7, FALSE), perc_95, VLOOKUP(V$2, Percentiles!$A$45:$I$59, 8, FALSE), perc_85, perc_75 + (perc_90 - perc_75) * (2/3), converted_stat, '2K_Ratings'!V580, IF(bbgm_stat &gt;= perc_95, converted_stat * 3, IF(bbgm_stat &gt;= perc_90, converted_stat * 2, IF(bbgm_stat &gt;= perc_85, converted_stat * 1.5, converted_stat)))))</f>
        <v/>
      </c>
      <c r="W580" s="30" t="str">
        <f t="array" ref="W580">IF($A580="", "", LET(bbgm_stat, INDEX(Players!$A579:$P579, MATCH(W$2, Players!$A$1:$P$1, 0)), perc_75, VLOOKUP(W$2, Percentiles!$A$45:$I$59, 6, FALSE), perc_90, VLOOKUP(W$2, Percentiles!$A$45:$I$59, 7, FALSE), perc_95, VLOOKUP(W$2, Percentiles!$A$45:$I$59, 8, FALSE), perc_85, perc_75 + (perc_90 - perc_75) * (2/3), converted_stat, '2K_Ratings'!W580, IF(bbgm_stat &gt;= perc_95, converted_stat * 3, IF(bbgm_stat &gt;= perc_90, converted_stat * 2, IF(bbgm_stat &gt;= perc_85, converted_stat * 1.5, converted_stat)))))</f>
        <v/>
      </c>
    </row>
    <row r="581">
      <c r="A581" s="30"/>
      <c r="B581" s="30" t="str">
        <f t="array" ref="B581">IF($A581="", "", LET(bbgm_stat, INDEX(Players!$A580:$P580, MATCH(B$2, Players!$A$1:$P$1, 0)), perc_75, VLOOKUP(B$2, Percentiles!$A$45:$I$59, 6, FALSE), perc_90, VLOOKUP(B$2, Percentiles!$A$45:$I$59, 7, FALSE), perc_95, VLOOKUP(B$2, Percentiles!$A$45:$I$59, 8, FALSE), perc_85, perc_75 + (perc_90 - perc_75) * (2/3), converted_stat, '2K_Ratings'!B581, IF(bbgm_stat &gt;= perc_95, converted_stat * 3, IF(bbgm_stat &gt;= perc_90, converted_stat * 2, IF(bbgm_stat &gt;= perc_85, converted_stat * 1.5, converted_stat)))))</f>
        <v/>
      </c>
      <c r="C581" s="30" t="str">
        <f t="array" ref="C581">IF($A581="", "", LET(bbgm_stat, INDEX(Players!$A580:$P580, MATCH(C$2, Players!$A$1:$P$1, 0)), perc_75, VLOOKUP(C$2, Percentiles!$A$45:$I$59, 6, FALSE), perc_90, VLOOKUP(C$2, Percentiles!$A$45:$I$59, 7, FALSE), perc_95, VLOOKUP(C$2, Percentiles!$A$45:$I$59, 8, FALSE), perc_85, perc_75 + (perc_90 - perc_75) * (2/3), converted_stat, '2K_Ratings'!C581, IF(bbgm_stat &gt;= perc_95, converted_stat * 3, IF(bbgm_stat &gt;= perc_90, converted_stat * 2, IF(bbgm_stat &gt;= perc_85, converted_stat * 1.5, converted_stat)))))</f>
        <v/>
      </c>
      <c r="D581" s="30" t="str">
        <f t="array" ref="D581">IF($A581="", "", LET(bbgm_stat, INDEX(Players!$A580:$P580, MATCH(D$2, Players!$A$1:$P$1, 0)), perc_75, VLOOKUP(D$2, Percentiles!$A$45:$I$59, 6, FALSE), perc_90, VLOOKUP(D$2, Percentiles!$A$45:$I$59, 7, FALSE), perc_95, VLOOKUP(D$2, Percentiles!$A$45:$I$59, 8, FALSE), perc_85, perc_75 + (perc_90 - perc_75) * (2/3), converted_stat, '2K_Ratings'!D581, IF(bbgm_stat &gt;= perc_95, converted_stat * 3, IF(bbgm_stat &gt;= perc_90, converted_stat * 2, IF(bbgm_stat &gt;= perc_85, converted_stat * 1.5, converted_stat)))))</f>
        <v/>
      </c>
      <c r="E581" s="30" t="str">
        <f t="array" ref="E581">IF($A581="", "", LET(bbgm_stat, INDEX(Players!$A580:$P580, MATCH(E$2, Players!$A$1:$P$1, 0)), perc_75, VLOOKUP(E$2, Percentiles!$A$45:$I$59, 6, FALSE), perc_90, VLOOKUP(E$2, Percentiles!$A$45:$I$59, 7, FALSE), perc_95, VLOOKUP(E$2, Percentiles!$A$45:$I$59, 8, FALSE), perc_85, perc_75 + (perc_90 - perc_75) * (2/3), converted_stat, '2K_Ratings'!E581, IF(bbgm_stat &gt;= perc_95, converted_stat * 3, IF(bbgm_stat &gt;= perc_90, converted_stat * 2, IF(bbgm_stat &gt;= perc_85, converted_stat * 1.5, converted_stat)))))</f>
        <v/>
      </c>
      <c r="F581" s="30" t="str">
        <f t="array" ref="F581">IF($A581="", "", LET(bbgm_stat, INDEX(Players!$A580:$P580, MATCH(F$2, Players!$A$1:$P$1, 0)), perc_75, VLOOKUP(F$2, Percentiles!$A$45:$I$59, 6, FALSE), perc_90, VLOOKUP(F$2, Percentiles!$A$45:$I$59, 7, FALSE), perc_95, VLOOKUP(F$2, Percentiles!$A$45:$I$59, 8, FALSE), perc_85, perc_75 + (perc_90 - perc_75) * (2/3), converted_stat, '2K_Ratings'!F581, IF(bbgm_stat &gt;= perc_95, converted_stat * 3, IF(bbgm_stat &gt;= perc_90, converted_stat * 2, IF(bbgm_stat &gt;= perc_85, converted_stat * 1.5, converted_stat)))))</f>
        <v/>
      </c>
      <c r="G581" s="30" t="str">
        <f t="array" ref="G581">IF($A581="", "", LET(bbgm_stat, INDEX(Players!$A580:$P580, MATCH(G$2, Players!$A$1:$P$1, 0)), perc_75, VLOOKUP(G$2, Percentiles!$A$45:$I$59, 6, FALSE), perc_90, VLOOKUP(G$2, Percentiles!$A$45:$I$59, 7, FALSE), perc_95, VLOOKUP(G$2, Percentiles!$A$45:$I$59, 8, FALSE), perc_85, perc_75 + (perc_90 - perc_75) * (2/3), converted_stat, '2K_Ratings'!G581, IF(bbgm_stat &gt;= perc_95, converted_stat * 3, IF(bbgm_stat &gt;= perc_90, converted_stat * 2, IF(bbgm_stat &gt;= perc_85, converted_stat * 1.5, converted_stat)))))</f>
        <v/>
      </c>
      <c r="H581" s="30" t="str">
        <f t="array" ref="H581">IF($A581="", "", LET(bbgm_stat, INDEX(Players!$A580:$P580, MATCH(H$2, Players!$A$1:$P$1, 0)), perc_75, VLOOKUP(H$2, Percentiles!$A$45:$I$59, 6, FALSE), perc_90, VLOOKUP(H$2, Percentiles!$A$45:$I$59, 7, FALSE), perc_95, VLOOKUP(H$2, Percentiles!$A$45:$I$59, 8, FALSE), perc_85, perc_75 + (perc_90 - perc_75) * (2/3), converted_stat, '2K_Ratings'!H581, IF(bbgm_stat &gt;= perc_95, converted_stat * 3, IF(bbgm_stat &gt;= perc_90, converted_stat * 2, IF(bbgm_stat &gt;= perc_85, converted_stat * 1.5, converted_stat)))))</f>
        <v/>
      </c>
      <c r="I581" s="30" t="str">
        <f t="array" ref="I581">IF($A581="", "", LET(bbgm_stat, INDEX(Players!$A580:$P580, MATCH(I$2, Players!$A$1:$P$1, 0)), perc_75, VLOOKUP(I$2, Percentiles!$A$45:$I$59, 6, FALSE), perc_90, VLOOKUP(I$2, Percentiles!$A$45:$I$59, 7, FALSE), perc_95, VLOOKUP(I$2, Percentiles!$A$45:$I$59, 8, FALSE), perc_85, perc_75 + (perc_90 - perc_75) * (2/3), converted_stat, '2K_Ratings'!I581, IF(bbgm_stat &gt;= perc_95, converted_stat * 3, IF(bbgm_stat &gt;= perc_90, converted_stat * 2, IF(bbgm_stat &gt;= perc_85, converted_stat * 1.5, converted_stat)))))</f>
        <v/>
      </c>
      <c r="J581" s="30" t="str">
        <f t="array" ref="J581">IF($A581="", "", LET(bbgm_stat, INDEX(Players!$A580:$P580, MATCH(J$2, Players!$A$1:$P$1, 0)), perc_75, VLOOKUP(J$2, Percentiles!$A$45:$I$59, 6, FALSE), perc_90, VLOOKUP(J$2, Percentiles!$A$45:$I$59, 7, FALSE), perc_95, VLOOKUP(J$2, Percentiles!$A$45:$I$59, 8, FALSE), perc_85, perc_75 + (perc_90 - perc_75) * (2/3), converted_stat, '2K_Ratings'!J581, IF(bbgm_stat &gt;= perc_95, converted_stat * 3, IF(bbgm_stat &gt;= perc_90, converted_stat * 2, IF(bbgm_stat &gt;= perc_85, converted_stat * 1.5, converted_stat)))))</f>
        <v/>
      </c>
      <c r="K581" s="30" t="str">
        <f t="array" ref="K581">IF($A581="", "", LET(bbgm_stat, INDEX(Players!$A580:$P580, MATCH(K$2, Players!$A$1:$P$1, 0)), perc_75, VLOOKUP(K$2, Percentiles!$A$45:$I$59, 6, FALSE), perc_90, VLOOKUP(K$2, Percentiles!$A$45:$I$59, 7, FALSE), perc_95, VLOOKUP(K$2, Percentiles!$A$45:$I$59, 8, FALSE), perc_85, perc_75 + (perc_90 - perc_75) * (2/3), converted_stat, '2K_Ratings'!K581, IF(bbgm_stat &gt;= perc_95, converted_stat * 3, IF(bbgm_stat &gt;= perc_90, converted_stat * 2, IF(bbgm_stat &gt;= perc_85, converted_stat * 1.5, converted_stat)))))</f>
        <v/>
      </c>
      <c r="L581" s="30" t="str">
        <f t="array" ref="L581">IF($A581="", "", LET(bbgm_stat, INDEX(Players!$A580:$P580, MATCH(L$2, Players!$A$1:$P$1, 0)), perc_75, VLOOKUP(L$2, Percentiles!$A$45:$I$59, 6, FALSE), perc_90, VLOOKUP(L$2, Percentiles!$A$45:$I$59, 7, FALSE), perc_95, VLOOKUP(L$2, Percentiles!$A$45:$I$59, 8, FALSE), perc_85, perc_75 + (perc_90 - perc_75) * (2/3), converted_stat, '2K_Ratings'!L581, IF(bbgm_stat &gt;= perc_95, converted_stat * 3, IF(bbgm_stat &gt;= perc_90, converted_stat * 2, IF(bbgm_stat &gt;= perc_85, converted_stat * 1.5, converted_stat)))))</f>
        <v/>
      </c>
      <c r="M581" s="30" t="str">
        <f t="array" ref="M581">IF($A581="", "", LET(bbgm_stat, INDEX(Players!$A580:$P580, MATCH(M$2, Players!$A$1:$P$1, 0)), perc_75, VLOOKUP(M$2, Percentiles!$A$45:$I$59, 6, FALSE), perc_90, VLOOKUP(M$2, Percentiles!$A$45:$I$59, 7, FALSE), perc_95, VLOOKUP(M$2, Percentiles!$A$45:$I$59, 8, FALSE), perc_85, perc_75 + (perc_90 - perc_75) * (2/3), converted_stat, '2K_Ratings'!M581, IF(bbgm_stat &gt;= perc_95, converted_stat * 3, IF(bbgm_stat &gt;= perc_90, converted_stat * 2, IF(bbgm_stat &gt;= perc_85, converted_stat * 1.5, converted_stat)))))</f>
        <v/>
      </c>
      <c r="N581" s="30" t="str">
        <f t="array" ref="N581">IF($A581="", "", LET(bbgm_stat, INDEX(Players!$A580:$P580, MATCH(N$2, Players!$A$1:$P$1, 0)), perc_75, VLOOKUP(N$2, Percentiles!$A$45:$I$59, 6, FALSE), perc_90, VLOOKUP(N$2, Percentiles!$A$45:$I$59, 7, FALSE), perc_95, VLOOKUP(N$2, Percentiles!$A$45:$I$59, 8, FALSE), perc_85, perc_75 + (perc_90 - perc_75) * (2/3), converted_stat, '2K_Ratings'!N581, IF(bbgm_stat &gt;= perc_95, converted_stat * 3, IF(bbgm_stat &gt;= perc_90, converted_stat * 2, IF(bbgm_stat &gt;= perc_85, converted_stat * 1.5, converted_stat)))))</f>
        <v/>
      </c>
      <c r="O581" s="30" t="str">
        <f t="array" ref="O581">IF($A581="", "", LET(bbgm_stat, INDEX(Players!$A580:$P580, MATCH(O$2, Players!$A$1:$P$1, 0)), perc_75, VLOOKUP(O$2, Percentiles!$A$45:$I$59, 6, FALSE), perc_90, VLOOKUP(O$2, Percentiles!$A$45:$I$59, 7, FALSE), perc_95, VLOOKUP(O$2, Percentiles!$A$45:$I$59, 8, FALSE), perc_85, perc_75 + (perc_90 - perc_75) * (2/3), converted_stat, '2K_Ratings'!O581, IF(bbgm_stat &gt;= perc_95, converted_stat * 3, IF(bbgm_stat &gt;= perc_90, converted_stat * 2, IF(bbgm_stat &gt;= perc_85, converted_stat * 1.5, converted_stat)))))</f>
        <v/>
      </c>
      <c r="P581" s="30" t="str">
        <f t="array" ref="P581">IF($A581="", "", LET(bbgm_stat, INDEX(Players!$A580:$P580, MATCH(P$2, Players!$A$1:$P$1, 0)), perc_75, VLOOKUP(P$2, Percentiles!$A$45:$I$59, 6, FALSE), perc_90, VLOOKUP(P$2, Percentiles!$A$45:$I$59, 7, FALSE), perc_95, VLOOKUP(P$2, Percentiles!$A$45:$I$59, 8, FALSE), perc_85, perc_75 + (perc_90 - perc_75) * (2/3), converted_stat, '2K_Ratings'!P581, IF(bbgm_stat &gt;= perc_95, converted_stat * 3, IF(bbgm_stat &gt;= perc_90, converted_stat * 2, IF(bbgm_stat &gt;= perc_85, converted_stat * 1.5, converted_stat)))))</f>
        <v/>
      </c>
      <c r="Q581" s="30" t="str">
        <f t="array" ref="Q581">IF($A581="", "", LET(bbgm_stat, INDEX(Players!$A580:$P580, MATCH(Q$2, Players!$A$1:$P$1, 0)), perc_75, VLOOKUP(Q$2, Percentiles!$A$45:$I$59, 6, FALSE), perc_90, VLOOKUP(Q$2, Percentiles!$A$45:$I$59, 7, FALSE), perc_95, VLOOKUP(Q$2, Percentiles!$A$45:$I$59, 8, FALSE), perc_85, perc_75 + (perc_90 - perc_75) * (2/3), converted_stat, '2K_Ratings'!Q581, IF(bbgm_stat &gt;= perc_95, converted_stat * 3, IF(bbgm_stat &gt;= perc_90, converted_stat * 2, IF(bbgm_stat &gt;= perc_85, converted_stat * 1.5, converted_stat)))))</f>
        <v/>
      </c>
      <c r="R581" s="30" t="str">
        <f t="array" ref="R581">IF($A581="", "", LET(bbgm_stat, INDEX(Players!$A580:$P580, MATCH(R$2, Players!$A$1:$P$1, 0)), perc_75, VLOOKUP(R$2, Percentiles!$A$45:$I$59, 6, FALSE), perc_90, VLOOKUP(R$2, Percentiles!$A$45:$I$59, 7, FALSE), perc_95, VLOOKUP(R$2, Percentiles!$A$45:$I$59, 8, FALSE), perc_85, perc_75 + (perc_90 - perc_75) * (2/3), converted_stat, '2K_Ratings'!R581, IF(bbgm_stat &gt;= perc_95, converted_stat * 3, IF(bbgm_stat &gt;= perc_90, converted_stat * 2, IF(bbgm_stat &gt;= perc_85, converted_stat * 1.5, converted_stat)))))</f>
        <v/>
      </c>
      <c r="S581" s="30" t="str">
        <f t="array" ref="S581">IF($A581="", "", LET(bbgm_stat, INDEX(Players!$A580:$P580, MATCH(S$2, Players!$A$1:$P$1, 0)), perc_75, VLOOKUP(S$2, Percentiles!$A$45:$I$59, 6, FALSE), perc_90, VLOOKUP(S$2, Percentiles!$A$45:$I$59, 7, FALSE), perc_95, VLOOKUP(S$2, Percentiles!$A$45:$I$59, 8, FALSE), perc_85, perc_75 + (perc_90 - perc_75) * (2/3), converted_stat, '2K_Ratings'!S581, IF(bbgm_stat &gt;= perc_95, converted_stat * 3, IF(bbgm_stat &gt;= perc_90, converted_stat * 2, IF(bbgm_stat &gt;= perc_85, converted_stat * 1.5, converted_stat)))))</f>
        <v/>
      </c>
      <c r="T581" s="30" t="str">
        <f t="array" ref="T581">IF($A581="", "", LET(bbgm_stat, INDEX(Players!$A580:$P580, MATCH(T$2, Players!$A$1:$P$1, 0)), perc_75, VLOOKUP(T$2, Percentiles!$A$45:$I$59, 6, FALSE), perc_90, VLOOKUP(T$2, Percentiles!$A$45:$I$59, 7, FALSE), perc_95, VLOOKUP(T$2, Percentiles!$A$45:$I$59, 8, FALSE), perc_85, perc_75 + (perc_90 - perc_75) * (2/3), converted_stat, '2K_Ratings'!T581, IF(bbgm_stat &gt;= perc_95, converted_stat * 3, IF(bbgm_stat &gt;= perc_90, converted_stat * 2, IF(bbgm_stat &gt;= perc_85, converted_stat * 1.5, converted_stat)))))</f>
        <v/>
      </c>
      <c r="U581" s="30" t="str">
        <f t="array" ref="U581">IF($A581="", "", LET(bbgm_stat, INDEX(Players!$A580:$P580, MATCH(U$2, Players!$A$1:$P$1, 0)), perc_75, VLOOKUP(U$2, Percentiles!$A$45:$I$59, 6, FALSE), perc_90, VLOOKUP(U$2, Percentiles!$A$45:$I$59, 7, FALSE), perc_95, VLOOKUP(U$2, Percentiles!$A$45:$I$59, 8, FALSE), perc_85, perc_75 + (perc_90 - perc_75) * (2/3), converted_stat, '2K_Ratings'!U581, IF(bbgm_stat &gt;= perc_95, converted_stat * 3, IF(bbgm_stat &gt;= perc_90, converted_stat * 2, IF(bbgm_stat &gt;= perc_85, converted_stat * 1.5, converted_stat)))))</f>
        <v/>
      </c>
      <c r="V581" s="30" t="str">
        <f t="array" ref="V581">IF($A581="", "", LET(bbgm_stat, INDEX(Players!$A580:$P580, MATCH(V$2, Players!$A$1:$P$1, 0)), perc_75, VLOOKUP(V$2, Percentiles!$A$45:$I$59, 6, FALSE), perc_90, VLOOKUP(V$2, Percentiles!$A$45:$I$59, 7, FALSE), perc_95, VLOOKUP(V$2, Percentiles!$A$45:$I$59, 8, FALSE), perc_85, perc_75 + (perc_90 - perc_75) * (2/3), converted_stat, '2K_Ratings'!V581, IF(bbgm_stat &gt;= perc_95, converted_stat * 3, IF(bbgm_stat &gt;= perc_90, converted_stat * 2, IF(bbgm_stat &gt;= perc_85, converted_stat * 1.5, converted_stat)))))</f>
        <v/>
      </c>
      <c r="W581" s="30" t="str">
        <f t="array" ref="W581">IF($A581="", "", LET(bbgm_stat, INDEX(Players!$A580:$P580, MATCH(W$2, Players!$A$1:$P$1, 0)), perc_75, VLOOKUP(W$2, Percentiles!$A$45:$I$59, 6, FALSE), perc_90, VLOOKUP(W$2, Percentiles!$A$45:$I$59, 7, FALSE), perc_95, VLOOKUP(W$2, Percentiles!$A$45:$I$59, 8, FALSE), perc_85, perc_75 + (perc_90 - perc_75) * (2/3), converted_stat, '2K_Ratings'!W581, IF(bbgm_stat &gt;= perc_95, converted_stat * 3, IF(bbgm_stat &gt;= perc_90, converted_stat * 2, IF(bbgm_stat &gt;= perc_85, converted_stat * 1.5, converted_stat)))))</f>
        <v/>
      </c>
    </row>
    <row r="582">
      <c r="A582" s="30"/>
      <c r="B582" s="30" t="str">
        <f t="array" ref="B582">IF($A582="", "", LET(bbgm_stat, INDEX(Players!$A581:$P581, MATCH(B$2, Players!$A$1:$P$1, 0)), perc_75, VLOOKUP(B$2, Percentiles!$A$45:$I$59, 6, FALSE), perc_90, VLOOKUP(B$2, Percentiles!$A$45:$I$59, 7, FALSE), perc_95, VLOOKUP(B$2, Percentiles!$A$45:$I$59, 8, FALSE), perc_85, perc_75 + (perc_90 - perc_75) * (2/3), converted_stat, '2K_Ratings'!B582, IF(bbgm_stat &gt;= perc_95, converted_stat * 3, IF(bbgm_stat &gt;= perc_90, converted_stat * 2, IF(bbgm_stat &gt;= perc_85, converted_stat * 1.5, converted_stat)))))</f>
        <v/>
      </c>
      <c r="C582" s="30" t="str">
        <f t="array" ref="C582">IF($A582="", "", LET(bbgm_stat, INDEX(Players!$A581:$P581, MATCH(C$2, Players!$A$1:$P$1, 0)), perc_75, VLOOKUP(C$2, Percentiles!$A$45:$I$59, 6, FALSE), perc_90, VLOOKUP(C$2, Percentiles!$A$45:$I$59, 7, FALSE), perc_95, VLOOKUP(C$2, Percentiles!$A$45:$I$59, 8, FALSE), perc_85, perc_75 + (perc_90 - perc_75) * (2/3), converted_stat, '2K_Ratings'!C582, IF(bbgm_stat &gt;= perc_95, converted_stat * 3, IF(bbgm_stat &gt;= perc_90, converted_stat * 2, IF(bbgm_stat &gt;= perc_85, converted_stat * 1.5, converted_stat)))))</f>
        <v/>
      </c>
      <c r="D582" s="30" t="str">
        <f t="array" ref="D582">IF($A582="", "", LET(bbgm_stat, INDEX(Players!$A581:$P581, MATCH(D$2, Players!$A$1:$P$1, 0)), perc_75, VLOOKUP(D$2, Percentiles!$A$45:$I$59, 6, FALSE), perc_90, VLOOKUP(D$2, Percentiles!$A$45:$I$59, 7, FALSE), perc_95, VLOOKUP(D$2, Percentiles!$A$45:$I$59, 8, FALSE), perc_85, perc_75 + (perc_90 - perc_75) * (2/3), converted_stat, '2K_Ratings'!D582, IF(bbgm_stat &gt;= perc_95, converted_stat * 3, IF(bbgm_stat &gt;= perc_90, converted_stat * 2, IF(bbgm_stat &gt;= perc_85, converted_stat * 1.5, converted_stat)))))</f>
        <v/>
      </c>
      <c r="E582" s="30" t="str">
        <f t="array" ref="E582">IF($A582="", "", LET(bbgm_stat, INDEX(Players!$A581:$P581, MATCH(E$2, Players!$A$1:$P$1, 0)), perc_75, VLOOKUP(E$2, Percentiles!$A$45:$I$59, 6, FALSE), perc_90, VLOOKUP(E$2, Percentiles!$A$45:$I$59, 7, FALSE), perc_95, VLOOKUP(E$2, Percentiles!$A$45:$I$59, 8, FALSE), perc_85, perc_75 + (perc_90 - perc_75) * (2/3), converted_stat, '2K_Ratings'!E582, IF(bbgm_stat &gt;= perc_95, converted_stat * 3, IF(bbgm_stat &gt;= perc_90, converted_stat * 2, IF(bbgm_stat &gt;= perc_85, converted_stat * 1.5, converted_stat)))))</f>
        <v/>
      </c>
      <c r="F582" s="30" t="str">
        <f t="array" ref="F582">IF($A582="", "", LET(bbgm_stat, INDEX(Players!$A581:$P581, MATCH(F$2, Players!$A$1:$P$1, 0)), perc_75, VLOOKUP(F$2, Percentiles!$A$45:$I$59, 6, FALSE), perc_90, VLOOKUP(F$2, Percentiles!$A$45:$I$59, 7, FALSE), perc_95, VLOOKUP(F$2, Percentiles!$A$45:$I$59, 8, FALSE), perc_85, perc_75 + (perc_90 - perc_75) * (2/3), converted_stat, '2K_Ratings'!F582, IF(bbgm_stat &gt;= perc_95, converted_stat * 3, IF(bbgm_stat &gt;= perc_90, converted_stat * 2, IF(bbgm_stat &gt;= perc_85, converted_stat * 1.5, converted_stat)))))</f>
        <v/>
      </c>
      <c r="G582" s="30" t="str">
        <f t="array" ref="G582">IF($A582="", "", LET(bbgm_stat, INDEX(Players!$A581:$P581, MATCH(G$2, Players!$A$1:$P$1, 0)), perc_75, VLOOKUP(G$2, Percentiles!$A$45:$I$59, 6, FALSE), perc_90, VLOOKUP(G$2, Percentiles!$A$45:$I$59, 7, FALSE), perc_95, VLOOKUP(G$2, Percentiles!$A$45:$I$59, 8, FALSE), perc_85, perc_75 + (perc_90 - perc_75) * (2/3), converted_stat, '2K_Ratings'!G582, IF(bbgm_stat &gt;= perc_95, converted_stat * 3, IF(bbgm_stat &gt;= perc_90, converted_stat * 2, IF(bbgm_stat &gt;= perc_85, converted_stat * 1.5, converted_stat)))))</f>
        <v/>
      </c>
      <c r="H582" s="30" t="str">
        <f t="array" ref="H582">IF($A582="", "", LET(bbgm_stat, INDEX(Players!$A581:$P581, MATCH(H$2, Players!$A$1:$P$1, 0)), perc_75, VLOOKUP(H$2, Percentiles!$A$45:$I$59, 6, FALSE), perc_90, VLOOKUP(H$2, Percentiles!$A$45:$I$59, 7, FALSE), perc_95, VLOOKUP(H$2, Percentiles!$A$45:$I$59, 8, FALSE), perc_85, perc_75 + (perc_90 - perc_75) * (2/3), converted_stat, '2K_Ratings'!H582, IF(bbgm_stat &gt;= perc_95, converted_stat * 3, IF(bbgm_stat &gt;= perc_90, converted_stat * 2, IF(bbgm_stat &gt;= perc_85, converted_stat * 1.5, converted_stat)))))</f>
        <v/>
      </c>
      <c r="I582" s="30" t="str">
        <f t="array" ref="I582">IF($A582="", "", LET(bbgm_stat, INDEX(Players!$A581:$P581, MATCH(I$2, Players!$A$1:$P$1, 0)), perc_75, VLOOKUP(I$2, Percentiles!$A$45:$I$59, 6, FALSE), perc_90, VLOOKUP(I$2, Percentiles!$A$45:$I$59, 7, FALSE), perc_95, VLOOKUP(I$2, Percentiles!$A$45:$I$59, 8, FALSE), perc_85, perc_75 + (perc_90 - perc_75) * (2/3), converted_stat, '2K_Ratings'!I582, IF(bbgm_stat &gt;= perc_95, converted_stat * 3, IF(bbgm_stat &gt;= perc_90, converted_stat * 2, IF(bbgm_stat &gt;= perc_85, converted_stat * 1.5, converted_stat)))))</f>
        <v/>
      </c>
      <c r="J582" s="30" t="str">
        <f t="array" ref="J582">IF($A582="", "", LET(bbgm_stat, INDEX(Players!$A581:$P581, MATCH(J$2, Players!$A$1:$P$1, 0)), perc_75, VLOOKUP(J$2, Percentiles!$A$45:$I$59, 6, FALSE), perc_90, VLOOKUP(J$2, Percentiles!$A$45:$I$59, 7, FALSE), perc_95, VLOOKUP(J$2, Percentiles!$A$45:$I$59, 8, FALSE), perc_85, perc_75 + (perc_90 - perc_75) * (2/3), converted_stat, '2K_Ratings'!J582, IF(bbgm_stat &gt;= perc_95, converted_stat * 3, IF(bbgm_stat &gt;= perc_90, converted_stat * 2, IF(bbgm_stat &gt;= perc_85, converted_stat * 1.5, converted_stat)))))</f>
        <v/>
      </c>
      <c r="K582" s="30" t="str">
        <f t="array" ref="K582">IF($A582="", "", LET(bbgm_stat, INDEX(Players!$A581:$P581, MATCH(K$2, Players!$A$1:$P$1, 0)), perc_75, VLOOKUP(K$2, Percentiles!$A$45:$I$59, 6, FALSE), perc_90, VLOOKUP(K$2, Percentiles!$A$45:$I$59, 7, FALSE), perc_95, VLOOKUP(K$2, Percentiles!$A$45:$I$59, 8, FALSE), perc_85, perc_75 + (perc_90 - perc_75) * (2/3), converted_stat, '2K_Ratings'!K582, IF(bbgm_stat &gt;= perc_95, converted_stat * 3, IF(bbgm_stat &gt;= perc_90, converted_stat * 2, IF(bbgm_stat &gt;= perc_85, converted_stat * 1.5, converted_stat)))))</f>
        <v/>
      </c>
      <c r="L582" s="30" t="str">
        <f t="array" ref="L582">IF($A582="", "", LET(bbgm_stat, INDEX(Players!$A581:$P581, MATCH(L$2, Players!$A$1:$P$1, 0)), perc_75, VLOOKUP(L$2, Percentiles!$A$45:$I$59, 6, FALSE), perc_90, VLOOKUP(L$2, Percentiles!$A$45:$I$59, 7, FALSE), perc_95, VLOOKUP(L$2, Percentiles!$A$45:$I$59, 8, FALSE), perc_85, perc_75 + (perc_90 - perc_75) * (2/3), converted_stat, '2K_Ratings'!L582, IF(bbgm_stat &gt;= perc_95, converted_stat * 3, IF(bbgm_stat &gt;= perc_90, converted_stat * 2, IF(bbgm_stat &gt;= perc_85, converted_stat * 1.5, converted_stat)))))</f>
        <v/>
      </c>
      <c r="M582" s="30" t="str">
        <f t="array" ref="M582">IF($A582="", "", LET(bbgm_stat, INDEX(Players!$A581:$P581, MATCH(M$2, Players!$A$1:$P$1, 0)), perc_75, VLOOKUP(M$2, Percentiles!$A$45:$I$59, 6, FALSE), perc_90, VLOOKUP(M$2, Percentiles!$A$45:$I$59, 7, FALSE), perc_95, VLOOKUP(M$2, Percentiles!$A$45:$I$59, 8, FALSE), perc_85, perc_75 + (perc_90 - perc_75) * (2/3), converted_stat, '2K_Ratings'!M582, IF(bbgm_stat &gt;= perc_95, converted_stat * 3, IF(bbgm_stat &gt;= perc_90, converted_stat * 2, IF(bbgm_stat &gt;= perc_85, converted_stat * 1.5, converted_stat)))))</f>
        <v/>
      </c>
      <c r="N582" s="30" t="str">
        <f t="array" ref="N582">IF($A582="", "", LET(bbgm_stat, INDEX(Players!$A581:$P581, MATCH(N$2, Players!$A$1:$P$1, 0)), perc_75, VLOOKUP(N$2, Percentiles!$A$45:$I$59, 6, FALSE), perc_90, VLOOKUP(N$2, Percentiles!$A$45:$I$59, 7, FALSE), perc_95, VLOOKUP(N$2, Percentiles!$A$45:$I$59, 8, FALSE), perc_85, perc_75 + (perc_90 - perc_75) * (2/3), converted_stat, '2K_Ratings'!N582, IF(bbgm_stat &gt;= perc_95, converted_stat * 3, IF(bbgm_stat &gt;= perc_90, converted_stat * 2, IF(bbgm_stat &gt;= perc_85, converted_stat * 1.5, converted_stat)))))</f>
        <v/>
      </c>
      <c r="O582" s="30" t="str">
        <f t="array" ref="O582">IF($A582="", "", LET(bbgm_stat, INDEX(Players!$A581:$P581, MATCH(O$2, Players!$A$1:$P$1, 0)), perc_75, VLOOKUP(O$2, Percentiles!$A$45:$I$59, 6, FALSE), perc_90, VLOOKUP(O$2, Percentiles!$A$45:$I$59, 7, FALSE), perc_95, VLOOKUP(O$2, Percentiles!$A$45:$I$59, 8, FALSE), perc_85, perc_75 + (perc_90 - perc_75) * (2/3), converted_stat, '2K_Ratings'!O582, IF(bbgm_stat &gt;= perc_95, converted_stat * 3, IF(bbgm_stat &gt;= perc_90, converted_stat * 2, IF(bbgm_stat &gt;= perc_85, converted_stat * 1.5, converted_stat)))))</f>
        <v/>
      </c>
      <c r="P582" s="30" t="str">
        <f t="array" ref="P582">IF($A582="", "", LET(bbgm_stat, INDEX(Players!$A581:$P581, MATCH(P$2, Players!$A$1:$P$1, 0)), perc_75, VLOOKUP(P$2, Percentiles!$A$45:$I$59, 6, FALSE), perc_90, VLOOKUP(P$2, Percentiles!$A$45:$I$59, 7, FALSE), perc_95, VLOOKUP(P$2, Percentiles!$A$45:$I$59, 8, FALSE), perc_85, perc_75 + (perc_90 - perc_75) * (2/3), converted_stat, '2K_Ratings'!P582, IF(bbgm_stat &gt;= perc_95, converted_stat * 3, IF(bbgm_stat &gt;= perc_90, converted_stat * 2, IF(bbgm_stat &gt;= perc_85, converted_stat * 1.5, converted_stat)))))</f>
        <v/>
      </c>
      <c r="Q582" s="30" t="str">
        <f t="array" ref="Q582">IF($A582="", "", LET(bbgm_stat, INDEX(Players!$A581:$P581, MATCH(Q$2, Players!$A$1:$P$1, 0)), perc_75, VLOOKUP(Q$2, Percentiles!$A$45:$I$59, 6, FALSE), perc_90, VLOOKUP(Q$2, Percentiles!$A$45:$I$59, 7, FALSE), perc_95, VLOOKUP(Q$2, Percentiles!$A$45:$I$59, 8, FALSE), perc_85, perc_75 + (perc_90 - perc_75) * (2/3), converted_stat, '2K_Ratings'!Q582, IF(bbgm_stat &gt;= perc_95, converted_stat * 3, IF(bbgm_stat &gt;= perc_90, converted_stat * 2, IF(bbgm_stat &gt;= perc_85, converted_stat * 1.5, converted_stat)))))</f>
        <v/>
      </c>
      <c r="R582" s="30" t="str">
        <f t="array" ref="R582">IF($A582="", "", LET(bbgm_stat, INDEX(Players!$A581:$P581, MATCH(R$2, Players!$A$1:$P$1, 0)), perc_75, VLOOKUP(R$2, Percentiles!$A$45:$I$59, 6, FALSE), perc_90, VLOOKUP(R$2, Percentiles!$A$45:$I$59, 7, FALSE), perc_95, VLOOKUP(R$2, Percentiles!$A$45:$I$59, 8, FALSE), perc_85, perc_75 + (perc_90 - perc_75) * (2/3), converted_stat, '2K_Ratings'!R582, IF(bbgm_stat &gt;= perc_95, converted_stat * 3, IF(bbgm_stat &gt;= perc_90, converted_stat * 2, IF(bbgm_stat &gt;= perc_85, converted_stat * 1.5, converted_stat)))))</f>
        <v/>
      </c>
      <c r="S582" s="30" t="str">
        <f t="array" ref="S582">IF($A582="", "", LET(bbgm_stat, INDEX(Players!$A581:$P581, MATCH(S$2, Players!$A$1:$P$1, 0)), perc_75, VLOOKUP(S$2, Percentiles!$A$45:$I$59, 6, FALSE), perc_90, VLOOKUP(S$2, Percentiles!$A$45:$I$59, 7, FALSE), perc_95, VLOOKUP(S$2, Percentiles!$A$45:$I$59, 8, FALSE), perc_85, perc_75 + (perc_90 - perc_75) * (2/3), converted_stat, '2K_Ratings'!S582, IF(bbgm_stat &gt;= perc_95, converted_stat * 3, IF(bbgm_stat &gt;= perc_90, converted_stat * 2, IF(bbgm_stat &gt;= perc_85, converted_stat * 1.5, converted_stat)))))</f>
        <v/>
      </c>
      <c r="T582" s="30" t="str">
        <f t="array" ref="T582">IF($A582="", "", LET(bbgm_stat, INDEX(Players!$A581:$P581, MATCH(T$2, Players!$A$1:$P$1, 0)), perc_75, VLOOKUP(T$2, Percentiles!$A$45:$I$59, 6, FALSE), perc_90, VLOOKUP(T$2, Percentiles!$A$45:$I$59, 7, FALSE), perc_95, VLOOKUP(T$2, Percentiles!$A$45:$I$59, 8, FALSE), perc_85, perc_75 + (perc_90 - perc_75) * (2/3), converted_stat, '2K_Ratings'!T582, IF(bbgm_stat &gt;= perc_95, converted_stat * 3, IF(bbgm_stat &gt;= perc_90, converted_stat * 2, IF(bbgm_stat &gt;= perc_85, converted_stat * 1.5, converted_stat)))))</f>
        <v/>
      </c>
      <c r="U582" s="30" t="str">
        <f t="array" ref="U582">IF($A582="", "", LET(bbgm_stat, INDEX(Players!$A581:$P581, MATCH(U$2, Players!$A$1:$P$1, 0)), perc_75, VLOOKUP(U$2, Percentiles!$A$45:$I$59, 6, FALSE), perc_90, VLOOKUP(U$2, Percentiles!$A$45:$I$59, 7, FALSE), perc_95, VLOOKUP(U$2, Percentiles!$A$45:$I$59, 8, FALSE), perc_85, perc_75 + (perc_90 - perc_75) * (2/3), converted_stat, '2K_Ratings'!U582, IF(bbgm_stat &gt;= perc_95, converted_stat * 3, IF(bbgm_stat &gt;= perc_90, converted_stat * 2, IF(bbgm_stat &gt;= perc_85, converted_stat * 1.5, converted_stat)))))</f>
        <v/>
      </c>
      <c r="V582" s="30" t="str">
        <f t="array" ref="V582">IF($A582="", "", LET(bbgm_stat, INDEX(Players!$A581:$P581, MATCH(V$2, Players!$A$1:$P$1, 0)), perc_75, VLOOKUP(V$2, Percentiles!$A$45:$I$59, 6, FALSE), perc_90, VLOOKUP(V$2, Percentiles!$A$45:$I$59, 7, FALSE), perc_95, VLOOKUP(V$2, Percentiles!$A$45:$I$59, 8, FALSE), perc_85, perc_75 + (perc_90 - perc_75) * (2/3), converted_stat, '2K_Ratings'!V582, IF(bbgm_stat &gt;= perc_95, converted_stat * 3, IF(bbgm_stat &gt;= perc_90, converted_stat * 2, IF(bbgm_stat &gt;= perc_85, converted_stat * 1.5, converted_stat)))))</f>
        <v/>
      </c>
      <c r="W582" s="30" t="str">
        <f t="array" ref="W582">IF($A582="", "", LET(bbgm_stat, INDEX(Players!$A581:$P581, MATCH(W$2, Players!$A$1:$P$1, 0)), perc_75, VLOOKUP(W$2, Percentiles!$A$45:$I$59, 6, FALSE), perc_90, VLOOKUP(W$2, Percentiles!$A$45:$I$59, 7, FALSE), perc_95, VLOOKUP(W$2, Percentiles!$A$45:$I$59, 8, FALSE), perc_85, perc_75 + (perc_90 - perc_75) * (2/3), converted_stat, '2K_Ratings'!W582, IF(bbgm_stat &gt;= perc_95, converted_stat * 3, IF(bbgm_stat &gt;= perc_90, converted_stat * 2, IF(bbgm_stat &gt;= perc_85, converted_stat * 1.5, converted_stat)))))</f>
        <v/>
      </c>
    </row>
    <row r="583">
      <c r="A583" s="30"/>
      <c r="B583" s="30" t="str">
        <f t="array" ref="B583">IF($A583="", "", LET(bbgm_stat, INDEX(Players!$A582:$P582, MATCH(B$2, Players!$A$1:$P$1, 0)), perc_75, VLOOKUP(B$2, Percentiles!$A$45:$I$59, 6, FALSE), perc_90, VLOOKUP(B$2, Percentiles!$A$45:$I$59, 7, FALSE), perc_95, VLOOKUP(B$2, Percentiles!$A$45:$I$59, 8, FALSE), perc_85, perc_75 + (perc_90 - perc_75) * (2/3), converted_stat, '2K_Ratings'!B583, IF(bbgm_stat &gt;= perc_95, converted_stat * 3, IF(bbgm_stat &gt;= perc_90, converted_stat * 2, IF(bbgm_stat &gt;= perc_85, converted_stat * 1.5, converted_stat)))))</f>
        <v/>
      </c>
      <c r="C583" s="30" t="str">
        <f t="array" ref="C583">IF($A583="", "", LET(bbgm_stat, INDEX(Players!$A582:$P582, MATCH(C$2, Players!$A$1:$P$1, 0)), perc_75, VLOOKUP(C$2, Percentiles!$A$45:$I$59, 6, FALSE), perc_90, VLOOKUP(C$2, Percentiles!$A$45:$I$59, 7, FALSE), perc_95, VLOOKUP(C$2, Percentiles!$A$45:$I$59, 8, FALSE), perc_85, perc_75 + (perc_90 - perc_75) * (2/3), converted_stat, '2K_Ratings'!C583, IF(bbgm_stat &gt;= perc_95, converted_stat * 3, IF(bbgm_stat &gt;= perc_90, converted_stat * 2, IF(bbgm_stat &gt;= perc_85, converted_stat * 1.5, converted_stat)))))</f>
        <v/>
      </c>
      <c r="D583" s="30" t="str">
        <f t="array" ref="D583">IF($A583="", "", LET(bbgm_stat, INDEX(Players!$A582:$P582, MATCH(D$2, Players!$A$1:$P$1, 0)), perc_75, VLOOKUP(D$2, Percentiles!$A$45:$I$59, 6, FALSE), perc_90, VLOOKUP(D$2, Percentiles!$A$45:$I$59, 7, FALSE), perc_95, VLOOKUP(D$2, Percentiles!$A$45:$I$59, 8, FALSE), perc_85, perc_75 + (perc_90 - perc_75) * (2/3), converted_stat, '2K_Ratings'!D583, IF(bbgm_stat &gt;= perc_95, converted_stat * 3, IF(bbgm_stat &gt;= perc_90, converted_stat * 2, IF(bbgm_stat &gt;= perc_85, converted_stat * 1.5, converted_stat)))))</f>
        <v/>
      </c>
      <c r="E583" s="30" t="str">
        <f t="array" ref="E583">IF($A583="", "", LET(bbgm_stat, INDEX(Players!$A582:$P582, MATCH(E$2, Players!$A$1:$P$1, 0)), perc_75, VLOOKUP(E$2, Percentiles!$A$45:$I$59, 6, FALSE), perc_90, VLOOKUP(E$2, Percentiles!$A$45:$I$59, 7, FALSE), perc_95, VLOOKUP(E$2, Percentiles!$A$45:$I$59, 8, FALSE), perc_85, perc_75 + (perc_90 - perc_75) * (2/3), converted_stat, '2K_Ratings'!E583, IF(bbgm_stat &gt;= perc_95, converted_stat * 3, IF(bbgm_stat &gt;= perc_90, converted_stat * 2, IF(bbgm_stat &gt;= perc_85, converted_stat * 1.5, converted_stat)))))</f>
        <v/>
      </c>
      <c r="F583" s="30" t="str">
        <f t="array" ref="F583">IF($A583="", "", LET(bbgm_stat, INDEX(Players!$A582:$P582, MATCH(F$2, Players!$A$1:$P$1, 0)), perc_75, VLOOKUP(F$2, Percentiles!$A$45:$I$59, 6, FALSE), perc_90, VLOOKUP(F$2, Percentiles!$A$45:$I$59, 7, FALSE), perc_95, VLOOKUP(F$2, Percentiles!$A$45:$I$59, 8, FALSE), perc_85, perc_75 + (perc_90 - perc_75) * (2/3), converted_stat, '2K_Ratings'!F583, IF(bbgm_stat &gt;= perc_95, converted_stat * 3, IF(bbgm_stat &gt;= perc_90, converted_stat * 2, IF(bbgm_stat &gt;= perc_85, converted_stat * 1.5, converted_stat)))))</f>
        <v/>
      </c>
      <c r="G583" s="30" t="str">
        <f t="array" ref="G583">IF($A583="", "", LET(bbgm_stat, INDEX(Players!$A582:$P582, MATCH(G$2, Players!$A$1:$P$1, 0)), perc_75, VLOOKUP(G$2, Percentiles!$A$45:$I$59, 6, FALSE), perc_90, VLOOKUP(G$2, Percentiles!$A$45:$I$59, 7, FALSE), perc_95, VLOOKUP(G$2, Percentiles!$A$45:$I$59, 8, FALSE), perc_85, perc_75 + (perc_90 - perc_75) * (2/3), converted_stat, '2K_Ratings'!G583, IF(bbgm_stat &gt;= perc_95, converted_stat * 3, IF(bbgm_stat &gt;= perc_90, converted_stat * 2, IF(bbgm_stat &gt;= perc_85, converted_stat * 1.5, converted_stat)))))</f>
        <v/>
      </c>
      <c r="H583" s="30" t="str">
        <f t="array" ref="H583">IF($A583="", "", LET(bbgm_stat, INDEX(Players!$A582:$P582, MATCH(H$2, Players!$A$1:$P$1, 0)), perc_75, VLOOKUP(H$2, Percentiles!$A$45:$I$59, 6, FALSE), perc_90, VLOOKUP(H$2, Percentiles!$A$45:$I$59, 7, FALSE), perc_95, VLOOKUP(H$2, Percentiles!$A$45:$I$59, 8, FALSE), perc_85, perc_75 + (perc_90 - perc_75) * (2/3), converted_stat, '2K_Ratings'!H583, IF(bbgm_stat &gt;= perc_95, converted_stat * 3, IF(bbgm_stat &gt;= perc_90, converted_stat * 2, IF(bbgm_stat &gt;= perc_85, converted_stat * 1.5, converted_stat)))))</f>
        <v/>
      </c>
      <c r="I583" s="30" t="str">
        <f t="array" ref="I583">IF($A583="", "", LET(bbgm_stat, INDEX(Players!$A582:$P582, MATCH(I$2, Players!$A$1:$P$1, 0)), perc_75, VLOOKUP(I$2, Percentiles!$A$45:$I$59, 6, FALSE), perc_90, VLOOKUP(I$2, Percentiles!$A$45:$I$59, 7, FALSE), perc_95, VLOOKUP(I$2, Percentiles!$A$45:$I$59, 8, FALSE), perc_85, perc_75 + (perc_90 - perc_75) * (2/3), converted_stat, '2K_Ratings'!I583, IF(bbgm_stat &gt;= perc_95, converted_stat * 3, IF(bbgm_stat &gt;= perc_90, converted_stat * 2, IF(bbgm_stat &gt;= perc_85, converted_stat * 1.5, converted_stat)))))</f>
        <v/>
      </c>
      <c r="J583" s="30" t="str">
        <f t="array" ref="J583">IF($A583="", "", LET(bbgm_stat, INDEX(Players!$A582:$P582, MATCH(J$2, Players!$A$1:$P$1, 0)), perc_75, VLOOKUP(J$2, Percentiles!$A$45:$I$59, 6, FALSE), perc_90, VLOOKUP(J$2, Percentiles!$A$45:$I$59, 7, FALSE), perc_95, VLOOKUP(J$2, Percentiles!$A$45:$I$59, 8, FALSE), perc_85, perc_75 + (perc_90 - perc_75) * (2/3), converted_stat, '2K_Ratings'!J583, IF(bbgm_stat &gt;= perc_95, converted_stat * 3, IF(bbgm_stat &gt;= perc_90, converted_stat * 2, IF(bbgm_stat &gt;= perc_85, converted_stat * 1.5, converted_stat)))))</f>
        <v/>
      </c>
      <c r="K583" s="30" t="str">
        <f t="array" ref="K583">IF($A583="", "", LET(bbgm_stat, INDEX(Players!$A582:$P582, MATCH(K$2, Players!$A$1:$P$1, 0)), perc_75, VLOOKUP(K$2, Percentiles!$A$45:$I$59, 6, FALSE), perc_90, VLOOKUP(K$2, Percentiles!$A$45:$I$59, 7, FALSE), perc_95, VLOOKUP(K$2, Percentiles!$A$45:$I$59, 8, FALSE), perc_85, perc_75 + (perc_90 - perc_75) * (2/3), converted_stat, '2K_Ratings'!K583, IF(bbgm_stat &gt;= perc_95, converted_stat * 3, IF(bbgm_stat &gt;= perc_90, converted_stat * 2, IF(bbgm_stat &gt;= perc_85, converted_stat * 1.5, converted_stat)))))</f>
        <v/>
      </c>
      <c r="L583" s="30" t="str">
        <f t="array" ref="L583">IF($A583="", "", LET(bbgm_stat, INDEX(Players!$A582:$P582, MATCH(L$2, Players!$A$1:$P$1, 0)), perc_75, VLOOKUP(L$2, Percentiles!$A$45:$I$59, 6, FALSE), perc_90, VLOOKUP(L$2, Percentiles!$A$45:$I$59, 7, FALSE), perc_95, VLOOKUP(L$2, Percentiles!$A$45:$I$59, 8, FALSE), perc_85, perc_75 + (perc_90 - perc_75) * (2/3), converted_stat, '2K_Ratings'!L583, IF(bbgm_stat &gt;= perc_95, converted_stat * 3, IF(bbgm_stat &gt;= perc_90, converted_stat * 2, IF(bbgm_stat &gt;= perc_85, converted_stat * 1.5, converted_stat)))))</f>
        <v/>
      </c>
      <c r="M583" s="30" t="str">
        <f t="array" ref="M583">IF($A583="", "", LET(bbgm_stat, INDEX(Players!$A582:$P582, MATCH(M$2, Players!$A$1:$P$1, 0)), perc_75, VLOOKUP(M$2, Percentiles!$A$45:$I$59, 6, FALSE), perc_90, VLOOKUP(M$2, Percentiles!$A$45:$I$59, 7, FALSE), perc_95, VLOOKUP(M$2, Percentiles!$A$45:$I$59, 8, FALSE), perc_85, perc_75 + (perc_90 - perc_75) * (2/3), converted_stat, '2K_Ratings'!M583, IF(bbgm_stat &gt;= perc_95, converted_stat * 3, IF(bbgm_stat &gt;= perc_90, converted_stat * 2, IF(bbgm_stat &gt;= perc_85, converted_stat * 1.5, converted_stat)))))</f>
        <v/>
      </c>
      <c r="N583" s="30" t="str">
        <f t="array" ref="N583">IF($A583="", "", LET(bbgm_stat, INDEX(Players!$A582:$P582, MATCH(N$2, Players!$A$1:$P$1, 0)), perc_75, VLOOKUP(N$2, Percentiles!$A$45:$I$59, 6, FALSE), perc_90, VLOOKUP(N$2, Percentiles!$A$45:$I$59, 7, FALSE), perc_95, VLOOKUP(N$2, Percentiles!$A$45:$I$59, 8, FALSE), perc_85, perc_75 + (perc_90 - perc_75) * (2/3), converted_stat, '2K_Ratings'!N583, IF(bbgm_stat &gt;= perc_95, converted_stat * 3, IF(bbgm_stat &gt;= perc_90, converted_stat * 2, IF(bbgm_stat &gt;= perc_85, converted_stat * 1.5, converted_stat)))))</f>
        <v/>
      </c>
      <c r="O583" s="30" t="str">
        <f t="array" ref="O583">IF($A583="", "", LET(bbgm_stat, INDEX(Players!$A582:$P582, MATCH(O$2, Players!$A$1:$P$1, 0)), perc_75, VLOOKUP(O$2, Percentiles!$A$45:$I$59, 6, FALSE), perc_90, VLOOKUP(O$2, Percentiles!$A$45:$I$59, 7, FALSE), perc_95, VLOOKUP(O$2, Percentiles!$A$45:$I$59, 8, FALSE), perc_85, perc_75 + (perc_90 - perc_75) * (2/3), converted_stat, '2K_Ratings'!O583, IF(bbgm_stat &gt;= perc_95, converted_stat * 3, IF(bbgm_stat &gt;= perc_90, converted_stat * 2, IF(bbgm_stat &gt;= perc_85, converted_stat * 1.5, converted_stat)))))</f>
        <v/>
      </c>
      <c r="P583" s="30" t="str">
        <f t="array" ref="P583">IF($A583="", "", LET(bbgm_stat, INDEX(Players!$A582:$P582, MATCH(P$2, Players!$A$1:$P$1, 0)), perc_75, VLOOKUP(P$2, Percentiles!$A$45:$I$59, 6, FALSE), perc_90, VLOOKUP(P$2, Percentiles!$A$45:$I$59, 7, FALSE), perc_95, VLOOKUP(P$2, Percentiles!$A$45:$I$59, 8, FALSE), perc_85, perc_75 + (perc_90 - perc_75) * (2/3), converted_stat, '2K_Ratings'!P583, IF(bbgm_stat &gt;= perc_95, converted_stat * 3, IF(bbgm_stat &gt;= perc_90, converted_stat * 2, IF(bbgm_stat &gt;= perc_85, converted_stat * 1.5, converted_stat)))))</f>
        <v/>
      </c>
      <c r="Q583" s="30" t="str">
        <f t="array" ref="Q583">IF($A583="", "", LET(bbgm_stat, INDEX(Players!$A582:$P582, MATCH(Q$2, Players!$A$1:$P$1, 0)), perc_75, VLOOKUP(Q$2, Percentiles!$A$45:$I$59, 6, FALSE), perc_90, VLOOKUP(Q$2, Percentiles!$A$45:$I$59, 7, FALSE), perc_95, VLOOKUP(Q$2, Percentiles!$A$45:$I$59, 8, FALSE), perc_85, perc_75 + (perc_90 - perc_75) * (2/3), converted_stat, '2K_Ratings'!Q583, IF(bbgm_stat &gt;= perc_95, converted_stat * 3, IF(bbgm_stat &gt;= perc_90, converted_stat * 2, IF(bbgm_stat &gt;= perc_85, converted_stat * 1.5, converted_stat)))))</f>
        <v/>
      </c>
      <c r="R583" s="30" t="str">
        <f t="array" ref="R583">IF($A583="", "", LET(bbgm_stat, INDEX(Players!$A582:$P582, MATCH(R$2, Players!$A$1:$P$1, 0)), perc_75, VLOOKUP(R$2, Percentiles!$A$45:$I$59, 6, FALSE), perc_90, VLOOKUP(R$2, Percentiles!$A$45:$I$59, 7, FALSE), perc_95, VLOOKUP(R$2, Percentiles!$A$45:$I$59, 8, FALSE), perc_85, perc_75 + (perc_90 - perc_75) * (2/3), converted_stat, '2K_Ratings'!R583, IF(bbgm_stat &gt;= perc_95, converted_stat * 3, IF(bbgm_stat &gt;= perc_90, converted_stat * 2, IF(bbgm_stat &gt;= perc_85, converted_stat * 1.5, converted_stat)))))</f>
        <v/>
      </c>
      <c r="S583" s="30" t="str">
        <f t="array" ref="S583">IF($A583="", "", LET(bbgm_stat, INDEX(Players!$A582:$P582, MATCH(S$2, Players!$A$1:$P$1, 0)), perc_75, VLOOKUP(S$2, Percentiles!$A$45:$I$59, 6, FALSE), perc_90, VLOOKUP(S$2, Percentiles!$A$45:$I$59, 7, FALSE), perc_95, VLOOKUP(S$2, Percentiles!$A$45:$I$59, 8, FALSE), perc_85, perc_75 + (perc_90 - perc_75) * (2/3), converted_stat, '2K_Ratings'!S583, IF(bbgm_stat &gt;= perc_95, converted_stat * 3, IF(bbgm_stat &gt;= perc_90, converted_stat * 2, IF(bbgm_stat &gt;= perc_85, converted_stat * 1.5, converted_stat)))))</f>
        <v/>
      </c>
      <c r="T583" s="30" t="str">
        <f t="array" ref="T583">IF($A583="", "", LET(bbgm_stat, INDEX(Players!$A582:$P582, MATCH(T$2, Players!$A$1:$P$1, 0)), perc_75, VLOOKUP(T$2, Percentiles!$A$45:$I$59, 6, FALSE), perc_90, VLOOKUP(T$2, Percentiles!$A$45:$I$59, 7, FALSE), perc_95, VLOOKUP(T$2, Percentiles!$A$45:$I$59, 8, FALSE), perc_85, perc_75 + (perc_90 - perc_75) * (2/3), converted_stat, '2K_Ratings'!T583, IF(bbgm_stat &gt;= perc_95, converted_stat * 3, IF(bbgm_stat &gt;= perc_90, converted_stat * 2, IF(bbgm_stat &gt;= perc_85, converted_stat * 1.5, converted_stat)))))</f>
        <v/>
      </c>
      <c r="U583" s="30" t="str">
        <f t="array" ref="U583">IF($A583="", "", LET(bbgm_stat, INDEX(Players!$A582:$P582, MATCH(U$2, Players!$A$1:$P$1, 0)), perc_75, VLOOKUP(U$2, Percentiles!$A$45:$I$59, 6, FALSE), perc_90, VLOOKUP(U$2, Percentiles!$A$45:$I$59, 7, FALSE), perc_95, VLOOKUP(U$2, Percentiles!$A$45:$I$59, 8, FALSE), perc_85, perc_75 + (perc_90 - perc_75) * (2/3), converted_stat, '2K_Ratings'!U583, IF(bbgm_stat &gt;= perc_95, converted_stat * 3, IF(bbgm_stat &gt;= perc_90, converted_stat * 2, IF(bbgm_stat &gt;= perc_85, converted_stat * 1.5, converted_stat)))))</f>
        <v/>
      </c>
      <c r="V583" s="30" t="str">
        <f t="array" ref="V583">IF($A583="", "", LET(bbgm_stat, INDEX(Players!$A582:$P582, MATCH(V$2, Players!$A$1:$P$1, 0)), perc_75, VLOOKUP(V$2, Percentiles!$A$45:$I$59, 6, FALSE), perc_90, VLOOKUP(V$2, Percentiles!$A$45:$I$59, 7, FALSE), perc_95, VLOOKUP(V$2, Percentiles!$A$45:$I$59, 8, FALSE), perc_85, perc_75 + (perc_90 - perc_75) * (2/3), converted_stat, '2K_Ratings'!V583, IF(bbgm_stat &gt;= perc_95, converted_stat * 3, IF(bbgm_stat &gt;= perc_90, converted_stat * 2, IF(bbgm_stat &gt;= perc_85, converted_stat * 1.5, converted_stat)))))</f>
        <v/>
      </c>
      <c r="W583" s="30" t="str">
        <f t="array" ref="W583">IF($A583="", "", LET(bbgm_stat, INDEX(Players!$A582:$P582, MATCH(W$2, Players!$A$1:$P$1, 0)), perc_75, VLOOKUP(W$2, Percentiles!$A$45:$I$59, 6, FALSE), perc_90, VLOOKUP(W$2, Percentiles!$A$45:$I$59, 7, FALSE), perc_95, VLOOKUP(W$2, Percentiles!$A$45:$I$59, 8, FALSE), perc_85, perc_75 + (perc_90 - perc_75) * (2/3), converted_stat, '2K_Ratings'!W583, IF(bbgm_stat &gt;= perc_95, converted_stat * 3, IF(bbgm_stat &gt;= perc_90, converted_stat * 2, IF(bbgm_stat &gt;= perc_85, converted_stat * 1.5, converted_stat)))))</f>
        <v/>
      </c>
    </row>
    <row r="584">
      <c r="A584" s="30"/>
      <c r="B584" s="30" t="str">
        <f t="array" ref="B584">IF($A584="", "", LET(bbgm_stat, INDEX(Players!$A583:$P583, MATCH(B$2, Players!$A$1:$P$1, 0)), perc_75, VLOOKUP(B$2, Percentiles!$A$45:$I$59, 6, FALSE), perc_90, VLOOKUP(B$2, Percentiles!$A$45:$I$59, 7, FALSE), perc_95, VLOOKUP(B$2, Percentiles!$A$45:$I$59, 8, FALSE), perc_85, perc_75 + (perc_90 - perc_75) * (2/3), converted_stat, '2K_Ratings'!B584, IF(bbgm_stat &gt;= perc_95, converted_stat * 3, IF(bbgm_stat &gt;= perc_90, converted_stat * 2, IF(bbgm_stat &gt;= perc_85, converted_stat * 1.5, converted_stat)))))</f>
        <v/>
      </c>
      <c r="C584" s="30" t="str">
        <f t="array" ref="C584">IF($A584="", "", LET(bbgm_stat, INDEX(Players!$A583:$P583, MATCH(C$2, Players!$A$1:$P$1, 0)), perc_75, VLOOKUP(C$2, Percentiles!$A$45:$I$59, 6, FALSE), perc_90, VLOOKUP(C$2, Percentiles!$A$45:$I$59, 7, FALSE), perc_95, VLOOKUP(C$2, Percentiles!$A$45:$I$59, 8, FALSE), perc_85, perc_75 + (perc_90 - perc_75) * (2/3), converted_stat, '2K_Ratings'!C584, IF(bbgm_stat &gt;= perc_95, converted_stat * 3, IF(bbgm_stat &gt;= perc_90, converted_stat * 2, IF(bbgm_stat &gt;= perc_85, converted_stat * 1.5, converted_stat)))))</f>
        <v/>
      </c>
      <c r="D584" s="30" t="str">
        <f t="array" ref="D584">IF($A584="", "", LET(bbgm_stat, INDEX(Players!$A583:$P583, MATCH(D$2, Players!$A$1:$P$1, 0)), perc_75, VLOOKUP(D$2, Percentiles!$A$45:$I$59, 6, FALSE), perc_90, VLOOKUP(D$2, Percentiles!$A$45:$I$59, 7, FALSE), perc_95, VLOOKUP(D$2, Percentiles!$A$45:$I$59, 8, FALSE), perc_85, perc_75 + (perc_90 - perc_75) * (2/3), converted_stat, '2K_Ratings'!D584, IF(bbgm_stat &gt;= perc_95, converted_stat * 3, IF(bbgm_stat &gt;= perc_90, converted_stat * 2, IF(bbgm_stat &gt;= perc_85, converted_stat * 1.5, converted_stat)))))</f>
        <v/>
      </c>
      <c r="E584" s="30" t="str">
        <f t="array" ref="E584">IF($A584="", "", LET(bbgm_stat, INDEX(Players!$A583:$P583, MATCH(E$2, Players!$A$1:$P$1, 0)), perc_75, VLOOKUP(E$2, Percentiles!$A$45:$I$59, 6, FALSE), perc_90, VLOOKUP(E$2, Percentiles!$A$45:$I$59, 7, FALSE), perc_95, VLOOKUP(E$2, Percentiles!$A$45:$I$59, 8, FALSE), perc_85, perc_75 + (perc_90 - perc_75) * (2/3), converted_stat, '2K_Ratings'!E584, IF(bbgm_stat &gt;= perc_95, converted_stat * 3, IF(bbgm_stat &gt;= perc_90, converted_stat * 2, IF(bbgm_stat &gt;= perc_85, converted_stat * 1.5, converted_stat)))))</f>
        <v/>
      </c>
      <c r="F584" s="30" t="str">
        <f t="array" ref="F584">IF($A584="", "", LET(bbgm_stat, INDEX(Players!$A583:$P583, MATCH(F$2, Players!$A$1:$P$1, 0)), perc_75, VLOOKUP(F$2, Percentiles!$A$45:$I$59, 6, FALSE), perc_90, VLOOKUP(F$2, Percentiles!$A$45:$I$59, 7, FALSE), perc_95, VLOOKUP(F$2, Percentiles!$A$45:$I$59, 8, FALSE), perc_85, perc_75 + (perc_90 - perc_75) * (2/3), converted_stat, '2K_Ratings'!F584, IF(bbgm_stat &gt;= perc_95, converted_stat * 3, IF(bbgm_stat &gt;= perc_90, converted_stat * 2, IF(bbgm_stat &gt;= perc_85, converted_stat * 1.5, converted_stat)))))</f>
        <v/>
      </c>
      <c r="G584" s="30" t="str">
        <f t="array" ref="G584">IF($A584="", "", LET(bbgm_stat, INDEX(Players!$A583:$P583, MATCH(G$2, Players!$A$1:$P$1, 0)), perc_75, VLOOKUP(G$2, Percentiles!$A$45:$I$59, 6, FALSE), perc_90, VLOOKUP(G$2, Percentiles!$A$45:$I$59, 7, FALSE), perc_95, VLOOKUP(G$2, Percentiles!$A$45:$I$59, 8, FALSE), perc_85, perc_75 + (perc_90 - perc_75) * (2/3), converted_stat, '2K_Ratings'!G584, IF(bbgm_stat &gt;= perc_95, converted_stat * 3, IF(bbgm_stat &gt;= perc_90, converted_stat * 2, IF(bbgm_stat &gt;= perc_85, converted_stat * 1.5, converted_stat)))))</f>
        <v/>
      </c>
      <c r="H584" s="30" t="str">
        <f t="array" ref="H584">IF($A584="", "", LET(bbgm_stat, INDEX(Players!$A583:$P583, MATCH(H$2, Players!$A$1:$P$1, 0)), perc_75, VLOOKUP(H$2, Percentiles!$A$45:$I$59, 6, FALSE), perc_90, VLOOKUP(H$2, Percentiles!$A$45:$I$59, 7, FALSE), perc_95, VLOOKUP(H$2, Percentiles!$A$45:$I$59, 8, FALSE), perc_85, perc_75 + (perc_90 - perc_75) * (2/3), converted_stat, '2K_Ratings'!H584, IF(bbgm_stat &gt;= perc_95, converted_stat * 3, IF(bbgm_stat &gt;= perc_90, converted_stat * 2, IF(bbgm_stat &gt;= perc_85, converted_stat * 1.5, converted_stat)))))</f>
        <v/>
      </c>
      <c r="I584" s="30" t="str">
        <f t="array" ref="I584">IF($A584="", "", LET(bbgm_stat, INDEX(Players!$A583:$P583, MATCH(I$2, Players!$A$1:$P$1, 0)), perc_75, VLOOKUP(I$2, Percentiles!$A$45:$I$59, 6, FALSE), perc_90, VLOOKUP(I$2, Percentiles!$A$45:$I$59, 7, FALSE), perc_95, VLOOKUP(I$2, Percentiles!$A$45:$I$59, 8, FALSE), perc_85, perc_75 + (perc_90 - perc_75) * (2/3), converted_stat, '2K_Ratings'!I584, IF(bbgm_stat &gt;= perc_95, converted_stat * 3, IF(bbgm_stat &gt;= perc_90, converted_stat * 2, IF(bbgm_stat &gt;= perc_85, converted_stat * 1.5, converted_stat)))))</f>
        <v/>
      </c>
      <c r="J584" s="30" t="str">
        <f t="array" ref="J584">IF($A584="", "", LET(bbgm_stat, INDEX(Players!$A583:$P583, MATCH(J$2, Players!$A$1:$P$1, 0)), perc_75, VLOOKUP(J$2, Percentiles!$A$45:$I$59, 6, FALSE), perc_90, VLOOKUP(J$2, Percentiles!$A$45:$I$59, 7, FALSE), perc_95, VLOOKUP(J$2, Percentiles!$A$45:$I$59, 8, FALSE), perc_85, perc_75 + (perc_90 - perc_75) * (2/3), converted_stat, '2K_Ratings'!J584, IF(bbgm_stat &gt;= perc_95, converted_stat * 3, IF(bbgm_stat &gt;= perc_90, converted_stat * 2, IF(bbgm_stat &gt;= perc_85, converted_stat * 1.5, converted_stat)))))</f>
        <v/>
      </c>
      <c r="K584" s="30" t="str">
        <f t="array" ref="K584">IF($A584="", "", LET(bbgm_stat, INDEX(Players!$A583:$P583, MATCH(K$2, Players!$A$1:$P$1, 0)), perc_75, VLOOKUP(K$2, Percentiles!$A$45:$I$59, 6, FALSE), perc_90, VLOOKUP(K$2, Percentiles!$A$45:$I$59, 7, FALSE), perc_95, VLOOKUP(K$2, Percentiles!$A$45:$I$59, 8, FALSE), perc_85, perc_75 + (perc_90 - perc_75) * (2/3), converted_stat, '2K_Ratings'!K584, IF(bbgm_stat &gt;= perc_95, converted_stat * 3, IF(bbgm_stat &gt;= perc_90, converted_stat * 2, IF(bbgm_stat &gt;= perc_85, converted_stat * 1.5, converted_stat)))))</f>
        <v/>
      </c>
      <c r="L584" s="30" t="str">
        <f t="array" ref="L584">IF($A584="", "", LET(bbgm_stat, INDEX(Players!$A583:$P583, MATCH(L$2, Players!$A$1:$P$1, 0)), perc_75, VLOOKUP(L$2, Percentiles!$A$45:$I$59, 6, FALSE), perc_90, VLOOKUP(L$2, Percentiles!$A$45:$I$59, 7, FALSE), perc_95, VLOOKUP(L$2, Percentiles!$A$45:$I$59, 8, FALSE), perc_85, perc_75 + (perc_90 - perc_75) * (2/3), converted_stat, '2K_Ratings'!L584, IF(bbgm_stat &gt;= perc_95, converted_stat * 3, IF(bbgm_stat &gt;= perc_90, converted_stat * 2, IF(bbgm_stat &gt;= perc_85, converted_stat * 1.5, converted_stat)))))</f>
        <v/>
      </c>
      <c r="M584" s="30" t="str">
        <f t="array" ref="M584">IF($A584="", "", LET(bbgm_stat, INDEX(Players!$A583:$P583, MATCH(M$2, Players!$A$1:$P$1, 0)), perc_75, VLOOKUP(M$2, Percentiles!$A$45:$I$59, 6, FALSE), perc_90, VLOOKUP(M$2, Percentiles!$A$45:$I$59, 7, FALSE), perc_95, VLOOKUP(M$2, Percentiles!$A$45:$I$59, 8, FALSE), perc_85, perc_75 + (perc_90 - perc_75) * (2/3), converted_stat, '2K_Ratings'!M584, IF(bbgm_stat &gt;= perc_95, converted_stat * 3, IF(bbgm_stat &gt;= perc_90, converted_stat * 2, IF(bbgm_stat &gt;= perc_85, converted_stat * 1.5, converted_stat)))))</f>
        <v/>
      </c>
      <c r="N584" s="30" t="str">
        <f t="array" ref="N584">IF($A584="", "", LET(bbgm_stat, INDEX(Players!$A583:$P583, MATCH(N$2, Players!$A$1:$P$1, 0)), perc_75, VLOOKUP(N$2, Percentiles!$A$45:$I$59, 6, FALSE), perc_90, VLOOKUP(N$2, Percentiles!$A$45:$I$59, 7, FALSE), perc_95, VLOOKUP(N$2, Percentiles!$A$45:$I$59, 8, FALSE), perc_85, perc_75 + (perc_90 - perc_75) * (2/3), converted_stat, '2K_Ratings'!N584, IF(bbgm_stat &gt;= perc_95, converted_stat * 3, IF(bbgm_stat &gt;= perc_90, converted_stat * 2, IF(bbgm_stat &gt;= perc_85, converted_stat * 1.5, converted_stat)))))</f>
        <v/>
      </c>
      <c r="O584" s="30" t="str">
        <f t="array" ref="O584">IF($A584="", "", LET(bbgm_stat, INDEX(Players!$A583:$P583, MATCH(O$2, Players!$A$1:$P$1, 0)), perc_75, VLOOKUP(O$2, Percentiles!$A$45:$I$59, 6, FALSE), perc_90, VLOOKUP(O$2, Percentiles!$A$45:$I$59, 7, FALSE), perc_95, VLOOKUP(O$2, Percentiles!$A$45:$I$59, 8, FALSE), perc_85, perc_75 + (perc_90 - perc_75) * (2/3), converted_stat, '2K_Ratings'!O584, IF(bbgm_stat &gt;= perc_95, converted_stat * 3, IF(bbgm_stat &gt;= perc_90, converted_stat * 2, IF(bbgm_stat &gt;= perc_85, converted_stat * 1.5, converted_stat)))))</f>
        <v/>
      </c>
      <c r="P584" s="30" t="str">
        <f t="array" ref="P584">IF($A584="", "", LET(bbgm_stat, INDEX(Players!$A583:$P583, MATCH(P$2, Players!$A$1:$P$1, 0)), perc_75, VLOOKUP(P$2, Percentiles!$A$45:$I$59, 6, FALSE), perc_90, VLOOKUP(P$2, Percentiles!$A$45:$I$59, 7, FALSE), perc_95, VLOOKUP(P$2, Percentiles!$A$45:$I$59, 8, FALSE), perc_85, perc_75 + (perc_90 - perc_75) * (2/3), converted_stat, '2K_Ratings'!P584, IF(bbgm_stat &gt;= perc_95, converted_stat * 3, IF(bbgm_stat &gt;= perc_90, converted_stat * 2, IF(bbgm_stat &gt;= perc_85, converted_stat * 1.5, converted_stat)))))</f>
        <v/>
      </c>
      <c r="Q584" s="30" t="str">
        <f t="array" ref="Q584">IF($A584="", "", LET(bbgm_stat, INDEX(Players!$A583:$P583, MATCH(Q$2, Players!$A$1:$P$1, 0)), perc_75, VLOOKUP(Q$2, Percentiles!$A$45:$I$59, 6, FALSE), perc_90, VLOOKUP(Q$2, Percentiles!$A$45:$I$59, 7, FALSE), perc_95, VLOOKUP(Q$2, Percentiles!$A$45:$I$59, 8, FALSE), perc_85, perc_75 + (perc_90 - perc_75) * (2/3), converted_stat, '2K_Ratings'!Q584, IF(bbgm_stat &gt;= perc_95, converted_stat * 3, IF(bbgm_stat &gt;= perc_90, converted_stat * 2, IF(bbgm_stat &gt;= perc_85, converted_stat * 1.5, converted_stat)))))</f>
        <v/>
      </c>
      <c r="R584" s="30" t="str">
        <f t="array" ref="R584">IF($A584="", "", LET(bbgm_stat, INDEX(Players!$A583:$P583, MATCH(R$2, Players!$A$1:$P$1, 0)), perc_75, VLOOKUP(R$2, Percentiles!$A$45:$I$59, 6, FALSE), perc_90, VLOOKUP(R$2, Percentiles!$A$45:$I$59, 7, FALSE), perc_95, VLOOKUP(R$2, Percentiles!$A$45:$I$59, 8, FALSE), perc_85, perc_75 + (perc_90 - perc_75) * (2/3), converted_stat, '2K_Ratings'!R584, IF(bbgm_stat &gt;= perc_95, converted_stat * 3, IF(bbgm_stat &gt;= perc_90, converted_stat * 2, IF(bbgm_stat &gt;= perc_85, converted_stat * 1.5, converted_stat)))))</f>
        <v/>
      </c>
      <c r="S584" s="30" t="str">
        <f t="array" ref="S584">IF($A584="", "", LET(bbgm_stat, INDEX(Players!$A583:$P583, MATCH(S$2, Players!$A$1:$P$1, 0)), perc_75, VLOOKUP(S$2, Percentiles!$A$45:$I$59, 6, FALSE), perc_90, VLOOKUP(S$2, Percentiles!$A$45:$I$59, 7, FALSE), perc_95, VLOOKUP(S$2, Percentiles!$A$45:$I$59, 8, FALSE), perc_85, perc_75 + (perc_90 - perc_75) * (2/3), converted_stat, '2K_Ratings'!S584, IF(bbgm_stat &gt;= perc_95, converted_stat * 3, IF(bbgm_stat &gt;= perc_90, converted_stat * 2, IF(bbgm_stat &gt;= perc_85, converted_stat * 1.5, converted_stat)))))</f>
        <v/>
      </c>
      <c r="T584" s="30" t="str">
        <f t="array" ref="T584">IF($A584="", "", LET(bbgm_stat, INDEX(Players!$A583:$P583, MATCH(T$2, Players!$A$1:$P$1, 0)), perc_75, VLOOKUP(T$2, Percentiles!$A$45:$I$59, 6, FALSE), perc_90, VLOOKUP(T$2, Percentiles!$A$45:$I$59, 7, FALSE), perc_95, VLOOKUP(T$2, Percentiles!$A$45:$I$59, 8, FALSE), perc_85, perc_75 + (perc_90 - perc_75) * (2/3), converted_stat, '2K_Ratings'!T584, IF(bbgm_stat &gt;= perc_95, converted_stat * 3, IF(bbgm_stat &gt;= perc_90, converted_stat * 2, IF(bbgm_stat &gt;= perc_85, converted_stat * 1.5, converted_stat)))))</f>
        <v/>
      </c>
      <c r="U584" s="30" t="str">
        <f t="array" ref="U584">IF($A584="", "", LET(bbgm_stat, INDEX(Players!$A583:$P583, MATCH(U$2, Players!$A$1:$P$1, 0)), perc_75, VLOOKUP(U$2, Percentiles!$A$45:$I$59, 6, FALSE), perc_90, VLOOKUP(U$2, Percentiles!$A$45:$I$59, 7, FALSE), perc_95, VLOOKUP(U$2, Percentiles!$A$45:$I$59, 8, FALSE), perc_85, perc_75 + (perc_90 - perc_75) * (2/3), converted_stat, '2K_Ratings'!U584, IF(bbgm_stat &gt;= perc_95, converted_stat * 3, IF(bbgm_stat &gt;= perc_90, converted_stat * 2, IF(bbgm_stat &gt;= perc_85, converted_stat * 1.5, converted_stat)))))</f>
        <v/>
      </c>
      <c r="V584" s="30" t="str">
        <f t="array" ref="V584">IF($A584="", "", LET(bbgm_stat, INDEX(Players!$A583:$P583, MATCH(V$2, Players!$A$1:$P$1, 0)), perc_75, VLOOKUP(V$2, Percentiles!$A$45:$I$59, 6, FALSE), perc_90, VLOOKUP(V$2, Percentiles!$A$45:$I$59, 7, FALSE), perc_95, VLOOKUP(V$2, Percentiles!$A$45:$I$59, 8, FALSE), perc_85, perc_75 + (perc_90 - perc_75) * (2/3), converted_stat, '2K_Ratings'!V584, IF(bbgm_stat &gt;= perc_95, converted_stat * 3, IF(bbgm_stat &gt;= perc_90, converted_stat * 2, IF(bbgm_stat &gt;= perc_85, converted_stat * 1.5, converted_stat)))))</f>
        <v/>
      </c>
      <c r="W584" s="30" t="str">
        <f t="array" ref="W584">IF($A584="", "", LET(bbgm_stat, INDEX(Players!$A583:$P583, MATCH(W$2, Players!$A$1:$P$1, 0)), perc_75, VLOOKUP(W$2, Percentiles!$A$45:$I$59, 6, FALSE), perc_90, VLOOKUP(W$2, Percentiles!$A$45:$I$59, 7, FALSE), perc_95, VLOOKUP(W$2, Percentiles!$A$45:$I$59, 8, FALSE), perc_85, perc_75 + (perc_90 - perc_75) * (2/3), converted_stat, '2K_Ratings'!W584, IF(bbgm_stat &gt;= perc_95, converted_stat * 3, IF(bbgm_stat &gt;= perc_90, converted_stat * 2, IF(bbgm_stat &gt;= perc_85, converted_stat * 1.5, converted_stat)))))</f>
        <v/>
      </c>
    </row>
    <row r="585">
      <c r="A585" s="30"/>
      <c r="B585" s="30" t="str">
        <f t="array" ref="B585">IF($A585="", "", LET(bbgm_stat, INDEX(Players!$A584:$P584, MATCH(B$2, Players!$A$1:$P$1, 0)), perc_75, VLOOKUP(B$2, Percentiles!$A$45:$I$59, 6, FALSE), perc_90, VLOOKUP(B$2, Percentiles!$A$45:$I$59, 7, FALSE), perc_95, VLOOKUP(B$2, Percentiles!$A$45:$I$59, 8, FALSE), perc_85, perc_75 + (perc_90 - perc_75) * (2/3), converted_stat, '2K_Ratings'!B585, IF(bbgm_stat &gt;= perc_95, converted_stat * 3, IF(bbgm_stat &gt;= perc_90, converted_stat * 2, IF(bbgm_stat &gt;= perc_85, converted_stat * 1.5, converted_stat)))))</f>
        <v/>
      </c>
      <c r="C585" s="30" t="str">
        <f t="array" ref="C585">IF($A585="", "", LET(bbgm_stat, INDEX(Players!$A584:$P584, MATCH(C$2, Players!$A$1:$P$1, 0)), perc_75, VLOOKUP(C$2, Percentiles!$A$45:$I$59, 6, FALSE), perc_90, VLOOKUP(C$2, Percentiles!$A$45:$I$59, 7, FALSE), perc_95, VLOOKUP(C$2, Percentiles!$A$45:$I$59, 8, FALSE), perc_85, perc_75 + (perc_90 - perc_75) * (2/3), converted_stat, '2K_Ratings'!C585, IF(bbgm_stat &gt;= perc_95, converted_stat * 3, IF(bbgm_stat &gt;= perc_90, converted_stat * 2, IF(bbgm_stat &gt;= perc_85, converted_stat * 1.5, converted_stat)))))</f>
        <v/>
      </c>
      <c r="D585" s="30" t="str">
        <f t="array" ref="D585">IF($A585="", "", LET(bbgm_stat, INDEX(Players!$A584:$P584, MATCH(D$2, Players!$A$1:$P$1, 0)), perc_75, VLOOKUP(D$2, Percentiles!$A$45:$I$59, 6, FALSE), perc_90, VLOOKUP(D$2, Percentiles!$A$45:$I$59, 7, FALSE), perc_95, VLOOKUP(D$2, Percentiles!$A$45:$I$59, 8, FALSE), perc_85, perc_75 + (perc_90 - perc_75) * (2/3), converted_stat, '2K_Ratings'!D585, IF(bbgm_stat &gt;= perc_95, converted_stat * 3, IF(bbgm_stat &gt;= perc_90, converted_stat * 2, IF(bbgm_stat &gt;= perc_85, converted_stat * 1.5, converted_stat)))))</f>
        <v/>
      </c>
      <c r="E585" s="30" t="str">
        <f t="array" ref="E585">IF($A585="", "", LET(bbgm_stat, INDEX(Players!$A584:$P584, MATCH(E$2, Players!$A$1:$P$1, 0)), perc_75, VLOOKUP(E$2, Percentiles!$A$45:$I$59, 6, FALSE), perc_90, VLOOKUP(E$2, Percentiles!$A$45:$I$59, 7, FALSE), perc_95, VLOOKUP(E$2, Percentiles!$A$45:$I$59, 8, FALSE), perc_85, perc_75 + (perc_90 - perc_75) * (2/3), converted_stat, '2K_Ratings'!E585, IF(bbgm_stat &gt;= perc_95, converted_stat * 3, IF(bbgm_stat &gt;= perc_90, converted_stat * 2, IF(bbgm_stat &gt;= perc_85, converted_stat * 1.5, converted_stat)))))</f>
        <v/>
      </c>
      <c r="F585" s="30" t="str">
        <f t="array" ref="F585">IF($A585="", "", LET(bbgm_stat, INDEX(Players!$A584:$P584, MATCH(F$2, Players!$A$1:$P$1, 0)), perc_75, VLOOKUP(F$2, Percentiles!$A$45:$I$59, 6, FALSE), perc_90, VLOOKUP(F$2, Percentiles!$A$45:$I$59, 7, FALSE), perc_95, VLOOKUP(F$2, Percentiles!$A$45:$I$59, 8, FALSE), perc_85, perc_75 + (perc_90 - perc_75) * (2/3), converted_stat, '2K_Ratings'!F585, IF(bbgm_stat &gt;= perc_95, converted_stat * 3, IF(bbgm_stat &gt;= perc_90, converted_stat * 2, IF(bbgm_stat &gt;= perc_85, converted_stat * 1.5, converted_stat)))))</f>
        <v/>
      </c>
      <c r="G585" s="30" t="str">
        <f t="array" ref="G585">IF($A585="", "", LET(bbgm_stat, INDEX(Players!$A584:$P584, MATCH(G$2, Players!$A$1:$P$1, 0)), perc_75, VLOOKUP(G$2, Percentiles!$A$45:$I$59, 6, FALSE), perc_90, VLOOKUP(G$2, Percentiles!$A$45:$I$59, 7, FALSE), perc_95, VLOOKUP(G$2, Percentiles!$A$45:$I$59, 8, FALSE), perc_85, perc_75 + (perc_90 - perc_75) * (2/3), converted_stat, '2K_Ratings'!G585, IF(bbgm_stat &gt;= perc_95, converted_stat * 3, IF(bbgm_stat &gt;= perc_90, converted_stat * 2, IF(bbgm_stat &gt;= perc_85, converted_stat * 1.5, converted_stat)))))</f>
        <v/>
      </c>
      <c r="H585" s="30" t="str">
        <f t="array" ref="H585">IF($A585="", "", LET(bbgm_stat, INDEX(Players!$A584:$P584, MATCH(H$2, Players!$A$1:$P$1, 0)), perc_75, VLOOKUP(H$2, Percentiles!$A$45:$I$59, 6, FALSE), perc_90, VLOOKUP(H$2, Percentiles!$A$45:$I$59, 7, FALSE), perc_95, VLOOKUP(H$2, Percentiles!$A$45:$I$59, 8, FALSE), perc_85, perc_75 + (perc_90 - perc_75) * (2/3), converted_stat, '2K_Ratings'!H585, IF(bbgm_stat &gt;= perc_95, converted_stat * 3, IF(bbgm_stat &gt;= perc_90, converted_stat * 2, IF(bbgm_stat &gt;= perc_85, converted_stat * 1.5, converted_stat)))))</f>
        <v/>
      </c>
      <c r="I585" s="30" t="str">
        <f t="array" ref="I585">IF($A585="", "", LET(bbgm_stat, INDEX(Players!$A584:$P584, MATCH(I$2, Players!$A$1:$P$1, 0)), perc_75, VLOOKUP(I$2, Percentiles!$A$45:$I$59, 6, FALSE), perc_90, VLOOKUP(I$2, Percentiles!$A$45:$I$59, 7, FALSE), perc_95, VLOOKUP(I$2, Percentiles!$A$45:$I$59, 8, FALSE), perc_85, perc_75 + (perc_90 - perc_75) * (2/3), converted_stat, '2K_Ratings'!I585, IF(bbgm_stat &gt;= perc_95, converted_stat * 3, IF(bbgm_stat &gt;= perc_90, converted_stat * 2, IF(bbgm_stat &gt;= perc_85, converted_stat * 1.5, converted_stat)))))</f>
        <v/>
      </c>
      <c r="J585" s="30" t="str">
        <f t="array" ref="J585">IF($A585="", "", LET(bbgm_stat, INDEX(Players!$A584:$P584, MATCH(J$2, Players!$A$1:$P$1, 0)), perc_75, VLOOKUP(J$2, Percentiles!$A$45:$I$59, 6, FALSE), perc_90, VLOOKUP(J$2, Percentiles!$A$45:$I$59, 7, FALSE), perc_95, VLOOKUP(J$2, Percentiles!$A$45:$I$59, 8, FALSE), perc_85, perc_75 + (perc_90 - perc_75) * (2/3), converted_stat, '2K_Ratings'!J585, IF(bbgm_stat &gt;= perc_95, converted_stat * 3, IF(bbgm_stat &gt;= perc_90, converted_stat * 2, IF(bbgm_stat &gt;= perc_85, converted_stat * 1.5, converted_stat)))))</f>
        <v/>
      </c>
      <c r="K585" s="30" t="str">
        <f t="array" ref="K585">IF($A585="", "", LET(bbgm_stat, INDEX(Players!$A584:$P584, MATCH(K$2, Players!$A$1:$P$1, 0)), perc_75, VLOOKUP(K$2, Percentiles!$A$45:$I$59, 6, FALSE), perc_90, VLOOKUP(K$2, Percentiles!$A$45:$I$59, 7, FALSE), perc_95, VLOOKUP(K$2, Percentiles!$A$45:$I$59, 8, FALSE), perc_85, perc_75 + (perc_90 - perc_75) * (2/3), converted_stat, '2K_Ratings'!K585, IF(bbgm_stat &gt;= perc_95, converted_stat * 3, IF(bbgm_stat &gt;= perc_90, converted_stat * 2, IF(bbgm_stat &gt;= perc_85, converted_stat * 1.5, converted_stat)))))</f>
        <v/>
      </c>
      <c r="L585" s="30" t="str">
        <f t="array" ref="L585">IF($A585="", "", LET(bbgm_stat, INDEX(Players!$A584:$P584, MATCH(L$2, Players!$A$1:$P$1, 0)), perc_75, VLOOKUP(L$2, Percentiles!$A$45:$I$59, 6, FALSE), perc_90, VLOOKUP(L$2, Percentiles!$A$45:$I$59, 7, FALSE), perc_95, VLOOKUP(L$2, Percentiles!$A$45:$I$59, 8, FALSE), perc_85, perc_75 + (perc_90 - perc_75) * (2/3), converted_stat, '2K_Ratings'!L585, IF(bbgm_stat &gt;= perc_95, converted_stat * 3, IF(bbgm_stat &gt;= perc_90, converted_stat * 2, IF(bbgm_stat &gt;= perc_85, converted_stat * 1.5, converted_stat)))))</f>
        <v/>
      </c>
      <c r="M585" s="30" t="str">
        <f t="array" ref="M585">IF($A585="", "", LET(bbgm_stat, INDEX(Players!$A584:$P584, MATCH(M$2, Players!$A$1:$P$1, 0)), perc_75, VLOOKUP(M$2, Percentiles!$A$45:$I$59, 6, FALSE), perc_90, VLOOKUP(M$2, Percentiles!$A$45:$I$59, 7, FALSE), perc_95, VLOOKUP(M$2, Percentiles!$A$45:$I$59, 8, FALSE), perc_85, perc_75 + (perc_90 - perc_75) * (2/3), converted_stat, '2K_Ratings'!M585, IF(bbgm_stat &gt;= perc_95, converted_stat * 3, IF(bbgm_stat &gt;= perc_90, converted_stat * 2, IF(bbgm_stat &gt;= perc_85, converted_stat * 1.5, converted_stat)))))</f>
        <v/>
      </c>
      <c r="N585" s="30" t="str">
        <f t="array" ref="N585">IF($A585="", "", LET(bbgm_stat, INDEX(Players!$A584:$P584, MATCH(N$2, Players!$A$1:$P$1, 0)), perc_75, VLOOKUP(N$2, Percentiles!$A$45:$I$59, 6, FALSE), perc_90, VLOOKUP(N$2, Percentiles!$A$45:$I$59, 7, FALSE), perc_95, VLOOKUP(N$2, Percentiles!$A$45:$I$59, 8, FALSE), perc_85, perc_75 + (perc_90 - perc_75) * (2/3), converted_stat, '2K_Ratings'!N585, IF(bbgm_stat &gt;= perc_95, converted_stat * 3, IF(bbgm_stat &gt;= perc_90, converted_stat * 2, IF(bbgm_stat &gt;= perc_85, converted_stat * 1.5, converted_stat)))))</f>
        <v/>
      </c>
      <c r="O585" s="30" t="str">
        <f t="array" ref="O585">IF($A585="", "", LET(bbgm_stat, INDEX(Players!$A584:$P584, MATCH(O$2, Players!$A$1:$P$1, 0)), perc_75, VLOOKUP(O$2, Percentiles!$A$45:$I$59, 6, FALSE), perc_90, VLOOKUP(O$2, Percentiles!$A$45:$I$59, 7, FALSE), perc_95, VLOOKUP(O$2, Percentiles!$A$45:$I$59, 8, FALSE), perc_85, perc_75 + (perc_90 - perc_75) * (2/3), converted_stat, '2K_Ratings'!O585, IF(bbgm_stat &gt;= perc_95, converted_stat * 3, IF(bbgm_stat &gt;= perc_90, converted_stat * 2, IF(bbgm_stat &gt;= perc_85, converted_stat * 1.5, converted_stat)))))</f>
        <v/>
      </c>
      <c r="P585" s="30" t="str">
        <f t="array" ref="P585">IF($A585="", "", LET(bbgm_stat, INDEX(Players!$A584:$P584, MATCH(P$2, Players!$A$1:$P$1, 0)), perc_75, VLOOKUP(P$2, Percentiles!$A$45:$I$59, 6, FALSE), perc_90, VLOOKUP(P$2, Percentiles!$A$45:$I$59, 7, FALSE), perc_95, VLOOKUP(P$2, Percentiles!$A$45:$I$59, 8, FALSE), perc_85, perc_75 + (perc_90 - perc_75) * (2/3), converted_stat, '2K_Ratings'!P585, IF(bbgm_stat &gt;= perc_95, converted_stat * 3, IF(bbgm_stat &gt;= perc_90, converted_stat * 2, IF(bbgm_stat &gt;= perc_85, converted_stat * 1.5, converted_stat)))))</f>
        <v/>
      </c>
      <c r="Q585" s="30" t="str">
        <f t="array" ref="Q585">IF($A585="", "", LET(bbgm_stat, INDEX(Players!$A584:$P584, MATCH(Q$2, Players!$A$1:$P$1, 0)), perc_75, VLOOKUP(Q$2, Percentiles!$A$45:$I$59, 6, FALSE), perc_90, VLOOKUP(Q$2, Percentiles!$A$45:$I$59, 7, FALSE), perc_95, VLOOKUP(Q$2, Percentiles!$A$45:$I$59, 8, FALSE), perc_85, perc_75 + (perc_90 - perc_75) * (2/3), converted_stat, '2K_Ratings'!Q585, IF(bbgm_stat &gt;= perc_95, converted_stat * 3, IF(bbgm_stat &gt;= perc_90, converted_stat * 2, IF(bbgm_stat &gt;= perc_85, converted_stat * 1.5, converted_stat)))))</f>
        <v/>
      </c>
      <c r="R585" s="30" t="str">
        <f t="array" ref="R585">IF($A585="", "", LET(bbgm_stat, INDEX(Players!$A584:$P584, MATCH(R$2, Players!$A$1:$P$1, 0)), perc_75, VLOOKUP(R$2, Percentiles!$A$45:$I$59, 6, FALSE), perc_90, VLOOKUP(R$2, Percentiles!$A$45:$I$59, 7, FALSE), perc_95, VLOOKUP(R$2, Percentiles!$A$45:$I$59, 8, FALSE), perc_85, perc_75 + (perc_90 - perc_75) * (2/3), converted_stat, '2K_Ratings'!R585, IF(bbgm_stat &gt;= perc_95, converted_stat * 3, IF(bbgm_stat &gt;= perc_90, converted_stat * 2, IF(bbgm_stat &gt;= perc_85, converted_stat * 1.5, converted_stat)))))</f>
        <v/>
      </c>
      <c r="S585" s="30" t="str">
        <f t="array" ref="S585">IF($A585="", "", LET(bbgm_stat, INDEX(Players!$A584:$P584, MATCH(S$2, Players!$A$1:$P$1, 0)), perc_75, VLOOKUP(S$2, Percentiles!$A$45:$I$59, 6, FALSE), perc_90, VLOOKUP(S$2, Percentiles!$A$45:$I$59, 7, FALSE), perc_95, VLOOKUP(S$2, Percentiles!$A$45:$I$59, 8, FALSE), perc_85, perc_75 + (perc_90 - perc_75) * (2/3), converted_stat, '2K_Ratings'!S585, IF(bbgm_stat &gt;= perc_95, converted_stat * 3, IF(bbgm_stat &gt;= perc_90, converted_stat * 2, IF(bbgm_stat &gt;= perc_85, converted_stat * 1.5, converted_stat)))))</f>
        <v/>
      </c>
      <c r="T585" s="30" t="str">
        <f t="array" ref="T585">IF($A585="", "", LET(bbgm_stat, INDEX(Players!$A584:$P584, MATCH(T$2, Players!$A$1:$P$1, 0)), perc_75, VLOOKUP(T$2, Percentiles!$A$45:$I$59, 6, FALSE), perc_90, VLOOKUP(T$2, Percentiles!$A$45:$I$59, 7, FALSE), perc_95, VLOOKUP(T$2, Percentiles!$A$45:$I$59, 8, FALSE), perc_85, perc_75 + (perc_90 - perc_75) * (2/3), converted_stat, '2K_Ratings'!T585, IF(bbgm_stat &gt;= perc_95, converted_stat * 3, IF(bbgm_stat &gt;= perc_90, converted_stat * 2, IF(bbgm_stat &gt;= perc_85, converted_stat * 1.5, converted_stat)))))</f>
        <v/>
      </c>
      <c r="U585" s="30" t="str">
        <f t="array" ref="U585">IF($A585="", "", LET(bbgm_stat, INDEX(Players!$A584:$P584, MATCH(U$2, Players!$A$1:$P$1, 0)), perc_75, VLOOKUP(U$2, Percentiles!$A$45:$I$59, 6, FALSE), perc_90, VLOOKUP(U$2, Percentiles!$A$45:$I$59, 7, FALSE), perc_95, VLOOKUP(U$2, Percentiles!$A$45:$I$59, 8, FALSE), perc_85, perc_75 + (perc_90 - perc_75) * (2/3), converted_stat, '2K_Ratings'!U585, IF(bbgm_stat &gt;= perc_95, converted_stat * 3, IF(bbgm_stat &gt;= perc_90, converted_stat * 2, IF(bbgm_stat &gt;= perc_85, converted_stat * 1.5, converted_stat)))))</f>
        <v/>
      </c>
      <c r="V585" s="30" t="str">
        <f t="array" ref="V585">IF($A585="", "", LET(bbgm_stat, INDEX(Players!$A584:$P584, MATCH(V$2, Players!$A$1:$P$1, 0)), perc_75, VLOOKUP(V$2, Percentiles!$A$45:$I$59, 6, FALSE), perc_90, VLOOKUP(V$2, Percentiles!$A$45:$I$59, 7, FALSE), perc_95, VLOOKUP(V$2, Percentiles!$A$45:$I$59, 8, FALSE), perc_85, perc_75 + (perc_90 - perc_75) * (2/3), converted_stat, '2K_Ratings'!V585, IF(bbgm_stat &gt;= perc_95, converted_stat * 3, IF(bbgm_stat &gt;= perc_90, converted_stat * 2, IF(bbgm_stat &gt;= perc_85, converted_stat * 1.5, converted_stat)))))</f>
        <v/>
      </c>
      <c r="W585" s="30" t="str">
        <f t="array" ref="W585">IF($A585="", "", LET(bbgm_stat, INDEX(Players!$A584:$P584, MATCH(W$2, Players!$A$1:$P$1, 0)), perc_75, VLOOKUP(W$2, Percentiles!$A$45:$I$59, 6, FALSE), perc_90, VLOOKUP(W$2, Percentiles!$A$45:$I$59, 7, FALSE), perc_95, VLOOKUP(W$2, Percentiles!$A$45:$I$59, 8, FALSE), perc_85, perc_75 + (perc_90 - perc_75) * (2/3), converted_stat, '2K_Ratings'!W585, IF(bbgm_stat &gt;= perc_95, converted_stat * 3, IF(bbgm_stat &gt;= perc_90, converted_stat * 2, IF(bbgm_stat &gt;= perc_85, converted_stat * 1.5, converted_stat)))))</f>
        <v/>
      </c>
    </row>
    <row r="586">
      <c r="A586" s="30"/>
      <c r="B586" s="30" t="str">
        <f t="array" ref="B586">IF($A586="", "", LET(bbgm_stat, INDEX(Players!$A585:$P585, MATCH(B$2, Players!$A$1:$P$1, 0)), perc_75, VLOOKUP(B$2, Percentiles!$A$45:$I$59, 6, FALSE), perc_90, VLOOKUP(B$2, Percentiles!$A$45:$I$59, 7, FALSE), perc_95, VLOOKUP(B$2, Percentiles!$A$45:$I$59, 8, FALSE), perc_85, perc_75 + (perc_90 - perc_75) * (2/3), converted_stat, '2K_Ratings'!B586, IF(bbgm_stat &gt;= perc_95, converted_stat * 3, IF(bbgm_stat &gt;= perc_90, converted_stat * 2, IF(bbgm_stat &gt;= perc_85, converted_stat * 1.5, converted_stat)))))</f>
        <v/>
      </c>
      <c r="C586" s="30" t="str">
        <f t="array" ref="C586">IF($A586="", "", LET(bbgm_stat, INDEX(Players!$A585:$P585, MATCH(C$2, Players!$A$1:$P$1, 0)), perc_75, VLOOKUP(C$2, Percentiles!$A$45:$I$59, 6, FALSE), perc_90, VLOOKUP(C$2, Percentiles!$A$45:$I$59, 7, FALSE), perc_95, VLOOKUP(C$2, Percentiles!$A$45:$I$59, 8, FALSE), perc_85, perc_75 + (perc_90 - perc_75) * (2/3), converted_stat, '2K_Ratings'!C586, IF(bbgm_stat &gt;= perc_95, converted_stat * 3, IF(bbgm_stat &gt;= perc_90, converted_stat * 2, IF(bbgm_stat &gt;= perc_85, converted_stat * 1.5, converted_stat)))))</f>
        <v/>
      </c>
      <c r="D586" s="30" t="str">
        <f t="array" ref="D586">IF($A586="", "", LET(bbgm_stat, INDEX(Players!$A585:$P585, MATCH(D$2, Players!$A$1:$P$1, 0)), perc_75, VLOOKUP(D$2, Percentiles!$A$45:$I$59, 6, FALSE), perc_90, VLOOKUP(D$2, Percentiles!$A$45:$I$59, 7, FALSE), perc_95, VLOOKUP(D$2, Percentiles!$A$45:$I$59, 8, FALSE), perc_85, perc_75 + (perc_90 - perc_75) * (2/3), converted_stat, '2K_Ratings'!D586, IF(bbgm_stat &gt;= perc_95, converted_stat * 3, IF(bbgm_stat &gt;= perc_90, converted_stat * 2, IF(bbgm_stat &gt;= perc_85, converted_stat * 1.5, converted_stat)))))</f>
        <v/>
      </c>
      <c r="E586" s="30" t="str">
        <f t="array" ref="E586">IF($A586="", "", LET(bbgm_stat, INDEX(Players!$A585:$P585, MATCH(E$2, Players!$A$1:$P$1, 0)), perc_75, VLOOKUP(E$2, Percentiles!$A$45:$I$59, 6, FALSE), perc_90, VLOOKUP(E$2, Percentiles!$A$45:$I$59, 7, FALSE), perc_95, VLOOKUP(E$2, Percentiles!$A$45:$I$59, 8, FALSE), perc_85, perc_75 + (perc_90 - perc_75) * (2/3), converted_stat, '2K_Ratings'!E586, IF(bbgm_stat &gt;= perc_95, converted_stat * 3, IF(bbgm_stat &gt;= perc_90, converted_stat * 2, IF(bbgm_stat &gt;= perc_85, converted_stat * 1.5, converted_stat)))))</f>
        <v/>
      </c>
      <c r="F586" s="30" t="str">
        <f t="array" ref="F586">IF($A586="", "", LET(bbgm_stat, INDEX(Players!$A585:$P585, MATCH(F$2, Players!$A$1:$P$1, 0)), perc_75, VLOOKUP(F$2, Percentiles!$A$45:$I$59, 6, FALSE), perc_90, VLOOKUP(F$2, Percentiles!$A$45:$I$59, 7, FALSE), perc_95, VLOOKUP(F$2, Percentiles!$A$45:$I$59, 8, FALSE), perc_85, perc_75 + (perc_90 - perc_75) * (2/3), converted_stat, '2K_Ratings'!F586, IF(bbgm_stat &gt;= perc_95, converted_stat * 3, IF(bbgm_stat &gt;= perc_90, converted_stat * 2, IF(bbgm_stat &gt;= perc_85, converted_stat * 1.5, converted_stat)))))</f>
        <v/>
      </c>
      <c r="G586" s="30" t="str">
        <f t="array" ref="G586">IF($A586="", "", LET(bbgm_stat, INDEX(Players!$A585:$P585, MATCH(G$2, Players!$A$1:$P$1, 0)), perc_75, VLOOKUP(G$2, Percentiles!$A$45:$I$59, 6, FALSE), perc_90, VLOOKUP(G$2, Percentiles!$A$45:$I$59, 7, FALSE), perc_95, VLOOKUP(G$2, Percentiles!$A$45:$I$59, 8, FALSE), perc_85, perc_75 + (perc_90 - perc_75) * (2/3), converted_stat, '2K_Ratings'!G586, IF(bbgm_stat &gt;= perc_95, converted_stat * 3, IF(bbgm_stat &gt;= perc_90, converted_stat * 2, IF(bbgm_stat &gt;= perc_85, converted_stat * 1.5, converted_stat)))))</f>
        <v/>
      </c>
      <c r="H586" s="30" t="str">
        <f t="array" ref="H586">IF($A586="", "", LET(bbgm_stat, INDEX(Players!$A585:$P585, MATCH(H$2, Players!$A$1:$P$1, 0)), perc_75, VLOOKUP(H$2, Percentiles!$A$45:$I$59, 6, FALSE), perc_90, VLOOKUP(H$2, Percentiles!$A$45:$I$59, 7, FALSE), perc_95, VLOOKUP(H$2, Percentiles!$A$45:$I$59, 8, FALSE), perc_85, perc_75 + (perc_90 - perc_75) * (2/3), converted_stat, '2K_Ratings'!H586, IF(bbgm_stat &gt;= perc_95, converted_stat * 3, IF(bbgm_stat &gt;= perc_90, converted_stat * 2, IF(bbgm_stat &gt;= perc_85, converted_stat * 1.5, converted_stat)))))</f>
        <v/>
      </c>
      <c r="I586" s="30" t="str">
        <f t="array" ref="I586">IF($A586="", "", LET(bbgm_stat, INDEX(Players!$A585:$P585, MATCH(I$2, Players!$A$1:$P$1, 0)), perc_75, VLOOKUP(I$2, Percentiles!$A$45:$I$59, 6, FALSE), perc_90, VLOOKUP(I$2, Percentiles!$A$45:$I$59, 7, FALSE), perc_95, VLOOKUP(I$2, Percentiles!$A$45:$I$59, 8, FALSE), perc_85, perc_75 + (perc_90 - perc_75) * (2/3), converted_stat, '2K_Ratings'!I586, IF(bbgm_stat &gt;= perc_95, converted_stat * 3, IF(bbgm_stat &gt;= perc_90, converted_stat * 2, IF(bbgm_stat &gt;= perc_85, converted_stat * 1.5, converted_stat)))))</f>
        <v/>
      </c>
      <c r="J586" s="30" t="str">
        <f t="array" ref="J586">IF($A586="", "", LET(bbgm_stat, INDEX(Players!$A585:$P585, MATCH(J$2, Players!$A$1:$P$1, 0)), perc_75, VLOOKUP(J$2, Percentiles!$A$45:$I$59, 6, FALSE), perc_90, VLOOKUP(J$2, Percentiles!$A$45:$I$59, 7, FALSE), perc_95, VLOOKUP(J$2, Percentiles!$A$45:$I$59, 8, FALSE), perc_85, perc_75 + (perc_90 - perc_75) * (2/3), converted_stat, '2K_Ratings'!J586, IF(bbgm_stat &gt;= perc_95, converted_stat * 3, IF(bbgm_stat &gt;= perc_90, converted_stat * 2, IF(bbgm_stat &gt;= perc_85, converted_stat * 1.5, converted_stat)))))</f>
        <v/>
      </c>
      <c r="K586" s="30" t="str">
        <f t="array" ref="K586">IF($A586="", "", LET(bbgm_stat, INDEX(Players!$A585:$P585, MATCH(K$2, Players!$A$1:$P$1, 0)), perc_75, VLOOKUP(K$2, Percentiles!$A$45:$I$59, 6, FALSE), perc_90, VLOOKUP(K$2, Percentiles!$A$45:$I$59, 7, FALSE), perc_95, VLOOKUP(K$2, Percentiles!$A$45:$I$59, 8, FALSE), perc_85, perc_75 + (perc_90 - perc_75) * (2/3), converted_stat, '2K_Ratings'!K586, IF(bbgm_stat &gt;= perc_95, converted_stat * 3, IF(bbgm_stat &gt;= perc_90, converted_stat * 2, IF(bbgm_stat &gt;= perc_85, converted_stat * 1.5, converted_stat)))))</f>
        <v/>
      </c>
      <c r="L586" s="30" t="str">
        <f t="array" ref="L586">IF($A586="", "", LET(bbgm_stat, INDEX(Players!$A585:$P585, MATCH(L$2, Players!$A$1:$P$1, 0)), perc_75, VLOOKUP(L$2, Percentiles!$A$45:$I$59, 6, FALSE), perc_90, VLOOKUP(L$2, Percentiles!$A$45:$I$59, 7, FALSE), perc_95, VLOOKUP(L$2, Percentiles!$A$45:$I$59, 8, FALSE), perc_85, perc_75 + (perc_90 - perc_75) * (2/3), converted_stat, '2K_Ratings'!L586, IF(bbgm_stat &gt;= perc_95, converted_stat * 3, IF(bbgm_stat &gt;= perc_90, converted_stat * 2, IF(bbgm_stat &gt;= perc_85, converted_stat * 1.5, converted_stat)))))</f>
        <v/>
      </c>
      <c r="M586" s="30" t="str">
        <f t="array" ref="M586">IF($A586="", "", LET(bbgm_stat, INDEX(Players!$A585:$P585, MATCH(M$2, Players!$A$1:$P$1, 0)), perc_75, VLOOKUP(M$2, Percentiles!$A$45:$I$59, 6, FALSE), perc_90, VLOOKUP(M$2, Percentiles!$A$45:$I$59, 7, FALSE), perc_95, VLOOKUP(M$2, Percentiles!$A$45:$I$59, 8, FALSE), perc_85, perc_75 + (perc_90 - perc_75) * (2/3), converted_stat, '2K_Ratings'!M586, IF(bbgm_stat &gt;= perc_95, converted_stat * 3, IF(bbgm_stat &gt;= perc_90, converted_stat * 2, IF(bbgm_stat &gt;= perc_85, converted_stat * 1.5, converted_stat)))))</f>
        <v/>
      </c>
      <c r="N586" s="30" t="str">
        <f t="array" ref="N586">IF($A586="", "", LET(bbgm_stat, INDEX(Players!$A585:$P585, MATCH(N$2, Players!$A$1:$P$1, 0)), perc_75, VLOOKUP(N$2, Percentiles!$A$45:$I$59, 6, FALSE), perc_90, VLOOKUP(N$2, Percentiles!$A$45:$I$59, 7, FALSE), perc_95, VLOOKUP(N$2, Percentiles!$A$45:$I$59, 8, FALSE), perc_85, perc_75 + (perc_90 - perc_75) * (2/3), converted_stat, '2K_Ratings'!N586, IF(bbgm_stat &gt;= perc_95, converted_stat * 3, IF(bbgm_stat &gt;= perc_90, converted_stat * 2, IF(bbgm_stat &gt;= perc_85, converted_stat * 1.5, converted_stat)))))</f>
        <v/>
      </c>
      <c r="O586" s="30" t="str">
        <f t="array" ref="O586">IF($A586="", "", LET(bbgm_stat, INDEX(Players!$A585:$P585, MATCH(O$2, Players!$A$1:$P$1, 0)), perc_75, VLOOKUP(O$2, Percentiles!$A$45:$I$59, 6, FALSE), perc_90, VLOOKUP(O$2, Percentiles!$A$45:$I$59, 7, FALSE), perc_95, VLOOKUP(O$2, Percentiles!$A$45:$I$59, 8, FALSE), perc_85, perc_75 + (perc_90 - perc_75) * (2/3), converted_stat, '2K_Ratings'!O586, IF(bbgm_stat &gt;= perc_95, converted_stat * 3, IF(bbgm_stat &gt;= perc_90, converted_stat * 2, IF(bbgm_stat &gt;= perc_85, converted_stat * 1.5, converted_stat)))))</f>
        <v/>
      </c>
      <c r="P586" s="30" t="str">
        <f t="array" ref="P586">IF($A586="", "", LET(bbgm_stat, INDEX(Players!$A585:$P585, MATCH(P$2, Players!$A$1:$P$1, 0)), perc_75, VLOOKUP(P$2, Percentiles!$A$45:$I$59, 6, FALSE), perc_90, VLOOKUP(P$2, Percentiles!$A$45:$I$59, 7, FALSE), perc_95, VLOOKUP(P$2, Percentiles!$A$45:$I$59, 8, FALSE), perc_85, perc_75 + (perc_90 - perc_75) * (2/3), converted_stat, '2K_Ratings'!P586, IF(bbgm_stat &gt;= perc_95, converted_stat * 3, IF(bbgm_stat &gt;= perc_90, converted_stat * 2, IF(bbgm_stat &gt;= perc_85, converted_stat * 1.5, converted_stat)))))</f>
        <v/>
      </c>
      <c r="Q586" s="30" t="str">
        <f t="array" ref="Q586">IF($A586="", "", LET(bbgm_stat, INDEX(Players!$A585:$P585, MATCH(Q$2, Players!$A$1:$P$1, 0)), perc_75, VLOOKUP(Q$2, Percentiles!$A$45:$I$59, 6, FALSE), perc_90, VLOOKUP(Q$2, Percentiles!$A$45:$I$59, 7, FALSE), perc_95, VLOOKUP(Q$2, Percentiles!$A$45:$I$59, 8, FALSE), perc_85, perc_75 + (perc_90 - perc_75) * (2/3), converted_stat, '2K_Ratings'!Q586, IF(bbgm_stat &gt;= perc_95, converted_stat * 3, IF(bbgm_stat &gt;= perc_90, converted_stat * 2, IF(bbgm_stat &gt;= perc_85, converted_stat * 1.5, converted_stat)))))</f>
        <v/>
      </c>
      <c r="R586" s="30" t="str">
        <f t="array" ref="R586">IF($A586="", "", LET(bbgm_stat, INDEX(Players!$A585:$P585, MATCH(R$2, Players!$A$1:$P$1, 0)), perc_75, VLOOKUP(R$2, Percentiles!$A$45:$I$59, 6, FALSE), perc_90, VLOOKUP(R$2, Percentiles!$A$45:$I$59, 7, FALSE), perc_95, VLOOKUP(R$2, Percentiles!$A$45:$I$59, 8, FALSE), perc_85, perc_75 + (perc_90 - perc_75) * (2/3), converted_stat, '2K_Ratings'!R586, IF(bbgm_stat &gt;= perc_95, converted_stat * 3, IF(bbgm_stat &gt;= perc_90, converted_stat * 2, IF(bbgm_stat &gt;= perc_85, converted_stat * 1.5, converted_stat)))))</f>
        <v/>
      </c>
      <c r="S586" s="30" t="str">
        <f t="array" ref="S586">IF($A586="", "", LET(bbgm_stat, INDEX(Players!$A585:$P585, MATCH(S$2, Players!$A$1:$P$1, 0)), perc_75, VLOOKUP(S$2, Percentiles!$A$45:$I$59, 6, FALSE), perc_90, VLOOKUP(S$2, Percentiles!$A$45:$I$59, 7, FALSE), perc_95, VLOOKUP(S$2, Percentiles!$A$45:$I$59, 8, FALSE), perc_85, perc_75 + (perc_90 - perc_75) * (2/3), converted_stat, '2K_Ratings'!S586, IF(bbgm_stat &gt;= perc_95, converted_stat * 3, IF(bbgm_stat &gt;= perc_90, converted_stat * 2, IF(bbgm_stat &gt;= perc_85, converted_stat * 1.5, converted_stat)))))</f>
        <v/>
      </c>
      <c r="T586" s="30" t="str">
        <f t="array" ref="T586">IF($A586="", "", LET(bbgm_stat, INDEX(Players!$A585:$P585, MATCH(T$2, Players!$A$1:$P$1, 0)), perc_75, VLOOKUP(T$2, Percentiles!$A$45:$I$59, 6, FALSE), perc_90, VLOOKUP(T$2, Percentiles!$A$45:$I$59, 7, FALSE), perc_95, VLOOKUP(T$2, Percentiles!$A$45:$I$59, 8, FALSE), perc_85, perc_75 + (perc_90 - perc_75) * (2/3), converted_stat, '2K_Ratings'!T586, IF(bbgm_stat &gt;= perc_95, converted_stat * 3, IF(bbgm_stat &gt;= perc_90, converted_stat * 2, IF(bbgm_stat &gt;= perc_85, converted_stat * 1.5, converted_stat)))))</f>
        <v/>
      </c>
      <c r="U586" s="30" t="str">
        <f t="array" ref="U586">IF($A586="", "", LET(bbgm_stat, INDEX(Players!$A585:$P585, MATCH(U$2, Players!$A$1:$P$1, 0)), perc_75, VLOOKUP(U$2, Percentiles!$A$45:$I$59, 6, FALSE), perc_90, VLOOKUP(U$2, Percentiles!$A$45:$I$59, 7, FALSE), perc_95, VLOOKUP(U$2, Percentiles!$A$45:$I$59, 8, FALSE), perc_85, perc_75 + (perc_90 - perc_75) * (2/3), converted_stat, '2K_Ratings'!U586, IF(bbgm_stat &gt;= perc_95, converted_stat * 3, IF(bbgm_stat &gt;= perc_90, converted_stat * 2, IF(bbgm_stat &gt;= perc_85, converted_stat * 1.5, converted_stat)))))</f>
        <v/>
      </c>
      <c r="V586" s="30" t="str">
        <f t="array" ref="V586">IF($A586="", "", LET(bbgm_stat, INDEX(Players!$A585:$P585, MATCH(V$2, Players!$A$1:$P$1, 0)), perc_75, VLOOKUP(V$2, Percentiles!$A$45:$I$59, 6, FALSE), perc_90, VLOOKUP(V$2, Percentiles!$A$45:$I$59, 7, FALSE), perc_95, VLOOKUP(V$2, Percentiles!$A$45:$I$59, 8, FALSE), perc_85, perc_75 + (perc_90 - perc_75) * (2/3), converted_stat, '2K_Ratings'!V586, IF(bbgm_stat &gt;= perc_95, converted_stat * 3, IF(bbgm_stat &gt;= perc_90, converted_stat * 2, IF(bbgm_stat &gt;= perc_85, converted_stat * 1.5, converted_stat)))))</f>
        <v/>
      </c>
      <c r="W586" s="30" t="str">
        <f t="array" ref="W586">IF($A586="", "", LET(bbgm_stat, INDEX(Players!$A585:$P585, MATCH(W$2, Players!$A$1:$P$1, 0)), perc_75, VLOOKUP(W$2, Percentiles!$A$45:$I$59, 6, FALSE), perc_90, VLOOKUP(W$2, Percentiles!$A$45:$I$59, 7, FALSE), perc_95, VLOOKUP(W$2, Percentiles!$A$45:$I$59, 8, FALSE), perc_85, perc_75 + (perc_90 - perc_75) * (2/3), converted_stat, '2K_Ratings'!W586, IF(bbgm_stat &gt;= perc_95, converted_stat * 3, IF(bbgm_stat &gt;= perc_90, converted_stat * 2, IF(bbgm_stat &gt;= perc_85, converted_stat * 1.5, converted_stat)))))</f>
        <v/>
      </c>
    </row>
    <row r="587">
      <c r="A587" s="30"/>
      <c r="B587" s="30" t="str">
        <f t="array" ref="B587">IF($A587="", "", LET(bbgm_stat, INDEX(Players!$A586:$P586, MATCH(B$2, Players!$A$1:$P$1, 0)), perc_75, VLOOKUP(B$2, Percentiles!$A$45:$I$59, 6, FALSE), perc_90, VLOOKUP(B$2, Percentiles!$A$45:$I$59, 7, FALSE), perc_95, VLOOKUP(B$2, Percentiles!$A$45:$I$59, 8, FALSE), perc_85, perc_75 + (perc_90 - perc_75) * (2/3), converted_stat, '2K_Ratings'!B587, IF(bbgm_stat &gt;= perc_95, converted_stat * 3, IF(bbgm_stat &gt;= perc_90, converted_stat * 2, IF(bbgm_stat &gt;= perc_85, converted_stat * 1.5, converted_stat)))))</f>
        <v/>
      </c>
      <c r="C587" s="30" t="str">
        <f t="array" ref="C587">IF($A587="", "", LET(bbgm_stat, INDEX(Players!$A586:$P586, MATCH(C$2, Players!$A$1:$P$1, 0)), perc_75, VLOOKUP(C$2, Percentiles!$A$45:$I$59, 6, FALSE), perc_90, VLOOKUP(C$2, Percentiles!$A$45:$I$59, 7, FALSE), perc_95, VLOOKUP(C$2, Percentiles!$A$45:$I$59, 8, FALSE), perc_85, perc_75 + (perc_90 - perc_75) * (2/3), converted_stat, '2K_Ratings'!C587, IF(bbgm_stat &gt;= perc_95, converted_stat * 3, IF(bbgm_stat &gt;= perc_90, converted_stat * 2, IF(bbgm_stat &gt;= perc_85, converted_stat * 1.5, converted_stat)))))</f>
        <v/>
      </c>
      <c r="D587" s="30" t="str">
        <f t="array" ref="D587">IF($A587="", "", LET(bbgm_stat, INDEX(Players!$A586:$P586, MATCH(D$2, Players!$A$1:$P$1, 0)), perc_75, VLOOKUP(D$2, Percentiles!$A$45:$I$59, 6, FALSE), perc_90, VLOOKUP(D$2, Percentiles!$A$45:$I$59, 7, FALSE), perc_95, VLOOKUP(D$2, Percentiles!$A$45:$I$59, 8, FALSE), perc_85, perc_75 + (perc_90 - perc_75) * (2/3), converted_stat, '2K_Ratings'!D587, IF(bbgm_stat &gt;= perc_95, converted_stat * 3, IF(bbgm_stat &gt;= perc_90, converted_stat * 2, IF(bbgm_stat &gt;= perc_85, converted_stat * 1.5, converted_stat)))))</f>
        <v/>
      </c>
      <c r="E587" s="30" t="str">
        <f t="array" ref="E587">IF($A587="", "", LET(bbgm_stat, INDEX(Players!$A586:$P586, MATCH(E$2, Players!$A$1:$P$1, 0)), perc_75, VLOOKUP(E$2, Percentiles!$A$45:$I$59, 6, FALSE), perc_90, VLOOKUP(E$2, Percentiles!$A$45:$I$59, 7, FALSE), perc_95, VLOOKUP(E$2, Percentiles!$A$45:$I$59, 8, FALSE), perc_85, perc_75 + (perc_90 - perc_75) * (2/3), converted_stat, '2K_Ratings'!E587, IF(bbgm_stat &gt;= perc_95, converted_stat * 3, IF(bbgm_stat &gt;= perc_90, converted_stat * 2, IF(bbgm_stat &gt;= perc_85, converted_stat * 1.5, converted_stat)))))</f>
        <v/>
      </c>
      <c r="F587" s="30" t="str">
        <f t="array" ref="F587">IF($A587="", "", LET(bbgm_stat, INDEX(Players!$A586:$P586, MATCH(F$2, Players!$A$1:$P$1, 0)), perc_75, VLOOKUP(F$2, Percentiles!$A$45:$I$59, 6, FALSE), perc_90, VLOOKUP(F$2, Percentiles!$A$45:$I$59, 7, FALSE), perc_95, VLOOKUP(F$2, Percentiles!$A$45:$I$59, 8, FALSE), perc_85, perc_75 + (perc_90 - perc_75) * (2/3), converted_stat, '2K_Ratings'!F587, IF(bbgm_stat &gt;= perc_95, converted_stat * 3, IF(bbgm_stat &gt;= perc_90, converted_stat * 2, IF(bbgm_stat &gt;= perc_85, converted_stat * 1.5, converted_stat)))))</f>
        <v/>
      </c>
      <c r="G587" s="30" t="str">
        <f t="array" ref="G587">IF($A587="", "", LET(bbgm_stat, INDEX(Players!$A586:$P586, MATCH(G$2, Players!$A$1:$P$1, 0)), perc_75, VLOOKUP(G$2, Percentiles!$A$45:$I$59, 6, FALSE), perc_90, VLOOKUP(G$2, Percentiles!$A$45:$I$59, 7, FALSE), perc_95, VLOOKUP(G$2, Percentiles!$A$45:$I$59, 8, FALSE), perc_85, perc_75 + (perc_90 - perc_75) * (2/3), converted_stat, '2K_Ratings'!G587, IF(bbgm_stat &gt;= perc_95, converted_stat * 3, IF(bbgm_stat &gt;= perc_90, converted_stat * 2, IF(bbgm_stat &gt;= perc_85, converted_stat * 1.5, converted_stat)))))</f>
        <v/>
      </c>
      <c r="H587" s="30" t="str">
        <f t="array" ref="H587">IF($A587="", "", LET(bbgm_stat, INDEX(Players!$A586:$P586, MATCH(H$2, Players!$A$1:$P$1, 0)), perc_75, VLOOKUP(H$2, Percentiles!$A$45:$I$59, 6, FALSE), perc_90, VLOOKUP(H$2, Percentiles!$A$45:$I$59, 7, FALSE), perc_95, VLOOKUP(H$2, Percentiles!$A$45:$I$59, 8, FALSE), perc_85, perc_75 + (perc_90 - perc_75) * (2/3), converted_stat, '2K_Ratings'!H587, IF(bbgm_stat &gt;= perc_95, converted_stat * 3, IF(bbgm_stat &gt;= perc_90, converted_stat * 2, IF(bbgm_stat &gt;= perc_85, converted_stat * 1.5, converted_stat)))))</f>
        <v/>
      </c>
      <c r="I587" s="30" t="str">
        <f t="array" ref="I587">IF($A587="", "", LET(bbgm_stat, INDEX(Players!$A586:$P586, MATCH(I$2, Players!$A$1:$P$1, 0)), perc_75, VLOOKUP(I$2, Percentiles!$A$45:$I$59, 6, FALSE), perc_90, VLOOKUP(I$2, Percentiles!$A$45:$I$59, 7, FALSE), perc_95, VLOOKUP(I$2, Percentiles!$A$45:$I$59, 8, FALSE), perc_85, perc_75 + (perc_90 - perc_75) * (2/3), converted_stat, '2K_Ratings'!I587, IF(bbgm_stat &gt;= perc_95, converted_stat * 3, IF(bbgm_stat &gt;= perc_90, converted_stat * 2, IF(bbgm_stat &gt;= perc_85, converted_stat * 1.5, converted_stat)))))</f>
        <v/>
      </c>
      <c r="J587" s="30" t="str">
        <f t="array" ref="J587">IF($A587="", "", LET(bbgm_stat, INDEX(Players!$A586:$P586, MATCH(J$2, Players!$A$1:$P$1, 0)), perc_75, VLOOKUP(J$2, Percentiles!$A$45:$I$59, 6, FALSE), perc_90, VLOOKUP(J$2, Percentiles!$A$45:$I$59, 7, FALSE), perc_95, VLOOKUP(J$2, Percentiles!$A$45:$I$59, 8, FALSE), perc_85, perc_75 + (perc_90 - perc_75) * (2/3), converted_stat, '2K_Ratings'!J587, IF(bbgm_stat &gt;= perc_95, converted_stat * 3, IF(bbgm_stat &gt;= perc_90, converted_stat * 2, IF(bbgm_stat &gt;= perc_85, converted_stat * 1.5, converted_stat)))))</f>
        <v/>
      </c>
      <c r="K587" s="30" t="str">
        <f t="array" ref="K587">IF($A587="", "", LET(bbgm_stat, INDEX(Players!$A586:$P586, MATCH(K$2, Players!$A$1:$P$1, 0)), perc_75, VLOOKUP(K$2, Percentiles!$A$45:$I$59, 6, FALSE), perc_90, VLOOKUP(K$2, Percentiles!$A$45:$I$59, 7, FALSE), perc_95, VLOOKUP(K$2, Percentiles!$A$45:$I$59, 8, FALSE), perc_85, perc_75 + (perc_90 - perc_75) * (2/3), converted_stat, '2K_Ratings'!K587, IF(bbgm_stat &gt;= perc_95, converted_stat * 3, IF(bbgm_stat &gt;= perc_90, converted_stat * 2, IF(bbgm_stat &gt;= perc_85, converted_stat * 1.5, converted_stat)))))</f>
        <v/>
      </c>
      <c r="L587" s="30" t="str">
        <f t="array" ref="L587">IF($A587="", "", LET(bbgm_stat, INDEX(Players!$A586:$P586, MATCH(L$2, Players!$A$1:$P$1, 0)), perc_75, VLOOKUP(L$2, Percentiles!$A$45:$I$59, 6, FALSE), perc_90, VLOOKUP(L$2, Percentiles!$A$45:$I$59, 7, FALSE), perc_95, VLOOKUP(L$2, Percentiles!$A$45:$I$59, 8, FALSE), perc_85, perc_75 + (perc_90 - perc_75) * (2/3), converted_stat, '2K_Ratings'!L587, IF(bbgm_stat &gt;= perc_95, converted_stat * 3, IF(bbgm_stat &gt;= perc_90, converted_stat * 2, IF(bbgm_stat &gt;= perc_85, converted_stat * 1.5, converted_stat)))))</f>
        <v/>
      </c>
      <c r="M587" s="30" t="str">
        <f t="array" ref="M587">IF($A587="", "", LET(bbgm_stat, INDEX(Players!$A586:$P586, MATCH(M$2, Players!$A$1:$P$1, 0)), perc_75, VLOOKUP(M$2, Percentiles!$A$45:$I$59, 6, FALSE), perc_90, VLOOKUP(M$2, Percentiles!$A$45:$I$59, 7, FALSE), perc_95, VLOOKUP(M$2, Percentiles!$A$45:$I$59, 8, FALSE), perc_85, perc_75 + (perc_90 - perc_75) * (2/3), converted_stat, '2K_Ratings'!M587, IF(bbgm_stat &gt;= perc_95, converted_stat * 3, IF(bbgm_stat &gt;= perc_90, converted_stat * 2, IF(bbgm_stat &gt;= perc_85, converted_stat * 1.5, converted_stat)))))</f>
        <v/>
      </c>
      <c r="N587" s="30" t="str">
        <f t="array" ref="N587">IF($A587="", "", LET(bbgm_stat, INDEX(Players!$A586:$P586, MATCH(N$2, Players!$A$1:$P$1, 0)), perc_75, VLOOKUP(N$2, Percentiles!$A$45:$I$59, 6, FALSE), perc_90, VLOOKUP(N$2, Percentiles!$A$45:$I$59, 7, FALSE), perc_95, VLOOKUP(N$2, Percentiles!$A$45:$I$59, 8, FALSE), perc_85, perc_75 + (perc_90 - perc_75) * (2/3), converted_stat, '2K_Ratings'!N587, IF(bbgm_stat &gt;= perc_95, converted_stat * 3, IF(bbgm_stat &gt;= perc_90, converted_stat * 2, IF(bbgm_stat &gt;= perc_85, converted_stat * 1.5, converted_stat)))))</f>
        <v/>
      </c>
      <c r="O587" s="30" t="str">
        <f t="array" ref="O587">IF($A587="", "", LET(bbgm_stat, INDEX(Players!$A586:$P586, MATCH(O$2, Players!$A$1:$P$1, 0)), perc_75, VLOOKUP(O$2, Percentiles!$A$45:$I$59, 6, FALSE), perc_90, VLOOKUP(O$2, Percentiles!$A$45:$I$59, 7, FALSE), perc_95, VLOOKUP(O$2, Percentiles!$A$45:$I$59, 8, FALSE), perc_85, perc_75 + (perc_90 - perc_75) * (2/3), converted_stat, '2K_Ratings'!O587, IF(bbgm_stat &gt;= perc_95, converted_stat * 3, IF(bbgm_stat &gt;= perc_90, converted_stat * 2, IF(bbgm_stat &gt;= perc_85, converted_stat * 1.5, converted_stat)))))</f>
        <v/>
      </c>
      <c r="P587" s="30" t="str">
        <f t="array" ref="P587">IF($A587="", "", LET(bbgm_stat, INDEX(Players!$A586:$P586, MATCH(P$2, Players!$A$1:$P$1, 0)), perc_75, VLOOKUP(P$2, Percentiles!$A$45:$I$59, 6, FALSE), perc_90, VLOOKUP(P$2, Percentiles!$A$45:$I$59, 7, FALSE), perc_95, VLOOKUP(P$2, Percentiles!$A$45:$I$59, 8, FALSE), perc_85, perc_75 + (perc_90 - perc_75) * (2/3), converted_stat, '2K_Ratings'!P587, IF(bbgm_stat &gt;= perc_95, converted_stat * 3, IF(bbgm_stat &gt;= perc_90, converted_stat * 2, IF(bbgm_stat &gt;= perc_85, converted_stat * 1.5, converted_stat)))))</f>
        <v/>
      </c>
      <c r="Q587" s="30" t="str">
        <f t="array" ref="Q587">IF($A587="", "", LET(bbgm_stat, INDEX(Players!$A586:$P586, MATCH(Q$2, Players!$A$1:$P$1, 0)), perc_75, VLOOKUP(Q$2, Percentiles!$A$45:$I$59, 6, FALSE), perc_90, VLOOKUP(Q$2, Percentiles!$A$45:$I$59, 7, FALSE), perc_95, VLOOKUP(Q$2, Percentiles!$A$45:$I$59, 8, FALSE), perc_85, perc_75 + (perc_90 - perc_75) * (2/3), converted_stat, '2K_Ratings'!Q587, IF(bbgm_stat &gt;= perc_95, converted_stat * 3, IF(bbgm_stat &gt;= perc_90, converted_stat * 2, IF(bbgm_stat &gt;= perc_85, converted_stat * 1.5, converted_stat)))))</f>
        <v/>
      </c>
      <c r="R587" s="30" t="str">
        <f t="array" ref="R587">IF($A587="", "", LET(bbgm_stat, INDEX(Players!$A586:$P586, MATCH(R$2, Players!$A$1:$P$1, 0)), perc_75, VLOOKUP(R$2, Percentiles!$A$45:$I$59, 6, FALSE), perc_90, VLOOKUP(R$2, Percentiles!$A$45:$I$59, 7, FALSE), perc_95, VLOOKUP(R$2, Percentiles!$A$45:$I$59, 8, FALSE), perc_85, perc_75 + (perc_90 - perc_75) * (2/3), converted_stat, '2K_Ratings'!R587, IF(bbgm_stat &gt;= perc_95, converted_stat * 3, IF(bbgm_stat &gt;= perc_90, converted_stat * 2, IF(bbgm_stat &gt;= perc_85, converted_stat * 1.5, converted_stat)))))</f>
        <v/>
      </c>
      <c r="S587" s="30" t="str">
        <f t="array" ref="S587">IF($A587="", "", LET(bbgm_stat, INDEX(Players!$A586:$P586, MATCH(S$2, Players!$A$1:$P$1, 0)), perc_75, VLOOKUP(S$2, Percentiles!$A$45:$I$59, 6, FALSE), perc_90, VLOOKUP(S$2, Percentiles!$A$45:$I$59, 7, FALSE), perc_95, VLOOKUP(S$2, Percentiles!$A$45:$I$59, 8, FALSE), perc_85, perc_75 + (perc_90 - perc_75) * (2/3), converted_stat, '2K_Ratings'!S587, IF(bbgm_stat &gt;= perc_95, converted_stat * 3, IF(bbgm_stat &gt;= perc_90, converted_stat * 2, IF(bbgm_stat &gt;= perc_85, converted_stat * 1.5, converted_stat)))))</f>
        <v/>
      </c>
      <c r="T587" s="30" t="str">
        <f t="array" ref="T587">IF($A587="", "", LET(bbgm_stat, INDEX(Players!$A586:$P586, MATCH(T$2, Players!$A$1:$P$1, 0)), perc_75, VLOOKUP(T$2, Percentiles!$A$45:$I$59, 6, FALSE), perc_90, VLOOKUP(T$2, Percentiles!$A$45:$I$59, 7, FALSE), perc_95, VLOOKUP(T$2, Percentiles!$A$45:$I$59, 8, FALSE), perc_85, perc_75 + (perc_90 - perc_75) * (2/3), converted_stat, '2K_Ratings'!T587, IF(bbgm_stat &gt;= perc_95, converted_stat * 3, IF(bbgm_stat &gt;= perc_90, converted_stat * 2, IF(bbgm_stat &gt;= perc_85, converted_stat * 1.5, converted_stat)))))</f>
        <v/>
      </c>
      <c r="U587" s="30" t="str">
        <f t="array" ref="U587">IF($A587="", "", LET(bbgm_stat, INDEX(Players!$A586:$P586, MATCH(U$2, Players!$A$1:$P$1, 0)), perc_75, VLOOKUP(U$2, Percentiles!$A$45:$I$59, 6, FALSE), perc_90, VLOOKUP(U$2, Percentiles!$A$45:$I$59, 7, FALSE), perc_95, VLOOKUP(U$2, Percentiles!$A$45:$I$59, 8, FALSE), perc_85, perc_75 + (perc_90 - perc_75) * (2/3), converted_stat, '2K_Ratings'!U587, IF(bbgm_stat &gt;= perc_95, converted_stat * 3, IF(bbgm_stat &gt;= perc_90, converted_stat * 2, IF(bbgm_stat &gt;= perc_85, converted_stat * 1.5, converted_stat)))))</f>
        <v/>
      </c>
      <c r="V587" s="30" t="str">
        <f t="array" ref="V587">IF($A587="", "", LET(bbgm_stat, INDEX(Players!$A586:$P586, MATCH(V$2, Players!$A$1:$P$1, 0)), perc_75, VLOOKUP(V$2, Percentiles!$A$45:$I$59, 6, FALSE), perc_90, VLOOKUP(V$2, Percentiles!$A$45:$I$59, 7, FALSE), perc_95, VLOOKUP(V$2, Percentiles!$A$45:$I$59, 8, FALSE), perc_85, perc_75 + (perc_90 - perc_75) * (2/3), converted_stat, '2K_Ratings'!V587, IF(bbgm_stat &gt;= perc_95, converted_stat * 3, IF(bbgm_stat &gt;= perc_90, converted_stat * 2, IF(bbgm_stat &gt;= perc_85, converted_stat * 1.5, converted_stat)))))</f>
        <v/>
      </c>
      <c r="W587" s="30" t="str">
        <f t="array" ref="W587">IF($A587="", "", LET(bbgm_stat, INDEX(Players!$A586:$P586, MATCH(W$2, Players!$A$1:$P$1, 0)), perc_75, VLOOKUP(W$2, Percentiles!$A$45:$I$59, 6, FALSE), perc_90, VLOOKUP(W$2, Percentiles!$A$45:$I$59, 7, FALSE), perc_95, VLOOKUP(W$2, Percentiles!$A$45:$I$59, 8, FALSE), perc_85, perc_75 + (perc_90 - perc_75) * (2/3), converted_stat, '2K_Ratings'!W587, IF(bbgm_stat &gt;= perc_95, converted_stat * 3, IF(bbgm_stat &gt;= perc_90, converted_stat * 2, IF(bbgm_stat &gt;= perc_85, converted_stat * 1.5, converted_stat)))))</f>
        <v/>
      </c>
    </row>
    <row r="588">
      <c r="A588" s="30"/>
      <c r="B588" s="30" t="str">
        <f t="array" ref="B588">IF($A588="", "", LET(bbgm_stat, INDEX(Players!$A587:$P587, MATCH(B$2, Players!$A$1:$P$1, 0)), perc_75, VLOOKUP(B$2, Percentiles!$A$45:$I$59, 6, FALSE), perc_90, VLOOKUP(B$2, Percentiles!$A$45:$I$59, 7, FALSE), perc_95, VLOOKUP(B$2, Percentiles!$A$45:$I$59, 8, FALSE), perc_85, perc_75 + (perc_90 - perc_75) * (2/3), converted_stat, '2K_Ratings'!B588, IF(bbgm_stat &gt;= perc_95, converted_stat * 3, IF(bbgm_stat &gt;= perc_90, converted_stat * 2, IF(bbgm_stat &gt;= perc_85, converted_stat * 1.5, converted_stat)))))</f>
        <v/>
      </c>
      <c r="C588" s="30" t="str">
        <f t="array" ref="C588">IF($A588="", "", LET(bbgm_stat, INDEX(Players!$A587:$P587, MATCH(C$2, Players!$A$1:$P$1, 0)), perc_75, VLOOKUP(C$2, Percentiles!$A$45:$I$59, 6, FALSE), perc_90, VLOOKUP(C$2, Percentiles!$A$45:$I$59, 7, FALSE), perc_95, VLOOKUP(C$2, Percentiles!$A$45:$I$59, 8, FALSE), perc_85, perc_75 + (perc_90 - perc_75) * (2/3), converted_stat, '2K_Ratings'!C588, IF(bbgm_stat &gt;= perc_95, converted_stat * 3, IF(bbgm_stat &gt;= perc_90, converted_stat * 2, IF(bbgm_stat &gt;= perc_85, converted_stat * 1.5, converted_stat)))))</f>
        <v/>
      </c>
      <c r="D588" s="30" t="str">
        <f t="array" ref="D588">IF($A588="", "", LET(bbgm_stat, INDEX(Players!$A587:$P587, MATCH(D$2, Players!$A$1:$P$1, 0)), perc_75, VLOOKUP(D$2, Percentiles!$A$45:$I$59, 6, FALSE), perc_90, VLOOKUP(D$2, Percentiles!$A$45:$I$59, 7, FALSE), perc_95, VLOOKUP(D$2, Percentiles!$A$45:$I$59, 8, FALSE), perc_85, perc_75 + (perc_90 - perc_75) * (2/3), converted_stat, '2K_Ratings'!D588, IF(bbgm_stat &gt;= perc_95, converted_stat * 3, IF(bbgm_stat &gt;= perc_90, converted_stat * 2, IF(bbgm_stat &gt;= perc_85, converted_stat * 1.5, converted_stat)))))</f>
        <v/>
      </c>
      <c r="E588" s="30" t="str">
        <f t="array" ref="E588">IF($A588="", "", LET(bbgm_stat, INDEX(Players!$A587:$P587, MATCH(E$2, Players!$A$1:$P$1, 0)), perc_75, VLOOKUP(E$2, Percentiles!$A$45:$I$59, 6, FALSE), perc_90, VLOOKUP(E$2, Percentiles!$A$45:$I$59, 7, FALSE), perc_95, VLOOKUP(E$2, Percentiles!$A$45:$I$59, 8, FALSE), perc_85, perc_75 + (perc_90 - perc_75) * (2/3), converted_stat, '2K_Ratings'!E588, IF(bbgm_stat &gt;= perc_95, converted_stat * 3, IF(bbgm_stat &gt;= perc_90, converted_stat * 2, IF(bbgm_stat &gt;= perc_85, converted_stat * 1.5, converted_stat)))))</f>
        <v/>
      </c>
      <c r="F588" s="30" t="str">
        <f t="array" ref="F588">IF($A588="", "", LET(bbgm_stat, INDEX(Players!$A587:$P587, MATCH(F$2, Players!$A$1:$P$1, 0)), perc_75, VLOOKUP(F$2, Percentiles!$A$45:$I$59, 6, FALSE), perc_90, VLOOKUP(F$2, Percentiles!$A$45:$I$59, 7, FALSE), perc_95, VLOOKUP(F$2, Percentiles!$A$45:$I$59, 8, FALSE), perc_85, perc_75 + (perc_90 - perc_75) * (2/3), converted_stat, '2K_Ratings'!F588, IF(bbgm_stat &gt;= perc_95, converted_stat * 3, IF(bbgm_stat &gt;= perc_90, converted_stat * 2, IF(bbgm_stat &gt;= perc_85, converted_stat * 1.5, converted_stat)))))</f>
        <v/>
      </c>
      <c r="G588" s="30" t="str">
        <f t="array" ref="G588">IF($A588="", "", LET(bbgm_stat, INDEX(Players!$A587:$P587, MATCH(G$2, Players!$A$1:$P$1, 0)), perc_75, VLOOKUP(G$2, Percentiles!$A$45:$I$59, 6, FALSE), perc_90, VLOOKUP(G$2, Percentiles!$A$45:$I$59, 7, FALSE), perc_95, VLOOKUP(G$2, Percentiles!$A$45:$I$59, 8, FALSE), perc_85, perc_75 + (perc_90 - perc_75) * (2/3), converted_stat, '2K_Ratings'!G588, IF(bbgm_stat &gt;= perc_95, converted_stat * 3, IF(bbgm_stat &gt;= perc_90, converted_stat * 2, IF(bbgm_stat &gt;= perc_85, converted_stat * 1.5, converted_stat)))))</f>
        <v/>
      </c>
      <c r="H588" s="30" t="str">
        <f t="array" ref="H588">IF($A588="", "", LET(bbgm_stat, INDEX(Players!$A587:$P587, MATCH(H$2, Players!$A$1:$P$1, 0)), perc_75, VLOOKUP(H$2, Percentiles!$A$45:$I$59, 6, FALSE), perc_90, VLOOKUP(H$2, Percentiles!$A$45:$I$59, 7, FALSE), perc_95, VLOOKUP(H$2, Percentiles!$A$45:$I$59, 8, FALSE), perc_85, perc_75 + (perc_90 - perc_75) * (2/3), converted_stat, '2K_Ratings'!H588, IF(bbgm_stat &gt;= perc_95, converted_stat * 3, IF(bbgm_stat &gt;= perc_90, converted_stat * 2, IF(bbgm_stat &gt;= perc_85, converted_stat * 1.5, converted_stat)))))</f>
        <v/>
      </c>
      <c r="I588" s="30" t="str">
        <f t="array" ref="I588">IF($A588="", "", LET(bbgm_stat, INDEX(Players!$A587:$P587, MATCH(I$2, Players!$A$1:$P$1, 0)), perc_75, VLOOKUP(I$2, Percentiles!$A$45:$I$59, 6, FALSE), perc_90, VLOOKUP(I$2, Percentiles!$A$45:$I$59, 7, FALSE), perc_95, VLOOKUP(I$2, Percentiles!$A$45:$I$59, 8, FALSE), perc_85, perc_75 + (perc_90 - perc_75) * (2/3), converted_stat, '2K_Ratings'!I588, IF(bbgm_stat &gt;= perc_95, converted_stat * 3, IF(bbgm_stat &gt;= perc_90, converted_stat * 2, IF(bbgm_stat &gt;= perc_85, converted_stat * 1.5, converted_stat)))))</f>
        <v/>
      </c>
      <c r="J588" s="30" t="str">
        <f t="array" ref="J588">IF($A588="", "", LET(bbgm_stat, INDEX(Players!$A587:$P587, MATCH(J$2, Players!$A$1:$P$1, 0)), perc_75, VLOOKUP(J$2, Percentiles!$A$45:$I$59, 6, FALSE), perc_90, VLOOKUP(J$2, Percentiles!$A$45:$I$59, 7, FALSE), perc_95, VLOOKUP(J$2, Percentiles!$A$45:$I$59, 8, FALSE), perc_85, perc_75 + (perc_90 - perc_75) * (2/3), converted_stat, '2K_Ratings'!J588, IF(bbgm_stat &gt;= perc_95, converted_stat * 3, IF(bbgm_stat &gt;= perc_90, converted_stat * 2, IF(bbgm_stat &gt;= perc_85, converted_stat * 1.5, converted_stat)))))</f>
        <v/>
      </c>
      <c r="K588" s="30" t="str">
        <f t="array" ref="K588">IF($A588="", "", LET(bbgm_stat, INDEX(Players!$A587:$P587, MATCH(K$2, Players!$A$1:$P$1, 0)), perc_75, VLOOKUP(K$2, Percentiles!$A$45:$I$59, 6, FALSE), perc_90, VLOOKUP(K$2, Percentiles!$A$45:$I$59, 7, FALSE), perc_95, VLOOKUP(K$2, Percentiles!$A$45:$I$59, 8, FALSE), perc_85, perc_75 + (perc_90 - perc_75) * (2/3), converted_stat, '2K_Ratings'!K588, IF(bbgm_stat &gt;= perc_95, converted_stat * 3, IF(bbgm_stat &gt;= perc_90, converted_stat * 2, IF(bbgm_stat &gt;= perc_85, converted_stat * 1.5, converted_stat)))))</f>
        <v/>
      </c>
      <c r="L588" s="30" t="str">
        <f t="array" ref="L588">IF($A588="", "", LET(bbgm_stat, INDEX(Players!$A587:$P587, MATCH(L$2, Players!$A$1:$P$1, 0)), perc_75, VLOOKUP(L$2, Percentiles!$A$45:$I$59, 6, FALSE), perc_90, VLOOKUP(L$2, Percentiles!$A$45:$I$59, 7, FALSE), perc_95, VLOOKUP(L$2, Percentiles!$A$45:$I$59, 8, FALSE), perc_85, perc_75 + (perc_90 - perc_75) * (2/3), converted_stat, '2K_Ratings'!L588, IF(bbgm_stat &gt;= perc_95, converted_stat * 3, IF(bbgm_stat &gt;= perc_90, converted_stat * 2, IF(bbgm_stat &gt;= perc_85, converted_stat * 1.5, converted_stat)))))</f>
        <v/>
      </c>
      <c r="M588" s="30" t="str">
        <f t="array" ref="M588">IF($A588="", "", LET(bbgm_stat, INDEX(Players!$A587:$P587, MATCH(M$2, Players!$A$1:$P$1, 0)), perc_75, VLOOKUP(M$2, Percentiles!$A$45:$I$59, 6, FALSE), perc_90, VLOOKUP(M$2, Percentiles!$A$45:$I$59, 7, FALSE), perc_95, VLOOKUP(M$2, Percentiles!$A$45:$I$59, 8, FALSE), perc_85, perc_75 + (perc_90 - perc_75) * (2/3), converted_stat, '2K_Ratings'!M588, IF(bbgm_stat &gt;= perc_95, converted_stat * 3, IF(bbgm_stat &gt;= perc_90, converted_stat * 2, IF(bbgm_stat &gt;= perc_85, converted_stat * 1.5, converted_stat)))))</f>
        <v/>
      </c>
      <c r="N588" s="30" t="str">
        <f t="array" ref="N588">IF($A588="", "", LET(bbgm_stat, INDEX(Players!$A587:$P587, MATCH(N$2, Players!$A$1:$P$1, 0)), perc_75, VLOOKUP(N$2, Percentiles!$A$45:$I$59, 6, FALSE), perc_90, VLOOKUP(N$2, Percentiles!$A$45:$I$59, 7, FALSE), perc_95, VLOOKUP(N$2, Percentiles!$A$45:$I$59, 8, FALSE), perc_85, perc_75 + (perc_90 - perc_75) * (2/3), converted_stat, '2K_Ratings'!N588, IF(bbgm_stat &gt;= perc_95, converted_stat * 3, IF(bbgm_stat &gt;= perc_90, converted_stat * 2, IF(bbgm_stat &gt;= perc_85, converted_stat * 1.5, converted_stat)))))</f>
        <v/>
      </c>
      <c r="O588" s="30" t="str">
        <f t="array" ref="O588">IF($A588="", "", LET(bbgm_stat, INDEX(Players!$A587:$P587, MATCH(O$2, Players!$A$1:$P$1, 0)), perc_75, VLOOKUP(O$2, Percentiles!$A$45:$I$59, 6, FALSE), perc_90, VLOOKUP(O$2, Percentiles!$A$45:$I$59, 7, FALSE), perc_95, VLOOKUP(O$2, Percentiles!$A$45:$I$59, 8, FALSE), perc_85, perc_75 + (perc_90 - perc_75) * (2/3), converted_stat, '2K_Ratings'!O588, IF(bbgm_stat &gt;= perc_95, converted_stat * 3, IF(bbgm_stat &gt;= perc_90, converted_stat * 2, IF(bbgm_stat &gt;= perc_85, converted_stat * 1.5, converted_stat)))))</f>
        <v/>
      </c>
      <c r="P588" s="30" t="str">
        <f t="array" ref="P588">IF($A588="", "", LET(bbgm_stat, INDEX(Players!$A587:$P587, MATCH(P$2, Players!$A$1:$P$1, 0)), perc_75, VLOOKUP(P$2, Percentiles!$A$45:$I$59, 6, FALSE), perc_90, VLOOKUP(P$2, Percentiles!$A$45:$I$59, 7, FALSE), perc_95, VLOOKUP(P$2, Percentiles!$A$45:$I$59, 8, FALSE), perc_85, perc_75 + (perc_90 - perc_75) * (2/3), converted_stat, '2K_Ratings'!P588, IF(bbgm_stat &gt;= perc_95, converted_stat * 3, IF(bbgm_stat &gt;= perc_90, converted_stat * 2, IF(bbgm_stat &gt;= perc_85, converted_stat * 1.5, converted_stat)))))</f>
        <v/>
      </c>
      <c r="Q588" s="30" t="str">
        <f t="array" ref="Q588">IF($A588="", "", LET(bbgm_stat, INDEX(Players!$A587:$P587, MATCH(Q$2, Players!$A$1:$P$1, 0)), perc_75, VLOOKUP(Q$2, Percentiles!$A$45:$I$59, 6, FALSE), perc_90, VLOOKUP(Q$2, Percentiles!$A$45:$I$59, 7, FALSE), perc_95, VLOOKUP(Q$2, Percentiles!$A$45:$I$59, 8, FALSE), perc_85, perc_75 + (perc_90 - perc_75) * (2/3), converted_stat, '2K_Ratings'!Q588, IF(bbgm_stat &gt;= perc_95, converted_stat * 3, IF(bbgm_stat &gt;= perc_90, converted_stat * 2, IF(bbgm_stat &gt;= perc_85, converted_stat * 1.5, converted_stat)))))</f>
        <v/>
      </c>
      <c r="R588" s="30" t="str">
        <f t="array" ref="R588">IF($A588="", "", LET(bbgm_stat, INDEX(Players!$A587:$P587, MATCH(R$2, Players!$A$1:$P$1, 0)), perc_75, VLOOKUP(R$2, Percentiles!$A$45:$I$59, 6, FALSE), perc_90, VLOOKUP(R$2, Percentiles!$A$45:$I$59, 7, FALSE), perc_95, VLOOKUP(R$2, Percentiles!$A$45:$I$59, 8, FALSE), perc_85, perc_75 + (perc_90 - perc_75) * (2/3), converted_stat, '2K_Ratings'!R588, IF(bbgm_stat &gt;= perc_95, converted_stat * 3, IF(bbgm_stat &gt;= perc_90, converted_stat * 2, IF(bbgm_stat &gt;= perc_85, converted_stat * 1.5, converted_stat)))))</f>
        <v/>
      </c>
      <c r="S588" s="30" t="str">
        <f t="array" ref="S588">IF($A588="", "", LET(bbgm_stat, INDEX(Players!$A587:$P587, MATCH(S$2, Players!$A$1:$P$1, 0)), perc_75, VLOOKUP(S$2, Percentiles!$A$45:$I$59, 6, FALSE), perc_90, VLOOKUP(S$2, Percentiles!$A$45:$I$59, 7, FALSE), perc_95, VLOOKUP(S$2, Percentiles!$A$45:$I$59, 8, FALSE), perc_85, perc_75 + (perc_90 - perc_75) * (2/3), converted_stat, '2K_Ratings'!S588, IF(bbgm_stat &gt;= perc_95, converted_stat * 3, IF(bbgm_stat &gt;= perc_90, converted_stat * 2, IF(bbgm_stat &gt;= perc_85, converted_stat * 1.5, converted_stat)))))</f>
        <v/>
      </c>
      <c r="T588" s="30" t="str">
        <f t="array" ref="T588">IF($A588="", "", LET(bbgm_stat, INDEX(Players!$A587:$P587, MATCH(T$2, Players!$A$1:$P$1, 0)), perc_75, VLOOKUP(T$2, Percentiles!$A$45:$I$59, 6, FALSE), perc_90, VLOOKUP(T$2, Percentiles!$A$45:$I$59, 7, FALSE), perc_95, VLOOKUP(T$2, Percentiles!$A$45:$I$59, 8, FALSE), perc_85, perc_75 + (perc_90 - perc_75) * (2/3), converted_stat, '2K_Ratings'!T588, IF(bbgm_stat &gt;= perc_95, converted_stat * 3, IF(bbgm_stat &gt;= perc_90, converted_stat * 2, IF(bbgm_stat &gt;= perc_85, converted_stat * 1.5, converted_stat)))))</f>
        <v/>
      </c>
      <c r="U588" s="30" t="str">
        <f t="array" ref="U588">IF($A588="", "", LET(bbgm_stat, INDEX(Players!$A587:$P587, MATCH(U$2, Players!$A$1:$P$1, 0)), perc_75, VLOOKUP(U$2, Percentiles!$A$45:$I$59, 6, FALSE), perc_90, VLOOKUP(U$2, Percentiles!$A$45:$I$59, 7, FALSE), perc_95, VLOOKUP(U$2, Percentiles!$A$45:$I$59, 8, FALSE), perc_85, perc_75 + (perc_90 - perc_75) * (2/3), converted_stat, '2K_Ratings'!U588, IF(bbgm_stat &gt;= perc_95, converted_stat * 3, IF(bbgm_stat &gt;= perc_90, converted_stat * 2, IF(bbgm_stat &gt;= perc_85, converted_stat * 1.5, converted_stat)))))</f>
        <v/>
      </c>
      <c r="V588" s="30" t="str">
        <f t="array" ref="V588">IF($A588="", "", LET(bbgm_stat, INDEX(Players!$A587:$P587, MATCH(V$2, Players!$A$1:$P$1, 0)), perc_75, VLOOKUP(V$2, Percentiles!$A$45:$I$59, 6, FALSE), perc_90, VLOOKUP(V$2, Percentiles!$A$45:$I$59, 7, FALSE), perc_95, VLOOKUP(V$2, Percentiles!$A$45:$I$59, 8, FALSE), perc_85, perc_75 + (perc_90 - perc_75) * (2/3), converted_stat, '2K_Ratings'!V588, IF(bbgm_stat &gt;= perc_95, converted_stat * 3, IF(bbgm_stat &gt;= perc_90, converted_stat * 2, IF(bbgm_stat &gt;= perc_85, converted_stat * 1.5, converted_stat)))))</f>
        <v/>
      </c>
      <c r="W588" s="30" t="str">
        <f t="array" ref="W588">IF($A588="", "", LET(bbgm_stat, INDEX(Players!$A587:$P587, MATCH(W$2, Players!$A$1:$P$1, 0)), perc_75, VLOOKUP(W$2, Percentiles!$A$45:$I$59, 6, FALSE), perc_90, VLOOKUP(W$2, Percentiles!$A$45:$I$59, 7, FALSE), perc_95, VLOOKUP(W$2, Percentiles!$A$45:$I$59, 8, FALSE), perc_85, perc_75 + (perc_90 - perc_75) * (2/3), converted_stat, '2K_Ratings'!W588, IF(bbgm_stat &gt;= perc_95, converted_stat * 3, IF(bbgm_stat &gt;= perc_90, converted_stat * 2, IF(bbgm_stat &gt;= perc_85, converted_stat * 1.5, converted_stat)))))</f>
        <v/>
      </c>
    </row>
    <row r="589">
      <c r="A589" s="30"/>
      <c r="B589" s="30" t="str">
        <f t="array" ref="B589">IF($A589="", "", LET(bbgm_stat, INDEX(Players!$A588:$P588, MATCH(B$2, Players!$A$1:$P$1, 0)), perc_75, VLOOKUP(B$2, Percentiles!$A$45:$I$59, 6, FALSE), perc_90, VLOOKUP(B$2, Percentiles!$A$45:$I$59, 7, FALSE), perc_95, VLOOKUP(B$2, Percentiles!$A$45:$I$59, 8, FALSE), perc_85, perc_75 + (perc_90 - perc_75) * (2/3), converted_stat, '2K_Ratings'!B589, IF(bbgm_stat &gt;= perc_95, converted_stat * 3, IF(bbgm_stat &gt;= perc_90, converted_stat * 2, IF(bbgm_stat &gt;= perc_85, converted_stat * 1.5, converted_stat)))))</f>
        <v/>
      </c>
      <c r="C589" s="30" t="str">
        <f t="array" ref="C589">IF($A589="", "", LET(bbgm_stat, INDEX(Players!$A588:$P588, MATCH(C$2, Players!$A$1:$P$1, 0)), perc_75, VLOOKUP(C$2, Percentiles!$A$45:$I$59, 6, FALSE), perc_90, VLOOKUP(C$2, Percentiles!$A$45:$I$59, 7, FALSE), perc_95, VLOOKUP(C$2, Percentiles!$A$45:$I$59, 8, FALSE), perc_85, perc_75 + (perc_90 - perc_75) * (2/3), converted_stat, '2K_Ratings'!C589, IF(bbgm_stat &gt;= perc_95, converted_stat * 3, IF(bbgm_stat &gt;= perc_90, converted_stat * 2, IF(bbgm_stat &gt;= perc_85, converted_stat * 1.5, converted_stat)))))</f>
        <v/>
      </c>
      <c r="D589" s="30" t="str">
        <f t="array" ref="D589">IF($A589="", "", LET(bbgm_stat, INDEX(Players!$A588:$P588, MATCH(D$2, Players!$A$1:$P$1, 0)), perc_75, VLOOKUP(D$2, Percentiles!$A$45:$I$59, 6, FALSE), perc_90, VLOOKUP(D$2, Percentiles!$A$45:$I$59, 7, FALSE), perc_95, VLOOKUP(D$2, Percentiles!$A$45:$I$59, 8, FALSE), perc_85, perc_75 + (perc_90 - perc_75) * (2/3), converted_stat, '2K_Ratings'!D589, IF(bbgm_stat &gt;= perc_95, converted_stat * 3, IF(bbgm_stat &gt;= perc_90, converted_stat * 2, IF(bbgm_stat &gt;= perc_85, converted_stat * 1.5, converted_stat)))))</f>
        <v/>
      </c>
      <c r="E589" s="30" t="str">
        <f t="array" ref="E589">IF($A589="", "", LET(bbgm_stat, INDEX(Players!$A588:$P588, MATCH(E$2, Players!$A$1:$P$1, 0)), perc_75, VLOOKUP(E$2, Percentiles!$A$45:$I$59, 6, FALSE), perc_90, VLOOKUP(E$2, Percentiles!$A$45:$I$59, 7, FALSE), perc_95, VLOOKUP(E$2, Percentiles!$A$45:$I$59, 8, FALSE), perc_85, perc_75 + (perc_90 - perc_75) * (2/3), converted_stat, '2K_Ratings'!E589, IF(bbgm_stat &gt;= perc_95, converted_stat * 3, IF(bbgm_stat &gt;= perc_90, converted_stat * 2, IF(bbgm_stat &gt;= perc_85, converted_stat * 1.5, converted_stat)))))</f>
        <v/>
      </c>
      <c r="F589" s="30" t="str">
        <f t="array" ref="F589">IF($A589="", "", LET(bbgm_stat, INDEX(Players!$A588:$P588, MATCH(F$2, Players!$A$1:$P$1, 0)), perc_75, VLOOKUP(F$2, Percentiles!$A$45:$I$59, 6, FALSE), perc_90, VLOOKUP(F$2, Percentiles!$A$45:$I$59, 7, FALSE), perc_95, VLOOKUP(F$2, Percentiles!$A$45:$I$59, 8, FALSE), perc_85, perc_75 + (perc_90 - perc_75) * (2/3), converted_stat, '2K_Ratings'!F589, IF(bbgm_stat &gt;= perc_95, converted_stat * 3, IF(bbgm_stat &gt;= perc_90, converted_stat * 2, IF(bbgm_stat &gt;= perc_85, converted_stat * 1.5, converted_stat)))))</f>
        <v/>
      </c>
      <c r="G589" s="30" t="str">
        <f t="array" ref="G589">IF($A589="", "", LET(bbgm_stat, INDEX(Players!$A588:$P588, MATCH(G$2, Players!$A$1:$P$1, 0)), perc_75, VLOOKUP(G$2, Percentiles!$A$45:$I$59, 6, FALSE), perc_90, VLOOKUP(G$2, Percentiles!$A$45:$I$59, 7, FALSE), perc_95, VLOOKUP(G$2, Percentiles!$A$45:$I$59, 8, FALSE), perc_85, perc_75 + (perc_90 - perc_75) * (2/3), converted_stat, '2K_Ratings'!G589, IF(bbgm_stat &gt;= perc_95, converted_stat * 3, IF(bbgm_stat &gt;= perc_90, converted_stat * 2, IF(bbgm_stat &gt;= perc_85, converted_stat * 1.5, converted_stat)))))</f>
        <v/>
      </c>
      <c r="H589" s="30" t="str">
        <f t="array" ref="H589">IF($A589="", "", LET(bbgm_stat, INDEX(Players!$A588:$P588, MATCH(H$2, Players!$A$1:$P$1, 0)), perc_75, VLOOKUP(H$2, Percentiles!$A$45:$I$59, 6, FALSE), perc_90, VLOOKUP(H$2, Percentiles!$A$45:$I$59, 7, FALSE), perc_95, VLOOKUP(H$2, Percentiles!$A$45:$I$59, 8, FALSE), perc_85, perc_75 + (perc_90 - perc_75) * (2/3), converted_stat, '2K_Ratings'!H589, IF(bbgm_stat &gt;= perc_95, converted_stat * 3, IF(bbgm_stat &gt;= perc_90, converted_stat * 2, IF(bbgm_stat &gt;= perc_85, converted_stat * 1.5, converted_stat)))))</f>
        <v/>
      </c>
      <c r="I589" s="30" t="str">
        <f t="array" ref="I589">IF($A589="", "", LET(bbgm_stat, INDEX(Players!$A588:$P588, MATCH(I$2, Players!$A$1:$P$1, 0)), perc_75, VLOOKUP(I$2, Percentiles!$A$45:$I$59, 6, FALSE), perc_90, VLOOKUP(I$2, Percentiles!$A$45:$I$59, 7, FALSE), perc_95, VLOOKUP(I$2, Percentiles!$A$45:$I$59, 8, FALSE), perc_85, perc_75 + (perc_90 - perc_75) * (2/3), converted_stat, '2K_Ratings'!I589, IF(bbgm_stat &gt;= perc_95, converted_stat * 3, IF(bbgm_stat &gt;= perc_90, converted_stat * 2, IF(bbgm_stat &gt;= perc_85, converted_stat * 1.5, converted_stat)))))</f>
        <v/>
      </c>
      <c r="J589" s="30" t="str">
        <f t="array" ref="J589">IF($A589="", "", LET(bbgm_stat, INDEX(Players!$A588:$P588, MATCH(J$2, Players!$A$1:$P$1, 0)), perc_75, VLOOKUP(J$2, Percentiles!$A$45:$I$59, 6, FALSE), perc_90, VLOOKUP(J$2, Percentiles!$A$45:$I$59, 7, FALSE), perc_95, VLOOKUP(J$2, Percentiles!$A$45:$I$59, 8, FALSE), perc_85, perc_75 + (perc_90 - perc_75) * (2/3), converted_stat, '2K_Ratings'!J589, IF(bbgm_stat &gt;= perc_95, converted_stat * 3, IF(bbgm_stat &gt;= perc_90, converted_stat * 2, IF(bbgm_stat &gt;= perc_85, converted_stat * 1.5, converted_stat)))))</f>
        <v/>
      </c>
      <c r="K589" s="30" t="str">
        <f t="array" ref="K589">IF($A589="", "", LET(bbgm_stat, INDEX(Players!$A588:$P588, MATCH(K$2, Players!$A$1:$P$1, 0)), perc_75, VLOOKUP(K$2, Percentiles!$A$45:$I$59, 6, FALSE), perc_90, VLOOKUP(K$2, Percentiles!$A$45:$I$59, 7, FALSE), perc_95, VLOOKUP(K$2, Percentiles!$A$45:$I$59, 8, FALSE), perc_85, perc_75 + (perc_90 - perc_75) * (2/3), converted_stat, '2K_Ratings'!K589, IF(bbgm_stat &gt;= perc_95, converted_stat * 3, IF(bbgm_stat &gt;= perc_90, converted_stat * 2, IF(bbgm_stat &gt;= perc_85, converted_stat * 1.5, converted_stat)))))</f>
        <v/>
      </c>
      <c r="L589" s="30" t="str">
        <f t="array" ref="L589">IF($A589="", "", LET(bbgm_stat, INDEX(Players!$A588:$P588, MATCH(L$2, Players!$A$1:$P$1, 0)), perc_75, VLOOKUP(L$2, Percentiles!$A$45:$I$59, 6, FALSE), perc_90, VLOOKUP(L$2, Percentiles!$A$45:$I$59, 7, FALSE), perc_95, VLOOKUP(L$2, Percentiles!$A$45:$I$59, 8, FALSE), perc_85, perc_75 + (perc_90 - perc_75) * (2/3), converted_stat, '2K_Ratings'!L589, IF(bbgm_stat &gt;= perc_95, converted_stat * 3, IF(bbgm_stat &gt;= perc_90, converted_stat * 2, IF(bbgm_stat &gt;= perc_85, converted_stat * 1.5, converted_stat)))))</f>
        <v/>
      </c>
      <c r="M589" s="30" t="str">
        <f t="array" ref="M589">IF($A589="", "", LET(bbgm_stat, INDEX(Players!$A588:$P588, MATCH(M$2, Players!$A$1:$P$1, 0)), perc_75, VLOOKUP(M$2, Percentiles!$A$45:$I$59, 6, FALSE), perc_90, VLOOKUP(M$2, Percentiles!$A$45:$I$59, 7, FALSE), perc_95, VLOOKUP(M$2, Percentiles!$A$45:$I$59, 8, FALSE), perc_85, perc_75 + (perc_90 - perc_75) * (2/3), converted_stat, '2K_Ratings'!M589, IF(bbgm_stat &gt;= perc_95, converted_stat * 3, IF(bbgm_stat &gt;= perc_90, converted_stat * 2, IF(bbgm_stat &gt;= perc_85, converted_stat * 1.5, converted_stat)))))</f>
        <v/>
      </c>
      <c r="N589" s="30" t="str">
        <f t="array" ref="N589">IF($A589="", "", LET(bbgm_stat, INDEX(Players!$A588:$P588, MATCH(N$2, Players!$A$1:$P$1, 0)), perc_75, VLOOKUP(N$2, Percentiles!$A$45:$I$59, 6, FALSE), perc_90, VLOOKUP(N$2, Percentiles!$A$45:$I$59, 7, FALSE), perc_95, VLOOKUP(N$2, Percentiles!$A$45:$I$59, 8, FALSE), perc_85, perc_75 + (perc_90 - perc_75) * (2/3), converted_stat, '2K_Ratings'!N589, IF(bbgm_stat &gt;= perc_95, converted_stat * 3, IF(bbgm_stat &gt;= perc_90, converted_stat * 2, IF(bbgm_stat &gt;= perc_85, converted_stat * 1.5, converted_stat)))))</f>
        <v/>
      </c>
      <c r="O589" s="30" t="str">
        <f t="array" ref="O589">IF($A589="", "", LET(bbgm_stat, INDEX(Players!$A588:$P588, MATCH(O$2, Players!$A$1:$P$1, 0)), perc_75, VLOOKUP(O$2, Percentiles!$A$45:$I$59, 6, FALSE), perc_90, VLOOKUP(O$2, Percentiles!$A$45:$I$59, 7, FALSE), perc_95, VLOOKUP(O$2, Percentiles!$A$45:$I$59, 8, FALSE), perc_85, perc_75 + (perc_90 - perc_75) * (2/3), converted_stat, '2K_Ratings'!O589, IF(bbgm_stat &gt;= perc_95, converted_stat * 3, IF(bbgm_stat &gt;= perc_90, converted_stat * 2, IF(bbgm_stat &gt;= perc_85, converted_stat * 1.5, converted_stat)))))</f>
        <v/>
      </c>
      <c r="P589" s="30" t="str">
        <f t="array" ref="P589">IF($A589="", "", LET(bbgm_stat, INDEX(Players!$A588:$P588, MATCH(P$2, Players!$A$1:$P$1, 0)), perc_75, VLOOKUP(P$2, Percentiles!$A$45:$I$59, 6, FALSE), perc_90, VLOOKUP(P$2, Percentiles!$A$45:$I$59, 7, FALSE), perc_95, VLOOKUP(P$2, Percentiles!$A$45:$I$59, 8, FALSE), perc_85, perc_75 + (perc_90 - perc_75) * (2/3), converted_stat, '2K_Ratings'!P589, IF(bbgm_stat &gt;= perc_95, converted_stat * 3, IF(bbgm_stat &gt;= perc_90, converted_stat * 2, IF(bbgm_stat &gt;= perc_85, converted_stat * 1.5, converted_stat)))))</f>
        <v/>
      </c>
      <c r="Q589" s="30" t="str">
        <f t="array" ref="Q589">IF($A589="", "", LET(bbgm_stat, INDEX(Players!$A588:$P588, MATCH(Q$2, Players!$A$1:$P$1, 0)), perc_75, VLOOKUP(Q$2, Percentiles!$A$45:$I$59, 6, FALSE), perc_90, VLOOKUP(Q$2, Percentiles!$A$45:$I$59, 7, FALSE), perc_95, VLOOKUP(Q$2, Percentiles!$A$45:$I$59, 8, FALSE), perc_85, perc_75 + (perc_90 - perc_75) * (2/3), converted_stat, '2K_Ratings'!Q589, IF(bbgm_stat &gt;= perc_95, converted_stat * 3, IF(bbgm_stat &gt;= perc_90, converted_stat * 2, IF(bbgm_stat &gt;= perc_85, converted_stat * 1.5, converted_stat)))))</f>
        <v/>
      </c>
      <c r="R589" s="30" t="str">
        <f t="array" ref="R589">IF($A589="", "", LET(bbgm_stat, INDEX(Players!$A588:$P588, MATCH(R$2, Players!$A$1:$P$1, 0)), perc_75, VLOOKUP(R$2, Percentiles!$A$45:$I$59, 6, FALSE), perc_90, VLOOKUP(R$2, Percentiles!$A$45:$I$59, 7, FALSE), perc_95, VLOOKUP(R$2, Percentiles!$A$45:$I$59, 8, FALSE), perc_85, perc_75 + (perc_90 - perc_75) * (2/3), converted_stat, '2K_Ratings'!R589, IF(bbgm_stat &gt;= perc_95, converted_stat * 3, IF(bbgm_stat &gt;= perc_90, converted_stat * 2, IF(bbgm_stat &gt;= perc_85, converted_stat * 1.5, converted_stat)))))</f>
        <v/>
      </c>
      <c r="S589" s="30" t="str">
        <f t="array" ref="S589">IF($A589="", "", LET(bbgm_stat, INDEX(Players!$A588:$P588, MATCH(S$2, Players!$A$1:$P$1, 0)), perc_75, VLOOKUP(S$2, Percentiles!$A$45:$I$59, 6, FALSE), perc_90, VLOOKUP(S$2, Percentiles!$A$45:$I$59, 7, FALSE), perc_95, VLOOKUP(S$2, Percentiles!$A$45:$I$59, 8, FALSE), perc_85, perc_75 + (perc_90 - perc_75) * (2/3), converted_stat, '2K_Ratings'!S589, IF(bbgm_stat &gt;= perc_95, converted_stat * 3, IF(bbgm_stat &gt;= perc_90, converted_stat * 2, IF(bbgm_stat &gt;= perc_85, converted_stat * 1.5, converted_stat)))))</f>
        <v/>
      </c>
      <c r="T589" s="30" t="str">
        <f t="array" ref="T589">IF($A589="", "", LET(bbgm_stat, INDEX(Players!$A588:$P588, MATCH(T$2, Players!$A$1:$P$1, 0)), perc_75, VLOOKUP(T$2, Percentiles!$A$45:$I$59, 6, FALSE), perc_90, VLOOKUP(T$2, Percentiles!$A$45:$I$59, 7, FALSE), perc_95, VLOOKUP(T$2, Percentiles!$A$45:$I$59, 8, FALSE), perc_85, perc_75 + (perc_90 - perc_75) * (2/3), converted_stat, '2K_Ratings'!T589, IF(bbgm_stat &gt;= perc_95, converted_stat * 3, IF(bbgm_stat &gt;= perc_90, converted_stat * 2, IF(bbgm_stat &gt;= perc_85, converted_stat * 1.5, converted_stat)))))</f>
        <v/>
      </c>
      <c r="U589" s="30" t="str">
        <f t="array" ref="U589">IF($A589="", "", LET(bbgm_stat, INDEX(Players!$A588:$P588, MATCH(U$2, Players!$A$1:$P$1, 0)), perc_75, VLOOKUP(U$2, Percentiles!$A$45:$I$59, 6, FALSE), perc_90, VLOOKUP(U$2, Percentiles!$A$45:$I$59, 7, FALSE), perc_95, VLOOKUP(U$2, Percentiles!$A$45:$I$59, 8, FALSE), perc_85, perc_75 + (perc_90 - perc_75) * (2/3), converted_stat, '2K_Ratings'!U589, IF(bbgm_stat &gt;= perc_95, converted_stat * 3, IF(bbgm_stat &gt;= perc_90, converted_stat * 2, IF(bbgm_stat &gt;= perc_85, converted_stat * 1.5, converted_stat)))))</f>
        <v/>
      </c>
      <c r="V589" s="30" t="str">
        <f t="array" ref="V589">IF($A589="", "", LET(bbgm_stat, INDEX(Players!$A588:$P588, MATCH(V$2, Players!$A$1:$P$1, 0)), perc_75, VLOOKUP(V$2, Percentiles!$A$45:$I$59, 6, FALSE), perc_90, VLOOKUP(V$2, Percentiles!$A$45:$I$59, 7, FALSE), perc_95, VLOOKUP(V$2, Percentiles!$A$45:$I$59, 8, FALSE), perc_85, perc_75 + (perc_90 - perc_75) * (2/3), converted_stat, '2K_Ratings'!V589, IF(bbgm_stat &gt;= perc_95, converted_stat * 3, IF(bbgm_stat &gt;= perc_90, converted_stat * 2, IF(bbgm_stat &gt;= perc_85, converted_stat * 1.5, converted_stat)))))</f>
        <v/>
      </c>
      <c r="W589" s="30" t="str">
        <f t="array" ref="W589">IF($A589="", "", LET(bbgm_stat, INDEX(Players!$A588:$P588, MATCH(W$2, Players!$A$1:$P$1, 0)), perc_75, VLOOKUP(W$2, Percentiles!$A$45:$I$59, 6, FALSE), perc_90, VLOOKUP(W$2, Percentiles!$A$45:$I$59, 7, FALSE), perc_95, VLOOKUP(W$2, Percentiles!$A$45:$I$59, 8, FALSE), perc_85, perc_75 + (perc_90 - perc_75) * (2/3), converted_stat, '2K_Ratings'!W589, IF(bbgm_stat &gt;= perc_95, converted_stat * 3, IF(bbgm_stat &gt;= perc_90, converted_stat * 2, IF(bbgm_stat &gt;= perc_85, converted_stat * 1.5, converted_stat)))))</f>
        <v/>
      </c>
    </row>
    <row r="590">
      <c r="A590" s="30"/>
      <c r="B590" s="30" t="str">
        <f t="array" ref="B590">IF($A590="", "", LET(bbgm_stat, INDEX(Players!$A589:$P589, MATCH(B$2, Players!$A$1:$P$1, 0)), perc_75, VLOOKUP(B$2, Percentiles!$A$45:$I$59, 6, FALSE), perc_90, VLOOKUP(B$2, Percentiles!$A$45:$I$59, 7, FALSE), perc_95, VLOOKUP(B$2, Percentiles!$A$45:$I$59, 8, FALSE), perc_85, perc_75 + (perc_90 - perc_75) * (2/3), converted_stat, '2K_Ratings'!B590, IF(bbgm_stat &gt;= perc_95, converted_stat * 3, IF(bbgm_stat &gt;= perc_90, converted_stat * 2, IF(bbgm_stat &gt;= perc_85, converted_stat * 1.5, converted_stat)))))</f>
        <v/>
      </c>
      <c r="C590" s="30" t="str">
        <f t="array" ref="C590">IF($A590="", "", LET(bbgm_stat, INDEX(Players!$A589:$P589, MATCH(C$2, Players!$A$1:$P$1, 0)), perc_75, VLOOKUP(C$2, Percentiles!$A$45:$I$59, 6, FALSE), perc_90, VLOOKUP(C$2, Percentiles!$A$45:$I$59, 7, FALSE), perc_95, VLOOKUP(C$2, Percentiles!$A$45:$I$59, 8, FALSE), perc_85, perc_75 + (perc_90 - perc_75) * (2/3), converted_stat, '2K_Ratings'!C590, IF(bbgm_stat &gt;= perc_95, converted_stat * 3, IF(bbgm_stat &gt;= perc_90, converted_stat * 2, IF(bbgm_stat &gt;= perc_85, converted_stat * 1.5, converted_stat)))))</f>
        <v/>
      </c>
      <c r="D590" s="30" t="str">
        <f t="array" ref="D590">IF($A590="", "", LET(bbgm_stat, INDEX(Players!$A589:$P589, MATCH(D$2, Players!$A$1:$P$1, 0)), perc_75, VLOOKUP(D$2, Percentiles!$A$45:$I$59, 6, FALSE), perc_90, VLOOKUP(D$2, Percentiles!$A$45:$I$59, 7, FALSE), perc_95, VLOOKUP(D$2, Percentiles!$A$45:$I$59, 8, FALSE), perc_85, perc_75 + (perc_90 - perc_75) * (2/3), converted_stat, '2K_Ratings'!D590, IF(bbgm_stat &gt;= perc_95, converted_stat * 3, IF(bbgm_stat &gt;= perc_90, converted_stat * 2, IF(bbgm_stat &gt;= perc_85, converted_stat * 1.5, converted_stat)))))</f>
        <v/>
      </c>
      <c r="E590" s="30" t="str">
        <f t="array" ref="E590">IF($A590="", "", LET(bbgm_stat, INDEX(Players!$A589:$P589, MATCH(E$2, Players!$A$1:$P$1, 0)), perc_75, VLOOKUP(E$2, Percentiles!$A$45:$I$59, 6, FALSE), perc_90, VLOOKUP(E$2, Percentiles!$A$45:$I$59, 7, FALSE), perc_95, VLOOKUP(E$2, Percentiles!$A$45:$I$59, 8, FALSE), perc_85, perc_75 + (perc_90 - perc_75) * (2/3), converted_stat, '2K_Ratings'!E590, IF(bbgm_stat &gt;= perc_95, converted_stat * 3, IF(bbgm_stat &gt;= perc_90, converted_stat * 2, IF(bbgm_stat &gt;= perc_85, converted_stat * 1.5, converted_stat)))))</f>
        <v/>
      </c>
      <c r="F590" s="30" t="str">
        <f t="array" ref="F590">IF($A590="", "", LET(bbgm_stat, INDEX(Players!$A589:$P589, MATCH(F$2, Players!$A$1:$P$1, 0)), perc_75, VLOOKUP(F$2, Percentiles!$A$45:$I$59, 6, FALSE), perc_90, VLOOKUP(F$2, Percentiles!$A$45:$I$59, 7, FALSE), perc_95, VLOOKUP(F$2, Percentiles!$A$45:$I$59, 8, FALSE), perc_85, perc_75 + (perc_90 - perc_75) * (2/3), converted_stat, '2K_Ratings'!F590, IF(bbgm_stat &gt;= perc_95, converted_stat * 3, IF(bbgm_stat &gt;= perc_90, converted_stat * 2, IF(bbgm_stat &gt;= perc_85, converted_stat * 1.5, converted_stat)))))</f>
        <v/>
      </c>
      <c r="G590" s="30" t="str">
        <f t="array" ref="G590">IF($A590="", "", LET(bbgm_stat, INDEX(Players!$A589:$P589, MATCH(G$2, Players!$A$1:$P$1, 0)), perc_75, VLOOKUP(G$2, Percentiles!$A$45:$I$59, 6, FALSE), perc_90, VLOOKUP(G$2, Percentiles!$A$45:$I$59, 7, FALSE), perc_95, VLOOKUP(G$2, Percentiles!$A$45:$I$59, 8, FALSE), perc_85, perc_75 + (perc_90 - perc_75) * (2/3), converted_stat, '2K_Ratings'!G590, IF(bbgm_stat &gt;= perc_95, converted_stat * 3, IF(bbgm_stat &gt;= perc_90, converted_stat * 2, IF(bbgm_stat &gt;= perc_85, converted_stat * 1.5, converted_stat)))))</f>
        <v/>
      </c>
      <c r="H590" s="30" t="str">
        <f t="array" ref="H590">IF($A590="", "", LET(bbgm_stat, INDEX(Players!$A589:$P589, MATCH(H$2, Players!$A$1:$P$1, 0)), perc_75, VLOOKUP(H$2, Percentiles!$A$45:$I$59, 6, FALSE), perc_90, VLOOKUP(H$2, Percentiles!$A$45:$I$59, 7, FALSE), perc_95, VLOOKUP(H$2, Percentiles!$A$45:$I$59, 8, FALSE), perc_85, perc_75 + (perc_90 - perc_75) * (2/3), converted_stat, '2K_Ratings'!H590, IF(bbgm_stat &gt;= perc_95, converted_stat * 3, IF(bbgm_stat &gt;= perc_90, converted_stat * 2, IF(bbgm_stat &gt;= perc_85, converted_stat * 1.5, converted_stat)))))</f>
        <v/>
      </c>
      <c r="I590" s="30" t="str">
        <f t="array" ref="I590">IF($A590="", "", LET(bbgm_stat, INDEX(Players!$A589:$P589, MATCH(I$2, Players!$A$1:$P$1, 0)), perc_75, VLOOKUP(I$2, Percentiles!$A$45:$I$59, 6, FALSE), perc_90, VLOOKUP(I$2, Percentiles!$A$45:$I$59, 7, FALSE), perc_95, VLOOKUP(I$2, Percentiles!$A$45:$I$59, 8, FALSE), perc_85, perc_75 + (perc_90 - perc_75) * (2/3), converted_stat, '2K_Ratings'!I590, IF(bbgm_stat &gt;= perc_95, converted_stat * 3, IF(bbgm_stat &gt;= perc_90, converted_stat * 2, IF(bbgm_stat &gt;= perc_85, converted_stat * 1.5, converted_stat)))))</f>
        <v/>
      </c>
      <c r="J590" s="30" t="str">
        <f t="array" ref="J590">IF($A590="", "", LET(bbgm_stat, INDEX(Players!$A589:$P589, MATCH(J$2, Players!$A$1:$P$1, 0)), perc_75, VLOOKUP(J$2, Percentiles!$A$45:$I$59, 6, FALSE), perc_90, VLOOKUP(J$2, Percentiles!$A$45:$I$59, 7, FALSE), perc_95, VLOOKUP(J$2, Percentiles!$A$45:$I$59, 8, FALSE), perc_85, perc_75 + (perc_90 - perc_75) * (2/3), converted_stat, '2K_Ratings'!J590, IF(bbgm_stat &gt;= perc_95, converted_stat * 3, IF(bbgm_stat &gt;= perc_90, converted_stat * 2, IF(bbgm_stat &gt;= perc_85, converted_stat * 1.5, converted_stat)))))</f>
        <v/>
      </c>
      <c r="K590" s="30" t="str">
        <f t="array" ref="K590">IF($A590="", "", LET(bbgm_stat, INDEX(Players!$A589:$P589, MATCH(K$2, Players!$A$1:$P$1, 0)), perc_75, VLOOKUP(K$2, Percentiles!$A$45:$I$59, 6, FALSE), perc_90, VLOOKUP(K$2, Percentiles!$A$45:$I$59, 7, FALSE), perc_95, VLOOKUP(K$2, Percentiles!$A$45:$I$59, 8, FALSE), perc_85, perc_75 + (perc_90 - perc_75) * (2/3), converted_stat, '2K_Ratings'!K590, IF(bbgm_stat &gt;= perc_95, converted_stat * 3, IF(bbgm_stat &gt;= perc_90, converted_stat * 2, IF(bbgm_stat &gt;= perc_85, converted_stat * 1.5, converted_stat)))))</f>
        <v/>
      </c>
      <c r="L590" s="30" t="str">
        <f t="array" ref="L590">IF($A590="", "", LET(bbgm_stat, INDEX(Players!$A589:$P589, MATCH(L$2, Players!$A$1:$P$1, 0)), perc_75, VLOOKUP(L$2, Percentiles!$A$45:$I$59, 6, FALSE), perc_90, VLOOKUP(L$2, Percentiles!$A$45:$I$59, 7, FALSE), perc_95, VLOOKUP(L$2, Percentiles!$A$45:$I$59, 8, FALSE), perc_85, perc_75 + (perc_90 - perc_75) * (2/3), converted_stat, '2K_Ratings'!L590, IF(bbgm_stat &gt;= perc_95, converted_stat * 3, IF(bbgm_stat &gt;= perc_90, converted_stat * 2, IF(bbgm_stat &gt;= perc_85, converted_stat * 1.5, converted_stat)))))</f>
        <v/>
      </c>
      <c r="M590" s="30" t="str">
        <f t="array" ref="M590">IF($A590="", "", LET(bbgm_stat, INDEX(Players!$A589:$P589, MATCH(M$2, Players!$A$1:$P$1, 0)), perc_75, VLOOKUP(M$2, Percentiles!$A$45:$I$59, 6, FALSE), perc_90, VLOOKUP(M$2, Percentiles!$A$45:$I$59, 7, FALSE), perc_95, VLOOKUP(M$2, Percentiles!$A$45:$I$59, 8, FALSE), perc_85, perc_75 + (perc_90 - perc_75) * (2/3), converted_stat, '2K_Ratings'!M590, IF(bbgm_stat &gt;= perc_95, converted_stat * 3, IF(bbgm_stat &gt;= perc_90, converted_stat * 2, IF(bbgm_stat &gt;= perc_85, converted_stat * 1.5, converted_stat)))))</f>
        <v/>
      </c>
      <c r="N590" s="30" t="str">
        <f t="array" ref="N590">IF($A590="", "", LET(bbgm_stat, INDEX(Players!$A589:$P589, MATCH(N$2, Players!$A$1:$P$1, 0)), perc_75, VLOOKUP(N$2, Percentiles!$A$45:$I$59, 6, FALSE), perc_90, VLOOKUP(N$2, Percentiles!$A$45:$I$59, 7, FALSE), perc_95, VLOOKUP(N$2, Percentiles!$A$45:$I$59, 8, FALSE), perc_85, perc_75 + (perc_90 - perc_75) * (2/3), converted_stat, '2K_Ratings'!N590, IF(bbgm_stat &gt;= perc_95, converted_stat * 3, IF(bbgm_stat &gt;= perc_90, converted_stat * 2, IF(bbgm_stat &gt;= perc_85, converted_stat * 1.5, converted_stat)))))</f>
        <v/>
      </c>
      <c r="O590" s="30" t="str">
        <f t="array" ref="O590">IF($A590="", "", LET(bbgm_stat, INDEX(Players!$A589:$P589, MATCH(O$2, Players!$A$1:$P$1, 0)), perc_75, VLOOKUP(O$2, Percentiles!$A$45:$I$59, 6, FALSE), perc_90, VLOOKUP(O$2, Percentiles!$A$45:$I$59, 7, FALSE), perc_95, VLOOKUP(O$2, Percentiles!$A$45:$I$59, 8, FALSE), perc_85, perc_75 + (perc_90 - perc_75) * (2/3), converted_stat, '2K_Ratings'!O590, IF(bbgm_stat &gt;= perc_95, converted_stat * 3, IF(bbgm_stat &gt;= perc_90, converted_stat * 2, IF(bbgm_stat &gt;= perc_85, converted_stat * 1.5, converted_stat)))))</f>
        <v/>
      </c>
      <c r="P590" s="30" t="str">
        <f t="array" ref="P590">IF($A590="", "", LET(bbgm_stat, INDEX(Players!$A589:$P589, MATCH(P$2, Players!$A$1:$P$1, 0)), perc_75, VLOOKUP(P$2, Percentiles!$A$45:$I$59, 6, FALSE), perc_90, VLOOKUP(P$2, Percentiles!$A$45:$I$59, 7, FALSE), perc_95, VLOOKUP(P$2, Percentiles!$A$45:$I$59, 8, FALSE), perc_85, perc_75 + (perc_90 - perc_75) * (2/3), converted_stat, '2K_Ratings'!P590, IF(bbgm_stat &gt;= perc_95, converted_stat * 3, IF(bbgm_stat &gt;= perc_90, converted_stat * 2, IF(bbgm_stat &gt;= perc_85, converted_stat * 1.5, converted_stat)))))</f>
        <v/>
      </c>
      <c r="Q590" s="30" t="str">
        <f t="array" ref="Q590">IF($A590="", "", LET(bbgm_stat, INDEX(Players!$A589:$P589, MATCH(Q$2, Players!$A$1:$P$1, 0)), perc_75, VLOOKUP(Q$2, Percentiles!$A$45:$I$59, 6, FALSE), perc_90, VLOOKUP(Q$2, Percentiles!$A$45:$I$59, 7, FALSE), perc_95, VLOOKUP(Q$2, Percentiles!$A$45:$I$59, 8, FALSE), perc_85, perc_75 + (perc_90 - perc_75) * (2/3), converted_stat, '2K_Ratings'!Q590, IF(bbgm_stat &gt;= perc_95, converted_stat * 3, IF(bbgm_stat &gt;= perc_90, converted_stat * 2, IF(bbgm_stat &gt;= perc_85, converted_stat * 1.5, converted_stat)))))</f>
        <v/>
      </c>
      <c r="R590" s="30" t="str">
        <f t="array" ref="R590">IF($A590="", "", LET(bbgm_stat, INDEX(Players!$A589:$P589, MATCH(R$2, Players!$A$1:$P$1, 0)), perc_75, VLOOKUP(R$2, Percentiles!$A$45:$I$59, 6, FALSE), perc_90, VLOOKUP(R$2, Percentiles!$A$45:$I$59, 7, FALSE), perc_95, VLOOKUP(R$2, Percentiles!$A$45:$I$59, 8, FALSE), perc_85, perc_75 + (perc_90 - perc_75) * (2/3), converted_stat, '2K_Ratings'!R590, IF(bbgm_stat &gt;= perc_95, converted_stat * 3, IF(bbgm_stat &gt;= perc_90, converted_stat * 2, IF(bbgm_stat &gt;= perc_85, converted_stat * 1.5, converted_stat)))))</f>
        <v/>
      </c>
      <c r="S590" s="30" t="str">
        <f t="array" ref="S590">IF($A590="", "", LET(bbgm_stat, INDEX(Players!$A589:$P589, MATCH(S$2, Players!$A$1:$P$1, 0)), perc_75, VLOOKUP(S$2, Percentiles!$A$45:$I$59, 6, FALSE), perc_90, VLOOKUP(S$2, Percentiles!$A$45:$I$59, 7, FALSE), perc_95, VLOOKUP(S$2, Percentiles!$A$45:$I$59, 8, FALSE), perc_85, perc_75 + (perc_90 - perc_75) * (2/3), converted_stat, '2K_Ratings'!S590, IF(bbgm_stat &gt;= perc_95, converted_stat * 3, IF(bbgm_stat &gt;= perc_90, converted_stat * 2, IF(bbgm_stat &gt;= perc_85, converted_stat * 1.5, converted_stat)))))</f>
        <v/>
      </c>
      <c r="T590" s="30" t="str">
        <f t="array" ref="T590">IF($A590="", "", LET(bbgm_stat, INDEX(Players!$A589:$P589, MATCH(T$2, Players!$A$1:$P$1, 0)), perc_75, VLOOKUP(T$2, Percentiles!$A$45:$I$59, 6, FALSE), perc_90, VLOOKUP(T$2, Percentiles!$A$45:$I$59, 7, FALSE), perc_95, VLOOKUP(T$2, Percentiles!$A$45:$I$59, 8, FALSE), perc_85, perc_75 + (perc_90 - perc_75) * (2/3), converted_stat, '2K_Ratings'!T590, IF(bbgm_stat &gt;= perc_95, converted_stat * 3, IF(bbgm_stat &gt;= perc_90, converted_stat * 2, IF(bbgm_stat &gt;= perc_85, converted_stat * 1.5, converted_stat)))))</f>
        <v/>
      </c>
      <c r="U590" s="30" t="str">
        <f t="array" ref="U590">IF($A590="", "", LET(bbgm_stat, INDEX(Players!$A589:$P589, MATCH(U$2, Players!$A$1:$P$1, 0)), perc_75, VLOOKUP(U$2, Percentiles!$A$45:$I$59, 6, FALSE), perc_90, VLOOKUP(U$2, Percentiles!$A$45:$I$59, 7, FALSE), perc_95, VLOOKUP(U$2, Percentiles!$A$45:$I$59, 8, FALSE), perc_85, perc_75 + (perc_90 - perc_75) * (2/3), converted_stat, '2K_Ratings'!U590, IF(bbgm_stat &gt;= perc_95, converted_stat * 3, IF(bbgm_stat &gt;= perc_90, converted_stat * 2, IF(bbgm_stat &gt;= perc_85, converted_stat * 1.5, converted_stat)))))</f>
        <v/>
      </c>
      <c r="V590" s="30" t="str">
        <f t="array" ref="V590">IF($A590="", "", LET(bbgm_stat, INDEX(Players!$A589:$P589, MATCH(V$2, Players!$A$1:$P$1, 0)), perc_75, VLOOKUP(V$2, Percentiles!$A$45:$I$59, 6, FALSE), perc_90, VLOOKUP(V$2, Percentiles!$A$45:$I$59, 7, FALSE), perc_95, VLOOKUP(V$2, Percentiles!$A$45:$I$59, 8, FALSE), perc_85, perc_75 + (perc_90 - perc_75) * (2/3), converted_stat, '2K_Ratings'!V590, IF(bbgm_stat &gt;= perc_95, converted_stat * 3, IF(bbgm_stat &gt;= perc_90, converted_stat * 2, IF(bbgm_stat &gt;= perc_85, converted_stat * 1.5, converted_stat)))))</f>
        <v/>
      </c>
      <c r="W590" s="30" t="str">
        <f t="array" ref="W590">IF($A590="", "", LET(bbgm_stat, INDEX(Players!$A589:$P589, MATCH(W$2, Players!$A$1:$P$1, 0)), perc_75, VLOOKUP(W$2, Percentiles!$A$45:$I$59, 6, FALSE), perc_90, VLOOKUP(W$2, Percentiles!$A$45:$I$59, 7, FALSE), perc_95, VLOOKUP(W$2, Percentiles!$A$45:$I$59, 8, FALSE), perc_85, perc_75 + (perc_90 - perc_75) * (2/3), converted_stat, '2K_Ratings'!W590, IF(bbgm_stat &gt;= perc_95, converted_stat * 3, IF(bbgm_stat &gt;= perc_90, converted_stat * 2, IF(bbgm_stat &gt;= perc_85, converted_stat * 1.5, converted_stat)))))</f>
        <v/>
      </c>
    </row>
    <row r="591">
      <c r="A591" s="30"/>
      <c r="B591" s="30" t="str">
        <f t="array" ref="B591">IF($A591="", "", LET(bbgm_stat, INDEX(Players!$A590:$P590, MATCH(B$2, Players!$A$1:$P$1, 0)), perc_75, VLOOKUP(B$2, Percentiles!$A$45:$I$59, 6, FALSE), perc_90, VLOOKUP(B$2, Percentiles!$A$45:$I$59, 7, FALSE), perc_95, VLOOKUP(B$2, Percentiles!$A$45:$I$59, 8, FALSE), perc_85, perc_75 + (perc_90 - perc_75) * (2/3), converted_stat, '2K_Ratings'!B591, IF(bbgm_stat &gt;= perc_95, converted_stat * 3, IF(bbgm_stat &gt;= perc_90, converted_stat * 2, IF(bbgm_stat &gt;= perc_85, converted_stat * 1.5, converted_stat)))))</f>
        <v/>
      </c>
      <c r="C591" s="30" t="str">
        <f t="array" ref="C591">IF($A591="", "", LET(bbgm_stat, INDEX(Players!$A590:$P590, MATCH(C$2, Players!$A$1:$P$1, 0)), perc_75, VLOOKUP(C$2, Percentiles!$A$45:$I$59, 6, FALSE), perc_90, VLOOKUP(C$2, Percentiles!$A$45:$I$59, 7, FALSE), perc_95, VLOOKUP(C$2, Percentiles!$A$45:$I$59, 8, FALSE), perc_85, perc_75 + (perc_90 - perc_75) * (2/3), converted_stat, '2K_Ratings'!C591, IF(bbgm_stat &gt;= perc_95, converted_stat * 3, IF(bbgm_stat &gt;= perc_90, converted_stat * 2, IF(bbgm_stat &gt;= perc_85, converted_stat * 1.5, converted_stat)))))</f>
        <v/>
      </c>
      <c r="D591" s="30" t="str">
        <f t="array" ref="D591">IF($A591="", "", LET(bbgm_stat, INDEX(Players!$A590:$P590, MATCH(D$2, Players!$A$1:$P$1, 0)), perc_75, VLOOKUP(D$2, Percentiles!$A$45:$I$59, 6, FALSE), perc_90, VLOOKUP(D$2, Percentiles!$A$45:$I$59, 7, FALSE), perc_95, VLOOKUP(D$2, Percentiles!$A$45:$I$59, 8, FALSE), perc_85, perc_75 + (perc_90 - perc_75) * (2/3), converted_stat, '2K_Ratings'!D591, IF(bbgm_stat &gt;= perc_95, converted_stat * 3, IF(bbgm_stat &gt;= perc_90, converted_stat * 2, IF(bbgm_stat &gt;= perc_85, converted_stat * 1.5, converted_stat)))))</f>
        <v/>
      </c>
      <c r="E591" s="30" t="str">
        <f t="array" ref="E591">IF($A591="", "", LET(bbgm_stat, INDEX(Players!$A590:$P590, MATCH(E$2, Players!$A$1:$P$1, 0)), perc_75, VLOOKUP(E$2, Percentiles!$A$45:$I$59, 6, FALSE), perc_90, VLOOKUP(E$2, Percentiles!$A$45:$I$59, 7, FALSE), perc_95, VLOOKUP(E$2, Percentiles!$A$45:$I$59, 8, FALSE), perc_85, perc_75 + (perc_90 - perc_75) * (2/3), converted_stat, '2K_Ratings'!E591, IF(bbgm_stat &gt;= perc_95, converted_stat * 3, IF(bbgm_stat &gt;= perc_90, converted_stat * 2, IF(bbgm_stat &gt;= perc_85, converted_stat * 1.5, converted_stat)))))</f>
        <v/>
      </c>
      <c r="F591" s="30" t="str">
        <f t="array" ref="F591">IF($A591="", "", LET(bbgm_stat, INDEX(Players!$A590:$P590, MATCH(F$2, Players!$A$1:$P$1, 0)), perc_75, VLOOKUP(F$2, Percentiles!$A$45:$I$59, 6, FALSE), perc_90, VLOOKUP(F$2, Percentiles!$A$45:$I$59, 7, FALSE), perc_95, VLOOKUP(F$2, Percentiles!$A$45:$I$59, 8, FALSE), perc_85, perc_75 + (perc_90 - perc_75) * (2/3), converted_stat, '2K_Ratings'!F591, IF(bbgm_stat &gt;= perc_95, converted_stat * 3, IF(bbgm_stat &gt;= perc_90, converted_stat * 2, IF(bbgm_stat &gt;= perc_85, converted_stat * 1.5, converted_stat)))))</f>
        <v/>
      </c>
      <c r="G591" s="30" t="str">
        <f t="array" ref="G591">IF($A591="", "", LET(bbgm_stat, INDEX(Players!$A590:$P590, MATCH(G$2, Players!$A$1:$P$1, 0)), perc_75, VLOOKUP(G$2, Percentiles!$A$45:$I$59, 6, FALSE), perc_90, VLOOKUP(G$2, Percentiles!$A$45:$I$59, 7, FALSE), perc_95, VLOOKUP(G$2, Percentiles!$A$45:$I$59, 8, FALSE), perc_85, perc_75 + (perc_90 - perc_75) * (2/3), converted_stat, '2K_Ratings'!G591, IF(bbgm_stat &gt;= perc_95, converted_stat * 3, IF(bbgm_stat &gt;= perc_90, converted_stat * 2, IF(bbgm_stat &gt;= perc_85, converted_stat * 1.5, converted_stat)))))</f>
        <v/>
      </c>
      <c r="H591" s="30" t="str">
        <f t="array" ref="H591">IF($A591="", "", LET(bbgm_stat, INDEX(Players!$A590:$P590, MATCH(H$2, Players!$A$1:$P$1, 0)), perc_75, VLOOKUP(H$2, Percentiles!$A$45:$I$59, 6, FALSE), perc_90, VLOOKUP(H$2, Percentiles!$A$45:$I$59, 7, FALSE), perc_95, VLOOKUP(H$2, Percentiles!$A$45:$I$59, 8, FALSE), perc_85, perc_75 + (perc_90 - perc_75) * (2/3), converted_stat, '2K_Ratings'!H591, IF(bbgm_stat &gt;= perc_95, converted_stat * 3, IF(bbgm_stat &gt;= perc_90, converted_stat * 2, IF(bbgm_stat &gt;= perc_85, converted_stat * 1.5, converted_stat)))))</f>
        <v/>
      </c>
      <c r="I591" s="30" t="str">
        <f t="array" ref="I591">IF($A591="", "", LET(bbgm_stat, INDEX(Players!$A590:$P590, MATCH(I$2, Players!$A$1:$P$1, 0)), perc_75, VLOOKUP(I$2, Percentiles!$A$45:$I$59, 6, FALSE), perc_90, VLOOKUP(I$2, Percentiles!$A$45:$I$59, 7, FALSE), perc_95, VLOOKUP(I$2, Percentiles!$A$45:$I$59, 8, FALSE), perc_85, perc_75 + (perc_90 - perc_75) * (2/3), converted_stat, '2K_Ratings'!I591, IF(bbgm_stat &gt;= perc_95, converted_stat * 3, IF(bbgm_stat &gt;= perc_90, converted_stat * 2, IF(bbgm_stat &gt;= perc_85, converted_stat * 1.5, converted_stat)))))</f>
        <v/>
      </c>
      <c r="J591" s="30" t="str">
        <f t="array" ref="J591">IF($A591="", "", LET(bbgm_stat, INDEX(Players!$A590:$P590, MATCH(J$2, Players!$A$1:$P$1, 0)), perc_75, VLOOKUP(J$2, Percentiles!$A$45:$I$59, 6, FALSE), perc_90, VLOOKUP(J$2, Percentiles!$A$45:$I$59, 7, FALSE), perc_95, VLOOKUP(J$2, Percentiles!$A$45:$I$59, 8, FALSE), perc_85, perc_75 + (perc_90 - perc_75) * (2/3), converted_stat, '2K_Ratings'!J591, IF(bbgm_stat &gt;= perc_95, converted_stat * 3, IF(bbgm_stat &gt;= perc_90, converted_stat * 2, IF(bbgm_stat &gt;= perc_85, converted_stat * 1.5, converted_stat)))))</f>
        <v/>
      </c>
      <c r="K591" s="30" t="str">
        <f t="array" ref="K591">IF($A591="", "", LET(bbgm_stat, INDEX(Players!$A590:$P590, MATCH(K$2, Players!$A$1:$P$1, 0)), perc_75, VLOOKUP(K$2, Percentiles!$A$45:$I$59, 6, FALSE), perc_90, VLOOKUP(K$2, Percentiles!$A$45:$I$59, 7, FALSE), perc_95, VLOOKUP(K$2, Percentiles!$A$45:$I$59, 8, FALSE), perc_85, perc_75 + (perc_90 - perc_75) * (2/3), converted_stat, '2K_Ratings'!K591, IF(bbgm_stat &gt;= perc_95, converted_stat * 3, IF(bbgm_stat &gt;= perc_90, converted_stat * 2, IF(bbgm_stat &gt;= perc_85, converted_stat * 1.5, converted_stat)))))</f>
        <v/>
      </c>
      <c r="L591" s="30" t="str">
        <f t="array" ref="L591">IF($A591="", "", LET(bbgm_stat, INDEX(Players!$A590:$P590, MATCH(L$2, Players!$A$1:$P$1, 0)), perc_75, VLOOKUP(L$2, Percentiles!$A$45:$I$59, 6, FALSE), perc_90, VLOOKUP(L$2, Percentiles!$A$45:$I$59, 7, FALSE), perc_95, VLOOKUP(L$2, Percentiles!$A$45:$I$59, 8, FALSE), perc_85, perc_75 + (perc_90 - perc_75) * (2/3), converted_stat, '2K_Ratings'!L591, IF(bbgm_stat &gt;= perc_95, converted_stat * 3, IF(bbgm_stat &gt;= perc_90, converted_stat * 2, IF(bbgm_stat &gt;= perc_85, converted_stat * 1.5, converted_stat)))))</f>
        <v/>
      </c>
      <c r="M591" s="30" t="str">
        <f t="array" ref="M591">IF($A591="", "", LET(bbgm_stat, INDEX(Players!$A590:$P590, MATCH(M$2, Players!$A$1:$P$1, 0)), perc_75, VLOOKUP(M$2, Percentiles!$A$45:$I$59, 6, FALSE), perc_90, VLOOKUP(M$2, Percentiles!$A$45:$I$59, 7, FALSE), perc_95, VLOOKUP(M$2, Percentiles!$A$45:$I$59, 8, FALSE), perc_85, perc_75 + (perc_90 - perc_75) * (2/3), converted_stat, '2K_Ratings'!M591, IF(bbgm_stat &gt;= perc_95, converted_stat * 3, IF(bbgm_stat &gt;= perc_90, converted_stat * 2, IF(bbgm_stat &gt;= perc_85, converted_stat * 1.5, converted_stat)))))</f>
        <v/>
      </c>
      <c r="N591" s="30" t="str">
        <f t="array" ref="N591">IF($A591="", "", LET(bbgm_stat, INDEX(Players!$A590:$P590, MATCH(N$2, Players!$A$1:$P$1, 0)), perc_75, VLOOKUP(N$2, Percentiles!$A$45:$I$59, 6, FALSE), perc_90, VLOOKUP(N$2, Percentiles!$A$45:$I$59, 7, FALSE), perc_95, VLOOKUP(N$2, Percentiles!$A$45:$I$59, 8, FALSE), perc_85, perc_75 + (perc_90 - perc_75) * (2/3), converted_stat, '2K_Ratings'!N591, IF(bbgm_stat &gt;= perc_95, converted_stat * 3, IF(bbgm_stat &gt;= perc_90, converted_stat * 2, IF(bbgm_stat &gt;= perc_85, converted_stat * 1.5, converted_stat)))))</f>
        <v/>
      </c>
      <c r="O591" s="30" t="str">
        <f t="array" ref="O591">IF($A591="", "", LET(bbgm_stat, INDEX(Players!$A590:$P590, MATCH(O$2, Players!$A$1:$P$1, 0)), perc_75, VLOOKUP(O$2, Percentiles!$A$45:$I$59, 6, FALSE), perc_90, VLOOKUP(O$2, Percentiles!$A$45:$I$59, 7, FALSE), perc_95, VLOOKUP(O$2, Percentiles!$A$45:$I$59, 8, FALSE), perc_85, perc_75 + (perc_90 - perc_75) * (2/3), converted_stat, '2K_Ratings'!O591, IF(bbgm_stat &gt;= perc_95, converted_stat * 3, IF(bbgm_stat &gt;= perc_90, converted_stat * 2, IF(bbgm_stat &gt;= perc_85, converted_stat * 1.5, converted_stat)))))</f>
        <v/>
      </c>
      <c r="P591" s="30" t="str">
        <f t="array" ref="P591">IF($A591="", "", LET(bbgm_stat, INDEX(Players!$A590:$P590, MATCH(P$2, Players!$A$1:$P$1, 0)), perc_75, VLOOKUP(P$2, Percentiles!$A$45:$I$59, 6, FALSE), perc_90, VLOOKUP(P$2, Percentiles!$A$45:$I$59, 7, FALSE), perc_95, VLOOKUP(P$2, Percentiles!$A$45:$I$59, 8, FALSE), perc_85, perc_75 + (perc_90 - perc_75) * (2/3), converted_stat, '2K_Ratings'!P591, IF(bbgm_stat &gt;= perc_95, converted_stat * 3, IF(bbgm_stat &gt;= perc_90, converted_stat * 2, IF(bbgm_stat &gt;= perc_85, converted_stat * 1.5, converted_stat)))))</f>
        <v/>
      </c>
      <c r="Q591" s="30" t="str">
        <f t="array" ref="Q591">IF($A591="", "", LET(bbgm_stat, INDEX(Players!$A590:$P590, MATCH(Q$2, Players!$A$1:$P$1, 0)), perc_75, VLOOKUP(Q$2, Percentiles!$A$45:$I$59, 6, FALSE), perc_90, VLOOKUP(Q$2, Percentiles!$A$45:$I$59, 7, FALSE), perc_95, VLOOKUP(Q$2, Percentiles!$A$45:$I$59, 8, FALSE), perc_85, perc_75 + (perc_90 - perc_75) * (2/3), converted_stat, '2K_Ratings'!Q591, IF(bbgm_stat &gt;= perc_95, converted_stat * 3, IF(bbgm_stat &gt;= perc_90, converted_stat * 2, IF(bbgm_stat &gt;= perc_85, converted_stat * 1.5, converted_stat)))))</f>
        <v/>
      </c>
      <c r="R591" s="30" t="str">
        <f t="array" ref="R591">IF($A591="", "", LET(bbgm_stat, INDEX(Players!$A590:$P590, MATCH(R$2, Players!$A$1:$P$1, 0)), perc_75, VLOOKUP(R$2, Percentiles!$A$45:$I$59, 6, FALSE), perc_90, VLOOKUP(R$2, Percentiles!$A$45:$I$59, 7, FALSE), perc_95, VLOOKUP(R$2, Percentiles!$A$45:$I$59, 8, FALSE), perc_85, perc_75 + (perc_90 - perc_75) * (2/3), converted_stat, '2K_Ratings'!R591, IF(bbgm_stat &gt;= perc_95, converted_stat * 3, IF(bbgm_stat &gt;= perc_90, converted_stat * 2, IF(bbgm_stat &gt;= perc_85, converted_stat * 1.5, converted_stat)))))</f>
        <v/>
      </c>
      <c r="S591" s="30" t="str">
        <f t="array" ref="S591">IF($A591="", "", LET(bbgm_stat, INDEX(Players!$A590:$P590, MATCH(S$2, Players!$A$1:$P$1, 0)), perc_75, VLOOKUP(S$2, Percentiles!$A$45:$I$59, 6, FALSE), perc_90, VLOOKUP(S$2, Percentiles!$A$45:$I$59, 7, FALSE), perc_95, VLOOKUP(S$2, Percentiles!$A$45:$I$59, 8, FALSE), perc_85, perc_75 + (perc_90 - perc_75) * (2/3), converted_stat, '2K_Ratings'!S591, IF(bbgm_stat &gt;= perc_95, converted_stat * 3, IF(bbgm_stat &gt;= perc_90, converted_stat * 2, IF(bbgm_stat &gt;= perc_85, converted_stat * 1.5, converted_stat)))))</f>
        <v/>
      </c>
      <c r="T591" s="30" t="str">
        <f t="array" ref="T591">IF($A591="", "", LET(bbgm_stat, INDEX(Players!$A590:$P590, MATCH(T$2, Players!$A$1:$P$1, 0)), perc_75, VLOOKUP(T$2, Percentiles!$A$45:$I$59, 6, FALSE), perc_90, VLOOKUP(T$2, Percentiles!$A$45:$I$59, 7, FALSE), perc_95, VLOOKUP(T$2, Percentiles!$A$45:$I$59, 8, FALSE), perc_85, perc_75 + (perc_90 - perc_75) * (2/3), converted_stat, '2K_Ratings'!T591, IF(bbgm_stat &gt;= perc_95, converted_stat * 3, IF(bbgm_stat &gt;= perc_90, converted_stat * 2, IF(bbgm_stat &gt;= perc_85, converted_stat * 1.5, converted_stat)))))</f>
        <v/>
      </c>
      <c r="U591" s="30" t="str">
        <f t="array" ref="U591">IF($A591="", "", LET(bbgm_stat, INDEX(Players!$A590:$P590, MATCH(U$2, Players!$A$1:$P$1, 0)), perc_75, VLOOKUP(U$2, Percentiles!$A$45:$I$59, 6, FALSE), perc_90, VLOOKUP(U$2, Percentiles!$A$45:$I$59, 7, FALSE), perc_95, VLOOKUP(U$2, Percentiles!$A$45:$I$59, 8, FALSE), perc_85, perc_75 + (perc_90 - perc_75) * (2/3), converted_stat, '2K_Ratings'!U591, IF(bbgm_stat &gt;= perc_95, converted_stat * 3, IF(bbgm_stat &gt;= perc_90, converted_stat * 2, IF(bbgm_stat &gt;= perc_85, converted_stat * 1.5, converted_stat)))))</f>
        <v/>
      </c>
      <c r="V591" s="30" t="str">
        <f t="array" ref="V591">IF($A591="", "", LET(bbgm_stat, INDEX(Players!$A590:$P590, MATCH(V$2, Players!$A$1:$P$1, 0)), perc_75, VLOOKUP(V$2, Percentiles!$A$45:$I$59, 6, FALSE), perc_90, VLOOKUP(V$2, Percentiles!$A$45:$I$59, 7, FALSE), perc_95, VLOOKUP(V$2, Percentiles!$A$45:$I$59, 8, FALSE), perc_85, perc_75 + (perc_90 - perc_75) * (2/3), converted_stat, '2K_Ratings'!V591, IF(bbgm_stat &gt;= perc_95, converted_stat * 3, IF(bbgm_stat &gt;= perc_90, converted_stat * 2, IF(bbgm_stat &gt;= perc_85, converted_stat * 1.5, converted_stat)))))</f>
        <v/>
      </c>
      <c r="W591" s="30" t="str">
        <f t="array" ref="W591">IF($A591="", "", LET(bbgm_stat, INDEX(Players!$A590:$P590, MATCH(W$2, Players!$A$1:$P$1, 0)), perc_75, VLOOKUP(W$2, Percentiles!$A$45:$I$59, 6, FALSE), perc_90, VLOOKUP(W$2, Percentiles!$A$45:$I$59, 7, FALSE), perc_95, VLOOKUP(W$2, Percentiles!$A$45:$I$59, 8, FALSE), perc_85, perc_75 + (perc_90 - perc_75) * (2/3), converted_stat, '2K_Ratings'!W591, IF(bbgm_stat &gt;= perc_95, converted_stat * 3, IF(bbgm_stat &gt;= perc_90, converted_stat * 2, IF(bbgm_stat &gt;= perc_85, converted_stat * 1.5, converted_stat)))))</f>
        <v/>
      </c>
    </row>
    <row r="592">
      <c r="A592" s="30"/>
      <c r="B592" s="30" t="str">
        <f t="array" ref="B592">IF($A592="", "", LET(bbgm_stat, INDEX(Players!$A591:$P591, MATCH(B$2, Players!$A$1:$P$1, 0)), perc_75, VLOOKUP(B$2, Percentiles!$A$45:$I$59, 6, FALSE), perc_90, VLOOKUP(B$2, Percentiles!$A$45:$I$59, 7, FALSE), perc_95, VLOOKUP(B$2, Percentiles!$A$45:$I$59, 8, FALSE), perc_85, perc_75 + (perc_90 - perc_75) * (2/3), converted_stat, '2K_Ratings'!B592, IF(bbgm_stat &gt;= perc_95, converted_stat * 3, IF(bbgm_stat &gt;= perc_90, converted_stat * 2, IF(bbgm_stat &gt;= perc_85, converted_stat * 1.5, converted_stat)))))</f>
        <v/>
      </c>
      <c r="C592" s="30" t="str">
        <f t="array" ref="C592">IF($A592="", "", LET(bbgm_stat, INDEX(Players!$A591:$P591, MATCH(C$2, Players!$A$1:$P$1, 0)), perc_75, VLOOKUP(C$2, Percentiles!$A$45:$I$59, 6, FALSE), perc_90, VLOOKUP(C$2, Percentiles!$A$45:$I$59, 7, FALSE), perc_95, VLOOKUP(C$2, Percentiles!$A$45:$I$59, 8, FALSE), perc_85, perc_75 + (perc_90 - perc_75) * (2/3), converted_stat, '2K_Ratings'!C592, IF(bbgm_stat &gt;= perc_95, converted_stat * 3, IF(bbgm_stat &gt;= perc_90, converted_stat * 2, IF(bbgm_stat &gt;= perc_85, converted_stat * 1.5, converted_stat)))))</f>
        <v/>
      </c>
      <c r="D592" s="30" t="str">
        <f t="array" ref="D592">IF($A592="", "", LET(bbgm_stat, INDEX(Players!$A591:$P591, MATCH(D$2, Players!$A$1:$P$1, 0)), perc_75, VLOOKUP(D$2, Percentiles!$A$45:$I$59, 6, FALSE), perc_90, VLOOKUP(D$2, Percentiles!$A$45:$I$59, 7, FALSE), perc_95, VLOOKUP(D$2, Percentiles!$A$45:$I$59, 8, FALSE), perc_85, perc_75 + (perc_90 - perc_75) * (2/3), converted_stat, '2K_Ratings'!D592, IF(bbgm_stat &gt;= perc_95, converted_stat * 3, IF(bbgm_stat &gt;= perc_90, converted_stat * 2, IF(bbgm_stat &gt;= perc_85, converted_stat * 1.5, converted_stat)))))</f>
        <v/>
      </c>
      <c r="E592" s="30" t="str">
        <f t="array" ref="E592">IF($A592="", "", LET(bbgm_stat, INDEX(Players!$A591:$P591, MATCH(E$2, Players!$A$1:$P$1, 0)), perc_75, VLOOKUP(E$2, Percentiles!$A$45:$I$59, 6, FALSE), perc_90, VLOOKUP(E$2, Percentiles!$A$45:$I$59, 7, FALSE), perc_95, VLOOKUP(E$2, Percentiles!$A$45:$I$59, 8, FALSE), perc_85, perc_75 + (perc_90 - perc_75) * (2/3), converted_stat, '2K_Ratings'!E592, IF(bbgm_stat &gt;= perc_95, converted_stat * 3, IF(bbgm_stat &gt;= perc_90, converted_stat * 2, IF(bbgm_stat &gt;= perc_85, converted_stat * 1.5, converted_stat)))))</f>
        <v/>
      </c>
      <c r="F592" s="30" t="str">
        <f t="array" ref="F592">IF($A592="", "", LET(bbgm_stat, INDEX(Players!$A591:$P591, MATCH(F$2, Players!$A$1:$P$1, 0)), perc_75, VLOOKUP(F$2, Percentiles!$A$45:$I$59, 6, FALSE), perc_90, VLOOKUP(F$2, Percentiles!$A$45:$I$59, 7, FALSE), perc_95, VLOOKUP(F$2, Percentiles!$A$45:$I$59, 8, FALSE), perc_85, perc_75 + (perc_90 - perc_75) * (2/3), converted_stat, '2K_Ratings'!F592, IF(bbgm_stat &gt;= perc_95, converted_stat * 3, IF(bbgm_stat &gt;= perc_90, converted_stat * 2, IF(bbgm_stat &gt;= perc_85, converted_stat * 1.5, converted_stat)))))</f>
        <v/>
      </c>
      <c r="G592" s="30" t="str">
        <f t="array" ref="G592">IF($A592="", "", LET(bbgm_stat, INDEX(Players!$A591:$P591, MATCH(G$2, Players!$A$1:$P$1, 0)), perc_75, VLOOKUP(G$2, Percentiles!$A$45:$I$59, 6, FALSE), perc_90, VLOOKUP(G$2, Percentiles!$A$45:$I$59, 7, FALSE), perc_95, VLOOKUP(G$2, Percentiles!$A$45:$I$59, 8, FALSE), perc_85, perc_75 + (perc_90 - perc_75) * (2/3), converted_stat, '2K_Ratings'!G592, IF(bbgm_stat &gt;= perc_95, converted_stat * 3, IF(bbgm_stat &gt;= perc_90, converted_stat * 2, IF(bbgm_stat &gt;= perc_85, converted_stat * 1.5, converted_stat)))))</f>
        <v/>
      </c>
      <c r="H592" s="30" t="str">
        <f t="array" ref="H592">IF($A592="", "", LET(bbgm_stat, INDEX(Players!$A591:$P591, MATCH(H$2, Players!$A$1:$P$1, 0)), perc_75, VLOOKUP(H$2, Percentiles!$A$45:$I$59, 6, FALSE), perc_90, VLOOKUP(H$2, Percentiles!$A$45:$I$59, 7, FALSE), perc_95, VLOOKUP(H$2, Percentiles!$A$45:$I$59, 8, FALSE), perc_85, perc_75 + (perc_90 - perc_75) * (2/3), converted_stat, '2K_Ratings'!H592, IF(bbgm_stat &gt;= perc_95, converted_stat * 3, IF(bbgm_stat &gt;= perc_90, converted_stat * 2, IF(bbgm_stat &gt;= perc_85, converted_stat * 1.5, converted_stat)))))</f>
        <v/>
      </c>
      <c r="I592" s="30" t="str">
        <f t="array" ref="I592">IF($A592="", "", LET(bbgm_stat, INDEX(Players!$A591:$P591, MATCH(I$2, Players!$A$1:$P$1, 0)), perc_75, VLOOKUP(I$2, Percentiles!$A$45:$I$59, 6, FALSE), perc_90, VLOOKUP(I$2, Percentiles!$A$45:$I$59, 7, FALSE), perc_95, VLOOKUP(I$2, Percentiles!$A$45:$I$59, 8, FALSE), perc_85, perc_75 + (perc_90 - perc_75) * (2/3), converted_stat, '2K_Ratings'!I592, IF(bbgm_stat &gt;= perc_95, converted_stat * 3, IF(bbgm_stat &gt;= perc_90, converted_stat * 2, IF(bbgm_stat &gt;= perc_85, converted_stat * 1.5, converted_stat)))))</f>
        <v/>
      </c>
      <c r="J592" s="30" t="str">
        <f t="array" ref="J592">IF($A592="", "", LET(bbgm_stat, INDEX(Players!$A591:$P591, MATCH(J$2, Players!$A$1:$P$1, 0)), perc_75, VLOOKUP(J$2, Percentiles!$A$45:$I$59, 6, FALSE), perc_90, VLOOKUP(J$2, Percentiles!$A$45:$I$59, 7, FALSE), perc_95, VLOOKUP(J$2, Percentiles!$A$45:$I$59, 8, FALSE), perc_85, perc_75 + (perc_90 - perc_75) * (2/3), converted_stat, '2K_Ratings'!J592, IF(bbgm_stat &gt;= perc_95, converted_stat * 3, IF(bbgm_stat &gt;= perc_90, converted_stat * 2, IF(bbgm_stat &gt;= perc_85, converted_stat * 1.5, converted_stat)))))</f>
        <v/>
      </c>
      <c r="K592" s="30" t="str">
        <f t="array" ref="K592">IF($A592="", "", LET(bbgm_stat, INDEX(Players!$A591:$P591, MATCH(K$2, Players!$A$1:$P$1, 0)), perc_75, VLOOKUP(K$2, Percentiles!$A$45:$I$59, 6, FALSE), perc_90, VLOOKUP(K$2, Percentiles!$A$45:$I$59, 7, FALSE), perc_95, VLOOKUP(K$2, Percentiles!$A$45:$I$59, 8, FALSE), perc_85, perc_75 + (perc_90 - perc_75) * (2/3), converted_stat, '2K_Ratings'!K592, IF(bbgm_stat &gt;= perc_95, converted_stat * 3, IF(bbgm_stat &gt;= perc_90, converted_stat * 2, IF(bbgm_stat &gt;= perc_85, converted_stat * 1.5, converted_stat)))))</f>
        <v/>
      </c>
      <c r="L592" s="30" t="str">
        <f t="array" ref="L592">IF($A592="", "", LET(bbgm_stat, INDEX(Players!$A591:$P591, MATCH(L$2, Players!$A$1:$P$1, 0)), perc_75, VLOOKUP(L$2, Percentiles!$A$45:$I$59, 6, FALSE), perc_90, VLOOKUP(L$2, Percentiles!$A$45:$I$59, 7, FALSE), perc_95, VLOOKUP(L$2, Percentiles!$A$45:$I$59, 8, FALSE), perc_85, perc_75 + (perc_90 - perc_75) * (2/3), converted_stat, '2K_Ratings'!L592, IF(bbgm_stat &gt;= perc_95, converted_stat * 3, IF(bbgm_stat &gt;= perc_90, converted_stat * 2, IF(bbgm_stat &gt;= perc_85, converted_stat * 1.5, converted_stat)))))</f>
        <v/>
      </c>
      <c r="M592" s="30" t="str">
        <f t="array" ref="M592">IF($A592="", "", LET(bbgm_stat, INDEX(Players!$A591:$P591, MATCH(M$2, Players!$A$1:$P$1, 0)), perc_75, VLOOKUP(M$2, Percentiles!$A$45:$I$59, 6, FALSE), perc_90, VLOOKUP(M$2, Percentiles!$A$45:$I$59, 7, FALSE), perc_95, VLOOKUP(M$2, Percentiles!$A$45:$I$59, 8, FALSE), perc_85, perc_75 + (perc_90 - perc_75) * (2/3), converted_stat, '2K_Ratings'!M592, IF(bbgm_stat &gt;= perc_95, converted_stat * 3, IF(bbgm_stat &gt;= perc_90, converted_stat * 2, IF(bbgm_stat &gt;= perc_85, converted_stat * 1.5, converted_stat)))))</f>
        <v/>
      </c>
      <c r="N592" s="30" t="str">
        <f t="array" ref="N592">IF($A592="", "", LET(bbgm_stat, INDEX(Players!$A591:$P591, MATCH(N$2, Players!$A$1:$P$1, 0)), perc_75, VLOOKUP(N$2, Percentiles!$A$45:$I$59, 6, FALSE), perc_90, VLOOKUP(N$2, Percentiles!$A$45:$I$59, 7, FALSE), perc_95, VLOOKUP(N$2, Percentiles!$A$45:$I$59, 8, FALSE), perc_85, perc_75 + (perc_90 - perc_75) * (2/3), converted_stat, '2K_Ratings'!N592, IF(bbgm_stat &gt;= perc_95, converted_stat * 3, IF(bbgm_stat &gt;= perc_90, converted_stat * 2, IF(bbgm_stat &gt;= perc_85, converted_stat * 1.5, converted_stat)))))</f>
        <v/>
      </c>
      <c r="O592" s="30" t="str">
        <f t="array" ref="O592">IF($A592="", "", LET(bbgm_stat, INDEX(Players!$A591:$P591, MATCH(O$2, Players!$A$1:$P$1, 0)), perc_75, VLOOKUP(O$2, Percentiles!$A$45:$I$59, 6, FALSE), perc_90, VLOOKUP(O$2, Percentiles!$A$45:$I$59, 7, FALSE), perc_95, VLOOKUP(O$2, Percentiles!$A$45:$I$59, 8, FALSE), perc_85, perc_75 + (perc_90 - perc_75) * (2/3), converted_stat, '2K_Ratings'!O592, IF(bbgm_stat &gt;= perc_95, converted_stat * 3, IF(bbgm_stat &gt;= perc_90, converted_stat * 2, IF(bbgm_stat &gt;= perc_85, converted_stat * 1.5, converted_stat)))))</f>
        <v/>
      </c>
      <c r="P592" s="30" t="str">
        <f t="array" ref="P592">IF($A592="", "", LET(bbgm_stat, INDEX(Players!$A591:$P591, MATCH(P$2, Players!$A$1:$P$1, 0)), perc_75, VLOOKUP(P$2, Percentiles!$A$45:$I$59, 6, FALSE), perc_90, VLOOKUP(P$2, Percentiles!$A$45:$I$59, 7, FALSE), perc_95, VLOOKUP(P$2, Percentiles!$A$45:$I$59, 8, FALSE), perc_85, perc_75 + (perc_90 - perc_75) * (2/3), converted_stat, '2K_Ratings'!P592, IF(bbgm_stat &gt;= perc_95, converted_stat * 3, IF(bbgm_stat &gt;= perc_90, converted_stat * 2, IF(bbgm_stat &gt;= perc_85, converted_stat * 1.5, converted_stat)))))</f>
        <v/>
      </c>
      <c r="Q592" s="30" t="str">
        <f t="array" ref="Q592">IF($A592="", "", LET(bbgm_stat, INDEX(Players!$A591:$P591, MATCH(Q$2, Players!$A$1:$P$1, 0)), perc_75, VLOOKUP(Q$2, Percentiles!$A$45:$I$59, 6, FALSE), perc_90, VLOOKUP(Q$2, Percentiles!$A$45:$I$59, 7, FALSE), perc_95, VLOOKUP(Q$2, Percentiles!$A$45:$I$59, 8, FALSE), perc_85, perc_75 + (perc_90 - perc_75) * (2/3), converted_stat, '2K_Ratings'!Q592, IF(bbgm_stat &gt;= perc_95, converted_stat * 3, IF(bbgm_stat &gt;= perc_90, converted_stat * 2, IF(bbgm_stat &gt;= perc_85, converted_stat * 1.5, converted_stat)))))</f>
        <v/>
      </c>
      <c r="R592" s="30" t="str">
        <f t="array" ref="R592">IF($A592="", "", LET(bbgm_stat, INDEX(Players!$A591:$P591, MATCH(R$2, Players!$A$1:$P$1, 0)), perc_75, VLOOKUP(R$2, Percentiles!$A$45:$I$59, 6, FALSE), perc_90, VLOOKUP(R$2, Percentiles!$A$45:$I$59, 7, FALSE), perc_95, VLOOKUP(R$2, Percentiles!$A$45:$I$59, 8, FALSE), perc_85, perc_75 + (perc_90 - perc_75) * (2/3), converted_stat, '2K_Ratings'!R592, IF(bbgm_stat &gt;= perc_95, converted_stat * 3, IF(bbgm_stat &gt;= perc_90, converted_stat * 2, IF(bbgm_stat &gt;= perc_85, converted_stat * 1.5, converted_stat)))))</f>
        <v/>
      </c>
      <c r="S592" s="30" t="str">
        <f t="array" ref="S592">IF($A592="", "", LET(bbgm_stat, INDEX(Players!$A591:$P591, MATCH(S$2, Players!$A$1:$P$1, 0)), perc_75, VLOOKUP(S$2, Percentiles!$A$45:$I$59, 6, FALSE), perc_90, VLOOKUP(S$2, Percentiles!$A$45:$I$59, 7, FALSE), perc_95, VLOOKUP(S$2, Percentiles!$A$45:$I$59, 8, FALSE), perc_85, perc_75 + (perc_90 - perc_75) * (2/3), converted_stat, '2K_Ratings'!S592, IF(bbgm_stat &gt;= perc_95, converted_stat * 3, IF(bbgm_stat &gt;= perc_90, converted_stat * 2, IF(bbgm_stat &gt;= perc_85, converted_stat * 1.5, converted_stat)))))</f>
        <v/>
      </c>
      <c r="T592" s="30" t="str">
        <f t="array" ref="T592">IF($A592="", "", LET(bbgm_stat, INDEX(Players!$A591:$P591, MATCH(T$2, Players!$A$1:$P$1, 0)), perc_75, VLOOKUP(T$2, Percentiles!$A$45:$I$59, 6, FALSE), perc_90, VLOOKUP(T$2, Percentiles!$A$45:$I$59, 7, FALSE), perc_95, VLOOKUP(T$2, Percentiles!$A$45:$I$59, 8, FALSE), perc_85, perc_75 + (perc_90 - perc_75) * (2/3), converted_stat, '2K_Ratings'!T592, IF(bbgm_stat &gt;= perc_95, converted_stat * 3, IF(bbgm_stat &gt;= perc_90, converted_stat * 2, IF(bbgm_stat &gt;= perc_85, converted_stat * 1.5, converted_stat)))))</f>
        <v/>
      </c>
      <c r="U592" s="30" t="str">
        <f t="array" ref="U592">IF($A592="", "", LET(bbgm_stat, INDEX(Players!$A591:$P591, MATCH(U$2, Players!$A$1:$P$1, 0)), perc_75, VLOOKUP(U$2, Percentiles!$A$45:$I$59, 6, FALSE), perc_90, VLOOKUP(U$2, Percentiles!$A$45:$I$59, 7, FALSE), perc_95, VLOOKUP(U$2, Percentiles!$A$45:$I$59, 8, FALSE), perc_85, perc_75 + (perc_90 - perc_75) * (2/3), converted_stat, '2K_Ratings'!U592, IF(bbgm_stat &gt;= perc_95, converted_stat * 3, IF(bbgm_stat &gt;= perc_90, converted_stat * 2, IF(bbgm_stat &gt;= perc_85, converted_stat * 1.5, converted_stat)))))</f>
        <v/>
      </c>
      <c r="V592" s="30" t="str">
        <f t="array" ref="V592">IF($A592="", "", LET(bbgm_stat, INDEX(Players!$A591:$P591, MATCH(V$2, Players!$A$1:$P$1, 0)), perc_75, VLOOKUP(V$2, Percentiles!$A$45:$I$59, 6, FALSE), perc_90, VLOOKUP(V$2, Percentiles!$A$45:$I$59, 7, FALSE), perc_95, VLOOKUP(V$2, Percentiles!$A$45:$I$59, 8, FALSE), perc_85, perc_75 + (perc_90 - perc_75) * (2/3), converted_stat, '2K_Ratings'!V592, IF(bbgm_stat &gt;= perc_95, converted_stat * 3, IF(bbgm_stat &gt;= perc_90, converted_stat * 2, IF(bbgm_stat &gt;= perc_85, converted_stat * 1.5, converted_stat)))))</f>
        <v/>
      </c>
      <c r="W592" s="30" t="str">
        <f t="array" ref="W592">IF($A592="", "", LET(bbgm_stat, INDEX(Players!$A591:$P591, MATCH(W$2, Players!$A$1:$P$1, 0)), perc_75, VLOOKUP(W$2, Percentiles!$A$45:$I$59, 6, FALSE), perc_90, VLOOKUP(W$2, Percentiles!$A$45:$I$59, 7, FALSE), perc_95, VLOOKUP(W$2, Percentiles!$A$45:$I$59, 8, FALSE), perc_85, perc_75 + (perc_90 - perc_75) * (2/3), converted_stat, '2K_Ratings'!W592, IF(bbgm_stat &gt;= perc_95, converted_stat * 3, IF(bbgm_stat &gt;= perc_90, converted_stat * 2, IF(bbgm_stat &gt;= perc_85, converted_stat * 1.5, converted_stat)))))</f>
        <v/>
      </c>
    </row>
    <row r="593">
      <c r="A593" s="30"/>
      <c r="B593" s="30" t="str">
        <f t="array" ref="B593">IF($A593="", "", LET(bbgm_stat, INDEX(Players!$A592:$P592, MATCH(B$2, Players!$A$1:$P$1, 0)), perc_75, VLOOKUP(B$2, Percentiles!$A$45:$I$59, 6, FALSE), perc_90, VLOOKUP(B$2, Percentiles!$A$45:$I$59, 7, FALSE), perc_95, VLOOKUP(B$2, Percentiles!$A$45:$I$59, 8, FALSE), perc_85, perc_75 + (perc_90 - perc_75) * (2/3), converted_stat, '2K_Ratings'!B593, IF(bbgm_stat &gt;= perc_95, converted_stat * 3, IF(bbgm_stat &gt;= perc_90, converted_stat * 2, IF(bbgm_stat &gt;= perc_85, converted_stat * 1.5, converted_stat)))))</f>
        <v/>
      </c>
      <c r="C593" s="30" t="str">
        <f t="array" ref="C593">IF($A593="", "", LET(bbgm_stat, INDEX(Players!$A592:$P592, MATCH(C$2, Players!$A$1:$P$1, 0)), perc_75, VLOOKUP(C$2, Percentiles!$A$45:$I$59, 6, FALSE), perc_90, VLOOKUP(C$2, Percentiles!$A$45:$I$59, 7, FALSE), perc_95, VLOOKUP(C$2, Percentiles!$A$45:$I$59, 8, FALSE), perc_85, perc_75 + (perc_90 - perc_75) * (2/3), converted_stat, '2K_Ratings'!C593, IF(bbgm_stat &gt;= perc_95, converted_stat * 3, IF(bbgm_stat &gt;= perc_90, converted_stat * 2, IF(bbgm_stat &gt;= perc_85, converted_stat * 1.5, converted_stat)))))</f>
        <v/>
      </c>
      <c r="D593" s="30" t="str">
        <f t="array" ref="D593">IF($A593="", "", LET(bbgm_stat, INDEX(Players!$A592:$P592, MATCH(D$2, Players!$A$1:$P$1, 0)), perc_75, VLOOKUP(D$2, Percentiles!$A$45:$I$59, 6, FALSE), perc_90, VLOOKUP(D$2, Percentiles!$A$45:$I$59, 7, FALSE), perc_95, VLOOKUP(D$2, Percentiles!$A$45:$I$59, 8, FALSE), perc_85, perc_75 + (perc_90 - perc_75) * (2/3), converted_stat, '2K_Ratings'!D593, IF(bbgm_stat &gt;= perc_95, converted_stat * 3, IF(bbgm_stat &gt;= perc_90, converted_stat * 2, IF(bbgm_stat &gt;= perc_85, converted_stat * 1.5, converted_stat)))))</f>
        <v/>
      </c>
      <c r="E593" s="30" t="str">
        <f t="array" ref="E593">IF($A593="", "", LET(bbgm_stat, INDEX(Players!$A592:$P592, MATCH(E$2, Players!$A$1:$P$1, 0)), perc_75, VLOOKUP(E$2, Percentiles!$A$45:$I$59, 6, FALSE), perc_90, VLOOKUP(E$2, Percentiles!$A$45:$I$59, 7, FALSE), perc_95, VLOOKUP(E$2, Percentiles!$A$45:$I$59, 8, FALSE), perc_85, perc_75 + (perc_90 - perc_75) * (2/3), converted_stat, '2K_Ratings'!E593, IF(bbgm_stat &gt;= perc_95, converted_stat * 3, IF(bbgm_stat &gt;= perc_90, converted_stat * 2, IF(bbgm_stat &gt;= perc_85, converted_stat * 1.5, converted_stat)))))</f>
        <v/>
      </c>
      <c r="F593" s="30" t="str">
        <f t="array" ref="F593">IF($A593="", "", LET(bbgm_stat, INDEX(Players!$A592:$P592, MATCH(F$2, Players!$A$1:$P$1, 0)), perc_75, VLOOKUP(F$2, Percentiles!$A$45:$I$59, 6, FALSE), perc_90, VLOOKUP(F$2, Percentiles!$A$45:$I$59, 7, FALSE), perc_95, VLOOKUP(F$2, Percentiles!$A$45:$I$59, 8, FALSE), perc_85, perc_75 + (perc_90 - perc_75) * (2/3), converted_stat, '2K_Ratings'!F593, IF(bbgm_stat &gt;= perc_95, converted_stat * 3, IF(bbgm_stat &gt;= perc_90, converted_stat * 2, IF(bbgm_stat &gt;= perc_85, converted_stat * 1.5, converted_stat)))))</f>
        <v/>
      </c>
      <c r="G593" s="30" t="str">
        <f t="array" ref="G593">IF($A593="", "", LET(bbgm_stat, INDEX(Players!$A592:$P592, MATCH(G$2, Players!$A$1:$P$1, 0)), perc_75, VLOOKUP(G$2, Percentiles!$A$45:$I$59, 6, FALSE), perc_90, VLOOKUP(G$2, Percentiles!$A$45:$I$59, 7, FALSE), perc_95, VLOOKUP(G$2, Percentiles!$A$45:$I$59, 8, FALSE), perc_85, perc_75 + (perc_90 - perc_75) * (2/3), converted_stat, '2K_Ratings'!G593, IF(bbgm_stat &gt;= perc_95, converted_stat * 3, IF(bbgm_stat &gt;= perc_90, converted_stat * 2, IF(bbgm_stat &gt;= perc_85, converted_stat * 1.5, converted_stat)))))</f>
        <v/>
      </c>
      <c r="H593" s="30" t="str">
        <f t="array" ref="H593">IF($A593="", "", LET(bbgm_stat, INDEX(Players!$A592:$P592, MATCH(H$2, Players!$A$1:$P$1, 0)), perc_75, VLOOKUP(H$2, Percentiles!$A$45:$I$59, 6, FALSE), perc_90, VLOOKUP(H$2, Percentiles!$A$45:$I$59, 7, FALSE), perc_95, VLOOKUP(H$2, Percentiles!$A$45:$I$59, 8, FALSE), perc_85, perc_75 + (perc_90 - perc_75) * (2/3), converted_stat, '2K_Ratings'!H593, IF(bbgm_stat &gt;= perc_95, converted_stat * 3, IF(bbgm_stat &gt;= perc_90, converted_stat * 2, IF(bbgm_stat &gt;= perc_85, converted_stat * 1.5, converted_stat)))))</f>
        <v/>
      </c>
      <c r="I593" s="30" t="str">
        <f t="array" ref="I593">IF($A593="", "", LET(bbgm_stat, INDEX(Players!$A592:$P592, MATCH(I$2, Players!$A$1:$P$1, 0)), perc_75, VLOOKUP(I$2, Percentiles!$A$45:$I$59, 6, FALSE), perc_90, VLOOKUP(I$2, Percentiles!$A$45:$I$59, 7, FALSE), perc_95, VLOOKUP(I$2, Percentiles!$A$45:$I$59, 8, FALSE), perc_85, perc_75 + (perc_90 - perc_75) * (2/3), converted_stat, '2K_Ratings'!I593, IF(bbgm_stat &gt;= perc_95, converted_stat * 3, IF(bbgm_stat &gt;= perc_90, converted_stat * 2, IF(bbgm_stat &gt;= perc_85, converted_stat * 1.5, converted_stat)))))</f>
        <v/>
      </c>
      <c r="J593" s="30" t="str">
        <f t="array" ref="J593">IF($A593="", "", LET(bbgm_stat, INDEX(Players!$A592:$P592, MATCH(J$2, Players!$A$1:$P$1, 0)), perc_75, VLOOKUP(J$2, Percentiles!$A$45:$I$59, 6, FALSE), perc_90, VLOOKUP(J$2, Percentiles!$A$45:$I$59, 7, FALSE), perc_95, VLOOKUP(J$2, Percentiles!$A$45:$I$59, 8, FALSE), perc_85, perc_75 + (perc_90 - perc_75) * (2/3), converted_stat, '2K_Ratings'!J593, IF(bbgm_stat &gt;= perc_95, converted_stat * 3, IF(bbgm_stat &gt;= perc_90, converted_stat * 2, IF(bbgm_stat &gt;= perc_85, converted_stat * 1.5, converted_stat)))))</f>
        <v/>
      </c>
      <c r="K593" s="30" t="str">
        <f t="array" ref="K593">IF($A593="", "", LET(bbgm_stat, INDEX(Players!$A592:$P592, MATCH(K$2, Players!$A$1:$P$1, 0)), perc_75, VLOOKUP(K$2, Percentiles!$A$45:$I$59, 6, FALSE), perc_90, VLOOKUP(K$2, Percentiles!$A$45:$I$59, 7, FALSE), perc_95, VLOOKUP(K$2, Percentiles!$A$45:$I$59, 8, FALSE), perc_85, perc_75 + (perc_90 - perc_75) * (2/3), converted_stat, '2K_Ratings'!K593, IF(bbgm_stat &gt;= perc_95, converted_stat * 3, IF(bbgm_stat &gt;= perc_90, converted_stat * 2, IF(bbgm_stat &gt;= perc_85, converted_stat * 1.5, converted_stat)))))</f>
        <v/>
      </c>
      <c r="L593" s="30" t="str">
        <f t="array" ref="L593">IF($A593="", "", LET(bbgm_stat, INDEX(Players!$A592:$P592, MATCH(L$2, Players!$A$1:$P$1, 0)), perc_75, VLOOKUP(L$2, Percentiles!$A$45:$I$59, 6, FALSE), perc_90, VLOOKUP(L$2, Percentiles!$A$45:$I$59, 7, FALSE), perc_95, VLOOKUP(L$2, Percentiles!$A$45:$I$59, 8, FALSE), perc_85, perc_75 + (perc_90 - perc_75) * (2/3), converted_stat, '2K_Ratings'!L593, IF(bbgm_stat &gt;= perc_95, converted_stat * 3, IF(bbgm_stat &gt;= perc_90, converted_stat * 2, IF(bbgm_stat &gt;= perc_85, converted_stat * 1.5, converted_stat)))))</f>
        <v/>
      </c>
      <c r="M593" s="30" t="str">
        <f t="array" ref="M593">IF($A593="", "", LET(bbgm_stat, INDEX(Players!$A592:$P592, MATCH(M$2, Players!$A$1:$P$1, 0)), perc_75, VLOOKUP(M$2, Percentiles!$A$45:$I$59, 6, FALSE), perc_90, VLOOKUP(M$2, Percentiles!$A$45:$I$59, 7, FALSE), perc_95, VLOOKUP(M$2, Percentiles!$A$45:$I$59, 8, FALSE), perc_85, perc_75 + (perc_90 - perc_75) * (2/3), converted_stat, '2K_Ratings'!M593, IF(bbgm_stat &gt;= perc_95, converted_stat * 3, IF(bbgm_stat &gt;= perc_90, converted_stat * 2, IF(bbgm_stat &gt;= perc_85, converted_stat * 1.5, converted_stat)))))</f>
        <v/>
      </c>
      <c r="N593" s="30" t="str">
        <f t="array" ref="N593">IF($A593="", "", LET(bbgm_stat, INDEX(Players!$A592:$P592, MATCH(N$2, Players!$A$1:$P$1, 0)), perc_75, VLOOKUP(N$2, Percentiles!$A$45:$I$59, 6, FALSE), perc_90, VLOOKUP(N$2, Percentiles!$A$45:$I$59, 7, FALSE), perc_95, VLOOKUP(N$2, Percentiles!$A$45:$I$59, 8, FALSE), perc_85, perc_75 + (perc_90 - perc_75) * (2/3), converted_stat, '2K_Ratings'!N593, IF(bbgm_stat &gt;= perc_95, converted_stat * 3, IF(bbgm_stat &gt;= perc_90, converted_stat * 2, IF(bbgm_stat &gt;= perc_85, converted_stat * 1.5, converted_stat)))))</f>
        <v/>
      </c>
      <c r="O593" s="30" t="str">
        <f t="array" ref="O593">IF($A593="", "", LET(bbgm_stat, INDEX(Players!$A592:$P592, MATCH(O$2, Players!$A$1:$P$1, 0)), perc_75, VLOOKUP(O$2, Percentiles!$A$45:$I$59, 6, FALSE), perc_90, VLOOKUP(O$2, Percentiles!$A$45:$I$59, 7, FALSE), perc_95, VLOOKUP(O$2, Percentiles!$A$45:$I$59, 8, FALSE), perc_85, perc_75 + (perc_90 - perc_75) * (2/3), converted_stat, '2K_Ratings'!O593, IF(bbgm_stat &gt;= perc_95, converted_stat * 3, IF(bbgm_stat &gt;= perc_90, converted_stat * 2, IF(bbgm_stat &gt;= perc_85, converted_stat * 1.5, converted_stat)))))</f>
        <v/>
      </c>
      <c r="P593" s="30" t="str">
        <f t="array" ref="P593">IF($A593="", "", LET(bbgm_stat, INDEX(Players!$A592:$P592, MATCH(P$2, Players!$A$1:$P$1, 0)), perc_75, VLOOKUP(P$2, Percentiles!$A$45:$I$59, 6, FALSE), perc_90, VLOOKUP(P$2, Percentiles!$A$45:$I$59, 7, FALSE), perc_95, VLOOKUP(P$2, Percentiles!$A$45:$I$59, 8, FALSE), perc_85, perc_75 + (perc_90 - perc_75) * (2/3), converted_stat, '2K_Ratings'!P593, IF(bbgm_stat &gt;= perc_95, converted_stat * 3, IF(bbgm_stat &gt;= perc_90, converted_stat * 2, IF(bbgm_stat &gt;= perc_85, converted_stat * 1.5, converted_stat)))))</f>
        <v/>
      </c>
      <c r="Q593" s="30" t="str">
        <f t="array" ref="Q593">IF($A593="", "", LET(bbgm_stat, INDEX(Players!$A592:$P592, MATCH(Q$2, Players!$A$1:$P$1, 0)), perc_75, VLOOKUP(Q$2, Percentiles!$A$45:$I$59, 6, FALSE), perc_90, VLOOKUP(Q$2, Percentiles!$A$45:$I$59, 7, FALSE), perc_95, VLOOKUP(Q$2, Percentiles!$A$45:$I$59, 8, FALSE), perc_85, perc_75 + (perc_90 - perc_75) * (2/3), converted_stat, '2K_Ratings'!Q593, IF(bbgm_stat &gt;= perc_95, converted_stat * 3, IF(bbgm_stat &gt;= perc_90, converted_stat * 2, IF(bbgm_stat &gt;= perc_85, converted_stat * 1.5, converted_stat)))))</f>
        <v/>
      </c>
      <c r="R593" s="30" t="str">
        <f t="array" ref="R593">IF($A593="", "", LET(bbgm_stat, INDEX(Players!$A592:$P592, MATCH(R$2, Players!$A$1:$P$1, 0)), perc_75, VLOOKUP(R$2, Percentiles!$A$45:$I$59, 6, FALSE), perc_90, VLOOKUP(R$2, Percentiles!$A$45:$I$59, 7, FALSE), perc_95, VLOOKUP(R$2, Percentiles!$A$45:$I$59, 8, FALSE), perc_85, perc_75 + (perc_90 - perc_75) * (2/3), converted_stat, '2K_Ratings'!R593, IF(bbgm_stat &gt;= perc_95, converted_stat * 3, IF(bbgm_stat &gt;= perc_90, converted_stat * 2, IF(bbgm_stat &gt;= perc_85, converted_stat * 1.5, converted_stat)))))</f>
        <v/>
      </c>
      <c r="S593" s="30" t="str">
        <f t="array" ref="S593">IF($A593="", "", LET(bbgm_stat, INDEX(Players!$A592:$P592, MATCH(S$2, Players!$A$1:$P$1, 0)), perc_75, VLOOKUP(S$2, Percentiles!$A$45:$I$59, 6, FALSE), perc_90, VLOOKUP(S$2, Percentiles!$A$45:$I$59, 7, FALSE), perc_95, VLOOKUP(S$2, Percentiles!$A$45:$I$59, 8, FALSE), perc_85, perc_75 + (perc_90 - perc_75) * (2/3), converted_stat, '2K_Ratings'!S593, IF(bbgm_stat &gt;= perc_95, converted_stat * 3, IF(bbgm_stat &gt;= perc_90, converted_stat * 2, IF(bbgm_stat &gt;= perc_85, converted_stat * 1.5, converted_stat)))))</f>
        <v/>
      </c>
      <c r="T593" s="30" t="str">
        <f t="array" ref="T593">IF($A593="", "", LET(bbgm_stat, INDEX(Players!$A592:$P592, MATCH(T$2, Players!$A$1:$P$1, 0)), perc_75, VLOOKUP(T$2, Percentiles!$A$45:$I$59, 6, FALSE), perc_90, VLOOKUP(T$2, Percentiles!$A$45:$I$59, 7, FALSE), perc_95, VLOOKUP(T$2, Percentiles!$A$45:$I$59, 8, FALSE), perc_85, perc_75 + (perc_90 - perc_75) * (2/3), converted_stat, '2K_Ratings'!T593, IF(bbgm_stat &gt;= perc_95, converted_stat * 3, IF(bbgm_stat &gt;= perc_90, converted_stat * 2, IF(bbgm_stat &gt;= perc_85, converted_stat * 1.5, converted_stat)))))</f>
        <v/>
      </c>
      <c r="U593" s="30" t="str">
        <f t="array" ref="U593">IF($A593="", "", LET(bbgm_stat, INDEX(Players!$A592:$P592, MATCH(U$2, Players!$A$1:$P$1, 0)), perc_75, VLOOKUP(U$2, Percentiles!$A$45:$I$59, 6, FALSE), perc_90, VLOOKUP(U$2, Percentiles!$A$45:$I$59, 7, FALSE), perc_95, VLOOKUP(U$2, Percentiles!$A$45:$I$59, 8, FALSE), perc_85, perc_75 + (perc_90 - perc_75) * (2/3), converted_stat, '2K_Ratings'!U593, IF(bbgm_stat &gt;= perc_95, converted_stat * 3, IF(bbgm_stat &gt;= perc_90, converted_stat * 2, IF(bbgm_stat &gt;= perc_85, converted_stat * 1.5, converted_stat)))))</f>
        <v/>
      </c>
      <c r="V593" s="30" t="str">
        <f t="array" ref="V593">IF($A593="", "", LET(bbgm_stat, INDEX(Players!$A592:$P592, MATCH(V$2, Players!$A$1:$P$1, 0)), perc_75, VLOOKUP(V$2, Percentiles!$A$45:$I$59, 6, FALSE), perc_90, VLOOKUP(V$2, Percentiles!$A$45:$I$59, 7, FALSE), perc_95, VLOOKUP(V$2, Percentiles!$A$45:$I$59, 8, FALSE), perc_85, perc_75 + (perc_90 - perc_75) * (2/3), converted_stat, '2K_Ratings'!V593, IF(bbgm_stat &gt;= perc_95, converted_stat * 3, IF(bbgm_stat &gt;= perc_90, converted_stat * 2, IF(bbgm_stat &gt;= perc_85, converted_stat * 1.5, converted_stat)))))</f>
        <v/>
      </c>
      <c r="W593" s="30" t="str">
        <f t="array" ref="W593">IF($A593="", "", LET(bbgm_stat, INDEX(Players!$A592:$P592, MATCH(W$2, Players!$A$1:$P$1, 0)), perc_75, VLOOKUP(W$2, Percentiles!$A$45:$I$59, 6, FALSE), perc_90, VLOOKUP(W$2, Percentiles!$A$45:$I$59, 7, FALSE), perc_95, VLOOKUP(W$2, Percentiles!$A$45:$I$59, 8, FALSE), perc_85, perc_75 + (perc_90 - perc_75) * (2/3), converted_stat, '2K_Ratings'!W593, IF(bbgm_stat &gt;= perc_95, converted_stat * 3, IF(bbgm_stat &gt;= perc_90, converted_stat * 2, IF(bbgm_stat &gt;= perc_85, converted_stat * 1.5, converted_stat)))))</f>
        <v/>
      </c>
    </row>
    <row r="594">
      <c r="A594" s="30"/>
      <c r="B594" s="30" t="str">
        <f t="array" ref="B594">IF($A594="", "", LET(bbgm_stat, INDEX(Players!$A593:$P593, MATCH(B$2, Players!$A$1:$P$1, 0)), perc_75, VLOOKUP(B$2, Percentiles!$A$45:$I$59, 6, FALSE), perc_90, VLOOKUP(B$2, Percentiles!$A$45:$I$59, 7, FALSE), perc_95, VLOOKUP(B$2, Percentiles!$A$45:$I$59, 8, FALSE), perc_85, perc_75 + (perc_90 - perc_75) * (2/3), converted_stat, '2K_Ratings'!B594, IF(bbgm_stat &gt;= perc_95, converted_stat * 3, IF(bbgm_stat &gt;= perc_90, converted_stat * 2, IF(bbgm_stat &gt;= perc_85, converted_stat * 1.5, converted_stat)))))</f>
        <v/>
      </c>
      <c r="C594" s="30" t="str">
        <f t="array" ref="C594">IF($A594="", "", LET(bbgm_stat, INDEX(Players!$A593:$P593, MATCH(C$2, Players!$A$1:$P$1, 0)), perc_75, VLOOKUP(C$2, Percentiles!$A$45:$I$59, 6, FALSE), perc_90, VLOOKUP(C$2, Percentiles!$A$45:$I$59, 7, FALSE), perc_95, VLOOKUP(C$2, Percentiles!$A$45:$I$59, 8, FALSE), perc_85, perc_75 + (perc_90 - perc_75) * (2/3), converted_stat, '2K_Ratings'!C594, IF(bbgm_stat &gt;= perc_95, converted_stat * 3, IF(bbgm_stat &gt;= perc_90, converted_stat * 2, IF(bbgm_stat &gt;= perc_85, converted_stat * 1.5, converted_stat)))))</f>
        <v/>
      </c>
      <c r="D594" s="30" t="str">
        <f t="array" ref="D594">IF($A594="", "", LET(bbgm_stat, INDEX(Players!$A593:$P593, MATCH(D$2, Players!$A$1:$P$1, 0)), perc_75, VLOOKUP(D$2, Percentiles!$A$45:$I$59, 6, FALSE), perc_90, VLOOKUP(D$2, Percentiles!$A$45:$I$59, 7, FALSE), perc_95, VLOOKUP(D$2, Percentiles!$A$45:$I$59, 8, FALSE), perc_85, perc_75 + (perc_90 - perc_75) * (2/3), converted_stat, '2K_Ratings'!D594, IF(bbgm_stat &gt;= perc_95, converted_stat * 3, IF(bbgm_stat &gt;= perc_90, converted_stat * 2, IF(bbgm_stat &gt;= perc_85, converted_stat * 1.5, converted_stat)))))</f>
        <v/>
      </c>
      <c r="E594" s="30" t="str">
        <f t="array" ref="E594">IF($A594="", "", LET(bbgm_stat, INDEX(Players!$A593:$P593, MATCH(E$2, Players!$A$1:$P$1, 0)), perc_75, VLOOKUP(E$2, Percentiles!$A$45:$I$59, 6, FALSE), perc_90, VLOOKUP(E$2, Percentiles!$A$45:$I$59, 7, FALSE), perc_95, VLOOKUP(E$2, Percentiles!$A$45:$I$59, 8, FALSE), perc_85, perc_75 + (perc_90 - perc_75) * (2/3), converted_stat, '2K_Ratings'!E594, IF(bbgm_stat &gt;= perc_95, converted_stat * 3, IF(bbgm_stat &gt;= perc_90, converted_stat * 2, IF(bbgm_stat &gt;= perc_85, converted_stat * 1.5, converted_stat)))))</f>
        <v/>
      </c>
      <c r="F594" s="30" t="str">
        <f t="array" ref="F594">IF($A594="", "", LET(bbgm_stat, INDEX(Players!$A593:$P593, MATCH(F$2, Players!$A$1:$P$1, 0)), perc_75, VLOOKUP(F$2, Percentiles!$A$45:$I$59, 6, FALSE), perc_90, VLOOKUP(F$2, Percentiles!$A$45:$I$59, 7, FALSE), perc_95, VLOOKUP(F$2, Percentiles!$A$45:$I$59, 8, FALSE), perc_85, perc_75 + (perc_90 - perc_75) * (2/3), converted_stat, '2K_Ratings'!F594, IF(bbgm_stat &gt;= perc_95, converted_stat * 3, IF(bbgm_stat &gt;= perc_90, converted_stat * 2, IF(bbgm_stat &gt;= perc_85, converted_stat * 1.5, converted_stat)))))</f>
        <v/>
      </c>
      <c r="G594" s="30" t="str">
        <f t="array" ref="G594">IF($A594="", "", LET(bbgm_stat, INDEX(Players!$A593:$P593, MATCH(G$2, Players!$A$1:$P$1, 0)), perc_75, VLOOKUP(G$2, Percentiles!$A$45:$I$59, 6, FALSE), perc_90, VLOOKUP(G$2, Percentiles!$A$45:$I$59, 7, FALSE), perc_95, VLOOKUP(G$2, Percentiles!$A$45:$I$59, 8, FALSE), perc_85, perc_75 + (perc_90 - perc_75) * (2/3), converted_stat, '2K_Ratings'!G594, IF(bbgm_stat &gt;= perc_95, converted_stat * 3, IF(bbgm_stat &gt;= perc_90, converted_stat * 2, IF(bbgm_stat &gt;= perc_85, converted_stat * 1.5, converted_stat)))))</f>
        <v/>
      </c>
      <c r="H594" s="30" t="str">
        <f t="array" ref="H594">IF($A594="", "", LET(bbgm_stat, INDEX(Players!$A593:$P593, MATCH(H$2, Players!$A$1:$P$1, 0)), perc_75, VLOOKUP(H$2, Percentiles!$A$45:$I$59, 6, FALSE), perc_90, VLOOKUP(H$2, Percentiles!$A$45:$I$59, 7, FALSE), perc_95, VLOOKUP(H$2, Percentiles!$A$45:$I$59, 8, FALSE), perc_85, perc_75 + (perc_90 - perc_75) * (2/3), converted_stat, '2K_Ratings'!H594, IF(bbgm_stat &gt;= perc_95, converted_stat * 3, IF(bbgm_stat &gt;= perc_90, converted_stat * 2, IF(bbgm_stat &gt;= perc_85, converted_stat * 1.5, converted_stat)))))</f>
        <v/>
      </c>
      <c r="I594" s="30" t="str">
        <f t="array" ref="I594">IF($A594="", "", LET(bbgm_stat, INDEX(Players!$A593:$P593, MATCH(I$2, Players!$A$1:$P$1, 0)), perc_75, VLOOKUP(I$2, Percentiles!$A$45:$I$59, 6, FALSE), perc_90, VLOOKUP(I$2, Percentiles!$A$45:$I$59, 7, FALSE), perc_95, VLOOKUP(I$2, Percentiles!$A$45:$I$59, 8, FALSE), perc_85, perc_75 + (perc_90 - perc_75) * (2/3), converted_stat, '2K_Ratings'!I594, IF(bbgm_stat &gt;= perc_95, converted_stat * 3, IF(bbgm_stat &gt;= perc_90, converted_stat * 2, IF(bbgm_stat &gt;= perc_85, converted_stat * 1.5, converted_stat)))))</f>
        <v/>
      </c>
      <c r="J594" s="30" t="str">
        <f t="array" ref="J594">IF($A594="", "", LET(bbgm_stat, INDEX(Players!$A593:$P593, MATCH(J$2, Players!$A$1:$P$1, 0)), perc_75, VLOOKUP(J$2, Percentiles!$A$45:$I$59, 6, FALSE), perc_90, VLOOKUP(J$2, Percentiles!$A$45:$I$59, 7, FALSE), perc_95, VLOOKUP(J$2, Percentiles!$A$45:$I$59, 8, FALSE), perc_85, perc_75 + (perc_90 - perc_75) * (2/3), converted_stat, '2K_Ratings'!J594, IF(bbgm_stat &gt;= perc_95, converted_stat * 3, IF(bbgm_stat &gt;= perc_90, converted_stat * 2, IF(bbgm_stat &gt;= perc_85, converted_stat * 1.5, converted_stat)))))</f>
        <v/>
      </c>
      <c r="K594" s="30" t="str">
        <f t="array" ref="K594">IF($A594="", "", LET(bbgm_stat, INDEX(Players!$A593:$P593, MATCH(K$2, Players!$A$1:$P$1, 0)), perc_75, VLOOKUP(K$2, Percentiles!$A$45:$I$59, 6, FALSE), perc_90, VLOOKUP(K$2, Percentiles!$A$45:$I$59, 7, FALSE), perc_95, VLOOKUP(K$2, Percentiles!$A$45:$I$59, 8, FALSE), perc_85, perc_75 + (perc_90 - perc_75) * (2/3), converted_stat, '2K_Ratings'!K594, IF(bbgm_stat &gt;= perc_95, converted_stat * 3, IF(bbgm_stat &gt;= perc_90, converted_stat * 2, IF(bbgm_stat &gt;= perc_85, converted_stat * 1.5, converted_stat)))))</f>
        <v/>
      </c>
      <c r="L594" s="30" t="str">
        <f t="array" ref="L594">IF($A594="", "", LET(bbgm_stat, INDEX(Players!$A593:$P593, MATCH(L$2, Players!$A$1:$P$1, 0)), perc_75, VLOOKUP(L$2, Percentiles!$A$45:$I$59, 6, FALSE), perc_90, VLOOKUP(L$2, Percentiles!$A$45:$I$59, 7, FALSE), perc_95, VLOOKUP(L$2, Percentiles!$A$45:$I$59, 8, FALSE), perc_85, perc_75 + (perc_90 - perc_75) * (2/3), converted_stat, '2K_Ratings'!L594, IF(bbgm_stat &gt;= perc_95, converted_stat * 3, IF(bbgm_stat &gt;= perc_90, converted_stat * 2, IF(bbgm_stat &gt;= perc_85, converted_stat * 1.5, converted_stat)))))</f>
        <v/>
      </c>
      <c r="M594" s="30" t="str">
        <f t="array" ref="M594">IF($A594="", "", LET(bbgm_stat, INDEX(Players!$A593:$P593, MATCH(M$2, Players!$A$1:$P$1, 0)), perc_75, VLOOKUP(M$2, Percentiles!$A$45:$I$59, 6, FALSE), perc_90, VLOOKUP(M$2, Percentiles!$A$45:$I$59, 7, FALSE), perc_95, VLOOKUP(M$2, Percentiles!$A$45:$I$59, 8, FALSE), perc_85, perc_75 + (perc_90 - perc_75) * (2/3), converted_stat, '2K_Ratings'!M594, IF(bbgm_stat &gt;= perc_95, converted_stat * 3, IF(bbgm_stat &gt;= perc_90, converted_stat * 2, IF(bbgm_stat &gt;= perc_85, converted_stat * 1.5, converted_stat)))))</f>
        <v/>
      </c>
      <c r="N594" s="30" t="str">
        <f t="array" ref="N594">IF($A594="", "", LET(bbgm_stat, INDEX(Players!$A593:$P593, MATCH(N$2, Players!$A$1:$P$1, 0)), perc_75, VLOOKUP(N$2, Percentiles!$A$45:$I$59, 6, FALSE), perc_90, VLOOKUP(N$2, Percentiles!$A$45:$I$59, 7, FALSE), perc_95, VLOOKUP(N$2, Percentiles!$A$45:$I$59, 8, FALSE), perc_85, perc_75 + (perc_90 - perc_75) * (2/3), converted_stat, '2K_Ratings'!N594, IF(bbgm_stat &gt;= perc_95, converted_stat * 3, IF(bbgm_stat &gt;= perc_90, converted_stat * 2, IF(bbgm_stat &gt;= perc_85, converted_stat * 1.5, converted_stat)))))</f>
        <v/>
      </c>
      <c r="O594" s="30" t="str">
        <f t="array" ref="O594">IF($A594="", "", LET(bbgm_stat, INDEX(Players!$A593:$P593, MATCH(O$2, Players!$A$1:$P$1, 0)), perc_75, VLOOKUP(O$2, Percentiles!$A$45:$I$59, 6, FALSE), perc_90, VLOOKUP(O$2, Percentiles!$A$45:$I$59, 7, FALSE), perc_95, VLOOKUP(O$2, Percentiles!$A$45:$I$59, 8, FALSE), perc_85, perc_75 + (perc_90 - perc_75) * (2/3), converted_stat, '2K_Ratings'!O594, IF(bbgm_stat &gt;= perc_95, converted_stat * 3, IF(bbgm_stat &gt;= perc_90, converted_stat * 2, IF(bbgm_stat &gt;= perc_85, converted_stat * 1.5, converted_stat)))))</f>
        <v/>
      </c>
      <c r="P594" s="30" t="str">
        <f t="array" ref="P594">IF($A594="", "", LET(bbgm_stat, INDEX(Players!$A593:$P593, MATCH(P$2, Players!$A$1:$P$1, 0)), perc_75, VLOOKUP(P$2, Percentiles!$A$45:$I$59, 6, FALSE), perc_90, VLOOKUP(P$2, Percentiles!$A$45:$I$59, 7, FALSE), perc_95, VLOOKUP(P$2, Percentiles!$A$45:$I$59, 8, FALSE), perc_85, perc_75 + (perc_90 - perc_75) * (2/3), converted_stat, '2K_Ratings'!P594, IF(bbgm_stat &gt;= perc_95, converted_stat * 3, IF(bbgm_stat &gt;= perc_90, converted_stat * 2, IF(bbgm_stat &gt;= perc_85, converted_stat * 1.5, converted_stat)))))</f>
        <v/>
      </c>
      <c r="Q594" s="30" t="str">
        <f t="array" ref="Q594">IF($A594="", "", LET(bbgm_stat, INDEX(Players!$A593:$P593, MATCH(Q$2, Players!$A$1:$P$1, 0)), perc_75, VLOOKUP(Q$2, Percentiles!$A$45:$I$59, 6, FALSE), perc_90, VLOOKUP(Q$2, Percentiles!$A$45:$I$59, 7, FALSE), perc_95, VLOOKUP(Q$2, Percentiles!$A$45:$I$59, 8, FALSE), perc_85, perc_75 + (perc_90 - perc_75) * (2/3), converted_stat, '2K_Ratings'!Q594, IF(bbgm_stat &gt;= perc_95, converted_stat * 3, IF(bbgm_stat &gt;= perc_90, converted_stat * 2, IF(bbgm_stat &gt;= perc_85, converted_stat * 1.5, converted_stat)))))</f>
        <v/>
      </c>
      <c r="R594" s="30" t="str">
        <f t="array" ref="R594">IF($A594="", "", LET(bbgm_stat, INDEX(Players!$A593:$P593, MATCH(R$2, Players!$A$1:$P$1, 0)), perc_75, VLOOKUP(R$2, Percentiles!$A$45:$I$59, 6, FALSE), perc_90, VLOOKUP(R$2, Percentiles!$A$45:$I$59, 7, FALSE), perc_95, VLOOKUP(R$2, Percentiles!$A$45:$I$59, 8, FALSE), perc_85, perc_75 + (perc_90 - perc_75) * (2/3), converted_stat, '2K_Ratings'!R594, IF(bbgm_stat &gt;= perc_95, converted_stat * 3, IF(bbgm_stat &gt;= perc_90, converted_stat * 2, IF(bbgm_stat &gt;= perc_85, converted_stat * 1.5, converted_stat)))))</f>
        <v/>
      </c>
      <c r="S594" s="30" t="str">
        <f t="array" ref="S594">IF($A594="", "", LET(bbgm_stat, INDEX(Players!$A593:$P593, MATCH(S$2, Players!$A$1:$P$1, 0)), perc_75, VLOOKUP(S$2, Percentiles!$A$45:$I$59, 6, FALSE), perc_90, VLOOKUP(S$2, Percentiles!$A$45:$I$59, 7, FALSE), perc_95, VLOOKUP(S$2, Percentiles!$A$45:$I$59, 8, FALSE), perc_85, perc_75 + (perc_90 - perc_75) * (2/3), converted_stat, '2K_Ratings'!S594, IF(bbgm_stat &gt;= perc_95, converted_stat * 3, IF(bbgm_stat &gt;= perc_90, converted_stat * 2, IF(bbgm_stat &gt;= perc_85, converted_stat * 1.5, converted_stat)))))</f>
        <v/>
      </c>
      <c r="T594" s="30" t="str">
        <f t="array" ref="T594">IF($A594="", "", LET(bbgm_stat, INDEX(Players!$A593:$P593, MATCH(T$2, Players!$A$1:$P$1, 0)), perc_75, VLOOKUP(T$2, Percentiles!$A$45:$I$59, 6, FALSE), perc_90, VLOOKUP(T$2, Percentiles!$A$45:$I$59, 7, FALSE), perc_95, VLOOKUP(T$2, Percentiles!$A$45:$I$59, 8, FALSE), perc_85, perc_75 + (perc_90 - perc_75) * (2/3), converted_stat, '2K_Ratings'!T594, IF(bbgm_stat &gt;= perc_95, converted_stat * 3, IF(bbgm_stat &gt;= perc_90, converted_stat * 2, IF(bbgm_stat &gt;= perc_85, converted_stat * 1.5, converted_stat)))))</f>
        <v/>
      </c>
      <c r="U594" s="30" t="str">
        <f t="array" ref="U594">IF($A594="", "", LET(bbgm_stat, INDEX(Players!$A593:$P593, MATCH(U$2, Players!$A$1:$P$1, 0)), perc_75, VLOOKUP(U$2, Percentiles!$A$45:$I$59, 6, FALSE), perc_90, VLOOKUP(U$2, Percentiles!$A$45:$I$59, 7, FALSE), perc_95, VLOOKUP(U$2, Percentiles!$A$45:$I$59, 8, FALSE), perc_85, perc_75 + (perc_90 - perc_75) * (2/3), converted_stat, '2K_Ratings'!U594, IF(bbgm_stat &gt;= perc_95, converted_stat * 3, IF(bbgm_stat &gt;= perc_90, converted_stat * 2, IF(bbgm_stat &gt;= perc_85, converted_stat * 1.5, converted_stat)))))</f>
        <v/>
      </c>
      <c r="V594" s="30" t="str">
        <f t="array" ref="V594">IF($A594="", "", LET(bbgm_stat, INDEX(Players!$A593:$P593, MATCH(V$2, Players!$A$1:$P$1, 0)), perc_75, VLOOKUP(V$2, Percentiles!$A$45:$I$59, 6, FALSE), perc_90, VLOOKUP(V$2, Percentiles!$A$45:$I$59, 7, FALSE), perc_95, VLOOKUP(V$2, Percentiles!$A$45:$I$59, 8, FALSE), perc_85, perc_75 + (perc_90 - perc_75) * (2/3), converted_stat, '2K_Ratings'!V594, IF(bbgm_stat &gt;= perc_95, converted_stat * 3, IF(bbgm_stat &gt;= perc_90, converted_stat * 2, IF(bbgm_stat &gt;= perc_85, converted_stat * 1.5, converted_stat)))))</f>
        <v/>
      </c>
      <c r="W594" s="30" t="str">
        <f t="array" ref="W594">IF($A594="", "", LET(bbgm_stat, INDEX(Players!$A593:$P593, MATCH(W$2, Players!$A$1:$P$1, 0)), perc_75, VLOOKUP(W$2, Percentiles!$A$45:$I$59, 6, FALSE), perc_90, VLOOKUP(W$2, Percentiles!$A$45:$I$59, 7, FALSE), perc_95, VLOOKUP(W$2, Percentiles!$A$45:$I$59, 8, FALSE), perc_85, perc_75 + (perc_90 - perc_75) * (2/3), converted_stat, '2K_Ratings'!W594, IF(bbgm_stat &gt;= perc_95, converted_stat * 3, IF(bbgm_stat &gt;= perc_90, converted_stat * 2, IF(bbgm_stat &gt;= perc_85, converted_stat * 1.5, converted_stat)))))</f>
        <v/>
      </c>
    </row>
    <row r="595">
      <c r="A595" s="30"/>
      <c r="B595" s="30" t="str">
        <f t="array" ref="B595">IF($A595="", "", LET(bbgm_stat, INDEX(Players!$A594:$P594, MATCH(B$2, Players!$A$1:$P$1, 0)), perc_75, VLOOKUP(B$2, Percentiles!$A$45:$I$59, 6, FALSE), perc_90, VLOOKUP(B$2, Percentiles!$A$45:$I$59, 7, FALSE), perc_95, VLOOKUP(B$2, Percentiles!$A$45:$I$59, 8, FALSE), perc_85, perc_75 + (perc_90 - perc_75) * (2/3), converted_stat, '2K_Ratings'!B595, IF(bbgm_stat &gt;= perc_95, converted_stat * 3, IF(bbgm_stat &gt;= perc_90, converted_stat * 2, IF(bbgm_stat &gt;= perc_85, converted_stat * 1.5, converted_stat)))))</f>
        <v/>
      </c>
      <c r="C595" s="30" t="str">
        <f t="array" ref="C595">IF($A595="", "", LET(bbgm_stat, INDEX(Players!$A594:$P594, MATCH(C$2, Players!$A$1:$P$1, 0)), perc_75, VLOOKUP(C$2, Percentiles!$A$45:$I$59, 6, FALSE), perc_90, VLOOKUP(C$2, Percentiles!$A$45:$I$59, 7, FALSE), perc_95, VLOOKUP(C$2, Percentiles!$A$45:$I$59, 8, FALSE), perc_85, perc_75 + (perc_90 - perc_75) * (2/3), converted_stat, '2K_Ratings'!C595, IF(bbgm_stat &gt;= perc_95, converted_stat * 3, IF(bbgm_stat &gt;= perc_90, converted_stat * 2, IF(bbgm_stat &gt;= perc_85, converted_stat * 1.5, converted_stat)))))</f>
        <v/>
      </c>
      <c r="D595" s="30" t="str">
        <f t="array" ref="D595">IF($A595="", "", LET(bbgm_stat, INDEX(Players!$A594:$P594, MATCH(D$2, Players!$A$1:$P$1, 0)), perc_75, VLOOKUP(D$2, Percentiles!$A$45:$I$59, 6, FALSE), perc_90, VLOOKUP(D$2, Percentiles!$A$45:$I$59, 7, FALSE), perc_95, VLOOKUP(D$2, Percentiles!$A$45:$I$59, 8, FALSE), perc_85, perc_75 + (perc_90 - perc_75) * (2/3), converted_stat, '2K_Ratings'!D595, IF(bbgm_stat &gt;= perc_95, converted_stat * 3, IF(bbgm_stat &gt;= perc_90, converted_stat * 2, IF(bbgm_stat &gt;= perc_85, converted_stat * 1.5, converted_stat)))))</f>
        <v/>
      </c>
      <c r="E595" s="30" t="str">
        <f t="array" ref="E595">IF($A595="", "", LET(bbgm_stat, INDEX(Players!$A594:$P594, MATCH(E$2, Players!$A$1:$P$1, 0)), perc_75, VLOOKUP(E$2, Percentiles!$A$45:$I$59, 6, FALSE), perc_90, VLOOKUP(E$2, Percentiles!$A$45:$I$59, 7, FALSE), perc_95, VLOOKUP(E$2, Percentiles!$A$45:$I$59, 8, FALSE), perc_85, perc_75 + (perc_90 - perc_75) * (2/3), converted_stat, '2K_Ratings'!E595, IF(bbgm_stat &gt;= perc_95, converted_stat * 3, IF(bbgm_stat &gt;= perc_90, converted_stat * 2, IF(bbgm_stat &gt;= perc_85, converted_stat * 1.5, converted_stat)))))</f>
        <v/>
      </c>
      <c r="F595" s="30" t="str">
        <f t="array" ref="F595">IF($A595="", "", LET(bbgm_stat, INDEX(Players!$A594:$P594, MATCH(F$2, Players!$A$1:$P$1, 0)), perc_75, VLOOKUP(F$2, Percentiles!$A$45:$I$59, 6, FALSE), perc_90, VLOOKUP(F$2, Percentiles!$A$45:$I$59, 7, FALSE), perc_95, VLOOKUP(F$2, Percentiles!$A$45:$I$59, 8, FALSE), perc_85, perc_75 + (perc_90 - perc_75) * (2/3), converted_stat, '2K_Ratings'!F595, IF(bbgm_stat &gt;= perc_95, converted_stat * 3, IF(bbgm_stat &gt;= perc_90, converted_stat * 2, IF(bbgm_stat &gt;= perc_85, converted_stat * 1.5, converted_stat)))))</f>
        <v/>
      </c>
      <c r="G595" s="30" t="str">
        <f t="array" ref="G595">IF($A595="", "", LET(bbgm_stat, INDEX(Players!$A594:$P594, MATCH(G$2, Players!$A$1:$P$1, 0)), perc_75, VLOOKUP(G$2, Percentiles!$A$45:$I$59, 6, FALSE), perc_90, VLOOKUP(G$2, Percentiles!$A$45:$I$59, 7, FALSE), perc_95, VLOOKUP(G$2, Percentiles!$A$45:$I$59, 8, FALSE), perc_85, perc_75 + (perc_90 - perc_75) * (2/3), converted_stat, '2K_Ratings'!G595, IF(bbgm_stat &gt;= perc_95, converted_stat * 3, IF(bbgm_stat &gt;= perc_90, converted_stat * 2, IF(bbgm_stat &gt;= perc_85, converted_stat * 1.5, converted_stat)))))</f>
        <v/>
      </c>
      <c r="H595" s="30" t="str">
        <f t="array" ref="H595">IF($A595="", "", LET(bbgm_stat, INDEX(Players!$A594:$P594, MATCH(H$2, Players!$A$1:$P$1, 0)), perc_75, VLOOKUP(H$2, Percentiles!$A$45:$I$59, 6, FALSE), perc_90, VLOOKUP(H$2, Percentiles!$A$45:$I$59, 7, FALSE), perc_95, VLOOKUP(H$2, Percentiles!$A$45:$I$59, 8, FALSE), perc_85, perc_75 + (perc_90 - perc_75) * (2/3), converted_stat, '2K_Ratings'!H595, IF(bbgm_stat &gt;= perc_95, converted_stat * 3, IF(bbgm_stat &gt;= perc_90, converted_stat * 2, IF(bbgm_stat &gt;= perc_85, converted_stat * 1.5, converted_stat)))))</f>
        <v/>
      </c>
      <c r="I595" s="30" t="str">
        <f t="array" ref="I595">IF($A595="", "", LET(bbgm_stat, INDEX(Players!$A594:$P594, MATCH(I$2, Players!$A$1:$P$1, 0)), perc_75, VLOOKUP(I$2, Percentiles!$A$45:$I$59, 6, FALSE), perc_90, VLOOKUP(I$2, Percentiles!$A$45:$I$59, 7, FALSE), perc_95, VLOOKUP(I$2, Percentiles!$A$45:$I$59, 8, FALSE), perc_85, perc_75 + (perc_90 - perc_75) * (2/3), converted_stat, '2K_Ratings'!I595, IF(bbgm_stat &gt;= perc_95, converted_stat * 3, IF(bbgm_stat &gt;= perc_90, converted_stat * 2, IF(bbgm_stat &gt;= perc_85, converted_stat * 1.5, converted_stat)))))</f>
        <v/>
      </c>
      <c r="J595" s="30" t="str">
        <f t="array" ref="J595">IF($A595="", "", LET(bbgm_stat, INDEX(Players!$A594:$P594, MATCH(J$2, Players!$A$1:$P$1, 0)), perc_75, VLOOKUP(J$2, Percentiles!$A$45:$I$59, 6, FALSE), perc_90, VLOOKUP(J$2, Percentiles!$A$45:$I$59, 7, FALSE), perc_95, VLOOKUP(J$2, Percentiles!$A$45:$I$59, 8, FALSE), perc_85, perc_75 + (perc_90 - perc_75) * (2/3), converted_stat, '2K_Ratings'!J595, IF(bbgm_stat &gt;= perc_95, converted_stat * 3, IF(bbgm_stat &gt;= perc_90, converted_stat * 2, IF(bbgm_stat &gt;= perc_85, converted_stat * 1.5, converted_stat)))))</f>
        <v/>
      </c>
      <c r="K595" s="30" t="str">
        <f t="array" ref="K595">IF($A595="", "", LET(bbgm_stat, INDEX(Players!$A594:$P594, MATCH(K$2, Players!$A$1:$P$1, 0)), perc_75, VLOOKUP(K$2, Percentiles!$A$45:$I$59, 6, FALSE), perc_90, VLOOKUP(K$2, Percentiles!$A$45:$I$59, 7, FALSE), perc_95, VLOOKUP(K$2, Percentiles!$A$45:$I$59, 8, FALSE), perc_85, perc_75 + (perc_90 - perc_75) * (2/3), converted_stat, '2K_Ratings'!K595, IF(bbgm_stat &gt;= perc_95, converted_stat * 3, IF(bbgm_stat &gt;= perc_90, converted_stat * 2, IF(bbgm_stat &gt;= perc_85, converted_stat * 1.5, converted_stat)))))</f>
        <v/>
      </c>
      <c r="L595" s="30" t="str">
        <f t="array" ref="L595">IF($A595="", "", LET(bbgm_stat, INDEX(Players!$A594:$P594, MATCH(L$2, Players!$A$1:$P$1, 0)), perc_75, VLOOKUP(L$2, Percentiles!$A$45:$I$59, 6, FALSE), perc_90, VLOOKUP(L$2, Percentiles!$A$45:$I$59, 7, FALSE), perc_95, VLOOKUP(L$2, Percentiles!$A$45:$I$59, 8, FALSE), perc_85, perc_75 + (perc_90 - perc_75) * (2/3), converted_stat, '2K_Ratings'!L595, IF(bbgm_stat &gt;= perc_95, converted_stat * 3, IF(bbgm_stat &gt;= perc_90, converted_stat * 2, IF(bbgm_stat &gt;= perc_85, converted_stat * 1.5, converted_stat)))))</f>
        <v/>
      </c>
      <c r="M595" s="30" t="str">
        <f t="array" ref="M595">IF($A595="", "", LET(bbgm_stat, INDEX(Players!$A594:$P594, MATCH(M$2, Players!$A$1:$P$1, 0)), perc_75, VLOOKUP(M$2, Percentiles!$A$45:$I$59, 6, FALSE), perc_90, VLOOKUP(M$2, Percentiles!$A$45:$I$59, 7, FALSE), perc_95, VLOOKUP(M$2, Percentiles!$A$45:$I$59, 8, FALSE), perc_85, perc_75 + (perc_90 - perc_75) * (2/3), converted_stat, '2K_Ratings'!M595, IF(bbgm_stat &gt;= perc_95, converted_stat * 3, IF(bbgm_stat &gt;= perc_90, converted_stat * 2, IF(bbgm_stat &gt;= perc_85, converted_stat * 1.5, converted_stat)))))</f>
        <v/>
      </c>
      <c r="N595" s="30" t="str">
        <f t="array" ref="N595">IF($A595="", "", LET(bbgm_stat, INDEX(Players!$A594:$P594, MATCH(N$2, Players!$A$1:$P$1, 0)), perc_75, VLOOKUP(N$2, Percentiles!$A$45:$I$59, 6, FALSE), perc_90, VLOOKUP(N$2, Percentiles!$A$45:$I$59, 7, FALSE), perc_95, VLOOKUP(N$2, Percentiles!$A$45:$I$59, 8, FALSE), perc_85, perc_75 + (perc_90 - perc_75) * (2/3), converted_stat, '2K_Ratings'!N595, IF(bbgm_stat &gt;= perc_95, converted_stat * 3, IF(bbgm_stat &gt;= perc_90, converted_stat * 2, IF(bbgm_stat &gt;= perc_85, converted_stat * 1.5, converted_stat)))))</f>
        <v/>
      </c>
      <c r="O595" s="30" t="str">
        <f t="array" ref="O595">IF($A595="", "", LET(bbgm_stat, INDEX(Players!$A594:$P594, MATCH(O$2, Players!$A$1:$P$1, 0)), perc_75, VLOOKUP(O$2, Percentiles!$A$45:$I$59, 6, FALSE), perc_90, VLOOKUP(O$2, Percentiles!$A$45:$I$59, 7, FALSE), perc_95, VLOOKUP(O$2, Percentiles!$A$45:$I$59, 8, FALSE), perc_85, perc_75 + (perc_90 - perc_75) * (2/3), converted_stat, '2K_Ratings'!O595, IF(bbgm_stat &gt;= perc_95, converted_stat * 3, IF(bbgm_stat &gt;= perc_90, converted_stat * 2, IF(bbgm_stat &gt;= perc_85, converted_stat * 1.5, converted_stat)))))</f>
        <v/>
      </c>
      <c r="P595" s="30" t="str">
        <f t="array" ref="P595">IF($A595="", "", LET(bbgm_stat, INDEX(Players!$A594:$P594, MATCH(P$2, Players!$A$1:$P$1, 0)), perc_75, VLOOKUP(P$2, Percentiles!$A$45:$I$59, 6, FALSE), perc_90, VLOOKUP(P$2, Percentiles!$A$45:$I$59, 7, FALSE), perc_95, VLOOKUP(P$2, Percentiles!$A$45:$I$59, 8, FALSE), perc_85, perc_75 + (perc_90 - perc_75) * (2/3), converted_stat, '2K_Ratings'!P595, IF(bbgm_stat &gt;= perc_95, converted_stat * 3, IF(bbgm_stat &gt;= perc_90, converted_stat * 2, IF(bbgm_stat &gt;= perc_85, converted_stat * 1.5, converted_stat)))))</f>
        <v/>
      </c>
      <c r="Q595" s="30" t="str">
        <f t="array" ref="Q595">IF($A595="", "", LET(bbgm_stat, INDEX(Players!$A594:$P594, MATCH(Q$2, Players!$A$1:$P$1, 0)), perc_75, VLOOKUP(Q$2, Percentiles!$A$45:$I$59, 6, FALSE), perc_90, VLOOKUP(Q$2, Percentiles!$A$45:$I$59, 7, FALSE), perc_95, VLOOKUP(Q$2, Percentiles!$A$45:$I$59, 8, FALSE), perc_85, perc_75 + (perc_90 - perc_75) * (2/3), converted_stat, '2K_Ratings'!Q595, IF(bbgm_stat &gt;= perc_95, converted_stat * 3, IF(bbgm_stat &gt;= perc_90, converted_stat * 2, IF(bbgm_stat &gt;= perc_85, converted_stat * 1.5, converted_stat)))))</f>
        <v/>
      </c>
      <c r="R595" s="30" t="str">
        <f t="array" ref="R595">IF($A595="", "", LET(bbgm_stat, INDEX(Players!$A594:$P594, MATCH(R$2, Players!$A$1:$P$1, 0)), perc_75, VLOOKUP(R$2, Percentiles!$A$45:$I$59, 6, FALSE), perc_90, VLOOKUP(R$2, Percentiles!$A$45:$I$59, 7, FALSE), perc_95, VLOOKUP(R$2, Percentiles!$A$45:$I$59, 8, FALSE), perc_85, perc_75 + (perc_90 - perc_75) * (2/3), converted_stat, '2K_Ratings'!R595, IF(bbgm_stat &gt;= perc_95, converted_stat * 3, IF(bbgm_stat &gt;= perc_90, converted_stat * 2, IF(bbgm_stat &gt;= perc_85, converted_stat * 1.5, converted_stat)))))</f>
        <v/>
      </c>
      <c r="S595" s="30" t="str">
        <f t="array" ref="S595">IF($A595="", "", LET(bbgm_stat, INDEX(Players!$A594:$P594, MATCH(S$2, Players!$A$1:$P$1, 0)), perc_75, VLOOKUP(S$2, Percentiles!$A$45:$I$59, 6, FALSE), perc_90, VLOOKUP(S$2, Percentiles!$A$45:$I$59, 7, FALSE), perc_95, VLOOKUP(S$2, Percentiles!$A$45:$I$59, 8, FALSE), perc_85, perc_75 + (perc_90 - perc_75) * (2/3), converted_stat, '2K_Ratings'!S595, IF(bbgm_stat &gt;= perc_95, converted_stat * 3, IF(bbgm_stat &gt;= perc_90, converted_stat * 2, IF(bbgm_stat &gt;= perc_85, converted_stat * 1.5, converted_stat)))))</f>
        <v/>
      </c>
      <c r="T595" s="30" t="str">
        <f t="array" ref="T595">IF($A595="", "", LET(bbgm_stat, INDEX(Players!$A594:$P594, MATCH(T$2, Players!$A$1:$P$1, 0)), perc_75, VLOOKUP(T$2, Percentiles!$A$45:$I$59, 6, FALSE), perc_90, VLOOKUP(T$2, Percentiles!$A$45:$I$59, 7, FALSE), perc_95, VLOOKUP(T$2, Percentiles!$A$45:$I$59, 8, FALSE), perc_85, perc_75 + (perc_90 - perc_75) * (2/3), converted_stat, '2K_Ratings'!T595, IF(bbgm_stat &gt;= perc_95, converted_stat * 3, IF(bbgm_stat &gt;= perc_90, converted_stat * 2, IF(bbgm_stat &gt;= perc_85, converted_stat * 1.5, converted_stat)))))</f>
        <v/>
      </c>
      <c r="U595" s="30" t="str">
        <f t="array" ref="U595">IF($A595="", "", LET(bbgm_stat, INDEX(Players!$A594:$P594, MATCH(U$2, Players!$A$1:$P$1, 0)), perc_75, VLOOKUP(U$2, Percentiles!$A$45:$I$59, 6, FALSE), perc_90, VLOOKUP(U$2, Percentiles!$A$45:$I$59, 7, FALSE), perc_95, VLOOKUP(U$2, Percentiles!$A$45:$I$59, 8, FALSE), perc_85, perc_75 + (perc_90 - perc_75) * (2/3), converted_stat, '2K_Ratings'!U595, IF(bbgm_stat &gt;= perc_95, converted_stat * 3, IF(bbgm_stat &gt;= perc_90, converted_stat * 2, IF(bbgm_stat &gt;= perc_85, converted_stat * 1.5, converted_stat)))))</f>
        <v/>
      </c>
      <c r="V595" s="30" t="str">
        <f t="array" ref="V595">IF($A595="", "", LET(bbgm_stat, INDEX(Players!$A594:$P594, MATCH(V$2, Players!$A$1:$P$1, 0)), perc_75, VLOOKUP(V$2, Percentiles!$A$45:$I$59, 6, FALSE), perc_90, VLOOKUP(V$2, Percentiles!$A$45:$I$59, 7, FALSE), perc_95, VLOOKUP(V$2, Percentiles!$A$45:$I$59, 8, FALSE), perc_85, perc_75 + (perc_90 - perc_75) * (2/3), converted_stat, '2K_Ratings'!V595, IF(bbgm_stat &gt;= perc_95, converted_stat * 3, IF(bbgm_stat &gt;= perc_90, converted_stat * 2, IF(bbgm_stat &gt;= perc_85, converted_stat * 1.5, converted_stat)))))</f>
        <v/>
      </c>
      <c r="W595" s="30" t="str">
        <f t="array" ref="W595">IF($A595="", "", LET(bbgm_stat, INDEX(Players!$A594:$P594, MATCH(W$2, Players!$A$1:$P$1, 0)), perc_75, VLOOKUP(W$2, Percentiles!$A$45:$I$59, 6, FALSE), perc_90, VLOOKUP(W$2, Percentiles!$A$45:$I$59, 7, FALSE), perc_95, VLOOKUP(W$2, Percentiles!$A$45:$I$59, 8, FALSE), perc_85, perc_75 + (perc_90 - perc_75) * (2/3), converted_stat, '2K_Ratings'!W595, IF(bbgm_stat &gt;= perc_95, converted_stat * 3, IF(bbgm_stat &gt;= perc_90, converted_stat * 2, IF(bbgm_stat &gt;= perc_85, converted_stat * 1.5, converted_stat)))))</f>
        <v/>
      </c>
    </row>
    <row r="596">
      <c r="A596" s="30"/>
      <c r="B596" s="30" t="str">
        <f t="array" ref="B596">IF($A596="", "", LET(bbgm_stat, INDEX(Players!$A595:$P595, MATCH(B$2, Players!$A$1:$P$1, 0)), perc_75, VLOOKUP(B$2, Percentiles!$A$45:$I$59, 6, FALSE), perc_90, VLOOKUP(B$2, Percentiles!$A$45:$I$59, 7, FALSE), perc_95, VLOOKUP(B$2, Percentiles!$A$45:$I$59, 8, FALSE), perc_85, perc_75 + (perc_90 - perc_75) * (2/3), converted_stat, '2K_Ratings'!B596, IF(bbgm_stat &gt;= perc_95, converted_stat * 3, IF(bbgm_stat &gt;= perc_90, converted_stat * 2, IF(bbgm_stat &gt;= perc_85, converted_stat * 1.5, converted_stat)))))</f>
        <v/>
      </c>
      <c r="C596" s="30" t="str">
        <f t="array" ref="C596">IF($A596="", "", LET(bbgm_stat, INDEX(Players!$A595:$P595, MATCH(C$2, Players!$A$1:$P$1, 0)), perc_75, VLOOKUP(C$2, Percentiles!$A$45:$I$59, 6, FALSE), perc_90, VLOOKUP(C$2, Percentiles!$A$45:$I$59, 7, FALSE), perc_95, VLOOKUP(C$2, Percentiles!$A$45:$I$59, 8, FALSE), perc_85, perc_75 + (perc_90 - perc_75) * (2/3), converted_stat, '2K_Ratings'!C596, IF(bbgm_stat &gt;= perc_95, converted_stat * 3, IF(bbgm_stat &gt;= perc_90, converted_stat * 2, IF(bbgm_stat &gt;= perc_85, converted_stat * 1.5, converted_stat)))))</f>
        <v/>
      </c>
      <c r="D596" s="30" t="str">
        <f t="array" ref="D596">IF($A596="", "", LET(bbgm_stat, INDEX(Players!$A595:$P595, MATCH(D$2, Players!$A$1:$P$1, 0)), perc_75, VLOOKUP(D$2, Percentiles!$A$45:$I$59, 6, FALSE), perc_90, VLOOKUP(D$2, Percentiles!$A$45:$I$59, 7, FALSE), perc_95, VLOOKUP(D$2, Percentiles!$A$45:$I$59, 8, FALSE), perc_85, perc_75 + (perc_90 - perc_75) * (2/3), converted_stat, '2K_Ratings'!D596, IF(bbgm_stat &gt;= perc_95, converted_stat * 3, IF(bbgm_stat &gt;= perc_90, converted_stat * 2, IF(bbgm_stat &gt;= perc_85, converted_stat * 1.5, converted_stat)))))</f>
        <v/>
      </c>
      <c r="E596" s="30" t="str">
        <f t="array" ref="E596">IF($A596="", "", LET(bbgm_stat, INDEX(Players!$A595:$P595, MATCH(E$2, Players!$A$1:$P$1, 0)), perc_75, VLOOKUP(E$2, Percentiles!$A$45:$I$59, 6, FALSE), perc_90, VLOOKUP(E$2, Percentiles!$A$45:$I$59, 7, FALSE), perc_95, VLOOKUP(E$2, Percentiles!$A$45:$I$59, 8, FALSE), perc_85, perc_75 + (perc_90 - perc_75) * (2/3), converted_stat, '2K_Ratings'!E596, IF(bbgm_stat &gt;= perc_95, converted_stat * 3, IF(bbgm_stat &gt;= perc_90, converted_stat * 2, IF(bbgm_stat &gt;= perc_85, converted_stat * 1.5, converted_stat)))))</f>
        <v/>
      </c>
      <c r="F596" s="30" t="str">
        <f t="array" ref="F596">IF($A596="", "", LET(bbgm_stat, INDEX(Players!$A595:$P595, MATCH(F$2, Players!$A$1:$P$1, 0)), perc_75, VLOOKUP(F$2, Percentiles!$A$45:$I$59, 6, FALSE), perc_90, VLOOKUP(F$2, Percentiles!$A$45:$I$59, 7, FALSE), perc_95, VLOOKUP(F$2, Percentiles!$A$45:$I$59, 8, FALSE), perc_85, perc_75 + (perc_90 - perc_75) * (2/3), converted_stat, '2K_Ratings'!F596, IF(bbgm_stat &gt;= perc_95, converted_stat * 3, IF(bbgm_stat &gt;= perc_90, converted_stat * 2, IF(bbgm_stat &gt;= perc_85, converted_stat * 1.5, converted_stat)))))</f>
        <v/>
      </c>
      <c r="G596" s="30" t="str">
        <f t="array" ref="G596">IF($A596="", "", LET(bbgm_stat, INDEX(Players!$A595:$P595, MATCH(G$2, Players!$A$1:$P$1, 0)), perc_75, VLOOKUP(G$2, Percentiles!$A$45:$I$59, 6, FALSE), perc_90, VLOOKUP(G$2, Percentiles!$A$45:$I$59, 7, FALSE), perc_95, VLOOKUP(G$2, Percentiles!$A$45:$I$59, 8, FALSE), perc_85, perc_75 + (perc_90 - perc_75) * (2/3), converted_stat, '2K_Ratings'!G596, IF(bbgm_stat &gt;= perc_95, converted_stat * 3, IF(bbgm_stat &gt;= perc_90, converted_stat * 2, IF(bbgm_stat &gt;= perc_85, converted_stat * 1.5, converted_stat)))))</f>
        <v/>
      </c>
      <c r="H596" s="30" t="str">
        <f t="array" ref="H596">IF($A596="", "", LET(bbgm_stat, INDEX(Players!$A595:$P595, MATCH(H$2, Players!$A$1:$P$1, 0)), perc_75, VLOOKUP(H$2, Percentiles!$A$45:$I$59, 6, FALSE), perc_90, VLOOKUP(H$2, Percentiles!$A$45:$I$59, 7, FALSE), perc_95, VLOOKUP(H$2, Percentiles!$A$45:$I$59, 8, FALSE), perc_85, perc_75 + (perc_90 - perc_75) * (2/3), converted_stat, '2K_Ratings'!H596, IF(bbgm_stat &gt;= perc_95, converted_stat * 3, IF(bbgm_stat &gt;= perc_90, converted_stat * 2, IF(bbgm_stat &gt;= perc_85, converted_stat * 1.5, converted_stat)))))</f>
        <v/>
      </c>
      <c r="I596" s="30" t="str">
        <f t="array" ref="I596">IF($A596="", "", LET(bbgm_stat, INDEX(Players!$A595:$P595, MATCH(I$2, Players!$A$1:$P$1, 0)), perc_75, VLOOKUP(I$2, Percentiles!$A$45:$I$59, 6, FALSE), perc_90, VLOOKUP(I$2, Percentiles!$A$45:$I$59, 7, FALSE), perc_95, VLOOKUP(I$2, Percentiles!$A$45:$I$59, 8, FALSE), perc_85, perc_75 + (perc_90 - perc_75) * (2/3), converted_stat, '2K_Ratings'!I596, IF(bbgm_stat &gt;= perc_95, converted_stat * 3, IF(bbgm_stat &gt;= perc_90, converted_stat * 2, IF(bbgm_stat &gt;= perc_85, converted_stat * 1.5, converted_stat)))))</f>
        <v/>
      </c>
      <c r="J596" s="30" t="str">
        <f t="array" ref="J596">IF($A596="", "", LET(bbgm_stat, INDEX(Players!$A595:$P595, MATCH(J$2, Players!$A$1:$P$1, 0)), perc_75, VLOOKUP(J$2, Percentiles!$A$45:$I$59, 6, FALSE), perc_90, VLOOKUP(J$2, Percentiles!$A$45:$I$59, 7, FALSE), perc_95, VLOOKUP(J$2, Percentiles!$A$45:$I$59, 8, FALSE), perc_85, perc_75 + (perc_90 - perc_75) * (2/3), converted_stat, '2K_Ratings'!J596, IF(bbgm_stat &gt;= perc_95, converted_stat * 3, IF(bbgm_stat &gt;= perc_90, converted_stat * 2, IF(bbgm_stat &gt;= perc_85, converted_stat * 1.5, converted_stat)))))</f>
        <v/>
      </c>
      <c r="K596" s="30" t="str">
        <f t="array" ref="K596">IF($A596="", "", LET(bbgm_stat, INDEX(Players!$A595:$P595, MATCH(K$2, Players!$A$1:$P$1, 0)), perc_75, VLOOKUP(K$2, Percentiles!$A$45:$I$59, 6, FALSE), perc_90, VLOOKUP(K$2, Percentiles!$A$45:$I$59, 7, FALSE), perc_95, VLOOKUP(K$2, Percentiles!$A$45:$I$59, 8, FALSE), perc_85, perc_75 + (perc_90 - perc_75) * (2/3), converted_stat, '2K_Ratings'!K596, IF(bbgm_stat &gt;= perc_95, converted_stat * 3, IF(bbgm_stat &gt;= perc_90, converted_stat * 2, IF(bbgm_stat &gt;= perc_85, converted_stat * 1.5, converted_stat)))))</f>
        <v/>
      </c>
      <c r="L596" s="30" t="str">
        <f t="array" ref="L596">IF($A596="", "", LET(bbgm_stat, INDEX(Players!$A595:$P595, MATCH(L$2, Players!$A$1:$P$1, 0)), perc_75, VLOOKUP(L$2, Percentiles!$A$45:$I$59, 6, FALSE), perc_90, VLOOKUP(L$2, Percentiles!$A$45:$I$59, 7, FALSE), perc_95, VLOOKUP(L$2, Percentiles!$A$45:$I$59, 8, FALSE), perc_85, perc_75 + (perc_90 - perc_75) * (2/3), converted_stat, '2K_Ratings'!L596, IF(bbgm_stat &gt;= perc_95, converted_stat * 3, IF(bbgm_stat &gt;= perc_90, converted_stat * 2, IF(bbgm_stat &gt;= perc_85, converted_stat * 1.5, converted_stat)))))</f>
        <v/>
      </c>
      <c r="M596" s="30" t="str">
        <f t="array" ref="M596">IF($A596="", "", LET(bbgm_stat, INDEX(Players!$A595:$P595, MATCH(M$2, Players!$A$1:$P$1, 0)), perc_75, VLOOKUP(M$2, Percentiles!$A$45:$I$59, 6, FALSE), perc_90, VLOOKUP(M$2, Percentiles!$A$45:$I$59, 7, FALSE), perc_95, VLOOKUP(M$2, Percentiles!$A$45:$I$59, 8, FALSE), perc_85, perc_75 + (perc_90 - perc_75) * (2/3), converted_stat, '2K_Ratings'!M596, IF(bbgm_stat &gt;= perc_95, converted_stat * 3, IF(bbgm_stat &gt;= perc_90, converted_stat * 2, IF(bbgm_stat &gt;= perc_85, converted_stat * 1.5, converted_stat)))))</f>
        <v/>
      </c>
      <c r="N596" s="30" t="str">
        <f t="array" ref="N596">IF($A596="", "", LET(bbgm_stat, INDEX(Players!$A595:$P595, MATCH(N$2, Players!$A$1:$P$1, 0)), perc_75, VLOOKUP(N$2, Percentiles!$A$45:$I$59, 6, FALSE), perc_90, VLOOKUP(N$2, Percentiles!$A$45:$I$59, 7, FALSE), perc_95, VLOOKUP(N$2, Percentiles!$A$45:$I$59, 8, FALSE), perc_85, perc_75 + (perc_90 - perc_75) * (2/3), converted_stat, '2K_Ratings'!N596, IF(bbgm_stat &gt;= perc_95, converted_stat * 3, IF(bbgm_stat &gt;= perc_90, converted_stat * 2, IF(bbgm_stat &gt;= perc_85, converted_stat * 1.5, converted_stat)))))</f>
        <v/>
      </c>
      <c r="O596" s="30" t="str">
        <f t="array" ref="O596">IF($A596="", "", LET(bbgm_stat, INDEX(Players!$A595:$P595, MATCH(O$2, Players!$A$1:$P$1, 0)), perc_75, VLOOKUP(O$2, Percentiles!$A$45:$I$59, 6, FALSE), perc_90, VLOOKUP(O$2, Percentiles!$A$45:$I$59, 7, FALSE), perc_95, VLOOKUP(O$2, Percentiles!$A$45:$I$59, 8, FALSE), perc_85, perc_75 + (perc_90 - perc_75) * (2/3), converted_stat, '2K_Ratings'!O596, IF(bbgm_stat &gt;= perc_95, converted_stat * 3, IF(bbgm_stat &gt;= perc_90, converted_stat * 2, IF(bbgm_stat &gt;= perc_85, converted_stat * 1.5, converted_stat)))))</f>
        <v/>
      </c>
      <c r="P596" s="30" t="str">
        <f t="array" ref="P596">IF($A596="", "", LET(bbgm_stat, INDEX(Players!$A595:$P595, MATCH(P$2, Players!$A$1:$P$1, 0)), perc_75, VLOOKUP(P$2, Percentiles!$A$45:$I$59, 6, FALSE), perc_90, VLOOKUP(P$2, Percentiles!$A$45:$I$59, 7, FALSE), perc_95, VLOOKUP(P$2, Percentiles!$A$45:$I$59, 8, FALSE), perc_85, perc_75 + (perc_90 - perc_75) * (2/3), converted_stat, '2K_Ratings'!P596, IF(bbgm_stat &gt;= perc_95, converted_stat * 3, IF(bbgm_stat &gt;= perc_90, converted_stat * 2, IF(bbgm_stat &gt;= perc_85, converted_stat * 1.5, converted_stat)))))</f>
        <v/>
      </c>
      <c r="Q596" s="30" t="str">
        <f t="array" ref="Q596">IF($A596="", "", LET(bbgm_stat, INDEX(Players!$A595:$P595, MATCH(Q$2, Players!$A$1:$P$1, 0)), perc_75, VLOOKUP(Q$2, Percentiles!$A$45:$I$59, 6, FALSE), perc_90, VLOOKUP(Q$2, Percentiles!$A$45:$I$59, 7, FALSE), perc_95, VLOOKUP(Q$2, Percentiles!$A$45:$I$59, 8, FALSE), perc_85, perc_75 + (perc_90 - perc_75) * (2/3), converted_stat, '2K_Ratings'!Q596, IF(bbgm_stat &gt;= perc_95, converted_stat * 3, IF(bbgm_stat &gt;= perc_90, converted_stat * 2, IF(bbgm_stat &gt;= perc_85, converted_stat * 1.5, converted_stat)))))</f>
        <v/>
      </c>
      <c r="R596" s="30" t="str">
        <f t="array" ref="R596">IF($A596="", "", LET(bbgm_stat, INDEX(Players!$A595:$P595, MATCH(R$2, Players!$A$1:$P$1, 0)), perc_75, VLOOKUP(R$2, Percentiles!$A$45:$I$59, 6, FALSE), perc_90, VLOOKUP(R$2, Percentiles!$A$45:$I$59, 7, FALSE), perc_95, VLOOKUP(R$2, Percentiles!$A$45:$I$59, 8, FALSE), perc_85, perc_75 + (perc_90 - perc_75) * (2/3), converted_stat, '2K_Ratings'!R596, IF(bbgm_stat &gt;= perc_95, converted_stat * 3, IF(bbgm_stat &gt;= perc_90, converted_stat * 2, IF(bbgm_stat &gt;= perc_85, converted_stat * 1.5, converted_stat)))))</f>
        <v/>
      </c>
      <c r="S596" s="30" t="str">
        <f t="array" ref="S596">IF($A596="", "", LET(bbgm_stat, INDEX(Players!$A595:$P595, MATCH(S$2, Players!$A$1:$P$1, 0)), perc_75, VLOOKUP(S$2, Percentiles!$A$45:$I$59, 6, FALSE), perc_90, VLOOKUP(S$2, Percentiles!$A$45:$I$59, 7, FALSE), perc_95, VLOOKUP(S$2, Percentiles!$A$45:$I$59, 8, FALSE), perc_85, perc_75 + (perc_90 - perc_75) * (2/3), converted_stat, '2K_Ratings'!S596, IF(bbgm_stat &gt;= perc_95, converted_stat * 3, IF(bbgm_stat &gt;= perc_90, converted_stat * 2, IF(bbgm_stat &gt;= perc_85, converted_stat * 1.5, converted_stat)))))</f>
        <v/>
      </c>
      <c r="T596" s="30" t="str">
        <f t="array" ref="T596">IF($A596="", "", LET(bbgm_stat, INDEX(Players!$A595:$P595, MATCH(T$2, Players!$A$1:$P$1, 0)), perc_75, VLOOKUP(T$2, Percentiles!$A$45:$I$59, 6, FALSE), perc_90, VLOOKUP(T$2, Percentiles!$A$45:$I$59, 7, FALSE), perc_95, VLOOKUP(T$2, Percentiles!$A$45:$I$59, 8, FALSE), perc_85, perc_75 + (perc_90 - perc_75) * (2/3), converted_stat, '2K_Ratings'!T596, IF(bbgm_stat &gt;= perc_95, converted_stat * 3, IF(bbgm_stat &gt;= perc_90, converted_stat * 2, IF(bbgm_stat &gt;= perc_85, converted_stat * 1.5, converted_stat)))))</f>
        <v/>
      </c>
      <c r="U596" s="30" t="str">
        <f t="array" ref="U596">IF($A596="", "", LET(bbgm_stat, INDEX(Players!$A595:$P595, MATCH(U$2, Players!$A$1:$P$1, 0)), perc_75, VLOOKUP(U$2, Percentiles!$A$45:$I$59, 6, FALSE), perc_90, VLOOKUP(U$2, Percentiles!$A$45:$I$59, 7, FALSE), perc_95, VLOOKUP(U$2, Percentiles!$A$45:$I$59, 8, FALSE), perc_85, perc_75 + (perc_90 - perc_75) * (2/3), converted_stat, '2K_Ratings'!U596, IF(bbgm_stat &gt;= perc_95, converted_stat * 3, IF(bbgm_stat &gt;= perc_90, converted_stat * 2, IF(bbgm_stat &gt;= perc_85, converted_stat * 1.5, converted_stat)))))</f>
        <v/>
      </c>
      <c r="V596" s="30" t="str">
        <f t="array" ref="V596">IF($A596="", "", LET(bbgm_stat, INDEX(Players!$A595:$P595, MATCH(V$2, Players!$A$1:$P$1, 0)), perc_75, VLOOKUP(V$2, Percentiles!$A$45:$I$59, 6, FALSE), perc_90, VLOOKUP(V$2, Percentiles!$A$45:$I$59, 7, FALSE), perc_95, VLOOKUP(V$2, Percentiles!$A$45:$I$59, 8, FALSE), perc_85, perc_75 + (perc_90 - perc_75) * (2/3), converted_stat, '2K_Ratings'!V596, IF(bbgm_stat &gt;= perc_95, converted_stat * 3, IF(bbgm_stat &gt;= perc_90, converted_stat * 2, IF(bbgm_stat &gt;= perc_85, converted_stat * 1.5, converted_stat)))))</f>
        <v/>
      </c>
      <c r="W596" s="30" t="str">
        <f t="array" ref="W596">IF($A596="", "", LET(bbgm_stat, INDEX(Players!$A595:$P595, MATCH(W$2, Players!$A$1:$P$1, 0)), perc_75, VLOOKUP(W$2, Percentiles!$A$45:$I$59, 6, FALSE), perc_90, VLOOKUP(W$2, Percentiles!$A$45:$I$59, 7, FALSE), perc_95, VLOOKUP(W$2, Percentiles!$A$45:$I$59, 8, FALSE), perc_85, perc_75 + (perc_90 - perc_75) * (2/3), converted_stat, '2K_Ratings'!W596, IF(bbgm_stat &gt;= perc_95, converted_stat * 3, IF(bbgm_stat &gt;= perc_90, converted_stat * 2, IF(bbgm_stat &gt;= perc_85, converted_stat * 1.5, converted_stat)))))</f>
        <v/>
      </c>
    </row>
    <row r="597">
      <c r="A597" s="30"/>
      <c r="B597" s="30" t="str">
        <f t="array" ref="B597">IF($A597="", "", LET(bbgm_stat, INDEX(Players!$A596:$P596, MATCH(B$2, Players!$A$1:$P$1, 0)), perc_75, VLOOKUP(B$2, Percentiles!$A$45:$I$59, 6, FALSE), perc_90, VLOOKUP(B$2, Percentiles!$A$45:$I$59, 7, FALSE), perc_95, VLOOKUP(B$2, Percentiles!$A$45:$I$59, 8, FALSE), perc_85, perc_75 + (perc_90 - perc_75) * (2/3), converted_stat, '2K_Ratings'!B597, IF(bbgm_stat &gt;= perc_95, converted_stat * 3, IF(bbgm_stat &gt;= perc_90, converted_stat * 2, IF(bbgm_stat &gt;= perc_85, converted_stat * 1.5, converted_stat)))))</f>
        <v/>
      </c>
      <c r="C597" s="30" t="str">
        <f t="array" ref="C597">IF($A597="", "", LET(bbgm_stat, INDEX(Players!$A596:$P596, MATCH(C$2, Players!$A$1:$P$1, 0)), perc_75, VLOOKUP(C$2, Percentiles!$A$45:$I$59, 6, FALSE), perc_90, VLOOKUP(C$2, Percentiles!$A$45:$I$59, 7, FALSE), perc_95, VLOOKUP(C$2, Percentiles!$A$45:$I$59, 8, FALSE), perc_85, perc_75 + (perc_90 - perc_75) * (2/3), converted_stat, '2K_Ratings'!C597, IF(bbgm_stat &gt;= perc_95, converted_stat * 3, IF(bbgm_stat &gt;= perc_90, converted_stat * 2, IF(bbgm_stat &gt;= perc_85, converted_stat * 1.5, converted_stat)))))</f>
        <v/>
      </c>
      <c r="D597" s="30" t="str">
        <f t="array" ref="D597">IF($A597="", "", LET(bbgm_stat, INDEX(Players!$A596:$P596, MATCH(D$2, Players!$A$1:$P$1, 0)), perc_75, VLOOKUP(D$2, Percentiles!$A$45:$I$59, 6, FALSE), perc_90, VLOOKUP(D$2, Percentiles!$A$45:$I$59, 7, FALSE), perc_95, VLOOKUP(D$2, Percentiles!$A$45:$I$59, 8, FALSE), perc_85, perc_75 + (perc_90 - perc_75) * (2/3), converted_stat, '2K_Ratings'!D597, IF(bbgm_stat &gt;= perc_95, converted_stat * 3, IF(bbgm_stat &gt;= perc_90, converted_stat * 2, IF(bbgm_stat &gt;= perc_85, converted_stat * 1.5, converted_stat)))))</f>
        <v/>
      </c>
      <c r="E597" s="30" t="str">
        <f t="array" ref="E597">IF($A597="", "", LET(bbgm_stat, INDEX(Players!$A596:$P596, MATCH(E$2, Players!$A$1:$P$1, 0)), perc_75, VLOOKUP(E$2, Percentiles!$A$45:$I$59, 6, FALSE), perc_90, VLOOKUP(E$2, Percentiles!$A$45:$I$59, 7, FALSE), perc_95, VLOOKUP(E$2, Percentiles!$A$45:$I$59, 8, FALSE), perc_85, perc_75 + (perc_90 - perc_75) * (2/3), converted_stat, '2K_Ratings'!E597, IF(bbgm_stat &gt;= perc_95, converted_stat * 3, IF(bbgm_stat &gt;= perc_90, converted_stat * 2, IF(bbgm_stat &gt;= perc_85, converted_stat * 1.5, converted_stat)))))</f>
        <v/>
      </c>
      <c r="F597" s="30" t="str">
        <f t="array" ref="F597">IF($A597="", "", LET(bbgm_stat, INDEX(Players!$A596:$P596, MATCH(F$2, Players!$A$1:$P$1, 0)), perc_75, VLOOKUP(F$2, Percentiles!$A$45:$I$59, 6, FALSE), perc_90, VLOOKUP(F$2, Percentiles!$A$45:$I$59, 7, FALSE), perc_95, VLOOKUP(F$2, Percentiles!$A$45:$I$59, 8, FALSE), perc_85, perc_75 + (perc_90 - perc_75) * (2/3), converted_stat, '2K_Ratings'!F597, IF(bbgm_stat &gt;= perc_95, converted_stat * 3, IF(bbgm_stat &gt;= perc_90, converted_stat * 2, IF(bbgm_stat &gt;= perc_85, converted_stat * 1.5, converted_stat)))))</f>
        <v/>
      </c>
      <c r="G597" s="30" t="str">
        <f t="array" ref="G597">IF($A597="", "", LET(bbgm_stat, INDEX(Players!$A596:$P596, MATCH(G$2, Players!$A$1:$P$1, 0)), perc_75, VLOOKUP(G$2, Percentiles!$A$45:$I$59, 6, FALSE), perc_90, VLOOKUP(G$2, Percentiles!$A$45:$I$59, 7, FALSE), perc_95, VLOOKUP(G$2, Percentiles!$A$45:$I$59, 8, FALSE), perc_85, perc_75 + (perc_90 - perc_75) * (2/3), converted_stat, '2K_Ratings'!G597, IF(bbgm_stat &gt;= perc_95, converted_stat * 3, IF(bbgm_stat &gt;= perc_90, converted_stat * 2, IF(bbgm_stat &gt;= perc_85, converted_stat * 1.5, converted_stat)))))</f>
        <v/>
      </c>
      <c r="H597" s="30" t="str">
        <f t="array" ref="H597">IF($A597="", "", LET(bbgm_stat, INDEX(Players!$A596:$P596, MATCH(H$2, Players!$A$1:$P$1, 0)), perc_75, VLOOKUP(H$2, Percentiles!$A$45:$I$59, 6, FALSE), perc_90, VLOOKUP(H$2, Percentiles!$A$45:$I$59, 7, FALSE), perc_95, VLOOKUP(H$2, Percentiles!$A$45:$I$59, 8, FALSE), perc_85, perc_75 + (perc_90 - perc_75) * (2/3), converted_stat, '2K_Ratings'!H597, IF(bbgm_stat &gt;= perc_95, converted_stat * 3, IF(bbgm_stat &gt;= perc_90, converted_stat * 2, IF(bbgm_stat &gt;= perc_85, converted_stat * 1.5, converted_stat)))))</f>
        <v/>
      </c>
      <c r="I597" s="30" t="str">
        <f t="array" ref="I597">IF($A597="", "", LET(bbgm_stat, INDEX(Players!$A596:$P596, MATCH(I$2, Players!$A$1:$P$1, 0)), perc_75, VLOOKUP(I$2, Percentiles!$A$45:$I$59, 6, FALSE), perc_90, VLOOKUP(I$2, Percentiles!$A$45:$I$59, 7, FALSE), perc_95, VLOOKUP(I$2, Percentiles!$A$45:$I$59, 8, FALSE), perc_85, perc_75 + (perc_90 - perc_75) * (2/3), converted_stat, '2K_Ratings'!I597, IF(bbgm_stat &gt;= perc_95, converted_stat * 3, IF(bbgm_stat &gt;= perc_90, converted_stat * 2, IF(bbgm_stat &gt;= perc_85, converted_stat * 1.5, converted_stat)))))</f>
        <v/>
      </c>
      <c r="J597" s="30" t="str">
        <f t="array" ref="J597">IF($A597="", "", LET(bbgm_stat, INDEX(Players!$A596:$P596, MATCH(J$2, Players!$A$1:$P$1, 0)), perc_75, VLOOKUP(J$2, Percentiles!$A$45:$I$59, 6, FALSE), perc_90, VLOOKUP(J$2, Percentiles!$A$45:$I$59, 7, FALSE), perc_95, VLOOKUP(J$2, Percentiles!$A$45:$I$59, 8, FALSE), perc_85, perc_75 + (perc_90 - perc_75) * (2/3), converted_stat, '2K_Ratings'!J597, IF(bbgm_stat &gt;= perc_95, converted_stat * 3, IF(bbgm_stat &gt;= perc_90, converted_stat * 2, IF(bbgm_stat &gt;= perc_85, converted_stat * 1.5, converted_stat)))))</f>
        <v/>
      </c>
      <c r="K597" s="30" t="str">
        <f t="array" ref="K597">IF($A597="", "", LET(bbgm_stat, INDEX(Players!$A596:$P596, MATCH(K$2, Players!$A$1:$P$1, 0)), perc_75, VLOOKUP(K$2, Percentiles!$A$45:$I$59, 6, FALSE), perc_90, VLOOKUP(K$2, Percentiles!$A$45:$I$59, 7, FALSE), perc_95, VLOOKUP(K$2, Percentiles!$A$45:$I$59, 8, FALSE), perc_85, perc_75 + (perc_90 - perc_75) * (2/3), converted_stat, '2K_Ratings'!K597, IF(bbgm_stat &gt;= perc_95, converted_stat * 3, IF(bbgm_stat &gt;= perc_90, converted_stat * 2, IF(bbgm_stat &gt;= perc_85, converted_stat * 1.5, converted_stat)))))</f>
        <v/>
      </c>
      <c r="L597" s="30" t="str">
        <f t="array" ref="L597">IF($A597="", "", LET(bbgm_stat, INDEX(Players!$A596:$P596, MATCH(L$2, Players!$A$1:$P$1, 0)), perc_75, VLOOKUP(L$2, Percentiles!$A$45:$I$59, 6, FALSE), perc_90, VLOOKUP(L$2, Percentiles!$A$45:$I$59, 7, FALSE), perc_95, VLOOKUP(L$2, Percentiles!$A$45:$I$59, 8, FALSE), perc_85, perc_75 + (perc_90 - perc_75) * (2/3), converted_stat, '2K_Ratings'!L597, IF(bbgm_stat &gt;= perc_95, converted_stat * 3, IF(bbgm_stat &gt;= perc_90, converted_stat * 2, IF(bbgm_stat &gt;= perc_85, converted_stat * 1.5, converted_stat)))))</f>
        <v/>
      </c>
      <c r="M597" s="30" t="str">
        <f t="array" ref="M597">IF($A597="", "", LET(bbgm_stat, INDEX(Players!$A596:$P596, MATCH(M$2, Players!$A$1:$P$1, 0)), perc_75, VLOOKUP(M$2, Percentiles!$A$45:$I$59, 6, FALSE), perc_90, VLOOKUP(M$2, Percentiles!$A$45:$I$59, 7, FALSE), perc_95, VLOOKUP(M$2, Percentiles!$A$45:$I$59, 8, FALSE), perc_85, perc_75 + (perc_90 - perc_75) * (2/3), converted_stat, '2K_Ratings'!M597, IF(bbgm_stat &gt;= perc_95, converted_stat * 3, IF(bbgm_stat &gt;= perc_90, converted_stat * 2, IF(bbgm_stat &gt;= perc_85, converted_stat * 1.5, converted_stat)))))</f>
        <v/>
      </c>
      <c r="N597" s="30" t="str">
        <f t="array" ref="N597">IF($A597="", "", LET(bbgm_stat, INDEX(Players!$A596:$P596, MATCH(N$2, Players!$A$1:$P$1, 0)), perc_75, VLOOKUP(N$2, Percentiles!$A$45:$I$59, 6, FALSE), perc_90, VLOOKUP(N$2, Percentiles!$A$45:$I$59, 7, FALSE), perc_95, VLOOKUP(N$2, Percentiles!$A$45:$I$59, 8, FALSE), perc_85, perc_75 + (perc_90 - perc_75) * (2/3), converted_stat, '2K_Ratings'!N597, IF(bbgm_stat &gt;= perc_95, converted_stat * 3, IF(bbgm_stat &gt;= perc_90, converted_stat * 2, IF(bbgm_stat &gt;= perc_85, converted_stat * 1.5, converted_stat)))))</f>
        <v/>
      </c>
      <c r="O597" s="30" t="str">
        <f t="array" ref="O597">IF($A597="", "", LET(bbgm_stat, INDEX(Players!$A596:$P596, MATCH(O$2, Players!$A$1:$P$1, 0)), perc_75, VLOOKUP(O$2, Percentiles!$A$45:$I$59, 6, FALSE), perc_90, VLOOKUP(O$2, Percentiles!$A$45:$I$59, 7, FALSE), perc_95, VLOOKUP(O$2, Percentiles!$A$45:$I$59, 8, FALSE), perc_85, perc_75 + (perc_90 - perc_75) * (2/3), converted_stat, '2K_Ratings'!O597, IF(bbgm_stat &gt;= perc_95, converted_stat * 3, IF(bbgm_stat &gt;= perc_90, converted_stat * 2, IF(bbgm_stat &gt;= perc_85, converted_stat * 1.5, converted_stat)))))</f>
        <v/>
      </c>
      <c r="P597" s="30" t="str">
        <f t="array" ref="P597">IF($A597="", "", LET(bbgm_stat, INDEX(Players!$A596:$P596, MATCH(P$2, Players!$A$1:$P$1, 0)), perc_75, VLOOKUP(P$2, Percentiles!$A$45:$I$59, 6, FALSE), perc_90, VLOOKUP(P$2, Percentiles!$A$45:$I$59, 7, FALSE), perc_95, VLOOKUP(P$2, Percentiles!$A$45:$I$59, 8, FALSE), perc_85, perc_75 + (perc_90 - perc_75) * (2/3), converted_stat, '2K_Ratings'!P597, IF(bbgm_stat &gt;= perc_95, converted_stat * 3, IF(bbgm_stat &gt;= perc_90, converted_stat * 2, IF(bbgm_stat &gt;= perc_85, converted_stat * 1.5, converted_stat)))))</f>
        <v/>
      </c>
      <c r="Q597" s="30" t="str">
        <f t="array" ref="Q597">IF($A597="", "", LET(bbgm_stat, INDEX(Players!$A596:$P596, MATCH(Q$2, Players!$A$1:$P$1, 0)), perc_75, VLOOKUP(Q$2, Percentiles!$A$45:$I$59, 6, FALSE), perc_90, VLOOKUP(Q$2, Percentiles!$A$45:$I$59, 7, FALSE), perc_95, VLOOKUP(Q$2, Percentiles!$A$45:$I$59, 8, FALSE), perc_85, perc_75 + (perc_90 - perc_75) * (2/3), converted_stat, '2K_Ratings'!Q597, IF(bbgm_stat &gt;= perc_95, converted_stat * 3, IF(bbgm_stat &gt;= perc_90, converted_stat * 2, IF(bbgm_stat &gt;= perc_85, converted_stat * 1.5, converted_stat)))))</f>
        <v/>
      </c>
      <c r="R597" s="30" t="str">
        <f t="array" ref="R597">IF($A597="", "", LET(bbgm_stat, INDEX(Players!$A596:$P596, MATCH(R$2, Players!$A$1:$P$1, 0)), perc_75, VLOOKUP(R$2, Percentiles!$A$45:$I$59, 6, FALSE), perc_90, VLOOKUP(R$2, Percentiles!$A$45:$I$59, 7, FALSE), perc_95, VLOOKUP(R$2, Percentiles!$A$45:$I$59, 8, FALSE), perc_85, perc_75 + (perc_90 - perc_75) * (2/3), converted_stat, '2K_Ratings'!R597, IF(bbgm_stat &gt;= perc_95, converted_stat * 3, IF(bbgm_stat &gt;= perc_90, converted_stat * 2, IF(bbgm_stat &gt;= perc_85, converted_stat * 1.5, converted_stat)))))</f>
        <v/>
      </c>
      <c r="S597" s="30" t="str">
        <f t="array" ref="S597">IF($A597="", "", LET(bbgm_stat, INDEX(Players!$A596:$P596, MATCH(S$2, Players!$A$1:$P$1, 0)), perc_75, VLOOKUP(S$2, Percentiles!$A$45:$I$59, 6, FALSE), perc_90, VLOOKUP(S$2, Percentiles!$A$45:$I$59, 7, FALSE), perc_95, VLOOKUP(S$2, Percentiles!$A$45:$I$59, 8, FALSE), perc_85, perc_75 + (perc_90 - perc_75) * (2/3), converted_stat, '2K_Ratings'!S597, IF(bbgm_stat &gt;= perc_95, converted_stat * 3, IF(bbgm_stat &gt;= perc_90, converted_stat * 2, IF(bbgm_stat &gt;= perc_85, converted_stat * 1.5, converted_stat)))))</f>
        <v/>
      </c>
      <c r="T597" s="30" t="str">
        <f t="array" ref="T597">IF($A597="", "", LET(bbgm_stat, INDEX(Players!$A596:$P596, MATCH(T$2, Players!$A$1:$P$1, 0)), perc_75, VLOOKUP(T$2, Percentiles!$A$45:$I$59, 6, FALSE), perc_90, VLOOKUP(T$2, Percentiles!$A$45:$I$59, 7, FALSE), perc_95, VLOOKUP(T$2, Percentiles!$A$45:$I$59, 8, FALSE), perc_85, perc_75 + (perc_90 - perc_75) * (2/3), converted_stat, '2K_Ratings'!T597, IF(bbgm_stat &gt;= perc_95, converted_stat * 3, IF(bbgm_stat &gt;= perc_90, converted_stat * 2, IF(bbgm_stat &gt;= perc_85, converted_stat * 1.5, converted_stat)))))</f>
        <v/>
      </c>
      <c r="U597" s="30" t="str">
        <f t="array" ref="U597">IF($A597="", "", LET(bbgm_stat, INDEX(Players!$A596:$P596, MATCH(U$2, Players!$A$1:$P$1, 0)), perc_75, VLOOKUP(U$2, Percentiles!$A$45:$I$59, 6, FALSE), perc_90, VLOOKUP(U$2, Percentiles!$A$45:$I$59, 7, FALSE), perc_95, VLOOKUP(U$2, Percentiles!$A$45:$I$59, 8, FALSE), perc_85, perc_75 + (perc_90 - perc_75) * (2/3), converted_stat, '2K_Ratings'!U597, IF(bbgm_stat &gt;= perc_95, converted_stat * 3, IF(bbgm_stat &gt;= perc_90, converted_stat * 2, IF(bbgm_stat &gt;= perc_85, converted_stat * 1.5, converted_stat)))))</f>
        <v/>
      </c>
      <c r="V597" s="30" t="str">
        <f t="array" ref="V597">IF($A597="", "", LET(bbgm_stat, INDEX(Players!$A596:$P596, MATCH(V$2, Players!$A$1:$P$1, 0)), perc_75, VLOOKUP(V$2, Percentiles!$A$45:$I$59, 6, FALSE), perc_90, VLOOKUP(V$2, Percentiles!$A$45:$I$59, 7, FALSE), perc_95, VLOOKUP(V$2, Percentiles!$A$45:$I$59, 8, FALSE), perc_85, perc_75 + (perc_90 - perc_75) * (2/3), converted_stat, '2K_Ratings'!V597, IF(bbgm_stat &gt;= perc_95, converted_stat * 3, IF(bbgm_stat &gt;= perc_90, converted_stat * 2, IF(bbgm_stat &gt;= perc_85, converted_stat * 1.5, converted_stat)))))</f>
        <v/>
      </c>
      <c r="W597" s="30" t="str">
        <f t="array" ref="W597">IF($A597="", "", LET(bbgm_stat, INDEX(Players!$A596:$P596, MATCH(W$2, Players!$A$1:$P$1, 0)), perc_75, VLOOKUP(W$2, Percentiles!$A$45:$I$59, 6, FALSE), perc_90, VLOOKUP(W$2, Percentiles!$A$45:$I$59, 7, FALSE), perc_95, VLOOKUP(W$2, Percentiles!$A$45:$I$59, 8, FALSE), perc_85, perc_75 + (perc_90 - perc_75) * (2/3), converted_stat, '2K_Ratings'!W597, IF(bbgm_stat &gt;= perc_95, converted_stat * 3, IF(bbgm_stat &gt;= perc_90, converted_stat * 2, IF(bbgm_stat &gt;= perc_85, converted_stat * 1.5, converted_stat)))))</f>
        <v/>
      </c>
    </row>
    <row r="598">
      <c r="A598" s="30"/>
      <c r="B598" s="30" t="str">
        <f t="array" ref="B598">IF($A598="", "", LET(bbgm_stat, INDEX(Players!$A597:$P597, MATCH(B$2, Players!$A$1:$P$1, 0)), perc_75, VLOOKUP(B$2, Percentiles!$A$45:$I$59, 6, FALSE), perc_90, VLOOKUP(B$2, Percentiles!$A$45:$I$59, 7, FALSE), perc_95, VLOOKUP(B$2, Percentiles!$A$45:$I$59, 8, FALSE), perc_85, perc_75 + (perc_90 - perc_75) * (2/3), converted_stat, '2K_Ratings'!B598, IF(bbgm_stat &gt;= perc_95, converted_stat * 3, IF(bbgm_stat &gt;= perc_90, converted_stat * 2, IF(bbgm_stat &gt;= perc_85, converted_stat * 1.5, converted_stat)))))</f>
        <v/>
      </c>
      <c r="C598" s="30" t="str">
        <f t="array" ref="C598">IF($A598="", "", LET(bbgm_stat, INDEX(Players!$A597:$P597, MATCH(C$2, Players!$A$1:$P$1, 0)), perc_75, VLOOKUP(C$2, Percentiles!$A$45:$I$59, 6, FALSE), perc_90, VLOOKUP(C$2, Percentiles!$A$45:$I$59, 7, FALSE), perc_95, VLOOKUP(C$2, Percentiles!$A$45:$I$59, 8, FALSE), perc_85, perc_75 + (perc_90 - perc_75) * (2/3), converted_stat, '2K_Ratings'!C598, IF(bbgm_stat &gt;= perc_95, converted_stat * 3, IF(bbgm_stat &gt;= perc_90, converted_stat * 2, IF(bbgm_stat &gt;= perc_85, converted_stat * 1.5, converted_stat)))))</f>
        <v/>
      </c>
      <c r="D598" s="30" t="str">
        <f t="array" ref="D598">IF($A598="", "", LET(bbgm_stat, INDEX(Players!$A597:$P597, MATCH(D$2, Players!$A$1:$P$1, 0)), perc_75, VLOOKUP(D$2, Percentiles!$A$45:$I$59, 6, FALSE), perc_90, VLOOKUP(D$2, Percentiles!$A$45:$I$59, 7, FALSE), perc_95, VLOOKUP(D$2, Percentiles!$A$45:$I$59, 8, FALSE), perc_85, perc_75 + (perc_90 - perc_75) * (2/3), converted_stat, '2K_Ratings'!D598, IF(bbgm_stat &gt;= perc_95, converted_stat * 3, IF(bbgm_stat &gt;= perc_90, converted_stat * 2, IF(bbgm_stat &gt;= perc_85, converted_stat * 1.5, converted_stat)))))</f>
        <v/>
      </c>
      <c r="E598" s="30" t="str">
        <f t="array" ref="E598">IF($A598="", "", LET(bbgm_stat, INDEX(Players!$A597:$P597, MATCH(E$2, Players!$A$1:$P$1, 0)), perc_75, VLOOKUP(E$2, Percentiles!$A$45:$I$59, 6, FALSE), perc_90, VLOOKUP(E$2, Percentiles!$A$45:$I$59, 7, FALSE), perc_95, VLOOKUP(E$2, Percentiles!$A$45:$I$59, 8, FALSE), perc_85, perc_75 + (perc_90 - perc_75) * (2/3), converted_stat, '2K_Ratings'!E598, IF(bbgm_stat &gt;= perc_95, converted_stat * 3, IF(bbgm_stat &gt;= perc_90, converted_stat * 2, IF(bbgm_stat &gt;= perc_85, converted_stat * 1.5, converted_stat)))))</f>
        <v/>
      </c>
      <c r="F598" s="30" t="str">
        <f t="array" ref="F598">IF($A598="", "", LET(bbgm_stat, INDEX(Players!$A597:$P597, MATCH(F$2, Players!$A$1:$P$1, 0)), perc_75, VLOOKUP(F$2, Percentiles!$A$45:$I$59, 6, FALSE), perc_90, VLOOKUP(F$2, Percentiles!$A$45:$I$59, 7, FALSE), perc_95, VLOOKUP(F$2, Percentiles!$A$45:$I$59, 8, FALSE), perc_85, perc_75 + (perc_90 - perc_75) * (2/3), converted_stat, '2K_Ratings'!F598, IF(bbgm_stat &gt;= perc_95, converted_stat * 3, IF(bbgm_stat &gt;= perc_90, converted_stat * 2, IF(bbgm_stat &gt;= perc_85, converted_stat * 1.5, converted_stat)))))</f>
        <v/>
      </c>
      <c r="G598" s="30" t="str">
        <f t="array" ref="G598">IF($A598="", "", LET(bbgm_stat, INDEX(Players!$A597:$P597, MATCH(G$2, Players!$A$1:$P$1, 0)), perc_75, VLOOKUP(G$2, Percentiles!$A$45:$I$59, 6, FALSE), perc_90, VLOOKUP(G$2, Percentiles!$A$45:$I$59, 7, FALSE), perc_95, VLOOKUP(G$2, Percentiles!$A$45:$I$59, 8, FALSE), perc_85, perc_75 + (perc_90 - perc_75) * (2/3), converted_stat, '2K_Ratings'!G598, IF(bbgm_stat &gt;= perc_95, converted_stat * 3, IF(bbgm_stat &gt;= perc_90, converted_stat * 2, IF(bbgm_stat &gt;= perc_85, converted_stat * 1.5, converted_stat)))))</f>
        <v/>
      </c>
      <c r="H598" s="30" t="str">
        <f t="array" ref="H598">IF($A598="", "", LET(bbgm_stat, INDEX(Players!$A597:$P597, MATCH(H$2, Players!$A$1:$P$1, 0)), perc_75, VLOOKUP(H$2, Percentiles!$A$45:$I$59, 6, FALSE), perc_90, VLOOKUP(H$2, Percentiles!$A$45:$I$59, 7, FALSE), perc_95, VLOOKUP(H$2, Percentiles!$A$45:$I$59, 8, FALSE), perc_85, perc_75 + (perc_90 - perc_75) * (2/3), converted_stat, '2K_Ratings'!H598, IF(bbgm_stat &gt;= perc_95, converted_stat * 3, IF(bbgm_stat &gt;= perc_90, converted_stat * 2, IF(bbgm_stat &gt;= perc_85, converted_stat * 1.5, converted_stat)))))</f>
        <v/>
      </c>
      <c r="I598" s="30" t="str">
        <f t="array" ref="I598">IF($A598="", "", LET(bbgm_stat, INDEX(Players!$A597:$P597, MATCH(I$2, Players!$A$1:$P$1, 0)), perc_75, VLOOKUP(I$2, Percentiles!$A$45:$I$59, 6, FALSE), perc_90, VLOOKUP(I$2, Percentiles!$A$45:$I$59, 7, FALSE), perc_95, VLOOKUP(I$2, Percentiles!$A$45:$I$59, 8, FALSE), perc_85, perc_75 + (perc_90 - perc_75) * (2/3), converted_stat, '2K_Ratings'!I598, IF(bbgm_stat &gt;= perc_95, converted_stat * 3, IF(bbgm_stat &gt;= perc_90, converted_stat * 2, IF(bbgm_stat &gt;= perc_85, converted_stat * 1.5, converted_stat)))))</f>
        <v/>
      </c>
      <c r="J598" s="30" t="str">
        <f t="array" ref="J598">IF($A598="", "", LET(bbgm_stat, INDEX(Players!$A597:$P597, MATCH(J$2, Players!$A$1:$P$1, 0)), perc_75, VLOOKUP(J$2, Percentiles!$A$45:$I$59, 6, FALSE), perc_90, VLOOKUP(J$2, Percentiles!$A$45:$I$59, 7, FALSE), perc_95, VLOOKUP(J$2, Percentiles!$A$45:$I$59, 8, FALSE), perc_85, perc_75 + (perc_90 - perc_75) * (2/3), converted_stat, '2K_Ratings'!J598, IF(bbgm_stat &gt;= perc_95, converted_stat * 3, IF(bbgm_stat &gt;= perc_90, converted_stat * 2, IF(bbgm_stat &gt;= perc_85, converted_stat * 1.5, converted_stat)))))</f>
        <v/>
      </c>
      <c r="K598" s="30" t="str">
        <f t="array" ref="K598">IF($A598="", "", LET(bbgm_stat, INDEX(Players!$A597:$P597, MATCH(K$2, Players!$A$1:$P$1, 0)), perc_75, VLOOKUP(K$2, Percentiles!$A$45:$I$59, 6, FALSE), perc_90, VLOOKUP(K$2, Percentiles!$A$45:$I$59, 7, FALSE), perc_95, VLOOKUP(K$2, Percentiles!$A$45:$I$59, 8, FALSE), perc_85, perc_75 + (perc_90 - perc_75) * (2/3), converted_stat, '2K_Ratings'!K598, IF(bbgm_stat &gt;= perc_95, converted_stat * 3, IF(bbgm_stat &gt;= perc_90, converted_stat * 2, IF(bbgm_stat &gt;= perc_85, converted_stat * 1.5, converted_stat)))))</f>
        <v/>
      </c>
      <c r="L598" s="30" t="str">
        <f t="array" ref="L598">IF($A598="", "", LET(bbgm_stat, INDEX(Players!$A597:$P597, MATCH(L$2, Players!$A$1:$P$1, 0)), perc_75, VLOOKUP(L$2, Percentiles!$A$45:$I$59, 6, FALSE), perc_90, VLOOKUP(L$2, Percentiles!$A$45:$I$59, 7, FALSE), perc_95, VLOOKUP(L$2, Percentiles!$A$45:$I$59, 8, FALSE), perc_85, perc_75 + (perc_90 - perc_75) * (2/3), converted_stat, '2K_Ratings'!L598, IF(bbgm_stat &gt;= perc_95, converted_stat * 3, IF(bbgm_stat &gt;= perc_90, converted_stat * 2, IF(bbgm_stat &gt;= perc_85, converted_stat * 1.5, converted_stat)))))</f>
        <v/>
      </c>
      <c r="M598" s="30" t="str">
        <f t="array" ref="M598">IF($A598="", "", LET(bbgm_stat, INDEX(Players!$A597:$P597, MATCH(M$2, Players!$A$1:$P$1, 0)), perc_75, VLOOKUP(M$2, Percentiles!$A$45:$I$59, 6, FALSE), perc_90, VLOOKUP(M$2, Percentiles!$A$45:$I$59, 7, FALSE), perc_95, VLOOKUP(M$2, Percentiles!$A$45:$I$59, 8, FALSE), perc_85, perc_75 + (perc_90 - perc_75) * (2/3), converted_stat, '2K_Ratings'!M598, IF(bbgm_stat &gt;= perc_95, converted_stat * 3, IF(bbgm_stat &gt;= perc_90, converted_stat * 2, IF(bbgm_stat &gt;= perc_85, converted_stat * 1.5, converted_stat)))))</f>
        <v/>
      </c>
      <c r="N598" s="30" t="str">
        <f t="array" ref="N598">IF($A598="", "", LET(bbgm_stat, INDEX(Players!$A597:$P597, MATCH(N$2, Players!$A$1:$P$1, 0)), perc_75, VLOOKUP(N$2, Percentiles!$A$45:$I$59, 6, FALSE), perc_90, VLOOKUP(N$2, Percentiles!$A$45:$I$59, 7, FALSE), perc_95, VLOOKUP(N$2, Percentiles!$A$45:$I$59, 8, FALSE), perc_85, perc_75 + (perc_90 - perc_75) * (2/3), converted_stat, '2K_Ratings'!N598, IF(bbgm_stat &gt;= perc_95, converted_stat * 3, IF(bbgm_stat &gt;= perc_90, converted_stat * 2, IF(bbgm_stat &gt;= perc_85, converted_stat * 1.5, converted_stat)))))</f>
        <v/>
      </c>
      <c r="O598" s="30" t="str">
        <f t="array" ref="O598">IF($A598="", "", LET(bbgm_stat, INDEX(Players!$A597:$P597, MATCH(O$2, Players!$A$1:$P$1, 0)), perc_75, VLOOKUP(O$2, Percentiles!$A$45:$I$59, 6, FALSE), perc_90, VLOOKUP(O$2, Percentiles!$A$45:$I$59, 7, FALSE), perc_95, VLOOKUP(O$2, Percentiles!$A$45:$I$59, 8, FALSE), perc_85, perc_75 + (perc_90 - perc_75) * (2/3), converted_stat, '2K_Ratings'!O598, IF(bbgm_stat &gt;= perc_95, converted_stat * 3, IF(bbgm_stat &gt;= perc_90, converted_stat * 2, IF(bbgm_stat &gt;= perc_85, converted_stat * 1.5, converted_stat)))))</f>
        <v/>
      </c>
      <c r="P598" s="30" t="str">
        <f t="array" ref="P598">IF($A598="", "", LET(bbgm_stat, INDEX(Players!$A597:$P597, MATCH(P$2, Players!$A$1:$P$1, 0)), perc_75, VLOOKUP(P$2, Percentiles!$A$45:$I$59, 6, FALSE), perc_90, VLOOKUP(P$2, Percentiles!$A$45:$I$59, 7, FALSE), perc_95, VLOOKUP(P$2, Percentiles!$A$45:$I$59, 8, FALSE), perc_85, perc_75 + (perc_90 - perc_75) * (2/3), converted_stat, '2K_Ratings'!P598, IF(bbgm_stat &gt;= perc_95, converted_stat * 3, IF(bbgm_stat &gt;= perc_90, converted_stat * 2, IF(bbgm_stat &gt;= perc_85, converted_stat * 1.5, converted_stat)))))</f>
        <v/>
      </c>
      <c r="Q598" s="30" t="str">
        <f t="array" ref="Q598">IF($A598="", "", LET(bbgm_stat, INDEX(Players!$A597:$P597, MATCH(Q$2, Players!$A$1:$P$1, 0)), perc_75, VLOOKUP(Q$2, Percentiles!$A$45:$I$59, 6, FALSE), perc_90, VLOOKUP(Q$2, Percentiles!$A$45:$I$59, 7, FALSE), perc_95, VLOOKUP(Q$2, Percentiles!$A$45:$I$59, 8, FALSE), perc_85, perc_75 + (perc_90 - perc_75) * (2/3), converted_stat, '2K_Ratings'!Q598, IF(bbgm_stat &gt;= perc_95, converted_stat * 3, IF(bbgm_stat &gt;= perc_90, converted_stat * 2, IF(bbgm_stat &gt;= perc_85, converted_stat * 1.5, converted_stat)))))</f>
        <v/>
      </c>
      <c r="R598" s="30" t="str">
        <f t="array" ref="R598">IF($A598="", "", LET(bbgm_stat, INDEX(Players!$A597:$P597, MATCH(R$2, Players!$A$1:$P$1, 0)), perc_75, VLOOKUP(R$2, Percentiles!$A$45:$I$59, 6, FALSE), perc_90, VLOOKUP(R$2, Percentiles!$A$45:$I$59, 7, FALSE), perc_95, VLOOKUP(R$2, Percentiles!$A$45:$I$59, 8, FALSE), perc_85, perc_75 + (perc_90 - perc_75) * (2/3), converted_stat, '2K_Ratings'!R598, IF(bbgm_stat &gt;= perc_95, converted_stat * 3, IF(bbgm_stat &gt;= perc_90, converted_stat * 2, IF(bbgm_stat &gt;= perc_85, converted_stat * 1.5, converted_stat)))))</f>
        <v/>
      </c>
      <c r="S598" s="30" t="str">
        <f t="array" ref="S598">IF($A598="", "", LET(bbgm_stat, INDEX(Players!$A597:$P597, MATCH(S$2, Players!$A$1:$P$1, 0)), perc_75, VLOOKUP(S$2, Percentiles!$A$45:$I$59, 6, FALSE), perc_90, VLOOKUP(S$2, Percentiles!$A$45:$I$59, 7, FALSE), perc_95, VLOOKUP(S$2, Percentiles!$A$45:$I$59, 8, FALSE), perc_85, perc_75 + (perc_90 - perc_75) * (2/3), converted_stat, '2K_Ratings'!S598, IF(bbgm_stat &gt;= perc_95, converted_stat * 3, IF(bbgm_stat &gt;= perc_90, converted_stat * 2, IF(bbgm_stat &gt;= perc_85, converted_stat * 1.5, converted_stat)))))</f>
        <v/>
      </c>
      <c r="T598" s="30" t="str">
        <f t="array" ref="T598">IF($A598="", "", LET(bbgm_stat, INDEX(Players!$A597:$P597, MATCH(T$2, Players!$A$1:$P$1, 0)), perc_75, VLOOKUP(T$2, Percentiles!$A$45:$I$59, 6, FALSE), perc_90, VLOOKUP(T$2, Percentiles!$A$45:$I$59, 7, FALSE), perc_95, VLOOKUP(T$2, Percentiles!$A$45:$I$59, 8, FALSE), perc_85, perc_75 + (perc_90 - perc_75) * (2/3), converted_stat, '2K_Ratings'!T598, IF(bbgm_stat &gt;= perc_95, converted_stat * 3, IF(bbgm_stat &gt;= perc_90, converted_stat * 2, IF(bbgm_stat &gt;= perc_85, converted_stat * 1.5, converted_stat)))))</f>
        <v/>
      </c>
      <c r="U598" s="30" t="str">
        <f t="array" ref="U598">IF($A598="", "", LET(bbgm_stat, INDEX(Players!$A597:$P597, MATCH(U$2, Players!$A$1:$P$1, 0)), perc_75, VLOOKUP(U$2, Percentiles!$A$45:$I$59, 6, FALSE), perc_90, VLOOKUP(U$2, Percentiles!$A$45:$I$59, 7, FALSE), perc_95, VLOOKUP(U$2, Percentiles!$A$45:$I$59, 8, FALSE), perc_85, perc_75 + (perc_90 - perc_75) * (2/3), converted_stat, '2K_Ratings'!U598, IF(bbgm_stat &gt;= perc_95, converted_stat * 3, IF(bbgm_stat &gt;= perc_90, converted_stat * 2, IF(bbgm_stat &gt;= perc_85, converted_stat * 1.5, converted_stat)))))</f>
        <v/>
      </c>
      <c r="V598" s="30" t="str">
        <f t="array" ref="V598">IF($A598="", "", LET(bbgm_stat, INDEX(Players!$A597:$P597, MATCH(V$2, Players!$A$1:$P$1, 0)), perc_75, VLOOKUP(V$2, Percentiles!$A$45:$I$59, 6, FALSE), perc_90, VLOOKUP(V$2, Percentiles!$A$45:$I$59, 7, FALSE), perc_95, VLOOKUP(V$2, Percentiles!$A$45:$I$59, 8, FALSE), perc_85, perc_75 + (perc_90 - perc_75) * (2/3), converted_stat, '2K_Ratings'!V598, IF(bbgm_stat &gt;= perc_95, converted_stat * 3, IF(bbgm_stat &gt;= perc_90, converted_stat * 2, IF(bbgm_stat &gt;= perc_85, converted_stat * 1.5, converted_stat)))))</f>
        <v/>
      </c>
      <c r="W598" s="30" t="str">
        <f t="array" ref="W598">IF($A598="", "", LET(bbgm_stat, INDEX(Players!$A597:$P597, MATCH(W$2, Players!$A$1:$P$1, 0)), perc_75, VLOOKUP(W$2, Percentiles!$A$45:$I$59, 6, FALSE), perc_90, VLOOKUP(W$2, Percentiles!$A$45:$I$59, 7, FALSE), perc_95, VLOOKUP(W$2, Percentiles!$A$45:$I$59, 8, FALSE), perc_85, perc_75 + (perc_90 - perc_75) * (2/3), converted_stat, '2K_Ratings'!W598, IF(bbgm_stat &gt;= perc_95, converted_stat * 3, IF(bbgm_stat &gt;= perc_90, converted_stat * 2, IF(bbgm_stat &gt;= perc_85, converted_stat * 1.5, converted_stat)))))</f>
        <v/>
      </c>
    </row>
    <row r="599">
      <c r="A599" s="30"/>
      <c r="B599" s="30" t="str">
        <f t="array" ref="B599">IF($A599="", "", LET(bbgm_stat, INDEX(Players!$A598:$P598, MATCH(B$2, Players!$A$1:$P$1, 0)), perc_75, VLOOKUP(B$2, Percentiles!$A$45:$I$59, 6, FALSE), perc_90, VLOOKUP(B$2, Percentiles!$A$45:$I$59, 7, FALSE), perc_95, VLOOKUP(B$2, Percentiles!$A$45:$I$59, 8, FALSE), perc_85, perc_75 + (perc_90 - perc_75) * (2/3), converted_stat, '2K_Ratings'!B599, IF(bbgm_stat &gt;= perc_95, converted_stat * 3, IF(bbgm_stat &gt;= perc_90, converted_stat * 2, IF(bbgm_stat &gt;= perc_85, converted_stat * 1.5, converted_stat)))))</f>
        <v/>
      </c>
      <c r="C599" s="30" t="str">
        <f t="array" ref="C599">IF($A599="", "", LET(bbgm_stat, INDEX(Players!$A598:$P598, MATCH(C$2, Players!$A$1:$P$1, 0)), perc_75, VLOOKUP(C$2, Percentiles!$A$45:$I$59, 6, FALSE), perc_90, VLOOKUP(C$2, Percentiles!$A$45:$I$59, 7, FALSE), perc_95, VLOOKUP(C$2, Percentiles!$A$45:$I$59, 8, FALSE), perc_85, perc_75 + (perc_90 - perc_75) * (2/3), converted_stat, '2K_Ratings'!C599, IF(bbgm_stat &gt;= perc_95, converted_stat * 3, IF(bbgm_stat &gt;= perc_90, converted_stat * 2, IF(bbgm_stat &gt;= perc_85, converted_stat * 1.5, converted_stat)))))</f>
        <v/>
      </c>
      <c r="D599" s="30" t="str">
        <f t="array" ref="D599">IF($A599="", "", LET(bbgm_stat, INDEX(Players!$A598:$P598, MATCH(D$2, Players!$A$1:$P$1, 0)), perc_75, VLOOKUP(D$2, Percentiles!$A$45:$I$59, 6, FALSE), perc_90, VLOOKUP(D$2, Percentiles!$A$45:$I$59, 7, FALSE), perc_95, VLOOKUP(D$2, Percentiles!$A$45:$I$59, 8, FALSE), perc_85, perc_75 + (perc_90 - perc_75) * (2/3), converted_stat, '2K_Ratings'!D599, IF(bbgm_stat &gt;= perc_95, converted_stat * 3, IF(bbgm_stat &gt;= perc_90, converted_stat * 2, IF(bbgm_stat &gt;= perc_85, converted_stat * 1.5, converted_stat)))))</f>
        <v/>
      </c>
      <c r="E599" s="30" t="str">
        <f t="array" ref="E599">IF($A599="", "", LET(bbgm_stat, INDEX(Players!$A598:$P598, MATCH(E$2, Players!$A$1:$P$1, 0)), perc_75, VLOOKUP(E$2, Percentiles!$A$45:$I$59, 6, FALSE), perc_90, VLOOKUP(E$2, Percentiles!$A$45:$I$59, 7, FALSE), perc_95, VLOOKUP(E$2, Percentiles!$A$45:$I$59, 8, FALSE), perc_85, perc_75 + (perc_90 - perc_75) * (2/3), converted_stat, '2K_Ratings'!E599, IF(bbgm_stat &gt;= perc_95, converted_stat * 3, IF(bbgm_stat &gt;= perc_90, converted_stat * 2, IF(bbgm_stat &gt;= perc_85, converted_stat * 1.5, converted_stat)))))</f>
        <v/>
      </c>
      <c r="F599" s="30" t="str">
        <f t="array" ref="F599">IF($A599="", "", LET(bbgm_stat, INDEX(Players!$A598:$P598, MATCH(F$2, Players!$A$1:$P$1, 0)), perc_75, VLOOKUP(F$2, Percentiles!$A$45:$I$59, 6, FALSE), perc_90, VLOOKUP(F$2, Percentiles!$A$45:$I$59, 7, FALSE), perc_95, VLOOKUP(F$2, Percentiles!$A$45:$I$59, 8, FALSE), perc_85, perc_75 + (perc_90 - perc_75) * (2/3), converted_stat, '2K_Ratings'!F599, IF(bbgm_stat &gt;= perc_95, converted_stat * 3, IF(bbgm_stat &gt;= perc_90, converted_stat * 2, IF(bbgm_stat &gt;= perc_85, converted_stat * 1.5, converted_stat)))))</f>
        <v/>
      </c>
      <c r="G599" s="30" t="str">
        <f t="array" ref="G599">IF($A599="", "", LET(bbgm_stat, INDEX(Players!$A598:$P598, MATCH(G$2, Players!$A$1:$P$1, 0)), perc_75, VLOOKUP(G$2, Percentiles!$A$45:$I$59, 6, FALSE), perc_90, VLOOKUP(G$2, Percentiles!$A$45:$I$59, 7, FALSE), perc_95, VLOOKUP(G$2, Percentiles!$A$45:$I$59, 8, FALSE), perc_85, perc_75 + (perc_90 - perc_75) * (2/3), converted_stat, '2K_Ratings'!G599, IF(bbgm_stat &gt;= perc_95, converted_stat * 3, IF(bbgm_stat &gt;= perc_90, converted_stat * 2, IF(bbgm_stat &gt;= perc_85, converted_stat * 1.5, converted_stat)))))</f>
        <v/>
      </c>
      <c r="H599" s="30" t="str">
        <f t="array" ref="H599">IF($A599="", "", LET(bbgm_stat, INDEX(Players!$A598:$P598, MATCH(H$2, Players!$A$1:$P$1, 0)), perc_75, VLOOKUP(H$2, Percentiles!$A$45:$I$59, 6, FALSE), perc_90, VLOOKUP(H$2, Percentiles!$A$45:$I$59, 7, FALSE), perc_95, VLOOKUP(H$2, Percentiles!$A$45:$I$59, 8, FALSE), perc_85, perc_75 + (perc_90 - perc_75) * (2/3), converted_stat, '2K_Ratings'!H599, IF(bbgm_stat &gt;= perc_95, converted_stat * 3, IF(bbgm_stat &gt;= perc_90, converted_stat * 2, IF(bbgm_stat &gt;= perc_85, converted_stat * 1.5, converted_stat)))))</f>
        <v/>
      </c>
      <c r="I599" s="30" t="str">
        <f t="array" ref="I599">IF($A599="", "", LET(bbgm_stat, INDEX(Players!$A598:$P598, MATCH(I$2, Players!$A$1:$P$1, 0)), perc_75, VLOOKUP(I$2, Percentiles!$A$45:$I$59, 6, FALSE), perc_90, VLOOKUP(I$2, Percentiles!$A$45:$I$59, 7, FALSE), perc_95, VLOOKUP(I$2, Percentiles!$A$45:$I$59, 8, FALSE), perc_85, perc_75 + (perc_90 - perc_75) * (2/3), converted_stat, '2K_Ratings'!I599, IF(bbgm_stat &gt;= perc_95, converted_stat * 3, IF(bbgm_stat &gt;= perc_90, converted_stat * 2, IF(bbgm_stat &gt;= perc_85, converted_stat * 1.5, converted_stat)))))</f>
        <v/>
      </c>
      <c r="J599" s="30" t="str">
        <f t="array" ref="J599">IF($A599="", "", LET(bbgm_stat, INDEX(Players!$A598:$P598, MATCH(J$2, Players!$A$1:$P$1, 0)), perc_75, VLOOKUP(J$2, Percentiles!$A$45:$I$59, 6, FALSE), perc_90, VLOOKUP(J$2, Percentiles!$A$45:$I$59, 7, FALSE), perc_95, VLOOKUP(J$2, Percentiles!$A$45:$I$59, 8, FALSE), perc_85, perc_75 + (perc_90 - perc_75) * (2/3), converted_stat, '2K_Ratings'!J599, IF(bbgm_stat &gt;= perc_95, converted_stat * 3, IF(bbgm_stat &gt;= perc_90, converted_stat * 2, IF(bbgm_stat &gt;= perc_85, converted_stat * 1.5, converted_stat)))))</f>
        <v/>
      </c>
      <c r="K599" s="30" t="str">
        <f t="array" ref="K599">IF($A599="", "", LET(bbgm_stat, INDEX(Players!$A598:$P598, MATCH(K$2, Players!$A$1:$P$1, 0)), perc_75, VLOOKUP(K$2, Percentiles!$A$45:$I$59, 6, FALSE), perc_90, VLOOKUP(K$2, Percentiles!$A$45:$I$59, 7, FALSE), perc_95, VLOOKUP(K$2, Percentiles!$A$45:$I$59, 8, FALSE), perc_85, perc_75 + (perc_90 - perc_75) * (2/3), converted_stat, '2K_Ratings'!K599, IF(bbgm_stat &gt;= perc_95, converted_stat * 3, IF(bbgm_stat &gt;= perc_90, converted_stat * 2, IF(bbgm_stat &gt;= perc_85, converted_stat * 1.5, converted_stat)))))</f>
        <v/>
      </c>
      <c r="L599" s="30" t="str">
        <f t="array" ref="L599">IF($A599="", "", LET(bbgm_stat, INDEX(Players!$A598:$P598, MATCH(L$2, Players!$A$1:$P$1, 0)), perc_75, VLOOKUP(L$2, Percentiles!$A$45:$I$59, 6, FALSE), perc_90, VLOOKUP(L$2, Percentiles!$A$45:$I$59, 7, FALSE), perc_95, VLOOKUP(L$2, Percentiles!$A$45:$I$59, 8, FALSE), perc_85, perc_75 + (perc_90 - perc_75) * (2/3), converted_stat, '2K_Ratings'!L599, IF(bbgm_stat &gt;= perc_95, converted_stat * 3, IF(bbgm_stat &gt;= perc_90, converted_stat * 2, IF(bbgm_stat &gt;= perc_85, converted_stat * 1.5, converted_stat)))))</f>
        <v/>
      </c>
      <c r="M599" s="30" t="str">
        <f t="array" ref="M599">IF($A599="", "", LET(bbgm_stat, INDEX(Players!$A598:$P598, MATCH(M$2, Players!$A$1:$P$1, 0)), perc_75, VLOOKUP(M$2, Percentiles!$A$45:$I$59, 6, FALSE), perc_90, VLOOKUP(M$2, Percentiles!$A$45:$I$59, 7, FALSE), perc_95, VLOOKUP(M$2, Percentiles!$A$45:$I$59, 8, FALSE), perc_85, perc_75 + (perc_90 - perc_75) * (2/3), converted_stat, '2K_Ratings'!M599, IF(bbgm_stat &gt;= perc_95, converted_stat * 3, IF(bbgm_stat &gt;= perc_90, converted_stat * 2, IF(bbgm_stat &gt;= perc_85, converted_stat * 1.5, converted_stat)))))</f>
        <v/>
      </c>
      <c r="N599" s="30" t="str">
        <f t="array" ref="N599">IF($A599="", "", LET(bbgm_stat, INDEX(Players!$A598:$P598, MATCH(N$2, Players!$A$1:$P$1, 0)), perc_75, VLOOKUP(N$2, Percentiles!$A$45:$I$59, 6, FALSE), perc_90, VLOOKUP(N$2, Percentiles!$A$45:$I$59, 7, FALSE), perc_95, VLOOKUP(N$2, Percentiles!$A$45:$I$59, 8, FALSE), perc_85, perc_75 + (perc_90 - perc_75) * (2/3), converted_stat, '2K_Ratings'!N599, IF(bbgm_stat &gt;= perc_95, converted_stat * 3, IF(bbgm_stat &gt;= perc_90, converted_stat * 2, IF(bbgm_stat &gt;= perc_85, converted_stat * 1.5, converted_stat)))))</f>
        <v/>
      </c>
      <c r="O599" s="30" t="str">
        <f t="array" ref="O599">IF($A599="", "", LET(bbgm_stat, INDEX(Players!$A598:$P598, MATCH(O$2, Players!$A$1:$P$1, 0)), perc_75, VLOOKUP(O$2, Percentiles!$A$45:$I$59, 6, FALSE), perc_90, VLOOKUP(O$2, Percentiles!$A$45:$I$59, 7, FALSE), perc_95, VLOOKUP(O$2, Percentiles!$A$45:$I$59, 8, FALSE), perc_85, perc_75 + (perc_90 - perc_75) * (2/3), converted_stat, '2K_Ratings'!O599, IF(bbgm_stat &gt;= perc_95, converted_stat * 3, IF(bbgm_stat &gt;= perc_90, converted_stat * 2, IF(bbgm_stat &gt;= perc_85, converted_stat * 1.5, converted_stat)))))</f>
        <v/>
      </c>
      <c r="P599" s="30" t="str">
        <f t="array" ref="P599">IF($A599="", "", LET(bbgm_stat, INDEX(Players!$A598:$P598, MATCH(P$2, Players!$A$1:$P$1, 0)), perc_75, VLOOKUP(P$2, Percentiles!$A$45:$I$59, 6, FALSE), perc_90, VLOOKUP(P$2, Percentiles!$A$45:$I$59, 7, FALSE), perc_95, VLOOKUP(P$2, Percentiles!$A$45:$I$59, 8, FALSE), perc_85, perc_75 + (perc_90 - perc_75) * (2/3), converted_stat, '2K_Ratings'!P599, IF(bbgm_stat &gt;= perc_95, converted_stat * 3, IF(bbgm_stat &gt;= perc_90, converted_stat * 2, IF(bbgm_stat &gt;= perc_85, converted_stat * 1.5, converted_stat)))))</f>
        <v/>
      </c>
      <c r="Q599" s="30" t="str">
        <f t="array" ref="Q599">IF($A599="", "", LET(bbgm_stat, INDEX(Players!$A598:$P598, MATCH(Q$2, Players!$A$1:$P$1, 0)), perc_75, VLOOKUP(Q$2, Percentiles!$A$45:$I$59, 6, FALSE), perc_90, VLOOKUP(Q$2, Percentiles!$A$45:$I$59, 7, FALSE), perc_95, VLOOKUP(Q$2, Percentiles!$A$45:$I$59, 8, FALSE), perc_85, perc_75 + (perc_90 - perc_75) * (2/3), converted_stat, '2K_Ratings'!Q599, IF(bbgm_stat &gt;= perc_95, converted_stat * 3, IF(bbgm_stat &gt;= perc_90, converted_stat * 2, IF(bbgm_stat &gt;= perc_85, converted_stat * 1.5, converted_stat)))))</f>
        <v/>
      </c>
      <c r="R599" s="30" t="str">
        <f t="array" ref="R599">IF($A599="", "", LET(bbgm_stat, INDEX(Players!$A598:$P598, MATCH(R$2, Players!$A$1:$P$1, 0)), perc_75, VLOOKUP(R$2, Percentiles!$A$45:$I$59, 6, FALSE), perc_90, VLOOKUP(R$2, Percentiles!$A$45:$I$59, 7, FALSE), perc_95, VLOOKUP(R$2, Percentiles!$A$45:$I$59, 8, FALSE), perc_85, perc_75 + (perc_90 - perc_75) * (2/3), converted_stat, '2K_Ratings'!R599, IF(bbgm_stat &gt;= perc_95, converted_stat * 3, IF(bbgm_stat &gt;= perc_90, converted_stat * 2, IF(bbgm_stat &gt;= perc_85, converted_stat * 1.5, converted_stat)))))</f>
        <v/>
      </c>
      <c r="S599" s="30" t="str">
        <f t="array" ref="S599">IF($A599="", "", LET(bbgm_stat, INDEX(Players!$A598:$P598, MATCH(S$2, Players!$A$1:$P$1, 0)), perc_75, VLOOKUP(S$2, Percentiles!$A$45:$I$59, 6, FALSE), perc_90, VLOOKUP(S$2, Percentiles!$A$45:$I$59, 7, FALSE), perc_95, VLOOKUP(S$2, Percentiles!$A$45:$I$59, 8, FALSE), perc_85, perc_75 + (perc_90 - perc_75) * (2/3), converted_stat, '2K_Ratings'!S599, IF(bbgm_stat &gt;= perc_95, converted_stat * 3, IF(bbgm_stat &gt;= perc_90, converted_stat * 2, IF(bbgm_stat &gt;= perc_85, converted_stat * 1.5, converted_stat)))))</f>
        <v/>
      </c>
      <c r="T599" s="30" t="str">
        <f t="array" ref="T599">IF($A599="", "", LET(bbgm_stat, INDEX(Players!$A598:$P598, MATCH(T$2, Players!$A$1:$P$1, 0)), perc_75, VLOOKUP(T$2, Percentiles!$A$45:$I$59, 6, FALSE), perc_90, VLOOKUP(T$2, Percentiles!$A$45:$I$59, 7, FALSE), perc_95, VLOOKUP(T$2, Percentiles!$A$45:$I$59, 8, FALSE), perc_85, perc_75 + (perc_90 - perc_75) * (2/3), converted_stat, '2K_Ratings'!T599, IF(bbgm_stat &gt;= perc_95, converted_stat * 3, IF(bbgm_stat &gt;= perc_90, converted_stat * 2, IF(bbgm_stat &gt;= perc_85, converted_stat * 1.5, converted_stat)))))</f>
        <v/>
      </c>
      <c r="U599" s="30" t="str">
        <f t="array" ref="U599">IF($A599="", "", LET(bbgm_stat, INDEX(Players!$A598:$P598, MATCH(U$2, Players!$A$1:$P$1, 0)), perc_75, VLOOKUP(U$2, Percentiles!$A$45:$I$59, 6, FALSE), perc_90, VLOOKUP(U$2, Percentiles!$A$45:$I$59, 7, FALSE), perc_95, VLOOKUP(U$2, Percentiles!$A$45:$I$59, 8, FALSE), perc_85, perc_75 + (perc_90 - perc_75) * (2/3), converted_stat, '2K_Ratings'!U599, IF(bbgm_stat &gt;= perc_95, converted_stat * 3, IF(bbgm_stat &gt;= perc_90, converted_stat * 2, IF(bbgm_stat &gt;= perc_85, converted_stat * 1.5, converted_stat)))))</f>
        <v/>
      </c>
      <c r="V599" s="30" t="str">
        <f t="array" ref="V599">IF($A599="", "", LET(bbgm_stat, INDEX(Players!$A598:$P598, MATCH(V$2, Players!$A$1:$P$1, 0)), perc_75, VLOOKUP(V$2, Percentiles!$A$45:$I$59, 6, FALSE), perc_90, VLOOKUP(V$2, Percentiles!$A$45:$I$59, 7, FALSE), perc_95, VLOOKUP(V$2, Percentiles!$A$45:$I$59, 8, FALSE), perc_85, perc_75 + (perc_90 - perc_75) * (2/3), converted_stat, '2K_Ratings'!V599, IF(bbgm_stat &gt;= perc_95, converted_stat * 3, IF(bbgm_stat &gt;= perc_90, converted_stat * 2, IF(bbgm_stat &gt;= perc_85, converted_stat * 1.5, converted_stat)))))</f>
        <v/>
      </c>
      <c r="W599" s="30" t="str">
        <f t="array" ref="W599">IF($A599="", "", LET(bbgm_stat, INDEX(Players!$A598:$P598, MATCH(W$2, Players!$A$1:$P$1, 0)), perc_75, VLOOKUP(W$2, Percentiles!$A$45:$I$59, 6, FALSE), perc_90, VLOOKUP(W$2, Percentiles!$A$45:$I$59, 7, FALSE), perc_95, VLOOKUP(W$2, Percentiles!$A$45:$I$59, 8, FALSE), perc_85, perc_75 + (perc_90 - perc_75) * (2/3), converted_stat, '2K_Ratings'!W599, IF(bbgm_stat &gt;= perc_95, converted_stat * 3, IF(bbgm_stat &gt;= perc_90, converted_stat * 2, IF(bbgm_stat &gt;= perc_85, converted_stat * 1.5, converted_stat)))))</f>
        <v/>
      </c>
    </row>
    <row r="600">
      <c r="A600" s="30"/>
      <c r="B600" s="30" t="str">
        <f t="array" ref="B600">IF($A600="", "", LET(bbgm_stat, INDEX(Players!$A599:$P599, MATCH(B$2, Players!$A$1:$P$1, 0)), perc_75, VLOOKUP(B$2, Percentiles!$A$45:$I$59, 6, FALSE), perc_90, VLOOKUP(B$2, Percentiles!$A$45:$I$59, 7, FALSE), perc_95, VLOOKUP(B$2, Percentiles!$A$45:$I$59, 8, FALSE), perc_85, perc_75 + (perc_90 - perc_75) * (2/3), converted_stat, '2K_Ratings'!B600, IF(bbgm_stat &gt;= perc_95, converted_stat * 3, IF(bbgm_stat &gt;= perc_90, converted_stat * 2, IF(bbgm_stat &gt;= perc_85, converted_stat * 1.5, converted_stat)))))</f>
        <v/>
      </c>
      <c r="C600" s="30" t="str">
        <f t="array" ref="C600">IF($A600="", "", LET(bbgm_stat, INDEX(Players!$A599:$P599, MATCH(C$2, Players!$A$1:$P$1, 0)), perc_75, VLOOKUP(C$2, Percentiles!$A$45:$I$59, 6, FALSE), perc_90, VLOOKUP(C$2, Percentiles!$A$45:$I$59, 7, FALSE), perc_95, VLOOKUP(C$2, Percentiles!$A$45:$I$59, 8, FALSE), perc_85, perc_75 + (perc_90 - perc_75) * (2/3), converted_stat, '2K_Ratings'!C600, IF(bbgm_stat &gt;= perc_95, converted_stat * 3, IF(bbgm_stat &gt;= perc_90, converted_stat * 2, IF(bbgm_stat &gt;= perc_85, converted_stat * 1.5, converted_stat)))))</f>
        <v/>
      </c>
      <c r="D600" s="30" t="str">
        <f t="array" ref="D600">IF($A600="", "", LET(bbgm_stat, INDEX(Players!$A599:$P599, MATCH(D$2, Players!$A$1:$P$1, 0)), perc_75, VLOOKUP(D$2, Percentiles!$A$45:$I$59, 6, FALSE), perc_90, VLOOKUP(D$2, Percentiles!$A$45:$I$59, 7, FALSE), perc_95, VLOOKUP(D$2, Percentiles!$A$45:$I$59, 8, FALSE), perc_85, perc_75 + (perc_90 - perc_75) * (2/3), converted_stat, '2K_Ratings'!D600, IF(bbgm_stat &gt;= perc_95, converted_stat * 3, IF(bbgm_stat &gt;= perc_90, converted_stat * 2, IF(bbgm_stat &gt;= perc_85, converted_stat * 1.5, converted_stat)))))</f>
        <v/>
      </c>
      <c r="E600" s="30" t="str">
        <f t="array" ref="E600">IF($A600="", "", LET(bbgm_stat, INDEX(Players!$A599:$P599, MATCH(E$2, Players!$A$1:$P$1, 0)), perc_75, VLOOKUP(E$2, Percentiles!$A$45:$I$59, 6, FALSE), perc_90, VLOOKUP(E$2, Percentiles!$A$45:$I$59, 7, FALSE), perc_95, VLOOKUP(E$2, Percentiles!$A$45:$I$59, 8, FALSE), perc_85, perc_75 + (perc_90 - perc_75) * (2/3), converted_stat, '2K_Ratings'!E600, IF(bbgm_stat &gt;= perc_95, converted_stat * 3, IF(bbgm_stat &gt;= perc_90, converted_stat * 2, IF(bbgm_stat &gt;= perc_85, converted_stat * 1.5, converted_stat)))))</f>
        <v/>
      </c>
      <c r="F600" s="30" t="str">
        <f t="array" ref="F600">IF($A600="", "", LET(bbgm_stat, INDEX(Players!$A599:$P599, MATCH(F$2, Players!$A$1:$P$1, 0)), perc_75, VLOOKUP(F$2, Percentiles!$A$45:$I$59, 6, FALSE), perc_90, VLOOKUP(F$2, Percentiles!$A$45:$I$59, 7, FALSE), perc_95, VLOOKUP(F$2, Percentiles!$A$45:$I$59, 8, FALSE), perc_85, perc_75 + (perc_90 - perc_75) * (2/3), converted_stat, '2K_Ratings'!F600, IF(bbgm_stat &gt;= perc_95, converted_stat * 3, IF(bbgm_stat &gt;= perc_90, converted_stat * 2, IF(bbgm_stat &gt;= perc_85, converted_stat * 1.5, converted_stat)))))</f>
        <v/>
      </c>
      <c r="G600" s="30" t="str">
        <f t="array" ref="G600">IF($A600="", "", LET(bbgm_stat, INDEX(Players!$A599:$P599, MATCH(G$2, Players!$A$1:$P$1, 0)), perc_75, VLOOKUP(G$2, Percentiles!$A$45:$I$59, 6, FALSE), perc_90, VLOOKUP(G$2, Percentiles!$A$45:$I$59, 7, FALSE), perc_95, VLOOKUP(G$2, Percentiles!$A$45:$I$59, 8, FALSE), perc_85, perc_75 + (perc_90 - perc_75) * (2/3), converted_stat, '2K_Ratings'!G600, IF(bbgm_stat &gt;= perc_95, converted_stat * 3, IF(bbgm_stat &gt;= perc_90, converted_stat * 2, IF(bbgm_stat &gt;= perc_85, converted_stat * 1.5, converted_stat)))))</f>
        <v/>
      </c>
      <c r="H600" s="30" t="str">
        <f t="array" ref="H600">IF($A600="", "", LET(bbgm_stat, INDEX(Players!$A599:$P599, MATCH(H$2, Players!$A$1:$P$1, 0)), perc_75, VLOOKUP(H$2, Percentiles!$A$45:$I$59, 6, FALSE), perc_90, VLOOKUP(H$2, Percentiles!$A$45:$I$59, 7, FALSE), perc_95, VLOOKUP(H$2, Percentiles!$A$45:$I$59, 8, FALSE), perc_85, perc_75 + (perc_90 - perc_75) * (2/3), converted_stat, '2K_Ratings'!H600, IF(bbgm_stat &gt;= perc_95, converted_stat * 3, IF(bbgm_stat &gt;= perc_90, converted_stat * 2, IF(bbgm_stat &gt;= perc_85, converted_stat * 1.5, converted_stat)))))</f>
        <v/>
      </c>
      <c r="I600" s="30" t="str">
        <f t="array" ref="I600">IF($A600="", "", LET(bbgm_stat, INDEX(Players!$A599:$P599, MATCH(I$2, Players!$A$1:$P$1, 0)), perc_75, VLOOKUP(I$2, Percentiles!$A$45:$I$59, 6, FALSE), perc_90, VLOOKUP(I$2, Percentiles!$A$45:$I$59, 7, FALSE), perc_95, VLOOKUP(I$2, Percentiles!$A$45:$I$59, 8, FALSE), perc_85, perc_75 + (perc_90 - perc_75) * (2/3), converted_stat, '2K_Ratings'!I600, IF(bbgm_stat &gt;= perc_95, converted_stat * 3, IF(bbgm_stat &gt;= perc_90, converted_stat * 2, IF(bbgm_stat &gt;= perc_85, converted_stat * 1.5, converted_stat)))))</f>
        <v/>
      </c>
      <c r="J600" s="30" t="str">
        <f t="array" ref="J600">IF($A600="", "", LET(bbgm_stat, INDEX(Players!$A599:$P599, MATCH(J$2, Players!$A$1:$P$1, 0)), perc_75, VLOOKUP(J$2, Percentiles!$A$45:$I$59, 6, FALSE), perc_90, VLOOKUP(J$2, Percentiles!$A$45:$I$59, 7, FALSE), perc_95, VLOOKUP(J$2, Percentiles!$A$45:$I$59, 8, FALSE), perc_85, perc_75 + (perc_90 - perc_75) * (2/3), converted_stat, '2K_Ratings'!J600, IF(bbgm_stat &gt;= perc_95, converted_stat * 3, IF(bbgm_stat &gt;= perc_90, converted_stat * 2, IF(bbgm_stat &gt;= perc_85, converted_stat * 1.5, converted_stat)))))</f>
        <v/>
      </c>
      <c r="K600" s="30" t="str">
        <f t="array" ref="K600">IF($A600="", "", LET(bbgm_stat, INDEX(Players!$A599:$P599, MATCH(K$2, Players!$A$1:$P$1, 0)), perc_75, VLOOKUP(K$2, Percentiles!$A$45:$I$59, 6, FALSE), perc_90, VLOOKUP(K$2, Percentiles!$A$45:$I$59, 7, FALSE), perc_95, VLOOKUP(K$2, Percentiles!$A$45:$I$59, 8, FALSE), perc_85, perc_75 + (perc_90 - perc_75) * (2/3), converted_stat, '2K_Ratings'!K600, IF(bbgm_stat &gt;= perc_95, converted_stat * 3, IF(bbgm_stat &gt;= perc_90, converted_stat * 2, IF(bbgm_stat &gt;= perc_85, converted_stat * 1.5, converted_stat)))))</f>
        <v/>
      </c>
      <c r="L600" s="30" t="str">
        <f t="array" ref="L600">IF($A600="", "", LET(bbgm_stat, INDEX(Players!$A599:$P599, MATCH(L$2, Players!$A$1:$P$1, 0)), perc_75, VLOOKUP(L$2, Percentiles!$A$45:$I$59, 6, FALSE), perc_90, VLOOKUP(L$2, Percentiles!$A$45:$I$59, 7, FALSE), perc_95, VLOOKUP(L$2, Percentiles!$A$45:$I$59, 8, FALSE), perc_85, perc_75 + (perc_90 - perc_75) * (2/3), converted_stat, '2K_Ratings'!L600, IF(bbgm_stat &gt;= perc_95, converted_stat * 3, IF(bbgm_stat &gt;= perc_90, converted_stat * 2, IF(bbgm_stat &gt;= perc_85, converted_stat * 1.5, converted_stat)))))</f>
        <v/>
      </c>
      <c r="M600" s="30" t="str">
        <f t="array" ref="M600">IF($A600="", "", LET(bbgm_stat, INDEX(Players!$A599:$P599, MATCH(M$2, Players!$A$1:$P$1, 0)), perc_75, VLOOKUP(M$2, Percentiles!$A$45:$I$59, 6, FALSE), perc_90, VLOOKUP(M$2, Percentiles!$A$45:$I$59, 7, FALSE), perc_95, VLOOKUP(M$2, Percentiles!$A$45:$I$59, 8, FALSE), perc_85, perc_75 + (perc_90 - perc_75) * (2/3), converted_stat, '2K_Ratings'!M600, IF(bbgm_stat &gt;= perc_95, converted_stat * 3, IF(bbgm_stat &gt;= perc_90, converted_stat * 2, IF(bbgm_stat &gt;= perc_85, converted_stat * 1.5, converted_stat)))))</f>
        <v/>
      </c>
      <c r="N600" s="30" t="str">
        <f t="array" ref="N600">IF($A600="", "", LET(bbgm_stat, INDEX(Players!$A599:$P599, MATCH(N$2, Players!$A$1:$P$1, 0)), perc_75, VLOOKUP(N$2, Percentiles!$A$45:$I$59, 6, FALSE), perc_90, VLOOKUP(N$2, Percentiles!$A$45:$I$59, 7, FALSE), perc_95, VLOOKUP(N$2, Percentiles!$A$45:$I$59, 8, FALSE), perc_85, perc_75 + (perc_90 - perc_75) * (2/3), converted_stat, '2K_Ratings'!N600, IF(bbgm_stat &gt;= perc_95, converted_stat * 3, IF(bbgm_stat &gt;= perc_90, converted_stat * 2, IF(bbgm_stat &gt;= perc_85, converted_stat * 1.5, converted_stat)))))</f>
        <v/>
      </c>
      <c r="O600" s="30" t="str">
        <f t="array" ref="O600">IF($A600="", "", LET(bbgm_stat, INDEX(Players!$A599:$P599, MATCH(O$2, Players!$A$1:$P$1, 0)), perc_75, VLOOKUP(O$2, Percentiles!$A$45:$I$59, 6, FALSE), perc_90, VLOOKUP(O$2, Percentiles!$A$45:$I$59, 7, FALSE), perc_95, VLOOKUP(O$2, Percentiles!$A$45:$I$59, 8, FALSE), perc_85, perc_75 + (perc_90 - perc_75) * (2/3), converted_stat, '2K_Ratings'!O600, IF(bbgm_stat &gt;= perc_95, converted_stat * 3, IF(bbgm_stat &gt;= perc_90, converted_stat * 2, IF(bbgm_stat &gt;= perc_85, converted_stat * 1.5, converted_stat)))))</f>
        <v/>
      </c>
      <c r="P600" s="30" t="str">
        <f t="array" ref="P600">IF($A600="", "", LET(bbgm_stat, INDEX(Players!$A599:$P599, MATCH(P$2, Players!$A$1:$P$1, 0)), perc_75, VLOOKUP(P$2, Percentiles!$A$45:$I$59, 6, FALSE), perc_90, VLOOKUP(P$2, Percentiles!$A$45:$I$59, 7, FALSE), perc_95, VLOOKUP(P$2, Percentiles!$A$45:$I$59, 8, FALSE), perc_85, perc_75 + (perc_90 - perc_75) * (2/3), converted_stat, '2K_Ratings'!P600, IF(bbgm_stat &gt;= perc_95, converted_stat * 3, IF(bbgm_stat &gt;= perc_90, converted_stat * 2, IF(bbgm_stat &gt;= perc_85, converted_stat * 1.5, converted_stat)))))</f>
        <v/>
      </c>
      <c r="Q600" s="30" t="str">
        <f t="array" ref="Q600">IF($A600="", "", LET(bbgm_stat, INDEX(Players!$A599:$P599, MATCH(Q$2, Players!$A$1:$P$1, 0)), perc_75, VLOOKUP(Q$2, Percentiles!$A$45:$I$59, 6, FALSE), perc_90, VLOOKUP(Q$2, Percentiles!$A$45:$I$59, 7, FALSE), perc_95, VLOOKUP(Q$2, Percentiles!$A$45:$I$59, 8, FALSE), perc_85, perc_75 + (perc_90 - perc_75) * (2/3), converted_stat, '2K_Ratings'!Q600, IF(bbgm_stat &gt;= perc_95, converted_stat * 3, IF(bbgm_stat &gt;= perc_90, converted_stat * 2, IF(bbgm_stat &gt;= perc_85, converted_stat * 1.5, converted_stat)))))</f>
        <v/>
      </c>
      <c r="R600" s="30" t="str">
        <f t="array" ref="R600">IF($A600="", "", LET(bbgm_stat, INDEX(Players!$A599:$P599, MATCH(R$2, Players!$A$1:$P$1, 0)), perc_75, VLOOKUP(R$2, Percentiles!$A$45:$I$59, 6, FALSE), perc_90, VLOOKUP(R$2, Percentiles!$A$45:$I$59, 7, FALSE), perc_95, VLOOKUP(R$2, Percentiles!$A$45:$I$59, 8, FALSE), perc_85, perc_75 + (perc_90 - perc_75) * (2/3), converted_stat, '2K_Ratings'!R600, IF(bbgm_stat &gt;= perc_95, converted_stat * 3, IF(bbgm_stat &gt;= perc_90, converted_stat * 2, IF(bbgm_stat &gt;= perc_85, converted_stat * 1.5, converted_stat)))))</f>
        <v/>
      </c>
      <c r="S600" s="30" t="str">
        <f t="array" ref="S600">IF($A600="", "", LET(bbgm_stat, INDEX(Players!$A599:$P599, MATCH(S$2, Players!$A$1:$P$1, 0)), perc_75, VLOOKUP(S$2, Percentiles!$A$45:$I$59, 6, FALSE), perc_90, VLOOKUP(S$2, Percentiles!$A$45:$I$59, 7, FALSE), perc_95, VLOOKUP(S$2, Percentiles!$A$45:$I$59, 8, FALSE), perc_85, perc_75 + (perc_90 - perc_75) * (2/3), converted_stat, '2K_Ratings'!S600, IF(bbgm_stat &gt;= perc_95, converted_stat * 3, IF(bbgm_stat &gt;= perc_90, converted_stat * 2, IF(bbgm_stat &gt;= perc_85, converted_stat * 1.5, converted_stat)))))</f>
        <v/>
      </c>
      <c r="T600" s="30" t="str">
        <f t="array" ref="T600">IF($A600="", "", LET(bbgm_stat, INDEX(Players!$A599:$P599, MATCH(T$2, Players!$A$1:$P$1, 0)), perc_75, VLOOKUP(T$2, Percentiles!$A$45:$I$59, 6, FALSE), perc_90, VLOOKUP(T$2, Percentiles!$A$45:$I$59, 7, FALSE), perc_95, VLOOKUP(T$2, Percentiles!$A$45:$I$59, 8, FALSE), perc_85, perc_75 + (perc_90 - perc_75) * (2/3), converted_stat, '2K_Ratings'!T600, IF(bbgm_stat &gt;= perc_95, converted_stat * 3, IF(bbgm_stat &gt;= perc_90, converted_stat * 2, IF(bbgm_stat &gt;= perc_85, converted_stat * 1.5, converted_stat)))))</f>
        <v/>
      </c>
      <c r="U600" s="30" t="str">
        <f t="array" ref="U600">IF($A600="", "", LET(bbgm_stat, INDEX(Players!$A599:$P599, MATCH(U$2, Players!$A$1:$P$1, 0)), perc_75, VLOOKUP(U$2, Percentiles!$A$45:$I$59, 6, FALSE), perc_90, VLOOKUP(U$2, Percentiles!$A$45:$I$59, 7, FALSE), perc_95, VLOOKUP(U$2, Percentiles!$A$45:$I$59, 8, FALSE), perc_85, perc_75 + (perc_90 - perc_75) * (2/3), converted_stat, '2K_Ratings'!U600, IF(bbgm_stat &gt;= perc_95, converted_stat * 3, IF(bbgm_stat &gt;= perc_90, converted_stat * 2, IF(bbgm_stat &gt;= perc_85, converted_stat * 1.5, converted_stat)))))</f>
        <v/>
      </c>
      <c r="V600" s="30" t="str">
        <f t="array" ref="V600">IF($A600="", "", LET(bbgm_stat, INDEX(Players!$A599:$P599, MATCH(V$2, Players!$A$1:$P$1, 0)), perc_75, VLOOKUP(V$2, Percentiles!$A$45:$I$59, 6, FALSE), perc_90, VLOOKUP(V$2, Percentiles!$A$45:$I$59, 7, FALSE), perc_95, VLOOKUP(V$2, Percentiles!$A$45:$I$59, 8, FALSE), perc_85, perc_75 + (perc_90 - perc_75) * (2/3), converted_stat, '2K_Ratings'!V600, IF(bbgm_stat &gt;= perc_95, converted_stat * 3, IF(bbgm_stat &gt;= perc_90, converted_stat * 2, IF(bbgm_stat &gt;= perc_85, converted_stat * 1.5, converted_stat)))))</f>
        <v/>
      </c>
      <c r="W600" s="30" t="str">
        <f t="array" ref="W600">IF($A600="", "", LET(bbgm_stat, INDEX(Players!$A599:$P599, MATCH(W$2, Players!$A$1:$P$1, 0)), perc_75, VLOOKUP(W$2, Percentiles!$A$45:$I$59, 6, FALSE), perc_90, VLOOKUP(W$2, Percentiles!$A$45:$I$59, 7, FALSE), perc_95, VLOOKUP(W$2, Percentiles!$A$45:$I$59, 8, FALSE), perc_85, perc_75 + (perc_90 - perc_75) * (2/3), converted_stat, '2K_Ratings'!W600, IF(bbgm_stat &gt;= perc_95, converted_stat * 3, IF(bbgm_stat &gt;= perc_90, converted_stat * 2, IF(bbgm_stat &gt;= perc_85, converted_stat * 1.5, converted_stat)))))</f>
        <v/>
      </c>
    </row>
    <row r="601">
      <c r="A601" s="30"/>
      <c r="B601" s="30" t="str">
        <f t="array" ref="B601">IF($A601="", "", LET(bbgm_stat, INDEX(Players!$A600:$P600, MATCH(B$2, Players!$A$1:$P$1, 0)), perc_75, VLOOKUP(B$2, Percentiles!$A$45:$I$59, 6, FALSE), perc_90, VLOOKUP(B$2, Percentiles!$A$45:$I$59, 7, FALSE), perc_95, VLOOKUP(B$2, Percentiles!$A$45:$I$59, 8, FALSE), perc_85, perc_75 + (perc_90 - perc_75) * (2/3), converted_stat, '2K_Ratings'!B601, IF(bbgm_stat &gt;= perc_95, converted_stat * 3, IF(bbgm_stat &gt;= perc_90, converted_stat * 2, IF(bbgm_stat &gt;= perc_85, converted_stat * 1.5, converted_stat)))))</f>
        <v/>
      </c>
      <c r="C601" s="30" t="str">
        <f t="array" ref="C601">IF($A601="", "", LET(bbgm_stat, INDEX(Players!$A600:$P600, MATCH(C$2, Players!$A$1:$P$1, 0)), perc_75, VLOOKUP(C$2, Percentiles!$A$45:$I$59, 6, FALSE), perc_90, VLOOKUP(C$2, Percentiles!$A$45:$I$59, 7, FALSE), perc_95, VLOOKUP(C$2, Percentiles!$A$45:$I$59, 8, FALSE), perc_85, perc_75 + (perc_90 - perc_75) * (2/3), converted_stat, '2K_Ratings'!C601, IF(bbgm_stat &gt;= perc_95, converted_stat * 3, IF(bbgm_stat &gt;= perc_90, converted_stat * 2, IF(bbgm_stat &gt;= perc_85, converted_stat * 1.5, converted_stat)))))</f>
        <v/>
      </c>
      <c r="D601" s="30" t="str">
        <f t="array" ref="D601">IF($A601="", "", LET(bbgm_stat, INDEX(Players!$A600:$P600, MATCH(D$2, Players!$A$1:$P$1, 0)), perc_75, VLOOKUP(D$2, Percentiles!$A$45:$I$59, 6, FALSE), perc_90, VLOOKUP(D$2, Percentiles!$A$45:$I$59, 7, FALSE), perc_95, VLOOKUP(D$2, Percentiles!$A$45:$I$59, 8, FALSE), perc_85, perc_75 + (perc_90 - perc_75) * (2/3), converted_stat, '2K_Ratings'!D601, IF(bbgm_stat &gt;= perc_95, converted_stat * 3, IF(bbgm_stat &gt;= perc_90, converted_stat * 2, IF(bbgm_stat &gt;= perc_85, converted_stat * 1.5, converted_stat)))))</f>
        <v/>
      </c>
      <c r="E601" s="30" t="str">
        <f t="array" ref="E601">IF($A601="", "", LET(bbgm_stat, INDEX(Players!$A600:$P600, MATCH(E$2, Players!$A$1:$P$1, 0)), perc_75, VLOOKUP(E$2, Percentiles!$A$45:$I$59, 6, FALSE), perc_90, VLOOKUP(E$2, Percentiles!$A$45:$I$59, 7, FALSE), perc_95, VLOOKUP(E$2, Percentiles!$A$45:$I$59, 8, FALSE), perc_85, perc_75 + (perc_90 - perc_75) * (2/3), converted_stat, '2K_Ratings'!E601, IF(bbgm_stat &gt;= perc_95, converted_stat * 3, IF(bbgm_stat &gt;= perc_90, converted_stat * 2, IF(bbgm_stat &gt;= perc_85, converted_stat * 1.5, converted_stat)))))</f>
        <v/>
      </c>
      <c r="F601" s="30" t="str">
        <f t="array" ref="F601">IF($A601="", "", LET(bbgm_stat, INDEX(Players!$A600:$P600, MATCH(F$2, Players!$A$1:$P$1, 0)), perc_75, VLOOKUP(F$2, Percentiles!$A$45:$I$59, 6, FALSE), perc_90, VLOOKUP(F$2, Percentiles!$A$45:$I$59, 7, FALSE), perc_95, VLOOKUP(F$2, Percentiles!$A$45:$I$59, 8, FALSE), perc_85, perc_75 + (perc_90 - perc_75) * (2/3), converted_stat, '2K_Ratings'!F601, IF(bbgm_stat &gt;= perc_95, converted_stat * 3, IF(bbgm_stat &gt;= perc_90, converted_stat * 2, IF(bbgm_stat &gt;= perc_85, converted_stat * 1.5, converted_stat)))))</f>
        <v/>
      </c>
      <c r="G601" s="30" t="str">
        <f t="array" ref="G601">IF($A601="", "", LET(bbgm_stat, INDEX(Players!$A600:$P600, MATCH(G$2, Players!$A$1:$P$1, 0)), perc_75, VLOOKUP(G$2, Percentiles!$A$45:$I$59, 6, FALSE), perc_90, VLOOKUP(G$2, Percentiles!$A$45:$I$59, 7, FALSE), perc_95, VLOOKUP(G$2, Percentiles!$A$45:$I$59, 8, FALSE), perc_85, perc_75 + (perc_90 - perc_75) * (2/3), converted_stat, '2K_Ratings'!G601, IF(bbgm_stat &gt;= perc_95, converted_stat * 3, IF(bbgm_stat &gt;= perc_90, converted_stat * 2, IF(bbgm_stat &gt;= perc_85, converted_stat * 1.5, converted_stat)))))</f>
        <v/>
      </c>
      <c r="H601" s="30" t="str">
        <f t="array" ref="H601">IF($A601="", "", LET(bbgm_stat, INDEX(Players!$A600:$P600, MATCH(H$2, Players!$A$1:$P$1, 0)), perc_75, VLOOKUP(H$2, Percentiles!$A$45:$I$59, 6, FALSE), perc_90, VLOOKUP(H$2, Percentiles!$A$45:$I$59, 7, FALSE), perc_95, VLOOKUP(H$2, Percentiles!$A$45:$I$59, 8, FALSE), perc_85, perc_75 + (perc_90 - perc_75) * (2/3), converted_stat, '2K_Ratings'!H601, IF(bbgm_stat &gt;= perc_95, converted_stat * 3, IF(bbgm_stat &gt;= perc_90, converted_stat * 2, IF(bbgm_stat &gt;= perc_85, converted_stat * 1.5, converted_stat)))))</f>
        <v/>
      </c>
      <c r="I601" s="30" t="str">
        <f t="array" ref="I601">IF($A601="", "", LET(bbgm_stat, INDEX(Players!$A600:$P600, MATCH(I$2, Players!$A$1:$P$1, 0)), perc_75, VLOOKUP(I$2, Percentiles!$A$45:$I$59, 6, FALSE), perc_90, VLOOKUP(I$2, Percentiles!$A$45:$I$59, 7, FALSE), perc_95, VLOOKUP(I$2, Percentiles!$A$45:$I$59, 8, FALSE), perc_85, perc_75 + (perc_90 - perc_75) * (2/3), converted_stat, '2K_Ratings'!I601, IF(bbgm_stat &gt;= perc_95, converted_stat * 3, IF(bbgm_stat &gt;= perc_90, converted_stat * 2, IF(bbgm_stat &gt;= perc_85, converted_stat * 1.5, converted_stat)))))</f>
        <v/>
      </c>
      <c r="J601" s="30" t="str">
        <f t="array" ref="J601">IF($A601="", "", LET(bbgm_stat, INDEX(Players!$A600:$P600, MATCH(J$2, Players!$A$1:$P$1, 0)), perc_75, VLOOKUP(J$2, Percentiles!$A$45:$I$59, 6, FALSE), perc_90, VLOOKUP(J$2, Percentiles!$A$45:$I$59, 7, FALSE), perc_95, VLOOKUP(J$2, Percentiles!$A$45:$I$59, 8, FALSE), perc_85, perc_75 + (perc_90 - perc_75) * (2/3), converted_stat, '2K_Ratings'!J601, IF(bbgm_stat &gt;= perc_95, converted_stat * 3, IF(bbgm_stat &gt;= perc_90, converted_stat * 2, IF(bbgm_stat &gt;= perc_85, converted_stat * 1.5, converted_stat)))))</f>
        <v/>
      </c>
      <c r="K601" s="30" t="str">
        <f t="array" ref="K601">IF($A601="", "", LET(bbgm_stat, INDEX(Players!$A600:$P600, MATCH(K$2, Players!$A$1:$P$1, 0)), perc_75, VLOOKUP(K$2, Percentiles!$A$45:$I$59, 6, FALSE), perc_90, VLOOKUP(K$2, Percentiles!$A$45:$I$59, 7, FALSE), perc_95, VLOOKUP(K$2, Percentiles!$A$45:$I$59, 8, FALSE), perc_85, perc_75 + (perc_90 - perc_75) * (2/3), converted_stat, '2K_Ratings'!K601, IF(bbgm_stat &gt;= perc_95, converted_stat * 3, IF(bbgm_stat &gt;= perc_90, converted_stat * 2, IF(bbgm_stat &gt;= perc_85, converted_stat * 1.5, converted_stat)))))</f>
        <v/>
      </c>
      <c r="L601" s="30" t="str">
        <f t="array" ref="L601">IF($A601="", "", LET(bbgm_stat, INDEX(Players!$A600:$P600, MATCH(L$2, Players!$A$1:$P$1, 0)), perc_75, VLOOKUP(L$2, Percentiles!$A$45:$I$59, 6, FALSE), perc_90, VLOOKUP(L$2, Percentiles!$A$45:$I$59, 7, FALSE), perc_95, VLOOKUP(L$2, Percentiles!$A$45:$I$59, 8, FALSE), perc_85, perc_75 + (perc_90 - perc_75) * (2/3), converted_stat, '2K_Ratings'!L601, IF(bbgm_stat &gt;= perc_95, converted_stat * 3, IF(bbgm_stat &gt;= perc_90, converted_stat * 2, IF(bbgm_stat &gt;= perc_85, converted_stat * 1.5, converted_stat)))))</f>
        <v/>
      </c>
      <c r="M601" s="30" t="str">
        <f t="array" ref="M601">IF($A601="", "", LET(bbgm_stat, INDEX(Players!$A600:$P600, MATCH(M$2, Players!$A$1:$P$1, 0)), perc_75, VLOOKUP(M$2, Percentiles!$A$45:$I$59, 6, FALSE), perc_90, VLOOKUP(M$2, Percentiles!$A$45:$I$59, 7, FALSE), perc_95, VLOOKUP(M$2, Percentiles!$A$45:$I$59, 8, FALSE), perc_85, perc_75 + (perc_90 - perc_75) * (2/3), converted_stat, '2K_Ratings'!M601, IF(bbgm_stat &gt;= perc_95, converted_stat * 3, IF(bbgm_stat &gt;= perc_90, converted_stat * 2, IF(bbgm_stat &gt;= perc_85, converted_stat * 1.5, converted_stat)))))</f>
        <v/>
      </c>
      <c r="N601" s="30" t="str">
        <f t="array" ref="N601">IF($A601="", "", LET(bbgm_stat, INDEX(Players!$A600:$P600, MATCH(N$2, Players!$A$1:$P$1, 0)), perc_75, VLOOKUP(N$2, Percentiles!$A$45:$I$59, 6, FALSE), perc_90, VLOOKUP(N$2, Percentiles!$A$45:$I$59, 7, FALSE), perc_95, VLOOKUP(N$2, Percentiles!$A$45:$I$59, 8, FALSE), perc_85, perc_75 + (perc_90 - perc_75) * (2/3), converted_stat, '2K_Ratings'!N601, IF(bbgm_stat &gt;= perc_95, converted_stat * 3, IF(bbgm_stat &gt;= perc_90, converted_stat * 2, IF(bbgm_stat &gt;= perc_85, converted_stat * 1.5, converted_stat)))))</f>
        <v/>
      </c>
      <c r="O601" s="30" t="str">
        <f t="array" ref="O601">IF($A601="", "", LET(bbgm_stat, INDEX(Players!$A600:$P600, MATCH(O$2, Players!$A$1:$P$1, 0)), perc_75, VLOOKUP(O$2, Percentiles!$A$45:$I$59, 6, FALSE), perc_90, VLOOKUP(O$2, Percentiles!$A$45:$I$59, 7, FALSE), perc_95, VLOOKUP(O$2, Percentiles!$A$45:$I$59, 8, FALSE), perc_85, perc_75 + (perc_90 - perc_75) * (2/3), converted_stat, '2K_Ratings'!O601, IF(bbgm_stat &gt;= perc_95, converted_stat * 3, IF(bbgm_stat &gt;= perc_90, converted_stat * 2, IF(bbgm_stat &gt;= perc_85, converted_stat * 1.5, converted_stat)))))</f>
        <v/>
      </c>
      <c r="P601" s="30" t="str">
        <f t="array" ref="P601">IF($A601="", "", LET(bbgm_stat, INDEX(Players!$A600:$P600, MATCH(P$2, Players!$A$1:$P$1, 0)), perc_75, VLOOKUP(P$2, Percentiles!$A$45:$I$59, 6, FALSE), perc_90, VLOOKUP(P$2, Percentiles!$A$45:$I$59, 7, FALSE), perc_95, VLOOKUP(P$2, Percentiles!$A$45:$I$59, 8, FALSE), perc_85, perc_75 + (perc_90 - perc_75) * (2/3), converted_stat, '2K_Ratings'!P601, IF(bbgm_stat &gt;= perc_95, converted_stat * 3, IF(bbgm_stat &gt;= perc_90, converted_stat * 2, IF(bbgm_stat &gt;= perc_85, converted_stat * 1.5, converted_stat)))))</f>
        <v/>
      </c>
      <c r="Q601" s="30" t="str">
        <f t="array" ref="Q601">IF($A601="", "", LET(bbgm_stat, INDEX(Players!$A600:$P600, MATCH(Q$2, Players!$A$1:$P$1, 0)), perc_75, VLOOKUP(Q$2, Percentiles!$A$45:$I$59, 6, FALSE), perc_90, VLOOKUP(Q$2, Percentiles!$A$45:$I$59, 7, FALSE), perc_95, VLOOKUP(Q$2, Percentiles!$A$45:$I$59, 8, FALSE), perc_85, perc_75 + (perc_90 - perc_75) * (2/3), converted_stat, '2K_Ratings'!Q601, IF(bbgm_stat &gt;= perc_95, converted_stat * 3, IF(bbgm_stat &gt;= perc_90, converted_stat * 2, IF(bbgm_stat &gt;= perc_85, converted_stat * 1.5, converted_stat)))))</f>
        <v/>
      </c>
      <c r="R601" s="30" t="str">
        <f t="array" ref="R601">IF($A601="", "", LET(bbgm_stat, INDEX(Players!$A600:$P600, MATCH(R$2, Players!$A$1:$P$1, 0)), perc_75, VLOOKUP(R$2, Percentiles!$A$45:$I$59, 6, FALSE), perc_90, VLOOKUP(R$2, Percentiles!$A$45:$I$59, 7, FALSE), perc_95, VLOOKUP(R$2, Percentiles!$A$45:$I$59, 8, FALSE), perc_85, perc_75 + (perc_90 - perc_75) * (2/3), converted_stat, '2K_Ratings'!R601, IF(bbgm_stat &gt;= perc_95, converted_stat * 3, IF(bbgm_stat &gt;= perc_90, converted_stat * 2, IF(bbgm_stat &gt;= perc_85, converted_stat * 1.5, converted_stat)))))</f>
        <v/>
      </c>
      <c r="S601" s="30" t="str">
        <f t="array" ref="S601">IF($A601="", "", LET(bbgm_stat, INDEX(Players!$A600:$P600, MATCH(S$2, Players!$A$1:$P$1, 0)), perc_75, VLOOKUP(S$2, Percentiles!$A$45:$I$59, 6, FALSE), perc_90, VLOOKUP(S$2, Percentiles!$A$45:$I$59, 7, FALSE), perc_95, VLOOKUP(S$2, Percentiles!$A$45:$I$59, 8, FALSE), perc_85, perc_75 + (perc_90 - perc_75) * (2/3), converted_stat, '2K_Ratings'!S601, IF(bbgm_stat &gt;= perc_95, converted_stat * 3, IF(bbgm_stat &gt;= perc_90, converted_stat * 2, IF(bbgm_stat &gt;= perc_85, converted_stat * 1.5, converted_stat)))))</f>
        <v/>
      </c>
      <c r="T601" s="30" t="str">
        <f t="array" ref="T601">IF($A601="", "", LET(bbgm_stat, INDEX(Players!$A600:$P600, MATCH(T$2, Players!$A$1:$P$1, 0)), perc_75, VLOOKUP(T$2, Percentiles!$A$45:$I$59, 6, FALSE), perc_90, VLOOKUP(T$2, Percentiles!$A$45:$I$59, 7, FALSE), perc_95, VLOOKUP(T$2, Percentiles!$A$45:$I$59, 8, FALSE), perc_85, perc_75 + (perc_90 - perc_75) * (2/3), converted_stat, '2K_Ratings'!T601, IF(bbgm_stat &gt;= perc_95, converted_stat * 3, IF(bbgm_stat &gt;= perc_90, converted_stat * 2, IF(bbgm_stat &gt;= perc_85, converted_stat * 1.5, converted_stat)))))</f>
        <v/>
      </c>
      <c r="U601" s="30" t="str">
        <f t="array" ref="U601">IF($A601="", "", LET(bbgm_stat, INDEX(Players!$A600:$P600, MATCH(U$2, Players!$A$1:$P$1, 0)), perc_75, VLOOKUP(U$2, Percentiles!$A$45:$I$59, 6, FALSE), perc_90, VLOOKUP(U$2, Percentiles!$A$45:$I$59, 7, FALSE), perc_95, VLOOKUP(U$2, Percentiles!$A$45:$I$59, 8, FALSE), perc_85, perc_75 + (perc_90 - perc_75) * (2/3), converted_stat, '2K_Ratings'!U601, IF(bbgm_stat &gt;= perc_95, converted_stat * 3, IF(bbgm_stat &gt;= perc_90, converted_stat * 2, IF(bbgm_stat &gt;= perc_85, converted_stat * 1.5, converted_stat)))))</f>
        <v/>
      </c>
      <c r="V601" s="30" t="str">
        <f t="array" ref="V601">IF($A601="", "", LET(bbgm_stat, INDEX(Players!$A600:$P600, MATCH(V$2, Players!$A$1:$P$1, 0)), perc_75, VLOOKUP(V$2, Percentiles!$A$45:$I$59, 6, FALSE), perc_90, VLOOKUP(V$2, Percentiles!$A$45:$I$59, 7, FALSE), perc_95, VLOOKUP(V$2, Percentiles!$A$45:$I$59, 8, FALSE), perc_85, perc_75 + (perc_90 - perc_75) * (2/3), converted_stat, '2K_Ratings'!V601, IF(bbgm_stat &gt;= perc_95, converted_stat * 3, IF(bbgm_stat &gt;= perc_90, converted_stat * 2, IF(bbgm_stat &gt;= perc_85, converted_stat * 1.5, converted_stat)))))</f>
        <v/>
      </c>
      <c r="W601" s="30" t="str">
        <f t="array" ref="W601">IF($A601="", "", LET(bbgm_stat, INDEX(Players!$A600:$P600, MATCH(W$2, Players!$A$1:$P$1, 0)), perc_75, VLOOKUP(W$2, Percentiles!$A$45:$I$59, 6, FALSE), perc_90, VLOOKUP(W$2, Percentiles!$A$45:$I$59, 7, FALSE), perc_95, VLOOKUP(W$2, Percentiles!$A$45:$I$59, 8, FALSE), perc_85, perc_75 + (perc_90 - perc_75) * (2/3), converted_stat, '2K_Ratings'!W601, IF(bbgm_stat &gt;= perc_95, converted_stat * 3, IF(bbgm_stat &gt;= perc_90, converted_stat * 2, IF(bbgm_stat &gt;= perc_85, converted_stat * 1.5, converted_stat)))))</f>
        <v/>
      </c>
    </row>
    <row r="602">
      <c r="A602" s="30"/>
      <c r="B602" s="30" t="str">
        <f t="array" ref="B602">IF($A602="", "", LET(bbgm_stat, INDEX(Players!$A601:$P601, MATCH(B$2, Players!$A$1:$P$1, 0)), perc_75, VLOOKUP(B$2, Percentiles!$A$45:$I$59, 6, FALSE), perc_90, VLOOKUP(B$2, Percentiles!$A$45:$I$59, 7, FALSE), perc_95, VLOOKUP(B$2, Percentiles!$A$45:$I$59, 8, FALSE), perc_85, perc_75 + (perc_90 - perc_75) * (2/3), converted_stat, '2K_Ratings'!B602, IF(bbgm_stat &gt;= perc_95, converted_stat * 3, IF(bbgm_stat &gt;= perc_90, converted_stat * 2, IF(bbgm_stat &gt;= perc_85, converted_stat * 1.5, converted_stat)))))</f>
        <v/>
      </c>
      <c r="C602" s="30" t="str">
        <f t="array" ref="C602">IF($A602="", "", LET(bbgm_stat, INDEX(Players!$A601:$P601, MATCH(C$2, Players!$A$1:$P$1, 0)), perc_75, VLOOKUP(C$2, Percentiles!$A$45:$I$59, 6, FALSE), perc_90, VLOOKUP(C$2, Percentiles!$A$45:$I$59, 7, FALSE), perc_95, VLOOKUP(C$2, Percentiles!$A$45:$I$59, 8, FALSE), perc_85, perc_75 + (perc_90 - perc_75) * (2/3), converted_stat, '2K_Ratings'!C602, IF(bbgm_stat &gt;= perc_95, converted_stat * 3, IF(bbgm_stat &gt;= perc_90, converted_stat * 2, IF(bbgm_stat &gt;= perc_85, converted_stat * 1.5, converted_stat)))))</f>
        <v/>
      </c>
      <c r="D602" s="30" t="str">
        <f t="array" ref="D602">IF($A602="", "", LET(bbgm_stat, INDEX(Players!$A601:$P601, MATCH(D$2, Players!$A$1:$P$1, 0)), perc_75, VLOOKUP(D$2, Percentiles!$A$45:$I$59, 6, FALSE), perc_90, VLOOKUP(D$2, Percentiles!$A$45:$I$59, 7, FALSE), perc_95, VLOOKUP(D$2, Percentiles!$A$45:$I$59, 8, FALSE), perc_85, perc_75 + (perc_90 - perc_75) * (2/3), converted_stat, '2K_Ratings'!D602, IF(bbgm_stat &gt;= perc_95, converted_stat * 3, IF(bbgm_stat &gt;= perc_90, converted_stat * 2, IF(bbgm_stat &gt;= perc_85, converted_stat * 1.5, converted_stat)))))</f>
        <v/>
      </c>
      <c r="E602" s="30" t="str">
        <f t="array" ref="E602">IF($A602="", "", LET(bbgm_stat, INDEX(Players!$A601:$P601, MATCH(E$2, Players!$A$1:$P$1, 0)), perc_75, VLOOKUP(E$2, Percentiles!$A$45:$I$59, 6, FALSE), perc_90, VLOOKUP(E$2, Percentiles!$A$45:$I$59, 7, FALSE), perc_95, VLOOKUP(E$2, Percentiles!$A$45:$I$59, 8, FALSE), perc_85, perc_75 + (perc_90 - perc_75) * (2/3), converted_stat, '2K_Ratings'!E602, IF(bbgm_stat &gt;= perc_95, converted_stat * 3, IF(bbgm_stat &gt;= perc_90, converted_stat * 2, IF(bbgm_stat &gt;= perc_85, converted_stat * 1.5, converted_stat)))))</f>
        <v/>
      </c>
      <c r="F602" s="30" t="str">
        <f t="array" ref="F602">IF($A602="", "", LET(bbgm_stat, INDEX(Players!$A601:$P601, MATCH(F$2, Players!$A$1:$P$1, 0)), perc_75, VLOOKUP(F$2, Percentiles!$A$45:$I$59, 6, FALSE), perc_90, VLOOKUP(F$2, Percentiles!$A$45:$I$59, 7, FALSE), perc_95, VLOOKUP(F$2, Percentiles!$A$45:$I$59, 8, FALSE), perc_85, perc_75 + (perc_90 - perc_75) * (2/3), converted_stat, '2K_Ratings'!F602, IF(bbgm_stat &gt;= perc_95, converted_stat * 3, IF(bbgm_stat &gt;= perc_90, converted_stat * 2, IF(bbgm_stat &gt;= perc_85, converted_stat * 1.5, converted_stat)))))</f>
        <v/>
      </c>
      <c r="G602" s="30" t="str">
        <f t="array" ref="G602">IF($A602="", "", LET(bbgm_stat, INDEX(Players!$A601:$P601, MATCH(G$2, Players!$A$1:$P$1, 0)), perc_75, VLOOKUP(G$2, Percentiles!$A$45:$I$59, 6, FALSE), perc_90, VLOOKUP(G$2, Percentiles!$A$45:$I$59, 7, FALSE), perc_95, VLOOKUP(G$2, Percentiles!$A$45:$I$59, 8, FALSE), perc_85, perc_75 + (perc_90 - perc_75) * (2/3), converted_stat, '2K_Ratings'!G602, IF(bbgm_stat &gt;= perc_95, converted_stat * 3, IF(bbgm_stat &gt;= perc_90, converted_stat * 2, IF(bbgm_stat &gt;= perc_85, converted_stat * 1.5, converted_stat)))))</f>
        <v/>
      </c>
      <c r="H602" s="30" t="str">
        <f t="array" ref="H602">IF($A602="", "", LET(bbgm_stat, INDEX(Players!$A601:$P601, MATCH(H$2, Players!$A$1:$P$1, 0)), perc_75, VLOOKUP(H$2, Percentiles!$A$45:$I$59, 6, FALSE), perc_90, VLOOKUP(H$2, Percentiles!$A$45:$I$59, 7, FALSE), perc_95, VLOOKUP(H$2, Percentiles!$A$45:$I$59, 8, FALSE), perc_85, perc_75 + (perc_90 - perc_75) * (2/3), converted_stat, '2K_Ratings'!H602, IF(bbgm_stat &gt;= perc_95, converted_stat * 3, IF(bbgm_stat &gt;= perc_90, converted_stat * 2, IF(bbgm_stat &gt;= perc_85, converted_stat * 1.5, converted_stat)))))</f>
        <v/>
      </c>
      <c r="I602" s="30" t="str">
        <f t="array" ref="I602">IF($A602="", "", LET(bbgm_stat, INDEX(Players!$A601:$P601, MATCH(I$2, Players!$A$1:$P$1, 0)), perc_75, VLOOKUP(I$2, Percentiles!$A$45:$I$59, 6, FALSE), perc_90, VLOOKUP(I$2, Percentiles!$A$45:$I$59, 7, FALSE), perc_95, VLOOKUP(I$2, Percentiles!$A$45:$I$59, 8, FALSE), perc_85, perc_75 + (perc_90 - perc_75) * (2/3), converted_stat, '2K_Ratings'!I602, IF(bbgm_stat &gt;= perc_95, converted_stat * 3, IF(bbgm_stat &gt;= perc_90, converted_stat * 2, IF(bbgm_stat &gt;= perc_85, converted_stat * 1.5, converted_stat)))))</f>
        <v/>
      </c>
      <c r="J602" s="30" t="str">
        <f t="array" ref="J602">IF($A602="", "", LET(bbgm_stat, INDEX(Players!$A601:$P601, MATCH(J$2, Players!$A$1:$P$1, 0)), perc_75, VLOOKUP(J$2, Percentiles!$A$45:$I$59, 6, FALSE), perc_90, VLOOKUP(J$2, Percentiles!$A$45:$I$59, 7, FALSE), perc_95, VLOOKUP(J$2, Percentiles!$A$45:$I$59, 8, FALSE), perc_85, perc_75 + (perc_90 - perc_75) * (2/3), converted_stat, '2K_Ratings'!J602, IF(bbgm_stat &gt;= perc_95, converted_stat * 3, IF(bbgm_stat &gt;= perc_90, converted_stat * 2, IF(bbgm_stat &gt;= perc_85, converted_stat * 1.5, converted_stat)))))</f>
        <v/>
      </c>
      <c r="K602" s="30" t="str">
        <f t="array" ref="K602">IF($A602="", "", LET(bbgm_stat, INDEX(Players!$A601:$P601, MATCH(K$2, Players!$A$1:$P$1, 0)), perc_75, VLOOKUP(K$2, Percentiles!$A$45:$I$59, 6, FALSE), perc_90, VLOOKUP(K$2, Percentiles!$A$45:$I$59, 7, FALSE), perc_95, VLOOKUP(K$2, Percentiles!$A$45:$I$59, 8, FALSE), perc_85, perc_75 + (perc_90 - perc_75) * (2/3), converted_stat, '2K_Ratings'!K602, IF(bbgm_stat &gt;= perc_95, converted_stat * 3, IF(bbgm_stat &gt;= perc_90, converted_stat * 2, IF(bbgm_stat &gt;= perc_85, converted_stat * 1.5, converted_stat)))))</f>
        <v/>
      </c>
      <c r="L602" s="30" t="str">
        <f t="array" ref="L602">IF($A602="", "", LET(bbgm_stat, INDEX(Players!$A601:$P601, MATCH(L$2, Players!$A$1:$P$1, 0)), perc_75, VLOOKUP(L$2, Percentiles!$A$45:$I$59, 6, FALSE), perc_90, VLOOKUP(L$2, Percentiles!$A$45:$I$59, 7, FALSE), perc_95, VLOOKUP(L$2, Percentiles!$A$45:$I$59, 8, FALSE), perc_85, perc_75 + (perc_90 - perc_75) * (2/3), converted_stat, '2K_Ratings'!L602, IF(bbgm_stat &gt;= perc_95, converted_stat * 3, IF(bbgm_stat &gt;= perc_90, converted_stat * 2, IF(bbgm_stat &gt;= perc_85, converted_stat * 1.5, converted_stat)))))</f>
        <v/>
      </c>
      <c r="M602" s="30" t="str">
        <f t="array" ref="M602">IF($A602="", "", LET(bbgm_stat, INDEX(Players!$A601:$P601, MATCH(M$2, Players!$A$1:$P$1, 0)), perc_75, VLOOKUP(M$2, Percentiles!$A$45:$I$59, 6, FALSE), perc_90, VLOOKUP(M$2, Percentiles!$A$45:$I$59, 7, FALSE), perc_95, VLOOKUP(M$2, Percentiles!$A$45:$I$59, 8, FALSE), perc_85, perc_75 + (perc_90 - perc_75) * (2/3), converted_stat, '2K_Ratings'!M602, IF(bbgm_stat &gt;= perc_95, converted_stat * 3, IF(bbgm_stat &gt;= perc_90, converted_stat * 2, IF(bbgm_stat &gt;= perc_85, converted_stat * 1.5, converted_stat)))))</f>
        <v/>
      </c>
      <c r="N602" s="30" t="str">
        <f t="array" ref="N602">IF($A602="", "", LET(bbgm_stat, INDEX(Players!$A601:$P601, MATCH(N$2, Players!$A$1:$P$1, 0)), perc_75, VLOOKUP(N$2, Percentiles!$A$45:$I$59, 6, FALSE), perc_90, VLOOKUP(N$2, Percentiles!$A$45:$I$59, 7, FALSE), perc_95, VLOOKUP(N$2, Percentiles!$A$45:$I$59, 8, FALSE), perc_85, perc_75 + (perc_90 - perc_75) * (2/3), converted_stat, '2K_Ratings'!N602, IF(bbgm_stat &gt;= perc_95, converted_stat * 3, IF(bbgm_stat &gt;= perc_90, converted_stat * 2, IF(bbgm_stat &gt;= perc_85, converted_stat * 1.5, converted_stat)))))</f>
        <v/>
      </c>
      <c r="O602" s="30" t="str">
        <f t="array" ref="O602">IF($A602="", "", LET(bbgm_stat, INDEX(Players!$A601:$P601, MATCH(O$2, Players!$A$1:$P$1, 0)), perc_75, VLOOKUP(O$2, Percentiles!$A$45:$I$59, 6, FALSE), perc_90, VLOOKUP(O$2, Percentiles!$A$45:$I$59, 7, FALSE), perc_95, VLOOKUP(O$2, Percentiles!$A$45:$I$59, 8, FALSE), perc_85, perc_75 + (perc_90 - perc_75) * (2/3), converted_stat, '2K_Ratings'!O602, IF(bbgm_stat &gt;= perc_95, converted_stat * 3, IF(bbgm_stat &gt;= perc_90, converted_stat * 2, IF(bbgm_stat &gt;= perc_85, converted_stat * 1.5, converted_stat)))))</f>
        <v/>
      </c>
      <c r="P602" s="30" t="str">
        <f t="array" ref="P602">IF($A602="", "", LET(bbgm_stat, INDEX(Players!$A601:$P601, MATCH(P$2, Players!$A$1:$P$1, 0)), perc_75, VLOOKUP(P$2, Percentiles!$A$45:$I$59, 6, FALSE), perc_90, VLOOKUP(P$2, Percentiles!$A$45:$I$59, 7, FALSE), perc_95, VLOOKUP(P$2, Percentiles!$A$45:$I$59, 8, FALSE), perc_85, perc_75 + (perc_90 - perc_75) * (2/3), converted_stat, '2K_Ratings'!P602, IF(bbgm_stat &gt;= perc_95, converted_stat * 3, IF(bbgm_stat &gt;= perc_90, converted_stat * 2, IF(bbgm_stat &gt;= perc_85, converted_stat * 1.5, converted_stat)))))</f>
        <v/>
      </c>
      <c r="Q602" s="30" t="str">
        <f t="array" ref="Q602">IF($A602="", "", LET(bbgm_stat, INDEX(Players!$A601:$P601, MATCH(Q$2, Players!$A$1:$P$1, 0)), perc_75, VLOOKUP(Q$2, Percentiles!$A$45:$I$59, 6, FALSE), perc_90, VLOOKUP(Q$2, Percentiles!$A$45:$I$59, 7, FALSE), perc_95, VLOOKUP(Q$2, Percentiles!$A$45:$I$59, 8, FALSE), perc_85, perc_75 + (perc_90 - perc_75) * (2/3), converted_stat, '2K_Ratings'!Q602, IF(bbgm_stat &gt;= perc_95, converted_stat * 3, IF(bbgm_stat &gt;= perc_90, converted_stat * 2, IF(bbgm_stat &gt;= perc_85, converted_stat * 1.5, converted_stat)))))</f>
        <v/>
      </c>
      <c r="R602" s="30" t="str">
        <f t="array" ref="R602">IF($A602="", "", LET(bbgm_stat, INDEX(Players!$A601:$P601, MATCH(R$2, Players!$A$1:$P$1, 0)), perc_75, VLOOKUP(R$2, Percentiles!$A$45:$I$59, 6, FALSE), perc_90, VLOOKUP(R$2, Percentiles!$A$45:$I$59, 7, FALSE), perc_95, VLOOKUP(R$2, Percentiles!$A$45:$I$59, 8, FALSE), perc_85, perc_75 + (perc_90 - perc_75) * (2/3), converted_stat, '2K_Ratings'!R602, IF(bbgm_stat &gt;= perc_95, converted_stat * 3, IF(bbgm_stat &gt;= perc_90, converted_stat * 2, IF(bbgm_stat &gt;= perc_85, converted_stat * 1.5, converted_stat)))))</f>
        <v/>
      </c>
      <c r="S602" s="30" t="str">
        <f t="array" ref="S602">IF($A602="", "", LET(bbgm_stat, INDEX(Players!$A601:$P601, MATCH(S$2, Players!$A$1:$P$1, 0)), perc_75, VLOOKUP(S$2, Percentiles!$A$45:$I$59, 6, FALSE), perc_90, VLOOKUP(S$2, Percentiles!$A$45:$I$59, 7, FALSE), perc_95, VLOOKUP(S$2, Percentiles!$A$45:$I$59, 8, FALSE), perc_85, perc_75 + (perc_90 - perc_75) * (2/3), converted_stat, '2K_Ratings'!S602, IF(bbgm_stat &gt;= perc_95, converted_stat * 3, IF(bbgm_stat &gt;= perc_90, converted_stat * 2, IF(bbgm_stat &gt;= perc_85, converted_stat * 1.5, converted_stat)))))</f>
        <v/>
      </c>
      <c r="T602" s="30" t="str">
        <f t="array" ref="T602">IF($A602="", "", LET(bbgm_stat, INDEX(Players!$A601:$P601, MATCH(T$2, Players!$A$1:$P$1, 0)), perc_75, VLOOKUP(T$2, Percentiles!$A$45:$I$59, 6, FALSE), perc_90, VLOOKUP(T$2, Percentiles!$A$45:$I$59, 7, FALSE), perc_95, VLOOKUP(T$2, Percentiles!$A$45:$I$59, 8, FALSE), perc_85, perc_75 + (perc_90 - perc_75) * (2/3), converted_stat, '2K_Ratings'!T602, IF(bbgm_stat &gt;= perc_95, converted_stat * 3, IF(bbgm_stat &gt;= perc_90, converted_stat * 2, IF(bbgm_stat &gt;= perc_85, converted_stat * 1.5, converted_stat)))))</f>
        <v/>
      </c>
      <c r="U602" s="30" t="str">
        <f t="array" ref="U602">IF($A602="", "", LET(bbgm_stat, INDEX(Players!$A601:$P601, MATCH(U$2, Players!$A$1:$P$1, 0)), perc_75, VLOOKUP(U$2, Percentiles!$A$45:$I$59, 6, FALSE), perc_90, VLOOKUP(U$2, Percentiles!$A$45:$I$59, 7, FALSE), perc_95, VLOOKUP(U$2, Percentiles!$A$45:$I$59, 8, FALSE), perc_85, perc_75 + (perc_90 - perc_75) * (2/3), converted_stat, '2K_Ratings'!U602, IF(bbgm_stat &gt;= perc_95, converted_stat * 3, IF(bbgm_stat &gt;= perc_90, converted_stat * 2, IF(bbgm_stat &gt;= perc_85, converted_stat * 1.5, converted_stat)))))</f>
        <v/>
      </c>
      <c r="V602" s="30" t="str">
        <f t="array" ref="V602">IF($A602="", "", LET(bbgm_stat, INDEX(Players!$A601:$P601, MATCH(V$2, Players!$A$1:$P$1, 0)), perc_75, VLOOKUP(V$2, Percentiles!$A$45:$I$59, 6, FALSE), perc_90, VLOOKUP(V$2, Percentiles!$A$45:$I$59, 7, FALSE), perc_95, VLOOKUP(V$2, Percentiles!$A$45:$I$59, 8, FALSE), perc_85, perc_75 + (perc_90 - perc_75) * (2/3), converted_stat, '2K_Ratings'!V602, IF(bbgm_stat &gt;= perc_95, converted_stat * 3, IF(bbgm_stat &gt;= perc_90, converted_stat * 2, IF(bbgm_stat &gt;= perc_85, converted_stat * 1.5, converted_stat)))))</f>
        <v/>
      </c>
      <c r="W602" s="30" t="str">
        <f t="array" ref="W602">IF($A602="", "", LET(bbgm_stat, INDEX(Players!$A601:$P601, MATCH(W$2, Players!$A$1:$P$1, 0)), perc_75, VLOOKUP(W$2, Percentiles!$A$45:$I$59, 6, FALSE), perc_90, VLOOKUP(W$2, Percentiles!$A$45:$I$59, 7, FALSE), perc_95, VLOOKUP(W$2, Percentiles!$A$45:$I$59, 8, FALSE), perc_85, perc_75 + (perc_90 - perc_75) * (2/3), converted_stat, '2K_Ratings'!W602, IF(bbgm_stat &gt;= perc_95, converted_stat * 3, IF(bbgm_stat &gt;= perc_90, converted_stat * 2, IF(bbgm_stat &gt;= perc_85, converted_stat * 1.5, converted_stat)))))</f>
        <v/>
      </c>
    </row>
    <row r="603">
      <c r="A603" s="30"/>
      <c r="B603" s="30" t="str">
        <f t="array" ref="B603">IF($A603="", "", LET(bbgm_stat, INDEX(Players!$A602:$P602, MATCH(B$2, Players!$A$1:$P$1, 0)), perc_75, VLOOKUP(B$2, Percentiles!$A$45:$I$59, 6, FALSE), perc_90, VLOOKUP(B$2, Percentiles!$A$45:$I$59, 7, FALSE), perc_95, VLOOKUP(B$2, Percentiles!$A$45:$I$59, 8, FALSE), perc_85, perc_75 + (perc_90 - perc_75) * (2/3), converted_stat, '2K_Ratings'!B603, IF(bbgm_stat &gt;= perc_95, converted_stat * 3, IF(bbgm_stat &gt;= perc_90, converted_stat * 2, IF(bbgm_stat &gt;= perc_85, converted_stat * 1.5, converted_stat)))))</f>
        <v/>
      </c>
      <c r="C603" s="30" t="str">
        <f t="array" ref="C603">IF($A603="", "", LET(bbgm_stat, INDEX(Players!$A602:$P602, MATCH(C$2, Players!$A$1:$P$1, 0)), perc_75, VLOOKUP(C$2, Percentiles!$A$45:$I$59, 6, FALSE), perc_90, VLOOKUP(C$2, Percentiles!$A$45:$I$59, 7, FALSE), perc_95, VLOOKUP(C$2, Percentiles!$A$45:$I$59, 8, FALSE), perc_85, perc_75 + (perc_90 - perc_75) * (2/3), converted_stat, '2K_Ratings'!C603, IF(bbgm_stat &gt;= perc_95, converted_stat * 3, IF(bbgm_stat &gt;= perc_90, converted_stat * 2, IF(bbgm_stat &gt;= perc_85, converted_stat * 1.5, converted_stat)))))</f>
        <v/>
      </c>
      <c r="D603" s="30" t="str">
        <f t="array" ref="D603">IF($A603="", "", LET(bbgm_stat, INDEX(Players!$A602:$P602, MATCH(D$2, Players!$A$1:$P$1, 0)), perc_75, VLOOKUP(D$2, Percentiles!$A$45:$I$59, 6, FALSE), perc_90, VLOOKUP(D$2, Percentiles!$A$45:$I$59, 7, FALSE), perc_95, VLOOKUP(D$2, Percentiles!$A$45:$I$59, 8, FALSE), perc_85, perc_75 + (perc_90 - perc_75) * (2/3), converted_stat, '2K_Ratings'!D603, IF(bbgm_stat &gt;= perc_95, converted_stat * 3, IF(bbgm_stat &gt;= perc_90, converted_stat * 2, IF(bbgm_stat &gt;= perc_85, converted_stat * 1.5, converted_stat)))))</f>
        <v/>
      </c>
      <c r="E603" s="30" t="str">
        <f t="array" ref="E603">IF($A603="", "", LET(bbgm_stat, INDEX(Players!$A602:$P602, MATCH(E$2, Players!$A$1:$P$1, 0)), perc_75, VLOOKUP(E$2, Percentiles!$A$45:$I$59, 6, FALSE), perc_90, VLOOKUP(E$2, Percentiles!$A$45:$I$59, 7, FALSE), perc_95, VLOOKUP(E$2, Percentiles!$A$45:$I$59, 8, FALSE), perc_85, perc_75 + (perc_90 - perc_75) * (2/3), converted_stat, '2K_Ratings'!E603, IF(bbgm_stat &gt;= perc_95, converted_stat * 3, IF(bbgm_stat &gt;= perc_90, converted_stat * 2, IF(bbgm_stat &gt;= perc_85, converted_stat * 1.5, converted_stat)))))</f>
        <v/>
      </c>
      <c r="F603" s="30" t="str">
        <f t="array" ref="F603">IF($A603="", "", LET(bbgm_stat, INDEX(Players!$A602:$P602, MATCH(F$2, Players!$A$1:$P$1, 0)), perc_75, VLOOKUP(F$2, Percentiles!$A$45:$I$59, 6, FALSE), perc_90, VLOOKUP(F$2, Percentiles!$A$45:$I$59, 7, FALSE), perc_95, VLOOKUP(F$2, Percentiles!$A$45:$I$59, 8, FALSE), perc_85, perc_75 + (perc_90 - perc_75) * (2/3), converted_stat, '2K_Ratings'!F603, IF(bbgm_stat &gt;= perc_95, converted_stat * 3, IF(bbgm_stat &gt;= perc_90, converted_stat * 2, IF(bbgm_stat &gt;= perc_85, converted_stat * 1.5, converted_stat)))))</f>
        <v/>
      </c>
      <c r="G603" s="30" t="str">
        <f t="array" ref="G603">IF($A603="", "", LET(bbgm_stat, INDEX(Players!$A602:$P602, MATCH(G$2, Players!$A$1:$P$1, 0)), perc_75, VLOOKUP(G$2, Percentiles!$A$45:$I$59, 6, FALSE), perc_90, VLOOKUP(G$2, Percentiles!$A$45:$I$59, 7, FALSE), perc_95, VLOOKUP(G$2, Percentiles!$A$45:$I$59, 8, FALSE), perc_85, perc_75 + (perc_90 - perc_75) * (2/3), converted_stat, '2K_Ratings'!G603, IF(bbgm_stat &gt;= perc_95, converted_stat * 3, IF(bbgm_stat &gt;= perc_90, converted_stat * 2, IF(bbgm_stat &gt;= perc_85, converted_stat * 1.5, converted_stat)))))</f>
        <v/>
      </c>
      <c r="H603" s="30" t="str">
        <f t="array" ref="H603">IF($A603="", "", LET(bbgm_stat, INDEX(Players!$A602:$P602, MATCH(H$2, Players!$A$1:$P$1, 0)), perc_75, VLOOKUP(H$2, Percentiles!$A$45:$I$59, 6, FALSE), perc_90, VLOOKUP(H$2, Percentiles!$A$45:$I$59, 7, FALSE), perc_95, VLOOKUP(H$2, Percentiles!$A$45:$I$59, 8, FALSE), perc_85, perc_75 + (perc_90 - perc_75) * (2/3), converted_stat, '2K_Ratings'!H603, IF(bbgm_stat &gt;= perc_95, converted_stat * 3, IF(bbgm_stat &gt;= perc_90, converted_stat * 2, IF(bbgm_stat &gt;= perc_85, converted_stat * 1.5, converted_stat)))))</f>
        <v/>
      </c>
      <c r="I603" s="30" t="str">
        <f t="array" ref="I603">IF($A603="", "", LET(bbgm_stat, INDEX(Players!$A602:$P602, MATCH(I$2, Players!$A$1:$P$1, 0)), perc_75, VLOOKUP(I$2, Percentiles!$A$45:$I$59, 6, FALSE), perc_90, VLOOKUP(I$2, Percentiles!$A$45:$I$59, 7, FALSE), perc_95, VLOOKUP(I$2, Percentiles!$A$45:$I$59, 8, FALSE), perc_85, perc_75 + (perc_90 - perc_75) * (2/3), converted_stat, '2K_Ratings'!I603, IF(bbgm_stat &gt;= perc_95, converted_stat * 3, IF(bbgm_stat &gt;= perc_90, converted_stat * 2, IF(bbgm_stat &gt;= perc_85, converted_stat * 1.5, converted_stat)))))</f>
        <v/>
      </c>
      <c r="J603" s="30" t="str">
        <f t="array" ref="J603">IF($A603="", "", LET(bbgm_stat, INDEX(Players!$A602:$P602, MATCH(J$2, Players!$A$1:$P$1, 0)), perc_75, VLOOKUP(J$2, Percentiles!$A$45:$I$59, 6, FALSE), perc_90, VLOOKUP(J$2, Percentiles!$A$45:$I$59, 7, FALSE), perc_95, VLOOKUP(J$2, Percentiles!$A$45:$I$59, 8, FALSE), perc_85, perc_75 + (perc_90 - perc_75) * (2/3), converted_stat, '2K_Ratings'!J603, IF(bbgm_stat &gt;= perc_95, converted_stat * 3, IF(bbgm_stat &gt;= perc_90, converted_stat * 2, IF(bbgm_stat &gt;= perc_85, converted_stat * 1.5, converted_stat)))))</f>
        <v/>
      </c>
      <c r="K603" s="30" t="str">
        <f t="array" ref="K603">IF($A603="", "", LET(bbgm_stat, INDEX(Players!$A602:$P602, MATCH(K$2, Players!$A$1:$P$1, 0)), perc_75, VLOOKUP(K$2, Percentiles!$A$45:$I$59, 6, FALSE), perc_90, VLOOKUP(K$2, Percentiles!$A$45:$I$59, 7, FALSE), perc_95, VLOOKUP(K$2, Percentiles!$A$45:$I$59, 8, FALSE), perc_85, perc_75 + (perc_90 - perc_75) * (2/3), converted_stat, '2K_Ratings'!K603, IF(bbgm_stat &gt;= perc_95, converted_stat * 3, IF(bbgm_stat &gt;= perc_90, converted_stat * 2, IF(bbgm_stat &gt;= perc_85, converted_stat * 1.5, converted_stat)))))</f>
        <v/>
      </c>
      <c r="L603" s="30" t="str">
        <f t="array" ref="L603">IF($A603="", "", LET(bbgm_stat, INDEX(Players!$A602:$P602, MATCH(L$2, Players!$A$1:$P$1, 0)), perc_75, VLOOKUP(L$2, Percentiles!$A$45:$I$59, 6, FALSE), perc_90, VLOOKUP(L$2, Percentiles!$A$45:$I$59, 7, FALSE), perc_95, VLOOKUP(L$2, Percentiles!$A$45:$I$59, 8, FALSE), perc_85, perc_75 + (perc_90 - perc_75) * (2/3), converted_stat, '2K_Ratings'!L603, IF(bbgm_stat &gt;= perc_95, converted_stat * 3, IF(bbgm_stat &gt;= perc_90, converted_stat * 2, IF(bbgm_stat &gt;= perc_85, converted_stat * 1.5, converted_stat)))))</f>
        <v/>
      </c>
      <c r="M603" s="30" t="str">
        <f t="array" ref="M603">IF($A603="", "", LET(bbgm_stat, INDEX(Players!$A602:$P602, MATCH(M$2, Players!$A$1:$P$1, 0)), perc_75, VLOOKUP(M$2, Percentiles!$A$45:$I$59, 6, FALSE), perc_90, VLOOKUP(M$2, Percentiles!$A$45:$I$59, 7, FALSE), perc_95, VLOOKUP(M$2, Percentiles!$A$45:$I$59, 8, FALSE), perc_85, perc_75 + (perc_90 - perc_75) * (2/3), converted_stat, '2K_Ratings'!M603, IF(bbgm_stat &gt;= perc_95, converted_stat * 3, IF(bbgm_stat &gt;= perc_90, converted_stat * 2, IF(bbgm_stat &gt;= perc_85, converted_stat * 1.5, converted_stat)))))</f>
        <v/>
      </c>
      <c r="N603" s="30" t="str">
        <f t="array" ref="N603">IF($A603="", "", LET(bbgm_stat, INDEX(Players!$A602:$P602, MATCH(N$2, Players!$A$1:$P$1, 0)), perc_75, VLOOKUP(N$2, Percentiles!$A$45:$I$59, 6, FALSE), perc_90, VLOOKUP(N$2, Percentiles!$A$45:$I$59, 7, FALSE), perc_95, VLOOKUP(N$2, Percentiles!$A$45:$I$59, 8, FALSE), perc_85, perc_75 + (perc_90 - perc_75) * (2/3), converted_stat, '2K_Ratings'!N603, IF(bbgm_stat &gt;= perc_95, converted_stat * 3, IF(bbgm_stat &gt;= perc_90, converted_stat * 2, IF(bbgm_stat &gt;= perc_85, converted_stat * 1.5, converted_stat)))))</f>
        <v/>
      </c>
      <c r="O603" s="30" t="str">
        <f t="array" ref="O603">IF($A603="", "", LET(bbgm_stat, INDEX(Players!$A602:$P602, MATCH(O$2, Players!$A$1:$P$1, 0)), perc_75, VLOOKUP(O$2, Percentiles!$A$45:$I$59, 6, FALSE), perc_90, VLOOKUP(O$2, Percentiles!$A$45:$I$59, 7, FALSE), perc_95, VLOOKUP(O$2, Percentiles!$A$45:$I$59, 8, FALSE), perc_85, perc_75 + (perc_90 - perc_75) * (2/3), converted_stat, '2K_Ratings'!O603, IF(bbgm_stat &gt;= perc_95, converted_stat * 3, IF(bbgm_stat &gt;= perc_90, converted_stat * 2, IF(bbgm_stat &gt;= perc_85, converted_stat * 1.5, converted_stat)))))</f>
        <v/>
      </c>
      <c r="P603" s="30" t="str">
        <f t="array" ref="P603">IF($A603="", "", LET(bbgm_stat, INDEX(Players!$A602:$P602, MATCH(P$2, Players!$A$1:$P$1, 0)), perc_75, VLOOKUP(P$2, Percentiles!$A$45:$I$59, 6, FALSE), perc_90, VLOOKUP(P$2, Percentiles!$A$45:$I$59, 7, FALSE), perc_95, VLOOKUP(P$2, Percentiles!$A$45:$I$59, 8, FALSE), perc_85, perc_75 + (perc_90 - perc_75) * (2/3), converted_stat, '2K_Ratings'!P603, IF(bbgm_stat &gt;= perc_95, converted_stat * 3, IF(bbgm_stat &gt;= perc_90, converted_stat * 2, IF(bbgm_stat &gt;= perc_85, converted_stat * 1.5, converted_stat)))))</f>
        <v/>
      </c>
      <c r="Q603" s="30" t="str">
        <f t="array" ref="Q603">IF($A603="", "", LET(bbgm_stat, INDEX(Players!$A602:$P602, MATCH(Q$2, Players!$A$1:$P$1, 0)), perc_75, VLOOKUP(Q$2, Percentiles!$A$45:$I$59, 6, FALSE), perc_90, VLOOKUP(Q$2, Percentiles!$A$45:$I$59, 7, FALSE), perc_95, VLOOKUP(Q$2, Percentiles!$A$45:$I$59, 8, FALSE), perc_85, perc_75 + (perc_90 - perc_75) * (2/3), converted_stat, '2K_Ratings'!Q603, IF(bbgm_stat &gt;= perc_95, converted_stat * 3, IF(bbgm_stat &gt;= perc_90, converted_stat * 2, IF(bbgm_stat &gt;= perc_85, converted_stat * 1.5, converted_stat)))))</f>
        <v/>
      </c>
      <c r="R603" s="30" t="str">
        <f t="array" ref="R603">IF($A603="", "", LET(bbgm_stat, INDEX(Players!$A602:$P602, MATCH(R$2, Players!$A$1:$P$1, 0)), perc_75, VLOOKUP(R$2, Percentiles!$A$45:$I$59, 6, FALSE), perc_90, VLOOKUP(R$2, Percentiles!$A$45:$I$59, 7, FALSE), perc_95, VLOOKUP(R$2, Percentiles!$A$45:$I$59, 8, FALSE), perc_85, perc_75 + (perc_90 - perc_75) * (2/3), converted_stat, '2K_Ratings'!R603, IF(bbgm_stat &gt;= perc_95, converted_stat * 3, IF(bbgm_stat &gt;= perc_90, converted_stat * 2, IF(bbgm_stat &gt;= perc_85, converted_stat * 1.5, converted_stat)))))</f>
        <v/>
      </c>
      <c r="S603" s="30" t="str">
        <f t="array" ref="S603">IF($A603="", "", LET(bbgm_stat, INDEX(Players!$A602:$P602, MATCH(S$2, Players!$A$1:$P$1, 0)), perc_75, VLOOKUP(S$2, Percentiles!$A$45:$I$59, 6, FALSE), perc_90, VLOOKUP(S$2, Percentiles!$A$45:$I$59, 7, FALSE), perc_95, VLOOKUP(S$2, Percentiles!$A$45:$I$59, 8, FALSE), perc_85, perc_75 + (perc_90 - perc_75) * (2/3), converted_stat, '2K_Ratings'!S603, IF(bbgm_stat &gt;= perc_95, converted_stat * 3, IF(bbgm_stat &gt;= perc_90, converted_stat * 2, IF(bbgm_stat &gt;= perc_85, converted_stat * 1.5, converted_stat)))))</f>
        <v/>
      </c>
      <c r="T603" s="30" t="str">
        <f t="array" ref="T603">IF($A603="", "", LET(bbgm_stat, INDEX(Players!$A602:$P602, MATCH(T$2, Players!$A$1:$P$1, 0)), perc_75, VLOOKUP(T$2, Percentiles!$A$45:$I$59, 6, FALSE), perc_90, VLOOKUP(T$2, Percentiles!$A$45:$I$59, 7, FALSE), perc_95, VLOOKUP(T$2, Percentiles!$A$45:$I$59, 8, FALSE), perc_85, perc_75 + (perc_90 - perc_75) * (2/3), converted_stat, '2K_Ratings'!T603, IF(bbgm_stat &gt;= perc_95, converted_stat * 3, IF(bbgm_stat &gt;= perc_90, converted_stat * 2, IF(bbgm_stat &gt;= perc_85, converted_stat * 1.5, converted_stat)))))</f>
        <v/>
      </c>
      <c r="U603" s="30" t="str">
        <f t="array" ref="U603">IF($A603="", "", LET(bbgm_stat, INDEX(Players!$A602:$P602, MATCH(U$2, Players!$A$1:$P$1, 0)), perc_75, VLOOKUP(U$2, Percentiles!$A$45:$I$59, 6, FALSE), perc_90, VLOOKUP(U$2, Percentiles!$A$45:$I$59, 7, FALSE), perc_95, VLOOKUP(U$2, Percentiles!$A$45:$I$59, 8, FALSE), perc_85, perc_75 + (perc_90 - perc_75) * (2/3), converted_stat, '2K_Ratings'!U603, IF(bbgm_stat &gt;= perc_95, converted_stat * 3, IF(bbgm_stat &gt;= perc_90, converted_stat * 2, IF(bbgm_stat &gt;= perc_85, converted_stat * 1.5, converted_stat)))))</f>
        <v/>
      </c>
      <c r="V603" s="30" t="str">
        <f t="array" ref="V603">IF($A603="", "", LET(bbgm_stat, INDEX(Players!$A602:$P602, MATCH(V$2, Players!$A$1:$P$1, 0)), perc_75, VLOOKUP(V$2, Percentiles!$A$45:$I$59, 6, FALSE), perc_90, VLOOKUP(V$2, Percentiles!$A$45:$I$59, 7, FALSE), perc_95, VLOOKUP(V$2, Percentiles!$A$45:$I$59, 8, FALSE), perc_85, perc_75 + (perc_90 - perc_75) * (2/3), converted_stat, '2K_Ratings'!V603, IF(bbgm_stat &gt;= perc_95, converted_stat * 3, IF(bbgm_stat &gt;= perc_90, converted_stat * 2, IF(bbgm_stat &gt;= perc_85, converted_stat * 1.5, converted_stat)))))</f>
        <v/>
      </c>
      <c r="W603" s="30" t="str">
        <f t="array" ref="W603">IF($A603="", "", LET(bbgm_stat, INDEX(Players!$A602:$P602, MATCH(W$2, Players!$A$1:$P$1, 0)), perc_75, VLOOKUP(W$2, Percentiles!$A$45:$I$59, 6, FALSE), perc_90, VLOOKUP(W$2, Percentiles!$A$45:$I$59, 7, FALSE), perc_95, VLOOKUP(W$2, Percentiles!$A$45:$I$59, 8, FALSE), perc_85, perc_75 + (perc_90 - perc_75) * (2/3), converted_stat, '2K_Ratings'!W603, IF(bbgm_stat &gt;= perc_95, converted_stat * 3, IF(bbgm_stat &gt;= perc_90, converted_stat * 2, IF(bbgm_stat &gt;= perc_85, converted_stat * 1.5, converted_stat)))))</f>
        <v/>
      </c>
    </row>
    <row r="604">
      <c r="A604" s="30"/>
      <c r="B604" s="30" t="str">
        <f t="array" ref="B604">IF($A604="", "", LET(bbgm_stat, INDEX(Players!$A603:$P603, MATCH(B$2, Players!$A$1:$P$1, 0)), perc_75, VLOOKUP(B$2, Percentiles!$A$45:$I$59, 6, FALSE), perc_90, VLOOKUP(B$2, Percentiles!$A$45:$I$59, 7, FALSE), perc_95, VLOOKUP(B$2, Percentiles!$A$45:$I$59, 8, FALSE), perc_85, perc_75 + (perc_90 - perc_75) * (2/3), converted_stat, '2K_Ratings'!B604, IF(bbgm_stat &gt;= perc_95, converted_stat * 3, IF(bbgm_stat &gt;= perc_90, converted_stat * 2, IF(bbgm_stat &gt;= perc_85, converted_stat * 1.5, converted_stat)))))</f>
        <v/>
      </c>
      <c r="C604" s="30" t="str">
        <f t="array" ref="C604">IF($A604="", "", LET(bbgm_stat, INDEX(Players!$A603:$P603, MATCH(C$2, Players!$A$1:$P$1, 0)), perc_75, VLOOKUP(C$2, Percentiles!$A$45:$I$59, 6, FALSE), perc_90, VLOOKUP(C$2, Percentiles!$A$45:$I$59, 7, FALSE), perc_95, VLOOKUP(C$2, Percentiles!$A$45:$I$59, 8, FALSE), perc_85, perc_75 + (perc_90 - perc_75) * (2/3), converted_stat, '2K_Ratings'!C604, IF(bbgm_stat &gt;= perc_95, converted_stat * 3, IF(bbgm_stat &gt;= perc_90, converted_stat * 2, IF(bbgm_stat &gt;= perc_85, converted_stat * 1.5, converted_stat)))))</f>
        <v/>
      </c>
      <c r="D604" s="30" t="str">
        <f t="array" ref="D604">IF($A604="", "", LET(bbgm_stat, INDEX(Players!$A603:$P603, MATCH(D$2, Players!$A$1:$P$1, 0)), perc_75, VLOOKUP(D$2, Percentiles!$A$45:$I$59, 6, FALSE), perc_90, VLOOKUP(D$2, Percentiles!$A$45:$I$59, 7, FALSE), perc_95, VLOOKUP(D$2, Percentiles!$A$45:$I$59, 8, FALSE), perc_85, perc_75 + (perc_90 - perc_75) * (2/3), converted_stat, '2K_Ratings'!D604, IF(bbgm_stat &gt;= perc_95, converted_stat * 3, IF(bbgm_stat &gt;= perc_90, converted_stat * 2, IF(bbgm_stat &gt;= perc_85, converted_stat * 1.5, converted_stat)))))</f>
        <v/>
      </c>
      <c r="E604" s="30" t="str">
        <f t="array" ref="E604">IF($A604="", "", LET(bbgm_stat, INDEX(Players!$A603:$P603, MATCH(E$2, Players!$A$1:$P$1, 0)), perc_75, VLOOKUP(E$2, Percentiles!$A$45:$I$59, 6, FALSE), perc_90, VLOOKUP(E$2, Percentiles!$A$45:$I$59, 7, FALSE), perc_95, VLOOKUP(E$2, Percentiles!$A$45:$I$59, 8, FALSE), perc_85, perc_75 + (perc_90 - perc_75) * (2/3), converted_stat, '2K_Ratings'!E604, IF(bbgm_stat &gt;= perc_95, converted_stat * 3, IF(bbgm_stat &gt;= perc_90, converted_stat * 2, IF(bbgm_stat &gt;= perc_85, converted_stat * 1.5, converted_stat)))))</f>
        <v/>
      </c>
      <c r="F604" s="30" t="str">
        <f t="array" ref="F604">IF($A604="", "", LET(bbgm_stat, INDEX(Players!$A603:$P603, MATCH(F$2, Players!$A$1:$P$1, 0)), perc_75, VLOOKUP(F$2, Percentiles!$A$45:$I$59, 6, FALSE), perc_90, VLOOKUP(F$2, Percentiles!$A$45:$I$59, 7, FALSE), perc_95, VLOOKUP(F$2, Percentiles!$A$45:$I$59, 8, FALSE), perc_85, perc_75 + (perc_90 - perc_75) * (2/3), converted_stat, '2K_Ratings'!F604, IF(bbgm_stat &gt;= perc_95, converted_stat * 3, IF(bbgm_stat &gt;= perc_90, converted_stat * 2, IF(bbgm_stat &gt;= perc_85, converted_stat * 1.5, converted_stat)))))</f>
        <v/>
      </c>
      <c r="G604" s="30" t="str">
        <f t="array" ref="G604">IF($A604="", "", LET(bbgm_stat, INDEX(Players!$A603:$P603, MATCH(G$2, Players!$A$1:$P$1, 0)), perc_75, VLOOKUP(G$2, Percentiles!$A$45:$I$59, 6, FALSE), perc_90, VLOOKUP(G$2, Percentiles!$A$45:$I$59, 7, FALSE), perc_95, VLOOKUP(G$2, Percentiles!$A$45:$I$59, 8, FALSE), perc_85, perc_75 + (perc_90 - perc_75) * (2/3), converted_stat, '2K_Ratings'!G604, IF(bbgm_stat &gt;= perc_95, converted_stat * 3, IF(bbgm_stat &gt;= perc_90, converted_stat * 2, IF(bbgm_stat &gt;= perc_85, converted_stat * 1.5, converted_stat)))))</f>
        <v/>
      </c>
      <c r="H604" s="30" t="str">
        <f t="array" ref="H604">IF($A604="", "", LET(bbgm_stat, INDEX(Players!$A603:$P603, MATCH(H$2, Players!$A$1:$P$1, 0)), perc_75, VLOOKUP(H$2, Percentiles!$A$45:$I$59, 6, FALSE), perc_90, VLOOKUP(H$2, Percentiles!$A$45:$I$59, 7, FALSE), perc_95, VLOOKUP(H$2, Percentiles!$A$45:$I$59, 8, FALSE), perc_85, perc_75 + (perc_90 - perc_75) * (2/3), converted_stat, '2K_Ratings'!H604, IF(bbgm_stat &gt;= perc_95, converted_stat * 3, IF(bbgm_stat &gt;= perc_90, converted_stat * 2, IF(bbgm_stat &gt;= perc_85, converted_stat * 1.5, converted_stat)))))</f>
        <v/>
      </c>
      <c r="I604" s="30" t="str">
        <f t="array" ref="I604">IF($A604="", "", LET(bbgm_stat, INDEX(Players!$A603:$P603, MATCH(I$2, Players!$A$1:$P$1, 0)), perc_75, VLOOKUP(I$2, Percentiles!$A$45:$I$59, 6, FALSE), perc_90, VLOOKUP(I$2, Percentiles!$A$45:$I$59, 7, FALSE), perc_95, VLOOKUP(I$2, Percentiles!$A$45:$I$59, 8, FALSE), perc_85, perc_75 + (perc_90 - perc_75) * (2/3), converted_stat, '2K_Ratings'!I604, IF(bbgm_stat &gt;= perc_95, converted_stat * 3, IF(bbgm_stat &gt;= perc_90, converted_stat * 2, IF(bbgm_stat &gt;= perc_85, converted_stat * 1.5, converted_stat)))))</f>
        <v/>
      </c>
      <c r="J604" s="30" t="str">
        <f t="array" ref="J604">IF($A604="", "", LET(bbgm_stat, INDEX(Players!$A603:$P603, MATCH(J$2, Players!$A$1:$P$1, 0)), perc_75, VLOOKUP(J$2, Percentiles!$A$45:$I$59, 6, FALSE), perc_90, VLOOKUP(J$2, Percentiles!$A$45:$I$59, 7, FALSE), perc_95, VLOOKUP(J$2, Percentiles!$A$45:$I$59, 8, FALSE), perc_85, perc_75 + (perc_90 - perc_75) * (2/3), converted_stat, '2K_Ratings'!J604, IF(bbgm_stat &gt;= perc_95, converted_stat * 3, IF(bbgm_stat &gt;= perc_90, converted_stat * 2, IF(bbgm_stat &gt;= perc_85, converted_stat * 1.5, converted_stat)))))</f>
        <v/>
      </c>
      <c r="K604" s="30" t="str">
        <f t="array" ref="K604">IF($A604="", "", LET(bbgm_stat, INDEX(Players!$A603:$P603, MATCH(K$2, Players!$A$1:$P$1, 0)), perc_75, VLOOKUP(K$2, Percentiles!$A$45:$I$59, 6, FALSE), perc_90, VLOOKUP(K$2, Percentiles!$A$45:$I$59, 7, FALSE), perc_95, VLOOKUP(K$2, Percentiles!$A$45:$I$59, 8, FALSE), perc_85, perc_75 + (perc_90 - perc_75) * (2/3), converted_stat, '2K_Ratings'!K604, IF(bbgm_stat &gt;= perc_95, converted_stat * 3, IF(bbgm_stat &gt;= perc_90, converted_stat * 2, IF(bbgm_stat &gt;= perc_85, converted_stat * 1.5, converted_stat)))))</f>
        <v/>
      </c>
      <c r="L604" s="30" t="str">
        <f t="array" ref="L604">IF($A604="", "", LET(bbgm_stat, INDEX(Players!$A603:$P603, MATCH(L$2, Players!$A$1:$P$1, 0)), perc_75, VLOOKUP(L$2, Percentiles!$A$45:$I$59, 6, FALSE), perc_90, VLOOKUP(L$2, Percentiles!$A$45:$I$59, 7, FALSE), perc_95, VLOOKUP(L$2, Percentiles!$A$45:$I$59, 8, FALSE), perc_85, perc_75 + (perc_90 - perc_75) * (2/3), converted_stat, '2K_Ratings'!L604, IF(bbgm_stat &gt;= perc_95, converted_stat * 3, IF(bbgm_stat &gt;= perc_90, converted_stat * 2, IF(bbgm_stat &gt;= perc_85, converted_stat * 1.5, converted_stat)))))</f>
        <v/>
      </c>
      <c r="M604" s="30" t="str">
        <f t="array" ref="M604">IF($A604="", "", LET(bbgm_stat, INDEX(Players!$A603:$P603, MATCH(M$2, Players!$A$1:$P$1, 0)), perc_75, VLOOKUP(M$2, Percentiles!$A$45:$I$59, 6, FALSE), perc_90, VLOOKUP(M$2, Percentiles!$A$45:$I$59, 7, FALSE), perc_95, VLOOKUP(M$2, Percentiles!$A$45:$I$59, 8, FALSE), perc_85, perc_75 + (perc_90 - perc_75) * (2/3), converted_stat, '2K_Ratings'!M604, IF(bbgm_stat &gt;= perc_95, converted_stat * 3, IF(bbgm_stat &gt;= perc_90, converted_stat * 2, IF(bbgm_stat &gt;= perc_85, converted_stat * 1.5, converted_stat)))))</f>
        <v/>
      </c>
      <c r="N604" s="30" t="str">
        <f t="array" ref="N604">IF($A604="", "", LET(bbgm_stat, INDEX(Players!$A603:$P603, MATCH(N$2, Players!$A$1:$P$1, 0)), perc_75, VLOOKUP(N$2, Percentiles!$A$45:$I$59, 6, FALSE), perc_90, VLOOKUP(N$2, Percentiles!$A$45:$I$59, 7, FALSE), perc_95, VLOOKUP(N$2, Percentiles!$A$45:$I$59, 8, FALSE), perc_85, perc_75 + (perc_90 - perc_75) * (2/3), converted_stat, '2K_Ratings'!N604, IF(bbgm_stat &gt;= perc_95, converted_stat * 3, IF(bbgm_stat &gt;= perc_90, converted_stat * 2, IF(bbgm_stat &gt;= perc_85, converted_stat * 1.5, converted_stat)))))</f>
        <v/>
      </c>
      <c r="O604" s="30" t="str">
        <f t="array" ref="O604">IF($A604="", "", LET(bbgm_stat, INDEX(Players!$A603:$P603, MATCH(O$2, Players!$A$1:$P$1, 0)), perc_75, VLOOKUP(O$2, Percentiles!$A$45:$I$59, 6, FALSE), perc_90, VLOOKUP(O$2, Percentiles!$A$45:$I$59, 7, FALSE), perc_95, VLOOKUP(O$2, Percentiles!$A$45:$I$59, 8, FALSE), perc_85, perc_75 + (perc_90 - perc_75) * (2/3), converted_stat, '2K_Ratings'!O604, IF(bbgm_stat &gt;= perc_95, converted_stat * 3, IF(bbgm_stat &gt;= perc_90, converted_stat * 2, IF(bbgm_stat &gt;= perc_85, converted_stat * 1.5, converted_stat)))))</f>
        <v/>
      </c>
      <c r="P604" s="30" t="str">
        <f t="array" ref="P604">IF($A604="", "", LET(bbgm_stat, INDEX(Players!$A603:$P603, MATCH(P$2, Players!$A$1:$P$1, 0)), perc_75, VLOOKUP(P$2, Percentiles!$A$45:$I$59, 6, FALSE), perc_90, VLOOKUP(P$2, Percentiles!$A$45:$I$59, 7, FALSE), perc_95, VLOOKUP(P$2, Percentiles!$A$45:$I$59, 8, FALSE), perc_85, perc_75 + (perc_90 - perc_75) * (2/3), converted_stat, '2K_Ratings'!P604, IF(bbgm_stat &gt;= perc_95, converted_stat * 3, IF(bbgm_stat &gt;= perc_90, converted_stat * 2, IF(bbgm_stat &gt;= perc_85, converted_stat * 1.5, converted_stat)))))</f>
        <v/>
      </c>
      <c r="Q604" s="30" t="str">
        <f t="array" ref="Q604">IF($A604="", "", LET(bbgm_stat, INDEX(Players!$A603:$P603, MATCH(Q$2, Players!$A$1:$P$1, 0)), perc_75, VLOOKUP(Q$2, Percentiles!$A$45:$I$59, 6, FALSE), perc_90, VLOOKUP(Q$2, Percentiles!$A$45:$I$59, 7, FALSE), perc_95, VLOOKUP(Q$2, Percentiles!$A$45:$I$59, 8, FALSE), perc_85, perc_75 + (perc_90 - perc_75) * (2/3), converted_stat, '2K_Ratings'!Q604, IF(bbgm_stat &gt;= perc_95, converted_stat * 3, IF(bbgm_stat &gt;= perc_90, converted_stat * 2, IF(bbgm_stat &gt;= perc_85, converted_stat * 1.5, converted_stat)))))</f>
        <v/>
      </c>
      <c r="R604" s="30" t="str">
        <f t="array" ref="R604">IF($A604="", "", LET(bbgm_stat, INDEX(Players!$A603:$P603, MATCH(R$2, Players!$A$1:$P$1, 0)), perc_75, VLOOKUP(R$2, Percentiles!$A$45:$I$59, 6, FALSE), perc_90, VLOOKUP(R$2, Percentiles!$A$45:$I$59, 7, FALSE), perc_95, VLOOKUP(R$2, Percentiles!$A$45:$I$59, 8, FALSE), perc_85, perc_75 + (perc_90 - perc_75) * (2/3), converted_stat, '2K_Ratings'!R604, IF(bbgm_stat &gt;= perc_95, converted_stat * 3, IF(bbgm_stat &gt;= perc_90, converted_stat * 2, IF(bbgm_stat &gt;= perc_85, converted_stat * 1.5, converted_stat)))))</f>
        <v/>
      </c>
      <c r="S604" s="30" t="str">
        <f t="array" ref="S604">IF($A604="", "", LET(bbgm_stat, INDEX(Players!$A603:$P603, MATCH(S$2, Players!$A$1:$P$1, 0)), perc_75, VLOOKUP(S$2, Percentiles!$A$45:$I$59, 6, FALSE), perc_90, VLOOKUP(S$2, Percentiles!$A$45:$I$59, 7, FALSE), perc_95, VLOOKUP(S$2, Percentiles!$A$45:$I$59, 8, FALSE), perc_85, perc_75 + (perc_90 - perc_75) * (2/3), converted_stat, '2K_Ratings'!S604, IF(bbgm_stat &gt;= perc_95, converted_stat * 3, IF(bbgm_stat &gt;= perc_90, converted_stat * 2, IF(bbgm_stat &gt;= perc_85, converted_stat * 1.5, converted_stat)))))</f>
        <v/>
      </c>
      <c r="T604" s="30" t="str">
        <f t="array" ref="T604">IF($A604="", "", LET(bbgm_stat, INDEX(Players!$A603:$P603, MATCH(T$2, Players!$A$1:$P$1, 0)), perc_75, VLOOKUP(T$2, Percentiles!$A$45:$I$59, 6, FALSE), perc_90, VLOOKUP(T$2, Percentiles!$A$45:$I$59, 7, FALSE), perc_95, VLOOKUP(T$2, Percentiles!$A$45:$I$59, 8, FALSE), perc_85, perc_75 + (perc_90 - perc_75) * (2/3), converted_stat, '2K_Ratings'!T604, IF(bbgm_stat &gt;= perc_95, converted_stat * 3, IF(bbgm_stat &gt;= perc_90, converted_stat * 2, IF(bbgm_stat &gt;= perc_85, converted_stat * 1.5, converted_stat)))))</f>
        <v/>
      </c>
      <c r="U604" s="30" t="str">
        <f t="array" ref="U604">IF($A604="", "", LET(bbgm_stat, INDEX(Players!$A603:$P603, MATCH(U$2, Players!$A$1:$P$1, 0)), perc_75, VLOOKUP(U$2, Percentiles!$A$45:$I$59, 6, FALSE), perc_90, VLOOKUP(U$2, Percentiles!$A$45:$I$59, 7, FALSE), perc_95, VLOOKUP(U$2, Percentiles!$A$45:$I$59, 8, FALSE), perc_85, perc_75 + (perc_90 - perc_75) * (2/3), converted_stat, '2K_Ratings'!U604, IF(bbgm_stat &gt;= perc_95, converted_stat * 3, IF(bbgm_stat &gt;= perc_90, converted_stat * 2, IF(bbgm_stat &gt;= perc_85, converted_stat * 1.5, converted_stat)))))</f>
        <v/>
      </c>
      <c r="V604" s="30" t="str">
        <f t="array" ref="V604">IF($A604="", "", LET(bbgm_stat, INDEX(Players!$A603:$P603, MATCH(V$2, Players!$A$1:$P$1, 0)), perc_75, VLOOKUP(V$2, Percentiles!$A$45:$I$59, 6, FALSE), perc_90, VLOOKUP(V$2, Percentiles!$A$45:$I$59, 7, FALSE), perc_95, VLOOKUP(V$2, Percentiles!$A$45:$I$59, 8, FALSE), perc_85, perc_75 + (perc_90 - perc_75) * (2/3), converted_stat, '2K_Ratings'!V604, IF(bbgm_stat &gt;= perc_95, converted_stat * 3, IF(bbgm_stat &gt;= perc_90, converted_stat * 2, IF(bbgm_stat &gt;= perc_85, converted_stat * 1.5, converted_stat)))))</f>
        <v/>
      </c>
      <c r="W604" s="30" t="str">
        <f t="array" ref="W604">IF($A604="", "", LET(bbgm_stat, INDEX(Players!$A603:$P603, MATCH(W$2, Players!$A$1:$P$1, 0)), perc_75, VLOOKUP(W$2, Percentiles!$A$45:$I$59, 6, FALSE), perc_90, VLOOKUP(W$2, Percentiles!$A$45:$I$59, 7, FALSE), perc_95, VLOOKUP(W$2, Percentiles!$A$45:$I$59, 8, FALSE), perc_85, perc_75 + (perc_90 - perc_75) * (2/3), converted_stat, '2K_Ratings'!W604, IF(bbgm_stat &gt;= perc_95, converted_stat * 3, IF(bbgm_stat &gt;= perc_90, converted_stat * 2, IF(bbgm_stat &gt;= perc_85, converted_stat * 1.5, converted_stat)))))</f>
        <v/>
      </c>
    </row>
    <row r="605">
      <c r="A605" s="30"/>
      <c r="B605" s="30" t="str">
        <f t="array" ref="B605">IF($A605="", "", LET(bbgm_stat, INDEX(Players!$A604:$P604, MATCH(B$2, Players!$A$1:$P$1, 0)), perc_75, VLOOKUP(B$2, Percentiles!$A$45:$I$59, 6, FALSE), perc_90, VLOOKUP(B$2, Percentiles!$A$45:$I$59, 7, FALSE), perc_95, VLOOKUP(B$2, Percentiles!$A$45:$I$59, 8, FALSE), perc_85, perc_75 + (perc_90 - perc_75) * (2/3), converted_stat, '2K_Ratings'!B605, IF(bbgm_stat &gt;= perc_95, converted_stat * 3, IF(bbgm_stat &gt;= perc_90, converted_stat * 2, IF(bbgm_stat &gt;= perc_85, converted_stat * 1.5, converted_stat)))))</f>
        <v/>
      </c>
      <c r="C605" s="30" t="str">
        <f t="array" ref="C605">IF($A605="", "", LET(bbgm_stat, INDEX(Players!$A604:$P604, MATCH(C$2, Players!$A$1:$P$1, 0)), perc_75, VLOOKUP(C$2, Percentiles!$A$45:$I$59, 6, FALSE), perc_90, VLOOKUP(C$2, Percentiles!$A$45:$I$59, 7, FALSE), perc_95, VLOOKUP(C$2, Percentiles!$A$45:$I$59, 8, FALSE), perc_85, perc_75 + (perc_90 - perc_75) * (2/3), converted_stat, '2K_Ratings'!C605, IF(bbgm_stat &gt;= perc_95, converted_stat * 3, IF(bbgm_stat &gt;= perc_90, converted_stat * 2, IF(bbgm_stat &gt;= perc_85, converted_stat * 1.5, converted_stat)))))</f>
        <v/>
      </c>
      <c r="D605" s="30" t="str">
        <f t="array" ref="D605">IF($A605="", "", LET(bbgm_stat, INDEX(Players!$A604:$P604, MATCH(D$2, Players!$A$1:$P$1, 0)), perc_75, VLOOKUP(D$2, Percentiles!$A$45:$I$59, 6, FALSE), perc_90, VLOOKUP(D$2, Percentiles!$A$45:$I$59, 7, FALSE), perc_95, VLOOKUP(D$2, Percentiles!$A$45:$I$59, 8, FALSE), perc_85, perc_75 + (perc_90 - perc_75) * (2/3), converted_stat, '2K_Ratings'!D605, IF(bbgm_stat &gt;= perc_95, converted_stat * 3, IF(bbgm_stat &gt;= perc_90, converted_stat * 2, IF(bbgm_stat &gt;= perc_85, converted_stat * 1.5, converted_stat)))))</f>
        <v/>
      </c>
      <c r="E605" s="30" t="str">
        <f t="array" ref="E605">IF($A605="", "", LET(bbgm_stat, INDEX(Players!$A604:$P604, MATCH(E$2, Players!$A$1:$P$1, 0)), perc_75, VLOOKUP(E$2, Percentiles!$A$45:$I$59, 6, FALSE), perc_90, VLOOKUP(E$2, Percentiles!$A$45:$I$59, 7, FALSE), perc_95, VLOOKUP(E$2, Percentiles!$A$45:$I$59, 8, FALSE), perc_85, perc_75 + (perc_90 - perc_75) * (2/3), converted_stat, '2K_Ratings'!E605, IF(bbgm_stat &gt;= perc_95, converted_stat * 3, IF(bbgm_stat &gt;= perc_90, converted_stat * 2, IF(bbgm_stat &gt;= perc_85, converted_stat * 1.5, converted_stat)))))</f>
        <v/>
      </c>
      <c r="F605" s="30" t="str">
        <f t="array" ref="F605">IF($A605="", "", LET(bbgm_stat, INDEX(Players!$A604:$P604, MATCH(F$2, Players!$A$1:$P$1, 0)), perc_75, VLOOKUP(F$2, Percentiles!$A$45:$I$59, 6, FALSE), perc_90, VLOOKUP(F$2, Percentiles!$A$45:$I$59, 7, FALSE), perc_95, VLOOKUP(F$2, Percentiles!$A$45:$I$59, 8, FALSE), perc_85, perc_75 + (perc_90 - perc_75) * (2/3), converted_stat, '2K_Ratings'!F605, IF(bbgm_stat &gt;= perc_95, converted_stat * 3, IF(bbgm_stat &gt;= perc_90, converted_stat * 2, IF(bbgm_stat &gt;= perc_85, converted_stat * 1.5, converted_stat)))))</f>
        <v/>
      </c>
      <c r="G605" s="30" t="str">
        <f t="array" ref="G605">IF($A605="", "", LET(bbgm_stat, INDEX(Players!$A604:$P604, MATCH(G$2, Players!$A$1:$P$1, 0)), perc_75, VLOOKUP(G$2, Percentiles!$A$45:$I$59, 6, FALSE), perc_90, VLOOKUP(G$2, Percentiles!$A$45:$I$59, 7, FALSE), perc_95, VLOOKUP(G$2, Percentiles!$A$45:$I$59, 8, FALSE), perc_85, perc_75 + (perc_90 - perc_75) * (2/3), converted_stat, '2K_Ratings'!G605, IF(bbgm_stat &gt;= perc_95, converted_stat * 3, IF(bbgm_stat &gt;= perc_90, converted_stat * 2, IF(bbgm_stat &gt;= perc_85, converted_stat * 1.5, converted_stat)))))</f>
        <v/>
      </c>
      <c r="H605" s="30" t="str">
        <f t="array" ref="H605">IF($A605="", "", LET(bbgm_stat, INDEX(Players!$A604:$P604, MATCH(H$2, Players!$A$1:$P$1, 0)), perc_75, VLOOKUP(H$2, Percentiles!$A$45:$I$59, 6, FALSE), perc_90, VLOOKUP(H$2, Percentiles!$A$45:$I$59, 7, FALSE), perc_95, VLOOKUP(H$2, Percentiles!$A$45:$I$59, 8, FALSE), perc_85, perc_75 + (perc_90 - perc_75) * (2/3), converted_stat, '2K_Ratings'!H605, IF(bbgm_stat &gt;= perc_95, converted_stat * 3, IF(bbgm_stat &gt;= perc_90, converted_stat * 2, IF(bbgm_stat &gt;= perc_85, converted_stat * 1.5, converted_stat)))))</f>
        <v/>
      </c>
      <c r="I605" s="30" t="str">
        <f t="array" ref="I605">IF($A605="", "", LET(bbgm_stat, INDEX(Players!$A604:$P604, MATCH(I$2, Players!$A$1:$P$1, 0)), perc_75, VLOOKUP(I$2, Percentiles!$A$45:$I$59, 6, FALSE), perc_90, VLOOKUP(I$2, Percentiles!$A$45:$I$59, 7, FALSE), perc_95, VLOOKUP(I$2, Percentiles!$A$45:$I$59, 8, FALSE), perc_85, perc_75 + (perc_90 - perc_75) * (2/3), converted_stat, '2K_Ratings'!I605, IF(bbgm_stat &gt;= perc_95, converted_stat * 3, IF(bbgm_stat &gt;= perc_90, converted_stat * 2, IF(bbgm_stat &gt;= perc_85, converted_stat * 1.5, converted_stat)))))</f>
        <v/>
      </c>
      <c r="J605" s="30" t="str">
        <f t="array" ref="J605">IF($A605="", "", LET(bbgm_stat, INDEX(Players!$A604:$P604, MATCH(J$2, Players!$A$1:$P$1, 0)), perc_75, VLOOKUP(J$2, Percentiles!$A$45:$I$59, 6, FALSE), perc_90, VLOOKUP(J$2, Percentiles!$A$45:$I$59, 7, FALSE), perc_95, VLOOKUP(J$2, Percentiles!$A$45:$I$59, 8, FALSE), perc_85, perc_75 + (perc_90 - perc_75) * (2/3), converted_stat, '2K_Ratings'!J605, IF(bbgm_stat &gt;= perc_95, converted_stat * 3, IF(bbgm_stat &gt;= perc_90, converted_stat * 2, IF(bbgm_stat &gt;= perc_85, converted_stat * 1.5, converted_stat)))))</f>
        <v/>
      </c>
      <c r="K605" s="30" t="str">
        <f t="array" ref="K605">IF($A605="", "", LET(bbgm_stat, INDEX(Players!$A604:$P604, MATCH(K$2, Players!$A$1:$P$1, 0)), perc_75, VLOOKUP(K$2, Percentiles!$A$45:$I$59, 6, FALSE), perc_90, VLOOKUP(K$2, Percentiles!$A$45:$I$59, 7, FALSE), perc_95, VLOOKUP(K$2, Percentiles!$A$45:$I$59, 8, FALSE), perc_85, perc_75 + (perc_90 - perc_75) * (2/3), converted_stat, '2K_Ratings'!K605, IF(bbgm_stat &gt;= perc_95, converted_stat * 3, IF(bbgm_stat &gt;= perc_90, converted_stat * 2, IF(bbgm_stat &gt;= perc_85, converted_stat * 1.5, converted_stat)))))</f>
        <v/>
      </c>
      <c r="L605" s="30" t="str">
        <f t="array" ref="L605">IF($A605="", "", LET(bbgm_stat, INDEX(Players!$A604:$P604, MATCH(L$2, Players!$A$1:$P$1, 0)), perc_75, VLOOKUP(L$2, Percentiles!$A$45:$I$59, 6, FALSE), perc_90, VLOOKUP(L$2, Percentiles!$A$45:$I$59, 7, FALSE), perc_95, VLOOKUP(L$2, Percentiles!$A$45:$I$59, 8, FALSE), perc_85, perc_75 + (perc_90 - perc_75) * (2/3), converted_stat, '2K_Ratings'!L605, IF(bbgm_stat &gt;= perc_95, converted_stat * 3, IF(bbgm_stat &gt;= perc_90, converted_stat * 2, IF(bbgm_stat &gt;= perc_85, converted_stat * 1.5, converted_stat)))))</f>
        <v/>
      </c>
      <c r="M605" s="30" t="str">
        <f t="array" ref="M605">IF($A605="", "", LET(bbgm_stat, INDEX(Players!$A604:$P604, MATCH(M$2, Players!$A$1:$P$1, 0)), perc_75, VLOOKUP(M$2, Percentiles!$A$45:$I$59, 6, FALSE), perc_90, VLOOKUP(M$2, Percentiles!$A$45:$I$59, 7, FALSE), perc_95, VLOOKUP(M$2, Percentiles!$A$45:$I$59, 8, FALSE), perc_85, perc_75 + (perc_90 - perc_75) * (2/3), converted_stat, '2K_Ratings'!M605, IF(bbgm_stat &gt;= perc_95, converted_stat * 3, IF(bbgm_stat &gt;= perc_90, converted_stat * 2, IF(bbgm_stat &gt;= perc_85, converted_stat * 1.5, converted_stat)))))</f>
        <v/>
      </c>
      <c r="N605" s="30" t="str">
        <f t="array" ref="N605">IF($A605="", "", LET(bbgm_stat, INDEX(Players!$A604:$P604, MATCH(N$2, Players!$A$1:$P$1, 0)), perc_75, VLOOKUP(N$2, Percentiles!$A$45:$I$59, 6, FALSE), perc_90, VLOOKUP(N$2, Percentiles!$A$45:$I$59, 7, FALSE), perc_95, VLOOKUP(N$2, Percentiles!$A$45:$I$59, 8, FALSE), perc_85, perc_75 + (perc_90 - perc_75) * (2/3), converted_stat, '2K_Ratings'!N605, IF(bbgm_stat &gt;= perc_95, converted_stat * 3, IF(bbgm_stat &gt;= perc_90, converted_stat * 2, IF(bbgm_stat &gt;= perc_85, converted_stat * 1.5, converted_stat)))))</f>
        <v/>
      </c>
      <c r="O605" s="30" t="str">
        <f t="array" ref="O605">IF($A605="", "", LET(bbgm_stat, INDEX(Players!$A604:$P604, MATCH(O$2, Players!$A$1:$P$1, 0)), perc_75, VLOOKUP(O$2, Percentiles!$A$45:$I$59, 6, FALSE), perc_90, VLOOKUP(O$2, Percentiles!$A$45:$I$59, 7, FALSE), perc_95, VLOOKUP(O$2, Percentiles!$A$45:$I$59, 8, FALSE), perc_85, perc_75 + (perc_90 - perc_75) * (2/3), converted_stat, '2K_Ratings'!O605, IF(bbgm_stat &gt;= perc_95, converted_stat * 3, IF(bbgm_stat &gt;= perc_90, converted_stat * 2, IF(bbgm_stat &gt;= perc_85, converted_stat * 1.5, converted_stat)))))</f>
        <v/>
      </c>
      <c r="P605" s="30" t="str">
        <f t="array" ref="P605">IF($A605="", "", LET(bbgm_stat, INDEX(Players!$A604:$P604, MATCH(P$2, Players!$A$1:$P$1, 0)), perc_75, VLOOKUP(P$2, Percentiles!$A$45:$I$59, 6, FALSE), perc_90, VLOOKUP(P$2, Percentiles!$A$45:$I$59, 7, FALSE), perc_95, VLOOKUP(P$2, Percentiles!$A$45:$I$59, 8, FALSE), perc_85, perc_75 + (perc_90 - perc_75) * (2/3), converted_stat, '2K_Ratings'!P605, IF(bbgm_stat &gt;= perc_95, converted_stat * 3, IF(bbgm_stat &gt;= perc_90, converted_stat * 2, IF(bbgm_stat &gt;= perc_85, converted_stat * 1.5, converted_stat)))))</f>
        <v/>
      </c>
      <c r="Q605" s="30" t="str">
        <f t="array" ref="Q605">IF($A605="", "", LET(bbgm_stat, INDEX(Players!$A604:$P604, MATCH(Q$2, Players!$A$1:$P$1, 0)), perc_75, VLOOKUP(Q$2, Percentiles!$A$45:$I$59, 6, FALSE), perc_90, VLOOKUP(Q$2, Percentiles!$A$45:$I$59, 7, FALSE), perc_95, VLOOKUP(Q$2, Percentiles!$A$45:$I$59, 8, FALSE), perc_85, perc_75 + (perc_90 - perc_75) * (2/3), converted_stat, '2K_Ratings'!Q605, IF(bbgm_stat &gt;= perc_95, converted_stat * 3, IF(bbgm_stat &gt;= perc_90, converted_stat * 2, IF(bbgm_stat &gt;= perc_85, converted_stat * 1.5, converted_stat)))))</f>
        <v/>
      </c>
      <c r="R605" s="30" t="str">
        <f t="array" ref="R605">IF($A605="", "", LET(bbgm_stat, INDEX(Players!$A604:$P604, MATCH(R$2, Players!$A$1:$P$1, 0)), perc_75, VLOOKUP(R$2, Percentiles!$A$45:$I$59, 6, FALSE), perc_90, VLOOKUP(R$2, Percentiles!$A$45:$I$59, 7, FALSE), perc_95, VLOOKUP(R$2, Percentiles!$A$45:$I$59, 8, FALSE), perc_85, perc_75 + (perc_90 - perc_75) * (2/3), converted_stat, '2K_Ratings'!R605, IF(bbgm_stat &gt;= perc_95, converted_stat * 3, IF(bbgm_stat &gt;= perc_90, converted_stat * 2, IF(bbgm_stat &gt;= perc_85, converted_stat * 1.5, converted_stat)))))</f>
        <v/>
      </c>
      <c r="S605" s="30" t="str">
        <f t="array" ref="S605">IF($A605="", "", LET(bbgm_stat, INDEX(Players!$A604:$P604, MATCH(S$2, Players!$A$1:$P$1, 0)), perc_75, VLOOKUP(S$2, Percentiles!$A$45:$I$59, 6, FALSE), perc_90, VLOOKUP(S$2, Percentiles!$A$45:$I$59, 7, FALSE), perc_95, VLOOKUP(S$2, Percentiles!$A$45:$I$59, 8, FALSE), perc_85, perc_75 + (perc_90 - perc_75) * (2/3), converted_stat, '2K_Ratings'!S605, IF(bbgm_stat &gt;= perc_95, converted_stat * 3, IF(bbgm_stat &gt;= perc_90, converted_stat * 2, IF(bbgm_stat &gt;= perc_85, converted_stat * 1.5, converted_stat)))))</f>
        <v/>
      </c>
      <c r="T605" s="30" t="str">
        <f t="array" ref="T605">IF($A605="", "", LET(bbgm_stat, INDEX(Players!$A604:$P604, MATCH(T$2, Players!$A$1:$P$1, 0)), perc_75, VLOOKUP(T$2, Percentiles!$A$45:$I$59, 6, FALSE), perc_90, VLOOKUP(T$2, Percentiles!$A$45:$I$59, 7, FALSE), perc_95, VLOOKUP(T$2, Percentiles!$A$45:$I$59, 8, FALSE), perc_85, perc_75 + (perc_90 - perc_75) * (2/3), converted_stat, '2K_Ratings'!T605, IF(bbgm_stat &gt;= perc_95, converted_stat * 3, IF(bbgm_stat &gt;= perc_90, converted_stat * 2, IF(bbgm_stat &gt;= perc_85, converted_stat * 1.5, converted_stat)))))</f>
        <v/>
      </c>
      <c r="U605" s="30" t="str">
        <f t="array" ref="U605">IF($A605="", "", LET(bbgm_stat, INDEX(Players!$A604:$P604, MATCH(U$2, Players!$A$1:$P$1, 0)), perc_75, VLOOKUP(U$2, Percentiles!$A$45:$I$59, 6, FALSE), perc_90, VLOOKUP(U$2, Percentiles!$A$45:$I$59, 7, FALSE), perc_95, VLOOKUP(U$2, Percentiles!$A$45:$I$59, 8, FALSE), perc_85, perc_75 + (perc_90 - perc_75) * (2/3), converted_stat, '2K_Ratings'!U605, IF(bbgm_stat &gt;= perc_95, converted_stat * 3, IF(bbgm_stat &gt;= perc_90, converted_stat * 2, IF(bbgm_stat &gt;= perc_85, converted_stat * 1.5, converted_stat)))))</f>
        <v/>
      </c>
      <c r="V605" s="30" t="str">
        <f t="array" ref="V605">IF($A605="", "", LET(bbgm_stat, INDEX(Players!$A604:$P604, MATCH(V$2, Players!$A$1:$P$1, 0)), perc_75, VLOOKUP(V$2, Percentiles!$A$45:$I$59, 6, FALSE), perc_90, VLOOKUP(V$2, Percentiles!$A$45:$I$59, 7, FALSE), perc_95, VLOOKUP(V$2, Percentiles!$A$45:$I$59, 8, FALSE), perc_85, perc_75 + (perc_90 - perc_75) * (2/3), converted_stat, '2K_Ratings'!V605, IF(bbgm_stat &gt;= perc_95, converted_stat * 3, IF(bbgm_stat &gt;= perc_90, converted_stat * 2, IF(bbgm_stat &gt;= perc_85, converted_stat * 1.5, converted_stat)))))</f>
        <v/>
      </c>
      <c r="W605" s="30" t="str">
        <f t="array" ref="W605">IF($A605="", "", LET(bbgm_stat, INDEX(Players!$A604:$P604, MATCH(W$2, Players!$A$1:$P$1, 0)), perc_75, VLOOKUP(W$2, Percentiles!$A$45:$I$59, 6, FALSE), perc_90, VLOOKUP(W$2, Percentiles!$A$45:$I$59, 7, FALSE), perc_95, VLOOKUP(W$2, Percentiles!$A$45:$I$59, 8, FALSE), perc_85, perc_75 + (perc_90 - perc_75) * (2/3), converted_stat, '2K_Ratings'!W605, IF(bbgm_stat &gt;= perc_95, converted_stat * 3, IF(bbgm_stat &gt;= perc_90, converted_stat * 2, IF(bbgm_stat &gt;= perc_85, converted_stat * 1.5, converted_stat)))))</f>
        <v/>
      </c>
    </row>
    <row r="606">
      <c r="A606" s="30"/>
      <c r="B606" s="30" t="str">
        <f t="array" ref="B606">IF($A606="", "", LET(bbgm_stat, INDEX(Players!$A605:$P605, MATCH(B$2, Players!$A$1:$P$1, 0)), perc_75, VLOOKUP(B$2, Percentiles!$A$45:$I$59, 6, FALSE), perc_90, VLOOKUP(B$2, Percentiles!$A$45:$I$59, 7, FALSE), perc_95, VLOOKUP(B$2, Percentiles!$A$45:$I$59, 8, FALSE), perc_85, perc_75 + (perc_90 - perc_75) * (2/3), converted_stat, '2K_Ratings'!B606, IF(bbgm_stat &gt;= perc_95, converted_stat * 3, IF(bbgm_stat &gt;= perc_90, converted_stat * 2, IF(bbgm_stat &gt;= perc_85, converted_stat * 1.5, converted_stat)))))</f>
        <v/>
      </c>
      <c r="C606" s="30" t="str">
        <f t="array" ref="C606">IF($A606="", "", LET(bbgm_stat, INDEX(Players!$A605:$P605, MATCH(C$2, Players!$A$1:$P$1, 0)), perc_75, VLOOKUP(C$2, Percentiles!$A$45:$I$59, 6, FALSE), perc_90, VLOOKUP(C$2, Percentiles!$A$45:$I$59, 7, FALSE), perc_95, VLOOKUP(C$2, Percentiles!$A$45:$I$59, 8, FALSE), perc_85, perc_75 + (perc_90 - perc_75) * (2/3), converted_stat, '2K_Ratings'!C606, IF(bbgm_stat &gt;= perc_95, converted_stat * 3, IF(bbgm_stat &gt;= perc_90, converted_stat * 2, IF(bbgm_stat &gt;= perc_85, converted_stat * 1.5, converted_stat)))))</f>
        <v/>
      </c>
      <c r="D606" s="30" t="str">
        <f t="array" ref="D606">IF($A606="", "", LET(bbgm_stat, INDEX(Players!$A605:$P605, MATCH(D$2, Players!$A$1:$P$1, 0)), perc_75, VLOOKUP(D$2, Percentiles!$A$45:$I$59, 6, FALSE), perc_90, VLOOKUP(D$2, Percentiles!$A$45:$I$59, 7, FALSE), perc_95, VLOOKUP(D$2, Percentiles!$A$45:$I$59, 8, FALSE), perc_85, perc_75 + (perc_90 - perc_75) * (2/3), converted_stat, '2K_Ratings'!D606, IF(bbgm_stat &gt;= perc_95, converted_stat * 3, IF(bbgm_stat &gt;= perc_90, converted_stat * 2, IF(bbgm_stat &gt;= perc_85, converted_stat * 1.5, converted_stat)))))</f>
        <v/>
      </c>
      <c r="E606" s="30" t="str">
        <f t="array" ref="E606">IF($A606="", "", LET(bbgm_stat, INDEX(Players!$A605:$P605, MATCH(E$2, Players!$A$1:$P$1, 0)), perc_75, VLOOKUP(E$2, Percentiles!$A$45:$I$59, 6, FALSE), perc_90, VLOOKUP(E$2, Percentiles!$A$45:$I$59, 7, FALSE), perc_95, VLOOKUP(E$2, Percentiles!$A$45:$I$59, 8, FALSE), perc_85, perc_75 + (perc_90 - perc_75) * (2/3), converted_stat, '2K_Ratings'!E606, IF(bbgm_stat &gt;= perc_95, converted_stat * 3, IF(bbgm_stat &gt;= perc_90, converted_stat * 2, IF(bbgm_stat &gt;= perc_85, converted_stat * 1.5, converted_stat)))))</f>
        <v/>
      </c>
      <c r="F606" s="30" t="str">
        <f t="array" ref="F606">IF($A606="", "", LET(bbgm_stat, INDEX(Players!$A605:$P605, MATCH(F$2, Players!$A$1:$P$1, 0)), perc_75, VLOOKUP(F$2, Percentiles!$A$45:$I$59, 6, FALSE), perc_90, VLOOKUP(F$2, Percentiles!$A$45:$I$59, 7, FALSE), perc_95, VLOOKUP(F$2, Percentiles!$A$45:$I$59, 8, FALSE), perc_85, perc_75 + (perc_90 - perc_75) * (2/3), converted_stat, '2K_Ratings'!F606, IF(bbgm_stat &gt;= perc_95, converted_stat * 3, IF(bbgm_stat &gt;= perc_90, converted_stat * 2, IF(bbgm_stat &gt;= perc_85, converted_stat * 1.5, converted_stat)))))</f>
        <v/>
      </c>
      <c r="G606" s="30" t="str">
        <f t="array" ref="G606">IF($A606="", "", LET(bbgm_stat, INDEX(Players!$A605:$P605, MATCH(G$2, Players!$A$1:$P$1, 0)), perc_75, VLOOKUP(G$2, Percentiles!$A$45:$I$59, 6, FALSE), perc_90, VLOOKUP(G$2, Percentiles!$A$45:$I$59, 7, FALSE), perc_95, VLOOKUP(G$2, Percentiles!$A$45:$I$59, 8, FALSE), perc_85, perc_75 + (perc_90 - perc_75) * (2/3), converted_stat, '2K_Ratings'!G606, IF(bbgm_stat &gt;= perc_95, converted_stat * 3, IF(bbgm_stat &gt;= perc_90, converted_stat * 2, IF(bbgm_stat &gt;= perc_85, converted_stat * 1.5, converted_stat)))))</f>
        <v/>
      </c>
      <c r="H606" s="30" t="str">
        <f t="array" ref="H606">IF($A606="", "", LET(bbgm_stat, INDEX(Players!$A605:$P605, MATCH(H$2, Players!$A$1:$P$1, 0)), perc_75, VLOOKUP(H$2, Percentiles!$A$45:$I$59, 6, FALSE), perc_90, VLOOKUP(H$2, Percentiles!$A$45:$I$59, 7, FALSE), perc_95, VLOOKUP(H$2, Percentiles!$A$45:$I$59, 8, FALSE), perc_85, perc_75 + (perc_90 - perc_75) * (2/3), converted_stat, '2K_Ratings'!H606, IF(bbgm_stat &gt;= perc_95, converted_stat * 3, IF(bbgm_stat &gt;= perc_90, converted_stat * 2, IF(bbgm_stat &gt;= perc_85, converted_stat * 1.5, converted_stat)))))</f>
        <v/>
      </c>
      <c r="I606" s="30" t="str">
        <f t="array" ref="I606">IF($A606="", "", LET(bbgm_stat, INDEX(Players!$A605:$P605, MATCH(I$2, Players!$A$1:$P$1, 0)), perc_75, VLOOKUP(I$2, Percentiles!$A$45:$I$59, 6, FALSE), perc_90, VLOOKUP(I$2, Percentiles!$A$45:$I$59, 7, FALSE), perc_95, VLOOKUP(I$2, Percentiles!$A$45:$I$59, 8, FALSE), perc_85, perc_75 + (perc_90 - perc_75) * (2/3), converted_stat, '2K_Ratings'!I606, IF(bbgm_stat &gt;= perc_95, converted_stat * 3, IF(bbgm_stat &gt;= perc_90, converted_stat * 2, IF(bbgm_stat &gt;= perc_85, converted_stat * 1.5, converted_stat)))))</f>
        <v/>
      </c>
      <c r="J606" s="30" t="str">
        <f t="array" ref="J606">IF($A606="", "", LET(bbgm_stat, INDEX(Players!$A605:$P605, MATCH(J$2, Players!$A$1:$P$1, 0)), perc_75, VLOOKUP(J$2, Percentiles!$A$45:$I$59, 6, FALSE), perc_90, VLOOKUP(J$2, Percentiles!$A$45:$I$59, 7, FALSE), perc_95, VLOOKUP(J$2, Percentiles!$A$45:$I$59, 8, FALSE), perc_85, perc_75 + (perc_90 - perc_75) * (2/3), converted_stat, '2K_Ratings'!J606, IF(bbgm_stat &gt;= perc_95, converted_stat * 3, IF(bbgm_stat &gt;= perc_90, converted_stat * 2, IF(bbgm_stat &gt;= perc_85, converted_stat * 1.5, converted_stat)))))</f>
        <v/>
      </c>
      <c r="K606" s="30" t="str">
        <f t="array" ref="K606">IF($A606="", "", LET(bbgm_stat, INDEX(Players!$A605:$P605, MATCH(K$2, Players!$A$1:$P$1, 0)), perc_75, VLOOKUP(K$2, Percentiles!$A$45:$I$59, 6, FALSE), perc_90, VLOOKUP(K$2, Percentiles!$A$45:$I$59, 7, FALSE), perc_95, VLOOKUP(K$2, Percentiles!$A$45:$I$59, 8, FALSE), perc_85, perc_75 + (perc_90 - perc_75) * (2/3), converted_stat, '2K_Ratings'!K606, IF(bbgm_stat &gt;= perc_95, converted_stat * 3, IF(bbgm_stat &gt;= perc_90, converted_stat * 2, IF(bbgm_stat &gt;= perc_85, converted_stat * 1.5, converted_stat)))))</f>
        <v/>
      </c>
      <c r="L606" s="30" t="str">
        <f t="array" ref="L606">IF($A606="", "", LET(bbgm_stat, INDEX(Players!$A605:$P605, MATCH(L$2, Players!$A$1:$P$1, 0)), perc_75, VLOOKUP(L$2, Percentiles!$A$45:$I$59, 6, FALSE), perc_90, VLOOKUP(L$2, Percentiles!$A$45:$I$59, 7, FALSE), perc_95, VLOOKUP(L$2, Percentiles!$A$45:$I$59, 8, FALSE), perc_85, perc_75 + (perc_90 - perc_75) * (2/3), converted_stat, '2K_Ratings'!L606, IF(bbgm_stat &gt;= perc_95, converted_stat * 3, IF(bbgm_stat &gt;= perc_90, converted_stat * 2, IF(bbgm_stat &gt;= perc_85, converted_stat * 1.5, converted_stat)))))</f>
        <v/>
      </c>
      <c r="M606" s="30" t="str">
        <f t="array" ref="M606">IF($A606="", "", LET(bbgm_stat, INDEX(Players!$A605:$P605, MATCH(M$2, Players!$A$1:$P$1, 0)), perc_75, VLOOKUP(M$2, Percentiles!$A$45:$I$59, 6, FALSE), perc_90, VLOOKUP(M$2, Percentiles!$A$45:$I$59, 7, FALSE), perc_95, VLOOKUP(M$2, Percentiles!$A$45:$I$59, 8, FALSE), perc_85, perc_75 + (perc_90 - perc_75) * (2/3), converted_stat, '2K_Ratings'!M606, IF(bbgm_stat &gt;= perc_95, converted_stat * 3, IF(bbgm_stat &gt;= perc_90, converted_stat * 2, IF(bbgm_stat &gt;= perc_85, converted_stat * 1.5, converted_stat)))))</f>
        <v/>
      </c>
      <c r="N606" s="30" t="str">
        <f t="array" ref="N606">IF($A606="", "", LET(bbgm_stat, INDEX(Players!$A605:$P605, MATCH(N$2, Players!$A$1:$P$1, 0)), perc_75, VLOOKUP(N$2, Percentiles!$A$45:$I$59, 6, FALSE), perc_90, VLOOKUP(N$2, Percentiles!$A$45:$I$59, 7, FALSE), perc_95, VLOOKUP(N$2, Percentiles!$A$45:$I$59, 8, FALSE), perc_85, perc_75 + (perc_90 - perc_75) * (2/3), converted_stat, '2K_Ratings'!N606, IF(bbgm_stat &gt;= perc_95, converted_stat * 3, IF(bbgm_stat &gt;= perc_90, converted_stat * 2, IF(bbgm_stat &gt;= perc_85, converted_stat * 1.5, converted_stat)))))</f>
        <v/>
      </c>
      <c r="O606" s="30" t="str">
        <f t="array" ref="O606">IF($A606="", "", LET(bbgm_stat, INDEX(Players!$A605:$P605, MATCH(O$2, Players!$A$1:$P$1, 0)), perc_75, VLOOKUP(O$2, Percentiles!$A$45:$I$59, 6, FALSE), perc_90, VLOOKUP(O$2, Percentiles!$A$45:$I$59, 7, FALSE), perc_95, VLOOKUP(O$2, Percentiles!$A$45:$I$59, 8, FALSE), perc_85, perc_75 + (perc_90 - perc_75) * (2/3), converted_stat, '2K_Ratings'!O606, IF(bbgm_stat &gt;= perc_95, converted_stat * 3, IF(bbgm_stat &gt;= perc_90, converted_stat * 2, IF(bbgm_stat &gt;= perc_85, converted_stat * 1.5, converted_stat)))))</f>
        <v/>
      </c>
      <c r="P606" s="30" t="str">
        <f t="array" ref="P606">IF($A606="", "", LET(bbgm_stat, INDEX(Players!$A605:$P605, MATCH(P$2, Players!$A$1:$P$1, 0)), perc_75, VLOOKUP(P$2, Percentiles!$A$45:$I$59, 6, FALSE), perc_90, VLOOKUP(P$2, Percentiles!$A$45:$I$59, 7, FALSE), perc_95, VLOOKUP(P$2, Percentiles!$A$45:$I$59, 8, FALSE), perc_85, perc_75 + (perc_90 - perc_75) * (2/3), converted_stat, '2K_Ratings'!P606, IF(bbgm_stat &gt;= perc_95, converted_stat * 3, IF(bbgm_stat &gt;= perc_90, converted_stat * 2, IF(bbgm_stat &gt;= perc_85, converted_stat * 1.5, converted_stat)))))</f>
        <v/>
      </c>
      <c r="Q606" s="30" t="str">
        <f t="array" ref="Q606">IF($A606="", "", LET(bbgm_stat, INDEX(Players!$A605:$P605, MATCH(Q$2, Players!$A$1:$P$1, 0)), perc_75, VLOOKUP(Q$2, Percentiles!$A$45:$I$59, 6, FALSE), perc_90, VLOOKUP(Q$2, Percentiles!$A$45:$I$59, 7, FALSE), perc_95, VLOOKUP(Q$2, Percentiles!$A$45:$I$59, 8, FALSE), perc_85, perc_75 + (perc_90 - perc_75) * (2/3), converted_stat, '2K_Ratings'!Q606, IF(bbgm_stat &gt;= perc_95, converted_stat * 3, IF(bbgm_stat &gt;= perc_90, converted_stat * 2, IF(bbgm_stat &gt;= perc_85, converted_stat * 1.5, converted_stat)))))</f>
        <v/>
      </c>
      <c r="R606" s="30" t="str">
        <f t="array" ref="R606">IF($A606="", "", LET(bbgm_stat, INDEX(Players!$A605:$P605, MATCH(R$2, Players!$A$1:$P$1, 0)), perc_75, VLOOKUP(R$2, Percentiles!$A$45:$I$59, 6, FALSE), perc_90, VLOOKUP(R$2, Percentiles!$A$45:$I$59, 7, FALSE), perc_95, VLOOKUP(R$2, Percentiles!$A$45:$I$59, 8, FALSE), perc_85, perc_75 + (perc_90 - perc_75) * (2/3), converted_stat, '2K_Ratings'!R606, IF(bbgm_stat &gt;= perc_95, converted_stat * 3, IF(bbgm_stat &gt;= perc_90, converted_stat * 2, IF(bbgm_stat &gt;= perc_85, converted_stat * 1.5, converted_stat)))))</f>
        <v/>
      </c>
      <c r="S606" s="30" t="str">
        <f t="array" ref="S606">IF($A606="", "", LET(bbgm_stat, INDEX(Players!$A605:$P605, MATCH(S$2, Players!$A$1:$P$1, 0)), perc_75, VLOOKUP(S$2, Percentiles!$A$45:$I$59, 6, FALSE), perc_90, VLOOKUP(S$2, Percentiles!$A$45:$I$59, 7, FALSE), perc_95, VLOOKUP(S$2, Percentiles!$A$45:$I$59, 8, FALSE), perc_85, perc_75 + (perc_90 - perc_75) * (2/3), converted_stat, '2K_Ratings'!S606, IF(bbgm_stat &gt;= perc_95, converted_stat * 3, IF(bbgm_stat &gt;= perc_90, converted_stat * 2, IF(bbgm_stat &gt;= perc_85, converted_stat * 1.5, converted_stat)))))</f>
        <v/>
      </c>
      <c r="T606" s="30" t="str">
        <f t="array" ref="T606">IF($A606="", "", LET(bbgm_stat, INDEX(Players!$A605:$P605, MATCH(T$2, Players!$A$1:$P$1, 0)), perc_75, VLOOKUP(T$2, Percentiles!$A$45:$I$59, 6, FALSE), perc_90, VLOOKUP(T$2, Percentiles!$A$45:$I$59, 7, FALSE), perc_95, VLOOKUP(T$2, Percentiles!$A$45:$I$59, 8, FALSE), perc_85, perc_75 + (perc_90 - perc_75) * (2/3), converted_stat, '2K_Ratings'!T606, IF(bbgm_stat &gt;= perc_95, converted_stat * 3, IF(bbgm_stat &gt;= perc_90, converted_stat * 2, IF(bbgm_stat &gt;= perc_85, converted_stat * 1.5, converted_stat)))))</f>
        <v/>
      </c>
      <c r="U606" s="30" t="str">
        <f t="array" ref="U606">IF($A606="", "", LET(bbgm_stat, INDEX(Players!$A605:$P605, MATCH(U$2, Players!$A$1:$P$1, 0)), perc_75, VLOOKUP(U$2, Percentiles!$A$45:$I$59, 6, FALSE), perc_90, VLOOKUP(U$2, Percentiles!$A$45:$I$59, 7, FALSE), perc_95, VLOOKUP(U$2, Percentiles!$A$45:$I$59, 8, FALSE), perc_85, perc_75 + (perc_90 - perc_75) * (2/3), converted_stat, '2K_Ratings'!U606, IF(bbgm_stat &gt;= perc_95, converted_stat * 3, IF(bbgm_stat &gt;= perc_90, converted_stat * 2, IF(bbgm_stat &gt;= perc_85, converted_stat * 1.5, converted_stat)))))</f>
        <v/>
      </c>
      <c r="V606" s="30" t="str">
        <f t="array" ref="V606">IF($A606="", "", LET(bbgm_stat, INDEX(Players!$A605:$P605, MATCH(V$2, Players!$A$1:$P$1, 0)), perc_75, VLOOKUP(V$2, Percentiles!$A$45:$I$59, 6, FALSE), perc_90, VLOOKUP(V$2, Percentiles!$A$45:$I$59, 7, FALSE), perc_95, VLOOKUP(V$2, Percentiles!$A$45:$I$59, 8, FALSE), perc_85, perc_75 + (perc_90 - perc_75) * (2/3), converted_stat, '2K_Ratings'!V606, IF(bbgm_stat &gt;= perc_95, converted_stat * 3, IF(bbgm_stat &gt;= perc_90, converted_stat * 2, IF(bbgm_stat &gt;= perc_85, converted_stat * 1.5, converted_stat)))))</f>
        <v/>
      </c>
      <c r="W606" s="30" t="str">
        <f t="array" ref="W606">IF($A606="", "", LET(bbgm_stat, INDEX(Players!$A605:$P605, MATCH(W$2, Players!$A$1:$P$1, 0)), perc_75, VLOOKUP(W$2, Percentiles!$A$45:$I$59, 6, FALSE), perc_90, VLOOKUP(W$2, Percentiles!$A$45:$I$59, 7, FALSE), perc_95, VLOOKUP(W$2, Percentiles!$A$45:$I$59, 8, FALSE), perc_85, perc_75 + (perc_90 - perc_75) * (2/3), converted_stat, '2K_Ratings'!W606, IF(bbgm_stat &gt;= perc_95, converted_stat * 3, IF(bbgm_stat &gt;= perc_90, converted_stat * 2, IF(bbgm_stat &gt;= perc_85, converted_stat * 1.5, converted_stat)))))</f>
        <v/>
      </c>
    </row>
    <row r="607">
      <c r="A607" s="30"/>
      <c r="B607" s="30" t="str">
        <f t="array" ref="B607">IF($A607="", "", LET(bbgm_stat, INDEX(Players!$A606:$P606, MATCH(B$2, Players!$A$1:$P$1, 0)), perc_75, VLOOKUP(B$2, Percentiles!$A$45:$I$59, 6, FALSE), perc_90, VLOOKUP(B$2, Percentiles!$A$45:$I$59, 7, FALSE), perc_95, VLOOKUP(B$2, Percentiles!$A$45:$I$59, 8, FALSE), perc_85, perc_75 + (perc_90 - perc_75) * (2/3), converted_stat, '2K_Ratings'!B607, IF(bbgm_stat &gt;= perc_95, converted_stat * 3, IF(bbgm_stat &gt;= perc_90, converted_stat * 2, IF(bbgm_stat &gt;= perc_85, converted_stat * 1.5, converted_stat)))))</f>
        <v/>
      </c>
      <c r="C607" s="30" t="str">
        <f t="array" ref="C607">IF($A607="", "", LET(bbgm_stat, INDEX(Players!$A606:$P606, MATCH(C$2, Players!$A$1:$P$1, 0)), perc_75, VLOOKUP(C$2, Percentiles!$A$45:$I$59, 6, FALSE), perc_90, VLOOKUP(C$2, Percentiles!$A$45:$I$59, 7, FALSE), perc_95, VLOOKUP(C$2, Percentiles!$A$45:$I$59, 8, FALSE), perc_85, perc_75 + (perc_90 - perc_75) * (2/3), converted_stat, '2K_Ratings'!C607, IF(bbgm_stat &gt;= perc_95, converted_stat * 3, IF(bbgm_stat &gt;= perc_90, converted_stat * 2, IF(bbgm_stat &gt;= perc_85, converted_stat * 1.5, converted_stat)))))</f>
        <v/>
      </c>
      <c r="D607" s="30" t="str">
        <f t="array" ref="D607">IF($A607="", "", LET(bbgm_stat, INDEX(Players!$A606:$P606, MATCH(D$2, Players!$A$1:$P$1, 0)), perc_75, VLOOKUP(D$2, Percentiles!$A$45:$I$59, 6, FALSE), perc_90, VLOOKUP(D$2, Percentiles!$A$45:$I$59, 7, FALSE), perc_95, VLOOKUP(D$2, Percentiles!$A$45:$I$59, 8, FALSE), perc_85, perc_75 + (perc_90 - perc_75) * (2/3), converted_stat, '2K_Ratings'!D607, IF(bbgm_stat &gt;= perc_95, converted_stat * 3, IF(bbgm_stat &gt;= perc_90, converted_stat * 2, IF(bbgm_stat &gt;= perc_85, converted_stat * 1.5, converted_stat)))))</f>
        <v/>
      </c>
      <c r="E607" s="30" t="str">
        <f t="array" ref="E607">IF($A607="", "", LET(bbgm_stat, INDEX(Players!$A606:$P606, MATCH(E$2, Players!$A$1:$P$1, 0)), perc_75, VLOOKUP(E$2, Percentiles!$A$45:$I$59, 6, FALSE), perc_90, VLOOKUP(E$2, Percentiles!$A$45:$I$59, 7, FALSE), perc_95, VLOOKUP(E$2, Percentiles!$A$45:$I$59, 8, FALSE), perc_85, perc_75 + (perc_90 - perc_75) * (2/3), converted_stat, '2K_Ratings'!E607, IF(bbgm_stat &gt;= perc_95, converted_stat * 3, IF(bbgm_stat &gt;= perc_90, converted_stat * 2, IF(bbgm_stat &gt;= perc_85, converted_stat * 1.5, converted_stat)))))</f>
        <v/>
      </c>
      <c r="F607" s="30" t="str">
        <f t="array" ref="F607">IF($A607="", "", LET(bbgm_stat, INDEX(Players!$A606:$P606, MATCH(F$2, Players!$A$1:$P$1, 0)), perc_75, VLOOKUP(F$2, Percentiles!$A$45:$I$59, 6, FALSE), perc_90, VLOOKUP(F$2, Percentiles!$A$45:$I$59, 7, FALSE), perc_95, VLOOKUP(F$2, Percentiles!$A$45:$I$59, 8, FALSE), perc_85, perc_75 + (perc_90 - perc_75) * (2/3), converted_stat, '2K_Ratings'!F607, IF(bbgm_stat &gt;= perc_95, converted_stat * 3, IF(bbgm_stat &gt;= perc_90, converted_stat * 2, IF(bbgm_stat &gt;= perc_85, converted_stat * 1.5, converted_stat)))))</f>
        <v/>
      </c>
      <c r="G607" s="30" t="str">
        <f t="array" ref="G607">IF($A607="", "", LET(bbgm_stat, INDEX(Players!$A606:$P606, MATCH(G$2, Players!$A$1:$P$1, 0)), perc_75, VLOOKUP(G$2, Percentiles!$A$45:$I$59, 6, FALSE), perc_90, VLOOKUP(G$2, Percentiles!$A$45:$I$59, 7, FALSE), perc_95, VLOOKUP(G$2, Percentiles!$A$45:$I$59, 8, FALSE), perc_85, perc_75 + (perc_90 - perc_75) * (2/3), converted_stat, '2K_Ratings'!G607, IF(bbgm_stat &gt;= perc_95, converted_stat * 3, IF(bbgm_stat &gt;= perc_90, converted_stat * 2, IF(bbgm_stat &gt;= perc_85, converted_stat * 1.5, converted_stat)))))</f>
        <v/>
      </c>
      <c r="H607" s="30" t="str">
        <f t="array" ref="H607">IF($A607="", "", LET(bbgm_stat, INDEX(Players!$A606:$P606, MATCH(H$2, Players!$A$1:$P$1, 0)), perc_75, VLOOKUP(H$2, Percentiles!$A$45:$I$59, 6, FALSE), perc_90, VLOOKUP(H$2, Percentiles!$A$45:$I$59, 7, FALSE), perc_95, VLOOKUP(H$2, Percentiles!$A$45:$I$59, 8, FALSE), perc_85, perc_75 + (perc_90 - perc_75) * (2/3), converted_stat, '2K_Ratings'!H607, IF(bbgm_stat &gt;= perc_95, converted_stat * 3, IF(bbgm_stat &gt;= perc_90, converted_stat * 2, IF(bbgm_stat &gt;= perc_85, converted_stat * 1.5, converted_stat)))))</f>
        <v/>
      </c>
      <c r="I607" s="30" t="str">
        <f t="array" ref="I607">IF($A607="", "", LET(bbgm_stat, INDEX(Players!$A606:$P606, MATCH(I$2, Players!$A$1:$P$1, 0)), perc_75, VLOOKUP(I$2, Percentiles!$A$45:$I$59, 6, FALSE), perc_90, VLOOKUP(I$2, Percentiles!$A$45:$I$59, 7, FALSE), perc_95, VLOOKUP(I$2, Percentiles!$A$45:$I$59, 8, FALSE), perc_85, perc_75 + (perc_90 - perc_75) * (2/3), converted_stat, '2K_Ratings'!I607, IF(bbgm_stat &gt;= perc_95, converted_stat * 3, IF(bbgm_stat &gt;= perc_90, converted_stat * 2, IF(bbgm_stat &gt;= perc_85, converted_stat * 1.5, converted_stat)))))</f>
        <v/>
      </c>
      <c r="J607" s="30" t="str">
        <f t="array" ref="J607">IF($A607="", "", LET(bbgm_stat, INDEX(Players!$A606:$P606, MATCH(J$2, Players!$A$1:$P$1, 0)), perc_75, VLOOKUP(J$2, Percentiles!$A$45:$I$59, 6, FALSE), perc_90, VLOOKUP(J$2, Percentiles!$A$45:$I$59, 7, FALSE), perc_95, VLOOKUP(J$2, Percentiles!$A$45:$I$59, 8, FALSE), perc_85, perc_75 + (perc_90 - perc_75) * (2/3), converted_stat, '2K_Ratings'!J607, IF(bbgm_stat &gt;= perc_95, converted_stat * 3, IF(bbgm_stat &gt;= perc_90, converted_stat * 2, IF(bbgm_stat &gt;= perc_85, converted_stat * 1.5, converted_stat)))))</f>
        <v/>
      </c>
      <c r="K607" s="30" t="str">
        <f t="array" ref="K607">IF($A607="", "", LET(bbgm_stat, INDEX(Players!$A606:$P606, MATCH(K$2, Players!$A$1:$P$1, 0)), perc_75, VLOOKUP(K$2, Percentiles!$A$45:$I$59, 6, FALSE), perc_90, VLOOKUP(K$2, Percentiles!$A$45:$I$59, 7, FALSE), perc_95, VLOOKUP(K$2, Percentiles!$A$45:$I$59, 8, FALSE), perc_85, perc_75 + (perc_90 - perc_75) * (2/3), converted_stat, '2K_Ratings'!K607, IF(bbgm_stat &gt;= perc_95, converted_stat * 3, IF(bbgm_stat &gt;= perc_90, converted_stat * 2, IF(bbgm_stat &gt;= perc_85, converted_stat * 1.5, converted_stat)))))</f>
        <v/>
      </c>
      <c r="L607" s="30" t="str">
        <f t="array" ref="L607">IF($A607="", "", LET(bbgm_stat, INDEX(Players!$A606:$P606, MATCH(L$2, Players!$A$1:$P$1, 0)), perc_75, VLOOKUP(L$2, Percentiles!$A$45:$I$59, 6, FALSE), perc_90, VLOOKUP(L$2, Percentiles!$A$45:$I$59, 7, FALSE), perc_95, VLOOKUP(L$2, Percentiles!$A$45:$I$59, 8, FALSE), perc_85, perc_75 + (perc_90 - perc_75) * (2/3), converted_stat, '2K_Ratings'!L607, IF(bbgm_stat &gt;= perc_95, converted_stat * 3, IF(bbgm_stat &gt;= perc_90, converted_stat * 2, IF(bbgm_stat &gt;= perc_85, converted_stat * 1.5, converted_stat)))))</f>
        <v/>
      </c>
      <c r="M607" s="30" t="str">
        <f t="array" ref="M607">IF($A607="", "", LET(bbgm_stat, INDEX(Players!$A606:$P606, MATCH(M$2, Players!$A$1:$P$1, 0)), perc_75, VLOOKUP(M$2, Percentiles!$A$45:$I$59, 6, FALSE), perc_90, VLOOKUP(M$2, Percentiles!$A$45:$I$59, 7, FALSE), perc_95, VLOOKUP(M$2, Percentiles!$A$45:$I$59, 8, FALSE), perc_85, perc_75 + (perc_90 - perc_75) * (2/3), converted_stat, '2K_Ratings'!M607, IF(bbgm_stat &gt;= perc_95, converted_stat * 3, IF(bbgm_stat &gt;= perc_90, converted_stat * 2, IF(bbgm_stat &gt;= perc_85, converted_stat * 1.5, converted_stat)))))</f>
        <v/>
      </c>
      <c r="N607" s="30" t="str">
        <f t="array" ref="N607">IF($A607="", "", LET(bbgm_stat, INDEX(Players!$A606:$P606, MATCH(N$2, Players!$A$1:$P$1, 0)), perc_75, VLOOKUP(N$2, Percentiles!$A$45:$I$59, 6, FALSE), perc_90, VLOOKUP(N$2, Percentiles!$A$45:$I$59, 7, FALSE), perc_95, VLOOKUP(N$2, Percentiles!$A$45:$I$59, 8, FALSE), perc_85, perc_75 + (perc_90 - perc_75) * (2/3), converted_stat, '2K_Ratings'!N607, IF(bbgm_stat &gt;= perc_95, converted_stat * 3, IF(bbgm_stat &gt;= perc_90, converted_stat * 2, IF(bbgm_stat &gt;= perc_85, converted_stat * 1.5, converted_stat)))))</f>
        <v/>
      </c>
      <c r="O607" s="30" t="str">
        <f t="array" ref="O607">IF($A607="", "", LET(bbgm_stat, INDEX(Players!$A606:$P606, MATCH(O$2, Players!$A$1:$P$1, 0)), perc_75, VLOOKUP(O$2, Percentiles!$A$45:$I$59, 6, FALSE), perc_90, VLOOKUP(O$2, Percentiles!$A$45:$I$59, 7, FALSE), perc_95, VLOOKUP(O$2, Percentiles!$A$45:$I$59, 8, FALSE), perc_85, perc_75 + (perc_90 - perc_75) * (2/3), converted_stat, '2K_Ratings'!O607, IF(bbgm_stat &gt;= perc_95, converted_stat * 3, IF(bbgm_stat &gt;= perc_90, converted_stat * 2, IF(bbgm_stat &gt;= perc_85, converted_stat * 1.5, converted_stat)))))</f>
        <v/>
      </c>
      <c r="P607" s="30" t="str">
        <f t="array" ref="P607">IF($A607="", "", LET(bbgm_stat, INDEX(Players!$A606:$P606, MATCH(P$2, Players!$A$1:$P$1, 0)), perc_75, VLOOKUP(P$2, Percentiles!$A$45:$I$59, 6, FALSE), perc_90, VLOOKUP(P$2, Percentiles!$A$45:$I$59, 7, FALSE), perc_95, VLOOKUP(P$2, Percentiles!$A$45:$I$59, 8, FALSE), perc_85, perc_75 + (perc_90 - perc_75) * (2/3), converted_stat, '2K_Ratings'!P607, IF(bbgm_stat &gt;= perc_95, converted_stat * 3, IF(bbgm_stat &gt;= perc_90, converted_stat * 2, IF(bbgm_stat &gt;= perc_85, converted_stat * 1.5, converted_stat)))))</f>
        <v/>
      </c>
      <c r="Q607" s="30" t="str">
        <f t="array" ref="Q607">IF($A607="", "", LET(bbgm_stat, INDEX(Players!$A606:$P606, MATCH(Q$2, Players!$A$1:$P$1, 0)), perc_75, VLOOKUP(Q$2, Percentiles!$A$45:$I$59, 6, FALSE), perc_90, VLOOKUP(Q$2, Percentiles!$A$45:$I$59, 7, FALSE), perc_95, VLOOKUP(Q$2, Percentiles!$A$45:$I$59, 8, FALSE), perc_85, perc_75 + (perc_90 - perc_75) * (2/3), converted_stat, '2K_Ratings'!Q607, IF(bbgm_stat &gt;= perc_95, converted_stat * 3, IF(bbgm_stat &gt;= perc_90, converted_stat * 2, IF(bbgm_stat &gt;= perc_85, converted_stat * 1.5, converted_stat)))))</f>
        <v/>
      </c>
      <c r="R607" s="30" t="str">
        <f t="array" ref="R607">IF($A607="", "", LET(bbgm_stat, INDEX(Players!$A606:$P606, MATCH(R$2, Players!$A$1:$P$1, 0)), perc_75, VLOOKUP(R$2, Percentiles!$A$45:$I$59, 6, FALSE), perc_90, VLOOKUP(R$2, Percentiles!$A$45:$I$59, 7, FALSE), perc_95, VLOOKUP(R$2, Percentiles!$A$45:$I$59, 8, FALSE), perc_85, perc_75 + (perc_90 - perc_75) * (2/3), converted_stat, '2K_Ratings'!R607, IF(bbgm_stat &gt;= perc_95, converted_stat * 3, IF(bbgm_stat &gt;= perc_90, converted_stat * 2, IF(bbgm_stat &gt;= perc_85, converted_stat * 1.5, converted_stat)))))</f>
        <v/>
      </c>
      <c r="S607" s="30" t="str">
        <f t="array" ref="S607">IF($A607="", "", LET(bbgm_stat, INDEX(Players!$A606:$P606, MATCH(S$2, Players!$A$1:$P$1, 0)), perc_75, VLOOKUP(S$2, Percentiles!$A$45:$I$59, 6, FALSE), perc_90, VLOOKUP(S$2, Percentiles!$A$45:$I$59, 7, FALSE), perc_95, VLOOKUP(S$2, Percentiles!$A$45:$I$59, 8, FALSE), perc_85, perc_75 + (perc_90 - perc_75) * (2/3), converted_stat, '2K_Ratings'!S607, IF(bbgm_stat &gt;= perc_95, converted_stat * 3, IF(bbgm_stat &gt;= perc_90, converted_stat * 2, IF(bbgm_stat &gt;= perc_85, converted_stat * 1.5, converted_stat)))))</f>
        <v/>
      </c>
      <c r="T607" s="30" t="str">
        <f t="array" ref="T607">IF($A607="", "", LET(bbgm_stat, INDEX(Players!$A606:$P606, MATCH(T$2, Players!$A$1:$P$1, 0)), perc_75, VLOOKUP(T$2, Percentiles!$A$45:$I$59, 6, FALSE), perc_90, VLOOKUP(T$2, Percentiles!$A$45:$I$59, 7, FALSE), perc_95, VLOOKUP(T$2, Percentiles!$A$45:$I$59, 8, FALSE), perc_85, perc_75 + (perc_90 - perc_75) * (2/3), converted_stat, '2K_Ratings'!T607, IF(bbgm_stat &gt;= perc_95, converted_stat * 3, IF(bbgm_stat &gt;= perc_90, converted_stat * 2, IF(bbgm_stat &gt;= perc_85, converted_stat * 1.5, converted_stat)))))</f>
        <v/>
      </c>
      <c r="U607" s="30" t="str">
        <f t="array" ref="U607">IF($A607="", "", LET(bbgm_stat, INDEX(Players!$A606:$P606, MATCH(U$2, Players!$A$1:$P$1, 0)), perc_75, VLOOKUP(U$2, Percentiles!$A$45:$I$59, 6, FALSE), perc_90, VLOOKUP(U$2, Percentiles!$A$45:$I$59, 7, FALSE), perc_95, VLOOKUP(U$2, Percentiles!$A$45:$I$59, 8, FALSE), perc_85, perc_75 + (perc_90 - perc_75) * (2/3), converted_stat, '2K_Ratings'!U607, IF(bbgm_stat &gt;= perc_95, converted_stat * 3, IF(bbgm_stat &gt;= perc_90, converted_stat * 2, IF(bbgm_stat &gt;= perc_85, converted_stat * 1.5, converted_stat)))))</f>
        <v/>
      </c>
      <c r="V607" s="30" t="str">
        <f t="array" ref="V607">IF($A607="", "", LET(bbgm_stat, INDEX(Players!$A606:$P606, MATCH(V$2, Players!$A$1:$P$1, 0)), perc_75, VLOOKUP(V$2, Percentiles!$A$45:$I$59, 6, FALSE), perc_90, VLOOKUP(V$2, Percentiles!$A$45:$I$59, 7, FALSE), perc_95, VLOOKUP(V$2, Percentiles!$A$45:$I$59, 8, FALSE), perc_85, perc_75 + (perc_90 - perc_75) * (2/3), converted_stat, '2K_Ratings'!V607, IF(bbgm_stat &gt;= perc_95, converted_stat * 3, IF(bbgm_stat &gt;= perc_90, converted_stat * 2, IF(bbgm_stat &gt;= perc_85, converted_stat * 1.5, converted_stat)))))</f>
        <v/>
      </c>
      <c r="W607" s="30" t="str">
        <f t="array" ref="W607">IF($A607="", "", LET(bbgm_stat, INDEX(Players!$A606:$P606, MATCH(W$2, Players!$A$1:$P$1, 0)), perc_75, VLOOKUP(W$2, Percentiles!$A$45:$I$59, 6, FALSE), perc_90, VLOOKUP(W$2, Percentiles!$A$45:$I$59, 7, FALSE), perc_95, VLOOKUP(W$2, Percentiles!$A$45:$I$59, 8, FALSE), perc_85, perc_75 + (perc_90 - perc_75) * (2/3), converted_stat, '2K_Ratings'!W607, IF(bbgm_stat &gt;= perc_95, converted_stat * 3, IF(bbgm_stat &gt;= perc_90, converted_stat * 2, IF(bbgm_stat &gt;= perc_85, converted_stat * 1.5, converted_stat)))))</f>
        <v/>
      </c>
    </row>
    <row r="608">
      <c r="A608" s="30"/>
      <c r="B608" s="30" t="str">
        <f t="array" ref="B608">IF($A608="", "", LET(bbgm_stat, INDEX(Players!$A607:$P607, MATCH(B$2, Players!$A$1:$P$1, 0)), perc_75, VLOOKUP(B$2, Percentiles!$A$45:$I$59, 6, FALSE), perc_90, VLOOKUP(B$2, Percentiles!$A$45:$I$59, 7, FALSE), perc_95, VLOOKUP(B$2, Percentiles!$A$45:$I$59, 8, FALSE), perc_85, perc_75 + (perc_90 - perc_75) * (2/3), converted_stat, '2K_Ratings'!B608, IF(bbgm_stat &gt;= perc_95, converted_stat * 3, IF(bbgm_stat &gt;= perc_90, converted_stat * 2, IF(bbgm_stat &gt;= perc_85, converted_stat * 1.5, converted_stat)))))</f>
        <v/>
      </c>
      <c r="C608" s="30" t="str">
        <f t="array" ref="C608">IF($A608="", "", LET(bbgm_stat, INDEX(Players!$A607:$P607, MATCH(C$2, Players!$A$1:$P$1, 0)), perc_75, VLOOKUP(C$2, Percentiles!$A$45:$I$59, 6, FALSE), perc_90, VLOOKUP(C$2, Percentiles!$A$45:$I$59, 7, FALSE), perc_95, VLOOKUP(C$2, Percentiles!$A$45:$I$59, 8, FALSE), perc_85, perc_75 + (perc_90 - perc_75) * (2/3), converted_stat, '2K_Ratings'!C608, IF(bbgm_stat &gt;= perc_95, converted_stat * 3, IF(bbgm_stat &gt;= perc_90, converted_stat * 2, IF(bbgm_stat &gt;= perc_85, converted_stat * 1.5, converted_stat)))))</f>
        <v/>
      </c>
      <c r="D608" s="30" t="str">
        <f t="array" ref="D608">IF($A608="", "", LET(bbgm_stat, INDEX(Players!$A607:$P607, MATCH(D$2, Players!$A$1:$P$1, 0)), perc_75, VLOOKUP(D$2, Percentiles!$A$45:$I$59, 6, FALSE), perc_90, VLOOKUP(D$2, Percentiles!$A$45:$I$59, 7, FALSE), perc_95, VLOOKUP(D$2, Percentiles!$A$45:$I$59, 8, FALSE), perc_85, perc_75 + (perc_90 - perc_75) * (2/3), converted_stat, '2K_Ratings'!D608, IF(bbgm_stat &gt;= perc_95, converted_stat * 3, IF(bbgm_stat &gt;= perc_90, converted_stat * 2, IF(bbgm_stat &gt;= perc_85, converted_stat * 1.5, converted_stat)))))</f>
        <v/>
      </c>
      <c r="E608" s="30" t="str">
        <f t="array" ref="E608">IF($A608="", "", LET(bbgm_stat, INDEX(Players!$A607:$P607, MATCH(E$2, Players!$A$1:$P$1, 0)), perc_75, VLOOKUP(E$2, Percentiles!$A$45:$I$59, 6, FALSE), perc_90, VLOOKUP(E$2, Percentiles!$A$45:$I$59, 7, FALSE), perc_95, VLOOKUP(E$2, Percentiles!$A$45:$I$59, 8, FALSE), perc_85, perc_75 + (perc_90 - perc_75) * (2/3), converted_stat, '2K_Ratings'!E608, IF(bbgm_stat &gt;= perc_95, converted_stat * 3, IF(bbgm_stat &gt;= perc_90, converted_stat * 2, IF(bbgm_stat &gt;= perc_85, converted_stat * 1.5, converted_stat)))))</f>
        <v/>
      </c>
      <c r="F608" s="30" t="str">
        <f t="array" ref="F608">IF($A608="", "", LET(bbgm_stat, INDEX(Players!$A607:$P607, MATCH(F$2, Players!$A$1:$P$1, 0)), perc_75, VLOOKUP(F$2, Percentiles!$A$45:$I$59, 6, FALSE), perc_90, VLOOKUP(F$2, Percentiles!$A$45:$I$59, 7, FALSE), perc_95, VLOOKUP(F$2, Percentiles!$A$45:$I$59, 8, FALSE), perc_85, perc_75 + (perc_90 - perc_75) * (2/3), converted_stat, '2K_Ratings'!F608, IF(bbgm_stat &gt;= perc_95, converted_stat * 3, IF(bbgm_stat &gt;= perc_90, converted_stat * 2, IF(bbgm_stat &gt;= perc_85, converted_stat * 1.5, converted_stat)))))</f>
        <v/>
      </c>
      <c r="G608" s="30" t="str">
        <f t="array" ref="G608">IF($A608="", "", LET(bbgm_stat, INDEX(Players!$A607:$P607, MATCH(G$2, Players!$A$1:$P$1, 0)), perc_75, VLOOKUP(G$2, Percentiles!$A$45:$I$59, 6, FALSE), perc_90, VLOOKUP(G$2, Percentiles!$A$45:$I$59, 7, FALSE), perc_95, VLOOKUP(G$2, Percentiles!$A$45:$I$59, 8, FALSE), perc_85, perc_75 + (perc_90 - perc_75) * (2/3), converted_stat, '2K_Ratings'!G608, IF(bbgm_stat &gt;= perc_95, converted_stat * 3, IF(bbgm_stat &gt;= perc_90, converted_stat * 2, IF(bbgm_stat &gt;= perc_85, converted_stat * 1.5, converted_stat)))))</f>
        <v/>
      </c>
      <c r="H608" s="30" t="str">
        <f t="array" ref="H608">IF($A608="", "", LET(bbgm_stat, INDEX(Players!$A607:$P607, MATCH(H$2, Players!$A$1:$P$1, 0)), perc_75, VLOOKUP(H$2, Percentiles!$A$45:$I$59, 6, FALSE), perc_90, VLOOKUP(H$2, Percentiles!$A$45:$I$59, 7, FALSE), perc_95, VLOOKUP(H$2, Percentiles!$A$45:$I$59, 8, FALSE), perc_85, perc_75 + (perc_90 - perc_75) * (2/3), converted_stat, '2K_Ratings'!H608, IF(bbgm_stat &gt;= perc_95, converted_stat * 3, IF(bbgm_stat &gt;= perc_90, converted_stat * 2, IF(bbgm_stat &gt;= perc_85, converted_stat * 1.5, converted_stat)))))</f>
        <v/>
      </c>
      <c r="I608" s="30" t="str">
        <f t="array" ref="I608">IF($A608="", "", LET(bbgm_stat, INDEX(Players!$A607:$P607, MATCH(I$2, Players!$A$1:$P$1, 0)), perc_75, VLOOKUP(I$2, Percentiles!$A$45:$I$59, 6, FALSE), perc_90, VLOOKUP(I$2, Percentiles!$A$45:$I$59, 7, FALSE), perc_95, VLOOKUP(I$2, Percentiles!$A$45:$I$59, 8, FALSE), perc_85, perc_75 + (perc_90 - perc_75) * (2/3), converted_stat, '2K_Ratings'!I608, IF(bbgm_stat &gt;= perc_95, converted_stat * 3, IF(bbgm_stat &gt;= perc_90, converted_stat * 2, IF(bbgm_stat &gt;= perc_85, converted_stat * 1.5, converted_stat)))))</f>
        <v/>
      </c>
      <c r="J608" s="30" t="str">
        <f t="array" ref="J608">IF($A608="", "", LET(bbgm_stat, INDEX(Players!$A607:$P607, MATCH(J$2, Players!$A$1:$P$1, 0)), perc_75, VLOOKUP(J$2, Percentiles!$A$45:$I$59, 6, FALSE), perc_90, VLOOKUP(J$2, Percentiles!$A$45:$I$59, 7, FALSE), perc_95, VLOOKUP(J$2, Percentiles!$A$45:$I$59, 8, FALSE), perc_85, perc_75 + (perc_90 - perc_75) * (2/3), converted_stat, '2K_Ratings'!J608, IF(bbgm_stat &gt;= perc_95, converted_stat * 3, IF(bbgm_stat &gt;= perc_90, converted_stat * 2, IF(bbgm_stat &gt;= perc_85, converted_stat * 1.5, converted_stat)))))</f>
        <v/>
      </c>
      <c r="K608" s="30" t="str">
        <f t="array" ref="K608">IF($A608="", "", LET(bbgm_stat, INDEX(Players!$A607:$P607, MATCH(K$2, Players!$A$1:$P$1, 0)), perc_75, VLOOKUP(K$2, Percentiles!$A$45:$I$59, 6, FALSE), perc_90, VLOOKUP(K$2, Percentiles!$A$45:$I$59, 7, FALSE), perc_95, VLOOKUP(K$2, Percentiles!$A$45:$I$59, 8, FALSE), perc_85, perc_75 + (perc_90 - perc_75) * (2/3), converted_stat, '2K_Ratings'!K608, IF(bbgm_stat &gt;= perc_95, converted_stat * 3, IF(bbgm_stat &gt;= perc_90, converted_stat * 2, IF(bbgm_stat &gt;= perc_85, converted_stat * 1.5, converted_stat)))))</f>
        <v/>
      </c>
      <c r="L608" s="30" t="str">
        <f t="array" ref="L608">IF($A608="", "", LET(bbgm_stat, INDEX(Players!$A607:$P607, MATCH(L$2, Players!$A$1:$P$1, 0)), perc_75, VLOOKUP(L$2, Percentiles!$A$45:$I$59, 6, FALSE), perc_90, VLOOKUP(L$2, Percentiles!$A$45:$I$59, 7, FALSE), perc_95, VLOOKUP(L$2, Percentiles!$A$45:$I$59, 8, FALSE), perc_85, perc_75 + (perc_90 - perc_75) * (2/3), converted_stat, '2K_Ratings'!L608, IF(bbgm_stat &gt;= perc_95, converted_stat * 3, IF(bbgm_stat &gt;= perc_90, converted_stat * 2, IF(bbgm_stat &gt;= perc_85, converted_stat * 1.5, converted_stat)))))</f>
        <v/>
      </c>
      <c r="M608" s="30" t="str">
        <f t="array" ref="M608">IF($A608="", "", LET(bbgm_stat, INDEX(Players!$A607:$P607, MATCH(M$2, Players!$A$1:$P$1, 0)), perc_75, VLOOKUP(M$2, Percentiles!$A$45:$I$59, 6, FALSE), perc_90, VLOOKUP(M$2, Percentiles!$A$45:$I$59, 7, FALSE), perc_95, VLOOKUP(M$2, Percentiles!$A$45:$I$59, 8, FALSE), perc_85, perc_75 + (perc_90 - perc_75) * (2/3), converted_stat, '2K_Ratings'!M608, IF(bbgm_stat &gt;= perc_95, converted_stat * 3, IF(bbgm_stat &gt;= perc_90, converted_stat * 2, IF(bbgm_stat &gt;= perc_85, converted_stat * 1.5, converted_stat)))))</f>
        <v/>
      </c>
      <c r="N608" s="30" t="str">
        <f t="array" ref="N608">IF($A608="", "", LET(bbgm_stat, INDEX(Players!$A607:$P607, MATCH(N$2, Players!$A$1:$P$1, 0)), perc_75, VLOOKUP(N$2, Percentiles!$A$45:$I$59, 6, FALSE), perc_90, VLOOKUP(N$2, Percentiles!$A$45:$I$59, 7, FALSE), perc_95, VLOOKUP(N$2, Percentiles!$A$45:$I$59, 8, FALSE), perc_85, perc_75 + (perc_90 - perc_75) * (2/3), converted_stat, '2K_Ratings'!N608, IF(bbgm_stat &gt;= perc_95, converted_stat * 3, IF(bbgm_stat &gt;= perc_90, converted_stat * 2, IF(bbgm_stat &gt;= perc_85, converted_stat * 1.5, converted_stat)))))</f>
        <v/>
      </c>
      <c r="O608" s="30" t="str">
        <f t="array" ref="O608">IF($A608="", "", LET(bbgm_stat, INDEX(Players!$A607:$P607, MATCH(O$2, Players!$A$1:$P$1, 0)), perc_75, VLOOKUP(O$2, Percentiles!$A$45:$I$59, 6, FALSE), perc_90, VLOOKUP(O$2, Percentiles!$A$45:$I$59, 7, FALSE), perc_95, VLOOKUP(O$2, Percentiles!$A$45:$I$59, 8, FALSE), perc_85, perc_75 + (perc_90 - perc_75) * (2/3), converted_stat, '2K_Ratings'!O608, IF(bbgm_stat &gt;= perc_95, converted_stat * 3, IF(bbgm_stat &gt;= perc_90, converted_stat * 2, IF(bbgm_stat &gt;= perc_85, converted_stat * 1.5, converted_stat)))))</f>
        <v/>
      </c>
      <c r="P608" s="30" t="str">
        <f t="array" ref="P608">IF($A608="", "", LET(bbgm_stat, INDEX(Players!$A607:$P607, MATCH(P$2, Players!$A$1:$P$1, 0)), perc_75, VLOOKUP(P$2, Percentiles!$A$45:$I$59, 6, FALSE), perc_90, VLOOKUP(P$2, Percentiles!$A$45:$I$59, 7, FALSE), perc_95, VLOOKUP(P$2, Percentiles!$A$45:$I$59, 8, FALSE), perc_85, perc_75 + (perc_90 - perc_75) * (2/3), converted_stat, '2K_Ratings'!P608, IF(bbgm_stat &gt;= perc_95, converted_stat * 3, IF(bbgm_stat &gt;= perc_90, converted_stat * 2, IF(bbgm_stat &gt;= perc_85, converted_stat * 1.5, converted_stat)))))</f>
        <v/>
      </c>
      <c r="Q608" s="30" t="str">
        <f t="array" ref="Q608">IF($A608="", "", LET(bbgm_stat, INDEX(Players!$A607:$P607, MATCH(Q$2, Players!$A$1:$P$1, 0)), perc_75, VLOOKUP(Q$2, Percentiles!$A$45:$I$59, 6, FALSE), perc_90, VLOOKUP(Q$2, Percentiles!$A$45:$I$59, 7, FALSE), perc_95, VLOOKUP(Q$2, Percentiles!$A$45:$I$59, 8, FALSE), perc_85, perc_75 + (perc_90 - perc_75) * (2/3), converted_stat, '2K_Ratings'!Q608, IF(bbgm_stat &gt;= perc_95, converted_stat * 3, IF(bbgm_stat &gt;= perc_90, converted_stat * 2, IF(bbgm_stat &gt;= perc_85, converted_stat * 1.5, converted_stat)))))</f>
        <v/>
      </c>
      <c r="R608" s="30" t="str">
        <f t="array" ref="R608">IF($A608="", "", LET(bbgm_stat, INDEX(Players!$A607:$P607, MATCH(R$2, Players!$A$1:$P$1, 0)), perc_75, VLOOKUP(R$2, Percentiles!$A$45:$I$59, 6, FALSE), perc_90, VLOOKUP(R$2, Percentiles!$A$45:$I$59, 7, FALSE), perc_95, VLOOKUP(R$2, Percentiles!$A$45:$I$59, 8, FALSE), perc_85, perc_75 + (perc_90 - perc_75) * (2/3), converted_stat, '2K_Ratings'!R608, IF(bbgm_stat &gt;= perc_95, converted_stat * 3, IF(bbgm_stat &gt;= perc_90, converted_stat * 2, IF(bbgm_stat &gt;= perc_85, converted_stat * 1.5, converted_stat)))))</f>
        <v/>
      </c>
      <c r="S608" s="30" t="str">
        <f t="array" ref="S608">IF($A608="", "", LET(bbgm_stat, INDEX(Players!$A607:$P607, MATCH(S$2, Players!$A$1:$P$1, 0)), perc_75, VLOOKUP(S$2, Percentiles!$A$45:$I$59, 6, FALSE), perc_90, VLOOKUP(S$2, Percentiles!$A$45:$I$59, 7, FALSE), perc_95, VLOOKUP(S$2, Percentiles!$A$45:$I$59, 8, FALSE), perc_85, perc_75 + (perc_90 - perc_75) * (2/3), converted_stat, '2K_Ratings'!S608, IF(bbgm_stat &gt;= perc_95, converted_stat * 3, IF(bbgm_stat &gt;= perc_90, converted_stat * 2, IF(bbgm_stat &gt;= perc_85, converted_stat * 1.5, converted_stat)))))</f>
        <v/>
      </c>
      <c r="T608" s="30" t="str">
        <f t="array" ref="T608">IF($A608="", "", LET(bbgm_stat, INDEX(Players!$A607:$P607, MATCH(T$2, Players!$A$1:$P$1, 0)), perc_75, VLOOKUP(T$2, Percentiles!$A$45:$I$59, 6, FALSE), perc_90, VLOOKUP(T$2, Percentiles!$A$45:$I$59, 7, FALSE), perc_95, VLOOKUP(T$2, Percentiles!$A$45:$I$59, 8, FALSE), perc_85, perc_75 + (perc_90 - perc_75) * (2/3), converted_stat, '2K_Ratings'!T608, IF(bbgm_stat &gt;= perc_95, converted_stat * 3, IF(bbgm_stat &gt;= perc_90, converted_stat * 2, IF(bbgm_stat &gt;= perc_85, converted_stat * 1.5, converted_stat)))))</f>
        <v/>
      </c>
      <c r="U608" s="30" t="str">
        <f t="array" ref="U608">IF($A608="", "", LET(bbgm_stat, INDEX(Players!$A607:$P607, MATCH(U$2, Players!$A$1:$P$1, 0)), perc_75, VLOOKUP(U$2, Percentiles!$A$45:$I$59, 6, FALSE), perc_90, VLOOKUP(U$2, Percentiles!$A$45:$I$59, 7, FALSE), perc_95, VLOOKUP(U$2, Percentiles!$A$45:$I$59, 8, FALSE), perc_85, perc_75 + (perc_90 - perc_75) * (2/3), converted_stat, '2K_Ratings'!U608, IF(bbgm_stat &gt;= perc_95, converted_stat * 3, IF(bbgm_stat &gt;= perc_90, converted_stat * 2, IF(bbgm_stat &gt;= perc_85, converted_stat * 1.5, converted_stat)))))</f>
        <v/>
      </c>
      <c r="V608" s="30" t="str">
        <f t="array" ref="V608">IF($A608="", "", LET(bbgm_stat, INDEX(Players!$A607:$P607, MATCH(V$2, Players!$A$1:$P$1, 0)), perc_75, VLOOKUP(V$2, Percentiles!$A$45:$I$59, 6, FALSE), perc_90, VLOOKUP(V$2, Percentiles!$A$45:$I$59, 7, FALSE), perc_95, VLOOKUP(V$2, Percentiles!$A$45:$I$59, 8, FALSE), perc_85, perc_75 + (perc_90 - perc_75) * (2/3), converted_stat, '2K_Ratings'!V608, IF(bbgm_stat &gt;= perc_95, converted_stat * 3, IF(bbgm_stat &gt;= perc_90, converted_stat * 2, IF(bbgm_stat &gt;= perc_85, converted_stat * 1.5, converted_stat)))))</f>
        <v/>
      </c>
      <c r="W608" s="30" t="str">
        <f t="array" ref="W608">IF($A608="", "", LET(bbgm_stat, INDEX(Players!$A607:$P607, MATCH(W$2, Players!$A$1:$P$1, 0)), perc_75, VLOOKUP(W$2, Percentiles!$A$45:$I$59, 6, FALSE), perc_90, VLOOKUP(W$2, Percentiles!$A$45:$I$59, 7, FALSE), perc_95, VLOOKUP(W$2, Percentiles!$A$45:$I$59, 8, FALSE), perc_85, perc_75 + (perc_90 - perc_75) * (2/3), converted_stat, '2K_Ratings'!W608, IF(bbgm_stat &gt;= perc_95, converted_stat * 3, IF(bbgm_stat &gt;= perc_90, converted_stat * 2, IF(bbgm_stat &gt;= perc_85, converted_stat * 1.5, converted_stat)))))</f>
        <v/>
      </c>
    </row>
    <row r="609">
      <c r="A609" s="30"/>
      <c r="B609" s="30" t="str">
        <f t="array" ref="B609">IF($A609="", "", LET(bbgm_stat, INDEX(Players!$A608:$P608, MATCH(B$2, Players!$A$1:$P$1, 0)), perc_75, VLOOKUP(B$2, Percentiles!$A$45:$I$59, 6, FALSE), perc_90, VLOOKUP(B$2, Percentiles!$A$45:$I$59, 7, FALSE), perc_95, VLOOKUP(B$2, Percentiles!$A$45:$I$59, 8, FALSE), perc_85, perc_75 + (perc_90 - perc_75) * (2/3), converted_stat, '2K_Ratings'!B609, IF(bbgm_stat &gt;= perc_95, converted_stat * 3, IF(bbgm_stat &gt;= perc_90, converted_stat * 2, IF(bbgm_stat &gt;= perc_85, converted_stat * 1.5, converted_stat)))))</f>
        <v/>
      </c>
      <c r="C609" s="30" t="str">
        <f t="array" ref="C609">IF($A609="", "", LET(bbgm_stat, INDEX(Players!$A608:$P608, MATCH(C$2, Players!$A$1:$P$1, 0)), perc_75, VLOOKUP(C$2, Percentiles!$A$45:$I$59, 6, FALSE), perc_90, VLOOKUP(C$2, Percentiles!$A$45:$I$59, 7, FALSE), perc_95, VLOOKUP(C$2, Percentiles!$A$45:$I$59, 8, FALSE), perc_85, perc_75 + (perc_90 - perc_75) * (2/3), converted_stat, '2K_Ratings'!C609, IF(bbgm_stat &gt;= perc_95, converted_stat * 3, IF(bbgm_stat &gt;= perc_90, converted_stat * 2, IF(bbgm_stat &gt;= perc_85, converted_stat * 1.5, converted_stat)))))</f>
        <v/>
      </c>
      <c r="D609" s="30" t="str">
        <f t="array" ref="D609">IF($A609="", "", LET(bbgm_stat, INDEX(Players!$A608:$P608, MATCH(D$2, Players!$A$1:$P$1, 0)), perc_75, VLOOKUP(D$2, Percentiles!$A$45:$I$59, 6, FALSE), perc_90, VLOOKUP(D$2, Percentiles!$A$45:$I$59, 7, FALSE), perc_95, VLOOKUP(D$2, Percentiles!$A$45:$I$59, 8, FALSE), perc_85, perc_75 + (perc_90 - perc_75) * (2/3), converted_stat, '2K_Ratings'!D609, IF(bbgm_stat &gt;= perc_95, converted_stat * 3, IF(bbgm_stat &gt;= perc_90, converted_stat * 2, IF(bbgm_stat &gt;= perc_85, converted_stat * 1.5, converted_stat)))))</f>
        <v/>
      </c>
      <c r="E609" s="30" t="str">
        <f t="array" ref="E609">IF($A609="", "", LET(bbgm_stat, INDEX(Players!$A608:$P608, MATCH(E$2, Players!$A$1:$P$1, 0)), perc_75, VLOOKUP(E$2, Percentiles!$A$45:$I$59, 6, FALSE), perc_90, VLOOKUP(E$2, Percentiles!$A$45:$I$59, 7, FALSE), perc_95, VLOOKUP(E$2, Percentiles!$A$45:$I$59, 8, FALSE), perc_85, perc_75 + (perc_90 - perc_75) * (2/3), converted_stat, '2K_Ratings'!E609, IF(bbgm_stat &gt;= perc_95, converted_stat * 3, IF(bbgm_stat &gt;= perc_90, converted_stat * 2, IF(bbgm_stat &gt;= perc_85, converted_stat * 1.5, converted_stat)))))</f>
        <v/>
      </c>
      <c r="F609" s="30" t="str">
        <f t="array" ref="F609">IF($A609="", "", LET(bbgm_stat, INDEX(Players!$A608:$P608, MATCH(F$2, Players!$A$1:$P$1, 0)), perc_75, VLOOKUP(F$2, Percentiles!$A$45:$I$59, 6, FALSE), perc_90, VLOOKUP(F$2, Percentiles!$A$45:$I$59, 7, FALSE), perc_95, VLOOKUP(F$2, Percentiles!$A$45:$I$59, 8, FALSE), perc_85, perc_75 + (perc_90 - perc_75) * (2/3), converted_stat, '2K_Ratings'!F609, IF(bbgm_stat &gt;= perc_95, converted_stat * 3, IF(bbgm_stat &gt;= perc_90, converted_stat * 2, IF(bbgm_stat &gt;= perc_85, converted_stat * 1.5, converted_stat)))))</f>
        <v/>
      </c>
      <c r="G609" s="30" t="str">
        <f t="array" ref="G609">IF($A609="", "", LET(bbgm_stat, INDEX(Players!$A608:$P608, MATCH(G$2, Players!$A$1:$P$1, 0)), perc_75, VLOOKUP(G$2, Percentiles!$A$45:$I$59, 6, FALSE), perc_90, VLOOKUP(G$2, Percentiles!$A$45:$I$59, 7, FALSE), perc_95, VLOOKUP(G$2, Percentiles!$A$45:$I$59, 8, FALSE), perc_85, perc_75 + (perc_90 - perc_75) * (2/3), converted_stat, '2K_Ratings'!G609, IF(bbgm_stat &gt;= perc_95, converted_stat * 3, IF(bbgm_stat &gt;= perc_90, converted_stat * 2, IF(bbgm_stat &gt;= perc_85, converted_stat * 1.5, converted_stat)))))</f>
        <v/>
      </c>
      <c r="H609" s="30" t="str">
        <f t="array" ref="H609">IF($A609="", "", LET(bbgm_stat, INDEX(Players!$A608:$P608, MATCH(H$2, Players!$A$1:$P$1, 0)), perc_75, VLOOKUP(H$2, Percentiles!$A$45:$I$59, 6, FALSE), perc_90, VLOOKUP(H$2, Percentiles!$A$45:$I$59, 7, FALSE), perc_95, VLOOKUP(H$2, Percentiles!$A$45:$I$59, 8, FALSE), perc_85, perc_75 + (perc_90 - perc_75) * (2/3), converted_stat, '2K_Ratings'!H609, IF(bbgm_stat &gt;= perc_95, converted_stat * 3, IF(bbgm_stat &gt;= perc_90, converted_stat * 2, IF(bbgm_stat &gt;= perc_85, converted_stat * 1.5, converted_stat)))))</f>
        <v/>
      </c>
      <c r="I609" s="30" t="str">
        <f t="array" ref="I609">IF($A609="", "", LET(bbgm_stat, INDEX(Players!$A608:$P608, MATCH(I$2, Players!$A$1:$P$1, 0)), perc_75, VLOOKUP(I$2, Percentiles!$A$45:$I$59, 6, FALSE), perc_90, VLOOKUP(I$2, Percentiles!$A$45:$I$59, 7, FALSE), perc_95, VLOOKUP(I$2, Percentiles!$A$45:$I$59, 8, FALSE), perc_85, perc_75 + (perc_90 - perc_75) * (2/3), converted_stat, '2K_Ratings'!I609, IF(bbgm_stat &gt;= perc_95, converted_stat * 3, IF(bbgm_stat &gt;= perc_90, converted_stat * 2, IF(bbgm_stat &gt;= perc_85, converted_stat * 1.5, converted_stat)))))</f>
        <v/>
      </c>
      <c r="J609" s="30" t="str">
        <f t="array" ref="J609">IF($A609="", "", LET(bbgm_stat, INDEX(Players!$A608:$P608, MATCH(J$2, Players!$A$1:$P$1, 0)), perc_75, VLOOKUP(J$2, Percentiles!$A$45:$I$59, 6, FALSE), perc_90, VLOOKUP(J$2, Percentiles!$A$45:$I$59, 7, FALSE), perc_95, VLOOKUP(J$2, Percentiles!$A$45:$I$59, 8, FALSE), perc_85, perc_75 + (perc_90 - perc_75) * (2/3), converted_stat, '2K_Ratings'!J609, IF(bbgm_stat &gt;= perc_95, converted_stat * 3, IF(bbgm_stat &gt;= perc_90, converted_stat * 2, IF(bbgm_stat &gt;= perc_85, converted_stat * 1.5, converted_stat)))))</f>
        <v/>
      </c>
      <c r="K609" s="30" t="str">
        <f t="array" ref="K609">IF($A609="", "", LET(bbgm_stat, INDEX(Players!$A608:$P608, MATCH(K$2, Players!$A$1:$P$1, 0)), perc_75, VLOOKUP(K$2, Percentiles!$A$45:$I$59, 6, FALSE), perc_90, VLOOKUP(K$2, Percentiles!$A$45:$I$59, 7, FALSE), perc_95, VLOOKUP(K$2, Percentiles!$A$45:$I$59, 8, FALSE), perc_85, perc_75 + (perc_90 - perc_75) * (2/3), converted_stat, '2K_Ratings'!K609, IF(bbgm_stat &gt;= perc_95, converted_stat * 3, IF(bbgm_stat &gt;= perc_90, converted_stat * 2, IF(bbgm_stat &gt;= perc_85, converted_stat * 1.5, converted_stat)))))</f>
        <v/>
      </c>
      <c r="L609" s="30" t="str">
        <f t="array" ref="L609">IF($A609="", "", LET(bbgm_stat, INDEX(Players!$A608:$P608, MATCH(L$2, Players!$A$1:$P$1, 0)), perc_75, VLOOKUP(L$2, Percentiles!$A$45:$I$59, 6, FALSE), perc_90, VLOOKUP(L$2, Percentiles!$A$45:$I$59, 7, FALSE), perc_95, VLOOKUP(L$2, Percentiles!$A$45:$I$59, 8, FALSE), perc_85, perc_75 + (perc_90 - perc_75) * (2/3), converted_stat, '2K_Ratings'!L609, IF(bbgm_stat &gt;= perc_95, converted_stat * 3, IF(bbgm_stat &gt;= perc_90, converted_stat * 2, IF(bbgm_stat &gt;= perc_85, converted_stat * 1.5, converted_stat)))))</f>
        <v/>
      </c>
      <c r="M609" s="30" t="str">
        <f t="array" ref="M609">IF($A609="", "", LET(bbgm_stat, INDEX(Players!$A608:$P608, MATCH(M$2, Players!$A$1:$P$1, 0)), perc_75, VLOOKUP(M$2, Percentiles!$A$45:$I$59, 6, FALSE), perc_90, VLOOKUP(M$2, Percentiles!$A$45:$I$59, 7, FALSE), perc_95, VLOOKUP(M$2, Percentiles!$A$45:$I$59, 8, FALSE), perc_85, perc_75 + (perc_90 - perc_75) * (2/3), converted_stat, '2K_Ratings'!M609, IF(bbgm_stat &gt;= perc_95, converted_stat * 3, IF(bbgm_stat &gt;= perc_90, converted_stat * 2, IF(bbgm_stat &gt;= perc_85, converted_stat * 1.5, converted_stat)))))</f>
        <v/>
      </c>
      <c r="N609" s="30" t="str">
        <f t="array" ref="N609">IF($A609="", "", LET(bbgm_stat, INDEX(Players!$A608:$P608, MATCH(N$2, Players!$A$1:$P$1, 0)), perc_75, VLOOKUP(N$2, Percentiles!$A$45:$I$59, 6, FALSE), perc_90, VLOOKUP(N$2, Percentiles!$A$45:$I$59, 7, FALSE), perc_95, VLOOKUP(N$2, Percentiles!$A$45:$I$59, 8, FALSE), perc_85, perc_75 + (perc_90 - perc_75) * (2/3), converted_stat, '2K_Ratings'!N609, IF(bbgm_stat &gt;= perc_95, converted_stat * 3, IF(bbgm_stat &gt;= perc_90, converted_stat * 2, IF(bbgm_stat &gt;= perc_85, converted_stat * 1.5, converted_stat)))))</f>
        <v/>
      </c>
      <c r="O609" s="30" t="str">
        <f t="array" ref="O609">IF($A609="", "", LET(bbgm_stat, INDEX(Players!$A608:$P608, MATCH(O$2, Players!$A$1:$P$1, 0)), perc_75, VLOOKUP(O$2, Percentiles!$A$45:$I$59, 6, FALSE), perc_90, VLOOKUP(O$2, Percentiles!$A$45:$I$59, 7, FALSE), perc_95, VLOOKUP(O$2, Percentiles!$A$45:$I$59, 8, FALSE), perc_85, perc_75 + (perc_90 - perc_75) * (2/3), converted_stat, '2K_Ratings'!O609, IF(bbgm_stat &gt;= perc_95, converted_stat * 3, IF(bbgm_stat &gt;= perc_90, converted_stat * 2, IF(bbgm_stat &gt;= perc_85, converted_stat * 1.5, converted_stat)))))</f>
        <v/>
      </c>
      <c r="P609" s="30" t="str">
        <f t="array" ref="P609">IF($A609="", "", LET(bbgm_stat, INDEX(Players!$A608:$P608, MATCH(P$2, Players!$A$1:$P$1, 0)), perc_75, VLOOKUP(P$2, Percentiles!$A$45:$I$59, 6, FALSE), perc_90, VLOOKUP(P$2, Percentiles!$A$45:$I$59, 7, FALSE), perc_95, VLOOKUP(P$2, Percentiles!$A$45:$I$59, 8, FALSE), perc_85, perc_75 + (perc_90 - perc_75) * (2/3), converted_stat, '2K_Ratings'!P609, IF(bbgm_stat &gt;= perc_95, converted_stat * 3, IF(bbgm_stat &gt;= perc_90, converted_stat * 2, IF(bbgm_stat &gt;= perc_85, converted_stat * 1.5, converted_stat)))))</f>
        <v/>
      </c>
      <c r="Q609" s="30" t="str">
        <f t="array" ref="Q609">IF($A609="", "", LET(bbgm_stat, INDEX(Players!$A608:$P608, MATCH(Q$2, Players!$A$1:$P$1, 0)), perc_75, VLOOKUP(Q$2, Percentiles!$A$45:$I$59, 6, FALSE), perc_90, VLOOKUP(Q$2, Percentiles!$A$45:$I$59, 7, FALSE), perc_95, VLOOKUP(Q$2, Percentiles!$A$45:$I$59, 8, FALSE), perc_85, perc_75 + (perc_90 - perc_75) * (2/3), converted_stat, '2K_Ratings'!Q609, IF(bbgm_stat &gt;= perc_95, converted_stat * 3, IF(bbgm_stat &gt;= perc_90, converted_stat * 2, IF(bbgm_stat &gt;= perc_85, converted_stat * 1.5, converted_stat)))))</f>
        <v/>
      </c>
      <c r="R609" s="30" t="str">
        <f t="array" ref="R609">IF($A609="", "", LET(bbgm_stat, INDEX(Players!$A608:$P608, MATCH(R$2, Players!$A$1:$P$1, 0)), perc_75, VLOOKUP(R$2, Percentiles!$A$45:$I$59, 6, FALSE), perc_90, VLOOKUP(R$2, Percentiles!$A$45:$I$59, 7, FALSE), perc_95, VLOOKUP(R$2, Percentiles!$A$45:$I$59, 8, FALSE), perc_85, perc_75 + (perc_90 - perc_75) * (2/3), converted_stat, '2K_Ratings'!R609, IF(bbgm_stat &gt;= perc_95, converted_stat * 3, IF(bbgm_stat &gt;= perc_90, converted_stat * 2, IF(bbgm_stat &gt;= perc_85, converted_stat * 1.5, converted_stat)))))</f>
        <v/>
      </c>
      <c r="S609" s="30" t="str">
        <f t="array" ref="S609">IF($A609="", "", LET(bbgm_stat, INDEX(Players!$A608:$P608, MATCH(S$2, Players!$A$1:$P$1, 0)), perc_75, VLOOKUP(S$2, Percentiles!$A$45:$I$59, 6, FALSE), perc_90, VLOOKUP(S$2, Percentiles!$A$45:$I$59, 7, FALSE), perc_95, VLOOKUP(S$2, Percentiles!$A$45:$I$59, 8, FALSE), perc_85, perc_75 + (perc_90 - perc_75) * (2/3), converted_stat, '2K_Ratings'!S609, IF(bbgm_stat &gt;= perc_95, converted_stat * 3, IF(bbgm_stat &gt;= perc_90, converted_stat * 2, IF(bbgm_stat &gt;= perc_85, converted_stat * 1.5, converted_stat)))))</f>
        <v/>
      </c>
      <c r="T609" s="30" t="str">
        <f t="array" ref="T609">IF($A609="", "", LET(bbgm_stat, INDEX(Players!$A608:$P608, MATCH(T$2, Players!$A$1:$P$1, 0)), perc_75, VLOOKUP(T$2, Percentiles!$A$45:$I$59, 6, FALSE), perc_90, VLOOKUP(T$2, Percentiles!$A$45:$I$59, 7, FALSE), perc_95, VLOOKUP(T$2, Percentiles!$A$45:$I$59, 8, FALSE), perc_85, perc_75 + (perc_90 - perc_75) * (2/3), converted_stat, '2K_Ratings'!T609, IF(bbgm_stat &gt;= perc_95, converted_stat * 3, IF(bbgm_stat &gt;= perc_90, converted_stat * 2, IF(bbgm_stat &gt;= perc_85, converted_stat * 1.5, converted_stat)))))</f>
        <v/>
      </c>
      <c r="U609" s="30" t="str">
        <f t="array" ref="U609">IF($A609="", "", LET(bbgm_stat, INDEX(Players!$A608:$P608, MATCH(U$2, Players!$A$1:$P$1, 0)), perc_75, VLOOKUP(U$2, Percentiles!$A$45:$I$59, 6, FALSE), perc_90, VLOOKUP(U$2, Percentiles!$A$45:$I$59, 7, FALSE), perc_95, VLOOKUP(U$2, Percentiles!$A$45:$I$59, 8, FALSE), perc_85, perc_75 + (perc_90 - perc_75) * (2/3), converted_stat, '2K_Ratings'!U609, IF(bbgm_stat &gt;= perc_95, converted_stat * 3, IF(bbgm_stat &gt;= perc_90, converted_stat * 2, IF(bbgm_stat &gt;= perc_85, converted_stat * 1.5, converted_stat)))))</f>
        <v/>
      </c>
      <c r="V609" s="30" t="str">
        <f t="array" ref="V609">IF($A609="", "", LET(bbgm_stat, INDEX(Players!$A608:$P608, MATCH(V$2, Players!$A$1:$P$1, 0)), perc_75, VLOOKUP(V$2, Percentiles!$A$45:$I$59, 6, FALSE), perc_90, VLOOKUP(V$2, Percentiles!$A$45:$I$59, 7, FALSE), perc_95, VLOOKUP(V$2, Percentiles!$A$45:$I$59, 8, FALSE), perc_85, perc_75 + (perc_90 - perc_75) * (2/3), converted_stat, '2K_Ratings'!V609, IF(bbgm_stat &gt;= perc_95, converted_stat * 3, IF(bbgm_stat &gt;= perc_90, converted_stat * 2, IF(bbgm_stat &gt;= perc_85, converted_stat * 1.5, converted_stat)))))</f>
        <v/>
      </c>
      <c r="W609" s="30" t="str">
        <f t="array" ref="W609">IF($A609="", "", LET(bbgm_stat, INDEX(Players!$A608:$P608, MATCH(W$2, Players!$A$1:$P$1, 0)), perc_75, VLOOKUP(W$2, Percentiles!$A$45:$I$59, 6, FALSE), perc_90, VLOOKUP(W$2, Percentiles!$A$45:$I$59, 7, FALSE), perc_95, VLOOKUP(W$2, Percentiles!$A$45:$I$59, 8, FALSE), perc_85, perc_75 + (perc_90 - perc_75) * (2/3), converted_stat, '2K_Ratings'!W609, IF(bbgm_stat &gt;= perc_95, converted_stat * 3, IF(bbgm_stat &gt;= perc_90, converted_stat * 2, IF(bbgm_stat &gt;= perc_85, converted_stat * 1.5, converted_stat)))))</f>
        <v/>
      </c>
    </row>
    <row r="610">
      <c r="A610" s="30"/>
      <c r="B610" s="30" t="str">
        <f t="array" ref="B610">IF($A610="", "", LET(bbgm_stat, INDEX(Players!$A609:$P609, MATCH(B$2, Players!$A$1:$P$1, 0)), perc_75, VLOOKUP(B$2, Percentiles!$A$45:$I$59, 6, FALSE), perc_90, VLOOKUP(B$2, Percentiles!$A$45:$I$59, 7, FALSE), perc_95, VLOOKUP(B$2, Percentiles!$A$45:$I$59, 8, FALSE), perc_85, perc_75 + (perc_90 - perc_75) * (2/3), converted_stat, '2K_Ratings'!B610, IF(bbgm_stat &gt;= perc_95, converted_stat * 3, IF(bbgm_stat &gt;= perc_90, converted_stat * 2, IF(bbgm_stat &gt;= perc_85, converted_stat * 1.5, converted_stat)))))</f>
        <v/>
      </c>
      <c r="C610" s="30" t="str">
        <f t="array" ref="C610">IF($A610="", "", LET(bbgm_stat, INDEX(Players!$A609:$P609, MATCH(C$2, Players!$A$1:$P$1, 0)), perc_75, VLOOKUP(C$2, Percentiles!$A$45:$I$59, 6, FALSE), perc_90, VLOOKUP(C$2, Percentiles!$A$45:$I$59, 7, FALSE), perc_95, VLOOKUP(C$2, Percentiles!$A$45:$I$59, 8, FALSE), perc_85, perc_75 + (perc_90 - perc_75) * (2/3), converted_stat, '2K_Ratings'!C610, IF(bbgm_stat &gt;= perc_95, converted_stat * 3, IF(bbgm_stat &gt;= perc_90, converted_stat * 2, IF(bbgm_stat &gt;= perc_85, converted_stat * 1.5, converted_stat)))))</f>
        <v/>
      </c>
      <c r="D610" s="30" t="str">
        <f t="array" ref="D610">IF($A610="", "", LET(bbgm_stat, INDEX(Players!$A609:$P609, MATCH(D$2, Players!$A$1:$P$1, 0)), perc_75, VLOOKUP(D$2, Percentiles!$A$45:$I$59, 6, FALSE), perc_90, VLOOKUP(D$2, Percentiles!$A$45:$I$59, 7, FALSE), perc_95, VLOOKUP(D$2, Percentiles!$A$45:$I$59, 8, FALSE), perc_85, perc_75 + (perc_90 - perc_75) * (2/3), converted_stat, '2K_Ratings'!D610, IF(bbgm_stat &gt;= perc_95, converted_stat * 3, IF(bbgm_stat &gt;= perc_90, converted_stat * 2, IF(bbgm_stat &gt;= perc_85, converted_stat * 1.5, converted_stat)))))</f>
        <v/>
      </c>
      <c r="E610" s="30" t="str">
        <f t="array" ref="E610">IF($A610="", "", LET(bbgm_stat, INDEX(Players!$A609:$P609, MATCH(E$2, Players!$A$1:$P$1, 0)), perc_75, VLOOKUP(E$2, Percentiles!$A$45:$I$59, 6, FALSE), perc_90, VLOOKUP(E$2, Percentiles!$A$45:$I$59, 7, FALSE), perc_95, VLOOKUP(E$2, Percentiles!$A$45:$I$59, 8, FALSE), perc_85, perc_75 + (perc_90 - perc_75) * (2/3), converted_stat, '2K_Ratings'!E610, IF(bbgm_stat &gt;= perc_95, converted_stat * 3, IF(bbgm_stat &gt;= perc_90, converted_stat * 2, IF(bbgm_stat &gt;= perc_85, converted_stat * 1.5, converted_stat)))))</f>
        <v/>
      </c>
      <c r="F610" s="30" t="str">
        <f t="array" ref="F610">IF($A610="", "", LET(bbgm_stat, INDEX(Players!$A609:$P609, MATCH(F$2, Players!$A$1:$P$1, 0)), perc_75, VLOOKUP(F$2, Percentiles!$A$45:$I$59, 6, FALSE), perc_90, VLOOKUP(F$2, Percentiles!$A$45:$I$59, 7, FALSE), perc_95, VLOOKUP(F$2, Percentiles!$A$45:$I$59, 8, FALSE), perc_85, perc_75 + (perc_90 - perc_75) * (2/3), converted_stat, '2K_Ratings'!F610, IF(bbgm_stat &gt;= perc_95, converted_stat * 3, IF(bbgm_stat &gt;= perc_90, converted_stat * 2, IF(bbgm_stat &gt;= perc_85, converted_stat * 1.5, converted_stat)))))</f>
        <v/>
      </c>
      <c r="G610" s="30" t="str">
        <f t="array" ref="G610">IF($A610="", "", LET(bbgm_stat, INDEX(Players!$A609:$P609, MATCH(G$2, Players!$A$1:$P$1, 0)), perc_75, VLOOKUP(G$2, Percentiles!$A$45:$I$59, 6, FALSE), perc_90, VLOOKUP(G$2, Percentiles!$A$45:$I$59, 7, FALSE), perc_95, VLOOKUP(G$2, Percentiles!$A$45:$I$59, 8, FALSE), perc_85, perc_75 + (perc_90 - perc_75) * (2/3), converted_stat, '2K_Ratings'!G610, IF(bbgm_stat &gt;= perc_95, converted_stat * 3, IF(bbgm_stat &gt;= perc_90, converted_stat * 2, IF(bbgm_stat &gt;= perc_85, converted_stat * 1.5, converted_stat)))))</f>
        <v/>
      </c>
      <c r="H610" s="30" t="str">
        <f t="array" ref="H610">IF($A610="", "", LET(bbgm_stat, INDEX(Players!$A609:$P609, MATCH(H$2, Players!$A$1:$P$1, 0)), perc_75, VLOOKUP(H$2, Percentiles!$A$45:$I$59, 6, FALSE), perc_90, VLOOKUP(H$2, Percentiles!$A$45:$I$59, 7, FALSE), perc_95, VLOOKUP(H$2, Percentiles!$A$45:$I$59, 8, FALSE), perc_85, perc_75 + (perc_90 - perc_75) * (2/3), converted_stat, '2K_Ratings'!H610, IF(bbgm_stat &gt;= perc_95, converted_stat * 3, IF(bbgm_stat &gt;= perc_90, converted_stat * 2, IF(bbgm_stat &gt;= perc_85, converted_stat * 1.5, converted_stat)))))</f>
        <v/>
      </c>
      <c r="I610" s="30" t="str">
        <f t="array" ref="I610">IF($A610="", "", LET(bbgm_stat, INDEX(Players!$A609:$P609, MATCH(I$2, Players!$A$1:$P$1, 0)), perc_75, VLOOKUP(I$2, Percentiles!$A$45:$I$59, 6, FALSE), perc_90, VLOOKUP(I$2, Percentiles!$A$45:$I$59, 7, FALSE), perc_95, VLOOKUP(I$2, Percentiles!$A$45:$I$59, 8, FALSE), perc_85, perc_75 + (perc_90 - perc_75) * (2/3), converted_stat, '2K_Ratings'!I610, IF(bbgm_stat &gt;= perc_95, converted_stat * 3, IF(bbgm_stat &gt;= perc_90, converted_stat * 2, IF(bbgm_stat &gt;= perc_85, converted_stat * 1.5, converted_stat)))))</f>
        <v/>
      </c>
      <c r="J610" s="30" t="str">
        <f t="array" ref="J610">IF($A610="", "", LET(bbgm_stat, INDEX(Players!$A609:$P609, MATCH(J$2, Players!$A$1:$P$1, 0)), perc_75, VLOOKUP(J$2, Percentiles!$A$45:$I$59, 6, FALSE), perc_90, VLOOKUP(J$2, Percentiles!$A$45:$I$59, 7, FALSE), perc_95, VLOOKUP(J$2, Percentiles!$A$45:$I$59, 8, FALSE), perc_85, perc_75 + (perc_90 - perc_75) * (2/3), converted_stat, '2K_Ratings'!J610, IF(bbgm_stat &gt;= perc_95, converted_stat * 3, IF(bbgm_stat &gt;= perc_90, converted_stat * 2, IF(bbgm_stat &gt;= perc_85, converted_stat * 1.5, converted_stat)))))</f>
        <v/>
      </c>
      <c r="K610" s="30" t="str">
        <f t="array" ref="K610">IF($A610="", "", LET(bbgm_stat, INDEX(Players!$A609:$P609, MATCH(K$2, Players!$A$1:$P$1, 0)), perc_75, VLOOKUP(K$2, Percentiles!$A$45:$I$59, 6, FALSE), perc_90, VLOOKUP(K$2, Percentiles!$A$45:$I$59, 7, FALSE), perc_95, VLOOKUP(K$2, Percentiles!$A$45:$I$59, 8, FALSE), perc_85, perc_75 + (perc_90 - perc_75) * (2/3), converted_stat, '2K_Ratings'!K610, IF(bbgm_stat &gt;= perc_95, converted_stat * 3, IF(bbgm_stat &gt;= perc_90, converted_stat * 2, IF(bbgm_stat &gt;= perc_85, converted_stat * 1.5, converted_stat)))))</f>
        <v/>
      </c>
      <c r="L610" s="30" t="str">
        <f t="array" ref="L610">IF($A610="", "", LET(bbgm_stat, INDEX(Players!$A609:$P609, MATCH(L$2, Players!$A$1:$P$1, 0)), perc_75, VLOOKUP(L$2, Percentiles!$A$45:$I$59, 6, FALSE), perc_90, VLOOKUP(L$2, Percentiles!$A$45:$I$59, 7, FALSE), perc_95, VLOOKUP(L$2, Percentiles!$A$45:$I$59, 8, FALSE), perc_85, perc_75 + (perc_90 - perc_75) * (2/3), converted_stat, '2K_Ratings'!L610, IF(bbgm_stat &gt;= perc_95, converted_stat * 3, IF(bbgm_stat &gt;= perc_90, converted_stat * 2, IF(bbgm_stat &gt;= perc_85, converted_stat * 1.5, converted_stat)))))</f>
        <v/>
      </c>
      <c r="M610" s="30" t="str">
        <f t="array" ref="M610">IF($A610="", "", LET(bbgm_stat, INDEX(Players!$A609:$P609, MATCH(M$2, Players!$A$1:$P$1, 0)), perc_75, VLOOKUP(M$2, Percentiles!$A$45:$I$59, 6, FALSE), perc_90, VLOOKUP(M$2, Percentiles!$A$45:$I$59, 7, FALSE), perc_95, VLOOKUP(M$2, Percentiles!$A$45:$I$59, 8, FALSE), perc_85, perc_75 + (perc_90 - perc_75) * (2/3), converted_stat, '2K_Ratings'!M610, IF(bbgm_stat &gt;= perc_95, converted_stat * 3, IF(bbgm_stat &gt;= perc_90, converted_stat * 2, IF(bbgm_stat &gt;= perc_85, converted_stat * 1.5, converted_stat)))))</f>
        <v/>
      </c>
      <c r="N610" s="30" t="str">
        <f t="array" ref="N610">IF($A610="", "", LET(bbgm_stat, INDEX(Players!$A609:$P609, MATCH(N$2, Players!$A$1:$P$1, 0)), perc_75, VLOOKUP(N$2, Percentiles!$A$45:$I$59, 6, FALSE), perc_90, VLOOKUP(N$2, Percentiles!$A$45:$I$59, 7, FALSE), perc_95, VLOOKUP(N$2, Percentiles!$A$45:$I$59, 8, FALSE), perc_85, perc_75 + (perc_90 - perc_75) * (2/3), converted_stat, '2K_Ratings'!N610, IF(bbgm_stat &gt;= perc_95, converted_stat * 3, IF(bbgm_stat &gt;= perc_90, converted_stat * 2, IF(bbgm_stat &gt;= perc_85, converted_stat * 1.5, converted_stat)))))</f>
        <v/>
      </c>
      <c r="O610" s="30" t="str">
        <f t="array" ref="O610">IF($A610="", "", LET(bbgm_stat, INDEX(Players!$A609:$P609, MATCH(O$2, Players!$A$1:$P$1, 0)), perc_75, VLOOKUP(O$2, Percentiles!$A$45:$I$59, 6, FALSE), perc_90, VLOOKUP(O$2, Percentiles!$A$45:$I$59, 7, FALSE), perc_95, VLOOKUP(O$2, Percentiles!$A$45:$I$59, 8, FALSE), perc_85, perc_75 + (perc_90 - perc_75) * (2/3), converted_stat, '2K_Ratings'!O610, IF(bbgm_stat &gt;= perc_95, converted_stat * 3, IF(bbgm_stat &gt;= perc_90, converted_stat * 2, IF(bbgm_stat &gt;= perc_85, converted_stat * 1.5, converted_stat)))))</f>
        <v/>
      </c>
      <c r="P610" s="30" t="str">
        <f t="array" ref="P610">IF($A610="", "", LET(bbgm_stat, INDEX(Players!$A609:$P609, MATCH(P$2, Players!$A$1:$P$1, 0)), perc_75, VLOOKUP(P$2, Percentiles!$A$45:$I$59, 6, FALSE), perc_90, VLOOKUP(P$2, Percentiles!$A$45:$I$59, 7, FALSE), perc_95, VLOOKUP(P$2, Percentiles!$A$45:$I$59, 8, FALSE), perc_85, perc_75 + (perc_90 - perc_75) * (2/3), converted_stat, '2K_Ratings'!P610, IF(bbgm_stat &gt;= perc_95, converted_stat * 3, IF(bbgm_stat &gt;= perc_90, converted_stat * 2, IF(bbgm_stat &gt;= perc_85, converted_stat * 1.5, converted_stat)))))</f>
        <v/>
      </c>
      <c r="Q610" s="30" t="str">
        <f t="array" ref="Q610">IF($A610="", "", LET(bbgm_stat, INDEX(Players!$A609:$P609, MATCH(Q$2, Players!$A$1:$P$1, 0)), perc_75, VLOOKUP(Q$2, Percentiles!$A$45:$I$59, 6, FALSE), perc_90, VLOOKUP(Q$2, Percentiles!$A$45:$I$59, 7, FALSE), perc_95, VLOOKUP(Q$2, Percentiles!$A$45:$I$59, 8, FALSE), perc_85, perc_75 + (perc_90 - perc_75) * (2/3), converted_stat, '2K_Ratings'!Q610, IF(bbgm_stat &gt;= perc_95, converted_stat * 3, IF(bbgm_stat &gt;= perc_90, converted_stat * 2, IF(bbgm_stat &gt;= perc_85, converted_stat * 1.5, converted_stat)))))</f>
        <v/>
      </c>
      <c r="R610" s="30" t="str">
        <f t="array" ref="R610">IF($A610="", "", LET(bbgm_stat, INDEX(Players!$A609:$P609, MATCH(R$2, Players!$A$1:$P$1, 0)), perc_75, VLOOKUP(R$2, Percentiles!$A$45:$I$59, 6, FALSE), perc_90, VLOOKUP(R$2, Percentiles!$A$45:$I$59, 7, FALSE), perc_95, VLOOKUP(R$2, Percentiles!$A$45:$I$59, 8, FALSE), perc_85, perc_75 + (perc_90 - perc_75) * (2/3), converted_stat, '2K_Ratings'!R610, IF(bbgm_stat &gt;= perc_95, converted_stat * 3, IF(bbgm_stat &gt;= perc_90, converted_stat * 2, IF(bbgm_stat &gt;= perc_85, converted_stat * 1.5, converted_stat)))))</f>
        <v/>
      </c>
      <c r="S610" s="30" t="str">
        <f t="array" ref="S610">IF($A610="", "", LET(bbgm_stat, INDEX(Players!$A609:$P609, MATCH(S$2, Players!$A$1:$P$1, 0)), perc_75, VLOOKUP(S$2, Percentiles!$A$45:$I$59, 6, FALSE), perc_90, VLOOKUP(S$2, Percentiles!$A$45:$I$59, 7, FALSE), perc_95, VLOOKUP(S$2, Percentiles!$A$45:$I$59, 8, FALSE), perc_85, perc_75 + (perc_90 - perc_75) * (2/3), converted_stat, '2K_Ratings'!S610, IF(bbgm_stat &gt;= perc_95, converted_stat * 3, IF(bbgm_stat &gt;= perc_90, converted_stat * 2, IF(bbgm_stat &gt;= perc_85, converted_stat * 1.5, converted_stat)))))</f>
        <v/>
      </c>
      <c r="T610" s="30" t="str">
        <f t="array" ref="T610">IF($A610="", "", LET(bbgm_stat, INDEX(Players!$A609:$P609, MATCH(T$2, Players!$A$1:$P$1, 0)), perc_75, VLOOKUP(T$2, Percentiles!$A$45:$I$59, 6, FALSE), perc_90, VLOOKUP(T$2, Percentiles!$A$45:$I$59, 7, FALSE), perc_95, VLOOKUP(T$2, Percentiles!$A$45:$I$59, 8, FALSE), perc_85, perc_75 + (perc_90 - perc_75) * (2/3), converted_stat, '2K_Ratings'!T610, IF(bbgm_stat &gt;= perc_95, converted_stat * 3, IF(bbgm_stat &gt;= perc_90, converted_stat * 2, IF(bbgm_stat &gt;= perc_85, converted_stat * 1.5, converted_stat)))))</f>
        <v/>
      </c>
      <c r="U610" s="30" t="str">
        <f t="array" ref="U610">IF($A610="", "", LET(bbgm_stat, INDEX(Players!$A609:$P609, MATCH(U$2, Players!$A$1:$P$1, 0)), perc_75, VLOOKUP(U$2, Percentiles!$A$45:$I$59, 6, FALSE), perc_90, VLOOKUP(U$2, Percentiles!$A$45:$I$59, 7, FALSE), perc_95, VLOOKUP(U$2, Percentiles!$A$45:$I$59, 8, FALSE), perc_85, perc_75 + (perc_90 - perc_75) * (2/3), converted_stat, '2K_Ratings'!U610, IF(bbgm_stat &gt;= perc_95, converted_stat * 3, IF(bbgm_stat &gt;= perc_90, converted_stat * 2, IF(bbgm_stat &gt;= perc_85, converted_stat * 1.5, converted_stat)))))</f>
        <v/>
      </c>
      <c r="V610" s="30" t="str">
        <f t="array" ref="V610">IF($A610="", "", LET(bbgm_stat, INDEX(Players!$A609:$P609, MATCH(V$2, Players!$A$1:$P$1, 0)), perc_75, VLOOKUP(V$2, Percentiles!$A$45:$I$59, 6, FALSE), perc_90, VLOOKUP(V$2, Percentiles!$A$45:$I$59, 7, FALSE), perc_95, VLOOKUP(V$2, Percentiles!$A$45:$I$59, 8, FALSE), perc_85, perc_75 + (perc_90 - perc_75) * (2/3), converted_stat, '2K_Ratings'!V610, IF(bbgm_stat &gt;= perc_95, converted_stat * 3, IF(bbgm_stat &gt;= perc_90, converted_stat * 2, IF(bbgm_stat &gt;= perc_85, converted_stat * 1.5, converted_stat)))))</f>
        <v/>
      </c>
      <c r="W610" s="30" t="str">
        <f t="array" ref="W610">IF($A610="", "", LET(bbgm_stat, INDEX(Players!$A609:$P609, MATCH(W$2, Players!$A$1:$P$1, 0)), perc_75, VLOOKUP(W$2, Percentiles!$A$45:$I$59, 6, FALSE), perc_90, VLOOKUP(W$2, Percentiles!$A$45:$I$59, 7, FALSE), perc_95, VLOOKUP(W$2, Percentiles!$A$45:$I$59, 8, FALSE), perc_85, perc_75 + (perc_90 - perc_75) * (2/3), converted_stat, '2K_Ratings'!W610, IF(bbgm_stat &gt;= perc_95, converted_stat * 3, IF(bbgm_stat &gt;= perc_90, converted_stat * 2, IF(bbgm_stat &gt;= perc_85, converted_stat * 1.5, converted_stat)))))</f>
        <v/>
      </c>
    </row>
    <row r="611">
      <c r="A611" s="30"/>
      <c r="B611" s="30" t="str">
        <f t="array" ref="B611">IF($A611="", "", LET(bbgm_stat, INDEX(Players!$A610:$P610, MATCH(B$2, Players!$A$1:$P$1, 0)), perc_75, VLOOKUP(B$2, Percentiles!$A$45:$I$59, 6, FALSE), perc_90, VLOOKUP(B$2, Percentiles!$A$45:$I$59, 7, FALSE), perc_95, VLOOKUP(B$2, Percentiles!$A$45:$I$59, 8, FALSE), perc_85, perc_75 + (perc_90 - perc_75) * (2/3), converted_stat, '2K_Ratings'!B611, IF(bbgm_stat &gt;= perc_95, converted_stat * 3, IF(bbgm_stat &gt;= perc_90, converted_stat * 2, IF(bbgm_stat &gt;= perc_85, converted_stat * 1.5, converted_stat)))))</f>
        <v/>
      </c>
      <c r="C611" s="30" t="str">
        <f t="array" ref="C611">IF($A611="", "", LET(bbgm_stat, INDEX(Players!$A610:$P610, MATCH(C$2, Players!$A$1:$P$1, 0)), perc_75, VLOOKUP(C$2, Percentiles!$A$45:$I$59, 6, FALSE), perc_90, VLOOKUP(C$2, Percentiles!$A$45:$I$59, 7, FALSE), perc_95, VLOOKUP(C$2, Percentiles!$A$45:$I$59, 8, FALSE), perc_85, perc_75 + (perc_90 - perc_75) * (2/3), converted_stat, '2K_Ratings'!C611, IF(bbgm_stat &gt;= perc_95, converted_stat * 3, IF(bbgm_stat &gt;= perc_90, converted_stat * 2, IF(bbgm_stat &gt;= perc_85, converted_stat * 1.5, converted_stat)))))</f>
        <v/>
      </c>
      <c r="D611" s="30" t="str">
        <f t="array" ref="D611">IF($A611="", "", LET(bbgm_stat, INDEX(Players!$A610:$P610, MATCH(D$2, Players!$A$1:$P$1, 0)), perc_75, VLOOKUP(D$2, Percentiles!$A$45:$I$59, 6, FALSE), perc_90, VLOOKUP(D$2, Percentiles!$A$45:$I$59, 7, FALSE), perc_95, VLOOKUP(D$2, Percentiles!$A$45:$I$59, 8, FALSE), perc_85, perc_75 + (perc_90 - perc_75) * (2/3), converted_stat, '2K_Ratings'!D611, IF(bbgm_stat &gt;= perc_95, converted_stat * 3, IF(bbgm_stat &gt;= perc_90, converted_stat * 2, IF(bbgm_stat &gt;= perc_85, converted_stat * 1.5, converted_stat)))))</f>
        <v/>
      </c>
      <c r="E611" s="30" t="str">
        <f t="array" ref="E611">IF($A611="", "", LET(bbgm_stat, INDEX(Players!$A610:$P610, MATCH(E$2, Players!$A$1:$P$1, 0)), perc_75, VLOOKUP(E$2, Percentiles!$A$45:$I$59, 6, FALSE), perc_90, VLOOKUP(E$2, Percentiles!$A$45:$I$59, 7, FALSE), perc_95, VLOOKUP(E$2, Percentiles!$A$45:$I$59, 8, FALSE), perc_85, perc_75 + (perc_90 - perc_75) * (2/3), converted_stat, '2K_Ratings'!E611, IF(bbgm_stat &gt;= perc_95, converted_stat * 3, IF(bbgm_stat &gt;= perc_90, converted_stat * 2, IF(bbgm_stat &gt;= perc_85, converted_stat * 1.5, converted_stat)))))</f>
        <v/>
      </c>
      <c r="F611" s="30" t="str">
        <f t="array" ref="F611">IF($A611="", "", LET(bbgm_stat, INDEX(Players!$A610:$P610, MATCH(F$2, Players!$A$1:$P$1, 0)), perc_75, VLOOKUP(F$2, Percentiles!$A$45:$I$59, 6, FALSE), perc_90, VLOOKUP(F$2, Percentiles!$A$45:$I$59, 7, FALSE), perc_95, VLOOKUP(F$2, Percentiles!$A$45:$I$59, 8, FALSE), perc_85, perc_75 + (perc_90 - perc_75) * (2/3), converted_stat, '2K_Ratings'!F611, IF(bbgm_stat &gt;= perc_95, converted_stat * 3, IF(bbgm_stat &gt;= perc_90, converted_stat * 2, IF(bbgm_stat &gt;= perc_85, converted_stat * 1.5, converted_stat)))))</f>
        <v/>
      </c>
      <c r="G611" s="30" t="str">
        <f t="array" ref="G611">IF($A611="", "", LET(bbgm_stat, INDEX(Players!$A610:$P610, MATCH(G$2, Players!$A$1:$P$1, 0)), perc_75, VLOOKUP(G$2, Percentiles!$A$45:$I$59, 6, FALSE), perc_90, VLOOKUP(G$2, Percentiles!$A$45:$I$59, 7, FALSE), perc_95, VLOOKUP(G$2, Percentiles!$A$45:$I$59, 8, FALSE), perc_85, perc_75 + (perc_90 - perc_75) * (2/3), converted_stat, '2K_Ratings'!G611, IF(bbgm_stat &gt;= perc_95, converted_stat * 3, IF(bbgm_stat &gt;= perc_90, converted_stat * 2, IF(bbgm_stat &gt;= perc_85, converted_stat * 1.5, converted_stat)))))</f>
        <v/>
      </c>
      <c r="H611" s="30" t="str">
        <f t="array" ref="H611">IF($A611="", "", LET(bbgm_stat, INDEX(Players!$A610:$P610, MATCH(H$2, Players!$A$1:$P$1, 0)), perc_75, VLOOKUP(H$2, Percentiles!$A$45:$I$59, 6, FALSE), perc_90, VLOOKUP(H$2, Percentiles!$A$45:$I$59, 7, FALSE), perc_95, VLOOKUP(H$2, Percentiles!$A$45:$I$59, 8, FALSE), perc_85, perc_75 + (perc_90 - perc_75) * (2/3), converted_stat, '2K_Ratings'!H611, IF(bbgm_stat &gt;= perc_95, converted_stat * 3, IF(bbgm_stat &gt;= perc_90, converted_stat * 2, IF(bbgm_stat &gt;= perc_85, converted_stat * 1.5, converted_stat)))))</f>
        <v/>
      </c>
      <c r="I611" s="30" t="str">
        <f t="array" ref="I611">IF($A611="", "", LET(bbgm_stat, INDEX(Players!$A610:$P610, MATCH(I$2, Players!$A$1:$P$1, 0)), perc_75, VLOOKUP(I$2, Percentiles!$A$45:$I$59, 6, FALSE), perc_90, VLOOKUP(I$2, Percentiles!$A$45:$I$59, 7, FALSE), perc_95, VLOOKUP(I$2, Percentiles!$A$45:$I$59, 8, FALSE), perc_85, perc_75 + (perc_90 - perc_75) * (2/3), converted_stat, '2K_Ratings'!I611, IF(bbgm_stat &gt;= perc_95, converted_stat * 3, IF(bbgm_stat &gt;= perc_90, converted_stat * 2, IF(bbgm_stat &gt;= perc_85, converted_stat * 1.5, converted_stat)))))</f>
        <v/>
      </c>
      <c r="J611" s="30" t="str">
        <f t="array" ref="J611">IF($A611="", "", LET(bbgm_stat, INDEX(Players!$A610:$P610, MATCH(J$2, Players!$A$1:$P$1, 0)), perc_75, VLOOKUP(J$2, Percentiles!$A$45:$I$59, 6, FALSE), perc_90, VLOOKUP(J$2, Percentiles!$A$45:$I$59, 7, FALSE), perc_95, VLOOKUP(J$2, Percentiles!$A$45:$I$59, 8, FALSE), perc_85, perc_75 + (perc_90 - perc_75) * (2/3), converted_stat, '2K_Ratings'!J611, IF(bbgm_stat &gt;= perc_95, converted_stat * 3, IF(bbgm_stat &gt;= perc_90, converted_stat * 2, IF(bbgm_stat &gt;= perc_85, converted_stat * 1.5, converted_stat)))))</f>
        <v/>
      </c>
      <c r="K611" s="30" t="str">
        <f t="array" ref="K611">IF($A611="", "", LET(bbgm_stat, INDEX(Players!$A610:$P610, MATCH(K$2, Players!$A$1:$P$1, 0)), perc_75, VLOOKUP(K$2, Percentiles!$A$45:$I$59, 6, FALSE), perc_90, VLOOKUP(K$2, Percentiles!$A$45:$I$59, 7, FALSE), perc_95, VLOOKUP(K$2, Percentiles!$A$45:$I$59, 8, FALSE), perc_85, perc_75 + (perc_90 - perc_75) * (2/3), converted_stat, '2K_Ratings'!K611, IF(bbgm_stat &gt;= perc_95, converted_stat * 3, IF(bbgm_stat &gt;= perc_90, converted_stat * 2, IF(bbgm_stat &gt;= perc_85, converted_stat * 1.5, converted_stat)))))</f>
        <v/>
      </c>
      <c r="L611" s="30" t="str">
        <f t="array" ref="L611">IF($A611="", "", LET(bbgm_stat, INDEX(Players!$A610:$P610, MATCH(L$2, Players!$A$1:$P$1, 0)), perc_75, VLOOKUP(L$2, Percentiles!$A$45:$I$59, 6, FALSE), perc_90, VLOOKUP(L$2, Percentiles!$A$45:$I$59, 7, FALSE), perc_95, VLOOKUP(L$2, Percentiles!$A$45:$I$59, 8, FALSE), perc_85, perc_75 + (perc_90 - perc_75) * (2/3), converted_stat, '2K_Ratings'!L611, IF(bbgm_stat &gt;= perc_95, converted_stat * 3, IF(bbgm_stat &gt;= perc_90, converted_stat * 2, IF(bbgm_stat &gt;= perc_85, converted_stat * 1.5, converted_stat)))))</f>
        <v/>
      </c>
      <c r="M611" s="30" t="str">
        <f t="array" ref="M611">IF($A611="", "", LET(bbgm_stat, INDEX(Players!$A610:$P610, MATCH(M$2, Players!$A$1:$P$1, 0)), perc_75, VLOOKUP(M$2, Percentiles!$A$45:$I$59, 6, FALSE), perc_90, VLOOKUP(M$2, Percentiles!$A$45:$I$59, 7, FALSE), perc_95, VLOOKUP(M$2, Percentiles!$A$45:$I$59, 8, FALSE), perc_85, perc_75 + (perc_90 - perc_75) * (2/3), converted_stat, '2K_Ratings'!M611, IF(bbgm_stat &gt;= perc_95, converted_stat * 3, IF(bbgm_stat &gt;= perc_90, converted_stat * 2, IF(bbgm_stat &gt;= perc_85, converted_stat * 1.5, converted_stat)))))</f>
        <v/>
      </c>
      <c r="N611" s="30" t="str">
        <f t="array" ref="N611">IF($A611="", "", LET(bbgm_stat, INDEX(Players!$A610:$P610, MATCH(N$2, Players!$A$1:$P$1, 0)), perc_75, VLOOKUP(N$2, Percentiles!$A$45:$I$59, 6, FALSE), perc_90, VLOOKUP(N$2, Percentiles!$A$45:$I$59, 7, FALSE), perc_95, VLOOKUP(N$2, Percentiles!$A$45:$I$59, 8, FALSE), perc_85, perc_75 + (perc_90 - perc_75) * (2/3), converted_stat, '2K_Ratings'!N611, IF(bbgm_stat &gt;= perc_95, converted_stat * 3, IF(bbgm_stat &gt;= perc_90, converted_stat * 2, IF(bbgm_stat &gt;= perc_85, converted_stat * 1.5, converted_stat)))))</f>
        <v/>
      </c>
      <c r="O611" s="30" t="str">
        <f t="array" ref="O611">IF($A611="", "", LET(bbgm_stat, INDEX(Players!$A610:$P610, MATCH(O$2, Players!$A$1:$P$1, 0)), perc_75, VLOOKUP(O$2, Percentiles!$A$45:$I$59, 6, FALSE), perc_90, VLOOKUP(O$2, Percentiles!$A$45:$I$59, 7, FALSE), perc_95, VLOOKUP(O$2, Percentiles!$A$45:$I$59, 8, FALSE), perc_85, perc_75 + (perc_90 - perc_75) * (2/3), converted_stat, '2K_Ratings'!O611, IF(bbgm_stat &gt;= perc_95, converted_stat * 3, IF(bbgm_stat &gt;= perc_90, converted_stat * 2, IF(bbgm_stat &gt;= perc_85, converted_stat * 1.5, converted_stat)))))</f>
        <v/>
      </c>
      <c r="P611" s="30" t="str">
        <f t="array" ref="P611">IF($A611="", "", LET(bbgm_stat, INDEX(Players!$A610:$P610, MATCH(P$2, Players!$A$1:$P$1, 0)), perc_75, VLOOKUP(P$2, Percentiles!$A$45:$I$59, 6, FALSE), perc_90, VLOOKUP(P$2, Percentiles!$A$45:$I$59, 7, FALSE), perc_95, VLOOKUP(P$2, Percentiles!$A$45:$I$59, 8, FALSE), perc_85, perc_75 + (perc_90 - perc_75) * (2/3), converted_stat, '2K_Ratings'!P611, IF(bbgm_stat &gt;= perc_95, converted_stat * 3, IF(bbgm_stat &gt;= perc_90, converted_stat * 2, IF(bbgm_stat &gt;= perc_85, converted_stat * 1.5, converted_stat)))))</f>
        <v/>
      </c>
      <c r="Q611" s="30" t="str">
        <f t="array" ref="Q611">IF($A611="", "", LET(bbgm_stat, INDEX(Players!$A610:$P610, MATCH(Q$2, Players!$A$1:$P$1, 0)), perc_75, VLOOKUP(Q$2, Percentiles!$A$45:$I$59, 6, FALSE), perc_90, VLOOKUP(Q$2, Percentiles!$A$45:$I$59, 7, FALSE), perc_95, VLOOKUP(Q$2, Percentiles!$A$45:$I$59, 8, FALSE), perc_85, perc_75 + (perc_90 - perc_75) * (2/3), converted_stat, '2K_Ratings'!Q611, IF(bbgm_stat &gt;= perc_95, converted_stat * 3, IF(bbgm_stat &gt;= perc_90, converted_stat * 2, IF(bbgm_stat &gt;= perc_85, converted_stat * 1.5, converted_stat)))))</f>
        <v/>
      </c>
      <c r="R611" s="30" t="str">
        <f t="array" ref="R611">IF($A611="", "", LET(bbgm_stat, INDEX(Players!$A610:$P610, MATCH(R$2, Players!$A$1:$P$1, 0)), perc_75, VLOOKUP(R$2, Percentiles!$A$45:$I$59, 6, FALSE), perc_90, VLOOKUP(R$2, Percentiles!$A$45:$I$59, 7, FALSE), perc_95, VLOOKUP(R$2, Percentiles!$A$45:$I$59, 8, FALSE), perc_85, perc_75 + (perc_90 - perc_75) * (2/3), converted_stat, '2K_Ratings'!R611, IF(bbgm_stat &gt;= perc_95, converted_stat * 3, IF(bbgm_stat &gt;= perc_90, converted_stat * 2, IF(bbgm_stat &gt;= perc_85, converted_stat * 1.5, converted_stat)))))</f>
        <v/>
      </c>
      <c r="S611" s="30" t="str">
        <f t="array" ref="S611">IF($A611="", "", LET(bbgm_stat, INDEX(Players!$A610:$P610, MATCH(S$2, Players!$A$1:$P$1, 0)), perc_75, VLOOKUP(S$2, Percentiles!$A$45:$I$59, 6, FALSE), perc_90, VLOOKUP(S$2, Percentiles!$A$45:$I$59, 7, FALSE), perc_95, VLOOKUP(S$2, Percentiles!$A$45:$I$59, 8, FALSE), perc_85, perc_75 + (perc_90 - perc_75) * (2/3), converted_stat, '2K_Ratings'!S611, IF(bbgm_stat &gt;= perc_95, converted_stat * 3, IF(bbgm_stat &gt;= perc_90, converted_stat * 2, IF(bbgm_stat &gt;= perc_85, converted_stat * 1.5, converted_stat)))))</f>
        <v/>
      </c>
      <c r="T611" s="30" t="str">
        <f t="array" ref="T611">IF($A611="", "", LET(bbgm_stat, INDEX(Players!$A610:$P610, MATCH(T$2, Players!$A$1:$P$1, 0)), perc_75, VLOOKUP(T$2, Percentiles!$A$45:$I$59, 6, FALSE), perc_90, VLOOKUP(T$2, Percentiles!$A$45:$I$59, 7, FALSE), perc_95, VLOOKUP(T$2, Percentiles!$A$45:$I$59, 8, FALSE), perc_85, perc_75 + (perc_90 - perc_75) * (2/3), converted_stat, '2K_Ratings'!T611, IF(bbgm_stat &gt;= perc_95, converted_stat * 3, IF(bbgm_stat &gt;= perc_90, converted_stat * 2, IF(bbgm_stat &gt;= perc_85, converted_stat * 1.5, converted_stat)))))</f>
        <v/>
      </c>
      <c r="U611" s="30" t="str">
        <f t="array" ref="U611">IF($A611="", "", LET(bbgm_stat, INDEX(Players!$A610:$P610, MATCH(U$2, Players!$A$1:$P$1, 0)), perc_75, VLOOKUP(U$2, Percentiles!$A$45:$I$59, 6, FALSE), perc_90, VLOOKUP(U$2, Percentiles!$A$45:$I$59, 7, FALSE), perc_95, VLOOKUP(U$2, Percentiles!$A$45:$I$59, 8, FALSE), perc_85, perc_75 + (perc_90 - perc_75) * (2/3), converted_stat, '2K_Ratings'!U611, IF(bbgm_stat &gt;= perc_95, converted_stat * 3, IF(bbgm_stat &gt;= perc_90, converted_stat * 2, IF(bbgm_stat &gt;= perc_85, converted_stat * 1.5, converted_stat)))))</f>
        <v/>
      </c>
      <c r="V611" s="30" t="str">
        <f t="array" ref="V611">IF($A611="", "", LET(bbgm_stat, INDEX(Players!$A610:$P610, MATCH(V$2, Players!$A$1:$P$1, 0)), perc_75, VLOOKUP(V$2, Percentiles!$A$45:$I$59, 6, FALSE), perc_90, VLOOKUP(V$2, Percentiles!$A$45:$I$59, 7, FALSE), perc_95, VLOOKUP(V$2, Percentiles!$A$45:$I$59, 8, FALSE), perc_85, perc_75 + (perc_90 - perc_75) * (2/3), converted_stat, '2K_Ratings'!V611, IF(bbgm_stat &gt;= perc_95, converted_stat * 3, IF(bbgm_stat &gt;= perc_90, converted_stat * 2, IF(bbgm_stat &gt;= perc_85, converted_stat * 1.5, converted_stat)))))</f>
        <v/>
      </c>
      <c r="W611" s="30" t="str">
        <f t="array" ref="W611">IF($A611="", "", LET(bbgm_stat, INDEX(Players!$A610:$P610, MATCH(W$2, Players!$A$1:$P$1, 0)), perc_75, VLOOKUP(W$2, Percentiles!$A$45:$I$59, 6, FALSE), perc_90, VLOOKUP(W$2, Percentiles!$A$45:$I$59, 7, FALSE), perc_95, VLOOKUP(W$2, Percentiles!$A$45:$I$59, 8, FALSE), perc_85, perc_75 + (perc_90 - perc_75) * (2/3), converted_stat, '2K_Ratings'!W611, IF(bbgm_stat &gt;= perc_95, converted_stat * 3, IF(bbgm_stat &gt;= perc_90, converted_stat * 2, IF(bbgm_stat &gt;= perc_85, converted_stat * 1.5, converted_stat)))))</f>
        <v/>
      </c>
    </row>
    <row r="612">
      <c r="A612" s="30"/>
      <c r="B612" s="30" t="str">
        <f t="array" ref="B612">IF($A612="", "", LET(bbgm_stat, INDEX(Players!$A611:$P611, MATCH(B$2, Players!$A$1:$P$1, 0)), perc_75, VLOOKUP(B$2, Percentiles!$A$45:$I$59, 6, FALSE), perc_90, VLOOKUP(B$2, Percentiles!$A$45:$I$59, 7, FALSE), perc_95, VLOOKUP(B$2, Percentiles!$A$45:$I$59, 8, FALSE), perc_85, perc_75 + (perc_90 - perc_75) * (2/3), converted_stat, '2K_Ratings'!B612, IF(bbgm_stat &gt;= perc_95, converted_stat * 3, IF(bbgm_stat &gt;= perc_90, converted_stat * 2, IF(bbgm_stat &gt;= perc_85, converted_stat * 1.5, converted_stat)))))</f>
        <v/>
      </c>
      <c r="C612" s="30" t="str">
        <f t="array" ref="C612">IF($A612="", "", LET(bbgm_stat, INDEX(Players!$A611:$P611, MATCH(C$2, Players!$A$1:$P$1, 0)), perc_75, VLOOKUP(C$2, Percentiles!$A$45:$I$59, 6, FALSE), perc_90, VLOOKUP(C$2, Percentiles!$A$45:$I$59, 7, FALSE), perc_95, VLOOKUP(C$2, Percentiles!$A$45:$I$59, 8, FALSE), perc_85, perc_75 + (perc_90 - perc_75) * (2/3), converted_stat, '2K_Ratings'!C612, IF(bbgm_stat &gt;= perc_95, converted_stat * 3, IF(bbgm_stat &gt;= perc_90, converted_stat * 2, IF(bbgm_stat &gt;= perc_85, converted_stat * 1.5, converted_stat)))))</f>
        <v/>
      </c>
      <c r="D612" s="30" t="str">
        <f t="array" ref="D612">IF($A612="", "", LET(bbgm_stat, INDEX(Players!$A611:$P611, MATCH(D$2, Players!$A$1:$P$1, 0)), perc_75, VLOOKUP(D$2, Percentiles!$A$45:$I$59, 6, FALSE), perc_90, VLOOKUP(D$2, Percentiles!$A$45:$I$59, 7, FALSE), perc_95, VLOOKUP(D$2, Percentiles!$A$45:$I$59, 8, FALSE), perc_85, perc_75 + (perc_90 - perc_75) * (2/3), converted_stat, '2K_Ratings'!D612, IF(bbgm_stat &gt;= perc_95, converted_stat * 3, IF(bbgm_stat &gt;= perc_90, converted_stat * 2, IF(bbgm_stat &gt;= perc_85, converted_stat * 1.5, converted_stat)))))</f>
        <v/>
      </c>
      <c r="E612" s="30" t="str">
        <f t="array" ref="E612">IF($A612="", "", LET(bbgm_stat, INDEX(Players!$A611:$P611, MATCH(E$2, Players!$A$1:$P$1, 0)), perc_75, VLOOKUP(E$2, Percentiles!$A$45:$I$59, 6, FALSE), perc_90, VLOOKUP(E$2, Percentiles!$A$45:$I$59, 7, FALSE), perc_95, VLOOKUP(E$2, Percentiles!$A$45:$I$59, 8, FALSE), perc_85, perc_75 + (perc_90 - perc_75) * (2/3), converted_stat, '2K_Ratings'!E612, IF(bbgm_stat &gt;= perc_95, converted_stat * 3, IF(bbgm_stat &gt;= perc_90, converted_stat * 2, IF(bbgm_stat &gt;= perc_85, converted_stat * 1.5, converted_stat)))))</f>
        <v/>
      </c>
      <c r="F612" s="30" t="str">
        <f t="array" ref="F612">IF($A612="", "", LET(bbgm_stat, INDEX(Players!$A611:$P611, MATCH(F$2, Players!$A$1:$P$1, 0)), perc_75, VLOOKUP(F$2, Percentiles!$A$45:$I$59, 6, FALSE), perc_90, VLOOKUP(F$2, Percentiles!$A$45:$I$59, 7, FALSE), perc_95, VLOOKUP(F$2, Percentiles!$A$45:$I$59, 8, FALSE), perc_85, perc_75 + (perc_90 - perc_75) * (2/3), converted_stat, '2K_Ratings'!F612, IF(bbgm_stat &gt;= perc_95, converted_stat * 3, IF(bbgm_stat &gt;= perc_90, converted_stat * 2, IF(bbgm_stat &gt;= perc_85, converted_stat * 1.5, converted_stat)))))</f>
        <v/>
      </c>
      <c r="G612" s="30" t="str">
        <f t="array" ref="G612">IF($A612="", "", LET(bbgm_stat, INDEX(Players!$A611:$P611, MATCH(G$2, Players!$A$1:$P$1, 0)), perc_75, VLOOKUP(G$2, Percentiles!$A$45:$I$59, 6, FALSE), perc_90, VLOOKUP(G$2, Percentiles!$A$45:$I$59, 7, FALSE), perc_95, VLOOKUP(G$2, Percentiles!$A$45:$I$59, 8, FALSE), perc_85, perc_75 + (perc_90 - perc_75) * (2/3), converted_stat, '2K_Ratings'!G612, IF(bbgm_stat &gt;= perc_95, converted_stat * 3, IF(bbgm_stat &gt;= perc_90, converted_stat * 2, IF(bbgm_stat &gt;= perc_85, converted_stat * 1.5, converted_stat)))))</f>
        <v/>
      </c>
      <c r="H612" s="30" t="str">
        <f t="array" ref="H612">IF($A612="", "", LET(bbgm_stat, INDEX(Players!$A611:$P611, MATCH(H$2, Players!$A$1:$P$1, 0)), perc_75, VLOOKUP(H$2, Percentiles!$A$45:$I$59, 6, FALSE), perc_90, VLOOKUP(H$2, Percentiles!$A$45:$I$59, 7, FALSE), perc_95, VLOOKUP(H$2, Percentiles!$A$45:$I$59, 8, FALSE), perc_85, perc_75 + (perc_90 - perc_75) * (2/3), converted_stat, '2K_Ratings'!H612, IF(bbgm_stat &gt;= perc_95, converted_stat * 3, IF(bbgm_stat &gt;= perc_90, converted_stat * 2, IF(bbgm_stat &gt;= perc_85, converted_stat * 1.5, converted_stat)))))</f>
        <v/>
      </c>
      <c r="I612" s="30" t="str">
        <f t="array" ref="I612">IF($A612="", "", LET(bbgm_stat, INDEX(Players!$A611:$P611, MATCH(I$2, Players!$A$1:$P$1, 0)), perc_75, VLOOKUP(I$2, Percentiles!$A$45:$I$59, 6, FALSE), perc_90, VLOOKUP(I$2, Percentiles!$A$45:$I$59, 7, FALSE), perc_95, VLOOKUP(I$2, Percentiles!$A$45:$I$59, 8, FALSE), perc_85, perc_75 + (perc_90 - perc_75) * (2/3), converted_stat, '2K_Ratings'!I612, IF(bbgm_stat &gt;= perc_95, converted_stat * 3, IF(bbgm_stat &gt;= perc_90, converted_stat * 2, IF(bbgm_stat &gt;= perc_85, converted_stat * 1.5, converted_stat)))))</f>
        <v/>
      </c>
      <c r="J612" s="30" t="str">
        <f t="array" ref="J612">IF($A612="", "", LET(bbgm_stat, INDEX(Players!$A611:$P611, MATCH(J$2, Players!$A$1:$P$1, 0)), perc_75, VLOOKUP(J$2, Percentiles!$A$45:$I$59, 6, FALSE), perc_90, VLOOKUP(J$2, Percentiles!$A$45:$I$59, 7, FALSE), perc_95, VLOOKUP(J$2, Percentiles!$A$45:$I$59, 8, FALSE), perc_85, perc_75 + (perc_90 - perc_75) * (2/3), converted_stat, '2K_Ratings'!J612, IF(bbgm_stat &gt;= perc_95, converted_stat * 3, IF(bbgm_stat &gt;= perc_90, converted_stat * 2, IF(bbgm_stat &gt;= perc_85, converted_stat * 1.5, converted_stat)))))</f>
        <v/>
      </c>
      <c r="K612" s="30" t="str">
        <f t="array" ref="K612">IF($A612="", "", LET(bbgm_stat, INDEX(Players!$A611:$P611, MATCH(K$2, Players!$A$1:$P$1, 0)), perc_75, VLOOKUP(K$2, Percentiles!$A$45:$I$59, 6, FALSE), perc_90, VLOOKUP(K$2, Percentiles!$A$45:$I$59, 7, FALSE), perc_95, VLOOKUP(K$2, Percentiles!$A$45:$I$59, 8, FALSE), perc_85, perc_75 + (perc_90 - perc_75) * (2/3), converted_stat, '2K_Ratings'!K612, IF(bbgm_stat &gt;= perc_95, converted_stat * 3, IF(bbgm_stat &gt;= perc_90, converted_stat * 2, IF(bbgm_stat &gt;= perc_85, converted_stat * 1.5, converted_stat)))))</f>
        <v/>
      </c>
      <c r="L612" s="30" t="str">
        <f t="array" ref="L612">IF($A612="", "", LET(bbgm_stat, INDEX(Players!$A611:$P611, MATCH(L$2, Players!$A$1:$P$1, 0)), perc_75, VLOOKUP(L$2, Percentiles!$A$45:$I$59, 6, FALSE), perc_90, VLOOKUP(L$2, Percentiles!$A$45:$I$59, 7, FALSE), perc_95, VLOOKUP(L$2, Percentiles!$A$45:$I$59, 8, FALSE), perc_85, perc_75 + (perc_90 - perc_75) * (2/3), converted_stat, '2K_Ratings'!L612, IF(bbgm_stat &gt;= perc_95, converted_stat * 3, IF(bbgm_stat &gt;= perc_90, converted_stat * 2, IF(bbgm_stat &gt;= perc_85, converted_stat * 1.5, converted_stat)))))</f>
        <v/>
      </c>
      <c r="M612" s="30" t="str">
        <f t="array" ref="M612">IF($A612="", "", LET(bbgm_stat, INDEX(Players!$A611:$P611, MATCH(M$2, Players!$A$1:$P$1, 0)), perc_75, VLOOKUP(M$2, Percentiles!$A$45:$I$59, 6, FALSE), perc_90, VLOOKUP(M$2, Percentiles!$A$45:$I$59, 7, FALSE), perc_95, VLOOKUP(M$2, Percentiles!$A$45:$I$59, 8, FALSE), perc_85, perc_75 + (perc_90 - perc_75) * (2/3), converted_stat, '2K_Ratings'!M612, IF(bbgm_stat &gt;= perc_95, converted_stat * 3, IF(bbgm_stat &gt;= perc_90, converted_stat * 2, IF(bbgm_stat &gt;= perc_85, converted_stat * 1.5, converted_stat)))))</f>
        <v/>
      </c>
      <c r="N612" s="30" t="str">
        <f t="array" ref="N612">IF($A612="", "", LET(bbgm_stat, INDEX(Players!$A611:$P611, MATCH(N$2, Players!$A$1:$P$1, 0)), perc_75, VLOOKUP(N$2, Percentiles!$A$45:$I$59, 6, FALSE), perc_90, VLOOKUP(N$2, Percentiles!$A$45:$I$59, 7, FALSE), perc_95, VLOOKUP(N$2, Percentiles!$A$45:$I$59, 8, FALSE), perc_85, perc_75 + (perc_90 - perc_75) * (2/3), converted_stat, '2K_Ratings'!N612, IF(bbgm_stat &gt;= perc_95, converted_stat * 3, IF(bbgm_stat &gt;= perc_90, converted_stat * 2, IF(bbgm_stat &gt;= perc_85, converted_stat * 1.5, converted_stat)))))</f>
        <v/>
      </c>
      <c r="O612" s="30" t="str">
        <f t="array" ref="O612">IF($A612="", "", LET(bbgm_stat, INDEX(Players!$A611:$P611, MATCH(O$2, Players!$A$1:$P$1, 0)), perc_75, VLOOKUP(O$2, Percentiles!$A$45:$I$59, 6, FALSE), perc_90, VLOOKUP(O$2, Percentiles!$A$45:$I$59, 7, FALSE), perc_95, VLOOKUP(O$2, Percentiles!$A$45:$I$59, 8, FALSE), perc_85, perc_75 + (perc_90 - perc_75) * (2/3), converted_stat, '2K_Ratings'!O612, IF(bbgm_stat &gt;= perc_95, converted_stat * 3, IF(bbgm_stat &gt;= perc_90, converted_stat * 2, IF(bbgm_stat &gt;= perc_85, converted_stat * 1.5, converted_stat)))))</f>
        <v/>
      </c>
      <c r="P612" s="30" t="str">
        <f t="array" ref="P612">IF($A612="", "", LET(bbgm_stat, INDEX(Players!$A611:$P611, MATCH(P$2, Players!$A$1:$P$1, 0)), perc_75, VLOOKUP(P$2, Percentiles!$A$45:$I$59, 6, FALSE), perc_90, VLOOKUP(P$2, Percentiles!$A$45:$I$59, 7, FALSE), perc_95, VLOOKUP(P$2, Percentiles!$A$45:$I$59, 8, FALSE), perc_85, perc_75 + (perc_90 - perc_75) * (2/3), converted_stat, '2K_Ratings'!P612, IF(bbgm_stat &gt;= perc_95, converted_stat * 3, IF(bbgm_stat &gt;= perc_90, converted_stat * 2, IF(bbgm_stat &gt;= perc_85, converted_stat * 1.5, converted_stat)))))</f>
        <v/>
      </c>
      <c r="Q612" s="30" t="str">
        <f t="array" ref="Q612">IF($A612="", "", LET(bbgm_stat, INDEX(Players!$A611:$P611, MATCH(Q$2, Players!$A$1:$P$1, 0)), perc_75, VLOOKUP(Q$2, Percentiles!$A$45:$I$59, 6, FALSE), perc_90, VLOOKUP(Q$2, Percentiles!$A$45:$I$59, 7, FALSE), perc_95, VLOOKUP(Q$2, Percentiles!$A$45:$I$59, 8, FALSE), perc_85, perc_75 + (perc_90 - perc_75) * (2/3), converted_stat, '2K_Ratings'!Q612, IF(bbgm_stat &gt;= perc_95, converted_stat * 3, IF(bbgm_stat &gt;= perc_90, converted_stat * 2, IF(bbgm_stat &gt;= perc_85, converted_stat * 1.5, converted_stat)))))</f>
        <v/>
      </c>
      <c r="R612" s="30" t="str">
        <f t="array" ref="R612">IF($A612="", "", LET(bbgm_stat, INDEX(Players!$A611:$P611, MATCH(R$2, Players!$A$1:$P$1, 0)), perc_75, VLOOKUP(R$2, Percentiles!$A$45:$I$59, 6, FALSE), perc_90, VLOOKUP(R$2, Percentiles!$A$45:$I$59, 7, FALSE), perc_95, VLOOKUP(R$2, Percentiles!$A$45:$I$59, 8, FALSE), perc_85, perc_75 + (perc_90 - perc_75) * (2/3), converted_stat, '2K_Ratings'!R612, IF(bbgm_stat &gt;= perc_95, converted_stat * 3, IF(bbgm_stat &gt;= perc_90, converted_stat * 2, IF(bbgm_stat &gt;= perc_85, converted_stat * 1.5, converted_stat)))))</f>
        <v/>
      </c>
      <c r="S612" s="30" t="str">
        <f t="array" ref="S612">IF($A612="", "", LET(bbgm_stat, INDEX(Players!$A611:$P611, MATCH(S$2, Players!$A$1:$P$1, 0)), perc_75, VLOOKUP(S$2, Percentiles!$A$45:$I$59, 6, FALSE), perc_90, VLOOKUP(S$2, Percentiles!$A$45:$I$59, 7, FALSE), perc_95, VLOOKUP(S$2, Percentiles!$A$45:$I$59, 8, FALSE), perc_85, perc_75 + (perc_90 - perc_75) * (2/3), converted_stat, '2K_Ratings'!S612, IF(bbgm_stat &gt;= perc_95, converted_stat * 3, IF(bbgm_stat &gt;= perc_90, converted_stat * 2, IF(bbgm_stat &gt;= perc_85, converted_stat * 1.5, converted_stat)))))</f>
        <v/>
      </c>
      <c r="T612" s="30" t="str">
        <f t="array" ref="T612">IF($A612="", "", LET(bbgm_stat, INDEX(Players!$A611:$P611, MATCH(T$2, Players!$A$1:$P$1, 0)), perc_75, VLOOKUP(T$2, Percentiles!$A$45:$I$59, 6, FALSE), perc_90, VLOOKUP(T$2, Percentiles!$A$45:$I$59, 7, FALSE), perc_95, VLOOKUP(T$2, Percentiles!$A$45:$I$59, 8, FALSE), perc_85, perc_75 + (perc_90 - perc_75) * (2/3), converted_stat, '2K_Ratings'!T612, IF(bbgm_stat &gt;= perc_95, converted_stat * 3, IF(bbgm_stat &gt;= perc_90, converted_stat * 2, IF(bbgm_stat &gt;= perc_85, converted_stat * 1.5, converted_stat)))))</f>
        <v/>
      </c>
      <c r="U612" s="30" t="str">
        <f t="array" ref="U612">IF($A612="", "", LET(bbgm_stat, INDEX(Players!$A611:$P611, MATCH(U$2, Players!$A$1:$P$1, 0)), perc_75, VLOOKUP(U$2, Percentiles!$A$45:$I$59, 6, FALSE), perc_90, VLOOKUP(U$2, Percentiles!$A$45:$I$59, 7, FALSE), perc_95, VLOOKUP(U$2, Percentiles!$A$45:$I$59, 8, FALSE), perc_85, perc_75 + (perc_90 - perc_75) * (2/3), converted_stat, '2K_Ratings'!U612, IF(bbgm_stat &gt;= perc_95, converted_stat * 3, IF(bbgm_stat &gt;= perc_90, converted_stat * 2, IF(bbgm_stat &gt;= perc_85, converted_stat * 1.5, converted_stat)))))</f>
        <v/>
      </c>
      <c r="V612" s="30" t="str">
        <f t="array" ref="V612">IF($A612="", "", LET(bbgm_stat, INDEX(Players!$A611:$P611, MATCH(V$2, Players!$A$1:$P$1, 0)), perc_75, VLOOKUP(V$2, Percentiles!$A$45:$I$59, 6, FALSE), perc_90, VLOOKUP(V$2, Percentiles!$A$45:$I$59, 7, FALSE), perc_95, VLOOKUP(V$2, Percentiles!$A$45:$I$59, 8, FALSE), perc_85, perc_75 + (perc_90 - perc_75) * (2/3), converted_stat, '2K_Ratings'!V612, IF(bbgm_stat &gt;= perc_95, converted_stat * 3, IF(bbgm_stat &gt;= perc_90, converted_stat * 2, IF(bbgm_stat &gt;= perc_85, converted_stat * 1.5, converted_stat)))))</f>
        <v/>
      </c>
      <c r="W612" s="30" t="str">
        <f t="array" ref="W612">IF($A612="", "", LET(bbgm_stat, INDEX(Players!$A611:$P611, MATCH(W$2, Players!$A$1:$P$1, 0)), perc_75, VLOOKUP(W$2, Percentiles!$A$45:$I$59, 6, FALSE), perc_90, VLOOKUP(W$2, Percentiles!$A$45:$I$59, 7, FALSE), perc_95, VLOOKUP(W$2, Percentiles!$A$45:$I$59, 8, FALSE), perc_85, perc_75 + (perc_90 - perc_75) * (2/3), converted_stat, '2K_Ratings'!W612, IF(bbgm_stat &gt;= perc_95, converted_stat * 3, IF(bbgm_stat &gt;= perc_90, converted_stat * 2, IF(bbgm_stat &gt;= perc_85, converted_stat * 1.5, converted_stat)))))</f>
        <v/>
      </c>
    </row>
    <row r="613">
      <c r="A613" s="30"/>
      <c r="B613" s="30" t="str">
        <f t="array" ref="B613">IF($A613="", "", LET(bbgm_stat, INDEX(Players!$A612:$P612, MATCH(B$2, Players!$A$1:$P$1, 0)), perc_75, VLOOKUP(B$2, Percentiles!$A$45:$I$59, 6, FALSE), perc_90, VLOOKUP(B$2, Percentiles!$A$45:$I$59, 7, FALSE), perc_95, VLOOKUP(B$2, Percentiles!$A$45:$I$59, 8, FALSE), perc_85, perc_75 + (perc_90 - perc_75) * (2/3), converted_stat, '2K_Ratings'!B613, IF(bbgm_stat &gt;= perc_95, converted_stat * 3, IF(bbgm_stat &gt;= perc_90, converted_stat * 2, IF(bbgm_stat &gt;= perc_85, converted_stat * 1.5, converted_stat)))))</f>
        <v/>
      </c>
      <c r="C613" s="30" t="str">
        <f t="array" ref="C613">IF($A613="", "", LET(bbgm_stat, INDEX(Players!$A612:$P612, MATCH(C$2, Players!$A$1:$P$1, 0)), perc_75, VLOOKUP(C$2, Percentiles!$A$45:$I$59, 6, FALSE), perc_90, VLOOKUP(C$2, Percentiles!$A$45:$I$59, 7, FALSE), perc_95, VLOOKUP(C$2, Percentiles!$A$45:$I$59, 8, FALSE), perc_85, perc_75 + (perc_90 - perc_75) * (2/3), converted_stat, '2K_Ratings'!C613, IF(bbgm_stat &gt;= perc_95, converted_stat * 3, IF(bbgm_stat &gt;= perc_90, converted_stat * 2, IF(bbgm_stat &gt;= perc_85, converted_stat * 1.5, converted_stat)))))</f>
        <v/>
      </c>
      <c r="D613" s="30" t="str">
        <f t="array" ref="D613">IF($A613="", "", LET(bbgm_stat, INDEX(Players!$A612:$P612, MATCH(D$2, Players!$A$1:$P$1, 0)), perc_75, VLOOKUP(D$2, Percentiles!$A$45:$I$59, 6, FALSE), perc_90, VLOOKUP(D$2, Percentiles!$A$45:$I$59, 7, FALSE), perc_95, VLOOKUP(D$2, Percentiles!$A$45:$I$59, 8, FALSE), perc_85, perc_75 + (perc_90 - perc_75) * (2/3), converted_stat, '2K_Ratings'!D613, IF(bbgm_stat &gt;= perc_95, converted_stat * 3, IF(bbgm_stat &gt;= perc_90, converted_stat * 2, IF(bbgm_stat &gt;= perc_85, converted_stat * 1.5, converted_stat)))))</f>
        <v/>
      </c>
      <c r="E613" s="30" t="str">
        <f t="array" ref="E613">IF($A613="", "", LET(bbgm_stat, INDEX(Players!$A612:$P612, MATCH(E$2, Players!$A$1:$P$1, 0)), perc_75, VLOOKUP(E$2, Percentiles!$A$45:$I$59, 6, FALSE), perc_90, VLOOKUP(E$2, Percentiles!$A$45:$I$59, 7, FALSE), perc_95, VLOOKUP(E$2, Percentiles!$A$45:$I$59, 8, FALSE), perc_85, perc_75 + (perc_90 - perc_75) * (2/3), converted_stat, '2K_Ratings'!E613, IF(bbgm_stat &gt;= perc_95, converted_stat * 3, IF(bbgm_stat &gt;= perc_90, converted_stat * 2, IF(bbgm_stat &gt;= perc_85, converted_stat * 1.5, converted_stat)))))</f>
        <v/>
      </c>
      <c r="F613" s="30" t="str">
        <f t="array" ref="F613">IF($A613="", "", LET(bbgm_stat, INDEX(Players!$A612:$P612, MATCH(F$2, Players!$A$1:$P$1, 0)), perc_75, VLOOKUP(F$2, Percentiles!$A$45:$I$59, 6, FALSE), perc_90, VLOOKUP(F$2, Percentiles!$A$45:$I$59, 7, FALSE), perc_95, VLOOKUP(F$2, Percentiles!$A$45:$I$59, 8, FALSE), perc_85, perc_75 + (perc_90 - perc_75) * (2/3), converted_stat, '2K_Ratings'!F613, IF(bbgm_stat &gt;= perc_95, converted_stat * 3, IF(bbgm_stat &gt;= perc_90, converted_stat * 2, IF(bbgm_stat &gt;= perc_85, converted_stat * 1.5, converted_stat)))))</f>
        <v/>
      </c>
      <c r="G613" s="30" t="str">
        <f t="array" ref="G613">IF($A613="", "", LET(bbgm_stat, INDEX(Players!$A612:$P612, MATCH(G$2, Players!$A$1:$P$1, 0)), perc_75, VLOOKUP(G$2, Percentiles!$A$45:$I$59, 6, FALSE), perc_90, VLOOKUP(G$2, Percentiles!$A$45:$I$59, 7, FALSE), perc_95, VLOOKUP(G$2, Percentiles!$A$45:$I$59, 8, FALSE), perc_85, perc_75 + (perc_90 - perc_75) * (2/3), converted_stat, '2K_Ratings'!G613, IF(bbgm_stat &gt;= perc_95, converted_stat * 3, IF(bbgm_stat &gt;= perc_90, converted_stat * 2, IF(bbgm_stat &gt;= perc_85, converted_stat * 1.5, converted_stat)))))</f>
        <v/>
      </c>
      <c r="H613" s="30" t="str">
        <f t="array" ref="H613">IF($A613="", "", LET(bbgm_stat, INDEX(Players!$A612:$P612, MATCH(H$2, Players!$A$1:$P$1, 0)), perc_75, VLOOKUP(H$2, Percentiles!$A$45:$I$59, 6, FALSE), perc_90, VLOOKUP(H$2, Percentiles!$A$45:$I$59, 7, FALSE), perc_95, VLOOKUP(H$2, Percentiles!$A$45:$I$59, 8, FALSE), perc_85, perc_75 + (perc_90 - perc_75) * (2/3), converted_stat, '2K_Ratings'!H613, IF(bbgm_stat &gt;= perc_95, converted_stat * 3, IF(bbgm_stat &gt;= perc_90, converted_stat * 2, IF(bbgm_stat &gt;= perc_85, converted_stat * 1.5, converted_stat)))))</f>
        <v/>
      </c>
      <c r="I613" s="30" t="str">
        <f t="array" ref="I613">IF($A613="", "", LET(bbgm_stat, INDEX(Players!$A612:$P612, MATCH(I$2, Players!$A$1:$P$1, 0)), perc_75, VLOOKUP(I$2, Percentiles!$A$45:$I$59, 6, FALSE), perc_90, VLOOKUP(I$2, Percentiles!$A$45:$I$59, 7, FALSE), perc_95, VLOOKUP(I$2, Percentiles!$A$45:$I$59, 8, FALSE), perc_85, perc_75 + (perc_90 - perc_75) * (2/3), converted_stat, '2K_Ratings'!I613, IF(bbgm_stat &gt;= perc_95, converted_stat * 3, IF(bbgm_stat &gt;= perc_90, converted_stat * 2, IF(bbgm_stat &gt;= perc_85, converted_stat * 1.5, converted_stat)))))</f>
        <v/>
      </c>
      <c r="J613" s="30" t="str">
        <f t="array" ref="J613">IF($A613="", "", LET(bbgm_stat, INDEX(Players!$A612:$P612, MATCH(J$2, Players!$A$1:$P$1, 0)), perc_75, VLOOKUP(J$2, Percentiles!$A$45:$I$59, 6, FALSE), perc_90, VLOOKUP(J$2, Percentiles!$A$45:$I$59, 7, FALSE), perc_95, VLOOKUP(J$2, Percentiles!$A$45:$I$59, 8, FALSE), perc_85, perc_75 + (perc_90 - perc_75) * (2/3), converted_stat, '2K_Ratings'!J613, IF(bbgm_stat &gt;= perc_95, converted_stat * 3, IF(bbgm_stat &gt;= perc_90, converted_stat * 2, IF(bbgm_stat &gt;= perc_85, converted_stat * 1.5, converted_stat)))))</f>
        <v/>
      </c>
      <c r="K613" s="30" t="str">
        <f t="array" ref="K613">IF($A613="", "", LET(bbgm_stat, INDEX(Players!$A612:$P612, MATCH(K$2, Players!$A$1:$P$1, 0)), perc_75, VLOOKUP(K$2, Percentiles!$A$45:$I$59, 6, FALSE), perc_90, VLOOKUP(K$2, Percentiles!$A$45:$I$59, 7, FALSE), perc_95, VLOOKUP(K$2, Percentiles!$A$45:$I$59, 8, FALSE), perc_85, perc_75 + (perc_90 - perc_75) * (2/3), converted_stat, '2K_Ratings'!K613, IF(bbgm_stat &gt;= perc_95, converted_stat * 3, IF(bbgm_stat &gt;= perc_90, converted_stat * 2, IF(bbgm_stat &gt;= perc_85, converted_stat * 1.5, converted_stat)))))</f>
        <v/>
      </c>
      <c r="L613" s="30" t="str">
        <f t="array" ref="L613">IF($A613="", "", LET(bbgm_stat, INDEX(Players!$A612:$P612, MATCH(L$2, Players!$A$1:$P$1, 0)), perc_75, VLOOKUP(L$2, Percentiles!$A$45:$I$59, 6, FALSE), perc_90, VLOOKUP(L$2, Percentiles!$A$45:$I$59, 7, FALSE), perc_95, VLOOKUP(L$2, Percentiles!$A$45:$I$59, 8, FALSE), perc_85, perc_75 + (perc_90 - perc_75) * (2/3), converted_stat, '2K_Ratings'!L613, IF(bbgm_stat &gt;= perc_95, converted_stat * 3, IF(bbgm_stat &gt;= perc_90, converted_stat * 2, IF(bbgm_stat &gt;= perc_85, converted_stat * 1.5, converted_stat)))))</f>
        <v/>
      </c>
      <c r="M613" s="30" t="str">
        <f t="array" ref="M613">IF($A613="", "", LET(bbgm_stat, INDEX(Players!$A612:$P612, MATCH(M$2, Players!$A$1:$P$1, 0)), perc_75, VLOOKUP(M$2, Percentiles!$A$45:$I$59, 6, FALSE), perc_90, VLOOKUP(M$2, Percentiles!$A$45:$I$59, 7, FALSE), perc_95, VLOOKUP(M$2, Percentiles!$A$45:$I$59, 8, FALSE), perc_85, perc_75 + (perc_90 - perc_75) * (2/3), converted_stat, '2K_Ratings'!M613, IF(bbgm_stat &gt;= perc_95, converted_stat * 3, IF(bbgm_stat &gt;= perc_90, converted_stat * 2, IF(bbgm_stat &gt;= perc_85, converted_stat * 1.5, converted_stat)))))</f>
        <v/>
      </c>
      <c r="N613" s="30" t="str">
        <f t="array" ref="N613">IF($A613="", "", LET(bbgm_stat, INDEX(Players!$A612:$P612, MATCH(N$2, Players!$A$1:$P$1, 0)), perc_75, VLOOKUP(N$2, Percentiles!$A$45:$I$59, 6, FALSE), perc_90, VLOOKUP(N$2, Percentiles!$A$45:$I$59, 7, FALSE), perc_95, VLOOKUP(N$2, Percentiles!$A$45:$I$59, 8, FALSE), perc_85, perc_75 + (perc_90 - perc_75) * (2/3), converted_stat, '2K_Ratings'!N613, IF(bbgm_stat &gt;= perc_95, converted_stat * 3, IF(bbgm_stat &gt;= perc_90, converted_stat * 2, IF(bbgm_stat &gt;= perc_85, converted_stat * 1.5, converted_stat)))))</f>
        <v/>
      </c>
      <c r="O613" s="30" t="str">
        <f t="array" ref="O613">IF($A613="", "", LET(bbgm_stat, INDEX(Players!$A612:$P612, MATCH(O$2, Players!$A$1:$P$1, 0)), perc_75, VLOOKUP(O$2, Percentiles!$A$45:$I$59, 6, FALSE), perc_90, VLOOKUP(O$2, Percentiles!$A$45:$I$59, 7, FALSE), perc_95, VLOOKUP(O$2, Percentiles!$A$45:$I$59, 8, FALSE), perc_85, perc_75 + (perc_90 - perc_75) * (2/3), converted_stat, '2K_Ratings'!O613, IF(bbgm_stat &gt;= perc_95, converted_stat * 3, IF(bbgm_stat &gt;= perc_90, converted_stat * 2, IF(bbgm_stat &gt;= perc_85, converted_stat * 1.5, converted_stat)))))</f>
        <v/>
      </c>
      <c r="P613" s="30" t="str">
        <f t="array" ref="P613">IF($A613="", "", LET(bbgm_stat, INDEX(Players!$A612:$P612, MATCH(P$2, Players!$A$1:$P$1, 0)), perc_75, VLOOKUP(P$2, Percentiles!$A$45:$I$59, 6, FALSE), perc_90, VLOOKUP(P$2, Percentiles!$A$45:$I$59, 7, FALSE), perc_95, VLOOKUP(P$2, Percentiles!$A$45:$I$59, 8, FALSE), perc_85, perc_75 + (perc_90 - perc_75) * (2/3), converted_stat, '2K_Ratings'!P613, IF(bbgm_stat &gt;= perc_95, converted_stat * 3, IF(bbgm_stat &gt;= perc_90, converted_stat * 2, IF(bbgm_stat &gt;= perc_85, converted_stat * 1.5, converted_stat)))))</f>
        <v/>
      </c>
      <c r="Q613" s="30" t="str">
        <f t="array" ref="Q613">IF($A613="", "", LET(bbgm_stat, INDEX(Players!$A612:$P612, MATCH(Q$2, Players!$A$1:$P$1, 0)), perc_75, VLOOKUP(Q$2, Percentiles!$A$45:$I$59, 6, FALSE), perc_90, VLOOKUP(Q$2, Percentiles!$A$45:$I$59, 7, FALSE), perc_95, VLOOKUP(Q$2, Percentiles!$A$45:$I$59, 8, FALSE), perc_85, perc_75 + (perc_90 - perc_75) * (2/3), converted_stat, '2K_Ratings'!Q613, IF(bbgm_stat &gt;= perc_95, converted_stat * 3, IF(bbgm_stat &gt;= perc_90, converted_stat * 2, IF(bbgm_stat &gt;= perc_85, converted_stat * 1.5, converted_stat)))))</f>
        <v/>
      </c>
      <c r="R613" s="30" t="str">
        <f t="array" ref="R613">IF($A613="", "", LET(bbgm_stat, INDEX(Players!$A612:$P612, MATCH(R$2, Players!$A$1:$P$1, 0)), perc_75, VLOOKUP(R$2, Percentiles!$A$45:$I$59, 6, FALSE), perc_90, VLOOKUP(R$2, Percentiles!$A$45:$I$59, 7, FALSE), perc_95, VLOOKUP(R$2, Percentiles!$A$45:$I$59, 8, FALSE), perc_85, perc_75 + (perc_90 - perc_75) * (2/3), converted_stat, '2K_Ratings'!R613, IF(bbgm_stat &gt;= perc_95, converted_stat * 3, IF(bbgm_stat &gt;= perc_90, converted_stat * 2, IF(bbgm_stat &gt;= perc_85, converted_stat * 1.5, converted_stat)))))</f>
        <v/>
      </c>
      <c r="S613" s="30" t="str">
        <f t="array" ref="S613">IF($A613="", "", LET(bbgm_stat, INDEX(Players!$A612:$P612, MATCH(S$2, Players!$A$1:$P$1, 0)), perc_75, VLOOKUP(S$2, Percentiles!$A$45:$I$59, 6, FALSE), perc_90, VLOOKUP(S$2, Percentiles!$A$45:$I$59, 7, FALSE), perc_95, VLOOKUP(S$2, Percentiles!$A$45:$I$59, 8, FALSE), perc_85, perc_75 + (perc_90 - perc_75) * (2/3), converted_stat, '2K_Ratings'!S613, IF(bbgm_stat &gt;= perc_95, converted_stat * 3, IF(bbgm_stat &gt;= perc_90, converted_stat * 2, IF(bbgm_stat &gt;= perc_85, converted_stat * 1.5, converted_stat)))))</f>
        <v/>
      </c>
      <c r="T613" s="30" t="str">
        <f t="array" ref="T613">IF($A613="", "", LET(bbgm_stat, INDEX(Players!$A612:$P612, MATCH(T$2, Players!$A$1:$P$1, 0)), perc_75, VLOOKUP(T$2, Percentiles!$A$45:$I$59, 6, FALSE), perc_90, VLOOKUP(T$2, Percentiles!$A$45:$I$59, 7, FALSE), perc_95, VLOOKUP(T$2, Percentiles!$A$45:$I$59, 8, FALSE), perc_85, perc_75 + (perc_90 - perc_75) * (2/3), converted_stat, '2K_Ratings'!T613, IF(bbgm_stat &gt;= perc_95, converted_stat * 3, IF(bbgm_stat &gt;= perc_90, converted_stat * 2, IF(bbgm_stat &gt;= perc_85, converted_stat * 1.5, converted_stat)))))</f>
        <v/>
      </c>
      <c r="U613" s="30" t="str">
        <f t="array" ref="U613">IF($A613="", "", LET(bbgm_stat, INDEX(Players!$A612:$P612, MATCH(U$2, Players!$A$1:$P$1, 0)), perc_75, VLOOKUP(U$2, Percentiles!$A$45:$I$59, 6, FALSE), perc_90, VLOOKUP(U$2, Percentiles!$A$45:$I$59, 7, FALSE), perc_95, VLOOKUP(U$2, Percentiles!$A$45:$I$59, 8, FALSE), perc_85, perc_75 + (perc_90 - perc_75) * (2/3), converted_stat, '2K_Ratings'!U613, IF(bbgm_stat &gt;= perc_95, converted_stat * 3, IF(bbgm_stat &gt;= perc_90, converted_stat * 2, IF(bbgm_stat &gt;= perc_85, converted_stat * 1.5, converted_stat)))))</f>
        <v/>
      </c>
      <c r="V613" s="30" t="str">
        <f t="array" ref="V613">IF($A613="", "", LET(bbgm_stat, INDEX(Players!$A612:$P612, MATCH(V$2, Players!$A$1:$P$1, 0)), perc_75, VLOOKUP(V$2, Percentiles!$A$45:$I$59, 6, FALSE), perc_90, VLOOKUP(V$2, Percentiles!$A$45:$I$59, 7, FALSE), perc_95, VLOOKUP(V$2, Percentiles!$A$45:$I$59, 8, FALSE), perc_85, perc_75 + (perc_90 - perc_75) * (2/3), converted_stat, '2K_Ratings'!V613, IF(bbgm_stat &gt;= perc_95, converted_stat * 3, IF(bbgm_stat &gt;= perc_90, converted_stat * 2, IF(bbgm_stat &gt;= perc_85, converted_stat * 1.5, converted_stat)))))</f>
        <v/>
      </c>
      <c r="W613" s="30" t="str">
        <f t="array" ref="W613">IF($A613="", "", LET(bbgm_stat, INDEX(Players!$A612:$P612, MATCH(W$2, Players!$A$1:$P$1, 0)), perc_75, VLOOKUP(W$2, Percentiles!$A$45:$I$59, 6, FALSE), perc_90, VLOOKUP(W$2, Percentiles!$A$45:$I$59, 7, FALSE), perc_95, VLOOKUP(W$2, Percentiles!$A$45:$I$59, 8, FALSE), perc_85, perc_75 + (perc_90 - perc_75) * (2/3), converted_stat, '2K_Ratings'!W613, IF(bbgm_stat &gt;= perc_95, converted_stat * 3, IF(bbgm_stat &gt;= perc_90, converted_stat * 2, IF(bbgm_stat &gt;= perc_85, converted_stat * 1.5, converted_stat)))))</f>
        <v/>
      </c>
    </row>
    <row r="614">
      <c r="A614" s="30"/>
      <c r="B614" s="30" t="str">
        <f t="array" ref="B614">IF($A614="", "", LET(bbgm_stat, INDEX(Players!$A613:$P613, MATCH(B$2, Players!$A$1:$P$1, 0)), perc_75, VLOOKUP(B$2, Percentiles!$A$45:$I$59, 6, FALSE), perc_90, VLOOKUP(B$2, Percentiles!$A$45:$I$59, 7, FALSE), perc_95, VLOOKUP(B$2, Percentiles!$A$45:$I$59, 8, FALSE), perc_85, perc_75 + (perc_90 - perc_75) * (2/3), converted_stat, '2K_Ratings'!B614, IF(bbgm_stat &gt;= perc_95, converted_stat * 3, IF(bbgm_stat &gt;= perc_90, converted_stat * 2, IF(bbgm_stat &gt;= perc_85, converted_stat * 1.5, converted_stat)))))</f>
        <v/>
      </c>
      <c r="C614" s="30" t="str">
        <f t="array" ref="C614">IF($A614="", "", LET(bbgm_stat, INDEX(Players!$A613:$P613, MATCH(C$2, Players!$A$1:$P$1, 0)), perc_75, VLOOKUP(C$2, Percentiles!$A$45:$I$59, 6, FALSE), perc_90, VLOOKUP(C$2, Percentiles!$A$45:$I$59, 7, FALSE), perc_95, VLOOKUP(C$2, Percentiles!$A$45:$I$59, 8, FALSE), perc_85, perc_75 + (perc_90 - perc_75) * (2/3), converted_stat, '2K_Ratings'!C614, IF(bbgm_stat &gt;= perc_95, converted_stat * 3, IF(bbgm_stat &gt;= perc_90, converted_stat * 2, IF(bbgm_stat &gt;= perc_85, converted_stat * 1.5, converted_stat)))))</f>
        <v/>
      </c>
      <c r="D614" s="30" t="str">
        <f t="array" ref="D614">IF($A614="", "", LET(bbgm_stat, INDEX(Players!$A613:$P613, MATCH(D$2, Players!$A$1:$P$1, 0)), perc_75, VLOOKUP(D$2, Percentiles!$A$45:$I$59, 6, FALSE), perc_90, VLOOKUP(D$2, Percentiles!$A$45:$I$59, 7, FALSE), perc_95, VLOOKUP(D$2, Percentiles!$A$45:$I$59, 8, FALSE), perc_85, perc_75 + (perc_90 - perc_75) * (2/3), converted_stat, '2K_Ratings'!D614, IF(bbgm_stat &gt;= perc_95, converted_stat * 3, IF(bbgm_stat &gt;= perc_90, converted_stat * 2, IF(bbgm_stat &gt;= perc_85, converted_stat * 1.5, converted_stat)))))</f>
        <v/>
      </c>
      <c r="E614" s="30" t="str">
        <f t="array" ref="E614">IF($A614="", "", LET(bbgm_stat, INDEX(Players!$A613:$P613, MATCH(E$2, Players!$A$1:$P$1, 0)), perc_75, VLOOKUP(E$2, Percentiles!$A$45:$I$59, 6, FALSE), perc_90, VLOOKUP(E$2, Percentiles!$A$45:$I$59, 7, FALSE), perc_95, VLOOKUP(E$2, Percentiles!$A$45:$I$59, 8, FALSE), perc_85, perc_75 + (perc_90 - perc_75) * (2/3), converted_stat, '2K_Ratings'!E614, IF(bbgm_stat &gt;= perc_95, converted_stat * 3, IF(bbgm_stat &gt;= perc_90, converted_stat * 2, IF(bbgm_stat &gt;= perc_85, converted_stat * 1.5, converted_stat)))))</f>
        <v/>
      </c>
      <c r="F614" s="30" t="str">
        <f t="array" ref="F614">IF($A614="", "", LET(bbgm_stat, INDEX(Players!$A613:$P613, MATCH(F$2, Players!$A$1:$P$1, 0)), perc_75, VLOOKUP(F$2, Percentiles!$A$45:$I$59, 6, FALSE), perc_90, VLOOKUP(F$2, Percentiles!$A$45:$I$59, 7, FALSE), perc_95, VLOOKUP(F$2, Percentiles!$A$45:$I$59, 8, FALSE), perc_85, perc_75 + (perc_90 - perc_75) * (2/3), converted_stat, '2K_Ratings'!F614, IF(bbgm_stat &gt;= perc_95, converted_stat * 3, IF(bbgm_stat &gt;= perc_90, converted_stat * 2, IF(bbgm_stat &gt;= perc_85, converted_stat * 1.5, converted_stat)))))</f>
        <v/>
      </c>
      <c r="G614" s="30" t="str">
        <f t="array" ref="G614">IF($A614="", "", LET(bbgm_stat, INDEX(Players!$A613:$P613, MATCH(G$2, Players!$A$1:$P$1, 0)), perc_75, VLOOKUP(G$2, Percentiles!$A$45:$I$59, 6, FALSE), perc_90, VLOOKUP(G$2, Percentiles!$A$45:$I$59, 7, FALSE), perc_95, VLOOKUP(G$2, Percentiles!$A$45:$I$59, 8, FALSE), perc_85, perc_75 + (perc_90 - perc_75) * (2/3), converted_stat, '2K_Ratings'!G614, IF(bbgm_stat &gt;= perc_95, converted_stat * 3, IF(bbgm_stat &gt;= perc_90, converted_stat * 2, IF(bbgm_stat &gt;= perc_85, converted_stat * 1.5, converted_stat)))))</f>
        <v/>
      </c>
      <c r="H614" s="30" t="str">
        <f t="array" ref="H614">IF($A614="", "", LET(bbgm_stat, INDEX(Players!$A613:$P613, MATCH(H$2, Players!$A$1:$P$1, 0)), perc_75, VLOOKUP(H$2, Percentiles!$A$45:$I$59, 6, FALSE), perc_90, VLOOKUP(H$2, Percentiles!$A$45:$I$59, 7, FALSE), perc_95, VLOOKUP(H$2, Percentiles!$A$45:$I$59, 8, FALSE), perc_85, perc_75 + (perc_90 - perc_75) * (2/3), converted_stat, '2K_Ratings'!H614, IF(bbgm_stat &gt;= perc_95, converted_stat * 3, IF(bbgm_stat &gt;= perc_90, converted_stat * 2, IF(bbgm_stat &gt;= perc_85, converted_stat * 1.5, converted_stat)))))</f>
        <v/>
      </c>
      <c r="I614" s="30" t="str">
        <f t="array" ref="I614">IF($A614="", "", LET(bbgm_stat, INDEX(Players!$A613:$P613, MATCH(I$2, Players!$A$1:$P$1, 0)), perc_75, VLOOKUP(I$2, Percentiles!$A$45:$I$59, 6, FALSE), perc_90, VLOOKUP(I$2, Percentiles!$A$45:$I$59, 7, FALSE), perc_95, VLOOKUP(I$2, Percentiles!$A$45:$I$59, 8, FALSE), perc_85, perc_75 + (perc_90 - perc_75) * (2/3), converted_stat, '2K_Ratings'!I614, IF(bbgm_stat &gt;= perc_95, converted_stat * 3, IF(bbgm_stat &gt;= perc_90, converted_stat * 2, IF(bbgm_stat &gt;= perc_85, converted_stat * 1.5, converted_stat)))))</f>
        <v/>
      </c>
      <c r="J614" s="30" t="str">
        <f t="array" ref="J614">IF($A614="", "", LET(bbgm_stat, INDEX(Players!$A613:$P613, MATCH(J$2, Players!$A$1:$P$1, 0)), perc_75, VLOOKUP(J$2, Percentiles!$A$45:$I$59, 6, FALSE), perc_90, VLOOKUP(J$2, Percentiles!$A$45:$I$59, 7, FALSE), perc_95, VLOOKUP(J$2, Percentiles!$A$45:$I$59, 8, FALSE), perc_85, perc_75 + (perc_90 - perc_75) * (2/3), converted_stat, '2K_Ratings'!J614, IF(bbgm_stat &gt;= perc_95, converted_stat * 3, IF(bbgm_stat &gt;= perc_90, converted_stat * 2, IF(bbgm_stat &gt;= perc_85, converted_stat * 1.5, converted_stat)))))</f>
        <v/>
      </c>
      <c r="K614" s="30" t="str">
        <f t="array" ref="K614">IF($A614="", "", LET(bbgm_stat, INDEX(Players!$A613:$P613, MATCH(K$2, Players!$A$1:$P$1, 0)), perc_75, VLOOKUP(K$2, Percentiles!$A$45:$I$59, 6, FALSE), perc_90, VLOOKUP(K$2, Percentiles!$A$45:$I$59, 7, FALSE), perc_95, VLOOKUP(K$2, Percentiles!$A$45:$I$59, 8, FALSE), perc_85, perc_75 + (perc_90 - perc_75) * (2/3), converted_stat, '2K_Ratings'!K614, IF(bbgm_stat &gt;= perc_95, converted_stat * 3, IF(bbgm_stat &gt;= perc_90, converted_stat * 2, IF(bbgm_stat &gt;= perc_85, converted_stat * 1.5, converted_stat)))))</f>
        <v/>
      </c>
      <c r="L614" s="30" t="str">
        <f t="array" ref="L614">IF($A614="", "", LET(bbgm_stat, INDEX(Players!$A613:$P613, MATCH(L$2, Players!$A$1:$P$1, 0)), perc_75, VLOOKUP(L$2, Percentiles!$A$45:$I$59, 6, FALSE), perc_90, VLOOKUP(L$2, Percentiles!$A$45:$I$59, 7, FALSE), perc_95, VLOOKUP(L$2, Percentiles!$A$45:$I$59, 8, FALSE), perc_85, perc_75 + (perc_90 - perc_75) * (2/3), converted_stat, '2K_Ratings'!L614, IF(bbgm_stat &gt;= perc_95, converted_stat * 3, IF(bbgm_stat &gt;= perc_90, converted_stat * 2, IF(bbgm_stat &gt;= perc_85, converted_stat * 1.5, converted_stat)))))</f>
        <v/>
      </c>
      <c r="M614" s="30" t="str">
        <f t="array" ref="M614">IF($A614="", "", LET(bbgm_stat, INDEX(Players!$A613:$P613, MATCH(M$2, Players!$A$1:$P$1, 0)), perc_75, VLOOKUP(M$2, Percentiles!$A$45:$I$59, 6, FALSE), perc_90, VLOOKUP(M$2, Percentiles!$A$45:$I$59, 7, FALSE), perc_95, VLOOKUP(M$2, Percentiles!$A$45:$I$59, 8, FALSE), perc_85, perc_75 + (perc_90 - perc_75) * (2/3), converted_stat, '2K_Ratings'!M614, IF(bbgm_stat &gt;= perc_95, converted_stat * 3, IF(bbgm_stat &gt;= perc_90, converted_stat * 2, IF(bbgm_stat &gt;= perc_85, converted_stat * 1.5, converted_stat)))))</f>
        <v/>
      </c>
      <c r="N614" s="30" t="str">
        <f t="array" ref="N614">IF($A614="", "", LET(bbgm_stat, INDEX(Players!$A613:$P613, MATCH(N$2, Players!$A$1:$P$1, 0)), perc_75, VLOOKUP(N$2, Percentiles!$A$45:$I$59, 6, FALSE), perc_90, VLOOKUP(N$2, Percentiles!$A$45:$I$59, 7, FALSE), perc_95, VLOOKUP(N$2, Percentiles!$A$45:$I$59, 8, FALSE), perc_85, perc_75 + (perc_90 - perc_75) * (2/3), converted_stat, '2K_Ratings'!N614, IF(bbgm_stat &gt;= perc_95, converted_stat * 3, IF(bbgm_stat &gt;= perc_90, converted_stat * 2, IF(bbgm_stat &gt;= perc_85, converted_stat * 1.5, converted_stat)))))</f>
        <v/>
      </c>
      <c r="O614" s="30" t="str">
        <f t="array" ref="O614">IF($A614="", "", LET(bbgm_stat, INDEX(Players!$A613:$P613, MATCH(O$2, Players!$A$1:$P$1, 0)), perc_75, VLOOKUP(O$2, Percentiles!$A$45:$I$59, 6, FALSE), perc_90, VLOOKUP(O$2, Percentiles!$A$45:$I$59, 7, FALSE), perc_95, VLOOKUP(O$2, Percentiles!$A$45:$I$59, 8, FALSE), perc_85, perc_75 + (perc_90 - perc_75) * (2/3), converted_stat, '2K_Ratings'!O614, IF(bbgm_stat &gt;= perc_95, converted_stat * 3, IF(bbgm_stat &gt;= perc_90, converted_stat * 2, IF(bbgm_stat &gt;= perc_85, converted_stat * 1.5, converted_stat)))))</f>
        <v/>
      </c>
      <c r="P614" s="30" t="str">
        <f t="array" ref="P614">IF($A614="", "", LET(bbgm_stat, INDEX(Players!$A613:$P613, MATCH(P$2, Players!$A$1:$P$1, 0)), perc_75, VLOOKUP(P$2, Percentiles!$A$45:$I$59, 6, FALSE), perc_90, VLOOKUP(P$2, Percentiles!$A$45:$I$59, 7, FALSE), perc_95, VLOOKUP(P$2, Percentiles!$A$45:$I$59, 8, FALSE), perc_85, perc_75 + (perc_90 - perc_75) * (2/3), converted_stat, '2K_Ratings'!P614, IF(bbgm_stat &gt;= perc_95, converted_stat * 3, IF(bbgm_stat &gt;= perc_90, converted_stat * 2, IF(bbgm_stat &gt;= perc_85, converted_stat * 1.5, converted_stat)))))</f>
        <v/>
      </c>
      <c r="Q614" s="30" t="str">
        <f t="array" ref="Q614">IF($A614="", "", LET(bbgm_stat, INDEX(Players!$A613:$P613, MATCH(Q$2, Players!$A$1:$P$1, 0)), perc_75, VLOOKUP(Q$2, Percentiles!$A$45:$I$59, 6, FALSE), perc_90, VLOOKUP(Q$2, Percentiles!$A$45:$I$59, 7, FALSE), perc_95, VLOOKUP(Q$2, Percentiles!$A$45:$I$59, 8, FALSE), perc_85, perc_75 + (perc_90 - perc_75) * (2/3), converted_stat, '2K_Ratings'!Q614, IF(bbgm_stat &gt;= perc_95, converted_stat * 3, IF(bbgm_stat &gt;= perc_90, converted_stat * 2, IF(bbgm_stat &gt;= perc_85, converted_stat * 1.5, converted_stat)))))</f>
        <v/>
      </c>
      <c r="R614" s="30" t="str">
        <f t="array" ref="R614">IF($A614="", "", LET(bbgm_stat, INDEX(Players!$A613:$P613, MATCH(R$2, Players!$A$1:$P$1, 0)), perc_75, VLOOKUP(R$2, Percentiles!$A$45:$I$59, 6, FALSE), perc_90, VLOOKUP(R$2, Percentiles!$A$45:$I$59, 7, FALSE), perc_95, VLOOKUP(R$2, Percentiles!$A$45:$I$59, 8, FALSE), perc_85, perc_75 + (perc_90 - perc_75) * (2/3), converted_stat, '2K_Ratings'!R614, IF(bbgm_stat &gt;= perc_95, converted_stat * 3, IF(bbgm_stat &gt;= perc_90, converted_stat * 2, IF(bbgm_stat &gt;= perc_85, converted_stat * 1.5, converted_stat)))))</f>
        <v/>
      </c>
      <c r="S614" s="30" t="str">
        <f t="array" ref="S614">IF($A614="", "", LET(bbgm_stat, INDEX(Players!$A613:$P613, MATCH(S$2, Players!$A$1:$P$1, 0)), perc_75, VLOOKUP(S$2, Percentiles!$A$45:$I$59, 6, FALSE), perc_90, VLOOKUP(S$2, Percentiles!$A$45:$I$59, 7, FALSE), perc_95, VLOOKUP(S$2, Percentiles!$A$45:$I$59, 8, FALSE), perc_85, perc_75 + (perc_90 - perc_75) * (2/3), converted_stat, '2K_Ratings'!S614, IF(bbgm_stat &gt;= perc_95, converted_stat * 3, IF(bbgm_stat &gt;= perc_90, converted_stat * 2, IF(bbgm_stat &gt;= perc_85, converted_stat * 1.5, converted_stat)))))</f>
        <v/>
      </c>
      <c r="T614" s="30" t="str">
        <f t="array" ref="T614">IF($A614="", "", LET(bbgm_stat, INDEX(Players!$A613:$P613, MATCH(T$2, Players!$A$1:$P$1, 0)), perc_75, VLOOKUP(T$2, Percentiles!$A$45:$I$59, 6, FALSE), perc_90, VLOOKUP(T$2, Percentiles!$A$45:$I$59, 7, FALSE), perc_95, VLOOKUP(T$2, Percentiles!$A$45:$I$59, 8, FALSE), perc_85, perc_75 + (perc_90 - perc_75) * (2/3), converted_stat, '2K_Ratings'!T614, IF(bbgm_stat &gt;= perc_95, converted_stat * 3, IF(bbgm_stat &gt;= perc_90, converted_stat * 2, IF(bbgm_stat &gt;= perc_85, converted_stat * 1.5, converted_stat)))))</f>
        <v/>
      </c>
      <c r="U614" s="30" t="str">
        <f t="array" ref="U614">IF($A614="", "", LET(bbgm_stat, INDEX(Players!$A613:$P613, MATCH(U$2, Players!$A$1:$P$1, 0)), perc_75, VLOOKUP(U$2, Percentiles!$A$45:$I$59, 6, FALSE), perc_90, VLOOKUP(U$2, Percentiles!$A$45:$I$59, 7, FALSE), perc_95, VLOOKUP(U$2, Percentiles!$A$45:$I$59, 8, FALSE), perc_85, perc_75 + (perc_90 - perc_75) * (2/3), converted_stat, '2K_Ratings'!U614, IF(bbgm_stat &gt;= perc_95, converted_stat * 3, IF(bbgm_stat &gt;= perc_90, converted_stat * 2, IF(bbgm_stat &gt;= perc_85, converted_stat * 1.5, converted_stat)))))</f>
        <v/>
      </c>
      <c r="V614" s="30" t="str">
        <f t="array" ref="V614">IF($A614="", "", LET(bbgm_stat, INDEX(Players!$A613:$P613, MATCH(V$2, Players!$A$1:$P$1, 0)), perc_75, VLOOKUP(V$2, Percentiles!$A$45:$I$59, 6, FALSE), perc_90, VLOOKUP(V$2, Percentiles!$A$45:$I$59, 7, FALSE), perc_95, VLOOKUP(V$2, Percentiles!$A$45:$I$59, 8, FALSE), perc_85, perc_75 + (perc_90 - perc_75) * (2/3), converted_stat, '2K_Ratings'!V614, IF(bbgm_stat &gt;= perc_95, converted_stat * 3, IF(bbgm_stat &gt;= perc_90, converted_stat * 2, IF(bbgm_stat &gt;= perc_85, converted_stat * 1.5, converted_stat)))))</f>
        <v/>
      </c>
      <c r="W614" s="30" t="str">
        <f t="array" ref="W614">IF($A614="", "", LET(bbgm_stat, INDEX(Players!$A613:$P613, MATCH(W$2, Players!$A$1:$P$1, 0)), perc_75, VLOOKUP(W$2, Percentiles!$A$45:$I$59, 6, FALSE), perc_90, VLOOKUP(W$2, Percentiles!$A$45:$I$59, 7, FALSE), perc_95, VLOOKUP(W$2, Percentiles!$A$45:$I$59, 8, FALSE), perc_85, perc_75 + (perc_90 - perc_75) * (2/3), converted_stat, '2K_Ratings'!W614, IF(bbgm_stat &gt;= perc_95, converted_stat * 3, IF(bbgm_stat &gt;= perc_90, converted_stat * 2, IF(bbgm_stat &gt;= perc_85, converted_stat * 1.5, converted_stat)))))</f>
        <v/>
      </c>
    </row>
    <row r="615">
      <c r="A615" s="30"/>
      <c r="B615" s="30" t="str">
        <f t="array" ref="B615">IF($A615="", "", LET(bbgm_stat, INDEX(Players!$A614:$P614, MATCH(B$2, Players!$A$1:$P$1, 0)), perc_75, VLOOKUP(B$2, Percentiles!$A$45:$I$59, 6, FALSE), perc_90, VLOOKUP(B$2, Percentiles!$A$45:$I$59, 7, FALSE), perc_95, VLOOKUP(B$2, Percentiles!$A$45:$I$59, 8, FALSE), perc_85, perc_75 + (perc_90 - perc_75) * (2/3), converted_stat, '2K_Ratings'!B615, IF(bbgm_stat &gt;= perc_95, converted_stat * 3, IF(bbgm_stat &gt;= perc_90, converted_stat * 2, IF(bbgm_stat &gt;= perc_85, converted_stat * 1.5, converted_stat)))))</f>
        <v/>
      </c>
      <c r="C615" s="30" t="str">
        <f t="array" ref="C615">IF($A615="", "", LET(bbgm_stat, INDEX(Players!$A614:$P614, MATCH(C$2, Players!$A$1:$P$1, 0)), perc_75, VLOOKUP(C$2, Percentiles!$A$45:$I$59, 6, FALSE), perc_90, VLOOKUP(C$2, Percentiles!$A$45:$I$59, 7, FALSE), perc_95, VLOOKUP(C$2, Percentiles!$A$45:$I$59, 8, FALSE), perc_85, perc_75 + (perc_90 - perc_75) * (2/3), converted_stat, '2K_Ratings'!C615, IF(bbgm_stat &gt;= perc_95, converted_stat * 3, IF(bbgm_stat &gt;= perc_90, converted_stat * 2, IF(bbgm_stat &gt;= perc_85, converted_stat * 1.5, converted_stat)))))</f>
        <v/>
      </c>
      <c r="D615" s="30" t="str">
        <f t="array" ref="D615">IF($A615="", "", LET(bbgm_stat, INDEX(Players!$A614:$P614, MATCH(D$2, Players!$A$1:$P$1, 0)), perc_75, VLOOKUP(D$2, Percentiles!$A$45:$I$59, 6, FALSE), perc_90, VLOOKUP(D$2, Percentiles!$A$45:$I$59, 7, FALSE), perc_95, VLOOKUP(D$2, Percentiles!$A$45:$I$59, 8, FALSE), perc_85, perc_75 + (perc_90 - perc_75) * (2/3), converted_stat, '2K_Ratings'!D615, IF(bbgm_stat &gt;= perc_95, converted_stat * 3, IF(bbgm_stat &gt;= perc_90, converted_stat * 2, IF(bbgm_stat &gt;= perc_85, converted_stat * 1.5, converted_stat)))))</f>
        <v/>
      </c>
      <c r="E615" s="30" t="str">
        <f t="array" ref="E615">IF($A615="", "", LET(bbgm_stat, INDEX(Players!$A614:$P614, MATCH(E$2, Players!$A$1:$P$1, 0)), perc_75, VLOOKUP(E$2, Percentiles!$A$45:$I$59, 6, FALSE), perc_90, VLOOKUP(E$2, Percentiles!$A$45:$I$59, 7, FALSE), perc_95, VLOOKUP(E$2, Percentiles!$A$45:$I$59, 8, FALSE), perc_85, perc_75 + (perc_90 - perc_75) * (2/3), converted_stat, '2K_Ratings'!E615, IF(bbgm_stat &gt;= perc_95, converted_stat * 3, IF(bbgm_stat &gt;= perc_90, converted_stat * 2, IF(bbgm_stat &gt;= perc_85, converted_stat * 1.5, converted_stat)))))</f>
        <v/>
      </c>
      <c r="F615" s="30" t="str">
        <f t="array" ref="F615">IF($A615="", "", LET(bbgm_stat, INDEX(Players!$A614:$P614, MATCH(F$2, Players!$A$1:$P$1, 0)), perc_75, VLOOKUP(F$2, Percentiles!$A$45:$I$59, 6, FALSE), perc_90, VLOOKUP(F$2, Percentiles!$A$45:$I$59, 7, FALSE), perc_95, VLOOKUP(F$2, Percentiles!$A$45:$I$59, 8, FALSE), perc_85, perc_75 + (perc_90 - perc_75) * (2/3), converted_stat, '2K_Ratings'!F615, IF(bbgm_stat &gt;= perc_95, converted_stat * 3, IF(bbgm_stat &gt;= perc_90, converted_stat * 2, IF(bbgm_stat &gt;= perc_85, converted_stat * 1.5, converted_stat)))))</f>
        <v/>
      </c>
      <c r="G615" s="30" t="str">
        <f t="array" ref="G615">IF($A615="", "", LET(bbgm_stat, INDEX(Players!$A614:$P614, MATCH(G$2, Players!$A$1:$P$1, 0)), perc_75, VLOOKUP(G$2, Percentiles!$A$45:$I$59, 6, FALSE), perc_90, VLOOKUP(G$2, Percentiles!$A$45:$I$59, 7, FALSE), perc_95, VLOOKUP(G$2, Percentiles!$A$45:$I$59, 8, FALSE), perc_85, perc_75 + (perc_90 - perc_75) * (2/3), converted_stat, '2K_Ratings'!G615, IF(bbgm_stat &gt;= perc_95, converted_stat * 3, IF(bbgm_stat &gt;= perc_90, converted_stat * 2, IF(bbgm_stat &gt;= perc_85, converted_stat * 1.5, converted_stat)))))</f>
        <v/>
      </c>
      <c r="H615" s="30" t="str">
        <f t="array" ref="H615">IF($A615="", "", LET(bbgm_stat, INDEX(Players!$A614:$P614, MATCH(H$2, Players!$A$1:$P$1, 0)), perc_75, VLOOKUP(H$2, Percentiles!$A$45:$I$59, 6, FALSE), perc_90, VLOOKUP(H$2, Percentiles!$A$45:$I$59, 7, FALSE), perc_95, VLOOKUP(H$2, Percentiles!$A$45:$I$59, 8, FALSE), perc_85, perc_75 + (perc_90 - perc_75) * (2/3), converted_stat, '2K_Ratings'!H615, IF(bbgm_stat &gt;= perc_95, converted_stat * 3, IF(bbgm_stat &gt;= perc_90, converted_stat * 2, IF(bbgm_stat &gt;= perc_85, converted_stat * 1.5, converted_stat)))))</f>
        <v/>
      </c>
      <c r="I615" s="30" t="str">
        <f t="array" ref="I615">IF($A615="", "", LET(bbgm_stat, INDEX(Players!$A614:$P614, MATCH(I$2, Players!$A$1:$P$1, 0)), perc_75, VLOOKUP(I$2, Percentiles!$A$45:$I$59, 6, FALSE), perc_90, VLOOKUP(I$2, Percentiles!$A$45:$I$59, 7, FALSE), perc_95, VLOOKUP(I$2, Percentiles!$A$45:$I$59, 8, FALSE), perc_85, perc_75 + (perc_90 - perc_75) * (2/3), converted_stat, '2K_Ratings'!I615, IF(bbgm_stat &gt;= perc_95, converted_stat * 3, IF(bbgm_stat &gt;= perc_90, converted_stat * 2, IF(bbgm_stat &gt;= perc_85, converted_stat * 1.5, converted_stat)))))</f>
        <v/>
      </c>
      <c r="J615" s="30" t="str">
        <f t="array" ref="J615">IF($A615="", "", LET(bbgm_stat, INDEX(Players!$A614:$P614, MATCH(J$2, Players!$A$1:$P$1, 0)), perc_75, VLOOKUP(J$2, Percentiles!$A$45:$I$59, 6, FALSE), perc_90, VLOOKUP(J$2, Percentiles!$A$45:$I$59, 7, FALSE), perc_95, VLOOKUP(J$2, Percentiles!$A$45:$I$59, 8, FALSE), perc_85, perc_75 + (perc_90 - perc_75) * (2/3), converted_stat, '2K_Ratings'!J615, IF(bbgm_stat &gt;= perc_95, converted_stat * 3, IF(bbgm_stat &gt;= perc_90, converted_stat * 2, IF(bbgm_stat &gt;= perc_85, converted_stat * 1.5, converted_stat)))))</f>
        <v/>
      </c>
      <c r="K615" s="30" t="str">
        <f t="array" ref="K615">IF($A615="", "", LET(bbgm_stat, INDEX(Players!$A614:$P614, MATCH(K$2, Players!$A$1:$P$1, 0)), perc_75, VLOOKUP(K$2, Percentiles!$A$45:$I$59, 6, FALSE), perc_90, VLOOKUP(K$2, Percentiles!$A$45:$I$59, 7, FALSE), perc_95, VLOOKUP(K$2, Percentiles!$A$45:$I$59, 8, FALSE), perc_85, perc_75 + (perc_90 - perc_75) * (2/3), converted_stat, '2K_Ratings'!K615, IF(bbgm_stat &gt;= perc_95, converted_stat * 3, IF(bbgm_stat &gt;= perc_90, converted_stat * 2, IF(bbgm_stat &gt;= perc_85, converted_stat * 1.5, converted_stat)))))</f>
        <v/>
      </c>
      <c r="L615" s="30" t="str">
        <f t="array" ref="L615">IF($A615="", "", LET(bbgm_stat, INDEX(Players!$A614:$P614, MATCH(L$2, Players!$A$1:$P$1, 0)), perc_75, VLOOKUP(L$2, Percentiles!$A$45:$I$59, 6, FALSE), perc_90, VLOOKUP(L$2, Percentiles!$A$45:$I$59, 7, FALSE), perc_95, VLOOKUP(L$2, Percentiles!$A$45:$I$59, 8, FALSE), perc_85, perc_75 + (perc_90 - perc_75) * (2/3), converted_stat, '2K_Ratings'!L615, IF(bbgm_stat &gt;= perc_95, converted_stat * 3, IF(bbgm_stat &gt;= perc_90, converted_stat * 2, IF(bbgm_stat &gt;= perc_85, converted_stat * 1.5, converted_stat)))))</f>
        <v/>
      </c>
      <c r="M615" s="30" t="str">
        <f t="array" ref="M615">IF($A615="", "", LET(bbgm_stat, INDEX(Players!$A614:$P614, MATCH(M$2, Players!$A$1:$P$1, 0)), perc_75, VLOOKUP(M$2, Percentiles!$A$45:$I$59, 6, FALSE), perc_90, VLOOKUP(M$2, Percentiles!$A$45:$I$59, 7, FALSE), perc_95, VLOOKUP(M$2, Percentiles!$A$45:$I$59, 8, FALSE), perc_85, perc_75 + (perc_90 - perc_75) * (2/3), converted_stat, '2K_Ratings'!M615, IF(bbgm_stat &gt;= perc_95, converted_stat * 3, IF(bbgm_stat &gt;= perc_90, converted_stat * 2, IF(bbgm_stat &gt;= perc_85, converted_stat * 1.5, converted_stat)))))</f>
        <v/>
      </c>
      <c r="N615" s="30" t="str">
        <f t="array" ref="N615">IF($A615="", "", LET(bbgm_stat, INDEX(Players!$A614:$P614, MATCH(N$2, Players!$A$1:$P$1, 0)), perc_75, VLOOKUP(N$2, Percentiles!$A$45:$I$59, 6, FALSE), perc_90, VLOOKUP(N$2, Percentiles!$A$45:$I$59, 7, FALSE), perc_95, VLOOKUP(N$2, Percentiles!$A$45:$I$59, 8, FALSE), perc_85, perc_75 + (perc_90 - perc_75) * (2/3), converted_stat, '2K_Ratings'!N615, IF(bbgm_stat &gt;= perc_95, converted_stat * 3, IF(bbgm_stat &gt;= perc_90, converted_stat * 2, IF(bbgm_stat &gt;= perc_85, converted_stat * 1.5, converted_stat)))))</f>
        <v/>
      </c>
      <c r="O615" s="30" t="str">
        <f t="array" ref="O615">IF($A615="", "", LET(bbgm_stat, INDEX(Players!$A614:$P614, MATCH(O$2, Players!$A$1:$P$1, 0)), perc_75, VLOOKUP(O$2, Percentiles!$A$45:$I$59, 6, FALSE), perc_90, VLOOKUP(O$2, Percentiles!$A$45:$I$59, 7, FALSE), perc_95, VLOOKUP(O$2, Percentiles!$A$45:$I$59, 8, FALSE), perc_85, perc_75 + (perc_90 - perc_75) * (2/3), converted_stat, '2K_Ratings'!O615, IF(bbgm_stat &gt;= perc_95, converted_stat * 3, IF(bbgm_stat &gt;= perc_90, converted_stat * 2, IF(bbgm_stat &gt;= perc_85, converted_stat * 1.5, converted_stat)))))</f>
        <v/>
      </c>
      <c r="P615" s="30" t="str">
        <f t="array" ref="P615">IF($A615="", "", LET(bbgm_stat, INDEX(Players!$A614:$P614, MATCH(P$2, Players!$A$1:$P$1, 0)), perc_75, VLOOKUP(P$2, Percentiles!$A$45:$I$59, 6, FALSE), perc_90, VLOOKUP(P$2, Percentiles!$A$45:$I$59, 7, FALSE), perc_95, VLOOKUP(P$2, Percentiles!$A$45:$I$59, 8, FALSE), perc_85, perc_75 + (perc_90 - perc_75) * (2/3), converted_stat, '2K_Ratings'!P615, IF(bbgm_stat &gt;= perc_95, converted_stat * 3, IF(bbgm_stat &gt;= perc_90, converted_stat * 2, IF(bbgm_stat &gt;= perc_85, converted_stat * 1.5, converted_stat)))))</f>
        <v/>
      </c>
      <c r="Q615" s="30" t="str">
        <f t="array" ref="Q615">IF($A615="", "", LET(bbgm_stat, INDEX(Players!$A614:$P614, MATCH(Q$2, Players!$A$1:$P$1, 0)), perc_75, VLOOKUP(Q$2, Percentiles!$A$45:$I$59, 6, FALSE), perc_90, VLOOKUP(Q$2, Percentiles!$A$45:$I$59, 7, FALSE), perc_95, VLOOKUP(Q$2, Percentiles!$A$45:$I$59, 8, FALSE), perc_85, perc_75 + (perc_90 - perc_75) * (2/3), converted_stat, '2K_Ratings'!Q615, IF(bbgm_stat &gt;= perc_95, converted_stat * 3, IF(bbgm_stat &gt;= perc_90, converted_stat * 2, IF(bbgm_stat &gt;= perc_85, converted_stat * 1.5, converted_stat)))))</f>
        <v/>
      </c>
      <c r="R615" s="30" t="str">
        <f t="array" ref="R615">IF($A615="", "", LET(bbgm_stat, INDEX(Players!$A614:$P614, MATCH(R$2, Players!$A$1:$P$1, 0)), perc_75, VLOOKUP(R$2, Percentiles!$A$45:$I$59, 6, FALSE), perc_90, VLOOKUP(R$2, Percentiles!$A$45:$I$59, 7, FALSE), perc_95, VLOOKUP(R$2, Percentiles!$A$45:$I$59, 8, FALSE), perc_85, perc_75 + (perc_90 - perc_75) * (2/3), converted_stat, '2K_Ratings'!R615, IF(bbgm_stat &gt;= perc_95, converted_stat * 3, IF(bbgm_stat &gt;= perc_90, converted_stat * 2, IF(bbgm_stat &gt;= perc_85, converted_stat * 1.5, converted_stat)))))</f>
        <v/>
      </c>
      <c r="S615" s="30" t="str">
        <f t="array" ref="S615">IF($A615="", "", LET(bbgm_stat, INDEX(Players!$A614:$P614, MATCH(S$2, Players!$A$1:$P$1, 0)), perc_75, VLOOKUP(S$2, Percentiles!$A$45:$I$59, 6, FALSE), perc_90, VLOOKUP(S$2, Percentiles!$A$45:$I$59, 7, FALSE), perc_95, VLOOKUP(S$2, Percentiles!$A$45:$I$59, 8, FALSE), perc_85, perc_75 + (perc_90 - perc_75) * (2/3), converted_stat, '2K_Ratings'!S615, IF(bbgm_stat &gt;= perc_95, converted_stat * 3, IF(bbgm_stat &gt;= perc_90, converted_stat * 2, IF(bbgm_stat &gt;= perc_85, converted_stat * 1.5, converted_stat)))))</f>
        <v/>
      </c>
      <c r="T615" s="30" t="str">
        <f t="array" ref="T615">IF($A615="", "", LET(bbgm_stat, INDEX(Players!$A614:$P614, MATCH(T$2, Players!$A$1:$P$1, 0)), perc_75, VLOOKUP(T$2, Percentiles!$A$45:$I$59, 6, FALSE), perc_90, VLOOKUP(T$2, Percentiles!$A$45:$I$59, 7, FALSE), perc_95, VLOOKUP(T$2, Percentiles!$A$45:$I$59, 8, FALSE), perc_85, perc_75 + (perc_90 - perc_75) * (2/3), converted_stat, '2K_Ratings'!T615, IF(bbgm_stat &gt;= perc_95, converted_stat * 3, IF(bbgm_stat &gt;= perc_90, converted_stat * 2, IF(bbgm_stat &gt;= perc_85, converted_stat * 1.5, converted_stat)))))</f>
        <v/>
      </c>
      <c r="U615" s="30" t="str">
        <f t="array" ref="U615">IF($A615="", "", LET(bbgm_stat, INDEX(Players!$A614:$P614, MATCH(U$2, Players!$A$1:$P$1, 0)), perc_75, VLOOKUP(U$2, Percentiles!$A$45:$I$59, 6, FALSE), perc_90, VLOOKUP(U$2, Percentiles!$A$45:$I$59, 7, FALSE), perc_95, VLOOKUP(U$2, Percentiles!$A$45:$I$59, 8, FALSE), perc_85, perc_75 + (perc_90 - perc_75) * (2/3), converted_stat, '2K_Ratings'!U615, IF(bbgm_stat &gt;= perc_95, converted_stat * 3, IF(bbgm_stat &gt;= perc_90, converted_stat * 2, IF(bbgm_stat &gt;= perc_85, converted_stat * 1.5, converted_stat)))))</f>
        <v/>
      </c>
      <c r="V615" s="30" t="str">
        <f t="array" ref="V615">IF($A615="", "", LET(bbgm_stat, INDEX(Players!$A614:$P614, MATCH(V$2, Players!$A$1:$P$1, 0)), perc_75, VLOOKUP(V$2, Percentiles!$A$45:$I$59, 6, FALSE), perc_90, VLOOKUP(V$2, Percentiles!$A$45:$I$59, 7, FALSE), perc_95, VLOOKUP(V$2, Percentiles!$A$45:$I$59, 8, FALSE), perc_85, perc_75 + (perc_90 - perc_75) * (2/3), converted_stat, '2K_Ratings'!V615, IF(bbgm_stat &gt;= perc_95, converted_stat * 3, IF(bbgm_stat &gt;= perc_90, converted_stat * 2, IF(bbgm_stat &gt;= perc_85, converted_stat * 1.5, converted_stat)))))</f>
        <v/>
      </c>
      <c r="W615" s="30" t="str">
        <f t="array" ref="W615">IF($A615="", "", LET(bbgm_stat, INDEX(Players!$A614:$P614, MATCH(W$2, Players!$A$1:$P$1, 0)), perc_75, VLOOKUP(W$2, Percentiles!$A$45:$I$59, 6, FALSE), perc_90, VLOOKUP(W$2, Percentiles!$A$45:$I$59, 7, FALSE), perc_95, VLOOKUP(W$2, Percentiles!$A$45:$I$59, 8, FALSE), perc_85, perc_75 + (perc_90 - perc_75) * (2/3), converted_stat, '2K_Ratings'!W615, IF(bbgm_stat &gt;= perc_95, converted_stat * 3, IF(bbgm_stat &gt;= perc_90, converted_stat * 2, IF(bbgm_stat &gt;= perc_85, converted_stat * 1.5, converted_stat)))))</f>
        <v/>
      </c>
    </row>
    <row r="616">
      <c r="A616" s="30"/>
      <c r="B616" s="30" t="str">
        <f t="array" ref="B616">IF($A616="", "", LET(bbgm_stat, INDEX(Players!$A615:$P615, MATCH(B$2, Players!$A$1:$P$1, 0)), perc_75, VLOOKUP(B$2, Percentiles!$A$45:$I$59, 6, FALSE), perc_90, VLOOKUP(B$2, Percentiles!$A$45:$I$59, 7, FALSE), perc_95, VLOOKUP(B$2, Percentiles!$A$45:$I$59, 8, FALSE), perc_85, perc_75 + (perc_90 - perc_75) * (2/3), converted_stat, '2K_Ratings'!B616, IF(bbgm_stat &gt;= perc_95, converted_stat * 3, IF(bbgm_stat &gt;= perc_90, converted_stat * 2, IF(bbgm_stat &gt;= perc_85, converted_stat * 1.5, converted_stat)))))</f>
        <v/>
      </c>
      <c r="C616" s="30" t="str">
        <f t="array" ref="C616">IF($A616="", "", LET(bbgm_stat, INDEX(Players!$A615:$P615, MATCH(C$2, Players!$A$1:$P$1, 0)), perc_75, VLOOKUP(C$2, Percentiles!$A$45:$I$59, 6, FALSE), perc_90, VLOOKUP(C$2, Percentiles!$A$45:$I$59, 7, FALSE), perc_95, VLOOKUP(C$2, Percentiles!$A$45:$I$59, 8, FALSE), perc_85, perc_75 + (perc_90 - perc_75) * (2/3), converted_stat, '2K_Ratings'!C616, IF(bbgm_stat &gt;= perc_95, converted_stat * 3, IF(bbgm_stat &gt;= perc_90, converted_stat * 2, IF(bbgm_stat &gt;= perc_85, converted_stat * 1.5, converted_stat)))))</f>
        <v/>
      </c>
      <c r="D616" s="30" t="str">
        <f t="array" ref="D616">IF($A616="", "", LET(bbgm_stat, INDEX(Players!$A615:$P615, MATCH(D$2, Players!$A$1:$P$1, 0)), perc_75, VLOOKUP(D$2, Percentiles!$A$45:$I$59, 6, FALSE), perc_90, VLOOKUP(D$2, Percentiles!$A$45:$I$59, 7, FALSE), perc_95, VLOOKUP(D$2, Percentiles!$A$45:$I$59, 8, FALSE), perc_85, perc_75 + (perc_90 - perc_75) * (2/3), converted_stat, '2K_Ratings'!D616, IF(bbgm_stat &gt;= perc_95, converted_stat * 3, IF(bbgm_stat &gt;= perc_90, converted_stat * 2, IF(bbgm_stat &gt;= perc_85, converted_stat * 1.5, converted_stat)))))</f>
        <v/>
      </c>
      <c r="E616" s="30" t="str">
        <f t="array" ref="E616">IF($A616="", "", LET(bbgm_stat, INDEX(Players!$A615:$P615, MATCH(E$2, Players!$A$1:$P$1, 0)), perc_75, VLOOKUP(E$2, Percentiles!$A$45:$I$59, 6, FALSE), perc_90, VLOOKUP(E$2, Percentiles!$A$45:$I$59, 7, FALSE), perc_95, VLOOKUP(E$2, Percentiles!$A$45:$I$59, 8, FALSE), perc_85, perc_75 + (perc_90 - perc_75) * (2/3), converted_stat, '2K_Ratings'!E616, IF(bbgm_stat &gt;= perc_95, converted_stat * 3, IF(bbgm_stat &gt;= perc_90, converted_stat * 2, IF(bbgm_stat &gt;= perc_85, converted_stat * 1.5, converted_stat)))))</f>
        <v/>
      </c>
      <c r="F616" s="30" t="str">
        <f t="array" ref="F616">IF($A616="", "", LET(bbgm_stat, INDEX(Players!$A615:$P615, MATCH(F$2, Players!$A$1:$P$1, 0)), perc_75, VLOOKUP(F$2, Percentiles!$A$45:$I$59, 6, FALSE), perc_90, VLOOKUP(F$2, Percentiles!$A$45:$I$59, 7, FALSE), perc_95, VLOOKUP(F$2, Percentiles!$A$45:$I$59, 8, FALSE), perc_85, perc_75 + (perc_90 - perc_75) * (2/3), converted_stat, '2K_Ratings'!F616, IF(bbgm_stat &gt;= perc_95, converted_stat * 3, IF(bbgm_stat &gt;= perc_90, converted_stat * 2, IF(bbgm_stat &gt;= perc_85, converted_stat * 1.5, converted_stat)))))</f>
        <v/>
      </c>
      <c r="G616" s="30" t="str">
        <f t="array" ref="G616">IF($A616="", "", LET(bbgm_stat, INDEX(Players!$A615:$P615, MATCH(G$2, Players!$A$1:$P$1, 0)), perc_75, VLOOKUP(G$2, Percentiles!$A$45:$I$59, 6, FALSE), perc_90, VLOOKUP(G$2, Percentiles!$A$45:$I$59, 7, FALSE), perc_95, VLOOKUP(G$2, Percentiles!$A$45:$I$59, 8, FALSE), perc_85, perc_75 + (perc_90 - perc_75) * (2/3), converted_stat, '2K_Ratings'!G616, IF(bbgm_stat &gt;= perc_95, converted_stat * 3, IF(bbgm_stat &gt;= perc_90, converted_stat * 2, IF(bbgm_stat &gt;= perc_85, converted_stat * 1.5, converted_stat)))))</f>
        <v/>
      </c>
      <c r="H616" s="30" t="str">
        <f t="array" ref="H616">IF($A616="", "", LET(bbgm_stat, INDEX(Players!$A615:$P615, MATCH(H$2, Players!$A$1:$P$1, 0)), perc_75, VLOOKUP(H$2, Percentiles!$A$45:$I$59, 6, FALSE), perc_90, VLOOKUP(H$2, Percentiles!$A$45:$I$59, 7, FALSE), perc_95, VLOOKUP(H$2, Percentiles!$A$45:$I$59, 8, FALSE), perc_85, perc_75 + (perc_90 - perc_75) * (2/3), converted_stat, '2K_Ratings'!H616, IF(bbgm_stat &gt;= perc_95, converted_stat * 3, IF(bbgm_stat &gt;= perc_90, converted_stat * 2, IF(bbgm_stat &gt;= perc_85, converted_stat * 1.5, converted_stat)))))</f>
        <v/>
      </c>
      <c r="I616" s="30" t="str">
        <f t="array" ref="I616">IF($A616="", "", LET(bbgm_stat, INDEX(Players!$A615:$P615, MATCH(I$2, Players!$A$1:$P$1, 0)), perc_75, VLOOKUP(I$2, Percentiles!$A$45:$I$59, 6, FALSE), perc_90, VLOOKUP(I$2, Percentiles!$A$45:$I$59, 7, FALSE), perc_95, VLOOKUP(I$2, Percentiles!$A$45:$I$59, 8, FALSE), perc_85, perc_75 + (perc_90 - perc_75) * (2/3), converted_stat, '2K_Ratings'!I616, IF(bbgm_stat &gt;= perc_95, converted_stat * 3, IF(bbgm_stat &gt;= perc_90, converted_stat * 2, IF(bbgm_stat &gt;= perc_85, converted_stat * 1.5, converted_stat)))))</f>
        <v/>
      </c>
      <c r="J616" s="30" t="str">
        <f t="array" ref="J616">IF($A616="", "", LET(bbgm_stat, INDEX(Players!$A615:$P615, MATCH(J$2, Players!$A$1:$P$1, 0)), perc_75, VLOOKUP(J$2, Percentiles!$A$45:$I$59, 6, FALSE), perc_90, VLOOKUP(J$2, Percentiles!$A$45:$I$59, 7, FALSE), perc_95, VLOOKUP(J$2, Percentiles!$A$45:$I$59, 8, FALSE), perc_85, perc_75 + (perc_90 - perc_75) * (2/3), converted_stat, '2K_Ratings'!J616, IF(bbgm_stat &gt;= perc_95, converted_stat * 3, IF(bbgm_stat &gt;= perc_90, converted_stat * 2, IF(bbgm_stat &gt;= perc_85, converted_stat * 1.5, converted_stat)))))</f>
        <v/>
      </c>
      <c r="K616" s="30" t="str">
        <f t="array" ref="K616">IF($A616="", "", LET(bbgm_stat, INDEX(Players!$A615:$P615, MATCH(K$2, Players!$A$1:$P$1, 0)), perc_75, VLOOKUP(K$2, Percentiles!$A$45:$I$59, 6, FALSE), perc_90, VLOOKUP(K$2, Percentiles!$A$45:$I$59, 7, FALSE), perc_95, VLOOKUP(K$2, Percentiles!$A$45:$I$59, 8, FALSE), perc_85, perc_75 + (perc_90 - perc_75) * (2/3), converted_stat, '2K_Ratings'!K616, IF(bbgm_stat &gt;= perc_95, converted_stat * 3, IF(bbgm_stat &gt;= perc_90, converted_stat * 2, IF(bbgm_stat &gt;= perc_85, converted_stat * 1.5, converted_stat)))))</f>
        <v/>
      </c>
      <c r="L616" s="30" t="str">
        <f t="array" ref="L616">IF($A616="", "", LET(bbgm_stat, INDEX(Players!$A615:$P615, MATCH(L$2, Players!$A$1:$P$1, 0)), perc_75, VLOOKUP(L$2, Percentiles!$A$45:$I$59, 6, FALSE), perc_90, VLOOKUP(L$2, Percentiles!$A$45:$I$59, 7, FALSE), perc_95, VLOOKUP(L$2, Percentiles!$A$45:$I$59, 8, FALSE), perc_85, perc_75 + (perc_90 - perc_75) * (2/3), converted_stat, '2K_Ratings'!L616, IF(bbgm_stat &gt;= perc_95, converted_stat * 3, IF(bbgm_stat &gt;= perc_90, converted_stat * 2, IF(bbgm_stat &gt;= perc_85, converted_stat * 1.5, converted_stat)))))</f>
        <v/>
      </c>
      <c r="M616" s="30" t="str">
        <f t="array" ref="M616">IF($A616="", "", LET(bbgm_stat, INDEX(Players!$A615:$P615, MATCH(M$2, Players!$A$1:$P$1, 0)), perc_75, VLOOKUP(M$2, Percentiles!$A$45:$I$59, 6, FALSE), perc_90, VLOOKUP(M$2, Percentiles!$A$45:$I$59, 7, FALSE), perc_95, VLOOKUP(M$2, Percentiles!$A$45:$I$59, 8, FALSE), perc_85, perc_75 + (perc_90 - perc_75) * (2/3), converted_stat, '2K_Ratings'!M616, IF(bbgm_stat &gt;= perc_95, converted_stat * 3, IF(bbgm_stat &gt;= perc_90, converted_stat * 2, IF(bbgm_stat &gt;= perc_85, converted_stat * 1.5, converted_stat)))))</f>
        <v/>
      </c>
      <c r="N616" s="30" t="str">
        <f t="array" ref="N616">IF($A616="", "", LET(bbgm_stat, INDEX(Players!$A615:$P615, MATCH(N$2, Players!$A$1:$P$1, 0)), perc_75, VLOOKUP(N$2, Percentiles!$A$45:$I$59, 6, FALSE), perc_90, VLOOKUP(N$2, Percentiles!$A$45:$I$59, 7, FALSE), perc_95, VLOOKUP(N$2, Percentiles!$A$45:$I$59, 8, FALSE), perc_85, perc_75 + (perc_90 - perc_75) * (2/3), converted_stat, '2K_Ratings'!N616, IF(bbgm_stat &gt;= perc_95, converted_stat * 3, IF(bbgm_stat &gt;= perc_90, converted_stat * 2, IF(bbgm_stat &gt;= perc_85, converted_stat * 1.5, converted_stat)))))</f>
        <v/>
      </c>
      <c r="O616" s="30" t="str">
        <f t="array" ref="O616">IF($A616="", "", LET(bbgm_stat, INDEX(Players!$A615:$P615, MATCH(O$2, Players!$A$1:$P$1, 0)), perc_75, VLOOKUP(O$2, Percentiles!$A$45:$I$59, 6, FALSE), perc_90, VLOOKUP(O$2, Percentiles!$A$45:$I$59, 7, FALSE), perc_95, VLOOKUP(O$2, Percentiles!$A$45:$I$59, 8, FALSE), perc_85, perc_75 + (perc_90 - perc_75) * (2/3), converted_stat, '2K_Ratings'!O616, IF(bbgm_stat &gt;= perc_95, converted_stat * 3, IF(bbgm_stat &gt;= perc_90, converted_stat * 2, IF(bbgm_stat &gt;= perc_85, converted_stat * 1.5, converted_stat)))))</f>
        <v/>
      </c>
      <c r="P616" s="30" t="str">
        <f t="array" ref="P616">IF($A616="", "", LET(bbgm_stat, INDEX(Players!$A615:$P615, MATCH(P$2, Players!$A$1:$P$1, 0)), perc_75, VLOOKUP(P$2, Percentiles!$A$45:$I$59, 6, FALSE), perc_90, VLOOKUP(P$2, Percentiles!$A$45:$I$59, 7, FALSE), perc_95, VLOOKUP(P$2, Percentiles!$A$45:$I$59, 8, FALSE), perc_85, perc_75 + (perc_90 - perc_75) * (2/3), converted_stat, '2K_Ratings'!P616, IF(bbgm_stat &gt;= perc_95, converted_stat * 3, IF(bbgm_stat &gt;= perc_90, converted_stat * 2, IF(bbgm_stat &gt;= perc_85, converted_stat * 1.5, converted_stat)))))</f>
        <v/>
      </c>
      <c r="Q616" s="30" t="str">
        <f t="array" ref="Q616">IF($A616="", "", LET(bbgm_stat, INDEX(Players!$A615:$P615, MATCH(Q$2, Players!$A$1:$P$1, 0)), perc_75, VLOOKUP(Q$2, Percentiles!$A$45:$I$59, 6, FALSE), perc_90, VLOOKUP(Q$2, Percentiles!$A$45:$I$59, 7, FALSE), perc_95, VLOOKUP(Q$2, Percentiles!$A$45:$I$59, 8, FALSE), perc_85, perc_75 + (perc_90 - perc_75) * (2/3), converted_stat, '2K_Ratings'!Q616, IF(bbgm_stat &gt;= perc_95, converted_stat * 3, IF(bbgm_stat &gt;= perc_90, converted_stat * 2, IF(bbgm_stat &gt;= perc_85, converted_stat * 1.5, converted_stat)))))</f>
        <v/>
      </c>
      <c r="R616" s="30" t="str">
        <f t="array" ref="R616">IF($A616="", "", LET(bbgm_stat, INDEX(Players!$A615:$P615, MATCH(R$2, Players!$A$1:$P$1, 0)), perc_75, VLOOKUP(R$2, Percentiles!$A$45:$I$59, 6, FALSE), perc_90, VLOOKUP(R$2, Percentiles!$A$45:$I$59, 7, FALSE), perc_95, VLOOKUP(R$2, Percentiles!$A$45:$I$59, 8, FALSE), perc_85, perc_75 + (perc_90 - perc_75) * (2/3), converted_stat, '2K_Ratings'!R616, IF(bbgm_stat &gt;= perc_95, converted_stat * 3, IF(bbgm_stat &gt;= perc_90, converted_stat * 2, IF(bbgm_stat &gt;= perc_85, converted_stat * 1.5, converted_stat)))))</f>
        <v/>
      </c>
      <c r="S616" s="30" t="str">
        <f t="array" ref="S616">IF($A616="", "", LET(bbgm_stat, INDEX(Players!$A615:$P615, MATCH(S$2, Players!$A$1:$P$1, 0)), perc_75, VLOOKUP(S$2, Percentiles!$A$45:$I$59, 6, FALSE), perc_90, VLOOKUP(S$2, Percentiles!$A$45:$I$59, 7, FALSE), perc_95, VLOOKUP(S$2, Percentiles!$A$45:$I$59, 8, FALSE), perc_85, perc_75 + (perc_90 - perc_75) * (2/3), converted_stat, '2K_Ratings'!S616, IF(bbgm_stat &gt;= perc_95, converted_stat * 3, IF(bbgm_stat &gt;= perc_90, converted_stat * 2, IF(bbgm_stat &gt;= perc_85, converted_stat * 1.5, converted_stat)))))</f>
        <v/>
      </c>
      <c r="T616" s="30" t="str">
        <f t="array" ref="T616">IF($A616="", "", LET(bbgm_stat, INDEX(Players!$A615:$P615, MATCH(T$2, Players!$A$1:$P$1, 0)), perc_75, VLOOKUP(T$2, Percentiles!$A$45:$I$59, 6, FALSE), perc_90, VLOOKUP(T$2, Percentiles!$A$45:$I$59, 7, FALSE), perc_95, VLOOKUP(T$2, Percentiles!$A$45:$I$59, 8, FALSE), perc_85, perc_75 + (perc_90 - perc_75) * (2/3), converted_stat, '2K_Ratings'!T616, IF(bbgm_stat &gt;= perc_95, converted_stat * 3, IF(bbgm_stat &gt;= perc_90, converted_stat * 2, IF(bbgm_stat &gt;= perc_85, converted_stat * 1.5, converted_stat)))))</f>
        <v/>
      </c>
      <c r="U616" s="30" t="str">
        <f t="array" ref="U616">IF($A616="", "", LET(bbgm_stat, INDEX(Players!$A615:$P615, MATCH(U$2, Players!$A$1:$P$1, 0)), perc_75, VLOOKUP(U$2, Percentiles!$A$45:$I$59, 6, FALSE), perc_90, VLOOKUP(U$2, Percentiles!$A$45:$I$59, 7, FALSE), perc_95, VLOOKUP(U$2, Percentiles!$A$45:$I$59, 8, FALSE), perc_85, perc_75 + (perc_90 - perc_75) * (2/3), converted_stat, '2K_Ratings'!U616, IF(bbgm_stat &gt;= perc_95, converted_stat * 3, IF(bbgm_stat &gt;= perc_90, converted_stat * 2, IF(bbgm_stat &gt;= perc_85, converted_stat * 1.5, converted_stat)))))</f>
        <v/>
      </c>
      <c r="V616" s="30" t="str">
        <f t="array" ref="V616">IF($A616="", "", LET(bbgm_stat, INDEX(Players!$A615:$P615, MATCH(V$2, Players!$A$1:$P$1, 0)), perc_75, VLOOKUP(V$2, Percentiles!$A$45:$I$59, 6, FALSE), perc_90, VLOOKUP(V$2, Percentiles!$A$45:$I$59, 7, FALSE), perc_95, VLOOKUP(V$2, Percentiles!$A$45:$I$59, 8, FALSE), perc_85, perc_75 + (perc_90 - perc_75) * (2/3), converted_stat, '2K_Ratings'!V616, IF(bbgm_stat &gt;= perc_95, converted_stat * 3, IF(bbgm_stat &gt;= perc_90, converted_stat * 2, IF(bbgm_stat &gt;= perc_85, converted_stat * 1.5, converted_stat)))))</f>
        <v/>
      </c>
      <c r="W616" s="30" t="str">
        <f t="array" ref="W616">IF($A616="", "", LET(bbgm_stat, INDEX(Players!$A615:$P615, MATCH(W$2, Players!$A$1:$P$1, 0)), perc_75, VLOOKUP(W$2, Percentiles!$A$45:$I$59, 6, FALSE), perc_90, VLOOKUP(W$2, Percentiles!$A$45:$I$59, 7, FALSE), perc_95, VLOOKUP(W$2, Percentiles!$A$45:$I$59, 8, FALSE), perc_85, perc_75 + (perc_90 - perc_75) * (2/3), converted_stat, '2K_Ratings'!W616, IF(bbgm_stat &gt;= perc_95, converted_stat * 3, IF(bbgm_stat &gt;= perc_90, converted_stat * 2, IF(bbgm_stat &gt;= perc_85, converted_stat * 1.5, converted_stat)))))</f>
        <v/>
      </c>
    </row>
    <row r="617">
      <c r="A617" s="30"/>
      <c r="B617" s="30" t="str">
        <f t="array" ref="B617">IF($A617="", "", LET(bbgm_stat, INDEX(Players!$A616:$P616, MATCH(B$2, Players!$A$1:$P$1, 0)), perc_75, VLOOKUP(B$2, Percentiles!$A$45:$I$59, 6, FALSE), perc_90, VLOOKUP(B$2, Percentiles!$A$45:$I$59, 7, FALSE), perc_95, VLOOKUP(B$2, Percentiles!$A$45:$I$59, 8, FALSE), perc_85, perc_75 + (perc_90 - perc_75) * (2/3), converted_stat, '2K_Ratings'!B617, IF(bbgm_stat &gt;= perc_95, converted_stat * 3, IF(bbgm_stat &gt;= perc_90, converted_stat * 2, IF(bbgm_stat &gt;= perc_85, converted_stat * 1.5, converted_stat)))))</f>
        <v/>
      </c>
      <c r="C617" s="30" t="str">
        <f t="array" ref="C617">IF($A617="", "", LET(bbgm_stat, INDEX(Players!$A616:$P616, MATCH(C$2, Players!$A$1:$P$1, 0)), perc_75, VLOOKUP(C$2, Percentiles!$A$45:$I$59, 6, FALSE), perc_90, VLOOKUP(C$2, Percentiles!$A$45:$I$59, 7, FALSE), perc_95, VLOOKUP(C$2, Percentiles!$A$45:$I$59, 8, FALSE), perc_85, perc_75 + (perc_90 - perc_75) * (2/3), converted_stat, '2K_Ratings'!C617, IF(bbgm_stat &gt;= perc_95, converted_stat * 3, IF(bbgm_stat &gt;= perc_90, converted_stat * 2, IF(bbgm_stat &gt;= perc_85, converted_stat * 1.5, converted_stat)))))</f>
        <v/>
      </c>
      <c r="D617" s="30" t="str">
        <f t="array" ref="D617">IF($A617="", "", LET(bbgm_stat, INDEX(Players!$A616:$P616, MATCH(D$2, Players!$A$1:$P$1, 0)), perc_75, VLOOKUP(D$2, Percentiles!$A$45:$I$59, 6, FALSE), perc_90, VLOOKUP(D$2, Percentiles!$A$45:$I$59, 7, FALSE), perc_95, VLOOKUP(D$2, Percentiles!$A$45:$I$59, 8, FALSE), perc_85, perc_75 + (perc_90 - perc_75) * (2/3), converted_stat, '2K_Ratings'!D617, IF(bbgm_stat &gt;= perc_95, converted_stat * 3, IF(bbgm_stat &gt;= perc_90, converted_stat * 2, IF(bbgm_stat &gt;= perc_85, converted_stat * 1.5, converted_stat)))))</f>
        <v/>
      </c>
      <c r="E617" s="30" t="str">
        <f t="array" ref="E617">IF($A617="", "", LET(bbgm_stat, INDEX(Players!$A616:$P616, MATCH(E$2, Players!$A$1:$P$1, 0)), perc_75, VLOOKUP(E$2, Percentiles!$A$45:$I$59, 6, FALSE), perc_90, VLOOKUP(E$2, Percentiles!$A$45:$I$59, 7, FALSE), perc_95, VLOOKUP(E$2, Percentiles!$A$45:$I$59, 8, FALSE), perc_85, perc_75 + (perc_90 - perc_75) * (2/3), converted_stat, '2K_Ratings'!E617, IF(bbgm_stat &gt;= perc_95, converted_stat * 3, IF(bbgm_stat &gt;= perc_90, converted_stat * 2, IF(bbgm_stat &gt;= perc_85, converted_stat * 1.5, converted_stat)))))</f>
        <v/>
      </c>
      <c r="F617" s="30" t="str">
        <f t="array" ref="F617">IF($A617="", "", LET(bbgm_stat, INDEX(Players!$A616:$P616, MATCH(F$2, Players!$A$1:$P$1, 0)), perc_75, VLOOKUP(F$2, Percentiles!$A$45:$I$59, 6, FALSE), perc_90, VLOOKUP(F$2, Percentiles!$A$45:$I$59, 7, FALSE), perc_95, VLOOKUP(F$2, Percentiles!$A$45:$I$59, 8, FALSE), perc_85, perc_75 + (perc_90 - perc_75) * (2/3), converted_stat, '2K_Ratings'!F617, IF(bbgm_stat &gt;= perc_95, converted_stat * 3, IF(bbgm_stat &gt;= perc_90, converted_stat * 2, IF(bbgm_stat &gt;= perc_85, converted_stat * 1.5, converted_stat)))))</f>
        <v/>
      </c>
      <c r="G617" s="30" t="str">
        <f t="array" ref="G617">IF($A617="", "", LET(bbgm_stat, INDEX(Players!$A616:$P616, MATCH(G$2, Players!$A$1:$P$1, 0)), perc_75, VLOOKUP(G$2, Percentiles!$A$45:$I$59, 6, FALSE), perc_90, VLOOKUP(G$2, Percentiles!$A$45:$I$59, 7, FALSE), perc_95, VLOOKUP(G$2, Percentiles!$A$45:$I$59, 8, FALSE), perc_85, perc_75 + (perc_90 - perc_75) * (2/3), converted_stat, '2K_Ratings'!G617, IF(bbgm_stat &gt;= perc_95, converted_stat * 3, IF(bbgm_stat &gt;= perc_90, converted_stat * 2, IF(bbgm_stat &gt;= perc_85, converted_stat * 1.5, converted_stat)))))</f>
        <v/>
      </c>
      <c r="H617" s="30" t="str">
        <f t="array" ref="H617">IF($A617="", "", LET(bbgm_stat, INDEX(Players!$A616:$P616, MATCH(H$2, Players!$A$1:$P$1, 0)), perc_75, VLOOKUP(H$2, Percentiles!$A$45:$I$59, 6, FALSE), perc_90, VLOOKUP(H$2, Percentiles!$A$45:$I$59, 7, FALSE), perc_95, VLOOKUP(H$2, Percentiles!$A$45:$I$59, 8, FALSE), perc_85, perc_75 + (perc_90 - perc_75) * (2/3), converted_stat, '2K_Ratings'!H617, IF(bbgm_stat &gt;= perc_95, converted_stat * 3, IF(bbgm_stat &gt;= perc_90, converted_stat * 2, IF(bbgm_stat &gt;= perc_85, converted_stat * 1.5, converted_stat)))))</f>
        <v/>
      </c>
      <c r="I617" s="30" t="str">
        <f t="array" ref="I617">IF($A617="", "", LET(bbgm_stat, INDEX(Players!$A616:$P616, MATCH(I$2, Players!$A$1:$P$1, 0)), perc_75, VLOOKUP(I$2, Percentiles!$A$45:$I$59, 6, FALSE), perc_90, VLOOKUP(I$2, Percentiles!$A$45:$I$59, 7, FALSE), perc_95, VLOOKUP(I$2, Percentiles!$A$45:$I$59, 8, FALSE), perc_85, perc_75 + (perc_90 - perc_75) * (2/3), converted_stat, '2K_Ratings'!I617, IF(bbgm_stat &gt;= perc_95, converted_stat * 3, IF(bbgm_stat &gt;= perc_90, converted_stat * 2, IF(bbgm_stat &gt;= perc_85, converted_stat * 1.5, converted_stat)))))</f>
        <v/>
      </c>
      <c r="J617" s="30" t="str">
        <f t="array" ref="J617">IF($A617="", "", LET(bbgm_stat, INDEX(Players!$A616:$P616, MATCH(J$2, Players!$A$1:$P$1, 0)), perc_75, VLOOKUP(J$2, Percentiles!$A$45:$I$59, 6, FALSE), perc_90, VLOOKUP(J$2, Percentiles!$A$45:$I$59, 7, FALSE), perc_95, VLOOKUP(J$2, Percentiles!$A$45:$I$59, 8, FALSE), perc_85, perc_75 + (perc_90 - perc_75) * (2/3), converted_stat, '2K_Ratings'!J617, IF(bbgm_stat &gt;= perc_95, converted_stat * 3, IF(bbgm_stat &gt;= perc_90, converted_stat * 2, IF(bbgm_stat &gt;= perc_85, converted_stat * 1.5, converted_stat)))))</f>
        <v/>
      </c>
      <c r="K617" s="30" t="str">
        <f t="array" ref="K617">IF($A617="", "", LET(bbgm_stat, INDEX(Players!$A616:$P616, MATCH(K$2, Players!$A$1:$P$1, 0)), perc_75, VLOOKUP(K$2, Percentiles!$A$45:$I$59, 6, FALSE), perc_90, VLOOKUP(K$2, Percentiles!$A$45:$I$59, 7, FALSE), perc_95, VLOOKUP(K$2, Percentiles!$A$45:$I$59, 8, FALSE), perc_85, perc_75 + (perc_90 - perc_75) * (2/3), converted_stat, '2K_Ratings'!K617, IF(bbgm_stat &gt;= perc_95, converted_stat * 3, IF(bbgm_stat &gt;= perc_90, converted_stat * 2, IF(bbgm_stat &gt;= perc_85, converted_stat * 1.5, converted_stat)))))</f>
        <v/>
      </c>
      <c r="L617" s="30" t="str">
        <f t="array" ref="L617">IF($A617="", "", LET(bbgm_stat, INDEX(Players!$A616:$P616, MATCH(L$2, Players!$A$1:$P$1, 0)), perc_75, VLOOKUP(L$2, Percentiles!$A$45:$I$59, 6, FALSE), perc_90, VLOOKUP(L$2, Percentiles!$A$45:$I$59, 7, FALSE), perc_95, VLOOKUP(L$2, Percentiles!$A$45:$I$59, 8, FALSE), perc_85, perc_75 + (perc_90 - perc_75) * (2/3), converted_stat, '2K_Ratings'!L617, IF(bbgm_stat &gt;= perc_95, converted_stat * 3, IF(bbgm_stat &gt;= perc_90, converted_stat * 2, IF(bbgm_stat &gt;= perc_85, converted_stat * 1.5, converted_stat)))))</f>
        <v/>
      </c>
      <c r="M617" s="30" t="str">
        <f t="array" ref="M617">IF($A617="", "", LET(bbgm_stat, INDEX(Players!$A616:$P616, MATCH(M$2, Players!$A$1:$P$1, 0)), perc_75, VLOOKUP(M$2, Percentiles!$A$45:$I$59, 6, FALSE), perc_90, VLOOKUP(M$2, Percentiles!$A$45:$I$59, 7, FALSE), perc_95, VLOOKUP(M$2, Percentiles!$A$45:$I$59, 8, FALSE), perc_85, perc_75 + (perc_90 - perc_75) * (2/3), converted_stat, '2K_Ratings'!M617, IF(bbgm_stat &gt;= perc_95, converted_stat * 3, IF(bbgm_stat &gt;= perc_90, converted_stat * 2, IF(bbgm_stat &gt;= perc_85, converted_stat * 1.5, converted_stat)))))</f>
        <v/>
      </c>
      <c r="N617" s="30" t="str">
        <f t="array" ref="N617">IF($A617="", "", LET(bbgm_stat, INDEX(Players!$A616:$P616, MATCH(N$2, Players!$A$1:$P$1, 0)), perc_75, VLOOKUP(N$2, Percentiles!$A$45:$I$59, 6, FALSE), perc_90, VLOOKUP(N$2, Percentiles!$A$45:$I$59, 7, FALSE), perc_95, VLOOKUP(N$2, Percentiles!$A$45:$I$59, 8, FALSE), perc_85, perc_75 + (perc_90 - perc_75) * (2/3), converted_stat, '2K_Ratings'!N617, IF(bbgm_stat &gt;= perc_95, converted_stat * 3, IF(bbgm_stat &gt;= perc_90, converted_stat * 2, IF(bbgm_stat &gt;= perc_85, converted_stat * 1.5, converted_stat)))))</f>
        <v/>
      </c>
      <c r="O617" s="30" t="str">
        <f t="array" ref="O617">IF($A617="", "", LET(bbgm_stat, INDEX(Players!$A616:$P616, MATCH(O$2, Players!$A$1:$P$1, 0)), perc_75, VLOOKUP(O$2, Percentiles!$A$45:$I$59, 6, FALSE), perc_90, VLOOKUP(O$2, Percentiles!$A$45:$I$59, 7, FALSE), perc_95, VLOOKUP(O$2, Percentiles!$A$45:$I$59, 8, FALSE), perc_85, perc_75 + (perc_90 - perc_75) * (2/3), converted_stat, '2K_Ratings'!O617, IF(bbgm_stat &gt;= perc_95, converted_stat * 3, IF(bbgm_stat &gt;= perc_90, converted_stat * 2, IF(bbgm_stat &gt;= perc_85, converted_stat * 1.5, converted_stat)))))</f>
        <v/>
      </c>
      <c r="P617" s="30" t="str">
        <f t="array" ref="P617">IF($A617="", "", LET(bbgm_stat, INDEX(Players!$A616:$P616, MATCH(P$2, Players!$A$1:$P$1, 0)), perc_75, VLOOKUP(P$2, Percentiles!$A$45:$I$59, 6, FALSE), perc_90, VLOOKUP(P$2, Percentiles!$A$45:$I$59, 7, FALSE), perc_95, VLOOKUP(P$2, Percentiles!$A$45:$I$59, 8, FALSE), perc_85, perc_75 + (perc_90 - perc_75) * (2/3), converted_stat, '2K_Ratings'!P617, IF(bbgm_stat &gt;= perc_95, converted_stat * 3, IF(bbgm_stat &gt;= perc_90, converted_stat * 2, IF(bbgm_stat &gt;= perc_85, converted_stat * 1.5, converted_stat)))))</f>
        <v/>
      </c>
      <c r="Q617" s="30" t="str">
        <f t="array" ref="Q617">IF($A617="", "", LET(bbgm_stat, INDEX(Players!$A616:$P616, MATCH(Q$2, Players!$A$1:$P$1, 0)), perc_75, VLOOKUP(Q$2, Percentiles!$A$45:$I$59, 6, FALSE), perc_90, VLOOKUP(Q$2, Percentiles!$A$45:$I$59, 7, FALSE), perc_95, VLOOKUP(Q$2, Percentiles!$A$45:$I$59, 8, FALSE), perc_85, perc_75 + (perc_90 - perc_75) * (2/3), converted_stat, '2K_Ratings'!Q617, IF(bbgm_stat &gt;= perc_95, converted_stat * 3, IF(bbgm_stat &gt;= perc_90, converted_stat * 2, IF(bbgm_stat &gt;= perc_85, converted_stat * 1.5, converted_stat)))))</f>
        <v/>
      </c>
      <c r="R617" s="30" t="str">
        <f t="array" ref="R617">IF($A617="", "", LET(bbgm_stat, INDEX(Players!$A616:$P616, MATCH(R$2, Players!$A$1:$P$1, 0)), perc_75, VLOOKUP(R$2, Percentiles!$A$45:$I$59, 6, FALSE), perc_90, VLOOKUP(R$2, Percentiles!$A$45:$I$59, 7, FALSE), perc_95, VLOOKUP(R$2, Percentiles!$A$45:$I$59, 8, FALSE), perc_85, perc_75 + (perc_90 - perc_75) * (2/3), converted_stat, '2K_Ratings'!R617, IF(bbgm_stat &gt;= perc_95, converted_stat * 3, IF(bbgm_stat &gt;= perc_90, converted_stat * 2, IF(bbgm_stat &gt;= perc_85, converted_stat * 1.5, converted_stat)))))</f>
        <v/>
      </c>
      <c r="S617" s="30" t="str">
        <f t="array" ref="S617">IF($A617="", "", LET(bbgm_stat, INDEX(Players!$A616:$P616, MATCH(S$2, Players!$A$1:$P$1, 0)), perc_75, VLOOKUP(S$2, Percentiles!$A$45:$I$59, 6, FALSE), perc_90, VLOOKUP(S$2, Percentiles!$A$45:$I$59, 7, FALSE), perc_95, VLOOKUP(S$2, Percentiles!$A$45:$I$59, 8, FALSE), perc_85, perc_75 + (perc_90 - perc_75) * (2/3), converted_stat, '2K_Ratings'!S617, IF(bbgm_stat &gt;= perc_95, converted_stat * 3, IF(bbgm_stat &gt;= perc_90, converted_stat * 2, IF(bbgm_stat &gt;= perc_85, converted_stat * 1.5, converted_stat)))))</f>
        <v/>
      </c>
      <c r="T617" s="30" t="str">
        <f t="array" ref="T617">IF($A617="", "", LET(bbgm_stat, INDEX(Players!$A616:$P616, MATCH(T$2, Players!$A$1:$P$1, 0)), perc_75, VLOOKUP(T$2, Percentiles!$A$45:$I$59, 6, FALSE), perc_90, VLOOKUP(T$2, Percentiles!$A$45:$I$59, 7, FALSE), perc_95, VLOOKUP(T$2, Percentiles!$A$45:$I$59, 8, FALSE), perc_85, perc_75 + (perc_90 - perc_75) * (2/3), converted_stat, '2K_Ratings'!T617, IF(bbgm_stat &gt;= perc_95, converted_stat * 3, IF(bbgm_stat &gt;= perc_90, converted_stat * 2, IF(bbgm_stat &gt;= perc_85, converted_stat * 1.5, converted_stat)))))</f>
        <v/>
      </c>
      <c r="U617" s="30" t="str">
        <f t="array" ref="U617">IF($A617="", "", LET(bbgm_stat, INDEX(Players!$A616:$P616, MATCH(U$2, Players!$A$1:$P$1, 0)), perc_75, VLOOKUP(U$2, Percentiles!$A$45:$I$59, 6, FALSE), perc_90, VLOOKUP(U$2, Percentiles!$A$45:$I$59, 7, FALSE), perc_95, VLOOKUP(U$2, Percentiles!$A$45:$I$59, 8, FALSE), perc_85, perc_75 + (perc_90 - perc_75) * (2/3), converted_stat, '2K_Ratings'!U617, IF(bbgm_stat &gt;= perc_95, converted_stat * 3, IF(bbgm_stat &gt;= perc_90, converted_stat * 2, IF(bbgm_stat &gt;= perc_85, converted_stat * 1.5, converted_stat)))))</f>
        <v/>
      </c>
      <c r="V617" s="30" t="str">
        <f t="array" ref="V617">IF($A617="", "", LET(bbgm_stat, INDEX(Players!$A616:$P616, MATCH(V$2, Players!$A$1:$P$1, 0)), perc_75, VLOOKUP(V$2, Percentiles!$A$45:$I$59, 6, FALSE), perc_90, VLOOKUP(V$2, Percentiles!$A$45:$I$59, 7, FALSE), perc_95, VLOOKUP(V$2, Percentiles!$A$45:$I$59, 8, FALSE), perc_85, perc_75 + (perc_90 - perc_75) * (2/3), converted_stat, '2K_Ratings'!V617, IF(bbgm_stat &gt;= perc_95, converted_stat * 3, IF(bbgm_stat &gt;= perc_90, converted_stat * 2, IF(bbgm_stat &gt;= perc_85, converted_stat * 1.5, converted_stat)))))</f>
        <v/>
      </c>
      <c r="W617" s="30" t="str">
        <f t="array" ref="W617">IF($A617="", "", LET(bbgm_stat, INDEX(Players!$A616:$P616, MATCH(W$2, Players!$A$1:$P$1, 0)), perc_75, VLOOKUP(W$2, Percentiles!$A$45:$I$59, 6, FALSE), perc_90, VLOOKUP(W$2, Percentiles!$A$45:$I$59, 7, FALSE), perc_95, VLOOKUP(W$2, Percentiles!$A$45:$I$59, 8, FALSE), perc_85, perc_75 + (perc_90 - perc_75) * (2/3), converted_stat, '2K_Ratings'!W617, IF(bbgm_stat &gt;= perc_95, converted_stat * 3, IF(bbgm_stat &gt;= perc_90, converted_stat * 2, IF(bbgm_stat &gt;= perc_85, converted_stat * 1.5, converted_stat)))))</f>
        <v/>
      </c>
    </row>
    <row r="618">
      <c r="A618" s="30"/>
      <c r="B618" s="30" t="str">
        <f t="array" ref="B618">IF($A618="", "", LET(bbgm_stat, INDEX(Players!$A617:$P617, MATCH(B$2, Players!$A$1:$P$1, 0)), perc_75, VLOOKUP(B$2, Percentiles!$A$45:$I$59, 6, FALSE), perc_90, VLOOKUP(B$2, Percentiles!$A$45:$I$59, 7, FALSE), perc_95, VLOOKUP(B$2, Percentiles!$A$45:$I$59, 8, FALSE), perc_85, perc_75 + (perc_90 - perc_75) * (2/3), converted_stat, '2K_Ratings'!B618, IF(bbgm_stat &gt;= perc_95, converted_stat * 3, IF(bbgm_stat &gt;= perc_90, converted_stat * 2, IF(bbgm_stat &gt;= perc_85, converted_stat * 1.5, converted_stat)))))</f>
        <v/>
      </c>
      <c r="C618" s="30" t="str">
        <f t="array" ref="C618">IF($A618="", "", LET(bbgm_stat, INDEX(Players!$A617:$P617, MATCH(C$2, Players!$A$1:$P$1, 0)), perc_75, VLOOKUP(C$2, Percentiles!$A$45:$I$59, 6, FALSE), perc_90, VLOOKUP(C$2, Percentiles!$A$45:$I$59, 7, FALSE), perc_95, VLOOKUP(C$2, Percentiles!$A$45:$I$59, 8, FALSE), perc_85, perc_75 + (perc_90 - perc_75) * (2/3), converted_stat, '2K_Ratings'!C618, IF(bbgm_stat &gt;= perc_95, converted_stat * 3, IF(bbgm_stat &gt;= perc_90, converted_stat * 2, IF(bbgm_stat &gt;= perc_85, converted_stat * 1.5, converted_stat)))))</f>
        <v/>
      </c>
      <c r="D618" s="30" t="str">
        <f t="array" ref="D618">IF($A618="", "", LET(bbgm_stat, INDEX(Players!$A617:$P617, MATCH(D$2, Players!$A$1:$P$1, 0)), perc_75, VLOOKUP(D$2, Percentiles!$A$45:$I$59, 6, FALSE), perc_90, VLOOKUP(D$2, Percentiles!$A$45:$I$59, 7, FALSE), perc_95, VLOOKUP(D$2, Percentiles!$A$45:$I$59, 8, FALSE), perc_85, perc_75 + (perc_90 - perc_75) * (2/3), converted_stat, '2K_Ratings'!D618, IF(bbgm_stat &gt;= perc_95, converted_stat * 3, IF(bbgm_stat &gt;= perc_90, converted_stat * 2, IF(bbgm_stat &gt;= perc_85, converted_stat * 1.5, converted_stat)))))</f>
        <v/>
      </c>
      <c r="E618" s="30" t="str">
        <f t="array" ref="E618">IF($A618="", "", LET(bbgm_stat, INDEX(Players!$A617:$P617, MATCH(E$2, Players!$A$1:$P$1, 0)), perc_75, VLOOKUP(E$2, Percentiles!$A$45:$I$59, 6, FALSE), perc_90, VLOOKUP(E$2, Percentiles!$A$45:$I$59, 7, FALSE), perc_95, VLOOKUP(E$2, Percentiles!$A$45:$I$59, 8, FALSE), perc_85, perc_75 + (perc_90 - perc_75) * (2/3), converted_stat, '2K_Ratings'!E618, IF(bbgm_stat &gt;= perc_95, converted_stat * 3, IF(bbgm_stat &gt;= perc_90, converted_stat * 2, IF(bbgm_stat &gt;= perc_85, converted_stat * 1.5, converted_stat)))))</f>
        <v/>
      </c>
      <c r="F618" s="30" t="str">
        <f t="array" ref="F618">IF($A618="", "", LET(bbgm_stat, INDEX(Players!$A617:$P617, MATCH(F$2, Players!$A$1:$P$1, 0)), perc_75, VLOOKUP(F$2, Percentiles!$A$45:$I$59, 6, FALSE), perc_90, VLOOKUP(F$2, Percentiles!$A$45:$I$59, 7, FALSE), perc_95, VLOOKUP(F$2, Percentiles!$A$45:$I$59, 8, FALSE), perc_85, perc_75 + (perc_90 - perc_75) * (2/3), converted_stat, '2K_Ratings'!F618, IF(bbgm_stat &gt;= perc_95, converted_stat * 3, IF(bbgm_stat &gt;= perc_90, converted_stat * 2, IF(bbgm_stat &gt;= perc_85, converted_stat * 1.5, converted_stat)))))</f>
        <v/>
      </c>
      <c r="G618" s="30" t="str">
        <f t="array" ref="G618">IF($A618="", "", LET(bbgm_stat, INDEX(Players!$A617:$P617, MATCH(G$2, Players!$A$1:$P$1, 0)), perc_75, VLOOKUP(G$2, Percentiles!$A$45:$I$59, 6, FALSE), perc_90, VLOOKUP(G$2, Percentiles!$A$45:$I$59, 7, FALSE), perc_95, VLOOKUP(G$2, Percentiles!$A$45:$I$59, 8, FALSE), perc_85, perc_75 + (perc_90 - perc_75) * (2/3), converted_stat, '2K_Ratings'!G618, IF(bbgm_stat &gt;= perc_95, converted_stat * 3, IF(bbgm_stat &gt;= perc_90, converted_stat * 2, IF(bbgm_stat &gt;= perc_85, converted_stat * 1.5, converted_stat)))))</f>
        <v/>
      </c>
      <c r="H618" s="30" t="str">
        <f t="array" ref="H618">IF($A618="", "", LET(bbgm_stat, INDEX(Players!$A617:$P617, MATCH(H$2, Players!$A$1:$P$1, 0)), perc_75, VLOOKUP(H$2, Percentiles!$A$45:$I$59, 6, FALSE), perc_90, VLOOKUP(H$2, Percentiles!$A$45:$I$59, 7, FALSE), perc_95, VLOOKUP(H$2, Percentiles!$A$45:$I$59, 8, FALSE), perc_85, perc_75 + (perc_90 - perc_75) * (2/3), converted_stat, '2K_Ratings'!H618, IF(bbgm_stat &gt;= perc_95, converted_stat * 3, IF(bbgm_stat &gt;= perc_90, converted_stat * 2, IF(bbgm_stat &gt;= perc_85, converted_stat * 1.5, converted_stat)))))</f>
        <v/>
      </c>
      <c r="I618" s="30" t="str">
        <f t="array" ref="I618">IF($A618="", "", LET(bbgm_stat, INDEX(Players!$A617:$P617, MATCH(I$2, Players!$A$1:$P$1, 0)), perc_75, VLOOKUP(I$2, Percentiles!$A$45:$I$59, 6, FALSE), perc_90, VLOOKUP(I$2, Percentiles!$A$45:$I$59, 7, FALSE), perc_95, VLOOKUP(I$2, Percentiles!$A$45:$I$59, 8, FALSE), perc_85, perc_75 + (perc_90 - perc_75) * (2/3), converted_stat, '2K_Ratings'!I618, IF(bbgm_stat &gt;= perc_95, converted_stat * 3, IF(bbgm_stat &gt;= perc_90, converted_stat * 2, IF(bbgm_stat &gt;= perc_85, converted_stat * 1.5, converted_stat)))))</f>
        <v/>
      </c>
      <c r="J618" s="30" t="str">
        <f t="array" ref="J618">IF($A618="", "", LET(bbgm_stat, INDEX(Players!$A617:$P617, MATCH(J$2, Players!$A$1:$P$1, 0)), perc_75, VLOOKUP(J$2, Percentiles!$A$45:$I$59, 6, FALSE), perc_90, VLOOKUP(J$2, Percentiles!$A$45:$I$59, 7, FALSE), perc_95, VLOOKUP(J$2, Percentiles!$A$45:$I$59, 8, FALSE), perc_85, perc_75 + (perc_90 - perc_75) * (2/3), converted_stat, '2K_Ratings'!J618, IF(bbgm_stat &gt;= perc_95, converted_stat * 3, IF(bbgm_stat &gt;= perc_90, converted_stat * 2, IF(bbgm_stat &gt;= perc_85, converted_stat * 1.5, converted_stat)))))</f>
        <v/>
      </c>
      <c r="K618" s="30" t="str">
        <f t="array" ref="K618">IF($A618="", "", LET(bbgm_stat, INDEX(Players!$A617:$P617, MATCH(K$2, Players!$A$1:$P$1, 0)), perc_75, VLOOKUP(K$2, Percentiles!$A$45:$I$59, 6, FALSE), perc_90, VLOOKUP(K$2, Percentiles!$A$45:$I$59, 7, FALSE), perc_95, VLOOKUP(K$2, Percentiles!$A$45:$I$59, 8, FALSE), perc_85, perc_75 + (perc_90 - perc_75) * (2/3), converted_stat, '2K_Ratings'!K618, IF(bbgm_stat &gt;= perc_95, converted_stat * 3, IF(bbgm_stat &gt;= perc_90, converted_stat * 2, IF(bbgm_stat &gt;= perc_85, converted_stat * 1.5, converted_stat)))))</f>
        <v/>
      </c>
      <c r="L618" s="30" t="str">
        <f t="array" ref="L618">IF($A618="", "", LET(bbgm_stat, INDEX(Players!$A617:$P617, MATCH(L$2, Players!$A$1:$P$1, 0)), perc_75, VLOOKUP(L$2, Percentiles!$A$45:$I$59, 6, FALSE), perc_90, VLOOKUP(L$2, Percentiles!$A$45:$I$59, 7, FALSE), perc_95, VLOOKUP(L$2, Percentiles!$A$45:$I$59, 8, FALSE), perc_85, perc_75 + (perc_90 - perc_75) * (2/3), converted_stat, '2K_Ratings'!L618, IF(bbgm_stat &gt;= perc_95, converted_stat * 3, IF(bbgm_stat &gt;= perc_90, converted_stat * 2, IF(bbgm_stat &gt;= perc_85, converted_stat * 1.5, converted_stat)))))</f>
        <v/>
      </c>
      <c r="M618" s="30" t="str">
        <f t="array" ref="M618">IF($A618="", "", LET(bbgm_stat, INDEX(Players!$A617:$P617, MATCH(M$2, Players!$A$1:$P$1, 0)), perc_75, VLOOKUP(M$2, Percentiles!$A$45:$I$59, 6, FALSE), perc_90, VLOOKUP(M$2, Percentiles!$A$45:$I$59, 7, FALSE), perc_95, VLOOKUP(M$2, Percentiles!$A$45:$I$59, 8, FALSE), perc_85, perc_75 + (perc_90 - perc_75) * (2/3), converted_stat, '2K_Ratings'!M618, IF(bbgm_stat &gt;= perc_95, converted_stat * 3, IF(bbgm_stat &gt;= perc_90, converted_stat * 2, IF(bbgm_stat &gt;= perc_85, converted_stat * 1.5, converted_stat)))))</f>
        <v/>
      </c>
      <c r="N618" s="30" t="str">
        <f t="array" ref="N618">IF($A618="", "", LET(bbgm_stat, INDEX(Players!$A617:$P617, MATCH(N$2, Players!$A$1:$P$1, 0)), perc_75, VLOOKUP(N$2, Percentiles!$A$45:$I$59, 6, FALSE), perc_90, VLOOKUP(N$2, Percentiles!$A$45:$I$59, 7, FALSE), perc_95, VLOOKUP(N$2, Percentiles!$A$45:$I$59, 8, FALSE), perc_85, perc_75 + (perc_90 - perc_75) * (2/3), converted_stat, '2K_Ratings'!N618, IF(bbgm_stat &gt;= perc_95, converted_stat * 3, IF(bbgm_stat &gt;= perc_90, converted_stat * 2, IF(bbgm_stat &gt;= perc_85, converted_stat * 1.5, converted_stat)))))</f>
        <v/>
      </c>
      <c r="O618" s="30" t="str">
        <f t="array" ref="O618">IF($A618="", "", LET(bbgm_stat, INDEX(Players!$A617:$P617, MATCH(O$2, Players!$A$1:$P$1, 0)), perc_75, VLOOKUP(O$2, Percentiles!$A$45:$I$59, 6, FALSE), perc_90, VLOOKUP(O$2, Percentiles!$A$45:$I$59, 7, FALSE), perc_95, VLOOKUP(O$2, Percentiles!$A$45:$I$59, 8, FALSE), perc_85, perc_75 + (perc_90 - perc_75) * (2/3), converted_stat, '2K_Ratings'!O618, IF(bbgm_stat &gt;= perc_95, converted_stat * 3, IF(bbgm_stat &gt;= perc_90, converted_stat * 2, IF(bbgm_stat &gt;= perc_85, converted_stat * 1.5, converted_stat)))))</f>
        <v/>
      </c>
      <c r="P618" s="30" t="str">
        <f t="array" ref="P618">IF($A618="", "", LET(bbgm_stat, INDEX(Players!$A617:$P617, MATCH(P$2, Players!$A$1:$P$1, 0)), perc_75, VLOOKUP(P$2, Percentiles!$A$45:$I$59, 6, FALSE), perc_90, VLOOKUP(P$2, Percentiles!$A$45:$I$59, 7, FALSE), perc_95, VLOOKUP(P$2, Percentiles!$A$45:$I$59, 8, FALSE), perc_85, perc_75 + (perc_90 - perc_75) * (2/3), converted_stat, '2K_Ratings'!P618, IF(bbgm_stat &gt;= perc_95, converted_stat * 3, IF(bbgm_stat &gt;= perc_90, converted_stat * 2, IF(bbgm_stat &gt;= perc_85, converted_stat * 1.5, converted_stat)))))</f>
        <v/>
      </c>
      <c r="Q618" s="30" t="str">
        <f t="array" ref="Q618">IF($A618="", "", LET(bbgm_stat, INDEX(Players!$A617:$P617, MATCH(Q$2, Players!$A$1:$P$1, 0)), perc_75, VLOOKUP(Q$2, Percentiles!$A$45:$I$59, 6, FALSE), perc_90, VLOOKUP(Q$2, Percentiles!$A$45:$I$59, 7, FALSE), perc_95, VLOOKUP(Q$2, Percentiles!$A$45:$I$59, 8, FALSE), perc_85, perc_75 + (perc_90 - perc_75) * (2/3), converted_stat, '2K_Ratings'!Q618, IF(bbgm_stat &gt;= perc_95, converted_stat * 3, IF(bbgm_stat &gt;= perc_90, converted_stat * 2, IF(bbgm_stat &gt;= perc_85, converted_stat * 1.5, converted_stat)))))</f>
        <v/>
      </c>
      <c r="R618" s="30" t="str">
        <f t="array" ref="R618">IF($A618="", "", LET(bbgm_stat, INDEX(Players!$A617:$P617, MATCH(R$2, Players!$A$1:$P$1, 0)), perc_75, VLOOKUP(R$2, Percentiles!$A$45:$I$59, 6, FALSE), perc_90, VLOOKUP(R$2, Percentiles!$A$45:$I$59, 7, FALSE), perc_95, VLOOKUP(R$2, Percentiles!$A$45:$I$59, 8, FALSE), perc_85, perc_75 + (perc_90 - perc_75) * (2/3), converted_stat, '2K_Ratings'!R618, IF(bbgm_stat &gt;= perc_95, converted_stat * 3, IF(bbgm_stat &gt;= perc_90, converted_stat * 2, IF(bbgm_stat &gt;= perc_85, converted_stat * 1.5, converted_stat)))))</f>
        <v/>
      </c>
      <c r="S618" s="30" t="str">
        <f t="array" ref="S618">IF($A618="", "", LET(bbgm_stat, INDEX(Players!$A617:$P617, MATCH(S$2, Players!$A$1:$P$1, 0)), perc_75, VLOOKUP(S$2, Percentiles!$A$45:$I$59, 6, FALSE), perc_90, VLOOKUP(S$2, Percentiles!$A$45:$I$59, 7, FALSE), perc_95, VLOOKUP(S$2, Percentiles!$A$45:$I$59, 8, FALSE), perc_85, perc_75 + (perc_90 - perc_75) * (2/3), converted_stat, '2K_Ratings'!S618, IF(bbgm_stat &gt;= perc_95, converted_stat * 3, IF(bbgm_stat &gt;= perc_90, converted_stat * 2, IF(bbgm_stat &gt;= perc_85, converted_stat * 1.5, converted_stat)))))</f>
        <v/>
      </c>
      <c r="T618" s="30" t="str">
        <f t="array" ref="T618">IF($A618="", "", LET(bbgm_stat, INDEX(Players!$A617:$P617, MATCH(T$2, Players!$A$1:$P$1, 0)), perc_75, VLOOKUP(T$2, Percentiles!$A$45:$I$59, 6, FALSE), perc_90, VLOOKUP(T$2, Percentiles!$A$45:$I$59, 7, FALSE), perc_95, VLOOKUP(T$2, Percentiles!$A$45:$I$59, 8, FALSE), perc_85, perc_75 + (perc_90 - perc_75) * (2/3), converted_stat, '2K_Ratings'!T618, IF(bbgm_stat &gt;= perc_95, converted_stat * 3, IF(bbgm_stat &gt;= perc_90, converted_stat * 2, IF(bbgm_stat &gt;= perc_85, converted_stat * 1.5, converted_stat)))))</f>
        <v/>
      </c>
      <c r="U618" s="30" t="str">
        <f t="array" ref="U618">IF($A618="", "", LET(bbgm_stat, INDEX(Players!$A617:$P617, MATCH(U$2, Players!$A$1:$P$1, 0)), perc_75, VLOOKUP(U$2, Percentiles!$A$45:$I$59, 6, FALSE), perc_90, VLOOKUP(U$2, Percentiles!$A$45:$I$59, 7, FALSE), perc_95, VLOOKUP(U$2, Percentiles!$A$45:$I$59, 8, FALSE), perc_85, perc_75 + (perc_90 - perc_75) * (2/3), converted_stat, '2K_Ratings'!U618, IF(bbgm_stat &gt;= perc_95, converted_stat * 3, IF(bbgm_stat &gt;= perc_90, converted_stat * 2, IF(bbgm_stat &gt;= perc_85, converted_stat * 1.5, converted_stat)))))</f>
        <v/>
      </c>
      <c r="V618" s="30" t="str">
        <f t="array" ref="V618">IF($A618="", "", LET(bbgm_stat, INDEX(Players!$A617:$P617, MATCH(V$2, Players!$A$1:$P$1, 0)), perc_75, VLOOKUP(V$2, Percentiles!$A$45:$I$59, 6, FALSE), perc_90, VLOOKUP(V$2, Percentiles!$A$45:$I$59, 7, FALSE), perc_95, VLOOKUP(V$2, Percentiles!$A$45:$I$59, 8, FALSE), perc_85, perc_75 + (perc_90 - perc_75) * (2/3), converted_stat, '2K_Ratings'!V618, IF(bbgm_stat &gt;= perc_95, converted_stat * 3, IF(bbgm_stat &gt;= perc_90, converted_stat * 2, IF(bbgm_stat &gt;= perc_85, converted_stat * 1.5, converted_stat)))))</f>
        <v/>
      </c>
      <c r="W618" s="30" t="str">
        <f t="array" ref="W618">IF($A618="", "", LET(bbgm_stat, INDEX(Players!$A617:$P617, MATCH(W$2, Players!$A$1:$P$1, 0)), perc_75, VLOOKUP(W$2, Percentiles!$A$45:$I$59, 6, FALSE), perc_90, VLOOKUP(W$2, Percentiles!$A$45:$I$59, 7, FALSE), perc_95, VLOOKUP(W$2, Percentiles!$A$45:$I$59, 8, FALSE), perc_85, perc_75 + (perc_90 - perc_75) * (2/3), converted_stat, '2K_Ratings'!W618, IF(bbgm_stat &gt;= perc_95, converted_stat * 3, IF(bbgm_stat &gt;= perc_90, converted_stat * 2, IF(bbgm_stat &gt;= perc_85, converted_stat * 1.5, converted_stat)))))</f>
        <v/>
      </c>
    </row>
    <row r="619">
      <c r="A619" s="30"/>
      <c r="B619" s="30" t="str">
        <f t="array" ref="B619">IF($A619="", "", LET(bbgm_stat, INDEX(Players!$A618:$P618, MATCH(B$2, Players!$A$1:$P$1, 0)), perc_75, VLOOKUP(B$2, Percentiles!$A$45:$I$59, 6, FALSE), perc_90, VLOOKUP(B$2, Percentiles!$A$45:$I$59, 7, FALSE), perc_95, VLOOKUP(B$2, Percentiles!$A$45:$I$59, 8, FALSE), perc_85, perc_75 + (perc_90 - perc_75) * (2/3), converted_stat, '2K_Ratings'!B619, IF(bbgm_stat &gt;= perc_95, converted_stat * 3, IF(bbgm_stat &gt;= perc_90, converted_stat * 2, IF(bbgm_stat &gt;= perc_85, converted_stat * 1.5, converted_stat)))))</f>
        <v/>
      </c>
      <c r="C619" s="30" t="str">
        <f t="array" ref="C619">IF($A619="", "", LET(bbgm_stat, INDEX(Players!$A618:$P618, MATCH(C$2, Players!$A$1:$P$1, 0)), perc_75, VLOOKUP(C$2, Percentiles!$A$45:$I$59, 6, FALSE), perc_90, VLOOKUP(C$2, Percentiles!$A$45:$I$59, 7, FALSE), perc_95, VLOOKUP(C$2, Percentiles!$A$45:$I$59, 8, FALSE), perc_85, perc_75 + (perc_90 - perc_75) * (2/3), converted_stat, '2K_Ratings'!C619, IF(bbgm_stat &gt;= perc_95, converted_stat * 3, IF(bbgm_stat &gt;= perc_90, converted_stat * 2, IF(bbgm_stat &gt;= perc_85, converted_stat * 1.5, converted_stat)))))</f>
        <v/>
      </c>
      <c r="D619" s="30" t="str">
        <f t="array" ref="D619">IF($A619="", "", LET(bbgm_stat, INDEX(Players!$A618:$P618, MATCH(D$2, Players!$A$1:$P$1, 0)), perc_75, VLOOKUP(D$2, Percentiles!$A$45:$I$59, 6, FALSE), perc_90, VLOOKUP(D$2, Percentiles!$A$45:$I$59, 7, FALSE), perc_95, VLOOKUP(D$2, Percentiles!$A$45:$I$59, 8, FALSE), perc_85, perc_75 + (perc_90 - perc_75) * (2/3), converted_stat, '2K_Ratings'!D619, IF(bbgm_stat &gt;= perc_95, converted_stat * 3, IF(bbgm_stat &gt;= perc_90, converted_stat * 2, IF(bbgm_stat &gt;= perc_85, converted_stat * 1.5, converted_stat)))))</f>
        <v/>
      </c>
      <c r="E619" s="30" t="str">
        <f t="array" ref="E619">IF($A619="", "", LET(bbgm_stat, INDEX(Players!$A618:$P618, MATCH(E$2, Players!$A$1:$P$1, 0)), perc_75, VLOOKUP(E$2, Percentiles!$A$45:$I$59, 6, FALSE), perc_90, VLOOKUP(E$2, Percentiles!$A$45:$I$59, 7, FALSE), perc_95, VLOOKUP(E$2, Percentiles!$A$45:$I$59, 8, FALSE), perc_85, perc_75 + (perc_90 - perc_75) * (2/3), converted_stat, '2K_Ratings'!E619, IF(bbgm_stat &gt;= perc_95, converted_stat * 3, IF(bbgm_stat &gt;= perc_90, converted_stat * 2, IF(bbgm_stat &gt;= perc_85, converted_stat * 1.5, converted_stat)))))</f>
        <v/>
      </c>
      <c r="F619" s="30" t="str">
        <f t="array" ref="F619">IF($A619="", "", LET(bbgm_stat, INDEX(Players!$A618:$P618, MATCH(F$2, Players!$A$1:$P$1, 0)), perc_75, VLOOKUP(F$2, Percentiles!$A$45:$I$59, 6, FALSE), perc_90, VLOOKUP(F$2, Percentiles!$A$45:$I$59, 7, FALSE), perc_95, VLOOKUP(F$2, Percentiles!$A$45:$I$59, 8, FALSE), perc_85, perc_75 + (perc_90 - perc_75) * (2/3), converted_stat, '2K_Ratings'!F619, IF(bbgm_stat &gt;= perc_95, converted_stat * 3, IF(bbgm_stat &gt;= perc_90, converted_stat * 2, IF(bbgm_stat &gt;= perc_85, converted_stat * 1.5, converted_stat)))))</f>
        <v/>
      </c>
      <c r="G619" s="30" t="str">
        <f t="array" ref="G619">IF($A619="", "", LET(bbgm_stat, INDEX(Players!$A618:$P618, MATCH(G$2, Players!$A$1:$P$1, 0)), perc_75, VLOOKUP(G$2, Percentiles!$A$45:$I$59, 6, FALSE), perc_90, VLOOKUP(G$2, Percentiles!$A$45:$I$59, 7, FALSE), perc_95, VLOOKUP(G$2, Percentiles!$A$45:$I$59, 8, FALSE), perc_85, perc_75 + (perc_90 - perc_75) * (2/3), converted_stat, '2K_Ratings'!G619, IF(bbgm_stat &gt;= perc_95, converted_stat * 3, IF(bbgm_stat &gt;= perc_90, converted_stat * 2, IF(bbgm_stat &gt;= perc_85, converted_stat * 1.5, converted_stat)))))</f>
        <v/>
      </c>
      <c r="H619" s="30" t="str">
        <f t="array" ref="H619">IF($A619="", "", LET(bbgm_stat, INDEX(Players!$A618:$P618, MATCH(H$2, Players!$A$1:$P$1, 0)), perc_75, VLOOKUP(H$2, Percentiles!$A$45:$I$59, 6, FALSE), perc_90, VLOOKUP(H$2, Percentiles!$A$45:$I$59, 7, FALSE), perc_95, VLOOKUP(H$2, Percentiles!$A$45:$I$59, 8, FALSE), perc_85, perc_75 + (perc_90 - perc_75) * (2/3), converted_stat, '2K_Ratings'!H619, IF(bbgm_stat &gt;= perc_95, converted_stat * 3, IF(bbgm_stat &gt;= perc_90, converted_stat * 2, IF(bbgm_stat &gt;= perc_85, converted_stat * 1.5, converted_stat)))))</f>
        <v/>
      </c>
      <c r="I619" s="30" t="str">
        <f t="array" ref="I619">IF($A619="", "", LET(bbgm_stat, INDEX(Players!$A618:$P618, MATCH(I$2, Players!$A$1:$P$1, 0)), perc_75, VLOOKUP(I$2, Percentiles!$A$45:$I$59, 6, FALSE), perc_90, VLOOKUP(I$2, Percentiles!$A$45:$I$59, 7, FALSE), perc_95, VLOOKUP(I$2, Percentiles!$A$45:$I$59, 8, FALSE), perc_85, perc_75 + (perc_90 - perc_75) * (2/3), converted_stat, '2K_Ratings'!I619, IF(bbgm_stat &gt;= perc_95, converted_stat * 3, IF(bbgm_stat &gt;= perc_90, converted_stat * 2, IF(bbgm_stat &gt;= perc_85, converted_stat * 1.5, converted_stat)))))</f>
        <v/>
      </c>
      <c r="J619" s="30" t="str">
        <f t="array" ref="J619">IF($A619="", "", LET(bbgm_stat, INDEX(Players!$A618:$P618, MATCH(J$2, Players!$A$1:$P$1, 0)), perc_75, VLOOKUP(J$2, Percentiles!$A$45:$I$59, 6, FALSE), perc_90, VLOOKUP(J$2, Percentiles!$A$45:$I$59, 7, FALSE), perc_95, VLOOKUP(J$2, Percentiles!$A$45:$I$59, 8, FALSE), perc_85, perc_75 + (perc_90 - perc_75) * (2/3), converted_stat, '2K_Ratings'!J619, IF(bbgm_stat &gt;= perc_95, converted_stat * 3, IF(bbgm_stat &gt;= perc_90, converted_stat * 2, IF(bbgm_stat &gt;= perc_85, converted_stat * 1.5, converted_stat)))))</f>
        <v/>
      </c>
      <c r="K619" s="30" t="str">
        <f t="array" ref="K619">IF($A619="", "", LET(bbgm_stat, INDEX(Players!$A618:$P618, MATCH(K$2, Players!$A$1:$P$1, 0)), perc_75, VLOOKUP(K$2, Percentiles!$A$45:$I$59, 6, FALSE), perc_90, VLOOKUP(K$2, Percentiles!$A$45:$I$59, 7, FALSE), perc_95, VLOOKUP(K$2, Percentiles!$A$45:$I$59, 8, FALSE), perc_85, perc_75 + (perc_90 - perc_75) * (2/3), converted_stat, '2K_Ratings'!K619, IF(bbgm_stat &gt;= perc_95, converted_stat * 3, IF(bbgm_stat &gt;= perc_90, converted_stat * 2, IF(bbgm_stat &gt;= perc_85, converted_stat * 1.5, converted_stat)))))</f>
        <v/>
      </c>
      <c r="L619" s="30" t="str">
        <f t="array" ref="L619">IF($A619="", "", LET(bbgm_stat, INDEX(Players!$A618:$P618, MATCH(L$2, Players!$A$1:$P$1, 0)), perc_75, VLOOKUP(L$2, Percentiles!$A$45:$I$59, 6, FALSE), perc_90, VLOOKUP(L$2, Percentiles!$A$45:$I$59, 7, FALSE), perc_95, VLOOKUP(L$2, Percentiles!$A$45:$I$59, 8, FALSE), perc_85, perc_75 + (perc_90 - perc_75) * (2/3), converted_stat, '2K_Ratings'!L619, IF(bbgm_stat &gt;= perc_95, converted_stat * 3, IF(bbgm_stat &gt;= perc_90, converted_stat * 2, IF(bbgm_stat &gt;= perc_85, converted_stat * 1.5, converted_stat)))))</f>
        <v/>
      </c>
      <c r="M619" s="30" t="str">
        <f t="array" ref="M619">IF($A619="", "", LET(bbgm_stat, INDEX(Players!$A618:$P618, MATCH(M$2, Players!$A$1:$P$1, 0)), perc_75, VLOOKUP(M$2, Percentiles!$A$45:$I$59, 6, FALSE), perc_90, VLOOKUP(M$2, Percentiles!$A$45:$I$59, 7, FALSE), perc_95, VLOOKUP(M$2, Percentiles!$A$45:$I$59, 8, FALSE), perc_85, perc_75 + (perc_90 - perc_75) * (2/3), converted_stat, '2K_Ratings'!M619, IF(bbgm_stat &gt;= perc_95, converted_stat * 3, IF(bbgm_stat &gt;= perc_90, converted_stat * 2, IF(bbgm_stat &gt;= perc_85, converted_stat * 1.5, converted_stat)))))</f>
        <v/>
      </c>
      <c r="N619" s="30" t="str">
        <f t="array" ref="N619">IF($A619="", "", LET(bbgm_stat, INDEX(Players!$A618:$P618, MATCH(N$2, Players!$A$1:$P$1, 0)), perc_75, VLOOKUP(N$2, Percentiles!$A$45:$I$59, 6, FALSE), perc_90, VLOOKUP(N$2, Percentiles!$A$45:$I$59, 7, FALSE), perc_95, VLOOKUP(N$2, Percentiles!$A$45:$I$59, 8, FALSE), perc_85, perc_75 + (perc_90 - perc_75) * (2/3), converted_stat, '2K_Ratings'!N619, IF(bbgm_stat &gt;= perc_95, converted_stat * 3, IF(bbgm_stat &gt;= perc_90, converted_stat * 2, IF(bbgm_stat &gt;= perc_85, converted_stat * 1.5, converted_stat)))))</f>
        <v/>
      </c>
      <c r="O619" s="30" t="str">
        <f t="array" ref="O619">IF($A619="", "", LET(bbgm_stat, INDEX(Players!$A618:$P618, MATCH(O$2, Players!$A$1:$P$1, 0)), perc_75, VLOOKUP(O$2, Percentiles!$A$45:$I$59, 6, FALSE), perc_90, VLOOKUP(O$2, Percentiles!$A$45:$I$59, 7, FALSE), perc_95, VLOOKUP(O$2, Percentiles!$A$45:$I$59, 8, FALSE), perc_85, perc_75 + (perc_90 - perc_75) * (2/3), converted_stat, '2K_Ratings'!O619, IF(bbgm_stat &gt;= perc_95, converted_stat * 3, IF(bbgm_stat &gt;= perc_90, converted_stat * 2, IF(bbgm_stat &gt;= perc_85, converted_stat * 1.5, converted_stat)))))</f>
        <v/>
      </c>
      <c r="P619" s="30" t="str">
        <f t="array" ref="P619">IF($A619="", "", LET(bbgm_stat, INDEX(Players!$A618:$P618, MATCH(P$2, Players!$A$1:$P$1, 0)), perc_75, VLOOKUP(P$2, Percentiles!$A$45:$I$59, 6, FALSE), perc_90, VLOOKUP(P$2, Percentiles!$A$45:$I$59, 7, FALSE), perc_95, VLOOKUP(P$2, Percentiles!$A$45:$I$59, 8, FALSE), perc_85, perc_75 + (perc_90 - perc_75) * (2/3), converted_stat, '2K_Ratings'!P619, IF(bbgm_stat &gt;= perc_95, converted_stat * 3, IF(bbgm_stat &gt;= perc_90, converted_stat * 2, IF(bbgm_stat &gt;= perc_85, converted_stat * 1.5, converted_stat)))))</f>
        <v/>
      </c>
      <c r="Q619" s="30" t="str">
        <f t="array" ref="Q619">IF($A619="", "", LET(bbgm_stat, INDEX(Players!$A618:$P618, MATCH(Q$2, Players!$A$1:$P$1, 0)), perc_75, VLOOKUP(Q$2, Percentiles!$A$45:$I$59, 6, FALSE), perc_90, VLOOKUP(Q$2, Percentiles!$A$45:$I$59, 7, FALSE), perc_95, VLOOKUP(Q$2, Percentiles!$A$45:$I$59, 8, FALSE), perc_85, perc_75 + (perc_90 - perc_75) * (2/3), converted_stat, '2K_Ratings'!Q619, IF(bbgm_stat &gt;= perc_95, converted_stat * 3, IF(bbgm_stat &gt;= perc_90, converted_stat * 2, IF(bbgm_stat &gt;= perc_85, converted_stat * 1.5, converted_stat)))))</f>
        <v/>
      </c>
      <c r="R619" s="30" t="str">
        <f t="array" ref="R619">IF($A619="", "", LET(bbgm_stat, INDEX(Players!$A618:$P618, MATCH(R$2, Players!$A$1:$P$1, 0)), perc_75, VLOOKUP(R$2, Percentiles!$A$45:$I$59, 6, FALSE), perc_90, VLOOKUP(R$2, Percentiles!$A$45:$I$59, 7, FALSE), perc_95, VLOOKUP(R$2, Percentiles!$A$45:$I$59, 8, FALSE), perc_85, perc_75 + (perc_90 - perc_75) * (2/3), converted_stat, '2K_Ratings'!R619, IF(bbgm_stat &gt;= perc_95, converted_stat * 3, IF(bbgm_stat &gt;= perc_90, converted_stat * 2, IF(bbgm_stat &gt;= perc_85, converted_stat * 1.5, converted_stat)))))</f>
        <v/>
      </c>
      <c r="S619" s="30" t="str">
        <f t="array" ref="S619">IF($A619="", "", LET(bbgm_stat, INDEX(Players!$A618:$P618, MATCH(S$2, Players!$A$1:$P$1, 0)), perc_75, VLOOKUP(S$2, Percentiles!$A$45:$I$59, 6, FALSE), perc_90, VLOOKUP(S$2, Percentiles!$A$45:$I$59, 7, FALSE), perc_95, VLOOKUP(S$2, Percentiles!$A$45:$I$59, 8, FALSE), perc_85, perc_75 + (perc_90 - perc_75) * (2/3), converted_stat, '2K_Ratings'!S619, IF(bbgm_stat &gt;= perc_95, converted_stat * 3, IF(bbgm_stat &gt;= perc_90, converted_stat * 2, IF(bbgm_stat &gt;= perc_85, converted_stat * 1.5, converted_stat)))))</f>
        <v/>
      </c>
      <c r="T619" s="30" t="str">
        <f t="array" ref="T619">IF($A619="", "", LET(bbgm_stat, INDEX(Players!$A618:$P618, MATCH(T$2, Players!$A$1:$P$1, 0)), perc_75, VLOOKUP(T$2, Percentiles!$A$45:$I$59, 6, FALSE), perc_90, VLOOKUP(T$2, Percentiles!$A$45:$I$59, 7, FALSE), perc_95, VLOOKUP(T$2, Percentiles!$A$45:$I$59, 8, FALSE), perc_85, perc_75 + (perc_90 - perc_75) * (2/3), converted_stat, '2K_Ratings'!T619, IF(bbgm_stat &gt;= perc_95, converted_stat * 3, IF(bbgm_stat &gt;= perc_90, converted_stat * 2, IF(bbgm_stat &gt;= perc_85, converted_stat * 1.5, converted_stat)))))</f>
        <v/>
      </c>
      <c r="U619" s="30" t="str">
        <f t="array" ref="U619">IF($A619="", "", LET(bbgm_stat, INDEX(Players!$A618:$P618, MATCH(U$2, Players!$A$1:$P$1, 0)), perc_75, VLOOKUP(U$2, Percentiles!$A$45:$I$59, 6, FALSE), perc_90, VLOOKUP(U$2, Percentiles!$A$45:$I$59, 7, FALSE), perc_95, VLOOKUP(U$2, Percentiles!$A$45:$I$59, 8, FALSE), perc_85, perc_75 + (perc_90 - perc_75) * (2/3), converted_stat, '2K_Ratings'!U619, IF(bbgm_stat &gt;= perc_95, converted_stat * 3, IF(bbgm_stat &gt;= perc_90, converted_stat * 2, IF(bbgm_stat &gt;= perc_85, converted_stat * 1.5, converted_stat)))))</f>
        <v/>
      </c>
      <c r="V619" s="30" t="str">
        <f t="array" ref="V619">IF($A619="", "", LET(bbgm_stat, INDEX(Players!$A618:$P618, MATCH(V$2, Players!$A$1:$P$1, 0)), perc_75, VLOOKUP(V$2, Percentiles!$A$45:$I$59, 6, FALSE), perc_90, VLOOKUP(V$2, Percentiles!$A$45:$I$59, 7, FALSE), perc_95, VLOOKUP(V$2, Percentiles!$A$45:$I$59, 8, FALSE), perc_85, perc_75 + (perc_90 - perc_75) * (2/3), converted_stat, '2K_Ratings'!V619, IF(bbgm_stat &gt;= perc_95, converted_stat * 3, IF(bbgm_stat &gt;= perc_90, converted_stat * 2, IF(bbgm_stat &gt;= perc_85, converted_stat * 1.5, converted_stat)))))</f>
        <v/>
      </c>
      <c r="W619" s="30" t="str">
        <f t="array" ref="W619">IF($A619="", "", LET(bbgm_stat, INDEX(Players!$A618:$P618, MATCH(W$2, Players!$A$1:$P$1, 0)), perc_75, VLOOKUP(W$2, Percentiles!$A$45:$I$59, 6, FALSE), perc_90, VLOOKUP(W$2, Percentiles!$A$45:$I$59, 7, FALSE), perc_95, VLOOKUP(W$2, Percentiles!$A$45:$I$59, 8, FALSE), perc_85, perc_75 + (perc_90 - perc_75) * (2/3), converted_stat, '2K_Ratings'!W619, IF(bbgm_stat &gt;= perc_95, converted_stat * 3, IF(bbgm_stat &gt;= perc_90, converted_stat * 2, IF(bbgm_stat &gt;= perc_85, converted_stat * 1.5, converted_stat)))))</f>
        <v/>
      </c>
    </row>
    <row r="620">
      <c r="A620" s="30"/>
      <c r="B620" s="30" t="str">
        <f t="array" ref="B620">IF($A620="", "", LET(bbgm_stat, INDEX(Players!$A619:$P619, MATCH(B$2, Players!$A$1:$P$1, 0)), perc_75, VLOOKUP(B$2, Percentiles!$A$45:$I$59, 6, FALSE), perc_90, VLOOKUP(B$2, Percentiles!$A$45:$I$59, 7, FALSE), perc_95, VLOOKUP(B$2, Percentiles!$A$45:$I$59, 8, FALSE), perc_85, perc_75 + (perc_90 - perc_75) * (2/3), converted_stat, '2K_Ratings'!B620, IF(bbgm_stat &gt;= perc_95, converted_stat * 3, IF(bbgm_stat &gt;= perc_90, converted_stat * 2, IF(bbgm_stat &gt;= perc_85, converted_stat * 1.5, converted_stat)))))</f>
        <v/>
      </c>
      <c r="C620" s="30" t="str">
        <f t="array" ref="C620">IF($A620="", "", LET(bbgm_stat, INDEX(Players!$A619:$P619, MATCH(C$2, Players!$A$1:$P$1, 0)), perc_75, VLOOKUP(C$2, Percentiles!$A$45:$I$59, 6, FALSE), perc_90, VLOOKUP(C$2, Percentiles!$A$45:$I$59, 7, FALSE), perc_95, VLOOKUP(C$2, Percentiles!$A$45:$I$59, 8, FALSE), perc_85, perc_75 + (perc_90 - perc_75) * (2/3), converted_stat, '2K_Ratings'!C620, IF(bbgm_stat &gt;= perc_95, converted_stat * 3, IF(bbgm_stat &gt;= perc_90, converted_stat * 2, IF(bbgm_stat &gt;= perc_85, converted_stat * 1.5, converted_stat)))))</f>
        <v/>
      </c>
      <c r="D620" s="30" t="str">
        <f t="array" ref="D620">IF($A620="", "", LET(bbgm_stat, INDEX(Players!$A619:$P619, MATCH(D$2, Players!$A$1:$P$1, 0)), perc_75, VLOOKUP(D$2, Percentiles!$A$45:$I$59, 6, FALSE), perc_90, VLOOKUP(D$2, Percentiles!$A$45:$I$59, 7, FALSE), perc_95, VLOOKUP(D$2, Percentiles!$A$45:$I$59, 8, FALSE), perc_85, perc_75 + (perc_90 - perc_75) * (2/3), converted_stat, '2K_Ratings'!D620, IF(bbgm_stat &gt;= perc_95, converted_stat * 3, IF(bbgm_stat &gt;= perc_90, converted_stat * 2, IF(bbgm_stat &gt;= perc_85, converted_stat * 1.5, converted_stat)))))</f>
        <v/>
      </c>
      <c r="E620" s="30" t="str">
        <f t="array" ref="E620">IF($A620="", "", LET(bbgm_stat, INDEX(Players!$A619:$P619, MATCH(E$2, Players!$A$1:$P$1, 0)), perc_75, VLOOKUP(E$2, Percentiles!$A$45:$I$59, 6, FALSE), perc_90, VLOOKUP(E$2, Percentiles!$A$45:$I$59, 7, FALSE), perc_95, VLOOKUP(E$2, Percentiles!$A$45:$I$59, 8, FALSE), perc_85, perc_75 + (perc_90 - perc_75) * (2/3), converted_stat, '2K_Ratings'!E620, IF(bbgm_stat &gt;= perc_95, converted_stat * 3, IF(bbgm_stat &gt;= perc_90, converted_stat * 2, IF(bbgm_stat &gt;= perc_85, converted_stat * 1.5, converted_stat)))))</f>
        <v/>
      </c>
      <c r="F620" s="30" t="str">
        <f t="array" ref="F620">IF($A620="", "", LET(bbgm_stat, INDEX(Players!$A619:$P619, MATCH(F$2, Players!$A$1:$P$1, 0)), perc_75, VLOOKUP(F$2, Percentiles!$A$45:$I$59, 6, FALSE), perc_90, VLOOKUP(F$2, Percentiles!$A$45:$I$59, 7, FALSE), perc_95, VLOOKUP(F$2, Percentiles!$A$45:$I$59, 8, FALSE), perc_85, perc_75 + (perc_90 - perc_75) * (2/3), converted_stat, '2K_Ratings'!F620, IF(bbgm_stat &gt;= perc_95, converted_stat * 3, IF(bbgm_stat &gt;= perc_90, converted_stat * 2, IF(bbgm_stat &gt;= perc_85, converted_stat * 1.5, converted_stat)))))</f>
        <v/>
      </c>
      <c r="G620" s="30" t="str">
        <f t="array" ref="G620">IF($A620="", "", LET(bbgm_stat, INDEX(Players!$A619:$P619, MATCH(G$2, Players!$A$1:$P$1, 0)), perc_75, VLOOKUP(G$2, Percentiles!$A$45:$I$59, 6, FALSE), perc_90, VLOOKUP(G$2, Percentiles!$A$45:$I$59, 7, FALSE), perc_95, VLOOKUP(G$2, Percentiles!$A$45:$I$59, 8, FALSE), perc_85, perc_75 + (perc_90 - perc_75) * (2/3), converted_stat, '2K_Ratings'!G620, IF(bbgm_stat &gt;= perc_95, converted_stat * 3, IF(bbgm_stat &gt;= perc_90, converted_stat * 2, IF(bbgm_stat &gt;= perc_85, converted_stat * 1.5, converted_stat)))))</f>
        <v/>
      </c>
      <c r="H620" s="30" t="str">
        <f t="array" ref="H620">IF($A620="", "", LET(bbgm_stat, INDEX(Players!$A619:$P619, MATCH(H$2, Players!$A$1:$P$1, 0)), perc_75, VLOOKUP(H$2, Percentiles!$A$45:$I$59, 6, FALSE), perc_90, VLOOKUP(H$2, Percentiles!$A$45:$I$59, 7, FALSE), perc_95, VLOOKUP(H$2, Percentiles!$A$45:$I$59, 8, FALSE), perc_85, perc_75 + (perc_90 - perc_75) * (2/3), converted_stat, '2K_Ratings'!H620, IF(bbgm_stat &gt;= perc_95, converted_stat * 3, IF(bbgm_stat &gt;= perc_90, converted_stat * 2, IF(bbgm_stat &gt;= perc_85, converted_stat * 1.5, converted_stat)))))</f>
        <v/>
      </c>
      <c r="I620" s="30" t="str">
        <f t="array" ref="I620">IF($A620="", "", LET(bbgm_stat, INDEX(Players!$A619:$P619, MATCH(I$2, Players!$A$1:$P$1, 0)), perc_75, VLOOKUP(I$2, Percentiles!$A$45:$I$59, 6, FALSE), perc_90, VLOOKUP(I$2, Percentiles!$A$45:$I$59, 7, FALSE), perc_95, VLOOKUP(I$2, Percentiles!$A$45:$I$59, 8, FALSE), perc_85, perc_75 + (perc_90 - perc_75) * (2/3), converted_stat, '2K_Ratings'!I620, IF(bbgm_stat &gt;= perc_95, converted_stat * 3, IF(bbgm_stat &gt;= perc_90, converted_stat * 2, IF(bbgm_stat &gt;= perc_85, converted_stat * 1.5, converted_stat)))))</f>
        <v/>
      </c>
      <c r="J620" s="30" t="str">
        <f t="array" ref="J620">IF($A620="", "", LET(bbgm_stat, INDEX(Players!$A619:$P619, MATCH(J$2, Players!$A$1:$P$1, 0)), perc_75, VLOOKUP(J$2, Percentiles!$A$45:$I$59, 6, FALSE), perc_90, VLOOKUP(J$2, Percentiles!$A$45:$I$59, 7, FALSE), perc_95, VLOOKUP(J$2, Percentiles!$A$45:$I$59, 8, FALSE), perc_85, perc_75 + (perc_90 - perc_75) * (2/3), converted_stat, '2K_Ratings'!J620, IF(bbgm_stat &gt;= perc_95, converted_stat * 3, IF(bbgm_stat &gt;= perc_90, converted_stat * 2, IF(bbgm_stat &gt;= perc_85, converted_stat * 1.5, converted_stat)))))</f>
        <v/>
      </c>
      <c r="K620" s="30" t="str">
        <f t="array" ref="K620">IF($A620="", "", LET(bbgm_stat, INDEX(Players!$A619:$P619, MATCH(K$2, Players!$A$1:$P$1, 0)), perc_75, VLOOKUP(K$2, Percentiles!$A$45:$I$59, 6, FALSE), perc_90, VLOOKUP(K$2, Percentiles!$A$45:$I$59, 7, FALSE), perc_95, VLOOKUP(K$2, Percentiles!$A$45:$I$59, 8, FALSE), perc_85, perc_75 + (perc_90 - perc_75) * (2/3), converted_stat, '2K_Ratings'!K620, IF(bbgm_stat &gt;= perc_95, converted_stat * 3, IF(bbgm_stat &gt;= perc_90, converted_stat * 2, IF(bbgm_stat &gt;= perc_85, converted_stat * 1.5, converted_stat)))))</f>
        <v/>
      </c>
      <c r="L620" s="30" t="str">
        <f t="array" ref="L620">IF($A620="", "", LET(bbgm_stat, INDEX(Players!$A619:$P619, MATCH(L$2, Players!$A$1:$P$1, 0)), perc_75, VLOOKUP(L$2, Percentiles!$A$45:$I$59, 6, FALSE), perc_90, VLOOKUP(L$2, Percentiles!$A$45:$I$59, 7, FALSE), perc_95, VLOOKUP(L$2, Percentiles!$A$45:$I$59, 8, FALSE), perc_85, perc_75 + (perc_90 - perc_75) * (2/3), converted_stat, '2K_Ratings'!L620, IF(bbgm_stat &gt;= perc_95, converted_stat * 3, IF(bbgm_stat &gt;= perc_90, converted_stat * 2, IF(bbgm_stat &gt;= perc_85, converted_stat * 1.5, converted_stat)))))</f>
        <v/>
      </c>
      <c r="M620" s="30" t="str">
        <f t="array" ref="M620">IF($A620="", "", LET(bbgm_stat, INDEX(Players!$A619:$P619, MATCH(M$2, Players!$A$1:$P$1, 0)), perc_75, VLOOKUP(M$2, Percentiles!$A$45:$I$59, 6, FALSE), perc_90, VLOOKUP(M$2, Percentiles!$A$45:$I$59, 7, FALSE), perc_95, VLOOKUP(M$2, Percentiles!$A$45:$I$59, 8, FALSE), perc_85, perc_75 + (perc_90 - perc_75) * (2/3), converted_stat, '2K_Ratings'!M620, IF(bbgm_stat &gt;= perc_95, converted_stat * 3, IF(bbgm_stat &gt;= perc_90, converted_stat * 2, IF(bbgm_stat &gt;= perc_85, converted_stat * 1.5, converted_stat)))))</f>
        <v/>
      </c>
      <c r="N620" s="30" t="str">
        <f t="array" ref="N620">IF($A620="", "", LET(bbgm_stat, INDEX(Players!$A619:$P619, MATCH(N$2, Players!$A$1:$P$1, 0)), perc_75, VLOOKUP(N$2, Percentiles!$A$45:$I$59, 6, FALSE), perc_90, VLOOKUP(N$2, Percentiles!$A$45:$I$59, 7, FALSE), perc_95, VLOOKUP(N$2, Percentiles!$A$45:$I$59, 8, FALSE), perc_85, perc_75 + (perc_90 - perc_75) * (2/3), converted_stat, '2K_Ratings'!N620, IF(bbgm_stat &gt;= perc_95, converted_stat * 3, IF(bbgm_stat &gt;= perc_90, converted_stat * 2, IF(bbgm_stat &gt;= perc_85, converted_stat * 1.5, converted_stat)))))</f>
        <v/>
      </c>
      <c r="O620" s="30" t="str">
        <f t="array" ref="O620">IF($A620="", "", LET(bbgm_stat, INDEX(Players!$A619:$P619, MATCH(O$2, Players!$A$1:$P$1, 0)), perc_75, VLOOKUP(O$2, Percentiles!$A$45:$I$59, 6, FALSE), perc_90, VLOOKUP(O$2, Percentiles!$A$45:$I$59, 7, FALSE), perc_95, VLOOKUP(O$2, Percentiles!$A$45:$I$59, 8, FALSE), perc_85, perc_75 + (perc_90 - perc_75) * (2/3), converted_stat, '2K_Ratings'!O620, IF(bbgm_stat &gt;= perc_95, converted_stat * 3, IF(bbgm_stat &gt;= perc_90, converted_stat * 2, IF(bbgm_stat &gt;= perc_85, converted_stat * 1.5, converted_stat)))))</f>
        <v/>
      </c>
      <c r="P620" s="30" t="str">
        <f t="array" ref="P620">IF($A620="", "", LET(bbgm_stat, INDEX(Players!$A619:$P619, MATCH(P$2, Players!$A$1:$P$1, 0)), perc_75, VLOOKUP(P$2, Percentiles!$A$45:$I$59, 6, FALSE), perc_90, VLOOKUP(P$2, Percentiles!$A$45:$I$59, 7, FALSE), perc_95, VLOOKUP(P$2, Percentiles!$A$45:$I$59, 8, FALSE), perc_85, perc_75 + (perc_90 - perc_75) * (2/3), converted_stat, '2K_Ratings'!P620, IF(bbgm_stat &gt;= perc_95, converted_stat * 3, IF(bbgm_stat &gt;= perc_90, converted_stat * 2, IF(bbgm_stat &gt;= perc_85, converted_stat * 1.5, converted_stat)))))</f>
        <v/>
      </c>
      <c r="Q620" s="30" t="str">
        <f t="array" ref="Q620">IF($A620="", "", LET(bbgm_stat, INDEX(Players!$A619:$P619, MATCH(Q$2, Players!$A$1:$P$1, 0)), perc_75, VLOOKUP(Q$2, Percentiles!$A$45:$I$59, 6, FALSE), perc_90, VLOOKUP(Q$2, Percentiles!$A$45:$I$59, 7, FALSE), perc_95, VLOOKUP(Q$2, Percentiles!$A$45:$I$59, 8, FALSE), perc_85, perc_75 + (perc_90 - perc_75) * (2/3), converted_stat, '2K_Ratings'!Q620, IF(bbgm_stat &gt;= perc_95, converted_stat * 3, IF(bbgm_stat &gt;= perc_90, converted_stat * 2, IF(bbgm_stat &gt;= perc_85, converted_stat * 1.5, converted_stat)))))</f>
        <v/>
      </c>
      <c r="R620" s="30" t="str">
        <f t="array" ref="R620">IF($A620="", "", LET(bbgm_stat, INDEX(Players!$A619:$P619, MATCH(R$2, Players!$A$1:$P$1, 0)), perc_75, VLOOKUP(R$2, Percentiles!$A$45:$I$59, 6, FALSE), perc_90, VLOOKUP(R$2, Percentiles!$A$45:$I$59, 7, FALSE), perc_95, VLOOKUP(R$2, Percentiles!$A$45:$I$59, 8, FALSE), perc_85, perc_75 + (perc_90 - perc_75) * (2/3), converted_stat, '2K_Ratings'!R620, IF(bbgm_stat &gt;= perc_95, converted_stat * 3, IF(bbgm_stat &gt;= perc_90, converted_stat * 2, IF(bbgm_stat &gt;= perc_85, converted_stat * 1.5, converted_stat)))))</f>
        <v/>
      </c>
      <c r="S620" s="30" t="str">
        <f t="array" ref="S620">IF($A620="", "", LET(bbgm_stat, INDEX(Players!$A619:$P619, MATCH(S$2, Players!$A$1:$P$1, 0)), perc_75, VLOOKUP(S$2, Percentiles!$A$45:$I$59, 6, FALSE), perc_90, VLOOKUP(S$2, Percentiles!$A$45:$I$59, 7, FALSE), perc_95, VLOOKUP(S$2, Percentiles!$A$45:$I$59, 8, FALSE), perc_85, perc_75 + (perc_90 - perc_75) * (2/3), converted_stat, '2K_Ratings'!S620, IF(bbgm_stat &gt;= perc_95, converted_stat * 3, IF(bbgm_stat &gt;= perc_90, converted_stat * 2, IF(bbgm_stat &gt;= perc_85, converted_stat * 1.5, converted_stat)))))</f>
        <v/>
      </c>
      <c r="T620" s="30" t="str">
        <f t="array" ref="T620">IF($A620="", "", LET(bbgm_stat, INDEX(Players!$A619:$P619, MATCH(T$2, Players!$A$1:$P$1, 0)), perc_75, VLOOKUP(T$2, Percentiles!$A$45:$I$59, 6, FALSE), perc_90, VLOOKUP(T$2, Percentiles!$A$45:$I$59, 7, FALSE), perc_95, VLOOKUP(T$2, Percentiles!$A$45:$I$59, 8, FALSE), perc_85, perc_75 + (perc_90 - perc_75) * (2/3), converted_stat, '2K_Ratings'!T620, IF(bbgm_stat &gt;= perc_95, converted_stat * 3, IF(bbgm_stat &gt;= perc_90, converted_stat * 2, IF(bbgm_stat &gt;= perc_85, converted_stat * 1.5, converted_stat)))))</f>
        <v/>
      </c>
      <c r="U620" s="30" t="str">
        <f t="array" ref="U620">IF($A620="", "", LET(bbgm_stat, INDEX(Players!$A619:$P619, MATCH(U$2, Players!$A$1:$P$1, 0)), perc_75, VLOOKUP(U$2, Percentiles!$A$45:$I$59, 6, FALSE), perc_90, VLOOKUP(U$2, Percentiles!$A$45:$I$59, 7, FALSE), perc_95, VLOOKUP(U$2, Percentiles!$A$45:$I$59, 8, FALSE), perc_85, perc_75 + (perc_90 - perc_75) * (2/3), converted_stat, '2K_Ratings'!U620, IF(bbgm_stat &gt;= perc_95, converted_stat * 3, IF(bbgm_stat &gt;= perc_90, converted_stat * 2, IF(bbgm_stat &gt;= perc_85, converted_stat * 1.5, converted_stat)))))</f>
        <v/>
      </c>
      <c r="V620" s="30" t="str">
        <f t="array" ref="V620">IF($A620="", "", LET(bbgm_stat, INDEX(Players!$A619:$P619, MATCH(V$2, Players!$A$1:$P$1, 0)), perc_75, VLOOKUP(V$2, Percentiles!$A$45:$I$59, 6, FALSE), perc_90, VLOOKUP(V$2, Percentiles!$A$45:$I$59, 7, FALSE), perc_95, VLOOKUP(V$2, Percentiles!$A$45:$I$59, 8, FALSE), perc_85, perc_75 + (perc_90 - perc_75) * (2/3), converted_stat, '2K_Ratings'!V620, IF(bbgm_stat &gt;= perc_95, converted_stat * 3, IF(bbgm_stat &gt;= perc_90, converted_stat * 2, IF(bbgm_stat &gt;= perc_85, converted_stat * 1.5, converted_stat)))))</f>
        <v/>
      </c>
      <c r="W620" s="30" t="str">
        <f t="array" ref="W620">IF($A620="", "", LET(bbgm_stat, INDEX(Players!$A619:$P619, MATCH(W$2, Players!$A$1:$P$1, 0)), perc_75, VLOOKUP(W$2, Percentiles!$A$45:$I$59, 6, FALSE), perc_90, VLOOKUP(W$2, Percentiles!$A$45:$I$59, 7, FALSE), perc_95, VLOOKUP(W$2, Percentiles!$A$45:$I$59, 8, FALSE), perc_85, perc_75 + (perc_90 - perc_75) * (2/3), converted_stat, '2K_Ratings'!W620, IF(bbgm_stat &gt;= perc_95, converted_stat * 3, IF(bbgm_stat &gt;= perc_90, converted_stat * 2, IF(bbgm_stat &gt;= perc_85, converted_stat * 1.5, converted_stat)))))</f>
        <v/>
      </c>
    </row>
    <row r="621">
      <c r="A621" s="30"/>
      <c r="B621" s="30" t="str">
        <f t="array" ref="B621">IF($A621="", "", LET(bbgm_stat, INDEX(Players!$A620:$P620, MATCH(B$2, Players!$A$1:$P$1, 0)), perc_75, VLOOKUP(B$2, Percentiles!$A$45:$I$59, 6, FALSE), perc_90, VLOOKUP(B$2, Percentiles!$A$45:$I$59, 7, FALSE), perc_95, VLOOKUP(B$2, Percentiles!$A$45:$I$59, 8, FALSE), perc_85, perc_75 + (perc_90 - perc_75) * (2/3), converted_stat, '2K_Ratings'!B621, IF(bbgm_stat &gt;= perc_95, converted_stat * 3, IF(bbgm_stat &gt;= perc_90, converted_stat * 2, IF(bbgm_stat &gt;= perc_85, converted_stat * 1.5, converted_stat)))))</f>
        <v/>
      </c>
      <c r="C621" s="30" t="str">
        <f t="array" ref="C621">IF($A621="", "", LET(bbgm_stat, INDEX(Players!$A620:$P620, MATCH(C$2, Players!$A$1:$P$1, 0)), perc_75, VLOOKUP(C$2, Percentiles!$A$45:$I$59, 6, FALSE), perc_90, VLOOKUP(C$2, Percentiles!$A$45:$I$59, 7, FALSE), perc_95, VLOOKUP(C$2, Percentiles!$A$45:$I$59, 8, FALSE), perc_85, perc_75 + (perc_90 - perc_75) * (2/3), converted_stat, '2K_Ratings'!C621, IF(bbgm_stat &gt;= perc_95, converted_stat * 3, IF(bbgm_stat &gt;= perc_90, converted_stat * 2, IF(bbgm_stat &gt;= perc_85, converted_stat * 1.5, converted_stat)))))</f>
        <v/>
      </c>
      <c r="D621" s="30" t="str">
        <f t="array" ref="D621">IF($A621="", "", LET(bbgm_stat, INDEX(Players!$A620:$P620, MATCH(D$2, Players!$A$1:$P$1, 0)), perc_75, VLOOKUP(D$2, Percentiles!$A$45:$I$59, 6, FALSE), perc_90, VLOOKUP(D$2, Percentiles!$A$45:$I$59, 7, FALSE), perc_95, VLOOKUP(D$2, Percentiles!$A$45:$I$59, 8, FALSE), perc_85, perc_75 + (perc_90 - perc_75) * (2/3), converted_stat, '2K_Ratings'!D621, IF(bbgm_stat &gt;= perc_95, converted_stat * 3, IF(bbgm_stat &gt;= perc_90, converted_stat * 2, IF(bbgm_stat &gt;= perc_85, converted_stat * 1.5, converted_stat)))))</f>
        <v/>
      </c>
      <c r="E621" s="30" t="str">
        <f t="array" ref="E621">IF($A621="", "", LET(bbgm_stat, INDEX(Players!$A620:$P620, MATCH(E$2, Players!$A$1:$P$1, 0)), perc_75, VLOOKUP(E$2, Percentiles!$A$45:$I$59, 6, FALSE), perc_90, VLOOKUP(E$2, Percentiles!$A$45:$I$59, 7, FALSE), perc_95, VLOOKUP(E$2, Percentiles!$A$45:$I$59, 8, FALSE), perc_85, perc_75 + (perc_90 - perc_75) * (2/3), converted_stat, '2K_Ratings'!E621, IF(bbgm_stat &gt;= perc_95, converted_stat * 3, IF(bbgm_stat &gt;= perc_90, converted_stat * 2, IF(bbgm_stat &gt;= perc_85, converted_stat * 1.5, converted_stat)))))</f>
        <v/>
      </c>
      <c r="F621" s="30" t="str">
        <f t="array" ref="F621">IF($A621="", "", LET(bbgm_stat, INDEX(Players!$A620:$P620, MATCH(F$2, Players!$A$1:$P$1, 0)), perc_75, VLOOKUP(F$2, Percentiles!$A$45:$I$59, 6, FALSE), perc_90, VLOOKUP(F$2, Percentiles!$A$45:$I$59, 7, FALSE), perc_95, VLOOKUP(F$2, Percentiles!$A$45:$I$59, 8, FALSE), perc_85, perc_75 + (perc_90 - perc_75) * (2/3), converted_stat, '2K_Ratings'!F621, IF(bbgm_stat &gt;= perc_95, converted_stat * 3, IF(bbgm_stat &gt;= perc_90, converted_stat * 2, IF(bbgm_stat &gt;= perc_85, converted_stat * 1.5, converted_stat)))))</f>
        <v/>
      </c>
      <c r="G621" s="30" t="str">
        <f t="array" ref="G621">IF($A621="", "", LET(bbgm_stat, INDEX(Players!$A620:$P620, MATCH(G$2, Players!$A$1:$P$1, 0)), perc_75, VLOOKUP(G$2, Percentiles!$A$45:$I$59, 6, FALSE), perc_90, VLOOKUP(G$2, Percentiles!$A$45:$I$59, 7, FALSE), perc_95, VLOOKUP(G$2, Percentiles!$A$45:$I$59, 8, FALSE), perc_85, perc_75 + (perc_90 - perc_75) * (2/3), converted_stat, '2K_Ratings'!G621, IF(bbgm_stat &gt;= perc_95, converted_stat * 3, IF(bbgm_stat &gt;= perc_90, converted_stat * 2, IF(bbgm_stat &gt;= perc_85, converted_stat * 1.5, converted_stat)))))</f>
        <v/>
      </c>
      <c r="H621" s="30" t="str">
        <f t="array" ref="H621">IF($A621="", "", LET(bbgm_stat, INDEX(Players!$A620:$P620, MATCH(H$2, Players!$A$1:$P$1, 0)), perc_75, VLOOKUP(H$2, Percentiles!$A$45:$I$59, 6, FALSE), perc_90, VLOOKUP(H$2, Percentiles!$A$45:$I$59, 7, FALSE), perc_95, VLOOKUP(H$2, Percentiles!$A$45:$I$59, 8, FALSE), perc_85, perc_75 + (perc_90 - perc_75) * (2/3), converted_stat, '2K_Ratings'!H621, IF(bbgm_stat &gt;= perc_95, converted_stat * 3, IF(bbgm_stat &gt;= perc_90, converted_stat * 2, IF(bbgm_stat &gt;= perc_85, converted_stat * 1.5, converted_stat)))))</f>
        <v/>
      </c>
      <c r="I621" s="30" t="str">
        <f t="array" ref="I621">IF($A621="", "", LET(bbgm_stat, INDEX(Players!$A620:$P620, MATCH(I$2, Players!$A$1:$P$1, 0)), perc_75, VLOOKUP(I$2, Percentiles!$A$45:$I$59, 6, FALSE), perc_90, VLOOKUP(I$2, Percentiles!$A$45:$I$59, 7, FALSE), perc_95, VLOOKUP(I$2, Percentiles!$A$45:$I$59, 8, FALSE), perc_85, perc_75 + (perc_90 - perc_75) * (2/3), converted_stat, '2K_Ratings'!I621, IF(bbgm_stat &gt;= perc_95, converted_stat * 3, IF(bbgm_stat &gt;= perc_90, converted_stat * 2, IF(bbgm_stat &gt;= perc_85, converted_stat * 1.5, converted_stat)))))</f>
        <v/>
      </c>
      <c r="J621" s="30" t="str">
        <f t="array" ref="J621">IF($A621="", "", LET(bbgm_stat, INDEX(Players!$A620:$P620, MATCH(J$2, Players!$A$1:$P$1, 0)), perc_75, VLOOKUP(J$2, Percentiles!$A$45:$I$59, 6, FALSE), perc_90, VLOOKUP(J$2, Percentiles!$A$45:$I$59, 7, FALSE), perc_95, VLOOKUP(J$2, Percentiles!$A$45:$I$59, 8, FALSE), perc_85, perc_75 + (perc_90 - perc_75) * (2/3), converted_stat, '2K_Ratings'!J621, IF(bbgm_stat &gt;= perc_95, converted_stat * 3, IF(bbgm_stat &gt;= perc_90, converted_stat * 2, IF(bbgm_stat &gt;= perc_85, converted_stat * 1.5, converted_stat)))))</f>
        <v/>
      </c>
      <c r="K621" s="30" t="str">
        <f t="array" ref="K621">IF($A621="", "", LET(bbgm_stat, INDEX(Players!$A620:$P620, MATCH(K$2, Players!$A$1:$P$1, 0)), perc_75, VLOOKUP(K$2, Percentiles!$A$45:$I$59, 6, FALSE), perc_90, VLOOKUP(K$2, Percentiles!$A$45:$I$59, 7, FALSE), perc_95, VLOOKUP(K$2, Percentiles!$A$45:$I$59, 8, FALSE), perc_85, perc_75 + (perc_90 - perc_75) * (2/3), converted_stat, '2K_Ratings'!K621, IF(bbgm_stat &gt;= perc_95, converted_stat * 3, IF(bbgm_stat &gt;= perc_90, converted_stat * 2, IF(bbgm_stat &gt;= perc_85, converted_stat * 1.5, converted_stat)))))</f>
        <v/>
      </c>
      <c r="L621" s="30" t="str">
        <f t="array" ref="L621">IF($A621="", "", LET(bbgm_stat, INDEX(Players!$A620:$P620, MATCH(L$2, Players!$A$1:$P$1, 0)), perc_75, VLOOKUP(L$2, Percentiles!$A$45:$I$59, 6, FALSE), perc_90, VLOOKUP(L$2, Percentiles!$A$45:$I$59, 7, FALSE), perc_95, VLOOKUP(L$2, Percentiles!$A$45:$I$59, 8, FALSE), perc_85, perc_75 + (perc_90 - perc_75) * (2/3), converted_stat, '2K_Ratings'!L621, IF(bbgm_stat &gt;= perc_95, converted_stat * 3, IF(bbgm_stat &gt;= perc_90, converted_stat * 2, IF(bbgm_stat &gt;= perc_85, converted_stat * 1.5, converted_stat)))))</f>
        <v/>
      </c>
      <c r="M621" s="30" t="str">
        <f t="array" ref="M621">IF($A621="", "", LET(bbgm_stat, INDEX(Players!$A620:$P620, MATCH(M$2, Players!$A$1:$P$1, 0)), perc_75, VLOOKUP(M$2, Percentiles!$A$45:$I$59, 6, FALSE), perc_90, VLOOKUP(M$2, Percentiles!$A$45:$I$59, 7, FALSE), perc_95, VLOOKUP(M$2, Percentiles!$A$45:$I$59, 8, FALSE), perc_85, perc_75 + (perc_90 - perc_75) * (2/3), converted_stat, '2K_Ratings'!M621, IF(bbgm_stat &gt;= perc_95, converted_stat * 3, IF(bbgm_stat &gt;= perc_90, converted_stat * 2, IF(bbgm_stat &gt;= perc_85, converted_stat * 1.5, converted_stat)))))</f>
        <v/>
      </c>
      <c r="N621" s="30" t="str">
        <f t="array" ref="N621">IF($A621="", "", LET(bbgm_stat, INDEX(Players!$A620:$P620, MATCH(N$2, Players!$A$1:$P$1, 0)), perc_75, VLOOKUP(N$2, Percentiles!$A$45:$I$59, 6, FALSE), perc_90, VLOOKUP(N$2, Percentiles!$A$45:$I$59, 7, FALSE), perc_95, VLOOKUP(N$2, Percentiles!$A$45:$I$59, 8, FALSE), perc_85, perc_75 + (perc_90 - perc_75) * (2/3), converted_stat, '2K_Ratings'!N621, IF(bbgm_stat &gt;= perc_95, converted_stat * 3, IF(bbgm_stat &gt;= perc_90, converted_stat * 2, IF(bbgm_stat &gt;= perc_85, converted_stat * 1.5, converted_stat)))))</f>
        <v/>
      </c>
      <c r="O621" s="30" t="str">
        <f t="array" ref="O621">IF($A621="", "", LET(bbgm_stat, INDEX(Players!$A620:$P620, MATCH(O$2, Players!$A$1:$P$1, 0)), perc_75, VLOOKUP(O$2, Percentiles!$A$45:$I$59, 6, FALSE), perc_90, VLOOKUP(O$2, Percentiles!$A$45:$I$59, 7, FALSE), perc_95, VLOOKUP(O$2, Percentiles!$A$45:$I$59, 8, FALSE), perc_85, perc_75 + (perc_90 - perc_75) * (2/3), converted_stat, '2K_Ratings'!O621, IF(bbgm_stat &gt;= perc_95, converted_stat * 3, IF(bbgm_stat &gt;= perc_90, converted_stat * 2, IF(bbgm_stat &gt;= perc_85, converted_stat * 1.5, converted_stat)))))</f>
        <v/>
      </c>
      <c r="P621" s="30" t="str">
        <f t="array" ref="P621">IF($A621="", "", LET(bbgm_stat, INDEX(Players!$A620:$P620, MATCH(P$2, Players!$A$1:$P$1, 0)), perc_75, VLOOKUP(P$2, Percentiles!$A$45:$I$59, 6, FALSE), perc_90, VLOOKUP(P$2, Percentiles!$A$45:$I$59, 7, FALSE), perc_95, VLOOKUP(P$2, Percentiles!$A$45:$I$59, 8, FALSE), perc_85, perc_75 + (perc_90 - perc_75) * (2/3), converted_stat, '2K_Ratings'!P621, IF(bbgm_stat &gt;= perc_95, converted_stat * 3, IF(bbgm_stat &gt;= perc_90, converted_stat * 2, IF(bbgm_stat &gt;= perc_85, converted_stat * 1.5, converted_stat)))))</f>
        <v/>
      </c>
      <c r="Q621" s="30" t="str">
        <f t="array" ref="Q621">IF($A621="", "", LET(bbgm_stat, INDEX(Players!$A620:$P620, MATCH(Q$2, Players!$A$1:$P$1, 0)), perc_75, VLOOKUP(Q$2, Percentiles!$A$45:$I$59, 6, FALSE), perc_90, VLOOKUP(Q$2, Percentiles!$A$45:$I$59, 7, FALSE), perc_95, VLOOKUP(Q$2, Percentiles!$A$45:$I$59, 8, FALSE), perc_85, perc_75 + (perc_90 - perc_75) * (2/3), converted_stat, '2K_Ratings'!Q621, IF(bbgm_stat &gt;= perc_95, converted_stat * 3, IF(bbgm_stat &gt;= perc_90, converted_stat * 2, IF(bbgm_stat &gt;= perc_85, converted_stat * 1.5, converted_stat)))))</f>
        <v/>
      </c>
      <c r="R621" s="30" t="str">
        <f t="array" ref="R621">IF($A621="", "", LET(bbgm_stat, INDEX(Players!$A620:$P620, MATCH(R$2, Players!$A$1:$P$1, 0)), perc_75, VLOOKUP(R$2, Percentiles!$A$45:$I$59, 6, FALSE), perc_90, VLOOKUP(R$2, Percentiles!$A$45:$I$59, 7, FALSE), perc_95, VLOOKUP(R$2, Percentiles!$A$45:$I$59, 8, FALSE), perc_85, perc_75 + (perc_90 - perc_75) * (2/3), converted_stat, '2K_Ratings'!R621, IF(bbgm_stat &gt;= perc_95, converted_stat * 3, IF(bbgm_stat &gt;= perc_90, converted_stat * 2, IF(bbgm_stat &gt;= perc_85, converted_stat * 1.5, converted_stat)))))</f>
        <v/>
      </c>
      <c r="S621" s="30" t="str">
        <f t="array" ref="S621">IF($A621="", "", LET(bbgm_stat, INDEX(Players!$A620:$P620, MATCH(S$2, Players!$A$1:$P$1, 0)), perc_75, VLOOKUP(S$2, Percentiles!$A$45:$I$59, 6, FALSE), perc_90, VLOOKUP(S$2, Percentiles!$A$45:$I$59, 7, FALSE), perc_95, VLOOKUP(S$2, Percentiles!$A$45:$I$59, 8, FALSE), perc_85, perc_75 + (perc_90 - perc_75) * (2/3), converted_stat, '2K_Ratings'!S621, IF(bbgm_stat &gt;= perc_95, converted_stat * 3, IF(bbgm_stat &gt;= perc_90, converted_stat * 2, IF(bbgm_stat &gt;= perc_85, converted_stat * 1.5, converted_stat)))))</f>
        <v/>
      </c>
      <c r="T621" s="30" t="str">
        <f t="array" ref="T621">IF($A621="", "", LET(bbgm_stat, INDEX(Players!$A620:$P620, MATCH(T$2, Players!$A$1:$P$1, 0)), perc_75, VLOOKUP(T$2, Percentiles!$A$45:$I$59, 6, FALSE), perc_90, VLOOKUP(T$2, Percentiles!$A$45:$I$59, 7, FALSE), perc_95, VLOOKUP(T$2, Percentiles!$A$45:$I$59, 8, FALSE), perc_85, perc_75 + (perc_90 - perc_75) * (2/3), converted_stat, '2K_Ratings'!T621, IF(bbgm_stat &gt;= perc_95, converted_stat * 3, IF(bbgm_stat &gt;= perc_90, converted_stat * 2, IF(bbgm_stat &gt;= perc_85, converted_stat * 1.5, converted_stat)))))</f>
        <v/>
      </c>
      <c r="U621" s="30" t="str">
        <f t="array" ref="U621">IF($A621="", "", LET(bbgm_stat, INDEX(Players!$A620:$P620, MATCH(U$2, Players!$A$1:$P$1, 0)), perc_75, VLOOKUP(U$2, Percentiles!$A$45:$I$59, 6, FALSE), perc_90, VLOOKUP(U$2, Percentiles!$A$45:$I$59, 7, FALSE), perc_95, VLOOKUP(U$2, Percentiles!$A$45:$I$59, 8, FALSE), perc_85, perc_75 + (perc_90 - perc_75) * (2/3), converted_stat, '2K_Ratings'!U621, IF(bbgm_stat &gt;= perc_95, converted_stat * 3, IF(bbgm_stat &gt;= perc_90, converted_stat * 2, IF(bbgm_stat &gt;= perc_85, converted_stat * 1.5, converted_stat)))))</f>
        <v/>
      </c>
      <c r="V621" s="30" t="str">
        <f t="array" ref="V621">IF($A621="", "", LET(bbgm_stat, INDEX(Players!$A620:$P620, MATCH(V$2, Players!$A$1:$P$1, 0)), perc_75, VLOOKUP(V$2, Percentiles!$A$45:$I$59, 6, FALSE), perc_90, VLOOKUP(V$2, Percentiles!$A$45:$I$59, 7, FALSE), perc_95, VLOOKUP(V$2, Percentiles!$A$45:$I$59, 8, FALSE), perc_85, perc_75 + (perc_90 - perc_75) * (2/3), converted_stat, '2K_Ratings'!V621, IF(bbgm_stat &gt;= perc_95, converted_stat * 3, IF(bbgm_stat &gt;= perc_90, converted_stat * 2, IF(bbgm_stat &gt;= perc_85, converted_stat * 1.5, converted_stat)))))</f>
        <v/>
      </c>
      <c r="W621" s="30" t="str">
        <f t="array" ref="W621">IF($A621="", "", LET(bbgm_stat, INDEX(Players!$A620:$P620, MATCH(W$2, Players!$A$1:$P$1, 0)), perc_75, VLOOKUP(W$2, Percentiles!$A$45:$I$59, 6, FALSE), perc_90, VLOOKUP(W$2, Percentiles!$A$45:$I$59, 7, FALSE), perc_95, VLOOKUP(W$2, Percentiles!$A$45:$I$59, 8, FALSE), perc_85, perc_75 + (perc_90 - perc_75) * (2/3), converted_stat, '2K_Ratings'!W621, IF(bbgm_stat &gt;= perc_95, converted_stat * 3, IF(bbgm_stat &gt;= perc_90, converted_stat * 2, IF(bbgm_stat &gt;= perc_85, converted_stat * 1.5, converted_stat)))))</f>
        <v/>
      </c>
    </row>
    <row r="622">
      <c r="A622" s="30"/>
      <c r="B622" s="30" t="str">
        <f t="array" ref="B622">IF($A622="", "", LET(bbgm_stat, INDEX(Players!$A621:$P621, MATCH(B$2, Players!$A$1:$P$1, 0)), perc_75, VLOOKUP(B$2, Percentiles!$A$45:$I$59, 6, FALSE), perc_90, VLOOKUP(B$2, Percentiles!$A$45:$I$59, 7, FALSE), perc_95, VLOOKUP(B$2, Percentiles!$A$45:$I$59, 8, FALSE), perc_85, perc_75 + (perc_90 - perc_75) * (2/3), converted_stat, '2K_Ratings'!B622, IF(bbgm_stat &gt;= perc_95, converted_stat * 3, IF(bbgm_stat &gt;= perc_90, converted_stat * 2, IF(bbgm_stat &gt;= perc_85, converted_stat * 1.5, converted_stat)))))</f>
        <v/>
      </c>
      <c r="C622" s="30" t="str">
        <f t="array" ref="C622">IF($A622="", "", LET(bbgm_stat, INDEX(Players!$A621:$P621, MATCH(C$2, Players!$A$1:$P$1, 0)), perc_75, VLOOKUP(C$2, Percentiles!$A$45:$I$59, 6, FALSE), perc_90, VLOOKUP(C$2, Percentiles!$A$45:$I$59, 7, FALSE), perc_95, VLOOKUP(C$2, Percentiles!$A$45:$I$59, 8, FALSE), perc_85, perc_75 + (perc_90 - perc_75) * (2/3), converted_stat, '2K_Ratings'!C622, IF(bbgm_stat &gt;= perc_95, converted_stat * 3, IF(bbgm_stat &gt;= perc_90, converted_stat * 2, IF(bbgm_stat &gt;= perc_85, converted_stat * 1.5, converted_stat)))))</f>
        <v/>
      </c>
      <c r="D622" s="30" t="str">
        <f t="array" ref="D622">IF($A622="", "", LET(bbgm_stat, INDEX(Players!$A621:$P621, MATCH(D$2, Players!$A$1:$P$1, 0)), perc_75, VLOOKUP(D$2, Percentiles!$A$45:$I$59, 6, FALSE), perc_90, VLOOKUP(D$2, Percentiles!$A$45:$I$59, 7, FALSE), perc_95, VLOOKUP(D$2, Percentiles!$A$45:$I$59, 8, FALSE), perc_85, perc_75 + (perc_90 - perc_75) * (2/3), converted_stat, '2K_Ratings'!D622, IF(bbgm_stat &gt;= perc_95, converted_stat * 3, IF(bbgm_stat &gt;= perc_90, converted_stat * 2, IF(bbgm_stat &gt;= perc_85, converted_stat * 1.5, converted_stat)))))</f>
        <v/>
      </c>
      <c r="E622" s="30" t="str">
        <f t="array" ref="E622">IF($A622="", "", LET(bbgm_stat, INDEX(Players!$A621:$P621, MATCH(E$2, Players!$A$1:$P$1, 0)), perc_75, VLOOKUP(E$2, Percentiles!$A$45:$I$59, 6, FALSE), perc_90, VLOOKUP(E$2, Percentiles!$A$45:$I$59, 7, FALSE), perc_95, VLOOKUP(E$2, Percentiles!$A$45:$I$59, 8, FALSE), perc_85, perc_75 + (perc_90 - perc_75) * (2/3), converted_stat, '2K_Ratings'!E622, IF(bbgm_stat &gt;= perc_95, converted_stat * 3, IF(bbgm_stat &gt;= perc_90, converted_stat * 2, IF(bbgm_stat &gt;= perc_85, converted_stat * 1.5, converted_stat)))))</f>
        <v/>
      </c>
      <c r="F622" s="30" t="str">
        <f t="array" ref="F622">IF($A622="", "", LET(bbgm_stat, INDEX(Players!$A621:$P621, MATCH(F$2, Players!$A$1:$P$1, 0)), perc_75, VLOOKUP(F$2, Percentiles!$A$45:$I$59, 6, FALSE), perc_90, VLOOKUP(F$2, Percentiles!$A$45:$I$59, 7, FALSE), perc_95, VLOOKUP(F$2, Percentiles!$A$45:$I$59, 8, FALSE), perc_85, perc_75 + (perc_90 - perc_75) * (2/3), converted_stat, '2K_Ratings'!F622, IF(bbgm_stat &gt;= perc_95, converted_stat * 3, IF(bbgm_stat &gt;= perc_90, converted_stat * 2, IF(bbgm_stat &gt;= perc_85, converted_stat * 1.5, converted_stat)))))</f>
        <v/>
      </c>
      <c r="G622" s="30" t="str">
        <f t="array" ref="G622">IF($A622="", "", LET(bbgm_stat, INDEX(Players!$A621:$P621, MATCH(G$2, Players!$A$1:$P$1, 0)), perc_75, VLOOKUP(G$2, Percentiles!$A$45:$I$59, 6, FALSE), perc_90, VLOOKUP(G$2, Percentiles!$A$45:$I$59, 7, FALSE), perc_95, VLOOKUP(G$2, Percentiles!$A$45:$I$59, 8, FALSE), perc_85, perc_75 + (perc_90 - perc_75) * (2/3), converted_stat, '2K_Ratings'!G622, IF(bbgm_stat &gt;= perc_95, converted_stat * 3, IF(bbgm_stat &gt;= perc_90, converted_stat * 2, IF(bbgm_stat &gt;= perc_85, converted_stat * 1.5, converted_stat)))))</f>
        <v/>
      </c>
      <c r="H622" s="30" t="str">
        <f t="array" ref="H622">IF($A622="", "", LET(bbgm_stat, INDEX(Players!$A621:$P621, MATCH(H$2, Players!$A$1:$P$1, 0)), perc_75, VLOOKUP(H$2, Percentiles!$A$45:$I$59, 6, FALSE), perc_90, VLOOKUP(H$2, Percentiles!$A$45:$I$59, 7, FALSE), perc_95, VLOOKUP(H$2, Percentiles!$A$45:$I$59, 8, FALSE), perc_85, perc_75 + (perc_90 - perc_75) * (2/3), converted_stat, '2K_Ratings'!H622, IF(bbgm_stat &gt;= perc_95, converted_stat * 3, IF(bbgm_stat &gt;= perc_90, converted_stat * 2, IF(bbgm_stat &gt;= perc_85, converted_stat * 1.5, converted_stat)))))</f>
        <v/>
      </c>
      <c r="I622" s="30" t="str">
        <f t="array" ref="I622">IF($A622="", "", LET(bbgm_stat, INDEX(Players!$A621:$P621, MATCH(I$2, Players!$A$1:$P$1, 0)), perc_75, VLOOKUP(I$2, Percentiles!$A$45:$I$59, 6, FALSE), perc_90, VLOOKUP(I$2, Percentiles!$A$45:$I$59, 7, FALSE), perc_95, VLOOKUP(I$2, Percentiles!$A$45:$I$59, 8, FALSE), perc_85, perc_75 + (perc_90 - perc_75) * (2/3), converted_stat, '2K_Ratings'!I622, IF(bbgm_stat &gt;= perc_95, converted_stat * 3, IF(bbgm_stat &gt;= perc_90, converted_stat * 2, IF(bbgm_stat &gt;= perc_85, converted_stat * 1.5, converted_stat)))))</f>
        <v/>
      </c>
      <c r="J622" s="30" t="str">
        <f t="array" ref="J622">IF($A622="", "", LET(bbgm_stat, INDEX(Players!$A621:$P621, MATCH(J$2, Players!$A$1:$P$1, 0)), perc_75, VLOOKUP(J$2, Percentiles!$A$45:$I$59, 6, FALSE), perc_90, VLOOKUP(J$2, Percentiles!$A$45:$I$59, 7, FALSE), perc_95, VLOOKUP(J$2, Percentiles!$A$45:$I$59, 8, FALSE), perc_85, perc_75 + (perc_90 - perc_75) * (2/3), converted_stat, '2K_Ratings'!J622, IF(bbgm_stat &gt;= perc_95, converted_stat * 3, IF(bbgm_stat &gt;= perc_90, converted_stat * 2, IF(bbgm_stat &gt;= perc_85, converted_stat * 1.5, converted_stat)))))</f>
        <v/>
      </c>
      <c r="K622" s="30" t="str">
        <f t="array" ref="K622">IF($A622="", "", LET(bbgm_stat, INDEX(Players!$A621:$P621, MATCH(K$2, Players!$A$1:$P$1, 0)), perc_75, VLOOKUP(K$2, Percentiles!$A$45:$I$59, 6, FALSE), perc_90, VLOOKUP(K$2, Percentiles!$A$45:$I$59, 7, FALSE), perc_95, VLOOKUP(K$2, Percentiles!$A$45:$I$59, 8, FALSE), perc_85, perc_75 + (perc_90 - perc_75) * (2/3), converted_stat, '2K_Ratings'!K622, IF(bbgm_stat &gt;= perc_95, converted_stat * 3, IF(bbgm_stat &gt;= perc_90, converted_stat * 2, IF(bbgm_stat &gt;= perc_85, converted_stat * 1.5, converted_stat)))))</f>
        <v/>
      </c>
      <c r="L622" s="30" t="str">
        <f t="array" ref="L622">IF($A622="", "", LET(bbgm_stat, INDEX(Players!$A621:$P621, MATCH(L$2, Players!$A$1:$P$1, 0)), perc_75, VLOOKUP(L$2, Percentiles!$A$45:$I$59, 6, FALSE), perc_90, VLOOKUP(L$2, Percentiles!$A$45:$I$59, 7, FALSE), perc_95, VLOOKUP(L$2, Percentiles!$A$45:$I$59, 8, FALSE), perc_85, perc_75 + (perc_90 - perc_75) * (2/3), converted_stat, '2K_Ratings'!L622, IF(bbgm_stat &gt;= perc_95, converted_stat * 3, IF(bbgm_stat &gt;= perc_90, converted_stat * 2, IF(bbgm_stat &gt;= perc_85, converted_stat * 1.5, converted_stat)))))</f>
        <v/>
      </c>
      <c r="M622" s="30" t="str">
        <f t="array" ref="M622">IF($A622="", "", LET(bbgm_stat, INDEX(Players!$A621:$P621, MATCH(M$2, Players!$A$1:$P$1, 0)), perc_75, VLOOKUP(M$2, Percentiles!$A$45:$I$59, 6, FALSE), perc_90, VLOOKUP(M$2, Percentiles!$A$45:$I$59, 7, FALSE), perc_95, VLOOKUP(M$2, Percentiles!$A$45:$I$59, 8, FALSE), perc_85, perc_75 + (perc_90 - perc_75) * (2/3), converted_stat, '2K_Ratings'!M622, IF(bbgm_stat &gt;= perc_95, converted_stat * 3, IF(bbgm_stat &gt;= perc_90, converted_stat * 2, IF(bbgm_stat &gt;= perc_85, converted_stat * 1.5, converted_stat)))))</f>
        <v/>
      </c>
      <c r="N622" s="30" t="str">
        <f t="array" ref="N622">IF($A622="", "", LET(bbgm_stat, INDEX(Players!$A621:$P621, MATCH(N$2, Players!$A$1:$P$1, 0)), perc_75, VLOOKUP(N$2, Percentiles!$A$45:$I$59, 6, FALSE), perc_90, VLOOKUP(N$2, Percentiles!$A$45:$I$59, 7, FALSE), perc_95, VLOOKUP(N$2, Percentiles!$A$45:$I$59, 8, FALSE), perc_85, perc_75 + (perc_90 - perc_75) * (2/3), converted_stat, '2K_Ratings'!N622, IF(bbgm_stat &gt;= perc_95, converted_stat * 3, IF(bbgm_stat &gt;= perc_90, converted_stat * 2, IF(bbgm_stat &gt;= perc_85, converted_stat * 1.5, converted_stat)))))</f>
        <v/>
      </c>
      <c r="O622" s="30" t="str">
        <f t="array" ref="O622">IF($A622="", "", LET(bbgm_stat, INDEX(Players!$A621:$P621, MATCH(O$2, Players!$A$1:$P$1, 0)), perc_75, VLOOKUP(O$2, Percentiles!$A$45:$I$59, 6, FALSE), perc_90, VLOOKUP(O$2, Percentiles!$A$45:$I$59, 7, FALSE), perc_95, VLOOKUP(O$2, Percentiles!$A$45:$I$59, 8, FALSE), perc_85, perc_75 + (perc_90 - perc_75) * (2/3), converted_stat, '2K_Ratings'!O622, IF(bbgm_stat &gt;= perc_95, converted_stat * 3, IF(bbgm_stat &gt;= perc_90, converted_stat * 2, IF(bbgm_stat &gt;= perc_85, converted_stat * 1.5, converted_stat)))))</f>
        <v/>
      </c>
      <c r="P622" s="30" t="str">
        <f t="array" ref="P622">IF($A622="", "", LET(bbgm_stat, INDEX(Players!$A621:$P621, MATCH(P$2, Players!$A$1:$P$1, 0)), perc_75, VLOOKUP(P$2, Percentiles!$A$45:$I$59, 6, FALSE), perc_90, VLOOKUP(P$2, Percentiles!$A$45:$I$59, 7, FALSE), perc_95, VLOOKUP(P$2, Percentiles!$A$45:$I$59, 8, FALSE), perc_85, perc_75 + (perc_90 - perc_75) * (2/3), converted_stat, '2K_Ratings'!P622, IF(bbgm_stat &gt;= perc_95, converted_stat * 3, IF(bbgm_stat &gt;= perc_90, converted_stat * 2, IF(bbgm_stat &gt;= perc_85, converted_stat * 1.5, converted_stat)))))</f>
        <v/>
      </c>
      <c r="Q622" s="30" t="str">
        <f t="array" ref="Q622">IF($A622="", "", LET(bbgm_stat, INDEX(Players!$A621:$P621, MATCH(Q$2, Players!$A$1:$P$1, 0)), perc_75, VLOOKUP(Q$2, Percentiles!$A$45:$I$59, 6, FALSE), perc_90, VLOOKUP(Q$2, Percentiles!$A$45:$I$59, 7, FALSE), perc_95, VLOOKUP(Q$2, Percentiles!$A$45:$I$59, 8, FALSE), perc_85, perc_75 + (perc_90 - perc_75) * (2/3), converted_stat, '2K_Ratings'!Q622, IF(bbgm_stat &gt;= perc_95, converted_stat * 3, IF(bbgm_stat &gt;= perc_90, converted_stat * 2, IF(bbgm_stat &gt;= perc_85, converted_stat * 1.5, converted_stat)))))</f>
        <v/>
      </c>
      <c r="R622" s="30" t="str">
        <f t="array" ref="R622">IF($A622="", "", LET(bbgm_stat, INDEX(Players!$A621:$P621, MATCH(R$2, Players!$A$1:$P$1, 0)), perc_75, VLOOKUP(R$2, Percentiles!$A$45:$I$59, 6, FALSE), perc_90, VLOOKUP(R$2, Percentiles!$A$45:$I$59, 7, FALSE), perc_95, VLOOKUP(R$2, Percentiles!$A$45:$I$59, 8, FALSE), perc_85, perc_75 + (perc_90 - perc_75) * (2/3), converted_stat, '2K_Ratings'!R622, IF(bbgm_stat &gt;= perc_95, converted_stat * 3, IF(bbgm_stat &gt;= perc_90, converted_stat * 2, IF(bbgm_stat &gt;= perc_85, converted_stat * 1.5, converted_stat)))))</f>
        <v/>
      </c>
      <c r="S622" s="30" t="str">
        <f t="array" ref="S622">IF($A622="", "", LET(bbgm_stat, INDEX(Players!$A621:$P621, MATCH(S$2, Players!$A$1:$P$1, 0)), perc_75, VLOOKUP(S$2, Percentiles!$A$45:$I$59, 6, FALSE), perc_90, VLOOKUP(S$2, Percentiles!$A$45:$I$59, 7, FALSE), perc_95, VLOOKUP(S$2, Percentiles!$A$45:$I$59, 8, FALSE), perc_85, perc_75 + (perc_90 - perc_75) * (2/3), converted_stat, '2K_Ratings'!S622, IF(bbgm_stat &gt;= perc_95, converted_stat * 3, IF(bbgm_stat &gt;= perc_90, converted_stat * 2, IF(bbgm_stat &gt;= perc_85, converted_stat * 1.5, converted_stat)))))</f>
        <v/>
      </c>
      <c r="T622" s="30" t="str">
        <f t="array" ref="T622">IF($A622="", "", LET(bbgm_stat, INDEX(Players!$A621:$P621, MATCH(T$2, Players!$A$1:$P$1, 0)), perc_75, VLOOKUP(T$2, Percentiles!$A$45:$I$59, 6, FALSE), perc_90, VLOOKUP(T$2, Percentiles!$A$45:$I$59, 7, FALSE), perc_95, VLOOKUP(T$2, Percentiles!$A$45:$I$59, 8, FALSE), perc_85, perc_75 + (perc_90 - perc_75) * (2/3), converted_stat, '2K_Ratings'!T622, IF(bbgm_stat &gt;= perc_95, converted_stat * 3, IF(bbgm_stat &gt;= perc_90, converted_stat * 2, IF(bbgm_stat &gt;= perc_85, converted_stat * 1.5, converted_stat)))))</f>
        <v/>
      </c>
      <c r="U622" s="30" t="str">
        <f t="array" ref="U622">IF($A622="", "", LET(bbgm_stat, INDEX(Players!$A621:$P621, MATCH(U$2, Players!$A$1:$P$1, 0)), perc_75, VLOOKUP(U$2, Percentiles!$A$45:$I$59, 6, FALSE), perc_90, VLOOKUP(U$2, Percentiles!$A$45:$I$59, 7, FALSE), perc_95, VLOOKUP(U$2, Percentiles!$A$45:$I$59, 8, FALSE), perc_85, perc_75 + (perc_90 - perc_75) * (2/3), converted_stat, '2K_Ratings'!U622, IF(bbgm_stat &gt;= perc_95, converted_stat * 3, IF(bbgm_stat &gt;= perc_90, converted_stat * 2, IF(bbgm_stat &gt;= perc_85, converted_stat * 1.5, converted_stat)))))</f>
        <v/>
      </c>
      <c r="V622" s="30" t="str">
        <f t="array" ref="V622">IF($A622="", "", LET(bbgm_stat, INDEX(Players!$A621:$P621, MATCH(V$2, Players!$A$1:$P$1, 0)), perc_75, VLOOKUP(V$2, Percentiles!$A$45:$I$59, 6, FALSE), perc_90, VLOOKUP(V$2, Percentiles!$A$45:$I$59, 7, FALSE), perc_95, VLOOKUP(V$2, Percentiles!$A$45:$I$59, 8, FALSE), perc_85, perc_75 + (perc_90 - perc_75) * (2/3), converted_stat, '2K_Ratings'!V622, IF(bbgm_stat &gt;= perc_95, converted_stat * 3, IF(bbgm_stat &gt;= perc_90, converted_stat * 2, IF(bbgm_stat &gt;= perc_85, converted_stat * 1.5, converted_stat)))))</f>
        <v/>
      </c>
      <c r="W622" s="30" t="str">
        <f t="array" ref="W622">IF($A622="", "", LET(bbgm_stat, INDEX(Players!$A621:$P621, MATCH(W$2, Players!$A$1:$P$1, 0)), perc_75, VLOOKUP(W$2, Percentiles!$A$45:$I$59, 6, FALSE), perc_90, VLOOKUP(W$2, Percentiles!$A$45:$I$59, 7, FALSE), perc_95, VLOOKUP(W$2, Percentiles!$A$45:$I$59, 8, FALSE), perc_85, perc_75 + (perc_90 - perc_75) * (2/3), converted_stat, '2K_Ratings'!W622, IF(bbgm_stat &gt;= perc_95, converted_stat * 3, IF(bbgm_stat &gt;= perc_90, converted_stat * 2, IF(bbgm_stat &gt;= perc_85, converted_stat * 1.5, converted_stat)))))</f>
        <v/>
      </c>
    </row>
    <row r="623">
      <c r="A623" s="30"/>
      <c r="B623" s="30" t="str">
        <f t="array" ref="B623">IF($A623="", "", LET(bbgm_stat, INDEX(Players!$A622:$P622, MATCH(B$2, Players!$A$1:$P$1, 0)), perc_75, VLOOKUP(B$2, Percentiles!$A$45:$I$59, 6, FALSE), perc_90, VLOOKUP(B$2, Percentiles!$A$45:$I$59, 7, FALSE), perc_95, VLOOKUP(B$2, Percentiles!$A$45:$I$59, 8, FALSE), perc_85, perc_75 + (perc_90 - perc_75) * (2/3), converted_stat, '2K_Ratings'!B623, IF(bbgm_stat &gt;= perc_95, converted_stat * 3, IF(bbgm_stat &gt;= perc_90, converted_stat * 2, IF(bbgm_stat &gt;= perc_85, converted_stat * 1.5, converted_stat)))))</f>
        <v/>
      </c>
      <c r="C623" s="30" t="str">
        <f t="array" ref="C623">IF($A623="", "", LET(bbgm_stat, INDEX(Players!$A622:$P622, MATCH(C$2, Players!$A$1:$P$1, 0)), perc_75, VLOOKUP(C$2, Percentiles!$A$45:$I$59, 6, FALSE), perc_90, VLOOKUP(C$2, Percentiles!$A$45:$I$59, 7, FALSE), perc_95, VLOOKUP(C$2, Percentiles!$A$45:$I$59, 8, FALSE), perc_85, perc_75 + (perc_90 - perc_75) * (2/3), converted_stat, '2K_Ratings'!C623, IF(bbgm_stat &gt;= perc_95, converted_stat * 3, IF(bbgm_stat &gt;= perc_90, converted_stat * 2, IF(bbgm_stat &gt;= perc_85, converted_stat * 1.5, converted_stat)))))</f>
        <v/>
      </c>
      <c r="D623" s="30" t="str">
        <f t="array" ref="D623">IF($A623="", "", LET(bbgm_stat, INDEX(Players!$A622:$P622, MATCH(D$2, Players!$A$1:$P$1, 0)), perc_75, VLOOKUP(D$2, Percentiles!$A$45:$I$59, 6, FALSE), perc_90, VLOOKUP(D$2, Percentiles!$A$45:$I$59, 7, FALSE), perc_95, VLOOKUP(D$2, Percentiles!$A$45:$I$59, 8, FALSE), perc_85, perc_75 + (perc_90 - perc_75) * (2/3), converted_stat, '2K_Ratings'!D623, IF(bbgm_stat &gt;= perc_95, converted_stat * 3, IF(bbgm_stat &gt;= perc_90, converted_stat * 2, IF(bbgm_stat &gt;= perc_85, converted_stat * 1.5, converted_stat)))))</f>
        <v/>
      </c>
      <c r="E623" s="30" t="str">
        <f t="array" ref="E623">IF($A623="", "", LET(bbgm_stat, INDEX(Players!$A622:$P622, MATCH(E$2, Players!$A$1:$P$1, 0)), perc_75, VLOOKUP(E$2, Percentiles!$A$45:$I$59, 6, FALSE), perc_90, VLOOKUP(E$2, Percentiles!$A$45:$I$59, 7, FALSE), perc_95, VLOOKUP(E$2, Percentiles!$A$45:$I$59, 8, FALSE), perc_85, perc_75 + (perc_90 - perc_75) * (2/3), converted_stat, '2K_Ratings'!E623, IF(bbgm_stat &gt;= perc_95, converted_stat * 3, IF(bbgm_stat &gt;= perc_90, converted_stat * 2, IF(bbgm_stat &gt;= perc_85, converted_stat * 1.5, converted_stat)))))</f>
        <v/>
      </c>
      <c r="F623" s="30" t="str">
        <f t="array" ref="F623">IF($A623="", "", LET(bbgm_stat, INDEX(Players!$A622:$P622, MATCH(F$2, Players!$A$1:$P$1, 0)), perc_75, VLOOKUP(F$2, Percentiles!$A$45:$I$59, 6, FALSE), perc_90, VLOOKUP(F$2, Percentiles!$A$45:$I$59, 7, FALSE), perc_95, VLOOKUP(F$2, Percentiles!$A$45:$I$59, 8, FALSE), perc_85, perc_75 + (perc_90 - perc_75) * (2/3), converted_stat, '2K_Ratings'!F623, IF(bbgm_stat &gt;= perc_95, converted_stat * 3, IF(bbgm_stat &gt;= perc_90, converted_stat * 2, IF(bbgm_stat &gt;= perc_85, converted_stat * 1.5, converted_stat)))))</f>
        <v/>
      </c>
      <c r="G623" s="30" t="str">
        <f t="array" ref="G623">IF($A623="", "", LET(bbgm_stat, INDEX(Players!$A622:$P622, MATCH(G$2, Players!$A$1:$P$1, 0)), perc_75, VLOOKUP(G$2, Percentiles!$A$45:$I$59, 6, FALSE), perc_90, VLOOKUP(G$2, Percentiles!$A$45:$I$59, 7, FALSE), perc_95, VLOOKUP(G$2, Percentiles!$A$45:$I$59, 8, FALSE), perc_85, perc_75 + (perc_90 - perc_75) * (2/3), converted_stat, '2K_Ratings'!G623, IF(bbgm_stat &gt;= perc_95, converted_stat * 3, IF(bbgm_stat &gt;= perc_90, converted_stat * 2, IF(bbgm_stat &gt;= perc_85, converted_stat * 1.5, converted_stat)))))</f>
        <v/>
      </c>
      <c r="H623" s="30" t="str">
        <f t="array" ref="H623">IF($A623="", "", LET(bbgm_stat, INDEX(Players!$A622:$P622, MATCH(H$2, Players!$A$1:$P$1, 0)), perc_75, VLOOKUP(H$2, Percentiles!$A$45:$I$59, 6, FALSE), perc_90, VLOOKUP(H$2, Percentiles!$A$45:$I$59, 7, FALSE), perc_95, VLOOKUP(H$2, Percentiles!$A$45:$I$59, 8, FALSE), perc_85, perc_75 + (perc_90 - perc_75) * (2/3), converted_stat, '2K_Ratings'!H623, IF(bbgm_stat &gt;= perc_95, converted_stat * 3, IF(bbgm_stat &gt;= perc_90, converted_stat * 2, IF(bbgm_stat &gt;= perc_85, converted_stat * 1.5, converted_stat)))))</f>
        <v/>
      </c>
      <c r="I623" s="30" t="str">
        <f t="array" ref="I623">IF($A623="", "", LET(bbgm_stat, INDEX(Players!$A622:$P622, MATCH(I$2, Players!$A$1:$P$1, 0)), perc_75, VLOOKUP(I$2, Percentiles!$A$45:$I$59, 6, FALSE), perc_90, VLOOKUP(I$2, Percentiles!$A$45:$I$59, 7, FALSE), perc_95, VLOOKUP(I$2, Percentiles!$A$45:$I$59, 8, FALSE), perc_85, perc_75 + (perc_90 - perc_75) * (2/3), converted_stat, '2K_Ratings'!I623, IF(bbgm_stat &gt;= perc_95, converted_stat * 3, IF(bbgm_stat &gt;= perc_90, converted_stat * 2, IF(bbgm_stat &gt;= perc_85, converted_stat * 1.5, converted_stat)))))</f>
        <v/>
      </c>
      <c r="J623" s="30" t="str">
        <f t="array" ref="J623">IF($A623="", "", LET(bbgm_stat, INDEX(Players!$A622:$P622, MATCH(J$2, Players!$A$1:$P$1, 0)), perc_75, VLOOKUP(J$2, Percentiles!$A$45:$I$59, 6, FALSE), perc_90, VLOOKUP(J$2, Percentiles!$A$45:$I$59, 7, FALSE), perc_95, VLOOKUP(J$2, Percentiles!$A$45:$I$59, 8, FALSE), perc_85, perc_75 + (perc_90 - perc_75) * (2/3), converted_stat, '2K_Ratings'!J623, IF(bbgm_stat &gt;= perc_95, converted_stat * 3, IF(bbgm_stat &gt;= perc_90, converted_stat * 2, IF(bbgm_stat &gt;= perc_85, converted_stat * 1.5, converted_stat)))))</f>
        <v/>
      </c>
      <c r="K623" s="30" t="str">
        <f t="array" ref="K623">IF($A623="", "", LET(bbgm_stat, INDEX(Players!$A622:$P622, MATCH(K$2, Players!$A$1:$P$1, 0)), perc_75, VLOOKUP(K$2, Percentiles!$A$45:$I$59, 6, FALSE), perc_90, VLOOKUP(K$2, Percentiles!$A$45:$I$59, 7, FALSE), perc_95, VLOOKUP(K$2, Percentiles!$A$45:$I$59, 8, FALSE), perc_85, perc_75 + (perc_90 - perc_75) * (2/3), converted_stat, '2K_Ratings'!K623, IF(bbgm_stat &gt;= perc_95, converted_stat * 3, IF(bbgm_stat &gt;= perc_90, converted_stat * 2, IF(bbgm_stat &gt;= perc_85, converted_stat * 1.5, converted_stat)))))</f>
        <v/>
      </c>
      <c r="L623" s="30" t="str">
        <f t="array" ref="L623">IF($A623="", "", LET(bbgm_stat, INDEX(Players!$A622:$P622, MATCH(L$2, Players!$A$1:$P$1, 0)), perc_75, VLOOKUP(L$2, Percentiles!$A$45:$I$59, 6, FALSE), perc_90, VLOOKUP(L$2, Percentiles!$A$45:$I$59, 7, FALSE), perc_95, VLOOKUP(L$2, Percentiles!$A$45:$I$59, 8, FALSE), perc_85, perc_75 + (perc_90 - perc_75) * (2/3), converted_stat, '2K_Ratings'!L623, IF(bbgm_stat &gt;= perc_95, converted_stat * 3, IF(bbgm_stat &gt;= perc_90, converted_stat * 2, IF(bbgm_stat &gt;= perc_85, converted_stat * 1.5, converted_stat)))))</f>
        <v/>
      </c>
      <c r="M623" s="30" t="str">
        <f t="array" ref="M623">IF($A623="", "", LET(bbgm_stat, INDEX(Players!$A622:$P622, MATCH(M$2, Players!$A$1:$P$1, 0)), perc_75, VLOOKUP(M$2, Percentiles!$A$45:$I$59, 6, FALSE), perc_90, VLOOKUP(M$2, Percentiles!$A$45:$I$59, 7, FALSE), perc_95, VLOOKUP(M$2, Percentiles!$A$45:$I$59, 8, FALSE), perc_85, perc_75 + (perc_90 - perc_75) * (2/3), converted_stat, '2K_Ratings'!M623, IF(bbgm_stat &gt;= perc_95, converted_stat * 3, IF(bbgm_stat &gt;= perc_90, converted_stat * 2, IF(bbgm_stat &gt;= perc_85, converted_stat * 1.5, converted_stat)))))</f>
        <v/>
      </c>
      <c r="N623" s="30" t="str">
        <f t="array" ref="N623">IF($A623="", "", LET(bbgm_stat, INDEX(Players!$A622:$P622, MATCH(N$2, Players!$A$1:$P$1, 0)), perc_75, VLOOKUP(N$2, Percentiles!$A$45:$I$59, 6, FALSE), perc_90, VLOOKUP(N$2, Percentiles!$A$45:$I$59, 7, FALSE), perc_95, VLOOKUP(N$2, Percentiles!$A$45:$I$59, 8, FALSE), perc_85, perc_75 + (perc_90 - perc_75) * (2/3), converted_stat, '2K_Ratings'!N623, IF(bbgm_stat &gt;= perc_95, converted_stat * 3, IF(bbgm_stat &gt;= perc_90, converted_stat * 2, IF(bbgm_stat &gt;= perc_85, converted_stat * 1.5, converted_stat)))))</f>
        <v/>
      </c>
      <c r="O623" s="30" t="str">
        <f t="array" ref="O623">IF($A623="", "", LET(bbgm_stat, INDEX(Players!$A622:$P622, MATCH(O$2, Players!$A$1:$P$1, 0)), perc_75, VLOOKUP(O$2, Percentiles!$A$45:$I$59, 6, FALSE), perc_90, VLOOKUP(O$2, Percentiles!$A$45:$I$59, 7, FALSE), perc_95, VLOOKUP(O$2, Percentiles!$A$45:$I$59, 8, FALSE), perc_85, perc_75 + (perc_90 - perc_75) * (2/3), converted_stat, '2K_Ratings'!O623, IF(bbgm_stat &gt;= perc_95, converted_stat * 3, IF(bbgm_stat &gt;= perc_90, converted_stat * 2, IF(bbgm_stat &gt;= perc_85, converted_stat * 1.5, converted_stat)))))</f>
        <v/>
      </c>
      <c r="P623" s="30" t="str">
        <f t="array" ref="P623">IF($A623="", "", LET(bbgm_stat, INDEX(Players!$A622:$P622, MATCH(P$2, Players!$A$1:$P$1, 0)), perc_75, VLOOKUP(P$2, Percentiles!$A$45:$I$59, 6, FALSE), perc_90, VLOOKUP(P$2, Percentiles!$A$45:$I$59, 7, FALSE), perc_95, VLOOKUP(P$2, Percentiles!$A$45:$I$59, 8, FALSE), perc_85, perc_75 + (perc_90 - perc_75) * (2/3), converted_stat, '2K_Ratings'!P623, IF(bbgm_stat &gt;= perc_95, converted_stat * 3, IF(bbgm_stat &gt;= perc_90, converted_stat * 2, IF(bbgm_stat &gt;= perc_85, converted_stat * 1.5, converted_stat)))))</f>
        <v/>
      </c>
      <c r="Q623" s="30" t="str">
        <f t="array" ref="Q623">IF($A623="", "", LET(bbgm_stat, INDEX(Players!$A622:$P622, MATCH(Q$2, Players!$A$1:$P$1, 0)), perc_75, VLOOKUP(Q$2, Percentiles!$A$45:$I$59, 6, FALSE), perc_90, VLOOKUP(Q$2, Percentiles!$A$45:$I$59, 7, FALSE), perc_95, VLOOKUP(Q$2, Percentiles!$A$45:$I$59, 8, FALSE), perc_85, perc_75 + (perc_90 - perc_75) * (2/3), converted_stat, '2K_Ratings'!Q623, IF(bbgm_stat &gt;= perc_95, converted_stat * 3, IF(bbgm_stat &gt;= perc_90, converted_stat * 2, IF(bbgm_stat &gt;= perc_85, converted_stat * 1.5, converted_stat)))))</f>
        <v/>
      </c>
      <c r="R623" s="30" t="str">
        <f t="array" ref="R623">IF($A623="", "", LET(bbgm_stat, INDEX(Players!$A622:$P622, MATCH(R$2, Players!$A$1:$P$1, 0)), perc_75, VLOOKUP(R$2, Percentiles!$A$45:$I$59, 6, FALSE), perc_90, VLOOKUP(R$2, Percentiles!$A$45:$I$59, 7, FALSE), perc_95, VLOOKUP(R$2, Percentiles!$A$45:$I$59, 8, FALSE), perc_85, perc_75 + (perc_90 - perc_75) * (2/3), converted_stat, '2K_Ratings'!R623, IF(bbgm_stat &gt;= perc_95, converted_stat * 3, IF(bbgm_stat &gt;= perc_90, converted_stat * 2, IF(bbgm_stat &gt;= perc_85, converted_stat * 1.5, converted_stat)))))</f>
        <v/>
      </c>
      <c r="S623" s="30" t="str">
        <f t="array" ref="S623">IF($A623="", "", LET(bbgm_stat, INDEX(Players!$A622:$P622, MATCH(S$2, Players!$A$1:$P$1, 0)), perc_75, VLOOKUP(S$2, Percentiles!$A$45:$I$59, 6, FALSE), perc_90, VLOOKUP(S$2, Percentiles!$A$45:$I$59, 7, FALSE), perc_95, VLOOKUP(S$2, Percentiles!$A$45:$I$59, 8, FALSE), perc_85, perc_75 + (perc_90 - perc_75) * (2/3), converted_stat, '2K_Ratings'!S623, IF(bbgm_stat &gt;= perc_95, converted_stat * 3, IF(bbgm_stat &gt;= perc_90, converted_stat * 2, IF(bbgm_stat &gt;= perc_85, converted_stat * 1.5, converted_stat)))))</f>
        <v/>
      </c>
      <c r="T623" s="30" t="str">
        <f t="array" ref="T623">IF($A623="", "", LET(bbgm_stat, INDEX(Players!$A622:$P622, MATCH(T$2, Players!$A$1:$P$1, 0)), perc_75, VLOOKUP(T$2, Percentiles!$A$45:$I$59, 6, FALSE), perc_90, VLOOKUP(T$2, Percentiles!$A$45:$I$59, 7, FALSE), perc_95, VLOOKUP(T$2, Percentiles!$A$45:$I$59, 8, FALSE), perc_85, perc_75 + (perc_90 - perc_75) * (2/3), converted_stat, '2K_Ratings'!T623, IF(bbgm_stat &gt;= perc_95, converted_stat * 3, IF(bbgm_stat &gt;= perc_90, converted_stat * 2, IF(bbgm_stat &gt;= perc_85, converted_stat * 1.5, converted_stat)))))</f>
        <v/>
      </c>
      <c r="U623" s="30" t="str">
        <f t="array" ref="U623">IF($A623="", "", LET(bbgm_stat, INDEX(Players!$A622:$P622, MATCH(U$2, Players!$A$1:$P$1, 0)), perc_75, VLOOKUP(U$2, Percentiles!$A$45:$I$59, 6, FALSE), perc_90, VLOOKUP(U$2, Percentiles!$A$45:$I$59, 7, FALSE), perc_95, VLOOKUP(U$2, Percentiles!$A$45:$I$59, 8, FALSE), perc_85, perc_75 + (perc_90 - perc_75) * (2/3), converted_stat, '2K_Ratings'!U623, IF(bbgm_stat &gt;= perc_95, converted_stat * 3, IF(bbgm_stat &gt;= perc_90, converted_stat * 2, IF(bbgm_stat &gt;= perc_85, converted_stat * 1.5, converted_stat)))))</f>
        <v/>
      </c>
      <c r="V623" s="30" t="str">
        <f t="array" ref="V623">IF($A623="", "", LET(bbgm_stat, INDEX(Players!$A622:$P622, MATCH(V$2, Players!$A$1:$P$1, 0)), perc_75, VLOOKUP(V$2, Percentiles!$A$45:$I$59, 6, FALSE), perc_90, VLOOKUP(V$2, Percentiles!$A$45:$I$59, 7, FALSE), perc_95, VLOOKUP(V$2, Percentiles!$A$45:$I$59, 8, FALSE), perc_85, perc_75 + (perc_90 - perc_75) * (2/3), converted_stat, '2K_Ratings'!V623, IF(bbgm_stat &gt;= perc_95, converted_stat * 3, IF(bbgm_stat &gt;= perc_90, converted_stat * 2, IF(bbgm_stat &gt;= perc_85, converted_stat * 1.5, converted_stat)))))</f>
        <v/>
      </c>
      <c r="W623" s="30" t="str">
        <f t="array" ref="W623">IF($A623="", "", LET(bbgm_stat, INDEX(Players!$A622:$P622, MATCH(W$2, Players!$A$1:$P$1, 0)), perc_75, VLOOKUP(W$2, Percentiles!$A$45:$I$59, 6, FALSE), perc_90, VLOOKUP(W$2, Percentiles!$A$45:$I$59, 7, FALSE), perc_95, VLOOKUP(W$2, Percentiles!$A$45:$I$59, 8, FALSE), perc_85, perc_75 + (perc_90 - perc_75) * (2/3), converted_stat, '2K_Ratings'!W623, IF(bbgm_stat &gt;= perc_95, converted_stat * 3, IF(bbgm_stat &gt;= perc_90, converted_stat * 2, IF(bbgm_stat &gt;= perc_85, converted_stat * 1.5, converted_stat)))))</f>
        <v/>
      </c>
    </row>
    <row r="624">
      <c r="A624" s="30"/>
      <c r="B624" s="30" t="str">
        <f t="array" ref="B624">IF($A624="", "", LET(bbgm_stat, INDEX(Players!$A623:$P623, MATCH(B$2, Players!$A$1:$P$1, 0)), perc_75, VLOOKUP(B$2, Percentiles!$A$45:$I$59, 6, FALSE), perc_90, VLOOKUP(B$2, Percentiles!$A$45:$I$59, 7, FALSE), perc_95, VLOOKUP(B$2, Percentiles!$A$45:$I$59, 8, FALSE), perc_85, perc_75 + (perc_90 - perc_75) * (2/3), converted_stat, '2K_Ratings'!B624, IF(bbgm_stat &gt;= perc_95, converted_stat * 3, IF(bbgm_stat &gt;= perc_90, converted_stat * 2, IF(bbgm_stat &gt;= perc_85, converted_stat * 1.5, converted_stat)))))</f>
        <v/>
      </c>
      <c r="C624" s="30" t="str">
        <f t="array" ref="C624">IF($A624="", "", LET(bbgm_stat, INDEX(Players!$A623:$P623, MATCH(C$2, Players!$A$1:$P$1, 0)), perc_75, VLOOKUP(C$2, Percentiles!$A$45:$I$59, 6, FALSE), perc_90, VLOOKUP(C$2, Percentiles!$A$45:$I$59, 7, FALSE), perc_95, VLOOKUP(C$2, Percentiles!$A$45:$I$59, 8, FALSE), perc_85, perc_75 + (perc_90 - perc_75) * (2/3), converted_stat, '2K_Ratings'!C624, IF(bbgm_stat &gt;= perc_95, converted_stat * 3, IF(bbgm_stat &gt;= perc_90, converted_stat * 2, IF(bbgm_stat &gt;= perc_85, converted_stat * 1.5, converted_stat)))))</f>
        <v/>
      </c>
      <c r="D624" s="30" t="str">
        <f t="array" ref="D624">IF($A624="", "", LET(bbgm_stat, INDEX(Players!$A623:$P623, MATCH(D$2, Players!$A$1:$P$1, 0)), perc_75, VLOOKUP(D$2, Percentiles!$A$45:$I$59, 6, FALSE), perc_90, VLOOKUP(D$2, Percentiles!$A$45:$I$59, 7, FALSE), perc_95, VLOOKUP(D$2, Percentiles!$A$45:$I$59, 8, FALSE), perc_85, perc_75 + (perc_90 - perc_75) * (2/3), converted_stat, '2K_Ratings'!D624, IF(bbgm_stat &gt;= perc_95, converted_stat * 3, IF(bbgm_stat &gt;= perc_90, converted_stat * 2, IF(bbgm_stat &gt;= perc_85, converted_stat * 1.5, converted_stat)))))</f>
        <v/>
      </c>
      <c r="E624" s="30" t="str">
        <f t="array" ref="E624">IF($A624="", "", LET(bbgm_stat, INDEX(Players!$A623:$P623, MATCH(E$2, Players!$A$1:$P$1, 0)), perc_75, VLOOKUP(E$2, Percentiles!$A$45:$I$59, 6, FALSE), perc_90, VLOOKUP(E$2, Percentiles!$A$45:$I$59, 7, FALSE), perc_95, VLOOKUP(E$2, Percentiles!$A$45:$I$59, 8, FALSE), perc_85, perc_75 + (perc_90 - perc_75) * (2/3), converted_stat, '2K_Ratings'!E624, IF(bbgm_stat &gt;= perc_95, converted_stat * 3, IF(bbgm_stat &gt;= perc_90, converted_stat * 2, IF(bbgm_stat &gt;= perc_85, converted_stat * 1.5, converted_stat)))))</f>
        <v/>
      </c>
      <c r="F624" s="30" t="str">
        <f t="array" ref="F624">IF($A624="", "", LET(bbgm_stat, INDEX(Players!$A623:$P623, MATCH(F$2, Players!$A$1:$P$1, 0)), perc_75, VLOOKUP(F$2, Percentiles!$A$45:$I$59, 6, FALSE), perc_90, VLOOKUP(F$2, Percentiles!$A$45:$I$59, 7, FALSE), perc_95, VLOOKUP(F$2, Percentiles!$A$45:$I$59, 8, FALSE), perc_85, perc_75 + (perc_90 - perc_75) * (2/3), converted_stat, '2K_Ratings'!F624, IF(bbgm_stat &gt;= perc_95, converted_stat * 3, IF(bbgm_stat &gt;= perc_90, converted_stat * 2, IF(bbgm_stat &gt;= perc_85, converted_stat * 1.5, converted_stat)))))</f>
        <v/>
      </c>
      <c r="G624" s="30" t="str">
        <f t="array" ref="G624">IF($A624="", "", LET(bbgm_stat, INDEX(Players!$A623:$P623, MATCH(G$2, Players!$A$1:$P$1, 0)), perc_75, VLOOKUP(G$2, Percentiles!$A$45:$I$59, 6, FALSE), perc_90, VLOOKUP(G$2, Percentiles!$A$45:$I$59, 7, FALSE), perc_95, VLOOKUP(G$2, Percentiles!$A$45:$I$59, 8, FALSE), perc_85, perc_75 + (perc_90 - perc_75) * (2/3), converted_stat, '2K_Ratings'!G624, IF(bbgm_stat &gt;= perc_95, converted_stat * 3, IF(bbgm_stat &gt;= perc_90, converted_stat * 2, IF(bbgm_stat &gt;= perc_85, converted_stat * 1.5, converted_stat)))))</f>
        <v/>
      </c>
      <c r="H624" s="30" t="str">
        <f t="array" ref="H624">IF($A624="", "", LET(bbgm_stat, INDEX(Players!$A623:$P623, MATCH(H$2, Players!$A$1:$P$1, 0)), perc_75, VLOOKUP(H$2, Percentiles!$A$45:$I$59, 6, FALSE), perc_90, VLOOKUP(H$2, Percentiles!$A$45:$I$59, 7, FALSE), perc_95, VLOOKUP(H$2, Percentiles!$A$45:$I$59, 8, FALSE), perc_85, perc_75 + (perc_90 - perc_75) * (2/3), converted_stat, '2K_Ratings'!H624, IF(bbgm_stat &gt;= perc_95, converted_stat * 3, IF(bbgm_stat &gt;= perc_90, converted_stat * 2, IF(bbgm_stat &gt;= perc_85, converted_stat * 1.5, converted_stat)))))</f>
        <v/>
      </c>
      <c r="I624" s="30" t="str">
        <f t="array" ref="I624">IF($A624="", "", LET(bbgm_stat, INDEX(Players!$A623:$P623, MATCH(I$2, Players!$A$1:$P$1, 0)), perc_75, VLOOKUP(I$2, Percentiles!$A$45:$I$59, 6, FALSE), perc_90, VLOOKUP(I$2, Percentiles!$A$45:$I$59, 7, FALSE), perc_95, VLOOKUP(I$2, Percentiles!$A$45:$I$59, 8, FALSE), perc_85, perc_75 + (perc_90 - perc_75) * (2/3), converted_stat, '2K_Ratings'!I624, IF(bbgm_stat &gt;= perc_95, converted_stat * 3, IF(bbgm_stat &gt;= perc_90, converted_stat * 2, IF(bbgm_stat &gt;= perc_85, converted_stat * 1.5, converted_stat)))))</f>
        <v/>
      </c>
      <c r="J624" s="30" t="str">
        <f t="array" ref="J624">IF($A624="", "", LET(bbgm_stat, INDEX(Players!$A623:$P623, MATCH(J$2, Players!$A$1:$P$1, 0)), perc_75, VLOOKUP(J$2, Percentiles!$A$45:$I$59, 6, FALSE), perc_90, VLOOKUP(J$2, Percentiles!$A$45:$I$59, 7, FALSE), perc_95, VLOOKUP(J$2, Percentiles!$A$45:$I$59, 8, FALSE), perc_85, perc_75 + (perc_90 - perc_75) * (2/3), converted_stat, '2K_Ratings'!J624, IF(bbgm_stat &gt;= perc_95, converted_stat * 3, IF(bbgm_stat &gt;= perc_90, converted_stat * 2, IF(bbgm_stat &gt;= perc_85, converted_stat * 1.5, converted_stat)))))</f>
        <v/>
      </c>
      <c r="K624" s="30" t="str">
        <f t="array" ref="K624">IF($A624="", "", LET(bbgm_stat, INDEX(Players!$A623:$P623, MATCH(K$2, Players!$A$1:$P$1, 0)), perc_75, VLOOKUP(K$2, Percentiles!$A$45:$I$59, 6, FALSE), perc_90, VLOOKUP(K$2, Percentiles!$A$45:$I$59, 7, FALSE), perc_95, VLOOKUP(K$2, Percentiles!$A$45:$I$59, 8, FALSE), perc_85, perc_75 + (perc_90 - perc_75) * (2/3), converted_stat, '2K_Ratings'!K624, IF(bbgm_stat &gt;= perc_95, converted_stat * 3, IF(bbgm_stat &gt;= perc_90, converted_stat * 2, IF(bbgm_stat &gt;= perc_85, converted_stat * 1.5, converted_stat)))))</f>
        <v/>
      </c>
      <c r="L624" s="30" t="str">
        <f t="array" ref="L624">IF($A624="", "", LET(bbgm_stat, INDEX(Players!$A623:$P623, MATCH(L$2, Players!$A$1:$P$1, 0)), perc_75, VLOOKUP(L$2, Percentiles!$A$45:$I$59, 6, FALSE), perc_90, VLOOKUP(L$2, Percentiles!$A$45:$I$59, 7, FALSE), perc_95, VLOOKUP(L$2, Percentiles!$A$45:$I$59, 8, FALSE), perc_85, perc_75 + (perc_90 - perc_75) * (2/3), converted_stat, '2K_Ratings'!L624, IF(bbgm_stat &gt;= perc_95, converted_stat * 3, IF(bbgm_stat &gt;= perc_90, converted_stat * 2, IF(bbgm_stat &gt;= perc_85, converted_stat * 1.5, converted_stat)))))</f>
        <v/>
      </c>
      <c r="M624" s="30" t="str">
        <f t="array" ref="M624">IF($A624="", "", LET(bbgm_stat, INDEX(Players!$A623:$P623, MATCH(M$2, Players!$A$1:$P$1, 0)), perc_75, VLOOKUP(M$2, Percentiles!$A$45:$I$59, 6, FALSE), perc_90, VLOOKUP(M$2, Percentiles!$A$45:$I$59, 7, FALSE), perc_95, VLOOKUP(M$2, Percentiles!$A$45:$I$59, 8, FALSE), perc_85, perc_75 + (perc_90 - perc_75) * (2/3), converted_stat, '2K_Ratings'!M624, IF(bbgm_stat &gt;= perc_95, converted_stat * 3, IF(bbgm_stat &gt;= perc_90, converted_stat * 2, IF(bbgm_stat &gt;= perc_85, converted_stat * 1.5, converted_stat)))))</f>
        <v/>
      </c>
      <c r="N624" s="30" t="str">
        <f t="array" ref="N624">IF($A624="", "", LET(bbgm_stat, INDEX(Players!$A623:$P623, MATCH(N$2, Players!$A$1:$P$1, 0)), perc_75, VLOOKUP(N$2, Percentiles!$A$45:$I$59, 6, FALSE), perc_90, VLOOKUP(N$2, Percentiles!$A$45:$I$59, 7, FALSE), perc_95, VLOOKUP(N$2, Percentiles!$A$45:$I$59, 8, FALSE), perc_85, perc_75 + (perc_90 - perc_75) * (2/3), converted_stat, '2K_Ratings'!N624, IF(bbgm_stat &gt;= perc_95, converted_stat * 3, IF(bbgm_stat &gt;= perc_90, converted_stat * 2, IF(bbgm_stat &gt;= perc_85, converted_stat * 1.5, converted_stat)))))</f>
        <v/>
      </c>
      <c r="O624" s="30" t="str">
        <f t="array" ref="O624">IF($A624="", "", LET(bbgm_stat, INDEX(Players!$A623:$P623, MATCH(O$2, Players!$A$1:$P$1, 0)), perc_75, VLOOKUP(O$2, Percentiles!$A$45:$I$59, 6, FALSE), perc_90, VLOOKUP(O$2, Percentiles!$A$45:$I$59, 7, FALSE), perc_95, VLOOKUP(O$2, Percentiles!$A$45:$I$59, 8, FALSE), perc_85, perc_75 + (perc_90 - perc_75) * (2/3), converted_stat, '2K_Ratings'!O624, IF(bbgm_stat &gt;= perc_95, converted_stat * 3, IF(bbgm_stat &gt;= perc_90, converted_stat * 2, IF(bbgm_stat &gt;= perc_85, converted_stat * 1.5, converted_stat)))))</f>
        <v/>
      </c>
      <c r="P624" s="30" t="str">
        <f t="array" ref="P624">IF($A624="", "", LET(bbgm_stat, INDEX(Players!$A623:$P623, MATCH(P$2, Players!$A$1:$P$1, 0)), perc_75, VLOOKUP(P$2, Percentiles!$A$45:$I$59, 6, FALSE), perc_90, VLOOKUP(P$2, Percentiles!$A$45:$I$59, 7, FALSE), perc_95, VLOOKUP(P$2, Percentiles!$A$45:$I$59, 8, FALSE), perc_85, perc_75 + (perc_90 - perc_75) * (2/3), converted_stat, '2K_Ratings'!P624, IF(bbgm_stat &gt;= perc_95, converted_stat * 3, IF(bbgm_stat &gt;= perc_90, converted_stat * 2, IF(bbgm_stat &gt;= perc_85, converted_stat * 1.5, converted_stat)))))</f>
        <v/>
      </c>
      <c r="Q624" s="30" t="str">
        <f t="array" ref="Q624">IF($A624="", "", LET(bbgm_stat, INDEX(Players!$A623:$P623, MATCH(Q$2, Players!$A$1:$P$1, 0)), perc_75, VLOOKUP(Q$2, Percentiles!$A$45:$I$59, 6, FALSE), perc_90, VLOOKUP(Q$2, Percentiles!$A$45:$I$59, 7, FALSE), perc_95, VLOOKUP(Q$2, Percentiles!$A$45:$I$59, 8, FALSE), perc_85, perc_75 + (perc_90 - perc_75) * (2/3), converted_stat, '2K_Ratings'!Q624, IF(bbgm_stat &gt;= perc_95, converted_stat * 3, IF(bbgm_stat &gt;= perc_90, converted_stat * 2, IF(bbgm_stat &gt;= perc_85, converted_stat * 1.5, converted_stat)))))</f>
        <v/>
      </c>
      <c r="R624" s="30" t="str">
        <f t="array" ref="R624">IF($A624="", "", LET(bbgm_stat, INDEX(Players!$A623:$P623, MATCH(R$2, Players!$A$1:$P$1, 0)), perc_75, VLOOKUP(R$2, Percentiles!$A$45:$I$59, 6, FALSE), perc_90, VLOOKUP(R$2, Percentiles!$A$45:$I$59, 7, FALSE), perc_95, VLOOKUP(R$2, Percentiles!$A$45:$I$59, 8, FALSE), perc_85, perc_75 + (perc_90 - perc_75) * (2/3), converted_stat, '2K_Ratings'!R624, IF(bbgm_stat &gt;= perc_95, converted_stat * 3, IF(bbgm_stat &gt;= perc_90, converted_stat * 2, IF(bbgm_stat &gt;= perc_85, converted_stat * 1.5, converted_stat)))))</f>
        <v/>
      </c>
      <c r="S624" s="30" t="str">
        <f t="array" ref="S624">IF($A624="", "", LET(bbgm_stat, INDEX(Players!$A623:$P623, MATCH(S$2, Players!$A$1:$P$1, 0)), perc_75, VLOOKUP(S$2, Percentiles!$A$45:$I$59, 6, FALSE), perc_90, VLOOKUP(S$2, Percentiles!$A$45:$I$59, 7, FALSE), perc_95, VLOOKUP(S$2, Percentiles!$A$45:$I$59, 8, FALSE), perc_85, perc_75 + (perc_90 - perc_75) * (2/3), converted_stat, '2K_Ratings'!S624, IF(bbgm_stat &gt;= perc_95, converted_stat * 3, IF(bbgm_stat &gt;= perc_90, converted_stat * 2, IF(bbgm_stat &gt;= perc_85, converted_stat * 1.5, converted_stat)))))</f>
        <v/>
      </c>
      <c r="T624" s="30" t="str">
        <f t="array" ref="T624">IF($A624="", "", LET(bbgm_stat, INDEX(Players!$A623:$P623, MATCH(T$2, Players!$A$1:$P$1, 0)), perc_75, VLOOKUP(T$2, Percentiles!$A$45:$I$59, 6, FALSE), perc_90, VLOOKUP(T$2, Percentiles!$A$45:$I$59, 7, FALSE), perc_95, VLOOKUP(T$2, Percentiles!$A$45:$I$59, 8, FALSE), perc_85, perc_75 + (perc_90 - perc_75) * (2/3), converted_stat, '2K_Ratings'!T624, IF(bbgm_stat &gt;= perc_95, converted_stat * 3, IF(bbgm_stat &gt;= perc_90, converted_stat * 2, IF(bbgm_stat &gt;= perc_85, converted_stat * 1.5, converted_stat)))))</f>
        <v/>
      </c>
      <c r="U624" s="30" t="str">
        <f t="array" ref="U624">IF($A624="", "", LET(bbgm_stat, INDEX(Players!$A623:$P623, MATCH(U$2, Players!$A$1:$P$1, 0)), perc_75, VLOOKUP(U$2, Percentiles!$A$45:$I$59, 6, FALSE), perc_90, VLOOKUP(U$2, Percentiles!$A$45:$I$59, 7, FALSE), perc_95, VLOOKUP(U$2, Percentiles!$A$45:$I$59, 8, FALSE), perc_85, perc_75 + (perc_90 - perc_75) * (2/3), converted_stat, '2K_Ratings'!U624, IF(bbgm_stat &gt;= perc_95, converted_stat * 3, IF(bbgm_stat &gt;= perc_90, converted_stat * 2, IF(bbgm_stat &gt;= perc_85, converted_stat * 1.5, converted_stat)))))</f>
        <v/>
      </c>
      <c r="V624" s="30" t="str">
        <f t="array" ref="V624">IF($A624="", "", LET(bbgm_stat, INDEX(Players!$A623:$P623, MATCH(V$2, Players!$A$1:$P$1, 0)), perc_75, VLOOKUP(V$2, Percentiles!$A$45:$I$59, 6, FALSE), perc_90, VLOOKUP(V$2, Percentiles!$A$45:$I$59, 7, FALSE), perc_95, VLOOKUP(V$2, Percentiles!$A$45:$I$59, 8, FALSE), perc_85, perc_75 + (perc_90 - perc_75) * (2/3), converted_stat, '2K_Ratings'!V624, IF(bbgm_stat &gt;= perc_95, converted_stat * 3, IF(bbgm_stat &gt;= perc_90, converted_stat * 2, IF(bbgm_stat &gt;= perc_85, converted_stat * 1.5, converted_stat)))))</f>
        <v/>
      </c>
      <c r="W624" s="30" t="str">
        <f t="array" ref="W624">IF($A624="", "", LET(bbgm_stat, INDEX(Players!$A623:$P623, MATCH(W$2, Players!$A$1:$P$1, 0)), perc_75, VLOOKUP(W$2, Percentiles!$A$45:$I$59, 6, FALSE), perc_90, VLOOKUP(W$2, Percentiles!$A$45:$I$59, 7, FALSE), perc_95, VLOOKUP(W$2, Percentiles!$A$45:$I$59, 8, FALSE), perc_85, perc_75 + (perc_90 - perc_75) * (2/3), converted_stat, '2K_Ratings'!W624, IF(bbgm_stat &gt;= perc_95, converted_stat * 3, IF(bbgm_stat &gt;= perc_90, converted_stat * 2, IF(bbgm_stat &gt;= perc_85, converted_stat * 1.5, converted_stat)))))</f>
        <v/>
      </c>
    </row>
    <row r="625">
      <c r="A625" s="30"/>
      <c r="B625" s="30" t="str">
        <f t="array" ref="B625">IF($A625="", "", LET(bbgm_stat, INDEX(Players!$A624:$P624, MATCH(B$2, Players!$A$1:$P$1, 0)), perc_75, VLOOKUP(B$2, Percentiles!$A$45:$I$59, 6, FALSE), perc_90, VLOOKUP(B$2, Percentiles!$A$45:$I$59, 7, FALSE), perc_95, VLOOKUP(B$2, Percentiles!$A$45:$I$59, 8, FALSE), perc_85, perc_75 + (perc_90 - perc_75) * (2/3), converted_stat, '2K_Ratings'!B625, IF(bbgm_stat &gt;= perc_95, converted_stat * 3, IF(bbgm_stat &gt;= perc_90, converted_stat * 2, IF(bbgm_stat &gt;= perc_85, converted_stat * 1.5, converted_stat)))))</f>
        <v/>
      </c>
      <c r="C625" s="30" t="str">
        <f t="array" ref="C625">IF($A625="", "", LET(bbgm_stat, INDEX(Players!$A624:$P624, MATCH(C$2, Players!$A$1:$P$1, 0)), perc_75, VLOOKUP(C$2, Percentiles!$A$45:$I$59, 6, FALSE), perc_90, VLOOKUP(C$2, Percentiles!$A$45:$I$59, 7, FALSE), perc_95, VLOOKUP(C$2, Percentiles!$A$45:$I$59, 8, FALSE), perc_85, perc_75 + (perc_90 - perc_75) * (2/3), converted_stat, '2K_Ratings'!C625, IF(bbgm_stat &gt;= perc_95, converted_stat * 3, IF(bbgm_stat &gt;= perc_90, converted_stat * 2, IF(bbgm_stat &gt;= perc_85, converted_stat * 1.5, converted_stat)))))</f>
        <v/>
      </c>
      <c r="D625" s="30" t="str">
        <f t="array" ref="D625">IF($A625="", "", LET(bbgm_stat, INDEX(Players!$A624:$P624, MATCH(D$2, Players!$A$1:$P$1, 0)), perc_75, VLOOKUP(D$2, Percentiles!$A$45:$I$59, 6, FALSE), perc_90, VLOOKUP(D$2, Percentiles!$A$45:$I$59, 7, FALSE), perc_95, VLOOKUP(D$2, Percentiles!$A$45:$I$59, 8, FALSE), perc_85, perc_75 + (perc_90 - perc_75) * (2/3), converted_stat, '2K_Ratings'!D625, IF(bbgm_stat &gt;= perc_95, converted_stat * 3, IF(bbgm_stat &gt;= perc_90, converted_stat * 2, IF(bbgm_stat &gt;= perc_85, converted_stat * 1.5, converted_stat)))))</f>
        <v/>
      </c>
      <c r="E625" s="30" t="str">
        <f t="array" ref="E625">IF($A625="", "", LET(bbgm_stat, INDEX(Players!$A624:$P624, MATCH(E$2, Players!$A$1:$P$1, 0)), perc_75, VLOOKUP(E$2, Percentiles!$A$45:$I$59, 6, FALSE), perc_90, VLOOKUP(E$2, Percentiles!$A$45:$I$59, 7, FALSE), perc_95, VLOOKUP(E$2, Percentiles!$A$45:$I$59, 8, FALSE), perc_85, perc_75 + (perc_90 - perc_75) * (2/3), converted_stat, '2K_Ratings'!E625, IF(bbgm_stat &gt;= perc_95, converted_stat * 3, IF(bbgm_stat &gt;= perc_90, converted_stat * 2, IF(bbgm_stat &gt;= perc_85, converted_stat * 1.5, converted_stat)))))</f>
        <v/>
      </c>
      <c r="F625" s="30" t="str">
        <f t="array" ref="F625">IF($A625="", "", LET(bbgm_stat, INDEX(Players!$A624:$P624, MATCH(F$2, Players!$A$1:$P$1, 0)), perc_75, VLOOKUP(F$2, Percentiles!$A$45:$I$59, 6, FALSE), perc_90, VLOOKUP(F$2, Percentiles!$A$45:$I$59, 7, FALSE), perc_95, VLOOKUP(F$2, Percentiles!$A$45:$I$59, 8, FALSE), perc_85, perc_75 + (perc_90 - perc_75) * (2/3), converted_stat, '2K_Ratings'!F625, IF(bbgm_stat &gt;= perc_95, converted_stat * 3, IF(bbgm_stat &gt;= perc_90, converted_stat * 2, IF(bbgm_stat &gt;= perc_85, converted_stat * 1.5, converted_stat)))))</f>
        <v/>
      </c>
      <c r="G625" s="30" t="str">
        <f t="array" ref="G625">IF($A625="", "", LET(bbgm_stat, INDEX(Players!$A624:$P624, MATCH(G$2, Players!$A$1:$P$1, 0)), perc_75, VLOOKUP(G$2, Percentiles!$A$45:$I$59, 6, FALSE), perc_90, VLOOKUP(G$2, Percentiles!$A$45:$I$59, 7, FALSE), perc_95, VLOOKUP(G$2, Percentiles!$A$45:$I$59, 8, FALSE), perc_85, perc_75 + (perc_90 - perc_75) * (2/3), converted_stat, '2K_Ratings'!G625, IF(bbgm_stat &gt;= perc_95, converted_stat * 3, IF(bbgm_stat &gt;= perc_90, converted_stat * 2, IF(bbgm_stat &gt;= perc_85, converted_stat * 1.5, converted_stat)))))</f>
        <v/>
      </c>
      <c r="H625" s="30" t="str">
        <f t="array" ref="H625">IF($A625="", "", LET(bbgm_stat, INDEX(Players!$A624:$P624, MATCH(H$2, Players!$A$1:$P$1, 0)), perc_75, VLOOKUP(H$2, Percentiles!$A$45:$I$59, 6, FALSE), perc_90, VLOOKUP(H$2, Percentiles!$A$45:$I$59, 7, FALSE), perc_95, VLOOKUP(H$2, Percentiles!$A$45:$I$59, 8, FALSE), perc_85, perc_75 + (perc_90 - perc_75) * (2/3), converted_stat, '2K_Ratings'!H625, IF(bbgm_stat &gt;= perc_95, converted_stat * 3, IF(bbgm_stat &gt;= perc_90, converted_stat * 2, IF(bbgm_stat &gt;= perc_85, converted_stat * 1.5, converted_stat)))))</f>
        <v/>
      </c>
      <c r="I625" s="30" t="str">
        <f t="array" ref="I625">IF($A625="", "", LET(bbgm_stat, INDEX(Players!$A624:$P624, MATCH(I$2, Players!$A$1:$P$1, 0)), perc_75, VLOOKUP(I$2, Percentiles!$A$45:$I$59, 6, FALSE), perc_90, VLOOKUP(I$2, Percentiles!$A$45:$I$59, 7, FALSE), perc_95, VLOOKUP(I$2, Percentiles!$A$45:$I$59, 8, FALSE), perc_85, perc_75 + (perc_90 - perc_75) * (2/3), converted_stat, '2K_Ratings'!I625, IF(bbgm_stat &gt;= perc_95, converted_stat * 3, IF(bbgm_stat &gt;= perc_90, converted_stat * 2, IF(bbgm_stat &gt;= perc_85, converted_stat * 1.5, converted_stat)))))</f>
        <v/>
      </c>
      <c r="J625" s="30" t="str">
        <f t="array" ref="J625">IF($A625="", "", LET(bbgm_stat, INDEX(Players!$A624:$P624, MATCH(J$2, Players!$A$1:$P$1, 0)), perc_75, VLOOKUP(J$2, Percentiles!$A$45:$I$59, 6, FALSE), perc_90, VLOOKUP(J$2, Percentiles!$A$45:$I$59, 7, FALSE), perc_95, VLOOKUP(J$2, Percentiles!$A$45:$I$59, 8, FALSE), perc_85, perc_75 + (perc_90 - perc_75) * (2/3), converted_stat, '2K_Ratings'!J625, IF(bbgm_stat &gt;= perc_95, converted_stat * 3, IF(bbgm_stat &gt;= perc_90, converted_stat * 2, IF(bbgm_stat &gt;= perc_85, converted_stat * 1.5, converted_stat)))))</f>
        <v/>
      </c>
      <c r="K625" s="30" t="str">
        <f t="array" ref="K625">IF($A625="", "", LET(bbgm_stat, INDEX(Players!$A624:$P624, MATCH(K$2, Players!$A$1:$P$1, 0)), perc_75, VLOOKUP(K$2, Percentiles!$A$45:$I$59, 6, FALSE), perc_90, VLOOKUP(K$2, Percentiles!$A$45:$I$59, 7, FALSE), perc_95, VLOOKUP(K$2, Percentiles!$A$45:$I$59, 8, FALSE), perc_85, perc_75 + (perc_90 - perc_75) * (2/3), converted_stat, '2K_Ratings'!K625, IF(bbgm_stat &gt;= perc_95, converted_stat * 3, IF(bbgm_stat &gt;= perc_90, converted_stat * 2, IF(bbgm_stat &gt;= perc_85, converted_stat * 1.5, converted_stat)))))</f>
        <v/>
      </c>
      <c r="L625" s="30" t="str">
        <f t="array" ref="L625">IF($A625="", "", LET(bbgm_stat, INDEX(Players!$A624:$P624, MATCH(L$2, Players!$A$1:$P$1, 0)), perc_75, VLOOKUP(L$2, Percentiles!$A$45:$I$59, 6, FALSE), perc_90, VLOOKUP(L$2, Percentiles!$A$45:$I$59, 7, FALSE), perc_95, VLOOKUP(L$2, Percentiles!$A$45:$I$59, 8, FALSE), perc_85, perc_75 + (perc_90 - perc_75) * (2/3), converted_stat, '2K_Ratings'!L625, IF(bbgm_stat &gt;= perc_95, converted_stat * 3, IF(bbgm_stat &gt;= perc_90, converted_stat * 2, IF(bbgm_stat &gt;= perc_85, converted_stat * 1.5, converted_stat)))))</f>
        <v/>
      </c>
      <c r="M625" s="30" t="str">
        <f t="array" ref="M625">IF($A625="", "", LET(bbgm_stat, INDEX(Players!$A624:$P624, MATCH(M$2, Players!$A$1:$P$1, 0)), perc_75, VLOOKUP(M$2, Percentiles!$A$45:$I$59, 6, FALSE), perc_90, VLOOKUP(M$2, Percentiles!$A$45:$I$59, 7, FALSE), perc_95, VLOOKUP(M$2, Percentiles!$A$45:$I$59, 8, FALSE), perc_85, perc_75 + (perc_90 - perc_75) * (2/3), converted_stat, '2K_Ratings'!M625, IF(bbgm_stat &gt;= perc_95, converted_stat * 3, IF(bbgm_stat &gt;= perc_90, converted_stat * 2, IF(bbgm_stat &gt;= perc_85, converted_stat * 1.5, converted_stat)))))</f>
        <v/>
      </c>
      <c r="N625" s="30" t="str">
        <f t="array" ref="N625">IF($A625="", "", LET(bbgm_stat, INDEX(Players!$A624:$P624, MATCH(N$2, Players!$A$1:$P$1, 0)), perc_75, VLOOKUP(N$2, Percentiles!$A$45:$I$59, 6, FALSE), perc_90, VLOOKUP(N$2, Percentiles!$A$45:$I$59, 7, FALSE), perc_95, VLOOKUP(N$2, Percentiles!$A$45:$I$59, 8, FALSE), perc_85, perc_75 + (perc_90 - perc_75) * (2/3), converted_stat, '2K_Ratings'!N625, IF(bbgm_stat &gt;= perc_95, converted_stat * 3, IF(bbgm_stat &gt;= perc_90, converted_stat * 2, IF(bbgm_stat &gt;= perc_85, converted_stat * 1.5, converted_stat)))))</f>
        <v/>
      </c>
      <c r="O625" s="30" t="str">
        <f t="array" ref="O625">IF($A625="", "", LET(bbgm_stat, INDEX(Players!$A624:$P624, MATCH(O$2, Players!$A$1:$P$1, 0)), perc_75, VLOOKUP(O$2, Percentiles!$A$45:$I$59, 6, FALSE), perc_90, VLOOKUP(O$2, Percentiles!$A$45:$I$59, 7, FALSE), perc_95, VLOOKUP(O$2, Percentiles!$A$45:$I$59, 8, FALSE), perc_85, perc_75 + (perc_90 - perc_75) * (2/3), converted_stat, '2K_Ratings'!O625, IF(bbgm_stat &gt;= perc_95, converted_stat * 3, IF(bbgm_stat &gt;= perc_90, converted_stat * 2, IF(bbgm_stat &gt;= perc_85, converted_stat * 1.5, converted_stat)))))</f>
        <v/>
      </c>
      <c r="P625" s="30" t="str">
        <f t="array" ref="P625">IF($A625="", "", LET(bbgm_stat, INDEX(Players!$A624:$P624, MATCH(P$2, Players!$A$1:$P$1, 0)), perc_75, VLOOKUP(P$2, Percentiles!$A$45:$I$59, 6, FALSE), perc_90, VLOOKUP(P$2, Percentiles!$A$45:$I$59, 7, FALSE), perc_95, VLOOKUP(P$2, Percentiles!$A$45:$I$59, 8, FALSE), perc_85, perc_75 + (perc_90 - perc_75) * (2/3), converted_stat, '2K_Ratings'!P625, IF(bbgm_stat &gt;= perc_95, converted_stat * 3, IF(bbgm_stat &gt;= perc_90, converted_stat * 2, IF(bbgm_stat &gt;= perc_85, converted_stat * 1.5, converted_stat)))))</f>
        <v/>
      </c>
      <c r="Q625" s="30" t="str">
        <f t="array" ref="Q625">IF($A625="", "", LET(bbgm_stat, INDEX(Players!$A624:$P624, MATCH(Q$2, Players!$A$1:$P$1, 0)), perc_75, VLOOKUP(Q$2, Percentiles!$A$45:$I$59, 6, FALSE), perc_90, VLOOKUP(Q$2, Percentiles!$A$45:$I$59, 7, FALSE), perc_95, VLOOKUP(Q$2, Percentiles!$A$45:$I$59, 8, FALSE), perc_85, perc_75 + (perc_90 - perc_75) * (2/3), converted_stat, '2K_Ratings'!Q625, IF(bbgm_stat &gt;= perc_95, converted_stat * 3, IF(bbgm_stat &gt;= perc_90, converted_stat * 2, IF(bbgm_stat &gt;= perc_85, converted_stat * 1.5, converted_stat)))))</f>
        <v/>
      </c>
      <c r="R625" s="30" t="str">
        <f t="array" ref="R625">IF($A625="", "", LET(bbgm_stat, INDEX(Players!$A624:$P624, MATCH(R$2, Players!$A$1:$P$1, 0)), perc_75, VLOOKUP(R$2, Percentiles!$A$45:$I$59, 6, FALSE), perc_90, VLOOKUP(R$2, Percentiles!$A$45:$I$59, 7, FALSE), perc_95, VLOOKUP(R$2, Percentiles!$A$45:$I$59, 8, FALSE), perc_85, perc_75 + (perc_90 - perc_75) * (2/3), converted_stat, '2K_Ratings'!R625, IF(bbgm_stat &gt;= perc_95, converted_stat * 3, IF(bbgm_stat &gt;= perc_90, converted_stat * 2, IF(bbgm_stat &gt;= perc_85, converted_stat * 1.5, converted_stat)))))</f>
        <v/>
      </c>
      <c r="S625" s="30" t="str">
        <f t="array" ref="S625">IF($A625="", "", LET(bbgm_stat, INDEX(Players!$A624:$P624, MATCH(S$2, Players!$A$1:$P$1, 0)), perc_75, VLOOKUP(S$2, Percentiles!$A$45:$I$59, 6, FALSE), perc_90, VLOOKUP(S$2, Percentiles!$A$45:$I$59, 7, FALSE), perc_95, VLOOKUP(S$2, Percentiles!$A$45:$I$59, 8, FALSE), perc_85, perc_75 + (perc_90 - perc_75) * (2/3), converted_stat, '2K_Ratings'!S625, IF(bbgm_stat &gt;= perc_95, converted_stat * 3, IF(bbgm_stat &gt;= perc_90, converted_stat * 2, IF(bbgm_stat &gt;= perc_85, converted_stat * 1.5, converted_stat)))))</f>
        <v/>
      </c>
      <c r="T625" s="30" t="str">
        <f t="array" ref="T625">IF($A625="", "", LET(bbgm_stat, INDEX(Players!$A624:$P624, MATCH(T$2, Players!$A$1:$P$1, 0)), perc_75, VLOOKUP(T$2, Percentiles!$A$45:$I$59, 6, FALSE), perc_90, VLOOKUP(T$2, Percentiles!$A$45:$I$59, 7, FALSE), perc_95, VLOOKUP(T$2, Percentiles!$A$45:$I$59, 8, FALSE), perc_85, perc_75 + (perc_90 - perc_75) * (2/3), converted_stat, '2K_Ratings'!T625, IF(bbgm_stat &gt;= perc_95, converted_stat * 3, IF(bbgm_stat &gt;= perc_90, converted_stat * 2, IF(bbgm_stat &gt;= perc_85, converted_stat * 1.5, converted_stat)))))</f>
        <v/>
      </c>
      <c r="U625" s="30" t="str">
        <f t="array" ref="U625">IF($A625="", "", LET(bbgm_stat, INDEX(Players!$A624:$P624, MATCH(U$2, Players!$A$1:$P$1, 0)), perc_75, VLOOKUP(U$2, Percentiles!$A$45:$I$59, 6, FALSE), perc_90, VLOOKUP(U$2, Percentiles!$A$45:$I$59, 7, FALSE), perc_95, VLOOKUP(U$2, Percentiles!$A$45:$I$59, 8, FALSE), perc_85, perc_75 + (perc_90 - perc_75) * (2/3), converted_stat, '2K_Ratings'!U625, IF(bbgm_stat &gt;= perc_95, converted_stat * 3, IF(bbgm_stat &gt;= perc_90, converted_stat * 2, IF(bbgm_stat &gt;= perc_85, converted_stat * 1.5, converted_stat)))))</f>
        <v/>
      </c>
      <c r="V625" s="30" t="str">
        <f t="array" ref="V625">IF($A625="", "", LET(bbgm_stat, INDEX(Players!$A624:$P624, MATCH(V$2, Players!$A$1:$P$1, 0)), perc_75, VLOOKUP(V$2, Percentiles!$A$45:$I$59, 6, FALSE), perc_90, VLOOKUP(V$2, Percentiles!$A$45:$I$59, 7, FALSE), perc_95, VLOOKUP(V$2, Percentiles!$A$45:$I$59, 8, FALSE), perc_85, perc_75 + (perc_90 - perc_75) * (2/3), converted_stat, '2K_Ratings'!V625, IF(bbgm_stat &gt;= perc_95, converted_stat * 3, IF(bbgm_stat &gt;= perc_90, converted_stat * 2, IF(bbgm_stat &gt;= perc_85, converted_stat * 1.5, converted_stat)))))</f>
        <v/>
      </c>
      <c r="W625" s="30" t="str">
        <f t="array" ref="W625">IF($A625="", "", LET(bbgm_stat, INDEX(Players!$A624:$P624, MATCH(W$2, Players!$A$1:$P$1, 0)), perc_75, VLOOKUP(W$2, Percentiles!$A$45:$I$59, 6, FALSE), perc_90, VLOOKUP(W$2, Percentiles!$A$45:$I$59, 7, FALSE), perc_95, VLOOKUP(W$2, Percentiles!$A$45:$I$59, 8, FALSE), perc_85, perc_75 + (perc_90 - perc_75) * (2/3), converted_stat, '2K_Ratings'!W625, IF(bbgm_stat &gt;= perc_95, converted_stat * 3, IF(bbgm_stat &gt;= perc_90, converted_stat * 2, IF(bbgm_stat &gt;= perc_85, converted_stat * 1.5, converted_stat)))))</f>
        <v/>
      </c>
    </row>
    <row r="626">
      <c r="A626" s="30"/>
      <c r="B626" s="30" t="str">
        <f t="array" ref="B626">IF($A626="", "", LET(bbgm_stat, INDEX(Players!$A625:$P625, MATCH(B$2, Players!$A$1:$P$1, 0)), perc_75, VLOOKUP(B$2, Percentiles!$A$45:$I$59, 6, FALSE), perc_90, VLOOKUP(B$2, Percentiles!$A$45:$I$59, 7, FALSE), perc_95, VLOOKUP(B$2, Percentiles!$A$45:$I$59, 8, FALSE), perc_85, perc_75 + (perc_90 - perc_75) * (2/3), converted_stat, '2K_Ratings'!B626, IF(bbgm_stat &gt;= perc_95, converted_stat * 3, IF(bbgm_stat &gt;= perc_90, converted_stat * 2, IF(bbgm_stat &gt;= perc_85, converted_stat * 1.5, converted_stat)))))</f>
        <v/>
      </c>
      <c r="C626" s="30" t="str">
        <f t="array" ref="C626">IF($A626="", "", LET(bbgm_stat, INDEX(Players!$A625:$P625, MATCH(C$2, Players!$A$1:$P$1, 0)), perc_75, VLOOKUP(C$2, Percentiles!$A$45:$I$59, 6, FALSE), perc_90, VLOOKUP(C$2, Percentiles!$A$45:$I$59, 7, FALSE), perc_95, VLOOKUP(C$2, Percentiles!$A$45:$I$59, 8, FALSE), perc_85, perc_75 + (perc_90 - perc_75) * (2/3), converted_stat, '2K_Ratings'!C626, IF(bbgm_stat &gt;= perc_95, converted_stat * 3, IF(bbgm_stat &gt;= perc_90, converted_stat * 2, IF(bbgm_stat &gt;= perc_85, converted_stat * 1.5, converted_stat)))))</f>
        <v/>
      </c>
      <c r="D626" s="30" t="str">
        <f t="array" ref="D626">IF($A626="", "", LET(bbgm_stat, INDEX(Players!$A625:$P625, MATCH(D$2, Players!$A$1:$P$1, 0)), perc_75, VLOOKUP(D$2, Percentiles!$A$45:$I$59, 6, FALSE), perc_90, VLOOKUP(D$2, Percentiles!$A$45:$I$59, 7, FALSE), perc_95, VLOOKUP(D$2, Percentiles!$A$45:$I$59, 8, FALSE), perc_85, perc_75 + (perc_90 - perc_75) * (2/3), converted_stat, '2K_Ratings'!D626, IF(bbgm_stat &gt;= perc_95, converted_stat * 3, IF(bbgm_stat &gt;= perc_90, converted_stat * 2, IF(bbgm_stat &gt;= perc_85, converted_stat * 1.5, converted_stat)))))</f>
        <v/>
      </c>
      <c r="E626" s="30" t="str">
        <f t="array" ref="E626">IF($A626="", "", LET(bbgm_stat, INDEX(Players!$A625:$P625, MATCH(E$2, Players!$A$1:$P$1, 0)), perc_75, VLOOKUP(E$2, Percentiles!$A$45:$I$59, 6, FALSE), perc_90, VLOOKUP(E$2, Percentiles!$A$45:$I$59, 7, FALSE), perc_95, VLOOKUP(E$2, Percentiles!$A$45:$I$59, 8, FALSE), perc_85, perc_75 + (perc_90 - perc_75) * (2/3), converted_stat, '2K_Ratings'!E626, IF(bbgm_stat &gt;= perc_95, converted_stat * 3, IF(bbgm_stat &gt;= perc_90, converted_stat * 2, IF(bbgm_stat &gt;= perc_85, converted_stat * 1.5, converted_stat)))))</f>
        <v/>
      </c>
      <c r="F626" s="30" t="str">
        <f t="array" ref="F626">IF($A626="", "", LET(bbgm_stat, INDEX(Players!$A625:$P625, MATCH(F$2, Players!$A$1:$P$1, 0)), perc_75, VLOOKUP(F$2, Percentiles!$A$45:$I$59, 6, FALSE), perc_90, VLOOKUP(F$2, Percentiles!$A$45:$I$59, 7, FALSE), perc_95, VLOOKUP(F$2, Percentiles!$A$45:$I$59, 8, FALSE), perc_85, perc_75 + (perc_90 - perc_75) * (2/3), converted_stat, '2K_Ratings'!F626, IF(bbgm_stat &gt;= perc_95, converted_stat * 3, IF(bbgm_stat &gt;= perc_90, converted_stat * 2, IF(bbgm_stat &gt;= perc_85, converted_stat * 1.5, converted_stat)))))</f>
        <v/>
      </c>
      <c r="G626" s="30" t="str">
        <f t="array" ref="G626">IF($A626="", "", LET(bbgm_stat, INDEX(Players!$A625:$P625, MATCH(G$2, Players!$A$1:$P$1, 0)), perc_75, VLOOKUP(G$2, Percentiles!$A$45:$I$59, 6, FALSE), perc_90, VLOOKUP(G$2, Percentiles!$A$45:$I$59, 7, FALSE), perc_95, VLOOKUP(G$2, Percentiles!$A$45:$I$59, 8, FALSE), perc_85, perc_75 + (perc_90 - perc_75) * (2/3), converted_stat, '2K_Ratings'!G626, IF(bbgm_stat &gt;= perc_95, converted_stat * 3, IF(bbgm_stat &gt;= perc_90, converted_stat * 2, IF(bbgm_stat &gt;= perc_85, converted_stat * 1.5, converted_stat)))))</f>
        <v/>
      </c>
      <c r="H626" s="30" t="str">
        <f t="array" ref="H626">IF($A626="", "", LET(bbgm_stat, INDEX(Players!$A625:$P625, MATCH(H$2, Players!$A$1:$P$1, 0)), perc_75, VLOOKUP(H$2, Percentiles!$A$45:$I$59, 6, FALSE), perc_90, VLOOKUP(H$2, Percentiles!$A$45:$I$59, 7, FALSE), perc_95, VLOOKUP(H$2, Percentiles!$A$45:$I$59, 8, FALSE), perc_85, perc_75 + (perc_90 - perc_75) * (2/3), converted_stat, '2K_Ratings'!H626, IF(bbgm_stat &gt;= perc_95, converted_stat * 3, IF(bbgm_stat &gt;= perc_90, converted_stat * 2, IF(bbgm_stat &gt;= perc_85, converted_stat * 1.5, converted_stat)))))</f>
        <v/>
      </c>
      <c r="I626" s="30" t="str">
        <f t="array" ref="I626">IF($A626="", "", LET(bbgm_stat, INDEX(Players!$A625:$P625, MATCH(I$2, Players!$A$1:$P$1, 0)), perc_75, VLOOKUP(I$2, Percentiles!$A$45:$I$59, 6, FALSE), perc_90, VLOOKUP(I$2, Percentiles!$A$45:$I$59, 7, FALSE), perc_95, VLOOKUP(I$2, Percentiles!$A$45:$I$59, 8, FALSE), perc_85, perc_75 + (perc_90 - perc_75) * (2/3), converted_stat, '2K_Ratings'!I626, IF(bbgm_stat &gt;= perc_95, converted_stat * 3, IF(bbgm_stat &gt;= perc_90, converted_stat * 2, IF(bbgm_stat &gt;= perc_85, converted_stat * 1.5, converted_stat)))))</f>
        <v/>
      </c>
      <c r="J626" s="30" t="str">
        <f t="array" ref="J626">IF($A626="", "", LET(bbgm_stat, INDEX(Players!$A625:$P625, MATCH(J$2, Players!$A$1:$P$1, 0)), perc_75, VLOOKUP(J$2, Percentiles!$A$45:$I$59, 6, FALSE), perc_90, VLOOKUP(J$2, Percentiles!$A$45:$I$59, 7, FALSE), perc_95, VLOOKUP(J$2, Percentiles!$A$45:$I$59, 8, FALSE), perc_85, perc_75 + (perc_90 - perc_75) * (2/3), converted_stat, '2K_Ratings'!J626, IF(bbgm_stat &gt;= perc_95, converted_stat * 3, IF(bbgm_stat &gt;= perc_90, converted_stat * 2, IF(bbgm_stat &gt;= perc_85, converted_stat * 1.5, converted_stat)))))</f>
        <v/>
      </c>
      <c r="K626" s="30" t="str">
        <f t="array" ref="K626">IF($A626="", "", LET(bbgm_stat, INDEX(Players!$A625:$P625, MATCH(K$2, Players!$A$1:$P$1, 0)), perc_75, VLOOKUP(K$2, Percentiles!$A$45:$I$59, 6, FALSE), perc_90, VLOOKUP(K$2, Percentiles!$A$45:$I$59, 7, FALSE), perc_95, VLOOKUP(K$2, Percentiles!$A$45:$I$59, 8, FALSE), perc_85, perc_75 + (perc_90 - perc_75) * (2/3), converted_stat, '2K_Ratings'!K626, IF(bbgm_stat &gt;= perc_95, converted_stat * 3, IF(bbgm_stat &gt;= perc_90, converted_stat * 2, IF(bbgm_stat &gt;= perc_85, converted_stat * 1.5, converted_stat)))))</f>
        <v/>
      </c>
      <c r="L626" s="30" t="str">
        <f t="array" ref="L626">IF($A626="", "", LET(bbgm_stat, INDEX(Players!$A625:$P625, MATCH(L$2, Players!$A$1:$P$1, 0)), perc_75, VLOOKUP(L$2, Percentiles!$A$45:$I$59, 6, FALSE), perc_90, VLOOKUP(L$2, Percentiles!$A$45:$I$59, 7, FALSE), perc_95, VLOOKUP(L$2, Percentiles!$A$45:$I$59, 8, FALSE), perc_85, perc_75 + (perc_90 - perc_75) * (2/3), converted_stat, '2K_Ratings'!L626, IF(bbgm_stat &gt;= perc_95, converted_stat * 3, IF(bbgm_stat &gt;= perc_90, converted_stat * 2, IF(bbgm_stat &gt;= perc_85, converted_stat * 1.5, converted_stat)))))</f>
        <v/>
      </c>
      <c r="M626" s="30" t="str">
        <f t="array" ref="M626">IF($A626="", "", LET(bbgm_stat, INDEX(Players!$A625:$P625, MATCH(M$2, Players!$A$1:$P$1, 0)), perc_75, VLOOKUP(M$2, Percentiles!$A$45:$I$59, 6, FALSE), perc_90, VLOOKUP(M$2, Percentiles!$A$45:$I$59, 7, FALSE), perc_95, VLOOKUP(M$2, Percentiles!$A$45:$I$59, 8, FALSE), perc_85, perc_75 + (perc_90 - perc_75) * (2/3), converted_stat, '2K_Ratings'!M626, IF(bbgm_stat &gt;= perc_95, converted_stat * 3, IF(bbgm_stat &gt;= perc_90, converted_stat * 2, IF(bbgm_stat &gt;= perc_85, converted_stat * 1.5, converted_stat)))))</f>
        <v/>
      </c>
      <c r="N626" s="30" t="str">
        <f t="array" ref="N626">IF($A626="", "", LET(bbgm_stat, INDEX(Players!$A625:$P625, MATCH(N$2, Players!$A$1:$P$1, 0)), perc_75, VLOOKUP(N$2, Percentiles!$A$45:$I$59, 6, FALSE), perc_90, VLOOKUP(N$2, Percentiles!$A$45:$I$59, 7, FALSE), perc_95, VLOOKUP(N$2, Percentiles!$A$45:$I$59, 8, FALSE), perc_85, perc_75 + (perc_90 - perc_75) * (2/3), converted_stat, '2K_Ratings'!N626, IF(bbgm_stat &gt;= perc_95, converted_stat * 3, IF(bbgm_stat &gt;= perc_90, converted_stat * 2, IF(bbgm_stat &gt;= perc_85, converted_stat * 1.5, converted_stat)))))</f>
        <v/>
      </c>
      <c r="O626" s="30" t="str">
        <f t="array" ref="O626">IF($A626="", "", LET(bbgm_stat, INDEX(Players!$A625:$P625, MATCH(O$2, Players!$A$1:$P$1, 0)), perc_75, VLOOKUP(O$2, Percentiles!$A$45:$I$59, 6, FALSE), perc_90, VLOOKUP(O$2, Percentiles!$A$45:$I$59, 7, FALSE), perc_95, VLOOKUP(O$2, Percentiles!$A$45:$I$59, 8, FALSE), perc_85, perc_75 + (perc_90 - perc_75) * (2/3), converted_stat, '2K_Ratings'!O626, IF(bbgm_stat &gt;= perc_95, converted_stat * 3, IF(bbgm_stat &gt;= perc_90, converted_stat * 2, IF(bbgm_stat &gt;= perc_85, converted_stat * 1.5, converted_stat)))))</f>
        <v/>
      </c>
      <c r="P626" s="30" t="str">
        <f t="array" ref="P626">IF($A626="", "", LET(bbgm_stat, INDEX(Players!$A625:$P625, MATCH(P$2, Players!$A$1:$P$1, 0)), perc_75, VLOOKUP(P$2, Percentiles!$A$45:$I$59, 6, FALSE), perc_90, VLOOKUP(P$2, Percentiles!$A$45:$I$59, 7, FALSE), perc_95, VLOOKUP(P$2, Percentiles!$A$45:$I$59, 8, FALSE), perc_85, perc_75 + (perc_90 - perc_75) * (2/3), converted_stat, '2K_Ratings'!P626, IF(bbgm_stat &gt;= perc_95, converted_stat * 3, IF(bbgm_stat &gt;= perc_90, converted_stat * 2, IF(bbgm_stat &gt;= perc_85, converted_stat * 1.5, converted_stat)))))</f>
        <v/>
      </c>
      <c r="Q626" s="30" t="str">
        <f t="array" ref="Q626">IF($A626="", "", LET(bbgm_stat, INDEX(Players!$A625:$P625, MATCH(Q$2, Players!$A$1:$P$1, 0)), perc_75, VLOOKUP(Q$2, Percentiles!$A$45:$I$59, 6, FALSE), perc_90, VLOOKUP(Q$2, Percentiles!$A$45:$I$59, 7, FALSE), perc_95, VLOOKUP(Q$2, Percentiles!$A$45:$I$59, 8, FALSE), perc_85, perc_75 + (perc_90 - perc_75) * (2/3), converted_stat, '2K_Ratings'!Q626, IF(bbgm_stat &gt;= perc_95, converted_stat * 3, IF(bbgm_stat &gt;= perc_90, converted_stat * 2, IF(bbgm_stat &gt;= perc_85, converted_stat * 1.5, converted_stat)))))</f>
        <v/>
      </c>
      <c r="R626" s="30" t="str">
        <f t="array" ref="R626">IF($A626="", "", LET(bbgm_stat, INDEX(Players!$A625:$P625, MATCH(R$2, Players!$A$1:$P$1, 0)), perc_75, VLOOKUP(R$2, Percentiles!$A$45:$I$59, 6, FALSE), perc_90, VLOOKUP(R$2, Percentiles!$A$45:$I$59, 7, FALSE), perc_95, VLOOKUP(R$2, Percentiles!$A$45:$I$59, 8, FALSE), perc_85, perc_75 + (perc_90 - perc_75) * (2/3), converted_stat, '2K_Ratings'!R626, IF(bbgm_stat &gt;= perc_95, converted_stat * 3, IF(bbgm_stat &gt;= perc_90, converted_stat * 2, IF(bbgm_stat &gt;= perc_85, converted_stat * 1.5, converted_stat)))))</f>
        <v/>
      </c>
      <c r="S626" s="30" t="str">
        <f t="array" ref="S626">IF($A626="", "", LET(bbgm_stat, INDEX(Players!$A625:$P625, MATCH(S$2, Players!$A$1:$P$1, 0)), perc_75, VLOOKUP(S$2, Percentiles!$A$45:$I$59, 6, FALSE), perc_90, VLOOKUP(S$2, Percentiles!$A$45:$I$59, 7, FALSE), perc_95, VLOOKUP(S$2, Percentiles!$A$45:$I$59, 8, FALSE), perc_85, perc_75 + (perc_90 - perc_75) * (2/3), converted_stat, '2K_Ratings'!S626, IF(bbgm_stat &gt;= perc_95, converted_stat * 3, IF(bbgm_stat &gt;= perc_90, converted_stat * 2, IF(bbgm_stat &gt;= perc_85, converted_stat * 1.5, converted_stat)))))</f>
        <v/>
      </c>
      <c r="T626" s="30" t="str">
        <f t="array" ref="T626">IF($A626="", "", LET(bbgm_stat, INDEX(Players!$A625:$P625, MATCH(T$2, Players!$A$1:$P$1, 0)), perc_75, VLOOKUP(T$2, Percentiles!$A$45:$I$59, 6, FALSE), perc_90, VLOOKUP(T$2, Percentiles!$A$45:$I$59, 7, FALSE), perc_95, VLOOKUP(T$2, Percentiles!$A$45:$I$59, 8, FALSE), perc_85, perc_75 + (perc_90 - perc_75) * (2/3), converted_stat, '2K_Ratings'!T626, IF(bbgm_stat &gt;= perc_95, converted_stat * 3, IF(bbgm_stat &gt;= perc_90, converted_stat * 2, IF(bbgm_stat &gt;= perc_85, converted_stat * 1.5, converted_stat)))))</f>
        <v/>
      </c>
      <c r="U626" s="30" t="str">
        <f t="array" ref="U626">IF($A626="", "", LET(bbgm_stat, INDEX(Players!$A625:$P625, MATCH(U$2, Players!$A$1:$P$1, 0)), perc_75, VLOOKUP(U$2, Percentiles!$A$45:$I$59, 6, FALSE), perc_90, VLOOKUP(U$2, Percentiles!$A$45:$I$59, 7, FALSE), perc_95, VLOOKUP(U$2, Percentiles!$A$45:$I$59, 8, FALSE), perc_85, perc_75 + (perc_90 - perc_75) * (2/3), converted_stat, '2K_Ratings'!U626, IF(bbgm_stat &gt;= perc_95, converted_stat * 3, IF(bbgm_stat &gt;= perc_90, converted_stat * 2, IF(bbgm_stat &gt;= perc_85, converted_stat * 1.5, converted_stat)))))</f>
        <v/>
      </c>
      <c r="V626" s="30" t="str">
        <f t="array" ref="V626">IF($A626="", "", LET(bbgm_stat, INDEX(Players!$A625:$P625, MATCH(V$2, Players!$A$1:$P$1, 0)), perc_75, VLOOKUP(V$2, Percentiles!$A$45:$I$59, 6, FALSE), perc_90, VLOOKUP(V$2, Percentiles!$A$45:$I$59, 7, FALSE), perc_95, VLOOKUP(V$2, Percentiles!$A$45:$I$59, 8, FALSE), perc_85, perc_75 + (perc_90 - perc_75) * (2/3), converted_stat, '2K_Ratings'!V626, IF(bbgm_stat &gt;= perc_95, converted_stat * 3, IF(bbgm_stat &gt;= perc_90, converted_stat * 2, IF(bbgm_stat &gt;= perc_85, converted_stat * 1.5, converted_stat)))))</f>
        <v/>
      </c>
      <c r="W626" s="30" t="str">
        <f t="array" ref="W626">IF($A626="", "", LET(bbgm_stat, INDEX(Players!$A625:$P625, MATCH(W$2, Players!$A$1:$P$1, 0)), perc_75, VLOOKUP(W$2, Percentiles!$A$45:$I$59, 6, FALSE), perc_90, VLOOKUP(W$2, Percentiles!$A$45:$I$59, 7, FALSE), perc_95, VLOOKUP(W$2, Percentiles!$A$45:$I$59, 8, FALSE), perc_85, perc_75 + (perc_90 - perc_75) * (2/3), converted_stat, '2K_Ratings'!W626, IF(bbgm_stat &gt;= perc_95, converted_stat * 3, IF(bbgm_stat &gt;= perc_90, converted_stat * 2, IF(bbgm_stat &gt;= perc_85, converted_stat * 1.5, converted_stat)))))</f>
        <v/>
      </c>
    </row>
    <row r="627">
      <c r="A627" s="30"/>
      <c r="B627" s="30" t="str">
        <f t="array" ref="B627">IF($A627="", "", LET(bbgm_stat, INDEX(Players!$A626:$P626, MATCH(B$2, Players!$A$1:$P$1, 0)), perc_75, VLOOKUP(B$2, Percentiles!$A$45:$I$59, 6, FALSE), perc_90, VLOOKUP(B$2, Percentiles!$A$45:$I$59, 7, FALSE), perc_95, VLOOKUP(B$2, Percentiles!$A$45:$I$59, 8, FALSE), perc_85, perc_75 + (perc_90 - perc_75) * (2/3), converted_stat, '2K_Ratings'!B627, IF(bbgm_stat &gt;= perc_95, converted_stat * 3, IF(bbgm_stat &gt;= perc_90, converted_stat * 2, IF(bbgm_stat &gt;= perc_85, converted_stat * 1.5, converted_stat)))))</f>
        <v/>
      </c>
      <c r="C627" s="30" t="str">
        <f t="array" ref="C627">IF($A627="", "", LET(bbgm_stat, INDEX(Players!$A626:$P626, MATCH(C$2, Players!$A$1:$P$1, 0)), perc_75, VLOOKUP(C$2, Percentiles!$A$45:$I$59, 6, FALSE), perc_90, VLOOKUP(C$2, Percentiles!$A$45:$I$59, 7, FALSE), perc_95, VLOOKUP(C$2, Percentiles!$A$45:$I$59, 8, FALSE), perc_85, perc_75 + (perc_90 - perc_75) * (2/3), converted_stat, '2K_Ratings'!C627, IF(bbgm_stat &gt;= perc_95, converted_stat * 3, IF(bbgm_stat &gt;= perc_90, converted_stat * 2, IF(bbgm_stat &gt;= perc_85, converted_stat * 1.5, converted_stat)))))</f>
        <v/>
      </c>
      <c r="D627" s="30" t="str">
        <f t="array" ref="D627">IF($A627="", "", LET(bbgm_stat, INDEX(Players!$A626:$P626, MATCH(D$2, Players!$A$1:$P$1, 0)), perc_75, VLOOKUP(D$2, Percentiles!$A$45:$I$59, 6, FALSE), perc_90, VLOOKUP(D$2, Percentiles!$A$45:$I$59, 7, FALSE), perc_95, VLOOKUP(D$2, Percentiles!$A$45:$I$59, 8, FALSE), perc_85, perc_75 + (perc_90 - perc_75) * (2/3), converted_stat, '2K_Ratings'!D627, IF(bbgm_stat &gt;= perc_95, converted_stat * 3, IF(bbgm_stat &gt;= perc_90, converted_stat * 2, IF(bbgm_stat &gt;= perc_85, converted_stat * 1.5, converted_stat)))))</f>
        <v/>
      </c>
      <c r="E627" s="30" t="str">
        <f t="array" ref="E627">IF($A627="", "", LET(bbgm_stat, INDEX(Players!$A626:$P626, MATCH(E$2, Players!$A$1:$P$1, 0)), perc_75, VLOOKUP(E$2, Percentiles!$A$45:$I$59, 6, FALSE), perc_90, VLOOKUP(E$2, Percentiles!$A$45:$I$59, 7, FALSE), perc_95, VLOOKUP(E$2, Percentiles!$A$45:$I$59, 8, FALSE), perc_85, perc_75 + (perc_90 - perc_75) * (2/3), converted_stat, '2K_Ratings'!E627, IF(bbgm_stat &gt;= perc_95, converted_stat * 3, IF(bbgm_stat &gt;= perc_90, converted_stat * 2, IF(bbgm_stat &gt;= perc_85, converted_stat * 1.5, converted_stat)))))</f>
        <v/>
      </c>
      <c r="F627" s="30" t="str">
        <f t="array" ref="F627">IF($A627="", "", LET(bbgm_stat, INDEX(Players!$A626:$P626, MATCH(F$2, Players!$A$1:$P$1, 0)), perc_75, VLOOKUP(F$2, Percentiles!$A$45:$I$59, 6, FALSE), perc_90, VLOOKUP(F$2, Percentiles!$A$45:$I$59, 7, FALSE), perc_95, VLOOKUP(F$2, Percentiles!$A$45:$I$59, 8, FALSE), perc_85, perc_75 + (perc_90 - perc_75) * (2/3), converted_stat, '2K_Ratings'!F627, IF(bbgm_stat &gt;= perc_95, converted_stat * 3, IF(bbgm_stat &gt;= perc_90, converted_stat * 2, IF(bbgm_stat &gt;= perc_85, converted_stat * 1.5, converted_stat)))))</f>
        <v/>
      </c>
      <c r="G627" s="30" t="str">
        <f t="array" ref="G627">IF($A627="", "", LET(bbgm_stat, INDEX(Players!$A626:$P626, MATCH(G$2, Players!$A$1:$P$1, 0)), perc_75, VLOOKUP(G$2, Percentiles!$A$45:$I$59, 6, FALSE), perc_90, VLOOKUP(G$2, Percentiles!$A$45:$I$59, 7, FALSE), perc_95, VLOOKUP(G$2, Percentiles!$A$45:$I$59, 8, FALSE), perc_85, perc_75 + (perc_90 - perc_75) * (2/3), converted_stat, '2K_Ratings'!G627, IF(bbgm_stat &gt;= perc_95, converted_stat * 3, IF(bbgm_stat &gt;= perc_90, converted_stat * 2, IF(bbgm_stat &gt;= perc_85, converted_stat * 1.5, converted_stat)))))</f>
        <v/>
      </c>
      <c r="H627" s="30" t="str">
        <f t="array" ref="H627">IF($A627="", "", LET(bbgm_stat, INDEX(Players!$A626:$P626, MATCH(H$2, Players!$A$1:$P$1, 0)), perc_75, VLOOKUP(H$2, Percentiles!$A$45:$I$59, 6, FALSE), perc_90, VLOOKUP(H$2, Percentiles!$A$45:$I$59, 7, FALSE), perc_95, VLOOKUP(H$2, Percentiles!$A$45:$I$59, 8, FALSE), perc_85, perc_75 + (perc_90 - perc_75) * (2/3), converted_stat, '2K_Ratings'!H627, IF(bbgm_stat &gt;= perc_95, converted_stat * 3, IF(bbgm_stat &gt;= perc_90, converted_stat * 2, IF(bbgm_stat &gt;= perc_85, converted_stat * 1.5, converted_stat)))))</f>
        <v/>
      </c>
      <c r="I627" s="30" t="str">
        <f t="array" ref="I627">IF($A627="", "", LET(bbgm_stat, INDEX(Players!$A626:$P626, MATCH(I$2, Players!$A$1:$P$1, 0)), perc_75, VLOOKUP(I$2, Percentiles!$A$45:$I$59, 6, FALSE), perc_90, VLOOKUP(I$2, Percentiles!$A$45:$I$59, 7, FALSE), perc_95, VLOOKUP(I$2, Percentiles!$A$45:$I$59, 8, FALSE), perc_85, perc_75 + (perc_90 - perc_75) * (2/3), converted_stat, '2K_Ratings'!I627, IF(bbgm_stat &gt;= perc_95, converted_stat * 3, IF(bbgm_stat &gt;= perc_90, converted_stat * 2, IF(bbgm_stat &gt;= perc_85, converted_stat * 1.5, converted_stat)))))</f>
        <v/>
      </c>
      <c r="J627" s="30" t="str">
        <f t="array" ref="J627">IF($A627="", "", LET(bbgm_stat, INDEX(Players!$A626:$P626, MATCH(J$2, Players!$A$1:$P$1, 0)), perc_75, VLOOKUP(J$2, Percentiles!$A$45:$I$59, 6, FALSE), perc_90, VLOOKUP(J$2, Percentiles!$A$45:$I$59, 7, FALSE), perc_95, VLOOKUP(J$2, Percentiles!$A$45:$I$59, 8, FALSE), perc_85, perc_75 + (perc_90 - perc_75) * (2/3), converted_stat, '2K_Ratings'!J627, IF(bbgm_stat &gt;= perc_95, converted_stat * 3, IF(bbgm_stat &gt;= perc_90, converted_stat * 2, IF(bbgm_stat &gt;= perc_85, converted_stat * 1.5, converted_stat)))))</f>
        <v/>
      </c>
      <c r="K627" s="30" t="str">
        <f t="array" ref="K627">IF($A627="", "", LET(bbgm_stat, INDEX(Players!$A626:$P626, MATCH(K$2, Players!$A$1:$P$1, 0)), perc_75, VLOOKUP(K$2, Percentiles!$A$45:$I$59, 6, FALSE), perc_90, VLOOKUP(K$2, Percentiles!$A$45:$I$59, 7, FALSE), perc_95, VLOOKUP(K$2, Percentiles!$A$45:$I$59, 8, FALSE), perc_85, perc_75 + (perc_90 - perc_75) * (2/3), converted_stat, '2K_Ratings'!K627, IF(bbgm_stat &gt;= perc_95, converted_stat * 3, IF(bbgm_stat &gt;= perc_90, converted_stat * 2, IF(bbgm_stat &gt;= perc_85, converted_stat * 1.5, converted_stat)))))</f>
        <v/>
      </c>
      <c r="L627" s="30" t="str">
        <f t="array" ref="L627">IF($A627="", "", LET(bbgm_stat, INDEX(Players!$A626:$P626, MATCH(L$2, Players!$A$1:$P$1, 0)), perc_75, VLOOKUP(L$2, Percentiles!$A$45:$I$59, 6, FALSE), perc_90, VLOOKUP(L$2, Percentiles!$A$45:$I$59, 7, FALSE), perc_95, VLOOKUP(L$2, Percentiles!$A$45:$I$59, 8, FALSE), perc_85, perc_75 + (perc_90 - perc_75) * (2/3), converted_stat, '2K_Ratings'!L627, IF(bbgm_stat &gt;= perc_95, converted_stat * 3, IF(bbgm_stat &gt;= perc_90, converted_stat * 2, IF(bbgm_stat &gt;= perc_85, converted_stat * 1.5, converted_stat)))))</f>
        <v/>
      </c>
      <c r="M627" s="30" t="str">
        <f t="array" ref="M627">IF($A627="", "", LET(bbgm_stat, INDEX(Players!$A626:$P626, MATCH(M$2, Players!$A$1:$P$1, 0)), perc_75, VLOOKUP(M$2, Percentiles!$A$45:$I$59, 6, FALSE), perc_90, VLOOKUP(M$2, Percentiles!$A$45:$I$59, 7, FALSE), perc_95, VLOOKUP(M$2, Percentiles!$A$45:$I$59, 8, FALSE), perc_85, perc_75 + (perc_90 - perc_75) * (2/3), converted_stat, '2K_Ratings'!M627, IF(bbgm_stat &gt;= perc_95, converted_stat * 3, IF(bbgm_stat &gt;= perc_90, converted_stat * 2, IF(bbgm_stat &gt;= perc_85, converted_stat * 1.5, converted_stat)))))</f>
        <v/>
      </c>
      <c r="N627" s="30" t="str">
        <f t="array" ref="N627">IF($A627="", "", LET(bbgm_stat, INDEX(Players!$A626:$P626, MATCH(N$2, Players!$A$1:$P$1, 0)), perc_75, VLOOKUP(N$2, Percentiles!$A$45:$I$59, 6, FALSE), perc_90, VLOOKUP(N$2, Percentiles!$A$45:$I$59, 7, FALSE), perc_95, VLOOKUP(N$2, Percentiles!$A$45:$I$59, 8, FALSE), perc_85, perc_75 + (perc_90 - perc_75) * (2/3), converted_stat, '2K_Ratings'!N627, IF(bbgm_stat &gt;= perc_95, converted_stat * 3, IF(bbgm_stat &gt;= perc_90, converted_stat * 2, IF(bbgm_stat &gt;= perc_85, converted_stat * 1.5, converted_stat)))))</f>
        <v/>
      </c>
      <c r="O627" s="30" t="str">
        <f t="array" ref="O627">IF($A627="", "", LET(bbgm_stat, INDEX(Players!$A626:$P626, MATCH(O$2, Players!$A$1:$P$1, 0)), perc_75, VLOOKUP(O$2, Percentiles!$A$45:$I$59, 6, FALSE), perc_90, VLOOKUP(O$2, Percentiles!$A$45:$I$59, 7, FALSE), perc_95, VLOOKUP(O$2, Percentiles!$A$45:$I$59, 8, FALSE), perc_85, perc_75 + (perc_90 - perc_75) * (2/3), converted_stat, '2K_Ratings'!O627, IF(bbgm_stat &gt;= perc_95, converted_stat * 3, IF(bbgm_stat &gt;= perc_90, converted_stat * 2, IF(bbgm_stat &gt;= perc_85, converted_stat * 1.5, converted_stat)))))</f>
        <v/>
      </c>
      <c r="P627" s="30" t="str">
        <f t="array" ref="P627">IF($A627="", "", LET(bbgm_stat, INDEX(Players!$A626:$P626, MATCH(P$2, Players!$A$1:$P$1, 0)), perc_75, VLOOKUP(P$2, Percentiles!$A$45:$I$59, 6, FALSE), perc_90, VLOOKUP(P$2, Percentiles!$A$45:$I$59, 7, FALSE), perc_95, VLOOKUP(P$2, Percentiles!$A$45:$I$59, 8, FALSE), perc_85, perc_75 + (perc_90 - perc_75) * (2/3), converted_stat, '2K_Ratings'!P627, IF(bbgm_stat &gt;= perc_95, converted_stat * 3, IF(bbgm_stat &gt;= perc_90, converted_stat * 2, IF(bbgm_stat &gt;= perc_85, converted_stat * 1.5, converted_stat)))))</f>
        <v/>
      </c>
      <c r="Q627" s="30" t="str">
        <f t="array" ref="Q627">IF($A627="", "", LET(bbgm_stat, INDEX(Players!$A626:$P626, MATCH(Q$2, Players!$A$1:$P$1, 0)), perc_75, VLOOKUP(Q$2, Percentiles!$A$45:$I$59, 6, FALSE), perc_90, VLOOKUP(Q$2, Percentiles!$A$45:$I$59, 7, FALSE), perc_95, VLOOKUP(Q$2, Percentiles!$A$45:$I$59, 8, FALSE), perc_85, perc_75 + (perc_90 - perc_75) * (2/3), converted_stat, '2K_Ratings'!Q627, IF(bbgm_stat &gt;= perc_95, converted_stat * 3, IF(bbgm_stat &gt;= perc_90, converted_stat * 2, IF(bbgm_stat &gt;= perc_85, converted_stat * 1.5, converted_stat)))))</f>
        <v/>
      </c>
      <c r="R627" s="30" t="str">
        <f t="array" ref="R627">IF($A627="", "", LET(bbgm_stat, INDEX(Players!$A626:$P626, MATCH(R$2, Players!$A$1:$P$1, 0)), perc_75, VLOOKUP(R$2, Percentiles!$A$45:$I$59, 6, FALSE), perc_90, VLOOKUP(R$2, Percentiles!$A$45:$I$59, 7, FALSE), perc_95, VLOOKUP(R$2, Percentiles!$A$45:$I$59, 8, FALSE), perc_85, perc_75 + (perc_90 - perc_75) * (2/3), converted_stat, '2K_Ratings'!R627, IF(bbgm_stat &gt;= perc_95, converted_stat * 3, IF(bbgm_stat &gt;= perc_90, converted_stat * 2, IF(bbgm_stat &gt;= perc_85, converted_stat * 1.5, converted_stat)))))</f>
        <v/>
      </c>
      <c r="S627" s="30" t="str">
        <f t="array" ref="S627">IF($A627="", "", LET(bbgm_stat, INDEX(Players!$A626:$P626, MATCH(S$2, Players!$A$1:$P$1, 0)), perc_75, VLOOKUP(S$2, Percentiles!$A$45:$I$59, 6, FALSE), perc_90, VLOOKUP(S$2, Percentiles!$A$45:$I$59, 7, FALSE), perc_95, VLOOKUP(S$2, Percentiles!$A$45:$I$59, 8, FALSE), perc_85, perc_75 + (perc_90 - perc_75) * (2/3), converted_stat, '2K_Ratings'!S627, IF(bbgm_stat &gt;= perc_95, converted_stat * 3, IF(bbgm_stat &gt;= perc_90, converted_stat * 2, IF(bbgm_stat &gt;= perc_85, converted_stat * 1.5, converted_stat)))))</f>
        <v/>
      </c>
      <c r="T627" s="30" t="str">
        <f t="array" ref="T627">IF($A627="", "", LET(bbgm_stat, INDEX(Players!$A626:$P626, MATCH(T$2, Players!$A$1:$P$1, 0)), perc_75, VLOOKUP(T$2, Percentiles!$A$45:$I$59, 6, FALSE), perc_90, VLOOKUP(T$2, Percentiles!$A$45:$I$59, 7, FALSE), perc_95, VLOOKUP(T$2, Percentiles!$A$45:$I$59, 8, FALSE), perc_85, perc_75 + (perc_90 - perc_75) * (2/3), converted_stat, '2K_Ratings'!T627, IF(bbgm_stat &gt;= perc_95, converted_stat * 3, IF(bbgm_stat &gt;= perc_90, converted_stat * 2, IF(bbgm_stat &gt;= perc_85, converted_stat * 1.5, converted_stat)))))</f>
        <v/>
      </c>
      <c r="U627" s="30" t="str">
        <f t="array" ref="U627">IF($A627="", "", LET(bbgm_stat, INDEX(Players!$A626:$P626, MATCH(U$2, Players!$A$1:$P$1, 0)), perc_75, VLOOKUP(U$2, Percentiles!$A$45:$I$59, 6, FALSE), perc_90, VLOOKUP(U$2, Percentiles!$A$45:$I$59, 7, FALSE), perc_95, VLOOKUP(U$2, Percentiles!$A$45:$I$59, 8, FALSE), perc_85, perc_75 + (perc_90 - perc_75) * (2/3), converted_stat, '2K_Ratings'!U627, IF(bbgm_stat &gt;= perc_95, converted_stat * 3, IF(bbgm_stat &gt;= perc_90, converted_stat * 2, IF(bbgm_stat &gt;= perc_85, converted_stat * 1.5, converted_stat)))))</f>
        <v/>
      </c>
      <c r="V627" s="30" t="str">
        <f t="array" ref="V627">IF($A627="", "", LET(bbgm_stat, INDEX(Players!$A626:$P626, MATCH(V$2, Players!$A$1:$P$1, 0)), perc_75, VLOOKUP(V$2, Percentiles!$A$45:$I$59, 6, FALSE), perc_90, VLOOKUP(V$2, Percentiles!$A$45:$I$59, 7, FALSE), perc_95, VLOOKUP(V$2, Percentiles!$A$45:$I$59, 8, FALSE), perc_85, perc_75 + (perc_90 - perc_75) * (2/3), converted_stat, '2K_Ratings'!V627, IF(bbgm_stat &gt;= perc_95, converted_stat * 3, IF(bbgm_stat &gt;= perc_90, converted_stat * 2, IF(bbgm_stat &gt;= perc_85, converted_stat * 1.5, converted_stat)))))</f>
        <v/>
      </c>
      <c r="W627" s="30" t="str">
        <f t="array" ref="W627">IF($A627="", "", LET(bbgm_stat, INDEX(Players!$A626:$P626, MATCH(W$2, Players!$A$1:$P$1, 0)), perc_75, VLOOKUP(W$2, Percentiles!$A$45:$I$59, 6, FALSE), perc_90, VLOOKUP(W$2, Percentiles!$A$45:$I$59, 7, FALSE), perc_95, VLOOKUP(W$2, Percentiles!$A$45:$I$59, 8, FALSE), perc_85, perc_75 + (perc_90 - perc_75) * (2/3), converted_stat, '2K_Ratings'!W627, IF(bbgm_stat &gt;= perc_95, converted_stat * 3, IF(bbgm_stat &gt;= perc_90, converted_stat * 2, IF(bbgm_stat &gt;= perc_85, converted_stat * 1.5, converted_stat)))))</f>
        <v/>
      </c>
    </row>
    <row r="628">
      <c r="A628" s="30"/>
      <c r="B628" s="30" t="str">
        <f t="array" ref="B628">IF($A628="", "", LET(bbgm_stat, INDEX(Players!$A627:$P627, MATCH(B$2, Players!$A$1:$P$1, 0)), perc_75, VLOOKUP(B$2, Percentiles!$A$45:$I$59, 6, FALSE), perc_90, VLOOKUP(B$2, Percentiles!$A$45:$I$59, 7, FALSE), perc_95, VLOOKUP(B$2, Percentiles!$A$45:$I$59, 8, FALSE), perc_85, perc_75 + (perc_90 - perc_75) * (2/3), converted_stat, '2K_Ratings'!B628, IF(bbgm_stat &gt;= perc_95, converted_stat * 3, IF(bbgm_stat &gt;= perc_90, converted_stat * 2, IF(bbgm_stat &gt;= perc_85, converted_stat * 1.5, converted_stat)))))</f>
        <v/>
      </c>
      <c r="C628" s="30" t="str">
        <f t="array" ref="C628">IF($A628="", "", LET(bbgm_stat, INDEX(Players!$A627:$P627, MATCH(C$2, Players!$A$1:$P$1, 0)), perc_75, VLOOKUP(C$2, Percentiles!$A$45:$I$59, 6, FALSE), perc_90, VLOOKUP(C$2, Percentiles!$A$45:$I$59, 7, FALSE), perc_95, VLOOKUP(C$2, Percentiles!$A$45:$I$59, 8, FALSE), perc_85, perc_75 + (perc_90 - perc_75) * (2/3), converted_stat, '2K_Ratings'!C628, IF(bbgm_stat &gt;= perc_95, converted_stat * 3, IF(bbgm_stat &gt;= perc_90, converted_stat * 2, IF(bbgm_stat &gt;= perc_85, converted_stat * 1.5, converted_stat)))))</f>
        <v/>
      </c>
      <c r="D628" s="30" t="str">
        <f t="array" ref="D628">IF($A628="", "", LET(bbgm_stat, INDEX(Players!$A627:$P627, MATCH(D$2, Players!$A$1:$P$1, 0)), perc_75, VLOOKUP(D$2, Percentiles!$A$45:$I$59, 6, FALSE), perc_90, VLOOKUP(D$2, Percentiles!$A$45:$I$59, 7, FALSE), perc_95, VLOOKUP(D$2, Percentiles!$A$45:$I$59, 8, FALSE), perc_85, perc_75 + (perc_90 - perc_75) * (2/3), converted_stat, '2K_Ratings'!D628, IF(bbgm_stat &gt;= perc_95, converted_stat * 3, IF(bbgm_stat &gt;= perc_90, converted_stat * 2, IF(bbgm_stat &gt;= perc_85, converted_stat * 1.5, converted_stat)))))</f>
        <v/>
      </c>
      <c r="E628" s="30" t="str">
        <f t="array" ref="E628">IF($A628="", "", LET(bbgm_stat, INDEX(Players!$A627:$P627, MATCH(E$2, Players!$A$1:$P$1, 0)), perc_75, VLOOKUP(E$2, Percentiles!$A$45:$I$59, 6, FALSE), perc_90, VLOOKUP(E$2, Percentiles!$A$45:$I$59, 7, FALSE), perc_95, VLOOKUP(E$2, Percentiles!$A$45:$I$59, 8, FALSE), perc_85, perc_75 + (perc_90 - perc_75) * (2/3), converted_stat, '2K_Ratings'!E628, IF(bbgm_stat &gt;= perc_95, converted_stat * 3, IF(bbgm_stat &gt;= perc_90, converted_stat * 2, IF(bbgm_stat &gt;= perc_85, converted_stat * 1.5, converted_stat)))))</f>
        <v/>
      </c>
      <c r="F628" s="30" t="str">
        <f t="array" ref="F628">IF($A628="", "", LET(bbgm_stat, INDEX(Players!$A627:$P627, MATCH(F$2, Players!$A$1:$P$1, 0)), perc_75, VLOOKUP(F$2, Percentiles!$A$45:$I$59, 6, FALSE), perc_90, VLOOKUP(F$2, Percentiles!$A$45:$I$59, 7, FALSE), perc_95, VLOOKUP(F$2, Percentiles!$A$45:$I$59, 8, FALSE), perc_85, perc_75 + (perc_90 - perc_75) * (2/3), converted_stat, '2K_Ratings'!F628, IF(bbgm_stat &gt;= perc_95, converted_stat * 3, IF(bbgm_stat &gt;= perc_90, converted_stat * 2, IF(bbgm_stat &gt;= perc_85, converted_stat * 1.5, converted_stat)))))</f>
        <v/>
      </c>
      <c r="G628" s="30" t="str">
        <f t="array" ref="G628">IF($A628="", "", LET(bbgm_stat, INDEX(Players!$A627:$P627, MATCH(G$2, Players!$A$1:$P$1, 0)), perc_75, VLOOKUP(G$2, Percentiles!$A$45:$I$59, 6, FALSE), perc_90, VLOOKUP(G$2, Percentiles!$A$45:$I$59, 7, FALSE), perc_95, VLOOKUP(G$2, Percentiles!$A$45:$I$59, 8, FALSE), perc_85, perc_75 + (perc_90 - perc_75) * (2/3), converted_stat, '2K_Ratings'!G628, IF(bbgm_stat &gt;= perc_95, converted_stat * 3, IF(bbgm_stat &gt;= perc_90, converted_stat * 2, IF(bbgm_stat &gt;= perc_85, converted_stat * 1.5, converted_stat)))))</f>
        <v/>
      </c>
      <c r="H628" s="30" t="str">
        <f t="array" ref="H628">IF($A628="", "", LET(bbgm_stat, INDEX(Players!$A627:$P627, MATCH(H$2, Players!$A$1:$P$1, 0)), perc_75, VLOOKUP(H$2, Percentiles!$A$45:$I$59, 6, FALSE), perc_90, VLOOKUP(H$2, Percentiles!$A$45:$I$59, 7, FALSE), perc_95, VLOOKUP(H$2, Percentiles!$A$45:$I$59, 8, FALSE), perc_85, perc_75 + (perc_90 - perc_75) * (2/3), converted_stat, '2K_Ratings'!H628, IF(bbgm_stat &gt;= perc_95, converted_stat * 3, IF(bbgm_stat &gt;= perc_90, converted_stat * 2, IF(bbgm_stat &gt;= perc_85, converted_stat * 1.5, converted_stat)))))</f>
        <v/>
      </c>
      <c r="I628" s="30" t="str">
        <f t="array" ref="I628">IF($A628="", "", LET(bbgm_stat, INDEX(Players!$A627:$P627, MATCH(I$2, Players!$A$1:$P$1, 0)), perc_75, VLOOKUP(I$2, Percentiles!$A$45:$I$59, 6, FALSE), perc_90, VLOOKUP(I$2, Percentiles!$A$45:$I$59, 7, FALSE), perc_95, VLOOKUP(I$2, Percentiles!$A$45:$I$59, 8, FALSE), perc_85, perc_75 + (perc_90 - perc_75) * (2/3), converted_stat, '2K_Ratings'!I628, IF(bbgm_stat &gt;= perc_95, converted_stat * 3, IF(bbgm_stat &gt;= perc_90, converted_stat * 2, IF(bbgm_stat &gt;= perc_85, converted_stat * 1.5, converted_stat)))))</f>
        <v/>
      </c>
      <c r="J628" s="30" t="str">
        <f t="array" ref="J628">IF($A628="", "", LET(bbgm_stat, INDEX(Players!$A627:$P627, MATCH(J$2, Players!$A$1:$P$1, 0)), perc_75, VLOOKUP(J$2, Percentiles!$A$45:$I$59, 6, FALSE), perc_90, VLOOKUP(J$2, Percentiles!$A$45:$I$59, 7, FALSE), perc_95, VLOOKUP(J$2, Percentiles!$A$45:$I$59, 8, FALSE), perc_85, perc_75 + (perc_90 - perc_75) * (2/3), converted_stat, '2K_Ratings'!J628, IF(bbgm_stat &gt;= perc_95, converted_stat * 3, IF(bbgm_stat &gt;= perc_90, converted_stat * 2, IF(bbgm_stat &gt;= perc_85, converted_stat * 1.5, converted_stat)))))</f>
        <v/>
      </c>
      <c r="K628" s="30" t="str">
        <f t="array" ref="K628">IF($A628="", "", LET(bbgm_stat, INDEX(Players!$A627:$P627, MATCH(K$2, Players!$A$1:$P$1, 0)), perc_75, VLOOKUP(K$2, Percentiles!$A$45:$I$59, 6, FALSE), perc_90, VLOOKUP(K$2, Percentiles!$A$45:$I$59, 7, FALSE), perc_95, VLOOKUP(K$2, Percentiles!$A$45:$I$59, 8, FALSE), perc_85, perc_75 + (perc_90 - perc_75) * (2/3), converted_stat, '2K_Ratings'!K628, IF(bbgm_stat &gt;= perc_95, converted_stat * 3, IF(bbgm_stat &gt;= perc_90, converted_stat * 2, IF(bbgm_stat &gt;= perc_85, converted_stat * 1.5, converted_stat)))))</f>
        <v/>
      </c>
      <c r="L628" s="30" t="str">
        <f t="array" ref="L628">IF($A628="", "", LET(bbgm_stat, INDEX(Players!$A627:$P627, MATCH(L$2, Players!$A$1:$P$1, 0)), perc_75, VLOOKUP(L$2, Percentiles!$A$45:$I$59, 6, FALSE), perc_90, VLOOKUP(L$2, Percentiles!$A$45:$I$59, 7, FALSE), perc_95, VLOOKUP(L$2, Percentiles!$A$45:$I$59, 8, FALSE), perc_85, perc_75 + (perc_90 - perc_75) * (2/3), converted_stat, '2K_Ratings'!L628, IF(bbgm_stat &gt;= perc_95, converted_stat * 3, IF(bbgm_stat &gt;= perc_90, converted_stat * 2, IF(bbgm_stat &gt;= perc_85, converted_stat * 1.5, converted_stat)))))</f>
        <v/>
      </c>
      <c r="M628" s="30" t="str">
        <f t="array" ref="M628">IF($A628="", "", LET(bbgm_stat, INDEX(Players!$A627:$P627, MATCH(M$2, Players!$A$1:$P$1, 0)), perc_75, VLOOKUP(M$2, Percentiles!$A$45:$I$59, 6, FALSE), perc_90, VLOOKUP(M$2, Percentiles!$A$45:$I$59, 7, FALSE), perc_95, VLOOKUP(M$2, Percentiles!$A$45:$I$59, 8, FALSE), perc_85, perc_75 + (perc_90 - perc_75) * (2/3), converted_stat, '2K_Ratings'!M628, IF(bbgm_stat &gt;= perc_95, converted_stat * 3, IF(bbgm_stat &gt;= perc_90, converted_stat * 2, IF(bbgm_stat &gt;= perc_85, converted_stat * 1.5, converted_stat)))))</f>
        <v/>
      </c>
      <c r="N628" s="30" t="str">
        <f t="array" ref="N628">IF($A628="", "", LET(bbgm_stat, INDEX(Players!$A627:$P627, MATCH(N$2, Players!$A$1:$P$1, 0)), perc_75, VLOOKUP(N$2, Percentiles!$A$45:$I$59, 6, FALSE), perc_90, VLOOKUP(N$2, Percentiles!$A$45:$I$59, 7, FALSE), perc_95, VLOOKUP(N$2, Percentiles!$A$45:$I$59, 8, FALSE), perc_85, perc_75 + (perc_90 - perc_75) * (2/3), converted_stat, '2K_Ratings'!N628, IF(bbgm_stat &gt;= perc_95, converted_stat * 3, IF(bbgm_stat &gt;= perc_90, converted_stat * 2, IF(bbgm_stat &gt;= perc_85, converted_stat * 1.5, converted_stat)))))</f>
        <v/>
      </c>
      <c r="O628" s="30" t="str">
        <f t="array" ref="O628">IF($A628="", "", LET(bbgm_stat, INDEX(Players!$A627:$P627, MATCH(O$2, Players!$A$1:$P$1, 0)), perc_75, VLOOKUP(O$2, Percentiles!$A$45:$I$59, 6, FALSE), perc_90, VLOOKUP(O$2, Percentiles!$A$45:$I$59, 7, FALSE), perc_95, VLOOKUP(O$2, Percentiles!$A$45:$I$59, 8, FALSE), perc_85, perc_75 + (perc_90 - perc_75) * (2/3), converted_stat, '2K_Ratings'!O628, IF(bbgm_stat &gt;= perc_95, converted_stat * 3, IF(bbgm_stat &gt;= perc_90, converted_stat * 2, IF(bbgm_stat &gt;= perc_85, converted_stat * 1.5, converted_stat)))))</f>
        <v/>
      </c>
      <c r="P628" s="30" t="str">
        <f t="array" ref="P628">IF($A628="", "", LET(bbgm_stat, INDEX(Players!$A627:$P627, MATCH(P$2, Players!$A$1:$P$1, 0)), perc_75, VLOOKUP(P$2, Percentiles!$A$45:$I$59, 6, FALSE), perc_90, VLOOKUP(P$2, Percentiles!$A$45:$I$59, 7, FALSE), perc_95, VLOOKUP(P$2, Percentiles!$A$45:$I$59, 8, FALSE), perc_85, perc_75 + (perc_90 - perc_75) * (2/3), converted_stat, '2K_Ratings'!P628, IF(bbgm_stat &gt;= perc_95, converted_stat * 3, IF(bbgm_stat &gt;= perc_90, converted_stat * 2, IF(bbgm_stat &gt;= perc_85, converted_stat * 1.5, converted_stat)))))</f>
        <v/>
      </c>
      <c r="Q628" s="30" t="str">
        <f t="array" ref="Q628">IF($A628="", "", LET(bbgm_stat, INDEX(Players!$A627:$P627, MATCH(Q$2, Players!$A$1:$P$1, 0)), perc_75, VLOOKUP(Q$2, Percentiles!$A$45:$I$59, 6, FALSE), perc_90, VLOOKUP(Q$2, Percentiles!$A$45:$I$59, 7, FALSE), perc_95, VLOOKUP(Q$2, Percentiles!$A$45:$I$59, 8, FALSE), perc_85, perc_75 + (perc_90 - perc_75) * (2/3), converted_stat, '2K_Ratings'!Q628, IF(bbgm_stat &gt;= perc_95, converted_stat * 3, IF(bbgm_stat &gt;= perc_90, converted_stat * 2, IF(bbgm_stat &gt;= perc_85, converted_stat * 1.5, converted_stat)))))</f>
        <v/>
      </c>
      <c r="R628" s="30" t="str">
        <f t="array" ref="R628">IF($A628="", "", LET(bbgm_stat, INDEX(Players!$A627:$P627, MATCH(R$2, Players!$A$1:$P$1, 0)), perc_75, VLOOKUP(R$2, Percentiles!$A$45:$I$59, 6, FALSE), perc_90, VLOOKUP(R$2, Percentiles!$A$45:$I$59, 7, FALSE), perc_95, VLOOKUP(R$2, Percentiles!$A$45:$I$59, 8, FALSE), perc_85, perc_75 + (perc_90 - perc_75) * (2/3), converted_stat, '2K_Ratings'!R628, IF(bbgm_stat &gt;= perc_95, converted_stat * 3, IF(bbgm_stat &gt;= perc_90, converted_stat * 2, IF(bbgm_stat &gt;= perc_85, converted_stat * 1.5, converted_stat)))))</f>
        <v/>
      </c>
      <c r="S628" s="30" t="str">
        <f t="array" ref="S628">IF($A628="", "", LET(bbgm_stat, INDEX(Players!$A627:$P627, MATCH(S$2, Players!$A$1:$P$1, 0)), perc_75, VLOOKUP(S$2, Percentiles!$A$45:$I$59, 6, FALSE), perc_90, VLOOKUP(S$2, Percentiles!$A$45:$I$59, 7, FALSE), perc_95, VLOOKUP(S$2, Percentiles!$A$45:$I$59, 8, FALSE), perc_85, perc_75 + (perc_90 - perc_75) * (2/3), converted_stat, '2K_Ratings'!S628, IF(bbgm_stat &gt;= perc_95, converted_stat * 3, IF(bbgm_stat &gt;= perc_90, converted_stat * 2, IF(bbgm_stat &gt;= perc_85, converted_stat * 1.5, converted_stat)))))</f>
        <v/>
      </c>
      <c r="T628" s="30" t="str">
        <f t="array" ref="T628">IF($A628="", "", LET(bbgm_stat, INDEX(Players!$A627:$P627, MATCH(T$2, Players!$A$1:$P$1, 0)), perc_75, VLOOKUP(T$2, Percentiles!$A$45:$I$59, 6, FALSE), perc_90, VLOOKUP(T$2, Percentiles!$A$45:$I$59, 7, FALSE), perc_95, VLOOKUP(T$2, Percentiles!$A$45:$I$59, 8, FALSE), perc_85, perc_75 + (perc_90 - perc_75) * (2/3), converted_stat, '2K_Ratings'!T628, IF(bbgm_stat &gt;= perc_95, converted_stat * 3, IF(bbgm_stat &gt;= perc_90, converted_stat * 2, IF(bbgm_stat &gt;= perc_85, converted_stat * 1.5, converted_stat)))))</f>
        <v/>
      </c>
      <c r="U628" s="30" t="str">
        <f t="array" ref="U628">IF($A628="", "", LET(bbgm_stat, INDEX(Players!$A627:$P627, MATCH(U$2, Players!$A$1:$P$1, 0)), perc_75, VLOOKUP(U$2, Percentiles!$A$45:$I$59, 6, FALSE), perc_90, VLOOKUP(U$2, Percentiles!$A$45:$I$59, 7, FALSE), perc_95, VLOOKUP(U$2, Percentiles!$A$45:$I$59, 8, FALSE), perc_85, perc_75 + (perc_90 - perc_75) * (2/3), converted_stat, '2K_Ratings'!U628, IF(bbgm_stat &gt;= perc_95, converted_stat * 3, IF(bbgm_stat &gt;= perc_90, converted_stat * 2, IF(bbgm_stat &gt;= perc_85, converted_stat * 1.5, converted_stat)))))</f>
        <v/>
      </c>
      <c r="V628" s="30" t="str">
        <f t="array" ref="V628">IF($A628="", "", LET(bbgm_stat, INDEX(Players!$A627:$P627, MATCH(V$2, Players!$A$1:$P$1, 0)), perc_75, VLOOKUP(V$2, Percentiles!$A$45:$I$59, 6, FALSE), perc_90, VLOOKUP(V$2, Percentiles!$A$45:$I$59, 7, FALSE), perc_95, VLOOKUP(V$2, Percentiles!$A$45:$I$59, 8, FALSE), perc_85, perc_75 + (perc_90 - perc_75) * (2/3), converted_stat, '2K_Ratings'!V628, IF(bbgm_stat &gt;= perc_95, converted_stat * 3, IF(bbgm_stat &gt;= perc_90, converted_stat * 2, IF(bbgm_stat &gt;= perc_85, converted_stat * 1.5, converted_stat)))))</f>
        <v/>
      </c>
      <c r="W628" s="30" t="str">
        <f t="array" ref="W628">IF($A628="", "", LET(bbgm_stat, INDEX(Players!$A627:$P627, MATCH(W$2, Players!$A$1:$P$1, 0)), perc_75, VLOOKUP(W$2, Percentiles!$A$45:$I$59, 6, FALSE), perc_90, VLOOKUP(W$2, Percentiles!$A$45:$I$59, 7, FALSE), perc_95, VLOOKUP(W$2, Percentiles!$A$45:$I$59, 8, FALSE), perc_85, perc_75 + (perc_90 - perc_75) * (2/3), converted_stat, '2K_Ratings'!W628, IF(bbgm_stat &gt;= perc_95, converted_stat * 3, IF(bbgm_stat &gt;= perc_90, converted_stat * 2, IF(bbgm_stat &gt;= perc_85, converted_stat * 1.5, converted_stat)))))</f>
        <v/>
      </c>
    </row>
    <row r="629">
      <c r="A629" s="30"/>
      <c r="B629" s="30" t="str">
        <f t="array" ref="B629">IF($A629="", "", LET(bbgm_stat, INDEX(Players!$A628:$P628, MATCH(B$2, Players!$A$1:$P$1, 0)), perc_75, VLOOKUP(B$2, Percentiles!$A$45:$I$59, 6, FALSE), perc_90, VLOOKUP(B$2, Percentiles!$A$45:$I$59, 7, FALSE), perc_95, VLOOKUP(B$2, Percentiles!$A$45:$I$59, 8, FALSE), perc_85, perc_75 + (perc_90 - perc_75) * (2/3), converted_stat, '2K_Ratings'!B629, IF(bbgm_stat &gt;= perc_95, converted_stat * 3, IF(bbgm_stat &gt;= perc_90, converted_stat * 2, IF(bbgm_stat &gt;= perc_85, converted_stat * 1.5, converted_stat)))))</f>
        <v/>
      </c>
      <c r="C629" s="30" t="str">
        <f t="array" ref="C629">IF($A629="", "", LET(bbgm_stat, INDEX(Players!$A628:$P628, MATCH(C$2, Players!$A$1:$P$1, 0)), perc_75, VLOOKUP(C$2, Percentiles!$A$45:$I$59, 6, FALSE), perc_90, VLOOKUP(C$2, Percentiles!$A$45:$I$59, 7, FALSE), perc_95, VLOOKUP(C$2, Percentiles!$A$45:$I$59, 8, FALSE), perc_85, perc_75 + (perc_90 - perc_75) * (2/3), converted_stat, '2K_Ratings'!C629, IF(bbgm_stat &gt;= perc_95, converted_stat * 3, IF(bbgm_stat &gt;= perc_90, converted_stat * 2, IF(bbgm_stat &gt;= perc_85, converted_stat * 1.5, converted_stat)))))</f>
        <v/>
      </c>
      <c r="D629" s="30" t="str">
        <f t="array" ref="D629">IF($A629="", "", LET(bbgm_stat, INDEX(Players!$A628:$P628, MATCH(D$2, Players!$A$1:$P$1, 0)), perc_75, VLOOKUP(D$2, Percentiles!$A$45:$I$59, 6, FALSE), perc_90, VLOOKUP(D$2, Percentiles!$A$45:$I$59, 7, FALSE), perc_95, VLOOKUP(D$2, Percentiles!$A$45:$I$59, 8, FALSE), perc_85, perc_75 + (perc_90 - perc_75) * (2/3), converted_stat, '2K_Ratings'!D629, IF(bbgm_stat &gt;= perc_95, converted_stat * 3, IF(bbgm_stat &gt;= perc_90, converted_stat * 2, IF(bbgm_stat &gt;= perc_85, converted_stat * 1.5, converted_stat)))))</f>
        <v/>
      </c>
      <c r="E629" s="30" t="str">
        <f t="array" ref="E629">IF($A629="", "", LET(bbgm_stat, INDEX(Players!$A628:$P628, MATCH(E$2, Players!$A$1:$P$1, 0)), perc_75, VLOOKUP(E$2, Percentiles!$A$45:$I$59, 6, FALSE), perc_90, VLOOKUP(E$2, Percentiles!$A$45:$I$59, 7, FALSE), perc_95, VLOOKUP(E$2, Percentiles!$A$45:$I$59, 8, FALSE), perc_85, perc_75 + (perc_90 - perc_75) * (2/3), converted_stat, '2K_Ratings'!E629, IF(bbgm_stat &gt;= perc_95, converted_stat * 3, IF(bbgm_stat &gt;= perc_90, converted_stat * 2, IF(bbgm_stat &gt;= perc_85, converted_stat * 1.5, converted_stat)))))</f>
        <v/>
      </c>
      <c r="F629" s="30" t="str">
        <f t="array" ref="F629">IF($A629="", "", LET(bbgm_stat, INDEX(Players!$A628:$P628, MATCH(F$2, Players!$A$1:$P$1, 0)), perc_75, VLOOKUP(F$2, Percentiles!$A$45:$I$59, 6, FALSE), perc_90, VLOOKUP(F$2, Percentiles!$A$45:$I$59, 7, FALSE), perc_95, VLOOKUP(F$2, Percentiles!$A$45:$I$59, 8, FALSE), perc_85, perc_75 + (perc_90 - perc_75) * (2/3), converted_stat, '2K_Ratings'!F629, IF(bbgm_stat &gt;= perc_95, converted_stat * 3, IF(bbgm_stat &gt;= perc_90, converted_stat * 2, IF(bbgm_stat &gt;= perc_85, converted_stat * 1.5, converted_stat)))))</f>
        <v/>
      </c>
      <c r="G629" s="30" t="str">
        <f t="array" ref="G629">IF($A629="", "", LET(bbgm_stat, INDEX(Players!$A628:$P628, MATCH(G$2, Players!$A$1:$P$1, 0)), perc_75, VLOOKUP(G$2, Percentiles!$A$45:$I$59, 6, FALSE), perc_90, VLOOKUP(G$2, Percentiles!$A$45:$I$59, 7, FALSE), perc_95, VLOOKUP(G$2, Percentiles!$A$45:$I$59, 8, FALSE), perc_85, perc_75 + (perc_90 - perc_75) * (2/3), converted_stat, '2K_Ratings'!G629, IF(bbgm_stat &gt;= perc_95, converted_stat * 3, IF(bbgm_stat &gt;= perc_90, converted_stat * 2, IF(bbgm_stat &gt;= perc_85, converted_stat * 1.5, converted_stat)))))</f>
        <v/>
      </c>
      <c r="H629" s="30" t="str">
        <f t="array" ref="H629">IF($A629="", "", LET(bbgm_stat, INDEX(Players!$A628:$P628, MATCH(H$2, Players!$A$1:$P$1, 0)), perc_75, VLOOKUP(H$2, Percentiles!$A$45:$I$59, 6, FALSE), perc_90, VLOOKUP(H$2, Percentiles!$A$45:$I$59, 7, FALSE), perc_95, VLOOKUP(H$2, Percentiles!$A$45:$I$59, 8, FALSE), perc_85, perc_75 + (perc_90 - perc_75) * (2/3), converted_stat, '2K_Ratings'!H629, IF(bbgm_stat &gt;= perc_95, converted_stat * 3, IF(bbgm_stat &gt;= perc_90, converted_stat * 2, IF(bbgm_stat &gt;= perc_85, converted_stat * 1.5, converted_stat)))))</f>
        <v/>
      </c>
      <c r="I629" s="30" t="str">
        <f t="array" ref="I629">IF($A629="", "", LET(bbgm_stat, INDEX(Players!$A628:$P628, MATCH(I$2, Players!$A$1:$P$1, 0)), perc_75, VLOOKUP(I$2, Percentiles!$A$45:$I$59, 6, FALSE), perc_90, VLOOKUP(I$2, Percentiles!$A$45:$I$59, 7, FALSE), perc_95, VLOOKUP(I$2, Percentiles!$A$45:$I$59, 8, FALSE), perc_85, perc_75 + (perc_90 - perc_75) * (2/3), converted_stat, '2K_Ratings'!I629, IF(bbgm_stat &gt;= perc_95, converted_stat * 3, IF(bbgm_stat &gt;= perc_90, converted_stat * 2, IF(bbgm_stat &gt;= perc_85, converted_stat * 1.5, converted_stat)))))</f>
        <v/>
      </c>
      <c r="J629" s="30" t="str">
        <f t="array" ref="J629">IF($A629="", "", LET(bbgm_stat, INDEX(Players!$A628:$P628, MATCH(J$2, Players!$A$1:$P$1, 0)), perc_75, VLOOKUP(J$2, Percentiles!$A$45:$I$59, 6, FALSE), perc_90, VLOOKUP(J$2, Percentiles!$A$45:$I$59, 7, FALSE), perc_95, VLOOKUP(J$2, Percentiles!$A$45:$I$59, 8, FALSE), perc_85, perc_75 + (perc_90 - perc_75) * (2/3), converted_stat, '2K_Ratings'!J629, IF(bbgm_stat &gt;= perc_95, converted_stat * 3, IF(bbgm_stat &gt;= perc_90, converted_stat * 2, IF(bbgm_stat &gt;= perc_85, converted_stat * 1.5, converted_stat)))))</f>
        <v/>
      </c>
      <c r="K629" s="30" t="str">
        <f t="array" ref="K629">IF($A629="", "", LET(bbgm_stat, INDEX(Players!$A628:$P628, MATCH(K$2, Players!$A$1:$P$1, 0)), perc_75, VLOOKUP(K$2, Percentiles!$A$45:$I$59, 6, FALSE), perc_90, VLOOKUP(K$2, Percentiles!$A$45:$I$59, 7, FALSE), perc_95, VLOOKUP(K$2, Percentiles!$A$45:$I$59, 8, FALSE), perc_85, perc_75 + (perc_90 - perc_75) * (2/3), converted_stat, '2K_Ratings'!K629, IF(bbgm_stat &gt;= perc_95, converted_stat * 3, IF(bbgm_stat &gt;= perc_90, converted_stat * 2, IF(bbgm_stat &gt;= perc_85, converted_stat * 1.5, converted_stat)))))</f>
        <v/>
      </c>
      <c r="L629" s="30" t="str">
        <f t="array" ref="L629">IF($A629="", "", LET(bbgm_stat, INDEX(Players!$A628:$P628, MATCH(L$2, Players!$A$1:$P$1, 0)), perc_75, VLOOKUP(L$2, Percentiles!$A$45:$I$59, 6, FALSE), perc_90, VLOOKUP(L$2, Percentiles!$A$45:$I$59, 7, FALSE), perc_95, VLOOKUP(L$2, Percentiles!$A$45:$I$59, 8, FALSE), perc_85, perc_75 + (perc_90 - perc_75) * (2/3), converted_stat, '2K_Ratings'!L629, IF(bbgm_stat &gt;= perc_95, converted_stat * 3, IF(bbgm_stat &gt;= perc_90, converted_stat * 2, IF(bbgm_stat &gt;= perc_85, converted_stat * 1.5, converted_stat)))))</f>
        <v/>
      </c>
      <c r="M629" s="30" t="str">
        <f t="array" ref="M629">IF($A629="", "", LET(bbgm_stat, INDEX(Players!$A628:$P628, MATCH(M$2, Players!$A$1:$P$1, 0)), perc_75, VLOOKUP(M$2, Percentiles!$A$45:$I$59, 6, FALSE), perc_90, VLOOKUP(M$2, Percentiles!$A$45:$I$59, 7, FALSE), perc_95, VLOOKUP(M$2, Percentiles!$A$45:$I$59, 8, FALSE), perc_85, perc_75 + (perc_90 - perc_75) * (2/3), converted_stat, '2K_Ratings'!M629, IF(bbgm_stat &gt;= perc_95, converted_stat * 3, IF(bbgm_stat &gt;= perc_90, converted_stat * 2, IF(bbgm_stat &gt;= perc_85, converted_stat * 1.5, converted_stat)))))</f>
        <v/>
      </c>
      <c r="N629" s="30" t="str">
        <f t="array" ref="N629">IF($A629="", "", LET(bbgm_stat, INDEX(Players!$A628:$P628, MATCH(N$2, Players!$A$1:$P$1, 0)), perc_75, VLOOKUP(N$2, Percentiles!$A$45:$I$59, 6, FALSE), perc_90, VLOOKUP(N$2, Percentiles!$A$45:$I$59, 7, FALSE), perc_95, VLOOKUP(N$2, Percentiles!$A$45:$I$59, 8, FALSE), perc_85, perc_75 + (perc_90 - perc_75) * (2/3), converted_stat, '2K_Ratings'!N629, IF(bbgm_stat &gt;= perc_95, converted_stat * 3, IF(bbgm_stat &gt;= perc_90, converted_stat * 2, IF(bbgm_stat &gt;= perc_85, converted_stat * 1.5, converted_stat)))))</f>
        <v/>
      </c>
      <c r="O629" s="30" t="str">
        <f t="array" ref="O629">IF($A629="", "", LET(bbgm_stat, INDEX(Players!$A628:$P628, MATCH(O$2, Players!$A$1:$P$1, 0)), perc_75, VLOOKUP(O$2, Percentiles!$A$45:$I$59, 6, FALSE), perc_90, VLOOKUP(O$2, Percentiles!$A$45:$I$59, 7, FALSE), perc_95, VLOOKUP(O$2, Percentiles!$A$45:$I$59, 8, FALSE), perc_85, perc_75 + (perc_90 - perc_75) * (2/3), converted_stat, '2K_Ratings'!O629, IF(bbgm_stat &gt;= perc_95, converted_stat * 3, IF(bbgm_stat &gt;= perc_90, converted_stat * 2, IF(bbgm_stat &gt;= perc_85, converted_stat * 1.5, converted_stat)))))</f>
        <v/>
      </c>
      <c r="P629" s="30" t="str">
        <f t="array" ref="P629">IF($A629="", "", LET(bbgm_stat, INDEX(Players!$A628:$P628, MATCH(P$2, Players!$A$1:$P$1, 0)), perc_75, VLOOKUP(P$2, Percentiles!$A$45:$I$59, 6, FALSE), perc_90, VLOOKUP(P$2, Percentiles!$A$45:$I$59, 7, FALSE), perc_95, VLOOKUP(P$2, Percentiles!$A$45:$I$59, 8, FALSE), perc_85, perc_75 + (perc_90 - perc_75) * (2/3), converted_stat, '2K_Ratings'!P629, IF(bbgm_stat &gt;= perc_95, converted_stat * 3, IF(bbgm_stat &gt;= perc_90, converted_stat * 2, IF(bbgm_stat &gt;= perc_85, converted_stat * 1.5, converted_stat)))))</f>
        <v/>
      </c>
      <c r="Q629" s="30" t="str">
        <f t="array" ref="Q629">IF($A629="", "", LET(bbgm_stat, INDEX(Players!$A628:$P628, MATCH(Q$2, Players!$A$1:$P$1, 0)), perc_75, VLOOKUP(Q$2, Percentiles!$A$45:$I$59, 6, FALSE), perc_90, VLOOKUP(Q$2, Percentiles!$A$45:$I$59, 7, FALSE), perc_95, VLOOKUP(Q$2, Percentiles!$A$45:$I$59, 8, FALSE), perc_85, perc_75 + (perc_90 - perc_75) * (2/3), converted_stat, '2K_Ratings'!Q629, IF(bbgm_stat &gt;= perc_95, converted_stat * 3, IF(bbgm_stat &gt;= perc_90, converted_stat * 2, IF(bbgm_stat &gt;= perc_85, converted_stat * 1.5, converted_stat)))))</f>
        <v/>
      </c>
      <c r="R629" s="30" t="str">
        <f t="array" ref="R629">IF($A629="", "", LET(bbgm_stat, INDEX(Players!$A628:$P628, MATCH(R$2, Players!$A$1:$P$1, 0)), perc_75, VLOOKUP(R$2, Percentiles!$A$45:$I$59, 6, FALSE), perc_90, VLOOKUP(R$2, Percentiles!$A$45:$I$59, 7, FALSE), perc_95, VLOOKUP(R$2, Percentiles!$A$45:$I$59, 8, FALSE), perc_85, perc_75 + (perc_90 - perc_75) * (2/3), converted_stat, '2K_Ratings'!R629, IF(bbgm_stat &gt;= perc_95, converted_stat * 3, IF(bbgm_stat &gt;= perc_90, converted_stat * 2, IF(bbgm_stat &gt;= perc_85, converted_stat * 1.5, converted_stat)))))</f>
        <v/>
      </c>
      <c r="S629" s="30" t="str">
        <f t="array" ref="S629">IF($A629="", "", LET(bbgm_stat, INDEX(Players!$A628:$P628, MATCH(S$2, Players!$A$1:$P$1, 0)), perc_75, VLOOKUP(S$2, Percentiles!$A$45:$I$59, 6, FALSE), perc_90, VLOOKUP(S$2, Percentiles!$A$45:$I$59, 7, FALSE), perc_95, VLOOKUP(S$2, Percentiles!$A$45:$I$59, 8, FALSE), perc_85, perc_75 + (perc_90 - perc_75) * (2/3), converted_stat, '2K_Ratings'!S629, IF(bbgm_stat &gt;= perc_95, converted_stat * 3, IF(bbgm_stat &gt;= perc_90, converted_stat * 2, IF(bbgm_stat &gt;= perc_85, converted_stat * 1.5, converted_stat)))))</f>
        <v/>
      </c>
      <c r="T629" s="30" t="str">
        <f t="array" ref="T629">IF($A629="", "", LET(bbgm_stat, INDEX(Players!$A628:$P628, MATCH(T$2, Players!$A$1:$P$1, 0)), perc_75, VLOOKUP(T$2, Percentiles!$A$45:$I$59, 6, FALSE), perc_90, VLOOKUP(T$2, Percentiles!$A$45:$I$59, 7, FALSE), perc_95, VLOOKUP(T$2, Percentiles!$A$45:$I$59, 8, FALSE), perc_85, perc_75 + (perc_90 - perc_75) * (2/3), converted_stat, '2K_Ratings'!T629, IF(bbgm_stat &gt;= perc_95, converted_stat * 3, IF(bbgm_stat &gt;= perc_90, converted_stat * 2, IF(bbgm_stat &gt;= perc_85, converted_stat * 1.5, converted_stat)))))</f>
        <v/>
      </c>
      <c r="U629" s="30" t="str">
        <f t="array" ref="U629">IF($A629="", "", LET(bbgm_stat, INDEX(Players!$A628:$P628, MATCH(U$2, Players!$A$1:$P$1, 0)), perc_75, VLOOKUP(U$2, Percentiles!$A$45:$I$59, 6, FALSE), perc_90, VLOOKUP(U$2, Percentiles!$A$45:$I$59, 7, FALSE), perc_95, VLOOKUP(U$2, Percentiles!$A$45:$I$59, 8, FALSE), perc_85, perc_75 + (perc_90 - perc_75) * (2/3), converted_stat, '2K_Ratings'!U629, IF(bbgm_stat &gt;= perc_95, converted_stat * 3, IF(bbgm_stat &gt;= perc_90, converted_stat * 2, IF(bbgm_stat &gt;= perc_85, converted_stat * 1.5, converted_stat)))))</f>
        <v/>
      </c>
      <c r="V629" s="30" t="str">
        <f t="array" ref="V629">IF($A629="", "", LET(bbgm_stat, INDEX(Players!$A628:$P628, MATCH(V$2, Players!$A$1:$P$1, 0)), perc_75, VLOOKUP(V$2, Percentiles!$A$45:$I$59, 6, FALSE), perc_90, VLOOKUP(V$2, Percentiles!$A$45:$I$59, 7, FALSE), perc_95, VLOOKUP(V$2, Percentiles!$A$45:$I$59, 8, FALSE), perc_85, perc_75 + (perc_90 - perc_75) * (2/3), converted_stat, '2K_Ratings'!V629, IF(bbgm_stat &gt;= perc_95, converted_stat * 3, IF(bbgm_stat &gt;= perc_90, converted_stat * 2, IF(bbgm_stat &gt;= perc_85, converted_stat * 1.5, converted_stat)))))</f>
        <v/>
      </c>
      <c r="W629" s="30" t="str">
        <f t="array" ref="W629">IF($A629="", "", LET(bbgm_stat, INDEX(Players!$A628:$P628, MATCH(W$2, Players!$A$1:$P$1, 0)), perc_75, VLOOKUP(W$2, Percentiles!$A$45:$I$59, 6, FALSE), perc_90, VLOOKUP(W$2, Percentiles!$A$45:$I$59, 7, FALSE), perc_95, VLOOKUP(W$2, Percentiles!$A$45:$I$59, 8, FALSE), perc_85, perc_75 + (perc_90 - perc_75) * (2/3), converted_stat, '2K_Ratings'!W629, IF(bbgm_stat &gt;= perc_95, converted_stat * 3, IF(bbgm_stat &gt;= perc_90, converted_stat * 2, IF(bbgm_stat &gt;= perc_85, converted_stat * 1.5, converted_stat)))))</f>
        <v/>
      </c>
    </row>
    <row r="630">
      <c r="A630" s="30"/>
      <c r="B630" s="30" t="str">
        <f t="array" ref="B630">IF($A630="", "", LET(bbgm_stat, INDEX(Players!$A629:$P629, MATCH(B$2, Players!$A$1:$P$1, 0)), perc_75, VLOOKUP(B$2, Percentiles!$A$45:$I$59, 6, FALSE), perc_90, VLOOKUP(B$2, Percentiles!$A$45:$I$59, 7, FALSE), perc_95, VLOOKUP(B$2, Percentiles!$A$45:$I$59, 8, FALSE), perc_85, perc_75 + (perc_90 - perc_75) * (2/3), converted_stat, '2K_Ratings'!B630, IF(bbgm_stat &gt;= perc_95, converted_stat * 3, IF(bbgm_stat &gt;= perc_90, converted_stat * 2, IF(bbgm_stat &gt;= perc_85, converted_stat * 1.5, converted_stat)))))</f>
        <v/>
      </c>
      <c r="C630" s="30" t="str">
        <f t="array" ref="C630">IF($A630="", "", LET(bbgm_stat, INDEX(Players!$A629:$P629, MATCH(C$2, Players!$A$1:$P$1, 0)), perc_75, VLOOKUP(C$2, Percentiles!$A$45:$I$59, 6, FALSE), perc_90, VLOOKUP(C$2, Percentiles!$A$45:$I$59, 7, FALSE), perc_95, VLOOKUP(C$2, Percentiles!$A$45:$I$59, 8, FALSE), perc_85, perc_75 + (perc_90 - perc_75) * (2/3), converted_stat, '2K_Ratings'!C630, IF(bbgm_stat &gt;= perc_95, converted_stat * 3, IF(bbgm_stat &gt;= perc_90, converted_stat * 2, IF(bbgm_stat &gt;= perc_85, converted_stat * 1.5, converted_stat)))))</f>
        <v/>
      </c>
      <c r="D630" s="30" t="str">
        <f t="array" ref="D630">IF($A630="", "", LET(bbgm_stat, INDEX(Players!$A629:$P629, MATCH(D$2, Players!$A$1:$P$1, 0)), perc_75, VLOOKUP(D$2, Percentiles!$A$45:$I$59, 6, FALSE), perc_90, VLOOKUP(D$2, Percentiles!$A$45:$I$59, 7, FALSE), perc_95, VLOOKUP(D$2, Percentiles!$A$45:$I$59, 8, FALSE), perc_85, perc_75 + (perc_90 - perc_75) * (2/3), converted_stat, '2K_Ratings'!D630, IF(bbgm_stat &gt;= perc_95, converted_stat * 3, IF(bbgm_stat &gt;= perc_90, converted_stat * 2, IF(bbgm_stat &gt;= perc_85, converted_stat * 1.5, converted_stat)))))</f>
        <v/>
      </c>
      <c r="E630" s="30" t="str">
        <f t="array" ref="E630">IF($A630="", "", LET(bbgm_stat, INDEX(Players!$A629:$P629, MATCH(E$2, Players!$A$1:$P$1, 0)), perc_75, VLOOKUP(E$2, Percentiles!$A$45:$I$59, 6, FALSE), perc_90, VLOOKUP(E$2, Percentiles!$A$45:$I$59, 7, FALSE), perc_95, VLOOKUP(E$2, Percentiles!$A$45:$I$59, 8, FALSE), perc_85, perc_75 + (perc_90 - perc_75) * (2/3), converted_stat, '2K_Ratings'!E630, IF(bbgm_stat &gt;= perc_95, converted_stat * 3, IF(bbgm_stat &gt;= perc_90, converted_stat * 2, IF(bbgm_stat &gt;= perc_85, converted_stat * 1.5, converted_stat)))))</f>
        <v/>
      </c>
      <c r="F630" s="30" t="str">
        <f t="array" ref="F630">IF($A630="", "", LET(bbgm_stat, INDEX(Players!$A629:$P629, MATCH(F$2, Players!$A$1:$P$1, 0)), perc_75, VLOOKUP(F$2, Percentiles!$A$45:$I$59, 6, FALSE), perc_90, VLOOKUP(F$2, Percentiles!$A$45:$I$59, 7, FALSE), perc_95, VLOOKUP(F$2, Percentiles!$A$45:$I$59, 8, FALSE), perc_85, perc_75 + (perc_90 - perc_75) * (2/3), converted_stat, '2K_Ratings'!F630, IF(bbgm_stat &gt;= perc_95, converted_stat * 3, IF(bbgm_stat &gt;= perc_90, converted_stat * 2, IF(bbgm_stat &gt;= perc_85, converted_stat * 1.5, converted_stat)))))</f>
        <v/>
      </c>
      <c r="G630" s="30" t="str">
        <f t="array" ref="G630">IF($A630="", "", LET(bbgm_stat, INDEX(Players!$A629:$P629, MATCH(G$2, Players!$A$1:$P$1, 0)), perc_75, VLOOKUP(G$2, Percentiles!$A$45:$I$59, 6, FALSE), perc_90, VLOOKUP(G$2, Percentiles!$A$45:$I$59, 7, FALSE), perc_95, VLOOKUP(G$2, Percentiles!$A$45:$I$59, 8, FALSE), perc_85, perc_75 + (perc_90 - perc_75) * (2/3), converted_stat, '2K_Ratings'!G630, IF(bbgm_stat &gt;= perc_95, converted_stat * 3, IF(bbgm_stat &gt;= perc_90, converted_stat * 2, IF(bbgm_stat &gt;= perc_85, converted_stat * 1.5, converted_stat)))))</f>
        <v/>
      </c>
      <c r="H630" s="30" t="str">
        <f t="array" ref="H630">IF($A630="", "", LET(bbgm_stat, INDEX(Players!$A629:$P629, MATCH(H$2, Players!$A$1:$P$1, 0)), perc_75, VLOOKUP(H$2, Percentiles!$A$45:$I$59, 6, FALSE), perc_90, VLOOKUP(H$2, Percentiles!$A$45:$I$59, 7, FALSE), perc_95, VLOOKUP(H$2, Percentiles!$A$45:$I$59, 8, FALSE), perc_85, perc_75 + (perc_90 - perc_75) * (2/3), converted_stat, '2K_Ratings'!H630, IF(bbgm_stat &gt;= perc_95, converted_stat * 3, IF(bbgm_stat &gt;= perc_90, converted_stat * 2, IF(bbgm_stat &gt;= perc_85, converted_stat * 1.5, converted_stat)))))</f>
        <v/>
      </c>
      <c r="I630" s="30" t="str">
        <f t="array" ref="I630">IF($A630="", "", LET(bbgm_stat, INDEX(Players!$A629:$P629, MATCH(I$2, Players!$A$1:$P$1, 0)), perc_75, VLOOKUP(I$2, Percentiles!$A$45:$I$59, 6, FALSE), perc_90, VLOOKUP(I$2, Percentiles!$A$45:$I$59, 7, FALSE), perc_95, VLOOKUP(I$2, Percentiles!$A$45:$I$59, 8, FALSE), perc_85, perc_75 + (perc_90 - perc_75) * (2/3), converted_stat, '2K_Ratings'!I630, IF(bbgm_stat &gt;= perc_95, converted_stat * 3, IF(bbgm_stat &gt;= perc_90, converted_stat * 2, IF(bbgm_stat &gt;= perc_85, converted_stat * 1.5, converted_stat)))))</f>
        <v/>
      </c>
      <c r="J630" s="30" t="str">
        <f t="array" ref="J630">IF($A630="", "", LET(bbgm_stat, INDEX(Players!$A629:$P629, MATCH(J$2, Players!$A$1:$P$1, 0)), perc_75, VLOOKUP(J$2, Percentiles!$A$45:$I$59, 6, FALSE), perc_90, VLOOKUP(J$2, Percentiles!$A$45:$I$59, 7, FALSE), perc_95, VLOOKUP(J$2, Percentiles!$A$45:$I$59, 8, FALSE), perc_85, perc_75 + (perc_90 - perc_75) * (2/3), converted_stat, '2K_Ratings'!J630, IF(bbgm_stat &gt;= perc_95, converted_stat * 3, IF(bbgm_stat &gt;= perc_90, converted_stat * 2, IF(bbgm_stat &gt;= perc_85, converted_stat * 1.5, converted_stat)))))</f>
        <v/>
      </c>
      <c r="K630" s="30" t="str">
        <f t="array" ref="K630">IF($A630="", "", LET(bbgm_stat, INDEX(Players!$A629:$P629, MATCH(K$2, Players!$A$1:$P$1, 0)), perc_75, VLOOKUP(K$2, Percentiles!$A$45:$I$59, 6, FALSE), perc_90, VLOOKUP(K$2, Percentiles!$A$45:$I$59, 7, FALSE), perc_95, VLOOKUP(K$2, Percentiles!$A$45:$I$59, 8, FALSE), perc_85, perc_75 + (perc_90 - perc_75) * (2/3), converted_stat, '2K_Ratings'!K630, IF(bbgm_stat &gt;= perc_95, converted_stat * 3, IF(bbgm_stat &gt;= perc_90, converted_stat * 2, IF(bbgm_stat &gt;= perc_85, converted_stat * 1.5, converted_stat)))))</f>
        <v/>
      </c>
      <c r="L630" s="30" t="str">
        <f t="array" ref="L630">IF($A630="", "", LET(bbgm_stat, INDEX(Players!$A629:$P629, MATCH(L$2, Players!$A$1:$P$1, 0)), perc_75, VLOOKUP(L$2, Percentiles!$A$45:$I$59, 6, FALSE), perc_90, VLOOKUP(L$2, Percentiles!$A$45:$I$59, 7, FALSE), perc_95, VLOOKUP(L$2, Percentiles!$A$45:$I$59, 8, FALSE), perc_85, perc_75 + (perc_90 - perc_75) * (2/3), converted_stat, '2K_Ratings'!L630, IF(bbgm_stat &gt;= perc_95, converted_stat * 3, IF(bbgm_stat &gt;= perc_90, converted_stat * 2, IF(bbgm_stat &gt;= perc_85, converted_stat * 1.5, converted_stat)))))</f>
        <v/>
      </c>
      <c r="M630" s="30" t="str">
        <f t="array" ref="M630">IF($A630="", "", LET(bbgm_stat, INDEX(Players!$A629:$P629, MATCH(M$2, Players!$A$1:$P$1, 0)), perc_75, VLOOKUP(M$2, Percentiles!$A$45:$I$59, 6, FALSE), perc_90, VLOOKUP(M$2, Percentiles!$A$45:$I$59, 7, FALSE), perc_95, VLOOKUP(M$2, Percentiles!$A$45:$I$59, 8, FALSE), perc_85, perc_75 + (perc_90 - perc_75) * (2/3), converted_stat, '2K_Ratings'!M630, IF(bbgm_stat &gt;= perc_95, converted_stat * 3, IF(bbgm_stat &gt;= perc_90, converted_stat * 2, IF(bbgm_stat &gt;= perc_85, converted_stat * 1.5, converted_stat)))))</f>
        <v/>
      </c>
      <c r="N630" s="30" t="str">
        <f t="array" ref="N630">IF($A630="", "", LET(bbgm_stat, INDEX(Players!$A629:$P629, MATCH(N$2, Players!$A$1:$P$1, 0)), perc_75, VLOOKUP(N$2, Percentiles!$A$45:$I$59, 6, FALSE), perc_90, VLOOKUP(N$2, Percentiles!$A$45:$I$59, 7, FALSE), perc_95, VLOOKUP(N$2, Percentiles!$A$45:$I$59, 8, FALSE), perc_85, perc_75 + (perc_90 - perc_75) * (2/3), converted_stat, '2K_Ratings'!N630, IF(bbgm_stat &gt;= perc_95, converted_stat * 3, IF(bbgm_stat &gt;= perc_90, converted_stat * 2, IF(bbgm_stat &gt;= perc_85, converted_stat * 1.5, converted_stat)))))</f>
        <v/>
      </c>
      <c r="O630" s="30" t="str">
        <f t="array" ref="O630">IF($A630="", "", LET(bbgm_stat, INDEX(Players!$A629:$P629, MATCH(O$2, Players!$A$1:$P$1, 0)), perc_75, VLOOKUP(O$2, Percentiles!$A$45:$I$59, 6, FALSE), perc_90, VLOOKUP(O$2, Percentiles!$A$45:$I$59, 7, FALSE), perc_95, VLOOKUP(O$2, Percentiles!$A$45:$I$59, 8, FALSE), perc_85, perc_75 + (perc_90 - perc_75) * (2/3), converted_stat, '2K_Ratings'!O630, IF(bbgm_stat &gt;= perc_95, converted_stat * 3, IF(bbgm_stat &gt;= perc_90, converted_stat * 2, IF(bbgm_stat &gt;= perc_85, converted_stat * 1.5, converted_stat)))))</f>
        <v/>
      </c>
      <c r="P630" s="30" t="str">
        <f t="array" ref="P630">IF($A630="", "", LET(bbgm_stat, INDEX(Players!$A629:$P629, MATCH(P$2, Players!$A$1:$P$1, 0)), perc_75, VLOOKUP(P$2, Percentiles!$A$45:$I$59, 6, FALSE), perc_90, VLOOKUP(P$2, Percentiles!$A$45:$I$59, 7, FALSE), perc_95, VLOOKUP(P$2, Percentiles!$A$45:$I$59, 8, FALSE), perc_85, perc_75 + (perc_90 - perc_75) * (2/3), converted_stat, '2K_Ratings'!P630, IF(bbgm_stat &gt;= perc_95, converted_stat * 3, IF(bbgm_stat &gt;= perc_90, converted_stat * 2, IF(bbgm_stat &gt;= perc_85, converted_stat * 1.5, converted_stat)))))</f>
        <v/>
      </c>
      <c r="Q630" s="30" t="str">
        <f t="array" ref="Q630">IF($A630="", "", LET(bbgm_stat, INDEX(Players!$A629:$P629, MATCH(Q$2, Players!$A$1:$P$1, 0)), perc_75, VLOOKUP(Q$2, Percentiles!$A$45:$I$59, 6, FALSE), perc_90, VLOOKUP(Q$2, Percentiles!$A$45:$I$59, 7, FALSE), perc_95, VLOOKUP(Q$2, Percentiles!$A$45:$I$59, 8, FALSE), perc_85, perc_75 + (perc_90 - perc_75) * (2/3), converted_stat, '2K_Ratings'!Q630, IF(bbgm_stat &gt;= perc_95, converted_stat * 3, IF(bbgm_stat &gt;= perc_90, converted_stat * 2, IF(bbgm_stat &gt;= perc_85, converted_stat * 1.5, converted_stat)))))</f>
        <v/>
      </c>
      <c r="R630" s="30" t="str">
        <f t="array" ref="R630">IF($A630="", "", LET(bbgm_stat, INDEX(Players!$A629:$P629, MATCH(R$2, Players!$A$1:$P$1, 0)), perc_75, VLOOKUP(R$2, Percentiles!$A$45:$I$59, 6, FALSE), perc_90, VLOOKUP(R$2, Percentiles!$A$45:$I$59, 7, FALSE), perc_95, VLOOKUP(R$2, Percentiles!$A$45:$I$59, 8, FALSE), perc_85, perc_75 + (perc_90 - perc_75) * (2/3), converted_stat, '2K_Ratings'!R630, IF(bbgm_stat &gt;= perc_95, converted_stat * 3, IF(bbgm_stat &gt;= perc_90, converted_stat * 2, IF(bbgm_stat &gt;= perc_85, converted_stat * 1.5, converted_stat)))))</f>
        <v/>
      </c>
      <c r="S630" s="30" t="str">
        <f t="array" ref="S630">IF($A630="", "", LET(bbgm_stat, INDEX(Players!$A629:$P629, MATCH(S$2, Players!$A$1:$P$1, 0)), perc_75, VLOOKUP(S$2, Percentiles!$A$45:$I$59, 6, FALSE), perc_90, VLOOKUP(S$2, Percentiles!$A$45:$I$59, 7, FALSE), perc_95, VLOOKUP(S$2, Percentiles!$A$45:$I$59, 8, FALSE), perc_85, perc_75 + (perc_90 - perc_75) * (2/3), converted_stat, '2K_Ratings'!S630, IF(bbgm_stat &gt;= perc_95, converted_stat * 3, IF(bbgm_stat &gt;= perc_90, converted_stat * 2, IF(bbgm_stat &gt;= perc_85, converted_stat * 1.5, converted_stat)))))</f>
        <v/>
      </c>
      <c r="T630" s="30" t="str">
        <f t="array" ref="T630">IF($A630="", "", LET(bbgm_stat, INDEX(Players!$A629:$P629, MATCH(T$2, Players!$A$1:$P$1, 0)), perc_75, VLOOKUP(T$2, Percentiles!$A$45:$I$59, 6, FALSE), perc_90, VLOOKUP(T$2, Percentiles!$A$45:$I$59, 7, FALSE), perc_95, VLOOKUP(T$2, Percentiles!$A$45:$I$59, 8, FALSE), perc_85, perc_75 + (perc_90 - perc_75) * (2/3), converted_stat, '2K_Ratings'!T630, IF(bbgm_stat &gt;= perc_95, converted_stat * 3, IF(bbgm_stat &gt;= perc_90, converted_stat * 2, IF(bbgm_stat &gt;= perc_85, converted_stat * 1.5, converted_stat)))))</f>
        <v/>
      </c>
      <c r="U630" s="30" t="str">
        <f t="array" ref="U630">IF($A630="", "", LET(bbgm_stat, INDEX(Players!$A629:$P629, MATCH(U$2, Players!$A$1:$P$1, 0)), perc_75, VLOOKUP(U$2, Percentiles!$A$45:$I$59, 6, FALSE), perc_90, VLOOKUP(U$2, Percentiles!$A$45:$I$59, 7, FALSE), perc_95, VLOOKUP(U$2, Percentiles!$A$45:$I$59, 8, FALSE), perc_85, perc_75 + (perc_90 - perc_75) * (2/3), converted_stat, '2K_Ratings'!U630, IF(bbgm_stat &gt;= perc_95, converted_stat * 3, IF(bbgm_stat &gt;= perc_90, converted_stat * 2, IF(bbgm_stat &gt;= perc_85, converted_stat * 1.5, converted_stat)))))</f>
        <v/>
      </c>
      <c r="V630" s="30" t="str">
        <f t="array" ref="V630">IF($A630="", "", LET(bbgm_stat, INDEX(Players!$A629:$P629, MATCH(V$2, Players!$A$1:$P$1, 0)), perc_75, VLOOKUP(V$2, Percentiles!$A$45:$I$59, 6, FALSE), perc_90, VLOOKUP(V$2, Percentiles!$A$45:$I$59, 7, FALSE), perc_95, VLOOKUP(V$2, Percentiles!$A$45:$I$59, 8, FALSE), perc_85, perc_75 + (perc_90 - perc_75) * (2/3), converted_stat, '2K_Ratings'!V630, IF(bbgm_stat &gt;= perc_95, converted_stat * 3, IF(bbgm_stat &gt;= perc_90, converted_stat * 2, IF(bbgm_stat &gt;= perc_85, converted_stat * 1.5, converted_stat)))))</f>
        <v/>
      </c>
      <c r="W630" s="30" t="str">
        <f t="array" ref="W630">IF($A630="", "", LET(bbgm_stat, INDEX(Players!$A629:$P629, MATCH(W$2, Players!$A$1:$P$1, 0)), perc_75, VLOOKUP(W$2, Percentiles!$A$45:$I$59, 6, FALSE), perc_90, VLOOKUP(W$2, Percentiles!$A$45:$I$59, 7, FALSE), perc_95, VLOOKUP(W$2, Percentiles!$A$45:$I$59, 8, FALSE), perc_85, perc_75 + (perc_90 - perc_75) * (2/3), converted_stat, '2K_Ratings'!W630, IF(bbgm_stat &gt;= perc_95, converted_stat * 3, IF(bbgm_stat &gt;= perc_90, converted_stat * 2, IF(bbgm_stat &gt;= perc_85, converted_stat * 1.5, converted_stat)))))</f>
        <v/>
      </c>
    </row>
    <row r="631">
      <c r="A631" s="30"/>
      <c r="B631" s="30" t="str">
        <f t="array" ref="B631">IF($A631="", "", LET(bbgm_stat, INDEX(Players!$A630:$P630, MATCH(B$2, Players!$A$1:$P$1, 0)), perc_75, VLOOKUP(B$2, Percentiles!$A$45:$I$59, 6, FALSE), perc_90, VLOOKUP(B$2, Percentiles!$A$45:$I$59, 7, FALSE), perc_95, VLOOKUP(B$2, Percentiles!$A$45:$I$59, 8, FALSE), perc_85, perc_75 + (perc_90 - perc_75) * (2/3), converted_stat, '2K_Ratings'!B631, IF(bbgm_stat &gt;= perc_95, converted_stat * 3, IF(bbgm_stat &gt;= perc_90, converted_stat * 2, IF(bbgm_stat &gt;= perc_85, converted_stat * 1.5, converted_stat)))))</f>
        <v/>
      </c>
      <c r="C631" s="30" t="str">
        <f t="array" ref="C631">IF($A631="", "", LET(bbgm_stat, INDEX(Players!$A630:$P630, MATCH(C$2, Players!$A$1:$P$1, 0)), perc_75, VLOOKUP(C$2, Percentiles!$A$45:$I$59, 6, FALSE), perc_90, VLOOKUP(C$2, Percentiles!$A$45:$I$59, 7, FALSE), perc_95, VLOOKUP(C$2, Percentiles!$A$45:$I$59, 8, FALSE), perc_85, perc_75 + (perc_90 - perc_75) * (2/3), converted_stat, '2K_Ratings'!C631, IF(bbgm_stat &gt;= perc_95, converted_stat * 3, IF(bbgm_stat &gt;= perc_90, converted_stat * 2, IF(bbgm_stat &gt;= perc_85, converted_stat * 1.5, converted_stat)))))</f>
        <v/>
      </c>
      <c r="D631" s="30" t="str">
        <f t="array" ref="D631">IF($A631="", "", LET(bbgm_stat, INDEX(Players!$A630:$P630, MATCH(D$2, Players!$A$1:$P$1, 0)), perc_75, VLOOKUP(D$2, Percentiles!$A$45:$I$59, 6, FALSE), perc_90, VLOOKUP(D$2, Percentiles!$A$45:$I$59, 7, FALSE), perc_95, VLOOKUP(D$2, Percentiles!$A$45:$I$59, 8, FALSE), perc_85, perc_75 + (perc_90 - perc_75) * (2/3), converted_stat, '2K_Ratings'!D631, IF(bbgm_stat &gt;= perc_95, converted_stat * 3, IF(bbgm_stat &gt;= perc_90, converted_stat * 2, IF(bbgm_stat &gt;= perc_85, converted_stat * 1.5, converted_stat)))))</f>
        <v/>
      </c>
      <c r="E631" s="30" t="str">
        <f t="array" ref="E631">IF($A631="", "", LET(bbgm_stat, INDEX(Players!$A630:$P630, MATCH(E$2, Players!$A$1:$P$1, 0)), perc_75, VLOOKUP(E$2, Percentiles!$A$45:$I$59, 6, FALSE), perc_90, VLOOKUP(E$2, Percentiles!$A$45:$I$59, 7, FALSE), perc_95, VLOOKUP(E$2, Percentiles!$A$45:$I$59, 8, FALSE), perc_85, perc_75 + (perc_90 - perc_75) * (2/3), converted_stat, '2K_Ratings'!E631, IF(bbgm_stat &gt;= perc_95, converted_stat * 3, IF(bbgm_stat &gt;= perc_90, converted_stat * 2, IF(bbgm_stat &gt;= perc_85, converted_stat * 1.5, converted_stat)))))</f>
        <v/>
      </c>
      <c r="F631" s="30" t="str">
        <f t="array" ref="F631">IF($A631="", "", LET(bbgm_stat, INDEX(Players!$A630:$P630, MATCH(F$2, Players!$A$1:$P$1, 0)), perc_75, VLOOKUP(F$2, Percentiles!$A$45:$I$59, 6, FALSE), perc_90, VLOOKUP(F$2, Percentiles!$A$45:$I$59, 7, FALSE), perc_95, VLOOKUP(F$2, Percentiles!$A$45:$I$59, 8, FALSE), perc_85, perc_75 + (perc_90 - perc_75) * (2/3), converted_stat, '2K_Ratings'!F631, IF(bbgm_stat &gt;= perc_95, converted_stat * 3, IF(bbgm_stat &gt;= perc_90, converted_stat * 2, IF(bbgm_stat &gt;= perc_85, converted_stat * 1.5, converted_stat)))))</f>
        <v/>
      </c>
      <c r="G631" s="30" t="str">
        <f t="array" ref="G631">IF($A631="", "", LET(bbgm_stat, INDEX(Players!$A630:$P630, MATCH(G$2, Players!$A$1:$P$1, 0)), perc_75, VLOOKUP(G$2, Percentiles!$A$45:$I$59, 6, FALSE), perc_90, VLOOKUP(G$2, Percentiles!$A$45:$I$59, 7, FALSE), perc_95, VLOOKUP(G$2, Percentiles!$A$45:$I$59, 8, FALSE), perc_85, perc_75 + (perc_90 - perc_75) * (2/3), converted_stat, '2K_Ratings'!G631, IF(bbgm_stat &gt;= perc_95, converted_stat * 3, IF(bbgm_stat &gt;= perc_90, converted_stat * 2, IF(bbgm_stat &gt;= perc_85, converted_stat * 1.5, converted_stat)))))</f>
        <v/>
      </c>
      <c r="H631" s="30" t="str">
        <f t="array" ref="H631">IF($A631="", "", LET(bbgm_stat, INDEX(Players!$A630:$P630, MATCH(H$2, Players!$A$1:$P$1, 0)), perc_75, VLOOKUP(H$2, Percentiles!$A$45:$I$59, 6, FALSE), perc_90, VLOOKUP(H$2, Percentiles!$A$45:$I$59, 7, FALSE), perc_95, VLOOKUP(H$2, Percentiles!$A$45:$I$59, 8, FALSE), perc_85, perc_75 + (perc_90 - perc_75) * (2/3), converted_stat, '2K_Ratings'!H631, IF(bbgm_stat &gt;= perc_95, converted_stat * 3, IF(bbgm_stat &gt;= perc_90, converted_stat * 2, IF(bbgm_stat &gt;= perc_85, converted_stat * 1.5, converted_stat)))))</f>
        <v/>
      </c>
      <c r="I631" s="30" t="str">
        <f t="array" ref="I631">IF($A631="", "", LET(bbgm_stat, INDEX(Players!$A630:$P630, MATCH(I$2, Players!$A$1:$P$1, 0)), perc_75, VLOOKUP(I$2, Percentiles!$A$45:$I$59, 6, FALSE), perc_90, VLOOKUP(I$2, Percentiles!$A$45:$I$59, 7, FALSE), perc_95, VLOOKUP(I$2, Percentiles!$A$45:$I$59, 8, FALSE), perc_85, perc_75 + (perc_90 - perc_75) * (2/3), converted_stat, '2K_Ratings'!I631, IF(bbgm_stat &gt;= perc_95, converted_stat * 3, IF(bbgm_stat &gt;= perc_90, converted_stat * 2, IF(bbgm_stat &gt;= perc_85, converted_stat * 1.5, converted_stat)))))</f>
        <v/>
      </c>
      <c r="J631" s="30" t="str">
        <f t="array" ref="J631">IF($A631="", "", LET(bbgm_stat, INDEX(Players!$A630:$P630, MATCH(J$2, Players!$A$1:$P$1, 0)), perc_75, VLOOKUP(J$2, Percentiles!$A$45:$I$59, 6, FALSE), perc_90, VLOOKUP(J$2, Percentiles!$A$45:$I$59, 7, FALSE), perc_95, VLOOKUP(J$2, Percentiles!$A$45:$I$59, 8, FALSE), perc_85, perc_75 + (perc_90 - perc_75) * (2/3), converted_stat, '2K_Ratings'!J631, IF(bbgm_stat &gt;= perc_95, converted_stat * 3, IF(bbgm_stat &gt;= perc_90, converted_stat * 2, IF(bbgm_stat &gt;= perc_85, converted_stat * 1.5, converted_stat)))))</f>
        <v/>
      </c>
      <c r="K631" s="30" t="str">
        <f t="array" ref="K631">IF($A631="", "", LET(bbgm_stat, INDEX(Players!$A630:$P630, MATCH(K$2, Players!$A$1:$P$1, 0)), perc_75, VLOOKUP(K$2, Percentiles!$A$45:$I$59, 6, FALSE), perc_90, VLOOKUP(K$2, Percentiles!$A$45:$I$59, 7, FALSE), perc_95, VLOOKUP(K$2, Percentiles!$A$45:$I$59, 8, FALSE), perc_85, perc_75 + (perc_90 - perc_75) * (2/3), converted_stat, '2K_Ratings'!K631, IF(bbgm_stat &gt;= perc_95, converted_stat * 3, IF(bbgm_stat &gt;= perc_90, converted_stat * 2, IF(bbgm_stat &gt;= perc_85, converted_stat * 1.5, converted_stat)))))</f>
        <v/>
      </c>
      <c r="L631" s="30" t="str">
        <f t="array" ref="L631">IF($A631="", "", LET(bbgm_stat, INDEX(Players!$A630:$P630, MATCH(L$2, Players!$A$1:$P$1, 0)), perc_75, VLOOKUP(L$2, Percentiles!$A$45:$I$59, 6, FALSE), perc_90, VLOOKUP(L$2, Percentiles!$A$45:$I$59, 7, FALSE), perc_95, VLOOKUP(L$2, Percentiles!$A$45:$I$59, 8, FALSE), perc_85, perc_75 + (perc_90 - perc_75) * (2/3), converted_stat, '2K_Ratings'!L631, IF(bbgm_stat &gt;= perc_95, converted_stat * 3, IF(bbgm_stat &gt;= perc_90, converted_stat * 2, IF(bbgm_stat &gt;= perc_85, converted_stat * 1.5, converted_stat)))))</f>
        <v/>
      </c>
      <c r="M631" s="30" t="str">
        <f t="array" ref="M631">IF($A631="", "", LET(bbgm_stat, INDEX(Players!$A630:$P630, MATCH(M$2, Players!$A$1:$P$1, 0)), perc_75, VLOOKUP(M$2, Percentiles!$A$45:$I$59, 6, FALSE), perc_90, VLOOKUP(M$2, Percentiles!$A$45:$I$59, 7, FALSE), perc_95, VLOOKUP(M$2, Percentiles!$A$45:$I$59, 8, FALSE), perc_85, perc_75 + (perc_90 - perc_75) * (2/3), converted_stat, '2K_Ratings'!M631, IF(bbgm_stat &gt;= perc_95, converted_stat * 3, IF(bbgm_stat &gt;= perc_90, converted_stat * 2, IF(bbgm_stat &gt;= perc_85, converted_stat * 1.5, converted_stat)))))</f>
        <v/>
      </c>
      <c r="N631" s="30" t="str">
        <f t="array" ref="N631">IF($A631="", "", LET(bbgm_stat, INDEX(Players!$A630:$P630, MATCH(N$2, Players!$A$1:$P$1, 0)), perc_75, VLOOKUP(N$2, Percentiles!$A$45:$I$59, 6, FALSE), perc_90, VLOOKUP(N$2, Percentiles!$A$45:$I$59, 7, FALSE), perc_95, VLOOKUP(N$2, Percentiles!$A$45:$I$59, 8, FALSE), perc_85, perc_75 + (perc_90 - perc_75) * (2/3), converted_stat, '2K_Ratings'!N631, IF(bbgm_stat &gt;= perc_95, converted_stat * 3, IF(bbgm_stat &gt;= perc_90, converted_stat * 2, IF(bbgm_stat &gt;= perc_85, converted_stat * 1.5, converted_stat)))))</f>
        <v/>
      </c>
      <c r="O631" s="30" t="str">
        <f t="array" ref="O631">IF($A631="", "", LET(bbgm_stat, INDEX(Players!$A630:$P630, MATCH(O$2, Players!$A$1:$P$1, 0)), perc_75, VLOOKUP(O$2, Percentiles!$A$45:$I$59, 6, FALSE), perc_90, VLOOKUP(O$2, Percentiles!$A$45:$I$59, 7, FALSE), perc_95, VLOOKUP(O$2, Percentiles!$A$45:$I$59, 8, FALSE), perc_85, perc_75 + (perc_90 - perc_75) * (2/3), converted_stat, '2K_Ratings'!O631, IF(bbgm_stat &gt;= perc_95, converted_stat * 3, IF(bbgm_stat &gt;= perc_90, converted_stat * 2, IF(bbgm_stat &gt;= perc_85, converted_stat * 1.5, converted_stat)))))</f>
        <v/>
      </c>
      <c r="P631" s="30" t="str">
        <f t="array" ref="P631">IF($A631="", "", LET(bbgm_stat, INDEX(Players!$A630:$P630, MATCH(P$2, Players!$A$1:$P$1, 0)), perc_75, VLOOKUP(P$2, Percentiles!$A$45:$I$59, 6, FALSE), perc_90, VLOOKUP(P$2, Percentiles!$A$45:$I$59, 7, FALSE), perc_95, VLOOKUP(P$2, Percentiles!$A$45:$I$59, 8, FALSE), perc_85, perc_75 + (perc_90 - perc_75) * (2/3), converted_stat, '2K_Ratings'!P631, IF(bbgm_stat &gt;= perc_95, converted_stat * 3, IF(bbgm_stat &gt;= perc_90, converted_stat * 2, IF(bbgm_stat &gt;= perc_85, converted_stat * 1.5, converted_stat)))))</f>
        <v/>
      </c>
      <c r="Q631" s="30" t="str">
        <f t="array" ref="Q631">IF($A631="", "", LET(bbgm_stat, INDEX(Players!$A630:$P630, MATCH(Q$2, Players!$A$1:$P$1, 0)), perc_75, VLOOKUP(Q$2, Percentiles!$A$45:$I$59, 6, FALSE), perc_90, VLOOKUP(Q$2, Percentiles!$A$45:$I$59, 7, FALSE), perc_95, VLOOKUP(Q$2, Percentiles!$A$45:$I$59, 8, FALSE), perc_85, perc_75 + (perc_90 - perc_75) * (2/3), converted_stat, '2K_Ratings'!Q631, IF(bbgm_stat &gt;= perc_95, converted_stat * 3, IF(bbgm_stat &gt;= perc_90, converted_stat * 2, IF(bbgm_stat &gt;= perc_85, converted_stat * 1.5, converted_stat)))))</f>
        <v/>
      </c>
      <c r="R631" s="30" t="str">
        <f t="array" ref="R631">IF($A631="", "", LET(bbgm_stat, INDEX(Players!$A630:$P630, MATCH(R$2, Players!$A$1:$P$1, 0)), perc_75, VLOOKUP(R$2, Percentiles!$A$45:$I$59, 6, FALSE), perc_90, VLOOKUP(R$2, Percentiles!$A$45:$I$59, 7, FALSE), perc_95, VLOOKUP(R$2, Percentiles!$A$45:$I$59, 8, FALSE), perc_85, perc_75 + (perc_90 - perc_75) * (2/3), converted_stat, '2K_Ratings'!R631, IF(bbgm_stat &gt;= perc_95, converted_stat * 3, IF(bbgm_stat &gt;= perc_90, converted_stat * 2, IF(bbgm_stat &gt;= perc_85, converted_stat * 1.5, converted_stat)))))</f>
        <v/>
      </c>
      <c r="S631" s="30" t="str">
        <f t="array" ref="S631">IF($A631="", "", LET(bbgm_stat, INDEX(Players!$A630:$P630, MATCH(S$2, Players!$A$1:$P$1, 0)), perc_75, VLOOKUP(S$2, Percentiles!$A$45:$I$59, 6, FALSE), perc_90, VLOOKUP(S$2, Percentiles!$A$45:$I$59, 7, FALSE), perc_95, VLOOKUP(S$2, Percentiles!$A$45:$I$59, 8, FALSE), perc_85, perc_75 + (perc_90 - perc_75) * (2/3), converted_stat, '2K_Ratings'!S631, IF(bbgm_stat &gt;= perc_95, converted_stat * 3, IF(bbgm_stat &gt;= perc_90, converted_stat * 2, IF(bbgm_stat &gt;= perc_85, converted_stat * 1.5, converted_stat)))))</f>
        <v/>
      </c>
      <c r="T631" s="30" t="str">
        <f t="array" ref="T631">IF($A631="", "", LET(bbgm_stat, INDEX(Players!$A630:$P630, MATCH(T$2, Players!$A$1:$P$1, 0)), perc_75, VLOOKUP(T$2, Percentiles!$A$45:$I$59, 6, FALSE), perc_90, VLOOKUP(T$2, Percentiles!$A$45:$I$59, 7, FALSE), perc_95, VLOOKUP(T$2, Percentiles!$A$45:$I$59, 8, FALSE), perc_85, perc_75 + (perc_90 - perc_75) * (2/3), converted_stat, '2K_Ratings'!T631, IF(bbgm_stat &gt;= perc_95, converted_stat * 3, IF(bbgm_stat &gt;= perc_90, converted_stat * 2, IF(bbgm_stat &gt;= perc_85, converted_stat * 1.5, converted_stat)))))</f>
        <v/>
      </c>
      <c r="U631" s="30" t="str">
        <f t="array" ref="U631">IF($A631="", "", LET(bbgm_stat, INDEX(Players!$A630:$P630, MATCH(U$2, Players!$A$1:$P$1, 0)), perc_75, VLOOKUP(U$2, Percentiles!$A$45:$I$59, 6, FALSE), perc_90, VLOOKUP(U$2, Percentiles!$A$45:$I$59, 7, FALSE), perc_95, VLOOKUP(U$2, Percentiles!$A$45:$I$59, 8, FALSE), perc_85, perc_75 + (perc_90 - perc_75) * (2/3), converted_stat, '2K_Ratings'!U631, IF(bbgm_stat &gt;= perc_95, converted_stat * 3, IF(bbgm_stat &gt;= perc_90, converted_stat * 2, IF(bbgm_stat &gt;= perc_85, converted_stat * 1.5, converted_stat)))))</f>
        <v/>
      </c>
      <c r="V631" s="30" t="str">
        <f t="array" ref="V631">IF($A631="", "", LET(bbgm_stat, INDEX(Players!$A630:$P630, MATCH(V$2, Players!$A$1:$P$1, 0)), perc_75, VLOOKUP(V$2, Percentiles!$A$45:$I$59, 6, FALSE), perc_90, VLOOKUP(V$2, Percentiles!$A$45:$I$59, 7, FALSE), perc_95, VLOOKUP(V$2, Percentiles!$A$45:$I$59, 8, FALSE), perc_85, perc_75 + (perc_90 - perc_75) * (2/3), converted_stat, '2K_Ratings'!V631, IF(bbgm_stat &gt;= perc_95, converted_stat * 3, IF(bbgm_stat &gt;= perc_90, converted_stat * 2, IF(bbgm_stat &gt;= perc_85, converted_stat * 1.5, converted_stat)))))</f>
        <v/>
      </c>
      <c r="W631" s="30" t="str">
        <f t="array" ref="W631">IF($A631="", "", LET(bbgm_stat, INDEX(Players!$A630:$P630, MATCH(W$2, Players!$A$1:$P$1, 0)), perc_75, VLOOKUP(W$2, Percentiles!$A$45:$I$59, 6, FALSE), perc_90, VLOOKUP(W$2, Percentiles!$A$45:$I$59, 7, FALSE), perc_95, VLOOKUP(W$2, Percentiles!$A$45:$I$59, 8, FALSE), perc_85, perc_75 + (perc_90 - perc_75) * (2/3), converted_stat, '2K_Ratings'!W631, IF(bbgm_stat &gt;= perc_95, converted_stat * 3, IF(bbgm_stat &gt;= perc_90, converted_stat * 2, IF(bbgm_stat &gt;= perc_85, converted_stat * 1.5, converted_stat)))))</f>
        <v/>
      </c>
    </row>
    <row r="632">
      <c r="A632" s="30"/>
      <c r="B632" s="30" t="str">
        <f t="array" ref="B632">IF($A632="", "", LET(bbgm_stat, INDEX(Players!$A631:$P631, MATCH(B$2, Players!$A$1:$P$1, 0)), perc_75, VLOOKUP(B$2, Percentiles!$A$45:$I$59, 6, FALSE), perc_90, VLOOKUP(B$2, Percentiles!$A$45:$I$59, 7, FALSE), perc_95, VLOOKUP(B$2, Percentiles!$A$45:$I$59, 8, FALSE), perc_85, perc_75 + (perc_90 - perc_75) * (2/3), converted_stat, '2K_Ratings'!B632, IF(bbgm_stat &gt;= perc_95, converted_stat * 3, IF(bbgm_stat &gt;= perc_90, converted_stat * 2, IF(bbgm_stat &gt;= perc_85, converted_stat * 1.5, converted_stat)))))</f>
        <v/>
      </c>
      <c r="C632" s="30" t="str">
        <f t="array" ref="C632">IF($A632="", "", LET(bbgm_stat, INDEX(Players!$A631:$P631, MATCH(C$2, Players!$A$1:$P$1, 0)), perc_75, VLOOKUP(C$2, Percentiles!$A$45:$I$59, 6, FALSE), perc_90, VLOOKUP(C$2, Percentiles!$A$45:$I$59, 7, FALSE), perc_95, VLOOKUP(C$2, Percentiles!$A$45:$I$59, 8, FALSE), perc_85, perc_75 + (perc_90 - perc_75) * (2/3), converted_stat, '2K_Ratings'!C632, IF(bbgm_stat &gt;= perc_95, converted_stat * 3, IF(bbgm_stat &gt;= perc_90, converted_stat * 2, IF(bbgm_stat &gt;= perc_85, converted_stat * 1.5, converted_stat)))))</f>
        <v/>
      </c>
      <c r="D632" s="30" t="str">
        <f t="array" ref="D632">IF($A632="", "", LET(bbgm_stat, INDEX(Players!$A631:$P631, MATCH(D$2, Players!$A$1:$P$1, 0)), perc_75, VLOOKUP(D$2, Percentiles!$A$45:$I$59, 6, FALSE), perc_90, VLOOKUP(D$2, Percentiles!$A$45:$I$59, 7, FALSE), perc_95, VLOOKUP(D$2, Percentiles!$A$45:$I$59, 8, FALSE), perc_85, perc_75 + (perc_90 - perc_75) * (2/3), converted_stat, '2K_Ratings'!D632, IF(bbgm_stat &gt;= perc_95, converted_stat * 3, IF(bbgm_stat &gt;= perc_90, converted_stat * 2, IF(bbgm_stat &gt;= perc_85, converted_stat * 1.5, converted_stat)))))</f>
        <v/>
      </c>
      <c r="E632" s="30" t="str">
        <f t="array" ref="E632">IF($A632="", "", LET(bbgm_stat, INDEX(Players!$A631:$P631, MATCH(E$2, Players!$A$1:$P$1, 0)), perc_75, VLOOKUP(E$2, Percentiles!$A$45:$I$59, 6, FALSE), perc_90, VLOOKUP(E$2, Percentiles!$A$45:$I$59, 7, FALSE), perc_95, VLOOKUP(E$2, Percentiles!$A$45:$I$59, 8, FALSE), perc_85, perc_75 + (perc_90 - perc_75) * (2/3), converted_stat, '2K_Ratings'!E632, IF(bbgm_stat &gt;= perc_95, converted_stat * 3, IF(bbgm_stat &gt;= perc_90, converted_stat * 2, IF(bbgm_stat &gt;= perc_85, converted_stat * 1.5, converted_stat)))))</f>
        <v/>
      </c>
      <c r="F632" s="30" t="str">
        <f t="array" ref="F632">IF($A632="", "", LET(bbgm_stat, INDEX(Players!$A631:$P631, MATCH(F$2, Players!$A$1:$P$1, 0)), perc_75, VLOOKUP(F$2, Percentiles!$A$45:$I$59, 6, FALSE), perc_90, VLOOKUP(F$2, Percentiles!$A$45:$I$59, 7, FALSE), perc_95, VLOOKUP(F$2, Percentiles!$A$45:$I$59, 8, FALSE), perc_85, perc_75 + (perc_90 - perc_75) * (2/3), converted_stat, '2K_Ratings'!F632, IF(bbgm_stat &gt;= perc_95, converted_stat * 3, IF(bbgm_stat &gt;= perc_90, converted_stat * 2, IF(bbgm_stat &gt;= perc_85, converted_stat * 1.5, converted_stat)))))</f>
        <v/>
      </c>
      <c r="G632" s="30" t="str">
        <f t="array" ref="G632">IF($A632="", "", LET(bbgm_stat, INDEX(Players!$A631:$P631, MATCH(G$2, Players!$A$1:$P$1, 0)), perc_75, VLOOKUP(G$2, Percentiles!$A$45:$I$59, 6, FALSE), perc_90, VLOOKUP(G$2, Percentiles!$A$45:$I$59, 7, FALSE), perc_95, VLOOKUP(G$2, Percentiles!$A$45:$I$59, 8, FALSE), perc_85, perc_75 + (perc_90 - perc_75) * (2/3), converted_stat, '2K_Ratings'!G632, IF(bbgm_stat &gt;= perc_95, converted_stat * 3, IF(bbgm_stat &gt;= perc_90, converted_stat * 2, IF(bbgm_stat &gt;= perc_85, converted_stat * 1.5, converted_stat)))))</f>
        <v/>
      </c>
      <c r="H632" s="30" t="str">
        <f t="array" ref="H632">IF($A632="", "", LET(bbgm_stat, INDEX(Players!$A631:$P631, MATCH(H$2, Players!$A$1:$P$1, 0)), perc_75, VLOOKUP(H$2, Percentiles!$A$45:$I$59, 6, FALSE), perc_90, VLOOKUP(H$2, Percentiles!$A$45:$I$59, 7, FALSE), perc_95, VLOOKUP(H$2, Percentiles!$A$45:$I$59, 8, FALSE), perc_85, perc_75 + (perc_90 - perc_75) * (2/3), converted_stat, '2K_Ratings'!H632, IF(bbgm_stat &gt;= perc_95, converted_stat * 3, IF(bbgm_stat &gt;= perc_90, converted_stat * 2, IF(bbgm_stat &gt;= perc_85, converted_stat * 1.5, converted_stat)))))</f>
        <v/>
      </c>
      <c r="I632" s="30" t="str">
        <f t="array" ref="I632">IF($A632="", "", LET(bbgm_stat, INDEX(Players!$A631:$P631, MATCH(I$2, Players!$A$1:$P$1, 0)), perc_75, VLOOKUP(I$2, Percentiles!$A$45:$I$59, 6, FALSE), perc_90, VLOOKUP(I$2, Percentiles!$A$45:$I$59, 7, FALSE), perc_95, VLOOKUP(I$2, Percentiles!$A$45:$I$59, 8, FALSE), perc_85, perc_75 + (perc_90 - perc_75) * (2/3), converted_stat, '2K_Ratings'!I632, IF(bbgm_stat &gt;= perc_95, converted_stat * 3, IF(bbgm_stat &gt;= perc_90, converted_stat * 2, IF(bbgm_stat &gt;= perc_85, converted_stat * 1.5, converted_stat)))))</f>
        <v/>
      </c>
      <c r="J632" s="30" t="str">
        <f t="array" ref="J632">IF($A632="", "", LET(bbgm_stat, INDEX(Players!$A631:$P631, MATCH(J$2, Players!$A$1:$P$1, 0)), perc_75, VLOOKUP(J$2, Percentiles!$A$45:$I$59, 6, FALSE), perc_90, VLOOKUP(J$2, Percentiles!$A$45:$I$59, 7, FALSE), perc_95, VLOOKUP(J$2, Percentiles!$A$45:$I$59, 8, FALSE), perc_85, perc_75 + (perc_90 - perc_75) * (2/3), converted_stat, '2K_Ratings'!J632, IF(bbgm_stat &gt;= perc_95, converted_stat * 3, IF(bbgm_stat &gt;= perc_90, converted_stat * 2, IF(bbgm_stat &gt;= perc_85, converted_stat * 1.5, converted_stat)))))</f>
        <v/>
      </c>
      <c r="K632" s="30" t="str">
        <f t="array" ref="K632">IF($A632="", "", LET(bbgm_stat, INDEX(Players!$A631:$P631, MATCH(K$2, Players!$A$1:$P$1, 0)), perc_75, VLOOKUP(K$2, Percentiles!$A$45:$I$59, 6, FALSE), perc_90, VLOOKUP(K$2, Percentiles!$A$45:$I$59, 7, FALSE), perc_95, VLOOKUP(K$2, Percentiles!$A$45:$I$59, 8, FALSE), perc_85, perc_75 + (perc_90 - perc_75) * (2/3), converted_stat, '2K_Ratings'!K632, IF(bbgm_stat &gt;= perc_95, converted_stat * 3, IF(bbgm_stat &gt;= perc_90, converted_stat * 2, IF(bbgm_stat &gt;= perc_85, converted_stat * 1.5, converted_stat)))))</f>
        <v/>
      </c>
      <c r="L632" s="30" t="str">
        <f t="array" ref="L632">IF($A632="", "", LET(bbgm_stat, INDEX(Players!$A631:$P631, MATCH(L$2, Players!$A$1:$P$1, 0)), perc_75, VLOOKUP(L$2, Percentiles!$A$45:$I$59, 6, FALSE), perc_90, VLOOKUP(L$2, Percentiles!$A$45:$I$59, 7, FALSE), perc_95, VLOOKUP(L$2, Percentiles!$A$45:$I$59, 8, FALSE), perc_85, perc_75 + (perc_90 - perc_75) * (2/3), converted_stat, '2K_Ratings'!L632, IF(bbgm_stat &gt;= perc_95, converted_stat * 3, IF(bbgm_stat &gt;= perc_90, converted_stat * 2, IF(bbgm_stat &gt;= perc_85, converted_stat * 1.5, converted_stat)))))</f>
        <v/>
      </c>
      <c r="M632" s="30" t="str">
        <f t="array" ref="M632">IF($A632="", "", LET(bbgm_stat, INDEX(Players!$A631:$P631, MATCH(M$2, Players!$A$1:$P$1, 0)), perc_75, VLOOKUP(M$2, Percentiles!$A$45:$I$59, 6, FALSE), perc_90, VLOOKUP(M$2, Percentiles!$A$45:$I$59, 7, FALSE), perc_95, VLOOKUP(M$2, Percentiles!$A$45:$I$59, 8, FALSE), perc_85, perc_75 + (perc_90 - perc_75) * (2/3), converted_stat, '2K_Ratings'!M632, IF(bbgm_stat &gt;= perc_95, converted_stat * 3, IF(bbgm_stat &gt;= perc_90, converted_stat * 2, IF(bbgm_stat &gt;= perc_85, converted_stat * 1.5, converted_stat)))))</f>
        <v/>
      </c>
      <c r="N632" s="30" t="str">
        <f t="array" ref="N632">IF($A632="", "", LET(bbgm_stat, INDEX(Players!$A631:$P631, MATCH(N$2, Players!$A$1:$P$1, 0)), perc_75, VLOOKUP(N$2, Percentiles!$A$45:$I$59, 6, FALSE), perc_90, VLOOKUP(N$2, Percentiles!$A$45:$I$59, 7, FALSE), perc_95, VLOOKUP(N$2, Percentiles!$A$45:$I$59, 8, FALSE), perc_85, perc_75 + (perc_90 - perc_75) * (2/3), converted_stat, '2K_Ratings'!N632, IF(bbgm_stat &gt;= perc_95, converted_stat * 3, IF(bbgm_stat &gt;= perc_90, converted_stat * 2, IF(bbgm_stat &gt;= perc_85, converted_stat * 1.5, converted_stat)))))</f>
        <v/>
      </c>
      <c r="O632" s="30" t="str">
        <f t="array" ref="O632">IF($A632="", "", LET(bbgm_stat, INDEX(Players!$A631:$P631, MATCH(O$2, Players!$A$1:$P$1, 0)), perc_75, VLOOKUP(O$2, Percentiles!$A$45:$I$59, 6, FALSE), perc_90, VLOOKUP(O$2, Percentiles!$A$45:$I$59, 7, FALSE), perc_95, VLOOKUP(O$2, Percentiles!$A$45:$I$59, 8, FALSE), perc_85, perc_75 + (perc_90 - perc_75) * (2/3), converted_stat, '2K_Ratings'!O632, IF(bbgm_stat &gt;= perc_95, converted_stat * 3, IF(bbgm_stat &gt;= perc_90, converted_stat * 2, IF(bbgm_stat &gt;= perc_85, converted_stat * 1.5, converted_stat)))))</f>
        <v/>
      </c>
      <c r="P632" s="30" t="str">
        <f t="array" ref="P632">IF($A632="", "", LET(bbgm_stat, INDEX(Players!$A631:$P631, MATCH(P$2, Players!$A$1:$P$1, 0)), perc_75, VLOOKUP(P$2, Percentiles!$A$45:$I$59, 6, FALSE), perc_90, VLOOKUP(P$2, Percentiles!$A$45:$I$59, 7, FALSE), perc_95, VLOOKUP(P$2, Percentiles!$A$45:$I$59, 8, FALSE), perc_85, perc_75 + (perc_90 - perc_75) * (2/3), converted_stat, '2K_Ratings'!P632, IF(bbgm_stat &gt;= perc_95, converted_stat * 3, IF(bbgm_stat &gt;= perc_90, converted_stat * 2, IF(bbgm_stat &gt;= perc_85, converted_stat * 1.5, converted_stat)))))</f>
        <v/>
      </c>
      <c r="Q632" s="30" t="str">
        <f t="array" ref="Q632">IF($A632="", "", LET(bbgm_stat, INDEX(Players!$A631:$P631, MATCH(Q$2, Players!$A$1:$P$1, 0)), perc_75, VLOOKUP(Q$2, Percentiles!$A$45:$I$59, 6, FALSE), perc_90, VLOOKUP(Q$2, Percentiles!$A$45:$I$59, 7, FALSE), perc_95, VLOOKUP(Q$2, Percentiles!$A$45:$I$59, 8, FALSE), perc_85, perc_75 + (perc_90 - perc_75) * (2/3), converted_stat, '2K_Ratings'!Q632, IF(bbgm_stat &gt;= perc_95, converted_stat * 3, IF(bbgm_stat &gt;= perc_90, converted_stat * 2, IF(bbgm_stat &gt;= perc_85, converted_stat * 1.5, converted_stat)))))</f>
        <v/>
      </c>
      <c r="R632" s="30" t="str">
        <f t="array" ref="R632">IF($A632="", "", LET(bbgm_stat, INDEX(Players!$A631:$P631, MATCH(R$2, Players!$A$1:$P$1, 0)), perc_75, VLOOKUP(R$2, Percentiles!$A$45:$I$59, 6, FALSE), perc_90, VLOOKUP(R$2, Percentiles!$A$45:$I$59, 7, FALSE), perc_95, VLOOKUP(R$2, Percentiles!$A$45:$I$59, 8, FALSE), perc_85, perc_75 + (perc_90 - perc_75) * (2/3), converted_stat, '2K_Ratings'!R632, IF(bbgm_stat &gt;= perc_95, converted_stat * 3, IF(bbgm_stat &gt;= perc_90, converted_stat * 2, IF(bbgm_stat &gt;= perc_85, converted_stat * 1.5, converted_stat)))))</f>
        <v/>
      </c>
      <c r="S632" s="30" t="str">
        <f t="array" ref="S632">IF($A632="", "", LET(bbgm_stat, INDEX(Players!$A631:$P631, MATCH(S$2, Players!$A$1:$P$1, 0)), perc_75, VLOOKUP(S$2, Percentiles!$A$45:$I$59, 6, FALSE), perc_90, VLOOKUP(S$2, Percentiles!$A$45:$I$59, 7, FALSE), perc_95, VLOOKUP(S$2, Percentiles!$A$45:$I$59, 8, FALSE), perc_85, perc_75 + (perc_90 - perc_75) * (2/3), converted_stat, '2K_Ratings'!S632, IF(bbgm_stat &gt;= perc_95, converted_stat * 3, IF(bbgm_stat &gt;= perc_90, converted_stat * 2, IF(bbgm_stat &gt;= perc_85, converted_stat * 1.5, converted_stat)))))</f>
        <v/>
      </c>
      <c r="T632" s="30" t="str">
        <f t="array" ref="T632">IF($A632="", "", LET(bbgm_stat, INDEX(Players!$A631:$P631, MATCH(T$2, Players!$A$1:$P$1, 0)), perc_75, VLOOKUP(T$2, Percentiles!$A$45:$I$59, 6, FALSE), perc_90, VLOOKUP(T$2, Percentiles!$A$45:$I$59, 7, FALSE), perc_95, VLOOKUP(T$2, Percentiles!$A$45:$I$59, 8, FALSE), perc_85, perc_75 + (perc_90 - perc_75) * (2/3), converted_stat, '2K_Ratings'!T632, IF(bbgm_stat &gt;= perc_95, converted_stat * 3, IF(bbgm_stat &gt;= perc_90, converted_stat * 2, IF(bbgm_stat &gt;= perc_85, converted_stat * 1.5, converted_stat)))))</f>
        <v/>
      </c>
      <c r="U632" s="30" t="str">
        <f t="array" ref="U632">IF($A632="", "", LET(bbgm_stat, INDEX(Players!$A631:$P631, MATCH(U$2, Players!$A$1:$P$1, 0)), perc_75, VLOOKUP(U$2, Percentiles!$A$45:$I$59, 6, FALSE), perc_90, VLOOKUP(U$2, Percentiles!$A$45:$I$59, 7, FALSE), perc_95, VLOOKUP(U$2, Percentiles!$A$45:$I$59, 8, FALSE), perc_85, perc_75 + (perc_90 - perc_75) * (2/3), converted_stat, '2K_Ratings'!U632, IF(bbgm_stat &gt;= perc_95, converted_stat * 3, IF(bbgm_stat &gt;= perc_90, converted_stat * 2, IF(bbgm_stat &gt;= perc_85, converted_stat * 1.5, converted_stat)))))</f>
        <v/>
      </c>
      <c r="V632" s="30" t="str">
        <f t="array" ref="V632">IF($A632="", "", LET(bbgm_stat, INDEX(Players!$A631:$P631, MATCH(V$2, Players!$A$1:$P$1, 0)), perc_75, VLOOKUP(V$2, Percentiles!$A$45:$I$59, 6, FALSE), perc_90, VLOOKUP(V$2, Percentiles!$A$45:$I$59, 7, FALSE), perc_95, VLOOKUP(V$2, Percentiles!$A$45:$I$59, 8, FALSE), perc_85, perc_75 + (perc_90 - perc_75) * (2/3), converted_stat, '2K_Ratings'!V632, IF(bbgm_stat &gt;= perc_95, converted_stat * 3, IF(bbgm_stat &gt;= perc_90, converted_stat * 2, IF(bbgm_stat &gt;= perc_85, converted_stat * 1.5, converted_stat)))))</f>
        <v/>
      </c>
      <c r="W632" s="30" t="str">
        <f t="array" ref="W632">IF($A632="", "", LET(bbgm_stat, INDEX(Players!$A631:$P631, MATCH(W$2, Players!$A$1:$P$1, 0)), perc_75, VLOOKUP(W$2, Percentiles!$A$45:$I$59, 6, FALSE), perc_90, VLOOKUP(W$2, Percentiles!$A$45:$I$59, 7, FALSE), perc_95, VLOOKUP(W$2, Percentiles!$A$45:$I$59, 8, FALSE), perc_85, perc_75 + (perc_90 - perc_75) * (2/3), converted_stat, '2K_Ratings'!W632, IF(bbgm_stat &gt;= perc_95, converted_stat * 3, IF(bbgm_stat &gt;= perc_90, converted_stat * 2, IF(bbgm_stat &gt;= perc_85, converted_stat * 1.5, converted_stat)))))</f>
        <v/>
      </c>
    </row>
    <row r="633">
      <c r="A633" s="30"/>
      <c r="B633" s="30" t="str">
        <f t="array" ref="B633">IF($A633="", "", LET(bbgm_stat, INDEX(Players!$A632:$P632, MATCH(B$2, Players!$A$1:$P$1, 0)), perc_75, VLOOKUP(B$2, Percentiles!$A$45:$I$59, 6, FALSE), perc_90, VLOOKUP(B$2, Percentiles!$A$45:$I$59, 7, FALSE), perc_95, VLOOKUP(B$2, Percentiles!$A$45:$I$59, 8, FALSE), perc_85, perc_75 + (perc_90 - perc_75) * (2/3), converted_stat, '2K_Ratings'!B633, IF(bbgm_stat &gt;= perc_95, converted_stat * 3, IF(bbgm_stat &gt;= perc_90, converted_stat * 2, IF(bbgm_stat &gt;= perc_85, converted_stat * 1.5, converted_stat)))))</f>
        <v/>
      </c>
      <c r="C633" s="30" t="str">
        <f t="array" ref="C633">IF($A633="", "", LET(bbgm_stat, INDEX(Players!$A632:$P632, MATCH(C$2, Players!$A$1:$P$1, 0)), perc_75, VLOOKUP(C$2, Percentiles!$A$45:$I$59, 6, FALSE), perc_90, VLOOKUP(C$2, Percentiles!$A$45:$I$59, 7, FALSE), perc_95, VLOOKUP(C$2, Percentiles!$A$45:$I$59, 8, FALSE), perc_85, perc_75 + (perc_90 - perc_75) * (2/3), converted_stat, '2K_Ratings'!C633, IF(bbgm_stat &gt;= perc_95, converted_stat * 3, IF(bbgm_stat &gt;= perc_90, converted_stat * 2, IF(bbgm_stat &gt;= perc_85, converted_stat * 1.5, converted_stat)))))</f>
        <v/>
      </c>
      <c r="D633" s="30" t="str">
        <f t="array" ref="D633">IF($A633="", "", LET(bbgm_stat, INDEX(Players!$A632:$P632, MATCH(D$2, Players!$A$1:$P$1, 0)), perc_75, VLOOKUP(D$2, Percentiles!$A$45:$I$59, 6, FALSE), perc_90, VLOOKUP(D$2, Percentiles!$A$45:$I$59, 7, FALSE), perc_95, VLOOKUP(D$2, Percentiles!$A$45:$I$59, 8, FALSE), perc_85, perc_75 + (perc_90 - perc_75) * (2/3), converted_stat, '2K_Ratings'!D633, IF(bbgm_stat &gt;= perc_95, converted_stat * 3, IF(bbgm_stat &gt;= perc_90, converted_stat * 2, IF(bbgm_stat &gt;= perc_85, converted_stat * 1.5, converted_stat)))))</f>
        <v/>
      </c>
      <c r="E633" s="30" t="str">
        <f t="array" ref="E633">IF($A633="", "", LET(bbgm_stat, INDEX(Players!$A632:$P632, MATCH(E$2, Players!$A$1:$P$1, 0)), perc_75, VLOOKUP(E$2, Percentiles!$A$45:$I$59, 6, FALSE), perc_90, VLOOKUP(E$2, Percentiles!$A$45:$I$59, 7, FALSE), perc_95, VLOOKUP(E$2, Percentiles!$A$45:$I$59, 8, FALSE), perc_85, perc_75 + (perc_90 - perc_75) * (2/3), converted_stat, '2K_Ratings'!E633, IF(bbgm_stat &gt;= perc_95, converted_stat * 3, IF(bbgm_stat &gt;= perc_90, converted_stat * 2, IF(bbgm_stat &gt;= perc_85, converted_stat * 1.5, converted_stat)))))</f>
        <v/>
      </c>
      <c r="F633" s="30" t="str">
        <f t="array" ref="F633">IF($A633="", "", LET(bbgm_stat, INDEX(Players!$A632:$P632, MATCH(F$2, Players!$A$1:$P$1, 0)), perc_75, VLOOKUP(F$2, Percentiles!$A$45:$I$59, 6, FALSE), perc_90, VLOOKUP(F$2, Percentiles!$A$45:$I$59, 7, FALSE), perc_95, VLOOKUP(F$2, Percentiles!$A$45:$I$59, 8, FALSE), perc_85, perc_75 + (perc_90 - perc_75) * (2/3), converted_stat, '2K_Ratings'!F633, IF(bbgm_stat &gt;= perc_95, converted_stat * 3, IF(bbgm_stat &gt;= perc_90, converted_stat * 2, IF(bbgm_stat &gt;= perc_85, converted_stat * 1.5, converted_stat)))))</f>
        <v/>
      </c>
      <c r="G633" s="30" t="str">
        <f t="array" ref="G633">IF($A633="", "", LET(bbgm_stat, INDEX(Players!$A632:$P632, MATCH(G$2, Players!$A$1:$P$1, 0)), perc_75, VLOOKUP(G$2, Percentiles!$A$45:$I$59, 6, FALSE), perc_90, VLOOKUP(G$2, Percentiles!$A$45:$I$59, 7, FALSE), perc_95, VLOOKUP(G$2, Percentiles!$A$45:$I$59, 8, FALSE), perc_85, perc_75 + (perc_90 - perc_75) * (2/3), converted_stat, '2K_Ratings'!G633, IF(bbgm_stat &gt;= perc_95, converted_stat * 3, IF(bbgm_stat &gt;= perc_90, converted_stat * 2, IF(bbgm_stat &gt;= perc_85, converted_stat * 1.5, converted_stat)))))</f>
        <v/>
      </c>
      <c r="H633" s="30" t="str">
        <f t="array" ref="H633">IF($A633="", "", LET(bbgm_stat, INDEX(Players!$A632:$P632, MATCH(H$2, Players!$A$1:$P$1, 0)), perc_75, VLOOKUP(H$2, Percentiles!$A$45:$I$59, 6, FALSE), perc_90, VLOOKUP(H$2, Percentiles!$A$45:$I$59, 7, FALSE), perc_95, VLOOKUP(H$2, Percentiles!$A$45:$I$59, 8, FALSE), perc_85, perc_75 + (perc_90 - perc_75) * (2/3), converted_stat, '2K_Ratings'!H633, IF(bbgm_stat &gt;= perc_95, converted_stat * 3, IF(bbgm_stat &gt;= perc_90, converted_stat * 2, IF(bbgm_stat &gt;= perc_85, converted_stat * 1.5, converted_stat)))))</f>
        <v/>
      </c>
      <c r="I633" s="30" t="str">
        <f t="array" ref="I633">IF($A633="", "", LET(bbgm_stat, INDEX(Players!$A632:$P632, MATCH(I$2, Players!$A$1:$P$1, 0)), perc_75, VLOOKUP(I$2, Percentiles!$A$45:$I$59, 6, FALSE), perc_90, VLOOKUP(I$2, Percentiles!$A$45:$I$59, 7, FALSE), perc_95, VLOOKUP(I$2, Percentiles!$A$45:$I$59, 8, FALSE), perc_85, perc_75 + (perc_90 - perc_75) * (2/3), converted_stat, '2K_Ratings'!I633, IF(bbgm_stat &gt;= perc_95, converted_stat * 3, IF(bbgm_stat &gt;= perc_90, converted_stat * 2, IF(bbgm_stat &gt;= perc_85, converted_stat * 1.5, converted_stat)))))</f>
        <v/>
      </c>
      <c r="J633" s="30" t="str">
        <f t="array" ref="J633">IF($A633="", "", LET(bbgm_stat, INDEX(Players!$A632:$P632, MATCH(J$2, Players!$A$1:$P$1, 0)), perc_75, VLOOKUP(J$2, Percentiles!$A$45:$I$59, 6, FALSE), perc_90, VLOOKUP(J$2, Percentiles!$A$45:$I$59, 7, FALSE), perc_95, VLOOKUP(J$2, Percentiles!$A$45:$I$59, 8, FALSE), perc_85, perc_75 + (perc_90 - perc_75) * (2/3), converted_stat, '2K_Ratings'!J633, IF(bbgm_stat &gt;= perc_95, converted_stat * 3, IF(bbgm_stat &gt;= perc_90, converted_stat * 2, IF(bbgm_stat &gt;= perc_85, converted_stat * 1.5, converted_stat)))))</f>
        <v/>
      </c>
      <c r="K633" s="30" t="str">
        <f t="array" ref="K633">IF($A633="", "", LET(bbgm_stat, INDEX(Players!$A632:$P632, MATCH(K$2, Players!$A$1:$P$1, 0)), perc_75, VLOOKUP(K$2, Percentiles!$A$45:$I$59, 6, FALSE), perc_90, VLOOKUP(K$2, Percentiles!$A$45:$I$59, 7, FALSE), perc_95, VLOOKUP(K$2, Percentiles!$A$45:$I$59, 8, FALSE), perc_85, perc_75 + (perc_90 - perc_75) * (2/3), converted_stat, '2K_Ratings'!K633, IF(bbgm_stat &gt;= perc_95, converted_stat * 3, IF(bbgm_stat &gt;= perc_90, converted_stat * 2, IF(bbgm_stat &gt;= perc_85, converted_stat * 1.5, converted_stat)))))</f>
        <v/>
      </c>
      <c r="L633" s="30" t="str">
        <f t="array" ref="L633">IF($A633="", "", LET(bbgm_stat, INDEX(Players!$A632:$P632, MATCH(L$2, Players!$A$1:$P$1, 0)), perc_75, VLOOKUP(L$2, Percentiles!$A$45:$I$59, 6, FALSE), perc_90, VLOOKUP(L$2, Percentiles!$A$45:$I$59, 7, FALSE), perc_95, VLOOKUP(L$2, Percentiles!$A$45:$I$59, 8, FALSE), perc_85, perc_75 + (perc_90 - perc_75) * (2/3), converted_stat, '2K_Ratings'!L633, IF(bbgm_stat &gt;= perc_95, converted_stat * 3, IF(bbgm_stat &gt;= perc_90, converted_stat * 2, IF(bbgm_stat &gt;= perc_85, converted_stat * 1.5, converted_stat)))))</f>
        <v/>
      </c>
      <c r="M633" s="30" t="str">
        <f t="array" ref="M633">IF($A633="", "", LET(bbgm_stat, INDEX(Players!$A632:$P632, MATCH(M$2, Players!$A$1:$P$1, 0)), perc_75, VLOOKUP(M$2, Percentiles!$A$45:$I$59, 6, FALSE), perc_90, VLOOKUP(M$2, Percentiles!$A$45:$I$59, 7, FALSE), perc_95, VLOOKUP(M$2, Percentiles!$A$45:$I$59, 8, FALSE), perc_85, perc_75 + (perc_90 - perc_75) * (2/3), converted_stat, '2K_Ratings'!M633, IF(bbgm_stat &gt;= perc_95, converted_stat * 3, IF(bbgm_stat &gt;= perc_90, converted_stat * 2, IF(bbgm_stat &gt;= perc_85, converted_stat * 1.5, converted_stat)))))</f>
        <v/>
      </c>
      <c r="N633" s="30" t="str">
        <f t="array" ref="N633">IF($A633="", "", LET(bbgm_stat, INDEX(Players!$A632:$P632, MATCH(N$2, Players!$A$1:$P$1, 0)), perc_75, VLOOKUP(N$2, Percentiles!$A$45:$I$59, 6, FALSE), perc_90, VLOOKUP(N$2, Percentiles!$A$45:$I$59, 7, FALSE), perc_95, VLOOKUP(N$2, Percentiles!$A$45:$I$59, 8, FALSE), perc_85, perc_75 + (perc_90 - perc_75) * (2/3), converted_stat, '2K_Ratings'!N633, IF(bbgm_stat &gt;= perc_95, converted_stat * 3, IF(bbgm_stat &gt;= perc_90, converted_stat * 2, IF(bbgm_stat &gt;= perc_85, converted_stat * 1.5, converted_stat)))))</f>
        <v/>
      </c>
      <c r="O633" s="30" t="str">
        <f t="array" ref="O633">IF($A633="", "", LET(bbgm_stat, INDEX(Players!$A632:$P632, MATCH(O$2, Players!$A$1:$P$1, 0)), perc_75, VLOOKUP(O$2, Percentiles!$A$45:$I$59, 6, FALSE), perc_90, VLOOKUP(O$2, Percentiles!$A$45:$I$59, 7, FALSE), perc_95, VLOOKUP(O$2, Percentiles!$A$45:$I$59, 8, FALSE), perc_85, perc_75 + (perc_90 - perc_75) * (2/3), converted_stat, '2K_Ratings'!O633, IF(bbgm_stat &gt;= perc_95, converted_stat * 3, IF(bbgm_stat &gt;= perc_90, converted_stat * 2, IF(bbgm_stat &gt;= perc_85, converted_stat * 1.5, converted_stat)))))</f>
        <v/>
      </c>
      <c r="P633" s="30" t="str">
        <f t="array" ref="P633">IF($A633="", "", LET(bbgm_stat, INDEX(Players!$A632:$P632, MATCH(P$2, Players!$A$1:$P$1, 0)), perc_75, VLOOKUP(P$2, Percentiles!$A$45:$I$59, 6, FALSE), perc_90, VLOOKUP(P$2, Percentiles!$A$45:$I$59, 7, FALSE), perc_95, VLOOKUP(P$2, Percentiles!$A$45:$I$59, 8, FALSE), perc_85, perc_75 + (perc_90 - perc_75) * (2/3), converted_stat, '2K_Ratings'!P633, IF(bbgm_stat &gt;= perc_95, converted_stat * 3, IF(bbgm_stat &gt;= perc_90, converted_stat * 2, IF(bbgm_stat &gt;= perc_85, converted_stat * 1.5, converted_stat)))))</f>
        <v/>
      </c>
      <c r="Q633" s="30" t="str">
        <f t="array" ref="Q633">IF($A633="", "", LET(bbgm_stat, INDEX(Players!$A632:$P632, MATCH(Q$2, Players!$A$1:$P$1, 0)), perc_75, VLOOKUP(Q$2, Percentiles!$A$45:$I$59, 6, FALSE), perc_90, VLOOKUP(Q$2, Percentiles!$A$45:$I$59, 7, FALSE), perc_95, VLOOKUP(Q$2, Percentiles!$A$45:$I$59, 8, FALSE), perc_85, perc_75 + (perc_90 - perc_75) * (2/3), converted_stat, '2K_Ratings'!Q633, IF(bbgm_stat &gt;= perc_95, converted_stat * 3, IF(bbgm_stat &gt;= perc_90, converted_stat * 2, IF(bbgm_stat &gt;= perc_85, converted_stat * 1.5, converted_stat)))))</f>
        <v/>
      </c>
      <c r="R633" s="30" t="str">
        <f t="array" ref="R633">IF($A633="", "", LET(bbgm_stat, INDEX(Players!$A632:$P632, MATCH(R$2, Players!$A$1:$P$1, 0)), perc_75, VLOOKUP(R$2, Percentiles!$A$45:$I$59, 6, FALSE), perc_90, VLOOKUP(R$2, Percentiles!$A$45:$I$59, 7, FALSE), perc_95, VLOOKUP(R$2, Percentiles!$A$45:$I$59, 8, FALSE), perc_85, perc_75 + (perc_90 - perc_75) * (2/3), converted_stat, '2K_Ratings'!R633, IF(bbgm_stat &gt;= perc_95, converted_stat * 3, IF(bbgm_stat &gt;= perc_90, converted_stat * 2, IF(bbgm_stat &gt;= perc_85, converted_stat * 1.5, converted_stat)))))</f>
        <v/>
      </c>
      <c r="S633" s="30" t="str">
        <f t="array" ref="S633">IF($A633="", "", LET(bbgm_stat, INDEX(Players!$A632:$P632, MATCH(S$2, Players!$A$1:$P$1, 0)), perc_75, VLOOKUP(S$2, Percentiles!$A$45:$I$59, 6, FALSE), perc_90, VLOOKUP(S$2, Percentiles!$A$45:$I$59, 7, FALSE), perc_95, VLOOKUP(S$2, Percentiles!$A$45:$I$59, 8, FALSE), perc_85, perc_75 + (perc_90 - perc_75) * (2/3), converted_stat, '2K_Ratings'!S633, IF(bbgm_stat &gt;= perc_95, converted_stat * 3, IF(bbgm_stat &gt;= perc_90, converted_stat * 2, IF(bbgm_stat &gt;= perc_85, converted_stat * 1.5, converted_stat)))))</f>
        <v/>
      </c>
      <c r="T633" s="30" t="str">
        <f t="array" ref="T633">IF($A633="", "", LET(bbgm_stat, INDEX(Players!$A632:$P632, MATCH(T$2, Players!$A$1:$P$1, 0)), perc_75, VLOOKUP(T$2, Percentiles!$A$45:$I$59, 6, FALSE), perc_90, VLOOKUP(T$2, Percentiles!$A$45:$I$59, 7, FALSE), perc_95, VLOOKUP(T$2, Percentiles!$A$45:$I$59, 8, FALSE), perc_85, perc_75 + (perc_90 - perc_75) * (2/3), converted_stat, '2K_Ratings'!T633, IF(bbgm_stat &gt;= perc_95, converted_stat * 3, IF(bbgm_stat &gt;= perc_90, converted_stat * 2, IF(bbgm_stat &gt;= perc_85, converted_stat * 1.5, converted_stat)))))</f>
        <v/>
      </c>
      <c r="U633" s="30" t="str">
        <f t="array" ref="U633">IF($A633="", "", LET(bbgm_stat, INDEX(Players!$A632:$P632, MATCH(U$2, Players!$A$1:$P$1, 0)), perc_75, VLOOKUP(U$2, Percentiles!$A$45:$I$59, 6, FALSE), perc_90, VLOOKUP(U$2, Percentiles!$A$45:$I$59, 7, FALSE), perc_95, VLOOKUP(U$2, Percentiles!$A$45:$I$59, 8, FALSE), perc_85, perc_75 + (perc_90 - perc_75) * (2/3), converted_stat, '2K_Ratings'!U633, IF(bbgm_stat &gt;= perc_95, converted_stat * 3, IF(bbgm_stat &gt;= perc_90, converted_stat * 2, IF(bbgm_stat &gt;= perc_85, converted_stat * 1.5, converted_stat)))))</f>
        <v/>
      </c>
      <c r="V633" s="30" t="str">
        <f t="array" ref="V633">IF($A633="", "", LET(bbgm_stat, INDEX(Players!$A632:$P632, MATCH(V$2, Players!$A$1:$P$1, 0)), perc_75, VLOOKUP(V$2, Percentiles!$A$45:$I$59, 6, FALSE), perc_90, VLOOKUP(V$2, Percentiles!$A$45:$I$59, 7, FALSE), perc_95, VLOOKUP(V$2, Percentiles!$A$45:$I$59, 8, FALSE), perc_85, perc_75 + (perc_90 - perc_75) * (2/3), converted_stat, '2K_Ratings'!V633, IF(bbgm_stat &gt;= perc_95, converted_stat * 3, IF(bbgm_stat &gt;= perc_90, converted_stat * 2, IF(bbgm_stat &gt;= perc_85, converted_stat * 1.5, converted_stat)))))</f>
        <v/>
      </c>
      <c r="W633" s="30" t="str">
        <f t="array" ref="W633">IF($A633="", "", LET(bbgm_stat, INDEX(Players!$A632:$P632, MATCH(W$2, Players!$A$1:$P$1, 0)), perc_75, VLOOKUP(W$2, Percentiles!$A$45:$I$59, 6, FALSE), perc_90, VLOOKUP(W$2, Percentiles!$A$45:$I$59, 7, FALSE), perc_95, VLOOKUP(W$2, Percentiles!$A$45:$I$59, 8, FALSE), perc_85, perc_75 + (perc_90 - perc_75) * (2/3), converted_stat, '2K_Ratings'!W633, IF(bbgm_stat &gt;= perc_95, converted_stat * 3, IF(bbgm_stat &gt;= perc_90, converted_stat * 2, IF(bbgm_stat &gt;= perc_85, converted_stat * 1.5, converted_stat)))))</f>
        <v/>
      </c>
    </row>
    <row r="634">
      <c r="A634" s="30"/>
      <c r="B634" s="30" t="str">
        <f t="array" ref="B634">IF($A634="", "", LET(bbgm_stat, INDEX(Players!$A633:$P633, MATCH(B$2, Players!$A$1:$P$1, 0)), perc_75, VLOOKUP(B$2, Percentiles!$A$45:$I$59, 6, FALSE), perc_90, VLOOKUP(B$2, Percentiles!$A$45:$I$59, 7, FALSE), perc_95, VLOOKUP(B$2, Percentiles!$A$45:$I$59, 8, FALSE), perc_85, perc_75 + (perc_90 - perc_75) * (2/3), converted_stat, '2K_Ratings'!B634, IF(bbgm_stat &gt;= perc_95, converted_stat * 3, IF(bbgm_stat &gt;= perc_90, converted_stat * 2, IF(bbgm_stat &gt;= perc_85, converted_stat * 1.5, converted_stat)))))</f>
        <v/>
      </c>
      <c r="C634" s="30" t="str">
        <f t="array" ref="C634">IF($A634="", "", LET(bbgm_stat, INDEX(Players!$A633:$P633, MATCH(C$2, Players!$A$1:$P$1, 0)), perc_75, VLOOKUP(C$2, Percentiles!$A$45:$I$59, 6, FALSE), perc_90, VLOOKUP(C$2, Percentiles!$A$45:$I$59, 7, FALSE), perc_95, VLOOKUP(C$2, Percentiles!$A$45:$I$59, 8, FALSE), perc_85, perc_75 + (perc_90 - perc_75) * (2/3), converted_stat, '2K_Ratings'!C634, IF(bbgm_stat &gt;= perc_95, converted_stat * 3, IF(bbgm_stat &gt;= perc_90, converted_stat * 2, IF(bbgm_stat &gt;= perc_85, converted_stat * 1.5, converted_stat)))))</f>
        <v/>
      </c>
      <c r="D634" s="30" t="str">
        <f t="array" ref="D634">IF($A634="", "", LET(bbgm_stat, INDEX(Players!$A633:$P633, MATCH(D$2, Players!$A$1:$P$1, 0)), perc_75, VLOOKUP(D$2, Percentiles!$A$45:$I$59, 6, FALSE), perc_90, VLOOKUP(D$2, Percentiles!$A$45:$I$59, 7, FALSE), perc_95, VLOOKUP(D$2, Percentiles!$A$45:$I$59, 8, FALSE), perc_85, perc_75 + (perc_90 - perc_75) * (2/3), converted_stat, '2K_Ratings'!D634, IF(bbgm_stat &gt;= perc_95, converted_stat * 3, IF(bbgm_stat &gt;= perc_90, converted_stat * 2, IF(bbgm_stat &gt;= perc_85, converted_stat * 1.5, converted_stat)))))</f>
        <v/>
      </c>
      <c r="E634" s="30" t="str">
        <f t="array" ref="E634">IF($A634="", "", LET(bbgm_stat, INDEX(Players!$A633:$P633, MATCH(E$2, Players!$A$1:$P$1, 0)), perc_75, VLOOKUP(E$2, Percentiles!$A$45:$I$59, 6, FALSE), perc_90, VLOOKUP(E$2, Percentiles!$A$45:$I$59, 7, FALSE), perc_95, VLOOKUP(E$2, Percentiles!$A$45:$I$59, 8, FALSE), perc_85, perc_75 + (perc_90 - perc_75) * (2/3), converted_stat, '2K_Ratings'!E634, IF(bbgm_stat &gt;= perc_95, converted_stat * 3, IF(bbgm_stat &gt;= perc_90, converted_stat * 2, IF(bbgm_stat &gt;= perc_85, converted_stat * 1.5, converted_stat)))))</f>
        <v/>
      </c>
      <c r="F634" s="30" t="str">
        <f t="array" ref="F634">IF($A634="", "", LET(bbgm_stat, INDEX(Players!$A633:$P633, MATCH(F$2, Players!$A$1:$P$1, 0)), perc_75, VLOOKUP(F$2, Percentiles!$A$45:$I$59, 6, FALSE), perc_90, VLOOKUP(F$2, Percentiles!$A$45:$I$59, 7, FALSE), perc_95, VLOOKUP(F$2, Percentiles!$A$45:$I$59, 8, FALSE), perc_85, perc_75 + (perc_90 - perc_75) * (2/3), converted_stat, '2K_Ratings'!F634, IF(bbgm_stat &gt;= perc_95, converted_stat * 3, IF(bbgm_stat &gt;= perc_90, converted_stat * 2, IF(bbgm_stat &gt;= perc_85, converted_stat * 1.5, converted_stat)))))</f>
        <v/>
      </c>
      <c r="G634" s="30" t="str">
        <f t="array" ref="G634">IF($A634="", "", LET(bbgm_stat, INDEX(Players!$A633:$P633, MATCH(G$2, Players!$A$1:$P$1, 0)), perc_75, VLOOKUP(G$2, Percentiles!$A$45:$I$59, 6, FALSE), perc_90, VLOOKUP(G$2, Percentiles!$A$45:$I$59, 7, FALSE), perc_95, VLOOKUP(G$2, Percentiles!$A$45:$I$59, 8, FALSE), perc_85, perc_75 + (perc_90 - perc_75) * (2/3), converted_stat, '2K_Ratings'!G634, IF(bbgm_stat &gt;= perc_95, converted_stat * 3, IF(bbgm_stat &gt;= perc_90, converted_stat * 2, IF(bbgm_stat &gt;= perc_85, converted_stat * 1.5, converted_stat)))))</f>
        <v/>
      </c>
      <c r="H634" s="30" t="str">
        <f t="array" ref="H634">IF($A634="", "", LET(bbgm_stat, INDEX(Players!$A633:$P633, MATCH(H$2, Players!$A$1:$P$1, 0)), perc_75, VLOOKUP(H$2, Percentiles!$A$45:$I$59, 6, FALSE), perc_90, VLOOKUP(H$2, Percentiles!$A$45:$I$59, 7, FALSE), perc_95, VLOOKUP(H$2, Percentiles!$A$45:$I$59, 8, FALSE), perc_85, perc_75 + (perc_90 - perc_75) * (2/3), converted_stat, '2K_Ratings'!H634, IF(bbgm_stat &gt;= perc_95, converted_stat * 3, IF(bbgm_stat &gt;= perc_90, converted_stat * 2, IF(bbgm_stat &gt;= perc_85, converted_stat * 1.5, converted_stat)))))</f>
        <v/>
      </c>
      <c r="I634" s="30" t="str">
        <f t="array" ref="I634">IF($A634="", "", LET(bbgm_stat, INDEX(Players!$A633:$P633, MATCH(I$2, Players!$A$1:$P$1, 0)), perc_75, VLOOKUP(I$2, Percentiles!$A$45:$I$59, 6, FALSE), perc_90, VLOOKUP(I$2, Percentiles!$A$45:$I$59, 7, FALSE), perc_95, VLOOKUP(I$2, Percentiles!$A$45:$I$59, 8, FALSE), perc_85, perc_75 + (perc_90 - perc_75) * (2/3), converted_stat, '2K_Ratings'!I634, IF(bbgm_stat &gt;= perc_95, converted_stat * 3, IF(bbgm_stat &gt;= perc_90, converted_stat * 2, IF(bbgm_stat &gt;= perc_85, converted_stat * 1.5, converted_stat)))))</f>
        <v/>
      </c>
      <c r="J634" s="30" t="str">
        <f t="array" ref="J634">IF($A634="", "", LET(bbgm_stat, INDEX(Players!$A633:$P633, MATCH(J$2, Players!$A$1:$P$1, 0)), perc_75, VLOOKUP(J$2, Percentiles!$A$45:$I$59, 6, FALSE), perc_90, VLOOKUP(J$2, Percentiles!$A$45:$I$59, 7, FALSE), perc_95, VLOOKUP(J$2, Percentiles!$A$45:$I$59, 8, FALSE), perc_85, perc_75 + (perc_90 - perc_75) * (2/3), converted_stat, '2K_Ratings'!J634, IF(bbgm_stat &gt;= perc_95, converted_stat * 3, IF(bbgm_stat &gt;= perc_90, converted_stat * 2, IF(bbgm_stat &gt;= perc_85, converted_stat * 1.5, converted_stat)))))</f>
        <v/>
      </c>
      <c r="K634" s="30" t="str">
        <f t="array" ref="K634">IF($A634="", "", LET(bbgm_stat, INDEX(Players!$A633:$P633, MATCH(K$2, Players!$A$1:$P$1, 0)), perc_75, VLOOKUP(K$2, Percentiles!$A$45:$I$59, 6, FALSE), perc_90, VLOOKUP(K$2, Percentiles!$A$45:$I$59, 7, FALSE), perc_95, VLOOKUP(K$2, Percentiles!$A$45:$I$59, 8, FALSE), perc_85, perc_75 + (perc_90 - perc_75) * (2/3), converted_stat, '2K_Ratings'!K634, IF(bbgm_stat &gt;= perc_95, converted_stat * 3, IF(bbgm_stat &gt;= perc_90, converted_stat * 2, IF(bbgm_stat &gt;= perc_85, converted_stat * 1.5, converted_stat)))))</f>
        <v/>
      </c>
      <c r="L634" s="30" t="str">
        <f t="array" ref="L634">IF($A634="", "", LET(bbgm_stat, INDEX(Players!$A633:$P633, MATCH(L$2, Players!$A$1:$P$1, 0)), perc_75, VLOOKUP(L$2, Percentiles!$A$45:$I$59, 6, FALSE), perc_90, VLOOKUP(L$2, Percentiles!$A$45:$I$59, 7, FALSE), perc_95, VLOOKUP(L$2, Percentiles!$A$45:$I$59, 8, FALSE), perc_85, perc_75 + (perc_90 - perc_75) * (2/3), converted_stat, '2K_Ratings'!L634, IF(bbgm_stat &gt;= perc_95, converted_stat * 3, IF(bbgm_stat &gt;= perc_90, converted_stat * 2, IF(bbgm_stat &gt;= perc_85, converted_stat * 1.5, converted_stat)))))</f>
        <v/>
      </c>
      <c r="M634" s="30" t="str">
        <f t="array" ref="M634">IF($A634="", "", LET(bbgm_stat, INDEX(Players!$A633:$P633, MATCH(M$2, Players!$A$1:$P$1, 0)), perc_75, VLOOKUP(M$2, Percentiles!$A$45:$I$59, 6, FALSE), perc_90, VLOOKUP(M$2, Percentiles!$A$45:$I$59, 7, FALSE), perc_95, VLOOKUP(M$2, Percentiles!$A$45:$I$59, 8, FALSE), perc_85, perc_75 + (perc_90 - perc_75) * (2/3), converted_stat, '2K_Ratings'!M634, IF(bbgm_stat &gt;= perc_95, converted_stat * 3, IF(bbgm_stat &gt;= perc_90, converted_stat * 2, IF(bbgm_stat &gt;= perc_85, converted_stat * 1.5, converted_stat)))))</f>
        <v/>
      </c>
      <c r="N634" s="30" t="str">
        <f t="array" ref="N634">IF($A634="", "", LET(bbgm_stat, INDEX(Players!$A633:$P633, MATCH(N$2, Players!$A$1:$P$1, 0)), perc_75, VLOOKUP(N$2, Percentiles!$A$45:$I$59, 6, FALSE), perc_90, VLOOKUP(N$2, Percentiles!$A$45:$I$59, 7, FALSE), perc_95, VLOOKUP(N$2, Percentiles!$A$45:$I$59, 8, FALSE), perc_85, perc_75 + (perc_90 - perc_75) * (2/3), converted_stat, '2K_Ratings'!N634, IF(bbgm_stat &gt;= perc_95, converted_stat * 3, IF(bbgm_stat &gt;= perc_90, converted_stat * 2, IF(bbgm_stat &gt;= perc_85, converted_stat * 1.5, converted_stat)))))</f>
        <v/>
      </c>
      <c r="O634" s="30" t="str">
        <f t="array" ref="O634">IF($A634="", "", LET(bbgm_stat, INDEX(Players!$A633:$P633, MATCH(O$2, Players!$A$1:$P$1, 0)), perc_75, VLOOKUP(O$2, Percentiles!$A$45:$I$59, 6, FALSE), perc_90, VLOOKUP(O$2, Percentiles!$A$45:$I$59, 7, FALSE), perc_95, VLOOKUP(O$2, Percentiles!$A$45:$I$59, 8, FALSE), perc_85, perc_75 + (perc_90 - perc_75) * (2/3), converted_stat, '2K_Ratings'!O634, IF(bbgm_stat &gt;= perc_95, converted_stat * 3, IF(bbgm_stat &gt;= perc_90, converted_stat * 2, IF(bbgm_stat &gt;= perc_85, converted_stat * 1.5, converted_stat)))))</f>
        <v/>
      </c>
      <c r="P634" s="30" t="str">
        <f t="array" ref="P634">IF($A634="", "", LET(bbgm_stat, INDEX(Players!$A633:$P633, MATCH(P$2, Players!$A$1:$P$1, 0)), perc_75, VLOOKUP(P$2, Percentiles!$A$45:$I$59, 6, FALSE), perc_90, VLOOKUP(P$2, Percentiles!$A$45:$I$59, 7, FALSE), perc_95, VLOOKUP(P$2, Percentiles!$A$45:$I$59, 8, FALSE), perc_85, perc_75 + (perc_90 - perc_75) * (2/3), converted_stat, '2K_Ratings'!P634, IF(bbgm_stat &gt;= perc_95, converted_stat * 3, IF(bbgm_stat &gt;= perc_90, converted_stat * 2, IF(bbgm_stat &gt;= perc_85, converted_stat * 1.5, converted_stat)))))</f>
        <v/>
      </c>
      <c r="Q634" s="30" t="str">
        <f t="array" ref="Q634">IF($A634="", "", LET(bbgm_stat, INDEX(Players!$A633:$P633, MATCH(Q$2, Players!$A$1:$P$1, 0)), perc_75, VLOOKUP(Q$2, Percentiles!$A$45:$I$59, 6, FALSE), perc_90, VLOOKUP(Q$2, Percentiles!$A$45:$I$59, 7, FALSE), perc_95, VLOOKUP(Q$2, Percentiles!$A$45:$I$59, 8, FALSE), perc_85, perc_75 + (perc_90 - perc_75) * (2/3), converted_stat, '2K_Ratings'!Q634, IF(bbgm_stat &gt;= perc_95, converted_stat * 3, IF(bbgm_stat &gt;= perc_90, converted_stat * 2, IF(bbgm_stat &gt;= perc_85, converted_stat * 1.5, converted_stat)))))</f>
        <v/>
      </c>
      <c r="R634" s="30" t="str">
        <f t="array" ref="R634">IF($A634="", "", LET(bbgm_stat, INDEX(Players!$A633:$P633, MATCH(R$2, Players!$A$1:$P$1, 0)), perc_75, VLOOKUP(R$2, Percentiles!$A$45:$I$59, 6, FALSE), perc_90, VLOOKUP(R$2, Percentiles!$A$45:$I$59, 7, FALSE), perc_95, VLOOKUP(R$2, Percentiles!$A$45:$I$59, 8, FALSE), perc_85, perc_75 + (perc_90 - perc_75) * (2/3), converted_stat, '2K_Ratings'!R634, IF(bbgm_stat &gt;= perc_95, converted_stat * 3, IF(bbgm_stat &gt;= perc_90, converted_stat * 2, IF(bbgm_stat &gt;= perc_85, converted_stat * 1.5, converted_stat)))))</f>
        <v/>
      </c>
      <c r="S634" s="30" t="str">
        <f t="array" ref="S634">IF($A634="", "", LET(bbgm_stat, INDEX(Players!$A633:$P633, MATCH(S$2, Players!$A$1:$P$1, 0)), perc_75, VLOOKUP(S$2, Percentiles!$A$45:$I$59, 6, FALSE), perc_90, VLOOKUP(S$2, Percentiles!$A$45:$I$59, 7, FALSE), perc_95, VLOOKUP(S$2, Percentiles!$A$45:$I$59, 8, FALSE), perc_85, perc_75 + (perc_90 - perc_75) * (2/3), converted_stat, '2K_Ratings'!S634, IF(bbgm_stat &gt;= perc_95, converted_stat * 3, IF(bbgm_stat &gt;= perc_90, converted_stat * 2, IF(bbgm_stat &gt;= perc_85, converted_stat * 1.5, converted_stat)))))</f>
        <v/>
      </c>
      <c r="T634" s="30" t="str">
        <f t="array" ref="T634">IF($A634="", "", LET(bbgm_stat, INDEX(Players!$A633:$P633, MATCH(T$2, Players!$A$1:$P$1, 0)), perc_75, VLOOKUP(T$2, Percentiles!$A$45:$I$59, 6, FALSE), perc_90, VLOOKUP(T$2, Percentiles!$A$45:$I$59, 7, FALSE), perc_95, VLOOKUP(T$2, Percentiles!$A$45:$I$59, 8, FALSE), perc_85, perc_75 + (perc_90 - perc_75) * (2/3), converted_stat, '2K_Ratings'!T634, IF(bbgm_stat &gt;= perc_95, converted_stat * 3, IF(bbgm_stat &gt;= perc_90, converted_stat * 2, IF(bbgm_stat &gt;= perc_85, converted_stat * 1.5, converted_stat)))))</f>
        <v/>
      </c>
      <c r="U634" s="30" t="str">
        <f t="array" ref="U634">IF($A634="", "", LET(bbgm_stat, INDEX(Players!$A633:$P633, MATCH(U$2, Players!$A$1:$P$1, 0)), perc_75, VLOOKUP(U$2, Percentiles!$A$45:$I$59, 6, FALSE), perc_90, VLOOKUP(U$2, Percentiles!$A$45:$I$59, 7, FALSE), perc_95, VLOOKUP(U$2, Percentiles!$A$45:$I$59, 8, FALSE), perc_85, perc_75 + (perc_90 - perc_75) * (2/3), converted_stat, '2K_Ratings'!U634, IF(bbgm_stat &gt;= perc_95, converted_stat * 3, IF(bbgm_stat &gt;= perc_90, converted_stat * 2, IF(bbgm_stat &gt;= perc_85, converted_stat * 1.5, converted_stat)))))</f>
        <v/>
      </c>
      <c r="V634" s="30" t="str">
        <f t="array" ref="V634">IF($A634="", "", LET(bbgm_stat, INDEX(Players!$A633:$P633, MATCH(V$2, Players!$A$1:$P$1, 0)), perc_75, VLOOKUP(V$2, Percentiles!$A$45:$I$59, 6, FALSE), perc_90, VLOOKUP(V$2, Percentiles!$A$45:$I$59, 7, FALSE), perc_95, VLOOKUP(V$2, Percentiles!$A$45:$I$59, 8, FALSE), perc_85, perc_75 + (perc_90 - perc_75) * (2/3), converted_stat, '2K_Ratings'!V634, IF(bbgm_stat &gt;= perc_95, converted_stat * 3, IF(bbgm_stat &gt;= perc_90, converted_stat * 2, IF(bbgm_stat &gt;= perc_85, converted_stat * 1.5, converted_stat)))))</f>
        <v/>
      </c>
      <c r="W634" s="30" t="str">
        <f t="array" ref="W634">IF($A634="", "", LET(bbgm_stat, INDEX(Players!$A633:$P633, MATCH(W$2, Players!$A$1:$P$1, 0)), perc_75, VLOOKUP(W$2, Percentiles!$A$45:$I$59, 6, FALSE), perc_90, VLOOKUP(W$2, Percentiles!$A$45:$I$59, 7, FALSE), perc_95, VLOOKUP(W$2, Percentiles!$A$45:$I$59, 8, FALSE), perc_85, perc_75 + (perc_90 - perc_75) * (2/3), converted_stat, '2K_Ratings'!W634, IF(bbgm_stat &gt;= perc_95, converted_stat * 3, IF(bbgm_stat &gt;= perc_90, converted_stat * 2, IF(bbgm_stat &gt;= perc_85, converted_stat * 1.5, converted_stat)))))</f>
        <v/>
      </c>
    </row>
    <row r="635">
      <c r="A635" s="30"/>
      <c r="B635" s="30" t="str">
        <f t="array" ref="B635">IF($A635="", "", LET(bbgm_stat, INDEX(Players!$A634:$P634, MATCH(B$2, Players!$A$1:$P$1, 0)), perc_75, VLOOKUP(B$2, Percentiles!$A$45:$I$59, 6, FALSE), perc_90, VLOOKUP(B$2, Percentiles!$A$45:$I$59, 7, FALSE), perc_95, VLOOKUP(B$2, Percentiles!$A$45:$I$59, 8, FALSE), perc_85, perc_75 + (perc_90 - perc_75) * (2/3), converted_stat, '2K_Ratings'!B635, IF(bbgm_stat &gt;= perc_95, converted_stat * 3, IF(bbgm_stat &gt;= perc_90, converted_stat * 2, IF(bbgm_stat &gt;= perc_85, converted_stat * 1.5, converted_stat)))))</f>
        <v/>
      </c>
      <c r="C635" s="30" t="str">
        <f t="array" ref="C635">IF($A635="", "", LET(bbgm_stat, INDEX(Players!$A634:$P634, MATCH(C$2, Players!$A$1:$P$1, 0)), perc_75, VLOOKUP(C$2, Percentiles!$A$45:$I$59, 6, FALSE), perc_90, VLOOKUP(C$2, Percentiles!$A$45:$I$59, 7, FALSE), perc_95, VLOOKUP(C$2, Percentiles!$A$45:$I$59, 8, FALSE), perc_85, perc_75 + (perc_90 - perc_75) * (2/3), converted_stat, '2K_Ratings'!C635, IF(bbgm_stat &gt;= perc_95, converted_stat * 3, IF(bbgm_stat &gt;= perc_90, converted_stat * 2, IF(bbgm_stat &gt;= perc_85, converted_stat * 1.5, converted_stat)))))</f>
        <v/>
      </c>
      <c r="D635" s="30" t="str">
        <f t="array" ref="D635">IF($A635="", "", LET(bbgm_stat, INDEX(Players!$A634:$P634, MATCH(D$2, Players!$A$1:$P$1, 0)), perc_75, VLOOKUP(D$2, Percentiles!$A$45:$I$59, 6, FALSE), perc_90, VLOOKUP(D$2, Percentiles!$A$45:$I$59, 7, FALSE), perc_95, VLOOKUP(D$2, Percentiles!$A$45:$I$59, 8, FALSE), perc_85, perc_75 + (perc_90 - perc_75) * (2/3), converted_stat, '2K_Ratings'!D635, IF(bbgm_stat &gt;= perc_95, converted_stat * 3, IF(bbgm_stat &gt;= perc_90, converted_stat * 2, IF(bbgm_stat &gt;= perc_85, converted_stat * 1.5, converted_stat)))))</f>
        <v/>
      </c>
      <c r="E635" s="30" t="str">
        <f t="array" ref="E635">IF($A635="", "", LET(bbgm_stat, INDEX(Players!$A634:$P634, MATCH(E$2, Players!$A$1:$P$1, 0)), perc_75, VLOOKUP(E$2, Percentiles!$A$45:$I$59, 6, FALSE), perc_90, VLOOKUP(E$2, Percentiles!$A$45:$I$59, 7, FALSE), perc_95, VLOOKUP(E$2, Percentiles!$A$45:$I$59, 8, FALSE), perc_85, perc_75 + (perc_90 - perc_75) * (2/3), converted_stat, '2K_Ratings'!E635, IF(bbgm_stat &gt;= perc_95, converted_stat * 3, IF(bbgm_stat &gt;= perc_90, converted_stat * 2, IF(bbgm_stat &gt;= perc_85, converted_stat * 1.5, converted_stat)))))</f>
        <v/>
      </c>
      <c r="F635" s="30" t="str">
        <f t="array" ref="F635">IF($A635="", "", LET(bbgm_stat, INDEX(Players!$A634:$P634, MATCH(F$2, Players!$A$1:$P$1, 0)), perc_75, VLOOKUP(F$2, Percentiles!$A$45:$I$59, 6, FALSE), perc_90, VLOOKUP(F$2, Percentiles!$A$45:$I$59, 7, FALSE), perc_95, VLOOKUP(F$2, Percentiles!$A$45:$I$59, 8, FALSE), perc_85, perc_75 + (perc_90 - perc_75) * (2/3), converted_stat, '2K_Ratings'!F635, IF(bbgm_stat &gt;= perc_95, converted_stat * 3, IF(bbgm_stat &gt;= perc_90, converted_stat * 2, IF(bbgm_stat &gt;= perc_85, converted_stat * 1.5, converted_stat)))))</f>
        <v/>
      </c>
      <c r="G635" s="30" t="str">
        <f t="array" ref="G635">IF($A635="", "", LET(bbgm_stat, INDEX(Players!$A634:$P634, MATCH(G$2, Players!$A$1:$P$1, 0)), perc_75, VLOOKUP(G$2, Percentiles!$A$45:$I$59, 6, FALSE), perc_90, VLOOKUP(G$2, Percentiles!$A$45:$I$59, 7, FALSE), perc_95, VLOOKUP(G$2, Percentiles!$A$45:$I$59, 8, FALSE), perc_85, perc_75 + (perc_90 - perc_75) * (2/3), converted_stat, '2K_Ratings'!G635, IF(bbgm_stat &gt;= perc_95, converted_stat * 3, IF(bbgm_stat &gt;= perc_90, converted_stat * 2, IF(bbgm_stat &gt;= perc_85, converted_stat * 1.5, converted_stat)))))</f>
        <v/>
      </c>
      <c r="H635" s="30" t="str">
        <f t="array" ref="H635">IF($A635="", "", LET(bbgm_stat, INDEX(Players!$A634:$P634, MATCH(H$2, Players!$A$1:$P$1, 0)), perc_75, VLOOKUP(H$2, Percentiles!$A$45:$I$59, 6, FALSE), perc_90, VLOOKUP(H$2, Percentiles!$A$45:$I$59, 7, FALSE), perc_95, VLOOKUP(H$2, Percentiles!$A$45:$I$59, 8, FALSE), perc_85, perc_75 + (perc_90 - perc_75) * (2/3), converted_stat, '2K_Ratings'!H635, IF(bbgm_stat &gt;= perc_95, converted_stat * 3, IF(bbgm_stat &gt;= perc_90, converted_stat * 2, IF(bbgm_stat &gt;= perc_85, converted_stat * 1.5, converted_stat)))))</f>
        <v/>
      </c>
      <c r="I635" s="30" t="str">
        <f t="array" ref="I635">IF($A635="", "", LET(bbgm_stat, INDEX(Players!$A634:$P634, MATCH(I$2, Players!$A$1:$P$1, 0)), perc_75, VLOOKUP(I$2, Percentiles!$A$45:$I$59, 6, FALSE), perc_90, VLOOKUP(I$2, Percentiles!$A$45:$I$59, 7, FALSE), perc_95, VLOOKUP(I$2, Percentiles!$A$45:$I$59, 8, FALSE), perc_85, perc_75 + (perc_90 - perc_75) * (2/3), converted_stat, '2K_Ratings'!I635, IF(bbgm_stat &gt;= perc_95, converted_stat * 3, IF(bbgm_stat &gt;= perc_90, converted_stat * 2, IF(bbgm_stat &gt;= perc_85, converted_stat * 1.5, converted_stat)))))</f>
        <v/>
      </c>
      <c r="J635" s="30" t="str">
        <f t="array" ref="J635">IF($A635="", "", LET(bbgm_stat, INDEX(Players!$A634:$P634, MATCH(J$2, Players!$A$1:$P$1, 0)), perc_75, VLOOKUP(J$2, Percentiles!$A$45:$I$59, 6, FALSE), perc_90, VLOOKUP(J$2, Percentiles!$A$45:$I$59, 7, FALSE), perc_95, VLOOKUP(J$2, Percentiles!$A$45:$I$59, 8, FALSE), perc_85, perc_75 + (perc_90 - perc_75) * (2/3), converted_stat, '2K_Ratings'!J635, IF(bbgm_stat &gt;= perc_95, converted_stat * 3, IF(bbgm_stat &gt;= perc_90, converted_stat * 2, IF(bbgm_stat &gt;= perc_85, converted_stat * 1.5, converted_stat)))))</f>
        <v/>
      </c>
      <c r="K635" s="30" t="str">
        <f t="array" ref="K635">IF($A635="", "", LET(bbgm_stat, INDEX(Players!$A634:$P634, MATCH(K$2, Players!$A$1:$P$1, 0)), perc_75, VLOOKUP(K$2, Percentiles!$A$45:$I$59, 6, FALSE), perc_90, VLOOKUP(K$2, Percentiles!$A$45:$I$59, 7, FALSE), perc_95, VLOOKUP(K$2, Percentiles!$A$45:$I$59, 8, FALSE), perc_85, perc_75 + (perc_90 - perc_75) * (2/3), converted_stat, '2K_Ratings'!K635, IF(bbgm_stat &gt;= perc_95, converted_stat * 3, IF(bbgm_stat &gt;= perc_90, converted_stat * 2, IF(bbgm_stat &gt;= perc_85, converted_stat * 1.5, converted_stat)))))</f>
        <v/>
      </c>
      <c r="L635" s="30" t="str">
        <f t="array" ref="L635">IF($A635="", "", LET(bbgm_stat, INDEX(Players!$A634:$P634, MATCH(L$2, Players!$A$1:$P$1, 0)), perc_75, VLOOKUP(L$2, Percentiles!$A$45:$I$59, 6, FALSE), perc_90, VLOOKUP(L$2, Percentiles!$A$45:$I$59, 7, FALSE), perc_95, VLOOKUP(L$2, Percentiles!$A$45:$I$59, 8, FALSE), perc_85, perc_75 + (perc_90 - perc_75) * (2/3), converted_stat, '2K_Ratings'!L635, IF(bbgm_stat &gt;= perc_95, converted_stat * 3, IF(bbgm_stat &gt;= perc_90, converted_stat * 2, IF(bbgm_stat &gt;= perc_85, converted_stat * 1.5, converted_stat)))))</f>
        <v/>
      </c>
      <c r="M635" s="30" t="str">
        <f t="array" ref="M635">IF($A635="", "", LET(bbgm_stat, INDEX(Players!$A634:$P634, MATCH(M$2, Players!$A$1:$P$1, 0)), perc_75, VLOOKUP(M$2, Percentiles!$A$45:$I$59, 6, FALSE), perc_90, VLOOKUP(M$2, Percentiles!$A$45:$I$59, 7, FALSE), perc_95, VLOOKUP(M$2, Percentiles!$A$45:$I$59, 8, FALSE), perc_85, perc_75 + (perc_90 - perc_75) * (2/3), converted_stat, '2K_Ratings'!M635, IF(bbgm_stat &gt;= perc_95, converted_stat * 3, IF(bbgm_stat &gt;= perc_90, converted_stat * 2, IF(bbgm_stat &gt;= perc_85, converted_stat * 1.5, converted_stat)))))</f>
        <v/>
      </c>
      <c r="N635" s="30" t="str">
        <f t="array" ref="N635">IF($A635="", "", LET(bbgm_stat, INDEX(Players!$A634:$P634, MATCH(N$2, Players!$A$1:$P$1, 0)), perc_75, VLOOKUP(N$2, Percentiles!$A$45:$I$59, 6, FALSE), perc_90, VLOOKUP(N$2, Percentiles!$A$45:$I$59, 7, FALSE), perc_95, VLOOKUP(N$2, Percentiles!$A$45:$I$59, 8, FALSE), perc_85, perc_75 + (perc_90 - perc_75) * (2/3), converted_stat, '2K_Ratings'!N635, IF(bbgm_stat &gt;= perc_95, converted_stat * 3, IF(bbgm_stat &gt;= perc_90, converted_stat * 2, IF(bbgm_stat &gt;= perc_85, converted_stat * 1.5, converted_stat)))))</f>
        <v/>
      </c>
      <c r="O635" s="30" t="str">
        <f t="array" ref="O635">IF($A635="", "", LET(bbgm_stat, INDEX(Players!$A634:$P634, MATCH(O$2, Players!$A$1:$P$1, 0)), perc_75, VLOOKUP(O$2, Percentiles!$A$45:$I$59, 6, FALSE), perc_90, VLOOKUP(O$2, Percentiles!$A$45:$I$59, 7, FALSE), perc_95, VLOOKUP(O$2, Percentiles!$A$45:$I$59, 8, FALSE), perc_85, perc_75 + (perc_90 - perc_75) * (2/3), converted_stat, '2K_Ratings'!O635, IF(bbgm_stat &gt;= perc_95, converted_stat * 3, IF(bbgm_stat &gt;= perc_90, converted_stat * 2, IF(bbgm_stat &gt;= perc_85, converted_stat * 1.5, converted_stat)))))</f>
        <v/>
      </c>
      <c r="P635" s="30" t="str">
        <f t="array" ref="P635">IF($A635="", "", LET(bbgm_stat, INDEX(Players!$A634:$P634, MATCH(P$2, Players!$A$1:$P$1, 0)), perc_75, VLOOKUP(P$2, Percentiles!$A$45:$I$59, 6, FALSE), perc_90, VLOOKUP(P$2, Percentiles!$A$45:$I$59, 7, FALSE), perc_95, VLOOKUP(P$2, Percentiles!$A$45:$I$59, 8, FALSE), perc_85, perc_75 + (perc_90 - perc_75) * (2/3), converted_stat, '2K_Ratings'!P635, IF(bbgm_stat &gt;= perc_95, converted_stat * 3, IF(bbgm_stat &gt;= perc_90, converted_stat * 2, IF(bbgm_stat &gt;= perc_85, converted_stat * 1.5, converted_stat)))))</f>
        <v/>
      </c>
      <c r="Q635" s="30" t="str">
        <f t="array" ref="Q635">IF($A635="", "", LET(bbgm_stat, INDEX(Players!$A634:$P634, MATCH(Q$2, Players!$A$1:$P$1, 0)), perc_75, VLOOKUP(Q$2, Percentiles!$A$45:$I$59, 6, FALSE), perc_90, VLOOKUP(Q$2, Percentiles!$A$45:$I$59, 7, FALSE), perc_95, VLOOKUP(Q$2, Percentiles!$A$45:$I$59, 8, FALSE), perc_85, perc_75 + (perc_90 - perc_75) * (2/3), converted_stat, '2K_Ratings'!Q635, IF(bbgm_stat &gt;= perc_95, converted_stat * 3, IF(bbgm_stat &gt;= perc_90, converted_stat * 2, IF(bbgm_stat &gt;= perc_85, converted_stat * 1.5, converted_stat)))))</f>
        <v/>
      </c>
      <c r="R635" s="30" t="str">
        <f t="array" ref="R635">IF($A635="", "", LET(bbgm_stat, INDEX(Players!$A634:$P634, MATCH(R$2, Players!$A$1:$P$1, 0)), perc_75, VLOOKUP(R$2, Percentiles!$A$45:$I$59, 6, FALSE), perc_90, VLOOKUP(R$2, Percentiles!$A$45:$I$59, 7, FALSE), perc_95, VLOOKUP(R$2, Percentiles!$A$45:$I$59, 8, FALSE), perc_85, perc_75 + (perc_90 - perc_75) * (2/3), converted_stat, '2K_Ratings'!R635, IF(bbgm_stat &gt;= perc_95, converted_stat * 3, IF(bbgm_stat &gt;= perc_90, converted_stat * 2, IF(bbgm_stat &gt;= perc_85, converted_stat * 1.5, converted_stat)))))</f>
        <v/>
      </c>
      <c r="S635" s="30" t="str">
        <f t="array" ref="S635">IF($A635="", "", LET(bbgm_stat, INDEX(Players!$A634:$P634, MATCH(S$2, Players!$A$1:$P$1, 0)), perc_75, VLOOKUP(S$2, Percentiles!$A$45:$I$59, 6, FALSE), perc_90, VLOOKUP(S$2, Percentiles!$A$45:$I$59, 7, FALSE), perc_95, VLOOKUP(S$2, Percentiles!$A$45:$I$59, 8, FALSE), perc_85, perc_75 + (perc_90 - perc_75) * (2/3), converted_stat, '2K_Ratings'!S635, IF(bbgm_stat &gt;= perc_95, converted_stat * 3, IF(bbgm_stat &gt;= perc_90, converted_stat * 2, IF(bbgm_stat &gt;= perc_85, converted_stat * 1.5, converted_stat)))))</f>
        <v/>
      </c>
      <c r="T635" s="30" t="str">
        <f t="array" ref="T635">IF($A635="", "", LET(bbgm_stat, INDEX(Players!$A634:$P634, MATCH(T$2, Players!$A$1:$P$1, 0)), perc_75, VLOOKUP(T$2, Percentiles!$A$45:$I$59, 6, FALSE), perc_90, VLOOKUP(T$2, Percentiles!$A$45:$I$59, 7, FALSE), perc_95, VLOOKUP(T$2, Percentiles!$A$45:$I$59, 8, FALSE), perc_85, perc_75 + (perc_90 - perc_75) * (2/3), converted_stat, '2K_Ratings'!T635, IF(bbgm_stat &gt;= perc_95, converted_stat * 3, IF(bbgm_stat &gt;= perc_90, converted_stat * 2, IF(bbgm_stat &gt;= perc_85, converted_stat * 1.5, converted_stat)))))</f>
        <v/>
      </c>
      <c r="U635" s="30" t="str">
        <f t="array" ref="U635">IF($A635="", "", LET(bbgm_stat, INDEX(Players!$A634:$P634, MATCH(U$2, Players!$A$1:$P$1, 0)), perc_75, VLOOKUP(U$2, Percentiles!$A$45:$I$59, 6, FALSE), perc_90, VLOOKUP(U$2, Percentiles!$A$45:$I$59, 7, FALSE), perc_95, VLOOKUP(U$2, Percentiles!$A$45:$I$59, 8, FALSE), perc_85, perc_75 + (perc_90 - perc_75) * (2/3), converted_stat, '2K_Ratings'!U635, IF(bbgm_stat &gt;= perc_95, converted_stat * 3, IF(bbgm_stat &gt;= perc_90, converted_stat * 2, IF(bbgm_stat &gt;= perc_85, converted_stat * 1.5, converted_stat)))))</f>
        <v/>
      </c>
      <c r="V635" s="30" t="str">
        <f t="array" ref="V635">IF($A635="", "", LET(bbgm_stat, INDEX(Players!$A634:$P634, MATCH(V$2, Players!$A$1:$P$1, 0)), perc_75, VLOOKUP(V$2, Percentiles!$A$45:$I$59, 6, FALSE), perc_90, VLOOKUP(V$2, Percentiles!$A$45:$I$59, 7, FALSE), perc_95, VLOOKUP(V$2, Percentiles!$A$45:$I$59, 8, FALSE), perc_85, perc_75 + (perc_90 - perc_75) * (2/3), converted_stat, '2K_Ratings'!V635, IF(bbgm_stat &gt;= perc_95, converted_stat * 3, IF(bbgm_stat &gt;= perc_90, converted_stat * 2, IF(bbgm_stat &gt;= perc_85, converted_stat * 1.5, converted_stat)))))</f>
        <v/>
      </c>
      <c r="W635" s="30" t="str">
        <f t="array" ref="W635">IF($A635="", "", LET(bbgm_stat, INDEX(Players!$A634:$P634, MATCH(W$2, Players!$A$1:$P$1, 0)), perc_75, VLOOKUP(W$2, Percentiles!$A$45:$I$59, 6, FALSE), perc_90, VLOOKUP(W$2, Percentiles!$A$45:$I$59, 7, FALSE), perc_95, VLOOKUP(W$2, Percentiles!$A$45:$I$59, 8, FALSE), perc_85, perc_75 + (perc_90 - perc_75) * (2/3), converted_stat, '2K_Ratings'!W635, IF(bbgm_stat &gt;= perc_95, converted_stat * 3, IF(bbgm_stat &gt;= perc_90, converted_stat * 2, IF(bbgm_stat &gt;= perc_85, converted_stat * 1.5, converted_stat)))))</f>
        <v/>
      </c>
    </row>
    <row r="636">
      <c r="A636" s="30"/>
      <c r="B636" s="30" t="str">
        <f t="array" ref="B636">IF($A636="", "", LET(bbgm_stat, INDEX(Players!$A635:$P635, MATCH(B$2, Players!$A$1:$P$1, 0)), perc_75, VLOOKUP(B$2, Percentiles!$A$45:$I$59, 6, FALSE), perc_90, VLOOKUP(B$2, Percentiles!$A$45:$I$59, 7, FALSE), perc_95, VLOOKUP(B$2, Percentiles!$A$45:$I$59, 8, FALSE), perc_85, perc_75 + (perc_90 - perc_75) * (2/3), converted_stat, '2K_Ratings'!B636, IF(bbgm_stat &gt;= perc_95, converted_stat * 3, IF(bbgm_stat &gt;= perc_90, converted_stat * 2, IF(bbgm_stat &gt;= perc_85, converted_stat * 1.5, converted_stat)))))</f>
        <v/>
      </c>
      <c r="C636" s="30" t="str">
        <f t="array" ref="C636">IF($A636="", "", LET(bbgm_stat, INDEX(Players!$A635:$P635, MATCH(C$2, Players!$A$1:$P$1, 0)), perc_75, VLOOKUP(C$2, Percentiles!$A$45:$I$59, 6, FALSE), perc_90, VLOOKUP(C$2, Percentiles!$A$45:$I$59, 7, FALSE), perc_95, VLOOKUP(C$2, Percentiles!$A$45:$I$59, 8, FALSE), perc_85, perc_75 + (perc_90 - perc_75) * (2/3), converted_stat, '2K_Ratings'!C636, IF(bbgm_stat &gt;= perc_95, converted_stat * 3, IF(bbgm_stat &gt;= perc_90, converted_stat * 2, IF(bbgm_stat &gt;= perc_85, converted_stat * 1.5, converted_stat)))))</f>
        <v/>
      </c>
      <c r="D636" s="30" t="str">
        <f t="array" ref="D636">IF($A636="", "", LET(bbgm_stat, INDEX(Players!$A635:$P635, MATCH(D$2, Players!$A$1:$P$1, 0)), perc_75, VLOOKUP(D$2, Percentiles!$A$45:$I$59, 6, FALSE), perc_90, VLOOKUP(D$2, Percentiles!$A$45:$I$59, 7, FALSE), perc_95, VLOOKUP(D$2, Percentiles!$A$45:$I$59, 8, FALSE), perc_85, perc_75 + (perc_90 - perc_75) * (2/3), converted_stat, '2K_Ratings'!D636, IF(bbgm_stat &gt;= perc_95, converted_stat * 3, IF(bbgm_stat &gt;= perc_90, converted_stat * 2, IF(bbgm_stat &gt;= perc_85, converted_stat * 1.5, converted_stat)))))</f>
        <v/>
      </c>
      <c r="E636" s="30" t="str">
        <f t="array" ref="E636">IF($A636="", "", LET(bbgm_stat, INDEX(Players!$A635:$P635, MATCH(E$2, Players!$A$1:$P$1, 0)), perc_75, VLOOKUP(E$2, Percentiles!$A$45:$I$59, 6, FALSE), perc_90, VLOOKUP(E$2, Percentiles!$A$45:$I$59, 7, FALSE), perc_95, VLOOKUP(E$2, Percentiles!$A$45:$I$59, 8, FALSE), perc_85, perc_75 + (perc_90 - perc_75) * (2/3), converted_stat, '2K_Ratings'!E636, IF(bbgm_stat &gt;= perc_95, converted_stat * 3, IF(bbgm_stat &gt;= perc_90, converted_stat * 2, IF(bbgm_stat &gt;= perc_85, converted_stat * 1.5, converted_stat)))))</f>
        <v/>
      </c>
      <c r="F636" s="30" t="str">
        <f t="array" ref="F636">IF($A636="", "", LET(bbgm_stat, INDEX(Players!$A635:$P635, MATCH(F$2, Players!$A$1:$P$1, 0)), perc_75, VLOOKUP(F$2, Percentiles!$A$45:$I$59, 6, FALSE), perc_90, VLOOKUP(F$2, Percentiles!$A$45:$I$59, 7, FALSE), perc_95, VLOOKUP(F$2, Percentiles!$A$45:$I$59, 8, FALSE), perc_85, perc_75 + (perc_90 - perc_75) * (2/3), converted_stat, '2K_Ratings'!F636, IF(bbgm_stat &gt;= perc_95, converted_stat * 3, IF(bbgm_stat &gt;= perc_90, converted_stat * 2, IF(bbgm_stat &gt;= perc_85, converted_stat * 1.5, converted_stat)))))</f>
        <v/>
      </c>
      <c r="G636" s="30" t="str">
        <f t="array" ref="G636">IF($A636="", "", LET(bbgm_stat, INDEX(Players!$A635:$P635, MATCH(G$2, Players!$A$1:$P$1, 0)), perc_75, VLOOKUP(G$2, Percentiles!$A$45:$I$59, 6, FALSE), perc_90, VLOOKUP(G$2, Percentiles!$A$45:$I$59, 7, FALSE), perc_95, VLOOKUP(G$2, Percentiles!$A$45:$I$59, 8, FALSE), perc_85, perc_75 + (perc_90 - perc_75) * (2/3), converted_stat, '2K_Ratings'!G636, IF(bbgm_stat &gt;= perc_95, converted_stat * 3, IF(bbgm_stat &gt;= perc_90, converted_stat * 2, IF(bbgm_stat &gt;= perc_85, converted_stat * 1.5, converted_stat)))))</f>
        <v/>
      </c>
      <c r="H636" s="30" t="str">
        <f t="array" ref="H636">IF($A636="", "", LET(bbgm_stat, INDEX(Players!$A635:$P635, MATCH(H$2, Players!$A$1:$P$1, 0)), perc_75, VLOOKUP(H$2, Percentiles!$A$45:$I$59, 6, FALSE), perc_90, VLOOKUP(H$2, Percentiles!$A$45:$I$59, 7, FALSE), perc_95, VLOOKUP(H$2, Percentiles!$A$45:$I$59, 8, FALSE), perc_85, perc_75 + (perc_90 - perc_75) * (2/3), converted_stat, '2K_Ratings'!H636, IF(bbgm_stat &gt;= perc_95, converted_stat * 3, IF(bbgm_stat &gt;= perc_90, converted_stat * 2, IF(bbgm_stat &gt;= perc_85, converted_stat * 1.5, converted_stat)))))</f>
        <v/>
      </c>
      <c r="I636" s="30" t="str">
        <f t="array" ref="I636">IF($A636="", "", LET(bbgm_stat, INDEX(Players!$A635:$P635, MATCH(I$2, Players!$A$1:$P$1, 0)), perc_75, VLOOKUP(I$2, Percentiles!$A$45:$I$59, 6, FALSE), perc_90, VLOOKUP(I$2, Percentiles!$A$45:$I$59, 7, FALSE), perc_95, VLOOKUP(I$2, Percentiles!$A$45:$I$59, 8, FALSE), perc_85, perc_75 + (perc_90 - perc_75) * (2/3), converted_stat, '2K_Ratings'!I636, IF(bbgm_stat &gt;= perc_95, converted_stat * 3, IF(bbgm_stat &gt;= perc_90, converted_stat * 2, IF(bbgm_stat &gt;= perc_85, converted_stat * 1.5, converted_stat)))))</f>
        <v/>
      </c>
      <c r="J636" s="30" t="str">
        <f t="array" ref="J636">IF($A636="", "", LET(bbgm_stat, INDEX(Players!$A635:$P635, MATCH(J$2, Players!$A$1:$P$1, 0)), perc_75, VLOOKUP(J$2, Percentiles!$A$45:$I$59, 6, FALSE), perc_90, VLOOKUP(J$2, Percentiles!$A$45:$I$59, 7, FALSE), perc_95, VLOOKUP(J$2, Percentiles!$A$45:$I$59, 8, FALSE), perc_85, perc_75 + (perc_90 - perc_75) * (2/3), converted_stat, '2K_Ratings'!J636, IF(bbgm_stat &gt;= perc_95, converted_stat * 3, IF(bbgm_stat &gt;= perc_90, converted_stat * 2, IF(bbgm_stat &gt;= perc_85, converted_stat * 1.5, converted_stat)))))</f>
        <v/>
      </c>
      <c r="K636" s="30" t="str">
        <f t="array" ref="K636">IF($A636="", "", LET(bbgm_stat, INDEX(Players!$A635:$P635, MATCH(K$2, Players!$A$1:$P$1, 0)), perc_75, VLOOKUP(K$2, Percentiles!$A$45:$I$59, 6, FALSE), perc_90, VLOOKUP(K$2, Percentiles!$A$45:$I$59, 7, FALSE), perc_95, VLOOKUP(K$2, Percentiles!$A$45:$I$59, 8, FALSE), perc_85, perc_75 + (perc_90 - perc_75) * (2/3), converted_stat, '2K_Ratings'!K636, IF(bbgm_stat &gt;= perc_95, converted_stat * 3, IF(bbgm_stat &gt;= perc_90, converted_stat * 2, IF(bbgm_stat &gt;= perc_85, converted_stat * 1.5, converted_stat)))))</f>
        <v/>
      </c>
      <c r="L636" s="30" t="str">
        <f t="array" ref="L636">IF($A636="", "", LET(bbgm_stat, INDEX(Players!$A635:$P635, MATCH(L$2, Players!$A$1:$P$1, 0)), perc_75, VLOOKUP(L$2, Percentiles!$A$45:$I$59, 6, FALSE), perc_90, VLOOKUP(L$2, Percentiles!$A$45:$I$59, 7, FALSE), perc_95, VLOOKUP(L$2, Percentiles!$A$45:$I$59, 8, FALSE), perc_85, perc_75 + (perc_90 - perc_75) * (2/3), converted_stat, '2K_Ratings'!L636, IF(bbgm_stat &gt;= perc_95, converted_stat * 3, IF(bbgm_stat &gt;= perc_90, converted_stat * 2, IF(bbgm_stat &gt;= perc_85, converted_stat * 1.5, converted_stat)))))</f>
        <v/>
      </c>
      <c r="M636" s="30" t="str">
        <f t="array" ref="M636">IF($A636="", "", LET(bbgm_stat, INDEX(Players!$A635:$P635, MATCH(M$2, Players!$A$1:$P$1, 0)), perc_75, VLOOKUP(M$2, Percentiles!$A$45:$I$59, 6, FALSE), perc_90, VLOOKUP(M$2, Percentiles!$A$45:$I$59, 7, FALSE), perc_95, VLOOKUP(M$2, Percentiles!$A$45:$I$59, 8, FALSE), perc_85, perc_75 + (perc_90 - perc_75) * (2/3), converted_stat, '2K_Ratings'!M636, IF(bbgm_stat &gt;= perc_95, converted_stat * 3, IF(bbgm_stat &gt;= perc_90, converted_stat * 2, IF(bbgm_stat &gt;= perc_85, converted_stat * 1.5, converted_stat)))))</f>
        <v/>
      </c>
      <c r="N636" s="30" t="str">
        <f t="array" ref="N636">IF($A636="", "", LET(bbgm_stat, INDEX(Players!$A635:$P635, MATCH(N$2, Players!$A$1:$P$1, 0)), perc_75, VLOOKUP(N$2, Percentiles!$A$45:$I$59, 6, FALSE), perc_90, VLOOKUP(N$2, Percentiles!$A$45:$I$59, 7, FALSE), perc_95, VLOOKUP(N$2, Percentiles!$A$45:$I$59, 8, FALSE), perc_85, perc_75 + (perc_90 - perc_75) * (2/3), converted_stat, '2K_Ratings'!N636, IF(bbgm_stat &gt;= perc_95, converted_stat * 3, IF(bbgm_stat &gt;= perc_90, converted_stat * 2, IF(bbgm_stat &gt;= perc_85, converted_stat * 1.5, converted_stat)))))</f>
        <v/>
      </c>
      <c r="O636" s="30" t="str">
        <f t="array" ref="O636">IF($A636="", "", LET(bbgm_stat, INDEX(Players!$A635:$P635, MATCH(O$2, Players!$A$1:$P$1, 0)), perc_75, VLOOKUP(O$2, Percentiles!$A$45:$I$59, 6, FALSE), perc_90, VLOOKUP(O$2, Percentiles!$A$45:$I$59, 7, FALSE), perc_95, VLOOKUP(O$2, Percentiles!$A$45:$I$59, 8, FALSE), perc_85, perc_75 + (perc_90 - perc_75) * (2/3), converted_stat, '2K_Ratings'!O636, IF(bbgm_stat &gt;= perc_95, converted_stat * 3, IF(bbgm_stat &gt;= perc_90, converted_stat * 2, IF(bbgm_stat &gt;= perc_85, converted_stat * 1.5, converted_stat)))))</f>
        <v/>
      </c>
      <c r="P636" s="30" t="str">
        <f t="array" ref="P636">IF($A636="", "", LET(bbgm_stat, INDEX(Players!$A635:$P635, MATCH(P$2, Players!$A$1:$P$1, 0)), perc_75, VLOOKUP(P$2, Percentiles!$A$45:$I$59, 6, FALSE), perc_90, VLOOKUP(P$2, Percentiles!$A$45:$I$59, 7, FALSE), perc_95, VLOOKUP(P$2, Percentiles!$A$45:$I$59, 8, FALSE), perc_85, perc_75 + (perc_90 - perc_75) * (2/3), converted_stat, '2K_Ratings'!P636, IF(bbgm_stat &gt;= perc_95, converted_stat * 3, IF(bbgm_stat &gt;= perc_90, converted_stat * 2, IF(bbgm_stat &gt;= perc_85, converted_stat * 1.5, converted_stat)))))</f>
        <v/>
      </c>
      <c r="Q636" s="30" t="str">
        <f t="array" ref="Q636">IF($A636="", "", LET(bbgm_stat, INDEX(Players!$A635:$P635, MATCH(Q$2, Players!$A$1:$P$1, 0)), perc_75, VLOOKUP(Q$2, Percentiles!$A$45:$I$59, 6, FALSE), perc_90, VLOOKUP(Q$2, Percentiles!$A$45:$I$59, 7, FALSE), perc_95, VLOOKUP(Q$2, Percentiles!$A$45:$I$59, 8, FALSE), perc_85, perc_75 + (perc_90 - perc_75) * (2/3), converted_stat, '2K_Ratings'!Q636, IF(bbgm_stat &gt;= perc_95, converted_stat * 3, IF(bbgm_stat &gt;= perc_90, converted_stat * 2, IF(bbgm_stat &gt;= perc_85, converted_stat * 1.5, converted_stat)))))</f>
        <v/>
      </c>
      <c r="R636" s="30" t="str">
        <f t="array" ref="R636">IF($A636="", "", LET(bbgm_stat, INDEX(Players!$A635:$P635, MATCH(R$2, Players!$A$1:$P$1, 0)), perc_75, VLOOKUP(R$2, Percentiles!$A$45:$I$59, 6, FALSE), perc_90, VLOOKUP(R$2, Percentiles!$A$45:$I$59, 7, FALSE), perc_95, VLOOKUP(R$2, Percentiles!$A$45:$I$59, 8, FALSE), perc_85, perc_75 + (perc_90 - perc_75) * (2/3), converted_stat, '2K_Ratings'!R636, IF(bbgm_stat &gt;= perc_95, converted_stat * 3, IF(bbgm_stat &gt;= perc_90, converted_stat * 2, IF(bbgm_stat &gt;= perc_85, converted_stat * 1.5, converted_stat)))))</f>
        <v/>
      </c>
      <c r="S636" s="30" t="str">
        <f t="array" ref="S636">IF($A636="", "", LET(bbgm_stat, INDEX(Players!$A635:$P635, MATCH(S$2, Players!$A$1:$P$1, 0)), perc_75, VLOOKUP(S$2, Percentiles!$A$45:$I$59, 6, FALSE), perc_90, VLOOKUP(S$2, Percentiles!$A$45:$I$59, 7, FALSE), perc_95, VLOOKUP(S$2, Percentiles!$A$45:$I$59, 8, FALSE), perc_85, perc_75 + (perc_90 - perc_75) * (2/3), converted_stat, '2K_Ratings'!S636, IF(bbgm_stat &gt;= perc_95, converted_stat * 3, IF(bbgm_stat &gt;= perc_90, converted_stat * 2, IF(bbgm_stat &gt;= perc_85, converted_stat * 1.5, converted_stat)))))</f>
        <v/>
      </c>
      <c r="T636" s="30" t="str">
        <f t="array" ref="T636">IF($A636="", "", LET(bbgm_stat, INDEX(Players!$A635:$P635, MATCH(T$2, Players!$A$1:$P$1, 0)), perc_75, VLOOKUP(T$2, Percentiles!$A$45:$I$59, 6, FALSE), perc_90, VLOOKUP(T$2, Percentiles!$A$45:$I$59, 7, FALSE), perc_95, VLOOKUP(T$2, Percentiles!$A$45:$I$59, 8, FALSE), perc_85, perc_75 + (perc_90 - perc_75) * (2/3), converted_stat, '2K_Ratings'!T636, IF(bbgm_stat &gt;= perc_95, converted_stat * 3, IF(bbgm_stat &gt;= perc_90, converted_stat * 2, IF(bbgm_stat &gt;= perc_85, converted_stat * 1.5, converted_stat)))))</f>
        <v/>
      </c>
      <c r="U636" s="30" t="str">
        <f t="array" ref="U636">IF($A636="", "", LET(bbgm_stat, INDEX(Players!$A635:$P635, MATCH(U$2, Players!$A$1:$P$1, 0)), perc_75, VLOOKUP(U$2, Percentiles!$A$45:$I$59, 6, FALSE), perc_90, VLOOKUP(U$2, Percentiles!$A$45:$I$59, 7, FALSE), perc_95, VLOOKUP(U$2, Percentiles!$A$45:$I$59, 8, FALSE), perc_85, perc_75 + (perc_90 - perc_75) * (2/3), converted_stat, '2K_Ratings'!U636, IF(bbgm_stat &gt;= perc_95, converted_stat * 3, IF(bbgm_stat &gt;= perc_90, converted_stat * 2, IF(bbgm_stat &gt;= perc_85, converted_stat * 1.5, converted_stat)))))</f>
        <v/>
      </c>
      <c r="V636" s="30" t="str">
        <f t="array" ref="V636">IF($A636="", "", LET(bbgm_stat, INDEX(Players!$A635:$P635, MATCH(V$2, Players!$A$1:$P$1, 0)), perc_75, VLOOKUP(V$2, Percentiles!$A$45:$I$59, 6, FALSE), perc_90, VLOOKUP(V$2, Percentiles!$A$45:$I$59, 7, FALSE), perc_95, VLOOKUP(V$2, Percentiles!$A$45:$I$59, 8, FALSE), perc_85, perc_75 + (perc_90 - perc_75) * (2/3), converted_stat, '2K_Ratings'!V636, IF(bbgm_stat &gt;= perc_95, converted_stat * 3, IF(bbgm_stat &gt;= perc_90, converted_stat * 2, IF(bbgm_stat &gt;= perc_85, converted_stat * 1.5, converted_stat)))))</f>
        <v/>
      </c>
      <c r="W636" s="30" t="str">
        <f t="array" ref="W636">IF($A636="", "", LET(bbgm_stat, INDEX(Players!$A635:$P635, MATCH(W$2, Players!$A$1:$P$1, 0)), perc_75, VLOOKUP(W$2, Percentiles!$A$45:$I$59, 6, FALSE), perc_90, VLOOKUP(W$2, Percentiles!$A$45:$I$59, 7, FALSE), perc_95, VLOOKUP(W$2, Percentiles!$A$45:$I$59, 8, FALSE), perc_85, perc_75 + (perc_90 - perc_75) * (2/3), converted_stat, '2K_Ratings'!W636, IF(bbgm_stat &gt;= perc_95, converted_stat * 3, IF(bbgm_stat &gt;= perc_90, converted_stat * 2, IF(bbgm_stat &gt;= perc_85, converted_stat * 1.5, converted_stat)))))</f>
        <v/>
      </c>
    </row>
    <row r="637">
      <c r="A637" s="30"/>
      <c r="B637" s="30" t="str">
        <f t="array" ref="B637">IF($A637="", "", LET(bbgm_stat, INDEX(Players!$A636:$P636, MATCH(B$2, Players!$A$1:$P$1, 0)), perc_75, VLOOKUP(B$2, Percentiles!$A$45:$I$59, 6, FALSE), perc_90, VLOOKUP(B$2, Percentiles!$A$45:$I$59, 7, FALSE), perc_95, VLOOKUP(B$2, Percentiles!$A$45:$I$59, 8, FALSE), perc_85, perc_75 + (perc_90 - perc_75) * (2/3), converted_stat, '2K_Ratings'!B637, IF(bbgm_stat &gt;= perc_95, converted_stat * 3, IF(bbgm_stat &gt;= perc_90, converted_stat * 2, IF(bbgm_stat &gt;= perc_85, converted_stat * 1.5, converted_stat)))))</f>
        <v/>
      </c>
      <c r="C637" s="30" t="str">
        <f t="array" ref="C637">IF($A637="", "", LET(bbgm_stat, INDEX(Players!$A636:$P636, MATCH(C$2, Players!$A$1:$P$1, 0)), perc_75, VLOOKUP(C$2, Percentiles!$A$45:$I$59, 6, FALSE), perc_90, VLOOKUP(C$2, Percentiles!$A$45:$I$59, 7, FALSE), perc_95, VLOOKUP(C$2, Percentiles!$A$45:$I$59, 8, FALSE), perc_85, perc_75 + (perc_90 - perc_75) * (2/3), converted_stat, '2K_Ratings'!C637, IF(bbgm_stat &gt;= perc_95, converted_stat * 3, IF(bbgm_stat &gt;= perc_90, converted_stat * 2, IF(bbgm_stat &gt;= perc_85, converted_stat * 1.5, converted_stat)))))</f>
        <v/>
      </c>
      <c r="D637" s="30" t="str">
        <f t="array" ref="D637">IF($A637="", "", LET(bbgm_stat, INDEX(Players!$A636:$P636, MATCH(D$2, Players!$A$1:$P$1, 0)), perc_75, VLOOKUP(D$2, Percentiles!$A$45:$I$59, 6, FALSE), perc_90, VLOOKUP(D$2, Percentiles!$A$45:$I$59, 7, FALSE), perc_95, VLOOKUP(D$2, Percentiles!$A$45:$I$59, 8, FALSE), perc_85, perc_75 + (perc_90 - perc_75) * (2/3), converted_stat, '2K_Ratings'!D637, IF(bbgm_stat &gt;= perc_95, converted_stat * 3, IF(bbgm_stat &gt;= perc_90, converted_stat * 2, IF(bbgm_stat &gt;= perc_85, converted_stat * 1.5, converted_stat)))))</f>
        <v/>
      </c>
      <c r="E637" s="30" t="str">
        <f t="array" ref="E637">IF($A637="", "", LET(bbgm_stat, INDEX(Players!$A636:$P636, MATCH(E$2, Players!$A$1:$P$1, 0)), perc_75, VLOOKUP(E$2, Percentiles!$A$45:$I$59, 6, FALSE), perc_90, VLOOKUP(E$2, Percentiles!$A$45:$I$59, 7, FALSE), perc_95, VLOOKUP(E$2, Percentiles!$A$45:$I$59, 8, FALSE), perc_85, perc_75 + (perc_90 - perc_75) * (2/3), converted_stat, '2K_Ratings'!E637, IF(bbgm_stat &gt;= perc_95, converted_stat * 3, IF(bbgm_stat &gt;= perc_90, converted_stat * 2, IF(bbgm_stat &gt;= perc_85, converted_stat * 1.5, converted_stat)))))</f>
        <v/>
      </c>
      <c r="F637" s="30" t="str">
        <f t="array" ref="F637">IF($A637="", "", LET(bbgm_stat, INDEX(Players!$A636:$P636, MATCH(F$2, Players!$A$1:$P$1, 0)), perc_75, VLOOKUP(F$2, Percentiles!$A$45:$I$59, 6, FALSE), perc_90, VLOOKUP(F$2, Percentiles!$A$45:$I$59, 7, FALSE), perc_95, VLOOKUP(F$2, Percentiles!$A$45:$I$59, 8, FALSE), perc_85, perc_75 + (perc_90 - perc_75) * (2/3), converted_stat, '2K_Ratings'!F637, IF(bbgm_stat &gt;= perc_95, converted_stat * 3, IF(bbgm_stat &gt;= perc_90, converted_stat * 2, IF(bbgm_stat &gt;= perc_85, converted_stat * 1.5, converted_stat)))))</f>
        <v/>
      </c>
      <c r="G637" s="30" t="str">
        <f t="array" ref="G637">IF($A637="", "", LET(bbgm_stat, INDEX(Players!$A636:$P636, MATCH(G$2, Players!$A$1:$P$1, 0)), perc_75, VLOOKUP(G$2, Percentiles!$A$45:$I$59, 6, FALSE), perc_90, VLOOKUP(G$2, Percentiles!$A$45:$I$59, 7, FALSE), perc_95, VLOOKUP(G$2, Percentiles!$A$45:$I$59, 8, FALSE), perc_85, perc_75 + (perc_90 - perc_75) * (2/3), converted_stat, '2K_Ratings'!G637, IF(bbgm_stat &gt;= perc_95, converted_stat * 3, IF(bbgm_stat &gt;= perc_90, converted_stat * 2, IF(bbgm_stat &gt;= perc_85, converted_stat * 1.5, converted_stat)))))</f>
        <v/>
      </c>
      <c r="H637" s="30" t="str">
        <f t="array" ref="H637">IF($A637="", "", LET(bbgm_stat, INDEX(Players!$A636:$P636, MATCH(H$2, Players!$A$1:$P$1, 0)), perc_75, VLOOKUP(H$2, Percentiles!$A$45:$I$59, 6, FALSE), perc_90, VLOOKUP(H$2, Percentiles!$A$45:$I$59, 7, FALSE), perc_95, VLOOKUP(H$2, Percentiles!$A$45:$I$59, 8, FALSE), perc_85, perc_75 + (perc_90 - perc_75) * (2/3), converted_stat, '2K_Ratings'!H637, IF(bbgm_stat &gt;= perc_95, converted_stat * 3, IF(bbgm_stat &gt;= perc_90, converted_stat * 2, IF(bbgm_stat &gt;= perc_85, converted_stat * 1.5, converted_stat)))))</f>
        <v/>
      </c>
      <c r="I637" s="30" t="str">
        <f t="array" ref="I637">IF($A637="", "", LET(bbgm_stat, INDEX(Players!$A636:$P636, MATCH(I$2, Players!$A$1:$P$1, 0)), perc_75, VLOOKUP(I$2, Percentiles!$A$45:$I$59, 6, FALSE), perc_90, VLOOKUP(I$2, Percentiles!$A$45:$I$59, 7, FALSE), perc_95, VLOOKUP(I$2, Percentiles!$A$45:$I$59, 8, FALSE), perc_85, perc_75 + (perc_90 - perc_75) * (2/3), converted_stat, '2K_Ratings'!I637, IF(bbgm_stat &gt;= perc_95, converted_stat * 3, IF(bbgm_stat &gt;= perc_90, converted_stat * 2, IF(bbgm_stat &gt;= perc_85, converted_stat * 1.5, converted_stat)))))</f>
        <v/>
      </c>
      <c r="J637" s="30" t="str">
        <f t="array" ref="J637">IF($A637="", "", LET(bbgm_stat, INDEX(Players!$A636:$P636, MATCH(J$2, Players!$A$1:$P$1, 0)), perc_75, VLOOKUP(J$2, Percentiles!$A$45:$I$59, 6, FALSE), perc_90, VLOOKUP(J$2, Percentiles!$A$45:$I$59, 7, FALSE), perc_95, VLOOKUP(J$2, Percentiles!$A$45:$I$59, 8, FALSE), perc_85, perc_75 + (perc_90 - perc_75) * (2/3), converted_stat, '2K_Ratings'!J637, IF(bbgm_stat &gt;= perc_95, converted_stat * 3, IF(bbgm_stat &gt;= perc_90, converted_stat * 2, IF(bbgm_stat &gt;= perc_85, converted_stat * 1.5, converted_stat)))))</f>
        <v/>
      </c>
      <c r="K637" s="30" t="str">
        <f t="array" ref="K637">IF($A637="", "", LET(bbgm_stat, INDEX(Players!$A636:$P636, MATCH(K$2, Players!$A$1:$P$1, 0)), perc_75, VLOOKUP(K$2, Percentiles!$A$45:$I$59, 6, FALSE), perc_90, VLOOKUP(K$2, Percentiles!$A$45:$I$59, 7, FALSE), perc_95, VLOOKUP(K$2, Percentiles!$A$45:$I$59, 8, FALSE), perc_85, perc_75 + (perc_90 - perc_75) * (2/3), converted_stat, '2K_Ratings'!K637, IF(bbgm_stat &gt;= perc_95, converted_stat * 3, IF(bbgm_stat &gt;= perc_90, converted_stat * 2, IF(bbgm_stat &gt;= perc_85, converted_stat * 1.5, converted_stat)))))</f>
        <v/>
      </c>
      <c r="L637" s="30" t="str">
        <f t="array" ref="L637">IF($A637="", "", LET(bbgm_stat, INDEX(Players!$A636:$P636, MATCH(L$2, Players!$A$1:$P$1, 0)), perc_75, VLOOKUP(L$2, Percentiles!$A$45:$I$59, 6, FALSE), perc_90, VLOOKUP(L$2, Percentiles!$A$45:$I$59, 7, FALSE), perc_95, VLOOKUP(L$2, Percentiles!$A$45:$I$59, 8, FALSE), perc_85, perc_75 + (perc_90 - perc_75) * (2/3), converted_stat, '2K_Ratings'!L637, IF(bbgm_stat &gt;= perc_95, converted_stat * 3, IF(bbgm_stat &gt;= perc_90, converted_stat * 2, IF(bbgm_stat &gt;= perc_85, converted_stat * 1.5, converted_stat)))))</f>
        <v/>
      </c>
      <c r="M637" s="30" t="str">
        <f t="array" ref="M637">IF($A637="", "", LET(bbgm_stat, INDEX(Players!$A636:$P636, MATCH(M$2, Players!$A$1:$P$1, 0)), perc_75, VLOOKUP(M$2, Percentiles!$A$45:$I$59, 6, FALSE), perc_90, VLOOKUP(M$2, Percentiles!$A$45:$I$59, 7, FALSE), perc_95, VLOOKUP(M$2, Percentiles!$A$45:$I$59, 8, FALSE), perc_85, perc_75 + (perc_90 - perc_75) * (2/3), converted_stat, '2K_Ratings'!M637, IF(bbgm_stat &gt;= perc_95, converted_stat * 3, IF(bbgm_stat &gt;= perc_90, converted_stat * 2, IF(bbgm_stat &gt;= perc_85, converted_stat * 1.5, converted_stat)))))</f>
        <v/>
      </c>
      <c r="N637" s="30" t="str">
        <f t="array" ref="N637">IF($A637="", "", LET(bbgm_stat, INDEX(Players!$A636:$P636, MATCH(N$2, Players!$A$1:$P$1, 0)), perc_75, VLOOKUP(N$2, Percentiles!$A$45:$I$59, 6, FALSE), perc_90, VLOOKUP(N$2, Percentiles!$A$45:$I$59, 7, FALSE), perc_95, VLOOKUP(N$2, Percentiles!$A$45:$I$59, 8, FALSE), perc_85, perc_75 + (perc_90 - perc_75) * (2/3), converted_stat, '2K_Ratings'!N637, IF(bbgm_stat &gt;= perc_95, converted_stat * 3, IF(bbgm_stat &gt;= perc_90, converted_stat * 2, IF(bbgm_stat &gt;= perc_85, converted_stat * 1.5, converted_stat)))))</f>
        <v/>
      </c>
      <c r="O637" s="30" t="str">
        <f t="array" ref="O637">IF($A637="", "", LET(bbgm_stat, INDEX(Players!$A636:$P636, MATCH(O$2, Players!$A$1:$P$1, 0)), perc_75, VLOOKUP(O$2, Percentiles!$A$45:$I$59, 6, FALSE), perc_90, VLOOKUP(O$2, Percentiles!$A$45:$I$59, 7, FALSE), perc_95, VLOOKUP(O$2, Percentiles!$A$45:$I$59, 8, FALSE), perc_85, perc_75 + (perc_90 - perc_75) * (2/3), converted_stat, '2K_Ratings'!O637, IF(bbgm_stat &gt;= perc_95, converted_stat * 3, IF(bbgm_stat &gt;= perc_90, converted_stat * 2, IF(bbgm_stat &gt;= perc_85, converted_stat * 1.5, converted_stat)))))</f>
        <v/>
      </c>
      <c r="P637" s="30" t="str">
        <f t="array" ref="P637">IF($A637="", "", LET(bbgm_stat, INDEX(Players!$A636:$P636, MATCH(P$2, Players!$A$1:$P$1, 0)), perc_75, VLOOKUP(P$2, Percentiles!$A$45:$I$59, 6, FALSE), perc_90, VLOOKUP(P$2, Percentiles!$A$45:$I$59, 7, FALSE), perc_95, VLOOKUP(P$2, Percentiles!$A$45:$I$59, 8, FALSE), perc_85, perc_75 + (perc_90 - perc_75) * (2/3), converted_stat, '2K_Ratings'!P637, IF(bbgm_stat &gt;= perc_95, converted_stat * 3, IF(bbgm_stat &gt;= perc_90, converted_stat * 2, IF(bbgm_stat &gt;= perc_85, converted_stat * 1.5, converted_stat)))))</f>
        <v/>
      </c>
      <c r="Q637" s="30" t="str">
        <f t="array" ref="Q637">IF($A637="", "", LET(bbgm_stat, INDEX(Players!$A636:$P636, MATCH(Q$2, Players!$A$1:$P$1, 0)), perc_75, VLOOKUP(Q$2, Percentiles!$A$45:$I$59, 6, FALSE), perc_90, VLOOKUP(Q$2, Percentiles!$A$45:$I$59, 7, FALSE), perc_95, VLOOKUP(Q$2, Percentiles!$A$45:$I$59, 8, FALSE), perc_85, perc_75 + (perc_90 - perc_75) * (2/3), converted_stat, '2K_Ratings'!Q637, IF(bbgm_stat &gt;= perc_95, converted_stat * 3, IF(bbgm_stat &gt;= perc_90, converted_stat * 2, IF(bbgm_stat &gt;= perc_85, converted_stat * 1.5, converted_stat)))))</f>
        <v/>
      </c>
      <c r="R637" s="30" t="str">
        <f t="array" ref="R637">IF($A637="", "", LET(bbgm_stat, INDEX(Players!$A636:$P636, MATCH(R$2, Players!$A$1:$P$1, 0)), perc_75, VLOOKUP(R$2, Percentiles!$A$45:$I$59, 6, FALSE), perc_90, VLOOKUP(R$2, Percentiles!$A$45:$I$59, 7, FALSE), perc_95, VLOOKUP(R$2, Percentiles!$A$45:$I$59, 8, FALSE), perc_85, perc_75 + (perc_90 - perc_75) * (2/3), converted_stat, '2K_Ratings'!R637, IF(bbgm_stat &gt;= perc_95, converted_stat * 3, IF(bbgm_stat &gt;= perc_90, converted_stat * 2, IF(bbgm_stat &gt;= perc_85, converted_stat * 1.5, converted_stat)))))</f>
        <v/>
      </c>
      <c r="S637" s="30" t="str">
        <f t="array" ref="S637">IF($A637="", "", LET(bbgm_stat, INDEX(Players!$A636:$P636, MATCH(S$2, Players!$A$1:$P$1, 0)), perc_75, VLOOKUP(S$2, Percentiles!$A$45:$I$59, 6, FALSE), perc_90, VLOOKUP(S$2, Percentiles!$A$45:$I$59, 7, FALSE), perc_95, VLOOKUP(S$2, Percentiles!$A$45:$I$59, 8, FALSE), perc_85, perc_75 + (perc_90 - perc_75) * (2/3), converted_stat, '2K_Ratings'!S637, IF(bbgm_stat &gt;= perc_95, converted_stat * 3, IF(bbgm_stat &gt;= perc_90, converted_stat * 2, IF(bbgm_stat &gt;= perc_85, converted_stat * 1.5, converted_stat)))))</f>
        <v/>
      </c>
      <c r="T637" s="30" t="str">
        <f t="array" ref="T637">IF($A637="", "", LET(bbgm_stat, INDEX(Players!$A636:$P636, MATCH(T$2, Players!$A$1:$P$1, 0)), perc_75, VLOOKUP(T$2, Percentiles!$A$45:$I$59, 6, FALSE), perc_90, VLOOKUP(T$2, Percentiles!$A$45:$I$59, 7, FALSE), perc_95, VLOOKUP(T$2, Percentiles!$A$45:$I$59, 8, FALSE), perc_85, perc_75 + (perc_90 - perc_75) * (2/3), converted_stat, '2K_Ratings'!T637, IF(bbgm_stat &gt;= perc_95, converted_stat * 3, IF(bbgm_stat &gt;= perc_90, converted_stat * 2, IF(bbgm_stat &gt;= perc_85, converted_stat * 1.5, converted_stat)))))</f>
        <v/>
      </c>
      <c r="U637" s="30" t="str">
        <f t="array" ref="U637">IF($A637="", "", LET(bbgm_stat, INDEX(Players!$A636:$P636, MATCH(U$2, Players!$A$1:$P$1, 0)), perc_75, VLOOKUP(U$2, Percentiles!$A$45:$I$59, 6, FALSE), perc_90, VLOOKUP(U$2, Percentiles!$A$45:$I$59, 7, FALSE), perc_95, VLOOKUP(U$2, Percentiles!$A$45:$I$59, 8, FALSE), perc_85, perc_75 + (perc_90 - perc_75) * (2/3), converted_stat, '2K_Ratings'!U637, IF(bbgm_stat &gt;= perc_95, converted_stat * 3, IF(bbgm_stat &gt;= perc_90, converted_stat * 2, IF(bbgm_stat &gt;= perc_85, converted_stat * 1.5, converted_stat)))))</f>
        <v/>
      </c>
      <c r="V637" s="30" t="str">
        <f t="array" ref="V637">IF($A637="", "", LET(bbgm_stat, INDEX(Players!$A636:$P636, MATCH(V$2, Players!$A$1:$P$1, 0)), perc_75, VLOOKUP(V$2, Percentiles!$A$45:$I$59, 6, FALSE), perc_90, VLOOKUP(V$2, Percentiles!$A$45:$I$59, 7, FALSE), perc_95, VLOOKUP(V$2, Percentiles!$A$45:$I$59, 8, FALSE), perc_85, perc_75 + (perc_90 - perc_75) * (2/3), converted_stat, '2K_Ratings'!V637, IF(bbgm_stat &gt;= perc_95, converted_stat * 3, IF(bbgm_stat &gt;= perc_90, converted_stat * 2, IF(bbgm_stat &gt;= perc_85, converted_stat * 1.5, converted_stat)))))</f>
        <v/>
      </c>
      <c r="W637" s="30" t="str">
        <f t="array" ref="W637">IF($A637="", "", LET(bbgm_stat, INDEX(Players!$A636:$P636, MATCH(W$2, Players!$A$1:$P$1, 0)), perc_75, VLOOKUP(W$2, Percentiles!$A$45:$I$59, 6, FALSE), perc_90, VLOOKUP(W$2, Percentiles!$A$45:$I$59, 7, FALSE), perc_95, VLOOKUP(W$2, Percentiles!$A$45:$I$59, 8, FALSE), perc_85, perc_75 + (perc_90 - perc_75) * (2/3), converted_stat, '2K_Ratings'!W637, IF(bbgm_stat &gt;= perc_95, converted_stat * 3, IF(bbgm_stat &gt;= perc_90, converted_stat * 2, IF(bbgm_stat &gt;= perc_85, converted_stat * 1.5, converted_stat)))))</f>
        <v/>
      </c>
    </row>
    <row r="638">
      <c r="A638" s="30"/>
      <c r="B638" s="30" t="str">
        <f t="array" ref="B638">IF($A638="", "", LET(bbgm_stat, INDEX(Players!$A637:$P637, MATCH(B$2, Players!$A$1:$P$1, 0)), perc_75, VLOOKUP(B$2, Percentiles!$A$45:$I$59, 6, FALSE), perc_90, VLOOKUP(B$2, Percentiles!$A$45:$I$59, 7, FALSE), perc_95, VLOOKUP(B$2, Percentiles!$A$45:$I$59, 8, FALSE), perc_85, perc_75 + (perc_90 - perc_75) * (2/3), converted_stat, '2K_Ratings'!B638, IF(bbgm_stat &gt;= perc_95, converted_stat * 3, IF(bbgm_stat &gt;= perc_90, converted_stat * 2, IF(bbgm_stat &gt;= perc_85, converted_stat * 1.5, converted_stat)))))</f>
        <v/>
      </c>
      <c r="C638" s="30" t="str">
        <f t="array" ref="C638">IF($A638="", "", LET(bbgm_stat, INDEX(Players!$A637:$P637, MATCH(C$2, Players!$A$1:$P$1, 0)), perc_75, VLOOKUP(C$2, Percentiles!$A$45:$I$59, 6, FALSE), perc_90, VLOOKUP(C$2, Percentiles!$A$45:$I$59, 7, FALSE), perc_95, VLOOKUP(C$2, Percentiles!$A$45:$I$59, 8, FALSE), perc_85, perc_75 + (perc_90 - perc_75) * (2/3), converted_stat, '2K_Ratings'!C638, IF(bbgm_stat &gt;= perc_95, converted_stat * 3, IF(bbgm_stat &gt;= perc_90, converted_stat * 2, IF(bbgm_stat &gt;= perc_85, converted_stat * 1.5, converted_stat)))))</f>
        <v/>
      </c>
      <c r="D638" s="30" t="str">
        <f t="array" ref="D638">IF($A638="", "", LET(bbgm_stat, INDEX(Players!$A637:$P637, MATCH(D$2, Players!$A$1:$P$1, 0)), perc_75, VLOOKUP(D$2, Percentiles!$A$45:$I$59, 6, FALSE), perc_90, VLOOKUP(D$2, Percentiles!$A$45:$I$59, 7, FALSE), perc_95, VLOOKUP(D$2, Percentiles!$A$45:$I$59, 8, FALSE), perc_85, perc_75 + (perc_90 - perc_75) * (2/3), converted_stat, '2K_Ratings'!D638, IF(bbgm_stat &gt;= perc_95, converted_stat * 3, IF(bbgm_stat &gt;= perc_90, converted_stat * 2, IF(bbgm_stat &gt;= perc_85, converted_stat * 1.5, converted_stat)))))</f>
        <v/>
      </c>
      <c r="E638" s="30" t="str">
        <f t="array" ref="E638">IF($A638="", "", LET(bbgm_stat, INDEX(Players!$A637:$P637, MATCH(E$2, Players!$A$1:$P$1, 0)), perc_75, VLOOKUP(E$2, Percentiles!$A$45:$I$59, 6, FALSE), perc_90, VLOOKUP(E$2, Percentiles!$A$45:$I$59, 7, FALSE), perc_95, VLOOKUP(E$2, Percentiles!$A$45:$I$59, 8, FALSE), perc_85, perc_75 + (perc_90 - perc_75) * (2/3), converted_stat, '2K_Ratings'!E638, IF(bbgm_stat &gt;= perc_95, converted_stat * 3, IF(bbgm_stat &gt;= perc_90, converted_stat * 2, IF(bbgm_stat &gt;= perc_85, converted_stat * 1.5, converted_stat)))))</f>
        <v/>
      </c>
      <c r="F638" s="30" t="str">
        <f t="array" ref="F638">IF($A638="", "", LET(bbgm_stat, INDEX(Players!$A637:$P637, MATCH(F$2, Players!$A$1:$P$1, 0)), perc_75, VLOOKUP(F$2, Percentiles!$A$45:$I$59, 6, FALSE), perc_90, VLOOKUP(F$2, Percentiles!$A$45:$I$59, 7, FALSE), perc_95, VLOOKUP(F$2, Percentiles!$A$45:$I$59, 8, FALSE), perc_85, perc_75 + (perc_90 - perc_75) * (2/3), converted_stat, '2K_Ratings'!F638, IF(bbgm_stat &gt;= perc_95, converted_stat * 3, IF(bbgm_stat &gt;= perc_90, converted_stat * 2, IF(bbgm_stat &gt;= perc_85, converted_stat * 1.5, converted_stat)))))</f>
        <v/>
      </c>
      <c r="G638" s="30" t="str">
        <f t="array" ref="G638">IF($A638="", "", LET(bbgm_stat, INDEX(Players!$A637:$P637, MATCH(G$2, Players!$A$1:$P$1, 0)), perc_75, VLOOKUP(G$2, Percentiles!$A$45:$I$59, 6, FALSE), perc_90, VLOOKUP(G$2, Percentiles!$A$45:$I$59, 7, FALSE), perc_95, VLOOKUP(G$2, Percentiles!$A$45:$I$59, 8, FALSE), perc_85, perc_75 + (perc_90 - perc_75) * (2/3), converted_stat, '2K_Ratings'!G638, IF(bbgm_stat &gt;= perc_95, converted_stat * 3, IF(bbgm_stat &gt;= perc_90, converted_stat * 2, IF(bbgm_stat &gt;= perc_85, converted_stat * 1.5, converted_stat)))))</f>
        <v/>
      </c>
      <c r="H638" s="30" t="str">
        <f t="array" ref="H638">IF($A638="", "", LET(bbgm_stat, INDEX(Players!$A637:$P637, MATCH(H$2, Players!$A$1:$P$1, 0)), perc_75, VLOOKUP(H$2, Percentiles!$A$45:$I$59, 6, FALSE), perc_90, VLOOKUP(H$2, Percentiles!$A$45:$I$59, 7, FALSE), perc_95, VLOOKUP(H$2, Percentiles!$A$45:$I$59, 8, FALSE), perc_85, perc_75 + (perc_90 - perc_75) * (2/3), converted_stat, '2K_Ratings'!H638, IF(bbgm_stat &gt;= perc_95, converted_stat * 3, IF(bbgm_stat &gt;= perc_90, converted_stat * 2, IF(bbgm_stat &gt;= perc_85, converted_stat * 1.5, converted_stat)))))</f>
        <v/>
      </c>
      <c r="I638" s="30" t="str">
        <f t="array" ref="I638">IF($A638="", "", LET(bbgm_stat, INDEX(Players!$A637:$P637, MATCH(I$2, Players!$A$1:$P$1, 0)), perc_75, VLOOKUP(I$2, Percentiles!$A$45:$I$59, 6, FALSE), perc_90, VLOOKUP(I$2, Percentiles!$A$45:$I$59, 7, FALSE), perc_95, VLOOKUP(I$2, Percentiles!$A$45:$I$59, 8, FALSE), perc_85, perc_75 + (perc_90 - perc_75) * (2/3), converted_stat, '2K_Ratings'!I638, IF(bbgm_stat &gt;= perc_95, converted_stat * 3, IF(bbgm_stat &gt;= perc_90, converted_stat * 2, IF(bbgm_stat &gt;= perc_85, converted_stat * 1.5, converted_stat)))))</f>
        <v/>
      </c>
      <c r="J638" s="30" t="str">
        <f t="array" ref="J638">IF($A638="", "", LET(bbgm_stat, INDEX(Players!$A637:$P637, MATCH(J$2, Players!$A$1:$P$1, 0)), perc_75, VLOOKUP(J$2, Percentiles!$A$45:$I$59, 6, FALSE), perc_90, VLOOKUP(J$2, Percentiles!$A$45:$I$59, 7, FALSE), perc_95, VLOOKUP(J$2, Percentiles!$A$45:$I$59, 8, FALSE), perc_85, perc_75 + (perc_90 - perc_75) * (2/3), converted_stat, '2K_Ratings'!J638, IF(bbgm_stat &gt;= perc_95, converted_stat * 3, IF(bbgm_stat &gt;= perc_90, converted_stat * 2, IF(bbgm_stat &gt;= perc_85, converted_stat * 1.5, converted_stat)))))</f>
        <v/>
      </c>
      <c r="K638" s="30" t="str">
        <f t="array" ref="K638">IF($A638="", "", LET(bbgm_stat, INDEX(Players!$A637:$P637, MATCH(K$2, Players!$A$1:$P$1, 0)), perc_75, VLOOKUP(K$2, Percentiles!$A$45:$I$59, 6, FALSE), perc_90, VLOOKUP(K$2, Percentiles!$A$45:$I$59, 7, FALSE), perc_95, VLOOKUP(K$2, Percentiles!$A$45:$I$59, 8, FALSE), perc_85, perc_75 + (perc_90 - perc_75) * (2/3), converted_stat, '2K_Ratings'!K638, IF(bbgm_stat &gt;= perc_95, converted_stat * 3, IF(bbgm_stat &gt;= perc_90, converted_stat * 2, IF(bbgm_stat &gt;= perc_85, converted_stat * 1.5, converted_stat)))))</f>
        <v/>
      </c>
      <c r="L638" s="30" t="str">
        <f t="array" ref="L638">IF($A638="", "", LET(bbgm_stat, INDEX(Players!$A637:$P637, MATCH(L$2, Players!$A$1:$P$1, 0)), perc_75, VLOOKUP(L$2, Percentiles!$A$45:$I$59, 6, FALSE), perc_90, VLOOKUP(L$2, Percentiles!$A$45:$I$59, 7, FALSE), perc_95, VLOOKUP(L$2, Percentiles!$A$45:$I$59, 8, FALSE), perc_85, perc_75 + (perc_90 - perc_75) * (2/3), converted_stat, '2K_Ratings'!L638, IF(bbgm_stat &gt;= perc_95, converted_stat * 3, IF(bbgm_stat &gt;= perc_90, converted_stat * 2, IF(bbgm_stat &gt;= perc_85, converted_stat * 1.5, converted_stat)))))</f>
        <v/>
      </c>
      <c r="M638" s="30" t="str">
        <f t="array" ref="M638">IF($A638="", "", LET(bbgm_stat, INDEX(Players!$A637:$P637, MATCH(M$2, Players!$A$1:$P$1, 0)), perc_75, VLOOKUP(M$2, Percentiles!$A$45:$I$59, 6, FALSE), perc_90, VLOOKUP(M$2, Percentiles!$A$45:$I$59, 7, FALSE), perc_95, VLOOKUP(M$2, Percentiles!$A$45:$I$59, 8, FALSE), perc_85, perc_75 + (perc_90 - perc_75) * (2/3), converted_stat, '2K_Ratings'!M638, IF(bbgm_stat &gt;= perc_95, converted_stat * 3, IF(bbgm_stat &gt;= perc_90, converted_stat * 2, IF(bbgm_stat &gt;= perc_85, converted_stat * 1.5, converted_stat)))))</f>
        <v/>
      </c>
      <c r="N638" s="30" t="str">
        <f t="array" ref="N638">IF($A638="", "", LET(bbgm_stat, INDEX(Players!$A637:$P637, MATCH(N$2, Players!$A$1:$P$1, 0)), perc_75, VLOOKUP(N$2, Percentiles!$A$45:$I$59, 6, FALSE), perc_90, VLOOKUP(N$2, Percentiles!$A$45:$I$59, 7, FALSE), perc_95, VLOOKUP(N$2, Percentiles!$A$45:$I$59, 8, FALSE), perc_85, perc_75 + (perc_90 - perc_75) * (2/3), converted_stat, '2K_Ratings'!N638, IF(bbgm_stat &gt;= perc_95, converted_stat * 3, IF(bbgm_stat &gt;= perc_90, converted_stat * 2, IF(bbgm_stat &gt;= perc_85, converted_stat * 1.5, converted_stat)))))</f>
        <v/>
      </c>
      <c r="O638" s="30" t="str">
        <f t="array" ref="O638">IF($A638="", "", LET(bbgm_stat, INDEX(Players!$A637:$P637, MATCH(O$2, Players!$A$1:$P$1, 0)), perc_75, VLOOKUP(O$2, Percentiles!$A$45:$I$59, 6, FALSE), perc_90, VLOOKUP(O$2, Percentiles!$A$45:$I$59, 7, FALSE), perc_95, VLOOKUP(O$2, Percentiles!$A$45:$I$59, 8, FALSE), perc_85, perc_75 + (perc_90 - perc_75) * (2/3), converted_stat, '2K_Ratings'!O638, IF(bbgm_stat &gt;= perc_95, converted_stat * 3, IF(bbgm_stat &gt;= perc_90, converted_stat * 2, IF(bbgm_stat &gt;= perc_85, converted_stat * 1.5, converted_stat)))))</f>
        <v/>
      </c>
      <c r="P638" s="30" t="str">
        <f t="array" ref="P638">IF($A638="", "", LET(bbgm_stat, INDEX(Players!$A637:$P637, MATCH(P$2, Players!$A$1:$P$1, 0)), perc_75, VLOOKUP(P$2, Percentiles!$A$45:$I$59, 6, FALSE), perc_90, VLOOKUP(P$2, Percentiles!$A$45:$I$59, 7, FALSE), perc_95, VLOOKUP(P$2, Percentiles!$A$45:$I$59, 8, FALSE), perc_85, perc_75 + (perc_90 - perc_75) * (2/3), converted_stat, '2K_Ratings'!P638, IF(bbgm_stat &gt;= perc_95, converted_stat * 3, IF(bbgm_stat &gt;= perc_90, converted_stat * 2, IF(bbgm_stat &gt;= perc_85, converted_stat * 1.5, converted_stat)))))</f>
        <v/>
      </c>
      <c r="Q638" s="30" t="str">
        <f t="array" ref="Q638">IF($A638="", "", LET(bbgm_stat, INDEX(Players!$A637:$P637, MATCH(Q$2, Players!$A$1:$P$1, 0)), perc_75, VLOOKUP(Q$2, Percentiles!$A$45:$I$59, 6, FALSE), perc_90, VLOOKUP(Q$2, Percentiles!$A$45:$I$59, 7, FALSE), perc_95, VLOOKUP(Q$2, Percentiles!$A$45:$I$59, 8, FALSE), perc_85, perc_75 + (perc_90 - perc_75) * (2/3), converted_stat, '2K_Ratings'!Q638, IF(bbgm_stat &gt;= perc_95, converted_stat * 3, IF(bbgm_stat &gt;= perc_90, converted_stat * 2, IF(bbgm_stat &gt;= perc_85, converted_stat * 1.5, converted_stat)))))</f>
        <v/>
      </c>
      <c r="R638" s="30" t="str">
        <f t="array" ref="R638">IF($A638="", "", LET(bbgm_stat, INDEX(Players!$A637:$P637, MATCH(R$2, Players!$A$1:$P$1, 0)), perc_75, VLOOKUP(R$2, Percentiles!$A$45:$I$59, 6, FALSE), perc_90, VLOOKUP(R$2, Percentiles!$A$45:$I$59, 7, FALSE), perc_95, VLOOKUP(R$2, Percentiles!$A$45:$I$59, 8, FALSE), perc_85, perc_75 + (perc_90 - perc_75) * (2/3), converted_stat, '2K_Ratings'!R638, IF(bbgm_stat &gt;= perc_95, converted_stat * 3, IF(bbgm_stat &gt;= perc_90, converted_stat * 2, IF(bbgm_stat &gt;= perc_85, converted_stat * 1.5, converted_stat)))))</f>
        <v/>
      </c>
      <c r="S638" s="30" t="str">
        <f t="array" ref="S638">IF($A638="", "", LET(bbgm_stat, INDEX(Players!$A637:$P637, MATCH(S$2, Players!$A$1:$P$1, 0)), perc_75, VLOOKUP(S$2, Percentiles!$A$45:$I$59, 6, FALSE), perc_90, VLOOKUP(S$2, Percentiles!$A$45:$I$59, 7, FALSE), perc_95, VLOOKUP(S$2, Percentiles!$A$45:$I$59, 8, FALSE), perc_85, perc_75 + (perc_90 - perc_75) * (2/3), converted_stat, '2K_Ratings'!S638, IF(bbgm_stat &gt;= perc_95, converted_stat * 3, IF(bbgm_stat &gt;= perc_90, converted_stat * 2, IF(bbgm_stat &gt;= perc_85, converted_stat * 1.5, converted_stat)))))</f>
        <v/>
      </c>
      <c r="T638" s="30" t="str">
        <f t="array" ref="T638">IF($A638="", "", LET(bbgm_stat, INDEX(Players!$A637:$P637, MATCH(T$2, Players!$A$1:$P$1, 0)), perc_75, VLOOKUP(T$2, Percentiles!$A$45:$I$59, 6, FALSE), perc_90, VLOOKUP(T$2, Percentiles!$A$45:$I$59, 7, FALSE), perc_95, VLOOKUP(T$2, Percentiles!$A$45:$I$59, 8, FALSE), perc_85, perc_75 + (perc_90 - perc_75) * (2/3), converted_stat, '2K_Ratings'!T638, IF(bbgm_stat &gt;= perc_95, converted_stat * 3, IF(bbgm_stat &gt;= perc_90, converted_stat * 2, IF(bbgm_stat &gt;= perc_85, converted_stat * 1.5, converted_stat)))))</f>
        <v/>
      </c>
      <c r="U638" s="30" t="str">
        <f t="array" ref="U638">IF($A638="", "", LET(bbgm_stat, INDEX(Players!$A637:$P637, MATCH(U$2, Players!$A$1:$P$1, 0)), perc_75, VLOOKUP(U$2, Percentiles!$A$45:$I$59, 6, FALSE), perc_90, VLOOKUP(U$2, Percentiles!$A$45:$I$59, 7, FALSE), perc_95, VLOOKUP(U$2, Percentiles!$A$45:$I$59, 8, FALSE), perc_85, perc_75 + (perc_90 - perc_75) * (2/3), converted_stat, '2K_Ratings'!U638, IF(bbgm_stat &gt;= perc_95, converted_stat * 3, IF(bbgm_stat &gt;= perc_90, converted_stat * 2, IF(bbgm_stat &gt;= perc_85, converted_stat * 1.5, converted_stat)))))</f>
        <v/>
      </c>
      <c r="V638" s="30" t="str">
        <f t="array" ref="V638">IF($A638="", "", LET(bbgm_stat, INDEX(Players!$A637:$P637, MATCH(V$2, Players!$A$1:$P$1, 0)), perc_75, VLOOKUP(V$2, Percentiles!$A$45:$I$59, 6, FALSE), perc_90, VLOOKUP(V$2, Percentiles!$A$45:$I$59, 7, FALSE), perc_95, VLOOKUP(V$2, Percentiles!$A$45:$I$59, 8, FALSE), perc_85, perc_75 + (perc_90 - perc_75) * (2/3), converted_stat, '2K_Ratings'!V638, IF(bbgm_stat &gt;= perc_95, converted_stat * 3, IF(bbgm_stat &gt;= perc_90, converted_stat * 2, IF(bbgm_stat &gt;= perc_85, converted_stat * 1.5, converted_stat)))))</f>
        <v/>
      </c>
      <c r="W638" s="30" t="str">
        <f t="array" ref="W638">IF($A638="", "", LET(bbgm_stat, INDEX(Players!$A637:$P637, MATCH(W$2, Players!$A$1:$P$1, 0)), perc_75, VLOOKUP(W$2, Percentiles!$A$45:$I$59, 6, FALSE), perc_90, VLOOKUP(W$2, Percentiles!$A$45:$I$59, 7, FALSE), perc_95, VLOOKUP(W$2, Percentiles!$A$45:$I$59, 8, FALSE), perc_85, perc_75 + (perc_90 - perc_75) * (2/3), converted_stat, '2K_Ratings'!W638, IF(bbgm_stat &gt;= perc_95, converted_stat * 3, IF(bbgm_stat &gt;= perc_90, converted_stat * 2, IF(bbgm_stat &gt;= perc_85, converted_stat * 1.5, converted_stat)))))</f>
        <v/>
      </c>
    </row>
    <row r="639">
      <c r="A639" s="30"/>
      <c r="B639" s="30" t="str">
        <f t="array" ref="B639">IF($A639="", "", LET(bbgm_stat, INDEX(Players!$A638:$P638, MATCH(B$2, Players!$A$1:$P$1, 0)), perc_75, VLOOKUP(B$2, Percentiles!$A$45:$I$59, 6, FALSE), perc_90, VLOOKUP(B$2, Percentiles!$A$45:$I$59, 7, FALSE), perc_95, VLOOKUP(B$2, Percentiles!$A$45:$I$59, 8, FALSE), perc_85, perc_75 + (perc_90 - perc_75) * (2/3), converted_stat, '2K_Ratings'!B639, IF(bbgm_stat &gt;= perc_95, converted_stat * 3, IF(bbgm_stat &gt;= perc_90, converted_stat * 2, IF(bbgm_stat &gt;= perc_85, converted_stat * 1.5, converted_stat)))))</f>
        <v/>
      </c>
      <c r="C639" s="30" t="str">
        <f t="array" ref="C639">IF($A639="", "", LET(bbgm_stat, INDEX(Players!$A638:$P638, MATCH(C$2, Players!$A$1:$P$1, 0)), perc_75, VLOOKUP(C$2, Percentiles!$A$45:$I$59, 6, FALSE), perc_90, VLOOKUP(C$2, Percentiles!$A$45:$I$59, 7, FALSE), perc_95, VLOOKUP(C$2, Percentiles!$A$45:$I$59, 8, FALSE), perc_85, perc_75 + (perc_90 - perc_75) * (2/3), converted_stat, '2K_Ratings'!C639, IF(bbgm_stat &gt;= perc_95, converted_stat * 3, IF(bbgm_stat &gt;= perc_90, converted_stat * 2, IF(bbgm_stat &gt;= perc_85, converted_stat * 1.5, converted_stat)))))</f>
        <v/>
      </c>
      <c r="D639" s="30" t="str">
        <f t="array" ref="D639">IF($A639="", "", LET(bbgm_stat, INDEX(Players!$A638:$P638, MATCH(D$2, Players!$A$1:$P$1, 0)), perc_75, VLOOKUP(D$2, Percentiles!$A$45:$I$59, 6, FALSE), perc_90, VLOOKUP(D$2, Percentiles!$A$45:$I$59, 7, FALSE), perc_95, VLOOKUP(D$2, Percentiles!$A$45:$I$59, 8, FALSE), perc_85, perc_75 + (perc_90 - perc_75) * (2/3), converted_stat, '2K_Ratings'!D639, IF(bbgm_stat &gt;= perc_95, converted_stat * 3, IF(bbgm_stat &gt;= perc_90, converted_stat * 2, IF(bbgm_stat &gt;= perc_85, converted_stat * 1.5, converted_stat)))))</f>
        <v/>
      </c>
      <c r="E639" s="30" t="str">
        <f t="array" ref="E639">IF($A639="", "", LET(bbgm_stat, INDEX(Players!$A638:$P638, MATCH(E$2, Players!$A$1:$P$1, 0)), perc_75, VLOOKUP(E$2, Percentiles!$A$45:$I$59, 6, FALSE), perc_90, VLOOKUP(E$2, Percentiles!$A$45:$I$59, 7, FALSE), perc_95, VLOOKUP(E$2, Percentiles!$A$45:$I$59, 8, FALSE), perc_85, perc_75 + (perc_90 - perc_75) * (2/3), converted_stat, '2K_Ratings'!E639, IF(bbgm_stat &gt;= perc_95, converted_stat * 3, IF(bbgm_stat &gt;= perc_90, converted_stat * 2, IF(bbgm_stat &gt;= perc_85, converted_stat * 1.5, converted_stat)))))</f>
        <v/>
      </c>
      <c r="F639" s="30" t="str">
        <f t="array" ref="F639">IF($A639="", "", LET(bbgm_stat, INDEX(Players!$A638:$P638, MATCH(F$2, Players!$A$1:$P$1, 0)), perc_75, VLOOKUP(F$2, Percentiles!$A$45:$I$59, 6, FALSE), perc_90, VLOOKUP(F$2, Percentiles!$A$45:$I$59, 7, FALSE), perc_95, VLOOKUP(F$2, Percentiles!$A$45:$I$59, 8, FALSE), perc_85, perc_75 + (perc_90 - perc_75) * (2/3), converted_stat, '2K_Ratings'!F639, IF(bbgm_stat &gt;= perc_95, converted_stat * 3, IF(bbgm_stat &gt;= perc_90, converted_stat * 2, IF(bbgm_stat &gt;= perc_85, converted_stat * 1.5, converted_stat)))))</f>
        <v/>
      </c>
      <c r="G639" s="30" t="str">
        <f t="array" ref="G639">IF($A639="", "", LET(bbgm_stat, INDEX(Players!$A638:$P638, MATCH(G$2, Players!$A$1:$P$1, 0)), perc_75, VLOOKUP(G$2, Percentiles!$A$45:$I$59, 6, FALSE), perc_90, VLOOKUP(G$2, Percentiles!$A$45:$I$59, 7, FALSE), perc_95, VLOOKUP(G$2, Percentiles!$A$45:$I$59, 8, FALSE), perc_85, perc_75 + (perc_90 - perc_75) * (2/3), converted_stat, '2K_Ratings'!G639, IF(bbgm_stat &gt;= perc_95, converted_stat * 3, IF(bbgm_stat &gt;= perc_90, converted_stat * 2, IF(bbgm_stat &gt;= perc_85, converted_stat * 1.5, converted_stat)))))</f>
        <v/>
      </c>
      <c r="H639" s="30" t="str">
        <f t="array" ref="H639">IF($A639="", "", LET(bbgm_stat, INDEX(Players!$A638:$P638, MATCH(H$2, Players!$A$1:$P$1, 0)), perc_75, VLOOKUP(H$2, Percentiles!$A$45:$I$59, 6, FALSE), perc_90, VLOOKUP(H$2, Percentiles!$A$45:$I$59, 7, FALSE), perc_95, VLOOKUP(H$2, Percentiles!$A$45:$I$59, 8, FALSE), perc_85, perc_75 + (perc_90 - perc_75) * (2/3), converted_stat, '2K_Ratings'!H639, IF(bbgm_stat &gt;= perc_95, converted_stat * 3, IF(bbgm_stat &gt;= perc_90, converted_stat * 2, IF(bbgm_stat &gt;= perc_85, converted_stat * 1.5, converted_stat)))))</f>
        <v/>
      </c>
      <c r="I639" s="30" t="str">
        <f t="array" ref="I639">IF($A639="", "", LET(bbgm_stat, INDEX(Players!$A638:$P638, MATCH(I$2, Players!$A$1:$P$1, 0)), perc_75, VLOOKUP(I$2, Percentiles!$A$45:$I$59, 6, FALSE), perc_90, VLOOKUP(I$2, Percentiles!$A$45:$I$59, 7, FALSE), perc_95, VLOOKUP(I$2, Percentiles!$A$45:$I$59, 8, FALSE), perc_85, perc_75 + (perc_90 - perc_75) * (2/3), converted_stat, '2K_Ratings'!I639, IF(bbgm_stat &gt;= perc_95, converted_stat * 3, IF(bbgm_stat &gt;= perc_90, converted_stat * 2, IF(bbgm_stat &gt;= perc_85, converted_stat * 1.5, converted_stat)))))</f>
        <v/>
      </c>
      <c r="J639" s="30" t="str">
        <f t="array" ref="J639">IF($A639="", "", LET(bbgm_stat, INDEX(Players!$A638:$P638, MATCH(J$2, Players!$A$1:$P$1, 0)), perc_75, VLOOKUP(J$2, Percentiles!$A$45:$I$59, 6, FALSE), perc_90, VLOOKUP(J$2, Percentiles!$A$45:$I$59, 7, FALSE), perc_95, VLOOKUP(J$2, Percentiles!$A$45:$I$59, 8, FALSE), perc_85, perc_75 + (perc_90 - perc_75) * (2/3), converted_stat, '2K_Ratings'!J639, IF(bbgm_stat &gt;= perc_95, converted_stat * 3, IF(bbgm_stat &gt;= perc_90, converted_stat * 2, IF(bbgm_stat &gt;= perc_85, converted_stat * 1.5, converted_stat)))))</f>
        <v/>
      </c>
      <c r="K639" s="30" t="str">
        <f t="array" ref="K639">IF($A639="", "", LET(bbgm_stat, INDEX(Players!$A638:$P638, MATCH(K$2, Players!$A$1:$P$1, 0)), perc_75, VLOOKUP(K$2, Percentiles!$A$45:$I$59, 6, FALSE), perc_90, VLOOKUP(K$2, Percentiles!$A$45:$I$59, 7, FALSE), perc_95, VLOOKUP(K$2, Percentiles!$A$45:$I$59, 8, FALSE), perc_85, perc_75 + (perc_90 - perc_75) * (2/3), converted_stat, '2K_Ratings'!K639, IF(bbgm_stat &gt;= perc_95, converted_stat * 3, IF(bbgm_stat &gt;= perc_90, converted_stat * 2, IF(bbgm_stat &gt;= perc_85, converted_stat * 1.5, converted_stat)))))</f>
        <v/>
      </c>
      <c r="L639" s="30" t="str">
        <f t="array" ref="L639">IF($A639="", "", LET(bbgm_stat, INDEX(Players!$A638:$P638, MATCH(L$2, Players!$A$1:$P$1, 0)), perc_75, VLOOKUP(L$2, Percentiles!$A$45:$I$59, 6, FALSE), perc_90, VLOOKUP(L$2, Percentiles!$A$45:$I$59, 7, FALSE), perc_95, VLOOKUP(L$2, Percentiles!$A$45:$I$59, 8, FALSE), perc_85, perc_75 + (perc_90 - perc_75) * (2/3), converted_stat, '2K_Ratings'!L639, IF(bbgm_stat &gt;= perc_95, converted_stat * 3, IF(bbgm_stat &gt;= perc_90, converted_stat * 2, IF(bbgm_stat &gt;= perc_85, converted_stat * 1.5, converted_stat)))))</f>
        <v/>
      </c>
      <c r="M639" s="30" t="str">
        <f t="array" ref="M639">IF($A639="", "", LET(bbgm_stat, INDEX(Players!$A638:$P638, MATCH(M$2, Players!$A$1:$P$1, 0)), perc_75, VLOOKUP(M$2, Percentiles!$A$45:$I$59, 6, FALSE), perc_90, VLOOKUP(M$2, Percentiles!$A$45:$I$59, 7, FALSE), perc_95, VLOOKUP(M$2, Percentiles!$A$45:$I$59, 8, FALSE), perc_85, perc_75 + (perc_90 - perc_75) * (2/3), converted_stat, '2K_Ratings'!M639, IF(bbgm_stat &gt;= perc_95, converted_stat * 3, IF(bbgm_stat &gt;= perc_90, converted_stat * 2, IF(bbgm_stat &gt;= perc_85, converted_stat * 1.5, converted_stat)))))</f>
        <v/>
      </c>
      <c r="N639" s="30" t="str">
        <f t="array" ref="N639">IF($A639="", "", LET(bbgm_stat, INDEX(Players!$A638:$P638, MATCH(N$2, Players!$A$1:$P$1, 0)), perc_75, VLOOKUP(N$2, Percentiles!$A$45:$I$59, 6, FALSE), perc_90, VLOOKUP(N$2, Percentiles!$A$45:$I$59, 7, FALSE), perc_95, VLOOKUP(N$2, Percentiles!$A$45:$I$59, 8, FALSE), perc_85, perc_75 + (perc_90 - perc_75) * (2/3), converted_stat, '2K_Ratings'!N639, IF(bbgm_stat &gt;= perc_95, converted_stat * 3, IF(bbgm_stat &gt;= perc_90, converted_stat * 2, IF(bbgm_stat &gt;= perc_85, converted_stat * 1.5, converted_stat)))))</f>
        <v/>
      </c>
      <c r="O639" s="30" t="str">
        <f t="array" ref="O639">IF($A639="", "", LET(bbgm_stat, INDEX(Players!$A638:$P638, MATCH(O$2, Players!$A$1:$P$1, 0)), perc_75, VLOOKUP(O$2, Percentiles!$A$45:$I$59, 6, FALSE), perc_90, VLOOKUP(O$2, Percentiles!$A$45:$I$59, 7, FALSE), perc_95, VLOOKUP(O$2, Percentiles!$A$45:$I$59, 8, FALSE), perc_85, perc_75 + (perc_90 - perc_75) * (2/3), converted_stat, '2K_Ratings'!O639, IF(bbgm_stat &gt;= perc_95, converted_stat * 3, IF(bbgm_stat &gt;= perc_90, converted_stat * 2, IF(bbgm_stat &gt;= perc_85, converted_stat * 1.5, converted_stat)))))</f>
        <v/>
      </c>
      <c r="P639" s="30" t="str">
        <f t="array" ref="P639">IF($A639="", "", LET(bbgm_stat, INDEX(Players!$A638:$P638, MATCH(P$2, Players!$A$1:$P$1, 0)), perc_75, VLOOKUP(P$2, Percentiles!$A$45:$I$59, 6, FALSE), perc_90, VLOOKUP(P$2, Percentiles!$A$45:$I$59, 7, FALSE), perc_95, VLOOKUP(P$2, Percentiles!$A$45:$I$59, 8, FALSE), perc_85, perc_75 + (perc_90 - perc_75) * (2/3), converted_stat, '2K_Ratings'!P639, IF(bbgm_stat &gt;= perc_95, converted_stat * 3, IF(bbgm_stat &gt;= perc_90, converted_stat * 2, IF(bbgm_stat &gt;= perc_85, converted_stat * 1.5, converted_stat)))))</f>
        <v/>
      </c>
      <c r="Q639" s="30" t="str">
        <f t="array" ref="Q639">IF($A639="", "", LET(bbgm_stat, INDEX(Players!$A638:$P638, MATCH(Q$2, Players!$A$1:$P$1, 0)), perc_75, VLOOKUP(Q$2, Percentiles!$A$45:$I$59, 6, FALSE), perc_90, VLOOKUP(Q$2, Percentiles!$A$45:$I$59, 7, FALSE), perc_95, VLOOKUP(Q$2, Percentiles!$A$45:$I$59, 8, FALSE), perc_85, perc_75 + (perc_90 - perc_75) * (2/3), converted_stat, '2K_Ratings'!Q639, IF(bbgm_stat &gt;= perc_95, converted_stat * 3, IF(bbgm_stat &gt;= perc_90, converted_stat * 2, IF(bbgm_stat &gt;= perc_85, converted_stat * 1.5, converted_stat)))))</f>
        <v/>
      </c>
      <c r="R639" s="30" t="str">
        <f t="array" ref="R639">IF($A639="", "", LET(bbgm_stat, INDEX(Players!$A638:$P638, MATCH(R$2, Players!$A$1:$P$1, 0)), perc_75, VLOOKUP(R$2, Percentiles!$A$45:$I$59, 6, FALSE), perc_90, VLOOKUP(R$2, Percentiles!$A$45:$I$59, 7, FALSE), perc_95, VLOOKUP(R$2, Percentiles!$A$45:$I$59, 8, FALSE), perc_85, perc_75 + (perc_90 - perc_75) * (2/3), converted_stat, '2K_Ratings'!R639, IF(bbgm_stat &gt;= perc_95, converted_stat * 3, IF(bbgm_stat &gt;= perc_90, converted_stat * 2, IF(bbgm_stat &gt;= perc_85, converted_stat * 1.5, converted_stat)))))</f>
        <v/>
      </c>
      <c r="S639" s="30" t="str">
        <f t="array" ref="S639">IF($A639="", "", LET(bbgm_stat, INDEX(Players!$A638:$P638, MATCH(S$2, Players!$A$1:$P$1, 0)), perc_75, VLOOKUP(S$2, Percentiles!$A$45:$I$59, 6, FALSE), perc_90, VLOOKUP(S$2, Percentiles!$A$45:$I$59, 7, FALSE), perc_95, VLOOKUP(S$2, Percentiles!$A$45:$I$59, 8, FALSE), perc_85, perc_75 + (perc_90 - perc_75) * (2/3), converted_stat, '2K_Ratings'!S639, IF(bbgm_stat &gt;= perc_95, converted_stat * 3, IF(bbgm_stat &gt;= perc_90, converted_stat * 2, IF(bbgm_stat &gt;= perc_85, converted_stat * 1.5, converted_stat)))))</f>
        <v/>
      </c>
      <c r="T639" s="30" t="str">
        <f t="array" ref="T639">IF($A639="", "", LET(bbgm_stat, INDEX(Players!$A638:$P638, MATCH(T$2, Players!$A$1:$P$1, 0)), perc_75, VLOOKUP(T$2, Percentiles!$A$45:$I$59, 6, FALSE), perc_90, VLOOKUP(T$2, Percentiles!$A$45:$I$59, 7, FALSE), perc_95, VLOOKUP(T$2, Percentiles!$A$45:$I$59, 8, FALSE), perc_85, perc_75 + (perc_90 - perc_75) * (2/3), converted_stat, '2K_Ratings'!T639, IF(bbgm_stat &gt;= perc_95, converted_stat * 3, IF(bbgm_stat &gt;= perc_90, converted_stat * 2, IF(bbgm_stat &gt;= perc_85, converted_stat * 1.5, converted_stat)))))</f>
        <v/>
      </c>
      <c r="U639" s="30" t="str">
        <f t="array" ref="U639">IF($A639="", "", LET(bbgm_stat, INDEX(Players!$A638:$P638, MATCH(U$2, Players!$A$1:$P$1, 0)), perc_75, VLOOKUP(U$2, Percentiles!$A$45:$I$59, 6, FALSE), perc_90, VLOOKUP(U$2, Percentiles!$A$45:$I$59, 7, FALSE), perc_95, VLOOKUP(U$2, Percentiles!$A$45:$I$59, 8, FALSE), perc_85, perc_75 + (perc_90 - perc_75) * (2/3), converted_stat, '2K_Ratings'!U639, IF(bbgm_stat &gt;= perc_95, converted_stat * 3, IF(bbgm_stat &gt;= perc_90, converted_stat * 2, IF(bbgm_stat &gt;= perc_85, converted_stat * 1.5, converted_stat)))))</f>
        <v/>
      </c>
      <c r="V639" s="30" t="str">
        <f t="array" ref="V639">IF($A639="", "", LET(bbgm_stat, INDEX(Players!$A638:$P638, MATCH(V$2, Players!$A$1:$P$1, 0)), perc_75, VLOOKUP(V$2, Percentiles!$A$45:$I$59, 6, FALSE), perc_90, VLOOKUP(V$2, Percentiles!$A$45:$I$59, 7, FALSE), perc_95, VLOOKUP(V$2, Percentiles!$A$45:$I$59, 8, FALSE), perc_85, perc_75 + (perc_90 - perc_75) * (2/3), converted_stat, '2K_Ratings'!V639, IF(bbgm_stat &gt;= perc_95, converted_stat * 3, IF(bbgm_stat &gt;= perc_90, converted_stat * 2, IF(bbgm_stat &gt;= perc_85, converted_stat * 1.5, converted_stat)))))</f>
        <v/>
      </c>
      <c r="W639" s="30" t="str">
        <f t="array" ref="W639">IF($A639="", "", LET(bbgm_stat, INDEX(Players!$A638:$P638, MATCH(W$2, Players!$A$1:$P$1, 0)), perc_75, VLOOKUP(W$2, Percentiles!$A$45:$I$59, 6, FALSE), perc_90, VLOOKUP(W$2, Percentiles!$A$45:$I$59, 7, FALSE), perc_95, VLOOKUP(W$2, Percentiles!$A$45:$I$59, 8, FALSE), perc_85, perc_75 + (perc_90 - perc_75) * (2/3), converted_stat, '2K_Ratings'!W639, IF(bbgm_stat &gt;= perc_95, converted_stat * 3, IF(bbgm_stat &gt;= perc_90, converted_stat * 2, IF(bbgm_stat &gt;= perc_85, converted_stat * 1.5, converted_stat)))))</f>
        <v/>
      </c>
    </row>
    <row r="640">
      <c r="A640" s="30"/>
      <c r="B640" s="30" t="str">
        <f t="array" ref="B640">IF($A640="", "", LET(bbgm_stat, INDEX(Players!$A639:$P639, MATCH(B$2, Players!$A$1:$P$1, 0)), perc_75, VLOOKUP(B$2, Percentiles!$A$45:$I$59, 6, FALSE), perc_90, VLOOKUP(B$2, Percentiles!$A$45:$I$59, 7, FALSE), perc_95, VLOOKUP(B$2, Percentiles!$A$45:$I$59, 8, FALSE), perc_85, perc_75 + (perc_90 - perc_75) * (2/3), converted_stat, '2K_Ratings'!B640, IF(bbgm_stat &gt;= perc_95, converted_stat * 3, IF(bbgm_stat &gt;= perc_90, converted_stat * 2, IF(bbgm_stat &gt;= perc_85, converted_stat * 1.5, converted_stat)))))</f>
        <v/>
      </c>
      <c r="C640" s="30" t="str">
        <f t="array" ref="C640">IF($A640="", "", LET(bbgm_stat, INDEX(Players!$A639:$P639, MATCH(C$2, Players!$A$1:$P$1, 0)), perc_75, VLOOKUP(C$2, Percentiles!$A$45:$I$59, 6, FALSE), perc_90, VLOOKUP(C$2, Percentiles!$A$45:$I$59, 7, FALSE), perc_95, VLOOKUP(C$2, Percentiles!$A$45:$I$59, 8, FALSE), perc_85, perc_75 + (perc_90 - perc_75) * (2/3), converted_stat, '2K_Ratings'!C640, IF(bbgm_stat &gt;= perc_95, converted_stat * 3, IF(bbgm_stat &gt;= perc_90, converted_stat * 2, IF(bbgm_stat &gt;= perc_85, converted_stat * 1.5, converted_stat)))))</f>
        <v/>
      </c>
      <c r="D640" s="30" t="str">
        <f t="array" ref="D640">IF($A640="", "", LET(bbgm_stat, INDEX(Players!$A639:$P639, MATCH(D$2, Players!$A$1:$P$1, 0)), perc_75, VLOOKUP(D$2, Percentiles!$A$45:$I$59, 6, FALSE), perc_90, VLOOKUP(D$2, Percentiles!$A$45:$I$59, 7, FALSE), perc_95, VLOOKUP(D$2, Percentiles!$A$45:$I$59, 8, FALSE), perc_85, perc_75 + (perc_90 - perc_75) * (2/3), converted_stat, '2K_Ratings'!D640, IF(bbgm_stat &gt;= perc_95, converted_stat * 3, IF(bbgm_stat &gt;= perc_90, converted_stat * 2, IF(bbgm_stat &gt;= perc_85, converted_stat * 1.5, converted_stat)))))</f>
        <v/>
      </c>
      <c r="E640" s="30" t="str">
        <f t="array" ref="E640">IF($A640="", "", LET(bbgm_stat, INDEX(Players!$A639:$P639, MATCH(E$2, Players!$A$1:$P$1, 0)), perc_75, VLOOKUP(E$2, Percentiles!$A$45:$I$59, 6, FALSE), perc_90, VLOOKUP(E$2, Percentiles!$A$45:$I$59, 7, FALSE), perc_95, VLOOKUP(E$2, Percentiles!$A$45:$I$59, 8, FALSE), perc_85, perc_75 + (perc_90 - perc_75) * (2/3), converted_stat, '2K_Ratings'!E640, IF(bbgm_stat &gt;= perc_95, converted_stat * 3, IF(bbgm_stat &gt;= perc_90, converted_stat * 2, IF(bbgm_stat &gt;= perc_85, converted_stat * 1.5, converted_stat)))))</f>
        <v/>
      </c>
      <c r="F640" s="30" t="str">
        <f t="array" ref="F640">IF($A640="", "", LET(bbgm_stat, INDEX(Players!$A639:$P639, MATCH(F$2, Players!$A$1:$P$1, 0)), perc_75, VLOOKUP(F$2, Percentiles!$A$45:$I$59, 6, FALSE), perc_90, VLOOKUP(F$2, Percentiles!$A$45:$I$59, 7, FALSE), perc_95, VLOOKUP(F$2, Percentiles!$A$45:$I$59, 8, FALSE), perc_85, perc_75 + (perc_90 - perc_75) * (2/3), converted_stat, '2K_Ratings'!F640, IF(bbgm_stat &gt;= perc_95, converted_stat * 3, IF(bbgm_stat &gt;= perc_90, converted_stat * 2, IF(bbgm_stat &gt;= perc_85, converted_stat * 1.5, converted_stat)))))</f>
        <v/>
      </c>
      <c r="G640" s="30" t="str">
        <f t="array" ref="G640">IF($A640="", "", LET(bbgm_stat, INDEX(Players!$A639:$P639, MATCH(G$2, Players!$A$1:$P$1, 0)), perc_75, VLOOKUP(G$2, Percentiles!$A$45:$I$59, 6, FALSE), perc_90, VLOOKUP(G$2, Percentiles!$A$45:$I$59, 7, FALSE), perc_95, VLOOKUP(G$2, Percentiles!$A$45:$I$59, 8, FALSE), perc_85, perc_75 + (perc_90 - perc_75) * (2/3), converted_stat, '2K_Ratings'!G640, IF(bbgm_stat &gt;= perc_95, converted_stat * 3, IF(bbgm_stat &gt;= perc_90, converted_stat * 2, IF(bbgm_stat &gt;= perc_85, converted_stat * 1.5, converted_stat)))))</f>
        <v/>
      </c>
      <c r="H640" s="30" t="str">
        <f t="array" ref="H640">IF($A640="", "", LET(bbgm_stat, INDEX(Players!$A639:$P639, MATCH(H$2, Players!$A$1:$P$1, 0)), perc_75, VLOOKUP(H$2, Percentiles!$A$45:$I$59, 6, FALSE), perc_90, VLOOKUP(H$2, Percentiles!$A$45:$I$59, 7, FALSE), perc_95, VLOOKUP(H$2, Percentiles!$A$45:$I$59, 8, FALSE), perc_85, perc_75 + (perc_90 - perc_75) * (2/3), converted_stat, '2K_Ratings'!H640, IF(bbgm_stat &gt;= perc_95, converted_stat * 3, IF(bbgm_stat &gt;= perc_90, converted_stat * 2, IF(bbgm_stat &gt;= perc_85, converted_stat * 1.5, converted_stat)))))</f>
        <v/>
      </c>
      <c r="I640" s="30" t="str">
        <f t="array" ref="I640">IF($A640="", "", LET(bbgm_stat, INDEX(Players!$A639:$P639, MATCH(I$2, Players!$A$1:$P$1, 0)), perc_75, VLOOKUP(I$2, Percentiles!$A$45:$I$59, 6, FALSE), perc_90, VLOOKUP(I$2, Percentiles!$A$45:$I$59, 7, FALSE), perc_95, VLOOKUP(I$2, Percentiles!$A$45:$I$59, 8, FALSE), perc_85, perc_75 + (perc_90 - perc_75) * (2/3), converted_stat, '2K_Ratings'!I640, IF(bbgm_stat &gt;= perc_95, converted_stat * 3, IF(bbgm_stat &gt;= perc_90, converted_stat * 2, IF(bbgm_stat &gt;= perc_85, converted_stat * 1.5, converted_stat)))))</f>
        <v/>
      </c>
      <c r="J640" s="30" t="str">
        <f t="array" ref="J640">IF($A640="", "", LET(bbgm_stat, INDEX(Players!$A639:$P639, MATCH(J$2, Players!$A$1:$P$1, 0)), perc_75, VLOOKUP(J$2, Percentiles!$A$45:$I$59, 6, FALSE), perc_90, VLOOKUP(J$2, Percentiles!$A$45:$I$59, 7, FALSE), perc_95, VLOOKUP(J$2, Percentiles!$A$45:$I$59, 8, FALSE), perc_85, perc_75 + (perc_90 - perc_75) * (2/3), converted_stat, '2K_Ratings'!J640, IF(bbgm_stat &gt;= perc_95, converted_stat * 3, IF(bbgm_stat &gt;= perc_90, converted_stat * 2, IF(bbgm_stat &gt;= perc_85, converted_stat * 1.5, converted_stat)))))</f>
        <v/>
      </c>
      <c r="K640" s="30" t="str">
        <f t="array" ref="K640">IF($A640="", "", LET(bbgm_stat, INDEX(Players!$A639:$P639, MATCH(K$2, Players!$A$1:$P$1, 0)), perc_75, VLOOKUP(K$2, Percentiles!$A$45:$I$59, 6, FALSE), perc_90, VLOOKUP(K$2, Percentiles!$A$45:$I$59, 7, FALSE), perc_95, VLOOKUP(K$2, Percentiles!$A$45:$I$59, 8, FALSE), perc_85, perc_75 + (perc_90 - perc_75) * (2/3), converted_stat, '2K_Ratings'!K640, IF(bbgm_stat &gt;= perc_95, converted_stat * 3, IF(bbgm_stat &gt;= perc_90, converted_stat * 2, IF(bbgm_stat &gt;= perc_85, converted_stat * 1.5, converted_stat)))))</f>
        <v/>
      </c>
      <c r="L640" s="30" t="str">
        <f t="array" ref="L640">IF($A640="", "", LET(bbgm_stat, INDEX(Players!$A639:$P639, MATCH(L$2, Players!$A$1:$P$1, 0)), perc_75, VLOOKUP(L$2, Percentiles!$A$45:$I$59, 6, FALSE), perc_90, VLOOKUP(L$2, Percentiles!$A$45:$I$59, 7, FALSE), perc_95, VLOOKUP(L$2, Percentiles!$A$45:$I$59, 8, FALSE), perc_85, perc_75 + (perc_90 - perc_75) * (2/3), converted_stat, '2K_Ratings'!L640, IF(bbgm_stat &gt;= perc_95, converted_stat * 3, IF(bbgm_stat &gt;= perc_90, converted_stat * 2, IF(bbgm_stat &gt;= perc_85, converted_stat * 1.5, converted_stat)))))</f>
        <v/>
      </c>
      <c r="M640" s="30" t="str">
        <f t="array" ref="M640">IF($A640="", "", LET(bbgm_stat, INDEX(Players!$A639:$P639, MATCH(M$2, Players!$A$1:$P$1, 0)), perc_75, VLOOKUP(M$2, Percentiles!$A$45:$I$59, 6, FALSE), perc_90, VLOOKUP(M$2, Percentiles!$A$45:$I$59, 7, FALSE), perc_95, VLOOKUP(M$2, Percentiles!$A$45:$I$59, 8, FALSE), perc_85, perc_75 + (perc_90 - perc_75) * (2/3), converted_stat, '2K_Ratings'!M640, IF(bbgm_stat &gt;= perc_95, converted_stat * 3, IF(bbgm_stat &gt;= perc_90, converted_stat * 2, IF(bbgm_stat &gt;= perc_85, converted_stat * 1.5, converted_stat)))))</f>
        <v/>
      </c>
      <c r="N640" s="30" t="str">
        <f t="array" ref="N640">IF($A640="", "", LET(bbgm_stat, INDEX(Players!$A639:$P639, MATCH(N$2, Players!$A$1:$P$1, 0)), perc_75, VLOOKUP(N$2, Percentiles!$A$45:$I$59, 6, FALSE), perc_90, VLOOKUP(N$2, Percentiles!$A$45:$I$59, 7, FALSE), perc_95, VLOOKUP(N$2, Percentiles!$A$45:$I$59, 8, FALSE), perc_85, perc_75 + (perc_90 - perc_75) * (2/3), converted_stat, '2K_Ratings'!N640, IF(bbgm_stat &gt;= perc_95, converted_stat * 3, IF(bbgm_stat &gt;= perc_90, converted_stat * 2, IF(bbgm_stat &gt;= perc_85, converted_stat * 1.5, converted_stat)))))</f>
        <v/>
      </c>
      <c r="O640" s="30" t="str">
        <f t="array" ref="O640">IF($A640="", "", LET(bbgm_stat, INDEX(Players!$A639:$P639, MATCH(O$2, Players!$A$1:$P$1, 0)), perc_75, VLOOKUP(O$2, Percentiles!$A$45:$I$59, 6, FALSE), perc_90, VLOOKUP(O$2, Percentiles!$A$45:$I$59, 7, FALSE), perc_95, VLOOKUP(O$2, Percentiles!$A$45:$I$59, 8, FALSE), perc_85, perc_75 + (perc_90 - perc_75) * (2/3), converted_stat, '2K_Ratings'!O640, IF(bbgm_stat &gt;= perc_95, converted_stat * 3, IF(bbgm_stat &gt;= perc_90, converted_stat * 2, IF(bbgm_stat &gt;= perc_85, converted_stat * 1.5, converted_stat)))))</f>
        <v/>
      </c>
      <c r="P640" s="30" t="str">
        <f t="array" ref="P640">IF($A640="", "", LET(bbgm_stat, INDEX(Players!$A639:$P639, MATCH(P$2, Players!$A$1:$P$1, 0)), perc_75, VLOOKUP(P$2, Percentiles!$A$45:$I$59, 6, FALSE), perc_90, VLOOKUP(P$2, Percentiles!$A$45:$I$59, 7, FALSE), perc_95, VLOOKUP(P$2, Percentiles!$A$45:$I$59, 8, FALSE), perc_85, perc_75 + (perc_90 - perc_75) * (2/3), converted_stat, '2K_Ratings'!P640, IF(bbgm_stat &gt;= perc_95, converted_stat * 3, IF(bbgm_stat &gt;= perc_90, converted_stat * 2, IF(bbgm_stat &gt;= perc_85, converted_stat * 1.5, converted_stat)))))</f>
        <v/>
      </c>
      <c r="Q640" s="30" t="str">
        <f t="array" ref="Q640">IF($A640="", "", LET(bbgm_stat, INDEX(Players!$A639:$P639, MATCH(Q$2, Players!$A$1:$P$1, 0)), perc_75, VLOOKUP(Q$2, Percentiles!$A$45:$I$59, 6, FALSE), perc_90, VLOOKUP(Q$2, Percentiles!$A$45:$I$59, 7, FALSE), perc_95, VLOOKUP(Q$2, Percentiles!$A$45:$I$59, 8, FALSE), perc_85, perc_75 + (perc_90 - perc_75) * (2/3), converted_stat, '2K_Ratings'!Q640, IF(bbgm_stat &gt;= perc_95, converted_stat * 3, IF(bbgm_stat &gt;= perc_90, converted_stat * 2, IF(bbgm_stat &gt;= perc_85, converted_stat * 1.5, converted_stat)))))</f>
        <v/>
      </c>
      <c r="R640" s="30" t="str">
        <f t="array" ref="R640">IF($A640="", "", LET(bbgm_stat, INDEX(Players!$A639:$P639, MATCH(R$2, Players!$A$1:$P$1, 0)), perc_75, VLOOKUP(R$2, Percentiles!$A$45:$I$59, 6, FALSE), perc_90, VLOOKUP(R$2, Percentiles!$A$45:$I$59, 7, FALSE), perc_95, VLOOKUP(R$2, Percentiles!$A$45:$I$59, 8, FALSE), perc_85, perc_75 + (perc_90 - perc_75) * (2/3), converted_stat, '2K_Ratings'!R640, IF(bbgm_stat &gt;= perc_95, converted_stat * 3, IF(bbgm_stat &gt;= perc_90, converted_stat * 2, IF(bbgm_stat &gt;= perc_85, converted_stat * 1.5, converted_stat)))))</f>
        <v/>
      </c>
      <c r="S640" s="30" t="str">
        <f t="array" ref="S640">IF($A640="", "", LET(bbgm_stat, INDEX(Players!$A639:$P639, MATCH(S$2, Players!$A$1:$P$1, 0)), perc_75, VLOOKUP(S$2, Percentiles!$A$45:$I$59, 6, FALSE), perc_90, VLOOKUP(S$2, Percentiles!$A$45:$I$59, 7, FALSE), perc_95, VLOOKUP(S$2, Percentiles!$A$45:$I$59, 8, FALSE), perc_85, perc_75 + (perc_90 - perc_75) * (2/3), converted_stat, '2K_Ratings'!S640, IF(bbgm_stat &gt;= perc_95, converted_stat * 3, IF(bbgm_stat &gt;= perc_90, converted_stat * 2, IF(bbgm_stat &gt;= perc_85, converted_stat * 1.5, converted_stat)))))</f>
        <v/>
      </c>
      <c r="T640" s="30" t="str">
        <f t="array" ref="T640">IF($A640="", "", LET(bbgm_stat, INDEX(Players!$A639:$P639, MATCH(T$2, Players!$A$1:$P$1, 0)), perc_75, VLOOKUP(T$2, Percentiles!$A$45:$I$59, 6, FALSE), perc_90, VLOOKUP(T$2, Percentiles!$A$45:$I$59, 7, FALSE), perc_95, VLOOKUP(T$2, Percentiles!$A$45:$I$59, 8, FALSE), perc_85, perc_75 + (perc_90 - perc_75) * (2/3), converted_stat, '2K_Ratings'!T640, IF(bbgm_stat &gt;= perc_95, converted_stat * 3, IF(bbgm_stat &gt;= perc_90, converted_stat * 2, IF(bbgm_stat &gt;= perc_85, converted_stat * 1.5, converted_stat)))))</f>
        <v/>
      </c>
      <c r="U640" s="30" t="str">
        <f t="array" ref="U640">IF($A640="", "", LET(bbgm_stat, INDEX(Players!$A639:$P639, MATCH(U$2, Players!$A$1:$P$1, 0)), perc_75, VLOOKUP(U$2, Percentiles!$A$45:$I$59, 6, FALSE), perc_90, VLOOKUP(U$2, Percentiles!$A$45:$I$59, 7, FALSE), perc_95, VLOOKUP(U$2, Percentiles!$A$45:$I$59, 8, FALSE), perc_85, perc_75 + (perc_90 - perc_75) * (2/3), converted_stat, '2K_Ratings'!U640, IF(bbgm_stat &gt;= perc_95, converted_stat * 3, IF(bbgm_stat &gt;= perc_90, converted_stat * 2, IF(bbgm_stat &gt;= perc_85, converted_stat * 1.5, converted_stat)))))</f>
        <v/>
      </c>
      <c r="V640" s="30" t="str">
        <f t="array" ref="V640">IF($A640="", "", LET(bbgm_stat, INDEX(Players!$A639:$P639, MATCH(V$2, Players!$A$1:$P$1, 0)), perc_75, VLOOKUP(V$2, Percentiles!$A$45:$I$59, 6, FALSE), perc_90, VLOOKUP(V$2, Percentiles!$A$45:$I$59, 7, FALSE), perc_95, VLOOKUP(V$2, Percentiles!$A$45:$I$59, 8, FALSE), perc_85, perc_75 + (perc_90 - perc_75) * (2/3), converted_stat, '2K_Ratings'!V640, IF(bbgm_stat &gt;= perc_95, converted_stat * 3, IF(bbgm_stat &gt;= perc_90, converted_stat * 2, IF(bbgm_stat &gt;= perc_85, converted_stat * 1.5, converted_stat)))))</f>
        <v/>
      </c>
      <c r="W640" s="30" t="str">
        <f t="array" ref="W640">IF($A640="", "", LET(bbgm_stat, INDEX(Players!$A639:$P639, MATCH(W$2, Players!$A$1:$P$1, 0)), perc_75, VLOOKUP(W$2, Percentiles!$A$45:$I$59, 6, FALSE), perc_90, VLOOKUP(W$2, Percentiles!$A$45:$I$59, 7, FALSE), perc_95, VLOOKUP(W$2, Percentiles!$A$45:$I$59, 8, FALSE), perc_85, perc_75 + (perc_90 - perc_75) * (2/3), converted_stat, '2K_Ratings'!W640, IF(bbgm_stat &gt;= perc_95, converted_stat * 3, IF(bbgm_stat &gt;= perc_90, converted_stat * 2, IF(bbgm_stat &gt;= perc_85, converted_stat * 1.5, converted_stat)))))</f>
        <v/>
      </c>
    </row>
    <row r="641">
      <c r="A641" s="30"/>
      <c r="B641" s="30" t="str">
        <f t="array" ref="B641">IF($A641="", "", LET(bbgm_stat, INDEX(Players!$A640:$P640, MATCH(B$2, Players!$A$1:$P$1, 0)), perc_75, VLOOKUP(B$2, Percentiles!$A$45:$I$59, 6, FALSE), perc_90, VLOOKUP(B$2, Percentiles!$A$45:$I$59, 7, FALSE), perc_95, VLOOKUP(B$2, Percentiles!$A$45:$I$59, 8, FALSE), perc_85, perc_75 + (perc_90 - perc_75) * (2/3), converted_stat, '2K_Ratings'!B641, IF(bbgm_stat &gt;= perc_95, converted_stat * 3, IF(bbgm_stat &gt;= perc_90, converted_stat * 2, IF(bbgm_stat &gt;= perc_85, converted_stat * 1.5, converted_stat)))))</f>
        <v/>
      </c>
      <c r="C641" s="30" t="str">
        <f t="array" ref="C641">IF($A641="", "", LET(bbgm_stat, INDEX(Players!$A640:$P640, MATCH(C$2, Players!$A$1:$P$1, 0)), perc_75, VLOOKUP(C$2, Percentiles!$A$45:$I$59, 6, FALSE), perc_90, VLOOKUP(C$2, Percentiles!$A$45:$I$59, 7, FALSE), perc_95, VLOOKUP(C$2, Percentiles!$A$45:$I$59, 8, FALSE), perc_85, perc_75 + (perc_90 - perc_75) * (2/3), converted_stat, '2K_Ratings'!C641, IF(bbgm_stat &gt;= perc_95, converted_stat * 3, IF(bbgm_stat &gt;= perc_90, converted_stat * 2, IF(bbgm_stat &gt;= perc_85, converted_stat * 1.5, converted_stat)))))</f>
        <v/>
      </c>
      <c r="D641" s="30" t="str">
        <f t="array" ref="D641">IF($A641="", "", LET(bbgm_stat, INDEX(Players!$A640:$P640, MATCH(D$2, Players!$A$1:$P$1, 0)), perc_75, VLOOKUP(D$2, Percentiles!$A$45:$I$59, 6, FALSE), perc_90, VLOOKUP(D$2, Percentiles!$A$45:$I$59, 7, FALSE), perc_95, VLOOKUP(D$2, Percentiles!$A$45:$I$59, 8, FALSE), perc_85, perc_75 + (perc_90 - perc_75) * (2/3), converted_stat, '2K_Ratings'!D641, IF(bbgm_stat &gt;= perc_95, converted_stat * 3, IF(bbgm_stat &gt;= perc_90, converted_stat * 2, IF(bbgm_stat &gt;= perc_85, converted_stat * 1.5, converted_stat)))))</f>
        <v/>
      </c>
      <c r="E641" s="30" t="str">
        <f t="array" ref="E641">IF($A641="", "", LET(bbgm_stat, INDEX(Players!$A640:$P640, MATCH(E$2, Players!$A$1:$P$1, 0)), perc_75, VLOOKUP(E$2, Percentiles!$A$45:$I$59, 6, FALSE), perc_90, VLOOKUP(E$2, Percentiles!$A$45:$I$59, 7, FALSE), perc_95, VLOOKUP(E$2, Percentiles!$A$45:$I$59, 8, FALSE), perc_85, perc_75 + (perc_90 - perc_75) * (2/3), converted_stat, '2K_Ratings'!E641, IF(bbgm_stat &gt;= perc_95, converted_stat * 3, IF(bbgm_stat &gt;= perc_90, converted_stat * 2, IF(bbgm_stat &gt;= perc_85, converted_stat * 1.5, converted_stat)))))</f>
        <v/>
      </c>
      <c r="F641" s="30" t="str">
        <f t="array" ref="F641">IF($A641="", "", LET(bbgm_stat, INDEX(Players!$A640:$P640, MATCH(F$2, Players!$A$1:$P$1, 0)), perc_75, VLOOKUP(F$2, Percentiles!$A$45:$I$59, 6, FALSE), perc_90, VLOOKUP(F$2, Percentiles!$A$45:$I$59, 7, FALSE), perc_95, VLOOKUP(F$2, Percentiles!$A$45:$I$59, 8, FALSE), perc_85, perc_75 + (perc_90 - perc_75) * (2/3), converted_stat, '2K_Ratings'!F641, IF(bbgm_stat &gt;= perc_95, converted_stat * 3, IF(bbgm_stat &gt;= perc_90, converted_stat * 2, IF(bbgm_stat &gt;= perc_85, converted_stat * 1.5, converted_stat)))))</f>
        <v/>
      </c>
      <c r="G641" s="30" t="str">
        <f t="array" ref="G641">IF($A641="", "", LET(bbgm_stat, INDEX(Players!$A640:$P640, MATCH(G$2, Players!$A$1:$P$1, 0)), perc_75, VLOOKUP(G$2, Percentiles!$A$45:$I$59, 6, FALSE), perc_90, VLOOKUP(G$2, Percentiles!$A$45:$I$59, 7, FALSE), perc_95, VLOOKUP(G$2, Percentiles!$A$45:$I$59, 8, FALSE), perc_85, perc_75 + (perc_90 - perc_75) * (2/3), converted_stat, '2K_Ratings'!G641, IF(bbgm_stat &gt;= perc_95, converted_stat * 3, IF(bbgm_stat &gt;= perc_90, converted_stat * 2, IF(bbgm_stat &gt;= perc_85, converted_stat * 1.5, converted_stat)))))</f>
        <v/>
      </c>
      <c r="H641" s="30" t="str">
        <f t="array" ref="H641">IF($A641="", "", LET(bbgm_stat, INDEX(Players!$A640:$P640, MATCH(H$2, Players!$A$1:$P$1, 0)), perc_75, VLOOKUP(H$2, Percentiles!$A$45:$I$59, 6, FALSE), perc_90, VLOOKUP(H$2, Percentiles!$A$45:$I$59, 7, FALSE), perc_95, VLOOKUP(H$2, Percentiles!$A$45:$I$59, 8, FALSE), perc_85, perc_75 + (perc_90 - perc_75) * (2/3), converted_stat, '2K_Ratings'!H641, IF(bbgm_stat &gt;= perc_95, converted_stat * 3, IF(bbgm_stat &gt;= perc_90, converted_stat * 2, IF(bbgm_stat &gt;= perc_85, converted_stat * 1.5, converted_stat)))))</f>
        <v/>
      </c>
      <c r="I641" s="30" t="str">
        <f t="array" ref="I641">IF($A641="", "", LET(bbgm_stat, INDEX(Players!$A640:$P640, MATCH(I$2, Players!$A$1:$P$1, 0)), perc_75, VLOOKUP(I$2, Percentiles!$A$45:$I$59, 6, FALSE), perc_90, VLOOKUP(I$2, Percentiles!$A$45:$I$59, 7, FALSE), perc_95, VLOOKUP(I$2, Percentiles!$A$45:$I$59, 8, FALSE), perc_85, perc_75 + (perc_90 - perc_75) * (2/3), converted_stat, '2K_Ratings'!I641, IF(bbgm_stat &gt;= perc_95, converted_stat * 3, IF(bbgm_stat &gt;= perc_90, converted_stat * 2, IF(bbgm_stat &gt;= perc_85, converted_stat * 1.5, converted_stat)))))</f>
        <v/>
      </c>
      <c r="J641" s="30" t="str">
        <f t="array" ref="J641">IF($A641="", "", LET(bbgm_stat, INDEX(Players!$A640:$P640, MATCH(J$2, Players!$A$1:$P$1, 0)), perc_75, VLOOKUP(J$2, Percentiles!$A$45:$I$59, 6, FALSE), perc_90, VLOOKUP(J$2, Percentiles!$A$45:$I$59, 7, FALSE), perc_95, VLOOKUP(J$2, Percentiles!$A$45:$I$59, 8, FALSE), perc_85, perc_75 + (perc_90 - perc_75) * (2/3), converted_stat, '2K_Ratings'!J641, IF(bbgm_stat &gt;= perc_95, converted_stat * 3, IF(bbgm_stat &gt;= perc_90, converted_stat * 2, IF(bbgm_stat &gt;= perc_85, converted_stat * 1.5, converted_stat)))))</f>
        <v/>
      </c>
      <c r="K641" s="30" t="str">
        <f t="array" ref="K641">IF($A641="", "", LET(bbgm_stat, INDEX(Players!$A640:$P640, MATCH(K$2, Players!$A$1:$P$1, 0)), perc_75, VLOOKUP(K$2, Percentiles!$A$45:$I$59, 6, FALSE), perc_90, VLOOKUP(K$2, Percentiles!$A$45:$I$59, 7, FALSE), perc_95, VLOOKUP(K$2, Percentiles!$A$45:$I$59, 8, FALSE), perc_85, perc_75 + (perc_90 - perc_75) * (2/3), converted_stat, '2K_Ratings'!K641, IF(bbgm_stat &gt;= perc_95, converted_stat * 3, IF(bbgm_stat &gt;= perc_90, converted_stat * 2, IF(bbgm_stat &gt;= perc_85, converted_stat * 1.5, converted_stat)))))</f>
        <v/>
      </c>
      <c r="L641" s="30" t="str">
        <f t="array" ref="L641">IF($A641="", "", LET(bbgm_stat, INDEX(Players!$A640:$P640, MATCH(L$2, Players!$A$1:$P$1, 0)), perc_75, VLOOKUP(L$2, Percentiles!$A$45:$I$59, 6, FALSE), perc_90, VLOOKUP(L$2, Percentiles!$A$45:$I$59, 7, FALSE), perc_95, VLOOKUP(L$2, Percentiles!$A$45:$I$59, 8, FALSE), perc_85, perc_75 + (perc_90 - perc_75) * (2/3), converted_stat, '2K_Ratings'!L641, IF(bbgm_stat &gt;= perc_95, converted_stat * 3, IF(bbgm_stat &gt;= perc_90, converted_stat * 2, IF(bbgm_stat &gt;= perc_85, converted_stat * 1.5, converted_stat)))))</f>
        <v/>
      </c>
      <c r="M641" s="30" t="str">
        <f t="array" ref="M641">IF($A641="", "", LET(bbgm_stat, INDEX(Players!$A640:$P640, MATCH(M$2, Players!$A$1:$P$1, 0)), perc_75, VLOOKUP(M$2, Percentiles!$A$45:$I$59, 6, FALSE), perc_90, VLOOKUP(M$2, Percentiles!$A$45:$I$59, 7, FALSE), perc_95, VLOOKUP(M$2, Percentiles!$A$45:$I$59, 8, FALSE), perc_85, perc_75 + (perc_90 - perc_75) * (2/3), converted_stat, '2K_Ratings'!M641, IF(bbgm_stat &gt;= perc_95, converted_stat * 3, IF(bbgm_stat &gt;= perc_90, converted_stat * 2, IF(bbgm_stat &gt;= perc_85, converted_stat * 1.5, converted_stat)))))</f>
        <v/>
      </c>
      <c r="N641" s="30" t="str">
        <f t="array" ref="N641">IF($A641="", "", LET(bbgm_stat, INDEX(Players!$A640:$P640, MATCH(N$2, Players!$A$1:$P$1, 0)), perc_75, VLOOKUP(N$2, Percentiles!$A$45:$I$59, 6, FALSE), perc_90, VLOOKUP(N$2, Percentiles!$A$45:$I$59, 7, FALSE), perc_95, VLOOKUP(N$2, Percentiles!$A$45:$I$59, 8, FALSE), perc_85, perc_75 + (perc_90 - perc_75) * (2/3), converted_stat, '2K_Ratings'!N641, IF(bbgm_stat &gt;= perc_95, converted_stat * 3, IF(bbgm_stat &gt;= perc_90, converted_stat * 2, IF(bbgm_stat &gt;= perc_85, converted_stat * 1.5, converted_stat)))))</f>
        <v/>
      </c>
      <c r="O641" s="30" t="str">
        <f t="array" ref="O641">IF($A641="", "", LET(bbgm_stat, INDEX(Players!$A640:$P640, MATCH(O$2, Players!$A$1:$P$1, 0)), perc_75, VLOOKUP(O$2, Percentiles!$A$45:$I$59, 6, FALSE), perc_90, VLOOKUP(O$2, Percentiles!$A$45:$I$59, 7, FALSE), perc_95, VLOOKUP(O$2, Percentiles!$A$45:$I$59, 8, FALSE), perc_85, perc_75 + (perc_90 - perc_75) * (2/3), converted_stat, '2K_Ratings'!O641, IF(bbgm_stat &gt;= perc_95, converted_stat * 3, IF(bbgm_stat &gt;= perc_90, converted_stat * 2, IF(bbgm_stat &gt;= perc_85, converted_stat * 1.5, converted_stat)))))</f>
        <v/>
      </c>
      <c r="P641" s="30" t="str">
        <f t="array" ref="P641">IF($A641="", "", LET(bbgm_stat, INDEX(Players!$A640:$P640, MATCH(P$2, Players!$A$1:$P$1, 0)), perc_75, VLOOKUP(P$2, Percentiles!$A$45:$I$59, 6, FALSE), perc_90, VLOOKUP(P$2, Percentiles!$A$45:$I$59, 7, FALSE), perc_95, VLOOKUP(P$2, Percentiles!$A$45:$I$59, 8, FALSE), perc_85, perc_75 + (perc_90 - perc_75) * (2/3), converted_stat, '2K_Ratings'!P641, IF(bbgm_stat &gt;= perc_95, converted_stat * 3, IF(bbgm_stat &gt;= perc_90, converted_stat * 2, IF(bbgm_stat &gt;= perc_85, converted_stat * 1.5, converted_stat)))))</f>
        <v/>
      </c>
      <c r="Q641" s="30" t="str">
        <f t="array" ref="Q641">IF($A641="", "", LET(bbgm_stat, INDEX(Players!$A640:$P640, MATCH(Q$2, Players!$A$1:$P$1, 0)), perc_75, VLOOKUP(Q$2, Percentiles!$A$45:$I$59, 6, FALSE), perc_90, VLOOKUP(Q$2, Percentiles!$A$45:$I$59, 7, FALSE), perc_95, VLOOKUP(Q$2, Percentiles!$A$45:$I$59, 8, FALSE), perc_85, perc_75 + (perc_90 - perc_75) * (2/3), converted_stat, '2K_Ratings'!Q641, IF(bbgm_stat &gt;= perc_95, converted_stat * 3, IF(bbgm_stat &gt;= perc_90, converted_stat * 2, IF(bbgm_stat &gt;= perc_85, converted_stat * 1.5, converted_stat)))))</f>
        <v/>
      </c>
      <c r="R641" s="30" t="str">
        <f t="array" ref="R641">IF($A641="", "", LET(bbgm_stat, INDEX(Players!$A640:$P640, MATCH(R$2, Players!$A$1:$P$1, 0)), perc_75, VLOOKUP(R$2, Percentiles!$A$45:$I$59, 6, FALSE), perc_90, VLOOKUP(R$2, Percentiles!$A$45:$I$59, 7, FALSE), perc_95, VLOOKUP(R$2, Percentiles!$A$45:$I$59, 8, FALSE), perc_85, perc_75 + (perc_90 - perc_75) * (2/3), converted_stat, '2K_Ratings'!R641, IF(bbgm_stat &gt;= perc_95, converted_stat * 3, IF(bbgm_stat &gt;= perc_90, converted_stat * 2, IF(bbgm_stat &gt;= perc_85, converted_stat * 1.5, converted_stat)))))</f>
        <v/>
      </c>
      <c r="S641" s="30" t="str">
        <f t="array" ref="S641">IF($A641="", "", LET(bbgm_stat, INDEX(Players!$A640:$P640, MATCH(S$2, Players!$A$1:$P$1, 0)), perc_75, VLOOKUP(S$2, Percentiles!$A$45:$I$59, 6, FALSE), perc_90, VLOOKUP(S$2, Percentiles!$A$45:$I$59, 7, FALSE), perc_95, VLOOKUP(S$2, Percentiles!$A$45:$I$59, 8, FALSE), perc_85, perc_75 + (perc_90 - perc_75) * (2/3), converted_stat, '2K_Ratings'!S641, IF(bbgm_stat &gt;= perc_95, converted_stat * 3, IF(bbgm_stat &gt;= perc_90, converted_stat * 2, IF(bbgm_stat &gt;= perc_85, converted_stat * 1.5, converted_stat)))))</f>
        <v/>
      </c>
      <c r="T641" s="30" t="str">
        <f t="array" ref="T641">IF($A641="", "", LET(bbgm_stat, INDEX(Players!$A640:$P640, MATCH(T$2, Players!$A$1:$P$1, 0)), perc_75, VLOOKUP(T$2, Percentiles!$A$45:$I$59, 6, FALSE), perc_90, VLOOKUP(T$2, Percentiles!$A$45:$I$59, 7, FALSE), perc_95, VLOOKUP(T$2, Percentiles!$A$45:$I$59, 8, FALSE), perc_85, perc_75 + (perc_90 - perc_75) * (2/3), converted_stat, '2K_Ratings'!T641, IF(bbgm_stat &gt;= perc_95, converted_stat * 3, IF(bbgm_stat &gt;= perc_90, converted_stat * 2, IF(bbgm_stat &gt;= perc_85, converted_stat * 1.5, converted_stat)))))</f>
        <v/>
      </c>
      <c r="U641" s="30" t="str">
        <f t="array" ref="U641">IF($A641="", "", LET(bbgm_stat, INDEX(Players!$A640:$P640, MATCH(U$2, Players!$A$1:$P$1, 0)), perc_75, VLOOKUP(U$2, Percentiles!$A$45:$I$59, 6, FALSE), perc_90, VLOOKUP(U$2, Percentiles!$A$45:$I$59, 7, FALSE), perc_95, VLOOKUP(U$2, Percentiles!$A$45:$I$59, 8, FALSE), perc_85, perc_75 + (perc_90 - perc_75) * (2/3), converted_stat, '2K_Ratings'!U641, IF(bbgm_stat &gt;= perc_95, converted_stat * 3, IF(bbgm_stat &gt;= perc_90, converted_stat * 2, IF(bbgm_stat &gt;= perc_85, converted_stat * 1.5, converted_stat)))))</f>
        <v/>
      </c>
      <c r="V641" s="30" t="str">
        <f t="array" ref="V641">IF($A641="", "", LET(bbgm_stat, INDEX(Players!$A640:$P640, MATCH(V$2, Players!$A$1:$P$1, 0)), perc_75, VLOOKUP(V$2, Percentiles!$A$45:$I$59, 6, FALSE), perc_90, VLOOKUP(V$2, Percentiles!$A$45:$I$59, 7, FALSE), perc_95, VLOOKUP(V$2, Percentiles!$A$45:$I$59, 8, FALSE), perc_85, perc_75 + (perc_90 - perc_75) * (2/3), converted_stat, '2K_Ratings'!V641, IF(bbgm_stat &gt;= perc_95, converted_stat * 3, IF(bbgm_stat &gt;= perc_90, converted_stat * 2, IF(bbgm_stat &gt;= perc_85, converted_stat * 1.5, converted_stat)))))</f>
        <v/>
      </c>
      <c r="W641" s="30" t="str">
        <f t="array" ref="W641">IF($A641="", "", LET(bbgm_stat, INDEX(Players!$A640:$P640, MATCH(W$2, Players!$A$1:$P$1, 0)), perc_75, VLOOKUP(W$2, Percentiles!$A$45:$I$59, 6, FALSE), perc_90, VLOOKUP(W$2, Percentiles!$A$45:$I$59, 7, FALSE), perc_95, VLOOKUP(W$2, Percentiles!$A$45:$I$59, 8, FALSE), perc_85, perc_75 + (perc_90 - perc_75) * (2/3), converted_stat, '2K_Ratings'!W641, IF(bbgm_stat &gt;= perc_95, converted_stat * 3, IF(bbgm_stat &gt;= perc_90, converted_stat * 2, IF(bbgm_stat &gt;= perc_85, converted_stat * 1.5, converted_stat)))))</f>
        <v/>
      </c>
    </row>
    <row r="642">
      <c r="A642" s="30"/>
      <c r="B642" s="30" t="str">
        <f t="array" ref="B642">IF($A642="", "", LET(bbgm_stat, INDEX(Players!$A641:$P641, MATCH(B$2, Players!$A$1:$P$1, 0)), perc_75, VLOOKUP(B$2, Percentiles!$A$45:$I$59, 6, FALSE), perc_90, VLOOKUP(B$2, Percentiles!$A$45:$I$59, 7, FALSE), perc_95, VLOOKUP(B$2, Percentiles!$A$45:$I$59, 8, FALSE), perc_85, perc_75 + (perc_90 - perc_75) * (2/3), converted_stat, '2K_Ratings'!B642, IF(bbgm_stat &gt;= perc_95, converted_stat * 3, IF(bbgm_stat &gt;= perc_90, converted_stat * 2, IF(bbgm_stat &gt;= perc_85, converted_stat * 1.5, converted_stat)))))</f>
        <v/>
      </c>
      <c r="C642" s="30" t="str">
        <f t="array" ref="C642">IF($A642="", "", LET(bbgm_stat, INDEX(Players!$A641:$P641, MATCH(C$2, Players!$A$1:$P$1, 0)), perc_75, VLOOKUP(C$2, Percentiles!$A$45:$I$59, 6, FALSE), perc_90, VLOOKUP(C$2, Percentiles!$A$45:$I$59, 7, FALSE), perc_95, VLOOKUP(C$2, Percentiles!$A$45:$I$59, 8, FALSE), perc_85, perc_75 + (perc_90 - perc_75) * (2/3), converted_stat, '2K_Ratings'!C642, IF(bbgm_stat &gt;= perc_95, converted_stat * 3, IF(bbgm_stat &gt;= perc_90, converted_stat * 2, IF(bbgm_stat &gt;= perc_85, converted_stat * 1.5, converted_stat)))))</f>
        <v/>
      </c>
      <c r="D642" s="30" t="str">
        <f t="array" ref="D642">IF($A642="", "", LET(bbgm_stat, INDEX(Players!$A641:$P641, MATCH(D$2, Players!$A$1:$P$1, 0)), perc_75, VLOOKUP(D$2, Percentiles!$A$45:$I$59, 6, FALSE), perc_90, VLOOKUP(D$2, Percentiles!$A$45:$I$59, 7, FALSE), perc_95, VLOOKUP(D$2, Percentiles!$A$45:$I$59, 8, FALSE), perc_85, perc_75 + (perc_90 - perc_75) * (2/3), converted_stat, '2K_Ratings'!D642, IF(bbgm_stat &gt;= perc_95, converted_stat * 3, IF(bbgm_stat &gt;= perc_90, converted_stat * 2, IF(bbgm_stat &gt;= perc_85, converted_stat * 1.5, converted_stat)))))</f>
        <v/>
      </c>
      <c r="E642" s="30" t="str">
        <f t="array" ref="E642">IF($A642="", "", LET(bbgm_stat, INDEX(Players!$A641:$P641, MATCH(E$2, Players!$A$1:$P$1, 0)), perc_75, VLOOKUP(E$2, Percentiles!$A$45:$I$59, 6, FALSE), perc_90, VLOOKUP(E$2, Percentiles!$A$45:$I$59, 7, FALSE), perc_95, VLOOKUP(E$2, Percentiles!$A$45:$I$59, 8, FALSE), perc_85, perc_75 + (perc_90 - perc_75) * (2/3), converted_stat, '2K_Ratings'!E642, IF(bbgm_stat &gt;= perc_95, converted_stat * 3, IF(bbgm_stat &gt;= perc_90, converted_stat * 2, IF(bbgm_stat &gt;= perc_85, converted_stat * 1.5, converted_stat)))))</f>
        <v/>
      </c>
      <c r="F642" s="30" t="str">
        <f t="array" ref="F642">IF($A642="", "", LET(bbgm_stat, INDEX(Players!$A641:$P641, MATCH(F$2, Players!$A$1:$P$1, 0)), perc_75, VLOOKUP(F$2, Percentiles!$A$45:$I$59, 6, FALSE), perc_90, VLOOKUP(F$2, Percentiles!$A$45:$I$59, 7, FALSE), perc_95, VLOOKUP(F$2, Percentiles!$A$45:$I$59, 8, FALSE), perc_85, perc_75 + (perc_90 - perc_75) * (2/3), converted_stat, '2K_Ratings'!F642, IF(bbgm_stat &gt;= perc_95, converted_stat * 3, IF(bbgm_stat &gt;= perc_90, converted_stat * 2, IF(bbgm_stat &gt;= perc_85, converted_stat * 1.5, converted_stat)))))</f>
        <v/>
      </c>
      <c r="G642" s="30" t="str">
        <f t="array" ref="G642">IF($A642="", "", LET(bbgm_stat, INDEX(Players!$A641:$P641, MATCH(G$2, Players!$A$1:$P$1, 0)), perc_75, VLOOKUP(G$2, Percentiles!$A$45:$I$59, 6, FALSE), perc_90, VLOOKUP(G$2, Percentiles!$A$45:$I$59, 7, FALSE), perc_95, VLOOKUP(G$2, Percentiles!$A$45:$I$59, 8, FALSE), perc_85, perc_75 + (perc_90 - perc_75) * (2/3), converted_stat, '2K_Ratings'!G642, IF(bbgm_stat &gt;= perc_95, converted_stat * 3, IF(bbgm_stat &gt;= perc_90, converted_stat * 2, IF(bbgm_stat &gt;= perc_85, converted_stat * 1.5, converted_stat)))))</f>
        <v/>
      </c>
      <c r="H642" s="30" t="str">
        <f t="array" ref="H642">IF($A642="", "", LET(bbgm_stat, INDEX(Players!$A641:$P641, MATCH(H$2, Players!$A$1:$P$1, 0)), perc_75, VLOOKUP(H$2, Percentiles!$A$45:$I$59, 6, FALSE), perc_90, VLOOKUP(H$2, Percentiles!$A$45:$I$59, 7, FALSE), perc_95, VLOOKUP(H$2, Percentiles!$A$45:$I$59, 8, FALSE), perc_85, perc_75 + (perc_90 - perc_75) * (2/3), converted_stat, '2K_Ratings'!H642, IF(bbgm_stat &gt;= perc_95, converted_stat * 3, IF(bbgm_stat &gt;= perc_90, converted_stat * 2, IF(bbgm_stat &gt;= perc_85, converted_stat * 1.5, converted_stat)))))</f>
        <v/>
      </c>
      <c r="I642" s="30" t="str">
        <f t="array" ref="I642">IF($A642="", "", LET(bbgm_stat, INDEX(Players!$A641:$P641, MATCH(I$2, Players!$A$1:$P$1, 0)), perc_75, VLOOKUP(I$2, Percentiles!$A$45:$I$59, 6, FALSE), perc_90, VLOOKUP(I$2, Percentiles!$A$45:$I$59, 7, FALSE), perc_95, VLOOKUP(I$2, Percentiles!$A$45:$I$59, 8, FALSE), perc_85, perc_75 + (perc_90 - perc_75) * (2/3), converted_stat, '2K_Ratings'!I642, IF(bbgm_stat &gt;= perc_95, converted_stat * 3, IF(bbgm_stat &gt;= perc_90, converted_stat * 2, IF(bbgm_stat &gt;= perc_85, converted_stat * 1.5, converted_stat)))))</f>
        <v/>
      </c>
      <c r="J642" s="30" t="str">
        <f t="array" ref="J642">IF($A642="", "", LET(bbgm_stat, INDEX(Players!$A641:$P641, MATCH(J$2, Players!$A$1:$P$1, 0)), perc_75, VLOOKUP(J$2, Percentiles!$A$45:$I$59, 6, FALSE), perc_90, VLOOKUP(J$2, Percentiles!$A$45:$I$59, 7, FALSE), perc_95, VLOOKUP(J$2, Percentiles!$A$45:$I$59, 8, FALSE), perc_85, perc_75 + (perc_90 - perc_75) * (2/3), converted_stat, '2K_Ratings'!J642, IF(bbgm_stat &gt;= perc_95, converted_stat * 3, IF(bbgm_stat &gt;= perc_90, converted_stat * 2, IF(bbgm_stat &gt;= perc_85, converted_stat * 1.5, converted_stat)))))</f>
        <v/>
      </c>
      <c r="K642" s="30" t="str">
        <f t="array" ref="K642">IF($A642="", "", LET(bbgm_stat, INDEX(Players!$A641:$P641, MATCH(K$2, Players!$A$1:$P$1, 0)), perc_75, VLOOKUP(K$2, Percentiles!$A$45:$I$59, 6, FALSE), perc_90, VLOOKUP(K$2, Percentiles!$A$45:$I$59, 7, FALSE), perc_95, VLOOKUP(K$2, Percentiles!$A$45:$I$59, 8, FALSE), perc_85, perc_75 + (perc_90 - perc_75) * (2/3), converted_stat, '2K_Ratings'!K642, IF(bbgm_stat &gt;= perc_95, converted_stat * 3, IF(bbgm_stat &gt;= perc_90, converted_stat * 2, IF(bbgm_stat &gt;= perc_85, converted_stat * 1.5, converted_stat)))))</f>
        <v/>
      </c>
      <c r="L642" s="30" t="str">
        <f t="array" ref="L642">IF($A642="", "", LET(bbgm_stat, INDEX(Players!$A641:$P641, MATCH(L$2, Players!$A$1:$P$1, 0)), perc_75, VLOOKUP(L$2, Percentiles!$A$45:$I$59, 6, FALSE), perc_90, VLOOKUP(L$2, Percentiles!$A$45:$I$59, 7, FALSE), perc_95, VLOOKUP(L$2, Percentiles!$A$45:$I$59, 8, FALSE), perc_85, perc_75 + (perc_90 - perc_75) * (2/3), converted_stat, '2K_Ratings'!L642, IF(bbgm_stat &gt;= perc_95, converted_stat * 3, IF(bbgm_stat &gt;= perc_90, converted_stat * 2, IF(bbgm_stat &gt;= perc_85, converted_stat * 1.5, converted_stat)))))</f>
        <v/>
      </c>
      <c r="M642" s="30" t="str">
        <f t="array" ref="M642">IF($A642="", "", LET(bbgm_stat, INDEX(Players!$A641:$P641, MATCH(M$2, Players!$A$1:$P$1, 0)), perc_75, VLOOKUP(M$2, Percentiles!$A$45:$I$59, 6, FALSE), perc_90, VLOOKUP(M$2, Percentiles!$A$45:$I$59, 7, FALSE), perc_95, VLOOKUP(M$2, Percentiles!$A$45:$I$59, 8, FALSE), perc_85, perc_75 + (perc_90 - perc_75) * (2/3), converted_stat, '2K_Ratings'!M642, IF(bbgm_stat &gt;= perc_95, converted_stat * 3, IF(bbgm_stat &gt;= perc_90, converted_stat * 2, IF(bbgm_stat &gt;= perc_85, converted_stat * 1.5, converted_stat)))))</f>
        <v/>
      </c>
      <c r="N642" s="30" t="str">
        <f t="array" ref="N642">IF($A642="", "", LET(bbgm_stat, INDEX(Players!$A641:$P641, MATCH(N$2, Players!$A$1:$P$1, 0)), perc_75, VLOOKUP(N$2, Percentiles!$A$45:$I$59, 6, FALSE), perc_90, VLOOKUP(N$2, Percentiles!$A$45:$I$59, 7, FALSE), perc_95, VLOOKUP(N$2, Percentiles!$A$45:$I$59, 8, FALSE), perc_85, perc_75 + (perc_90 - perc_75) * (2/3), converted_stat, '2K_Ratings'!N642, IF(bbgm_stat &gt;= perc_95, converted_stat * 3, IF(bbgm_stat &gt;= perc_90, converted_stat * 2, IF(bbgm_stat &gt;= perc_85, converted_stat * 1.5, converted_stat)))))</f>
        <v/>
      </c>
      <c r="O642" s="30" t="str">
        <f t="array" ref="O642">IF($A642="", "", LET(bbgm_stat, INDEX(Players!$A641:$P641, MATCH(O$2, Players!$A$1:$P$1, 0)), perc_75, VLOOKUP(O$2, Percentiles!$A$45:$I$59, 6, FALSE), perc_90, VLOOKUP(O$2, Percentiles!$A$45:$I$59, 7, FALSE), perc_95, VLOOKUP(O$2, Percentiles!$A$45:$I$59, 8, FALSE), perc_85, perc_75 + (perc_90 - perc_75) * (2/3), converted_stat, '2K_Ratings'!O642, IF(bbgm_stat &gt;= perc_95, converted_stat * 3, IF(bbgm_stat &gt;= perc_90, converted_stat * 2, IF(bbgm_stat &gt;= perc_85, converted_stat * 1.5, converted_stat)))))</f>
        <v/>
      </c>
      <c r="P642" s="30" t="str">
        <f t="array" ref="P642">IF($A642="", "", LET(bbgm_stat, INDEX(Players!$A641:$P641, MATCH(P$2, Players!$A$1:$P$1, 0)), perc_75, VLOOKUP(P$2, Percentiles!$A$45:$I$59, 6, FALSE), perc_90, VLOOKUP(P$2, Percentiles!$A$45:$I$59, 7, FALSE), perc_95, VLOOKUP(P$2, Percentiles!$A$45:$I$59, 8, FALSE), perc_85, perc_75 + (perc_90 - perc_75) * (2/3), converted_stat, '2K_Ratings'!P642, IF(bbgm_stat &gt;= perc_95, converted_stat * 3, IF(bbgm_stat &gt;= perc_90, converted_stat * 2, IF(bbgm_stat &gt;= perc_85, converted_stat * 1.5, converted_stat)))))</f>
        <v/>
      </c>
      <c r="Q642" s="30" t="str">
        <f t="array" ref="Q642">IF($A642="", "", LET(bbgm_stat, INDEX(Players!$A641:$P641, MATCH(Q$2, Players!$A$1:$P$1, 0)), perc_75, VLOOKUP(Q$2, Percentiles!$A$45:$I$59, 6, FALSE), perc_90, VLOOKUP(Q$2, Percentiles!$A$45:$I$59, 7, FALSE), perc_95, VLOOKUP(Q$2, Percentiles!$A$45:$I$59, 8, FALSE), perc_85, perc_75 + (perc_90 - perc_75) * (2/3), converted_stat, '2K_Ratings'!Q642, IF(bbgm_stat &gt;= perc_95, converted_stat * 3, IF(bbgm_stat &gt;= perc_90, converted_stat * 2, IF(bbgm_stat &gt;= perc_85, converted_stat * 1.5, converted_stat)))))</f>
        <v/>
      </c>
      <c r="R642" s="30" t="str">
        <f t="array" ref="R642">IF($A642="", "", LET(bbgm_stat, INDEX(Players!$A641:$P641, MATCH(R$2, Players!$A$1:$P$1, 0)), perc_75, VLOOKUP(R$2, Percentiles!$A$45:$I$59, 6, FALSE), perc_90, VLOOKUP(R$2, Percentiles!$A$45:$I$59, 7, FALSE), perc_95, VLOOKUP(R$2, Percentiles!$A$45:$I$59, 8, FALSE), perc_85, perc_75 + (perc_90 - perc_75) * (2/3), converted_stat, '2K_Ratings'!R642, IF(bbgm_stat &gt;= perc_95, converted_stat * 3, IF(bbgm_stat &gt;= perc_90, converted_stat * 2, IF(bbgm_stat &gt;= perc_85, converted_stat * 1.5, converted_stat)))))</f>
        <v/>
      </c>
      <c r="S642" s="30" t="str">
        <f t="array" ref="S642">IF($A642="", "", LET(bbgm_stat, INDEX(Players!$A641:$P641, MATCH(S$2, Players!$A$1:$P$1, 0)), perc_75, VLOOKUP(S$2, Percentiles!$A$45:$I$59, 6, FALSE), perc_90, VLOOKUP(S$2, Percentiles!$A$45:$I$59, 7, FALSE), perc_95, VLOOKUP(S$2, Percentiles!$A$45:$I$59, 8, FALSE), perc_85, perc_75 + (perc_90 - perc_75) * (2/3), converted_stat, '2K_Ratings'!S642, IF(bbgm_stat &gt;= perc_95, converted_stat * 3, IF(bbgm_stat &gt;= perc_90, converted_stat * 2, IF(bbgm_stat &gt;= perc_85, converted_stat * 1.5, converted_stat)))))</f>
        <v/>
      </c>
      <c r="T642" s="30" t="str">
        <f t="array" ref="T642">IF($A642="", "", LET(bbgm_stat, INDEX(Players!$A641:$P641, MATCH(T$2, Players!$A$1:$P$1, 0)), perc_75, VLOOKUP(T$2, Percentiles!$A$45:$I$59, 6, FALSE), perc_90, VLOOKUP(T$2, Percentiles!$A$45:$I$59, 7, FALSE), perc_95, VLOOKUP(T$2, Percentiles!$A$45:$I$59, 8, FALSE), perc_85, perc_75 + (perc_90 - perc_75) * (2/3), converted_stat, '2K_Ratings'!T642, IF(bbgm_stat &gt;= perc_95, converted_stat * 3, IF(bbgm_stat &gt;= perc_90, converted_stat * 2, IF(bbgm_stat &gt;= perc_85, converted_stat * 1.5, converted_stat)))))</f>
        <v/>
      </c>
      <c r="U642" s="30" t="str">
        <f t="array" ref="U642">IF($A642="", "", LET(bbgm_stat, INDEX(Players!$A641:$P641, MATCH(U$2, Players!$A$1:$P$1, 0)), perc_75, VLOOKUP(U$2, Percentiles!$A$45:$I$59, 6, FALSE), perc_90, VLOOKUP(U$2, Percentiles!$A$45:$I$59, 7, FALSE), perc_95, VLOOKUP(U$2, Percentiles!$A$45:$I$59, 8, FALSE), perc_85, perc_75 + (perc_90 - perc_75) * (2/3), converted_stat, '2K_Ratings'!U642, IF(bbgm_stat &gt;= perc_95, converted_stat * 3, IF(bbgm_stat &gt;= perc_90, converted_stat * 2, IF(bbgm_stat &gt;= perc_85, converted_stat * 1.5, converted_stat)))))</f>
        <v/>
      </c>
      <c r="V642" s="30" t="str">
        <f t="array" ref="V642">IF($A642="", "", LET(bbgm_stat, INDEX(Players!$A641:$P641, MATCH(V$2, Players!$A$1:$P$1, 0)), perc_75, VLOOKUP(V$2, Percentiles!$A$45:$I$59, 6, FALSE), perc_90, VLOOKUP(V$2, Percentiles!$A$45:$I$59, 7, FALSE), perc_95, VLOOKUP(V$2, Percentiles!$A$45:$I$59, 8, FALSE), perc_85, perc_75 + (perc_90 - perc_75) * (2/3), converted_stat, '2K_Ratings'!V642, IF(bbgm_stat &gt;= perc_95, converted_stat * 3, IF(bbgm_stat &gt;= perc_90, converted_stat * 2, IF(bbgm_stat &gt;= perc_85, converted_stat * 1.5, converted_stat)))))</f>
        <v/>
      </c>
      <c r="W642" s="30" t="str">
        <f t="array" ref="W642">IF($A642="", "", LET(bbgm_stat, INDEX(Players!$A641:$P641, MATCH(W$2, Players!$A$1:$P$1, 0)), perc_75, VLOOKUP(W$2, Percentiles!$A$45:$I$59, 6, FALSE), perc_90, VLOOKUP(W$2, Percentiles!$A$45:$I$59, 7, FALSE), perc_95, VLOOKUP(W$2, Percentiles!$A$45:$I$59, 8, FALSE), perc_85, perc_75 + (perc_90 - perc_75) * (2/3), converted_stat, '2K_Ratings'!W642, IF(bbgm_stat &gt;= perc_95, converted_stat * 3, IF(bbgm_stat &gt;= perc_90, converted_stat * 2, IF(bbgm_stat &gt;= perc_85, converted_stat * 1.5, converted_stat)))))</f>
        <v/>
      </c>
    </row>
    <row r="643">
      <c r="A643" s="30"/>
      <c r="B643" s="30" t="str">
        <f t="array" ref="B643">IF($A643="", "", LET(bbgm_stat, INDEX(Players!$A642:$P642, MATCH(B$2, Players!$A$1:$P$1, 0)), perc_75, VLOOKUP(B$2, Percentiles!$A$45:$I$59, 6, FALSE), perc_90, VLOOKUP(B$2, Percentiles!$A$45:$I$59, 7, FALSE), perc_95, VLOOKUP(B$2, Percentiles!$A$45:$I$59, 8, FALSE), perc_85, perc_75 + (perc_90 - perc_75) * (2/3), converted_stat, '2K_Ratings'!B643, IF(bbgm_stat &gt;= perc_95, converted_stat * 3, IF(bbgm_stat &gt;= perc_90, converted_stat * 2, IF(bbgm_stat &gt;= perc_85, converted_stat * 1.5, converted_stat)))))</f>
        <v/>
      </c>
      <c r="C643" s="30" t="str">
        <f t="array" ref="C643">IF($A643="", "", LET(bbgm_stat, INDEX(Players!$A642:$P642, MATCH(C$2, Players!$A$1:$P$1, 0)), perc_75, VLOOKUP(C$2, Percentiles!$A$45:$I$59, 6, FALSE), perc_90, VLOOKUP(C$2, Percentiles!$A$45:$I$59, 7, FALSE), perc_95, VLOOKUP(C$2, Percentiles!$A$45:$I$59, 8, FALSE), perc_85, perc_75 + (perc_90 - perc_75) * (2/3), converted_stat, '2K_Ratings'!C643, IF(bbgm_stat &gt;= perc_95, converted_stat * 3, IF(bbgm_stat &gt;= perc_90, converted_stat * 2, IF(bbgm_stat &gt;= perc_85, converted_stat * 1.5, converted_stat)))))</f>
        <v/>
      </c>
      <c r="D643" s="30" t="str">
        <f t="array" ref="D643">IF($A643="", "", LET(bbgm_stat, INDEX(Players!$A642:$P642, MATCH(D$2, Players!$A$1:$P$1, 0)), perc_75, VLOOKUP(D$2, Percentiles!$A$45:$I$59, 6, FALSE), perc_90, VLOOKUP(D$2, Percentiles!$A$45:$I$59, 7, FALSE), perc_95, VLOOKUP(D$2, Percentiles!$A$45:$I$59, 8, FALSE), perc_85, perc_75 + (perc_90 - perc_75) * (2/3), converted_stat, '2K_Ratings'!D643, IF(bbgm_stat &gt;= perc_95, converted_stat * 3, IF(bbgm_stat &gt;= perc_90, converted_stat * 2, IF(bbgm_stat &gt;= perc_85, converted_stat * 1.5, converted_stat)))))</f>
        <v/>
      </c>
      <c r="E643" s="30" t="str">
        <f t="array" ref="E643">IF($A643="", "", LET(bbgm_stat, INDEX(Players!$A642:$P642, MATCH(E$2, Players!$A$1:$P$1, 0)), perc_75, VLOOKUP(E$2, Percentiles!$A$45:$I$59, 6, FALSE), perc_90, VLOOKUP(E$2, Percentiles!$A$45:$I$59, 7, FALSE), perc_95, VLOOKUP(E$2, Percentiles!$A$45:$I$59, 8, FALSE), perc_85, perc_75 + (perc_90 - perc_75) * (2/3), converted_stat, '2K_Ratings'!E643, IF(bbgm_stat &gt;= perc_95, converted_stat * 3, IF(bbgm_stat &gt;= perc_90, converted_stat * 2, IF(bbgm_stat &gt;= perc_85, converted_stat * 1.5, converted_stat)))))</f>
        <v/>
      </c>
      <c r="F643" s="30" t="str">
        <f t="array" ref="F643">IF($A643="", "", LET(bbgm_stat, INDEX(Players!$A642:$P642, MATCH(F$2, Players!$A$1:$P$1, 0)), perc_75, VLOOKUP(F$2, Percentiles!$A$45:$I$59, 6, FALSE), perc_90, VLOOKUP(F$2, Percentiles!$A$45:$I$59, 7, FALSE), perc_95, VLOOKUP(F$2, Percentiles!$A$45:$I$59, 8, FALSE), perc_85, perc_75 + (perc_90 - perc_75) * (2/3), converted_stat, '2K_Ratings'!F643, IF(bbgm_stat &gt;= perc_95, converted_stat * 3, IF(bbgm_stat &gt;= perc_90, converted_stat * 2, IF(bbgm_stat &gt;= perc_85, converted_stat * 1.5, converted_stat)))))</f>
        <v/>
      </c>
      <c r="G643" s="30" t="str">
        <f t="array" ref="G643">IF($A643="", "", LET(bbgm_stat, INDEX(Players!$A642:$P642, MATCH(G$2, Players!$A$1:$P$1, 0)), perc_75, VLOOKUP(G$2, Percentiles!$A$45:$I$59, 6, FALSE), perc_90, VLOOKUP(G$2, Percentiles!$A$45:$I$59, 7, FALSE), perc_95, VLOOKUP(G$2, Percentiles!$A$45:$I$59, 8, FALSE), perc_85, perc_75 + (perc_90 - perc_75) * (2/3), converted_stat, '2K_Ratings'!G643, IF(bbgm_stat &gt;= perc_95, converted_stat * 3, IF(bbgm_stat &gt;= perc_90, converted_stat * 2, IF(bbgm_stat &gt;= perc_85, converted_stat * 1.5, converted_stat)))))</f>
        <v/>
      </c>
      <c r="H643" s="30" t="str">
        <f t="array" ref="H643">IF($A643="", "", LET(bbgm_stat, INDEX(Players!$A642:$P642, MATCH(H$2, Players!$A$1:$P$1, 0)), perc_75, VLOOKUP(H$2, Percentiles!$A$45:$I$59, 6, FALSE), perc_90, VLOOKUP(H$2, Percentiles!$A$45:$I$59, 7, FALSE), perc_95, VLOOKUP(H$2, Percentiles!$A$45:$I$59, 8, FALSE), perc_85, perc_75 + (perc_90 - perc_75) * (2/3), converted_stat, '2K_Ratings'!H643, IF(bbgm_stat &gt;= perc_95, converted_stat * 3, IF(bbgm_stat &gt;= perc_90, converted_stat * 2, IF(bbgm_stat &gt;= perc_85, converted_stat * 1.5, converted_stat)))))</f>
        <v/>
      </c>
      <c r="I643" s="30" t="str">
        <f t="array" ref="I643">IF($A643="", "", LET(bbgm_stat, INDEX(Players!$A642:$P642, MATCH(I$2, Players!$A$1:$P$1, 0)), perc_75, VLOOKUP(I$2, Percentiles!$A$45:$I$59, 6, FALSE), perc_90, VLOOKUP(I$2, Percentiles!$A$45:$I$59, 7, FALSE), perc_95, VLOOKUP(I$2, Percentiles!$A$45:$I$59, 8, FALSE), perc_85, perc_75 + (perc_90 - perc_75) * (2/3), converted_stat, '2K_Ratings'!I643, IF(bbgm_stat &gt;= perc_95, converted_stat * 3, IF(bbgm_stat &gt;= perc_90, converted_stat * 2, IF(bbgm_stat &gt;= perc_85, converted_stat * 1.5, converted_stat)))))</f>
        <v/>
      </c>
      <c r="J643" s="30" t="str">
        <f t="array" ref="J643">IF($A643="", "", LET(bbgm_stat, INDEX(Players!$A642:$P642, MATCH(J$2, Players!$A$1:$P$1, 0)), perc_75, VLOOKUP(J$2, Percentiles!$A$45:$I$59, 6, FALSE), perc_90, VLOOKUP(J$2, Percentiles!$A$45:$I$59, 7, FALSE), perc_95, VLOOKUP(J$2, Percentiles!$A$45:$I$59, 8, FALSE), perc_85, perc_75 + (perc_90 - perc_75) * (2/3), converted_stat, '2K_Ratings'!J643, IF(bbgm_stat &gt;= perc_95, converted_stat * 3, IF(bbgm_stat &gt;= perc_90, converted_stat * 2, IF(bbgm_stat &gt;= perc_85, converted_stat * 1.5, converted_stat)))))</f>
        <v/>
      </c>
      <c r="K643" s="30" t="str">
        <f t="array" ref="K643">IF($A643="", "", LET(bbgm_stat, INDEX(Players!$A642:$P642, MATCH(K$2, Players!$A$1:$P$1, 0)), perc_75, VLOOKUP(K$2, Percentiles!$A$45:$I$59, 6, FALSE), perc_90, VLOOKUP(K$2, Percentiles!$A$45:$I$59, 7, FALSE), perc_95, VLOOKUP(K$2, Percentiles!$A$45:$I$59, 8, FALSE), perc_85, perc_75 + (perc_90 - perc_75) * (2/3), converted_stat, '2K_Ratings'!K643, IF(bbgm_stat &gt;= perc_95, converted_stat * 3, IF(bbgm_stat &gt;= perc_90, converted_stat * 2, IF(bbgm_stat &gt;= perc_85, converted_stat * 1.5, converted_stat)))))</f>
        <v/>
      </c>
      <c r="L643" s="30" t="str">
        <f t="array" ref="L643">IF($A643="", "", LET(bbgm_stat, INDEX(Players!$A642:$P642, MATCH(L$2, Players!$A$1:$P$1, 0)), perc_75, VLOOKUP(L$2, Percentiles!$A$45:$I$59, 6, FALSE), perc_90, VLOOKUP(L$2, Percentiles!$A$45:$I$59, 7, FALSE), perc_95, VLOOKUP(L$2, Percentiles!$A$45:$I$59, 8, FALSE), perc_85, perc_75 + (perc_90 - perc_75) * (2/3), converted_stat, '2K_Ratings'!L643, IF(bbgm_stat &gt;= perc_95, converted_stat * 3, IF(bbgm_stat &gt;= perc_90, converted_stat * 2, IF(bbgm_stat &gt;= perc_85, converted_stat * 1.5, converted_stat)))))</f>
        <v/>
      </c>
      <c r="M643" s="30" t="str">
        <f t="array" ref="M643">IF($A643="", "", LET(bbgm_stat, INDEX(Players!$A642:$P642, MATCH(M$2, Players!$A$1:$P$1, 0)), perc_75, VLOOKUP(M$2, Percentiles!$A$45:$I$59, 6, FALSE), perc_90, VLOOKUP(M$2, Percentiles!$A$45:$I$59, 7, FALSE), perc_95, VLOOKUP(M$2, Percentiles!$A$45:$I$59, 8, FALSE), perc_85, perc_75 + (perc_90 - perc_75) * (2/3), converted_stat, '2K_Ratings'!M643, IF(bbgm_stat &gt;= perc_95, converted_stat * 3, IF(bbgm_stat &gt;= perc_90, converted_stat * 2, IF(bbgm_stat &gt;= perc_85, converted_stat * 1.5, converted_stat)))))</f>
        <v/>
      </c>
      <c r="N643" s="30" t="str">
        <f t="array" ref="N643">IF($A643="", "", LET(bbgm_stat, INDEX(Players!$A642:$P642, MATCH(N$2, Players!$A$1:$P$1, 0)), perc_75, VLOOKUP(N$2, Percentiles!$A$45:$I$59, 6, FALSE), perc_90, VLOOKUP(N$2, Percentiles!$A$45:$I$59, 7, FALSE), perc_95, VLOOKUP(N$2, Percentiles!$A$45:$I$59, 8, FALSE), perc_85, perc_75 + (perc_90 - perc_75) * (2/3), converted_stat, '2K_Ratings'!N643, IF(bbgm_stat &gt;= perc_95, converted_stat * 3, IF(bbgm_stat &gt;= perc_90, converted_stat * 2, IF(bbgm_stat &gt;= perc_85, converted_stat * 1.5, converted_stat)))))</f>
        <v/>
      </c>
      <c r="O643" s="30" t="str">
        <f t="array" ref="O643">IF($A643="", "", LET(bbgm_stat, INDEX(Players!$A642:$P642, MATCH(O$2, Players!$A$1:$P$1, 0)), perc_75, VLOOKUP(O$2, Percentiles!$A$45:$I$59, 6, FALSE), perc_90, VLOOKUP(O$2, Percentiles!$A$45:$I$59, 7, FALSE), perc_95, VLOOKUP(O$2, Percentiles!$A$45:$I$59, 8, FALSE), perc_85, perc_75 + (perc_90 - perc_75) * (2/3), converted_stat, '2K_Ratings'!O643, IF(bbgm_stat &gt;= perc_95, converted_stat * 3, IF(bbgm_stat &gt;= perc_90, converted_stat * 2, IF(bbgm_stat &gt;= perc_85, converted_stat * 1.5, converted_stat)))))</f>
        <v/>
      </c>
      <c r="P643" s="30" t="str">
        <f t="array" ref="P643">IF($A643="", "", LET(bbgm_stat, INDEX(Players!$A642:$P642, MATCH(P$2, Players!$A$1:$P$1, 0)), perc_75, VLOOKUP(P$2, Percentiles!$A$45:$I$59, 6, FALSE), perc_90, VLOOKUP(P$2, Percentiles!$A$45:$I$59, 7, FALSE), perc_95, VLOOKUP(P$2, Percentiles!$A$45:$I$59, 8, FALSE), perc_85, perc_75 + (perc_90 - perc_75) * (2/3), converted_stat, '2K_Ratings'!P643, IF(bbgm_stat &gt;= perc_95, converted_stat * 3, IF(bbgm_stat &gt;= perc_90, converted_stat * 2, IF(bbgm_stat &gt;= perc_85, converted_stat * 1.5, converted_stat)))))</f>
        <v/>
      </c>
      <c r="Q643" s="30" t="str">
        <f t="array" ref="Q643">IF($A643="", "", LET(bbgm_stat, INDEX(Players!$A642:$P642, MATCH(Q$2, Players!$A$1:$P$1, 0)), perc_75, VLOOKUP(Q$2, Percentiles!$A$45:$I$59, 6, FALSE), perc_90, VLOOKUP(Q$2, Percentiles!$A$45:$I$59, 7, FALSE), perc_95, VLOOKUP(Q$2, Percentiles!$A$45:$I$59, 8, FALSE), perc_85, perc_75 + (perc_90 - perc_75) * (2/3), converted_stat, '2K_Ratings'!Q643, IF(bbgm_stat &gt;= perc_95, converted_stat * 3, IF(bbgm_stat &gt;= perc_90, converted_stat * 2, IF(bbgm_stat &gt;= perc_85, converted_stat * 1.5, converted_stat)))))</f>
        <v/>
      </c>
      <c r="R643" s="30" t="str">
        <f t="array" ref="R643">IF($A643="", "", LET(bbgm_stat, INDEX(Players!$A642:$P642, MATCH(R$2, Players!$A$1:$P$1, 0)), perc_75, VLOOKUP(R$2, Percentiles!$A$45:$I$59, 6, FALSE), perc_90, VLOOKUP(R$2, Percentiles!$A$45:$I$59, 7, FALSE), perc_95, VLOOKUP(R$2, Percentiles!$A$45:$I$59, 8, FALSE), perc_85, perc_75 + (perc_90 - perc_75) * (2/3), converted_stat, '2K_Ratings'!R643, IF(bbgm_stat &gt;= perc_95, converted_stat * 3, IF(bbgm_stat &gt;= perc_90, converted_stat * 2, IF(bbgm_stat &gt;= perc_85, converted_stat * 1.5, converted_stat)))))</f>
        <v/>
      </c>
      <c r="S643" s="30" t="str">
        <f t="array" ref="S643">IF($A643="", "", LET(bbgm_stat, INDEX(Players!$A642:$P642, MATCH(S$2, Players!$A$1:$P$1, 0)), perc_75, VLOOKUP(S$2, Percentiles!$A$45:$I$59, 6, FALSE), perc_90, VLOOKUP(S$2, Percentiles!$A$45:$I$59, 7, FALSE), perc_95, VLOOKUP(S$2, Percentiles!$A$45:$I$59, 8, FALSE), perc_85, perc_75 + (perc_90 - perc_75) * (2/3), converted_stat, '2K_Ratings'!S643, IF(bbgm_stat &gt;= perc_95, converted_stat * 3, IF(bbgm_stat &gt;= perc_90, converted_stat * 2, IF(bbgm_stat &gt;= perc_85, converted_stat * 1.5, converted_stat)))))</f>
        <v/>
      </c>
      <c r="T643" s="30" t="str">
        <f t="array" ref="T643">IF($A643="", "", LET(bbgm_stat, INDEX(Players!$A642:$P642, MATCH(T$2, Players!$A$1:$P$1, 0)), perc_75, VLOOKUP(T$2, Percentiles!$A$45:$I$59, 6, FALSE), perc_90, VLOOKUP(T$2, Percentiles!$A$45:$I$59, 7, FALSE), perc_95, VLOOKUP(T$2, Percentiles!$A$45:$I$59, 8, FALSE), perc_85, perc_75 + (perc_90 - perc_75) * (2/3), converted_stat, '2K_Ratings'!T643, IF(bbgm_stat &gt;= perc_95, converted_stat * 3, IF(bbgm_stat &gt;= perc_90, converted_stat * 2, IF(bbgm_stat &gt;= perc_85, converted_stat * 1.5, converted_stat)))))</f>
        <v/>
      </c>
      <c r="U643" s="30" t="str">
        <f t="array" ref="U643">IF($A643="", "", LET(bbgm_stat, INDEX(Players!$A642:$P642, MATCH(U$2, Players!$A$1:$P$1, 0)), perc_75, VLOOKUP(U$2, Percentiles!$A$45:$I$59, 6, FALSE), perc_90, VLOOKUP(U$2, Percentiles!$A$45:$I$59, 7, FALSE), perc_95, VLOOKUP(U$2, Percentiles!$A$45:$I$59, 8, FALSE), perc_85, perc_75 + (perc_90 - perc_75) * (2/3), converted_stat, '2K_Ratings'!U643, IF(bbgm_stat &gt;= perc_95, converted_stat * 3, IF(bbgm_stat &gt;= perc_90, converted_stat * 2, IF(bbgm_stat &gt;= perc_85, converted_stat * 1.5, converted_stat)))))</f>
        <v/>
      </c>
      <c r="V643" s="30" t="str">
        <f t="array" ref="V643">IF($A643="", "", LET(bbgm_stat, INDEX(Players!$A642:$P642, MATCH(V$2, Players!$A$1:$P$1, 0)), perc_75, VLOOKUP(V$2, Percentiles!$A$45:$I$59, 6, FALSE), perc_90, VLOOKUP(V$2, Percentiles!$A$45:$I$59, 7, FALSE), perc_95, VLOOKUP(V$2, Percentiles!$A$45:$I$59, 8, FALSE), perc_85, perc_75 + (perc_90 - perc_75) * (2/3), converted_stat, '2K_Ratings'!V643, IF(bbgm_stat &gt;= perc_95, converted_stat * 3, IF(bbgm_stat &gt;= perc_90, converted_stat * 2, IF(bbgm_stat &gt;= perc_85, converted_stat * 1.5, converted_stat)))))</f>
        <v/>
      </c>
      <c r="W643" s="30" t="str">
        <f t="array" ref="W643">IF($A643="", "", LET(bbgm_stat, INDEX(Players!$A642:$P642, MATCH(W$2, Players!$A$1:$P$1, 0)), perc_75, VLOOKUP(W$2, Percentiles!$A$45:$I$59, 6, FALSE), perc_90, VLOOKUP(W$2, Percentiles!$A$45:$I$59, 7, FALSE), perc_95, VLOOKUP(W$2, Percentiles!$A$45:$I$59, 8, FALSE), perc_85, perc_75 + (perc_90 - perc_75) * (2/3), converted_stat, '2K_Ratings'!W643, IF(bbgm_stat &gt;= perc_95, converted_stat * 3, IF(bbgm_stat &gt;= perc_90, converted_stat * 2, IF(bbgm_stat &gt;= perc_85, converted_stat * 1.5, converted_stat)))))</f>
        <v/>
      </c>
    </row>
    <row r="644">
      <c r="A644" s="30"/>
      <c r="B644" s="30" t="str">
        <f t="array" ref="B644">IF($A644="", "", LET(bbgm_stat, INDEX(Players!$A643:$P643, MATCH(B$2, Players!$A$1:$P$1, 0)), perc_75, VLOOKUP(B$2, Percentiles!$A$45:$I$59, 6, FALSE), perc_90, VLOOKUP(B$2, Percentiles!$A$45:$I$59, 7, FALSE), perc_95, VLOOKUP(B$2, Percentiles!$A$45:$I$59, 8, FALSE), perc_85, perc_75 + (perc_90 - perc_75) * (2/3), converted_stat, '2K_Ratings'!B644, IF(bbgm_stat &gt;= perc_95, converted_stat * 3, IF(bbgm_stat &gt;= perc_90, converted_stat * 2, IF(bbgm_stat &gt;= perc_85, converted_stat * 1.5, converted_stat)))))</f>
        <v/>
      </c>
      <c r="C644" s="30" t="str">
        <f t="array" ref="C644">IF($A644="", "", LET(bbgm_stat, INDEX(Players!$A643:$P643, MATCH(C$2, Players!$A$1:$P$1, 0)), perc_75, VLOOKUP(C$2, Percentiles!$A$45:$I$59, 6, FALSE), perc_90, VLOOKUP(C$2, Percentiles!$A$45:$I$59, 7, FALSE), perc_95, VLOOKUP(C$2, Percentiles!$A$45:$I$59, 8, FALSE), perc_85, perc_75 + (perc_90 - perc_75) * (2/3), converted_stat, '2K_Ratings'!C644, IF(bbgm_stat &gt;= perc_95, converted_stat * 3, IF(bbgm_stat &gt;= perc_90, converted_stat * 2, IF(bbgm_stat &gt;= perc_85, converted_stat * 1.5, converted_stat)))))</f>
        <v/>
      </c>
      <c r="D644" s="30" t="str">
        <f t="array" ref="D644">IF($A644="", "", LET(bbgm_stat, INDEX(Players!$A643:$P643, MATCH(D$2, Players!$A$1:$P$1, 0)), perc_75, VLOOKUP(D$2, Percentiles!$A$45:$I$59, 6, FALSE), perc_90, VLOOKUP(D$2, Percentiles!$A$45:$I$59, 7, FALSE), perc_95, VLOOKUP(D$2, Percentiles!$A$45:$I$59, 8, FALSE), perc_85, perc_75 + (perc_90 - perc_75) * (2/3), converted_stat, '2K_Ratings'!D644, IF(bbgm_stat &gt;= perc_95, converted_stat * 3, IF(bbgm_stat &gt;= perc_90, converted_stat * 2, IF(bbgm_stat &gt;= perc_85, converted_stat * 1.5, converted_stat)))))</f>
        <v/>
      </c>
      <c r="E644" s="30" t="str">
        <f t="array" ref="E644">IF($A644="", "", LET(bbgm_stat, INDEX(Players!$A643:$P643, MATCH(E$2, Players!$A$1:$P$1, 0)), perc_75, VLOOKUP(E$2, Percentiles!$A$45:$I$59, 6, FALSE), perc_90, VLOOKUP(E$2, Percentiles!$A$45:$I$59, 7, FALSE), perc_95, VLOOKUP(E$2, Percentiles!$A$45:$I$59, 8, FALSE), perc_85, perc_75 + (perc_90 - perc_75) * (2/3), converted_stat, '2K_Ratings'!E644, IF(bbgm_stat &gt;= perc_95, converted_stat * 3, IF(bbgm_stat &gt;= perc_90, converted_stat * 2, IF(bbgm_stat &gt;= perc_85, converted_stat * 1.5, converted_stat)))))</f>
        <v/>
      </c>
      <c r="F644" s="30" t="str">
        <f t="array" ref="F644">IF($A644="", "", LET(bbgm_stat, INDEX(Players!$A643:$P643, MATCH(F$2, Players!$A$1:$P$1, 0)), perc_75, VLOOKUP(F$2, Percentiles!$A$45:$I$59, 6, FALSE), perc_90, VLOOKUP(F$2, Percentiles!$A$45:$I$59, 7, FALSE), perc_95, VLOOKUP(F$2, Percentiles!$A$45:$I$59, 8, FALSE), perc_85, perc_75 + (perc_90 - perc_75) * (2/3), converted_stat, '2K_Ratings'!F644, IF(bbgm_stat &gt;= perc_95, converted_stat * 3, IF(bbgm_stat &gt;= perc_90, converted_stat * 2, IF(bbgm_stat &gt;= perc_85, converted_stat * 1.5, converted_stat)))))</f>
        <v/>
      </c>
      <c r="G644" s="30" t="str">
        <f t="array" ref="G644">IF($A644="", "", LET(bbgm_stat, INDEX(Players!$A643:$P643, MATCH(G$2, Players!$A$1:$P$1, 0)), perc_75, VLOOKUP(G$2, Percentiles!$A$45:$I$59, 6, FALSE), perc_90, VLOOKUP(G$2, Percentiles!$A$45:$I$59, 7, FALSE), perc_95, VLOOKUP(G$2, Percentiles!$A$45:$I$59, 8, FALSE), perc_85, perc_75 + (perc_90 - perc_75) * (2/3), converted_stat, '2K_Ratings'!G644, IF(bbgm_stat &gt;= perc_95, converted_stat * 3, IF(bbgm_stat &gt;= perc_90, converted_stat * 2, IF(bbgm_stat &gt;= perc_85, converted_stat * 1.5, converted_stat)))))</f>
        <v/>
      </c>
      <c r="H644" s="30" t="str">
        <f t="array" ref="H644">IF($A644="", "", LET(bbgm_stat, INDEX(Players!$A643:$P643, MATCH(H$2, Players!$A$1:$P$1, 0)), perc_75, VLOOKUP(H$2, Percentiles!$A$45:$I$59, 6, FALSE), perc_90, VLOOKUP(H$2, Percentiles!$A$45:$I$59, 7, FALSE), perc_95, VLOOKUP(H$2, Percentiles!$A$45:$I$59, 8, FALSE), perc_85, perc_75 + (perc_90 - perc_75) * (2/3), converted_stat, '2K_Ratings'!H644, IF(bbgm_stat &gt;= perc_95, converted_stat * 3, IF(bbgm_stat &gt;= perc_90, converted_stat * 2, IF(bbgm_stat &gt;= perc_85, converted_stat * 1.5, converted_stat)))))</f>
        <v/>
      </c>
      <c r="I644" s="30" t="str">
        <f t="array" ref="I644">IF($A644="", "", LET(bbgm_stat, INDEX(Players!$A643:$P643, MATCH(I$2, Players!$A$1:$P$1, 0)), perc_75, VLOOKUP(I$2, Percentiles!$A$45:$I$59, 6, FALSE), perc_90, VLOOKUP(I$2, Percentiles!$A$45:$I$59, 7, FALSE), perc_95, VLOOKUP(I$2, Percentiles!$A$45:$I$59, 8, FALSE), perc_85, perc_75 + (perc_90 - perc_75) * (2/3), converted_stat, '2K_Ratings'!I644, IF(bbgm_stat &gt;= perc_95, converted_stat * 3, IF(bbgm_stat &gt;= perc_90, converted_stat * 2, IF(bbgm_stat &gt;= perc_85, converted_stat * 1.5, converted_stat)))))</f>
        <v/>
      </c>
      <c r="J644" s="30" t="str">
        <f t="array" ref="J644">IF($A644="", "", LET(bbgm_stat, INDEX(Players!$A643:$P643, MATCH(J$2, Players!$A$1:$P$1, 0)), perc_75, VLOOKUP(J$2, Percentiles!$A$45:$I$59, 6, FALSE), perc_90, VLOOKUP(J$2, Percentiles!$A$45:$I$59, 7, FALSE), perc_95, VLOOKUP(J$2, Percentiles!$A$45:$I$59, 8, FALSE), perc_85, perc_75 + (perc_90 - perc_75) * (2/3), converted_stat, '2K_Ratings'!J644, IF(bbgm_stat &gt;= perc_95, converted_stat * 3, IF(bbgm_stat &gt;= perc_90, converted_stat * 2, IF(bbgm_stat &gt;= perc_85, converted_stat * 1.5, converted_stat)))))</f>
        <v/>
      </c>
      <c r="K644" s="30" t="str">
        <f t="array" ref="K644">IF($A644="", "", LET(bbgm_stat, INDEX(Players!$A643:$P643, MATCH(K$2, Players!$A$1:$P$1, 0)), perc_75, VLOOKUP(K$2, Percentiles!$A$45:$I$59, 6, FALSE), perc_90, VLOOKUP(K$2, Percentiles!$A$45:$I$59, 7, FALSE), perc_95, VLOOKUP(K$2, Percentiles!$A$45:$I$59, 8, FALSE), perc_85, perc_75 + (perc_90 - perc_75) * (2/3), converted_stat, '2K_Ratings'!K644, IF(bbgm_stat &gt;= perc_95, converted_stat * 3, IF(bbgm_stat &gt;= perc_90, converted_stat * 2, IF(bbgm_stat &gt;= perc_85, converted_stat * 1.5, converted_stat)))))</f>
        <v/>
      </c>
      <c r="L644" s="30" t="str">
        <f t="array" ref="L644">IF($A644="", "", LET(bbgm_stat, INDEX(Players!$A643:$P643, MATCH(L$2, Players!$A$1:$P$1, 0)), perc_75, VLOOKUP(L$2, Percentiles!$A$45:$I$59, 6, FALSE), perc_90, VLOOKUP(L$2, Percentiles!$A$45:$I$59, 7, FALSE), perc_95, VLOOKUP(L$2, Percentiles!$A$45:$I$59, 8, FALSE), perc_85, perc_75 + (perc_90 - perc_75) * (2/3), converted_stat, '2K_Ratings'!L644, IF(bbgm_stat &gt;= perc_95, converted_stat * 3, IF(bbgm_stat &gt;= perc_90, converted_stat * 2, IF(bbgm_stat &gt;= perc_85, converted_stat * 1.5, converted_stat)))))</f>
        <v/>
      </c>
      <c r="M644" s="30" t="str">
        <f t="array" ref="M644">IF($A644="", "", LET(bbgm_stat, INDEX(Players!$A643:$P643, MATCH(M$2, Players!$A$1:$P$1, 0)), perc_75, VLOOKUP(M$2, Percentiles!$A$45:$I$59, 6, FALSE), perc_90, VLOOKUP(M$2, Percentiles!$A$45:$I$59, 7, FALSE), perc_95, VLOOKUP(M$2, Percentiles!$A$45:$I$59, 8, FALSE), perc_85, perc_75 + (perc_90 - perc_75) * (2/3), converted_stat, '2K_Ratings'!M644, IF(bbgm_stat &gt;= perc_95, converted_stat * 3, IF(bbgm_stat &gt;= perc_90, converted_stat * 2, IF(bbgm_stat &gt;= perc_85, converted_stat * 1.5, converted_stat)))))</f>
        <v/>
      </c>
      <c r="N644" s="30" t="str">
        <f t="array" ref="N644">IF($A644="", "", LET(bbgm_stat, INDEX(Players!$A643:$P643, MATCH(N$2, Players!$A$1:$P$1, 0)), perc_75, VLOOKUP(N$2, Percentiles!$A$45:$I$59, 6, FALSE), perc_90, VLOOKUP(N$2, Percentiles!$A$45:$I$59, 7, FALSE), perc_95, VLOOKUP(N$2, Percentiles!$A$45:$I$59, 8, FALSE), perc_85, perc_75 + (perc_90 - perc_75) * (2/3), converted_stat, '2K_Ratings'!N644, IF(bbgm_stat &gt;= perc_95, converted_stat * 3, IF(bbgm_stat &gt;= perc_90, converted_stat * 2, IF(bbgm_stat &gt;= perc_85, converted_stat * 1.5, converted_stat)))))</f>
        <v/>
      </c>
      <c r="O644" s="30" t="str">
        <f t="array" ref="O644">IF($A644="", "", LET(bbgm_stat, INDEX(Players!$A643:$P643, MATCH(O$2, Players!$A$1:$P$1, 0)), perc_75, VLOOKUP(O$2, Percentiles!$A$45:$I$59, 6, FALSE), perc_90, VLOOKUP(O$2, Percentiles!$A$45:$I$59, 7, FALSE), perc_95, VLOOKUP(O$2, Percentiles!$A$45:$I$59, 8, FALSE), perc_85, perc_75 + (perc_90 - perc_75) * (2/3), converted_stat, '2K_Ratings'!O644, IF(bbgm_stat &gt;= perc_95, converted_stat * 3, IF(bbgm_stat &gt;= perc_90, converted_stat * 2, IF(bbgm_stat &gt;= perc_85, converted_stat * 1.5, converted_stat)))))</f>
        <v/>
      </c>
      <c r="P644" s="30" t="str">
        <f t="array" ref="P644">IF($A644="", "", LET(bbgm_stat, INDEX(Players!$A643:$P643, MATCH(P$2, Players!$A$1:$P$1, 0)), perc_75, VLOOKUP(P$2, Percentiles!$A$45:$I$59, 6, FALSE), perc_90, VLOOKUP(P$2, Percentiles!$A$45:$I$59, 7, FALSE), perc_95, VLOOKUP(P$2, Percentiles!$A$45:$I$59, 8, FALSE), perc_85, perc_75 + (perc_90 - perc_75) * (2/3), converted_stat, '2K_Ratings'!P644, IF(bbgm_stat &gt;= perc_95, converted_stat * 3, IF(bbgm_stat &gt;= perc_90, converted_stat * 2, IF(bbgm_stat &gt;= perc_85, converted_stat * 1.5, converted_stat)))))</f>
        <v/>
      </c>
      <c r="Q644" s="30" t="str">
        <f t="array" ref="Q644">IF($A644="", "", LET(bbgm_stat, INDEX(Players!$A643:$P643, MATCH(Q$2, Players!$A$1:$P$1, 0)), perc_75, VLOOKUP(Q$2, Percentiles!$A$45:$I$59, 6, FALSE), perc_90, VLOOKUP(Q$2, Percentiles!$A$45:$I$59, 7, FALSE), perc_95, VLOOKUP(Q$2, Percentiles!$A$45:$I$59, 8, FALSE), perc_85, perc_75 + (perc_90 - perc_75) * (2/3), converted_stat, '2K_Ratings'!Q644, IF(bbgm_stat &gt;= perc_95, converted_stat * 3, IF(bbgm_stat &gt;= perc_90, converted_stat * 2, IF(bbgm_stat &gt;= perc_85, converted_stat * 1.5, converted_stat)))))</f>
        <v/>
      </c>
      <c r="R644" s="30" t="str">
        <f t="array" ref="R644">IF($A644="", "", LET(bbgm_stat, INDEX(Players!$A643:$P643, MATCH(R$2, Players!$A$1:$P$1, 0)), perc_75, VLOOKUP(R$2, Percentiles!$A$45:$I$59, 6, FALSE), perc_90, VLOOKUP(R$2, Percentiles!$A$45:$I$59, 7, FALSE), perc_95, VLOOKUP(R$2, Percentiles!$A$45:$I$59, 8, FALSE), perc_85, perc_75 + (perc_90 - perc_75) * (2/3), converted_stat, '2K_Ratings'!R644, IF(bbgm_stat &gt;= perc_95, converted_stat * 3, IF(bbgm_stat &gt;= perc_90, converted_stat * 2, IF(bbgm_stat &gt;= perc_85, converted_stat * 1.5, converted_stat)))))</f>
        <v/>
      </c>
      <c r="S644" s="30" t="str">
        <f t="array" ref="S644">IF($A644="", "", LET(bbgm_stat, INDEX(Players!$A643:$P643, MATCH(S$2, Players!$A$1:$P$1, 0)), perc_75, VLOOKUP(S$2, Percentiles!$A$45:$I$59, 6, FALSE), perc_90, VLOOKUP(S$2, Percentiles!$A$45:$I$59, 7, FALSE), perc_95, VLOOKUP(S$2, Percentiles!$A$45:$I$59, 8, FALSE), perc_85, perc_75 + (perc_90 - perc_75) * (2/3), converted_stat, '2K_Ratings'!S644, IF(bbgm_stat &gt;= perc_95, converted_stat * 3, IF(bbgm_stat &gt;= perc_90, converted_stat * 2, IF(bbgm_stat &gt;= perc_85, converted_stat * 1.5, converted_stat)))))</f>
        <v/>
      </c>
      <c r="T644" s="30" t="str">
        <f t="array" ref="T644">IF($A644="", "", LET(bbgm_stat, INDEX(Players!$A643:$P643, MATCH(T$2, Players!$A$1:$P$1, 0)), perc_75, VLOOKUP(T$2, Percentiles!$A$45:$I$59, 6, FALSE), perc_90, VLOOKUP(T$2, Percentiles!$A$45:$I$59, 7, FALSE), perc_95, VLOOKUP(T$2, Percentiles!$A$45:$I$59, 8, FALSE), perc_85, perc_75 + (perc_90 - perc_75) * (2/3), converted_stat, '2K_Ratings'!T644, IF(bbgm_stat &gt;= perc_95, converted_stat * 3, IF(bbgm_stat &gt;= perc_90, converted_stat * 2, IF(bbgm_stat &gt;= perc_85, converted_stat * 1.5, converted_stat)))))</f>
        <v/>
      </c>
      <c r="U644" s="30" t="str">
        <f t="array" ref="U644">IF($A644="", "", LET(bbgm_stat, INDEX(Players!$A643:$P643, MATCH(U$2, Players!$A$1:$P$1, 0)), perc_75, VLOOKUP(U$2, Percentiles!$A$45:$I$59, 6, FALSE), perc_90, VLOOKUP(U$2, Percentiles!$A$45:$I$59, 7, FALSE), perc_95, VLOOKUP(U$2, Percentiles!$A$45:$I$59, 8, FALSE), perc_85, perc_75 + (perc_90 - perc_75) * (2/3), converted_stat, '2K_Ratings'!U644, IF(bbgm_stat &gt;= perc_95, converted_stat * 3, IF(bbgm_stat &gt;= perc_90, converted_stat * 2, IF(bbgm_stat &gt;= perc_85, converted_stat * 1.5, converted_stat)))))</f>
        <v/>
      </c>
      <c r="V644" s="30" t="str">
        <f t="array" ref="V644">IF($A644="", "", LET(bbgm_stat, INDEX(Players!$A643:$P643, MATCH(V$2, Players!$A$1:$P$1, 0)), perc_75, VLOOKUP(V$2, Percentiles!$A$45:$I$59, 6, FALSE), perc_90, VLOOKUP(V$2, Percentiles!$A$45:$I$59, 7, FALSE), perc_95, VLOOKUP(V$2, Percentiles!$A$45:$I$59, 8, FALSE), perc_85, perc_75 + (perc_90 - perc_75) * (2/3), converted_stat, '2K_Ratings'!V644, IF(bbgm_stat &gt;= perc_95, converted_stat * 3, IF(bbgm_stat &gt;= perc_90, converted_stat * 2, IF(bbgm_stat &gt;= perc_85, converted_stat * 1.5, converted_stat)))))</f>
        <v/>
      </c>
      <c r="W644" s="30" t="str">
        <f t="array" ref="W644">IF($A644="", "", LET(bbgm_stat, INDEX(Players!$A643:$P643, MATCH(W$2, Players!$A$1:$P$1, 0)), perc_75, VLOOKUP(W$2, Percentiles!$A$45:$I$59, 6, FALSE), perc_90, VLOOKUP(W$2, Percentiles!$A$45:$I$59, 7, FALSE), perc_95, VLOOKUP(W$2, Percentiles!$A$45:$I$59, 8, FALSE), perc_85, perc_75 + (perc_90 - perc_75) * (2/3), converted_stat, '2K_Ratings'!W644, IF(bbgm_stat &gt;= perc_95, converted_stat * 3, IF(bbgm_stat &gt;= perc_90, converted_stat * 2, IF(bbgm_stat &gt;= perc_85, converted_stat * 1.5, converted_stat)))))</f>
        <v/>
      </c>
    </row>
    <row r="645">
      <c r="A645" s="30"/>
      <c r="B645" s="30" t="str">
        <f t="array" ref="B645">IF($A645="", "", LET(bbgm_stat, INDEX(Players!$A644:$P644, MATCH(B$2, Players!$A$1:$P$1, 0)), perc_75, VLOOKUP(B$2, Percentiles!$A$45:$I$59, 6, FALSE), perc_90, VLOOKUP(B$2, Percentiles!$A$45:$I$59, 7, FALSE), perc_95, VLOOKUP(B$2, Percentiles!$A$45:$I$59, 8, FALSE), perc_85, perc_75 + (perc_90 - perc_75) * (2/3), converted_stat, '2K_Ratings'!B645, IF(bbgm_stat &gt;= perc_95, converted_stat * 3, IF(bbgm_stat &gt;= perc_90, converted_stat * 2, IF(bbgm_stat &gt;= perc_85, converted_stat * 1.5, converted_stat)))))</f>
        <v/>
      </c>
      <c r="C645" s="30" t="str">
        <f t="array" ref="C645">IF($A645="", "", LET(bbgm_stat, INDEX(Players!$A644:$P644, MATCH(C$2, Players!$A$1:$P$1, 0)), perc_75, VLOOKUP(C$2, Percentiles!$A$45:$I$59, 6, FALSE), perc_90, VLOOKUP(C$2, Percentiles!$A$45:$I$59, 7, FALSE), perc_95, VLOOKUP(C$2, Percentiles!$A$45:$I$59, 8, FALSE), perc_85, perc_75 + (perc_90 - perc_75) * (2/3), converted_stat, '2K_Ratings'!C645, IF(bbgm_stat &gt;= perc_95, converted_stat * 3, IF(bbgm_stat &gt;= perc_90, converted_stat * 2, IF(bbgm_stat &gt;= perc_85, converted_stat * 1.5, converted_stat)))))</f>
        <v/>
      </c>
      <c r="D645" s="30" t="str">
        <f t="array" ref="D645">IF($A645="", "", LET(bbgm_stat, INDEX(Players!$A644:$P644, MATCH(D$2, Players!$A$1:$P$1, 0)), perc_75, VLOOKUP(D$2, Percentiles!$A$45:$I$59, 6, FALSE), perc_90, VLOOKUP(D$2, Percentiles!$A$45:$I$59, 7, FALSE), perc_95, VLOOKUP(D$2, Percentiles!$A$45:$I$59, 8, FALSE), perc_85, perc_75 + (perc_90 - perc_75) * (2/3), converted_stat, '2K_Ratings'!D645, IF(bbgm_stat &gt;= perc_95, converted_stat * 3, IF(bbgm_stat &gt;= perc_90, converted_stat * 2, IF(bbgm_stat &gt;= perc_85, converted_stat * 1.5, converted_stat)))))</f>
        <v/>
      </c>
      <c r="E645" s="30" t="str">
        <f t="array" ref="E645">IF($A645="", "", LET(bbgm_stat, INDEX(Players!$A644:$P644, MATCH(E$2, Players!$A$1:$P$1, 0)), perc_75, VLOOKUP(E$2, Percentiles!$A$45:$I$59, 6, FALSE), perc_90, VLOOKUP(E$2, Percentiles!$A$45:$I$59, 7, FALSE), perc_95, VLOOKUP(E$2, Percentiles!$A$45:$I$59, 8, FALSE), perc_85, perc_75 + (perc_90 - perc_75) * (2/3), converted_stat, '2K_Ratings'!E645, IF(bbgm_stat &gt;= perc_95, converted_stat * 3, IF(bbgm_stat &gt;= perc_90, converted_stat * 2, IF(bbgm_stat &gt;= perc_85, converted_stat * 1.5, converted_stat)))))</f>
        <v/>
      </c>
      <c r="F645" s="30" t="str">
        <f t="array" ref="F645">IF($A645="", "", LET(bbgm_stat, INDEX(Players!$A644:$P644, MATCH(F$2, Players!$A$1:$P$1, 0)), perc_75, VLOOKUP(F$2, Percentiles!$A$45:$I$59, 6, FALSE), perc_90, VLOOKUP(F$2, Percentiles!$A$45:$I$59, 7, FALSE), perc_95, VLOOKUP(F$2, Percentiles!$A$45:$I$59, 8, FALSE), perc_85, perc_75 + (perc_90 - perc_75) * (2/3), converted_stat, '2K_Ratings'!F645, IF(bbgm_stat &gt;= perc_95, converted_stat * 3, IF(bbgm_stat &gt;= perc_90, converted_stat * 2, IF(bbgm_stat &gt;= perc_85, converted_stat * 1.5, converted_stat)))))</f>
        <v/>
      </c>
      <c r="G645" s="30" t="str">
        <f t="array" ref="G645">IF($A645="", "", LET(bbgm_stat, INDEX(Players!$A644:$P644, MATCH(G$2, Players!$A$1:$P$1, 0)), perc_75, VLOOKUP(G$2, Percentiles!$A$45:$I$59, 6, FALSE), perc_90, VLOOKUP(G$2, Percentiles!$A$45:$I$59, 7, FALSE), perc_95, VLOOKUP(G$2, Percentiles!$A$45:$I$59, 8, FALSE), perc_85, perc_75 + (perc_90 - perc_75) * (2/3), converted_stat, '2K_Ratings'!G645, IF(bbgm_stat &gt;= perc_95, converted_stat * 3, IF(bbgm_stat &gt;= perc_90, converted_stat * 2, IF(bbgm_stat &gt;= perc_85, converted_stat * 1.5, converted_stat)))))</f>
        <v/>
      </c>
      <c r="H645" s="30" t="str">
        <f t="array" ref="H645">IF($A645="", "", LET(bbgm_stat, INDEX(Players!$A644:$P644, MATCH(H$2, Players!$A$1:$P$1, 0)), perc_75, VLOOKUP(H$2, Percentiles!$A$45:$I$59, 6, FALSE), perc_90, VLOOKUP(H$2, Percentiles!$A$45:$I$59, 7, FALSE), perc_95, VLOOKUP(H$2, Percentiles!$A$45:$I$59, 8, FALSE), perc_85, perc_75 + (perc_90 - perc_75) * (2/3), converted_stat, '2K_Ratings'!H645, IF(bbgm_stat &gt;= perc_95, converted_stat * 3, IF(bbgm_stat &gt;= perc_90, converted_stat * 2, IF(bbgm_stat &gt;= perc_85, converted_stat * 1.5, converted_stat)))))</f>
        <v/>
      </c>
      <c r="I645" s="30" t="str">
        <f t="array" ref="I645">IF($A645="", "", LET(bbgm_stat, INDEX(Players!$A644:$P644, MATCH(I$2, Players!$A$1:$P$1, 0)), perc_75, VLOOKUP(I$2, Percentiles!$A$45:$I$59, 6, FALSE), perc_90, VLOOKUP(I$2, Percentiles!$A$45:$I$59, 7, FALSE), perc_95, VLOOKUP(I$2, Percentiles!$A$45:$I$59, 8, FALSE), perc_85, perc_75 + (perc_90 - perc_75) * (2/3), converted_stat, '2K_Ratings'!I645, IF(bbgm_stat &gt;= perc_95, converted_stat * 3, IF(bbgm_stat &gt;= perc_90, converted_stat * 2, IF(bbgm_stat &gt;= perc_85, converted_stat * 1.5, converted_stat)))))</f>
        <v/>
      </c>
      <c r="J645" s="30" t="str">
        <f t="array" ref="J645">IF($A645="", "", LET(bbgm_stat, INDEX(Players!$A644:$P644, MATCH(J$2, Players!$A$1:$P$1, 0)), perc_75, VLOOKUP(J$2, Percentiles!$A$45:$I$59, 6, FALSE), perc_90, VLOOKUP(J$2, Percentiles!$A$45:$I$59, 7, FALSE), perc_95, VLOOKUP(J$2, Percentiles!$A$45:$I$59, 8, FALSE), perc_85, perc_75 + (perc_90 - perc_75) * (2/3), converted_stat, '2K_Ratings'!J645, IF(bbgm_stat &gt;= perc_95, converted_stat * 3, IF(bbgm_stat &gt;= perc_90, converted_stat * 2, IF(bbgm_stat &gt;= perc_85, converted_stat * 1.5, converted_stat)))))</f>
        <v/>
      </c>
      <c r="K645" s="30" t="str">
        <f t="array" ref="K645">IF($A645="", "", LET(bbgm_stat, INDEX(Players!$A644:$P644, MATCH(K$2, Players!$A$1:$P$1, 0)), perc_75, VLOOKUP(K$2, Percentiles!$A$45:$I$59, 6, FALSE), perc_90, VLOOKUP(K$2, Percentiles!$A$45:$I$59, 7, FALSE), perc_95, VLOOKUP(K$2, Percentiles!$A$45:$I$59, 8, FALSE), perc_85, perc_75 + (perc_90 - perc_75) * (2/3), converted_stat, '2K_Ratings'!K645, IF(bbgm_stat &gt;= perc_95, converted_stat * 3, IF(bbgm_stat &gt;= perc_90, converted_stat * 2, IF(bbgm_stat &gt;= perc_85, converted_stat * 1.5, converted_stat)))))</f>
        <v/>
      </c>
      <c r="L645" s="30" t="str">
        <f t="array" ref="L645">IF($A645="", "", LET(bbgm_stat, INDEX(Players!$A644:$P644, MATCH(L$2, Players!$A$1:$P$1, 0)), perc_75, VLOOKUP(L$2, Percentiles!$A$45:$I$59, 6, FALSE), perc_90, VLOOKUP(L$2, Percentiles!$A$45:$I$59, 7, FALSE), perc_95, VLOOKUP(L$2, Percentiles!$A$45:$I$59, 8, FALSE), perc_85, perc_75 + (perc_90 - perc_75) * (2/3), converted_stat, '2K_Ratings'!L645, IF(bbgm_stat &gt;= perc_95, converted_stat * 3, IF(bbgm_stat &gt;= perc_90, converted_stat * 2, IF(bbgm_stat &gt;= perc_85, converted_stat * 1.5, converted_stat)))))</f>
        <v/>
      </c>
      <c r="M645" s="30" t="str">
        <f t="array" ref="M645">IF($A645="", "", LET(bbgm_stat, INDEX(Players!$A644:$P644, MATCH(M$2, Players!$A$1:$P$1, 0)), perc_75, VLOOKUP(M$2, Percentiles!$A$45:$I$59, 6, FALSE), perc_90, VLOOKUP(M$2, Percentiles!$A$45:$I$59, 7, FALSE), perc_95, VLOOKUP(M$2, Percentiles!$A$45:$I$59, 8, FALSE), perc_85, perc_75 + (perc_90 - perc_75) * (2/3), converted_stat, '2K_Ratings'!M645, IF(bbgm_stat &gt;= perc_95, converted_stat * 3, IF(bbgm_stat &gt;= perc_90, converted_stat * 2, IF(bbgm_stat &gt;= perc_85, converted_stat * 1.5, converted_stat)))))</f>
        <v/>
      </c>
      <c r="N645" s="30" t="str">
        <f t="array" ref="N645">IF($A645="", "", LET(bbgm_stat, INDEX(Players!$A644:$P644, MATCH(N$2, Players!$A$1:$P$1, 0)), perc_75, VLOOKUP(N$2, Percentiles!$A$45:$I$59, 6, FALSE), perc_90, VLOOKUP(N$2, Percentiles!$A$45:$I$59, 7, FALSE), perc_95, VLOOKUP(N$2, Percentiles!$A$45:$I$59, 8, FALSE), perc_85, perc_75 + (perc_90 - perc_75) * (2/3), converted_stat, '2K_Ratings'!N645, IF(bbgm_stat &gt;= perc_95, converted_stat * 3, IF(bbgm_stat &gt;= perc_90, converted_stat * 2, IF(bbgm_stat &gt;= perc_85, converted_stat * 1.5, converted_stat)))))</f>
        <v/>
      </c>
      <c r="O645" s="30" t="str">
        <f t="array" ref="O645">IF($A645="", "", LET(bbgm_stat, INDEX(Players!$A644:$P644, MATCH(O$2, Players!$A$1:$P$1, 0)), perc_75, VLOOKUP(O$2, Percentiles!$A$45:$I$59, 6, FALSE), perc_90, VLOOKUP(O$2, Percentiles!$A$45:$I$59, 7, FALSE), perc_95, VLOOKUP(O$2, Percentiles!$A$45:$I$59, 8, FALSE), perc_85, perc_75 + (perc_90 - perc_75) * (2/3), converted_stat, '2K_Ratings'!O645, IF(bbgm_stat &gt;= perc_95, converted_stat * 3, IF(bbgm_stat &gt;= perc_90, converted_stat * 2, IF(bbgm_stat &gt;= perc_85, converted_stat * 1.5, converted_stat)))))</f>
        <v/>
      </c>
      <c r="P645" s="30" t="str">
        <f t="array" ref="P645">IF($A645="", "", LET(bbgm_stat, INDEX(Players!$A644:$P644, MATCH(P$2, Players!$A$1:$P$1, 0)), perc_75, VLOOKUP(P$2, Percentiles!$A$45:$I$59, 6, FALSE), perc_90, VLOOKUP(P$2, Percentiles!$A$45:$I$59, 7, FALSE), perc_95, VLOOKUP(P$2, Percentiles!$A$45:$I$59, 8, FALSE), perc_85, perc_75 + (perc_90 - perc_75) * (2/3), converted_stat, '2K_Ratings'!P645, IF(bbgm_stat &gt;= perc_95, converted_stat * 3, IF(bbgm_stat &gt;= perc_90, converted_stat * 2, IF(bbgm_stat &gt;= perc_85, converted_stat * 1.5, converted_stat)))))</f>
        <v/>
      </c>
      <c r="Q645" s="30" t="str">
        <f t="array" ref="Q645">IF($A645="", "", LET(bbgm_stat, INDEX(Players!$A644:$P644, MATCH(Q$2, Players!$A$1:$P$1, 0)), perc_75, VLOOKUP(Q$2, Percentiles!$A$45:$I$59, 6, FALSE), perc_90, VLOOKUP(Q$2, Percentiles!$A$45:$I$59, 7, FALSE), perc_95, VLOOKUP(Q$2, Percentiles!$A$45:$I$59, 8, FALSE), perc_85, perc_75 + (perc_90 - perc_75) * (2/3), converted_stat, '2K_Ratings'!Q645, IF(bbgm_stat &gt;= perc_95, converted_stat * 3, IF(bbgm_stat &gt;= perc_90, converted_stat * 2, IF(bbgm_stat &gt;= perc_85, converted_stat * 1.5, converted_stat)))))</f>
        <v/>
      </c>
      <c r="R645" s="30" t="str">
        <f t="array" ref="R645">IF($A645="", "", LET(bbgm_stat, INDEX(Players!$A644:$P644, MATCH(R$2, Players!$A$1:$P$1, 0)), perc_75, VLOOKUP(R$2, Percentiles!$A$45:$I$59, 6, FALSE), perc_90, VLOOKUP(R$2, Percentiles!$A$45:$I$59, 7, FALSE), perc_95, VLOOKUP(R$2, Percentiles!$A$45:$I$59, 8, FALSE), perc_85, perc_75 + (perc_90 - perc_75) * (2/3), converted_stat, '2K_Ratings'!R645, IF(bbgm_stat &gt;= perc_95, converted_stat * 3, IF(bbgm_stat &gt;= perc_90, converted_stat * 2, IF(bbgm_stat &gt;= perc_85, converted_stat * 1.5, converted_stat)))))</f>
        <v/>
      </c>
      <c r="S645" s="30" t="str">
        <f t="array" ref="S645">IF($A645="", "", LET(bbgm_stat, INDEX(Players!$A644:$P644, MATCH(S$2, Players!$A$1:$P$1, 0)), perc_75, VLOOKUP(S$2, Percentiles!$A$45:$I$59, 6, FALSE), perc_90, VLOOKUP(S$2, Percentiles!$A$45:$I$59, 7, FALSE), perc_95, VLOOKUP(S$2, Percentiles!$A$45:$I$59, 8, FALSE), perc_85, perc_75 + (perc_90 - perc_75) * (2/3), converted_stat, '2K_Ratings'!S645, IF(bbgm_stat &gt;= perc_95, converted_stat * 3, IF(bbgm_stat &gt;= perc_90, converted_stat * 2, IF(bbgm_stat &gt;= perc_85, converted_stat * 1.5, converted_stat)))))</f>
        <v/>
      </c>
      <c r="T645" s="30" t="str">
        <f t="array" ref="T645">IF($A645="", "", LET(bbgm_stat, INDEX(Players!$A644:$P644, MATCH(T$2, Players!$A$1:$P$1, 0)), perc_75, VLOOKUP(T$2, Percentiles!$A$45:$I$59, 6, FALSE), perc_90, VLOOKUP(T$2, Percentiles!$A$45:$I$59, 7, FALSE), perc_95, VLOOKUP(T$2, Percentiles!$A$45:$I$59, 8, FALSE), perc_85, perc_75 + (perc_90 - perc_75) * (2/3), converted_stat, '2K_Ratings'!T645, IF(bbgm_stat &gt;= perc_95, converted_stat * 3, IF(bbgm_stat &gt;= perc_90, converted_stat * 2, IF(bbgm_stat &gt;= perc_85, converted_stat * 1.5, converted_stat)))))</f>
        <v/>
      </c>
      <c r="U645" s="30" t="str">
        <f t="array" ref="U645">IF($A645="", "", LET(bbgm_stat, INDEX(Players!$A644:$P644, MATCH(U$2, Players!$A$1:$P$1, 0)), perc_75, VLOOKUP(U$2, Percentiles!$A$45:$I$59, 6, FALSE), perc_90, VLOOKUP(U$2, Percentiles!$A$45:$I$59, 7, FALSE), perc_95, VLOOKUP(U$2, Percentiles!$A$45:$I$59, 8, FALSE), perc_85, perc_75 + (perc_90 - perc_75) * (2/3), converted_stat, '2K_Ratings'!U645, IF(bbgm_stat &gt;= perc_95, converted_stat * 3, IF(bbgm_stat &gt;= perc_90, converted_stat * 2, IF(bbgm_stat &gt;= perc_85, converted_stat * 1.5, converted_stat)))))</f>
        <v/>
      </c>
      <c r="V645" s="30" t="str">
        <f t="array" ref="V645">IF($A645="", "", LET(bbgm_stat, INDEX(Players!$A644:$P644, MATCH(V$2, Players!$A$1:$P$1, 0)), perc_75, VLOOKUP(V$2, Percentiles!$A$45:$I$59, 6, FALSE), perc_90, VLOOKUP(V$2, Percentiles!$A$45:$I$59, 7, FALSE), perc_95, VLOOKUP(V$2, Percentiles!$A$45:$I$59, 8, FALSE), perc_85, perc_75 + (perc_90 - perc_75) * (2/3), converted_stat, '2K_Ratings'!V645, IF(bbgm_stat &gt;= perc_95, converted_stat * 3, IF(bbgm_stat &gt;= perc_90, converted_stat * 2, IF(bbgm_stat &gt;= perc_85, converted_stat * 1.5, converted_stat)))))</f>
        <v/>
      </c>
      <c r="W645" s="30" t="str">
        <f t="array" ref="W645">IF($A645="", "", LET(bbgm_stat, INDEX(Players!$A644:$P644, MATCH(W$2, Players!$A$1:$P$1, 0)), perc_75, VLOOKUP(W$2, Percentiles!$A$45:$I$59, 6, FALSE), perc_90, VLOOKUP(W$2, Percentiles!$A$45:$I$59, 7, FALSE), perc_95, VLOOKUP(W$2, Percentiles!$A$45:$I$59, 8, FALSE), perc_85, perc_75 + (perc_90 - perc_75) * (2/3), converted_stat, '2K_Ratings'!W645, IF(bbgm_stat &gt;= perc_95, converted_stat * 3, IF(bbgm_stat &gt;= perc_90, converted_stat * 2, IF(bbgm_stat &gt;= perc_85, converted_stat * 1.5, converted_stat)))))</f>
        <v/>
      </c>
    </row>
    <row r="646">
      <c r="A646" s="30"/>
      <c r="B646" s="30" t="str">
        <f t="array" ref="B646">IF($A646="", "", LET(bbgm_stat, INDEX(Players!$A645:$P645, MATCH(B$2, Players!$A$1:$P$1, 0)), perc_75, VLOOKUP(B$2, Percentiles!$A$45:$I$59, 6, FALSE), perc_90, VLOOKUP(B$2, Percentiles!$A$45:$I$59, 7, FALSE), perc_95, VLOOKUP(B$2, Percentiles!$A$45:$I$59, 8, FALSE), perc_85, perc_75 + (perc_90 - perc_75) * (2/3), converted_stat, '2K_Ratings'!B646, IF(bbgm_stat &gt;= perc_95, converted_stat * 3, IF(bbgm_stat &gt;= perc_90, converted_stat * 2, IF(bbgm_stat &gt;= perc_85, converted_stat * 1.5, converted_stat)))))</f>
        <v/>
      </c>
      <c r="C646" s="30" t="str">
        <f t="array" ref="C646">IF($A646="", "", LET(bbgm_stat, INDEX(Players!$A645:$P645, MATCH(C$2, Players!$A$1:$P$1, 0)), perc_75, VLOOKUP(C$2, Percentiles!$A$45:$I$59, 6, FALSE), perc_90, VLOOKUP(C$2, Percentiles!$A$45:$I$59, 7, FALSE), perc_95, VLOOKUP(C$2, Percentiles!$A$45:$I$59, 8, FALSE), perc_85, perc_75 + (perc_90 - perc_75) * (2/3), converted_stat, '2K_Ratings'!C646, IF(bbgm_stat &gt;= perc_95, converted_stat * 3, IF(bbgm_stat &gt;= perc_90, converted_stat * 2, IF(bbgm_stat &gt;= perc_85, converted_stat * 1.5, converted_stat)))))</f>
        <v/>
      </c>
      <c r="D646" s="30" t="str">
        <f t="array" ref="D646">IF($A646="", "", LET(bbgm_stat, INDEX(Players!$A645:$P645, MATCH(D$2, Players!$A$1:$P$1, 0)), perc_75, VLOOKUP(D$2, Percentiles!$A$45:$I$59, 6, FALSE), perc_90, VLOOKUP(D$2, Percentiles!$A$45:$I$59, 7, FALSE), perc_95, VLOOKUP(D$2, Percentiles!$A$45:$I$59, 8, FALSE), perc_85, perc_75 + (perc_90 - perc_75) * (2/3), converted_stat, '2K_Ratings'!D646, IF(bbgm_stat &gt;= perc_95, converted_stat * 3, IF(bbgm_stat &gt;= perc_90, converted_stat * 2, IF(bbgm_stat &gt;= perc_85, converted_stat * 1.5, converted_stat)))))</f>
        <v/>
      </c>
      <c r="E646" s="30" t="str">
        <f t="array" ref="E646">IF($A646="", "", LET(bbgm_stat, INDEX(Players!$A645:$P645, MATCH(E$2, Players!$A$1:$P$1, 0)), perc_75, VLOOKUP(E$2, Percentiles!$A$45:$I$59, 6, FALSE), perc_90, VLOOKUP(E$2, Percentiles!$A$45:$I$59, 7, FALSE), perc_95, VLOOKUP(E$2, Percentiles!$A$45:$I$59, 8, FALSE), perc_85, perc_75 + (perc_90 - perc_75) * (2/3), converted_stat, '2K_Ratings'!E646, IF(bbgm_stat &gt;= perc_95, converted_stat * 3, IF(bbgm_stat &gt;= perc_90, converted_stat * 2, IF(bbgm_stat &gt;= perc_85, converted_stat * 1.5, converted_stat)))))</f>
        <v/>
      </c>
      <c r="F646" s="30" t="str">
        <f t="array" ref="F646">IF($A646="", "", LET(bbgm_stat, INDEX(Players!$A645:$P645, MATCH(F$2, Players!$A$1:$P$1, 0)), perc_75, VLOOKUP(F$2, Percentiles!$A$45:$I$59, 6, FALSE), perc_90, VLOOKUP(F$2, Percentiles!$A$45:$I$59, 7, FALSE), perc_95, VLOOKUP(F$2, Percentiles!$A$45:$I$59, 8, FALSE), perc_85, perc_75 + (perc_90 - perc_75) * (2/3), converted_stat, '2K_Ratings'!F646, IF(bbgm_stat &gt;= perc_95, converted_stat * 3, IF(bbgm_stat &gt;= perc_90, converted_stat * 2, IF(bbgm_stat &gt;= perc_85, converted_stat * 1.5, converted_stat)))))</f>
        <v/>
      </c>
      <c r="G646" s="30" t="str">
        <f t="array" ref="G646">IF($A646="", "", LET(bbgm_stat, INDEX(Players!$A645:$P645, MATCH(G$2, Players!$A$1:$P$1, 0)), perc_75, VLOOKUP(G$2, Percentiles!$A$45:$I$59, 6, FALSE), perc_90, VLOOKUP(G$2, Percentiles!$A$45:$I$59, 7, FALSE), perc_95, VLOOKUP(G$2, Percentiles!$A$45:$I$59, 8, FALSE), perc_85, perc_75 + (perc_90 - perc_75) * (2/3), converted_stat, '2K_Ratings'!G646, IF(bbgm_stat &gt;= perc_95, converted_stat * 3, IF(bbgm_stat &gt;= perc_90, converted_stat * 2, IF(bbgm_stat &gt;= perc_85, converted_stat * 1.5, converted_stat)))))</f>
        <v/>
      </c>
      <c r="H646" s="30" t="str">
        <f t="array" ref="H646">IF($A646="", "", LET(bbgm_stat, INDEX(Players!$A645:$P645, MATCH(H$2, Players!$A$1:$P$1, 0)), perc_75, VLOOKUP(H$2, Percentiles!$A$45:$I$59, 6, FALSE), perc_90, VLOOKUP(H$2, Percentiles!$A$45:$I$59, 7, FALSE), perc_95, VLOOKUP(H$2, Percentiles!$A$45:$I$59, 8, FALSE), perc_85, perc_75 + (perc_90 - perc_75) * (2/3), converted_stat, '2K_Ratings'!H646, IF(bbgm_stat &gt;= perc_95, converted_stat * 3, IF(bbgm_stat &gt;= perc_90, converted_stat * 2, IF(bbgm_stat &gt;= perc_85, converted_stat * 1.5, converted_stat)))))</f>
        <v/>
      </c>
      <c r="I646" s="30" t="str">
        <f t="array" ref="I646">IF($A646="", "", LET(bbgm_stat, INDEX(Players!$A645:$P645, MATCH(I$2, Players!$A$1:$P$1, 0)), perc_75, VLOOKUP(I$2, Percentiles!$A$45:$I$59, 6, FALSE), perc_90, VLOOKUP(I$2, Percentiles!$A$45:$I$59, 7, FALSE), perc_95, VLOOKUP(I$2, Percentiles!$A$45:$I$59, 8, FALSE), perc_85, perc_75 + (perc_90 - perc_75) * (2/3), converted_stat, '2K_Ratings'!I646, IF(bbgm_stat &gt;= perc_95, converted_stat * 3, IF(bbgm_stat &gt;= perc_90, converted_stat * 2, IF(bbgm_stat &gt;= perc_85, converted_stat * 1.5, converted_stat)))))</f>
        <v/>
      </c>
      <c r="J646" s="30" t="str">
        <f t="array" ref="J646">IF($A646="", "", LET(bbgm_stat, INDEX(Players!$A645:$P645, MATCH(J$2, Players!$A$1:$P$1, 0)), perc_75, VLOOKUP(J$2, Percentiles!$A$45:$I$59, 6, FALSE), perc_90, VLOOKUP(J$2, Percentiles!$A$45:$I$59, 7, FALSE), perc_95, VLOOKUP(J$2, Percentiles!$A$45:$I$59, 8, FALSE), perc_85, perc_75 + (perc_90 - perc_75) * (2/3), converted_stat, '2K_Ratings'!J646, IF(bbgm_stat &gt;= perc_95, converted_stat * 3, IF(bbgm_stat &gt;= perc_90, converted_stat * 2, IF(bbgm_stat &gt;= perc_85, converted_stat * 1.5, converted_stat)))))</f>
        <v/>
      </c>
      <c r="K646" s="30" t="str">
        <f t="array" ref="K646">IF($A646="", "", LET(bbgm_stat, INDEX(Players!$A645:$P645, MATCH(K$2, Players!$A$1:$P$1, 0)), perc_75, VLOOKUP(K$2, Percentiles!$A$45:$I$59, 6, FALSE), perc_90, VLOOKUP(K$2, Percentiles!$A$45:$I$59, 7, FALSE), perc_95, VLOOKUP(K$2, Percentiles!$A$45:$I$59, 8, FALSE), perc_85, perc_75 + (perc_90 - perc_75) * (2/3), converted_stat, '2K_Ratings'!K646, IF(bbgm_stat &gt;= perc_95, converted_stat * 3, IF(bbgm_stat &gt;= perc_90, converted_stat * 2, IF(bbgm_stat &gt;= perc_85, converted_stat * 1.5, converted_stat)))))</f>
        <v/>
      </c>
      <c r="L646" s="30" t="str">
        <f t="array" ref="L646">IF($A646="", "", LET(bbgm_stat, INDEX(Players!$A645:$P645, MATCH(L$2, Players!$A$1:$P$1, 0)), perc_75, VLOOKUP(L$2, Percentiles!$A$45:$I$59, 6, FALSE), perc_90, VLOOKUP(L$2, Percentiles!$A$45:$I$59, 7, FALSE), perc_95, VLOOKUP(L$2, Percentiles!$A$45:$I$59, 8, FALSE), perc_85, perc_75 + (perc_90 - perc_75) * (2/3), converted_stat, '2K_Ratings'!L646, IF(bbgm_stat &gt;= perc_95, converted_stat * 3, IF(bbgm_stat &gt;= perc_90, converted_stat * 2, IF(bbgm_stat &gt;= perc_85, converted_stat * 1.5, converted_stat)))))</f>
        <v/>
      </c>
      <c r="M646" s="30" t="str">
        <f t="array" ref="M646">IF($A646="", "", LET(bbgm_stat, INDEX(Players!$A645:$P645, MATCH(M$2, Players!$A$1:$P$1, 0)), perc_75, VLOOKUP(M$2, Percentiles!$A$45:$I$59, 6, FALSE), perc_90, VLOOKUP(M$2, Percentiles!$A$45:$I$59, 7, FALSE), perc_95, VLOOKUP(M$2, Percentiles!$A$45:$I$59, 8, FALSE), perc_85, perc_75 + (perc_90 - perc_75) * (2/3), converted_stat, '2K_Ratings'!M646, IF(bbgm_stat &gt;= perc_95, converted_stat * 3, IF(bbgm_stat &gt;= perc_90, converted_stat * 2, IF(bbgm_stat &gt;= perc_85, converted_stat * 1.5, converted_stat)))))</f>
        <v/>
      </c>
      <c r="N646" s="30" t="str">
        <f t="array" ref="N646">IF($A646="", "", LET(bbgm_stat, INDEX(Players!$A645:$P645, MATCH(N$2, Players!$A$1:$P$1, 0)), perc_75, VLOOKUP(N$2, Percentiles!$A$45:$I$59, 6, FALSE), perc_90, VLOOKUP(N$2, Percentiles!$A$45:$I$59, 7, FALSE), perc_95, VLOOKUP(N$2, Percentiles!$A$45:$I$59, 8, FALSE), perc_85, perc_75 + (perc_90 - perc_75) * (2/3), converted_stat, '2K_Ratings'!N646, IF(bbgm_stat &gt;= perc_95, converted_stat * 3, IF(bbgm_stat &gt;= perc_90, converted_stat * 2, IF(bbgm_stat &gt;= perc_85, converted_stat * 1.5, converted_stat)))))</f>
        <v/>
      </c>
      <c r="O646" s="30" t="str">
        <f t="array" ref="O646">IF($A646="", "", LET(bbgm_stat, INDEX(Players!$A645:$P645, MATCH(O$2, Players!$A$1:$P$1, 0)), perc_75, VLOOKUP(O$2, Percentiles!$A$45:$I$59, 6, FALSE), perc_90, VLOOKUP(O$2, Percentiles!$A$45:$I$59, 7, FALSE), perc_95, VLOOKUP(O$2, Percentiles!$A$45:$I$59, 8, FALSE), perc_85, perc_75 + (perc_90 - perc_75) * (2/3), converted_stat, '2K_Ratings'!O646, IF(bbgm_stat &gt;= perc_95, converted_stat * 3, IF(bbgm_stat &gt;= perc_90, converted_stat * 2, IF(bbgm_stat &gt;= perc_85, converted_stat * 1.5, converted_stat)))))</f>
        <v/>
      </c>
      <c r="P646" s="30" t="str">
        <f t="array" ref="P646">IF($A646="", "", LET(bbgm_stat, INDEX(Players!$A645:$P645, MATCH(P$2, Players!$A$1:$P$1, 0)), perc_75, VLOOKUP(P$2, Percentiles!$A$45:$I$59, 6, FALSE), perc_90, VLOOKUP(P$2, Percentiles!$A$45:$I$59, 7, FALSE), perc_95, VLOOKUP(P$2, Percentiles!$A$45:$I$59, 8, FALSE), perc_85, perc_75 + (perc_90 - perc_75) * (2/3), converted_stat, '2K_Ratings'!P646, IF(bbgm_stat &gt;= perc_95, converted_stat * 3, IF(bbgm_stat &gt;= perc_90, converted_stat * 2, IF(bbgm_stat &gt;= perc_85, converted_stat * 1.5, converted_stat)))))</f>
        <v/>
      </c>
      <c r="Q646" s="30" t="str">
        <f t="array" ref="Q646">IF($A646="", "", LET(bbgm_stat, INDEX(Players!$A645:$P645, MATCH(Q$2, Players!$A$1:$P$1, 0)), perc_75, VLOOKUP(Q$2, Percentiles!$A$45:$I$59, 6, FALSE), perc_90, VLOOKUP(Q$2, Percentiles!$A$45:$I$59, 7, FALSE), perc_95, VLOOKUP(Q$2, Percentiles!$A$45:$I$59, 8, FALSE), perc_85, perc_75 + (perc_90 - perc_75) * (2/3), converted_stat, '2K_Ratings'!Q646, IF(bbgm_stat &gt;= perc_95, converted_stat * 3, IF(bbgm_stat &gt;= perc_90, converted_stat * 2, IF(bbgm_stat &gt;= perc_85, converted_stat * 1.5, converted_stat)))))</f>
        <v/>
      </c>
      <c r="R646" s="30" t="str">
        <f t="array" ref="R646">IF($A646="", "", LET(bbgm_stat, INDEX(Players!$A645:$P645, MATCH(R$2, Players!$A$1:$P$1, 0)), perc_75, VLOOKUP(R$2, Percentiles!$A$45:$I$59, 6, FALSE), perc_90, VLOOKUP(R$2, Percentiles!$A$45:$I$59, 7, FALSE), perc_95, VLOOKUP(R$2, Percentiles!$A$45:$I$59, 8, FALSE), perc_85, perc_75 + (perc_90 - perc_75) * (2/3), converted_stat, '2K_Ratings'!R646, IF(bbgm_stat &gt;= perc_95, converted_stat * 3, IF(bbgm_stat &gt;= perc_90, converted_stat * 2, IF(bbgm_stat &gt;= perc_85, converted_stat * 1.5, converted_stat)))))</f>
        <v/>
      </c>
      <c r="S646" s="30" t="str">
        <f t="array" ref="S646">IF($A646="", "", LET(bbgm_stat, INDEX(Players!$A645:$P645, MATCH(S$2, Players!$A$1:$P$1, 0)), perc_75, VLOOKUP(S$2, Percentiles!$A$45:$I$59, 6, FALSE), perc_90, VLOOKUP(S$2, Percentiles!$A$45:$I$59, 7, FALSE), perc_95, VLOOKUP(S$2, Percentiles!$A$45:$I$59, 8, FALSE), perc_85, perc_75 + (perc_90 - perc_75) * (2/3), converted_stat, '2K_Ratings'!S646, IF(bbgm_stat &gt;= perc_95, converted_stat * 3, IF(bbgm_stat &gt;= perc_90, converted_stat * 2, IF(bbgm_stat &gt;= perc_85, converted_stat * 1.5, converted_stat)))))</f>
        <v/>
      </c>
      <c r="T646" s="30" t="str">
        <f t="array" ref="T646">IF($A646="", "", LET(bbgm_stat, INDEX(Players!$A645:$P645, MATCH(T$2, Players!$A$1:$P$1, 0)), perc_75, VLOOKUP(T$2, Percentiles!$A$45:$I$59, 6, FALSE), perc_90, VLOOKUP(T$2, Percentiles!$A$45:$I$59, 7, FALSE), perc_95, VLOOKUP(T$2, Percentiles!$A$45:$I$59, 8, FALSE), perc_85, perc_75 + (perc_90 - perc_75) * (2/3), converted_stat, '2K_Ratings'!T646, IF(bbgm_stat &gt;= perc_95, converted_stat * 3, IF(bbgm_stat &gt;= perc_90, converted_stat * 2, IF(bbgm_stat &gt;= perc_85, converted_stat * 1.5, converted_stat)))))</f>
        <v/>
      </c>
      <c r="U646" s="30" t="str">
        <f t="array" ref="U646">IF($A646="", "", LET(bbgm_stat, INDEX(Players!$A645:$P645, MATCH(U$2, Players!$A$1:$P$1, 0)), perc_75, VLOOKUP(U$2, Percentiles!$A$45:$I$59, 6, FALSE), perc_90, VLOOKUP(U$2, Percentiles!$A$45:$I$59, 7, FALSE), perc_95, VLOOKUP(U$2, Percentiles!$A$45:$I$59, 8, FALSE), perc_85, perc_75 + (perc_90 - perc_75) * (2/3), converted_stat, '2K_Ratings'!U646, IF(bbgm_stat &gt;= perc_95, converted_stat * 3, IF(bbgm_stat &gt;= perc_90, converted_stat * 2, IF(bbgm_stat &gt;= perc_85, converted_stat * 1.5, converted_stat)))))</f>
        <v/>
      </c>
      <c r="V646" s="30" t="str">
        <f t="array" ref="V646">IF($A646="", "", LET(bbgm_stat, INDEX(Players!$A645:$P645, MATCH(V$2, Players!$A$1:$P$1, 0)), perc_75, VLOOKUP(V$2, Percentiles!$A$45:$I$59, 6, FALSE), perc_90, VLOOKUP(V$2, Percentiles!$A$45:$I$59, 7, FALSE), perc_95, VLOOKUP(V$2, Percentiles!$A$45:$I$59, 8, FALSE), perc_85, perc_75 + (perc_90 - perc_75) * (2/3), converted_stat, '2K_Ratings'!V646, IF(bbgm_stat &gt;= perc_95, converted_stat * 3, IF(bbgm_stat &gt;= perc_90, converted_stat * 2, IF(bbgm_stat &gt;= perc_85, converted_stat * 1.5, converted_stat)))))</f>
        <v/>
      </c>
      <c r="W646" s="30" t="str">
        <f t="array" ref="W646">IF($A646="", "", LET(bbgm_stat, INDEX(Players!$A645:$P645, MATCH(W$2, Players!$A$1:$P$1, 0)), perc_75, VLOOKUP(W$2, Percentiles!$A$45:$I$59, 6, FALSE), perc_90, VLOOKUP(W$2, Percentiles!$A$45:$I$59, 7, FALSE), perc_95, VLOOKUP(W$2, Percentiles!$A$45:$I$59, 8, FALSE), perc_85, perc_75 + (perc_90 - perc_75) * (2/3), converted_stat, '2K_Ratings'!W646, IF(bbgm_stat &gt;= perc_95, converted_stat * 3, IF(bbgm_stat &gt;= perc_90, converted_stat * 2, IF(bbgm_stat &gt;= perc_85, converted_stat * 1.5, converted_stat)))))</f>
        <v/>
      </c>
    </row>
    <row r="647">
      <c r="A647" s="30"/>
      <c r="B647" s="30" t="str">
        <f t="array" ref="B647">IF($A647="", "", LET(bbgm_stat, INDEX(Players!$A646:$P646, MATCH(B$2, Players!$A$1:$P$1, 0)), perc_75, VLOOKUP(B$2, Percentiles!$A$45:$I$59, 6, FALSE), perc_90, VLOOKUP(B$2, Percentiles!$A$45:$I$59, 7, FALSE), perc_95, VLOOKUP(B$2, Percentiles!$A$45:$I$59, 8, FALSE), perc_85, perc_75 + (perc_90 - perc_75) * (2/3), converted_stat, '2K_Ratings'!B647, IF(bbgm_stat &gt;= perc_95, converted_stat * 3, IF(bbgm_stat &gt;= perc_90, converted_stat * 2, IF(bbgm_stat &gt;= perc_85, converted_stat * 1.5, converted_stat)))))</f>
        <v/>
      </c>
      <c r="C647" s="30" t="str">
        <f t="array" ref="C647">IF($A647="", "", LET(bbgm_stat, INDEX(Players!$A646:$P646, MATCH(C$2, Players!$A$1:$P$1, 0)), perc_75, VLOOKUP(C$2, Percentiles!$A$45:$I$59, 6, FALSE), perc_90, VLOOKUP(C$2, Percentiles!$A$45:$I$59, 7, FALSE), perc_95, VLOOKUP(C$2, Percentiles!$A$45:$I$59, 8, FALSE), perc_85, perc_75 + (perc_90 - perc_75) * (2/3), converted_stat, '2K_Ratings'!C647, IF(bbgm_stat &gt;= perc_95, converted_stat * 3, IF(bbgm_stat &gt;= perc_90, converted_stat * 2, IF(bbgm_stat &gt;= perc_85, converted_stat * 1.5, converted_stat)))))</f>
        <v/>
      </c>
      <c r="D647" s="30" t="str">
        <f t="array" ref="D647">IF($A647="", "", LET(bbgm_stat, INDEX(Players!$A646:$P646, MATCH(D$2, Players!$A$1:$P$1, 0)), perc_75, VLOOKUP(D$2, Percentiles!$A$45:$I$59, 6, FALSE), perc_90, VLOOKUP(D$2, Percentiles!$A$45:$I$59, 7, FALSE), perc_95, VLOOKUP(D$2, Percentiles!$A$45:$I$59, 8, FALSE), perc_85, perc_75 + (perc_90 - perc_75) * (2/3), converted_stat, '2K_Ratings'!D647, IF(bbgm_stat &gt;= perc_95, converted_stat * 3, IF(bbgm_stat &gt;= perc_90, converted_stat * 2, IF(bbgm_stat &gt;= perc_85, converted_stat * 1.5, converted_stat)))))</f>
        <v/>
      </c>
      <c r="E647" s="30" t="str">
        <f t="array" ref="E647">IF($A647="", "", LET(bbgm_stat, INDEX(Players!$A646:$P646, MATCH(E$2, Players!$A$1:$P$1, 0)), perc_75, VLOOKUP(E$2, Percentiles!$A$45:$I$59, 6, FALSE), perc_90, VLOOKUP(E$2, Percentiles!$A$45:$I$59, 7, FALSE), perc_95, VLOOKUP(E$2, Percentiles!$A$45:$I$59, 8, FALSE), perc_85, perc_75 + (perc_90 - perc_75) * (2/3), converted_stat, '2K_Ratings'!E647, IF(bbgm_stat &gt;= perc_95, converted_stat * 3, IF(bbgm_stat &gt;= perc_90, converted_stat * 2, IF(bbgm_stat &gt;= perc_85, converted_stat * 1.5, converted_stat)))))</f>
        <v/>
      </c>
      <c r="F647" s="30" t="str">
        <f t="array" ref="F647">IF($A647="", "", LET(bbgm_stat, INDEX(Players!$A646:$P646, MATCH(F$2, Players!$A$1:$P$1, 0)), perc_75, VLOOKUP(F$2, Percentiles!$A$45:$I$59, 6, FALSE), perc_90, VLOOKUP(F$2, Percentiles!$A$45:$I$59, 7, FALSE), perc_95, VLOOKUP(F$2, Percentiles!$A$45:$I$59, 8, FALSE), perc_85, perc_75 + (perc_90 - perc_75) * (2/3), converted_stat, '2K_Ratings'!F647, IF(bbgm_stat &gt;= perc_95, converted_stat * 3, IF(bbgm_stat &gt;= perc_90, converted_stat * 2, IF(bbgm_stat &gt;= perc_85, converted_stat * 1.5, converted_stat)))))</f>
        <v/>
      </c>
      <c r="G647" s="30" t="str">
        <f t="array" ref="G647">IF($A647="", "", LET(bbgm_stat, INDEX(Players!$A646:$P646, MATCH(G$2, Players!$A$1:$P$1, 0)), perc_75, VLOOKUP(G$2, Percentiles!$A$45:$I$59, 6, FALSE), perc_90, VLOOKUP(G$2, Percentiles!$A$45:$I$59, 7, FALSE), perc_95, VLOOKUP(G$2, Percentiles!$A$45:$I$59, 8, FALSE), perc_85, perc_75 + (perc_90 - perc_75) * (2/3), converted_stat, '2K_Ratings'!G647, IF(bbgm_stat &gt;= perc_95, converted_stat * 3, IF(bbgm_stat &gt;= perc_90, converted_stat * 2, IF(bbgm_stat &gt;= perc_85, converted_stat * 1.5, converted_stat)))))</f>
        <v/>
      </c>
      <c r="H647" s="30" t="str">
        <f t="array" ref="H647">IF($A647="", "", LET(bbgm_stat, INDEX(Players!$A646:$P646, MATCH(H$2, Players!$A$1:$P$1, 0)), perc_75, VLOOKUP(H$2, Percentiles!$A$45:$I$59, 6, FALSE), perc_90, VLOOKUP(H$2, Percentiles!$A$45:$I$59, 7, FALSE), perc_95, VLOOKUP(H$2, Percentiles!$A$45:$I$59, 8, FALSE), perc_85, perc_75 + (perc_90 - perc_75) * (2/3), converted_stat, '2K_Ratings'!H647, IF(bbgm_stat &gt;= perc_95, converted_stat * 3, IF(bbgm_stat &gt;= perc_90, converted_stat * 2, IF(bbgm_stat &gt;= perc_85, converted_stat * 1.5, converted_stat)))))</f>
        <v/>
      </c>
      <c r="I647" s="30" t="str">
        <f t="array" ref="I647">IF($A647="", "", LET(bbgm_stat, INDEX(Players!$A646:$P646, MATCH(I$2, Players!$A$1:$P$1, 0)), perc_75, VLOOKUP(I$2, Percentiles!$A$45:$I$59, 6, FALSE), perc_90, VLOOKUP(I$2, Percentiles!$A$45:$I$59, 7, FALSE), perc_95, VLOOKUP(I$2, Percentiles!$A$45:$I$59, 8, FALSE), perc_85, perc_75 + (perc_90 - perc_75) * (2/3), converted_stat, '2K_Ratings'!I647, IF(bbgm_stat &gt;= perc_95, converted_stat * 3, IF(bbgm_stat &gt;= perc_90, converted_stat * 2, IF(bbgm_stat &gt;= perc_85, converted_stat * 1.5, converted_stat)))))</f>
        <v/>
      </c>
      <c r="J647" s="30" t="str">
        <f t="array" ref="J647">IF($A647="", "", LET(bbgm_stat, INDEX(Players!$A646:$P646, MATCH(J$2, Players!$A$1:$P$1, 0)), perc_75, VLOOKUP(J$2, Percentiles!$A$45:$I$59, 6, FALSE), perc_90, VLOOKUP(J$2, Percentiles!$A$45:$I$59, 7, FALSE), perc_95, VLOOKUP(J$2, Percentiles!$A$45:$I$59, 8, FALSE), perc_85, perc_75 + (perc_90 - perc_75) * (2/3), converted_stat, '2K_Ratings'!J647, IF(bbgm_stat &gt;= perc_95, converted_stat * 3, IF(bbgm_stat &gt;= perc_90, converted_stat * 2, IF(bbgm_stat &gt;= perc_85, converted_stat * 1.5, converted_stat)))))</f>
        <v/>
      </c>
      <c r="K647" s="30" t="str">
        <f t="array" ref="K647">IF($A647="", "", LET(bbgm_stat, INDEX(Players!$A646:$P646, MATCH(K$2, Players!$A$1:$P$1, 0)), perc_75, VLOOKUP(K$2, Percentiles!$A$45:$I$59, 6, FALSE), perc_90, VLOOKUP(K$2, Percentiles!$A$45:$I$59, 7, FALSE), perc_95, VLOOKUP(K$2, Percentiles!$A$45:$I$59, 8, FALSE), perc_85, perc_75 + (perc_90 - perc_75) * (2/3), converted_stat, '2K_Ratings'!K647, IF(bbgm_stat &gt;= perc_95, converted_stat * 3, IF(bbgm_stat &gt;= perc_90, converted_stat * 2, IF(bbgm_stat &gt;= perc_85, converted_stat * 1.5, converted_stat)))))</f>
        <v/>
      </c>
      <c r="L647" s="30" t="str">
        <f t="array" ref="L647">IF($A647="", "", LET(bbgm_stat, INDEX(Players!$A646:$P646, MATCH(L$2, Players!$A$1:$P$1, 0)), perc_75, VLOOKUP(L$2, Percentiles!$A$45:$I$59, 6, FALSE), perc_90, VLOOKUP(L$2, Percentiles!$A$45:$I$59, 7, FALSE), perc_95, VLOOKUP(L$2, Percentiles!$A$45:$I$59, 8, FALSE), perc_85, perc_75 + (perc_90 - perc_75) * (2/3), converted_stat, '2K_Ratings'!L647, IF(bbgm_stat &gt;= perc_95, converted_stat * 3, IF(bbgm_stat &gt;= perc_90, converted_stat * 2, IF(bbgm_stat &gt;= perc_85, converted_stat * 1.5, converted_stat)))))</f>
        <v/>
      </c>
      <c r="M647" s="30" t="str">
        <f t="array" ref="M647">IF($A647="", "", LET(bbgm_stat, INDEX(Players!$A646:$P646, MATCH(M$2, Players!$A$1:$P$1, 0)), perc_75, VLOOKUP(M$2, Percentiles!$A$45:$I$59, 6, FALSE), perc_90, VLOOKUP(M$2, Percentiles!$A$45:$I$59, 7, FALSE), perc_95, VLOOKUP(M$2, Percentiles!$A$45:$I$59, 8, FALSE), perc_85, perc_75 + (perc_90 - perc_75) * (2/3), converted_stat, '2K_Ratings'!M647, IF(bbgm_stat &gt;= perc_95, converted_stat * 3, IF(bbgm_stat &gt;= perc_90, converted_stat * 2, IF(bbgm_stat &gt;= perc_85, converted_stat * 1.5, converted_stat)))))</f>
        <v/>
      </c>
      <c r="N647" s="30" t="str">
        <f t="array" ref="N647">IF($A647="", "", LET(bbgm_stat, INDEX(Players!$A646:$P646, MATCH(N$2, Players!$A$1:$P$1, 0)), perc_75, VLOOKUP(N$2, Percentiles!$A$45:$I$59, 6, FALSE), perc_90, VLOOKUP(N$2, Percentiles!$A$45:$I$59, 7, FALSE), perc_95, VLOOKUP(N$2, Percentiles!$A$45:$I$59, 8, FALSE), perc_85, perc_75 + (perc_90 - perc_75) * (2/3), converted_stat, '2K_Ratings'!N647, IF(bbgm_stat &gt;= perc_95, converted_stat * 3, IF(bbgm_stat &gt;= perc_90, converted_stat * 2, IF(bbgm_stat &gt;= perc_85, converted_stat * 1.5, converted_stat)))))</f>
        <v/>
      </c>
      <c r="O647" s="30" t="str">
        <f t="array" ref="O647">IF($A647="", "", LET(bbgm_stat, INDEX(Players!$A646:$P646, MATCH(O$2, Players!$A$1:$P$1, 0)), perc_75, VLOOKUP(O$2, Percentiles!$A$45:$I$59, 6, FALSE), perc_90, VLOOKUP(O$2, Percentiles!$A$45:$I$59, 7, FALSE), perc_95, VLOOKUP(O$2, Percentiles!$A$45:$I$59, 8, FALSE), perc_85, perc_75 + (perc_90 - perc_75) * (2/3), converted_stat, '2K_Ratings'!O647, IF(bbgm_stat &gt;= perc_95, converted_stat * 3, IF(bbgm_stat &gt;= perc_90, converted_stat * 2, IF(bbgm_stat &gt;= perc_85, converted_stat * 1.5, converted_stat)))))</f>
        <v/>
      </c>
      <c r="P647" s="30" t="str">
        <f t="array" ref="P647">IF($A647="", "", LET(bbgm_stat, INDEX(Players!$A646:$P646, MATCH(P$2, Players!$A$1:$P$1, 0)), perc_75, VLOOKUP(P$2, Percentiles!$A$45:$I$59, 6, FALSE), perc_90, VLOOKUP(P$2, Percentiles!$A$45:$I$59, 7, FALSE), perc_95, VLOOKUP(P$2, Percentiles!$A$45:$I$59, 8, FALSE), perc_85, perc_75 + (perc_90 - perc_75) * (2/3), converted_stat, '2K_Ratings'!P647, IF(bbgm_stat &gt;= perc_95, converted_stat * 3, IF(bbgm_stat &gt;= perc_90, converted_stat * 2, IF(bbgm_stat &gt;= perc_85, converted_stat * 1.5, converted_stat)))))</f>
        <v/>
      </c>
      <c r="Q647" s="30" t="str">
        <f t="array" ref="Q647">IF($A647="", "", LET(bbgm_stat, INDEX(Players!$A646:$P646, MATCH(Q$2, Players!$A$1:$P$1, 0)), perc_75, VLOOKUP(Q$2, Percentiles!$A$45:$I$59, 6, FALSE), perc_90, VLOOKUP(Q$2, Percentiles!$A$45:$I$59, 7, FALSE), perc_95, VLOOKUP(Q$2, Percentiles!$A$45:$I$59, 8, FALSE), perc_85, perc_75 + (perc_90 - perc_75) * (2/3), converted_stat, '2K_Ratings'!Q647, IF(bbgm_stat &gt;= perc_95, converted_stat * 3, IF(bbgm_stat &gt;= perc_90, converted_stat * 2, IF(bbgm_stat &gt;= perc_85, converted_stat * 1.5, converted_stat)))))</f>
        <v/>
      </c>
      <c r="R647" s="30" t="str">
        <f t="array" ref="R647">IF($A647="", "", LET(bbgm_stat, INDEX(Players!$A646:$P646, MATCH(R$2, Players!$A$1:$P$1, 0)), perc_75, VLOOKUP(R$2, Percentiles!$A$45:$I$59, 6, FALSE), perc_90, VLOOKUP(R$2, Percentiles!$A$45:$I$59, 7, FALSE), perc_95, VLOOKUP(R$2, Percentiles!$A$45:$I$59, 8, FALSE), perc_85, perc_75 + (perc_90 - perc_75) * (2/3), converted_stat, '2K_Ratings'!R647, IF(bbgm_stat &gt;= perc_95, converted_stat * 3, IF(bbgm_stat &gt;= perc_90, converted_stat * 2, IF(bbgm_stat &gt;= perc_85, converted_stat * 1.5, converted_stat)))))</f>
        <v/>
      </c>
      <c r="S647" s="30" t="str">
        <f t="array" ref="S647">IF($A647="", "", LET(bbgm_stat, INDEX(Players!$A646:$P646, MATCH(S$2, Players!$A$1:$P$1, 0)), perc_75, VLOOKUP(S$2, Percentiles!$A$45:$I$59, 6, FALSE), perc_90, VLOOKUP(S$2, Percentiles!$A$45:$I$59, 7, FALSE), perc_95, VLOOKUP(S$2, Percentiles!$A$45:$I$59, 8, FALSE), perc_85, perc_75 + (perc_90 - perc_75) * (2/3), converted_stat, '2K_Ratings'!S647, IF(bbgm_stat &gt;= perc_95, converted_stat * 3, IF(bbgm_stat &gt;= perc_90, converted_stat * 2, IF(bbgm_stat &gt;= perc_85, converted_stat * 1.5, converted_stat)))))</f>
        <v/>
      </c>
      <c r="T647" s="30" t="str">
        <f t="array" ref="T647">IF($A647="", "", LET(bbgm_stat, INDEX(Players!$A646:$P646, MATCH(T$2, Players!$A$1:$P$1, 0)), perc_75, VLOOKUP(T$2, Percentiles!$A$45:$I$59, 6, FALSE), perc_90, VLOOKUP(T$2, Percentiles!$A$45:$I$59, 7, FALSE), perc_95, VLOOKUP(T$2, Percentiles!$A$45:$I$59, 8, FALSE), perc_85, perc_75 + (perc_90 - perc_75) * (2/3), converted_stat, '2K_Ratings'!T647, IF(bbgm_stat &gt;= perc_95, converted_stat * 3, IF(bbgm_stat &gt;= perc_90, converted_stat * 2, IF(bbgm_stat &gt;= perc_85, converted_stat * 1.5, converted_stat)))))</f>
        <v/>
      </c>
      <c r="U647" s="30" t="str">
        <f t="array" ref="U647">IF($A647="", "", LET(bbgm_stat, INDEX(Players!$A646:$P646, MATCH(U$2, Players!$A$1:$P$1, 0)), perc_75, VLOOKUP(U$2, Percentiles!$A$45:$I$59, 6, FALSE), perc_90, VLOOKUP(U$2, Percentiles!$A$45:$I$59, 7, FALSE), perc_95, VLOOKUP(U$2, Percentiles!$A$45:$I$59, 8, FALSE), perc_85, perc_75 + (perc_90 - perc_75) * (2/3), converted_stat, '2K_Ratings'!U647, IF(bbgm_stat &gt;= perc_95, converted_stat * 3, IF(bbgm_stat &gt;= perc_90, converted_stat * 2, IF(bbgm_stat &gt;= perc_85, converted_stat * 1.5, converted_stat)))))</f>
        <v/>
      </c>
      <c r="V647" s="30" t="str">
        <f t="array" ref="V647">IF($A647="", "", LET(bbgm_stat, INDEX(Players!$A646:$P646, MATCH(V$2, Players!$A$1:$P$1, 0)), perc_75, VLOOKUP(V$2, Percentiles!$A$45:$I$59, 6, FALSE), perc_90, VLOOKUP(V$2, Percentiles!$A$45:$I$59, 7, FALSE), perc_95, VLOOKUP(V$2, Percentiles!$A$45:$I$59, 8, FALSE), perc_85, perc_75 + (perc_90 - perc_75) * (2/3), converted_stat, '2K_Ratings'!V647, IF(bbgm_stat &gt;= perc_95, converted_stat * 3, IF(bbgm_stat &gt;= perc_90, converted_stat * 2, IF(bbgm_stat &gt;= perc_85, converted_stat * 1.5, converted_stat)))))</f>
        <v/>
      </c>
      <c r="W647" s="30" t="str">
        <f t="array" ref="W647">IF($A647="", "", LET(bbgm_stat, INDEX(Players!$A646:$P646, MATCH(W$2, Players!$A$1:$P$1, 0)), perc_75, VLOOKUP(W$2, Percentiles!$A$45:$I$59, 6, FALSE), perc_90, VLOOKUP(W$2, Percentiles!$A$45:$I$59, 7, FALSE), perc_95, VLOOKUP(W$2, Percentiles!$A$45:$I$59, 8, FALSE), perc_85, perc_75 + (perc_90 - perc_75) * (2/3), converted_stat, '2K_Ratings'!W647, IF(bbgm_stat &gt;= perc_95, converted_stat * 3, IF(bbgm_stat &gt;= perc_90, converted_stat * 2, IF(bbgm_stat &gt;= perc_85, converted_stat * 1.5, converted_stat)))))</f>
        <v/>
      </c>
    </row>
    <row r="648">
      <c r="A648" s="30"/>
      <c r="B648" s="30" t="str">
        <f t="array" ref="B648">IF($A648="", "", LET(bbgm_stat, INDEX(Players!$A647:$P647, MATCH(B$2, Players!$A$1:$P$1, 0)), perc_75, VLOOKUP(B$2, Percentiles!$A$45:$I$59, 6, FALSE), perc_90, VLOOKUP(B$2, Percentiles!$A$45:$I$59, 7, FALSE), perc_95, VLOOKUP(B$2, Percentiles!$A$45:$I$59, 8, FALSE), perc_85, perc_75 + (perc_90 - perc_75) * (2/3), converted_stat, '2K_Ratings'!B648, IF(bbgm_stat &gt;= perc_95, converted_stat * 3, IF(bbgm_stat &gt;= perc_90, converted_stat * 2, IF(bbgm_stat &gt;= perc_85, converted_stat * 1.5, converted_stat)))))</f>
        <v/>
      </c>
      <c r="C648" s="30" t="str">
        <f t="array" ref="C648">IF($A648="", "", LET(bbgm_stat, INDEX(Players!$A647:$P647, MATCH(C$2, Players!$A$1:$P$1, 0)), perc_75, VLOOKUP(C$2, Percentiles!$A$45:$I$59, 6, FALSE), perc_90, VLOOKUP(C$2, Percentiles!$A$45:$I$59, 7, FALSE), perc_95, VLOOKUP(C$2, Percentiles!$A$45:$I$59, 8, FALSE), perc_85, perc_75 + (perc_90 - perc_75) * (2/3), converted_stat, '2K_Ratings'!C648, IF(bbgm_stat &gt;= perc_95, converted_stat * 3, IF(bbgm_stat &gt;= perc_90, converted_stat * 2, IF(bbgm_stat &gt;= perc_85, converted_stat * 1.5, converted_stat)))))</f>
        <v/>
      </c>
      <c r="D648" s="30" t="str">
        <f t="array" ref="D648">IF($A648="", "", LET(bbgm_stat, INDEX(Players!$A647:$P647, MATCH(D$2, Players!$A$1:$P$1, 0)), perc_75, VLOOKUP(D$2, Percentiles!$A$45:$I$59, 6, FALSE), perc_90, VLOOKUP(D$2, Percentiles!$A$45:$I$59, 7, FALSE), perc_95, VLOOKUP(D$2, Percentiles!$A$45:$I$59, 8, FALSE), perc_85, perc_75 + (perc_90 - perc_75) * (2/3), converted_stat, '2K_Ratings'!D648, IF(bbgm_stat &gt;= perc_95, converted_stat * 3, IF(bbgm_stat &gt;= perc_90, converted_stat * 2, IF(bbgm_stat &gt;= perc_85, converted_stat * 1.5, converted_stat)))))</f>
        <v/>
      </c>
      <c r="E648" s="30" t="str">
        <f t="array" ref="E648">IF($A648="", "", LET(bbgm_stat, INDEX(Players!$A647:$P647, MATCH(E$2, Players!$A$1:$P$1, 0)), perc_75, VLOOKUP(E$2, Percentiles!$A$45:$I$59, 6, FALSE), perc_90, VLOOKUP(E$2, Percentiles!$A$45:$I$59, 7, FALSE), perc_95, VLOOKUP(E$2, Percentiles!$A$45:$I$59, 8, FALSE), perc_85, perc_75 + (perc_90 - perc_75) * (2/3), converted_stat, '2K_Ratings'!E648, IF(bbgm_stat &gt;= perc_95, converted_stat * 3, IF(bbgm_stat &gt;= perc_90, converted_stat * 2, IF(bbgm_stat &gt;= perc_85, converted_stat * 1.5, converted_stat)))))</f>
        <v/>
      </c>
      <c r="F648" s="30" t="str">
        <f t="array" ref="F648">IF($A648="", "", LET(bbgm_stat, INDEX(Players!$A647:$P647, MATCH(F$2, Players!$A$1:$P$1, 0)), perc_75, VLOOKUP(F$2, Percentiles!$A$45:$I$59, 6, FALSE), perc_90, VLOOKUP(F$2, Percentiles!$A$45:$I$59, 7, FALSE), perc_95, VLOOKUP(F$2, Percentiles!$A$45:$I$59, 8, FALSE), perc_85, perc_75 + (perc_90 - perc_75) * (2/3), converted_stat, '2K_Ratings'!F648, IF(bbgm_stat &gt;= perc_95, converted_stat * 3, IF(bbgm_stat &gt;= perc_90, converted_stat * 2, IF(bbgm_stat &gt;= perc_85, converted_stat * 1.5, converted_stat)))))</f>
        <v/>
      </c>
      <c r="G648" s="30" t="str">
        <f t="array" ref="G648">IF($A648="", "", LET(bbgm_stat, INDEX(Players!$A647:$P647, MATCH(G$2, Players!$A$1:$P$1, 0)), perc_75, VLOOKUP(G$2, Percentiles!$A$45:$I$59, 6, FALSE), perc_90, VLOOKUP(G$2, Percentiles!$A$45:$I$59, 7, FALSE), perc_95, VLOOKUP(G$2, Percentiles!$A$45:$I$59, 8, FALSE), perc_85, perc_75 + (perc_90 - perc_75) * (2/3), converted_stat, '2K_Ratings'!G648, IF(bbgm_stat &gt;= perc_95, converted_stat * 3, IF(bbgm_stat &gt;= perc_90, converted_stat * 2, IF(bbgm_stat &gt;= perc_85, converted_stat * 1.5, converted_stat)))))</f>
        <v/>
      </c>
      <c r="H648" s="30" t="str">
        <f t="array" ref="H648">IF($A648="", "", LET(bbgm_stat, INDEX(Players!$A647:$P647, MATCH(H$2, Players!$A$1:$P$1, 0)), perc_75, VLOOKUP(H$2, Percentiles!$A$45:$I$59, 6, FALSE), perc_90, VLOOKUP(H$2, Percentiles!$A$45:$I$59, 7, FALSE), perc_95, VLOOKUP(H$2, Percentiles!$A$45:$I$59, 8, FALSE), perc_85, perc_75 + (perc_90 - perc_75) * (2/3), converted_stat, '2K_Ratings'!H648, IF(bbgm_stat &gt;= perc_95, converted_stat * 3, IF(bbgm_stat &gt;= perc_90, converted_stat * 2, IF(bbgm_stat &gt;= perc_85, converted_stat * 1.5, converted_stat)))))</f>
        <v/>
      </c>
      <c r="I648" s="30" t="str">
        <f t="array" ref="I648">IF($A648="", "", LET(bbgm_stat, INDEX(Players!$A647:$P647, MATCH(I$2, Players!$A$1:$P$1, 0)), perc_75, VLOOKUP(I$2, Percentiles!$A$45:$I$59, 6, FALSE), perc_90, VLOOKUP(I$2, Percentiles!$A$45:$I$59, 7, FALSE), perc_95, VLOOKUP(I$2, Percentiles!$A$45:$I$59, 8, FALSE), perc_85, perc_75 + (perc_90 - perc_75) * (2/3), converted_stat, '2K_Ratings'!I648, IF(bbgm_stat &gt;= perc_95, converted_stat * 3, IF(bbgm_stat &gt;= perc_90, converted_stat * 2, IF(bbgm_stat &gt;= perc_85, converted_stat * 1.5, converted_stat)))))</f>
        <v/>
      </c>
      <c r="J648" s="30" t="str">
        <f t="array" ref="J648">IF($A648="", "", LET(bbgm_stat, INDEX(Players!$A647:$P647, MATCH(J$2, Players!$A$1:$P$1, 0)), perc_75, VLOOKUP(J$2, Percentiles!$A$45:$I$59, 6, FALSE), perc_90, VLOOKUP(J$2, Percentiles!$A$45:$I$59, 7, FALSE), perc_95, VLOOKUP(J$2, Percentiles!$A$45:$I$59, 8, FALSE), perc_85, perc_75 + (perc_90 - perc_75) * (2/3), converted_stat, '2K_Ratings'!J648, IF(bbgm_stat &gt;= perc_95, converted_stat * 3, IF(bbgm_stat &gt;= perc_90, converted_stat * 2, IF(bbgm_stat &gt;= perc_85, converted_stat * 1.5, converted_stat)))))</f>
        <v/>
      </c>
      <c r="K648" s="30" t="str">
        <f t="array" ref="K648">IF($A648="", "", LET(bbgm_stat, INDEX(Players!$A647:$P647, MATCH(K$2, Players!$A$1:$P$1, 0)), perc_75, VLOOKUP(K$2, Percentiles!$A$45:$I$59, 6, FALSE), perc_90, VLOOKUP(K$2, Percentiles!$A$45:$I$59, 7, FALSE), perc_95, VLOOKUP(K$2, Percentiles!$A$45:$I$59, 8, FALSE), perc_85, perc_75 + (perc_90 - perc_75) * (2/3), converted_stat, '2K_Ratings'!K648, IF(bbgm_stat &gt;= perc_95, converted_stat * 3, IF(bbgm_stat &gt;= perc_90, converted_stat * 2, IF(bbgm_stat &gt;= perc_85, converted_stat * 1.5, converted_stat)))))</f>
        <v/>
      </c>
      <c r="L648" s="30" t="str">
        <f t="array" ref="L648">IF($A648="", "", LET(bbgm_stat, INDEX(Players!$A647:$P647, MATCH(L$2, Players!$A$1:$P$1, 0)), perc_75, VLOOKUP(L$2, Percentiles!$A$45:$I$59, 6, FALSE), perc_90, VLOOKUP(L$2, Percentiles!$A$45:$I$59, 7, FALSE), perc_95, VLOOKUP(L$2, Percentiles!$A$45:$I$59, 8, FALSE), perc_85, perc_75 + (perc_90 - perc_75) * (2/3), converted_stat, '2K_Ratings'!L648, IF(bbgm_stat &gt;= perc_95, converted_stat * 3, IF(bbgm_stat &gt;= perc_90, converted_stat * 2, IF(bbgm_stat &gt;= perc_85, converted_stat * 1.5, converted_stat)))))</f>
        <v/>
      </c>
      <c r="M648" s="30" t="str">
        <f t="array" ref="M648">IF($A648="", "", LET(bbgm_stat, INDEX(Players!$A647:$P647, MATCH(M$2, Players!$A$1:$P$1, 0)), perc_75, VLOOKUP(M$2, Percentiles!$A$45:$I$59, 6, FALSE), perc_90, VLOOKUP(M$2, Percentiles!$A$45:$I$59, 7, FALSE), perc_95, VLOOKUP(M$2, Percentiles!$A$45:$I$59, 8, FALSE), perc_85, perc_75 + (perc_90 - perc_75) * (2/3), converted_stat, '2K_Ratings'!M648, IF(bbgm_stat &gt;= perc_95, converted_stat * 3, IF(bbgm_stat &gt;= perc_90, converted_stat * 2, IF(bbgm_stat &gt;= perc_85, converted_stat * 1.5, converted_stat)))))</f>
        <v/>
      </c>
      <c r="N648" s="30" t="str">
        <f t="array" ref="N648">IF($A648="", "", LET(bbgm_stat, INDEX(Players!$A647:$P647, MATCH(N$2, Players!$A$1:$P$1, 0)), perc_75, VLOOKUP(N$2, Percentiles!$A$45:$I$59, 6, FALSE), perc_90, VLOOKUP(N$2, Percentiles!$A$45:$I$59, 7, FALSE), perc_95, VLOOKUP(N$2, Percentiles!$A$45:$I$59, 8, FALSE), perc_85, perc_75 + (perc_90 - perc_75) * (2/3), converted_stat, '2K_Ratings'!N648, IF(bbgm_stat &gt;= perc_95, converted_stat * 3, IF(bbgm_stat &gt;= perc_90, converted_stat * 2, IF(bbgm_stat &gt;= perc_85, converted_stat * 1.5, converted_stat)))))</f>
        <v/>
      </c>
      <c r="O648" s="30" t="str">
        <f t="array" ref="O648">IF($A648="", "", LET(bbgm_stat, INDEX(Players!$A647:$P647, MATCH(O$2, Players!$A$1:$P$1, 0)), perc_75, VLOOKUP(O$2, Percentiles!$A$45:$I$59, 6, FALSE), perc_90, VLOOKUP(O$2, Percentiles!$A$45:$I$59, 7, FALSE), perc_95, VLOOKUP(O$2, Percentiles!$A$45:$I$59, 8, FALSE), perc_85, perc_75 + (perc_90 - perc_75) * (2/3), converted_stat, '2K_Ratings'!O648, IF(bbgm_stat &gt;= perc_95, converted_stat * 3, IF(bbgm_stat &gt;= perc_90, converted_stat * 2, IF(bbgm_stat &gt;= perc_85, converted_stat * 1.5, converted_stat)))))</f>
        <v/>
      </c>
      <c r="P648" s="30" t="str">
        <f t="array" ref="P648">IF($A648="", "", LET(bbgm_stat, INDEX(Players!$A647:$P647, MATCH(P$2, Players!$A$1:$P$1, 0)), perc_75, VLOOKUP(P$2, Percentiles!$A$45:$I$59, 6, FALSE), perc_90, VLOOKUP(P$2, Percentiles!$A$45:$I$59, 7, FALSE), perc_95, VLOOKUP(P$2, Percentiles!$A$45:$I$59, 8, FALSE), perc_85, perc_75 + (perc_90 - perc_75) * (2/3), converted_stat, '2K_Ratings'!P648, IF(bbgm_stat &gt;= perc_95, converted_stat * 3, IF(bbgm_stat &gt;= perc_90, converted_stat * 2, IF(bbgm_stat &gt;= perc_85, converted_stat * 1.5, converted_stat)))))</f>
        <v/>
      </c>
      <c r="Q648" s="30" t="str">
        <f t="array" ref="Q648">IF($A648="", "", LET(bbgm_stat, INDEX(Players!$A647:$P647, MATCH(Q$2, Players!$A$1:$P$1, 0)), perc_75, VLOOKUP(Q$2, Percentiles!$A$45:$I$59, 6, FALSE), perc_90, VLOOKUP(Q$2, Percentiles!$A$45:$I$59, 7, FALSE), perc_95, VLOOKUP(Q$2, Percentiles!$A$45:$I$59, 8, FALSE), perc_85, perc_75 + (perc_90 - perc_75) * (2/3), converted_stat, '2K_Ratings'!Q648, IF(bbgm_stat &gt;= perc_95, converted_stat * 3, IF(bbgm_stat &gt;= perc_90, converted_stat * 2, IF(bbgm_stat &gt;= perc_85, converted_stat * 1.5, converted_stat)))))</f>
        <v/>
      </c>
      <c r="R648" s="30" t="str">
        <f t="array" ref="R648">IF($A648="", "", LET(bbgm_stat, INDEX(Players!$A647:$P647, MATCH(R$2, Players!$A$1:$P$1, 0)), perc_75, VLOOKUP(R$2, Percentiles!$A$45:$I$59, 6, FALSE), perc_90, VLOOKUP(R$2, Percentiles!$A$45:$I$59, 7, FALSE), perc_95, VLOOKUP(R$2, Percentiles!$A$45:$I$59, 8, FALSE), perc_85, perc_75 + (perc_90 - perc_75) * (2/3), converted_stat, '2K_Ratings'!R648, IF(bbgm_stat &gt;= perc_95, converted_stat * 3, IF(bbgm_stat &gt;= perc_90, converted_stat * 2, IF(bbgm_stat &gt;= perc_85, converted_stat * 1.5, converted_stat)))))</f>
        <v/>
      </c>
      <c r="S648" s="30" t="str">
        <f t="array" ref="S648">IF($A648="", "", LET(bbgm_stat, INDEX(Players!$A647:$P647, MATCH(S$2, Players!$A$1:$P$1, 0)), perc_75, VLOOKUP(S$2, Percentiles!$A$45:$I$59, 6, FALSE), perc_90, VLOOKUP(S$2, Percentiles!$A$45:$I$59, 7, FALSE), perc_95, VLOOKUP(S$2, Percentiles!$A$45:$I$59, 8, FALSE), perc_85, perc_75 + (perc_90 - perc_75) * (2/3), converted_stat, '2K_Ratings'!S648, IF(bbgm_stat &gt;= perc_95, converted_stat * 3, IF(bbgm_stat &gt;= perc_90, converted_stat * 2, IF(bbgm_stat &gt;= perc_85, converted_stat * 1.5, converted_stat)))))</f>
        <v/>
      </c>
      <c r="T648" s="30" t="str">
        <f t="array" ref="T648">IF($A648="", "", LET(bbgm_stat, INDEX(Players!$A647:$P647, MATCH(T$2, Players!$A$1:$P$1, 0)), perc_75, VLOOKUP(T$2, Percentiles!$A$45:$I$59, 6, FALSE), perc_90, VLOOKUP(T$2, Percentiles!$A$45:$I$59, 7, FALSE), perc_95, VLOOKUP(T$2, Percentiles!$A$45:$I$59, 8, FALSE), perc_85, perc_75 + (perc_90 - perc_75) * (2/3), converted_stat, '2K_Ratings'!T648, IF(bbgm_stat &gt;= perc_95, converted_stat * 3, IF(bbgm_stat &gt;= perc_90, converted_stat * 2, IF(bbgm_stat &gt;= perc_85, converted_stat * 1.5, converted_stat)))))</f>
        <v/>
      </c>
      <c r="U648" s="30" t="str">
        <f t="array" ref="U648">IF($A648="", "", LET(bbgm_stat, INDEX(Players!$A647:$P647, MATCH(U$2, Players!$A$1:$P$1, 0)), perc_75, VLOOKUP(U$2, Percentiles!$A$45:$I$59, 6, FALSE), perc_90, VLOOKUP(U$2, Percentiles!$A$45:$I$59, 7, FALSE), perc_95, VLOOKUP(U$2, Percentiles!$A$45:$I$59, 8, FALSE), perc_85, perc_75 + (perc_90 - perc_75) * (2/3), converted_stat, '2K_Ratings'!U648, IF(bbgm_stat &gt;= perc_95, converted_stat * 3, IF(bbgm_stat &gt;= perc_90, converted_stat * 2, IF(bbgm_stat &gt;= perc_85, converted_stat * 1.5, converted_stat)))))</f>
        <v/>
      </c>
      <c r="V648" s="30" t="str">
        <f t="array" ref="V648">IF($A648="", "", LET(bbgm_stat, INDEX(Players!$A647:$P647, MATCH(V$2, Players!$A$1:$P$1, 0)), perc_75, VLOOKUP(V$2, Percentiles!$A$45:$I$59, 6, FALSE), perc_90, VLOOKUP(V$2, Percentiles!$A$45:$I$59, 7, FALSE), perc_95, VLOOKUP(V$2, Percentiles!$A$45:$I$59, 8, FALSE), perc_85, perc_75 + (perc_90 - perc_75) * (2/3), converted_stat, '2K_Ratings'!V648, IF(bbgm_stat &gt;= perc_95, converted_stat * 3, IF(bbgm_stat &gt;= perc_90, converted_stat * 2, IF(bbgm_stat &gt;= perc_85, converted_stat * 1.5, converted_stat)))))</f>
        <v/>
      </c>
      <c r="W648" s="30" t="str">
        <f t="array" ref="W648">IF($A648="", "", LET(bbgm_stat, INDEX(Players!$A647:$P647, MATCH(W$2, Players!$A$1:$P$1, 0)), perc_75, VLOOKUP(W$2, Percentiles!$A$45:$I$59, 6, FALSE), perc_90, VLOOKUP(W$2, Percentiles!$A$45:$I$59, 7, FALSE), perc_95, VLOOKUP(W$2, Percentiles!$A$45:$I$59, 8, FALSE), perc_85, perc_75 + (perc_90 - perc_75) * (2/3), converted_stat, '2K_Ratings'!W648, IF(bbgm_stat &gt;= perc_95, converted_stat * 3, IF(bbgm_stat &gt;= perc_90, converted_stat * 2, IF(bbgm_stat &gt;= perc_85, converted_stat * 1.5, converted_stat)))))</f>
        <v/>
      </c>
    </row>
    <row r="649">
      <c r="A649" s="30"/>
      <c r="B649" s="30" t="str">
        <f t="array" ref="B649">IF($A649="", "", LET(bbgm_stat, INDEX(Players!$A648:$P648, MATCH(B$2, Players!$A$1:$P$1, 0)), perc_75, VLOOKUP(B$2, Percentiles!$A$45:$I$59, 6, FALSE), perc_90, VLOOKUP(B$2, Percentiles!$A$45:$I$59, 7, FALSE), perc_95, VLOOKUP(B$2, Percentiles!$A$45:$I$59, 8, FALSE), perc_85, perc_75 + (perc_90 - perc_75) * (2/3), converted_stat, '2K_Ratings'!B649, IF(bbgm_stat &gt;= perc_95, converted_stat * 3, IF(bbgm_stat &gt;= perc_90, converted_stat * 2, IF(bbgm_stat &gt;= perc_85, converted_stat * 1.5, converted_stat)))))</f>
        <v/>
      </c>
      <c r="C649" s="30" t="str">
        <f t="array" ref="C649">IF($A649="", "", LET(bbgm_stat, INDEX(Players!$A648:$P648, MATCH(C$2, Players!$A$1:$P$1, 0)), perc_75, VLOOKUP(C$2, Percentiles!$A$45:$I$59, 6, FALSE), perc_90, VLOOKUP(C$2, Percentiles!$A$45:$I$59, 7, FALSE), perc_95, VLOOKUP(C$2, Percentiles!$A$45:$I$59, 8, FALSE), perc_85, perc_75 + (perc_90 - perc_75) * (2/3), converted_stat, '2K_Ratings'!C649, IF(bbgm_stat &gt;= perc_95, converted_stat * 3, IF(bbgm_stat &gt;= perc_90, converted_stat * 2, IF(bbgm_stat &gt;= perc_85, converted_stat * 1.5, converted_stat)))))</f>
        <v/>
      </c>
      <c r="D649" s="30" t="str">
        <f t="array" ref="D649">IF($A649="", "", LET(bbgm_stat, INDEX(Players!$A648:$P648, MATCH(D$2, Players!$A$1:$P$1, 0)), perc_75, VLOOKUP(D$2, Percentiles!$A$45:$I$59, 6, FALSE), perc_90, VLOOKUP(D$2, Percentiles!$A$45:$I$59, 7, FALSE), perc_95, VLOOKUP(D$2, Percentiles!$A$45:$I$59, 8, FALSE), perc_85, perc_75 + (perc_90 - perc_75) * (2/3), converted_stat, '2K_Ratings'!D649, IF(bbgm_stat &gt;= perc_95, converted_stat * 3, IF(bbgm_stat &gt;= perc_90, converted_stat * 2, IF(bbgm_stat &gt;= perc_85, converted_stat * 1.5, converted_stat)))))</f>
        <v/>
      </c>
      <c r="E649" s="30" t="str">
        <f t="array" ref="E649">IF($A649="", "", LET(bbgm_stat, INDEX(Players!$A648:$P648, MATCH(E$2, Players!$A$1:$P$1, 0)), perc_75, VLOOKUP(E$2, Percentiles!$A$45:$I$59, 6, FALSE), perc_90, VLOOKUP(E$2, Percentiles!$A$45:$I$59, 7, FALSE), perc_95, VLOOKUP(E$2, Percentiles!$A$45:$I$59, 8, FALSE), perc_85, perc_75 + (perc_90 - perc_75) * (2/3), converted_stat, '2K_Ratings'!E649, IF(bbgm_stat &gt;= perc_95, converted_stat * 3, IF(bbgm_stat &gt;= perc_90, converted_stat * 2, IF(bbgm_stat &gt;= perc_85, converted_stat * 1.5, converted_stat)))))</f>
        <v/>
      </c>
      <c r="F649" s="30" t="str">
        <f t="array" ref="F649">IF($A649="", "", LET(bbgm_stat, INDEX(Players!$A648:$P648, MATCH(F$2, Players!$A$1:$P$1, 0)), perc_75, VLOOKUP(F$2, Percentiles!$A$45:$I$59, 6, FALSE), perc_90, VLOOKUP(F$2, Percentiles!$A$45:$I$59, 7, FALSE), perc_95, VLOOKUP(F$2, Percentiles!$A$45:$I$59, 8, FALSE), perc_85, perc_75 + (perc_90 - perc_75) * (2/3), converted_stat, '2K_Ratings'!F649, IF(bbgm_stat &gt;= perc_95, converted_stat * 3, IF(bbgm_stat &gt;= perc_90, converted_stat * 2, IF(bbgm_stat &gt;= perc_85, converted_stat * 1.5, converted_stat)))))</f>
        <v/>
      </c>
      <c r="G649" s="30" t="str">
        <f t="array" ref="G649">IF($A649="", "", LET(bbgm_stat, INDEX(Players!$A648:$P648, MATCH(G$2, Players!$A$1:$P$1, 0)), perc_75, VLOOKUP(G$2, Percentiles!$A$45:$I$59, 6, FALSE), perc_90, VLOOKUP(G$2, Percentiles!$A$45:$I$59, 7, FALSE), perc_95, VLOOKUP(G$2, Percentiles!$A$45:$I$59, 8, FALSE), perc_85, perc_75 + (perc_90 - perc_75) * (2/3), converted_stat, '2K_Ratings'!G649, IF(bbgm_stat &gt;= perc_95, converted_stat * 3, IF(bbgm_stat &gt;= perc_90, converted_stat * 2, IF(bbgm_stat &gt;= perc_85, converted_stat * 1.5, converted_stat)))))</f>
        <v/>
      </c>
      <c r="H649" s="30" t="str">
        <f t="array" ref="H649">IF($A649="", "", LET(bbgm_stat, INDEX(Players!$A648:$P648, MATCH(H$2, Players!$A$1:$P$1, 0)), perc_75, VLOOKUP(H$2, Percentiles!$A$45:$I$59, 6, FALSE), perc_90, VLOOKUP(H$2, Percentiles!$A$45:$I$59, 7, FALSE), perc_95, VLOOKUP(H$2, Percentiles!$A$45:$I$59, 8, FALSE), perc_85, perc_75 + (perc_90 - perc_75) * (2/3), converted_stat, '2K_Ratings'!H649, IF(bbgm_stat &gt;= perc_95, converted_stat * 3, IF(bbgm_stat &gt;= perc_90, converted_stat * 2, IF(bbgm_stat &gt;= perc_85, converted_stat * 1.5, converted_stat)))))</f>
        <v/>
      </c>
      <c r="I649" s="30" t="str">
        <f t="array" ref="I649">IF($A649="", "", LET(bbgm_stat, INDEX(Players!$A648:$P648, MATCH(I$2, Players!$A$1:$P$1, 0)), perc_75, VLOOKUP(I$2, Percentiles!$A$45:$I$59, 6, FALSE), perc_90, VLOOKUP(I$2, Percentiles!$A$45:$I$59, 7, FALSE), perc_95, VLOOKUP(I$2, Percentiles!$A$45:$I$59, 8, FALSE), perc_85, perc_75 + (perc_90 - perc_75) * (2/3), converted_stat, '2K_Ratings'!I649, IF(bbgm_stat &gt;= perc_95, converted_stat * 3, IF(bbgm_stat &gt;= perc_90, converted_stat * 2, IF(bbgm_stat &gt;= perc_85, converted_stat * 1.5, converted_stat)))))</f>
        <v/>
      </c>
      <c r="J649" s="30" t="str">
        <f t="array" ref="J649">IF($A649="", "", LET(bbgm_stat, INDEX(Players!$A648:$P648, MATCH(J$2, Players!$A$1:$P$1, 0)), perc_75, VLOOKUP(J$2, Percentiles!$A$45:$I$59, 6, FALSE), perc_90, VLOOKUP(J$2, Percentiles!$A$45:$I$59, 7, FALSE), perc_95, VLOOKUP(J$2, Percentiles!$A$45:$I$59, 8, FALSE), perc_85, perc_75 + (perc_90 - perc_75) * (2/3), converted_stat, '2K_Ratings'!J649, IF(bbgm_stat &gt;= perc_95, converted_stat * 3, IF(bbgm_stat &gt;= perc_90, converted_stat * 2, IF(bbgm_stat &gt;= perc_85, converted_stat * 1.5, converted_stat)))))</f>
        <v/>
      </c>
      <c r="K649" s="30" t="str">
        <f t="array" ref="K649">IF($A649="", "", LET(bbgm_stat, INDEX(Players!$A648:$P648, MATCH(K$2, Players!$A$1:$P$1, 0)), perc_75, VLOOKUP(K$2, Percentiles!$A$45:$I$59, 6, FALSE), perc_90, VLOOKUP(K$2, Percentiles!$A$45:$I$59, 7, FALSE), perc_95, VLOOKUP(K$2, Percentiles!$A$45:$I$59, 8, FALSE), perc_85, perc_75 + (perc_90 - perc_75) * (2/3), converted_stat, '2K_Ratings'!K649, IF(bbgm_stat &gt;= perc_95, converted_stat * 3, IF(bbgm_stat &gt;= perc_90, converted_stat * 2, IF(bbgm_stat &gt;= perc_85, converted_stat * 1.5, converted_stat)))))</f>
        <v/>
      </c>
      <c r="L649" s="30" t="str">
        <f t="array" ref="L649">IF($A649="", "", LET(bbgm_stat, INDEX(Players!$A648:$P648, MATCH(L$2, Players!$A$1:$P$1, 0)), perc_75, VLOOKUP(L$2, Percentiles!$A$45:$I$59, 6, FALSE), perc_90, VLOOKUP(L$2, Percentiles!$A$45:$I$59, 7, FALSE), perc_95, VLOOKUP(L$2, Percentiles!$A$45:$I$59, 8, FALSE), perc_85, perc_75 + (perc_90 - perc_75) * (2/3), converted_stat, '2K_Ratings'!L649, IF(bbgm_stat &gt;= perc_95, converted_stat * 3, IF(bbgm_stat &gt;= perc_90, converted_stat * 2, IF(bbgm_stat &gt;= perc_85, converted_stat * 1.5, converted_stat)))))</f>
        <v/>
      </c>
      <c r="M649" s="30" t="str">
        <f t="array" ref="M649">IF($A649="", "", LET(bbgm_stat, INDEX(Players!$A648:$P648, MATCH(M$2, Players!$A$1:$P$1, 0)), perc_75, VLOOKUP(M$2, Percentiles!$A$45:$I$59, 6, FALSE), perc_90, VLOOKUP(M$2, Percentiles!$A$45:$I$59, 7, FALSE), perc_95, VLOOKUP(M$2, Percentiles!$A$45:$I$59, 8, FALSE), perc_85, perc_75 + (perc_90 - perc_75) * (2/3), converted_stat, '2K_Ratings'!M649, IF(bbgm_stat &gt;= perc_95, converted_stat * 3, IF(bbgm_stat &gt;= perc_90, converted_stat * 2, IF(bbgm_stat &gt;= perc_85, converted_stat * 1.5, converted_stat)))))</f>
        <v/>
      </c>
      <c r="N649" s="30" t="str">
        <f t="array" ref="N649">IF($A649="", "", LET(bbgm_stat, INDEX(Players!$A648:$P648, MATCH(N$2, Players!$A$1:$P$1, 0)), perc_75, VLOOKUP(N$2, Percentiles!$A$45:$I$59, 6, FALSE), perc_90, VLOOKUP(N$2, Percentiles!$A$45:$I$59, 7, FALSE), perc_95, VLOOKUP(N$2, Percentiles!$A$45:$I$59, 8, FALSE), perc_85, perc_75 + (perc_90 - perc_75) * (2/3), converted_stat, '2K_Ratings'!N649, IF(bbgm_stat &gt;= perc_95, converted_stat * 3, IF(bbgm_stat &gt;= perc_90, converted_stat * 2, IF(bbgm_stat &gt;= perc_85, converted_stat * 1.5, converted_stat)))))</f>
        <v/>
      </c>
      <c r="O649" s="30" t="str">
        <f t="array" ref="O649">IF($A649="", "", LET(bbgm_stat, INDEX(Players!$A648:$P648, MATCH(O$2, Players!$A$1:$P$1, 0)), perc_75, VLOOKUP(O$2, Percentiles!$A$45:$I$59, 6, FALSE), perc_90, VLOOKUP(O$2, Percentiles!$A$45:$I$59, 7, FALSE), perc_95, VLOOKUP(O$2, Percentiles!$A$45:$I$59, 8, FALSE), perc_85, perc_75 + (perc_90 - perc_75) * (2/3), converted_stat, '2K_Ratings'!O649, IF(bbgm_stat &gt;= perc_95, converted_stat * 3, IF(bbgm_stat &gt;= perc_90, converted_stat * 2, IF(bbgm_stat &gt;= perc_85, converted_stat * 1.5, converted_stat)))))</f>
        <v/>
      </c>
      <c r="P649" s="30" t="str">
        <f t="array" ref="P649">IF($A649="", "", LET(bbgm_stat, INDEX(Players!$A648:$P648, MATCH(P$2, Players!$A$1:$P$1, 0)), perc_75, VLOOKUP(P$2, Percentiles!$A$45:$I$59, 6, FALSE), perc_90, VLOOKUP(P$2, Percentiles!$A$45:$I$59, 7, FALSE), perc_95, VLOOKUP(P$2, Percentiles!$A$45:$I$59, 8, FALSE), perc_85, perc_75 + (perc_90 - perc_75) * (2/3), converted_stat, '2K_Ratings'!P649, IF(bbgm_stat &gt;= perc_95, converted_stat * 3, IF(bbgm_stat &gt;= perc_90, converted_stat * 2, IF(bbgm_stat &gt;= perc_85, converted_stat * 1.5, converted_stat)))))</f>
        <v/>
      </c>
      <c r="Q649" s="30" t="str">
        <f t="array" ref="Q649">IF($A649="", "", LET(bbgm_stat, INDEX(Players!$A648:$P648, MATCH(Q$2, Players!$A$1:$P$1, 0)), perc_75, VLOOKUP(Q$2, Percentiles!$A$45:$I$59, 6, FALSE), perc_90, VLOOKUP(Q$2, Percentiles!$A$45:$I$59, 7, FALSE), perc_95, VLOOKUP(Q$2, Percentiles!$A$45:$I$59, 8, FALSE), perc_85, perc_75 + (perc_90 - perc_75) * (2/3), converted_stat, '2K_Ratings'!Q649, IF(bbgm_stat &gt;= perc_95, converted_stat * 3, IF(bbgm_stat &gt;= perc_90, converted_stat * 2, IF(bbgm_stat &gt;= perc_85, converted_stat * 1.5, converted_stat)))))</f>
        <v/>
      </c>
      <c r="R649" s="30" t="str">
        <f t="array" ref="R649">IF($A649="", "", LET(bbgm_stat, INDEX(Players!$A648:$P648, MATCH(R$2, Players!$A$1:$P$1, 0)), perc_75, VLOOKUP(R$2, Percentiles!$A$45:$I$59, 6, FALSE), perc_90, VLOOKUP(R$2, Percentiles!$A$45:$I$59, 7, FALSE), perc_95, VLOOKUP(R$2, Percentiles!$A$45:$I$59, 8, FALSE), perc_85, perc_75 + (perc_90 - perc_75) * (2/3), converted_stat, '2K_Ratings'!R649, IF(bbgm_stat &gt;= perc_95, converted_stat * 3, IF(bbgm_stat &gt;= perc_90, converted_stat * 2, IF(bbgm_stat &gt;= perc_85, converted_stat * 1.5, converted_stat)))))</f>
        <v/>
      </c>
      <c r="S649" s="30" t="str">
        <f t="array" ref="S649">IF($A649="", "", LET(bbgm_stat, INDEX(Players!$A648:$P648, MATCH(S$2, Players!$A$1:$P$1, 0)), perc_75, VLOOKUP(S$2, Percentiles!$A$45:$I$59, 6, FALSE), perc_90, VLOOKUP(S$2, Percentiles!$A$45:$I$59, 7, FALSE), perc_95, VLOOKUP(S$2, Percentiles!$A$45:$I$59, 8, FALSE), perc_85, perc_75 + (perc_90 - perc_75) * (2/3), converted_stat, '2K_Ratings'!S649, IF(bbgm_stat &gt;= perc_95, converted_stat * 3, IF(bbgm_stat &gt;= perc_90, converted_stat * 2, IF(bbgm_stat &gt;= perc_85, converted_stat * 1.5, converted_stat)))))</f>
        <v/>
      </c>
      <c r="T649" s="30" t="str">
        <f t="array" ref="T649">IF($A649="", "", LET(bbgm_stat, INDEX(Players!$A648:$P648, MATCH(T$2, Players!$A$1:$P$1, 0)), perc_75, VLOOKUP(T$2, Percentiles!$A$45:$I$59, 6, FALSE), perc_90, VLOOKUP(T$2, Percentiles!$A$45:$I$59, 7, FALSE), perc_95, VLOOKUP(T$2, Percentiles!$A$45:$I$59, 8, FALSE), perc_85, perc_75 + (perc_90 - perc_75) * (2/3), converted_stat, '2K_Ratings'!T649, IF(bbgm_stat &gt;= perc_95, converted_stat * 3, IF(bbgm_stat &gt;= perc_90, converted_stat * 2, IF(bbgm_stat &gt;= perc_85, converted_stat * 1.5, converted_stat)))))</f>
        <v/>
      </c>
      <c r="U649" s="30" t="str">
        <f t="array" ref="U649">IF($A649="", "", LET(bbgm_stat, INDEX(Players!$A648:$P648, MATCH(U$2, Players!$A$1:$P$1, 0)), perc_75, VLOOKUP(U$2, Percentiles!$A$45:$I$59, 6, FALSE), perc_90, VLOOKUP(U$2, Percentiles!$A$45:$I$59, 7, FALSE), perc_95, VLOOKUP(U$2, Percentiles!$A$45:$I$59, 8, FALSE), perc_85, perc_75 + (perc_90 - perc_75) * (2/3), converted_stat, '2K_Ratings'!U649, IF(bbgm_stat &gt;= perc_95, converted_stat * 3, IF(bbgm_stat &gt;= perc_90, converted_stat * 2, IF(bbgm_stat &gt;= perc_85, converted_stat * 1.5, converted_stat)))))</f>
        <v/>
      </c>
      <c r="V649" s="30" t="str">
        <f t="array" ref="V649">IF($A649="", "", LET(bbgm_stat, INDEX(Players!$A648:$P648, MATCH(V$2, Players!$A$1:$P$1, 0)), perc_75, VLOOKUP(V$2, Percentiles!$A$45:$I$59, 6, FALSE), perc_90, VLOOKUP(V$2, Percentiles!$A$45:$I$59, 7, FALSE), perc_95, VLOOKUP(V$2, Percentiles!$A$45:$I$59, 8, FALSE), perc_85, perc_75 + (perc_90 - perc_75) * (2/3), converted_stat, '2K_Ratings'!V649, IF(bbgm_stat &gt;= perc_95, converted_stat * 3, IF(bbgm_stat &gt;= perc_90, converted_stat * 2, IF(bbgm_stat &gt;= perc_85, converted_stat * 1.5, converted_stat)))))</f>
        <v/>
      </c>
      <c r="W649" s="30" t="str">
        <f t="array" ref="W649">IF($A649="", "", LET(bbgm_stat, INDEX(Players!$A648:$P648, MATCH(W$2, Players!$A$1:$P$1, 0)), perc_75, VLOOKUP(W$2, Percentiles!$A$45:$I$59, 6, FALSE), perc_90, VLOOKUP(W$2, Percentiles!$A$45:$I$59, 7, FALSE), perc_95, VLOOKUP(W$2, Percentiles!$A$45:$I$59, 8, FALSE), perc_85, perc_75 + (perc_90 - perc_75) * (2/3), converted_stat, '2K_Ratings'!W649, IF(bbgm_stat &gt;= perc_95, converted_stat * 3, IF(bbgm_stat &gt;= perc_90, converted_stat * 2, IF(bbgm_stat &gt;= perc_85, converted_stat * 1.5, converted_stat)))))</f>
        <v/>
      </c>
    </row>
    <row r="650">
      <c r="A650" s="30"/>
      <c r="B650" s="30" t="str">
        <f t="array" ref="B650">IF($A650="", "", LET(bbgm_stat, INDEX(Players!$A649:$P649, MATCH(B$2, Players!$A$1:$P$1, 0)), perc_75, VLOOKUP(B$2, Percentiles!$A$45:$I$59, 6, FALSE), perc_90, VLOOKUP(B$2, Percentiles!$A$45:$I$59, 7, FALSE), perc_95, VLOOKUP(B$2, Percentiles!$A$45:$I$59, 8, FALSE), perc_85, perc_75 + (perc_90 - perc_75) * (2/3), converted_stat, '2K_Ratings'!B650, IF(bbgm_stat &gt;= perc_95, converted_stat * 3, IF(bbgm_stat &gt;= perc_90, converted_stat * 2, IF(bbgm_stat &gt;= perc_85, converted_stat * 1.5, converted_stat)))))</f>
        <v/>
      </c>
      <c r="C650" s="30" t="str">
        <f t="array" ref="C650">IF($A650="", "", LET(bbgm_stat, INDEX(Players!$A649:$P649, MATCH(C$2, Players!$A$1:$P$1, 0)), perc_75, VLOOKUP(C$2, Percentiles!$A$45:$I$59, 6, FALSE), perc_90, VLOOKUP(C$2, Percentiles!$A$45:$I$59, 7, FALSE), perc_95, VLOOKUP(C$2, Percentiles!$A$45:$I$59, 8, FALSE), perc_85, perc_75 + (perc_90 - perc_75) * (2/3), converted_stat, '2K_Ratings'!C650, IF(bbgm_stat &gt;= perc_95, converted_stat * 3, IF(bbgm_stat &gt;= perc_90, converted_stat * 2, IF(bbgm_stat &gt;= perc_85, converted_stat * 1.5, converted_stat)))))</f>
        <v/>
      </c>
      <c r="D650" s="30" t="str">
        <f t="array" ref="D650">IF($A650="", "", LET(bbgm_stat, INDEX(Players!$A649:$P649, MATCH(D$2, Players!$A$1:$P$1, 0)), perc_75, VLOOKUP(D$2, Percentiles!$A$45:$I$59, 6, FALSE), perc_90, VLOOKUP(D$2, Percentiles!$A$45:$I$59, 7, FALSE), perc_95, VLOOKUP(D$2, Percentiles!$A$45:$I$59, 8, FALSE), perc_85, perc_75 + (perc_90 - perc_75) * (2/3), converted_stat, '2K_Ratings'!D650, IF(bbgm_stat &gt;= perc_95, converted_stat * 3, IF(bbgm_stat &gt;= perc_90, converted_stat * 2, IF(bbgm_stat &gt;= perc_85, converted_stat * 1.5, converted_stat)))))</f>
        <v/>
      </c>
      <c r="E650" s="30" t="str">
        <f t="array" ref="E650">IF($A650="", "", LET(bbgm_stat, INDEX(Players!$A649:$P649, MATCH(E$2, Players!$A$1:$P$1, 0)), perc_75, VLOOKUP(E$2, Percentiles!$A$45:$I$59, 6, FALSE), perc_90, VLOOKUP(E$2, Percentiles!$A$45:$I$59, 7, FALSE), perc_95, VLOOKUP(E$2, Percentiles!$A$45:$I$59, 8, FALSE), perc_85, perc_75 + (perc_90 - perc_75) * (2/3), converted_stat, '2K_Ratings'!E650, IF(bbgm_stat &gt;= perc_95, converted_stat * 3, IF(bbgm_stat &gt;= perc_90, converted_stat * 2, IF(bbgm_stat &gt;= perc_85, converted_stat * 1.5, converted_stat)))))</f>
        <v/>
      </c>
      <c r="F650" s="30" t="str">
        <f t="array" ref="F650">IF($A650="", "", LET(bbgm_stat, INDEX(Players!$A649:$P649, MATCH(F$2, Players!$A$1:$P$1, 0)), perc_75, VLOOKUP(F$2, Percentiles!$A$45:$I$59, 6, FALSE), perc_90, VLOOKUP(F$2, Percentiles!$A$45:$I$59, 7, FALSE), perc_95, VLOOKUP(F$2, Percentiles!$A$45:$I$59, 8, FALSE), perc_85, perc_75 + (perc_90 - perc_75) * (2/3), converted_stat, '2K_Ratings'!F650, IF(bbgm_stat &gt;= perc_95, converted_stat * 3, IF(bbgm_stat &gt;= perc_90, converted_stat * 2, IF(bbgm_stat &gt;= perc_85, converted_stat * 1.5, converted_stat)))))</f>
        <v/>
      </c>
      <c r="G650" s="30" t="str">
        <f t="array" ref="G650">IF($A650="", "", LET(bbgm_stat, INDEX(Players!$A649:$P649, MATCH(G$2, Players!$A$1:$P$1, 0)), perc_75, VLOOKUP(G$2, Percentiles!$A$45:$I$59, 6, FALSE), perc_90, VLOOKUP(G$2, Percentiles!$A$45:$I$59, 7, FALSE), perc_95, VLOOKUP(G$2, Percentiles!$A$45:$I$59, 8, FALSE), perc_85, perc_75 + (perc_90 - perc_75) * (2/3), converted_stat, '2K_Ratings'!G650, IF(bbgm_stat &gt;= perc_95, converted_stat * 3, IF(bbgm_stat &gt;= perc_90, converted_stat * 2, IF(bbgm_stat &gt;= perc_85, converted_stat * 1.5, converted_stat)))))</f>
        <v/>
      </c>
      <c r="H650" s="30" t="str">
        <f t="array" ref="H650">IF($A650="", "", LET(bbgm_stat, INDEX(Players!$A649:$P649, MATCH(H$2, Players!$A$1:$P$1, 0)), perc_75, VLOOKUP(H$2, Percentiles!$A$45:$I$59, 6, FALSE), perc_90, VLOOKUP(H$2, Percentiles!$A$45:$I$59, 7, FALSE), perc_95, VLOOKUP(H$2, Percentiles!$A$45:$I$59, 8, FALSE), perc_85, perc_75 + (perc_90 - perc_75) * (2/3), converted_stat, '2K_Ratings'!H650, IF(bbgm_stat &gt;= perc_95, converted_stat * 3, IF(bbgm_stat &gt;= perc_90, converted_stat * 2, IF(bbgm_stat &gt;= perc_85, converted_stat * 1.5, converted_stat)))))</f>
        <v/>
      </c>
      <c r="I650" s="30" t="str">
        <f t="array" ref="I650">IF($A650="", "", LET(bbgm_stat, INDEX(Players!$A649:$P649, MATCH(I$2, Players!$A$1:$P$1, 0)), perc_75, VLOOKUP(I$2, Percentiles!$A$45:$I$59, 6, FALSE), perc_90, VLOOKUP(I$2, Percentiles!$A$45:$I$59, 7, FALSE), perc_95, VLOOKUP(I$2, Percentiles!$A$45:$I$59, 8, FALSE), perc_85, perc_75 + (perc_90 - perc_75) * (2/3), converted_stat, '2K_Ratings'!I650, IF(bbgm_stat &gt;= perc_95, converted_stat * 3, IF(bbgm_stat &gt;= perc_90, converted_stat * 2, IF(bbgm_stat &gt;= perc_85, converted_stat * 1.5, converted_stat)))))</f>
        <v/>
      </c>
      <c r="J650" s="30" t="str">
        <f t="array" ref="J650">IF($A650="", "", LET(bbgm_stat, INDEX(Players!$A649:$P649, MATCH(J$2, Players!$A$1:$P$1, 0)), perc_75, VLOOKUP(J$2, Percentiles!$A$45:$I$59, 6, FALSE), perc_90, VLOOKUP(J$2, Percentiles!$A$45:$I$59, 7, FALSE), perc_95, VLOOKUP(J$2, Percentiles!$A$45:$I$59, 8, FALSE), perc_85, perc_75 + (perc_90 - perc_75) * (2/3), converted_stat, '2K_Ratings'!J650, IF(bbgm_stat &gt;= perc_95, converted_stat * 3, IF(bbgm_stat &gt;= perc_90, converted_stat * 2, IF(bbgm_stat &gt;= perc_85, converted_stat * 1.5, converted_stat)))))</f>
        <v/>
      </c>
      <c r="K650" s="30" t="str">
        <f t="array" ref="K650">IF($A650="", "", LET(bbgm_stat, INDEX(Players!$A649:$P649, MATCH(K$2, Players!$A$1:$P$1, 0)), perc_75, VLOOKUP(K$2, Percentiles!$A$45:$I$59, 6, FALSE), perc_90, VLOOKUP(K$2, Percentiles!$A$45:$I$59, 7, FALSE), perc_95, VLOOKUP(K$2, Percentiles!$A$45:$I$59, 8, FALSE), perc_85, perc_75 + (perc_90 - perc_75) * (2/3), converted_stat, '2K_Ratings'!K650, IF(bbgm_stat &gt;= perc_95, converted_stat * 3, IF(bbgm_stat &gt;= perc_90, converted_stat * 2, IF(bbgm_stat &gt;= perc_85, converted_stat * 1.5, converted_stat)))))</f>
        <v/>
      </c>
      <c r="L650" s="30" t="str">
        <f t="array" ref="L650">IF($A650="", "", LET(bbgm_stat, INDEX(Players!$A649:$P649, MATCH(L$2, Players!$A$1:$P$1, 0)), perc_75, VLOOKUP(L$2, Percentiles!$A$45:$I$59, 6, FALSE), perc_90, VLOOKUP(L$2, Percentiles!$A$45:$I$59, 7, FALSE), perc_95, VLOOKUP(L$2, Percentiles!$A$45:$I$59, 8, FALSE), perc_85, perc_75 + (perc_90 - perc_75) * (2/3), converted_stat, '2K_Ratings'!L650, IF(bbgm_stat &gt;= perc_95, converted_stat * 3, IF(bbgm_stat &gt;= perc_90, converted_stat * 2, IF(bbgm_stat &gt;= perc_85, converted_stat * 1.5, converted_stat)))))</f>
        <v/>
      </c>
      <c r="M650" s="30" t="str">
        <f t="array" ref="M650">IF($A650="", "", LET(bbgm_stat, INDEX(Players!$A649:$P649, MATCH(M$2, Players!$A$1:$P$1, 0)), perc_75, VLOOKUP(M$2, Percentiles!$A$45:$I$59, 6, FALSE), perc_90, VLOOKUP(M$2, Percentiles!$A$45:$I$59, 7, FALSE), perc_95, VLOOKUP(M$2, Percentiles!$A$45:$I$59, 8, FALSE), perc_85, perc_75 + (perc_90 - perc_75) * (2/3), converted_stat, '2K_Ratings'!M650, IF(bbgm_stat &gt;= perc_95, converted_stat * 3, IF(bbgm_stat &gt;= perc_90, converted_stat * 2, IF(bbgm_stat &gt;= perc_85, converted_stat * 1.5, converted_stat)))))</f>
        <v/>
      </c>
      <c r="N650" s="30" t="str">
        <f t="array" ref="N650">IF($A650="", "", LET(bbgm_stat, INDEX(Players!$A649:$P649, MATCH(N$2, Players!$A$1:$P$1, 0)), perc_75, VLOOKUP(N$2, Percentiles!$A$45:$I$59, 6, FALSE), perc_90, VLOOKUP(N$2, Percentiles!$A$45:$I$59, 7, FALSE), perc_95, VLOOKUP(N$2, Percentiles!$A$45:$I$59, 8, FALSE), perc_85, perc_75 + (perc_90 - perc_75) * (2/3), converted_stat, '2K_Ratings'!N650, IF(bbgm_stat &gt;= perc_95, converted_stat * 3, IF(bbgm_stat &gt;= perc_90, converted_stat * 2, IF(bbgm_stat &gt;= perc_85, converted_stat * 1.5, converted_stat)))))</f>
        <v/>
      </c>
      <c r="O650" s="30" t="str">
        <f t="array" ref="O650">IF($A650="", "", LET(bbgm_stat, INDEX(Players!$A649:$P649, MATCH(O$2, Players!$A$1:$P$1, 0)), perc_75, VLOOKUP(O$2, Percentiles!$A$45:$I$59, 6, FALSE), perc_90, VLOOKUP(O$2, Percentiles!$A$45:$I$59, 7, FALSE), perc_95, VLOOKUP(O$2, Percentiles!$A$45:$I$59, 8, FALSE), perc_85, perc_75 + (perc_90 - perc_75) * (2/3), converted_stat, '2K_Ratings'!O650, IF(bbgm_stat &gt;= perc_95, converted_stat * 3, IF(bbgm_stat &gt;= perc_90, converted_stat * 2, IF(bbgm_stat &gt;= perc_85, converted_stat * 1.5, converted_stat)))))</f>
        <v/>
      </c>
      <c r="P650" s="30" t="str">
        <f t="array" ref="P650">IF($A650="", "", LET(bbgm_stat, INDEX(Players!$A649:$P649, MATCH(P$2, Players!$A$1:$P$1, 0)), perc_75, VLOOKUP(P$2, Percentiles!$A$45:$I$59, 6, FALSE), perc_90, VLOOKUP(P$2, Percentiles!$A$45:$I$59, 7, FALSE), perc_95, VLOOKUP(P$2, Percentiles!$A$45:$I$59, 8, FALSE), perc_85, perc_75 + (perc_90 - perc_75) * (2/3), converted_stat, '2K_Ratings'!P650, IF(bbgm_stat &gt;= perc_95, converted_stat * 3, IF(bbgm_stat &gt;= perc_90, converted_stat * 2, IF(bbgm_stat &gt;= perc_85, converted_stat * 1.5, converted_stat)))))</f>
        <v/>
      </c>
      <c r="Q650" s="30" t="str">
        <f t="array" ref="Q650">IF($A650="", "", LET(bbgm_stat, INDEX(Players!$A649:$P649, MATCH(Q$2, Players!$A$1:$P$1, 0)), perc_75, VLOOKUP(Q$2, Percentiles!$A$45:$I$59, 6, FALSE), perc_90, VLOOKUP(Q$2, Percentiles!$A$45:$I$59, 7, FALSE), perc_95, VLOOKUP(Q$2, Percentiles!$A$45:$I$59, 8, FALSE), perc_85, perc_75 + (perc_90 - perc_75) * (2/3), converted_stat, '2K_Ratings'!Q650, IF(bbgm_stat &gt;= perc_95, converted_stat * 3, IF(bbgm_stat &gt;= perc_90, converted_stat * 2, IF(bbgm_stat &gt;= perc_85, converted_stat * 1.5, converted_stat)))))</f>
        <v/>
      </c>
      <c r="R650" s="30" t="str">
        <f t="array" ref="R650">IF($A650="", "", LET(bbgm_stat, INDEX(Players!$A649:$P649, MATCH(R$2, Players!$A$1:$P$1, 0)), perc_75, VLOOKUP(R$2, Percentiles!$A$45:$I$59, 6, FALSE), perc_90, VLOOKUP(R$2, Percentiles!$A$45:$I$59, 7, FALSE), perc_95, VLOOKUP(R$2, Percentiles!$A$45:$I$59, 8, FALSE), perc_85, perc_75 + (perc_90 - perc_75) * (2/3), converted_stat, '2K_Ratings'!R650, IF(bbgm_stat &gt;= perc_95, converted_stat * 3, IF(bbgm_stat &gt;= perc_90, converted_stat * 2, IF(bbgm_stat &gt;= perc_85, converted_stat * 1.5, converted_stat)))))</f>
        <v/>
      </c>
      <c r="S650" s="30" t="str">
        <f t="array" ref="S650">IF($A650="", "", LET(bbgm_stat, INDEX(Players!$A649:$P649, MATCH(S$2, Players!$A$1:$P$1, 0)), perc_75, VLOOKUP(S$2, Percentiles!$A$45:$I$59, 6, FALSE), perc_90, VLOOKUP(S$2, Percentiles!$A$45:$I$59, 7, FALSE), perc_95, VLOOKUP(S$2, Percentiles!$A$45:$I$59, 8, FALSE), perc_85, perc_75 + (perc_90 - perc_75) * (2/3), converted_stat, '2K_Ratings'!S650, IF(bbgm_stat &gt;= perc_95, converted_stat * 3, IF(bbgm_stat &gt;= perc_90, converted_stat * 2, IF(bbgm_stat &gt;= perc_85, converted_stat * 1.5, converted_stat)))))</f>
        <v/>
      </c>
      <c r="T650" s="30" t="str">
        <f t="array" ref="T650">IF($A650="", "", LET(bbgm_stat, INDEX(Players!$A649:$P649, MATCH(T$2, Players!$A$1:$P$1, 0)), perc_75, VLOOKUP(T$2, Percentiles!$A$45:$I$59, 6, FALSE), perc_90, VLOOKUP(T$2, Percentiles!$A$45:$I$59, 7, FALSE), perc_95, VLOOKUP(T$2, Percentiles!$A$45:$I$59, 8, FALSE), perc_85, perc_75 + (perc_90 - perc_75) * (2/3), converted_stat, '2K_Ratings'!T650, IF(bbgm_stat &gt;= perc_95, converted_stat * 3, IF(bbgm_stat &gt;= perc_90, converted_stat * 2, IF(bbgm_stat &gt;= perc_85, converted_stat * 1.5, converted_stat)))))</f>
        <v/>
      </c>
      <c r="U650" s="30" t="str">
        <f t="array" ref="U650">IF($A650="", "", LET(bbgm_stat, INDEX(Players!$A649:$P649, MATCH(U$2, Players!$A$1:$P$1, 0)), perc_75, VLOOKUP(U$2, Percentiles!$A$45:$I$59, 6, FALSE), perc_90, VLOOKUP(U$2, Percentiles!$A$45:$I$59, 7, FALSE), perc_95, VLOOKUP(U$2, Percentiles!$A$45:$I$59, 8, FALSE), perc_85, perc_75 + (perc_90 - perc_75) * (2/3), converted_stat, '2K_Ratings'!U650, IF(bbgm_stat &gt;= perc_95, converted_stat * 3, IF(bbgm_stat &gt;= perc_90, converted_stat * 2, IF(bbgm_stat &gt;= perc_85, converted_stat * 1.5, converted_stat)))))</f>
        <v/>
      </c>
      <c r="V650" s="30" t="str">
        <f t="array" ref="V650">IF($A650="", "", LET(bbgm_stat, INDEX(Players!$A649:$P649, MATCH(V$2, Players!$A$1:$P$1, 0)), perc_75, VLOOKUP(V$2, Percentiles!$A$45:$I$59, 6, FALSE), perc_90, VLOOKUP(V$2, Percentiles!$A$45:$I$59, 7, FALSE), perc_95, VLOOKUP(V$2, Percentiles!$A$45:$I$59, 8, FALSE), perc_85, perc_75 + (perc_90 - perc_75) * (2/3), converted_stat, '2K_Ratings'!V650, IF(bbgm_stat &gt;= perc_95, converted_stat * 3, IF(bbgm_stat &gt;= perc_90, converted_stat * 2, IF(bbgm_stat &gt;= perc_85, converted_stat * 1.5, converted_stat)))))</f>
        <v/>
      </c>
      <c r="W650" s="30" t="str">
        <f t="array" ref="W650">IF($A650="", "", LET(bbgm_stat, INDEX(Players!$A649:$P649, MATCH(W$2, Players!$A$1:$P$1, 0)), perc_75, VLOOKUP(W$2, Percentiles!$A$45:$I$59, 6, FALSE), perc_90, VLOOKUP(W$2, Percentiles!$A$45:$I$59, 7, FALSE), perc_95, VLOOKUP(W$2, Percentiles!$A$45:$I$59, 8, FALSE), perc_85, perc_75 + (perc_90 - perc_75) * (2/3), converted_stat, '2K_Ratings'!W650, IF(bbgm_stat &gt;= perc_95, converted_stat * 3, IF(bbgm_stat &gt;= perc_90, converted_stat * 2, IF(bbgm_stat &gt;= perc_85, converted_stat * 1.5, converted_stat)))))</f>
        <v/>
      </c>
    </row>
    <row r="651">
      <c r="A651" s="30"/>
      <c r="B651" s="30" t="str">
        <f t="array" ref="B651">IF($A651="", "", LET(bbgm_stat, INDEX(Players!$A650:$P650, MATCH(B$2, Players!$A$1:$P$1, 0)), perc_75, VLOOKUP(B$2, Percentiles!$A$45:$I$59, 6, FALSE), perc_90, VLOOKUP(B$2, Percentiles!$A$45:$I$59, 7, FALSE), perc_95, VLOOKUP(B$2, Percentiles!$A$45:$I$59, 8, FALSE), perc_85, perc_75 + (perc_90 - perc_75) * (2/3), converted_stat, '2K_Ratings'!B651, IF(bbgm_stat &gt;= perc_95, converted_stat * 3, IF(bbgm_stat &gt;= perc_90, converted_stat * 2, IF(bbgm_stat &gt;= perc_85, converted_stat * 1.5, converted_stat)))))</f>
        <v/>
      </c>
      <c r="C651" s="30" t="str">
        <f t="array" ref="C651">IF($A651="", "", LET(bbgm_stat, INDEX(Players!$A650:$P650, MATCH(C$2, Players!$A$1:$P$1, 0)), perc_75, VLOOKUP(C$2, Percentiles!$A$45:$I$59, 6, FALSE), perc_90, VLOOKUP(C$2, Percentiles!$A$45:$I$59, 7, FALSE), perc_95, VLOOKUP(C$2, Percentiles!$A$45:$I$59, 8, FALSE), perc_85, perc_75 + (perc_90 - perc_75) * (2/3), converted_stat, '2K_Ratings'!C651, IF(bbgm_stat &gt;= perc_95, converted_stat * 3, IF(bbgm_stat &gt;= perc_90, converted_stat * 2, IF(bbgm_stat &gt;= perc_85, converted_stat * 1.5, converted_stat)))))</f>
        <v/>
      </c>
      <c r="D651" s="30" t="str">
        <f t="array" ref="D651">IF($A651="", "", LET(bbgm_stat, INDEX(Players!$A650:$P650, MATCH(D$2, Players!$A$1:$P$1, 0)), perc_75, VLOOKUP(D$2, Percentiles!$A$45:$I$59, 6, FALSE), perc_90, VLOOKUP(D$2, Percentiles!$A$45:$I$59, 7, FALSE), perc_95, VLOOKUP(D$2, Percentiles!$A$45:$I$59, 8, FALSE), perc_85, perc_75 + (perc_90 - perc_75) * (2/3), converted_stat, '2K_Ratings'!D651, IF(bbgm_stat &gt;= perc_95, converted_stat * 3, IF(bbgm_stat &gt;= perc_90, converted_stat * 2, IF(bbgm_stat &gt;= perc_85, converted_stat * 1.5, converted_stat)))))</f>
        <v/>
      </c>
      <c r="E651" s="30" t="str">
        <f t="array" ref="E651">IF($A651="", "", LET(bbgm_stat, INDEX(Players!$A650:$P650, MATCH(E$2, Players!$A$1:$P$1, 0)), perc_75, VLOOKUP(E$2, Percentiles!$A$45:$I$59, 6, FALSE), perc_90, VLOOKUP(E$2, Percentiles!$A$45:$I$59, 7, FALSE), perc_95, VLOOKUP(E$2, Percentiles!$A$45:$I$59, 8, FALSE), perc_85, perc_75 + (perc_90 - perc_75) * (2/3), converted_stat, '2K_Ratings'!E651, IF(bbgm_stat &gt;= perc_95, converted_stat * 3, IF(bbgm_stat &gt;= perc_90, converted_stat * 2, IF(bbgm_stat &gt;= perc_85, converted_stat * 1.5, converted_stat)))))</f>
        <v/>
      </c>
      <c r="F651" s="30" t="str">
        <f t="array" ref="F651">IF($A651="", "", LET(bbgm_stat, INDEX(Players!$A650:$P650, MATCH(F$2, Players!$A$1:$P$1, 0)), perc_75, VLOOKUP(F$2, Percentiles!$A$45:$I$59, 6, FALSE), perc_90, VLOOKUP(F$2, Percentiles!$A$45:$I$59, 7, FALSE), perc_95, VLOOKUP(F$2, Percentiles!$A$45:$I$59, 8, FALSE), perc_85, perc_75 + (perc_90 - perc_75) * (2/3), converted_stat, '2K_Ratings'!F651, IF(bbgm_stat &gt;= perc_95, converted_stat * 3, IF(bbgm_stat &gt;= perc_90, converted_stat * 2, IF(bbgm_stat &gt;= perc_85, converted_stat * 1.5, converted_stat)))))</f>
        <v/>
      </c>
      <c r="G651" s="30" t="str">
        <f t="array" ref="G651">IF($A651="", "", LET(bbgm_stat, INDEX(Players!$A650:$P650, MATCH(G$2, Players!$A$1:$P$1, 0)), perc_75, VLOOKUP(G$2, Percentiles!$A$45:$I$59, 6, FALSE), perc_90, VLOOKUP(G$2, Percentiles!$A$45:$I$59, 7, FALSE), perc_95, VLOOKUP(G$2, Percentiles!$A$45:$I$59, 8, FALSE), perc_85, perc_75 + (perc_90 - perc_75) * (2/3), converted_stat, '2K_Ratings'!G651, IF(bbgm_stat &gt;= perc_95, converted_stat * 3, IF(bbgm_stat &gt;= perc_90, converted_stat * 2, IF(bbgm_stat &gt;= perc_85, converted_stat * 1.5, converted_stat)))))</f>
        <v/>
      </c>
      <c r="H651" s="30" t="str">
        <f t="array" ref="H651">IF($A651="", "", LET(bbgm_stat, INDEX(Players!$A650:$P650, MATCH(H$2, Players!$A$1:$P$1, 0)), perc_75, VLOOKUP(H$2, Percentiles!$A$45:$I$59, 6, FALSE), perc_90, VLOOKUP(H$2, Percentiles!$A$45:$I$59, 7, FALSE), perc_95, VLOOKUP(H$2, Percentiles!$A$45:$I$59, 8, FALSE), perc_85, perc_75 + (perc_90 - perc_75) * (2/3), converted_stat, '2K_Ratings'!H651, IF(bbgm_stat &gt;= perc_95, converted_stat * 3, IF(bbgm_stat &gt;= perc_90, converted_stat * 2, IF(bbgm_stat &gt;= perc_85, converted_stat * 1.5, converted_stat)))))</f>
        <v/>
      </c>
      <c r="I651" s="30" t="str">
        <f t="array" ref="I651">IF($A651="", "", LET(bbgm_stat, INDEX(Players!$A650:$P650, MATCH(I$2, Players!$A$1:$P$1, 0)), perc_75, VLOOKUP(I$2, Percentiles!$A$45:$I$59, 6, FALSE), perc_90, VLOOKUP(I$2, Percentiles!$A$45:$I$59, 7, FALSE), perc_95, VLOOKUP(I$2, Percentiles!$A$45:$I$59, 8, FALSE), perc_85, perc_75 + (perc_90 - perc_75) * (2/3), converted_stat, '2K_Ratings'!I651, IF(bbgm_stat &gt;= perc_95, converted_stat * 3, IF(bbgm_stat &gt;= perc_90, converted_stat * 2, IF(bbgm_stat &gt;= perc_85, converted_stat * 1.5, converted_stat)))))</f>
        <v/>
      </c>
      <c r="J651" s="30" t="str">
        <f t="array" ref="J651">IF($A651="", "", LET(bbgm_stat, INDEX(Players!$A650:$P650, MATCH(J$2, Players!$A$1:$P$1, 0)), perc_75, VLOOKUP(J$2, Percentiles!$A$45:$I$59, 6, FALSE), perc_90, VLOOKUP(J$2, Percentiles!$A$45:$I$59, 7, FALSE), perc_95, VLOOKUP(J$2, Percentiles!$A$45:$I$59, 8, FALSE), perc_85, perc_75 + (perc_90 - perc_75) * (2/3), converted_stat, '2K_Ratings'!J651, IF(bbgm_stat &gt;= perc_95, converted_stat * 3, IF(bbgm_stat &gt;= perc_90, converted_stat * 2, IF(bbgm_stat &gt;= perc_85, converted_stat * 1.5, converted_stat)))))</f>
        <v/>
      </c>
      <c r="K651" s="30" t="str">
        <f t="array" ref="K651">IF($A651="", "", LET(bbgm_stat, INDEX(Players!$A650:$P650, MATCH(K$2, Players!$A$1:$P$1, 0)), perc_75, VLOOKUP(K$2, Percentiles!$A$45:$I$59, 6, FALSE), perc_90, VLOOKUP(K$2, Percentiles!$A$45:$I$59, 7, FALSE), perc_95, VLOOKUP(K$2, Percentiles!$A$45:$I$59, 8, FALSE), perc_85, perc_75 + (perc_90 - perc_75) * (2/3), converted_stat, '2K_Ratings'!K651, IF(bbgm_stat &gt;= perc_95, converted_stat * 3, IF(bbgm_stat &gt;= perc_90, converted_stat * 2, IF(bbgm_stat &gt;= perc_85, converted_stat * 1.5, converted_stat)))))</f>
        <v/>
      </c>
      <c r="L651" s="30" t="str">
        <f t="array" ref="L651">IF($A651="", "", LET(bbgm_stat, INDEX(Players!$A650:$P650, MATCH(L$2, Players!$A$1:$P$1, 0)), perc_75, VLOOKUP(L$2, Percentiles!$A$45:$I$59, 6, FALSE), perc_90, VLOOKUP(L$2, Percentiles!$A$45:$I$59, 7, FALSE), perc_95, VLOOKUP(L$2, Percentiles!$A$45:$I$59, 8, FALSE), perc_85, perc_75 + (perc_90 - perc_75) * (2/3), converted_stat, '2K_Ratings'!L651, IF(bbgm_stat &gt;= perc_95, converted_stat * 3, IF(bbgm_stat &gt;= perc_90, converted_stat * 2, IF(bbgm_stat &gt;= perc_85, converted_stat * 1.5, converted_stat)))))</f>
        <v/>
      </c>
      <c r="M651" s="30" t="str">
        <f t="array" ref="M651">IF($A651="", "", LET(bbgm_stat, INDEX(Players!$A650:$P650, MATCH(M$2, Players!$A$1:$P$1, 0)), perc_75, VLOOKUP(M$2, Percentiles!$A$45:$I$59, 6, FALSE), perc_90, VLOOKUP(M$2, Percentiles!$A$45:$I$59, 7, FALSE), perc_95, VLOOKUP(M$2, Percentiles!$A$45:$I$59, 8, FALSE), perc_85, perc_75 + (perc_90 - perc_75) * (2/3), converted_stat, '2K_Ratings'!M651, IF(bbgm_stat &gt;= perc_95, converted_stat * 3, IF(bbgm_stat &gt;= perc_90, converted_stat * 2, IF(bbgm_stat &gt;= perc_85, converted_stat * 1.5, converted_stat)))))</f>
        <v/>
      </c>
      <c r="N651" s="30" t="str">
        <f t="array" ref="N651">IF($A651="", "", LET(bbgm_stat, INDEX(Players!$A650:$P650, MATCH(N$2, Players!$A$1:$P$1, 0)), perc_75, VLOOKUP(N$2, Percentiles!$A$45:$I$59, 6, FALSE), perc_90, VLOOKUP(N$2, Percentiles!$A$45:$I$59, 7, FALSE), perc_95, VLOOKUP(N$2, Percentiles!$A$45:$I$59, 8, FALSE), perc_85, perc_75 + (perc_90 - perc_75) * (2/3), converted_stat, '2K_Ratings'!N651, IF(bbgm_stat &gt;= perc_95, converted_stat * 3, IF(bbgm_stat &gt;= perc_90, converted_stat * 2, IF(bbgm_stat &gt;= perc_85, converted_stat * 1.5, converted_stat)))))</f>
        <v/>
      </c>
      <c r="O651" s="30" t="str">
        <f t="array" ref="O651">IF($A651="", "", LET(bbgm_stat, INDEX(Players!$A650:$P650, MATCH(O$2, Players!$A$1:$P$1, 0)), perc_75, VLOOKUP(O$2, Percentiles!$A$45:$I$59, 6, FALSE), perc_90, VLOOKUP(O$2, Percentiles!$A$45:$I$59, 7, FALSE), perc_95, VLOOKUP(O$2, Percentiles!$A$45:$I$59, 8, FALSE), perc_85, perc_75 + (perc_90 - perc_75) * (2/3), converted_stat, '2K_Ratings'!O651, IF(bbgm_stat &gt;= perc_95, converted_stat * 3, IF(bbgm_stat &gt;= perc_90, converted_stat * 2, IF(bbgm_stat &gt;= perc_85, converted_stat * 1.5, converted_stat)))))</f>
        <v/>
      </c>
      <c r="P651" s="30" t="str">
        <f t="array" ref="P651">IF($A651="", "", LET(bbgm_stat, INDEX(Players!$A650:$P650, MATCH(P$2, Players!$A$1:$P$1, 0)), perc_75, VLOOKUP(P$2, Percentiles!$A$45:$I$59, 6, FALSE), perc_90, VLOOKUP(P$2, Percentiles!$A$45:$I$59, 7, FALSE), perc_95, VLOOKUP(P$2, Percentiles!$A$45:$I$59, 8, FALSE), perc_85, perc_75 + (perc_90 - perc_75) * (2/3), converted_stat, '2K_Ratings'!P651, IF(bbgm_stat &gt;= perc_95, converted_stat * 3, IF(bbgm_stat &gt;= perc_90, converted_stat * 2, IF(bbgm_stat &gt;= perc_85, converted_stat * 1.5, converted_stat)))))</f>
        <v/>
      </c>
      <c r="Q651" s="30" t="str">
        <f t="array" ref="Q651">IF($A651="", "", LET(bbgm_stat, INDEX(Players!$A650:$P650, MATCH(Q$2, Players!$A$1:$P$1, 0)), perc_75, VLOOKUP(Q$2, Percentiles!$A$45:$I$59, 6, FALSE), perc_90, VLOOKUP(Q$2, Percentiles!$A$45:$I$59, 7, FALSE), perc_95, VLOOKUP(Q$2, Percentiles!$A$45:$I$59, 8, FALSE), perc_85, perc_75 + (perc_90 - perc_75) * (2/3), converted_stat, '2K_Ratings'!Q651, IF(bbgm_stat &gt;= perc_95, converted_stat * 3, IF(bbgm_stat &gt;= perc_90, converted_stat * 2, IF(bbgm_stat &gt;= perc_85, converted_stat * 1.5, converted_stat)))))</f>
        <v/>
      </c>
      <c r="R651" s="30" t="str">
        <f t="array" ref="R651">IF($A651="", "", LET(bbgm_stat, INDEX(Players!$A650:$P650, MATCH(R$2, Players!$A$1:$P$1, 0)), perc_75, VLOOKUP(R$2, Percentiles!$A$45:$I$59, 6, FALSE), perc_90, VLOOKUP(R$2, Percentiles!$A$45:$I$59, 7, FALSE), perc_95, VLOOKUP(R$2, Percentiles!$A$45:$I$59, 8, FALSE), perc_85, perc_75 + (perc_90 - perc_75) * (2/3), converted_stat, '2K_Ratings'!R651, IF(bbgm_stat &gt;= perc_95, converted_stat * 3, IF(bbgm_stat &gt;= perc_90, converted_stat * 2, IF(bbgm_stat &gt;= perc_85, converted_stat * 1.5, converted_stat)))))</f>
        <v/>
      </c>
      <c r="S651" s="30" t="str">
        <f t="array" ref="S651">IF($A651="", "", LET(bbgm_stat, INDEX(Players!$A650:$P650, MATCH(S$2, Players!$A$1:$P$1, 0)), perc_75, VLOOKUP(S$2, Percentiles!$A$45:$I$59, 6, FALSE), perc_90, VLOOKUP(S$2, Percentiles!$A$45:$I$59, 7, FALSE), perc_95, VLOOKUP(S$2, Percentiles!$A$45:$I$59, 8, FALSE), perc_85, perc_75 + (perc_90 - perc_75) * (2/3), converted_stat, '2K_Ratings'!S651, IF(bbgm_stat &gt;= perc_95, converted_stat * 3, IF(bbgm_stat &gt;= perc_90, converted_stat * 2, IF(bbgm_stat &gt;= perc_85, converted_stat * 1.5, converted_stat)))))</f>
        <v/>
      </c>
      <c r="T651" s="30" t="str">
        <f t="array" ref="T651">IF($A651="", "", LET(bbgm_stat, INDEX(Players!$A650:$P650, MATCH(T$2, Players!$A$1:$P$1, 0)), perc_75, VLOOKUP(T$2, Percentiles!$A$45:$I$59, 6, FALSE), perc_90, VLOOKUP(T$2, Percentiles!$A$45:$I$59, 7, FALSE), perc_95, VLOOKUP(T$2, Percentiles!$A$45:$I$59, 8, FALSE), perc_85, perc_75 + (perc_90 - perc_75) * (2/3), converted_stat, '2K_Ratings'!T651, IF(bbgm_stat &gt;= perc_95, converted_stat * 3, IF(bbgm_stat &gt;= perc_90, converted_stat * 2, IF(bbgm_stat &gt;= perc_85, converted_stat * 1.5, converted_stat)))))</f>
        <v/>
      </c>
      <c r="U651" s="30" t="str">
        <f t="array" ref="U651">IF($A651="", "", LET(bbgm_stat, INDEX(Players!$A650:$P650, MATCH(U$2, Players!$A$1:$P$1, 0)), perc_75, VLOOKUP(U$2, Percentiles!$A$45:$I$59, 6, FALSE), perc_90, VLOOKUP(U$2, Percentiles!$A$45:$I$59, 7, FALSE), perc_95, VLOOKUP(U$2, Percentiles!$A$45:$I$59, 8, FALSE), perc_85, perc_75 + (perc_90 - perc_75) * (2/3), converted_stat, '2K_Ratings'!U651, IF(bbgm_stat &gt;= perc_95, converted_stat * 3, IF(bbgm_stat &gt;= perc_90, converted_stat * 2, IF(bbgm_stat &gt;= perc_85, converted_stat * 1.5, converted_stat)))))</f>
        <v/>
      </c>
      <c r="V651" s="30" t="str">
        <f t="array" ref="V651">IF($A651="", "", LET(bbgm_stat, INDEX(Players!$A650:$P650, MATCH(V$2, Players!$A$1:$P$1, 0)), perc_75, VLOOKUP(V$2, Percentiles!$A$45:$I$59, 6, FALSE), perc_90, VLOOKUP(V$2, Percentiles!$A$45:$I$59, 7, FALSE), perc_95, VLOOKUP(V$2, Percentiles!$A$45:$I$59, 8, FALSE), perc_85, perc_75 + (perc_90 - perc_75) * (2/3), converted_stat, '2K_Ratings'!V651, IF(bbgm_stat &gt;= perc_95, converted_stat * 3, IF(bbgm_stat &gt;= perc_90, converted_stat * 2, IF(bbgm_stat &gt;= perc_85, converted_stat * 1.5, converted_stat)))))</f>
        <v/>
      </c>
      <c r="W651" s="30" t="str">
        <f t="array" ref="W651">IF($A651="", "", LET(bbgm_stat, INDEX(Players!$A650:$P650, MATCH(W$2, Players!$A$1:$P$1, 0)), perc_75, VLOOKUP(W$2, Percentiles!$A$45:$I$59, 6, FALSE), perc_90, VLOOKUP(W$2, Percentiles!$A$45:$I$59, 7, FALSE), perc_95, VLOOKUP(W$2, Percentiles!$A$45:$I$59, 8, FALSE), perc_85, perc_75 + (perc_90 - perc_75) * (2/3), converted_stat, '2K_Ratings'!W651, IF(bbgm_stat &gt;= perc_95, converted_stat * 3, IF(bbgm_stat &gt;= perc_90, converted_stat * 2, IF(bbgm_stat &gt;= perc_85, converted_stat * 1.5, converted_stat)))))</f>
        <v/>
      </c>
    </row>
    <row r="652">
      <c r="A652" s="30"/>
      <c r="B652" s="30" t="str">
        <f t="array" ref="B652">IF($A652="", "", LET(bbgm_stat, INDEX(Players!$A651:$P651, MATCH(B$2, Players!$A$1:$P$1, 0)), perc_75, VLOOKUP(B$2, Percentiles!$A$45:$I$59, 6, FALSE), perc_90, VLOOKUP(B$2, Percentiles!$A$45:$I$59, 7, FALSE), perc_95, VLOOKUP(B$2, Percentiles!$A$45:$I$59, 8, FALSE), perc_85, perc_75 + (perc_90 - perc_75) * (2/3), converted_stat, '2K_Ratings'!B652, IF(bbgm_stat &gt;= perc_95, converted_stat * 3, IF(bbgm_stat &gt;= perc_90, converted_stat * 2, IF(bbgm_stat &gt;= perc_85, converted_stat * 1.5, converted_stat)))))</f>
        <v/>
      </c>
      <c r="C652" s="30" t="str">
        <f t="array" ref="C652">IF($A652="", "", LET(bbgm_stat, INDEX(Players!$A651:$P651, MATCH(C$2, Players!$A$1:$P$1, 0)), perc_75, VLOOKUP(C$2, Percentiles!$A$45:$I$59, 6, FALSE), perc_90, VLOOKUP(C$2, Percentiles!$A$45:$I$59, 7, FALSE), perc_95, VLOOKUP(C$2, Percentiles!$A$45:$I$59, 8, FALSE), perc_85, perc_75 + (perc_90 - perc_75) * (2/3), converted_stat, '2K_Ratings'!C652, IF(bbgm_stat &gt;= perc_95, converted_stat * 3, IF(bbgm_stat &gt;= perc_90, converted_stat * 2, IF(bbgm_stat &gt;= perc_85, converted_stat * 1.5, converted_stat)))))</f>
        <v/>
      </c>
      <c r="D652" s="30" t="str">
        <f t="array" ref="D652">IF($A652="", "", LET(bbgm_stat, INDEX(Players!$A651:$P651, MATCH(D$2, Players!$A$1:$P$1, 0)), perc_75, VLOOKUP(D$2, Percentiles!$A$45:$I$59, 6, FALSE), perc_90, VLOOKUP(D$2, Percentiles!$A$45:$I$59, 7, FALSE), perc_95, VLOOKUP(D$2, Percentiles!$A$45:$I$59, 8, FALSE), perc_85, perc_75 + (perc_90 - perc_75) * (2/3), converted_stat, '2K_Ratings'!D652, IF(bbgm_stat &gt;= perc_95, converted_stat * 3, IF(bbgm_stat &gt;= perc_90, converted_stat * 2, IF(bbgm_stat &gt;= perc_85, converted_stat * 1.5, converted_stat)))))</f>
        <v/>
      </c>
      <c r="E652" s="30" t="str">
        <f t="array" ref="E652">IF($A652="", "", LET(bbgm_stat, INDEX(Players!$A651:$P651, MATCH(E$2, Players!$A$1:$P$1, 0)), perc_75, VLOOKUP(E$2, Percentiles!$A$45:$I$59, 6, FALSE), perc_90, VLOOKUP(E$2, Percentiles!$A$45:$I$59, 7, FALSE), perc_95, VLOOKUP(E$2, Percentiles!$A$45:$I$59, 8, FALSE), perc_85, perc_75 + (perc_90 - perc_75) * (2/3), converted_stat, '2K_Ratings'!E652, IF(bbgm_stat &gt;= perc_95, converted_stat * 3, IF(bbgm_stat &gt;= perc_90, converted_stat * 2, IF(bbgm_stat &gt;= perc_85, converted_stat * 1.5, converted_stat)))))</f>
        <v/>
      </c>
      <c r="F652" s="30" t="str">
        <f t="array" ref="F652">IF($A652="", "", LET(bbgm_stat, INDEX(Players!$A651:$P651, MATCH(F$2, Players!$A$1:$P$1, 0)), perc_75, VLOOKUP(F$2, Percentiles!$A$45:$I$59, 6, FALSE), perc_90, VLOOKUP(F$2, Percentiles!$A$45:$I$59, 7, FALSE), perc_95, VLOOKUP(F$2, Percentiles!$A$45:$I$59, 8, FALSE), perc_85, perc_75 + (perc_90 - perc_75) * (2/3), converted_stat, '2K_Ratings'!F652, IF(bbgm_stat &gt;= perc_95, converted_stat * 3, IF(bbgm_stat &gt;= perc_90, converted_stat * 2, IF(bbgm_stat &gt;= perc_85, converted_stat * 1.5, converted_stat)))))</f>
        <v/>
      </c>
      <c r="G652" s="30" t="str">
        <f t="array" ref="G652">IF($A652="", "", LET(bbgm_stat, INDEX(Players!$A651:$P651, MATCH(G$2, Players!$A$1:$P$1, 0)), perc_75, VLOOKUP(G$2, Percentiles!$A$45:$I$59, 6, FALSE), perc_90, VLOOKUP(G$2, Percentiles!$A$45:$I$59, 7, FALSE), perc_95, VLOOKUP(G$2, Percentiles!$A$45:$I$59, 8, FALSE), perc_85, perc_75 + (perc_90 - perc_75) * (2/3), converted_stat, '2K_Ratings'!G652, IF(bbgm_stat &gt;= perc_95, converted_stat * 3, IF(bbgm_stat &gt;= perc_90, converted_stat * 2, IF(bbgm_stat &gt;= perc_85, converted_stat * 1.5, converted_stat)))))</f>
        <v/>
      </c>
      <c r="H652" s="30" t="str">
        <f t="array" ref="H652">IF($A652="", "", LET(bbgm_stat, INDEX(Players!$A651:$P651, MATCH(H$2, Players!$A$1:$P$1, 0)), perc_75, VLOOKUP(H$2, Percentiles!$A$45:$I$59, 6, FALSE), perc_90, VLOOKUP(H$2, Percentiles!$A$45:$I$59, 7, FALSE), perc_95, VLOOKUP(H$2, Percentiles!$A$45:$I$59, 8, FALSE), perc_85, perc_75 + (perc_90 - perc_75) * (2/3), converted_stat, '2K_Ratings'!H652, IF(bbgm_stat &gt;= perc_95, converted_stat * 3, IF(bbgm_stat &gt;= perc_90, converted_stat * 2, IF(bbgm_stat &gt;= perc_85, converted_stat * 1.5, converted_stat)))))</f>
        <v/>
      </c>
      <c r="I652" s="30" t="str">
        <f t="array" ref="I652">IF($A652="", "", LET(bbgm_stat, INDEX(Players!$A651:$P651, MATCH(I$2, Players!$A$1:$P$1, 0)), perc_75, VLOOKUP(I$2, Percentiles!$A$45:$I$59, 6, FALSE), perc_90, VLOOKUP(I$2, Percentiles!$A$45:$I$59, 7, FALSE), perc_95, VLOOKUP(I$2, Percentiles!$A$45:$I$59, 8, FALSE), perc_85, perc_75 + (perc_90 - perc_75) * (2/3), converted_stat, '2K_Ratings'!I652, IF(bbgm_stat &gt;= perc_95, converted_stat * 3, IF(bbgm_stat &gt;= perc_90, converted_stat * 2, IF(bbgm_stat &gt;= perc_85, converted_stat * 1.5, converted_stat)))))</f>
        <v/>
      </c>
      <c r="J652" s="30" t="str">
        <f t="array" ref="J652">IF($A652="", "", LET(bbgm_stat, INDEX(Players!$A651:$P651, MATCH(J$2, Players!$A$1:$P$1, 0)), perc_75, VLOOKUP(J$2, Percentiles!$A$45:$I$59, 6, FALSE), perc_90, VLOOKUP(J$2, Percentiles!$A$45:$I$59, 7, FALSE), perc_95, VLOOKUP(J$2, Percentiles!$A$45:$I$59, 8, FALSE), perc_85, perc_75 + (perc_90 - perc_75) * (2/3), converted_stat, '2K_Ratings'!J652, IF(bbgm_stat &gt;= perc_95, converted_stat * 3, IF(bbgm_stat &gt;= perc_90, converted_stat * 2, IF(bbgm_stat &gt;= perc_85, converted_stat * 1.5, converted_stat)))))</f>
        <v/>
      </c>
      <c r="K652" s="30" t="str">
        <f t="array" ref="K652">IF($A652="", "", LET(bbgm_stat, INDEX(Players!$A651:$P651, MATCH(K$2, Players!$A$1:$P$1, 0)), perc_75, VLOOKUP(K$2, Percentiles!$A$45:$I$59, 6, FALSE), perc_90, VLOOKUP(K$2, Percentiles!$A$45:$I$59, 7, FALSE), perc_95, VLOOKUP(K$2, Percentiles!$A$45:$I$59, 8, FALSE), perc_85, perc_75 + (perc_90 - perc_75) * (2/3), converted_stat, '2K_Ratings'!K652, IF(bbgm_stat &gt;= perc_95, converted_stat * 3, IF(bbgm_stat &gt;= perc_90, converted_stat * 2, IF(bbgm_stat &gt;= perc_85, converted_stat * 1.5, converted_stat)))))</f>
        <v/>
      </c>
      <c r="L652" s="30" t="str">
        <f t="array" ref="L652">IF($A652="", "", LET(bbgm_stat, INDEX(Players!$A651:$P651, MATCH(L$2, Players!$A$1:$P$1, 0)), perc_75, VLOOKUP(L$2, Percentiles!$A$45:$I$59, 6, FALSE), perc_90, VLOOKUP(L$2, Percentiles!$A$45:$I$59, 7, FALSE), perc_95, VLOOKUP(L$2, Percentiles!$A$45:$I$59, 8, FALSE), perc_85, perc_75 + (perc_90 - perc_75) * (2/3), converted_stat, '2K_Ratings'!L652, IF(bbgm_stat &gt;= perc_95, converted_stat * 3, IF(bbgm_stat &gt;= perc_90, converted_stat * 2, IF(bbgm_stat &gt;= perc_85, converted_stat * 1.5, converted_stat)))))</f>
        <v/>
      </c>
      <c r="M652" s="30" t="str">
        <f t="array" ref="M652">IF($A652="", "", LET(bbgm_stat, INDEX(Players!$A651:$P651, MATCH(M$2, Players!$A$1:$P$1, 0)), perc_75, VLOOKUP(M$2, Percentiles!$A$45:$I$59, 6, FALSE), perc_90, VLOOKUP(M$2, Percentiles!$A$45:$I$59, 7, FALSE), perc_95, VLOOKUP(M$2, Percentiles!$A$45:$I$59, 8, FALSE), perc_85, perc_75 + (perc_90 - perc_75) * (2/3), converted_stat, '2K_Ratings'!M652, IF(bbgm_stat &gt;= perc_95, converted_stat * 3, IF(bbgm_stat &gt;= perc_90, converted_stat * 2, IF(bbgm_stat &gt;= perc_85, converted_stat * 1.5, converted_stat)))))</f>
        <v/>
      </c>
      <c r="N652" s="30" t="str">
        <f t="array" ref="N652">IF($A652="", "", LET(bbgm_stat, INDEX(Players!$A651:$P651, MATCH(N$2, Players!$A$1:$P$1, 0)), perc_75, VLOOKUP(N$2, Percentiles!$A$45:$I$59, 6, FALSE), perc_90, VLOOKUP(N$2, Percentiles!$A$45:$I$59, 7, FALSE), perc_95, VLOOKUP(N$2, Percentiles!$A$45:$I$59, 8, FALSE), perc_85, perc_75 + (perc_90 - perc_75) * (2/3), converted_stat, '2K_Ratings'!N652, IF(bbgm_stat &gt;= perc_95, converted_stat * 3, IF(bbgm_stat &gt;= perc_90, converted_stat * 2, IF(bbgm_stat &gt;= perc_85, converted_stat * 1.5, converted_stat)))))</f>
        <v/>
      </c>
      <c r="O652" s="30" t="str">
        <f t="array" ref="O652">IF($A652="", "", LET(bbgm_stat, INDEX(Players!$A651:$P651, MATCH(O$2, Players!$A$1:$P$1, 0)), perc_75, VLOOKUP(O$2, Percentiles!$A$45:$I$59, 6, FALSE), perc_90, VLOOKUP(O$2, Percentiles!$A$45:$I$59, 7, FALSE), perc_95, VLOOKUP(O$2, Percentiles!$A$45:$I$59, 8, FALSE), perc_85, perc_75 + (perc_90 - perc_75) * (2/3), converted_stat, '2K_Ratings'!O652, IF(bbgm_stat &gt;= perc_95, converted_stat * 3, IF(bbgm_stat &gt;= perc_90, converted_stat * 2, IF(bbgm_stat &gt;= perc_85, converted_stat * 1.5, converted_stat)))))</f>
        <v/>
      </c>
      <c r="P652" s="30" t="str">
        <f t="array" ref="P652">IF($A652="", "", LET(bbgm_stat, INDEX(Players!$A651:$P651, MATCH(P$2, Players!$A$1:$P$1, 0)), perc_75, VLOOKUP(P$2, Percentiles!$A$45:$I$59, 6, FALSE), perc_90, VLOOKUP(P$2, Percentiles!$A$45:$I$59, 7, FALSE), perc_95, VLOOKUP(P$2, Percentiles!$A$45:$I$59, 8, FALSE), perc_85, perc_75 + (perc_90 - perc_75) * (2/3), converted_stat, '2K_Ratings'!P652, IF(bbgm_stat &gt;= perc_95, converted_stat * 3, IF(bbgm_stat &gt;= perc_90, converted_stat * 2, IF(bbgm_stat &gt;= perc_85, converted_stat * 1.5, converted_stat)))))</f>
        <v/>
      </c>
      <c r="Q652" s="30" t="str">
        <f t="array" ref="Q652">IF($A652="", "", LET(bbgm_stat, INDEX(Players!$A651:$P651, MATCH(Q$2, Players!$A$1:$P$1, 0)), perc_75, VLOOKUP(Q$2, Percentiles!$A$45:$I$59, 6, FALSE), perc_90, VLOOKUP(Q$2, Percentiles!$A$45:$I$59, 7, FALSE), perc_95, VLOOKUP(Q$2, Percentiles!$A$45:$I$59, 8, FALSE), perc_85, perc_75 + (perc_90 - perc_75) * (2/3), converted_stat, '2K_Ratings'!Q652, IF(bbgm_stat &gt;= perc_95, converted_stat * 3, IF(bbgm_stat &gt;= perc_90, converted_stat * 2, IF(bbgm_stat &gt;= perc_85, converted_stat * 1.5, converted_stat)))))</f>
        <v/>
      </c>
      <c r="R652" s="30" t="str">
        <f t="array" ref="R652">IF($A652="", "", LET(bbgm_stat, INDEX(Players!$A651:$P651, MATCH(R$2, Players!$A$1:$P$1, 0)), perc_75, VLOOKUP(R$2, Percentiles!$A$45:$I$59, 6, FALSE), perc_90, VLOOKUP(R$2, Percentiles!$A$45:$I$59, 7, FALSE), perc_95, VLOOKUP(R$2, Percentiles!$A$45:$I$59, 8, FALSE), perc_85, perc_75 + (perc_90 - perc_75) * (2/3), converted_stat, '2K_Ratings'!R652, IF(bbgm_stat &gt;= perc_95, converted_stat * 3, IF(bbgm_stat &gt;= perc_90, converted_stat * 2, IF(bbgm_stat &gt;= perc_85, converted_stat * 1.5, converted_stat)))))</f>
        <v/>
      </c>
      <c r="S652" s="30" t="str">
        <f t="array" ref="S652">IF($A652="", "", LET(bbgm_stat, INDEX(Players!$A651:$P651, MATCH(S$2, Players!$A$1:$P$1, 0)), perc_75, VLOOKUP(S$2, Percentiles!$A$45:$I$59, 6, FALSE), perc_90, VLOOKUP(S$2, Percentiles!$A$45:$I$59, 7, FALSE), perc_95, VLOOKUP(S$2, Percentiles!$A$45:$I$59, 8, FALSE), perc_85, perc_75 + (perc_90 - perc_75) * (2/3), converted_stat, '2K_Ratings'!S652, IF(bbgm_stat &gt;= perc_95, converted_stat * 3, IF(bbgm_stat &gt;= perc_90, converted_stat * 2, IF(bbgm_stat &gt;= perc_85, converted_stat * 1.5, converted_stat)))))</f>
        <v/>
      </c>
      <c r="T652" s="30" t="str">
        <f t="array" ref="T652">IF($A652="", "", LET(bbgm_stat, INDEX(Players!$A651:$P651, MATCH(T$2, Players!$A$1:$P$1, 0)), perc_75, VLOOKUP(T$2, Percentiles!$A$45:$I$59, 6, FALSE), perc_90, VLOOKUP(T$2, Percentiles!$A$45:$I$59, 7, FALSE), perc_95, VLOOKUP(T$2, Percentiles!$A$45:$I$59, 8, FALSE), perc_85, perc_75 + (perc_90 - perc_75) * (2/3), converted_stat, '2K_Ratings'!T652, IF(bbgm_stat &gt;= perc_95, converted_stat * 3, IF(bbgm_stat &gt;= perc_90, converted_stat * 2, IF(bbgm_stat &gt;= perc_85, converted_stat * 1.5, converted_stat)))))</f>
        <v/>
      </c>
      <c r="U652" s="30" t="str">
        <f t="array" ref="U652">IF($A652="", "", LET(bbgm_stat, INDEX(Players!$A651:$P651, MATCH(U$2, Players!$A$1:$P$1, 0)), perc_75, VLOOKUP(U$2, Percentiles!$A$45:$I$59, 6, FALSE), perc_90, VLOOKUP(U$2, Percentiles!$A$45:$I$59, 7, FALSE), perc_95, VLOOKUP(U$2, Percentiles!$A$45:$I$59, 8, FALSE), perc_85, perc_75 + (perc_90 - perc_75) * (2/3), converted_stat, '2K_Ratings'!U652, IF(bbgm_stat &gt;= perc_95, converted_stat * 3, IF(bbgm_stat &gt;= perc_90, converted_stat * 2, IF(bbgm_stat &gt;= perc_85, converted_stat * 1.5, converted_stat)))))</f>
        <v/>
      </c>
      <c r="V652" s="30" t="str">
        <f t="array" ref="V652">IF($A652="", "", LET(bbgm_stat, INDEX(Players!$A651:$P651, MATCH(V$2, Players!$A$1:$P$1, 0)), perc_75, VLOOKUP(V$2, Percentiles!$A$45:$I$59, 6, FALSE), perc_90, VLOOKUP(V$2, Percentiles!$A$45:$I$59, 7, FALSE), perc_95, VLOOKUP(V$2, Percentiles!$A$45:$I$59, 8, FALSE), perc_85, perc_75 + (perc_90 - perc_75) * (2/3), converted_stat, '2K_Ratings'!V652, IF(bbgm_stat &gt;= perc_95, converted_stat * 3, IF(bbgm_stat &gt;= perc_90, converted_stat * 2, IF(bbgm_stat &gt;= perc_85, converted_stat * 1.5, converted_stat)))))</f>
        <v/>
      </c>
      <c r="W652" s="30" t="str">
        <f t="array" ref="W652">IF($A652="", "", LET(bbgm_stat, INDEX(Players!$A651:$P651, MATCH(W$2, Players!$A$1:$P$1, 0)), perc_75, VLOOKUP(W$2, Percentiles!$A$45:$I$59, 6, FALSE), perc_90, VLOOKUP(W$2, Percentiles!$A$45:$I$59, 7, FALSE), perc_95, VLOOKUP(W$2, Percentiles!$A$45:$I$59, 8, FALSE), perc_85, perc_75 + (perc_90 - perc_75) * (2/3), converted_stat, '2K_Ratings'!W652, IF(bbgm_stat &gt;= perc_95, converted_stat * 3, IF(bbgm_stat &gt;= perc_90, converted_stat * 2, IF(bbgm_stat &gt;= perc_85, converted_stat * 1.5, converted_stat)))))</f>
        <v/>
      </c>
    </row>
    <row r="653">
      <c r="A653" s="30"/>
      <c r="B653" s="30" t="str">
        <f t="array" ref="B653">IF($A653="", "", LET(bbgm_stat, INDEX(Players!$A652:$P652, MATCH(B$2, Players!$A$1:$P$1, 0)), perc_75, VLOOKUP(B$2, Percentiles!$A$45:$I$59, 6, FALSE), perc_90, VLOOKUP(B$2, Percentiles!$A$45:$I$59, 7, FALSE), perc_95, VLOOKUP(B$2, Percentiles!$A$45:$I$59, 8, FALSE), perc_85, perc_75 + (perc_90 - perc_75) * (2/3), converted_stat, '2K_Ratings'!B653, IF(bbgm_stat &gt;= perc_95, converted_stat * 3, IF(bbgm_stat &gt;= perc_90, converted_stat * 2, IF(bbgm_stat &gt;= perc_85, converted_stat * 1.5, converted_stat)))))</f>
        <v/>
      </c>
      <c r="C653" s="30" t="str">
        <f t="array" ref="C653">IF($A653="", "", LET(bbgm_stat, INDEX(Players!$A652:$P652, MATCH(C$2, Players!$A$1:$P$1, 0)), perc_75, VLOOKUP(C$2, Percentiles!$A$45:$I$59, 6, FALSE), perc_90, VLOOKUP(C$2, Percentiles!$A$45:$I$59, 7, FALSE), perc_95, VLOOKUP(C$2, Percentiles!$A$45:$I$59, 8, FALSE), perc_85, perc_75 + (perc_90 - perc_75) * (2/3), converted_stat, '2K_Ratings'!C653, IF(bbgm_stat &gt;= perc_95, converted_stat * 3, IF(bbgm_stat &gt;= perc_90, converted_stat * 2, IF(bbgm_stat &gt;= perc_85, converted_stat * 1.5, converted_stat)))))</f>
        <v/>
      </c>
      <c r="D653" s="30" t="str">
        <f t="array" ref="D653">IF($A653="", "", LET(bbgm_stat, INDEX(Players!$A652:$P652, MATCH(D$2, Players!$A$1:$P$1, 0)), perc_75, VLOOKUP(D$2, Percentiles!$A$45:$I$59, 6, FALSE), perc_90, VLOOKUP(D$2, Percentiles!$A$45:$I$59, 7, FALSE), perc_95, VLOOKUP(D$2, Percentiles!$A$45:$I$59, 8, FALSE), perc_85, perc_75 + (perc_90 - perc_75) * (2/3), converted_stat, '2K_Ratings'!D653, IF(bbgm_stat &gt;= perc_95, converted_stat * 3, IF(bbgm_stat &gt;= perc_90, converted_stat * 2, IF(bbgm_stat &gt;= perc_85, converted_stat * 1.5, converted_stat)))))</f>
        <v/>
      </c>
      <c r="E653" s="30" t="str">
        <f t="array" ref="E653">IF($A653="", "", LET(bbgm_stat, INDEX(Players!$A652:$P652, MATCH(E$2, Players!$A$1:$P$1, 0)), perc_75, VLOOKUP(E$2, Percentiles!$A$45:$I$59, 6, FALSE), perc_90, VLOOKUP(E$2, Percentiles!$A$45:$I$59, 7, FALSE), perc_95, VLOOKUP(E$2, Percentiles!$A$45:$I$59, 8, FALSE), perc_85, perc_75 + (perc_90 - perc_75) * (2/3), converted_stat, '2K_Ratings'!E653, IF(bbgm_stat &gt;= perc_95, converted_stat * 3, IF(bbgm_stat &gt;= perc_90, converted_stat * 2, IF(bbgm_stat &gt;= perc_85, converted_stat * 1.5, converted_stat)))))</f>
        <v/>
      </c>
      <c r="F653" s="30" t="str">
        <f t="array" ref="F653">IF($A653="", "", LET(bbgm_stat, INDEX(Players!$A652:$P652, MATCH(F$2, Players!$A$1:$P$1, 0)), perc_75, VLOOKUP(F$2, Percentiles!$A$45:$I$59, 6, FALSE), perc_90, VLOOKUP(F$2, Percentiles!$A$45:$I$59, 7, FALSE), perc_95, VLOOKUP(F$2, Percentiles!$A$45:$I$59, 8, FALSE), perc_85, perc_75 + (perc_90 - perc_75) * (2/3), converted_stat, '2K_Ratings'!F653, IF(bbgm_stat &gt;= perc_95, converted_stat * 3, IF(bbgm_stat &gt;= perc_90, converted_stat * 2, IF(bbgm_stat &gt;= perc_85, converted_stat * 1.5, converted_stat)))))</f>
        <v/>
      </c>
      <c r="G653" s="30" t="str">
        <f t="array" ref="G653">IF($A653="", "", LET(bbgm_stat, INDEX(Players!$A652:$P652, MATCH(G$2, Players!$A$1:$P$1, 0)), perc_75, VLOOKUP(G$2, Percentiles!$A$45:$I$59, 6, FALSE), perc_90, VLOOKUP(G$2, Percentiles!$A$45:$I$59, 7, FALSE), perc_95, VLOOKUP(G$2, Percentiles!$A$45:$I$59, 8, FALSE), perc_85, perc_75 + (perc_90 - perc_75) * (2/3), converted_stat, '2K_Ratings'!G653, IF(bbgm_stat &gt;= perc_95, converted_stat * 3, IF(bbgm_stat &gt;= perc_90, converted_stat * 2, IF(bbgm_stat &gt;= perc_85, converted_stat * 1.5, converted_stat)))))</f>
        <v/>
      </c>
      <c r="H653" s="30" t="str">
        <f t="array" ref="H653">IF($A653="", "", LET(bbgm_stat, INDEX(Players!$A652:$P652, MATCH(H$2, Players!$A$1:$P$1, 0)), perc_75, VLOOKUP(H$2, Percentiles!$A$45:$I$59, 6, FALSE), perc_90, VLOOKUP(H$2, Percentiles!$A$45:$I$59, 7, FALSE), perc_95, VLOOKUP(H$2, Percentiles!$A$45:$I$59, 8, FALSE), perc_85, perc_75 + (perc_90 - perc_75) * (2/3), converted_stat, '2K_Ratings'!H653, IF(bbgm_stat &gt;= perc_95, converted_stat * 3, IF(bbgm_stat &gt;= perc_90, converted_stat * 2, IF(bbgm_stat &gt;= perc_85, converted_stat * 1.5, converted_stat)))))</f>
        <v/>
      </c>
      <c r="I653" s="30" t="str">
        <f t="array" ref="I653">IF($A653="", "", LET(bbgm_stat, INDEX(Players!$A652:$P652, MATCH(I$2, Players!$A$1:$P$1, 0)), perc_75, VLOOKUP(I$2, Percentiles!$A$45:$I$59, 6, FALSE), perc_90, VLOOKUP(I$2, Percentiles!$A$45:$I$59, 7, FALSE), perc_95, VLOOKUP(I$2, Percentiles!$A$45:$I$59, 8, FALSE), perc_85, perc_75 + (perc_90 - perc_75) * (2/3), converted_stat, '2K_Ratings'!I653, IF(bbgm_stat &gt;= perc_95, converted_stat * 3, IF(bbgm_stat &gt;= perc_90, converted_stat * 2, IF(bbgm_stat &gt;= perc_85, converted_stat * 1.5, converted_stat)))))</f>
        <v/>
      </c>
      <c r="J653" s="30" t="str">
        <f t="array" ref="J653">IF($A653="", "", LET(bbgm_stat, INDEX(Players!$A652:$P652, MATCH(J$2, Players!$A$1:$P$1, 0)), perc_75, VLOOKUP(J$2, Percentiles!$A$45:$I$59, 6, FALSE), perc_90, VLOOKUP(J$2, Percentiles!$A$45:$I$59, 7, FALSE), perc_95, VLOOKUP(J$2, Percentiles!$A$45:$I$59, 8, FALSE), perc_85, perc_75 + (perc_90 - perc_75) * (2/3), converted_stat, '2K_Ratings'!J653, IF(bbgm_stat &gt;= perc_95, converted_stat * 3, IF(bbgm_stat &gt;= perc_90, converted_stat * 2, IF(bbgm_stat &gt;= perc_85, converted_stat * 1.5, converted_stat)))))</f>
        <v/>
      </c>
      <c r="K653" s="30" t="str">
        <f t="array" ref="K653">IF($A653="", "", LET(bbgm_stat, INDEX(Players!$A652:$P652, MATCH(K$2, Players!$A$1:$P$1, 0)), perc_75, VLOOKUP(K$2, Percentiles!$A$45:$I$59, 6, FALSE), perc_90, VLOOKUP(K$2, Percentiles!$A$45:$I$59, 7, FALSE), perc_95, VLOOKUP(K$2, Percentiles!$A$45:$I$59, 8, FALSE), perc_85, perc_75 + (perc_90 - perc_75) * (2/3), converted_stat, '2K_Ratings'!K653, IF(bbgm_stat &gt;= perc_95, converted_stat * 3, IF(bbgm_stat &gt;= perc_90, converted_stat * 2, IF(bbgm_stat &gt;= perc_85, converted_stat * 1.5, converted_stat)))))</f>
        <v/>
      </c>
      <c r="L653" s="30" t="str">
        <f t="array" ref="L653">IF($A653="", "", LET(bbgm_stat, INDEX(Players!$A652:$P652, MATCH(L$2, Players!$A$1:$P$1, 0)), perc_75, VLOOKUP(L$2, Percentiles!$A$45:$I$59, 6, FALSE), perc_90, VLOOKUP(L$2, Percentiles!$A$45:$I$59, 7, FALSE), perc_95, VLOOKUP(L$2, Percentiles!$A$45:$I$59, 8, FALSE), perc_85, perc_75 + (perc_90 - perc_75) * (2/3), converted_stat, '2K_Ratings'!L653, IF(bbgm_stat &gt;= perc_95, converted_stat * 3, IF(bbgm_stat &gt;= perc_90, converted_stat * 2, IF(bbgm_stat &gt;= perc_85, converted_stat * 1.5, converted_stat)))))</f>
        <v/>
      </c>
      <c r="M653" s="30" t="str">
        <f t="array" ref="M653">IF($A653="", "", LET(bbgm_stat, INDEX(Players!$A652:$P652, MATCH(M$2, Players!$A$1:$P$1, 0)), perc_75, VLOOKUP(M$2, Percentiles!$A$45:$I$59, 6, FALSE), perc_90, VLOOKUP(M$2, Percentiles!$A$45:$I$59, 7, FALSE), perc_95, VLOOKUP(M$2, Percentiles!$A$45:$I$59, 8, FALSE), perc_85, perc_75 + (perc_90 - perc_75) * (2/3), converted_stat, '2K_Ratings'!M653, IF(bbgm_stat &gt;= perc_95, converted_stat * 3, IF(bbgm_stat &gt;= perc_90, converted_stat * 2, IF(bbgm_stat &gt;= perc_85, converted_stat * 1.5, converted_stat)))))</f>
        <v/>
      </c>
      <c r="N653" s="30" t="str">
        <f t="array" ref="N653">IF($A653="", "", LET(bbgm_stat, INDEX(Players!$A652:$P652, MATCH(N$2, Players!$A$1:$P$1, 0)), perc_75, VLOOKUP(N$2, Percentiles!$A$45:$I$59, 6, FALSE), perc_90, VLOOKUP(N$2, Percentiles!$A$45:$I$59, 7, FALSE), perc_95, VLOOKUP(N$2, Percentiles!$A$45:$I$59, 8, FALSE), perc_85, perc_75 + (perc_90 - perc_75) * (2/3), converted_stat, '2K_Ratings'!N653, IF(bbgm_stat &gt;= perc_95, converted_stat * 3, IF(bbgm_stat &gt;= perc_90, converted_stat * 2, IF(bbgm_stat &gt;= perc_85, converted_stat * 1.5, converted_stat)))))</f>
        <v/>
      </c>
      <c r="O653" s="30" t="str">
        <f t="array" ref="O653">IF($A653="", "", LET(bbgm_stat, INDEX(Players!$A652:$P652, MATCH(O$2, Players!$A$1:$P$1, 0)), perc_75, VLOOKUP(O$2, Percentiles!$A$45:$I$59, 6, FALSE), perc_90, VLOOKUP(O$2, Percentiles!$A$45:$I$59, 7, FALSE), perc_95, VLOOKUP(O$2, Percentiles!$A$45:$I$59, 8, FALSE), perc_85, perc_75 + (perc_90 - perc_75) * (2/3), converted_stat, '2K_Ratings'!O653, IF(bbgm_stat &gt;= perc_95, converted_stat * 3, IF(bbgm_stat &gt;= perc_90, converted_stat * 2, IF(bbgm_stat &gt;= perc_85, converted_stat * 1.5, converted_stat)))))</f>
        <v/>
      </c>
      <c r="P653" s="30" t="str">
        <f t="array" ref="P653">IF($A653="", "", LET(bbgm_stat, INDEX(Players!$A652:$P652, MATCH(P$2, Players!$A$1:$P$1, 0)), perc_75, VLOOKUP(P$2, Percentiles!$A$45:$I$59, 6, FALSE), perc_90, VLOOKUP(P$2, Percentiles!$A$45:$I$59, 7, FALSE), perc_95, VLOOKUP(P$2, Percentiles!$A$45:$I$59, 8, FALSE), perc_85, perc_75 + (perc_90 - perc_75) * (2/3), converted_stat, '2K_Ratings'!P653, IF(bbgm_stat &gt;= perc_95, converted_stat * 3, IF(bbgm_stat &gt;= perc_90, converted_stat * 2, IF(bbgm_stat &gt;= perc_85, converted_stat * 1.5, converted_stat)))))</f>
        <v/>
      </c>
      <c r="Q653" s="30" t="str">
        <f t="array" ref="Q653">IF($A653="", "", LET(bbgm_stat, INDEX(Players!$A652:$P652, MATCH(Q$2, Players!$A$1:$P$1, 0)), perc_75, VLOOKUP(Q$2, Percentiles!$A$45:$I$59, 6, FALSE), perc_90, VLOOKUP(Q$2, Percentiles!$A$45:$I$59, 7, FALSE), perc_95, VLOOKUP(Q$2, Percentiles!$A$45:$I$59, 8, FALSE), perc_85, perc_75 + (perc_90 - perc_75) * (2/3), converted_stat, '2K_Ratings'!Q653, IF(bbgm_stat &gt;= perc_95, converted_stat * 3, IF(bbgm_stat &gt;= perc_90, converted_stat * 2, IF(bbgm_stat &gt;= perc_85, converted_stat * 1.5, converted_stat)))))</f>
        <v/>
      </c>
      <c r="R653" s="30" t="str">
        <f t="array" ref="R653">IF($A653="", "", LET(bbgm_stat, INDEX(Players!$A652:$P652, MATCH(R$2, Players!$A$1:$P$1, 0)), perc_75, VLOOKUP(R$2, Percentiles!$A$45:$I$59, 6, FALSE), perc_90, VLOOKUP(R$2, Percentiles!$A$45:$I$59, 7, FALSE), perc_95, VLOOKUP(R$2, Percentiles!$A$45:$I$59, 8, FALSE), perc_85, perc_75 + (perc_90 - perc_75) * (2/3), converted_stat, '2K_Ratings'!R653, IF(bbgm_stat &gt;= perc_95, converted_stat * 3, IF(bbgm_stat &gt;= perc_90, converted_stat * 2, IF(bbgm_stat &gt;= perc_85, converted_stat * 1.5, converted_stat)))))</f>
        <v/>
      </c>
      <c r="S653" s="30" t="str">
        <f t="array" ref="S653">IF($A653="", "", LET(bbgm_stat, INDEX(Players!$A652:$P652, MATCH(S$2, Players!$A$1:$P$1, 0)), perc_75, VLOOKUP(S$2, Percentiles!$A$45:$I$59, 6, FALSE), perc_90, VLOOKUP(S$2, Percentiles!$A$45:$I$59, 7, FALSE), perc_95, VLOOKUP(S$2, Percentiles!$A$45:$I$59, 8, FALSE), perc_85, perc_75 + (perc_90 - perc_75) * (2/3), converted_stat, '2K_Ratings'!S653, IF(bbgm_stat &gt;= perc_95, converted_stat * 3, IF(bbgm_stat &gt;= perc_90, converted_stat * 2, IF(bbgm_stat &gt;= perc_85, converted_stat * 1.5, converted_stat)))))</f>
        <v/>
      </c>
      <c r="T653" s="30" t="str">
        <f t="array" ref="T653">IF($A653="", "", LET(bbgm_stat, INDEX(Players!$A652:$P652, MATCH(T$2, Players!$A$1:$P$1, 0)), perc_75, VLOOKUP(T$2, Percentiles!$A$45:$I$59, 6, FALSE), perc_90, VLOOKUP(T$2, Percentiles!$A$45:$I$59, 7, FALSE), perc_95, VLOOKUP(T$2, Percentiles!$A$45:$I$59, 8, FALSE), perc_85, perc_75 + (perc_90 - perc_75) * (2/3), converted_stat, '2K_Ratings'!T653, IF(bbgm_stat &gt;= perc_95, converted_stat * 3, IF(bbgm_stat &gt;= perc_90, converted_stat * 2, IF(bbgm_stat &gt;= perc_85, converted_stat * 1.5, converted_stat)))))</f>
        <v/>
      </c>
      <c r="U653" s="30" t="str">
        <f t="array" ref="U653">IF($A653="", "", LET(bbgm_stat, INDEX(Players!$A652:$P652, MATCH(U$2, Players!$A$1:$P$1, 0)), perc_75, VLOOKUP(U$2, Percentiles!$A$45:$I$59, 6, FALSE), perc_90, VLOOKUP(U$2, Percentiles!$A$45:$I$59, 7, FALSE), perc_95, VLOOKUP(U$2, Percentiles!$A$45:$I$59, 8, FALSE), perc_85, perc_75 + (perc_90 - perc_75) * (2/3), converted_stat, '2K_Ratings'!U653, IF(bbgm_stat &gt;= perc_95, converted_stat * 3, IF(bbgm_stat &gt;= perc_90, converted_stat * 2, IF(bbgm_stat &gt;= perc_85, converted_stat * 1.5, converted_stat)))))</f>
        <v/>
      </c>
      <c r="V653" s="30" t="str">
        <f t="array" ref="V653">IF($A653="", "", LET(bbgm_stat, INDEX(Players!$A652:$P652, MATCH(V$2, Players!$A$1:$P$1, 0)), perc_75, VLOOKUP(V$2, Percentiles!$A$45:$I$59, 6, FALSE), perc_90, VLOOKUP(V$2, Percentiles!$A$45:$I$59, 7, FALSE), perc_95, VLOOKUP(V$2, Percentiles!$A$45:$I$59, 8, FALSE), perc_85, perc_75 + (perc_90 - perc_75) * (2/3), converted_stat, '2K_Ratings'!V653, IF(bbgm_stat &gt;= perc_95, converted_stat * 3, IF(bbgm_stat &gt;= perc_90, converted_stat * 2, IF(bbgm_stat &gt;= perc_85, converted_stat * 1.5, converted_stat)))))</f>
        <v/>
      </c>
      <c r="W653" s="30" t="str">
        <f t="array" ref="W653">IF($A653="", "", LET(bbgm_stat, INDEX(Players!$A652:$P652, MATCH(W$2, Players!$A$1:$P$1, 0)), perc_75, VLOOKUP(W$2, Percentiles!$A$45:$I$59, 6, FALSE), perc_90, VLOOKUP(W$2, Percentiles!$A$45:$I$59, 7, FALSE), perc_95, VLOOKUP(W$2, Percentiles!$A$45:$I$59, 8, FALSE), perc_85, perc_75 + (perc_90 - perc_75) * (2/3), converted_stat, '2K_Ratings'!W653, IF(bbgm_stat &gt;= perc_95, converted_stat * 3, IF(bbgm_stat &gt;= perc_90, converted_stat * 2, IF(bbgm_stat &gt;= perc_85, converted_stat * 1.5, converted_stat)))))</f>
        <v/>
      </c>
    </row>
    <row r="654">
      <c r="A654" s="30"/>
      <c r="B654" s="30" t="str">
        <f t="array" ref="B654">IF($A654="", "", LET(bbgm_stat, INDEX(Players!$A653:$P653, MATCH(B$2, Players!$A$1:$P$1, 0)), perc_75, VLOOKUP(B$2, Percentiles!$A$45:$I$59, 6, FALSE), perc_90, VLOOKUP(B$2, Percentiles!$A$45:$I$59, 7, FALSE), perc_95, VLOOKUP(B$2, Percentiles!$A$45:$I$59, 8, FALSE), perc_85, perc_75 + (perc_90 - perc_75) * (2/3), converted_stat, '2K_Ratings'!B654, IF(bbgm_stat &gt;= perc_95, converted_stat * 3, IF(bbgm_stat &gt;= perc_90, converted_stat * 2, IF(bbgm_stat &gt;= perc_85, converted_stat * 1.5, converted_stat)))))</f>
        <v/>
      </c>
      <c r="C654" s="30" t="str">
        <f t="array" ref="C654">IF($A654="", "", LET(bbgm_stat, INDEX(Players!$A653:$P653, MATCH(C$2, Players!$A$1:$P$1, 0)), perc_75, VLOOKUP(C$2, Percentiles!$A$45:$I$59, 6, FALSE), perc_90, VLOOKUP(C$2, Percentiles!$A$45:$I$59, 7, FALSE), perc_95, VLOOKUP(C$2, Percentiles!$A$45:$I$59, 8, FALSE), perc_85, perc_75 + (perc_90 - perc_75) * (2/3), converted_stat, '2K_Ratings'!C654, IF(bbgm_stat &gt;= perc_95, converted_stat * 3, IF(bbgm_stat &gt;= perc_90, converted_stat * 2, IF(bbgm_stat &gt;= perc_85, converted_stat * 1.5, converted_stat)))))</f>
        <v/>
      </c>
      <c r="D654" s="30" t="str">
        <f t="array" ref="D654">IF($A654="", "", LET(bbgm_stat, INDEX(Players!$A653:$P653, MATCH(D$2, Players!$A$1:$P$1, 0)), perc_75, VLOOKUP(D$2, Percentiles!$A$45:$I$59, 6, FALSE), perc_90, VLOOKUP(D$2, Percentiles!$A$45:$I$59, 7, FALSE), perc_95, VLOOKUP(D$2, Percentiles!$A$45:$I$59, 8, FALSE), perc_85, perc_75 + (perc_90 - perc_75) * (2/3), converted_stat, '2K_Ratings'!D654, IF(bbgm_stat &gt;= perc_95, converted_stat * 3, IF(bbgm_stat &gt;= perc_90, converted_stat * 2, IF(bbgm_stat &gt;= perc_85, converted_stat * 1.5, converted_stat)))))</f>
        <v/>
      </c>
      <c r="E654" s="30" t="str">
        <f t="array" ref="E654">IF($A654="", "", LET(bbgm_stat, INDEX(Players!$A653:$P653, MATCH(E$2, Players!$A$1:$P$1, 0)), perc_75, VLOOKUP(E$2, Percentiles!$A$45:$I$59, 6, FALSE), perc_90, VLOOKUP(E$2, Percentiles!$A$45:$I$59, 7, FALSE), perc_95, VLOOKUP(E$2, Percentiles!$A$45:$I$59, 8, FALSE), perc_85, perc_75 + (perc_90 - perc_75) * (2/3), converted_stat, '2K_Ratings'!E654, IF(bbgm_stat &gt;= perc_95, converted_stat * 3, IF(bbgm_stat &gt;= perc_90, converted_stat * 2, IF(bbgm_stat &gt;= perc_85, converted_stat * 1.5, converted_stat)))))</f>
        <v/>
      </c>
      <c r="F654" s="30" t="str">
        <f t="array" ref="F654">IF($A654="", "", LET(bbgm_stat, INDEX(Players!$A653:$P653, MATCH(F$2, Players!$A$1:$P$1, 0)), perc_75, VLOOKUP(F$2, Percentiles!$A$45:$I$59, 6, FALSE), perc_90, VLOOKUP(F$2, Percentiles!$A$45:$I$59, 7, FALSE), perc_95, VLOOKUP(F$2, Percentiles!$A$45:$I$59, 8, FALSE), perc_85, perc_75 + (perc_90 - perc_75) * (2/3), converted_stat, '2K_Ratings'!F654, IF(bbgm_stat &gt;= perc_95, converted_stat * 3, IF(bbgm_stat &gt;= perc_90, converted_stat * 2, IF(bbgm_stat &gt;= perc_85, converted_stat * 1.5, converted_stat)))))</f>
        <v/>
      </c>
      <c r="G654" s="30" t="str">
        <f t="array" ref="G654">IF($A654="", "", LET(bbgm_stat, INDEX(Players!$A653:$P653, MATCH(G$2, Players!$A$1:$P$1, 0)), perc_75, VLOOKUP(G$2, Percentiles!$A$45:$I$59, 6, FALSE), perc_90, VLOOKUP(G$2, Percentiles!$A$45:$I$59, 7, FALSE), perc_95, VLOOKUP(G$2, Percentiles!$A$45:$I$59, 8, FALSE), perc_85, perc_75 + (perc_90 - perc_75) * (2/3), converted_stat, '2K_Ratings'!G654, IF(bbgm_stat &gt;= perc_95, converted_stat * 3, IF(bbgm_stat &gt;= perc_90, converted_stat * 2, IF(bbgm_stat &gt;= perc_85, converted_stat * 1.5, converted_stat)))))</f>
        <v/>
      </c>
      <c r="H654" s="30" t="str">
        <f t="array" ref="H654">IF($A654="", "", LET(bbgm_stat, INDEX(Players!$A653:$P653, MATCH(H$2, Players!$A$1:$P$1, 0)), perc_75, VLOOKUP(H$2, Percentiles!$A$45:$I$59, 6, FALSE), perc_90, VLOOKUP(H$2, Percentiles!$A$45:$I$59, 7, FALSE), perc_95, VLOOKUP(H$2, Percentiles!$A$45:$I$59, 8, FALSE), perc_85, perc_75 + (perc_90 - perc_75) * (2/3), converted_stat, '2K_Ratings'!H654, IF(bbgm_stat &gt;= perc_95, converted_stat * 3, IF(bbgm_stat &gt;= perc_90, converted_stat * 2, IF(bbgm_stat &gt;= perc_85, converted_stat * 1.5, converted_stat)))))</f>
        <v/>
      </c>
      <c r="I654" s="30" t="str">
        <f t="array" ref="I654">IF($A654="", "", LET(bbgm_stat, INDEX(Players!$A653:$P653, MATCH(I$2, Players!$A$1:$P$1, 0)), perc_75, VLOOKUP(I$2, Percentiles!$A$45:$I$59, 6, FALSE), perc_90, VLOOKUP(I$2, Percentiles!$A$45:$I$59, 7, FALSE), perc_95, VLOOKUP(I$2, Percentiles!$A$45:$I$59, 8, FALSE), perc_85, perc_75 + (perc_90 - perc_75) * (2/3), converted_stat, '2K_Ratings'!I654, IF(bbgm_stat &gt;= perc_95, converted_stat * 3, IF(bbgm_stat &gt;= perc_90, converted_stat * 2, IF(bbgm_stat &gt;= perc_85, converted_stat * 1.5, converted_stat)))))</f>
        <v/>
      </c>
      <c r="J654" s="30" t="str">
        <f t="array" ref="J654">IF($A654="", "", LET(bbgm_stat, INDEX(Players!$A653:$P653, MATCH(J$2, Players!$A$1:$P$1, 0)), perc_75, VLOOKUP(J$2, Percentiles!$A$45:$I$59, 6, FALSE), perc_90, VLOOKUP(J$2, Percentiles!$A$45:$I$59, 7, FALSE), perc_95, VLOOKUP(J$2, Percentiles!$A$45:$I$59, 8, FALSE), perc_85, perc_75 + (perc_90 - perc_75) * (2/3), converted_stat, '2K_Ratings'!J654, IF(bbgm_stat &gt;= perc_95, converted_stat * 3, IF(bbgm_stat &gt;= perc_90, converted_stat * 2, IF(bbgm_stat &gt;= perc_85, converted_stat * 1.5, converted_stat)))))</f>
        <v/>
      </c>
      <c r="K654" s="30" t="str">
        <f t="array" ref="K654">IF($A654="", "", LET(bbgm_stat, INDEX(Players!$A653:$P653, MATCH(K$2, Players!$A$1:$P$1, 0)), perc_75, VLOOKUP(K$2, Percentiles!$A$45:$I$59, 6, FALSE), perc_90, VLOOKUP(K$2, Percentiles!$A$45:$I$59, 7, FALSE), perc_95, VLOOKUP(K$2, Percentiles!$A$45:$I$59, 8, FALSE), perc_85, perc_75 + (perc_90 - perc_75) * (2/3), converted_stat, '2K_Ratings'!K654, IF(bbgm_stat &gt;= perc_95, converted_stat * 3, IF(bbgm_stat &gt;= perc_90, converted_stat * 2, IF(bbgm_stat &gt;= perc_85, converted_stat * 1.5, converted_stat)))))</f>
        <v/>
      </c>
      <c r="L654" s="30" t="str">
        <f t="array" ref="L654">IF($A654="", "", LET(bbgm_stat, INDEX(Players!$A653:$P653, MATCH(L$2, Players!$A$1:$P$1, 0)), perc_75, VLOOKUP(L$2, Percentiles!$A$45:$I$59, 6, FALSE), perc_90, VLOOKUP(L$2, Percentiles!$A$45:$I$59, 7, FALSE), perc_95, VLOOKUP(L$2, Percentiles!$A$45:$I$59, 8, FALSE), perc_85, perc_75 + (perc_90 - perc_75) * (2/3), converted_stat, '2K_Ratings'!L654, IF(bbgm_stat &gt;= perc_95, converted_stat * 3, IF(bbgm_stat &gt;= perc_90, converted_stat * 2, IF(bbgm_stat &gt;= perc_85, converted_stat * 1.5, converted_stat)))))</f>
        <v/>
      </c>
      <c r="M654" s="30" t="str">
        <f t="array" ref="M654">IF($A654="", "", LET(bbgm_stat, INDEX(Players!$A653:$P653, MATCH(M$2, Players!$A$1:$P$1, 0)), perc_75, VLOOKUP(M$2, Percentiles!$A$45:$I$59, 6, FALSE), perc_90, VLOOKUP(M$2, Percentiles!$A$45:$I$59, 7, FALSE), perc_95, VLOOKUP(M$2, Percentiles!$A$45:$I$59, 8, FALSE), perc_85, perc_75 + (perc_90 - perc_75) * (2/3), converted_stat, '2K_Ratings'!M654, IF(bbgm_stat &gt;= perc_95, converted_stat * 3, IF(bbgm_stat &gt;= perc_90, converted_stat * 2, IF(bbgm_stat &gt;= perc_85, converted_stat * 1.5, converted_stat)))))</f>
        <v/>
      </c>
      <c r="N654" s="30" t="str">
        <f t="array" ref="N654">IF($A654="", "", LET(bbgm_stat, INDEX(Players!$A653:$P653, MATCH(N$2, Players!$A$1:$P$1, 0)), perc_75, VLOOKUP(N$2, Percentiles!$A$45:$I$59, 6, FALSE), perc_90, VLOOKUP(N$2, Percentiles!$A$45:$I$59, 7, FALSE), perc_95, VLOOKUP(N$2, Percentiles!$A$45:$I$59, 8, FALSE), perc_85, perc_75 + (perc_90 - perc_75) * (2/3), converted_stat, '2K_Ratings'!N654, IF(bbgm_stat &gt;= perc_95, converted_stat * 3, IF(bbgm_stat &gt;= perc_90, converted_stat * 2, IF(bbgm_stat &gt;= perc_85, converted_stat * 1.5, converted_stat)))))</f>
        <v/>
      </c>
      <c r="O654" s="30" t="str">
        <f t="array" ref="O654">IF($A654="", "", LET(bbgm_stat, INDEX(Players!$A653:$P653, MATCH(O$2, Players!$A$1:$P$1, 0)), perc_75, VLOOKUP(O$2, Percentiles!$A$45:$I$59, 6, FALSE), perc_90, VLOOKUP(O$2, Percentiles!$A$45:$I$59, 7, FALSE), perc_95, VLOOKUP(O$2, Percentiles!$A$45:$I$59, 8, FALSE), perc_85, perc_75 + (perc_90 - perc_75) * (2/3), converted_stat, '2K_Ratings'!O654, IF(bbgm_stat &gt;= perc_95, converted_stat * 3, IF(bbgm_stat &gt;= perc_90, converted_stat * 2, IF(bbgm_stat &gt;= perc_85, converted_stat * 1.5, converted_stat)))))</f>
        <v/>
      </c>
      <c r="P654" s="30" t="str">
        <f t="array" ref="P654">IF($A654="", "", LET(bbgm_stat, INDEX(Players!$A653:$P653, MATCH(P$2, Players!$A$1:$P$1, 0)), perc_75, VLOOKUP(P$2, Percentiles!$A$45:$I$59, 6, FALSE), perc_90, VLOOKUP(P$2, Percentiles!$A$45:$I$59, 7, FALSE), perc_95, VLOOKUP(P$2, Percentiles!$A$45:$I$59, 8, FALSE), perc_85, perc_75 + (perc_90 - perc_75) * (2/3), converted_stat, '2K_Ratings'!P654, IF(bbgm_stat &gt;= perc_95, converted_stat * 3, IF(bbgm_stat &gt;= perc_90, converted_stat * 2, IF(bbgm_stat &gt;= perc_85, converted_stat * 1.5, converted_stat)))))</f>
        <v/>
      </c>
      <c r="Q654" s="30" t="str">
        <f t="array" ref="Q654">IF($A654="", "", LET(bbgm_stat, INDEX(Players!$A653:$P653, MATCH(Q$2, Players!$A$1:$P$1, 0)), perc_75, VLOOKUP(Q$2, Percentiles!$A$45:$I$59, 6, FALSE), perc_90, VLOOKUP(Q$2, Percentiles!$A$45:$I$59, 7, FALSE), perc_95, VLOOKUP(Q$2, Percentiles!$A$45:$I$59, 8, FALSE), perc_85, perc_75 + (perc_90 - perc_75) * (2/3), converted_stat, '2K_Ratings'!Q654, IF(bbgm_stat &gt;= perc_95, converted_stat * 3, IF(bbgm_stat &gt;= perc_90, converted_stat * 2, IF(bbgm_stat &gt;= perc_85, converted_stat * 1.5, converted_stat)))))</f>
        <v/>
      </c>
      <c r="R654" s="30" t="str">
        <f t="array" ref="R654">IF($A654="", "", LET(bbgm_stat, INDEX(Players!$A653:$P653, MATCH(R$2, Players!$A$1:$P$1, 0)), perc_75, VLOOKUP(R$2, Percentiles!$A$45:$I$59, 6, FALSE), perc_90, VLOOKUP(R$2, Percentiles!$A$45:$I$59, 7, FALSE), perc_95, VLOOKUP(R$2, Percentiles!$A$45:$I$59, 8, FALSE), perc_85, perc_75 + (perc_90 - perc_75) * (2/3), converted_stat, '2K_Ratings'!R654, IF(bbgm_stat &gt;= perc_95, converted_stat * 3, IF(bbgm_stat &gt;= perc_90, converted_stat * 2, IF(bbgm_stat &gt;= perc_85, converted_stat * 1.5, converted_stat)))))</f>
        <v/>
      </c>
      <c r="S654" s="30" t="str">
        <f t="array" ref="S654">IF($A654="", "", LET(bbgm_stat, INDEX(Players!$A653:$P653, MATCH(S$2, Players!$A$1:$P$1, 0)), perc_75, VLOOKUP(S$2, Percentiles!$A$45:$I$59, 6, FALSE), perc_90, VLOOKUP(S$2, Percentiles!$A$45:$I$59, 7, FALSE), perc_95, VLOOKUP(S$2, Percentiles!$A$45:$I$59, 8, FALSE), perc_85, perc_75 + (perc_90 - perc_75) * (2/3), converted_stat, '2K_Ratings'!S654, IF(bbgm_stat &gt;= perc_95, converted_stat * 3, IF(bbgm_stat &gt;= perc_90, converted_stat * 2, IF(bbgm_stat &gt;= perc_85, converted_stat * 1.5, converted_stat)))))</f>
        <v/>
      </c>
      <c r="T654" s="30" t="str">
        <f t="array" ref="T654">IF($A654="", "", LET(bbgm_stat, INDEX(Players!$A653:$P653, MATCH(T$2, Players!$A$1:$P$1, 0)), perc_75, VLOOKUP(T$2, Percentiles!$A$45:$I$59, 6, FALSE), perc_90, VLOOKUP(T$2, Percentiles!$A$45:$I$59, 7, FALSE), perc_95, VLOOKUP(T$2, Percentiles!$A$45:$I$59, 8, FALSE), perc_85, perc_75 + (perc_90 - perc_75) * (2/3), converted_stat, '2K_Ratings'!T654, IF(bbgm_stat &gt;= perc_95, converted_stat * 3, IF(bbgm_stat &gt;= perc_90, converted_stat * 2, IF(bbgm_stat &gt;= perc_85, converted_stat * 1.5, converted_stat)))))</f>
        <v/>
      </c>
      <c r="U654" s="30" t="str">
        <f t="array" ref="U654">IF($A654="", "", LET(bbgm_stat, INDEX(Players!$A653:$P653, MATCH(U$2, Players!$A$1:$P$1, 0)), perc_75, VLOOKUP(U$2, Percentiles!$A$45:$I$59, 6, FALSE), perc_90, VLOOKUP(U$2, Percentiles!$A$45:$I$59, 7, FALSE), perc_95, VLOOKUP(U$2, Percentiles!$A$45:$I$59, 8, FALSE), perc_85, perc_75 + (perc_90 - perc_75) * (2/3), converted_stat, '2K_Ratings'!U654, IF(bbgm_stat &gt;= perc_95, converted_stat * 3, IF(bbgm_stat &gt;= perc_90, converted_stat * 2, IF(bbgm_stat &gt;= perc_85, converted_stat * 1.5, converted_stat)))))</f>
        <v/>
      </c>
      <c r="V654" s="30" t="str">
        <f t="array" ref="V654">IF($A654="", "", LET(bbgm_stat, INDEX(Players!$A653:$P653, MATCH(V$2, Players!$A$1:$P$1, 0)), perc_75, VLOOKUP(V$2, Percentiles!$A$45:$I$59, 6, FALSE), perc_90, VLOOKUP(V$2, Percentiles!$A$45:$I$59, 7, FALSE), perc_95, VLOOKUP(V$2, Percentiles!$A$45:$I$59, 8, FALSE), perc_85, perc_75 + (perc_90 - perc_75) * (2/3), converted_stat, '2K_Ratings'!V654, IF(bbgm_stat &gt;= perc_95, converted_stat * 3, IF(bbgm_stat &gt;= perc_90, converted_stat * 2, IF(bbgm_stat &gt;= perc_85, converted_stat * 1.5, converted_stat)))))</f>
        <v/>
      </c>
      <c r="W654" s="30" t="str">
        <f t="array" ref="W654">IF($A654="", "", LET(bbgm_stat, INDEX(Players!$A653:$P653, MATCH(W$2, Players!$A$1:$P$1, 0)), perc_75, VLOOKUP(W$2, Percentiles!$A$45:$I$59, 6, FALSE), perc_90, VLOOKUP(W$2, Percentiles!$A$45:$I$59, 7, FALSE), perc_95, VLOOKUP(W$2, Percentiles!$A$45:$I$59, 8, FALSE), perc_85, perc_75 + (perc_90 - perc_75) * (2/3), converted_stat, '2K_Ratings'!W654, IF(bbgm_stat &gt;= perc_95, converted_stat * 3, IF(bbgm_stat &gt;= perc_90, converted_stat * 2, IF(bbgm_stat &gt;= perc_85, converted_stat * 1.5, converted_stat)))))</f>
        <v/>
      </c>
    </row>
    <row r="655">
      <c r="A655" s="30"/>
      <c r="B655" s="30" t="str">
        <f t="array" ref="B655">IF($A655="", "", LET(bbgm_stat, INDEX(Players!$A654:$P654, MATCH(B$2, Players!$A$1:$P$1, 0)), perc_75, VLOOKUP(B$2, Percentiles!$A$45:$I$59, 6, FALSE), perc_90, VLOOKUP(B$2, Percentiles!$A$45:$I$59, 7, FALSE), perc_95, VLOOKUP(B$2, Percentiles!$A$45:$I$59, 8, FALSE), perc_85, perc_75 + (perc_90 - perc_75) * (2/3), converted_stat, '2K_Ratings'!B655, IF(bbgm_stat &gt;= perc_95, converted_stat * 3, IF(bbgm_stat &gt;= perc_90, converted_stat * 2, IF(bbgm_stat &gt;= perc_85, converted_stat * 1.5, converted_stat)))))</f>
        <v/>
      </c>
      <c r="C655" s="30" t="str">
        <f t="array" ref="C655">IF($A655="", "", LET(bbgm_stat, INDEX(Players!$A654:$P654, MATCH(C$2, Players!$A$1:$P$1, 0)), perc_75, VLOOKUP(C$2, Percentiles!$A$45:$I$59, 6, FALSE), perc_90, VLOOKUP(C$2, Percentiles!$A$45:$I$59, 7, FALSE), perc_95, VLOOKUP(C$2, Percentiles!$A$45:$I$59, 8, FALSE), perc_85, perc_75 + (perc_90 - perc_75) * (2/3), converted_stat, '2K_Ratings'!C655, IF(bbgm_stat &gt;= perc_95, converted_stat * 3, IF(bbgm_stat &gt;= perc_90, converted_stat * 2, IF(bbgm_stat &gt;= perc_85, converted_stat * 1.5, converted_stat)))))</f>
        <v/>
      </c>
      <c r="D655" s="30" t="str">
        <f t="array" ref="D655">IF($A655="", "", LET(bbgm_stat, INDEX(Players!$A654:$P654, MATCH(D$2, Players!$A$1:$P$1, 0)), perc_75, VLOOKUP(D$2, Percentiles!$A$45:$I$59, 6, FALSE), perc_90, VLOOKUP(D$2, Percentiles!$A$45:$I$59, 7, FALSE), perc_95, VLOOKUP(D$2, Percentiles!$A$45:$I$59, 8, FALSE), perc_85, perc_75 + (perc_90 - perc_75) * (2/3), converted_stat, '2K_Ratings'!D655, IF(bbgm_stat &gt;= perc_95, converted_stat * 3, IF(bbgm_stat &gt;= perc_90, converted_stat * 2, IF(bbgm_stat &gt;= perc_85, converted_stat * 1.5, converted_stat)))))</f>
        <v/>
      </c>
      <c r="E655" s="30" t="str">
        <f t="array" ref="E655">IF($A655="", "", LET(bbgm_stat, INDEX(Players!$A654:$P654, MATCH(E$2, Players!$A$1:$P$1, 0)), perc_75, VLOOKUP(E$2, Percentiles!$A$45:$I$59, 6, FALSE), perc_90, VLOOKUP(E$2, Percentiles!$A$45:$I$59, 7, FALSE), perc_95, VLOOKUP(E$2, Percentiles!$A$45:$I$59, 8, FALSE), perc_85, perc_75 + (perc_90 - perc_75) * (2/3), converted_stat, '2K_Ratings'!E655, IF(bbgm_stat &gt;= perc_95, converted_stat * 3, IF(bbgm_stat &gt;= perc_90, converted_stat * 2, IF(bbgm_stat &gt;= perc_85, converted_stat * 1.5, converted_stat)))))</f>
        <v/>
      </c>
      <c r="F655" s="30" t="str">
        <f t="array" ref="F655">IF($A655="", "", LET(bbgm_stat, INDEX(Players!$A654:$P654, MATCH(F$2, Players!$A$1:$P$1, 0)), perc_75, VLOOKUP(F$2, Percentiles!$A$45:$I$59, 6, FALSE), perc_90, VLOOKUP(F$2, Percentiles!$A$45:$I$59, 7, FALSE), perc_95, VLOOKUP(F$2, Percentiles!$A$45:$I$59, 8, FALSE), perc_85, perc_75 + (perc_90 - perc_75) * (2/3), converted_stat, '2K_Ratings'!F655, IF(bbgm_stat &gt;= perc_95, converted_stat * 3, IF(bbgm_stat &gt;= perc_90, converted_stat * 2, IF(bbgm_stat &gt;= perc_85, converted_stat * 1.5, converted_stat)))))</f>
        <v/>
      </c>
      <c r="G655" s="30" t="str">
        <f t="array" ref="G655">IF($A655="", "", LET(bbgm_stat, INDEX(Players!$A654:$P654, MATCH(G$2, Players!$A$1:$P$1, 0)), perc_75, VLOOKUP(G$2, Percentiles!$A$45:$I$59, 6, FALSE), perc_90, VLOOKUP(G$2, Percentiles!$A$45:$I$59, 7, FALSE), perc_95, VLOOKUP(G$2, Percentiles!$A$45:$I$59, 8, FALSE), perc_85, perc_75 + (perc_90 - perc_75) * (2/3), converted_stat, '2K_Ratings'!G655, IF(bbgm_stat &gt;= perc_95, converted_stat * 3, IF(bbgm_stat &gt;= perc_90, converted_stat * 2, IF(bbgm_stat &gt;= perc_85, converted_stat * 1.5, converted_stat)))))</f>
        <v/>
      </c>
      <c r="H655" s="30" t="str">
        <f t="array" ref="H655">IF($A655="", "", LET(bbgm_stat, INDEX(Players!$A654:$P654, MATCH(H$2, Players!$A$1:$P$1, 0)), perc_75, VLOOKUP(H$2, Percentiles!$A$45:$I$59, 6, FALSE), perc_90, VLOOKUP(H$2, Percentiles!$A$45:$I$59, 7, FALSE), perc_95, VLOOKUP(H$2, Percentiles!$A$45:$I$59, 8, FALSE), perc_85, perc_75 + (perc_90 - perc_75) * (2/3), converted_stat, '2K_Ratings'!H655, IF(bbgm_stat &gt;= perc_95, converted_stat * 3, IF(bbgm_stat &gt;= perc_90, converted_stat * 2, IF(bbgm_stat &gt;= perc_85, converted_stat * 1.5, converted_stat)))))</f>
        <v/>
      </c>
      <c r="I655" s="30" t="str">
        <f t="array" ref="I655">IF($A655="", "", LET(bbgm_stat, INDEX(Players!$A654:$P654, MATCH(I$2, Players!$A$1:$P$1, 0)), perc_75, VLOOKUP(I$2, Percentiles!$A$45:$I$59, 6, FALSE), perc_90, VLOOKUP(I$2, Percentiles!$A$45:$I$59, 7, FALSE), perc_95, VLOOKUP(I$2, Percentiles!$A$45:$I$59, 8, FALSE), perc_85, perc_75 + (perc_90 - perc_75) * (2/3), converted_stat, '2K_Ratings'!I655, IF(bbgm_stat &gt;= perc_95, converted_stat * 3, IF(bbgm_stat &gt;= perc_90, converted_stat * 2, IF(bbgm_stat &gt;= perc_85, converted_stat * 1.5, converted_stat)))))</f>
        <v/>
      </c>
      <c r="J655" s="30" t="str">
        <f t="array" ref="J655">IF($A655="", "", LET(bbgm_stat, INDEX(Players!$A654:$P654, MATCH(J$2, Players!$A$1:$P$1, 0)), perc_75, VLOOKUP(J$2, Percentiles!$A$45:$I$59, 6, FALSE), perc_90, VLOOKUP(J$2, Percentiles!$A$45:$I$59, 7, FALSE), perc_95, VLOOKUP(J$2, Percentiles!$A$45:$I$59, 8, FALSE), perc_85, perc_75 + (perc_90 - perc_75) * (2/3), converted_stat, '2K_Ratings'!J655, IF(bbgm_stat &gt;= perc_95, converted_stat * 3, IF(bbgm_stat &gt;= perc_90, converted_stat * 2, IF(bbgm_stat &gt;= perc_85, converted_stat * 1.5, converted_stat)))))</f>
        <v/>
      </c>
      <c r="K655" s="30" t="str">
        <f t="array" ref="K655">IF($A655="", "", LET(bbgm_stat, INDEX(Players!$A654:$P654, MATCH(K$2, Players!$A$1:$P$1, 0)), perc_75, VLOOKUP(K$2, Percentiles!$A$45:$I$59, 6, FALSE), perc_90, VLOOKUP(K$2, Percentiles!$A$45:$I$59, 7, FALSE), perc_95, VLOOKUP(K$2, Percentiles!$A$45:$I$59, 8, FALSE), perc_85, perc_75 + (perc_90 - perc_75) * (2/3), converted_stat, '2K_Ratings'!K655, IF(bbgm_stat &gt;= perc_95, converted_stat * 3, IF(bbgm_stat &gt;= perc_90, converted_stat * 2, IF(bbgm_stat &gt;= perc_85, converted_stat * 1.5, converted_stat)))))</f>
        <v/>
      </c>
      <c r="L655" s="30" t="str">
        <f t="array" ref="L655">IF($A655="", "", LET(bbgm_stat, INDEX(Players!$A654:$P654, MATCH(L$2, Players!$A$1:$P$1, 0)), perc_75, VLOOKUP(L$2, Percentiles!$A$45:$I$59, 6, FALSE), perc_90, VLOOKUP(L$2, Percentiles!$A$45:$I$59, 7, FALSE), perc_95, VLOOKUP(L$2, Percentiles!$A$45:$I$59, 8, FALSE), perc_85, perc_75 + (perc_90 - perc_75) * (2/3), converted_stat, '2K_Ratings'!L655, IF(bbgm_stat &gt;= perc_95, converted_stat * 3, IF(bbgm_stat &gt;= perc_90, converted_stat * 2, IF(bbgm_stat &gt;= perc_85, converted_stat * 1.5, converted_stat)))))</f>
        <v/>
      </c>
      <c r="M655" s="30" t="str">
        <f t="array" ref="M655">IF($A655="", "", LET(bbgm_stat, INDEX(Players!$A654:$P654, MATCH(M$2, Players!$A$1:$P$1, 0)), perc_75, VLOOKUP(M$2, Percentiles!$A$45:$I$59, 6, FALSE), perc_90, VLOOKUP(M$2, Percentiles!$A$45:$I$59, 7, FALSE), perc_95, VLOOKUP(M$2, Percentiles!$A$45:$I$59, 8, FALSE), perc_85, perc_75 + (perc_90 - perc_75) * (2/3), converted_stat, '2K_Ratings'!M655, IF(bbgm_stat &gt;= perc_95, converted_stat * 3, IF(bbgm_stat &gt;= perc_90, converted_stat * 2, IF(bbgm_stat &gt;= perc_85, converted_stat * 1.5, converted_stat)))))</f>
        <v/>
      </c>
      <c r="N655" s="30" t="str">
        <f t="array" ref="N655">IF($A655="", "", LET(bbgm_stat, INDEX(Players!$A654:$P654, MATCH(N$2, Players!$A$1:$P$1, 0)), perc_75, VLOOKUP(N$2, Percentiles!$A$45:$I$59, 6, FALSE), perc_90, VLOOKUP(N$2, Percentiles!$A$45:$I$59, 7, FALSE), perc_95, VLOOKUP(N$2, Percentiles!$A$45:$I$59, 8, FALSE), perc_85, perc_75 + (perc_90 - perc_75) * (2/3), converted_stat, '2K_Ratings'!N655, IF(bbgm_stat &gt;= perc_95, converted_stat * 3, IF(bbgm_stat &gt;= perc_90, converted_stat * 2, IF(bbgm_stat &gt;= perc_85, converted_stat * 1.5, converted_stat)))))</f>
        <v/>
      </c>
      <c r="O655" s="30" t="str">
        <f t="array" ref="O655">IF($A655="", "", LET(bbgm_stat, INDEX(Players!$A654:$P654, MATCH(O$2, Players!$A$1:$P$1, 0)), perc_75, VLOOKUP(O$2, Percentiles!$A$45:$I$59, 6, FALSE), perc_90, VLOOKUP(O$2, Percentiles!$A$45:$I$59, 7, FALSE), perc_95, VLOOKUP(O$2, Percentiles!$A$45:$I$59, 8, FALSE), perc_85, perc_75 + (perc_90 - perc_75) * (2/3), converted_stat, '2K_Ratings'!O655, IF(bbgm_stat &gt;= perc_95, converted_stat * 3, IF(bbgm_stat &gt;= perc_90, converted_stat * 2, IF(bbgm_stat &gt;= perc_85, converted_stat * 1.5, converted_stat)))))</f>
        <v/>
      </c>
      <c r="P655" s="30" t="str">
        <f t="array" ref="P655">IF($A655="", "", LET(bbgm_stat, INDEX(Players!$A654:$P654, MATCH(P$2, Players!$A$1:$P$1, 0)), perc_75, VLOOKUP(P$2, Percentiles!$A$45:$I$59, 6, FALSE), perc_90, VLOOKUP(P$2, Percentiles!$A$45:$I$59, 7, FALSE), perc_95, VLOOKUP(P$2, Percentiles!$A$45:$I$59, 8, FALSE), perc_85, perc_75 + (perc_90 - perc_75) * (2/3), converted_stat, '2K_Ratings'!P655, IF(bbgm_stat &gt;= perc_95, converted_stat * 3, IF(bbgm_stat &gt;= perc_90, converted_stat * 2, IF(bbgm_stat &gt;= perc_85, converted_stat * 1.5, converted_stat)))))</f>
        <v/>
      </c>
      <c r="Q655" s="30" t="str">
        <f t="array" ref="Q655">IF($A655="", "", LET(bbgm_stat, INDEX(Players!$A654:$P654, MATCH(Q$2, Players!$A$1:$P$1, 0)), perc_75, VLOOKUP(Q$2, Percentiles!$A$45:$I$59, 6, FALSE), perc_90, VLOOKUP(Q$2, Percentiles!$A$45:$I$59, 7, FALSE), perc_95, VLOOKUP(Q$2, Percentiles!$A$45:$I$59, 8, FALSE), perc_85, perc_75 + (perc_90 - perc_75) * (2/3), converted_stat, '2K_Ratings'!Q655, IF(bbgm_stat &gt;= perc_95, converted_stat * 3, IF(bbgm_stat &gt;= perc_90, converted_stat * 2, IF(bbgm_stat &gt;= perc_85, converted_stat * 1.5, converted_stat)))))</f>
        <v/>
      </c>
      <c r="R655" s="30" t="str">
        <f t="array" ref="R655">IF($A655="", "", LET(bbgm_stat, INDEX(Players!$A654:$P654, MATCH(R$2, Players!$A$1:$P$1, 0)), perc_75, VLOOKUP(R$2, Percentiles!$A$45:$I$59, 6, FALSE), perc_90, VLOOKUP(R$2, Percentiles!$A$45:$I$59, 7, FALSE), perc_95, VLOOKUP(R$2, Percentiles!$A$45:$I$59, 8, FALSE), perc_85, perc_75 + (perc_90 - perc_75) * (2/3), converted_stat, '2K_Ratings'!R655, IF(bbgm_stat &gt;= perc_95, converted_stat * 3, IF(bbgm_stat &gt;= perc_90, converted_stat * 2, IF(bbgm_stat &gt;= perc_85, converted_stat * 1.5, converted_stat)))))</f>
        <v/>
      </c>
      <c r="S655" s="30" t="str">
        <f t="array" ref="S655">IF($A655="", "", LET(bbgm_stat, INDEX(Players!$A654:$P654, MATCH(S$2, Players!$A$1:$P$1, 0)), perc_75, VLOOKUP(S$2, Percentiles!$A$45:$I$59, 6, FALSE), perc_90, VLOOKUP(S$2, Percentiles!$A$45:$I$59, 7, FALSE), perc_95, VLOOKUP(S$2, Percentiles!$A$45:$I$59, 8, FALSE), perc_85, perc_75 + (perc_90 - perc_75) * (2/3), converted_stat, '2K_Ratings'!S655, IF(bbgm_stat &gt;= perc_95, converted_stat * 3, IF(bbgm_stat &gt;= perc_90, converted_stat * 2, IF(bbgm_stat &gt;= perc_85, converted_stat * 1.5, converted_stat)))))</f>
        <v/>
      </c>
      <c r="T655" s="30" t="str">
        <f t="array" ref="T655">IF($A655="", "", LET(bbgm_stat, INDEX(Players!$A654:$P654, MATCH(T$2, Players!$A$1:$P$1, 0)), perc_75, VLOOKUP(T$2, Percentiles!$A$45:$I$59, 6, FALSE), perc_90, VLOOKUP(T$2, Percentiles!$A$45:$I$59, 7, FALSE), perc_95, VLOOKUP(T$2, Percentiles!$A$45:$I$59, 8, FALSE), perc_85, perc_75 + (perc_90 - perc_75) * (2/3), converted_stat, '2K_Ratings'!T655, IF(bbgm_stat &gt;= perc_95, converted_stat * 3, IF(bbgm_stat &gt;= perc_90, converted_stat * 2, IF(bbgm_stat &gt;= perc_85, converted_stat * 1.5, converted_stat)))))</f>
        <v/>
      </c>
      <c r="U655" s="30" t="str">
        <f t="array" ref="U655">IF($A655="", "", LET(bbgm_stat, INDEX(Players!$A654:$P654, MATCH(U$2, Players!$A$1:$P$1, 0)), perc_75, VLOOKUP(U$2, Percentiles!$A$45:$I$59, 6, FALSE), perc_90, VLOOKUP(U$2, Percentiles!$A$45:$I$59, 7, FALSE), perc_95, VLOOKUP(U$2, Percentiles!$A$45:$I$59, 8, FALSE), perc_85, perc_75 + (perc_90 - perc_75) * (2/3), converted_stat, '2K_Ratings'!U655, IF(bbgm_stat &gt;= perc_95, converted_stat * 3, IF(bbgm_stat &gt;= perc_90, converted_stat * 2, IF(bbgm_stat &gt;= perc_85, converted_stat * 1.5, converted_stat)))))</f>
        <v/>
      </c>
      <c r="V655" s="30" t="str">
        <f t="array" ref="V655">IF($A655="", "", LET(bbgm_stat, INDEX(Players!$A654:$P654, MATCH(V$2, Players!$A$1:$P$1, 0)), perc_75, VLOOKUP(V$2, Percentiles!$A$45:$I$59, 6, FALSE), perc_90, VLOOKUP(V$2, Percentiles!$A$45:$I$59, 7, FALSE), perc_95, VLOOKUP(V$2, Percentiles!$A$45:$I$59, 8, FALSE), perc_85, perc_75 + (perc_90 - perc_75) * (2/3), converted_stat, '2K_Ratings'!V655, IF(bbgm_stat &gt;= perc_95, converted_stat * 3, IF(bbgm_stat &gt;= perc_90, converted_stat * 2, IF(bbgm_stat &gt;= perc_85, converted_stat * 1.5, converted_stat)))))</f>
        <v/>
      </c>
      <c r="W655" s="30" t="str">
        <f t="array" ref="W655">IF($A655="", "", LET(bbgm_stat, INDEX(Players!$A654:$P654, MATCH(W$2, Players!$A$1:$P$1, 0)), perc_75, VLOOKUP(W$2, Percentiles!$A$45:$I$59, 6, FALSE), perc_90, VLOOKUP(W$2, Percentiles!$A$45:$I$59, 7, FALSE), perc_95, VLOOKUP(W$2, Percentiles!$A$45:$I$59, 8, FALSE), perc_85, perc_75 + (perc_90 - perc_75) * (2/3), converted_stat, '2K_Ratings'!W655, IF(bbgm_stat &gt;= perc_95, converted_stat * 3, IF(bbgm_stat &gt;= perc_90, converted_stat * 2, IF(bbgm_stat &gt;= perc_85, converted_stat * 1.5, converted_stat)))))</f>
        <v/>
      </c>
    </row>
    <row r="656">
      <c r="A656" s="30"/>
      <c r="B656" s="30" t="str">
        <f t="array" ref="B656">IF($A656="", "", LET(bbgm_stat, INDEX(Players!$A655:$P655, MATCH(B$2, Players!$A$1:$P$1, 0)), perc_75, VLOOKUP(B$2, Percentiles!$A$45:$I$59, 6, FALSE), perc_90, VLOOKUP(B$2, Percentiles!$A$45:$I$59, 7, FALSE), perc_95, VLOOKUP(B$2, Percentiles!$A$45:$I$59, 8, FALSE), perc_85, perc_75 + (perc_90 - perc_75) * (2/3), converted_stat, '2K_Ratings'!B656, IF(bbgm_stat &gt;= perc_95, converted_stat * 3, IF(bbgm_stat &gt;= perc_90, converted_stat * 2, IF(bbgm_stat &gt;= perc_85, converted_stat * 1.5, converted_stat)))))</f>
        <v/>
      </c>
      <c r="C656" s="30" t="str">
        <f t="array" ref="C656">IF($A656="", "", LET(bbgm_stat, INDEX(Players!$A655:$P655, MATCH(C$2, Players!$A$1:$P$1, 0)), perc_75, VLOOKUP(C$2, Percentiles!$A$45:$I$59, 6, FALSE), perc_90, VLOOKUP(C$2, Percentiles!$A$45:$I$59, 7, FALSE), perc_95, VLOOKUP(C$2, Percentiles!$A$45:$I$59, 8, FALSE), perc_85, perc_75 + (perc_90 - perc_75) * (2/3), converted_stat, '2K_Ratings'!C656, IF(bbgm_stat &gt;= perc_95, converted_stat * 3, IF(bbgm_stat &gt;= perc_90, converted_stat * 2, IF(bbgm_stat &gt;= perc_85, converted_stat * 1.5, converted_stat)))))</f>
        <v/>
      </c>
      <c r="D656" s="30" t="str">
        <f t="array" ref="D656">IF($A656="", "", LET(bbgm_stat, INDEX(Players!$A655:$P655, MATCH(D$2, Players!$A$1:$P$1, 0)), perc_75, VLOOKUP(D$2, Percentiles!$A$45:$I$59, 6, FALSE), perc_90, VLOOKUP(D$2, Percentiles!$A$45:$I$59, 7, FALSE), perc_95, VLOOKUP(D$2, Percentiles!$A$45:$I$59, 8, FALSE), perc_85, perc_75 + (perc_90 - perc_75) * (2/3), converted_stat, '2K_Ratings'!D656, IF(bbgm_stat &gt;= perc_95, converted_stat * 3, IF(bbgm_stat &gt;= perc_90, converted_stat * 2, IF(bbgm_stat &gt;= perc_85, converted_stat * 1.5, converted_stat)))))</f>
        <v/>
      </c>
      <c r="E656" s="30" t="str">
        <f t="array" ref="E656">IF($A656="", "", LET(bbgm_stat, INDEX(Players!$A655:$P655, MATCH(E$2, Players!$A$1:$P$1, 0)), perc_75, VLOOKUP(E$2, Percentiles!$A$45:$I$59, 6, FALSE), perc_90, VLOOKUP(E$2, Percentiles!$A$45:$I$59, 7, FALSE), perc_95, VLOOKUP(E$2, Percentiles!$A$45:$I$59, 8, FALSE), perc_85, perc_75 + (perc_90 - perc_75) * (2/3), converted_stat, '2K_Ratings'!E656, IF(bbgm_stat &gt;= perc_95, converted_stat * 3, IF(bbgm_stat &gt;= perc_90, converted_stat * 2, IF(bbgm_stat &gt;= perc_85, converted_stat * 1.5, converted_stat)))))</f>
        <v/>
      </c>
      <c r="F656" s="30" t="str">
        <f t="array" ref="F656">IF($A656="", "", LET(bbgm_stat, INDEX(Players!$A655:$P655, MATCH(F$2, Players!$A$1:$P$1, 0)), perc_75, VLOOKUP(F$2, Percentiles!$A$45:$I$59, 6, FALSE), perc_90, VLOOKUP(F$2, Percentiles!$A$45:$I$59, 7, FALSE), perc_95, VLOOKUP(F$2, Percentiles!$A$45:$I$59, 8, FALSE), perc_85, perc_75 + (perc_90 - perc_75) * (2/3), converted_stat, '2K_Ratings'!F656, IF(bbgm_stat &gt;= perc_95, converted_stat * 3, IF(bbgm_stat &gt;= perc_90, converted_stat * 2, IF(bbgm_stat &gt;= perc_85, converted_stat * 1.5, converted_stat)))))</f>
        <v/>
      </c>
      <c r="G656" s="30" t="str">
        <f t="array" ref="G656">IF($A656="", "", LET(bbgm_stat, INDEX(Players!$A655:$P655, MATCH(G$2, Players!$A$1:$P$1, 0)), perc_75, VLOOKUP(G$2, Percentiles!$A$45:$I$59, 6, FALSE), perc_90, VLOOKUP(G$2, Percentiles!$A$45:$I$59, 7, FALSE), perc_95, VLOOKUP(G$2, Percentiles!$A$45:$I$59, 8, FALSE), perc_85, perc_75 + (perc_90 - perc_75) * (2/3), converted_stat, '2K_Ratings'!G656, IF(bbgm_stat &gt;= perc_95, converted_stat * 3, IF(bbgm_stat &gt;= perc_90, converted_stat * 2, IF(bbgm_stat &gt;= perc_85, converted_stat * 1.5, converted_stat)))))</f>
        <v/>
      </c>
      <c r="H656" s="30" t="str">
        <f t="array" ref="H656">IF($A656="", "", LET(bbgm_stat, INDEX(Players!$A655:$P655, MATCH(H$2, Players!$A$1:$P$1, 0)), perc_75, VLOOKUP(H$2, Percentiles!$A$45:$I$59, 6, FALSE), perc_90, VLOOKUP(H$2, Percentiles!$A$45:$I$59, 7, FALSE), perc_95, VLOOKUP(H$2, Percentiles!$A$45:$I$59, 8, FALSE), perc_85, perc_75 + (perc_90 - perc_75) * (2/3), converted_stat, '2K_Ratings'!H656, IF(bbgm_stat &gt;= perc_95, converted_stat * 3, IF(bbgm_stat &gt;= perc_90, converted_stat * 2, IF(bbgm_stat &gt;= perc_85, converted_stat * 1.5, converted_stat)))))</f>
        <v/>
      </c>
      <c r="I656" s="30" t="str">
        <f t="array" ref="I656">IF($A656="", "", LET(bbgm_stat, INDEX(Players!$A655:$P655, MATCH(I$2, Players!$A$1:$P$1, 0)), perc_75, VLOOKUP(I$2, Percentiles!$A$45:$I$59, 6, FALSE), perc_90, VLOOKUP(I$2, Percentiles!$A$45:$I$59, 7, FALSE), perc_95, VLOOKUP(I$2, Percentiles!$A$45:$I$59, 8, FALSE), perc_85, perc_75 + (perc_90 - perc_75) * (2/3), converted_stat, '2K_Ratings'!I656, IF(bbgm_stat &gt;= perc_95, converted_stat * 3, IF(bbgm_stat &gt;= perc_90, converted_stat * 2, IF(bbgm_stat &gt;= perc_85, converted_stat * 1.5, converted_stat)))))</f>
        <v/>
      </c>
      <c r="J656" s="30" t="str">
        <f t="array" ref="J656">IF($A656="", "", LET(bbgm_stat, INDEX(Players!$A655:$P655, MATCH(J$2, Players!$A$1:$P$1, 0)), perc_75, VLOOKUP(J$2, Percentiles!$A$45:$I$59, 6, FALSE), perc_90, VLOOKUP(J$2, Percentiles!$A$45:$I$59, 7, FALSE), perc_95, VLOOKUP(J$2, Percentiles!$A$45:$I$59, 8, FALSE), perc_85, perc_75 + (perc_90 - perc_75) * (2/3), converted_stat, '2K_Ratings'!J656, IF(bbgm_stat &gt;= perc_95, converted_stat * 3, IF(bbgm_stat &gt;= perc_90, converted_stat * 2, IF(bbgm_stat &gt;= perc_85, converted_stat * 1.5, converted_stat)))))</f>
        <v/>
      </c>
      <c r="K656" s="30" t="str">
        <f t="array" ref="K656">IF($A656="", "", LET(bbgm_stat, INDEX(Players!$A655:$P655, MATCH(K$2, Players!$A$1:$P$1, 0)), perc_75, VLOOKUP(K$2, Percentiles!$A$45:$I$59, 6, FALSE), perc_90, VLOOKUP(K$2, Percentiles!$A$45:$I$59, 7, FALSE), perc_95, VLOOKUP(K$2, Percentiles!$A$45:$I$59, 8, FALSE), perc_85, perc_75 + (perc_90 - perc_75) * (2/3), converted_stat, '2K_Ratings'!K656, IF(bbgm_stat &gt;= perc_95, converted_stat * 3, IF(bbgm_stat &gt;= perc_90, converted_stat * 2, IF(bbgm_stat &gt;= perc_85, converted_stat * 1.5, converted_stat)))))</f>
        <v/>
      </c>
      <c r="L656" s="30" t="str">
        <f t="array" ref="L656">IF($A656="", "", LET(bbgm_stat, INDEX(Players!$A655:$P655, MATCH(L$2, Players!$A$1:$P$1, 0)), perc_75, VLOOKUP(L$2, Percentiles!$A$45:$I$59, 6, FALSE), perc_90, VLOOKUP(L$2, Percentiles!$A$45:$I$59, 7, FALSE), perc_95, VLOOKUP(L$2, Percentiles!$A$45:$I$59, 8, FALSE), perc_85, perc_75 + (perc_90 - perc_75) * (2/3), converted_stat, '2K_Ratings'!L656, IF(bbgm_stat &gt;= perc_95, converted_stat * 3, IF(bbgm_stat &gt;= perc_90, converted_stat * 2, IF(bbgm_stat &gt;= perc_85, converted_stat * 1.5, converted_stat)))))</f>
        <v/>
      </c>
      <c r="M656" s="30" t="str">
        <f t="array" ref="M656">IF($A656="", "", LET(bbgm_stat, INDEX(Players!$A655:$P655, MATCH(M$2, Players!$A$1:$P$1, 0)), perc_75, VLOOKUP(M$2, Percentiles!$A$45:$I$59, 6, FALSE), perc_90, VLOOKUP(M$2, Percentiles!$A$45:$I$59, 7, FALSE), perc_95, VLOOKUP(M$2, Percentiles!$A$45:$I$59, 8, FALSE), perc_85, perc_75 + (perc_90 - perc_75) * (2/3), converted_stat, '2K_Ratings'!M656, IF(bbgm_stat &gt;= perc_95, converted_stat * 3, IF(bbgm_stat &gt;= perc_90, converted_stat * 2, IF(bbgm_stat &gt;= perc_85, converted_stat * 1.5, converted_stat)))))</f>
        <v/>
      </c>
      <c r="N656" s="30" t="str">
        <f t="array" ref="N656">IF($A656="", "", LET(bbgm_stat, INDEX(Players!$A655:$P655, MATCH(N$2, Players!$A$1:$P$1, 0)), perc_75, VLOOKUP(N$2, Percentiles!$A$45:$I$59, 6, FALSE), perc_90, VLOOKUP(N$2, Percentiles!$A$45:$I$59, 7, FALSE), perc_95, VLOOKUP(N$2, Percentiles!$A$45:$I$59, 8, FALSE), perc_85, perc_75 + (perc_90 - perc_75) * (2/3), converted_stat, '2K_Ratings'!N656, IF(bbgm_stat &gt;= perc_95, converted_stat * 3, IF(bbgm_stat &gt;= perc_90, converted_stat * 2, IF(bbgm_stat &gt;= perc_85, converted_stat * 1.5, converted_stat)))))</f>
        <v/>
      </c>
      <c r="O656" s="30" t="str">
        <f t="array" ref="O656">IF($A656="", "", LET(bbgm_stat, INDEX(Players!$A655:$P655, MATCH(O$2, Players!$A$1:$P$1, 0)), perc_75, VLOOKUP(O$2, Percentiles!$A$45:$I$59, 6, FALSE), perc_90, VLOOKUP(O$2, Percentiles!$A$45:$I$59, 7, FALSE), perc_95, VLOOKUP(O$2, Percentiles!$A$45:$I$59, 8, FALSE), perc_85, perc_75 + (perc_90 - perc_75) * (2/3), converted_stat, '2K_Ratings'!O656, IF(bbgm_stat &gt;= perc_95, converted_stat * 3, IF(bbgm_stat &gt;= perc_90, converted_stat * 2, IF(bbgm_stat &gt;= perc_85, converted_stat * 1.5, converted_stat)))))</f>
        <v/>
      </c>
      <c r="P656" s="30" t="str">
        <f t="array" ref="P656">IF($A656="", "", LET(bbgm_stat, INDEX(Players!$A655:$P655, MATCH(P$2, Players!$A$1:$P$1, 0)), perc_75, VLOOKUP(P$2, Percentiles!$A$45:$I$59, 6, FALSE), perc_90, VLOOKUP(P$2, Percentiles!$A$45:$I$59, 7, FALSE), perc_95, VLOOKUP(P$2, Percentiles!$A$45:$I$59, 8, FALSE), perc_85, perc_75 + (perc_90 - perc_75) * (2/3), converted_stat, '2K_Ratings'!P656, IF(bbgm_stat &gt;= perc_95, converted_stat * 3, IF(bbgm_stat &gt;= perc_90, converted_stat * 2, IF(bbgm_stat &gt;= perc_85, converted_stat * 1.5, converted_stat)))))</f>
        <v/>
      </c>
      <c r="Q656" s="30" t="str">
        <f t="array" ref="Q656">IF($A656="", "", LET(bbgm_stat, INDEX(Players!$A655:$P655, MATCH(Q$2, Players!$A$1:$P$1, 0)), perc_75, VLOOKUP(Q$2, Percentiles!$A$45:$I$59, 6, FALSE), perc_90, VLOOKUP(Q$2, Percentiles!$A$45:$I$59, 7, FALSE), perc_95, VLOOKUP(Q$2, Percentiles!$A$45:$I$59, 8, FALSE), perc_85, perc_75 + (perc_90 - perc_75) * (2/3), converted_stat, '2K_Ratings'!Q656, IF(bbgm_stat &gt;= perc_95, converted_stat * 3, IF(bbgm_stat &gt;= perc_90, converted_stat * 2, IF(bbgm_stat &gt;= perc_85, converted_stat * 1.5, converted_stat)))))</f>
        <v/>
      </c>
      <c r="R656" s="30" t="str">
        <f t="array" ref="R656">IF($A656="", "", LET(bbgm_stat, INDEX(Players!$A655:$P655, MATCH(R$2, Players!$A$1:$P$1, 0)), perc_75, VLOOKUP(R$2, Percentiles!$A$45:$I$59, 6, FALSE), perc_90, VLOOKUP(R$2, Percentiles!$A$45:$I$59, 7, FALSE), perc_95, VLOOKUP(R$2, Percentiles!$A$45:$I$59, 8, FALSE), perc_85, perc_75 + (perc_90 - perc_75) * (2/3), converted_stat, '2K_Ratings'!R656, IF(bbgm_stat &gt;= perc_95, converted_stat * 3, IF(bbgm_stat &gt;= perc_90, converted_stat * 2, IF(bbgm_stat &gt;= perc_85, converted_stat * 1.5, converted_stat)))))</f>
        <v/>
      </c>
      <c r="S656" s="30" t="str">
        <f t="array" ref="S656">IF($A656="", "", LET(bbgm_stat, INDEX(Players!$A655:$P655, MATCH(S$2, Players!$A$1:$P$1, 0)), perc_75, VLOOKUP(S$2, Percentiles!$A$45:$I$59, 6, FALSE), perc_90, VLOOKUP(S$2, Percentiles!$A$45:$I$59, 7, FALSE), perc_95, VLOOKUP(S$2, Percentiles!$A$45:$I$59, 8, FALSE), perc_85, perc_75 + (perc_90 - perc_75) * (2/3), converted_stat, '2K_Ratings'!S656, IF(bbgm_stat &gt;= perc_95, converted_stat * 3, IF(bbgm_stat &gt;= perc_90, converted_stat * 2, IF(bbgm_stat &gt;= perc_85, converted_stat * 1.5, converted_stat)))))</f>
        <v/>
      </c>
      <c r="T656" s="30" t="str">
        <f t="array" ref="T656">IF($A656="", "", LET(bbgm_stat, INDEX(Players!$A655:$P655, MATCH(T$2, Players!$A$1:$P$1, 0)), perc_75, VLOOKUP(T$2, Percentiles!$A$45:$I$59, 6, FALSE), perc_90, VLOOKUP(T$2, Percentiles!$A$45:$I$59, 7, FALSE), perc_95, VLOOKUP(T$2, Percentiles!$A$45:$I$59, 8, FALSE), perc_85, perc_75 + (perc_90 - perc_75) * (2/3), converted_stat, '2K_Ratings'!T656, IF(bbgm_stat &gt;= perc_95, converted_stat * 3, IF(bbgm_stat &gt;= perc_90, converted_stat * 2, IF(bbgm_stat &gt;= perc_85, converted_stat * 1.5, converted_stat)))))</f>
        <v/>
      </c>
      <c r="U656" s="30" t="str">
        <f t="array" ref="U656">IF($A656="", "", LET(bbgm_stat, INDEX(Players!$A655:$P655, MATCH(U$2, Players!$A$1:$P$1, 0)), perc_75, VLOOKUP(U$2, Percentiles!$A$45:$I$59, 6, FALSE), perc_90, VLOOKUP(U$2, Percentiles!$A$45:$I$59, 7, FALSE), perc_95, VLOOKUP(U$2, Percentiles!$A$45:$I$59, 8, FALSE), perc_85, perc_75 + (perc_90 - perc_75) * (2/3), converted_stat, '2K_Ratings'!U656, IF(bbgm_stat &gt;= perc_95, converted_stat * 3, IF(bbgm_stat &gt;= perc_90, converted_stat * 2, IF(bbgm_stat &gt;= perc_85, converted_stat * 1.5, converted_stat)))))</f>
        <v/>
      </c>
      <c r="V656" s="30" t="str">
        <f t="array" ref="V656">IF($A656="", "", LET(bbgm_stat, INDEX(Players!$A655:$P655, MATCH(V$2, Players!$A$1:$P$1, 0)), perc_75, VLOOKUP(V$2, Percentiles!$A$45:$I$59, 6, FALSE), perc_90, VLOOKUP(V$2, Percentiles!$A$45:$I$59, 7, FALSE), perc_95, VLOOKUP(V$2, Percentiles!$A$45:$I$59, 8, FALSE), perc_85, perc_75 + (perc_90 - perc_75) * (2/3), converted_stat, '2K_Ratings'!V656, IF(bbgm_stat &gt;= perc_95, converted_stat * 3, IF(bbgm_stat &gt;= perc_90, converted_stat * 2, IF(bbgm_stat &gt;= perc_85, converted_stat * 1.5, converted_stat)))))</f>
        <v/>
      </c>
      <c r="W656" s="30" t="str">
        <f t="array" ref="W656">IF($A656="", "", LET(bbgm_stat, INDEX(Players!$A655:$P655, MATCH(W$2, Players!$A$1:$P$1, 0)), perc_75, VLOOKUP(W$2, Percentiles!$A$45:$I$59, 6, FALSE), perc_90, VLOOKUP(W$2, Percentiles!$A$45:$I$59, 7, FALSE), perc_95, VLOOKUP(W$2, Percentiles!$A$45:$I$59, 8, FALSE), perc_85, perc_75 + (perc_90 - perc_75) * (2/3), converted_stat, '2K_Ratings'!W656, IF(bbgm_stat &gt;= perc_95, converted_stat * 3, IF(bbgm_stat &gt;= perc_90, converted_stat * 2, IF(bbgm_stat &gt;= perc_85, converted_stat * 1.5, converted_stat)))))</f>
        <v/>
      </c>
    </row>
    <row r="657">
      <c r="A657" s="30"/>
      <c r="B657" s="30" t="str">
        <f t="array" ref="B657">IF($A657="", "", LET(bbgm_stat, INDEX(Players!$A656:$P656, MATCH(B$2, Players!$A$1:$P$1, 0)), perc_75, VLOOKUP(B$2, Percentiles!$A$45:$I$59, 6, FALSE), perc_90, VLOOKUP(B$2, Percentiles!$A$45:$I$59, 7, FALSE), perc_95, VLOOKUP(B$2, Percentiles!$A$45:$I$59, 8, FALSE), perc_85, perc_75 + (perc_90 - perc_75) * (2/3), converted_stat, '2K_Ratings'!B657, IF(bbgm_stat &gt;= perc_95, converted_stat * 3, IF(bbgm_stat &gt;= perc_90, converted_stat * 2, IF(bbgm_stat &gt;= perc_85, converted_stat * 1.5, converted_stat)))))</f>
        <v/>
      </c>
      <c r="C657" s="30" t="str">
        <f t="array" ref="C657">IF($A657="", "", LET(bbgm_stat, INDEX(Players!$A656:$P656, MATCH(C$2, Players!$A$1:$P$1, 0)), perc_75, VLOOKUP(C$2, Percentiles!$A$45:$I$59, 6, FALSE), perc_90, VLOOKUP(C$2, Percentiles!$A$45:$I$59, 7, FALSE), perc_95, VLOOKUP(C$2, Percentiles!$A$45:$I$59, 8, FALSE), perc_85, perc_75 + (perc_90 - perc_75) * (2/3), converted_stat, '2K_Ratings'!C657, IF(bbgm_stat &gt;= perc_95, converted_stat * 3, IF(bbgm_stat &gt;= perc_90, converted_stat * 2, IF(bbgm_stat &gt;= perc_85, converted_stat * 1.5, converted_stat)))))</f>
        <v/>
      </c>
      <c r="D657" s="30" t="str">
        <f t="array" ref="D657">IF($A657="", "", LET(bbgm_stat, INDEX(Players!$A656:$P656, MATCH(D$2, Players!$A$1:$P$1, 0)), perc_75, VLOOKUP(D$2, Percentiles!$A$45:$I$59, 6, FALSE), perc_90, VLOOKUP(D$2, Percentiles!$A$45:$I$59, 7, FALSE), perc_95, VLOOKUP(D$2, Percentiles!$A$45:$I$59, 8, FALSE), perc_85, perc_75 + (perc_90 - perc_75) * (2/3), converted_stat, '2K_Ratings'!D657, IF(bbgm_stat &gt;= perc_95, converted_stat * 3, IF(bbgm_stat &gt;= perc_90, converted_stat * 2, IF(bbgm_stat &gt;= perc_85, converted_stat * 1.5, converted_stat)))))</f>
        <v/>
      </c>
      <c r="E657" s="30" t="str">
        <f t="array" ref="E657">IF($A657="", "", LET(bbgm_stat, INDEX(Players!$A656:$P656, MATCH(E$2, Players!$A$1:$P$1, 0)), perc_75, VLOOKUP(E$2, Percentiles!$A$45:$I$59, 6, FALSE), perc_90, VLOOKUP(E$2, Percentiles!$A$45:$I$59, 7, FALSE), perc_95, VLOOKUP(E$2, Percentiles!$A$45:$I$59, 8, FALSE), perc_85, perc_75 + (perc_90 - perc_75) * (2/3), converted_stat, '2K_Ratings'!E657, IF(bbgm_stat &gt;= perc_95, converted_stat * 3, IF(bbgm_stat &gt;= perc_90, converted_stat * 2, IF(bbgm_stat &gt;= perc_85, converted_stat * 1.5, converted_stat)))))</f>
        <v/>
      </c>
      <c r="F657" s="30" t="str">
        <f t="array" ref="F657">IF($A657="", "", LET(bbgm_stat, INDEX(Players!$A656:$P656, MATCH(F$2, Players!$A$1:$P$1, 0)), perc_75, VLOOKUP(F$2, Percentiles!$A$45:$I$59, 6, FALSE), perc_90, VLOOKUP(F$2, Percentiles!$A$45:$I$59, 7, FALSE), perc_95, VLOOKUP(F$2, Percentiles!$A$45:$I$59, 8, FALSE), perc_85, perc_75 + (perc_90 - perc_75) * (2/3), converted_stat, '2K_Ratings'!F657, IF(bbgm_stat &gt;= perc_95, converted_stat * 3, IF(bbgm_stat &gt;= perc_90, converted_stat * 2, IF(bbgm_stat &gt;= perc_85, converted_stat * 1.5, converted_stat)))))</f>
        <v/>
      </c>
      <c r="G657" s="30" t="str">
        <f t="array" ref="G657">IF($A657="", "", LET(bbgm_stat, INDEX(Players!$A656:$P656, MATCH(G$2, Players!$A$1:$P$1, 0)), perc_75, VLOOKUP(G$2, Percentiles!$A$45:$I$59, 6, FALSE), perc_90, VLOOKUP(G$2, Percentiles!$A$45:$I$59, 7, FALSE), perc_95, VLOOKUP(G$2, Percentiles!$A$45:$I$59, 8, FALSE), perc_85, perc_75 + (perc_90 - perc_75) * (2/3), converted_stat, '2K_Ratings'!G657, IF(bbgm_stat &gt;= perc_95, converted_stat * 3, IF(bbgm_stat &gt;= perc_90, converted_stat * 2, IF(bbgm_stat &gt;= perc_85, converted_stat * 1.5, converted_stat)))))</f>
        <v/>
      </c>
      <c r="H657" s="30" t="str">
        <f t="array" ref="H657">IF($A657="", "", LET(bbgm_stat, INDEX(Players!$A656:$P656, MATCH(H$2, Players!$A$1:$P$1, 0)), perc_75, VLOOKUP(H$2, Percentiles!$A$45:$I$59, 6, FALSE), perc_90, VLOOKUP(H$2, Percentiles!$A$45:$I$59, 7, FALSE), perc_95, VLOOKUP(H$2, Percentiles!$A$45:$I$59, 8, FALSE), perc_85, perc_75 + (perc_90 - perc_75) * (2/3), converted_stat, '2K_Ratings'!H657, IF(bbgm_stat &gt;= perc_95, converted_stat * 3, IF(bbgm_stat &gt;= perc_90, converted_stat * 2, IF(bbgm_stat &gt;= perc_85, converted_stat * 1.5, converted_stat)))))</f>
        <v/>
      </c>
      <c r="I657" s="30" t="str">
        <f t="array" ref="I657">IF($A657="", "", LET(bbgm_stat, INDEX(Players!$A656:$P656, MATCH(I$2, Players!$A$1:$P$1, 0)), perc_75, VLOOKUP(I$2, Percentiles!$A$45:$I$59, 6, FALSE), perc_90, VLOOKUP(I$2, Percentiles!$A$45:$I$59, 7, FALSE), perc_95, VLOOKUP(I$2, Percentiles!$A$45:$I$59, 8, FALSE), perc_85, perc_75 + (perc_90 - perc_75) * (2/3), converted_stat, '2K_Ratings'!I657, IF(bbgm_stat &gt;= perc_95, converted_stat * 3, IF(bbgm_stat &gt;= perc_90, converted_stat * 2, IF(bbgm_stat &gt;= perc_85, converted_stat * 1.5, converted_stat)))))</f>
        <v/>
      </c>
      <c r="J657" s="30" t="str">
        <f t="array" ref="J657">IF($A657="", "", LET(bbgm_stat, INDEX(Players!$A656:$P656, MATCH(J$2, Players!$A$1:$P$1, 0)), perc_75, VLOOKUP(J$2, Percentiles!$A$45:$I$59, 6, FALSE), perc_90, VLOOKUP(J$2, Percentiles!$A$45:$I$59, 7, FALSE), perc_95, VLOOKUP(J$2, Percentiles!$A$45:$I$59, 8, FALSE), perc_85, perc_75 + (perc_90 - perc_75) * (2/3), converted_stat, '2K_Ratings'!J657, IF(bbgm_stat &gt;= perc_95, converted_stat * 3, IF(bbgm_stat &gt;= perc_90, converted_stat * 2, IF(bbgm_stat &gt;= perc_85, converted_stat * 1.5, converted_stat)))))</f>
        <v/>
      </c>
      <c r="K657" s="30" t="str">
        <f t="array" ref="K657">IF($A657="", "", LET(bbgm_stat, INDEX(Players!$A656:$P656, MATCH(K$2, Players!$A$1:$P$1, 0)), perc_75, VLOOKUP(K$2, Percentiles!$A$45:$I$59, 6, FALSE), perc_90, VLOOKUP(K$2, Percentiles!$A$45:$I$59, 7, FALSE), perc_95, VLOOKUP(K$2, Percentiles!$A$45:$I$59, 8, FALSE), perc_85, perc_75 + (perc_90 - perc_75) * (2/3), converted_stat, '2K_Ratings'!K657, IF(bbgm_stat &gt;= perc_95, converted_stat * 3, IF(bbgm_stat &gt;= perc_90, converted_stat * 2, IF(bbgm_stat &gt;= perc_85, converted_stat * 1.5, converted_stat)))))</f>
        <v/>
      </c>
      <c r="L657" s="30" t="str">
        <f t="array" ref="L657">IF($A657="", "", LET(bbgm_stat, INDEX(Players!$A656:$P656, MATCH(L$2, Players!$A$1:$P$1, 0)), perc_75, VLOOKUP(L$2, Percentiles!$A$45:$I$59, 6, FALSE), perc_90, VLOOKUP(L$2, Percentiles!$A$45:$I$59, 7, FALSE), perc_95, VLOOKUP(L$2, Percentiles!$A$45:$I$59, 8, FALSE), perc_85, perc_75 + (perc_90 - perc_75) * (2/3), converted_stat, '2K_Ratings'!L657, IF(bbgm_stat &gt;= perc_95, converted_stat * 3, IF(bbgm_stat &gt;= perc_90, converted_stat * 2, IF(bbgm_stat &gt;= perc_85, converted_stat * 1.5, converted_stat)))))</f>
        <v/>
      </c>
      <c r="M657" s="30" t="str">
        <f t="array" ref="M657">IF($A657="", "", LET(bbgm_stat, INDEX(Players!$A656:$P656, MATCH(M$2, Players!$A$1:$P$1, 0)), perc_75, VLOOKUP(M$2, Percentiles!$A$45:$I$59, 6, FALSE), perc_90, VLOOKUP(M$2, Percentiles!$A$45:$I$59, 7, FALSE), perc_95, VLOOKUP(M$2, Percentiles!$A$45:$I$59, 8, FALSE), perc_85, perc_75 + (perc_90 - perc_75) * (2/3), converted_stat, '2K_Ratings'!M657, IF(bbgm_stat &gt;= perc_95, converted_stat * 3, IF(bbgm_stat &gt;= perc_90, converted_stat * 2, IF(bbgm_stat &gt;= perc_85, converted_stat * 1.5, converted_stat)))))</f>
        <v/>
      </c>
      <c r="N657" s="30" t="str">
        <f t="array" ref="N657">IF($A657="", "", LET(bbgm_stat, INDEX(Players!$A656:$P656, MATCH(N$2, Players!$A$1:$P$1, 0)), perc_75, VLOOKUP(N$2, Percentiles!$A$45:$I$59, 6, FALSE), perc_90, VLOOKUP(N$2, Percentiles!$A$45:$I$59, 7, FALSE), perc_95, VLOOKUP(N$2, Percentiles!$A$45:$I$59, 8, FALSE), perc_85, perc_75 + (perc_90 - perc_75) * (2/3), converted_stat, '2K_Ratings'!N657, IF(bbgm_stat &gt;= perc_95, converted_stat * 3, IF(bbgm_stat &gt;= perc_90, converted_stat * 2, IF(bbgm_stat &gt;= perc_85, converted_stat * 1.5, converted_stat)))))</f>
        <v/>
      </c>
      <c r="O657" s="30" t="str">
        <f t="array" ref="O657">IF($A657="", "", LET(bbgm_stat, INDEX(Players!$A656:$P656, MATCH(O$2, Players!$A$1:$P$1, 0)), perc_75, VLOOKUP(O$2, Percentiles!$A$45:$I$59, 6, FALSE), perc_90, VLOOKUP(O$2, Percentiles!$A$45:$I$59, 7, FALSE), perc_95, VLOOKUP(O$2, Percentiles!$A$45:$I$59, 8, FALSE), perc_85, perc_75 + (perc_90 - perc_75) * (2/3), converted_stat, '2K_Ratings'!O657, IF(bbgm_stat &gt;= perc_95, converted_stat * 3, IF(bbgm_stat &gt;= perc_90, converted_stat * 2, IF(bbgm_stat &gt;= perc_85, converted_stat * 1.5, converted_stat)))))</f>
        <v/>
      </c>
      <c r="P657" s="30" t="str">
        <f t="array" ref="P657">IF($A657="", "", LET(bbgm_stat, INDEX(Players!$A656:$P656, MATCH(P$2, Players!$A$1:$P$1, 0)), perc_75, VLOOKUP(P$2, Percentiles!$A$45:$I$59, 6, FALSE), perc_90, VLOOKUP(P$2, Percentiles!$A$45:$I$59, 7, FALSE), perc_95, VLOOKUP(P$2, Percentiles!$A$45:$I$59, 8, FALSE), perc_85, perc_75 + (perc_90 - perc_75) * (2/3), converted_stat, '2K_Ratings'!P657, IF(bbgm_stat &gt;= perc_95, converted_stat * 3, IF(bbgm_stat &gt;= perc_90, converted_stat * 2, IF(bbgm_stat &gt;= perc_85, converted_stat * 1.5, converted_stat)))))</f>
        <v/>
      </c>
      <c r="Q657" s="30" t="str">
        <f t="array" ref="Q657">IF($A657="", "", LET(bbgm_stat, INDEX(Players!$A656:$P656, MATCH(Q$2, Players!$A$1:$P$1, 0)), perc_75, VLOOKUP(Q$2, Percentiles!$A$45:$I$59, 6, FALSE), perc_90, VLOOKUP(Q$2, Percentiles!$A$45:$I$59, 7, FALSE), perc_95, VLOOKUP(Q$2, Percentiles!$A$45:$I$59, 8, FALSE), perc_85, perc_75 + (perc_90 - perc_75) * (2/3), converted_stat, '2K_Ratings'!Q657, IF(bbgm_stat &gt;= perc_95, converted_stat * 3, IF(bbgm_stat &gt;= perc_90, converted_stat * 2, IF(bbgm_stat &gt;= perc_85, converted_stat * 1.5, converted_stat)))))</f>
        <v/>
      </c>
      <c r="R657" s="30" t="str">
        <f t="array" ref="R657">IF($A657="", "", LET(bbgm_stat, INDEX(Players!$A656:$P656, MATCH(R$2, Players!$A$1:$P$1, 0)), perc_75, VLOOKUP(R$2, Percentiles!$A$45:$I$59, 6, FALSE), perc_90, VLOOKUP(R$2, Percentiles!$A$45:$I$59, 7, FALSE), perc_95, VLOOKUP(R$2, Percentiles!$A$45:$I$59, 8, FALSE), perc_85, perc_75 + (perc_90 - perc_75) * (2/3), converted_stat, '2K_Ratings'!R657, IF(bbgm_stat &gt;= perc_95, converted_stat * 3, IF(bbgm_stat &gt;= perc_90, converted_stat * 2, IF(bbgm_stat &gt;= perc_85, converted_stat * 1.5, converted_stat)))))</f>
        <v/>
      </c>
      <c r="S657" s="30" t="str">
        <f t="array" ref="S657">IF($A657="", "", LET(bbgm_stat, INDEX(Players!$A656:$P656, MATCH(S$2, Players!$A$1:$P$1, 0)), perc_75, VLOOKUP(S$2, Percentiles!$A$45:$I$59, 6, FALSE), perc_90, VLOOKUP(S$2, Percentiles!$A$45:$I$59, 7, FALSE), perc_95, VLOOKUP(S$2, Percentiles!$A$45:$I$59, 8, FALSE), perc_85, perc_75 + (perc_90 - perc_75) * (2/3), converted_stat, '2K_Ratings'!S657, IF(bbgm_stat &gt;= perc_95, converted_stat * 3, IF(bbgm_stat &gt;= perc_90, converted_stat * 2, IF(bbgm_stat &gt;= perc_85, converted_stat * 1.5, converted_stat)))))</f>
        <v/>
      </c>
      <c r="T657" s="30" t="str">
        <f t="array" ref="T657">IF($A657="", "", LET(bbgm_stat, INDEX(Players!$A656:$P656, MATCH(T$2, Players!$A$1:$P$1, 0)), perc_75, VLOOKUP(T$2, Percentiles!$A$45:$I$59, 6, FALSE), perc_90, VLOOKUP(T$2, Percentiles!$A$45:$I$59, 7, FALSE), perc_95, VLOOKUP(T$2, Percentiles!$A$45:$I$59, 8, FALSE), perc_85, perc_75 + (perc_90 - perc_75) * (2/3), converted_stat, '2K_Ratings'!T657, IF(bbgm_stat &gt;= perc_95, converted_stat * 3, IF(bbgm_stat &gt;= perc_90, converted_stat * 2, IF(bbgm_stat &gt;= perc_85, converted_stat * 1.5, converted_stat)))))</f>
        <v/>
      </c>
      <c r="U657" s="30" t="str">
        <f t="array" ref="U657">IF($A657="", "", LET(bbgm_stat, INDEX(Players!$A656:$P656, MATCH(U$2, Players!$A$1:$P$1, 0)), perc_75, VLOOKUP(U$2, Percentiles!$A$45:$I$59, 6, FALSE), perc_90, VLOOKUP(U$2, Percentiles!$A$45:$I$59, 7, FALSE), perc_95, VLOOKUP(U$2, Percentiles!$A$45:$I$59, 8, FALSE), perc_85, perc_75 + (perc_90 - perc_75) * (2/3), converted_stat, '2K_Ratings'!U657, IF(bbgm_stat &gt;= perc_95, converted_stat * 3, IF(bbgm_stat &gt;= perc_90, converted_stat * 2, IF(bbgm_stat &gt;= perc_85, converted_stat * 1.5, converted_stat)))))</f>
        <v/>
      </c>
      <c r="V657" s="30" t="str">
        <f t="array" ref="V657">IF($A657="", "", LET(bbgm_stat, INDEX(Players!$A656:$P656, MATCH(V$2, Players!$A$1:$P$1, 0)), perc_75, VLOOKUP(V$2, Percentiles!$A$45:$I$59, 6, FALSE), perc_90, VLOOKUP(V$2, Percentiles!$A$45:$I$59, 7, FALSE), perc_95, VLOOKUP(V$2, Percentiles!$A$45:$I$59, 8, FALSE), perc_85, perc_75 + (perc_90 - perc_75) * (2/3), converted_stat, '2K_Ratings'!V657, IF(bbgm_stat &gt;= perc_95, converted_stat * 3, IF(bbgm_stat &gt;= perc_90, converted_stat * 2, IF(bbgm_stat &gt;= perc_85, converted_stat * 1.5, converted_stat)))))</f>
        <v/>
      </c>
      <c r="W657" s="30" t="str">
        <f t="array" ref="W657">IF($A657="", "", LET(bbgm_stat, INDEX(Players!$A656:$P656, MATCH(W$2, Players!$A$1:$P$1, 0)), perc_75, VLOOKUP(W$2, Percentiles!$A$45:$I$59, 6, FALSE), perc_90, VLOOKUP(W$2, Percentiles!$A$45:$I$59, 7, FALSE), perc_95, VLOOKUP(W$2, Percentiles!$A$45:$I$59, 8, FALSE), perc_85, perc_75 + (perc_90 - perc_75) * (2/3), converted_stat, '2K_Ratings'!W657, IF(bbgm_stat &gt;= perc_95, converted_stat * 3, IF(bbgm_stat &gt;= perc_90, converted_stat * 2, IF(bbgm_stat &gt;= perc_85, converted_stat * 1.5, converted_stat)))))</f>
        <v/>
      </c>
    </row>
    <row r="658">
      <c r="A658" s="30"/>
      <c r="B658" s="30" t="str">
        <f t="array" ref="B658">IF($A658="", "", LET(bbgm_stat, INDEX(Players!$A657:$P657, MATCH(B$2, Players!$A$1:$P$1, 0)), perc_75, VLOOKUP(B$2, Percentiles!$A$45:$I$59, 6, FALSE), perc_90, VLOOKUP(B$2, Percentiles!$A$45:$I$59, 7, FALSE), perc_95, VLOOKUP(B$2, Percentiles!$A$45:$I$59, 8, FALSE), perc_85, perc_75 + (perc_90 - perc_75) * (2/3), converted_stat, '2K_Ratings'!B658, IF(bbgm_stat &gt;= perc_95, converted_stat * 3, IF(bbgm_stat &gt;= perc_90, converted_stat * 2, IF(bbgm_stat &gt;= perc_85, converted_stat * 1.5, converted_stat)))))</f>
        <v/>
      </c>
      <c r="C658" s="30" t="str">
        <f t="array" ref="C658">IF($A658="", "", LET(bbgm_stat, INDEX(Players!$A657:$P657, MATCH(C$2, Players!$A$1:$P$1, 0)), perc_75, VLOOKUP(C$2, Percentiles!$A$45:$I$59, 6, FALSE), perc_90, VLOOKUP(C$2, Percentiles!$A$45:$I$59, 7, FALSE), perc_95, VLOOKUP(C$2, Percentiles!$A$45:$I$59, 8, FALSE), perc_85, perc_75 + (perc_90 - perc_75) * (2/3), converted_stat, '2K_Ratings'!C658, IF(bbgm_stat &gt;= perc_95, converted_stat * 3, IF(bbgm_stat &gt;= perc_90, converted_stat * 2, IF(bbgm_stat &gt;= perc_85, converted_stat * 1.5, converted_stat)))))</f>
        <v/>
      </c>
      <c r="D658" s="30" t="str">
        <f t="array" ref="D658">IF($A658="", "", LET(bbgm_stat, INDEX(Players!$A657:$P657, MATCH(D$2, Players!$A$1:$P$1, 0)), perc_75, VLOOKUP(D$2, Percentiles!$A$45:$I$59, 6, FALSE), perc_90, VLOOKUP(D$2, Percentiles!$A$45:$I$59, 7, FALSE), perc_95, VLOOKUP(D$2, Percentiles!$A$45:$I$59, 8, FALSE), perc_85, perc_75 + (perc_90 - perc_75) * (2/3), converted_stat, '2K_Ratings'!D658, IF(bbgm_stat &gt;= perc_95, converted_stat * 3, IF(bbgm_stat &gt;= perc_90, converted_stat * 2, IF(bbgm_stat &gt;= perc_85, converted_stat * 1.5, converted_stat)))))</f>
        <v/>
      </c>
      <c r="E658" s="30" t="str">
        <f t="array" ref="E658">IF($A658="", "", LET(bbgm_stat, INDEX(Players!$A657:$P657, MATCH(E$2, Players!$A$1:$P$1, 0)), perc_75, VLOOKUP(E$2, Percentiles!$A$45:$I$59, 6, FALSE), perc_90, VLOOKUP(E$2, Percentiles!$A$45:$I$59, 7, FALSE), perc_95, VLOOKUP(E$2, Percentiles!$A$45:$I$59, 8, FALSE), perc_85, perc_75 + (perc_90 - perc_75) * (2/3), converted_stat, '2K_Ratings'!E658, IF(bbgm_stat &gt;= perc_95, converted_stat * 3, IF(bbgm_stat &gt;= perc_90, converted_stat * 2, IF(bbgm_stat &gt;= perc_85, converted_stat * 1.5, converted_stat)))))</f>
        <v/>
      </c>
      <c r="F658" s="30" t="str">
        <f t="array" ref="F658">IF($A658="", "", LET(bbgm_stat, INDEX(Players!$A657:$P657, MATCH(F$2, Players!$A$1:$P$1, 0)), perc_75, VLOOKUP(F$2, Percentiles!$A$45:$I$59, 6, FALSE), perc_90, VLOOKUP(F$2, Percentiles!$A$45:$I$59, 7, FALSE), perc_95, VLOOKUP(F$2, Percentiles!$A$45:$I$59, 8, FALSE), perc_85, perc_75 + (perc_90 - perc_75) * (2/3), converted_stat, '2K_Ratings'!F658, IF(bbgm_stat &gt;= perc_95, converted_stat * 3, IF(bbgm_stat &gt;= perc_90, converted_stat * 2, IF(bbgm_stat &gt;= perc_85, converted_stat * 1.5, converted_stat)))))</f>
        <v/>
      </c>
      <c r="G658" s="30" t="str">
        <f t="array" ref="G658">IF($A658="", "", LET(bbgm_stat, INDEX(Players!$A657:$P657, MATCH(G$2, Players!$A$1:$P$1, 0)), perc_75, VLOOKUP(G$2, Percentiles!$A$45:$I$59, 6, FALSE), perc_90, VLOOKUP(G$2, Percentiles!$A$45:$I$59, 7, FALSE), perc_95, VLOOKUP(G$2, Percentiles!$A$45:$I$59, 8, FALSE), perc_85, perc_75 + (perc_90 - perc_75) * (2/3), converted_stat, '2K_Ratings'!G658, IF(bbgm_stat &gt;= perc_95, converted_stat * 3, IF(bbgm_stat &gt;= perc_90, converted_stat * 2, IF(bbgm_stat &gt;= perc_85, converted_stat * 1.5, converted_stat)))))</f>
        <v/>
      </c>
      <c r="H658" s="30" t="str">
        <f t="array" ref="H658">IF($A658="", "", LET(bbgm_stat, INDEX(Players!$A657:$P657, MATCH(H$2, Players!$A$1:$P$1, 0)), perc_75, VLOOKUP(H$2, Percentiles!$A$45:$I$59, 6, FALSE), perc_90, VLOOKUP(H$2, Percentiles!$A$45:$I$59, 7, FALSE), perc_95, VLOOKUP(H$2, Percentiles!$A$45:$I$59, 8, FALSE), perc_85, perc_75 + (perc_90 - perc_75) * (2/3), converted_stat, '2K_Ratings'!H658, IF(bbgm_stat &gt;= perc_95, converted_stat * 3, IF(bbgm_stat &gt;= perc_90, converted_stat * 2, IF(bbgm_stat &gt;= perc_85, converted_stat * 1.5, converted_stat)))))</f>
        <v/>
      </c>
      <c r="I658" s="30" t="str">
        <f t="array" ref="I658">IF($A658="", "", LET(bbgm_stat, INDEX(Players!$A657:$P657, MATCH(I$2, Players!$A$1:$P$1, 0)), perc_75, VLOOKUP(I$2, Percentiles!$A$45:$I$59, 6, FALSE), perc_90, VLOOKUP(I$2, Percentiles!$A$45:$I$59, 7, FALSE), perc_95, VLOOKUP(I$2, Percentiles!$A$45:$I$59, 8, FALSE), perc_85, perc_75 + (perc_90 - perc_75) * (2/3), converted_stat, '2K_Ratings'!I658, IF(bbgm_stat &gt;= perc_95, converted_stat * 3, IF(bbgm_stat &gt;= perc_90, converted_stat * 2, IF(bbgm_stat &gt;= perc_85, converted_stat * 1.5, converted_stat)))))</f>
        <v/>
      </c>
      <c r="J658" s="30" t="str">
        <f t="array" ref="J658">IF($A658="", "", LET(bbgm_stat, INDEX(Players!$A657:$P657, MATCH(J$2, Players!$A$1:$P$1, 0)), perc_75, VLOOKUP(J$2, Percentiles!$A$45:$I$59, 6, FALSE), perc_90, VLOOKUP(J$2, Percentiles!$A$45:$I$59, 7, FALSE), perc_95, VLOOKUP(J$2, Percentiles!$A$45:$I$59, 8, FALSE), perc_85, perc_75 + (perc_90 - perc_75) * (2/3), converted_stat, '2K_Ratings'!J658, IF(bbgm_stat &gt;= perc_95, converted_stat * 3, IF(bbgm_stat &gt;= perc_90, converted_stat * 2, IF(bbgm_stat &gt;= perc_85, converted_stat * 1.5, converted_stat)))))</f>
        <v/>
      </c>
      <c r="K658" s="30" t="str">
        <f t="array" ref="K658">IF($A658="", "", LET(bbgm_stat, INDEX(Players!$A657:$P657, MATCH(K$2, Players!$A$1:$P$1, 0)), perc_75, VLOOKUP(K$2, Percentiles!$A$45:$I$59, 6, FALSE), perc_90, VLOOKUP(K$2, Percentiles!$A$45:$I$59, 7, FALSE), perc_95, VLOOKUP(K$2, Percentiles!$A$45:$I$59, 8, FALSE), perc_85, perc_75 + (perc_90 - perc_75) * (2/3), converted_stat, '2K_Ratings'!K658, IF(bbgm_stat &gt;= perc_95, converted_stat * 3, IF(bbgm_stat &gt;= perc_90, converted_stat * 2, IF(bbgm_stat &gt;= perc_85, converted_stat * 1.5, converted_stat)))))</f>
        <v/>
      </c>
      <c r="L658" s="30" t="str">
        <f t="array" ref="L658">IF($A658="", "", LET(bbgm_stat, INDEX(Players!$A657:$P657, MATCH(L$2, Players!$A$1:$P$1, 0)), perc_75, VLOOKUP(L$2, Percentiles!$A$45:$I$59, 6, FALSE), perc_90, VLOOKUP(L$2, Percentiles!$A$45:$I$59, 7, FALSE), perc_95, VLOOKUP(L$2, Percentiles!$A$45:$I$59, 8, FALSE), perc_85, perc_75 + (perc_90 - perc_75) * (2/3), converted_stat, '2K_Ratings'!L658, IF(bbgm_stat &gt;= perc_95, converted_stat * 3, IF(bbgm_stat &gt;= perc_90, converted_stat * 2, IF(bbgm_stat &gt;= perc_85, converted_stat * 1.5, converted_stat)))))</f>
        <v/>
      </c>
      <c r="M658" s="30" t="str">
        <f t="array" ref="M658">IF($A658="", "", LET(bbgm_stat, INDEX(Players!$A657:$P657, MATCH(M$2, Players!$A$1:$P$1, 0)), perc_75, VLOOKUP(M$2, Percentiles!$A$45:$I$59, 6, FALSE), perc_90, VLOOKUP(M$2, Percentiles!$A$45:$I$59, 7, FALSE), perc_95, VLOOKUP(M$2, Percentiles!$A$45:$I$59, 8, FALSE), perc_85, perc_75 + (perc_90 - perc_75) * (2/3), converted_stat, '2K_Ratings'!M658, IF(bbgm_stat &gt;= perc_95, converted_stat * 3, IF(bbgm_stat &gt;= perc_90, converted_stat * 2, IF(bbgm_stat &gt;= perc_85, converted_stat * 1.5, converted_stat)))))</f>
        <v/>
      </c>
      <c r="N658" s="30" t="str">
        <f t="array" ref="N658">IF($A658="", "", LET(bbgm_stat, INDEX(Players!$A657:$P657, MATCH(N$2, Players!$A$1:$P$1, 0)), perc_75, VLOOKUP(N$2, Percentiles!$A$45:$I$59, 6, FALSE), perc_90, VLOOKUP(N$2, Percentiles!$A$45:$I$59, 7, FALSE), perc_95, VLOOKUP(N$2, Percentiles!$A$45:$I$59, 8, FALSE), perc_85, perc_75 + (perc_90 - perc_75) * (2/3), converted_stat, '2K_Ratings'!N658, IF(bbgm_stat &gt;= perc_95, converted_stat * 3, IF(bbgm_stat &gt;= perc_90, converted_stat * 2, IF(bbgm_stat &gt;= perc_85, converted_stat * 1.5, converted_stat)))))</f>
        <v/>
      </c>
      <c r="O658" s="30" t="str">
        <f t="array" ref="O658">IF($A658="", "", LET(bbgm_stat, INDEX(Players!$A657:$P657, MATCH(O$2, Players!$A$1:$P$1, 0)), perc_75, VLOOKUP(O$2, Percentiles!$A$45:$I$59, 6, FALSE), perc_90, VLOOKUP(O$2, Percentiles!$A$45:$I$59, 7, FALSE), perc_95, VLOOKUP(O$2, Percentiles!$A$45:$I$59, 8, FALSE), perc_85, perc_75 + (perc_90 - perc_75) * (2/3), converted_stat, '2K_Ratings'!O658, IF(bbgm_stat &gt;= perc_95, converted_stat * 3, IF(bbgm_stat &gt;= perc_90, converted_stat * 2, IF(bbgm_stat &gt;= perc_85, converted_stat * 1.5, converted_stat)))))</f>
        <v/>
      </c>
      <c r="P658" s="30" t="str">
        <f t="array" ref="P658">IF($A658="", "", LET(bbgm_stat, INDEX(Players!$A657:$P657, MATCH(P$2, Players!$A$1:$P$1, 0)), perc_75, VLOOKUP(P$2, Percentiles!$A$45:$I$59, 6, FALSE), perc_90, VLOOKUP(P$2, Percentiles!$A$45:$I$59, 7, FALSE), perc_95, VLOOKUP(P$2, Percentiles!$A$45:$I$59, 8, FALSE), perc_85, perc_75 + (perc_90 - perc_75) * (2/3), converted_stat, '2K_Ratings'!P658, IF(bbgm_stat &gt;= perc_95, converted_stat * 3, IF(bbgm_stat &gt;= perc_90, converted_stat * 2, IF(bbgm_stat &gt;= perc_85, converted_stat * 1.5, converted_stat)))))</f>
        <v/>
      </c>
      <c r="Q658" s="30" t="str">
        <f t="array" ref="Q658">IF($A658="", "", LET(bbgm_stat, INDEX(Players!$A657:$P657, MATCH(Q$2, Players!$A$1:$P$1, 0)), perc_75, VLOOKUP(Q$2, Percentiles!$A$45:$I$59, 6, FALSE), perc_90, VLOOKUP(Q$2, Percentiles!$A$45:$I$59, 7, FALSE), perc_95, VLOOKUP(Q$2, Percentiles!$A$45:$I$59, 8, FALSE), perc_85, perc_75 + (perc_90 - perc_75) * (2/3), converted_stat, '2K_Ratings'!Q658, IF(bbgm_stat &gt;= perc_95, converted_stat * 3, IF(bbgm_stat &gt;= perc_90, converted_stat * 2, IF(bbgm_stat &gt;= perc_85, converted_stat * 1.5, converted_stat)))))</f>
        <v/>
      </c>
      <c r="R658" s="30" t="str">
        <f t="array" ref="R658">IF($A658="", "", LET(bbgm_stat, INDEX(Players!$A657:$P657, MATCH(R$2, Players!$A$1:$P$1, 0)), perc_75, VLOOKUP(R$2, Percentiles!$A$45:$I$59, 6, FALSE), perc_90, VLOOKUP(R$2, Percentiles!$A$45:$I$59, 7, FALSE), perc_95, VLOOKUP(R$2, Percentiles!$A$45:$I$59, 8, FALSE), perc_85, perc_75 + (perc_90 - perc_75) * (2/3), converted_stat, '2K_Ratings'!R658, IF(bbgm_stat &gt;= perc_95, converted_stat * 3, IF(bbgm_stat &gt;= perc_90, converted_stat * 2, IF(bbgm_stat &gt;= perc_85, converted_stat * 1.5, converted_stat)))))</f>
        <v/>
      </c>
      <c r="S658" s="30" t="str">
        <f t="array" ref="S658">IF($A658="", "", LET(bbgm_stat, INDEX(Players!$A657:$P657, MATCH(S$2, Players!$A$1:$P$1, 0)), perc_75, VLOOKUP(S$2, Percentiles!$A$45:$I$59, 6, FALSE), perc_90, VLOOKUP(S$2, Percentiles!$A$45:$I$59, 7, FALSE), perc_95, VLOOKUP(S$2, Percentiles!$A$45:$I$59, 8, FALSE), perc_85, perc_75 + (perc_90 - perc_75) * (2/3), converted_stat, '2K_Ratings'!S658, IF(bbgm_stat &gt;= perc_95, converted_stat * 3, IF(bbgm_stat &gt;= perc_90, converted_stat * 2, IF(bbgm_stat &gt;= perc_85, converted_stat * 1.5, converted_stat)))))</f>
        <v/>
      </c>
      <c r="T658" s="30" t="str">
        <f t="array" ref="T658">IF($A658="", "", LET(bbgm_stat, INDEX(Players!$A657:$P657, MATCH(T$2, Players!$A$1:$P$1, 0)), perc_75, VLOOKUP(T$2, Percentiles!$A$45:$I$59, 6, FALSE), perc_90, VLOOKUP(T$2, Percentiles!$A$45:$I$59, 7, FALSE), perc_95, VLOOKUP(T$2, Percentiles!$A$45:$I$59, 8, FALSE), perc_85, perc_75 + (perc_90 - perc_75) * (2/3), converted_stat, '2K_Ratings'!T658, IF(bbgm_stat &gt;= perc_95, converted_stat * 3, IF(bbgm_stat &gt;= perc_90, converted_stat * 2, IF(bbgm_stat &gt;= perc_85, converted_stat * 1.5, converted_stat)))))</f>
        <v/>
      </c>
      <c r="U658" s="30" t="str">
        <f t="array" ref="U658">IF($A658="", "", LET(bbgm_stat, INDEX(Players!$A657:$P657, MATCH(U$2, Players!$A$1:$P$1, 0)), perc_75, VLOOKUP(U$2, Percentiles!$A$45:$I$59, 6, FALSE), perc_90, VLOOKUP(U$2, Percentiles!$A$45:$I$59, 7, FALSE), perc_95, VLOOKUP(U$2, Percentiles!$A$45:$I$59, 8, FALSE), perc_85, perc_75 + (perc_90 - perc_75) * (2/3), converted_stat, '2K_Ratings'!U658, IF(bbgm_stat &gt;= perc_95, converted_stat * 3, IF(bbgm_stat &gt;= perc_90, converted_stat * 2, IF(bbgm_stat &gt;= perc_85, converted_stat * 1.5, converted_stat)))))</f>
        <v/>
      </c>
      <c r="V658" s="30" t="str">
        <f t="array" ref="V658">IF($A658="", "", LET(bbgm_stat, INDEX(Players!$A657:$P657, MATCH(V$2, Players!$A$1:$P$1, 0)), perc_75, VLOOKUP(V$2, Percentiles!$A$45:$I$59, 6, FALSE), perc_90, VLOOKUP(V$2, Percentiles!$A$45:$I$59, 7, FALSE), perc_95, VLOOKUP(V$2, Percentiles!$A$45:$I$59, 8, FALSE), perc_85, perc_75 + (perc_90 - perc_75) * (2/3), converted_stat, '2K_Ratings'!V658, IF(bbgm_stat &gt;= perc_95, converted_stat * 3, IF(bbgm_stat &gt;= perc_90, converted_stat * 2, IF(bbgm_stat &gt;= perc_85, converted_stat * 1.5, converted_stat)))))</f>
        <v/>
      </c>
      <c r="W658" s="30" t="str">
        <f t="array" ref="W658">IF($A658="", "", LET(bbgm_stat, INDEX(Players!$A657:$P657, MATCH(W$2, Players!$A$1:$P$1, 0)), perc_75, VLOOKUP(W$2, Percentiles!$A$45:$I$59, 6, FALSE), perc_90, VLOOKUP(W$2, Percentiles!$A$45:$I$59, 7, FALSE), perc_95, VLOOKUP(W$2, Percentiles!$A$45:$I$59, 8, FALSE), perc_85, perc_75 + (perc_90 - perc_75) * (2/3), converted_stat, '2K_Ratings'!W658, IF(bbgm_stat &gt;= perc_95, converted_stat * 3, IF(bbgm_stat &gt;= perc_90, converted_stat * 2, IF(bbgm_stat &gt;= perc_85, converted_stat * 1.5, converted_stat)))))</f>
        <v/>
      </c>
    </row>
    <row r="659">
      <c r="A659" s="30"/>
      <c r="B659" s="30" t="str">
        <f t="array" ref="B659">IF($A659="", "", LET(bbgm_stat, INDEX(Players!$A658:$P658, MATCH(B$2, Players!$A$1:$P$1, 0)), perc_75, VLOOKUP(B$2, Percentiles!$A$45:$I$59, 6, FALSE), perc_90, VLOOKUP(B$2, Percentiles!$A$45:$I$59, 7, FALSE), perc_95, VLOOKUP(B$2, Percentiles!$A$45:$I$59, 8, FALSE), perc_85, perc_75 + (perc_90 - perc_75) * (2/3), converted_stat, '2K_Ratings'!B659, IF(bbgm_stat &gt;= perc_95, converted_stat * 3, IF(bbgm_stat &gt;= perc_90, converted_stat * 2, IF(bbgm_stat &gt;= perc_85, converted_stat * 1.5, converted_stat)))))</f>
        <v/>
      </c>
      <c r="C659" s="30" t="str">
        <f t="array" ref="C659">IF($A659="", "", LET(bbgm_stat, INDEX(Players!$A658:$P658, MATCH(C$2, Players!$A$1:$P$1, 0)), perc_75, VLOOKUP(C$2, Percentiles!$A$45:$I$59, 6, FALSE), perc_90, VLOOKUP(C$2, Percentiles!$A$45:$I$59, 7, FALSE), perc_95, VLOOKUP(C$2, Percentiles!$A$45:$I$59, 8, FALSE), perc_85, perc_75 + (perc_90 - perc_75) * (2/3), converted_stat, '2K_Ratings'!C659, IF(bbgm_stat &gt;= perc_95, converted_stat * 3, IF(bbgm_stat &gt;= perc_90, converted_stat * 2, IF(bbgm_stat &gt;= perc_85, converted_stat * 1.5, converted_stat)))))</f>
        <v/>
      </c>
      <c r="D659" s="30" t="str">
        <f t="array" ref="D659">IF($A659="", "", LET(bbgm_stat, INDEX(Players!$A658:$P658, MATCH(D$2, Players!$A$1:$P$1, 0)), perc_75, VLOOKUP(D$2, Percentiles!$A$45:$I$59, 6, FALSE), perc_90, VLOOKUP(D$2, Percentiles!$A$45:$I$59, 7, FALSE), perc_95, VLOOKUP(D$2, Percentiles!$A$45:$I$59, 8, FALSE), perc_85, perc_75 + (perc_90 - perc_75) * (2/3), converted_stat, '2K_Ratings'!D659, IF(bbgm_stat &gt;= perc_95, converted_stat * 3, IF(bbgm_stat &gt;= perc_90, converted_stat * 2, IF(bbgm_stat &gt;= perc_85, converted_stat * 1.5, converted_stat)))))</f>
        <v/>
      </c>
      <c r="E659" s="30" t="str">
        <f t="array" ref="E659">IF($A659="", "", LET(bbgm_stat, INDEX(Players!$A658:$P658, MATCH(E$2, Players!$A$1:$P$1, 0)), perc_75, VLOOKUP(E$2, Percentiles!$A$45:$I$59, 6, FALSE), perc_90, VLOOKUP(E$2, Percentiles!$A$45:$I$59, 7, FALSE), perc_95, VLOOKUP(E$2, Percentiles!$A$45:$I$59, 8, FALSE), perc_85, perc_75 + (perc_90 - perc_75) * (2/3), converted_stat, '2K_Ratings'!E659, IF(bbgm_stat &gt;= perc_95, converted_stat * 3, IF(bbgm_stat &gt;= perc_90, converted_stat * 2, IF(bbgm_stat &gt;= perc_85, converted_stat * 1.5, converted_stat)))))</f>
        <v/>
      </c>
      <c r="F659" s="30" t="str">
        <f t="array" ref="F659">IF($A659="", "", LET(bbgm_stat, INDEX(Players!$A658:$P658, MATCH(F$2, Players!$A$1:$P$1, 0)), perc_75, VLOOKUP(F$2, Percentiles!$A$45:$I$59, 6, FALSE), perc_90, VLOOKUP(F$2, Percentiles!$A$45:$I$59, 7, FALSE), perc_95, VLOOKUP(F$2, Percentiles!$A$45:$I$59, 8, FALSE), perc_85, perc_75 + (perc_90 - perc_75) * (2/3), converted_stat, '2K_Ratings'!F659, IF(bbgm_stat &gt;= perc_95, converted_stat * 3, IF(bbgm_stat &gt;= perc_90, converted_stat * 2, IF(bbgm_stat &gt;= perc_85, converted_stat * 1.5, converted_stat)))))</f>
        <v/>
      </c>
      <c r="G659" s="30" t="str">
        <f t="array" ref="G659">IF($A659="", "", LET(bbgm_stat, INDEX(Players!$A658:$P658, MATCH(G$2, Players!$A$1:$P$1, 0)), perc_75, VLOOKUP(G$2, Percentiles!$A$45:$I$59, 6, FALSE), perc_90, VLOOKUP(G$2, Percentiles!$A$45:$I$59, 7, FALSE), perc_95, VLOOKUP(G$2, Percentiles!$A$45:$I$59, 8, FALSE), perc_85, perc_75 + (perc_90 - perc_75) * (2/3), converted_stat, '2K_Ratings'!G659, IF(bbgm_stat &gt;= perc_95, converted_stat * 3, IF(bbgm_stat &gt;= perc_90, converted_stat * 2, IF(bbgm_stat &gt;= perc_85, converted_stat * 1.5, converted_stat)))))</f>
        <v/>
      </c>
      <c r="H659" s="30" t="str">
        <f t="array" ref="H659">IF($A659="", "", LET(bbgm_stat, INDEX(Players!$A658:$P658, MATCH(H$2, Players!$A$1:$P$1, 0)), perc_75, VLOOKUP(H$2, Percentiles!$A$45:$I$59, 6, FALSE), perc_90, VLOOKUP(H$2, Percentiles!$A$45:$I$59, 7, FALSE), perc_95, VLOOKUP(H$2, Percentiles!$A$45:$I$59, 8, FALSE), perc_85, perc_75 + (perc_90 - perc_75) * (2/3), converted_stat, '2K_Ratings'!H659, IF(bbgm_stat &gt;= perc_95, converted_stat * 3, IF(bbgm_stat &gt;= perc_90, converted_stat * 2, IF(bbgm_stat &gt;= perc_85, converted_stat * 1.5, converted_stat)))))</f>
        <v/>
      </c>
      <c r="I659" s="30" t="str">
        <f t="array" ref="I659">IF($A659="", "", LET(bbgm_stat, INDEX(Players!$A658:$P658, MATCH(I$2, Players!$A$1:$P$1, 0)), perc_75, VLOOKUP(I$2, Percentiles!$A$45:$I$59, 6, FALSE), perc_90, VLOOKUP(I$2, Percentiles!$A$45:$I$59, 7, FALSE), perc_95, VLOOKUP(I$2, Percentiles!$A$45:$I$59, 8, FALSE), perc_85, perc_75 + (perc_90 - perc_75) * (2/3), converted_stat, '2K_Ratings'!I659, IF(bbgm_stat &gt;= perc_95, converted_stat * 3, IF(bbgm_stat &gt;= perc_90, converted_stat * 2, IF(bbgm_stat &gt;= perc_85, converted_stat * 1.5, converted_stat)))))</f>
        <v/>
      </c>
      <c r="J659" s="30" t="str">
        <f t="array" ref="J659">IF($A659="", "", LET(bbgm_stat, INDEX(Players!$A658:$P658, MATCH(J$2, Players!$A$1:$P$1, 0)), perc_75, VLOOKUP(J$2, Percentiles!$A$45:$I$59, 6, FALSE), perc_90, VLOOKUP(J$2, Percentiles!$A$45:$I$59, 7, FALSE), perc_95, VLOOKUP(J$2, Percentiles!$A$45:$I$59, 8, FALSE), perc_85, perc_75 + (perc_90 - perc_75) * (2/3), converted_stat, '2K_Ratings'!J659, IF(bbgm_stat &gt;= perc_95, converted_stat * 3, IF(bbgm_stat &gt;= perc_90, converted_stat * 2, IF(bbgm_stat &gt;= perc_85, converted_stat * 1.5, converted_stat)))))</f>
        <v/>
      </c>
      <c r="K659" s="30" t="str">
        <f t="array" ref="K659">IF($A659="", "", LET(bbgm_stat, INDEX(Players!$A658:$P658, MATCH(K$2, Players!$A$1:$P$1, 0)), perc_75, VLOOKUP(K$2, Percentiles!$A$45:$I$59, 6, FALSE), perc_90, VLOOKUP(K$2, Percentiles!$A$45:$I$59, 7, FALSE), perc_95, VLOOKUP(K$2, Percentiles!$A$45:$I$59, 8, FALSE), perc_85, perc_75 + (perc_90 - perc_75) * (2/3), converted_stat, '2K_Ratings'!K659, IF(bbgm_stat &gt;= perc_95, converted_stat * 3, IF(bbgm_stat &gt;= perc_90, converted_stat * 2, IF(bbgm_stat &gt;= perc_85, converted_stat * 1.5, converted_stat)))))</f>
        <v/>
      </c>
      <c r="L659" s="30" t="str">
        <f t="array" ref="L659">IF($A659="", "", LET(bbgm_stat, INDEX(Players!$A658:$P658, MATCH(L$2, Players!$A$1:$P$1, 0)), perc_75, VLOOKUP(L$2, Percentiles!$A$45:$I$59, 6, FALSE), perc_90, VLOOKUP(L$2, Percentiles!$A$45:$I$59, 7, FALSE), perc_95, VLOOKUP(L$2, Percentiles!$A$45:$I$59, 8, FALSE), perc_85, perc_75 + (perc_90 - perc_75) * (2/3), converted_stat, '2K_Ratings'!L659, IF(bbgm_stat &gt;= perc_95, converted_stat * 3, IF(bbgm_stat &gt;= perc_90, converted_stat * 2, IF(bbgm_stat &gt;= perc_85, converted_stat * 1.5, converted_stat)))))</f>
        <v/>
      </c>
      <c r="M659" s="30" t="str">
        <f t="array" ref="M659">IF($A659="", "", LET(bbgm_stat, INDEX(Players!$A658:$P658, MATCH(M$2, Players!$A$1:$P$1, 0)), perc_75, VLOOKUP(M$2, Percentiles!$A$45:$I$59, 6, FALSE), perc_90, VLOOKUP(M$2, Percentiles!$A$45:$I$59, 7, FALSE), perc_95, VLOOKUP(M$2, Percentiles!$A$45:$I$59, 8, FALSE), perc_85, perc_75 + (perc_90 - perc_75) * (2/3), converted_stat, '2K_Ratings'!M659, IF(bbgm_stat &gt;= perc_95, converted_stat * 3, IF(bbgm_stat &gt;= perc_90, converted_stat * 2, IF(bbgm_stat &gt;= perc_85, converted_stat * 1.5, converted_stat)))))</f>
        <v/>
      </c>
      <c r="N659" s="30" t="str">
        <f t="array" ref="N659">IF($A659="", "", LET(bbgm_stat, INDEX(Players!$A658:$P658, MATCH(N$2, Players!$A$1:$P$1, 0)), perc_75, VLOOKUP(N$2, Percentiles!$A$45:$I$59, 6, FALSE), perc_90, VLOOKUP(N$2, Percentiles!$A$45:$I$59, 7, FALSE), perc_95, VLOOKUP(N$2, Percentiles!$A$45:$I$59, 8, FALSE), perc_85, perc_75 + (perc_90 - perc_75) * (2/3), converted_stat, '2K_Ratings'!N659, IF(bbgm_stat &gt;= perc_95, converted_stat * 3, IF(bbgm_stat &gt;= perc_90, converted_stat * 2, IF(bbgm_stat &gt;= perc_85, converted_stat * 1.5, converted_stat)))))</f>
        <v/>
      </c>
      <c r="O659" s="30" t="str">
        <f t="array" ref="O659">IF($A659="", "", LET(bbgm_stat, INDEX(Players!$A658:$P658, MATCH(O$2, Players!$A$1:$P$1, 0)), perc_75, VLOOKUP(O$2, Percentiles!$A$45:$I$59, 6, FALSE), perc_90, VLOOKUP(O$2, Percentiles!$A$45:$I$59, 7, FALSE), perc_95, VLOOKUP(O$2, Percentiles!$A$45:$I$59, 8, FALSE), perc_85, perc_75 + (perc_90 - perc_75) * (2/3), converted_stat, '2K_Ratings'!O659, IF(bbgm_stat &gt;= perc_95, converted_stat * 3, IF(bbgm_stat &gt;= perc_90, converted_stat * 2, IF(bbgm_stat &gt;= perc_85, converted_stat * 1.5, converted_stat)))))</f>
        <v/>
      </c>
      <c r="P659" s="30" t="str">
        <f t="array" ref="P659">IF($A659="", "", LET(bbgm_stat, INDEX(Players!$A658:$P658, MATCH(P$2, Players!$A$1:$P$1, 0)), perc_75, VLOOKUP(P$2, Percentiles!$A$45:$I$59, 6, FALSE), perc_90, VLOOKUP(P$2, Percentiles!$A$45:$I$59, 7, FALSE), perc_95, VLOOKUP(P$2, Percentiles!$A$45:$I$59, 8, FALSE), perc_85, perc_75 + (perc_90 - perc_75) * (2/3), converted_stat, '2K_Ratings'!P659, IF(bbgm_stat &gt;= perc_95, converted_stat * 3, IF(bbgm_stat &gt;= perc_90, converted_stat * 2, IF(bbgm_stat &gt;= perc_85, converted_stat * 1.5, converted_stat)))))</f>
        <v/>
      </c>
      <c r="Q659" s="30" t="str">
        <f t="array" ref="Q659">IF($A659="", "", LET(bbgm_stat, INDEX(Players!$A658:$P658, MATCH(Q$2, Players!$A$1:$P$1, 0)), perc_75, VLOOKUP(Q$2, Percentiles!$A$45:$I$59, 6, FALSE), perc_90, VLOOKUP(Q$2, Percentiles!$A$45:$I$59, 7, FALSE), perc_95, VLOOKUP(Q$2, Percentiles!$A$45:$I$59, 8, FALSE), perc_85, perc_75 + (perc_90 - perc_75) * (2/3), converted_stat, '2K_Ratings'!Q659, IF(bbgm_stat &gt;= perc_95, converted_stat * 3, IF(bbgm_stat &gt;= perc_90, converted_stat * 2, IF(bbgm_stat &gt;= perc_85, converted_stat * 1.5, converted_stat)))))</f>
        <v/>
      </c>
      <c r="R659" s="30" t="str">
        <f t="array" ref="R659">IF($A659="", "", LET(bbgm_stat, INDEX(Players!$A658:$P658, MATCH(R$2, Players!$A$1:$P$1, 0)), perc_75, VLOOKUP(R$2, Percentiles!$A$45:$I$59, 6, FALSE), perc_90, VLOOKUP(R$2, Percentiles!$A$45:$I$59, 7, FALSE), perc_95, VLOOKUP(R$2, Percentiles!$A$45:$I$59, 8, FALSE), perc_85, perc_75 + (perc_90 - perc_75) * (2/3), converted_stat, '2K_Ratings'!R659, IF(bbgm_stat &gt;= perc_95, converted_stat * 3, IF(bbgm_stat &gt;= perc_90, converted_stat * 2, IF(bbgm_stat &gt;= perc_85, converted_stat * 1.5, converted_stat)))))</f>
        <v/>
      </c>
      <c r="S659" s="30" t="str">
        <f t="array" ref="S659">IF($A659="", "", LET(bbgm_stat, INDEX(Players!$A658:$P658, MATCH(S$2, Players!$A$1:$P$1, 0)), perc_75, VLOOKUP(S$2, Percentiles!$A$45:$I$59, 6, FALSE), perc_90, VLOOKUP(S$2, Percentiles!$A$45:$I$59, 7, FALSE), perc_95, VLOOKUP(S$2, Percentiles!$A$45:$I$59, 8, FALSE), perc_85, perc_75 + (perc_90 - perc_75) * (2/3), converted_stat, '2K_Ratings'!S659, IF(bbgm_stat &gt;= perc_95, converted_stat * 3, IF(bbgm_stat &gt;= perc_90, converted_stat * 2, IF(bbgm_stat &gt;= perc_85, converted_stat * 1.5, converted_stat)))))</f>
        <v/>
      </c>
      <c r="T659" s="30" t="str">
        <f t="array" ref="T659">IF($A659="", "", LET(bbgm_stat, INDEX(Players!$A658:$P658, MATCH(T$2, Players!$A$1:$P$1, 0)), perc_75, VLOOKUP(T$2, Percentiles!$A$45:$I$59, 6, FALSE), perc_90, VLOOKUP(T$2, Percentiles!$A$45:$I$59, 7, FALSE), perc_95, VLOOKUP(T$2, Percentiles!$A$45:$I$59, 8, FALSE), perc_85, perc_75 + (perc_90 - perc_75) * (2/3), converted_stat, '2K_Ratings'!T659, IF(bbgm_stat &gt;= perc_95, converted_stat * 3, IF(bbgm_stat &gt;= perc_90, converted_stat * 2, IF(bbgm_stat &gt;= perc_85, converted_stat * 1.5, converted_stat)))))</f>
        <v/>
      </c>
      <c r="U659" s="30" t="str">
        <f t="array" ref="U659">IF($A659="", "", LET(bbgm_stat, INDEX(Players!$A658:$P658, MATCH(U$2, Players!$A$1:$P$1, 0)), perc_75, VLOOKUP(U$2, Percentiles!$A$45:$I$59, 6, FALSE), perc_90, VLOOKUP(U$2, Percentiles!$A$45:$I$59, 7, FALSE), perc_95, VLOOKUP(U$2, Percentiles!$A$45:$I$59, 8, FALSE), perc_85, perc_75 + (perc_90 - perc_75) * (2/3), converted_stat, '2K_Ratings'!U659, IF(bbgm_stat &gt;= perc_95, converted_stat * 3, IF(bbgm_stat &gt;= perc_90, converted_stat * 2, IF(bbgm_stat &gt;= perc_85, converted_stat * 1.5, converted_stat)))))</f>
        <v/>
      </c>
      <c r="V659" s="30" t="str">
        <f t="array" ref="V659">IF($A659="", "", LET(bbgm_stat, INDEX(Players!$A658:$P658, MATCH(V$2, Players!$A$1:$P$1, 0)), perc_75, VLOOKUP(V$2, Percentiles!$A$45:$I$59, 6, FALSE), perc_90, VLOOKUP(V$2, Percentiles!$A$45:$I$59, 7, FALSE), perc_95, VLOOKUP(V$2, Percentiles!$A$45:$I$59, 8, FALSE), perc_85, perc_75 + (perc_90 - perc_75) * (2/3), converted_stat, '2K_Ratings'!V659, IF(bbgm_stat &gt;= perc_95, converted_stat * 3, IF(bbgm_stat &gt;= perc_90, converted_stat * 2, IF(bbgm_stat &gt;= perc_85, converted_stat * 1.5, converted_stat)))))</f>
        <v/>
      </c>
      <c r="W659" s="30" t="str">
        <f t="array" ref="W659">IF($A659="", "", LET(bbgm_stat, INDEX(Players!$A658:$P658, MATCH(W$2, Players!$A$1:$P$1, 0)), perc_75, VLOOKUP(W$2, Percentiles!$A$45:$I$59, 6, FALSE), perc_90, VLOOKUP(W$2, Percentiles!$A$45:$I$59, 7, FALSE), perc_95, VLOOKUP(W$2, Percentiles!$A$45:$I$59, 8, FALSE), perc_85, perc_75 + (perc_90 - perc_75) * (2/3), converted_stat, '2K_Ratings'!W659, IF(bbgm_stat &gt;= perc_95, converted_stat * 3, IF(bbgm_stat &gt;= perc_90, converted_stat * 2, IF(bbgm_stat &gt;= perc_85, converted_stat * 1.5, converted_stat)))))</f>
        <v/>
      </c>
    </row>
    <row r="660">
      <c r="A660" s="30"/>
      <c r="B660" s="30" t="str">
        <f t="array" ref="B660">IF($A660="", "", LET(bbgm_stat, INDEX(Players!$A659:$P659, MATCH(B$2, Players!$A$1:$P$1, 0)), perc_75, VLOOKUP(B$2, Percentiles!$A$45:$I$59, 6, FALSE), perc_90, VLOOKUP(B$2, Percentiles!$A$45:$I$59, 7, FALSE), perc_95, VLOOKUP(B$2, Percentiles!$A$45:$I$59, 8, FALSE), perc_85, perc_75 + (perc_90 - perc_75) * (2/3), converted_stat, '2K_Ratings'!B660, IF(bbgm_stat &gt;= perc_95, converted_stat * 3, IF(bbgm_stat &gt;= perc_90, converted_stat * 2, IF(bbgm_stat &gt;= perc_85, converted_stat * 1.5, converted_stat)))))</f>
        <v/>
      </c>
      <c r="C660" s="30" t="str">
        <f t="array" ref="C660">IF($A660="", "", LET(bbgm_stat, INDEX(Players!$A659:$P659, MATCH(C$2, Players!$A$1:$P$1, 0)), perc_75, VLOOKUP(C$2, Percentiles!$A$45:$I$59, 6, FALSE), perc_90, VLOOKUP(C$2, Percentiles!$A$45:$I$59, 7, FALSE), perc_95, VLOOKUP(C$2, Percentiles!$A$45:$I$59, 8, FALSE), perc_85, perc_75 + (perc_90 - perc_75) * (2/3), converted_stat, '2K_Ratings'!C660, IF(bbgm_stat &gt;= perc_95, converted_stat * 3, IF(bbgm_stat &gt;= perc_90, converted_stat * 2, IF(bbgm_stat &gt;= perc_85, converted_stat * 1.5, converted_stat)))))</f>
        <v/>
      </c>
      <c r="D660" s="30" t="str">
        <f t="array" ref="D660">IF($A660="", "", LET(bbgm_stat, INDEX(Players!$A659:$P659, MATCH(D$2, Players!$A$1:$P$1, 0)), perc_75, VLOOKUP(D$2, Percentiles!$A$45:$I$59, 6, FALSE), perc_90, VLOOKUP(D$2, Percentiles!$A$45:$I$59, 7, FALSE), perc_95, VLOOKUP(D$2, Percentiles!$A$45:$I$59, 8, FALSE), perc_85, perc_75 + (perc_90 - perc_75) * (2/3), converted_stat, '2K_Ratings'!D660, IF(bbgm_stat &gt;= perc_95, converted_stat * 3, IF(bbgm_stat &gt;= perc_90, converted_stat * 2, IF(bbgm_stat &gt;= perc_85, converted_stat * 1.5, converted_stat)))))</f>
        <v/>
      </c>
      <c r="E660" s="30" t="str">
        <f t="array" ref="E660">IF($A660="", "", LET(bbgm_stat, INDEX(Players!$A659:$P659, MATCH(E$2, Players!$A$1:$P$1, 0)), perc_75, VLOOKUP(E$2, Percentiles!$A$45:$I$59, 6, FALSE), perc_90, VLOOKUP(E$2, Percentiles!$A$45:$I$59, 7, FALSE), perc_95, VLOOKUP(E$2, Percentiles!$A$45:$I$59, 8, FALSE), perc_85, perc_75 + (perc_90 - perc_75) * (2/3), converted_stat, '2K_Ratings'!E660, IF(bbgm_stat &gt;= perc_95, converted_stat * 3, IF(bbgm_stat &gt;= perc_90, converted_stat * 2, IF(bbgm_stat &gt;= perc_85, converted_stat * 1.5, converted_stat)))))</f>
        <v/>
      </c>
      <c r="F660" s="30" t="str">
        <f t="array" ref="F660">IF($A660="", "", LET(bbgm_stat, INDEX(Players!$A659:$P659, MATCH(F$2, Players!$A$1:$P$1, 0)), perc_75, VLOOKUP(F$2, Percentiles!$A$45:$I$59, 6, FALSE), perc_90, VLOOKUP(F$2, Percentiles!$A$45:$I$59, 7, FALSE), perc_95, VLOOKUP(F$2, Percentiles!$A$45:$I$59, 8, FALSE), perc_85, perc_75 + (perc_90 - perc_75) * (2/3), converted_stat, '2K_Ratings'!F660, IF(bbgm_stat &gt;= perc_95, converted_stat * 3, IF(bbgm_stat &gt;= perc_90, converted_stat * 2, IF(bbgm_stat &gt;= perc_85, converted_stat * 1.5, converted_stat)))))</f>
        <v/>
      </c>
      <c r="G660" s="30" t="str">
        <f t="array" ref="G660">IF($A660="", "", LET(bbgm_stat, INDEX(Players!$A659:$P659, MATCH(G$2, Players!$A$1:$P$1, 0)), perc_75, VLOOKUP(G$2, Percentiles!$A$45:$I$59, 6, FALSE), perc_90, VLOOKUP(G$2, Percentiles!$A$45:$I$59, 7, FALSE), perc_95, VLOOKUP(G$2, Percentiles!$A$45:$I$59, 8, FALSE), perc_85, perc_75 + (perc_90 - perc_75) * (2/3), converted_stat, '2K_Ratings'!G660, IF(bbgm_stat &gt;= perc_95, converted_stat * 3, IF(bbgm_stat &gt;= perc_90, converted_stat * 2, IF(bbgm_stat &gt;= perc_85, converted_stat * 1.5, converted_stat)))))</f>
        <v/>
      </c>
      <c r="H660" s="30" t="str">
        <f t="array" ref="H660">IF($A660="", "", LET(bbgm_stat, INDEX(Players!$A659:$P659, MATCH(H$2, Players!$A$1:$P$1, 0)), perc_75, VLOOKUP(H$2, Percentiles!$A$45:$I$59, 6, FALSE), perc_90, VLOOKUP(H$2, Percentiles!$A$45:$I$59, 7, FALSE), perc_95, VLOOKUP(H$2, Percentiles!$A$45:$I$59, 8, FALSE), perc_85, perc_75 + (perc_90 - perc_75) * (2/3), converted_stat, '2K_Ratings'!H660, IF(bbgm_stat &gt;= perc_95, converted_stat * 3, IF(bbgm_stat &gt;= perc_90, converted_stat * 2, IF(bbgm_stat &gt;= perc_85, converted_stat * 1.5, converted_stat)))))</f>
        <v/>
      </c>
      <c r="I660" s="30" t="str">
        <f t="array" ref="I660">IF($A660="", "", LET(bbgm_stat, INDEX(Players!$A659:$P659, MATCH(I$2, Players!$A$1:$P$1, 0)), perc_75, VLOOKUP(I$2, Percentiles!$A$45:$I$59, 6, FALSE), perc_90, VLOOKUP(I$2, Percentiles!$A$45:$I$59, 7, FALSE), perc_95, VLOOKUP(I$2, Percentiles!$A$45:$I$59, 8, FALSE), perc_85, perc_75 + (perc_90 - perc_75) * (2/3), converted_stat, '2K_Ratings'!I660, IF(bbgm_stat &gt;= perc_95, converted_stat * 3, IF(bbgm_stat &gt;= perc_90, converted_stat * 2, IF(bbgm_stat &gt;= perc_85, converted_stat * 1.5, converted_stat)))))</f>
        <v/>
      </c>
      <c r="J660" s="30" t="str">
        <f t="array" ref="J660">IF($A660="", "", LET(bbgm_stat, INDEX(Players!$A659:$P659, MATCH(J$2, Players!$A$1:$P$1, 0)), perc_75, VLOOKUP(J$2, Percentiles!$A$45:$I$59, 6, FALSE), perc_90, VLOOKUP(J$2, Percentiles!$A$45:$I$59, 7, FALSE), perc_95, VLOOKUP(J$2, Percentiles!$A$45:$I$59, 8, FALSE), perc_85, perc_75 + (perc_90 - perc_75) * (2/3), converted_stat, '2K_Ratings'!J660, IF(bbgm_stat &gt;= perc_95, converted_stat * 3, IF(bbgm_stat &gt;= perc_90, converted_stat * 2, IF(bbgm_stat &gt;= perc_85, converted_stat * 1.5, converted_stat)))))</f>
        <v/>
      </c>
      <c r="K660" s="30" t="str">
        <f t="array" ref="K660">IF($A660="", "", LET(bbgm_stat, INDEX(Players!$A659:$P659, MATCH(K$2, Players!$A$1:$P$1, 0)), perc_75, VLOOKUP(K$2, Percentiles!$A$45:$I$59, 6, FALSE), perc_90, VLOOKUP(K$2, Percentiles!$A$45:$I$59, 7, FALSE), perc_95, VLOOKUP(K$2, Percentiles!$A$45:$I$59, 8, FALSE), perc_85, perc_75 + (perc_90 - perc_75) * (2/3), converted_stat, '2K_Ratings'!K660, IF(bbgm_stat &gt;= perc_95, converted_stat * 3, IF(bbgm_stat &gt;= perc_90, converted_stat * 2, IF(bbgm_stat &gt;= perc_85, converted_stat * 1.5, converted_stat)))))</f>
        <v/>
      </c>
      <c r="L660" s="30" t="str">
        <f t="array" ref="L660">IF($A660="", "", LET(bbgm_stat, INDEX(Players!$A659:$P659, MATCH(L$2, Players!$A$1:$P$1, 0)), perc_75, VLOOKUP(L$2, Percentiles!$A$45:$I$59, 6, FALSE), perc_90, VLOOKUP(L$2, Percentiles!$A$45:$I$59, 7, FALSE), perc_95, VLOOKUP(L$2, Percentiles!$A$45:$I$59, 8, FALSE), perc_85, perc_75 + (perc_90 - perc_75) * (2/3), converted_stat, '2K_Ratings'!L660, IF(bbgm_stat &gt;= perc_95, converted_stat * 3, IF(bbgm_stat &gt;= perc_90, converted_stat * 2, IF(bbgm_stat &gt;= perc_85, converted_stat * 1.5, converted_stat)))))</f>
        <v/>
      </c>
      <c r="M660" s="30" t="str">
        <f t="array" ref="M660">IF($A660="", "", LET(bbgm_stat, INDEX(Players!$A659:$P659, MATCH(M$2, Players!$A$1:$P$1, 0)), perc_75, VLOOKUP(M$2, Percentiles!$A$45:$I$59, 6, FALSE), perc_90, VLOOKUP(M$2, Percentiles!$A$45:$I$59, 7, FALSE), perc_95, VLOOKUP(M$2, Percentiles!$A$45:$I$59, 8, FALSE), perc_85, perc_75 + (perc_90 - perc_75) * (2/3), converted_stat, '2K_Ratings'!M660, IF(bbgm_stat &gt;= perc_95, converted_stat * 3, IF(bbgm_stat &gt;= perc_90, converted_stat * 2, IF(bbgm_stat &gt;= perc_85, converted_stat * 1.5, converted_stat)))))</f>
        <v/>
      </c>
      <c r="N660" s="30" t="str">
        <f t="array" ref="N660">IF($A660="", "", LET(bbgm_stat, INDEX(Players!$A659:$P659, MATCH(N$2, Players!$A$1:$P$1, 0)), perc_75, VLOOKUP(N$2, Percentiles!$A$45:$I$59, 6, FALSE), perc_90, VLOOKUP(N$2, Percentiles!$A$45:$I$59, 7, FALSE), perc_95, VLOOKUP(N$2, Percentiles!$A$45:$I$59, 8, FALSE), perc_85, perc_75 + (perc_90 - perc_75) * (2/3), converted_stat, '2K_Ratings'!N660, IF(bbgm_stat &gt;= perc_95, converted_stat * 3, IF(bbgm_stat &gt;= perc_90, converted_stat * 2, IF(bbgm_stat &gt;= perc_85, converted_stat * 1.5, converted_stat)))))</f>
        <v/>
      </c>
      <c r="O660" s="30" t="str">
        <f t="array" ref="O660">IF($A660="", "", LET(bbgm_stat, INDEX(Players!$A659:$P659, MATCH(O$2, Players!$A$1:$P$1, 0)), perc_75, VLOOKUP(O$2, Percentiles!$A$45:$I$59, 6, FALSE), perc_90, VLOOKUP(O$2, Percentiles!$A$45:$I$59, 7, FALSE), perc_95, VLOOKUP(O$2, Percentiles!$A$45:$I$59, 8, FALSE), perc_85, perc_75 + (perc_90 - perc_75) * (2/3), converted_stat, '2K_Ratings'!O660, IF(bbgm_stat &gt;= perc_95, converted_stat * 3, IF(bbgm_stat &gt;= perc_90, converted_stat * 2, IF(bbgm_stat &gt;= perc_85, converted_stat * 1.5, converted_stat)))))</f>
        <v/>
      </c>
      <c r="P660" s="30" t="str">
        <f t="array" ref="P660">IF($A660="", "", LET(bbgm_stat, INDEX(Players!$A659:$P659, MATCH(P$2, Players!$A$1:$P$1, 0)), perc_75, VLOOKUP(P$2, Percentiles!$A$45:$I$59, 6, FALSE), perc_90, VLOOKUP(P$2, Percentiles!$A$45:$I$59, 7, FALSE), perc_95, VLOOKUP(P$2, Percentiles!$A$45:$I$59, 8, FALSE), perc_85, perc_75 + (perc_90 - perc_75) * (2/3), converted_stat, '2K_Ratings'!P660, IF(bbgm_stat &gt;= perc_95, converted_stat * 3, IF(bbgm_stat &gt;= perc_90, converted_stat * 2, IF(bbgm_stat &gt;= perc_85, converted_stat * 1.5, converted_stat)))))</f>
        <v/>
      </c>
      <c r="Q660" s="30" t="str">
        <f t="array" ref="Q660">IF($A660="", "", LET(bbgm_stat, INDEX(Players!$A659:$P659, MATCH(Q$2, Players!$A$1:$P$1, 0)), perc_75, VLOOKUP(Q$2, Percentiles!$A$45:$I$59, 6, FALSE), perc_90, VLOOKUP(Q$2, Percentiles!$A$45:$I$59, 7, FALSE), perc_95, VLOOKUP(Q$2, Percentiles!$A$45:$I$59, 8, FALSE), perc_85, perc_75 + (perc_90 - perc_75) * (2/3), converted_stat, '2K_Ratings'!Q660, IF(bbgm_stat &gt;= perc_95, converted_stat * 3, IF(bbgm_stat &gt;= perc_90, converted_stat * 2, IF(bbgm_stat &gt;= perc_85, converted_stat * 1.5, converted_stat)))))</f>
        <v/>
      </c>
      <c r="R660" s="30" t="str">
        <f t="array" ref="R660">IF($A660="", "", LET(bbgm_stat, INDEX(Players!$A659:$P659, MATCH(R$2, Players!$A$1:$P$1, 0)), perc_75, VLOOKUP(R$2, Percentiles!$A$45:$I$59, 6, FALSE), perc_90, VLOOKUP(R$2, Percentiles!$A$45:$I$59, 7, FALSE), perc_95, VLOOKUP(R$2, Percentiles!$A$45:$I$59, 8, FALSE), perc_85, perc_75 + (perc_90 - perc_75) * (2/3), converted_stat, '2K_Ratings'!R660, IF(bbgm_stat &gt;= perc_95, converted_stat * 3, IF(bbgm_stat &gt;= perc_90, converted_stat * 2, IF(bbgm_stat &gt;= perc_85, converted_stat * 1.5, converted_stat)))))</f>
        <v/>
      </c>
      <c r="S660" s="30" t="str">
        <f t="array" ref="S660">IF($A660="", "", LET(bbgm_stat, INDEX(Players!$A659:$P659, MATCH(S$2, Players!$A$1:$P$1, 0)), perc_75, VLOOKUP(S$2, Percentiles!$A$45:$I$59, 6, FALSE), perc_90, VLOOKUP(S$2, Percentiles!$A$45:$I$59, 7, FALSE), perc_95, VLOOKUP(S$2, Percentiles!$A$45:$I$59, 8, FALSE), perc_85, perc_75 + (perc_90 - perc_75) * (2/3), converted_stat, '2K_Ratings'!S660, IF(bbgm_stat &gt;= perc_95, converted_stat * 3, IF(bbgm_stat &gt;= perc_90, converted_stat * 2, IF(bbgm_stat &gt;= perc_85, converted_stat * 1.5, converted_stat)))))</f>
        <v/>
      </c>
      <c r="T660" s="30" t="str">
        <f t="array" ref="T660">IF($A660="", "", LET(bbgm_stat, INDEX(Players!$A659:$P659, MATCH(T$2, Players!$A$1:$P$1, 0)), perc_75, VLOOKUP(T$2, Percentiles!$A$45:$I$59, 6, FALSE), perc_90, VLOOKUP(T$2, Percentiles!$A$45:$I$59, 7, FALSE), perc_95, VLOOKUP(T$2, Percentiles!$A$45:$I$59, 8, FALSE), perc_85, perc_75 + (perc_90 - perc_75) * (2/3), converted_stat, '2K_Ratings'!T660, IF(bbgm_stat &gt;= perc_95, converted_stat * 3, IF(bbgm_stat &gt;= perc_90, converted_stat * 2, IF(bbgm_stat &gt;= perc_85, converted_stat * 1.5, converted_stat)))))</f>
        <v/>
      </c>
      <c r="U660" s="30" t="str">
        <f t="array" ref="U660">IF($A660="", "", LET(bbgm_stat, INDEX(Players!$A659:$P659, MATCH(U$2, Players!$A$1:$P$1, 0)), perc_75, VLOOKUP(U$2, Percentiles!$A$45:$I$59, 6, FALSE), perc_90, VLOOKUP(U$2, Percentiles!$A$45:$I$59, 7, FALSE), perc_95, VLOOKUP(U$2, Percentiles!$A$45:$I$59, 8, FALSE), perc_85, perc_75 + (perc_90 - perc_75) * (2/3), converted_stat, '2K_Ratings'!U660, IF(bbgm_stat &gt;= perc_95, converted_stat * 3, IF(bbgm_stat &gt;= perc_90, converted_stat * 2, IF(bbgm_stat &gt;= perc_85, converted_stat * 1.5, converted_stat)))))</f>
        <v/>
      </c>
      <c r="V660" s="30" t="str">
        <f t="array" ref="V660">IF($A660="", "", LET(bbgm_stat, INDEX(Players!$A659:$P659, MATCH(V$2, Players!$A$1:$P$1, 0)), perc_75, VLOOKUP(V$2, Percentiles!$A$45:$I$59, 6, FALSE), perc_90, VLOOKUP(V$2, Percentiles!$A$45:$I$59, 7, FALSE), perc_95, VLOOKUP(V$2, Percentiles!$A$45:$I$59, 8, FALSE), perc_85, perc_75 + (perc_90 - perc_75) * (2/3), converted_stat, '2K_Ratings'!V660, IF(bbgm_stat &gt;= perc_95, converted_stat * 3, IF(bbgm_stat &gt;= perc_90, converted_stat * 2, IF(bbgm_stat &gt;= perc_85, converted_stat * 1.5, converted_stat)))))</f>
        <v/>
      </c>
      <c r="W660" s="30" t="str">
        <f t="array" ref="W660">IF($A660="", "", LET(bbgm_stat, INDEX(Players!$A659:$P659, MATCH(W$2, Players!$A$1:$P$1, 0)), perc_75, VLOOKUP(W$2, Percentiles!$A$45:$I$59, 6, FALSE), perc_90, VLOOKUP(W$2, Percentiles!$A$45:$I$59, 7, FALSE), perc_95, VLOOKUP(W$2, Percentiles!$A$45:$I$59, 8, FALSE), perc_85, perc_75 + (perc_90 - perc_75) * (2/3), converted_stat, '2K_Ratings'!W660, IF(bbgm_stat &gt;= perc_95, converted_stat * 3, IF(bbgm_stat &gt;= perc_90, converted_stat * 2, IF(bbgm_stat &gt;= perc_85, converted_stat * 1.5, converted_stat)))))</f>
        <v/>
      </c>
    </row>
    <row r="661">
      <c r="A661" s="30"/>
      <c r="B661" s="30" t="str">
        <f t="array" ref="B661">IF($A661="", "", LET(bbgm_stat, INDEX(Players!$A660:$P660, MATCH(B$2, Players!$A$1:$P$1, 0)), perc_75, VLOOKUP(B$2, Percentiles!$A$45:$I$59, 6, FALSE), perc_90, VLOOKUP(B$2, Percentiles!$A$45:$I$59, 7, FALSE), perc_95, VLOOKUP(B$2, Percentiles!$A$45:$I$59, 8, FALSE), perc_85, perc_75 + (perc_90 - perc_75) * (2/3), converted_stat, '2K_Ratings'!B661, IF(bbgm_stat &gt;= perc_95, converted_stat * 3, IF(bbgm_stat &gt;= perc_90, converted_stat * 2, IF(bbgm_stat &gt;= perc_85, converted_stat * 1.5, converted_stat)))))</f>
        <v/>
      </c>
      <c r="C661" s="30" t="str">
        <f t="array" ref="C661">IF($A661="", "", LET(bbgm_stat, INDEX(Players!$A660:$P660, MATCH(C$2, Players!$A$1:$P$1, 0)), perc_75, VLOOKUP(C$2, Percentiles!$A$45:$I$59, 6, FALSE), perc_90, VLOOKUP(C$2, Percentiles!$A$45:$I$59, 7, FALSE), perc_95, VLOOKUP(C$2, Percentiles!$A$45:$I$59, 8, FALSE), perc_85, perc_75 + (perc_90 - perc_75) * (2/3), converted_stat, '2K_Ratings'!C661, IF(bbgm_stat &gt;= perc_95, converted_stat * 3, IF(bbgm_stat &gt;= perc_90, converted_stat * 2, IF(bbgm_stat &gt;= perc_85, converted_stat * 1.5, converted_stat)))))</f>
        <v/>
      </c>
      <c r="D661" s="30" t="str">
        <f t="array" ref="D661">IF($A661="", "", LET(bbgm_stat, INDEX(Players!$A660:$P660, MATCH(D$2, Players!$A$1:$P$1, 0)), perc_75, VLOOKUP(D$2, Percentiles!$A$45:$I$59, 6, FALSE), perc_90, VLOOKUP(D$2, Percentiles!$A$45:$I$59, 7, FALSE), perc_95, VLOOKUP(D$2, Percentiles!$A$45:$I$59, 8, FALSE), perc_85, perc_75 + (perc_90 - perc_75) * (2/3), converted_stat, '2K_Ratings'!D661, IF(bbgm_stat &gt;= perc_95, converted_stat * 3, IF(bbgm_stat &gt;= perc_90, converted_stat * 2, IF(bbgm_stat &gt;= perc_85, converted_stat * 1.5, converted_stat)))))</f>
        <v/>
      </c>
      <c r="E661" s="30" t="str">
        <f t="array" ref="E661">IF($A661="", "", LET(bbgm_stat, INDEX(Players!$A660:$P660, MATCH(E$2, Players!$A$1:$P$1, 0)), perc_75, VLOOKUP(E$2, Percentiles!$A$45:$I$59, 6, FALSE), perc_90, VLOOKUP(E$2, Percentiles!$A$45:$I$59, 7, FALSE), perc_95, VLOOKUP(E$2, Percentiles!$A$45:$I$59, 8, FALSE), perc_85, perc_75 + (perc_90 - perc_75) * (2/3), converted_stat, '2K_Ratings'!E661, IF(bbgm_stat &gt;= perc_95, converted_stat * 3, IF(bbgm_stat &gt;= perc_90, converted_stat * 2, IF(bbgm_stat &gt;= perc_85, converted_stat * 1.5, converted_stat)))))</f>
        <v/>
      </c>
      <c r="F661" s="30" t="str">
        <f t="array" ref="F661">IF($A661="", "", LET(bbgm_stat, INDEX(Players!$A660:$P660, MATCH(F$2, Players!$A$1:$P$1, 0)), perc_75, VLOOKUP(F$2, Percentiles!$A$45:$I$59, 6, FALSE), perc_90, VLOOKUP(F$2, Percentiles!$A$45:$I$59, 7, FALSE), perc_95, VLOOKUP(F$2, Percentiles!$A$45:$I$59, 8, FALSE), perc_85, perc_75 + (perc_90 - perc_75) * (2/3), converted_stat, '2K_Ratings'!F661, IF(bbgm_stat &gt;= perc_95, converted_stat * 3, IF(bbgm_stat &gt;= perc_90, converted_stat * 2, IF(bbgm_stat &gt;= perc_85, converted_stat * 1.5, converted_stat)))))</f>
        <v/>
      </c>
      <c r="G661" s="30" t="str">
        <f t="array" ref="G661">IF($A661="", "", LET(bbgm_stat, INDEX(Players!$A660:$P660, MATCH(G$2, Players!$A$1:$P$1, 0)), perc_75, VLOOKUP(G$2, Percentiles!$A$45:$I$59, 6, FALSE), perc_90, VLOOKUP(G$2, Percentiles!$A$45:$I$59, 7, FALSE), perc_95, VLOOKUP(G$2, Percentiles!$A$45:$I$59, 8, FALSE), perc_85, perc_75 + (perc_90 - perc_75) * (2/3), converted_stat, '2K_Ratings'!G661, IF(bbgm_stat &gt;= perc_95, converted_stat * 3, IF(bbgm_stat &gt;= perc_90, converted_stat * 2, IF(bbgm_stat &gt;= perc_85, converted_stat * 1.5, converted_stat)))))</f>
        <v/>
      </c>
      <c r="H661" s="30" t="str">
        <f t="array" ref="H661">IF($A661="", "", LET(bbgm_stat, INDEX(Players!$A660:$P660, MATCH(H$2, Players!$A$1:$P$1, 0)), perc_75, VLOOKUP(H$2, Percentiles!$A$45:$I$59, 6, FALSE), perc_90, VLOOKUP(H$2, Percentiles!$A$45:$I$59, 7, FALSE), perc_95, VLOOKUP(H$2, Percentiles!$A$45:$I$59, 8, FALSE), perc_85, perc_75 + (perc_90 - perc_75) * (2/3), converted_stat, '2K_Ratings'!H661, IF(bbgm_stat &gt;= perc_95, converted_stat * 3, IF(bbgm_stat &gt;= perc_90, converted_stat * 2, IF(bbgm_stat &gt;= perc_85, converted_stat * 1.5, converted_stat)))))</f>
        <v/>
      </c>
      <c r="I661" s="30" t="str">
        <f t="array" ref="I661">IF($A661="", "", LET(bbgm_stat, INDEX(Players!$A660:$P660, MATCH(I$2, Players!$A$1:$P$1, 0)), perc_75, VLOOKUP(I$2, Percentiles!$A$45:$I$59, 6, FALSE), perc_90, VLOOKUP(I$2, Percentiles!$A$45:$I$59, 7, FALSE), perc_95, VLOOKUP(I$2, Percentiles!$A$45:$I$59, 8, FALSE), perc_85, perc_75 + (perc_90 - perc_75) * (2/3), converted_stat, '2K_Ratings'!I661, IF(bbgm_stat &gt;= perc_95, converted_stat * 3, IF(bbgm_stat &gt;= perc_90, converted_stat * 2, IF(bbgm_stat &gt;= perc_85, converted_stat * 1.5, converted_stat)))))</f>
        <v/>
      </c>
      <c r="J661" s="30" t="str">
        <f t="array" ref="J661">IF($A661="", "", LET(bbgm_stat, INDEX(Players!$A660:$P660, MATCH(J$2, Players!$A$1:$P$1, 0)), perc_75, VLOOKUP(J$2, Percentiles!$A$45:$I$59, 6, FALSE), perc_90, VLOOKUP(J$2, Percentiles!$A$45:$I$59, 7, FALSE), perc_95, VLOOKUP(J$2, Percentiles!$A$45:$I$59, 8, FALSE), perc_85, perc_75 + (perc_90 - perc_75) * (2/3), converted_stat, '2K_Ratings'!J661, IF(bbgm_stat &gt;= perc_95, converted_stat * 3, IF(bbgm_stat &gt;= perc_90, converted_stat * 2, IF(bbgm_stat &gt;= perc_85, converted_stat * 1.5, converted_stat)))))</f>
        <v/>
      </c>
      <c r="K661" s="30" t="str">
        <f t="array" ref="K661">IF($A661="", "", LET(bbgm_stat, INDEX(Players!$A660:$P660, MATCH(K$2, Players!$A$1:$P$1, 0)), perc_75, VLOOKUP(K$2, Percentiles!$A$45:$I$59, 6, FALSE), perc_90, VLOOKUP(K$2, Percentiles!$A$45:$I$59, 7, FALSE), perc_95, VLOOKUP(K$2, Percentiles!$A$45:$I$59, 8, FALSE), perc_85, perc_75 + (perc_90 - perc_75) * (2/3), converted_stat, '2K_Ratings'!K661, IF(bbgm_stat &gt;= perc_95, converted_stat * 3, IF(bbgm_stat &gt;= perc_90, converted_stat * 2, IF(bbgm_stat &gt;= perc_85, converted_stat * 1.5, converted_stat)))))</f>
        <v/>
      </c>
      <c r="L661" s="30" t="str">
        <f t="array" ref="L661">IF($A661="", "", LET(bbgm_stat, INDEX(Players!$A660:$P660, MATCH(L$2, Players!$A$1:$P$1, 0)), perc_75, VLOOKUP(L$2, Percentiles!$A$45:$I$59, 6, FALSE), perc_90, VLOOKUP(L$2, Percentiles!$A$45:$I$59, 7, FALSE), perc_95, VLOOKUP(L$2, Percentiles!$A$45:$I$59, 8, FALSE), perc_85, perc_75 + (perc_90 - perc_75) * (2/3), converted_stat, '2K_Ratings'!L661, IF(bbgm_stat &gt;= perc_95, converted_stat * 3, IF(bbgm_stat &gt;= perc_90, converted_stat * 2, IF(bbgm_stat &gt;= perc_85, converted_stat * 1.5, converted_stat)))))</f>
        <v/>
      </c>
      <c r="M661" s="30" t="str">
        <f t="array" ref="M661">IF($A661="", "", LET(bbgm_stat, INDEX(Players!$A660:$P660, MATCH(M$2, Players!$A$1:$P$1, 0)), perc_75, VLOOKUP(M$2, Percentiles!$A$45:$I$59, 6, FALSE), perc_90, VLOOKUP(M$2, Percentiles!$A$45:$I$59, 7, FALSE), perc_95, VLOOKUP(M$2, Percentiles!$A$45:$I$59, 8, FALSE), perc_85, perc_75 + (perc_90 - perc_75) * (2/3), converted_stat, '2K_Ratings'!M661, IF(bbgm_stat &gt;= perc_95, converted_stat * 3, IF(bbgm_stat &gt;= perc_90, converted_stat * 2, IF(bbgm_stat &gt;= perc_85, converted_stat * 1.5, converted_stat)))))</f>
        <v/>
      </c>
      <c r="N661" s="30" t="str">
        <f t="array" ref="N661">IF($A661="", "", LET(bbgm_stat, INDEX(Players!$A660:$P660, MATCH(N$2, Players!$A$1:$P$1, 0)), perc_75, VLOOKUP(N$2, Percentiles!$A$45:$I$59, 6, FALSE), perc_90, VLOOKUP(N$2, Percentiles!$A$45:$I$59, 7, FALSE), perc_95, VLOOKUP(N$2, Percentiles!$A$45:$I$59, 8, FALSE), perc_85, perc_75 + (perc_90 - perc_75) * (2/3), converted_stat, '2K_Ratings'!N661, IF(bbgm_stat &gt;= perc_95, converted_stat * 3, IF(bbgm_stat &gt;= perc_90, converted_stat * 2, IF(bbgm_stat &gt;= perc_85, converted_stat * 1.5, converted_stat)))))</f>
        <v/>
      </c>
      <c r="O661" s="30" t="str">
        <f t="array" ref="O661">IF($A661="", "", LET(bbgm_stat, INDEX(Players!$A660:$P660, MATCH(O$2, Players!$A$1:$P$1, 0)), perc_75, VLOOKUP(O$2, Percentiles!$A$45:$I$59, 6, FALSE), perc_90, VLOOKUP(O$2, Percentiles!$A$45:$I$59, 7, FALSE), perc_95, VLOOKUP(O$2, Percentiles!$A$45:$I$59, 8, FALSE), perc_85, perc_75 + (perc_90 - perc_75) * (2/3), converted_stat, '2K_Ratings'!O661, IF(bbgm_stat &gt;= perc_95, converted_stat * 3, IF(bbgm_stat &gt;= perc_90, converted_stat * 2, IF(bbgm_stat &gt;= perc_85, converted_stat * 1.5, converted_stat)))))</f>
        <v/>
      </c>
      <c r="P661" s="30" t="str">
        <f t="array" ref="P661">IF($A661="", "", LET(bbgm_stat, INDEX(Players!$A660:$P660, MATCH(P$2, Players!$A$1:$P$1, 0)), perc_75, VLOOKUP(P$2, Percentiles!$A$45:$I$59, 6, FALSE), perc_90, VLOOKUP(P$2, Percentiles!$A$45:$I$59, 7, FALSE), perc_95, VLOOKUP(P$2, Percentiles!$A$45:$I$59, 8, FALSE), perc_85, perc_75 + (perc_90 - perc_75) * (2/3), converted_stat, '2K_Ratings'!P661, IF(bbgm_stat &gt;= perc_95, converted_stat * 3, IF(bbgm_stat &gt;= perc_90, converted_stat * 2, IF(bbgm_stat &gt;= perc_85, converted_stat * 1.5, converted_stat)))))</f>
        <v/>
      </c>
      <c r="Q661" s="30" t="str">
        <f t="array" ref="Q661">IF($A661="", "", LET(bbgm_stat, INDEX(Players!$A660:$P660, MATCH(Q$2, Players!$A$1:$P$1, 0)), perc_75, VLOOKUP(Q$2, Percentiles!$A$45:$I$59, 6, FALSE), perc_90, VLOOKUP(Q$2, Percentiles!$A$45:$I$59, 7, FALSE), perc_95, VLOOKUP(Q$2, Percentiles!$A$45:$I$59, 8, FALSE), perc_85, perc_75 + (perc_90 - perc_75) * (2/3), converted_stat, '2K_Ratings'!Q661, IF(bbgm_stat &gt;= perc_95, converted_stat * 3, IF(bbgm_stat &gt;= perc_90, converted_stat * 2, IF(bbgm_stat &gt;= perc_85, converted_stat * 1.5, converted_stat)))))</f>
        <v/>
      </c>
      <c r="R661" s="30" t="str">
        <f t="array" ref="R661">IF($A661="", "", LET(bbgm_stat, INDEX(Players!$A660:$P660, MATCH(R$2, Players!$A$1:$P$1, 0)), perc_75, VLOOKUP(R$2, Percentiles!$A$45:$I$59, 6, FALSE), perc_90, VLOOKUP(R$2, Percentiles!$A$45:$I$59, 7, FALSE), perc_95, VLOOKUP(R$2, Percentiles!$A$45:$I$59, 8, FALSE), perc_85, perc_75 + (perc_90 - perc_75) * (2/3), converted_stat, '2K_Ratings'!R661, IF(bbgm_stat &gt;= perc_95, converted_stat * 3, IF(bbgm_stat &gt;= perc_90, converted_stat * 2, IF(bbgm_stat &gt;= perc_85, converted_stat * 1.5, converted_stat)))))</f>
        <v/>
      </c>
      <c r="S661" s="30" t="str">
        <f t="array" ref="S661">IF($A661="", "", LET(bbgm_stat, INDEX(Players!$A660:$P660, MATCH(S$2, Players!$A$1:$P$1, 0)), perc_75, VLOOKUP(S$2, Percentiles!$A$45:$I$59, 6, FALSE), perc_90, VLOOKUP(S$2, Percentiles!$A$45:$I$59, 7, FALSE), perc_95, VLOOKUP(S$2, Percentiles!$A$45:$I$59, 8, FALSE), perc_85, perc_75 + (perc_90 - perc_75) * (2/3), converted_stat, '2K_Ratings'!S661, IF(bbgm_stat &gt;= perc_95, converted_stat * 3, IF(bbgm_stat &gt;= perc_90, converted_stat * 2, IF(bbgm_stat &gt;= perc_85, converted_stat * 1.5, converted_stat)))))</f>
        <v/>
      </c>
      <c r="T661" s="30" t="str">
        <f t="array" ref="T661">IF($A661="", "", LET(bbgm_stat, INDEX(Players!$A660:$P660, MATCH(T$2, Players!$A$1:$P$1, 0)), perc_75, VLOOKUP(T$2, Percentiles!$A$45:$I$59, 6, FALSE), perc_90, VLOOKUP(T$2, Percentiles!$A$45:$I$59, 7, FALSE), perc_95, VLOOKUP(T$2, Percentiles!$A$45:$I$59, 8, FALSE), perc_85, perc_75 + (perc_90 - perc_75) * (2/3), converted_stat, '2K_Ratings'!T661, IF(bbgm_stat &gt;= perc_95, converted_stat * 3, IF(bbgm_stat &gt;= perc_90, converted_stat * 2, IF(bbgm_stat &gt;= perc_85, converted_stat * 1.5, converted_stat)))))</f>
        <v/>
      </c>
      <c r="U661" s="30" t="str">
        <f t="array" ref="U661">IF($A661="", "", LET(bbgm_stat, INDEX(Players!$A660:$P660, MATCH(U$2, Players!$A$1:$P$1, 0)), perc_75, VLOOKUP(U$2, Percentiles!$A$45:$I$59, 6, FALSE), perc_90, VLOOKUP(U$2, Percentiles!$A$45:$I$59, 7, FALSE), perc_95, VLOOKUP(U$2, Percentiles!$A$45:$I$59, 8, FALSE), perc_85, perc_75 + (perc_90 - perc_75) * (2/3), converted_stat, '2K_Ratings'!U661, IF(bbgm_stat &gt;= perc_95, converted_stat * 3, IF(bbgm_stat &gt;= perc_90, converted_stat * 2, IF(bbgm_stat &gt;= perc_85, converted_stat * 1.5, converted_stat)))))</f>
        <v/>
      </c>
      <c r="V661" s="30" t="str">
        <f t="array" ref="V661">IF($A661="", "", LET(bbgm_stat, INDEX(Players!$A660:$P660, MATCH(V$2, Players!$A$1:$P$1, 0)), perc_75, VLOOKUP(V$2, Percentiles!$A$45:$I$59, 6, FALSE), perc_90, VLOOKUP(V$2, Percentiles!$A$45:$I$59, 7, FALSE), perc_95, VLOOKUP(V$2, Percentiles!$A$45:$I$59, 8, FALSE), perc_85, perc_75 + (perc_90 - perc_75) * (2/3), converted_stat, '2K_Ratings'!V661, IF(bbgm_stat &gt;= perc_95, converted_stat * 3, IF(bbgm_stat &gt;= perc_90, converted_stat * 2, IF(bbgm_stat &gt;= perc_85, converted_stat * 1.5, converted_stat)))))</f>
        <v/>
      </c>
      <c r="W661" s="30" t="str">
        <f t="array" ref="W661">IF($A661="", "", LET(bbgm_stat, INDEX(Players!$A660:$P660, MATCH(W$2, Players!$A$1:$P$1, 0)), perc_75, VLOOKUP(W$2, Percentiles!$A$45:$I$59, 6, FALSE), perc_90, VLOOKUP(W$2, Percentiles!$A$45:$I$59, 7, FALSE), perc_95, VLOOKUP(W$2, Percentiles!$A$45:$I$59, 8, FALSE), perc_85, perc_75 + (perc_90 - perc_75) * (2/3), converted_stat, '2K_Ratings'!W661, IF(bbgm_stat &gt;= perc_95, converted_stat * 3, IF(bbgm_stat &gt;= perc_90, converted_stat * 2, IF(bbgm_stat &gt;= perc_85, converted_stat * 1.5, converted_stat)))))</f>
        <v/>
      </c>
    </row>
    <row r="662">
      <c r="A662" s="30"/>
      <c r="B662" s="30" t="str">
        <f t="array" ref="B662">IF($A662="", "", LET(bbgm_stat, INDEX(Players!$A661:$P661, MATCH(B$2, Players!$A$1:$P$1, 0)), perc_75, VLOOKUP(B$2, Percentiles!$A$45:$I$59, 6, FALSE), perc_90, VLOOKUP(B$2, Percentiles!$A$45:$I$59, 7, FALSE), perc_95, VLOOKUP(B$2, Percentiles!$A$45:$I$59, 8, FALSE), perc_85, perc_75 + (perc_90 - perc_75) * (2/3), converted_stat, '2K_Ratings'!B662, IF(bbgm_stat &gt;= perc_95, converted_stat * 3, IF(bbgm_stat &gt;= perc_90, converted_stat * 2, IF(bbgm_stat &gt;= perc_85, converted_stat * 1.5, converted_stat)))))</f>
        <v/>
      </c>
      <c r="C662" s="30" t="str">
        <f t="array" ref="C662">IF($A662="", "", LET(bbgm_stat, INDEX(Players!$A661:$P661, MATCH(C$2, Players!$A$1:$P$1, 0)), perc_75, VLOOKUP(C$2, Percentiles!$A$45:$I$59, 6, FALSE), perc_90, VLOOKUP(C$2, Percentiles!$A$45:$I$59, 7, FALSE), perc_95, VLOOKUP(C$2, Percentiles!$A$45:$I$59, 8, FALSE), perc_85, perc_75 + (perc_90 - perc_75) * (2/3), converted_stat, '2K_Ratings'!C662, IF(bbgm_stat &gt;= perc_95, converted_stat * 3, IF(bbgm_stat &gt;= perc_90, converted_stat * 2, IF(bbgm_stat &gt;= perc_85, converted_stat * 1.5, converted_stat)))))</f>
        <v/>
      </c>
      <c r="D662" s="30" t="str">
        <f t="array" ref="D662">IF($A662="", "", LET(bbgm_stat, INDEX(Players!$A661:$P661, MATCH(D$2, Players!$A$1:$P$1, 0)), perc_75, VLOOKUP(D$2, Percentiles!$A$45:$I$59, 6, FALSE), perc_90, VLOOKUP(D$2, Percentiles!$A$45:$I$59, 7, FALSE), perc_95, VLOOKUP(D$2, Percentiles!$A$45:$I$59, 8, FALSE), perc_85, perc_75 + (perc_90 - perc_75) * (2/3), converted_stat, '2K_Ratings'!D662, IF(bbgm_stat &gt;= perc_95, converted_stat * 3, IF(bbgm_stat &gt;= perc_90, converted_stat * 2, IF(bbgm_stat &gt;= perc_85, converted_stat * 1.5, converted_stat)))))</f>
        <v/>
      </c>
      <c r="E662" s="30" t="str">
        <f t="array" ref="E662">IF($A662="", "", LET(bbgm_stat, INDEX(Players!$A661:$P661, MATCH(E$2, Players!$A$1:$P$1, 0)), perc_75, VLOOKUP(E$2, Percentiles!$A$45:$I$59, 6, FALSE), perc_90, VLOOKUP(E$2, Percentiles!$A$45:$I$59, 7, FALSE), perc_95, VLOOKUP(E$2, Percentiles!$A$45:$I$59, 8, FALSE), perc_85, perc_75 + (perc_90 - perc_75) * (2/3), converted_stat, '2K_Ratings'!E662, IF(bbgm_stat &gt;= perc_95, converted_stat * 3, IF(bbgm_stat &gt;= perc_90, converted_stat * 2, IF(bbgm_stat &gt;= perc_85, converted_stat * 1.5, converted_stat)))))</f>
        <v/>
      </c>
      <c r="F662" s="30" t="str">
        <f t="array" ref="F662">IF($A662="", "", LET(bbgm_stat, INDEX(Players!$A661:$P661, MATCH(F$2, Players!$A$1:$P$1, 0)), perc_75, VLOOKUP(F$2, Percentiles!$A$45:$I$59, 6, FALSE), perc_90, VLOOKUP(F$2, Percentiles!$A$45:$I$59, 7, FALSE), perc_95, VLOOKUP(F$2, Percentiles!$A$45:$I$59, 8, FALSE), perc_85, perc_75 + (perc_90 - perc_75) * (2/3), converted_stat, '2K_Ratings'!F662, IF(bbgm_stat &gt;= perc_95, converted_stat * 3, IF(bbgm_stat &gt;= perc_90, converted_stat * 2, IF(bbgm_stat &gt;= perc_85, converted_stat * 1.5, converted_stat)))))</f>
        <v/>
      </c>
      <c r="G662" s="30" t="str">
        <f t="array" ref="G662">IF($A662="", "", LET(bbgm_stat, INDEX(Players!$A661:$P661, MATCH(G$2, Players!$A$1:$P$1, 0)), perc_75, VLOOKUP(G$2, Percentiles!$A$45:$I$59, 6, FALSE), perc_90, VLOOKUP(G$2, Percentiles!$A$45:$I$59, 7, FALSE), perc_95, VLOOKUP(G$2, Percentiles!$A$45:$I$59, 8, FALSE), perc_85, perc_75 + (perc_90 - perc_75) * (2/3), converted_stat, '2K_Ratings'!G662, IF(bbgm_stat &gt;= perc_95, converted_stat * 3, IF(bbgm_stat &gt;= perc_90, converted_stat * 2, IF(bbgm_stat &gt;= perc_85, converted_stat * 1.5, converted_stat)))))</f>
        <v/>
      </c>
      <c r="H662" s="30" t="str">
        <f t="array" ref="H662">IF($A662="", "", LET(bbgm_stat, INDEX(Players!$A661:$P661, MATCH(H$2, Players!$A$1:$P$1, 0)), perc_75, VLOOKUP(H$2, Percentiles!$A$45:$I$59, 6, FALSE), perc_90, VLOOKUP(H$2, Percentiles!$A$45:$I$59, 7, FALSE), perc_95, VLOOKUP(H$2, Percentiles!$A$45:$I$59, 8, FALSE), perc_85, perc_75 + (perc_90 - perc_75) * (2/3), converted_stat, '2K_Ratings'!H662, IF(bbgm_stat &gt;= perc_95, converted_stat * 3, IF(bbgm_stat &gt;= perc_90, converted_stat * 2, IF(bbgm_stat &gt;= perc_85, converted_stat * 1.5, converted_stat)))))</f>
        <v/>
      </c>
      <c r="I662" s="30" t="str">
        <f t="array" ref="I662">IF($A662="", "", LET(bbgm_stat, INDEX(Players!$A661:$P661, MATCH(I$2, Players!$A$1:$P$1, 0)), perc_75, VLOOKUP(I$2, Percentiles!$A$45:$I$59, 6, FALSE), perc_90, VLOOKUP(I$2, Percentiles!$A$45:$I$59, 7, FALSE), perc_95, VLOOKUP(I$2, Percentiles!$A$45:$I$59, 8, FALSE), perc_85, perc_75 + (perc_90 - perc_75) * (2/3), converted_stat, '2K_Ratings'!I662, IF(bbgm_stat &gt;= perc_95, converted_stat * 3, IF(bbgm_stat &gt;= perc_90, converted_stat * 2, IF(bbgm_stat &gt;= perc_85, converted_stat * 1.5, converted_stat)))))</f>
        <v/>
      </c>
      <c r="J662" s="30" t="str">
        <f t="array" ref="J662">IF($A662="", "", LET(bbgm_stat, INDEX(Players!$A661:$P661, MATCH(J$2, Players!$A$1:$P$1, 0)), perc_75, VLOOKUP(J$2, Percentiles!$A$45:$I$59, 6, FALSE), perc_90, VLOOKUP(J$2, Percentiles!$A$45:$I$59, 7, FALSE), perc_95, VLOOKUP(J$2, Percentiles!$A$45:$I$59, 8, FALSE), perc_85, perc_75 + (perc_90 - perc_75) * (2/3), converted_stat, '2K_Ratings'!J662, IF(bbgm_stat &gt;= perc_95, converted_stat * 3, IF(bbgm_stat &gt;= perc_90, converted_stat * 2, IF(bbgm_stat &gt;= perc_85, converted_stat * 1.5, converted_stat)))))</f>
        <v/>
      </c>
      <c r="K662" s="30" t="str">
        <f t="array" ref="K662">IF($A662="", "", LET(bbgm_stat, INDEX(Players!$A661:$P661, MATCH(K$2, Players!$A$1:$P$1, 0)), perc_75, VLOOKUP(K$2, Percentiles!$A$45:$I$59, 6, FALSE), perc_90, VLOOKUP(K$2, Percentiles!$A$45:$I$59, 7, FALSE), perc_95, VLOOKUP(K$2, Percentiles!$A$45:$I$59, 8, FALSE), perc_85, perc_75 + (perc_90 - perc_75) * (2/3), converted_stat, '2K_Ratings'!K662, IF(bbgm_stat &gt;= perc_95, converted_stat * 3, IF(bbgm_stat &gt;= perc_90, converted_stat * 2, IF(bbgm_stat &gt;= perc_85, converted_stat * 1.5, converted_stat)))))</f>
        <v/>
      </c>
      <c r="L662" s="30" t="str">
        <f t="array" ref="L662">IF($A662="", "", LET(bbgm_stat, INDEX(Players!$A661:$P661, MATCH(L$2, Players!$A$1:$P$1, 0)), perc_75, VLOOKUP(L$2, Percentiles!$A$45:$I$59, 6, FALSE), perc_90, VLOOKUP(L$2, Percentiles!$A$45:$I$59, 7, FALSE), perc_95, VLOOKUP(L$2, Percentiles!$A$45:$I$59, 8, FALSE), perc_85, perc_75 + (perc_90 - perc_75) * (2/3), converted_stat, '2K_Ratings'!L662, IF(bbgm_stat &gt;= perc_95, converted_stat * 3, IF(bbgm_stat &gt;= perc_90, converted_stat * 2, IF(bbgm_stat &gt;= perc_85, converted_stat * 1.5, converted_stat)))))</f>
        <v/>
      </c>
      <c r="M662" s="30" t="str">
        <f t="array" ref="M662">IF($A662="", "", LET(bbgm_stat, INDEX(Players!$A661:$P661, MATCH(M$2, Players!$A$1:$P$1, 0)), perc_75, VLOOKUP(M$2, Percentiles!$A$45:$I$59, 6, FALSE), perc_90, VLOOKUP(M$2, Percentiles!$A$45:$I$59, 7, FALSE), perc_95, VLOOKUP(M$2, Percentiles!$A$45:$I$59, 8, FALSE), perc_85, perc_75 + (perc_90 - perc_75) * (2/3), converted_stat, '2K_Ratings'!M662, IF(bbgm_stat &gt;= perc_95, converted_stat * 3, IF(bbgm_stat &gt;= perc_90, converted_stat * 2, IF(bbgm_stat &gt;= perc_85, converted_stat * 1.5, converted_stat)))))</f>
        <v/>
      </c>
      <c r="N662" s="30" t="str">
        <f t="array" ref="N662">IF($A662="", "", LET(bbgm_stat, INDEX(Players!$A661:$P661, MATCH(N$2, Players!$A$1:$P$1, 0)), perc_75, VLOOKUP(N$2, Percentiles!$A$45:$I$59, 6, FALSE), perc_90, VLOOKUP(N$2, Percentiles!$A$45:$I$59, 7, FALSE), perc_95, VLOOKUP(N$2, Percentiles!$A$45:$I$59, 8, FALSE), perc_85, perc_75 + (perc_90 - perc_75) * (2/3), converted_stat, '2K_Ratings'!N662, IF(bbgm_stat &gt;= perc_95, converted_stat * 3, IF(bbgm_stat &gt;= perc_90, converted_stat * 2, IF(bbgm_stat &gt;= perc_85, converted_stat * 1.5, converted_stat)))))</f>
        <v/>
      </c>
      <c r="O662" s="30" t="str">
        <f t="array" ref="O662">IF($A662="", "", LET(bbgm_stat, INDEX(Players!$A661:$P661, MATCH(O$2, Players!$A$1:$P$1, 0)), perc_75, VLOOKUP(O$2, Percentiles!$A$45:$I$59, 6, FALSE), perc_90, VLOOKUP(O$2, Percentiles!$A$45:$I$59, 7, FALSE), perc_95, VLOOKUP(O$2, Percentiles!$A$45:$I$59, 8, FALSE), perc_85, perc_75 + (perc_90 - perc_75) * (2/3), converted_stat, '2K_Ratings'!O662, IF(bbgm_stat &gt;= perc_95, converted_stat * 3, IF(bbgm_stat &gt;= perc_90, converted_stat * 2, IF(bbgm_stat &gt;= perc_85, converted_stat * 1.5, converted_stat)))))</f>
        <v/>
      </c>
      <c r="P662" s="30" t="str">
        <f t="array" ref="P662">IF($A662="", "", LET(bbgm_stat, INDEX(Players!$A661:$P661, MATCH(P$2, Players!$A$1:$P$1, 0)), perc_75, VLOOKUP(P$2, Percentiles!$A$45:$I$59, 6, FALSE), perc_90, VLOOKUP(P$2, Percentiles!$A$45:$I$59, 7, FALSE), perc_95, VLOOKUP(P$2, Percentiles!$A$45:$I$59, 8, FALSE), perc_85, perc_75 + (perc_90 - perc_75) * (2/3), converted_stat, '2K_Ratings'!P662, IF(bbgm_stat &gt;= perc_95, converted_stat * 3, IF(bbgm_stat &gt;= perc_90, converted_stat * 2, IF(bbgm_stat &gt;= perc_85, converted_stat * 1.5, converted_stat)))))</f>
        <v/>
      </c>
      <c r="Q662" s="30" t="str">
        <f t="array" ref="Q662">IF($A662="", "", LET(bbgm_stat, INDEX(Players!$A661:$P661, MATCH(Q$2, Players!$A$1:$P$1, 0)), perc_75, VLOOKUP(Q$2, Percentiles!$A$45:$I$59, 6, FALSE), perc_90, VLOOKUP(Q$2, Percentiles!$A$45:$I$59, 7, FALSE), perc_95, VLOOKUP(Q$2, Percentiles!$A$45:$I$59, 8, FALSE), perc_85, perc_75 + (perc_90 - perc_75) * (2/3), converted_stat, '2K_Ratings'!Q662, IF(bbgm_stat &gt;= perc_95, converted_stat * 3, IF(bbgm_stat &gt;= perc_90, converted_stat * 2, IF(bbgm_stat &gt;= perc_85, converted_stat * 1.5, converted_stat)))))</f>
        <v/>
      </c>
      <c r="R662" s="30" t="str">
        <f t="array" ref="R662">IF($A662="", "", LET(bbgm_stat, INDEX(Players!$A661:$P661, MATCH(R$2, Players!$A$1:$P$1, 0)), perc_75, VLOOKUP(R$2, Percentiles!$A$45:$I$59, 6, FALSE), perc_90, VLOOKUP(R$2, Percentiles!$A$45:$I$59, 7, FALSE), perc_95, VLOOKUP(R$2, Percentiles!$A$45:$I$59, 8, FALSE), perc_85, perc_75 + (perc_90 - perc_75) * (2/3), converted_stat, '2K_Ratings'!R662, IF(bbgm_stat &gt;= perc_95, converted_stat * 3, IF(bbgm_stat &gt;= perc_90, converted_stat * 2, IF(bbgm_stat &gt;= perc_85, converted_stat * 1.5, converted_stat)))))</f>
        <v/>
      </c>
      <c r="S662" s="30" t="str">
        <f t="array" ref="S662">IF($A662="", "", LET(bbgm_stat, INDEX(Players!$A661:$P661, MATCH(S$2, Players!$A$1:$P$1, 0)), perc_75, VLOOKUP(S$2, Percentiles!$A$45:$I$59, 6, FALSE), perc_90, VLOOKUP(S$2, Percentiles!$A$45:$I$59, 7, FALSE), perc_95, VLOOKUP(S$2, Percentiles!$A$45:$I$59, 8, FALSE), perc_85, perc_75 + (perc_90 - perc_75) * (2/3), converted_stat, '2K_Ratings'!S662, IF(bbgm_stat &gt;= perc_95, converted_stat * 3, IF(bbgm_stat &gt;= perc_90, converted_stat * 2, IF(bbgm_stat &gt;= perc_85, converted_stat * 1.5, converted_stat)))))</f>
        <v/>
      </c>
      <c r="T662" s="30" t="str">
        <f t="array" ref="T662">IF($A662="", "", LET(bbgm_stat, INDEX(Players!$A661:$P661, MATCH(T$2, Players!$A$1:$P$1, 0)), perc_75, VLOOKUP(T$2, Percentiles!$A$45:$I$59, 6, FALSE), perc_90, VLOOKUP(T$2, Percentiles!$A$45:$I$59, 7, FALSE), perc_95, VLOOKUP(T$2, Percentiles!$A$45:$I$59, 8, FALSE), perc_85, perc_75 + (perc_90 - perc_75) * (2/3), converted_stat, '2K_Ratings'!T662, IF(bbgm_stat &gt;= perc_95, converted_stat * 3, IF(bbgm_stat &gt;= perc_90, converted_stat * 2, IF(bbgm_stat &gt;= perc_85, converted_stat * 1.5, converted_stat)))))</f>
        <v/>
      </c>
      <c r="U662" s="30" t="str">
        <f t="array" ref="U662">IF($A662="", "", LET(bbgm_stat, INDEX(Players!$A661:$P661, MATCH(U$2, Players!$A$1:$P$1, 0)), perc_75, VLOOKUP(U$2, Percentiles!$A$45:$I$59, 6, FALSE), perc_90, VLOOKUP(U$2, Percentiles!$A$45:$I$59, 7, FALSE), perc_95, VLOOKUP(U$2, Percentiles!$A$45:$I$59, 8, FALSE), perc_85, perc_75 + (perc_90 - perc_75) * (2/3), converted_stat, '2K_Ratings'!U662, IF(bbgm_stat &gt;= perc_95, converted_stat * 3, IF(bbgm_stat &gt;= perc_90, converted_stat * 2, IF(bbgm_stat &gt;= perc_85, converted_stat * 1.5, converted_stat)))))</f>
        <v/>
      </c>
      <c r="V662" s="30" t="str">
        <f t="array" ref="V662">IF($A662="", "", LET(bbgm_stat, INDEX(Players!$A661:$P661, MATCH(V$2, Players!$A$1:$P$1, 0)), perc_75, VLOOKUP(V$2, Percentiles!$A$45:$I$59, 6, FALSE), perc_90, VLOOKUP(V$2, Percentiles!$A$45:$I$59, 7, FALSE), perc_95, VLOOKUP(V$2, Percentiles!$A$45:$I$59, 8, FALSE), perc_85, perc_75 + (perc_90 - perc_75) * (2/3), converted_stat, '2K_Ratings'!V662, IF(bbgm_stat &gt;= perc_95, converted_stat * 3, IF(bbgm_stat &gt;= perc_90, converted_stat * 2, IF(bbgm_stat &gt;= perc_85, converted_stat * 1.5, converted_stat)))))</f>
        <v/>
      </c>
      <c r="W662" s="30" t="str">
        <f t="array" ref="W662">IF($A662="", "", LET(bbgm_stat, INDEX(Players!$A661:$P661, MATCH(W$2, Players!$A$1:$P$1, 0)), perc_75, VLOOKUP(W$2, Percentiles!$A$45:$I$59, 6, FALSE), perc_90, VLOOKUP(W$2, Percentiles!$A$45:$I$59, 7, FALSE), perc_95, VLOOKUP(W$2, Percentiles!$A$45:$I$59, 8, FALSE), perc_85, perc_75 + (perc_90 - perc_75) * (2/3), converted_stat, '2K_Ratings'!W662, IF(bbgm_stat &gt;= perc_95, converted_stat * 3, IF(bbgm_stat &gt;= perc_90, converted_stat * 2, IF(bbgm_stat &gt;= perc_85, converted_stat * 1.5, converted_stat)))))</f>
        <v/>
      </c>
    </row>
    <row r="663">
      <c r="A663" s="30"/>
      <c r="B663" s="30" t="str">
        <f t="array" ref="B663">IF($A663="", "", LET(bbgm_stat, INDEX(Players!$A662:$P662, MATCH(B$2, Players!$A$1:$P$1, 0)), perc_75, VLOOKUP(B$2, Percentiles!$A$45:$I$59, 6, FALSE), perc_90, VLOOKUP(B$2, Percentiles!$A$45:$I$59, 7, FALSE), perc_95, VLOOKUP(B$2, Percentiles!$A$45:$I$59, 8, FALSE), perc_85, perc_75 + (perc_90 - perc_75) * (2/3), converted_stat, '2K_Ratings'!B663, IF(bbgm_stat &gt;= perc_95, converted_stat * 3, IF(bbgm_stat &gt;= perc_90, converted_stat * 2, IF(bbgm_stat &gt;= perc_85, converted_stat * 1.5, converted_stat)))))</f>
        <v/>
      </c>
      <c r="C663" s="30" t="str">
        <f t="array" ref="C663">IF($A663="", "", LET(bbgm_stat, INDEX(Players!$A662:$P662, MATCH(C$2, Players!$A$1:$P$1, 0)), perc_75, VLOOKUP(C$2, Percentiles!$A$45:$I$59, 6, FALSE), perc_90, VLOOKUP(C$2, Percentiles!$A$45:$I$59, 7, FALSE), perc_95, VLOOKUP(C$2, Percentiles!$A$45:$I$59, 8, FALSE), perc_85, perc_75 + (perc_90 - perc_75) * (2/3), converted_stat, '2K_Ratings'!C663, IF(bbgm_stat &gt;= perc_95, converted_stat * 3, IF(bbgm_stat &gt;= perc_90, converted_stat * 2, IF(bbgm_stat &gt;= perc_85, converted_stat * 1.5, converted_stat)))))</f>
        <v/>
      </c>
      <c r="D663" s="30" t="str">
        <f t="array" ref="D663">IF($A663="", "", LET(bbgm_stat, INDEX(Players!$A662:$P662, MATCH(D$2, Players!$A$1:$P$1, 0)), perc_75, VLOOKUP(D$2, Percentiles!$A$45:$I$59, 6, FALSE), perc_90, VLOOKUP(D$2, Percentiles!$A$45:$I$59, 7, FALSE), perc_95, VLOOKUP(D$2, Percentiles!$A$45:$I$59, 8, FALSE), perc_85, perc_75 + (perc_90 - perc_75) * (2/3), converted_stat, '2K_Ratings'!D663, IF(bbgm_stat &gt;= perc_95, converted_stat * 3, IF(bbgm_stat &gt;= perc_90, converted_stat * 2, IF(bbgm_stat &gt;= perc_85, converted_stat * 1.5, converted_stat)))))</f>
        <v/>
      </c>
      <c r="E663" s="30" t="str">
        <f t="array" ref="E663">IF($A663="", "", LET(bbgm_stat, INDEX(Players!$A662:$P662, MATCH(E$2, Players!$A$1:$P$1, 0)), perc_75, VLOOKUP(E$2, Percentiles!$A$45:$I$59, 6, FALSE), perc_90, VLOOKUP(E$2, Percentiles!$A$45:$I$59, 7, FALSE), perc_95, VLOOKUP(E$2, Percentiles!$A$45:$I$59, 8, FALSE), perc_85, perc_75 + (perc_90 - perc_75) * (2/3), converted_stat, '2K_Ratings'!E663, IF(bbgm_stat &gt;= perc_95, converted_stat * 3, IF(bbgm_stat &gt;= perc_90, converted_stat * 2, IF(bbgm_stat &gt;= perc_85, converted_stat * 1.5, converted_stat)))))</f>
        <v/>
      </c>
      <c r="F663" s="30" t="str">
        <f t="array" ref="F663">IF($A663="", "", LET(bbgm_stat, INDEX(Players!$A662:$P662, MATCH(F$2, Players!$A$1:$P$1, 0)), perc_75, VLOOKUP(F$2, Percentiles!$A$45:$I$59, 6, FALSE), perc_90, VLOOKUP(F$2, Percentiles!$A$45:$I$59, 7, FALSE), perc_95, VLOOKUP(F$2, Percentiles!$A$45:$I$59, 8, FALSE), perc_85, perc_75 + (perc_90 - perc_75) * (2/3), converted_stat, '2K_Ratings'!F663, IF(bbgm_stat &gt;= perc_95, converted_stat * 3, IF(bbgm_stat &gt;= perc_90, converted_stat * 2, IF(bbgm_stat &gt;= perc_85, converted_stat * 1.5, converted_stat)))))</f>
        <v/>
      </c>
      <c r="G663" s="30" t="str">
        <f t="array" ref="G663">IF($A663="", "", LET(bbgm_stat, INDEX(Players!$A662:$P662, MATCH(G$2, Players!$A$1:$P$1, 0)), perc_75, VLOOKUP(G$2, Percentiles!$A$45:$I$59, 6, FALSE), perc_90, VLOOKUP(G$2, Percentiles!$A$45:$I$59, 7, FALSE), perc_95, VLOOKUP(G$2, Percentiles!$A$45:$I$59, 8, FALSE), perc_85, perc_75 + (perc_90 - perc_75) * (2/3), converted_stat, '2K_Ratings'!G663, IF(bbgm_stat &gt;= perc_95, converted_stat * 3, IF(bbgm_stat &gt;= perc_90, converted_stat * 2, IF(bbgm_stat &gt;= perc_85, converted_stat * 1.5, converted_stat)))))</f>
        <v/>
      </c>
      <c r="H663" s="30" t="str">
        <f t="array" ref="H663">IF($A663="", "", LET(bbgm_stat, INDEX(Players!$A662:$P662, MATCH(H$2, Players!$A$1:$P$1, 0)), perc_75, VLOOKUP(H$2, Percentiles!$A$45:$I$59, 6, FALSE), perc_90, VLOOKUP(H$2, Percentiles!$A$45:$I$59, 7, FALSE), perc_95, VLOOKUP(H$2, Percentiles!$A$45:$I$59, 8, FALSE), perc_85, perc_75 + (perc_90 - perc_75) * (2/3), converted_stat, '2K_Ratings'!H663, IF(bbgm_stat &gt;= perc_95, converted_stat * 3, IF(bbgm_stat &gt;= perc_90, converted_stat * 2, IF(bbgm_stat &gt;= perc_85, converted_stat * 1.5, converted_stat)))))</f>
        <v/>
      </c>
      <c r="I663" s="30" t="str">
        <f t="array" ref="I663">IF($A663="", "", LET(bbgm_stat, INDEX(Players!$A662:$P662, MATCH(I$2, Players!$A$1:$P$1, 0)), perc_75, VLOOKUP(I$2, Percentiles!$A$45:$I$59, 6, FALSE), perc_90, VLOOKUP(I$2, Percentiles!$A$45:$I$59, 7, FALSE), perc_95, VLOOKUP(I$2, Percentiles!$A$45:$I$59, 8, FALSE), perc_85, perc_75 + (perc_90 - perc_75) * (2/3), converted_stat, '2K_Ratings'!I663, IF(bbgm_stat &gt;= perc_95, converted_stat * 3, IF(bbgm_stat &gt;= perc_90, converted_stat * 2, IF(bbgm_stat &gt;= perc_85, converted_stat * 1.5, converted_stat)))))</f>
        <v/>
      </c>
      <c r="J663" s="30" t="str">
        <f t="array" ref="J663">IF($A663="", "", LET(bbgm_stat, INDEX(Players!$A662:$P662, MATCH(J$2, Players!$A$1:$P$1, 0)), perc_75, VLOOKUP(J$2, Percentiles!$A$45:$I$59, 6, FALSE), perc_90, VLOOKUP(J$2, Percentiles!$A$45:$I$59, 7, FALSE), perc_95, VLOOKUP(J$2, Percentiles!$A$45:$I$59, 8, FALSE), perc_85, perc_75 + (perc_90 - perc_75) * (2/3), converted_stat, '2K_Ratings'!J663, IF(bbgm_stat &gt;= perc_95, converted_stat * 3, IF(bbgm_stat &gt;= perc_90, converted_stat * 2, IF(bbgm_stat &gt;= perc_85, converted_stat * 1.5, converted_stat)))))</f>
        <v/>
      </c>
      <c r="K663" s="30" t="str">
        <f t="array" ref="K663">IF($A663="", "", LET(bbgm_stat, INDEX(Players!$A662:$P662, MATCH(K$2, Players!$A$1:$P$1, 0)), perc_75, VLOOKUP(K$2, Percentiles!$A$45:$I$59, 6, FALSE), perc_90, VLOOKUP(K$2, Percentiles!$A$45:$I$59, 7, FALSE), perc_95, VLOOKUP(K$2, Percentiles!$A$45:$I$59, 8, FALSE), perc_85, perc_75 + (perc_90 - perc_75) * (2/3), converted_stat, '2K_Ratings'!K663, IF(bbgm_stat &gt;= perc_95, converted_stat * 3, IF(bbgm_stat &gt;= perc_90, converted_stat * 2, IF(bbgm_stat &gt;= perc_85, converted_stat * 1.5, converted_stat)))))</f>
        <v/>
      </c>
      <c r="L663" s="30" t="str">
        <f t="array" ref="L663">IF($A663="", "", LET(bbgm_stat, INDEX(Players!$A662:$P662, MATCH(L$2, Players!$A$1:$P$1, 0)), perc_75, VLOOKUP(L$2, Percentiles!$A$45:$I$59, 6, FALSE), perc_90, VLOOKUP(L$2, Percentiles!$A$45:$I$59, 7, FALSE), perc_95, VLOOKUP(L$2, Percentiles!$A$45:$I$59, 8, FALSE), perc_85, perc_75 + (perc_90 - perc_75) * (2/3), converted_stat, '2K_Ratings'!L663, IF(bbgm_stat &gt;= perc_95, converted_stat * 3, IF(bbgm_stat &gt;= perc_90, converted_stat * 2, IF(bbgm_stat &gt;= perc_85, converted_stat * 1.5, converted_stat)))))</f>
        <v/>
      </c>
      <c r="M663" s="30" t="str">
        <f t="array" ref="M663">IF($A663="", "", LET(bbgm_stat, INDEX(Players!$A662:$P662, MATCH(M$2, Players!$A$1:$P$1, 0)), perc_75, VLOOKUP(M$2, Percentiles!$A$45:$I$59, 6, FALSE), perc_90, VLOOKUP(M$2, Percentiles!$A$45:$I$59, 7, FALSE), perc_95, VLOOKUP(M$2, Percentiles!$A$45:$I$59, 8, FALSE), perc_85, perc_75 + (perc_90 - perc_75) * (2/3), converted_stat, '2K_Ratings'!M663, IF(bbgm_stat &gt;= perc_95, converted_stat * 3, IF(bbgm_stat &gt;= perc_90, converted_stat * 2, IF(bbgm_stat &gt;= perc_85, converted_stat * 1.5, converted_stat)))))</f>
        <v/>
      </c>
      <c r="N663" s="30" t="str">
        <f t="array" ref="N663">IF($A663="", "", LET(bbgm_stat, INDEX(Players!$A662:$P662, MATCH(N$2, Players!$A$1:$P$1, 0)), perc_75, VLOOKUP(N$2, Percentiles!$A$45:$I$59, 6, FALSE), perc_90, VLOOKUP(N$2, Percentiles!$A$45:$I$59, 7, FALSE), perc_95, VLOOKUP(N$2, Percentiles!$A$45:$I$59, 8, FALSE), perc_85, perc_75 + (perc_90 - perc_75) * (2/3), converted_stat, '2K_Ratings'!N663, IF(bbgm_stat &gt;= perc_95, converted_stat * 3, IF(bbgm_stat &gt;= perc_90, converted_stat * 2, IF(bbgm_stat &gt;= perc_85, converted_stat * 1.5, converted_stat)))))</f>
        <v/>
      </c>
      <c r="O663" s="30" t="str">
        <f t="array" ref="O663">IF($A663="", "", LET(bbgm_stat, INDEX(Players!$A662:$P662, MATCH(O$2, Players!$A$1:$P$1, 0)), perc_75, VLOOKUP(O$2, Percentiles!$A$45:$I$59, 6, FALSE), perc_90, VLOOKUP(O$2, Percentiles!$A$45:$I$59, 7, FALSE), perc_95, VLOOKUP(O$2, Percentiles!$A$45:$I$59, 8, FALSE), perc_85, perc_75 + (perc_90 - perc_75) * (2/3), converted_stat, '2K_Ratings'!O663, IF(bbgm_stat &gt;= perc_95, converted_stat * 3, IF(bbgm_stat &gt;= perc_90, converted_stat * 2, IF(bbgm_stat &gt;= perc_85, converted_stat * 1.5, converted_stat)))))</f>
        <v/>
      </c>
      <c r="P663" s="30" t="str">
        <f t="array" ref="P663">IF($A663="", "", LET(bbgm_stat, INDEX(Players!$A662:$P662, MATCH(P$2, Players!$A$1:$P$1, 0)), perc_75, VLOOKUP(P$2, Percentiles!$A$45:$I$59, 6, FALSE), perc_90, VLOOKUP(P$2, Percentiles!$A$45:$I$59, 7, FALSE), perc_95, VLOOKUP(P$2, Percentiles!$A$45:$I$59, 8, FALSE), perc_85, perc_75 + (perc_90 - perc_75) * (2/3), converted_stat, '2K_Ratings'!P663, IF(bbgm_stat &gt;= perc_95, converted_stat * 3, IF(bbgm_stat &gt;= perc_90, converted_stat * 2, IF(bbgm_stat &gt;= perc_85, converted_stat * 1.5, converted_stat)))))</f>
        <v/>
      </c>
      <c r="Q663" s="30" t="str">
        <f t="array" ref="Q663">IF($A663="", "", LET(bbgm_stat, INDEX(Players!$A662:$P662, MATCH(Q$2, Players!$A$1:$P$1, 0)), perc_75, VLOOKUP(Q$2, Percentiles!$A$45:$I$59, 6, FALSE), perc_90, VLOOKUP(Q$2, Percentiles!$A$45:$I$59, 7, FALSE), perc_95, VLOOKUP(Q$2, Percentiles!$A$45:$I$59, 8, FALSE), perc_85, perc_75 + (perc_90 - perc_75) * (2/3), converted_stat, '2K_Ratings'!Q663, IF(bbgm_stat &gt;= perc_95, converted_stat * 3, IF(bbgm_stat &gt;= perc_90, converted_stat * 2, IF(bbgm_stat &gt;= perc_85, converted_stat * 1.5, converted_stat)))))</f>
        <v/>
      </c>
      <c r="R663" s="30" t="str">
        <f t="array" ref="R663">IF($A663="", "", LET(bbgm_stat, INDEX(Players!$A662:$P662, MATCH(R$2, Players!$A$1:$P$1, 0)), perc_75, VLOOKUP(R$2, Percentiles!$A$45:$I$59, 6, FALSE), perc_90, VLOOKUP(R$2, Percentiles!$A$45:$I$59, 7, FALSE), perc_95, VLOOKUP(R$2, Percentiles!$A$45:$I$59, 8, FALSE), perc_85, perc_75 + (perc_90 - perc_75) * (2/3), converted_stat, '2K_Ratings'!R663, IF(bbgm_stat &gt;= perc_95, converted_stat * 3, IF(bbgm_stat &gt;= perc_90, converted_stat * 2, IF(bbgm_stat &gt;= perc_85, converted_stat * 1.5, converted_stat)))))</f>
        <v/>
      </c>
      <c r="S663" s="30" t="str">
        <f t="array" ref="S663">IF($A663="", "", LET(bbgm_stat, INDEX(Players!$A662:$P662, MATCH(S$2, Players!$A$1:$P$1, 0)), perc_75, VLOOKUP(S$2, Percentiles!$A$45:$I$59, 6, FALSE), perc_90, VLOOKUP(S$2, Percentiles!$A$45:$I$59, 7, FALSE), perc_95, VLOOKUP(S$2, Percentiles!$A$45:$I$59, 8, FALSE), perc_85, perc_75 + (perc_90 - perc_75) * (2/3), converted_stat, '2K_Ratings'!S663, IF(bbgm_stat &gt;= perc_95, converted_stat * 3, IF(bbgm_stat &gt;= perc_90, converted_stat * 2, IF(bbgm_stat &gt;= perc_85, converted_stat * 1.5, converted_stat)))))</f>
        <v/>
      </c>
      <c r="T663" s="30" t="str">
        <f t="array" ref="T663">IF($A663="", "", LET(bbgm_stat, INDEX(Players!$A662:$P662, MATCH(T$2, Players!$A$1:$P$1, 0)), perc_75, VLOOKUP(T$2, Percentiles!$A$45:$I$59, 6, FALSE), perc_90, VLOOKUP(T$2, Percentiles!$A$45:$I$59, 7, FALSE), perc_95, VLOOKUP(T$2, Percentiles!$A$45:$I$59, 8, FALSE), perc_85, perc_75 + (perc_90 - perc_75) * (2/3), converted_stat, '2K_Ratings'!T663, IF(bbgm_stat &gt;= perc_95, converted_stat * 3, IF(bbgm_stat &gt;= perc_90, converted_stat * 2, IF(bbgm_stat &gt;= perc_85, converted_stat * 1.5, converted_stat)))))</f>
        <v/>
      </c>
      <c r="U663" s="30" t="str">
        <f t="array" ref="U663">IF($A663="", "", LET(bbgm_stat, INDEX(Players!$A662:$P662, MATCH(U$2, Players!$A$1:$P$1, 0)), perc_75, VLOOKUP(U$2, Percentiles!$A$45:$I$59, 6, FALSE), perc_90, VLOOKUP(U$2, Percentiles!$A$45:$I$59, 7, FALSE), perc_95, VLOOKUP(U$2, Percentiles!$A$45:$I$59, 8, FALSE), perc_85, perc_75 + (perc_90 - perc_75) * (2/3), converted_stat, '2K_Ratings'!U663, IF(bbgm_stat &gt;= perc_95, converted_stat * 3, IF(bbgm_stat &gt;= perc_90, converted_stat * 2, IF(bbgm_stat &gt;= perc_85, converted_stat * 1.5, converted_stat)))))</f>
        <v/>
      </c>
      <c r="V663" s="30" t="str">
        <f t="array" ref="V663">IF($A663="", "", LET(bbgm_stat, INDEX(Players!$A662:$P662, MATCH(V$2, Players!$A$1:$P$1, 0)), perc_75, VLOOKUP(V$2, Percentiles!$A$45:$I$59, 6, FALSE), perc_90, VLOOKUP(V$2, Percentiles!$A$45:$I$59, 7, FALSE), perc_95, VLOOKUP(V$2, Percentiles!$A$45:$I$59, 8, FALSE), perc_85, perc_75 + (perc_90 - perc_75) * (2/3), converted_stat, '2K_Ratings'!V663, IF(bbgm_stat &gt;= perc_95, converted_stat * 3, IF(bbgm_stat &gt;= perc_90, converted_stat * 2, IF(bbgm_stat &gt;= perc_85, converted_stat * 1.5, converted_stat)))))</f>
        <v/>
      </c>
      <c r="W663" s="30" t="str">
        <f t="array" ref="W663">IF($A663="", "", LET(bbgm_stat, INDEX(Players!$A662:$P662, MATCH(W$2, Players!$A$1:$P$1, 0)), perc_75, VLOOKUP(W$2, Percentiles!$A$45:$I$59, 6, FALSE), perc_90, VLOOKUP(W$2, Percentiles!$A$45:$I$59, 7, FALSE), perc_95, VLOOKUP(W$2, Percentiles!$A$45:$I$59, 8, FALSE), perc_85, perc_75 + (perc_90 - perc_75) * (2/3), converted_stat, '2K_Ratings'!W663, IF(bbgm_stat &gt;= perc_95, converted_stat * 3, IF(bbgm_stat &gt;= perc_90, converted_stat * 2, IF(bbgm_stat &gt;= perc_85, converted_stat * 1.5, converted_stat)))))</f>
        <v/>
      </c>
    </row>
    <row r="664">
      <c r="A664" s="30"/>
      <c r="B664" s="30" t="str">
        <f t="array" ref="B664">IF($A664="", "", LET(bbgm_stat, INDEX(Players!$A663:$P663, MATCH(B$2, Players!$A$1:$P$1, 0)), perc_75, VLOOKUP(B$2, Percentiles!$A$45:$I$59, 6, FALSE), perc_90, VLOOKUP(B$2, Percentiles!$A$45:$I$59, 7, FALSE), perc_95, VLOOKUP(B$2, Percentiles!$A$45:$I$59, 8, FALSE), perc_85, perc_75 + (perc_90 - perc_75) * (2/3), converted_stat, '2K_Ratings'!B664, IF(bbgm_stat &gt;= perc_95, converted_stat * 3, IF(bbgm_stat &gt;= perc_90, converted_stat * 2, IF(bbgm_stat &gt;= perc_85, converted_stat * 1.5, converted_stat)))))</f>
        <v/>
      </c>
      <c r="C664" s="30" t="str">
        <f t="array" ref="C664">IF($A664="", "", LET(bbgm_stat, INDEX(Players!$A663:$P663, MATCH(C$2, Players!$A$1:$P$1, 0)), perc_75, VLOOKUP(C$2, Percentiles!$A$45:$I$59, 6, FALSE), perc_90, VLOOKUP(C$2, Percentiles!$A$45:$I$59, 7, FALSE), perc_95, VLOOKUP(C$2, Percentiles!$A$45:$I$59, 8, FALSE), perc_85, perc_75 + (perc_90 - perc_75) * (2/3), converted_stat, '2K_Ratings'!C664, IF(bbgm_stat &gt;= perc_95, converted_stat * 3, IF(bbgm_stat &gt;= perc_90, converted_stat * 2, IF(bbgm_stat &gt;= perc_85, converted_stat * 1.5, converted_stat)))))</f>
        <v/>
      </c>
      <c r="D664" s="30" t="str">
        <f t="array" ref="D664">IF($A664="", "", LET(bbgm_stat, INDEX(Players!$A663:$P663, MATCH(D$2, Players!$A$1:$P$1, 0)), perc_75, VLOOKUP(D$2, Percentiles!$A$45:$I$59, 6, FALSE), perc_90, VLOOKUP(D$2, Percentiles!$A$45:$I$59, 7, FALSE), perc_95, VLOOKUP(D$2, Percentiles!$A$45:$I$59, 8, FALSE), perc_85, perc_75 + (perc_90 - perc_75) * (2/3), converted_stat, '2K_Ratings'!D664, IF(bbgm_stat &gt;= perc_95, converted_stat * 3, IF(bbgm_stat &gt;= perc_90, converted_stat * 2, IF(bbgm_stat &gt;= perc_85, converted_stat * 1.5, converted_stat)))))</f>
        <v/>
      </c>
      <c r="E664" s="30" t="str">
        <f t="array" ref="E664">IF($A664="", "", LET(bbgm_stat, INDEX(Players!$A663:$P663, MATCH(E$2, Players!$A$1:$P$1, 0)), perc_75, VLOOKUP(E$2, Percentiles!$A$45:$I$59, 6, FALSE), perc_90, VLOOKUP(E$2, Percentiles!$A$45:$I$59, 7, FALSE), perc_95, VLOOKUP(E$2, Percentiles!$A$45:$I$59, 8, FALSE), perc_85, perc_75 + (perc_90 - perc_75) * (2/3), converted_stat, '2K_Ratings'!E664, IF(bbgm_stat &gt;= perc_95, converted_stat * 3, IF(bbgm_stat &gt;= perc_90, converted_stat * 2, IF(bbgm_stat &gt;= perc_85, converted_stat * 1.5, converted_stat)))))</f>
        <v/>
      </c>
      <c r="F664" s="30" t="str">
        <f t="array" ref="F664">IF($A664="", "", LET(bbgm_stat, INDEX(Players!$A663:$P663, MATCH(F$2, Players!$A$1:$P$1, 0)), perc_75, VLOOKUP(F$2, Percentiles!$A$45:$I$59, 6, FALSE), perc_90, VLOOKUP(F$2, Percentiles!$A$45:$I$59, 7, FALSE), perc_95, VLOOKUP(F$2, Percentiles!$A$45:$I$59, 8, FALSE), perc_85, perc_75 + (perc_90 - perc_75) * (2/3), converted_stat, '2K_Ratings'!F664, IF(bbgm_stat &gt;= perc_95, converted_stat * 3, IF(bbgm_stat &gt;= perc_90, converted_stat * 2, IF(bbgm_stat &gt;= perc_85, converted_stat * 1.5, converted_stat)))))</f>
        <v/>
      </c>
      <c r="G664" s="30" t="str">
        <f t="array" ref="G664">IF($A664="", "", LET(bbgm_stat, INDEX(Players!$A663:$P663, MATCH(G$2, Players!$A$1:$P$1, 0)), perc_75, VLOOKUP(G$2, Percentiles!$A$45:$I$59, 6, FALSE), perc_90, VLOOKUP(G$2, Percentiles!$A$45:$I$59, 7, FALSE), perc_95, VLOOKUP(G$2, Percentiles!$A$45:$I$59, 8, FALSE), perc_85, perc_75 + (perc_90 - perc_75) * (2/3), converted_stat, '2K_Ratings'!G664, IF(bbgm_stat &gt;= perc_95, converted_stat * 3, IF(bbgm_stat &gt;= perc_90, converted_stat * 2, IF(bbgm_stat &gt;= perc_85, converted_stat * 1.5, converted_stat)))))</f>
        <v/>
      </c>
      <c r="H664" s="30" t="str">
        <f t="array" ref="H664">IF($A664="", "", LET(bbgm_stat, INDEX(Players!$A663:$P663, MATCH(H$2, Players!$A$1:$P$1, 0)), perc_75, VLOOKUP(H$2, Percentiles!$A$45:$I$59, 6, FALSE), perc_90, VLOOKUP(H$2, Percentiles!$A$45:$I$59, 7, FALSE), perc_95, VLOOKUP(H$2, Percentiles!$A$45:$I$59, 8, FALSE), perc_85, perc_75 + (perc_90 - perc_75) * (2/3), converted_stat, '2K_Ratings'!H664, IF(bbgm_stat &gt;= perc_95, converted_stat * 3, IF(bbgm_stat &gt;= perc_90, converted_stat * 2, IF(bbgm_stat &gt;= perc_85, converted_stat * 1.5, converted_stat)))))</f>
        <v/>
      </c>
      <c r="I664" s="30" t="str">
        <f t="array" ref="I664">IF($A664="", "", LET(bbgm_stat, INDEX(Players!$A663:$P663, MATCH(I$2, Players!$A$1:$P$1, 0)), perc_75, VLOOKUP(I$2, Percentiles!$A$45:$I$59, 6, FALSE), perc_90, VLOOKUP(I$2, Percentiles!$A$45:$I$59, 7, FALSE), perc_95, VLOOKUP(I$2, Percentiles!$A$45:$I$59, 8, FALSE), perc_85, perc_75 + (perc_90 - perc_75) * (2/3), converted_stat, '2K_Ratings'!I664, IF(bbgm_stat &gt;= perc_95, converted_stat * 3, IF(bbgm_stat &gt;= perc_90, converted_stat * 2, IF(bbgm_stat &gt;= perc_85, converted_stat * 1.5, converted_stat)))))</f>
        <v/>
      </c>
      <c r="J664" s="30" t="str">
        <f t="array" ref="J664">IF($A664="", "", LET(bbgm_stat, INDEX(Players!$A663:$P663, MATCH(J$2, Players!$A$1:$P$1, 0)), perc_75, VLOOKUP(J$2, Percentiles!$A$45:$I$59, 6, FALSE), perc_90, VLOOKUP(J$2, Percentiles!$A$45:$I$59, 7, FALSE), perc_95, VLOOKUP(J$2, Percentiles!$A$45:$I$59, 8, FALSE), perc_85, perc_75 + (perc_90 - perc_75) * (2/3), converted_stat, '2K_Ratings'!J664, IF(bbgm_stat &gt;= perc_95, converted_stat * 3, IF(bbgm_stat &gt;= perc_90, converted_stat * 2, IF(bbgm_stat &gt;= perc_85, converted_stat * 1.5, converted_stat)))))</f>
        <v/>
      </c>
      <c r="K664" s="30" t="str">
        <f t="array" ref="K664">IF($A664="", "", LET(bbgm_stat, INDEX(Players!$A663:$P663, MATCH(K$2, Players!$A$1:$P$1, 0)), perc_75, VLOOKUP(K$2, Percentiles!$A$45:$I$59, 6, FALSE), perc_90, VLOOKUP(K$2, Percentiles!$A$45:$I$59, 7, FALSE), perc_95, VLOOKUP(K$2, Percentiles!$A$45:$I$59, 8, FALSE), perc_85, perc_75 + (perc_90 - perc_75) * (2/3), converted_stat, '2K_Ratings'!K664, IF(bbgm_stat &gt;= perc_95, converted_stat * 3, IF(bbgm_stat &gt;= perc_90, converted_stat * 2, IF(bbgm_stat &gt;= perc_85, converted_stat * 1.5, converted_stat)))))</f>
        <v/>
      </c>
      <c r="L664" s="30" t="str">
        <f t="array" ref="L664">IF($A664="", "", LET(bbgm_stat, INDEX(Players!$A663:$P663, MATCH(L$2, Players!$A$1:$P$1, 0)), perc_75, VLOOKUP(L$2, Percentiles!$A$45:$I$59, 6, FALSE), perc_90, VLOOKUP(L$2, Percentiles!$A$45:$I$59, 7, FALSE), perc_95, VLOOKUP(L$2, Percentiles!$A$45:$I$59, 8, FALSE), perc_85, perc_75 + (perc_90 - perc_75) * (2/3), converted_stat, '2K_Ratings'!L664, IF(bbgm_stat &gt;= perc_95, converted_stat * 3, IF(bbgm_stat &gt;= perc_90, converted_stat * 2, IF(bbgm_stat &gt;= perc_85, converted_stat * 1.5, converted_stat)))))</f>
        <v/>
      </c>
      <c r="M664" s="30" t="str">
        <f t="array" ref="M664">IF($A664="", "", LET(bbgm_stat, INDEX(Players!$A663:$P663, MATCH(M$2, Players!$A$1:$P$1, 0)), perc_75, VLOOKUP(M$2, Percentiles!$A$45:$I$59, 6, FALSE), perc_90, VLOOKUP(M$2, Percentiles!$A$45:$I$59, 7, FALSE), perc_95, VLOOKUP(M$2, Percentiles!$A$45:$I$59, 8, FALSE), perc_85, perc_75 + (perc_90 - perc_75) * (2/3), converted_stat, '2K_Ratings'!M664, IF(bbgm_stat &gt;= perc_95, converted_stat * 3, IF(bbgm_stat &gt;= perc_90, converted_stat * 2, IF(bbgm_stat &gt;= perc_85, converted_stat * 1.5, converted_stat)))))</f>
        <v/>
      </c>
      <c r="N664" s="30" t="str">
        <f t="array" ref="N664">IF($A664="", "", LET(bbgm_stat, INDEX(Players!$A663:$P663, MATCH(N$2, Players!$A$1:$P$1, 0)), perc_75, VLOOKUP(N$2, Percentiles!$A$45:$I$59, 6, FALSE), perc_90, VLOOKUP(N$2, Percentiles!$A$45:$I$59, 7, FALSE), perc_95, VLOOKUP(N$2, Percentiles!$A$45:$I$59, 8, FALSE), perc_85, perc_75 + (perc_90 - perc_75) * (2/3), converted_stat, '2K_Ratings'!N664, IF(bbgm_stat &gt;= perc_95, converted_stat * 3, IF(bbgm_stat &gt;= perc_90, converted_stat * 2, IF(bbgm_stat &gt;= perc_85, converted_stat * 1.5, converted_stat)))))</f>
        <v/>
      </c>
      <c r="O664" s="30" t="str">
        <f t="array" ref="O664">IF($A664="", "", LET(bbgm_stat, INDEX(Players!$A663:$P663, MATCH(O$2, Players!$A$1:$P$1, 0)), perc_75, VLOOKUP(O$2, Percentiles!$A$45:$I$59, 6, FALSE), perc_90, VLOOKUP(O$2, Percentiles!$A$45:$I$59, 7, FALSE), perc_95, VLOOKUP(O$2, Percentiles!$A$45:$I$59, 8, FALSE), perc_85, perc_75 + (perc_90 - perc_75) * (2/3), converted_stat, '2K_Ratings'!O664, IF(bbgm_stat &gt;= perc_95, converted_stat * 3, IF(bbgm_stat &gt;= perc_90, converted_stat * 2, IF(bbgm_stat &gt;= perc_85, converted_stat * 1.5, converted_stat)))))</f>
        <v/>
      </c>
      <c r="P664" s="30" t="str">
        <f t="array" ref="P664">IF($A664="", "", LET(bbgm_stat, INDEX(Players!$A663:$P663, MATCH(P$2, Players!$A$1:$P$1, 0)), perc_75, VLOOKUP(P$2, Percentiles!$A$45:$I$59, 6, FALSE), perc_90, VLOOKUP(P$2, Percentiles!$A$45:$I$59, 7, FALSE), perc_95, VLOOKUP(P$2, Percentiles!$A$45:$I$59, 8, FALSE), perc_85, perc_75 + (perc_90 - perc_75) * (2/3), converted_stat, '2K_Ratings'!P664, IF(bbgm_stat &gt;= perc_95, converted_stat * 3, IF(bbgm_stat &gt;= perc_90, converted_stat * 2, IF(bbgm_stat &gt;= perc_85, converted_stat * 1.5, converted_stat)))))</f>
        <v/>
      </c>
      <c r="Q664" s="30" t="str">
        <f t="array" ref="Q664">IF($A664="", "", LET(bbgm_stat, INDEX(Players!$A663:$P663, MATCH(Q$2, Players!$A$1:$P$1, 0)), perc_75, VLOOKUP(Q$2, Percentiles!$A$45:$I$59, 6, FALSE), perc_90, VLOOKUP(Q$2, Percentiles!$A$45:$I$59, 7, FALSE), perc_95, VLOOKUP(Q$2, Percentiles!$A$45:$I$59, 8, FALSE), perc_85, perc_75 + (perc_90 - perc_75) * (2/3), converted_stat, '2K_Ratings'!Q664, IF(bbgm_stat &gt;= perc_95, converted_stat * 3, IF(bbgm_stat &gt;= perc_90, converted_stat * 2, IF(bbgm_stat &gt;= perc_85, converted_stat * 1.5, converted_stat)))))</f>
        <v/>
      </c>
      <c r="R664" s="30" t="str">
        <f t="array" ref="R664">IF($A664="", "", LET(bbgm_stat, INDEX(Players!$A663:$P663, MATCH(R$2, Players!$A$1:$P$1, 0)), perc_75, VLOOKUP(R$2, Percentiles!$A$45:$I$59, 6, FALSE), perc_90, VLOOKUP(R$2, Percentiles!$A$45:$I$59, 7, FALSE), perc_95, VLOOKUP(R$2, Percentiles!$A$45:$I$59, 8, FALSE), perc_85, perc_75 + (perc_90 - perc_75) * (2/3), converted_stat, '2K_Ratings'!R664, IF(bbgm_stat &gt;= perc_95, converted_stat * 3, IF(bbgm_stat &gt;= perc_90, converted_stat * 2, IF(bbgm_stat &gt;= perc_85, converted_stat * 1.5, converted_stat)))))</f>
        <v/>
      </c>
      <c r="S664" s="30" t="str">
        <f t="array" ref="S664">IF($A664="", "", LET(bbgm_stat, INDEX(Players!$A663:$P663, MATCH(S$2, Players!$A$1:$P$1, 0)), perc_75, VLOOKUP(S$2, Percentiles!$A$45:$I$59, 6, FALSE), perc_90, VLOOKUP(S$2, Percentiles!$A$45:$I$59, 7, FALSE), perc_95, VLOOKUP(S$2, Percentiles!$A$45:$I$59, 8, FALSE), perc_85, perc_75 + (perc_90 - perc_75) * (2/3), converted_stat, '2K_Ratings'!S664, IF(bbgm_stat &gt;= perc_95, converted_stat * 3, IF(bbgm_stat &gt;= perc_90, converted_stat * 2, IF(bbgm_stat &gt;= perc_85, converted_stat * 1.5, converted_stat)))))</f>
        <v/>
      </c>
      <c r="T664" s="30" t="str">
        <f t="array" ref="T664">IF($A664="", "", LET(bbgm_stat, INDEX(Players!$A663:$P663, MATCH(T$2, Players!$A$1:$P$1, 0)), perc_75, VLOOKUP(T$2, Percentiles!$A$45:$I$59, 6, FALSE), perc_90, VLOOKUP(T$2, Percentiles!$A$45:$I$59, 7, FALSE), perc_95, VLOOKUP(T$2, Percentiles!$A$45:$I$59, 8, FALSE), perc_85, perc_75 + (perc_90 - perc_75) * (2/3), converted_stat, '2K_Ratings'!T664, IF(bbgm_stat &gt;= perc_95, converted_stat * 3, IF(bbgm_stat &gt;= perc_90, converted_stat * 2, IF(bbgm_stat &gt;= perc_85, converted_stat * 1.5, converted_stat)))))</f>
        <v/>
      </c>
      <c r="U664" s="30" t="str">
        <f t="array" ref="U664">IF($A664="", "", LET(bbgm_stat, INDEX(Players!$A663:$P663, MATCH(U$2, Players!$A$1:$P$1, 0)), perc_75, VLOOKUP(U$2, Percentiles!$A$45:$I$59, 6, FALSE), perc_90, VLOOKUP(U$2, Percentiles!$A$45:$I$59, 7, FALSE), perc_95, VLOOKUP(U$2, Percentiles!$A$45:$I$59, 8, FALSE), perc_85, perc_75 + (perc_90 - perc_75) * (2/3), converted_stat, '2K_Ratings'!U664, IF(bbgm_stat &gt;= perc_95, converted_stat * 3, IF(bbgm_stat &gt;= perc_90, converted_stat * 2, IF(bbgm_stat &gt;= perc_85, converted_stat * 1.5, converted_stat)))))</f>
        <v/>
      </c>
      <c r="V664" s="30" t="str">
        <f t="array" ref="V664">IF($A664="", "", LET(bbgm_stat, INDEX(Players!$A663:$P663, MATCH(V$2, Players!$A$1:$P$1, 0)), perc_75, VLOOKUP(V$2, Percentiles!$A$45:$I$59, 6, FALSE), perc_90, VLOOKUP(V$2, Percentiles!$A$45:$I$59, 7, FALSE), perc_95, VLOOKUP(V$2, Percentiles!$A$45:$I$59, 8, FALSE), perc_85, perc_75 + (perc_90 - perc_75) * (2/3), converted_stat, '2K_Ratings'!V664, IF(bbgm_stat &gt;= perc_95, converted_stat * 3, IF(bbgm_stat &gt;= perc_90, converted_stat * 2, IF(bbgm_stat &gt;= perc_85, converted_stat * 1.5, converted_stat)))))</f>
        <v/>
      </c>
      <c r="W664" s="30" t="str">
        <f t="array" ref="W664">IF($A664="", "", LET(bbgm_stat, INDEX(Players!$A663:$P663, MATCH(W$2, Players!$A$1:$P$1, 0)), perc_75, VLOOKUP(W$2, Percentiles!$A$45:$I$59, 6, FALSE), perc_90, VLOOKUP(W$2, Percentiles!$A$45:$I$59, 7, FALSE), perc_95, VLOOKUP(W$2, Percentiles!$A$45:$I$59, 8, FALSE), perc_85, perc_75 + (perc_90 - perc_75) * (2/3), converted_stat, '2K_Ratings'!W664, IF(bbgm_stat &gt;= perc_95, converted_stat * 3, IF(bbgm_stat &gt;= perc_90, converted_stat * 2, IF(bbgm_stat &gt;= perc_85, converted_stat * 1.5, converted_stat)))))</f>
        <v/>
      </c>
    </row>
    <row r="665">
      <c r="A665" s="30"/>
      <c r="B665" s="30" t="str">
        <f t="array" ref="B665">IF($A665="", "", LET(bbgm_stat, INDEX(Players!$A664:$P664, MATCH(B$2, Players!$A$1:$P$1, 0)), perc_75, VLOOKUP(B$2, Percentiles!$A$45:$I$59, 6, FALSE), perc_90, VLOOKUP(B$2, Percentiles!$A$45:$I$59, 7, FALSE), perc_95, VLOOKUP(B$2, Percentiles!$A$45:$I$59, 8, FALSE), perc_85, perc_75 + (perc_90 - perc_75) * (2/3), converted_stat, '2K_Ratings'!B665, IF(bbgm_stat &gt;= perc_95, converted_stat * 3, IF(bbgm_stat &gt;= perc_90, converted_stat * 2, IF(bbgm_stat &gt;= perc_85, converted_stat * 1.5, converted_stat)))))</f>
        <v/>
      </c>
      <c r="C665" s="30" t="str">
        <f t="array" ref="C665">IF($A665="", "", LET(bbgm_stat, INDEX(Players!$A664:$P664, MATCH(C$2, Players!$A$1:$P$1, 0)), perc_75, VLOOKUP(C$2, Percentiles!$A$45:$I$59, 6, FALSE), perc_90, VLOOKUP(C$2, Percentiles!$A$45:$I$59, 7, FALSE), perc_95, VLOOKUP(C$2, Percentiles!$A$45:$I$59, 8, FALSE), perc_85, perc_75 + (perc_90 - perc_75) * (2/3), converted_stat, '2K_Ratings'!C665, IF(bbgm_stat &gt;= perc_95, converted_stat * 3, IF(bbgm_stat &gt;= perc_90, converted_stat * 2, IF(bbgm_stat &gt;= perc_85, converted_stat * 1.5, converted_stat)))))</f>
        <v/>
      </c>
      <c r="D665" s="30" t="str">
        <f t="array" ref="D665">IF($A665="", "", LET(bbgm_stat, INDEX(Players!$A664:$P664, MATCH(D$2, Players!$A$1:$P$1, 0)), perc_75, VLOOKUP(D$2, Percentiles!$A$45:$I$59, 6, FALSE), perc_90, VLOOKUP(D$2, Percentiles!$A$45:$I$59, 7, FALSE), perc_95, VLOOKUP(D$2, Percentiles!$A$45:$I$59, 8, FALSE), perc_85, perc_75 + (perc_90 - perc_75) * (2/3), converted_stat, '2K_Ratings'!D665, IF(bbgm_stat &gt;= perc_95, converted_stat * 3, IF(bbgm_stat &gt;= perc_90, converted_stat * 2, IF(bbgm_stat &gt;= perc_85, converted_stat * 1.5, converted_stat)))))</f>
        <v/>
      </c>
      <c r="E665" s="30" t="str">
        <f t="array" ref="E665">IF($A665="", "", LET(bbgm_stat, INDEX(Players!$A664:$P664, MATCH(E$2, Players!$A$1:$P$1, 0)), perc_75, VLOOKUP(E$2, Percentiles!$A$45:$I$59, 6, FALSE), perc_90, VLOOKUP(E$2, Percentiles!$A$45:$I$59, 7, FALSE), perc_95, VLOOKUP(E$2, Percentiles!$A$45:$I$59, 8, FALSE), perc_85, perc_75 + (perc_90 - perc_75) * (2/3), converted_stat, '2K_Ratings'!E665, IF(bbgm_stat &gt;= perc_95, converted_stat * 3, IF(bbgm_stat &gt;= perc_90, converted_stat * 2, IF(bbgm_stat &gt;= perc_85, converted_stat * 1.5, converted_stat)))))</f>
        <v/>
      </c>
      <c r="F665" s="30" t="str">
        <f t="array" ref="F665">IF($A665="", "", LET(bbgm_stat, INDEX(Players!$A664:$P664, MATCH(F$2, Players!$A$1:$P$1, 0)), perc_75, VLOOKUP(F$2, Percentiles!$A$45:$I$59, 6, FALSE), perc_90, VLOOKUP(F$2, Percentiles!$A$45:$I$59, 7, FALSE), perc_95, VLOOKUP(F$2, Percentiles!$A$45:$I$59, 8, FALSE), perc_85, perc_75 + (perc_90 - perc_75) * (2/3), converted_stat, '2K_Ratings'!F665, IF(bbgm_stat &gt;= perc_95, converted_stat * 3, IF(bbgm_stat &gt;= perc_90, converted_stat * 2, IF(bbgm_stat &gt;= perc_85, converted_stat * 1.5, converted_stat)))))</f>
        <v/>
      </c>
      <c r="G665" s="30" t="str">
        <f t="array" ref="G665">IF($A665="", "", LET(bbgm_stat, INDEX(Players!$A664:$P664, MATCH(G$2, Players!$A$1:$P$1, 0)), perc_75, VLOOKUP(G$2, Percentiles!$A$45:$I$59, 6, FALSE), perc_90, VLOOKUP(G$2, Percentiles!$A$45:$I$59, 7, FALSE), perc_95, VLOOKUP(G$2, Percentiles!$A$45:$I$59, 8, FALSE), perc_85, perc_75 + (perc_90 - perc_75) * (2/3), converted_stat, '2K_Ratings'!G665, IF(bbgm_stat &gt;= perc_95, converted_stat * 3, IF(bbgm_stat &gt;= perc_90, converted_stat * 2, IF(bbgm_stat &gt;= perc_85, converted_stat * 1.5, converted_stat)))))</f>
        <v/>
      </c>
      <c r="H665" s="30" t="str">
        <f t="array" ref="H665">IF($A665="", "", LET(bbgm_stat, INDEX(Players!$A664:$P664, MATCH(H$2, Players!$A$1:$P$1, 0)), perc_75, VLOOKUP(H$2, Percentiles!$A$45:$I$59, 6, FALSE), perc_90, VLOOKUP(H$2, Percentiles!$A$45:$I$59, 7, FALSE), perc_95, VLOOKUP(H$2, Percentiles!$A$45:$I$59, 8, FALSE), perc_85, perc_75 + (perc_90 - perc_75) * (2/3), converted_stat, '2K_Ratings'!H665, IF(bbgm_stat &gt;= perc_95, converted_stat * 3, IF(bbgm_stat &gt;= perc_90, converted_stat * 2, IF(bbgm_stat &gt;= perc_85, converted_stat * 1.5, converted_stat)))))</f>
        <v/>
      </c>
      <c r="I665" s="30" t="str">
        <f t="array" ref="I665">IF($A665="", "", LET(bbgm_stat, INDEX(Players!$A664:$P664, MATCH(I$2, Players!$A$1:$P$1, 0)), perc_75, VLOOKUP(I$2, Percentiles!$A$45:$I$59, 6, FALSE), perc_90, VLOOKUP(I$2, Percentiles!$A$45:$I$59, 7, FALSE), perc_95, VLOOKUP(I$2, Percentiles!$A$45:$I$59, 8, FALSE), perc_85, perc_75 + (perc_90 - perc_75) * (2/3), converted_stat, '2K_Ratings'!I665, IF(bbgm_stat &gt;= perc_95, converted_stat * 3, IF(bbgm_stat &gt;= perc_90, converted_stat * 2, IF(bbgm_stat &gt;= perc_85, converted_stat * 1.5, converted_stat)))))</f>
        <v/>
      </c>
      <c r="J665" s="30" t="str">
        <f t="array" ref="J665">IF($A665="", "", LET(bbgm_stat, INDEX(Players!$A664:$P664, MATCH(J$2, Players!$A$1:$P$1, 0)), perc_75, VLOOKUP(J$2, Percentiles!$A$45:$I$59, 6, FALSE), perc_90, VLOOKUP(J$2, Percentiles!$A$45:$I$59, 7, FALSE), perc_95, VLOOKUP(J$2, Percentiles!$A$45:$I$59, 8, FALSE), perc_85, perc_75 + (perc_90 - perc_75) * (2/3), converted_stat, '2K_Ratings'!J665, IF(bbgm_stat &gt;= perc_95, converted_stat * 3, IF(bbgm_stat &gt;= perc_90, converted_stat * 2, IF(bbgm_stat &gt;= perc_85, converted_stat * 1.5, converted_stat)))))</f>
        <v/>
      </c>
      <c r="K665" s="30" t="str">
        <f t="array" ref="K665">IF($A665="", "", LET(bbgm_stat, INDEX(Players!$A664:$P664, MATCH(K$2, Players!$A$1:$P$1, 0)), perc_75, VLOOKUP(K$2, Percentiles!$A$45:$I$59, 6, FALSE), perc_90, VLOOKUP(K$2, Percentiles!$A$45:$I$59, 7, FALSE), perc_95, VLOOKUP(K$2, Percentiles!$A$45:$I$59, 8, FALSE), perc_85, perc_75 + (perc_90 - perc_75) * (2/3), converted_stat, '2K_Ratings'!K665, IF(bbgm_stat &gt;= perc_95, converted_stat * 3, IF(bbgm_stat &gt;= perc_90, converted_stat * 2, IF(bbgm_stat &gt;= perc_85, converted_stat * 1.5, converted_stat)))))</f>
        <v/>
      </c>
      <c r="L665" s="30" t="str">
        <f t="array" ref="L665">IF($A665="", "", LET(bbgm_stat, INDEX(Players!$A664:$P664, MATCH(L$2, Players!$A$1:$P$1, 0)), perc_75, VLOOKUP(L$2, Percentiles!$A$45:$I$59, 6, FALSE), perc_90, VLOOKUP(L$2, Percentiles!$A$45:$I$59, 7, FALSE), perc_95, VLOOKUP(L$2, Percentiles!$A$45:$I$59, 8, FALSE), perc_85, perc_75 + (perc_90 - perc_75) * (2/3), converted_stat, '2K_Ratings'!L665, IF(bbgm_stat &gt;= perc_95, converted_stat * 3, IF(bbgm_stat &gt;= perc_90, converted_stat * 2, IF(bbgm_stat &gt;= perc_85, converted_stat * 1.5, converted_stat)))))</f>
        <v/>
      </c>
      <c r="M665" s="30" t="str">
        <f t="array" ref="M665">IF($A665="", "", LET(bbgm_stat, INDEX(Players!$A664:$P664, MATCH(M$2, Players!$A$1:$P$1, 0)), perc_75, VLOOKUP(M$2, Percentiles!$A$45:$I$59, 6, FALSE), perc_90, VLOOKUP(M$2, Percentiles!$A$45:$I$59, 7, FALSE), perc_95, VLOOKUP(M$2, Percentiles!$A$45:$I$59, 8, FALSE), perc_85, perc_75 + (perc_90 - perc_75) * (2/3), converted_stat, '2K_Ratings'!M665, IF(bbgm_stat &gt;= perc_95, converted_stat * 3, IF(bbgm_stat &gt;= perc_90, converted_stat * 2, IF(bbgm_stat &gt;= perc_85, converted_stat * 1.5, converted_stat)))))</f>
        <v/>
      </c>
      <c r="N665" s="30" t="str">
        <f t="array" ref="N665">IF($A665="", "", LET(bbgm_stat, INDEX(Players!$A664:$P664, MATCH(N$2, Players!$A$1:$P$1, 0)), perc_75, VLOOKUP(N$2, Percentiles!$A$45:$I$59, 6, FALSE), perc_90, VLOOKUP(N$2, Percentiles!$A$45:$I$59, 7, FALSE), perc_95, VLOOKUP(N$2, Percentiles!$A$45:$I$59, 8, FALSE), perc_85, perc_75 + (perc_90 - perc_75) * (2/3), converted_stat, '2K_Ratings'!N665, IF(bbgm_stat &gt;= perc_95, converted_stat * 3, IF(bbgm_stat &gt;= perc_90, converted_stat * 2, IF(bbgm_stat &gt;= perc_85, converted_stat * 1.5, converted_stat)))))</f>
        <v/>
      </c>
      <c r="O665" s="30" t="str">
        <f t="array" ref="O665">IF($A665="", "", LET(bbgm_stat, INDEX(Players!$A664:$P664, MATCH(O$2, Players!$A$1:$P$1, 0)), perc_75, VLOOKUP(O$2, Percentiles!$A$45:$I$59, 6, FALSE), perc_90, VLOOKUP(O$2, Percentiles!$A$45:$I$59, 7, FALSE), perc_95, VLOOKUP(O$2, Percentiles!$A$45:$I$59, 8, FALSE), perc_85, perc_75 + (perc_90 - perc_75) * (2/3), converted_stat, '2K_Ratings'!O665, IF(bbgm_stat &gt;= perc_95, converted_stat * 3, IF(bbgm_stat &gt;= perc_90, converted_stat * 2, IF(bbgm_stat &gt;= perc_85, converted_stat * 1.5, converted_stat)))))</f>
        <v/>
      </c>
      <c r="P665" s="30" t="str">
        <f t="array" ref="P665">IF($A665="", "", LET(bbgm_stat, INDEX(Players!$A664:$P664, MATCH(P$2, Players!$A$1:$P$1, 0)), perc_75, VLOOKUP(P$2, Percentiles!$A$45:$I$59, 6, FALSE), perc_90, VLOOKUP(P$2, Percentiles!$A$45:$I$59, 7, FALSE), perc_95, VLOOKUP(P$2, Percentiles!$A$45:$I$59, 8, FALSE), perc_85, perc_75 + (perc_90 - perc_75) * (2/3), converted_stat, '2K_Ratings'!P665, IF(bbgm_stat &gt;= perc_95, converted_stat * 3, IF(bbgm_stat &gt;= perc_90, converted_stat * 2, IF(bbgm_stat &gt;= perc_85, converted_stat * 1.5, converted_stat)))))</f>
        <v/>
      </c>
      <c r="Q665" s="30" t="str">
        <f t="array" ref="Q665">IF($A665="", "", LET(bbgm_stat, INDEX(Players!$A664:$P664, MATCH(Q$2, Players!$A$1:$P$1, 0)), perc_75, VLOOKUP(Q$2, Percentiles!$A$45:$I$59, 6, FALSE), perc_90, VLOOKUP(Q$2, Percentiles!$A$45:$I$59, 7, FALSE), perc_95, VLOOKUP(Q$2, Percentiles!$A$45:$I$59, 8, FALSE), perc_85, perc_75 + (perc_90 - perc_75) * (2/3), converted_stat, '2K_Ratings'!Q665, IF(bbgm_stat &gt;= perc_95, converted_stat * 3, IF(bbgm_stat &gt;= perc_90, converted_stat * 2, IF(bbgm_stat &gt;= perc_85, converted_stat * 1.5, converted_stat)))))</f>
        <v/>
      </c>
      <c r="R665" s="30" t="str">
        <f t="array" ref="R665">IF($A665="", "", LET(bbgm_stat, INDEX(Players!$A664:$P664, MATCH(R$2, Players!$A$1:$P$1, 0)), perc_75, VLOOKUP(R$2, Percentiles!$A$45:$I$59, 6, FALSE), perc_90, VLOOKUP(R$2, Percentiles!$A$45:$I$59, 7, FALSE), perc_95, VLOOKUP(R$2, Percentiles!$A$45:$I$59, 8, FALSE), perc_85, perc_75 + (perc_90 - perc_75) * (2/3), converted_stat, '2K_Ratings'!R665, IF(bbgm_stat &gt;= perc_95, converted_stat * 3, IF(bbgm_stat &gt;= perc_90, converted_stat * 2, IF(bbgm_stat &gt;= perc_85, converted_stat * 1.5, converted_stat)))))</f>
        <v/>
      </c>
      <c r="S665" s="30" t="str">
        <f t="array" ref="S665">IF($A665="", "", LET(bbgm_stat, INDEX(Players!$A664:$P664, MATCH(S$2, Players!$A$1:$P$1, 0)), perc_75, VLOOKUP(S$2, Percentiles!$A$45:$I$59, 6, FALSE), perc_90, VLOOKUP(S$2, Percentiles!$A$45:$I$59, 7, FALSE), perc_95, VLOOKUP(S$2, Percentiles!$A$45:$I$59, 8, FALSE), perc_85, perc_75 + (perc_90 - perc_75) * (2/3), converted_stat, '2K_Ratings'!S665, IF(bbgm_stat &gt;= perc_95, converted_stat * 3, IF(bbgm_stat &gt;= perc_90, converted_stat * 2, IF(bbgm_stat &gt;= perc_85, converted_stat * 1.5, converted_stat)))))</f>
        <v/>
      </c>
      <c r="T665" s="30" t="str">
        <f t="array" ref="T665">IF($A665="", "", LET(bbgm_stat, INDEX(Players!$A664:$P664, MATCH(T$2, Players!$A$1:$P$1, 0)), perc_75, VLOOKUP(T$2, Percentiles!$A$45:$I$59, 6, FALSE), perc_90, VLOOKUP(T$2, Percentiles!$A$45:$I$59, 7, FALSE), perc_95, VLOOKUP(T$2, Percentiles!$A$45:$I$59, 8, FALSE), perc_85, perc_75 + (perc_90 - perc_75) * (2/3), converted_stat, '2K_Ratings'!T665, IF(bbgm_stat &gt;= perc_95, converted_stat * 3, IF(bbgm_stat &gt;= perc_90, converted_stat * 2, IF(bbgm_stat &gt;= perc_85, converted_stat * 1.5, converted_stat)))))</f>
        <v/>
      </c>
      <c r="U665" s="30" t="str">
        <f t="array" ref="U665">IF($A665="", "", LET(bbgm_stat, INDEX(Players!$A664:$P664, MATCH(U$2, Players!$A$1:$P$1, 0)), perc_75, VLOOKUP(U$2, Percentiles!$A$45:$I$59, 6, FALSE), perc_90, VLOOKUP(U$2, Percentiles!$A$45:$I$59, 7, FALSE), perc_95, VLOOKUP(U$2, Percentiles!$A$45:$I$59, 8, FALSE), perc_85, perc_75 + (perc_90 - perc_75) * (2/3), converted_stat, '2K_Ratings'!U665, IF(bbgm_stat &gt;= perc_95, converted_stat * 3, IF(bbgm_stat &gt;= perc_90, converted_stat * 2, IF(bbgm_stat &gt;= perc_85, converted_stat * 1.5, converted_stat)))))</f>
        <v/>
      </c>
      <c r="V665" s="30" t="str">
        <f t="array" ref="V665">IF($A665="", "", LET(bbgm_stat, INDEX(Players!$A664:$P664, MATCH(V$2, Players!$A$1:$P$1, 0)), perc_75, VLOOKUP(V$2, Percentiles!$A$45:$I$59, 6, FALSE), perc_90, VLOOKUP(V$2, Percentiles!$A$45:$I$59, 7, FALSE), perc_95, VLOOKUP(V$2, Percentiles!$A$45:$I$59, 8, FALSE), perc_85, perc_75 + (perc_90 - perc_75) * (2/3), converted_stat, '2K_Ratings'!V665, IF(bbgm_stat &gt;= perc_95, converted_stat * 3, IF(bbgm_stat &gt;= perc_90, converted_stat * 2, IF(bbgm_stat &gt;= perc_85, converted_stat * 1.5, converted_stat)))))</f>
        <v/>
      </c>
      <c r="W665" s="30" t="str">
        <f t="array" ref="W665">IF($A665="", "", LET(bbgm_stat, INDEX(Players!$A664:$P664, MATCH(W$2, Players!$A$1:$P$1, 0)), perc_75, VLOOKUP(W$2, Percentiles!$A$45:$I$59, 6, FALSE), perc_90, VLOOKUP(W$2, Percentiles!$A$45:$I$59, 7, FALSE), perc_95, VLOOKUP(W$2, Percentiles!$A$45:$I$59, 8, FALSE), perc_85, perc_75 + (perc_90 - perc_75) * (2/3), converted_stat, '2K_Ratings'!W665, IF(bbgm_stat &gt;= perc_95, converted_stat * 3, IF(bbgm_stat &gt;= perc_90, converted_stat * 2, IF(bbgm_stat &gt;= perc_85, converted_stat * 1.5, converted_stat)))))</f>
        <v/>
      </c>
    </row>
    <row r="666">
      <c r="A666" s="30"/>
      <c r="B666" s="30" t="str">
        <f t="array" ref="B666">IF($A666="", "", LET(bbgm_stat, INDEX(Players!$A665:$P665, MATCH(B$2, Players!$A$1:$P$1, 0)), perc_75, VLOOKUP(B$2, Percentiles!$A$45:$I$59, 6, FALSE), perc_90, VLOOKUP(B$2, Percentiles!$A$45:$I$59, 7, FALSE), perc_95, VLOOKUP(B$2, Percentiles!$A$45:$I$59, 8, FALSE), perc_85, perc_75 + (perc_90 - perc_75) * (2/3), converted_stat, '2K_Ratings'!B666, IF(bbgm_stat &gt;= perc_95, converted_stat * 3, IF(bbgm_stat &gt;= perc_90, converted_stat * 2, IF(bbgm_stat &gt;= perc_85, converted_stat * 1.5, converted_stat)))))</f>
        <v/>
      </c>
      <c r="C666" s="30" t="str">
        <f t="array" ref="C666">IF($A666="", "", LET(bbgm_stat, INDEX(Players!$A665:$P665, MATCH(C$2, Players!$A$1:$P$1, 0)), perc_75, VLOOKUP(C$2, Percentiles!$A$45:$I$59, 6, FALSE), perc_90, VLOOKUP(C$2, Percentiles!$A$45:$I$59, 7, FALSE), perc_95, VLOOKUP(C$2, Percentiles!$A$45:$I$59, 8, FALSE), perc_85, perc_75 + (perc_90 - perc_75) * (2/3), converted_stat, '2K_Ratings'!C666, IF(bbgm_stat &gt;= perc_95, converted_stat * 3, IF(bbgm_stat &gt;= perc_90, converted_stat * 2, IF(bbgm_stat &gt;= perc_85, converted_stat * 1.5, converted_stat)))))</f>
        <v/>
      </c>
      <c r="D666" s="30" t="str">
        <f t="array" ref="D666">IF($A666="", "", LET(bbgm_stat, INDEX(Players!$A665:$P665, MATCH(D$2, Players!$A$1:$P$1, 0)), perc_75, VLOOKUP(D$2, Percentiles!$A$45:$I$59, 6, FALSE), perc_90, VLOOKUP(D$2, Percentiles!$A$45:$I$59, 7, FALSE), perc_95, VLOOKUP(D$2, Percentiles!$A$45:$I$59, 8, FALSE), perc_85, perc_75 + (perc_90 - perc_75) * (2/3), converted_stat, '2K_Ratings'!D666, IF(bbgm_stat &gt;= perc_95, converted_stat * 3, IF(bbgm_stat &gt;= perc_90, converted_stat * 2, IF(bbgm_stat &gt;= perc_85, converted_stat * 1.5, converted_stat)))))</f>
        <v/>
      </c>
      <c r="E666" s="30" t="str">
        <f t="array" ref="E666">IF($A666="", "", LET(bbgm_stat, INDEX(Players!$A665:$P665, MATCH(E$2, Players!$A$1:$P$1, 0)), perc_75, VLOOKUP(E$2, Percentiles!$A$45:$I$59, 6, FALSE), perc_90, VLOOKUP(E$2, Percentiles!$A$45:$I$59, 7, FALSE), perc_95, VLOOKUP(E$2, Percentiles!$A$45:$I$59, 8, FALSE), perc_85, perc_75 + (perc_90 - perc_75) * (2/3), converted_stat, '2K_Ratings'!E666, IF(bbgm_stat &gt;= perc_95, converted_stat * 3, IF(bbgm_stat &gt;= perc_90, converted_stat * 2, IF(bbgm_stat &gt;= perc_85, converted_stat * 1.5, converted_stat)))))</f>
        <v/>
      </c>
      <c r="F666" s="30" t="str">
        <f t="array" ref="F666">IF($A666="", "", LET(bbgm_stat, INDEX(Players!$A665:$P665, MATCH(F$2, Players!$A$1:$P$1, 0)), perc_75, VLOOKUP(F$2, Percentiles!$A$45:$I$59, 6, FALSE), perc_90, VLOOKUP(F$2, Percentiles!$A$45:$I$59, 7, FALSE), perc_95, VLOOKUP(F$2, Percentiles!$A$45:$I$59, 8, FALSE), perc_85, perc_75 + (perc_90 - perc_75) * (2/3), converted_stat, '2K_Ratings'!F666, IF(bbgm_stat &gt;= perc_95, converted_stat * 3, IF(bbgm_stat &gt;= perc_90, converted_stat * 2, IF(bbgm_stat &gt;= perc_85, converted_stat * 1.5, converted_stat)))))</f>
        <v/>
      </c>
      <c r="G666" s="30" t="str">
        <f t="array" ref="G666">IF($A666="", "", LET(bbgm_stat, INDEX(Players!$A665:$P665, MATCH(G$2, Players!$A$1:$P$1, 0)), perc_75, VLOOKUP(G$2, Percentiles!$A$45:$I$59, 6, FALSE), perc_90, VLOOKUP(G$2, Percentiles!$A$45:$I$59, 7, FALSE), perc_95, VLOOKUP(G$2, Percentiles!$A$45:$I$59, 8, FALSE), perc_85, perc_75 + (perc_90 - perc_75) * (2/3), converted_stat, '2K_Ratings'!G666, IF(bbgm_stat &gt;= perc_95, converted_stat * 3, IF(bbgm_stat &gt;= perc_90, converted_stat * 2, IF(bbgm_stat &gt;= perc_85, converted_stat * 1.5, converted_stat)))))</f>
        <v/>
      </c>
      <c r="H666" s="30" t="str">
        <f t="array" ref="H666">IF($A666="", "", LET(bbgm_stat, INDEX(Players!$A665:$P665, MATCH(H$2, Players!$A$1:$P$1, 0)), perc_75, VLOOKUP(H$2, Percentiles!$A$45:$I$59, 6, FALSE), perc_90, VLOOKUP(H$2, Percentiles!$A$45:$I$59, 7, FALSE), perc_95, VLOOKUP(H$2, Percentiles!$A$45:$I$59, 8, FALSE), perc_85, perc_75 + (perc_90 - perc_75) * (2/3), converted_stat, '2K_Ratings'!H666, IF(bbgm_stat &gt;= perc_95, converted_stat * 3, IF(bbgm_stat &gt;= perc_90, converted_stat * 2, IF(bbgm_stat &gt;= perc_85, converted_stat * 1.5, converted_stat)))))</f>
        <v/>
      </c>
      <c r="I666" s="30" t="str">
        <f t="array" ref="I666">IF($A666="", "", LET(bbgm_stat, INDEX(Players!$A665:$P665, MATCH(I$2, Players!$A$1:$P$1, 0)), perc_75, VLOOKUP(I$2, Percentiles!$A$45:$I$59, 6, FALSE), perc_90, VLOOKUP(I$2, Percentiles!$A$45:$I$59, 7, FALSE), perc_95, VLOOKUP(I$2, Percentiles!$A$45:$I$59, 8, FALSE), perc_85, perc_75 + (perc_90 - perc_75) * (2/3), converted_stat, '2K_Ratings'!I666, IF(bbgm_stat &gt;= perc_95, converted_stat * 3, IF(bbgm_stat &gt;= perc_90, converted_stat * 2, IF(bbgm_stat &gt;= perc_85, converted_stat * 1.5, converted_stat)))))</f>
        <v/>
      </c>
      <c r="J666" s="30" t="str">
        <f t="array" ref="J666">IF($A666="", "", LET(bbgm_stat, INDEX(Players!$A665:$P665, MATCH(J$2, Players!$A$1:$P$1, 0)), perc_75, VLOOKUP(J$2, Percentiles!$A$45:$I$59, 6, FALSE), perc_90, VLOOKUP(J$2, Percentiles!$A$45:$I$59, 7, FALSE), perc_95, VLOOKUP(J$2, Percentiles!$A$45:$I$59, 8, FALSE), perc_85, perc_75 + (perc_90 - perc_75) * (2/3), converted_stat, '2K_Ratings'!J666, IF(bbgm_stat &gt;= perc_95, converted_stat * 3, IF(bbgm_stat &gt;= perc_90, converted_stat * 2, IF(bbgm_stat &gt;= perc_85, converted_stat * 1.5, converted_stat)))))</f>
        <v/>
      </c>
      <c r="K666" s="30" t="str">
        <f t="array" ref="K666">IF($A666="", "", LET(bbgm_stat, INDEX(Players!$A665:$P665, MATCH(K$2, Players!$A$1:$P$1, 0)), perc_75, VLOOKUP(K$2, Percentiles!$A$45:$I$59, 6, FALSE), perc_90, VLOOKUP(K$2, Percentiles!$A$45:$I$59, 7, FALSE), perc_95, VLOOKUP(K$2, Percentiles!$A$45:$I$59, 8, FALSE), perc_85, perc_75 + (perc_90 - perc_75) * (2/3), converted_stat, '2K_Ratings'!K666, IF(bbgm_stat &gt;= perc_95, converted_stat * 3, IF(bbgm_stat &gt;= perc_90, converted_stat * 2, IF(bbgm_stat &gt;= perc_85, converted_stat * 1.5, converted_stat)))))</f>
        <v/>
      </c>
      <c r="L666" s="30" t="str">
        <f t="array" ref="L666">IF($A666="", "", LET(bbgm_stat, INDEX(Players!$A665:$P665, MATCH(L$2, Players!$A$1:$P$1, 0)), perc_75, VLOOKUP(L$2, Percentiles!$A$45:$I$59, 6, FALSE), perc_90, VLOOKUP(L$2, Percentiles!$A$45:$I$59, 7, FALSE), perc_95, VLOOKUP(L$2, Percentiles!$A$45:$I$59, 8, FALSE), perc_85, perc_75 + (perc_90 - perc_75) * (2/3), converted_stat, '2K_Ratings'!L666, IF(bbgm_stat &gt;= perc_95, converted_stat * 3, IF(bbgm_stat &gt;= perc_90, converted_stat * 2, IF(bbgm_stat &gt;= perc_85, converted_stat * 1.5, converted_stat)))))</f>
        <v/>
      </c>
      <c r="M666" s="30" t="str">
        <f t="array" ref="M666">IF($A666="", "", LET(bbgm_stat, INDEX(Players!$A665:$P665, MATCH(M$2, Players!$A$1:$P$1, 0)), perc_75, VLOOKUP(M$2, Percentiles!$A$45:$I$59, 6, FALSE), perc_90, VLOOKUP(M$2, Percentiles!$A$45:$I$59, 7, FALSE), perc_95, VLOOKUP(M$2, Percentiles!$A$45:$I$59, 8, FALSE), perc_85, perc_75 + (perc_90 - perc_75) * (2/3), converted_stat, '2K_Ratings'!M666, IF(bbgm_stat &gt;= perc_95, converted_stat * 3, IF(bbgm_stat &gt;= perc_90, converted_stat * 2, IF(bbgm_stat &gt;= perc_85, converted_stat * 1.5, converted_stat)))))</f>
        <v/>
      </c>
      <c r="N666" s="30" t="str">
        <f t="array" ref="N666">IF($A666="", "", LET(bbgm_stat, INDEX(Players!$A665:$P665, MATCH(N$2, Players!$A$1:$P$1, 0)), perc_75, VLOOKUP(N$2, Percentiles!$A$45:$I$59, 6, FALSE), perc_90, VLOOKUP(N$2, Percentiles!$A$45:$I$59, 7, FALSE), perc_95, VLOOKUP(N$2, Percentiles!$A$45:$I$59, 8, FALSE), perc_85, perc_75 + (perc_90 - perc_75) * (2/3), converted_stat, '2K_Ratings'!N666, IF(bbgm_stat &gt;= perc_95, converted_stat * 3, IF(bbgm_stat &gt;= perc_90, converted_stat * 2, IF(bbgm_stat &gt;= perc_85, converted_stat * 1.5, converted_stat)))))</f>
        <v/>
      </c>
      <c r="O666" s="30" t="str">
        <f t="array" ref="O666">IF($A666="", "", LET(bbgm_stat, INDEX(Players!$A665:$P665, MATCH(O$2, Players!$A$1:$P$1, 0)), perc_75, VLOOKUP(O$2, Percentiles!$A$45:$I$59, 6, FALSE), perc_90, VLOOKUP(O$2, Percentiles!$A$45:$I$59, 7, FALSE), perc_95, VLOOKUP(O$2, Percentiles!$A$45:$I$59, 8, FALSE), perc_85, perc_75 + (perc_90 - perc_75) * (2/3), converted_stat, '2K_Ratings'!O666, IF(bbgm_stat &gt;= perc_95, converted_stat * 3, IF(bbgm_stat &gt;= perc_90, converted_stat * 2, IF(bbgm_stat &gt;= perc_85, converted_stat * 1.5, converted_stat)))))</f>
        <v/>
      </c>
      <c r="P666" s="30" t="str">
        <f t="array" ref="P666">IF($A666="", "", LET(bbgm_stat, INDEX(Players!$A665:$P665, MATCH(P$2, Players!$A$1:$P$1, 0)), perc_75, VLOOKUP(P$2, Percentiles!$A$45:$I$59, 6, FALSE), perc_90, VLOOKUP(P$2, Percentiles!$A$45:$I$59, 7, FALSE), perc_95, VLOOKUP(P$2, Percentiles!$A$45:$I$59, 8, FALSE), perc_85, perc_75 + (perc_90 - perc_75) * (2/3), converted_stat, '2K_Ratings'!P666, IF(bbgm_stat &gt;= perc_95, converted_stat * 3, IF(bbgm_stat &gt;= perc_90, converted_stat * 2, IF(bbgm_stat &gt;= perc_85, converted_stat * 1.5, converted_stat)))))</f>
        <v/>
      </c>
      <c r="Q666" s="30" t="str">
        <f t="array" ref="Q666">IF($A666="", "", LET(bbgm_stat, INDEX(Players!$A665:$P665, MATCH(Q$2, Players!$A$1:$P$1, 0)), perc_75, VLOOKUP(Q$2, Percentiles!$A$45:$I$59, 6, FALSE), perc_90, VLOOKUP(Q$2, Percentiles!$A$45:$I$59, 7, FALSE), perc_95, VLOOKUP(Q$2, Percentiles!$A$45:$I$59, 8, FALSE), perc_85, perc_75 + (perc_90 - perc_75) * (2/3), converted_stat, '2K_Ratings'!Q666, IF(bbgm_stat &gt;= perc_95, converted_stat * 3, IF(bbgm_stat &gt;= perc_90, converted_stat * 2, IF(bbgm_stat &gt;= perc_85, converted_stat * 1.5, converted_stat)))))</f>
        <v/>
      </c>
      <c r="R666" s="30" t="str">
        <f t="array" ref="R666">IF($A666="", "", LET(bbgm_stat, INDEX(Players!$A665:$P665, MATCH(R$2, Players!$A$1:$P$1, 0)), perc_75, VLOOKUP(R$2, Percentiles!$A$45:$I$59, 6, FALSE), perc_90, VLOOKUP(R$2, Percentiles!$A$45:$I$59, 7, FALSE), perc_95, VLOOKUP(R$2, Percentiles!$A$45:$I$59, 8, FALSE), perc_85, perc_75 + (perc_90 - perc_75) * (2/3), converted_stat, '2K_Ratings'!R666, IF(bbgm_stat &gt;= perc_95, converted_stat * 3, IF(bbgm_stat &gt;= perc_90, converted_stat * 2, IF(bbgm_stat &gt;= perc_85, converted_stat * 1.5, converted_stat)))))</f>
        <v/>
      </c>
      <c r="S666" s="30" t="str">
        <f t="array" ref="S666">IF($A666="", "", LET(bbgm_stat, INDEX(Players!$A665:$P665, MATCH(S$2, Players!$A$1:$P$1, 0)), perc_75, VLOOKUP(S$2, Percentiles!$A$45:$I$59, 6, FALSE), perc_90, VLOOKUP(S$2, Percentiles!$A$45:$I$59, 7, FALSE), perc_95, VLOOKUP(S$2, Percentiles!$A$45:$I$59, 8, FALSE), perc_85, perc_75 + (perc_90 - perc_75) * (2/3), converted_stat, '2K_Ratings'!S666, IF(bbgm_stat &gt;= perc_95, converted_stat * 3, IF(bbgm_stat &gt;= perc_90, converted_stat * 2, IF(bbgm_stat &gt;= perc_85, converted_stat * 1.5, converted_stat)))))</f>
        <v/>
      </c>
      <c r="T666" s="30" t="str">
        <f t="array" ref="T666">IF($A666="", "", LET(bbgm_stat, INDEX(Players!$A665:$P665, MATCH(T$2, Players!$A$1:$P$1, 0)), perc_75, VLOOKUP(T$2, Percentiles!$A$45:$I$59, 6, FALSE), perc_90, VLOOKUP(T$2, Percentiles!$A$45:$I$59, 7, FALSE), perc_95, VLOOKUP(T$2, Percentiles!$A$45:$I$59, 8, FALSE), perc_85, perc_75 + (perc_90 - perc_75) * (2/3), converted_stat, '2K_Ratings'!T666, IF(bbgm_stat &gt;= perc_95, converted_stat * 3, IF(bbgm_stat &gt;= perc_90, converted_stat * 2, IF(bbgm_stat &gt;= perc_85, converted_stat * 1.5, converted_stat)))))</f>
        <v/>
      </c>
      <c r="U666" s="30" t="str">
        <f t="array" ref="U666">IF($A666="", "", LET(bbgm_stat, INDEX(Players!$A665:$P665, MATCH(U$2, Players!$A$1:$P$1, 0)), perc_75, VLOOKUP(U$2, Percentiles!$A$45:$I$59, 6, FALSE), perc_90, VLOOKUP(U$2, Percentiles!$A$45:$I$59, 7, FALSE), perc_95, VLOOKUP(U$2, Percentiles!$A$45:$I$59, 8, FALSE), perc_85, perc_75 + (perc_90 - perc_75) * (2/3), converted_stat, '2K_Ratings'!U666, IF(bbgm_stat &gt;= perc_95, converted_stat * 3, IF(bbgm_stat &gt;= perc_90, converted_stat * 2, IF(bbgm_stat &gt;= perc_85, converted_stat * 1.5, converted_stat)))))</f>
        <v/>
      </c>
      <c r="V666" s="30" t="str">
        <f t="array" ref="V666">IF($A666="", "", LET(bbgm_stat, INDEX(Players!$A665:$P665, MATCH(V$2, Players!$A$1:$P$1, 0)), perc_75, VLOOKUP(V$2, Percentiles!$A$45:$I$59, 6, FALSE), perc_90, VLOOKUP(V$2, Percentiles!$A$45:$I$59, 7, FALSE), perc_95, VLOOKUP(V$2, Percentiles!$A$45:$I$59, 8, FALSE), perc_85, perc_75 + (perc_90 - perc_75) * (2/3), converted_stat, '2K_Ratings'!V666, IF(bbgm_stat &gt;= perc_95, converted_stat * 3, IF(bbgm_stat &gt;= perc_90, converted_stat * 2, IF(bbgm_stat &gt;= perc_85, converted_stat * 1.5, converted_stat)))))</f>
        <v/>
      </c>
      <c r="W666" s="30" t="str">
        <f t="array" ref="W666">IF($A666="", "", LET(bbgm_stat, INDEX(Players!$A665:$P665, MATCH(W$2, Players!$A$1:$P$1, 0)), perc_75, VLOOKUP(W$2, Percentiles!$A$45:$I$59, 6, FALSE), perc_90, VLOOKUP(W$2, Percentiles!$A$45:$I$59, 7, FALSE), perc_95, VLOOKUP(W$2, Percentiles!$A$45:$I$59, 8, FALSE), perc_85, perc_75 + (perc_90 - perc_75) * (2/3), converted_stat, '2K_Ratings'!W666, IF(bbgm_stat &gt;= perc_95, converted_stat * 3, IF(bbgm_stat &gt;= perc_90, converted_stat * 2, IF(bbgm_stat &gt;= perc_85, converted_stat * 1.5, converted_stat)))))</f>
        <v/>
      </c>
    </row>
    <row r="667">
      <c r="A667" s="30"/>
      <c r="B667" s="30" t="str">
        <f t="array" ref="B667">IF($A667="", "", LET(bbgm_stat, INDEX(Players!$A666:$P666, MATCH(B$2, Players!$A$1:$P$1, 0)), perc_75, VLOOKUP(B$2, Percentiles!$A$45:$I$59, 6, FALSE), perc_90, VLOOKUP(B$2, Percentiles!$A$45:$I$59, 7, FALSE), perc_95, VLOOKUP(B$2, Percentiles!$A$45:$I$59, 8, FALSE), perc_85, perc_75 + (perc_90 - perc_75) * (2/3), converted_stat, '2K_Ratings'!B667, IF(bbgm_stat &gt;= perc_95, converted_stat * 3, IF(bbgm_stat &gt;= perc_90, converted_stat * 2, IF(bbgm_stat &gt;= perc_85, converted_stat * 1.5, converted_stat)))))</f>
        <v/>
      </c>
      <c r="C667" s="30" t="str">
        <f t="array" ref="C667">IF($A667="", "", LET(bbgm_stat, INDEX(Players!$A666:$P666, MATCH(C$2, Players!$A$1:$P$1, 0)), perc_75, VLOOKUP(C$2, Percentiles!$A$45:$I$59, 6, FALSE), perc_90, VLOOKUP(C$2, Percentiles!$A$45:$I$59, 7, FALSE), perc_95, VLOOKUP(C$2, Percentiles!$A$45:$I$59, 8, FALSE), perc_85, perc_75 + (perc_90 - perc_75) * (2/3), converted_stat, '2K_Ratings'!C667, IF(bbgm_stat &gt;= perc_95, converted_stat * 3, IF(bbgm_stat &gt;= perc_90, converted_stat * 2, IF(bbgm_stat &gt;= perc_85, converted_stat * 1.5, converted_stat)))))</f>
        <v/>
      </c>
      <c r="D667" s="30" t="str">
        <f t="array" ref="D667">IF($A667="", "", LET(bbgm_stat, INDEX(Players!$A666:$P666, MATCH(D$2, Players!$A$1:$P$1, 0)), perc_75, VLOOKUP(D$2, Percentiles!$A$45:$I$59, 6, FALSE), perc_90, VLOOKUP(D$2, Percentiles!$A$45:$I$59, 7, FALSE), perc_95, VLOOKUP(D$2, Percentiles!$A$45:$I$59, 8, FALSE), perc_85, perc_75 + (perc_90 - perc_75) * (2/3), converted_stat, '2K_Ratings'!D667, IF(bbgm_stat &gt;= perc_95, converted_stat * 3, IF(bbgm_stat &gt;= perc_90, converted_stat * 2, IF(bbgm_stat &gt;= perc_85, converted_stat * 1.5, converted_stat)))))</f>
        <v/>
      </c>
      <c r="E667" s="30" t="str">
        <f t="array" ref="E667">IF($A667="", "", LET(bbgm_stat, INDEX(Players!$A666:$P666, MATCH(E$2, Players!$A$1:$P$1, 0)), perc_75, VLOOKUP(E$2, Percentiles!$A$45:$I$59, 6, FALSE), perc_90, VLOOKUP(E$2, Percentiles!$A$45:$I$59, 7, FALSE), perc_95, VLOOKUP(E$2, Percentiles!$A$45:$I$59, 8, FALSE), perc_85, perc_75 + (perc_90 - perc_75) * (2/3), converted_stat, '2K_Ratings'!E667, IF(bbgm_stat &gt;= perc_95, converted_stat * 3, IF(bbgm_stat &gt;= perc_90, converted_stat * 2, IF(bbgm_stat &gt;= perc_85, converted_stat * 1.5, converted_stat)))))</f>
        <v/>
      </c>
      <c r="F667" s="30" t="str">
        <f t="array" ref="F667">IF($A667="", "", LET(bbgm_stat, INDEX(Players!$A666:$P666, MATCH(F$2, Players!$A$1:$P$1, 0)), perc_75, VLOOKUP(F$2, Percentiles!$A$45:$I$59, 6, FALSE), perc_90, VLOOKUP(F$2, Percentiles!$A$45:$I$59, 7, FALSE), perc_95, VLOOKUP(F$2, Percentiles!$A$45:$I$59, 8, FALSE), perc_85, perc_75 + (perc_90 - perc_75) * (2/3), converted_stat, '2K_Ratings'!F667, IF(bbgm_stat &gt;= perc_95, converted_stat * 3, IF(bbgm_stat &gt;= perc_90, converted_stat * 2, IF(bbgm_stat &gt;= perc_85, converted_stat * 1.5, converted_stat)))))</f>
        <v/>
      </c>
      <c r="G667" s="30" t="str">
        <f t="array" ref="G667">IF($A667="", "", LET(bbgm_stat, INDEX(Players!$A666:$P666, MATCH(G$2, Players!$A$1:$P$1, 0)), perc_75, VLOOKUP(G$2, Percentiles!$A$45:$I$59, 6, FALSE), perc_90, VLOOKUP(G$2, Percentiles!$A$45:$I$59, 7, FALSE), perc_95, VLOOKUP(G$2, Percentiles!$A$45:$I$59, 8, FALSE), perc_85, perc_75 + (perc_90 - perc_75) * (2/3), converted_stat, '2K_Ratings'!G667, IF(bbgm_stat &gt;= perc_95, converted_stat * 3, IF(bbgm_stat &gt;= perc_90, converted_stat * 2, IF(bbgm_stat &gt;= perc_85, converted_stat * 1.5, converted_stat)))))</f>
        <v/>
      </c>
      <c r="H667" s="30" t="str">
        <f t="array" ref="H667">IF($A667="", "", LET(bbgm_stat, INDEX(Players!$A666:$P666, MATCH(H$2, Players!$A$1:$P$1, 0)), perc_75, VLOOKUP(H$2, Percentiles!$A$45:$I$59, 6, FALSE), perc_90, VLOOKUP(H$2, Percentiles!$A$45:$I$59, 7, FALSE), perc_95, VLOOKUP(H$2, Percentiles!$A$45:$I$59, 8, FALSE), perc_85, perc_75 + (perc_90 - perc_75) * (2/3), converted_stat, '2K_Ratings'!H667, IF(bbgm_stat &gt;= perc_95, converted_stat * 3, IF(bbgm_stat &gt;= perc_90, converted_stat * 2, IF(bbgm_stat &gt;= perc_85, converted_stat * 1.5, converted_stat)))))</f>
        <v/>
      </c>
      <c r="I667" s="30" t="str">
        <f t="array" ref="I667">IF($A667="", "", LET(bbgm_stat, INDEX(Players!$A666:$P666, MATCH(I$2, Players!$A$1:$P$1, 0)), perc_75, VLOOKUP(I$2, Percentiles!$A$45:$I$59, 6, FALSE), perc_90, VLOOKUP(I$2, Percentiles!$A$45:$I$59, 7, FALSE), perc_95, VLOOKUP(I$2, Percentiles!$A$45:$I$59, 8, FALSE), perc_85, perc_75 + (perc_90 - perc_75) * (2/3), converted_stat, '2K_Ratings'!I667, IF(bbgm_stat &gt;= perc_95, converted_stat * 3, IF(bbgm_stat &gt;= perc_90, converted_stat * 2, IF(bbgm_stat &gt;= perc_85, converted_stat * 1.5, converted_stat)))))</f>
        <v/>
      </c>
      <c r="J667" s="30" t="str">
        <f t="array" ref="J667">IF($A667="", "", LET(bbgm_stat, INDEX(Players!$A666:$P666, MATCH(J$2, Players!$A$1:$P$1, 0)), perc_75, VLOOKUP(J$2, Percentiles!$A$45:$I$59, 6, FALSE), perc_90, VLOOKUP(J$2, Percentiles!$A$45:$I$59, 7, FALSE), perc_95, VLOOKUP(J$2, Percentiles!$A$45:$I$59, 8, FALSE), perc_85, perc_75 + (perc_90 - perc_75) * (2/3), converted_stat, '2K_Ratings'!J667, IF(bbgm_stat &gt;= perc_95, converted_stat * 3, IF(bbgm_stat &gt;= perc_90, converted_stat * 2, IF(bbgm_stat &gt;= perc_85, converted_stat * 1.5, converted_stat)))))</f>
        <v/>
      </c>
      <c r="K667" s="30" t="str">
        <f t="array" ref="K667">IF($A667="", "", LET(bbgm_stat, INDEX(Players!$A666:$P666, MATCH(K$2, Players!$A$1:$P$1, 0)), perc_75, VLOOKUP(K$2, Percentiles!$A$45:$I$59, 6, FALSE), perc_90, VLOOKUP(K$2, Percentiles!$A$45:$I$59, 7, FALSE), perc_95, VLOOKUP(K$2, Percentiles!$A$45:$I$59, 8, FALSE), perc_85, perc_75 + (perc_90 - perc_75) * (2/3), converted_stat, '2K_Ratings'!K667, IF(bbgm_stat &gt;= perc_95, converted_stat * 3, IF(bbgm_stat &gt;= perc_90, converted_stat * 2, IF(bbgm_stat &gt;= perc_85, converted_stat * 1.5, converted_stat)))))</f>
        <v/>
      </c>
      <c r="L667" s="30" t="str">
        <f t="array" ref="L667">IF($A667="", "", LET(bbgm_stat, INDEX(Players!$A666:$P666, MATCH(L$2, Players!$A$1:$P$1, 0)), perc_75, VLOOKUP(L$2, Percentiles!$A$45:$I$59, 6, FALSE), perc_90, VLOOKUP(L$2, Percentiles!$A$45:$I$59, 7, FALSE), perc_95, VLOOKUP(L$2, Percentiles!$A$45:$I$59, 8, FALSE), perc_85, perc_75 + (perc_90 - perc_75) * (2/3), converted_stat, '2K_Ratings'!L667, IF(bbgm_stat &gt;= perc_95, converted_stat * 3, IF(bbgm_stat &gt;= perc_90, converted_stat * 2, IF(bbgm_stat &gt;= perc_85, converted_stat * 1.5, converted_stat)))))</f>
        <v/>
      </c>
      <c r="M667" s="30" t="str">
        <f t="array" ref="M667">IF($A667="", "", LET(bbgm_stat, INDEX(Players!$A666:$P666, MATCH(M$2, Players!$A$1:$P$1, 0)), perc_75, VLOOKUP(M$2, Percentiles!$A$45:$I$59, 6, FALSE), perc_90, VLOOKUP(M$2, Percentiles!$A$45:$I$59, 7, FALSE), perc_95, VLOOKUP(M$2, Percentiles!$A$45:$I$59, 8, FALSE), perc_85, perc_75 + (perc_90 - perc_75) * (2/3), converted_stat, '2K_Ratings'!M667, IF(bbgm_stat &gt;= perc_95, converted_stat * 3, IF(bbgm_stat &gt;= perc_90, converted_stat * 2, IF(bbgm_stat &gt;= perc_85, converted_stat * 1.5, converted_stat)))))</f>
        <v/>
      </c>
      <c r="N667" s="30" t="str">
        <f t="array" ref="N667">IF($A667="", "", LET(bbgm_stat, INDEX(Players!$A666:$P666, MATCH(N$2, Players!$A$1:$P$1, 0)), perc_75, VLOOKUP(N$2, Percentiles!$A$45:$I$59, 6, FALSE), perc_90, VLOOKUP(N$2, Percentiles!$A$45:$I$59, 7, FALSE), perc_95, VLOOKUP(N$2, Percentiles!$A$45:$I$59, 8, FALSE), perc_85, perc_75 + (perc_90 - perc_75) * (2/3), converted_stat, '2K_Ratings'!N667, IF(bbgm_stat &gt;= perc_95, converted_stat * 3, IF(bbgm_stat &gt;= perc_90, converted_stat * 2, IF(bbgm_stat &gt;= perc_85, converted_stat * 1.5, converted_stat)))))</f>
        <v/>
      </c>
      <c r="O667" s="30" t="str">
        <f t="array" ref="O667">IF($A667="", "", LET(bbgm_stat, INDEX(Players!$A666:$P666, MATCH(O$2, Players!$A$1:$P$1, 0)), perc_75, VLOOKUP(O$2, Percentiles!$A$45:$I$59, 6, FALSE), perc_90, VLOOKUP(O$2, Percentiles!$A$45:$I$59, 7, FALSE), perc_95, VLOOKUP(O$2, Percentiles!$A$45:$I$59, 8, FALSE), perc_85, perc_75 + (perc_90 - perc_75) * (2/3), converted_stat, '2K_Ratings'!O667, IF(bbgm_stat &gt;= perc_95, converted_stat * 3, IF(bbgm_stat &gt;= perc_90, converted_stat * 2, IF(bbgm_stat &gt;= perc_85, converted_stat * 1.5, converted_stat)))))</f>
        <v/>
      </c>
      <c r="P667" s="30" t="str">
        <f t="array" ref="P667">IF($A667="", "", LET(bbgm_stat, INDEX(Players!$A666:$P666, MATCH(P$2, Players!$A$1:$P$1, 0)), perc_75, VLOOKUP(P$2, Percentiles!$A$45:$I$59, 6, FALSE), perc_90, VLOOKUP(P$2, Percentiles!$A$45:$I$59, 7, FALSE), perc_95, VLOOKUP(P$2, Percentiles!$A$45:$I$59, 8, FALSE), perc_85, perc_75 + (perc_90 - perc_75) * (2/3), converted_stat, '2K_Ratings'!P667, IF(bbgm_stat &gt;= perc_95, converted_stat * 3, IF(bbgm_stat &gt;= perc_90, converted_stat * 2, IF(bbgm_stat &gt;= perc_85, converted_stat * 1.5, converted_stat)))))</f>
        <v/>
      </c>
      <c r="Q667" s="30" t="str">
        <f t="array" ref="Q667">IF($A667="", "", LET(bbgm_stat, INDEX(Players!$A666:$P666, MATCH(Q$2, Players!$A$1:$P$1, 0)), perc_75, VLOOKUP(Q$2, Percentiles!$A$45:$I$59, 6, FALSE), perc_90, VLOOKUP(Q$2, Percentiles!$A$45:$I$59, 7, FALSE), perc_95, VLOOKUP(Q$2, Percentiles!$A$45:$I$59, 8, FALSE), perc_85, perc_75 + (perc_90 - perc_75) * (2/3), converted_stat, '2K_Ratings'!Q667, IF(bbgm_stat &gt;= perc_95, converted_stat * 3, IF(bbgm_stat &gt;= perc_90, converted_stat * 2, IF(bbgm_stat &gt;= perc_85, converted_stat * 1.5, converted_stat)))))</f>
        <v/>
      </c>
      <c r="R667" s="30" t="str">
        <f t="array" ref="R667">IF($A667="", "", LET(bbgm_stat, INDEX(Players!$A666:$P666, MATCH(R$2, Players!$A$1:$P$1, 0)), perc_75, VLOOKUP(R$2, Percentiles!$A$45:$I$59, 6, FALSE), perc_90, VLOOKUP(R$2, Percentiles!$A$45:$I$59, 7, FALSE), perc_95, VLOOKUP(R$2, Percentiles!$A$45:$I$59, 8, FALSE), perc_85, perc_75 + (perc_90 - perc_75) * (2/3), converted_stat, '2K_Ratings'!R667, IF(bbgm_stat &gt;= perc_95, converted_stat * 3, IF(bbgm_stat &gt;= perc_90, converted_stat * 2, IF(bbgm_stat &gt;= perc_85, converted_stat * 1.5, converted_stat)))))</f>
        <v/>
      </c>
      <c r="S667" s="30" t="str">
        <f t="array" ref="S667">IF($A667="", "", LET(bbgm_stat, INDEX(Players!$A666:$P666, MATCH(S$2, Players!$A$1:$P$1, 0)), perc_75, VLOOKUP(S$2, Percentiles!$A$45:$I$59, 6, FALSE), perc_90, VLOOKUP(S$2, Percentiles!$A$45:$I$59, 7, FALSE), perc_95, VLOOKUP(S$2, Percentiles!$A$45:$I$59, 8, FALSE), perc_85, perc_75 + (perc_90 - perc_75) * (2/3), converted_stat, '2K_Ratings'!S667, IF(bbgm_stat &gt;= perc_95, converted_stat * 3, IF(bbgm_stat &gt;= perc_90, converted_stat * 2, IF(bbgm_stat &gt;= perc_85, converted_stat * 1.5, converted_stat)))))</f>
        <v/>
      </c>
      <c r="T667" s="30" t="str">
        <f t="array" ref="T667">IF($A667="", "", LET(bbgm_stat, INDEX(Players!$A666:$P666, MATCH(T$2, Players!$A$1:$P$1, 0)), perc_75, VLOOKUP(T$2, Percentiles!$A$45:$I$59, 6, FALSE), perc_90, VLOOKUP(T$2, Percentiles!$A$45:$I$59, 7, FALSE), perc_95, VLOOKUP(T$2, Percentiles!$A$45:$I$59, 8, FALSE), perc_85, perc_75 + (perc_90 - perc_75) * (2/3), converted_stat, '2K_Ratings'!T667, IF(bbgm_stat &gt;= perc_95, converted_stat * 3, IF(bbgm_stat &gt;= perc_90, converted_stat * 2, IF(bbgm_stat &gt;= perc_85, converted_stat * 1.5, converted_stat)))))</f>
        <v/>
      </c>
      <c r="U667" s="30" t="str">
        <f t="array" ref="U667">IF($A667="", "", LET(bbgm_stat, INDEX(Players!$A666:$P666, MATCH(U$2, Players!$A$1:$P$1, 0)), perc_75, VLOOKUP(U$2, Percentiles!$A$45:$I$59, 6, FALSE), perc_90, VLOOKUP(U$2, Percentiles!$A$45:$I$59, 7, FALSE), perc_95, VLOOKUP(U$2, Percentiles!$A$45:$I$59, 8, FALSE), perc_85, perc_75 + (perc_90 - perc_75) * (2/3), converted_stat, '2K_Ratings'!U667, IF(bbgm_stat &gt;= perc_95, converted_stat * 3, IF(bbgm_stat &gt;= perc_90, converted_stat * 2, IF(bbgm_stat &gt;= perc_85, converted_stat * 1.5, converted_stat)))))</f>
        <v/>
      </c>
      <c r="V667" s="30" t="str">
        <f t="array" ref="V667">IF($A667="", "", LET(bbgm_stat, INDEX(Players!$A666:$P666, MATCH(V$2, Players!$A$1:$P$1, 0)), perc_75, VLOOKUP(V$2, Percentiles!$A$45:$I$59, 6, FALSE), perc_90, VLOOKUP(V$2, Percentiles!$A$45:$I$59, 7, FALSE), perc_95, VLOOKUP(V$2, Percentiles!$A$45:$I$59, 8, FALSE), perc_85, perc_75 + (perc_90 - perc_75) * (2/3), converted_stat, '2K_Ratings'!V667, IF(bbgm_stat &gt;= perc_95, converted_stat * 3, IF(bbgm_stat &gt;= perc_90, converted_stat * 2, IF(bbgm_stat &gt;= perc_85, converted_stat * 1.5, converted_stat)))))</f>
        <v/>
      </c>
      <c r="W667" s="30" t="str">
        <f t="array" ref="W667">IF($A667="", "", LET(bbgm_stat, INDEX(Players!$A666:$P666, MATCH(W$2, Players!$A$1:$P$1, 0)), perc_75, VLOOKUP(W$2, Percentiles!$A$45:$I$59, 6, FALSE), perc_90, VLOOKUP(W$2, Percentiles!$A$45:$I$59, 7, FALSE), perc_95, VLOOKUP(W$2, Percentiles!$A$45:$I$59, 8, FALSE), perc_85, perc_75 + (perc_90 - perc_75) * (2/3), converted_stat, '2K_Ratings'!W667, IF(bbgm_stat &gt;= perc_95, converted_stat * 3, IF(bbgm_stat &gt;= perc_90, converted_stat * 2, IF(bbgm_stat &gt;= perc_85, converted_stat * 1.5, converted_stat)))))</f>
        <v/>
      </c>
    </row>
    <row r="668">
      <c r="A668" s="30"/>
      <c r="B668" s="30" t="str">
        <f t="array" ref="B668">IF($A668="", "", LET(bbgm_stat, INDEX(Players!$A667:$P667, MATCH(B$2, Players!$A$1:$P$1, 0)), perc_75, VLOOKUP(B$2, Percentiles!$A$45:$I$59, 6, FALSE), perc_90, VLOOKUP(B$2, Percentiles!$A$45:$I$59, 7, FALSE), perc_95, VLOOKUP(B$2, Percentiles!$A$45:$I$59, 8, FALSE), perc_85, perc_75 + (perc_90 - perc_75) * (2/3), converted_stat, '2K_Ratings'!B668, IF(bbgm_stat &gt;= perc_95, converted_stat * 3, IF(bbgm_stat &gt;= perc_90, converted_stat * 2, IF(bbgm_stat &gt;= perc_85, converted_stat * 1.5, converted_stat)))))</f>
        <v/>
      </c>
      <c r="C668" s="30" t="str">
        <f t="array" ref="C668">IF($A668="", "", LET(bbgm_stat, INDEX(Players!$A667:$P667, MATCH(C$2, Players!$A$1:$P$1, 0)), perc_75, VLOOKUP(C$2, Percentiles!$A$45:$I$59, 6, FALSE), perc_90, VLOOKUP(C$2, Percentiles!$A$45:$I$59, 7, FALSE), perc_95, VLOOKUP(C$2, Percentiles!$A$45:$I$59, 8, FALSE), perc_85, perc_75 + (perc_90 - perc_75) * (2/3), converted_stat, '2K_Ratings'!C668, IF(bbgm_stat &gt;= perc_95, converted_stat * 3, IF(bbgm_stat &gt;= perc_90, converted_stat * 2, IF(bbgm_stat &gt;= perc_85, converted_stat * 1.5, converted_stat)))))</f>
        <v/>
      </c>
      <c r="D668" s="30" t="str">
        <f t="array" ref="D668">IF($A668="", "", LET(bbgm_stat, INDEX(Players!$A667:$P667, MATCH(D$2, Players!$A$1:$P$1, 0)), perc_75, VLOOKUP(D$2, Percentiles!$A$45:$I$59, 6, FALSE), perc_90, VLOOKUP(D$2, Percentiles!$A$45:$I$59, 7, FALSE), perc_95, VLOOKUP(D$2, Percentiles!$A$45:$I$59, 8, FALSE), perc_85, perc_75 + (perc_90 - perc_75) * (2/3), converted_stat, '2K_Ratings'!D668, IF(bbgm_stat &gt;= perc_95, converted_stat * 3, IF(bbgm_stat &gt;= perc_90, converted_stat * 2, IF(bbgm_stat &gt;= perc_85, converted_stat * 1.5, converted_stat)))))</f>
        <v/>
      </c>
      <c r="E668" s="30" t="str">
        <f t="array" ref="E668">IF($A668="", "", LET(bbgm_stat, INDEX(Players!$A667:$P667, MATCH(E$2, Players!$A$1:$P$1, 0)), perc_75, VLOOKUP(E$2, Percentiles!$A$45:$I$59, 6, FALSE), perc_90, VLOOKUP(E$2, Percentiles!$A$45:$I$59, 7, FALSE), perc_95, VLOOKUP(E$2, Percentiles!$A$45:$I$59, 8, FALSE), perc_85, perc_75 + (perc_90 - perc_75) * (2/3), converted_stat, '2K_Ratings'!E668, IF(bbgm_stat &gt;= perc_95, converted_stat * 3, IF(bbgm_stat &gt;= perc_90, converted_stat * 2, IF(bbgm_stat &gt;= perc_85, converted_stat * 1.5, converted_stat)))))</f>
        <v/>
      </c>
      <c r="F668" s="30" t="str">
        <f t="array" ref="F668">IF($A668="", "", LET(bbgm_stat, INDEX(Players!$A667:$P667, MATCH(F$2, Players!$A$1:$P$1, 0)), perc_75, VLOOKUP(F$2, Percentiles!$A$45:$I$59, 6, FALSE), perc_90, VLOOKUP(F$2, Percentiles!$A$45:$I$59, 7, FALSE), perc_95, VLOOKUP(F$2, Percentiles!$A$45:$I$59, 8, FALSE), perc_85, perc_75 + (perc_90 - perc_75) * (2/3), converted_stat, '2K_Ratings'!F668, IF(bbgm_stat &gt;= perc_95, converted_stat * 3, IF(bbgm_stat &gt;= perc_90, converted_stat * 2, IF(bbgm_stat &gt;= perc_85, converted_stat * 1.5, converted_stat)))))</f>
        <v/>
      </c>
      <c r="G668" s="30" t="str">
        <f t="array" ref="G668">IF($A668="", "", LET(bbgm_stat, INDEX(Players!$A667:$P667, MATCH(G$2, Players!$A$1:$P$1, 0)), perc_75, VLOOKUP(G$2, Percentiles!$A$45:$I$59, 6, FALSE), perc_90, VLOOKUP(G$2, Percentiles!$A$45:$I$59, 7, FALSE), perc_95, VLOOKUP(G$2, Percentiles!$A$45:$I$59, 8, FALSE), perc_85, perc_75 + (perc_90 - perc_75) * (2/3), converted_stat, '2K_Ratings'!G668, IF(bbgm_stat &gt;= perc_95, converted_stat * 3, IF(bbgm_stat &gt;= perc_90, converted_stat * 2, IF(bbgm_stat &gt;= perc_85, converted_stat * 1.5, converted_stat)))))</f>
        <v/>
      </c>
      <c r="H668" s="30" t="str">
        <f t="array" ref="H668">IF($A668="", "", LET(bbgm_stat, INDEX(Players!$A667:$P667, MATCH(H$2, Players!$A$1:$P$1, 0)), perc_75, VLOOKUP(H$2, Percentiles!$A$45:$I$59, 6, FALSE), perc_90, VLOOKUP(H$2, Percentiles!$A$45:$I$59, 7, FALSE), perc_95, VLOOKUP(H$2, Percentiles!$A$45:$I$59, 8, FALSE), perc_85, perc_75 + (perc_90 - perc_75) * (2/3), converted_stat, '2K_Ratings'!H668, IF(bbgm_stat &gt;= perc_95, converted_stat * 3, IF(bbgm_stat &gt;= perc_90, converted_stat * 2, IF(bbgm_stat &gt;= perc_85, converted_stat * 1.5, converted_stat)))))</f>
        <v/>
      </c>
      <c r="I668" s="30" t="str">
        <f t="array" ref="I668">IF($A668="", "", LET(bbgm_stat, INDEX(Players!$A667:$P667, MATCH(I$2, Players!$A$1:$P$1, 0)), perc_75, VLOOKUP(I$2, Percentiles!$A$45:$I$59, 6, FALSE), perc_90, VLOOKUP(I$2, Percentiles!$A$45:$I$59, 7, FALSE), perc_95, VLOOKUP(I$2, Percentiles!$A$45:$I$59, 8, FALSE), perc_85, perc_75 + (perc_90 - perc_75) * (2/3), converted_stat, '2K_Ratings'!I668, IF(bbgm_stat &gt;= perc_95, converted_stat * 3, IF(bbgm_stat &gt;= perc_90, converted_stat * 2, IF(bbgm_stat &gt;= perc_85, converted_stat * 1.5, converted_stat)))))</f>
        <v/>
      </c>
      <c r="J668" s="30" t="str">
        <f t="array" ref="J668">IF($A668="", "", LET(bbgm_stat, INDEX(Players!$A667:$P667, MATCH(J$2, Players!$A$1:$P$1, 0)), perc_75, VLOOKUP(J$2, Percentiles!$A$45:$I$59, 6, FALSE), perc_90, VLOOKUP(J$2, Percentiles!$A$45:$I$59, 7, FALSE), perc_95, VLOOKUP(J$2, Percentiles!$A$45:$I$59, 8, FALSE), perc_85, perc_75 + (perc_90 - perc_75) * (2/3), converted_stat, '2K_Ratings'!J668, IF(bbgm_stat &gt;= perc_95, converted_stat * 3, IF(bbgm_stat &gt;= perc_90, converted_stat * 2, IF(bbgm_stat &gt;= perc_85, converted_stat * 1.5, converted_stat)))))</f>
        <v/>
      </c>
      <c r="K668" s="30" t="str">
        <f t="array" ref="K668">IF($A668="", "", LET(bbgm_stat, INDEX(Players!$A667:$P667, MATCH(K$2, Players!$A$1:$P$1, 0)), perc_75, VLOOKUP(K$2, Percentiles!$A$45:$I$59, 6, FALSE), perc_90, VLOOKUP(K$2, Percentiles!$A$45:$I$59, 7, FALSE), perc_95, VLOOKUP(K$2, Percentiles!$A$45:$I$59, 8, FALSE), perc_85, perc_75 + (perc_90 - perc_75) * (2/3), converted_stat, '2K_Ratings'!K668, IF(bbgm_stat &gt;= perc_95, converted_stat * 3, IF(bbgm_stat &gt;= perc_90, converted_stat * 2, IF(bbgm_stat &gt;= perc_85, converted_stat * 1.5, converted_stat)))))</f>
        <v/>
      </c>
      <c r="L668" s="30" t="str">
        <f t="array" ref="L668">IF($A668="", "", LET(bbgm_stat, INDEX(Players!$A667:$P667, MATCH(L$2, Players!$A$1:$P$1, 0)), perc_75, VLOOKUP(L$2, Percentiles!$A$45:$I$59, 6, FALSE), perc_90, VLOOKUP(L$2, Percentiles!$A$45:$I$59, 7, FALSE), perc_95, VLOOKUP(L$2, Percentiles!$A$45:$I$59, 8, FALSE), perc_85, perc_75 + (perc_90 - perc_75) * (2/3), converted_stat, '2K_Ratings'!L668, IF(bbgm_stat &gt;= perc_95, converted_stat * 3, IF(bbgm_stat &gt;= perc_90, converted_stat * 2, IF(bbgm_stat &gt;= perc_85, converted_stat * 1.5, converted_stat)))))</f>
        <v/>
      </c>
      <c r="M668" s="30" t="str">
        <f t="array" ref="M668">IF($A668="", "", LET(bbgm_stat, INDEX(Players!$A667:$P667, MATCH(M$2, Players!$A$1:$P$1, 0)), perc_75, VLOOKUP(M$2, Percentiles!$A$45:$I$59, 6, FALSE), perc_90, VLOOKUP(M$2, Percentiles!$A$45:$I$59, 7, FALSE), perc_95, VLOOKUP(M$2, Percentiles!$A$45:$I$59, 8, FALSE), perc_85, perc_75 + (perc_90 - perc_75) * (2/3), converted_stat, '2K_Ratings'!M668, IF(bbgm_stat &gt;= perc_95, converted_stat * 3, IF(bbgm_stat &gt;= perc_90, converted_stat * 2, IF(bbgm_stat &gt;= perc_85, converted_stat * 1.5, converted_stat)))))</f>
        <v/>
      </c>
      <c r="N668" s="30" t="str">
        <f t="array" ref="N668">IF($A668="", "", LET(bbgm_stat, INDEX(Players!$A667:$P667, MATCH(N$2, Players!$A$1:$P$1, 0)), perc_75, VLOOKUP(N$2, Percentiles!$A$45:$I$59, 6, FALSE), perc_90, VLOOKUP(N$2, Percentiles!$A$45:$I$59, 7, FALSE), perc_95, VLOOKUP(N$2, Percentiles!$A$45:$I$59, 8, FALSE), perc_85, perc_75 + (perc_90 - perc_75) * (2/3), converted_stat, '2K_Ratings'!N668, IF(bbgm_stat &gt;= perc_95, converted_stat * 3, IF(bbgm_stat &gt;= perc_90, converted_stat * 2, IF(bbgm_stat &gt;= perc_85, converted_stat * 1.5, converted_stat)))))</f>
        <v/>
      </c>
      <c r="O668" s="30" t="str">
        <f t="array" ref="O668">IF($A668="", "", LET(bbgm_stat, INDEX(Players!$A667:$P667, MATCH(O$2, Players!$A$1:$P$1, 0)), perc_75, VLOOKUP(O$2, Percentiles!$A$45:$I$59, 6, FALSE), perc_90, VLOOKUP(O$2, Percentiles!$A$45:$I$59, 7, FALSE), perc_95, VLOOKUP(O$2, Percentiles!$A$45:$I$59, 8, FALSE), perc_85, perc_75 + (perc_90 - perc_75) * (2/3), converted_stat, '2K_Ratings'!O668, IF(bbgm_stat &gt;= perc_95, converted_stat * 3, IF(bbgm_stat &gt;= perc_90, converted_stat * 2, IF(bbgm_stat &gt;= perc_85, converted_stat * 1.5, converted_stat)))))</f>
        <v/>
      </c>
      <c r="P668" s="30" t="str">
        <f t="array" ref="P668">IF($A668="", "", LET(bbgm_stat, INDEX(Players!$A667:$P667, MATCH(P$2, Players!$A$1:$P$1, 0)), perc_75, VLOOKUP(P$2, Percentiles!$A$45:$I$59, 6, FALSE), perc_90, VLOOKUP(P$2, Percentiles!$A$45:$I$59, 7, FALSE), perc_95, VLOOKUP(P$2, Percentiles!$A$45:$I$59, 8, FALSE), perc_85, perc_75 + (perc_90 - perc_75) * (2/3), converted_stat, '2K_Ratings'!P668, IF(bbgm_stat &gt;= perc_95, converted_stat * 3, IF(bbgm_stat &gt;= perc_90, converted_stat * 2, IF(bbgm_stat &gt;= perc_85, converted_stat * 1.5, converted_stat)))))</f>
        <v/>
      </c>
      <c r="Q668" s="30" t="str">
        <f t="array" ref="Q668">IF($A668="", "", LET(bbgm_stat, INDEX(Players!$A667:$P667, MATCH(Q$2, Players!$A$1:$P$1, 0)), perc_75, VLOOKUP(Q$2, Percentiles!$A$45:$I$59, 6, FALSE), perc_90, VLOOKUP(Q$2, Percentiles!$A$45:$I$59, 7, FALSE), perc_95, VLOOKUP(Q$2, Percentiles!$A$45:$I$59, 8, FALSE), perc_85, perc_75 + (perc_90 - perc_75) * (2/3), converted_stat, '2K_Ratings'!Q668, IF(bbgm_stat &gt;= perc_95, converted_stat * 3, IF(bbgm_stat &gt;= perc_90, converted_stat * 2, IF(bbgm_stat &gt;= perc_85, converted_stat * 1.5, converted_stat)))))</f>
        <v/>
      </c>
      <c r="R668" s="30" t="str">
        <f t="array" ref="R668">IF($A668="", "", LET(bbgm_stat, INDEX(Players!$A667:$P667, MATCH(R$2, Players!$A$1:$P$1, 0)), perc_75, VLOOKUP(R$2, Percentiles!$A$45:$I$59, 6, FALSE), perc_90, VLOOKUP(R$2, Percentiles!$A$45:$I$59, 7, FALSE), perc_95, VLOOKUP(R$2, Percentiles!$A$45:$I$59, 8, FALSE), perc_85, perc_75 + (perc_90 - perc_75) * (2/3), converted_stat, '2K_Ratings'!R668, IF(bbgm_stat &gt;= perc_95, converted_stat * 3, IF(bbgm_stat &gt;= perc_90, converted_stat * 2, IF(bbgm_stat &gt;= perc_85, converted_stat * 1.5, converted_stat)))))</f>
        <v/>
      </c>
      <c r="S668" s="30" t="str">
        <f t="array" ref="S668">IF($A668="", "", LET(bbgm_stat, INDEX(Players!$A667:$P667, MATCH(S$2, Players!$A$1:$P$1, 0)), perc_75, VLOOKUP(S$2, Percentiles!$A$45:$I$59, 6, FALSE), perc_90, VLOOKUP(S$2, Percentiles!$A$45:$I$59, 7, FALSE), perc_95, VLOOKUP(S$2, Percentiles!$A$45:$I$59, 8, FALSE), perc_85, perc_75 + (perc_90 - perc_75) * (2/3), converted_stat, '2K_Ratings'!S668, IF(bbgm_stat &gt;= perc_95, converted_stat * 3, IF(bbgm_stat &gt;= perc_90, converted_stat * 2, IF(bbgm_stat &gt;= perc_85, converted_stat * 1.5, converted_stat)))))</f>
        <v/>
      </c>
      <c r="T668" s="30" t="str">
        <f t="array" ref="T668">IF($A668="", "", LET(bbgm_stat, INDEX(Players!$A667:$P667, MATCH(T$2, Players!$A$1:$P$1, 0)), perc_75, VLOOKUP(T$2, Percentiles!$A$45:$I$59, 6, FALSE), perc_90, VLOOKUP(T$2, Percentiles!$A$45:$I$59, 7, FALSE), perc_95, VLOOKUP(T$2, Percentiles!$A$45:$I$59, 8, FALSE), perc_85, perc_75 + (perc_90 - perc_75) * (2/3), converted_stat, '2K_Ratings'!T668, IF(bbgm_stat &gt;= perc_95, converted_stat * 3, IF(bbgm_stat &gt;= perc_90, converted_stat * 2, IF(bbgm_stat &gt;= perc_85, converted_stat * 1.5, converted_stat)))))</f>
        <v/>
      </c>
      <c r="U668" s="30" t="str">
        <f t="array" ref="U668">IF($A668="", "", LET(bbgm_stat, INDEX(Players!$A667:$P667, MATCH(U$2, Players!$A$1:$P$1, 0)), perc_75, VLOOKUP(U$2, Percentiles!$A$45:$I$59, 6, FALSE), perc_90, VLOOKUP(U$2, Percentiles!$A$45:$I$59, 7, FALSE), perc_95, VLOOKUP(U$2, Percentiles!$A$45:$I$59, 8, FALSE), perc_85, perc_75 + (perc_90 - perc_75) * (2/3), converted_stat, '2K_Ratings'!U668, IF(bbgm_stat &gt;= perc_95, converted_stat * 3, IF(bbgm_stat &gt;= perc_90, converted_stat * 2, IF(bbgm_stat &gt;= perc_85, converted_stat * 1.5, converted_stat)))))</f>
        <v/>
      </c>
      <c r="V668" s="30" t="str">
        <f t="array" ref="V668">IF($A668="", "", LET(bbgm_stat, INDEX(Players!$A667:$P667, MATCH(V$2, Players!$A$1:$P$1, 0)), perc_75, VLOOKUP(V$2, Percentiles!$A$45:$I$59, 6, FALSE), perc_90, VLOOKUP(V$2, Percentiles!$A$45:$I$59, 7, FALSE), perc_95, VLOOKUP(V$2, Percentiles!$A$45:$I$59, 8, FALSE), perc_85, perc_75 + (perc_90 - perc_75) * (2/3), converted_stat, '2K_Ratings'!V668, IF(bbgm_stat &gt;= perc_95, converted_stat * 3, IF(bbgm_stat &gt;= perc_90, converted_stat * 2, IF(bbgm_stat &gt;= perc_85, converted_stat * 1.5, converted_stat)))))</f>
        <v/>
      </c>
      <c r="W668" s="30" t="str">
        <f t="array" ref="W668">IF($A668="", "", LET(bbgm_stat, INDEX(Players!$A667:$P667, MATCH(W$2, Players!$A$1:$P$1, 0)), perc_75, VLOOKUP(W$2, Percentiles!$A$45:$I$59, 6, FALSE), perc_90, VLOOKUP(W$2, Percentiles!$A$45:$I$59, 7, FALSE), perc_95, VLOOKUP(W$2, Percentiles!$A$45:$I$59, 8, FALSE), perc_85, perc_75 + (perc_90 - perc_75) * (2/3), converted_stat, '2K_Ratings'!W668, IF(bbgm_stat &gt;= perc_95, converted_stat * 3, IF(bbgm_stat &gt;= perc_90, converted_stat * 2, IF(bbgm_stat &gt;= perc_85, converted_stat * 1.5, converted_stat)))))</f>
        <v/>
      </c>
    </row>
    <row r="669">
      <c r="A669" s="30"/>
      <c r="B669" s="30" t="str">
        <f t="array" ref="B669">IF($A669="", "", LET(bbgm_stat, INDEX(Players!$A668:$P668, MATCH(B$2, Players!$A$1:$P$1, 0)), perc_75, VLOOKUP(B$2, Percentiles!$A$45:$I$59, 6, FALSE), perc_90, VLOOKUP(B$2, Percentiles!$A$45:$I$59, 7, FALSE), perc_95, VLOOKUP(B$2, Percentiles!$A$45:$I$59, 8, FALSE), perc_85, perc_75 + (perc_90 - perc_75) * (2/3), converted_stat, '2K_Ratings'!B669, IF(bbgm_stat &gt;= perc_95, converted_stat * 3, IF(bbgm_stat &gt;= perc_90, converted_stat * 2, IF(bbgm_stat &gt;= perc_85, converted_stat * 1.5, converted_stat)))))</f>
        <v/>
      </c>
      <c r="C669" s="30" t="str">
        <f t="array" ref="C669">IF($A669="", "", LET(bbgm_stat, INDEX(Players!$A668:$P668, MATCH(C$2, Players!$A$1:$P$1, 0)), perc_75, VLOOKUP(C$2, Percentiles!$A$45:$I$59, 6, FALSE), perc_90, VLOOKUP(C$2, Percentiles!$A$45:$I$59, 7, FALSE), perc_95, VLOOKUP(C$2, Percentiles!$A$45:$I$59, 8, FALSE), perc_85, perc_75 + (perc_90 - perc_75) * (2/3), converted_stat, '2K_Ratings'!C669, IF(bbgm_stat &gt;= perc_95, converted_stat * 3, IF(bbgm_stat &gt;= perc_90, converted_stat * 2, IF(bbgm_stat &gt;= perc_85, converted_stat * 1.5, converted_stat)))))</f>
        <v/>
      </c>
      <c r="D669" s="30" t="str">
        <f t="array" ref="D669">IF($A669="", "", LET(bbgm_stat, INDEX(Players!$A668:$P668, MATCH(D$2, Players!$A$1:$P$1, 0)), perc_75, VLOOKUP(D$2, Percentiles!$A$45:$I$59, 6, FALSE), perc_90, VLOOKUP(D$2, Percentiles!$A$45:$I$59, 7, FALSE), perc_95, VLOOKUP(D$2, Percentiles!$A$45:$I$59, 8, FALSE), perc_85, perc_75 + (perc_90 - perc_75) * (2/3), converted_stat, '2K_Ratings'!D669, IF(bbgm_stat &gt;= perc_95, converted_stat * 3, IF(bbgm_stat &gt;= perc_90, converted_stat * 2, IF(bbgm_stat &gt;= perc_85, converted_stat * 1.5, converted_stat)))))</f>
        <v/>
      </c>
      <c r="E669" s="30" t="str">
        <f t="array" ref="E669">IF($A669="", "", LET(bbgm_stat, INDEX(Players!$A668:$P668, MATCH(E$2, Players!$A$1:$P$1, 0)), perc_75, VLOOKUP(E$2, Percentiles!$A$45:$I$59, 6, FALSE), perc_90, VLOOKUP(E$2, Percentiles!$A$45:$I$59, 7, FALSE), perc_95, VLOOKUP(E$2, Percentiles!$A$45:$I$59, 8, FALSE), perc_85, perc_75 + (perc_90 - perc_75) * (2/3), converted_stat, '2K_Ratings'!E669, IF(bbgm_stat &gt;= perc_95, converted_stat * 3, IF(bbgm_stat &gt;= perc_90, converted_stat * 2, IF(bbgm_stat &gt;= perc_85, converted_stat * 1.5, converted_stat)))))</f>
        <v/>
      </c>
      <c r="F669" s="30" t="str">
        <f t="array" ref="F669">IF($A669="", "", LET(bbgm_stat, INDEX(Players!$A668:$P668, MATCH(F$2, Players!$A$1:$P$1, 0)), perc_75, VLOOKUP(F$2, Percentiles!$A$45:$I$59, 6, FALSE), perc_90, VLOOKUP(F$2, Percentiles!$A$45:$I$59, 7, FALSE), perc_95, VLOOKUP(F$2, Percentiles!$A$45:$I$59, 8, FALSE), perc_85, perc_75 + (perc_90 - perc_75) * (2/3), converted_stat, '2K_Ratings'!F669, IF(bbgm_stat &gt;= perc_95, converted_stat * 3, IF(bbgm_stat &gt;= perc_90, converted_stat * 2, IF(bbgm_stat &gt;= perc_85, converted_stat * 1.5, converted_stat)))))</f>
        <v/>
      </c>
      <c r="G669" s="30" t="str">
        <f t="array" ref="G669">IF($A669="", "", LET(bbgm_stat, INDEX(Players!$A668:$P668, MATCH(G$2, Players!$A$1:$P$1, 0)), perc_75, VLOOKUP(G$2, Percentiles!$A$45:$I$59, 6, FALSE), perc_90, VLOOKUP(G$2, Percentiles!$A$45:$I$59, 7, FALSE), perc_95, VLOOKUP(G$2, Percentiles!$A$45:$I$59, 8, FALSE), perc_85, perc_75 + (perc_90 - perc_75) * (2/3), converted_stat, '2K_Ratings'!G669, IF(bbgm_stat &gt;= perc_95, converted_stat * 3, IF(bbgm_stat &gt;= perc_90, converted_stat * 2, IF(bbgm_stat &gt;= perc_85, converted_stat * 1.5, converted_stat)))))</f>
        <v/>
      </c>
      <c r="H669" s="30" t="str">
        <f t="array" ref="H669">IF($A669="", "", LET(bbgm_stat, INDEX(Players!$A668:$P668, MATCH(H$2, Players!$A$1:$P$1, 0)), perc_75, VLOOKUP(H$2, Percentiles!$A$45:$I$59, 6, FALSE), perc_90, VLOOKUP(H$2, Percentiles!$A$45:$I$59, 7, FALSE), perc_95, VLOOKUP(H$2, Percentiles!$A$45:$I$59, 8, FALSE), perc_85, perc_75 + (perc_90 - perc_75) * (2/3), converted_stat, '2K_Ratings'!H669, IF(bbgm_stat &gt;= perc_95, converted_stat * 3, IF(bbgm_stat &gt;= perc_90, converted_stat * 2, IF(bbgm_stat &gt;= perc_85, converted_stat * 1.5, converted_stat)))))</f>
        <v/>
      </c>
      <c r="I669" s="30" t="str">
        <f t="array" ref="I669">IF($A669="", "", LET(bbgm_stat, INDEX(Players!$A668:$P668, MATCH(I$2, Players!$A$1:$P$1, 0)), perc_75, VLOOKUP(I$2, Percentiles!$A$45:$I$59, 6, FALSE), perc_90, VLOOKUP(I$2, Percentiles!$A$45:$I$59, 7, FALSE), perc_95, VLOOKUP(I$2, Percentiles!$A$45:$I$59, 8, FALSE), perc_85, perc_75 + (perc_90 - perc_75) * (2/3), converted_stat, '2K_Ratings'!I669, IF(bbgm_stat &gt;= perc_95, converted_stat * 3, IF(bbgm_stat &gt;= perc_90, converted_stat * 2, IF(bbgm_stat &gt;= perc_85, converted_stat * 1.5, converted_stat)))))</f>
        <v/>
      </c>
      <c r="J669" s="30" t="str">
        <f t="array" ref="J669">IF($A669="", "", LET(bbgm_stat, INDEX(Players!$A668:$P668, MATCH(J$2, Players!$A$1:$P$1, 0)), perc_75, VLOOKUP(J$2, Percentiles!$A$45:$I$59, 6, FALSE), perc_90, VLOOKUP(J$2, Percentiles!$A$45:$I$59, 7, FALSE), perc_95, VLOOKUP(J$2, Percentiles!$A$45:$I$59, 8, FALSE), perc_85, perc_75 + (perc_90 - perc_75) * (2/3), converted_stat, '2K_Ratings'!J669, IF(bbgm_stat &gt;= perc_95, converted_stat * 3, IF(bbgm_stat &gt;= perc_90, converted_stat * 2, IF(bbgm_stat &gt;= perc_85, converted_stat * 1.5, converted_stat)))))</f>
        <v/>
      </c>
      <c r="K669" s="30" t="str">
        <f t="array" ref="K669">IF($A669="", "", LET(bbgm_stat, INDEX(Players!$A668:$P668, MATCH(K$2, Players!$A$1:$P$1, 0)), perc_75, VLOOKUP(K$2, Percentiles!$A$45:$I$59, 6, FALSE), perc_90, VLOOKUP(K$2, Percentiles!$A$45:$I$59, 7, FALSE), perc_95, VLOOKUP(K$2, Percentiles!$A$45:$I$59, 8, FALSE), perc_85, perc_75 + (perc_90 - perc_75) * (2/3), converted_stat, '2K_Ratings'!K669, IF(bbgm_stat &gt;= perc_95, converted_stat * 3, IF(bbgm_stat &gt;= perc_90, converted_stat * 2, IF(bbgm_stat &gt;= perc_85, converted_stat * 1.5, converted_stat)))))</f>
        <v/>
      </c>
      <c r="L669" s="30" t="str">
        <f t="array" ref="L669">IF($A669="", "", LET(bbgm_stat, INDEX(Players!$A668:$P668, MATCH(L$2, Players!$A$1:$P$1, 0)), perc_75, VLOOKUP(L$2, Percentiles!$A$45:$I$59, 6, FALSE), perc_90, VLOOKUP(L$2, Percentiles!$A$45:$I$59, 7, FALSE), perc_95, VLOOKUP(L$2, Percentiles!$A$45:$I$59, 8, FALSE), perc_85, perc_75 + (perc_90 - perc_75) * (2/3), converted_stat, '2K_Ratings'!L669, IF(bbgm_stat &gt;= perc_95, converted_stat * 3, IF(bbgm_stat &gt;= perc_90, converted_stat * 2, IF(bbgm_stat &gt;= perc_85, converted_stat * 1.5, converted_stat)))))</f>
        <v/>
      </c>
      <c r="M669" s="30" t="str">
        <f t="array" ref="M669">IF($A669="", "", LET(bbgm_stat, INDEX(Players!$A668:$P668, MATCH(M$2, Players!$A$1:$P$1, 0)), perc_75, VLOOKUP(M$2, Percentiles!$A$45:$I$59, 6, FALSE), perc_90, VLOOKUP(M$2, Percentiles!$A$45:$I$59, 7, FALSE), perc_95, VLOOKUP(M$2, Percentiles!$A$45:$I$59, 8, FALSE), perc_85, perc_75 + (perc_90 - perc_75) * (2/3), converted_stat, '2K_Ratings'!M669, IF(bbgm_stat &gt;= perc_95, converted_stat * 3, IF(bbgm_stat &gt;= perc_90, converted_stat * 2, IF(bbgm_stat &gt;= perc_85, converted_stat * 1.5, converted_stat)))))</f>
        <v/>
      </c>
      <c r="N669" s="30" t="str">
        <f t="array" ref="N669">IF($A669="", "", LET(bbgm_stat, INDEX(Players!$A668:$P668, MATCH(N$2, Players!$A$1:$P$1, 0)), perc_75, VLOOKUP(N$2, Percentiles!$A$45:$I$59, 6, FALSE), perc_90, VLOOKUP(N$2, Percentiles!$A$45:$I$59, 7, FALSE), perc_95, VLOOKUP(N$2, Percentiles!$A$45:$I$59, 8, FALSE), perc_85, perc_75 + (perc_90 - perc_75) * (2/3), converted_stat, '2K_Ratings'!N669, IF(bbgm_stat &gt;= perc_95, converted_stat * 3, IF(bbgm_stat &gt;= perc_90, converted_stat * 2, IF(bbgm_stat &gt;= perc_85, converted_stat * 1.5, converted_stat)))))</f>
        <v/>
      </c>
      <c r="O669" s="30" t="str">
        <f t="array" ref="O669">IF($A669="", "", LET(bbgm_stat, INDEX(Players!$A668:$P668, MATCH(O$2, Players!$A$1:$P$1, 0)), perc_75, VLOOKUP(O$2, Percentiles!$A$45:$I$59, 6, FALSE), perc_90, VLOOKUP(O$2, Percentiles!$A$45:$I$59, 7, FALSE), perc_95, VLOOKUP(O$2, Percentiles!$A$45:$I$59, 8, FALSE), perc_85, perc_75 + (perc_90 - perc_75) * (2/3), converted_stat, '2K_Ratings'!O669, IF(bbgm_stat &gt;= perc_95, converted_stat * 3, IF(bbgm_stat &gt;= perc_90, converted_stat * 2, IF(bbgm_stat &gt;= perc_85, converted_stat * 1.5, converted_stat)))))</f>
        <v/>
      </c>
      <c r="P669" s="30" t="str">
        <f t="array" ref="P669">IF($A669="", "", LET(bbgm_stat, INDEX(Players!$A668:$P668, MATCH(P$2, Players!$A$1:$P$1, 0)), perc_75, VLOOKUP(P$2, Percentiles!$A$45:$I$59, 6, FALSE), perc_90, VLOOKUP(P$2, Percentiles!$A$45:$I$59, 7, FALSE), perc_95, VLOOKUP(P$2, Percentiles!$A$45:$I$59, 8, FALSE), perc_85, perc_75 + (perc_90 - perc_75) * (2/3), converted_stat, '2K_Ratings'!P669, IF(bbgm_stat &gt;= perc_95, converted_stat * 3, IF(bbgm_stat &gt;= perc_90, converted_stat * 2, IF(bbgm_stat &gt;= perc_85, converted_stat * 1.5, converted_stat)))))</f>
        <v/>
      </c>
      <c r="Q669" s="30" t="str">
        <f t="array" ref="Q669">IF($A669="", "", LET(bbgm_stat, INDEX(Players!$A668:$P668, MATCH(Q$2, Players!$A$1:$P$1, 0)), perc_75, VLOOKUP(Q$2, Percentiles!$A$45:$I$59, 6, FALSE), perc_90, VLOOKUP(Q$2, Percentiles!$A$45:$I$59, 7, FALSE), perc_95, VLOOKUP(Q$2, Percentiles!$A$45:$I$59, 8, FALSE), perc_85, perc_75 + (perc_90 - perc_75) * (2/3), converted_stat, '2K_Ratings'!Q669, IF(bbgm_stat &gt;= perc_95, converted_stat * 3, IF(bbgm_stat &gt;= perc_90, converted_stat * 2, IF(bbgm_stat &gt;= perc_85, converted_stat * 1.5, converted_stat)))))</f>
        <v/>
      </c>
      <c r="R669" s="30" t="str">
        <f t="array" ref="R669">IF($A669="", "", LET(bbgm_stat, INDEX(Players!$A668:$P668, MATCH(R$2, Players!$A$1:$P$1, 0)), perc_75, VLOOKUP(R$2, Percentiles!$A$45:$I$59, 6, FALSE), perc_90, VLOOKUP(R$2, Percentiles!$A$45:$I$59, 7, FALSE), perc_95, VLOOKUP(R$2, Percentiles!$A$45:$I$59, 8, FALSE), perc_85, perc_75 + (perc_90 - perc_75) * (2/3), converted_stat, '2K_Ratings'!R669, IF(bbgm_stat &gt;= perc_95, converted_stat * 3, IF(bbgm_stat &gt;= perc_90, converted_stat * 2, IF(bbgm_stat &gt;= perc_85, converted_stat * 1.5, converted_stat)))))</f>
        <v/>
      </c>
      <c r="S669" s="30" t="str">
        <f t="array" ref="S669">IF($A669="", "", LET(bbgm_stat, INDEX(Players!$A668:$P668, MATCH(S$2, Players!$A$1:$P$1, 0)), perc_75, VLOOKUP(S$2, Percentiles!$A$45:$I$59, 6, FALSE), perc_90, VLOOKUP(S$2, Percentiles!$A$45:$I$59, 7, FALSE), perc_95, VLOOKUP(S$2, Percentiles!$A$45:$I$59, 8, FALSE), perc_85, perc_75 + (perc_90 - perc_75) * (2/3), converted_stat, '2K_Ratings'!S669, IF(bbgm_stat &gt;= perc_95, converted_stat * 3, IF(bbgm_stat &gt;= perc_90, converted_stat * 2, IF(bbgm_stat &gt;= perc_85, converted_stat * 1.5, converted_stat)))))</f>
        <v/>
      </c>
      <c r="T669" s="30" t="str">
        <f t="array" ref="T669">IF($A669="", "", LET(bbgm_stat, INDEX(Players!$A668:$P668, MATCH(T$2, Players!$A$1:$P$1, 0)), perc_75, VLOOKUP(T$2, Percentiles!$A$45:$I$59, 6, FALSE), perc_90, VLOOKUP(T$2, Percentiles!$A$45:$I$59, 7, FALSE), perc_95, VLOOKUP(T$2, Percentiles!$A$45:$I$59, 8, FALSE), perc_85, perc_75 + (perc_90 - perc_75) * (2/3), converted_stat, '2K_Ratings'!T669, IF(bbgm_stat &gt;= perc_95, converted_stat * 3, IF(bbgm_stat &gt;= perc_90, converted_stat * 2, IF(bbgm_stat &gt;= perc_85, converted_stat * 1.5, converted_stat)))))</f>
        <v/>
      </c>
      <c r="U669" s="30" t="str">
        <f t="array" ref="U669">IF($A669="", "", LET(bbgm_stat, INDEX(Players!$A668:$P668, MATCH(U$2, Players!$A$1:$P$1, 0)), perc_75, VLOOKUP(U$2, Percentiles!$A$45:$I$59, 6, FALSE), perc_90, VLOOKUP(U$2, Percentiles!$A$45:$I$59, 7, FALSE), perc_95, VLOOKUP(U$2, Percentiles!$A$45:$I$59, 8, FALSE), perc_85, perc_75 + (perc_90 - perc_75) * (2/3), converted_stat, '2K_Ratings'!U669, IF(bbgm_stat &gt;= perc_95, converted_stat * 3, IF(bbgm_stat &gt;= perc_90, converted_stat * 2, IF(bbgm_stat &gt;= perc_85, converted_stat * 1.5, converted_stat)))))</f>
        <v/>
      </c>
      <c r="V669" s="30" t="str">
        <f t="array" ref="V669">IF($A669="", "", LET(bbgm_stat, INDEX(Players!$A668:$P668, MATCH(V$2, Players!$A$1:$P$1, 0)), perc_75, VLOOKUP(V$2, Percentiles!$A$45:$I$59, 6, FALSE), perc_90, VLOOKUP(V$2, Percentiles!$A$45:$I$59, 7, FALSE), perc_95, VLOOKUP(V$2, Percentiles!$A$45:$I$59, 8, FALSE), perc_85, perc_75 + (perc_90 - perc_75) * (2/3), converted_stat, '2K_Ratings'!V669, IF(bbgm_stat &gt;= perc_95, converted_stat * 3, IF(bbgm_stat &gt;= perc_90, converted_stat * 2, IF(bbgm_stat &gt;= perc_85, converted_stat * 1.5, converted_stat)))))</f>
        <v/>
      </c>
      <c r="W669" s="30" t="str">
        <f t="array" ref="W669">IF($A669="", "", LET(bbgm_stat, INDEX(Players!$A668:$P668, MATCH(W$2, Players!$A$1:$P$1, 0)), perc_75, VLOOKUP(W$2, Percentiles!$A$45:$I$59, 6, FALSE), perc_90, VLOOKUP(W$2, Percentiles!$A$45:$I$59, 7, FALSE), perc_95, VLOOKUP(W$2, Percentiles!$A$45:$I$59, 8, FALSE), perc_85, perc_75 + (perc_90 - perc_75) * (2/3), converted_stat, '2K_Ratings'!W669, IF(bbgm_stat &gt;= perc_95, converted_stat * 3, IF(bbgm_stat &gt;= perc_90, converted_stat * 2, IF(bbgm_stat &gt;= perc_85, converted_stat * 1.5, converted_stat)))))</f>
        <v/>
      </c>
    </row>
    <row r="670">
      <c r="A670" s="30"/>
      <c r="B670" s="30" t="str">
        <f t="array" ref="B670">IF($A670="", "", LET(bbgm_stat, INDEX(Players!$A669:$P669, MATCH(B$2, Players!$A$1:$P$1, 0)), perc_75, VLOOKUP(B$2, Percentiles!$A$45:$I$59, 6, FALSE), perc_90, VLOOKUP(B$2, Percentiles!$A$45:$I$59, 7, FALSE), perc_95, VLOOKUP(B$2, Percentiles!$A$45:$I$59, 8, FALSE), perc_85, perc_75 + (perc_90 - perc_75) * (2/3), converted_stat, '2K_Ratings'!B670, IF(bbgm_stat &gt;= perc_95, converted_stat * 3, IF(bbgm_stat &gt;= perc_90, converted_stat * 2, IF(bbgm_stat &gt;= perc_85, converted_stat * 1.5, converted_stat)))))</f>
        <v/>
      </c>
      <c r="C670" s="30" t="str">
        <f t="array" ref="C670">IF($A670="", "", LET(bbgm_stat, INDEX(Players!$A669:$P669, MATCH(C$2, Players!$A$1:$P$1, 0)), perc_75, VLOOKUP(C$2, Percentiles!$A$45:$I$59, 6, FALSE), perc_90, VLOOKUP(C$2, Percentiles!$A$45:$I$59, 7, FALSE), perc_95, VLOOKUP(C$2, Percentiles!$A$45:$I$59, 8, FALSE), perc_85, perc_75 + (perc_90 - perc_75) * (2/3), converted_stat, '2K_Ratings'!C670, IF(bbgm_stat &gt;= perc_95, converted_stat * 3, IF(bbgm_stat &gt;= perc_90, converted_stat * 2, IF(bbgm_stat &gt;= perc_85, converted_stat * 1.5, converted_stat)))))</f>
        <v/>
      </c>
      <c r="D670" s="30" t="str">
        <f t="array" ref="D670">IF($A670="", "", LET(bbgm_stat, INDEX(Players!$A669:$P669, MATCH(D$2, Players!$A$1:$P$1, 0)), perc_75, VLOOKUP(D$2, Percentiles!$A$45:$I$59, 6, FALSE), perc_90, VLOOKUP(D$2, Percentiles!$A$45:$I$59, 7, FALSE), perc_95, VLOOKUP(D$2, Percentiles!$A$45:$I$59, 8, FALSE), perc_85, perc_75 + (perc_90 - perc_75) * (2/3), converted_stat, '2K_Ratings'!D670, IF(bbgm_stat &gt;= perc_95, converted_stat * 3, IF(bbgm_stat &gt;= perc_90, converted_stat * 2, IF(bbgm_stat &gt;= perc_85, converted_stat * 1.5, converted_stat)))))</f>
        <v/>
      </c>
      <c r="E670" s="30" t="str">
        <f t="array" ref="E670">IF($A670="", "", LET(bbgm_stat, INDEX(Players!$A669:$P669, MATCH(E$2, Players!$A$1:$P$1, 0)), perc_75, VLOOKUP(E$2, Percentiles!$A$45:$I$59, 6, FALSE), perc_90, VLOOKUP(E$2, Percentiles!$A$45:$I$59, 7, FALSE), perc_95, VLOOKUP(E$2, Percentiles!$A$45:$I$59, 8, FALSE), perc_85, perc_75 + (perc_90 - perc_75) * (2/3), converted_stat, '2K_Ratings'!E670, IF(bbgm_stat &gt;= perc_95, converted_stat * 3, IF(bbgm_stat &gt;= perc_90, converted_stat * 2, IF(bbgm_stat &gt;= perc_85, converted_stat * 1.5, converted_stat)))))</f>
        <v/>
      </c>
      <c r="F670" s="30" t="str">
        <f t="array" ref="F670">IF($A670="", "", LET(bbgm_stat, INDEX(Players!$A669:$P669, MATCH(F$2, Players!$A$1:$P$1, 0)), perc_75, VLOOKUP(F$2, Percentiles!$A$45:$I$59, 6, FALSE), perc_90, VLOOKUP(F$2, Percentiles!$A$45:$I$59, 7, FALSE), perc_95, VLOOKUP(F$2, Percentiles!$A$45:$I$59, 8, FALSE), perc_85, perc_75 + (perc_90 - perc_75) * (2/3), converted_stat, '2K_Ratings'!F670, IF(bbgm_stat &gt;= perc_95, converted_stat * 3, IF(bbgm_stat &gt;= perc_90, converted_stat * 2, IF(bbgm_stat &gt;= perc_85, converted_stat * 1.5, converted_stat)))))</f>
        <v/>
      </c>
      <c r="G670" s="30" t="str">
        <f t="array" ref="G670">IF($A670="", "", LET(bbgm_stat, INDEX(Players!$A669:$P669, MATCH(G$2, Players!$A$1:$P$1, 0)), perc_75, VLOOKUP(G$2, Percentiles!$A$45:$I$59, 6, FALSE), perc_90, VLOOKUP(G$2, Percentiles!$A$45:$I$59, 7, FALSE), perc_95, VLOOKUP(G$2, Percentiles!$A$45:$I$59, 8, FALSE), perc_85, perc_75 + (perc_90 - perc_75) * (2/3), converted_stat, '2K_Ratings'!G670, IF(bbgm_stat &gt;= perc_95, converted_stat * 3, IF(bbgm_stat &gt;= perc_90, converted_stat * 2, IF(bbgm_stat &gt;= perc_85, converted_stat * 1.5, converted_stat)))))</f>
        <v/>
      </c>
      <c r="H670" s="30" t="str">
        <f t="array" ref="H670">IF($A670="", "", LET(bbgm_stat, INDEX(Players!$A669:$P669, MATCH(H$2, Players!$A$1:$P$1, 0)), perc_75, VLOOKUP(H$2, Percentiles!$A$45:$I$59, 6, FALSE), perc_90, VLOOKUP(H$2, Percentiles!$A$45:$I$59, 7, FALSE), perc_95, VLOOKUP(H$2, Percentiles!$A$45:$I$59, 8, FALSE), perc_85, perc_75 + (perc_90 - perc_75) * (2/3), converted_stat, '2K_Ratings'!H670, IF(bbgm_stat &gt;= perc_95, converted_stat * 3, IF(bbgm_stat &gt;= perc_90, converted_stat * 2, IF(bbgm_stat &gt;= perc_85, converted_stat * 1.5, converted_stat)))))</f>
        <v/>
      </c>
      <c r="I670" s="30" t="str">
        <f t="array" ref="I670">IF($A670="", "", LET(bbgm_stat, INDEX(Players!$A669:$P669, MATCH(I$2, Players!$A$1:$P$1, 0)), perc_75, VLOOKUP(I$2, Percentiles!$A$45:$I$59, 6, FALSE), perc_90, VLOOKUP(I$2, Percentiles!$A$45:$I$59, 7, FALSE), perc_95, VLOOKUP(I$2, Percentiles!$A$45:$I$59, 8, FALSE), perc_85, perc_75 + (perc_90 - perc_75) * (2/3), converted_stat, '2K_Ratings'!I670, IF(bbgm_stat &gt;= perc_95, converted_stat * 3, IF(bbgm_stat &gt;= perc_90, converted_stat * 2, IF(bbgm_stat &gt;= perc_85, converted_stat * 1.5, converted_stat)))))</f>
        <v/>
      </c>
      <c r="J670" s="30" t="str">
        <f t="array" ref="J670">IF($A670="", "", LET(bbgm_stat, INDEX(Players!$A669:$P669, MATCH(J$2, Players!$A$1:$P$1, 0)), perc_75, VLOOKUP(J$2, Percentiles!$A$45:$I$59, 6, FALSE), perc_90, VLOOKUP(J$2, Percentiles!$A$45:$I$59, 7, FALSE), perc_95, VLOOKUP(J$2, Percentiles!$A$45:$I$59, 8, FALSE), perc_85, perc_75 + (perc_90 - perc_75) * (2/3), converted_stat, '2K_Ratings'!J670, IF(bbgm_stat &gt;= perc_95, converted_stat * 3, IF(bbgm_stat &gt;= perc_90, converted_stat * 2, IF(bbgm_stat &gt;= perc_85, converted_stat * 1.5, converted_stat)))))</f>
        <v/>
      </c>
      <c r="K670" s="30" t="str">
        <f t="array" ref="K670">IF($A670="", "", LET(bbgm_stat, INDEX(Players!$A669:$P669, MATCH(K$2, Players!$A$1:$P$1, 0)), perc_75, VLOOKUP(K$2, Percentiles!$A$45:$I$59, 6, FALSE), perc_90, VLOOKUP(K$2, Percentiles!$A$45:$I$59, 7, FALSE), perc_95, VLOOKUP(K$2, Percentiles!$A$45:$I$59, 8, FALSE), perc_85, perc_75 + (perc_90 - perc_75) * (2/3), converted_stat, '2K_Ratings'!K670, IF(bbgm_stat &gt;= perc_95, converted_stat * 3, IF(bbgm_stat &gt;= perc_90, converted_stat * 2, IF(bbgm_stat &gt;= perc_85, converted_stat * 1.5, converted_stat)))))</f>
        <v/>
      </c>
      <c r="L670" s="30" t="str">
        <f t="array" ref="L670">IF($A670="", "", LET(bbgm_stat, INDEX(Players!$A669:$P669, MATCH(L$2, Players!$A$1:$P$1, 0)), perc_75, VLOOKUP(L$2, Percentiles!$A$45:$I$59, 6, FALSE), perc_90, VLOOKUP(L$2, Percentiles!$A$45:$I$59, 7, FALSE), perc_95, VLOOKUP(L$2, Percentiles!$A$45:$I$59, 8, FALSE), perc_85, perc_75 + (perc_90 - perc_75) * (2/3), converted_stat, '2K_Ratings'!L670, IF(bbgm_stat &gt;= perc_95, converted_stat * 3, IF(bbgm_stat &gt;= perc_90, converted_stat * 2, IF(bbgm_stat &gt;= perc_85, converted_stat * 1.5, converted_stat)))))</f>
        <v/>
      </c>
      <c r="M670" s="30" t="str">
        <f t="array" ref="M670">IF($A670="", "", LET(bbgm_stat, INDEX(Players!$A669:$P669, MATCH(M$2, Players!$A$1:$P$1, 0)), perc_75, VLOOKUP(M$2, Percentiles!$A$45:$I$59, 6, FALSE), perc_90, VLOOKUP(M$2, Percentiles!$A$45:$I$59, 7, FALSE), perc_95, VLOOKUP(M$2, Percentiles!$A$45:$I$59, 8, FALSE), perc_85, perc_75 + (perc_90 - perc_75) * (2/3), converted_stat, '2K_Ratings'!M670, IF(bbgm_stat &gt;= perc_95, converted_stat * 3, IF(bbgm_stat &gt;= perc_90, converted_stat * 2, IF(bbgm_stat &gt;= perc_85, converted_stat * 1.5, converted_stat)))))</f>
        <v/>
      </c>
      <c r="N670" s="30" t="str">
        <f t="array" ref="N670">IF($A670="", "", LET(bbgm_stat, INDEX(Players!$A669:$P669, MATCH(N$2, Players!$A$1:$P$1, 0)), perc_75, VLOOKUP(N$2, Percentiles!$A$45:$I$59, 6, FALSE), perc_90, VLOOKUP(N$2, Percentiles!$A$45:$I$59, 7, FALSE), perc_95, VLOOKUP(N$2, Percentiles!$A$45:$I$59, 8, FALSE), perc_85, perc_75 + (perc_90 - perc_75) * (2/3), converted_stat, '2K_Ratings'!N670, IF(bbgm_stat &gt;= perc_95, converted_stat * 3, IF(bbgm_stat &gt;= perc_90, converted_stat * 2, IF(bbgm_stat &gt;= perc_85, converted_stat * 1.5, converted_stat)))))</f>
        <v/>
      </c>
      <c r="O670" s="30" t="str">
        <f t="array" ref="O670">IF($A670="", "", LET(bbgm_stat, INDEX(Players!$A669:$P669, MATCH(O$2, Players!$A$1:$P$1, 0)), perc_75, VLOOKUP(O$2, Percentiles!$A$45:$I$59, 6, FALSE), perc_90, VLOOKUP(O$2, Percentiles!$A$45:$I$59, 7, FALSE), perc_95, VLOOKUP(O$2, Percentiles!$A$45:$I$59, 8, FALSE), perc_85, perc_75 + (perc_90 - perc_75) * (2/3), converted_stat, '2K_Ratings'!O670, IF(bbgm_stat &gt;= perc_95, converted_stat * 3, IF(bbgm_stat &gt;= perc_90, converted_stat * 2, IF(bbgm_stat &gt;= perc_85, converted_stat * 1.5, converted_stat)))))</f>
        <v/>
      </c>
      <c r="P670" s="30" t="str">
        <f t="array" ref="P670">IF($A670="", "", LET(bbgm_stat, INDEX(Players!$A669:$P669, MATCH(P$2, Players!$A$1:$P$1, 0)), perc_75, VLOOKUP(P$2, Percentiles!$A$45:$I$59, 6, FALSE), perc_90, VLOOKUP(P$2, Percentiles!$A$45:$I$59, 7, FALSE), perc_95, VLOOKUP(P$2, Percentiles!$A$45:$I$59, 8, FALSE), perc_85, perc_75 + (perc_90 - perc_75) * (2/3), converted_stat, '2K_Ratings'!P670, IF(bbgm_stat &gt;= perc_95, converted_stat * 3, IF(bbgm_stat &gt;= perc_90, converted_stat * 2, IF(bbgm_stat &gt;= perc_85, converted_stat * 1.5, converted_stat)))))</f>
        <v/>
      </c>
      <c r="Q670" s="30" t="str">
        <f t="array" ref="Q670">IF($A670="", "", LET(bbgm_stat, INDEX(Players!$A669:$P669, MATCH(Q$2, Players!$A$1:$P$1, 0)), perc_75, VLOOKUP(Q$2, Percentiles!$A$45:$I$59, 6, FALSE), perc_90, VLOOKUP(Q$2, Percentiles!$A$45:$I$59, 7, FALSE), perc_95, VLOOKUP(Q$2, Percentiles!$A$45:$I$59, 8, FALSE), perc_85, perc_75 + (perc_90 - perc_75) * (2/3), converted_stat, '2K_Ratings'!Q670, IF(bbgm_stat &gt;= perc_95, converted_stat * 3, IF(bbgm_stat &gt;= perc_90, converted_stat * 2, IF(bbgm_stat &gt;= perc_85, converted_stat * 1.5, converted_stat)))))</f>
        <v/>
      </c>
      <c r="R670" s="30" t="str">
        <f t="array" ref="R670">IF($A670="", "", LET(bbgm_stat, INDEX(Players!$A669:$P669, MATCH(R$2, Players!$A$1:$P$1, 0)), perc_75, VLOOKUP(R$2, Percentiles!$A$45:$I$59, 6, FALSE), perc_90, VLOOKUP(R$2, Percentiles!$A$45:$I$59, 7, FALSE), perc_95, VLOOKUP(R$2, Percentiles!$A$45:$I$59, 8, FALSE), perc_85, perc_75 + (perc_90 - perc_75) * (2/3), converted_stat, '2K_Ratings'!R670, IF(bbgm_stat &gt;= perc_95, converted_stat * 3, IF(bbgm_stat &gt;= perc_90, converted_stat * 2, IF(bbgm_stat &gt;= perc_85, converted_stat * 1.5, converted_stat)))))</f>
        <v/>
      </c>
      <c r="S670" s="30" t="str">
        <f t="array" ref="S670">IF($A670="", "", LET(bbgm_stat, INDEX(Players!$A669:$P669, MATCH(S$2, Players!$A$1:$P$1, 0)), perc_75, VLOOKUP(S$2, Percentiles!$A$45:$I$59, 6, FALSE), perc_90, VLOOKUP(S$2, Percentiles!$A$45:$I$59, 7, FALSE), perc_95, VLOOKUP(S$2, Percentiles!$A$45:$I$59, 8, FALSE), perc_85, perc_75 + (perc_90 - perc_75) * (2/3), converted_stat, '2K_Ratings'!S670, IF(bbgm_stat &gt;= perc_95, converted_stat * 3, IF(bbgm_stat &gt;= perc_90, converted_stat * 2, IF(bbgm_stat &gt;= perc_85, converted_stat * 1.5, converted_stat)))))</f>
        <v/>
      </c>
      <c r="T670" s="30" t="str">
        <f t="array" ref="T670">IF($A670="", "", LET(bbgm_stat, INDEX(Players!$A669:$P669, MATCH(T$2, Players!$A$1:$P$1, 0)), perc_75, VLOOKUP(T$2, Percentiles!$A$45:$I$59, 6, FALSE), perc_90, VLOOKUP(T$2, Percentiles!$A$45:$I$59, 7, FALSE), perc_95, VLOOKUP(T$2, Percentiles!$A$45:$I$59, 8, FALSE), perc_85, perc_75 + (perc_90 - perc_75) * (2/3), converted_stat, '2K_Ratings'!T670, IF(bbgm_stat &gt;= perc_95, converted_stat * 3, IF(bbgm_stat &gt;= perc_90, converted_stat * 2, IF(bbgm_stat &gt;= perc_85, converted_stat * 1.5, converted_stat)))))</f>
        <v/>
      </c>
      <c r="U670" s="30" t="str">
        <f t="array" ref="U670">IF($A670="", "", LET(bbgm_stat, INDEX(Players!$A669:$P669, MATCH(U$2, Players!$A$1:$P$1, 0)), perc_75, VLOOKUP(U$2, Percentiles!$A$45:$I$59, 6, FALSE), perc_90, VLOOKUP(U$2, Percentiles!$A$45:$I$59, 7, FALSE), perc_95, VLOOKUP(U$2, Percentiles!$A$45:$I$59, 8, FALSE), perc_85, perc_75 + (perc_90 - perc_75) * (2/3), converted_stat, '2K_Ratings'!U670, IF(bbgm_stat &gt;= perc_95, converted_stat * 3, IF(bbgm_stat &gt;= perc_90, converted_stat * 2, IF(bbgm_stat &gt;= perc_85, converted_stat * 1.5, converted_stat)))))</f>
        <v/>
      </c>
      <c r="V670" s="30" t="str">
        <f t="array" ref="V670">IF($A670="", "", LET(bbgm_stat, INDEX(Players!$A669:$P669, MATCH(V$2, Players!$A$1:$P$1, 0)), perc_75, VLOOKUP(V$2, Percentiles!$A$45:$I$59, 6, FALSE), perc_90, VLOOKUP(V$2, Percentiles!$A$45:$I$59, 7, FALSE), perc_95, VLOOKUP(V$2, Percentiles!$A$45:$I$59, 8, FALSE), perc_85, perc_75 + (perc_90 - perc_75) * (2/3), converted_stat, '2K_Ratings'!V670, IF(bbgm_stat &gt;= perc_95, converted_stat * 3, IF(bbgm_stat &gt;= perc_90, converted_stat * 2, IF(bbgm_stat &gt;= perc_85, converted_stat * 1.5, converted_stat)))))</f>
        <v/>
      </c>
      <c r="W670" s="30" t="str">
        <f t="array" ref="W670">IF($A670="", "", LET(bbgm_stat, INDEX(Players!$A669:$P669, MATCH(W$2, Players!$A$1:$P$1, 0)), perc_75, VLOOKUP(W$2, Percentiles!$A$45:$I$59, 6, FALSE), perc_90, VLOOKUP(W$2, Percentiles!$A$45:$I$59, 7, FALSE), perc_95, VLOOKUP(W$2, Percentiles!$A$45:$I$59, 8, FALSE), perc_85, perc_75 + (perc_90 - perc_75) * (2/3), converted_stat, '2K_Ratings'!W670, IF(bbgm_stat &gt;= perc_95, converted_stat * 3, IF(bbgm_stat &gt;= perc_90, converted_stat * 2, IF(bbgm_stat &gt;= perc_85, converted_stat * 1.5, converted_stat)))))</f>
        <v/>
      </c>
    </row>
    <row r="671">
      <c r="A671" s="30"/>
      <c r="B671" s="30" t="str">
        <f t="array" ref="B671">IF($A671="", "", LET(bbgm_stat, INDEX(Players!$A670:$P670, MATCH(B$2, Players!$A$1:$P$1, 0)), perc_75, VLOOKUP(B$2, Percentiles!$A$45:$I$59, 6, FALSE), perc_90, VLOOKUP(B$2, Percentiles!$A$45:$I$59, 7, FALSE), perc_95, VLOOKUP(B$2, Percentiles!$A$45:$I$59, 8, FALSE), perc_85, perc_75 + (perc_90 - perc_75) * (2/3), converted_stat, '2K_Ratings'!B671, IF(bbgm_stat &gt;= perc_95, converted_stat * 3, IF(bbgm_stat &gt;= perc_90, converted_stat * 2, IF(bbgm_stat &gt;= perc_85, converted_stat * 1.5, converted_stat)))))</f>
        <v/>
      </c>
      <c r="C671" s="30" t="str">
        <f t="array" ref="C671">IF($A671="", "", LET(bbgm_stat, INDEX(Players!$A670:$P670, MATCH(C$2, Players!$A$1:$P$1, 0)), perc_75, VLOOKUP(C$2, Percentiles!$A$45:$I$59, 6, FALSE), perc_90, VLOOKUP(C$2, Percentiles!$A$45:$I$59, 7, FALSE), perc_95, VLOOKUP(C$2, Percentiles!$A$45:$I$59, 8, FALSE), perc_85, perc_75 + (perc_90 - perc_75) * (2/3), converted_stat, '2K_Ratings'!C671, IF(bbgm_stat &gt;= perc_95, converted_stat * 3, IF(bbgm_stat &gt;= perc_90, converted_stat * 2, IF(bbgm_stat &gt;= perc_85, converted_stat * 1.5, converted_stat)))))</f>
        <v/>
      </c>
      <c r="D671" s="30" t="str">
        <f t="array" ref="D671">IF($A671="", "", LET(bbgm_stat, INDEX(Players!$A670:$P670, MATCH(D$2, Players!$A$1:$P$1, 0)), perc_75, VLOOKUP(D$2, Percentiles!$A$45:$I$59, 6, FALSE), perc_90, VLOOKUP(D$2, Percentiles!$A$45:$I$59, 7, FALSE), perc_95, VLOOKUP(D$2, Percentiles!$A$45:$I$59, 8, FALSE), perc_85, perc_75 + (perc_90 - perc_75) * (2/3), converted_stat, '2K_Ratings'!D671, IF(bbgm_stat &gt;= perc_95, converted_stat * 3, IF(bbgm_stat &gt;= perc_90, converted_stat * 2, IF(bbgm_stat &gt;= perc_85, converted_stat * 1.5, converted_stat)))))</f>
        <v/>
      </c>
      <c r="E671" s="30" t="str">
        <f t="array" ref="E671">IF($A671="", "", LET(bbgm_stat, INDEX(Players!$A670:$P670, MATCH(E$2, Players!$A$1:$P$1, 0)), perc_75, VLOOKUP(E$2, Percentiles!$A$45:$I$59, 6, FALSE), perc_90, VLOOKUP(E$2, Percentiles!$A$45:$I$59, 7, FALSE), perc_95, VLOOKUP(E$2, Percentiles!$A$45:$I$59, 8, FALSE), perc_85, perc_75 + (perc_90 - perc_75) * (2/3), converted_stat, '2K_Ratings'!E671, IF(bbgm_stat &gt;= perc_95, converted_stat * 3, IF(bbgm_stat &gt;= perc_90, converted_stat * 2, IF(bbgm_stat &gt;= perc_85, converted_stat * 1.5, converted_stat)))))</f>
        <v/>
      </c>
      <c r="F671" s="30" t="str">
        <f t="array" ref="F671">IF($A671="", "", LET(bbgm_stat, INDEX(Players!$A670:$P670, MATCH(F$2, Players!$A$1:$P$1, 0)), perc_75, VLOOKUP(F$2, Percentiles!$A$45:$I$59, 6, FALSE), perc_90, VLOOKUP(F$2, Percentiles!$A$45:$I$59, 7, FALSE), perc_95, VLOOKUP(F$2, Percentiles!$A$45:$I$59, 8, FALSE), perc_85, perc_75 + (perc_90 - perc_75) * (2/3), converted_stat, '2K_Ratings'!F671, IF(bbgm_stat &gt;= perc_95, converted_stat * 3, IF(bbgm_stat &gt;= perc_90, converted_stat * 2, IF(bbgm_stat &gt;= perc_85, converted_stat * 1.5, converted_stat)))))</f>
        <v/>
      </c>
      <c r="G671" s="30" t="str">
        <f t="array" ref="G671">IF($A671="", "", LET(bbgm_stat, INDEX(Players!$A670:$P670, MATCH(G$2, Players!$A$1:$P$1, 0)), perc_75, VLOOKUP(G$2, Percentiles!$A$45:$I$59, 6, FALSE), perc_90, VLOOKUP(G$2, Percentiles!$A$45:$I$59, 7, FALSE), perc_95, VLOOKUP(G$2, Percentiles!$A$45:$I$59, 8, FALSE), perc_85, perc_75 + (perc_90 - perc_75) * (2/3), converted_stat, '2K_Ratings'!G671, IF(bbgm_stat &gt;= perc_95, converted_stat * 3, IF(bbgm_stat &gt;= perc_90, converted_stat * 2, IF(bbgm_stat &gt;= perc_85, converted_stat * 1.5, converted_stat)))))</f>
        <v/>
      </c>
      <c r="H671" s="30" t="str">
        <f t="array" ref="H671">IF($A671="", "", LET(bbgm_stat, INDEX(Players!$A670:$P670, MATCH(H$2, Players!$A$1:$P$1, 0)), perc_75, VLOOKUP(H$2, Percentiles!$A$45:$I$59, 6, FALSE), perc_90, VLOOKUP(H$2, Percentiles!$A$45:$I$59, 7, FALSE), perc_95, VLOOKUP(H$2, Percentiles!$A$45:$I$59, 8, FALSE), perc_85, perc_75 + (perc_90 - perc_75) * (2/3), converted_stat, '2K_Ratings'!H671, IF(bbgm_stat &gt;= perc_95, converted_stat * 3, IF(bbgm_stat &gt;= perc_90, converted_stat * 2, IF(bbgm_stat &gt;= perc_85, converted_stat * 1.5, converted_stat)))))</f>
        <v/>
      </c>
      <c r="I671" s="30" t="str">
        <f t="array" ref="I671">IF($A671="", "", LET(bbgm_stat, INDEX(Players!$A670:$P670, MATCH(I$2, Players!$A$1:$P$1, 0)), perc_75, VLOOKUP(I$2, Percentiles!$A$45:$I$59, 6, FALSE), perc_90, VLOOKUP(I$2, Percentiles!$A$45:$I$59, 7, FALSE), perc_95, VLOOKUP(I$2, Percentiles!$A$45:$I$59, 8, FALSE), perc_85, perc_75 + (perc_90 - perc_75) * (2/3), converted_stat, '2K_Ratings'!I671, IF(bbgm_stat &gt;= perc_95, converted_stat * 3, IF(bbgm_stat &gt;= perc_90, converted_stat * 2, IF(bbgm_stat &gt;= perc_85, converted_stat * 1.5, converted_stat)))))</f>
        <v/>
      </c>
      <c r="J671" s="30" t="str">
        <f t="array" ref="J671">IF($A671="", "", LET(bbgm_stat, INDEX(Players!$A670:$P670, MATCH(J$2, Players!$A$1:$P$1, 0)), perc_75, VLOOKUP(J$2, Percentiles!$A$45:$I$59, 6, FALSE), perc_90, VLOOKUP(J$2, Percentiles!$A$45:$I$59, 7, FALSE), perc_95, VLOOKUP(J$2, Percentiles!$A$45:$I$59, 8, FALSE), perc_85, perc_75 + (perc_90 - perc_75) * (2/3), converted_stat, '2K_Ratings'!J671, IF(bbgm_stat &gt;= perc_95, converted_stat * 3, IF(bbgm_stat &gt;= perc_90, converted_stat * 2, IF(bbgm_stat &gt;= perc_85, converted_stat * 1.5, converted_stat)))))</f>
        <v/>
      </c>
      <c r="K671" s="30" t="str">
        <f t="array" ref="K671">IF($A671="", "", LET(bbgm_stat, INDEX(Players!$A670:$P670, MATCH(K$2, Players!$A$1:$P$1, 0)), perc_75, VLOOKUP(K$2, Percentiles!$A$45:$I$59, 6, FALSE), perc_90, VLOOKUP(K$2, Percentiles!$A$45:$I$59, 7, FALSE), perc_95, VLOOKUP(K$2, Percentiles!$A$45:$I$59, 8, FALSE), perc_85, perc_75 + (perc_90 - perc_75) * (2/3), converted_stat, '2K_Ratings'!K671, IF(bbgm_stat &gt;= perc_95, converted_stat * 3, IF(bbgm_stat &gt;= perc_90, converted_stat * 2, IF(bbgm_stat &gt;= perc_85, converted_stat * 1.5, converted_stat)))))</f>
        <v/>
      </c>
      <c r="L671" s="30" t="str">
        <f t="array" ref="L671">IF($A671="", "", LET(bbgm_stat, INDEX(Players!$A670:$P670, MATCH(L$2, Players!$A$1:$P$1, 0)), perc_75, VLOOKUP(L$2, Percentiles!$A$45:$I$59, 6, FALSE), perc_90, VLOOKUP(L$2, Percentiles!$A$45:$I$59, 7, FALSE), perc_95, VLOOKUP(L$2, Percentiles!$A$45:$I$59, 8, FALSE), perc_85, perc_75 + (perc_90 - perc_75) * (2/3), converted_stat, '2K_Ratings'!L671, IF(bbgm_stat &gt;= perc_95, converted_stat * 3, IF(bbgm_stat &gt;= perc_90, converted_stat * 2, IF(bbgm_stat &gt;= perc_85, converted_stat * 1.5, converted_stat)))))</f>
        <v/>
      </c>
      <c r="M671" s="30" t="str">
        <f t="array" ref="M671">IF($A671="", "", LET(bbgm_stat, INDEX(Players!$A670:$P670, MATCH(M$2, Players!$A$1:$P$1, 0)), perc_75, VLOOKUP(M$2, Percentiles!$A$45:$I$59, 6, FALSE), perc_90, VLOOKUP(M$2, Percentiles!$A$45:$I$59, 7, FALSE), perc_95, VLOOKUP(M$2, Percentiles!$A$45:$I$59, 8, FALSE), perc_85, perc_75 + (perc_90 - perc_75) * (2/3), converted_stat, '2K_Ratings'!M671, IF(bbgm_stat &gt;= perc_95, converted_stat * 3, IF(bbgm_stat &gt;= perc_90, converted_stat * 2, IF(bbgm_stat &gt;= perc_85, converted_stat * 1.5, converted_stat)))))</f>
        <v/>
      </c>
      <c r="N671" s="30" t="str">
        <f t="array" ref="N671">IF($A671="", "", LET(bbgm_stat, INDEX(Players!$A670:$P670, MATCH(N$2, Players!$A$1:$P$1, 0)), perc_75, VLOOKUP(N$2, Percentiles!$A$45:$I$59, 6, FALSE), perc_90, VLOOKUP(N$2, Percentiles!$A$45:$I$59, 7, FALSE), perc_95, VLOOKUP(N$2, Percentiles!$A$45:$I$59, 8, FALSE), perc_85, perc_75 + (perc_90 - perc_75) * (2/3), converted_stat, '2K_Ratings'!N671, IF(bbgm_stat &gt;= perc_95, converted_stat * 3, IF(bbgm_stat &gt;= perc_90, converted_stat * 2, IF(bbgm_stat &gt;= perc_85, converted_stat * 1.5, converted_stat)))))</f>
        <v/>
      </c>
      <c r="O671" s="30" t="str">
        <f t="array" ref="O671">IF($A671="", "", LET(bbgm_stat, INDEX(Players!$A670:$P670, MATCH(O$2, Players!$A$1:$P$1, 0)), perc_75, VLOOKUP(O$2, Percentiles!$A$45:$I$59, 6, FALSE), perc_90, VLOOKUP(O$2, Percentiles!$A$45:$I$59, 7, FALSE), perc_95, VLOOKUP(O$2, Percentiles!$A$45:$I$59, 8, FALSE), perc_85, perc_75 + (perc_90 - perc_75) * (2/3), converted_stat, '2K_Ratings'!O671, IF(bbgm_stat &gt;= perc_95, converted_stat * 3, IF(bbgm_stat &gt;= perc_90, converted_stat * 2, IF(bbgm_stat &gt;= perc_85, converted_stat * 1.5, converted_stat)))))</f>
        <v/>
      </c>
      <c r="P671" s="30" t="str">
        <f t="array" ref="P671">IF($A671="", "", LET(bbgm_stat, INDEX(Players!$A670:$P670, MATCH(P$2, Players!$A$1:$P$1, 0)), perc_75, VLOOKUP(P$2, Percentiles!$A$45:$I$59, 6, FALSE), perc_90, VLOOKUP(P$2, Percentiles!$A$45:$I$59, 7, FALSE), perc_95, VLOOKUP(P$2, Percentiles!$A$45:$I$59, 8, FALSE), perc_85, perc_75 + (perc_90 - perc_75) * (2/3), converted_stat, '2K_Ratings'!P671, IF(bbgm_stat &gt;= perc_95, converted_stat * 3, IF(bbgm_stat &gt;= perc_90, converted_stat * 2, IF(bbgm_stat &gt;= perc_85, converted_stat * 1.5, converted_stat)))))</f>
        <v/>
      </c>
      <c r="Q671" s="30" t="str">
        <f t="array" ref="Q671">IF($A671="", "", LET(bbgm_stat, INDEX(Players!$A670:$P670, MATCH(Q$2, Players!$A$1:$P$1, 0)), perc_75, VLOOKUP(Q$2, Percentiles!$A$45:$I$59, 6, FALSE), perc_90, VLOOKUP(Q$2, Percentiles!$A$45:$I$59, 7, FALSE), perc_95, VLOOKUP(Q$2, Percentiles!$A$45:$I$59, 8, FALSE), perc_85, perc_75 + (perc_90 - perc_75) * (2/3), converted_stat, '2K_Ratings'!Q671, IF(bbgm_stat &gt;= perc_95, converted_stat * 3, IF(bbgm_stat &gt;= perc_90, converted_stat * 2, IF(bbgm_stat &gt;= perc_85, converted_stat * 1.5, converted_stat)))))</f>
        <v/>
      </c>
      <c r="R671" s="30" t="str">
        <f t="array" ref="R671">IF($A671="", "", LET(bbgm_stat, INDEX(Players!$A670:$P670, MATCH(R$2, Players!$A$1:$P$1, 0)), perc_75, VLOOKUP(R$2, Percentiles!$A$45:$I$59, 6, FALSE), perc_90, VLOOKUP(R$2, Percentiles!$A$45:$I$59, 7, FALSE), perc_95, VLOOKUP(R$2, Percentiles!$A$45:$I$59, 8, FALSE), perc_85, perc_75 + (perc_90 - perc_75) * (2/3), converted_stat, '2K_Ratings'!R671, IF(bbgm_stat &gt;= perc_95, converted_stat * 3, IF(bbgm_stat &gt;= perc_90, converted_stat * 2, IF(bbgm_stat &gt;= perc_85, converted_stat * 1.5, converted_stat)))))</f>
        <v/>
      </c>
      <c r="S671" s="30" t="str">
        <f t="array" ref="S671">IF($A671="", "", LET(bbgm_stat, INDEX(Players!$A670:$P670, MATCH(S$2, Players!$A$1:$P$1, 0)), perc_75, VLOOKUP(S$2, Percentiles!$A$45:$I$59, 6, FALSE), perc_90, VLOOKUP(S$2, Percentiles!$A$45:$I$59, 7, FALSE), perc_95, VLOOKUP(S$2, Percentiles!$A$45:$I$59, 8, FALSE), perc_85, perc_75 + (perc_90 - perc_75) * (2/3), converted_stat, '2K_Ratings'!S671, IF(bbgm_stat &gt;= perc_95, converted_stat * 3, IF(bbgm_stat &gt;= perc_90, converted_stat * 2, IF(bbgm_stat &gt;= perc_85, converted_stat * 1.5, converted_stat)))))</f>
        <v/>
      </c>
      <c r="T671" s="30" t="str">
        <f t="array" ref="T671">IF($A671="", "", LET(bbgm_stat, INDEX(Players!$A670:$P670, MATCH(T$2, Players!$A$1:$P$1, 0)), perc_75, VLOOKUP(T$2, Percentiles!$A$45:$I$59, 6, FALSE), perc_90, VLOOKUP(T$2, Percentiles!$A$45:$I$59, 7, FALSE), perc_95, VLOOKUP(T$2, Percentiles!$A$45:$I$59, 8, FALSE), perc_85, perc_75 + (perc_90 - perc_75) * (2/3), converted_stat, '2K_Ratings'!T671, IF(bbgm_stat &gt;= perc_95, converted_stat * 3, IF(bbgm_stat &gt;= perc_90, converted_stat * 2, IF(bbgm_stat &gt;= perc_85, converted_stat * 1.5, converted_stat)))))</f>
        <v/>
      </c>
      <c r="U671" s="30" t="str">
        <f t="array" ref="U671">IF($A671="", "", LET(bbgm_stat, INDEX(Players!$A670:$P670, MATCH(U$2, Players!$A$1:$P$1, 0)), perc_75, VLOOKUP(U$2, Percentiles!$A$45:$I$59, 6, FALSE), perc_90, VLOOKUP(U$2, Percentiles!$A$45:$I$59, 7, FALSE), perc_95, VLOOKUP(U$2, Percentiles!$A$45:$I$59, 8, FALSE), perc_85, perc_75 + (perc_90 - perc_75) * (2/3), converted_stat, '2K_Ratings'!U671, IF(bbgm_stat &gt;= perc_95, converted_stat * 3, IF(bbgm_stat &gt;= perc_90, converted_stat * 2, IF(bbgm_stat &gt;= perc_85, converted_stat * 1.5, converted_stat)))))</f>
        <v/>
      </c>
      <c r="V671" s="30" t="str">
        <f t="array" ref="V671">IF($A671="", "", LET(bbgm_stat, INDEX(Players!$A670:$P670, MATCH(V$2, Players!$A$1:$P$1, 0)), perc_75, VLOOKUP(V$2, Percentiles!$A$45:$I$59, 6, FALSE), perc_90, VLOOKUP(V$2, Percentiles!$A$45:$I$59, 7, FALSE), perc_95, VLOOKUP(V$2, Percentiles!$A$45:$I$59, 8, FALSE), perc_85, perc_75 + (perc_90 - perc_75) * (2/3), converted_stat, '2K_Ratings'!V671, IF(bbgm_stat &gt;= perc_95, converted_stat * 3, IF(bbgm_stat &gt;= perc_90, converted_stat * 2, IF(bbgm_stat &gt;= perc_85, converted_stat * 1.5, converted_stat)))))</f>
        <v/>
      </c>
      <c r="W671" s="30" t="str">
        <f t="array" ref="W671">IF($A671="", "", LET(bbgm_stat, INDEX(Players!$A670:$P670, MATCH(W$2, Players!$A$1:$P$1, 0)), perc_75, VLOOKUP(W$2, Percentiles!$A$45:$I$59, 6, FALSE), perc_90, VLOOKUP(W$2, Percentiles!$A$45:$I$59, 7, FALSE), perc_95, VLOOKUP(W$2, Percentiles!$A$45:$I$59, 8, FALSE), perc_85, perc_75 + (perc_90 - perc_75) * (2/3), converted_stat, '2K_Ratings'!W671, IF(bbgm_stat &gt;= perc_95, converted_stat * 3, IF(bbgm_stat &gt;= perc_90, converted_stat * 2, IF(bbgm_stat &gt;= perc_85, converted_stat * 1.5, converted_stat)))))</f>
        <v/>
      </c>
    </row>
    <row r="672">
      <c r="A672" s="30"/>
      <c r="B672" s="30" t="str">
        <f t="array" ref="B672">IF($A672="", "", LET(bbgm_stat, INDEX(Players!$A671:$P671, MATCH(B$2, Players!$A$1:$P$1, 0)), perc_75, VLOOKUP(B$2, Percentiles!$A$45:$I$59, 6, FALSE), perc_90, VLOOKUP(B$2, Percentiles!$A$45:$I$59, 7, FALSE), perc_95, VLOOKUP(B$2, Percentiles!$A$45:$I$59, 8, FALSE), perc_85, perc_75 + (perc_90 - perc_75) * (2/3), converted_stat, '2K_Ratings'!B672, IF(bbgm_stat &gt;= perc_95, converted_stat * 3, IF(bbgm_stat &gt;= perc_90, converted_stat * 2, IF(bbgm_stat &gt;= perc_85, converted_stat * 1.5, converted_stat)))))</f>
        <v/>
      </c>
      <c r="C672" s="30" t="str">
        <f t="array" ref="C672">IF($A672="", "", LET(bbgm_stat, INDEX(Players!$A671:$P671, MATCH(C$2, Players!$A$1:$P$1, 0)), perc_75, VLOOKUP(C$2, Percentiles!$A$45:$I$59, 6, FALSE), perc_90, VLOOKUP(C$2, Percentiles!$A$45:$I$59, 7, FALSE), perc_95, VLOOKUP(C$2, Percentiles!$A$45:$I$59, 8, FALSE), perc_85, perc_75 + (perc_90 - perc_75) * (2/3), converted_stat, '2K_Ratings'!C672, IF(bbgm_stat &gt;= perc_95, converted_stat * 3, IF(bbgm_stat &gt;= perc_90, converted_stat * 2, IF(bbgm_stat &gt;= perc_85, converted_stat * 1.5, converted_stat)))))</f>
        <v/>
      </c>
      <c r="D672" s="30" t="str">
        <f t="array" ref="D672">IF($A672="", "", LET(bbgm_stat, INDEX(Players!$A671:$P671, MATCH(D$2, Players!$A$1:$P$1, 0)), perc_75, VLOOKUP(D$2, Percentiles!$A$45:$I$59, 6, FALSE), perc_90, VLOOKUP(D$2, Percentiles!$A$45:$I$59, 7, FALSE), perc_95, VLOOKUP(D$2, Percentiles!$A$45:$I$59, 8, FALSE), perc_85, perc_75 + (perc_90 - perc_75) * (2/3), converted_stat, '2K_Ratings'!D672, IF(bbgm_stat &gt;= perc_95, converted_stat * 3, IF(bbgm_stat &gt;= perc_90, converted_stat * 2, IF(bbgm_stat &gt;= perc_85, converted_stat * 1.5, converted_stat)))))</f>
        <v/>
      </c>
      <c r="E672" s="30" t="str">
        <f t="array" ref="E672">IF($A672="", "", LET(bbgm_stat, INDEX(Players!$A671:$P671, MATCH(E$2, Players!$A$1:$P$1, 0)), perc_75, VLOOKUP(E$2, Percentiles!$A$45:$I$59, 6, FALSE), perc_90, VLOOKUP(E$2, Percentiles!$A$45:$I$59, 7, FALSE), perc_95, VLOOKUP(E$2, Percentiles!$A$45:$I$59, 8, FALSE), perc_85, perc_75 + (perc_90 - perc_75) * (2/3), converted_stat, '2K_Ratings'!E672, IF(bbgm_stat &gt;= perc_95, converted_stat * 3, IF(bbgm_stat &gt;= perc_90, converted_stat * 2, IF(bbgm_stat &gt;= perc_85, converted_stat * 1.5, converted_stat)))))</f>
        <v/>
      </c>
      <c r="F672" s="30" t="str">
        <f t="array" ref="F672">IF($A672="", "", LET(bbgm_stat, INDEX(Players!$A671:$P671, MATCH(F$2, Players!$A$1:$P$1, 0)), perc_75, VLOOKUP(F$2, Percentiles!$A$45:$I$59, 6, FALSE), perc_90, VLOOKUP(F$2, Percentiles!$A$45:$I$59, 7, FALSE), perc_95, VLOOKUP(F$2, Percentiles!$A$45:$I$59, 8, FALSE), perc_85, perc_75 + (perc_90 - perc_75) * (2/3), converted_stat, '2K_Ratings'!F672, IF(bbgm_stat &gt;= perc_95, converted_stat * 3, IF(bbgm_stat &gt;= perc_90, converted_stat * 2, IF(bbgm_stat &gt;= perc_85, converted_stat * 1.5, converted_stat)))))</f>
        <v/>
      </c>
      <c r="G672" s="30" t="str">
        <f t="array" ref="G672">IF($A672="", "", LET(bbgm_stat, INDEX(Players!$A671:$P671, MATCH(G$2, Players!$A$1:$P$1, 0)), perc_75, VLOOKUP(G$2, Percentiles!$A$45:$I$59, 6, FALSE), perc_90, VLOOKUP(G$2, Percentiles!$A$45:$I$59, 7, FALSE), perc_95, VLOOKUP(G$2, Percentiles!$A$45:$I$59, 8, FALSE), perc_85, perc_75 + (perc_90 - perc_75) * (2/3), converted_stat, '2K_Ratings'!G672, IF(bbgm_stat &gt;= perc_95, converted_stat * 3, IF(bbgm_stat &gt;= perc_90, converted_stat * 2, IF(bbgm_stat &gt;= perc_85, converted_stat * 1.5, converted_stat)))))</f>
        <v/>
      </c>
      <c r="H672" s="30" t="str">
        <f t="array" ref="H672">IF($A672="", "", LET(bbgm_stat, INDEX(Players!$A671:$P671, MATCH(H$2, Players!$A$1:$P$1, 0)), perc_75, VLOOKUP(H$2, Percentiles!$A$45:$I$59, 6, FALSE), perc_90, VLOOKUP(H$2, Percentiles!$A$45:$I$59, 7, FALSE), perc_95, VLOOKUP(H$2, Percentiles!$A$45:$I$59, 8, FALSE), perc_85, perc_75 + (perc_90 - perc_75) * (2/3), converted_stat, '2K_Ratings'!H672, IF(bbgm_stat &gt;= perc_95, converted_stat * 3, IF(bbgm_stat &gt;= perc_90, converted_stat * 2, IF(bbgm_stat &gt;= perc_85, converted_stat * 1.5, converted_stat)))))</f>
        <v/>
      </c>
      <c r="I672" s="30" t="str">
        <f t="array" ref="I672">IF($A672="", "", LET(bbgm_stat, INDEX(Players!$A671:$P671, MATCH(I$2, Players!$A$1:$P$1, 0)), perc_75, VLOOKUP(I$2, Percentiles!$A$45:$I$59, 6, FALSE), perc_90, VLOOKUP(I$2, Percentiles!$A$45:$I$59, 7, FALSE), perc_95, VLOOKUP(I$2, Percentiles!$A$45:$I$59, 8, FALSE), perc_85, perc_75 + (perc_90 - perc_75) * (2/3), converted_stat, '2K_Ratings'!I672, IF(bbgm_stat &gt;= perc_95, converted_stat * 3, IF(bbgm_stat &gt;= perc_90, converted_stat * 2, IF(bbgm_stat &gt;= perc_85, converted_stat * 1.5, converted_stat)))))</f>
        <v/>
      </c>
      <c r="J672" s="30" t="str">
        <f t="array" ref="J672">IF($A672="", "", LET(bbgm_stat, INDEX(Players!$A671:$P671, MATCH(J$2, Players!$A$1:$P$1, 0)), perc_75, VLOOKUP(J$2, Percentiles!$A$45:$I$59, 6, FALSE), perc_90, VLOOKUP(J$2, Percentiles!$A$45:$I$59, 7, FALSE), perc_95, VLOOKUP(J$2, Percentiles!$A$45:$I$59, 8, FALSE), perc_85, perc_75 + (perc_90 - perc_75) * (2/3), converted_stat, '2K_Ratings'!J672, IF(bbgm_stat &gt;= perc_95, converted_stat * 3, IF(bbgm_stat &gt;= perc_90, converted_stat * 2, IF(bbgm_stat &gt;= perc_85, converted_stat * 1.5, converted_stat)))))</f>
        <v/>
      </c>
      <c r="K672" s="30" t="str">
        <f t="array" ref="K672">IF($A672="", "", LET(bbgm_stat, INDEX(Players!$A671:$P671, MATCH(K$2, Players!$A$1:$P$1, 0)), perc_75, VLOOKUP(K$2, Percentiles!$A$45:$I$59, 6, FALSE), perc_90, VLOOKUP(K$2, Percentiles!$A$45:$I$59, 7, FALSE), perc_95, VLOOKUP(K$2, Percentiles!$A$45:$I$59, 8, FALSE), perc_85, perc_75 + (perc_90 - perc_75) * (2/3), converted_stat, '2K_Ratings'!K672, IF(bbgm_stat &gt;= perc_95, converted_stat * 3, IF(bbgm_stat &gt;= perc_90, converted_stat * 2, IF(bbgm_stat &gt;= perc_85, converted_stat * 1.5, converted_stat)))))</f>
        <v/>
      </c>
      <c r="L672" s="30" t="str">
        <f t="array" ref="L672">IF($A672="", "", LET(bbgm_stat, INDEX(Players!$A671:$P671, MATCH(L$2, Players!$A$1:$P$1, 0)), perc_75, VLOOKUP(L$2, Percentiles!$A$45:$I$59, 6, FALSE), perc_90, VLOOKUP(L$2, Percentiles!$A$45:$I$59, 7, FALSE), perc_95, VLOOKUP(L$2, Percentiles!$A$45:$I$59, 8, FALSE), perc_85, perc_75 + (perc_90 - perc_75) * (2/3), converted_stat, '2K_Ratings'!L672, IF(bbgm_stat &gt;= perc_95, converted_stat * 3, IF(bbgm_stat &gt;= perc_90, converted_stat * 2, IF(bbgm_stat &gt;= perc_85, converted_stat * 1.5, converted_stat)))))</f>
        <v/>
      </c>
      <c r="M672" s="30" t="str">
        <f t="array" ref="M672">IF($A672="", "", LET(bbgm_stat, INDEX(Players!$A671:$P671, MATCH(M$2, Players!$A$1:$P$1, 0)), perc_75, VLOOKUP(M$2, Percentiles!$A$45:$I$59, 6, FALSE), perc_90, VLOOKUP(M$2, Percentiles!$A$45:$I$59, 7, FALSE), perc_95, VLOOKUP(M$2, Percentiles!$A$45:$I$59, 8, FALSE), perc_85, perc_75 + (perc_90 - perc_75) * (2/3), converted_stat, '2K_Ratings'!M672, IF(bbgm_stat &gt;= perc_95, converted_stat * 3, IF(bbgm_stat &gt;= perc_90, converted_stat * 2, IF(bbgm_stat &gt;= perc_85, converted_stat * 1.5, converted_stat)))))</f>
        <v/>
      </c>
      <c r="N672" s="30" t="str">
        <f t="array" ref="N672">IF($A672="", "", LET(bbgm_stat, INDEX(Players!$A671:$P671, MATCH(N$2, Players!$A$1:$P$1, 0)), perc_75, VLOOKUP(N$2, Percentiles!$A$45:$I$59, 6, FALSE), perc_90, VLOOKUP(N$2, Percentiles!$A$45:$I$59, 7, FALSE), perc_95, VLOOKUP(N$2, Percentiles!$A$45:$I$59, 8, FALSE), perc_85, perc_75 + (perc_90 - perc_75) * (2/3), converted_stat, '2K_Ratings'!N672, IF(bbgm_stat &gt;= perc_95, converted_stat * 3, IF(bbgm_stat &gt;= perc_90, converted_stat * 2, IF(bbgm_stat &gt;= perc_85, converted_stat * 1.5, converted_stat)))))</f>
        <v/>
      </c>
      <c r="O672" s="30" t="str">
        <f t="array" ref="O672">IF($A672="", "", LET(bbgm_stat, INDEX(Players!$A671:$P671, MATCH(O$2, Players!$A$1:$P$1, 0)), perc_75, VLOOKUP(O$2, Percentiles!$A$45:$I$59, 6, FALSE), perc_90, VLOOKUP(O$2, Percentiles!$A$45:$I$59, 7, FALSE), perc_95, VLOOKUP(O$2, Percentiles!$A$45:$I$59, 8, FALSE), perc_85, perc_75 + (perc_90 - perc_75) * (2/3), converted_stat, '2K_Ratings'!O672, IF(bbgm_stat &gt;= perc_95, converted_stat * 3, IF(bbgm_stat &gt;= perc_90, converted_stat * 2, IF(bbgm_stat &gt;= perc_85, converted_stat * 1.5, converted_stat)))))</f>
        <v/>
      </c>
      <c r="P672" s="30" t="str">
        <f t="array" ref="P672">IF($A672="", "", LET(bbgm_stat, INDEX(Players!$A671:$P671, MATCH(P$2, Players!$A$1:$P$1, 0)), perc_75, VLOOKUP(P$2, Percentiles!$A$45:$I$59, 6, FALSE), perc_90, VLOOKUP(P$2, Percentiles!$A$45:$I$59, 7, FALSE), perc_95, VLOOKUP(P$2, Percentiles!$A$45:$I$59, 8, FALSE), perc_85, perc_75 + (perc_90 - perc_75) * (2/3), converted_stat, '2K_Ratings'!P672, IF(bbgm_stat &gt;= perc_95, converted_stat * 3, IF(bbgm_stat &gt;= perc_90, converted_stat * 2, IF(bbgm_stat &gt;= perc_85, converted_stat * 1.5, converted_stat)))))</f>
        <v/>
      </c>
      <c r="Q672" s="30" t="str">
        <f t="array" ref="Q672">IF($A672="", "", LET(bbgm_stat, INDEX(Players!$A671:$P671, MATCH(Q$2, Players!$A$1:$P$1, 0)), perc_75, VLOOKUP(Q$2, Percentiles!$A$45:$I$59, 6, FALSE), perc_90, VLOOKUP(Q$2, Percentiles!$A$45:$I$59, 7, FALSE), perc_95, VLOOKUP(Q$2, Percentiles!$A$45:$I$59, 8, FALSE), perc_85, perc_75 + (perc_90 - perc_75) * (2/3), converted_stat, '2K_Ratings'!Q672, IF(bbgm_stat &gt;= perc_95, converted_stat * 3, IF(bbgm_stat &gt;= perc_90, converted_stat * 2, IF(bbgm_stat &gt;= perc_85, converted_stat * 1.5, converted_stat)))))</f>
        <v/>
      </c>
      <c r="R672" s="30" t="str">
        <f t="array" ref="R672">IF($A672="", "", LET(bbgm_stat, INDEX(Players!$A671:$P671, MATCH(R$2, Players!$A$1:$P$1, 0)), perc_75, VLOOKUP(R$2, Percentiles!$A$45:$I$59, 6, FALSE), perc_90, VLOOKUP(R$2, Percentiles!$A$45:$I$59, 7, FALSE), perc_95, VLOOKUP(R$2, Percentiles!$A$45:$I$59, 8, FALSE), perc_85, perc_75 + (perc_90 - perc_75) * (2/3), converted_stat, '2K_Ratings'!R672, IF(bbgm_stat &gt;= perc_95, converted_stat * 3, IF(bbgm_stat &gt;= perc_90, converted_stat * 2, IF(bbgm_stat &gt;= perc_85, converted_stat * 1.5, converted_stat)))))</f>
        <v/>
      </c>
      <c r="S672" s="30" t="str">
        <f t="array" ref="S672">IF($A672="", "", LET(bbgm_stat, INDEX(Players!$A671:$P671, MATCH(S$2, Players!$A$1:$P$1, 0)), perc_75, VLOOKUP(S$2, Percentiles!$A$45:$I$59, 6, FALSE), perc_90, VLOOKUP(S$2, Percentiles!$A$45:$I$59, 7, FALSE), perc_95, VLOOKUP(S$2, Percentiles!$A$45:$I$59, 8, FALSE), perc_85, perc_75 + (perc_90 - perc_75) * (2/3), converted_stat, '2K_Ratings'!S672, IF(bbgm_stat &gt;= perc_95, converted_stat * 3, IF(bbgm_stat &gt;= perc_90, converted_stat * 2, IF(bbgm_stat &gt;= perc_85, converted_stat * 1.5, converted_stat)))))</f>
        <v/>
      </c>
      <c r="T672" s="30" t="str">
        <f t="array" ref="T672">IF($A672="", "", LET(bbgm_stat, INDEX(Players!$A671:$P671, MATCH(T$2, Players!$A$1:$P$1, 0)), perc_75, VLOOKUP(T$2, Percentiles!$A$45:$I$59, 6, FALSE), perc_90, VLOOKUP(T$2, Percentiles!$A$45:$I$59, 7, FALSE), perc_95, VLOOKUP(T$2, Percentiles!$A$45:$I$59, 8, FALSE), perc_85, perc_75 + (perc_90 - perc_75) * (2/3), converted_stat, '2K_Ratings'!T672, IF(bbgm_stat &gt;= perc_95, converted_stat * 3, IF(bbgm_stat &gt;= perc_90, converted_stat * 2, IF(bbgm_stat &gt;= perc_85, converted_stat * 1.5, converted_stat)))))</f>
        <v/>
      </c>
      <c r="U672" s="30" t="str">
        <f t="array" ref="U672">IF($A672="", "", LET(bbgm_stat, INDEX(Players!$A671:$P671, MATCH(U$2, Players!$A$1:$P$1, 0)), perc_75, VLOOKUP(U$2, Percentiles!$A$45:$I$59, 6, FALSE), perc_90, VLOOKUP(U$2, Percentiles!$A$45:$I$59, 7, FALSE), perc_95, VLOOKUP(U$2, Percentiles!$A$45:$I$59, 8, FALSE), perc_85, perc_75 + (perc_90 - perc_75) * (2/3), converted_stat, '2K_Ratings'!U672, IF(bbgm_stat &gt;= perc_95, converted_stat * 3, IF(bbgm_stat &gt;= perc_90, converted_stat * 2, IF(bbgm_stat &gt;= perc_85, converted_stat * 1.5, converted_stat)))))</f>
        <v/>
      </c>
      <c r="V672" s="30" t="str">
        <f t="array" ref="V672">IF($A672="", "", LET(bbgm_stat, INDEX(Players!$A671:$P671, MATCH(V$2, Players!$A$1:$P$1, 0)), perc_75, VLOOKUP(V$2, Percentiles!$A$45:$I$59, 6, FALSE), perc_90, VLOOKUP(V$2, Percentiles!$A$45:$I$59, 7, FALSE), perc_95, VLOOKUP(V$2, Percentiles!$A$45:$I$59, 8, FALSE), perc_85, perc_75 + (perc_90 - perc_75) * (2/3), converted_stat, '2K_Ratings'!V672, IF(bbgm_stat &gt;= perc_95, converted_stat * 3, IF(bbgm_stat &gt;= perc_90, converted_stat * 2, IF(bbgm_stat &gt;= perc_85, converted_stat * 1.5, converted_stat)))))</f>
        <v/>
      </c>
      <c r="W672" s="30" t="str">
        <f t="array" ref="W672">IF($A672="", "", LET(bbgm_stat, INDEX(Players!$A671:$P671, MATCH(W$2, Players!$A$1:$P$1, 0)), perc_75, VLOOKUP(W$2, Percentiles!$A$45:$I$59, 6, FALSE), perc_90, VLOOKUP(W$2, Percentiles!$A$45:$I$59, 7, FALSE), perc_95, VLOOKUP(W$2, Percentiles!$A$45:$I$59, 8, FALSE), perc_85, perc_75 + (perc_90 - perc_75) * (2/3), converted_stat, '2K_Ratings'!W672, IF(bbgm_stat &gt;= perc_95, converted_stat * 3, IF(bbgm_stat &gt;= perc_90, converted_stat * 2, IF(bbgm_stat &gt;= perc_85, converted_stat * 1.5, converted_stat)))))</f>
        <v/>
      </c>
    </row>
    <row r="673">
      <c r="A673" s="30"/>
      <c r="B673" s="30" t="str">
        <f t="array" ref="B673">IF($A673="", "", LET(bbgm_stat, INDEX(Players!$A672:$P672, MATCH(B$2, Players!$A$1:$P$1, 0)), perc_75, VLOOKUP(B$2, Percentiles!$A$45:$I$59, 6, FALSE), perc_90, VLOOKUP(B$2, Percentiles!$A$45:$I$59, 7, FALSE), perc_95, VLOOKUP(B$2, Percentiles!$A$45:$I$59, 8, FALSE), perc_85, perc_75 + (perc_90 - perc_75) * (2/3), converted_stat, '2K_Ratings'!B673, IF(bbgm_stat &gt;= perc_95, converted_stat * 3, IF(bbgm_stat &gt;= perc_90, converted_stat * 2, IF(bbgm_stat &gt;= perc_85, converted_stat * 1.5, converted_stat)))))</f>
        <v/>
      </c>
      <c r="C673" s="30" t="str">
        <f t="array" ref="C673">IF($A673="", "", LET(bbgm_stat, INDEX(Players!$A672:$P672, MATCH(C$2, Players!$A$1:$P$1, 0)), perc_75, VLOOKUP(C$2, Percentiles!$A$45:$I$59, 6, FALSE), perc_90, VLOOKUP(C$2, Percentiles!$A$45:$I$59, 7, FALSE), perc_95, VLOOKUP(C$2, Percentiles!$A$45:$I$59, 8, FALSE), perc_85, perc_75 + (perc_90 - perc_75) * (2/3), converted_stat, '2K_Ratings'!C673, IF(bbgm_stat &gt;= perc_95, converted_stat * 3, IF(bbgm_stat &gt;= perc_90, converted_stat * 2, IF(bbgm_stat &gt;= perc_85, converted_stat * 1.5, converted_stat)))))</f>
        <v/>
      </c>
      <c r="D673" s="30" t="str">
        <f t="array" ref="D673">IF($A673="", "", LET(bbgm_stat, INDEX(Players!$A672:$P672, MATCH(D$2, Players!$A$1:$P$1, 0)), perc_75, VLOOKUP(D$2, Percentiles!$A$45:$I$59, 6, FALSE), perc_90, VLOOKUP(D$2, Percentiles!$A$45:$I$59, 7, FALSE), perc_95, VLOOKUP(D$2, Percentiles!$A$45:$I$59, 8, FALSE), perc_85, perc_75 + (perc_90 - perc_75) * (2/3), converted_stat, '2K_Ratings'!D673, IF(bbgm_stat &gt;= perc_95, converted_stat * 3, IF(bbgm_stat &gt;= perc_90, converted_stat * 2, IF(bbgm_stat &gt;= perc_85, converted_stat * 1.5, converted_stat)))))</f>
        <v/>
      </c>
      <c r="E673" s="30" t="str">
        <f t="array" ref="E673">IF($A673="", "", LET(bbgm_stat, INDEX(Players!$A672:$P672, MATCH(E$2, Players!$A$1:$P$1, 0)), perc_75, VLOOKUP(E$2, Percentiles!$A$45:$I$59, 6, FALSE), perc_90, VLOOKUP(E$2, Percentiles!$A$45:$I$59, 7, FALSE), perc_95, VLOOKUP(E$2, Percentiles!$A$45:$I$59, 8, FALSE), perc_85, perc_75 + (perc_90 - perc_75) * (2/3), converted_stat, '2K_Ratings'!E673, IF(bbgm_stat &gt;= perc_95, converted_stat * 3, IF(bbgm_stat &gt;= perc_90, converted_stat * 2, IF(bbgm_stat &gt;= perc_85, converted_stat * 1.5, converted_stat)))))</f>
        <v/>
      </c>
      <c r="F673" s="30" t="str">
        <f t="array" ref="F673">IF($A673="", "", LET(bbgm_stat, INDEX(Players!$A672:$P672, MATCH(F$2, Players!$A$1:$P$1, 0)), perc_75, VLOOKUP(F$2, Percentiles!$A$45:$I$59, 6, FALSE), perc_90, VLOOKUP(F$2, Percentiles!$A$45:$I$59, 7, FALSE), perc_95, VLOOKUP(F$2, Percentiles!$A$45:$I$59, 8, FALSE), perc_85, perc_75 + (perc_90 - perc_75) * (2/3), converted_stat, '2K_Ratings'!F673, IF(bbgm_stat &gt;= perc_95, converted_stat * 3, IF(bbgm_stat &gt;= perc_90, converted_stat * 2, IF(bbgm_stat &gt;= perc_85, converted_stat * 1.5, converted_stat)))))</f>
        <v/>
      </c>
      <c r="G673" s="30" t="str">
        <f t="array" ref="G673">IF($A673="", "", LET(bbgm_stat, INDEX(Players!$A672:$P672, MATCH(G$2, Players!$A$1:$P$1, 0)), perc_75, VLOOKUP(G$2, Percentiles!$A$45:$I$59, 6, FALSE), perc_90, VLOOKUP(G$2, Percentiles!$A$45:$I$59, 7, FALSE), perc_95, VLOOKUP(G$2, Percentiles!$A$45:$I$59, 8, FALSE), perc_85, perc_75 + (perc_90 - perc_75) * (2/3), converted_stat, '2K_Ratings'!G673, IF(bbgm_stat &gt;= perc_95, converted_stat * 3, IF(bbgm_stat &gt;= perc_90, converted_stat * 2, IF(bbgm_stat &gt;= perc_85, converted_stat * 1.5, converted_stat)))))</f>
        <v/>
      </c>
      <c r="H673" s="30" t="str">
        <f t="array" ref="H673">IF($A673="", "", LET(bbgm_stat, INDEX(Players!$A672:$P672, MATCH(H$2, Players!$A$1:$P$1, 0)), perc_75, VLOOKUP(H$2, Percentiles!$A$45:$I$59, 6, FALSE), perc_90, VLOOKUP(H$2, Percentiles!$A$45:$I$59, 7, FALSE), perc_95, VLOOKUP(H$2, Percentiles!$A$45:$I$59, 8, FALSE), perc_85, perc_75 + (perc_90 - perc_75) * (2/3), converted_stat, '2K_Ratings'!H673, IF(bbgm_stat &gt;= perc_95, converted_stat * 3, IF(bbgm_stat &gt;= perc_90, converted_stat * 2, IF(bbgm_stat &gt;= perc_85, converted_stat * 1.5, converted_stat)))))</f>
        <v/>
      </c>
      <c r="I673" s="30" t="str">
        <f t="array" ref="I673">IF($A673="", "", LET(bbgm_stat, INDEX(Players!$A672:$P672, MATCH(I$2, Players!$A$1:$P$1, 0)), perc_75, VLOOKUP(I$2, Percentiles!$A$45:$I$59, 6, FALSE), perc_90, VLOOKUP(I$2, Percentiles!$A$45:$I$59, 7, FALSE), perc_95, VLOOKUP(I$2, Percentiles!$A$45:$I$59, 8, FALSE), perc_85, perc_75 + (perc_90 - perc_75) * (2/3), converted_stat, '2K_Ratings'!I673, IF(bbgm_stat &gt;= perc_95, converted_stat * 3, IF(bbgm_stat &gt;= perc_90, converted_stat * 2, IF(bbgm_stat &gt;= perc_85, converted_stat * 1.5, converted_stat)))))</f>
        <v/>
      </c>
      <c r="J673" s="30" t="str">
        <f t="array" ref="J673">IF($A673="", "", LET(bbgm_stat, INDEX(Players!$A672:$P672, MATCH(J$2, Players!$A$1:$P$1, 0)), perc_75, VLOOKUP(J$2, Percentiles!$A$45:$I$59, 6, FALSE), perc_90, VLOOKUP(J$2, Percentiles!$A$45:$I$59, 7, FALSE), perc_95, VLOOKUP(J$2, Percentiles!$A$45:$I$59, 8, FALSE), perc_85, perc_75 + (perc_90 - perc_75) * (2/3), converted_stat, '2K_Ratings'!J673, IF(bbgm_stat &gt;= perc_95, converted_stat * 3, IF(bbgm_stat &gt;= perc_90, converted_stat * 2, IF(bbgm_stat &gt;= perc_85, converted_stat * 1.5, converted_stat)))))</f>
        <v/>
      </c>
      <c r="K673" s="30" t="str">
        <f t="array" ref="K673">IF($A673="", "", LET(bbgm_stat, INDEX(Players!$A672:$P672, MATCH(K$2, Players!$A$1:$P$1, 0)), perc_75, VLOOKUP(K$2, Percentiles!$A$45:$I$59, 6, FALSE), perc_90, VLOOKUP(K$2, Percentiles!$A$45:$I$59, 7, FALSE), perc_95, VLOOKUP(K$2, Percentiles!$A$45:$I$59, 8, FALSE), perc_85, perc_75 + (perc_90 - perc_75) * (2/3), converted_stat, '2K_Ratings'!K673, IF(bbgm_stat &gt;= perc_95, converted_stat * 3, IF(bbgm_stat &gt;= perc_90, converted_stat * 2, IF(bbgm_stat &gt;= perc_85, converted_stat * 1.5, converted_stat)))))</f>
        <v/>
      </c>
      <c r="L673" s="30" t="str">
        <f t="array" ref="L673">IF($A673="", "", LET(bbgm_stat, INDEX(Players!$A672:$P672, MATCH(L$2, Players!$A$1:$P$1, 0)), perc_75, VLOOKUP(L$2, Percentiles!$A$45:$I$59, 6, FALSE), perc_90, VLOOKUP(L$2, Percentiles!$A$45:$I$59, 7, FALSE), perc_95, VLOOKUP(L$2, Percentiles!$A$45:$I$59, 8, FALSE), perc_85, perc_75 + (perc_90 - perc_75) * (2/3), converted_stat, '2K_Ratings'!L673, IF(bbgm_stat &gt;= perc_95, converted_stat * 3, IF(bbgm_stat &gt;= perc_90, converted_stat * 2, IF(bbgm_stat &gt;= perc_85, converted_stat * 1.5, converted_stat)))))</f>
        <v/>
      </c>
      <c r="M673" s="30" t="str">
        <f t="array" ref="M673">IF($A673="", "", LET(bbgm_stat, INDEX(Players!$A672:$P672, MATCH(M$2, Players!$A$1:$P$1, 0)), perc_75, VLOOKUP(M$2, Percentiles!$A$45:$I$59, 6, FALSE), perc_90, VLOOKUP(M$2, Percentiles!$A$45:$I$59, 7, FALSE), perc_95, VLOOKUP(M$2, Percentiles!$A$45:$I$59, 8, FALSE), perc_85, perc_75 + (perc_90 - perc_75) * (2/3), converted_stat, '2K_Ratings'!M673, IF(bbgm_stat &gt;= perc_95, converted_stat * 3, IF(bbgm_stat &gt;= perc_90, converted_stat * 2, IF(bbgm_stat &gt;= perc_85, converted_stat * 1.5, converted_stat)))))</f>
        <v/>
      </c>
      <c r="N673" s="30" t="str">
        <f t="array" ref="N673">IF($A673="", "", LET(bbgm_stat, INDEX(Players!$A672:$P672, MATCH(N$2, Players!$A$1:$P$1, 0)), perc_75, VLOOKUP(N$2, Percentiles!$A$45:$I$59, 6, FALSE), perc_90, VLOOKUP(N$2, Percentiles!$A$45:$I$59, 7, FALSE), perc_95, VLOOKUP(N$2, Percentiles!$A$45:$I$59, 8, FALSE), perc_85, perc_75 + (perc_90 - perc_75) * (2/3), converted_stat, '2K_Ratings'!N673, IF(bbgm_stat &gt;= perc_95, converted_stat * 3, IF(bbgm_stat &gt;= perc_90, converted_stat * 2, IF(bbgm_stat &gt;= perc_85, converted_stat * 1.5, converted_stat)))))</f>
        <v/>
      </c>
      <c r="O673" s="30" t="str">
        <f t="array" ref="O673">IF($A673="", "", LET(bbgm_stat, INDEX(Players!$A672:$P672, MATCH(O$2, Players!$A$1:$P$1, 0)), perc_75, VLOOKUP(O$2, Percentiles!$A$45:$I$59, 6, FALSE), perc_90, VLOOKUP(O$2, Percentiles!$A$45:$I$59, 7, FALSE), perc_95, VLOOKUP(O$2, Percentiles!$A$45:$I$59, 8, FALSE), perc_85, perc_75 + (perc_90 - perc_75) * (2/3), converted_stat, '2K_Ratings'!O673, IF(bbgm_stat &gt;= perc_95, converted_stat * 3, IF(bbgm_stat &gt;= perc_90, converted_stat * 2, IF(bbgm_stat &gt;= perc_85, converted_stat * 1.5, converted_stat)))))</f>
        <v/>
      </c>
      <c r="P673" s="30" t="str">
        <f t="array" ref="P673">IF($A673="", "", LET(bbgm_stat, INDEX(Players!$A672:$P672, MATCH(P$2, Players!$A$1:$P$1, 0)), perc_75, VLOOKUP(P$2, Percentiles!$A$45:$I$59, 6, FALSE), perc_90, VLOOKUP(P$2, Percentiles!$A$45:$I$59, 7, FALSE), perc_95, VLOOKUP(P$2, Percentiles!$A$45:$I$59, 8, FALSE), perc_85, perc_75 + (perc_90 - perc_75) * (2/3), converted_stat, '2K_Ratings'!P673, IF(bbgm_stat &gt;= perc_95, converted_stat * 3, IF(bbgm_stat &gt;= perc_90, converted_stat * 2, IF(bbgm_stat &gt;= perc_85, converted_stat * 1.5, converted_stat)))))</f>
        <v/>
      </c>
      <c r="Q673" s="30" t="str">
        <f t="array" ref="Q673">IF($A673="", "", LET(bbgm_stat, INDEX(Players!$A672:$P672, MATCH(Q$2, Players!$A$1:$P$1, 0)), perc_75, VLOOKUP(Q$2, Percentiles!$A$45:$I$59, 6, FALSE), perc_90, VLOOKUP(Q$2, Percentiles!$A$45:$I$59, 7, FALSE), perc_95, VLOOKUP(Q$2, Percentiles!$A$45:$I$59, 8, FALSE), perc_85, perc_75 + (perc_90 - perc_75) * (2/3), converted_stat, '2K_Ratings'!Q673, IF(bbgm_stat &gt;= perc_95, converted_stat * 3, IF(bbgm_stat &gt;= perc_90, converted_stat * 2, IF(bbgm_stat &gt;= perc_85, converted_stat * 1.5, converted_stat)))))</f>
        <v/>
      </c>
      <c r="R673" s="30" t="str">
        <f t="array" ref="R673">IF($A673="", "", LET(bbgm_stat, INDEX(Players!$A672:$P672, MATCH(R$2, Players!$A$1:$P$1, 0)), perc_75, VLOOKUP(R$2, Percentiles!$A$45:$I$59, 6, FALSE), perc_90, VLOOKUP(R$2, Percentiles!$A$45:$I$59, 7, FALSE), perc_95, VLOOKUP(R$2, Percentiles!$A$45:$I$59, 8, FALSE), perc_85, perc_75 + (perc_90 - perc_75) * (2/3), converted_stat, '2K_Ratings'!R673, IF(bbgm_stat &gt;= perc_95, converted_stat * 3, IF(bbgm_stat &gt;= perc_90, converted_stat * 2, IF(bbgm_stat &gt;= perc_85, converted_stat * 1.5, converted_stat)))))</f>
        <v/>
      </c>
      <c r="S673" s="30" t="str">
        <f t="array" ref="S673">IF($A673="", "", LET(bbgm_stat, INDEX(Players!$A672:$P672, MATCH(S$2, Players!$A$1:$P$1, 0)), perc_75, VLOOKUP(S$2, Percentiles!$A$45:$I$59, 6, FALSE), perc_90, VLOOKUP(S$2, Percentiles!$A$45:$I$59, 7, FALSE), perc_95, VLOOKUP(S$2, Percentiles!$A$45:$I$59, 8, FALSE), perc_85, perc_75 + (perc_90 - perc_75) * (2/3), converted_stat, '2K_Ratings'!S673, IF(bbgm_stat &gt;= perc_95, converted_stat * 3, IF(bbgm_stat &gt;= perc_90, converted_stat * 2, IF(bbgm_stat &gt;= perc_85, converted_stat * 1.5, converted_stat)))))</f>
        <v/>
      </c>
      <c r="T673" s="30" t="str">
        <f t="array" ref="T673">IF($A673="", "", LET(bbgm_stat, INDEX(Players!$A672:$P672, MATCH(T$2, Players!$A$1:$P$1, 0)), perc_75, VLOOKUP(T$2, Percentiles!$A$45:$I$59, 6, FALSE), perc_90, VLOOKUP(T$2, Percentiles!$A$45:$I$59, 7, FALSE), perc_95, VLOOKUP(T$2, Percentiles!$A$45:$I$59, 8, FALSE), perc_85, perc_75 + (perc_90 - perc_75) * (2/3), converted_stat, '2K_Ratings'!T673, IF(bbgm_stat &gt;= perc_95, converted_stat * 3, IF(bbgm_stat &gt;= perc_90, converted_stat * 2, IF(bbgm_stat &gt;= perc_85, converted_stat * 1.5, converted_stat)))))</f>
        <v/>
      </c>
      <c r="U673" s="30" t="str">
        <f t="array" ref="U673">IF($A673="", "", LET(bbgm_stat, INDEX(Players!$A672:$P672, MATCH(U$2, Players!$A$1:$P$1, 0)), perc_75, VLOOKUP(U$2, Percentiles!$A$45:$I$59, 6, FALSE), perc_90, VLOOKUP(U$2, Percentiles!$A$45:$I$59, 7, FALSE), perc_95, VLOOKUP(U$2, Percentiles!$A$45:$I$59, 8, FALSE), perc_85, perc_75 + (perc_90 - perc_75) * (2/3), converted_stat, '2K_Ratings'!U673, IF(bbgm_stat &gt;= perc_95, converted_stat * 3, IF(bbgm_stat &gt;= perc_90, converted_stat * 2, IF(bbgm_stat &gt;= perc_85, converted_stat * 1.5, converted_stat)))))</f>
        <v/>
      </c>
      <c r="V673" s="30" t="str">
        <f t="array" ref="V673">IF($A673="", "", LET(bbgm_stat, INDEX(Players!$A672:$P672, MATCH(V$2, Players!$A$1:$P$1, 0)), perc_75, VLOOKUP(V$2, Percentiles!$A$45:$I$59, 6, FALSE), perc_90, VLOOKUP(V$2, Percentiles!$A$45:$I$59, 7, FALSE), perc_95, VLOOKUP(V$2, Percentiles!$A$45:$I$59, 8, FALSE), perc_85, perc_75 + (perc_90 - perc_75) * (2/3), converted_stat, '2K_Ratings'!V673, IF(bbgm_stat &gt;= perc_95, converted_stat * 3, IF(bbgm_stat &gt;= perc_90, converted_stat * 2, IF(bbgm_stat &gt;= perc_85, converted_stat * 1.5, converted_stat)))))</f>
        <v/>
      </c>
      <c r="W673" s="30" t="str">
        <f t="array" ref="W673">IF($A673="", "", LET(bbgm_stat, INDEX(Players!$A672:$P672, MATCH(W$2, Players!$A$1:$P$1, 0)), perc_75, VLOOKUP(W$2, Percentiles!$A$45:$I$59, 6, FALSE), perc_90, VLOOKUP(W$2, Percentiles!$A$45:$I$59, 7, FALSE), perc_95, VLOOKUP(W$2, Percentiles!$A$45:$I$59, 8, FALSE), perc_85, perc_75 + (perc_90 - perc_75) * (2/3), converted_stat, '2K_Ratings'!W673, IF(bbgm_stat &gt;= perc_95, converted_stat * 3, IF(bbgm_stat &gt;= perc_90, converted_stat * 2, IF(bbgm_stat &gt;= perc_85, converted_stat * 1.5, converted_stat)))))</f>
        <v/>
      </c>
    </row>
    <row r="674">
      <c r="A674" s="30"/>
      <c r="B674" s="30" t="str">
        <f t="array" ref="B674">IF($A674="", "", LET(bbgm_stat, INDEX(Players!$A673:$P673, MATCH(B$2, Players!$A$1:$P$1, 0)), perc_75, VLOOKUP(B$2, Percentiles!$A$45:$I$59, 6, FALSE), perc_90, VLOOKUP(B$2, Percentiles!$A$45:$I$59, 7, FALSE), perc_95, VLOOKUP(B$2, Percentiles!$A$45:$I$59, 8, FALSE), perc_85, perc_75 + (perc_90 - perc_75) * (2/3), converted_stat, '2K_Ratings'!B674, IF(bbgm_stat &gt;= perc_95, converted_stat * 3, IF(bbgm_stat &gt;= perc_90, converted_stat * 2, IF(bbgm_stat &gt;= perc_85, converted_stat * 1.5, converted_stat)))))</f>
        <v/>
      </c>
      <c r="C674" s="30" t="str">
        <f t="array" ref="C674">IF($A674="", "", LET(bbgm_stat, INDEX(Players!$A673:$P673, MATCH(C$2, Players!$A$1:$P$1, 0)), perc_75, VLOOKUP(C$2, Percentiles!$A$45:$I$59, 6, FALSE), perc_90, VLOOKUP(C$2, Percentiles!$A$45:$I$59, 7, FALSE), perc_95, VLOOKUP(C$2, Percentiles!$A$45:$I$59, 8, FALSE), perc_85, perc_75 + (perc_90 - perc_75) * (2/3), converted_stat, '2K_Ratings'!C674, IF(bbgm_stat &gt;= perc_95, converted_stat * 3, IF(bbgm_stat &gt;= perc_90, converted_stat * 2, IF(bbgm_stat &gt;= perc_85, converted_stat * 1.5, converted_stat)))))</f>
        <v/>
      </c>
      <c r="D674" s="30" t="str">
        <f t="array" ref="D674">IF($A674="", "", LET(bbgm_stat, INDEX(Players!$A673:$P673, MATCH(D$2, Players!$A$1:$P$1, 0)), perc_75, VLOOKUP(D$2, Percentiles!$A$45:$I$59, 6, FALSE), perc_90, VLOOKUP(D$2, Percentiles!$A$45:$I$59, 7, FALSE), perc_95, VLOOKUP(D$2, Percentiles!$A$45:$I$59, 8, FALSE), perc_85, perc_75 + (perc_90 - perc_75) * (2/3), converted_stat, '2K_Ratings'!D674, IF(bbgm_stat &gt;= perc_95, converted_stat * 3, IF(bbgm_stat &gt;= perc_90, converted_stat * 2, IF(bbgm_stat &gt;= perc_85, converted_stat * 1.5, converted_stat)))))</f>
        <v/>
      </c>
      <c r="E674" s="30" t="str">
        <f t="array" ref="E674">IF($A674="", "", LET(bbgm_stat, INDEX(Players!$A673:$P673, MATCH(E$2, Players!$A$1:$P$1, 0)), perc_75, VLOOKUP(E$2, Percentiles!$A$45:$I$59, 6, FALSE), perc_90, VLOOKUP(E$2, Percentiles!$A$45:$I$59, 7, FALSE), perc_95, VLOOKUP(E$2, Percentiles!$A$45:$I$59, 8, FALSE), perc_85, perc_75 + (perc_90 - perc_75) * (2/3), converted_stat, '2K_Ratings'!E674, IF(bbgm_stat &gt;= perc_95, converted_stat * 3, IF(bbgm_stat &gt;= perc_90, converted_stat * 2, IF(bbgm_stat &gt;= perc_85, converted_stat * 1.5, converted_stat)))))</f>
        <v/>
      </c>
      <c r="F674" s="30" t="str">
        <f t="array" ref="F674">IF($A674="", "", LET(bbgm_stat, INDEX(Players!$A673:$P673, MATCH(F$2, Players!$A$1:$P$1, 0)), perc_75, VLOOKUP(F$2, Percentiles!$A$45:$I$59, 6, FALSE), perc_90, VLOOKUP(F$2, Percentiles!$A$45:$I$59, 7, FALSE), perc_95, VLOOKUP(F$2, Percentiles!$A$45:$I$59, 8, FALSE), perc_85, perc_75 + (perc_90 - perc_75) * (2/3), converted_stat, '2K_Ratings'!F674, IF(bbgm_stat &gt;= perc_95, converted_stat * 3, IF(bbgm_stat &gt;= perc_90, converted_stat * 2, IF(bbgm_stat &gt;= perc_85, converted_stat * 1.5, converted_stat)))))</f>
        <v/>
      </c>
      <c r="G674" s="30" t="str">
        <f t="array" ref="G674">IF($A674="", "", LET(bbgm_stat, INDEX(Players!$A673:$P673, MATCH(G$2, Players!$A$1:$P$1, 0)), perc_75, VLOOKUP(G$2, Percentiles!$A$45:$I$59, 6, FALSE), perc_90, VLOOKUP(G$2, Percentiles!$A$45:$I$59, 7, FALSE), perc_95, VLOOKUP(G$2, Percentiles!$A$45:$I$59, 8, FALSE), perc_85, perc_75 + (perc_90 - perc_75) * (2/3), converted_stat, '2K_Ratings'!G674, IF(bbgm_stat &gt;= perc_95, converted_stat * 3, IF(bbgm_stat &gt;= perc_90, converted_stat * 2, IF(bbgm_stat &gt;= perc_85, converted_stat * 1.5, converted_stat)))))</f>
        <v/>
      </c>
      <c r="H674" s="30" t="str">
        <f t="array" ref="H674">IF($A674="", "", LET(bbgm_stat, INDEX(Players!$A673:$P673, MATCH(H$2, Players!$A$1:$P$1, 0)), perc_75, VLOOKUP(H$2, Percentiles!$A$45:$I$59, 6, FALSE), perc_90, VLOOKUP(H$2, Percentiles!$A$45:$I$59, 7, FALSE), perc_95, VLOOKUP(H$2, Percentiles!$A$45:$I$59, 8, FALSE), perc_85, perc_75 + (perc_90 - perc_75) * (2/3), converted_stat, '2K_Ratings'!H674, IF(bbgm_stat &gt;= perc_95, converted_stat * 3, IF(bbgm_stat &gt;= perc_90, converted_stat * 2, IF(bbgm_stat &gt;= perc_85, converted_stat * 1.5, converted_stat)))))</f>
        <v/>
      </c>
      <c r="I674" s="30" t="str">
        <f t="array" ref="I674">IF($A674="", "", LET(bbgm_stat, INDEX(Players!$A673:$P673, MATCH(I$2, Players!$A$1:$P$1, 0)), perc_75, VLOOKUP(I$2, Percentiles!$A$45:$I$59, 6, FALSE), perc_90, VLOOKUP(I$2, Percentiles!$A$45:$I$59, 7, FALSE), perc_95, VLOOKUP(I$2, Percentiles!$A$45:$I$59, 8, FALSE), perc_85, perc_75 + (perc_90 - perc_75) * (2/3), converted_stat, '2K_Ratings'!I674, IF(bbgm_stat &gt;= perc_95, converted_stat * 3, IF(bbgm_stat &gt;= perc_90, converted_stat * 2, IF(bbgm_stat &gt;= perc_85, converted_stat * 1.5, converted_stat)))))</f>
        <v/>
      </c>
      <c r="J674" s="30" t="str">
        <f t="array" ref="J674">IF($A674="", "", LET(bbgm_stat, INDEX(Players!$A673:$P673, MATCH(J$2, Players!$A$1:$P$1, 0)), perc_75, VLOOKUP(J$2, Percentiles!$A$45:$I$59, 6, FALSE), perc_90, VLOOKUP(J$2, Percentiles!$A$45:$I$59, 7, FALSE), perc_95, VLOOKUP(J$2, Percentiles!$A$45:$I$59, 8, FALSE), perc_85, perc_75 + (perc_90 - perc_75) * (2/3), converted_stat, '2K_Ratings'!J674, IF(bbgm_stat &gt;= perc_95, converted_stat * 3, IF(bbgm_stat &gt;= perc_90, converted_stat * 2, IF(bbgm_stat &gt;= perc_85, converted_stat * 1.5, converted_stat)))))</f>
        <v/>
      </c>
      <c r="K674" s="30" t="str">
        <f t="array" ref="K674">IF($A674="", "", LET(bbgm_stat, INDEX(Players!$A673:$P673, MATCH(K$2, Players!$A$1:$P$1, 0)), perc_75, VLOOKUP(K$2, Percentiles!$A$45:$I$59, 6, FALSE), perc_90, VLOOKUP(K$2, Percentiles!$A$45:$I$59, 7, FALSE), perc_95, VLOOKUP(K$2, Percentiles!$A$45:$I$59, 8, FALSE), perc_85, perc_75 + (perc_90 - perc_75) * (2/3), converted_stat, '2K_Ratings'!K674, IF(bbgm_stat &gt;= perc_95, converted_stat * 3, IF(bbgm_stat &gt;= perc_90, converted_stat * 2, IF(bbgm_stat &gt;= perc_85, converted_stat * 1.5, converted_stat)))))</f>
        <v/>
      </c>
      <c r="L674" s="30" t="str">
        <f t="array" ref="L674">IF($A674="", "", LET(bbgm_stat, INDEX(Players!$A673:$P673, MATCH(L$2, Players!$A$1:$P$1, 0)), perc_75, VLOOKUP(L$2, Percentiles!$A$45:$I$59, 6, FALSE), perc_90, VLOOKUP(L$2, Percentiles!$A$45:$I$59, 7, FALSE), perc_95, VLOOKUP(L$2, Percentiles!$A$45:$I$59, 8, FALSE), perc_85, perc_75 + (perc_90 - perc_75) * (2/3), converted_stat, '2K_Ratings'!L674, IF(bbgm_stat &gt;= perc_95, converted_stat * 3, IF(bbgm_stat &gt;= perc_90, converted_stat * 2, IF(bbgm_stat &gt;= perc_85, converted_stat * 1.5, converted_stat)))))</f>
        <v/>
      </c>
      <c r="M674" s="30" t="str">
        <f t="array" ref="M674">IF($A674="", "", LET(bbgm_stat, INDEX(Players!$A673:$P673, MATCH(M$2, Players!$A$1:$P$1, 0)), perc_75, VLOOKUP(M$2, Percentiles!$A$45:$I$59, 6, FALSE), perc_90, VLOOKUP(M$2, Percentiles!$A$45:$I$59, 7, FALSE), perc_95, VLOOKUP(M$2, Percentiles!$A$45:$I$59, 8, FALSE), perc_85, perc_75 + (perc_90 - perc_75) * (2/3), converted_stat, '2K_Ratings'!M674, IF(bbgm_stat &gt;= perc_95, converted_stat * 3, IF(bbgm_stat &gt;= perc_90, converted_stat * 2, IF(bbgm_stat &gt;= perc_85, converted_stat * 1.5, converted_stat)))))</f>
        <v/>
      </c>
      <c r="N674" s="30" t="str">
        <f t="array" ref="N674">IF($A674="", "", LET(bbgm_stat, INDEX(Players!$A673:$P673, MATCH(N$2, Players!$A$1:$P$1, 0)), perc_75, VLOOKUP(N$2, Percentiles!$A$45:$I$59, 6, FALSE), perc_90, VLOOKUP(N$2, Percentiles!$A$45:$I$59, 7, FALSE), perc_95, VLOOKUP(N$2, Percentiles!$A$45:$I$59, 8, FALSE), perc_85, perc_75 + (perc_90 - perc_75) * (2/3), converted_stat, '2K_Ratings'!N674, IF(bbgm_stat &gt;= perc_95, converted_stat * 3, IF(bbgm_stat &gt;= perc_90, converted_stat * 2, IF(bbgm_stat &gt;= perc_85, converted_stat * 1.5, converted_stat)))))</f>
        <v/>
      </c>
      <c r="O674" s="30" t="str">
        <f t="array" ref="O674">IF($A674="", "", LET(bbgm_stat, INDEX(Players!$A673:$P673, MATCH(O$2, Players!$A$1:$P$1, 0)), perc_75, VLOOKUP(O$2, Percentiles!$A$45:$I$59, 6, FALSE), perc_90, VLOOKUP(O$2, Percentiles!$A$45:$I$59, 7, FALSE), perc_95, VLOOKUP(O$2, Percentiles!$A$45:$I$59, 8, FALSE), perc_85, perc_75 + (perc_90 - perc_75) * (2/3), converted_stat, '2K_Ratings'!O674, IF(bbgm_stat &gt;= perc_95, converted_stat * 3, IF(bbgm_stat &gt;= perc_90, converted_stat * 2, IF(bbgm_stat &gt;= perc_85, converted_stat * 1.5, converted_stat)))))</f>
        <v/>
      </c>
      <c r="P674" s="30" t="str">
        <f t="array" ref="P674">IF($A674="", "", LET(bbgm_stat, INDEX(Players!$A673:$P673, MATCH(P$2, Players!$A$1:$P$1, 0)), perc_75, VLOOKUP(P$2, Percentiles!$A$45:$I$59, 6, FALSE), perc_90, VLOOKUP(P$2, Percentiles!$A$45:$I$59, 7, FALSE), perc_95, VLOOKUP(P$2, Percentiles!$A$45:$I$59, 8, FALSE), perc_85, perc_75 + (perc_90 - perc_75) * (2/3), converted_stat, '2K_Ratings'!P674, IF(bbgm_stat &gt;= perc_95, converted_stat * 3, IF(bbgm_stat &gt;= perc_90, converted_stat * 2, IF(bbgm_stat &gt;= perc_85, converted_stat * 1.5, converted_stat)))))</f>
        <v/>
      </c>
      <c r="Q674" s="30" t="str">
        <f t="array" ref="Q674">IF($A674="", "", LET(bbgm_stat, INDEX(Players!$A673:$P673, MATCH(Q$2, Players!$A$1:$P$1, 0)), perc_75, VLOOKUP(Q$2, Percentiles!$A$45:$I$59, 6, FALSE), perc_90, VLOOKUP(Q$2, Percentiles!$A$45:$I$59, 7, FALSE), perc_95, VLOOKUP(Q$2, Percentiles!$A$45:$I$59, 8, FALSE), perc_85, perc_75 + (perc_90 - perc_75) * (2/3), converted_stat, '2K_Ratings'!Q674, IF(bbgm_stat &gt;= perc_95, converted_stat * 3, IF(bbgm_stat &gt;= perc_90, converted_stat * 2, IF(bbgm_stat &gt;= perc_85, converted_stat * 1.5, converted_stat)))))</f>
        <v/>
      </c>
      <c r="R674" s="30" t="str">
        <f t="array" ref="R674">IF($A674="", "", LET(bbgm_stat, INDEX(Players!$A673:$P673, MATCH(R$2, Players!$A$1:$P$1, 0)), perc_75, VLOOKUP(R$2, Percentiles!$A$45:$I$59, 6, FALSE), perc_90, VLOOKUP(R$2, Percentiles!$A$45:$I$59, 7, FALSE), perc_95, VLOOKUP(R$2, Percentiles!$A$45:$I$59, 8, FALSE), perc_85, perc_75 + (perc_90 - perc_75) * (2/3), converted_stat, '2K_Ratings'!R674, IF(bbgm_stat &gt;= perc_95, converted_stat * 3, IF(bbgm_stat &gt;= perc_90, converted_stat * 2, IF(bbgm_stat &gt;= perc_85, converted_stat * 1.5, converted_stat)))))</f>
        <v/>
      </c>
      <c r="S674" s="30" t="str">
        <f t="array" ref="S674">IF($A674="", "", LET(bbgm_stat, INDEX(Players!$A673:$P673, MATCH(S$2, Players!$A$1:$P$1, 0)), perc_75, VLOOKUP(S$2, Percentiles!$A$45:$I$59, 6, FALSE), perc_90, VLOOKUP(S$2, Percentiles!$A$45:$I$59, 7, FALSE), perc_95, VLOOKUP(S$2, Percentiles!$A$45:$I$59, 8, FALSE), perc_85, perc_75 + (perc_90 - perc_75) * (2/3), converted_stat, '2K_Ratings'!S674, IF(bbgm_stat &gt;= perc_95, converted_stat * 3, IF(bbgm_stat &gt;= perc_90, converted_stat * 2, IF(bbgm_stat &gt;= perc_85, converted_stat * 1.5, converted_stat)))))</f>
        <v/>
      </c>
      <c r="T674" s="30" t="str">
        <f t="array" ref="T674">IF($A674="", "", LET(bbgm_stat, INDEX(Players!$A673:$P673, MATCH(T$2, Players!$A$1:$P$1, 0)), perc_75, VLOOKUP(T$2, Percentiles!$A$45:$I$59, 6, FALSE), perc_90, VLOOKUP(T$2, Percentiles!$A$45:$I$59, 7, FALSE), perc_95, VLOOKUP(T$2, Percentiles!$A$45:$I$59, 8, FALSE), perc_85, perc_75 + (perc_90 - perc_75) * (2/3), converted_stat, '2K_Ratings'!T674, IF(bbgm_stat &gt;= perc_95, converted_stat * 3, IF(bbgm_stat &gt;= perc_90, converted_stat * 2, IF(bbgm_stat &gt;= perc_85, converted_stat * 1.5, converted_stat)))))</f>
        <v/>
      </c>
      <c r="U674" s="30" t="str">
        <f t="array" ref="U674">IF($A674="", "", LET(bbgm_stat, INDEX(Players!$A673:$P673, MATCH(U$2, Players!$A$1:$P$1, 0)), perc_75, VLOOKUP(U$2, Percentiles!$A$45:$I$59, 6, FALSE), perc_90, VLOOKUP(U$2, Percentiles!$A$45:$I$59, 7, FALSE), perc_95, VLOOKUP(U$2, Percentiles!$A$45:$I$59, 8, FALSE), perc_85, perc_75 + (perc_90 - perc_75) * (2/3), converted_stat, '2K_Ratings'!U674, IF(bbgm_stat &gt;= perc_95, converted_stat * 3, IF(bbgm_stat &gt;= perc_90, converted_stat * 2, IF(bbgm_stat &gt;= perc_85, converted_stat * 1.5, converted_stat)))))</f>
        <v/>
      </c>
      <c r="V674" s="30" t="str">
        <f t="array" ref="V674">IF($A674="", "", LET(bbgm_stat, INDEX(Players!$A673:$P673, MATCH(V$2, Players!$A$1:$P$1, 0)), perc_75, VLOOKUP(V$2, Percentiles!$A$45:$I$59, 6, FALSE), perc_90, VLOOKUP(V$2, Percentiles!$A$45:$I$59, 7, FALSE), perc_95, VLOOKUP(V$2, Percentiles!$A$45:$I$59, 8, FALSE), perc_85, perc_75 + (perc_90 - perc_75) * (2/3), converted_stat, '2K_Ratings'!V674, IF(bbgm_stat &gt;= perc_95, converted_stat * 3, IF(bbgm_stat &gt;= perc_90, converted_stat * 2, IF(bbgm_stat &gt;= perc_85, converted_stat * 1.5, converted_stat)))))</f>
        <v/>
      </c>
      <c r="W674" s="30" t="str">
        <f t="array" ref="W674">IF($A674="", "", LET(bbgm_stat, INDEX(Players!$A673:$P673, MATCH(W$2, Players!$A$1:$P$1, 0)), perc_75, VLOOKUP(W$2, Percentiles!$A$45:$I$59, 6, FALSE), perc_90, VLOOKUP(W$2, Percentiles!$A$45:$I$59, 7, FALSE), perc_95, VLOOKUP(W$2, Percentiles!$A$45:$I$59, 8, FALSE), perc_85, perc_75 + (perc_90 - perc_75) * (2/3), converted_stat, '2K_Ratings'!W674, IF(bbgm_stat &gt;= perc_95, converted_stat * 3, IF(bbgm_stat &gt;= perc_90, converted_stat * 2, IF(bbgm_stat &gt;= perc_85, converted_stat * 1.5, converted_stat)))))</f>
        <v/>
      </c>
    </row>
    <row r="675">
      <c r="A675" s="30"/>
      <c r="B675" s="30" t="str">
        <f t="array" ref="B675">IF($A675="", "", LET(bbgm_stat, INDEX(Players!$A674:$P674, MATCH(B$2, Players!$A$1:$P$1, 0)), perc_75, VLOOKUP(B$2, Percentiles!$A$45:$I$59, 6, FALSE), perc_90, VLOOKUP(B$2, Percentiles!$A$45:$I$59, 7, FALSE), perc_95, VLOOKUP(B$2, Percentiles!$A$45:$I$59, 8, FALSE), perc_85, perc_75 + (perc_90 - perc_75) * (2/3), converted_stat, '2K_Ratings'!B675, IF(bbgm_stat &gt;= perc_95, converted_stat * 3, IF(bbgm_stat &gt;= perc_90, converted_stat * 2, IF(bbgm_stat &gt;= perc_85, converted_stat * 1.5, converted_stat)))))</f>
        <v/>
      </c>
      <c r="C675" s="30" t="str">
        <f t="array" ref="C675">IF($A675="", "", LET(bbgm_stat, INDEX(Players!$A674:$P674, MATCH(C$2, Players!$A$1:$P$1, 0)), perc_75, VLOOKUP(C$2, Percentiles!$A$45:$I$59, 6, FALSE), perc_90, VLOOKUP(C$2, Percentiles!$A$45:$I$59, 7, FALSE), perc_95, VLOOKUP(C$2, Percentiles!$A$45:$I$59, 8, FALSE), perc_85, perc_75 + (perc_90 - perc_75) * (2/3), converted_stat, '2K_Ratings'!C675, IF(bbgm_stat &gt;= perc_95, converted_stat * 3, IF(bbgm_stat &gt;= perc_90, converted_stat * 2, IF(bbgm_stat &gt;= perc_85, converted_stat * 1.5, converted_stat)))))</f>
        <v/>
      </c>
      <c r="D675" s="30" t="str">
        <f t="array" ref="D675">IF($A675="", "", LET(bbgm_stat, INDEX(Players!$A674:$P674, MATCH(D$2, Players!$A$1:$P$1, 0)), perc_75, VLOOKUP(D$2, Percentiles!$A$45:$I$59, 6, FALSE), perc_90, VLOOKUP(D$2, Percentiles!$A$45:$I$59, 7, FALSE), perc_95, VLOOKUP(D$2, Percentiles!$A$45:$I$59, 8, FALSE), perc_85, perc_75 + (perc_90 - perc_75) * (2/3), converted_stat, '2K_Ratings'!D675, IF(bbgm_stat &gt;= perc_95, converted_stat * 3, IF(bbgm_stat &gt;= perc_90, converted_stat * 2, IF(bbgm_stat &gt;= perc_85, converted_stat * 1.5, converted_stat)))))</f>
        <v/>
      </c>
      <c r="E675" s="30" t="str">
        <f t="array" ref="E675">IF($A675="", "", LET(bbgm_stat, INDEX(Players!$A674:$P674, MATCH(E$2, Players!$A$1:$P$1, 0)), perc_75, VLOOKUP(E$2, Percentiles!$A$45:$I$59, 6, FALSE), perc_90, VLOOKUP(E$2, Percentiles!$A$45:$I$59, 7, FALSE), perc_95, VLOOKUP(E$2, Percentiles!$A$45:$I$59, 8, FALSE), perc_85, perc_75 + (perc_90 - perc_75) * (2/3), converted_stat, '2K_Ratings'!E675, IF(bbgm_stat &gt;= perc_95, converted_stat * 3, IF(bbgm_stat &gt;= perc_90, converted_stat * 2, IF(bbgm_stat &gt;= perc_85, converted_stat * 1.5, converted_stat)))))</f>
        <v/>
      </c>
      <c r="F675" s="30" t="str">
        <f t="array" ref="F675">IF($A675="", "", LET(bbgm_stat, INDEX(Players!$A674:$P674, MATCH(F$2, Players!$A$1:$P$1, 0)), perc_75, VLOOKUP(F$2, Percentiles!$A$45:$I$59, 6, FALSE), perc_90, VLOOKUP(F$2, Percentiles!$A$45:$I$59, 7, FALSE), perc_95, VLOOKUP(F$2, Percentiles!$A$45:$I$59, 8, FALSE), perc_85, perc_75 + (perc_90 - perc_75) * (2/3), converted_stat, '2K_Ratings'!F675, IF(bbgm_stat &gt;= perc_95, converted_stat * 3, IF(bbgm_stat &gt;= perc_90, converted_stat * 2, IF(bbgm_stat &gt;= perc_85, converted_stat * 1.5, converted_stat)))))</f>
        <v/>
      </c>
      <c r="G675" s="30" t="str">
        <f t="array" ref="G675">IF($A675="", "", LET(bbgm_stat, INDEX(Players!$A674:$P674, MATCH(G$2, Players!$A$1:$P$1, 0)), perc_75, VLOOKUP(G$2, Percentiles!$A$45:$I$59, 6, FALSE), perc_90, VLOOKUP(G$2, Percentiles!$A$45:$I$59, 7, FALSE), perc_95, VLOOKUP(G$2, Percentiles!$A$45:$I$59, 8, FALSE), perc_85, perc_75 + (perc_90 - perc_75) * (2/3), converted_stat, '2K_Ratings'!G675, IF(bbgm_stat &gt;= perc_95, converted_stat * 3, IF(bbgm_stat &gt;= perc_90, converted_stat * 2, IF(bbgm_stat &gt;= perc_85, converted_stat * 1.5, converted_stat)))))</f>
        <v/>
      </c>
      <c r="H675" s="30" t="str">
        <f t="array" ref="H675">IF($A675="", "", LET(bbgm_stat, INDEX(Players!$A674:$P674, MATCH(H$2, Players!$A$1:$P$1, 0)), perc_75, VLOOKUP(H$2, Percentiles!$A$45:$I$59, 6, FALSE), perc_90, VLOOKUP(H$2, Percentiles!$A$45:$I$59, 7, FALSE), perc_95, VLOOKUP(H$2, Percentiles!$A$45:$I$59, 8, FALSE), perc_85, perc_75 + (perc_90 - perc_75) * (2/3), converted_stat, '2K_Ratings'!H675, IF(bbgm_stat &gt;= perc_95, converted_stat * 3, IF(bbgm_stat &gt;= perc_90, converted_stat * 2, IF(bbgm_stat &gt;= perc_85, converted_stat * 1.5, converted_stat)))))</f>
        <v/>
      </c>
      <c r="I675" s="30" t="str">
        <f t="array" ref="I675">IF($A675="", "", LET(bbgm_stat, INDEX(Players!$A674:$P674, MATCH(I$2, Players!$A$1:$P$1, 0)), perc_75, VLOOKUP(I$2, Percentiles!$A$45:$I$59, 6, FALSE), perc_90, VLOOKUP(I$2, Percentiles!$A$45:$I$59, 7, FALSE), perc_95, VLOOKUP(I$2, Percentiles!$A$45:$I$59, 8, FALSE), perc_85, perc_75 + (perc_90 - perc_75) * (2/3), converted_stat, '2K_Ratings'!I675, IF(bbgm_stat &gt;= perc_95, converted_stat * 3, IF(bbgm_stat &gt;= perc_90, converted_stat * 2, IF(bbgm_stat &gt;= perc_85, converted_stat * 1.5, converted_stat)))))</f>
        <v/>
      </c>
      <c r="J675" s="30" t="str">
        <f t="array" ref="J675">IF($A675="", "", LET(bbgm_stat, INDEX(Players!$A674:$P674, MATCH(J$2, Players!$A$1:$P$1, 0)), perc_75, VLOOKUP(J$2, Percentiles!$A$45:$I$59, 6, FALSE), perc_90, VLOOKUP(J$2, Percentiles!$A$45:$I$59, 7, FALSE), perc_95, VLOOKUP(J$2, Percentiles!$A$45:$I$59, 8, FALSE), perc_85, perc_75 + (perc_90 - perc_75) * (2/3), converted_stat, '2K_Ratings'!J675, IF(bbgm_stat &gt;= perc_95, converted_stat * 3, IF(bbgm_stat &gt;= perc_90, converted_stat * 2, IF(bbgm_stat &gt;= perc_85, converted_stat * 1.5, converted_stat)))))</f>
        <v/>
      </c>
      <c r="K675" s="30" t="str">
        <f t="array" ref="K675">IF($A675="", "", LET(bbgm_stat, INDEX(Players!$A674:$P674, MATCH(K$2, Players!$A$1:$P$1, 0)), perc_75, VLOOKUP(K$2, Percentiles!$A$45:$I$59, 6, FALSE), perc_90, VLOOKUP(K$2, Percentiles!$A$45:$I$59, 7, FALSE), perc_95, VLOOKUP(K$2, Percentiles!$A$45:$I$59, 8, FALSE), perc_85, perc_75 + (perc_90 - perc_75) * (2/3), converted_stat, '2K_Ratings'!K675, IF(bbgm_stat &gt;= perc_95, converted_stat * 3, IF(bbgm_stat &gt;= perc_90, converted_stat * 2, IF(bbgm_stat &gt;= perc_85, converted_stat * 1.5, converted_stat)))))</f>
        <v/>
      </c>
      <c r="L675" s="30" t="str">
        <f t="array" ref="L675">IF($A675="", "", LET(bbgm_stat, INDEX(Players!$A674:$P674, MATCH(L$2, Players!$A$1:$P$1, 0)), perc_75, VLOOKUP(L$2, Percentiles!$A$45:$I$59, 6, FALSE), perc_90, VLOOKUP(L$2, Percentiles!$A$45:$I$59, 7, FALSE), perc_95, VLOOKUP(L$2, Percentiles!$A$45:$I$59, 8, FALSE), perc_85, perc_75 + (perc_90 - perc_75) * (2/3), converted_stat, '2K_Ratings'!L675, IF(bbgm_stat &gt;= perc_95, converted_stat * 3, IF(bbgm_stat &gt;= perc_90, converted_stat * 2, IF(bbgm_stat &gt;= perc_85, converted_stat * 1.5, converted_stat)))))</f>
        <v/>
      </c>
      <c r="M675" s="30" t="str">
        <f t="array" ref="M675">IF($A675="", "", LET(bbgm_stat, INDEX(Players!$A674:$P674, MATCH(M$2, Players!$A$1:$P$1, 0)), perc_75, VLOOKUP(M$2, Percentiles!$A$45:$I$59, 6, FALSE), perc_90, VLOOKUP(M$2, Percentiles!$A$45:$I$59, 7, FALSE), perc_95, VLOOKUP(M$2, Percentiles!$A$45:$I$59, 8, FALSE), perc_85, perc_75 + (perc_90 - perc_75) * (2/3), converted_stat, '2K_Ratings'!M675, IF(bbgm_stat &gt;= perc_95, converted_stat * 3, IF(bbgm_stat &gt;= perc_90, converted_stat * 2, IF(bbgm_stat &gt;= perc_85, converted_stat * 1.5, converted_stat)))))</f>
        <v/>
      </c>
      <c r="N675" s="30" t="str">
        <f t="array" ref="N675">IF($A675="", "", LET(bbgm_stat, INDEX(Players!$A674:$P674, MATCH(N$2, Players!$A$1:$P$1, 0)), perc_75, VLOOKUP(N$2, Percentiles!$A$45:$I$59, 6, FALSE), perc_90, VLOOKUP(N$2, Percentiles!$A$45:$I$59, 7, FALSE), perc_95, VLOOKUP(N$2, Percentiles!$A$45:$I$59, 8, FALSE), perc_85, perc_75 + (perc_90 - perc_75) * (2/3), converted_stat, '2K_Ratings'!N675, IF(bbgm_stat &gt;= perc_95, converted_stat * 3, IF(bbgm_stat &gt;= perc_90, converted_stat * 2, IF(bbgm_stat &gt;= perc_85, converted_stat * 1.5, converted_stat)))))</f>
        <v/>
      </c>
      <c r="O675" s="30" t="str">
        <f t="array" ref="O675">IF($A675="", "", LET(bbgm_stat, INDEX(Players!$A674:$P674, MATCH(O$2, Players!$A$1:$P$1, 0)), perc_75, VLOOKUP(O$2, Percentiles!$A$45:$I$59, 6, FALSE), perc_90, VLOOKUP(O$2, Percentiles!$A$45:$I$59, 7, FALSE), perc_95, VLOOKUP(O$2, Percentiles!$A$45:$I$59, 8, FALSE), perc_85, perc_75 + (perc_90 - perc_75) * (2/3), converted_stat, '2K_Ratings'!O675, IF(bbgm_stat &gt;= perc_95, converted_stat * 3, IF(bbgm_stat &gt;= perc_90, converted_stat * 2, IF(bbgm_stat &gt;= perc_85, converted_stat * 1.5, converted_stat)))))</f>
        <v/>
      </c>
      <c r="P675" s="30" t="str">
        <f t="array" ref="P675">IF($A675="", "", LET(bbgm_stat, INDEX(Players!$A674:$P674, MATCH(P$2, Players!$A$1:$P$1, 0)), perc_75, VLOOKUP(P$2, Percentiles!$A$45:$I$59, 6, FALSE), perc_90, VLOOKUP(P$2, Percentiles!$A$45:$I$59, 7, FALSE), perc_95, VLOOKUP(P$2, Percentiles!$A$45:$I$59, 8, FALSE), perc_85, perc_75 + (perc_90 - perc_75) * (2/3), converted_stat, '2K_Ratings'!P675, IF(bbgm_stat &gt;= perc_95, converted_stat * 3, IF(bbgm_stat &gt;= perc_90, converted_stat * 2, IF(bbgm_stat &gt;= perc_85, converted_stat * 1.5, converted_stat)))))</f>
        <v/>
      </c>
      <c r="Q675" s="30" t="str">
        <f t="array" ref="Q675">IF($A675="", "", LET(bbgm_stat, INDEX(Players!$A674:$P674, MATCH(Q$2, Players!$A$1:$P$1, 0)), perc_75, VLOOKUP(Q$2, Percentiles!$A$45:$I$59, 6, FALSE), perc_90, VLOOKUP(Q$2, Percentiles!$A$45:$I$59, 7, FALSE), perc_95, VLOOKUP(Q$2, Percentiles!$A$45:$I$59, 8, FALSE), perc_85, perc_75 + (perc_90 - perc_75) * (2/3), converted_stat, '2K_Ratings'!Q675, IF(bbgm_stat &gt;= perc_95, converted_stat * 3, IF(bbgm_stat &gt;= perc_90, converted_stat * 2, IF(bbgm_stat &gt;= perc_85, converted_stat * 1.5, converted_stat)))))</f>
        <v/>
      </c>
      <c r="R675" s="30" t="str">
        <f t="array" ref="R675">IF($A675="", "", LET(bbgm_stat, INDEX(Players!$A674:$P674, MATCH(R$2, Players!$A$1:$P$1, 0)), perc_75, VLOOKUP(R$2, Percentiles!$A$45:$I$59, 6, FALSE), perc_90, VLOOKUP(R$2, Percentiles!$A$45:$I$59, 7, FALSE), perc_95, VLOOKUP(R$2, Percentiles!$A$45:$I$59, 8, FALSE), perc_85, perc_75 + (perc_90 - perc_75) * (2/3), converted_stat, '2K_Ratings'!R675, IF(bbgm_stat &gt;= perc_95, converted_stat * 3, IF(bbgm_stat &gt;= perc_90, converted_stat * 2, IF(bbgm_stat &gt;= perc_85, converted_stat * 1.5, converted_stat)))))</f>
        <v/>
      </c>
      <c r="S675" s="30" t="str">
        <f t="array" ref="S675">IF($A675="", "", LET(bbgm_stat, INDEX(Players!$A674:$P674, MATCH(S$2, Players!$A$1:$P$1, 0)), perc_75, VLOOKUP(S$2, Percentiles!$A$45:$I$59, 6, FALSE), perc_90, VLOOKUP(S$2, Percentiles!$A$45:$I$59, 7, FALSE), perc_95, VLOOKUP(S$2, Percentiles!$A$45:$I$59, 8, FALSE), perc_85, perc_75 + (perc_90 - perc_75) * (2/3), converted_stat, '2K_Ratings'!S675, IF(bbgm_stat &gt;= perc_95, converted_stat * 3, IF(bbgm_stat &gt;= perc_90, converted_stat * 2, IF(bbgm_stat &gt;= perc_85, converted_stat * 1.5, converted_stat)))))</f>
        <v/>
      </c>
      <c r="T675" s="30" t="str">
        <f t="array" ref="T675">IF($A675="", "", LET(bbgm_stat, INDEX(Players!$A674:$P674, MATCH(T$2, Players!$A$1:$P$1, 0)), perc_75, VLOOKUP(T$2, Percentiles!$A$45:$I$59, 6, FALSE), perc_90, VLOOKUP(T$2, Percentiles!$A$45:$I$59, 7, FALSE), perc_95, VLOOKUP(T$2, Percentiles!$A$45:$I$59, 8, FALSE), perc_85, perc_75 + (perc_90 - perc_75) * (2/3), converted_stat, '2K_Ratings'!T675, IF(bbgm_stat &gt;= perc_95, converted_stat * 3, IF(bbgm_stat &gt;= perc_90, converted_stat * 2, IF(bbgm_stat &gt;= perc_85, converted_stat * 1.5, converted_stat)))))</f>
        <v/>
      </c>
      <c r="U675" s="30" t="str">
        <f t="array" ref="U675">IF($A675="", "", LET(bbgm_stat, INDEX(Players!$A674:$P674, MATCH(U$2, Players!$A$1:$P$1, 0)), perc_75, VLOOKUP(U$2, Percentiles!$A$45:$I$59, 6, FALSE), perc_90, VLOOKUP(U$2, Percentiles!$A$45:$I$59, 7, FALSE), perc_95, VLOOKUP(U$2, Percentiles!$A$45:$I$59, 8, FALSE), perc_85, perc_75 + (perc_90 - perc_75) * (2/3), converted_stat, '2K_Ratings'!U675, IF(bbgm_stat &gt;= perc_95, converted_stat * 3, IF(bbgm_stat &gt;= perc_90, converted_stat * 2, IF(bbgm_stat &gt;= perc_85, converted_stat * 1.5, converted_stat)))))</f>
        <v/>
      </c>
      <c r="V675" s="30" t="str">
        <f t="array" ref="V675">IF($A675="", "", LET(bbgm_stat, INDEX(Players!$A674:$P674, MATCH(V$2, Players!$A$1:$P$1, 0)), perc_75, VLOOKUP(V$2, Percentiles!$A$45:$I$59, 6, FALSE), perc_90, VLOOKUP(V$2, Percentiles!$A$45:$I$59, 7, FALSE), perc_95, VLOOKUP(V$2, Percentiles!$A$45:$I$59, 8, FALSE), perc_85, perc_75 + (perc_90 - perc_75) * (2/3), converted_stat, '2K_Ratings'!V675, IF(bbgm_stat &gt;= perc_95, converted_stat * 3, IF(bbgm_stat &gt;= perc_90, converted_stat * 2, IF(bbgm_stat &gt;= perc_85, converted_stat * 1.5, converted_stat)))))</f>
        <v/>
      </c>
      <c r="W675" s="30" t="str">
        <f t="array" ref="W675">IF($A675="", "", LET(bbgm_stat, INDEX(Players!$A674:$P674, MATCH(W$2, Players!$A$1:$P$1, 0)), perc_75, VLOOKUP(W$2, Percentiles!$A$45:$I$59, 6, FALSE), perc_90, VLOOKUP(W$2, Percentiles!$A$45:$I$59, 7, FALSE), perc_95, VLOOKUP(W$2, Percentiles!$A$45:$I$59, 8, FALSE), perc_85, perc_75 + (perc_90 - perc_75) * (2/3), converted_stat, '2K_Ratings'!W675, IF(bbgm_stat &gt;= perc_95, converted_stat * 3, IF(bbgm_stat &gt;= perc_90, converted_stat * 2, IF(bbgm_stat &gt;= perc_85, converted_stat * 1.5, converted_stat)))))</f>
        <v/>
      </c>
    </row>
    <row r="676">
      <c r="A676" s="30"/>
      <c r="B676" s="30" t="str">
        <f t="array" ref="B676">IF($A676="", "", LET(bbgm_stat, INDEX(Players!$A675:$P675, MATCH(B$2, Players!$A$1:$P$1, 0)), perc_75, VLOOKUP(B$2, Percentiles!$A$45:$I$59, 6, FALSE), perc_90, VLOOKUP(B$2, Percentiles!$A$45:$I$59, 7, FALSE), perc_95, VLOOKUP(B$2, Percentiles!$A$45:$I$59, 8, FALSE), perc_85, perc_75 + (perc_90 - perc_75) * (2/3), converted_stat, '2K_Ratings'!B676, IF(bbgm_stat &gt;= perc_95, converted_stat * 3, IF(bbgm_stat &gt;= perc_90, converted_stat * 2, IF(bbgm_stat &gt;= perc_85, converted_stat * 1.5, converted_stat)))))</f>
        <v/>
      </c>
      <c r="C676" s="30" t="str">
        <f t="array" ref="C676">IF($A676="", "", LET(bbgm_stat, INDEX(Players!$A675:$P675, MATCH(C$2, Players!$A$1:$P$1, 0)), perc_75, VLOOKUP(C$2, Percentiles!$A$45:$I$59, 6, FALSE), perc_90, VLOOKUP(C$2, Percentiles!$A$45:$I$59, 7, FALSE), perc_95, VLOOKUP(C$2, Percentiles!$A$45:$I$59, 8, FALSE), perc_85, perc_75 + (perc_90 - perc_75) * (2/3), converted_stat, '2K_Ratings'!C676, IF(bbgm_stat &gt;= perc_95, converted_stat * 3, IF(bbgm_stat &gt;= perc_90, converted_stat * 2, IF(bbgm_stat &gt;= perc_85, converted_stat * 1.5, converted_stat)))))</f>
        <v/>
      </c>
      <c r="D676" s="30" t="str">
        <f t="array" ref="D676">IF($A676="", "", LET(bbgm_stat, INDEX(Players!$A675:$P675, MATCH(D$2, Players!$A$1:$P$1, 0)), perc_75, VLOOKUP(D$2, Percentiles!$A$45:$I$59, 6, FALSE), perc_90, VLOOKUP(D$2, Percentiles!$A$45:$I$59, 7, FALSE), perc_95, VLOOKUP(D$2, Percentiles!$A$45:$I$59, 8, FALSE), perc_85, perc_75 + (perc_90 - perc_75) * (2/3), converted_stat, '2K_Ratings'!D676, IF(bbgm_stat &gt;= perc_95, converted_stat * 3, IF(bbgm_stat &gt;= perc_90, converted_stat * 2, IF(bbgm_stat &gt;= perc_85, converted_stat * 1.5, converted_stat)))))</f>
        <v/>
      </c>
      <c r="E676" s="30" t="str">
        <f t="array" ref="E676">IF($A676="", "", LET(bbgm_stat, INDEX(Players!$A675:$P675, MATCH(E$2, Players!$A$1:$P$1, 0)), perc_75, VLOOKUP(E$2, Percentiles!$A$45:$I$59, 6, FALSE), perc_90, VLOOKUP(E$2, Percentiles!$A$45:$I$59, 7, FALSE), perc_95, VLOOKUP(E$2, Percentiles!$A$45:$I$59, 8, FALSE), perc_85, perc_75 + (perc_90 - perc_75) * (2/3), converted_stat, '2K_Ratings'!E676, IF(bbgm_stat &gt;= perc_95, converted_stat * 3, IF(bbgm_stat &gt;= perc_90, converted_stat * 2, IF(bbgm_stat &gt;= perc_85, converted_stat * 1.5, converted_stat)))))</f>
        <v/>
      </c>
      <c r="F676" s="30" t="str">
        <f t="array" ref="F676">IF($A676="", "", LET(bbgm_stat, INDEX(Players!$A675:$P675, MATCH(F$2, Players!$A$1:$P$1, 0)), perc_75, VLOOKUP(F$2, Percentiles!$A$45:$I$59, 6, FALSE), perc_90, VLOOKUP(F$2, Percentiles!$A$45:$I$59, 7, FALSE), perc_95, VLOOKUP(F$2, Percentiles!$A$45:$I$59, 8, FALSE), perc_85, perc_75 + (perc_90 - perc_75) * (2/3), converted_stat, '2K_Ratings'!F676, IF(bbgm_stat &gt;= perc_95, converted_stat * 3, IF(bbgm_stat &gt;= perc_90, converted_stat * 2, IF(bbgm_stat &gt;= perc_85, converted_stat * 1.5, converted_stat)))))</f>
        <v/>
      </c>
      <c r="G676" s="30" t="str">
        <f t="array" ref="G676">IF($A676="", "", LET(bbgm_stat, INDEX(Players!$A675:$P675, MATCH(G$2, Players!$A$1:$P$1, 0)), perc_75, VLOOKUP(G$2, Percentiles!$A$45:$I$59, 6, FALSE), perc_90, VLOOKUP(G$2, Percentiles!$A$45:$I$59, 7, FALSE), perc_95, VLOOKUP(G$2, Percentiles!$A$45:$I$59, 8, FALSE), perc_85, perc_75 + (perc_90 - perc_75) * (2/3), converted_stat, '2K_Ratings'!G676, IF(bbgm_stat &gt;= perc_95, converted_stat * 3, IF(bbgm_stat &gt;= perc_90, converted_stat * 2, IF(bbgm_stat &gt;= perc_85, converted_stat * 1.5, converted_stat)))))</f>
        <v/>
      </c>
      <c r="H676" s="30" t="str">
        <f t="array" ref="H676">IF($A676="", "", LET(bbgm_stat, INDEX(Players!$A675:$P675, MATCH(H$2, Players!$A$1:$P$1, 0)), perc_75, VLOOKUP(H$2, Percentiles!$A$45:$I$59, 6, FALSE), perc_90, VLOOKUP(H$2, Percentiles!$A$45:$I$59, 7, FALSE), perc_95, VLOOKUP(H$2, Percentiles!$A$45:$I$59, 8, FALSE), perc_85, perc_75 + (perc_90 - perc_75) * (2/3), converted_stat, '2K_Ratings'!H676, IF(bbgm_stat &gt;= perc_95, converted_stat * 3, IF(bbgm_stat &gt;= perc_90, converted_stat * 2, IF(bbgm_stat &gt;= perc_85, converted_stat * 1.5, converted_stat)))))</f>
        <v/>
      </c>
      <c r="I676" s="30" t="str">
        <f t="array" ref="I676">IF($A676="", "", LET(bbgm_stat, INDEX(Players!$A675:$P675, MATCH(I$2, Players!$A$1:$P$1, 0)), perc_75, VLOOKUP(I$2, Percentiles!$A$45:$I$59, 6, FALSE), perc_90, VLOOKUP(I$2, Percentiles!$A$45:$I$59, 7, FALSE), perc_95, VLOOKUP(I$2, Percentiles!$A$45:$I$59, 8, FALSE), perc_85, perc_75 + (perc_90 - perc_75) * (2/3), converted_stat, '2K_Ratings'!I676, IF(bbgm_stat &gt;= perc_95, converted_stat * 3, IF(bbgm_stat &gt;= perc_90, converted_stat * 2, IF(bbgm_stat &gt;= perc_85, converted_stat * 1.5, converted_stat)))))</f>
        <v/>
      </c>
      <c r="J676" s="30" t="str">
        <f t="array" ref="J676">IF($A676="", "", LET(bbgm_stat, INDEX(Players!$A675:$P675, MATCH(J$2, Players!$A$1:$P$1, 0)), perc_75, VLOOKUP(J$2, Percentiles!$A$45:$I$59, 6, FALSE), perc_90, VLOOKUP(J$2, Percentiles!$A$45:$I$59, 7, FALSE), perc_95, VLOOKUP(J$2, Percentiles!$A$45:$I$59, 8, FALSE), perc_85, perc_75 + (perc_90 - perc_75) * (2/3), converted_stat, '2K_Ratings'!J676, IF(bbgm_stat &gt;= perc_95, converted_stat * 3, IF(bbgm_stat &gt;= perc_90, converted_stat * 2, IF(bbgm_stat &gt;= perc_85, converted_stat * 1.5, converted_stat)))))</f>
        <v/>
      </c>
      <c r="K676" s="30" t="str">
        <f t="array" ref="K676">IF($A676="", "", LET(bbgm_stat, INDEX(Players!$A675:$P675, MATCH(K$2, Players!$A$1:$P$1, 0)), perc_75, VLOOKUP(K$2, Percentiles!$A$45:$I$59, 6, FALSE), perc_90, VLOOKUP(K$2, Percentiles!$A$45:$I$59, 7, FALSE), perc_95, VLOOKUP(K$2, Percentiles!$A$45:$I$59, 8, FALSE), perc_85, perc_75 + (perc_90 - perc_75) * (2/3), converted_stat, '2K_Ratings'!K676, IF(bbgm_stat &gt;= perc_95, converted_stat * 3, IF(bbgm_stat &gt;= perc_90, converted_stat * 2, IF(bbgm_stat &gt;= perc_85, converted_stat * 1.5, converted_stat)))))</f>
        <v/>
      </c>
      <c r="L676" s="30" t="str">
        <f t="array" ref="L676">IF($A676="", "", LET(bbgm_stat, INDEX(Players!$A675:$P675, MATCH(L$2, Players!$A$1:$P$1, 0)), perc_75, VLOOKUP(L$2, Percentiles!$A$45:$I$59, 6, FALSE), perc_90, VLOOKUP(L$2, Percentiles!$A$45:$I$59, 7, FALSE), perc_95, VLOOKUP(L$2, Percentiles!$A$45:$I$59, 8, FALSE), perc_85, perc_75 + (perc_90 - perc_75) * (2/3), converted_stat, '2K_Ratings'!L676, IF(bbgm_stat &gt;= perc_95, converted_stat * 3, IF(bbgm_stat &gt;= perc_90, converted_stat * 2, IF(bbgm_stat &gt;= perc_85, converted_stat * 1.5, converted_stat)))))</f>
        <v/>
      </c>
      <c r="M676" s="30" t="str">
        <f t="array" ref="M676">IF($A676="", "", LET(bbgm_stat, INDEX(Players!$A675:$P675, MATCH(M$2, Players!$A$1:$P$1, 0)), perc_75, VLOOKUP(M$2, Percentiles!$A$45:$I$59, 6, FALSE), perc_90, VLOOKUP(M$2, Percentiles!$A$45:$I$59, 7, FALSE), perc_95, VLOOKUP(M$2, Percentiles!$A$45:$I$59, 8, FALSE), perc_85, perc_75 + (perc_90 - perc_75) * (2/3), converted_stat, '2K_Ratings'!M676, IF(bbgm_stat &gt;= perc_95, converted_stat * 3, IF(bbgm_stat &gt;= perc_90, converted_stat * 2, IF(bbgm_stat &gt;= perc_85, converted_stat * 1.5, converted_stat)))))</f>
        <v/>
      </c>
      <c r="N676" s="30" t="str">
        <f t="array" ref="N676">IF($A676="", "", LET(bbgm_stat, INDEX(Players!$A675:$P675, MATCH(N$2, Players!$A$1:$P$1, 0)), perc_75, VLOOKUP(N$2, Percentiles!$A$45:$I$59, 6, FALSE), perc_90, VLOOKUP(N$2, Percentiles!$A$45:$I$59, 7, FALSE), perc_95, VLOOKUP(N$2, Percentiles!$A$45:$I$59, 8, FALSE), perc_85, perc_75 + (perc_90 - perc_75) * (2/3), converted_stat, '2K_Ratings'!N676, IF(bbgm_stat &gt;= perc_95, converted_stat * 3, IF(bbgm_stat &gt;= perc_90, converted_stat * 2, IF(bbgm_stat &gt;= perc_85, converted_stat * 1.5, converted_stat)))))</f>
        <v/>
      </c>
      <c r="O676" s="30" t="str">
        <f t="array" ref="O676">IF($A676="", "", LET(bbgm_stat, INDEX(Players!$A675:$P675, MATCH(O$2, Players!$A$1:$P$1, 0)), perc_75, VLOOKUP(O$2, Percentiles!$A$45:$I$59, 6, FALSE), perc_90, VLOOKUP(O$2, Percentiles!$A$45:$I$59, 7, FALSE), perc_95, VLOOKUP(O$2, Percentiles!$A$45:$I$59, 8, FALSE), perc_85, perc_75 + (perc_90 - perc_75) * (2/3), converted_stat, '2K_Ratings'!O676, IF(bbgm_stat &gt;= perc_95, converted_stat * 3, IF(bbgm_stat &gt;= perc_90, converted_stat * 2, IF(bbgm_stat &gt;= perc_85, converted_stat * 1.5, converted_stat)))))</f>
        <v/>
      </c>
      <c r="P676" s="30" t="str">
        <f t="array" ref="P676">IF($A676="", "", LET(bbgm_stat, INDEX(Players!$A675:$P675, MATCH(P$2, Players!$A$1:$P$1, 0)), perc_75, VLOOKUP(P$2, Percentiles!$A$45:$I$59, 6, FALSE), perc_90, VLOOKUP(P$2, Percentiles!$A$45:$I$59, 7, FALSE), perc_95, VLOOKUP(P$2, Percentiles!$A$45:$I$59, 8, FALSE), perc_85, perc_75 + (perc_90 - perc_75) * (2/3), converted_stat, '2K_Ratings'!P676, IF(bbgm_stat &gt;= perc_95, converted_stat * 3, IF(bbgm_stat &gt;= perc_90, converted_stat * 2, IF(bbgm_stat &gt;= perc_85, converted_stat * 1.5, converted_stat)))))</f>
        <v/>
      </c>
      <c r="Q676" s="30" t="str">
        <f t="array" ref="Q676">IF($A676="", "", LET(bbgm_stat, INDEX(Players!$A675:$P675, MATCH(Q$2, Players!$A$1:$P$1, 0)), perc_75, VLOOKUP(Q$2, Percentiles!$A$45:$I$59, 6, FALSE), perc_90, VLOOKUP(Q$2, Percentiles!$A$45:$I$59, 7, FALSE), perc_95, VLOOKUP(Q$2, Percentiles!$A$45:$I$59, 8, FALSE), perc_85, perc_75 + (perc_90 - perc_75) * (2/3), converted_stat, '2K_Ratings'!Q676, IF(bbgm_stat &gt;= perc_95, converted_stat * 3, IF(bbgm_stat &gt;= perc_90, converted_stat * 2, IF(bbgm_stat &gt;= perc_85, converted_stat * 1.5, converted_stat)))))</f>
        <v/>
      </c>
      <c r="R676" s="30" t="str">
        <f t="array" ref="R676">IF($A676="", "", LET(bbgm_stat, INDEX(Players!$A675:$P675, MATCH(R$2, Players!$A$1:$P$1, 0)), perc_75, VLOOKUP(R$2, Percentiles!$A$45:$I$59, 6, FALSE), perc_90, VLOOKUP(R$2, Percentiles!$A$45:$I$59, 7, FALSE), perc_95, VLOOKUP(R$2, Percentiles!$A$45:$I$59, 8, FALSE), perc_85, perc_75 + (perc_90 - perc_75) * (2/3), converted_stat, '2K_Ratings'!R676, IF(bbgm_stat &gt;= perc_95, converted_stat * 3, IF(bbgm_stat &gt;= perc_90, converted_stat * 2, IF(bbgm_stat &gt;= perc_85, converted_stat * 1.5, converted_stat)))))</f>
        <v/>
      </c>
      <c r="S676" s="30" t="str">
        <f t="array" ref="S676">IF($A676="", "", LET(bbgm_stat, INDEX(Players!$A675:$P675, MATCH(S$2, Players!$A$1:$P$1, 0)), perc_75, VLOOKUP(S$2, Percentiles!$A$45:$I$59, 6, FALSE), perc_90, VLOOKUP(S$2, Percentiles!$A$45:$I$59, 7, FALSE), perc_95, VLOOKUP(S$2, Percentiles!$A$45:$I$59, 8, FALSE), perc_85, perc_75 + (perc_90 - perc_75) * (2/3), converted_stat, '2K_Ratings'!S676, IF(bbgm_stat &gt;= perc_95, converted_stat * 3, IF(bbgm_stat &gt;= perc_90, converted_stat * 2, IF(bbgm_stat &gt;= perc_85, converted_stat * 1.5, converted_stat)))))</f>
        <v/>
      </c>
      <c r="T676" s="30" t="str">
        <f t="array" ref="T676">IF($A676="", "", LET(bbgm_stat, INDEX(Players!$A675:$P675, MATCH(T$2, Players!$A$1:$P$1, 0)), perc_75, VLOOKUP(T$2, Percentiles!$A$45:$I$59, 6, FALSE), perc_90, VLOOKUP(T$2, Percentiles!$A$45:$I$59, 7, FALSE), perc_95, VLOOKUP(T$2, Percentiles!$A$45:$I$59, 8, FALSE), perc_85, perc_75 + (perc_90 - perc_75) * (2/3), converted_stat, '2K_Ratings'!T676, IF(bbgm_stat &gt;= perc_95, converted_stat * 3, IF(bbgm_stat &gt;= perc_90, converted_stat * 2, IF(bbgm_stat &gt;= perc_85, converted_stat * 1.5, converted_stat)))))</f>
        <v/>
      </c>
      <c r="U676" s="30" t="str">
        <f t="array" ref="U676">IF($A676="", "", LET(bbgm_stat, INDEX(Players!$A675:$P675, MATCH(U$2, Players!$A$1:$P$1, 0)), perc_75, VLOOKUP(U$2, Percentiles!$A$45:$I$59, 6, FALSE), perc_90, VLOOKUP(U$2, Percentiles!$A$45:$I$59, 7, FALSE), perc_95, VLOOKUP(U$2, Percentiles!$A$45:$I$59, 8, FALSE), perc_85, perc_75 + (perc_90 - perc_75) * (2/3), converted_stat, '2K_Ratings'!U676, IF(bbgm_stat &gt;= perc_95, converted_stat * 3, IF(bbgm_stat &gt;= perc_90, converted_stat * 2, IF(bbgm_stat &gt;= perc_85, converted_stat * 1.5, converted_stat)))))</f>
        <v/>
      </c>
      <c r="V676" s="30" t="str">
        <f t="array" ref="V676">IF($A676="", "", LET(bbgm_stat, INDEX(Players!$A675:$P675, MATCH(V$2, Players!$A$1:$P$1, 0)), perc_75, VLOOKUP(V$2, Percentiles!$A$45:$I$59, 6, FALSE), perc_90, VLOOKUP(V$2, Percentiles!$A$45:$I$59, 7, FALSE), perc_95, VLOOKUP(V$2, Percentiles!$A$45:$I$59, 8, FALSE), perc_85, perc_75 + (perc_90 - perc_75) * (2/3), converted_stat, '2K_Ratings'!V676, IF(bbgm_stat &gt;= perc_95, converted_stat * 3, IF(bbgm_stat &gt;= perc_90, converted_stat * 2, IF(bbgm_stat &gt;= perc_85, converted_stat * 1.5, converted_stat)))))</f>
        <v/>
      </c>
      <c r="W676" s="30" t="str">
        <f t="array" ref="W676">IF($A676="", "", LET(bbgm_stat, INDEX(Players!$A675:$P675, MATCH(W$2, Players!$A$1:$P$1, 0)), perc_75, VLOOKUP(W$2, Percentiles!$A$45:$I$59, 6, FALSE), perc_90, VLOOKUP(W$2, Percentiles!$A$45:$I$59, 7, FALSE), perc_95, VLOOKUP(W$2, Percentiles!$A$45:$I$59, 8, FALSE), perc_85, perc_75 + (perc_90 - perc_75) * (2/3), converted_stat, '2K_Ratings'!W676, IF(bbgm_stat &gt;= perc_95, converted_stat * 3, IF(bbgm_stat &gt;= perc_90, converted_stat * 2, IF(bbgm_stat &gt;= perc_85, converted_stat * 1.5, converted_stat)))))</f>
        <v/>
      </c>
    </row>
    <row r="677">
      <c r="A677" s="30"/>
      <c r="B677" s="30" t="str">
        <f t="array" ref="B677">IF($A677="", "", LET(bbgm_stat, INDEX(Players!$A676:$P676, MATCH(B$2, Players!$A$1:$P$1, 0)), perc_75, VLOOKUP(B$2, Percentiles!$A$45:$I$59, 6, FALSE), perc_90, VLOOKUP(B$2, Percentiles!$A$45:$I$59, 7, FALSE), perc_95, VLOOKUP(B$2, Percentiles!$A$45:$I$59, 8, FALSE), perc_85, perc_75 + (perc_90 - perc_75) * (2/3), converted_stat, '2K_Ratings'!B677, IF(bbgm_stat &gt;= perc_95, converted_stat * 3, IF(bbgm_stat &gt;= perc_90, converted_stat * 2, IF(bbgm_stat &gt;= perc_85, converted_stat * 1.5, converted_stat)))))</f>
        <v/>
      </c>
      <c r="C677" s="30" t="str">
        <f t="array" ref="C677">IF($A677="", "", LET(bbgm_stat, INDEX(Players!$A676:$P676, MATCH(C$2, Players!$A$1:$P$1, 0)), perc_75, VLOOKUP(C$2, Percentiles!$A$45:$I$59, 6, FALSE), perc_90, VLOOKUP(C$2, Percentiles!$A$45:$I$59, 7, FALSE), perc_95, VLOOKUP(C$2, Percentiles!$A$45:$I$59, 8, FALSE), perc_85, perc_75 + (perc_90 - perc_75) * (2/3), converted_stat, '2K_Ratings'!C677, IF(bbgm_stat &gt;= perc_95, converted_stat * 3, IF(bbgm_stat &gt;= perc_90, converted_stat * 2, IF(bbgm_stat &gt;= perc_85, converted_stat * 1.5, converted_stat)))))</f>
        <v/>
      </c>
      <c r="D677" s="30" t="str">
        <f t="array" ref="D677">IF($A677="", "", LET(bbgm_stat, INDEX(Players!$A676:$P676, MATCH(D$2, Players!$A$1:$P$1, 0)), perc_75, VLOOKUP(D$2, Percentiles!$A$45:$I$59, 6, FALSE), perc_90, VLOOKUP(D$2, Percentiles!$A$45:$I$59, 7, FALSE), perc_95, VLOOKUP(D$2, Percentiles!$A$45:$I$59, 8, FALSE), perc_85, perc_75 + (perc_90 - perc_75) * (2/3), converted_stat, '2K_Ratings'!D677, IF(bbgm_stat &gt;= perc_95, converted_stat * 3, IF(bbgm_stat &gt;= perc_90, converted_stat * 2, IF(bbgm_stat &gt;= perc_85, converted_stat * 1.5, converted_stat)))))</f>
        <v/>
      </c>
      <c r="E677" s="30" t="str">
        <f t="array" ref="E677">IF($A677="", "", LET(bbgm_stat, INDEX(Players!$A676:$P676, MATCH(E$2, Players!$A$1:$P$1, 0)), perc_75, VLOOKUP(E$2, Percentiles!$A$45:$I$59, 6, FALSE), perc_90, VLOOKUP(E$2, Percentiles!$A$45:$I$59, 7, FALSE), perc_95, VLOOKUP(E$2, Percentiles!$A$45:$I$59, 8, FALSE), perc_85, perc_75 + (perc_90 - perc_75) * (2/3), converted_stat, '2K_Ratings'!E677, IF(bbgm_stat &gt;= perc_95, converted_stat * 3, IF(bbgm_stat &gt;= perc_90, converted_stat * 2, IF(bbgm_stat &gt;= perc_85, converted_stat * 1.5, converted_stat)))))</f>
        <v/>
      </c>
      <c r="F677" s="30" t="str">
        <f t="array" ref="F677">IF($A677="", "", LET(bbgm_stat, INDEX(Players!$A676:$P676, MATCH(F$2, Players!$A$1:$P$1, 0)), perc_75, VLOOKUP(F$2, Percentiles!$A$45:$I$59, 6, FALSE), perc_90, VLOOKUP(F$2, Percentiles!$A$45:$I$59, 7, FALSE), perc_95, VLOOKUP(F$2, Percentiles!$A$45:$I$59, 8, FALSE), perc_85, perc_75 + (perc_90 - perc_75) * (2/3), converted_stat, '2K_Ratings'!F677, IF(bbgm_stat &gt;= perc_95, converted_stat * 3, IF(bbgm_stat &gt;= perc_90, converted_stat * 2, IF(bbgm_stat &gt;= perc_85, converted_stat * 1.5, converted_stat)))))</f>
        <v/>
      </c>
      <c r="G677" s="30" t="str">
        <f t="array" ref="G677">IF($A677="", "", LET(bbgm_stat, INDEX(Players!$A676:$P676, MATCH(G$2, Players!$A$1:$P$1, 0)), perc_75, VLOOKUP(G$2, Percentiles!$A$45:$I$59, 6, FALSE), perc_90, VLOOKUP(G$2, Percentiles!$A$45:$I$59, 7, FALSE), perc_95, VLOOKUP(G$2, Percentiles!$A$45:$I$59, 8, FALSE), perc_85, perc_75 + (perc_90 - perc_75) * (2/3), converted_stat, '2K_Ratings'!G677, IF(bbgm_stat &gt;= perc_95, converted_stat * 3, IF(bbgm_stat &gt;= perc_90, converted_stat * 2, IF(bbgm_stat &gt;= perc_85, converted_stat * 1.5, converted_stat)))))</f>
        <v/>
      </c>
      <c r="H677" s="30" t="str">
        <f t="array" ref="H677">IF($A677="", "", LET(bbgm_stat, INDEX(Players!$A676:$P676, MATCH(H$2, Players!$A$1:$P$1, 0)), perc_75, VLOOKUP(H$2, Percentiles!$A$45:$I$59, 6, FALSE), perc_90, VLOOKUP(H$2, Percentiles!$A$45:$I$59, 7, FALSE), perc_95, VLOOKUP(H$2, Percentiles!$A$45:$I$59, 8, FALSE), perc_85, perc_75 + (perc_90 - perc_75) * (2/3), converted_stat, '2K_Ratings'!H677, IF(bbgm_stat &gt;= perc_95, converted_stat * 3, IF(bbgm_stat &gt;= perc_90, converted_stat * 2, IF(bbgm_stat &gt;= perc_85, converted_stat * 1.5, converted_stat)))))</f>
        <v/>
      </c>
      <c r="I677" s="30" t="str">
        <f t="array" ref="I677">IF($A677="", "", LET(bbgm_stat, INDEX(Players!$A676:$P676, MATCH(I$2, Players!$A$1:$P$1, 0)), perc_75, VLOOKUP(I$2, Percentiles!$A$45:$I$59, 6, FALSE), perc_90, VLOOKUP(I$2, Percentiles!$A$45:$I$59, 7, FALSE), perc_95, VLOOKUP(I$2, Percentiles!$A$45:$I$59, 8, FALSE), perc_85, perc_75 + (perc_90 - perc_75) * (2/3), converted_stat, '2K_Ratings'!I677, IF(bbgm_stat &gt;= perc_95, converted_stat * 3, IF(bbgm_stat &gt;= perc_90, converted_stat * 2, IF(bbgm_stat &gt;= perc_85, converted_stat * 1.5, converted_stat)))))</f>
        <v/>
      </c>
      <c r="J677" s="30" t="str">
        <f t="array" ref="J677">IF($A677="", "", LET(bbgm_stat, INDEX(Players!$A676:$P676, MATCH(J$2, Players!$A$1:$P$1, 0)), perc_75, VLOOKUP(J$2, Percentiles!$A$45:$I$59, 6, FALSE), perc_90, VLOOKUP(J$2, Percentiles!$A$45:$I$59, 7, FALSE), perc_95, VLOOKUP(J$2, Percentiles!$A$45:$I$59, 8, FALSE), perc_85, perc_75 + (perc_90 - perc_75) * (2/3), converted_stat, '2K_Ratings'!J677, IF(bbgm_stat &gt;= perc_95, converted_stat * 3, IF(bbgm_stat &gt;= perc_90, converted_stat * 2, IF(bbgm_stat &gt;= perc_85, converted_stat * 1.5, converted_stat)))))</f>
        <v/>
      </c>
      <c r="K677" s="30" t="str">
        <f t="array" ref="K677">IF($A677="", "", LET(bbgm_stat, INDEX(Players!$A676:$P676, MATCH(K$2, Players!$A$1:$P$1, 0)), perc_75, VLOOKUP(K$2, Percentiles!$A$45:$I$59, 6, FALSE), perc_90, VLOOKUP(K$2, Percentiles!$A$45:$I$59, 7, FALSE), perc_95, VLOOKUP(K$2, Percentiles!$A$45:$I$59, 8, FALSE), perc_85, perc_75 + (perc_90 - perc_75) * (2/3), converted_stat, '2K_Ratings'!K677, IF(bbgm_stat &gt;= perc_95, converted_stat * 3, IF(bbgm_stat &gt;= perc_90, converted_stat * 2, IF(bbgm_stat &gt;= perc_85, converted_stat * 1.5, converted_stat)))))</f>
        <v/>
      </c>
      <c r="L677" s="30" t="str">
        <f t="array" ref="L677">IF($A677="", "", LET(bbgm_stat, INDEX(Players!$A676:$P676, MATCH(L$2, Players!$A$1:$P$1, 0)), perc_75, VLOOKUP(L$2, Percentiles!$A$45:$I$59, 6, FALSE), perc_90, VLOOKUP(L$2, Percentiles!$A$45:$I$59, 7, FALSE), perc_95, VLOOKUP(L$2, Percentiles!$A$45:$I$59, 8, FALSE), perc_85, perc_75 + (perc_90 - perc_75) * (2/3), converted_stat, '2K_Ratings'!L677, IF(bbgm_stat &gt;= perc_95, converted_stat * 3, IF(bbgm_stat &gt;= perc_90, converted_stat * 2, IF(bbgm_stat &gt;= perc_85, converted_stat * 1.5, converted_stat)))))</f>
        <v/>
      </c>
      <c r="M677" s="30" t="str">
        <f t="array" ref="M677">IF($A677="", "", LET(bbgm_stat, INDEX(Players!$A676:$P676, MATCH(M$2, Players!$A$1:$P$1, 0)), perc_75, VLOOKUP(M$2, Percentiles!$A$45:$I$59, 6, FALSE), perc_90, VLOOKUP(M$2, Percentiles!$A$45:$I$59, 7, FALSE), perc_95, VLOOKUP(M$2, Percentiles!$A$45:$I$59, 8, FALSE), perc_85, perc_75 + (perc_90 - perc_75) * (2/3), converted_stat, '2K_Ratings'!M677, IF(bbgm_stat &gt;= perc_95, converted_stat * 3, IF(bbgm_stat &gt;= perc_90, converted_stat * 2, IF(bbgm_stat &gt;= perc_85, converted_stat * 1.5, converted_stat)))))</f>
        <v/>
      </c>
      <c r="N677" s="30" t="str">
        <f t="array" ref="N677">IF($A677="", "", LET(bbgm_stat, INDEX(Players!$A676:$P676, MATCH(N$2, Players!$A$1:$P$1, 0)), perc_75, VLOOKUP(N$2, Percentiles!$A$45:$I$59, 6, FALSE), perc_90, VLOOKUP(N$2, Percentiles!$A$45:$I$59, 7, FALSE), perc_95, VLOOKUP(N$2, Percentiles!$A$45:$I$59, 8, FALSE), perc_85, perc_75 + (perc_90 - perc_75) * (2/3), converted_stat, '2K_Ratings'!N677, IF(bbgm_stat &gt;= perc_95, converted_stat * 3, IF(bbgm_stat &gt;= perc_90, converted_stat * 2, IF(bbgm_stat &gt;= perc_85, converted_stat * 1.5, converted_stat)))))</f>
        <v/>
      </c>
      <c r="O677" s="30" t="str">
        <f t="array" ref="O677">IF($A677="", "", LET(bbgm_stat, INDEX(Players!$A676:$P676, MATCH(O$2, Players!$A$1:$P$1, 0)), perc_75, VLOOKUP(O$2, Percentiles!$A$45:$I$59, 6, FALSE), perc_90, VLOOKUP(O$2, Percentiles!$A$45:$I$59, 7, FALSE), perc_95, VLOOKUP(O$2, Percentiles!$A$45:$I$59, 8, FALSE), perc_85, perc_75 + (perc_90 - perc_75) * (2/3), converted_stat, '2K_Ratings'!O677, IF(bbgm_stat &gt;= perc_95, converted_stat * 3, IF(bbgm_stat &gt;= perc_90, converted_stat * 2, IF(bbgm_stat &gt;= perc_85, converted_stat * 1.5, converted_stat)))))</f>
        <v/>
      </c>
      <c r="P677" s="30" t="str">
        <f t="array" ref="P677">IF($A677="", "", LET(bbgm_stat, INDEX(Players!$A676:$P676, MATCH(P$2, Players!$A$1:$P$1, 0)), perc_75, VLOOKUP(P$2, Percentiles!$A$45:$I$59, 6, FALSE), perc_90, VLOOKUP(P$2, Percentiles!$A$45:$I$59, 7, FALSE), perc_95, VLOOKUP(P$2, Percentiles!$A$45:$I$59, 8, FALSE), perc_85, perc_75 + (perc_90 - perc_75) * (2/3), converted_stat, '2K_Ratings'!P677, IF(bbgm_stat &gt;= perc_95, converted_stat * 3, IF(bbgm_stat &gt;= perc_90, converted_stat * 2, IF(bbgm_stat &gt;= perc_85, converted_stat * 1.5, converted_stat)))))</f>
        <v/>
      </c>
      <c r="Q677" s="30" t="str">
        <f t="array" ref="Q677">IF($A677="", "", LET(bbgm_stat, INDEX(Players!$A676:$P676, MATCH(Q$2, Players!$A$1:$P$1, 0)), perc_75, VLOOKUP(Q$2, Percentiles!$A$45:$I$59, 6, FALSE), perc_90, VLOOKUP(Q$2, Percentiles!$A$45:$I$59, 7, FALSE), perc_95, VLOOKUP(Q$2, Percentiles!$A$45:$I$59, 8, FALSE), perc_85, perc_75 + (perc_90 - perc_75) * (2/3), converted_stat, '2K_Ratings'!Q677, IF(bbgm_stat &gt;= perc_95, converted_stat * 3, IF(bbgm_stat &gt;= perc_90, converted_stat * 2, IF(bbgm_stat &gt;= perc_85, converted_stat * 1.5, converted_stat)))))</f>
        <v/>
      </c>
      <c r="R677" s="30" t="str">
        <f t="array" ref="R677">IF($A677="", "", LET(bbgm_stat, INDEX(Players!$A676:$P676, MATCH(R$2, Players!$A$1:$P$1, 0)), perc_75, VLOOKUP(R$2, Percentiles!$A$45:$I$59, 6, FALSE), perc_90, VLOOKUP(R$2, Percentiles!$A$45:$I$59, 7, FALSE), perc_95, VLOOKUP(R$2, Percentiles!$A$45:$I$59, 8, FALSE), perc_85, perc_75 + (perc_90 - perc_75) * (2/3), converted_stat, '2K_Ratings'!R677, IF(bbgm_stat &gt;= perc_95, converted_stat * 3, IF(bbgm_stat &gt;= perc_90, converted_stat * 2, IF(bbgm_stat &gt;= perc_85, converted_stat * 1.5, converted_stat)))))</f>
        <v/>
      </c>
      <c r="S677" s="30" t="str">
        <f t="array" ref="S677">IF($A677="", "", LET(bbgm_stat, INDEX(Players!$A676:$P676, MATCH(S$2, Players!$A$1:$P$1, 0)), perc_75, VLOOKUP(S$2, Percentiles!$A$45:$I$59, 6, FALSE), perc_90, VLOOKUP(S$2, Percentiles!$A$45:$I$59, 7, FALSE), perc_95, VLOOKUP(S$2, Percentiles!$A$45:$I$59, 8, FALSE), perc_85, perc_75 + (perc_90 - perc_75) * (2/3), converted_stat, '2K_Ratings'!S677, IF(bbgm_stat &gt;= perc_95, converted_stat * 3, IF(bbgm_stat &gt;= perc_90, converted_stat * 2, IF(bbgm_stat &gt;= perc_85, converted_stat * 1.5, converted_stat)))))</f>
        <v/>
      </c>
      <c r="T677" s="30" t="str">
        <f t="array" ref="T677">IF($A677="", "", LET(bbgm_stat, INDEX(Players!$A676:$P676, MATCH(T$2, Players!$A$1:$P$1, 0)), perc_75, VLOOKUP(T$2, Percentiles!$A$45:$I$59, 6, FALSE), perc_90, VLOOKUP(T$2, Percentiles!$A$45:$I$59, 7, FALSE), perc_95, VLOOKUP(T$2, Percentiles!$A$45:$I$59, 8, FALSE), perc_85, perc_75 + (perc_90 - perc_75) * (2/3), converted_stat, '2K_Ratings'!T677, IF(bbgm_stat &gt;= perc_95, converted_stat * 3, IF(bbgm_stat &gt;= perc_90, converted_stat * 2, IF(bbgm_stat &gt;= perc_85, converted_stat * 1.5, converted_stat)))))</f>
        <v/>
      </c>
      <c r="U677" s="30" t="str">
        <f t="array" ref="U677">IF($A677="", "", LET(bbgm_stat, INDEX(Players!$A676:$P676, MATCH(U$2, Players!$A$1:$P$1, 0)), perc_75, VLOOKUP(U$2, Percentiles!$A$45:$I$59, 6, FALSE), perc_90, VLOOKUP(U$2, Percentiles!$A$45:$I$59, 7, FALSE), perc_95, VLOOKUP(U$2, Percentiles!$A$45:$I$59, 8, FALSE), perc_85, perc_75 + (perc_90 - perc_75) * (2/3), converted_stat, '2K_Ratings'!U677, IF(bbgm_stat &gt;= perc_95, converted_stat * 3, IF(bbgm_stat &gt;= perc_90, converted_stat * 2, IF(bbgm_stat &gt;= perc_85, converted_stat * 1.5, converted_stat)))))</f>
        <v/>
      </c>
      <c r="V677" s="30" t="str">
        <f t="array" ref="V677">IF($A677="", "", LET(bbgm_stat, INDEX(Players!$A676:$P676, MATCH(V$2, Players!$A$1:$P$1, 0)), perc_75, VLOOKUP(V$2, Percentiles!$A$45:$I$59, 6, FALSE), perc_90, VLOOKUP(V$2, Percentiles!$A$45:$I$59, 7, FALSE), perc_95, VLOOKUP(V$2, Percentiles!$A$45:$I$59, 8, FALSE), perc_85, perc_75 + (perc_90 - perc_75) * (2/3), converted_stat, '2K_Ratings'!V677, IF(bbgm_stat &gt;= perc_95, converted_stat * 3, IF(bbgm_stat &gt;= perc_90, converted_stat * 2, IF(bbgm_stat &gt;= perc_85, converted_stat * 1.5, converted_stat)))))</f>
        <v/>
      </c>
      <c r="W677" s="30" t="str">
        <f t="array" ref="W677">IF($A677="", "", LET(bbgm_stat, INDEX(Players!$A676:$P676, MATCH(W$2, Players!$A$1:$P$1, 0)), perc_75, VLOOKUP(W$2, Percentiles!$A$45:$I$59, 6, FALSE), perc_90, VLOOKUP(W$2, Percentiles!$A$45:$I$59, 7, FALSE), perc_95, VLOOKUP(W$2, Percentiles!$A$45:$I$59, 8, FALSE), perc_85, perc_75 + (perc_90 - perc_75) * (2/3), converted_stat, '2K_Ratings'!W677, IF(bbgm_stat &gt;= perc_95, converted_stat * 3, IF(bbgm_stat &gt;= perc_90, converted_stat * 2, IF(bbgm_stat &gt;= perc_85, converted_stat * 1.5, converted_stat)))))</f>
        <v/>
      </c>
    </row>
    <row r="678">
      <c r="A678" s="30"/>
      <c r="B678" s="30" t="str">
        <f t="array" ref="B678">IF($A678="", "", LET(bbgm_stat, INDEX(Players!$A677:$P677, MATCH(B$2, Players!$A$1:$P$1, 0)), perc_75, VLOOKUP(B$2, Percentiles!$A$45:$I$59, 6, FALSE), perc_90, VLOOKUP(B$2, Percentiles!$A$45:$I$59, 7, FALSE), perc_95, VLOOKUP(B$2, Percentiles!$A$45:$I$59, 8, FALSE), perc_85, perc_75 + (perc_90 - perc_75) * (2/3), converted_stat, '2K_Ratings'!B678, IF(bbgm_stat &gt;= perc_95, converted_stat * 3, IF(bbgm_stat &gt;= perc_90, converted_stat * 2, IF(bbgm_stat &gt;= perc_85, converted_stat * 1.5, converted_stat)))))</f>
        <v/>
      </c>
      <c r="C678" s="30" t="str">
        <f t="array" ref="C678">IF($A678="", "", LET(bbgm_stat, INDEX(Players!$A677:$P677, MATCH(C$2, Players!$A$1:$P$1, 0)), perc_75, VLOOKUP(C$2, Percentiles!$A$45:$I$59, 6, FALSE), perc_90, VLOOKUP(C$2, Percentiles!$A$45:$I$59, 7, FALSE), perc_95, VLOOKUP(C$2, Percentiles!$A$45:$I$59, 8, FALSE), perc_85, perc_75 + (perc_90 - perc_75) * (2/3), converted_stat, '2K_Ratings'!C678, IF(bbgm_stat &gt;= perc_95, converted_stat * 3, IF(bbgm_stat &gt;= perc_90, converted_stat * 2, IF(bbgm_stat &gt;= perc_85, converted_stat * 1.5, converted_stat)))))</f>
        <v/>
      </c>
      <c r="D678" s="30" t="str">
        <f t="array" ref="D678">IF($A678="", "", LET(bbgm_stat, INDEX(Players!$A677:$P677, MATCH(D$2, Players!$A$1:$P$1, 0)), perc_75, VLOOKUP(D$2, Percentiles!$A$45:$I$59, 6, FALSE), perc_90, VLOOKUP(D$2, Percentiles!$A$45:$I$59, 7, FALSE), perc_95, VLOOKUP(D$2, Percentiles!$A$45:$I$59, 8, FALSE), perc_85, perc_75 + (perc_90 - perc_75) * (2/3), converted_stat, '2K_Ratings'!D678, IF(bbgm_stat &gt;= perc_95, converted_stat * 3, IF(bbgm_stat &gt;= perc_90, converted_stat * 2, IF(bbgm_stat &gt;= perc_85, converted_stat * 1.5, converted_stat)))))</f>
        <v/>
      </c>
      <c r="E678" s="30" t="str">
        <f t="array" ref="E678">IF($A678="", "", LET(bbgm_stat, INDEX(Players!$A677:$P677, MATCH(E$2, Players!$A$1:$P$1, 0)), perc_75, VLOOKUP(E$2, Percentiles!$A$45:$I$59, 6, FALSE), perc_90, VLOOKUP(E$2, Percentiles!$A$45:$I$59, 7, FALSE), perc_95, VLOOKUP(E$2, Percentiles!$A$45:$I$59, 8, FALSE), perc_85, perc_75 + (perc_90 - perc_75) * (2/3), converted_stat, '2K_Ratings'!E678, IF(bbgm_stat &gt;= perc_95, converted_stat * 3, IF(bbgm_stat &gt;= perc_90, converted_stat * 2, IF(bbgm_stat &gt;= perc_85, converted_stat * 1.5, converted_stat)))))</f>
        <v/>
      </c>
      <c r="F678" s="30" t="str">
        <f t="array" ref="F678">IF($A678="", "", LET(bbgm_stat, INDEX(Players!$A677:$P677, MATCH(F$2, Players!$A$1:$P$1, 0)), perc_75, VLOOKUP(F$2, Percentiles!$A$45:$I$59, 6, FALSE), perc_90, VLOOKUP(F$2, Percentiles!$A$45:$I$59, 7, FALSE), perc_95, VLOOKUP(F$2, Percentiles!$A$45:$I$59, 8, FALSE), perc_85, perc_75 + (perc_90 - perc_75) * (2/3), converted_stat, '2K_Ratings'!F678, IF(bbgm_stat &gt;= perc_95, converted_stat * 3, IF(bbgm_stat &gt;= perc_90, converted_stat * 2, IF(bbgm_stat &gt;= perc_85, converted_stat * 1.5, converted_stat)))))</f>
        <v/>
      </c>
      <c r="G678" s="30" t="str">
        <f t="array" ref="G678">IF($A678="", "", LET(bbgm_stat, INDEX(Players!$A677:$P677, MATCH(G$2, Players!$A$1:$P$1, 0)), perc_75, VLOOKUP(G$2, Percentiles!$A$45:$I$59, 6, FALSE), perc_90, VLOOKUP(G$2, Percentiles!$A$45:$I$59, 7, FALSE), perc_95, VLOOKUP(G$2, Percentiles!$A$45:$I$59, 8, FALSE), perc_85, perc_75 + (perc_90 - perc_75) * (2/3), converted_stat, '2K_Ratings'!G678, IF(bbgm_stat &gt;= perc_95, converted_stat * 3, IF(bbgm_stat &gt;= perc_90, converted_stat * 2, IF(bbgm_stat &gt;= perc_85, converted_stat * 1.5, converted_stat)))))</f>
        <v/>
      </c>
      <c r="H678" s="30" t="str">
        <f t="array" ref="H678">IF($A678="", "", LET(bbgm_stat, INDEX(Players!$A677:$P677, MATCH(H$2, Players!$A$1:$P$1, 0)), perc_75, VLOOKUP(H$2, Percentiles!$A$45:$I$59, 6, FALSE), perc_90, VLOOKUP(H$2, Percentiles!$A$45:$I$59, 7, FALSE), perc_95, VLOOKUP(H$2, Percentiles!$A$45:$I$59, 8, FALSE), perc_85, perc_75 + (perc_90 - perc_75) * (2/3), converted_stat, '2K_Ratings'!H678, IF(bbgm_stat &gt;= perc_95, converted_stat * 3, IF(bbgm_stat &gt;= perc_90, converted_stat * 2, IF(bbgm_stat &gt;= perc_85, converted_stat * 1.5, converted_stat)))))</f>
        <v/>
      </c>
      <c r="I678" s="30" t="str">
        <f t="array" ref="I678">IF($A678="", "", LET(bbgm_stat, INDEX(Players!$A677:$P677, MATCH(I$2, Players!$A$1:$P$1, 0)), perc_75, VLOOKUP(I$2, Percentiles!$A$45:$I$59, 6, FALSE), perc_90, VLOOKUP(I$2, Percentiles!$A$45:$I$59, 7, FALSE), perc_95, VLOOKUP(I$2, Percentiles!$A$45:$I$59, 8, FALSE), perc_85, perc_75 + (perc_90 - perc_75) * (2/3), converted_stat, '2K_Ratings'!I678, IF(bbgm_stat &gt;= perc_95, converted_stat * 3, IF(bbgm_stat &gt;= perc_90, converted_stat * 2, IF(bbgm_stat &gt;= perc_85, converted_stat * 1.5, converted_stat)))))</f>
        <v/>
      </c>
      <c r="J678" s="30" t="str">
        <f t="array" ref="J678">IF($A678="", "", LET(bbgm_stat, INDEX(Players!$A677:$P677, MATCH(J$2, Players!$A$1:$P$1, 0)), perc_75, VLOOKUP(J$2, Percentiles!$A$45:$I$59, 6, FALSE), perc_90, VLOOKUP(J$2, Percentiles!$A$45:$I$59, 7, FALSE), perc_95, VLOOKUP(J$2, Percentiles!$A$45:$I$59, 8, FALSE), perc_85, perc_75 + (perc_90 - perc_75) * (2/3), converted_stat, '2K_Ratings'!J678, IF(bbgm_stat &gt;= perc_95, converted_stat * 3, IF(bbgm_stat &gt;= perc_90, converted_stat * 2, IF(bbgm_stat &gt;= perc_85, converted_stat * 1.5, converted_stat)))))</f>
        <v/>
      </c>
      <c r="K678" s="30" t="str">
        <f t="array" ref="K678">IF($A678="", "", LET(bbgm_stat, INDEX(Players!$A677:$P677, MATCH(K$2, Players!$A$1:$P$1, 0)), perc_75, VLOOKUP(K$2, Percentiles!$A$45:$I$59, 6, FALSE), perc_90, VLOOKUP(K$2, Percentiles!$A$45:$I$59, 7, FALSE), perc_95, VLOOKUP(K$2, Percentiles!$A$45:$I$59, 8, FALSE), perc_85, perc_75 + (perc_90 - perc_75) * (2/3), converted_stat, '2K_Ratings'!K678, IF(bbgm_stat &gt;= perc_95, converted_stat * 3, IF(bbgm_stat &gt;= perc_90, converted_stat * 2, IF(bbgm_stat &gt;= perc_85, converted_stat * 1.5, converted_stat)))))</f>
        <v/>
      </c>
      <c r="L678" s="30" t="str">
        <f t="array" ref="L678">IF($A678="", "", LET(bbgm_stat, INDEX(Players!$A677:$P677, MATCH(L$2, Players!$A$1:$P$1, 0)), perc_75, VLOOKUP(L$2, Percentiles!$A$45:$I$59, 6, FALSE), perc_90, VLOOKUP(L$2, Percentiles!$A$45:$I$59, 7, FALSE), perc_95, VLOOKUP(L$2, Percentiles!$A$45:$I$59, 8, FALSE), perc_85, perc_75 + (perc_90 - perc_75) * (2/3), converted_stat, '2K_Ratings'!L678, IF(bbgm_stat &gt;= perc_95, converted_stat * 3, IF(bbgm_stat &gt;= perc_90, converted_stat * 2, IF(bbgm_stat &gt;= perc_85, converted_stat * 1.5, converted_stat)))))</f>
        <v/>
      </c>
      <c r="M678" s="30" t="str">
        <f t="array" ref="M678">IF($A678="", "", LET(bbgm_stat, INDEX(Players!$A677:$P677, MATCH(M$2, Players!$A$1:$P$1, 0)), perc_75, VLOOKUP(M$2, Percentiles!$A$45:$I$59, 6, FALSE), perc_90, VLOOKUP(M$2, Percentiles!$A$45:$I$59, 7, FALSE), perc_95, VLOOKUP(M$2, Percentiles!$A$45:$I$59, 8, FALSE), perc_85, perc_75 + (perc_90 - perc_75) * (2/3), converted_stat, '2K_Ratings'!M678, IF(bbgm_stat &gt;= perc_95, converted_stat * 3, IF(bbgm_stat &gt;= perc_90, converted_stat * 2, IF(bbgm_stat &gt;= perc_85, converted_stat * 1.5, converted_stat)))))</f>
        <v/>
      </c>
      <c r="N678" s="30" t="str">
        <f t="array" ref="N678">IF($A678="", "", LET(bbgm_stat, INDEX(Players!$A677:$P677, MATCH(N$2, Players!$A$1:$P$1, 0)), perc_75, VLOOKUP(N$2, Percentiles!$A$45:$I$59, 6, FALSE), perc_90, VLOOKUP(N$2, Percentiles!$A$45:$I$59, 7, FALSE), perc_95, VLOOKUP(N$2, Percentiles!$A$45:$I$59, 8, FALSE), perc_85, perc_75 + (perc_90 - perc_75) * (2/3), converted_stat, '2K_Ratings'!N678, IF(bbgm_stat &gt;= perc_95, converted_stat * 3, IF(bbgm_stat &gt;= perc_90, converted_stat * 2, IF(bbgm_stat &gt;= perc_85, converted_stat * 1.5, converted_stat)))))</f>
        <v/>
      </c>
      <c r="O678" s="30" t="str">
        <f t="array" ref="O678">IF($A678="", "", LET(bbgm_stat, INDEX(Players!$A677:$P677, MATCH(O$2, Players!$A$1:$P$1, 0)), perc_75, VLOOKUP(O$2, Percentiles!$A$45:$I$59, 6, FALSE), perc_90, VLOOKUP(O$2, Percentiles!$A$45:$I$59, 7, FALSE), perc_95, VLOOKUP(O$2, Percentiles!$A$45:$I$59, 8, FALSE), perc_85, perc_75 + (perc_90 - perc_75) * (2/3), converted_stat, '2K_Ratings'!O678, IF(bbgm_stat &gt;= perc_95, converted_stat * 3, IF(bbgm_stat &gt;= perc_90, converted_stat * 2, IF(bbgm_stat &gt;= perc_85, converted_stat * 1.5, converted_stat)))))</f>
        <v/>
      </c>
      <c r="P678" s="30" t="str">
        <f t="array" ref="P678">IF($A678="", "", LET(bbgm_stat, INDEX(Players!$A677:$P677, MATCH(P$2, Players!$A$1:$P$1, 0)), perc_75, VLOOKUP(P$2, Percentiles!$A$45:$I$59, 6, FALSE), perc_90, VLOOKUP(P$2, Percentiles!$A$45:$I$59, 7, FALSE), perc_95, VLOOKUP(P$2, Percentiles!$A$45:$I$59, 8, FALSE), perc_85, perc_75 + (perc_90 - perc_75) * (2/3), converted_stat, '2K_Ratings'!P678, IF(bbgm_stat &gt;= perc_95, converted_stat * 3, IF(bbgm_stat &gt;= perc_90, converted_stat * 2, IF(bbgm_stat &gt;= perc_85, converted_stat * 1.5, converted_stat)))))</f>
        <v/>
      </c>
      <c r="Q678" s="30" t="str">
        <f t="array" ref="Q678">IF($A678="", "", LET(bbgm_stat, INDEX(Players!$A677:$P677, MATCH(Q$2, Players!$A$1:$P$1, 0)), perc_75, VLOOKUP(Q$2, Percentiles!$A$45:$I$59, 6, FALSE), perc_90, VLOOKUP(Q$2, Percentiles!$A$45:$I$59, 7, FALSE), perc_95, VLOOKUP(Q$2, Percentiles!$A$45:$I$59, 8, FALSE), perc_85, perc_75 + (perc_90 - perc_75) * (2/3), converted_stat, '2K_Ratings'!Q678, IF(bbgm_stat &gt;= perc_95, converted_stat * 3, IF(bbgm_stat &gt;= perc_90, converted_stat * 2, IF(bbgm_stat &gt;= perc_85, converted_stat * 1.5, converted_stat)))))</f>
        <v/>
      </c>
      <c r="R678" s="30" t="str">
        <f t="array" ref="R678">IF($A678="", "", LET(bbgm_stat, INDEX(Players!$A677:$P677, MATCH(R$2, Players!$A$1:$P$1, 0)), perc_75, VLOOKUP(R$2, Percentiles!$A$45:$I$59, 6, FALSE), perc_90, VLOOKUP(R$2, Percentiles!$A$45:$I$59, 7, FALSE), perc_95, VLOOKUP(R$2, Percentiles!$A$45:$I$59, 8, FALSE), perc_85, perc_75 + (perc_90 - perc_75) * (2/3), converted_stat, '2K_Ratings'!R678, IF(bbgm_stat &gt;= perc_95, converted_stat * 3, IF(bbgm_stat &gt;= perc_90, converted_stat * 2, IF(bbgm_stat &gt;= perc_85, converted_stat * 1.5, converted_stat)))))</f>
        <v/>
      </c>
      <c r="S678" s="30" t="str">
        <f t="array" ref="S678">IF($A678="", "", LET(bbgm_stat, INDEX(Players!$A677:$P677, MATCH(S$2, Players!$A$1:$P$1, 0)), perc_75, VLOOKUP(S$2, Percentiles!$A$45:$I$59, 6, FALSE), perc_90, VLOOKUP(S$2, Percentiles!$A$45:$I$59, 7, FALSE), perc_95, VLOOKUP(S$2, Percentiles!$A$45:$I$59, 8, FALSE), perc_85, perc_75 + (perc_90 - perc_75) * (2/3), converted_stat, '2K_Ratings'!S678, IF(bbgm_stat &gt;= perc_95, converted_stat * 3, IF(bbgm_stat &gt;= perc_90, converted_stat * 2, IF(bbgm_stat &gt;= perc_85, converted_stat * 1.5, converted_stat)))))</f>
        <v/>
      </c>
      <c r="T678" s="30" t="str">
        <f t="array" ref="T678">IF($A678="", "", LET(bbgm_stat, INDEX(Players!$A677:$P677, MATCH(T$2, Players!$A$1:$P$1, 0)), perc_75, VLOOKUP(T$2, Percentiles!$A$45:$I$59, 6, FALSE), perc_90, VLOOKUP(T$2, Percentiles!$A$45:$I$59, 7, FALSE), perc_95, VLOOKUP(T$2, Percentiles!$A$45:$I$59, 8, FALSE), perc_85, perc_75 + (perc_90 - perc_75) * (2/3), converted_stat, '2K_Ratings'!T678, IF(bbgm_stat &gt;= perc_95, converted_stat * 3, IF(bbgm_stat &gt;= perc_90, converted_stat * 2, IF(bbgm_stat &gt;= perc_85, converted_stat * 1.5, converted_stat)))))</f>
        <v/>
      </c>
      <c r="U678" s="30" t="str">
        <f t="array" ref="U678">IF($A678="", "", LET(bbgm_stat, INDEX(Players!$A677:$P677, MATCH(U$2, Players!$A$1:$P$1, 0)), perc_75, VLOOKUP(U$2, Percentiles!$A$45:$I$59, 6, FALSE), perc_90, VLOOKUP(U$2, Percentiles!$A$45:$I$59, 7, FALSE), perc_95, VLOOKUP(U$2, Percentiles!$A$45:$I$59, 8, FALSE), perc_85, perc_75 + (perc_90 - perc_75) * (2/3), converted_stat, '2K_Ratings'!U678, IF(bbgm_stat &gt;= perc_95, converted_stat * 3, IF(bbgm_stat &gt;= perc_90, converted_stat * 2, IF(bbgm_stat &gt;= perc_85, converted_stat * 1.5, converted_stat)))))</f>
        <v/>
      </c>
      <c r="V678" s="30" t="str">
        <f t="array" ref="V678">IF($A678="", "", LET(bbgm_stat, INDEX(Players!$A677:$P677, MATCH(V$2, Players!$A$1:$P$1, 0)), perc_75, VLOOKUP(V$2, Percentiles!$A$45:$I$59, 6, FALSE), perc_90, VLOOKUP(V$2, Percentiles!$A$45:$I$59, 7, FALSE), perc_95, VLOOKUP(V$2, Percentiles!$A$45:$I$59, 8, FALSE), perc_85, perc_75 + (perc_90 - perc_75) * (2/3), converted_stat, '2K_Ratings'!V678, IF(bbgm_stat &gt;= perc_95, converted_stat * 3, IF(bbgm_stat &gt;= perc_90, converted_stat * 2, IF(bbgm_stat &gt;= perc_85, converted_stat * 1.5, converted_stat)))))</f>
        <v/>
      </c>
      <c r="W678" s="30" t="str">
        <f t="array" ref="W678">IF($A678="", "", LET(bbgm_stat, INDEX(Players!$A677:$P677, MATCH(W$2, Players!$A$1:$P$1, 0)), perc_75, VLOOKUP(W$2, Percentiles!$A$45:$I$59, 6, FALSE), perc_90, VLOOKUP(W$2, Percentiles!$A$45:$I$59, 7, FALSE), perc_95, VLOOKUP(W$2, Percentiles!$A$45:$I$59, 8, FALSE), perc_85, perc_75 + (perc_90 - perc_75) * (2/3), converted_stat, '2K_Ratings'!W678, IF(bbgm_stat &gt;= perc_95, converted_stat * 3, IF(bbgm_stat &gt;= perc_90, converted_stat * 2, IF(bbgm_stat &gt;= perc_85, converted_stat * 1.5, converted_stat)))))</f>
        <v/>
      </c>
    </row>
    <row r="679">
      <c r="A679" s="30"/>
      <c r="B679" s="30" t="str">
        <f t="array" ref="B679">IF($A679="", "", LET(bbgm_stat, INDEX(Players!$A678:$P678, MATCH(B$2, Players!$A$1:$P$1, 0)), perc_75, VLOOKUP(B$2, Percentiles!$A$45:$I$59, 6, FALSE), perc_90, VLOOKUP(B$2, Percentiles!$A$45:$I$59, 7, FALSE), perc_95, VLOOKUP(B$2, Percentiles!$A$45:$I$59, 8, FALSE), perc_85, perc_75 + (perc_90 - perc_75) * (2/3), converted_stat, '2K_Ratings'!B679, IF(bbgm_stat &gt;= perc_95, converted_stat * 3, IF(bbgm_stat &gt;= perc_90, converted_stat * 2, IF(bbgm_stat &gt;= perc_85, converted_stat * 1.5, converted_stat)))))</f>
        <v/>
      </c>
      <c r="C679" s="30" t="str">
        <f t="array" ref="C679">IF($A679="", "", LET(bbgm_stat, INDEX(Players!$A678:$P678, MATCH(C$2, Players!$A$1:$P$1, 0)), perc_75, VLOOKUP(C$2, Percentiles!$A$45:$I$59, 6, FALSE), perc_90, VLOOKUP(C$2, Percentiles!$A$45:$I$59, 7, FALSE), perc_95, VLOOKUP(C$2, Percentiles!$A$45:$I$59, 8, FALSE), perc_85, perc_75 + (perc_90 - perc_75) * (2/3), converted_stat, '2K_Ratings'!C679, IF(bbgm_stat &gt;= perc_95, converted_stat * 3, IF(bbgm_stat &gt;= perc_90, converted_stat * 2, IF(bbgm_stat &gt;= perc_85, converted_stat * 1.5, converted_stat)))))</f>
        <v/>
      </c>
      <c r="D679" s="30" t="str">
        <f t="array" ref="D679">IF($A679="", "", LET(bbgm_stat, INDEX(Players!$A678:$P678, MATCH(D$2, Players!$A$1:$P$1, 0)), perc_75, VLOOKUP(D$2, Percentiles!$A$45:$I$59, 6, FALSE), perc_90, VLOOKUP(D$2, Percentiles!$A$45:$I$59, 7, FALSE), perc_95, VLOOKUP(D$2, Percentiles!$A$45:$I$59, 8, FALSE), perc_85, perc_75 + (perc_90 - perc_75) * (2/3), converted_stat, '2K_Ratings'!D679, IF(bbgm_stat &gt;= perc_95, converted_stat * 3, IF(bbgm_stat &gt;= perc_90, converted_stat * 2, IF(bbgm_stat &gt;= perc_85, converted_stat * 1.5, converted_stat)))))</f>
        <v/>
      </c>
      <c r="E679" s="30" t="str">
        <f t="array" ref="E679">IF($A679="", "", LET(bbgm_stat, INDEX(Players!$A678:$P678, MATCH(E$2, Players!$A$1:$P$1, 0)), perc_75, VLOOKUP(E$2, Percentiles!$A$45:$I$59, 6, FALSE), perc_90, VLOOKUP(E$2, Percentiles!$A$45:$I$59, 7, FALSE), perc_95, VLOOKUP(E$2, Percentiles!$A$45:$I$59, 8, FALSE), perc_85, perc_75 + (perc_90 - perc_75) * (2/3), converted_stat, '2K_Ratings'!E679, IF(bbgm_stat &gt;= perc_95, converted_stat * 3, IF(bbgm_stat &gt;= perc_90, converted_stat * 2, IF(bbgm_stat &gt;= perc_85, converted_stat * 1.5, converted_stat)))))</f>
        <v/>
      </c>
      <c r="F679" s="30" t="str">
        <f t="array" ref="F679">IF($A679="", "", LET(bbgm_stat, INDEX(Players!$A678:$P678, MATCH(F$2, Players!$A$1:$P$1, 0)), perc_75, VLOOKUP(F$2, Percentiles!$A$45:$I$59, 6, FALSE), perc_90, VLOOKUP(F$2, Percentiles!$A$45:$I$59, 7, FALSE), perc_95, VLOOKUP(F$2, Percentiles!$A$45:$I$59, 8, FALSE), perc_85, perc_75 + (perc_90 - perc_75) * (2/3), converted_stat, '2K_Ratings'!F679, IF(bbgm_stat &gt;= perc_95, converted_stat * 3, IF(bbgm_stat &gt;= perc_90, converted_stat * 2, IF(bbgm_stat &gt;= perc_85, converted_stat * 1.5, converted_stat)))))</f>
        <v/>
      </c>
      <c r="G679" s="30" t="str">
        <f t="array" ref="G679">IF($A679="", "", LET(bbgm_stat, INDEX(Players!$A678:$P678, MATCH(G$2, Players!$A$1:$P$1, 0)), perc_75, VLOOKUP(G$2, Percentiles!$A$45:$I$59, 6, FALSE), perc_90, VLOOKUP(G$2, Percentiles!$A$45:$I$59, 7, FALSE), perc_95, VLOOKUP(G$2, Percentiles!$A$45:$I$59, 8, FALSE), perc_85, perc_75 + (perc_90 - perc_75) * (2/3), converted_stat, '2K_Ratings'!G679, IF(bbgm_stat &gt;= perc_95, converted_stat * 3, IF(bbgm_stat &gt;= perc_90, converted_stat * 2, IF(bbgm_stat &gt;= perc_85, converted_stat * 1.5, converted_stat)))))</f>
        <v/>
      </c>
      <c r="H679" s="30" t="str">
        <f t="array" ref="H679">IF($A679="", "", LET(bbgm_stat, INDEX(Players!$A678:$P678, MATCH(H$2, Players!$A$1:$P$1, 0)), perc_75, VLOOKUP(H$2, Percentiles!$A$45:$I$59, 6, FALSE), perc_90, VLOOKUP(H$2, Percentiles!$A$45:$I$59, 7, FALSE), perc_95, VLOOKUP(H$2, Percentiles!$A$45:$I$59, 8, FALSE), perc_85, perc_75 + (perc_90 - perc_75) * (2/3), converted_stat, '2K_Ratings'!H679, IF(bbgm_stat &gt;= perc_95, converted_stat * 3, IF(bbgm_stat &gt;= perc_90, converted_stat * 2, IF(bbgm_stat &gt;= perc_85, converted_stat * 1.5, converted_stat)))))</f>
        <v/>
      </c>
      <c r="I679" s="30" t="str">
        <f t="array" ref="I679">IF($A679="", "", LET(bbgm_stat, INDEX(Players!$A678:$P678, MATCH(I$2, Players!$A$1:$P$1, 0)), perc_75, VLOOKUP(I$2, Percentiles!$A$45:$I$59, 6, FALSE), perc_90, VLOOKUP(I$2, Percentiles!$A$45:$I$59, 7, FALSE), perc_95, VLOOKUP(I$2, Percentiles!$A$45:$I$59, 8, FALSE), perc_85, perc_75 + (perc_90 - perc_75) * (2/3), converted_stat, '2K_Ratings'!I679, IF(bbgm_stat &gt;= perc_95, converted_stat * 3, IF(bbgm_stat &gt;= perc_90, converted_stat * 2, IF(bbgm_stat &gt;= perc_85, converted_stat * 1.5, converted_stat)))))</f>
        <v/>
      </c>
      <c r="J679" s="30" t="str">
        <f t="array" ref="J679">IF($A679="", "", LET(bbgm_stat, INDEX(Players!$A678:$P678, MATCH(J$2, Players!$A$1:$P$1, 0)), perc_75, VLOOKUP(J$2, Percentiles!$A$45:$I$59, 6, FALSE), perc_90, VLOOKUP(J$2, Percentiles!$A$45:$I$59, 7, FALSE), perc_95, VLOOKUP(J$2, Percentiles!$A$45:$I$59, 8, FALSE), perc_85, perc_75 + (perc_90 - perc_75) * (2/3), converted_stat, '2K_Ratings'!J679, IF(bbgm_stat &gt;= perc_95, converted_stat * 3, IF(bbgm_stat &gt;= perc_90, converted_stat * 2, IF(bbgm_stat &gt;= perc_85, converted_stat * 1.5, converted_stat)))))</f>
        <v/>
      </c>
      <c r="K679" s="30" t="str">
        <f t="array" ref="K679">IF($A679="", "", LET(bbgm_stat, INDEX(Players!$A678:$P678, MATCH(K$2, Players!$A$1:$P$1, 0)), perc_75, VLOOKUP(K$2, Percentiles!$A$45:$I$59, 6, FALSE), perc_90, VLOOKUP(K$2, Percentiles!$A$45:$I$59, 7, FALSE), perc_95, VLOOKUP(K$2, Percentiles!$A$45:$I$59, 8, FALSE), perc_85, perc_75 + (perc_90 - perc_75) * (2/3), converted_stat, '2K_Ratings'!K679, IF(bbgm_stat &gt;= perc_95, converted_stat * 3, IF(bbgm_stat &gt;= perc_90, converted_stat * 2, IF(bbgm_stat &gt;= perc_85, converted_stat * 1.5, converted_stat)))))</f>
        <v/>
      </c>
      <c r="L679" s="30" t="str">
        <f t="array" ref="L679">IF($A679="", "", LET(bbgm_stat, INDEX(Players!$A678:$P678, MATCH(L$2, Players!$A$1:$P$1, 0)), perc_75, VLOOKUP(L$2, Percentiles!$A$45:$I$59, 6, FALSE), perc_90, VLOOKUP(L$2, Percentiles!$A$45:$I$59, 7, FALSE), perc_95, VLOOKUP(L$2, Percentiles!$A$45:$I$59, 8, FALSE), perc_85, perc_75 + (perc_90 - perc_75) * (2/3), converted_stat, '2K_Ratings'!L679, IF(bbgm_stat &gt;= perc_95, converted_stat * 3, IF(bbgm_stat &gt;= perc_90, converted_stat * 2, IF(bbgm_stat &gt;= perc_85, converted_stat * 1.5, converted_stat)))))</f>
        <v/>
      </c>
      <c r="M679" s="30" t="str">
        <f t="array" ref="M679">IF($A679="", "", LET(bbgm_stat, INDEX(Players!$A678:$P678, MATCH(M$2, Players!$A$1:$P$1, 0)), perc_75, VLOOKUP(M$2, Percentiles!$A$45:$I$59, 6, FALSE), perc_90, VLOOKUP(M$2, Percentiles!$A$45:$I$59, 7, FALSE), perc_95, VLOOKUP(M$2, Percentiles!$A$45:$I$59, 8, FALSE), perc_85, perc_75 + (perc_90 - perc_75) * (2/3), converted_stat, '2K_Ratings'!M679, IF(bbgm_stat &gt;= perc_95, converted_stat * 3, IF(bbgm_stat &gt;= perc_90, converted_stat * 2, IF(bbgm_stat &gt;= perc_85, converted_stat * 1.5, converted_stat)))))</f>
        <v/>
      </c>
      <c r="N679" s="30" t="str">
        <f t="array" ref="N679">IF($A679="", "", LET(bbgm_stat, INDEX(Players!$A678:$P678, MATCH(N$2, Players!$A$1:$P$1, 0)), perc_75, VLOOKUP(N$2, Percentiles!$A$45:$I$59, 6, FALSE), perc_90, VLOOKUP(N$2, Percentiles!$A$45:$I$59, 7, FALSE), perc_95, VLOOKUP(N$2, Percentiles!$A$45:$I$59, 8, FALSE), perc_85, perc_75 + (perc_90 - perc_75) * (2/3), converted_stat, '2K_Ratings'!N679, IF(bbgm_stat &gt;= perc_95, converted_stat * 3, IF(bbgm_stat &gt;= perc_90, converted_stat * 2, IF(bbgm_stat &gt;= perc_85, converted_stat * 1.5, converted_stat)))))</f>
        <v/>
      </c>
      <c r="O679" s="30" t="str">
        <f t="array" ref="O679">IF($A679="", "", LET(bbgm_stat, INDEX(Players!$A678:$P678, MATCH(O$2, Players!$A$1:$P$1, 0)), perc_75, VLOOKUP(O$2, Percentiles!$A$45:$I$59, 6, FALSE), perc_90, VLOOKUP(O$2, Percentiles!$A$45:$I$59, 7, FALSE), perc_95, VLOOKUP(O$2, Percentiles!$A$45:$I$59, 8, FALSE), perc_85, perc_75 + (perc_90 - perc_75) * (2/3), converted_stat, '2K_Ratings'!O679, IF(bbgm_stat &gt;= perc_95, converted_stat * 3, IF(bbgm_stat &gt;= perc_90, converted_stat * 2, IF(bbgm_stat &gt;= perc_85, converted_stat * 1.5, converted_stat)))))</f>
        <v/>
      </c>
      <c r="P679" s="30" t="str">
        <f t="array" ref="P679">IF($A679="", "", LET(bbgm_stat, INDEX(Players!$A678:$P678, MATCH(P$2, Players!$A$1:$P$1, 0)), perc_75, VLOOKUP(P$2, Percentiles!$A$45:$I$59, 6, FALSE), perc_90, VLOOKUP(P$2, Percentiles!$A$45:$I$59, 7, FALSE), perc_95, VLOOKUP(P$2, Percentiles!$A$45:$I$59, 8, FALSE), perc_85, perc_75 + (perc_90 - perc_75) * (2/3), converted_stat, '2K_Ratings'!P679, IF(bbgm_stat &gt;= perc_95, converted_stat * 3, IF(bbgm_stat &gt;= perc_90, converted_stat * 2, IF(bbgm_stat &gt;= perc_85, converted_stat * 1.5, converted_stat)))))</f>
        <v/>
      </c>
      <c r="Q679" s="30" t="str">
        <f t="array" ref="Q679">IF($A679="", "", LET(bbgm_stat, INDEX(Players!$A678:$P678, MATCH(Q$2, Players!$A$1:$P$1, 0)), perc_75, VLOOKUP(Q$2, Percentiles!$A$45:$I$59, 6, FALSE), perc_90, VLOOKUP(Q$2, Percentiles!$A$45:$I$59, 7, FALSE), perc_95, VLOOKUP(Q$2, Percentiles!$A$45:$I$59, 8, FALSE), perc_85, perc_75 + (perc_90 - perc_75) * (2/3), converted_stat, '2K_Ratings'!Q679, IF(bbgm_stat &gt;= perc_95, converted_stat * 3, IF(bbgm_stat &gt;= perc_90, converted_stat * 2, IF(bbgm_stat &gt;= perc_85, converted_stat * 1.5, converted_stat)))))</f>
        <v/>
      </c>
      <c r="R679" s="30" t="str">
        <f t="array" ref="R679">IF($A679="", "", LET(bbgm_stat, INDEX(Players!$A678:$P678, MATCH(R$2, Players!$A$1:$P$1, 0)), perc_75, VLOOKUP(R$2, Percentiles!$A$45:$I$59, 6, FALSE), perc_90, VLOOKUP(R$2, Percentiles!$A$45:$I$59, 7, FALSE), perc_95, VLOOKUP(R$2, Percentiles!$A$45:$I$59, 8, FALSE), perc_85, perc_75 + (perc_90 - perc_75) * (2/3), converted_stat, '2K_Ratings'!R679, IF(bbgm_stat &gt;= perc_95, converted_stat * 3, IF(bbgm_stat &gt;= perc_90, converted_stat * 2, IF(bbgm_stat &gt;= perc_85, converted_stat * 1.5, converted_stat)))))</f>
        <v/>
      </c>
      <c r="S679" s="30" t="str">
        <f t="array" ref="S679">IF($A679="", "", LET(bbgm_stat, INDEX(Players!$A678:$P678, MATCH(S$2, Players!$A$1:$P$1, 0)), perc_75, VLOOKUP(S$2, Percentiles!$A$45:$I$59, 6, FALSE), perc_90, VLOOKUP(S$2, Percentiles!$A$45:$I$59, 7, FALSE), perc_95, VLOOKUP(S$2, Percentiles!$A$45:$I$59, 8, FALSE), perc_85, perc_75 + (perc_90 - perc_75) * (2/3), converted_stat, '2K_Ratings'!S679, IF(bbgm_stat &gt;= perc_95, converted_stat * 3, IF(bbgm_stat &gt;= perc_90, converted_stat * 2, IF(bbgm_stat &gt;= perc_85, converted_stat * 1.5, converted_stat)))))</f>
        <v/>
      </c>
      <c r="T679" s="30" t="str">
        <f t="array" ref="T679">IF($A679="", "", LET(bbgm_stat, INDEX(Players!$A678:$P678, MATCH(T$2, Players!$A$1:$P$1, 0)), perc_75, VLOOKUP(T$2, Percentiles!$A$45:$I$59, 6, FALSE), perc_90, VLOOKUP(T$2, Percentiles!$A$45:$I$59, 7, FALSE), perc_95, VLOOKUP(T$2, Percentiles!$A$45:$I$59, 8, FALSE), perc_85, perc_75 + (perc_90 - perc_75) * (2/3), converted_stat, '2K_Ratings'!T679, IF(bbgm_stat &gt;= perc_95, converted_stat * 3, IF(bbgm_stat &gt;= perc_90, converted_stat * 2, IF(bbgm_stat &gt;= perc_85, converted_stat * 1.5, converted_stat)))))</f>
        <v/>
      </c>
      <c r="U679" s="30" t="str">
        <f t="array" ref="U679">IF($A679="", "", LET(bbgm_stat, INDEX(Players!$A678:$P678, MATCH(U$2, Players!$A$1:$P$1, 0)), perc_75, VLOOKUP(U$2, Percentiles!$A$45:$I$59, 6, FALSE), perc_90, VLOOKUP(U$2, Percentiles!$A$45:$I$59, 7, FALSE), perc_95, VLOOKUP(U$2, Percentiles!$A$45:$I$59, 8, FALSE), perc_85, perc_75 + (perc_90 - perc_75) * (2/3), converted_stat, '2K_Ratings'!U679, IF(bbgm_stat &gt;= perc_95, converted_stat * 3, IF(bbgm_stat &gt;= perc_90, converted_stat * 2, IF(bbgm_stat &gt;= perc_85, converted_stat * 1.5, converted_stat)))))</f>
        <v/>
      </c>
      <c r="V679" s="30" t="str">
        <f t="array" ref="V679">IF($A679="", "", LET(bbgm_stat, INDEX(Players!$A678:$P678, MATCH(V$2, Players!$A$1:$P$1, 0)), perc_75, VLOOKUP(V$2, Percentiles!$A$45:$I$59, 6, FALSE), perc_90, VLOOKUP(V$2, Percentiles!$A$45:$I$59, 7, FALSE), perc_95, VLOOKUP(V$2, Percentiles!$A$45:$I$59, 8, FALSE), perc_85, perc_75 + (perc_90 - perc_75) * (2/3), converted_stat, '2K_Ratings'!V679, IF(bbgm_stat &gt;= perc_95, converted_stat * 3, IF(bbgm_stat &gt;= perc_90, converted_stat * 2, IF(bbgm_stat &gt;= perc_85, converted_stat * 1.5, converted_stat)))))</f>
        <v/>
      </c>
      <c r="W679" s="30" t="str">
        <f t="array" ref="W679">IF($A679="", "", LET(bbgm_stat, INDEX(Players!$A678:$P678, MATCH(W$2, Players!$A$1:$P$1, 0)), perc_75, VLOOKUP(W$2, Percentiles!$A$45:$I$59, 6, FALSE), perc_90, VLOOKUP(W$2, Percentiles!$A$45:$I$59, 7, FALSE), perc_95, VLOOKUP(W$2, Percentiles!$A$45:$I$59, 8, FALSE), perc_85, perc_75 + (perc_90 - perc_75) * (2/3), converted_stat, '2K_Ratings'!W679, IF(bbgm_stat &gt;= perc_95, converted_stat * 3, IF(bbgm_stat &gt;= perc_90, converted_stat * 2, IF(bbgm_stat &gt;= perc_85, converted_stat * 1.5, converted_stat)))))</f>
        <v/>
      </c>
    </row>
    <row r="680">
      <c r="A680" s="30"/>
      <c r="B680" s="30" t="str">
        <f t="array" ref="B680">IF($A680="", "", LET(bbgm_stat, INDEX(Players!$A679:$P679, MATCH(B$2, Players!$A$1:$P$1, 0)), perc_75, VLOOKUP(B$2, Percentiles!$A$45:$I$59, 6, FALSE), perc_90, VLOOKUP(B$2, Percentiles!$A$45:$I$59, 7, FALSE), perc_95, VLOOKUP(B$2, Percentiles!$A$45:$I$59, 8, FALSE), perc_85, perc_75 + (perc_90 - perc_75) * (2/3), converted_stat, '2K_Ratings'!B680, IF(bbgm_stat &gt;= perc_95, converted_stat * 3, IF(bbgm_stat &gt;= perc_90, converted_stat * 2, IF(bbgm_stat &gt;= perc_85, converted_stat * 1.5, converted_stat)))))</f>
        <v/>
      </c>
      <c r="C680" s="30" t="str">
        <f t="array" ref="C680">IF($A680="", "", LET(bbgm_stat, INDEX(Players!$A679:$P679, MATCH(C$2, Players!$A$1:$P$1, 0)), perc_75, VLOOKUP(C$2, Percentiles!$A$45:$I$59, 6, FALSE), perc_90, VLOOKUP(C$2, Percentiles!$A$45:$I$59, 7, FALSE), perc_95, VLOOKUP(C$2, Percentiles!$A$45:$I$59, 8, FALSE), perc_85, perc_75 + (perc_90 - perc_75) * (2/3), converted_stat, '2K_Ratings'!C680, IF(bbgm_stat &gt;= perc_95, converted_stat * 3, IF(bbgm_stat &gt;= perc_90, converted_stat * 2, IF(bbgm_stat &gt;= perc_85, converted_stat * 1.5, converted_stat)))))</f>
        <v/>
      </c>
      <c r="D680" s="30" t="str">
        <f t="array" ref="D680">IF($A680="", "", LET(bbgm_stat, INDEX(Players!$A679:$P679, MATCH(D$2, Players!$A$1:$P$1, 0)), perc_75, VLOOKUP(D$2, Percentiles!$A$45:$I$59, 6, FALSE), perc_90, VLOOKUP(D$2, Percentiles!$A$45:$I$59, 7, FALSE), perc_95, VLOOKUP(D$2, Percentiles!$A$45:$I$59, 8, FALSE), perc_85, perc_75 + (perc_90 - perc_75) * (2/3), converted_stat, '2K_Ratings'!D680, IF(bbgm_stat &gt;= perc_95, converted_stat * 3, IF(bbgm_stat &gt;= perc_90, converted_stat * 2, IF(bbgm_stat &gt;= perc_85, converted_stat * 1.5, converted_stat)))))</f>
        <v/>
      </c>
      <c r="E680" s="30" t="str">
        <f t="array" ref="E680">IF($A680="", "", LET(bbgm_stat, INDEX(Players!$A679:$P679, MATCH(E$2, Players!$A$1:$P$1, 0)), perc_75, VLOOKUP(E$2, Percentiles!$A$45:$I$59, 6, FALSE), perc_90, VLOOKUP(E$2, Percentiles!$A$45:$I$59, 7, FALSE), perc_95, VLOOKUP(E$2, Percentiles!$A$45:$I$59, 8, FALSE), perc_85, perc_75 + (perc_90 - perc_75) * (2/3), converted_stat, '2K_Ratings'!E680, IF(bbgm_stat &gt;= perc_95, converted_stat * 3, IF(bbgm_stat &gt;= perc_90, converted_stat * 2, IF(bbgm_stat &gt;= perc_85, converted_stat * 1.5, converted_stat)))))</f>
        <v/>
      </c>
      <c r="F680" s="30" t="str">
        <f t="array" ref="F680">IF($A680="", "", LET(bbgm_stat, INDEX(Players!$A679:$P679, MATCH(F$2, Players!$A$1:$P$1, 0)), perc_75, VLOOKUP(F$2, Percentiles!$A$45:$I$59, 6, FALSE), perc_90, VLOOKUP(F$2, Percentiles!$A$45:$I$59, 7, FALSE), perc_95, VLOOKUP(F$2, Percentiles!$A$45:$I$59, 8, FALSE), perc_85, perc_75 + (perc_90 - perc_75) * (2/3), converted_stat, '2K_Ratings'!F680, IF(bbgm_stat &gt;= perc_95, converted_stat * 3, IF(bbgm_stat &gt;= perc_90, converted_stat * 2, IF(bbgm_stat &gt;= perc_85, converted_stat * 1.5, converted_stat)))))</f>
        <v/>
      </c>
      <c r="G680" s="30" t="str">
        <f t="array" ref="G680">IF($A680="", "", LET(bbgm_stat, INDEX(Players!$A679:$P679, MATCH(G$2, Players!$A$1:$P$1, 0)), perc_75, VLOOKUP(G$2, Percentiles!$A$45:$I$59, 6, FALSE), perc_90, VLOOKUP(G$2, Percentiles!$A$45:$I$59, 7, FALSE), perc_95, VLOOKUP(G$2, Percentiles!$A$45:$I$59, 8, FALSE), perc_85, perc_75 + (perc_90 - perc_75) * (2/3), converted_stat, '2K_Ratings'!G680, IF(bbgm_stat &gt;= perc_95, converted_stat * 3, IF(bbgm_stat &gt;= perc_90, converted_stat * 2, IF(bbgm_stat &gt;= perc_85, converted_stat * 1.5, converted_stat)))))</f>
        <v/>
      </c>
      <c r="H680" s="30" t="str">
        <f t="array" ref="H680">IF($A680="", "", LET(bbgm_stat, INDEX(Players!$A679:$P679, MATCH(H$2, Players!$A$1:$P$1, 0)), perc_75, VLOOKUP(H$2, Percentiles!$A$45:$I$59, 6, FALSE), perc_90, VLOOKUP(H$2, Percentiles!$A$45:$I$59, 7, FALSE), perc_95, VLOOKUP(H$2, Percentiles!$A$45:$I$59, 8, FALSE), perc_85, perc_75 + (perc_90 - perc_75) * (2/3), converted_stat, '2K_Ratings'!H680, IF(bbgm_stat &gt;= perc_95, converted_stat * 3, IF(bbgm_stat &gt;= perc_90, converted_stat * 2, IF(bbgm_stat &gt;= perc_85, converted_stat * 1.5, converted_stat)))))</f>
        <v/>
      </c>
      <c r="I680" s="30" t="str">
        <f t="array" ref="I680">IF($A680="", "", LET(bbgm_stat, INDEX(Players!$A679:$P679, MATCH(I$2, Players!$A$1:$P$1, 0)), perc_75, VLOOKUP(I$2, Percentiles!$A$45:$I$59, 6, FALSE), perc_90, VLOOKUP(I$2, Percentiles!$A$45:$I$59, 7, FALSE), perc_95, VLOOKUP(I$2, Percentiles!$A$45:$I$59, 8, FALSE), perc_85, perc_75 + (perc_90 - perc_75) * (2/3), converted_stat, '2K_Ratings'!I680, IF(bbgm_stat &gt;= perc_95, converted_stat * 3, IF(bbgm_stat &gt;= perc_90, converted_stat * 2, IF(bbgm_stat &gt;= perc_85, converted_stat * 1.5, converted_stat)))))</f>
        <v/>
      </c>
      <c r="J680" s="30" t="str">
        <f t="array" ref="J680">IF($A680="", "", LET(bbgm_stat, INDEX(Players!$A679:$P679, MATCH(J$2, Players!$A$1:$P$1, 0)), perc_75, VLOOKUP(J$2, Percentiles!$A$45:$I$59, 6, FALSE), perc_90, VLOOKUP(J$2, Percentiles!$A$45:$I$59, 7, FALSE), perc_95, VLOOKUP(J$2, Percentiles!$A$45:$I$59, 8, FALSE), perc_85, perc_75 + (perc_90 - perc_75) * (2/3), converted_stat, '2K_Ratings'!J680, IF(bbgm_stat &gt;= perc_95, converted_stat * 3, IF(bbgm_stat &gt;= perc_90, converted_stat * 2, IF(bbgm_stat &gt;= perc_85, converted_stat * 1.5, converted_stat)))))</f>
        <v/>
      </c>
      <c r="K680" s="30" t="str">
        <f t="array" ref="K680">IF($A680="", "", LET(bbgm_stat, INDEX(Players!$A679:$P679, MATCH(K$2, Players!$A$1:$P$1, 0)), perc_75, VLOOKUP(K$2, Percentiles!$A$45:$I$59, 6, FALSE), perc_90, VLOOKUP(K$2, Percentiles!$A$45:$I$59, 7, FALSE), perc_95, VLOOKUP(K$2, Percentiles!$A$45:$I$59, 8, FALSE), perc_85, perc_75 + (perc_90 - perc_75) * (2/3), converted_stat, '2K_Ratings'!K680, IF(bbgm_stat &gt;= perc_95, converted_stat * 3, IF(bbgm_stat &gt;= perc_90, converted_stat * 2, IF(bbgm_stat &gt;= perc_85, converted_stat * 1.5, converted_stat)))))</f>
        <v/>
      </c>
      <c r="L680" s="30" t="str">
        <f t="array" ref="L680">IF($A680="", "", LET(bbgm_stat, INDEX(Players!$A679:$P679, MATCH(L$2, Players!$A$1:$P$1, 0)), perc_75, VLOOKUP(L$2, Percentiles!$A$45:$I$59, 6, FALSE), perc_90, VLOOKUP(L$2, Percentiles!$A$45:$I$59, 7, FALSE), perc_95, VLOOKUP(L$2, Percentiles!$A$45:$I$59, 8, FALSE), perc_85, perc_75 + (perc_90 - perc_75) * (2/3), converted_stat, '2K_Ratings'!L680, IF(bbgm_stat &gt;= perc_95, converted_stat * 3, IF(bbgm_stat &gt;= perc_90, converted_stat * 2, IF(bbgm_stat &gt;= perc_85, converted_stat * 1.5, converted_stat)))))</f>
        <v/>
      </c>
      <c r="M680" s="30" t="str">
        <f t="array" ref="M680">IF($A680="", "", LET(bbgm_stat, INDEX(Players!$A679:$P679, MATCH(M$2, Players!$A$1:$P$1, 0)), perc_75, VLOOKUP(M$2, Percentiles!$A$45:$I$59, 6, FALSE), perc_90, VLOOKUP(M$2, Percentiles!$A$45:$I$59, 7, FALSE), perc_95, VLOOKUP(M$2, Percentiles!$A$45:$I$59, 8, FALSE), perc_85, perc_75 + (perc_90 - perc_75) * (2/3), converted_stat, '2K_Ratings'!M680, IF(bbgm_stat &gt;= perc_95, converted_stat * 3, IF(bbgm_stat &gt;= perc_90, converted_stat * 2, IF(bbgm_stat &gt;= perc_85, converted_stat * 1.5, converted_stat)))))</f>
        <v/>
      </c>
      <c r="N680" s="30" t="str">
        <f t="array" ref="N680">IF($A680="", "", LET(bbgm_stat, INDEX(Players!$A679:$P679, MATCH(N$2, Players!$A$1:$P$1, 0)), perc_75, VLOOKUP(N$2, Percentiles!$A$45:$I$59, 6, FALSE), perc_90, VLOOKUP(N$2, Percentiles!$A$45:$I$59, 7, FALSE), perc_95, VLOOKUP(N$2, Percentiles!$A$45:$I$59, 8, FALSE), perc_85, perc_75 + (perc_90 - perc_75) * (2/3), converted_stat, '2K_Ratings'!N680, IF(bbgm_stat &gt;= perc_95, converted_stat * 3, IF(bbgm_stat &gt;= perc_90, converted_stat * 2, IF(bbgm_stat &gt;= perc_85, converted_stat * 1.5, converted_stat)))))</f>
        <v/>
      </c>
      <c r="O680" s="30" t="str">
        <f t="array" ref="O680">IF($A680="", "", LET(bbgm_stat, INDEX(Players!$A679:$P679, MATCH(O$2, Players!$A$1:$P$1, 0)), perc_75, VLOOKUP(O$2, Percentiles!$A$45:$I$59, 6, FALSE), perc_90, VLOOKUP(O$2, Percentiles!$A$45:$I$59, 7, FALSE), perc_95, VLOOKUP(O$2, Percentiles!$A$45:$I$59, 8, FALSE), perc_85, perc_75 + (perc_90 - perc_75) * (2/3), converted_stat, '2K_Ratings'!O680, IF(bbgm_stat &gt;= perc_95, converted_stat * 3, IF(bbgm_stat &gt;= perc_90, converted_stat * 2, IF(bbgm_stat &gt;= perc_85, converted_stat * 1.5, converted_stat)))))</f>
        <v/>
      </c>
      <c r="P680" s="30" t="str">
        <f t="array" ref="P680">IF($A680="", "", LET(bbgm_stat, INDEX(Players!$A679:$P679, MATCH(P$2, Players!$A$1:$P$1, 0)), perc_75, VLOOKUP(P$2, Percentiles!$A$45:$I$59, 6, FALSE), perc_90, VLOOKUP(P$2, Percentiles!$A$45:$I$59, 7, FALSE), perc_95, VLOOKUP(P$2, Percentiles!$A$45:$I$59, 8, FALSE), perc_85, perc_75 + (perc_90 - perc_75) * (2/3), converted_stat, '2K_Ratings'!P680, IF(bbgm_stat &gt;= perc_95, converted_stat * 3, IF(bbgm_stat &gt;= perc_90, converted_stat * 2, IF(bbgm_stat &gt;= perc_85, converted_stat * 1.5, converted_stat)))))</f>
        <v/>
      </c>
      <c r="Q680" s="30" t="str">
        <f t="array" ref="Q680">IF($A680="", "", LET(bbgm_stat, INDEX(Players!$A679:$P679, MATCH(Q$2, Players!$A$1:$P$1, 0)), perc_75, VLOOKUP(Q$2, Percentiles!$A$45:$I$59, 6, FALSE), perc_90, VLOOKUP(Q$2, Percentiles!$A$45:$I$59, 7, FALSE), perc_95, VLOOKUP(Q$2, Percentiles!$A$45:$I$59, 8, FALSE), perc_85, perc_75 + (perc_90 - perc_75) * (2/3), converted_stat, '2K_Ratings'!Q680, IF(bbgm_stat &gt;= perc_95, converted_stat * 3, IF(bbgm_stat &gt;= perc_90, converted_stat * 2, IF(bbgm_stat &gt;= perc_85, converted_stat * 1.5, converted_stat)))))</f>
        <v/>
      </c>
      <c r="R680" s="30" t="str">
        <f t="array" ref="R680">IF($A680="", "", LET(bbgm_stat, INDEX(Players!$A679:$P679, MATCH(R$2, Players!$A$1:$P$1, 0)), perc_75, VLOOKUP(R$2, Percentiles!$A$45:$I$59, 6, FALSE), perc_90, VLOOKUP(R$2, Percentiles!$A$45:$I$59, 7, FALSE), perc_95, VLOOKUP(R$2, Percentiles!$A$45:$I$59, 8, FALSE), perc_85, perc_75 + (perc_90 - perc_75) * (2/3), converted_stat, '2K_Ratings'!R680, IF(bbgm_stat &gt;= perc_95, converted_stat * 3, IF(bbgm_stat &gt;= perc_90, converted_stat * 2, IF(bbgm_stat &gt;= perc_85, converted_stat * 1.5, converted_stat)))))</f>
        <v/>
      </c>
      <c r="S680" s="30" t="str">
        <f t="array" ref="S680">IF($A680="", "", LET(bbgm_stat, INDEX(Players!$A679:$P679, MATCH(S$2, Players!$A$1:$P$1, 0)), perc_75, VLOOKUP(S$2, Percentiles!$A$45:$I$59, 6, FALSE), perc_90, VLOOKUP(S$2, Percentiles!$A$45:$I$59, 7, FALSE), perc_95, VLOOKUP(S$2, Percentiles!$A$45:$I$59, 8, FALSE), perc_85, perc_75 + (perc_90 - perc_75) * (2/3), converted_stat, '2K_Ratings'!S680, IF(bbgm_stat &gt;= perc_95, converted_stat * 3, IF(bbgm_stat &gt;= perc_90, converted_stat * 2, IF(bbgm_stat &gt;= perc_85, converted_stat * 1.5, converted_stat)))))</f>
        <v/>
      </c>
      <c r="T680" s="30" t="str">
        <f t="array" ref="T680">IF($A680="", "", LET(bbgm_stat, INDEX(Players!$A679:$P679, MATCH(T$2, Players!$A$1:$P$1, 0)), perc_75, VLOOKUP(T$2, Percentiles!$A$45:$I$59, 6, FALSE), perc_90, VLOOKUP(T$2, Percentiles!$A$45:$I$59, 7, FALSE), perc_95, VLOOKUP(T$2, Percentiles!$A$45:$I$59, 8, FALSE), perc_85, perc_75 + (perc_90 - perc_75) * (2/3), converted_stat, '2K_Ratings'!T680, IF(bbgm_stat &gt;= perc_95, converted_stat * 3, IF(bbgm_stat &gt;= perc_90, converted_stat * 2, IF(bbgm_stat &gt;= perc_85, converted_stat * 1.5, converted_stat)))))</f>
        <v/>
      </c>
      <c r="U680" s="30" t="str">
        <f t="array" ref="U680">IF($A680="", "", LET(bbgm_stat, INDEX(Players!$A679:$P679, MATCH(U$2, Players!$A$1:$P$1, 0)), perc_75, VLOOKUP(U$2, Percentiles!$A$45:$I$59, 6, FALSE), perc_90, VLOOKUP(U$2, Percentiles!$A$45:$I$59, 7, FALSE), perc_95, VLOOKUP(U$2, Percentiles!$A$45:$I$59, 8, FALSE), perc_85, perc_75 + (perc_90 - perc_75) * (2/3), converted_stat, '2K_Ratings'!U680, IF(bbgm_stat &gt;= perc_95, converted_stat * 3, IF(bbgm_stat &gt;= perc_90, converted_stat * 2, IF(bbgm_stat &gt;= perc_85, converted_stat * 1.5, converted_stat)))))</f>
        <v/>
      </c>
      <c r="V680" s="30" t="str">
        <f t="array" ref="V680">IF($A680="", "", LET(bbgm_stat, INDEX(Players!$A679:$P679, MATCH(V$2, Players!$A$1:$P$1, 0)), perc_75, VLOOKUP(V$2, Percentiles!$A$45:$I$59, 6, FALSE), perc_90, VLOOKUP(V$2, Percentiles!$A$45:$I$59, 7, FALSE), perc_95, VLOOKUP(V$2, Percentiles!$A$45:$I$59, 8, FALSE), perc_85, perc_75 + (perc_90 - perc_75) * (2/3), converted_stat, '2K_Ratings'!V680, IF(bbgm_stat &gt;= perc_95, converted_stat * 3, IF(bbgm_stat &gt;= perc_90, converted_stat * 2, IF(bbgm_stat &gt;= perc_85, converted_stat * 1.5, converted_stat)))))</f>
        <v/>
      </c>
      <c r="W680" s="30" t="str">
        <f t="array" ref="W680">IF($A680="", "", LET(bbgm_stat, INDEX(Players!$A679:$P679, MATCH(W$2, Players!$A$1:$P$1, 0)), perc_75, VLOOKUP(W$2, Percentiles!$A$45:$I$59, 6, FALSE), perc_90, VLOOKUP(W$2, Percentiles!$A$45:$I$59, 7, FALSE), perc_95, VLOOKUP(W$2, Percentiles!$A$45:$I$59, 8, FALSE), perc_85, perc_75 + (perc_90 - perc_75) * (2/3), converted_stat, '2K_Ratings'!W680, IF(bbgm_stat &gt;= perc_95, converted_stat * 3, IF(bbgm_stat &gt;= perc_90, converted_stat * 2, IF(bbgm_stat &gt;= perc_85, converted_stat * 1.5, converted_stat)))))</f>
        <v/>
      </c>
    </row>
    <row r="681">
      <c r="A681" s="30"/>
      <c r="B681" s="30" t="str">
        <f t="array" ref="B681">IF($A681="", "", LET(bbgm_stat, INDEX(Players!$A680:$P680, MATCH(B$2, Players!$A$1:$P$1, 0)), perc_75, VLOOKUP(B$2, Percentiles!$A$45:$I$59, 6, FALSE), perc_90, VLOOKUP(B$2, Percentiles!$A$45:$I$59, 7, FALSE), perc_95, VLOOKUP(B$2, Percentiles!$A$45:$I$59, 8, FALSE), perc_85, perc_75 + (perc_90 - perc_75) * (2/3), converted_stat, '2K_Ratings'!B681, IF(bbgm_stat &gt;= perc_95, converted_stat * 3, IF(bbgm_stat &gt;= perc_90, converted_stat * 2, IF(bbgm_stat &gt;= perc_85, converted_stat * 1.5, converted_stat)))))</f>
        <v/>
      </c>
      <c r="C681" s="30" t="str">
        <f t="array" ref="C681">IF($A681="", "", LET(bbgm_stat, INDEX(Players!$A680:$P680, MATCH(C$2, Players!$A$1:$P$1, 0)), perc_75, VLOOKUP(C$2, Percentiles!$A$45:$I$59, 6, FALSE), perc_90, VLOOKUP(C$2, Percentiles!$A$45:$I$59, 7, FALSE), perc_95, VLOOKUP(C$2, Percentiles!$A$45:$I$59, 8, FALSE), perc_85, perc_75 + (perc_90 - perc_75) * (2/3), converted_stat, '2K_Ratings'!C681, IF(bbgm_stat &gt;= perc_95, converted_stat * 3, IF(bbgm_stat &gt;= perc_90, converted_stat * 2, IF(bbgm_stat &gt;= perc_85, converted_stat * 1.5, converted_stat)))))</f>
        <v/>
      </c>
      <c r="D681" s="30" t="str">
        <f t="array" ref="D681">IF($A681="", "", LET(bbgm_stat, INDEX(Players!$A680:$P680, MATCH(D$2, Players!$A$1:$P$1, 0)), perc_75, VLOOKUP(D$2, Percentiles!$A$45:$I$59, 6, FALSE), perc_90, VLOOKUP(D$2, Percentiles!$A$45:$I$59, 7, FALSE), perc_95, VLOOKUP(D$2, Percentiles!$A$45:$I$59, 8, FALSE), perc_85, perc_75 + (perc_90 - perc_75) * (2/3), converted_stat, '2K_Ratings'!D681, IF(bbgm_stat &gt;= perc_95, converted_stat * 3, IF(bbgm_stat &gt;= perc_90, converted_stat * 2, IF(bbgm_stat &gt;= perc_85, converted_stat * 1.5, converted_stat)))))</f>
        <v/>
      </c>
      <c r="E681" s="30" t="str">
        <f t="array" ref="E681">IF($A681="", "", LET(bbgm_stat, INDEX(Players!$A680:$P680, MATCH(E$2, Players!$A$1:$P$1, 0)), perc_75, VLOOKUP(E$2, Percentiles!$A$45:$I$59, 6, FALSE), perc_90, VLOOKUP(E$2, Percentiles!$A$45:$I$59, 7, FALSE), perc_95, VLOOKUP(E$2, Percentiles!$A$45:$I$59, 8, FALSE), perc_85, perc_75 + (perc_90 - perc_75) * (2/3), converted_stat, '2K_Ratings'!E681, IF(bbgm_stat &gt;= perc_95, converted_stat * 3, IF(bbgm_stat &gt;= perc_90, converted_stat * 2, IF(bbgm_stat &gt;= perc_85, converted_stat * 1.5, converted_stat)))))</f>
        <v/>
      </c>
      <c r="F681" s="30" t="str">
        <f t="array" ref="F681">IF($A681="", "", LET(bbgm_stat, INDEX(Players!$A680:$P680, MATCH(F$2, Players!$A$1:$P$1, 0)), perc_75, VLOOKUP(F$2, Percentiles!$A$45:$I$59, 6, FALSE), perc_90, VLOOKUP(F$2, Percentiles!$A$45:$I$59, 7, FALSE), perc_95, VLOOKUP(F$2, Percentiles!$A$45:$I$59, 8, FALSE), perc_85, perc_75 + (perc_90 - perc_75) * (2/3), converted_stat, '2K_Ratings'!F681, IF(bbgm_stat &gt;= perc_95, converted_stat * 3, IF(bbgm_stat &gt;= perc_90, converted_stat * 2, IF(bbgm_stat &gt;= perc_85, converted_stat * 1.5, converted_stat)))))</f>
        <v/>
      </c>
      <c r="G681" s="30" t="str">
        <f t="array" ref="G681">IF($A681="", "", LET(bbgm_stat, INDEX(Players!$A680:$P680, MATCH(G$2, Players!$A$1:$P$1, 0)), perc_75, VLOOKUP(G$2, Percentiles!$A$45:$I$59, 6, FALSE), perc_90, VLOOKUP(G$2, Percentiles!$A$45:$I$59, 7, FALSE), perc_95, VLOOKUP(G$2, Percentiles!$A$45:$I$59, 8, FALSE), perc_85, perc_75 + (perc_90 - perc_75) * (2/3), converted_stat, '2K_Ratings'!G681, IF(bbgm_stat &gt;= perc_95, converted_stat * 3, IF(bbgm_stat &gt;= perc_90, converted_stat * 2, IF(bbgm_stat &gt;= perc_85, converted_stat * 1.5, converted_stat)))))</f>
        <v/>
      </c>
      <c r="H681" s="30" t="str">
        <f t="array" ref="H681">IF($A681="", "", LET(bbgm_stat, INDEX(Players!$A680:$P680, MATCH(H$2, Players!$A$1:$P$1, 0)), perc_75, VLOOKUP(H$2, Percentiles!$A$45:$I$59, 6, FALSE), perc_90, VLOOKUP(H$2, Percentiles!$A$45:$I$59, 7, FALSE), perc_95, VLOOKUP(H$2, Percentiles!$A$45:$I$59, 8, FALSE), perc_85, perc_75 + (perc_90 - perc_75) * (2/3), converted_stat, '2K_Ratings'!H681, IF(bbgm_stat &gt;= perc_95, converted_stat * 3, IF(bbgm_stat &gt;= perc_90, converted_stat * 2, IF(bbgm_stat &gt;= perc_85, converted_stat * 1.5, converted_stat)))))</f>
        <v/>
      </c>
      <c r="I681" s="30" t="str">
        <f t="array" ref="I681">IF($A681="", "", LET(bbgm_stat, INDEX(Players!$A680:$P680, MATCH(I$2, Players!$A$1:$P$1, 0)), perc_75, VLOOKUP(I$2, Percentiles!$A$45:$I$59, 6, FALSE), perc_90, VLOOKUP(I$2, Percentiles!$A$45:$I$59, 7, FALSE), perc_95, VLOOKUP(I$2, Percentiles!$A$45:$I$59, 8, FALSE), perc_85, perc_75 + (perc_90 - perc_75) * (2/3), converted_stat, '2K_Ratings'!I681, IF(bbgm_stat &gt;= perc_95, converted_stat * 3, IF(bbgm_stat &gt;= perc_90, converted_stat * 2, IF(bbgm_stat &gt;= perc_85, converted_stat * 1.5, converted_stat)))))</f>
        <v/>
      </c>
      <c r="J681" s="30" t="str">
        <f t="array" ref="J681">IF($A681="", "", LET(bbgm_stat, INDEX(Players!$A680:$P680, MATCH(J$2, Players!$A$1:$P$1, 0)), perc_75, VLOOKUP(J$2, Percentiles!$A$45:$I$59, 6, FALSE), perc_90, VLOOKUP(J$2, Percentiles!$A$45:$I$59, 7, FALSE), perc_95, VLOOKUP(J$2, Percentiles!$A$45:$I$59, 8, FALSE), perc_85, perc_75 + (perc_90 - perc_75) * (2/3), converted_stat, '2K_Ratings'!J681, IF(bbgm_stat &gt;= perc_95, converted_stat * 3, IF(bbgm_stat &gt;= perc_90, converted_stat * 2, IF(bbgm_stat &gt;= perc_85, converted_stat * 1.5, converted_stat)))))</f>
        <v/>
      </c>
      <c r="K681" s="30" t="str">
        <f t="array" ref="K681">IF($A681="", "", LET(bbgm_stat, INDEX(Players!$A680:$P680, MATCH(K$2, Players!$A$1:$P$1, 0)), perc_75, VLOOKUP(K$2, Percentiles!$A$45:$I$59, 6, FALSE), perc_90, VLOOKUP(K$2, Percentiles!$A$45:$I$59, 7, FALSE), perc_95, VLOOKUP(K$2, Percentiles!$A$45:$I$59, 8, FALSE), perc_85, perc_75 + (perc_90 - perc_75) * (2/3), converted_stat, '2K_Ratings'!K681, IF(bbgm_stat &gt;= perc_95, converted_stat * 3, IF(bbgm_stat &gt;= perc_90, converted_stat * 2, IF(bbgm_stat &gt;= perc_85, converted_stat * 1.5, converted_stat)))))</f>
        <v/>
      </c>
      <c r="L681" s="30" t="str">
        <f t="array" ref="L681">IF($A681="", "", LET(bbgm_stat, INDEX(Players!$A680:$P680, MATCH(L$2, Players!$A$1:$P$1, 0)), perc_75, VLOOKUP(L$2, Percentiles!$A$45:$I$59, 6, FALSE), perc_90, VLOOKUP(L$2, Percentiles!$A$45:$I$59, 7, FALSE), perc_95, VLOOKUP(L$2, Percentiles!$A$45:$I$59, 8, FALSE), perc_85, perc_75 + (perc_90 - perc_75) * (2/3), converted_stat, '2K_Ratings'!L681, IF(bbgm_stat &gt;= perc_95, converted_stat * 3, IF(bbgm_stat &gt;= perc_90, converted_stat * 2, IF(bbgm_stat &gt;= perc_85, converted_stat * 1.5, converted_stat)))))</f>
        <v/>
      </c>
      <c r="M681" s="30" t="str">
        <f t="array" ref="M681">IF($A681="", "", LET(bbgm_stat, INDEX(Players!$A680:$P680, MATCH(M$2, Players!$A$1:$P$1, 0)), perc_75, VLOOKUP(M$2, Percentiles!$A$45:$I$59, 6, FALSE), perc_90, VLOOKUP(M$2, Percentiles!$A$45:$I$59, 7, FALSE), perc_95, VLOOKUP(M$2, Percentiles!$A$45:$I$59, 8, FALSE), perc_85, perc_75 + (perc_90 - perc_75) * (2/3), converted_stat, '2K_Ratings'!M681, IF(bbgm_stat &gt;= perc_95, converted_stat * 3, IF(bbgm_stat &gt;= perc_90, converted_stat * 2, IF(bbgm_stat &gt;= perc_85, converted_stat * 1.5, converted_stat)))))</f>
        <v/>
      </c>
      <c r="N681" s="30" t="str">
        <f t="array" ref="N681">IF($A681="", "", LET(bbgm_stat, INDEX(Players!$A680:$P680, MATCH(N$2, Players!$A$1:$P$1, 0)), perc_75, VLOOKUP(N$2, Percentiles!$A$45:$I$59, 6, FALSE), perc_90, VLOOKUP(N$2, Percentiles!$A$45:$I$59, 7, FALSE), perc_95, VLOOKUP(N$2, Percentiles!$A$45:$I$59, 8, FALSE), perc_85, perc_75 + (perc_90 - perc_75) * (2/3), converted_stat, '2K_Ratings'!N681, IF(bbgm_stat &gt;= perc_95, converted_stat * 3, IF(bbgm_stat &gt;= perc_90, converted_stat * 2, IF(bbgm_stat &gt;= perc_85, converted_stat * 1.5, converted_stat)))))</f>
        <v/>
      </c>
      <c r="O681" s="30" t="str">
        <f t="array" ref="O681">IF($A681="", "", LET(bbgm_stat, INDEX(Players!$A680:$P680, MATCH(O$2, Players!$A$1:$P$1, 0)), perc_75, VLOOKUP(O$2, Percentiles!$A$45:$I$59, 6, FALSE), perc_90, VLOOKUP(O$2, Percentiles!$A$45:$I$59, 7, FALSE), perc_95, VLOOKUP(O$2, Percentiles!$A$45:$I$59, 8, FALSE), perc_85, perc_75 + (perc_90 - perc_75) * (2/3), converted_stat, '2K_Ratings'!O681, IF(bbgm_stat &gt;= perc_95, converted_stat * 3, IF(bbgm_stat &gt;= perc_90, converted_stat * 2, IF(bbgm_stat &gt;= perc_85, converted_stat * 1.5, converted_stat)))))</f>
        <v/>
      </c>
      <c r="P681" s="30" t="str">
        <f t="array" ref="P681">IF($A681="", "", LET(bbgm_stat, INDEX(Players!$A680:$P680, MATCH(P$2, Players!$A$1:$P$1, 0)), perc_75, VLOOKUP(P$2, Percentiles!$A$45:$I$59, 6, FALSE), perc_90, VLOOKUP(P$2, Percentiles!$A$45:$I$59, 7, FALSE), perc_95, VLOOKUP(P$2, Percentiles!$A$45:$I$59, 8, FALSE), perc_85, perc_75 + (perc_90 - perc_75) * (2/3), converted_stat, '2K_Ratings'!P681, IF(bbgm_stat &gt;= perc_95, converted_stat * 3, IF(bbgm_stat &gt;= perc_90, converted_stat * 2, IF(bbgm_stat &gt;= perc_85, converted_stat * 1.5, converted_stat)))))</f>
        <v/>
      </c>
      <c r="Q681" s="30" t="str">
        <f t="array" ref="Q681">IF($A681="", "", LET(bbgm_stat, INDEX(Players!$A680:$P680, MATCH(Q$2, Players!$A$1:$P$1, 0)), perc_75, VLOOKUP(Q$2, Percentiles!$A$45:$I$59, 6, FALSE), perc_90, VLOOKUP(Q$2, Percentiles!$A$45:$I$59, 7, FALSE), perc_95, VLOOKUP(Q$2, Percentiles!$A$45:$I$59, 8, FALSE), perc_85, perc_75 + (perc_90 - perc_75) * (2/3), converted_stat, '2K_Ratings'!Q681, IF(bbgm_stat &gt;= perc_95, converted_stat * 3, IF(bbgm_stat &gt;= perc_90, converted_stat * 2, IF(bbgm_stat &gt;= perc_85, converted_stat * 1.5, converted_stat)))))</f>
        <v/>
      </c>
      <c r="R681" s="30" t="str">
        <f t="array" ref="R681">IF($A681="", "", LET(bbgm_stat, INDEX(Players!$A680:$P680, MATCH(R$2, Players!$A$1:$P$1, 0)), perc_75, VLOOKUP(R$2, Percentiles!$A$45:$I$59, 6, FALSE), perc_90, VLOOKUP(R$2, Percentiles!$A$45:$I$59, 7, FALSE), perc_95, VLOOKUP(R$2, Percentiles!$A$45:$I$59, 8, FALSE), perc_85, perc_75 + (perc_90 - perc_75) * (2/3), converted_stat, '2K_Ratings'!R681, IF(bbgm_stat &gt;= perc_95, converted_stat * 3, IF(bbgm_stat &gt;= perc_90, converted_stat * 2, IF(bbgm_stat &gt;= perc_85, converted_stat * 1.5, converted_stat)))))</f>
        <v/>
      </c>
      <c r="S681" s="30" t="str">
        <f t="array" ref="S681">IF($A681="", "", LET(bbgm_stat, INDEX(Players!$A680:$P680, MATCH(S$2, Players!$A$1:$P$1, 0)), perc_75, VLOOKUP(S$2, Percentiles!$A$45:$I$59, 6, FALSE), perc_90, VLOOKUP(S$2, Percentiles!$A$45:$I$59, 7, FALSE), perc_95, VLOOKUP(S$2, Percentiles!$A$45:$I$59, 8, FALSE), perc_85, perc_75 + (perc_90 - perc_75) * (2/3), converted_stat, '2K_Ratings'!S681, IF(bbgm_stat &gt;= perc_95, converted_stat * 3, IF(bbgm_stat &gt;= perc_90, converted_stat * 2, IF(bbgm_stat &gt;= perc_85, converted_stat * 1.5, converted_stat)))))</f>
        <v/>
      </c>
      <c r="T681" s="30" t="str">
        <f t="array" ref="T681">IF($A681="", "", LET(bbgm_stat, INDEX(Players!$A680:$P680, MATCH(T$2, Players!$A$1:$P$1, 0)), perc_75, VLOOKUP(T$2, Percentiles!$A$45:$I$59, 6, FALSE), perc_90, VLOOKUP(T$2, Percentiles!$A$45:$I$59, 7, FALSE), perc_95, VLOOKUP(T$2, Percentiles!$A$45:$I$59, 8, FALSE), perc_85, perc_75 + (perc_90 - perc_75) * (2/3), converted_stat, '2K_Ratings'!T681, IF(bbgm_stat &gt;= perc_95, converted_stat * 3, IF(bbgm_stat &gt;= perc_90, converted_stat * 2, IF(bbgm_stat &gt;= perc_85, converted_stat * 1.5, converted_stat)))))</f>
        <v/>
      </c>
      <c r="U681" s="30" t="str">
        <f t="array" ref="U681">IF($A681="", "", LET(bbgm_stat, INDEX(Players!$A680:$P680, MATCH(U$2, Players!$A$1:$P$1, 0)), perc_75, VLOOKUP(U$2, Percentiles!$A$45:$I$59, 6, FALSE), perc_90, VLOOKUP(U$2, Percentiles!$A$45:$I$59, 7, FALSE), perc_95, VLOOKUP(U$2, Percentiles!$A$45:$I$59, 8, FALSE), perc_85, perc_75 + (perc_90 - perc_75) * (2/3), converted_stat, '2K_Ratings'!U681, IF(bbgm_stat &gt;= perc_95, converted_stat * 3, IF(bbgm_stat &gt;= perc_90, converted_stat * 2, IF(bbgm_stat &gt;= perc_85, converted_stat * 1.5, converted_stat)))))</f>
        <v/>
      </c>
      <c r="V681" s="30" t="str">
        <f t="array" ref="V681">IF($A681="", "", LET(bbgm_stat, INDEX(Players!$A680:$P680, MATCH(V$2, Players!$A$1:$P$1, 0)), perc_75, VLOOKUP(V$2, Percentiles!$A$45:$I$59, 6, FALSE), perc_90, VLOOKUP(V$2, Percentiles!$A$45:$I$59, 7, FALSE), perc_95, VLOOKUP(V$2, Percentiles!$A$45:$I$59, 8, FALSE), perc_85, perc_75 + (perc_90 - perc_75) * (2/3), converted_stat, '2K_Ratings'!V681, IF(bbgm_stat &gt;= perc_95, converted_stat * 3, IF(bbgm_stat &gt;= perc_90, converted_stat * 2, IF(bbgm_stat &gt;= perc_85, converted_stat * 1.5, converted_stat)))))</f>
        <v/>
      </c>
      <c r="W681" s="30" t="str">
        <f t="array" ref="W681">IF($A681="", "", LET(bbgm_stat, INDEX(Players!$A680:$P680, MATCH(W$2, Players!$A$1:$P$1, 0)), perc_75, VLOOKUP(W$2, Percentiles!$A$45:$I$59, 6, FALSE), perc_90, VLOOKUP(W$2, Percentiles!$A$45:$I$59, 7, FALSE), perc_95, VLOOKUP(W$2, Percentiles!$A$45:$I$59, 8, FALSE), perc_85, perc_75 + (perc_90 - perc_75) * (2/3), converted_stat, '2K_Ratings'!W681, IF(bbgm_stat &gt;= perc_95, converted_stat * 3, IF(bbgm_stat &gt;= perc_90, converted_stat * 2, IF(bbgm_stat &gt;= perc_85, converted_stat * 1.5, converted_stat)))))</f>
        <v/>
      </c>
    </row>
    <row r="682">
      <c r="A682" s="30"/>
      <c r="B682" s="30" t="str">
        <f t="array" ref="B682">IF($A682="", "", LET(bbgm_stat, INDEX(Players!$A681:$P681, MATCH(B$2, Players!$A$1:$P$1, 0)), perc_75, VLOOKUP(B$2, Percentiles!$A$45:$I$59, 6, FALSE), perc_90, VLOOKUP(B$2, Percentiles!$A$45:$I$59, 7, FALSE), perc_95, VLOOKUP(B$2, Percentiles!$A$45:$I$59, 8, FALSE), perc_85, perc_75 + (perc_90 - perc_75) * (2/3), converted_stat, '2K_Ratings'!B682, IF(bbgm_stat &gt;= perc_95, converted_stat * 3, IF(bbgm_stat &gt;= perc_90, converted_stat * 2, IF(bbgm_stat &gt;= perc_85, converted_stat * 1.5, converted_stat)))))</f>
        <v/>
      </c>
      <c r="C682" s="30" t="str">
        <f t="array" ref="C682">IF($A682="", "", LET(bbgm_stat, INDEX(Players!$A681:$P681, MATCH(C$2, Players!$A$1:$P$1, 0)), perc_75, VLOOKUP(C$2, Percentiles!$A$45:$I$59, 6, FALSE), perc_90, VLOOKUP(C$2, Percentiles!$A$45:$I$59, 7, FALSE), perc_95, VLOOKUP(C$2, Percentiles!$A$45:$I$59, 8, FALSE), perc_85, perc_75 + (perc_90 - perc_75) * (2/3), converted_stat, '2K_Ratings'!C682, IF(bbgm_stat &gt;= perc_95, converted_stat * 3, IF(bbgm_stat &gt;= perc_90, converted_stat * 2, IF(bbgm_stat &gt;= perc_85, converted_stat * 1.5, converted_stat)))))</f>
        <v/>
      </c>
      <c r="D682" s="30" t="str">
        <f t="array" ref="D682">IF($A682="", "", LET(bbgm_stat, INDEX(Players!$A681:$P681, MATCH(D$2, Players!$A$1:$P$1, 0)), perc_75, VLOOKUP(D$2, Percentiles!$A$45:$I$59, 6, FALSE), perc_90, VLOOKUP(D$2, Percentiles!$A$45:$I$59, 7, FALSE), perc_95, VLOOKUP(D$2, Percentiles!$A$45:$I$59, 8, FALSE), perc_85, perc_75 + (perc_90 - perc_75) * (2/3), converted_stat, '2K_Ratings'!D682, IF(bbgm_stat &gt;= perc_95, converted_stat * 3, IF(bbgm_stat &gt;= perc_90, converted_stat * 2, IF(bbgm_stat &gt;= perc_85, converted_stat * 1.5, converted_stat)))))</f>
        <v/>
      </c>
      <c r="E682" s="30" t="str">
        <f t="array" ref="E682">IF($A682="", "", LET(bbgm_stat, INDEX(Players!$A681:$P681, MATCH(E$2, Players!$A$1:$P$1, 0)), perc_75, VLOOKUP(E$2, Percentiles!$A$45:$I$59, 6, FALSE), perc_90, VLOOKUP(E$2, Percentiles!$A$45:$I$59, 7, FALSE), perc_95, VLOOKUP(E$2, Percentiles!$A$45:$I$59, 8, FALSE), perc_85, perc_75 + (perc_90 - perc_75) * (2/3), converted_stat, '2K_Ratings'!E682, IF(bbgm_stat &gt;= perc_95, converted_stat * 3, IF(bbgm_stat &gt;= perc_90, converted_stat * 2, IF(bbgm_stat &gt;= perc_85, converted_stat * 1.5, converted_stat)))))</f>
        <v/>
      </c>
      <c r="F682" s="30" t="str">
        <f t="array" ref="F682">IF($A682="", "", LET(bbgm_stat, INDEX(Players!$A681:$P681, MATCH(F$2, Players!$A$1:$P$1, 0)), perc_75, VLOOKUP(F$2, Percentiles!$A$45:$I$59, 6, FALSE), perc_90, VLOOKUP(F$2, Percentiles!$A$45:$I$59, 7, FALSE), perc_95, VLOOKUP(F$2, Percentiles!$A$45:$I$59, 8, FALSE), perc_85, perc_75 + (perc_90 - perc_75) * (2/3), converted_stat, '2K_Ratings'!F682, IF(bbgm_stat &gt;= perc_95, converted_stat * 3, IF(bbgm_stat &gt;= perc_90, converted_stat * 2, IF(bbgm_stat &gt;= perc_85, converted_stat * 1.5, converted_stat)))))</f>
        <v/>
      </c>
      <c r="G682" s="30" t="str">
        <f t="array" ref="G682">IF($A682="", "", LET(bbgm_stat, INDEX(Players!$A681:$P681, MATCH(G$2, Players!$A$1:$P$1, 0)), perc_75, VLOOKUP(G$2, Percentiles!$A$45:$I$59, 6, FALSE), perc_90, VLOOKUP(G$2, Percentiles!$A$45:$I$59, 7, FALSE), perc_95, VLOOKUP(G$2, Percentiles!$A$45:$I$59, 8, FALSE), perc_85, perc_75 + (perc_90 - perc_75) * (2/3), converted_stat, '2K_Ratings'!G682, IF(bbgm_stat &gt;= perc_95, converted_stat * 3, IF(bbgm_stat &gt;= perc_90, converted_stat * 2, IF(bbgm_stat &gt;= perc_85, converted_stat * 1.5, converted_stat)))))</f>
        <v/>
      </c>
      <c r="H682" s="30" t="str">
        <f t="array" ref="H682">IF($A682="", "", LET(bbgm_stat, INDEX(Players!$A681:$P681, MATCH(H$2, Players!$A$1:$P$1, 0)), perc_75, VLOOKUP(H$2, Percentiles!$A$45:$I$59, 6, FALSE), perc_90, VLOOKUP(H$2, Percentiles!$A$45:$I$59, 7, FALSE), perc_95, VLOOKUP(H$2, Percentiles!$A$45:$I$59, 8, FALSE), perc_85, perc_75 + (perc_90 - perc_75) * (2/3), converted_stat, '2K_Ratings'!H682, IF(bbgm_stat &gt;= perc_95, converted_stat * 3, IF(bbgm_stat &gt;= perc_90, converted_stat * 2, IF(bbgm_stat &gt;= perc_85, converted_stat * 1.5, converted_stat)))))</f>
        <v/>
      </c>
      <c r="I682" s="30" t="str">
        <f t="array" ref="I682">IF($A682="", "", LET(bbgm_stat, INDEX(Players!$A681:$P681, MATCH(I$2, Players!$A$1:$P$1, 0)), perc_75, VLOOKUP(I$2, Percentiles!$A$45:$I$59, 6, FALSE), perc_90, VLOOKUP(I$2, Percentiles!$A$45:$I$59, 7, FALSE), perc_95, VLOOKUP(I$2, Percentiles!$A$45:$I$59, 8, FALSE), perc_85, perc_75 + (perc_90 - perc_75) * (2/3), converted_stat, '2K_Ratings'!I682, IF(bbgm_stat &gt;= perc_95, converted_stat * 3, IF(bbgm_stat &gt;= perc_90, converted_stat * 2, IF(bbgm_stat &gt;= perc_85, converted_stat * 1.5, converted_stat)))))</f>
        <v/>
      </c>
      <c r="J682" s="30" t="str">
        <f t="array" ref="J682">IF($A682="", "", LET(bbgm_stat, INDEX(Players!$A681:$P681, MATCH(J$2, Players!$A$1:$P$1, 0)), perc_75, VLOOKUP(J$2, Percentiles!$A$45:$I$59, 6, FALSE), perc_90, VLOOKUP(J$2, Percentiles!$A$45:$I$59, 7, FALSE), perc_95, VLOOKUP(J$2, Percentiles!$A$45:$I$59, 8, FALSE), perc_85, perc_75 + (perc_90 - perc_75) * (2/3), converted_stat, '2K_Ratings'!J682, IF(bbgm_stat &gt;= perc_95, converted_stat * 3, IF(bbgm_stat &gt;= perc_90, converted_stat * 2, IF(bbgm_stat &gt;= perc_85, converted_stat * 1.5, converted_stat)))))</f>
        <v/>
      </c>
      <c r="K682" s="30" t="str">
        <f t="array" ref="K682">IF($A682="", "", LET(bbgm_stat, INDEX(Players!$A681:$P681, MATCH(K$2, Players!$A$1:$P$1, 0)), perc_75, VLOOKUP(K$2, Percentiles!$A$45:$I$59, 6, FALSE), perc_90, VLOOKUP(K$2, Percentiles!$A$45:$I$59, 7, FALSE), perc_95, VLOOKUP(K$2, Percentiles!$A$45:$I$59, 8, FALSE), perc_85, perc_75 + (perc_90 - perc_75) * (2/3), converted_stat, '2K_Ratings'!K682, IF(bbgm_stat &gt;= perc_95, converted_stat * 3, IF(bbgm_stat &gt;= perc_90, converted_stat * 2, IF(bbgm_stat &gt;= perc_85, converted_stat * 1.5, converted_stat)))))</f>
        <v/>
      </c>
      <c r="L682" s="30" t="str">
        <f t="array" ref="L682">IF($A682="", "", LET(bbgm_stat, INDEX(Players!$A681:$P681, MATCH(L$2, Players!$A$1:$P$1, 0)), perc_75, VLOOKUP(L$2, Percentiles!$A$45:$I$59, 6, FALSE), perc_90, VLOOKUP(L$2, Percentiles!$A$45:$I$59, 7, FALSE), perc_95, VLOOKUP(L$2, Percentiles!$A$45:$I$59, 8, FALSE), perc_85, perc_75 + (perc_90 - perc_75) * (2/3), converted_stat, '2K_Ratings'!L682, IF(bbgm_stat &gt;= perc_95, converted_stat * 3, IF(bbgm_stat &gt;= perc_90, converted_stat * 2, IF(bbgm_stat &gt;= perc_85, converted_stat * 1.5, converted_stat)))))</f>
        <v/>
      </c>
      <c r="M682" s="30" t="str">
        <f t="array" ref="M682">IF($A682="", "", LET(bbgm_stat, INDEX(Players!$A681:$P681, MATCH(M$2, Players!$A$1:$P$1, 0)), perc_75, VLOOKUP(M$2, Percentiles!$A$45:$I$59, 6, FALSE), perc_90, VLOOKUP(M$2, Percentiles!$A$45:$I$59, 7, FALSE), perc_95, VLOOKUP(M$2, Percentiles!$A$45:$I$59, 8, FALSE), perc_85, perc_75 + (perc_90 - perc_75) * (2/3), converted_stat, '2K_Ratings'!M682, IF(bbgm_stat &gt;= perc_95, converted_stat * 3, IF(bbgm_stat &gt;= perc_90, converted_stat * 2, IF(bbgm_stat &gt;= perc_85, converted_stat * 1.5, converted_stat)))))</f>
        <v/>
      </c>
      <c r="N682" s="30" t="str">
        <f t="array" ref="N682">IF($A682="", "", LET(bbgm_stat, INDEX(Players!$A681:$P681, MATCH(N$2, Players!$A$1:$P$1, 0)), perc_75, VLOOKUP(N$2, Percentiles!$A$45:$I$59, 6, FALSE), perc_90, VLOOKUP(N$2, Percentiles!$A$45:$I$59, 7, FALSE), perc_95, VLOOKUP(N$2, Percentiles!$A$45:$I$59, 8, FALSE), perc_85, perc_75 + (perc_90 - perc_75) * (2/3), converted_stat, '2K_Ratings'!N682, IF(bbgm_stat &gt;= perc_95, converted_stat * 3, IF(bbgm_stat &gt;= perc_90, converted_stat * 2, IF(bbgm_stat &gt;= perc_85, converted_stat * 1.5, converted_stat)))))</f>
        <v/>
      </c>
      <c r="O682" s="30" t="str">
        <f t="array" ref="O682">IF($A682="", "", LET(bbgm_stat, INDEX(Players!$A681:$P681, MATCH(O$2, Players!$A$1:$P$1, 0)), perc_75, VLOOKUP(O$2, Percentiles!$A$45:$I$59, 6, FALSE), perc_90, VLOOKUP(O$2, Percentiles!$A$45:$I$59, 7, FALSE), perc_95, VLOOKUP(O$2, Percentiles!$A$45:$I$59, 8, FALSE), perc_85, perc_75 + (perc_90 - perc_75) * (2/3), converted_stat, '2K_Ratings'!O682, IF(bbgm_stat &gt;= perc_95, converted_stat * 3, IF(bbgm_stat &gt;= perc_90, converted_stat * 2, IF(bbgm_stat &gt;= perc_85, converted_stat * 1.5, converted_stat)))))</f>
        <v/>
      </c>
      <c r="P682" s="30" t="str">
        <f t="array" ref="P682">IF($A682="", "", LET(bbgm_stat, INDEX(Players!$A681:$P681, MATCH(P$2, Players!$A$1:$P$1, 0)), perc_75, VLOOKUP(P$2, Percentiles!$A$45:$I$59, 6, FALSE), perc_90, VLOOKUP(P$2, Percentiles!$A$45:$I$59, 7, FALSE), perc_95, VLOOKUP(P$2, Percentiles!$A$45:$I$59, 8, FALSE), perc_85, perc_75 + (perc_90 - perc_75) * (2/3), converted_stat, '2K_Ratings'!P682, IF(bbgm_stat &gt;= perc_95, converted_stat * 3, IF(bbgm_stat &gt;= perc_90, converted_stat * 2, IF(bbgm_stat &gt;= perc_85, converted_stat * 1.5, converted_stat)))))</f>
        <v/>
      </c>
      <c r="Q682" s="30" t="str">
        <f t="array" ref="Q682">IF($A682="", "", LET(bbgm_stat, INDEX(Players!$A681:$P681, MATCH(Q$2, Players!$A$1:$P$1, 0)), perc_75, VLOOKUP(Q$2, Percentiles!$A$45:$I$59, 6, FALSE), perc_90, VLOOKUP(Q$2, Percentiles!$A$45:$I$59, 7, FALSE), perc_95, VLOOKUP(Q$2, Percentiles!$A$45:$I$59, 8, FALSE), perc_85, perc_75 + (perc_90 - perc_75) * (2/3), converted_stat, '2K_Ratings'!Q682, IF(bbgm_stat &gt;= perc_95, converted_stat * 3, IF(bbgm_stat &gt;= perc_90, converted_stat * 2, IF(bbgm_stat &gt;= perc_85, converted_stat * 1.5, converted_stat)))))</f>
        <v/>
      </c>
      <c r="R682" s="30" t="str">
        <f t="array" ref="R682">IF($A682="", "", LET(bbgm_stat, INDEX(Players!$A681:$P681, MATCH(R$2, Players!$A$1:$P$1, 0)), perc_75, VLOOKUP(R$2, Percentiles!$A$45:$I$59, 6, FALSE), perc_90, VLOOKUP(R$2, Percentiles!$A$45:$I$59, 7, FALSE), perc_95, VLOOKUP(R$2, Percentiles!$A$45:$I$59, 8, FALSE), perc_85, perc_75 + (perc_90 - perc_75) * (2/3), converted_stat, '2K_Ratings'!R682, IF(bbgm_stat &gt;= perc_95, converted_stat * 3, IF(bbgm_stat &gt;= perc_90, converted_stat * 2, IF(bbgm_stat &gt;= perc_85, converted_stat * 1.5, converted_stat)))))</f>
        <v/>
      </c>
      <c r="S682" s="30" t="str">
        <f t="array" ref="S682">IF($A682="", "", LET(bbgm_stat, INDEX(Players!$A681:$P681, MATCH(S$2, Players!$A$1:$P$1, 0)), perc_75, VLOOKUP(S$2, Percentiles!$A$45:$I$59, 6, FALSE), perc_90, VLOOKUP(S$2, Percentiles!$A$45:$I$59, 7, FALSE), perc_95, VLOOKUP(S$2, Percentiles!$A$45:$I$59, 8, FALSE), perc_85, perc_75 + (perc_90 - perc_75) * (2/3), converted_stat, '2K_Ratings'!S682, IF(bbgm_stat &gt;= perc_95, converted_stat * 3, IF(bbgm_stat &gt;= perc_90, converted_stat * 2, IF(bbgm_stat &gt;= perc_85, converted_stat * 1.5, converted_stat)))))</f>
        <v/>
      </c>
      <c r="T682" s="30" t="str">
        <f t="array" ref="T682">IF($A682="", "", LET(bbgm_stat, INDEX(Players!$A681:$P681, MATCH(T$2, Players!$A$1:$P$1, 0)), perc_75, VLOOKUP(T$2, Percentiles!$A$45:$I$59, 6, FALSE), perc_90, VLOOKUP(T$2, Percentiles!$A$45:$I$59, 7, FALSE), perc_95, VLOOKUP(T$2, Percentiles!$A$45:$I$59, 8, FALSE), perc_85, perc_75 + (perc_90 - perc_75) * (2/3), converted_stat, '2K_Ratings'!T682, IF(bbgm_stat &gt;= perc_95, converted_stat * 3, IF(bbgm_stat &gt;= perc_90, converted_stat * 2, IF(bbgm_stat &gt;= perc_85, converted_stat * 1.5, converted_stat)))))</f>
        <v/>
      </c>
      <c r="U682" s="30" t="str">
        <f t="array" ref="U682">IF($A682="", "", LET(bbgm_stat, INDEX(Players!$A681:$P681, MATCH(U$2, Players!$A$1:$P$1, 0)), perc_75, VLOOKUP(U$2, Percentiles!$A$45:$I$59, 6, FALSE), perc_90, VLOOKUP(U$2, Percentiles!$A$45:$I$59, 7, FALSE), perc_95, VLOOKUP(U$2, Percentiles!$A$45:$I$59, 8, FALSE), perc_85, perc_75 + (perc_90 - perc_75) * (2/3), converted_stat, '2K_Ratings'!U682, IF(bbgm_stat &gt;= perc_95, converted_stat * 3, IF(bbgm_stat &gt;= perc_90, converted_stat * 2, IF(bbgm_stat &gt;= perc_85, converted_stat * 1.5, converted_stat)))))</f>
        <v/>
      </c>
      <c r="V682" s="30" t="str">
        <f t="array" ref="V682">IF($A682="", "", LET(bbgm_stat, INDEX(Players!$A681:$P681, MATCH(V$2, Players!$A$1:$P$1, 0)), perc_75, VLOOKUP(V$2, Percentiles!$A$45:$I$59, 6, FALSE), perc_90, VLOOKUP(V$2, Percentiles!$A$45:$I$59, 7, FALSE), perc_95, VLOOKUP(V$2, Percentiles!$A$45:$I$59, 8, FALSE), perc_85, perc_75 + (perc_90 - perc_75) * (2/3), converted_stat, '2K_Ratings'!V682, IF(bbgm_stat &gt;= perc_95, converted_stat * 3, IF(bbgm_stat &gt;= perc_90, converted_stat * 2, IF(bbgm_stat &gt;= perc_85, converted_stat * 1.5, converted_stat)))))</f>
        <v/>
      </c>
      <c r="W682" s="30" t="str">
        <f t="array" ref="W682">IF($A682="", "", LET(bbgm_stat, INDEX(Players!$A681:$P681, MATCH(W$2, Players!$A$1:$P$1, 0)), perc_75, VLOOKUP(W$2, Percentiles!$A$45:$I$59, 6, FALSE), perc_90, VLOOKUP(W$2, Percentiles!$A$45:$I$59, 7, FALSE), perc_95, VLOOKUP(W$2, Percentiles!$A$45:$I$59, 8, FALSE), perc_85, perc_75 + (perc_90 - perc_75) * (2/3), converted_stat, '2K_Ratings'!W682, IF(bbgm_stat &gt;= perc_95, converted_stat * 3, IF(bbgm_stat &gt;= perc_90, converted_stat * 2, IF(bbgm_stat &gt;= perc_85, converted_stat * 1.5, converted_stat)))))</f>
        <v/>
      </c>
    </row>
    <row r="683">
      <c r="A683" s="30"/>
      <c r="B683" s="30" t="str">
        <f t="array" ref="B683">IF($A683="", "", LET(bbgm_stat, INDEX(Players!$A682:$P682, MATCH(B$2, Players!$A$1:$P$1, 0)), perc_75, VLOOKUP(B$2, Percentiles!$A$45:$I$59, 6, FALSE), perc_90, VLOOKUP(B$2, Percentiles!$A$45:$I$59, 7, FALSE), perc_95, VLOOKUP(B$2, Percentiles!$A$45:$I$59, 8, FALSE), perc_85, perc_75 + (perc_90 - perc_75) * (2/3), converted_stat, '2K_Ratings'!B683, IF(bbgm_stat &gt;= perc_95, converted_stat * 3, IF(bbgm_stat &gt;= perc_90, converted_stat * 2, IF(bbgm_stat &gt;= perc_85, converted_stat * 1.5, converted_stat)))))</f>
        <v/>
      </c>
      <c r="C683" s="30" t="str">
        <f t="array" ref="C683">IF($A683="", "", LET(bbgm_stat, INDEX(Players!$A682:$P682, MATCH(C$2, Players!$A$1:$P$1, 0)), perc_75, VLOOKUP(C$2, Percentiles!$A$45:$I$59, 6, FALSE), perc_90, VLOOKUP(C$2, Percentiles!$A$45:$I$59, 7, FALSE), perc_95, VLOOKUP(C$2, Percentiles!$A$45:$I$59, 8, FALSE), perc_85, perc_75 + (perc_90 - perc_75) * (2/3), converted_stat, '2K_Ratings'!C683, IF(bbgm_stat &gt;= perc_95, converted_stat * 3, IF(bbgm_stat &gt;= perc_90, converted_stat * 2, IF(bbgm_stat &gt;= perc_85, converted_stat * 1.5, converted_stat)))))</f>
        <v/>
      </c>
      <c r="D683" s="30" t="str">
        <f t="array" ref="D683">IF($A683="", "", LET(bbgm_stat, INDEX(Players!$A682:$P682, MATCH(D$2, Players!$A$1:$P$1, 0)), perc_75, VLOOKUP(D$2, Percentiles!$A$45:$I$59, 6, FALSE), perc_90, VLOOKUP(D$2, Percentiles!$A$45:$I$59, 7, FALSE), perc_95, VLOOKUP(D$2, Percentiles!$A$45:$I$59, 8, FALSE), perc_85, perc_75 + (perc_90 - perc_75) * (2/3), converted_stat, '2K_Ratings'!D683, IF(bbgm_stat &gt;= perc_95, converted_stat * 3, IF(bbgm_stat &gt;= perc_90, converted_stat * 2, IF(bbgm_stat &gt;= perc_85, converted_stat * 1.5, converted_stat)))))</f>
        <v/>
      </c>
      <c r="E683" s="30" t="str">
        <f t="array" ref="E683">IF($A683="", "", LET(bbgm_stat, INDEX(Players!$A682:$P682, MATCH(E$2, Players!$A$1:$P$1, 0)), perc_75, VLOOKUP(E$2, Percentiles!$A$45:$I$59, 6, FALSE), perc_90, VLOOKUP(E$2, Percentiles!$A$45:$I$59, 7, FALSE), perc_95, VLOOKUP(E$2, Percentiles!$A$45:$I$59, 8, FALSE), perc_85, perc_75 + (perc_90 - perc_75) * (2/3), converted_stat, '2K_Ratings'!E683, IF(bbgm_stat &gt;= perc_95, converted_stat * 3, IF(bbgm_stat &gt;= perc_90, converted_stat * 2, IF(bbgm_stat &gt;= perc_85, converted_stat * 1.5, converted_stat)))))</f>
        <v/>
      </c>
      <c r="F683" s="30" t="str">
        <f t="array" ref="F683">IF($A683="", "", LET(bbgm_stat, INDEX(Players!$A682:$P682, MATCH(F$2, Players!$A$1:$P$1, 0)), perc_75, VLOOKUP(F$2, Percentiles!$A$45:$I$59, 6, FALSE), perc_90, VLOOKUP(F$2, Percentiles!$A$45:$I$59, 7, FALSE), perc_95, VLOOKUP(F$2, Percentiles!$A$45:$I$59, 8, FALSE), perc_85, perc_75 + (perc_90 - perc_75) * (2/3), converted_stat, '2K_Ratings'!F683, IF(bbgm_stat &gt;= perc_95, converted_stat * 3, IF(bbgm_stat &gt;= perc_90, converted_stat * 2, IF(bbgm_stat &gt;= perc_85, converted_stat * 1.5, converted_stat)))))</f>
        <v/>
      </c>
      <c r="G683" s="30" t="str">
        <f t="array" ref="G683">IF($A683="", "", LET(bbgm_stat, INDEX(Players!$A682:$P682, MATCH(G$2, Players!$A$1:$P$1, 0)), perc_75, VLOOKUP(G$2, Percentiles!$A$45:$I$59, 6, FALSE), perc_90, VLOOKUP(G$2, Percentiles!$A$45:$I$59, 7, FALSE), perc_95, VLOOKUP(G$2, Percentiles!$A$45:$I$59, 8, FALSE), perc_85, perc_75 + (perc_90 - perc_75) * (2/3), converted_stat, '2K_Ratings'!G683, IF(bbgm_stat &gt;= perc_95, converted_stat * 3, IF(bbgm_stat &gt;= perc_90, converted_stat * 2, IF(bbgm_stat &gt;= perc_85, converted_stat * 1.5, converted_stat)))))</f>
        <v/>
      </c>
      <c r="H683" s="30" t="str">
        <f t="array" ref="H683">IF($A683="", "", LET(bbgm_stat, INDEX(Players!$A682:$P682, MATCH(H$2, Players!$A$1:$P$1, 0)), perc_75, VLOOKUP(H$2, Percentiles!$A$45:$I$59, 6, FALSE), perc_90, VLOOKUP(H$2, Percentiles!$A$45:$I$59, 7, FALSE), perc_95, VLOOKUP(H$2, Percentiles!$A$45:$I$59, 8, FALSE), perc_85, perc_75 + (perc_90 - perc_75) * (2/3), converted_stat, '2K_Ratings'!H683, IF(bbgm_stat &gt;= perc_95, converted_stat * 3, IF(bbgm_stat &gt;= perc_90, converted_stat * 2, IF(bbgm_stat &gt;= perc_85, converted_stat * 1.5, converted_stat)))))</f>
        <v/>
      </c>
      <c r="I683" s="30" t="str">
        <f t="array" ref="I683">IF($A683="", "", LET(bbgm_stat, INDEX(Players!$A682:$P682, MATCH(I$2, Players!$A$1:$P$1, 0)), perc_75, VLOOKUP(I$2, Percentiles!$A$45:$I$59, 6, FALSE), perc_90, VLOOKUP(I$2, Percentiles!$A$45:$I$59, 7, FALSE), perc_95, VLOOKUP(I$2, Percentiles!$A$45:$I$59, 8, FALSE), perc_85, perc_75 + (perc_90 - perc_75) * (2/3), converted_stat, '2K_Ratings'!I683, IF(bbgm_stat &gt;= perc_95, converted_stat * 3, IF(bbgm_stat &gt;= perc_90, converted_stat * 2, IF(bbgm_stat &gt;= perc_85, converted_stat * 1.5, converted_stat)))))</f>
        <v/>
      </c>
      <c r="J683" s="30" t="str">
        <f t="array" ref="J683">IF($A683="", "", LET(bbgm_stat, INDEX(Players!$A682:$P682, MATCH(J$2, Players!$A$1:$P$1, 0)), perc_75, VLOOKUP(J$2, Percentiles!$A$45:$I$59, 6, FALSE), perc_90, VLOOKUP(J$2, Percentiles!$A$45:$I$59, 7, FALSE), perc_95, VLOOKUP(J$2, Percentiles!$A$45:$I$59, 8, FALSE), perc_85, perc_75 + (perc_90 - perc_75) * (2/3), converted_stat, '2K_Ratings'!J683, IF(bbgm_stat &gt;= perc_95, converted_stat * 3, IF(bbgm_stat &gt;= perc_90, converted_stat * 2, IF(bbgm_stat &gt;= perc_85, converted_stat * 1.5, converted_stat)))))</f>
        <v/>
      </c>
      <c r="K683" s="30" t="str">
        <f t="array" ref="K683">IF($A683="", "", LET(bbgm_stat, INDEX(Players!$A682:$P682, MATCH(K$2, Players!$A$1:$P$1, 0)), perc_75, VLOOKUP(K$2, Percentiles!$A$45:$I$59, 6, FALSE), perc_90, VLOOKUP(K$2, Percentiles!$A$45:$I$59, 7, FALSE), perc_95, VLOOKUP(K$2, Percentiles!$A$45:$I$59, 8, FALSE), perc_85, perc_75 + (perc_90 - perc_75) * (2/3), converted_stat, '2K_Ratings'!K683, IF(bbgm_stat &gt;= perc_95, converted_stat * 3, IF(bbgm_stat &gt;= perc_90, converted_stat * 2, IF(bbgm_stat &gt;= perc_85, converted_stat * 1.5, converted_stat)))))</f>
        <v/>
      </c>
      <c r="L683" s="30" t="str">
        <f t="array" ref="L683">IF($A683="", "", LET(bbgm_stat, INDEX(Players!$A682:$P682, MATCH(L$2, Players!$A$1:$P$1, 0)), perc_75, VLOOKUP(L$2, Percentiles!$A$45:$I$59, 6, FALSE), perc_90, VLOOKUP(L$2, Percentiles!$A$45:$I$59, 7, FALSE), perc_95, VLOOKUP(L$2, Percentiles!$A$45:$I$59, 8, FALSE), perc_85, perc_75 + (perc_90 - perc_75) * (2/3), converted_stat, '2K_Ratings'!L683, IF(bbgm_stat &gt;= perc_95, converted_stat * 3, IF(bbgm_stat &gt;= perc_90, converted_stat * 2, IF(bbgm_stat &gt;= perc_85, converted_stat * 1.5, converted_stat)))))</f>
        <v/>
      </c>
      <c r="M683" s="30" t="str">
        <f t="array" ref="M683">IF($A683="", "", LET(bbgm_stat, INDEX(Players!$A682:$P682, MATCH(M$2, Players!$A$1:$P$1, 0)), perc_75, VLOOKUP(M$2, Percentiles!$A$45:$I$59, 6, FALSE), perc_90, VLOOKUP(M$2, Percentiles!$A$45:$I$59, 7, FALSE), perc_95, VLOOKUP(M$2, Percentiles!$A$45:$I$59, 8, FALSE), perc_85, perc_75 + (perc_90 - perc_75) * (2/3), converted_stat, '2K_Ratings'!M683, IF(bbgm_stat &gt;= perc_95, converted_stat * 3, IF(bbgm_stat &gt;= perc_90, converted_stat * 2, IF(bbgm_stat &gt;= perc_85, converted_stat * 1.5, converted_stat)))))</f>
        <v/>
      </c>
      <c r="N683" s="30" t="str">
        <f t="array" ref="N683">IF($A683="", "", LET(bbgm_stat, INDEX(Players!$A682:$P682, MATCH(N$2, Players!$A$1:$P$1, 0)), perc_75, VLOOKUP(N$2, Percentiles!$A$45:$I$59, 6, FALSE), perc_90, VLOOKUP(N$2, Percentiles!$A$45:$I$59, 7, FALSE), perc_95, VLOOKUP(N$2, Percentiles!$A$45:$I$59, 8, FALSE), perc_85, perc_75 + (perc_90 - perc_75) * (2/3), converted_stat, '2K_Ratings'!N683, IF(bbgm_stat &gt;= perc_95, converted_stat * 3, IF(bbgm_stat &gt;= perc_90, converted_stat * 2, IF(bbgm_stat &gt;= perc_85, converted_stat * 1.5, converted_stat)))))</f>
        <v/>
      </c>
      <c r="O683" s="30" t="str">
        <f t="array" ref="O683">IF($A683="", "", LET(bbgm_stat, INDEX(Players!$A682:$P682, MATCH(O$2, Players!$A$1:$P$1, 0)), perc_75, VLOOKUP(O$2, Percentiles!$A$45:$I$59, 6, FALSE), perc_90, VLOOKUP(O$2, Percentiles!$A$45:$I$59, 7, FALSE), perc_95, VLOOKUP(O$2, Percentiles!$A$45:$I$59, 8, FALSE), perc_85, perc_75 + (perc_90 - perc_75) * (2/3), converted_stat, '2K_Ratings'!O683, IF(bbgm_stat &gt;= perc_95, converted_stat * 3, IF(bbgm_stat &gt;= perc_90, converted_stat * 2, IF(bbgm_stat &gt;= perc_85, converted_stat * 1.5, converted_stat)))))</f>
        <v/>
      </c>
      <c r="P683" s="30" t="str">
        <f t="array" ref="P683">IF($A683="", "", LET(bbgm_stat, INDEX(Players!$A682:$P682, MATCH(P$2, Players!$A$1:$P$1, 0)), perc_75, VLOOKUP(P$2, Percentiles!$A$45:$I$59, 6, FALSE), perc_90, VLOOKUP(P$2, Percentiles!$A$45:$I$59, 7, FALSE), perc_95, VLOOKUP(P$2, Percentiles!$A$45:$I$59, 8, FALSE), perc_85, perc_75 + (perc_90 - perc_75) * (2/3), converted_stat, '2K_Ratings'!P683, IF(bbgm_stat &gt;= perc_95, converted_stat * 3, IF(bbgm_stat &gt;= perc_90, converted_stat * 2, IF(bbgm_stat &gt;= perc_85, converted_stat * 1.5, converted_stat)))))</f>
        <v/>
      </c>
      <c r="Q683" s="30" t="str">
        <f t="array" ref="Q683">IF($A683="", "", LET(bbgm_stat, INDEX(Players!$A682:$P682, MATCH(Q$2, Players!$A$1:$P$1, 0)), perc_75, VLOOKUP(Q$2, Percentiles!$A$45:$I$59, 6, FALSE), perc_90, VLOOKUP(Q$2, Percentiles!$A$45:$I$59, 7, FALSE), perc_95, VLOOKUP(Q$2, Percentiles!$A$45:$I$59, 8, FALSE), perc_85, perc_75 + (perc_90 - perc_75) * (2/3), converted_stat, '2K_Ratings'!Q683, IF(bbgm_stat &gt;= perc_95, converted_stat * 3, IF(bbgm_stat &gt;= perc_90, converted_stat * 2, IF(bbgm_stat &gt;= perc_85, converted_stat * 1.5, converted_stat)))))</f>
        <v/>
      </c>
      <c r="R683" s="30" t="str">
        <f t="array" ref="R683">IF($A683="", "", LET(bbgm_stat, INDEX(Players!$A682:$P682, MATCH(R$2, Players!$A$1:$P$1, 0)), perc_75, VLOOKUP(R$2, Percentiles!$A$45:$I$59, 6, FALSE), perc_90, VLOOKUP(R$2, Percentiles!$A$45:$I$59, 7, FALSE), perc_95, VLOOKUP(R$2, Percentiles!$A$45:$I$59, 8, FALSE), perc_85, perc_75 + (perc_90 - perc_75) * (2/3), converted_stat, '2K_Ratings'!R683, IF(bbgm_stat &gt;= perc_95, converted_stat * 3, IF(bbgm_stat &gt;= perc_90, converted_stat * 2, IF(bbgm_stat &gt;= perc_85, converted_stat * 1.5, converted_stat)))))</f>
        <v/>
      </c>
      <c r="S683" s="30" t="str">
        <f t="array" ref="S683">IF($A683="", "", LET(bbgm_stat, INDEX(Players!$A682:$P682, MATCH(S$2, Players!$A$1:$P$1, 0)), perc_75, VLOOKUP(S$2, Percentiles!$A$45:$I$59, 6, FALSE), perc_90, VLOOKUP(S$2, Percentiles!$A$45:$I$59, 7, FALSE), perc_95, VLOOKUP(S$2, Percentiles!$A$45:$I$59, 8, FALSE), perc_85, perc_75 + (perc_90 - perc_75) * (2/3), converted_stat, '2K_Ratings'!S683, IF(bbgm_stat &gt;= perc_95, converted_stat * 3, IF(bbgm_stat &gt;= perc_90, converted_stat * 2, IF(bbgm_stat &gt;= perc_85, converted_stat * 1.5, converted_stat)))))</f>
        <v/>
      </c>
      <c r="T683" s="30" t="str">
        <f t="array" ref="T683">IF($A683="", "", LET(bbgm_stat, INDEX(Players!$A682:$P682, MATCH(T$2, Players!$A$1:$P$1, 0)), perc_75, VLOOKUP(T$2, Percentiles!$A$45:$I$59, 6, FALSE), perc_90, VLOOKUP(T$2, Percentiles!$A$45:$I$59, 7, FALSE), perc_95, VLOOKUP(T$2, Percentiles!$A$45:$I$59, 8, FALSE), perc_85, perc_75 + (perc_90 - perc_75) * (2/3), converted_stat, '2K_Ratings'!T683, IF(bbgm_stat &gt;= perc_95, converted_stat * 3, IF(bbgm_stat &gt;= perc_90, converted_stat * 2, IF(bbgm_stat &gt;= perc_85, converted_stat * 1.5, converted_stat)))))</f>
        <v/>
      </c>
      <c r="U683" s="30" t="str">
        <f t="array" ref="U683">IF($A683="", "", LET(bbgm_stat, INDEX(Players!$A682:$P682, MATCH(U$2, Players!$A$1:$P$1, 0)), perc_75, VLOOKUP(U$2, Percentiles!$A$45:$I$59, 6, FALSE), perc_90, VLOOKUP(U$2, Percentiles!$A$45:$I$59, 7, FALSE), perc_95, VLOOKUP(U$2, Percentiles!$A$45:$I$59, 8, FALSE), perc_85, perc_75 + (perc_90 - perc_75) * (2/3), converted_stat, '2K_Ratings'!U683, IF(bbgm_stat &gt;= perc_95, converted_stat * 3, IF(bbgm_stat &gt;= perc_90, converted_stat * 2, IF(bbgm_stat &gt;= perc_85, converted_stat * 1.5, converted_stat)))))</f>
        <v/>
      </c>
      <c r="V683" s="30" t="str">
        <f t="array" ref="V683">IF($A683="", "", LET(bbgm_stat, INDEX(Players!$A682:$P682, MATCH(V$2, Players!$A$1:$P$1, 0)), perc_75, VLOOKUP(V$2, Percentiles!$A$45:$I$59, 6, FALSE), perc_90, VLOOKUP(V$2, Percentiles!$A$45:$I$59, 7, FALSE), perc_95, VLOOKUP(V$2, Percentiles!$A$45:$I$59, 8, FALSE), perc_85, perc_75 + (perc_90 - perc_75) * (2/3), converted_stat, '2K_Ratings'!V683, IF(bbgm_stat &gt;= perc_95, converted_stat * 3, IF(bbgm_stat &gt;= perc_90, converted_stat * 2, IF(bbgm_stat &gt;= perc_85, converted_stat * 1.5, converted_stat)))))</f>
        <v/>
      </c>
      <c r="W683" s="30" t="str">
        <f t="array" ref="W683">IF($A683="", "", LET(bbgm_stat, INDEX(Players!$A682:$P682, MATCH(W$2, Players!$A$1:$P$1, 0)), perc_75, VLOOKUP(W$2, Percentiles!$A$45:$I$59, 6, FALSE), perc_90, VLOOKUP(W$2, Percentiles!$A$45:$I$59, 7, FALSE), perc_95, VLOOKUP(W$2, Percentiles!$A$45:$I$59, 8, FALSE), perc_85, perc_75 + (perc_90 - perc_75) * (2/3), converted_stat, '2K_Ratings'!W683, IF(bbgm_stat &gt;= perc_95, converted_stat * 3, IF(bbgm_stat &gt;= perc_90, converted_stat * 2, IF(bbgm_stat &gt;= perc_85, converted_stat * 1.5, converted_stat)))))</f>
        <v/>
      </c>
    </row>
    <row r="684">
      <c r="A684" s="30"/>
      <c r="B684" s="30" t="str">
        <f t="array" ref="B684">IF($A684="", "", LET(bbgm_stat, INDEX(Players!$A683:$P683, MATCH(B$2, Players!$A$1:$P$1, 0)), perc_75, VLOOKUP(B$2, Percentiles!$A$45:$I$59, 6, FALSE), perc_90, VLOOKUP(B$2, Percentiles!$A$45:$I$59, 7, FALSE), perc_95, VLOOKUP(B$2, Percentiles!$A$45:$I$59, 8, FALSE), perc_85, perc_75 + (perc_90 - perc_75) * (2/3), converted_stat, '2K_Ratings'!B684, IF(bbgm_stat &gt;= perc_95, converted_stat * 3, IF(bbgm_stat &gt;= perc_90, converted_stat * 2, IF(bbgm_stat &gt;= perc_85, converted_stat * 1.5, converted_stat)))))</f>
        <v/>
      </c>
      <c r="C684" s="30" t="str">
        <f t="array" ref="C684">IF($A684="", "", LET(bbgm_stat, INDEX(Players!$A683:$P683, MATCH(C$2, Players!$A$1:$P$1, 0)), perc_75, VLOOKUP(C$2, Percentiles!$A$45:$I$59, 6, FALSE), perc_90, VLOOKUP(C$2, Percentiles!$A$45:$I$59, 7, FALSE), perc_95, VLOOKUP(C$2, Percentiles!$A$45:$I$59, 8, FALSE), perc_85, perc_75 + (perc_90 - perc_75) * (2/3), converted_stat, '2K_Ratings'!C684, IF(bbgm_stat &gt;= perc_95, converted_stat * 3, IF(bbgm_stat &gt;= perc_90, converted_stat * 2, IF(bbgm_stat &gt;= perc_85, converted_stat * 1.5, converted_stat)))))</f>
        <v/>
      </c>
      <c r="D684" s="30" t="str">
        <f t="array" ref="D684">IF($A684="", "", LET(bbgm_stat, INDEX(Players!$A683:$P683, MATCH(D$2, Players!$A$1:$P$1, 0)), perc_75, VLOOKUP(D$2, Percentiles!$A$45:$I$59, 6, FALSE), perc_90, VLOOKUP(D$2, Percentiles!$A$45:$I$59, 7, FALSE), perc_95, VLOOKUP(D$2, Percentiles!$A$45:$I$59, 8, FALSE), perc_85, perc_75 + (perc_90 - perc_75) * (2/3), converted_stat, '2K_Ratings'!D684, IF(bbgm_stat &gt;= perc_95, converted_stat * 3, IF(bbgm_stat &gt;= perc_90, converted_stat * 2, IF(bbgm_stat &gt;= perc_85, converted_stat * 1.5, converted_stat)))))</f>
        <v/>
      </c>
      <c r="E684" s="30" t="str">
        <f t="array" ref="E684">IF($A684="", "", LET(bbgm_stat, INDEX(Players!$A683:$P683, MATCH(E$2, Players!$A$1:$P$1, 0)), perc_75, VLOOKUP(E$2, Percentiles!$A$45:$I$59, 6, FALSE), perc_90, VLOOKUP(E$2, Percentiles!$A$45:$I$59, 7, FALSE), perc_95, VLOOKUP(E$2, Percentiles!$A$45:$I$59, 8, FALSE), perc_85, perc_75 + (perc_90 - perc_75) * (2/3), converted_stat, '2K_Ratings'!E684, IF(bbgm_stat &gt;= perc_95, converted_stat * 3, IF(bbgm_stat &gt;= perc_90, converted_stat * 2, IF(bbgm_stat &gt;= perc_85, converted_stat * 1.5, converted_stat)))))</f>
        <v/>
      </c>
      <c r="F684" s="30" t="str">
        <f t="array" ref="F684">IF($A684="", "", LET(bbgm_stat, INDEX(Players!$A683:$P683, MATCH(F$2, Players!$A$1:$P$1, 0)), perc_75, VLOOKUP(F$2, Percentiles!$A$45:$I$59, 6, FALSE), perc_90, VLOOKUP(F$2, Percentiles!$A$45:$I$59, 7, FALSE), perc_95, VLOOKUP(F$2, Percentiles!$A$45:$I$59, 8, FALSE), perc_85, perc_75 + (perc_90 - perc_75) * (2/3), converted_stat, '2K_Ratings'!F684, IF(bbgm_stat &gt;= perc_95, converted_stat * 3, IF(bbgm_stat &gt;= perc_90, converted_stat * 2, IF(bbgm_stat &gt;= perc_85, converted_stat * 1.5, converted_stat)))))</f>
        <v/>
      </c>
      <c r="G684" s="30" t="str">
        <f t="array" ref="G684">IF($A684="", "", LET(bbgm_stat, INDEX(Players!$A683:$P683, MATCH(G$2, Players!$A$1:$P$1, 0)), perc_75, VLOOKUP(G$2, Percentiles!$A$45:$I$59, 6, FALSE), perc_90, VLOOKUP(G$2, Percentiles!$A$45:$I$59, 7, FALSE), perc_95, VLOOKUP(G$2, Percentiles!$A$45:$I$59, 8, FALSE), perc_85, perc_75 + (perc_90 - perc_75) * (2/3), converted_stat, '2K_Ratings'!G684, IF(bbgm_stat &gt;= perc_95, converted_stat * 3, IF(bbgm_stat &gt;= perc_90, converted_stat * 2, IF(bbgm_stat &gt;= perc_85, converted_stat * 1.5, converted_stat)))))</f>
        <v/>
      </c>
      <c r="H684" s="30" t="str">
        <f t="array" ref="H684">IF($A684="", "", LET(bbgm_stat, INDEX(Players!$A683:$P683, MATCH(H$2, Players!$A$1:$P$1, 0)), perc_75, VLOOKUP(H$2, Percentiles!$A$45:$I$59, 6, FALSE), perc_90, VLOOKUP(H$2, Percentiles!$A$45:$I$59, 7, FALSE), perc_95, VLOOKUP(H$2, Percentiles!$A$45:$I$59, 8, FALSE), perc_85, perc_75 + (perc_90 - perc_75) * (2/3), converted_stat, '2K_Ratings'!H684, IF(bbgm_stat &gt;= perc_95, converted_stat * 3, IF(bbgm_stat &gt;= perc_90, converted_stat * 2, IF(bbgm_stat &gt;= perc_85, converted_stat * 1.5, converted_stat)))))</f>
        <v/>
      </c>
      <c r="I684" s="30" t="str">
        <f t="array" ref="I684">IF($A684="", "", LET(bbgm_stat, INDEX(Players!$A683:$P683, MATCH(I$2, Players!$A$1:$P$1, 0)), perc_75, VLOOKUP(I$2, Percentiles!$A$45:$I$59, 6, FALSE), perc_90, VLOOKUP(I$2, Percentiles!$A$45:$I$59, 7, FALSE), perc_95, VLOOKUP(I$2, Percentiles!$A$45:$I$59, 8, FALSE), perc_85, perc_75 + (perc_90 - perc_75) * (2/3), converted_stat, '2K_Ratings'!I684, IF(bbgm_stat &gt;= perc_95, converted_stat * 3, IF(bbgm_stat &gt;= perc_90, converted_stat * 2, IF(bbgm_stat &gt;= perc_85, converted_stat * 1.5, converted_stat)))))</f>
        <v/>
      </c>
      <c r="J684" s="30" t="str">
        <f t="array" ref="J684">IF($A684="", "", LET(bbgm_stat, INDEX(Players!$A683:$P683, MATCH(J$2, Players!$A$1:$P$1, 0)), perc_75, VLOOKUP(J$2, Percentiles!$A$45:$I$59, 6, FALSE), perc_90, VLOOKUP(J$2, Percentiles!$A$45:$I$59, 7, FALSE), perc_95, VLOOKUP(J$2, Percentiles!$A$45:$I$59, 8, FALSE), perc_85, perc_75 + (perc_90 - perc_75) * (2/3), converted_stat, '2K_Ratings'!J684, IF(bbgm_stat &gt;= perc_95, converted_stat * 3, IF(bbgm_stat &gt;= perc_90, converted_stat * 2, IF(bbgm_stat &gt;= perc_85, converted_stat * 1.5, converted_stat)))))</f>
        <v/>
      </c>
      <c r="K684" s="30" t="str">
        <f t="array" ref="K684">IF($A684="", "", LET(bbgm_stat, INDEX(Players!$A683:$P683, MATCH(K$2, Players!$A$1:$P$1, 0)), perc_75, VLOOKUP(K$2, Percentiles!$A$45:$I$59, 6, FALSE), perc_90, VLOOKUP(K$2, Percentiles!$A$45:$I$59, 7, FALSE), perc_95, VLOOKUP(K$2, Percentiles!$A$45:$I$59, 8, FALSE), perc_85, perc_75 + (perc_90 - perc_75) * (2/3), converted_stat, '2K_Ratings'!K684, IF(bbgm_stat &gt;= perc_95, converted_stat * 3, IF(bbgm_stat &gt;= perc_90, converted_stat * 2, IF(bbgm_stat &gt;= perc_85, converted_stat * 1.5, converted_stat)))))</f>
        <v/>
      </c>
      <c r="L684" s="30" t="str">
        <f t="array" ref="L684">IF($A684="", "", LET(bbgm_stat, INDEX(Players!$A683:$P683, MATCH(L$2, Players!$A$1:$P$1, 0)), perc_75, VLOOKUP(L$2, Percentiles!$A$45:$I$59, 6, FALSE), perc_90, VLOOKUP(L$2, Percentiles!$A$45:$I$59, 7, FALSE), perc_95, VLOOKUP(L$2, Percentiles!$A$45:$I$59, 8, FALSE), perc_85, perc_75 + (perc_90 - perc_75) * (2/3), converted_stat, '2K_Ratings'!L684, IF(bbgm_stat &gt;= perc_95, converted_stat * 3, IF(bbgm_stat &gt;= perc_90, converted_stat * 2, IF(bbgm_stat &gt;= perc_85, converted_stat * 1.5, converted_stat)))))</f>
        <v/>
      </c>
      <c r="M684" s="30" t="str">
        <f t="array" ref="M684">IF($A684="", "", LET(bbgm_stat, INDEX(Players!$A683:$P683, MATCH(M$2, Players!$A$1:$P$1, 0)), perc_75, VLOOKUP(M$2, Percentiles!$A$45:$I$59, 6, FALSE), perc_90, VLOOKUP(M$2, Percentiles!$A$45:$I$59, 7, FALSE), perc_95, VLOOKUP(M$2, Percentiles!$A$45:$I$59, 8, FALSE), perc_85, perc_75 + (perc_90 - perc_75) * (2/3), converted_stat, '2K_Ratings'!M684, IF(bbgm_stat &gt;= perc_95, converted_stat * 3, IF(bbgm_stat &gt;= perc_90, converted_stat * 2, IF(bbgm_stat &gt;= perc_85, converted_stat * 1.5, converted_stat)))))</f>
        <v/>
      </c>
      <c r="N684" s="30" t="str">
        <f t="array" ref="N684">IF($A684="", "", LET(bbgm_stat, INDEX(Players!$A683:$P683, MATCH(N$2, Players!$A$1:$P$1, 0)), perc_75, VLOOKUP(N$2, Percentiles!$A$45:$I$59, 6, FALSE), perc_90, VLOOKUP(N$2, Percentiles!$A$45:$I$59, 7, FALSE), perc_95, VLOOKUP(N$2, Percentiles!$A$45:$I$59, 8, FALSE), perc_85, perc_75 + (perc_90 - perc_75) * (2/3), converted_stat, '2K_Ratings'!N684, IF(bbgm_stat &gt;= perc_95, converted_stat * 3, IF(bbgm_stat &gt;= perc_90, converted_stat * 2, IF(bbgm_stat &gt;= perc_85, converted_stat * 1.5, converted_stat)))))</f>
        <v/>
      </c>
      <c r="O684" s="30" t="str">
        <f t="array" ref="O684">IF($A684="", "", LET(bbgm_stat, INDEX(Players!$A683:$P683, MATCH(O$2, Players!$A$1:$P$1, 0)), perc_75, VLOOKUP(O$2, Percentiles!$A$45:$I$59, 6, FALSE), perc_90, VLOOKUP(O$2, Percentiles!$A$45:$I$59, 7, FALSE), perc_95, VLOOKUP(O$2, Percentiles!$A$45:$I$59, 8, FALSE), perc_85, perc_75 + (perc_90 - perc_75) * (2/3), converted_stat, '2K_Ratings'!O684, IF(bbgm_stat &gt;= perc_95, converted_stat * 3, IF(bbgm_stat &gt;= perc_90, converted_stat * 2, IF(bbgm_stat &gt;= perc_85, converted_stat * 1.5, converted_stat)))))</f>
        <v/>
      </c>
      <c r="P684" s="30" t="str">
        <f t="array" ref="P684">IF($A684="", "", LET(bbgm_stat, INDEX(Players!$A683:$P683, MATCH(P$2, Players!$A$1:$P$1, 0)), perc_75, VLOOKUP(P$2, Percentiles!$A$45:$I$59, 6, FALSE), perc_90, VLOOKUP(P$2, Percentiles!$A$45:$I$59, 7, FALSE), perc_95, VLOOKUP(P$2, Percentiles!$A$45:$I$59, 8, FALSE), perc_85, perc_75 + (perc_90 - perc_75) * (2/3), converted_stat, '2K_Ratings'!P684, IF(bbgm_stat &gt;= perc_95, converted_stat * 3, IF(bbgm_stat &gt;= perc_90, converted_stat * 2, IF(bbgm_stat &gt;= perc_85, converted_stat * 1.5, converted_stat)))))</f>
        <v/>
      </c>
      <c r="Q684" s="30" t="str">
        <f t="array" ref="Q684">IF($A684="", "", LET(bbgm_stat, INDEX(Players!$A683:$P683, MATCH(Q$2, Players!$A$1:$P$1, 0)), perc_75, VLOOKUP(Q$2, Percentiles!$A$45:$I$59, 6, FALSE), perc_90, VLOOKUP(Q$2, Percentiles!$A$45:$I$59, 7, FALSE), perc_95, VLOOKUP(Q$2, Percentiles!$A$45:$I$59, 8, FALSE), perc_85, perc_75 + (perc_90 - perc_75) * (2/3), converted_stat, '2K_Ratings'!Q684, IF(bbgm_stat &gt;= perc_95, converted_stat * 3, IF(bbgm_stat &gt;= perc_90, converted_stat * 2, IF(bbgm_stat &gt;= perc_85, converted_stat * 1.5, converted_stat)))))</f>
        <v/>
      </c>
      <c r="R684" s="30" t="str">
        <f t="array" ref="R684">IF($A684="", "", LET(bbgm_stat, INDEX(Players!$A683:$P683, MATCH(R$2, Players!$A$1:$P$1, 0)), perc_75, VLOOKUP(R$2, Percentiles!$A$45:$I$59, 6, FALSE), perc_90, VLOOKUP(R$2, Percentiles!$A$45:$I$59, 7, FALSE), perc_95, VLOOKUP(R$2, Percentiles!$A$45:$I$59, 8, FALSE), perc_85, perc_75 + (perc_90 - perc_75) * (2/3), converted_stat, '2K_Ratings'!R684, IF(bbgm_stat &gt;= perc_95, converted_stat * 3, IF(bbgm_stat &gt;= perc_90, converted_stat * 2, IF(bbgm_stat &gt;= perc_85, converted_stat * 1.5, converted_stat)))))</f>
        <v/>
      </c>
      <c r="S684" s="30" t="str">
        <f t="array" ref="S684">IF($A684="", "", LET(bbgm_stat, INDEX(Players!$A683:$P683, MATCH(S$2, Players!$A$1:$P$1, 0)), perc_75, VLOOKUP(S$2, Percentiles!$A$45:$I$59, 6, FALSE), perc_90, VLOOKUP(S$2, Percentiles!$A$45:$I$59, 7, FALSE), perc_95, VLOOKUP(S$2, Percentiles!$A$45:$I$59, 8, FALSE), perc_85, perc_75 + (perc_90 - perc_75) * (2/3), converted_stat, '2K_Ratings'!S684, IF(bbgm_stat &gt;= perc_95, converted_stat * 3, IF(bbgm_stat &gt;= perc_90, converted_stat * 2, IF(bbgm_stat &gt;= perc_85, converted_stat * 1.5, converted_stat)))))</f>
        <v/>
      </c>
      <c r="T684" s="30" t="str">
        <f t="array" ref="T684">IF($A684="", "", LET(bbgm_stat, INDEX(Players!$A683:$P683, MATCH(T$2, Players!$A$1:$P$1, 0)), perc_75, VLOOKUP(T$2, Percentiles!$A$45:$I$59, 6, FALSE), perc_90, VLOOKUP(T$2, Percentiles!$A$45:$I$59, 7, FALSE), perc_95, VLOOKUP(T$2, Percentiles!$A$45:$I$59, 8, FALSE), perc_85, perc_75 + (perc_90 - perc_75) * (2/3), converted_stat, '2K_Ratings'!T684, IF(bbgm_stat &gt;= perc_95, converted_stat * 3, IF(bbgm_stat &gt;= perc_90, converted_stat * 2, IF(bbgm_stat &gt;= perc_85, converted_stat * 1.5, converted_stat)))))</f>
        <v/>
      </c>
      <c r="U684" s="30" t="str">
        <f t="array" ref="U684">IF($A684="", "", LET(bbgm_stat, INDEX(Players!$A683:$P683, MATCH(U$2, Players!$A$1:$P$1, 0)), perc_75, VLOOKUP(U$2, Percentiles!$A$45:$I$59, 6, FALSE), perc_90, VLOOKUP(U$2, Percentiles!$A$45:$I$59, 7, FALSE), perc_95, VLOOKUP(U$2, Percentiles!$A$45:$I$59, 8, FALSE), perc_85, perc_75 + (perc_90 - perc_75) * (2/3), converted_stat, '2K_Ratings'!U684, IF(bbgm_stat &gt;= perc_95, converted_stat * 3, IF(bbgm_stat &gt;= perc_90, converted_stat * 2, IF(bbgm_stat &gt;= perc_85, converted_stat * 1.5, converted_stat)))))</f>
        <v/>
      </c>
      <c r="V684" s="30" t="str">
        <f t="array" ref="V684">IF($A684="", "", LET(bbgm_stat, INDEX(Players!$A683:$P683, MATCH(V$2, Players!$A$1:$P$1, 0)), perc_75, VLOOKUP(V$2, Percentiles!$A$45:$I$59, 6, FALSE), perc_90, VLOOKUP(V$2, Percentiles!$A$45:$I$59, 7, FALSE), perc_95, VLOOKUP(V$2, Percentiles!$A$45:$I$59, 8, FALSE), perc_85, perc_75 + (perc_90 - perc_75) * (2/3), converted_stat, '2K_Ratings'!V684, IF(bbgm_stat &gt;= perc_95, converted_stat * 3, IF(bbgm_stat &gt;= perc_90, converted_stat * 2, IF(bbgm_stat &gt;= perc_85, converted_stat * 1.5, converted_stat)))))</f>
        <v/>
      </c>
      <c r="W684" s="30" t="str">
        <f t="array" ref="W684">IF($A684="", "", LET(bbgm_stat, INDEX(Players!$A683:$P683, MATCH(W$2, Players!$A$1:$P$1, 0)), perc_75, VLOOKUP(W$2, Percentiles!$A$45:$I$59, 6, FALSE), perc_90, VLOOKUP(W$2, Percentiles!$A$45:$I$59, 7, FALSE), perc_95, VLOOKUP(W$2, Percentiles!$A$45:$I$59, 8, FALSE), perc_85, perc_75 + (perc_90 - perc_75) * (2/3), converted_stat, '2K_Ratings'!W684, IF(bbgm_stat &gt;= perc_95, converted_stat * 3, IF(bbgm_stat &gt;= perc_90, converted_stat * 2, IF(bbgm_stat &gt;= perc_85, converted_stat * 1.5, converted_stat)))))</f>
        <v/>
      </c>
    </row>
    <row r="685">
      <c r="A685" s="30"/>
      <c r="B685" s="30" t="str">
        <f t="array" ref="B685">IF($A685="", "", LET(bbgm_stat, INDEX(Players!$A684:$P684, MATCH(B$2, Players!$A$1:$P$1, 0)), perc_75, VLOOKUP(B$2, Percentiles!$A$45:$I$59, 6, FALSE), perc_90, VLOOKUP(B$2, Percentiles!$A$45:$I$59, 7, FALSE), perc_95, VLOOKUP(B$2, Percentiles!$A$45:$I$59, 8, FALSE), perc_85, perc_75 + (perc_90 - perc_75) * (2/3), converted_stat, '2K_Ratings'!B685, IF(bbgm_stat &gt;= perc_95, converted_stat * 3, IF(bbgm_stat &gt;= perc_90, converted_stat * 2, IF(bbgm_stat &gt;= perc_85, converted_stat * 1.5, converted_stat)))))</f>
        <v/>
      </c>
      <c r="C685" s="30" t="str">
        <f t="array" ref="C685">IF($A685="", "", LET(bbgm_stat, INDEX(Players!$A684:$P684, MATCH(C$2, Players!$A$1:$P$1, 0)), perc_75, VLOOKUP(C$2, Percentiles!$A$45:$I$59, 6, FALSE), perc_90, VLOOKUP(C$2, Percentiles!$A$45:$I$59, 7, FALSE), perc_95, VLOOKUP(C$2, Percentiles!$A$45:$I$59, 8, FALSE), perc_85, perc_75 + (perc_90 - perc_75) * (2/3), converted_stat, '2K_Ratings'!C685, IF(bbgm_stat &gt;= perc_95, converted_stat * 3, IF(bbgm_stat &gt;= perc_90, converted_stat * 2, IF(bbgm_stat &gt;= perc_85, converted_stat * 1.5, converted_stat)))))</f>
        <v/>
      </c>
      <c r="D685" s="30" t="str">
        <f t="array" ref="D685">IF($A685="", "", LET(bbgm_stat, INDEX(Players!$A684:$P684, MATCH(D$2, Players!$A$1:$P$1, 0)), perc_75, VLOOKUP(D$2, Percentiles!$A$45:$I$59, 6, FALSE), perc_90, VLOOKUP(D$2, Percentiles!$A$45:$I$59, 7, FALSE), perc_95, VLOOKUP(D$2, Percentiles!$A$45:$I$59, 8, FALSE), perc_85, perc_75 + (perc_90 - perc_75) * (2/3), converted_stat, '2K_Ratings'!D685, IF(bbgm_stat &gt;= perc_95, converted_stat * 3, IF(bbgm_stat &gt;= perc_90, converted_stat * 2, IF(bbgm_stat &gt;= perc_85, converted_stat * 1.5, converted_stat)))))</f>
        <v/>
      </c>
      <c r="E685" s="30" t="str">
        <f t="array" ref="E685">IF($A685="", "", LET(bbgm_stat, INDEX(Players!$A684:$P684, MATCH(E$2, Players!$A$1:$P$1, 0)), perc_75, VLOOKUP(E$2, Percentiles!$A$45:$I$59, 6, FALSE), perc_90, VLOOKUP(E$2, Percentiles!$A$45:$I$59, 7, FALSE), perc_95, VLOOKUP(E$2, Percentiles!$A$45:$I$59, 8, FALSE), perc_85, perc_75 + (perc_90 - perc_75) * (2/3), converted_stat, '2K_Ratings'!E685, IF(bbgm_stat &gt;= perc_95, converted_stat * 3, IF(bbgm_stat &gt;= perc_90, converted_stat * 2, IF(bbgm_stat &gt;= perc_85, converted_stat * 1.5, converted_stat)))))</f>
        <v/>
      </c>
      <c r="F685" s="30" t="str">
        <f t="array" ref="F685">IF($A685="", "", LET(bbgm_stat, INDEX(Players!$A684:$P684, MATCH(F$2, Players!$A$1:$P$1, 0)), perc_75, VLOOKUP(F$2, Percentiles!$A$45:$I$59, 6, FALSE), perc_90, VLOOKUP(F$2, Percentiles!$A$45:$I$59, 7, FALSE), perc_95, VLOOKUP(F$2, Percentiles!$A$45:$I$59, 8, FALSE), perc_85, perc_75 + (perc_90 - perc_75) * (2/3), converted_stat, '2K_Ratings'!F685, IF(bbgm_stat &gt;= perc_95, converted_stat * 3, IF(bbgm_stat &gt;= perc_90, converted_stat * 2, IF(bbgm_stat &gt;= perc_85, converted_stat * 1.5, converted_stat)))))</f>
        <v/>
      </c>
      <c r="G685" s="30" t="str">
        <f t="array" ref="G685">IF($A685="", "", LET(bbgm_stat, INDEX(Players!$A684:$P684, MATCH(G$2, Players!$A$1:$P$1, 0)), perc_75, VLOOKUP(G$2, Percentiles!$A$45:$I$59, 6, FALSE), perc_90, VLOOKUP(G$2, Percentiles!$A$45:$I$59, 7, FALSE), perc_95, VLOOKUP(G$2, Percentiles!$A$45:$I$59, 8, FALSE), perc_85, perc_75 + (perc_90 - perc_75) * (2/3), converted_stat, '2K_Ratings'!G685, IF(bbgm_stat &gt;= perc_95, converted_stat * 3, IF(bbgm_stat &gt;= perc_90, converted_stat * 2, IF(bbgm_stat &gt;= perc_85, converted_stat * 1.5, converted_stat)))))</f>
        <v/>
      </c>
      <c r="H685" s="30" t="str">
        <f t="array" ref="H685">IF($A685="", "", LET(bbgm_stat, INDEX(Players!$A684:$P684, MATCH(H$2, Players!$A$1:$P$1, 0)), perc_75, VLOOKUP(H$2, Percentiles!$A$45:$I$59, 6, FALSE), perc_90, VLOOKUP(H$2, Percentiles!$A$45:$I$59, 7, FALSE), perc_95, VLOOKUP(H$2, Percentiles!$A$45:$I$59, 8, FALSE), perc_85, perc_75 + (perc_90 - perc_75) * (2/3), converted_stat, '2K_Ratings'!H685, IF(bbgm_stat &gt;= perc_95, converted_stat * 3, IF(bbgm_stat &gt;= perc_90, converted_stat * 2, IF(bbgm_stat &gt;= perc_85, converted_stat * 1.5, converted_stat)))))</f>
        <v/>
      </c>
      <c r="I685" s="30" t="str">
        <f t="array" ref="I685">IF($A685="", "", LET(bbgm_stat, INDEX(Players!$A684:$P684, MATCH(I$2, Players!$A$1:$P$1, 0)), perc_75, VLOOKUP(I$2, Percentiles!$A$45:$I$59, 6, FALSE), perc_90, VLOOKUP(I$2, Percentiles!$A$45:$I$59, 7, FALSE), perc_95, VLOOKUP(I$2, Percentiles!$A$45:$I$59, 8, FALSE), perc_85, perc_75 + (perc_90 - perc_75) * (2/3), converted_stat, '2K_Ratings'!I685, IF(bbgm_stat &gt;= perc_95, converted_stat * 3, IF(bbgm_stat &gt;= perc_90, converted_stat * 2, IF(bbgm_stat &gt;= perc_85, converted_stat * 1.5, converted_stat)))))</f>
        <v/>
      </c>
      <c r="J685" s="30" t="str">
        <f t="array" ref="J685">IF($A685="", "", LET(bbgm_stat, INDEX(Players!$A684:$P684, MATCH(J$2, Players!$A$1:$P$1, 0)), perc_75, VLOOKUP(J$2, Percentiles!$A$45:$I$59, 6, FALSE), perc_90, VLOOKUP(J$2, Percentiles!$A$45:$I$59, 7, FALSE), perc_95, VLOOKUP(J$2, Percentiles!$A$45:$I$59, 8, FALSE), perc_85, perc_75 + (perc_90 - perc_75) * (2/3), converted_stat, '2K_Ratings'!J685, IF(bbgm_stat &gt;= perc_95, converted_stat * 3, IF(bbgm_stat &gt;= perc_90, converted_stat * 2, IF(bbgm_stat &gt;= perc_85, converted_stat * 1.5, converted_stat)))))</f>
        <v/>
      </c>
      <c r="K685" s="30" t="str">
        <f t="array" ref="K685">IF($A685="", "", LET(bbgm_stat, INDEX(Players!$A684:$P684, MATCH(K$2, Players!$A$1:$P$1, 0)), perc_75, VLOOKUP(K$2, Percentiles!$A$45:$I$59, 6, FALSE), perc_90, VLOOKUP(K$2, Percentiles!$A$45:$I$59, 7, FALSE), perc_95, VLOOKUP(K$2, Percentiles!$A$45:$I$59, 8, FALSE), perc_85, perc_75 + (perc_90 - perc_75) * (2/3), converted_stat, '2K_Ratings'!K685, IF(bbgm_stat &gt;= perc_95, converted_stat * 3, IF(bbgm_stat &gt;= perc_90, converted_stat * 2, IF(bbgm_stat &gt;= perc_85, converted_stat * 1.5, converted_stat)))))</f>
        <v/>
      </c>
      <c r="L685" s="30" t="str">
        <f t="array" ref="L685">IF($A685="", "", LET(bbgm_stat, INDEX(Players!$A684:$P684, MATCH(L$2, Players!$A$1:$P$1, 0)), perc_75, VLOOKUP(L$2, Percentiles!$A$45:$I$59, 6, FALSE), perc_90, VLOOKUP(L$2, Percentiles!$A$45:$I$59, 7, FALSE), perc_95, VLOOKUP(L$2, Percentiles!$A$45:$I$59, 8, FALSE), perc_85, perc_75 + (perc_90 - perc_75) * (2/3), converted_stat, '2K_Ratings'!L685, IF(bbgm_stat &gt;= perc_95, converted_stat * 3, IF(bbgm_stat &gt;= perc_90, converted_stat * 2, IF(bbgm_stat &gt;= perc_85, converted_stat * 1.5, converted_stat)))))</f>
        <v/>
      </c>
      <c r="M685" s="30" t="str">
        <f t="array" ref="M685">IF($A685="", "", LET(bbgm_stat, INDEX(Players!$A684:$P684, MATCH(M$2, Players!$A$1:$P$1, 0)), perc_75, VLOOKUP(M$2, Percentiles!$A$45:$I$59, 6, FALSE), perc_90, VLOOKUP(M$2, Percentiles!$A$45:$I$59, 7, FALSE), perc_95, VLOOKUP(M$2, Percentiles!$A$45:$I$59, 8, FALSE), perc_85, perc_75 + (perc_90 - perc_75) * (2/3), converted_stat, '2K_Ratings'!M685, IF(bbgm_stat &gt;= perc_95, converted_stat * 3, IF(bbgm_stat &gt;= perc_90, converted_stat * 2, IF(bbgm_stat &gt;= perc_85, converted_stat * 1.5, converted_stat)))))</f>
        <v/>
      </c>
      <c r="N685" s="30" t="str">
        <f t="array" ref="N685">IF($A685="", "", LET(bbgm_stat, INDEX(Players!$A684:$P684, MATCH(N$2, Players!$A$1:$P$1, 0)), perc_75, VLOOKUP(N$2, Percentiles!$A$45:$I$59, 6, FALSE), perc_90, VLOOKUP(N$2, Percentiles!$A$45:$I$59, 7, FALSE), perc_95, VLOOKUP(N$2, Percentiles!$A$45:$I$59, 8, FALSE), perc_85, perc_75 + (perc_90 - perc_75) * (2/3), converted_stat, '2K_Ratings'!N685, IF(bbgm_stat &gt;= perc_95, converted_stat * 3, IF(bbgm_stat &gt;= perc_90, converted_stat * 2, IF(bbgm_stat &gt;= perc_85, converted_stat * 1.5, converted_stat)))))</f>
        <v/>
      </c>
      <c r="O685" s="30" t="str">
        <f t="array" ref="O685">IF($A685="", "", LET(bbgm_stat, INDEX(Players!$A684:$P684, MATCH(O$2, Players!$A$1:$P$1, 0)), perc_75, VLOOKUP(O$2, Percentiles!$A$45:$I$59, 6, FALSE), perc_90, VLOOKUP(O$2, Percentiles!$A$45:$I$59, 7, FALSE), perc_95, VLOOKUP(O$2, Percentiles!$A$45:$I$59, 8, FALSE), perc_85, perc_75 + (perc_90 - perc_75) * (2/3), converted_stat, '2K_Ratings'!O685, IF(bbgm_stat &gt;= perc_95, converted_stat * 3, IF(bbgm_stat &gt;= perc_90, converted_stat * 2, IF(bbgm_stat &gt;= perc_85, converted_stat * 1.5, converted_stat)))))</f>
        <v/>
      </c>
      <c r="P685" s="30" t="str">
        <f t="array" ref="P685">IF($A685="", "", LET(bbgm_stat, INDEX(Players!$A684:$P684, MATCH(P$2, Players!$A$1:$P$1, 0)), perc_75, VLOOKUP(P$2, Percentiles!$A$45:$I$59, 6, FALSE), perc_90, VLOOKUP(P$2, Percentiles!$A$45:$I$59, 7, FALSE), perc_95, VLOOKUP(P$2, Percentiles!$A$45:$I$59, 8, FALSE), perc_85, perc_75 + (perc_90 - perc_75) * (2/3), converted_stat, '2K_Ratings'!P685, IF(bbgm_stat &gt;= perc_95, converted_stat * 3, IF(bbgm_stat &gt;= perc_90, converted_stat * 2, IF(bbgm_stat &gt;= perc_85, converted_stat * 1.5, converted_stat)))))</f>
        <v/>
      </c>
      <c r="Q685" s="30" t="str">
        <f t="array" ref="Q685">IF($A685="", "", LET(bbgm_stat, INDEX(Players!$A684:$P684, MATCH(Q$2, Players!$A$1:$P$1, 0)), perc_75, VLOOKUP(Q$2, Percentiles!$A$45:$I$59, 6, FALSE), perc_90, VLOOKUP(Q$2, Percentiles!$A$45:$I$59, 7, FALSE), perc_95, VLOOKUP(Q$2, Percentiles!$A$45:$I$59, 8, FALSE), perc_85, perc_75 + (perc_90 - perc_75) * (2/3), converted_stat, '2K_Ratings'!Q685, IF(bbgm_stat &gt;= perc_95, converted_stat * 3, IF(bbgm_stat &gt;= perc_90, converted_stat * 2, IF(bbgm_stat &gt;= perc_85, converted_stat * 1.5, converted_stat)))))</f>
        <v/>
      </c>
      <c r="R685" s="30" t="str">
        <f t="array" ref="R685">IF($A685="", "", LET(bbgm_stat, INDEX(Players!$A684:$P684, MATCH(R$2, Players!$A$1:$P$1, 0)), perc_75, VLOOKUP(R$2, Percentiles!$A$45:$I$59, 6, FALSE), perc_90, VLOOKUP(R$2, Percentiles!$A$45:$I$59, 7, FALSE), perc_95, VLOOKUP(R$2, Percentiles!$A$45:$I$59, 8, FALSE), perc_85, perc_75 + (perc_90 - perc_75) * (2/3), converted_stat, '2K_Ratings'!R685, IF(bbgm_stat &gt;= perc_95, converted_stat * 3, IF(bbgm_stat &gt;= perc_90, converted_stat * 2, IF(bbgm_stat &gt;= perc_85, converted_stat * 1.5, converted_stat)))))</f>
        <v/>
      </c>
      <c r="S685" s="30" t="str">
        <f t="array" ref="S685">IF($A685="", "", LET(bbgm_stat, INDEX(Players!$A684:$P684, MATCH(S$2, Players!$A$1:$P$1, 0)), perc_75, VLOOKUP(S$2, Percentiles!$A$45:$I$59, 6, FALSE), perc_90, VLOOKUP(S$2, Percentiles!$A$45:$I$59, 7, FALSE), perc_95, VLOOKUP(S$2, Percentiles!$A$45:$I$59, 8, FALSE), perc_85, perc_75 + (perc_90 - perc_75) * (2/3), converted_stat, '2K_Ratings'!S685, IF(bbgm_stat &gt;= perc_95, converted_stat * 3, IF(bbgm_stat &gt;= perc_90, converted_stat * 2, IF(bbgm_stat &gt;= perc_85, converted_stat * 1.5, converted_stat)))))</f>
        <v/>
      </c>
      <c r="T685" s="30" t="str">
        <f t="array" ref="T685">IF($A685="", "", LET(bbgm_stat, INDEX(Players!$A684:$P684, MATCH(T$2, Players!$A$1:$P$1, 0)), perc_75, VLOOKUP(T$2, Percentiles!$A$45:$I$59, 6, FALSE), perc_90, VLOOKUP(T$2, Percentiles!$A$45:$I$59, 7, FALSE), perc_95, VLOOKUP(T$2, Percentiles!$A$45:$I$59, 8, FALSE), perc_85, perc_75 + (perc_90 - perc_75) * (2/3), converted_stat, '2K_Ratings'!T685, IF(bbgm_stat &gt;= perc_95, converted_stat * 3, IF(bbgm_stat &gt;= perc_90, converted_stat * 2, IF(bbgm_stat &gt;= perc_85, converted_stat * 1.5, converted_stat)))))</f>
        <v/>
      </c>
      <c r="U685" s="30" t="str">
        <f t="array" ref="U685">IF($A685="", "", LET(bbgm_stat, INDEX(Players!$A684:$P684, MATCH(U$2, Players!$A$1:$P$1, 0)), perc_75, VLOOKUP(U$2, Percentiles!$A$45:$I$59, 6, FALSE), perc_90, VLOOKUP(U$2, Percentiles!$A$45:$I$59, 7, FALSE), perc_95, VLOOKUP(U$2, Percentiles!$A$45:$I$59, 8, FALSE), perc_85, perc_75 + (perc_90 - perc_75) * (2/3), converted_stat, '2K_Ratings'!U685, IF(bbgm_stat &gt;= perc_95, converted_stat * 3, IF(bbgm_stat &gt;= perc_90, converted_stat * 2, IF(bbgm_stat &gt;= perc_85, converted_stat * 1.5, converted_stat)))))</f>
        <v/>
      </c>
      <c r="V685" s="30" t="str">
        <f t="array" ref="V685">IF($A685="", "", LET(bbgm_stat, INDEX(Players!$A684:$P684, MATCH(V$2, Players!$A$1:$P$1, 0)), perc_75, VLOOKUP(V$2, Percentiles!$A$45:$I$59, 6, FALSE), perc_90, VLOOKUP(V$2, Percentiles!$A$45:$I$59, 7, FALSE), perc_95, VLOOKUP(V$2, Percentiles!$A$45:$I$59, 8, FALSE), perc_85, perc_75 + (perc_90 - perc_75) * (2/3), converted_stat, '2K_Ratings'!V685, IF(bbgm_stat &gt;= perc_95, converted_stat * 3, IF(bbgm_stat &gt;= perc_90, converted_stat * 2, IF(bbgm_stat &gt;= perc_85, converted_stat * 1.5, converted_stat)))))</f>
        <v/>
      </c>
      <c r="W685" s="30" t="str">
        <f t="array" ref="W685">IF($A685="", "", LET(bbgm_stat, INDEX(Players!$A684:$P684, MATCH(W$2, Players!$A$1:$P$1, 0)), perc_75, VLOOKUP(W$2, Percentiles!$A$45:$I$59, 6, FALSE), perc_90, VLOOKUP(W$2, Percentiles!$A$45:$I$59, 7, FALSE), perc_95, VLOOKUP(W$2, Percentiles!$A$45:$I$59, 8, FALSE), perc_85, perc_75 + (perc_90 - perc_75) * (2/3), converted_stat, '2K_Ratings'!W685, IF(bbgm_stat &gt;= perc_95, converted_stat * 3, IF(bbgm_stat &gt;= perc_90, converted_stat * 2, IF(bbgm_stat &gt;= perc_85, converted_stat * 1.5, converted_stat)))))</f>
        <v/>
      </c>
    </row>
    <row r="686">
      <c r="A686" s="30"/>
      <c r="B686" s="30" t="str">
        <f t="array" ref="B686">IF($A686="", "", LET(bbgm_stat, INDEX(Players!$A685:$P685, MATCH(B$2, Players!$A$1:$P$1, 0)), perc_75, VLOOKUP(B$2, Percentiles!$A$45:$I$59, 6, FALSE), perc_90, VLOOKUP(B$2, Percentiles!$A$45:$I$59, 7, FALSE), perc_95, VLOOKUP(B$2, Percentiles!$A$45:$I$59, 8, FALSE), perc_85, perc_75 + (perc_90 - perc_75) * (2/3), converted_stat, '2K_Ratings'!B686, IF(bbgm_stat &gt;= perc_95, converted_stat * 3, IF(bbgm_stat &gt;= perc_90, converted_stat * 2, IF(bbgm_stat &gt;= perc_85, converted_stat * 1.5, converted_stat)))))</f>
        <v/>
      </c>
      <c r="C686" s="30" t="str">
        <f t="array" ref="C686">IF($A686="", "", LET(bbgm_stat, INDEX(Players!$A685:$P685, MATCH(C$2, Players!$A$1:$P$1, 0)), perc_75, VLOOKUP(C$2, Percentiles!$A$45:$I$59, 6, FALSE), perc_90, VLOOKUP(C$2, Percentiles!$A$45:$I$59, 7, FALSE), perc_95, VLOOKUP(C$2, Percentiles!$A$45:$I$59, 8, FALSE), perc_85, perc_75 + (perc_90 - perc_75) * (2/3), converted_stat, '2K_Ratings'!C686, IF(bbgm_stat &gt;= perc_95, converted_stat * 3, IF(bbgm_stat &gt;= perc_90, converted_stat * 2, IF(bbgm_stat &gt;= perc_85, converted_stat * 1.5, converted_stat)))))</f>
        <v/>
      </c>
      <c r="D686" s="30" t="str">
        <f t="array" ref="D686">IF($A686="", "", LET(bbgm_stat, INDEX(Players!$A685:$P685, MATCH(D$2, Players!$A$1:$P$1, 0)), perc_75, VLOOKUP(D$2, Percentiles!$A$45:$I$59, 6, FALSE), perc_90, VLOOKUP(D$2, Percentiles!$A$45:$I$59, 7, FALSE), perc_95, VLOOKUP(D$2, Percentiles!$A$45:$I$59, 8, FALSE), perc_85, perc_75 + (perc_90 - perc_75) * (2/3), converted_stat, '2K_Ratings'!D686, IF(bbgm_stat &gt;= perc_95, converted_stat * 3, IF(bbgm_stat &gt;= perc_90, converted_stat * 2, IF(bbgm_stat &gt;= perc_85, converted_stat * 1.5, converted_stat)))))</f>
        <v/>
      </c>
      <c r="E686" s="30" t="str">
        <f t="array" ref="E686">IF($A686="", "", LET(bbgm_stat, INDEX(Players!$A685:$P685, MATCH(E$2, Players!$A$1:$P$1, 0)), perc_75, VLOOKUP(E$2, Percentiles!$A$45:$I$59, 6, FALSE), perc_90, VLOOKUP(E$2, Percentiles!$A$45:$I$59, 7, FALSE), perc_95, VLOOKUP(E$2, Percentiles!$A$45:$I$59, 8, FALSE), perc_85, perc_75 + (perc_90 - perc_75) * (2/3), converted_stat, '2K_Ratings'!E686, IF(bbgm_stat &gt;= perc_95, converted_stat * 3, IF(bbgm_stat &gt;= perc_90, converted_stat * 2, IF(bbgm_stat &gt;= perc_85, converted_stat * 1.5, converted_stat)))))</f>
        <v/>
      </c>
      <c r="F686" s="30" t="str">
        <f t="array" ref="F686">IF($A686="", "", LET(bbgm_stat, INDEX(Players!$A685:$P685, MATCH(F$2, Players!$A$1:$P$1, 0)), perc_75, VLOOKUP(F$2, Percentiles!$A$45:$I$59, 6, FALSE), perc_90, VLOOKUP(F$2, Percentiles!$A$45:$I$59, 7, FALSE), perc_95, VLOOKUP(F$2, Percentiles!$A$45:$I$59, 8, FALSE), perc_85, perc_75 + (perc_90 - perc_75) * (2/3), converted_stat, '2K_Ratings'!F686, IF(bbgm_stat &gt;= perc_95, converted_stat * 3, IF(bbgm_stat &gt;= perc_90, converted_stat * 2, IF(bbgm_stat &gt;= perc_85, converted_stat * 1.5, converted_stat)))))</f>
        <v/>
      </c>
      <c r="G686" s="30" t="str">
        <f t="array" ref="G686">IF($A686="", "", LET(bbgm_stat, INDEX(Players!$A685:$P685, MATCH(G$2, Players!$A$1:$P$1, 0)), perc_75, VLOOKUP(G$2, Percentiles!$A$45:$I$59, 6, FALSE), perc_90, VLOOKUP(G$2, Percentiles!$A$45:$I$59, 7, FALSE), perc_95, VLOOKUP(G$2, Percentiles!$A$45:$I$59, 8, FALSE), perc_85, perc_75 + (perc_90 - perc_75) * (2/3), converted_stat, '2K_Ratings'!G686, IF(bbgm_stat &gt;= perc_95, converted_stat * 3, IF(bbgm_stat &gt;= perc_90, converted_stat * 2, IF(bbgm_stat &gt;= perc_85, converted_stat * 1.5, converted_stat)))))</f>
        <v/>
      </c>
      <c r="H686" s="30" t="str">
        <f t="array" ref="H686">IF($A686="", "", LET(bbgm_stat, INDEX(Players!$A685:$P685, MATCH(H$2, Players!$A$1:$P$1, 0)), perc_75, VLOOKUP(H$2, Percentiles!$A$45:$I$59, 6, FALSE), perc_90, VLOOKUP(H$2, Percentiles!$A$45:$I$59, 7, FALSE), perc_95, VLOOKUP(H$2, Percentiles!$A$45:$I$59, 8, FALSE), perc_85, perc_75 + (perc_90 - perc_75) * (2/3), converted_stat, '2K_Ratings'!H686, IF(bbgm_stat &gt;= perc_95, converted_stat * 3, IF(bbgm_stat &gt;= perc_90, converted_stat * 2, IF(bbgm_stat &gt;= perc_85, converted_stat * 1.5, converted_stat)))))</f>
        <v/>
      </c>
      <c r="I686" s="30" t="str">
        <f t="array" ref="I686">IF($A686="", "", LET(bbgm_stat, INDEX(Players!$A685:$P685, MATCH(I$2, Players!$A$1:$P$1, 0)), perc_75, VLOOKUP(I$2, Percentiles!$A$45:$I$59, 6, FALSE), perc_90, VLOOKUP(I$2, Percentiles!$A$45:$I$59, 7, FALSE), perc_95, VLOOKUP(I$2, Percentiles!$A$45:$I$59, 8, FALSE), perc_85, perc_75 + (perc_90 - perc_75) * (2/3), converted_stat, '2K_Ratings'!I686, IF(bbgm_stat &gt;= perc_95, converted_stat * 3, IF(bbgm_stat &gt;= perc_90, converted_stat * 2, IF(bbgm_stat &gt;= perc_85, converted_stat * 1.5, converted_stat)))))</f>
        <v/>
      </c>
      <c r="J686" s="30" t="str">
        <f t="array" ref="J686">IF($A686="", "", LET(bbgm_stat, INDEX(Players!$A685:$P685, MATCH(J$2, Players!$A$1:$P$1, 0)), perc_75, VLOOKUP(J$2, Percentiles!$A$45:$I$59, 6, FALSE), perc_90, VLOOKUP(J$2, Percentiles!$A$45:$I$59, 7, FALSE), perc_95, VLOOKUP(J$2, Percentiles!$A$45:$I$59, 8, FALSE), perc_85, perc_75 + (perc_90 - perc_75) * (2/3), converted_stat, '2K_Ratings'!J686, IF(bbgm_stat &gt;= perc_95, converted_stat * 3, IF(bbgm_stat &gt;= perc_90, converted_stat * 2, IF(bbgm_stat &gt;= perc_85, converted_stat * 1.5, converted_stat)))))</f>
        <v/>
      </c>
      <c r="K686" s="30" t="str">
        <f t="array" ref="K686">IF($A686="", "", LET(bbgm_stat, INDEX(Players!$A685:$P685, MATCH(K$2, Players!$A$1:$P$1, 0)), perc_75, VLOOKUP(K$2, Percentiles!$A$45:$I$59, 6, FALSE), perc_90, VLOOKUP(K$2, Percentiles!$A$45:$I$59, 7, FALSE), perc_95, VLOOKUP(K$2, Percentiles!$A$45:$I$59, 8, FALSE), perc_85, perc_75 + (perc_90 - perc_75) * (2/3), converted_stat, '2K_Ratings'!K686, IF(bbgm_stat &gt;= perc_95, converted_stat * 3, IF(bbgm_stat &gt;= perc_90, converted_stat * 2, IF(bbgm_stat &gt;= perc_85, converted_stat * 1.5, converted_stat)))))</f>
        <v/>
      </c>
      <c r="L686" s="30" t="str">
        <f t="array" ref="L686">IF($A686="", "", LET(bbgm_stat, INDEX(Players!$A685:$P685, MATCH(L$2, Players!$A$1:$P$1, 0)), perc_75, VLOOKUP(L$2, Percentiles!$A$45:$I$59, 6, FALSE), perc_90, VLOOKUP(L$2, Percentiles!$A$45:$I$59, 7, FALSE), perc_95, VLOOKUP(L$2, Percentiles!$A$45:$I$59, 8, FALSE), perc_85, perc_75 + (perc_90 - perc_75) * (2/3), converted_stat, '2K_Ratings'!L686, IF(bbgm_stat &gt;= perc_95, converted_stat * 3, IF(bbgm_stat &gt;= perc_90, converted_stat * 2, IF(bbgm_stat &gt;= perc_85, converted_stat * 1.5, converted_stat)))))</f>
        <v/>
      </c>
      <c r="M686" s="30" t="str">
        <f t="array" ref="M686">IF($A686="", "", LET(bbgm_stat, INDEX(Players!$A685:$P685, MATCH(M$2, Players!$A$1:$P$1, 0)), perc_75, VLOOKUP(M$2, Percentiles!$A$45:$I$59, 6, FALSE), perc_90, VLOOKUP(M$2, Percentiles!$A$45:$I$59, 7, FALSE), perc_95, VLOOKUP(M$2, Percentiles!$A$45:$I$59, 8, FALSE), perc_85, perc_75 + (perc_90 - perc_75) * (2/3), converted_stat, '2K_Ratings'!M686, IF(bbgm_stat &gt;= perc_95, converted_stat * 3, IF(bbgm_stat &gt;= perc_90, converted_stat * 2, IF(bbgm_stat &gt;= perc_85, converted_stat * 1.5, converted_stat)))))</f>
        <v/>
      </c>
      <c r="N686" s="30" t="str">
        <f t="array" ref="N686">IF($A686="", "", LET(bbgm_stat, INDEX(Players!$A685:$P685, MATCH(N$2, Players!$A$1:$P$1, 0)), perc_75, VLOOKUP(N$2, Percentiles!$A$45:$I$59, 6, FALSE), perc_90, VLOOKUP(N$2, Percentiles!$A$45:$I$59, 7, FALSE), perc_95, VLOOKUP(N$2, Percentiles!$A$45:$I$59, 8, FALSE), perc_85, perc_75 + (perc_90 - perc_75) * (2/3), converted_stat, '2K_Ratings'!N686, IF(bbgm_stat &gt;= perc_95, converted_stat * 3, IF(bbgm_stat &gt;= perc_90, converted_stat * 2, IF(bbgm_stat &gt;= perc_85, converted_stat * 1.5, converted_stat)))))</f>
        <v/>
      </c>
      <c r="O686" s="30" t="str">
        <f t="array" ref="O686">IF($A686="", "", LET(bbgm_stat, INDEX(Players!$A685:$P685, MATCH(O$2, Players!$A$1:$P$1, 0)), perc_75, VLOOKUP(O$2, Percentiles!$A$45:$I$59, 6, FALSE), perc_90, VLOOKUP(O$2, Percentiles!$A$45:$I$59, 7, FALSE), perc_95, VLOOKUP(O$2, Percentiles!$A$45:$I$59, 8, FALSE), perc_85, perc_75 + (perc_90 - perc_75) * (2/3), converted_stat, '2K_Ratings'!O686, IF(bbgm_stat &gt;= perc_95, converted_stat * 3, IF(bbgm_stat &gt;= perc_90, converted_stat * 2, IF(bbgm_stat &gt;= perc_85, converted_stat * 1.5, converted_stat)))))</f>
        <v/>
      </c>
      <c r="P686" s="30" t="str">
        <f t="array" ref="P686">IF($A686="", "", LET(bbgm_stat, INDEX(Players!$A685:$P685, MATCH(P$2, Players!$A$1:$P$1, 0)), perc_75, VLOOKUP(P$2, Percentiles!$A$45:$I$59, 6, FALSE), perc_90, VLOOKUP(P$2, Percentiles!$A$45:$I$59, 7, FALSE), perc_95, VLOOKUP(P$2, Percentiles!$A$45:$I$59, 8, FALSE), perc_85, perc_75 + (perc_90 - perc_75) * (2/3), converted_stat, '2K_Ratings'!P686, IF(bbgm_stat &gt;= perc_95, converted_stat * 3, IF(bbgm_stat &gt;= perc_90, converted_stat * 2, IF(bbgm_stat &gt;= perc_85, converted_stat * 1.5, converted_stat)))))</f>
        <v/>
      </c>
      <c r="Q686" s="30" t="str">
        <f t="array" ref="Q686">IF($A686="", "", LET(bbgm_stat, INDEX(Players!$A685:$P685, MATCH(Q$2, Players!$A$1:$P$1, 0)), perc_75, VLOOKUP(Q$2, Percentiles!$A$45:$I$59, 6, FALSE), perc_90, VLOOKUP(Q$2, Percentiles!$A$45:$I$59, 7, FALSE), perc_95, VLOOKUP(Q$2, Percentiles!$A$45:$I$59, 8, FALSE), perc_85, perc_75 + (perc_90 - perc_75) * (2/3), converted_stat, '2K_Ratings'!Q686, IF(bbgm_stat &gt;= perc_95, converted_stat * 3, IF(bbgm_stat &gt;= perc_90, converted_stat * 2, IF(bbgm_stat &gt;= perc_85, converted_stat * 1.5, converted_stat)))))</f>
        <v/>
      </c>
      <c r="R686" s="30" t="str">
        <f t="array" ref="R686">IF($A686="", "", LET(bbgm_stat, INDEX(Players!$A685:$P685, MATCH(R$2, Players!$A$1:$P$1, 0)), perc_75, VLOOKUP(R$2, Percentiles!$A$45:$I$59, 6, FALSE), perc_90, VLOOKUP(R$2, Percentiles!$A$45:$I$59, 7, FALSE), perc_95, VLOOKUP(R$2, Percentiles!$A$45:$I$59, 8, FALSE), perc_85, perc_75 + (perc_90 - perc_75) * (2/3), converted_stat, '2K_Ratings'!R686, IF(bbgm_stat &gt;= perc_95, converted_stat * 3, IF(bbgm_stat &gt;= perc_90, converted_stat * 2, IF(bbgm_stat &gt;= perc_85, converted_stat * 1.5, converted_stat)))))</f>
        <v/>
      </c>
      <c r="S686" s="30" t="str">
        <f t="array" ref="S686">IF($A686="", "", LET(bbgm_stat, INDEX(Players!$A685:$P685, MATCH(S$2, Players!$A$1:$P$1, 0)), perc_75, VLOOKUP(S$2, Percentiles!$A$45:$I$59, 6, FALSE), perc_90, VLOOKUP(S$2, Percentiles!$A$45:$I$59, 7, FALSE), perc_95, VLOOKUP(S$2, Percentiles!$A$45:$I$59, 8, FALSE), perc_85, perc_75 + (perc_90 - perc_75) * (2/3), converted_stat, '2K_Ratings'!S686, IF(bbgm_stat &gt;= perc_95, converted_stat * 3, IF(bbgm_stat &gt;= perc_90, converted_stat * 2, IF(bbgm_stat &gt;= perc_85, converted_stat * 1.5, converted_stat)))))</f>
        <v/>
      </c>
      <c r="T686" s="30" t="str">
        <f t="array" ref="T686">IF($A686="", "", LET(bbgm_stat, INDEX(Players!$A685:$P685, MATCH(T$2, Players!$A$1:$P$1, 0)), perc_75, VLOOKUP(T$2, Percentiles!$A$45:$I$59, 6, FALSE), perc_90, VLOOKUP(T$2, Percentiles!$A$45:$I$59, 7, FALSE), perc_95, VLOOKUP(T$2, Percentiles!$A$45:$I$59, 8, FALSE), perc_85, perc_75 + (perc_90 - perc_75) * (2/3), converted_stat, '2K_Ratings'!T686, IF(bbgm_stat &gt;= perc_95, converted_stat * 3, IF(bbgm_stat &gt;= perc_90, converted_stat * 2, IF(bbgm_stat &gt;= perc_85, converted_stat * 1.5, converted_stat)))))</f>
        <v/>
      </c>
      <c r="U686" s="30" t="str">
        <f t="array" ref="U686">IF($A686="", "", LET(bbgm_stat, INDEX(Players!$A685:$P685, MATCH(U$2, Players!$A$1:$P$1, 0)), perc_75, VLOOKUP(U$2, Percentiles!$A$45:$I$59, 6, FALSE), perc_90, VLOOKUP(U$2, Percentiles!$A$45:$I$59, 7, FALSE), perc_95, VLOOKUP(U$2, Percentiles!$A$45:$I$59, 8, FALSE), perc_85, perc_75 + (perc_90 - perc_75) * (2/3), converted_stat, '2K_Ratings'!U686, IF(bbgm_stat &gt;= perc_95, converted_stat * 3, IF(bbgm_stat &gt;= perc_90, converted_stat * 2, IF(bbgm_stat &gt;= perc_85, converted_stat * 1.5, converted_stat)))))</f>
        <v/>
      </c>
      <c r="V686" s="30" t="str">
        <f t="array" ref="V686">IF($A686="", "", LET(bbgm_stat, INDEX(Players!$A685:$P685, MATCH(V$2, Players!$A$1:$P$1, 0)), perc_75, VLOOKUP(V$2, Percentiles!$A$45:$I$59, 6, FALSE), perc_90, VLOOKUP(V$2, Percentiles!$A$45:$I$59, 7, FALSE), perc_95, VLOOKUP(V$2, Percentiles!$A$45:$I$59, 8, FALSE), perc_85, perc_75 + (perc_90 - perc_75) * (2/3), converted_stat, '2K_Ratings'!V686, IF(bbgm_stat &gt;= perc_95, converted_stat * 3, IF(bbgm_stat &gt;= perc_90, converted_stat * 2, IF(bbgm_stat &gt;= perc_85, converted_stat * 1.5, converted_stat)))))</f>
        <v/>
      </c>
      <c r="W686" s="30" t="str">
        <f t="array" ref="W686">IF($A686="", "", LET(bbgm_stat, INDEX(Players!$A685:$P685, MATCH(W$2, Players!$A$1:$P$1, 0)), perc_75, VLOOKUP(W$2, Percentiles!$A$45:$I$59, 6, FALSE), perc_90, VLOOKUP(W$2, Percentiles!$A$45:$I$59, 7, FALSE), perc_95, VLOOKUP(W$2, Percentiles!$A$45:$I$59, 8, FALSE), perc_85, perc_75 + (perc_90 - perc_75) * (2/3), converted_stat, '2K_Ratings'!W686, IF(bbgm_stat &gt;= perc_95, converted_stat * 3, IF(bbgm_stat &gt;= perc_90, converted_stat * 2, IF(bbgm_stat &gt;= perc_85, converted_stat * 1.5, converted_stat)))))</f>
        <v/>
      </c>
    </row>
    <row r="687">
      <c r="A687" s="30"/>
      <c r="B687" s="30" t="str">
        <f t="array" ref="B687">IF($A687="", "", LET(bbgm_stat, INDEX(Players!$A686:$P686, MATCH(B$2, Players!$A$1:$P$1, 0)), perc_75, VLOOKUP(B$2, Percentiles!$A$45:$I$59, 6, FALSE), perc_90, VLOOKUP(B$2, Percentiles!$A$45:$I$59, 7, FALSE), perc_95, VLOOKUP(B$2, Percentiles!$A$45:$I$59, 8, FALSE), perc_85, perc_75 + (perc_90 - perc_75) * (2/3), converted_stat, '2K_Ratings'!B687, IF(bbgm_stat &gt;= perc_95, converted_stat * 3, IF(bbgm_stat &gt;= perc_90, converted_stat * 2, IF(bbgm_stat &gt;= perc_85, converted_stat * 1.5, converted_stat)))))</f>
        <v/>
      </c>
      <c r="C687" s="30" t="str">
        <f t="array" ref="C687">IF($A687="", "", LET(bbgm_stat, INDEX(Players!$A686:$P686, MATCH(C$2, Players!$A$1:$P$1, 0)), perc_75, VLOOKUP(C$2, Percentiles!$A$45:$I$59, 6, FALSE), perc_90, VLOOKUP(C$2, Percentiles!$A$45:$I$59, 7, FALSE), perc_95, VLOOKUP(C$2, Percentiles!$A$45:$I$59, 8, FALSE), perc_85, perc_75 + (perc_90 - perc_75) * (2/3), converted_stat, '2K_Ratings'!C687, IF(bbgm_stat &gt;= perc_95, converted_stat * 3, IF(bbgm_stat &gt;= perc_90, converted_stat * 2, IF(bbgm_stat &gt;= perc_85, converted_stat * 1.5, converted_stat)))))</f>
        <v/>
      </c>
      <c r="D687" s="30" t="str">
        <f t="array" ref="D687">IF($A687="", "", LET(bbgm_stat, INDEX(Players!$A686:$P686, MATCH(D$2, Players!$A$1:$P$1, 0)), perc_75, VLOOKUP(D$2, Percentiles!$A$45:$I$59, 6, FALSE), perc_90, VLOOKUP(D$2, Percentiles!$A$45:$I$59, 7, FALSE), perc_95, VLOOKUP(D$2, Percentiles!$A$45:$I$59, 8, FALSE), perc_85, perc_75 + (perc_90 - perc_75) * (2/3), converted_stat, '2K_Ratings'!D687, IF(bbgm_stat &gt;= perc_95, converted_stat * 3, IF(bbgm_stat &gt;= perc_90, converted_stat * 2, IF(bbgm_stat &gt;= perc_85, converted_stat * 1.5, converted_stat)))))</f>
        <v/>
      </c>
      <c r="E687" s="30" t="str">
        <f t="array" ref="E687">IF($A687="", "", LET(bbgm_stat, INDEX(Players!$A686:$P686, MATCH(E$2, Players!$A$1:$P$1, 0)), perc_75, VLOOKUP(E$2, Percentiles!$A$45:$I$59, 6, FALSE), perc_90, VLOOKUP(E$2, Percentiles!$A$45:$I$59, 7, FALSE), perc_95, VLOOKUP(E$2, Percentiles!$A$45:$I$59, 8, FALSE), perc_85, perc_75 + (perc_90 - perc_75) * (2/3), converted_stat, '2K_Ratings'!E687, IF(bbgm_stat &gt;= perc_95, converted_stat * 3, IF(bbgm_stat &gt;= perc_90, converted_stat * 2, IF(bbgm_stat &gt;= perc_85, converted_stat * 1.5, converted_stat)))))</f>
        <v/>
      </c>
      <c r="F687" s="30" t="str">
        <f t="array" ref="F687">IF($A687="", "", LET(bbgm_stat, INDEX(Players!$A686:$P686, MATCH(F$2, Players!$A$1:$P$1, 0)), perc_75, VLOOKUP(F$2, Percentiles!$A$45:$I$59, 6, FALSE), perc_90, VLOOKUP(F$2, Percentiles!$A$45:$I$59, 7, FALSE), perc_95, VLOOKUP(F$2, Percentiles!$A$45:$I$59, 8, FALSE), perc_85, perc_75 + (perc_90 - perc_75) * (2/3), converted_stat, '2K_Ratings'!F687, IF(bbgm_stat &gt;= perc_95, converted_stat * 3, IF(bbgm_stat &gt;= perc_90, converted_stat * 2, IF(bbgm_stat &gt;= perc_85, converted_stat * 1.5, converted_stat)))))</f>
        <v/>
      </c>
      <c r="G687" s="30" t="str">
        <f t="array" ref="G687">IF($A687="", "", LET(bbgm_stat, INDEX(Players!$A686:$P686, MATCH(G$2, Players!$A$1:$P$1, 0)), perc_75, VLOOKUP(G$2, Percentiles!$A$45:$I$59, 6, FALSE), perc_90, VLOOKUP(G$2, Percentiles!$A$45:$I$59, 7, FALSE), perc_95, VLOOKUP(G$2, Percentiles!$A$45:$I$59, 8, FALSE), perc_85, perc_75 + (perc_90 - perc_75) * (2/3), converted_stat, '2K_Ratings'!G687, IF(bbgm_stat &gt;= perc_95, converted_stat * 3, IF(bbgm_stat &gt;= perc_90, converted_stat * 2, IF(bbgm_stat &gt;= perc_85, converted_stat * 1.5, converted_stat)))))</f>
        <v/>
      </c>
      <c r="H687" s="30" t="str">
        <f t="array" ref="H687">IF($A687="", "", LET(bbgm_stat, INDEX(Players!$A686:$P686, MATCH(H$2, Players!$A$1:$P$1, 0)), perc_75, VLOOKUP(H$2, Percentiles!$A$45:$I$59, 6, FALSE), perc_90, VLOOKUP(H$2, Percentiles!$A$45:$I$59, 7, FALSE), perc_95, VLOOKUP(H$2, Percentiles!$A$45:$I$59, 8, FALSE), perc_85, perc_75 + (perc_90 - perc_75) * (2/3), converted_stat, '2K_Ratings'!H687, IF(bbgm_stat &gt;= perc_95, converted_stat * 3, IF(bbgm_stat &gt;= perc_90, converted_stat * 2, IF(bbgm_stat &gt;= perc_85, converted_stat * 1.5, converted_stat)))))</f>
        <v/>
      </c>
      <c r="I687" s="30" t="str">
        <f t="array" ref="I687">IF($A687="", "", LET(bbgm_stat, INDEX(Players!$A686:$P686, MATCH(I$2, Players!$A$1:$P$1, 0)), perc_75, VLOOKUP(I$2, Percentiles!$A$45:$I$59, 6, FALSE), perc_90, VLOOKUP(I$2, Percentiles!$A$45:$I$59, 7, FALSE), perc_95, VLOOKUP(I$2, Percentiles!$A$45:$I$59, 8, FALSE), perc_85, perc_75 + (perc_90 - perc_75) * (2/3), converted_stat, '2K_Ratings'!I687, IF(bbgm_stat &gt;= perc_95, converted_stat * 3, IF(bbgm_stat &gt;= perc_90, converted_stat * 2, IF(bbgm_stat &gt;= perc_85, converted_stat * 1.5, converted_stat)))))</f>
        <v/>
      </c>
      <c r="J687" s="30" t="str">
        <f t="array" ref="J687">IF($A687="", "", LET(bbgm_stat, INDEX(Players!$A686:$P686, MATCH(J$2, Players!$A$1:$P$1, 0)), perc_75, VLOOKUP(J$2, Percentiles!$A$45:$I$59, 6, FALSE), perc_90, VLOOKUP(J$2, Percentiles!$A$45:$I$59, 7, FALSE), perc_95, VLOOKUP(J$2, Percentiles!$A$45:$I$59, 8, FALSE), perc_85, perc_75 + (perc_90 - perc_75) * (2/3), converted_stat, '2K_Ratings'!J687, IF(bbgm_stat &gt;= perc_95, converted_stat * 3, IF(bbgm_stat &gt;= perc_90, converted_stat * 2, IF(bbgm_stat &gt;= perc_85, converted_stat * 1.5, converted_stat)))))</f>
        <v/>
      </c>
      <c r="K687" s="30" t="str">
        <f t="array" ref="K687">IF($A687="", "", LET(bbgm_stat, INDEX(Players!$A686:$P686, MATCH(K$2, Players!$A$1:$P$1, 0)), perc_75, VLOOKUP(K$2, Percentiles!$A$45:$I$59, 6, FALSE), perc_90, VLOOKUP(K$2, Percentiles!$A$45:$I$59, 7, FALSE), perc_95, VLOOKUP(K$2, Percentiles!$A$45:$I$59, 8, FALSE), perc_85, perc_75 + (perc_90 - perc_75) * (2/3), converted_stat, '2K_Ratings'!K687, IF(bbgm_stat &gt;= perc_95, converted_stat * 3, IF(bbgm_stat &gt;= perc_90, converted_stat * 2, IF(bbgm_stat &gt;= perc_85, converted_stat * 1.5, converted_stat)))))</f>
        <v/>
      </c>
      <c r="L687" s="30" t="str">
        <f t="array" ref="L687">IF($A687="", "", LET(bbgm_stat, INDEX(Players!$A686:$P686, MATCH(L$2, Players!$A$1:$P$1, 0)), perc_75, VLOOKUP(L$2, Percentiles!$A$45:$I$59, 6, FALSE), perc_90, VLOOKUP(L$2, Percentiles!$A$45:$I$59, 7, FALSE), perc_95, VLOOKUP(L$2, Percentiles!$A$45:$I$59, 8, FALSE), perc_85, perc_75 + (perc_90 - perc_75) * (2/3), converted_stat, '2K_Ratings'!L687, IF(bbgm_stat &gt;= perc_95, converted_stat * 3, IF(bbgm_stat &gt;= perc_90, converted_stat * 2, IF(bbgm_stat &gt;= perc_85, converted_stat * 1.5, converted_stat)))))</f>
        <v/>
      </c>
      <c r="M687" s="30" t="str">
        <f t="array" ref="M687">IF($A687="", "", LET(bbgm_stat, INDEX(Players!$A686:$P686, MATCH(M$2, Players!$A$1:$P$1, 0)), perc_75, VLOOKUP(M$2, Percentiles!$A$45:$I$59, 6, FALSE), perc_90, VLOOKUP(M$2, Percentiles!$A$45:$I$59, 7, FALSE), perc_95, VLOOKUP(M$2, Percentiles!$A$45:$I$59, 8, FALSE), perc_85, perc_75 + (perc_90 - perc_75) * (2/3), converted_stat, '2K_Ratings'!M687, IF(bbgm_stat &gt;= perc_95, converted_stat * 3, IF(bbgm_stat &gt;= perc_90, converted_stat * 2, IF(bbgm_stat &gt;= perc_85, converted_stat * 1.5, converted_stat)))))</f>
        <v/>
      </c>
      <c r="N687" s="30" t="str">
        <f t="array" ref="N687">IF($A687="", "", LET(bbgm_stat, INDEX(Players!$A686:$P686, MATCH(N$2, Players!$A$1:$P$1, 0)), perc_75, VLOOKUP(N$2, Percentiles!$A$45:$I$59, 6, FALSE), perc_90, VLOOKUP(N$2, Percentiles!$A$45:$I$59, 7, FALSE), perc_95, VLOOKUP(N$2, Percentiles!$A$45:$I$59, 8, FALSE), perc_85, perc_75 + (perc_90 - perc_75) * (2/3), converted_stat, '2K_Ratings'!N687, IF(bbgm_stat &gt;= perc_95, converted_stat * 3, IF(bbgm_stat &gt;= perc_90, converted_stat * 2, IF(bbgm_stat &gt;= perc_85, converted_stat * 1.5, converted_stat)))))</f>
        <v/>
      </c>
      <c r="O687" s="30" t="str">
        <f t="array" ref="O687">IF($A687="", "", LET(bbgm_stat, INDEX(Players!$A686:$P686, MATCH(O$2, Players!$A$1:$P$1, 0)), perc_75, VLOOKUP(O$2, Percentiles!$A$45:$I$59, 6, FALSE), perc_90, VLOOKUP(O$2, Percentiles!$A$45:$I$59, 7, FALSE), perc_95, VLOOKUP(O$2, Percentiles!$A$45:$I$59, 8, FALSE), perc_85, perc_75 + (perc_90 - perc_75) * (2/3), converted_stat, '2K_Ratings'!O687, IF(bbgm_stat &gt;= perc_95, converted_stat * 3, IF(bbgm_stat &gt;= perc_90, converted_stat * 2, IF(bbgm_stat &gt;= perc_85, converted_stat * 1.5, converted_stat)))))</f>
        <v/>
      </c>
      <c r="P687" s="30" t="str">
        <f t="array" ref="P687">IF($A687="", "", LET(bbgm_stat, INDEX(Players!$A686:$P686, MATCH(P$2, Players!$A$1:$P$1, 0)), perc_75, VLOOKUP(P$2, Percentiles!$A$45:$I$59, 6, FALSE), perc_90, VLOOKUP(P$2, Percentiles!$A$45:$I$59, 7, FALSE), perc_95, VLOOKUP(P$2, Percentiles!$A$45:$I$59, 8, FALSE), perc_85, perc_75 + (perc_90 - perc_75) * (2/3), converted_stat, '2K_Ratings'!P687, IF(bbgm_stat &gt;= perc_95, converted_stat * 3, IF(bbgm_stat &gt;= perc_90, converted_stat * 2, IF(bbgm_stat &gt;= perc_85, converted_stat * 1.5, converted_stat)))))</f>
        <v/>
      </c>
      <c r="Q687" s="30" t="str">
        <f t="array" ref="Q687">IF($A687="", "", LET(bbgm_stat, INDEX(Players!$A686:$P686, MATCH(Q$2, Players!$A$1:$P$1, 0)), perc_75, VLOOKUP(Q$2, Percentiles!$A$45:$I$59, 6, FALSE), perc_90, VLOOKUP(Q$2, Percentiles!$A$45:$I$59, 7, FALSE), perc_95, VLOOKUP(Q$2, Percentiles!$A$45:$I$59, 8, FALSE), perc_85, perc_75 + (perc_90 - perc_75) * (2/3), converted_stat, '2K_Ratings'!Q687, IF(bbgm_stat &gt;= perc_95, converted_stat * 3, IF(bbgm_stat &gt;= perc_90, converted_stat * 2, IF(bbgm_stat &gt;= perc_85, converted_stat * 1.5, converted_stat)))))</f>
        <v/>
      </c>
      <c r="R687" s="30" t="str">
        <f t="array" ref="R687">IF($A687="", "", LET(bbgm_stat, INDEX(Players!$A686:$P686, MATCH(R$2, Players!$A$1:$P$1, 0)), perc_75, VLOOKUP(R$2, Percentiles!$A$45:$I$59, 6, FALSE), perc_90, VLOOKUP(R$2, Percentiles!$A$45:$I$59, 7, FALSE), perc_95, VLOOKUP(R$2, Percentiles!$A$45:$I$59, 8, FALSE), perc_85, perc_75 + (perc_90 - perc_75) * (2/3), converted_stat, '2K_Ratings'!R687, IF(bbgm_stat &gt;= perc_95, converted_stat * 3, IF(bbgm_stat &gt;= perc_90, converted_stat * 2, IF(bbgm_stat &gt;= perc_85, converted_stat * 1.5, converted_stat)))))</f>
        <v/>
      </c>
      <c r="S687" s="30" t="str">
        <f t="array" ref="S687">IF($A687="", "", LET(bbgm_stat, INDEX(Players!$A686:$P686, MATCH(S$2, Players!$A$1:$P$1, 0)), perc_75, VLOOKUP(S$2, Percentiles!$A$45:$I$59, 6, FALSE), perc_90, VLOOKUP(S$2, Percentiles!$A$45:$I$59, 7, FALSE), perc_95, VLOOKUP(S$2, Percentiles!$A$45:$I$59, 8, FALSE), perc_85, perc_75 + (perc_90 - perc_75) * (2/3), converted_stat, '2K_Ratings'!S687, IF(bbgm_stat &gt;= perc_95, converted_stat * 3, IF(bbgm_stat &gt;= perc_90, converted_stat * 2, IF(bbgm_stat &gt;= perc_85, converted_stat * 1.5, converted_stat)))))</f>
        <v/>
      </c>
      <c r="T687" s="30" t="str">
        <f t="array" ref="T687">IF($A687="", "", LET(bbgm_stat, INDEX(Players!$A686:$P686, MATCH(T$2, Players!$A$1:$P$1, 0)), perc_75, VLOOKUP(T$2, Percentiles!$A$45:$I$59, 6, FALSE), perc_90, VLOOKUP(T$2, Percentiles!$A$45:$I$59, 7, FALSE), perc_95, VLOOKUP(T$2, Percentiles!$A$45:$I$59, 8, FALSE), perc_85, perc_75 + (perc_90 - perc_75) * (2/3), converted_stat, '2K_Ratings'!T687, IF(bbgm_stat &gt;= perc_95, converted_stat * 3, IF(bbgm_stat &gt;= perc_90, converted_stat * 2, IF(bbgm_stat &gt;= perc_85, converted_stat * 1.5, converted_stat)))))</f>
        <v/>
      </c>
      <c r="U687" s="30" t="str">
        <f t="array" ref="U687">IF($A687="", "", LET(bbgm_stat, INDEX(Players!$A686:$P686, MATCH(U$2, Players!$A$1:$P$1, 0)), perc_75, VLOOKUP(U$2, Percentiles!$A$45:$I$59, 6, FALSE), perc_90, VLOOKUP(U$2, Percentiles!$A$45:$I$59, 7, FALSE), perc_95, VLOOKUP(U$2, Percentiles!$A$45:$I$59, 8, FALSE), perc_85, perc_75 + (perc_90 - perc_75) * (2/3), converted_stat, '2K_Ratings'!U687, IF(bbgm_stat &gt;= perc_95, converted_stat * 3, IF(bbgm_stat &gt;= perc_90, converted_stat * 2, IF(bbgm_stat &gt;= perc_85, converted_stat * 1.5, converted_stat)))))</f>
        <v/>
      </c>
      <c r="V687" s="30" t="str">
        <f t="array" ref="V687">IF($A687="", "", LET(bbgm_stat, INDEX(Players!$A686:$P686, MATCH(V$2, Players!$A$1:$P$1, 0)), perc_75, VLOOKUP(V$2, Percentiles!$A$45:$I$59, 6, FALSE), perc_90, VLOOKUP(V$2, Percentiles!$A$45:$I$59, 7, FALSE), perc_95, VLOOKUP(V$2, Percentiles!$A$45:$I$59, 8, FALSE), perc_85, perc_75 + (perc_90 - perc_75) * (2/3), converted_stat, '2K_Ratings'!V687, IF(bbgm_stat &gt;= perc_95, converted_stat * 3, IF(bbgm_stat &gt;= perc_90, converted_stat * 2, IF(bbgm_stat &gt;= perc_85, converted_stat * 1.5, converted_stat)))))</f>
        <v/>
      </c>
      <c r="W687" s="30" t="str">
        <f t="array" ref="W687">IF($A687="", "", LET(bbgm_stat, INDEX(Players!$A686:$P686, MATCH(W$2, Players!$A$1:$P$1, 0)), perc_75, VLOOKUP(W$2, Percentiles!$A$45:$I$59, 6, FALSE), perc_90, VLOOKUP(W$2, Percentiles!$A$45:$I$59, 7, FALSE), perc_95, VLOOKUP(W$2, Percentiles!$A$45:$I$59, 8, FALSE), perc_85, perc_75 + (perc_90 - perc_75) * (2/3), converted_stat, '2K_Ratings'!W687, IF(bbgm_stat &gt;= perc_95, converted_stat * 3, IF(bbgm_stat &gt;= perc_90, converted_stat * 2, IF(bbgm_stat &gt;= perc_85, converted_stat * 1.5, converted_stat)))))</f>
        <v/>
      </c>
    </row>
    <row r="688">
      <c r="A688" s="30"/>
      <c r="B688" s="30" t="str">
        <f t="array" ref="B688">IF($A688="", "", LET(bbgm_stat, INDEX(Players!$A687:$P687, MATCH(B$2, Players!$A$1:$P$1, 0)), perc_75, VLOOKUP(B$2, Percentiles!$A$45:$I$59, 6, FALSE), perc_90, VLOOKUP(B$2, Percentiles!$A$45:$I$59, 7, FALSE), perc_95, VLOOKUP(B$2, Percentiles!$A$45:$I$59, 8, FALSE), perc_85, perc_75 + (perc_90 - perc_75) * (2/3), converted_stat, '2K_Ratings'!B688, IF(bbgm_stat &gt;= perc_95, converted_stat * 3, IF(bbgm_stat &gt;= perc_90, converted_stat * 2, IF(bbgm_stat &gt;= perc_85, converted_stat * 1.5, converted_stat)))))</f>
        <v/>
      </c>
      <c r="C688" s="30" t="str">
        <f t="array" ref="C688">IF($A688="", "", LET(bbgm_stat, INDEX(Players!$A687:$P687, MATCH(C$2, Players!$A$1:$P$1, 0)), perc_75, VLOOKUP(C$2, Percentiles!$A$45:$I$59, 6, FALSE), perc_90, VLOOKUP(C$2, Percentiles!$A$45:$I$59, 7, FALSE), perc_95, VLOOKUP(C$2, Percentiles!$A$45:$I$59, 8, FALSE), perc_85, perc_75 + (perc_90 - perc_75) * (2/3), converted_stat, '2K_Ratings'!C688, IF(bbgm_stat &gt;= perc_95, converted_stat * 3, IF(bbgm_stat &gt;= perc_90, converted_stat * 2, IF(bbgm_stat &gt;= perc_85, converted_stat * 1.5, converted_stat)))))</f>
        <v/>
      </c>
      <c r="D688" s="30" t="str">
        <f t="array" ref="D688">IF($A688="", "", LET(bbgm_stat, INDEX(Players!$A687:$P687, MATCH(D$2, Players!$A$1:$P$1, 0)), perc_75, VLOOKUP(D$2, Percentiles!$A$45:$I$59, 6, FALSE), perc_90, VLOOKUP(D$2, Percentiles!$A$45:$I$59, 7, FALSE), perc_95, VLOOKUP(D$2, Percentiles!$A$45:$I$59, 8, FALSE), perc_85, perc_75 + (perc_90 - perc_75) * (2/3), converted_stat, '2K_Ratings'!D688, IF(bbgm_stat &gt;= perc_95, converted_stat * 3, IF(bbgm_stat &gt;= perc_90, converted_stat * 2, IF(bbgm_stat &gt;= perc_85, converted_stat * 1.5, converted_stat)))))</f>
        <v/>
      </c>
      <c r="E688" s="30" t="str">
        <f t="array" ref="E688">IF($A688="", "", LET(bbgm_stat, INDEX(Players!$A687:$P687, MATCH(E$2, Players!$A$1:$P$1, 0)), perc_75, VLOOKUP(E$2, Percentiles!$A$45:$I$59, 6, FALSE), perc_90, VLOOKUP(E$2, Percentiles!$A$45:$I$59, 7, FALSE), perc_95, VLOOKUP(E$2, Percentiles!$A$45:$I$59, 8, FALSE), perc_85, perc_75 + (perc_90 - perc_75) * (2/3), converted_stat, '2K_Ratings'!E688, IF(bbgm_stat &gt;= perc_95, converted_stat * 3, IF(bbgm_stat &gt;= perc_90, converted_stat * 2, IF(bbgm_stat &gt;= perc_85, converted_stat * 1.5, converted_stat)))))</f>
        <v/>
      </c>
      <c r="F688" s="30" t="str">
        <f t="array" ref="F688">IF($A688="", "", LET(bbgm_stat, INDEX(Players!$A687:$P687, MATCH(F$2, Players!$A$1:$P$1, 0)), perc_75, VLOOKUP(F$2, Percentiles!$A$45:$I$59, 6, FALSE), perc_90, VLOOKUP(F$2, Percentiles!$A$45:$I$59, 7, FALSE), perc_95, VLOOKUP(F$2, Percentiles!$A$45:$I$59, 8, FALSE), perc_85, perc_75 + (perc_90 - perc_75) * (2/3), converted_stat, '2K_Ratings'!F688, IF(bbgm_stat &gt;= perc_95, converted_stat * 3, IF(bbgm_stat &gt;= perc_90, converted_stat * 2, IF(bbgm_stat &gt;= perc_85, converted_stat * 1.5, converted_stat)))))</f>
        <v/>
      </c>
      <c r="G688" s="30" t="str">
        <f t="array" ref="G688">IF($A688="", "", LET(bbgm_stat, INDEX(Players!$A687:$P687, MATCH(G$2, Players!$A$1:$P$1, 0)), perc_75, VLOOKUP(G$2, Percentiles!$A$45:$I$59, 6, FALSE), perc_90, VLOOKUP(G$2, Percentiles!$A$45:$I$59, 7, FALSE), perc_95, VLOOKUP(G$2, Percentiles!$A$45:$I$59, 8, FALSE), perc_85, perc_75 + (perc_90 - perc_75) * (2/3), converted_stat, '2K_Ratings'!G688, IF(bbgm_stat &gt;= perc_95, converted_stat * 3, IF(bbgm_stat &gt;= perc_90, converted_stat * 2, IF(bbgm_stat &gt;= perc_85, converted_stat * 1.5, converted_stat)))))</f>
        <v/>
      </c>
      <c r="H688" s="30" t="str">
        <f t="array" ref="H688">IF($A688="", "", LET(bbgm_stat, INDEX(Players!$A687:$P687, MATCH(H$2, Players!$A$1:$P$1, 0)), perc_75, VLOOKUP(H$2, Percentiles!$A$45:$I$59, 6, FALSE), perc_90, VLOOKUP(H$2, Percentiles!$A$45:$I$59, 7, FALSE), perc_95, VLOOKUP(H$2, Percentiles!$A$45:$I$59, 8, FALSE), perc_85, perc_75 + (perc_90 - perc_75) * (2/3), converted_stat, '2K_Ratings'!H688, IF(bbgm_stat &gt;= perc_95, converted_stat * 3, IF(bbgm_stat &gt;= perc_90, converted_stat * 2, IF(bbgm_stat &gt;= perc_85, converted_stat * 1.5, converted_stat)))))</f>
        <v/>
      </c>
      <c r="I688" s="30" t="str">
        <f t="array" ref="I688">IF($A688="", "", LET(bbgm_stat, INDEX(Players!$A687:$P687, MATCH(I$2, Players!$A$1:$P$1, 0)), perc_75, VLOOKUP(I$2, Percentiles!$A$45:$I$59, 6, FALSE), perc_90, VLOOKUP(I$2, Percentiles!$A$45:$I$59, 7, FALSE), perc_95, VLOOKUP(I$2, Percentiles!$A$45:$I$59, 8, FALSE), perc_85, perc_75 + (perc_90 - perc_75) * (2/3), converted_stat, '2K_Ratings'!I688, IF(bbgm_stat &gt;= perc_95, converted_stat * 3, IF(bbgm_stat &gt;= perc_90, converted_stat * 2, IF(bbgm_stat &gt;= perc_85, converted_stat * 1.5, converted_stat)))))</f>
        <v/>
      </c>
      <c r="J688" s="30" t="str">
        <f t="array" ref="J688">IF($A688="", "", LET(bbgm_stat, INDEX(Players!$A687:$P687, MATCH(J$2, Players!$A$1:$P$1, 0)), perc_75, VLOOKUP(J$2, Percentiles!$A$45:$I$59, 6, FALSE), perc_90, VLOOKUP(J$2, Percentiles!$A$45:$I$59, 7, FALSE), perc_95, VLOOKUP(J$2, Percentiles!$A$45:$I$59, 8, FALSE), perc_85, perc_75 + (perc_90 - perc_75) * (2/3), converted_stat, '2K_Ratings'!J688, IF(bbgm_stat &gt;= perc_95, converted_stat * 3, IF(bbgm_stat &gt;= perc_90, converted_stat * 2, IF(bbgm_stat &gt;= perc_85, converted_stat * 1.5, converted_stat)))))</f>
        <v/>
      </c>
      <c r="K688" s="30" t="str">
        <f t="array" ref="K688">IF($A688="", "", LET(bbgm_stat, INDEX(Players!$A687:$P687, MATCH(K$2, Players!$A$1:$P$1, 0)), perc_75, VLOOKUP(K$2, Percentiles!$A$45:$I$59, 6, FALSE), perc_90, VLOOKUP(K$2, Percentiles!$A$45:$I$59, 7, FALSE), perc_95, VLOOKUP(K$2, Percentiles!$A$45:$I$59, 8, FALSE), perc_85, perc_75 + (perc_90 - perc_75) * (2/3), converted_stat, '2K_Ratings'!K688, IF(bbgm_stat &gt;= perc_95, converted_stat * 3, IF(bbgm_stat &gt;= perc_90, converted_stat * 2, IF(bbgm_stat &gt;= perc_85, converted_stat * 1.5, converted_stat)))))</f>
        <v/>
      </c>
      <c r="L688" s="30" t="str">
        <f t="array" ref="L688">IF($A688="", "", LET(bbgm_stat, INDEX(Players!$A687:$P687, MATCH(L$2, Players!$A$1:$P$1, 0)), perc_75, VLOOKUP(L$2, Percentiles!$A$45:$I$59, 6, FALSE), perc_90, VLOOKUP(L$2, Percentiles!$A$45:$I$59, 7, FALSE), perc_95, VLOOKUP(L$2, Percentiles!$A$45:$I$59, 8, FALSE), perc_85, perc_75 + (perc_90 - perc_75) * (2/3), converted_stat, '2K_Ratings'!L688, IF(bbgm_stat &gt;= perc_95, converted_stat * 3, IF(bbgm_stat &gt;= perc_90, converted_stat * 2, IF(bbgm_stat &gt;= perc_85, converted_stat * 1.5, converted_stat)))))</f>
        <v/>
      </c>
      <c r="M688" s="30" t="str">
        <f t="array" ref="M688">IF($A688="", "", LET(bbgm_stat, INDEX(Players!$A687:$P687, MATCH(M$2, Players!$A$1:$P$1, 0)), perc_75, VLOOKUP(M$2, Percentiles!$A$45:$I$59, 6, FALSE), perc_90, VLOOKUP(M$2, Percentiles!$A$45:$I$59, 7, FALSE), perc_95, VLOOKUP(M$2, Percentiles!$A$45:$I$59, 8, FALSE), perc_85, perc_75 + (perc_90 - perc_75) * (2/3), converted_stat, '2K_Ratings'!M688, IF(bbgm_stat &gt;= perc_95, converted_stat * 3, IF(bbgm_stat &gt;= perc_90, converted_stat * 2, IF(bbgm_stat &gt;= perc_85, converted_stat * 1.5, converted_stat)))))</f>
        <v/>
      </c>
      <c r="N688" s="30" t="str">
        <f t="array" ref="N688">IF($A688="", "", LET(bbgm_stat, INDEX(Players!$A687:$P687, MATCH(N$2, Players!$A$1:$P$1, 0)), perc_75, VLOOKUP(N$2, Percentiles!$A$45:$I$59, 6, FALSE), perc_90, VLOOKUP(N$2, Percentiles!$A$45:$I$59, 7, FALSE), perc_95, VLOOKUP(N$2, Percentiles!$A$45:$I$59, 8, FALSE), perc_85, perc_75 + (perc_90 - perc_75) * (2/3), converted_stat, '2K_Ratings'!N688, IF(bbgm_stat &gt;= perc_95, converted_stat * 3, IF(bbgm_stat &gt;= perc_90, converted_stat * 2, IF(bbgm_stat &gt;= perc_85, converted_stat * 1.5, converted_stat)))))</f>
        <v/>
      </c>
      <c r="O688" s="30" t="str">
        <f t="array" ref="O688">IF($A688="", "", LET(bbgm_stat, INDEX(Players!$A687:$P687, MATCH(O$2, Players!$A$1:$P$1, 0)), perc_75, VLOOKUP(O$2, Percentiles!$A$45:$I$59, 6, FALSE), perc_90, VLOOKUP(O$2, Percentiles!$A$45:$I$59, 7, FALSE), perc_95, VLOOKUP(O$2, Percentiles!$A$45:$I$59, 8, FALSE), perc_85, perc_75 + (perc_90 - perc_75) * (2/3), converted_stat, '2K_Ratings'!O688, IF(bbgm_stat &gt;= perc_95, converted_stat * 3, IF(bbgm_stat &gt;= perc_90, converted_stat * 2, IF(bbgm_stat &gt;= perc_85, converted_stat * 1.5, converted_stat)))))</f>
        <v/>
      </c>
      <c r="P688" s="30" t="str">
        <f t="array" ref="P688">IF($A688="", "", LET(bbgm_stat, INDEX(Players!$A687:$P687, MATCH(P$2, Players!$A$1:$P$1, 0)), perc_75, VLOOKUP(P$2, Percentiles!$A$45:$I$59, 6, FALSE), perc_90, VLOOKUP(P$2, Percentiles!$A$45:$I$59, 7, FALSE), perc_95, VLOOKUP(P$2, Percentiles!$A$45:$I$59, 8, FALSE), perc_85, perc_75 + (perc_90 - perc_75) * (2/3), converted_stat, '2K_Ratings'!P688, IF(bbgm_stat &gt;= perc_95, converted_stat * 3, IF(bbgm_stat &gt;= perc_90, converted_stat * 2, IF(bbgm_stat &gt;= perc_85, converted_stat * 1.5, converted_stat)))))</f>
        <v/>
      </c>
      <c r="Q688" s="30" t="str">
        <f t="array" ref="Q688">IF($A688="", "", LET(bbgm_stat, INDEX(Players!$A687:$P687, MATCH(Q$2, Players!$A$1:$P$1, 0)), perc_75, VLOOKUP(Q$2, Percentiles!$A$45:$I$59, 6, FALSE), perc_90, VLOOKUP(Q$2, Percentiles!$A$45:$I$59, 7, FALSE), perc_95, VLOOKUP(Q$2, Percentiles!$A$45:$I$59, 8, FALSE), perc_85, perc_75 + (perc_90 - perc_75) * (2/3), converted_stat, '2K_Ratings'!Q688, IF(bbgm_stat &gt;= perc_95, converted_stat * 3, IF(bbgm_stat &gt;= perc_90, converted_stat * 2, IF(bbgm_stat &gt;= perc_85, converted_stat * 1.5, converted_stat)))))</f>
        <v/>
      </c>
      <c r="R688" s="30" t="str">
        <f t="array" ref="R688">IF($A688="", "", LET(bbgm_stat, INDEX(Players!$A687:$P687, MATCH(R$2, Players!$A$1:$P$1, 0)), perc_75, VLOOKUP(R$2, Percentiles!$A$45:$I$59, 6, FALSE), perc_90, VLOOKUP(R$2, Percentiles!$A$45:$I$59, 7, FALSE), perc_95, VLOOKUP(R$2, Percentiles!$A$45:$I$59, 8, FALSE), perc_85, perc_75 + (perc_90 - perc_75) * (2/3), converted_stat, '2K_Ratings'!R688, IF(bbgm_stat &gt;= perc_95, converted_stat * 3, IF(bbgm_stat &gt;= perc_90, converted_stat * 2, IF(bbgm_stat &gt;= perc_85, converted_stat * 1.5, converted_stat)))))</f>
        <v/>
      </c>
      <c r="S688" s="30" t="str">
        <f t="array" ref="S688">IF($A688="", "", LET(bbgm_stat, INDEX(Players!$A687:$P687, MATCH(S$2, Players!$A$1:$P$1, 0)), perc_75, VLOOKUP(S$2, Percentiles!$A$45:$I$59, 6, FALSE), perc_90, VLOOKUP(S$2, Percentiles!$A$45:$I$59, 7, FALSE), perc_95, VLOOKUP(S$2, Percentiles!$A$45:$I$59, 8, FALSE), perc_85, perc_75 + (perc_90 - perc_75) * (2/3), converted_stat, '2K_Ratings'!S688, IF(bbgm_stat &gt;= perc_95, converted_stat * 3, IF(bbgm_stat &gt;= perc_90, converted_stat * 2, IF(bbgm_stat &gt;= perc_85, converted_stat * 1.5, converted_stat)))))</f>
        <v/>
      </c>
      <c r="T688" s="30" t="str">
        <f t="array" ref="T688">IF($A688="", "", LET(bbgm_stat, INDEX(Players!$A687:$P687, MATCH(T$2, Players!$A$1:$P$1, 0)), perc_75, VLOOKUP(T$2, Percentiles!$A$45:$I$59, 6, FALSE), perc_90, VLOOKUP(T$2, Percentiles!$A$45:$I$59, 7, FALSE), perc_95, VLOOKUP(T$2, Percentiles!$A$45:$I$59, 8, FALSE), perc_85, perc_75 + (perc_90 - perc_75) * (2/3), converted_stat, '2K_Ratings'!T688, IF(bbgm_stat &gt;= perc_95, converted_stat * 3, IF(bbgm_stat &gt;= perc_90, converted_stat * 2, IF(bbgm_stat &gt;= perc_85, converted_stat * 1.5, converted_stat)))))</f>
        <v/>
      </c>
      <c r="U688" s="30" t="str">
        <f t="array" ref="U688">IF($A688="", "", LET(bbgm_stat, INDEX(Players!$A687:$P687, MATCH(U$2, Players!$A$1:$P$1, 0)), perc_75, VLOOKUP(U$2, Percentiles!$A$45:$I$59, 6, FALSE), perc_90, VLOOKUP(U$2, Percentiles!$A$45:$I$59, 7, FALSE), perc_95, VLOOKUP(U$2, Percentiles!$A$45:$I$59, 8, FALSE), perc_85, perc_75 + (perc_90 - perc_75) * (2/3), converted_stat, '2K_Ratings'!U688, IF(bbgm_stat &gt;= perc_95, converted_stat * 3, IF(bbgm_stat &gt;= perc_90, converted_stat * 2, IF(bbgm_stat &gt;= perc_85, converted_stat * 1.5, converted_stat)))))</f>
        <v/>
      </c>
      <c r="V688" s="30" t="str">
        <f t="array" ref="V688">IF($A688="", "", LET(bbgm_stat, INDEX(Players!$A687:$P687, MATCH(V$2, Players!$A$1:$P$1, 0)), perc_75, VLOOKUP(V$2, Percentiles!$A$45:$I$59, 6, FALSE), perc_90, VLOOKUP(V$2, Percentiles!$A$45:$I$59, 7, FALSE), perc_95, VLOOKUP(V$2, Percentiles!$A$45:$I$59, 8, FALSE), perc_85, perc_75 + (perc_90 - perc_75) * (2/3), converted_stat, '2K_Ratings'!V688, IF(bbgm_stat &gt;= perc_95, converted_stat * 3, IF(bbgm_stat &gt;= perc_90, converted_stat * 2, IF(bbgm_stat &gt;= perc_85, converted_stat * 1.5, converted_stat)))))</f>
        <v/>
      </c>
      <c r="W688" s="30" t="str">
        <f t="array" ref="W688">IF($A688="", "", LET(bbgm_stat, INDEX(Players!$A687:$P687, MATCH(W$2, Players!$A$1:$P$1, 0)), perc_75, VLOOKUP(W$2, Percentiles!$A$45:$I$59, 6, FALSE), perc_90, VLOOKUP(W$2, Percentiles!$A$45:$I$59, 7, FALSE), perc_95, VLOOKUP(W$2, Percentiles!$A$45:$I$59, 8, FALSE), perc_85, perc_75 + (perc_90 - perc_75) * (2/3), converted_stat, '2K_Ratings'!W688, IF(bbgm_stat &gt;= perc_95, converted_stat * 3, IF(bbgm_stat &gt;= perc_90, converted_stat * 2, IF(bbgm_stat &gt;= perc_85, converted_stat * 1.5, converted_stat)))))</f>
        <v/>
      </c>
    </row>
    <row r="689">
      <c r="A689" s="30"/>
      <c r="B689" s="30" t="str">
        <f t="array" ref="B689">IF($A689="", "", LET(bbgm_stat, INDEX(Players!$A688:$P688, MATCH(B$2, Players!$A$1:$P$1, 0)), perc_75, VLOOKUP(B$2, Percentiles!$A$45:$I$59, 6, FALSE), perc_90, VLOOKUP(B$2, Percentiles!$A$45:$I$59, 7, FALSE), perc_95, VLOOKUP(B$2, Percentiles!$A$45:$I$59, 8, FALSE), perc_85, perc_75 + (perc_90 - perc_75) * (2/3), converted_stat, '2K_Ratings'!B689, IF(bbgm_stat &gt;= perc_95, converted_stat * 3, IF(bbgm_stat &gt;= perc_90, converted_stat * 2, IF(bbgm_stat &gt;= perc_85, converted_stat * 1.5, converted_stat)))))</f>
        <v/>
      </c>
      <c r="C689" s="30" t="str">
        <f t="array" ref="C689">IF($A689="", "", LET(bbgm_stat, INDEX(Players!$A688:$P688, MATCH(C$2, Players!$A$1:$P$1, 0)), perc_75, VLOOKUP(C$2, Percentiles!$A$45:$I$59, 6, FALSE), perc_90, VLOOKUP(C$2, Percentiles!$A$45:$I$59, 7, FALSE), perc_95, VLOOKUP(C$2, Percentiles!$A$45:$I$59, 8, FALSE), perc_85, perc_75 + (perc_90 - perc_75) * (2/3), converted_stat, '2K_Ratings'!C689, IF(bbgm_stat &gt;= perc_95, converted_stat * 3, IF(bbgm_stat &gt;= perc_90, converted_stat * 2, IF(bbgm_stat &gt;= perc_85, converted_stat * 1.5, converted_stat)))))</f>
        <v/>
      </c>
      <c r="D689" s="30" t="str">
        <f t="array" ref="D689">IF($A689="", "", LET(bbgm_stat, INDEX(Players!$A688:$P688, MATCH(D$2, Players!$A$1:$P$1, 0)), perc_75, VLOOKUP(D$2, Percentiles!$A$45:$I$59, 6, FALSE), perc_90, VLOOKUP(D$2, Percentiles!$A$45:$I$59, 7, FALSE), perc_95, VLOOKUP(D$2, Percentiles!$A$45:$I$59, 8, FALSE), perc_85, perc_75 + (perc_90 - perc_75) * (2/3), converted_stat, '2K_Ratings'!D689, IF(bbgm_stat &gt;= perc_95, converted_stat * 3, IF(bbgm_stat &gt;= perc_90, converted_stat * 2, IF(bbgm_stat &gt;= perc_85, converted_stat * 1.5, converted_stat)))))</f>
        <v/>
      </c>
      <c r="E689" s="30" t="str">
        <f t="array" ref="E689">IF($A689="", "", LET(bbgm_stat, INDEX(Players!$A688:$P688, MATCH(E$2, Players!$A$1:$P$1, 0)), perc_75, VLOOKUP(E$2, Percentiles!$A$45:$I$59, 6, FALSE), perc_90, VLOOKUP(E$2, Percentiles!$A$45:$I$59, 7, FALSE), perc_95, VLOOKUP(E$2, Percentiles!$A$45:$I$59, 8, FALSE), perc_85, perc_75 + (perc_90 - perc_75) * (2/3), converted_stat, '2K_Ratings'!E689, IF(bbgm_stat &gt;= perc_95, converted_stat * 3, IF(bbgm_stat &gt;= perc_90, converted_stat * 2, IF(bbgm_stat &gt;= perc_85, converted_stat * 1.5, converted_stat)))))</f>
        <v/>
      </c>
      <c r="F689" s="30" t="str">
        <f t="array" ref="F689">IF($A689="", "", LET(bbgm_stat, INDEX(Players!$A688:$P688, MATCH(F$2, Players!$A$1:$P$1, 0)), perc_75, VLOOKUP(F$2, Percentiles!$A$45:$I$59, 6, FALSE), perc_90, VLOOKUP(F$2, Percentiles!$A$45:$I$59, 7, FALSE), perc_95, VLOOKUP(F$2, Percentiles!$A$45:$I$59, 8, FALSE), perc_85, perc_75 + (perc_90 - perc_75) * (2/3), converted_stat, '2K_Ratings'!F689, IF(bbgm_stat &gt;= perc_95, converted_stat * 3, IF(bbgm_stat &gt;= perc_90, converted_stat * 2, IF(bbgm_stat &gt;= perc_85, converted_stat * 1.5, converted_stat)))))</f>
        <v/>
      </c>
      <c r="G689" s="30" t="str">
        <f t="array" ref="G689">IF($A689="", "", LET(bbgm_stat, INDEX(Players!$A688:$P688, MATCH(G$2, Players!$A$1:$P$1, 0)), perc_75, VLOOKUP(G$2, Percentiles!$A$45:$I$59, 6, FALSE), perc_90, VLOOKUP(G$2, Percentiles!$A$45:$I$59, 7, FALSE), perc_95, VLOOKUP(G$2, Percentiles!$A$45:$I$59, 8, FALSE), perc_85, perc_75 + (perc_90 - perc_75) * (2/3), converted_stat, '2K_Ratings'!G689, IF(bbgm_stat &gt;= perc_95, converted_stat * 3, IF(bbgm_stat &gt;= perc_90, converted_stat * 2, IF(bbgm_stat &gt;= perc_85, converted_stat * 1.5, converted_stat)))))</f>
        <v/>
      </c>
      <c r="H689" s="30" t="str">
        <f t="array" ref="H689">IF($A689="", "", LET(bbgm_stat, INDEX(Players!$A688:$P688, MATCH(H$2, Players!$A$1:$P$1, 0)), perc_75, VLOOKUP(H$2, Percentiles!$A$45:$I$59, 6, FALSE), perc_90, VLOOKUP(H$2, Percentiles!$A$45:$I$59, 7, FALSE), perc_95, VLOOKUP(H$2, Percentiles!$A$45:$I$59, 8, FALSE), perc_85, perc_75 + (perc_90 - perc_75) * (2/3), converted_stat, '2K_Ratings'!H689, IF(bbgm_stat &gt;= perc_95, converted_stat * 3, IF(bbgm_stat &gt;= perc_90, converted_stat * 2, IF(bbgm_stat &gt;= perc_85, converted_stat * 1.5, converted_stat)))))</f>
        <v/>
      </c>
      <c r="I689" s="30" t="str">
        <f t="array" ref="I689">IF($A689="", "", LET(bbgm_stat, INDEX(Players!$A688:$P688, MATCH(I$2, Players!$A$1:$P$1, 0)), perc_75, VLOOKUP(I$2, Percentiles!$A$45:$I$59, 6, FALSE), perc_90, VLOOKUP(I$2, Percentiles!$A$45:$I$59, 7, FALSE), perc_95, VLOOKUP(I$2, Percentiles!$A$45:$I$59, 8, FALSE), perc_85, perc_75 + (perc_90 - perc_75) * (2/3), converted_stat, '2K_Ratings'!I689, IF(bbgm_stat &gt;= perc_95, converted_stat * 3, IF(bbgm_stat &gt;= perc_90, converted_stat * 2, IF(bbgm_stat &gt;= perc_85, converted_stat * 1.5, converted_stat)))))</f>
        <v/>
      </c>
      <c r="J689" s="30" t="str">
        <f t="array" ref="J689">IF($A689="", "", LET(bbgm_stat, INDEX(Players!$A688:$P688, MATCH(J$2, Players!$A$1:$P$1, 0)), perc_75, VLOOKUP(J$2, Percentiles!$A$45:$I$59, 6, FALSE), perc_90, VLOOKUP(J$2, Percentiles!$A$45:$I$59, 7, FALSE), perc_95, VLOOKUP(J$2, Percentiles!$A$45:$I$59, 8, FALSE), perc_85, perc_75 + (perc_90 - perc_75) * (2/3), converted_stat, '2K_Ratings'!J689, IF(bbgm_stat &gt;= perc_95, converted_stat * 3, IF(bbgm_stat &gt;= perc_90, converted_stat * 2, IF(bbgm_stat &gt;= perc_85, converted_stat * 1.5, converted_stat)))))</f>
        <v/>
      </c>
      <c r="K689" s="30" t="str">
        <f t="array" ref="K689">IF($A689="", "", LET(bbgm_stat, INDEX(Players!$A688:$P688, MATCH(K$2, Players!$A$1:$P$1, 0)), perc_75, VLOOKUP(K$2, Percentiles!$A$45:$I$59, 6, FALSE), perc_90, VLOOKUP(K$2, Percentiles!$A$45:$I$59, 7, FALSE), perc_95, VLOOKUP(K$2, Percentiles!$A$45:$I$59, 8, FALSE), perc_85, perc_75 + (perc_90 - perc_75) * (2/3), converted_stat, '2K_Ratings'!K689, IF(bbgm_stat &gt;= perc_95, converted_stat * 3, IF(bbgm_stat &gt;= perc_90, converted_stat * 2, IF(bbgm_stat &gt;= perc_85, converted_stat * 1.5, converted_stat)))))</f>
        <v/>
      </c>
      <c r="L689" s="30" t="str">
        <f t="array" ref="L689">IF($A689="", "", LET(bbgm_stat, INDEX(Players!$A688:$P688, MATCH(L$2, Players!$A$1:$P$1, 0)), perc_75, VLOOKUP(L$2, Percentiles!$A$45:$I$59, 6, FALSE), perc_90, VLOOKUP(L$2, Percentiles!$A$45:$I$59, 7, FALSE), perc_95, VLOOKUP(L$2, Percentiles!$A$45:$I$59, 8, FALSE), perc_85, perc_75 + (perc_90 - perc_75) * (2/3), converted_stat, '2K_Ratings'!L689, IF(bbgm_stat &gt;= perc_95, converted_stat * 3, IF(bbgm_stat &gt;= perc_90, converted_stat * 2, IF(bbgm_stat &gt;= perc_85, converted_stat * 1.5, converted_stat)))))</f>
        <v/>
      </c>
      <c r="M689" s="30" t="str">
        <f t="array" ref="M689">IF($A689="", "", LET(bbgm_stat, INDEX(Players!$A688:$P688, MATCH(M$2, Players!$A$1:$P$1, 0)), perc_75, VLOOKUP(M$2, Percentiles!$A$45:$I$59, 6, FALSE), perc_90, VLOOKUP(M$2, Percentiles!$A$45:$I$59, 7, FALSE), perc_95, VLOOKUP(M$2, Percentiles!$A$45:$I$59, 8, FALSE), perc_85, perc_75 + (perc_90 - perc_75) * (2/3), converted_stat, '2K_Ratings'!M689, IF(bbgm_stat &gt;= perc_95, converted_stat * 3, IF(bbgm_stat &gt;= perc_90, converted_stat * 2, IF(bbgm_stat &gt;= perc_85, converted_stat * 1.5, converted_stat)))))</f>
        <v/>
      </c>
      <c r="N689" s="30" t="str">
        <f t="array" ref="N689">IF($A689="", "", LET(bbgm_stat, INDEX(Players!$A688:$P688, MATCH(N$2, Players!$A$1:$P$1, 0)), perc_75, VLOOKUP(N$2, Percentiles!$A$45:$I$59, 6, FALSE), perc_90, VLOOKUP(N$2, Percentiles!$A$45:$I$59, 7, FALSE), perc_95, VLOOKUP(N$2, Percentiles!$A$45:$I$59, 8, FALSE), perc_85, perc_75 + (perc_90 - perc_75) * (2/3), converted_stat, '2K_Ratings'!N689, IF(bbgm_stat &gt;= perc_95, converted_stat * 3, IF(bbgm_stat &gt;= perc_90, converted_stat * 2, IF(bbgm_stat &gt;= perc_85, converted_stat * 1.5, converted_stat)))))</f>
        <v/>
      </c>
      <c r="O689" s="30" t="str">
        <f t="array" ref="O689">IF($A689="", "", LET(bbgm_stat, INDEX(Players!$A688:$P688, MATCH(O$2, Players!$A$1:$P$1, 0)), perc_75, VLOOKUP(O$2, Percentiles!$A$45:$I$59, 6, FALSE), perc_90, VLOOKUP(O$2, Percentiles!$A$45:$I$59, 7, FALSE), perc_95, VLOOKUP(O$2, Percentiles!$A$45:$I$59, 8, FALSE), perc_85, perc_75 + (perc_90 - perc_75) * (2/3), converted_stat, '2K_Ratings'!O689, IF(bbgm_stat &gt;= perc_95, converted_stat * 3, IF(bbgm_stat &gt;= perc_90, converted_stat * 2, IF(bbgm_stat &gt;= perc_85, converted_stat * 1.5, converted_stat)))))</f>
        <v/>
      </c>
      <c r="P689" s="30" t="str">
        <f t="array" ref="P689">IF($A689="", "", LET(bbgm_stat, INDEX(Players!$A688:$P688, MATCH(P$2, Players!$A$1:$P$1, 0)), perc_75, VLOOKUP(P$2, Percentiles!$A$45:$I$59, 6, FALSE), perc_90, VLOOKUP(P$2, Percentiles!$A$45:$I$59, 7, FALSE), perc_95, VLOOKUP(P$2, Percentiles!$A$45:$I$59, 8, FALSE), perc_85, perc_75 + (perc_90 - perc_75) * (2/3), converted_stat, '2K_Ratings'!P689, IF(bbgm_stat &gt;= perc_95, converted_stat * 3, IF(bbgm_stat &gt;= perc_90, converted_stat * 2, IF(bbgm_stat &gt;= perc_85, converted_stat * 1.5, converted_stat)))))</f>
        <v/>
      </c>
      <c r="Q689" s="30" t="str">
        <f t="array" ref="Q689">IF($A689="", "", LET(bbgm_stat, INDEX(Players!$A688:$P688, MATCH(Q$2, Players!$A$1:$P$1, 0)), perc_75, VLOOKUP(Q$2, Percentiles!$A$45:$I$59, 6, FALSE), perc_90, VLOOKUP(Q$2, Percentiles!$A$45:$I$59, 7, FALSE), perc_95, VLOOKUP(Q$2, Percentiles!$A$45:$I$59, 8, FALSE), perc_85, perc_75 + (perc_90 - perc_75) * (2/3), converted_stat, '2K_Ratings'!Q689, IF(bbgm_stat &gt;= perc_95, converted_stat * 3, IF(bbgm_stat &gt;= perc_90, converted_stat * 2, IF(bbgm_stat &gt;= perc_85, converted_stat * 1.5, converted_stat)))))</f>
        <v/>
      </c>
      <c r="R689" s="30" t="str">
        <f t="array" ref="R689">IF($A689="", "", LET(bbgm_stat, INDEX(Players!$A688:$P688, MATCH(R$2, Players!$A$1:$P$1, 0)), perc_75, VLOOKUP(R$2, Percentiles!$A$45:$I$59, 6, FALSE), perc_90, VLOOKUP(R$2, Percentiles!$A$45:$I$59, 7, FALSE), perc_95, VLOOKUP(R$2, Percentiles!$A$45:$I$59, 8, FALSE), perc_85, perc_75 + (perc_90 - perc_75) * (2/3), converted_stat, '2K_Ratings'!R689, IF(bbgm_stat &gt;= perc_95, converted_stat * 3, IF(bbgm_stat &gt;= perc_90, converted_stat * 2, IF(bbgm_stat &gt;= perc_85, converted_stat * 1.5, converted_stat)))))</f>
        <v/>
      </c>
      <c r="S689" s="30" t="str">
        <f t="array" ref="S689">IF($A689="", "", LET(bbgm_stat, INDEX(Players!$A688:$P688, MATCH(S$2, Players!$A$1:$P$1, 0)), perc_75, VLOOKUP(S$2, Percentiles!$A$45:$I$59, 6, FALSE), perc_90, VLOOKUP(S$2, Percentiles!$A$45:$I$59, 7, FALSE), perc_95, VLOOKUP(S$2, Percentiles!$A$45:$I$59, 8, FALSE), perc_85, perc_75 + (perc_90 - perc_75) * (2/3), converted_stat, '2K_Ratings'!S689, IF(bbgm_stat &gt;= perc_95, converted_stat * 3, IF(bbgm_stat &gt;= perc_90, converted_stat * 2, IF(bbgm_stat &gt;= perc_85, converted_stat * 1.5, converted_stat)))))</f>
        <v/>
      </c>
      <c r="T689" s="30" t="str">
        <f t="array" ref="T689">IF($A689="", "", LET(bbgm_stat, INDEX(Players!$A688:$P688, MATCH(T$2, Players!$A$1:$P$1, 0)), perc_75, VLOOKUP(T$2, Percentiles!$A$45:$I$59, 6, FALSE), perc_90, VLOOKUP(T$2, Percentiles!$A$45:$I$59, 7, FALSE), perc_95, VLOOKUP(T$2, Percentiles!$A$45:$I$59, 8, FALSE), perc_85, perc_75 + (perc_90 - perc_75) * (2/3), converted_stat, '2K_Ratings'!T689, IF(bbgm_stat &gt;= perc_95, converted_stat * 3, IF(bbgm_stat &gt;= perc_90, converted_stat * 2, IF(bbgm_stat &gt;= perc_85, converted_stat * 1.5, converted_stat)))))</f>
        <v/>
      </c>
      <c r="U689" s="30" t="str">
        <f t="array" ref="U689">IF($A689="", "", LET(bbgm_stat, INDEX(Players!$A688:$P688, MATCH(U$2, Players!$A$1:$P$1, 0)), perc_75, VLOOKUP(U$2, Percentiles!$A$45:$I$59, 6, FALSE), perc_90, VLOOKUP(U$2, Percentiles!$A$45:$I$59, 7, FALSE), perc_95, VLOOKUP(U$2, Percentiles!$A$45:$I$59, 8, FALSE), perc_85, perc_75 + (perc_90 - perc_75) * (2/3), converted_stat, '2K_Ratings'!U689, IF(bbgm_stat &gt;= perc_95, converted_stat * 3, IF(bbgm_stat &gt;= perc_90, converted_stat * 2, IF(bbgm_stat &gt;= perc_85, converted_stat * 1.5, converted_stat)))))</f>
        <v/>
      </c>
      <c r="V689" s="30" t="str">
        <f t="array" ref="V689">IF($A689="", "", LET(bbgm_stat, INDEX(Players!$A688:$P688, MATCH(V$2, Players!$A$1:$P$1, 0)), perc_75, VLOOKUP(V$2, Percentiles!$A$45:$I$59, 6, FALSE), perc_90, VLOOKUP(V$2, Percentiles!$A$45:$I$59, 7, FALSE), perc_95, VLOOKUP(V$2, Percentiles!$A$45:$I$59, 8, FALSE), perc_85, perc_75 + (perc_90 - perc_75) * (2/3), converted_stat, '2K_Ratings'!V689, IF(bbgm_stat &gt;= perc_95, converted_stat * 3, IF(bbgm_stat &gt;= perc_90, converted_stat * 2, IF(bbgm_stat &gt;= perc_85, converted_stat * 1.5, converted_stat)))))</f>
        <v/>
      </c>
      <c r="W689" s="30" t="str">
        <f t="array" ref="W689">IF($A689="", "", LET(bbgm_stat, INDEX(Players!$A688:$P688, MATCH(W$2, Players!$A$1:$P$1, 0)), perc_75, VLOOKUP(W$2, Percentiles!$A$45:$I$59, 6, FALSE), perc_90, VLOOKUP(W$2, Percentiles!$A$45:$I$59, 7, FALSE), perc_95, VLOOKUP(W$2, Percentiles!$A$45:$I$59, 8, FALSE), perc_85, perc_75 + (perc_90 - perc_75) * (2/3), converted_stat, '2K_Ratings'!W689, IF(bbgm_stat &gt;= perc_95, converted_stat * 3, IF(bbgm_stat &gt;= perc_90, converted_stat * 2, IF(bbgm_stat &gt;= perc_85, converted_stat * 1.5, converted_stat)))))</f>
        <v/>
      </c>
    </row>
    <row r="690">
      <c r="A690" s="30"/>
      <c r="B690" s="30" t="str">
        <f t="array" ref="B690">IF($A690="", "", LET(bbgm_stat, INDEX(Players!$A689:$P689, MATCH(B$2, Players!$A$1:$P$1, 0)), perc_75, VLOOKUP(B$2, Percentiles!$A$45:$I$59, 6, FALSE), perc_90, VLOOKUP(B$2, Percentiles!$A$45:$I$59, 7, FALSE), perc_95, VLOOKUP(B$2, Percentiles!$A$45:$I$59, 8, FALSE), perc_85, perc_75 + (perc_90 - perc_75) * (2/3), converted_stat, '2K_Ratings'!B690, IF(bbgm_stat &gt;= perc_95, converted_stat * 3, IF(bbgm_stat &gt;= perc_90, converted_stat * 2, IF(bbgm_stat &gt;= perc_85, converted_stat * 1.5, converted_stat)))))</f>
        <v/>
      </c>
      <c r="C690" s="30" t="str">
        <f t="array" ref="C690">IF($A690="", "", LET(bbgm_stat, INDEX(Players!$A689:$P689, MATCH(C$2, Players!$A$1:$P$1, 0)), perc_75, VLOOKUP(C$2, Percentiles!$A$45:$I$59, 6, FALSE), perc_90, VLOOKUP(C$2, Percentiles!$A$45:$I$59, 7, FALSE), perc_95, VLOOKUP(C$2, Percentiles!$A$45:$I$59, 8, FALSE), perc_85, perc_75 + (perc_90 - perc_75) * (2/3), converted_stat, '2K_Ratings'!C690, IF(bbgm_stat &gt;= perc_95, converted_stat * 3, IF(bbgm_stat &gt;= perc_90, converted_stat * 2, IF(bbgm_stat &gt;= perc_85, converted_stat * 1.5, converted_stat)))))</f>
        <v/>
      </c>
      <c r="D690" s="30" t="str">
        <f t="array" ref="D690">IF($A690="", "", LET(bbgm_stat, INDEX(Players!$A689:$P689, MATCH(D$2, Players!$A$1:$P$1, 0)), perc_75, VLOOKUP(D$2, Percentiles!$A$45:$I$59, 6, FALSE), perc_90, VLOOKUP(D$2, Percentiles!$A$45:$I$59, 7, FALSE), perc_95, VLOOKUP(D$2, Percentiles!$A$45:$I$59, 8, FALSE), perc_85, perc_75 + (perc_90 - perc_75) * (2/3), converted_stat, '2K_Ratings'!D690, IF(bbgm_stat &gt;= perc_95, converted_stat * 3, IF(bbgm_stat &gt;= perc_90, converted_stat * 2, IF(bbgm_stat &gt;= perc_85, converted_stat * 1.5, converted_stat)))))</f>
        <v/>
      </c>
      <c r="E690" s="30" t="str">
        <f t="array" ref="E690">IF($A690="", "", LET(bbgm_stat, INDEX(Players!$A689:$P689, MATCH(E$2, Players!$A$1:$P$1, 0)), perc_75, VLOOKUP(E$2, Percentiles!$A$45:$I$59, 6, FALSE), perc_90, VLOOKUP(E$2, Percentiles!$A$45:$I$59, 7, FALSE), perc_95, VLOOKUP(E$2, Percentiles!$A$45:$I$59, 8, FALSE), perc_85, perc_75 + (perc_90 - perc_75) * (2/3), converted_stat, '2K_Ratings'!E690, IF(bbgm_stat &gt;= perc_95, converted_stat * 3, IF(bbgm_stat &gt;= perc_90, converted_stat * 2, IF(bbgm_stat &gt;= perc_85, converted_stat * 1.5, converted_stat)))))</f>
        <v/>
      </c>
      <c r="F690" s="30" t="str">
        <f t="array" ref="F690">IF($A690="", "", LET(bbgm_stat, INDEX(Players!$A689:$P689, MATCH(F$2, Players!$A$1:$P$1, 0)), perc_75, VLOOKUP(F$2, Percentiles!$A$45:$I$59, 6, FALSE), perc_90, VLOOKUP(F$2, Percentiles!$A$45:$I$59, 7, FALSE), perc_95, VLOOKUP(F$2, Percentiles!$A$45:$I$59, 8, FALSE), perc_85, perc_75 + (perc_90 - perc_75) * (2/3), converted_stat, '2K_Ratings'!F690, IF(bbgm_stat &gt;= perc_95, converted_stat * 3, IF(bbgm_stat &gt;= perc_90, converted_stat * 2, IF(bbgm_stat &gt;= perc_85, converted_stat * 1.5, converted_stat)))))</f>
        <v/>
      </c>
      <c r="G690" s="30" t="str">
        <f t="array" ref="G690">IF($A690="", "", LET(bbgm_stat, INDEX(Players!$A689:$P689, MATCH(G$2, Players!$A$1:$P$1, 0)), perc_75, VLOOKUP(G$2, Percentiles!$A$45:$I$59, 6, FALSE), perc_90, VLOOKUP(G$2, Percentiles!$A$45:$I$59, 7, FALSE), perc_95, VLOOKUP(G$2, Percentiles!$A$45:$I$59, 8, FALSE), perc_85, perc_75 + (perc_90 - perc_75) * (2/3), converted_stat, '2K_Ratings'!G690, IF(bbgm_stat &gt;= perc_95, converted_stat * 3, IF(bbgm_stat &gt;= perc_90, converted_stat * 2, IF(bbgm_stat &gt;= perc_85, converted_stat * 1.5, converted_stat)))))</f>
        <v/>
      </c>
      <c r="H690" s="30" t="str">
        <f t="array" ref="H690">IF($A690="", "", LET(bbgm_stat, INDEX(Players!$A689:$P689, MATCH(H$2, Players!$A$1:$P$1, 0)), perc_75, VLOOKUP(H$2, Percentiles!$A$45:$I$59, 6, FALSE), perc_90, VLOOKUP(H$2, Percentiles!$A$45:$I$59, 7, FALSE), perc_95, VLOOKUP(H$2, Percentiles!$A$45:$I$59, 8, FALSE), perc_85, perc_75 + (perc_90 - perc_75) * (2/3), converted_stat, '2K_Ratings'!H690, IF(bbgm_stat &gt;= perc_95, converted_stat * 3, IF(bbgm_stat &gt;= perc_90, converted_stat * 2, IF(bbgm_stat &gt;= perc_85, converted_stat * 1.5, converted_stat)))))</f>
        <v/>
      </c>
      <c r="I690" s="30" t="str">
        <f t="array" ref="I690">IF($A690="", "", LET(bbgm_stat, INDEX(Players!$A689:$P689, MATCH(I$2, Players!$A$1:$P$1, 0)), perc_75, VLOOKUP(I$2, Percentiles!$A$45:$I$59, 6, FALSE), perc_90, VLOOKUP(I$2, Percentiles!$A$45:$I$59, 7, FALSE), perc_95, VLOOKUP(I$2, Percentiles!$A$45:$I$59, 8, FALSE), perc_85, perc_75 + (perc_90 - perc_75) * (2/3), converted_stat, '2K_Ratings'!I690, IF(bbgm_stat &gt;= perc_95, converted_stat * 3, IF(bbgm_stat &gt;= perc_90, converted_stat * 2, IF(bbgm_stat &gt;= perc_85, converted_stat * 1.5, converted_stat)))))</f>
        <v/>
      </c>
      <c r="J690" s="30" t="str">
        <f t="array" ref="J690">IF($A690="", "", LET(bbgm_stat, INDEX(Players!$A689:$P689, MATCH(J$2, Players!$A$1:$P$1, 0)), perc_75, VLOOKUP(J$2, Percentiles!$A$45:$I$59, 6, FALSE), perc_90, VLOOKUP(J$2, Percentiles!$A$45:$I$59, 7, FALSE), perc_95, VLOOKUP(J$2, Percentiles!$A$45:$I$59, 8, FALSE), perc_85, perc_75 + (perc_90 - perc_75) * (2/3), converted_stat, '2K_Ratings'!J690, IF(bbgm_stat &gt;= perc_95, converted_stat * 3, IF(bbgm_stat &gt;= perc_90, converted_stat * 2, IF(bbgm_stat &gt;= perc_85, converted_stat * 1.5, converted_stat)))))</f>
        <v/>
      </c>
      <c r="K690" s="30" t="str">
        <f t="array" ref="K690">IF($A690="", "", LET(bbgm_stat, INDEX(Players!$A689:$P689, MATCH(K$2, Players!$A$1:$P$1, 0)), perc_75, VLOOKUP(K$2, Percentiles!$A$45:$I$59, 6, FALSE), perc_90, VLOOKUP(K$2, Percentiles!$A$45:$I$59, 7, FALSE), perc_95, VLOOKUP(K$2, Percentiles!$A$45:$I$59, 8, FALSE), perc_85, perc_75 + (perc_90 - perc_75) * (2/3), converted_stat, '2K_Ratings'!K690, IF(bbgm_stat &gt;= perc_95, converted_stat * 3, IF(bbgm_stat &gt;= perc_90, converted_stat * 2, IF(bbgm_stat &gt;= perc_85, converted_stat * 1.5, converted_stat)))))</f>
        <v/>
      </c>
      <c r="L690" s="30" t="str">
        <f t="array" ref="L690">IF($A690="", "", LET(bbgm_stat, INDEX(Players!$A689:$P689, MATCH(L$2, Players!$A$1:$P$1, 0)), perc_75, VLOOKUP(L$2, Percentiles!$A$45:$I$59, 6, FALSE), perc_90, VLOOKUP(L$2, Percentiles!$A$45:$I$59, 7, FALSE), perc_95, VLOOKUP(L$2, Percentiles!$A$45:$I$59, 8, FALSE), perc_85, perc_75 + (perc_90 - perc_75) * (2/3), converted_stat, '2K_Ratings'!L690, IF(bbgm_stat &gt;= perc_95, converted_stat * 3, IF(bbgm_stat &gt;= perc_90, converted_stat * 2, IF(bbgm_stat &gt;= perc_85, converted_stat * 1.5, converted_stat)))))</f>
        <v/>
      </c>
      <c r="M690" s="30" t="str">
        <f t="array" ref="M690">IF($A690="", "", LET(bbgm_stat, INDEX(Players!$A689:$P689, MATCH(M$2, Players!$A$1:$P$1, 0)), perc_75, VLOOKUP(M$2, Percentiles!$A$45:$I$59, 6, FALSE), perc_90, VLOOKUP(M$2, Percentiles!$A$45:$I$59, 7, FALSE), perc_95, VLOOKUP(M$2, Percentiles!$A$45:$I$59, 8, FALSE), perc_85, perc_75 + (perc_90 - perc_75) * (2/3), converted_stat, '2K_Ratings'!M690, IF(bbgm_stat &gt;= perc_95, converted_stat * 3, IF(bbgm_stat &gt;= perc_90, converted_stat * 2, IF(bbgm_stat &gt;= perc_85, converted_stat * 1.5, converted_stat)))))</f>
        <v/>
      </c>
      <c r="N690" s="30" t="str">
        <f t="array" ref="N690">IF($A690="", "", LET(bbgm_stat, INDEX(Players!$A689:$P689, MATCH(N$2, Players!$A$1:$P$1, 0)), perc_75, VLOOKUP(N$2, Percentiles!$A$45:$I$59, 6, FALSE), perc_90, VLOOKUP(N$2, Percentiles!$A$45:$I$59, 7, FALSE), perc_95, VLOOKUP(N$2, Percentiles!$A$45:$I$59, 8, FALSE), perc_85, perc_75 + (perc_90 - perc_75) * (2/3), converted_stat, '2K_Ratings'!N690, IF(bbgm_stat &gt;= perc_95, converted_stat * 3, IF(bbgm_stat &gt;= perc_90, converted_stat * 2, IF(bbgm_stat &gt;= perc_85, converted_stat * 1.5, converted_stat)))))</f>
        <v/>
      </c>
      <c r="O690" s="30" t="str">
        <f t="array" ref="O690">IF($A690="", "", LET(bbgm_stat, INDEX(Players!$A689:$P689, MATCH(O$2, Players!$A$1:$P$1, 0)), perc_75, VLOOKUP(O$2, Percentiles!$A$45:$I$59, 6, FALSE), perc_90, VLOOKUP(O$2, Percentiles!$A$45:$I$59, 7, FALSE), perc_95, VLOOKUP(O$2, Percentiles!$A$45:$I$59, 8, FALSE), perc_85, perc_75 + (perc_90 - perc_75) * (2/3), converted_stat, '2K_Ratings'!O690, IF(bbgm_stat &gt;= perc_95, converted_stat * 3, IF(bbgm_stat &gt;= perc_90, converted_stat * 2, IF(bbgm_stat &gt;= perc_85, converted_stat * 1.5, converted_stat)))))</f>
        <v/>
      </c>
      <c r="P690" s="30" t="str">
        <f t="array" ref="P690">IF($A690="", "", LET(bbgm_stat, INDEX(Players!$A689:$P689, MATCH(P$2, Players!$A$1:$P$1, 0)), perc_75, VLOOKUP(P$2, Percentiles!$A$45:$I$59, 6, FALSE), perc_90, VLOOKUP(P$2, Percentiles!$A$45:$I$59, 7, FALSE), perc_95, VLOOKUP(P$2, Percentiles!$A$45:$I$59, 8, FALSE), perc_85, perc_75 + (perc_90 - perc_75) * (2/3), converted_stat, '2K_Ratings'!P690, IF(bbgm_stat &gt;= perc_95, converted_stat * 3, IF(bbgm_stat &gt;= perc_90, converted_stat * 2, IF(bbgm_stat &gt;= perc_85, converted_stat * 1.5, converted_stat)))))</f>
        <v/>
      </c>
      <c r="Q690" s="30" t="str">
        <f t="array" ref="Q690">IF($A690="", "", LET(bbgm_stat, INDEX(Players!$A689:$P689, MATCH(Q$2, Players!$A$1:$P$1, 0)), perc_75, VLOOKUP(Q$2, Percentiles!$A$45:$I$59, 6, FALSE), perc_90, VLOOKUP(Q$2, Percentiles!$A$45:$I$59, 7, FALSE), perc_95, VLOOKUP(Q$2, Percentiles!$A$45:$I$59, 8, FALSE), perc_85, perc_75 + (perc_90 - perc_75) * (2/3), converted_stat, '2K_Ratings'!Q690, IF(bbgm_stat &gt;= perc_95, converted_stat * 3, IF(bbgm_stat &gt;= perc_90, converted_stat * 2, IF(bbgm_stat &gt;= perc_85, converted_stat * 1.5, converted_stat)))))</f>
        <v/>
      </c>
      <c r="R690" s="30" t="str">
        <f t="array" ref="R690">IF($A690="", "", LET(bbgm_stat, INDEX(Players!$A689:$P689, MATCH(R$2, Players!$A$1:$P$1, 0)), perc_75, VLOOKUP(R$2, Percentiles!$A$45:$I$59, 6, FALSE), perc_90, VLOOKUP(R$2, Percentiles!$A$45:$I$59, 7, FALSE), perc_95, VLOOKUP(R$2, Percentiles!$A$45:$I$59, 8, FALSE), perc_85, perc_75 + (perc_90 - perc_75) * (2/3), converted_stat, '2K_Ratings'!R690, IF(bbgm_stat &gt;= perc_95, converted_stat * 3, IF(bbgm_stat &gt;= perc_90, converted_stat * 2, IF(bbgm_stat &gt;= perc_85, converted_stat * 1.5, converted_stat)))))</f>
        <v/>
      </c>
      <c r="S690" s="30" t="str">
        <f t="array" ref="S690">IF($A690="", "", LET(bbgm_stat, INDEX(Players!$A689:$P689, MATCH(S$2, Players!$A$1:$P$1, 0)), perc_75, VLOOKUP(S$2, Percentiles!$A$45:$I$59, 6, FALSE), perc_90, VLOOKUP(S$2, Percentiles!$A$45:$I$59, 7, FALSE), perc_95, VLOOKUP(S$2, Percentiles!$A$45:$I$59, 8, FALSE), perc_85, perc_75 + (perc_90 - perc_75) * (2/3), converted_stat, '2K_Ratings'!S690, IF(bbgm_stat &gt;= perc_95, converted_stat * 3, IF(bbgm_stat &gt;= perc_90, converted_stat * 2, IF(bbgm_stat &gt;= perc_85, converted_stat * 1.5, converted_stat)))))</f>
        <v/>
      </c>
      <c r="T690" s="30" t="str">
        <f t="array" ref="T690">IF($A690="", "", LET(bbgm_stat, INDEX(Players!$A689:$P689, MATCH(T$2, Players!$A$1:$P$1, 0)), perc_75, VLOOKUP(T$2, Percentiles!$A$45:$I$59, 6, FALSE), perc_90, VLOOKUP(T$2, Percentiles!$A$45:$I$59, 7, FALSE), perc_95, VLOOKUP(T$2, Percentiles!$A$45:$I$59, 8, FALSE), perc_85, perc_75 + (perc_90 - perc_75) * (2/3), converted_stat, '2K_Ratings'!T690, IF(bbgm_stat &gt;= perc_95, converted_stat * 3, IF(bbgm_stat &gt;= perc_90, converted_stat * 2, IF(bbgm_stat &gt;= perc_85, converted_stat * 1.5, converted_stat)))))</f>
        <v/>
      </c>
      <c r="U690" s="30" t="str">
        <f t="array" ref="U690">IF($A690="", "", LET(bbgm_stat, INDEX(Players!$A689:$P689, MATCH(U$2, Players!$A$1:$P$1, 0)), perc_75, VLOOKUP(U$2, Percentiles!$A$45:$I$59, 6, FALSE), perc_90, VLOOKUP(U$2, Percentiles!$A$45:$I$59, 7, FALSE), perc_95, VLOOKUP(U$2, Percentiles!$A$45:$I$59, 8, FALSE), perc_85, perc_75 + (perc_90 - perc_75) * (2/3), converted_stat, '2K_Ratings'!U690, IF(bbgm_stat &gt;= perc_95, converted_stat * 3, IF(bbgm_stat &gt;= perc_90, converted_stat * 2, IF(bbgm_stat &gt;= perc_85, converted_stat * 1.5, converted_stat)))))</f>
        <v/>
      </c>
      <c r="V690" s="30" t="str">
        <f t="array" ref="V690">IF($A690="", "", LET(bbgm_stat, INDEX(Players!$A689:$P689, MATCH(V$2, Players!$A$1:$P$1, 0)), perc_75, VLOOKUP(V$2, Percentiles!$A$45:$I$59, 6, FALSE), perc_90, VLOOKUP(V$2, Percentiles!$A$45:$I$59, 7, FALSE), perc_95, VLOOKUP(V$2, Percentiles!$A$45:$I$59, 8, FALSE), perc_85, perc_75 + (perc_90 - perc_75) * (2/3), converted_stat, '2K_Ratings'!V690, IF(bbgm_stat &gt;= perc_95, converted_stat * 3, IF(bbgm_stat &gt;= perc_90, converted_stat * 2, IF(bbgm_stat &gt;= perc_85, converted_stat * 1.5, converted_stat)))))</f>
        <v/>
      </c>
      <c r="W690" s="30" t="str">
        <f t="array" ref="W690">IF($A690="", "", LET(bbgm_stat, INDEX(Players!$A689:$P689, MATCH(W$2, Players!$A$1:$P$1, 0)), perc_75, VLOOKUP(W$2, Percentiles!$A$45:$I$59, 6, FALSE), perc_90, VLOOKUP(W$2, Percentiles!$A$45:$I$59, 7, FALSE), perc_95, VLOOKUP(W$2, Percentiles!$A$45:$I$59, 8, FALSE), perc_85, perc_75 + (perc_90 - perc_75) * (2/3), converted_stat, '2K_Ratings'!W690, IF(bbgm_stat &gt;= perc_95, converted_stat * 3, IF(bbgm_stat &gt;= perc_90, converted_stat * 2, IF(bbgm_stat &gt;= perc_85, converted_stat * 1.5, converted_stat)))))</f>
        <v/>
      </c>
    </row>
    <row r="691">
      <c r="A691" s="30"/>
      <c r="B691" s="30" t="str">
        <f t="array" ref="B691">IF($A691="", "", LET(bbgm_stat, INDEX(Players!$A690:$P690, MATCH(B$2, Players!$A$1:$P$1, 0)), perc_75, VLOOKUP(B$2, Percentiles!$A$45:$I$59, 6, FALSE), perc_90, VLOOKUP(B$2, Percentiles!$A$45:$I$59, 7, FALSE), perc_95, VLOOKUP(B$2, Percentiles!$A$45:$I$59, 8, FALSE), perc_85, perc_75 + (perc_90 - perc_75) * (2/3), converted_stat, '2K_Ratings'!B691, IF(bbgm_stat &gt;= perc_95, converted_stat * 3, IF(bbgm_stat &gt;= perc_90, converted_stat * 2, IF(bbgm_stat &gt;= perc_85, converted_stat * 1.5, converted_stat)))))</f>
        <v/>
      </c>
      <c r="C691" s="30" t="str">
        <f t="array" ref="C691">IF($A691="", "", LET(bbgm_stat, INDEX(Players!$A690:$P690, MATCH(C$2, Players!$A$1:$P$1, 0)), perc_75, VLOOKUP(C$2, Percentiles!$A$45:$I$59, 6, FALSE), perc_90, VLOOKUP(C$2, Percentiles!$A$45:$I$59, 7, FALSE), perc_95, VLOOKUP(C$2, Percentiles!$A$45:$I$59, 8, FALSE), perc_85, perc_75 + (perc_90 - perc_75) * (2/3), converted_stat, '2K_Ratings'!C691, IF(bbgm_stat &gt;= perc_95, converted_stat * 3, IF(bbgm_stat &gt;= perc_90, converted_stat * 2, IF(bbgm_stat &gt;= perc_85, converted_stat * 1.5, converted_stat)))))</f>
        <v/>
      </c>
      <c r="D691" s="30" t="str">
        <f t="array" ref="D691">IF($A691="", "", LET(bbgm_stat, INDEX(Players!$A690:$P690, MATCH(D$2, Players!$A$1:$P$1, 0)), perc_75, VLOOKUP(D$2, Percentiles!$A$45:$I$59, 6, FALSE), perc_90, VLOOKUP(D$2, Percentiles!$A$45:$I$59, 7, FALSE), perc_95, VLOOKUP(D$2, Percentiles!$A$45:$I$59, 8, FALSE), perc_85, perc_75 + (perc_90 - perc_75) * (2/3), converted_stat, '2K_Ratings'!D691, IF(bbgm_stat &gt;= perc_95, converted_stat * 3, IF(bbgm_stat &gt;= perc_90, converted_stat * 2, IF(bbgm_stat &gt;= perc_85, converted_stat * 1.5, converted_stat)))))</f>
        <v/>
      </c>
      <c r="E691" s="30" t="str">
        <f t="array" ref="E691">IF($A691="", "", LET(bbgm_stat, INDEX(Players!$A690:$P690, MATCH(E$2, Players!$A$1:$P$1, 0)), perc_75, VLOOKUP(E$2, Percentiles!$A$45:$I$59, 6, FALSE), perc_90, VLOOKUP(E$2, Percentiles!$A$45:$I$59, 7, FALSE), perc_95, VLOOKUP(E$2, Percentiles!$A$45:$I$59, 8, FALSE), perc_85, perc_75 + (perc_90 - perc_75) * (2/3), converted_stat, '2K_Ratings'!E691, IF(bbgm_stat &gt;= perc_95, converted_stat * 3, IF(bbgm_stat &gt;= perc_90, converted_stat * 2, IF(bbgm_stat &gt;= perc_85, converted_stat * 1.5, converted_stat)))))</f>
        <v/>
      </c>
      <c r="F691" s="30" t="str">
        <f t="array" ref="F691">IF($A691="", "", LET(bbgm_stat, INDEX(Players!$A690:$P690, MATCH(F$2, Players!$A$1:$P$1, 0)), perc_75, VLOOKUP(F$2, Percentiles!$A$45:$I$59, 6, FALSE), perc_90, VLOOKUP(F$2, Percentiles!$A$45:$I$59, 7, FALSE), perc_95, VLOOKUP(F$2, Percentiles!$A$45:$I$59, 8, FALSE), perc_85, perc_75 + (perc_90 - perc_75) * (2/3), converted_stat, '2K_Ratings'!F691, IF(bbgm_stat &gt;= perc_95, converted_stat * 3, IF(bbgm_stat &gt;= perc_90, converted_stat * 2, IF(bbgm_stat &gt;= perc_85, converted_stat * 1.5, converted_stat)))))</f>
        <v/>
      </c>
      <c r="G691" s="30" t="str">
        <f t="array" ref="G691">IF($A691="", "", LET(bbgm_stat, INDEX(Players!$A690:$P690, MATCH(G$2, Players!$A$1:$P$1, 0)), perc_75, VLOOKUP(G$2, Percentiles!$A$45:$I$59, 6, FALSE), perc_90, VLOOKUP(G$2, Percentiles!$A$45:$I$59, 7, FALSE), perc_95, VLOOKUP(G$2, Percentiles!$A$45:$I$59, 8, FALSE), perc_85, perc_75 + (perc_90 - perc_75) * (2/3), converted_stat, '2K_Ratings'!G691, IF(bbgm_stat &gt;= perc_95, converted_stat * 3, IF(bbgm_stat &gt;= perc_90, converted_stat * 2, IF(bbgm_stat &gt;= perc_85, converted_stat * 1.5, converted_stat)))))</f>
        <v/>
      </c>
      <c r="H691" s="30" t="str">
        <f t="array" ref="H691">IF($A691="", "", LET(bbgm_stat, INDEX(Players!$A690:$P690, MATCH(H$2, Players!$A$1:$P$1, 0)), perc_75, VLOOKUP(H$2, Percentiles!$A$45:$I$59, 6, FALSE), perc_90, VLOOKUP(H$2, Percentiles!$A$45:$I$59, 7, FALSE), perc_95, VLOOKUP(H$2, Percentiles!$A$45:$I$59, 8, FALSE), perc_85, perc_75 + (perc_90 - perc_75) * (2/3), converted_stat, '2K_Ratings'!H691, IF(bbgm_stat &gt;= perc_95, converted_stat * 3, IF(bbgm_stat &gt;= perc_90, converted_stat * 2, IF(bbgm_stat &gt;= perc_85, converted_stat * 1.5, converted_stat)))))</f>
        <v/>
      </c>
      <c r="I691" s="30" t="str">
        <f t="array" ref="I691">IF($A691="", "", LET(bbgm_stat, INDEX(Players!$A690:$P690, MATCH(I$2, Players!$A$1:$P$1, 0)), perc_75, VLOOKUP(I$2, Percentiles!$A$45:$I$59, 6, FALSE), perc_90, VLOOKUP(I$2, Percentiles!$A$45:$I$59, 7, FALSE), perc_95, VLOOKUP(I$2, Percentiles!$A$45:$I$59, 8, FALSE), perc_85, perc_75 + (perc_90 - perc_75) * (2/3), converted_stat, '2K_Ratings'!I691, IF(bbgm_stat &gt;= perc_95, converted_stat * 3, IF(bbgm_stat &gt;= perc_90, converted_stat * 2, IF(bbgm_stat &gt;= perc_85, converted_stat * 1.5, converted_stat)))))</f>
        <v/>
      </c>
      <c r="J691" s="30" t="str">
        <f t="array" ref="J691">IF($A691="", "", LET(bbgm_stat, INDEX(Players!$A690:$P690, MATCH(J$2, Players!$A$1:$P$1, 0)), perc_75, VLOOKUP(J$2, Percentiles!$A$45:$I$59, 6, FALSE), perc_90, VLOOKUP(J$2, Percentiles!$A$45:$I$59, 7, FALSE), perc_95, VLOOKUP(J$2, Percentiles!$A$45:$I$59, 8, FALSE), perc_85, perc_75 + (perc_90 - perc_75) * (2/3), converted_stat, '2K_Ratings'!J691, IF(bbgm_stat &gt;= perc_95, converted_stat * 3, IF(bbgm_stat &gt;= perc_90, converted_stat * 2, IF(bbgm_stat &gt;= perc_85, converted_stat * 1.5, converted_stat)))))</f>
        <v/>
      </c>
      <c r="K691" s="30" t="str">
        <f t="array" ref="K691">IF($A691="", "", LET(bbgm_stat, INDEX(Players!$A690:$P690, MATCH(K$2, Players!$A$1:$P$1, 0)), perc_75, VLOOKUP(K$2, Percentiles!$A$45:$I$59, 6, FALSE), perc_90, VLOOKUP(K$2, Percentiles!$A$45:$I$59, 7, FALSE), perc_95, VLOOKUP(K$2, Percentiles!$A$45:$I$59, 8, FALSE), perc_85, perc_75 + (perc_90 - perc_75) * (2/3), converted_stat, '2K_Ratings'!K691, IF(bbgm_stat &gt;= perc_95, converted_stat * 3, IF(bbgm_stat &gt;= perc_90, converted_stat * 2, IF(bbgm_stat &gt;= perc_85, converted_stat * 1.5, converted_stat)))))</f>
        <v/>
      </c>
      <c r="L691" s="30" t="str">
        <f t="array" ref="L691">IF($A691="", "", LET(bbgm_stat, INDEX(Players!$A690:$P690, MATCH(L$2, Players!$A$1:$P$1, 0)), perc_75, VLOOKUP(L$2, Percentiles!$A$45:$I$59, 6, FALSE), perc_90, VLOOKUP(L$2, Percentiles!$A$45:$I$59, 7, FALSE), perc_95, VLOOKUP(L$2, Percentiles!$A$45:$I$59, 8, FALSE), perc_85, perc_75 + (perc_90 - perc_75) * (2/3), converted_stat, '2K_Ratings'!L691, IF(bbgm_stat &gt;= perc_95, converted_stat * 3, IF(bbgm_stat &gt;= perc_90, converted_stat * 2, IF(bbgm_stat &gt;= perc_85, converted_stat * 1.5, converted_stat)))))</f>
        <v/>
      </c>
      <c r="M691" s="30" t="str">
        <f t="array" ref="M691">IF($A691="", "", LET(bbgm_stat, INDEX(Players!$A690:$P690, MATCH(M$2, Players!$A$1:$P$1, 0)), perc_75, VLOOKUP(M$2, Percentiles!$A$45:$I$59, 6, FALSE), perc_90, VLOOKUP(M$2, Percentiles!$A$45:$I$59, 7, FALSE), perc_95, VLOOKUP(M$2, Percentiles!$A$45:$I$59, 8, FALSE), perc_85, perc_75 + (perc_90 - perc_75) * (2/3), converted_stat, '2K_Ratings'!M691, IF(bbgm_stat &gt;= perc_95, converted_stat * 3, IF(bbgm_stat &gt;= perc_90, converted_stat * 2, IF(bbgm_stat &gt;= perc_85, converted_stat * 1.5, converted_stat)))))</f>
        <v/>
      </c>
      <c r="N691" s="30" t="str">
        <f t="array" ref="N691">IF($A691="", "", LET(bbgm_stat, INDEX(Players!$A690:$P690, MATCH(N$2, Players!$A$1:$P$1, 0)), perc_75, VLOOKUP(N$2, Percentiles!$A$45:$I$59, 6, FALSE), perc_90, VLOOKUP(N$2, Percentiles!$A$45:$I$59, 7, FALSE), perc_95, VLOOKUP(N$2, Percentiles!$A$45:$I$59, 8, FALSE), perc_85, perc_75 + (perc_90 - perc_75) * (2/3), converted_stat, '2K_Ratings'!N691, IF(bbgm_stat &gt;= perc_95, converted_stat * 3, IF(bbgm_stat &gt;= perc_90, converted_stat * 2, IF(bbgm_stat &gt;= perc_85, converted_stat * 1.5, converted_stat)))))</f>
        <v/>
      </c>
      <c r="O691" s="30" t="str">
        <f t="array" ref="O691">IF($A691="", "", LET(bbgm_stat, INDEX(Players!$A690:$P690, MATCH(O$2, Players!$A$1:$P$1, 0)), perc_75, VLOOKUP(O$2, Percentiles!$A$45:$I$59, 6, FALSE), perc_90, VLOOKUP(O$2, Percentiles!$A$45:$I$59, 7, FALSE), perc_95, VLOOKUP(O$2, Percentiles!$A$45:$I$59, 8, FALSE), perc_85, perc_75 + (perc_90 - perc_75) * (2/3), converted_stat, '2K_Ratings'!O691, IF(bbgm_stat &gt;= perc_95, converted_stat * 3, IF(bbgm_stat &gt;= perc_90, converted_stat * 2, IF(bbgm_stat &gt;= perc_85, converted_stat * 1.5, converted_stat)))))</f>
        <v/>
      </c>
      <c r="P691" s="30" t="str">
        <f t="array" ref="P691">IF($A691="", "", LET(bbgm_stat, INDEX(Players!$A690:$P690, MATCH(P$2, Players!$A$1:$P$1, 0)), perc_75, VLOOKUP(P$2, Percentiles!$A$45:$I$59, 6, FALSE), perc_90, VLOOKUP(P$2, Percentiles!$A$45:$I$59, 7, FALSE), perc_95, VLOOKUP(P$2, Percentiles!$A$45:$I$59, 8, FALSE), perc_85, perc_75 + (perc_90 - perc_75) * (2/3), converted_stat, '2K_Ratings'!P691, IF(bbgm_stat &gt;= perc_95, converted_stat * 3, IF(bbgm_stat &gt;= perc_90, converted_stat * 2, IF(bbgm_stat &gt;= perc_85, converted_stat * 1.5, converted_stat)))))</f>
        <v/>
      </c>
      <c r="Q691" s="30" t="str">
        <f t="array" ref="Q691">IF($A691="", "", LET(bbgm_stat, INDEX(Players!$A690:$P690, MATCH(Q$2, Players!$A$1:$P$1, 0)), perc_75, VLOOKUP(Q$2, Percentiles!$A$45:$I$59, 6, FALSE), perc_90, VLOOKUP(Q$2, Percentiles!$A$45:$I$59, 7, FALSE), perc_95, VLOOKUP(Q$2, Percentiles!$A$45:$I$59, 8, FALSE), perc_85, perc_75 + (perc_90 - perc_75) * (2/3), converted_stat, '2K_Ratings'!Q691, IF(bbgm_stat &gt;= perc_95, converted_stat * 3, IF(bbgm_stat &gt;= perc_90, converted_stat * 2, IF(bbgm_stat &gt;= perc_85, converted_stat * 1.5, converted_stat)))))</f>
        <v/>
      </c>
      <c r="R691" s="30" t="str">
        <f t="array" ref="R691">IF($A691="", "", LET(bbgm_stat, INDEX(Players!$A690:$P690, MATCH(R$2, Players!$A$1:$P$1, 0)), perc_75, VLOOKUP(R$2, Percentiles!$A$45:$I$59, 6, FALSE), perc_90, VLOOKUP(R$2, Percentiles!$A$45:$I$59, 7, FALSE), perc_95, VLOOKUP(R$2, Percentiles!$A$45:$I$59, 8, FALSE), perc_85, perc_75 + (perc_90 - perc_75) * (2/3), converted_stat, '2K_Ratings'!R691, IF(bbgm_stat &gt;= perc_95, converted_stat * 3, IF(bbgm_stat &gt;= perc_90, converted_stat * 2, IF(bbgm_stat &gt;= perc_85, converted_stat * 1.5, converted_stat)))))</f>
        <v/>
      </c>
      <c r="S691" s="30" t="str">
        <f t="array" ref="S691">IF($A691="", "", LET(bbgm_stat, INDEX(Players!$A690:$P690, MATCH(S$2, Players!$A$1:$P$1, 0)), perc_75, VLOOKUP(S$2, Percentiles!$A$45:$I$59, 6, FALSE), perc_90, VLOOKUP(S$2, Percentiles!$A$45:$I$59, 7, FALSE), perc_95, VLOOKUP(S$2, Percentiles!$A$45:$I$59, 8, FALSE), perc_85, perc_75 + (perc_90 - perc_75) * (2/3), converted_stat, '2K_Ratings'!S691, IF(bbgm_stat &gt;= perc_95, converted_stat * 3, IF(bbgm_stat &gt;= perc_90, converted_stat * 2, IF(bbgm_stat &gt;= perc_85, converted_stat * 1.5, converted_stat)))))</f>
        <v/>
      </c>
      <c r="T691" s="30" t="str">
        <f t="array" ref="T691">IF($A691="", "", LET(bbgm_stat, INDEX(Players!$A690:$P690, MATCH(T$2, Players!$A$1:$P$1, 0)), perc_75, VLOOKUP(T$2, Percentiles!$A$45:$I$59, 6, FALSE), perc_90, VLOOKUP(T$2, Percentiles!$A$45:$I$59, 7, FALSE), perc_95, VLOOKUP(T$2, Percentiles!$A$45:$I$59, 8, FALSE), perc_85, perc_75 + (perc_90 - perc_75) * (2/3), converted_stat, '2K_Ratings'!T691, IF(bbgm_stat &gt;= perc_95, converted_stat * 3, IF(bbgm_stat &gt;= perc_90, converted_stat * 2, IF(bbgm_stat &gt;= perc_85, converted_stat * 1.5, converted_stat)))))</f>
        <v/>
      </c>
      <c r="U691" s="30" t="str">
        <f t="array" ref="U691">IF($A691="", "", LET(bbgm_stat, INDEX(Players!$A690:$P690, MATCH(U$2, Players!$A$1:$P$1, 0)), perc_75, VLOOKUP(U$2, Percentiles!$A$45:$I$59, 6, FALSE), perc_90, VLOOKUP(U$2, Percentiles!$A$45:$I$59, 7, FALSE), perc_95, VLOOKUP(U$2, Percentiles!$A$45:$I$59, 8, FALSE), perc_85, perc_75 + (perc_90 - perc_75) * (2/3), converted_stat, '2K_Ratings'!U691, IF(bbgm_stat &gt;= perc_95, converted_stat * 3, IF(bbgm_stat &gt;= perc_90, converted_stat * 2, IF(bbgm_stat &gt;= perc_85, converted_stat * 1.5, converted_stat)))))</f>
        <v/>
      </c>
      <c r="V691" s="30" t="str">
        <f t="array" ref="V691">IF($A691="", "", LET(bbgm_stat, INDEX(Players!$A690:$P690, MATCH(V$2, Players!$A$1:$P$1, 0)), perc_75, VLOOKUP(V$2, Percentiles!$A$45:$I$59, 6, FALSE), perc_90, VLOOKUP(V$2, Percentiles!$A$45:$I$59, 7, FALSE), perc_95, VLOOKUP(V$2, Percentiles!$A$45:$I$59, 8, FALSE), perc_85, perc_75 + (perc_90 - perc_75) * (2/3), converted_stat, '2K_Ratings'!V691, IF(bbgm_stat &gt;= perc_95, converted_stat * 3, IF(bbgm_stat &gt;= perc_90, converted_stat * 2, IF(bbgm_stat &gt;= perc_85, converted_stat * 1.5, converted_stat)))))</f>
        <v/>
      </c>
      <c r="W691" s="30" t="str">
        <f t="array" ref="W691">IF($A691="", "", LET(bbgm_stat, INDEX(Players!$A690:$P690, MATCH(W$2, Players!$A$1:$P$1, 0)), perc_75, VLOOKUP(W$2, Percentiles!$A$45:$I$59, 6, FALSE), perc_90, VLOOKUP(W$2, Percentiles!$A$45:$I$59, 7, FALSE), perc_95, VLOOKUP(W$2, Percentiles!$A$45:$I$59, 8, FALSE), perc_85, perc_75 + (perc_90 - perc_75) * (2/3), converted_stat, '2K_Ratings'!W691, IF(bbgm_stat &gt;= perc_95, converted_stat * 3, IF(bbgm_stat &gt;= perc_90, converted_stat * 2, IF(bbgm_stat &gt;= perc_85, converted_stat * 1.5, converted_stat)))))</f>
        <v/>
      </c>
    </row>
    <row r="692">
      <c r="A692" s="30"/>
      <c r="B692" s="30" t="str">
        <f t="array" ref="B692">IF($A692="", "", LET(bbgm_stat, INDEX(Players!$A691:$P691, MATCH(B$2, Players!$A$1:$P$1, 0)), perc_75, VLOOKUP(B$2, Percentiles!$A$45:$I$59, 6, FALSE), perc_90, VLOOKUP(B$2, Percentiles!$A$45:$I$59, 7, FALSE), perc_95, VLOOKUP(B$2, Percentiles!$A$45:$I$59, 8, FALSE), perc_85, perc_75 + (perc_90 - perc_75) * (2/3), converted_stat, '2K_Ratings'!B692, IF(bbgm_stat &gt;= perc_95, converted_stat * 3, IF(bbgm_stat &gt;= perc_90, converted_stat * 2, IF(bbgm_stat &gt;= perc_85, converted_stat * 1.5, converted_stat)))))</f>
        <v/>
      </c>
      <c r="C692" s="30" t="str">
        <f t="array" ref="C692">IF($A692="", "", LET(bbgm_stat, INDEX(Players!$A691:$P691, MATCH(C$2, Players!$A$1:$P$1, 0)), perc_75, VLOOKUP(C$2, Percentiles!$A$45:$I$59, 6, FALSE), perc_90, VLOOKUP(C$2, Percentiles!$A$45:$I$59, 7, FALSE), perc_95, VLOOKUP(C$2, Percentiles!$A$45:$I$59, 8, FALSE), perc_85, perc_75 + (perc_90 - perc_75) * (2/3), converted_stat, '2K_Ratings'!C692, IF(bbgm_stat &gt;= perc_95, converted_stat * 3, IF(bbgm_stat &gt;= perc_90, converted_stat * 2, IF(bbgm_stat &gt;= perc_85, converted_stat * 1.5, converted_stat)))))</f>
        <v/>
      </c>
      <c r="D692" s="30" t="str">
        <f t="array" ref="D692">IF($A692="", "", LET(bbgm_stat, INDEX(Players!$A691:$P691, MATCH(D$2, Players!$A$1:$P$1, 0)), perc_75, VLOOKUP(D$2, Percentiles!$A$45:$I$59, 6, FALSE), perc_90, VLOOKUP(D$2, Percentiles!$A$45:$I$59, 7, FALSE), perc_95, VLOOKUP(D$2, Percentiles!$A$45:$I$59, 8, FALSE), perc_85, perc_75 + (perc_90 - perc_75) * (2/3), converted_stat, '2K_Ratings'!D692, IF(bbgm_stat &gt;= perc_95, converted_stat * 3, IF(bbgm_stat &gt;= perc_90, converted_stat * 2, IF(bbgm_stat &gt;= perc_85, converted_stat * 1.5, converted_stat)))))</f>
        <v/>
      </c>
      <c r="E692" s="30" t="str">
        <f t="array" ref="E692">IF($A692="", "", LET(bbgm_stat, INDEX(Players!$A691:$P691, MATCH(E$2, Players!$A$1:$P$1, 0)), perc_75, VLOOKUP(E$2, Percentiles!$A$45:$I$59, 6, FALSE), perc_90, VLOOKUP(E$2, Percentiles!$A$45:$I$59, 7, FALSE), perc_95, VLOOKUP(E$2, Percentiles!$A$45:$I$59, 8, FALSE), perc_85, perc_75 + (perc_90 - perc_75) * (2/3), converted_stat, '2K_Ratings'!E692, IF(bbgm_stat &gt;= perc_95, converted_stat * 3, IF(bbgm_stat &gt;= perc_90, converted_stat * 2, IF(bbgm_stat &gt;= perc_85, converted_stat * 1.5, converted_stat)))))</f>
        <v/>
      </c>
      <c r="F692" s="30" t="str">
        <f t="array" ref="F692">IF($A692="", "", LET(bbgm_stat, INDEX(Players!$A691:$P691, MATCH(F$2, Players!$A$1:$P$1, 0)), perc_75, VLOOKUP(F$2, Percentiles!$A$45:$I$59, 6, FALSE), perc_90, VLOOKUP(F$2, Percentiles!$A$45:$I$59, 7, FALSE), perc_95, VLOOKUP(F$2, Percentiles!$A$45:$I$59, 8, FALSE), perc_85, perc_75 + (perc_90 - perc_75) * (2/3), converted_stat, '2K_Ratings'!F692, IF(bbgm_stat &gt;= perc_95, converted_stat * 3, IF(bbgm_stat &gt;= perc_90, converted_stat * 2, IF(bbgm_stat &gt;= perc_85, converted_stat * 1.5, converted_stat)))))</f>
        <v/>
      </c>
      <c r="G692" s="30" t="str">
        <f t="array" ref="G692">IF($A692="", "", LET(bbgm_stat, INDEX(Players!$A691:$P691, MATCH(G$2, Players!$A$1:$P$1, 0)), perc_75, VLOOKUP(G$2, Percentiles!$A$45:$I$59, 6, FALSE), perc_90, VLOOKUP(G$2, Percentiles!$A$45:$I$59, 7, FALSE), perc_95, VLOOKUP(G$2, Percentiles!$A$45:$I$59, 8, FALSE), perc_85, perc_75 + (perc_90 - perc_75) * (2/3), converted_stat, '2K_Ratings'!G692, IF(bbgm_stat &gt;= perc_95, converted_stat * 3, IF(bbgm_stat &gt;= perc_90, converted_stat * 2, IF(bbgm_stat &gt;= perc_85, converted_stat * 1.5, converted_stat)))))</f>
        <v/>
      </c>
      <c r="H692" s="30" t="str">
        <f t="array" ref="H692">IF($A692="", "", LET(bbgm_stat, INDEX(Players!$A691:$P691, MATCH(H$2, Players!$A$1:$P$1, 0)), perc_75, VLOOKUP(H$2, Percentiles!$A$45:$I$59, 6, FALSE), perc_90, VLOOKUP(H$2, Percentiles!$A$45:$I$59, 7, FALSE), perc_95, VLOOKUP(H$2, Percentiles!$A$45:$I$59, 8, FALSE), perc_85, perc_75 + (perc_90 - perc_75) * (2/3), converted_stat, '2K_Ratings'!H692, IF(bbgm_stat &gt;= perc_95, converted_stat * 3, IF(bbgm_stat &gt;= perc_90, converted_stat * 2, IF(bbgm_stat &gt;= perc_85, converted_stat * 1.5, converted_stat)))))</f>
        <v/>
      </c>
      <c r="I692" s="30" t="str">
        <f t="array" ref="I692">IF($A692="", "", LET(bbgm_stat, INDEX(Players!$A691:$P691, MATCH(I$2, Players!$A$1:$P$1, 0)), perc_75, VLOOKUP(I$2, Percentiles!$A$45:$I$59, 6, FALSE), perc_90, VLOOKUP(I$2, Percentiles!$A$45:$I$59, 7, FALSE), perc_95, VLOOKUP(I$2, Percentiles!$A$45:$I$59, 8, FALSE), perc_85, perc_75 + (perc_90 - perc_75) * (2/3), converted_stat, '2K_Ratings'!I692, IF(bbgm_stat &gt;= perc_95, converted_stat * 3, IF(bbgm_stat &gt;= perc_90, converted_stat * 2, IF(bbgm_stat &gt;= perc_85, converted_stat * 1.5, converted_stat)))))</f>
        <v/>
      </c>
      <c r="J692" s="30" t="str">
        <f t="array" ref="J692">IF($A692="", "", LET(bbgm_stat, INDEX(Players!$A691:$P691, MATCH(J$2, Players!$A$1:$P$1, 0)), perc_75, VLOOKUP(J$2, Percentiles!$A$45:$I$59, 6, FALSE), perc_90, VLOOKUP(J$2, Percentiles!$A$45:$I$59, 7, FALSE), perc_95, VLOOKUP(J$2, Percentiles!$A$45:$I$59, 8, FALSE), perc_85, perc_75 + (perc_90 - perc_75) * (2/3), converted_stat, '2K_Ratings'!J692, IF(bbgm_stat &gt;= perc_95, converted_stat * 3, IF(bbgm_stat &gt;= perc_90, converted_stat * 2, IF(bbgm_stat &gt;= perc_85, converted_stat * 1.5, converted_stat)))))</f>
        <v/>
      </c>
      <c r="K692" s="30" t="str">
        <f t="array" ref="K692">IF($A692="", "", LET(bbgm_stat, INDEX(Players!$A691:$P691, MATCH(K$2, Players!$A$1:$P$1, 0)), perc_75, VLOOKUP(K$2, Percentiles!$A$45:$I$59, 6, FALSE), perc_90, VLOOKUP(K$2, Percentiles!$A$45:$I$59, 7, FALSE), perc_95, VLOOKUP(K$2, Percentiles!$A$45:$I$59, 8, FALSE), perc_85, perc_75 + (perc_90 - perc_75) * (2/3), converted_stat, '2K_Ratings'!K692, IF(bbgm_stat &gt;= perc_95, converted_stat * 3, IF(bbgm_stat &gt;= perc_90, converted_stat * 2, IF(bbgm_stat &gt;= perc_85, converted_stat * 1.5, converted_stat)))))</f>
        <v/>
      </c>
      <c r="L692" s="30" t="str">
        <f t="array" ref="L692">IF($A692="", "", LET(bbgm_stat, INDEX(Players!$A691:$P691, MATCH(L$2, Players!$A$1:$P$1, 0)), perc_75, VLOOKUP(L$2, Percentiles!$A$45:$I$59, 6, FALSE), perc_90, VLOOKUP(L$2, Percentiles!$A$45:$I$59, 7, FALSE), perc_95, VLOOKUP(L$2, Percentiles!$A$45:$I$59, 8, FALSE), perc_85, perc_75 + (perc_90 - perc_75) * (2/3), converted_stat, '2K_Ratings'!L692, IF(bbgm_stat &gt;= perc_95, converted_stat * 3, IF(bbgm_stat &gt;= perc_90, converted_stat * 2, IF(bbgm_stat &gt;= perc_85, converted_stat * 1.5, converted_stat)))))</f>
        <v/>
      </c>
      <c r="M692" s="30" t="str">
        <f t="array" ref="M692">IF($A692="", "", LET(bbgm_stat, INDEX(Players!$A691:$P691, MATCH(M$2, Players!$A$1:$P$1, 0)), perc_75, VLOOKUP(M$2, Percentiles!$A$45:$I$59, 6, FALSE), perc_90, VLOOKUP(M$2, Percentiles!$A$45:$I$59, 7, FALSE), perc_95, VLOOKUP(M$2, Percentiles!$A$45:$I$59, 8, FALSE), perc_85, perc_75 + (perc_90 - perc_75) * (2/3), converted_stat, '2K_Ratings'!M692, IF(bbgm_stat &gt;= perc_95, converted_stat * 3, IF(bbgm_stat &gt;= perc_90, converted_stat * 2, IF(bbgm_stat &gt;= perc_85, converted_stat * 1.5, converted_stat)))))</f>
        <v/>
      </c>
      <c r="N692" s="30" t="str">
        <f t="array" ref="N692">IF($A692="", "", LET(bbgm_stat, INDEX(Players!$A691:$P691, MATCH(N$2, Players!$A$1:$P$1, 0)), perc_75, VLOOKUP(N$2, Percentiles!$A$45:$I$59, 6, FALSE), perc_90, VLOOKUP(N$2, Percentiles!$A$45:$I$59, 7, FALSE), perc_95, VLOOKUP(N$2, Percentiles!$A$45:$I$59, 8, FALSE), perc_85, perc_75 + (perc_90 - perc_75) * (2/3), converted_stat, '2K_Ratings'!N692, IF(bbgm_stat &gt;= perc_95, converted_stat * 3, IF(bbgm_stat &gt;= perc_90, converted_stat * 2, IF(bbgm_stat &gt;= perc_85, converted_stat * 1.5, converted_stat)))))</f>
        <v/>
      </c>
      <c r="O692" s="30" t="str">
        <f t="array" ref="O692">IF($A692="", "", LET(bbgm_stat, INDEX(Players!$A691:$P691, MATCH(O$2, Players!$A$1:$P$1, 0)), perc_75, VLOOKUP(O$2, Percentiles!$A$45:$I$59, 6, FALSE), perc_90, VLOOKUP(O$2, Percentiles!$A$45:$I$59, 7, FALSE), perc_95, VLOOKUP(O$2, Percentiles!$A$45:$I$59, 8, FALSE), perc_85, perc_75 + (perc_90 - perc_75) * (2/3), converted_stat, '2K_Ratings'!O692, IF(bbgm_stat &gt;= perc_95, converted_stat * 3, IF(bbgm_stat &gt;= perc_90, converted_stat * 2, IF(bbgm_stat &gt;= perc_85, converted_stat * 1.5, converted_stat)))))</f>
        <v/>
      </c>
      <c r="P692" s="30" t="str">
        <f t="array" ref="P692">IF($A692="", "", LET(bbgm_stat, INDEX(Players!$A691:$P691, MATCH(P$2, Players!$A$1:$P$1, 0)), perc_75, VLOOKUP(P$2, Percentiles!$A$45:$I$59, 6, FALSE), perc_90, VLOOKUP(P$2, Percentiles!$A$45:$I$59, 7, FALSE), perc_95, VLOOKUP(P$2, Percentiles!$A$45:$I$59, 8, FALSE), perc_85, perc_75 + (perc_90 - perc_75) * (2/3), converted_stat, '2K_Ratings'!P692, IF(bbgm_stat &gt;= perc_95, converted_stat * 3, IF(bbgm_stat &gt;= perc_90, converted_stat * 2, IF(bbgm_stat &gt;= perc_85, converted_stat * 1.5, converted_stat)))))</f>
        <v/>
      </c>
      <c r="Q692" s="30" t="str">
        <f t="array" ref="Q692">IF($A692="", "", LET(bbgm_stat, INDEX(Players!$A691:$P691, MATCH(Q$2, Players!$A$1:$P$1, 0)), perc_75, VLOOKUP(Q$2, Percentiles!$A$45:$I$59, 6, FALSE), perc_90, VLOOKUP(Q$2, Percentiles!$A$45:$I$59, 7, FALSE), perc_95, VLOOKUP(Q$2, Percentiles!$A$45:$I$59, 8, FALSE), perc_85, perc_75 + (perc_90 - perc_75) * (2/3), converted_stat, '2K_Ratings'!Q692, IF(bbgm_stat &gt;= perc_95, converted_stat * 3, IF(bbgm_stat &gt;= perc_90, converted_stat * 2, IF(bbgm_stat &gt;= perc_85, converted_stat * 1.5, converted_stat)))))</f>
        <v/>
      </c>
      <c r="R692" s="30" t="str">
        <f t="array" ref="R692">IF($A692="", "", LET(bbgm_stat, INDEX(Players!$A691:$P691, MATCH(R$2, Players!$A$1:$P$1, 0)), perc_75, VLOOKUP(R$2, Percentiles!$A$45:$I$59, 6, FALSE), perc_90, VLOOKUP(R$2, Percentiles!$A$45:$I$59, 7, FALSE), perc_95, VLOOKUP(R$2, Percentiles!$A$45:$I$59, 8, FALSE), perc_85, perc_75 + (perc_90 - perc_75) * (2/3), converted_stat, '2K_Ratings'!R692, IF(bbgm_stat &gt;= perc_95, converted_stat * 3, IF(bbgm_stat &gt;= perc_90, converted_stat * 2, IF(bbgm_stat &gt;= perc_85, converted_stat * 1.5, converted_stat)))))</f>
        <v/>
      </c>
      <c r="S692" s="30" t="str">
        <f t="array" ref="S692">IF($A692="", "", LET(bbgm_stat, INDEX(Players!$A691:$P691, MATCH(S$2, Players!$A$1:$P$1, 0)), perc_75, VLOOKUP(S$2, Percentiles!$A$45:$I$59, 6, FALSE), perc_90, VLOOKUP(S$2, Percentiles!$A$45:$I$59, 7, FALSE), perc_95, VLOOKUP(S$2, Percentiles!$A$45:$I$59, 8, FALSE), perc_85, perc_75 + (perc_90 - perc_75) * (2/3), converted_stat, '2K_Ratings'!S692, IF(bbgm_stat &gt;= perc_95, converted_stat * 3, IF(bbgm_stat &gt;= perc_90, converted_stat * 2, IF(bbgm_stat &gt;= perc_85, converted_stat * 1.5, converted_stat)))))</f>
        <v/>
      </c>
      <c r="T692" s="30" t="str">
        <f t="array" ref="T692">IF($A692="", "", LET(bbgm_stat, INDEX(Players!$A691:$P691, MATCH(T$2, Players!$A$1:$P$1, 0)), perc_75, VLOOKUP(T$2, Percentiles!$A$45:$I$59, 6, FALSE), perc_90, VLOOKUP(T$2, Percentiles!$A$45:$I$59, 7, FALSE), perc_95, VLOOKUP(T$2, Percentiles!$A$45:$I$59, 8, FALSE), perc_85, perc_75 + (perc_90 - perc_75) * (2/3), converted_stat, '2K_Ratings'!T692, IF(bbgm_stat &gt;= perc_95, converted_stat * 3, IF(bbgm_stat &gt;= perc_90, converted_stat * 2, IF(bbgm_stat &gt;= perc_85, converted_stat * 1.5, converted_stat)))))</f>
        <v/>
      </c>
      <c r="U692" s="30" t="str">
        <f t="array" ref="U692">IF($A692="", "", LET(bbgm_stat, INDEX(Players!$A691:$P691, MATCH(U$2, Players!$A$1:$P$1, 0)), perc_75, VLOOKUP(U$2, Percentiles!$A$45:$I$59, 6, FALSE), perc_90, VLOOKUP(U$2, Percentiles!$A$45:$I$59, 7, FALSE), perc_95, VLOOKUP(U$2, Percentiles!$A$45:$I$59, 8, FALSE), perc_85, perc_75 + (perc_90 - perc_75) * (2/3), converted_stat, '2K_Ratings'!U692, IF(bbgm_stat &gt;= perc_95, converted_stat * 3, IF(bbgm_stat &gt;= perc_90, converted_stat * 2, IF(bbgm_stat &gt;= perc_85, converted_stat * 1.5, converted_stat)))))</f>
        <v/>
      </c>
      <c r="V692" s="30" t="str">
        <f t="array" ref="V692">IF($A692="", "", LET(bbgm_stat, INDEX(Players!$A691:$P691, MATCH(V$2, Players!$A$1:$P$1, 0)), perc_75, VLOOKUP(V$2, Percentiles!$A$45:$I$59, 6, FALSE), perc_90, VLOOKUP(V$2, Percentiles!$A$45:$I$59, 7, FALSE), perc_95, VLOOKUP(V$2, Percentiles!$A$45:$I$59, 8, FALSE), perc_85, perc_75 + (perc_90 - perc_75) * (2/3), converted_stat, '2K_Ratings'!V692, IF(bbgm_stat &gt;= perc_95, converted_stat * 3, IF(bbgm_stat &gt;= perc_90, converted_stat * 2, IF(bbgm_stat &gt;= perc_85, converted_stat * 1.5, converted_stat)))))</f>
        <v/>
      </c>
      <c r="W692" s="30" t="str">
        <f t="array" ref="W692">IF($A692="", "", LET(bbgm_stat, INDEX(Players!$A691:$P691, MATCH(W$2, Players!$A$1:$P$1, 0)), perc_75, VLOOKUP(W$2, Percentiles!$A$45:$I$59, 6, FALSE), perc_90, VLOOKUP(W$2, Percentiles!$A$45:$I$59, 7, FALSE), perc_95, VLOOKUP(W$2, Percentiles!$A$45:$I$59, 8, FALSE), perc_85, perc_75 + (perc_90 - perc_75) * (2/3), converted_stat, '2K_Ratings'!W692, IF(bbgm_stat &gt;= perc_95, converted_stat * 3, IF(bbgm_stat &gt;= perc_90, converted_stat * 2, IF(bbgm_stat &gt;= perc_85, converted_stat * 1.5, converted_stat)))))</f>
        <v/>
      </c>
    </row>
    <row r="693">
      <c r="A693" s="30"/>
      <c r="B693" s="30" t="str">
        <f t="array" ref="B693">IF($A693="", "", LET(bbgm_stat, INDEX(Players!$A692:$P692, MATCH(B$2, Players!$A$1:$P$1, 0)), perc_75, VLOOKUP(B$2, Percentiles!$A$45:$I$59, 6, FALSE), perc_90, VLOOKUP(B$2, Percentiles!$A$45:$I$59, 7, FALSE), perc_95, VLOOKUP(B$2, Percentiles!$A$45:$I$59, 8, FALSE), perc_85, perc_75 + (perc_90 - perc_75) * (2/3), converted_stat, '2K_Ratings'!B693, IF(bbgm_stat &gt;= perc_95, converted_stat * 3, IF(bbgm_stat &gt;= perc_90, converted_stat * 2, IF(bbgm_stat &gt;= perc_85, converted_stat * 1.5, converted_stat)))))</f>
        <v/>
      </c>
      <c r="C693" s="30" t="str">
        <f t="array" ref="C693">IF($A693="", "", LET(bbgm_stat, INDEX(Players!$A692:$P692, MATCH(C$2, Players!$A$1:$P$1, 0)), perc_75, VLOOKUP(C$2, Percentiles!$A$45:$I$59, 6, FALSE), perc_90, VLOOKUP(C$2, Percentiles!$A$45:$I$59, 7, FALSE), perc_95, VLOOKUP(C$2, Percentiles!$A$45:$I$59, 8, FALSE), perc_85, perc_75 + (perc_90 - perc_75) * (2/3), converted_stat, '2K_Ratings'!C693, IF(bbgm_stat &gt;= perc_95, converted_stat * 3, IF(bbgm_stat &gt;= perc_90, converted_stat * 2, IF(bbgm_stat &gt;= perc_85, converted_stat * 1.5, converted_stat)))))</f>
        <v/>
      </c>
      <c r="D693" s="30" t="str">
        <f t="array" ref="D693">IF($A693="", "", LET(bbgm_stat, INDEX(Players!$A692:$P692, MATCH(D$2, Players!$A$1:$P$1, 0)), perc_75, VLOOKUP(D$2, Percentiles!$A$45:$I$59, 6, FALSE), perc_90, VLOOKUP(D$2, Percentiles!$A$45:$I$59, 7, FALSE), perc_95, VLOOKUP(D$2, Percentiles!$A$45:$I$59, 8, FALSE), perc_85, perc_75 + (perc_90 - perc_75) * (2/3), converted_stat, '2K_Ratings'!D693, IF(bbgm_stat &gt;= perc_95, converted_stat * 3, IF(bbgm_stat &gt;= perc_90, converted_stat * 2, IF(bbgm_stat &gt;= perc_85, converted_stat * 1.5, converted_stat)))))</f>
        <v/>
      </c>
      <c r="E693" s="30" t="str">
        <f t="array" ref="E693">IF($A693="", "", LET(bbgm_stat, INDEX(Players!$A692:$P692, MATCH(E$2, Players!$A$1:$P$1, 0)), perc_75, VLOOKUP(E$2, Percentiles!$A$45:$I$59, 6, FALSE), perc_90, VLOOKUP(E$2, Percentiles!$A$45:$I$59, 7, FALSE), perc_95, VLOOKUP(E$2, Percentiles!$A$45:$I$59, 8, FALSE), perc_85, perc_75 + (perc_90 - perc_75) * (2/3), converted_stat, '2K_Ratings'!E693, IF(bbgm_stat &gt;= perc_95, converted_stat * 3, IF(bbgm_stat &gt;= perc_90, converted_stat * 2, IF(bbgm_stat &gt;= perc_85, converted_stat * 1.5, converted_stat)))))</f>
        <v/>
      </c>
      <c r="F693" s="30" t="str">
        <f t="array" ref="F693">IF($A693="", "", LET(bbgm_stat, INDEX(Players!$A692:$P692, MATCH(F$2, Players!$A$1:$P$1, 0)), perc_75, VLOOKUP(F$2, Percentiles!$A$45:$I$59, 6, FALSE), perc_90, VLOOKUP(F$2, Percentiles!$A$45:$I$59, 7, FALSE), perc_95, VLOOKUP(F$2, Percentiles!$A$45:$I$59, 8, FALSE), perc_85, perc_75 + (perc_90 - perc_75) * (2/3), converted_stat, '2K_Ratings'!F693, IF(bbgm_stat &gt;= perc_95, converted_stat * 3, IF(bbgm_stat &gt;= perc_90, converted_stat * 2, IF(bbgm_stat &gt;= perc_85, converted_stat * 1.5, converted_stat)))))</f>
        <v/>
      </c>
      <c r="G693" s="30" t="str">
        <f t="array" ref="G693">IF($A693="", "", LET(bbgm_stat, INDEX(Players!$A692:$P692, MATCH(G$2, Players!$A$1:$P$1, 0)), perc_75, VLOOKUP(G$2, Percentiles!$A$45:$I$59, 6, FALSE), perc_90, VLOOKUP(G$2, Percentiles!$A$45:$I$59, 7, FALSE), perc_95, VLOOKUP(G$2, Percentiles!$A$45:$I$59, 8, FALSE), perc_85, perc_75 + (perc_90 - perc_75) * (2/3), converted_stat, '2K_Ratings'!G693, IF(bbgm_stat &gt;= perc_95, converted_stat * 3, IF(bbgm_stat &gt;= perc_90, converted_stat * 2, IF(bbgm_stat &gt;= perc_85, converted_stat * 1.5, converted_stat)))))</f>
        <v/>
      </c>
      <c r="H693" s="30" t="str">
        <f t="array" ref="H693">IF($A693="", "", LET(bbgm_stat, INDEX(Players!$A692:$P692, MATCH(H$2, Players!$A$1:$P$1, 0)), perc_75, VLOOKUP(H$2, Percentiles!$A$45:$I$59, 6, FALSE), perc_90, VLOOKUP(H$2, Percentiles!$A$45:$I$59, 7, FALSE), perc_95, VLOOKUP(H$2, Percentiles!$A$45:$I$59, 8, FALSE), perc_85, perc_75 + (perc_90 - perc_75) * (2/3), converted_stat, '2K_Ratings'!H693, IF(bbgm_stat &gt;= perc_95, converted_stat * 3, IF(bbgm_stat &gt;= perc_90, converted_stat * 2, IF(bbgm_stat &gt;= perc_85, converted_stat * 1.5, converted_stat)))))</f>
        <v/>
      </c>
      <c r="I693" s="30" t="str">
        <f t="array" ref="I693">IF($A693="", "", LET(bbgm_stat, INDEX(Players!$A692:$P692, MATCH(I$2, Players!$A$1:$P$1, 0)), perc_75, VLOOKUP(I$2, Percentiles!$A$45:$I$59, 6, FALSE), perc_90, VLOOKUP(I$2, Percentiles!$A$45:$I$59, 7, FALSE), perc_95, VLOOKUP(I$2, Percentiles!$A$45:$I$59, 8, FALSE), perc_85, perc_75 + (perc_90 - perc_75) * (2/3), converted_stat, '2K_Ratings'!I693, IF(bbgm_stat &gt;= perc_95, converted_stat * 3, IF(bbgm_stat &gt;= perc_90, converted_stat * 2, IF(bbgm_stat &gt;= perc_85, converted_stat * 1.5, converted_stat)))))</f>
        <v/>
      </c>
      <c r="J693" s="30" t="str">
        <f t="array" ref="J693">IF($A693="", "", LET(bbgm_stat, INDEX(Players!$A692:$P692, MATCH(J$2, Players!$A$1:$P$1, 0)), perc_75, VLOOKUP(J$2, Percentiles!$A$45:$I$59, 6, FALSE), perc_90, VLOOKUP(J$2, Percentiles!$A$45:$I$59, 7, FALSE), perc_95, VLOOKUP(J$2, Percentiles!$A$45:$I$59, 8, FALSE), perc_85, perc_75 + (perc_90 - perc_75) * (2/3), converted_stat, '2K_Ratings'!J693, IF(bbgm_stat &gt;= perc_95, converted_stat * 3, IF(bbgm_stat &gt;= perc_90, converted_stat * 2, IF(bbgm_stat &gt;= perc_85, converted_stat * 1.5, converted_stat)))))</f>
        <v/>
      </c>
      <c r="K693" s="30" t="str">
        <f t="array" ref="K693">IF($A693="", "", LET(bbgm_stat, INDEX(Players!$A692:$P692, MATCH(K$2, Players!$A$1:$P$1, 0)), perc_75, VLOOKUP(K$2, Percentiles!$A$45:$I$59, 6, FALSE), perc_90, VLOOKUP(K$2, Percentiles!$A$45:$I$59, 7, FALSE), perc_95, VLOOKUP(K$2, Percentiles!$A$45:$I$59, 8, FALSE), perc_85, perc_75 + (perc_90 - perc_75) * (2/3), converted_stat, '2K_Ratings'!K693, IF(bbgm_stat &gt;= perc_95, converted_stat * 3, IF(bbgm_stat &gt;= perc_90, converted_stat * 2, IF(bbgm_stat &gt;= perc_85, converted_stat * 1.5, converted_stat)))))</f>
        <v/>
      </c>
      <c r="L693" s="30" t="str">
        <f t="array" ref="L693">IF($A693="", "", LET(bbgm_stat, INDEX(Players!$A692:$P692, MATCH(L$2, Players!$A$1:$P$1, 0)), perc_75, VLOOKUP(L$2, Percentiles!$A$45:$I$59, 6, FALSE), perc_90, VLOOKUP(L$2, Percentiles!$A$45:$I$59, 7, FALSE), perc_95, VLOOKUP(L$2, Percentiles!$A$45:$I$59, 8, FALSE), perc_85, perc_75 + (perc_90 - perc_75) * (2/3), converted_stat, '2K_Ratings'!L693, IF(bbgm_stat &gt;= perc_95, converted_stat * 3, IF(bbgm_stat &gt;= perc_90, converted_stat * 2, IF(bbgm_stat &gt;= perc_85, converted_stat * 1.5, converted_stat)))))</f>
        <v/>
      </c>
      <c r="M693" s="30" t="str">
        <f t="array" ref="M693">IF($A693="", "", LET(bbgm_stat, INDEX(Players!$A692:$P692, MATCH(M$2, Players!$A$1:$P$1, 0)), perc_75, VLOOKUP(M$2, Percentiles!$A$45:$I$59, 6, FALSE), perc_90, VLOOKUP(M$2, Percentiles!$A$45:$I$59, 7, FALSE), perc_95, VLOOKUP(M$2, Percentiles!$A$45:$I$59, 8, FALSE), perc_85, perc_75 + (perc_90 - perc_75) * (2/3), converted_stat, '2K_Ratings'!M693, IF(bbgm_stat &gt;= perc_95, converted_stat * 3, IF(bbgm_stat &gt;= perc_90, converted_stat * 2, IF(bbgm_stat &gt;= perc_85, converted_stat * 1.5, converted_stat)))))</f>
        <v/>
      </c>
      <c r="N693" s="30" t="str">
        <f t="array" ref="N693">IF($A693="", "", LET(bbgm_stat, INDEX(Players!$A692:$P692, MATCH(N$2, Players!$A$1:$P$1, 0)), perc_75, VLOOKUP(N$2, Percentiles!$A$45:$I$59, 6, FALSE), perc_90, VLOOKUP(N$2, Percentiles!$A$45:$I$59, 7, FALSE), perc_95, VLOOKUP(N$2, Percentiles!$A$45:$I$59, 8, FALSE), perc_85, perc_75 + (perc_90 - perc_75) * (2/3), converted_stat, '2K_Ratings'!N693, IF(bbgm_stat &gt;= perc_95, converted_stat * 3, IF(bbgm_stat &gt;= perc_90, converted_stat * 2, IF(bbgm_stat &gt;= perc_85, converted_stat * 1.5, converted_stat)))))</f>
        <v/>
      </c>
      <c r="O693" s="30" t="str">
        <f t="array" ref="O693">IF($A693="", "", LET(bbgm_stat, INDEX(Players!$A692:$P692, MATCH(O$2, Players!$A$1:$P$1, 0)), perc_75, VLOOKUP(O$2, Percentiles!$A$45:$I$59, 6, FALSE), perc_90, VLOOKUP(O$2, Percentiles!$A$45:$I$59, 7, FALSE), perc_95, VLOOKUP(O$2, Percentiles!$A$45:$I$59, 8, FALSE), perc_85, perc_75 + (perc_90 - perc_75) * (2/3), converted_stat, '2K_Ratings'!O693, IF(bbgm_stat &gt;= perc_95, converted_stat * 3, IF(bbgm_stat &gt;= perc_90, converted_stat * 2, IF(bbgm_stat &gt;= perc_85, converted_stat * 1.5, converted_stat)))))</f>
        <v/>
      </c>
      <c r="P693" s="30" t="str">
        <f t="array" ref="P693">IF($A693="", "", LET(bbgm_stat, INDEX(Players!$A692:$P692, MATCH(P$2, Players!$A$1:$P$1, 0)), perc_75, VLOOKUP(P$2, Percentiles!$A$45:$I$59, 6, FALSE), perc_90, VLOOKUP(P$2, Percentiles!$A$45:$I$59, 7, FALSE), perc_95, VLOOKUP(P$2, Percentiles!$A$45:$I$59, 8, FALSE), perc_85, perc_75 + (perc_90 - perc_75) * (2/3), converted_stat, '2K_Ratings'!P693, IF(bbgm_stat &gt;= perc_95, converted_stat * 3, IF(bbgm_stat &gt;= perc_90, converted_stat * 2, IF(bbgm_stat &gt;= perc_85, converted_stat * 1.5, converted_stat)))))</f>
        <v/>
      </c>
      <c r="Q693" s="30" t="str">
        <f t="array" ref="Q693">IF($A693="", "", LET(bbgm_stat, INDEX(Players!$A692:$P692, MATCH(Q$2, Players!$A$1:$P$1, 0)), perc_75, VLOOKUP(Q$2, Percentiles!$A$45:$I$59, 6, FALSE), perc_90, VLOOKUP(Q$2, Percentiles!$A$45:$I$59, 7, FALSE), perc_95, VLOOKUP(Q$2, Percentiles!$A$45:$I$59, 8, FALSE), perc_85, perc_75 + (perc_90 - perc_75) * (2/3), converted_stat, '2K_Ratings'!Q693, IF(bbgm_stat &gt;= perc_95, converted_stat * 3, IF(bbgm_stat &gt;= perc_90, converted_stat * 2, IF(bbgm_stat &gt;= perc_85, converted_stat * 1.5, converted_stat)))))</f>
        <v/>
      </c>
      <c r="R693" s="30" t="str">
        <f t="array" ref="R693">IF($A693="", "", LET(bbgm_stat, INDEX(Players!$A692:$P692, MATCH(R$2, Players!$A$1:$P$1, 0)), perc_75, VLOOKUP(R$2, Percentiles!$A$45:$I$59, 6, FALSE), perc_90, VLOOKUP(R$2, Percentiles!$A$45:$I$59, 7, FALSE), perc_95, VLOOKUP(R$2, Percentiles!$A$45:$I$59, 8, FALSE), perc_85, perc_75 + (perc_90 - perc_75) * (2/3), converted_stat, '2K_Ratings'!R693, IF(bbgm_stat &gt;= perc_95, converted_stat * 3, IF(bbgm_stat &gt;= perc_90, converted_stat * 2, IF(bbgm_stat &gt;= perc_85, converted_stat * 1.5, converted_stat)))))</f>
        <v/>
      </c>
      <c r="S693" s="30" t="str">
        <f t="array" ref="S693">IF($A693="", "", LET(bbgm_stat, INDEX(Players!$A692:$P692, MATCH(S$2, Players!$A$1:$P$1, 0)), perc_75, VLOOKUP(S$2, Percentiles!$A$45:$I$59, 6, FALSE), perc_90, VLOOKUP(S$2, Percentiles!$A$45:$I$59, 7, FALSE), perc_95, VLOOKUP(S$2, Percentiles!$A$45:$I$59, 8, FALSE), perc_85, perc_75 + (perc_90 - perc_75) * (2/3), converted_stat, '2K_Ratings'!S693, IF(bbgm_stat &gt;= perc_95, converted_stat * 3, IF(bbgm_stat &gt;= perc_90, converted_stat * 2, IF(bbgm_stat &gt;= perc_85, converted_stat * 1.5, converted_stat)))))</f>
        <v/>
      </c>
      <c r="T693" s="30" t="str">
        <f t="array" ref="T693">IF($A693="", "", LET(bbgm_stat, INDEX(Players!$A692:$P692, MATCH(T$2, Players!$A$1:$P$1, 0)), perc_75, VLOOKUP(T$2, Percentiles!$A$45:$I$59, 6, FALSE), perc_90, VLOOKUP(T$2, Percentiles!$A$45:$I$59, 7, FALSE), perc_95, VLOOKUP(T$2, Percentiles!$A$45:$I$59, 8, FALSE), perc_85, perc_75 + (perc_90 - perc_75) * (2/3), converted_stat, '2K_Ratings'!T693, IF(bbgm_stat &gt;= perc_95, converted_stat * 3, IF(bbgm_stat &gt;= perc_90, converted_stat * 2, IF(bbgm_stat &gt;= perc_85, converted_stat * 1.5, converted_stat)))))</f>
        <v/>
      </c>
      <c r="U693" s="30" t="str">
        <f t="array" ref="U693">IF($A693="", "", LET(bbgm_stat, INDEX(Players!$A692:$P692, MATCH(U$2, Players!$A$1:$P$1, 0)), perc_75, VLOOKUP(U$2, Percentiles!$A$45:$I$59, 6, FALSE), perc_90, VLOOKUP(U$2, Percentiles!$A$45:$I$59, 7, FALSE), perc_95, VLOOKUP(U$2, Percentiles!$A$45:$I$59, 8, FALSE), perc_85, perc_75 + (perc_90 - perc_75) * (2/3), converted_stat, '2K_Ratings'!U693, IF(bbgm_stat &gt;= perc_95, converted_stat * 3, IF(bbgm_stat &gt;= perc_90, converted_stat * 2, IF(bbgm_stat &gt;= perc_85, converted_stat * 1.5, converted_stat)))))</f>
        <v/>
      </c>
      <c r="V693" s="30" t="str">
        <f t="array" ref="V693">IF($A693="", "", LET(bbgm_stat, INDEX(Players!$A692:$P692, MATCH(V$2, Players!$A$1:$P$1, 0)), perc_75, VLOOKUP(V$2, Percentiles!$A$45:$I$59, 6, FALSE), perc_90, VLOOKUP(V$2, Percentiles!$A$45:$I$59, 7, FALSE), perc_95, VLOOKUP(V$2, Percentiles!$A$45:$I$59, 8, FALSE), perc_85, perc_75 + (perc_90 - perc_75) * (2/3), converted_stat, '2K_Ratings'!V693, IF(bbgm_stat &gt;= perc_95, converted_stat * 3, IF(bbgm_stat &gt;= perc_90, converted_stat * 2, IF(bbgm_stat &gt;= perc_85, converted_stat * 1.5, converted_stat)))))</f>
        <v/>
      </c>
      <c r="W693" s="30" t="str">
        <f t="array" ref="W693">IF($A693="", "", LET(bbgm_stat, INDEX(Players!$A692:$P692, MATCH(W$2, Players!$A$1:$P$1, 0)), perc_75, VLOOKUP(W$2, Percentiles!$A$45:$I$59, 6, FALSE), perc_90, VLOOKUP(W$2, Percentiles!$A$45:$I$59, 7, FALSE), perc_95, VLOOKUP(W$2, Percentiles!$A$45:$I$59, 8, FALSE), perc_85, perc_75 + (perc_90 - perc_75) * (2/3), converted_stat, '2K_Ratings'!W693, IF(bbgm_stat &gt;= perc_95, converted_stat * 3, IF(bbgm_stat &gt;= perc_90, converted_stat * 2, IF(bbgm_stat &gt;= perc_85, converted_stat * 1.5, converted_stat)))))</f>
        <v/>
      </c>
    </row>
    <row r="694">
      <c r="A694" s="30"/>
      <c r="B694" s="30" t="str">
        <f t="array" ref="B694">IF($A694="", "", LET(bbgm_stat, INDEX(Players!$A693:$P693, MATCH(B$2, Players!$A$1:$P$1, 0)), perc_75, VLOOKUP(B$2, Percentiles!$A$45:$I$59, 6, FALSE), perc_90, VLOOKUP(B$2, Percentiles!$A$45:$I$59, 7, FALSE), perc_95, VLOOKUP(B$2, Percentiles!$A$45:$I$59, 8, FALSE), perc_85, perc_75 + (perc_90 - perc_75) * (2/3), converted_stat, '2K_Ratings'!B694, IF(bbgm_stat &gt;= perc_95, converted_stat * 3, IF(bbgm_stat &gt;= perc_90, converted_stat * 2, IF(bbgm_stat &gt;= perc_85, converted_stat * 1.5, converted_stat)))))</f>
        <v/>
      </c>
      <c r="C694" s="30" t="str">
        <f t="array" ref="C694">IF($A694="", "", LET(bbgm_stat, INDEX(Players!$A693:$P693, MATCH(C$2, Players!$A$1:$P$1, 0)), perc_75, VLOOKUP(C$2, Percentiles!$A$45:$I$59, 6, FALSE), perc_90, VLOOKUP(C$2, Percentiles!$A$45:$I$59, 7, FALSE), perc_95, VLOOKUP(C$2, Percentiles!$A$45:$I$59, 8, FALSE), perc_85, perc_75 + (perc_90 - perc_75) * (2/3), converted_stat, '2K_Ratings'!C694, IF(bbgm_stat &gt;= perc_95, converted_stat * 3, IF(bbgm_stat &gt;= perc_90, converted_stat * 2, IF(bbgm_stat &gt;= perc_85, converted_stat * 1.5, converted_stat)))))</f>
        <v/>
      </c>
      <c r="D694" s="30" t="str">
        <f t="array" ref="D694">IF($A694="", "", LET(bbgm_stat, INDEX(Players!$A693:$P693, MATCH(D$2, Players!$A$1:$P$1, 0)), perc_75, VLOOKUP(D$2, Percentiles!$A$45:$I$59, 6, FALSE), perc_90, VLOOKUP(D$2, Percentiles!$A$45:$I$59, 7, FALSE), perc_95, VLOOKUP(D$2, Percentiles!$A$45:$I$59, 8, FALSE), perc_85, perc_75 + (perc_90 - perc_75) * (2/3), converted_stat, '2K_Ratings'!D694, IF(bbgm_stat &gt;= perc_95, converted_stat * 3, IF(bbgm_stat &gt;= perc_90, converted_stat * 2, IF(bbgm_stat &gt;= perc_85, converted_stat * 1.5, converted_stat)))))</f>
        <v/>
      </c>
      <c r="E694" s="30" t="str">
        <f t="array" ref="E694">IF($A694="", "", LET(bbgm_stat, INDEX(Players!$A693:$P693, MATCH(E$2, Players!$A$1:$P$1, 0)), perc_75, VLOOKUP(E$2, Percentiles!$A$45:$I$59, 6, FALSE), perc_90, VLOOKUP(E$2, Percentiles!$A$45:$I$59, 7, FALSE), perc_95, VLOOKUP(E$2, Percentiles!$A$45:$I$59, 8, FALSE), perc_85, perc_75 + (perc_90 - perc_75) * (2/3), converted_stat, '2K_Ratings'!E694, IF(bbgm_stat &gt;= perc_95, converted_stat * 3, IF(bbgm_stat &gt;= perc_90, converted_stat * 2, IF(bbgm_stat &gt;= perc_85, converted_stat * 1.5, converted_stat)))))</f>
        <v/>
      </c>
      <c r="F694" s="30" t="str">
        <f t="array" ref="F694">IF($A694="", "", LET(bbgm_stat, INDEX(Players!$A693:$P693, MATCH(F$2, Players!$A$1:$P$1, 0)), perc_75, VLOOKUP(F$2, Percentiles!$A$45:$I$59, 6, FALSE), perc_90, VLOOKUP(F$2, Percentiles!$A$45:$I$59, 7, FALSE), perc_95, VLOOKUP(F$2, Percentiles!$A$45:$I$59, 8, FALSE), perc_85, perc_75 + (perc_90 - perc_75) * (2/3), converted_stat, '2K_Ratings'!F694, IF(bbgm_stat &gt;= perc_95, converted_stat * 3, IF(bbgm_stat &gt;= perc_90, converted_stat * 2, IF(bbgm_stat &gt;= perc_85, converted_stat * 1.5, converted_stat)))))</f>
        <v/>
      </c>
      <c r="G694" s="30" t="str">
        <f t="array" ref="G694">IF($A694="", "", LET(bbgm_stat, INDEX(Players!$A693:$P693, MATCH(G$2, Players!$A$1:$P$1, 0)), perc_75, VLOOKUP(G$2, Percentiles!$A$45:$I$59, 6, FALSE), perc_90, VLOOKUP(G$2, Percentiles!$A$45:$I$59, 7, FALSE), perc_95, VLOOKUP(G$2, Percentiles!$A$45:$I$59, 8, FALSE), perc_85, perc_75 + (perc_90 - perc_75) * (2/3), converted_stat, '2K_Ratings'!G694, IF(bbgm_stat &gt;= perc_95, converted_stat * 3, IF(bbgm_stat &gt;= perc_90, converted_stat * 2, IF(bbgm_stat &gt;= perc_85, converted_stat * 1.5, converted_stat)))))</f>
        <v/>
      </c>
      <c r="H694" s="30" t="str">
        <f t="array" ref="H694">IF($A694="", "", LET(bbgm_stat, INDEX(Players!$A693:$P693, MATCH(H$2, Players!$A$1:$P$1, 0)), perc_75, VLOOKUP(H$2, Percentiles!$A$45:$I$59, 6, FALSE), perc_90, VLOOKUP(H$2, Percentiles!$A$45:$I$59, 7, FALSE), perc_95, VLOOKUP(H$2, Percentiles!$A$45:$I$59, 8, FALSE), perc_85, perc_75 + (perc_90 - perc_75) * (2/3), converted_stat, '2K_Ratings'!H694, IF(bbgm_stat &gt;= perc_95, converted_stat * 3, IF(bbgm_stat &gt;= perc_90, converted_stat * 2, IF(bbgm_stat &gt;= perc_85, converted_stat * 1.5, converted_stat)))))</f>
        <v/>
      </c>
      <c r="I694" s="30" t="str">
        <f t="array" ref="I694">IF($A694="", "", LET(bbgm_stat, INDEX(Players!$A693:$P693, MATCH(I$2, Players!$A$1:$P$1, 0)), perc_75, VLOOKUP(I$2, Percentiles!$A$45:$I$59, 6, FALSE), perc_90, VLOOKUP(I$2, Percentiles!$A$45:$I$59, 7, FALSE), perc_95, VLOOKUP(I$2, Percentiles!$A$45:$I$59, 8, FALSE), perc_85, perc_75 + (perc_90 - perc_75) * (2/3), converted_stat, '2K_Ratings'!I694, IF(bbgm_stat &gt;= perc_95, converted_stat * 3, IF(bbgm_stat &gt;= perc_90, converted_stat * 2, IF(bbgm_stat &gt;= perc_85, converted_stat * 1.5, converted_stat)))))</f>
        <v/>
      </c>
      <c r="J694" s="30" t="str">
        <f t="array" ref="J694">IF($A694="", "", LET(bbgm_stat, INDEX(Players!$A693:$P693, MATCH(J$2, Players!$A$1:$P$1, 0)), perc_75, VLOOKUP(J$2, Percentiles!$A$45:$I$59, 6, FALSE), perc_90, VLOOKUP(J$2, Percentiles!$A$45:$I$59, 7, FALSE), perc_95, VLOOKUP(J$2, Percentiles!$A$45:$I$59, 8, FALSE), perc_85, perc_75 + (perc_90 - perc_75) * (2/3), converted_stat, '2K_Ratings'!J694, IF(bbgm_stat &gt;= perc_95, converted_stat * 3, IF(bbgm_stat &gt;= perc_90, converted_stat * 2, IF(bbgm_stat &gt;= perc_85, converted_stat * 1.5, converted_stat)))))</f>
        <v/>
      </c>
      <c r="K694" s="30" t="str">
        <f t="array" ref="K694">IF($A694="", "", LET(bbgm_stat, INDEX(Players!$A693:$P693, MATCH(K$2, Players!$A$1:$P$1, 0)), perc_75, VLOOKUP(K$2, Percentiles!$A$45:$I$59, 6, FALSE), perc_90, VLOOKUP(K$2, Percentiles!$A$45:$I$59, 7, FALSE), perc_95, VLOOKUP(K$2, Percentiles!$A$45:$I$59, 8, FALSE), perc_85, perc_75 + (perc_90 - perc_75) * (2/3), converted_stat, '2K_Ratings'!K694, IF(bbgm_stat &gt;= perc_95, converted_stat * 3, IF(bbgm_stat &gt;= perc_90, converted_stat * 2, IF(bbgm_stat &gt;= perc_85, converted_stat * 1.5, converted_stat)))))</f>
        <v/>
      </c>
      <c r="L694" s="30" t="str">
        <f t="array" ref="L694">IF($A694="", "", LET(bbgm_stat, INDEX(Players!$A693:$P693, MATCH(L$2, Players!$A$1:$P$1, 0)), perc_75, VLOOKUP(L$2, Percentiles!$A$45:$I$59, 6, FALSE), perc_90, VLOOKUP(L$2, Percentiles!$A$45:$I$59, 7, FALSE), perc_95, VLOOKUP(L$2, Percentiles!$A$45:$I$59, 8, FALSE), perc_85, perc_75 + (perc_90 - perc_75) * (2/3), converted_stat, '2K_Ratings'!L694, IF(bbgm_stat &gt;= perc_95, converted_stat * 3, IF(bbgm_stat &gt;= perc_90, converted_stat * 2, IF(bbgm_stat &gt;= perc_85, converted_stat * 1.5, converted_stat)))))</f>
        <v/>
      </c>
      <c r="M694" s="30" t="str">
        <f t="array" ref="M694">IF($A694="", "", LET(bbgm_stat, INDEX(Players!$A693:$P693, MATCH(M$2, Players!$A$1:$P$1, 0)), perc_75, VLOOKUP(M$2, Percentiles!$A$45:$I$59, 6, FALSE), perc_90, VLOOKUP(M$2, Percentiles!$A$45:$I$59, 7, FALSE), perc_95, VLOOKUP(M$2, Percentiles!$A$45:$I$59, 8, FALSE), perc_85, perc_75 + (perc_90 - perc_75) * (2/3), converted_stat, '2K_Ratings'!M694, IF(bbgm_stat &gt;= perc_95, converted_stat * 3, IF(bbgm_stat &gt;= perc_90, converted_stat * 2, IF(bbgm_stat &gt;= perc_85, converted_stat * 1.5, converted_stat)))))</f>
        <v/>
      </c>
      <c r="N694" s="30" t="str">
        <f t="array" ref="N694">IF($A694="", "", LET(bbgm_stat, INDEX(Players!$A693:$P693, MATCH(N$2, Players!$A$1:$P$1, 0)), perc_75, VLOOKUP(N$2, Percentiles!$A$45:$I$59, 6, FALSE), perc_90, VLOOKUP(N$2, Percentiles!$A$45:$I$59, 7, FALSE), perc_95, VLOOKUP(N$2, Percentiles!$A$45:$I$59, 8, FALSE), perc_85, perc_75 + (perc_90 - perc_75) * (2/3), converted_stat, '2K_Ratings'!N694, IF(bbgm_stat &gt;= perc_95, converted_stat * 3, IF(bbgm_stat &gt;= perc_90, converted_stat * 2, IF(bbgm_stat &gt;= perc_85, converted_stat * 1.5, converted_stat)))))</f>
        <v/>
      </c>
      <c r="O694" s="30" t="str">
        <f t="array" ref="O694">IF($A694="", "", LET(bbgm_stat, INDEX(Players!$A693:$P693, MATCH(O$2, Players!$A$1:$P$1, 0)), perc_75, VLOOKUP(O$2, Percentiles!$A$45:$I$59, 6, FALSE), perc_90, VLOOKUP(O$2, Percentiles!$A$45:$I$59, 7, FALSE), perc_95, VLOOKUP(O$2, Percentiles!$A$45:$I$59, 8, FALSE), perc_85, perc_75 + (perc_90 - perc_75) * (2/3), converted_stat, '2K_Ratings'!O694, IF(bbgm_stat &gt;= perc_95, converted_stat * 3, IF(bbgm_stat &gt;= perc_90, converted_stat * 2, IF(bbgm_stat &gt;= perc_85, converted_stat * 1.5, converted_stat)))))</f>
        <v/>
      </c>
      <c r="P694" s="30" t="str">
        <f t="array" ref="P694">IF($A694="", "", LET(bbgm_stat, INDEX(Players!$A693:$P693, MATCH(P$2, Players!$A$1:$P$1, 0)), perc_75, VLOOKUP(P$2, Percentiles!$A$45:$I$59, 6, FALSE), perc_90, VLOOKUP(P$2, Percentiles!$A$45:$I$59, 7, FALSE), perc_95, VLOOKUP(P$2, Percentiles!$A$45:$I$59, 8, FALSE), perc_85, perc_75 + (perc_90 - perc_75) * (2/3), converted_stat, '2K_Ratings'!P694, IF(bbgm_stat &gt;= perc_95, converted_stat * 3, IF(bbgm_stat &gt;= perc_90, converted_stat * 2, IF(bbgm_stat &gt;= perc_85, converted_stat * 1.5, converted_stat)))))</f>
        <v/>
      </c>
      <c r="Q694" s="30" t="str">
        <f t="array" ref="Q694">IF($A694="", "", LET(bbgm_stat, INDEX(Players!$A693:$P693, MATCH(Q$2, Players!$A$1:$P$1, 0)), perc_75, VLOOKUP(Q$2, Percentiles!$A$45:$I$59, 6, FALSE), perc_90, VLOOKUP(Q$2, Percentiles!$A$45:$I$59, 7, FALSE), perc_95, VLOOKUP(Q$2, Percentiles!$A$45:$I$59, 8, FALSE), perc_85, perc_75 + (perc_90 - perc_75) * (2/3), converted_stat, '2K_Ratings'!Q694, IF(bbgm_stat &gt;= perc_95, converted_stat * 3, IF(bbgm_stat &gt;= perc_90, converted_stat * 2, IF(bbgm_stat &gt;= perc_85, converted_stat * 1.5, converted_stat)))))</f>
        <v/>
      </c>
      <c r="R694" s="30" t="str">
        <f t="array" ref="R694">IF($A694="", "", LET(bbgm_stat, INDEX(Players!$A693:$P693, MATCH(R$2, Players!$A$1:$P$1, 0)), perc_75, VLOOKUP(R$2, Percentiles!$A$45:$I$59, 6, FALSE), perc_90, VLOOKUP(R$2, Percentiles!$A$45:$I$59, 7, FALSE), perc_95, VLOOKUP(R$2, Percentiles!$A$45:$I$59, 8, FALSE), perc_85, perc_75 + (perc_90 - perc_75) * (2/3), converted_stat, '2K_Ratings'!R694, IF(bbgm_stat &gt;= perc_95, converted_stat * 3, IF(bbgm_stat &gt;= perc_90, converted_stat * 2, IF(bbgm_stat &gt;= perc_85, converted_stat * 1.5, converted_stat)))))</f>
        <v/>
      </c>
      <c r="S694" s="30" t="str">
        <f t="array" ref="S694">IF($A694="", "", LET(bbgm_stat, INDEX(Players!$A693:$P693, MATCH(S$2, Players!$A$1:$P$1, 0)), perc_75, VLOOKUP(S$2, Percentiles!$A$45:$I$59, 6, FALSE), perc_90, VLOOKUP(S$2, Percentiles!$A$45:$I$59, 7, FALSE), perc_95, VLOOKUP(S$2, Percentiles!$A$45:$I$59, 8, FALSE), perc_85, perc_75 + (perc_90 - perc_75) * (2/3), converted_stat, '2K_Ratings'!S694, IF(bbgm_stat &gt;= perc_95, converted_stat * 3, IF(bbgm_stat &gt;= perc_90, converted_stat * 2, IF(bbgm_stat &gt;= perc_85, converted_stat * 1.5, converted_stat)))))</f>
        <v/>
      </c>
      <c r="T694" s="30" t="str">
        <f t="array" ref="T694">IF($A694="", "", LET(bbgm_stat, INDEX(Players!$A693:$P693, MATCH(T$2, Players!$A$1:$P$1, 0)), perc_75, VLOOKUP(T$2, Percentiles!$A$45:$I$59, 6, FALSE), perc_90, VLOOKUP(T$2, Percentiles!$A$45:$I$59, 7, FALSE), perc_95, VLOOKUP(T$2, Percentiles!$A$45:$I$59, 8, FALSE), perc_85, perc_75 + (perc_90 - perc_75) * (2/3), converted_stat, '2K_Ratings'!T694, IF(bbgm_stat &gt;= perc_95, converted_stat * 3, IF(bbgm_stat &gt;= perc_90, converted_stat * 2, IF(bbgm_stat &gt;= perc_85, converted_stat * 1.5, converted_stat)))))</f>
        <v/>
      </c>
      <c r="U694" s="30" t="str">
        <f t="array" ref="U694">IF($A694="", "", LET(bbgm_stat, INDEX(Players!$A693:$P693, MATCH(U$2, Players!$A$1:$P$1, 0)), perc_75, VLOOKUP(U$2, Percentiles!$A$45:$I$59, 6, FALSE), perc_90, VLOOKUP(U$2, Percentiles!$A$45:$I$59, 7, FALSE), perc_95, VLOOKUP(U$2, Percentiles!$A$45:$I$59, 8, FALSE), perc_85, perc_75 + (perc_90 - perc_75) * (2/3), converted_stat, '2K_Ratings'!U694, IF(bbgm_stat &gt;= perc_95, converted_stat * 3, IF(bbgm_stat &gt;= perc_90, converted_stat * 2, IF(bbgm_stat &gt;= perc_85, converted_stat * 1.5, converted_stat)))))</f>
        <v/>
      </c>
      <c r="V694" s="30" t="str">
        <f t="array" ref="V694">IF($A694="", "", LET(bbgm_stat, INDEX(Players!$A693:$P693, MATCH(V$2, Players!$A$1:$P$1, 0)), perc_75, VLOOKUP(V$2, Percentiles!$A$45:$I$59, 6, FALSE), perc_90, VLOOKUP(V$2, Percentiles!$A$45:$I$59, 7, FALSE), perc_95, VLOOKUP(V$2, Percentiles!$A$45:$I$59, 8, FALSE), perc_85, perc_75 + (perc_90 - perc_75) * (2/3), converted_stat, '2K_Ratings'!V694, IF(bbgm_stat &gt;= perc_95, converted_stat * 3, IF(bbgm_stat &gt;= perc_90, converted_stat * 2, IF(bbgm_stat &gt;= perc_85, converted_stat * 1.5, converted_stat)))))</f>
        <v/>
      </c>
      <c r="W694" s="30" t="str">
        <f t="array" ref="W694">IF($A694="", "", LET(bbgm_stat, INDEX(Players!$A693:$P693, MATCH(W$2, Players!$A$1:$P$1, 0)), perc_75, VLOOKUP(W$2, Percentiles!$A$45:$I$59, 6, FALSE), perc_90, VLOOKUP(W$2, Percentiles!$A$45:$I$59, 7, FALSE), perc_95, VLOOKUP(W$2, Percentiles!$A$45:$I$59, 8, FALSE), perc_85, perc_75 + (perc_90 - perc_75) * (2/3), converted_stat, '2K_Ratings'!W694, IF(bbgm_stat &gt;= perc_95, converted_stat * 3, IF(bbgm_stat &gt;= perc_90, converted_stat * 2, IF(bbgm_stat &gt;= perc_85, converted_stat * 1.5, converted_stat)))))</f>
        <v/>
      </c>
    </row>
    <row r="695">
      <c r="A695" s="30"/>
      <c r="B695" s="30" t="str">
        <f t="array" ref="B695">IF($A695="", "", LET(bbgm_stat, INDEX(Players!$A694:$P694, MATCH(B$2, Players!$A$1:$P$1, 0)), perc_75, VLOOKUP(B$2, Percentiles!$A$45:$I$59, 6, FALSE), perc_90, VLOOKUP(B$2, Percentiles!$A$45:$I$59, 7, FALSE), perc_95, VLOOKUP(B$2, Percentiles!$A$45:$I$59, 8, FALSE), perc_85, perc_75 + (perc_90 - perc_75) * (2/3), converted_stat, '2K_Ratings'!B695, IF(bbgm_stat &gt;= perc_95, converted_stat * 3, IF(bbgm_stat &gt;= perc_90, converted_stat * 2, IF(bbgm_stat &gt;= perc_85, converted_stat * 1.5, converted_stat)))))</f>
        <v/>
      </c>
      <c r="C695" s="30" t="str">
        <f t="array" ref="C695">IF($A695="", "", LET(bbgm_stat, INDEX(Players!$A694:$P694, MATCH(C$2, Players!$A$1:$P$1, 0)), perc_75, VLOOKUP(C$2, Percentiles!$A$45:$I$59, 6, FALSE), perc_90, VLOOKUP(C$2, Percentiles!$A$45:$I$59, 7, FALSE), perc_95, VLOOKUP(C$2, Percentiles!$A$45:$I$59, 8, FALSE), perc_85, perc_75 + (perc_90 - perc_75) * (2/3), converted_stat, '2K_Ratings'!C695, IF(bbgm_stat &gt;= perc_95, converted_stat * 3, IF(bbgm_stat &gt;= perc_90, converted_stat * 2, IF(bbgm_stat &gt;= perc_85, converted_stat * 1.5, converted_stat)))))</f>
        <v/>
      </c>
      <c r="D695" s="30" t="str">
        <f t="array" ref="D695">IF($A695="", "", LET(bbgm_stat, INDEX(Players!$A694:$P694, MATCH(D$2, Players!$A$1:$P$1, 0)), perc_75, VLOOKUP(D$2, Percentiles!$A$45:$I$59, 6, FALSE), perc_90, VLOOKUP(D$2, Percentiles!$A$45:$I$59, 7, FALSE), perc_95, VLOOKUP(D$2, Percentiles!$A$45:$I$59, 8, FALSE), perc_85, perc_75 + (perc_90 - perc_75) * (2/3), converted_stat, '2K_Ratings'!D695, IF(bbgm_stat &gt;= perc_95, converted_stat * 3, IF(bbgm_stat &gt;= perc_90, converted_stat * 2, IF(bbgm_stat &gt;= perc_85, converted_stat * 1.5, converted_stat)))))</f>
        <v/>
      </c>
      <c r="E695" s="30" t="str">
        <f t="array" ref="E695">IF($A695="", "", LET(bbgm_stat, INDEX(Players!$A694:$P694, MATCH(E$2, Players!$A$1:$P$1, 0)), perc_75, VLOOKUP(E$2, Percentiles!$A$45:$I$59, 6, FALSE), perc_90, VLOOKUP(E$2, Percentiles!$A$45:$I$59, 7, FALSE), perc_95, VLOOKUP(E$2, Percentiles!$A$45:$I$59, 8, FALSE), perc_85, perc_75 + (perc_90 - perc_75) * (2/3), converted_stat, '2K_Ratings'!E695, IF(bbgm_stat &gt;= perc_95, converted_stat * 3, IF(bbgm_stat &gt;= perc_90, converted_stat * 2, IF(bbgm_stat &gt;= perc_85, converted_stat * 1.5, converted_stat)))))</f>
        <v/>
      </c>
      <c r="F695" s="30" t="str">
        <f t="array" ref="F695">IF($A695="", "", LET(bbgm_stat, INDEX(Players!$A694:$P694, MATCH(F$2, Players!$A$1:$P$1, 0)), perc_75, VLOOKUP(F$2, Percentiles!$A$45:$I$59, 6, FALSE), perc_90, VLOOKUP(F$2, Percentiles!$A$45:$I$59, 7, FALSE), perc_95, VLOOKUP(F$2, Percentiles!$A$45:$I$59, 8, FALSE), perc_85, perc_75 + (perc_90 - perc_75) * (2/3), converted_stat, '2K_Ratings'!F695, IF(bbgm_stat &gt;= perc_95, converted_stat * 3, IF(bbgm_stat &gt;= perc_90, converted_stat * 2, IF(bbgm_stat &gt;= perc_85, converted_stat * 1.5, converted_stat)))))</f>
        <v/>
      </c>
      <c r="G695" s="30" t="str">
        <f t="array" ref="G695">IF($A695="", "", LET(bbgm_stat, INDEX(Players!$A694:$P694, MATCH(G$2, Players!$A$1:$P$1, 0)), perc_75, VLOOKUP(G$2, Percentiles!$A$45:$I$59, 6, FALSE), perc_90, VLOOKUP(G$2, Percentiles!$A$45:$I$59, 7, FALSE), perc_95, VLOOKUP(G$2, Percentiles!$A$45:$I$59, 8, FALSE), perc_85, perc_75 + (perc_90 - perc_75) * (2/3), converted_stat, '2K_Ratings'!G695, IF(bbgm_stat &gt;= perc_95, converted_stat * 3, IF(bbgm_stat &gt;= perc_90, converted_stat * 2, IF(bbgm_stat &gt;= perc_85, converted_stat * 1.5, converted_stat)))))</f>
        <v/>
      </c>
      <c r="H695" s="30" t="str">
        <f t="array" ref="H695">IF($A695="", "", LET(bbgm_stat, INDEX(Players!$A694:$P694, MATCH(H$2, Players!$A$1:$P$1, 0)), perc_75, VLOOKUP(H$2, Percentiles!$A$45:$I$59, 6, FALSE), perc_90, VLOOKUP(H$2, Percentiles!$A$45:$I$59, 7, FALSE), perc_95, VLOOKUP(H$2, Percentiles!$A$45:$I$59, 8, FALSE), perc_85, perc_75 + (perc_90 - perc_75) * (2/3), converted_stat, '2K_Ratings'!H695, IF(bbgm_stat &gt;= perc_95, converted_stat * 3, IF(bbgm_stat &gt;= perc_90, converted_stat * 2, IF(bbgm_stat &gt;= perc_85, converted_stat * 1.5, converted_stat)))))</f>
        <v/>
      </c>
      <c r="I695" s="30" t="str">
        <f t="array" ref="I695">IF($A695="", "", LET(bbgm_stat, INDEX(Players!$A694:$P694, MATCH(I$2, Players!$A$1:$P$1, 0)), perc_75, VLOOKUP(I$2, Percentiles!$A$45:$I$59, 6, FALSE), perc_90, VLOOKUP(I$2, Percentiles!$A$45:$I$59, 7, FALSE), perc_95, VLOOKUP(I$2, Percentiles!$A$45:$I$59, 8, FALSE), perc_85, perc_75 + (perc_90 - perc_75) * (2/3), converted_stat, '2K_Ratings'!I695, IF(bbgm_stat &gt;= perc_95, converted_stat * 3, IF(bbgm_stat &gt;= perc_90, converted_stat * 2, IF(bbgm_stat &gt;= perc_85, converted_stat * 1.5, converted_stat)))))</f>
        <v/>
      </c>
      <c r="J695" s="30" t="str">
        <f t="array" ref="J695">IF($A695="", "", LET(bbgm_stat, INDEX(Players!$A694:$P694, MATCH(J$2, Players!$A$1:$P$1, 0)), perc_75, VLOOKUP(J$2, Percentiles!$A$45:$I$59, 6, FALSE), perc_90, VLOOKUP(J$2, Percentiles!$A$45:$I$59, 7, FALSE), perc_95, VLOOKUP(J$2, Percentiles!$A$45:$I$59, 8, FALSE), perc_85, perc_75 + (perc_90 - perc_75) * (2/3), converted_stat, '2K_Ratings'!J695, IF(bbgm_stat &gt;= perc_95, converted_stat * 3, IF(bbgm_stat &gt;= perc_90, converted_stat * 2, IF(bbgm_stat &gt;= perc_85, converted_stat * 1.5, converted_stat)))))</f>
        <v/>
      </c>
      <c r="K695" s="30" t="str">
        <f t="array" ref="K695">IF($A695="", "", LET(bbgm_stat, INDEX(Players!$A694:$P694, MATCH(K$2, Players!$A$1:$P$1, 0)), perc_75, VLOOKUP(K$2, Percentiles!$A$45:$I$59, 6, FALSE), perc_90, VLOOKUP(K$2, Percentiles!$A$45:$I$59, 7, FALSE), perc_95, VLOOKUP(K$2, Percentiles!$A$45:$I$59, 8, FALSE), perc_85, perc_75 + (perc_90 - perc_75) * (2/3), converted_stat, '2K_Ratings'!K695, IF(bbgm_stat &gt;= perc_95, converted_stat * 3, IF(bbgm_stat &gt;= perc_90, converted_stat * 2, IF(bbgm_stat &gt;= perc_85, converted_stat * 1.5, converted_stat)))))</f>
        <v/>
      </c>
      <c r="L695" s="30" t="str">
        <f t="array" ref="L695">IF($A695="", "", LET(bbgm_stat, INDEX(Players!$A694:$P694, MATCH(L$2, Players!$A$1:$P$1, 0)), perc_75, VLOOKUP(L$2, Percentiles!$A$45:$I$59, 6, FALSE), perc_90, VLOOKUP(L$2, Percentiles!$A$45:$I$59, 7, FALSE), perc_95, VLOOKUP(L$2, Percentiles!$A$45:$I$59, 8, FALSE), perc_85, perc_75 + (perc_90 - perc_75) * (2/3), converted_stat, '2K_Ratings'!L695, IF(bbgm_stat &gt;= perc_95, converted_stat * 3, IF(bbgm_stat &gt;= perc_90, converted_stat * 2, IF(bbgm_stat &gt;= perc_85, converted_stat * 1.5, converted_stat)))))</f>
        <v/>
      </c>
      <c r="M695" s="30" t="str">
        <f t="array" ref="M695">IF($A695="", "", LET(bbgm_stat, INDEX(Players!$A694:$P694, MATCH(M$2, Players!$A$1:$P$1, 0)), perc_75, VLOOKUP(M$2, Percentiles!$A$45:$I$59, 6, FALSE), perc_90, VLOOKUP(M$2, Percentiles!$A$45:$I$59, 7, FALSE), perc_95, VLOOKUP(M$2, Percentiles!$A$45:$I$59, 8, FALSE), perc_85, perc_75 + (perc_90 - perc_75) * (2/3), converted_stat, '2K_Ratings'!M695, IF(bbgm_stat &gt;= perc_95, converted_stat * 3, IF(bbgm_stat &gt;= perc_90, converted_stat * 2, IF(bbgm_stat &gt;= perc_85, converted_stat * 1.5, converted_stat)))))</f>
        <v/>
      </c>
      <c r="N695" s="30" t="str">
        <f t="array" ref="N695">IF($A695="", "", LET(bbgm_stat, INDEX(Players!$A694:$P694, MATCH(N$2, Players!$A$1:$P$1, 0)), perc_75, VLOOKUP(N$2, Percentiles!$A$45:$I$59, 6, FALSE), perc_90, VLOOKUP(N$2, Percentiles!$A$45:$I$59, 7, FALSE), perc_95, VLOOKUP(N$2, Percentiles!$A$45:$I$59, 8, FALSE), perc_85, perc_75 + (perc_90 - perc_75) * (2/3), converted_stat, '2K_Ratings'!N695, IF(bbgm_stat &gt;= perc_95, converted_stat * 3, IF(bbgm_stat &gt;= perc_90, converted_stat * 2, IF(bbgm_stat &gt;= perc_85, converted_stat * 1.5, converted_stat)))))</f>
        <v/>
      </c>
      <c r="O695" s="30" t="str">
        <f t="array" ref="O695">IF($A695="", "", LET(bbgm_stat, INDEX(Players!$A694:$P694, MATCH(O$2, Players!$A$1:$P$1, 0)), perc_75, VLOOKUP(O$2, Percentiles!$A$45:$I$59, 6, FALSE), perc_90, VLOOKUP(O$2, Percentiles!$A$45:$I$59, 7, FALSE), perc_95, VLOOKUP(O$2, Percentiles!$A$45:$I$59, 8, FALSE), perc_85, perc_75 + (perc_90 - perc_75) * (2/3), converted_stat, '2K_Ratings'!O695, IF(bbgm_stat &gt;= perc_95, converted_stat * 3, IF(bbgm_stat &gt;= perc_90, converted_stat * 2, IF(bbgm_stat &gt;= perc_85, converted_stat * 1.5, converted_stat)))))</f>
        <v/>
      </c>
      <c r="P695" s="30" t="str">
        <f t="array" ref="P695">IF($A695="", "", LET(bbgm_stat, INDEX(Players!$A694:$P694, MATCH(P$2, Players!$A$1:$P$1, 0)), perc_75, VLOOKUP(P$2, Percentiles!$A$45:$I$59, 6, FALSE), perc_90, VLOOKUP(P$2, Percentiles!$A$45:$I$59, 7, FALSE), perc_95, VLOOKUP(P$2, Percentiles!$A$45:$I$59, 8, FALSE), perc_85, perc_75 + (perc_90 - perc_75) * (2/3), converted_stat, '2K_Ratings'!P695, IF(bbgm_stat &gt;= perc_95, converted_stat * 3, IF(bbgm_stat &gt;= perc_90, converted_stat * 2, IF(bbgm_stat &gt;= perc_85, converted_stat * 1.5, converted_stat)))))</f>
        <v/>
      </c>
      <c r="Q695" s="30" t="str">
        <f t="array" ref="Q695">IF($A695="", "", LET(bbgm_stat, INDEX(Players!$A694:$P694, MATCH(Q$2, Players!$A$1:$P$1, 0)), perc_75, VLOOKUP(Q$2, Percentiles!$A$45:$I$59, 6, FALSE), perc_90, VLOOKUP(Q$2, Percentiles!$A$45:$I$59, 7, FALSE), perc_95, VLOOKUP(Q$2, Percentiles!$A$45:$I$59, 8, FALSE), perc_85, perc_75 + (perc_90 - perc_75) * (2/3), converted_stat, '2K_Ratings'!Q695, IF(bbgm_stat &gt;= perc_95, converted_stat * 3, IF(bbgm_stat &gt;= perc_90, converted_stat * 2, IF(bbgm_stat &gt;= perc_85, converted_stat * 1.5, converted_stat)))))</f>
        <v/>
      </c>
      <c r="R695" s="30" t="str">
        <f t="array" ref="R695">IF($A695="", "", LET(bbgm_stat, INDEX(Players!$A694:$P694, MATCH(R$2, Players!$A$1:$P$1, 0)), perc_75, VLOOKUP(R$2, Percentiles!$A$45:$I$59, 6, FALSE), perc_90, VLOOKUP(R$2, Percentiles!$A$45:$I$59, 7, FALSE), perc_95, VLOOKUP(R$2, Percentiles!$A$45:$I$59, 8, FALSE), perc_85, perc_75 + (perc_90 - perc_75) * (2/3), converted_stat, '2K_Ratings'!R695, IF(bbgm_stat &gt;= perc_95, converted_stat * 3, IF(bbgm_stat &gt;= perc_90, converted_stat * 2, IF(bbgm_stat &gt;= perc_85, converted_stat * 1.5, converted_stat)))))</f>
        <v/>
      </c>
      <c r="S695" s="30" t="str">
        <f t="array" ref="S695">IF($A695="", "", LET(bbgm_stat, INDEX(Players!$A694:$P694, MATCH(S$2, Players!$A$1:$P$1, 0)), perc_75, VLOOKUP(S$2, Percentiles!$A$45:$I$59, 6, FALSE), perc_90, VLOOKUP(S$2, Percentiles!$A$45:$I$59, 7, FALSE), perc_95, VLOOKUP(S$2, Percentiles!$A$45:$I$59, 8, FALSE), perc_85, perc_75 + (perc_90 - perc_75) * (2/3), converted_stat, '2K_Ratings'!S695, IF(bbgm_stat &gt;= perc_95, converted_stat * 3, IF(bbgm_stat &gt;= perc_90, converted_stat * 2, IF(bbgm_stat &gt;= perc_85, converted_stat * 1.5, converted_stat)))))</f>
        <v/>
      </c>
      <c r="T695" s="30" t="str">
        <f t="array" ref="T695">IF($A695="", "", LET(bbgm_stat, INDEX(Players!$A694:$P694, MATCH(T$2, Players!$A$1:$P$1, 0)), perc_75, VLOOKUP(T$2, Percentiles!$A$45:$I$59, 6, FALSE), perc_90, VLOOKUP(T$2, Percentiles!$A$45:$I$59, 7, FALSE), perc_95, VLOOKUP(T$2, Percentiles!$A$45:$I$59, 8, FALSE), perc_85, perc_75 + (perc_90 - perc_75) * (2/3), converted_stat, '2K_Ratings'!T695, IF(bbgm_stat &gt;= perc_95, converted_stat * 3, IF(bbgm_stat &gt;= perc_90, converted_stat * 2, IF(bbgm_stat &gt;= perc_85, converted_stat * 1.5, converted_stat)))))</f>
        <v/>
      </c>
      <c r="U695" s="30" t="str">
        <f t="array" ref="U695">IF($A695="", "", LET(bbgm_stat, INDEX(Players!$A694:$P694, MATCH(U$2, Players!$A$1:$P$1, 0)), perc_75, VLOOKUP(U$2, Percentiles!$A$45:$I$59, 6, FALSE), perc_90, VLOOKUP(U$2, Percentiles!$A$45:$I$59, 7, FALSE), perc_95, VLOOKUP(U$2, Percentiles!$A$45:$I$59, 8, FALSE), perc_85, perc_75 + (perc_90 - perc_75) * (2/3), converted_stat, '2K_Ratings'!U695, IF(bbgm_stat &gt;= perc_95, converted_stat * 3, IF(bbgm_stat &gt;= perc_90, converted_stat * 2, IF(bbgm_stat &gt;= perc_85, converted_stat * 1.5, converted_stat)))))</f>
        <v/>
      </c>
      <c r="V695" s="30" t="str">
        <f t="array" ref="V695">IF($A695="", "", LET(bbgm_stat, INDEX(Players!$A694:$P694, MATCH(V$2, Players!$A$1:$P$1, 0)), perc_75, VLOOKUP(V$2, Percentiles!$A$45:$I$59, 6, FALSE), perc_90, VLOOKUP(V$2, Percentiles!$A$45:$I$59, 7, FALSE), perc_95, VLOOKUP(V$2, Percentiles!$A$45:$I$59, 8, FALSE), perc_85, perc_75 + (perc_90 - perc_75) * (2/3), converted_stat, '2K_Ratings'!V695, IF(bbgm_stat &gt;= perc_95, converted_stat * 3, IF(bbgm_stat &gt;= perc_90, converted_stat * 2, IF(bbgm_stat &gt;= perc_85, converted_stat * 1.5, converted_stat)))))</f>
        <v/>
      </c>
      <c r="W695" s="30" t="str">
        <f t="array" ref="W695">IF($A695="", "", LET(bbgm_stat, INDEX(Players!$A694:$P694, MATCH(W$2, Players!$A$1:$P$1, 0)), perc_75, VLOOKUP(W$2, Percentiles!$A$45:$I$59, 6, FALSE), perc_90, VLOOKUP(W$2, Percentiles!$A$45:$I$59, 7, FALSE), perc_95, VLOOKUP(W$2, Percentiles!$A$45:$I$59, 8, FALSE), perc_85, perc_75 + (perc_90 - perc_75) * (2/3), converted_stat, '2K_Ratings'!W695, IF(bbgm_stat &gt;= perc_95, converted_stat * 3, IF(bbgm_stat &gt;= perc_90, converted_stat * 2, IF(bbgm_stat &gt;= perc_85, converted_stat * 1.5, converted_stat)))))</f>
        <v/>
      </c>
    </row>
    <row r="696">
      <c r="A696" s="30"/>
      <c r="B696" s="30" t="str">
        <f t="array" ref="B696">IF($A696="", "", LET(bbgm_stat, INDEX(Players!$A695:$P695, MATCH(B$2, Players!$A$1:$P$1, 0)), perc_75, VLOOKUP(B$2, Percentiles!$A$45:$I$59, 6, FALSE), perc_90, VLOOKUP(B$2, Percentiles!$A$45:$I$59, 7, FALSE), perc_95, VLOOKUP(B$2, Percentiles!$A$45:$I$59, 8, FALSE), perc_85, perc_75 + (perc_90 - perc_75) * (2/3), converted_stat, '2K_Ratings'!B696, IF(bbgm_stat &gt;= perc_95, converted_stat * 3, IF(bbgm_stat &gt;= perc_90, converted_stat * 2, IF(bbgm_stat &gt;= perc_85, converted_stat * 1.5, converted_stat)))))</f>
        <v/>
      </c>
      <c r="C696" s="30" t="str">
        <f t="array" ref="C696">IF($A696="", "", LET(bbgm_stat, INDEX(Players!$A695:$P695, MATCH(C$2, Players!$A$1:$P$1, 0)), perc_75, VLOOKUP(C$2, Percentiles!$A$45:$I$59, 6, FALSE), perc_90, VLOOKUP(C$2, Percentiles!$A$45:$I$59, 7, FALSE), perc_95, VLOOKUP(C$2, Percentiles!$A$45:$I$59, 8, FALSE), perc_85, perc_75 + (perc_90 - perc_75) * (2/3), converted_stat, '2K_Ratings'!C696, IF(bbgm_stat &gt;= perc_95, converted_stat * 3, IF(bbgm_stat &gt;= perc_90, converted_stat * 2, IF(bbgm_stat &gt;= perc_85, converted_stat * 1.5, converted_stat)))))</f>
        <v/>
      </c>
      <c r="D696" s="30" t="str">
        <f t="array" ref="D696">IF($A696="", "", LET(bbgm_stat, INDEX(Players!$A695:$P695, MATCH(D$2, Players!$A$1:$P$1, 0)), perc_75, VLOOKUP(D$2, Percentiles!$A$45:$I$59, 6, FALSE), perc_90, VLOOKUP(D$2, Percentiles!$A$45:$I$59, 7, FALSE), perc_95, VLOOKUP(D$2, Percentiles!$A$45:$I$59, 8, FALSE), perc_85, perc_75 + (perc_90 - perc_75) * (2/3), converted_stat, '2K_Ratings'!D696, IF(bbgm_stat &gt;= perc_95, converted_stat * 3, IF(bbgm_stat &gt;= perc_90, converted_stat * 2, IF(bbgm_stat &gt;= perc_85, converted_stat * 1.5, converted_stat)))))</f>
        <v/>
      </c>
      <c r="E696" s="30" t="str">
        <f t="array" ref="E696">IF($A696="", "", LET(bbgm_stat, INDEX(Players!$A695:$P695, MATCH(E$2, Players!$A$1:$P$1, 0)), perc_75, VLOOKUP(E$2, Percentiles!$A$45:$I$59, 6, FALSE), perc_90, VLOOKUP(E$2, Percentiles!$A$45:$I$59, 7, FALSE), perc_95, VLOOKUP(E$2, Percentiles!$A$45:$I$59, 8, FALSE), perc_85, perc_75 + (perc_90 - perc_75) * (2/3), converted_stat, '2K_Ratings'!E696, IF(bbgm_stat &gt;= perc_95, converted_stat * 3, IF(bbgm_stat &gt;= perc_90, converted_stat * 2, IF(bbgm_stat &gt;= perc_85, converted_stat * 1.5, converted_stat)))))</f>
        <v/>
      </c>
      <c r="F696" s="30" t="str">
        <f t="array" ref="F696">IF($A696="", "", LET(bbgm_stat, INDEX(Players!$A695:$P695, MATCH(F$2, Players!$A$1:$P$1, 0)), perc_75, VLOOKUP(F$2, Percentiles!$A$45:$I$59, 6, FALSE), perc_90, VLOOKUP(F$2, Percentiles!$A$45:$I$59, 7, FALSE), perc_95, VLOOKUP(F$2, Percentiles!$A$45:$I$59, 8, FALSE), perc_85, perc_75 + (perc_90 - perc_75) * (2/3), converted_stat, '2K_Ratings'!F696, IF(bbgm_stat &gt;= perc_95, converted_stat * 3, IF(bbgm_stat &gt;= perc_90, converted_stat * 2, IF(bbgm_stat &gt;= perc_85, converted_stat * 1.5, converted_stat)))))</f>
        <v/>
      </c>
      <c r="G696" s="30" t="str">
        <f t="array" ref="G696">IF($A696="", "", LET(bbgm_stat, INDEX(Players!$A695:$P695, MATCH(G$2, Players!$A$1:$P$1, 0)), perc_75, VLOOKUP(G$2, Percentiles!$A$45:$I$59, 6, FALSE), perc_90, VLOOKUP(G$2, Percentiles!$A$45:$I$59, 7, FALSE), perc_95, VLOOKUP(G$2, Percentiles!$A$45:$I$59, 8, FALSE), perc_85, perc_75 + (perc_90 - perc_75) * (2/3), converted_stat, '2K_Ratings'!G696, IF(bbgm_stat &gt;= perc_95, converted_stat * 3, IF(bbgm_stat &gt;= perc_90, converted_stat * 2, IF(bbgm_stat &gt;= perc_85, converted_stat * 1.5, converted_stat)))))</f>
        <v/>
      </c>
      <c r="H696" s="30" t="str">
        <f t="array" ref="H696">IF($A696="", "", LET(bbgm_stat, INDEX(Players!$A695:$P695, MATCH(H$2, Players!$A$1:$P$1, 0)), perc_75, VLOOKUP(H$2, Percentiles!$A$45:$I$59, 6, FALSE), perc_90, VLOOKUP(H$2, Percentiles!$A$45:$I$59, 7, FALSE), perc_95, VLOOKUP(H$2, Percentiles!$A$45:$I$59, 8, FALSE), perc_85, perc_75 + (perc_90 - perc_75) * (2/3), converted_stat, '2K_Ratings'!H696, IF(bbgm_stat &gt;= perc_95, converted_stat * 3, IF(bbgm_stat &gt;= perc_90, converted_stat * 2, IF(bbgm_stat &gt;= perc_85, converted_stat * 1.5, converted_stat)))))</f>
        <v/>
      </c>
      <c r="I696" s="30" t="str">
        <f t="array" ref="I696">IF($A696="", "", LET(bbgm_stat, INDEX(Players!$A695:$P695, MATCH(I$2, Players!$A$1:$P$1, 0)), perc_75, VLOOKUP(I$2, Percentiles!$A$45:$I$59, 6, FALSE), perc_90, VLOOKUP(I$2, Percentiles!$A$45:$I$59, 7, FALSE), perc_95, VLOOKUP(I$2, Percentiles!$A$45:$I$59, 8, FALSE), perc_85, perc_75 + (perc_90 - perc_75) * (2/3), converted_stat, '2K_Ratings'!I696, IF(bbgm_stat &gt;= perc_95, converted_stat * 3, IF(bbgm_stat &gt;= perc_90, converted_stat * 2, IF(bbgm_stat &gt;= perc_85, converted_stat * 1.5, converted_stat)))))</f>
        <v/>
      </c>
      <c r="J696" s="30" t="str">
        <f t="array" ref="J696">IF($A696="", "", LET(bbgm_stat, INDEX(Players!$A695:$P695, MATCH(J$2, Players!$A$1:$P$1, 0)), perc_75, VLOOKUP(J$2, Percentiles!$A$45:$I$59, 6, FALSE), perc_90, VLOOKUP(J$2, Percentiles!$A$45:$I$59, 7, FALSE), perc_95, VLOOKUP(J$2, Percentiles!$A$45:$I$59, 8, FALSE), perc_85, perc_75 + (perc_90 - perc_75) * (2/3), converted_stat, '2K_Ratings'!J696, IF(bbgm_stat &gt;= perc_95, converted_stat * 3, IF(bbgm_stat &gt;= perc_90, converted_stat * 2, IF(bbgm_stat &gt;= perc_85, converted_stat * 1.5, converted_stat)))))</f>
        <v/>
      </c>
      <c r="K696" s="30" t="str">
        <f t="array" ref="K696">IF($A696="", "", LET(bbgm_stat, INDEX(Players!$A695:$P695, MATCH(K$2, Players!$A$1:$P$1, 0)), perc_75, VLOOKUP(K$2, Percentiles!$A$45:$I$59, 6, FALSE), perc_90, VLOOKUP(K$2, Percentiles!$A$45:$I$59, 7, FALSE), perc_95, VLOOKUP(K$2, Percentiles!$A$45:$I$59, 8, FALSE), perc_85, perc_75 + (perc_90 - perc_75) * (2/3), converted_stat, '2K_Ratings'!K696, IF(bbgm_stat &gt;= perc_95, converted_stat * 3, IF(bbgm_stat &gt;= perc_90, converted_stat * 2, IF(bbgm_stat &gt;= perc_85, converted_stat * 1.5, converted_stat)))))</f>
        <v/>
      </c>
      <c r="L696" s="30" t="str">
        <f t="array" ref="L696">IF($A696="", "", LET(bbgm_stat, INDEX(Players!$A695:$P695, MATCH(L$2, Players!$A$1:$P$1, 0)), perc_75, VLOOKUP(L$2, Percentiles!$A$45:$I$59, 6, FALSE), perc_90, VLOOKUP(L$2, Percentiles!$A$45:$I$59, 7, FALSE), perc_95, VLOOKUP(L$2, Percentiles!$A$45:$I$59, 8, FALSE), perc_85, perc_75 + (perc_90 - perc_75) * (2/3), converted_stat, '2K_Ratings'!L696, IF(bbgm_stat &gt;= perc_95, converted_stat * 3, IF(bbgm_stat &gt;= perc_90, converted_stat * 2, IF(bbgm_stat &gt;= perc_85, converted_stat * 1.5, converted_stat)))))</f>
        <v/>
      </c>
      <c r="M696" s="30" t="str">
        <f t="array" ref="M696">IF($A696="", "", LET(bbgm_stat, INDEX(Players!$A695:$P695, MATCH(M$2, Players!$A$1:$P$1, 0)), perc_75, VLOOKUP(M$2, Percentiles!$A$45:$I$59, 6, FALSE), perc_90, VLOOKUP(M$2, Percentiles!$A$45:$I$59, 7, FALSE), perc_95, VLOOKUP(M$2, Percentiles!$A$45:$I$59, 8, FALSE), perc_85, perc_75 + (perc_90 - perc_75) * (2/3), converted_stat, '2K_Ratings'!M696, IF(bbgm_stat &gt;= perc_95, converted_stat * 3, IF(bbgm_stat &gt;= perc_90, converted_stat * 2, IF(bbgm_stat &gt;= perc_85, converted_stat * 1.5, converted_stat)))))</f>
        <v/>
      </c>
      <c r="N696" s="30" t="str">
        <f t="array" ref="N696">IF($A696="", "", LET(bbgm_stat, INDEX(Players!$A695:$P695, MATCH(N$2, Players!$A$1:$P$1, 0)), perc_75, VLOOKUP(N$2, Percentiles!$A$45:$I$59, 6, FALSE), perc_90, VLOOKUP(N$2, Percentiles!$A$45:$I$59, 7, FALSE), perc_95, VLOOKUP(N$2, Percentiles!$A$45:$I$59, 8, FALSE), perc_85, perc_75 + (perc_90 - perc_75) * (2/3), converted_stat, '2K_Ratings'!N696, IF(bbgm_stat &gt;= perc_95, converted_stat * 3, IF(bbgm_stat &gt;= perc_90, converted_stat * 2, IF(bbgm_stat &gt;= perc_85, converted_stat * 1.5, converted_stat)))))</f>
        <v/>
      </c>
      <c r="O696" s="30" t="str">
        <f t="array" ref="O696">IF($A696="", "", LET(bbgm_stat, INDEX(Players!$A695:$P695, MATCH(O$2, Players!$A$1:$P$1, 0)), perc_75, VLOOKUP(O$2, Percentiles!$A$45:$I$59, 6, FALSE), perc_90, VLOOKUP(O$2, Percentiles!$A$45:$I$59, 7, FALSE), perc_95, VLOOKUP(O$2, Percentiles!$A$45:$I$59, 8, FALSE), perc_85, perc_75 + (perc_90 - perc_75) * (2/3), converted_stat, '2K_Ratings'!O696, IF(bbgm_stat &gt;= perc_95, converted_stat * 3, IF(bbgm_stat &gt;= perc_90, converted_stat * 2, IF(bbgm_stat &gt;= perc_85, converted_stat * 1.5, converted_stat)))))</f>
        <v/>
      </c>
      <c r="P696" s="30" t="str">
        <f t="array" ref="P696">IF($A696="", "", LET(bbgm_stat, INDEX(Players!$A695:$P695, MATCH(P$2, Players!$A$1:$P$1, 0)), perc_75, VLOOKUP(P$2, Percentiles!$A$45:$I$59, 6, FALSE), perc_90, VLOOKUP(P$2, Percentiles!$A$45:$I$59, 7, FALSE), perc_95, VLOOKUP(P$2, Percentiles!$A$45:$I$59, 8, FALSE), perc_85, perc_75 + (perc_90 - perc_75) * (2/3), converted_stat, '2K_Ratings'!P696, IF(bbgm_stat &gt;= perc_95, converted_stat * 3, IF(bbgm_stat &gt;= perc_90, converted_stat * 2, IF(bbgm_stat &gt;= perc_85, converted_stat * 1.5, converted_stat)))))</f>
        <v/>
      </c>
      <c r="Q696" s="30" t="str">
        <f t="array" ref="Q696">IF($A696="", "", LET(bbgm_stat, INDEX(Players!$A695:$P695, MATCH(Q$2, Players!$A$1:$P$1, 0)), perc_75, VLOOKUP(Q$2, Percentiles!$A$45:$I$59, 6, FALSE), perc_90, VLOOKUP(Q$2, Percentiles!$A$45:$I$59, 7, FALSE), perc_95, VLOOKUP(Q$2, Percentiles!$A$45:$I$59, 8, FALSE), perc_85, perc_75 + (perc_90 - perc_75) * (2/3), converted_stat, '2K_Ratings'!Q696, IF(bbgm_stat &gt;= perc_95, converted_stat * 3, IF(bbgm_stat &gt;= perc_90, converted_stat * 2, IF(bbgm_stat &gt;= perc_85, converted_stat * 1.5, converted_stat)))))</f>
        <v/>
      </c>
      <c r="R696" s="30" t="str">
        <f t="array" ref="R696">IF($A696="", "", LET(bbgm_stat, INDEX(Players!$A695:$P695, MATCH(R$2, Players!$A$1:$P$1, 0)), perc_75, VLOOKUP(R$2, Percentiles!$A$45:$I$59, 6, FALSE), perc_90, VLOOKUP(R$2, Percentiles!$A$45:$I$59, 7, FALSE), perc_95, VLOOKUP(R$2, Percentiles!$A$45:$I$59, 8, FALSE), perc_85, perc_75 + (perc_90 - perc_75) * (2/3), converted_stat, '2K_Ratings'!R696, IF(bbgm_stat &gt;= perc_95, converted_stat * 3, IF(bbgm_stat &gt;= perc_90, converted_stat * 2, IF(bbgm_stat &gt;= perc_85, converted_stat * 1.5, converted_stat)))))</f>
        <v/>
      </c>
      <c r="S696" s="30" t="str">
        <f t="array" ref="S696">IF($A696="", "", LET(bbgm_stat, INDEX(Players!$A695:$P695, MATCH(S$2, Players!$A$1:$P$1, 0)), perc_75, VLOOKUP(S$2, Percentiles!$A$45:$I$59, 6, FALSE), perc_90, VLOOKUP(S$2, Percentiles!$A$45:$I$59, 7, FALSE), perc_95, VLOOKUP(S$2, Percentiles!$A$45:$I$59, 8, FALSE), perc_85, perc_75 + (perc_90 - perc_75) * (2/3), converted_stat, '2K_Ratings'!S696, IF(bbgm_stat &gt;= perc_95, converted_stat * 3, IF(bbgm_stat &gt;= perc_90, converted_stat * 2, IF(bbgm_stat &gt;= perc_85, converted_stat * 1.5, converted_stat)))))</f>
        <v/>
      </c>
      <c r="T696" s="30" t="str">
        <f t="array" ref="T696">IF($A696="", "", LET(bbgm_stat, INDEX(Players!$A695:$P695, MATCH(T$2, Players!$A$1:$P$1, 0)), perc_75, VLOOKUP(T$2, Percentiles!$A$45:$I$59, 6, FALSE), perc_90, VLOOKUP(T$2, Percentiles!$A$45:$I$59, 7, FALSE), perc_95, VLOOKUP(T$2, Percentiles!$A$45:$I$59, 8, FALSE), perc_85, perc_75 + (perc_90 - perc_75) * (2/3), converted_stat, '2K_Ratings'!T696, IF(bbgm_stat &gt;= perc_95, converted_stat * 3, IF(bbgm_stat &gt;= perc_90, converted_stat * 2, IF(bbgm_stat &gt;= perc_85, converted_stat * 1.5, converted_stat)))))</f>
        <v/>
      </c>
      <c r="U696" s="30" t="str">
        <f t="array" ref="U696">IF($A696="", "", LET(bbgm_stat, INDEX(Players!$A695:$P695, MATCH(U$2, Players!$A$1:$P$1, 0)), perc_75, VLOOKUP(U$2, Percentiles!$A$45:$I$59, 6, FALSE), perc_90, VLOOKUP(U$2, Percentiles!$A$45:$I$59, 7, FALSE), perc_95, VLOOKUP(U$2, Percentiles!$A$45:$I$59, 8, FALSE), perc_85, perc_75 + (perc_90 - perc_75) * (2/3), converted_stat, '2K_Ratings'!U696, IF(bbgm_stat &gt;= perc_95, converted_stat * 3, IF(bbgm_stat &gt;= perc_90, converted_stat * 2, IF(bbgm_stat &gt;= perc_85, converted_stat * 1.5, converted_stat)))))</f>
        <v/>
      </c>
      <c r="V696" s="30" t="str">
        <f t="array" ref="V696">IF($A696="", "", LET(bbgm_stat, INDEX(Players!$A695:$P695, MATCH(V$2, Players!$A$1:$P$1, 0)), perc_75, VLOOKUP(V$2, Percentiles!$A$45:$I$59, 6, FALSE), perc_90, VLOOKUP(V$2, Percentiles!$A$45:$I$59, 7, FALSE), perc_95, VLOOKUP(V$2, Percentiles!$A$45:$I$59, 8, FALSE), perc_85, perc_75 + (perc_90 - perc_75) * (2/3), converted_stat, '2K_Ratings'!V696, IF(bbgm_stat &gt;= perc_95, converted_stat * 3, IF(bbgm_stat &gt;= perc_90, converted_stat * 2, IF(bbgm_stat &gt;= perc_85, converted_stat * 1.5, converted_stat)))))</f>
        <v/>
      </c>
      <c r="W696" s="30" t="str">
        <f t="array" ref="W696">IF($A696="", "", LET(bbgm_stat, INDEX(Players!$A695:$P695, MATCH(W$2, Players!$A$1:$P$1, 0)), perc_75, VLOOKUP(W$2, Percentiles!$A$45:$I$59, 6, FALSE), perc_90, VLOOKUP(W$2, Percentiles!$A$45:$I$59, 7, FALSE), perc_95, VLOOKUP(W$2, Percentiles!$A$45:$I$59, 8, FALSE), perc_85, perc_75 + (perc_90 - perc_75) * (2/3), converted_stat, '2K_Ratings'!W696, IF(bbgm_stat &gt;= perc_95, converted_stat * 3, IF(bbgm_stat &gt;= perc_90, converted_stat * 2, IF(bbgm_stat &gt;= perc_85, converted_stat * 1.5, converted_stat)))))</f>
        <v/>
      </c>
    </row>
    <row r="697">
      <c r="A697" s="30"/>
      <c r="B697" s="30" t="str">
        <f t="array" ref="B697">IF($A697="", "", LET(bbgm_stat, INDEX(Players!$A696:$P696, MATCH(B$2, Players!$A$1:$P$1, 0)), perc_75, VLOOKUP(B$2, Percentiles!$A$45:$I$59, 6, FALSE), perc_90, VLOOKUP(B$2, Percentiles!$A$45:$I$59, 7, FALSE), perc_95, VLOOKUP(B$2, Percentiles!$A$45:$I$59, 8, FALSE), perc_85, perc_75 + (perc_90 - perc_75) * (2/3), converted_stat, '2K_Ratings'!B697, IF(bbgm_stat &gt;= perc_95, converted_stat * 3, IF(bbgm_stat &gt;= perc_90, converted_stat * 2, IF(bbgm_stat &gt;= perc_85, converted_stat * 1.5, converted_stat)))))</f>
        <v/>
      </c>
      <c r="C697" s="30" t="str">
        <f t="array" ref="C697">IF($A697="", "", LET(bbgm_stat, INDEX(Players!$A696:$P696, MATCH(C$2, Players!$A$1:$P$1, 0)), perc_75, VLOOKUP(C$2, Percentiles!$A$45:$I$59, 6, FALSE), perc_90, VLOOKUP(C$2, Percentiles!$A$45:$I$59, 7, FALSE), perc_95, VLOOKUP(C$2, Percentiles!$A$45:$I$59, 8, FALSE), perc_85, perc_75 + (perc_90 - perc_75) * (2/3), converted_stat, '2K_Ratings'!C697, IF(bbgm_stat &gt;= perc_95, converted_stat * 3, IF(bbgm_stat &gt;= perc_90, converted_stat * 2, IF(bbgm_stat &gt;= perc_85, converted_stat * 1.5, converted_stat)))))</f>
        <v/>
      </c>
      <c r="D697" s="30" t="str">
        <f t="array" ref="D697">IF($A697="", "", LET(bbgm_stat, INDEX(Players!$A696:$P696, MATCH(D$2, Players!$A$1:$P$1, 0)), perc_75, VLOOKUP(D$2, Percentiles!$A$45:$I$59, 6, FALSE), perc_90, VLOOKUP(D$2, Percentiles!$A$45:$I$59, 7, FALSE), perc_95, VLOOKUP(D$2, Percentiles!$A$45:$I$59, 8, FALSE), perc_85, perc_75 + (perc_90 - perc_75) * (2/3), converted_stat, '2K_Ratings'!D697, IF(bbgm_stat &gt;= perc_95, converted_stat * 3, IF(bbgm_stat &gt;= perc_90, converted_stat * 2, IF(bbgm_stat &gt;= perc_85, converted_stat * 1.5, converted_stat)))))</f>
        <v/>
      </c>
      <c r="E697" s="30" t="str">
        <f t="array" ref="E697">IF($A697="", "", LET(bbgm_stat, INDEX(Players!$A696:$P696, MATCH(E$2, Players!$A$1:$P$1, 0)), perc_75, VLOOKUP(E$2, Percentiles!$A$45:$I$59, 6, FALSE), perc_90, VLOOKUP(E$2, Percentiles!$A$45:$I$59, 7, FALSE), perc_95, VLOOKUP(E$2, Percentiles!$A$45:$I$59, 8, FALSE), perc_85, perc_75 + (perc_90 - perc_75) * (2/3), converted_stat, '2K_Ratings'!E697, IF(bbgm_stat &gt;= perc_95, converted_stat * 3, IF(bbgm_stat &gt;= perc_90, converted_stat * 2, IF(bbgm_stat &gt;= perc_85, converted_stat * 1.5, converted_stat)))))</f>
        <v/>
      </c>
      <c r="F697" s="30" t="str">
        <f t="array" ref="F697">IF($A697="", "", LET(bbgm_stat, INDEX(Players!$A696:$P696, MATCH(F$2, Players!$A$1:$P$1, 0)), perc_75, VLOOKUP(F$2, Percentiles!$A$45:$I$59, 6, FALSE), perc_90, VLOOKUP(F$2, Percentiles!$A$45:$I$59, 7, FALSE), perc_95, VLOOKUP(F$2, Percentiles!$A$45:$I$59, 8, FALSE), perc_85, perc_75 + (perc_90 - perc_75) * (2/3), converted_stat, '2K_Ratings'!F697, IF(bbgm_stat &gt;= perc_95, converted_stat * 3, IF(bbgm_stat &gt;= perc_90, converted_stat * 2, IF(bbgm_stat &gt;= perc_85, converted_stat * 1.5, converted_stat)))))</f>
        <v/>
      </c>
      <c r="G697" s="30" t="str">
        <f t="array" ref="G697">IF($A697="", "", LET(bbgm_stat, INDEX(Players!$A696:$P696, MATCH(G$2, Players!$A$1:$P$1, 0)), perc_75, VLOOKUP(G$2, Percentiles!$A$45:$I$59, 6, FALSE), perc_90, VLOOKUP(G$2, Percentiles!$A$45:$I$59, 7, FALSE), perc_95, VLOOKUP(G$2, Percentiles!$A$45:$I$59, 8, FALSE), perc_85, perc_75 + (perc_90 - perc_75) * (2/3), converted_stat, '2K_Ratings'!G697, IF(bbgm_stat &gt;= perc_95, converted_stat * 3, IF(bbgm_stat &gt;= perc_90, converted_stat * 2, IF(bbgm_stat &gt;= perc_85, converted_stat * 1.5, converted_stat)))))</f>
        <v/>
      </c>
      <c r="H697" s="30" t="str">
        <f t="array" ref="H697">IF($A697="", "", LET(bbgm_stat, INDEX(Players!$A696:$P696, MATCH(H$2, Players!$A$1:$P$1, 0)), perc_75, VLOOKUP(H$2, Percentiles!$A$45:$I$59, 6, FALSE), perc_90, VLOOKUP(H$2, Percentiles!$A$45:$I$59, 7, FALSE), perc_95, VLOOKUP(H$2, Percentiles!$A$45:$I$59, 8, FALSE), perc_85, perc_75 + (perc_90 - perc_75) * (2/3), converted_stat, '2K_Ratings'!H697, IF(bbgm_stat &gt;= perc_95, converted_stat * 3, IF(bbgm_stat &gt;= perc_90, converted_stat * 2, IF(bbgm_stat &gt;= perc_85, converted_stat * 1.5, converted_stat)))))</f>
        <v/>
      </c>
      <c r="I697" s="30" t="str">
        <f t="array" ref="I697">IF($A697="", "", LET(bbgm_stat, INDEX(Players!$A696:$P696, MATCH(I$2, Players!$A$1:$P$1, 0)), perc_75, VLOOKUP(I$2, Percentiles!$A$45:$I$59, 6, FALSE), perc_90, VLOOKUP(I$2, Percentiles!$A$45:$I$59, 7, FALSE), perc_95, VLOOKUP(I$2, Percentiles!$A$45:$I$59, 8, FALSE), perc_85, perc_75 + (perc_90 - perc_75) * (2/3), converted_stat, '2K_Ratings'!I697, IF(bbgm_stat &gt;= perc_95, converted_stat * 3, IF(bbgm_stat &gt;= perc_90, converted_stat * 2, IF(bbgm_stat &gt;= perc_85, converted_stat * 1.5, converted_stat)))))</f>
        <v/>
      </c>
      <c r="J697" s="30" t="str">
        <f t="array" ref="J697">IF($A697="", "", LET(bbgm_stat, INDEX(Players!$A696:$P696, MATCH(J$2, Players!$A$1:$P$1, 0)), perc_75, VLOOKUP(J$2, Percentiles!$A$45:$I$59, 6, FALSE), perc_90, VLOOKUP(J$2, Percentiles!$A$45:$I$59, 7, FALSE), perc_95, VLOOKUP(J$2, Percentiles!$A$45:$I$59, 8, FALSE), perc_85, perc_75 + (perc_90 - perc_75) * (2/3), converted_stat, '2K_Ratings'!J697, IF(bbgm_stat &gt;= perc_95, converted_stat * 3, IF(bbgm_stat &gt;= perc_90, converted_stat * 2, IF(bbgm_stat &gt;= perc_85, converted_stat * 1.5, converted_stat)))))</f>
        <v/>
      </c>
      <c r="K697" s="30" t="str">
        <f t="array" ref="K697">IF($A697="", "", LET(bbgm_stat, INDEX(Players!$A696:$P696, MATCH(K$2, Players!$A$1:$P$1, 0)), perc_75, VLOOKUP(K$2, Percentiles!$A$45:$I$59, 6, FALSE), perc_90, VLOOKUP(K$2, Percentiles!$A$45:$I$59, 7, FALSE), perc_95, VLOOKUP(K$2, Percentiles!$A$45:$I$59, 8, FALSE), perc_85, perc_75 + (perc_90 - perc_75) * (2/3), converted_stat, '2K_Ratings'!K697, IF(bbgm_stat &gt;= perc_95, converted_stat * 3, IF(bbgm_stat &gt;= perc_90, converted_stat * 2, IF(bbgm_stat &gt;= perc_85, converted_stat * 1.5, converted_stat)))))</f>
        <v/>
      </c>
      <c r="L697" s="30" t="str">
        <f t="array" ref="L697">IF($A697="", "", LET(bbgm_stat, INDEX(Players!$A696:$P696, MATCH(L$2, Players!$A$1:$P$1, 0)), perc_75, VLOOKUP(L$2, Percentiles!$A$45:$I$59, 6, FALSE), perc_90, VLOOKUP(L$2, Percentiles!$A$45:$I$59, 7, FALSE), perc_95, VLOOKUP(L$2, Percentiles!$A$45:$I$59, 8, FALSE), perc_85, perc_75 + (perc_90 - perc_75) * (2/3), converted_stat, '2K_Ratings'!L697, IF(bbgm_stat &gt;= perc_95, converted_stat * 3, IF(bbgm_stat &gt;= perc_90, converted_stat * 2, IF(bbgm_stat &gt;= perc_85, converted_stat * 1.5, converted_stat)))))</f>
        <v/>
      </c>
      <c r="M697" s="30" t="str">
        <f t="array" ref="M697">IF($A697="", "", LET(bbgm_stat, INDEX(Players!$A696:$P696, MATCH(M$2, Players!$A$1:$P$1, 0)), perc_75, VLOOKUP(M$2, Percentiles!$A$45:$I$59, 6, FALSE), perc_90, VLOOKUP(M$2, Percentiles!$A$45:$I$59, 7, FALSE), perc_95, VLOOKUP(M$2, Percentiles!$A$45:$I$59, 8, FALSE), perc_85, perc_75 + (perc_90 - perc_75) * (2/3), converted_stat, '2K_Ratings'!M697, IF(bbgm_stat &gt;= perc_95, converted_stat * 3, IF(bbgm_stat &gt;= perc_90, converted_stat * 2, IF(bbgm_stat &gt;= perc_85, converted_stat * 1.5, converted_stat)))))</f>
        <v/>
      </c>
      <c r="N697" s="30" t="str">
        <f t="array" ref="N697">IF($A697="", "", LET(bbgm_stat, INDEX(Players!$A696:$P696, MATCH(N$2, Players!$A$1:$P$1, 0)), perc_75, VLOOKUP(N$2, Percentiles!$A$45:$I$59, 6, FALSE), perc_90, VLOOKUP(N$2, Percentiles!$A$45:$I$59, 7, FALSE), perc_95, VLOOKUP(N$2, Percentiles!$A$45:$I$59, 8, FALSE), perc_85, perc_75 + (perc_90 - perc_75) * (2/3), converted_stat, '2K_Ratings'!N697, IF(bbgm_stat &gt;= perc_95, converted_stat * 3, IF(bbgm_stat &gt;= perc_90, converted_stat * 2, IF(bbgm_stat &gt;= perc_85, converted_stat * 1.5, converted_stat)))))</f>
        <v/>
      </c>
      <c r="O697" s="30" t="str">
        <f t="array" ref="O697">IF($A697="", "", LET(bbgm_stat, INDEX(Players!$A696:$P696, MATCH(O$2, Players!$A$1:$P$1, 0)), perc_75, VLOOKUP(O$2, Percentiles!$A$45:$I$59, 6, FALSE), perc_90, VLOOKUP(O$2, Percentiles!$A$45:$I$59, 7, FALSE), perc_95, VLOOKUP(O$2, Percentiles!$A$45:$I$59, 8, FALSE), perc_85, perc_75 + (perc_90 - perc_75) * (2/3), converted_stat, '2K_Ratings'!O697, IF(bbgm_stat &gt;= perc_95, converted_stat * 3, IF(bbgm_stat &gt;= perc_90, converted_stat * 2, IF(bbgm_stat &gt;= perc_85, converted_stat * 1.5, converted_stat)))))</f>
        <v/>
      </c>
      <c r="P697" s="30" t="str">
        <f t="array" ref="P697">IF($A697="", "", LET(bbgm_stat, INDEX(Players!$A696:$P696, MATCH(P$2, Players!$A$1:$P$1, 0)), perc_75, VLOOKUP(P$2, Percentiles!$A$45:$I$59, 6, FALSE), perc_90, VLOOKUP(P$2, Percentiles!$A$45:$I$59, 7, FALSE), perc_95, VLOOKUP(P$2, Percentiles!$A$45:$I$59, 8, FALSE), perc_85, perc_75 + (perc_90 - perc_75) * (2/3), converted_stat, '2K_Ratings'!P697, IF(bbgm_stat &gt;= perc_95, converted_stat * 3, IF(bbgm_stat &gt;= perc_90, converted_stat * 2, IF(bbgm_stat &gt;= perc_85, converted_stat * 1.5, converted_stat)))))</f>
        <v/>
      </c>
      <c r="Q697" s="30" t="str">
        <f t="array" ref="Q697">IF($A697="", "", LET(bbgm_stat, INDEX(Players!$A696:$P696, MATCH(Q$2, Players!$A$1:$P$1, 0)), perc_75, VLOOKUP(Q$2, Percentiles!$A$45:$I$59, 6, FALSE), perc_90, VLOOKUP(Q$2, Percentiles!$A$45:$I$59, 7, FALSE), perc_95, VLOOKUP(Q$2, Percentiles!$A$45:$I$59, 8, FALSE), perc_85, perc_75 + (perc_90 - perc_75) * (2/3), converted_stat, '2K_Ratings'!Q697, IF(bbgm_stat &gt;= perc_95, converted_stat * 3, IF(bbgm_stat &gt;= perc_90, converted_stat * 2, IF(bbgm_stat &gt;= perc_85, converted_stat * 1.5, converted_stat)))))</f>
        <v/>
      </c>
      <c r="R697" s="30" t="str">
        <f t="array" ref="R697">IF($A697="", "", LET(bbgm_stat, INDEX(Players!$A696:$P696, MATCH(R$2, Players!$A$1:$P$1, 0)), perc_75, VLOOKUP(R$2, Percentiles!$A$45:$I$59, 6, FALSE), perc_90, VLOOKUP(R$2, Percentiles!$A$45:$I$59, 7, FALSE), perc_95, VLOOKUP(R$2, Percentiles!$A$45:$I$59, 8, FALSE), perc_85, perc_75 + (perc_90 - perc_75) * (2/3), converted_stat, '2K_Ratings'!R697, IF(bbgm_stat &gt;= perc_95, converted_stat * 3, IF(bbgm_stat &gt;= perc_90, converted_stat * 2, IF(bbgm_stat &gt;= perc_85, converted_stat * 1.5, converted_stat)))))</f>
        <v/>
      </c>
      <c r="S697" s="30" t="str">
        <f t="array" ref="S697">IF($A697="", "", LET(bbgm_stat, INDEX(Players!$A696:$P696, MATCH(S$2, Players!$A$1:$P$1, 0)), perc_75, VLOOKUP(S$2, Percentiles!$A$45:$I$59, 6, FALSE), perc_90, VLOOKUP(S$2, Percentiles!$A$45:$I$59, 7, FALSE), perc_95, VLOOKUP(S$2, Percentiles!$A$45:$I$59, 8, FALSE), perc_85, perc_75 + (perc_90 - perc_75) * (2/3), converted_stat, '2K_Ratings'!S697, IF(bbgm_stat &gt;= perc_95, converted_stat * 3, IF(bbgm_stat &gt;= perc_90, converted_stat * 2, IF(bbgm_stat &gt;= perc_85, converted_stat * 1.5, converted_stat)))))</f>
        <v/>
      </c>
      <c r="T697" s="30" t="str">
        <f t="array" ref="T697">IF($A697="", "", LET(bbgm_stat, INDEX(Players!$A696:$P696, MATCH(T$2, Players!$A$1:$P$1, 0)), perc_75, VLOOKUP(T$2, Percentiles!$A$45:$I$59, 6, FALSE), perc_90, VLOOKUP(T$2, Percentiles!$A$45:$I$59, 7, FALSE), perc_95, VLOOKUP(T$2, Percentiles!$A$45:$I$59, 8, FALSE), perc_85, perc_75 + (perc_90 - perc_75) * (2/3), converted_stat, '2K_Ratings'!T697, IF(bbgm_stat &gt;= perc_95, converted_stat * 3, IF(bbgm_stat &gt;= perc_90, converted_stat * 2, IF(bbgm_stat &gt;= perc_85, converted_stat * 1.5, converted_stat)))))</f>
        <v/>
      </c>
      <c r="U697" s="30" t="str">
        <f t="array" ref="U697">IF($A697="", "", LET(bbgm_stat, INDEX(Players!$A696:$P696, MATCH(U$2, Players!$A$1:$P$1, 0)), perc_75, VLOOKUP(U$2, Percentiles!$A$45:$I$59, 6, FALSE), perc_90, VLOOKUP(U$2, Percentiles!$A$45:$I$59, 7, FALSE), perc_95, VLOOKUP(U$2, Percentiles!$A$45:$I$59, 8, FALSE), perc_85, perc_75 + (perc_90 - perc_75) * (2/3), converted_stat, '2K_Ratings'!U697, IF(bbgm_stat &gt;= perc_95, converted_stat * 3, IF(bbgm_stat &gt;= perc_90, converted_stat * 2, IF(bbgm_stat &gt;= perc_85, converted_stat * 1.5, converted_stat)))))</f>
        <v/>
      </c>
      <c r="V697" s="30" t="str">
        <f t="array" ref="V697">IF($A697="", "", LET(bbgm_stat, INDEX(Players!$A696:$P696, MATCH(V$2, Players!$A$1:$P$1, 0)), perc_75, VLOOKUP(V$2, Percentiles!$A$45:$I$59, 6, FALSE), perc_90, VLOOKUP(V$2, Percentiles!$A$45:$I$59, 7, FALSE), perc_95, VLOOKUP(V$2, Percentiles!$A$45:$I$59, 8, FALSE), perc_85, perc_75 + (perc_90 - perc_75) * (2/3), converted_stat, '2K_Ratings'!V697, IF(bbgm_stat &gt;= perc_95, converted_stat * 3, IF(bbgm_stat &gt;= perc_90, converted_stat * 2, IF(bbgm_stat &gt;= perc_85, converted_stat * 1.5, converted_stat)))))</f>
        <v/>
      </c>
      <c r="W697" s="30" t="str">
        <f t="array" ref="W697">IF($A697="", "", LET(bbgm_stat, INDEX(Players!$A696:$P696, MATCH(W$2, Players!$A$1:$P$1, 0)), perc_75, VLOOKUP(W$2, Percentiles!$A$45:$I$59, 6, FALSE), perc_90, VLOOKUP(W$2, Percentiles!$A$45:$I$59, 7, FALSE), perc_95, VLOOKUP(W$2, Percentiles!$A$45:$I$59, 8, FALSE), perc_85, perc_75 + (perc_90 - perc_75) * (2/3), converted_stat, '2K_Ratings'!W697, IF(bbgm_stat &gt;= perc_95, converted_stat * 3, IF(bbgm_stat &gt;= perc_90, converted_stat * 2, IF(bbgm_stat &gt;= perc_85, converted_stat * 1.5, converted_stat)))))</f>
        <v/>
      </c>
    </row>
    <row r="698">
      <c r="A698" s="30"/>
      <c r="B698" s="30" t="str">
        <f t="array" ref="B698">IF($A698="", "", LET(bbgm_stat, INDEX(Players!$A697:$P697, MATCH(B$2, Players!$A$1:$P$1, 0)), perc_75, VLOOKUP(B$2, Percentiles!$A$45:$I$59, 6, FALSE), perc_90, VLOOKUP(B$2, Percentiles!$A$45:$I$59, 7, FALSE), perc_95, VLOOKUP(B$2, Percentiles!$A$45:$I$59, 8, FALSE), perc_85, perc_75 + (perc_90 - perc_75) * (2/3), converted_stat, '2K_Ratings'!B698, IF(bbgm_stat &gt;= perc_95, converted_stat * 3, IF(bbgm_stat &gt;= perc_90, converted_stat * 2, IF(bbgm_stat &gt;= perc_85, converted_stat * 1.5, converted_stat)))))</f>
        <v/>
      </c>
      <c r="C698" s="30" t="str">
        <f t="array" ref="C698">IF($A698="", "", LET(bbgm_stat, INDEX(Players!$A697:$P697, MATCH(C$2, Players!$A$1:$P$1, 0)), perc_75, VLOOKUP(C$2, Percentiles!$A$45:$I$59, 6, FALSE), perc_90, VLOOKUP(C$2, Percentiles!$A$45:$I$59, 7, FALSE), perc_95, VLOOKUP(C$2, Percentiles!$A$45:$I$59, 8, FALSE), perc_85, perc_75 + (perc_90 - perc_75) * (2/3), converted_stat, '2K_Ratings'!C698, IF(bbgm_stat &gt;= perc_95, converted_stat * 3, IF(bbgm_stat &gt;= perc_90, converted_stat * 2, IF(bbgm_stat &gt;= perc_85, converted_stat * 1.5, converted_stat)))))</f>
        <v/>
      </c>
      <c r="D698" s="30" t="str">
        <f t="array" ref="D698">IF($A698="", "", LET(bbgm_stat, INDEX(Players!$A697:$P697, MATCH(D$2, Players!$A$1:$P$1, 0)), perc_75, VLOOKUP(D$2, Percentiles!$A$45:$I$59, 6, FALSE), perc_90, VLOOKUP(D$2, Percentiles!$A$45:$I$59, 7, FALSE), perc_95, VLOOKUP(D$2, Percentiles!$A$45:$I$59, 8, FALSE), perc_85, perc_75 + (perc_90 - perc_75) * (2/3), converted_stat, '2K_Ratings'!D698, IF(bbgm_stat &gt;= perc_95, converted_stat * 3, IF(bbgm_stat &gt;= perc_90, converted_stat * 2, IF(bbgm_stat &gt;= perc_85, converted_stat * 1.5, converted_stat)))))</f>
        <v/>
      </c>
      <c r="E698" s="30" t="str">
        <f t="array" ref="E698">IF($A698="", "", LET(bbgm_stat, INDEX(Players!$A697:$P697, MATCH(E$2, Players!$A$1:$P$1, 0)), perc_75, VLOOKUP(E$2, Percentiles!$A$45:$I$59, 6, FALSE), perc_90, VLOOKUP(E$2, Percentiles!$A$45:$I$59, 7, FALSE), perc_95, VLOOKUP(E$2, Percentiles!$A$45:$I$59, 8, FALSE), perc_85, perc_75 + (perc_90 - perc_75) * (2/3), converted_stat, '2K_Ratings'!E698, IF(bbgm_stat &gt;= perc_95, converted_stat * 3, IF(bbgm_stat &gt;= perc_90, converted_stat * 2, IF(bbgm_stat &gt;= perc_85, converted_stat * 1.5, converted_stat)))))</f>
        <v/>
      </c>
      <c r="F698" s="30" t="str">
        <f t="array" ref="F698">IF($A698="", "", LET(bbgm_stat, INDEX(Players!$A697:$P697, MATCH(F$2, Players!$A$1:$P$1, 0)), perc_75, VLOOKUP(F$2, Percentiles!$A$45:$I$59, 6, FALSE), perc_90, VLOOKUP(F$2, Percentiles!$A$45:$I$59, 7, FALSE), perc_95, VLOOKUP(F$2, Percentiles!$A$45:$I$59, 8, FALSE), perc_85, perc_75 + (perc_90 - perc_75) * (2/3), converted_stat, '2K_Ratings'!F698, IF(bbgm_stat &gt;= perc_95, converted_stat * 3, IF(bbgm_stat &gt;= perc_90, converted_stat * 2, IF(bbgm_stat &gt;= perc_85, converted_stat * 1.5, converted_stat)))))</f>
        <v/>
      </c>
      <c r="G698" s="30" t="str">
        <f t="array" ref="G698">IF($A698="", "", LET(bbgm_stat, INDEX(Players!$A697:$P697, MATCH(G$2, Players!$A$1:$P$1, 0)), perc_75, VLOOKUP(G$2, Percentiles!$A$45:$I$59, 6, FALSE), perc_90, VLOOKUP(G$2, Percentiles!$A$45:$I$59, 7, FALSE), perc_95, VLOOKUP(G$2, Percentiles!$A$45:$I$59, 8, FALSE), perc_85, perc_75 + (perc_90 - perc_75) * (2/3), converted_stat, '2K_Ratings'!G698, IF(bbgm_stat &gt;= perc_95, converted_stat * 3, IF(bbgm_stat &gt;= perc_90, converted_stat * 2, IF(bbgm_stat &gt;= perc_85, converted_stat * 1.5, converted_stat)))))</f>
        <v/>
      </c>
      <c r="H698" s="30" t="str">
        <f t="array" ref="H698">IF($A698="", "", LET(bbgm_stat, INDEX(Players!$A697:$P697, MATCH(H$2, Players!$A$1:$P$1, 0)), perc_75, VLOOKUP(H$2, Percentiles!$A$45:$I$59, 6, FALSE), perc_90, VLOOKUP(H$2, Percentiles!$A$45:$I$59, 7, FALSE), perc_95, VLOOKUP(H$2, Percentiles!$A$45:$I$59, 8, FALSE), perc_85, perc_75 + (perc_90 - perc_75) * (2/3), converted_stat, '2K_Ratings'!H698, IF(bbgm_stat &gt;= perc_95, converted_stat * 3, IF(bbgm_stat &gt;= perc_90, converted_stat * 2, IF(bbgm_stat &gt;= perc_85, converted_stat * 1.5, converted_stat)))))</f>
        <v/>
      </c>
      <c r="I698" s="30" t="str">
        <f t="array" ref="I698">IF($A698="", "", LET(bbgm_stat, INDEX(Players!$A697:$P697, MATCH(I$2, Players!$A$1:$P$1, 0)), perc_75, VLOOKUP(I$2, Percentiles!$A$45:$I$59, 6, FALSE), perc_90, VLOOKUP(I$2, Percentiles!$A$45:$I$59, 7, FALSE), perc_95, VLOOKUP(I$2, Percentiles!$A$45:$I$59, 8, FALSE), perc_85, perc_75 + (perc_90 - perc_75) * (2/3), converted_stat, '2K_Ratings'!I698, IF(bbgm_stat &gt;= perc_95, converted_stat * 3, IF(bbgm_stat &gt;= perc_90, converted_stat * 2, IF(bbgm_stat &gt;= perc_85, converted_stat * 1.5, converted_stat)))))</f>
        <v/>
      </c>
      <c r="J698" s="30" t="str">
        <f t="array" ref="J698">IF($A698="", "", LET(bbgm_stat, INDEX(Players!$A697:$P697, MATCH(J$2, Players!$A$1:$P$1, 0)), perc_75, VLOOKUP(J$2, Percentiles!$A$45:$I$59, 6, FALSE), perc_90, VLOOKUP(J$2, Percentiles!$A$45:$I$59, 7, FALSE), perc_95, VLOOKUP(J$2, Percentiles!$A$45:$I$59, 8, FALSE), perc_85, perc_75 + (perc_90 - perc_75) * (2/3), converted_stat, '2K_Ratings'!J698, IF(bbgm_stat &gt;= perc_95, converted_stat * 3, IF(bbgm_stat &gt;= perc_90, converted_stat * 2, IF(bbgm_stat &gt;= perc_85, converted_stat * 1.5, converted_stat)))))</f>
        <v/>
      </c>
      <c r="K698" s="30" t="str">
        <f t="array" ref="K698">IF($A698="", "", LET(bbgm_stat, INDEX(Players!$A697:$P697, MATCH(K$2, Players!$A$1:$P$1, 0)), perc_75, VLOOKUP(K$2, Percentiles!$A$45:$I$59, 6, FALSE), perc_90, VLOOKUP(K$2, Percentiles!$A$45:$I$59, 7, FALSE), perc_95, VLOOKUP(K$2, Percentiles!$A$45:$I$59, 8, FALSE), perc_85, perc_75 + (perc_90 - perc_75) * (2/3), converted_stat, '2K_Ratings'!K698, IF(bbgm_stat &gt;= perc_95, converted_stat * 3, IF(bbgm_stat &gt;= perc_90, converted_stat * 2, IF(bbgm_stat &gt;= perc_85, converted_stat * 1.5, converted_stat)))))</f>
        <v/>
      </c>
      <c r="L698" s="30" t="str">
        <f t="array" ref="L698">IF($A698="", "", LET(bbgm_stat, INDEX(Players!$A697:$P697, MATCH(L$2, Players!$A$1:$P$1, 0)), perc_75, VLOOKUP(L$2, Percentiles!$A$45:$I$59, 6, FALSE), perc_90, VLOOKUP(L$2, Percentiles!$A$45:$I$59, 7, FALSE), perc_95, VLOOKUP(L$2, Percentiles!$A$45:$I$59, 8, FALSE), perc_85, perc_75 + (perc_90 - perc_75) * (2/3), converted_stat, '2K_Ratings'!L698, IF(bbgm_stat &gt;= perc_95, converted_stat * 3, IF(bbgm_stat &gt;= perc_90, converted_stat * 2, IF(bbgm_stat &gt;= perc_85, converted_stat * 1.5, converted_stat)))))</f>
        <v/>
      </c>
      <c r="M698" s="30" t="str">
        <f t="array" ref="M698">IF($A698="", "", LET(bbgm_stat, INDEX(Players!$A697:$P697, MATCH(M$2, Players!$A$1:$P$1, 0)), perc_75, VLOOKUP(M$2, Percentiles!$A$45:$I$59, 6, FALSE), perc_90, VLOOKUP(M$2, Percentiles!$A$45:$I$59, 7, FALSE), perc_95, VLOOKUP(M$2, Percentiles!$A$45:$I$59, 8, FALSE), perc_85, perc_75 + (perc_90 - perc_75) * (2/3), converted_stat, '2K_Ratings'!M698, IF(bbgm_stat &gt;= perc_95, converted_stat * 3, IF(bbgm_stat &gt;= perc_90, converted_stat * 2, IF(bbgm_stat &gt;= perc_85, converted_stat * 1.5, converted_stat)))))</f>
        <v/>
      </c>
      <c r="N698" s="30" t="str">
        <f t="array" ref="N698">IF($A698="", "", LET(bbgm_stat, INDEX(Players!$A697:$P697, MATCH(N$2, Players!$A$1:$P$1, 0)), perc_75, VLOOKUP(N$2, Percentiles!$A$45:$I$59, 6, FALSE), perc_90, VLOOKUP(N$2, Percentiles!$A$45:$I$59, 7, FALSE), perc_95, VLOOKUP(N$2, Percentiles!$A$45:$I$59, 8, FALSE), perc_85, perc_75 + (perc_90 - perc_75) * (2/3), converted_stat, '2K_Ratings'!N698, IF(bbgm_stat &gt;= perc_95, converted_stat * 3, IF(bbgm_stat &gt;= perc_90, converted_stat * 2, IF(bbgm_stat &gt;= perc_85, converted_stat * 1.5, converted_stat)))))</f>
        <v/>
      </c>
      <c r="O698" s="30" t="str">
        <f t="array" ref="O698">IF($A698="", "", LET(bbgm_stat, INDEX(Players!$A697:$P697, MATCH(O$2, Players!$A$1:$P$1, 0)), perc_75, VLOOKUP(O$2, Percentiles!$A$45:$I$59, 6, FALSE), perc_90, VLOOKUP(O$2, Percentiles!$A$45:$I$59, 7, FALSE), perc_95, VLOOKUP(O$2, Percentiles!$A$45:$I$59, 8, FALSE), perc_85, perc_75 + (perc_90 - perc_75) * (2/3), converted_stat, '2K_Ratings'!O698, IF(bbgm_stat &gt;= perc_95, converted_stat * 3, IF(bbgm_stat &gt;= perc_90, converted_stat * 2, IF(bbgm_stat &gt;= perc_85, converted_stat * 1.5, converted_stat)))))</f>
        <v/>
      </c>
      <c r="P698" s="30" t="str">
        <f t="array" ref="P698">IF($A698="", "", LET(bbgm_stat, INDEX(Players!$A697:$P697, MATCH(P$2, Players!$A$1:$P$1, 0)), perc_75, VLOOKUP(P$2, Percentiles!$A$45:$I$59, 6, FALSE), perc_90, VLOOKUP(P$2, Percentiles!$A$45:$I$59, 7, FALSE), perc_95, VLOOKUP(P$2, Percentiles!$A$45:$I$59, 8, FALSE), perc_85, perc_75 + (perc_90 - perc_75) * (2/3), converted_stat, '2K_Ratings'!P698, IF(bbgm_stat &gt;= perc_95, converted_stat * 3, IF(bbgm_stat &gt;= perc_90, converted_stat * 2, IF(bbgm_stat &gt;= perc_85, converted_stat * 1.5, converted_stat)))))</f>
        <v/>
      </c>
      <c r="Q698" s="30" t="str">
        <f t="array" ref="Q698">IF($A698="", "", LET(bbgm_stat, INDEX(Players!$A697:$P697, MATCH(Q$2, Players!$A$1:$P$1, 0)), perc_75, VLOOKUP(Q$2, Percentiles!$A$45:$I$59, 6, FALSE), perc_90, VLOOKUP(Q$2, Percentiles!$A$45:$I$59, 7, FALSE), perc_95, VLOOKUP(Q$2, Percentiles!$A$45:$I$59, 8, FALSE), perc_85, perc_75 + (perc_90 - perc_75) * (2/3), converted_stat, '2K_Ratings'!Q698, IF(bbgm_stat &gt;= perc_95, converted_stat * 3, IF(bbgm_stat &gt;= perc_90, converted_stat * 2, IF(bbgm_stat &gt;= perc_85, converted_stat * 1.5, converted_stat)))))</f>
        <v/>
      </c>
      <c r="R698" s="30" t="str">
        <f t="array" ref="R698">IF($A698="", "", LET(bbgm_stat, INDEX(Players!$A697:$P697, MATCH(R$2, Players!$A$1:$P$1, 0)), perc_75, VLOOKUP(R$2, Percentiles!$A$45:$I$59, 6, FALSE), perc_90, VLOOKUP(R$2, Percentiles!$A$45:$I$59, 7, FALSE), perc_95, VLOOKUP(R$2, Percentiles!$A$45:$I$59, 8, FALSE), perc_85, perc_75 + (perc_90 - perc_75) * (2/3), converted_stat, '2K_Ratings'!R698, IF(bbgm_stat &gt;= perc_95, converted_stat * 3, IF(bbgm_stat &gt;= perc_90, converted_stat * 2, IF(bbgm_stat &gt;= perc_85, converted_stat * 1.5, converted_stat)))))</f>
        <v/>
      </c>
      <c r="S698" s="30" t="str">
        <f t="array" ref="S698">IF($A698="", "", LET(bbgm_stat, INDEX(Players!$A697:$P697, MATCH(S$2, Players!$A$1:$P$1, 0)), perc_75, VLOOKUP(S$2, Percentiles!$A$45:$I$59, 6, FALSE), perc_90, VLOOKUP(S$2, Percentiles!$A$45:$I$59, 7, FALSE), perc_95, VLOOKUP(S$2, Percentiles!$A$45:$I$59, 8, FALSE), perc_85, perc_75 + (perc_90 - perc_75) * (2/3), converted_stat, '2K_Ratings'!S698, IF(bbgm_stat &gt;= perc_95, converted_stat * 3, IF(bbgm_stat &gt;= perc_90, converted_stat * 2, IF(bbgm_stat &gt;= perc_85, converted_stat * 1.5, converted_stat)))))</f>
        <v/>
      </c>
      <c r="T698" s="30" t="str">
        <f t="array" ref="T698">IF($A698="", "", LET(bbgm_stat, INDEX(Players!$A697:$P697, MATCH(T$2, Players!$A$1:$P$1, 0)), perc_75, VLOOKUP(T$2, Percentiles!$A$45:$I$59, 6, FALSE), perc_90, VLOOKUP(T$2, Percentiles!$A$45:$I$59, 7, FALSE), perc_95, VLOOKUP(T$2, Percentiles!$A$45:$I$59, 8, FALSE), perc_85, perc_75 + (perc_90 - perc_75) * (2/3), converted_stat, '2K_Ratings'!T698, IF(bbgm_stat &gt;= perc_95, converted_stat * 3, IF(bbgm_stat &gt;= perc_90, converted_stat * 2, IF(bbgm_stat &gt;= perc_85, converted_stat * 1.5, converted_stat)))))</f>
        <v/>
      </c>
      <c r="U698" s="30" t="str">
        <f t="array" ref="U698">IF($A698="", "", LET(bbgm_stat, INDEX(Players!$A697:$P697, MATCH(U$2, Players!$A$1:$P$1, 0)), perc_75, VLOOKUP(U$2, Percentiles!$A$45:$I$59, 6, FALSE), perc_90, VLOOKUP(U$2, Percentiles!$A$45:$I$59, 7, FALSE), perc_95, VLOOKUP(U$2, Percentiles!$A$45:$I$59, 8, FALSE), perc_85, perc_75 + (perc_90 - perc_75) * (2/3), converted_stat, '2K_Ratings'!U698, IF(bbgm_stat &gt;= perc_95, converted_stat * 3, IF(bbgm_stat &gt;= perc_90, converted_stat * 2, IF(bbgm_stat &gt;= perc_85, converted_stat * 1.5, converted_stat)))))</f>
        <v/>
      </c>
      <c r="V698" s="30" t="str">
        <f t="array" ref="V698">IF($A698="", "", LET(bbgm_stat, INDEX(Players!$A697:$P697, MATCH(V$2, Players!$A$1:$P$1, 0)), perc_75, VLOOKUP(V$2, Percentiles!$A$45:$I$59, 6, FALSE), perc_90, VLOOKUP(V$2, Percentiles!$A$45:$I$59, 7, FALSE), perc_95, VLOOKUP(V$2, Percentiles!$A$45:$I$59, 8, FALSE), perc_85, perc_75 + (perc_90 - perc_75) * (2/3), converted_stat, '2K_Ratings'!V698, IF(bbgm_stat &gt;= perc_95, converted_stat * 3, IF(bbgm_stat &gt;= perc_90, converted_stat * 2, IF(bbgm_stat &gt;= perc_85, converted_stat * 1.5, converted_stat)))))</f>
        <v/>
      </c>
      <c r="W698" s="30" t="str">
        <f t="array" ref="W698">IF($A698="", "", LET(bbgm_stat, INDEX(Players!$A697:$P697, MATCH(W$2, Players!$A$1:$P$1, 0)), perc_75, VLOOKUP(W$2, Percentiles!$A$45:$I$59, 6, FALSE), perc_90, VLOOKUP(W$2, Percentiles!$A$45:$I$59, 7, FALSE), perc_95, VLOOKUP(W$2, Percentiles!$A$45:$I$59, 8, FALSE), perc_85, perc_75 + (perc_90 - perc_75) * (2/3), converted_stat, '2K_Ratings'!W698, IF(bbgm_stat &gt;= perc_95, converted_stat * 3, IF(bbgm_stat &gt;= perc_90, converted_stat * 2, IF(bbgm_stat &gt;= perc_85, converted_stat * 1.5, converted_stat)))))</f>
        <v/>
      </c>
    </row>
    <row r="699">
      <c r="A699" s="30"/>
      <c r="B699" s="30" t="str">
        <f t="array" ref="B699">IF($A699="", "", LET(bbgm_stat, INDEX(Players!$A698:$P698, MATCH(B$2, Players!$A$1:$P$1, 0)), perc_75, VLOOKUP(B$2, Percentiles!$A$45:$I$59, 6, FALSE), perc_90, VLOOKUP(B$2, Percentiles!$A$45:$I$59, 7, FALSE), perc_95, VLOOKUP(B$2, Percentiles!$A$45:$I$59, 8, FALSE), perc_85, perc_75 + (perc_90 - perc_75) * (2/3), converted_stat, '2K_Ratings'!B699, IF(bbgm_stat &gt;= perc_95, converted_stat * 3, IF(bbgm_stat &gt;= perc_90, converted_stat * 2, IF(bbgm_stat &gt;= perc_85, converted_stat * 1.5, converted_stat)))))</f>
        <v/>
      </c>
      <c r="C699" s="30" t="str">
        <f t="array" ref="C699">IF($A699="", "", LET(bbgm_stat, INDEX(Players!$A698:$P698, MATCH(C$2, Players!$A$1:$P$1, 0)), perc_75, VLOOKUP(C$2, Percentiles!$A$45:$I$59, 6, FALSE), perc_90, VLOOKUP(C$2, Percentiles!$A$45:$I$59, 7, FALSE), perc_95, VLOOKUP(C$2, Percentiles!$A$45:$I$59, 8, FALSE), perc_85, perc_75 + (perc_90 - perc_75) * (2/3), converted_stat, '2K_Ratings'!C699, IF(bbgm_stat &gt;= perc_95, converted_stat * 3, IF(bbgm_stat &gt;= perc_90, converted_stat * 2, IF(bbgm_stat &gt;= perc_85, converted_stat * 1.5, converted_stat)))))</f>
        <v/>
      </c>
      <c r="D699" s="30" t="str">
        <f t="array" ref="D699">IF($A699="", "", LET(bbgm_stat, INDEX(Players!$A698:$P698, MATCH(D$2, Players!$A$1:$P$1, 0)), perc_75, VLOOKUP(D$2, Percentiles!$A$45:$I$59, 6, FALSE), perc_90, VLOOKUP(D$2, Percentiles!$A$45:$I$59, 7, FALSE), perc_95, VLOOKUP(D$2, Percentiles!$A$45:$I$59, 8, FALSE), perc_85, perc_75 + (perc_90 - perc_75) * (2/3), converted_stat, '2K_Ratings'!D699, IF(bbgm_stat &gt;= perc_95, converted_stat * 3, IF(bbgm_stat &gt;= perc_90, converted_stat * 2, IF(bbgm_stat &gt;= perc_85, converted_stat * 1.5, converted_stat)))))</f>
        <v/>
      </c>
      <c r="E699" s="30" t="str">
        <f t="array" ref="E699">IF($A699="", "", LET(bbgm_stat, INDEX(Players!$A698:$P698, MATCH(E$2, Players!$A$1:$P$1, 0)), perc_75, VLOOKUP(E$2, Percentiles!$A$45:$I$59, 6, FALSE), perc_90, VLOOKUP(E$2, Percentiles!$A$45:$I$59, 7, FALSE), perc_95, VLOOKUP(E$2, Percentiles!$A$45:$I$59, 8, FALSE), perc_85, perc_75 + (perc_90 - perc_75) * (2/3), converted_stat, '2K_Ratings'!E699, IF(bbgm_stat &gt;= perc_95, converted_stat * 3, IF(bbgm_stat &gt;= perc_90, converted_stat * 2, IF(bbgm_stat &gt;= perc_85, converted_stat * 1.5, converted_stat)))))</f>
        <v/>
      </c>
      <c r="F699" s="30" t="str">
        <f t="array" ref="F699">IF($A699="", "", LET(bbgm_stat, INDEX(Players!$A698:$P698, MATCH(F$2, Players!$A$1:$P$1, 0)), perc_75, VLOOKUP(F$2, Percentiles!$A$45:$I$59, 6, FALSE), perc_90, VLOOKUP(F$2, Percentiles!$A$45:$I$59, 7, FALSE), perc_95, VLOOKUP(F$2, Percentiles!$A$45:$I$59, 8, FALSE), perc_85, perc_75 + (perc_90 - perc_75) * (2/3), converted_stat, '2K_Ratings'!F699, IF(bbgm_stat &gt;= perc_95, converted_stat * 3, IF(bbgm_stat &gt;= perc_90, converted_stat * 2, IF(bbgm_stat &gt;= perc_85, converted_stat * 1.5, converted_stat)))))</f>
        <v/>
      </c>
      <c r="G699" s="30" t="str">
        <f t="array" ref="G699">IF($A699="", "", LET(bbgm_stat, INDEX(Players!$A698:$P698, MATCH(G$2, Players!$A$1:$P$1, 0)), perc_75, VLOOKUP(G$2, Percentiles!$A$45:$I$59, 6, FALSE), perc_90, VLOOKUP(G$2, Percentiles!$A$45:$I$59, 7, FALSE), perc_95, VLOOKUP(G$2, Percentiles!$A$45:$I$59, 8, FALSE), perc_85, perc_75 + (perc_90 - perc_75) * (2/3), converted_stat, '2K_Ratings'!G699, IF(bbgm_stat &gt;= perc_95, converted_stat * 3, IF(bbgm_stat &gt;= perc_90, converted_stat * 2, IF(bbgm_stat &gt;= perc_85, converted_stat * 1.5, converted_stat)))))</f>
        <v/>
      </c>
      <c r="H699" s="30" t="str">
        <f t="array" ref="H699">IF($A699="", "", LET(bbgm_stat, INDEX(Players!$A698:$P698, MATCH(H$2, Players!$A$1:$P$1, 0)), perc_75, VLOOKUP(H$2, Percentiles!$A$45:$I$59, 6, FALSE), perc_90, VLOOKUP(H$2, Percentiles!$A$45:$I$59, 7, FALSE), perc_95, VLOOKUP(H$2, Percentiles!$A$45:$I$59, 8, FALSE), perc_85, perc_75 + (perc_90 - perc_75) * (2/3), converted_stat, '2K_Ratings'!H699, IF(bbgm_stat &gt;= perc_95, converted_stat * 3, IF(bbgm_stat &gt;= perc_90, converted_stat * 2, IF(bbgm_stat &gt;= perc_85, converted_stat * 1.5, converted_stat)))))</f>
        <v/>
      </c>
      <c r="I699" s="30" t="str">
        <f t="array" ref="I699">IF($A699="", "", LET(bbgm_stat, INDEX(Players!$A698:$P698, MATCH(I$2, Players!$A$1:$P$1, 0)), perc_75, VLOOKUP(I$2, Percentiles!$A$45:$I$59, 6, FALSE), perc_90, VLOOKUP(I$2, Percentiles!$A$45:$I$59, 7, FALSE), perc_95, VLOOKUP(I$2, Percentiles!$A$45:$I$59, 8, FALSE), perc_85, perc_75 + (perc_90 - perc_75) * (2/3), converted_stat, '2K_Ratings'!I699, IF(bbgm_stat &gt;= perc_95, converted_stat * 3, IF(bbgm_stat &gt;= perc_90, converted_stat * 2, IF(bbgm_stat &gt;= perc_85, converted_stat * 1.5, converted_stat)))))</f>
        <v/>
      </c>
      <c r="J699" s="30" t="str">
        <f t="array" ref="J699">IF($A699="", "", LET(bbgm_stat, INDEX(Players!$A698:$P698, MATCH(J$2, Players!$A$1:$P$1, 0)), perc_75, VLOOKUP(J$2, Percentiles!$A$45:$I$59, 6, FALSE), perc_90, VLOOKUP(J$2, Percentiles!$A$45:$I$59, 7, FALSE), perc_95, VLOOKUP(J$2, Percentiles!$A$45:$I$59, 8, FALSE), perc_85, perc_75 + (perc_90 - perc_75) * (2/3), converted_stat, '2K_Ratings'!J699, IF(bbgm_stat &gt;= perc_95, converted_stat * 3, IF(bbgm_stat &gt;= perc_90, converted_stat * 2, IF(bbgm_stat &gt;= perc_85, converted_stat * 1.5, converted_stat)))))</f>
        <v/>
      </c>
      <c r="K699" s="30" t="str">
        <f t="array" ref="K699">IF($A699="", "", LET(bbgm_stat, INDEX(Players!$A698:$P698, MATCH(K$2, Players!$A$1:$P$1, 0)), perc_75, VLOOKUP(K$2, Percentiles!$A$45:$I$59, 6, FALSE), perc_90, VLOOKUP(K$2, Percentiles!$A$45:$I$59, 7, FALSE), perc_95, VLOOKUP(K$2, Percentiles!$A$45:$I$59, 8, FALSE), perc_85, perc_75 + (perc_90 - perc_75) * (2/3), converted_stat, '2K_Ratings'!K699, IF(bbgm_stat &gt;= perc_95, converted_stat * 3, IF(bbgm_stat &gt;= perc_90, converted_stat * 2, IF(bbgm_stat &gt;= perc_85, converted_stat * 1.5, converted_stat)))))</f>
        <v/>
      </c>
      <c r="L699" s="30" t="str">
        <f t="array" ref="L699">IF($A699="", "", LET(bbgm_stat, INDEX(Players!$A698:$P698, MATCH(L$2, Players!$A$1:$P$1, 0)), perc_75, VLOOKUP(L$2, Percentiles!$A$45:$I$59, 6, FALSE), perc_90, VLOOKUP(L$2, Percentiles!$A$45:$I$59, 7, FALSE), perc_95, VLOOKUP(L$2, Percentiles!$A$45:$I$59, 8, FALSE), perc_85, perc_75 + (perc_90 - perc_75) * (2/3), converted_stat, '2K_Ratings'!L699, IF(bbgm_stat &gt;= perc_95, converted_stat * 3, IF(bbgm_stat &gt;= perc_90, converted_stat * 2, IF(bbgm_stat &gt;= perc_85, converted_stat * 1.5, converted_stat)))))</f>
        <v/>
      </c>
      <c r="M699" s="30" t="str">
        <f t="array" ref="M699">IF($A699="", "", LET(bbgm_stat, INDEX(Players!$A698:$P698, MATCH(M$2, Players!$A$1:$P$1, 0)), perc_75, VLOOKUP(M$2, Percentiles!$A$45:$I$59, 6, FALSE), perc_90, VLOOKUP(M$2, Percentiles!$A$45:$I$59, 7, FALSE), perc_95, VLOOKUP(M$2, Percentiles!$A$45:$I$59, 8, FALSE), perc_85, perc_75 + (perc_90 - perc_75) * (2/3), converted_stat, '2K_Ratings'!M699, IF(bbgm_stat &gt;= perc_95, converted_stat * 3, IF(bbgm_stat &gt;= perc_90, converted_stat * 2, IF(bbgm_stat &gt;= perc_85, converted_stat * 1.5, converted_stat)))))</f>
        <v/>
      </c>
      <c r="N699" s="30" t="str">
        <f t="array" ref="N699">IF($A699="", "", LET(bbgm_stat, INDEX(Players!$A698:$P698, MATCH(N$2, Players!$A$1:$P$1, 0)), perc_75, VLOOKUP(N$2, Percentiles!$A$45:$I$59, 6, FALSE), perc_90, VLOOKUP(N$2, Percentiles!$A$45:$I$59, 7, FALSE), perc_95, VLOOKUP(N$2, Percentiles!$A$45:$I$59, 8, FALSE), perc_85, perc_75 + (perc_90 - perc_75) * (2/3), converted_stat, '2K_Ratings'!N699, IF(bbgm_stat &gt;= perc_95, converted_stat * 3, IF(bbgm_stat &gt;= perc_90, converted_stat * 2, IF(bbgm_stat &gt;= perc_85, converted_stat * 1.5, converted_stat)))))</f>
        <v/>
      </c>
      <c r="O699" s="30" t="str">
        <f t="array" ref="O699">IF($A699="", "", LET(bbgm_stat, INDEX(Players!$A698:$P698, MATCH(O$2, Players!$A$1:$P$1, 0)), perc_75, VLOOKUP(O$2, Percentiles!$A$45:$I$59, 6, FALSE), perc_90, VLOOKUP(O$2, Percentiles!$A$45:$I$59, 7, FALSE), perc_95, VLOOKUP(O$2, Percentiles!$A$45:$I$59, 8, FALSE), perc_85, perc_75 + (perc_90 - perc_75) * (2/3), converted_stat, '2K_Ratings'!O699, IF(bbgm_stat &gt;= perc_95, converted_stat * 3, IF(bbgm_stat &gt;= perc_90, converted_stat * 2, IF(bbgm_stat &gt;= perc_85, converted_stat * 1.5, converted_stat)))))</f>
        <v/>
      </c>
      <c r="P699" s="30" t="str">
        <f t="array" ref="P699">IF($A699="", "", LET(bbgm_stat, INDEX(Players!$A698:$P698, MATCH(P$2, Players!$A$1:$P$1, 0)), perc_75, VLOOKUP(P$2, Percentiles!$A$45:$I$59, 6, FALSE), perc_90, VLOOKUP(P$2, Percentiles!$A$45:$I$59, 7, FALSE), perc_95, VLOOKUP(P$2, Percentiles!$A$45:$I$59, 8, FALSE), perc_85, perc_75 + (perc_90 - perc_75) * (2/3), converted_stat, '2K_Ratings'!P699, IF(bbgm_stat &gt;= perc_95, converted_stat * 3, IF(bbgm_stat &gt;= perc_90, converted_stat * 2, IF(bbgm_stat &gt;= perc_85, converted_stat * 1.5, converted_stat)))))</f>
        <v/>
      </c>
      <c r="Q699" s="30" t="str">
        <f t="array" ref="Q699">IF($A699="", "", LET(bbgm_stat, INDEX(Players!$A698:$P698, MATCH(Q$2, Players!$A$1:$P$1, 0)), perc_75, VLOOKUP(Q$2, Percentiles!$A$45:$I$59, 6, FALSE), perc_90, VLOOKUP(Q$2, Percentiles!$A$45:$I$59, 7, FALSE), perc_95, VLOOKUP(Q$2, Percentiles!$A$45:$I$59, 8, FALSE), perc_85, perc_75 + (perc_90 - perc_75) * (2/3), converted_stat, '2K_Ratings'!Q699, IF(bbgm_stat &gt;= perc_95, converted_stat * 3, IF(bbgm_stat &gt;= perc_90, converted_stat * 2, IF(bbgm_stat &gt;= perc_85, converted_stat * 1.5, converted_stat)))))</f>
        <v/>
      </c>
      <c r="R699" s="30" t="str">
        <f t="array" ref="R699">IF($A699="", "", LET(bbgm_stat, INDEX(Players!$A698:$P698, MATCH(R$2, Players!$A$1:$P$1, 0)), perc_75, VLOOKUP(R$2, Percentiles!$A$45:$I$59, 6, FALSE), perc_90, VLOOKUP(R$2, Percentiles!$A$45:$I$59, 7, FALSE), perc_95, VLOOKUP(R$2, Percentiles!$A$45:$I$59, 8, FALSE), perc_85, perc_75 + (perc_90 - perc_75) * (2/3), converted_stat, '2K_Ratings'!R699, IF(bbgm_stat &gt;= perc_95, converted_stat * 3, IF(bbgm_stat &gt;= perc_90, converted_stat * 2, IF(bbgm_stat &gt;= perc_85, converted_stat * 1.5, converted_stat)))))</f>
        <v/>
      </c>
      <c r="S699" s="30" t="str">
        <f t="array" ref="S699">IF($A699="", "", LET(bbgm_stat, INDEX(Players!$A698:$P698, MATCH(S$2, Players!$A$1:$P$1, 0)), perc_75, VLOOKUP(S$2, Percentiles!$A$45:$I$59, 6, FALSE), perc_90, VLOOKUP(S$2, Percentiles!$A$45:$I$59, 7, FALSE), perc_95, VLOOKUP(S$2, Percentiles!$A$45:$I$59, 8, FALSE), perc_85, perc_75 + (perc_90 - perc_75) * (2/3), converted_stat, '2K_Ratings'!S699, IF(bbgm_stat &gt;= perc_95, converted_stat * 3, IF(bbgm_stat &gt;= perc_90, converted_stat * 2, IF(bbgm_stat &gt;= perc_85, converted_stat * 1.5, converted_stat)))))</f>
        <v/>
      </c>
      <c r="T699" s="30" t="str">
        <f t="array" ref="T699">IF($A699="", "", LET(bbgm_stat, INDEX(Players!$A698:$P698, MATCH(T$2, Players!$A$1:$P$1, 0)), perc_75, VLOOKUP(T$2, Percentiles!$A$45:$I$59, 6, FALSE), perc_90, VLOOKUP(T$2, Percentiles!$A$45:$I$59, 7, FALSE), perc_95, VLOOKUP(T$2, Percentiles!$A$45:$I$59, 8, FALSE), perc_85, perc_75 + (perc_90 - perc_75) * (2/3), converted_stat, '2K_Ratings'!T699, IF(bbgm_stat &gt;= perc_95, converted_stat * 3, IF(bbgm_stat &gt;= perc_90, converted_stat * 2, IF(bbgm_stat &gt;= perc_85, converted_stat * 1.5, converted_stat)))))</f>
        <v/>
      </c>
      <c r="U699" s="30" t="str">
        <f t="array" ref="U699">IF($A699="", "", LET(bbgm_stat, INDEX(Players!$A698:$P698, MATCH(U$2, Players!$A$1:$P$1, 0)), perc_75, VLOOKUP(U$2, Percentiles!$A$45:$I$59, 6, FALSE), perc_90, VLOOKUP(U$2, Percentiles!$A$45:$I$59, 7, FALSE), perc_95, VLOOKUP(U$2, Percentiles!$A$45:$I$59, 8, FALSE), perc_85, perc_75 + (perc_90 - perc_75) * (2/3), converted_stat, '2K_Ratings'!U699, IF(bbgm_stat &gt;= perc_95, converted_stat * 3, IF(bbgm_stat &gt;= perc_90, converted_stat * 2, IF(bbgm_stat &gt;= perc_85, converted_stat * 1.5, converted_stat)))))</f>
        <v/>
      </c>
      <c r="V699" s="30" t="str">
        <f t="array" ref="V699">IF($A699="", "", LET(bbgm_stat, INDEX(Players!$A698:$P698, MATCH(V$2, Players!$A$1:$P$1, 0)), perc_75, VLOOKUP(V$2, Percentiles!$A$45:$I$59, 6, FALSE), perc_90, VLOOKUP(V$2, Percentiles!$A$45:$I$59, 7, FALSE), perc_95, VLOOKUP(V$2, Percentiles!$A$45:$I$59, 8, FALSE), perc_85, perc_75 + (perc_90 - perc_75) * (2/3), converted_stat, '2K_Ratings'!V699, IF(bbgm_stat &gt;= perc_95, converted_stat * 3, IF(bbgm_stat &gt;= perc_90, converted_stat * 2, IF(bbgm_stat &gt;= perc_85, converted_stat * 1.5, converted_stat)))))</f>
        <v/>
      </c>
      <c r="W699" s="30" t="str">
        <f t="array" ref="W699">IF($A699="", "", LET(bbgm_stat, INDEX(Players!$A698:$P698, MATCH(W$2, Players!$A$1:$P$1, 0)), perc_75, VLOOKUP(W$2, Percentiles!$A$45:$I$59, 6, FALSE), perc_90, VLOOKUP(W$2, Percentiles!$A$45:$I$59, 7, FALSE), perc_95, VLOOKUP(W$2, Percentiles!$A$45:$I$59, 8, FALSE), perc_85, perc_75 + (perc_90 - perc_75) * (2/3), converted_stat, '2K_Ratings'!W699, IF(bbgm_stat &gt;= perc_95, converted_stat * 3, IF(bbgm_stat &gt;= perc_90, converted_stat * 2, IF(bbgm_stat &gt;= perc_85, converted_stat * 1.5, converted_stat)))))</f>
        <v/>
      </c>
    </row>
    <row r="700">
      <c r="A700" s="30"/>
      <c r="B700" s="30" t="str">
        <f t="array" ref="B700">IF($A700="", "", LET(bbgm_stat, INDEX(Players!$A699:$P699, MATCH(B$2, Players!$A$1:$P$1, 0)), perc_75, VLOOKUP(B$2, Percentiles!$A$45:$I$59, 6, FALSE), perc_90, VLOOKUP(B$2, Percentiles!$A$45:$I$59, 7, FALSE), perc_95, VLOOKUP(B$2, Percentiles!$A$45:$I$59, 8, FALSE), perc_85, perc_75 + (perc_90 - perc_75) * (2/3), converted_stat, '2K_Ratings'!B700, IF(bbgm_stat &gt;= perc_95, converted_stat * 3, IF(bbgm_stat &gt;= perc_90, converted_stat * 2, IF(bbgm_stat &gt;= perc_85, converted_stat * 1.5, converted_stat)))))</f>
        <v/>
      </c>
      <c r="C700" s="30" t="str">
        <f t="array" ref="C700">IF($A700="", "", LET(bbgm_stat, INDEX(Players!$A699:$P699, MATCH(C$2, Players!$A$1:$P$1, 0)), perc_75, VLOOKUP(C$2, Percentiles!$A$45:$I$59, 6, FALSE), perc_90, VLOOKUP(C$2, Percentiles!$A$45:$I$59, 7, FALSE), perc_95, VLOOKUP(C$2, Percentiles!$A$45:$I$59, 8, FALSE), perc_85, perc_75 + (perc_90 - perc_75) * (2/3), converted_stat, '2K_Ratings'!C700, IF(bbgm_stat &gt;= perc_95, converted_stat * 3, IF(bbgm_stat &gt;= perc_90, converted_stat * 2, IF(bbgm_stat &gt;= perc_85, converted_stat * 1.5, converted_stat)))))</f>
        <v/>
      </c>
      <c r="D700" s="30" t="str">
        <f t="array" ref="D700">IF($A700="", "", LET(bbgm_stat, INDEX(Players!$A699:$P699, MATCH(D$2, Players!$A$1:$P$1, 0)), perc_75, VLOOKUP(D$2, Percentiles!$A$45:$I$59, 6, FALSE), perc_90, VLOOKUP(D$2, Percentiles!$A$45:$I$59, 7, FALSE), perc_95, VLOOKUP(D$2, Percentiles!$A$45:$I$59, 8, FALSE), perc_85, perc_75 + (perc_90 - perc_75) * (2/3), converted_stat, '2K_Ratings'!D700, IF(bbgm_stat &gt;= perc_95, converted_stat * 3, IF(bbgm_stat &gt;= perc_90, converted_stat * 2, IF(bbgm_stat &gt;= perc_85, converted_stat * 1.5, converted_stat)))))</f>
        <v/>
      </c>
      <c r="E700" s="30" t="str">
        <f t="array" ref="E700">IF($A700="", "", LET(bbgm_stat, INDEX(Players!$A699:$P699, MATCH(E$2, Players!$A$1:$P$1, 0)), perc_75, VLOOKUP(E$2, Percentiles!$A$45:$I$59, 6, FALSE), perc_90, VLOOKUP(E$2, Percentiles!$A$45:$I$59, 7, FALSE), perc_95, VLOOKUP(E$2, Percentiles!$A$45:$I$59, 8, FALSE), perc_85, perc_75 + (perc_90 - perc_75) * (2/3), converted_stat, '2K_Ratings'!E700, IF(bbgm_stat &gt;= perc_95, converted_stat * 3, IF(bbgm_stat &gt;= perc_90, converted_stat * 2, IF(bbgm_stat &gt;= perc_85, converted_stat * 1.5, converted_stat)))))</f>
        <v/>
      </c>
      <c r="F700" s="30" t="str">
        <f t="array" ref="F700">IF($A700="", "", LET(bbgm_stat, INDEX(Players!$A699:$P699, MATCH(F$2, Players!$A$1:$P$1, 0)), perc_75, VLOOKUP(F$2, Percentiles!$A$45:$I$59, 6, FALSE), perc_90, VLOOKUP(F$2, Percentiles!$A$45:$I$59, 7, FALSE), perc_95, VLOOKUP(F$2, Percentiles!$A$45:$I$59, 8, FALSE), perc_85, perc_75 + (perc_90 - perc_75) * (2/3), converted_stat, '2K_Ratings'!F700, IF(bbgm_stat &gt;= perc_95, converted_stat * 3, IF(bbgm_stat &gt;= perc_90, converted_stat * 2, IF(bbgm_stat &gt;= perc_85, converted_stat * 1.5, converted_stat)))))</f>
        <v/>
      </c>
      <c r="G700" s="30" t="str">
        <f t="array" ref="G700">IF($A700="", "", LET(bbgm_stat, INDEX(Players!$A699:$P699, MATCH(G$2, Players!$A$1:$P$1, 0)), perc_75, VLOOKUP(G$2, Percentiles!$A$45:$I$59, 6, FALSE), perc_90, VLOOKUP(G$2, Percentiles!$A$45:$I$59, 7, FALSE), perc_95, VLOOKUP(G$2, Percentiles!$A$45:$I$59, 8, FALSE), perc_85, perc_75 + (perc_90 - perc_75) * (2/3), converted_stat, '2K_Ratings'!G700, IF(bbgm_stat &gt;= perc_95, converted_stat * 3, IF(bbgm_stat &gt;= perc_90, converted_stat * 2, IF(bbgm_stat &gt;= perc_85, converted_stat * 1.5, converted_stat)))))</f>
        <v/>
      </c>
      <c r="H700" s="30" t="str">
        <f t="array" ref="H700">IF($A700="", "", LET(bbgm_stat, INDEX(Players!$A699:$P699, MATCH(H$2, Players!$A$1:$P$1, 0)), perc_75, VLOOKUP(H$2, Percentiles!$A$45:$I$59, 6, FALSE), perc_90, VLOOKUP(H$2, Percentiles!$A$45:$I$59, 7, FALSE), perc_95, VLOOKUP(H$2, Percentiles!$A$45:$I$59, 8, FALSE), perc_85, perc_75 + (perc_90 - perc_75) * (2/3), converted_stat, '2K_Ratings'!H700, IF(bbgm_stat &gt;= perc_95, converted_stat * 3, IF(bbgm_stat &gt;= perc_90, converted_stat * 2, IF(bbgm_stat &gt;= perc_85, converted_stat * 1.5, converted_stat)))))</f>
        <v/>
      </c>
      <c r="I700" s="30" t="str">
        <f t="array" ref="I700">IF($A700="", "", LET(bbgm_stat, INDEX(Players!$A699:$P699, MATCH(I$2, Players!$A$1:$P$1, 0)), perc_75, VLOOKUP(I$2, Percentiles!$A$45:$I$59, 6, FALSE), perc_90, VLOOKUP(I$2, Percentiles!$A$45:$I$59, 7, FALSE), perc_95, VLOOKUP(I$2, Percentiles!$A$45:$I$59, 8, FALSE), perc_85, perc_75 + (perc_90 - perc_75) * (2/3), converted_stat, '2K_Ratings'!I700, IF(bbgm_stat &gt;= perc_95, converted_stat * 3, IF(bbgm_stat &gt;= perc_90, converted_stat * 2, IF(bbgm_stat &gt;= perc_85, converted_stat * 1.5, converted_stat)))))</f>
        <v/>
      </c>
      <c r="J700" s="30" t="str">
        <f t="array" ref="J700">IF($A700="", "", LET(bbgm_stat, INDEX(Players!$A699:$P699, MATCH(J$2, Players!$A$1:$P$1, 0)), perc_75, VLOOKUP(J$2, Percentiles!$A$45:$I$59, 6, FALSE), perc_90, VLOOKUP(J$2, Percentiles!$A$45:$I$59, 7, FALSE), perc_95, VLOOKUP(J$2, Percentiles!$A$45:$I$59, 8, FALSE), perc_85, perc_75 + (perc_90 - perc_75) * (2/3), converted_stat, '2K_Ratings'!J700, IF(bbgm_stat &gt;= perc_95, converted_stat * 3, IF(bbgm_stat &gt;= perc_90, converted_stat * 2, IF(bbgm_stat &gt;= perc_85, converted_stat * 1.5, converted_stat)))))</f>
        <v/>
      </c>
      <c r="K700" s="30" t="str">
        <f t="array" ref="K700">IF($A700="", "", LET(bbgm_stat, INDEX(Players!$A699:$P699, MATCH(K$2, Players!$A$1:$P$1, 0)), perc_75, VLOOKUP(K$2, Percentiles!$A$45:$I$59, 6, FALSE), perc_90, VLOOKUP(K$2, Percentiles!$A$45:$I$59, 7, FALSE), perc_95, VLOOKUP(K$2, Percentiles!$A$45:$I$59, 8, FALSE), perc_85, perc_75 + (perc_90 - perc_75) * (2/3), converted_stat, '2K_Ratings'!K700, IF(bbgm_stat &gt;= perc_95, converted_stat * 3, IF(bbgm_stat &gt;= perc_90, converted_stat * 2, IF(bbgm_stat &gt;= perc_85, converted_stat * 1.5, converted_stat)))))</f>
        <v/>
      </c>
      <c r="L700" s="30" t="str">
        <f t="array" ref="L700">IF($A700="", "", LET(bbgm_stat, INDEX(Players!$A699:$P699, MATCH(L$2, Players!$A$1:$P$1, 0)), perc_75, VLOOKUP(L$2, Percentiles!$A$45:$I$59, 6, FALSE), perc_90, VLOOKUP(L$2, Percentiles!$A$45:$I$59, 7, FALSE), perc_95, VLOOKUP(L$2, Percentiles!$A$45:$I$59, 8, FALSE), perc_85, perc_75 + (perc_90 - perc_75) * (2/3), converted_stat, '2K_Ratings'!L700, IF(bbgm_stat &gt;= perc_95, converted_stat * 3, IF(bbgm_stat &gt;= perc_90, converted_stat * 2, IF(bbgm_stat &gt;= perc_85, converted_stat * 1.5, converted_stat)))))</f>
        <v/>
      </c>
      <c r="M700" s="30" t="str">
        <f t="array" ref="M700">IF($A700="", "", LET(bbgm_stat, INDEX(Players!$A699:$P699, MATCH(M$2, Players!$A$1:$P$1, 0)), perc_75, VLOOKUP(M$2, Percentiles!$A$45:$I$59, 6, FALSE), perc_90, VLOOKUP(M$2, Percentiles!$A$45:$I$59, 7, FALSE), perc_95, VLOOKUP(M$2, Percentiles!$A$45:$I$59, 8, FALSE), perc_85, perc_75 + (perc_90 - perc_75) * (2/3), converted_stat, '2K_Ratings'!M700, IF(bbgm_stat &gt;= perc_95, converted_stat * 3, IF(bbgm_stat &gt;= perc_90, converted_stat * 2, IF(bbgm_stat &gt;= perc_85, converted_stat * 1.5, converted_stat)))))</f>
        <v/>
      </c>
      <c r="N700" s="30" t="str">
        <f t="array" ref="N700">IF($A700="", "", LET(bbgm_stat, INDEX(Players!$A699:$P699, MATCH(N$2, Players!$A$1:$P$1, 0)), perc_75, VLOOKUP(N$2, Percentiles!$A$45:$I$59, 6, FALSE), perc_90, VLOOKUP(N$2, Percentiles!$A$45:$I$59, 7, FALSE), perc_95, VLOOKUP(N$2, Percentiles!$A$45:$I$59, 8, FALSE), perc_85, perc_75 + (perc_90 - perc_75) * (2/3), converted_stat, '2K_Ratings'!N700, IF(bbgm_stat &gt;= perc_95, converted_stat * 3, IF(bbgm_stat &gt;= perc_90, converted_stat * 2, IF(bbgm_stat &gt;= perc_85, converted_stat * 1.5, converted_stat)))))</f>
        <v/>
      </c>
      <c r="O700" s="30" t="str">
        <f t="array" ref="O700">IF($A700="", "", LET(bbgm_stat, INDEX(Players!$A699:$P699, MATCH(O$2, Players!$A$1:$P$1, 0)), perc_75, VLOOKUP(O$2, Percentiles!$A$45:$I$59, 6, FALSE), perc_90, VLOOKUP(O$2, Percentiles!$A$45:$I$59, 7, FALSE), perc_95, VLOOKUP(O$2, Percentiles!$A$45:$I$59, 8, FALSE), perc_85, perc_75 + (perc_90 - perc_75) * (2/3), converted_stat, '2K_Ratings'!O700, IF(bbgm_stat &gt;= perc_95, converted_stat * 3, IF(bbgm_stat &gt;= perc_90, converted_stat * 2, IF(bbgm_stat &gt;= perc_85, converted_stat * 1.5, converted_stat)))))</f>
        <v/>
      </c>
      <c r="P700" s="30" t="str">
        <f t="array" ref="P700">IF($A700="", "", LET(bbgm_stat, INDEX(Players!$A699:$P699, MATCH(P$2, Players!$A$1:$P$1, 0)), perc_75, VLOOKUP(P$2, Percentiles!$A$45:$I$59, 6, FALSE), perc_90, VLOOKUP(P$2, Percentiles!$A$45:$I$59, 7, FALSE), perc_95, VLOOKUP(P$2, Percentiles!$A$45:$I$59, 8, FALSE), perc_85, perc_75 + (perc_90 - perc_75) * (2/3), converted_stat, '2K_Ratings'!P700, IF(bbgm_stat &gt;= perc_95, converted_stat * 3, IF(bbgm_stat &gt;= perc_90, converted_stat * 2, IF(bbgm_stat &gt;= perc_85, converted_stat * 1.5, converted_stat)))))</f>
        <v/>
      </c>
      <c r="Q700" s="30" t="str">
        <f t="array" ref="Q700">IF($A700="", "", LET(bbgm_stat, INDEX(Players!$A699:$P699, MATCH(Q$2, Players!$A$1:$P$1, 0)), perc_75, VLOOKUP(Q$2, Percentiles!$A$45:$I$59, 6, FALSE), perc_90, VLOOKUP(Q$2, Percentiles!$A$45:$I$59, 7, FALSE), perc_95, VLOOKUP(Q$2, Percentiles!$A$45:$I$59, 8, FALSE), perc_85, perc_75 + (perc_90 - perc_75) * (2/3), converted_stat, '2K_Ratings'!Q700, IF(bbgm_stat &gt;= perc_95, converted_stat * 3, IF(bbgm_stat &gt;= perc_90, converted_stat * 2, IF(bbgm_stat &gt;= perc_85, converted_stat * 1.5, converted_stat)))))</f>
        <v/>
      </c>
      <c r="R700" s="30" t="str">
        <f t="array" ref="R700">IF($A700="", "", LET(bbgm_stat, INDEX(Players!$A699:$P699, MATCH(R$2, Players!$A$1:$P$1, 0)), perc_75, VLOOKUP(R$2, Percentiles!$A$45:$I$59, 6, FALSE), perc_90, VLOOKUP(R$2, Percentiles!$A$45:$I$59, 7, FALSE), perc_95, VLOOKUP(R$2, Percentiles!$A$45:$I$59, 8, FALSE), perc_85, perc_75 + (perc_90 - perc_75) * (2/3), converted_stat, '2K_Ratings'!R700, IF(bbgm_stat &gt;= perc_95, converted_stat * 3, IF(bbgm_stat &gt;= perc_90, converted_stat * 2, IF(bbgm_stat &gt;= perc_85, converted_stat * 1.5, converted_stat)))))</f>
        <v/>
      </c>
      <c r="S700" s="30" t="str">
        <f t="array" ref="S700">IF($A700="", "", LET(bbgm_stat, INDEX(Players!$A699:$P699, MATCH(S$2, Players!$A$1:$P$1, 0)), perc_75, VLOOKUP(S$2, Percentiles!$A$45:$I$59, 6, FALSE), perc_90, VLOOKUP(S$2, Percentiles!$A$45:$I$59, 7, FALSE), perc_95, VLOOKUP(S$2, Percentiles!$A$45:$I$59, 8, FALSE), perc_85, perc_75 + (perc_90 - perc_75) * (2/3), converted_stat, '2K_Ratings'!S700, IF(bbgm_stat &gt;= perc_95, converted_stat * 3, IF(bbgm_stat &gt;= perc_90, converted_stat * 2, IF(bbgm_stat &gt;= perc_85, converted_stat * 1.5, converted_stat)))))</f>
        <v/>
      </c>
      <c r="T700" s="30" t="str">
        <f t="array" ref="T700">IF($A700="", "", LET(bbgm_stat, INDEX(Players!$A699:$P699, MATCH(T$2, Players!$A$1:$P$1, 0)), perc_75, VLOOKUP(T$2, Percentiles!$A$45:$I$59, 6, FALSE), perc_90, VLOOKUP(T$2, Percentiles!$A$45:$I$59, 7, FALSE), perc_95, VLOOKUP(T$2, Percentiles!$A$45:$I$59, 8, FALSE), perc_85, perc_75 + (perc_90 - perc_75) * (2/3), converted_stat, '2K_Ratings'!T700, IF(bbgm_stat &gt;= perc_95, converted_stat * 3, IF(bbgm_stat &gt;= perc_90, converted_stat * 2, IF(bbgm_stat &gt;= perc_85, converted_stat * 1.5, converted_stat)))))</f>
        <v/>
      </c>
      <c r="U700" s="30" t="str">
        <f t="array" ref="U700">IF($A700="", "", LET(bbgm_stat, INDEX(Players!$A699:$P699, MATCH(U$2, Players!$A$1:$P$1, 0)), perc_75, VLOOKUP(U$2, Percentiles!$A$45:$I$59, 6, FALSE), perc_90, VLOOKUP(U$2, Percentiles!$A$45:$I$59, 7, FALSE), perc_95, VLOOKUP(U$2, Percentiles!$A$45:$I$59, 8, FALSE), perc_85, perc_75 + (perc_90 - perc_75) * (2/3), converted_stat, '2K_Ratings'!U700, IF(bbgm_stat &gt;= perc_95, converted_stat * 3, IF(bbgm_stat &gt;= perc_90, converted_stat * 2, IF(bbgm_stat &gt;= perc_85, converted_stat * 1.5, converted_stat)))))</f>
        <v/>
      </c>
      <c r="V700" s="30" t="str">
        <f t="array" ref="V700">IF($A700="", "", LET(bbgm_stat, INDEX(Players!$A699:$P699, MATCH(V$2, Players!$A$1:$P$1, 0)), perc_75, VLOOKUP(V$2, Percentiles!$A$45:$I$59, 6, FALSE), perc_90, VLOOKUP(V$2, Percentiles!$A$45:$I$59, 7, FALSE), perc_95, VLOOKUP(V$2, Percentiles!$A$45:$I$59, 8, FALSE), perc_85, perc_75 + (perc_90 - perc_75) * (2/3), converted_stat, '2K_Ratings'!V700, IF(bbgm_stat &gt;= perc_95, converted_stat * 3, IF(bbgm_stat &gt;= perc_90, converted_stat * 2, IF(bbgm_stat &gt;= perc_85, converted_stat * 1.5, converted_stat)))))</f>
        <v/>
      </c>
      <c r="W700" s="30" t="str">
        <f t="array" ref="W700">IF($A700="", "", LET(bbgm_stat, INDEX(Players!$A699:$P699, MATCH(W$2, Players!$A$1:$P$1, 0)), perc_75, VLOOKUP(W$2, Percentiles!$A$45:$I$59, 6, FALSE), perc_90, VLOOKUP(W$2, Percentiles!$A$45:$I$59, 7, FALSE), perc_95, VLOOKUP(W$2, Percentiles!$A$45:$I$59, 8, FALSE), perc_85, perc_75 + (perc_90 - perc_75) * (2/3), converted_stat, '2K_Ratings'!W700, IF(bbgm_stat &gt;= perc_95, converted_stat * 3, IF(bbgm_stat &gt;= perc_90, converted_stat * 2, IF(bbgm_stat &gt;= perc_85, converted_stat * 1.5, converted_stat)))))</f>
        <v/>
      </c>
    </row>
    <row r="701">
      <c r="A701" s="30"/>
      <c r="B701" s="30" t="str">
        <f t="array" ref="B701">IF($A701="", "", LET(bbgm_stat, INDEX(Players!$A700:$P700, MATCH(B$2, Players!$A$1:$P$1, 0)), perc_75, VLOOKUP(B$2, Percentiles!$A$45:$I$59, 6, FALSE), perc_90, VLOOKUP(B$2, Percentiles!$A$45:$I$59, 7, FALSE), perc_95, VLOOKUP(B$2, Percentiles!$A$45:$I$59, 8, FALSE), perc_85, perc_75 + (perc_90 - perc_75) * (2/3), converted_stat, '2K_Ratings'!B701, IF(bbgm_stat &gt;= perc_95, converted_stat * 3, IF(bbgm_stat &gt;= perc_90, converted_stat * 2, IF(bbgm_stat &gt;= perc_85, converted_stat * 1.5, converted_stat)))))</f>
        <v/>
      </c>
      <c r="C701" s="30" t="str">
        <f t="array" ref="C701">IF($A701="", "", LET(bbgm_stat, INDEX(Players!$A700:$P700, MATCH(C$2, Players!$A$1:$P$1, 0)), perc_75, VLOOKUP(C$2, Percentiles!$A$45:$I$59, 6, FALSE), perc_90, VLOOKUP(C$2, Percentiles!$A$45:$I$59, 7, FALSE), perc_95, VLOOKUP(C$2, Percentiles!$A$45:$I$59, 8, FALSE), perc_85, perc_75 + (perc_90 - perc_75) * (2/3), converted_stat, '2K_Ratings'!C701, IF(bbgm_stat &gt;= perc_95, converted_stat * 3, IF(bbgm_stat &gt;= perc_90, converted_stat * 2, IF(bbgm_stat &gt;= perc_85, converted_stat * 1.5, converted_stat)))))</f>
        <v/>
      </c>
      <c r="D701" s="30" t="str">
        <f t="array" ref="D701">IF($A701="", "", LET(bbgm_stat, INDEX(Players!$A700:$P700, MATCH(D$2, Players!$A$1:$P$1, 0)), perc_75, VLOOKUP(D$2, Percentiles!$A$45:$I$59, 6, FALSE), perc_90, VLOOKUP(D$2, Percentiles!$A$45:$I$59, 7, FALSE), perc_95, VLOOKUP(D$2, Percentiles!$A$45:$I$59, 8, FALSE), perc_85, perc_75 + (perc_90 - perc_75) * (2/3), converted_stat, '2K_Ratings'!D701, IF(bbgm_stat &gt;= perc_95, converted_stat * 3, IF(bbgm_stat &gt;= perc_90, converted_stat * 2, IF(bbgm_stat &gt;= perc_85, converted_stat * 1.5, converted_stat)))))</f>
        <v/>
      </c>
      <c r="E701" s="30" t="str">
        <f t="array" ref="E701">IF($A701="", "", LET(bbgm_stat, INDEX(Players!$A700:$P700, MATCH(E$2, Players!$A$1:$P$1, 0)), perc_75, VLOOKUP(E$2, Percentiles!$A$45:$I$59, 6, FALSE), perc_90, VLOOKUP(E$2, Percentiles!$A$45:$I$59, 7, FALSE), perc_95, VLOOKUP(E$2, Percentiles!$A$45:$I$59, 8, FALSE), perc_85, perc_75 + (perc_90 - perc_75) * (2/3), converted_stat, '2K_Ratings'!E701, IF(bbgm_stat &gt;= perc_95, converted_stat * 3, IF(bbgm_stat &gt;= perc_90, converted_stat * 2, IF(bbgm_stat &gt;= perc_85, converted_stat * 1.5, converted_stat)))))</f>
        <v/>
      </c>
      <c r="F701" s="30" t="str">
        <f t="array" ref="F701">IF($A701="", "", LET(bbgm_stat, INDEX(Players!$A700:$P700, MATCH(F$2, Players!$A$1:$P$1, 0)), perc_75, VLOOKUP(F$2, Percentiles!$A$45:$I$59, 6, FALSE), perc_90, VLOOKUP(F$2, Percentiles!$A$45:$I$59, 7, FALSE), perc_95, VLOOKUP(F$2, Percentiles!$A$45:$I$59, 8, FALSE), perc_85, perc_75 + (perc_90 - perc_75) * (2/3), converted_stat, '2K_Ratings'!F701, IF(bbgm_stat &gt;= perc_95, converted_stat * 3, IF(bbgm_stat &gt;= perc_90, converted_stat * 2, IF(bbgm_stat &gt;= perc_85, converted_stat * 1.5, converted_stat)))))</f>
        <v/>
      </c>
      <c r="G701" s="30" t="str">
        <f t="array" ref="G701">IF($A701="", "", LET(bbgm_stat, INDEX(Players!$A700:$P700, MATCH(G$2, Players!$A$1:$P$1, 0)), perc_75, VLOOKUP(G$2, Percentiles!$A$45:$I$59, 6, FALSE), perc_90, VLOOKUP(G$2, Percentiles!$A$45:$I$59, 7, FALSE), perc_95, VLOOKUP(G$2, Percentiles!$A$45:$I$59, 8, FALSE), perc_85, perc_75 + (perc_90 - perc_75) * (2/3), converted_stat, '2K_Ratings'!G701, IF(bbgm_stat &gt;= perc_95, converted_stat * 3, IF(bbgm_stat &gt;= perc_90, converted_stat * 2, IF(bbgm_stat &gt;= perc_85, converted_stat * 1.5, converted_stat)))))</f>
        <v/>
      </c>
      <c r="H701" s="30" t="str">
        <f t="array" ref="H701">IF($A701="", "", LET(bbgm_stat, INDEX(Players!$A700:$P700, MATCH(H$2, Players!$A$1:$P$1, 0)), perc_75, VLOOKUP(H$2, Percentiles!$A$45:$I$59, 6, FALSE), perc_90, VLOOKUP(H$2, Percentiles!$A$45:$I$59, 7, FALSE), perc_95, VLOOKUP(H$2, Percentiles!$A$45:$I$59, 8, FALSE), perc_85, perc_75 + (perc_90 - perc_75) * (2/3), converted_stat, '2K_Ratings'!H701, IF(bbgm_stat &gt;= perc_95, converted_stat * 3, IF(bbgm_stat &gt;= perc_90, converted_stat * 2, IF(bbgm_stat &gt;= perc_85, converted_stat * 1.5, converted_stat)))))</f>
        <v/>
      </c>
      <c r="I701" s="30" t="str">
        <f t="array" ref="I701">IF($A701="", "", LET(bbgm_stat, INDEX(Players!$A700:$P700, MATCH(I$2, Players!$A$1:$P$1, 0)), perc_75, VLOOKUP(I$2, Percentiles!$A$45:$I$59, 6, FALSE), perc_90, VLOOKUP(I$2, Percentiles!$A$45:$I$59, 7, FALSE), perc_95, VLOOKUP(I$2, Percentiles!$A$45:$I$59, 8, FALSE), perc_85, perc_75 + (perc_90 - perc_75) * (2/3), converted_stat, '2K_Ratings'!I701, IF(bbgm_stat &gt;= perc_95, converted_stat * 3, IF(bbgm_stat &gt;= perc_90, converted_stat * 2, IF(bbgm_stat &gt;= perc_85, converted_stat * 1.5, converted_stat)))))</f>
        <v/>
      </c>
      <c r="J701" s="30" t="str">
        <f t="array" ref="J701">IF($A701="", "", LET(bbgm_stat, INDEX(Players!$A700:$P700, MATCH(J$2, Players!$A$1:$P$1, 0)), perc_75, VLOOKUP(J$2, Percentiles!$A$45:$I$59, 6, FALSE), perc_90, VLOOKUP(J$2, Percentiles!$A$45:$I$59, 7, FALSE), perc_95, VLOOKUP(J$2, Percentiles!$A$45:$I$59, 8, FALSE), perc_85, perc_75 + (perc_90 - perc_75) * (2/3), converted_stat, '2K_Ratings'!J701, IF(bbgm_stat &gt;= perc_95, converted_stat * 3, IF(bbgm_stat &gt;= perc_90, converted_stat * 2, IF(bbgm_stat &gt;= perc_85, converted_stat * 1.5, converted_stat)))))</f>
        <v/>
      </c>
      <c r="K701" s="30" t="str">
        <f t="array" ref="K701">IF($A701="", "", LET(bbgm_stat, INDEX(Players!$A700:$P700, MATCH(K$2, Players!$A$1:$P$1, 0)), perc_75, VLOOKUP(K$2, Percentiles!$A$45:$I$59, 6, FALSE), perc_90, VLOOKUP(K$2, Percentiles!$A$45:$I$59, 7, FALSE), perc_95, VLOOKUP(K$2, Percentiles!$A$45:$I$59, 8, FALSE), perc_85, perc_75 + (perc_90 - perc_75) * (2/3), converted_stat, '2K_Ratings'!K701, IF(bbgm_stat &gt;= perc_95, converted_stat * 3, IF(bbgm_stat &gt;= perc_90, converted_stat * 2, IF(bbgm_stat &gt;= perc_85, converted_stat * 1.5, converted_stat)))))</f>
        <v/>
      </c>
      <c r="L701" s="30" t="str">
        <f t="array" ref="L701">IF($A701="", "", LET(bbgm_stat, INDEX(Players!$A700:$P700, MATCH(L$2, Players!$A$1:$P$1, 0)), perc_75, VLOOKUP(L$2, Percentiles!$A$45:$I$59, 6, FALSE), perc_90, VLOOKUP(L$2, Percentiles!$A$45:$I$59, 7, FALSE), perc_95, VLOOKUP(L$2, Percentiles!$A$45:$I$59, 8, FALSE), perc_85, perc_75 + (perc_90 - perc_75) * (2/3), converted_stat, '2K_Ratings'!L701, IF(bbgm_stat &gt;= perc_95, converted_stat * 3, IF(bbgm_stat &gt;= perc_90, converted_stat * 2, IF(bbgm_stat &gt;= perc_85, converted_stat * 1.5, converted_stat)))))</f>
        <v/>
      </c>
      <c r="M701" s="30" t="str">
        <f t="array" ref="M701">IF($A701="", "", LET(bbgm_stat, INDEX(Players!$A700:$P700, MATCH(M$2, Players!$A$1:$P$1, 0)), perc_75, VLOOKUP(M$2, Percentiles!$A$45:$I$59, 6, FALSE), perc_90, VLOOKUP(M$2, Percentiles!$A$45:$I$59, 7, FALSE), perc_95, VLOOKUP(M$2, Percentiles!$A$45:$I$59, 8, FALSE), perc_85, perc_75 + (perc_90 - perc_75) * (2/3), converted_stat, '2K_Ratings'!M701, IF(bbgm_stat &gt;= perc_95, converted_stat * 3, IF(bbgm_stat &gt;= perc_90, converted_stat * 2, IF(bbgm_stat &gt;= perc_85, converted_stat * 1.5, converted_stat)))))</f>
        <v/>
      </c>
      <c r="N701" s="30" t="str">
        <f t="array" ref="N701">IF($A701="", "", LET(bbgm_stat, INDEX(Players!$A700:$P700, MATCH(N$2, Players!$A$1:$P$1, 0)), perc_75, VLOOKUP(N$2, Percentiles!$A$45:$I$59, 6, FALSE), perc_90, VLOOKUP(N$2, Percentiles!$A$45:$I$59, 7, FALSE), perc_95, VLOOKUP(N$2, Percentiles!$A$45:$I$59, 8, FALSE), perc_85, perc_75 + (perc_90 - perc_75) * (2/3), converted_stat, '2K_Ratings'!N701, IF(bbgm_stat &gt;= perc_95, converted_stat * 3, IF(bbgm_stat &gt;= perc_90, converted_stat * 2, IF(bbgm_stat &gt;= perc_85, converted_stat * 1.5, converted_stat)))))</f>
        <v/>
      </c>
      <c r="O701" s="30" t="str">
        <f t="array" ref="O701">IF($A701="", "", LET(bbgm_stat, INDEX(Players!$A700:$P700, MATCH(O$2, Players!$A$1:$P$1, 0)), perc_75, VLOOKUP(O$2, Percentiles!$A$45:$I$59, 6, FALSE), perc_90, VLOOKUP(O$2, Percentiles!$A$45:$I$59, 7, FALSE), perc_95, VLOOKUP(O$2, Percentiles!$A$45:$I$59, 8, FALSE), perc_85, perc_75 + (perc_90 - perc_75) * (2/3), converted_stat, '2K_Ratings'!O701, IF(bbgm_stat &gt;= perc_95, converted_stat * 3, IF(bbgm_stat &gt;= perc_90, converted_stat * 2, IF(bbgm_stat &gt;= perc_85, converted_stat * 1.5, converted_stat)))))</f>
        <v/>
      </c>
      <c r="P701" s="30" t="str">
        <f t="array" ref="P701">IF($A701="", "", LET(bbgm_stat, INDEX(Players!$A700:$P700, MATCH(P$2, Players!$A$1:$P$1, 0)), perc_75, VLOOKUP(P$2, Percentiles!$A$45:$I$59, 6, FALSE), perc_90, VLOOKUP(P$2, Percentiles!$A$45:$I$59, 7, FALSE), perc_95, VLOOKUP(P$2, Percentiles!$A$45:$I$59, 8, FALSE), perc_85, perc_75 + (perc_90 - perc_75) * (2/3), converted_stat, '2K_Ratings'!P701, IF(bbgm_stat &gt;= perc_95, converted_stat * 3, IF(bbgm_stat &gt;= perc_90, converted_stat * 2, IF(bbgm_stat &gt;= perc_85, converted_stat * 1.5, converted_stat)))))</f>
        <v/>
      </c>
      <c r="Q701" s="30" t="str">
        <f t="array" ref="Q701">IF($A701="", "", LET(bbgm_stat, INDEX(Players!$A700:$P700, MATCH(Q$2, Players!$A$1:$P$1, 0)), perc_75, VLOOKUP(Q$2, Percentiles!$A$45:$I$59, 6, FALSE), perc_90, VLOOKUP(Q$2, Percentiles!$A$45:$I$59, 7, FALSE), perc_95, VLOOKUP(Q$2, Percentiles!$A$45:$I$59, 8, FALSE), perc_85, perc_75 + (perc_90 - perc_75) * (2/3), converted_stat, '2K_Ratings'!Q701, IF(bbgm_stat &gt;= perc_95, converted_stat * 3, IF(bbgm_stat &gt;= perc_90, converted_stat * 2, IF(bbgm_stat &gt;= perc_85, converted_stat * 1.5, converted_stat)))))</f>
        <v/>
      </c>
      <c r="R701" s="30" t="str">
        <f t="array" ref="R701">IF($A701="", "", LET(bbgm_stat, INDEX(Players!$A700:$P700, MATCH(R$2, Players!$A$1:$P$1, 0)), perc_75, VLOOKUP(R$2, Percentiles!$A$45:$I$59, 6, FALSE), perc_90, VLOOKUP(R$2, Percentiles!$A$45:$I$59, 7, FALSE), perc_95, VLOOKUP(R$2, Percentiles!$A$45:$I$59, 8, FALSE), perc_85, perc_75 + (perc_90 - perc_75) * (2/3), converted_stat, '2K_Ratings'!R701, IF(bbgm_stat &gt;= perc_95, converted_stat * 3, IF(bbgm_stat &gt;= perc_90, converted_stat * 2, IF(bbgm_stat &gt;= perc_85, converted_stat * 1.5, converted_stat)))))</f>
        <v/>
      </c>
      <c r="S701" s="30" t="str">
        <f t="array" ref="S701">IF($A701="", "", LET(bbgm_stat, INDEX(Players!$A700:$P700, MATCH(S$2, Players!$A$1:$P$1, 0)), perc_75, VLOOKUP(S$2, Percentiles!$A$45:$I$59, 6, FALSE), perc_90, VLOOKUP(S$2, Percentiles!$A$45:$I$59, 7, FALSE), perc_95, VLOOKUP(S$2, Percentiles!$A$45:$I$59, 8, FALSE), perc_85, perc_75 + (perc_90 - perc_75) * (2/3), converted_stat, '2K_Ratings'!S701, IF(bbgm_stat &gt;= perc_95, converted_stat * 3, IF(bbgm_stat &gt;= perc_90, converted_stat * 2, IF(bbgm_stat &gt;= perc_85, converted_stat * 1.5, converted_stat)))))</f>
        <v/>
      </c>
      <c r="T701" s="30" t="str">
        <f t="array" ref="T701">IF($A701="", "", LET(bbgm_stat, INDEX(Players!$A700:$P700, MATCH(T$2, Players!$A$1:$P$1, 0)), perc_75, VLOOKUP(T$2, Percentiles!$A$45:$I$59, 6, FALSE), perc_90, VLOOKUP(T$2, Percentiles!$A$45:$I$59, 7, FALSE), perc_95, VLOOKUP(T$2, Percentiles!$A$45:$I$59, 8, FALSE), perc_85, perc_75 + (perc_90 - perc_75) * (2/3), converted_stat, '2K_Ratings'!T701, IF(bbgm_stat &gt;= perc_95, converted_stat * 3, IF(bbgm_stat &gt;= perc_90, converted_stat * 2, IF(bbgm_stat &gt;= perc_85, converted_stat * 1.5, converted_stat)))))</f>
        <v/>
      </c>
      <c r="U701" s="30" t="str">
        <f t="array" ref="U701">IF($A701="", "", LET(bbgm_stat, INDEX(Players!$A700:$P700, MATCH(U$2, Players!$A$1:$P$1, 0)), perc_75, VLOOKUP(U$2, Percentiles!$A$45:$I$59, 6, FALSE), perc_90, VLOOKUP(U$2, Percentiles!$A$45:$I$59, 7, FALSE), perc_95, VLOOKUP(U$2, Percentiles!$A$45:$I$59, 8, FALSE), perc_85, perc_75 + (perc_90 - perc_75) * (2/3), converted_stat, '2K_Ratings'!U701, IF(bbgm_stat &gt;= perc_95, converted_stat * 3, IF(bbgm_stat &gt;= perc_90, converted_stat * 2, IF(bbgm_stat &gt;= perc_85, converted_stat * 1.5, converted_stat)))))</f>
        <v/>
      </c>
      <c r="V701" s="30" t="str">
        <f t="array" ref="V701">IF($A701="", "", LET(bbgm_stat, INDEX(Players!$A700:$P700, MATCH(V$2, Players!$A$1:$P$1, 0)), perc_75, VLOOKUP(V$2, Percentiles!$A$45:$I$59, 6, FALSE), perc_90, VLOOKUP(V$2, Percentiles!$A$45:$I$59, 7, FALSE), perc_95, VLOOKUP(V$2, Percentiles!$A$45:$I$59, 8, FALSE), perc_85, perc_75 + (perc_90 - perc_75) * (2/3), converted_stat, '2K_Ratings'!V701, IF(bbgm_stat &gt;= perc_95, converted_stat * 3, IF(bbgm_stat &gt;= perc_90, converted_stat * 2, IF(bbgm_stat &gt;= perc_85, converted_stat * 1.5, converted_stat)))))</f>
        <v/>
      </c>
      <c r="W701" s="30" t="str">
        <f t="array" ref="W701">IF($A701="", "", LET(bbgm_stat, INDEX(Players!$A700:$P700, MATCH(W$2, Players!$A$1:$P$1, 0)), perc_75, VLOOKUP(W$2, Percentiles!$A$45:$I$59, 6, FALSE), perc_90, VLOOKUP(W$2, Percentiles!$A$45:$I$59, 7, FALSE), perc_95, VLOOKUP(W$2, Percentiles!$A$45:$I$59, 8, FALSE), perc_85, perc_75 + (perc_90 - perc_75) * (2/3), converted_stat, '2K_Ratings'!W701, IF(bbgm_stat &gt;= perc_95, converted_stat * 3, IF(bbgm_stat &gt;= perc_90, converted_stat * 2, IF(bbgm_stat &gt;= perc_85, converted_stat * 1.5, converted_stat)))))</f>
        <v/>
      </c>
    </row>
    <row r="702">
      <c r="A702" s="30"/>
      <c r="B702" s="30" t="str">
        <f t="array" ref="B702">IF($A702="", "", LET(bbgm_stat, INDEX(Players!$A701:$P701, MATCH(B$2, Players!$A$1:$P$1, 0)), perc_75, VLOOKUP(B$2, Percentiles!$A$45:$I$59, 6, FALSE), perc_90, VLOOKUP(B$2, Percentiles!$A$45:$I$59, 7, FALSE), perc_95, VLOOKUP(B$2, Percentiles!$A$45:$I$59, 8, FALSE), perc_85, perc_75 + (perc_90 - perc_75) * (2/3), converted_stat, '2K_Ratings'!B702, IF(bbgm_stat &gt;= perc_95, converted_stat * 3, IF(bbgm_stat &gt;= perc_90, converted_stat * 2, IF(bbgm_stat &gt;= perc_85, converted_stat * 1.5, converted_stat)))))</f>
        <v/>
      </c>
      <c r="C702" s="30" t="str">
        <f t="array" ref="C702">IF($A702="", "", LET(bbgm_stat, INDEX(Players!$A701:$P701, MATCH(C$2, Players!$A$1:$P$1, 0)), perc_75, VLOOKUP(C$2, Percentiles!$A$45:$I$59, 6, FALSE), perc_90, VLOOKUP(C$2, Percentiles!$A$45:$I$59, 7, FALSE), perc_95, VLOOKUP(C$2, Percentiles!$A$45:$I$59, 8, FALSE), perc_85, perc_75 + (perc_90 - perc_75) * (2/3), converted_stat, '2K_Ratings'!C702, IF(bbgm_stat &gt;= perc_95, converted_stat * 3, IF(bbgm_stat &gt;= perc_90, converted_stat * 2, IF(bbgm_stat &gt;= perc_85, converted_stat * 1.5, converted_stat)))))</f>
        <v/>
      </c>
      <c r="D702" s="30" t="str">
        <f t="array" ref="D702">IF($A702="", "", LET(bbgm_stat, INDEX(Players!$A701:$P701, MATCH(D$2, Players!$A$1:$P$1, 0)), perc_75, VLOOKUP(D$2, Percentiles!$A$45:$I$59, 6, FALSE), perc_90, VLOOKUP(D$2, Percentiles!$A$45:$I$59, 7, FALSE), perc_95, VLOOKUP(D$2, Percentiles!$A$45:$I$59, 8, FALSE), perc_85, perc_75 + (perc_90 - perc_75) * (2/3), converted_stat, '2K_Ratings'!D702, IF(bbgm_stat &gt;= perc_95, converted_stat * 3, IF(bbgm_stat &gt;= perc_90, converted_stat * 2, IF(bbgm_stat &gt;= perc_85, converted_stat * 1.5, converted_stat)))))</f>
        <v/>
      </c>
      <c r="E702" s="30" t="str">
        <f t="array" ref="E702">IF($A702="", "", LET(bbgm_stat, INDEX(Players!$A701:$P701, MATCH(E$2, Players!$A$1:$P$1, 0)), perc_75, VLOOKUP(E$2, Percentiles!$A$45:$I$59, 6, FALSE), perc_90, VLOOKUP(E$2, Percentiles!$A$45:$I$59, 7, FALSE), perc_95, VLOOKUP(E$2, Percentiles!$A$45:$I$59, 8, FALSE), perc_85, perc_75 + (perc_90 - perc_75) * (2/3), converted_stat, '2K_Ratings'!E702, IF(bbgm_stat &gt;= perc_95, converted_stat * 3, IF(bbgm_stat &gt;= perc_90, converted_stat * 2, IF(bbgm_stat &gt;= perc_85, converted_stat * 1.5, converted_stat)))))</f>
        <v/>
      </c>
      <c r="F702" s="30" t="str">
        <f t="array" ref="F702">IF($A702="", "", LET(bbgm_stat, INDEX(Players!$A701:$P701, MATCH(F$2, Players!$A$1:$P$1, 0)), perc_75, VLOOKUP(F$2, Percentiles!$A$45:$I$59, 6, FALSE), perc_90, VLOOKUP(F$2, Percentiles!$A$45:$I$59, 7, FALSE), perc_95, VLOOKUP(F$2, Percentiles!$A$45:$I$59, 8, FALSE), perc_85, perc_75 + (perc_90 - perc_75) * (2/3), converted_stat, '2K_Ratings'!F702, IF(bbgm_stat &gt;= perc_95, converted_stat * 3, IF(bbgm_stat &gt;= perc_90, converted_stat * 2, IF(bbgm_stat &gt;= perc_85, converted_stat * 1.5, converted_stat)))))</f>
        <v/>
      </c>
      <c r="G702" s="30" t="str">
        <f t="array" ref="G702">IF($A702="", "", LET(bbgm_stat, INDEX(Players!$A701:$P701, MATCH(G$2, Players!$A$1:$P$1, 0)), perc_75, VLOOKUP(G$2, Percentiles!$A$45:$I$59, 6, FALSE), perc_90, VLOOKUP(G$2, Percentiles!$A$45:$I$59, 7, FALSE), perc_95, VLOOKUP(G$2, Percentiles!$A$45:$I$59, 8, FALSE), perc_85, perc_75 + (perc_90 - perc_75) * (2/3), converted_stat, '2K_Ratings'!G702, IF(bbgm_stat &gt;= perc_95, converted_stat * 3, IF(bbgm_stat &gt;= perc_90, converted_stat * 2, IF(bbgm_stat &gt;= perc_85, converted_stat * 1.5, converted_stat)))))</f>
        <v/>
      </c>
      <c r="H702" s="30" t="str">
        <f t="array" ref="H702">IF($A702="", "", LET(bbgm_stat, INDEX(Players!$A701:$P701, MATCH(H$2, Players!$A$1:$P$1, 0)), perc_75, VLOOKUP(H$2, Percentiles!$A$45:$I$59, 6, FALSE), perc_90, VLOOKUP(H$2, Percentiles!$A$45:$I$59, 7, FALSE), perc_95, VLOOKUP(H$2, Percentiles!$A$45:$I$59, 8, FALSE), perc_85, perc_75 + (perc_90 - perc_75) * (2/3), converted_stat, '2K_Ratings'!H702, IF(bbgm_stat &gt;= perc_95, converted_stat * 3, IF(bbgm_stat &gt;= perc_90, converted_stat * 2, IF(bbgm_stat &gt;= perc_85, converted_stat * 1.5, converted_stat)))))</f>
        <v/>
      </c>
      <c r="I702" s="30" t="str">
        <f t="array" ref="I702">IF($A702="", "", LET(bbgm_stat, INDEX(Players!$A701:$P701, MATCH(I$2, Players!$A$1:$P$1, 0)), perc_75, VLOOKUP(I$2, Percentiles!$A$45:$I$59, 6, FALSE), perc_90, VLOOKUP(I$2, Percentiles!$A$45:$I$59, 7, FALSE), perc_95, VLOOKUP(I$2, Percentiles!$A$45:$I$59, 8, FALSE), perc_85, perc_75 + (perc_90 - perc_75) * (2/3), converted_stat, '2K_Ratings'!I702, IF(bbgm_stat &gt;= perc_95, converted_stat * 3, IF(bbgm_stat &gt;= perc_90, converted_stat * 2, IF(bbgm_stat &gt;= perc_85, converted_stat * 1.5, converted_stat)))))</f>
        <v/>
      </c>
      <c r="J702" s="30" t="str">
        <f t="array" ref="J702">IF($A702="", "", LET(bbgm_stat, INDEX(Players!$A701:$P701, MATCH(J$2, Players!$A$1:$P$1, 0)), perc_75, VLOOKUP(J$2, Percentiles!$A$45:$I$59, 6, FALSE), perc_90, VLOOKUP(J$2, Percentiles!$A$45:$I$59, 7, FALSE), perc_95, VLOOKUP(J$2, Percentiles!$A$45:$I$59, 8, FALSE), perc_85, perc_75 + (perc_90 - perc_75) * (2/3), converted_stat, '2K_Ratings'!J702, IF(bbgm_stat &gt;= perc_95, converted_stat * 3, IF(bbgm_stat &gt;= perc_90, converted_stat * 2, IF(bbgm_stat &gt;= perc_85, converted_stat * 1.5, converted_stat)))))</f>
        <v/>
      </c>
      <c r="K702" s="30" t="str">
        <f t="array" ref="K702">IF($A702="", "", LET(bbgm_stat, INDEX(Players!$A701:$P701, MATCH(K$2, Players!$A$1:$P$1, 0)), perc_75, VLOOKUP(K$2, Percentiles!$A$45:$I$59, 6, FALSE), perc_90, VLOOKUP(K$2, Percentiles!$A$45:$I$59, 7, FALSE), perc_95, VLOOKUP(K$2, Percentiles!$A$45:$I$59, 8, FALSE), perc_85, perc_75 + (perc_90 - perc_75) * (2/3), converted_stat, '2K_Ratings'!K702, IF(bbgm_stat &gt;= perc_95, converted_stat * 3, IF(bbgm_stat &gt;= perc_90, converted_stat * 2, IF(bbgm_stat &gt;= perc_85, converted_stat * 1.5, converted_stat)))))</f>
        <v/>
      </c>
      <c r="L702" s="30" t="str">
        <f t="array" ref="L702">IF($A702="", "", LET(bbgm_stat, INDEX(Players!$A701:$P701, MATCH(L$2, Players!$A$1:$P$1, 0)), perc_75, VLOOKUP(L$2, Percentiles!$A$45:$I$59, 6, FALSE), perc_90, VLOOKUP(L$2, Percentiles!$A$45:$I$59, 7, FALSE), perc_95, VLOOKUP(L$2, Percentiles!$A$45:$I$59, 8, FALSE), perc_85, perc_75 + (perc_90 - perc_75) * (2/3), converted_stat, '2K_Ratings'!L702, IF(bbgm_stat &gt;= perc_95, converted_stat * 3, IF(bbgm_stat &gt;= perc_90, converted_stat * 2, IF(bbgm_stat &gt;= perc_85, converted_stat * 1.5, converted_stat)))))</f>
        <v/>
      </c>
      <c r="M702" s="30" t="str">
        <f t="array" ref="M702">IF($A702="", "", LET(bbgm_stat, INDEX(Players!$A701:$P701, MATCH(M$2, Players!$A$1:$P$1, 0)), perc_75, VLOOKUP(M$2, Percentiles!$A$45:$I$59, 6, FALSE), perc_90, VLOOKUP(M$2, Percentiles!$A$45:$I$59, 7, FALSE), perc_95, VLOOKUP(M$2, Percentiles!$A$45:$I$59, 8, FALSE), perc_85, perc_75 + (perc_90 - perc_75) * (2/3), converted_stat, '2K_Ratings'!M702, IF(bbgm_stat &gt;= perc_95, converted_stat * 3, IF(bbgm_stat &gt;= perc_90, converted_stat * 2, IF(bbgm_stat &gt;= perc_85, converted_stat * 1.5, converted_stat)))))</f>
        <v/>
      </c>
      <c r="N702" s="30" t="str">
        <f t="array" ref="N702">IF($A702="", "", LET(bbgm_stat, INDEX(Players!$A701:$P701, MATCH(N$2, Players!$A$1:$P$1, 0)), perc_75, VLOOKUP(N$2, Percentiles!$A$45:$I$59, 6, FALSE), perc_90, VLOOKUP(N$2, Percentiles!$A$45:$I$59, 7, FALSE), perc_95, VLOOKUP(N$2, Percentiles!$A$45:$I$59, 8, FALSE), perc_85, perc_75 + (perc_90 - perc_75) * (2/3), converted_stat, '2K_Ratings'!N702, IF(bbgm_stat &gt;= perc_95, converted_stat * 3, IF(bbgm_stat &gt;= perc_90, converted_stat * 2, IF(bbgm_stat &gt;= perc_85, converted_stat * 1.5, converted_stat)))))</f>
        <v/>
      </c>
      <c r="O702" s="30" t="str">
        <f t="array" ref="O702">IF($A702="", "", LET(bbgm_stat, INDEX(Players!$A701:$P701, MATCH(O$2, Players!$A$1:$P$1, 0)), perc_75, VLOOKUP(O$2, Percentiles!$A$45:$I$59, 6, FALSE), perc_90, VLOOKUP(O$2, Percentiles!$A$45:$I$59, 7, FALSE), perc_95, VLOOKUP(O$2, Percentiles!$A$45:$I$59, 8, FALSE), perc_85, perc_75 + (perc_90 - perc_75) * (2/3), converted_stat, '2K_Ratings'!O702, IF(bbgm_stat &gt;= perc_95, converted_stat * 3, IF(bbgm_stat &gt;= perc_90, converted_stat * 2, IF(bbgm_stat &gt;= perc_85, converted_stat * 1.5, converted_stat)))))</f>
        <v/>
      </c>
      <c r="P702" s="30" t="str">
        <f t="array" ref="P702">IF($A702="", "", LET(bbgm_stat, INDEX(Players!$A701:$P701, MATCH(P$2, Players!$A$1:$P$1, 0)), perc_75, VLOOKUP(P$2, Percentiles!$A$45:$I$59, 6, FALSE), perc_90, VLOOKUP(P$2, Percentiles!$A$45:$I$59, 7, FALSE), perc_95, VLOOKUP(P$2, Percentiles!$A$45:$I$59, 8, FALSE), perc_85, perc_75 + (perc_90 - perc_75) * (2/3), converted_stat, '2K_Ratings'!P702, IF(bbgm_stat &gt;= perc_95, converted_stat * 3, IF(bbgm_stat &gt;= perc_90, converted_stat * 2, IF(bbgm_stat &gt;= perc_85, converted_stat * 1.5, converted_stat)))))</f>
        <v/>
      </c>
      <c r="Q702" s="30" t="str">
        <f t="array" ref="Q702">IF($A702="", "", LET(bbgm_stat, INDEX(Players!$A701:$P701, MATCH(Q$2, Players!$A$1:$P$1, 0)), perc_75, VLOOKUP(Q$2, Percentiles!$A$45:$I$59, 6, FALSE), perc_90, VLOOKUP(Q$2, Percentiles!$A$45:$I$59, 7, FALSE), perc_95, VLOOKUP(Q$2, Percentiles!$A$45:$I$59, 8, FALSE), perc_85, perc_75 + (perc_90 - perc_75) * (2/3), converted_stat, '2K_Ratings'!Q702, IF(bbgm_stat &gt;= perc_95, converted_stat * 3, IF(bbgm_stat &gt;= perc_90, converted_stat * 2, IF(bbgm_stat &gt;= perc_85, converted_stat * 1.5, converted_stat)))))</f>
        <v/>
      </c>
      <c r="R702" s="30" t="str">
        <f t="array" ref="R702">IF($A702="", "", LET(bbgm_stat, INDEX(Players!$A701:$P701, MATCH(R$2, Players!$A$1:$P$1, 0)), perc_75, VLOOKUP(R$2, Percentiles!$A$45:$I$59, 6, FALSE), perc_90, VLOOKUP(R$2, Percentiles!$A$45:$I$59, 7, FALSE), perc_95, VLOOKUP(R$2, Percentiles!$A$45:$I$59, 8, FALSE), perc_85, perc_75 + (perc_90 - perc_75) * (2/3), converted_stat, '2K_Ratings'!R702, IF(bbgm_stat &gt;= perc_95, converted_stat * 3, IF(bbgm_stat &gt;= perc_90, converted_stat * 2, IF(bbgm_stat &gt;= perc_85, converted_stat * 1.5, converted_stat)))))</f>
        <v/>
      </c>
      <c r="S702" s="30" t="str">
        <f t="array" ref="S702">IF($A702="", "", LET(bbgm_stat, INDEX(Players!$A701:$P701, MATCH(S$2, Players!$A$1:$P$1, 0)), perc_75, VLOOKUP(S$2, Percentiles!$A$45:$I$59, 6, FALSE), perc_90, VLOOKUP(S$2, Percentiles!$A$45:$I$59, 7, FALSE), perc_95, VLOOKUP(S$2, Percentiles!$A$45:$I$59, 8, FALSE), perc_85, perc_75 + (perc_90 - perc_75) * (2/3), converted_stat, '2K_Ratings'!S702, IF(bbgm_stat &gt;= perc_95, converted_stat * 3, IF(bbgm_stat &gt;= perc_90, converted_stat * 2, IF(bbgm_stat &gt;= perc_85, converted_stat * 1.5, converted_stat)))))</f>
        <v/>
      </c>
      <c r="T702" s="30" t="str">
        <f t="array" ref="T702">IF($A702="", "", LET(bbgm_stat, INDEX(Players!$A701:$P701, MATCH(T$2, Players!$A$1:$P$1, 0)), perc_75, VLOOKUP(T$2, Percentiles!$A$45:$I$59, 6, FALSE), perc_90, VLOOKUP(T$2, Percentiles!$A$45:$I$59, 7, FALSE), perc_95, VLOOKUP(T$2, Percentiles!$A$45:$I$59, 8, FALSE), perc_85, perc_75 + (perc_90 - perc_75) * (2/3), converted_stat, '2K_Ratings'!T702, IF(bbgm_stat &gt;= perc_95, converted_stat * 3, IF(bbgm_stat &gt;= perc_90, converted_stat * 2, IF(bbgm_stat &gt;= perc_85, converted_stat * 1.5, converted_stat)))))</f>
        <v/>
      </c>
      <c r="U702" s="30" t="str">
        <f t="array" ref="U702">IF($A702="", "", LET(bbgm_stat, INDEX(Players!$A701:$P701, MATCH(U$2, Players!$A$1:$P$1, 0)), perc_75, VLOOKUP(U$2, Percentiles!$A$45:$I$59, 6, FALSE), perc_90, VLOOKUP(U$2, Percentiles!$A$45:$I$59, 7, FALSE), perc_95, VLOOKUP(U$2, Percentiles!$A$45:$I$59, 8, FALSE), perc_85, perc_75 + (perc_90 - perc_75) * (2/3), converted_stat, '2K_Ratings'!U702, IF(bbgm_stat &gt;= perc_95, converted_stat * 3, IF(bbgm_stat &gt;= perc_90, converted_stat * 2, IF(bbgm_stat &gt;= perc_85, converted_stat * 1.5, converted_stat)))))</f>
        <v/>
      </c>
      <c r="V702" s="30" t="str">
        <f t="array" ref="V702">IF($A702="", "", LET(bbgm_stat, INDEX(Players!$A701:$P701, MATCH(V$2, Players!$A$1:$P$1, 0)), perc_75, VLOOKUP(V$2, Percentiles!$A$45:$I$59, 6, FALSE), perc_90, VLOOKUP(V$2, Percentiles!$A$45:$I$59, 7, FALSE), perc_95, VLOOKUP(V$2, Percentiles!$A$45:$I$59, 8, FALSE), perc_85, perc_75 + (perc_90 - perc_75) * (2/3), converted_stat, '2K_Ratings'!V702, IF(bbgm_stat &gt;= perc_95, converted_stat * 3, IF(bbgm_stat &gt;= perc_90, converted_stat * 2, IF(bbgm_stat &gt;= perc_85, converted_stat * 1.5, converted_stat)))))</f>
        <v/>
      </c>
      <c r="W702" s="30" t="str">
        <f t="array" ref="W702">IF($A702="", "", LET(bbgm_stat, INDEX(Players!$A701:$P701, MATCH(W$2, Players!$A$1:$P$1, 0)), perc_75, VLOOKUP(W$2, Percentiles!$A$45:$I$59, 6, FALSE), perc_90, VLOOKUP(W$2, Percentiles!$A$45:$I$59, 7, FALSE), perc_95, VLOOKUP(W$2, Percentiles!$A$45:$I$59, 8, FALSE), perc_85, perc_75 + (perc_90 - perc_75) * (2/3), converted_stat, '2K_Ratings'!W702, IF(bbgm_stat &gt;= perc_95, converted_stat * 3, IF(bbgm_stat &gt;= perc_90, converted_stat * 2, IF(bbgm_stat &gt;= perc_85, converted_stat * 1.5, converted_stat)))))</f>
        <v/>
      </c>
    </row>
    <row r="703">
      <c r="A703" s="30"/>
      <c r="B703" s="30" t="str">
        <f t="array" ref="B703">IF($A703="", "", LET(bbgm_stat, INDEX(Players!$A702:$P702, MATCH(B$2, Players!$A$1:$P$1, 0)), perc_75, VLOOKUP(B$2, Percentiles!$A$45:$I$59, 6, FALSE), perc_90, VLOOKUP(B$2, Percentiles!$A$45:$I$59, 7, FALSE), perc_95, VLOOKUP(B$2, Percentiles!$A$45:$I$59, 8, FALSE), perc_85, perc_75 + (perc_90 - perc_75) * (2/3), converted_stat, '2K_Ratings'!B703, IF(bbgm_stat &gt;= perc_95, converted_stat * 3, IF(bbgm_stat &gt;= perc_90, converted_stat * 2, IF(bbgm_stat &gt;= perc_85, converted_stat * 1.5, converted_stat)))))</f>
        <v/>
      </c>
      <c r="C703" s="30" t="str">
        <f t="array" ref="C703">IF($A703="", "", LET(bbgm_stat, INDEX(Players!$A702:$P702, MATCH(C$2, Players!$A$1:$P$1, 0)), perc_75, VLOOKUP(C$2, Percentiles!$A$45:$I$59, 6, FALSE), perc_90, VLOOKUP(C$2, Percentiles!$A$45:$I$59, 7, FALSE), perc_95, VLOOKUP(C$2, Percentiles!$A$45:$I$59, 8, FALSE), perc_85, perc_75 + (perc_90 - perc_75) * (2/3), converted_stat, '2K_Ratings'!C703, IF(bbgm_stat &gt;= perc_95, converted_stat * 3, IF(bbgm_stat &gt;= perc_90, converted_stat * 2, IF(bbgm_stat &gt;= perc_85, converted_stat * 1.5, converted_stat)))))</f>
        <v/>
      </c>
      <c r="D703" s="30" t="str">
        <f t="array" ref="D703">IF($A703="", "", LET(bbgm_stat, INDEX(Players!$A702:$P702, MATCH(D$2, Players!$A$1:$P$1, 0)), perc_75, VLOOKUP(D$2, Percentiles!$A$45:$I$59, 6, FALSE), perc_90, VLOOKUP(D$2, Percentiles!$A$45:$I$59, 7, FALSE), perc_95, VLOOKUP(D$2, Percentiles!$A$45:$I$59, 8, FALSE), perc_85, perc_75 + (perc_90 - perc_75) * (2/3), converted_stat, '2K_Ratings'!D703, IF(bbgm_stat &gt;= perc_95, converted_stat * 3, IF(bbgm_stat &gt;= perc_90, converted_stat * 2, IF(bbgm_stat &gt;= perc_85, converted_stat * 1.5, converted_stat)))))</f>
        <v/>
      </c>
      <c r="E703" s="30" t="str">
        <f t="array" ref="E703">IF($A703="", "", LET(bbgm_stat, INDEX(Players!$A702:$P702, MATCH(E$2, Players!$A$1:$P$1, 0)), perc_75, VLOOKUP(E$2, Percentiles!$A$45:$I$59, 6, FALSE), perc_90, VLOOKUP(E$2, Percentiles!$A$45:$I$59, 7, FALSE), perc_95, VLOOKUP(E$2, Percentiles!$A$45:$I$59, 8, FALSE), perc_85, perc_75 + (perc_90 - perc_75) * (2/3), converted_stat, '2K_Ratings'!E703, IF(bbgm_stat &gt;= perc_95, converted_stat * 3, IF(bbgm_stat &gt;= perc_90, converted_stat * 2, IF(bbgm_stat &gt;= perc_85, converted_stat * 1.5, converted_stat)))))</f>
        <v/>
      </c>
      <c r="F703" s="30" t="str">
        <f t="array" ref="F703">IF($A703="", "", LET(bbgm_stat, INDEX(Players!$A702:$P702, MATCH(F$2, Players!$A$1:$P$1, 0)), perc_75, VLOOKUP(F$2, Percentiles!$A$45:$I$59, 6, FALSE), perc_90, VLOOKUP(F$2, Percentiles!$A$45:$I$59, 7, FALSE), perc_95, VLOOKUP(F$2, Percentiles!$A$45:$I$59, 8, FALSE), perc_85, perc_75 + (perc_90 - perc_75) * (2/3), converted_stat, '2K_Ratings'!F703, IF(bbgm_stat &gt;= perc_95, converted_stat * 3, IF(bbgm_stat &gt;= perc_90, converted_stat * 2, IF(bbgm_stat &gt;= perc_85, converted_stat * 1.5, converted_stat)))))</f>
        <v/>
      </c>
      <c r="G703" s="30" t="str">
        <f t="array" ref="G703">IF($A703="", "", LET(bbgm_stat, INDEX(Players!$A702:$P702, MATCH(G$2, Players!$A$1:$P$1, 0)), perc_75, VLOOKUP(G$2, Percentiles!$A$45:$I$59, 6, FALSE), perc_90, VLOOKUP(G$2, Percentiles!$A$45:$I$59, 7, FALSE), perc_95, VLOOKUP(G$2, Percentiles!$A$45:$I$59, 8, FALSE), perc_85, perc_75 + (perc_90 - perc_75) * (2/3), converted_stat, '2K_Ratings'!G703, IF(bbgm_stat &gt;= perc_95, converted_stat * 3, IF(bbgm_stat &gt;= perc_90, converted_stat * 2, IF(bbgm_stat &gt;= perc_85, converted_stat * 1.5, converted_stat)))))</f>
        <v/>
      </c>
      <c r="H703" s="30" t="str">
        <f t="array" ref="H703">IF($A703="", "", LET(bbgm_stat, INDEX(Players!$A702:$P702, MATCH(H$2, Players!$A$1:$P$1, 0)), perc_75, VLOOKUP(H$2, Percentiles!$A$45:$I$59, 6, FALSE), perc_90, VLOOKUP(H$2, Percentiles!$A$45:$I$59, 7, FALSE), perc_95, VLOOKUP(H$2, Percentiles!$A$45:$I$59, 8, FALSE), perc_85, perc_75 + (perc_90 - perc_75) * (2/3), converted_stat, '2K_Ratings'!H703, IF(bbgm_stat &gt;= perc_95, converted_stat * 3, IF(bbgm_stat &gt;= perc_90, converted_stat * 2, IF(bbgm_stat &gt;= perc_85, converted_stat * 1.5, converted_stat)))))</f>
        <v/>
      </c>
      <c r="I703" s="30" t="str">
        <f t="array" ref="I703">IF($A703="", "", LET(bbgm_stat, INDEX(Players!$A702:$P702, MATCH(I$2, Players!$A$1:$P$1, 0)), perc_75, VLOOKUP(I$2, Percentiles!$A$45:$I$59, 6, FALSE), perc_90, VLOOKUP(I$2, Percentiles!$A$45:$I$59, 7, FALSE), perc_95, VLOOKUP(I$2, Percentiles!$A$45:$I$59, 8, FALSE), perc_85, perc_75 + (perc_90 - perc_75) * (2/3), converted_stat, '2K_Ratings'!I703, IF(bbgm_stat &gt;= perc_95, converted_stat * 3, IF(bbgm_stat &gt;= perc_90, converted_stat * 2, IF(bbgm_stat &gt;= perc_85, converted_stat * 1.5, converted_stat)))))</f>
        <v/>
      </c>
      <c r="J703" s="30" t="str">
        <f t="array" ref="J703">IF($A703="", "", LET(bbgm_stat, INDEX(Players!$A702:$P702, MATCH(J$2, Players!$A$1:$P$1, 0)), perc_75, VLOOKUP(J$2, Percentiles!$A$45:$I$59, 6, FALSE), perc_90, VLOOKUP(J$2, Percentiles!$A$45:$I$59, 7, FALSE), perc_95, VLOOKUP(J$2, Percentiles!$A$45:$I$59, 8, FALSE), perc_85, perc_75 + (perc_90 - perc_75) * (2/3), converted_stat, '2K_Ratings'!J703, IF(bbgm_stat &gt;= perc_95, converted_stat * 3, IF(bbgm_stat &gt;= perc_90, converted_stat * 2, IF(bbgm_stat &gt;= perc_85, converted_stat * 1.5, converted_stat)))))</f>
        <v/>
      </c>
      <c r="K703" s="30" t="str">
        <f t="array" ref="K703">IF($A703="", "", LET(bbgm_stat, INDEX(Players!$A702:$P702, MATCH(K$2, Players!$A$1:$P$1, 0)), perc_75, VLOOKUP(K$2, Percentiles!$A$45:$I$59, 6, FALSE), perc_90, VLOOKUP(K$2, Percentiles!$A$45:$I$59, 7, FALSE), perc_95, VLOOKUP(K$2, Percentiles!$A$45:$I$59, 8, FALSE), perc_85, perc_75 + (perc_90 - perc_75) * (2/3), converted_stat, '2K_Ratings'!K703, IF(bbgm_stat &gt;= perc_95, converted_stat * 3, IF(bbgm_stat &gt;= perc_90, converted_stat * 2, IF(bbgm_stat &gt;= perc_85, converted_stat * 1.5, converted_stat)))))</f>
        <v/>
      </c>
      <c r="L703" s="30" t="str">
        <f t="array" ref="L703">IF($A703="", "", LET(bbgm_stat, INDEX(Players!$A702:$P702, MATCH(L$2, Players!$A$1:$P$1, 0)), perc_75, VLOOKUP(L$2, Percentiles!$A$45:$I$59, 6, FALSE), perc_90, VLOOKUP(L$2, Percentiles!$A$45:$I$59, 7, FALSE), perc_95, VLOOKUP(L$2, Percentiles!$A$45:$I$59, 8, FALSE), perc_85, perc_75 + (perc_90 - perc_75) * (2/3), converted_stat, '2K_Ratings'!L703, IF(bbgm_stat &gt;= perc_95, converted_stat * 3, IF(bbgm_stat &gt;= perc_90, converted_stat * 2, IF(bbgm_stat &gt;= perc_85, converted_stat * 1.5, converted_stat)))))</f>
        <v/>
      </c>
      <c r="M703" s="30" t="str">
        <f t="array" ref="M703">IF($A703="", "", LET(bbgm_stat, INDEX(Players!$A702:$P702, MATCH(M$2, Players!$A$1:$P$1, 0)), perc_75, VLOOKUP(M$2, Percentiles!$A$45:$I$59, 6, FALSE), perc_90, VLOOKUP(M$2, Percentiles!$A$45:$I$59, 7, FALSE), perc_95, VLOOKUP(M$2, Percentiles!$A$45:$I$59, 8, FALSE), perc_85, perc_75 + (perc_90 - perc_75) * (2/3), converted_stat, '2K_Ratings'!M703, IF(bbgm_stat &gt;= perc_95, converted_stat * 3, IF(bbgm_stat &gt;= perc_90, converted_stat * 2, IF(bbgm_stat &gt;= perc_85, converted_stat * 1.5, converted_stat)))))</f>
        <v/>
      </c>
      <c r="N703" s="30" t="str">
        <f t="array" ref="N703">IF($A703="", "", LET(bbgm_stat, INDEX(Players!$A702:$P702, MATCH(N$2, Players!$A$1:$P$1, 0)), perc_75, VLOOKUP(N$2, Percentiles!$A$45:$I$59, 6, FALSE), perc_90, VLOOKUP(N$2, Percentiles!$A$45:$I$59, 7, FALSE), perc_95, VLOOKUP(N$2, Percentiles!$A$45:$I$59, 8, FALSE), perc_85, perc_75 + (perc_90 - perc_75) * (2/3), converted_stat, '2K_Ratings'!N703, IF(bbgm_stat &gt;= perc_95, converted_stat * 3, IF(bbgm_stat &gt;= perc_90, converted_stat * 2, IF(bbgm_stat &gt;= perc_85, converted_stat * 1.5, converted_stat)))))</f>
        <v/>
      </c>
      <c r="O703" s="30" t="str">
        <f t="array" ref="O703">IF($A703="", "", LET(bbgm_stat, INDEX(Players!$A702:$P702, MATCH(O$2, Players!$A$1:$P$1, 0)), perc_75, VLOOKUP(O$2, Percentiles!$A$45:$I$59, 6, FALSE), perc_90, VLOOKUP(O$2, Percentiles!$A$45:$I$59, 7, FALSE), perc_95, VLOOKUP(O$2, Percentiles!$A$45:$I$59, 8, FALSE), perc_85, perc_75 + (perc_90 - perc_75) * (2/3), converted_stat, '2K_Ratings'!O703, IF(bbgm_stat &gt;= perc_95, converted_stat * 3, IF(bbgm_stat &gt;= perc_90, converted_stat * 2, IF(bbgm_stat &gt;= perc_85, converted_stat * 1.5, converted_stat)))))</f>
        <v/>
      </c>
      <c r="P703" s="30" t="str">
        <f t="array" ref="P703">IF($A703="", "", LET(bbgm_stat, INDEX(Players!$A702:$P702, MATCH(P$2, Players!$A$1:$P$1, 0)), perc_75, VLOOKUP(P$2, Percentiles!$A$45:$I$59, 6, FALSE), perc_90, VLOOKUP(P$2, Percentiles!$A$45:$I$59, 7, FALSE), perc_95, VLOOKUP(P$2, Percentiles!$A$45:$I$59, 8, FALSE), perc_85, perc_75 + (perc_90 - perc_75) * (2/3), converted_stat, '2K_Ratings'!P703, IF(bbgm_stat &gt;= perc_95, converted_stat * 3, IF(bbgm_stat &gt;= perc_90, converted_stat * 2, IF(bbgm_stat &gt;= perc_85, converted_stat * 1.5, converted_stat)))))</f>
        <v/>
      </c>
      <c r="Q703" s="30" t="str">
        <f t="array" ref="Q703">IF($A703="", "", LET(bbgm_stat, INDEX(Players!$A702:$P702, MATCH(Q$2, Players!$A$1:$P$1, 0)), perc_75, VLOOKUP(Q$2, Percentiles!$A$45:$I$59, 6, FALSE), perc_90, VLOOKUP(Q$2, Percentiles!$A$45:$I$59, 7, FALSE), perc_95, VLOOKUP(Q$2, Percentiles!$A$45:$I$59, 8, FALSE), perc_85, perc_75 + (perc_90 - perc_75) * (2/3), converted_stat, '2K_Ratings'!Q703, IF(bbgm_stat &gt;= perc_95, converted_stat * 3, IF(bbgm_stat &gt;= perc_90, converted_stat * 2, IF(bbgm_stat &gt;= perc_85, converted_stat * 1.5, converted_stat)))))</f>
        <v/>
      </c>
      <c r="R703" s="30" t="str">
        <f t="array" ref="R703">IF($A703="", "", LET(bbgm_stat, INDEX(Players!$A702:$P702, MATCH(R$2, Players!$A$1:$P$1, 0)), perc_75, VLOOKUP(R$2, Percentiles!$A$45:$I$59, 6, FALSE), perc_90, VLOOKUP(R$2, Percentiles!$A$45:$I$59, 7, FALSE), perc_95, VLOOKUP(R$2, Percentiles!$A$45:$I$59, 8, FALSE), perc_85, perc_75 + (perc_90 - perc_75) * (2/3), converted_stat, '2K_Ratings'!R703, IF(bbgm_stat &gt;= perc_95, converted_stat * 3, IF(bbgm_stat &gt;= perc_90, converted_stat * 2, IF(bbgm_stat &gt;= perc_85, converted_stat * 1.5, converted_stat)))))</f>
        <v/>
      </c>
      <c r="S703" s="30" t="str">
        <f t="array" ref="S703">IF($A703="", "", LET(bbgm_stat, INDEX(Players!$A702:$P702, MATCH(S$2, Players!$A$1:$P$1, 0)), perc_75, VLOOKUP(S$2, Percentiles!$A$45:$I$59, 6, FALSE), perc_90, VLOOKUP(S$2, Percentiles!$A$45:$I$59, 7, FALSE), perc_95, VLOOKUP(S$2, Percentiles!$A$45:$I$59, 8, FALSE), perc_85, perc_75 + (perc_90 - perc_75) * (2/3), converted_stat, '2K_Ratings'!S703, IF(bbgm_stat &gt;= perc_95, converted_stat * 3, IF(bbgm_stat &gt;= perc_90, converted_stat * 2, IF(bbgm_stat &gt;= perc_85, converted_stat * 1.5, converted_stat)))))</f>
        <v/>
      </c>
      <c r="T703" s="30" t="str">
        <f t="array" ref="T703">IF($A703="", "", LET(bbgm_stat, INDEX(Players!$A702:$P702, MATCH(T$2, Players!$A$1:$P$1, 0)), perc_75, VLOOKUP(T$2, Percentiles!$A$45:$I$59, 6, FALSE), perc_90, VLOOKUP(T$2, Percentiles!$A$45:$I$59, 7, FALSE), perc_95, VLOOKUP(T$2, Percentiles!$A$45:$I$59, 8, FALSE), perc_85, perc_75 + (perc_90 - perc_75) * (2/3), converted_stat, '2K_Ratings'!T703, IF(bbgm_stat &gt;= perc_95, converted_stat * 3, IF(bbgm_stat &gt;= perc_90, converted_stat * 2, IF(bbgm_stat &gt;= perc_85, converted_stat * 1.5, converted_stat)))))</f>
        <v/>
      </c>
      <c r="U703" s="30" t="str">
        <f t="array" ref="U703">IF($A703="", "", LET(bbgm_stat, INDEX(Players!$A702:$P702, MATCH(U$2, Players!$A$1:$P$1, 0)), perc_75, VLOOKUP(U$2, Percentiles!$A$45:$I$59, 6, FALSE), perc_90, VLOOKUP(U$2, Percentiles!$A$45:$I$59, 7, FALSE), perc_95, VLOOKUP(U$2, Percentiles!$A$45:$I$59, 8, FALSE), perc_85, perc_75 + (perc_90 - perc_75) * (2/3), converted_stat, '2K_Ratings'!U703, IF(bbgm_stat &gt;= perc_95, converted_stat * 3, IF(bbgm_stat &gt;= perc_90, converted_stat * 2, IF(bbgm_stat &gt;= perc_85, converted_stat * 1.5, converted_stat)))))</f>
        <v/>
      </c>
      <c r="V703" s="30" t="str">
        <f t="array" ref="V703">IF($A703="", "", LET(bbgm_stat, INDEX(Players!$A702:$P702, MATCH(V$2, Players!$A$1:$P$1, 0)), perc_75, VLOOKUP(V$2, Percentiles!$A$45:$I$59, 6, FALSE), perc_90, VLOOKUP(V$2, Percentiles!$A$45:$I$59, 7, FALSE), perc_95, VLOOKUP(V$2, Percentiles!$A$45:$I$59, 8, FALSE), perc_85, perc_75 + (perc_90 - perc_75) * (2/3), converted_stat, '2K_Ratings'!V703, IF(bbgm_stat &gt;= perc_95, converted_stat * 3, IF(bbgm_stat &gt;= perc_90, converted_stat * 2, IF(bbgm_stat &gt;= perc_85, converted_stat * 1.5, converted_stat)))))</f>
        <v/>
      </c>
      <c r="W703" s="30" t="str">
        <f t="array" ref="W703">IF($A703="", "", LET(bbgm_stat, INDEX(Players!$A702:$P702, MATCH(W$2, Players!$A$1:$P$1, 0)), perc_75, VLOOKUP(W$2, Percentiles!$A$45:$I$59, 6, FALSE), perc_90, VLOOKUP(W$2, Percentiles!$A$45:$I$59, 7, FALSE), perc_95, VLOOKUP(W$2, Percentiles!$A$45:$I$59, 8, FALSE), perc_85, perc_75 + (perc_90 - perc_75) * (2/3), converted_stat, '2K_Ratings'!W703, IF(bbgm_stat &gt;= perc_95, converted_stat * 3, IF(bbgm_stat &gt;= perc_90, converted_stat * 2, IF(bbgm_stat &gt;= perc_85, converted_stat * 1.5, converted_stat)))))</f>
        <v/>
      </c>
    </row>
    <row r="704">
      <c r="A704" s="30"/>
      <c r="B704" s="30" t="str">
        <f t="array" ref="B704">IF($A704="", "", LET(bbgm_stat, INDEX(Players!$A703:$P703, MATCH(B$2, Players!$A$1:$P$1, 0)), perc_75, VLOOKUP(B$2, Percentiles!$A$45:$I$59, 6, FALSE), perc_90, VLOOKUP(B$2, Percentiles!$A$45:$I$59, 7, FALSE), perc_95, VLOOKUP(B$2, Percentiles!$A$45:$I$59, 8, FALSE), perc_85, perc_75 + (perc_90 - perc_75) * (2/3), converted_stat, '2K_Ratings'!B704, IF(bbgm_stat &gt;= perc_95, converted_stat * 3, IF(bbgm_stat &gt;= perc_90, converted_stat * 2, IF(bbgm_stat &gt;= perc_85, converted_stat * 1.5, converted_stat)))))</f>
        <v/>
      </c>
      <c r="C704" s="30" t="str">
        <f t="array" ref="C704">IF($A704="", "", LET(bbgm_stat, INDEX(Players!$A703:$P703, MATCH(C$2, Players!$A$1:$P$1, 0)), perc_75, VLOOKUP(C$2, Percentiles!$A$45:$I$59, 6, FALSE), perc_90, VLOOKUP(C$2, Percentiles!$A$45:$I$59, 7, FALSE), perc_95, VLOOKUP(C$2, Percentiles!$A$45:$I$59, 8, FALSE), perc_85, perc_75 + (perc_90 - perc_75) * (2/3), converted_stat, '2K_Ratings'!C704, IF(bbgm_stat &gt;= perc_95, converted_stat * 3, IF(bbgm_stat &gt;= perc_90, converted_stat * 2, IF(bbgm_stat &gt;= perc_85, converted_stat * 1.5, converted_stat)))))</f>
        <v/>
      </c>
      <c r="D704" s="30" t="str">
        <f t="array" ref="D704">IF($A704="", "", LET(bbgm_stat, INDEX(Players!$A703:$P703, MATCH(D$2, Players!$A$1:$P$1, 0)), perc_75, VLOOKUP(D$2, Percentiles!$A$45:$I$59, 6, FALSE), perc_90, VLOOKUP(D$2, Percentiles!$A$45:$I$59, 7, FALSE), perc_95, VLOOKUP(D$2, Percentiles!$A$45:$I$59, 8, FALSE), perc_85, perc_75 + (perc_90 - perc_75) * (2/3), converted_stat, '2K_Ratings'!D704, IF(bbgm_stat &gt;= perc_95, converted_stat * 3, IF(bbgm_stat &gt;= perc_90, converted_stat * 2, IF(bbgm_stat &gt;= perc_85, converted_stat * 1.5, converted_stat)))))</f>
        <v/>
      </c>
      <c r="E704" s="30" t="str">
        <f t="array" ref="E704">IF($A704="", "", LET(bbgm_stat, INDEX(Players!$A703:$P703, MATCH(E$2, Players!$A$1:$P$1, 0)), perc_75, VLOOKUP(E$2, Percentiles!$A$45:$I$59, 6, FALSE), perc_90, VLOOKUP(E$2, Percentiles!$A$45:$I$59, 7, FALSE), perc_95, VLOOKUP(E$2, Percentiles!$A$45:$I$59, 8, FALSE), perc_85, perc_75 + (perc_90 - perc_75) * (2/3), converted_stat, '2K_Ratings'!E704, IF(bbgm_stat &gt;= perc_95, converted_stat * 3, IF(bbgm_stat &gt;= perc_90, converted_stat * 2, IF(bbgm_stat &gt;= perc_85, converted_stat * 1.5, converted_stat)))))</f>
        <v/>
      </c>
      <c r="F704" s="30" t="str">
        <f t="array" ref="F704">IF($A704="", "", LET(bbgm_stat, INDEX(Players!$A703:$P703, MATCH(F$2, Players!$A$1:$P$1, 0)), perc_75, VLOOKUP(F$2, Percentiles!$A$45:$I$59, 6, FALSE), perc_90, VLOOKUP(F$2, Percentiles!$A$45:$I$59, 7, FALSE), perc_95, VLOOKUP(F$2, Percentiles!$A$45:$I$59, 8, FALSE), perc_85, perc_75 + (perc_90 - perc_75) * (2/3), converted_stat, '2K_Ratings'!F704, IF(bbgm_stat &gt;= perc_95, converted_stat * 3, IF(bbgm_stat &gt;= perc_90, converted_stat * 2, IF(bbgm_stat &gt;= perc_85, converted_stat * 1.5, converted_stat)))))</f>
        <v/>
      </c>
      <c r="G704" s="30" t="str">
        <f t="array" ref="G704">IF($A704="", "", LET(bbgm_stat, INDEX(Players!$A703:$P703, MATCH(G$2, Players!$A$1:$P$1, 0)), perc_75, VLOOKUP(G$2, Percentiles!$A$45:$I$59, 6, FALSE), perc_90, VLOOKUP(G$2, Percentiles!$A$45:$I$59, 7, FALSE), perc_95, VLOOKUP(G$2, Percentiles!$A$45:$I$59, 8, FALSE), perc_85, perc_75 + (perc_90 - perc_75) * (2/3), converted_stat, '2K_Ratings'!G704, IF(bbgm_stat &gt;= perc_95, converted_stat * 3, IF(bbgm_stat &gt;= perc_90, converted_stat * 2, IF(bbgm_stat &gt;= perc_85, converted_stat * 1.5, converted_stat)))))</f>
        <v/>
      </c>
      <c r="H704" s="30" t="str">
        <f t="array" ref="H704">IF($A704="", "", LET(bbgm_stat, INDEX(Players!$A703:$P703, MATCH(H$2, Players!$A$1:$P$1, 0)), perc_75, VLOOKUP(H$2, Percentiles!$A$45:$I$59, 6, FALSE), perc_90, VLOOKUP(H$2, Percentiles!$A$45:$I$59, 7, FALSE), perc_95, VLOOKUP(H$2, Percentiles!$A$45:$I$59, 8, FALSE), perc_85, perc_75 + (perc_90 - perc_75) * (2/3), converted_stat, '2K_Ratings'!H704, IF(bbgm_stat &gt;= perc_95, converted_stat * 3, IF(bbgm_stat &gt;= perc_90, converted_stat * 2, IF(bbgm_stat &gt;= perc_85, converted_stat * 1.5, converted_stat)))))</f>
        <v/>
      </c>
      <c r="I704" s="30" t="str">
        <f t="array" ref="I704">IF($A704="", "", LET(bbgm_stat, INDEX(Players!$A703:$P703, MATCH(I$2, Players!$A$1:$P$1, 0)), perc_75, VLOOKUP(I$2, Percentiles!$A$45:$I$59, 6, FALSE), perc_90, VLOOKUP(I$2, Percentiles!$A$45:$I$59, 7, FALSE), perc_95, VLOOKUP(I$2, Percentiles!$A$45:$I$59, 8, FALSE), perc_85, perc_75 + (perc_90 - perc_75) * (2/3), converted_stat, '2K_Ratings'!I704, IF(bbgm_stat &gt;= perc_95, converted_stat * 3, IF(bbgm_stat &gt;= perc_90, converted_stat * 2, IF(bbgm_stat &gt;= perc_85, converted_stat * 1.5, converted_stat)))))</f>
        <v/>
      </c>
      <c r="J704" s="30" t="str">
        <f t="array" ref="J704">IF($A704="", "", LET(bbgm_stat, INDEX(Players!$A703:$P703, MATCH(J$2, Players!$A$1:$P$1, 0)), perc_75, VLOOKUP(J$2, Percentiles!$A$45:$I$59, 6, FALSE), perc_90, VLOOKUP(J$2, Percentiles!$A$45:$I$59, 7, FALSE), perc_95, VLOOKUP(J$2, Percentiles!$A$45:$I$59, 8, FALSE), perc_85, perc_75 + (perc_90 - perc_75) * (2/3), converted_stat, '2K_Ratings'!J704, IF(bbgm_stat &gt;= perc_95, converted_stat * 3, IF(bbgm_stat &gt;= perc_90, converted_stat * 2, IF(bbgm_stat &gt;= perc_85, converted_stat * 1.5, converted_stat)))))</f>
        <v/>
      </c>
      <c r="K704" s="30" t="str">
        <f t="array" ref="K704">IF($A704="", "", LET(bbgm_stat, INDEX(Players!$A703:$P703, MATCH(K$2, Players!$A$1:$P$1, 0)), perc_75, VLOOKUP(K$2, Percentiles!$A$45:$I$59, 6, FALSE), perc_90, VLOOKUP(K$2, Percentiles!$A$45:$I$59, 7, FALSE), perc_95, VLOOKUP(K$2, Percentiles!$A$45:$I$59, 8, FALSE), perc_85, perc_75 + (perc_90 - perc_75) * (2/3), converted_stat, '2K_Ratings'!K704, IF(bbgm_stat &gt;= perc_95, converted_stat * 3, IF(bbgm_stat &gt;= perc_90, converted_stat * 2, IF(bbgm_stat &gt;= perc_85, converted_stat * 1.5, converted_stat)))))</f>
        <v/>
      </c>
      <c r="L704" s="30" t="str">
        <f t="array" ref="L704">IF($A704="", "", LET(bbgm_stat, INDEX(Players!$A703:$P703, MATCH(L$2, Players!$A$1:$P$1, 0)), perc_75, VLOOKUP(L$2, Percentiles!$A$45:$I$59, 6, FALSE), perc_90, VLOOKUP(L$2, Percentiles!$A$45:$I$59, 7, FALSE), perc_95, VLOOKUP(L$2, Percentiles!$A$45:$I$59, 8, FALSE), perc_85, perc_75 + (perc_90 - perc_75) * (2/3), converted_stat, '2K_Ratings'!L704, IF(bbgm_stat &gt;= perc_95, converted_stat * 3, IF(bbgm_stat &gt;= perc_90, converted_stat * 2, IF(bbgm_stat &gt;= perc_85, converted_stat * 1.5, converted_stat)))))</f>
        <v/>
      </c>
      <c r="M704" s="30" t="str">
        <f t="array" ref="M704">IF($A704="", "", LET(bbgm_stat, INDEX(Players!$A703:$P703, MATCH(M$2, Players!$A$1:$P$1, 0)), perc_75, VLOOKUP(M$2, Percentiles!$A$45:$I$59, 6, FALSE), perc_90, VLOOKUP(M$2, Percentiles!$A$45:$I$59, 7, FALSE), perc_95, VLOOKUP(M$2, Percentiles!$A$45:$I$59, 8, FALSE), perc_85, perc_75 + (perc_90 - perc_75) * (2/3), converted_stat, '2K_Ratings'!M704, IF(bbgm_stat &gt;= perc_95, converted_stat * 3, IF(bbgm_stat &gt;= perc_90, converted_stat * 2, IF(bbgm_stat &gt;= perc_85, converted_stat * 1.5, converted_stat)))))</f>
        <v/>
      </c>
      <c r="N704" s="30" t="str">
        <f t="array" ref="N704">IF($A704="", "", LET(bbgm_stat, INDEX(Players!$A703:$P703, MATCH(N$2, Players!$A$1:$P$1, 0)), perc_75, VLOOKUP(N$2, Percentiles!$A$45:$I$59, 6, FALSE), perc_90, VLOOKUP(N$2, Percentiles!$A$45:$I$59, 7, FALSE), perc_95, VLOOKUP(N$2, Percentiles!$A$45:$I$59, 8, FALSE), perc_85, perc_75 + (perc_90 - perc_75) * (2/3), converted_stat, '2K_Ratings'!N704, IF(bbgm_stat &gt;= perc_95, converted_stat * 3, IF(bbgm_stat &gt;= perc_90, converted_stat * 2, IF(bbgm_stat &gt;= perc_85, converted_stat * 1.5, converted_stat)))))</f>
        <v/>
      </c>
      <c r="O704" s="30" t="str">
        <f t="array" ref="O704">IF($A704="", "", LET(bbgm_stat, INDEX(Players!$A703:$P703, MATCH(O$2, Players!$A$1:$P$1, 0)), perc_75, VLOOKUP(O$2, Percentiles!$A$45:$I$59, 6, FALSE), perc_90, VLOOKUP(O$2, Percentiles!$A$45:$I$59, 7, FALSE), perc_95, VLOOKUP(O$2, Percentiles!$A$45:$I$59, 8, FALSE), perc_85, perc_75 + (perc_90 - perc_75) * (2/3), converted_stat, '2K_Ratings'!O704, IF(bbgm_stat &gt;= perc_95, converted_stat * 3, IF(bbgm_stat &gt;= perc_90, converted_stat * 2, IF(bbgm_stat &gt;= perc_85, converted_stat * 1.5, converted_stat)))))</f>
        <v/>
      </c>
      <c r="P704" s="30" t="str">
        <f t="array" ref="P704">IF($A704="", "", LET(bbgm_stat, INDEX(Players!$A703:$P703, MATCH(P$2, Players!$A$1:$P$1, 0)), perc_75, VLOOKUP(P$2, Percentiles!$A$45:$I$59, 6, FALSE), perc_90, VLOOKUP(P$2, Percentiles!$A$45:$I$59, 7, FALSE), perc_95, VLOOKUP(P$2, Percentiles!$A$45:$I$59, 8, FALSE), perc_85, perc_75 + (perc_90 - perc_75) * (2/3), converted_stat, '2K_Ratings'!P704, IF(bbgm_stat &gt;= perc_95, converted_stat * 3, IF(bbgm_stat &gt;= perc_90, converted_stat * 2, IF(bbgm_stat &gt;= perc_85, converted_stat * 1.5, converted_stat)))))</f>
        <v/>
      </c>
      <c r="Q704" s="30" t="str">
        <f t="array" ref="Q704">IF($A704="", "", LET(bbgm_stat, INDEX(Players!$A703:$P703, MATCH(Q$2, Players!$A$1:$P$1, 0)), perc_75, VLOOKUP(Q$2, Percentiles!$A$45:$I$59, 6, FALSE), perc_90, VLOOKUP(Q$2, Percentiles!$A$45:$I$59, 7, FALSE), perc_95, VLOOKUP(Q$2, Percentiles!$A$45:$I$59, 8, FALSE), perc_85, perc_75 + (perc_90 - perc_75) * (2/3), converted_stat, '2K_Ratings'!Q704, IF(bbgm_stat &gt;= perc_95, converted_stat * 3, IF(bbgm_stat &gt;= perc_90, converted_stat * 2, IF(bbgm_stat &gt;= perc_85, converted_stat * 1.5, converted_stat)))))</f>
        <v/>
      </c>
      <c r="R704" s="30" t="str">
        <f t="array" ref="R704">IF($A704="", "", LET(bbgm_stat, INDEX(Players!$A703:$P703, MATCH(R$2, Players!$A$1:$P$1, 0)), perc_75, VLOOKUP(R$2, Percentiles!$A$45:$I$59, 6, FALSE), perc_90, VLOOKUP(R$2, Percentiles!$A$45:$I$59, 7, FALSE), perc_95, VLOOKUP(R$2, Percentiles!$A$45:$I$59, 8, FALSE), perc_85, perc_75 + (perc_90 - perc_75) * (2/3), converted_stat, '2K_Ratings'!R704, IF(bbgm_stat &gt;= perc_95, converted_stat * 3, IF(bbgm_stat &gt;= perc_90, converted_stat * 2, IF(bbgm_stat &gt;= perc_85, converted_stat * 1.5, converted_stat)))))</f>
        <v/>
      </c>
      <c r="S704" s="30" t="str">
        <f t="array" ref="S704">IF($A704="", "", LET(bbgm_stat, INDEX(Players!$A703:$P703, MATCH(S$2, Players!$A$1:$P$1, 0)), perc_75, VLOOKUP(S$2, Percentiles!$A$45:$I$59, 6, FALSE), perc_90, VLOOKUP(S$2, Percentiles!$A$45:$I$59, 7, FALSE), perc_95, VLOOKUP(S$2, Percentiles!$A$45:$I$59, 8, FALSE), perc_85, perc_75 + (perc_90 - perc_75) * (2/3), converted_stat, '2K_Ratings'!S704, IF(bbgm_stat &gt;= perc_95, converted_stat * 3, IF(bbgm_stat &gt;= perc_90, converted_stat * 2, IF(bbgm_stat &gt;= perc_85, converted_stat * 1.5, converted_stat)))))</f>
        <v/>
      </c>
      <c r="T704" s="30" t="str">
        <f t="array" ref="T704">IF($A704="", "", LET(bbgm_stat, INDEX(Players!$A703:$P703, MATCH(T$2, Players!$A$1:$P$1, 0)), perc_75, VLOOKUP(T$2, Percentiles!$A$45:$I$59, 6, FALSE), perc_90, VLOOKUP(T$2, Percentiles!$A$45:$I$59, 7, FALSE), perc_95, VLOOKUP(T$2, Percentiles!$A$45:$I$59, 8, FALSE), perc_85, perc_75 + (perc_90 - perc_75) * (2/3), converted_stat, '2K_Ratings'!T704, IF(bbgm_stat &gt;= perc_95, converted_stat * 3, IF(bbgm_stat &gt;= perc_90, converted_stat * 2, IF(bbgm_stat &gt;= perc_85, converted_stat * 1.5, converted_stat)))))</f>
        <v/>
      </c>
      <c r="U704" s="30" t="str">
        <f t="array" ref="U704">IF($A704="", "", LET(bbgm_stat, INDEX(Players!$A703:$P703, MATCH(U$2, Players!$A$1:$P$1, 0)), perc_75, VLOOKUP(U$2, Percentiles!$A$45:$I$59, 6, FALSE), perc_90, VLOOKUP(U$2, Percentiles!$A$45:$I$59, 7, FALSE), perc_95, VLOOKUP(U$2, Percentiles!$A$45:$I$59, 8, FALSE), perc_85, perc_75 + (perc_90 - perc_75) * (2/3), converted_stat, '2K_Ratings'!U704, IF(bbgm_stat &gt;= perc_95, converted_stat * 3, IF(bbgm_stat &gt;= perc_90, converted_stat * 2, IF(bbgm_stat &gt;= perc_85, converted_stat * 1.5, converted_stat)))))</f>
        <v/>
      </c>
      <c r="V704" s="30" t="str">
        <f t="array" ref="V704">IF($A704="", "", LET(bbgm_stat, INDEX(Players!$A703:$P703, MATCH(V$2, Players!$A$1:$P$1, 0)), perc_75, VLOOKUP(V$2, Percentiles!$A$45:$I$59, 6, FALSE), perc_90, VLOOKUP(V$2, Percentiles!$A$45:$I$59, 7, FALSE), perc_95, VLOOKUP(V$2, Percentiles!$A$45:$I$59, 8, FALSE), perc_85, perc_75 + (perc_90 - perc_75) * (2/3), converted_stat, '2K_Ratings'!V704, IF(bbgm_stat &gt;= perc_95, converted_stat * 3, IF(bbgm_stat &gt;= perc_90, converted_stat * 2, IF(bbgm_stat &gt;= perc_85, converted_stat * 1.5, converted_stat)))))</f>
        <v/>
      </c>
      <c r="W704" s="30" t="str">
        <f t="array" ref="W704">IF($A704="", "", LET(bbgm_stat, INDEX(Players!$A703:$P703, MATCH(W$2, Players!$A$1:$P$1, 0)), perc_75, VLOOKUP(W$2, Percentiles!$A$45:$I$59, 6, FALSE), perc_90, VLOOKUP(W$2, Percentiles!$A$45:$I$59, 7, FALSE), perc_95, VLOOKUP(W$2, Percentiles!$A$45:$I$59, 8, FALSE), perc_85, perc_75 + (perc_90 - perc_75) * (2/3), converted_stat, '2K_Ratings'!W704, IF(bbgm_stat &gt;= perc_95, converted_stat * 3, IF(bbgm_stat &gt;= perc_90, converted_stat * 2, IF(bbgm_stat &gt;= perc_85, converted_stat * 1.5, converted_stat)))))</f>
        <v/>
      </c>
    </row>
    <row r="705">
      <c r="A705" s="30"/>
      <c r="B705" s="30" t="str">
        <f t="array" ref="B705">IF($A705="", "", LET(bbgm_stat, INDEX(Players!$A704:$P704, MATCH(B$2, Players!$A$1:$P$1, 0)), perc_75, VLOOKUP(B$2, Percentiles!$A$45:$I$59, 6, FALSE), perc_90, VLOOKUP(B$2, Percentiles!$A$45:$I$59, 7, FALSE), perc_95, VLOOKUP(B$2, Percentiles!$A$45:$I$59, 8, FALSE), perc_85, perc_75 + (perc_90 - perc_75) * (2/3), converted_stat, '2K_Ratings'!B705, IF(bbgm_stat &gt;= perc_95, converted_stat * 3, IF(bbgm_stat &gt;= perc_90, converted_stat * 2, IF(bbgm_stat &gt;= perc_85, converted_stat * 1.5, converted_stat)))))</f>
        <v/>
      </c>
      <c r="C705" s="30" t="str">
        <f t="array" ref="C705">IF($A705="", "", LET(bbgm_stat, INDEX(Players!$A704:$P704, MATCH(C$2, Players!$A$1:$P$1, 0)), perc_75, VLOOKUP(C$2, Percentiles!$A$45:$I$59, 6, FALSE), perc_90, VLOOKUP(C$2, Percentiles!$A$45:$I$59, 7, FALSE), perc_95, VLOOKUP(C$2, Percentiles!$A$45:$I$59, 8, FALSE), perc_85, perc_75 + (perc_90 - perc_75) * (2/3), converted_stat, '2K_Ratings'!C705, IF(bbgm_stat &gt;= perc_95, converted_stat * 3, IF(bbgm_stat &gt;= perc_90, converted_stat * 2, IF(bbgm_stat &gt;= perc_85, converted_stat * 1.5, converted_stat)))))</f>
        <v/>
      </c>
      <c r="D705" s="30" t="str">
        <f t="array" ref="D705">IF($A705="", "", LET(bbgm_stat, INDEX(Players!$A704:$P704, MATCH(D$2, Players!$A$1:$P$1, 0)), perc_75, VLOOKUP(D$2, Percentiles!$A$45:$I$59, 6, FALSE), perc_90, VLOOKUP(D$2, Percentiles!$A$45:$I$59, 7, FALSE), perc_95, VLOOKUP(D$2, Percentiles!$A$45:$I$59, 8, FALSE), perc_85, perc_75 + (perc_90 - perc_75) * (2/3), converted_stat, '2K_Ratings'!D705, IF(bbgm_stat &gt;= perc_95, converted_stat * 3, IF(bbgm_stat &gt;= perc_90, converted_stat * 2, IF(bbgm_stat &gt;= perc_85, converted_stat * 1.5, converted_stat)))))</f>
        <v/>
      </c>
      <c r="E705" s="30" t="str">
        <f t="array" ref="E705">IF($A705="", "", LET(bbgm_stat, INDEX(Players!$A704:$P704, MATCH(E$2, Players!$A$1:$P$1, 0)), perc_75, VLOOKUP(E$2, Percentiles!$A$45:$I$59, 6, FALSE), perc_90, VLOOKUP(E$2, Percentiles!$A$45:$I$59, 7, FALSE), perc_95, VLOOKUP(E$2, Percentiles!$A$45:$I$59, 8, FALSE), perc_85, perc_75 + (perc_90 - perc_75) * (2/3), converted_stat, '2K_Ratings'!E705, IF(bbgm_stat &gt;= perc_95, converted_stat * 3, IF(bbgm_stat &gt;= perc_90, converted_stat * 2, IF(bbgm_stat &gt;= perc_85, converted_stat * 1.5, converted_stat)))))</f>
        <v/>
      </c>
      <c r="F705" s="30" t="str">
        <f t="array" ref="F705">IF($A705="", "", LET(bbgm_stat, INDEX(Players!$A704:$P704, MATCH(F$2, Players!$A$1:$P$1, 0)), perc_75, VLOOKUP(F$2, Percentiles!$A$45:$I$59, 6, FALSE), perc_90, VLOOKUP(F$2, Percentiles!$A$45:$I$59, 7, FALSE), perc_95, VLOOKUP(F$2, Percentiles!$A$45:$I$59, 8, FALSE), perc_85, perc_75 + (perc_90 - perc_75) * (2/3), converted_stat, '2K_Ratings'!F705, IF(bbgm_stat &gt;= perc_95, converted_stat * 3, IF(bbgm_stat &gt;= perc_90, converted_stat * 2, IF(bbgm_stat &gt;= perc_85, converted_stat * 1.5, converted_stat)))))</f>
        <v/>
      </c>
      <c r="G705" s="30" t="str">
        <f t="array" ref="G705">IF($A705="", "", LET(bbgm_stat, INDEX(Players!$A704:$P704, MATCH(G$2, Players!$A$1:$P$1, 0)), perc_75, VLOOKUP(G$2, Percentiles!$A$45:$I$59, 6, FALSE), perc_90, VLOOKUP(G$2, Percentiles!$A$45:$I$59, 7, FALSE), perc_95, VLOOKUP(G$2, Percentiles!$A$45:$I$59, 8, FALSE), perc_85, perc_75 + (perc_90 - perc_75) * (2/3), converted_stat, '2K_Ratings'!G705, IF(bbgm_stat &gt;= perc_95, converted_stat * 3, IF(bbgm_stat &gt;= perc_90, converted_stat * 2, IF(bbgm_stat &gt;= perc_85, converted_stat * 1.5, converted_stat)))))</f>
        <v/>
      </c>
      <c r="H705" s="30" t="str">
        <f t="array" ref="H705">IF($A705="", "", LET(bbgm_stat, INDEX(Players!$A704:$P704, MATCH(H$2, Players!$A$1:$P$1, 0)), perc_75, VLOOKUP(H$2, Percentiles!$A$45:$I$59, 6, FALSE), perc_90, VLOOKUP(H$2, Percentiles!$A$45:$I$59, 7, FALSE), perc_95, VLOOKUP(H$2, Percentiles!$A$45:$I$59, 8, FALSE), perc_85, perc_75 + (perc_90 - perc_75) * (2/3), converted_stat, '2K_Ratings'!H705, IF(bbgm_stat &gt;= perc_95, converted_stat * 3, IF(bbgm_stat &gt;= perc_90, converted_stat * 2, IF(bbgm_stat &gt;= perc_85, converted_stat * 1.5, converted_stat)))))</f>
        <v/>
      </c>
      <c r="I705" s="30" t="str">
        <f t="array" ref="I705">IF($A705="", "", LET(bbgm_stat, INDEX(Players!$A704:$P704, MATCH(I$2, Players!$A$1:$P$1, 0)), perc_75, VLOOKUP(I$2, Percentiles!$A$45:$I$59, 6, FALSE), perc_90, VLOOKUP(I$2, Percentiles!$A$45:$I$59, 7, FALSE), perc_95, VLOOKUP(I$2, Percentiles!$A$45:$I$59, 8, FALSE), perc_85, perc_75 + (perc_90 - perc_75) * (2/3), converted_stat, '2K_Ratings'!I705, IF(bbgm_stat &gt;= perc_95, converted_stat * 3, IF(bbgm_stat &gt;= perc_90, converted_stat * 2, IF(bbgm_stat &gt;= perc_85, converted_stat * 1.5, converted_stat)))))</f>
        <v/>
      </c>
      <c r="J705" s="30" t="str">
        <f t="array" ref="J705">IF($A705="", "", LET(bbgm_stat, INDEX(Players!$A704:$P704, MATCH(J$2, Players!$A$1:$P$1, 0)), perc_75, VLOOKUP(J$2, Percentiles!$A$45:$I$59, 6, FALSE), perc_90, VLOOKUP(J$2, Percentiles!$A$45:$I$59, 7, FALSE), perc_95, VLOOKUP(J$2, Percentiles!$A$45:$I$59, 8, FALSE), perc_85, perc_75 + (perc_90 - perc_75) * (2/3), converted_stat, '2K_Ratings'!J705, IF(bbgm_stat &gt;= perc_95, converted_stat * 3, IF(bbgm_stat &gt;= perc_90, converted_stat * 2, IF(bbgm_stat &gt;= perc_85, converted_stat * 1.5, converted_stat)))))</f>
        <v/>
      </c>
      <c r="K705" s="30" t="str">
        <f t="array" ref="K705">IF($A705="", "", LET(bbgm_stat, INDEX(Players!$A704:$P704, MATCH(K$2, Players!$A$1:$P$1, 0)), perc_75, VLOOKUP(K$2, Percentiles!$A$45:$I$59, 6, FALSE), perc_90, VLOOKUP(K$2, Percentiles!$A$45:$I$59, 7, FALSE), perc_95, VLOOKUP(K$2, Percentiles!$A$45:$I$59, 8, FALSE), perc_85, perc_75 + (perc_90 - perc_75) * (2/3), converted_stat, '2K_Ratings'!K705, IF(bbgm_stat &gt;= perc_95, converted_stat * 3, IF(bbgm_stat &gt;= perc_90, converted_stat * 2, IF(bbgm_stat &gt;= perc_85, converted_stat * 1.5, converted_stat)))))</f>
        <v/>
      </c>
      <c r="L705" s="30" t="str">
        <f t="array" ref="L705">IF($A705="", "", LET(bbgm_stat, INDEX(Players!$A704:$P704, MATCH(L$2, Players!$A$1:$P$1, 0)), perc_75, VLOOKUP(L$2, Percentiles!$A$45:$I$59, 6, FALSE), perc_90, VLOOKUP(L$2, Percentiles!$A$45:$I$59, 7, FALSE), perc_95, VLOOKUP(L$2, Percentiles!$A$45:$I$59, 8, FALSE), perc_85, perc_75 + (perc_90 - perc_75) * (2/3), converted_stat, '2K_Ratings'!L705, IF(bbgm_stat &gt;= perc_95, converted_stat * 3, IF(bbgm_stat &gt;= perc_90, converted_stat * 2, IF(bbgm_stat &gt;= perc_85, converted_stat * 1.5, converted_stat)))))</f>
        <v/>
      </c>
      <c r="M705" s="30" t="str">
        <f t="array" ref="M705">IF($A705="", "", LET(bbgm_stat, INDEX(Players!$A704:$P704, MATCH(M$2, Players!$A$1:$P$1, 0)), perc_75, VLOOKUP(M$2, Percentiles!$A$45:$I$59, 6, FALSE), perc_90, VLOOKUP(M$2, Percentiles!$A$45:$I$59, 7, FALSE), perc_95, VLOOKUP(M$2, Percentiles!$A$45:$I$59, 8, FALSE), perc_85, perc_75 + (perc_90 - perc_75) * (2/3), converted_stat, '2K_Ratings'!M705, IF(bbgm_stat &gt;= perc_95, converted_stat * 3, IF(bbgm_stat &gt;= perc_90, converted_stat * 2, IF(bbgm_stat &gt;= perc_85, converted_stat * 1.5, converted_stat)))))</f>
        <v/>
      </c>
      <c r="N705" s="30" t="str">
        <f t="array" ref="N705">IF($A705="", "", LET(bbgm_stat, INDEX(Players!$A704:$P704, MATCH(N$2, Players!$A$1:$P$1, 0)), perc_75, VLOOKUP(N$2, Percentiles!$A$45:$I$59, 6, FALSE), perc_90, VLOOKUP(N$2, Percentiles!$A$45:$I$59, 7, FALSE), perc_95, VLOOKUP(N$2, Percentiles!$A$45:$I$59, 8, FALSE), perc_85, perc_75 + (perc_90 - perc_75) * (2/3), converted_stat, '2K_Ratings'!N705, IF(bbgm_stat &gt;= perc_95, converted_stat * 3, IF(bbgm_stat &gt;= perc_90, converted_stat * 2, IF(bbgm_stat &gt;= perc_85, converted_stat * 1.5, converted_stat)))))</f>
        <v/>
      </c>
      <c r="O705" s="30" t="str">
        <f t="array" ref="O705">IF($A705="", "", LET(bbgm_stat, INDEX(Players!$A704:$P704, MATCH(O$2, Players!$A$1:$P$1, 0)), perc_75, VLOOKUP(O$2, Percentiles!$A$45:$I$59, 6, FALSE), perc_90, VLOOKUP(O$2, Percentiles!$A$45:$I$59, 7, FALSE), perc_95, VLOOKUP(O$2, Percentiles!$A$45:$I$59, 8, FALSE), perc_85, perc_75 + (perc_90 - perc_75) * (2/3), converted_stat, '2K_Ratings'!O705, IF(bbgm_stat &gt;= perc_95, converted_stat * 3, IF(bbgm_stat &gt;= perc_90, converted_stat * 2, IF(bbgm_stat &gt;= perc_85, converted_stat * 1.5, converted_stat)))))</f>
        <v/>
      </c>
      <c r="P705" s="30" t="str">
        <f t="array" ref="P705">IF($A705="", "", LET(bbgm_stat, INDEX(Players!$A704:$P704, MATCH(P$2, Players!$A$1:$P$1, 0)), perc_75, VLOOKUP(P$2, Percentiles!$A$45:$I$59, 6, FALSE), perc_90, VLOOKUP(P$2, Percentiles!$A$45:$I$59, 7, FALSE), perc_95, VLOOKUP(P$2, Percentiles!$A$45:$I$59, 8, FALSE), perc_85, perc_75 + (perc_90 - perc_75) * (2/3), converted_stat, '2K_Ratings'!P705, IF(bbgm_stat &gt;= perc_95, converted_stat * 3, IF(bbgm_stat &gt;= perc_90, converted_stat * 2, IF(bbgm_stat &gt;= perc_85, converted_stat * 1.5, converted_stat)))))</f>
        <v/>
      </c>
      <c r="Q705" s="30" t="str">
        <f t="array" ref="Q705">IF($A705="", "", LET(bbgm_stat, INDEX(Players!$A704:$P704, MATCH(Q$2, Players!$A$1:$P$1, 0)), perc_75, VLOOKUP(Q$2, Percentiles!$A$45:$I$59, 6, FALSE), perc_90, VLOOKUP(Q$2, Percentiles!$A$45:$I$59, 7, FALSE), perc_95, VLOOKUP(Q$2, Percentiles!$A$45:$I$59, 8, FALSE), perc_85, perc_75 + (perc_90 - perc_75) * (2/3), converted_stat, '2K_Ratings'!Q705, IF(bbgm_stat &gt;= perc_95, converted_stat * 3, IF(bbgm_stat &gt;= perc_90, converted_stat * 2, IF(bbgm_stat &gt;= perc_85, converted_stat * 1.5, converted_stat)))))</f>
        <v/>
      </c>
      <c r="R705" s="30" t="str">
        <f t="array" ref="R705">IF($A705="", "", LET(bbgm_stat, INDEX(Players!$A704:$P704, MATCH(R$2, Players!$A$1:$P$1, 0)), perc_75, VLOOKUP(R$2, Percentiles!$A$45:$I$59, 6, FALSE), perc_90, VLOOKUP(R$2, Percentiles!$A$45:$I$59, 7, FALSE), perc_95, VLOOKUP(R$2, Percentiles!$A$45:$I$59, 8, FALSE), perc_85, perc_75 + (perc_90 - perc_75) * (2/3), converted_stat, '2K_Ratings'!R705, IF(bbgm_stat &gt;= perc_95, converted_stat * 3, IF(bbgm_stat &gt;= perc_90, converted_stat * 2, IF(bbgm_stat &gt;= perc_85, converted_stat * 1.5, converted_stat)))))</f>
        <v/>
      </c>
      <c r="S705" s="30" t="str">
        <f t="array" ref="S705">IF($A705="", "", LET(bbgm_stat, INDEX(Players!$A704:$P704, MATCH(S$2, Players!$A$1:$P$1, 0)), perc_75, VLOOKUP(S$2, Percentiles!$A$45:$I$59, 6, FALSE), perc_90, VLOOKUP(S$2, Percentiles!$A$45:$I$59, 7, FALSE), perc_95, VLOOKUP(S$2, Percentiles!$A$45:$I$59, 8, FALSE), perc_85, perc_75 + (perc_90 - perc_75) * (2/3), converted_stat, '2K_Ratings'!S705, IF(bbgm_stat &gt;= perc_95, converted_stat * 3, IF(bbgm_stat &gt;= perc_90, converted_stat * 2, IF(bbgm_stat &gt;= perc_85, converted_stat * 1.5, converted_stat)))))</f>
        <v/>
      </c>
      <c r="T705" s="30" t="str">
        <f t="array" ref="T705">IF($A705="", "", LET(bbgm_stat, INDEX(Players!$A704:$P704, MATCH(T$2, Players!$A$1:$P$1, 0)), perc_75, VLOOKUP(T$2, Percentiles!$A$45:$I$59, 6, FALSE), perc_90, VLOOKUP(T$2, Percentiles!$A$45:$I$59, 7, FALSE), perc_95, VLOOKUP(T$2, Percentiles!$A$45:$I$59, 8, FALSE), perc_85, perc_75 + (perc_90 - perc_75) * (2/3), converted_stat, '2K_Ratings'!T705, IF(bbgm_stat &gt;= perc_95, converted_stat * 3, IF(bbgm_stat &gt;= perc_90, converted_stat * 2, IF(bbgm_stat &gt;= perc_85, converted_stat * 1.5, converted_stat)))))</f>
        <v/>
      </c>
      <c r="U705" s="30" t="str">
        <f t="array" ref="U705">IF($A705="", "", LET(bbgm_stat, INDEX(Players!$A704:$P704, MATCH(U$2, Players!$A$1:$P$1, 0)), perc_75, VLOOKUP(U$2, Percentiles!$A$45:$I$59, 6, FALSE), perc_90, VLOOKUP(U$2, Percentiles!$A$45:$I$59, 7, FALSE), perc_95, VLOOKUP(U$2, Percentiles!$A$45:$I$59, 8, FALSE), perc_85, perc_75 + (perc_90 - perc_75) * (2/3), converted_stat, '2K_Ratings'!U705, IF(bbgm_stat &gt;= perc_95, converted_stat * 3, IF(bbgm_stat &gt;= perc_90, converted_stat * 2, IF(bbgm_stat &gt;= perc_85, converted_stat * 1.5, converted_stat)))))</f>
        <v/>
      </c>
      <c r="V705" s="30" t="str">
        <f t="array" ref="V705">IF($A705="", "", LET(bbgm_stat, INDEX(Players!$A704:$P704, MATCH(V$2, Players!$A$1:$P$1, 0)), perc_75, VLOOKUP(V$2, Percentiles!$A$45:$I$59, 6, FALSE), perc_90, VLOOKUP(V$2, Percentiles!$A$45:$I$59, 7, FALSE), perc_95, VLOOKUP(V$2, Percentiles!$A$45:$I$59, 8, FALSE), perc_85, perc_75 + (perc_90 - perc_75) * (2/3), converted_stat, '2K_Ratings'!V705, IF(bbgm_stat &gt;= perc_95, converted_stat * 3, IF(bbgm_stat &gt;= perc_90, converted_stat * 2, IF(bbgm_stat &gt;= perc_85, converted_stat * 1.5, converted_stat)))))</f>
        <v/>
      </c>
      <c r="W705" s="30" t="str">
        <f t="array" ref="W705">IF($A705="", "", LET(bbgm_stat, INDEX(Players!$A704:$P704, MATCH(W$2, Players!$A$1:$P$1, 0)), perc_75, VLOOKUP(W$2, Percentiles!$A$45:$I$59, 6, FALSE), perc_90, VLOOKUP(W$2, Percentiles!$A$45:$I$59, 7, FALSE), perc_95, VLOOKUP(W$2, Percentiles!$A$45:$I$59, 8, FALSE), perc_85, perc_75 + (perc_90 - perc_75) * (2/3), converted_stat, '2K_Ratings'!W705, IF(bbgm_stat &gt;= perc_95, converted_stat * 3, IF(bbgm_stat &gt;= perc_90, converted_stat * 2, IF(bbgm_stat &gt;= perc_85, converted_stat * 1.5, converted_stat)))))</f>
        <v/>
      </c>
    </row>
    <row r="706">
      <c r="A706" s="30"/>
      <c r="B706" s="30" t="str">
        <f t="array" ref="B706">IF($A706="", "", LET(bbgm_stat, INDEX(Players!$A705:$P705, MATCH(B$2, Players!$A$1:$P$1, 0)), perc_75, VLOOKUP(B$2, Percentiles!$A$45:$I$59, 6, FALSE), perc_90, VLOOKUP(B$2, Percentiles!$A$45:$I$59, 7, FALSE), perc_95, VLOOKUP(B$2, Percentiles!$A$45:$I$59, 8, FALSE), perc_85, perc_75 + (perc_90 - perc_75) * (2/3), converted_stat, '2K_Ratings'!B706, IF(bbgm_stat &gt;= perc_95, converted_stat * 3, IF(bbgm_stat &gt;= perc_90, converted_stat * 2, IF(bbgm_stat &gt;= perc_85, converted_stat * 1.5, converted_stat)))))</f>
        <v/>
      </c>
      <c r="C706" s="30" t="str">
        <f t="array" ref="C706">IF($A706="", "", LET(bbgm_stat, INDEX(Players!$A705:$P705, MATCH(C$2, Players!$A$1:$P$1, 0)), perc_75, VLOOKUP(C$2, Percentiles!$A$45:$I$59, 6, FALSE), perc_90, VLOOKUP(C$2, Percentiles!$A$45:$I$59, 7, FALSE), perc_95, VLOOKUP(C$2, Percentiles!$A$45:$I$59, 8, FALSE), perc_85, perc_75 + (perc_90 - perc_75) * (2/3), converted_stat, '2K_Ratings'!C706, IF(bbgm_stat &gt;= perc_95, converted_stat * 3, IF(bbgm_stat &gt;= perc_90, converted_stat * 2, IF(bbgm_stat &gt;= perc_85, converted_stat * 1.5, converted_stat)))))</f>
        <v/>
      </c>
      <c r="D706" s="30" t="str">
        <f t="array" ref="D706">IF($A706="", "", LET(bbgm_stat, INDEX(Players!$A705:$P705, MATCH(D$2, Players!$A$1:$P$1, 0)), perc_75, VLOOKUP(D$2, Percentiles!$A$45:$I$59, 6, FALSE), perc_90, VLOOKUP(D$2, Percentiles!$A$45:$I$59, 7, FALSE), perc_95, VLOOKUP(D$2, Percentiles!$A$45:$I$59, 8, FALSE), perc_85, perc_75 + (perc_90 - perc_75) * (2/3), converted_stat, '2K_Ratings'!D706, IF(bbgm_stat &gt;= perc_95, converted_stat * 3, IF(bbgm_stat &gt;= perc_90, converted_stat * 2, IF(bbgm_stat &gt;= perc_85, converted_stat * 1.5, converted_stat)))))</f>
        <v/>
      </c>
      <c r="E706" s="30" t="str">
        <f t="array" ref="E706">IF($A706="", "", LET(bbgm_stat, INDEX(Players!$A705:$P705, MATCH(E$2, Players!$A$1:$P$1, 0)), perc_75, VLOOKUP(E$2, Percentiles!$A$45:$I$59, 6, FALSE), perc_90, VLOOKUP(E$2, Percentiles!$A$45:$I$59, 7, FALSE), perc_95, VLOOKUP(E$2, Percentiles!$A$45:$I$59, 8, FALSE), perc_85, perc_75 + (perc_90 - perc_75) * (2/3), converted_stat, '2K_Ratings'!E706, IF(bbgm_stat &gt;= perc_95, converted_stat * 3, IF(bbgm_stat &gt;= perc_90, converted_stat * 2, IF(bbgm_stat &gt;= perc_85, converted_stat * 1.5, converted_stat)))))</f>
        <v/>
      </c>
      <c r="F706" s="30" t="str">
        <f t="array" ref="F706">IF($A706="", "", LET(bbgm_stat, INDEX(Players!$A705:$P705, MATCH(F$2, Players!$A$1:$P$1, 0)), perc_75, VLOOKUP(F$2, Percentiles!$A$45:$I$59, 6, FALSE), perc_90, VLOOKUP(F$2, Percentiles!$A$45:$I$59, 7, FALSE), perc_95, VLOOKUP(F$2, Percentiles!$A$45:$I$59, 8, FALSE), perc_85, perc_75 + (perc_90 - perc_75) * (2/3), converted_stat, '2K_Ratings'!F706, IF(bbgm_stat &gt;= perc_95, converted_stat * 3, IF(bbgm_stat &gt;= perc_90, converted_stat * 2, IF(bbgm_stat &gt;= perc_85, converted_stat * 1.5, converted_stat)))))</f>
        <v/>
      </c>
      <c r="G706" s="30" t="str">
        <f t="array" ref="G706">IF($A706="", "", LET(bbgm_stat, INDEX(Players!$A705:$P705, MATCH(G$2, Players!$A$1:$P$1, 0)), perc_75, VLOOKUP(G$2, Percentiles!$A$45:$I$59, 6, FALSE), perc_90, VLOOKUP(G$2, Percentiles!$A$45:$I$59, 7, FALSE), perc_95, VLOOKUP(G$2, Percentiles!$A$45:$I$59, 8, FALSE), perc_85, perc_75 + (perc_90 - perc_75) * (2/3), converted_stat, '2K_Ratings'!G706, IF(bbgm_stat &gt;= perc_95, converted_stat * 3, IF(bbgm_stat &gt;= perc_90, converted_stat * 2, IF(bbgm_stat &gt;= perc_85, converted_stat * 1.5, converted_stat)))))</f>
        <v/>
      </c>
      <c r="H706" s="30" t="str">
        <f t="array" ref="H706">IF($A706="", "", LET(bbgm_stat, INDEX(Players!$A705:$P705, MATCH(H$2, Players!$A$1:$P$1, 0)), perc_75, VLOOKUP(H$2, Percentiles!$A$45:$I$59, 6, FALSE), perc_90, VLOOKUP(H$2, Percentiles!$A$45:$I$59, 7, FALSE), perc_95, VLOOKUP(H$2, Percentiles!$A$45:$I$59, 8, FALSE), perc_85, perc_75 + (perc_90 - perc_75) * (2/3), converted_stat, '2K_Ratings'!H706, IF(bbgm_stat &gt;= perc_95, converted_stat * 3, IF(bbgm_stat &gt;= perc_90, converted_stat * 2, IF(bbgm_stat &gt;= perc_85, converted_stat * 1.5, converted_stat)))))</f>
        <v/>
      </c>
      <c r="I706" s="30" t="str">
        <f t="array" ref="I706">IF($A706="", "", LET(bbgm_stat, INDEX(Players!$A705:$P705, MATCH(I$2, Players!$A$1:$P$1, 0)), perc_75, VLOOKUP(I$2, Percentiles!$A$45:$I$59, 6, FALSE), perc_90, VLOOKUP(I$2, Percentiles!$A$45:$I$59, 7, FALSE), perc_95, VLOOKUP(I$2, Percentiles!$A$45:$I$59, 8, FALSE), perc_85, perc_75 + (perc_90 - perc_75) * (2/3), converted_stat, '2K_Ratings'!I706, IF(bbgm_stat &gt;= perc_95, converted_stat * 3, IF(bbgm_stat &gt;= perc_90, converted_stat * 2, IF(bbgm_stat &gt;= perc_85, converted_stat * 1.5, converted_stat)))))</f>
        <v/>
      </c>
      <c r="J706" s="30" t="str">
        <f t="array" ref="J706">IF($A706="", "", LET(bbgm_stat, INDEX(Players!$A705:$P705, MATCH(J$2, Players!$A$1:$P$1, 0)), perc_75, VLOOKUP(J$2, Percentiles!$A$45:$I$59, 6, FALSE), perc_90, VLOOKUP(J$2, Percentiles!$A$45:$I$59, 7, FALSE), perc_95, VLOOKUP(J$2, Percentiles!$A$45:$I$59, 8, FALSE), perc_85, perc_75 + (perc_90 - perc_75) * (2/3), converted_stat, '2K_Ratings'!J706, IF(bbgm_stat &gt;= perc_95, converted_stat * 3, IF(bbgm_stat &gt;= perc_90, converted_stat * 2, IF(bbgm_stat &gt;= perc_85, converted_stat * 1.5, converted_stat)))))</f>
        <v/>
      </c>
      <c r="K706" s="30" t="str">
        <f t="array" ref="K706">IF($A706="", "", LET(bbgm_stat, INDEX(Players!$A705:$P705, MATCH(K$2, Players!$A$1:$P$1, 0)), perc_75, VLOOKUP(K$2, Percentiles!$A$45:$I$59, 6, FALSE), perc_90, VLOOKUP(K$2, Percentiles!$A$45:$I$59, 7, FALSE), perc_95, VLOOKUP(K$2, Percentiles!$A$45:$I$59, 8, FALSE), perc_85, perc_75 + (perc_90 - perc_75) * (2/3), converted_stat, '2K_Ratings'!K706, IF(bbgm_stat &gt;= perc_95, converted_stat * 3, IF(bbgm_stat &gt;= perc_90, converted_stat * 2, IF(bbgm_stat &gt;= perc_85, converted_stat * 1.5, converted_stat)))))</f>
        <v/>
      </c>
      <c r="L706" s="30" t="str">
        <f t="array" ref="L706">IF($A706="", "", LET(bbgm_stat, INDEX(Players!$A705:$P705, MATCH(L$2, Players!$A$1:$P$1, 0)), perc_75, VLOOKUP(L$2, Percentiles!$A$45:$I$59, 6, FALSE), perc_90, VLOOKUP(L$2, Percentiles!$A$45:$I$59, 7, FALSE), perc_95, VLOOKUP(L$2, Percentiles!$A$45:$I$59, 8, FALSE), perc_85, perc_75 + (perc_90 - perc_75) * (2/3), converted_stat, '2K_Ratings'!L706, IF(bbgm_stat &gt;= perc_95, converted_stat * 3, IF(bbgm_stat &gt;= perc_90, converted_stat * 2, IF(bbgm_stat &gt;= perc_85, converted_stat * 1.5, converted_stat)))))</f>
        <v/>
      </c>
      <c r="M706" s="30" t="str">
        <f t="array" ref="M706">IF($A706="", "", LET(bbgm_stat, INDEX(Players!$A705:$P705, MATCH(M$2, Players!$A$1:$P$1, 0)), perc_75, VLOOKUP(M$2, Percentiles!$A$45:$I$59, 6, FALSE), perc_90, VLOOKUP(M$2, Percentiles!$A$45:$I$59, 7, FALSE), perc_95, VLOOKUP(M$2, Percentiles!$A$45:$I$59, 8, FALSE), perc_85, perc_75 + (perc_90 - perc_75) * (2/3), converted_stat, '2K_Ratings'!M706, IF(bbgm_stat &gt;= perc_95, converted_stat * 3, IF(bbgm_stat &gt;= perc_90, converted_stat * 2, IF(bbgm_stat &gt;= perc_85, converted_stat * 1.5, converted_stat)))))</f>
        <v/>
      </c>
      <c r="N706" s="30" t="str">
        <f t="array" ref="N706">IF($A706="", "", LET(bbgm_stat, INDEX(Players!$A705:$P705, MATCH(N$2, Players!$A$1:$P$1, 0)), perc_75, VLOOKUP(N$2, Percentiles!$A$45:$I$59, 6, FALSE), perc_90, VLOOKUP(N$2, Percentiles!$A$45:$I$59, 7, FALSE), perc_95, VLOOKUP(N$2, Percentiles!$A$45:$I$59, 8, FALSE), perc_85, perc_75 + (perc_90 - perc_75) * (2/3), converted_stat, '2K_Ratings'!N706, IF(bbgm_stat &gt;= perc_95, converted_stat * 3, IF(bbgm_stat &gt;= perc_90, converted_stat * 2, IF(bbgm_stat &gt;= perc_85, converted_stat * 1.5, converted_stat)))))</f>
        <v/>
      </c>
      <c r="O706" s="30" t="str">
        <f t="array" ref="O706">IF($A706="", "", LET(bbgm_stat, INDEX(Players!$A705:$P705, MATCH(O$2, Players!$A$1:$P$1, 0)), perc_75, VLOOKUP(O$2, Percentiles!$A$45:$I$59, 6, FALSE), perc_90, VLOOKUP(O$2, Percentiles!$A$45:$I$59, 7, FALSE), perc_95, VLOOKUP(O$2, Percentiles!$A$45:$I$59, 8, FALSE), perc_85, perc_75 + (perc_90 - perc_75) * (2/3), converted_stat, '2K_Ratings'!O706, IF(bbgm_stat &gt;= perc_95, converted_stat * 3, IF(bbgm_stat &gt;= perc_90, converted_stat * 2, IF(bbgm_stat &gt;= perc_85, converted_stat * 1.5, converted_stat)))))</f>
        <v/>
      </c>
      <c r="P706" s="30" t="str">
        <f t="array" ref="P706">IF($A706="", "", LET(bbgm_stat, INDEX(Players!$A705:$P705, MATCH(P$2, Players!$A$1:$P$1, 0)), perc_75, VLOOKUP(P$2, Percentiles!$A$45:$I$59, 6, FALSE), perc_90, VLOOKUP(P$2, Percentiles!$A$45:$I$59, 7, FALSE), perc_95, VLOOKUP(P$2, Percentiles!$A$45:$I$59, 8, FALSE), perc_85, perc_75 + (perc_90 - perc_75) * (2/3), converted_stat, '2K_Ratings'!P706, IF(bbgm_stat &gt;= perc_95, converted_stat * 3, IF(bbgm_stat &gt;= perc_90, converted_stat * 2, IF(bbgm_stat &gt;= perc_85, converted_stat * 1.5, converted_stat)))))</f>
        <v/>
      </c>
      <c r="Q706" s="30" t="str">
        <f t="array" ref="Q706">IF($A706="", "", LET(bbgm_stat, INDEX(Players!$A705:$P705, MATCH(Q$2, Players!$A$1:$P$1, 0)), perc_75, VLOOKUP(Q$2, Percentiles!$A$45:$I$59, 6, FALSE), perc_90, VLOOKUP(Q$2, Percentiles!$A$45:$I$59, 7, FALSE), perc_95, VLOOKUP(Q$2, Percentiles!$A$45:$I$59, 8, FALSE), perc_85, perc_75 + (perc_90 - perc_75) * (2/3), converted_stat, '2K_Ratings'!Q706, IF(bbgm_stat &gt;= perc_95, converted_stat * 3, IF(bbgm_stat &gt;= perc_90, converted_stat * 2, IF(bbgm_stat &gt;= perc_85, converted_stat * 1.5, converted_stat)))))</f>
        <v/>
      </c>
      <c r="R706" s="30" t="str">
        <f t="array" ref="R706">IF($A706="", "", LET(bbgm_stat, INDEX(Players!$A705:$P705, MATCH(R$2, Players!$A$1:$P$1, 0)), perc_75, VLOOKUP(R$2, Percentiles!$A$45:$I$59, 6, FALSE), perc_90, VLOOKUP(R$2, Percentiles!$A$45:$I$59, 7, FALSE), perc_95, VLOOKUP(R$2, Percentiles!$A$45:$I$59, 8, FALSE), perc_85, perc_75 + (perc_90 - perc_75) * (2/3), converted_stat, '2K_Ratings'!R706, IF(bbgm_stat &gt;= perc_95, converted_stat * 3, IF(bbgm_stat &gt;= perc_90, converted_stat * 2, IF(bbgm_stat &gt;= perc_85, converted_stat * 1.5, converted_stat)))))</f>
        <v/>
      </c>
      <c r="S706" s="30" t="str">
        <f t="array" ref="S706">IF($A706="", "", LET(bbgm_stat, INDEX(Players!$A705:$P705, MATCH(S$2, Players!$A$1:$P$1, 0)), perc_75, VLOOKUP(S$2, Percentiles!$A$45:$I$59, 6, FALSE), perc_90, VLOOKUP(S$2, Percentiles!$A$45:$I$59, 7, FALSE), perc_95, VLOOKUP(S$2, Percentiles!$A$45:$I$59, 8, FALSE), perc_85, perc_75 + (perc_90 - perc_75) * (2/3), converted_stat, '2K_Ratings'!S706, IF(bbgm_stat &gt;= perc_95, converted_stat * 3, IF(bbgm_stat &gt;= perc_90, converted_stat * 2, IF(bbgm_stat &gt;= perc_85, converted_stat * 1.5, converted_stat)))))</f>
        <v/>
      </c>
      <c r="T706" s="30" t="str">
        <f t="array" ref="T706">IF($A706="", "", LET(bbgm_stat, INDEX(Players!$A705:$P705, MATCH(T$2, Players!$A$1:$P$1, 0)), perc_75, VLOOKUP(T$2, Percentiles!$A$45:$I$59, 6, FALSE), perc_90, VLOOKUP(T$2, Percentiles!$A$45:$I$59, 7, FALSE), perc_95, VLOOKUP(T$2, Percentiles!$A$45:$I$59, 8, FALSE), perc_85, perc_75 + (perc_90 - perc_75) * (2/3), converted_stat, '2K_Ratings'!T706, IF(bbgm_stat &gt;= perc_95, converted_stat * 3, IF(bbgm_stat &gt;= perc_90, converted_stat * 2, IF(bbgm_stat &gt;= perc_85, converted_stat * 1.5, converted_stat)))))</f>
        <v/>
      </c>
      <c r="U706" s="30" t="str">
        <f t="array" ref="U706">IF($A706="", "", LET(bbgm_stat, INDEX(Players!$A705:$P705, MATCH(U$2, Players!$A$1:$P$1, 0)), perc_75, VLOOKUP(U$2, Percentiles!$A$45:$I$59, 6, FALSE), perc_90, VLOOKUP(U$2, Percentiles!$A$45:$I$59, 7, FALSE), perc_95, VLOOKUP(U$2, Percentiles!$A$45:$I$59, 8, FALSE), perc_85, perc_75 + (perc_90 - perc_75) * (2/3), converted_stat, '2K_Ratings'!U706, IF(bbgm_stat &gt;= perc_95, converted_stat * 3, IF(bbgm_stat &gt;= perc_90, converted_stat * 2, IF(bbgm_stat &gt;= perc_85, converted_stat * 1.5, converted_stat)))))</f>
        <v/>
      </c>
      <c r="V706" s="30" t="str">
        <f t="array" ref="V706">IF($A706="", "", LET(bbgm_stat, INDEX(Players!$A705:$P705, MATCH(V$2, Players!$A$1:$P$1, 0)), perc_75, VLOOKUP(V$2, Percentiles!$A$45:$I$59, 6, FALSE), perc_90, VLOOKUP(V$2, Percentiles!$A$45:$I$59, 7, FALSE), perc_95, VLOOKUP(V$2, Percentiles!$A$45:$I$59, 8, FALSE), perc_85, perc_75 + (perc_90 - perc_75) * (2/3), converted_stat, '2K_Ratings'!V706, IF(bbgm_stat &gt;= perc_95, converted_stat * 3, IF(bbgm_stat &gt;= perc_90, converted_stat * 2, IF(bbgm_stat &gt;= perc_85, converted_stat * 1.5, converted_stat)))))</f>
        <v/>
      </c>
      <c r="W706" s="30" t="str">
        <f t="array" ref="W706">IF($A706="", "", LET(bbgm_stat, INDEX(Players!$A705:$P705, MATCH(W$2, Players!$A$1:$P$1, 0)), perc_75, VLOOKUP(W$2, Percentiles!$A$45:$I$59, 6, FALSE), perc_90, VLOOKUP(W$2, Percentiles!$A$45:$I$59, 7, FALSE), perc_95, VLOOKUP(W$2, Percentiles!$A$45:$I$59, 8, FALSE), perc_85, perc_75 + (perc_90 - perc_75) * (2/3), converted_stat, '2K_Ratings'!W706, IF(bbgm_stat &gt;= perc_95, converted_stat * 3, IF(bbgm_stat &gt;= perc_90, converted_stat * 2, IF(bbgm_stat &gt;= perc_85, converted_stat * 1.5, converted_stat)))))</f>
        <v/>
      </c>
    </row>
    <row r="707">
      <c r="A707" s="30"/>
      <c r="B707" s="30" t="str">
        <f t="array" ref="B707">IF($A707="", "", LET(bbgm_stat, INDEX(Players!$A706:$P706, MATCH(B$2, Players!$A$1:$P$1, 0)), perc_75, VLOOKUP(B$2, Percentiles!$A$45:$I$59, 6, FALSE), perc_90, VLOOKUP(B$2, Percentiles!$A$45:$I$59, 7, FALSE), perc_95, VLOOKUP(B$2, Percentiles!$A$45:$I$59, 8, FALSE), perc_85, perc_75 + (perc_90 - perc_75) * (2/3), converted_stat, '2K_Ratings'!B707, IF(bbgm_stat &gt;= perc_95, converted_stat * 3, IF(bbgm_stat &gt;= perc_90, converted_stat * 2, IF(bbgm_stat &gt;= perc_85, converted_stat * 1.5, converted_stat)))))</f>
        <v/>
      </c>
      <c r="C707" s="30" t="str">
        <f t="array" ref="C707">IF($A707="", "", LET(bbgm_stat, INDEX(Players!$A706:$P706, MATCH(C$2, Players!$A$1:$P$1, 0)), perc_75, VLOOKUP(C$2, Percentiles!$A$45:$I$59, 6, FALSE), perc_90, VLOOKUP(C$2, Percentiles!$A$45:$I$59, 7, FALSE), perc_95, VLOOKUP(C$2, Percentiles!$A$45:$I$59, 8, FALSE), perc_85, perc_75 + (perc_90 - perc_75) * (2/3), converted_stat, '2K_Ratings'!C707, IF(bbgm_stat &gt;= perc_95, converted_stat * 3, IF(bbgm_stat &gt;= perc_90, converted_stat * 2, IF(bbgm_stat &gt;= perc_85, converted_stat * 1.5, converted_stat)))))</f>
        <v/>
      </c>
      <c r="D707" s="30" t="str">
        <f t="array" ref="D707">IF($A707="", "", LET(bbgm_stat, INDEX(Players!$A706:$P706, MATCH(D$2, Players!$A$1:$P$1, 0)), perc_75, VLOOKUP(D$2, Percentiles!$A$45:$I$59, 6, FALSE), perc_90, VLOOKUP(D$2, Percentiles!$A$45:$I$59, 7, FALSE), perc_95, VLOOKUP(D$2, Percentiles!$A$45:$I$59, 8, FALSE), perc_85, perc_75 + (perc_90 - perc_75) * (2/3), converted_stat, '2K_Ratings'!D707, IF(bbgm_stat &gt;= perc_95, converted_stat * 3, IF(bbgm_stat &gt;= perc_90, converted_stat * 2, IF(bbgm_stat &gt;= perc_85, converted_stat * 1.5, converted_stat)))))</f>
        <v/>
      </c>
      <c r="E707" s="30" t="str">
        <f t="array" ref="E707">IF($A707="", "", LET(bbgm_stat, INDEX(Players!$A706:$P706, MATCH(E$2, Players!$A$1:$P$1, 0)), perc_75, VLOOKUP(E$2, Percentiles!$A$45:$I$59, 6, FALSE), perc_90, VLOOKUP(E$2, Percentiles!$A$45:$I$59, 7, FALSE), perc_95, VLOOKUP(E$2, Percentiles!$A$45:$I$59, 8, FALSE), perc_85, perc_75 + (perc_90 - perc_75) * (2/3), converted_stat, '2K_Ratings'!E707, IF(bbgm_stat &gt;= perc_95, converted_stat * 3, IF(bbgm_stat &gt;= perc_90, converted_stat * 2, IF(bbgm_stat &gt;= perc_85, converted_stat * 1.5, converted_stat)))))</f>
        <v/>
      </c>
      <c r="F707" s="30" t="str">
        <f t="array" ref="F707">IF($A707="", "", LET(bbgm_stat, INDEX(Players!$A706:$P706, MATCH(F$2, Players!$A$1:$P$1, 0)), perc_75, VLOOKUP(F$2, Percentiles!$A$45:$I$59, 6, FALSE), perc_90, VLOOKUP(F$2, Percentiles!$A$45:$I$59, 7, FALSE), perc_95, VLOOKUP(F$2, Percentiles!$A$45:$I$59, 8, FALSE), perc_85, perc_75 + (perc_90 - perc_75) * (2/3), converted_stat, '2K_Ratings'!F707, IF(bbgm_stat &gt;= perc_95, converted_stat * 3, IF(bbgm_stat &gt;= perc_90, converted_stat * 2, IF(bbgm_stat &gt;= perc_85, converted_stat * 1.5, converted_stat)))))</f>
        <v/>
      </c>
      <c r="G707" s="30" t="str">
        <f t="array" ref="G707">IF($A707="", "", LET(bbgm_stat, INDEX(Players!$A706:$P706, MATCH(G$2, Players!$A$1:$P$1, 0)), perc_75, VLOOKUP(G$2, Percentiles!$A$45:$I$59, 6, FALSE), perc_90, VLOOKUP(G$2, Percentiles!$A$45:$I$59, 7, FALSE), perc_95, VLOOKUP(G$2, Percentiles!$A$45:$I$59, 8, FALSE), perc_85, perc_75 + (perc_90 - perc_75) * (2/3), converted_stat, '2K_Ratings'!G707, IF(bbgm_stat &gt;= perc_95, converted_stat * 3, IF(bbgm_stat &gt;= perc_90, converted_stat * 2, IF(bbgm_stat &gt;= perc_85, converted_stat * 1.5, converted_stat)))))</f>
        <v/>
      </c>
      <c r="H707" s="30" t="str">
        <f t="array" ref="H707">IF($A707="", "", LET(bbgm_stat, INDEX(Players!$A706:$P706, MATCH(H$2, Players!$A$1:$P$1, 0)), perc_75, VLOOKUP(H$2, Percentiles!$A$45:$I$59, 6, FALSE), perc_90, VLOOKUP(H$2, Percentiles!$A$45:$I$59, 7, FALSE), perc_95, VLOOKUP(H$2, Percentiles!$A$45:$I$59, 8, FALSE), perc_85, perc_75 + (perc_90 - perc_75) * (2/3), converted_stat, '2K_Ratings'!H707, IF(bbgm_stat &gt;= perc_95, converted_stat * 3, IF(bbgm_stat &gt;= perc_90, converted_stat * 2, IF(bbgm_stat &gt;= perc_85, converted_stat * 1.5, converted_stat)))))</f>
        <v/>
      </c>
      <c r="I707" s="30" t="str">
        <f t="array" ref="I707">IF($A707="", "", LET(bbgm_stat, INDEX(Players!$A706:$P706, MATCH(I$2, Players!$A$1:$P$1, 0)), perc_75, VLOOKUP(I$2, Percentiles!$A$45:$I$59, 6, FALSE), perc_90, VLOOKUP(I$2, Percentiles!$A$45:$I$59, 7, FALSE), perc_95, VLOOKUP(I$2, Percentiles!$A$45:$I$59, 8, FALSE), perc_85, perc_75 + (perc_90 - perc_75) * (2/3), converted_stat, '2K_Ratings'!I707, IF(bbgm_stat &gt;= perc_95, converted_stat * 3, IF(bbgm_stat &gt;= perc_90, converted_stat * 2, IF(bbgm_stat &gt;= perc_85, converted_stat * 1.5, converted_stat)))))</f>
        <v/>
      </c>
      <c r="J707" s="30" t="str">
        <f t="array" ref="J707">IF($A707="", "", LET(bbgm_stat, INDEX(Players!$A706:$P706, MATCH(J$2, Players!$A$1:$P$1, 0)), perc_75, VLOOKUP(J$2, Percentiles!$A$45:$I$59, 6, FALSE), perc_90, VLOOKUP(J$2, Percentiles!$A$45:$I$59, 7, FALSE), perc_95, VLOOKUP(J$2, Percentiles!$A$45:$I$59, 8, FALSE), perc_85, perc_75 + (perc_90 - perc_75) * (2/3), converted_stat, '2K_Ratings'!J707, IF(bbgm_stat &gt;= perc_95, converted_stat * 3, IF(bbgm_stat &gt;= perc_90, converted_stat * 2, IF(bbgm_stat &gt;= perc_85, converted_stat * 1.5, converted_stat)))))</f>
        <v/>
      </c>
      <c r="K707" s="30" t="str">
        <f t="array" ref="K707">IF($A707="", "", LET(bbgm_stat, INDEX(Players!$A706:$P706, MATCH(K$2, Players!$A$1:$P$1, 0)), perc_75, VLOOKUP(K$2, Percentiles!$A$45:$I$59, 6, FALSE), perc_90, VLOOKUP(K$2, Percentiles!$A$45:$I$59, 7, FALSE), perc_95, VLOOKUP(K$2, Percentiles!$A$45:$I$59, 8, FALSE), perc_85, perc_75 + (perc_90 - perc_75) * (2/3), converted_stat, '2K_Ratings'!K707, IF(bbgm_stat &gt;= perc_95, converted_stat * 3, IF(bbgm_stat &gt;= perc_90, converted_stat * 2, IF(bbgm_stat &gt;= perc_85, converted_stat * 1.5, converted_stat)))))</f>
        <v/>
      </c>
      <c r="L707" s="30" t="str">
        <f t="array" ref="L707">IF($A707="", "", LET(bbgm_stat, INDEX(Players!$A706:$P706, MATCH(L$2, Players!$A$1:$P$1, 0)), perc_75, VLOOKUP(L$2, Percentiles!$A$45:$I$59, 6, FALSE), perc_90, VLOOKUP(L$2, Percentiles!$A$45:$I$59, 7, FALSE), perc_95, VLOOKUP(L$2, Percentiles!$A$45:$I$59, 8, FALSE), perc_85, perc_75 + (perc_90 - perc_75) * (2/3), converted_stat, '2K_Ratings'!L707, IF(bbgm_stat &gt;= perc_95, converted_stat * 3, IF(bbgm_stat &gt;= perc_90, converted_stat * 2, IF(bbgm_stat &gt;= perc_85, converted_stat * 1.5, converted_stat)))))</f>
        <v/>
      </c>
      <c r="M707" s="30" t="str">
        <f t="array" ref="M707">IF($A707="", "", LET(bbgm_stat, INDEX(Players!$A706:$P706, MATCH(M$2, Players!$A$1:$P$1, 0)), perc_75, VLOOKUP(M$2, Percentiles!$A$45:$I$59, 6, FALSE), perc_90, VLOOKUP(M$2, Percentiles!$A$45:$I$59, 7, FALSE), perc_95, VLOOKUP(M$2, Percentiles!$A$45:$I$59, 8, FALSE), perc_85, perc_75 + (perc_90 - perc_75) * (2/3), converted_stat, '2K_Ratings'!M707, IF(bbgm_stat &gt;= perc_95, converted_stat * 3, IF(bbgm_stat &gt;= perc_90, converted_stat * 2, IF(bbgm_stat &gt;= perc_85, converted_stat * 1.5, converted_stat)))))</f>
        <v/>
      </c>
      <c r="N707" s="30" t="str">
        <f t="array" ref="N707">IF($A707="", "", LET(bbgm_stat, INDEX(Players!$A706:$P706, MATCH(N$2, Players!$A$1:$P$1, 0)), perc_75, VLOOKUP(N$2, Percentiles!$A$45:$I$59, 6, FALSE), perc_90, VLOOKUP(N$2, Percentiles!$A$45:$I$59, 7, FALSE), perc_95, VLOOKUP(N$2, Percentiles!$A$45:$I$59, 8, FALSE), perc_85, perc_75 + (perc_90 - perc_75) * (2/3), converted_stat, '2K_Ratings'!N707, IF(bbgm_stat &gt;= perc_95, converted_stat * 3, IF(bbgm_stat &gt;= perc_90, converted_stat * 2, IF(bbgm_stat &gt;= perc_85, converted_stat * 1.5, converted_stat)))))</f>
        <v/>
      </c>
      <c r="O707" s="30" t="str">
        <f t="array" ref="O707">IF($A707="", "", LET(bbgm_stat, INDEX(Players!$A706:$P706, MATCH(O$2, Players!$A$1:$P$1, 0)), perc_75, VLOOKUP(O$2, Percentiles!$A$45:$I$59, 6, FALSE), perc_90, VLOOKUP(O$2, Percentiles!$A$45:$I$59, 7, FALSE), perc_95, VLOOKUP(O$2, Percentiles!$A$45:$I$59, 8, FALSE), perc_85, perc_75 + (perc_90 - perc_75) * (2/3), converted_stat, '2K_Ratings'!O707, IF(bbgm_stat &gt;= perc_95, converted_stat * 3, IF(bbgm_stat &gt;= perc_90, converted_stat * 2, IF(bbgm_stat &gt;= perc_85, converted_stat * 1.5, converted_stat)))))</f>
        <v/>
      </c>
      <c r="P707" s="30" t="str">
        <f t="array" ref="P707">IF($A707="", "", LET(bbgm_stat, INDEX(Players!$A706:$P706, MATCH(P$2, Players!$A$1:$P$1, 0)), perc_75, VLOOKUP(P$2, Percentiles!$A$45:$I$59, 6, FALSE), perc_90, VLOOKUP(P$2, Percentiles!$A$45:$I$59, 7, FALSE), perc_95, VLOOKUP(P$2, Percentiles!$A$45:$I$59, 8, FALSE), perc_85, perc_75 + (perc_90 - perc_75) * (2/3), converted_stat, '2K_Ratings'!P707, IF(bbgm_stat &gt;= perc_95, converted_stat * 3, IF(bbgm_stat &gt;= perc_90, converted_stat * 2, IF(bbgm_stat &gt;= perc_85, converted_stat * 1.5, converted_stat)))))</f>
        <v/>
      </c>
      <c r="Q707" s="30" t="str">
        <f t="array" ref="Q707">IF($A707="", "", LET(bbgm_stat, INDEX(Players!$A706:$P706, MATCH(Q$2, Players!$A$1:$P$1, 0)), perc_75, VLOOKUP(Q$2, Percentiles!$A$45:$I$59, 6, FALSE), perc_90, VLOOKUP(Q$2, Percentiles!$A$45:$I$59, 7, FALSE), perc_95, VLOOKUP(Q$2, Percentiles!$A$45:$I$59, 8, FALSE), perc_85, perc_75 + (perc_90 - perc_75) * (2/3), converted_stat, '2K_Ratings'!Q707, IF(bbgm_stat &gt;= perc_95, converted_stat * 3, IF(bbgm_stat &gt;= perc_90, converted_stat * 2, IF(bbgm_stat &gt;= perc_85, converted_stat * 1.5, converted_stat)))))</f>
        <v/>
      </c>
      <c r="R707" s="30" t="str">
        <f t="array" ref="R707">IF($A707="", "", LET(bbgm_stat, INDEX(Players!$A706:$P706, MATCH(R$2, Players!$A$1:$P$1, 0)), perc_75, VLOOKUP(R$2, Percentiles!$A$45:$I$59, 6, FALSE), perc_90, VLOOKUP(R$2, Percentiles!$A$45:$I$59, 7, FALSE), perc_95, VLOOKUP(R$2, Percentiles!$A$45:$I$59, 8, FALSE), perc_85, perc_75 + (perc_90 - perc_75) * (2/3), converted_stat, '2K_Ratings'!R707, IF(bbgm_stat &gt;= perc_95, converted_stat * 3, IF(bbgm_stat &gt;= perc_90, converted_stat * 2, IF(bbgm_stat &gt;= perc_85, converted_stat * 1.5, converted_stat)))))</f>
        <v/>
      </c>
      <c r="S707" s="30" t="str">
        <f t="array" ref="S707">IF($A707="", "", LET(bbgm_stat, INDEX(Players!$A706:$P706, MATCH(S$2, Players!$A$1:$P$1, 0)), perc_75, VLOOKUP(S$2, Percentiles!$A$45:$I$59, 6, FALSE), perc_90, VLOOKUP(S$2, Percentiles!$A$45:$I$59, 7, FALSE), perc_95, VLOOKUP(S$2, Percentiles!$A$45:$I$59, 8, FALSE), perc_85, perc_75 + (perc_90 - perc_75) * (2/3), converted_stat, '2K_Ratings'!S707, IF(bbgm_stat &gt;= perc_95, converted_stat * 3, IF(bbgm_stat &gt;= perc_90, converted_stat * 2, IF(bbgm_stat &gt;= perc_85, converted_stat * 1.5, converted_stat)))))</f>
        <v/>
      </c>
      <c r="T707" s="30" t="str">
        <f t="array" ref="T707">IF($A707="", "", LET(bbgm_stat, INDEX(Players!$A706:$P706, MATCH(T$2, Players!$A$1:$P$1, 0)), perc_75, VLOOKUP(T$2, Percentiles!$A$45:$I$59, 6, FALSE), perc_90, VLOOKUP(T$2, Percentiles!$A$45:$I$59, 7, FALSE), perc_95, VLOOKUP(T$2, Percentiles!$A$45:$I$59, 8, FALSE), perc_85, perc_75 + (perc_90 - perc_75) * (2/3), converted_stat, '2K_Ratings'!T707, IF(bbgm_stat &gt;= perc_95, converted_stat * 3, IF(bbgm_stat &gt;= perc_90, converted_stat * 2, IF(bbgm_stat &gt;= perc_85, converted_stat * 1.5, converted_stat)))))</f>
        <v/>
      </c>
      <c r="U707" s="30" t="str">
        <f t="array" ref="U707">IF($A707="", "", LET(bbgm_stat, INDEX(Players!$A706:$P706, MATCH(U$2, Players!$A$1:$P$1, 0)), perc_75, VLOOKUP(U$2, Percentiles!$A$45:$I$59, 6, FALSE), perc_90, VLOOKUP(U$2, Percentiles!$A$45:$I$59, 7, FALSE), perc_95, VLOOKUP(U$2, Percentiles!$A$45:$I$59, 8, FALSE), perc_85, perc_75 + (perc_90 - perc_75) * (2/3), converted_stat, '2K_Ratings'!U707, IF(bbgm_stat &gt;= perc_95, converted_stat * 3, IF(bbgm_stat &gt;= perc_90, converted_stat * 2, IF(bbgm_stat &gt;= perc_85, converted_stat * 1.5, converted_stat)))))</f>
        <v/>
      </c>
      <c r="V707" s="30" t="str">
        <f t="array" ref="V707">IF($A707="", "", LET(bbgm_stat, INDEX(Players!$A706:$P706, MATCH(V$2, Players!$A$1:$P$1, 0)), perc_75, VLOOKUP(V$2, Percentiles!$A$45:$I$59, 6, FALSE), perc_90, VLOOKUP(V$2, Percentiles!$A$45:$I$59, 7, FALSE), perc_95, VLOOKUP(V$2, Percentiles!$A$45:$I$59, 8, FALSE), perc_85, perc_75 + (perc_90 - perc_75) * (2/3), converted_stat, '2K_Ratings'!V707, IF(bbgm_stat &gt;= perc_95, converted_stat * 3, IF(bbgm_stat &gt;= perc_90, converted_stat * 2, IF(bbgm_stat &gt;= perc_85, converted_stat * 1.5, converted_stat)))))</f>
        <v/>
      </c>
      <c r="W707" s="30" t="str">
        <f t="array" ref="W707">IF($A707="", "", LET(bbgm_stat, INDEX(Players!$A706:$P706, MATCH(W$2, Players!$A$1:$P$1, 0)), perc_75, VLOOKUP(W$2, Percentiles!$A$45:$I$59, 6, FALSE), perc_90, VLOOKUP(W$2, Percentiles!$A$45:$I$59, 7, FALSE), perc_95, VLOOKUP(W$2, Percentiles!$A$45:$I$59, 8, FALSE), perc_85, perc_75 + (perc_90 - perc_75) * (2/3), converted_stat, '2K_Ratings'!W707, IF(bbgm_stat &gt;= perc_95, converted_stat * 3, IF(bbgm_stat &gt;= perc_90, converted_stat * 2, IF(bbgm_stat &gt;= perc_85, converted_stat * 1.5, converted_stat)))))</f>
        <v/>
      </c>
    </row>
    <row r="708">
      <c r="A708" s="30"/>
      <c r="B708" s="30" t="str">
        <f t="array" ref="B708">IF($A708="", "", LET(bbgm_stat, INDEX(Players!$A707:$P707, MATCH(B$2, Players!$A$1:$P$1, 0)), perc_75, VLOOKUP(B$2, Percentiles!$A$45:$I$59, 6, FALSE), perc_90, VLOOKUP(B$2, Percentiles!$A$45:$I$59, 7, FALSE), perc_95, VLOOKUP(B$2, Percentiles!$A$45:$I$59, 8, FALSE), perc_85, perc_75 + (perc_90 - perc_75) * (2/3), converted_stat, '2K_Ratings'!B708, IF(bbgm_stat &gt;= perc_95, converted_stat * 3, IF(bbgm_stat &gt;= perc_90, converted_stat * 2, IF(bbgm_stat &gt;= perc_85, converted_stat * 1.5, converted_stat)))))</f>
        <v/>
      </c>
      <c r="C708" s="30" t="str">
        <f t="array" ref="C708">IF($A708="", "", LET(bbgm_stat, INDEX(Players!$A707:$P707, MATCH(C$2, Players!$A$1:$P$1, 0)), perc_75, VLOOKUP(C$2, Percentiles!$A$45:$I$59, 6, FALSE), perc_90, VLOOKUP(C$2, Percentiles!$A$45:$I$59, 7, FALSE), perc_95, VLOOKUP(C$2, Percentiles!$A$45:$I$59, 8, FALSE), perc_85, perc_75 + (perc_90 - perc_75) * (2/3), converted_stat, '2K_Ratings'!C708, IF(bbgm_stat &gt;= perc_95, converted_stat * 3, IF(bbgm_stat &gt;= perc_90, converted_stat * 2, IF(bbgm_stat &gt;= perc_85, converted_stat * 1.5, converted_stat)))))</f>
        <v/>
      </c>
      <c r="D708" s="30" t="str">
        <f t="array" ref="D708">IF($A708="", "", LET(bbgm_stat, INDEX(Players!$A707:$P707, MATCH(D$2, Players!$A$1:$P$1, 0)), perc_75, VLOOKUP(D$2, Percentiles!$A$45:$I$59, 6, FALSE), perc_90, VLOOKUP(D$2, Percentiles!$A$45:$I$59, 7, FALSE), perc_95, VLOOKUP(D$2, Percentiles!$A$45:$I$59, 8, FALSE), perc_85, perc_75 + (perc_90 - perc_75) * (2/3), converted_stat, '2K_Ratings'!D708, IF(bbgm_stat &gt;= perc_95, converted_stat * 3, IF(bbgm_stat &gt;= perc_90, converted_stat * 2, IF(bbgm_stat &gt;= perc_85, converted_stat * 1.5, converted_stat)))))</f>
        <v/>
      </c>
      <c r="E708" s="30" t="str">
        <f t="array" ref="E708">IF($A708="", "", LET(bbgm_stat, INDEX(Players!$A707:$P707, MATCH(E$2, Players!$A$1:$P$1, 0)), perc_75, VLOOKUP(E$2, Percentiles!$A$45:$I$59, 6, FALSE), perc_90, VLOOKUP(E$2, Percentiles!$A$45:$I$59, 7, FALSE), perc_95, VLOOKUP(E$2, Percentiles!$A$45:$I$59, 8, FALSE), perc_85, perc_75 + (perc_90 - perc_75) * (2/3), converted_stat, '2K_Ratings'!E708, IF(bbgm_stat &gt;= perc_95, converted_stat * 3, IF(bbgm_stat &gt;= perc_90, converted_stat * 2, IF(bbgm_stat &gt;= perc_85, converted_stat * 1.5, converted_stat)))))</f>
        <v/>
      </c>
      <c r="F708" s="30" t="str">
        <f t="array" ref="F708">IF($A708="", "", LET(bbgm_stat, INDEX(Players!$A707:$P707, MATCH(F$2, Players!$A$1:$P$1, 0)), perc_75, VLOOKUP(F$2, Percentiles!$A$45:$I$59, 6, FALSE), perc_90, VLOOKUP(F$2, Percentiles!$A$45:$I$59, 7, FALSE), perc_95, VLOOKUP(F$2, Percentiles!$A$45:$I$59, 8, FALSE), perc_85, perc_75 + (perc_90 - perc_75) * (2/3), converted_stat, '2K_Ratings'!F708, IF(bbgm_stat &gt;= perc_95, converted_stat * 3, IF(bbgm_stat &gt;= perc_90, converted_stat * 2, IF(bbgm_stat &gt;= perc_85, converted_stat * 1.5, converted_stat)))))</f>
        <v/>
      </c>
      <c r="G708" s="30" t="str">
        <f t="array" ref="G708">IF($A708="", "", LET(bbgm_stat, INDEX(Players!$A707:$P707, MATCH(G$2, Players!$A$1:$P$1, 0)), perc_75, VLOOKUP(G$2, Percentiles!$A$45:$I$59, 6, FALSE), perc_90, VLOOKUP(G$2, Percentiles!$A$45:$I$59, 7, FALSE), perc_95, VLOOKUP(G$2, Percentiles!$A$45:$I$59, 8, FALSE), perc_85, perc_75 + (perc_90 - perc_75) * (2/3), converted_stat, '2K_Ratings'!G708, IF(bbgm_stat &gt;= perc_95, converted_stat * 3, IF(bbgm_stat &gt;= perc_90, converted_stat * 2, IF(bbgm_stat &gt;= perc_85, converted_stat * 1.5, converted_stat)))))</f>
        <v/>
      </c>
      <c r="H708" s="30" t="str">
        <f t="array" ref="H708">IF($A708="", "", LET(bbgm_stat, INDEX(Players!$A707:$P707, MATCH(H$2, Players!$A$1:$P$1, 0)), perc_75, VLOOKUP(H$2, Percentiles!$A$45:$I$59, 6, FALSE), perc_90, VLOOKUP(H$2, Percentiles!$A$45:$I$59, 7, FALSE), perc_95, VLOOKUP(H$2, Percentiles!$A$45:$I$59, 8, FALSE), perc_85, perc_75 + (perc_90 - perc_75) * (2/3), converted_stat, '2K_Ratings'!H708, IF(bbgm_stat &gt;= perc_95, converted_stat * 3, IF(bbgm_stat &gt;= perc_90, converted_stat * 2, IF(bbgm_stat &gt;= perc_85, converted_stat * 1.5, converted_stat)))))</f>
        <v/>
      </c>
      <c r="I708" s="30" t="str">
        <f t="array" ref="I708">IF($A708="", "", LET(bbgm_stat, INDEX(Players!$A707:$P707, MATCH(I$2, Players!$A$1:$P$1, 0)), perc_75, VLOOKUP(I$2, Percentiles!$A$45:$I$59, 6, FALSE), perc_90, VLOOKUP(I$2, Percentiles!$A$45:$I$59, 7, FALSE), perc_95, VLOOKUP(I$2, Percentiles!$A$45:$I$59, 8, FALSE), perc_85, perc_75 + (perc_90 - perc_75) * (2/3), converted_stat, '2K_Ratings'!I708, IF(bbgm_stat &gt;= perc_95, converted_stat * 3, IF(bbgm_stat &gt;= perc_90, converted_stat * 2, IF(bbgm_stat &gt;= perc_85, converted_stat * 1.5, converted_stat)))))</f>
        <v/>
      </c>
      <c r="J708" s="30" t="str">
        <f t="array" ref="J708">IF($A708="", "", LET(bbgm_stat, INDEX(Players!$A707:$P707, MATCH(J$2, Players!$A$1:$P$1, 0)), perc_75, VLOOKUP(J$2, Percentiles!$A$45:$I$59, 6, FALSE), perc_90, VLOOKUP(J$2, Percentiles!$A$45:$I$59, 7, FALSE), perc_95, VLOOKUP(J$2, Percentiles!$A$45:$I$59, 8, FALSE), perc_85, perc_75 + (perc_90 - perc_75) * (2/3), converted_stat, '2K_Ratings'!J708, IF(bbgm_stat &gt;= perc_95, converted_stat * 3, IF(bbgm_stat &gt;= perc_90, converted_stat * 2, IF(bbgm_stat &gt;= perc_85, converted_stat * 1.5, converted_stat)))))</f>
        <v/>
      </c>
      <c r="K708" s="30" t="str">
        <f t="array" ref="K708">IF($A708="", "", LET(bbgm_stat, INDEX(Players!$A707:$P707, MATCH(K$2, Players!$A$1:$P$1, 0)), perc_75, VLOOKUP(K$2, Percentiles!$A$45:$I$59, 6, FALSE), perc_90, VLOOKUP(K$2, Percentiles!$A$45:$I$59, 7, FALSE), perc_95, VLOOKUP(K$2, Percentiles!$A$45:$I$59, 8, FALSE), perc_85, perc_75 + (perc_90 - perc_75) * (2/3), converted_stat, '2K_Ratings'!K708, IF(bbgm_stat &gt;= perc_95, converted_stat * 3, IF(bbgm_stat &gt;= perc_90, converted_stat * 2, IF(bbgm_stat &gt;= perc_85, converted_stat * 1.5, converted_stat)))))</f>
        <v/>
      </c>
      <c r="L708" s="30" t="str">
        <f t="array" ref="L708">IF($A708="", "", LET(bbgm_stat, INDEX(Players!$A707:$P707, MATCH(L$2, Players!$A$1:$P$1, 0)), perc_75, VLOOKUP(L$2, Percentiles!$A$45:$I$59, 6, FALSE), perc_90, VLOOKUP(L$2, Percentiles!$A$45:$I$59, 7, FALSE), perc_95, VLOOKUP(L$2, Percentiles!$A$45:$I$59, 8, FALSE), perc_85, perc_75 + (perc_90 - perc_75) * (2/3), converted_stat, '2K_Ratings'!L708, IF(bbgm_stat &gt;= perc_95, converted_stat * 3, IF(bbgm_stat &gt;= perc_90, converted_stat * 2, IF(bbgm_stat &gt;= perc_85, converted_stat * 1.5, converted_stat)))))</f>
        <v/>
      </c>
      <c r="M708" s="30" t="str">
        <f t="array" ref="M708">IF($A708="", "", LET(bbgm_stat, INDEX(Players!$A707:$P707, MATCH(M$2, Players!$A$1:$P$1, 0)), perc_75, VLOOKUP(M$2, Percentiles!$A$45:$I$59, 6, FALSE), perc_90, VLOOKUP(M$2, Percentiles!$A$45:$I$59, 7, FALSE), perc_95, VLOOKUP(M$2, Percentiles!$A$45:$I$59, 8, FALSE), perc_85, perc_75 + (perc_90 - perc_75) * (2/3), converted_stat, '2K_Ratings'!M708, IF(bbgm_stat &gt;= perc_95, converted_stat * 3, IF(bbgm_stat &gt;= perc_90, converted_stat * 2, IF(bbgm_stat &gt;= perc_85, converted_stat * 1.5, converted_stat)))))</f>
        <v/>
      </c>
      <c r="N708" s="30" t="str">
        <f t="array" ref="N708">IF($A708="", "", LET(bbgm_stat, INDEX(Players!$A707:$P707, MATCH(N$2, Players!$A$1:$P$1, 0)), perc_75, VLOOKUP(N$2, Percentiles!$A$45:$I$59, 6, FALSE), perc_90, VLOOKUP(N$2, Percentiles!$A$45:$I$59, 7, FALSE), perc_95, VLOOKUP(N$2, Percentiles!$A$45:$I$59, 8, FALSE), perc_85, perc_75 + (perc_90 - perc_75) * (2/3), converted_stat, '2K_Ratings'!N708, IF(bbgm_stat &gt;= perc_95, converted_stat * 3, IF(bbgm_stat &gt;= perc_90, converted_stat * 2, IF(bbgm_stat &gt;= perc_85, converted_stat * 1.5, converted_stat)))))</f>
        <v/>
      </c>
      <c r="O708" s="30" t="str">
        <f t="array" ref="O708">IF($A708="", "", LET(bbgm_stat, INDEX(Players!$A707:$P707, MATCH(O$2, Players!$A$1:$P$1, 0)), perc_75, VLOOKUP(O$2, Percentiles!$A$45:$I$59, 6, FALSE), perc_90, VLOOKUP(O$2, Percentiles!$A$45:$I$59, 7, FALSE), perc_95, VLOOKUP(O$2, Percentiles!$A$45:$I$59, 8, FALSE), perc_85, perc_75 + (perc_90 - perc_75) * (2/3), converted_stat, '2K_Ratings'!O708, IF(bbgm_stat &gt;= perc_95, converted_stat * 3, IF(bbgm_stat &gt;= perc_90, converted_stat * 2, IF(bbgm_stat &gt;= perc_85, converted_stat * 1.5, converted_stat)))))</f>
        <v/>
      </c>
      <c r="P708" s="30" t="str">
        <f t="array" ref="P708">IF($A708="", "", LET(bbgm_stat, INDEX(Players!$A707:$P707, MATCH(P$2, Players!$A$1:$P$1, 0)), perc_75, VLOOKUP(P$2, Percentiles!$A$45:$I$59, 6, FALSE), perc_90, VLOOKUP(P$2, Percentiles!$A$45:$I$59, 7, FALSE), perc_95, VLOOKUP(P$2, Percentiles!$A$45:$I$59, 8, FALSE), perc_85, perc_75 + (perc_90 - perc_75) * (2/3), converted_stat, '2K_Ratings'!P708, IF(bbgm_stat &gt;= perc_95, converted_stat * 3, IF(bbgm_stat &gt;= perc_90, converted_stat * 2, IF(bbgm_stat &gt;= perc_85, converted_stat * 1.5, converted_stat)))))</f>
        <v/>
      </c>
      <c r="Q708" s="30" t="str">
        <f t="array" ref="Q708">IF($A708="", "", LET(bbgm_stat, INDEX(Players!$A707:$P707, MATCH(Q$2, Players!$A$1:$P$1, 0)), perc_75, VLOOKUP(Q$2, Percentiles!$A$45:$I$59, 6, FALSE), perc_90, VLOOKUP(Q$2, Percentiles!$A$45:$I$59, 7, FALSE), perc_95, VLOOKUP(Q$2, Percentiles!$A$45:$I$59, 8, FALSE), perc_85, perc_75 + (perc_90 - perc_75) * (2/3), converted_stat, '2K_Ratings'!Q708, IF(bbgm_stat &gt;= perc_95, converted_stat * 3, IF(bbgm_stat &gt;= perc_90, converted_stat * 2, IF(bbgm_stat &gt;= perc_85, converted_stat * 1.5, converted_stat)))))</f>
        <v/>
      </c>
      <c r="R708" s="30" t="str">
        <f t="array" ref="R708">IF($A708="", "", LET(bbgm_stat, INDEX(Players!$A707:$P707, MATCH(R$2, Players!$A$1:$P$1, 0)), perc_75, VLOOKUP(R$2, Percentiles!$A$45:$I$59, 6, FALSE), perc_90, VLOOKUP(R$2, Percentiles!$A$45:$I$59, 7, FALSE), perc_95, VLOOKUP(R$2, Percentiles!$A$45:$I$59, 8, FALSE), perc_85, perc_75 + (perc_90 - perc_75) * (2/3), converted_stat, '2K_Ratings'!R708, IF(bbgm_stat &gt;= perc_95, converted_stat * 3, IF(bbgm_stat &gt;= perc_90, converted_stat * 2, IF(bbgm_stat &gt;= perc_85, converted_stat * 1.5, converted_stat)))))</f>
        <v/>
      </c>
      <c r="S708" s="30" t="str">
        <f t="array" ref="S708">IF($A708="", "", LET(bbgm_stat, INDEX(Players!$A707:$P707, MATCH(S$2, Players!$A$1:$P$1, 0)), perc_75, VLOOKUP(S$2, Percentiles!$A$45:$I$59, 6, FALSE), perc_90, VLOOKUP(S$2, Percentiles!$A$45:$I$59, 7, FALSE), perc_95, VLOOKUP(S$2, Percentiles!$A$45:$I$59, 8, FALSE), perc_85, perc_75 + (perc_90 - perc_75) * (2/3), converted_stat, '2K_Ratings'!S708, IF(bbgm_stat &gt;= perc_95, converted_stat * 3, IF(bbgm_stat &gt;= perc_90, converted_stat * 2, IF(bbgm_stat &gt;= perc_85, converted_stat * 1.5, converted_stat)))))</f>
        <v/>
      </c>
      <c r="T708" s="30" t="str">
        <f t="array" ref="T708">IF($A708="", "", LET(bbgm_stat, INDEX(Players!$A707:$P707, MATCH(T$2, Players!$A$1:$P$1, 0)), perc_75, VLOOKUP(T$2, Percentiles!$A$45:$I$59, 6, FALSE), perc_90, VLOOKUP(T$2, Percentiles!$A$45:$I$59, 7, FALSE), perc_95, VLOOKUP(T$2, Percentiles!$A$45:$I$59, 8, FALSE), perc_85, perc_75 + (perc_90 - perc_75) * (2/3), converted_stat, '2K_Ratings'!T708, IF(bbgm_stat &gt;= perc_95, converted_stat * 3, IF(bbgm_stat &gt;= perc_90, converted_stat * 2, IF(bbgm_stat &gt;= perc_85, converted_stat * 1.5, converted_stat)))))</f>
        <v/>
      </c>
      <c r="U708" s="30" t="str">
        <f t="array" ref="U708">IF($A708="", "", LET(bbgm_stat, INDEX(Players!$A707:$P707, MATCH(U$2, Players!$A$1:$P$1, 0)), perc_75, VLOOKUP(U$2, Percentiles!$A$45:$I$59, 6, FALSE), perc_90, VLOOKUP(U$2, Percentiles!$A$45:$I$59, 7, FALSE), perc_95, VLOOKUP(U$2, Percentiles!$A$45:$I$59, 8, FALSE), perc_85, perc_75 + (perc_90 - perc_75) * (2/3), converted_stat, '2K_Ratings'!U708, IF(bbgm_stat &gt;= perc_95, converted_stat * 3, IF(bbgm_stat &gt;= perc_90, converted_stat * 2, IF(bbgm_stat &gt;= perc_85, converted_stat * 1.5, converted_stat)))))</f>
        <v/>
      </c>
      <c r="V708" s="30" t="str">
        <f t="array" ref="V708">IF($A708="", "", LET(bbgm_stat, INDEX(Players!$A707:$P707, MATCH(V$2, Players!$A$1:$P$1, 0)), perc_75, VLOOKUP(V$2, Percentiles!$A$45:$I$59, 6, FALSE), perc_90, VLOOKUP(V$2, Percentiles!$A$45:$I$59, 7, FALSE), perc_95, VLOOKUP(V$2, Percentiles!$A$45:$I$59, 8, FALSE), perc_85, perc_75 + (perc_90 - perc_75) * (2/3), converted_stat, '2K_Ratings'!V708, IF(bbgm_stat &gt;= perc_95, converted_stat * 3, IF(bbgm_stat &gt;= perc_90, converted_stat * 2, IF(bbgm_stat &gt;= perc_85, converted_stat * 1.5, converted_stat)))))</f>
        <v/>
      </c>
      <c r="W708" s="30" t="str">
        <f t="array" ref="W708">IF($A708="", "", LET(bbgm_stat, INDEX(Players!$A707:$P707, MATCH(W$2, Players!$A$1:$P$1, 0)), perc_75, VLOOKUP(W$2, Percentiles!$A$45:$I$59, 6, FALSE), perc_90, VLOOKUP(W$2, Percentiles!$A$45:$I$59, 7, FALSE), perc_95, VLOOKUP(W$2, Percentiles!$A$45:$I$59, 8, FALSE), perc_85, perc_75 + (perc_90 - perc_75) * (2/3), converted_stat, '2K_Ratings'!W708, IF(bbgm_stat &gt;= perc_95, converted_stat * 3, IF(bbgm_stat &gt;= perc_90, converted_stat * 2, IF(bbgm_stat &gt;= perc_85, converted_stat * 1.5, converted_stat)))))</f>
        <v/>
      </c>
    </row>
    <row r="709">
      <c r="A709" s="30"/>
      <c r="B709" s="30" t="str">
        <f t="array" ref="B709">IF($A709="", "", LET(bbgm_stat, INDEX(Players!$A708:$P708, MATCH(B$2, Players!$A$1:$P$1, 0)), perc_75, VLOOKUP(B$2, Percentiles!$A$45:$I$59, 6, FALSE), perc_90, VLOOKUP(B$2, Percentiles!$A$45:$I$59, 7, FALSE), perc_95, VLOOKUP(B$2, Percentiles!$A$45:$I$59, 8, FALSE), perc_85, perc_75 + (perc_90 - perc_75) * (2/3), converted_stat, '2K_Ratings'!B709, IF(bbgm_stat &gt;= perc_95, converted_stat * 3, IF(bbgm_stat &gt;= perc_90, converted_stat * 2, IF(bbgm_stat &gt;= perc_85, converted_stat * 1.5, converted_stat)))))</f>
        <v/>
      </c>
      <c r="C709" s="30" t="str">
        <f t="array" ref="C709">IF($A709="", "", LET(bbgm_stat, INDEX(Players!$A708:$P708, MATCH(C$2, Players!$A$1:$P$1, 0)), perc_75, VLOOKUP(C$2, Percentiles!$A$45:$I$59, 6, FALSE), perc_90, VLOOKUP(C$2, Percentiles!$A$45:$I$59, 7, FALSE), perc_95, VLOOKUP(C$2, Percentiles!$A$45:$I$59, 8, FALSE), perc_85, perc_75 + (perc_90 - perc_75) * (2/3), converted_stat, '2K_Ratings'!C709, IF(bbgm_stat &gt;= perc_95, converted_stat * 3, IF(bbgm_stat &gt;= perc_90, converted_stat * 2, IF(bbgm_stat &gt;= perc_85, converted_stat * 1.5, converted_stat)))))</f>
        <v/>
      </c>
      <c r="D709" s="30" t="str">
        <f t="array" ref="D709">IF($A709="", "", LET(bbgm_stat, INDEX(Players!$A708:$P708, MATCH(D$2, Players!$A$1:$P$1, 0)), perc_75, VLOOKUP(D$2, Percentiles!$A$45:$I$59, 6, FALSE), perc_90, VLOOKUP(D$2, Percentiles!$A$45:$I$59, 7, FALSE), perc_95, VLOOKUP(D$2, Percentiles!$A$45:$I$59, 8, FALSE), perc_85, perc_75 + (perc_90 - perc_75) * (2/3), converted_stat, '2K_Ratings'!D709, IF(bbgm_stat &gt;= perc_95, converted_stat * 3, IF(bbgm_stat &gt;= perc_90, converted_stat * 2, IF(bbgm_stat &gt;= perc_85, converted_stat * 1.5, converted_stat)))))</f>
        <v/>
      </c>
      <c r="E709" s="30" t="str">
        <f t="array" ref="E709">IF($A709="", "", LET(bbgm_stat, INDEX(Players!$A708:$P708, MATCH(E$2, Players!$A$1:$P$1, 0)), perc_75, VLOOKUP(E$2, Percentiles!$A$45:$I$59, 6, FALSE), perc_90, VLOOKUP(E$2, Percentiles!$A$45:$I$59, 7, FALSE), perc_95, VLOOKUP(E$2, Percentiles!$A$45:$I$59, 8, FALSE), perc_85, perc_75 + (perc_90 - perc_75) * (2/3), converted_stat, '2K_Ratings'!E709, IF(bbgm_stat &gt;= perc_95, converted_stat * 3, IF(bbgm_stat &gt;= perc_90, converted_stat * 2, IF(bbgm_stat &gt;= perc_85, converted_stat * 1.5, converted_stat)))))</f>
        <v/>
      </c>
      <c r="F709" s="30" t="str">
        <f t="array" ref="F709">IF($A709="", "", LET(bbgm_stat, INDEX(Players!$A708:$P708, MATCH(F$2, Players!$A$1:$P$1, 0)), perc_75, VLOOKUP(F$2, Percentiles!$A$45:$I$59, 6, FALSE), perc_90, VLOOKUP(F$2, Percentiles!$A$45:$I$59, 7, FALSE), perc_95, VLOOKUP(F$2, Percentiles!$A$45:$I$59, 8, FALSE), perc_85, perc_75 + (perc_90 - perc_75) * (2/3), converted_stat, '2K_Ratings'!F709, IF(bbgm_stat &gt;= perc_95, converted_stat * 3, IF(bbgm_stat &gt;= perc_90, converted_stat * 2, IF(bbgm_stat &gt;= perc_85, converted_stat * 1.5, converted_stat)))))</f>
        <v/>
      </c>
      <c r="G709" s="30" t="str">
        <f t="array" ref="G709">IF($A709="", "", LET(bbgm_stat, INDEX(Players!$A708:$P708, MATCH(G$2, Players!$A$1:$P$1, 0)), perc_75, VLOOKUP(G$2, Percentiles!$A$45:$I$59, 6, FALSE), perc_90, VLOOKUP(G$2, Percentiles!$A$45:$I$59, 7, FALSE), perc_95, VLOOKUP(G$2, Percentiles!$A$45:$I$59, 8, FALSE), perc_85, perc_75 + (perc_90 - perc_75) * (2/3), converted_stat, '2K_Ratings'!G709, IF(bbgm_stat &gt;= perc_95, converted_stat * 3, IF(bbgm_stat &gt;= perc_90, converted_stat * 2, IF(bbgm_stat &gt;= perc_85, converted_stat * 1.5, converted_stat)))))</f>
        <v/>
      </c>
      <c r="H709" s="30" t="str">
        <f t="array" ref="H709">IF($A709="", "", LET(bbgm_stat, INDEX(Players!$A708:$P708, MATCH(H$2, Players!$A$1:$P$1, 0)), perc_75, VLOOKUP(H$2, Percentiles!$A$45:$I$59, 6, FALSE), perc_90, VLOOKUP(H$2, Percentiles!$A$45:$I$59, 7, FALSE), perc_95, VLOOKUP(H$2, Percentiles!$A$45:$I$59, 8, FALSE), perc_85, perc_75 + (perc_90 - perc_75) * (2/3), converted_stat, '2K_Ratings'!H709, IF(bbgm_stat &gt;= perc_95, converted_stat * 3, IF(bbgm_stat &gt;= perc_90, converted_stat * 2, IF(bbgm_stat &gt;= perc_85, converted_stat * 1.5, converted_stat)))))</f>
        <v/>
      </c>
      <c r="I709" s="30" t="str">
        <f t="array" ref="I709">IF($A709="", "", LET(bbgm_stat, INDEX(Players!$A708:$P708, MATCH(I$2, Players!$A$1:$P$1, 0)), perc_75, VLOOKUP(I$2, Percentiles!$A$45:$I$59, 6, FALSE), perc_90, VLOOKUP(I$2, Percentiles!$A$45:$I$59, 7, FALSE), perc_95, VLOOKUP(I$2, Percentiles!$A$45:$I$59, 8, FALSE), perc_85, perc_75 + (perc_90 - perc_75) * (2/3), converted_stat, '2K_Ratings'!I709, IF(bbgm_stat &gt;= perc_95, converted_stat * 3, IF(bbgm_stat &gt;= perc_90, converted_stat * 2, IF(bbgm_stat &gt;= perc_85, converted_stat * 1.5, converted_stat)))))</f>
        <v/>
      </c>
      <c r="J709" s="30" t="str">
        <f t="array" ref="J709">IF($A709="", "", LET(bbgm_stat, INDEX(Players!$A708:$P708, MATCH(J$2, Players!$A$1:$P$1, 0)), perc_75, VLOOKUP(J$2, Percentiles!$A$45:$I$59, 6, FALSE), perc_90, VLOOKUP(J$2, Percentiles!$A$45:$I$59, 7, FALSE), perc_95, VLOOKUP(J$2, Percentiles!$A$45:$I$59, 8, FALSE), perc_85, perc_75 + (perc_90 - perc_75) * (2/3), converted_stat, '2K_Ratings'!J709, IF(bbgm_stat &gt;= perc_95, converted_stat * 3, IF(bbgm_stat &gt;= perc_90, converted_stat * 2, IF(bbgm_stat &gt;= perc_85, converted_stat * 1.5, converted_stat)))))</f>
        <v/>
      </c>
      <c r="K709" s="30" t="str">
        <f t="array" ref="K709">IF($A709="", "", LET(bbgm_stat, INDEX(Players!$A708:$P708, MATCH(K$2, Players!$A$1:$P$1, 0)), perc_75, VLOOKUP(K$2, Percentiles!$A$45:$I$59, 6, FALSE), perc_90, VLOOKUP(K$2, Percentiles!$A$45:$I$59, 7, FALSE), perc_95, VLOOKUP(K$2, Percentiles!$A$45:$I$59, 8, FALSE), perc_85, perc_75 + (perc_90 - perc_75) * (2/3), converted_stat, '2K_Ratings'!K709, IF(bbgm_stat &gt;= perc_95, converted_stat * 3, IF(bbgm_stat &gt;= perc_90, converted_stat * 2, IF(bbgm_stat &gt;= perc_85, converted_stat * 1.5, converted_stat)))))</f>
        <v/>
      </c>
      <c r="L709" s="30" t="str">
        <f t="array" ref="L709">IF($A709="", "", LET(bbgm_stat, INDEX(Players!$A708:$P708, MATCH(L$2, Players!$A$1:$P$1, 0)), perc_75, VLOOKUP(L$2, Percentiles!$A$45:$I$59, 6, FALSE), perc_90, VLOOKUP(L$2, Percentiles!$A$45:$I$59, 7, FALSE), perc_95, VLOOKUP(L$2, Percentiles!$A$45:$I$59, 8, FALSE), perc_85, perc_75 + (perc_90 - perc_75) * (2/3), converted_stat, '2K_Ratings'!L709, IF(bbgm_stat &gt;= perc_95, converted_stat * 3, IF(bbgm_stat &gt;= perc_90, converted_stat * 2, IF(bbgm_stat &gt;= perc_85, converted_stat * 1.5, converted_stat)))))</f>
        <v/>
      </c>
      <c r="M709" s="30" t="str">
        <f t="array" ref="M709">IF($A709="", "", LET(bbgm_stat, INDEX(Players!$A708:$P708, MATCH(M$2, Players!$A$1:$P$1, 0)), perc_75, VLOOKUP(M$2, Percentiles!$A$45:$I$59, 6, FALSE), perc_90, VLOOKUP(M$2, Percentiles!$A$45:$I$59, 7, FALSE), perc_95, VLOOKUP(M$2, Percentiles!$A$45:$I$59, 8, FALSE), perc_85, perc_75 + (perc_90 - perc_75) * (2/3), converted_stat, '2K_Ratings'!M709, IF(bbgm_stat &gt;= perc_95, converted_stat * 3, IF(bbgm_stat &gt;= perc_90, converted_stat * 2, IF(bbgm_stat &gt;= perc_85, converted_stat * 1.5, converted_stat)))))</f>
        <v/>
      </c>
      <c r="N709" s="30" t="str">
        <f t="array" ref="N709">IF($A709="", "", LET(bbgm_stat, INDEX(Players!$A708:$P708, MATCH(N$2, Players!$A$1:$P$1, 0)), perc_75, VLOOKUP(N$2, Percentiles!$A$45:$I$59, 6, FALSE), perc_90, VLOOKUP(N$2, Percentiles!$A$45:$I$59, 7, FALSE), perc_95, VLOOKUP(N$2, Percentiles!$A$45:$I$59, 8, FALSE), perc_85, perc_75 + (perc_90 - perc_75) * (2/3), converted_stat, '2K_Ratings'!N709, IF(bbgm_stat &gt;= perc_95, converted_stat * 3, IF(bbgm_stat &gt;= perc_90, converted_stat * 2, IF(bbgm_stat &gt;= perc_85, converted_stat * 1.5, converted_stat)))))</f>
        <v/>
      </c>
      <c r="O709" s="30" t="str">
        <f t="array" ref="O709">IF($A709="", "", LET(bbgm_stat, INDEX(Players!$A708:$P708, MATCH(O$2, Players!$A$1:$P$1, 0)), perc_75, VLOOKUP(O$2, Percentiles!$A$45:$I$59, 6, FALSE), perc_90, VLOOKUP(O$2, Percentiles!$A$45:$I$59, 7, FALSE), perc_95, VLOOKUP(O$2, Percentiles!$A$45:$I$59, 8, FALSE), perc_85, perc_75 + (perc_90 - perc_75) * (2/3), converted_stat, '2K_Ratings'!O709, IF(bbgm_stat &gt;= perc_95, converted_stat * 3, IF(bbgm_stat &gt;= perc_90, converted_stat * 2, IF(bbgm_stat &gt;= perc_85, converted_stat * 1.5, converted_stat)))))</f>
        <v/>
      </c>
      <c r="P709" s="30" t="str">
        <f t="array" ref="P709">IF($A709="", "", LET(bbgm_stat, INDEX(Players!$A708:$P708, MATCH(P$2, Players!$A$1:$P$1, 0)), perc_75, VLOOKUP(P$2, Percentiles!$A$45:$I$59, 6, FALSE), perc_90, VLOOKUP(P$2, Percentiles!$A$45:$I$59, 7, FALSE), perc_95, VLOOKUP(P$2, Percentiles!$A$45:$I$59, 8, FALSE), perc_85, perc_75 + (perc_90 - perc_75) * (2/3), converted_stat, '2K_Ratings'!P709, IF(bbgm_stat &gt;= perc_95, converted_stat * 3, IF(bbgm_stat &gt;= perc_90, converted_stat * 2, IF(bbgm_stat &gt;= perc_85, converted_stat * 1.5, converted_stat)))))</f>
        <v/>
      </c>
      <c r="Q709" s="30" t="str">
        <f t="array" ref="Q709">IF($A709="", "", LET(bbgm_stat, INDEX(Players!$A708:$P708, MATCH(Q$2, Players!$A$1:$P$1, 0)), perc_75, VLOOKUP(Q$2, Percentiles!$A$45:$I$59, 6, FALSE), perc_90, VLOOKUP(Q$2, Percentiles!$A$45:$I$59, 7, FALSE), perc_95, VLOOKUP(Q$2, Percentiles!$A$45:$I$59, 8, FALSE), perc_85, perc_75 + (perc_90 - perc_75) * (2/3), converted_stat, '2K_Ratings'!Q709, IF(bbgm_stat &gt;= perc_95, converted_stat * 3, IF(bbgm_stat &gt;= perc_90, converted_stat * 2, IF(bbgm_stat &gt;= perc_85, converted_stat * 1.5, converted_stat)))))</f>
        <v/>
      </c>
      <c r="R709" s="30" t="str">
        <f t="array" ref="R709">IF($A709="", "", LET(bbgm_stat, INDEX(Players!$A708:$P708, MATCH(R$2, Players!$A$1:$P$1, 0)), perc_75, VLOOKUP(R$2, Percentiles!$A$45:$I$59, 6, FALSE), perc_90, VLOOKUP(R$2, Percentiles!$A$45:$I$59, 7, FALSE), perc_95, VLOOKUP(R$2, Percentiles!$A$45:$I$59, 8, FALSE), perc_85, perc_75 + (perc_90 - perc_75) * (2/3), converted_stat, '2K_Ratings'!R709, IF(bbgm_stat &gt;= perc_95, converted_stat * 3, IF(bbgm_stat &gt;= perc_90, converted_stat * 2, IF(bbgm_stat &gt;= perc_85, converted_stat * 1.5, converted_stat)))))</f>
        <v/>
      </c>
      <c r="S709" s="30" t="str">
        <f t="array" ref="S709">IF($A709="", "", LET(bbgm_stat, INDEX(Players!$A708:$P708, MATCH(S$2, Players!$A$1:$P$1, 0)), perc_75, VLOOKUP(S$2, Percentiles!$A$45:$I$59, 6, FALSE), perc_90, VLOOKUP(S$2, Percentiles!$A$45:$I$59, 7, FALSE), perc_95, VLOOKUP(S$2, Percentiles!$A$45:$I$59, 8, FALSE), perc_85, perc_75 + (perc_90 - perc_75) * (2/3), converted_stat, '2K_Ratings'!S709, IF(bbgm_stat &gt;= perc_95, converted_stat * 3, IF(bbgm_stat &gt;= perc_90, converted_stat * 2, IF(bbgm_stat &gt;= perc_85, converted_stat * 1.5, converted_stat)))))</f>
        <v/>
      </c>
      <c r="T709" s="30" t="str">
        <f t="array" ref="T709">IF($A709="", "", LET(bbgm_stat, INDEX(Players!$A708:$P708, MATCH(T$2, Players!$A$1:$P$1, 0)), perc_75, VLOOKUP(T$2, Percentiles!$A$45:$I$59, 6, FALSE), perc_90, VLOOKUP(T$2, Percentiles!$A$45:$I$59, 7, FALSE), perc_95, VLOOKUP(T$2, Percentiles!$A$45:$I$59, 8, FALSE), perc_85, perc_75 + (perc_90 - perc_75) * (2/3), converted_stat, '2K_Ratings'!T709, IF(bbgm_stat &gt;= perc_95, converted_stat * 3, IF(bbgm_stat &gt;= perc_90, converted_stat * 2, IF(bbgm_stat &gt;= perc_85, converted_stat * 1.5, converted_stat)))))</f>
        <v/>
      </c>
      <c r="U709" s="30" t="str">
        <f t="array" ref="U709">IF($A709="", "", LET(bbgm_stat, INDEX(Players!$A708:$P708, MATCH(U$2, Players!$A$1:$P$1, 0)), perc_75, VLOOKUP(U$2, Percentiles!$A$45:$I$59, 6, FALSE), perc_90, VLOOKUP(U$2, Percentiles!$A$45:$I$59, 7, FALSE), perc_95, VLOOKUP(U$2, Percentiles!$A$45:$I$59, 8, FALSE), perc_85, perc_75 + (perc_90 - perc_75) * (2/3), converted_stat, '2K_Ratings'!U709, IF(bbgm_stat &gt;= perc_95, converted_stat * 3, IF(bbgm_stat &gt;= perc_90, converted_stat * 2, IF(bbgm_stat &gt;= perc_85, converted_stat * 1.5, converted_stat)))))</f>
        <v/>
      </c>
      <c r="V709" s="30" t="str">
        <f t="array" ref="V709">IF($A709="", "", LET(bbgm_stat, INDEX(Players!$A708:$P708, MATCH(V$2, Players!$A$1:$P$1, 0)), perc_75, VLOOKUP(V$2, Percentiles!$A$45:$I$59, 6, FALSE), perc_90, VLOOKUP(V$2, Percentiles!$A$45:$I$59, 7, FALSE), perc_95, VLOOKUP(V$2, Percentiles!$A$45:$I$59, 8, FALSE), perc_85, perc_75 + (perc_90 - perc_75) * (2/3), converted_stat, '2K_Ratings'!V709, IF(bbgm_stat &gt;= perc_95, converted_stat * 3, IF(bbgm_stat &gt;= perc_90, converted_stat * 2, IF(bbgm_stat &gt;= perc_85, converted_stat * 1.5, converted_stat)))))</f>
        <v/>
      </c>
      <c r="W709" s="30" t="str">
        <f t="array" ref="W709">IF($A709="", "", LET(bbgm_stat, INDEX(Players!$A708:$P708, MATCH(W$2, Players!$A$1:$P$1, 0)), perc_75, VLOOKUP(W$2, Percentiles!$A$45:$I$59, 6, FALSE), perc_90, VLOOKUP(W$2, Percentiles!$A$45:$I$59, 7, FALSE), perc_95, VLOOKUP(W$2, Percentiles!$A$45:$I$59, 8, FALSE), perc_85, perc_75 + (perc_90 - perc_75) * (2/3), converted_stat, '2K_Ratings'!W709, IF(bbgm_stat &gt;= perc_95, converted_stat * 3, IF(bbgm_stat &gt;= perc_90, converted_stat * 2, IF(bbgm_stat &gt;= perc_85, converted_stat * 1.5, converted_stat)))))</f>
        <v/>
      </c>
    </row>
    <row r="710">
      <c r="A710" s="30"/>
      <c r="B710" s="30" t="str">
        <f t="array" ref="B710">IF($A710="", "", LET(bbgm_stat, INDEX(Players!$A709:$P709, MATCH(B$2, Players!$A$1:$P$1, 0)), perc_75, VLOOKUP(B$2, Percentiles!$A$45:$I$59, 6, FALSE), perc_90, VLOOKUP(B$2, Percentiles!$A$45:$I$59, 7, FALSE), perc_95, VLOOKUP(B$2, Percentiles!$A$45:$I$59, 8, FALSE), perc_85, perc_75 + (perc_90 - perc_75) * (2/3), converted_stat, '2K_Ratings'!B710, IF(bbgm_stat &gt;= perc_95, converted_stat * 3, IF(bbgm_stat &gt;= perc_90, converted_stat * 2, IF(bbgm_stat &gt;= perc_85, converted_stat * 1.5, converted_stat)))))</f>
        <v/>
      </c>
      <c r="C710" s="30" t="str">
        <f t="array" ref="C710">IF($A710="", "", LET(bbgm_stat, INDEX(Players!$A709:$P709, MATCH(C$2, Players!$A$1:$P$1, 0)), perc_75, VLOOKUP(C$2, Percentiles!$A$45:$I$59, 6, FALSE), perc_90, VLOOKUP(C$2, Percentiles!$A$45:$I$59, 7, FALSE), perc_95, VLOOKUP(C$2, Percentiles!$A$45:$I$59, 8, FALSE), perc_85, perc_75 + (perc_90 - perc_75) * (2/3), converted_stat, '2K_Ratings'!C710, IF(bbgm_stat &gt;= perc_95, converted_stat * 3, IF(bbgm_stat &gt;= perc_90, converted_stat * 2, IF(bbgm_stat &gt;= perc_85, converted_stat * 1.5, converted_stat)))))</f>
        <v/>
      </c>
      <c r="D710" s="30" t="str">
        <f t="array" ref="D710">IF($A710="", "", LET(bbgm_stat, INDEX(Players!$A709:$P709, MATCH(D$2, Players!$A$1:$P$1, 0)), perc_75, VLOOKUP(D$2, Percentiles!$A$45:$I$59, 6, FALSE), perc_90, VLOOKUP(D$2, Percentiles!$A$45:$I$59, 7, FALSE), perc_95, VLOOKUP(D$2, Percentiles!$A$45:$I$59, 8, FALSE), perc_85, perc_75 + (perc_90 - perc_75) * (2/3), converted_stat, '2K_Ratings'!D710, IF(bbgm_stat &gt;= perc_95, converted_stat * 3, IF(bbgm_stat &gt;= perc_90, converted_stat * 2, IF(bbgm_stat &gt;= perc_85, converted_stat * 1.5, converted_stat)))))</f>
        <v/>
      </c>
      <c r="E710" s="30" t="str">
        <f t="array" ref="E710">IF($A710="", "", LET(bbgm_stat, INDEX(Players!$A709:$P709, MATCH(E$2, Players!$A$1:$P$1, 0)), perc_75, VLOOKUP(E$2, Percentiles!$A$45:$I$59, 6, FALSE), perc_90, VLOOKUP(E$2, Percentiles!$A$45:$I$59, 7, FALSE), perc_95, VLOOKUP(E$2, Percentiles!$A$45:$I$59, 8, FALSE), perc_85, perc_75 + (perc_90 - perc_75) * (2/3), converted_stat, '2K_Ratings'!E710, IF(bbgm_stat &gt;= perc_95, converted_stat * 3, IF(bbgm_stat &gt;= perc_90, converted_stat * 2, IF(bbgm_stat &gt;= perc_85, converted_stat * 1.5, converted_stat)))))</f>
        <v/>
      </c>
      <c r="F710" s="30" t="str">
        <f t="array" ref="F710">IF($A710="", "", LET(bbgm_stat, INDEX(Players!$A709:$P709, MATCH(F$2, Players!$A$1:$P$1, 0)), perc_75, VLOOKUP(F$2, Percentiles!$A$45:$I$59, 6, FALSE), perc_90, VLOOKUP(F$2, Percentiles!$A$45:$I$59, 7, FALSE), perc_95, VLOOKUP(F$2, Percentiles!$A$45:$I$59, 8, FALSE), perc_85, perc_75 + (perc_90 - perc_75) * (2/3), converted_stat, '2K_Ratings'!F710, IF(bbgm_stat &gt;= perc_95, converted_stat * 3, IF(bbgm_stat &gt;= perc_90, converted_stat * 2, IF(bbgm_stat &gt;= perc_85, converted_stat * 1.5, converted_stat)))))</f>
        <v/>
      </c>
      <c r="G710" s="30" t="str">
        <f t="array" ref="G710">IF($A710="", "", LET(bbgm_stat, INDEX(Players!$A709:$P709, MATCH(G$2, Players!$A$1:$P$1, 0)), perc_75, VLOOKUP(G$2, Percentiles!$A$45:$I$59, 6, FALSE), perc_90, VLOOKUP(G$2, Percentiles!$A$45:$I$59, 7, FALSE), perc_95, VLOOKUP(G$2, Percentiles!$A$45:$I$59, 8, FALSE), perc_85, perc_75 + (perc_90 - perc_75) * (2/3), converted_stat, '2K_Ratings'!G710, IF(bbgm_stat &gt;= perc_95, converted_stat * 3, IF(bbgm_stat &gt;= perc_90, converted_stat * 2, IF(bbgm_stat &gt;= perc_85, converted_stat * 1.5, converted_stat)))))</f>
        <v/>
      </c>
      <c r="H710" s="30" t="str">
        <f t="array" ref="H710">IF($A710="", "", LET(bbgm_stat, INDEX(Players!$A709:$P709, MATCH(H$2, Players!$A$1:$P$1, 0)), perc_75, VLOOKUP(H$2, Percentiles!$A$45:$I$59, 6, FALSE), perc_90, VLOOKUP(H$2, Percentiles!$A$45:$I$59, 7, FALSE), perc_95, VLOOKUP(H$2, Percentiles!$A$45:$I$59, 8, FALSE), perc_85, perc_75 + (perc_90 - perc_75) * (2/3), converted_stat, '2K_Ratings'!H710, IF(bbgm_stat &gt;= perc_95, converted_stat * 3, IF(bbgm_stat &gt;= perc_90, converted_stat * 2, IF(bbgm_stat &gt;= perc_85, converted_stat * 1.5, converted_stat)))))</f>
        <v/>
      </c>
      <c r="I710" s="30" t="str">
        <f t="array" ref="I710">IF($A710="", "", LET(bbgm_stat, INDEX(Players!$A709:$P709, MATCH(I$2, Players!$A$1:$P$1, 0)), perc_75, VLOOKUP(I$2, Percentiles!$A$45:$I$59, 6, FALSE), perc_90, VLOOKUP(I$2, Percentiles!$A$45:$I$59, 7, FALSE), perc_95, VLOOKUP(I$2, Percentiles!$A$45:$I$59, 8, FALSE), perc_85, perc_75 + (perc_90 - perc_75) * (2/3), converted_stat, '2K_Ratings'!I710, IF(bbgm_stat &gt;= perc_95, converted_stat * 3, IF(bbgm_stat &gt;= perc_90, converted_stat * 2, IF(bbgm_stat &gt;= perc_85, converted_stat * 1.5, converted_stat)))))</f>
        <v/>
      </c>
      <c r="J710" s="30" t="str">
        <f t="array" ref="J710">IF($A710="", "", LET(bbgm_stat, INDEX(Players!$A709:$P709, MATCH(J$2, Players!$A$1:$P$1, 0)), perc_75, VLOOKUP(J$2, Percentiles!$A$45:$I$59, 6, FALSE), perc_90, VLOOKUP(J$2, Percentiles!$A$45:$I$59, 7, FALSE), perc_95, VLOOKUP(J$2, Percentiles!$A$45:$I$59, 8, FALSE), perc_85, perc_75 + (perc_90 - perc_75) * (2/3), converted_stat, '2K_Ratings'!J710, IF(bbgm_stat &gt;= perc_95, converted_stat * 3, IF(bbgm_stat &gt;= perc_90, converted_stat * 2, IF(bbgm_stat &gt;= perc_85, converted_stat * 1.5, converted_stat)))))</f>
        <v/>
      </c>
      <c r="K710" s="30" t="str">
        <f t="array" ref="K710">IF($A710="", "", LET(bbgm_stat, INDEX(Players!$A709:$P709, MATCH(K$2, Players!$A$1:$P$1, 0)), perc_75, VLOOKUP(K$2, Percentiles!$A$45:$I$59, 6, FALSE), perc_90, VLOOKUP(K$2, Percentiles!$A$45:$I$59, 7, FALSE), perc_95, VLOOKUP(K$2, Percentiles!$A$45:$I$59, 8, FALSE), perc_85, perc_75 + (perc_90 - perc_75) * (2/3), converted_stat, '2K_Ratings'!K710, IF(bbgm_stat &gt;= perc_95, converted_stat * 3, IF(bbgm_stat &gt;= perc_90, converted_stat * 2, IF(bbgm_stat &gt;= perc_85, converted_stat * 1.5, converted_stat)))))</f>
        <v/>
      </c>
      <c r="L710" s="30" t="str">
        <f t="array" ref="L710">IF($A710="", "", LET(bbgm_stat, INDEX(Players!$A709:$P709, MATCH(L$2, Players!$A$1:$P$1, 0)), perc_75, VLOOKUP(L$2, Percentiles!$A$45:$I$59, 6, FALSE), perc_90, VLOOKUP(L$2, Percentiles!$A$45:$I$59, 7, FALSE), perc_95, VLOOKUP(L$2, Percentiles!$A$45:$I$59, 8, FALSE), perc_85, perc_75 + (perc_90 - perc_75) * (2/3), converted_stat, '2K_Ratings'!L710, IF(bbgm_stat &gt;= perc_95, converted_stat * 3, IF(bbgm_stat &gt;= perc_90, converted_stat * 2, IF(bbgm_stat &gt;= perc_85, converted_stat * 1.5, converted_stat)))))</f>
        <v/>
      </c>
      <c r="M710" s="30" t="str">
        <f t="array" ref="M710">IF($A710="", "", LET(bbgm_stat, INDEX(Players!$A709:$P709, MATCH(M$2, Players!$A$1:$P$1, 0)), perc_75, VLOOKUP(M$2, Percentiles!$A$45:$I$59, 6, FALSE), perc_90, VLOOKUP(M$2, Percentiles!$A$45:$I$59, 7, FALSE), perc_95, VLOOKUP(M$2, Percentiles!$A$45:$I$59, 8, FALSE), perc_85, perc_75 + (perc_90 - perc_75) * (2/3), converted_stat, '2K_Ratings'!M710, IF(bbgm_stat &gt;= perc_95, converted_stat * 3, IF(bbgm_stat &gt;= perc_90, converted_stat * 2, IF(bbgm_stat &gt;= perc_85, converted_stat * 1.5, converted_stat)))))</f>
        <v/>
      </c>
      <c r="N710" s="30" t="str">
        <f t="array" ref="N710">IF($A710="", "", LET(bbgm_stat, INDEX(Players!$A709:$P709, MATCH(N$2, Players!$A$1:$P$1, 0)), perc_75, VLOOKUP(N$2, Percentiles!$A$45:$I$59, 6, FALSE), perc_90, VLOOKUP(N$2, Percentiles!$A$45:$I$59, 7, FALSE), perc_95, VLOOKUP(N$2, Percentiles!$A$45:$I$59, 8, FALSE), perc_85, perc_75 + (perc_90 - perc_75) * (2/3), converted_stat, '2K_Ratings'!N710, IF(bbgm_stat &gt;= perc_95, converted_stat * 3, IF(bbgm_stat &gt;= perc_90, converted_stat * 2, IF(bbgm_stat &gt;= perc_85, converted_stat * 1.5, converted_stat)))))</f>
        <v/>
      </c>
      <c r="O710" s="30" t="str">
        <f t="array" ref="O710">IF($A710="", "", LET(bbgm_stat, INDEX(Players!$A709:$P709, MATCH(O$2, Players!$A$1:$P$1, 0)), perc_75, VLOOKUP(O$2, Percentiles!$A$45:$I$59, 6, FALSE), perc_90, VLOOKUP(O$2, Percentiles!$A$45:$I$59, 7, FALSE), perc_95, VLOOKUP(O$2, Percentiles!$A$45:$I$59, 8, FALSE), perc_85, perc_75 + (perc_90 - perc_75) * (2/3), converted_stat, '2K_Ratings'!O710, IF(bbgm_stat &gt;= perc_95, converted_stat * 3, IF(bbgm_stat &gt;= perc_90, converted_stat * 2, IF(bbgm_stat &gt;= perc_85, converted_stat * 1.5, converted_stat)))))</f>
        <v/>
      </c>
      <c r="P710" s="30" t="str">
        <f t="array" ref="P710">IF($A710="", "", LET(bbgm_stat, INDEX(Players!$A709:$P709, MATCH(P$2, Players!$A$1:$P$1, 0)), perc_75, VLOOKUP(P$2, Percentiles!$A$45:$I$59, 6, FALSE), perc_90, VLOOKUP(P$2, Percentiles!$A$45:$I$59, 7, FALSE), perc_95, VLOOKUP(P$2, Percentiles!$A$45:$I$59, 8, FALSE), perc_85, perc_75 + (perc_90 - perc_75) * (2/3), converted_stat, '2K_Ratings'!P710, IF(bbgm_stat &gt;= perc_95, converted_stat * 3, IF(bbgm_stat &gt;= perc_90, converted_stat * 2, IF(bbgm_stat &gt;= perc_85, converted_stat * 1.5, converted_stat)))))</f>
        <v/>
      </c>
      <c r="Q710" s="30" t="str">
        <f t="array" ref="Q710">IF($A710="", "", LET(bbgm_stat, INDEX(Players!$A709:$P709, MATCH(Q$2, Players!$A$1:$P$1, 0)), perc_75, VLOOKUP(Q$2, Percentiles!$A$45:$I$59, 6, FALSE), perc_90, VLOOKUP(Q$2, Percentiles!$A$45:$I$59, 7, FALSE), perc_95, VLOOKUP(Q$2, Percentiles!$A$45:$I$59, 8, FALSE), perc_85, perc_75 + (perc_90 - perc_75) * (2/3), converted_stat, '2K_Ratings'!Q710, IF(bbgm_stat &gt;= perc_95, converted_stat * 3, IF(bbgm_stat &gt;= perc_90, converted_stat * 2, IF(bbgm_stat &gt;= perc_85, converted_stat * 1.5, converted_stat)))))</f>
        <v/>
      </c>
      <c r="R710" s="30" t="str">
        <f t="array" ref="R710">IF($A710="", "", LET(bbgm_stat, INDEX(Players!$A709:$P709, MATCH(R$2, Players!$A$1:$P$1, 0)), perc_75, VLOOKUP(R$2, Percentiles!$A$45:$I$59, 6, FALSE), perc_90, VLOOKUP(R$2, Percentiles!$A$45:$I$59, 7, FALSE), perc_95, VLOOKUP(R$2, Percentiles!$A$45:$I$59, 8, FALSE), perc_85, perc_75 + (perc_90 - perc_75) * (2/3), converted_stat, '2K_Ratings'!R710, IF(bbgm_stat &gt;= perc_95, converted_stat * 3, IF(bbgm_stat &gt;= perc_90, converted_stat * 2, IF(bbgm_stat &gt;= perc_85, converted_stat * 1.5, converted_stat)))))</f>
        <v/>
      </c>
      <c r="S710" s="30" t="str">
        <f t="array" ref="S710">IF($A710="", "", LET(bbgm_stat, INDEX(Players!$A709:$P709, MATCH(S$2, Players!$A$1:$P$1, 0)), perc_75, VLOOKUP(S$2, Percentiles!$A$45:$I$59, 6, FALSE), perc_90, VLOOKUP(S$2, Percentiles!$A$45:$I$59, 7, FALSE), perc_95, VLOOKUP(S$2, Percentiles!$A$45:$I$59, 8, FALSE), perc_85, perc_75 + (perc_90 - perc_75) * (2/3), converted_stat, '2K_Ratings'!S710, IF(bbgm_stat &gt;= perc_95, converted_stat * 3, IF(bbgm_stat &gt;= perc_90, converted_stat * 2, IF(bbgm_stat &gt;= perc_85, converted_stat * 1.5, converted_stat)))))</f>
        <v/>
      </c>
      <c r="T710" s="30" t="str">
        <f t="array" ref="T710">IF($A710="", "", LET(bbgm_stat, INDEX(Players!$A709:$P709, MATCH(T$2, Players!$A$1:$P$1, 0)), perc_75, VLOOKUP(T$2, Percentiles!$A$45:$I$59, 6, FALSE), perc_90, VLOOKUP(T$2, Percentiles!$A$45:$I$59, 7, FALSE), perc_95, VLOOKUP(T$2, Percentiles!$A$45:$I$59, 8, FALSE), perc_85, perc_75 + (perc_90 - perc_75) * (2/3), converted_stat, '2K_Ratings'!T710, IF(bbgm_stat &gt;= perc_95, converted_stat * 3, IF(bbgm_stat &gt;= perc_90, converted_stat * 2, IF(bbgm_stat &gt;= perc_85, converted_stat * 1.5, converted_stat)))))</f>
        <v/>
      </c>
      <c r="U710" s="30" t="str">
        <f t="array" ref="U710">IF($A710="", "", LET(bbgm_stat, INDEX(Players!$A709:$P709, MATCH(U$2, Players!$A$1:$P$1, 0)), perc_75, VLOOKUP(U$2, Percentiles!$A$45:$I$59, 6, FALSE), perc_90, VLOOKUP(U$2, Percentiles!$A$45:$I$59, 7, FALSE), perc_95, VLOOKUP(U$2, Percentiles!$A$45:$I$59, 8, FALSE), perc_85, perc_75 + (perc_90 - perc_75) * (2/3), converted_stat, '2K_Ratings'!U710, IF(bbgm_stat &gt;= perc_95, converted_stat * 3, IF(bbgm_stat &gt;= perc_90, converted_stat * 2, IF(bbgm_stat &gt;= perc_85, converted_stat * 1.5, converted_stat)))))</f>
        <v/>
      </c>
      <c r="V710" s="30" t="str">
        <f t="array" ref="V710">IF($A710="", "", LET(bbgm_stat, INDEX(Players!$A709:$P709, MATCH(V$2, Players!$A$1:$P$1, 0)), perc_75, VLOOKUP(V$2, Percentiles!$A$45:$I$59, 6, FALSE), perc_90, VLOOKUP(V$2, Percentiles!$A$45:$I$59, 7, FALSE), perc_95, VLOOKUP(V$2, Percentiles!$A$45:$I$59, 8, FALSE), perc_85, perc_75 + (perc_90 - perc_75) * (2/3), converted_stat, '2K_Ratings'!V710, IF(bbgm_stat &gt;= perc_95, converted_stat * 3, IF(bbgm_stat &gt;= perc_90, converted_stat * 2, IF(bbgm_stat &gt;= perc_85, converted_stat * 1.5, converted_stat)))))</f>
        <v/>
      </c>
      <c r="W710" s="30" t="str">
        <f t="array" ref="W710">IF($A710="", "", LET(bbgm_stat, INDEX(Players!$A709:$P709, MATCH(W$2, Players!$A$1:$P$1, 0)), perc_75, VLOOKUP(W$2, Percentiles!$A$45:$I$59, 6, FALSE), perc_90, VLOOKUP(W$2, Percentiles!$A$45:$I$59, 7, FALSE), perc_95, VLOOKUP(W$2, Percentiles!$A$45:$I$59, 8, FALSE), perc_85, perc_75 + (perc_90 - perc_75) * (2/3), converted_stat, '2K_Ratings'!W710, IF(bbgm_stat &gt;= perc_95, converted_stat * 3, IF(bbgm_stat &gt;= perc_90, converted_stat * 2, IF(bbgm_stat &gt;= perc_85, converted_stat * 1.5, converted_stat)))))</f>
        <v/>
      </c>
    </row>
    <row r="711">
      <c r="A711" s="30"/>
      <c r="B711" s="30" t="str">
        <f t="array" ref="B711">IF($A711="", "", LET(bbgm_stat, INDEX(Players!$A710:$P710, MATCH(B$2, Players!$A$1:$P$1, 0)), perc_75, VLOOKUP(B$2, Percentiles!$A$45:$I$59, 6, FALSE), perc_90, VLOOKUP(B$2, Percentiles!$A$45:$I$59, 7, FALSE), perc_95, VLOOKUP(B$2, Percentiles!$A$45:$I$59, 8, FALSE), perc_85, perc_75 + (perc_90 - perc_75) * (2/3), converted_stat, '2K_Ratings'!B711, IF(bbgm_stat &gt;= perc_95, converted_stat * 3, IF(bbgm_stat &gt;= perc_90, converted_stat * 2, IF(bbgm_stat &gt;= perc_85, converted_stat * 1.5, converted_stat)))))</f>
        <v/>
      </c>
      <c r="C711" s="30" t="str">
        <f t="array" ref="C711">IF($A711="", "", LET(bbgm_stat, INDEX(Players!$A710:$P710, MATCH(C$2, Players!$A$1:$P$1, 0)), perc_75, VLOOKUP(C$2, Percentiles!$A$45:$I$59, 6, FALSE), perc_90, VLOOKUP(C$2, Percentiles!$A$45:$I$59, 7, FALSE), perc_95, VLOOKUP(C$2, Percentiles!$A$45:$I$59, 8, FALSE), perc_85, perc_75 + (perc_90 - perc_75) * (2/3), converted_stat, '2K_Ratings'!C711, IF(bbgm_stat &gt;= perc_95, converted_stat * 3, IF(bbgm_stat &gt;= perc_90, converted_stat * 2, IF(bbgm_stat &gt;= perc_85, converted_stat * 1.5, converted_stat)))))</f>
        <v/>
      </c>
      <c r="D711" s="30" t="str">
        <f t="array" ref="D711">IF($A711="", "", LET(bbgm_stat, INDEX(Players!$A710:$P710, MATCH(D$2, Players!$A$1:$P$1, 0)), perc_75, VLOOKUP(D$2, Percentiles!$A$45:$I$59, 6, FALSE), perc_90, VLOOKUP(D$2, Percentiles!$A$45:$I$59, 7, FALSE), perc_95, VLOOKUP(D$2, Percentiles!$A$45:$I$59, 8, FALSE), perc_85, perc_75 + (perc_90 - perc_75) * (2/3), converted_stat, '2K_Ratings'!D711, IF(bbgm_stat &gt;= perc_95, converted_stat * 3, IF(bbgm_stat &gt;= perc_90, converted_stat * 2, IF(bbgm_stat &gt;= perc_85, converted_stat * 1.5, converted_stat)))))</f>
        <v/>
      </c>
      <c r="E711" s="30" t="str">
        <f t="array" ref="E711">IF($A711="", "", LET(bbgm_stat, INDEX(Players!$A710:$P710, MATCH(E$2, Players!$A$1:$P$1, 0)), perc_75, VLOOKUP(E$2, Percentiles!$A$45:$I$59, 6, FALSE), perc_90, VLOOKUP(E$2, Percentiles!$A$45:$I$59, 7, FALSE), perc_95, VLOOKUP(E$2, Percentiles!$A$45:$I$59, 8, FALSE), perc_85, perc_75 + (perc_90 - perc_75) * (2/3), converted_stat, '2K_Ratings'!E711, IF(bbgm_stat &gt;= perc_95, converted_stat * 3, IF(bbgm_stat &gt;= perc_90, converted_stat * 2, IF(bbgm_stat &gt;= perc_85, converted_stat * 1.5, converted_stat)))))</f>
        <v/>
      </c>
      <c r="F711" s="30" t="str">
        <f t="array" ref="F711">IF($A711="", "", LET(bbgm_stat, INDEX(Players!$A710:$P710, MATCH(F$2, Players!$A$1:$P$1, 0)), perc_75, VLOOKUP(F$2, Percentiles!$A$45:$I$59, 6, FALSE), perc_90, VLOOKUP(F$2, Percentiles!$A$45:$I$59, 7, FALSE), perc_95, VLOOKUP(F$2, Percentiles!$A$45:$I$59, 8, FALSE), perc_85, perc_75 + (perc_90 - perc_75) * (2/3), converted_stat, '2K_Ratings'!F711, IF(bbgm_stat &gt;= perc_95, converted_stat * 3, IF(bbgm_stat &gt;= perc_90, converted_stat * 2, IF(bbgm_stat &gt;= perc_85, converted_stat * 1.5, converted_stat)))))</f>
        <v/>
      </c>
      <c r="G711" s="30" t="str">
        <f t="array" ref="G711">IF($A711="", "", LET(bbgm_stat, INDEX(Players!$A710:$P710, MATCH(G$2, Players!$A$1:$P$1, 0)), perc_75, VLOOKUP(G$2, Percentiles!$A$45:$I$59, 6, FALSE), perc_90, VLOOKUP(G$2, Percentiles!$A$45:$I$59, 7, FALSE), perc_95, VLOOKUP(G$2, Percentiles!$A$45:$I$59, 8, FALSE), perc_85, perc_75 + (perc_90 - perc_75) * (2/3), converted_stat, '2K_Ratings'!G711, IF(bbgm_stat &gt;= perc_95, converted_stat * 3, IF(bbgm_stat &gt;= perc_90, converted_stat * 2, IF(bbgm_stat &gt;= perc_85, converted_stat * 1.5, converted_stat)))))</f>
        <v/>
      </c>
      <c r="H711" s="30" t="str">
        <f t="array" ref="H711">IF($A711="", "", LET(bbgm_stat, INDEX(Players!$A710:$P710, MATCH(H$2, Players!$A$1:$P$1, 0)), perc_75, VLOOKUP(H$2, Percentiles!$A$45:$I$59, 6, FALSE), perc_90, VLOOKUP(H$2, Percentiles!$A$45:$I$59, 7, FALSE), perc_95, VLOOKUP(H$2, Percentiles!$A$45:$I$59, 8, FALSE), perc_85, perc_75 + (perc_90 - perc_75) * (2/3), converted_stat, '2K_Ratings'!H711, IF(bbgm_stat &gt;= perc_95, converted_stat * 3, IF(bbgm_stat &gt;= perc_90, converted_stat * 2, IF(bbgm_stat &gt;= perc_85, converted_stat * 1.5, converted_stat)))))</f>
        <v/>
      </c>
      <c r="I711" s="30" t="str">
        <f t="array" ref="I711">IF($A711="", "", LET(bbgm_stat, INDEX(Players!$A710:$P710, MATCH(I$2, Players!$A$1:$P$1, 0)), perc_75, VLOOKUP(I$2, Percentiles!$A$45:$I$59, 6, FALSE), perc_90, VLOOKUP(I$2, Percentiles!$A$45:$I$59, 7, FALSE), perc_95, VLOOKUP(I$2, Percentiles!$A$45:$I$59, 8, FALSE), perc_85, perc_75 + (perc_90 - perc_75) * (2/3), converted_stat, '2K_Ratings'!I711, IF(bbgm_stat &gt;= perc_95, converted_stat * 3, IF(bbgm_stat &gt;= perc_90, converted_stat * 2, IF(bbgm_stat &gt;= perc_85, converted_stat * 1.5, converted_stat)))))</f>
        <v/>
      </c>
      <c r="J711" s="30" t="str">
        <f t="array" ref="J711">IF($A711="", "", LET(bbgm_stat, INDEX(Players!$A710:$P710, MATCH(J$2, Players!$A$1:$P$1, 0)), perc_75, VLOOKUP(J$2, Percentiles!$A$45:$I$59, 6, FALSE), perc_90, VLOOKUP(J$2, Percentiles!$A$45:$I$59, 7, FALSE), perc_95, VLOOKUP(J$2, Percentiles!$A$45:$I$59, 8, FALSE), perc_85, perc_75 + (perc_90 - perc_75) * (2/3), converted_stat, '2K_Ratings'!J711, IF(bbgm_stat &gt;= perc_95, converted_stat * 3, IF(bbgm_stat &gt;= perc_90, converted_stat * 2, IF(bbgm_stat &gt;= perc_85, converted_stat * 1.5, converted_stat)))))</f>
        <v/>
      </c>
      <c r="K711" s="30" t="str">
        <f t="array" ref="K711">IF($A711="", "", LET(bbgm_stat, INDEX(Players!$A710:$P710, MATCH(K$2, Players!$A$1:$P$1, 0)), perc_75, VLOOKUP(K$2, Percentiles!$A$45:$I$59, 6, FALSE), perc_90, VLOOKUP(K$2, Percentiles!$A$45:$I$59, 7, FALSE), perc_95, VLOOKUP(K$2, Percentiles!$A$45:$I$59, 8, FALSE), perc_85, perc_75 + (perc_90 - perc_75) * (2/3), converted_stat, '2K_Ratings'!K711, IF(bbgm_stat &gt;= perc_95, converted_stat * 3, IF(bbgm_stat &gt;= perc_90, converted_stat * 2, IF(bbgm_stat &gt;= perc_85, converted_stat * 1.5, converted_stat)))))</f>
        <v/>
      </c>
      <c r="L711" s="30" t="str">
        <f t="array" ref="L711">IF($A711="", "", LET(bbgm_stat, INDEX(Players!$A710:$P710, MATCH(L$2, Players!$A$1:$P$1, 0)), perc_75, VLOOKUP(L$2, Percentiles!$A$45:$I$59, 6, FALSE), perc_90, VLOOKUP(L$2, Percentiles!$A$45:$I$59, 7, FALSE), perc_95, VLOOKUP(L$2, Percentiles!$A$45:$I$59, 8, FALSE), perc_85, perc_75 + (perc_90 - perc_75) * (2/3), converted_stat, '2K_Ratings'!L711, IF(bbgm_stat &gt;= perc_95, converted_stat * 3, IF(bbgm_stat &gt;= perc_90, converted_stat * 2, IF(bbgm_stat &gt;= perc_85, converted_stat * 1.5, converted_stat)))))</f>
        <v/>
      </c>
      <c r="M711" s="30" t="str">
        <f t="array" ref="M711">IF($A711="", "", LET(bbgm_stat, INDEX(Players!$A710:$P710, MATCH(M$2, Players!$A$1:$P$1, 0)), perc_75, VLOOKUP(M$2, Percentiles!$A$45:$I$59, 6, FALSE), perc_90, VLOOKUP(M$2, Percentiles!$A$45:$I$59, 7, FALSE), perc_95, VLOOKUP(M$2, Percentiles!$A$45:$I$59, 8, FALSE), perc_85, perc_75 + (perc_90 - perc_75) * (2/3), converted_stat, '2K_Ratings'!M711, IF(bbgm_stat &gt;= perc_95, converted_stat * 3, IF(bbgm_stat &gt;= perc_90, converted_stat * 2, IF(bbgm_stat &gt;= perc_85, converted_stat * 1.5, converted_stat)))))</f>
        <v/>
      </c>
      <c r="N711" s="30" t="str">
        <f t="array" ref="N711">IF($A711="", "", LET(bbgm_stat, INDEX(Players!$A710:$P710, MATCH(N$2, Players!$A$1:$P$1, 0)), perc_75, VLOOKUP(N$2, Percentiles!$A$45:$I$59, 6, FALSE), perc_90, VLOOKUP(N$2, Percentiles!$A$45:$I$59, 7, FALSE), perc_95, VLOOKUP(N$2, Percentiles!$A$45:$I$59, 8, FALSE), perc_85, perc_75 + (perc_90 - perc_75) * (2/3), converted_stat, '2K_Ratings'!N711, IF(bbgm_stat &gt;= perc_95, converted_stat * 3, IF(bbgm_stat &gt;= perc_90, converted_stat * 2, IF(bbgm_stat &gt;= perc_85, converted_stat * 1.5, converted_stat)))))</f>
        <v/>
      </c>
      <c r="O711" s="30" t="str">
        <f t="array" ref="O711">IF($A711="", "", LET(bbgm_stat, INDEX(Players!$A710:$P710, MATCH(O$2, Players!$A$1:$P$1, 0)), perc_75, VLOOKUP(O$2, Percentiles!$A$45:$I$59, 6, FALSE), perc_90, VLOOKUP(O$2, Percentiles!$A$45:$I$59, 7, FALSE), perc_95, VLOOKUP(O$2, Percentiles!$A$45:$I$59, 8, FALSE), perc_85, perc_75 + (perc_90 - perc_75) * (2/3), converted_stat, '2K_Ratings'!O711, IF(bbgm_stat &gt;= perc_95, converted_stat * 3, IF(bbgm_stat &gt;= perc_90, converted_stat * 2, IF(bbgm_stat &gt;= perc_85, converted_stat * 1.5, converted_stat)))))</f>
        <v/>
      </c>
      <c r="P711" s="30" t="str">
        <f t="array" ref="P711">IF($A711="", "", LET(bbgm_stat, INDEX(Players!$A710:$P710, MATCH(P$2, Players!$A$1:$P$1, 0)), perc_75, VLOOKUP(P$2, Percentiles!$A$45:$I$59, 6, FALSE), perc_90, VLOOKUP(P$2, Percentiles!$A$45:$I$59, 7, FALSE), perc_95, VLOOKUP(P$2, Percentiles!$A$45:$I$59, 8, FALSE), perc_85, perc_75 + (perc_90 - perc_75) * (2/3), converted_stat, '2K_Ratings'!P711, IF(bbgm_stat &gt;= perc_95, converted_stat * 3, IF(bbgm_stat &gt;= perc_90, converted_stat * 2, IF(bbgm_stat &gt;= perc_85, converted_stat * 1.5, converted_stat)))))</f>
        <v/>
      </c>
      <c r="Q711" s="30" t="str">
        <f t="array" ref="Q711">IF($A711="", "", LET(bbgm_stat, INDEX(Players!$A710:$P710, MATCH(Q$2, Players!$A$1:$P$1, 0)), perc_75, VLOOKUP(Q$2, Percentiles!$A$45:$I$59, 6, FALSE), perc_90, VLOOKUP(Q$2, Percentiles!$A$45:$I$59, 7, FALSE), perc_95, VLOOKUP(Q$2, Percentiles!$A$45:$I$59, 8, FALSE), perc_85, perc_75 + (perc_90 - perc_75) * (2/3), converted_stat, '2K_Ratings'!Q711, IF(bbgm_stat &gt;= perc_95, converted_stat * 3, IF(bbgm_stat &gt;= perc_90, converted_stat * 2, IF(bbgm_stat &gt;= perc_85, converted_stat * 1.5, converted_stat)))))</f>
        <v/>
      </c>
      <c r="R711" s="30" t="str">
        <f t="array" ref="R711">IF($A711="", "", LET(bbgm_stat, INDEX(Players!$A710:$P710, MATCH(R$2, Players!$A$1:$P$1, 0)), perc_75, VLOOKUP(R$2, Percentiles!$A$45:$I$59, 6, FALSE), perc_90, VLOOKUP(R$2, Percentiles!$A$45:$I$59, 7, FALSE), perc_95, VLOOKUP(R$2, Percentiles!$A$45:$I$59, 8, FALSE), perc_85, perc_75 + (perc_90 - perc_75) * (2/3), converted_stat, '2K_Ratings'!R711, IF(bbgm_stat &gt;= perc_95, converted_stat * 3, IF(bbgm_stat &gt;= perc_90, converted_stat * 2, IF(bbgm_stat &gt;= perc_85, converted_stat * 1.5, converted_stat)))))</f>
        <v/>
      </c>
      <c r="S711" s="30" t="str">
        <f t="array" ref="S711">IF($A711="", "", LET(bbgm_stat, INDEX(Players!$A710:$P710, MATCH(S$2, Players!$A$1:$P$1, 0)), perc_75, VLOOKUP(S$2, Percentiles!$A$45:$I$59, 6, FALSE), perc_90, VLOOKUP(S$2, Percentiles!$A$45:$I$59, 7, FALSE), perc_95, VLOOKUP(S$2, Percentiles!$A$45:$I$59, 8, FALSE), perc_85, perc_75 + (perc_90 - perc_75) * (2/3), converted_stat, '2K_Ratings'!S711, IF(bbgm_stat &gt;= perc_95, converted_stat * 3, IF(bbgm_stat &gt;= perc_90, converted_stat * 2, IF(bbgm_stat &gt;= perc_85, converted_stat * 1.5, converted_stat)))))</f>
        <v/>
      </c>
      <c r="T711" s="30" t="str">
        <f t="array" ref="T711">IF($A711="", "", LET(bbgm_stat, INDEX(Players!$A710:$P710, MATCH(T$2, Players!$A$1:$P$1, 0)), perc_75, VLOOKUP(T$2, Percentiles!$A$45:$I$59, 6, FALSE), perc_90, VLOOKUP(T$2, Percentiles!$A$45:$I$59, 7, FALSE), perc_95, VLOOKUP(T$2, Percentiles!$A$45:$I$59, 8, FALSE), perc_85, perc_75 + (perc_90 - perc_75) * (2/3), converted_stat, '2K_Ratings'!T711, IF(bbgm_stat &gt;= perc_95, converted_stat * 3, IF(bbgm_stat &gt;= perc_90, converted_stat * 2, IF(bbgm_stat &gt;= perc_85, converted_stat * 1.5, converted_stat)))))</f>
        <v/>
      </c>
      <c r="U711" s="30" t="str">
        <f t="array" ref="U711">IF($A711="", "", LET(bbgm_stat, INDEX(Players!$A710:$P710, MATCH(U$2, Players!$A$1:$P$1, 0)), perc_75, VLOOKUP(U$2, Percentiles!$A$45:$I$59, 6, FALSE), perc_90, VLOOKUP(U$2, Percentiles!$A$45:$I$59, 7, FALSE), perc_95, VLOOKUP(U$2, Percentiles!$A$45:$I$59, 8, FALSE), perc_85, perc_75 + (perc_90 - perc_75) * (2/3), converted_stat, '2K_Ratings'!U711, IF(bbgm_stat &gt;= perc_95, converted_stat * 3, IF(bbgm_stat &gt;= perc_90, converted_stat * 2, IF(bbgm_stat &gt;= perc_85, converted_stat * 1.5, converted_stat)))))</f>
        <v/>
      </c>
      <c r="V711" s="30" t="str">
        <f t="array" ref="V711">IF($A711="", "", LET(bbgm_stat, INDEX(Players!$A710:$P710, MATCH(V$2, Players!$A$1:$P$1, 0)), perc_75, VLOOKUP(V$2, Percentiles!$A$45:$I$59, 6, FALSE), perc_90, VLOOKUP(V$2, Percentiles!$A$45:$I$59, 7, FALSE), perc_95, VLOOKUP(V$2, Percentiles!$A$45:$I$59, 8, FALSE), perc_85, perc_75 + (perc_90 - perc_75) * (2/3), converted_stat, '2K_Ratings'!V711, IF(bbgm_stat &gt;= perc_95, converted_stat * 3, IF(bbgm_stat &gt;= perc_90, converted_stat * 2, IF(bbgm_stat &gt;= perc_85, converted_stat * 1.5, converted_stat)))))</f>
        <v/>
      </c>
      <c r="W711" s="30" t="str">
        <f t="array" ref="W711">IF($A711="", "", LET(bbgm_stat, INDEX(Players!$A710:$P710, MATCH(W$2, Players!$A$1:$P$1, 0)), perc_75, VLOOKUP(W$2, Percentiles!$A$45:$I$59, 6, FALSE), perc_90, VLOOKUP(W$2, Percentiles!$A$45:$I$59, 7, FALSE), perc_95, VLOOKUP(W$2, Percentiles!$A$45:$I$59, 8, FALSE), perc_85, perc_75 + (perc_90 - perc_75) * (2/3), converted_stat, '2K_Ratings'!W711, IF(bbgm_stat &gt;= perc_95, converted_stat * 3, IF(bbgm_stat &gt;= perc_90, converted_stat * 2, IF(bbgm_stat &gt;= perc_85, converted_stat * 1.5, converted_stat)))))</f>
        <v/>
      </c>
    </row>
    <row r="712">
      <c r="A712" s="30"/>
      <c r="B712" s="30" t="str">
        <f t="array" ref="B712">IF($A712="", "", LET(bbgm_stat, INDEX(Players!$A711:$P711, MATCH(B$2, Players!$A$1:$P$1, 0)), perc_75, VLOOKUP(B$2, Percentiles!$A$45:$I$59, 6, FALSE), perc_90, VLOOKUP(B$2, Percentiles!$A$45:$I$59, 7, FALSE), perc_95, VLOOKUP(B$2, Percentiles!$A$45:$I$59, 8, FALSE), perc_85, perc_75 + (perc_90 - perc_75) * (2/3), converted_stat, '2K_Ratings'!B712, IF(bbgm_stat &gt;= perc_95, converted_stat * 3, IF(bbgm_stat &gt;= perc_90, converted_stat * 2, IF(bbgm_stat &gt;= perc_85, converted_stat * 1.5, converted_stat)))))</f>
        <v/>
      </c>
      <c r="C712" s="30" t="str">
        <f t="array" ref="C712">IF($A712="", "", LET(bbgm_stat, INDEX(Players!$A711:$P711, MATCH(C$2, Players!$A$1:$P$1, 0)), perc_75, VLOOKUP(C$2, Percentiles!$A$45:$I$59, 6, FALSE), perc_90, VLOOKUP(C$2, Percentiles!$A$45:$I$59, 7, FALSE), perc_95, VLOOKUP(C$2, Percentiles!$A$45:$I$59, 8, FALSE), perc_85, perc_75 + (perc_90 - perc_75) * (2/3), converted_stat, '2K_Ratings'!C712, IF(bbgm_stat &gt;= perc_95, converted_stat * 3, IF(bbgm_stat &gt;= perc_90, converted_stat * 2, IF(bbgm_stat &gt;= perc_85, converted_stat * 1.5, converted_stat)))))</f>
        <v/>
      </c>
      <c r="D712" s="30" t="str">
        <f t="array" ref="D712">IF($A712="", "", LET(bbgm_stat, INDEX(Players!$A711:$P711, MATCH(D$2, Players!$A$1:$P$1, 0)), perc_75, VLOOKUP(D$2, Percentiles!$A$45:$I$59, 6, FALSE), perc_90, VLOOKUP(D$2, Percentiles!$A$45:$I$59, 7, FALSE), perc_95, VLOOKUP(D$2, Percentiles!$A$45:$I$59, 8, FALSE), perc_85, perc_75 + (perc_90 - perc_75) * (2/3), converted_stat, '2K_Ratings'!D712, IF(bbgm_stat &gt;= perc_95, converted_stat * 3, IF(bbgm_stat &gt;= perc_90, converted_stat * 2, IF(bbgm_stat &gt;= perc_85, converted_stat * 1.5, converted_stat)))))</f>
        <v/>
      </c>
      <c r="E712" s="30" t="str">
        <f t="array" ref="E712">IF($A712="", "", LET(bbgm_stat, INDEX(Players!$A711:$P711, MATCH(E$2, Players!$A$1:$P$1, 0)), perc_75, VLOOKUP(E$2, Percentiles!$A$45:$I$59, 6, FALSE), perc_90, VLOOKUP(E$2, Percentiles!$A$45:$I$59, 7, FALSE), perc_95, VLOOKUP(E$2, Percentiles!$A$45:$I$59, 8, FALSE), perc_85, perc_75 + (perc_90 - perc_75) * (2/3), converted_stat, '2K_Ratings'!E712, IF(bbgm_stat &gt;= perc_95, converted_stat * 3, IF(bbgm_stat &gt;= perc_90, converted_stat * 2, IF(bbgm_stat &gt;= perc_85, converted_stat * 1.5, converted_stat)))))</f>
        <v/>
      </c>
      <c r="F712" s="30" t="str">
        <f t="array" ref="F712">IF($A712="", "", LET(bbgm_stat, INDEX(Players!$A711:$P711, MATCH(F$2, Players!$A$1:$P$1, 0)), perc_75, VLOOKUP(F$2, Percentiles!$A$45:$I$59, 6, FALSE), perc_90, VLOOKUP(F$2, Percentiles!$A$45:$I$59, 7, FALSE), perc_95, VLOOKUP(F$2, Percentiles!$A$45:$I$59, 8, FALSE), perc_85, perc_75 + (perc_90 - perc_75) * (2/3), converted_stat, '2K_Ratings'!F712, IF(bbgm_stat &gt;= perc_95, converted_stat * 3, IF(bbgm_stat &gt;= perc_90, converted_stat * 2, IF(bbgm_stat &gt;= perc_85, converted_stat * 1.5, converted_stat)))))</f>
        <v/>
      </c>
      <c r="G712" s="30" t="str">
        <f t="array" ref="G712">IF($A712="", "", LET(bbgm_stat, INDEX(Players!$A711:$P711, MATCH(G$2, Players!$A$1:$P$1, 0)), perc_75, VLOOKUP(G$2, Percentiles!$A$45:$I$59, 6, FALSE), perc_90, VLOOKUP(G$2, Percentiles!$A$45:$I$59, 7, FALSE), perc_95, VLOOKUP(G$2, Percentiles!$A$45:$I$59, 8, FALSE), perc_85, perc_75 + (perc_90 - perc_75) * (2/3), converted_stat, '2K_Ratings'!G712, IF(bbgm_stat &gt;= perc_95, converted_stat * 3, IF(bbgm_stat &gt;= perc_90, converted_stat * 2, IF(bbgm_stat &gt;= perc_85, converted_stat * 1.5, converted_stat)))))</f>
        <v/>
      </c>
      <c r="H712" s="30" t="str">
        <f t="array" ref="H712">IF($A712="", "", LET(bbgm_stat, INDEX(Players!$A711:$P711, MATCH(H$2, Players!$A$1:$P$1, 0)), perc_75, VLOOKUP(H$2, Percentiles!$A$45:$I$59, 6, FALSE), perc_90, VLOOKUP(H$2, Percentiles!$A$45:$I$59, 7, FALSE), perc_95, VLOOKUP(H$2, Percentiles!$A$45:$I$59, 8, FALSE), perc_85, perc_75 + (perc_90 - perc_75) * (2/3), converted_stat, '2K_Ratings'!H712, IF(bbgm_stat &gt;= perc_95, converted_stat * 3, IF(bbgm_stat &gt;= perc_90, converted_stat * 2, IF(bbgm_stat &gt;= perc_85, converted_stat * 1.5, converted_stat)))))</f>
        <v/>
      </c>
      <c r="I712" s="30" t="str">
        <f t="array" ref="I712">IF($A712="", "", LET(bbgm_stat, INDEX(Players!$A711:$P711, MATCH(I$2, Players!$A$1:$P$1, 0)), perc_75, VLOOKUP(I$2, Percentiles!$A$45:$I$59, 6, FALSE), perc_90, VLOOKUP(I$2, Percentiles!$A$45:$I$59, 7, FALSE), perc_95, VLOOKUP(I$2, Percentiles!$A$45:$I$59, 8, FALSE), perc_85, perc_75 + (perc_90 - perc_75) * (2/3), converted_stat, '2K_Ratings'!I712, IF(bbgm_stat &gt;= perc_95, converted_stat * 3, IF(bbgm_stat &gt;= perc_90, converted_stat * 2, IF(bbgm_stat &gt;= perc_85, converted_stat * 1.5, converted_stat)))))</f>
        <v/>
      </c>
      <c r="J712" s="30" t="str">
        <f t="array" ref="J712">IF($A712="", "", LET(bbgm_stat, INDEX(Players!$A711:$P711, MATCH(J$2, Players!$A$1:$P$1, 0)), perc_75, VLOOKUP(J$2, Percentiles!$A$45:$I$59, 6, FALSE), perc_90, VLOOKUP(J$2, Percentiles!$A$45:$I$59, 7, FALSE), perc_95, VLOOKUP(J$2, Percentiles!$A$45:$I$59, 8, FALSE), perc_85, perc_75 + (perc_90 - perc_75) * (2/3), converted_stat, '2K_Ratings'!J712, IF(bbgm_stat &gt;= perc_95, converted_stat * 3, IF(bbgm_stat &gt;= perc_90, converted_stat * 2, IF(bbgm_stat &gt;= perc_85, converted_stat * 1.5, converted_stat)))))</f>
        <v/>
      </c>
      <c r="K712" s="30" t="str">
        <f t="array" ref="K712">IF($A712="", "", LET(bbgm_stat, INDEX(Players!$A711:$P711, MATCH(K$2, Players!$A$1:$P$1, 0)), perc_75, VLOOKUP(K$2, Percentiles!$A$45:$I$59, 6, FALSE), perc_90, VLOOKUP(K$2, Percentiles!$A$45:$I$59, 7, FALSE), perc_95, VLOOKUP(K$2, Percentiles!$A$45:$I$59, 8, FALSE), perc_85, perc_75 + (perc_90 - perc_75) * (2/3), converted_stat, '2K_Ratings'!K712, IF(bbgm_stat &gt;= perc_95, converted_stat * 3, IF(bbgm_stat &gt;= perc_90, converted_stat * 2, IF(bbgm_stat &gt;= perc_85, converted_stat * 1.5, converted_stat)))))</f>
        <v/>
      </c>
      <c r="L712" s="30" t="str">
        <f t="array" ref="L712">IF($A712="", "", LET(bbgm_stat, INDEX(Players!$A711:$P711, MATCH(L$2, Players!$A$1:$P$1, 0)), perc_75, VLOOKUP(L$2, Percentiles!$A$45:$I$59, 6, FALSE), perc_90, VLOOKUP(L$2, Percentiles!$A$45:$I$59, 7, FALSE), perc_95, VLOOKUP(L$2, Percentiles!$A$45:$I$59, 8, FALSE), perc_85, perc_75 + (perc_90 - perc_75) * (2/3), converted_stat, '2K_Ratings'!L712, IF(bbgm_stat &gt;= perc_95, converted_stat * 3, IF(bbgm_stat &gt;= perc_90, converted_stat * 2, IF(bbgm_stat &gt;= perc_85, converted_stat * 1.5, converted_stat)))))</f>
        <v/>
      </c>
      <c r="M712" s="30" t="str">
        <f t="array" ref="M712">IF($A712="", "", LET(bbgm_stat, INDEX(Players!$A711:$P711, MATCH(M$2, Players!$A$1:$P$1, 0)), perc_75, VLOOKUP(M$2, Percentiles!$A$45:$I$59, 6, FALSE), perc_90, VLOOKUP(M$2, Percentiles!$A$45:$I$59, 7, FALSE), perc_95, VLOOKUP(M$2, Percentiles!$A$45:$I$59, 8, FALSE), perc_85, perc_75 + (perc_90 - perc_75) * (2/3), converted_stat, '2K_Ratings'!M712, IF(bbgm_stat &gt;= perc_95, converted_stat * 3, IF(bbgm_stat &gt;= perc_90, converted_stat * 2, IF(bbgm_stat &gt;= perc_85, converted_stat * 1.5, converted_stat)))))</f>
        <v/>
      </c>
      <c r="N712" s="30" t="str">
        <f t="array" ref="N712">IF($A712="", "", LET(bbgm_stat, INDEX(Players!$A711:$P711, MATCH(N$2, Players!$A$1:$P$1, 0)), perc_75, VLOOKUP(N$2, Percentiles!$A$45:$I$59, 6, FALSE), perc_90, VLOOKUP(N$2, Percentiles!$A$45:$I$59, 7, FALSE), perc_95, VLOOKUP(N$2, Percentiles!$A$45:$I$59, 8, FALSE), perc_85, perc_75 + (perc_90 - perc_75) * (2/3), converted_stat, '2K_Ratings'!N712, IF(bbgm_stat &gt;= perc_95, converted_stat * 3, IF(bbgm_stat &gt;= perc_90, converted_stat * 2, IF(bbgm_stat &gt;= perc_85, converted_stat * 1.5, converted_stat)))))</f>
        <v/>
      </c>
      <c r="O712" s="30" t="str">
        <f t="array" ref="O712">IF($A712="", "", LET(bbgm_stat, INDEX(Players!$A711:$P711, MATCH(O$2, Players!$A$1:$P$1, 0)), perc_75, VLOOKUP(O$2, Percentiles!$A$45:$I$59, 6, FALSE), perc_90, VLOOKUP(O$2, Percentiles!$A$45:$I$59, 7, FALSE), perc_95, VLOOKUP(O$2, Percentiles!$A$45:$I$59, 8, FALSE), perc_85, perc_75 + (perc_90 - perc_75) * (2/3), converted_stat, '2K_Ratings'!O712, IF(bbgm_stat &gt;= perc_95, converted_stat * 3, IF(bbgm_stat &gt;= perc_90, converted_stat * 2, IF(bbgm_stat &gt;= perc_85, converted_stat * 1.5, converted_stat)))))</f>
        <v/>
      </c>
      <c r="P712" s="30" t="str">
        <f t="array" ref="P712">IF($A712="", "", LET(bbgm_stat, INDEX(Players!$A711:$P711, MATCH(P$2, Players!$A$1:$P$1, 0)), perc_75, VLOOKUP(P$2, Percentiles!$A$45:$I$59, 6, FALSE), perc_90, VLOOKUP(P$2, Percentiles!$A$45:$I$59, 7, FALSE), perc_95, VLOOKUP(P$2, Percentiles!$A$45:$I$59, 8, FALSE), perc_85, perc_75 + (perc_90 - perc_75) * (2/3), converted_stat, '2K_Ratings'!P712, IF(bbgm_stat &gt;= perc_95, converted_stat * 3, IF(bbgm_stat &gt;= perc_90, converted_stat * 2, IF(bbgm_stat &gt;= perc_85, converted_stat * 1.5, converted_stat)))))</f>
        <v/>
      </c>
      <c r="Q712" s="30" t="str">
        <f t="array" ref="Q712">IF($A712="", "", LET(bbgm_stat, INDEX(Players!$A711:$P711, MATCH(Q$2, Players!$A$1:$P$1, 0)), perc_75, VLOOKUP(Q$2, Percentiles!$A$45:$I$59, 6, FALSE), perc_90, VLOOKUP(Q$2, Percentiles!$A$45:$I$59, 7, FALSE), perc_95, VLOOKUP(Q$2, Percentiles!$A$45:$I$59, 8, FALSE), perc_85, perc_75 + (perc_90 - perc_75) * (2/3), converted_stat, '2K_Ratings'!Q712, IF(bbgm_stat &gt;= perc_95, converted_stat * 3, IF(bbgm_stat &gt;= perc_90, converted_stat * 2, IF(bbgm_stat &gt;= perc_85, converted_stat * 1.5, converted_stat)))))</f>
        <v/>
      </c>
      <c r="R712" s="30" t="str">
        <f t="array" ref="R712">IF($A712="", "", LET(bbgm_stat, INDEX(Players!$A711:$P711, MATCH(R$2, Players!$A$1:$P$1, 0)), perc_75, VLOOKUP(R$2, Percentiles!$A$45:$I$59, 6, FALSE), perc_90, VLOOKUP(R$2, Percentiles!$A$45:$I$59, 7, FALSE), perc_95, VLOOKUP(R$2, Percentiles!$A$45:$I$59, 8, FALSE), perc_85, perc_75 + (perc_90 - perc_75) * (2/3), converted_stat, '2K_Ratings'!R712, IF(bbgm_stat &gt;= perc_95, converted_stat * 3, IF(bbgm_stat &gt;= perc_90, converted_stat * 2, IF(bbgm_stat &gt;= perc_85, converted_stat * 1.5, converted_stat)))))</f>
        <v/>
      </c>
      <c r="S712" s="30" t="str">
        <f t="array" ref="S712">IF($A712="", "", LET(bbgm_stat, INDEX(Players!$A711:$P711, MATCH(S$2, Players!$A$1:$P$1, 0)), perc_75, VLOOKUP(S$2, Percentiles!$A$45:$I$59, 6, FALSE), perc_90, VLOOKUP(S$2, Percentiles!$A$45:$I$59, 7, FALSE), perc_95, VLOOKUP(S$2, Percentiles!$A$45:$I$59, 8, FALSE), perc_85, perc_75 + (perc_90 - perc_75) * (2/3), converted_stat, '2K_Ratings'!S712, IF(bbgm_stat &gt;= perc_95, converted_stat * 3, IF(bbgm_stat &gt;= perc_90, converted_stat * 2, IF(bbgm_stat &gt;= perc_85, converted_stat * 1.5, converted_stat)))))</f>
        <v/>
      </c>
      <c r="T712" s="30" t="str">
        <f t="array" ref="T712">IF($A712="", "", LET(bbgm_stat, INDEX(Players!$A711:$P711, MATCH(T$2, Players!$A$1:$P$1, 0)), perc_75, VLOOKUP(T$2, Percentiles!$A$45:$I$59, 6, FALSE), perc_90, VLOOKUP(T$2, Percentiles!$A$45:$I$59, 7, FALSE), perc_95, VLOOKUP(T$2, Percentiles!$A$45:$I$59, 8, FALSE), perc_85, perc_75 + (perc_90 - perc_75) * (2/3), converted_stat, '2K_Ratings'!T712, IF(bbgm_stat &gt;= perc_95, converted_stat * 3, IF(bbgm_stat &gt;= perc_90, converted_stat * 2, IF(bbgm_stat &gt;= perc_85, converted_stat * 1.5, converted_stat)))))</f>
        <v/>
      </c>
      <c r="U712" s="30" t="str">
        <f t="array" ref="U712">IF($A712="", "", LET(bbgm_stat, INDEX(Players!$A711:$P711, MATCH(U$2, Players!$A$1:$P$1, 0)), perc_75, VLOOKUP(U$2, Percentiles!$A$45:$I$59, 6, FALSE), perc_90, VLOOKUP(U$2, Percentiles!$A$45:$I$59, 7, FALSE), perc_95, VLOOKUP(U$2, Percentiles!$A$45:$I$59, 8, FALSE), perc_85, perc_75 + (perc_90 - perc_75) * (2/3), converted_stat, '2K_Ratings'!U712, IF(bbgm_stat &gt;= perc_95, converted_stat * 3, IF(bbgm_stat &gt;= perc_90, converted_stat * 2, IF(bbgm_stat &gt;= perc_85, converted_stat * 1.5, converted_stat)))))</f>
        <v/>
      </c>
      <c r="V712" s="30" t="str">
        <f t="array" ref="V712">IF($A712="", "", LET(bbgm_stat, INDEX(Players!$A711:$P711, MATCH(V$2, Players!$A$1:$P$1, 0)), perc_75, VLOOKUP(V$2, Percentiles!$A$45:$I$59, 6, FALSE), perc_90, VLOOKUP(V$2, Percentiles!$A$45:$I$59, 7, FALSE), perc_95, VLOOKUP(V$2, Percentiles!$A$45:$I$59, 8, FALSE), perc_85, perc_75 + (perc_90 - perc_75) * (2/3), converted_stat, '2K_Ratings'!V712, IF(bbgm_stat &gt;= perc_95, converted_stat * 3, IF(bbgm_stat &gt;= perc_90, converted_stat * 2, IF(bbgm_stat &gt;= perc_85, converted_stat * 1.5, converted_stat)))))</f>
        <v/>
      </c>
      <c r="W712" s="30" t="str">
        <f t="array" ref="W712">IF($A712="", "", LET(bbgm_stat, INDEX(Players!$A711:$P711, MATCH(W$2, Players!$A$1:$P$1, 0)), perc_75, VLOOKUP(W$2, Percentiles!$A$45:$I$59, 6, FALSE), perc_90, VLOOKUP(W$2, Percentiles!$A$45:$I$59, 7, FALSE), perc_95, VLOOKUP(W$2, Percentiles!$A$45:$I$59, 8, FALSE), perc_85, perc_75 + (perc_90 - perc_75) * (2/3), converted_stat, '2K_Ratings'!W712, IF(bbgm_stat &gt;= perc_95, converted_stat * 3, IF(bbgm_stat &gt;= perc_90, converted_stat * 2, IF(bbgm_stat &gt;= perc_85, converted_stat * 1.5, converted_stat)))))</f>
        <v/>
      </c>
    </row>
    <row r="713">
      <c r="A713" s="30"/>
      <c r="B713" s="30" t="str">
        <f t="array" ref="B713">IF($A713="", "", LET(bbgm_stat, INDEX(Players!$A712:$P712, MATCH(B$2, Players!$A$1:$P$1, 0)), perc_75, VLOOKUP(B$2, Percentiles!$A$45:$I$59, 6, FALSE), perc_90, VLOOKUP(B$2, Percentiles!$A$45:$I$59, 7, FALSE), perc_95, VLOOKUP(B$2, Percentiles!$A$45:$I$59, 8, FALSE), perc_85, perc_75 + (perc_90 - perc_75) * (2/3), converted_stat, '2K_Ratings'!B713, IF(bbgm_stat &gt;= perc_95, converted_stat * 3, IF(bbgm_stat &gt;= perc_90, converted_stat * 2, IF(bbgm_stat &gt;= perc_85, converted_stat * 1.5, converted_stat)))))</f>
        <v/>
      </c>
      <c r="C713" s="30" t="str">
        <f t="array" ref="C713">IF($A713="", "", LET(bbgm_stat, INDEX(Players!$A712:$P712, MATCH(C$2, Players!$A$1:$P$1, 0)), perc_75, VLOOKUP(C$2, Percentiles!$A$45:$I$59, 6, FALSE), perc_90, VLOOKUP(C$2, Percentiles!$A$45:$I$59, 7, FALSE), perc_95, VLOOKUP(C$2, Percentiles!$A$45:$I$59, 8, FALSE), perc_85, perc_75 + (perc_90 - perc_75) * (2/3), converted_stat, '2K_Ratings'!C713, IF(bbgm_stat &gt;= perc_95, converted_stat * 3, IF(bbgm_stat &gt;= perc_90, converted_stat * 2, IF(bbgm_stat &gt;= perc_85, converted_stat * 1.5, converted_stat)))))</f>
        <v/>
      </c>
      <c r="D713" s="30" t="str">
        <f t="array" ref="D713">IF($A713="", "", LET(bbgm_stat, INDEX(Players!$A712:$P712, MATCH(D$2, Players!$A$1:$P$1, 0)), perc_75, VLOOKUP(D$2, Percentiles!$A$45:$I$59, 6, FALSE), perc_90, VLOOKUP(D$2, Percentiles!$A$45:$I$59, 7, FALSE), perc_95, VLOOKUP(D$2, Percentiles!$A$45:$I$59, 8, FALSE), perc_85, perc_75 + (perc_90 - perc_75) * (2/3), converted_stat, '2K_Ratings'!D713, IF(bbgm_stat &gt;= perc_95, converted_stat * 3, IF(bbgm_stat &gt;= perc_90, converted_stat * 2, IF(bbgm_stat &gt;= perc_85, converted_stat * 1.5, converted_stat)))))</f>
        <v/>
      </c>
      <c r="E713" s="30" t="str">
        <f t="array" ref="E713">IF($A713="", "", LET(bbgm_stat, INDEX(Players!$A712:$P712, MATCH(E$2, Players!$A$1:$P$1, 0)), perc_75, VLOOKUP(E$2, Percentiles!$A$45:$I$59, 6, FALSE), perc_90, VLOOKUP(E$2, Percentiles!$A$45:$I$59, 7, FALSE), perc_95, VLOOKUP(E$2, Percentiles!$A$45:$I$59, 8, FALSE), perc_85, perc_75 + (perc_90 - perc_75) * (2/3), converted_stat, '2K_Ratings'!E713, IF(bbgm_stat &gt;= perc_95, converted_stat * 3, IF(bbgm_stat &gt;= perc_90, converted_stat * 2, IF(bbgm_stat &gt;= perc_85, converted_stat * 1.5, converted_stat)))))</f>
        <v/>
      </c>
      <c r="F713" s="30" t="str">
        <f t="array" ref="F713">IF($A713="", "", LET(bbgm_stat, INDEX(Players!$A712:$P712, MATCH(F$2, Players!$A$1:$P$1, 0)), perc_75, VLOOKUP(F$2, Percentiles!$A$45:$I$59, 6, FALSE), perc_90, VLOOKUP(F$2, Percentiles!$A$45:$I$59, 7, FALSE), perc_95, VLOOKUP(F$2, Percentiles!$A$45:$I$59, 8, FALSE), perc_85, perc_75 + (perc_90 - perc_75) * (2/3), converted_stat, '2K_Ratings'!F713, IF(bbgm_stat &gt;= perc_95, converted_stat * 3, IF(bbgm_stat &gt;= perc_90, converted_stat * 2, IF(bbgm_stat &gt;= perc_85, converted_stat * 1.5, converted_stat)))))</f>
        <v/>
      </c>
      <c r="G713" s="30" t="str">
        <f t="array" ref="G713">IF($A713="", "", LET(bbgm_stat, INDEX(Players!$A712:$P712, MATCH(G$2, Players!$A$1:$P$1, 0)), perc_75, VLOOKUP(G$2, Percentiles!$A$45:$I$59, 6, FALSE), perc_90, VLOOKUP(G$2, Percentiles!$A$45:$I$59, 7, FALSE), perc_95, VLOOKUP(G$2, Percentiles!$A$45:$I$59, 8, FALSE), perc_85, perc_75 + (perc_90 - perc_75) * (2/3), converted_stat, '2K_Ratings'!G713, IF(bbgm_stat &gt;= perc_95, converted_stat * 3, IF(bbgm_stat &gt;= perc_90, converted_stat * 2, IF(bbgm_stat &gt;= perc_85, converted_stat * 1.5, converted_stat)))))</f>
        <v/>
      </c>
      <c r="H713" s="30" t="str">
        <f t="array" ref="H713">IF($A713="", "", LET(bbgm_stat, INDEX(Players!$A712:$P712, MATCH(H$2, Players!$A$1:$P$1, 0)), perc_75, VLOOKUP(H$2, Percentiles!$A$45:$I$59, 6, FALSE), perc_90, VLOOKUP(H$2, Percentiles!$A$45:$I$59, 7, FALSE), perc_95, VLOOKUP(H$2, Percentiles!$A$45:$I$59, 8, FALSE), perc_85, perc_75 + (perc_90 - perc_75) * (2/3), converted_stat, '2K_Ratings'!H713, IF(bbgm_stat &gt;= perc_95, converted_stat * 3, IF(bbgm_stat &gt;= perc_90, converted_stat * 2, IF(bbgm_stat &gt;= perc_85, converted_stat * 1.5, converted_stat)))))</f>
        <v/>
      </c>
      <c r="I713" s="30" t="str">
        <f t="array" ref="I713">IF($A713="", "", LET(bbgm_stat, INDEX(Players!$A712:$P712, MATCH(I$2, Players!$A$1:$P$1, 0)), perc_75, VLOOKUP(I$2, Percentiles!$A$45:$I$59, 6, FALSE), perc_90, VLOOKUP(I$2, Percentiles!$A$45:$I$59, 7, FALSE), perc_95, VLOOKUP(I$2, Percentiles!$A$45:$I$59, 8, FALSE), perc_85, perc_75 + (perc_90 - perc_75) * (2/3), converted_stat, '2K_Ratings'!I713, IF(bbgm_stat &gt;= perc_95, converted_stat * 3, IF(bbgm_stat &gt;= perc_90, converted_stat * 2, IF(bbgm_stat &gt;= perc_85, converted_stat * 1.5, converted_stat)))))</f>
        <v/>
      </c>
      <c r="J713" s="30" t="str">
        <f t="array" ref="J713">IF($A713="", "", LET(bbgm_stat, INDEX(Players!$A712:$P712, MATCH(J$2, Players!$A$1:$P$1, 0)), perc_75, VLOOKUP(J$2, Percentiles!$A$45:$I$59, 6, FALSE), perc_90, VLOOKUP(J$2, Percentiles!$A$45:$I$59, 7, FALSE), perc_95, VLOOKUP(J$2, Percentiles!$A$45:$I$59, 8, FALSE), perc_85, perc_75 + (perc_90 - perc_75) * (2/3), converted_stat, '2K_Ratings'!J713, IF(bbgm_stat &gt;= perc_95, converted_stat * 3, IF(bbgm_stat &gt;= perc_90, converted_stat * 2, IF(bbgm_stat &gt;= perc_85, converted_stat * 1.5, converted_stat)))))</f>
        <v/>
      </c>
      <c r="K713" s="30" t="str">
        <f t="array" ref="K713">IF($A713="", "", LET(bbgm_stat, INDEX(Players!$A712:$P712, MATCH(K$2, Players!$A$1:$P$1, 0)), perc_75, VLOOKUP(K$2, Percentiles!$A$45:$I$59, 6, FALSE), perc_90, VLOOKUP(K$2, Percentiles!$A$45:$I$59, 7, FALSE), perc_95, VLOOKUP(K$2, Percentiles!$A$45:$I$59, 8, FALSE), perc_85, perc_75 + (perc_90 - perc_75) * (2/3), converted_stat, '2K_Ratings'!K713, IF(bbgm_stat &gt;= perc_95, converted_stat * 3, IF(bbgm_stat &gt;= perc_90, converted_stat * 2, IF(bbgm_stat &gt;= perc_85, converted_stat * 1.5, converted_stat)))))</f>
        <v/>
      </c>
      <c r="L713" s="30" t="str">
        <f t="array" ref="L713">IF($A713="", "", LET(bbgm_stat, INDEX(Players!$A712:$P712, MATCH(L$2, Players!$A$1:$P$1, 0)), perc_75, VLOOKUP(L$2, Percentiles!$A$45:$I$59, 6, FALSE), perc_90, VLOOKUP(L$2, Percentiles!$A$45:$I$59, 7, FALSE), perc_95, VLOOKUP(L$2, Percentiles!$A$45:$I$59, 8, FALSE), perc_85, perc_75 + (perc_90 - perc_75) * (2/3), converted_stat, '2K_Ratings'!L713, IF(bbgm_stat &gt;= perc_95, converted_stat * 3, IF(bbgm_stat &gt;= perc_90, converted_stat * 2, IF(bbgm_stat &gt;= perc_85, converted_stat * 1.5, converted_stat)))))</f>
        <v/>
      </c>
      <c r="M713" s="30" t="str">
        <f t="array" ref="M713">IF($A713="", "", LET(bbgm_stat, INDEX(Players!$A712:$P712, MATCH(M$2, Players!$A$1:$P$1, 0)), perc_75, VLOOKUP(M$2, Percentiles!$A$45:$I$59, 6, FALSE), perc_90, VLOOKUP(M$2, Percentiles!$A$45:$I$59, 7, FALSE), perc_95, VLOOKUP(M$2, Percentiles!$A$45:$I$59, 8, FALSE), perc_85, perc_75 + (perc_90 - perc_75) * (2/3), converted_stat, '2K_Ratings'!M713, IF(bbgm_stat &gt;= perc_95, converted_stat * 3, IF(bbgm_stat &gt;= perc_90, converted_stat * 2, IF(bbgm_stat &gt;= perc_85, converted_stat * 1.5, converted_stat)))))</f>
        <v/>
      </c>
      <c r="N713" s="30" t="str">
        <f t="array" ref="N713">IF($A713="", "", LET(bbgm_stat, INDEX(Players!$A712:$P712, MATCH(N$2, Players!$A$1:$P$1, 0)), perc_75, VLOOKUP(N$2, Percentiles!$A$45:$I$59, 6, FALSE), perc_90, VLOOKUP(N$2, Percentiles!$A$45:$I$59, 7, FALSE), perc_95, VLOOKUP(N$2, Percentiles!$A$45:$I$59, 8, FALSE), perc_85, perc_75 + (perc_90 - perc_75) * (2/3), converted_stat, '2K_Ratings'!N713, IF(bbgm_stat &gt;= perc_95, converted_stat * 3, IF(bbgm_stat &gt;= perc_90, converted_stat * 2, IF(bbgm_stat &gt;= perc_85, converted_stat * 1.5, converted_stat)))))</f>
        <v/>
      </c>
      <c r="O713" s="30" t="str">
        <f t="array" ref="O713">IF($A713="", "", LET(bbgm_stat, INDEX(Players!$A712:$P712, MATCH(O$2, Players!$A$1:$P$1, 0)), perc_75, VLOOKUP(O$2, Percentiles!$A$45:$I$59, 6, FALSE), perc_90, VLOOKUP(O$2, Percentiles!$A$45:$I$59, 7, FALSE), perc_95, VLOOKUP(O$2, Percentiles!$A$45:$I$59, 8, FALSE), perc_85, perc_75 + (perc_90 - perc_75) * (2/3), converted_stat, '2K_Ratings'!O713, IF(bbgm_stat &gt;= perc_95, converted_stat * 3, IF(bbgm_stat &gt;= perc_90, converted_stat * 2, IF(bbgm_stat &gt;= perc_85, converted_stat * 1.5, converted_stat)))))</f>
        <v/>
      </c>
      <c r="P713" s="30" t="str">
        <f t="array" ref="P713">IF($A713="", "", LET(bbgm_stat, INDEX(Players!$A712:$P712, MATCH(P$2, Players!$A$1:$P$1, 0)), perc_75, VLOOKUP(P$2, Percentiles!$A$45:$I$59, 6, FALSE), perc_90, VLOOKUP(P$2, Percentiles!$A$45:$I$59, 7, FALSE), perc_95, VLOOKUP(P$2, Percentiles!$A$45:$I$59, 8, FALSE), perc_85, perc_75 + (perc_90 - perc_75) * (2/3), converted_stat, '2K_Ratings'!P713, IF(bbgm_stat &gt;= perc_95, converted_stat * 3, IF(bbgm_stat &gt;= perc_90, converted_stat * 2, IF(bbgm_stat &gt;= perc_85, converted_stat * 1.5, converted_stat)))))</f>
        <v/>
      </c>
      <c r="Q713" s="30" t="str">
        <f t="array" ref="Q713">IF($A713="", "", LET(bbgm_stat, INDEX(Players!$A712:$P712, MATCH(Q$2, Players!$A$1:$P$1, 0)), perc_75, VLOOKUP(Q$2, Percentiles!$A$45:$I$59, 6, FALSE), perc_90, VLOOKUP(Q$2, Percentiles!$A$45:$I$59, 7, FALSE), perc_95, VLOOKUP(Q$2, Percentiles!$A$45:$I$59, 8, FALSE), perc_85, perc_75 + (perc_90 - perc_75) * (2/3), converted_stat, '2K_Ratings'!Q713, IF(bbgm_stat &gt;= perc_95, converted_stat * 3, IF(bbgm_stat &gt;= perc_90, converted_stat * 2, IF(bbgm_stat &gt;= perc_85, converted_stat * 1.5, converted_stat)))))</f>
        <v/>
      </c>
      <c r="R713" s="30" t="str">
        <f t="array" ref="R713">IF($A713="", "", LET(bbgm_stat, INDEX(Players!$A712:$P712, MATCH(R$2, Players!$A$1:$P$1, 0)), perc_75, VLOOKUP(R$2, Percentiles!$A$45:$I$59, 6, FALSE), perc_90, VLOOKUP(R$2, Percentiles!$A$45:$I$59, 7, FALSE), perc_95, VLOOKUP(R$2, Percentiles!$A$45:$I$59, 8, FALSE), perc_85, perc_75 + (perc_90 - perc_75) * (2/3), converted_stat, '2K_Ratings'!R713, IF(bbgm_stat &gt;= perc_95, converted_stat * 3, IF(bbgm_stat &gt;= perc_90, converted_stat * 2, IF(bbgm_stat &gt;= perc_85, converted_stat * 1.5, converted_stat)))))</f>
        <v/>
      </c>
      <c r="S713" s="30" t="str">
        <f t="array" ref="S713">IF($A713="", "", LET(bbgm_stat, INDEX(Players!$A712:$P712, MATCH(S$2, Players!$A$1:$P$1, 0)), perc_75, VLOOKUP(S$2, Percentiles!$A$45:$I$59, 6, FALSE), perc_90, VLOOKUP(S$2, Percentiles!$A$45:$I$59, 7, FALSE), perc_95, VLOOKUP(S$2, Percentiles!$A$45:$I$59, 8, FALSE), perc_85, perc_75 + (perc_90 - perc_75) * (2/3), converted_stat, '2K_Ratings'!S713, IF(bbgm_stat &gt;= perc_95, converted_stat * 3, IF(bbgm_stat &gt;= perc_90, converted_stat * 2, IF(bbgm_stat &gt;= perc_85, converted_stat * 1.5, converted_stat)))))</f>
        <v/>
      </c>
      <c r="T713" s="30" t="str">
        <f t="array" ref="T713">IF($A713="", "", LET(bbgm_stat, INDEX(Players!$A712:$P712, MATCH(T$2, Players!$A$1:$P$1, 0)), perc_75, VLOOKUP(T$2, Percentiles!$A$45:$I$59, 6, FALSE), perc_90, VLOOKUP(T$2, Percentiles!$A$45:$I$59, 7, FALSE), perc_95, VLOOKUP(T$2, Percentiles!$A$45:$I$59, 8, FALSE), perc_85, perc_75 + (perc_90 - perc_75) * (2/3), converted_stat, '2K_Ratings'!T713, IF(bbgm_stat &gt;= perc_95, converted_stat * 3, IF(bbgm_stat &gt;= perc_90, converted_stat * 2, IF(bbgm_stat &gt;= perc_85, converted_stat * 1.5, converted_stat)))))</f>
        <v/>
      </c>
      <c r="U713" s="30" t="str">
        <f t="array" ref="U713">IF($A713="", "", LET(bbgm_stat, INDEX(Players!$A712:$P712, MATCH(U$2, Players!$A$1:$P$1, 0)), perc_75, VLOOKUP(U$2, Percentiles!$A$45:$I$59, 6, FALSE), perc_90, VLOOKUP(U$2, Percentiles!$A$45:$I$59, 7, FALSE), perc_95, VLOOKUP(U$2, Percentiles!$A$45:$I$59, 8, FALSE), perc_85, perc_75 + (perc_90 - perc_75) * (2/3), converted_stat, '2K_Ratings'!U713, IF(bbgm_stat &gt;= perc_95, converted_stat * 3, IF(bbgm_stat &gt;= perc_90, converted_stat * 2, IF(bbgm_stat &gt;= perc_85, converted_stat * 1.5, converted_stat)))))</f>
        <v/>
      </c>
      <c r="V713" s="30" t="str">
        <f t="array" ref="V713">IF($A713="", "", LET(bbgm_stat, INDEX(Players!$A712:$P712, MATCH(V$2, Players!$A$1:$P$1, 0)), perc_75, VLOOKUP(V$2, Percentiles!$A$45:$I$59, 6, FALSE), perc_90, VLOOKUP(V$2, Percentiles!$A$45:$I$59, 7, FALSE), perc_95, VLOOKUP(V$2, Percentiles!$A$45:$I$59, 8, FALSE), perc_85, perc_75 + (perc_90 - perc_75) * (2/3), converted_stat, '2K_Ratings'!V713, IF(bbgm_stat &gt;= perc_95, converted_stat * 3, IF(bbgm_stat &gt;= perc_90, converted_stat * 2, IF(bbgm_stat &gt;= perc_85, converted_stat * 1.5, converted_stat)))))</f>
        <v/>
      </c>
      <c r="W713" s="30" t="str">
        <f t="array" ref="W713">IF($A713="", "", LET(bbgm_stat, INDEX(Players!$A712:$P712, MATCH(W$2, Players!$A$1:$P$1, 0)), perc_75, VLOOKUP(W$2, Percentiles!$A$45:$I$59, 6, FALSE), perc_90, VLOOKUP(W$2, Percentiles!$A$45:$I$59, 7, FALSE), perc_95, VLOOKUP(W$2, Percentiles!$A$45:$I$59, 8, FALSE), perc_85, perc_75 + (perc_90 - perc_75) * (2/3), converted_stat, '2K_Ratings'!W713, IF(bbgm_stat &gt;= perc_95, converted_stat * 3, IF(bbgm_stat &gt;= perc_90, converted_stat * 2, IF(bbgm_stat &gt;= perc_85, converted_stat * 1.5, converted_stat)))))</f>
        <v/>
      </c>
    </row>
    <row r="714">
      <c r="A714" s="30"/>
      <c r="B714" s="30" t="str">
        <f t="array" ref="B714">IF($A714="", "", LET(bbgm_stat, INDEX(Players!$A713:$P713, MATCH(B$2, Players!$A$1:$P$1, 0)), perc_75, VLOOKUP(B$2, Percentiles!$A$45:$I$59, 6, FALSE), perc_90, VLOOKUP(B$2, Percentiles!$A$45:$I$59, 7, FALSE), perc_95, VLOOKUP(B$2, Percentiles!$A$45:$I$59, 8, FALSE), perc_85, perc_75 + (perc_90 - perc_75) * (2/3), converted_stat, '2K_Ratings'!B714, IF(bbgm_stat &gt;= perc_95, converted_stat * 3, IF(bbgm_stat &gt;= perc_90, converted_stat * 2, IF(bbgm_stat &gt;= perc_85, converted_stat * 1.5, converted_stat)))))</f>
        <v/>
      </c>
      <c r="C714" s="30" t="str">
        <f t="array" ref="C714">IF($A714="", "", LET(bbgm_stat, INDEX(Players!$A713:$P713, MATCH(C$2, Players!$A$1:$P$1, 0)), perc_75, VLOOKUP(C$2, Percentiles!$A$45:$I$59, 6, FALSE), perc_90, VLOOKUP(C$2, Percentiles!$A$45:$I$59, 7, FALSE), perc_95, VLOOKUP(C$2, Percentiles!$A$45:$I$59, 8, FALSE), perc_85, perc_75 + (perc_90 - perc_75) * (2/3), converted_stat, '2K_Ratings'!C714, IF(bbgm_stat &gt;= perc_95, converted_stat * 3, IF(bbgm_stat &gt;= perc_90, converted_stat * 2, IF(bbgm_stat &gt;= perc_85, converted_stat * 1.5, converted_stat)))))</f>
        <v/>
      </c>
      <c r="D714" s="30" t="str">
        <f t="array" ref="D714">IF($A714="", "", LET(bbgm_stat, INDEX(Players!$A713:$P713, MATCH(D$2, Players!$A$1:$P$1, 0)), perc_75, VLOOKUP(D$2, Percentiles!$A$45:$I$59, 6, FALSE), perc_90, VLOOKUP(D$2, Percentiles!$A$45:$I$59, 7, FALSE), perc_95, VLOOKUP(D$2, Percentiles!$A$45:$I$59, 8, FALSE), perc_85, perc_75 + (perc_90 - perc_75) * (2/3), converted_stat, '2K_Ratings'!D714, IF(bbgm_stat &gt;= perc_95, converted_stat * 3, IF(bbgm_stat &gt;= perc_90, converted_stat * 2, IF(bbgm_stat &gt;= perc_85, converted_stat * 1.5, converted_stat)))))</f>
        <v/>
      </c>
      <c r="E714" s="30" t="str">
        <f t="array" ref="E714">IF($A714="", "", LET(bbgm_stat, INDEX(Players!$A713:$P713, MATCH(E$2, Players!$A$1:$P$1, 0)), perc_75, VLOOKUP(E$2, Percentiles!$A$45:$I$59, 6, FALSE), perc_90, VLOOKUP(E$2, Percentiles!$A$45:$I$59, 7, FALSE), perc_95, VLOOKUP(E$2, Percentiles!$A$45:$I$59, 8, FALSE), perc_85, perc_75 + (perc_90 - perc_75) * (2/3), converted_stat, '2K_Ratings'!E714, IF(bbgm_stat &gt;= perc_95, converted_stat * 3, IF(bbgm_stat &gt;= perc_90, converted_stat * 2, IF(bbgm_stat &gt;= perc_85, converted_stat * 1.5, converted_stat)))))</f>
        <v/>
      </c>
      <c r="F714" s="30" t="str">
        <f t="array" ref="F714">IF($A714="", "", LET(bbgm_stat, INDEX(Players!$A713:$P713, MATCH(F$2, Players!$A$1:$P$1, 0)), perc_75, VLOOKUP(F$2, Percentiles!$A$45:$I$59, 6, FALSE), perc_90, VLOOKUP(F$2, Percentiles!$A$45:$I$59, 7, FALSE), perc_95, VLOOKUP(F$2, Percentiles!$A$45:$I$59, 8, FALSE), perc_85, perc_75 + (perc_90 - perc_75) * (2/3), converted_stat, '2K_Ratings'!F714, IF(bbgm_stat &gt;= perc_95, converted_stat * 3, IF(bbgm_stat &gt;= perc_90, converted_stat * 2, IF(bbgm_stat &gt;= perc_85, converted_stat * 1.5, converted_stat)))))</f>
        <v/>
      </c>
      <c r="G714" s="30" t="str">
        <f t="array" ref="G714">IF($A714="", "", LET(bbgm_stat, INDEX(Players!$A713:$P713, MATCH(G$2, Players!$A$1:$P$1, 0)), perc_75, VLOOKUP(G$2, Percentiles!$A$45:$I$59, 6, FALSE), perc_90, VLOOKUP(G$2, Percentiles!$A$45:$I$59, 7, FALSE), perc_95, VLOOKUP(G$2, Percentiles!$A$45:$I$59, 8, FALSE), perc_85, perc_75 + (perc_90 - perc_75) * (2/3), converted_stat, '2K_Ratings'!G714, IF(bbgm_stat &gt;= perc_95, converted_stat * 3, IF(bbgm_stat &gt;= perc_90, converted_stat * 2, IF(bbgm_stat &gt;= perc_85, converted_stat * 1.5, converted_stat)))))</f>
        <v/>
      </c>
      <c r="H714" s="30" t="str">
        <f t="array" ref="H714">IF($A714="", "", LET(bbgm_stat, INDEX(Players!$A713:$P713, MATCH(H$2, Players!$A$1:$P$1, 0)), perc_75, VLOOKUP(H$2, Percentiles!$A$45:$I$59, 6, FALSE), perc_90, VLOOKUP(H$2, Percentiles!$A$45:$I$59, 7, FALSE), perc_95, VLOOKUP(H$2, Percentiles!$A$45:$I$59, 8, FALSE), perc_85, perc_75 + (perc_90 - perc_75) * (2/3), converted_stat, '2K_Ratings'!H714, IF(bbgm_stat &gt;= perc_95, converted_stat * 3, IF(bbgm_stat &gt;= perc_90, converted_stat * 2, IF(bbgm_stat &gt;= perc_85, converted_stat * 1.5, converted_stat)))))</f>
        <v/>
      </c>
      <c r="I714" s="30" t="str">
        <f t="array" ref="I714">IF($A714="", "", LET(bbgm_stat, INDEX(Players!$A713:$P713, MATCH(I$2, Players!$A$1:$P$1, 0)), perc_75, VLOOKUP(I$2, Percentiles!$A$45:$I$59, 6, FALSE), perc_90, VLOOKUP(I$2, Percentiles!$A$45:$I$59, 7, FALSE), perc_95, VLOOKUP(I$2, Percentiles!$A$45:$I$59, 8, FALSE), perc_85, perc_75 + (perc_90 - perc_75) * (2/3), converted_stat, '2K_Ratings'!I714, IF(bbgm_stat &gt;= perc_95, converted_stat * 3, IF(bbgm_stat &gt;= perc_90, converted_stat * 2, IF(bbgm_stat &gt;= perc_85, converted_stat * 1.5, converted_stat)))))</f>
        <v/>
      </c>
      <c r="J714" s="30" t="str">
        <f t="array" ref="J714">IF($A714="", "", LET(bbgm_stat, INDEX(Players!$A713:$P713, MATCH(J$2, Players!$A$1:$P$1, 0)), perc_75, VLOOKUP(J$2, Percentiles!$A$45:$I$59, 6, FALSE), perc_90, VLOOKUP(J$2, Percentiles!$A$45:$I$59, 7, FALSE), perc_95, VLOOKUP(J$2, Percentiles!$A$45:$I$59, 8, FALSE), perc_85, perc_75 + (perc_90 - perc_75) * (2/3), converted_stat, '2K_Ratings'!J714, IF(bbgm_stat &gt;= perc_95, converted_stat * 3, IF(bbgm_stat &gt;= perc_90, converted_stat * 2, IF(bbgm_stat &gt;= perc_85, converted_stat * 1.5, converted_stat)))))</f>
        <v/>
      </c>
      <c r="K714" s="30" t="str">
        <f t="array" ref="K714">IF($A714="", "", LET(bbgm_stat, INDEX(Players!$A713:$P713, MATCH(K$2, Players!$A$1:$P$1, 0)), perc_75, VLOOKUP(K$2, Percentiles!$A$45:$I$59, 6, FALSE), perc_90, VLOOKUP(K$2, Percentiles!$A$45:$I$59, 7, FALSE), perc_95, VLOOKUP(K$2, Percentiles!$A$45:$I$59, 8, FALSE), perc_85, perc_75 + (perc_90 - perc_75) * (2/3), converted_stat, '2K_Ratings'!K714, IF(bbgm_stat &gt;= perc_95, converted_stat * 3, IF(bbgm_stat &gt;= perc_90, converted_stat * 2, IF(bbgm_stat &gt;= perc_85, converted_stat * 1.5, converted_stat)))))</f>
        <v/>
      </c>
      <c r="L714" s="30" t="str">
        <f t="array" ref="L714">IF($A714="", "", LET(bbgm_stat, INDEX(Players!$A713:$P713, MATCH(L$2, Players!$A$1:$P$1, 0)), perc_75, VLOOKUP(L$2, Percentiles!$A$45:$I$59, 6, FALSE), perc_90, VLOOKUP(L$2, Percentiles!$A$45:$I$59, 7, FALSE), perc_95, VLOOKUP(L$2, Percentiles!$A$45:$I$59, 8, FALSE), perc_85, perc_75 + (perc_90 - perc_75) * (2/3), converted_stat, '2K_Ratings'!L714, IF(bbgm_stat &gt;= perc_95, converted_stat * 3, IF(bbgm_stat &gt;= perc_90, converted_stat * 2, IF(bbgm_stat &gt;= perc_85, converted_stat * 1.5, converted_stat)))))</f>
        <v/>
      </c>
      <c r="M714" s="30" t="str">
        <f t="array" ref="M714">IF($A714="", "", LET(bbgm_stat, INDEX(Players!$A713:$P713, MATCH(M$2, Players!$A$1:$P$1, 0)), perc_75, VLOOKUP(M$2, Percentiles!$A$45:$I$59, 6, FALSE), perc_90, VLOOKUP(M$2, Percentiles!$A$45:$I$59, 7, FALSE), perc_95, VLOOKUP(M$2, Percentiles!$A$45:$I$59, 8, FALSE), perc_85, perc_75 + (perc_90 - perc_75) * (2/3), converted_stat, '2K_Ratings'!M714, IF(bbgm_stat &gt;= perc_95, converted_stat * 3, IF(bbgm_stat &gt;= perc_90, converted_stat * 2, IF(bbgm_stat &gt;= perc_85, converted_stat * 1.5, converted_stat)))))</f>
        <v/>
      </c>
      <c r="N714" s="30" t="str">
        <f t="array" ref="N714">IF($A714="", "", LET(bbgm_stat, INDEX(Players!$A713:$P713, MATCH(N$2, Players!$A$1:$P$1, 0)), perc_75, VLOOKUP(N$2, Percentiles!$A$45:$I$59, 6, FALSE), perc_90, VLOOKUP(N$2, Percentiles!$A$45:$I$59, 7, FALSE), perc_95, VLOOKUP(N$2, Percentiles!$A$45:$I$59, 8, FALSE), perc_85, perc_75 + (perc_90 - perc_75) * (2/3), converted_stat, '2K_Ratings'!N714, IF(bbgm_stat &gt;= perc_95, converted_stat * 3, IF(bbgm_stat &gt;= perc_90, converted_stat * 2, IF(bbgm_stat &gt;= perc_85, converted_stat * 1.5, converted_stat)))))</f>
        <v/>
      </c>
      <c r="O714" s="30" t="str">
        <f t="array" ref="O714">IF($A714="", "", LET(bbgm_stat, INDEX(Players!$A713:$P713, MATCH(O$2, Players!$A$1:$P$1, 0)), perc_75, VLOOKUP(O$2, Percentiles!$A$45:$I$59, 6, FALSE), perc_90, VLOOKUP(O$2, Percentiles!$A$45:$I$59, 7, FALSE), perc_95, VLOOKUP(O$2, Percentiles!$A$45:$I$59, 8, FALSE), perc_85, perc_75 + (perc_90 - perc_75) * (2/3), converted_stat, '2K_Ratings'!O714, IF(bbgm_stat &gt;= perc_95, converted_stat * 3, IF(bbgm_stat &gt;= perc_90, converted_stat * 2, IF(bbgm_stat &gt;= perc_85, converted_stat * 1.5, converted_stat)))))</f>
        <v/>
      </c>
      <c r="P714" s="30" t="str">
        <f t="array" ref="P714">IF($A714="", "", LET(bbgm_stat, INDEX(Players!$A713:$P713, MATCH(P$2, Players!$A$1:$P$1, 0)), perc_75, VLOOKUP(P$2, Percentiles!$A$45:$I$59, 6, FALSE), perc_90, VLOOKUP(P$2, Percentiles!$A$45:$I$59, 7, FALSE), perc_95, VLOOKUP(P$2, Percentiles!$A$45:$I$59, 8, FALSE), perc_85, perc_75 + (perc_90 - perc_75) * (2/3), converted_stat, '2K_Ratings'!P714, IF(bbgm_stat &gt;= perc_95, converted_stat * 3, IF(bbgm_stat &gt;= perc_90, converted_stat * 2, IF(bbgm_stat &gt;= perc_85, converted_stat * 1.5, converted_stat)))))</f>
        <v/>
      </c>
      <c r="Q714" s="30" t="str">
        <f t="array" ref="Q714">IF($A714="", "", LET(bbgm_stat, INDEX(Players!$A713:$P713, MATCH(Q$2, Players!$A$1:$P$1, 0)), perc_75, VLOOKUP(Q$2, Percentiles!$A$45:$I$59, 6, FALSE), perc_90, VLOOKUP(Q$2, Percentiles!$A$45:$I$59, 7, FALSE), perc_95, VLOOKUP(Q$2, Percentiles!$A$45:$I$59, 8, FALSE), perc_85, perc_75 + (perc_90 - perc_75) * (2/3), converted_stat, '2K_Ratings'!Q714, IF(bbgm_stat &gt;= perc_95, converted_stat * 3, IF(bbgm_stat &gt;= perc_90, converted_stat * 2, IF(bbgm_stat &gt;= perc_85, converted_stat * 1.5, converted_stat)))))</f>
        <v/>
      </c>
      <c r="R714" s="30" t="str">
        <f t="array" ref="R714">IF($A714="", "", LET(bbgm_stat, INDEX(Players!$A713:$P713, MATCH(R$2, Players!$A$1:$P$1, 0)), perc_75, VLOOKUP(R$2, Percentiles!$A$45:$I$59, 6, FALSE), perc_90, VLOOKUP(R$2, Percentiles!$A$45:$I$59, 7, FALSE), perc_95, VLOOKUP(R$2, Percentiles!$A$45:$I$59, 8, FALSE), perc_85, perc_75 + (perc_90 - perc_75) * (2/3), converted_stat, '2K_Ratings'!R714, IF(bbgm_stat &gt;= perc_95, converted_stat * 3, IF(bbgm_stat &gt;= perc_90, converted_stat * 2, IF(bbgm_stat &gt;= perc_85, converted_stat * 1.5, converted_stat)))))</f>
        <v/>
      </c>
      <c r="S714" s="30" t="str">
        <f t="array" ref="S714">IF($A714="", "", LET(bbgm_stat, INDEX(Players!$A713:$P713, MATCH(S$2, Players!$A$1:$P$1, 0)), perc_75, VLOOKUP(S$2, Percentiles!$A$45:$I$59, 6, FALSE), perc_90, VLOOKUP(S$2, Percentiles!$A$45:$I$59, 7, FALSE), perc_95, VLOOKUP(S$2, Percentiles!$A$45:$I$59, 8, FALSE), perc_85, perc_75 + (perc_90 - perc_75) * (2/3), converted_stat, '2K_Ratings'!S714, IF(bbgm_stat &gt;= perc_95, converted_stat * 3, IF(bbgm_stat &gt;= perc_90, converted_stat * 2, IF(bbgm_stat &gt;= perc_85, converted_stat * 1.5, converted_stat)))))</f>
        <v/>
      </c>
      <c r="T714" s="30" t="str">
        <f t="array" ref="T714">IF($A714="", "", LET(bbgm_stat, INDEX(Players!$A713:$P713, MATCH(T$2, Players!$A$1:$P$1, 0)), perc_75, VLOOKUP(T$2, Percentiles!$A$45:$I$59, 6, FALSE), perc_90, VLOOKUP(T$2, Percentiles!$A$45:$I$59, 7, FALSE), perc_95, VLOOKUP(T$2, Percentiles!$A$45:$I$59, 8, FALSE), perc_85, perc_75 + (perc_90 - perc_75) * (2/3), converted_stat, '2K_Ratings'!T714, IF(bbgm_stat &gt;= perc_95, converted_stat * 3, IF(bbgm_stat &gt;= perc_90, converted_stat * 2, IF(bbgm_stat &gt;= perc_85, converted_stat * 1.5, converted_stat)))))</f>
        <v/>
      </c>
      <c r="U714" s="30" t="str">
        <f t="array" ref="U714">IF($A714="", "", LET(bbgm_stat, INDEX(Players!$A713:$P713, MATCH(U$2, Players!$A$1:$P$1, 0)), perc_75, VLOOKUP(U$2, Percentiles!$A$45:$I$59, 6, FALSE), perc_90, VLOOKUP(U$2, Percentiles!$A$45:$I$59, 7, FALSE), perc_95, VLOOKUP(U$2, Percentiles!$A$45:$I$59, 8, FALSE), perc_85, perc_75 + (perc_90 - perc_75) * (2/3), converted_stat, '2K_Ratings'!U714, IF(bbgm_stat &gt;= perc_95, converted_stat * 3, IF(bbgm_stat &gt;= perc_90, converted_stat * 2, IF(bbgm_stat &gt;= perc_85, converted_stat * 1.5, converted_stat)))))</f>
        <v/>
      </c>
      <c r="V714" s="30" t="str">
        <f t="array" ref="V714">IF($A714="", "", LET(bbgm_stat, INDEX(Players!$A713:$P713, MATCH(V$2, Players!$A$1:$P$1, 0)), perc_75, VLOOKUP(V$2, Percentiles!$A$45:$I$59, 6, FALSE), perc_90, VLOOKUP(V$2, Percentiles!$A$45:$I$59, 7, FALSE), perc_95, VLOOKUP(V$2, Percentiles!$A$45:$I$59, 8, FALSE), perc_85, perc_75 + (perc_90 - perc_75) * (2/3), converted_stat, '2K_Ratings'!V714, IF(bbgm_stat &gt;= perc_95, converted_stat * 3, IF(bbgm_stat &gt;= perc_90, converted_stat * 2, IF(bbgm_stat &gt;= perc_85, converted_stat * 1.5, converted_stat)))))</f>
        <v/>
      </c>
      <c r="W714" s="30" t="str">
        <f t="array" ref="W714">IF($A714="", "", LET(bbgm_stat, INDEX(Players!$A713:$P713, MATCH(W$2, Players!$A$1:$P$1, 0)), perc_75, VLOOKUP(W$2, Percentiles!$A$45:$I$59, 6, FALSE), perc_90, VLOOKUP(W$2, Percentiles!$A$45:$I$59, 7, FALSE), perc_95, VLOOKUP(W$2, Percentiles!$A$45:$I$59, 8, FALSE), perc_85, perc_75 + (perc_90 - perc_75) * (2/3), converted_stat, '2K_Ratings'!W714, IF(bbgm_stat &gt;= perc_95, converted_stat * 3, IF(bbgm_stat &gt;= perc_90, converted_stat * 2, IF(bbgm_stat &gt;= perc_85, converted_stat * 1.5, converted_stat)))))</f>
        <v/>
      </c>
    </row>
    <row r="715">
      <c r="A715" s="30"/>
      <c r="B715" s="30" t="str">
        <f t="array" ref="B715">IF($A715="", "", LET(bbgm_stat, INDEX(Players!$A714:$P714, MATCH(B$2, Players!$A$1:$P$1, 0)), perc_75, VLOOKUP(B$2, Percentiles!$A$45:$I$59, 6, FALSE), perc_90, VLOOKUP(B$2, Percentiles!$A$45:$I$59, 7, FALSE), perc_95, VLOOKUP(B$2, Percentiles!$A$45:$I$59, 8, FALSE), perc_85, perc_75 + (perc_90 - perc_75) * (2/3), converted_stat, '2K_Ratings'!B715, IF(bbgm_stat &gt;= perc_95, converted_stat * 3, IF(bbgm_stat &gt;= perc_90, converted_stat * 2, IF(bbgm_stat &gt;= perc_85, converted_stat * 1.5, converted_stat)))))</f>
        <v/>
      </c>
      <c r="C715" s="30" t="str">
        <f t="array" ref="C715">IF($A715="", "", LET(bbgm_stat, INDEX(Players!$A714:$P714, MATCH(C$2, Players!$A$1:$P$1, 0)), perc_75, VLOOKUP(C$2, Percentiles!$A$45:$I$59, 6, FALSE), perc_90, VLOOKUP(C$2, Percentiles!$A$45:$I$59, 7, FALSE), perc_95, VLOOKUP(C$2, Percentiles!$A$45:$I$59, 8, FALSE), perc_85, perc_75 + (perc_90 - perc_75) * (2/3), converted_stat, '2K_Ratings'!C715, IF(bbgm_stat &gt;= perc_95, converted_stat * 3, IF(bbgm_stat &gt;= perc_90, converted_stat * 2, IF(bbgm_stat &gt;= perc_85, converted_stat * 1.5, converted_stat)))))</f>
        <v/>
      </c>
      <c r="D715" s="30" t="str">
        <f t="array" ref="D715">IF($A715="", "", LET(bbgm_stat, INDEX(Players!$A714:$P714, MATCH(D$2, Players!$A$1:$P$1, 0)), perc_75, VLOOKUP(D$2, Percentiles!$A$45:$I$59, 6, FALSE), perc_90, VLOOKUP(D$2, Percentiles!$A$45:$I$59, 7, FALSE), perc_95, VLOOKUP(D$2, Percentiles!$A$45:$I$59, 8, FALSE), perc_85, perc_75 + (perc_90 - perc_75) * (2/3), converted_stat, '2K_Ratings'!D715, IF(bbgm_stat &gt;= perc_95, converted_stat * 3, IF(bbgm_stat &gt;= perc_90, converted_stat * 2, IF(bbgm_stat &gt;= perc_85, converted_stat * 1.5, converted_stat)))))</f>
        <v/>
      </c>
      <c r="E715" s="30" t="str">
        <f t="array" ref="E715">IF($A715="", "", LET(bbgm_stat, INDEX(Players!$A714:$P714, MATCH(E$2, Players!$A$1:$P$1, 0)), perc_75, VLOOKUP(E$2, Percentiles!$A$45:$I$59, 6, FALSE), perc_90, VLOOKUP(E$2, Percentiles!$A$45:$I$59, 7, FALSE), perc_95, VLOOKUP(E$2, Percentiles!$A$45:$I$59, 8, FALSE), perc_85, perc_75 + (perc_90 - perc_75) * (2/3), converted_stat, '2K_Ratings'!E715, IF(bbgm_stat &gt;= perc_95, converted_stat * 3, IF(bbgm_stat &gt;= perc_90, converted_stat * 2, IF(bbgm_stat &gt;= perc_85, converted_stat * 1.5, converted_stat)))))</f>
        <v/>
      </c>
      <c r="F715" s="30" t="str">
        <f t="array" ref="F715">IF($A715="", "", LET(bbgm_stat, INDEX(Players!$A714:$P714, MATCH(F$2, Players!$A$1:$P$1, 0)), perc_75, VLOOKUP(F$2, Percentiles!$A$45:$I$59, 6, FALSE), perc_90, VLOOKUP(F$2, Percentiles!$A$45:$I$59, 7, FALSE), perc_95, VLOOKUP(F$2, Percentiles!$A$45:$I$59, 8, FALSE), perc_85, perc_75 + (perc_90 - perc_75) * (2/3), converted_stat, '2K_Ratings'!F715, IF(bbgm_stat &gt;= perc_95, converted_stat * 3, IF(bbgm_stat &gt;= perc_90, converted_stat * 2, IF(bbgm_stat &gt;= perc_85, converted_stat * 1.5, converted_stat)))))</f>
        <v/>
      </c>
      <c r="G715" s="30" t="str">
        <f t="array" ref="G715">IF($A715="", "", LET(bbgm_stat, INDEX(Players!$A714:$P714, MATCH(G$2, Players!$A$1:$P$1, 0)), perc_75, VLOOKUP(G$2, Percentiles!$A$45:$I$59, 6, FALSE), perc_90, VLOOKUP(G$2, Percentiles!$A$45:$I$59, 7, FALSE), perc_95, VLOOKUP(G$2, Percentiles!$A$45:$I$59, 8, FALSE), perc_85, perc_75 + (perc_90 - perc_75) * (2/3), converted_stat, '2K_Ratings'!G715, IF(bbgm_stat &gt;= perc_95, converted_stat * 3, IF(bbgm_stat &gt;= perc_90, converted_stat * 2, IF(bbgm_stat &gt;= perc_85, converted_stat * 1.5, converted_stat)))))</f>
        <v/>
      </c>
      <c r="H715" s="30" t="str">
        <f t="array" ref="H715">IF($A715="", "", LET(bbgm_stat, INDEX(Players!$A714:$P714, MATCH(H$2, Players!$A$1:$P$1, 0)), perc_75, VLOOKUP(H$2, Percentiles!$A$45:$I$59, 6, FALSE), perc_90, VLOOKUP(H$2, Percentiles!$A$45:$I$59, 7, FALSE), perc_95, VLOOKUP(H$2, Percentiles!$A$45:$I$59, 8, FALSE), perc_85, perc_75 + (perc_90 - perc_75) * (2/3), converted_stat, '2K_Ratings'!H715, IF(bbgm_stat &gt;= perc_95, converted_stat * 3, IF(bbgm_stat &gt;= perc_90, converted_stat * 2, IF(bbgm_stat &gt;= perc_85, converted_stat * 1.5, converted_stat)))))</f>
        <v/>
      </c>
      <c r="I715" s="30" t="str">
        <f t="array" ref="I715">IF($A715="", "", LET(bbgm_stat, INDEX(Players!$A714:$P714, MATCH(I$2, Players!$A$1:$P$1, 0)), perc_75, VLOOKUP(I$2, Percentiles!$A$45:$I$59, 6, FALSE), perc_90, VLOOKUP(I$2, Percentiles!$A$45:$I$59, 7, FALSE), perc_95, VLOOKUP(I$2, Percentiles!$A$45:$I$59, 8, FALSE), perc_85, perc_75 + (perc_90 - perc_75) * (2/3), converted_stat, '2K_Ratings'!I715, IF(bbgm_stat &gt;= perc_95, converted_stat * 3, IF(bbgm_stat &gt;= perc_90, converted_stat * 2, IF(bbgm_stat &gt;= perc_85, converted_stat * 1.5, converted_stat)))))</f>
        <v/>
      </c>
      <c r="J715" s="30" t="str">
        <f t="array" ref="J715">IF($A715="", "", LET(bbgm_stat, INDEX(Players!$A714:$P714, MATCH(J$2, Players!$A$1:$P$1, 0)), perc_75, VLOOKUP(J$2, Percentiles!$A$45:$I$59, 6, FALSE), perc_90, VLOOKUP(J$2, Percentiles!$A$45:$I$59, 7, FALSE), perc_95, VLOOKUP(J$2, Percentiles!$A$45:$I$59, 8, FALSE), perc_85, perc_75 + (perc_90 - perc_75) * (2/3), converted_stat, '2K_Ratings'!J715, IF(bbgm_stat &gt;= perc_95, converted_stat * 3, IF(bbgm_stat &gt;= perc_90, converted_stat * 2, IF(bbgm_stat &gt;= perc_85, converted_stat * 1.5, converted_stat)))))</f>
        <v/>
      </c>
      <c r="K715" s="30" t="str">
        <f t="array" ref="K715">IF($A715="", "", LET(bbgm_stat, INDEX(Players!$A714:$P714, MATCH(K$2, Players!$A$1:$P$1, 0)), perc_75, VLOOKUP(K$2, Percentiles!$A$45:$I$59, 6, FALSE), perc_90, VLOOKUP(K$2, Percentiles!$A$45:$I$59, 7, FALSE), perc_95, VLOOKUP(K$2, Percentiles!$A$45:$I$59, 8, FALSE), perc_85, perc_75 + (perc_90 - perc_75) * (2/3), converted_stat, '2K_Ratings'!K715, IF(bbgm_stat &gt;= perc_95, converted_stat * 3, IF(bbgm_stat &gt;= perc_90, converted_stat * 2, IF(bbgm_stat &gt;= perc_85, converted_stat * 1.5, converted_stat)))))</f>
        <v/>
      </c>
      <c r="L715" s="30" t="str">
        <f t="array" ref="L715">IF($A715="", "", LET(bbgm_stat, INDEX(Players!$A714:$P714, MATCH(L$2, Players!$A$1:$P$1, 0)), perc_75, VLOOKUP(L$2, Percentiles!$A$45:$I$59, 6, FALSE), perc_90, VLOOKUP(L$2, Percentiles!$A$45:$I$59, 7, FALSE), perc_95, VLOOKUP(L$2, Percentiles!$A$45:$I$59, 8, FALSE), perc_85, perc_75 + (perc_90 - perc_75) * (2/3), converted_stat, '2K_Ratings'!L715, IF(bbgm_stat &gt;= perc_95, converted_stat * 3, IF(bbgm_stat &gt;= perc_90, converted_stat * 2, IF(bbgm_stat &gt;= perc_85, converted_stat * 1.5, converted_stat)))))</f>
        <v/>
      </c>
      <c r="M715" s="30" t="str">
        <f t="array" ref="M715">IF($A715="", "", LET(bbgm_stat, INDEX(Players!$A714:$P714, MATCH(M$2, Players!$A$1:$P$1, 0)), perc_75, VLOOKUP(M$2, Percentiles!$A$45:$I$59, 6, FALSE), perc_90, VLOOKUP(M$2, Percentiles!$A$45:$I$59, 7, FALSE), perc_95, VLOOKUP(M$2, Percentiles!$A$45:$I$59, 8, FALSE), perc_85, perc_75 + (perc_90 - perc_75) * (2/3), converted_stat, '2K_Ratings'!M715, IF(bbgm_stat &gt;= perc_95, converted_stat * 3, IF(bbgm_stat &gt;= perc_90, converted_stat * 2, IF(bbgm_stat &gt;= perc_85, converted_stat * 1.5, converted_stat)))))</f>
        <v/>
      </c>
      <c r="N715" s="30" t="str">
        <f t="array" ref="N715">IF($A715="", "", LET(bbgm_stat, INDEX(Players!$A714:$P714, MATCH(N$2, Players!$A$1:$P$1, 0)), perc_75, VLOOKUP(N$2, Percentiles!$A$45:$I$59, 6, FALSE), perc_90, VLOOKUP(N$2, Percentiles!$A$45:$I$59, 7, FALSE), perc_95, VLOOKUP(N$2, Percentiles!$A$45:$I$59, 8, FALSE), perc_85, perc_75 + (perc_90 - perc_75) * (2/3), converted_stat, '2K_Ratings'!N715, IF(bbgm_stat &gt;= perc_95, converted_stat * 3, IF(bbgm_stat &gt;= perc_90, converted_stat * 2, IF(bbgm_stat &gt;= perc_85, converted_stat * 1.5, converted_stat)))))</f>
        <v/>
      </c>
      <c r="O715" s="30" t="str">
        <f t="array" ref="O715">IF($A715="", "", LET(bbgm_stat, INDEX(Players!$A714:$P714, MATCH(O$2, Players!$A$1:$P$1, 0)), perc_75, VLOOKUP(O$2, Percentiles!$A$45:$I$59, 6, FALSE), perc_90, VLOOKUP(O$2, Percentiles!$A$45:$I$59, 7, FALSE), perc_95, VLOOKUP(O$2, Percentiles!$A$45:$I$59, 8, FALSE), perc_85, perc_75 + (perc_90 - perc_75) * (2/3), converted_stat, '2K_Ratings'!O715, IF(bbgm_stat &gt;= perc_95, converted_stat * 3, IF(bbgm_stat &gt;= perc_90, converted_stat * 2, IF(bbgm_stat &gt;= perc_85, converted_stat * 1.5, converted_stat)))))</f>
        <v/>
      </c>
      <c r="P715" s="30" t="str">
        <f t="array" ref="P715">IF($A715="", "", LET(bbgm_stat, INDEX(Players!$A714:$P714, MATCH(P$2, Players!$A$1:$P$1, 0)), perc_75, VLOOKUP(P$2, Percentiles!$A$45:$I$59, 6, FALSE), perc_90, VLOOKUP(P$2, Percentiles!$A$45:$I$59, 7, FALSE), perc_95, VLOOKUP(P$2, Percentiles!$A$45:$I$59, 8, FALSE), perc_85, perc_75 + (perc_90 - perc_75) * (2/3), converted_stat, '2K_Ratings'!P715, IF(bbgm_stat &gt;= perc_95, converted_stat * 3, IF(bbgm_stat &gt;= perc_90, converted_stat * 2, IF(bbgm_stat &gt;= perc_85, converted_stat * 1.5, converted_stat)))))</f>
        <v/>
      </c>
      <c r="Q715" s="30" t="str">
        <f t="array" ref="Q715">IF($A715="", "", LET(bbgm_stat, INDEX(Players!$A714:$P714, MATCH(Q$2, Players!$A$1:$P$1, 0)), perc_75, VLOOKUP(Q$2, Percentiles!$A$45:$I$59, 6, FALSE), perc_90, VLOOKUP(Q$2, Percentiles!$A$45:$I$59, 7, FALSE), perc_95, VLOOKUP(Q$2, Percentiles!$A$45:$I$59, 8, FALSE), perc_85, perc_75 + (perc_90 - perc_75) * (2/3), converted_stat, '2K_Ratings'!Q715, IF(bbgm_stat &gt;= perc_95, converted_stat * 3, IF(bbgm_stat &gt;= perc_90, converted_stat * 2, IF(bbgm_stat &gt;= perc_85, converted_stat * 1.5, converted_stat)))))</f>
        <v/>
      </c>
      <c r="R715" s="30" t="str">
        <f t="array" ref="R715">IF($A715="", "", LET(bbgm_stat, INDEX(Players!$A714:$P714, MATCH(R$2, Players!$A$1:$P$1, 0)), perc_75, VLOOKUP(R$2, Percentiles!$A$45:$I$59, 6, FALSE), perc_90, VLOOKUP(R$2, Percentiles!$A$45:$I$59, 7, FALSE), perc_95, VLOOKUP(R$2, Percentiles!$A$45:$I$59, 8, FALSE), perc_85, perc_75 + (perc_90 - perc_75) * (2/3), converted_stat, '2K_Ratings'!R715, IF(bbgm_stat &gt;= perc_95, converted_stat * 3, IF(bbgm_stat &gt;= perc_90, converted_stat * 2, IF(bbgm_stat &gt;= perc_85, converted_stat * 1.5, converted_stat)))))</f>
        <v/>
      </c>
      <c r="S715" s="30" t="str">
        <f t="array" ref="S715">IF($A715="", "", LET(bbgm_stat, INDEX(Players!$A714:$P714, MATCH(S$2, Players!$A$1:$P$1, 0)), perc_75, VLOOKUP(S$2, Percentiles!$A$45:$I$59, 6, FALSE), perc_90, VLOOKUP(S$2, Percentiles!$A$45:$I$59, 7, FALSE), perc_95, VLOOKUP(S$2, Percentiles!$A$45:$I$59, 8, FALSE), perc_85, perc_75 + (perc_90 - perc_75) * (2/3), converted_stat, '2K_Ratings'!S715, IF(bbgm_stat &gt;= perc_95, converted_stat * 3, IF(bbgm_stat &gt;= perc_90, converted_stat * 2, IF(bbgm_stat &gt;= perc_85, converted_stat * 1.5, converted_stat)))))</f>
        <v/>
      </c>
      <c r="T715" s="30" t="str">
        <f t="array" ref="T715">IF($A715="", "", LET(bbgm_stat, INDEX(Players!$A714:$P714, MATCH(T$2, Players!$A$1:$P$1, 0)), perc_75, VLOOKUP(T$2, Percentiles!$A$45:$I$59, 6, FALSE), perc_90, VLOOKUP(T$2, Percentiles!$A$45:$I$59, 7, FALSE), perc_95, VLOOKUP(T$2, Percentiles!$A$45:$I$59, 8, FALSE), perc_85, perc_75 + (perc_90 - perc_75) * (2/3), converted_stat, '2K_Ratings'!T715, IF(bbgm_stat &gt;= perc_95, converted_stat * 3, IF(bbgm_stat &gt;= perc_90, converted_stat * 2, IF(bbgm_stat &gt;= perc_85, converted_stat * 1.5, converted_stat)))))</f>
        <v/>
      </c>
      <c r="U715" s="30" t="str">
        <f t="array" ref="U715">IF($A715="", "", LET(bbgm_stat, INDEX(Players!$A714:$P714, MATCH(U$2, Players!$A$1:$P$1, 0)), perc_75, VLOOKUP(U$2, Percentiles!$A$45:$I$59, 6, FALSE), perc_90, VLOOKUP(U$2, Percentiles!$A$45:$I$59, 7, FALSE), perc_95, VLOOKUP(U$2, Percentiles!$A$45:$I$59, 8, FALSE), perc_85, perc_75 + (perc_90 - perc_75) * (2/3), converted_stat, '2K_Ratings'!U715, IF(bbgm_stat &gt;= perc_95, converted_stat * 3, IF(bbgm_stat &gt;= perc_90, converted_stat * 2, IF(bbgm_stat &gt;= perc_85, converted_stat * 1.5, converted_stat)))))</f>
        <v/>
      </c>
      <c r="V715" s="30" t="str">
        <f t="array" ref="V715">IF($A715="", "", LET(bbgm_stat, INDEX(Players!$A714:$P714, MATCH(V$2, Players!$A$1:$P$1, 0)), perc_75, VLOOKUP(V$2, Percentiles!$A$45:$I$59, 6, FALSE), perc_90, VLOOKUP(V$2, Percentiles!$A$45:$I$59, 7, FALSE), perc_95, VLOOKUP(V$2, Percentiles!$A$45:$I$59, 8, FALSE), perc_85, perc_75 + (perc_90 - perc_75) * (2/3), converted_stat, '2K_Ratings'!V715, IF(bbgm_stat &gt;= perc_95, converted_stat * 3, IF(bbgm_stat &gt;= perc_90, converted_stat * 2, IF(bbgm_stat &gt;= perc_85, converted_stat * 1.5, converted_stat)))))</f>
        <v/>
      </c>
      <c r="W715" s="30" t="str">
        <f t="array" ref="W715">IF($A715="", "", LET(bbgm_stat, INDEX(Players!$A714:$P714, MATCH(W$2, Players!$A$1:$P$1, 0)), perc_75, VLOOKUP(W$2, Percentiles!$A$45:$I$59, 6, FALSE), perc_90, VLOOKUP(W$2, Percentiles!$A$45:$I$59, 7, FALSE), perc_95, VLOOKUP(W$2, Percentiles!$A$45:$I$59, 8, FALSE), perc_85, perc_75 + (perc_90 - perc_75) * (2/3), converted_stat, '2K_Ratings'!W715, IF(bbgm_stat &gt;= perc_95, converted_stat * 3, IF(bbgm_stat &gt;= perc_90, converted_stat * 2, IF(bbgm_stat &gt;= perc_85, converted_stat * 1.5, converted_stat)))))</f>
        <v/>
      </c>
    </row>
    <row r="716">
      <c r="A716" s="30"/>
      <c r="B716" s="30" t="str">
        <f t="array" ref="B716">IF($A716="", "", LET(bbgm_stat, INDEX(Players!$A715:$P715, MATCH(B$2, Players!$A$1:$P$1, 0)), perc_75, VLOOKUP(B$2, Percentiles!$A$45:$I$59, 6, FALSE), perc_90, VLOOKUP(B$2, Percentiles!$A$45:$I$59, 7, FALSE), perc_95, VLOOKUP(B$2, Percentiles!$A$45:$I$59, 8, FALSE), perc_85, perc_75 + (perc_90 - perc_75) * (2/3), converted_stat, '2K_Ratings'!B716, IF(bbgm_stat &gt;= perc_95, converted_stat * 3, IF(bbgm_stat &gt;= perc_90, converted_stat * 2, IF(bbgm_stat &gt;= perc_85, converted_stat * 1.5, converted_stat)))))</f>
        <v/>
      </c>
      <c r="C716" s="30" t="str">
        <f t="array" ref="C716">IF($A716="", "", LET(bbgm_stat, INDEX(Players!$A715:$P715, MATCH(C$2, Players!$A$1:$P$1, 0)), perc_75, VLOOKUP(C$2, Percentiles!$A$45:$I$59, 6, FALSE), perc_90, VLOOKUP(C$2, Percentiles!$A$45:$I$59, 7, FALSE), perc_95, VLOOKUP(C$2, Percentiles!$A$45:$I$59, 8, FALSE), perc_85, perc_75 + (perc_90 - perc_75) * (2/3), converted_stat, '2K_Ratings'!C716, IF(bbgm_stat &gt;= perc_95, converted_stat * 3, IF(bbgm_stat &gt;= perc_90, converted_stat * 2, IF(bbgm_stat &gt;= perc_85, converted_stat * 1.5, converted_stat)))))</f>
        <v/>
      </c>
      <c r="D716" s="30" t="str">
        <f t="array" ref="D716">IF($A716="", "", LET(bbgm_stat, INDEX(Players!$A715:$P715, MATCH(D$2, Players!$A$1:$P$1, 0)), perc_75, VLOOKUP(D$2, Percentiles!$A$45:$I$59, 6, FALSE), perc_90, VLOOKUP(D$2, Percentiles!$A$45:$I$59, 7, FALSE), perc_95, VLOOKUP(D$2, Percentiles!$A$45:$I$59, 8, FALSE), perc_85, perc_75 + (perc_90 - perc_75) * (2/3), converted_stat, '2K_Ratings'!D716, IF(bbgm_stat &gt;= perc_95, converted_stat * 3, IF(bbgm_stat &gt;= perc_90, converted_stat * 2, IF(bbgm_stat &gt;= perc_85, converted_stat * 1.5, converted_stat)))))</f>
        <v/>
      </c>
      <c r="E716" s="30" t="str">
        <f t="array" ref="E716">IF($A716="", "", LET(bbgm_stat, INDEX(Players!$A715:$P715, MATCH(E$2, Players!$A$1:$P$1, 0)), perc_75, VLOOKUP(E$2, Percentiles!$A$45:$I$59, 6, FALSE), perc_90, VLOOKUP(E$2, Percentiles!$A$45:$I$59, 7, FALSE), perc_95, VLOOKUP(E$2, Percentiles!$A$45:$I$59, 8, FALSE), perc_85, perc_75 + (perc_90 - perc_75) * (2/3), converted_stat, '2K_Ratings'!E716, IF(bbgm_stat &gt;= perc_95, converted_stat * 3, IF(bbgm_stat &gt;= perc_90, converted_stat * 2, IF(bbgm_stat &gt;= perc_85, converted_stat * 1.5, converted_stat)))))</f>
        <v/>
      </c>
      <c r="F716" s="30" t="str">
        <f t="array" ref="F716">IF($A716="", "", LET(bbgm_stat, INDEX(Players!$A715:$P715, MATCH(F$2, Players!$A$1:$P$1, 0)), perc_75, VLOOKUP(F$2, Percentiles!$A$45:$I$59, 6, FALSE), perc_90, VLOOKUP(F$2, Percentiles!$A$45:$I$59, 7, FALSE), perc_95, VLOOKUP(F$2, Percentiles!$A$45:$I$59, 8, FALSE), perc_85, perc_75 + (perc_90 - perc_75) * (2/3), converted_stat, '2K_Ratings'!F716, IF(bbgm_stat &gt;= perc_95, converted_stat * 3, IF(bbgm_stat &gt;= perc_90, converted_stat * 2, IF(bbgm_stat &gt;= perc_85, converted_stat * 1.5, converted_stat)))))</f>
        <v/>
      </c>
      <c r="G716" s="30" t="str">
        <f t="array" ref="G716">IF($A716="", "", LET(bbgm_stat, INDEX(Players!$A715:$P715, MATCH(G$2, Players!$A$1:$P$1, 0)), perc_75, VLOOKUP(G$2, Percentiles!$A$45:$I$59, 6, FALSE), perc_90, VLOOKUP(G$2, Percentiles!$A$45:$I$59, 7, FALSE), perc_95, VLOOKUP(G$2, Percentiles!$A$45:$I$59, 8, FALSE), perc_85, perc_75 + (perc_90 - perc_75) * (2/3), converted_stat, '2K_Ratings'!G716, IF(bbgm_stat &gt;= perc_95, converted_stat * 3, IF(bbgm_stat &gt;= perc_90, converted_stat * 2, IF(bbgm_stat &gt;= perc_85, converted_stat * 1.5, converted_stat)))))</f>
        <v/>
      </c>
      <c r="H716" s="30" t="str">
        <f t="array" ref="H716">IF($A716="", "", LET(bbgm_stat, INDEX(Players!$A715:$P715, MATCH(H$2, Players!$A$1:$P$1, 0)), perc_75, VLOOKUP(H$2, Percentiles!$A$45:$I$59, 6, FALSE), perc_90, VLOOKUP(H$2, Percentiles!$A$45:$I$59, 7, FALSE), perc_95, VLOOKUP(H$2, Percentiles!$A$45:$I$59, 8, FALSE), perc_85, perc_75 + (perc_90 - perc_75) * (2/3), converted_stat, '2K_Ratings'!H716, IF(bbgm_stat &gt;= perc_95, converted_stat * 3, IF(bbgm_stat &gt;= perc_90, converted_stat * 2, IF(bbgm_stat &gt;= perc_85, converted_stat * 1.5, converted_stat)))))</f>
        <v/>
      </c>
      <c r="I716" s="30" t="str">
        <f t="array" ref="I716">IF($A716="", "", LET(bbgm_stat, INDEX(Players!$A715:$P715, MATCH(I$2, Players!$A$1:$P$1, 0)), perc_75, VLOOKUP(I$2, Percentiles!$A$45:$I$59, 6, FALSE), perc_90, VLOOKUP(I$2, Percentiles!$A$45:$I$59, 7, FALSE), perc_95, VLOOKUP(I$2, Percentiles!$A$45:$I$59, 8, FALSE), perc_85, perc_75 + (perc_90 - perc_75) * (2/3), converted_stat, '2K_Ratings'!I716, IF(bbgm_stat &gt;= perc_95, converted_stat * 3, IF(bbgm_stat &gt;= perc_90, converted_stat * 2, IF(bbgm_stat &gt;= perc_85, converted_stat * 1.5, converted_stat)))))</f>
        <v/>
      </c>
      <c r="J716" s="30" t="str">
        <f t="array" ref="J716">IF($A716="", "", LET(bbgm_stat, INDEX(Players!$A715:$P715, MATCH(J$2, Players!$A$1:$P$1, 0)), perc_75, VLOOKUP(J$2, Percentiles!$A$45:$I$59, 6, FALSE), perc_90, VLOOKUP(J$2, Percentiles!$A$45:$I$59, 7, FALSE), perc_95, VLOOKUP(J$2, Percentiles!$A$45:$I$59, 8, FALSE), perc_85, perc_75 + (perc_90 - perc_75) * (2/3), converted_stat, '2K_Ratings'!J716, IF(bbgm_stat &gt;= perc_95, converted_stat * 3, IF(bbgm_stat &gt;= perc_90, converted_stat * 2, IF(bbgm_stat &gt;= perc_85, converted_stat * 1.5, converted_stat)))))</f>
        <v/>
      </c>
      <c r="K716" s="30" t="str">
        <f t="array" ref="K716">IF($A716="", "", LET(bbgm_stat, INDEX(Players!$A715:$P715, MATCH(K$2, Players!$A$1:$P$1, 0)), perc_75, VLOOKUP(K$2, Percentiles!$A$45:$I$59, 6, FALSE), perc_90, VLOOKUP(K$2, Percentiles!$A$45:$I$59, 7, FALSE), perc_95, VLOOKUP(K$2, Percentiles!$A$45:$I$59, 8, FALSE), perc_85, perc_75 + (perc_90 - perc_75) * (2/3), converted_stat, '2K_Ratings'!K716, IF(bbgm_stat &gt;= perc_95, converted_stat * 3, IF(bbgm_stat &gt;= perc_90, converted_stat * 2, IF(bbgm_stat &gt;= perc_85, converted_stat * 1.5, converted_stat)))))</f>
        <v/>
      </c>
      <c r="L716" s="30" t="str">
        <f t="array" ref="L716">IF($A716="", "", LET(bbgm_stat, INDEX(Players!$A715:$P715, MATCH(L$2, Players!$A$1:$P$1, 0)), perc_75, VLOOKUP(L$2, Percentiles!$A$45:$I$59, 6, FALSE), perc_90, VLOOKUP(L$2, Percentiles!$A$45:$I$59, 7, FALSE), perc_95, VLOOKUP(L$2, Percentiles!$A$45:$I$59, 8, FALSE), perc_85, perc_75 + (perc_90 - perc_75) * (2/3), converted_stat, '2K_Ratings'!L716, IF(bbgm_stat &gt;= perc_95, converted_stat * 3, IF(bbgm_stat &gt;= perc_90, converted_stat * 2, IF(bbgm_stat &gt;= perc_85, converted_stat * 1.5, converted_stat)))))</f>
        <v/>
      </c>
      <c r="M716" s="30" t="str">
        <f t="array" ref="M716">IF($A716="", "", LET(bbgm_stat, INDEX(Players!$A715:$P715, MATCH(M$2, Players!$A$1:$P$1, 0)), perc_75, VLOOKUP(M$2, Percentiles!$A$45:$I$59, 6, FALSE), perc_90, VLOOKUP(M$2, Percentiles!$A$45:$I$59, 7, FALSE), perc_95, VLOOKUP(M$2, Percentiles!$A$45:$I$59, 8, FALSE), perc_85, perc_75 + (perc_90 - perc_75) * (2/3), converted_stat, '2K_Ratings'!M716, IF(bbgm_stat &gt;= perc_95, converted_stat * 3, IF(bbgm_stat &gt;= perc_90, converted_stat * 2, IF(bbgm_stat &gt;= perc_85, converted_stat * 1.5, converted_stat)))))</f>
        <v/>
      </c>
      <c r="N716" s="30" t="str">
        <f t="array" ref="N716">IF($A716="", "", LET(bbgm_stat, INDEX(Players!$A715:$P715, MATCH(N$2, Players!$A$1:$P$1, 0)), perc_75, VLOOKUP(N$2, Percentiles!$A$45:$I$59, 6, FALSE), perc_90, VLOOKUP(N$2, Percentiles!$A$45:$I$59, 7, FALSE), perc_95, VLOOKUP(N$2, Percentiles!$A$45:$I$59, 8, FALSE), perc_85, perc_75 + (perc_90 - perc_75) * (2/3), converted_stat, '2K_Ratings'!N716, IF(bbgm_stat &gt;= perc_95, converted_stat * 3, IF(bbgm_stat &gt;= perc_90, converted_stat * 2, IF(bbgm_stat &gt;= perc_85, converted_stat * 1.5, converted_stat)))))</f>
        <v/>
      </c>
      <c r="O716" s="30" t="str">
        <f t="array" ref="O716">IF($A716="", "", LET(bbgm_stat, INDEX(Players!$A715:$P715, MATCH(O$2, Players!$A$1:$P$1, 0)), perc_75, VLOOKUP(O$2, Percentiles!$A$45:$I$59, 6, FALSE), perc_90, VLOOKUP(O$2, Percentiles!$A$45:$I$59, 7, FALSE), perc_95, VLOOKUP(O$2, Percentiles!$A$45:$I$59, 8, FALSE), perc_85, perc_75 + (perc_90 - perc_75) * (2/3), converted_stat, '2K_Ratings'!O716, IF(bbgm_stat &gt;= perc_95, converted_stat * 3, IF(bbgm_stat &gt;= perc_90, converted_stat * 2, IF(bbgm_stat &gt;= perc_85, converted_stat * 1.5, converted_stat)))))</f>
        <v/>
      </c>
      <c r="P716" s="30" t="str">
        <f t="array" ref="P716">IF($A716="", "", LET(bbgm_stat, INDEX(Players!$A715:$P715, MATCH(P$2, Players!$A$1:$P$1, 0)), perc_75, VLOOKUP(P$2, Percentiles!$A$45:$I$59, 6, FALSE), perc_90, VLOOKUP(P$2, Percentiles!$A$45:$I$59, 7, FALSE), perc_95, VLOOKUP(P$2, Percentiles!$A$45:$I$59, 8, FALSE), perc_85, perc_75 + (perc_90 - perc_75) * (2/3), converted_stat, '2K_Ratings'!P716, IF(bbgm_stat &gt;= perc_95, converted_stat * 3, IF(bbgm_stat &gt;= perc_90, converted_stat * 2, IF(bbgm_stat &gt;= perc_85, converted_stat * 1.5, converted_stat)))))</f>
        <v/>
      </c>
      <c r="Q716" s="30" t="str">
        <f t="array" ref="Q716">IF($A716="", "", LET(bbgm_stat, INDEX(Players!$A715:$P715, MATCH(Q$2, Players!$A$1:$P$1, 0)), perc_75, VLOOKUP(Q$2, Percentiles!$A$45:$I$59, 6, FALSE), perc_90, VLOOKUP(Q$2, Percentiles!$A$45:$I$59, 7, FALSE), perc_95, VLOOKUP(Q$2, Percentiles!$A$45:$I$59, 8, FALSE), perc_85, perc_75 + (perc_90 - perc_75) * (2/3), converted_stat, '2K_Ratings'!Q716, IF(bbgm_stat &gt;= perc_95, converted_stat * 3, IF(bbgm_stat &gt;= perc_90, converted_stat * 2, IF(bbgm_stat &gt;= perc_85, converted_stat * 1.5, converted_stat)))))</f>
        <v/>
      </c>
      <c r="R716" s="30" t="str">
        <f t="array" ref="R716">IF($A716="", "", LET(bbgm_stat, INDEX(Players!$A715:$P715, MATCH(R$2, Players!$A$1:$P$1, 0)), perc_75, VLOOKUP(R$2, Percentiles!$A$45:$I$59, 6, FALSE), perc_90, VLOOKUP(R$2, Percentiles!$A$45:$I$59, 7, FALSE), perc_95, VLOOKUP(R$2, Percentiles!$A$45:$I$59, 8, FALSE), perc_85, perc_75 + (perc_90 - perc_75) * (2/3), converted_stat, '2K_Ratings'!R716, IF(bbgm_stat &gt;= perc_95, converted_stat * 3, IF(bbgm_stat &gt;= perc_90, converted_stat * 2, IF(bbgm_stat &gt;= perc_85, converted_stat * 1.5, converted_stat)))))</f>
        <v/>
      </c>
      <c r="S716" s="30" t="str">
        <f t="array" ref="S716">IF($A716="", "", LET(bbgm_stat, INDEX(Players!$A715:$P715, MATCH(S$2, Players!$A$1:$P$1, 0)), perc_75, VLOOKUP(S$2, Percentiles!$A$45:$I$59, 6, FALSE), perc_90, VLOOKUP(S$2, Percentiles!$A$45:$I$59, 7, FALSE), perc_95, VLOOKUP(S$2, Percentiles!$A$45:$I$59, 8, FALSE), perc_85, perc_75 + (perc_90 - perc_75) * (2/3), converted_stat, '2K_Ratings'!S716, IF(bbgm_stat &gt;= perc_95, converted_stat * 3, IF(bbgm_stat &gt;= perc_90, converted_stat * 2, IF(bbgm_stat &gt;= perc_85, converted_stat * 1.5, converted_stat)))))</f>
        <v/>
      </c>
      <c r="T716" s="30" t="str">
        <f t="array" ref="T716">IF($A716="", "", LET(bbgm_stat, INDEX(Players!$A715:$P715, MATCH(T$2, Players!$A$1:$P$1, 0)), perc_75, VLOOKUP(T$2, Percentiles!$A$45:$I$59, 6, FALSE), perc_90, VLOOKUP(T$2, Percentiles!$A$45:$I$59, 7, FALSE), perc_95, VLOOKUP(T$2, Percentiles!$A$45:$I$59, 8, FALSE), perc_85, perc_75 + (perc_90 - perc_75) * (2/3), converted_stat, '2K_Ratings'!T716, IF(bbgm_stat &gt;= perc_95, converted_stat * 3, IF(bbgm_stat &gt;= perc_90, converted_stat * 2, IF(bbgm_stat &gt;= perc_85, converted_stat * 1.5, converted_stat)))))</f>
        <v/>
      </c>
      <c r="U716" s="30" t="str">
        <f t="array" ref="U716">IF($A716="", "", LET(bbgm_stat, INDEX(Players!$A715:$P715, MATCH(U$2, Players!$A$1:$P$1, 0)), perc_75, VLOOKUP(U$2, Percentiles!$A$45:$I$59, 6, FALSE), perc_90, VLOOKUP(U$2, Percentiles!$A$45:$I$59, 7, FALSE), perc_95, VLOOKUP(U$2, Percentiles!$A$45:$I$59, 8, FALSE), perc_85, perc_75 + (perc_90 - perc_75) * (2/3), converted_stat, '2K_Ratings'!U716, IF(bbgm_stat &gt;= perc_95, converted_stat * 3, IF(bbgm_stat &gt;= perc_90, converted_stat * 2, IF(bbgm_stat &gt;= perc_85, converted_stat * 1.5, converted_stat)))))</f>
        <v/>
      </c>
      <c r="V716" s="30" t="str">
        <f t="array" ref="V716">IF($A716="", "", LET(bbgm_stat, INDEX(Players!$A715:$P715, MATCH(V$2, Players!$A$1:$P$1, 0)), perc_75, VLOOKUP(V$2, Percentiles!$A$45:$I$59, 6, FALSE), perc_90, VLOOKUP(V$2, Percentiles!$A$45:$I$59, 7, FALSE), perc_95, VLOOKUP(V$2, Percentiles!$A$45:$I$59, 8, FALSE), perc_85, perc_75 + (perc_90 - perc_75) * (2/3), converted_stat, '2K_Ratings'!V716, IF(bbgm_stat &gt;= perc_95, converted_stat * 3, IF(bbgm_stat &gt;= perc_90, converted_stat * 2, IF(bbgm_stat &gt;= perc_85, converted_stat * 1.5, converted_stat)))))</f>
        <v/>
      </c>
      <c r="W716" s="30" t="str">
        <f t="array" ref="W716">IF($A716="", "", LET(bbgm_stat, INDEX(Players!$A715:$P715, MATCH(W$2, Players!$A$1:$P$1, 0)), perc_75, VLOOKUP(W$2, Percentiles!$A$45:$I$59, 6, FALSE), perc_90, VLOOKUP(W$2, Percentiles!$A$45:$I$59, 7, FALSE), perc_95, VLOOKUP(W$2, Percentiles!$A$45:$I$59, 8, FALSE), perc_85, perc_75 + (perc_90 - perc_75) * (2/3), converted_stat, '2K_Ratings'!W716, IF(bbgm_stat &gt;= perc_95, converted_stat * 3, IF(bbgm_stat &gt;= perc_90, converted_stat * 2, IF(bbgm_stat &gt;= perc_85, converted_stat * 1.5, converted_stat)))))</f>
        <v/>
      </c>
    </row>
    <row r="717">
      <c r="A717" s="30"/>
      <c r="B717" s="30" t="str">
        <f t="array" ref="B717">IF($A717="", "", LET(bbgm_stat, INDEX(Players!$A716:$P716, MATCH(B$2, Players!$A$1:$P$1, 0)), perc_75, VLOOKUP(B$2, Percentiles!$A$45:$I$59, 6, FALSE), perc_90, VLOOKUP(B$2, Percentiles!$A$45:$I$59, 7, FALSE), perc_95, VLOOKUP(B$2, Percentiles!$A$45:$I$59, 8, FALSE), perc_85, perc_75 + (perc_90 - perc_75) * (2/3), converted_stat, '2K_Ratings'!B717, IF(bbgm_stat &gt;= perc_95, converted_stat * 3, IF(bbgm_stat &gt;= perc_90, converted_stat * 2, IF(bbgm_stat &gt;= perc_85, converted_stat * 1.5, converted_stat)))))</f>
        <v/>
      </c>
      <c r="C717" s="30" t="str">
        <f t="array" ref="C717">IF($A717="", "", LET(bbgm_stat, INDEX(Players!$A716:$P716, MATCH(C$2, Players!$A$1:$P$1, 0)), perc_75, VLOOKUP(C$2, Percentiles!$A$45:$I$59, 6, FALSE), perc_90, VLOOKUP(C$2, Percentiles!$A$45:$I$59, 7, FALSE), perc_95, VLOOKUP(C$2, Percentiles!$A$45:$I$59, 8, FALSE), perc_85, perc_75 + (perc_90 - perc_75) * (2/3), converted_stat, '2K_Ratings'!C717, IF(bbgm_stat &gt;= perc_95, converted_stat * 3, IF(bbgm_stat &gt;= perc_90, converted_stat * 2, IF(bbgm_stat &gt;= perc_85, converted_stat * 1.5, converted_stat)))))</f>
        <v/>
      </c>
      <c r="D717" s="30" t="str">
        <f t="array" ref="D717">IF($A717="", "", LET(bbgm_stat, INDEX(Players!$A716:$P716, MATCH(D$2, Players!$A$1:$P$1, 0)), perc_75, VLOOKUP(D$2, Percentiles!$A$45:$I$59, 6, FALSE), perc_90, VLOOKUP(D$2, Percentiles!$A$45:$I$59, 7, FALSE), perc_95, VLOOKUP(D$2, Percentiles!$A$45:$I$59, 8, FALSE), perc_85, perc_75 + (perc_90 - perc_75) * (2/3), converted_stat, '2K_Ratings'!D717, IF(bbgm_stat &gt;= perc_95, converted_stat * 3, IF(bbgm_stat &gt;= perc_90, converted_stat * 2, IF(bbgm_stat &gt;= perc_85, converted_stat * 1.5, converted_stat)))))</f>
        <v/>
      </c>
      <c r="E717" s="30" t="str">
        <f t="array" ref="E717">IF($A717="", "", LET(bbgm_stat, INDEX(Players!$A716:$P716, MATCH(E$2, Players!$A$1:$P$1, 0)), perc_75, VLOOKUP(E$2, Percentiles!$A$45:$I$59, 6, FALSE), perc_90, VLOOKUP(E$2, Percentiles!$A$45:$I$59, 7, FALSE), perc_95, VLOOKUP(E$2, Percentiles!$A$45:$I$59, 8, FALSE), perc_85, perc_75 + (perc_90 - perc_75) * (2/3), converted_stat, '2K_Ratings'!E717, IF(bbgm_stat &gt;= perc_95, converted_stat * 3, IF(bbgm_stat &gt;= perc_90, converted_stat * 2, IF(bbgm_stat &gt;= perc_85, converted_stat * 1.5, converted_stat)))))</f>
        <v/>
      </c>
      <c r="F717" s="30" t="str">
        <f t="array" ref="F717">IF($A717="", "", LET(bbgm_stat, INDEX(Players!$A716:$P716, MATCH(F$2, Players!$A$1:$P$1, 0)), perc_75, VLOOKUP(F$2, Percentiles!$A$45:$I$59, 6, FALSE), perc_90, VLOOKUP(F$2, Percentiles!$A$45:$I$59, 7, FALSE), perc_95, VLOOKUP(F$2, Percentiles!$A$45:$I$59, 8, FALSE), perc_85, perc_75 + (perc_90 - perc_75) * (2/3), converted_stat, '2K_Ratings'!F717, IF(bbgm_stat &gt;= perc_95, converted_stat * 3, IF(bbgm_stat &gt;= perc_90, converted_stat * 2, IF(bbgm_stat &gt;= perc_85, converted_stat * 1.5, converted_stat)))))</f>
        <v/>
      </c>
      <c r="G717" s="30" t="str">
        <f t="array" ref="G717">IF($A717="", "", LET(bbgm_stat, INDEX(Players!$A716:$P716, MATCH(G$2, Players!$A$1:$P$1, 0)), perc_75, VLOOKUP(G$2, Percentiles!$A$45:$I$59, 6, FALSE), perc_90, VLOOKUP(G$2, Percentiles!$A$45:$I$59, 7, FALSE), perc_95, VLOOKUP(G$2, Percentiles!$A$45:$I$59, 8, FALSE), perc_85, perc_75 + (perc_90 - perc_75) * (2/3), converted_stat, '2K_Ratings'!G717, IF(bbgm_stat &gt;= perc_95, converted_stat * 3, IF(bbgm_stat &gt;= perc_90, converted_stat * 2, IF(bbgm_stat &gt;= perc_85, converted_stat * 1.5, converted_stat)))))</f>
        <v/>
      </c>
      <c r="H717" s="30" t="str">
        <f t="array" ref="H717">IF($A717="", "", LET(bbgm_stat, INDEX(Players!$A716:$P716, MATCH(H$2, Players!$A$1:$P$1, 0)), perc_75, VLOOKUP(H$2, Percentiles!$A$45:$I$59, 6, FALSE), perc_90, VLOOKUP(H$2, Percentiles!$A$45:$I$59, 7, FALSE), perc_95, VLOOKUP(H$2, Percentiles!$A$45:$I$59, 8, FALSE), perc_85, perc_75 + (perc_90 - perc_75) * (2/3), converted_stat, '2K_Ratings'!H717, IF(bbgm_stat &gt;= perc_95, converted_stat * 3, IF(bbgm_stat &gt;= perc_90, converted_stat * 2, IF(bbgm_stat &gt;= perc_85, converted_stat * 1.5, converted_stat)))))</f>
        <v/>
      </c>
      <c r="I717" s="30" t="str">
        <f t="array" ref="I717">IF($A717="", "", LET(bbgm_stat, INDEX(Players!$A716:$P716, MATCH(I$2, Players!$A$1:$P$1, 0)), perc_75, VLOOKUP(I$2, Percentiles!$A$45:$I$59, 6, FALSE), perc_90, VLOOKUP(I$2, Percentiles!$A$45:$I$59, 7, FALSE), perc_95, VLOOKUP(I$2, Percentiles!$A$45:$I$59, 8, FALSE), perc_85, perc_75 + (perc_90 - perc_75) * (2/3), converted_stat, '2K_Ratings'!I717, IF(bbgm_stat &gt;= perc_95, converted_stat * 3, IF(bbgm_stat &gt;= perc_90, converted_stat * 2, IF(bbgm_stat &gt;= perc_85, converted_stat * 1.5, converted_stat)))))</f>
        <v/>
      </c>
      <c r="J717" s="30" t="str">
        <f t="array" ref="J717">IF($A717="", "", LET(bbgm_stat, INDEX(Players!$A716:$P716, MATCH(J$2, Players!$A$1:$P$1, 0)), perc_75, VLOOKUP(J$2, Percentiles!$A$45:$I$59, 6, FALSE), perc_90, VLOOKUP(J$2, Percentiles!$A$45:$I$59, 7, FALSE), perc_95, VLOOKUP(J$2, Percentiles!$A$45:$I$59, 8, FALSE), perc_85, perc_75 + (perc_90 - perc_75) * (2/3), converted_stat, '2K_Ratings'!J717, IF(bbgm_stat &gt;= perc_95, converted_stat * 3, IF(bbgm_stat &gt;= perc_90, converted_stat * 2, IF(bbgm_stat &gt;= perc_85, converted_stat * 1.5, converted_stat)))))</f>
        <v/>
      </c>
      <c r="K717" s="30" t="str">
        <f t="array" ref="K717">IF($A717="", "", LET(bbgm_stat, INDEX(Players!$A716:$P716, MATCH(K$2, Players!$A$1:$P$1, 0)), perc_75, VLOOKUP(K$2, Percentiles!$A$45:$I$59, 6, FALSE), perc_90, VLOOKUP(K$2, Percentiles!$A$45:$I$59, 7, FALSE), perc_95, VLOOKUP(K$2, Percentiles!$A$45:$I$59, 8, FALSE), perc_85, perc_75 + (perc_90 - perc_75) * (2/3), converted_stat, '2K_Ratings'!K717, IF(bbgm_stat &gt;= perc_95, converted_stat * 3, IF(bbgm_stat &gt;= perc_90, converted_stat * 2, IF(bbgm_stat &gt;= perc_85, converted_stat * 1.5, converted_stat)))))</f>
        <v/>
      </c>
      <c r="L717" s="30" t="str">
        <f t="array" ref="L717">IF($A717="", "", LET(bbgm_stat, INDEX(Players!$A716:$P716, MATCH(L$2, Players!$A$1:$P$1, 0)), perc_75, VLOOKUP(L$2, Percentiles!$A$45:$I$59, 6, FALSE), perc_90, VLOOKUP(L$2, Percentiles!$A$45:$I$59, 7, FALSE), perc_95, VLOOKUP(L$2, Percentiles!$A$45:$I$59, 8, FALSE), perc_85, perc_75 + (perc_90 - perc_75) * (2/3), converted_stat, '2K_Ratings'!L717, IF(bbgm_stat &gt;= perc_95, converted_stat * 3, IF(bbgm_stat &gt;= perc_90, converted_stat * 2, IF(bbgm_stat &gt;= perc_85, converted_stat * 1.5, converted_stat)))))</f>
        <v/>
      </c>
      <c r="M717" s="30" t="str">
        <f t="array" ref="M717">IF($A717="", "", LET(bbgm_stat, INDEX(Players!$A716:$P716, MATCH(M$2, Players!$A$1:$P$1, 0)), perc_75, VLOOKUP(M$2, Percentiles!$A$45:$I$59, 6, FALSE), perc_90, VLOOKUP(M$2, Percentiles!$A$45:$I$59, 7, FALSE), perc_95, VLOOKUP(M$2, Percentiles!$A$45:$I$59, 8, FALSE), perc_85, perc_75 + (perc_90 - perc_75) * (2/3), converted_stat, '2K_Ratings'!M717, IF(bbgm_stat &gt;= perc_95, converted_stat * 3, IF(bbgm_stat &gt;= perc_90, converted_stat * 2, IF(bbgm_stat &gt;= perc_85, converted_stat * 1.5, converted_stat)))))</f>
        <v/>
      </c>
      <c r="N717" s="30" t="str">
        <f t="array" ref="N717">IF($A717="", "", LET(bbgm_stat, INDEX(Players!$A716:$P716, MATCH(N$2, Players!$A$1:$P$1, 0)), perc_75, VLOOKUP(N$2, Percentiles!$A$45:$I$59, 6, FALSE), perc_90, VLOOKUP(N$2, Percentiles!$A$45:$I$59, 7, FALSE), perc_95, VLOOKUP(N$2, Percentiles!$A$45:$I$59, 8, FALSE), perc_85, perc_75 + (perc_90 - perc_75) * (2/3), converted_stat, '2K_Ratings'!N717, IF(bbgm_stat &gt;= perc_95, converted_stat * 3, IF(bbgm_stat &gt;= perc_90, converted_stat * 2, IF(bbgm_stat &gt;= perc_85, converted_stat * 1.5, converted_stat)))))</f>
        <v/>
      </c>
      <c r="O717" s="30" t="str">
        <f t="array" ref="O717">IF($A717="", "", LET(bbgm_stat, INDEX(Players!$A716:$P716, MATCH(O$2, Players!$A$1:$P$1, 0)), perc_75, VLOOKUP(O$2, Percentiles!$A$45:$I$59, 6, FALSE), perc_90, VLOOKUP(O$2, Percentiles!$A$45:$I$59, 7, FALSE), perc_95, VLOOKUP(O$2, Percentiles!$A$45:$I$59, 8, FALSE), perc_85, perc_75 + (perc_90 - perc_75) * (2/3), converted_stat, '2K_Ratings'!O717, IF(bbgm_stat &gt;= perc_95, converted_stat * 3, IF(bbgm_stat &gt;= perc_90, converted_stat * 2, IF(bbgm_stat &gt;= perc_85, converted_stat * 1.5, converted_stat)))))</f>
        <v/>
      </c>
      <c r="P717" s="30" t="str">
        <f t="array" ref="P717">IF($A717="", "", LET(bbgm_stat, INDEX(Players!$A716:$P716, MATCH(P$2, Players!$A$1:$P$1, 0)), perc_75, VLOOKUP(P$2, Percentiles!$A$45:$I$59, 6, FALSE), perc_90, VLOOKUP(P$2, Percentiles!$A$45:$I$59, 7, FALSE), perc_95, VLOOKUP(P$2, Percentiles!$A$45:$I$59, 8, FALSE), perc_85, perc_75 + (perc_90 - perc_75) * (2/3), converted_stat, '2K_Ratings'!P717, IF(bbgm_stat &gt;= perc_95, converted_stat * 3, IF(bbgm_stat &gt;= perc_90, converted_stat * 2, IF(bbgm_stat &gt;= perc_85, converted_stat * 1.5, converted_stat)))))</f>
        <v/>
      </c>
      <c r="Q717" s="30" t="str">
        <f t="array" ref="Q717">IF($A717="", "", LET(bbgm_stat, INDEX(Players!$A716:$P716, MATCH(Q$2, Players!$A$1:$P$1, 0)), perc_75, VLOOKUP(Q$2, Percentiles!$A$45:$I$59, 6, FALSE), perc_90, VLOOKUP(Q$2, Percentiles!$A$45:$I$59, 7, FALSE), perc_95, VLOOKUP(Q$2, Percentiles!$A$45:$I$59, 8, FALSE), perc_85, perc_75 + (perc_90 - perc_75) * (2/3), converted_stat, '2K_Ratings'!Q717, IF(bbgm_stat &gt;= perc_95, converted_stat * 3, IF(bbgm_stat &gt;= perc_90, converted_stat * 2, IF(bbgm_stat &gt;= perc_85, converted_stat * 1.5, converted_stat)))))</f>
        <v/>
      </c>
      <c r="R717" s="30" t="str">
        <f t="array" ref="R717">IF($A717="", "", LET(bbgm_stat, INDEX(Players!$A716:$P716, MATCH(R$2, Players!$A$1:$P$1, 0)), perc_75, VLOOKUP(R$2, Percentiles!$A$45:$I$59, 6, FALSE), perc_90, VLOOKUP(R$2, Percentiles!$A$45:$I$59, 7, FALSE), perc_95, VLOOKUP(R$2, Percentiles!$A$45:$I$59, 8, FALSE), perc_85, perc_75 + (perc_90 - perc_75) * (2/3), converted_stat, '2K_Ratings'!R717, IF(bbgm_stat &gt;= perc_95, converted_stat * 3, IF(bbgm_stat &gt;= perc_90, converted_stat * 2, IF(bbgm_stat &gt;= perc_85, converted_stat * 1.5, converted_stat)))))</f>
        <v/>
      </c>
      <c r="S717" s="30" t="str">
        <f t="array" ref="S717">IF($A717="", "", LET(bbgm_stat, INDEX(Players!$A716:$P716, MATCH(S$2, Players!$A$1:$P$1, 0)), perc_75, VLOOKUP(S$2, Percentiles!$A$45:$I$59, 6, FALSE), perc_90, VLOOKUP(S$2, Percentiles!$A$45:$I$59, 7, FALSE), perc_95, VLOOKUP(S$2, Percentiles!$A$45:$I$59, 8, FALSE), perc_85, perc_75 + (perc_90 - perc_75) * (2/3), converted_stat, '2K_Ratings'!S717, IF(bbgm_stat &gt;= perc_95, converted_stat * 3, IF(bbgm_stat &gt;= perc_90, converted_stat * 2, IF(bbgm_stat &gt;= perc_85, converted_stat * 1.5, converted_stat)))))</f>
        <v/>
      </c>
      <c r="T717" s="30" t="str">
        <f t="array" ref="T717">IF($A717="", "", LET(bbgm_stat, INDEX(Players!$A716:$P716, MATCH(T$2, Players!$A$1:$P$1, 0)), perc_75, VLOOKUP(T$2, Percentiles!$A$45:$I$59, 6, FALSE), perc_90, VLOOKUP(T$2, Percentiles!$A$45:$I$59, 7, FALSE), perc_95, VLOOKUP(T$2, Percentiles!$A$45:$I$59, 8, FALSE), perc_85, perc_75 + (perc_90 - perc_75) * (2/3), converted_stat, '2K_Ratings'!T717, IF(bbgm_stat &gt;= perc_95, converted_stat * 3, IF(bbgm_stat &gt;= perc_90, converted_stat * 2, IF(bbgm_stat &gt;= perc_85, converted_stat * 1.5, converted_stat)))))</f>
        <v/>
      </c>
      <c r="U717" s="30" t="str">
        <f t="array" ref="U717">IF($A717="", "", LET(bbgm_stat, INDEX(Players!$A716:$P716, MATCH(U$2, Players!$A$1:$P$1, 0)), perc_75, VLOOKUP(U$2, Percentiles!$A$45:$I$59, 6, FALSE), perc_90, VLOOKUP(U$2, Percentiles!$A$45:$I$59, 7, FALSE), perc_95, VLOOKUP(U$2, Percentiles!$A$45:$I$59, 8, FALSE), perc_85, perc_75 + (perc_90 - perc_75) * (2/3), converted_stat, '2K_Ratings'!U717, IF(bbgm_stat &gt;= perc_95, converted_stat * 3, IF(bbgm_stat &gt;= perc_90, converted_stat * 2, IF(bbgm_stat &gt;= perc_85, converted_stat * 1.5, converted_stat)))))</f>
        <v/>
      </c>
      <c r="V717" s="30" t="str">
        <f t="array" ref="V717">IF($A717="", "", LET(bbgm_stat, INDEX(Players!$A716:$P716, MATCH(V$2, Players!$A$1:$P$1, 0)), perc_75, VLOOKUP(V$2, Percentiles!$A$45:$I$59, 6, FALSE), perc_90, VLOOKUP(V$2, Percentiles!$A$45:$I$59, 7, FALSE), perc_95, VLOOKUP(V$2, Percentiles!$A$45:$I$59, 8, FALSE), perc_85, perc_75 + (perc_90 - perc_75) * (2/3), converted_stat, '2K_Ratings'!V717, IF(bbgm_stat &gt;= perc_95, converted_stat * 3, IF(bbgm_stat &gt;= perc_90, converted_stat * 2, IF(bbgm_stat &gt;= perc_85, converted_stat * 1.5, converted_stat)))))</f>
        <v/>
      </c>
      <c r="W717" s="30" t="str">
        <f t="array" ref="W717">IF($A717="", "", LET(bbgm_stat, INDEX(Players!$A716:$P716, MATCH(W$2, Players!$A$1:$P$1, 0)), perc_75, VLOOKUP(W$2, Percentiles!$A$45:$I$59, 6, FALSE), perc_90, VLOOKUP(W$2, Percentiles!$A$45:$I$59, 7, FALSE), perc_95, VLOOKUP(W$2, Percentiles!$A$45:$I$59, 8, FALSE), perc_85, perc_75 + (perc_90 - perc_75) * (2/3), converted_stat, '2K_Ratings'!W717, IF(bbgm_stat &gt;= perc_95, converted_stat * 3, IF(bbgm_stat &gt;= perc_90, converted_stat * 2, IF(bbgm_stat &gt;= perc_85, converted_stat * 1.5, converted_stat)))))</f>
        <v/>
      </c>
    </row>
    <row r="718">
      <c r="A718" s="30"/>
      <c r="B718" s="30" t="str">
        <f t="array" ref="B718">IF($A718="", "", LET(bbgm_stat, INDEX(Players!$A717:$P717, MATCH(B$2, Players!$A$1:$P$1, 0)), perc_75, VLOOKUP(B$2, Percentiles!$A$45:$I$59, 6, FALSE), perc_90, VLOOKUP(B$2, Percentiles!$A$45:$I$59, 7, FALSE), perc_95, VLOOKUP(B$2, Percentiles!$A$45:$I$59, 8, FALSE), perc_85, perc_75 + (perc_90 - perc_75) * (2/3), converted_stat, '2K_Ratings'!B718, IF(bbgm_stat &gt;= perc_95, converted_stat * 3, IF(bbgm_stat &gt;= perc_90, converted_stat * 2, IF(bbgm_stat &gt;= perc_85, converted_stat * 1.5, converted_stat)))))</f>
        <v/>
      </c>
      <c r="C718" s="30" t="str">
        <f t="array" ref="C718">IF($A718="", "", LET(bbgm_stat, INDEX(Players!$A717:$P717, MATCH(C$2, Players!$A$1:$P$1, 0)), perc_75, VLOOKUP(C$2, Percentiles!$A$45:$I$59, 6, FALSE), perc_90, VLOOKUP(C$2, Percentiles!$A$45:$I$59, 7, FALSE), perc_95, VLOOKUP(C$2, Percentiles!$A$45:$I$59, 8, FALSE), perc_85, perc_75 + (perc_90 - perc_75) * (2/3), converted_stat, '2K_Ratings'!C718, IF(bbgm_stat &gt;= perc_95, converted_stat * 3, IF(bbgm_stat &gt;= perc_90, converted_stat * 2, IF(bbgm_stat &gt;= perc_85, converted_stat * 1.5, converted_stat)))))</f>
        <v/>
      </c>
      <c r="D718" s="30" t="str">
        <f t="array" ref="D718">IF($A718="", "", LET(bbgm_stat, INDEX(Players!$A717:$P717, MATCH(D$2, Players!$A$1:$P$1, 0)), perc_75, VLOOKUP(D$2, Percentiles!$A$45:$I$59, 6, FALSE), perc_90, VLOOKUP(D$2, Percentiles!$A$45:$I$59, 7, FALSE), perc_95, VLOOKUP(D$2, Percentiles!$A$45:$I$59, 8, FALSE), perc_85, perc_75 + (perc_90 - perc_75) * (2/3), converted_stat, '2K_Ratings'!D718, IF(bbgm_stat &gt;= perc_95, converted_stat * 3, IF(bbgm_stat &gt;= perc_90, converted_stat * 2, IF(bbgm_stat &gt;= perc_85, converted_stat * 1.5, converted_stat)))))</f>
        <v/>
      </c>
      <c r="E718" s="30" t="str">
        <f t="array" ref="E718">IF($A718="", "", LET(bbgm_stat, INDEX(Players!$A717:$P717, MATCH(E$2, Players!$A$1:$P$1, 0)), perc_75, VLOOKUP(E$2, Percentiles!$A$45:$I$59, 6, FALSE), perc_90, VLOOKUP(E$2, Percentiles!$A$45:$I$59, 7, FALSE), perc_95, VLOOKUP(E$2, Percentiles!$A$45:$I$59, 8, FALSE), perc_85, perc_75 + (perc_90 - perc_75) * (2/3), converted_stat, '2K_Ratings'!E718, IF(bbgm_stat &gt;= perc_95, converted_stat * 3, IF(bbgm_stat &gt;= perc_90, converted_stat * 2, IF(bbgm_stat &gt;= perc_85, converted_stat * 1.5, converted_stat)))))</f>
        <v/>
      </c>
      <c r="F718" s="30" t="str">
        <f t="array" ref="F718">IF($A718="", "", LET(bbgm_stat, INDEX(Players!$A717:$P717, MATCH(F$2, Players!$A$1:$P$1, 0)), perc_75, VLOOKUP(F$2, Percentiles!$A$45:$I$59, 6, FALSE), perc_90, VLOOKUP(F$2, Percentiles!$A$45:$I$59, 7, FALSE), perc_95, VLOOKUP(F$2, Percentiles!$A$45:$I$59, 8, FALSE), perc_85, perc_75 + (perc_90 - perc_75) * (2/3), converted_stat, '2K_Ratings'!F718, IF(bbgm_stat &gt;= perc_95, converted_stat * 3, IF(bbgm_stat &gt;= perc_90, converted_stat * 2, IF(bbgm_stat &gt;= perc_85, converted_stat * 1.5, converted_stat)))))</f>
        <v/>
      </c>
      <c r="G718" s="30" t="str">
        <f t="array" ref="G718">IF($A718="", "", LET(bbgm_stat, INDEX(Players!$A717:$P717, MATCH(G$2, Players!$A$1:$P$1, 0)), perc_75, VLOOKUP(G$2, Percentiles!$A$45:$I$59, 6, FALSE), perc_90, VLOOKUP(G$2, Percentiles!$A$45:$I$59, 7, FALSE), perc_95, VLOOKUP(G$2, Percentiles!$A$45:$I$59, 8, FALSE), perc_85, perc_75 + (perc_90 - perc_75) * (2/3), converted_stat, '2K_Ratings'!G718, IF(bbgm_stat &gt;= perc_95, converted_stat * 3, IF(bbgm_stat &gt;= perc_90, converted_stat * 2, IF(bbgm_stat &gt;= perc_85, converted_stat * 1.5, converted_stat)))))</f>
        <v/>
      </c>
      <c r="H718" s="30" t="str">
        <f t="array" ref="H718">IF($A718="", "", LET(bbgm_stat, INDEX(Players!$A717:$P717, MATCH(H$2, Players!$A$1:$P$1, 0)), perc_75, VLOOKUP(H$2, Percentiles!$A$45:$I$59, 6, FALSE), perc_90, VLOOKUP(H$2, Percentiles!$A$45:$I$59, 7, FALSE), perc_95, VLOOKUP(H$2, Percentiles!$A$45:$I$59, 8, FALSE), perc_85, perc_75 + (perc_90 - perc_75) * (2/3), converted_stat, '2K_Ratings'!H718, IF(bbgm_stat &gt;= perc_95, converted_stat * 3, IF(bbgm_stat &gt;= perc_90, converted_stat * 2, IF(bbgm_stat &gt;= perc_85, converted_stat * 1.5, converted_stat)))))</f>
        <v/>
      </c>
      <c r="I718" s="30" t="str">
        <f t="array" ref="I718">IF($A718="", "", LET(bbgm_stat, INDEX(Players!$A717:$P717, MATCH(I$2, Players!$A$1:$P$1, 0)), perc_75, VLOOKUP(I$2, Percentiles!$A$45:$I$59, 6, FALSE), perc_90, VLOOKUP(I$2, Percentiles!$A$45:$I$59, 7, FALSE), perc_95, VLOOKUP(I$2, Percentiles!$A$45:$I$59, 8, FALSE), perc_85, perc_75 + (perc_90 - perc_75) * (2/3), converted_stat, '2K_Ratings'!I718, IF(bbgm_stat &gt;= perc_95, converted_stat * 3, IF(bbgm_stat &gt;= perc_90, converted_stat * 2, IF(bbgm_stat &gt;= perc_85, converted_stat * 1.5, converted_stat)))))</f>
        <v/>
      </c>
      <c r="J718" s="30" t="str">
        <f t="array" ref="J718">IF($A718="", "", LET(bbgm_stat, INDEX(Players!$A717:$P717, MATCH(J$2, Players!$A$1:$P$1, 0)), perc_75, VLOOKUP(J$2, Percentiles!$A$45:$I$59, 6, FALSE), perc_90, VLOOKUP(J$2, Percentiles!$A$45:$I$59, 7, FALSE), perc_95, VLOOKUP(J$2, Percentiles!$A$45:$I$59, 8, FALSE), perc_85, perc_75 + (perc_90 - perc_75) * (2/3), converted_stat, '2K_Ratings'!J718, IF(bbgm_stat &gt;= perc_95, converted_stat * 3, IF(bbgm_stat &gt;= perc_90, converted_stat * 2, IF(bbgm_stat &gt;= perc_85, converted_stat * 1.5, converted_stat)))))</f>
        <v/>
      </c>
      <c r="K718" s="30" t="str">
        <f t="array" ref="K718">IF($A718="", "", LET(bbgm_stat, INDEX(Players!$A717:$P717, MATCH(K$2, Players!$A$1:$P$1, 0)), perc_75, VLOOKUP(K$2, Percentiles!$A$45:$I$59, 6, FALSE), perc_90, VLOOKUP(K$2, Percentiles!$A$45:$I$59, 7, FALSE), perc_95, VLOOKUP(K$2, Percentiles!$A$45:$I$59, 8, FALSE), perc_85, perc_75 + (perc_90 - perc_75) * (2/3), converted_stat, '2K_Ratings'!K718, IF(bbgm_stat &gt;= perc_95, converted_stat * 3, IF(bbgm_stat &gt;= perc_90, converted_stat * 2, IF(bbgm_stat &gt;= perc_85, converted_stat * 1.5, converted_stat)))))</f>
        <v/>
      </c>
      <c r="L718" s="30" t="str">
        <f t="array" ref="L718">IF($A718="", "", LET(bbgm_stat, INDEX(Players!$A717:$P717, MATCH(L$2, Players!$A$1:$P$1, 0)), perc_75, VLOOKUP(L$2, Percentiles!$A$45:$I$59, 6, FALSE), perc_90, VLOOKUP(L$2, Percentiles!$A$45:$I$59, 7, FALSE), perc_95, VLOOKUP(L$2, Percentiles!$A$45:$I$59, 8, FALSE), perc_85, perc_75 + (perc_90 - perc_75) * (2/3), converted_stat, '2K_Ratings'!L718, IF(bbgm_stat &gt;= perc_95, converted_stat * 3, IF(bbgm_stat &gt;= perc_90, converted_stat * 2, IF(bbgm_stat &gt;= perc_85, converted_stat * 1.5, converted_stat)))))</f>
        <v/>
      </c>
      <c r="M718" s="30" t="str">
        <f t="array" ref="M718">IF($A718="", "", LET(bbgm_stat, INDEX(Players!$A717:$P717, MATCH(M$2, Players!$A$1:$P$1, 0)), perc_75, VLOOKUP(M$2, Percentiles!$A$45:$I$59, 6, FALSE), perc_90, VLOOKUP(M$2, Percentiles!$A$45:$I$59, 7, FALSE), perc_95, VLOOKUP(M$2, Percentiles!$A$45:$I$59, 8, FALSE), perc_85, perc_75 + (perc_90 - perc_75) * (2/3), converted_stat, '2K_Ratings'!M718, IF(bbgm_stat &gt;= perc_95, converted_stat * 3, IF(bbgm_stat &gt;= perc_90, converted_stat * 2, IF(bbgm_stat &gt;= perc_85, converted_stat * 1.5, converted_stat)))))</f>
        <v/>
      </c>
      <c r="N718" s="30" t="str">
        <f t="array" ref="N718">IF($A718="", "", LET(bbgm_stat, INDEX(Players!$A717:$P717, MATCH(N$2, Players!$A$1:$P$1, 0)), perc_75, VLOOKUP(N$2, Percentiles!$A$45:$I$59, 6, FALSE), perc_90, VLOOKUP(N$2, Percentiles!$A$45:$I$59, 7, FALSE), perc_95, VLOOKUP(N$2, Percentiles!$A$45:$I$59, 8, FALSE), perc_85, perc_75 + (perc_90 - perc_75) * (2/3), converted_stat, '2K_Ratings'!N718, IF(bbgm_stat &gt;= perc_95, converted_stat * 3, IF(bbgm_stat &gt;= perc_90, converted_stat * 2, IF(bbgm_stat &gt;= perc_85, converted_stat * 1.5, converted_stat)))))</f>
        <v/>
      </c>
      <c r="O718" s="30" t="str">
        <f t="array" ref="O718">IF($A718="", "", LET(bbgm_stat, INDEX(Players!$A717:$P717, MATCH(O$2, Players!$A$1:$P$1, 0)), perc_75, VLOOKUP(O$2, Percentiles!$A$45:$I$59, 6, FALSE), perc_90, VLOOKUP(O$2, Percentiles!$A$45:$I$59, 7, FALSE), perc_95, VLOOKUP(O$2, Percentiles!$A$45:$I$59, 8, FALSE), perc_85, perc_75 + (perc_90 - perc_75) * (2/3), converted_stat, '2K_Ratings'!O718, IF(bbgm_stat &gt;= perc_95, converted_stat * 3, IF(bbgm_stat &gt;= perc_90, converted_stat * 2, IF(bbgm_stat &gt;= perc_85, converted_stat * 1.5, converted_stat)))))</f>
        <v/>
      </c>
      <c r="P718" s="30" t="str">
        <f t="array" ref="P718">IF($A718="", "", LET(bbgm_stat, INDEX(Players!$A717:$P717, MATCH(P$2, Players!$A$1:$P$1, 0)), perc_75, VLOOKUP(P$2, Percentiles!$A$45:$I$59, 6, FALSE), perc_90, VLOOKUP(P$2, Percentiles!$A$45:$I$59, 7, FALSE), perc_95, VLOOKUP(P$2, Percentiles!$A$45:$I$59, 8, FALSE), perc_85, perc_75 + (perc_90 - perc_75) * (2/3), converted_stat, '2K_Ratings'!P718, IF(bbgm_stat &gt;= perc_95, converted_stat * 3, IF(bbgm_stat &gt;= perc_90, converted_stat * 2, IF(bbgm_stat &gt;= perc_85, converted_stat * 1.5, converted_stat)))))</f>
        <v/>
      </c>
      <c r="Q718" s="30" t="str">
        <f t="array" ref="Q718">IF($A718="", "", LET(bbgm_stat, INDEX(Players!$A717:$P717, MATCH(Q$2, Players!$A$1:$P$1, 0)), perc_75, VLOOKUP(Q$2, Percentiles!$A$45:$I$59, 6, FALSE), perc_90, VLOOKUP(Q$2, Percentiles!$A$45:$I$59, 7, FALSE), perc_95, VLOOKUP(Q$2, Percentiles!$A$45:$I$59, 8, FALSE), perc_85, perc_75 + (perc_90 - perc_75) * (2/3), converted_stat, '2K_Ratings'!Q718, IF(bbgm_stat &gt;= perc_95, converted_stat * 3, IF(bbgm_stat &gt;= perc_90, converted_stat * 2, IF(bbgm_stat &gt;= perc_85, converted_stat * 1.5, converted_stat)))))</f>
        <v/>
      </c>
      <c r="R718" s="30" t="str">
        <f t="array" ref="R718">IF($A718="", "", LET(bbgm_stat, INDEX(Players!$A717:$P717, MATCH(R$2, Players!$A$1:$P$1, 0)), perc_75, VLOOKUP(R$2, Percentiles!$A$45:$I$59, 6, FALSE), perc_90, VLOOKUP(R$2, Percentiles!$A$45:$I$59, 7, FALSE), perc_95, VLOOKUP(R$2, Percentiles!$A$45:$I$59, 8, FALSE), perc_85, perc_75 + (perc_90 - perc_75) * (2/3), converted_stat, '2K_Ratings'!R718, IF(bbgm_stat &gt;= perc_95, converted_stat * 3, IF(bbgm_stat &gt;= perc_90, converted_stat * 2, IF(bbgm_stat &gt;= perc_85, converted_stat * 1.5, converted_stat)))))</f>
        <v/>
      </c>
      <c r="S718" s="30" t="str">
        <f t="array" ref="S718">IF($A718="", "", LET(bbgm_stat, INDEX(Players!$A717:$P717, MATCH(S$2, Players!$A$1:$P$1, 0)), perc_75, VLOOKUP(S$2, Percentiles!$A$45:$I$59, 6, FALSE), perc_90, VLOOKUP(S$2, Percentiles!$A$45:$I$59, 7, FALSE), perc_95, VLOOKUP(S$2, Percentiles!$A$45:$I$59, 8, FALSE), perc_85, perc_75 + (perc_90 - perc_75) * (2/3), converted_stat, '2K_Ratings'!S718, IF(bbgm_stat &gt;= perc_95, converted_stat * 3, IF(bbgm_stat &gt;= perc_90, converted_stat * 2, IF(bbgm_stat &gt;= perc_85, converted_stat * 1.5, converted_stat)))))</f>
        <v/>
      </c>
      <c r="T718" s="30" t="str">
        <f t="array" ref="T718">IF($A718="", "", LET(bbgm_stat, INDEX(Players!$A717:$P717, MATCH(T$2, Players!$A$1:$P$1, 0)), perc_75, VLOOKUP(T$2, Percentiles!$A$45:$I$59, 6, FALSE), perc_90, VLOOKUP(T$2, Percentiles!$A$45:$I$59, 7, FALSE), perc_95, VLOOKUP(T$2, Percentiles!$A$45:$I$59, 8, FALSE), perc_85, perc_75 + (perc_90 - perc_75) * (2/3), converted_stat, '2K_Ratings'!T718, IF(bbgm_stat &gt;= perc_95, converted_stat * 3, IF(bbgm_stat &gt;= perc_90, converted_stat * 2, IF(bbgm_stat &gt;= perc_85, converted_stat * 1.5, converted_stat)))))</f>
        <v/>
      </c>
      <c r="U718" s="30" t="str">
        <f t="array" ref="U718">IF($A718="", "", LET(bbgm_stat, INDEX(Players!$A717:$P717, MATCH(U$2, Players!$A$1:$P$1, 0)), perc_75, VLOOKUP(U$2, Percentiles!$A$45:$I$59, 6, FALSE), perc_90, VLOOKUP(U$2, Percentiles!$A$45:$I$59, 7, FALSE), perc_95, VLOOKUP(U$2, Percentiles!$A$45:$I$59, 8, FALSE), perc_85, perc_75 + (perc_90 - perc_75) * (2/3), converted_stat, '2K_Ratings'!U718, IF(bbgm_stat &gt;= perc_95, converted_stat * 3, IF(bbgm_stat &gt;= perc_90, converted_stat * 2, IF(bbgm_stat &gt;= perc_85, converted_stat * 1.5, converted_stat)))))</f>
        <v/>
      </c>
      <c r="V718" s="30" t="str">
        <f t="array" ref="V718">IF($A718="", "", LET(bbgm_stat, INDEX(Players!$A717:$P717, MATCH(V$2, Players!$A$1:$P$1, 0)), perc_75, VLOOKUP(V$2, Percentiles!$A$45:$I$59, 6, FALSE), perc_90, VLOOKUP(V$2, Percentiles!$A$45:$I$59, 7, FALSE), perc_95, VLOOKUP(V$2, Percentiles!$A$45:$I$59, 8, FALSE), perc_85, perc_75 + (perc_90 - perc_75) * (2/3), converted_stat, '2K_Ratings'!V718, IF(bbgm_stat &gt;= perc_95, converted_stat * 3, IF(bbgm_stat &gt;= perc_90, converted_stat * 2, IF(bbgm_stat &gt;= perc_85, converted_stat * 1.5, converted_stat)))))</f>
        <v/>
      </c>
      <c r="W718" s="30" t="str">
        <f t="array" ref="W718">IF($A718="", "", LET(bbgm_stat, INDEX(Players!$A717:$P717, MATCH(W$2, Players!$A$1:$P$1, 0)), perc_75, VLOOKUP(W$2, Percentiles!$A$45:$I$59, 6, FALSE), perc_90, VLOOKUP(W$2, Percentiles!$A$45:$I$59, 7, FALSE), perc_95, VLOOKUP(W$2, Percentiles!$A$45:$I$59, 8, FALSE), perc_85, perc_75 + (perc_90 - perc_75) * (2/3), converted_stat, '2K_Ratings'!W718, IF(bbgm_stat &gt;= perc_95, converted_stat * 3, IF(bbgm_stat &gt;= perc_90, converted_stat * 2, IF(bbgm_stat &gt;= perc_85, converted_stat * 1.5, converted_stat)))))</f>
        <v/>
      </c>
    </row>
    <row r="719">
      <c r="A719" s="30"/>
      <c r="B719" s="30" t="str">
        <f t="array" ref="B719">IF($A719="", "", LET(bbgm_stat, INDEX(Players!$A718:$P718, MATCH(B$2, Players!$A$1:$P$1, 0)), perc_75, VLOOKUP(B$2, Percentiles!$A$45:$I$59, 6, FALSE), perc_90, VLOOKUP(B$2, Percentiles!$A$45:$I$59, 7, FALSE), perc_95, VLOOKUP(B$2, Percentiles!$A$45:$I$59, 8, FALSE), perc_85, perc_75 + (perc_90 - perc_75) * (2/3), converted_stat, '2K_Ratings'!B719, IF(bbgm_stat &gt;= perc_95, converted_stat * 3, IF(bbgm_stat &gt;= perc_90, converted_stat * 2, IF(bbgm_stat &gt;= perc_85, converted_stat * 1.5, converted_stat)))))</f>
        <v/>
      </c>
      <c r="C719" s="30" t="str">
        <f t="array" ref="C719">IF($A719="", "", LET(bbgm_stat, INDEX(Players!$A718:$P718, MATCH(C$2, Players!$A$1:$P$1, 0)), perc_75, VLOOKUP(C$2, Percentiles!$A$45:$I$59, 6, FALSE), perc_90, VLOOKUP(C$2, Percentiles!$A$45:$I$59, 7, FALSE), perc_95, VLOOKUP(C$2, Percentiles!$A$45:$I$59, 8, FALSE), perc_85, perc_75 + (perc_90 - perc_75) * (2/3), converted_stat, '2K_Ratings'!C719, IF(bbgm_stat &gt;= perc_95, converted_stat * 3, IF(bbgm_stat &gt;= perc_90, converted_stat * 2, IF(bbgm_stat &gt;= perc_85, converted_stat * 1.5, converted_stat)))))</f>
        <v/>
      </c>
      <c r="D719" s="30" t="str">
        <f t="array" ref="D719">IF($A719="", "", LET(bbgm_stat, INDEX(Players!$A718:$P718, MATCH(D$2, Players!$A$1:$P$1, 0)), perc_75, VLOOKUP(D$2, Percentiles!$A$45:$I$59, 6, FALSE), perc_90, VLOOKUP(D$2, Percentiles!$A$45:$I$59, 7, FALSE), perc_95, VLOOKUP(D$2, Percentiles!$A$45:$I$59, 8, FALSE), perc_85, perc_75 + (perc_90 - perc_75) * (2/3), converted_stat, '2K_Ratings'!D719, IF(bbgm_stat &gt;= perc_95, converted_stat * 3, IF(bbgm_stat &gt;= perc_90, converted_stat * 2, IF(bbgm_stat &gt;= perc_85, converted_stat * 1.5, converted_stat)))))</f>
        <v/>
      </c>
      <c r="E719" s="30" t="str">
        <f t="array" ref="E719">IF($A719="", "", LET(bbgm_stat, INDEX(Players!$A718:$P718, MATCH(E$2, Players!$A$1:$P$1, 0)), perc_75, VLOOKUP(E$2, Percentiles!$A$45:$I$59, 6, FALSE), perc_90, VLOOKUP(E$2, Percentiles!$A$45:$I$59, 7, FALSE), perc_95, VLOOKUP(E$2, Percentiles!$A$45:$I$59, 8, FALSE), perc_85, perc_75 + (perc_90 - perc_75) * (2/3), converted_stat, '2K_Ratings'!E719, IF(bbgm_stat &gt;= perc_95, converted_stat * 3, IF(bbgm_stat &gt;= perc_90, converted_stat * 2, IF(bbgm_stat &gt;= perc_85, converted_stat * 1.5, converted_stat)))))</f>
        <v/>
      </c>
      <c r="F719" s="30" t="str">
        <f t="array" ref="F719">IF($A719="", "", LET(bbgm_stat, INDEX(Players!$A718:$P718, MATCH(F$2, Players!$A$1:$P$1, 0)), perc_75, VLOOKUP(F$2, Percentiles!$A$45:$I$59, 6, FALSE), perc_90, VLOOKUP(F$2, Percentiles!$A$45:$I$59, 7, FALSE), perc_95, VLOOKUP(F$2, Percentiles!$A$45:$I$59, 8, FALSE), perc_85, perc_75 + (perc_90 - perc_75) * (2/3), converted_stat, '2K_Ratings'!F719, IF(bbgm_stat &gt;= perc_95, converted_stat * 3, IF(bbgm_stat &gt;= perc_90, converted_stat * 2, IF(bbgm_stat &gt;= perc_85, converted_stat * 1.5, converted_stat)))))</f>
        <v/>
      </c>
      <c r="G719" s="30" t="str">
        <f t="array" ref="G719">IF($A719="", "", LET(bbgm_stat, INDEX(Players!$A718:$P718, MATCH(G$2, Players!$A$1:$P$1, 0)), perc_75, VLOOKUP(G$2, Percentiles!$A$45:$I$59, 6, FALSE), perc_90, VLOOKUP(G$2, Percentiles!$A$45:$I$59, 7, FALSE), perc_95, VLOOKUP(G$2, Percentiles!$A$45:$I$59, 8, FALSE), perc_85, perc_75 + (perc_90 - perc_75) * (2/3), converted_stat, '2K_Ratings'!G719, IF(bbgm_stat &gt;= perc_95, converted_stat * 3, IF(bbgm_stat &gt;= perc_90, converted_stat * 2, IF(bbgm_stat &gt;= perc_85, converted_stat * 1.5, converted_stat)))))</f>
        <v/>
      </c>
      <c r="H719" s="30" t="str">
        <f t="array" ref="H719">IF($A719="", "", LET(bbgm_stat, INDEX(Players!$A718:$P718, MATCH(H$2, Players!$A$1:$P$1, 0)), perc_75, VLOOKUP(H$2, Percentiles!$A$45:$I$59, 6, FALSE), perc_90, VLOOKUP(H$2, Percentiles!$A$45:$I$59, 7, FALSE), perc_95, VLOOKUP(H$2, Percentiles!$A$45:$I$59, 8, FALSE), perc_85, perc_75 + (perc_90 - perc_75) * (2/3), converted_stat, '2K_Ratings'!H719, IF(bbgm_stat &gt;= perc_95, converted_stat * 3, IF(bbgm_stat &gt;= perc_90, converted_stat * 2, IF(bbgm_stat &gt;= perc_85, converted_stat * 1.5, converted_stat)))))</f>
        <v/>
      </c>
      <c r="I719" s="30" t="str">
        <f t="array" ref="I719">IF($A719="", "", LET(bbgm_stat, INDEX(Players!$A718:$P718, MATCH(I$2, Players!$A$1:$P$1, 0)), perc_75, VLOOKUP(I$2, Percentiles!$A$45:$I$59, 6, FALSE), perc_90, VLOOKUP(I$2, Percentiles!$A$45:$I$59, 7, FALSE), perc_95, VLOOKUP(I$2, Percentiles!$A$45:$I$59, 8, FALSE), perc_85, perc_75 + (perc_90 - perc_75) * (2/3), converted_stat, '2K_Ratings'!I719, IF(bbgm_stat &gt;= perc_95, converted_stat * 3, IF(bbgm_stat &gt;= perc_90, converted_stat * 2, IF(bbgm_stat &gt;= perc_85, converted_stat * 1.5, converted_stat)))))</f>
        <v/>
      </c>
      <c r="J719" s="30" t="str">
        <f t="array" ref="J719">IF($A719="", "", LET(bbgm_stat, INDEX(Players!$A718:$P718, MATCH(J$2, Players!$A$1:$P$1, 0)), perc_75, VLOOKUP(J$2, Percentiles!$A$45:$I$59, 6, FALSE), perc_90, VLOOKUP(J$2, Percentiles!$A$45:$I$59, 7, FALSE), perc_95, VLOOKUP(J$2, Percentiles!$A$45:$I$59, 8, FALSE), perc_85, perc_75 + (perc_90 - perc_75) * (2/3), converted_stat, '2K_Ratings'!J719, IF(bbgm_stat &gt;= perc_95, converted_stat * 3, IF(bbgm_stat &gt;= perc_90, converted_stat * 2, IF(bbgm_stat &gt;= perc_85, converted_stat * 1.5, converted_stat)))))</f>
        <v/>
      </c>
      <c r="K719" s="30" t="str">
        <f t="array" ref="K719">IF($A719="", "", LET(bbgm_stat, INDEX(Players!$A718:$P718, MATCH(K$2, Players!$A$1:$P$1, 0)), perc_75, VLOOKUP(K$2, Percentiles!$A$45:$I$59, 6, FALSE), perc_90, VLOOKUP(K$2, Percentiles!$A$45:$I$59, 7, FALSE), perc_95, VLOOKUP(K$2, Percentiles!$A$45:$I$59, 8, FALSE), perc_85, perc_75 + (perc_90 - perc_75) * (2/3), converted_stat, '2K_Ratings'!K719, IF(bbgm_stat &gt;= perc_95, converted_stat * 3, IF(bbgm_stat &gt;= perc_90, converted_stat * 2, IF(bbgm_stat &gt;= perc_85, converted_stat * 1.5, converted_stat)))))</f>
        <v/>
      </c>
      <c r="L719" s="30" t="str">
        <f t="array" ref="L719">IF($A719="", "", LET(bbgm_stat, INDEX(Players!$A718:$P718, MATCH(L$2, Players!$A$1:$P$1, 0)), perc_75, VLOOKUP(L$2, Percentiles!$A$45:$I$59, 6, FALSE), perc_90, VLOOKUP(L$2, Percentiles!$A$45:$I$59, 7, FALSE), perc_95, VLOOKUP(L$2, Percentiles!$A$45:$I$59, 8, FALSE), perc_85, perc_75 + (perc_90 - perc_75) * (2/3), converted_stat, '2K_Ratings'!L719, IF(bbgm_stat &gt;= perc_95, converted_stat * 3, IF(bbgm_stat &gt;= perc_90, converted_stat * 2, IF(bbgm_stat &gt;= perc_85, converted_stat * 1.5, converted_stat)))))</f>
        <v/>
      </c>
      <c r="M719" s="30" t="str">
        <f t="array" ref="M719">IF($A719="", "", LET(bbgm_stat, INDEX(Players!$A718:$P718, MATCH(M$2, Players!$A$1:$P$1, 0)), perc_75, VLOOKUP(M$2, Percentiles!$A$45:$I$59, 6, FALSE), perc_90, VLOOKUP(M$2, Percentiles!$A$45:$I$59, 7, FALSE), perc_95, VLOOKUP(M$2, Percentiles!$A$45:$I$59, 8, FALSE), perc_85, perc_75 + (perc_90 - perc_75) * (2/3), converted_stat, '2K_Ratings'!M719, IF(bbgm_stat &gt;= perc_95, converted_stat * 3, IF(bbgm_stat &gt;= perc_90, converted_stat * 2, IF(bbgm_stat &gt;= perc_85, converted_stat * 1.5, converted_stat)))))</f>
        <v/>
      </c>
      <c r="N719" s="30" t="str">
        <f t="array" ref="N719">IF($A719="", "", LET(bbgm_stat, INDEX(Players!$A718:$P718, MATCH(N$2, Players!$A$1:$P$1, 0)), perc_75, VLOOKUP(N$2, Percentiles!$A$45:$I$59, 6, FALSE), perc_90, VLOOKUP(N$2, Percentiles!$A$45:$I$59, 7, FALSE), perc_95, VLOOKUP(N$2, Percentiles!$A$45:$I$59, 8, FALSE), perc_85, perc_75 + (perc_90 - perc_75) * (2/3), converted_stat, '2K_Ratings'!N719, IF(bbgm_stat &gt;= perc_95, converted_stat * 3, IF(bbgm_stat &gt;= perc_90, converted_stat * 2, IF(bbgm_stat &gt;= perc_85, converted_stat * 1.5, converted_stat)))))</f>
        <v/>
      </c>
      <c r="O719" s="30" t="str">
        <f t="array" ref="O719">IF($A719="", "", LET(bbgm_stat, INDEX(Players!$A718:$P718, MATCH(O$2, Players!$A$1:$P$1, 0)), perc_75, VLOOKUP(O$2, Percentiles!$A$45:$I$59, 6, FALSE), perc_90, VLOOKUP(O$2, Percentiles!$A$45:$I$59, 7, FALSE), perc_95, VLOOKUP(O$2, Percentiles!$A$45:$I$59, 8, FALSE), perc_85, perc_75 + (perc_90 - perc_75) * (2/3), converted_stat, '2K_Ratings'!O719, IF(bbgm_stat &gt;= perc_95, converted_stat * 3, IF(bbgm_stat &gt;= perc_90, converted_stat * 2, IF(bbgm_stat &gt;= perc_85, converted_stat * 1.5, converted_stat)))))</f>
        <v/>
      </c>
      <c r="P719" s="30" t="str">
        <f t="array" ref="P719">IF($A719="", "", LET(bbgm_stat, INDEX(Players!$A718:$P718, MATCH(P$2, Players!$A$1:$P$1, 0)), perc_75, VLOOKUP(P$2, Percentiles!$A$45:$I$59, 6, FALSE), perc_90, VLOOKUP(P$2, Percentiles!$A$45:$I$59, 7, FALSE), perc_95, VLOOKUP(P$2, Percentiles!$A$45:$I$59, 8, FALSE), perc_85, perc_75 + (perc_90 - perc_75) * (2/3), converted_stat, '2K_Ratings'!P719, IF(bbgm_stat &gt;= perc_95, converted_stat * 3, IF(bbgm_stat &gt;= perc_90, converted_stat * 2, IF(bbgm_stat &gt;= perc_85, converted_stat * 1.5, converted_stat)))))</f>
        <v/>
      </c>
      <c r="Q719" s="30" t="str">
        <f t="array" ref="Q719">IF($A719="", "", LET(bbgm_stat, INDEX(Players!$A718:$P718, MATCH(Q$2, Players!$A$1:$P$1, 0)), perc_75, VLOOKUP(Q$2, Percentiles!$A$45:$I$59, 6, FALSE), perc_90, VLOOKUP(Q$2, Percentiles!$A$45:$I$59, 7, FALSE), perc_95, VLOOKUP(Q$2, Percentiles!$A$45:$I$59, 8, FALSE), perc_85, perc_75 + (perc_90 - perc_75) * (2/3), converted_stat, '2K_Ratings'!Q719, IF(bbgm_stat &gt;= perc_95, converted_stat * 3, IF(bbgm_stat &gt;= perc_90, converted_stat * 2, IF(bbgm_stat &gt;= perc_85, converted_stat * 1.5, converted_stat)))))</f>
        <v/>
      </c>
      <c r="R719" s="30" t="str">
        <f t="array" ref="R719">IF($A719="", "", LET(bbgm_stat, INDEX(Players!$A718:$P718, MATCH(R$2, Players!$A$1:$P$1, 0)), perc_75, VLOOKUP(R$2, Percentiles!$A$45:$I$59, 6, FALSE), perc_90, VLOOKUP(R$2, Percentiles!$A$45:$I$59, 7, FALSE), perc_95, VLOOKUP(R$2, Percentiles!$A$45:$I$59, 8, FALSE), perc_85, perc_75 + (perc_90 - perc_75) * (2/3), converted_stat, '2K_Ratings'!R719, IF(bbgm_stat &gt;= perc_95, converted_stat * 3, IF(bbgm_stat &gt;= perc_90, converted_stat * 2, IF(bbgm_stat &gt;= perc_85, converted_stat * 1.5, converted_stat)))))</f>
        <v/>
      </c>
      <c r="S719" s="30" t="str">
        <f t="array" ref="S719">IF($A719="", "", LET(bbgm_stat, INDEX(Players!$A718:$P718, MATCH(S$2, Players!$A$1:$P$1, 0)), perc_75, VLOOKUP(S$2, Percentiles!$A$45:$I$59, 6, FALSE), perc_90, VLOOKUP(S$2, Percentiles!$A$45:$I$59, 7, FALSE), perc_95, VLOOKUP(S$2, Percentiles!$A$45:$I$59, 8, FALSE), perc_85, perc_75 + (perc_90 - perc_75) * (2/3), converted_stat, '2K_Ratings'!S719, IF(bbgm_stat &gt;= perc_95, converted_stat * 3, IF(bbgm_stat &gt;= perc_90, converted_stat * 2, IF(bbgm_stat &gt;= perc_85, converted_stat * 1.5, converted_stat)))))</f>
        <v/>
      </c>
      <c r="T719" s="30" t="str">
        <f t="array" ref="T719">IF($A719="", "", LET(bbgm_stat, INDEX(Players!$A718:$P718, MATCH(T$2, Players!$A$1:$P$1, 0)), perc_75, VLOOKUP(T$2, Percentiles!$A$45:$I$59, 6, FALSE), perc_90, VLOOKUP(T$2, Percentiles!$A$45:$I$59, 7, FALSE), perc_95, VLOOKUP(T$2, Percentiles!$A$45:$I$59, 8, FALSE), perc_85, perc_75 + (perc_90 - perc_75) * (2/3), converted_stat, '2K_Ratings'!T719, IF(bbgm_stat &gt;= perc_95, converted_stat * 3, IF(bbgm_stat &gt;= perc_90, converted_stat * 2, IF(bbgm_stat &gt;= perc_85, converted_stat * 1.5, converted_stat)))))</f>
        <v/>
      </c>
      <c r="U719" s="30" t="str">
        <f t="array" ref="U719">IF($A719="", "", LET(bbgm_stat, INDEX(Players!$A718:$P718, MATCH(U$2, Players!$A$1:$P$1, 0)), perc_75, VLOOKUP(U$2, Percentiles!$A$45:$I$59, 6, FALSE), perc_90, VLOOKUP(U$2, Percentiles!$A$45:$I$59, 7, FALSE), perc_95, VLOOKUP(U$2, Percentiles!$A$45:$I$59, 8, FALSE), perc_85, perc_75 + (perc_90 - perc_75) * (2/3), converted_stat, '2K_Ratings'!U719, IF(bbgm_stat &gt;= perc_95, converted_stat * 3, IF(bbgm_stat &gt;= perc_90, converted_stat * 2, IF(bbgm_stat &gt;= perc_85, converted_stat * 1.5, converted_stat)))))</f>
        <v/>
      </c>
      <c r="V719" s="30" t="str">
        <f t="array" ref="V719">IF($A719="", "", LET(bbgm_stat, INDEX(Players!$A718:$P718, MATCH(V$2, Players!$A$1:$P$1, 0)), perc_75, VLOOKUP(V$2, Percentiles!$A$45:$I$59, 6, FALSE), perc_90, VLOOKUP(V$2, Percentiles!$A$45:$I$59, 7, FALSE), perc_95, VLOOKUP(V$2, Percentiles!$A$45:$I$59, 8, FALSE), perc_85, perc_75 + (perc_90 - perc_75) * (2/3), converted_stat, '2K_Ratings'!V719, IF(bbgm_stat &gt;= perc_95, converted_stat * 3, IF(bbgm_stat &gt;= perc_90, converted_stat * 2, IF(bbgm_stat &gt;= perc_85, converted_stat * 1.5, converted_stat)))))</f>
        <v/>
      </c>
      <c r="W719" s="30" t="str">
        <f t="array" ref="W719">IF($A719="", "", LET(bbgm_stat, INDEX(Players!$A718:$P718, MATCH(W$2, Players!$A$1:$P$1, 0)), perc_75, VLOOKUP(W$2, Percentiles!$A$45:$I$59, 6, FALSE), perc_90, VLOOKUP(W$2, Percentiles!$A$45:$I$59, 7, FALSE), perc_95, VLOOKUP(W$2, Percentiles!$A$45:$I$59, 8, FALSE), perc_85, perc_75 + (perc_90 - perc_75) * (2/3), converted_stat, '2K_Ratings'!W719, IF(bbgm_stat &gt;= perc_95, converted_stat * 3, IF(bbgm_stat &gt;= perc_90, converted_stat * 2, IF(bbgm_stat &gt;= perc_85, converted_stat * 1.5, converted_stat)))))</f>
        <v/>
      </c>
    </row>
    <row r="720">
      <c r="A720" s="30"/>
      <c r="B720" s="30" t="str">
        <f t="array" ref="B720">IF($A720="", "", LET(bbgm_stat, INDEX(Players!$A719:$P719, MATCH(B$2, Players!$A$1:$P$1, 0)), perc_75, VLOOKUP(B$2, Percentiles!$A$45:$I$59, 6, FALSE), perc_90, VLOOKUP(B$2, Percentiles!$A$45:$I$59, 7, FALSE), perc_95, VLOOKUP(B$2, Percentiles!$A$45:$I$59, 8, FALSE), perc_85, perc_75 + (perc_90 - perc_75) * (2/3), converted_stat, '2K_Ratings'!B720, IF(bbgm_stat &gt;= perc_95, converted_stat * 3, IF(bbgm_stat &gt;= perc_90, converted_stat * 2, IF(bbgm_stat &gt;= perc_85, converted_stat * 1.5, converted_stat)))))</f>
        <v/>
      </c>
      <c r="C720" s="30" t="str">
        <f t="array" ref="C720">IF($A720="", "", LET(bbgm_stat, INDEX(Players!$A719:$P719, MATCH(C$2, Players!$A$1:$P$1, 0)), perc_75, VLOOKUP(C$2, Percentiles!$A$45:$I$59, 6, FALSE), perc_90, VLOOKUP(C$2, Percentiles!$A$45:$I$59, 7, FALSE), perc_95, VLOOKUP(C$2, Percentiles!$A$45:$I$59, 8, FALSE), perc_85, perc_75 + (perc_90 - perc_75) * (2/3), converted_stat, '2K_Ratings'!C720, IF(bbgm_stat &gt;= perc_95, converted_stat * 3, IF(bbgm_stat &gt;= perc_90, converted_stat * 2, IF(bbgm_stat &gt;= perc_85, converted_stat * 1.5, converted_stat)))))</f>
        <v/>
      </c>
      <c r="D720" s="30" t="str">
        <f t="array" ref="D720">IF($A720="", "", LET(bbgm_stat, INDEX(Players!$A719:$P719, MATCH(D$2, Players!$A$1:$P$1, 0)), perc_75, VLOOKUP(D$2, Percentiles!$A$45:$I$59, 6, FALSE), perc_90, VLOOKUP(D$2, Percentiles!$A$45:$I$59, 7, FALSE), perc_95, VLOOKUP(D$2, Percentiles!$A$45:$I$59, 8, FALSE), perc_85, perc_75 + (perc_90 - perc_75) * (2/3), converted_stat, '2K_Ratings'!D720, IF(bbgm_stat &gt;= perc_95, converted_stat * 3, IF(bbgm_stat &gt;= perc_90, converted_stat * 2, IF(bbgm_stat &gt;= perc_85, converted_stat * 1.5, converted_stat)))))</f>
        <v/>
      </c>
      <c r="E720" s="30" t="str">
        <f t="array" ref="E720">IF($A720="", "", LET(bbgm_stat, INDEX(Players!$A719:$P719, MATCH(E$2, Players!$A$1:$P$1, 0)), perc_75, VLOOKUP(E$2, Percentiles!$A$45:$I$59, 6, FALSE), perc_90, VLOOKUP(E$2, Percentiles!$A$45:$I$59, 7, FALSE), perc_95, VLOOKUP(E$2, Percentiles!$A$45:$I$59, 8, FALSE), perc_85, perc_75 + (perc_90 - perc_75) * (2/3), converted_stat, '2K_Ratings'!E720, IF(bbgm_stat &gt;= perc_95, converted_stat * 3, IF(bbgm_stat &gt;= perc_90, converted_stat * 2, IF(bbgm_stat &gt;= perc_85, converted_stat * 1.5, converted_stat)))))</f>
        <v/>
      </c>
      <c r="F720" s="30" t="str">
        <f t="array" ref="F720">IF($A720="", "", LET(bbgm_stat, INDEX(Players!$A719:$P719, MATCH(F$2, Players!$A$1:$P$1, 0)), perc_75, VLOOKUP(F$2, Percentiles!$A$45:$I$59, 6, FALSE), perc_90, VLOOKUP(F$2, Percentiles!$A$45:$I$59, 7, FALSE), perc_95, VLOOKUP(F$2, Percentiles!$A$45:$I$59, 8, FALSE), perc_85, perc_75 + (perc_90 - perc_75) * (2/3), converted_stat, '2K_Ratings'!F720, IF(bbgm_stat &gt;= perc_95, converted_stat * 3, IF(bbgm_stat &gt;= perc_90, converted_stat * 2, IF(bbgm_stat &gt;= perc_85, converted_stat * 1.5, converted_stat)))))</f>
        <v/>
      </c>
      <c r="G720" s="30" t="str">
        <f t="array" ref="G720">IF($A720="", "", LET(bbgm_stat, INDEX(Players!$A719:$P719, MATCH(G$2, Players!$A$1:$P$1, 0)), perc_75, VLOOKUP(G$2, Percentiles!$A$45:$I$59, 6, FALSE), perc_90, VLOOKUP(G$2, Percentiles!$A$45:$I$59, 7, FALSE), perc_95, VLOOKUP(G$2, Percentiles!$A$45:$I$59, 8, FALSE), perc_85, perc_75 + (perc_90 - perc_75) * (2/3), converted_stat, '2K_Ratings'!G720, IF(bbgm_stat &gt;= perc_95, converted_stat * 3, IF(bbgm_stat &gt;= perc_90, converted_stat * 2, IF(bbgm_stat &gt;= perc_85, converted_stat * 1.5, converted_stat)))))</f>
        <v/>
      </c>
      <c r="H720" s="30" t="str">
        <f t="array" ref="H720">IF($A720="", "", LET(bbgm_stat, INDEX(Players!$A719:$P719, MATCH(H$2, Players!$A$1:$P$1, 0)), perc_75, VLOOKUP(H$2, Percentiles!$A$45:$I$59, 6, FALSE), perc_90, VLOOKUP(H$2, Percentiles!$A$45:$I$59, 7, FALSE), perc_95, VLOOKUP(H$2, Percentiles!$A$45:$I$59, 8, FALSE), perc_85, perc_75 + (perc_90 - perc_75) * (2/3), converted_stat, '2K_Ratings'!H720, IF(bbgm_stat &gt;= perc_95, converted_stat * 3, IF(bbgm_stat &gt;= perc_90, converted_stat * 2, IF(bbgm_stat &gt;= perc_85, converted_stat * 1.5, converted_stat)))))</f>
        <v/>
      </c>
      <c r="I720" s="30" t="str">
        <f t="array" ref="I720">IF($A720="", "", LET(bbgm_stat, INDEX(Players!$A719:$P719, MATCH(I$2, Players!$A$1:$P$1, 0)), perc_75, VLOOKUP(I$2, Percentiles!$A$45:$I$59, 6, FALSE), perc_90, VLOOKUP(I$2, Percentiles!$A$45:$I$59, 7, FALSE), perc_95, VLOOKUP(I$2, Percentiles!$A$45:$I$59, 8, FALSE), perc_85, perc_75 + (perc_90 - perc_75) * (2/3), converted_stat, '2K_Ratings'!I720, IF(bbgm_stat &gt;= perc_95, converted_stat * 3, IF(bbgm_stat &gt;= perc_90, converted_stat * 2, IF(bbgm_stat &gt;= perc_85, converted_stat * 1.5, converted_stat)))))</f>
        <v/>
      </c>
      <c r="J720" s="30" t="str">
        <f t="array" ref="J720">IF($A720="", "", LET(bbgm_stat, INDEX(Players!$A719:$P719, MATCH(J$2, Players!$A$1:$P$1, 0)), perc_75, VLOOKUP(J$2, Percentiles!$A$45:$I$59, 6, FALSE), perc_90, VLOOKUP(J$2, Percentiles!$A$45:$I$59, 7, FALSE), perc_95, VLOOKUP(J$2, Percentiles!$A$45:$I$59, 8, FALSE), perc_85, perc_75 + (perc_90 - perc_75) * (2/3), converted_stat, '2K_Ratings'!J720, IF(bbgm_stat &gt;= perc_95, converted_stat * 3, IF(bbgm_stat &gt;= perc_90, converted_stat * 2, IF(bbgm_stat &gt;= perc_85, converted_stat * 1.5, converted_stat)))))</f>
        <v/>
      </c>
      <c r="K720" s="30" t="str">
        <f t="array" ref="K720">IF($A720="", "", LET(bbgm_stat, INDEX(Players!$A719:$P719, MATCH(K$2, Players!$A$1:$P$1, 0)), perc_75, VLOOKUP(K$2, Percentiles!$A$45:$I$59, 6, FALSE), perc_90, VLOOKUP(K$2, Percentiles!$A$45:$I$59, 7, FALSE), perc_95, VLOOKUP(K$2, Percentiles!$A$45:$I$59, 8, FALSE), perc_85, perc_75 + (perc_90 - perc_75) * (2/3), converted_stat, '2K_Ratings'!K720, IF(bbgm_stat &gt;= perc_95, converted_stat * 3, IF(bbgm_stat &gt;= perc_90, converted_stat * 2, IF(bbgm_stat &gt;= perc_85, converted_stat * 1.5, converted_stat)))))</f>
        <v/>
      </c>
      <c r="L720" s="30" t="str">
        <f t="array" ref="L720">IF($A720="", "", LET(bbgm_stat, INDEX(Players!$A719:$P719, MATCH(L$2, Players!$A$1:$P$1, 0)), perc_75, VLOOKUP(L$2, Percentiles!$A$45:$I$59, 6, FALSE), perc_90, VLOOKUP(L$2, Percentiles!$A$45:$I$59, 7, FALSE), perc_95, VLOOKUP(L$2, Percentiles!$A$45:$I$59, 8, FALSE), perc_85, perc_75 + (perc_90 - perc_75) * (2/3), converted_stat, '2K_Ratings'!L720, IF(bbgm_stat &gt;= perc_95, converted_stat * 3, IF(bbgm_stat &gt;= perc_90, converted_stat * 2, IF(bbgm_stat &gt;= perc_85, converted_stat * 1.5, converted_stat)))))</f>
        <v/>
      </c>
      <c r="M720" s="30" t="str">
        <f t="array" ref="M720">IF($A720="", "", LET(bbgm_stat, INDEX(Players!$A719:$P719, MATCH(M$2, Players!$A$1:$P$1, 0)), perc_75, VLOOKUP(M$2, Percentiles!$A$45:$I$59, 6, FALSE), perc_90, VLOOKUP(M$2, Percentiles!$A$45:$I$59, 7, FALSE), perc_95, VLOOKUP(M$2, Percentiles!$A$45:$I$59, 8, FALSE), perc_85, perc_75 + (perc_90 - perc_75) * (2/3), converted_stat, '2K_Ratings'!M720, IF(bbgm_stat &gt;= perc_95, converted_stat * 3, IF(bbgm_stat &gt;= perc_90, converted_stat * 2, IF(bbgm_stat &gt;= perc_85, converted_stat * 1.5, converted_stat)))))</f>
        <v/>
      </c>
      <c r="N720" s="30" t="str">
        <f t="array" ref="N720">IF($A720="", "", LET(bbgm_stat, INDEX(Players!$A719:$P719, MATCH(N$2, Players!$A$1:$P$1, 0)), perc_75, VLOOKUP(N$2, Percentiles!$A$45:$I$59, 6, FALSE), perc_90, VLOOKUP(N$2, Percentiles!$A$45:$I$59, 7, FALSE), perc_95, VLOOKUP(N$2, Percentiles!$A$45:$I$59, 8, FALSE), perc_85, perc_75 + (perc_90 - perc_75) * (2/3), converted_stat, '2K_Ratings'!N720, IF(bbgm_stat &gt;= perc_95, converted_stat * 3, IF(bbgm_stat &gt;= perc_90, converted_stat * 2, IF(bbgm_stat &gt;= perc_85, converted_stat * 1.5, converted_stat)))))</f>
        <v/>
      </c>
      <c r="O720" s="30" t="str">
        <f t="array" ref="O720">IF($A720="", "", LET(bbgm_stat, INDEX(Players!$A719:$P719, MATCH(O$2, Players!$A$1:$P$1, 0)), perc_75, VLOOKUP(O$2, Percentiles!$A$45:$I$59, 6, FALSE), perc_90, VLOOKUP(O$2, Percentiles!$A$45:$I$59, 7, FALSE), perc_95, VLOOKUP(O$2, Percentiles!$A$45:$I$59, 8, FALSE), perc_85, perc_75 + (perc_90 - perc_75) * (2/3), converted_stat, '2K_Ratings'!O720, IF(bbgm_stat &gt;= perc_95, converted_stat * 3, IF(bbgm_stat &gt;= perc_90, converted_stat * 2, IF(bbgm_stat &gt;= perc_85, converted_stat * 1.5, converted_stat)))))</f>
        <v/>
      </c>
      <c r="P720" s="30" t="str">
        <f t="array" ref="P720">IF($A720="", "", LET(bbgm_stat, INDEX(Players!$A719:$P719, MATCH(P$2, Players!$A$1:$P$1, 0)), perc_75, VLOOKUP(P$2, Percentiles!$A$45:$I$59, 6, FALSE), perc_90, VLOOKUP(P$2, Percentiles!$A$45:$I$59, 7, FALSE), perc_95, VLOOKUP(P$2, Percentiles!$A$45:$I$59, 8, FALSE), perc_85, perc_75 + (perc_90 - perc_75) * (2/3), converted_stat, '2K_Ratings'!P720, IF(bbgm_stat &gt;= perc_95, converted_stat * 3, IF(bbgm_stat &gt;= perc_90, converted_stat * 2, IF(bbgm_stat &gt;= perc_85, converted_stat * 1.5, converted_stat)))))</f>
        <v/>
      </c>
      <c r="Q720" s="30" t="str">
        <f t="array" ref="Q720">IF($A720="", "", LET(bbgm_stat, INDEX(Players!$A719:$P719, MATCH(Q$2, Players!$A$1:$P$1, 0)), perc_75, VLOOKUP(Q$2, Percentiles!$A$45:$I$59, 6, FALSE), perc_90, VLOOKUP(Q$2, Percentiles!$A$45:$I$59, 7, FALSE), perc_95, VLOOKUP(Q$2, Percentiles!$A$45:$I$59, 8, FALSE), perc_85, perc_75 + (perc_90 - perc_75) * (2/3), converted_stat, '2K_Ratings'!Q720, IF(bbgm_stat &gt;= perc_95, converted_stat * 3, IF(bbgm_stat &gt;= perc_90, converted_stat * 2, IF(bbgm_stat &gt;= perc_85, converted_stat * 1.5, converted_stat)))))</f>
        <v/>
      </c>
      <c r="R720" s="30" t="str">
        <f t="array" ref="R720">IF($A720="", "", LET(bbgm_stat, INDEX(Players!$A719:$P719, MATCH(R$2, Players!$A$1:$P$1, 0)), perc_75, VLOOKUP(R$2, Percentiles!$A$45:$I$59, 6, FALSE), perc_90, VLOOKUP(R$2, Percentiles!$A$45:$I$59, 7, FALSE), perc_95, VLOOKUP(R$2, Percentiles!$A$45:$I$59, 8, FALSE), perc_85, perc_75 + (perc_90 - perc_75) * (2/3), converted_stat, '2K_Ratings'!R720, IF(bbgm_stat &gt;= perc_95, converted_stat * 3, IF(bbgm_stat &gt;= perc_90, converted_stat * 2, IF(bbgm_stat &gt;= perc_85, converted_stat * 1.5, converted_stat)))))</f>
        <v/>
      </c>
      <c r="S720" s="30" t="str">
        <f t="array" ref="S720">IF($A720="", "", LET(bbgm_stat, INDEX(Players!$A719:$P719, MATCH(S$2, Players!$A$1:$P$1, 0)), perc_75, VLOOKUP(S$2, Percentiles!$A$45:$I$59, 6, FALSE), perc_90, VLOOKUP(S$2, Percentiles!$A$45:$I$59, 7, FALSE), perc_95, VLOOKUP(S$2, Percentiles!$A$45:$I$59, 8, FALSE), perc_85, perc_75 + (perc_90 - perc_75) * (2/3), converted_stat, '2K_Ratings'!S720, IF(bbgm_stat &gt;= perc_95, converted_stat * 3, IF(bbgm_stat &gt;= perc_90, converted_stat * 2, IF(bbgm_stat &gt;= perc_85, converted_stat * 1.5, converted_stat)))))</f>
        <v/>
      </c>
      <c r="T720" s="30" t="str">
        <f t="array" ref="T720">IF($A720="", "", LET(bbgm_stat, INDEX(Players!$A719:$P719, MATCH(T$2, Players!$A$1:$P$1, 0)), perc_75, VLOOKUP(T$2, Percentiles!$A$45:$I$59, 6, FALSE), perc_90, VLOOKUP(T$2, Percentiles!$A$45:$I$59, 7, FALSE), perc_95, VLOOKUP(T$2, Percentiles!$A$45:$I$59, 8, FALSE), perc_85, perc_75 + (perc_90 - perc_75) * (2/3), converted_stat, '2K_Ratings'!T720, IF(bbgm_stat &gt;= perc_95, converted_stat * 3, IF(bbgm_stat &gt;= perc_90, converted_stat * 2, IF(bbgm_stat &gt;= perc_85, converted_stat * 1.5, converted_stat)))))</f>
        <v/>
      </c>
      <c r="U720" s="30" t="str">
        <f t="array" ref="U720">IF($A720="", "", LET(bbgm_stat, INDEX(Players!$A719:$P719, MATCH(U$2, Players!$A$1:$P$1, 0)), perc_75, VLOOKUP(U$2, Percentiles!$A$45:$I$59, 6, FALSE), perc_90, VLOOKUP(U$2, Percentiles!$A$45:$I$59, 7, FALSE), perc_95, VLOOKUP(U$2, Percentiles!$A$45:$I$59, 8, FALSE), perc_85, perc_75 + (perc_90 - perc_75) * (2/3), converted_stat, '2K_Ratings'!U720, IF(bbgm_stat &gt;= perc_95, converted_stat * 3, IF(bbgm_stat &gt;= perc_90, converted_stat * 2, IF(bbgm_stat &gt;= perc_85, converted_stat * 1.5, converted_stat)))))</f>
        <v/>
      </c>
      <c r="V720" s="30" t="str">
        <f t="array" ref="V720">IF($A720="", "", LET(bbgm_stat, INDEX(Players!$A719:$P719, MATCH(V$2, Players!$A$1:$P$1, 0)), perc_75, VLOOKUP(V$2, Percentiles!$A$45:$I$59, 6, FALSE), perc_90, VLOOKUP(V$2, Percentiles!$A$45:$I$59, 7, FALSE), perc_95, VLOOKUP(V$2, Percentiles!$A$45:$I$59, 8, FALSE), perc_85, perc_75 + (perc_90 - perc_75) * (2/3), converted_stat, '2K_Ratings'!V720, IF(bbgm_stat &gt;= perc_95, converted_stat * 3, IF(bbgm_stat &gt;= perc_90, converted_stat * 2, IF(bbgm_stat &gt;= perc_85, converted_stat * 1.5, converted_stat)))))</f>
        <v/>
      </c>
      <c r="W720" s="30" t="str">
        <f t="array" ref="W720">IF($A720="", "", LET(bbgm_stat, INDEX(Players!$A719:$P719, MATCH(W$2, Players!$A$1:$P$1, 0)), perc_75, VLOOKUP(W$2, Percentiles!$A$45:$I$59, 6, FALSE), perc_90, VLOOKUP(W$2, Percentiles!$A$45:$I$59, 7, FALSE), perc_95, VLOOKUP(W$2, Percentiles!$A$45:$I$59, 8, FALSE), perc_85, perc_75 + (perc_90 - perc_75) * (2/3), converted_stat, '2K_Ratings'!W720, IF(bbgm_stat &gt;= perc_95, converted_stat * 3, IF(bbgm_stat &gt;= perc_90, converted_stat * 2, IF(bbgm_stat &gt;= perc_85, converted_stat * 1.5, converted_stat)))))</f>
        <v/>
      </c>
    </row>
    <row r="721">
      <c r="A721" s="30"/>
      <c r="B721" s="30" t="str">
        <f t="array" ref="B721">IF($A721="", "", LET(bbgm_stat, INDEX(Players!$A720:$P720, MATCH(B$2, Players!$A$1:$P$1, 0)), perc_75, VLOOKUP(B$2, Percentiles!$A$45:$I$59, 6, FALSE), perc_90, VLOOKUP(B$2, Percentiles!$A$45:$I$59, 7, FALSE), perc_95, VLOOKUP(B$2, Percentiles!$A$45:$I$59, 8, FALSE), perc_85, perc_75 + (perc_90 - perc_75) * (2/3), converted_stat, '2K_Ratings'!B721, IF(bbgm_stat &gt;= perc_95, converted_stat * 3, IF(bbgm_stat &gt;= perc_90, converted_stat * 2, IF(bbgm_stat &gt;= perc_85, converted_stat * 1.5, converted_stat)))))</f>
        <v/>
      </c>
      <c r="C721" s="30" t="str">
        <f t="array" ref="C721">IF($A721="", "", LET(bbgm_stat, INDEX(Players!$A720:$P720, MATCH(C$2, Players!$A$1:$P$1, 0)), perc_75, VLOOKUP(C$2, Percentiles!$A$45:$I$59, 6, FALSE), perc_90, VLOOKUP(C$2, Percentiles!$A$45:$I$59, 7, FALSE), perc_95, VLOOKUP(C$2, Percentiles!$A$45:$I$59, 8, FALSE), perc_85, perc_75 + (perc_90 - perc_75) * (2/3), converted_stat, '2K_Ratings'!C721, IF(bbgm_stat &gt;= perc_95, converted_stat * 3, IF(bbgm_stat &gt;= perc_90, converted_stat * 2, IF(bbgm_stat &gt;= perc_85, converted_stat * 1.5, converted_stat)))))</f>
        <v/>
      </c>
      <c r="D721" s="30" t="str">
        <f t="array" ref="D721">IF($A721="", "", LET(bbgm_stat, INDEX(Players!$A720:$P720, MATCH(D$2, Players!$A$1:$P$1, 0)), perc_75, VLOOKUP(D$2, Percentiles!$A$45:$I$59, 6, FALSE), perc_90, VLOOKUP(D$2, Percentiles!$A$45:$I$59, 7, FALSE), perc_95, VLOOKUP(D$2, Percentiles!$A$45:$I$59, 8, FALSE), perc_85, perc_75 + (perc_90 - perc_75) * (2/3), converted_stat, '2K_Ratings'!D721, IF(bbgm_stat &gt;= perc_95, converted_stat * 3, IF(bbgm_stat &gt;= perc_90, converted_stat * 2, IF(bbgm_stat &gt;= perc_85, converted_stat * 1.5, converted_stat)))))</f>
        <v/>
      </c>
      <c r="E721" s="30" t="str">
        <f t="array" ref="E721">IF($A721="", "", LET(bbgm_stat, INDEX(Players!$A720:$P720, MATCH(E$2, Players!$A$1:$P$1, 0)), perc_75, VLOOKUP(E$2, Percentiles!$A$45:$I$59, 6, FALSE), perc_90, VLOOKUP(E$2, Percentiles!$A$45:$I$59, 7, FALSE), perc_95, VLOOKUP(E$2, Percentiles!$A$45:$I$59, 8, FALSE), perc_85, perc_75 + (perc_90 - perc_75) * (2/3), converted_stat, '2K_Ratings'!E721, IF(bbgm_stat &gt;= perc_95, converted_stat * 3, IF(bbgm_stat &gt;= perc_90, converted_stat * 2, IF(bbgm_stat &gt;= perc_85, converted_stat * 1.5, converted_stat)))))</f>
        <v/>
      </c>
      <c r="F721" s="30" t="str">
        <f t="array" ref="F721">IF($A721="", "", LET(bbgm_stat, INDEX(Players!$A720:$P720, MATCH(F$2, Players!$A$1:$P$1, 0)), perc_75, VLOOKUP(F$2, Percentiles!$A$45:$I$59, 6, FALSE), perc_90, VLOOKUP(F$2, Percentiles!$A$45:$I$59, 7, FALSE), perc_95, VLOOKUP(F$2, Percentiles!$A$45:$I$59, 8, FALSE), perc_85, perc_75 + (perc_90 - perc_75) * (2/3), converted_stat, '2K_Ratings'!F721, IF(bbgm_stat &gt;= perc_95, converted_stat * 3, IF(bbgm_stat &gt;= perc_90, converted_stat * 2, IF(bbgm_stat &gt;= perc_85, converted_stat * 1.5, converted_stat)))))</f>
        <v/>
      </c>
      <c r="G721" s="30" t="str">
        <f t="array" ref="G721">IF($A721="", "", LET(bbgm_stat, INDEX(Players!$A720:$P720, MATCH(G$2, Players!$A$1:$P$1, 0)), perc_75, VLOOKUP(G$2, Percentiles!$A$45:$I$59, 6, FALSE), perc_90, VLOOKUP(G$2, Percentiles!$A$45:$I$59, 7, FALSE), perc_95, VLOOKUP(G$2, Percentiles!$A$45:$I$59, 8, FALSE), perc_85, perc_75 + (perc_90 - perc_75) * (2/3), converted_stat, '2K_Ratings'!G721, IF(bbgm_stat &gt;= perc_95, converted_stat * 3, IF(bbgm_stat &gt;= perc_90, converted_stat * 2, IF(bbgm_stat &gt;= perc_85, converted_stat * 1.5, converted_stat)))))</f>
        <v/>
      </c>
      <c r="H721" s="30" t="str">
        <f t="array" ref="H721">IF($A721="", "", LET(bbgm_stat, INDEX(Players!$A720:$P720, MATCH(H$2, Players!$A$1:$P$1, 0)), perc_75, VLOOKUP(H$2, Percentiles!$A$45:$I$59, 6, FALSE), perc_90, VLOOKUP(H$2, Percentiles!$A$45:$I$59, 7, FALSE), perc_95, VLOOKUP(H$2, Percentiles!$A$45:$I$59, 8, FALSE), perc_85, perc_75 + (perc_90 - perc_75) * (2/3), converted_stat, '2K_Ratings'!H721, IF(bbgm_stat &gt;= perc_95, converted_stat * 3, IF(bbgm_stat &gt;= perc_90, converted_stat * 2, IF(bbgm_stat &gt;= perc_85, converted_stat * 1.5, converted_stat)))))</f>
        <v/>
      </c>
      <c r="I721" s="30" t="str">
        <f t="array" ref="I721">IF($A721="", "", LET(bbgm_stat, INDEX(Players!$A720:$P720, MATCH(I$2, Players!$A$1:$P$1, 0)), perc_75, VLOOKUP(I$2, Percentiles!$A$45:$I$59, 6, FALSE), perc_90, VLOOKUP(I$2, Percentiles!$A$45:$I$59, 7, FALSE), perc_95, VLOOKUP(I$2, Percentiles!$A$45:$I$59, 8, FALSE), perc_85, perc_75 + (perc_90 - perc_75) * (2/3), converted_stat, '2K_Ratings'!I721, IF(bbgm_stat &gt;= perc_95, converted_stat * 3, IF(bbgm_stat &gt;= perc_90, converted_stat * 2, IF(bbgm_stat &gt;= perc_85, converted_stat * 1.5, converted_stat)))))</f>
        <v/>
      </c>
      <c r="J721" s="30" t="str">
        <f t="array" ref="J721">IF($A721="", "", LET(bbgm_stat, INDEX(Players!$A720:$P720, MATCH(J$2, Players!$A$1:$P$1, 0)), perc_75, VLOOKUP(J$2, Percentiles!$A$45:$I$59, 6, FALSE), perc_90, VLOOKUP(J$2, Percentiles!$A$45:$I$59, 7, FALSE), perc_95, VLOOKUP(J$2, Percentiles!$A$45:$I$59, 8, FALSE), perc_85, perc_75 + (perc_90 - perc_75) * (2/3), converted_stat, '2K_Ratings'!J721, IF(bbgm_stat &gt;= perc_95, converted_stat * 3, IF(bbgm_stat &gt;= perc_90, converted_stat * 2, IF(bbgm_stat &gt;= perc_85, converted_stat * 1.5, converted_stat)))))</f>
        <v/>
      </c>
      <c r="K721" s="30" t="str">
        <f t="array" ref="K721">IF($A721="", "", LET(bbgm_stat, INDEX(Players!$A720:$P720, MATCH(K$2, Players!$A$1:$P$1, 0)), perc_75, VLOOKUP(K$2, Percentiles!$A$45:$I$59, 6, FALSE), perc_90, VLOOKUP(K$2, Percentiles!$A$45:$I$59, 7, FALSE), perc_95, VLOOKUP(K$2, Percentiles!$A$45:$I$59, 8, FALSE), perc_85, perc_75 + (perc_90 - perc_75) * (2/3), converted_stat, '2K_Ratings'!K721, IF(bbgm_stat &gt;= perc_95, converted_stat * 3, IF(bbgm_stat &gt;= perc_90, converted_stat * 2, IF(bbgm_stat &gt;= perc_85, converted_stat * 1.5, converted_stat)))))</f>
        <v/>
      </c>
      <c r="L721" s="30" t="str">
        <f t="array" ref="L721">IF($A721="", "", LET(bbgm_stat, INDEX(Players!$A720:$P720, MATCH(L$2, Players!$A$1:$P$1, 0)), perc_75, VLOOKUP(L$2, Percentiles!$A$45:$I$59, 6, FALSE), perc_90, VLOOKUP(L$2, Percentiles!$A$45:$I$59, 7, FALSE), perc_95, VLOOKUP(L$2, Percentiles!$A$45:$I$59, 8, FALSE), perc_85, perc_75 + (perc_90 - perc_75) * (2/3), converted_stat, '2K_Ratings'!L721, IF(bbgm_stat &gt;= perc_95, converted_stat * 3, IF(bbgm_stat &gt;= perc_90, converted_stat * 2, IF(bbgm_stat &gt;= perc_85, converted_stat * 1.5, converted_stat)))))</f>
        <v/>
      </c>
      <c r="M721" s="30" t="str">
        <f t="array" ref="M721">IF($A721="", "", LET(bbgm_stat, INDEX(Players!$A720:$P720, MATCH(M$2, Players!$A$1:$P$1, 0)), perc_75, VLOOKUP(M$2, Percentiles!$A$45:$I$59, 6, FALSE), perc_90, VLOOKUP(M$2, Percentiles!$A$45:$I$59, 7, FALSE), perc_95, VLOOKUP(M$2, Percentiles!$A$45:$I$59, 8, FALSE), perc_85, perc_75 + (perc_90 - perc_75) * (2/3), converted_stat, '2K_Ratings'!M721, IF(bbgm_stat &gt;= perc_95, converted_stat * 3, IF(bbgm_stat &gt;= perc_90, converted_stat * 2, IF(bbgm_stat &gt;= perc_85, converted_stat * 1.5, converted_stat)))))</f>
        <v/>
      </c>
      <c r="N721" s="30" t="str">
        <f t="array" ref="N721">IF($A721="", "", LET(bbgm_stat, INDEX(Players!$A720:$P720, MATCH(N$2, Players!$A$1:$P$1, 0)), perc_75, VLOOKUP(N$2, Percentiles!$A$45:$I$59, 6, FALSE), perc_90, VLOOKUP(N$2, Percentiles!$A$45:$I$59, 7, FALSE), perc_95, VLOOKUP(N$2, Percentiles!$A$45:$I$59, 8, FALSE), perc_85, perc_75 + (perc_90 - perc_75) * (2/3), converted_stat, '2K_Ratings'!N721, IF(bbgm_stat &gt;= perc_95, converted_stat * 3, IF(bbgm_stat &gt;= perc_90, converted_stat * 2, IF(bbgm_stat &gt;= perc_85, converted_stat * 1.5, converted_stat)))))</f>
        <v/>
      </c>
      <c r="O721" s="30" t="str">
        <f t="array" ref="O721">IF($A721="", "", LET(bbgm_stat, INDEX(Players!$A720:$P720, MATCH(O$2, Players!$A$1:$P$1, 0)), perc_75, VLOOKUP(O$2, Percentiles!$A$45:$I$59, 6, FALSE), perc_90, VLOOKUP(O$2, Percentiles!$A$45:$I$59, 7, FALSE), perc_95, VLOOKUP(O$2, Percentiles!$A$45:$I$59, 8, FALSE), perc_85, perc_75 + (perc_90 - perc_75) * (2/3), converted_stat, '2K_Ratings'!O721, IF(bbgm_stat &gt;= perc_95, converted_stat * 3, IF(bbgm_stat &gt;= perc_90, converted_stat * 2, IF(bbgm_stat &gt;= perc_85, converted_stat * 1.5, converted_stat)))))</f>
        <v/>
      </c>
      <c r="P721" s="30" t="str">
        <f t="array" ref="P721">IF($A721="", "", LET(bbgm_stat, INDEX(Players!$A720:$P720, MATCH(P$2, Players!$A$1:$P$1, 0)), perc_75, VLOOKUP(P$2, Percentiles!$A$45:$I$59, 6, FALSE), perc_90, VLOOKUP(P$2, Percentiles!$A$45:$I$59, 7, FALSE), perc_95, VLOOKUP(P$2, Percentiles!$A$45:$I$59, 8, FALSE), perc_85, perc_75 + (perc_90 - perc_75) * (2/3), converted_stat, '2K_Ratings'!P721, IF(bbgm_stat &gt;= perc_95, converted_stat * 3, IF(bbgm_stat &gt;= perc_90, converted_stat * 2, IF(bbgm_stat &gt;= perc_85, converted_stat * 1.5, converted_stat)))))</f>
        <v/>
      </c>
      <c r="Q721" s="30" t="str">
        <f t="array" ref="Q721">IF($A721="", "", LET(bbgm_stat, INDEX(Players!$A720:$P720, MATCH(Q$2, Players!$A$1:$P$1, 0)), perc_75, VLOOKUP(Q$2, Percentiles!$A$45:$I$59, 6, FALSE), perc_90, VLOOKUP(Q$2, Percentiles!$A$45:$I$59, 7, FALSE), perc_95, VLOOKUP(Q$2, Percentiles!$A$45:$I$59, 8, FALSE), perc_85, perc_75 + (perc_90 - perc_75) * (2/3), converted_stat, '2K_Ratings'!Q721, IF(bbgm_stat &gt;= perc_95, converted_stat * 3, IF(bbgm_stat &gt;= perc_90, converted_stat * 2, IF(bbgm_stat &gt;= perc_85, converted_stat * 1.5, converted_stat)))))</f>
        <v/>
      </c>
      <c r="R721" s="30" t="str">
        <f t="array" ref="R721">IF($A721="", "", LET(bbgm_stat, INDEX(Players!$A720:$P720, MATCH(R$2, Players!$A$1:$P$1, 0)), perc_75, VLOOKUP(R$2, Percentiles!$A$45:$I$59, 6, FALSE), perc_90, VLOOKUP(R$2, Percentiles!$A$45:$I$59, 7, FALSE), perc_95, VLOOKUP(R$2, Percentiles!$A$45:$I$59, 8, FALSE), perc_85, perc_75 + (perc_90 - perc_75) * (2/3), converted_stat, '2K_Ratings'!R721, IF(bbgm_stat &gt;= perc_95, converted_stat * 3, IF(bbgm_stat &gt;= perc_90, converted_stat * 2, IF(bbgm_stat &gt;= perc_85, converted_stat * 1.5, converted_stat)))))</f>
        <v/>
      </c>
      <c r="S721" s="30" t="str">
        <f t="array" ref="S721">IF($A721="", "", LET(bbgm_stat, INDEX(Players!$A720:$P720, MATCH(S$2, Players!$A$1:$P$1, 0)), perc_75, VLOOKUP(S$2, Percentiles!$A$45:$I$59, 6, FALSE), perc_90, VLOOKUP(S$2, Percentiles!$A$45:$I$59, 7, FALSE), perc_95, VLOOKUP(S$2, Percentiles!$A$45:$I$59, 8, FALSE), perc_85, perc_75 + (perc_90 - perc_75) * (2/3), converted_stat, '2K_Ratings'!S721, IF(bbgm_stat &gt;= perc_95, converted_stat * 3, IF(bbgm_stat &gt;= perc_90, converted_stat * 2, IF(bbgm_stat &gt;= perc_85, converted_stat * 1.5, converted_stat)))))</f>
        <v/>
      </c>
      <c r="T721" s="30" t="str">
        <f t="array" ref="T721">IF($A721="", "", LET(bbgm_stat, INDEX(Players!$A720:$P720, MATCH(T$2, Players!$A$1:$P$1, 0)), perc_75, VLOOKUP(T$2, Percentiles!$A$45:$I$59, 6, FALSE), perc_90, VLOOKUP(T$2, Percentiles!$A$45:$I$59, 7, FALSE), perc_95, VLOOKUP(T$2, Percentiles!$A$45:$I$59, 8, FALSE), perc_85, perc_75 + (perc_90 - perc_75) * (2/3), converted_stat, '2K_Ratings'!T721, IF(bbgm_stat &gt;= perc_95, converted_stat * 3, IF(bbgm_stat &gt;= perc_90, converted_stat * 2, IF(bbgm_stat &gt;= perc_85, converted_stat * 1.5, converted_stat)))))</f>
        <v/>
      </c>
      <c r="U721" s="30" t="str">
        <f t="array" ref="U721">IF($A721="", "", LET(bbgm_stat, INDEX(Players!$A720:$P720, MATCH(U$2, Players!$A$1:$P$1, 0)), perc_75, VLOOKUP(U$2, Percentiles!$A$45:$I$59, 6, FALSE), perc_90, VLOOKUP(U$2, Percentiles!$A$45:$I$59, 7, FALSE), perc_95, VLOOKUP(U$2, Percentiles!$A$45:$I$59, 8, FALSE), perc_85, perc_75 + (perc_90 - perc_75) * (2/3), converted_stat, '2K_Ratings'!U721, IF(bbgm_stat &gt;= perc_95, converted_stat * 3, IF(bbgm_stat &gt;= perc_90, converted_stat * 2, IF(bbgm_stat &gt;= perc_85, converted_stat * 1.5, converted_stat)))))</f>
        <v/>
      </c>
      <c r="V721" s="30" t="str">
        <f t="array" ref="V721">IF($A721="", "", LET(bbgm_stat, INDEX(Players!$A720:$P720, MATCH(V$2, Players!$A$1:$P$1, 0)), perc_75, VLOOKUP(V$2, Percentiles!$A$45:$I$59, 6, FALSE), perc_90, VLOOKUP(V$2, Percentiles!$A$45:$I$59, 7, FALSE), perc_95, VLOOKUP(V$2, Percentiles!$A$45:$I$59, 8, FALSE), perc_85, perc_75 + (perc_90 - perc_75) * (2/3), converted_stat, '2K_Ratings'!V721, IF(bbgm_stat &gt;= perc_95, converted_stat * 3, IF(bbgm_stat &gt;= perc_90, converted_stat * 2, IF(bbgm_stat &gt;= perc_85, converted_stat * 1.5, converted_stat)))))</f>
        <v/>
      </c>
      <c r="W721" s="30" t="str">
        <f t="array" ref="W721">IF($A721="", "", LET(bbgm_stat, INDEX(Players!$A720:$P720, MATCH(W$2, Players!$A$1:$P$1, 0)), perc_75, VLOOKUP(W$2, Percentiles!$A$45:$I$59, 6, FALSE), perc_90, VLOOKUP(W$2, Percentiles!$A$45:$I$59, 7, FALSE), perc_95, VLOOKUP(W$2, Percentiles!$A$45:$I$59, 8, FALSE), perc_85, perc_75 + (perc_90 - perc_75) * (2/3), converted_stat, '2K_Ratings'!W721, IF(bbgm_stat &gt;= perc_95, converted_stat * 3, IF(bbgm_stat &gt;= perc_90, converted_stat * 2, IF(bbgm_stat &gt;= perc_85, converted_stat * 1.5, converted_stat)))))</f>
        <v/>
      </c>
    </row>
    <row r="722">
      <c r="A722" s="30"/>
      <c r="B722" s="30" t="str">
        <f t="array" ref="B722">IF($A722="", "", LET(bbgm_stat, INDEX(Players!$A721:$P721, MATCH(B$2, Players!$A$1:$P$1, 0)), perc_75, VLOOKUP(B$2, Percentiles!$A$45:$I$59, 6, FALSE), perc_90, VLOOKUP(B$2, Percentiles!$A$45:$I$59, 7, FALSE), perc_95, VLOOKUP(B$2, Percentiles!$A$45:$I$59, 8, FALSE), perc_85, perc_75 + (perc_90 - perc_75) * (2/3), converted_stat, '2K_Ratings'!B722, IF(bbgm_stat &gt;= perc_95, converted_stat * 3, IF(bbgm_stat &gt;= perc_90, converted_stat * 2, IF(bbgm_stat &gt;= perc_85, converted_stat * 1.5, converted_stat)))))</f>
        <v/>
      </c>
      <c r="C722" s="30" t="str">
        <f t="array" ref="C722">IF($A722="", "", LET(bbgm_stat, INDEX(Players!$A721:$P721, MATCH(C$2, Players!$A$1:$P$1, 0)), perc_75, VLOOKUP(C$2, Percentiles!$A$45:$I$59, 6, FALSE), perc_90, VLOOKUP(C$2, Percentiles!$A$45:$I$59, 7, FALSE), perc_95, VLOOKUP(C$2, Percentiles!$A$45:$I$59, 8, FALSE), perc_85, perc_75 + (perc_90 - perc_75) * (2/3), converted_stat, '2K_Ratings'!C722, IF(bbgm_stat &gt;= perc_95, converted_stat * 3, IF(bbgm_stat &gt;= perc_90, converted_stat * 2, IF(bbgm_stat &gt;= perc_85, converted_stat * 1.5, converted_stat)))))</f>
        <v/>
      </c>
      <c r="D722" s="30" t="str">
        <f t="array" ref="D722">IF($A722="", "", LET(bbgm_stat, INDEX(Players!$A721:$P721, MATCH(D$2, Players!$A$1:$P$1, 0)), perc_75, VLOOKUP(D$2, Percentiles!$A$45:$I$59, 6, FALSE), perc_90, VLOOKUP(D$2, Percentiles!$A$45:$I$59, 7, FALSE), perc_95, VLOOKUP(D$2, Percentiles!$A$45:$I$59, 8, FALSE), perc_85, perc_75 + (perc_90 - perc_75) * (2/3), converted_stat, '2K_Ratings'!D722, IF(bbgm_stat &gt;= perc_95, converted_stat * 3, IF(bbgm_stat &gt;= perc_90, converted_stat * 2, IF(bbgm_stat &gt;= perc_85, converted_stat * 1.5, converted_stat)))))</f>
        <v/>
      </c>
      <c r="E722" s="30" t="str">
        <f t="array" ref="E722">IF($A722="", "", LET(bbgm_stat, INDEX(Players!$A721:$P721, MATCH(E$2, Players!$A$1:$P$1, 0)), perc_75, VLOOKUP(E$2, Percentiles!$A$45:$I$59, 6, FALSE), perc_90, VLOOKUP(E$2, Percentiles!$A$45:$I$59, 7, FALSE), perc_95, VLOOKUP(E$2, Percentiles!$A$45:$I$59, 8, FALSE), perc_85, perc_75 + (perc_90 - perc_75) * (2/3), converted_stat, '2K_Ratings'!E722, IF(bbgm_stat &gt;= perc_95, converted_stat * 3, IF(bbgm_stat &gt;= perc_90, converted_stat * 2, IF(bbgm_stat &gt;= perc_85, converted_stat * 1.5, converted_stat)))))</f>
        <v/>
      </c>
      <c r="F722" s="30" t="str">
        <f t="array" ref="F722">IF($A722="", "", LET(bbgm_stat, INDEX(Players!$A721:$P721, MATCH(F$2, Players!$A$1:$P$1, 0)), perc_75, VLOOKUP(F$2, Percentiles!$A$45:$I$59, 6, FALSE), perc_90, VLOOKUP(F$2, Percentiles!$A$45:$I$59, 7, FALSE), perc_95, VLOOKUP(F$2, Percentiles!$A$45:$I$59, 8, FALSE), perc_85, perc_75 + (perc_90 - perc_75) * (2/3), converted_stat, '2K_Ratings'!F722, IF(bbgm_stat &gt;= perc_95, converted_stat * 3, IF(bbgm_stat &gt;= perc_90, converted_stat * 2, IF(bbgm_stat &gt;= perc_85, converted_stat * 1.5, converted_stat)))))</f>
        <v/>
      </c>
      <c r="G722" s="30" t="str">
        <f t="array" ref="G722">IF($A722="", "", LET(bbgm_stat, INDEX(Players!$A721:$P721, MATCH(G$2, Players!$A$1:$P$1, 0)), perc_75, VLOOKUP(G$2, Percentiles!$A$45:$I$59, 6, FALSE), perc_90, VLOOKUP(G$2, Percentiles!$A$45:$I$59, 7, FALSE), perc_95, VLOOKUP(G$2, Percentiles!$A$45:$I$59, 8, FALSE), perc_85, perc_75 + (perc_90 - perc_75) * (2/3), converted_stat, '2K_Ratings'!G722, IF(bbgm_stat &gt;= perc_95, converted_stat * 3, IF(bbgm_stat &gt;= perc_90, converted_stat * 2, IF(bbgm_stat &gt;= perc_85, converted_stat * 1.5, converted_stat)))))</f>
        <v/>
      </c>
      <c r="H722" s="30" t="str">
        <f t="array" ref="H722">IF($A722="", "", LET(bbgm_stat, INDEX(Players!$A721:$P721, MATCH(H$2, Players!$A$1:$P$1, 0)), perc_75, VLOOKUP(H$2, Percentiles!$A$45:$I$59, 6, FALSE), perc_90, VLOOKUP(H$2, Percentiles!$A$45:$I$59, 7, FALSE), perc_95, VLOOKUP(H$2, Percentiles!$A$45:$I$59, 8, FALSE), perc_85, perc_75 + (perc_90 - perc_75) * (2/3), converted_stat, '2K_Ratings'!H722, IF(bbgm_stat &gt;= perc_95, converted_stat * 3, IF(bbgm_stat &gt;= perc_90, converted_stat * 2, IF(bbgm_stat &gt;= perc_85, converted_stat * 1.5, converted_stat)))))</f>
        <v/>
      </c>
      <c r="I722" s="30" t="str">
        <f t="array" ref="I722">IF($A722="", "", LET(bbgm_stat, INDEX(Players!$A721:$P721, MATCH(I$2, Players!$A$1:$P$1, 0)), perc_75, VLOOKUP(I$2, Percentiles!$A$45:$I$59, 6, FALSE), perc_90, VLOOKUP(I$2, Percentiles!$A$45:$I$59, 7, FALSE), perc_95, VLOOKUP(I$2, Percentiles!$A$45:$I$59, 8, FALSE), perc_85, perc_75 + (perc_90 - perc_75) * (2/3), converted_stat, '2K_Ratings'!I722, IF(bbgm_stat &gt;= perc_95, converted_stat * 3, IF(bbgm_stat &gt;= perc_90, converted_stat * 2, IF(bbgm_stat &gt;= perc_85, converted_stat * 1.5, converted_stat)))))</f>
        <v/>
      </c>
      <c r="J722" s="30" t="str">
        <f t="array" ref="J722">IF($A722="", "", LET(bbgm_stat, INDEX(Players!$A721:$P721, MATCH(J$2, Players!$A$1:$P$1, 0)), perc_75, VLOOKUP(J$2, Percentiles!$A$45:$I$59, 6, FALSE), perc_90, VLOOKUP(J$2, Percentiles!$A$45:$I$59, 7, FALSE), perc_95, VLOOKUP(J$2, Percentiles!$A$45:$I$59, 8, FALSE), perc_85, perc_75 + (perc_90 - perc_75) * (2/3), converted_stat, '2K_Ratings'!J722, IF(bbgm_stat &gt;= perc_95, converted_stat * 3, IF(bbgm_stat &gt;= perc_90, converted_stat * 2, IF(bbgm_stat &gt;= perc_85, converted_stat * 1.5, converted_stat)))))</f>
        <v/>
      </c>
      <c r="K722" s="30" t="str">
        <f t="array" ref="K722">IF($A722="", "", LET(bbgm_stat, INDEX(Players!$A721:$P721, MATCH(K$2, Players!$A$1:$P$1, 0)), perc_75, VLOOKUP(K$2, Percentiles!$A$45:$I$59, 6, FALSE), perc_90, VLOOKUP(K$2, Percentiles!$A$45:$I$59, 7, FALSE), perc_95, VLOOKUP(K$2, Percentiles!$A$45:$I$59, 8, FALSE), perc_85, perc_75 + (perc_90 - perc_75) * (2/3), converted_stat, '2K_Ratings'!K722, IF(bbgm_stat &gt;= perc_95, converted_stat * 3, IF(bbgm_stat &gt;= perc_90, converted_stat * 2, IF(bbgm_stat &gt;= perc_85, converted_stat * 1.5, converted_stat)))))</f>
        <v/>
      </c>
      <c r="L722" s="30" t="str">
        <f t="array" ref="L722">IF($A722="", "", LET(bbgm_stat, INDEX(Players!$A721:$P721, MATCH(L$2, Players!$A$1:$P$1, 0)), perc_75, VLOOKUP(L$2, Percentiles!$A$45:$I$59, 6, FALSE), perc_90, VLOOKUP(L$2, Percentiles!$A$45:$I$59, 7, FALSE), perc_95, VLOOKUP(L$2, Percentiles!$A$45:$I$59, 8, FALSE), perc_85, perc_75 + (perc_90 - perc_75) * (2/3), converted_stat, '2K_Ratings'!L722, IF(bbgm_stat &gt;= perc_95, converted_stat * 3, IF(bbgm_stat &gt;= perc_90, converted_stat * 2, IF(bbgm_stat &gt;= perc_85, converted_stat * 1.5, converted_stat)))))</f>
        <v/>
      </c>
      <c r="M722" s="30" t="str">
        <f t="array" ref="M722">IF($A722="", "", LET(bbgm_stat, INDEX(Players!$A721:$P721, MATCH(M$2, Players!$A$1:$P$1, 0)), perc_75, VLOOKUP(M$2, Percentiles!$A$45:$I$59, 6, FALSE), perc_90, VLOOKUP(M$2, Percentiles!$A$45:$I$59, 7, FALSE), perc_95, VLOOKUP(M$2, Percentiles!$A$45:$I$59, 8, FALSE), perc_85, perc_75 + (perc_90 - perc_75) * (2/3), converted_stat, '2K_Ratings'!M722, IF(bbgm_stat &gt;= perc_95, converted_stat * 3, IF(bbgm_stat &gt;= perc_90, converted_stat * 2, IF(bbgm_stat &gt;= perc_85, converted_stat * 1.5, converted_stat)))))</f>
        <v/>
      </c>
      <c r="N722" s="30" t="str">
        <f t="array" ref="N722">IF($A722="", "", LET(bbgm_stat, INDEX(Players!$A721:$P721, MATCH(N$2, Players!$A$1:$P$1, 0)), perc_75, VLOOKUP(N$2, Percentiles!$A$45:$I$59, 6, FALSE), perc_90, VLOOKUP(N$2, Percentiles!$A$45:$I$59, 7, FALSE), perc_95, VLOOKUP(N$2, Percentiles!$A$45:$I$59, 8, FALSE), perc_85, perc_75 + (perc_90 - perc_75) * (2/3), converted_stat, '2K_Ratings'!N722, IF(bbgm_stat &gt;= perc_95, converted_stat * 3, IF(bbgm_stat &gt;= perc_90, converted_stat * 2, IF(bbgm_stat &gt;= perc_85, converted_stat * 1.5, converted_stat)))))</f>
        <v/>
      </c>
      <c r="O722" s="30" t="str">
        <f t="array" ref="O722">IF($A722="", "", LET(bbgm_stat, INDEX(Players!$A721:$P721, MATCH(O$2, Players!$A$1:$P$1, 0)), perc_75, VLOOKUP(O$2, Percentiles!$A$45:$I$59, 6, FALSE), perc_90, VLOOKUP(O$2, Percentiles!$A$45:$I$59, 7, FALSE), perc_95, VLOOKUP(O$2, Percentiles!$A$45:$I$59, 8, FALSE), perc_85, perc_75 + (perc_90 - perc_75) * (2/3), converted_stat, '2K_Ratings'!O722, IF(bbgm_stat &gt;= perc_95, converted_stat * 3, IF(bbgm_stat &gt;= perc_90, converted_stat * 2, IF(bbgm_stat &gt;= perc_85, converted_stat * 1.5, converted_stat)))))</f>
        <v/>
      </c>
      <c r="P722" s="30" t="str">
        <f t="array" ref="P722">IF($A722="", "", LET(bbgm_stat, INDEX(Players!$A721:$P721, MATCH(P$2, Players!$A$1:$P$1, 0)), perc_75, VLOOKUP(P$2, Percentiles!$A$45:$I$59, 6, FALSE), perc_90, VLOOKUP(P$2, Percentiles!$A$45:$I$59, 7, FALSE), perc_95, VLOOKUP(P$2, Percentiles!$A$45:$I$59, 8, FALSE), perc_85, perc_75 + (perc_90 - perc_75) * (2/3), converted_stat, '2K_Ratings'!P722, IF(bbgm_stat &gt;= perc_95, converted_stat * 3, IF(bbgm_stat &gt;= perc_90, converted_stat * 2, IF(bbgm_stat &gt;= perc_85, converted_stat * 1.5, converted_stat)))))</f>
        <v/>
      </c>
      <c r="Q722" s="30" t="str">
        <f t="array" ref="Q722">IF($A722="", "", LET(bbgm_stat, INDEX(Players!$A721:$P721, MATCH(Q$2, Players!$A$1:$P$1, 0)), perc_75, VLOOKUP(Q$2, Percentiles!$A$45:$I$59, 6, FALSE), perc_90, VLOOKUP(Q$2, Percentiles!$A$45:$I$59, 7, FALSE), perc_95, VLOOKUP(Q$2, Percentiles!$A$45:$I$59, 8, FALSE), perc_85, perc_75 + (perc_90 - perc_75) * (2/3), converted_stat, '2K_Ratings'!Q722, IF(bbgm_stat &gt;= perc_95, converted_stat * 3, IF(bbgm_stat &gt;= perc_90, converted_stat * 2, IF(bbgm_stat &gt;= perc_85, converted_stat * 1.5, converted_stat)))))</f>
        <v/>
      </c>
      <c r="R722" s="30" t="str">
        <f t="array" ref="R722">IF($A722="", "", LET(bbgm_stat, INDEX(Players!$A721:$P721, MATCH(R$2, Players!$A$1:$P$1, 0)), perc_75, VLOOKUP(R$2, Percentiles!$A$45:$I$59, 6, FALSE), perc_90, VLOOKUP(R$2, Percentiles!$A$45:$I$59, 7, FALSE), perc_95, VLOOKUP(R$2, Percentiles!$A$45:$I$59, 8, FALSE), perc_85, perc_75 + (perc_90 - perc_75) * (2/3), converted_stat, '2K_Ratings'!R722, IF(bbgm_stat &gt;= perc_95, converted_stat * 3, IF(bbgm_stat &gt;= perc_90, converted_stat * 2, IF(bbgm_stat &gt;= perc_85, converted_stat * 1.5, converted_stat)))))</f>
        <v/>
      </c>
      <c r="S722" s="30" t="str">
        <f t="array" ref="S722">IF($A722="", "", LET(bbgm_stat, INDEX(Players!$A721:$P721, MATCH(S$2, Players!$A$1:$P$1, 0)), perc_75, VLOOKUP(S$2, Percentiles!$A$45:$I$59, 6, FALSE), perc_90, VLOOKUP(S$2, Percentiles!$A$45:$I$59, 7, FALSE), perc_95, VLOOKUP(S$2, Percentiles!$A$45:$I$59, 8, FALSE), perc_85, perc_75 + (perc_90 - perc_75) * (2/3), converted_stat, '2K_Ratings'!S722, IF(bbgm_stat &gt;= perc_95, converted_stat * 3, IF(bbgm_stat &gt;= perc_90, converted_stat * 2, IF(bbgm_stat &gt;= perc_85, converted_stat * 1.5, converted_stat)))))</f>
        <v/>
      </c>
      <c r="T722" s="30" t="str">
        <f t="array" ref="T722">IF($A722="", "", LET(bbgm_stat, INDEX(Players!$A721:$P721, MATCH(T$2, Players!$A$1:$P$1, 0)), perc_75, VLOOKUP(T$2, Percentiles!$A$45:$I$59, 6, FALSE), perc_90, VLOOKUP(T$2, Percentiles!$A$45:$I$59, 7, FALSE), perc_95, VLOOKUP(T$2, Percentiles!$A$45:$I$59, 8, FALSE), perc_85, perc_75 + (perc_90 - perc_75) * (2/3), converted_stat, '2K_Ratings'!T722, IF(bbgm_stat &gt;= perc_95, converted_stat * 3, IF(bbgm_stat &gt;= perc_90, converted_stat * 2, IF(bbgm_stat &gt;= perc_85, converted_stat * 1.5, converted_stat)))))</f>
        <v/>
      </c>
      <c r="U722" s="30" t="str">
        <f t="array" ref="U722">IF($A722="", "", LET(bbgm_stat, INDEX(Players!$A721:$P721, MATCH(U$2, Players!$A$1:$P$1, 0)), perc_75, VLOOKUP(U$2, Percentiles!$A$45:$I$59, 6, FALSE), perc_90, VLOOKUP(U$2, Percentiles!$A$45:$I$59, 7, FALSE), perc_95, VLOOKUP(U$2, Percentiles!$A$45:$I$59, 8, FALSE), perc_85, perc_75 + (perc_90 - perc_75) * (2/3), converted_stat, '2K_Ratings'!U722, IF(bbgm_stat &gt;= perc_95, converted_stat * 3, IF(bbgm_stat &gt;= perc_90, converted_stat * 2, IF(bbgm_stat &gt;= perc_85, converted_stat * 1.5, converted_stat)))))</f>
        <v/>
      </c>
      <c r="V722" s="30" t="str">
        <f t="array" ref="V722">IF($A722="", "", LET(bbgm_stat, INDEX(Players!$A721:$P721, MATCH(V$2, Players!$A$1:$P$1, 0)), perc_75, VLOOKUP(V$2, Percentiles!$A$45:$I$59, 6, FALSE), perc_90, VLOOKUP(V$2, Percentiles!$A$45:$I$59, 7, FALSE), perc_95, VLOOKUP(V$2, Percentiles!$A$45:$I$59, 8, FALSE), perc_85, perc_75 + (perc_90 - perc_75) * (2/3), converted_stat, '2K_Ratings'!V722, IF(bbgm_stat &gt;= perc_95, converted_stat * 3, IF(bbgm_stat &gt;= perc_90, converted_stat * 2, IF(bbgm_stat &gt;= perc_85, converted_stat * 1.5, converted_stat)))))</f>
        <v/>
      </c>
      <c r="W722" s="30" t="str">
        <f t="array" ref="W722">IF($A722="", "", LET(bbgm_stat, INDEX(Players!$A721:$P721, MATCH(W$2, Players!$A$1:$P$1, 0)), perc_75, VLOOKUP(W$2, Percentiles!$A$45:$I$59, 6, FALSE), perc_90, VLOOKUP(W$2, Percentiles!$A$45:$I$59, 7, FALSE), perc_95, VLOOKUP(W$2, Percentiles!$A$45:$I$59, 8, FALSE), perc_85, perc_75 + (perc_90 - perc_75) * (2/3), converted_stat, '2K_Ratings'!W722, IF(bbgm_stat &gt;= perc_95, converted_stat * 3, IF(bbgm_stat &gt;= perc_90, converted_stat * 2, IF(bbgm_stat &gt;= perc_85, converted_stat * 1.5, converted_stat)))))</f>
        <v/>
      </c>
    </row>
    <row r="723">
      <c r="A723" s="30"/>
      <c r="B723" s="30" t="str">
        <f t="array" ref="B723">IF($A723="", "", LET(bbgm_stat, INDEX(Players!$A722:$P722, MATCH(B$2, Players!$A$1:$P$1, 0)), perc_75, VLOOKUP(B$2, Percentiles!$A$45:$I$59, 6, FALSE), perc_90, VLOOKUP(B$2, Percentiles!$A$45:$I$59, 7, FALSE), perc_95, VLOOKUP(B$2, Percentiles!$A$45:$I$59, 8, FALSE), perc_85, perc_75 + (perc_90 - perc_75) * (2/3), converted_stat, '2K_Ratings'!B723, IF(bbgm_stat &gt;= perc_95, converted_stat * 3, IF(bbgm_stat &gt;= perc_90, converted_stat * 2, IF(bbgm_stat &gt;= perc_85, converted_stat * 1.5, converted_stat)))))</f>
        <v/>
      </c>
      <c r="C723" s="30" t="str">
        <f t="array" ref="C723">IF($A723="", "", LET(bbgm_stat, INDEX(Players!$A722:$P722, MATCH(C$2, Players!$A$1:$P$1, 0)), perc_75, VLOOKUP(C$2, Percentiles!$A$45:$I$59, 6, FALSE), perc_90, VLOOKUP(C$2, Percentiles!$A$45:$I$59, 7, FALSE), perc_95, VLOOKUP(C$2, Percentiles!$A$45:$I$59, 8, FALSE), perc_85, perc_75 + (perc_90 - perc_75) * (2/3), converted_stat, '2K_Ratings'!C723, IF(bbgm_stat &gt;= perc_95, converted_stat * 3, IF(bbgm_stat &gt;= perc_90, converted_stat * 2, IF(bbgm_stat &gt;= perc_85, converted_stat * 1.5, converted_stat)))))</f>
        <v/>
      </c>
      <c r="D723" s="30" t="str">
        <f t="array" ref="D723">IF($A723="", "", LET(bbgm_stat, INDEX(Players!$A722:$P722, MATCH(D$2, Players!$A$1:$P$1, 0)), perc_75, VLOOKUP(D$2, Percentiles!$A$45:$I$59, 6, FALSE), perc_90, VLOOKUP(D$2, Percentiles!$A$45:$I$59, 7, FALSE), perc_95, VLOOKUP(D$2, Percentiles!$A$45:$I$59, 8, FALSE), perc_85, perc_75 + (perc_90 - perc_75) * (2/3), converted_stat, '2K_Ratings'!D723, IF(bbgm_stat &gt;= perc_95, converted_stat * 3, IF(bbgm_stat &gt;= perc_90, converted_stat * 2, IF(bbgm_stat &gt;= perc_85, converted_stat * 1.5, converted_stat)))))</f>
        <v/>
      </c>
      <c r="E723" s="30" t="str">
        <f t="array" ref="E723">IF($A723="", "", LET(bbgm_stat, INDEX(Players!$A722:$P722, MATCH(E$2, Players!$A$1:$P$1, 0)), perc_75, VLOOKUP(E$2, Percentiles!$A$45:$I$59, 6, FALSE), perc_90, VLOOKUP(E$2, Percentiles!$A$45:$I$59, 7, FALSE), perc_95, VLOOKUP(E$2, Percentiles!$A$45:$I$59, 8, FALSE), perc_85, perc_75 + (perc_90 - perc_75) * (2/3), converted_stat, '2K_Ratings'!E723, IF(bbgm_stat &gt;= perc_95, converted_stat * 3, IF(bbgm_stat &gt;= perc_90, converted_stat * 2, IF(bbgm_stat &gt;= perc_85, converted_stat * 1.5, converted_stat)))))</f>
        <v/>
      </c>
      <c r="F723" s="30" t="str">
        <f t="array" ref="F723">IF($A723="", "", LET(bbgm_stat, INDEX(Players!$A722:$P722, MATCH(F$2, Players!$A$1:$P$1, 0)), perc_75, VLOOKUP(F$2, Percentiles!$A$45:$I$59, 6, FALSE), perc_90, VLOOKUP(F$2, Percentiles!$A$45:$I$59, 7, FALSE), perc_95, VLOOKUP(F$2, Percentiles!$A$45:$I$59, 8, FALSE), perc_85, perc_75 + (perc_90 - perc_75) * (2/3), converted_stat, '2K_Ratings'!F723, IF(bbgm_stat &gt;= perc_95, converted_stat * 3, IF(bbgm_stat &gt;= perc_90, converted_stat * 2, IF(bbgm_stat &gt;= perc_85, converted_stat * 1.5, converted_stat)))))</f>
        <v/>
      </c>
      <c r="G723" s="30" t="str">
        <f t="array" ref="G723">IF($A723="", "", LET(bbgm_stat, INDEX(Players!$A722:$P722, MATCH(G$2, Players!$A$1:$P$1, 0)), perc_75, VLOOKUP(G$2, Percentiles!$A$45:$I$59, 6, FALSE), perc_90, VLOOKUP(G$2, Percentiles!$A$45:$I$59, 7, FALSE), perc_95, VLOOKUP(G$2, Percentiles!$A$45:$I$59, 8, FALSE), perc_85, perc_75 + (perc_90 - perc_75) * (2/3), converted_stat, '2K_Ratings'!G723, IF(bbgm_stat &gt;= perc_95, converted_stat * 3, IF(bbgm_stat &gt;= perc_90, converted_stat * 2, IF(bbgm_stat &gt;= perc_85, converted_stat * 1.5, converted_stat)))))</f>
        <v/>
      </c>
      <c r="H723" s="30" t="str">
        <f t="array" ref="H723">IF($A723="", "", LET(bbgm_stat, INDEX(Players!$A722:$P722, MATCH(H$2, Players!$A$1:$P$1, 0)), perc_75, VLOOKUP(H$2, Percentiles!$A$45:$I$59, 6, FALSE), perc_90, VLOOKUP(H$2, Percentiles!$A$45:$I$59, 7, FALSE), perc_95, VLOOKUP(H$2, Percentiles!$A$45:$I$59, 8, FALSE), perc_85, perc_75 + (perc_90 - perc_75) * (2/3), converted_stat, '2K_Ratings'!H723, IF(bbgm_stat &gt;= perc_95, converted_stat * 3, IF(bbgm_stat &gt;= perc_90, converted_stat * 2, IF(bbgm_stat &gt;= perc_85, converted_stat * 1.5, converted_stat)))))</f>
        <v/>
      </c>
      <c r="I723" s="30" t="str">
        <f t="array" ref="I723">IF($A723="", "", LET(bbgm_stat, INDEX(Players!$A722:$P722, MATCH(I$2, Players!$A$1:$P$1, 0)), perc_75, VLOOKUP(I$2, Percentiles!$A$45:$I$59, 6, FALSE), perc_90, VLOOKUP(I$2, Percentiles!$A$45:$I$59, 7, FALSE), perc_95, VLOOKUP(I$2, Percentiles!$A$45:$I$59, 8, FALSE), perc_85, perc_75 + (perc_90 - perc_75) * (2/3), converted_stat, '2K_Ratings'!I723, IF(bbgm_stat &gt;= perc_95, converted_stat * 3, IF(bbgm_stat &gt;= perc_90, converted_stat * 2, IF(bbgm_stat &gt;= perc_85, converted_stat * 1.5, converted_stat)))))</f>
        <v/>
      </c>
      <c r="J723" s="30" t="str">
        <f t="array" ref="J723">IF($A723="", "", LET(bbgm_stat, INDEX(Players!$A722:$P722, MATCH(J$2, Players!$A$1:$P$1, 0)), perc_75, VLOOKUP(J$2, Percentiles!$A$45:$I$59, 6, FALSE), perc_90, VLOOKUP(J$2, Percentiles!$A$45:$I$59, 7, FALSE), perc_95, VLOOKUP(J$2, Percentiles!$A$45:$I$59, 8, FALSE), perc_85, perc_75 + (perc_90 - perc_75) * (2/3), converted_stat, '2K_Ratings'!J723, IF(bbgm_stat &gt;= perc_95, converted_stat * 3, IF(bbgm_stat &gt;= perc_90, converted_stat * 2, IF(bbgm_stat &gt;= perc_85, converted_stat * 1.5, converted_stat)))))</f>
        <v/>
      </c>
      <c r="K723" s="30" t="str">
        <f t="array" ref="K723">IF($A723="", "", LET(bbgm_stat, INDEX(Players!$A722:$P722, MATCH(K$2, Players!$A$1:$P$1, 0)), perc_75, VLOOKUP(K$2, Percentiles!$A$45:$I$59, 6, FALSE), perc_90, VLOOKUP(K$2, Percentiles!$A$45:$I$59, 7, FALSE), perc_95, VLOOKUP(K$2, Percentiles!$A$45:$I$59, 8, FALSE), perc_85, perc_75 + (perc_90 - perc_75) * (2/3), converted_stat, '2K_Ratings'!K723, IF(bbgm_stat &gt;= perc_95, converted_stat * 3, IF(bbgm_stat &gt;= perc_90, converted_stat * 2, IF(bbgm_stat &gt;= perc_85, converted_stat * 1.5, converted_stat)))))</f>
        <v/>
      </c>
      <c r="L723" s="30" t="str">
        <f t="array" ref="L723">IF($A723="", "", LET(bbgm_stat, INDEX(Players!$A722:$P722, MATCH(L$2, Players!$A$1:$P$1, 0)), perc_75, VLOOKUP(L$2, Percentiles!$A$45:$I$59, 6, FALSE), perc_90, VLOOKUP(L$2, Percentiles!$A$45:$I$59, 7, FALSE), perc_95, VLOOKUP(L$2, Percentiles!$A$45:$I$59, 8, FALSE), perc_85, perc_75 + (perc_90 - perc_75) * (2/3), converted_stat, '2K_Ratings'!L723, IF(bbgm_stat &gt;= perc_95, converted_stat * 3, IF(bbgm_stat &gt;= perc_90, converted_stat * 2, IF(bbgm_stat &gt;= perc_85, converted_stat * 1.5, converted_stat)))))</f>
        <v/>
      </c>
      <c r="M723" s="30" t="str">
        <f t="array" ref="M723">IF($A723="", "", LET(bbgm_stat, INDEX(Players!$A722:$P722, MATCH(M$2, Players!$A$1:$P$1, 0)), perc_75, VLOOKUP(M$2, Percentiles!$A$45:$I$59, 6, FALSE), perc_90, VLOOKUP(M$2, Percentiles!$A$45:$I$59, 7, FALSE), perc_95, VLOOKUP(M$2, Percentiles!$A$45:$I$59, 8, FALSE), perc_85, perc_75 + (perc_90 - perc_75) * (2/3), converted_stat, '2K_Ratings'!M723, IF(bbgm_stat &gt;= perc_95, converted_stat * 3, IF(bbgm_stat &gt;= perc_90, converted_stat * 2, IF(bbgm_stat &gt;= perc_85, converted_stat * 1.5, converted_stat)))))</f>
        <v/>
      </c>
      <c r="N723" s="30" t="str">
        <f t="array" ref="N723">IF($A723="", "", LET(bbgm_stat, INDEX(Players!$A722:$P722, MATCH(N$2, Players!$A$1:$P$1, 0)), perc_75, VLOOKUP(N$2, Percentiles!$A$45:$I$59, 6, FALSE), perc_90, VLOOKUP(N$2, Percentiles!$A$45:$I$59, 7, FALSE), perc_95, VLOOKUP(N$2, Percentiles!$A$45:$I$59, 8, FALSE), perc_85, perc_75 + (perc_90 - perc_75) * (2/3), converted_stat, '2K_Ratings'!N723, IF(bbgm_stat &gt;= perc_95, converted_stat * 3, IF(bbgm_stat &gt;= perc_90, converted_stat * 2, IF(bbgm_stat &gt;= perc_85, converted_stat * 1.5, converted_stat)))))</f>
        <v/>
      </c>
      <c r="O723" s="30" t="str">
        <f t="array" ref="O723">IF($A723="", "", LET(bbgm_stat, INDEX(Players!$A722:$P722, MATCH(O$2, Players!$A$1:$P$1, 0)), perc_75, VLOOKUP(O$2, Percentiles!$A$45:$I$59, 6, FALSE), perc_90, VLOOKUP(O$2, Percentiles!$A$45:$I$59, 7, FALSE), perc_95, VLOOKUP(O$2, Percentiles!$A$45:$I$59, 8, FALSE), perc_85, perc_75 + (perc_90 - perc_75) * (2/3), converted_stat, '2K_Ratings'!O723, IF(bbgm_stat &gt;= perc_95, converted_stat * 3, IF(bbgm_stat &gt;= perc_90, converted_stat * 2, IF(bbgm_stat &gt;= perc_85, converted_stat * 1.5, converted_stat)))))</f>
        <v/>
      </c>
      <c r="P723" s="30" t="str">
        <f t="array" ref="P723">IF($A723="", "", LET(bbgm_stat, INDEX(Players!$A722:$P722, MATCH(P$2, Players!$A$1:$P$1, 0)), perc_75, VLOOKUP(P$2, Percentiles!$A$45:$I$59, 6, FALSE), perc_90, VLOOKUP(P$2, Percentiles!$A$45:$I$59, 7, FALSE), perc_95, VLOOKUP(P$2, Percentiles!$A$45:$I$59, 8, FALSE), perc_85, perc_75 + (perc_90 - perc_75) * (2/3), converted_stat, '2K_Ratings'!P723, IF(bbgm_stat &gt;= perc_95, converted_stat * 3, IF(bbgm_stat &gt;= perc_90, converted_stat * 2, IF(bbgm_stat &gt;= perc_85, converted_stat * 1.5, converted_stat)))))</f>
        <v/>
      </c>
      <c r="Q723" s="30" t="str">
        <f t="array" ref="Q723">IF($A723="", "", LET(bbgm_stat, INDEX(Players!$A722:$P722, MATCH(Q$2, Players!$A$1:$P$1, 0)), perc_75, VLOOKUP(Q$2, Percentiles!$A$45:$I$59, 6, FALSE), perc_90, VLOOKUP(Q$2, Percentiles!$A$45:$I$59, 7, FALSE), perc_95, VLOOKUP(Q$2, Percentiles!$A$45:$I$59, 8, FALSE), perc_85, perc_75 + (perc_90 - perc_75) * (2/3), converted_stat, '2K_Ratings'!Q723, IF(bbgm_stat &gt;= perc_95, converted_stat * 3, IF(bbgm_stat &gt;= perc_90, converted_stat * 2, IF(bbgm_stat &gt;= perc_85, converted_stat * 1.5, converted_stat)))))</f>
        <v/>
      </c>
      <c r="R723" s="30" t="str">
        <f t="array" ref="R723">IF($A723="", "", LET(bbgm_stat, INDEX(Players!$A722:$P722, MATCH(R$2, Players!$A$1:$P$1, 0)), perc_75, VLOOKUP(R$2, Percentiles!$A$45:$I$59, 6, FALSE), perc_90, VLOOKUP(R$2, Percentiles!$A$45:$I$59, 7, FALSE), perc_95, VLOOKUP(R$2, Percentiles!$A$45:$I$59, 8, FALSE), perc_85, perc_75 + (perc_90 - perc_75) * (2/3), converted_stat, '2K_Ratings'!R723, IF(bbgm_stat &gt;= perc_95, converted_stat * 3, IF(bbgm_stat &gt;= perc_90, converted_stat * 2, IF(bbgm_stat &gt;= perc_85, converted_stat * 1.5, converted_stat)))))</f>
        <v/>
      </c>
      <c r="S723" s="30" t="str">
        <f t="array" ref="S723">IF($A723="", "", LET(bbgm_stat, INDEX(Players!$A722:$P722, MATCH(S$2, Players!$A$1:$P$1, 0)), perc_75, VLOOKUP(S$2, Percentiles!$A$45:$I$59, 6, FALSE), perc_90, VLOOKUP(S$2, Percentiles!$A$45:$I$59, 7, FALSE), perc_95, VLOOKUP(S$2, Percentiles!$A$45:$I$59, 8, FALSE), perc_85, perc_75 + (perc_90 - perc_75) * (2/3), converted_stat, '2K_Ratings'!S723, IF(bbgm_stat &gt;= perc_95, converted_stat * 3, IF(bbgm_stat &gt;= perc_90, converted_stat * 2, IF(bbgm_stat &gt;= perc_85, converted_stat * 1.5, converted_stat)))))</f>
        <v/>
      </c>
      <c r="T723" s="30" t="str">
        <f t="array" ref="T723">IF($A723="", "", LET(bbgm_stat, INDEX(Players!$A722:$P722, MATCH(T$2, Players!$A$1:$P$1, 0)), perc_75, VLOOKUP(T$2, Percentiles!$A$45:$I$59, 6, FALSE), perc_90, VLOOKUP(T$2, Percentiles!$A$45:$I$59, 7, FALSE), perc_95, VLOOKUP(T$2, Percentiles!$A$45:$I$59, 8, FALSE), perc_85, perc_75 + (perc_90 - perc_75) * (2/3), converted_stat, '2K_Ratings'!T723, IF(bbgm_stat &gt;= perc_95, converted_stat * 3, IF(bbgm_stat &gt;= perc_90, converted_stat * 2, IF(bbgm_stat &gt;= perc_85, converted_stat * 1.5, converted_stat)))))</f>
        <v/>
      </c>
      <c r="U723" s="30" t="str">
        <f t="array" ref="U723">IF($A723="", "", LET(bbgm_stat, INDEX(Players!$A722:$P722, MATCH(U$2, Players!$A$1:$P$1, 0)), perc_75, VLOOKUP(U$2, Percentiles!$A$45:$I$59, 6, FALSE), perc_90, VLOOKUP(U$2, Percentiles!$A$45:$I$59, 7, FALSE), perc_95, VLOOKUP(U$2, Percentiles!$A$45:$I$59, 8, FALSE), perc_85, perc_75 + (perc_90 - perc_75) * (2/3), converted_stat, '2K_Ratings'!U723, IF(bbgm_stat &gt;= perc_95, converted_stat * 3, IF(bbgm_stat &gt;= perc_90, converted_stat * 2, IF(bbgm_stat &gt;= perc_85, converted_stat * 1.5, converted_stat)))))</f>
        <v/>
      </c>
      <c r="V723" s="30" t="str">
        <f t="array" ref="V723">IF($A723="", "", LET(bbgm_stat, INDEX(Players!$A722:$P722, MATCH(V$2, Players!$A$1:$P$1, 0)), perc_75, VLOOKUP(V$2, Percentiles!$A$45:$I$59, 6, FALSE), perc_90, VLOOKUP(V$2, Percentiles!$A$45:$I$59, 7, FALSE), perc_95, VLOOKUP(V$2, Percentiles!$A$45:$I$59, 8, FALSE), perc_85, perc_75 + (perc_90 - perc_75) * (2/3), converted_stat, '2K_Ratings'!V723, IF(bbgm_stat &gt;= perc_95, converted_stat * 3, IF(bbgm_stat &gt;= perc_90, converted_stat * 2, IF(bbgm_stat &gt;= perc_85, converted_stat * 1.5, converted_stat)))))</f>
        <v/>
      </c>
      <c r="W723" s="30" t="str">
        <f t="array" ref="W723">IF($A723="", "", LET(bbgm_stat, INDEX(Players!$A722:$P722, MATCH(W$2, Players!$A$1:$P$1, 0)), perc_75, VLOOKUP(W$2, Percentiles!$A$45:$I$59, 6, FALSE), perc_90, VLOOKUP(W$2, Percentiles!$A$45:$I$59, 7, FALSE), perc_95, VLOOKUP(W$2, Percentiles!$A$45:$I$59, 8, FALSE), perc_85, perc_75 + (perc_90 - perc_75) * (2/3), converted_stat, '2K_Ratings'!W723, IF(bbgm_stat &gt;= perc_95, converted_stat * 3, IF(bbgm_stat &gt;= perc_90, converted_stat * 2, IF(bbgm_stat &gt;= perc_85, converted_stat * 1.5, converted_stat)))))</f>
        <v/>
      </c>
    </row>
    <row r="724">
      <c r="A724" s="30"/>
      <c r="B724" s="30" t="str">
        <f t="array" ref="B724">IF($A724="", "", LET(bbgm_stat, INDEX(Players!$A723:$P723, MATCH(B$2, Players!$A$1:$P$1, 0)), perc_75, VLOOKUP(B$2, Percentiles!$A$45:$I$59, 6, FALSE), perc_90, VLOOKUP(B$2, Percentiles!$A$45:$I$59, 7, FALSE), perc_95, VLOOKUP(B$2, Percentiles!$A$45:$I$59, 8, FALSE), perc_85, perc_75 + (perc_90 - perc_75) * (2/3), converted_stat, '2K_Ratings'!B724, IF(bbgm_stat &gt;= perc_95, converted_stat * 3, IF(bbgm_stat &gt;= perc_90, converted_stat * 2, IF(bbgm_stat &gt;= perc_85, converted_stat * 1.5, converted_stat)))))</f>
        <v/>
      </c>
      <c r="C724" s="30" t="str">
        <f t="array" ref="C724">IF($A724="", "", LET(bbgm_stat, INDEX(Players!$A723:$P723, MATCH(C$2, Players!$A$1:$P$1, 0)), perc_75, VLOOKUP(C$2, Percentiles!$A$45:$I$59, 6, FALSE), perc_90, VLOOKUP(C$2, Percentiles!$A$45:$I$59, 7, FALSE), perc_95, VLOOKUP(C$2, Percentiles!$A$45:$I$59, 8, FALSE), perc_85, perc_75 + (perc_90 - perc_75) * (2/3), converted_stat, '2K_Ratings'!C724, IF(bbgm_stat &gt;= perc_95, converted_stat * 3, IF(bbgm_stat &gt;= perc_90, converted_stat * 2, IF(bbgm_stat &gt;= perc_85, converted_stat * 1.5, converted_stat)))))</f>
        <v/>
      </c>
      <c r="D724" s="30" t="str">
        <f t="array" ref="D724">IF($A724="", "", LET(bbgm_stat, INDEX(Players!$A723:$P723, MATCH(D$2, Players!$A$1:$P$1, 0)), perc_75, VLOOKUP(D$2, Percentiles!$A$45:$I$59, 6, FALSE), perc_90, VLOOKUP(D$2, Percentiles!$A$45:$I$59, 7, FALSE), perc_95, VLOOKUP(D$2, Percentiles!$A$45:$I$59, 8, FALSE), perc_85, perc_75 + (perc_90 - perc_75) * (2/3), converted_stat, '2K_Ratings'!D724, IF(bbgm_stat &gt;= perc_95, converted_stat * 3, IF(bbgm_stat &gt;= perc_90, converted_stat * 2, IF(bbgm_stat &gt;= perc_85, converted_stat * 1.5, converted_stat)))))</f>
        <v/>
      </c>
      <c r="E724" s="30" t="str">
        <f t="array" ref="E724">IF($A724="", "", LET(bbgm_stat, INDEX(Players!$A723:$P723, MATCH(E$2, Players!$A$1:$P$1, 0)), perc_75, VLOOKUP(E$2, Percentiles!$A$45:$I$59, 6, FALSE), perc_90, VLOOKUP(E$2, Percentiles!$A$45:$I$59, 7, FALSE), perc_95, VLOOKUP(E$2, Percentiles!$A$45:$I$59, 8, FALSE), perc_85, perc_75 + (perc_90 - perc_75) * (2/3), converted_stat, '2K_Ratings'!E724, IF(bbgm_stat &gt;= perc_95, converted_stat * 3, IF(bbgm_stat &gt;= perc_90, converted_stat * 2, IF(bbgm_stat &gt;= perc_85, converted_stat * 1.5, converted_stat)))))</f>
        <v/>
      </c>
      <c r="F724" s="30" t="str">
        <f t="array" ref="F724">IF($A724="", "", LET(bbgm_stat, INDEX(Players!$A723:$P723, MATCH(F$2, Players!$A$1:$P$1, 0)), perc_75, VLOOKUP(F$2, Percentiles!$A$45:$I$59, 6, FALSE), perc_90, VLOOKUP(F$2, Percentiles!$A$45:$I$59, 7, FALSE), perc_95, VLOOKUP(F$2, Percentiles!$A$45:$I$59, 8, FALSE), perc_85, perc_75 + (perc_90 - perc_75) * (2/3), converted_stat, '2K_Ratings'!F724, IF(bbgm_stat &gt;= perc_95, converted_stat * 3, IF(bbgm_stat &gt;= perc_90, converted_stat * 2, IF(bbgm_stat &gt;= perc_85, converted_stat * 1.5, converted_stat)))))</f>
        <v/>
      </c>
      <c r="G724" s="30" t="str">
        <f t="array" ref="G724">IF($A724="", "", LET(bbgm_stat, INDEX(Players!$A723:$P723, MATCH(G$2, Players!$A$1:$P$1, 0)), perc_75, VLOOKUP(G$2, Percentiles!$A$45:$I$59, 6, FALSE), perc_90, VLOOKUP(G$2, Percentiles!$A$45:$I$59, 7, FALSE), perc_95, VLOOKUP(G$2, Percentiles!$A$45:$I$59, 8, FALSE), perc_85, perc_75 + (perc_90 - perc_75) * (2/3), converted_stat, '2K_Ratings'!G724, IF(bbgm_stat &gt;= perc_95, converted_stat * 3, IF(bbgm_stat &gt;= perc_90, converted_stat * 2, IF(bbgm_stat &gt;= perc_85, converted_stat * 1.5, converted_stat)))))</f>
        <v/>
      </c>
      <c r="H724" s="30" t="str">
        <f t="array" ref="H724">IF($A724="", "", LET(bbgm_stat, INDEX(Players!$A723:$P723, MATCH(H$2, Players!$A$1:$P$1, 0)), perc_75, VLOOKUP(H$2, Percentiles!$A$45:$I$59, 6, FALSE), perc_90, VLOOKUP(H$2, Percentiles!$A$45:$I$59, 7, FALSE), perc_95, VLOOKUP(H$2, Percentiles!$A$45:$I$59, 8, FALSE), perc_85, perc_75 + (perc_90 - perc_75) * (2/3), converted_stat, '2K_Ratings'!H724, IF(bbgm_stat &gt;= perc_95, converted_stat * 3, IF(bbgm_stat &gt;= perc_90, converted_stat * 2, IF(bbgm_stat &gt;= perc_85, converted_stat * 1.5, converted_stat)))))</f>
        <v/>
      </c>
      <c r="I724" s="30" t="str">
        <f t="array" ref="I724">IF($A724="", "", LET(bbgm_stat, INDEX(Players!$A723:$P723, MATCH(I$2, Players!$A$1:$P$1, 0)), perc_75, VLOOKUP(I$2, Percentiles!$A$45:$I$59, 6, FALSE), perc_90, VLOOKUP(I$2, Percentiles!$A$45:$I$59, 7, FALSE), perc_95, VLOOKUP(I$2, Percentiles!$A$45:$I$59, 8, FALSE), perc_85, perc_75 + (perc_90 - perc_75) * (2/3), converted_stat, '2K_Ratings'!I724, IF(bbgm_stat &gt;= perc_95, converted_stat * 3, IF(bbgm_stat &gt;= perc_90, converted_stat * 2, IF(bbgm_stat &gt;= perc_85, converted_stat * 1.5, converted_stat)))))</f>
        <v/>
      </c>
      <c r="J724" s="30" t="str">
        <f t="array" ref="J724">IF($A724="", "", LET(bbgm_stat, INDEX(Players!$A723:$P723, MATCH(J$2, Players!$A$1:$P$1, 0)), perc_75, VLOOKUP(J$2, Percentiles!$A$45:$I$59, 6, FALSE), perc_90, VLOOKUP(J$2, Percentiles!$A$45:$I$59, 7, FALSE), perc_95, VLOOKUP(J$2, Percentiles!$A$45:$I$59, 8, FALSE), perc_85, perc_75 + (perc_90 - perc_75) * (2/3), converted_stat, '2K_Ratings'!J724, IF(bbgm_stat &gt;= perc_95, converted_stat * 3, IF(bbgm_stat &gt;= perc_90, converted_stat * 2, IF(bbgm_stat &gt;= perc_85, converted_stat * 1.5, converted_stat)))))</f>
        <v/>
      </c>
      <c r="K724" s="30" t="str">
        <f t="array" ref="K724">IF($A724="", "", LET(bbgm_stat, INDEX(Players!$A723:$P723, MATCH(K$2, Players!$A$1:$P$1, 0)), perc_75, VLOOKUP(K$2, Percentiles!$A$45:$I$59, 6, FALSE), perc_90, VLOOKUP(K$2, Percentiles!$A$45:$I$59, 7, FALSE), perc_95, VLOOKUP(K$2, Percentiles!$A$45:$I$59, 8, FALSE), perc_85, perc_75 + (perc_90 - perc_75) * (2/3), converted_stat, '2K_Ratings'!K724, IF(bbgm_stat &gt;= perc_95, converted_stat * 3, IF(bbgm_stat &gt;= perc_90, converted_stat * 2, IF(bbgm_stat &gt;= perc_85, converted_stat * 1.5, converted_stat)))))</f>
        <v/>
      </c>
      <c r="L724" s="30" t="str">
        <f t="array" ref="L724">IF($A724="", "", LET(bbgm_stat, INDEX(Players!$A723:$P723, MATCH(L$2, Players!$A$1:$P$1, 0)), perc_75, VLOOKUP(L$2, Percentiles!$A$45:$I$59, 6, FALSE), perc_90, VLOOKUP(L$2, Percentiles!$A$45:$I$59, 7, FALSE), perc_95, VLOOKUP(L$2, Percentiles!$A$45:$I$59, 8, FALSE), perc_85, perc_75 + (perc_90 - perc_75) * (2/3), converted_stat, '2K_Ratings'!L724, IF(bbgm_stat &gt;= perc_95, converted_stat * 3, IF(bbgm_stat &gt;= perc_90, converted_stat * 2, IF(bbgm_stat &gt;= perc_85, converted_stat * 1.5, converted_stat)))))</f>
        <v/>
      </c>
      <c r="M724" s="30" t="str">
        <f t="array" ref="M724">IF($A724="", "", LET(bbgm_stat, INDEX(Players!$A723:$P723, MATCH(M$2, Players!$A$1:$P$1, 0)), perc_75, VLOOKUP(M$2, Percentiles!$A$45:$I$59, 6, FALSE), perc_90, VLOOKUP(M$2, Percentiles!$A$45:$I$59, 7, FALSE), perc_95, VLOOKUP(M$2, Percentiles!$A$45:$I$59, 8, FALSE), perc_85, perc_75 + (perc_90 - perc_75) * (2/3), converted_stat, '2K_Ratings'!M724, IF(bbgm_stat &gt;= perc_95, converted_stat * 3, IF(bbgm_stat &gt;= perc_90, converted_stat * 2, IF(bbgm_stat &gt;= perc_85, converted_stat * 1.5, converted_stat)))))</f>
        <v/>
      </c>
      <c r="N724" s="30" t="str">
        <f t="array" ref="N724">IF($A724="", "", LET(bbgm_stat, INDEX(Players!$A723:$P723, MATCH(N$2, Players!$A$1:$P$1, 0)), perc_75, VLOOKUP(N$2, Percentiles!$A$45:$I$59, 6, FALSE), perc_90, VLOOKUP(N$2, Percentiles!$A$45:$I$59, 7, FALSE), perc_95, VLOOKUP(N$2, Percentiles!$A$45:$I$59, 8, FALSE), perc_85, perc_75 + (perc_90 - perc_75) * (2/3), converted_stat, '2K_Ratings'!N724, IF(bbgm_stat &gt;= perc_95, converted_stat * 3, IF(bbgm_stat &gt;= perc_90, converted_stat * 2, IF(bbgm_stat &gt;= perc_85, converted_stat * 1.5, converted_stat)))))</f>
        <v/>
      </c>
      <c r="O724" s="30" t="str">
        <f t="array" ref="O724">IF($A724="", "", LET(bbgm_stat, INDEX(Players!$A723:$P723, MATCH(O$2, Players!$A$1:$P$1, 0)), perc_75, VLOOKUP(O$2, Percentiles!$A$45:$I$59, 6, FALSE), perc_90, VLOOKUP(O$2, Percentiles!$A$45:$I$59, 7, FALSE), perc_95, VLOOKUP(O$2, Percentiles!$A$45:$I$59, 8, FALSE), perc_85, perc_75 + (perc_90 - perc_75) * (2/3), converted_stat, '2K_Ratings'!O724, IF(bbgm_stat &gt;= perc_95, converted_stat * 3, IF(bbgm_stat &gt;= perc_90, converted_stat * 2, IF(bbgm_stat &gt;= perc_85, converted_stat * 1.5, converted_stat)))))</f>
        <v/>
      </c>
      <c r="P724" s="30" t="str">
        <f t="array" ref="P724">IF($A724="", "", LET(bbgm_stat, INDEX(Players!$A723:$P723, MATCH(P$2, Players!$A$1:$P$1, 0)), perc_75, VLOOKUP(P$2, Percentiles!$A$45:$I$59, 6, FALSE), perc_90, VLOOKUP(P$2, Percentiles!$A$45:$I$59, 7, FALSE), perc_95, VLOOKUP(P$2, Percentiles!$A$45:$I$59, 8, FALSE), perc_85, perc_75 + (perc_90 - perc_75) * (2/3), converted_stat, '2K_Ratings'!P724, IF(bbgm_stat &gt;= perc_95, converted_stat * 3, IF(bbgm_stat &gt;= perc_90, converted_stat * 2, IF(bbgm_stat &gt;= perc_85, converted_stat * 1.5, converted_stat)))))</f>
        <v/>
      </c>
      <c r="Q724" s="30" t="str">
        <f t="array" ref="Q724">IF($A724="", "", LET(bbgm_stat, INDEX(Players!$A723:$P723, MATCH(Q$2, Players!$A$1:$P$1, 0)), perc_75, VLOOKUP(Q$2, Percentiles!$A$45:$I$59, 6, FALSE), perc_90, VLOOKUP(Q$2, Percentiles!$A$45:$I$59, 7, FALSE), perc_95, VLOOKUP(Q$2, Percentiles!$A$45:$I$59, 8, FALSE), perc_85, perc_75 + (perc_90 - perc_75) * (2/3), converted_stat, '2K_Ratings'!Q724, IF(bbgm_stat &gt;= perc_95, converted_stat * 3, IF(bbgm_stat &gt;= perc_90, converted_stat * 2, IF(bbgm_stat &gt;= perc_85, converted_stat * 1.5, converted_stat)))))</f>
        <v/>
      </c>
      <c r="R724" s="30" t="str">
        <f t="array" ref="R724">IF($A724="", "", LET(bbgm_stat, INDEX(Players!$A723:$P723, MATCH(R$2, Players!$A$1:$P$1, 0)), perc_75, VLOOKUP(R$2, Percentiles!$A$45:$I$59, 6, FALSE), perc_90, VLOOKUP(R$2, Percentiles!$A$45:$I$59, 7, FALSE), perc_95, VLOOKUP(R$2, Percentiles!$A$45:$I$59, 8, FALSE), perc_85, perc_75 + (perc_90 - perc_75) * (2/3), converted_stat, '2K_Ratings'!R724, IF(bbgm_stat &gt;= perc_95, converted_stat * 3, IF(bbgm_stat &gt;= perc_90, converted_stat * 2, IF(bbgm_stat &gt;= perc_85, converted_stat * 1.5, converted_stat)))))</f>
        <v/>
      </c>
      <c r="S724" s="30" t="str">
        <f t="array" ref="S724">IF($A724="", "", LET(bbgm_stat, INDEX(Players!$A723:$P723, MATCH(S$2, Players!$A$1:$P$1, 0)), perc_75, VLOOKUP(S$2, Percentiles!$A$45:$I$59, 6, FALSE), perc_90, VLOOKUP(S$2, Percentiles!$A$45:$I$59, 7, FALSE), perc_95, VLOOKUP(S$2, Percentiles!$A$45:$I$59, 8, FALSE), perc_85, perc_75 + (perc_90 - perc_75) * (2/3), converted_stat, '2K_Ratings'!S724, IF(bbgm_stat &gt;= perc_95, converted_stat * 3, IF(bbgm_stat &gt;= perc_90, converted_stat * 2, IF(bbgm_stat &gt;= perc_85, converted_stat * 1.5, converted_stat)))))</f>
        <v/>
      </c>
      <c r="T724" s="30" t="str">
        <f t="array" ref="T724">IF($A724="", "", LET(bbgm_stat, INDEX(Players!$A723:$P723, MATCH(T$2, Players!$A$1:$P$1, 0)), perc_75, VLOOKUP(T$2, Percentiles!$A$45:$I$59, 6, FALSE), perc_90, VLOOKUP(T$2, Percentiles!$A$45:$I$59, 7, FALSE), perc_95, VLOOKUP(T$2, Percentiles!$A$45:$I$59, 8, FALSE), perc_85, perc_75 + (perc_90 - perc_75) * (2/3), converted_stat, '2K_Ratings'!T724, IF(bbgm_stat &gt;= perc_95, converted_stat * 3, IF(bbgm_stat &gt;= perc_90, converted_stat * 2, IF(bbgm_stat &gt;= perc_85, converted_stat * 1.5, converted_stat)))))</f>
        <v/>
      </c>
      <c r="U724" s="30" t="str">
        <f t="array" ref="U724">IF($A724="", "", LET(bbgm_stat, INDEX(Players!$A723:$P723, MATCH(U$2, Players!$A$1:$P$1, 0)), perc_75, VLOOKUP(U$2, Percentiles!$A$45:$I$59, 6, FALSE), perc_90, VLOOKUP(U$2, Percentiles!$A$45:$I$59, 7, FALSE), perc_95, VLOOKUP(U$2, Percentiles!$A$45:$I$59, 8, FALSE), perc_85, perc_75 + (perc_90 - perc_75) * (2/3), converted_stat, '2K_Ratings'!U724, IF(bbgm_stat &gt;= perc_95, converted_stat * 3, IF(bbgm_stat &gt;= perc_90, converted_stat * 2, IF(bbgm_stat &gt;= perc_85, converted_stat * 1.5, converted_stat)))))</f>
        <v/>
      </c>
      <c r="V724" s="30" t="str">
        <f t="array" ref="V724">IF($A724="", "", LET(bbgm_stat, INDEX(Players!$A723:$P723, MATCH(V$2, Players!$A$1:$P$1, 0)), perc_75, VLOOKUP(V$2, Percentiles!$A$45:$I$59, 6, FALSE), perc_90, VLOOKUP(V$2, Percentiles!$A$45:$I$59, 7, FALSE), perc_95, VLOOKUP(V$2, Percentiles!$A$45:$I$59, 8, FALSE), perc_85, perc_75 + (perc_90 - perc_75) * (2/3), converted_stat, '2K_Ratings'!V724, IF(bbgm_stat &gt;= perc_95, converted_stat * 3, IF(bbgm_stat &gt;= perc_90, converted_stat * 2, IF(bbgm_stat &gt;= perc_85, converted_stat * 1.5, converted_stat)))))</f>
        <v/>
      </c>
      <c r="W724" s="30" t="str">
        <f t="array" ref="W724">IF($A724="", "", LET(bbgm_stat, INDEX(Players!$A723:$P723, MATCH(W$2, Players!$A$1:$P$1, 0)), perc_75, VLOOKUP(W$2, Percentiles!$A$45:$I$59, 6, FALSE), perc_90, VLOOKUP(W$2, Percentiles!$A$45:$I$59, 7, FALSE), perc_95, VLOOKUP(W$2, Percentiles!$A$45:$I$59, 8, FALSE), perc_85, perc_75 + (perc_90 - perc_75) * (2/3), converted_stat, '2K_Ratings'!W724, IF(bbgm_stat &gt;= perc_95, converted_stat * 3, IF(bbgm_stat &gt;= perc_90, converted_stat * 2, IF(bbgm_stat &gt;= perc_85, converted_stat * 1.5, converted_stat)))))</f>
        <v/>
      </c>
    </row>
    <row r="725">
      <c r="A725" s="30"/>
      <c r="B725" s="30" t="str">
        <f t="array" ref="B725">IF($A725="", "", LET(bbgm_stat, INDEX(Players!$A724:$P724, MATCH(B$2, Players!$A$1:$P$1, 0)), perc_75, VLOOKUP(B$2, Percentiles!$A$45:$I$59, 6, FALSE), perc_90, VLOOKUP(B$2, Percentiles!$A$45:$I$59, 7, FALSE), perc_95, VLOOKUP(B$2, Percentiles!$A$45:$I$59, 8, FALSE), perc_85, perc_75 + (perc_90 - perc_75) * (2/3), converted_stat, '2K_Ratings'!B725, IF(bbgm_stat &gt;= perc_95, converted_stat * 3, IF(bbgm_stat &gt;= perc_90, converted_stat * 2, IF(bbgm_stat &gt;= perc_85, converted_stat * 1.5, converted_stat)))))</f>
        <v/>
      </c>
      <c r="C725" s="30" t="str">
        <f t="array" ref="C725">IF($A725="", "", LET(bbgm_stat, INDEX(Players!$A724:$P724, MATCH(C$2, Players!$A$1:$P$1, 0)), perc_75, VLOOKUP(C$2, Percentiles!$A$45:$I$59, 6, FALSE), perc_90, VLOOKUP(C$2, Percentiles!$A$45:$I$59, 7, FALSE), perc_95, VLOOKUP(C$2, Percentiles!$A$45:$I$59, 8, FALSE), perc_85, perc_75 + (perc_90 - perc_75) * (2/3), converted_stat, '2K_Ratings'!C725, IF(bbgm_stat &gt;= perc_95, converted_stat * 3, IF(bbgm_stat &gt;= perc_90, converted_stat * 2, IF(bbgm_stat &gt;= perc_85, converted_stat * 1.5, converted_stat)))))</f>
        <v/>
      </c>
      <c r="D725" s="30" t="str">
        <f t="array" ref="D725">IF($A725="", "", LET(bbgm_stat, INDEX(Players!$A724:$P724, MATCH(D$2, Players!$A$1:$P$1, 0)), perc_75, VLOOKUP(D$2, Percentiles!$A$45:$I$59, 6, FALSE), perc_90, VLOOKUP(D$2, Percentiles!$A$45:$I$59, 7, FALSE), perc_95, VLOOKUP(D$2, Percentiles!$A$45:$I$59, 8, FALSE), perc_85, perc_75 + (perc_90 - perc_75) * (2/3), converted_stat, '2K_Ratings'!D725, IF(bbgm_stat &gt;= perc_95, converted_stat * 3, IF(bbgm_stat &gt;= perc_90, converted_stat * 2, IF(bbgm_stat &gt;= perc_85, converted_stat * 1.5, converted_stat)))))</f>
        <v/>
      </c>
      <c r="E725" s="30" t="str">
        <f t="array" ref="E725">IF($A725="", "", LET(bbgm_stat, INDEX(Players!$A724:$P724, MATCH(E$2, Players!$A$1:$P$1, 0)), perc_75, VLOOKUP(E$2, Percentiles!$A$45:$I$59, 6, FALSE), perc_90, VLOOKUP(E$2, Percentiles!$A$45:$I$59, 7, FALSE), perc_95, VLOOKUP(E$2, Percentiles!$A$45:$I$59, 8, FALSE), perc_85, perc_75 + (perc_90 - perc_75) * (2/3), converted_stat, '2K_Ratings'!E725, IF(bbgm_stat &gt;= perc_95, converted_stat * 3, IF(bbgm_stat &gt;= perc_90, converted_stat * 2, IF(bbgm_stat &gt;= perc_85, converted_stat * 1.5, converted_stat)))))</f>
        <v/>
      </c>
      <c r="F725" s="30" t="str">
        <f t="array" ref="F725">IF($A725="", "", LET(bbgm_stat, INDEX(Players!$A724:$P724, MATCH(F$2, Players!$A$1:$P$1, 0)), perc_75, VLOOKUP(F$2, Percentiles!$A$45:$I$59, 6, FALSE), perc_90, VLOOKUP(F$2, Percentiles!$A$45:$I$59, 7, FALSE), perc_95, VLOOKUP(F$2, Percentiles!$A$45:$I$59, 8, FALSE), perc_85, perc_75 + (perc_90 - perc_75) * (2/3), converted_stat, '2K_Ratings'!F725, IF(bbgm_stat &gt;= perc_95, converted_stat * 3, IF(bbgm_stat &gt;= perc_90, converted_stat * 2, IF(bbgm_stat &gt;= perc_85, converted_stat * 1.5, converted_stat)))))</f>
        <v/>
      </c>
      <c r="G725" s="30" t="str">
        <f t="array" ref="G725">IF($A725="", "", LET(bbgm_stat, INDEX(Players!$A724:$P724, MATCH(G$2, Players!$A$1:$P$1, 0)), perc_75, VLOOKUP(G$2, Percentiles!$A$45:$I$59, 6, FALSE), perc_90, VLOOKUP(G$2, Percentiles!$A$45:$I$59, 7, FALSE), perc_95, VLOOKUP(G$2, Percentiles!$A$45:$I$59, 8, FALSE), perc_85, perc_75 + (perc_90 - perc_75) * (2/3), converted_stat, '2K_Ratings'!G725, IF(bbgm_stat &gt;= perc_95, converted_stat * 3, IF(bbgm_stat &gt;= perc_90, converted_stat * 2, IF(bbgm_stat &gt;= perc_85, converted_stat * 1.5, converted_stat)))))</f>
        <v/>
      </c>
      <c r="H725" s="30" t="str">
        <f t="array" ref="H725">IF($A725="", "", LET(bbgm_stat, INDEX(Players!$A724:$P724, MATCH(H$2, Players!$A$1:$P$1, 0)), perc_75, VLOOKUP(H$2, Percentiles!$A$45:$I$59, 6, FALSE), perc_90, VLOOKUP(H$2, Percentiles!$A$45:$I$59, 7, FALSE), perc_95, VLOOKUP(H$2, Percentiles!$A$45:$I$59, 8, FALSE), perc_85, perc_75 + (perc_90 - perc_75) * (2/3), converted_stat, '2K_Ratings'!H725, IF(bbgm_stat &gt;= perc_95, converted_stat * 3, IF(bbgm_stat &gt;= perc_90, converted_stat * 2, IF(bbgm_stat &gt;= perc_85, converted_stat * 1.5, converted_stat)))))</f>
        <v/>
      </c>
      <c r="I725" s="30" t="str">
        <f t="array" ref="I725">IF($A725="", "", LET(bbgm_stat, INDEX(Players!$A724:$P724, MATCH(I$2, Players!$A$1:$P$1, 0)), perc_75, VLOOKUP(I$2, Percentiles!$A$45:$I$59, 6, FALSE), perc_90, VLOOKUP(I$2, Percentiles!$A$45:$I$59, 7, FALSE), perc_95, VLOOKUP(I$2, Percentiles!$A$45:$I$59, 8, FALSE), perc_85, perc_75 + (perc_90 - perc_75) * (2/3), converted_stat, '2K_Ratings'!I725, IF(bbgm_stat &gt;= perc_95, converted_stat * 3, IF(bbgm_stat &gt;= perc_90, converted_stat * 2, IF(bbgm_stat &gt;= perc_85, converted_stat * 1.5, converted_stat)))))</f>
        <v/>
      </c>
      <c r="J725" s="30" t="str">
        <f t="array" ref="J725">IF($A725="", "", LET(bbgm_stat, INDEX(Players!$A724:$P724, MATCH(J$2, Players!$A$1:$P$1, 0)), perc_75, VLOOKUP(J$2, Percentiles!$A$45:$I$59, 6, FALSE), perc_90, VLOOKUP(J$2, Percentiles!$A$45:$I$59, 7, FALSE), perc_95, VLOOKUP(J$2, Percentiles!$A$45:$I$59, 8, FALSE), perc_85, perc_75 + (perc_90 - perc_75) * (2/3), converted_stat, '2K_Ratings'!J725, IF(bbgm_stat &gt;= perc_95, converted_stat * 3, IF(bbgm_stat &gt;= perc_90, converted_stat * 2, IF(bbgm_stat &gt;= perc_85, converted_stat * 1.5, converted_stat)))))</f>
        <v/>
      </c>
      <c r="K725" s="30" t="str">
        <f t="array" ref="K725">IF($A725="", "", LET(bbgm_stat, INDEX(Players!$A724:$P724, MATCH(K$2, Players!$A$1:$P$1, 0)), perc_75, VLOOKUP(K$2, Percentiles!$A$45:$I$59, 6, FALSE), perc_90, VLOOKUP(K$2, Percentiles!$A$45:$I$59, 7, FALSE), perc_95, VLOOKUP(K$2, Percentiles!$A$45:$I$59, 8, FALSE), perc_85, perc_75 + (perc_90 - perc_75) * (2/3), converted_stat, '2K_Ratings'!K725, IF(bbgm_stat &gt;= perc_95, converted_stat * 3, IF(bbgm_stat &gt;= perc_90, converted_stat * 2, IF(bbgm_stat &gt;= perc_85, converted_stat * 1.5, converted_stat)))))</f>
        <v/>
      </c>
      <c r="L725" s="30" t="str">
        <f t="array" ref="L725">IF($A725="", "", LET(bbgm_stat, INDEX(Players!$A724:$P724, MATCH(L$2, Players!$A$1:$P$1, 0)), perc_75, VLOOKUP(L$2, Percentiles!$A$45:$I$59, 6, FALSE), perc_90, VLOOKUP(L$2, Percentiles!$A$45:$I$59, 7, FALSE), perc_95, VLOOKUP(L$2, Percentiles!$A$45:$I$59, 8, FALSE), perc_85, perc_75 + (perc_90 - perc_75) * (2/3), converted_stat, '2K_Ratings'!L725, IF(bbgm_stat &gt;= perc_95, converted_stat * 3, IF(bbgm_stat &gt;= perc_90, converted_stat * 2, IF(bbgm_stat &gt;= perc_85, converted_stat * 1.5, converted_stat)))))</f>
        <v/>
      </c>
      <c r="M725" s="30" t="str">
        <f t="array" ref="M725">IF($A725="", "", LET(bbgm_stat, INDEX(Players!$A724:$P724, MATCH(M$2, Players!$A$1:$P$1, 0)), perc_75, VLOOKUP(M$2, Percentiles!$A$45:$I$59, 6, FALSE), perc_90, VLOOKUP(M$2, Percentiles!$A$45:$I$59, 7, FALSE), perc_95, VLOOKUP(M$2, Percentiles!$A$45:$I$59, 8, FALSE), perc_85, perc_75 + (perc_90 - perc_75) * (2/3), converted_stat, '2K_Ratings'!M725, IF(bbgm_stat &gt;= perc_95, converted_stat * 3, IF(bbgm_stat &gt;= perc_90, converted_stat * 2, IF(bbgm_stat &gt;= perc_85, converted_stat * 1.5, converted_stat)))))</f>
        <v/>
      </c>
      <c r="N725" s="30" t="str">
        <f t="array" ref="N725">IF($A725="", "", LET(bbgm_stat, INDEX(Players!$A724:$P724, MATCH(N$2, Players!$A$1:$P$1, 0)), perc_75, VLOOKUP(N$2, Percentiles!$A$45:$I$59, 6, FALSE), perc_90, VLOOKUP(N$2, Percentiles!$A$45:$I$59, 7, FALSE), perc_95, VLOOKUP(N$2, Percentiles!$A$45:$I$59, 8, FALSE), perc_85, perc_75 + (perc_90 - perc_75) * (2/3), converted_stat, '2K_Ratings'!N725, IF(bbgm_stat &gt;= perc_95, converted_stat * 3, IF(bbgm_stat &gt;= perc_90, converted_stat * 2, IF(bbgm_stat &gt;= perc_85, converted_stat * 1.5, converted_stat)))))</f>
        <v/>
      </c>
      <c r="O725" s="30" t="str">
        <f t="array" ref="O725">IF($A725="", "", LET(bbgm_stat, INDEX(Players!$A724:$P724, MATCH(O$2, Players!$A$1:$P$1, 0)), perc_75, VLOOKUP(O$2, Percentiles!$A$45:$I$59, 6, FALSE), perc_90, VLOOKUP(O$2, Percentiles!$A$45:$I$59, 7, FALSE), perc_95, VLOOKUP(O$2, Percentiles!$A$45:$I$59, 8, FALSE), perc_85, perc_75 + (perc_90 - perc_75) * (2/3), converted_stat, '2K_Ratings'!O725, IF(bbgm_stat &gt;= perc_95, converted_stat * 3, IF(bbgm_stat &gt;= perc_90, converted_stat * 2, IF(bbgm_stat &gt;= perc_85, converted_stat * 1.5, converted_stat)))))</f>
        <v/>
      </c>
      <c r="P725" s="30" t="str">
        <f t="array" ref="P725">IF($A725="", "", LET(bbgm_stat, INDEX(Players!$A724:$P724, MATCH(P$2, Players!$A$1:$P$1, 0)), perc_75, VLOOKUP(P$2, Percentiles!$A$45:$I$59, 6, FALSE), perc_90, VLOOKUP(P$2, Percentiles!$A$45:$I$59, 7, FALSE), perc_95, VLOOKUP(P$2, Percentiles!$A$45:$I$59, 8, FALSE), perc_85, perc_75 + (perc_90 - perc_75) * (2/3), converted_stat, '2K_Ratings'!P725, IF(bbgm_stat &gt;= perc_95, converted_stat * 3, IF(bbgm_stat &gt;= perc_90, converted_stat * 2, IF(bbgm_stat &gt;= perc_85, converted_stat * 1.5, converted_stat)))))</f>
        <v/>
      </c>
      <c r="Q725" s="30" t="str">
        <f t="array" ref="Q725">IF($A725="", "", LET(bbgm_stat, INDEX(Players!$A724:$P724, MATCH(Q$2, Players!$A$1:$P$1, 0)), perc_75, VLOOKUP(Q$2, Percentiles!$A$45:$I$59, 6, FALSE), perc_90, VLOOKUP(Q$2, Percentiles!$A$45:$I$59, 7, FALSE), perc_95, VLOOKUP(Q$2, Percentiles!$A$45:$I$59, 8, FALSE), perc_85, perc_75 + (perc_90 - perc_75) * (2/3), converted_stat, '2K_Ratings'!Q725, IF(bbgm_stat &gt;= perc_95, converted_stat * 3, IF(bbgm_stat &gt;= perc_90, converted_stat * 2, IF(bbgm_stat &gt;= perc_85, converted_stat * 1.5, converted_stat)))))</f>
        <v/>
      </c>
      <c r="R725" s="30" t="str">
        <f t="array" ref="R725">IF($A725="", "", LET(bbgm_stat, INDEX(Players!$A724:$P724, MATCH(R$2, Players!$A$1:$P$1, 0)), perc_75, VLOOKUP(R$2, Percentiles!$A$45:$I$59, 6, FALSE), perc_90, VLOOKUP(R$2, Percentiles!$A$45:$I$59, 7, FALSE), perc_95, VLOOKUP(R$2, Percentiles!$A$45:$I$59, 8, FALSE), perc_85, perc_75 + (perc_90 - perc_75) * (2/3), converted_stat, '2K_Ratings'!R725, IF(bbgm_stat &gt;= perc_95, converted_stat * 3, IF(bbgm_stat &gt;= perc_90, converted_stat * 2, IF(bbgm_stat &gt;= perc_85, converted_stat * 1.5, converted_stat)))))</f>
        <v/>
      </c>
      <c r="S725" s="30" t="str">
        <f t="array" ref="S725">IF($A725="", "", LET(bbgm_stat, INDEX(Players!$A724:$P724, MATCH(S$2, Players!$A$1:$P$1, 0)), perc_75, VLOOKUP(S$2, Percentiles!$A$45:$I$59, 6, FALSE), perc_90, VLOOKUP(S$2, Percentiles!$A$45:$I$59, 7, FALSE), perc_95, VLOOKUP(S$2, Percentiles!$A$45:$I$59, 8, FALSE), perc_85, perc_75 + (perc_90 - perc_75) * (2/3), converted_stat, '2K_Ratings'!S725, IF(bbgm_stat &gt;= perc_95, converted_stat * 3, IF(bbgm_stat &gt;= perc_90, converted_stat * 2, IF(bbgm_stat &gt;= perc_85, converted_stat * 1.5, converted_stat)))))</f>
        <v/>
      </c>
      <c r="T725" s="30" t="str">
        <f t="array" ref="T725">IF($A725="", "", LET(bbgm_stat, INDEX(Players!$A724:$P724, MATCH(T$2, Players!$A$1:$P$1, 0)), perc_75, VLOOKUP(T$2, Percentiles!$A$45:$I$59, 6, FALSE), perc_90, VLOOKUP(T$2, Percentiles!$A$45:$I$59, 7, FALSE), perc_95, VLOOKUP(T$2, Percentiles!$A$45:$I$59, 8, FALSE), perc_85, perc_75 + (perc_90 - perc_75) * (2/3), converted_stat, '2K_Ratings'!T725, IF(bbgm_stat &gt;= perc_95, converted_stat * 3, IF(bbgm_stat &gt;= perc_90, converted_stat * 2, IF(bbgm_stat &gt;= perc_85, converted_stat * 1.5, converted_stat)))))</f>
        <v/>
      </c>
      <c r="U725" s="30" t="str">
        <f t="array" ref="U725">IF($A725="", "", LET(bbgm_stat, INDEX(Players!$A724:$P724, MATCH(U$2, Players!$A$1:$P$1, 0)), perc_75, VLOOKUP(U$2, Percentiles!$A$45:$I$59, 6, FALSE), perc_90, VLOOKUP(U$2, Percentiles!$A$45:$I$59, 7, FALSE), perc_95, VLOOKUP(U$2, Percentiles!$A$45:$I$59, 8, FALSE), perc_85, perc_75 + (perc_90 - perc_75) * (2/3), converted_stat, '2K_Ratings'!U725, IF(bbgm_stat &gt;= perc_95, converted_stat * 3, IF(bbgm_stat &gt;= perc_90, converted_stat * 2, IF(bbgm_stat &gt;= perc_85, converted_stat * 1.5, converted_stat)))))</f>
        <v/>
      </c>
      <c r="V725" s="30" t="str">
        <f t="array" ref="V725">IF($A725="", "", LET(bbgm_stat, INDEX(Players!$A724:$P724, MATCH(V$2, Players!$A$1:$P$1, 0)), perc_75, VLOOKUP(V$2, Percentiles!$A$45:$I$59, 6, FALSE), perc_90, VLOOKUP(V$2, Percentiles!$A$45:$I$59, 7, FALSE), perc_95, VLOOKUP(V$2, Percentiles!$A$45:$I$59, 8, FALSE), perc_85, perc_75 + (perc_90 - perc_75) * (2/3), converted_stat, '2K_Ratings'!V725, IF(bbgm_stat &gt;= perc_95, converted_stat * 3, IF(bbgm_stat &gt;= perc_90, converted_stat * 2, IF(bbgm_stat &gt;= perc_85, converted_stat * 1.5, converted_stat)))))</f>
        <v/>
      </c>
      <c r="W725" s="30" t="str">
        <f t="array" ref="W725">IF($A725="", "", LET(bbgm_stat, INDEX(Players!$A724:$P724, MATCH(W$2, Players!$A$1:$P$1, 0)), perc_75, VLOOKUP(W$2, Percentiles!$A$45:$I$59, 6, FALSE), perc_90, VLOOKUP(W$2, Percentiles!$A$45:$I$59, 7, FALSE), perc_95, VLOOKUP(W$2, Percentiles!$A$45:$I$59, 8, FALSE), perc_85, perc_75 + (perc_90 - perc_75) * (2/3), converted_stat, '2K_Ratings'!W725, IF(bbgm_stat &gt;= perc_95, converted_stat * 3, IF(bbgm_stat &gt;= perc_90, converted_stat * 2, IF(bbgm_stat &gt;= perc_85, converted_stat * 1.5, converted_stat)))))</f>
        <v/>
      </c>
    </row>
    <row r="726">
      <c r="A726" s="30"/>
      <c r="B726" s="30" t="str">
        <f t="array" ref="B726">IF($A726="", "", LET(bbgm_stat, INDEX(Players!$A725:$P725, MATCH(B$2, Players!$A$1:$P$1, 0)), perc_75, VLOOKUP(B$2, Percentiles!$A$45:$I$59, 6, FALSE), perc_90, VLOOKUP(B$2, Percentiles!$A$45:$I$59, 7, FALSE), perc_95, VLOOKUP(B$2, Percentiles!$A$45:$I$59, 8, FALSE), perc_85, perc_75 + (perc_90 - perc_75) * (2/3), converted_stat, '2K_Ratings'!B726, IF(bbgm_stat &gt;= perc_95, converted_stat * 3, IF(bbgm_stat &gt;= perc_90, converted_stat * 2, IF(bbgm_stat &gt;= perc_85, converted_stat * 1.5, converted_stat)))))</f>
        <v/>
      </c>
      <c r="C726" s="30" t="str">
        <f t="array" ref="C726">IF($A726="", "", LET(bbgm_stat, INDEX(Players!$A725:$P725, MATCH(C$2, Players!$A$1:$P$1, 0)), perc_75, VLOOKUP(C$2, Percentiles!$A$45:$I$59, 6, FALSE), perc_90, VLOOKUP(C$2, Percentiles!$A$45:$I$59, 7, FALSE), perc_95, VLOOKUP(C$2, Percentiles!$A$45:$I$59, 8, FALSE), perc_85, perc_75 + (perc_90 - perc_75) * (2/3), converted_stat, '2K_Ratings'!C726, IF(bbgm_stat &gt;= perc_95, converted_stat * 3, IF(bbgm_stat &gt;= perc_90, converted_stat * 2, IF(bbgm_stat &gt;= perc_85, converted_stat * 1.5, converted_stat)))))</f>
        <v/>
      </c>
      <c r="D726" s="30" t="str">
        <f t="array" ref="D726">IF($A726="", "", LET(bbgm_stat, INDEX(Players!$A725:$P725, MATCH(D$2, Players!$A$1:$P$1, 0)), perc_75, VLOOKUP(D$2, Percentiles!$A$45:$I$59, 6, FALSE), perc_90, VLOOKUP(D$2, Percentiles!$A$45:$I$59, 7, FALSE), perc_95, VLOOKUP(D$2, Percentiles!$A$45:$I$59, 8, FALSE), perc_85, perc_75 + (perc_90 - perc_75) * (2/3), converted_stat, '2K_Ratings'!D726, IF(bbgm_stat &gt;= perc_95, converted_stat * 3, IF(bbgm_stat &gt;= perc_90, converted_stat * 2, IF(bbgm_stat &gt;= perc_85, converted_stat * 1.5, converted_stat)))))</f>
        <v/>
      </c>
      <c r="E726" s="30" t="str">
        <f t="array" ref="E726">IF($A726="", "", LET(bbgm_stat, INDEX(Players!$A725:$P725, MATCH(E$2, Players!$A$1:$P$1, 0)), perc_75, VLOOKUP(E$2, Percentiles!$A$45:$I$59, 6, FALSE), perc_90, VLOOKUP(E$2, Percentiles!$A$45:$I$59, 7, FALSE), perc_95, VLOOKUP(E$2, Percentiles!$A$45:$I$59, 8, FALSE), perc_85, perc_75 + (perc_90 - perc_75) * (2/3), converted_stat, '2K_Ratings'!E726, IF(bbgm_stat &gt;= perc_95, converted_stat * 3, IF(bbgm_stat &gt;= perc_90, converted_stat * 2, IF(bbgm_stat &gt;= perc_85, converted_stat * 1.5, converted_stat)))))</f>
        <v/>
      </c>
      <c r="F726" s="30" t="str">
        <f t="array" ref="F726">IF($A726="", "", LET(bbgm_stat, INDEX(Players!$A725:$P725, MATCH(F$2, Players!$A$1:$P$1, 0)), perc_75, VLOOKUP(F$2, Percentiles!$A$45:$I$59, 6, FALSE), perc_90, VLOOKUP(F$2, Percentiles!$A$45:$I$59, 7, FALSE), perc_95, VLOOKUP(F$2, Percentiles!$A$45:$I$59, 8, FALSE), perc_85, perc_75 + (perc_90 - perc_75) * (2/3), converted_stat, '2K_Ratings'!F726, IF(bbgm_stat &gt;= perc_95, converted_stat * 3, IF(bbgm_stat &gt;= perc_90, converted_stat * 2, IF(bbgm_stat &gt;= perc_85, converted_stat * 1.5, converted_stat)))))</f>
        <v/>
      </c>
      <c r="G726" s="30" t="str">
        <f t="array" ref="G726">IF($A726="", "", LET(bbgm_stat, INDEX(Players!$A725:$P725, MATCH(G$2, Players!$A$1:$P$1, 0)), perc_75, VLOOKUP(G$2, Percentiles!$A$45:$I$59, 6, FALSE), perc_90, VLOOKUP(G$2, Percentiles!$A$45:$I$59, 7, FALSE), perc_95, VLOOKUP(G$2, Percentiles!$A$45:$I$59, 8, FALSE), perc_85, perc_75 + (perc_90 - perc_75) * (2/3), converted_stat, '2K_Ratings'!G726, IF(bbgm_stat &gt;= perc_95, converted_stat * 3, IF(bbgm_stat &gt;= perc_90, converted_stat * 2, IF(bbgm_stat &gt;= perc_85, converted_stat * 1.5, converted_stat)))))</f>
        <v/>
      </c>
      <c r="H726" s="30" t="str">
        <f t="array" ref="H726">IF($A726="", "", LET(bbgm_stat, INDEX(Players!$A725:$P725, MATCH(H$2, Players!$A$1:$P$1, 0)), perc_75, VLOOKUP(H$2, Percentiles!$A$45:$I$59, 6, FALSE), perc_90, VLOOKUP(H$2, Percentiles!$A$45:$I$59, 7, FALSE), perc_95, VLOOKUP(H$2, Percentiles!$A$45:$I$59, 8, FALSE), perc_85, perc_75 + (perc_90 - perc_75) * (2/3), converted_stat, '2K_Ratings'!H726, IF(bbgm_stat &gt;= perc_95, converted_stat * 3, IF(bbgm_stat &gt;= perc_90, converted_stat * 2, IF(bbgm_stat &gt;= perc_85, converted_stat * 1.5, converted_stat)))))</f>
        <v/>
      </c>
      <c r="I726" s="30" t="str">
        <f t="array" ref="I726">IF($A726="", "", LET(bbgm_stat, INDEX(Players!$A725:$P725, MATCH(I$2, Players!$A$1:$P$1, 0)), perc_75, VLOOKUP(I$2, Percentiles!$A$45:$I$59, 6, FALSE), perc_90, VLOOKUP(I$2, Percentiles!$A$45:$I$59, 7, FALSE), perc_95, VLOOKUP(I$2, Percentiles!$A$45:$I$59, 8, FALSE), perc_85, perc_75 + (perc_90 - perc_75) * (2/3), converted_stat, '2K_Ratings'!I726, IF(bbgm_stat &gt;= perc_95, converted_stat * 3, IF(bbgm_stat &gt;= perc_90, converted_stat * 2, IF(bbgm_stat &gt;= perc_85, converted_stat * 1.5, converted_stat)))))</f>
        <v/>
      </c>
      <c r="J726" s="30" t="str">
        <f t="array" ref="J726">IF($A726="", "", LET(bbgm_stat, INDEX(Players!$A725:$P725, MATCH(J$2, Players!$A$1:$P$1, 0)), perc_75, VLOOKUP(J$2, Percentiles!$A$45:$I$59, 6, FALSE), perc_90, VLOOKUP(J$2, Percentiles!$A$45:$I$59, 7, FALSE), perc_95, VLOOKUP(J$2, Percentiles!$A$45:$I$59, 8, FALSE), perc_85, perc_75 + (perc_90 - perc_75) * (2/3), converted_stat, '2K_Ratings'!J726, IF(bbgm_stat &gt;= perc_95, converted_stat * 3, IF(bbgm_stat &gt;= perc_90, converted_stat * 2, IF(bbgm_stat &gt;= perc_85, converted_stat * 1.5, converted_stat)))))</f>
        <v/>
      </c>
      <c r="K726" s="30" t="str">
        <f t="array" ref="K726">IF($A726="", "", LET(bbgm_stat, INDEX(Players!$A725:$P725, MATCH(K$2, Players!$A$1:$P$1, 0)), perc_75, VLOOKUP(K$2, Percentiles!$A$45:$I$59, 6, FALSE), perc_90, VLOOKUP(K$2, Percentiles!$A$45:$I$59, 7, FALSE), perc_95, VLOOKUP(K$2, Percentiles!$A$45:$I$59, 8, FALSE), perc_85, perc_75 + (perc_90 - perc_75) * (2/3), converted_stat, '2K_Ratings'!K726, IF(bbgm_stat &gt;= perc_95, converted_stat * 3, IF(bbgm_stat &gt;= perc_90, converted_stat * 2, IF(bbgm_stat &gt;= perc_85, converted_stat * 1.5, converted_stat)))))</f>
        <v/>
      </c>
      <c r="L726" s="30" t="str">
        <f t="array" ref="L726">IF($A726="", "", LET(bbgm_stat, INDEX(Players!$A725:$P725, MATCH(L$2, Players!$A$1:$P$1, 0)), perc_75, VLOOKUP(L$2, Percentiles!$A$45:$I$59, 6, FALSE), perc_90, VLOOKUP(L$2, Percentiles!$A$45:$I$59, 7, FALSE), perc_95, VLOOKUP(L$2, Percentiles!$A$45:$I$59, 8, FALSE), perc_85, perc_75 + (perc_90 - perc_75) * (2/3), converted_stat, '2K_Ratings'!L726, IF(bbgm_stat &gt;= perc_95, converted_stat * 3, IF(bbgm_stat &gt;= perc_90, converted_stat * 2, IF(bbgm_stat &gt;= perc_85, converted_stat * 1.5, converted_stat)))))</f>
        <v/>
      </c>
      <c r="M726" s="30" t="str">
        <f t="array" ref="M726">IF($A726="", "", LET(bbgm_stat, INDEX(Players!$A725:$P725, MATCH(M$2, Players!$A$1:$P$1, 0)), perc_75, VLOOKUP(M$2, Percentiles!$A$45:$I$59, 6, FALSE), perc_90, VLOOKUP(M$2, Percentiles!$A$45:$I$59, 7, FALSE), perc_95, VLOOKUP(M$2, Percentiles!$A$45:$I$59, 8, FALSE), perc_85, perc_75 + (perc_90 - perc_75) * (2/3), converted_stat, '2K_Ratings'!M726, IF(bbgm_stat &gt;= perc_95, converted_stat * 3, IF(bbgm_stat &gt;= perc_90, converted_stat * 2, IF(bbgm_stat &gt;= perc_85, converted_stat * 1.5, converted_stat)))))</f>
        <v/>
      </c>
      <c r="N726" s="30" t="str">
        <f t="array" ref="N726">IF($A726="", "", LET(bbgm_stat, INDEX(Players!$A725:$P725, MATCH(N$2, Players!$A$1:$P$1, 0)), perc_75, VLOOKUP(N$2, Percentiles!$A$45:$I$59, 6, FALSE), perc_90, VLOOKUP(N$2, Percentiles!$A$45:$I$59, 7, FALSE), perc_95, VLOOKUP(N$2, Percentiles!$A$45:$I$59, 8, FALSE), perc_85, perc_75 + (perc_90 - perc_75) * (2/3), converted_stat, '2K_Ratings'!N726, IF(bbgm_stat &gt;= perc_95, converted_stat * 3, IF(bbgm_stat &gt;= perc_90, converted_stat * 2, IF(bbgm_stat &gt;= perc_85, converted_stat * 1.5, converted_stat)))))</f>
        <v/>
      </c>
      <c r="O726" s="30" t="str">
        <f t="array" ref="O726">IF($A726="", "", LET(bbgm_stat, INDEX(Players!$A725:$P725, MATCH(O$2, Players!$A$1:$P$1, 0)), perc_75, VLOOKUP(O$2, Percentiles!$A$45:$I$59, 6, FALSE), perc_90, VLOOKUP(O$2, Percentiles!$A$45:$I$59, 7, FALSE), perc_95, VLOOKUP(O$2, Percentiles!$A$45:$I$59, 8, FALSE), perc_85, perc_75 + (perc_90 - perc_75) * (2/3), converted_stat, '2K_Ratings'!O726, IF(bbgm_stat &gt;= perc_95, converted_stat * 3, IF(bbgm_stat &gt;= perc_90, converted_stat * 2, IF(bbgm_stat &gt;= perc_85, converted_stat * 1.5, converted_stat)))))</f>
        <v/>
      </c>
      <c r="P726" s="30" t="str">
        <f t="array" ref="P726">IF($A726="", "", LET(bbgm_stat, INDEX(Players!$A725:$P725, MATCH(P$2, Players!$A$1:$P$1, 0)), perc_75, VLOOKUP(P$2, Percentiles!$A$45:$I$59, 6, FALSE), perc_90, VLOOKUP(P$2, Percentiles!$A$45:$I$59, 7, FALSE), perc_95, VLOOKUP(P$2, Percentiles!$A$45:$I$59, 8, FALSE), perc_85, perc_75 + (perc_90 - perc_75) * (2/3), converted_stat, '2K_Ratings'!P726, IF(bbgm_stat &gt;= perc_95, converted_stat * 3, IF(bbgm_stat &gt;= perc_90, converted_stat * 2, IF(bbgm_stat &gt;= perc_85, converted_stat * 1.5, converted_stat)))))</f>
        <v/>
      </c>
      <c r="Q726" s="30" t="str">
        <f t="array" ref="Q726">IF($A726="", "", LET(bbgm_stat, INDEX(Players!$A725:$P725, MATCH(Q$2, Players!$A$1:$P$1, 0)), perc_75, VLOOKUP(Q$2, Percentiles!$A$45:$I$59, 6, FALSE), perc_90, VLOOKUP(Q$2, Percentiles!$A$45:$I$59, 7, FALSE), perc_95, VLOOKUP(Q$2, Percentiles!$A$45:$I$59, 8, FALSE), perc_85, perc_75 + (perc_90 - perc_75) * (2/3), converted_stat, '2K_Ratings'!Q726, IF(bbgm_stat &gt;= perc_95, converted_stat * 3, IF(bbgm_stat &gt;= perc_90, converted_stat * 2, IF(bbgm_stat &gt;= perc_85, converted_stat * 1.5, converted_stat)))))</f>
        <v/>
      </c>
      <c r="R726" s="30" t="str">
        <f t="array" ref="R726">IF($A726="", "", LET(bbgm_stat, INDEX(Players!$A725:$P725, MATCH(R$2, Players!$A$1:$P$1, 0)), perc_75, VLOOKUP(R$2, Percentiles!$A$45:$I$59, 6, FALSE), perc_90, VLOOKUP(R$2, Percentiles!$A$45:$I$59, 7, FALSE), perc_95, VLOOKUP(R$2, Percentiles!$A$45:$I$59, 8, FALSE), perc_85, perc_75 + (perc_90 - perc_75) * (2/3), converted_stat, '2K_Ratings'!R726, IF(bbgm_stat &gt;= perc_95, converted_stat * 3, IF(bbgm_stat &gt;= perc_90, converted_stat * 2, IF(bbgm_stat &gt;= perc_85, converted_stat * 1.5, converted_stat)))))</f>
        <v/>
      </c>
      <c r="S726" s="30" t="str">
        <f t="array" ref="S726">IF($A726="", "", LET(bbgm_stat, INDEX(Players!$A725:$P725, MATCH(S$2, Players!$A$1:$P$1, 0)), perc_75, VLOOKUP(S$2, Percentiles!$A$45:$I$59, 6, FALSE), perc_90, VLOOKUP(S$2, Percentiles!$A$45:$I$59, 7, FALSE), perc_95, VLOOKUP(S$2, Percentiles!$A$45:$I$59, 8, FALSE), perc_85, perc_75 + (perc_90 - perc_75) * (2/3), converted_stat, '2K_Ratings'!S726, IF(bbgm_stat &gt;= perc_95, converted_stat * 3, IF(bbgm_stat &gt;= perc_90, converted_stat * 2, IF(bbgm_stat &gt;= perc_85, converted_stat * 1.5, converted_stat)))))</f>
        <v/>
      </c>
      <c r="T726" s="30" t="str">
        <f t="array" ref="T726">IF($A726="", "", LET(bbgm_stat, INDEX(Players!$A725:$P725, MATCH(T$2, Players!$A$1:$P$1, 0)), perc_75, VLOOKUP(T$2, Percentiles!$A$45:$I$59, 6, FALSE), perc_90, VLOOKUP(T$2, Percentiles!$A$45:$I$59, 7, FALSE), perc_95, VLOOKUP(T$2, Percentiles!$A$45:$I$59, 8, FALSE), perc_85, perc_75 + (perc_90 - perc_75) * (2/3), converted_stat, '2K_Ratings'!T726, IF(bbgm_stat &gt;= perc_95, converted_stat * 3, IF(bbgm_stat &gt;= perc_90, converted_stat * 2, IF(bbgm_stat &gt;= perc_85, converted_stat * 1.5, converted_stat)))))</f>
        <v/>
      </c>
      <c r="U726" s="30" t="str">
        <f t="array" ref="U726">IF($A726="", "", LET(bbgm_stat, INDEX(Players!$A725:$P725, MATCH(U$2, Players!$A$1:$P$1, 0)), perc_75, VLOOKUP(U$2, Percentiles!$A$45:$I$59, 6, FALSE), perc_90, VLOOKUP(U$2, Percentiles!$A$45:$I$59, 7, FALSE), perc_95, VLOOKUP(U$2, Percentiles!$A$45:$I$59, 8, FALSE), perc_85, perc_75 + (perc_90 - perc_75) * (2/3), converted_stat, '2K_Ratings'!U726, IF(bbgm_stat &gt;= perc_95, converted_stat * 3, IF(bbgm_stat &gt;= perc_90, converted_stat * 2, IF(bbgm_stat &gt;= perc_85, converted_stat * 1.5, converted_stat)))))</f>
        <v/>
      </c>
      <c r="V726" s="30" t="str">
        <f t="array" ref="V726">IF($A726="", "", LET(bbgm_stat, INDEX(Players!$A725:$P725, MATCH(V$2, Players!$A$1:$P$1, 0)), perc_75, VLOOKUP(V$2, Percentiles!$A$45:$I$59, 6, FALSE), perc_90, VLOOKUP(V$2, Percentiles!$A$45:$I$59, 7, FALSE), perc_95, VLOOKUP(V$2, Percentiles!$A$45:$I$59, 8, FALSE), perc_85, perc_75 + (perc_90 - perc_75) * (2/3), converted_stat, '2K_Ratings'!V726, IF(bbgm_stat &gt;= perc_95, converted_stat * 3, IF(bbgm_stat &gt;= perc_90, converted_stat * 2, IF(bbgm_stat &gt;= perc_85, converted_stat * 1.5, converted_stat)))))</f>
        <v/>
      </c>
      <c r="W726" s="30" t="str">
        <f t="array" ref="W726">IF($A726="", "", LET(bbgm_stat, INDEX(Players!$A725:$P725, MATCH(W$2, Players!$A$1:$P$1, 0)), perc_75, VLOOKUP(W$2, Percentiles!$A$45:$I$59, 6, FALSE), perc_90, VLOOKUP(W$2, Percentiles!$A$45:$I$59, 7, FALSE), perc_95, VLOOKUP(W$2, Percentiles!$A$45:$I$59, 8, FALSE), perc_85, perc_75 + (perc_90 - perc_75) * (2/3), converted_stat, '2K_Ratings'!W726, IF(bbgm_stat &gt;= perc_95, converted_stat * 3, IF(bbgm_stat &gt;= perc_90, converted_stat * 2, IF(bbgm_stat &gt;= perc_85, converted_stat * 1.5, converted_stat)))))</f>
        <v/>
      </c>
    </row>
    <row r="727">
      <c r="A727" s="30"/>
      <c r="B727" s="30" t="str">
        <f t="array" ref="B727">IF($A727="", "", LET(bbgm_stat, INDEX(Players!$A726:$P726, MATCH(B$2, Players!$A$1:$P$1, 0)), perc_75, VLOOKUP(B$2, Percentiles!$A$45:$I$59, 6, FALSE), perc_90, VLOOKUP(B$2, Percentiles!$A$45:$I$59, 7, FALSE), perc_95, VLOOKUP(B$2, Percentiles!$A$45:$I$59, 8, FALSE), perc_85, perc_75 + (perc_90 - perc_75) * (2/3), converted_stat, '2K_Ratings'!B727, IF(bbgm_stat &gt;= perc_95, converted_stat * 3, IF(bbgm_stat &gt;= perc_90, converted_stat * 2, IF(bbgm_stat &gt;= perc_85, converted_stat * 1.5, converted_stat)))))</f>
        <v/>
      </c>
      <c r="C727" s="30" t="str">
        <f t="array" ref="C727">IF($A727="", "", LET(bbgm_stat, INDEX(Players!$A726:$P726, MATCH(C$2, Players!$A$1:$P$1, 0)), perc_75, VLOOKUP(C$2, Percentiles!$A$45:$I$59, 6, FALSE), perc_90, VLOOKUP(C$2, Percentiles!$A$45:$I$59, 7, FALSE), perc_95, VLOOKUP(C$2, Percentiles!$A$45:$I$59, 8, FALSE), perc_85, perc_75 + (perc_90 - perc_75) * (2/3), converted_stat, '2K_Ratings'!C727, IF(bbgm_stat &gt;= perc_95, converted_stat * 3, IF(bbgm_stat &gt;= perc_90, converted_stat * 2, IF(bbgm_stat &gt;= perc_85, converted_stat * 1.5, converted_stat)))))</f>
        <v/>
      </c>
      <c r="D727" s="30" t="str">
        <f t="array" ref="D727">IF($A727="", "", LET(bbgm_stat, INDEX(Players!$A726:$P726, MATCH(D$2, Players!$A$1:$P$1, 0)), perc_75, VLOOKUP(D$2, Percentiles!$A$45:$I$59, 6, FALSE), perc_90, VLOOKUP(D$2, Percentiles!$A$45:$I$59, 7, FALSE), perc_95, VLOOKUP(D$2, Percentiles!$A$45:$I$59, 8, FALSE), perc_85, perc_75 + (perc_90 - perc_75) * (2/3), converted_stat, '2K_Ratings'!D727, IF(bbgm_stat &gt;= perc_95, converted_stat * 3, IF(bbgm_stat &gt;= perc_90, converted_stat * 2, IF(bbgm_stat &gt;= perc_85, converted_stat * 1.5, converted_stat)))))</f>
        <v/>
      </c>
      <c r="E727" s="30" t="str">
        <f t="array" ref="E727">IF($A727="", "", LET(bbgm_stat, INDEX(Players!$A726:$P726, MATCH(E$2, Players!$A$1:$P$1, 0)), perc_75, VLOOKUP(E$2, Percentiles!$A$45:$I$59, 6, FALSE), perc_90, VLOOKUP(E$2, Percentiles!$A$45:$I$59, 7, FALSE), perc_95, VLOOKUP(E$2, Percentiles!$A$45:$I$59, 8, FALSE), perc_85, perc_75 + (perc_90 - perc_75) * (2/3), converted_stat, '2K_Ratings'!E727, IF(bbgm_stat &gt;= perc_95, converted_stat * 3, IF(bbgm_stat &gt;= perc_90, converted_stat * 2, IF(bbgm_stat &gt;= perc_85, converted_stat * 1.5, converted_stat)))))</f>
        <v/>
      </c>
      <c r="F727" s="30" t="str">
        <f t="array" ref="F727">IF($A727="", "", LET(bbgm_stat, INDEX(Players!$A726:$P726, MATCH(F$2, Players!$A$1:$P$1, 0)), perc_75, VLOOKUP(F$2, Percentiles!$A$45:$I$59, 6, FALSE), perc_90, VLOOKUP(F$2, Percentiles!$A$45:$I$59, 7, FALSE), perc_95, VLOOKUP(F$2, Percentiles!$A$45:$I$59, 8, FALSE), perc_85, perc_75 + (perc_90 - perc_75) * (2/3), converted_stat, '2K_Ratings'!F727, IF(bbgm_stat &gt;= perc_95, converted_stat * 3, IF(bbgm_stat &gt;= perc_90, converted_stat * 2, IF(bbgm_stat &gt;= perc_85, converted_stat * 1.5, converted_stat)))))</f>
        <v/>
      </c>
      <c r="G727" s="30" t="str">
        <f t="array" ref="G727">IF($A727="", "", LET(bbgm_stat, INDEX(Players!$A726:$P726, MATCH(G$2, Players!$A$1:$P$1, 0)), perc_75, VLOOKUP(G$2, Percentiles!$A$45:$I$59, 6, FALSE), perc_90, VLOOKUP(G$2, Percentiles!$A$45:$I$59, 7, FALSE), perc_95, VLOOKUP(G$2, Percentiles!$A$45:$I$59, 8, FALSE), perc_85, perc_75 + (perc_90 - perc_75) * (2/3), converted_stat, '2K_Ratings'!G727, IF(bbgm_stat &gt;= perc_95, converted_stat * 3, IF(bbgm_stat &gt;= perc_90, converted_stat * 2, IF(bbgm_stat &gt;= perc_85, converted_stat * 1.5, converted_stat)))))</f>
        <v/>
      </c>
      <c r="H727" s="30" t="str">
        <f t="array" ref="H727">IF($A727="", "", LET(bbgm_stat, INDEX(Players!$A726:$P726, MATCH(H$2, Players!$A$1:$P$1, 0)), perc_75, VLOOKUP(H$2, Percentiles!$A$45:$I$59, 6, FALSE), perc_90, VLOOKUP(H$2, Percentiles!$A$45:$I$59, 7, FALSE), perc_95, VLOOKUP(H$2, Percentiles!$A$45:$I$59, 8, FALSE), perc_85, perc_75 + (perc_90 - perc_75) * (2/3), converted_stat, '2K_Ratings'!H727, IF(bbgm_stat &gt;= perc_95, converted_stat * 3, IF(bbgm_stat &gt;= perc_90, converted_stat * 2, IF(bbgm_stat &gt;= perc_85, converted_stat * 1.5, converted_stat)))))</f>
        <v/>
      </c>
      <c r="I727" s="30" t="str">
        <f t="array" ref="I727">IF($A727="", "", LET(bbgm_stat, INDEX(Players!$A726:$P726, MATCH(I$2, Players!$A$1:$P$1, 0)), perc_75, VLOOKUP(I$2, Percentiles!$A$45:$I$59, 6, FALSE), perc_90, VLOOKUP(I$2, Percentiles!$A$45:$I$59, 7, FALSE), perc_95, VLOOKUP(I$2, Percentiles!$A$45:$I$59, 8, FALSE), perc_85, perc_75 + (perc_90 - perc_75) * (2/3), converted_stat, '2K_Ratings'!I727, IF(bbgm_stat &gt;= perc_95, converted_stat * 3, IF(bbgm_stat &gt;= perc_90, converted_stat * 2, IF(bbgm_stat &gt;= perc_85, converted_stat * 1.5, converted_stat)))))</f>
        <v/>
      </c>
      <c r="J727" s="30" t="str">
        <f t="array" ref="J727">IF($A727="", "", LET(bbgm_stat, INDEX(Players!$A726:$P726, MATCH(J$2, Players!$A$1:$P$1, 0)), perc_75, VLOOKUP(J$2, Percentiles!$A$45:$I$59, 6, FALSE), perc_90, VLOOKUP(J$2, Percentiles!$A$45:$I$59, 7, FALSE), perc_95, VLOOKUP(J$2, Percentiles!$A$45:$I$59, 8, FALSE), perc_85, perc_75 + (perc_90 - perc_75) * (2/3), converted_stat, '2K_Ratings'!J727, IF(bbgm_stat &gt;= perc_95, converted_stat * 3, IF(bbgm_stat &gt;= perc_90, converted_stat * 2, IF(bbgm_stat &gt;= perc_85, converted_stat * 1.5, converted_stat)))))</f>
        <v/>
      </c>
      <c r="K727" s="30" t="str">
        <f t="array" ref="K727">IF($A727="", "", LET(bbgm_stat, INDEX(Players!$A726:$P726, MATCH(K$2, Players!$A$1:$P$1, 0)), perc_75, VLOOKUP(K$2, Percentiles!$A$45:$I$59, 6, FALSE), perc_90, VLOOKUP(K$2, Percentiles!$A$45:$I$59, 7, FALSE), perc_95, VLOOKUP(K$2, Percentiles!$A$45:$I$59, 8, FALSE), perc_85, perc_75 + (perc_90 - perc_75) * (2/3), converted_stat, '2K_Ratings'!K727, IF(bbgm_stat &gt;= perc_95, converted_stat * 3, IF(bbgm_stat &gt;= perc_90, converted_stat * 2, IF(bbgm_stat &gt;= perc_85, converted_stat * 1.5, converted_stat)))))</f>
        <v/>
      </c>
      <c r="L727" s="30" t="str">
        <f t="array" ref="L727">IF($A727="", "", LET(bbgm_stat, INDEX(Players!$A726:$P726, MATCH(L$2, Players!$A$1:$P$1, 0)), perc_75, VLOOKUP(L$2, Percentiles!$A$45:$I$59, 6, FALSE), perc_90, VLOOKUP(L$2, Percentiles!$A$45:$I$59, 7, FALSE), perc_95, VLOOKUP(L$2, Percentiles!$A$45:$I$59, 8, FALSE), perc_85, perc_75 + (perc_90 - perc_75) * (2/3), converted_stat, '2K_Ratings'!L727, IF(bbgm_stat &gt;= perc_95, converted_stat * 3, IF(bbgm_stat &gt;= perc_90, converted_stat * 2, IF(bbgm_stat &gt;= perc_85, converted_stat * 1.5, converted_stat)))))</f>
        <v/>
      </c>
      <c r="M727" s="30" t="str">
        <f t="array" ref="M727">IF($A727="", "", LET(bbgm_stat, INDEX(Players!$A726:$P726, MATCH(M$2, Players!$A$1:$P$1, 0)), perc_75, VLOOKUP(M$2, Percentiles!$A$45:$I$59, 6, FALSE), perc_90, VLOOKUP(M$2, Percentiles!$A$45:$I$59, 7, FALSE), perc_95, VLOOKUP(M$2, Percentiles!$A$45:$I$59, 8, FALSE), perc_85, perc_75 + (perc_90 - perc_75) * (2/3), converted_stat, '2K_Ratings'!M727, IF(bbgm_stat &gt;= perc_95, converted_stat * 3, IF(bbgm_stat &gt;= perc_90, converted_stat * 2, IF(bbgm_stat &gt;= perc_85, converted_stat * 1.5, converted_stat)))))</f>
        <v/>
      </c>
      <c r="N727" s="30" t="str">
        <f t="array" ref="N727">IF($A727="", "", LET(bbgm_stat, INDEX(Players!$A726:$P726, MATCH(N$2, Players!$A$1:$P$1, 0)), perc_75, VLOOKUP(N$2, Percentiles!$A$45:$I$59, 6, FALSE), perc_90, VLOOKUP(N$2, Percentiles!$A$45:$I$59, 7, FALSE), perc_95, VLOOKUP(N$2, Percentiles!$A$45:$I$59, 8, FALSE), perc_85, perc_75 + (perc_90 - perc_75) * (2/3), converted_stat, '2K_Ratings'!N727, IF(bbgm_stat &gt;= perc_95, converted_stat * 3, IF(bbgm_stat &gt;= perc_90, converted_stat * 2, IF(bbgm_stat &gt;= perc_85, converted_stat * 1.5, converted_stat)))))</f>
        <v/>
      </c>
      <c r="O727" s="30" t="str">
        <f t="array" ref="O727">IF($A727="", "", LET(bbgm_stat, INDEX(Players!$A726:$P726, MATCH(O$2, Players!$A$1:$P$1, 0)), perc_75, VLOOKUP(O$2, Percentiles!$A$45:$I$59, 6, FALSE), perc_90, VLOOKUP(O$2, Percentiles!$A$45:$I$59, 7, FALSE), perc_95, VLOOKUP(O$2, Percentiles!$A$45:$I$59, 8, FALSE), perc_85, perc_75 + (perc_90 - perc_75) * (2/3), converted_stat, '2K_Ratings'!O727, IF(bbgm_stat &gt;= perc_95, converted_stat * 3, IF(bbgm_stat &gt;= perc_90, converted_stat * 2, IF(bbgm_stat &gt;= perc_85, converted_stat * 1.5, converted_stat)))))</f>
        <v/>
      </c>
      <c r="P727" s="30" t="str">
        <f t="array" ref="P727">IF($A727="", "", LET(bbgm_stat, INDEX(Players!$A726:$P726, MATCH(P$2, Players!$A$1:$P$1, 0)), perc_75, VLOOKUP(P$2, Percentiles!$A$45:$I$59, 6, FALSE), perc_90, VLOOKUP(P$2, Percentiles!$A$45:$I$59, 7, FALSE), perc_95, VLOOKUP(P$2, Percentiles!$A$45:$I$59, 8, FALSE), perc_85, perc_75 + (perc_90 - perc_75) * (2/3), converted_stat, '2K_Ratings'!P727, IF(bbgm_stat &gt;= perc_95, converted_stat * 3, IF(bbgm_stat &gt;= perc_90, converted_stat * 2, IF(bbgm_stat &gt;= perc_85, converted_stat * 1.5, converted_stat)))))</f>
        <v/>
      </c>
      <c r="Q727" s="30" t="str">
        <f t="array" ref="Q727">IF($A727="", "", LET(bbgm_stat, INDEX(Players!$A726:$P726, MATCH(Q$2, Players!$A$1:$P$1, 0)), perc_75, VLOOKUP(Q$2, Percentiles!$A$45:$I$59, 6, FALSE), perc_90, VLOOKUP(Q$2, Percentiles!$A$45:$I$59, 7, FALSE), perc_95, VLOOKUP(Q$2, Percentiles!$A$45:$I$59, 8, FALSE), perc_85, perc_75 + (perc_90 - perc_75) * (2/3), converted_stat, '2K_Ratings'!Q727, IF(bbgm_stat &gt;= perc_95, converted_stat * 3, IF(bbgm_stat &gt;= perc_90, converted_stat * 2, IF(bbgm_stat &gt;= perc_85, converted_stat * 1.5, converted_stat)))))</f>
        <v/>
      </c>
      <c r="R727" s="30" t="str">
        <f t="array" ref="R727">IF($A727="", "", LET(bbgm_stat, INDEX(Players!$A726:$P726, MATCH(R$2, Players!$A$1:$P$1, 0)), perc_75, VLOOKUP(R$2, Percentiles!$A$45:$I$59, 6, FALSE), perc_90, VLOOKUP(R$2, Percentiles!$A$45:$I$59, 7, FALSE), perc_95, VLOOKUP(R$2, Percentiles!$A$45:$I$59, 8, FALSE), perc_85, perc_75 + (perc_90 - perc_75) * (2/3), converted_stat, '2K_Ratings'!R727, IF(bbgm_stat &gt;= perc_95, converted_stat * 3, IF(bbgm_stat &gt;= perc_90, converted_stat * 2, IF(bbgm_stat &gt;= perc_85, converted_stat * 1.5, converted_stat)))))</f>
        <v/>
      </c>
      <c r="S727" s="30" t="str">
        <f t="array" ref="S727">IF($A727="", "", LET(bbgm_stat, INDEX(Players!$A726:$P726, MATCH(S$2, Players!$A$1:$P$1, 0)), perc_75, VLOOKUP(S$2, Percentiles!$A$45:$I$59, 6, FALSE), perc_90, VLOOKUP(S$2, Percentiles!$A$45:$I$59, 7, FALSE), perc_95, VLOOKUP(S$2, Percentiles!$A$45:$I$59, 8, FALSE), perc_85, perc_75 + (perc_90 - perc_75) * (2/3), converted_stat, '2K_Ratings'!S727, IF(bbgm_stat &gt;= perc_95, converted_stat * 3, IF(bbgm_stat &gt;= perc_90, converted_stat * 2, IF(bbgm_stat &gt;= perc_85, converted_stat * 1.5, converted_stat)))))</f>
        <v/>
      </c>
      <c r="T727" s="30" t="str">
        <f t="array" ref="T727">IF($A727="", "", LET(bbgm_stat, INDEX(Players!$A726:$P726, MATCH(T$2, Players!$A$1:$P$1, 0)), perc_75, VLOOKUP(T$2, Percentiles!$A$45:$I$59, 6, FALSE), perc_90, VLOOKUP(T$2, Percentiles!$A$45:$I$59, 7, FALSE), perc_95, VLOOKUP(T$2, Percentiles!$A$45:$I$59, 8, FALSE), perc_85, perc_75 + (perc_90 - perc_75) * (2/3), converted_stat, '2K_Ratings'!T727, IF(bbgm_stat &gt;= perc_95, converted_stat * 3, IF(bbgm_stat &gt;= perc_90, converted_stat * 2, IF(bbgm_stat &gt;= perc_85, converted_stat * 1.5, converted_stat)))))</f>
        <v/>
      </c>
      <c r="U727" s="30" t="str">
        <f t="array" ref="U727">IF($A727="", "", LET(bbgm_stat, INDEX(Players!$A726:$P726, MATCH(U$2, Players!$A$1:$P$1, 0)), perc_75, VLOOKUP(U$2, Percentiles!$A$45:$I$59, 6, FALSE), perc_90, VLOOKUP(U$2, Percentiles!$A$45:$I$59, 7, FALSE), perc_95, VLOOKUP(U$2, Percentiles!$A$45:$I$59, 8, FALSE), perc_85, perc_75 + (perc_90 - perc_75) * (2/3), converted_stat, '2K_Ratings'!U727, IF(bbgm_stat &gt;= perc_95, converted_stat * 3, IF(bbgm_stat &gt;= perc_90, converted_stat * 2, IF(bbgm_stat &gt;= perc_85, converted_stat * 1.5, converted_stat)))))</f>
        <v/>
      </c>
      <c r="V727" s="30" t="str">
        <f t="array" ref="V727">IF($A727="", "", LET(bbgm_stat, INDEX(Players!$A726:$P726, MATCH(V$2, Players!$A$1:$P$1, 0)), perc_75, VLOOKUP(V$2, Percentiles!$A$45:$I$59, 6, FALSE), perc_90, VLOOKUP(V$2, Percentiles!$A$45:$I$59, 7, FALSE), perc_95, VLOOKUP(V$2, Percentiles!$A$45:$I$59, 8, FALSE), perc_85, perc_75 + (perc_90 - perc_75) * (2/3), converted_stat, '2K_Ratings'!V727, IF(bbgm_stat &gt;= perc_95, converted_stat * 3, IF(bbgm_stat &gt;= perc_90, converted_stat * 2, IF(bbgm_stat &gt;= perc_85, converted_stat * 1.5, converted_stat)))))</f>
        <v/>
      </c>
      <c r="W727" s="30" t="str">
        <f t="array" ref="W727">IF($A727="", "", LET(bbgm_stat, INDEX(Players!$A726:$P726, MATCH(W$2, Players!$A$1:$P$1, 0)), perc_75, VLOOKUP(W$2, Percentiles!$A$45:$I$59, 6, FALSE), perc_90, VLOOKUP(W$2, Percentiles!$A$45:$I$59, 7, FALSE), perc_95, VLOOKUP(W$2, Percentiles!$A$45:$I$59, 8, FALSE), perc_85, perc_75 + (perc_90 - perc_75) * (2/3), converted_stat, '2K_Ratings'!W727, IF(bbgm_stat &gt;= perc_95, converted_stat * 3, IF(bbgm_stat &gt;= perc_90, converted_stat * 2, IF(bbgm_stat &gt;= perc_85, converted_stat * 1.5, converted_stat)))))</f>
        <v/>
      </c>
    </row>
    <row r="728">
      <c r="A728" s="30"/>
      <c r="B728" s="30" t="str">
        <f t="array" ref="B728">IF($A728="", "", LET(bbgm_stat, INDEX(Players!$A727:$P727, MATCH(B$2, Players!$A$1:$P$1, 0)), perc_75, VLOOKUP(B$2, Percentiles!$A$45:$I$59, 6, FALSE), perc_90, VLOOKUP(B$2, Percentiles!$A$45:$I$59, 7, FALSE), perc_95, VLOOKUP(B$2, Percentiles!$A$45:$I$59, 8, FALSE), perc_85, perc_75 + (perc_90 - perc_75) * (2/3), converted_stat, '2K_Ratings'!B728, IF(bbgm_stat &gt;= perc_95, converted_stat * 3, IF(bbgm_stat &gt;= perc_90, converted_stat * 2, IF(bbgm_stat &gt;= perc_85, converted_stat * 1.5, converted_stat)))))</f>
        <v/>
      </c>
      <c r="C728" s="30" t="str">
        <f t="array" ref="C728">IF($A728="", "", LET(bbgm_stat, INDEX(Players!$A727:$P727, MATCH(C$2, Players!$A$1:$P$1, 0)), perc_75, VLOOKUP(C$2, Percentiles!$A$45:$I$59, 6, FALSE), perc_90, VLOOKUP(C$2, Percentiles!$A$45:$I$59, 7, FALSE), perc_95, VLOOKUP(C$2, Percentiles!$A$45:$I$59, 8, FALSE), perc_85, perc_75 + (perc_90 - perc_75) * (2/3), converted_stat, '2K_Ratings'!C728, IF(bbgm_stat &gt;= perc_95, converted_stat * 3, IF(bbgm_stat &gt;= perc_90, converted_stat * 2, IF(bbgm_stat &gt;= perc_85, converted_stat * 1.5, converted_stat)))))</f>
        <v/>
      </c>
      <c r="D728" s="30" t="str">
        <f t="array" ref="D728">IF($A728="", "", LET(bbgm_stat, INDEX(Players!$A727:$P727, MATCH(D$2, Players!$A$1:$P$1, 0)), perc_75, VLOOKUP(D$2, Percentiles!$A$45:$I$59, 6, FALSE), perc_90, VLOOKUP(D$2, Percentiles!$A$45:$I$59, 7, FALSE), perc_95, VLOOKUP(D$2, Percentiles!$A$45:$I$59, 8, FALSE), perc_85, perc_75 + (perc_90 - perc_75) * (2/3), converted_stat, '2K_Ratings'!D728, IF(bbgm_stat &gt;= perc_95, converted_stat * 3, IF(bbgm_stat &gt;= perc_90, converted_stat * 2, IF(bbgm_stat &gt;= perc_85, converted_stat * 1.5, converted_stat)))))</f>
        <v/>
      </c>
      <c r="E728" s="30" t="str">
        <f t="array" ref="E728">IF($A728="", "", LET(bbgm_stat, INDEX(Players!$A727:$P727, MATCH(E$2, Players!$A$1:$P$1, 0)), perc_75, VLOOKUP(E$2, Percentiles!$A$45:$I$59, 6, FALSE), perc_90, VLOOKUP(E$2, Percentiles!$A$45:$I$59, 7, FALSE), perc_95, VLOOKUP(E$2, Percentiles!$A$45:$I$59, 8, FALSE), perc_85, perc_75 + (perc_90 - perc_75) * (2/3), converted_stat, '2K_Ratings'!E728, IF(bbgm_stat &gt;= perc_95, converted_stat * 3, IF(bbgm_stat &gt;= perc_90, converted_stat * 2, IF(bbgm_stat &gt;= perc_85, converted_stat * 1.5, converted_stat)))))</f>
        <v/>
      </c>
      <c r="F728" s="30" t="str">
        <f t="array" ref="F728">IF($A728="", "", LET(bbgm_stat, INDEX(Players!$A727:$P727, MATCH(F$2, Players!$A$1:$P$1, 0)), perc_75, VLOOKUP(F$2, Percentiles!$A$45:$I$59, 6, FALSE), perc_90, VLOOKUP(F$2, Percentiles!$A$45:$I$59, 7, FALSE), perc_95, VLOOKUP(F$2, Percentiles!$A$45:$I$59, 8, FALSE), perc_85, perc_75 + (perc_90 - perc_75) * (2/3), converted_stat, '2K_Ratings'!F728, IF(bbgm_stat &gt;= perc_95, converted_stat * 3, IF(bbgm_stat &gt;= perc_90, converted_stat * 2, IF(bbgm_stat &gt;= perc_85, converted_stat * 1.5, converted_stat)))))</f>
        <v/>
      </c>
      <c r="G728" s="30" t="str">
        <f t="array" ref="G728">IF($A728="", "", LET(bbgm_stat, INDEX(Players!$A727:$P727, MATCH(G$2, Players!$A$1:$P$1, 0)), perc_75, VLOOKUP(G$2, Percentiles!$A$45:$I$59, 6, FALSE), perc_90, VLOOKUP(G$2, Percentiles!$A$45:$I$59, 7, FALSE), perc_95, VLOOKUP(G$2, Percentiles!$A$45:$I$59, 8, FALSE), perc_85, perc_75 + (perc_90 - perc_75) * (2/3), converted_stat, '2K_Ratings'!G728, IF(bbgm_stat &gt;= perc_95, converted_stat * 3, IF(bbgm_stat &gt;= perc_90, converted_stat * 2, IF(bbgm_stat &gt;= perc_85, converted_stat * 1.5, converted_stat)))))</f>
        <v/>
      </c>
      <c r="H728" s="30" t="str">
        <f t="array" ref="H728">IF($A728="", "", LET(bbgm_stat, INDEX(Players!$A727:$P727, MATCH(H$2, Players!$A$1:$P$1, 0)), perc_75, VLOOKUP(H$2, Percentiles!$A$45:$I$59, 6, FALSE), perc_90, VLOOKUP(H$2, Percentiles!$A$45:$I$59, 7, FALSE), perc_95, VLOOKUP(H$2, Percentiles!$A$45:$I$59, 8, FALSE), perc_85, perc_75 + (perc_90 - perc_75) * (2/3), converted_stat, '2K_Ratings'!H728, IF(bbgm_stat &gt;= perc_95, converted_stat * 3, IF(bbgm_stat &gt;= perc_90, converted_stat * 2, IF(bbgm_stat &gt;= perc_85, converted_stat * 1.5, converted_stat)))))</f>
        <v/>
      </c>
      <c r="I728" s="30" t="str">
        <f t="array" ref="I728">IF($A728="", "", LET(bbgm_stat, INDEX(Players!$A727:$P727, MATCH(I$2, Players!$A$1:$P$1, 0)), perc_75, VLOOKUP(I$2, Percentiles!$A$45:$I$59, 6, FALSE), perc_90, VLOOKUP(I$2, Percentiles!$A$45:$I$59, 7, FALSE), perc_95, VLOOKUP(I$2, Percentiles!$A$45:$I$59, 8, FALSE), perc_85, perc_75 + (perc_90 - perc_75) * (2/3), converted_stat, '2K_Ratings'!I728, IF(bbgm_stat &gt;= perc_95, converted_stat * 3, IF(bbgm_stat &gt;= perc_90, converted_stat * 2, IF(bbgm_stat &gt;= perc_85, converted_stat * 1.5, converted_stat)))))</f>
        <v/>
      </c>
      <c r="J728" s="30" t="str">
        <f t="array" ref="J728">IF($A728="", "", LET(bbgm_stat, INDEX(Players!$A727:$P727, MATCH(J$2, Players!$A$1:$P$1, 0)), perc_75, VLOOKUP(J$2, Percentiles!$A$45:$I$59, 6, FALSE), perc_90, VLOOKUP(J$2, Percentiles!$A$45:$I$59, 7, FALSE), perc_95, VLOOKUP(J$2, Percentiles!$A$45:$I$59, 8, FALSE), perc_85, perc_75 + (perc_90 - perc_75) * (2/3), converted_stat, '2K_Ratings'!J728, IF(bbgm_stat &gt;= perc_95, converted_stat * 3, IF(bbgm_stat &gt;= perc_90, converted_stat * 2, IF(bbgm_stat &gt;= perc_85, converted_stat * 1.5, converted_stat)))))</f>
        <v/>
      </c>
      <c r="K728" s="30" t="str">
        <f t="array" ref="K728">IF($A728="", "", LET(bbgm_stat, INDEX(Players!$A727:$P727, MATCH(K$2, Players!$A$1:$P$1, 0)), perc_75, VLOOKUP(K$2, Percentiles!$A$45:$I$59, 6, FALSE), perc_90, VLOOKUP(K$2, Percentiles!$A$45:$I$59, 7, FALSE), perc_95, VLOOKUP(K$2, Percentiles!$A$45:$I$59, 8, FALSE), perc_85, perc_75 + (perc_90 - perc_75) * (2/3), converted_stat, '2K_Ratings'!K728, IF(bbgm_stat &gt;= perc_95, converted_stat * 3, IF(bbgm_stat &gt;= perc_90, converted_stat * 2, IF(bbgm_stat &gt;= perc_85, converted_stat * 1.5, converted_stat)))))</f>
        <v/>
      </c>
      <c r="L728" s="30" t="str">
        <f t="array" ref="L728">IF($A728="", "", LET(bbgm_stat, INDEX(Players!$A727:$P727, MATCH(L$2, Players!$A$1:$P$1, 0)), perc_75, VLOOKUP(L$2, Percentiles!$A$45:$I$59, 6, FALSE), perc_90, VLOOKUP(L$2, Percentiles!$A$45:$I$59, 7, FALSE), perc_95, VLOOKUP(L$2, Percentiles!$A$45:$I$59, 8, FALSE), perc_85, perc_75 + (perc_90 - perc_75) * (2/3), converted_stat, '2K_Ratings'!L728, IF(bbgm_stat &gt;= perc_95, converted_stat * 3, IF(bbgm_stat &gt;= perc_90, converted_stat * 2, IF(bbgm_stat &gt;= perc_85, converted_stat * 1.5, converted_stat)))))</f>
        <v/>
      </c>
      <c r="M728" s="30" t="str">
        <f t="array" ref="M728">IF($A728="", "", LET(bbgm_stat, INDEX(Players!$A727:$P727, MATCH(M$2, Players!$A$1:$P$1, 0)), perc_75, VLOOKUP(M$2, Percentiles!$A$45:$I$59, 6, FALSE), perc_90, VLOOKUP(M$2, Percentiles!$A$45:$I$59, 7, FALSE), perc_95, VLOOKUP(M$2, Percentiles!$A$45:$I$59, 8, FALSE), perc_85, perc_75 + (perc_90 - perc_75) * (2/3), converted_stat, '2K_Ratings'!M728, IF(bbgm_stat &gt;= perc_95, converted_stat * 3, IF(bbgm_stat &gt;= perc_90, converted_stat * 2, IF(bbgm_stat &gt;= perc_85, converted_stat * 1.5, converted_stat)))))</f>
        <v/>
      </c>
      <c r="N728" s="30" t="str">
        <f t="array" ref="N728">IF($A728="", "", LET(bbgm_stat, INDEX(Players!$A727:$P727, MATCH(N$2, Players!$A$1:$P$1, 0)), perc_75, VLOOKUP(N$2, Percentiles!$A$45:$I$59, 6, FALSE), perc_90, VLOOKUP(N$2, Percentiles!$A$45:$I$59, 7, FALSE), perc_95, VLOOKUP(N$2, Percentiles!$A$45:$I$59, 8, FALSE), perc_85, perc_75 + (perc_90 - perc_75) * (2/3), converted_stat, '2K_Ratings'!N728, IF(bbgm_stat &gt;= perc_95, converted_stat * 3, IF(bbgm_stat &gt;= perc_90, converted_stat * 2, IF(bbgm_stat &gt;= perc_85, converted_stat * 1.5, converted_stat)))))</f>
        <v/>
      </c>
      <c r="O728" s="30" t="str">
        <f t="array" ref="O728">IF($A728="", "", LET(bbgm_stat, INDEX(Players!$A727:$P727, MATCH(O$2, Players!$A$1:$P$1, 0)), perc_75, VLOOKUP(O$2, Percentiles!$A$45:$I$59, 6, FALSE), perc_90, VLOOKUP(O$2, Percentiles!$A$45:$I$59, 7, FALSE), perc_95, VLOOKUP(O$2, Percentiles!$A$45:$I$59, 8, FALSE), perc_85, perc_75 + (perc_90 - perc_75) * (2/3), converted_stat, '2K_Ratings'!O728, IF(bbgm_stat &gt;= perc_95, converted_stat * 3, IF(bbgm_stat &gt;= perc_90, converted_stat * 2, IF(bbgm_stat &gt;= perc_85, converted_stat * 1.5, converted_stat)))))</f>
        <v/>
      </c>
      <c r="P728" s="30" t="str">
        <f t="array" ref="P728">IF($A728="", "", LET(bbgm_stat, INDEX(Players!$A727:$P727, MATCH(P$2, Players!$A$1:$P$1, 0)), perc_75, VLOOKUP(P$2, Percentiles!$A$45:$I$59, 6, FALSE), perc_90, VLOOKUP(P$2, Percentiles!$A$45:$I$59, 7, FALSE), perc_95, VLOOKUP(P$2, Percentiles!$A$45:$I$59, 8, FALSE), perc_85, perc_75 + (perc_90 - perc_75) * (2/3), converted_stat, '2K_Ratings'!P728, IF(bbgm_stat &gt;= perc_95, converted_stat * 3, IF(bbgm_stat &gt;= perc_90, converted_stat * 2, IF(bbgm_stat &gt;= perc_85, converted_stat * 1.5, converted_stat)))))</f>
        <v/>
      </c>
      <c r="Q728" s="30" t="str">
        <f t="array" ref="Q728">IF($A728="", "", LET(bbgm_stat, INDEX(Players!$A727:$P727, MATCH(Q$2, Players!$A$1:$P$1, 0)), perc_75, VLOOKUP(Q$2, Percentiles!$A$45:$I$59, 6, FALSE), perc_90, VLOOKUP(Q$2, Percentiles!$A$45:$I$59, 7, FALSE), perc_95, VLOOKUP(Q$2, Percentiles!$A$45:$I$59, 8, FALSE), perc_85, perc_75 + (perc_90 - perc_75) * (2/3), converted_stat, '2K_Ratings'!Q728, IF(bbgm_stat &gt;= perc_95, converted_stat * 3, IF(bbgm_stat &gt;= perc_90, converted_stat * 2, IF(bbgm_stat &gt;= perc_85, converted_stat * 1.5, converted_stat)))))</f>
        <v/>
      </c>
      <c r="R728" s="30" t="str">
        <f t="array" ref="R728">IF($A728="", "", LET(bbgm_stat, INDEX(Players!$A727:$P727, MATCH(R$2, Players!$A$1:$P$1, 0)), perc_75, VLOOKUP(R$2, Percentiles!$A$45:$I$59, 6, FALSE), perc_90, VLOOKUP(R$2, Percentiles!$A$45:$I$59, 7, FALSE), perc_95, VLOOKUP(R$2, Percentiles!$A$45:$I$59, 8, FALSE), perc_85, perc_75 + (perc_90 - perc_75) * (2/3), converted_stat, '2K_Ratings'!R728, IF(bbgm_stat &gt;= perc_95, converted_stat * 3, IF(bbgm_stat &gt;= perc_90, converted_stat * 2, IF(bbgm_stat &gt;= perc_85, converted_stat * 1.5, converted_stat)))))</f>
        <v/>
      </c>
      <c r="S728" s="30" t="str">
        <f t="array" ref="S728">IF($A728="", "", LET(bbgm_stat, INDEX(Players!$A727:$P727, MATCH(S$2, Players!$A$1:$P$1, 0)), perc_75, VLOOKUP(S$2, Percentiles!$A$45:$I$59, 6, FALSE), perc_90, VLOOKUP(S$2, Percentiles!$A$45:$I$59, 7, FALSE), perc_95, VLOOKUP(S$2, Percentiles!$A$45:$I$59, 8, FALSE), perc_85, perc_75 + (perc_90 - perc_75) * (2/3), converted_stat, '2K_Ratings'!S728, IF(bbgm_stat &gt;= perc_95, converted_stat * 3, IF(bbgm_stat &gt;= perc_90, converted_stat * 2, IF(bbgm_stat &gt;= perc_85, converted_stat * 1.5, converted_stat)))))</f>
        <v/>
      </c>
      <c r="T728" s="30" t="str">
        <f t="array" ref="T728">IF($A728="", "", LET(bbgm_stat, INDEX(Players!$A727:$P727, MATCH(T$2, Players!$A$1:$P$1, 0)), perc_75, VLOOKUP(T$2, Percentiles!$A$45:$I$59, 6, FALSE), perc_90, VLOOKUP(T$2, Percentiles!$A$45:$I$59, 7, FALSE), perc_95, VLOOKUP(T$2, Percentiles!$A$45:$I$59, 8, FALSE), perc_85, perc_75 + (perc_90 - perc_75) * (2/3), converted_stat, '2K_Ratings'!T728, IF(bbgm_stat &gt;= perc_95, converted_stat * 3, IF(bbgm_stat &gt;= perc_90, converted_stat * 2, IF(bbgm_stat &gt;= perc_85, converted_stat * 1.5, converted_stat)))))</f>
        <v/>
      </c>
      <c r="U728" s="30" t="str">
        <f t="array" ref="U728">IF($A728="", "", LET(bbgm_stat, INDEX(Players!$A727:$P727, MATCH(U$2, Players!$A$1:$P$1, 0)), perc_75, VLOOKUP(U$2, Percentiles!$A$45:$I$59, 6, FALSE), perc_90, VLOOKUP(U$2, Percentiles!$A$45:$I$59, 7, FALSE), perc_95, VLOOKUP(U$2, Percentiles!$A$45:$I$59, 8, FALSE), perc_85, perc_75 + (perc_90 - perc_75) * (2/3), converted_stat, '2K_Ratings'!U728, IF(bbgm_stat &gt;= perc_95, converted_stat * 3, IF(bbgm_stat &gt;= perc_90, converted_stat * 2, IF(bbgm_stat &gt;= perc_85, converted_stat * 1.5, converted_stat)))))</f>
        <v/>
      </c>
      <c r="V728" s="30" t="str">
        <f t="array" ref="V728">IF($A728="", "", LET(bbgm_stat, INDEX(Players!$A727:$P727, MATCH(V$2, Players!$A$1:$P$1, 0)), perc_75, VLOOKUP(V$2, Percentiles!$A$45:$I$59, 6, FALSE), perc_90, VLOOKUP(V$2, Percentiles!$A$45:$I$59, 7, FALSE), perc_95, VLOOKUP(V$2, Percentiles!$A$45:$I$59, 8, FALSE), perc_85, perc_75 + (perc_90 - perc_75) * (2/3), converted_stat, '2K_Ratings'!V728, IF(bbgm_stat &gt;= perc_95, converted_stat * 3, IF(bbgm_stat &gt;= perc_90, converted_stat * 2, IF(bbgm_stat &gt;= perc_85, converted_stat * 1.5, converted_stat)))))</f>
        <v/>
      </c>
      <c r="W728" s="30" t="str">
        <f t="array" ref="W728">IF($A728="", "", LET(bbgm_stat, INDEX(Players!$A727:$P727, MATCH(W$2, Players!$A$1:$P$1, 0)), perc_75, VLOOKUP(W$2, Percentiles!$A$45:$I$59, 6, FALSE), perc_90, VLOOKUP(W$2, Percentiles!$A$45:$I$59, 7, FALSE), perc_95, VLOOKUP(W$2, Percentiles!$A$45:$I$59, 8, FALSE), perc_85, perc_75 + (perc_90 - perc_75) * (2/3), converted_stat, '2K_Ratings'!W728, IF(bbgm_stat &gt;= perc_95, converted_stat * 3, IF(bbgm_stat &gt;= perc_90, converted_stat * 2, IF(bbgm_stat &gt;= perc_85, converted_stat * 1.5, converted_stat)))))</f>
        <v/>
      </c>
    </row>
    <row r="729">
      <c r="A729" s="30"/>
      <c r="B729" s="30" t="str">
        <f t="array" ref="B729">IF($A729="", "", LET(bbgm_stat, INDEX(Players!$A728:$P728, MATCH(B$2, Players!$A$1:$P$1, 0)), perc_75, VLOOKUP(B$2, Percentiles!$A$45:$I$59, 6, FALSE), perc_90, VLOOKUP(B$2, Percentiles!$A$45:$I$59, 7, FALSE), perc_95, VLOOKUP(B$2, Percentiles!$A$45:$I$59, 8, FALSE), perc_85, perc_75 + (perc_90 - perc_75) * (2/3), converted_stat, '2K_Ratings'!B729, IF(bbgm_stat &gt;= perc_95, converted_stat * 3, IF(bbgm_stat &gt;= perc_90, converted_stat * 2, IF(bbgm_stat &gt;= perc_85, converted_stat * 1.5, converted_stat)))))</f>
        <v/>
      </c>
      <c r="C729" s="30" t="str">
        <f t="array" ref="C729">IF($A729="", "", LET(bbgm_stat, INDEX(Players!$A728:$P728, MATCH(C$2, Players!$A$1:$P$1, 0)), perc_75, VLOOKUP(C$2, Percentiles!$A$45:$I$59, 6, FALSE), perc_90, VLOOKUP(C$2, Percentiles!$A$45:$I$59, 7, FALSE), perc_95, VLOOKUP(C$2, Percentiles!$A$45:$I$59, 8, FALSE), perc_85, perc_75 + (perc_90 - perc_75) * (2/3), converted_stat, '2K_Ratings'!C729, IF(bbgm_stat &gt;= perc_95, converted_stat * 3, IF(bbgm_stat &gt;= perc_90, converted_stat * 2, IF(bbgm_stat &gt;= perc_85, converted_stat * 1.5, converted_stat)))))</f>
        <v/>
      </c>
      <c r="D729" s="30" t="str">
        <f t="array" ref="D729">IF($A729="", "", LET(bbgm_stat, INDEX(Players!$A728:$P728, MATCH(D$2, Players!$A$1:$P$1, 0)), perc_75, VLOOKUP(D$2, Percentiles!$A$45:$I$59, 6, FALSE), perc_90, VLOOKUP(D$2, Percentiles!$A$45:$I$59, 7, FALSE), perc_95, VLOOKUP(D$2, Percentiles!$A$45:$I$59, 8, FALSE), perc_85, perc_75 + (perc_90 - perc_75) * (2/3), converted_stat, '2K_Ratings'!D729, IF(bbgm_stat &gt;= perc_95, converted_stat * 3, IF(bbgm_stat &gt;= perc_90, converted_stat * 2, IF(bbgm_stat &gt;= perc_85, converted_stat * 1.5, converted_stat)))))</f>
        <v/>
      </c>
      <c r="E729" s="30" t="str">
        <f t="array" ref="E729">IF($A729="", "", LET(bbgm_stat, INDEX(Players!$A728:$P728, MATCH(E$2, Players!$A$1:$P$1, 0)), perc_75, VLOOKUP(E$2, Percentiles!$A$45:$I$59, 6, FALSE), perc_90, VLOOKUP(E$2, Percentiles!$A$45:$I$59, 7, FALSE), perc_95, VLOOKUP(E$2, Percentiles!$A$45:$I$59, 8, FALSE), perc_85, perc_75 + (perc_90 - perc_75) * (2/3), converted_stat, '2K_Ratings'!E729, IF(bbgm_stat &gt;= perc_95, converted_stat * 3, IF(bbgm_stat &gt;= perc_90, converted_stat * 2, IF(bbgm_stat &gt;= perc_85, converted_stat * 1.5, converted_stat)))))</f>
        <v/>
      </c>
      <c r="F729" s="30" t="str">
        <f t="array" ref="F729">IF($A729="", "", LET(bbgm_stat, INDEX(Players!$A728:$P728, MATCH(F$2, Players!$A$1:$P$1, 0)), perc_75, VLOOKUP(F$2, Percentiles!$A$45:$I$59, 6, FALSE), perc_90, VLOOKUP(F$2, Percentiles!$A$45:$I$59, 7, FALSE), perc_95, VLOOKUP(F$2, Percentiles!$A$45:$I$59, 8, FALSE), perc_85, perc_75 + (perc_90 - perc_75) * (2/3), converted_stat, '2K_Ratings'!F729, IF(bbgm_stat &gt;= perc_95, converted_stat * 3, IF(bbgm_stat &gt;= perc_90, converted_stat * 2, IF(bbgm_stat &gt;= perc_85, converted_stat * 1.5, converted_stat)))))</f>
        <v/>
      </c>
      <c r="G729" s="30" t="str">
        <f t="array" ref="G729">IF($A729="", "", LET(bbgm_stat, INDEX(Players!$A728:$P728, MATCH(G$2, Players!$A$1:$P$1, 0)), perc_75, VLOOKUP(G$2, Percentiles!$A$45:$I$59, 6, FALSE), perc_90, VLOOKUP(G$2, Percentiles!$A$45:$I$59, 7, FALSE), perc_95, VLOOKUP(G$2, Percentiles!$A$45:$I$59, 8, FALSE), perc_85, perc_75 + (perc_90 - perc_75) * (2/3), converted_stat, '2K_Ratings'!G729, IF(bbgm_stat &gt;= perc_95, converted_stat * 3, IF(bbgm_stat &gt;= perc_90, converted_stat * 2, IF(bbgm_stat &gt;= perc_85, converted_stat * 1.5, converted_stat)))))</f>
        <v/>
      </c>
      <c r="H729" s="30" t="str">
        <f t="array" ref="H729">IF($A729="", "", LET(bbgm_stat, INDEX(Players!$A728:$P728, MATCH(H$2, Players!$A$1:$P$1, 0)), perc_75, VLOOKUP(H$2, Percentiles!$A$45:$I$59, 6, FALSE), perc_90, VLOOKUP(H$2, Percentiles!$A$45:$I$59, 7, FALSE), perc_95, VLOOKUP(H$2, Percentiles!$A$45:$I$59, 8, FALSE), perc_85, perc_75 + (perc_90 - perc_75) * (2/3), converted_stat, '2K_Ratings'!H729, IF(bbgm_stat &gt;= perc_95, converted_stat * 3, IF(bbgm_stat &gt;= perc_90, converted_stat * 2, IF(bbgm_stat &gt;= perc_85, converted_stat * 1.5, converted_stat)))))</f>
        <v/>
      </c>
      <c r="I729" s="30" t="str">
        <f t="array" ref="I729">IF($A729="", "", LET(bbgm_stat, INDEX(Players!$A728:$P728, MATCH(I$2, Players!$A$1:$P$1, 0)), perc_75, VLOOKUP(I$2, Percentiles!$A$45:$I$59, 6, FALSE), perc_90, VLOOKUP(I$2, Percentiles!$A$45:$I$59, 7, FALSE), perc_95, VLOOKUP(I$2, Percentiles!$A$45:$I$59, 8, FALSE), perc_85, perc_75 + (perc_90 - perc_75) * (2/3), converted_stat, '2K_Ratings'!I729, IF(bbgm_stat &gt;= perc_95, converted_stat * 3, IF(bbgm_stat &gt;= perc_90, converted_stat * 2, IF(bbgm_stat &gt;= perc_85, converted_stat * 1.5, converted_stat)))))</f>
        <v/>
      </c>
      <c r="J729" s="30" t="str">
        <f t="array" ref="J729">IF($A729="", "", LET(bbgm_stat, INDEX(Players!$A728:$P728, MATCH(J$2, Players!$A$1:$P$1, 0)), perc_75, VLOOKUP(J$2, Percentiles!$A$45:$I$59, 6, FALSE), perc_90, VLOOKUP(J$2, Percentiles!$A$45:$I$59, 7, FALSE), perc_95, VLOOKUP(J$2, Percentiles!$A$45:$I$59, 8, FALSE), perc_85, perc_75 + (perc_90 - perc_75) * (2/3), converted_stat, '2K_Ratings'!J729, IF(bbgm_stat &gt;= perc_95, converted_stat * 3, IF(bbgm_stat &gt;= perc_90, converted_stat * 2, IF(bbgm_stat &gt;= perc_85, converted_stat * 1.5, converted_stat)))))</f>
        <v/>
      </c>
      <c r="K729" s="30" t="str">
        <f t="array" ref="K729">IF($A729="", "", LET(bbgm_stat, INDEX(Players!$A728:$P728, MATCH(K$2, Players!$A$1:$P$1, 0)), perc_75, VLOOKUP(K$2, Percentiles!$A$45:$I$59, 6, FALSE), perc_90, VLOOKUP(K$2, Percentiles!$A$45:$I$59, 7, FALSE), perc_95, VLOOKUP(K$2, Percentiles!$A$45:$I$59, 8, FALSE), perc_85, perc_75 + (perc_90 - perc_75) * (2/3), converted_stat, '2K_Ratings'!K729, IF(bbgm_stat &gt;= perc_95, converted_stat * 3, IF(bbgm_stat &gt;= perc_90, converted_stat * 2, IF(bbgm_stat &gt;= perc_85, converted_stat * 1.5, converted_stat)))))</f>
        <v/>
      </c>
      <c r="L729" s="30" t="str">
        <f t="array" ref="L729">IF($A729="", "", LET(bbgm_stat, INDEX(Players!$A728:$P728, MATCH(L$2, Players!$A$1:$P$1, 0)), perc_75, VLOOKUP(L$2, Percentiles!$A$45:$I$59, 6, FALSE), perc_90, VLOOKUP(L$2, Percentiles!$A$45:$I$59, 7, FALSE), perc_95, VLOOKUP(L$2, Percentiles!$A$45:$I$59, 8, FALSE), perc_85, perc_75 + (perc_90 - perc_75) * (2/3), converted_stat, '2K_Ratings'!L729, IF(bbgm_stat &gt;= perc_95, converted_stat * 3, IF(bbgm_stat &gt;= perc_90, converted_stat * 2, IF(bbgm_stat &gt;= perc_85, converted_stat * 1.5, converted_stat)))))</f>
        <v/>
      </c>
      <c r="M729" s="30" t="str">
        <f t="array" ref="M729">IF($A729="", "", LET(bbgm_stat, INDEX(Players!$A728:$P728, MATCH(M$2, Players!$A$1:$P$1, 0)), perc_75, VLOOKUP(M$2, Percentiles!$A$45:$I$59, 6, FALSE), perc_90, VLOOKUP(M$2, Percentiles!$A$45:$I$59, 7, FALSE), perc_95, VLOOKUP(M$2, Percentiles!$A$45:$I$59, 8, FALSE), perc_85, perc_75 + (perc_90 - perc_75) * (2/3), converted_stat, '2K_Ratings'!M729, IF(bbgm_stat &gt;= perc_95, converted_stat * 3, IF(bbgm_stat &gt;= perc_90, converted_stat * 2, IF(bbgm_stat &gt;= perc_85, converted_stat * 1.5, converted_stat)))))</f>
        <v/>
      </c>
      <c r="N729" s="30" t="str">
        <f t="array" ref="N729">IF($A729="", "", LET(bbgm_stat, INDEX(Players!$A728:$P728, MATCH(N$2, Players!$A$1:$P$1, 0)), perc_75, VLOOKUP(N$2, Percentiles!$A$45:$I$59, 6, FALSE), perc_90, VLOOKUP(N$2, Percentiles!$A$45:$I$59, 7, FALSE), perc_95, VLOOKUP(N$2, Percentiles!$A$45:$I$59, 8, FALSE), perc_85, perc_75 + (perc_90 - perc_75) * (2/3), converted_stat, '2K_Ratings'!N729, IF(bbgm_stat &gt;= perc_95, converted_stat * 3, IF(bbgm_stat &gt;= perc_90, converted_stat * 2, IF(bbgm_stat &gt;= perc_85, converted_stat * 1.5, converted_stat)))))</f>
        <v/>
      </c>
      <c r="O729" s="30" t="str">
        <f t="array" ref="O729">IF($A729="", "", LET(bbgm_stat, INDEX(Players!$A728:$P728, MATCH(O$2, Players!$A$1:$P$1, 0)), perc_75, VLOOKUP(O$2, Percentiles!$A$45:$I$59, 6, FALSE), perc_90, VLOOKUP(O$2, Percentiles!$A$45:$I$59, 7, FALSE), perc_95, VLOOKUP(O$2, Percentiles!$A$45:$I$59, 8, FALSE), perc_85, perc_75 + (perc_90 - perc_75) * (2/3), converted_stat, '2K_Ratings'!O729, IF(bbgm_stat &gt;= perc_95, converted_stat * 3, IF(bbgm_stat &gt;= perc_90, converted_stat * 2, IF(bbgm_stat &gt;= perc_85, converted_stat * 1.5, converted_stat)))))</f>
        <v/>
      </c>
      <c r="P729" s="30" t="str">
        <f t="array" ref="P729">IF($A729="", "", LET(bbgm_stat, INDEX(Players!$A728:$P728, MATCH(P$2, Players!$A$1:$P$1, 0)), perc_75, VLOOKUP(P$2, Percentiles!$A$45:$I$59, 6, FALSE), perc_90, VLOOKUP(P$2, Percentiles!$A$45:$I$59, 7, FALSE), perc_95, VLOOKUP(P$2, Percentiles!$A$45:$I$59, 8, FALSE), perc_85, perc_75 + (perc_90 - perc_75) * (2/3), converted_stat, '2K_Ratings'!P729, IF(bbgm_stat &gt;= perc_95, converted_stat * 3, IF(bbgm_stat &gt;= perc_90, converted_stat * 2, IF(bbgm_stat &gt;= perc_85, converted_stat * 1.5, converted_stat)))))</f>
        <v/>
      </c>
      <c r="Q729" s="30" t="str">
        <f t="array" ref="Q729">IF($A729="", "", LET(bbgm_stat, INDEX(Players!$A728:$P728, MATCH(Q$2, Players!$A$1:$P$1, 0)), perc_75, VLOOKUP(Q$2, Percentiles!$A$45:$I$59, 6, FALSE), perc_90, VLOOKUP(Q$2, Percentiles!$A$45:$I$59, 7, FALSE), perc_95, VLOOKUP(Q$2, Percentiles!$A$45:$I$59, 8, FALSE), perc_85, perc_75 + (perc_90 - perc_75) * (2/3), converted_stat, '2K_Ratings'!Q729, IF(bbgm_stat &gt;= perc_95, converted_stat * 3, IF(bbgm_stat &gt;= perc_90, converted_stat * 2, IF(bbgm_stat &gt;= perc_85, converted_stat * 1.5, converted_stat)))))</f>
        <v/>
      </c>
      <c r="R729" s="30" t="str">
        <f t="array" ref="R729">IF($A729="", "", LET(bbgm_stat, INDEX(Players!$A728:$P728, MATCH(R$2, Players!$A$1:$P$1, 0)), perc_75, VLOOKUP(R$2, Percentiles!$A$45:$I$59, 6, FALSE), perc_90, VLOOKUP(R$2, Percentiles!$A$45:$I$59, 7, FALSE), perc_95, VLOOKUP(R$2, Percentiles!$A$45:$I$59, 8, FALSE), perc_85, perc_75 + (perc_90 - perc_75) * (2/3), converted_stat, '2K_Ratings'!R729, IF(bbgm_stat &gt;= perc_95, converted_stat * 3, IF(bbgm_stat &gt;= perc_90, converted_stat * 2, IF(bbgm_stat &gt;= perc_85, converted_stat * 1.5, converted_stat)))))</f>
        <v/>
      </c>
      <c r="S729" s="30" t="str">
        <f t="array" ref="S729">IF($A729="", "", LET(bbgm_stat, INDEX(Players!$A728:$P728, MATCH(S$2, Players!$A$1:$P$1, 0)), perc_75, VLOOKUP(S$2, Percentiles!$A$45:$I$59, 6, FALSE), perc_90, VLOOKUP(S$2, Percentiles!$A$45:$I$59, 7, FALSE), perc_95, VLOOKUP(S$2, Percentiles!$A$45:$I$59, 8, FALSE), perc_85, perc_75 + (perc_90 - perc_75) * (2/3), converted_stat, '2K_Ratings'!S729, IF(bbgm_stat &gt;= perc_95, converted_stat * 3, IF(bbgm_stat &gt;= perc_90, converted_stat * 2, IF(bbgm_stat &gt;= perc_85, converted_stat * 1.5, converted_stat)))))</f>
        <v/>
      </c>
      <c r="T729" s="30" t="str">
        <f t="array" ref="T729">IF($A729="", "", LET(bbgm_stat, INDEX(Players!$A728:$P728, MATCH(T$2, Players!$A$1:$P$1, 0)), perc_75, VLOOKUP(T$2, Percentiles!$A$45:$I$59, 6, FALSE), perc_90, VLOOKUP(T$2, Percentiles!$A$45:$I$59, 7, FALSE), perc_95, VLOOKUP(T$2, Percentiles!$A$45:$I$59, 8, FALSE), perc_85, perc_75 + (perc_90 - perc_75) * (2/3), converted_stat, '2K_Ratings'!T729, IF(bbgm_stat &gt;= perc_95, converted_stat * 3, IF(bbgm_stat &gt;= perc_90, converted_stat * 2, IF(bbgm_stat &gt;= perc_85, converted_stat * 1.5, converted_stat)))))</f>
        <v/>
      </c>
      <c r="U729" s="30" t="str">
        <f t="array" ref="U729">IF($A729="", "", LET(bbgm_stat, INDEX(Players!$A728:$P728, MATCH(U$2, Players!$A$1:$P$1, 0)), perc_75, VLOOKUP(U$2, Percentiles!$A$45:$I$59, 6, FALSE), perc_90, VLOOKUP(U$2, Percentiles!$A$45:$I$59, 7, FALSE), perc_95, VLOOKUP(U$2, Percentiles!$A$45:$I$59, 8, FALSE), perc_85, perc_75 + (perc_90 - perc_75) * (2/3), converted_stat, '2K_Ratings'!U729, IF(bbgm_stat &gt;= perc_95, converted_stat * 3, IF(bbgm_stat &gt;= perc_90, converted_stat * 2, IF(bbgm_stat &gt;= perc_85, converted_stat * 1.5, converted_stat)))))</f>
        <v/>
      </c>
      <c r="V729" s="30" t="str">
        <f t="array" ref="V729">IF($A729="", "", LET(bbgm_stat, INDEX(Players!$A728:$P728, MATCH(V$2, Players!$A$1:$P$1, 0)), perc_75, VLOOKUP(V$2, Percentiles!$A$45:$I$59, 6, FALSE), perc_90, VLOOKUP(V$2, Percentiles!$A$45:$I$59, 7, FALSE), perc_95, VLOOKUP(V$2, Percentiles!$A$45:$I$59, 8, FALSE), perc_85, perc_75 + (perc_90 - perc_75) * (2/3), converted_stat, '2K_Ratings'!V729, IF(bbgm_stat &gt;= perc_95, converted_stat * 3, IF(bbgm_stat &gt;= perc_90, converted_stat * 2, IF(bbgm_stat &gt;= perc_85, converted_stat * 1.5, converted_stat)))))</f>
        <v/>
      </c>
      <c r="W729" s="30" t="str">
        <f t="array" ref="W729">IF($A729="", "", LET(bbgm_stat, INDEX(Players!$A728:$P728, MATCH(W$2, Players!$A$1:$P$1, 0)), perc_75, VLOOKUP(W$2, Percentiles!$A$45:$I$59, 6, FALSE), perc_90, VLOOKUP(W$2, Percentiles!$A$45:$I$59, 7, FALSE), perc_95, VLOOKUP(W$2, Percentiles!$A$45:$I$59, 8, FALSE), perc_85, perc_75 + (perc_90 - perc_75) * (2/3), converted_stat, '2K_Ratings'!W729, IF(bbgm_stat &gt;= perc_95, converted_stat * 3, IF(bbgm_stat &gt;= perc_90, converted_stat * 2, IF(bbgm_stat &gt;= perc_85, converted_stat * 1.5, converted_stat)))))</f>
        <v/>
      </c>
    </row>
    <row r="730">
      <c r="A730" s="30"/>
      <c r="B730" s="30" t="str">
        <f t="array" ref="B730">IF($A730="", "", LET(bbgm_stat, INDEX(Players!$A729:$P729, MATCH(B$2, Players!$A$1:$P$1, 0)), perc_75, VLOOKUP(B$2, Percentiles!$A$45:$I$59, 6, FALSE), perc_90, VLOOKUP(B$2, Percentiles!$A$45:$I$59, 7, FALSE), perc_95, VLOOKUP(B$2, Percentiles!$A$45:$I$59, 8, FALSE), perc_85, perc_75 + (perc_90 - perc_75) * (2/3), converted_stat, '2K_Ratings'!B730, IF(bbgm_stat &gt;= perc_95, converted_stat * 3, IF(bbgm_stat &gt;= perc_90, converted_stat * 2, IF(bbgm_stat &gt;= perc_85, converted_stat * 1.5, converted_stat)))))</f>
        <v/>
      </c>
      <c r="C730" s="30" t="str">
        <f t="array" ref="C730">IF($A730="", "", LET(bbgm_stat, INDEX(Players!$A729:$P729, MATCH(C$2, Players!$A$1:$P$1, 0)), perc_75, VLOOKUP(C$2, Percentiles!$A$45:$I$59, 6, FALSE), perc_90, VLOOKUP(C$2, Percentiles!$A$45:$I$59, 7, FALSE), perc_95, VLOOKUP(C$2, Percentiles!$A$45:$I$59, 8, FALSE), perc_85, perc_75 + (perc_90 - perc_75) * (2/3), converted_stat, '2K_Ratings'!C730, IF(bbgm_stat &gt;= perc_95, converted_stat * 3, IF(bbgm_stat &gt;= perc_90, converted_stat * 2, IF(bbgm_stat &gt;= perc_85, converted_stat * 1.5, converted_stat)))))</f>
        <v/>
      </c>
      <c r="D730" s="30" t="str">
        <f t="array" ref="D730">IF($A730="", "", LET(bbgm_stat, INDEX(Players!$A729:$P729, MATCH(D$2, Players!$A$1:$P$1, 0)), perc_75, VLOOKUP(D$2, Percentiles!$A$45:$I$59, 6, FALSE), perc_90, VLOOKUP(D$2, Percentiles!$A$45:$I$59, 7, FALSE), perc_95, VLOOKUP(D$2, Percentiles!$A$45:$I$59, 8, FALSE), perc_85, perc_75 + (perc_90 - perc_75) * (2/3), converted_stat, '2K_Ratings'!D730, IF(bbgm_stat &gt;= perc_95, converted_stat * 3, IF(bbgm_stat &gt;= perc_90, converted_stat * 2, IF(bbgm_stat &gt;= perc_85, converted_stat * 1.5, converted_stat)))))</f>
        <v/>
      </c>
      <c r="E730" s="30" t="str">
        <f t="array" ref="E730">IF($A730="", "", LET(bbgm_stat, INDEX(Players!$A729:$P729, MATCH(E$2, Players!$A$1:$P$1, 0)), perc_75, VLOOKUP(E$2, Percentiles!$A$45:$I$59, 6, FALSE), perc_90, VLOOKUP(E$2, Percentiles!$A$45:$I$59, 7, FALSE), perc_95, VLOOKUP(E$2, Percentiles!$A$45:$I$59, 8, FALSE), perc_85, perc_75 + (perc_90 - perc_75) * (2/3), converted_stat, '2K_Ratings'!E730, IF(bbgm_stat &gt;= perc_95, converted_stat * 3, IF(bbgm_stat &gt;= perc_90, converted_stat * 2, IF(bbgm_stat &gt;= perc_85, converted_stat * 1.5, converted_stat)))))</f>
        <v/>
      </c>
      <c r="F730" s="30" t="str">
        <f t="array" ref="F730">IF($A730="", "", LET(bbgm_stat, INDEX(Players!$A729:$P729, MATCH(F$2, Players!$A$1:$P$1, 0)), perc_75, VLOOKUP(F$2, Percentiles!$A$45:$I$59, 6, FALSE), perc_90, VLOOKUP(F$2, Percentiles!$A$45:$I$59, 7, FALSE), perc_95, VLOOKUP(F$2, Percentiles!$A$45:$I$59, 8, FALSE), perc_85, perc_75 + (perc_90 - perc_75) * (2/3), converted_stat, '2K_Ratings'!F730, IF(bbgm_stat &gt;= perc_95, converted_stat * 3, IF(bbgm_stat &gt;= perc_90, converted_stat * 2, IF(bbgm_stat &gt;= perc_85, converted_stat * 1.5, converted_stat)))))</f>
        <v/>
      </c>
      <c r="G730" s="30" t="str">
        <f t="array" ref="G730">IF($A730="", "", LET(bbgm_stat, INDEX(Players!$A729:$P729, MATCH(G$2, Players!$A$1:$P$1, 0)), perc_75, VLOOKUP(G$2, Percentiles!$A$45:$I$59, 6, FALSE), perc_90, VLOOKUP(G$2, Percentiles!$A$45:$I$59, 7, FALSE), perc_95, VLOOKUP(G$2, Percentiles!$A$45:$I$59, 8, FALSE), perc_85, perc_75 + (perc_90 - perc_75) * (2/3), converted_stat, '2K_Ratings'!G730, IF(bbgm_stat &gt;= perc_95, converted_stat * 3, IF(bbgm_stat &gt;= perc_90, converted_stat * 2, IF(bbgm_stat &gt;= perc_85, converted_stat * 1.5, converted_stat)))))</f>
        <v/>
      </c>
      <c r="H730" s="30" t="str">
        <f t="array" ref="H730">IF($A730="", "", LET(bbgm_stat, INDEX(Players!$A729:$P729, MATCH(H$2, Players!$A$1:$P$1, 0)), perc_75, VLOOKUP(H$2, Percentiles!$A$45:$I$59, 6, FALSE), perc_90, VLOOKUP(H$2, Percentiles!$A$45:$I$59, 7, FALSE), perc_95, VLOOKUP(H$2, Percentiles!$A$45:$I$59, 8, FALSE), perc_85, perc_75 + (perc_90 - perc_75) * (2/3), converted_stat, '2K_Ratings'!H730, IF(bbgm_stat &gt;= perc_95, converted_stat * 3, IF(bbgm_stat &gt;= perc_90, converted_stat * 2, IF(bbgm_stat &gt;= perc_85, converted_stat * 1.5, converted_stat)))))</f>
        <v/>
      </c>
      <c r="I730" s="30" t="str">
        <f t="array" ref="I730">IF($A730="", "", LET(bbgm_stat, INDEX(Players!$A729:$P729, MATCH(I$2, Players!$A$1:$P$1, 0)), perc_75, VLOOKUP(I$2, Percentiles!$A$45:$I$59, 6, FALSE), perc_90, VLOOKUP(I$2, Percentiles!$A$45:$I$59, 7, FALSE), perc_95, VLOOKUP(I$2, Percentiles!$A$45:$I$59, 8, FALSE), perc_85, perc_75 + (perc_90 - perc_75) * (2/3), converted_stat, '2K_Ratings'!I730, IF(bbgm_stat &gt;= perc_95, converted_stat * 3, IF(bbgm_stat &gt;= perc_90, converted_stat * 2, IF(bbgm_stat &gt;= perc_85, converted_stat * 1.5, converted_stat)))))</f>
        <v/>
      </c>
      <c r="J730" s="30" t="str">
        <f t="array" ref="J730">IF($A730="", "", LET(bbgm_stat, INDEX(Players!$A729:$P729, MATCH(J$2, Players!$A$1:$P$1, 0)), perc_75, VLOOKUP(J$2, Percentiles!$A$45:$I$59, 6, FALSE), perc_90, VLOOKUP(J$2, Percentiles!$A$45:$I$59, 7, FALSE), perc_95, VLOOKUP(J$2, Percentiles!$A$45:$I$59, 8, FALSE), perc_85, perc_75 + (perc_90 - perc_75) * (2/3), converted_stat, '2K_Ratings'!J730, IF(bbgm_stat &gt;= perc_95, converted_stat * 3, IF(bbgm_stat &gt;= perc_90, converted_stat * 2, IF(bbgm_stat &gt;= perc_85, converted_stat * 1.5, converted_stat)))))</f>
        <v/>
      </c>
      <c r="K730" s="30" t="str">
        <f t="array" ref="K730">IF($A730="", "", LET(bbgm_stat, INDEX(Players!$A729:$P729, MATCH(K$2, Players!$A$1:$P$1, 0)), perc_75, VLOOKUP(K$2, Percentiles!$A$45:$I$59, 6, FALSE), perc_90, VLOOKUP(K$2, Percentiles!$A$45:$I$59, 7, FALSE), perc_95, VLOOKUP(K$2, Percentiles!$A$45:$I$59, 8, FALSE), perc_85, perc_75 + (perc_90 - perc_75) * (2/3), converted_stat, '2K_Ratings'!K730, IF(bbgm_stat &gt;= perc_95, converted_stat * 3, IF(bbgm_stat &gt;= perc_90, converted_stat * 2, IF(bbgm_stat &gt;= perc_85, converted_stat * 1.5, converted_stat)))))</f>
        <v/>
      </c>
      <c r="L730" s="30" t="str">
        <f t="array" ref="L730">IF($A730="", "", LET(bbgm_stat, INDEX(Players!$A729:$P729, MATCH(L$2, Players!$A$1:$P$1, 0)), perc_75, VLOOKUP(L$2, Percentiles!$A$45:$I$59, 6, FALSE), perc_90, VLOOKUP(L$2, Percentiles!$A$45:$I$59, 7, FALSE), perc_95, VLOOKUP(L$2, Percentiles!$A$45:$I$59, 8, FALSE), perc_85, perc_75 + (perc_90 - perc_75) * (2/3), converted_stat, '2K_Ratings'!L730, IF(bbgm_stat &gt;= perc_95, converted_stat * 3, IF(bbgm_stat &gt;= perc_90, converted_stat * 2, IF(bbgm_stat &gt;= perc_85, converted_stat * 1.5, converted_stat)))))</f>
        <v/>
      </c>
      <c r="M730" s="30" t="str">
        <f t="array" ref="M730">IF($A730="", "", LET(bbgm_stat, INDEX(Players!$A729:$P729, MATCH(M$2, Players!$A$1:$P$1, 0)), perc_75, VLOOKUP(M$2, Percentiles!$A$45:$I$59, 6, FALSE), perc_90, VLOOKUP(M$2, Percentiles!$A$45:$I$59, 7, FALSE), perc_95, VLOOKUP(M$2, Percentiles!$A$45:$I$59, 8, FALSE), perc_85, perc_75 + (perc_90 - perc_75) * (2/3), converted_stat, '2K_Ratings'!M730, IF(bbgm_stat &gt;= perc_95, converted_stat * 3, IF(bbgm_stat &gt;= perc_90, converted_stat * 2, IF(bbgm_stat &gt;= perc_85, converted_stat * 1.5, converted_stat)))))</f>
        <v/>
      </c>
      <c r="N730" s="30" t="str">
        <f t="array" ref="N730">IF($A730="", "", LET(bbgm_stat, INDEX(Players!$A729:$P729, MATCH(N$2, Players!$A$1:$P$1, 0)), perc_75, VLOOKUP(N$2, Percentiles!$A$45:$I$59, 6, FALSE), perc_90, VLOOKUP(N$2, Percentiles!$A$45:$I$59, 7, FALSE), perc_95, VLOOKUP(N$2, Percentiles!$A$45:$I$59, 8, FALSE), perc_85, perc_75 + (perc_90 - perc_75) * (2/3), converted_stat, '2K_Ratings'!N730, IF(bbgm_stat &gt;= perc_95, converted_stat * 3, IF(bbgm_stat &gt;= perc_90, converted_stat * 2, IF(bbgm_stat &gt;= perc_85, converted_stat * 1.5, converted_stat)))))</f>
        <v/>
      </c>
      <c r="O730" s="30" t="str">
        <f t="array" ref="O730">IF($A730="", "", LET(bbgm_stat, INDEX(Players!$A729:$P729, MATCH(O$2, Players!$A$1:$P$1, 0)), perc_75, VLOOKUP(O$2, Percentiles!$A$45:$I$59, 6, FALSE), perc_90, VLOOKUP(O$2, Percentiles!$A$45:$I$59, 7, FALSE), perc_95, VLOOKUP(O$2, Percentiles!$A$45:$I$59, 8, FALSE), perc_85, perc_75 + (perc_90 - perc_75) * (2/3), converted_stat, '2K_Ratings'!O730, IF(bbgm_stat &gt;= perc_95, converted_stat * 3, IF(bbgm_stat &gt;= perc_90, converted_stat * 2, IF(bbgm_stat &gt;= perc_85, converted_stat * 1.5, converted_stat)))))</f>
        <v/>
      </c>
      <c r="P730" s="30" t="str">
        <f t="array" ref="P730">IF($A730="", "", LET(bbgm_stat, INDEX(Players!$A729:$P729, MATCH(P$2, Players!$A$1:$P$1, 0)), perc_75, VLOOKUP(P$2, Percentiles!$A$45:$I$59, 6, FALSE), perc_90, VLOOKUP(P$2, Percentiles!$A$45:$I$59, 7, FALSE), perc_95, VLOOKUP(P$2, Percentiles!$A$45:$I$59, 8, FALSE), perc_85, perc_75 + (perc_90 - perc_75) * (2/3), converted_stat, '2K_Ratings'!P730, IF(bbgm_stat &gt;= perc_95, converted_stat * 3, IF(bbgm_stat &gt;= perc_90, converted_stat * 2, IF(bbgm_stat &gt;= perc_85, converted_stat * 1.5, converted_stat)))))</f>
        <v/>
      </c>
      <c r="Q730" s="30" t="str">
        <f t="array" ref="Q730">IF($A730="", "", LET(bbgm_stat, INDEX(Players!$A729:$P729, MATCH(Q$2, Players!$A$1:$P$1, 0)), perc_75, VLOOKUP(Q$2, Percentiles!$A$45:$I$59, 6, FALSE), perc_90, VLOOKUP(Q$2, Percentiles!$A$45:$I$59, 7, FALSE), perc_95, VLOOKUP(Q$2, Percentiles!$A$45:$I$59, 8, FALSE), perc_85, perc_75 + (perc_90 - perc_75) * (2/3), converted_stat, '2K_Ratings'!Q730, IF(bbgm_stat &gt;= perc_95, converted_stat * 3, IF(bbgm_stat &gt;= perc_90, converted_stat * 2, IF(bbgm_stat &gt;= perc_85, converted_stat * 1.5, converted_stat)))))</f>
        <v/>
      </c>
      <c r="R730" s="30" t="str">
        <f t="array" ref="R730">IF($A730="", "", LET(bbgm_stat, INDEX(Players!$A729:$P729, MATCH(R$2, Players!$A$1:$P$1, 0)), perc_75, VLOOKUP(R$2, Percentiles!$A$45:$I$59, 6, FALSE), perc_90, VLOOKUP(R$2, Percentiles!$A$45:$I$59, 7, FALSE), perc_95, VLOOKUP(R$2, Percentiles!$A$45:$I$59, 8, FALSE), perc_85, perc_75 + (perc_90 - perc_75) * (2/3), converted_stat, '2K_Ratings'!R730, IF(bbgm_stat &gt;= perc_95, converted_stat * 3, IF(bbgm_stat &gt;= perc_90, converted_stat * 2, IF(bbgm_stat &gt;= perc_85, converted_stat * 1.5, converted_stat)))))</f>
        <v/>
      </c>
      <c r="S730" s="30" t="str">
        <f t="array" ref="S730">IF($A730="", "", LET(bbgm_stat, INDEX(Players!$A729:$P729, MATCH(S$2, Players!$A$1:$P$1, 0)), perc_75, VLOOKUP(S$2, Percentiles!$A$45:$I$59, 6, FALSE), perc_90, VLOOKUP(S$2, Percentiles!$A$45:$I$59, 7, FALSE), perc_95, VLOOKUP(S$2, Percentiles!$A$45:$I$59, 8, FALSE), perc_85, perc_75 + (perc_90 - perc_75) * (2/3), converted_stat, '2K_Ratings'!S730, IF(bbgm_stat &gt;= perc_95, converted_stat * 3, IF(bbgm_stat &gt;= perc_90, converted_stat * 2, IF(bbgm_stat &gt;= perc_85, converted_stat * 1.5, converted_stat)))))</f>
        <v/>
      </c>
      <c r="T730" s="30" t="str">
        <f t="array" ref="T730">IF($A730="", "", LET(bbgm_stat, INDEX(Players!$A729:$P729, MATCH(T$2, Players!$A$1:$P$1, 0)), perc_75, VLOOKUP(T$2, Percentiles!$A$45:$I$59, 6, FALSE), perc_90, VLOOKUP(T$2, Percentiles!$A$45:$I$59, 7, FALSE), perc_95, VLOOKUP(T$2, Percentiles!$A$45:$I$59, 8, FALSE), perc_85, perc_75 + (perc_90 - perc_75) * (2/3), converted_stat, '2K_Ratings'!T730, IF(bbgm_stat &gt;= perc_95, converted_stat * 3, IF(bbgm_stat &gt;= perc_90, converted_stat * 2, IF(bbgm_stat &gt;= perc_85, converted_stat * 1.5, converted_stat)))))</f>
        <v/>
      </c>
      <c r="U730" s="30" t="str">
        <f t="array" ref="U730">IF($A730="", "", LET(bbgm_stat, INDEX(Players!$A729:$P729, MATCH(U$2, Players!$A$1:$P$1, 0)), perc_75, VLOOKUP(U$2, Percentiles!$A$45:$I$59, 6, FALSE), perc_90, VLOOKUP(U$2, Percentiles!$A$45:$I$59, 7, FALSE), perc_95, VLOOKUP(U$2, Percentiles!$A$45:$I$59, 8, FALSE), perc_85, perc_75 + (perc_90 - perc_75) * (2/3), converted_stat, '2K_Ratings'!U730, IF(bbgm_stat &gt;= perc_95, converted_stat * 3, IF(bbgm_stat &gt;= perc_90, converted_stat * 2, IF(bbgm_stat &gt;= perc_85, converted_stat * 1.5, converted_stat)))))</f>
        <v/>
      </c>
      <c r="V730" s="30" t="str">
        <f t="array" ref="V730">IF($A730="", "", LET(bbgm_stat, INDEX(Players!$A729:$P729, MATCH(V$2, Players!$A$1:$P$1, 0)), perc_75, VLOOKUP(V$2, Percentiles!$A$45:$I$59, 6, FALSE), perc_90, VLOOKUP(V$2, Percentiles!$A$45:$I$59, 7, FALSE), perc_95, VLOOKUP(V$2, Percentiles!$A$45:$I$59, 8, FALSE), perc_85, perc_75 + (perc_90 - perc_75) * (2/3), converted_stat, '2K_Ratings'!V730, IF(bbgm_stat &gt;= perc_95, converted_stat * 3, IF(bbgm_stat &gt;= perc_90, converted_stat * 2, IF(bbgm_stat &gt;= perc_85, converted_stat * 1.5, converted_stat)))))</f>
        <v/>
      </c>
      <c r="W730" s="30" t="str">
        <f t="array" ref="W730">IF($A730="", "", LET(bbgm_stat, INDEX(Players!$A729:$P729, MATCH(W$2, Players!$A$1:$P$1, 0)), perc_75, VLOOKUP(W$2, Percentiles!$A$45:$I$59, 6, FALSE), perc_90, VLOOKUP(W$2, Percentiles!$A$45:$I$59, 7, FALSE), perc_95, VLOOKUP(W$2, Percentiles!$A$45:$I$59, 8, FALSE), perc_85, perc_75 + (perc_90 - perc_75) * (2/3), converted_stat, '2K_Ratings'!W730, IF(bbgm_stat &gt;= perc_95, converted_stat * 3, IF(bbgm_stat &gt;= perc_90, converted_stat * 2, IF(bbgm_stat &gt;= perc_85, converted_stat * 1.5, converted_stat)))))</f>
        <v/>
      </c>
    </row>
    <row r="731">
      <c r="A731" s="30"/>
      <c r="B731" s="30" t="str">
        <f t="array" ref="B731">IF($A731="", "", LET(bbgm_stat, INDEX(Players!$A730:$P730, MATCH(B$2, Players!$A$1:$P$1, 0)), perc_75, VLOOKUP(B$2, Percentiles!$A$45:$I$59, 6, FALSE), perc_90, VLOOKUP(B$2, Percentiles!$A$45:$I$59, 7, FALSE), perc_95, VLOOKUP(B$2, Percentiles!$A$45:$I$59, 8, FALSE), perc_85, perc_75 + (perc_90 - perc_75) * (2/3), converted_stat, '2K_Ratings'!B731, IF(bbgm_stat &gt;= perc_95, converted_stat * 3, IF(bbgm_stat &gt;= perc_90, converted_stat * 2, IF(bbgm_stat &gt;= perc_85, converted_stat * 1.5, converted_stat)))))</f>
        <v/>
      </c>
      <c r="C731" s="30" t="str">
        <f t="array" ref="C731">IF($A731="", "", LET(bbgm_stat, INDEX(Players!$A730:$P730, MATCH(C$2, Players!$A$1:$P$1, 0)), perc_75, VLOOKUP(C$2, Percentiles!$A$45:$I$59, 6, FALSE), perc_90, VLOOKUP(C$2, Percentiles!$A$45:$I$59, 7, FALSE), perc_95, VLOOKUP(C$2, Percentiles!$A$45:$I$59, 8, FALSE), perc_85, perc_75 + (perc_90 - perc_75) * (2/3), converted_stat, '2K_Ratings'!C731, IF(bbgm_stat &gt;= perc_95, converted_stat * 3, IF(bbgm_stat &gt;= perc_90, converted_stat * 2, IF(bbgm_stat &gt;= perc_85, converted_stat * 1.5, converted_stat)))))</f>
        <v/>
      </c>
      <c r="D731" s="30" t="str">
        <f t="array" ref="D731">IF($A731="", "", LET(bbgm_stat, INDEX(Players!$A730:$P730, MATCH(D$2, Players!$A$1:$P$1, 0)), perc_75, VLOOKUP(D$2, Percentiles!$A$45:$I$59, 6, FALSE), perc_90, VLOOKUP(D$2, Percentiles!$A$45:$I$59, 7, FALSE), perc_95, VLOOKUP(D$2, Percentiles!$A$45:$I$59, 8, FALSE), perc_85, perc_75 + (perc_90 - perc_75) * (2/3), converted_stat, '2K_Ratings'!D731, IF(bbgm_stat &gt;= perc_95, converted_stat * 3, IF(bbgm_stat &gt;= perc_90, converted_stat * 2, IF(bbgm_stat &gt;= perc_85, converted_stat * 1.5, converted_stat)))))</f>
        <v/>
      </c>
      <c r="E731" s="30" t="str">
        <f t="array" ref="E731">IF($A731="", "", LET(bbgm_stat, INDEX(Players!$A730:$P730, MATCH(E$2, Players!$A$1:$P$1, 0)), perc_75, VLOOKUP(E$2, Percentiles!$A$45:$I$59, 6, FALSE), perc_90, VLOOKUP(E$2, Percentiles!$A$45:$I$59, 7, FALSE), perc_95, VLOOKUP(E$2, Percentiles!$A$45:$I$59, 8, FALSE), perc_85, perc_75 + (perc_90 - perc_75) * (2/3), converted_stat, '2K_Ratings'!E731, IF(bbgm_stat &gt;= perc_95, converted_stat * 3, IF(bbgm_stat &gt;= perc_90, converted_stat * 2, IF(bbgm_stat &gt;= perc_85, converted_stat * 1.5, converted_stat)))))</f>
        <v/>
      </c>
      <c r="F731" s="30" t="str">
        <f t="array" ref="F731">IF($A731="", "", LET(bbgm_stat, INDEX(Players!$A730:$P730, MATCH(F$2, Players!$A$1:$P$1, 0)), perc_75, VLOOKUP(F$2, Percentiles!$A$45:$I$59, 6, FALSE), perc_90, VLOOKUP(F$2, Percentiles!$A$45:$I$59, 7, FALSE), perc_95, VLOOKUP(F$2, Percentiles!$A$45:$I$59, 8, FALSE), perc_85, perc_75 + (perc_90 - perc_75) * (2/3), converted_stat, '2K_Ratings'!F731, IF(bbgm_stat &gt;= perc_95, converted_stat * 3, IF(bbgm_stat &gt;= perc_90, converted_stat * 2, IF(bbgm_stat &gt;= perc_85, converted_stat * 1.5, converted_stat)))))</f>
        <v/>
      </c>
      <c r="G731" s="30" t="str">
        <f t="array" ref="G731">IF($A731="", "", LET(bbgm_stat, INDEX(Players!$A730:$P730, MATCH(G$2, Players!$A$1:$P$1, 0)), perc_75, VLOOKUP(G$2, Percentiles!$A$45:$I$59, 6, FALSE), perc_90, VLOOKUP(G$2, Percentiles!$A$45:$I$59, 7, FALSE), perc_95, VLOOKUP(G$2, Percentiles!$A$45:$I$59, 8, FALSE), perc_85, perc_75 + (perc_90 - perc_75) * (2/3), converted_stat, '2K_Ratings'!G731, IF(bbgm_stat &gt;= perc_95, converted_stat * 3, IF(bbgm_stat &gt;= perc_90, converted_stat * 2, IF(bbgm_stat &gt;= perc_85, converted_stat * 1.5, converted_stat)))))</f>
        <v/>
      </c>
      <c r="H731" s="30" t="str">
        <f t="array" ref="H731">IF($A731="", "", LET(bbgm_stat, INDEX(Players!$A730:$P730, MATCH(H$2, Players!$A$1:$P$1, 0)), perc_75, VLOOKUP(H$2, Percentiles!$A$45:$I$59, 6, FALSE), perc_90, VLOOKUP(H$2, Percentiles!$A$45:$I$59, 7, FALSE), perc_95, VLOOKUP(H$2, Percentiles!$A$45:$I$59, 8, FALSE), perc_85, perc_75 + (perc_90 - perc_75) * (2/3), converted_stat, '2K_Ratings'!H731, IF(bbgm_stat &gt;= perc_95, converted_stat * 3, IF(bbgm_stat &gt;= perc_90, converted_stat * 2, IF(bbgm_stat &gt;= perc_85, converted_stat * 1.5, converted_stat)))))</f>
        <v/>
      </c>
      <c r="I731" s="30" t="str">
        <f t="array" ref="I731">IF($A731="", "", LET(bbgm_stat, INDEX(Players!$A730:$P730, MATCH(I$2, Players!$A$1:$P$1, 0)), perc_75, VLOOKUP(I$2, Percentiles!$A$45:$I$59, 6, FALSE), perc_90, VLOOKUP(I$2, Percentiles!$A$45:$I$59, 7, FALSE), perc_95, VLOOKUP(I$2, Percentiles!$A$45:$I$59, 8, FALSE), perc_85, perc_75 + (perc_90 - perc_75) * (2/3), converted_stat, '2K_Ratings'!I731, IF(bbgm_stat &gt;= perc_95, converted_stat * 3, IF(bbgm_stat &gt;= perc_90, converted_stat * 2, IF(bbgm_stat &gt;= perc_85, converted_stat * 1.5, converted_stat)))))</f>
        <v/>
      </c>
      <c r="J731" s="30" t="str">
        <f t="array" ref="J731">IF($A731="", "", LET(bbgm_stat, INDEX(Players!$A730:$P730, MATCH(J$2, Players!$A$1:$P$1, 0)), perc_75, VLOOKUP(J$2, Percentiles!$A$45:$I$59, 6, FALSE), perc_90, VLOOKUP(J$2, Percentiles!$A$45:$I$59, 7, FALSE), perc_95, VLOOKUP(J$2, Percentiles!$A$45:$I$59, 8, FALSE), perc_85, perc_75 + (perc_90 - perc_75) * (2/3), converted_stat, '2K_Ratings'!J731, IF(bbgm_stat &gt;= perc_95, converted_stat * 3, IF(bbgm_stat &gt;= perc_90, converted_stat * 2, IF(bbgm_stat &gt;= perc_85, converted_stat * 1.5, converted_stat)))))</f>
        <v/>
      </c>
      <c r="K731" s="30" t="str">
        <f t="array" ref="K731">IF($A731="", "", LET(bbgm_stat, INDEX(Players!$A730:$P730, MATCH(K$2, Players!$A$1:$P$1, 0)), perc_75, VLOOKUP(K$2, Percentiles!$A$45:$I$59, 6, FALSE), perc_90, VLOOKUP(K$2, Percentiles!$A$45:$I$59, 7, FALSE), perc_95, VLOOKUP(K$2, Percentiles!$A$45:$I$59, 8, FALSE), perc_85, perc_75 + (perc_90 - perc_75) * (2/3), converted_stat, '2K_Ratings'!K731, IF(bbgm_stat &gt;= perc_95, converted_stat * 3, IF(bbgm_stat &gt;= perc_90, converted_stat * 2, IF(bbgm_stat &gt;= perc_85, converted_stat * 1.5, converted_stat)))))</f>
        <v/>
      </c>
      <c r="L731" s="30" t="str">
        <f t="array" ref="L731">IF($A731="", "", LET(bbgm_stat, INDEX(Players!$A730:$P730, MATCH(L$2, Players!$A$1:$P$1, 0)), perc_75, VLOOKUP(L$2, Percentiles!$A$45:$I$59, 6, FALSE), perc_90, VLOOKUP(L$2, Percentiles!$A$45:$I$59, 7, FALSE), perc_95, VLOOKUP(L$2, Percentiles!$A$45:$I$59, 8, FALSE), perc_85, perc_75 + (perc_90 - perc_75) * (2/3), converted_stat, '2K_Ratings'!L731, IF(bbgm_stat &gt;= perc_95, converted_stat * 3, IF(bbgm_stat &gt;= perc_90, converted_stat * 2, IF(bbgm_stat &gt;= perc_85, converted_stat * 1.5, converted_stat)))))</f>
        <v/>
      </c>
      <c r="M731" s="30" t="str">
        <f t="array" ref="M731">IF($A731="", "", LET(bbgm_stat, INDEX(Players!$A730:$P730, MATCH(M$2, Players!$A$1:$P$1, 0)), perc_75, VLOOKUP(M$2, Percentiles!$A$45:$I$59, 6, FALSE), perc_90, VLOOKUP(M$2, Percentiles!$A$45:$I$59, 7, FALSE), perc_95, VLOOKUP(M$2, Percentiles!$A$45:$I$59, 8, FALSE), perc_85, perc_75 + (perc_90 - perc_75) * (2/3), converted_stat, '2K_Ratings'!M731, IF(bbgm_stat &gt;= perc_95, converted_stat * 3, IF(bbgm_stat &gt;= perc_90, converted_stat * 2, IF(bbgm_stat &gt;= perc_85, converted_stat * 1.5, converted_stat)))))</f>
        <v/>
      </c>
      <c r="N731" s="30" t="str">
        <f t="array" ref="N731">IF($A731="", "", LET(bbgm_stat, INDEX(Players!$A730:$P730, MATCH(N$2, Players!$A$1:$P$1, 0)), perc_75, VLOOKUP(N$2, Percentiles!$A$45:$I$59, 6, FALSE), perc_90, VLOOKUP(N$2, Percentiles!$A$45:$I$59, 7, FALSE), perc_95, VLOOKUP(N$2, Percentiles!$A$45:$I$59, 8, FALSE), perc_85, perc_75 + (perc_90 - perc_75) * (2/3), converted_stat, '2K_Ratings'!N731, IF(bbgm_stat &gt;= perc_95, converted_stat * 3, IF(bbgm_stat &gt;= perc_90, converted_stat * 2, IF(bbgm_stat &gt;= perc_85, converted_stat * 1.5, converted_stat)))))</f>
        <v/>
      </c>
      <c r="O731" s="30" t="str">
        <f t="array" ref="O731">IF($A731="", "", LET(bbgm_stat, INDEX(Players!$A730:$P730, MATCH(O$2, Players!$A$1:$P$1, 0)), perc_75, VLOOKUP(O$2, Percentiles!$A$45:$I$59, 6, FALSE), perc_90, VLOOKUP(O$2, Percentiles!$A$45:$I$59, 7, FALSE), perc_95, VLOOKUP(O$2, Percentiles!$A$45:$I$59, 8, FALSE), perc_85, perc_75 + (perc_90 - perc_75) * (2/3), converted_stat, '2K_Ratings'!O731, IF(bbgm_stat &gt;= perc_95, converted_stat * 3, IF(bbgm_stat &gt;= perc_90, converted_stat * 2, IF(bbgm_stat &gt;= perc_85, converted_stat * 1.5, converted_stat)))))</f>
        <v/>
      </c>
      <c r="P731" s="30" t="str">
        <f t="array" ref="P731">IF($A731="", "", LET(bbgm_stat, INDEX(Players!$A730:$P730, MATCH(P$2, Players!$A$1:$P$1, 0)), perc_75, VLOOKUP(P$2, Percentiles!$A$45:$I$59, 6, FALSE), perc_90, VLOOKUP(P$2, Percentiles!$A$45:$I$59, 7, FALSE), perc_95, VLOOKUP(P$2, Percentiles!$A$45:$I$59, 8, FALSE), perc_85, perc_75 + (perc_90 - perc_75) * (2/3), converted_stat, '2K_Ratings'!P731, IF(bbgm_stat &gt;= perc_95, converted_stat * 3, IF(bbgm_stat &gt;= perc_90, converted_stat * 2, IF(bbgm_stat &gt;= perc_85, converted_stat * 1.5, converted_stat)))))</f>
        <v/>
      </c>
      <c r="Q731" s="30" t="str">
        <f t="array" ref="Q731">IF($A731="", "", LET(bbgm_stat, INDEX(Players!$A730:$P730, MATCH(Q$2, Players!$A$1:$P$1, 0)), perc_75, VLOOKUP(Q$2, Percentiles!$A$45:$I$59, 6, FALSE), perc_90, VLOOKUP(Q$2, Percentiles!$A$45:$I$59, 7, FALSE), perc_95, VLOOKUP(Q$2, Percentiles!$A$45:$I$59, 8, FALSE), perc_85, perc_75 + (perc_90 - perc_75) * (2/3), converted_stat, '2K_Ratings'!Q731, IF(bbgm_stat &gt;= perc_95, converted_stat * 3, IF(bbgm_stat &gt;= perc_90, converted_stat * 2, IF(bbgm_stat &gt;= perc_85, converted_stat * 1.5, converted_stat)))))</f>
        <v/>
      </c>
      <c r="R731" s="30" t="str">
        <f t="array" ref="R731">IF($A731="", "", LET(bbgm_stat, INDEX(Players!$A730:$P730, MATCH(R$2, Players!$A$1:$P$1, 0)), perc_75, VLOOKUP(R$2, Percentiles!$A$45:$I$59, 6, FALSE), perc_90, VLOOKUP(R$2, Percentiles!$A$45:$I$59, 7, FALSE), perc_95, VLOOKUP(R$2, Percentiles!$A$45:$I$59, 8, FALSE), perc_85, perc_75 + (perc_90 - perc_75) * (2/3), converted_stat, '2K_Ratings'!R731, IF(bbgm_stat &gt;= perc_95, converted_stat * 3, IF(bbgm_stat &gt;= perc_90, converted_stat * 2, IF(bbgm_stat &gt;= perc_85, converted_stat * 1.5, converted_stat)))))</f>
        <v/>
      </c>
      <c r="S731" s="30" t="str">
        <f t="array" ref="S731">IF($A731="", "", LET(bbgm_stat, INDEX(Players!$A730:$P730, MATCH(S$2, Players!$A$1:$P$1, 0)), perc_75, VLOOKUP(S$2, Percentiles!$A$45:$I$59, 6, FALSE), perc_90, VLOOKUP(S$2, Percentiles!$A$45:$I$59, 7, FALSE), perc_95, VLOOKUP(S$2, Percentiles!$A$45:$I$59, 8, FALSE), perc_85, perc_75 + (perc_90 - perc_75) * (2/3), converted_stat, '2K_Ratings'!S731, IF(bbgm_stat &gt;= perc_95, converted_stat * 3, IF(bbgm_stat &gt;= perc_90, converted_stat * 2, IF(bbgm_stat &gt;= perc_85, converted_stat * 1.5, converted_stat)))))</f>
        <v/>
      </c>
      <c r="T731" s="30" t="str">
        <f t="array" ref="T731">IF($A731="", "", LET(bbgm_stat, INDEX(Players!$A730:$P730, MATCH(T$2, Players!$A$1:$P$1, 0)), perc_75, VLOOKUP(T$2, Percentiles!$A$45:$I$59, 6, FALSE), perc_90, VLOOKUP(T$2, Percentiles!$A$45:$I$59, 7, FALSE), perc_95, VLOOKUP(T$2, Percentiles!$A$45:$I$59, 8, FALSE), perc_85, perc_75 + (perc_90 - perc_75) * (2/3), converted_stat, '2K_Ratings'!T731, IF(bbgm_stat &gt;= perc_95, converted_stat * 3, IF(bbgm_stat &gt;= perc_90, converted_stat * 2, IF(bbgm_stat &gt;= perc_85, converted_stat * 1.5, converted_stat)))))</f>
        <v/>
      </c>
      <c r="U731" s="30" t="str">
        <f t="array" ref="U731">IF($A731="", "", LET(bbgm_stat, INDEX(Players!$A730:$P730, MATCH(U$2, Players!$A$1:$P$1, 0)), perc_75, VLOOKUP(U$2, Percentiles!$A$45:$I$59, 6, FALSE), perc_90, VLOOKUP(U$2, Percentiles!$A$45:$I$59, 7, FALSE), perc_95, VLOOKUP(U$2, Percentiles!$A$45:$I$59, 8, FALSE), perc_85, perc_75 + (perc_90 - perc_75) * (2/3), converted_stat, '2K_Ratings'!U731, IF(bbgm_stat &gt;= perc_95, converted_stat * 3, IF(bbgm_stat &gt;= perc_90, converted_stat * 2, IF(bbgm_stat &gt;= perc_85, converted_stat * 1.5, converted_stat)))))</f>
        <v/>
      </c>
      <c r="V731" s="30" t="str">
        <f t="array" ref="V731">IF($A731="", "", LET(bbgm_stat, INDEX(Players!$A730:$P730, MATCH(V$2, Players!$A$1:$P$1, 0)), perc_75, VLOOKUP(V$2, Percentiles!$A$45:$I$59, 6, FALSE), perc_90, VLOOKUP(V$2, Percentiles!$A$45:$I$59, 7, FALSE), perc_95, VLOOKUP(V$2, Percentiles!$A$45:$I$59, 8, FALSE), perc_85, perc_75 + (perc_90 - perc_75) * (2/3), converted_stat, '2K_Ratings'!V731, IF(bbgm_stat &gt;= perc_95, converted_stat * 3, IF(bbgm_stat &gt;= perc_90, converted_stat * 2, IF(bbgm_stat &gt;= perc_85, converted_stat * 1.5, converted_stat)))))</f>
        <v/>
      </c>
      <c r="W731" s="30" t="str">
        <f t="array" ref="W731">IF($A731="", "", LET(bbgm_stat, INDEX(Players!$A730:$P730, MATCH(W$2, Players!$A$1:$P$1, 0)), perc_75, VLOOKUP(W$2, Percentiles!$A$45:$I$59, 6, FALSE), perc_90, VLOOKUP(W$2, Percentiles!$A$45:$I$59, 7, FALSE), perc_95, VLOOKUP(W$2, Percentiles!$A$45:$I$59, 8, FALSE), perc_85, perc_75 + (perc_90 - perc_75) * (2/3), converted_stat, '2K_Ratings'!W731, IF(bbgm_stat &gt;= perc_95, converted_stat * 3, IF(bbgm_stat &gt;= perc_90, converted_stat * 2, IF(bbgm_stat &gt;= perc_85, converted_stat * 1.5, converted_stat)))))</f>
        <v/>
      </c>
    </row>
    <row r="732">
      <c r="A732" s="30"/>
      <c r="B732" s="30" t="str">
        <f t="array" ref="B732">IF($A732="", "", LET(bbgm_stat, INDEX(Players!$A731:$P731, MATCH(B$2, Players!$A$1:$P$1, 0)), perc_75, VLOOKUP(B$2, Percentiles!$A$45:$I$59, 6, FALSE), perc_90, VLOOKUP(B$2, Percentiles!$A$45:$I$59, 7, FALSE), perc_95, VLOOKUP(B$2, Percentiles!$A$45:$I$59, 8, FALSE), perc_85, perc_75 + (perc_90 - perc_75) * (2/3), converted_stat, '2K_Ratings'!B732, IF(bbgm_stat &gt;= perc_95, converted_stat * 3, IF(bbgm_stat &gt;= perc_90, converted_stat * 2, IF(bbgm_stat &gt;= perc_85, converted_stat * 1.5, converted_stat)))))</f>
        <v/>
      </c>
      <c r="C732" s="30" t="str">
        <f t="array" ref="C732">IF($A732="", "", LET(bbgm_stat, INDEX(Players!$A731:$P731, MATCH(C$2, Players!$A$1:$P$1, 0)), perc_75, VLOOKUP(C$2, Percentiles!$A$45:$I$59, 6, FALSE), perc_90, VLOOKUP(C$2, Percentiles!$A$45:$I$59, 7, FALSE), perc_95, VLOOKUP(C$2, Percentiles!$A$45:$I$59, 8, FALSE), perc_85, perc_75 + (perc_90 - perc_75) * (2/3), converted_stat, '2K_Ratings'!C732, IF(bbgm_stat &gt;= perc_95, converted_stat * 3, IF(bbgm_stat &gt;= perc_90, converted_stat * 2, IF(bbgm_stat &gt;= perc_85, converted_stat * 1.5, converted_stat)))))</f>
        <v/>
      </c>
      <c r="D732" s="30" t="str">
        <f t="array" ref="D732">IF($A732="", "", LET(bbgm_stat, INDEX(Players!$A731:$P731, MATCH(D$2, Players!$A$1:$P$1, 0)), perc_75, VLOOKUP(D$2, Percentiles!$A$45:$I$59, 6, FALSE), perc_90, VLOOKUP(D$2, Percentiles!$A$45:$I$59, 7, FALSE), perc_95, VLOOKUP(D$2, Percentiles!$A$45:$I$59, 8, FALSE), perc_85, perc_75 + (perc_90 - perc_75) * (2/3), converted_stat, '2K_Ratings'!D732, IF(bbgm_stat &gt;= perc_95, converted_stat * 3, IF(bbgm_stat &gt;= perc_90, converted_stat * 2, IF(bbgm_stat &gt;= perc_85, converted_stat * 1.5, converted_stat)))))</f>
        <v/>
      </c>
      <c r="E732" s="30" t="str">
        <f t="array" ref="E732">IF($A732="", "", LET(bbgm_stat, INDEX(Players!$A731:$P731, MATCH(E$2, Players!$A$1:$P$1, 0)), perc_75, VLOOKUP(E$2, Percentiles!$A$45:$I$59, 6, FALSE), perc_90, VLOOKUP(E$2, Percentiles!$A$45:$I$59, 7, FALSE), perc_95, VLOOKUP(E$2, Percentiles!$A$45:$I$59, 8, FALSE), perc_85, perc_75 + (perc_90 - perc_75) * (2/3), converted_stat, '2K_Ratings'!E732, IF(bbgm_stat &gt;= perc_95, converted_stat * 3, IF(bbgm_stat &gt;= perc_90, converted_stat * 2, IF(bbgm_stat &gt;= perc_85, converted_stat * 1.5, converted_stat)))))</f>
        <v/>
      </c>
      <c r="F732" s="30" t="str">
        <f t="array" ref="F732">IF($A732="", "", LET(bbgm_stat, INDEX(Players!$A731:$P731, MATCH(F$2, Players!$A$1:$P$1, 0)), perc_75, VLOOKUP(F$2, Percentiles!$A$45:$I$59, 6, FALSE), perc_90, VLOOKUP(F$2, Percentiles!$A$45:$I$59, 7, FALSE), perc_95, VLOOKUP(F$2, Percentiles!$A$45:$I$59, 8, FALSE), perc_85, perc_75 + (perc_90 - perc_75) * (2/3), converted_stat, '2K_Ratings'!F732, IF(bbgm_stat &gt;= perc_95, converted_stat * 3, IF(bbgm_stat &gt;= perc_90, converted_stat * 2, IF(bbgm_stat &gt;= perc_85, converted_stat * 1.5, converted_stat)))))</f>
        <v/>
      </c>
      <c r="G732" s="30" t="str">
        <f t="array" ref="G732">IF($A732="", "", LET(bbgm_stat, INDEX(Players!$A731:$P731, MATCH(G$2, Players!$A$1:$P$1, 0)), perc_75, VLOOKUP(G$2, Percentiles!$A$45:$I$59, 6, FALSE), perc_90, VLOOKUP(G$2, Percentiles!$A$45:$I$59, 7, FALSE), perc_95, VLOOKUP(G$2, Percentiles!$A$45:$I$59, 8, FALSE), perc_85, perc_75 + (perc_90 - perc_75) * (2/3), converted_stat, '2K_Ratings'!G732, IF(bbgm_stat &gt;= perc_95, converted_stat * 3, IF(bbgm_stat &gt;= perc_90, converted_stat * 2, IF(bbgm_stat &gt;= perc_85, converted_stat * 1.5, converted_stat)))))</f>
        <v/>
      </c>
      <c r="H732" s="30" t="str">
        <f t="array" ref="H732">IF($A732="", "", LET(bbgm_stat, INDEX(Players!$A731:$P731, MATCH(H$2, Players!$A$1:$P$1, 0)), perc_75, VLOOKUP(H$2, Percentiles!$A$45:$I$59, 6, FALSE), perc_90, VLOOKUP(H$2, Percentiles!$A$45:$I$59, 7, FALSE), perc_95, VLOOKUP(H$2, Percentiles!$A$45:$I$59, 8, FALSE), perc_85, perc_75 + (perc_90 - perc_75) * (2/3), converted_stat, '2K_Ratings'!H732, IF(bbgm_stat &gt;= perc_95, converted_stat * 3, IF(bbgm_stat &gt;= perc_90, converted_stat * 2, IF(bbgm_stat &gt;= perc_85, converted_stat * 1.5, converted_stat)))))</f>
        <v/>
      </c>
      <c r="I732" s="30" t="str">
        <f t="array" ref="I732">IF($A732="", "", LET(bbgm_stat, INDEX(Players!$A731:$P731, MATCH(I$2, Players!$A$1:$P$1, 0)), perc_75, VLOOKUP(I$2, Percentiles!$A$45:$I$59, 6, FALSE), perc_90, VLOOKUP(I$2, Percentiles!$A$45:$I$59, 7, FALSE), perc_95, VLOOKUP(I$2, Percentiles!$A$45:$I$59, 8, FALSE), perc_85, perc_75 + (perc_90 - perc_75) * (2/3), converted_stat, '2K_Ratings'!I732, IF(bbgm_stat &gt;= perc_95, converted_stat * 3, IF(bbgm_stat &gt;= perc_90, converted_stat * 2, IF(bbgm_stat &gt;= perc_85, converted_stat * 1.5, converted_stat)))))</f>
        <v/>
      </c>
      <c r="J732" s="30" t="str">
        <f t="array" ref="J732">IF($A732="", "", LET(bbgm_stat, INDEX(Players!$A731:$P731, MATCH(J$2, Players!$A$1:$P$1, 0)), perc_75, VLOOKUP(J$2, Percentiles!$A$45:$I$59, 6, FALSE), perc_90, VLOOKUP(J$2, Percentiles!$A$45:$I$59, 7, FALSE), perc_95, VLOOKUP(J$2, Percentiles!$A$45:$I$59, 8, FALSE), perc_85, perc_75 + (perc_90 - perc_75) * (2/3), converted_stat, '2K_Ratings'!J732, IF(bbgm_stat &gt;= perc_95, converted_stat * 3, IF(bbgm_stat &gt;= perc_90, converted_stat * 2, IF(bbgm_stat &gt;= perc_85, converted_stat * 1.5, converted_stat)))))</f>
        <v/>
      </c>
      <c r="K732" s="30" t="str">
        <f t="array" ref="K732">IF($A732="", "", LET(bbgm_stat, INDEX(Players!$A731:$P731, MATCH(K$2, Players!$A$1:$P$1, 0)), perc_75, VLOOKUP(K$2, Percentiles!$A$45:$I$59, 6, FALSE), perc_90, VLOOKUP(K$2, Percentiles!$A$45:$I$59, 7, FALSE), perc_95, VLOOKUP(K$2, Percentiles!$A$45:$I$59, 8, FALSE), perc_85, perc_75 + (perc_90 - perc_75) * (2/3), converted_stat, '2K_Ratings'!K732, IF(bbgm_stat &gt;= perc_95, converted_stat * 3, IF(bbgm_stat &gt;= perc_90, converted_stat * 2, IF(bbgm_stat &gt;= perc_85, converted_stat * 1.5, converted_stat)))))</f>
        <v/>
      </c>
      <c r="L732" s="30" t="str">
        <f t="array" ref="L732">IF($A732="", "", LET(bbgm_stat, INDEX(Players!$A731:$P731, MATCH(L$2, Players!$A$1:$P$1, 0)), perc_75, VLOOKUP(L$2, Percentiles!$A$45:$I$59, 6, FALSE), perc_90, VLOOKUP(L$2, Percentiles!$A$45:$I$59, 7, FALSE), perc_95, VLOOKUP(L$2, Percentiles!$A$45:$I$59, 8, FALSE), perc_85, perc_75 + (perc_90 - perc_75) * (2/3), converted_stat, '2K_Ratings'!L732, IF(bbgm_stat &gt;= perc_95, converted_stat * 3, IF(bbgm_stat &gt;= perc_90, converted_stat * 2, IF(bbgm_stat &gt;= perc_85, converted_stat * 1.5, converted_stat)))))</f>
        <v/>
      </c>
      <c r="M732" s="30" t="str">
        <f t="array" ref="M732">IF($A732="", "", LET(bbgm_stat, INDEX(Players!$A731:$P731, MATCH(M$2, Players!$A$1:$P$1, 0)), perc_75, VLOOKUP(M$2, Percentiles!$A$45:$I$59, 6, FALSE), perc_90, VLOOKUP(M$2, Percentiles!$A$45:$I$59, 7, FALSE), perc_95, VLOOKUP(M$2, Percentiles!$A$45:$I$59, 8, FALSE), perc_85, perc_75 + (perc_90 - perc_75) * (2/3), converted_stat, '2K_Ratings'!M732, IF(bbgm_stat &gt;= perc_95, converted_stat * 3, IF(bbgm_stat &gt;= perc_90, converted_stat * 2, IF(bbgm_stat &gt;= perc_85, converted_stat * 1.5, converted_stat)))))</f>
        <v/>
      </c>
      <c r="N732" s="30" t="str">
        <f t="array" ref="N732">IF($A732="", "", LET(bbgm_stat, INDEX(Players!$A731:$P731, MATCH(N$2, Players!$A$1:$P$1, 0)), perc_75, VLOOKUP(N$2, Percentiles!$A$45:$I$59, 6, FALSE), perc_90, VLOOKUP(N$2, Percentiles!$A$45:$I$59, 7, FALSE), perc_95, VLOOKUP(N$2, Percentiles!$A$45:$I$59, 8, FALSE), perc_85, perc_75 + (perc_90 - perc_75) * (2/3), converted_stat, '2K_Ratings'!N732, IF(bbgm_stat &gt;= perc_95, converted_stat * 3, IF(bbgm_stat &gt;= perc_90, converted_stat * 2, IF(bbgm_stat &gt;= perc_85, converted_stat * 1.5, converted_stat)))))</f>
        <v/>
      </c>
      <c r="O732" s="30" t="str">
        <f t="array" ref="O732">IF($A732="", "", LET(bbgm_stat, INDEX(Players!$A731:$P731, MATCH(O$2, Players!$A$1:$P$1, 0)), perc_75, VLOOKUP(O$2, Percentiles!$A$45:$I$59, 6, FALSE), perc_90, VLOOKUP(O$2, Percentiles!$A$45:$I$59, 7, FALSE), perc_95, VLOOKUP(O$2, Percentiles!$A$45:$I$59, 8, FALSE), perc_85, perc_75 + (perc_90 - perc_75) * (2/3), converted_stat, '2K_Ratings'!O732, IF(bbgm_stat &gt;= perc_95, converted_stat * 3, IF(bbgm_stat &gt;= perc_90, converted_stat * 2, IF(bbgm_stat &gt;= perc_85, converted_stat * 1.5, converted_stat)))))</f>
        <v/>
      </c>
      <c r="P732" s="30" t="str">
        <f t="array" ref="P732">IF($A732="", "", LET(bbgm_stat, INDEX(Players!$A731:$P731, MATCH(P$2, Players!$A$1:$P$1, 0)), perc_75, VLOOKUP(P$2, Percentiles!$A$45:$I$59, 6, FALSE), perc_90, VLOOKUP(P$2, Percentiles!$A$45:$I$59, 7, FALSE), perc_95, VLOOKUP(P$2, Percentiles!$A$45:$I$59, 8, FALSE), perc_85, perc_75 + (perc_90 - perc_75) * (2/3), converted_stat, '2K_Ratings'!P732, IF(bbgm_stat &gt;= perc_95, converted_stat * 3, IF(bbgm_stat &gt;= perc_90, converted_stat * 2, IF(bbgm_stat &gt;= perc_85, converted_stat * 1.5, converted_stat)))))</f>
        <v/>
      </c>
      <c r="Q732" s="30" t="str">
        <f t="array" ref="Q732">IF($A732="", "", LET(bbgm_stat, INDEX(Players!$A731:$P731, MATCH(Q$2, Players!$A$1:$P$1, 0)), perc_75, VLOOKUP(Q$2, Percentiles!$A$45:$I$59, 6, FALSE), perc_90, VLOOKUP(Q$2, Percentiles!$A$45:$I$59, 7, FALSE), perc_95, VLOOKUP(Q$2, Percentiles!$A$45:$I$59, 8, FALSE), perc_85, perc_75 + (perc_90 - perc_75) * (2/3), converted_stat, '2K_Ratings'!Q732, IF(bbgm_stat &gt;= perc_95, converted_stat * 3, IF(bbgm_stat &gt;= perc_90, converted_stat * 2, IF(bbgm_stat &gt;= perc_85, converted_stat * 1.5, converted_stat)))))</f>
        <v/>
      </c>
      <c r="R732" s="30" t="str">
        <f t="array" ref="R732">IF($A732="", "", LET(bbgm_stat, INDEX(Players!$A731:$P731, MATCH(R$2, Players!$A$1:$P$1, 0)), perc_75, VLOOKUP(R$2, Percentiles!$A$45:$I$59, 6, FALSE), perc_90, VLOOKUP(R$2, Percentiles!$A$45:$I$59, 7, FALSE), perc_95, VLOOKUP(R$2, Percentiles!$A$45:$I$59, 8, FALSE), perc_85, perc_75 + (perc_90 - perc_75) * (2/3), converted_stat, '2K_Ratings'!R732, IF(bbgm_stat &gt;= perc_95, converted_stat * 3, IF(bbgm_stat &gt;= perc_90, converted_stat * 2, IF(bbgm_stat &gt;= perc_85, converted_stat * 1.5, converted_stat)))))</f>
        <v/>
      </c>
      <c r="S732" s="30" t="str">
        <f t="array" ref="S732">IF($A732="", "", LET(bbgm_stat, INDEX(Players!$A731:$P731, MATCH(S$2, Players!$A$1:$P$1, 0)), perc_75, VLOOKUP(S$2, Percentiles!$A$45:$I$59, 6, FALSE), perc_90, VLOOKUP(S$2, Percentiles!$A$45:$I$59, 7, FALSE), perc_95, VLOOKUP(S$2, Percentiles!$A$45:$I$59, 8, FALSE), perc_85, perc_75 + (perc_90 - perc_75) * (2/3), converted_stat, '2K_Ratings'!S732, IF(bbgm_stat &gt;= perc_95, converted_stat * 3, IF(bbgm_stat &gt;= perc_90, converted_stat * 2, IF(bbgm_stat &gt;= perc_85, converted_stat * 1.5, converted_stat)))))</f>
        <v/>
      </c>
      <c r="T732" s="30" t="str">
        <f t="array" ref="T732">IF($A732="", "", LET(bbgm_stat, INDEX(Players!$A731:$P731, MATCH(T$2, Players!$A$1:$P$1, 0)), perc_75, VLOOKUP(T$2, Percentiles!$A$45:$I$59, 6, FALSE), perc_90, VLOOKUP(T$2, Percentiles!$A$45:$I$59, 7, FALSE), perc_95, VLOOKUP(T$2, Percentiles!$A$45:$I$59, 8, FALSE), perc_85, perc_75 + (perc_90 - perc_75) * (2/3), converted_stat, '2K_Ratings'!T732, IF(bbgm_stat &gt;= perc_95, converted_stat * 3, IF(bbgm_stat &gt;= perc_90, converted_stat * 2, IF(bbgm_stat &gt;= perc_85, converted_stat * 1.5, converted_stat)))))</f>
        <v/>
      </c>
      <c r="U732" s="30" t="str">
        <f t="array" ref="U732">IF($A732="", "", LET(bbgm_stat, INDEX(Players!$A731:$P731, MATCH(U$2, Players!$A$1:$P$1, 0)), perc_75, VLOOKUP(U$2, Percentiles!$A$45:$I$59, 6, FALSE), perc_90, VLOOKUP(U$2, Percentiles!$A$45:$I$59, 7, FALSE), perc_95, VLOOKUP(U$2, Percentiles!$A$45:$I$59, 8, FALSE), perc_85, perc_75 + (perc_90 - perc_75) * (2/3), converted_stat, '2K_Ratings'!U732, IF(bbgm_stat &gt;= perc_95, converted_stat * 3, IF(bbgm_stat &gt;= perc_90, converted_stat * 2, IF(bbgm_stat &gt;= perc_85, converted_stat * 1.5, converted_stat)))))</f>
        <v/>
      </c>
      <c r="V732" s="30" t="str">
        <f t="array" ref="V732">IF($A732="", "", LET(bbgm_stat, INDEX(Players!$A731:$P731, MATCH(V$2, Players!$A$1:$P$1, 0)), perc_75, VLOOKUP(V$2, Percentiles!$A$45:$I$59, 6, FALSE), perc_90, VLOOKUP(V$2, Percentiles!$A$45:$I$59, 7, FALSE), perc_95, VLOOKUP(V$2, Percentiles!$A$45:$I$59, 8, FALSE), perc_85, perc_75 + (perc_90 - perc_75) * (2/3), converted_stat, '2K_Ratings'!V732, IF(bbgm_stat &gt;= perc_95, converted_stat * 3, IF(bbgm_stat &gt;= perc_90, converted_stat * 2, IF(bbgm_stat &gt;= perc_85, converted_stat * 1.5, converted_stat)))))</f>
        <v/>
      </c>
      <c r="W732" s="30" t="str">
        <f t="array" ref="W732">IF($A732="", "", LET(bbgm_stat, INDEX(Players!$A731:$P731, MATCH(W$2, Players!$A$1:$P$1, 0)), perc_75, VLOOKUP(W$2, Percentiles!$A$45:$I$59, 6, FALSE), perc_90, VLOOKUP(W$2, Percentiles!$A$45:$I$59, 7, FALSE), perc_95, VLOOKUP(W$2, Percentiles!$A$45:$I$59, 8, FALSE), perc_85, perc_75 + (perc_90 - perc_75) * (2/3), converted_stat, '2K_Ratings'!W732, IF(bbgm_stat &gt;= perc_95, converted_stat * 3, IF(bbgm_stat &gt;= perc_90, converted_stat * 2, IF(bbgm_stat &gt;= perc_85, converted_stat * 1.5, converted_stat)))))</f>
        <v/>
      </c>
    </row>
    <row r="733">
      <c r="A733" s="30"/>
      <c r="B733" s="30" t="str">
        <f t="array" ref="B733">IF($A733="", "", LET(bbgm_stat, INDEX(Players!$A732:$P732, MATCH(B$2, Players!$A$1:$P$1, 0)), perc_75, VLOOKUP(B$2, Percentiles!$A$45:$I$59, 6, FALSE), perc_90, VLOOKUP(B$2, Percentiles!$A$45:$I$59, 7, FALSE), perc_95, VLOOKUP(B$2, Percentiles!$A$45:$I$59, 8, FALSE), perc_85, perc_75 + (perc_90 - perc_75) * (2/3), converted_stat, '2K_Ratings'!B733, IF(bbgm_stat &gt;= perc_95, converted_stat * 3, IF(bbgm_stat &gt;= perc_90, converted_stat * 2, IF(bbgm_stat &gt;= perc_85, converted_stat * 1.5, converted_stat)))))</f>
        <v/>
      </c>
      <c r="C733" s="30" t="str">
        <f t="array" ref="C733">IF($A733="", "", LET(bbgm_stat, INDEX(Players!$A732:$P732, MATCH(C$2, Players!$A$1:$P$1, 0)), perc_75, VLOOKUP(C$2, Percentiles!$A$45:$I$59, 6, FALSE), perc_90, VLOOKUP(C$2, Percentiles!$A$45:$I$59, 7, FALSE), perc_95, VLOOKUP(C$2, Percentiles!$A$45:$I$59, 8, FALSE), perc_85, perc_75 + (perc_90 - perc_75) * (2/3), converted_stat, '2K_Ratings'!C733, IF(bbgm_stat &gt;= perc_95, converted_stat * 3, IF(bbgm_stat &gt;= perc_90, converted_stat * 2, IF(bbgm_stat &gt;= perc_85, converted_stat * 1.5, converted_stat)))))</f>
        <v/>
      </c>
      <c r="D733" s="30" t="str">
        <f t="array" ref="D733">IF($A733="", "", LET(bbgm_stat, INDEX(Players!$A732:$P732, MATCH(D$2, Players!$A$1:$P$1, 0)), perc_75, VLOOKUP(D$2, Percentiles!$A$45:$I$59, 6, FALSE), perc_90, VLOOKUP(D$2, Percentiles!$A$45:$I$59, 7, FALSE), perc_95, VLOOKUP(D$2, Percentiles!$A$45:$I$59, 8, FALSE), perc_85, perc_75 + (perc_90 - perc_75) * (2/3), converted_stat, '2K_Ratings'!D733, IF(bbgm_stat &gt;= perc_95, converted_stat * 3, IF(bbgm_stat &gt;= perc_90, converted_stat * 2, IF(bbgm_stat &gt;= perc_85, converted_stat * 1.5, converted_stat)))))</f>
        <v/>
      </c>
      <c r="E733" s="30" t="str">
        <f t="array" ref="E733">IF($A733="", "", LET(bbgm_stat, INDEX(Players!$A732:$P732, MATCH(E$2, Players!$A$1:$P$1, 0)), perc_75, VLOOKUP(E$2, Percentiles!$A$45:$I$59, 6, FALSE), perc_90, VLOOKUP(E$2, Percentiles!$A$45:$I$59, 7, FALSE), perc_95, VLOOKUP(E$2, Percentiles!$A$45:$I$59, 8, FALSE), perc_85, perc_75 + (perc_90 - perc_75) * (2/3), converted_stat, '2K_Ratings'!E733, IF(bbgm_stat &gt;= perc_95, converted_stat * 3, IF(bbgm_stat &gt;= perc_90, converted_stat * 2, IF(bbgm_stat &gt;= perc_85, converted_stat * 1.5, converted_stat)))))</f>
        <v/>
      </c>
      <c r="F733" s="30" t="str">
        <f t="array" ref="F733">IF($A733="", "", LET(bbgm_stat, INDEX(Players!$A732:$P732, MATCH(F$2, Players!$A$1:$P$1, 0)), perc_75, VLOOKUP(F$2, Percentiles!$A$45:$I$59, 6, FALSE), perc_90, VLOOKUP(F$2, Percentiles!$A$45:$I$59, 7, FALSE), perc_95, VLOOKUP(F$2, Percentiles!$A$45:$I$59, 8, FALSE), perc_85, perc_75 + (perc_90 - perc_75) * (2/3), converted_stat, '2K_Ratings'!F733, IF(bbgm_stat &gt;= perc_95, converted_stat * 3, IF(bbgm_stat &gt;= perc_90, converted_stat * 2, IF(bbgm_stat &gt;= perc_85, converted_stat * 1.5, converted_stat)))))</f>
        <v/>
      </c>
      <c r="G733" s="30" t="str">
        <f t="array" ref="G733">IF($A733="", "", LET(bbgm_stat, INDEX(Players!$A732:$P732, MATCH(G$2, Players!$A$1:$P$1, 0)), perc_75, VLOOKUP(G$2, Percentiles!$A$45:$I$59, 6, FALSE), perc_90, VLOOKUP(G$2, Percentiles!$A$45:$I$59, 7, FALSE), perc_95, VLOOKUP(G$2, Percentiles!$A$45:$I$59, 8, FALSE), perc_85, perc_75 + (perc_90 - perc_75) * (2/3), converted_stat, '2K_Ratings'!G733, IF(bbgm_stat &gt;= perc_95, converted_stat * 3, IF(bbgm_stat &gt;= perc_90, converted_stat * 2, IF(bbgm_stat &gt;= perc_85, converted_stat * 1.5, converted_stat)))))</f>
        <v/>
      </c>
      <c r="H733" s="30" t="str">
        <f t="array" ref="H733">IF($A733="", "", LET(bbgm_stat, INDEX(Players!$A732:$P732, MATCH(H$2, Players!$A$1:$P$1, 0)), perc_75, VLOOKUP(H$2, Percentiles!$A$45:$I$59, 6, FALSE), perc_90, VLOOKUP(H$2, Percentiles!$A$45:$I$59, 7, FALSE), perc_95, VLOOKUP(H$2, Percentiles!$A$45:$I$59, 8, FALSE), perc_85, perc_75 + (perc_90 - perc_75) * (2/3), converted_stat, '2K_Ratings'!H733, IF(bbgm_stat &gt;= perc_95, converted_stat * 3, IF(bbgm_stat &gt;= perc_90, converted_stat * 2, IF(bbgm_stat &gt;= perc_85, converted_stat * 1.5, converted_stat)))))</f>
        <v/>
      </c>
      <c r="I733" s="30" t="str">
        <f t="array" ref="I733">IF($A733="", "", LET(bbgm_stat, INDEX(Players!$A732:$P732, MATCH(I$2, Players!$A$1:$P$1, 0)), perc_75, VLOOKUP(I$2, Percentiles!$A$45:$I$59, 6, FALSE), perc_90, VLOOKUP(I$2, Percentiles!$A$45:$I$59, 7, FALSE), perc_95, VLOOKUP(I$2, Percentiles!$A$45:$I$59, 8, FALSE), perc_85, perc_75 + (perc_90 - perc_75) * (2/3), converted_stat, '2K_Ratings'!I733, IF(bbgm_stat &gt;= perc_95, converted_stat * 3, IF(bbgm_stat &gt;= perc_90, converted_stat * 2, IF(bbgm_stat &gt;= perc_85, converted_stat * 1.5, converted_stat)))))</f>
        <v/>
      </c>
      <c r="J733" s="30" t="str">
        <f t="array" ref="J733">IF($A733="", "", LET(bbgm_stat, INDEX(Players!$A732:$P732, MATCH(J$2, Players!$A$1:$P$1, 0)), perc_75, VLOOKUP(J$2, Percentiles!$A$45:$I$59, 6, FALSE), perc_90, VLOOKUP(J$2, Percentiles!$A$45:$I$59, 7, FALSE), perc_95, VLOOKUP(J$2, Percentiles!$A$45:$I$59, 8, FALSE), perc_85, perc_75 + (perc_90 - perc_75) * (2/3), converted_stat, '2K_Ratings'!J733, IF(bbgm_stat &gt;= perc_95, converted_stat * 3, IF(bbgm_stat &gt;= perc_90, converted_stat * 2, IF(bbgm_stat &gt;= perc_85, converted_stat * 1.5, converted_stat)))))</f>
        <v/>
      </c>
      <c r="K733" s="30" t="str">
        <f t="array" ref="K733">IF($A733="", "", LET(bbgm_stat, INDEX(Players!$A732:$P732, MATCH(K$2, Players!$A$1:$P$1, 0)), perc_75, VLOOKUP(K$2, Percentiles!$A$45:$I$59, 6, FALSE), perc_90, VLOOKUP(K$2, Percentiles!$A$45:$I$59, 7, FALSE), perc_95, VLOOKUP(K$2, Percentiles!$A$45:$I$59, 8, FALSE), perc_85, perc_75 + (perc_90 - perc_75) * (2/3), converted_stat, '2K_Ratings'!K733, IF(bbgm_stat &gt;= perc_95, converted_stat * 3, IF(bbgm_stat &gt;= perc_90, converted_stat * 2, IF(bbgm_stat &gt;= perc_85, converted_stat * 1.5, converted_stat)))))</f>
        <v/>
      </c>
      <c r="L733" s="30" t="str">
        <f t="array" ref="L733">IF($A733="", "", LET(bbgm_stat, INDEX(Players!$A732:$P732, MATCH(L$2, Players!$A$1:$P$1, 0)), perc_75, VLOOKUP(L$2, Percentiles!$A$45:$I$59, 6, FALSE), perc_90, VLOOKUP(L$2, Percentiles!$A$45:$I$59, 7, FALSE), perc_95, VLOOKUP(L$2, Percentiles!$A$45:$I$59, 8, FALSE), perc_85, perc_75 + (perc_90 - perc_75) * (2/3), converted_stat, '2K_Ratings'!L733, IF(bbgm_stat &gt;= perc_95, converted_stat * 3, IF(bbgm_stat &gt;= perc_90, converted_stat * 2, IF(bbgm_stat &gt;= perc_85, converted_stat * 1.5, converted_stat)))))</f>
        <v/>
      </c>
      <c r="M733" s="30" t="str">
        <f t="array" ref="M733">IF($A733="", "", LET(bbgm_stat, INDEX(Players!$A732:$P732, MATCH(M$2, Players!$A$1:$P$1, 0)), perc_75, VLOOKUP(M$2, Percentiles!$A$45:$I$59, 6, FALSE), perc_90, VLOOKUP(M$2, Percentiles!$A$45:$I$59, 7, FALSE), perc_95, VLOOKUP(M$2, Percentiles!$A$45:$I$59, 8, FALSE), perc_85, perc_75 + (perc_90 - perc_75) * (2/3), converted_stat, '2K_Ratings'!M733, IF(bbgm_stat &gt;= perc_95, converted_stat * 3, IF(bbgm_stat &gt;= perc_90, converted_stat * 2, IF(bbgm_stat &gt;= perc_85, converted_stat * 1.5, converted_stat)))))</f>
        <v/>
      </c>
      <c r="N733" s="30" t="str">
        <f t="array" ref="N733">IF($A733="", "", LET(bbgm_stat, INDEX(Players!$A732:$P732, MATCH(N$2, Players!$A$1:$P$1, 0)), perc_75, VLOOKUP(N$2, Percentiles!$A$45:$I$59, 6, FALSE), perc_90, VLOOKUP(N$2, Percentiles!$A$45:$I$59, 7, FALSE), perc_95, VLOOKUP(N$2, Percentiles!$A$45:$I$59, 8, FALSE), perc_85, perc_75 + (perc_90 - perc_75) * (2/3), converted_stat, '2K_Ratings'!N733, IF(bbgm_stat &gt;= perc_95, converted_stat * 3, IF(bbgm_stat &gt;= perc_90, converted_stat * 2, IF(bbgm_stat &gt;= perc_85, converted_stat * 1.5, converted_stat)))))</f>
        <v/>
      </c>
      <c r="O733" s="30" t="str">
        <f t="array" ref="O733">IF($A733="", "", LET(bbgm_stat, INDEX(Players!$A732:$P732, MATCH(O$2, Players!$A$1:$P$1, 0)), perc_75, VLOOKUP(O$2, Percentiles!$A$45:$I$59, 6, FALSE), perc_90, VLOOKUP(O$2, Percentiles!$A$45:$I$59, 7, FALSE), perc_95, VLOOKUP(O$2, Percentiles!$A$45:$I$59, 8, FALSE), perc_85, perc_75 + (perc_90 - perc_75) * (2/3), converted_stat, '2K_Ratings'!O733, IF(bbgm_stat &gt;= perc_95, converted_stat * 3, IF(bbgm_stat &gt;= perc_90, converted_stat * 2, IF(bbgm_stat &gt;= perc_85, converted_stat * 1.5, converted_stat)))))</f>
        <v/>
      </c>
      <c r="P733" s="30" t="str">
        <f t="array" ref="P733">IF($A733="", "", LET(bbgm_stat, INDEX(Players!$A732:$P732, MATCH(P$2, Players!$A$1:$P$1, 0)), perc_75, VLOOKUP(P$2, Percentiles!$A$45:$I$59, 6, FALSE), perc_90, VLOOKUP(P$2, Percentiles!$A$45:$I$59, 7, FALSE), perc_95, VLOOKUP(P$2, Percentiles!$A$45:$I$59, 8, FALSE), perc_85, perc_75 + (perc_90 - perc_75) * (2/3), converted_stat, '2K_Ratings'!P733, IF(bbgm_stat &gt;= perc_95, converted_stat * 3, IF(bbgm_stat &gt;= perc_90, converted_stat * 2, IF(bbgm_stat &gt;= perc_85, converted_stat * 1.5, converted_stat)))))</f>
        <v/>
      </c>
      <c r="Q733" s="30" t="str">
        <f t="array" ref="Q733">IF($A733="", "", LET(bbgm_stat, INDEX(Players!$A732:$P732, MATCH(Q$2, Players!$A$1:$P$1, 0)), perc_75, VLOOKUP(Q$2, Percentiles!$A$45:$I$59, 6, FALSE), perc_90, VLOOKUP(Q$2, Percentiles!$A$45:$I$59, 7, FALSE), perc_95, VLOOKUP(Q$2, Percentiles!$A$45:$I$59, 8, FALSE), perc_85, perc_75 + (perc_90 - perc_75) * (2/3), converted_stat, '2K_Ratings'!Q733, IF(bbgm_stat &gt;= perc_95, converted_stat * 3, IF(bbgm_stat &gt;= perc_90, converted_stat * 2, IF(bbgm_stat &gt;= perc_85, converted_stat * 1.5, converted_stat)))))</f>
        <v/>
      </c>
      <c r="R733" s="30" t="str">
        <f t="array" ref="R733">IF($A733="", "", LET(bbgm_stat, INDEX(Players!$A732:$P732, MATCH(R$2, Players!$A$1:$P$1, 0)), perc_75, VLOOKUP(R$2, Percentiles!$A$45:$I$59, 6, FALSE), perc_90, VLOOKUP(R$2, Percentiles!$A$45:$I$59, 7, FALSE), perc_95, VLOOKUP(R$2, Percentiles!$A$45:$I$59, 8, FALSE), perc_85, perc_75 + (perc_90 - perc_75) * (2/3), converted_stat, '2K_Ratings'!R733, IF(bbgm_stat &gt;= perc_95, converted_stat * 3, IF(bbgm_stat &gt;= perc_90, converted_stat * 2, IF(bbgm_stat &gt;= perc_85, converted_stat * 1.5, converted_stat)))))</f>
        <v/>
      </c>
      <c r="S733" s="30" t="str">
        <f t="array" ref="S733">IF($A733="", "", LET(bbgm_stat, INDEX(Players!$A732:$P732, MATCH(S$2, Players!$A$1:$P$1, 0)), perc_75, VLOOKUP(S$2, Percentiles!$A$45:$I$59, 6, FALSE), perc_90, VLOOKUP(S$2, Percentiles!$A$45:$I$59, 7, FALSE), perc_95, VLOOKUP(S$2, Percentiles!$A$45:$I$59, 8, FALSE), perc_85, perc_75 + (perc_90 - perc_75) * (2/3), converted_stat, '2K_Ratings'!S733, IF(bbgm_stat &gt;= perc_95, converted_stat * 3, IF(bbgm_stat &gt;= perc_90, converted_stat * 2, IF(bbgm_stat &gt;= perc_85, converted_stat * 1.5, converted_stat)))))</f>
        <v/>
      </c>
      <c r="T733" s="30" t="str">
        <f t="array" ref="T733">IF($A733="", "", LET(bbgm_stat, INDEX(Players!$A732:$P732, MATCH(T$2, Players!$A$1:$P$1, 0)), perc_75, VLOOKUP(T$2, Percentiles!$A$45:$I$59, 6, FALSE), perc_90, VLOOKUP(T$2, Percentiles!$A$45:$I$59, 7, FALSE), perc_95, VLOOKUP(T$2, Percentiles!$A$45:$I$59, 8, FALSE), perc_85, perc_75 + (perc_90 - perc_75) * (2/3), converted_stat, '2K_Ratings'!T733, IF(bbgm_stat &gt;= perc_95, converted_stat * 3, IF(bbgm_stat &gt;= perc_90, converted_stat * 2, IF(bbgm_stat &gt;= perc_85, converted_stat * 1.5, converted_stat)))))</f>
        <v/>
      </c>
      <c r="U733" s="30" t="str">
        <f t="array" ref="U733">IF($A733="", "", LET(bbgm_stat, INDEX(Players!$A732:$P732, MATCH(U$2, Players!$A$1:$P$1, 0)), perc_75, VLOOKUP(U$2, Percentiles!$A$45:$I$59, 6, FALSE), perc_90, VLOOKUP(U$2, Percentiles!$A$45:$I$59, 7, FALSE), perc_95, VLOOKUP(U$2, Percentiles!$A$45:$I$59, 8, FALSE), perc_85, perc_75 + (perc_90 - perc_75) * (2/3), converted_stat, '2K_Ratings'!U733, IF(bbgm_stat &gt;= perc_95, converted_stat * 3, IF(bbgm_stat &gt;= perc_90, converted_stat * 2, IF(bbgm_stat &gt;= perc_85, converted_stat * 1.5, converted_stat)))))</f>
        <v/>
      </c>
      <c r="V733" s="30" t="str">
        <f t="array" ref="V733">IF($A733="", "", LET(bbgm_stat, INDEX(Players!$A732:$P732, MATCH(V$2, Players!$A$1:$P$1, 0)), perc_75, VLOOKUP(V$2, Percentiles!$A$45:$I$59, 6, FALSE), perc_90, VLOOKUP(V$2, Percentiles!$A$45:$I$59, 7, FALSE), perc_95, VLOOKUP(V$2, Percentiles!$A$45:$I$59, 8, FALSE), perc_85, perc_75 + (perc_90 - perc_75) * (2/3), converted_stat, '2K_Ratings'!V733, IF(bbgm_stat &gt;= perc_95, converted_stat * 3, IF(bbgm_stat &gt;= perc_90, converted_stat * 2, IF(bbgm_stat &gt;= perc_85, converted_stat * 1.5, converted_stat)))))</f>
        <v/>
      </c>
      <c r="W733" s="30" t="str">
        <f t="array" ref="W733">IF($A733="", "", LET(bbgm_stat, INDEX(Players!$A732:$P732, MATCH(W$2, Players!$A$1:$P$1, 0)), perc_75, VLOOKUP(W$2, Percentiles!$A$45:$I$59, 6, FALSE), perc_90, VLOOKUP(W$2, Percentiles!$A$45:$I$59, 7, FALSE), perc_95, VLOOKUP(W$2, Percentiles!$A$45:$I$59, 8, FALSE), perc_85, perc_75 + (perc_90 - perc_75) * (2/3), converted_stat, '2K_Ratings'!W733, IF(bbgm_stat &gt;= perc_95, converted_stat * 3, IF(bbgm_stat &gt;= perc_90, converted_stat * 2, IF(bbgm_stat &gt;= perc_85, converted_stat * 1.5, converted_stat)))))</f>
        <v/>
      </c>
    </row>
    <row r="734">
      <c r="A734" s="30"/>
      <c r="B734" s="30" t="str">
        <f t="array" ref="B734">IF($A734="", "", LET(bbgm_stat, INDEX(Players!$A733:$P733, MATCH(B$2, Players!$A$1:$P$1, 0)), perc_75, VLOOKUP(B$2, Percentiles!$A$45:$I$59, 6, FALSE), perc_90, VLOOKUP(B$2, Percentiles!$A$45:$I$59, 7, FALSE), perc_95, VLOOKUP(B$2, Percentiles!$A$45:$I$59, 8, FALSE), perc_85, perc_75 + (perc_90 - perc_75) * (2/3), converted_stat, '2K_Ratings'!B734, IF(bbgm_stat &gt;= perc_95, converted_stat * 3, IF(bbgm_stat &gt;= perc_90, converted_stat * 2, IF(bbgm_stat &gt;= perc_85, converted_stat * 1.5, converted_stat)))))</f>
        <v/>
      </c>
      <c r="C734" s="30" t="str">
        <f t="array" ref="C734">IF($A734="", "", LET(bbgm_stat, INDEX(Players!$A733:$P733, MATCH(C$2, Players!$A$1:$P$1, 0)), perc_75, VLOOKUP(C$2, Percentiles!$A$45:$I$59, 6, FALSE), perc_90, VLOOKUP(C$2, Percentiles!$A$45:$I$59, 7, FALSE), perc_95, VLOOKUP(C$2, Percentiles!$A$45:$I$59, 8, FALSE), perc_85, perc_75 + (perc_90 - perc_75) * (2/3), converted_stat, '2K_Ratings'!C734, IF(bbgm_stat &gt;= perc_95, converted_stat * 3, IF(bbgm_stat &gt;= perc_90, converted_stat * 2, IF(bbgm_stat &gt;= perc_85, converted_stat * 1.5, converted_stat)))))</f>
        <v/>
      </c>
      <c r="D734" s="30" t="str">
        <f t="array" ref="D734">IF($A734="", "", LET(bbgm_stat, INDEX(Players!$A733:$P733, MATCH(D$2, Players!$A$1:$P$1, 0)), perc_75, VLOOKUP(D$2, Percentiles!$A$45:$I$59, 6, FALSE), perc_90, VLOOKUP(D$2, Percentiles!$A$45:$I$59, 7, FALSE), perc_95, VLOOKUP(D$2, Percentiles!$A$45:$I$59, 8, FALSE), perc_85, perc_75 + (perc_90 - perc_75) * (2/3), converted_stat, '2K_Ratings'!D734, IF(bbgm_stat &gt;= perc_95, converted_stat * 3, IF(bbgm_stat &gt;= perc_90, converted_stat * 2, IF(bbgm_stat &gt;= perc_85, converted_stat * 1.5, converted_stat)))))</f>
        <v/>
      </c>
      <c r="E734" s="30" t="str">
        <f t="array" ref="E734">IF($A734="", "", LET(bbgm_stat, INDEX(Players!$A733:$P733, MATCH(E$2, Players!$A$1:$P$1, 0)), perc_75, VLOOKUP(E$2, Percentiles!$A$45:$I$59, 6, FALSE), perc_90, VLOOKUP(E$2, Percentiles!$A$45:$I$59, 7, FALSE), perc_95, VLOOKUP(E$2, Percentiles!$A$45:$I$59, 8, FALSE), perc_85, perc_75 + (perc_90 - perc_75) * (2/3), converted_stat, '2K_Ratings'!E734, IF(bbgm_stat &gt;= perc_95, converted_stat * 3, IF(bbgm_stat &gt;= perc_90, converted_stat * 2, IF(bbgm_stat &gt;= perc_85, converted_stat * 1.5, converted_stat)))))</f>
        <v/>
      </c>
      <c r="F734" s="30" t="str">
        <f t="array" ref="F734">IF($A734="", "", LET(bbgm_stat, INDEX(Players!$A733:$P733, MATCH(F$2, Players!$A$1:$P$1, 0)), perc_75, VLOOKUP(F$2, Percentiles!$A$45:$I$59, 6, FALSE), perc_90, VLOOKUP(F$2, Percentiles!$A$45:$I$59, 7, FALSE), perc_95, VLOOKUP(F$2, Percentiles!$A$45:$I$59, 8, FALSE), perc_85, perc_75 + (perc_90 - perc_75) * (2/3), converted_stat, '2K_Ratings'!F734, IF(bbgm_stat &gt;= perc_95, converted_stat * 3, IF(bbgm_stat &gt;= perc_90, converted_stat * 2, IF(bbgm_stat &gt;= perc_85, converted_stat * 1.5, converted_stat)))))</f>
        <v/>
      </c>
      <c r="G734" s="30" t="str">
        <f t="array" ref="G734">IF($A734="", "", LET(bbgm_stat, INDEX(Players!$A733:$P733, MATCH(G$2, Players!$A$1:$P$1, 0)), perc_75, VLOOKUP(G$2, Percentiles!$A$45:$I$59, 6, FALSE), perc_90, VLOOKUP(G$2, Percentiles!$A$45:$I$59, 7, FALSE), perc_95, VLOOKUP(G$2, Percentiles!$A$45:$I$59, 8, FALSE), perc_85, perc_75 + (perc_90 - perc_75) * (2/3), converted_stat, '2K_Ratings'!G734, IF(bbgm_stat &gt;= perc_95, converted_stat * 3, IF(bbgm_stat &gt;= perc_90, converted_stat * 2, IF(bbgm_stat &gt;= perc_85, converted_stat * 1.5, converted_stat)))))</f>
        <v/>
      </c>
      <c r="H734" s="30" t="str">
        <f t="array" ref="H734">IF($A734="", "", LET(bbgm_stat, INDEX(Players!$A733:$P733, MATCH(H$2, Players!$A$1:$P$1, 0)), perc_75, VLOOKUP(H$2, Percentiles!$A$45:$I$59, 6, FALSE), perc_90, VLOOKUP(H$2, Percentiles!$A$45:$I$59, 7, FALSE), perc_95, VLOOKUP(H$2, Percentiles!$A$45:$I$59, 8, FALSE), perc_85, perc_75 + (perc_90 - perc_75) * (2/3), converted_stat, '2K_Ratings'!H734, IF(bbgm_stat &gt;= perc_95, converted_stat * 3, IF(bbgm_stat &gt;= perc_90, converted_stat * 2, IF(bbgm_stat &gt;= perc_85, converted_stat * 1.5, converted_stat)))))</f>
        <v/>
      </c>
      <c r="I734" s="30" t="str">
        <f t="array" ref="I734">IF($A734="", "", LET(bbgm_stat, INDEX(Players!$A733:$P733, MATCH(I$2, Players!$A$1:$P$1, 0)), perc_75, VLOOKUP(I$2, Percentiles!$A$45:$I$59, 6, FALSE), perc_90, VLOOKUP(I$2, Percentiles!$A$45:$I$59, 7, FALSE), perc_95, VLOOKUP(I$2, Percentiles!$A$45:$I$59, 8, FALSE), perc_85, perc_75 + (perc_90 - perc_75) * (2/3), converted_stat, '2K_Ratings'!I734, IF(bbgm_stat &gt;= perc_95, converted_stat * 3, IF(bbgm_stat &gt;= perc_90, converted_stat * 2, IF(bbgm_stat &gt;= perc_85, converted_stat * 1.5, converted_stat)))))</f>
        <v/>
      </c>
      <c r="J734" s="30" t="str">
        <f t="array" ref="J734">IF($A734="", "", LET(bbgm_stat, INDEX(Players!$A733:$P733, MATCH(J$2, Players!$A$1:$P$1, 0)), perc_75, VLOOKUP(J$2, Percentiles!$A$45:$I$59, 6, FALSE), perc_90, VLOOKUP(J$2, Percentiles!$A$45:$I$59, 7, FALSE), perc_95, VLOOKUP(J$2, Percentiles!$A$45:$I$59, 8, FALSE), perc_85, perc_75 + (perc_90 - perc_75) * (2/3), converted_stat, '2K_Ratings'!J734, IF(bbgm_stat &gt;= perc_95, converted_stat * 3, IF(bbgm_stat &gt;= perc_90, converted_stat * 2, IF(bbgm_stat &gt;= perc_85, converted_stat * 1.5, converted_stat)))))</f>
        <v/>
      </c>
      <c r="K734" s="30" t="str">
        <f t="array" ref="K734">IF($A734="", "", LET(bbgm_stat, INDEX(Players!$A733:$P733, MATCH(K$2, Players!$A$1:$P$1, 0)), perc_75, VLOOKUP(K$2, Percentiles!$A$45:$I$59, 6, FALSE), perc_90, VLOOKUP(K$2, Percentiles!$A$45:$I$59, 7, FALSE), perc_95, VLOOKUP(K$2, Percentiles!$A$45:$I$59, 8, FALSE), perc_85, perc_75 + (perc_90 - perc_75) * (2/3), converted_stat, '2K_Ratings'!K734, IF(bbgm_stat &gt;= perc_95, converted_stat * 3, IF(bbgm_stat &gt;= perc_90, converted_stat * 2, IF(bbgm_stat &gt;= perc_85, converted_stat * 1.5, converted_stat)))))</f>
        <v/>
      </c>
      <c r="L734" s="30" t="str">
        <f t="array" ref="L734">IF($A734="", "", LET(bbgm_stat, INDEX(Players!$A733:$P733, MATCH(L$2, Players!$A$1:$P$1, 0)), perc_75, VLOOKUP(L$2, Percentiles!$A$45:$I$59, 6, FALSE), perc_90, VLOOKUP(L$2, Percentiles!$A$45:$I$59, 7, FALSE), perc_95, VLOOKUP(L$2, Percentiles!$A$45:$I$59, 8, FALSE), perc_85, perc_75 + (perc_90 - perc_75) * (2/3), converted_stat, '2K_Ratings'!L734, IF(bbgm_stat &gt;= perc_95, converted_stat * 3, IF(bbgm_stat &gt;= perc_90, converted_stat * 2, IF(bbgm_stat &gt;= perc_85, converted_stat * 1.5, converted_stat)))))</f>
        <v/>
      </c>
      <c r="M734" s="30" t="str">
        <f t="array" ref="M734">IF($A734="", "", LET(bbgm_stat, INDEX(Players!$A733:$P733, MATCH(M$2, Players!$A$1:$P$1, 0)), perc_75, VLOOKUP(M$2, Percentiles!$A$45:$I$59, 6, FALSE), perc_90, VLOOKUP(M$2, Percentiles!$A$45:$I$59, 7, FALSE), perc_95, VLOOKUP(M$2, Percentiles!$A$45:$I$59, 8, FALSE), perc_85, perc_75 + (perc_90 - perc_75) * (2/3), converted_stat, '2K_Ratings'!M734, IF(bbgm_stat &gt;= perc_95, converted_stat * 3, IF(bbgm_stat &gt;= perc_90, converted_stat * 2, IF(bbgm_stat &gt;= perc_85, converted_stat * 1.5, converted_stat)))))</f>
        <v/>
      </c>
      <c r="N734" s="30" t="str">
        <f t="array" ref="N734">IF($A734="", "", LET(bbgm_stat, INDEX(Players!$A733:$P733, MATCH(N$2, Players!$A$1:$P$1, 0)), perc_75, VLOOKUP(N$2, Percentiles!$A$45:$I$59, 6, FALSE), perc_90, VLOOKUP(N$2, Percentiles!$A$45:$I$59, 7, FALSE), perc_95, VLOOKUP(N$2, Percentiles!$A$45:$I$59, 8, FALSE), perc_85, perc_75 + (perc_90 - perc_75) * (2/3), converted_stat, '2K_Ratings'!N734, IF(bbgm_stat &gt;= perc_95, converted_stat * 3, IF(bbgm_stat &gt;= perc_90, converted_stat * 2, IF(bbgm_stat &gt;= perc_85, converted_stat * 1.5, converted_stat)))))</f>
        <v/>
      </c>
      <c r="O734" s="30" t="str">
        <f t="array" ref="O734">IF($A734="", "", LET(bbgm_stat, INDEX(Players!$A733:$P733, MATCH(O$2, Players!$A$1:$P$1, 0)), perc_75, VLOOKUP(O$2, Percentiles!$A$45:$I$59, 6, FALSE), perc_90, VLOOKUP(O$2, Percentiles!$A$45:$I$59, 7, FALSE), perc_95, VLOOKUP(O$2, Percentiles!$A$45:$I$59, 8, FALSE), perc_85, perc_75 + (perc_90 - perc_75) * (2/3), converted_stat, '2K_Ratings'!O734, IF(bbgm_stat &gt;= perc_95, converted_stat * 3, IF(bbgm_stat &gt;= perc_90, converted_stat * 2, IF(bbgm_stat &gt;= perc_85, converted_stat * 1.5, converted_stat)))))</f>
        <v/>
      </c>
      <c r="P734" s="30" t="str">
        <f t="array" ref="P734">IF($A734="", "", LET(bbgm_stat, INDEX(Players!$A733:$P733, MATCH(P$2, Players!$A$1:$P$1, 0)), perc_75, VLOOKUP(P$2, Percentiles!$A$45:$I$59, 6, FALSE), perc_90, VLOOKUP(P$2, Percentiles!$A$45:$I$59, 7, FALSE), perc_95, VLOOKUP(P$2, Percentiles!$A$45:$I$59, 8, FALSE), perc_85, perc_75 + (perc_90 - perc_75) * (2/3), converted_stat, '2K_Ratings'!P734, IF(bbgm_stat &gt;= perc_95, converted_stat * 3, IF(bbgm_stat &gt;= perc_90, converted_stat * 2, IF(bbgm_stat &gt;= perc_85, converted_stat * 1.5, converted_stat)))))</f>
        <v/>
      </c>
      <c r="Q734" s="30" t="str">
        <f t="array" ref="Q734">IF($A734="", "", LET(bbgm_stat, INDEX(Players!$A733:$P733, MATCH(Q$2, Players!$A$1:$P$1, 0)), perc_75, VLOOKUP(Q$2, Percentiles!$A$45:$I$59, 6, FALSE), perc_90, VLOOKUP(Q$2, Percentiles!$A$45:$I$59, 7, FALSE), perc_95, VLOOKUP(Q$2, Percentiles!$A$45:$I$59, 8, FALSE), perc_85, perc_75 + (perc_90 - perc_75) * (2/3), converted_stat, '2K_Ratings'!Q734, IF(bbgm_stat &gt;= perc_95, converted_stat * 3, IF(bbgm_stat &gt;= perc_90, converted_stat * 2, IF(bbgm_stat &gt;= perc_85, converted_stat * 1.5, converted_stat)))))</f>
        <v/>
      </c>
      <c r="R734" s="30" t="str">
        <f t="array" ref="R734">IF($A734="", "", LET(bbgm_stat, INDEX(Players!$A733:$P733, MATCH(R$2, Players!$A$1:$P$1, 0)), perc_75, VLOOKUP(R$2, Percentiles!$A$45:$I$59, 6, FALSE), perc_90, VLOOKUP(R$2, Percentiles!$A$45:$I$59, 7, FALSE), perc_95, VLOOKUP(R$2, Percentiles!$A$45:$I$59, 8, FALSE), perc_85, perc_75 + (perc_90 - perc_75) * (2/3), converted_stat, '2K_Ratings'!R734, IF(bbgm_stat &gt;= perc_95, converted_stat * 3, IF(bbgm_stat &gt;= perc_90, converted_stat * 2, IF(bbgm_stat &gt;= perc_85, converted_stat * 1.5, converted_stat)))))</f>
        <v/>
      </c>
      <c r="S734" s="30" t="str">
        <f t="array" ref="S734">IF($A734="", "", LET(bbgm_stat, INDEX(Players!$A733:$P733, MATCH(S$2, Players!$A$1:$P$1, 0)), perc_75, VLOOKUP(S$2, Percentiles!$A$45:$I$59, 6, FALSE), perc_90, VLOOKUP(S$2, Percentiles!$A$45:$I$59, 7, FALSE), perc_95, VLOOKUP(S$2, Percentiles!$A$45:$I$59, 8, FALSE), perc_85, perc_75 + (perc_90 - perc_75) * (2/3), converted_stat, '2K_Ratings'!S734, IF(bbgm_stat &gt;= perc_95, converted_stat * 3, IF(bbgm_stat &gt;= perc_90, converted_stat * 2, IF(bbgm_stat &gt;= perc_85, converted_stat * 1.5, converted_stat)))))</f>
        <v/>
      </c>
      <c r="T734" s="30" t="str">
        <f t="array" ref="T734">IF($A734="", "", LET(bbgm_stat, INDEX(Players!$A733:$P733, MATCH(T$2, Players!$A$1:$P$1, 0)), perc_75, VLOOKUP(T$2, Percentiles!$A$45:$I$59, 6, FALSE), perc_90, VLOOKUP(T$2, Percentiles!$A$45:$I$59, 7, FALSE), perc_95, VLOOKUP(T$2, Percentiles!$A$45:$I$59, 8, FALSE), perc_85, perc_75 + (perc_90 - perc_75) * (2/3), converted_stat, '2K_Ratings'!T734, IF(bbgm_stat &gt;= perc_95, converted_stat * 3, IF(bbgm_stat &gt;= perc_90, converted_stat * 2, IF(bbgm_stat &gt;= perc_85, converted_stat * 1.5, converted_stat)))))</f>
        <v/>
      </c>
      <c r="U734" s="30" t="str">
        <f t="array" ref="U734">IF($A734="", "", LET(bbgm_stat, INDEX(Players!$A733:$P733, MATCH(U$2, Players!$A$1:$P$1, 0)), perc_75, VLOOKUP(U$2, Percentiles!$A$45:$I$59, 6, FALSE), perc_90, VLOOKUP(U$2, Percentiles!$A$45:$I$59, 7, FALSE), perc_95, VLOOKUP(U$2, Percentiles!$A$45:$I$59, 8, FALSE), perc_85, perc_75 + (perc_90 - perc_75) * (2/3), converted_stat, '2K_Ratings'!U734, IF(bbgm_stat &gt;= perc_95, converted_stat * 3, IF(bbgm_stat &gt;= perc_90, converted_stat * 2, IF(bbgm_stat &gt;= perc_85, converted_stat * 1.5, converted_stat)))))</f>
        <v/>
      </c>
      <c r="V734" s="30" t="str">
        <f t="array" ref="V734">IF($A734="", "", LET(bbgm_stat, INDEX(Players!$A733:$P733, MATCH(V$2, Players!$A$1:$P$1, 0)), perc_75, VLOOKUP(V$2, Percentiles!$A$45:$I$59, 6, FALSE), perc_90, VLOOKUP(V$2, Percentiles!$A$45:$I$59, 7, FALSE), perc_95, VLOOKUP(V$2, Percentiles!$A$45:$I$59, 8, FALSE), perc_85, perc_75 + (perc_90 - perc_75) * (2/3), converted_stat, '2K_Ratings'!V734, IF(bbgm_stat &gt;= perc_95, converted_stat * 3, IF(bbgm_stat &gt;= perc_90, converted_stat * 2, IF(bbgm_stat &gt;= perc_85, converted_stat * 1.5, converted_stat)))))</f>
        <v/>
      </c>
      <c r="W734" s="30" t="str">
        <f t="array" ref="W734">IF($A734="", "", LET(bbgm_stat, INDEX(Players!$A733:$P733, MATCH(W$2, Players!$A$1:$P$1, 0)), perc_75, VLOOKUP(W$2, Percentiles!$A$45:$I$59, 6, FALSE), perc_90, VLOOKUP(W$2, Percentiles!$A$45:$I$59, 7, FALSE), perc_95, VLOOKUP(W$2, Percentiles!$A$45:$I$59, 8, FALSE), perc_85, perc_75 + (perc_90 - perc_75) * (2/3), converted_stat, '2K_Ratings'!W734, IF(bbgm_stat &gt;= perc_95, converted_stat * 3, IF(bbgm_stat &gt;= perc_90, converted_stat * 2, IF(bbgm_stat &gt;= perc_85, converted_stat * 1.5, converted_stat)))))</f>
        <v/>
      </c>
    </row>
    <row r="735">
      <c r="A735" s="30"/>
      <c r="B735" s="30" t="str">
        <f t="array" ref="B735">IF($A735="", "", LET(bbgm_stat, INDEX(Players!$A734:$P734, MATCH(B$2, Players!$A$1:$P$1, 0)), perc_75, VLOOKUP(B$2, Percentiles!$A$45:$I$59, 6, FALSE), perc_90, VLOOKUP(B$2, Percentiles!$A$45:$I$59, 7, FALSE), perc_95, VLOOKUP(B$2, Percentiles!$A$45:$I$59, 8, FALSE), perc_85, perc_75 + (perc_90 - perc_75) * (2/3), converted_stat, '2K_Ratings'!B735, IF(bbgm_stat &gt;= perc_95, converted_stat * 3, IF(bbgm_stat &gt;= perc_90, converted_stat * 2, IF(bbgm_stat &gt;= perc_85, converted_stat * 1.5, converted_stat)))))</f>
        <v/>
      </c>
      <c r="C735" s="30" t="str">
        <f t="array" ref="C735">IF($A735="", "", LET(bbgm_stat, INDEX(Players!$A734:$P734, MATCH(C$2, Players!$A$1:$P$1, 0)), perc_75, VLOOKUP(C$2, Percentiles!$A$45:$I$59, 6, FALSE), perc_90, VLOOKUP(C$2, Percentiles!$A$45:$I$59, 7, FALSE), perc_95, VLOOKUP(C$2, Percentiles!$A$45:$I$59, 8, FALSE), perc_85, perc_75 + (perc_90 - perc_75) * (2/3), converted_stat, '2K_Ratings'!C735, IF(bbgm_stat &gt;= perc_95, converted_stat * 3, IF(bbgm_stat &gt;= perc_90, converted_stat * 2, IF(bbgm_stat &gt;= perc_85, converted_stat * 1.5, converted_stat)))))</f>
        <v/>
      </c>
      <c r="D735" s="30" t="str">
        <f t="array" ref="D735">IF($A735="", "", LET(bbgm_stat, INDEX(Players!$A734:$P734, MATCH(D$2, Players!$A$1:$P$1, 0)), perc_75, VLOOKUP(D$2, Percentiles!$A$45:$I$59, 6, FALSE), perc_90, VLOOKUP(D$2, Percentiles!$A$45:$I$59, 7, FALSE), perc_95, VLOOKUP(D$2, Percentiles!$A$45:$I$59, 8, FALSE), perc_85, perc_75 + (perc_90 - perc_75) * (2/3), converted_stat, '2K_Ratings'!D735, IF(bbgm_stat &gt;= perc_95, converted_stat * 3, IF(bbgm_stat &gt;= perc_90, converted_stat * 2, IF(bbgm_stat &gt;= perc_85, converted_stat * 1.5, converted_stat)))))</f>
        <v/>
      </c>
      <c r="E735" s="30" t="str">
        <f t="array" ref="E735">IF($A735="", "", LET(bbgm_stat, INDEX(Players!$A734:$P734, MATCH(E$2, Players!$A$1:$P$1, 0)), perc_75, VLOOKUP(E$2, Percentiles!$A$45:$I$59, 6, FALSE), perc_90, VLOOKUP(E$2, Percentiles!$A$45:$I$59, 7, FALSE), perc_95, VLOOKUP(E$2, Percentiles!$A$45:$I$59, 8, FALSE), perc_85, perc_75 + (perc_90 - perc_75) * (2/3), converted_stat, '2K_Ratings'!E735, IF(bbgm_stat &gt;= perc_95, converted_stat * 3, IF(bbgm_stat &gt;= perc_90, converted_stat * 2, IF(bbgm_stat &gt;= perc_85, converted_stat * 1.5, converted_stat)))))</f>
        <v/>
      </c>
      <c r="F735" s="30" t="str">
        <f t="array" ref="F735">IF($A735="", "", LET(bbgm_stat, INDEX(Players!$A734:$P734, MATCH(F$2, Players!$A$1:$P$1, 0)), perc_75, VLOOKUP(F$2, Percentiles!$A$45:$I$59, 6, FALSE), perc_90, VLOOKUP(F$2, Percentiles!$A$45:$I$59, 7, FALSE), perc_95, VLOOKUP(F$2, Percentiles!$A$45:$I$59, 8, FALSE), perc_85, perc_75 + (perc_90 - perc_75) * (2/3), converted_stat, '2K_Ratings'!F735, IF(bbgm_stat &gt;= perc_95, converted_stat * 3, IF(bbgm_stat &gt;= perc_90, converted_stat * 2, IF(bbgm_stat &gt;= perc_85, converted_stat * 1.5, converted_stat)))))</f>
        <v/>
      </c>
      <c r="G735" s="30" t="str">
        <f t="array" ref="G735">IF($A735="", "", LET(bbgm_stat, INDEX(Players!$A734:$P734, MATCH(G$2, Players!$A$1:$P$1, 0)), perc_75, VLOOKUP(G$2, Percentiles!$A$45:$I$59, 6, FALSE), perc_90, VLOOKUP(G$2, Percentiles!$A$45:$I$59, 7, FALSE), perc_95, VLOOKUP(G$2, Percentiles!$A$45:$I$59, 8, FALSE), perc_85, perc_75 + (perc_90 - perc_75) * (2/3), converted_stat, '2K_Ratings'!G735, IF(bbgm_stat &gt;= perc_95, converted_stat * 3, IF(bbgm_stat &gt;= perc_90, converted_stat * 2, IF(bbgm_stat &gt;= perc_85, converted_stat * 1.5, converted_stat)))))</f>
        <v/>
      </c>
      <c r="H735" s="30" t="str">
        <f t="array" ref="H735">IF($A735="", "", LET(bbgm_stat, INDEX(Players!$A734:$P734, MATCH(H$2, Players!$A$1:$P$1, 0)), perc_75, VLOOKUP(H$2, Percentiles!$A$45:$I$59, 6, FALSE), perc_90, VLOOKUP(H$2, Percentiles!$A$45:$I$59, 7, FALSE), perc_95, VLOOKUP(H$2, Percentiles!$A$45:$I$59, 8, FALSE), perc_85, perc_75 + (perc_90 - perc_75) * (2/3), converted_stat, '2K_Ratings'!H735, IF(bbgm_stat &gt;= perc_95, converted_stat * 3, IF(bbgm_stat &gt;= perc_90, converted_stat * 2, IF(bbgm_stat &gt;= perc_85, converted_stat * 1.5, converted_stat)))))</f>
        <v/>
      </c>
      <c r="I735" s="30" t="str">
        <f t="array" ref="I735">IF($A735="", "", LET(bbgm_stat, INDEX(Players!$A734:$P734, MATCH(I$2, Players!$A$1:$P$1, 0)), perc_75, VLOOKUP(I$2, Percentiles!$A$45:$I$59, 6, FALSE), perc_90, VLOOKUP(I$2, Percentiles!$A$45:$I$59, 7, FALSE), perc_95, VLOOKUP(I$2, Percentiles!$A$45:$I$59, 8, FALSE), perc_85, perc_75 + (perc_90 - perc_75) * (2/3), converted_stat, '2K_Ratings'!I735, IF(bbgm_stat &gt;= perc_95, converted_stat * 3, IF(bbgm_stat &gt;= perc_90, converted_stat * 2, IF(bbgm_stat &gt;= perc_85, converted_stat * 1.5, converted_stat)))))</f>
        <v/>
      </c>
      <c r="J735" s="30" t="str">
        <f t="array" ref="J735">IF($A735="", "", LET(bbgm_stat, INDEX(Players!$A734:$P734, MATCH(J$2, Players!$A$1:$P$1, 0)), perc_75, VLOOKUP(J$2, Percentiles!$A$45:$I$59, 6, FALSE), perc_90, VLOOKUP(J$2, Percentiles!$A$45:$I$59, 7, FALSE), perc_95, VLOOKUP(J$2, Percentiles!$A$45:$I$59, 8, FALSE), perc_85, perc_75 + (perc_90 - perc_75) * (2/3), converted_stat, '2K_Ratings'!J735, IF(bbgm_stat &gt;= perc_95, converted_stat * 3, IF(bbgm_stat &gt;= perc_90, converted_stat * 2, IF(bbgm_stat &gt;= perc_85, converted_stat * 1.5, converted_stat)))))</f>
        <v/>
      </c>
      <c r="K735" s="30" t="str">
        <f t="array" ref="K735">IF($A735="", "", LET(bbgm_stat, INDEX(Players!$A734:$P734, MATCH(K$2, Players!$A$1:$P$1, 0)), perc_75, VLOOKUP(K$2, Percentiles!$A$45:$I$59, 6, FALSE), perc_90, VLOOKUP(K$2, Percentiles!$A$45:$I$59, 7, FALSE), perc_95, VLOOKUP(K$2, Percentiles!$A$45:$I$59, 8, FALSE), perc_85, perc_75 + (perc_90 - perc_75) * (2/3), converted_stat, '2K_Ratings'!K735, IF(bbgm_stat &gt;= perc_95, converted_stat * 3, IF(bbgm_stat &gt;= perc_90, converted_stat * 2, IF(bbgm_stat &gt;= perc_85, converted_stat * 1.5, converted_stat)))))</f>
        <v/>
      </c>
      <c r="L735" s="30" t="str">
        <f t="array" ref="L735">IF($A735="", "", LET(bbgm_stat, INDEX(Players!$A734:$P734, MATCH(L$2, Players!$A$1:$P$1, 0)), perc_75, VLOOKUP(L$2, Percentiles!$A$45:$I$59, 6, FALSE), perc_90, VLOOKUP(L$2, Percentiles!$A$45:$I$59, 7, FALSE), perc_95, VLOOKUP(L$2, Percentiles!$A$45:$I$59, 8, FALSE), perc_85, perc_75 + (perc_90 - perc_75) * (2/3), converted_stat, '2K_Ratings'!L735, IF(bbgm_stat &gt;= perc_95, converted_stat * 3, IF(bbgm_stat &gt;= perc_90, converted_stat * 2, IF(bbgm_stat &gt;= perc_85, converted_stat * 1.5, converted_stat)))))</f>
        <v/>
      </c>
      <c r="M735" s="30" t="str">
        <f t="array" ref="M735">IF($A735="", "", LET(bbgm_stat, INDEX(Players!$A734:$P734, MATCH(M$2, Players!$A$1:$P$1, 0)), perc_75, VLOOKUP(M$2, Percentiles!$A$45:$I$59, 6, FALSE), perc_90, VLOOKUP(M$2, Percentiles!$A$45:$I$59, 7, FALSE), perc_95, VLOOKUP(M$2, Percentiles!$A$45:$I$59, 8, FALSE), perc_85, perc_75 + (perc_90 - perc_75) * (2/3), converted_stat, '2K_Ratings'!M735, IF(bbgm_stat &gt;= perc_95, converted_stat * 3, IF(bbgm_stat &gt;= perc_90, converted_stat * 2, IF(bbgm_stat &gt;= perc_85, converted_stat * 1.5, converted_stat)))))</f>
        <v/>
      </c>
      <c r="N735" s="30" t="str">
        <f t="array" ref="N735">IF($A735="", "", LET(bbgm_stat, INDEX(Players!$A734:$P734, MATCH(N$2, Players!$A$1:$P$1, 0)), perc_75, VLOOKUP(N$2, Percentiles!$A$45:$I$59, 6, FALSE), perc_90, VLOOKUP(N$2, Percentiles!$A$45:$I$59, 7, FALSE), perc_95, VLOOKUP(N$2, Percentiles!$A$45:$I$59, 8, FALSE), perc_85, perc_75 + (perc_90 - perc_75) * (2/3), converted_stat, '2K_Ratings'!N735, IF(bbgm_stat &gt;= perc_95, converted_stat * 3, IF(bbgm_stat &gt;= perc_90, converted_stat * 2, IF(bbgm_stat &gt;= perc_85, converted_stat * 1.5, converted_stat)))))</f>
        <v/>
      </c>
      <c r="O735" s="30" t="str">
        <f t="array" ref="O735">IF($A735="", "", LET(bbgm_stat, INDEX(Players!$A734:$P734, MATCH(O$2, Players!$A$1:$P$1, 0)), perc_75, VLOOKUP(O$2, Percentiles!$A$45:$I$59, 6, FALSE), perc_90, VLOOKUP(O$2, Percentiles!$A$45:$I$59, 7, FALSE), perc_95, VLOOKUP(O$2, Percentiles!$A$45:$I$59, 8, FALSE), perc_85, perc_75 + (perc_90 - perc_75) * (2/3), converted_stat, '2K_Ratings'!O735, IF(bbgm_stat &gt;= perc_95, converted_stat * 3, IF(bbgm_stat &gt;= perc_90, converted_stat * 2, IF(bbgm_stat &gt;= perc_85, converted_stat * 1.5, converted_stat)))))</f>
        <v/>
      </c>
      <c r="P735" s="30" t="str">
        <f t="array" ref="P735">IF($A735="", "", LET(bbgm_stat, INDEX(Players!$A734:$P734, MATCH(P$2, Players!$A$1:$P$1, 0)), perc_75, VLOOKUP(P$2, Percentiles!$A$45:$I$59, 6, FALSE), perc_90, VLOOKUP(P$2, Percentiles!$A$45:$I$59, 7, FALSE), perc_95, VLOOKUP(P$2, Percentiles!$A$45:$I$59, 8, FALSE), perc_85, perc_75 + (perc_90 - perc_75) * (2/3), converted_stat, '2K_Ratings'!P735, IF(bbgm_stat &gt;= perc_95, converted_stat * 3, IF(bbgm_stat &gt;= perc_90, converted_stat * 2, IF(bbgm_stat &gt;= perc_85, converted_stat * 1.5, converted_stat)))))</f>
        <v/>
      </c>
      <c r="Q735" s="30" t="str">
        <f t="array" ref="Q735">IF($A735="", "", LET(bbgm_stat, INDEX(Players!$A734:$P734, MATCH(Q$2, Players!$A$1:$P$1, 0)), perc_75, VLOOKUP(Q$2, Percentiles!$A$45:$I$59, 6, FALSE), perc_90, VLOOKUP(Q$2, Percentiles!$A$45:$I$59, 7, FALSE), perc_95, VLOOKUP(Q$2, Percentiles!$A$45:$I$59, 8, FALSE), perc_85, perc_75 + (perc_90 - perc_75) * (2/3), converted_stat, '2K_Ratings'!Q735, IF(bbgm_stat &gt;= perc_95, converted_stat * 3, IF(bbgm_stat &gt;= perc_90, converted_stat * 2, IF(bbgm_stat &gt;= perc_85, converted_stat * 1.5, converted_stat)))))</f>
        <v/>
      </c>
      <c r="R735" s="30" t="str">
        <f t="array" ref="R735">IF($A735="", "", LET(bbgm_stat, INDEX(Players!$A734:$P734, MATCH(R$2, Players!$A$1:$P$1, 0)), perc_75, VLOOKUP(R$2, Percentiles!$A$45:$I$59, 6, FALSE), perc_90, VLOOKUP(R$2, Percentiles!$A$45:$I$59, 7, FALSE), perc_95, VLOOKUP(R$2, Percentiles!$A$45:$I$59, 8, FALSE), perc_85, perc_75 + (perc_90 - perc_75) * (2/3), converted_stat, '2K_Ratings'!R735, IF(bbgm_stat &gt;= perc_95, converted_stat * 3, IF(bbgm_stat &gt;= perc_90, converted_stat * 2, IF(bbgm_stat &gt;= perc_85, converted_stat * 1.5, converted_stat)))))</f>
        <v/>
      </c>
      <c r="S735" s="30" t="str">
        <f t="array" ref="S735">IF($A735="", "", LET(bbgm_stat, INDEX(Players!$A734:$P734, MATCH(S$2, Players!$A$1:$P$1, 0)), perc_75, VLOOKUP(S$2, Percentiles!$A$45:$I$59, 6, FALSE), perc_90, VLOOKUP(S$2, Percentiles!$A$45:$I$59, 7, FALSE), perc_95, VLOOKUP(S$2, Percentiles!$A$45:$I$59, 8, FALSE), perc_85, perc_75 + (perc_90 - perc_75) * (2/3), converted_stat, '2K_Ratings'!S735, IF(bbgm_stat &gt;= perc_95, converted_stat * 3, IF(bbgm_stat &gt;= perc_90, converted_stat * 2, IF(bbgm_stat &gt;= perc_85, converted_stat * 1.5, converted_stat)))))</f>
        <v/>
      </c>
      <c r="T735" s="30" t="str">
        <f t="array" ref="T735">IF($A735="", "", LET(bbgm_stat, INDEX(Players!$A734:$P734, MATCH(T$2, Players!$A$1:$P$1, 0)), perc_75, VLOOKUP(T$2, Percentiles!$A$45:$I$59, 6, FALSE), perc_90, VLOOKUP(T$2, Percentiles!$A$45:$I$59, 7, FALSE), perc_95, VLOOKUP(T$2, Percentiles!$A$45:$I$59, 8, FALSE), perc_85, perc_75 + (perc_90 - perc_75) * (2/3), converted_stat, '2K_Ratings'!T735, IF(bbgm_stat &gt;= perc_95, converted_stat * 3, IF(bbgm_stat &gt;= perc_90, converted_stat * 2, IF(bbgm_stat &gt;= perc_85, converted_stat * 1.5, converted_stat)))))</f>
        <v/>
      </c>
      <c r="U735" s="30" t="str">
        <f t="array" ref="U735">IF($A735="", "", LET(bbgm_stat, INDEX(Players!$A734:$P734, MATCH(U$2, Players!$A$1:$P$1, 0)), perc_75, VLOOKUP(U$2, Percentiles!$A$45:$I$59, 6, FALSE), perc_90, VLOOKUP(U$2, Percentiles!$A$45:$I$59, 7, FALSE), perc_95, VLOOKUP(U$2, Percentiles!$A$45:$I$59, 8, FALSE), perc_85, perc_75 + (perc_90 - perc_75) * (2/3), converted_stat, '2K_Ratings'!U735, IF(bbgm_stat &gt;= perc_95, converted_stat * 3, IF(bbgm_stat &gt;= perc_90, converted_stat * 2, IF(bbgm_stat &gt;= perc_85, converted_stat * 1.5, converted_stat)))))</f>
        <v/>
      </c>
      <c r="V735" s="30" t="str">
        <f t="array" ref="V735">IF($A735="", "", LET(bbgm_stat, INDEX(Players!$A734:$P734, MATCH(V$2, Players!$A$1:$P$1, 0)), perc_75, VLOOKUP(V$2, Percentiles!$A$45:$I$59, 6, FALSE), perc_90, VLOOKUP(V$2, Percentiles!$A$45:$I$59, 7, FALSE), perc_95, VLOOKUP(V$2, Percentiles!$A$45:$I$59, 8, FALSE), perc_85, perc_75 + (perc_90 - perc_75) * (2/3), converted_stat, '2K_Ratings'!V735, IF(bbgm_stat &gt;= perc_95, converted_stat * 3, IF(bbgm_stat &gt;= perc_90, converted_stat * 2, IF(bbgm_stat &gt;= perc_85, converted_stat * 1.5, converted_stat)))))</f>
        <v/>
      </c>
      <c r="W735" s="30" t="str">
        <f t="array" ref="W735">IF($A735="", "", LET(bbgm_stat, INDEX(Players!$A734:$P734, MATCH(W$2, Players!$A$1:$P$1, 0)), perc_75, VLOOKUP(W$2, Percentiles!$A$45:$I$59, 6, FALSE), perc_90, VLOOKUP(W$2, Percentiles!$A$45:$I$59, 7, FALSE), perc_95, VLOOKUP(W$2, Percentiles!$A$45:$I$59, 8, FALSE), perc_85, perc_75 + (perc_90 - perc_75) * (2/3), converted_stat, '2K_Ratings'!W735, IF(bbgm_stat &gt;= perc_95, converted_stat * 3, IF(bbgm_stat &gt;= perc_90, converted_stat * 2, IF(bbgm_stat &gt;= perc_85, converted_stat * 1.5, converted_stat)))))</f>
        <v/>
      </c>
    </row>
    <row r="736">
      <c r="A736" s="30"/>
      <c r="B736" s="30" t="str">
        <f t="array" ref="B736">IF($A736="", "", LET(bbgm_stat, INDEX(Players!$A735:$P735, MATCH(B$2, Players!$A$1:$P$1, 0)), perc_75, VLOOKUP(B$2, Percentiles!$A$45:$I$59, 6, FALSE), perc_90, VLOOKUP(B$2, Percentiles!$A$45:$I$59, 7, FALSE), perc_95, VLOOKUP(B$2, Percentiles!$A$45:$I$59, 8, FALSE), perc_85, perc_75 + (perc_90 - perc_75) * (2/3), converted_stat, '2K_Ratings'!B736, IF(bbgm_stat &gt;= perc_95, converted_stat * 3, IF(bbgm_stat &gt;= perc_90, converted_stat * 2, IF(bbgm_stat &gt;= perc_85, converted_stat * 1.5, converted_stat)))))</f>
        <v/>
      </c>
      <c r="C736" s="30" t="str">
        <f t="array" ref="C736">IF($A736="", "", LET(bbgm_stat, INDEX(Players!$A735:$P735, MATCH(C$2, Players!$A$1:$P$1, 0)), perc_75, VLOOKUP(C$2, Percentiles!$A$45:$I$59, 6, FALSE), perc_90, VLOOKUP(C$2, Percentiles!$A$45:$I$59, 7, FALSE), perc_95, VLOOKUP(C$2, Percentiles!$A$45:$I$59, 8, FALSE), perc_85, perc_75 + (perc_90 - perc_75) * (2/3), converted_stat, '2K_Ratings'!C736, IF(bbgm_stat &gt;= perc_95, converted_stat * 3, IF(bbgm_stat &gt;= perc_90, converted_stat * 2, IF(bbgm_stat &gt;= perc_85, converted_stat * 1.5, converted_stat)))))</f>
        <v/>
      </c>
      <c r="D736" s="30" t="str">
        <f t="array" ref="D736">IF($A736="", "", LET(bbgm_stat, INDEX(Players!$A735:$P735, MATCH(D$2, Players!$A$1:$P$1, 0)), perc_75, VLOOKUP(D$2, Percentiles!$A$45:$I$59, 6, FALSE), perc_90, VLOOKUP(D$2, Percentiles!$A$45:$I$59, 7, FALSE), perc_95, VLOOKUP(D$2, Percentiles!$A$45:$I$59, 8, FALSE), perc_85, perc_75 + (perc_90 - perc_75) * (2/3), converted_stat, '2K_Ratings'!D736, IF(bbgm_stat &gt;= perc_95, converted_stat * 3, IF(bbgm_stat &gt;= perc_90, converted_stat * 2, IF(bbgm_stat &gt;= perc_85, converted_stat * 1.5, converted_stat)))))</f>
        <v/>
      </c>
      <c r="E736" s="30" t="str">
        <f t="array" ref="E736">IF($A736="", "", LET(bbgm_stat, INDEX(Players!$A735:$P735, MATCH(E$2, Players!$A$1:$P$1, 0)), perc_75, VLOOKUP(E$2, Percentiles!$A$45:$I$59, 6, FALSE), perc_90, VLOOKUP(E$2, Percentiles!$A$45:$I$59, 7, FALSE), perc_95, VLOOKUP(E$2, Percentiles!$A$45:$I$59, 8, FALSE), perc_85, perc_75 + (perc_90 - perc_75) * (2/3), converted_stat, '2K_Ratings'!E736, IF(bbgm_stat &gt;= perc_95, converted_stat * 3, IF(bbgm_stat &gt;= perc_90, converted_stat * 2, IF(bbgm_stat &gt;= perc_85, converted_stat * 1.5, converted_stat)))))</f>
        <v/>
      </c>
      <c r="F736" s="30" t="str">
        <f t="array" ref="F736">IF($A736="", "", LET(bbgm_stat, INDEX(Players!$A735:$P735, MATCH(F$2, Players!$A$1:$P$1, 0)), perc_75, VLOOKUP(F$2, Percentiles!$A$45:$I$59, 6, FALSE), perc_90, VLOOKUP(F$2, Percentiles!$A$45:$I$59, 7, FALSE), perc_95, VLOOKUP(F$2, Percentiles!$A$45:$I$59, 8, FALSE), perc_85, perc_75 + (perc_90 - perc_75) * (2/3), converted_stat, '2K_Ratings'!F736, IF(bbgm_stat &gt;= perc_95, converted_stat * 3, IF(bbgm_stat &gt;= perc_90, converted_stat * 2, IF(bbgm_stat &gt;= perc_85, converted_stat * 1.5, converted_stat)))))</f>
        <v/>
      </c>
      <c r="G736" s="30" t="str">
        <f t="array" ref="G736">IF($A736="", "", LET(bbgm_stat, INDEX(Players!$A735:$P735, MATCH(G$2, Players!$A$1:$P$1, 0)), perc_75, VLOOKUP(G$2, Percentiles!$A$45:$I$59, 6, FALSE), perc_90, VLOOKUP(G$2, Percentiles!$A$45:$I$59, 7, FALSE), perc_95, VLOOKUP(G$2, Percentiles!$A$45:$I$59, 8, FALSE), perc_85, perc_75 + (perc_90 - perc_75) * (2/3), converted_stat, '2K_Ratings'!G736, IF(bbgm_stat &gt;= perc_95, converted_stat * 3, IF(bbgm_stat &gt;= perc_90, converted_stat * 2, IF(bbgm_stat &gt;= perc_85, converted_stat * 1.5, converted_stat)))))</f>
        <v/>
      </c>
      <c r="H736" s="30" t="str">
        <f t="array" ref="H736">IF($A736="", "", LET(bbgm_stat, INDEX(Players!$A735:$P735, MATCH(H$2, Players!$A$1:$P$1, 0)), perc_75, VLOOKUP(H$2, Percentiles!$A$45:$I$59, 6, FALSE), perc_90, VLOOKUP(H$2, Percentiles!$A$45:$I$59, 7, FALSE), perc_95, VLOOKUP(H$2, Percentiles!$A$45:$I$59, 8, FALSE), perc_85, perc_75 + (perc_90 - perc_75) * (2/3), converted_stat, '2K_Ratings'!H736, IF(bbgm_stat &gt;= perc_95, converted_stat * 3, IF(bbgm_stat &gt;= perc_90, converted_stat * 2, IF(bbgm_stat &gt;= perc_85, converted_stat * 1.5, converted_stat)))))</f>
        <v/>
      </c>
      <c r="I736" s="30" t="str">
        <f t="array" ref="I736">IF($A736="", "", LET(bbgm_stat, INDEX(Players!$A735:$P735, MATCH(I$2, Players!$A$1:$P$1, 0)), perc_75, VLOOKUP(I$2, Percentiles!$A$45:$I$59, 6, FALSE), perc_90, VLOOKUP(I$2, Percentiles!$A$45:$I$59, 7, FALSE), perc_95, VLOOKUP(I$2, Percentiles!$A$45:$I$59, 8, FALSE), perc_85, perc_75 + (perc_90 - perc_75) * (2/3), converted_stat, '2K_Ratings'!I736, IF(bbgm_stat &gt;= perc_95, converted_stat * 3, IF(bbgm_stat &gt;= perc_90, converted_stat * 2, IF(bbgm_stat &gt;= perc_85, converted_stat * 1.5, converted_stat)))))</f>
        <v/>
      </c>
      <c r="J736" s="30" t="str">
        <f t="array" ref="J736">IF($A736="", "", LET(bbgm_stat, INDEX(Players!$A735:$P735, MATCH(J$2, Players!$A$1:$P$1, 0)), perc_75, VLOOKUP(J$2, Percentiles!$A$45:$I$59, 6, FALSE), perc_90, VLOOKUP(J$2, Percentiles!$A$45:$I$59, 7, FALSE), perc_95, VLOOKUP(J$2, Percentiles!$A$45:$I$59, 8, FALSE), perc_85, perc_75 + (perc_90 - perc_75) * (2/3), converted_stat, '2K_Ratings'!J736, IF(bbgm_stat &gt;= perc_95, converted_stat * 3, IF(bbgm_stat &gt;= perc_90, converted_stat * 2, IF(bbgm_stat &gt;= perc_85, converted_stat * 1.5, converted_stat)))))</f>
        <v/>
      </c>
      <c r="K736" s="30" t="str">
        <f t="array" ref="K736">IF($A736="", "", LET(bbgm_stat, INDEX(Players!$A735:$P735, MATCH(K$2, Players!$A$1:$P$1, 0)), perc_75, VLOOKUP(K$2, Percentiles!$A$45:$I$59, 6, FALSE), perc_90, VLOOKUP(K$2, Percentiles!$A$45:$I$59, 7, FALSE), perc_95, VLOOKUP(K$2, Percentiles!$A$45:$I$59, 8, FALSE), perc_85, perc_75 + (perc_90 - perc_75) * (2/3), converted_stat, '2K_Ratings'!K736, IF(bbgm_stat &gt;= perc_95, converted_stat * 3, IF(bbgm_stat &gt;= perc_90, converted_stat * 2, IF(bbgm_stat &gt;= perc_85, converted_stat * 1.5, converted_stat)))))</f>
        <v/>
      </c>
      <c r="L736" s="30" t="str">
        <f t="array" ref="L736">IF($A736="", "", LET(bbgm_stat, INDEX(Players!$A735:$P735, MATCH(L$2, Players!$A$1:$P$1, 0)), perc_75, VLOOKUP(L$2, Percentiles!$A$45:$I$59, 6, FALSE), perc_90, VLOOKUP(L$2, Percentiles!$A$45:$I$59, 7, FALSE), perc_95, VLOOKUP(L$2, Percentiles!$A$45:$I$59, 8, FALSE), perc_85, perc_75 + (perc_90 - perc_75) * (2/3), converted_stat, '2K_Ratings'!L736, IF(bbgm_stat &gt;= perc_95, converted_stat * 3, IF(bbgm_stat &gt;= perc_90, converted_stat * 2, IF(bbgm_stat &gt;= perc_85, converted_stat * 1.5, converted_stat)))))</f>
        <v/>
      </c>
      <c r="M736" s="30" t="str">
        <f t="array" ref="M736">IF($A736="", "", LET(bbgm_stat, INDEX(Players!$A735:$P735, MATCH(M$2, Players!$A$1:$P$1, 0)), perc_75, VLOOKUP(M$2, Percentiles!$A$45:$I$59, 6, FALSE), perc_90, VLOOKUP(M$2, Percentiles!$A$45:$I$59, 7, FALSE), perc_95, VLOOKUP(M$2, Percentiles!$A$45:$I$59, 8, FALSE), perc_85, perc_75 + (perc_90 - perc_75) * (2/3), converted_stat, '2K_Ratings'!M736, IF(bbgm_stat &gt;= perc_95, converted_stat * 3, IF(bbgm_stat &gt;= perc_90, converted_stat * 2, IF(bbgm_stat &gt;= perc_85, converted_stat * 1.5, converted_stat)))))</f>
        <v/>
      </c>
      <c r="N736" s="30" t="str">
        <f t="array" ref="N736">IF($A736="", "", LET(bbgm_stat, INDEX(Players!$A735:$P735, MATCH(N$2, Players!$A$1:$P$1, 0)), perc_75, VLOOKUP(N$2, Percentiles!$A$45:$I$59, 6, FALSE), perc_90, VLOOKUP(N$2, Percentiles!$A$45:$I$59, 7, FALSE), perc_95, VLOOKUP(N$2, Percentiles!$A$45:$I$59, 8, FALSE), perc_85, perc_75 + (perc_90 - perc_75) * (2/3), converted_stat, '2K_Ratings'!N736, IF(bbgm_stat &gt;= perc_95, converted_stat * 3, IF(bbgm_stat &gt;= perc_90, converted_stat * 2, IF(bbgm_stat &gt;= perc_85, converted_stat * 1.5, converted_stat)))))</f>
        <v/>
      </c>
      <c r="O736" s="30" t="str">
        <f t="array" ref="O736">IF($A736="", "", LET(bbgm_stat, INDEX(Players!$A735:$P735, MATCH(O$2, Players!$A$1:$P$1, 0)), perc_75, VLOOKUP(O$2, Percentiles!$A$45:$I$59, 6, FALSE), perc_90, VLOOKUP(O$2, Percentiles!$A$45:$I$59, 7, FALSE), perc_95, VLOOKUP(O$2, Percentiles!$A$45:$I$59, 8, FALSE), perc_85, perc_75 + (perc_90 - perc_75) * (2/3), converted_stat, '2K_Ratings'!O736, IF(bbgm_stat &gt;= perc_95, converted_stat * 3, IF(bbgm_stat &gt;= perc_90, converted_stat * 2, IF(bbgm_stat &gt;= perc_85, converted_stat * 1.5, converted_stat)))))</f>
        <v/>
      </c>
      <c r="P736" s="30" t="str">
        <f t="array" ref="P736">IF($A736="", "", LET(bbgm_stat, INDEX(Players!$A735:$P735, MATCH(P$2, Players!$A$1:$P$1, 0)), perc_75, VLOOKUP(P$2, Percentiles!$A$45:$I$59, 6, FALSE), perc_90, VLOOKUP(P$2, Percentiles!$A$45:$I$59, 7, FALSE), perc_95, VLOOKUP(P$2, Percentiles!$A$45:$I$59, 8, FALSE), perc_85, perc_75 + (perc_90 - perc_75) * (2/3), converted_stat, '2K_Ratings'!P736, IF(bbgm_stat &gt;= perc_95, converted_stat * 3, IF(bbgm_stat &gt;= perc_90, converted_stat * 2, IF(bbgm_stat &gt;= perc_85, converted_stat * 1.5, converted_stat)))))</f>
        <v/>
      </c>
      <c r="Q736" s="30" t="str">
        <f t="array" ref="Q736">IF($A736="", "", LET(bbgm_stat, INDEX(Players!$A735:$P735, MATCH(Q$2, Players!$A$1:$P$1, 0)), perc_75, VLOOKUP(Q$2, Percentiles!$A$45:$I$59, 6, FALSE), perc_90, VLOOKUP(Q$2, Percentiles!$A$45:$I$59, 7, FALSE), perc_95, VLOOKUP(Q$2, Percentiles!$A$45:$I$59, 8, FALSE), perc_85, perc_75 + (perc_90 - perc_75) * (2/3), converted_stat, '2K_Ratings'!Q736, IF(bbgm_stat &gt;= perc_95, converted_stat * 3, IF(bbgm_stat &gt;= perc_90, converted_stat * 2, IF(bbgm_stat &gt;= perc_85, converted_stat * 1.5, converted_stat)))))</f>
        <v/>
      </c>
      <c r="R736" s="30" t="str">
        <f t="array" ref="R736">IF($A736="", "", LET(bbgm_stat, INDEX(Players!$A735:$P735, MATCH(R$2, Players!$A$1:$P$1, 0)), perc_75, VLOOKUP(R$2, Percentiles!$A$45:$I$59, 6, FALSE), perc_90, VLOOKUP(R$2, Percentiles!$A$45:$I$59, 7, FALSE), perc_95, VLOOKUP(R$2, Percentiles!$A$45:$I$59, 8, FALSE), perc_85, perc_75 + (perc_90 - perc_75) * (2/3), converted_stat, '2K_Ratings'!R736, IF(bbgm_stat &gt;= perc_95, converted_stat * 3, IF(bbgm_stat &gt;= perc_90, converted_stat * 2, IF(bbgm_stat &gt;= perc_85, converted_stat * 1.5, converted_stat)))))</f>
        <v/>
      </c>
      <c r="S736" s="30" t="str">
        <f t="array" ref="S736">IF($A736="", "", LET(bbgm_stat, INDEX(Players!$A735:$P735, MATCH(S$2, Players!$A$1:$P$1, 0)), perc_75, VLOOKUP(S$2, Percentiles!$A$45:$I$59, 6, FALSE), perc_90, VLOOKUP(S$2, Percentiles!$A$45:$I$59, 7, FALSE), perc_95, VLOOKUP(S$2, Percentiles!$A$45:$I$59, 8, FALSE), perc_85, perc_75 + (perc_90 - perc_75) * (2/3), converted_stat, '2K_Ratings'!S736, IF(bbgm_stat &gt;= perc_95, converted_stat * 3, IF(bbgm_stat &gt;= perc_90, converted_stat * 2, IF(bbgm_stat &gt;= perc_85, converted_stat * 1.5, converted_stat)))))</f>
        <v/>
      </c>
      <c r="T736" s="30" t="str">
        <f t="array" ref="T736">IF($A736="", "", LET(bbgm_stat, INDEX(Players!$A735:$P735, MATCH(T$2, Players!$A$1:$P$1, 0)), perc_75, VLOOKUP(T$2, Percentiles!$A$45:$I$59, 6, FALSE), perc_90, VLOOKUP(T$2, Percentiles!$A$45:$I$59, 7, FALSE), perc_95, VLOOKUP(T$2, Percentiles!$A$45:$I$59, 8, FALSE), perc_85, perc_75 + (perc_90 - perc_75) * (2/3), converted_stat, '2K_Ratings'!T736, IF(bbgm_stat &gt;= perc_95, converted_stat * 3, IF(bbgm_stat &gt;= perc_90, converted_stat * 2, IF(bbgm_stat &gt;= perc_85, converted_stat * 1.5, converted_stat)))))</f>
        <v/>
      </c>
      <c r="U736" s="30" t="str">
        <f t="array" ref="U736">IF($A736="", "", LET(bbgm_stat, INDEX(Players!$A735:$P735, MATCH(U$2, Players!$A$1:$P$1, 0)), perc_75, VLOOKUP(U$2, Percentiles!$A$45:$I$59, 6, FALSE), perc_90, VLOOKUP(U$2, Percentiles!$A$45:$I$59, 7, FALSE), perc_95, VLOOKUP(U$2, Percentiles!$A$45:$I$59, 8, FALSE), perc_85, perc_75 + (perc_90 - perc_75) * (2/3), converted_stat, '2K_Ratings'!U736, IF(bbgm_stat &gt;= perc_95, converted_stat * 3, IF(bbgm_stat &gt;= perc_90, converted_stat * 2, IF(bbgm_stat &gt;= perc_85, converted_stat * 1.5, converted_stat)))))</f>
        <v/>
      </c>
      <c r="V736" s="30" t="str">
        <f t="array" ref="V736">IF($A736="", "", LET(bbgm_stat, INDEX(Players!$A735:$P735, MATCH(V$2, Players!$A$1:$P$1, 0)), perc_75, VLOOKUP(V$2, Percentiles!$A$45:$I$59, 6, FALSE), perc_90, VLOOKUP(V$2, Percentiles!$A$45:$I$59, 7, FALSE), perc_95, VLOOKUP(V$2, Percentiles!$A$45:$I$59, 8, FALSE), perc_85, perc_75 + (perc_90 - perc_75) * (2/3), converted_stat, '2K_Ratings'!V736, IF(bbgm_stat &gt;= perc_95, converted_stat * 3, IF(bbgm_stat &gt;= perc_90, converted_stat * 2, IF(bbgm_stat &gt;= perc_85, converted_stat * 1.5, converted_stat)))))</f>
        <v/>
      </c>
      <c r="W736" s="30" t="str">
        <f t="array" ref="W736">IF($A736="", "", LET(bbgm_stat, INDEX(Players!$A735:$P735, MATCH(W$2, Players!$A$1:$P$1, 0)), perc_75, VLOOKUP(W$2, Percentiles!$A$45:$I$59, 6, FALSE), perc_90, VLOOKUP(W$2, Percentiles!$A$45:$I$59, 7, FALSE), perc_95, VLOOKUP(W$2, Percentiles!$A$45:$I$59, 8, FALSE), perc_85, perc_75 + (perc_90 - perc_75) * (2/3), converted_stat, '2K_Ratings'!W736, IF(bbgm_stat &gt;= perc_95, converted_stat * 3, IF(bbgm_stat &gt;= perc_90, converted_stat * 2, IF(bbgm_stat &gt;= perc_85, converted_stat * 1.5, converted_stat)))))</f>
        <v/>
      </c>
    </row>
    <row r="737">
      <c r="A737" s="30"/>
      <c r="B737" s="30" t="str">
        <f t="array" ref="B737">IF($A737="", "", LET(bbgm_stat, INDEX(Players!$A736:$P736, MATCH(B$2, Players!$A$1:$P$1, 0)), perc_75, VLOOKUP(B$2, Percentiles!$A$45:$I$59, 6, FALSE), perc_90, VLOOKUP(B$2, Percentiles!$A$45:$I$59, 7, FALSE), perc_95, VLOOKUP(B$2, Percentiles!$A$45:$I$59, 8, FALSE), perc_85, perc_75 + (perc_90 - perc_75) * (2/3), converted_stat, '2K_Ratings'!B737, IF(bbgm_stat &gt;= perc_95, converted_stat * 3, IF(bbgm_stat &gt;= perc_90, converted_stat * 2, IF(bbgm_stat &gt;= perc_85, converted_stat * 1.5, converted_stat)))))</f>
        <v/>
      </c>
      <c r="C737" s="30" t="str">
        <f t="array" ref="C737">IF($A737="", "", LET(bbgm_stat, INDEX(Players!$A736:$P736, MATCH(C$2, Players!$A$1:$P$1, 0)), perc_75, VLOOKUP(C$2, Percentiles!$A$45:$I$59, 6, FALSE), perc_90, VLOOKUP(C$2, Percentiles!$A$45:$I$59, 7, FALSE), perc_95, VLOOKUP(C$2, Percentiles!$A$45:$I$59, 8, FALSE), perc_85, perc_75 + (perc_90 - perc_75) * (2/3), converted_stat, '2K_Ratings'!C737, IF(bbgm_stat &gt;= perc_95, converted_stat * 3, IF(bbgm_stat &gt;= perc_90, converted_stat * 2, IF(bbgm_stat &gt;= perc_85, converted_stat * 1.5, converted_stat)))))</f>
        <v/>
      </c>
      <c r="D737" s="30" t="str">
        <f t="array" ref="D737">IF($A737="", "", LET(bbgm_stat, INDEX(Players!$A736:$P736, MATCH(D$2, Players!$A$1:$P$1, 0)), perc_75, VLOOKUP(D$2, Percentiles!$A$45:$I$59, 6, FALSE), perc_90, VLOOKUP(D$2, Percentiles!$A$45:$I$59, 7, FALSE), perc_95, VLOOKUP(D$2, Percentiles!$A$45:$I$59, 8, FALSE), perc_85, perc_75 + (perc_90 - perc_75) * (2/3), converted_stat, '2K_Ratings'!D737, IF(bbgm_stat &gt;= perc_95, converted_stat * 3, IF(bbgm_stat &gt;= perc_90, converted_stat * 2, IF(bbgm_stat &gt;= perc_85, converted_stat * 1.5, converted_stat)))))</f>
        <v/>
      </c>
      <c r="E737" s="30" t="str">
        <f t="array" ref="E737">IF($A737="", "", LET(bbgm_stat, INDEX(Players!$A736:$P736, MATCH(E$2, Players!$A$1:$P$1, 0)), perc_75, VLOOKUP(E$2, Percentiles!$A$45:$I$59, 6, FALSE), perc_90, VLOOKUP(E$2, Percentiles!$A$45:$I$59, 7, FALSE), perc_95, VLOOKUP(E$2, Percentiles!$A$45:$I$59, 8, FALSE), perc_85, perc_75 + (perc_90 - perc_75) * (2/3), converted_stat, '2K_Ratings'!E737, IF(bbgm_stat &gt;= perc_95, converted_stat * 3, IF(bbgm_stat &gt;= perc_90, converted_stat * 2, IF(bbgm_stat &gt;= perc_85, converted_stat * 1.5, converted_stat)))))</f>
        <v/>
      </c>
      <c r="F737" s="30" t="str">
        <f t="array" ref="F737">IF($A737="", "", LET(bbgm_stat, INDEX(Players!$A736:$P736, MATCH(F$2, Players!$A$1:$P$1, 0)), perc_75, VLOOKUP(F$2, Percentiles!$A$45:$I$59, 6, FALSE), perc_90, VLOOKUP(F$2, Percentiles!$A$45:$I$59, 7, FALSE), perc_95, VLOOKUP(F$2, Percentiles!$A$45:$I$59, 8, FALSE), perc_85, perc_75 + (perc_90 - perc_75) * (2/3), converted_stat, '2K_Ratings'!F737, IF(bbgm_stat &gt;= perc_95, converted_stat * 3, IF(bbgm_stat &gt;= perc_90, converted_stat * 2, IF(bbgm_stat &gt;= perc_85, converted_stat * 1.5, converted_stat)))))</f>
        <v/>
      </c>
      <c r="G737" s="30" t="str">
        <f t="array" ref="G737">IF($A737="", "", LET(bbgm_stat, INDEX(Players!$A736:$P736, MATCH(G$2, Players!$A$1:$P$1, 0)), perc_75, VLOOKUP(G$2, Percentiles!$A$45:$I$59, 6, FALSE), perc_90, VLOOKUP(G$2, Percentiles!$A$45:$I$59, 7, FALSE), perc_95, VLOOKUP(G$2, Percentiles!$A$45:$I$59, 8, FALSE), perc_85, perc_75 + (perc_90 - perc_75) * (2/3), converted_stat, '2K_Ratings'!G737, IF(bbgm_stat &gt;= perc_95, converted_stat * 3, IF(bbgm_stat &gt;= perc_90, converted_stat * 2, IF(bbgm_stat &gt;= perc_85, converted_stat * 1.5, converted_stat)))))</f>
        <v/>
      </c>
      <c r="H737" s="30" t="str">
        <f t="array" ref="H737">IF($A737="", "", LET(bbgm_stat, INDEX(Players!$A736:$P736, MATCH(H$2, Players!$A$1:$P$1, 0)), perc_75, VLOOKUP(H$2, Percentiles!$A$45:$I$59, 6, FALSE), perc_90, VLOOKUP(H$2, Percentiles!$A$45:$I$59, 7, FALSE), perc_95, VLOOKUP(H$2, Percentiles!$A$45:$I$59, 8, FALSE), perc_85, perc_75 + (perc_90 - perc_75) * (2/3), converted_stat, '2K_Ratings'!H737, IF(bbgm_stat &gt;= perc_95, converted_stat * 3, IF(bbgm_stat &gt;= perc_90, converted_stat * 2, IF(bbgm_stat &gt;= perc_85, converted_stat * 1.5, converted_stat)))))</f>
        <v/>
      </c>
      <c r="I737" s="30" t="str">
        <f t="array" ref="I737">IF($A737="", "", LET(bbgm_stat, INDEX(Players!$A736:$P736, MATCH(I$2, Players!$A$1:$P$1, 0)), perc_75, VLOOKUP(I$2, Percentiles!$A$45:$I$59, 6, FALSE), perc_90, VLOOKUP(I$2, Percentiles!$A$45:$I$59, 7, FALSE), perc_95, VLOOKUP(I$2, Percentiles!$A$45:$I$59, 8, FALSE), perc_85, perc_75 + (perc_90 - perc_75) * (2/3), converted_stat, '2K_Ratings'!I737, IF(bbgm_stat &gt;= perc_95, converted_stat * 3, IF(bbgm_stat &gt;= perc_90, converted_stat * 2, IF(bbgm_stat &gt;= perc_85, converted_stat * 1.5, converted_stat)))))</f>
        <v/>
      </c>
      <c r="J737" s="30" t="str">
        <f t="array" ref="J737">IF($A737="", "", LET(bbgm_stat, INDEX(Players!$A736:$P736, MATCH(J$2, Players!$A$1:$P$1, 0)), perc_75, VLOOKUP(J$2, Percentiles!$A$45:$I$59, 6, FALSE), perc_90, VLOOKUP(J$2, Percentiles!$A$45:$I$59, 7, FALSE), perc_95, VLOOKUP(J$2, Percentiles!$A$45:$I$59, 8, FALSE), perc_85, perc_75 + (perc_90 - perc_75) * (2/3), converted_stat, '2K_Ratings'!J737, IF(bbgm_stat &gt;= perc_95, converted_stat * 3, IF(bbgm_stat &gt;= perc_90, converted_stat * 2, IF(bbgm_stat &gt;= perc_85, converted_stat * 1.5, converted_stat)))))</f>
        <v/>
      </c>
      <c r="K737" s="30" t="str">
        <f t="array" ref="K737">IF($A737="", "", LET(bbgm_stat, INDEX(Players!$A736:$P736, MATCH(K$2, Players!$A$1:$P$1, 0)), perc_75, VLOOKUP(K$2, Percentiles!$A$45:$I$59, 6, FALSE), perc_90, VLOOKUP(K$2, Percentiles!$A$45:$I$59, 7, FALSE), perc_95, VLOOKUP(K$2, Percentiles!$A$45:$I$59, 8, FALSE), perc_85, perc_75 + (perc_90 - perc_75) * (2/3), converted_stat, '2K_Ratings'!K737, IF(bbgm_stat &gt;= perc_95, converted_stat * 3, IF(bbgm_stat &gt;= perc_90, converted_stat * 2, IF(bbgm_stat &gt;= perc_85, converted_stat * 1.5, converted_stat)))))</f>
        <v/>
      </c>
      <c r="L737" s="30" t="str">
        <f t="array" ref="L737">IF($A737="", "", LET(bbgm_stat, INDEX(Players!$A736:$P736, MATCH(L$2, Players!$A$1:$P$1, 0)), perc_75, VLOOKUP(L$2, Percentiles!$A$45:$I$59, 6, FALSE), perc_90, VLOOKUP(L$2, Percentiles!$A$45:$I$59, 7, FALSE), perc_95, VLOOKUP(L$2, Percentiles!$A$45:$I$59, 8, FALSE), perc_85, perc_75 + (perc_90 - perc_75) * (2/3), converted_stat, '2K_Ratings'!L737, IF(bbgm_stat &gt;= perc_95, converted_stat * 3, IF(bbgm_stat &gt;= perc_90, converted_stat * 2, IF(bbgm_stat &gt;= perc_85, converted_stat * 1.5, converted_stat)))))</f>
        <v/>
      </c>
      <c r="M737" s="30" t="str">
        <f t="array" ref="M737">IF($A737="", "", LET(bbgm_stat, INDEX(Players!$A736:$P736, MATCH(M$2, Players!$A$1:$P$1, 0)), perc_75, VLOOKUP(M$2, Percentiles!$A$45:$I$59, 6, FALSE), perc_90, VLOOKUP(M$2, Percentiles!$A$45:$I$59, 7, FALSE), perc_95, VLOOKUP(M$2, Percentiles!$A$45:$I$59, 8, FALSE), perc_85, perc_75 + (perc_90 - perc_75) * (2/3), converted_stat, '2K_Ratings'!M737, IF(bbgm_stat &gt;= perc_95, converted_stat * 3, IF(bbgm_stat &gt;= perc_90, converted_stat * 2, IF(bbgm_stat &gt;= perc_85, converted_stat * 1.5, converted_stat)))))</f>
        <v/>
      </c>
      <c r="N737" s="30" t="str">
        <f t="array" ref="N737">IF($A737="", "", LET(bbgm_stat, INDEX(Players!$A736:$P736, MATCH(N$2, Players!$A$1:$P$1, 0)), perc_75, VLOOKUP(N$2, Percentiles!$A$45:$I$59, 6, FALSE), perc_90, VLOOKUP(N$2, Percentiles!$A$45:$I$59, 7, FALSE), perc_95, VLOOKUP(N$2, Percentiles!$A$45:$I$59, 8, FALSE), perc_85, perc_75 + (perc_90 - perc_75) * (2/3), converted_stat, '2K_Ratings'!N737, IF(bbgm_stat &gt;= perc_95, converted_stat * 3, IF(bbgm_stat &gt;= perc_90, converted_stat * 2, IF(bbgm_stat &gt;= perc_85, converted_stat * 1.5, converted_stat)))))</f>
        <v/>
      </c>
      <c r="O737" s="30" t="str">
        <f t="array" ref="O737">IF($A737="", "", LET(bbgm_stat, INDEX(Players!$A736:$P736, MATCH(O$2, Players!$A$1:$P$1, 0)), perc_75, VLOOKUP(O$2, Percentiles!$A$45:$I$59, 6, FALSE), perc_90, VLOOKUP(O$2, Percentiles!$A$45:$I$59, 7, FALSE), perc_95, VLOOKUP(O$2, Percentiles!$A$45:$I$59, 8, FALSE), perc_85, perc_75 + (perc_90 - perc_75) * (2/3), converted_stat, '2K_Ratings'!O737, IF(bbgm_stat &gt;= perc_95, converted_stat * 3, IF(bbgm_stat &gt;= perc_90, converted_stat * 2, IF(bbgm_stat &gt;= perc_85, converted_stat * 1.5, converted_stat)))))</f>
        <v/>
      </c>
      <c r="P737" s="30" t="str">
        <f t="array" ref="P737">IF($A737="", "", LET(bbgm_stat, INDEX(Players!$A736:$P736, MATCH(P$2, Players!$A$1:$P$1, 0)), perc_75, VLOOKUP(P$2, Percentiles!$A$45:$I$59, 6, FALSE), perc_90, VLOOKUP(P$2, Percentiles!$A$45:$I$59, 7, FALSE), perc_95, VLOOKUP(P$2, Percentiles!$A$45:$I$59, 8, FALSE), perc_85, perc_75 + (perc_90 - perc_75) * (2/3), converted_stat, '2K_Ratings'!P737, IF(bbgm_stat &gt;= perc_95, converted_stat * 3, IF(bbgm_stat &gt;= perc_90, converted_stat * 2, IF(bbgm_stat &gt;= perc_85, converted_stat * 1.5, converted_stat)))))</f>
        <v/>
      </c>
      <c r="Q737" s="30" t="str">
        <f t="array" ref="Q737">IF($A737="", "", LET(bbgm_stat, INDEX(Players!$A736:$P736, MATCH(Q$2, Players!$A$1:$P$1, 0)), perc_75, VLOOKUP(Q$2, Percentiles!$A$45:$I$59, 6, FALSE), perc_90, VLOOKUP(Q$2, Percentiles!$A$45:$I$59, 7, FALSE), perc_95, VLOOKUP(Q$2, Percentiles!$A$45:$I$59, 8, FALSE), perc_85, perc_75 + (perc_90 - perc_75) * (2/3), converted_stat, '2K_Ratings'!Q737, IF(bbgm_stat &gt;= perc_95, converted_stat * 3, IF(bbgm_stat &gt;= perc_90, converted_stat * 2, IF(bbgm_stat &gt;= perc_85, converted_stat * 1.5, converted_stat)))))</f>
        <v/>
      </c>
      <c r="R737" s="30" t="str">
        <f t="array" ref="R737">IF($A737="", "", LET(bbgm_stat, INDEX(Players!$A736:$P736, MATCH(R$2, Players!$A$1:$P$1, 0)), perc_75, VLOOKUP(R$2, Percentiles!$A$45:$I$59, 6, FALSE), perc_90, VLOOKUP(R$2, Percentiles!$A$45:$I$59, 7, FALSE), perc_95, VLOOKUP(R$2, Percentiles!$A$45:$I$59, 8, FALSE), perc_85, perc_75 + (perc_90 - perc_75) * (2/3), converted_stat, '2K_Ratings'!R737, IF(bbgm_stat &gt;= perc_95, converted_stat * 3, IF(bbgm_stat &gt;= perc_90, converted_stat * 2, IF(bbgm_stat &gt;= perc_85, converted_stat * 1.5, converted_stat)))))</f>
        <v/>
      </c>
      <c r="S737" s="30" t="str">
        <f t="array" ref="S737">IF($A737="", "", LET(bbgm_stat, INDEX(Players!$A736:$P736, MATCH(S$2, Players!$A$1:$P$1, 0)), perc_75, VLOOKUP(S$2, Percentiles!$A$45:$I$59, 6, FALSE), perc_90, VLOOKUP(S$2, Percentiles!$A$45:$I$59, 7, FALSE), perc_95, VLOOKUP(S$2, Percentiles!$A$45:$I$59, 8, FALSE), perc_85, perc_75 + (perc_90 - perc_75) * (2/3), converted_stat, '2K_Ratings'!S737, IF(bbgm_stat &gt;= perc_95, converted_stat * 3, IF(bbgm_stat &gt;= perc_90, converted_stat * 2, IF(bbgm_stat &gt;= perc_85, converted_stat * 1.5, converted_stat)))))</f>
        <v/>
      </c>
      <c r="T737" s="30" t="str">
        <f t="array" ref="T737">IF($A737="", "", LET(bbgm_stat, INDEX(Players!$A736:$P736, MATCH(T$2, Players!$A$1:$P$1, 0)), perc_75, VLOOKUP(T$2, Percentiles!$A$45:$I$59, 6, FALSE), perc_90, VLOOKUP(T$2, Percentiles!$A$45:$I$59, 7, FALSE), perc_95, VLOOKUP(T$2, Percentiles!$A$45:$I$59, 8, FALSE), perc_85, perc_75 + (perc_90 - perc_75) * (2/3), converted_stat, '2K_Ratings'!T737, IF(bbgm_stat &gt;= perc_95, converted_stat * 3, IF(bbgm_stat &gt;= perc_90, converted_stat * 2, IF(bbgm_stat &gt;= perc_85, converted_stat * 1.5, converted_stat)))))</f>
        <v/>
      </c>
      <c r="U737" s="30" t="str">
        <f t="array" ref="U737">IF($A737="", "", LET(bbgm_stat, INDEX(Players!$A736:$P736, MATCH(U$2, Players!$A$1:$P$1, 0)), perc_75, VLOOKUP(U$2, Percentiles!$A$45:$I$59, 6, FALSE), perc_90, VLOOKUP(U$2, Percentiles!$A$45:$I$59, 7, FALSE), perc_95, VLOOKUP(U$2, Percentiles!$A$45:$I$59, 8, FALSE), perc_85, perc_75 + (perc_90 - perc_75) * (2/3), converted_stat, '2K_Ratings'!U737, IF(bbgm_stat &gt;= perc_95, converted_stat * 3, IF(bbgm_stat &gt;= perc_90, converted_stat * 2, IF(bbgm_stat &gt;= perc_85, converted_stat * 1.5, converted_stat)))))</f>
        <v/>
      </c>
      <c r="V737" s="30" t="str">
        <f t="array" ref="V737">IF($A737="", "", LET(bbgm_stat, INDEX(Players!$A736:$P736, MATCH(V$2, Players!$A$1:$P$1, 0)), perc_75, VLOOKUP(V$2, Percentiles!$A$45:$I$59, 6, FALSE), perc_90, VLOOKUP(V$2, Percentiles!$A$45:$I$59, 7, FALSE), perc_95, VLOOKUP(V$2, Percentiles!$A$45:$I$59, 8, FALSE), perc_85, perc_75 + (perc_90 - perc_75) * (2/3), converted_stat, '2K_Ratings'!V737, IF(bbgm_stat &gt;= perc_95, converted_stat * 3, IF(bbgm_stat &gt;= perc_90, converted_stat * 2, IF(bbgm_stat &gt;= perc_85, converted_stat * 1.5, converted_stat)))))</f>
        <v/>
      </c>
      <c r="W737" s="30" t="str">
        <f t="array" ref="W737">IF($A737="", "", LET(bbgm_stat, INDEX(Players!$A736:$P736, MATCH(W$2, Players!$A$1:$P$1, 0)), perc_75, VLOOKUP(W$2, Percentiles!$A$45:$I$59, 6, FALSE), perc_90, VLOOKUP(W$2, Percentiles!$A$45:$I$59, 7, FALSE), perc_95, VLOOKUP(W$2, Percentiles!$A$45:$I$59, 8, FALSE), perc_85, perc_75 + (perc_90 - perc_75) * (2/3), converted_stat, '2K_Ratings'!W737, IF(bbgm_stat &gt;= perc_95, converted_stat * 3, IF(bbgm_stat &gt;= perc_90, converted_stat * 2, IF(bbgm_stat &gt;= perc_85, converted_stat * 1.5, converted_stat)))))</f>
        <v/>
      </c>
    </row>
    <row r="738">
      <c r="A738" s="30"/>
      <c r="B738" s="30" t="str">
        <f t="array" ref="B738">IF($A738="", "", LET(bbgm_stat, INDEX(Players!$A737:$P737, MATCH(B$2, Players!$A$1:$P$1, 0)), perc_75, VLOOKUP(B$2, Percentiles!$A$45:$I$59, 6, FALSE), perc_90, VLOOKUP(B$2, Percentiles!$A$45:$I$59, 7, FALSE), perc_95, VLOOKUP(B$2, Percentiles!$A$45:$I$59, 8, FALSE), perc_85, perc_75 + (perc_90 - perc_75) * (2/3), converted_stat, '2K_Ratings'!B738, IF(bbgm_stat &gt;= perc_95, converted_stat * 3, IF(bbgm_stat &gt;= perc_90, converted_stat * 2, IF(bbgm_stat &gt;= perc_85, converted_stat * 1.5, converted_stat)))))</f>
        <v/>
      </c>
      <c r="C738" s="30" t="str">
        <f t="array" ref="C738">IF($A738="", "", LET(bbgm_stat, INDEX(Players!$A737:$P737, MATCH(C$2, Players!$A$1:$P$1, 0)), perc_75, VLOOKUP(C$2, Percentiles!$A$45:$I$59, 6, FALSE), perc_90, VLOOKUP(C$2, Percentiles!$A$45:$I$59, 7, FALSE), perc_95, VLOOKUP(C$2, Percentiles!$A$45:$I$59, 8, FALSE), perc_85, perc_75 + (perc_90 - perc_75) * (2/3), converted_stat, '2K_Ratings'!C738, IF(bbgm_stat &gt;= perc_95, converted_stat * 3, IF(bbgm_stat &gt;= perc_90, converted_stat * 2, IF(bbgm_stat &gt;= perc_85, converted_stat * 1.5, converted_stat)))))</f>
        <v/>
      </c>
      <c r="D738" s="30" t="str">
        <f t="array" ref="D738">IF($A738="", "", LET(bbgm_stat, INDEX(Players!$A737:$P737, MATCH(D$2, Players!$A$1:$P$1, 0)), perc_75, VLOOKUP(D$2, Percentiles!$A$45:$I$59, 6, FALSE), perc_90, VLOOKUP(D$2, Percentiles!$A$45:$I$59, 7, FALSE), perc_95, VLOOKUP(D$2, Percentiles!$A$45:$I$59, 8, FALSE), perc_85, perc_75 + (perc_90 - perc_75) * (2/3), converted_stat, '2K_Ratings'!D738, IF(bbgm_stat &gt;= perc_95, converted_stat * 3, IF(bbgm_stat &gt;= perc_90, converted_stat * 2, IF(bbgm_stat &gt;= perc_85, converted_stat * 1.5, converted_stat)))))</f>
        <v/>
      </c>
      <c r="E738" s="30" t="str">
        <f t="array" ref="E738">IF($A738="", "", LET(bbgm_stat, INDEX(Players!$A737:$P737, MATCH(E$2, Players!$A$1:$P$1, 0)), perc_75, VLOOKUP(E$2, Percentiles!$A$45:$I$59, 6, FALSE), perc_90, VLOOKUP(E$2, Percentiles!$A$45:$I$59, 7, FALSE), perc_95, VLOOKUP(E$2, Percentiles!$A$45:$I$59, 8, FALSE), perc_85, perc_75 + (perc_90 - perc_75) * (2/3), converted_stat, '2K_Ratings'!E738, IF(bbgm_stat &gt;= perc_95, converted_stat * 3, IF(bbgm_stat &gt;= perc_90, converted_stat * 2, IF(bbgm_stat &gt;= perc_85, converted_stat * 1.5, converted_stat)))))</f>
        <v/>
      </c>
      <c r="F738" s="30" t="str">
        <f t="array" ref="F738">IF($A738="", "", LET(bbgm_stat, INDEX(Players!$A737:$P737, MATCH(F$2, Players!$A$1:$P$1, 0)), perc_75, VLOOKUP(F$2, Percentiles!$A$45:$I$59, 6, FALSE), perc_90, VLOOKUP(F$2, Percentiles!$A$45:$I$59, 7, FALSE), perc_95, VLOOKUP(F$2, Percentiles!$A$45:$I$59, 8, FALSE), perc_85, perc_75 + (perc_90 - perc_75) * (2/3), converted_stat, '2K_Ratings'!F738, IF(bbgm_stat &gt;= perc_95, converted_stat * 3, IF(bbgm_stat &gt;= perc_90, converted_stat * 2, IF(bbgm_stat &gt;= perc_85, converted_stat * 1.5, converted_stat)))))</f>
        <v/>
      </c>
      <c r="G738" s="30" t="str">
        <f t="array" ref="G738">IF($A738="", "", LET(bbgm_stat, INDEX(Players!$A737:$P737, MATCH(G$2, Players!$A$1:$P$1, 0)), perc_75, VLOOKUP(G$2, Percentiles!$A$45:$I$59, 6, FALSE), perc_90, VLOOKUP(G$2, Percentiles!$A$45:$I$59, 7, FALSE), perc_95, VLOOKUP(G$2, Percentiles!$A$45:$I$59, 8, FALSE), perc_85, perc_75 + (perc_90 - perc_75) * (2/3), converted_stat, '2K_Ratings'!G738, IF(bbgm_stat &gt;= perc_95, converted_stat * 3, IF(bbgm_stat &gt;= perc_90, converted_stat * 2, IF(bbgm_stat &gt;= perc_85, converted_stat * 1.5, converted_stat)))))</f>
        <v/>
      </c>
      <c r="H738" s="30" t="str">
        <f t="array" ref="H738">IF($A738="", "", LET(bbgm_stat, INDEX(Players!$A737:$P737, MATCH(H$2, Players!$A$1:$P$1, 0)), perc_75, VLOOKUP(H$2, Percentiles!$A$45:$I$59, 6, FALSE), perc_90, VLOOKUP(H$2, Percentiles!$A$45:$I$59, 7, FALSE), perc_95, VLOOKUP(H$2, Percentiles!$A$45:$I$59, 8, FALSE), perc_85, perc_75 + (perc_90 - perc_75) * (2/3), converted_stat, '2K_Ratings'!H738, IF(bbgm_stat &gt;= perc_95, converted_stat * 3, IF(bbgm_stat &gt;= perc_90, converted_stat * 2, IF(bbgm_stat &gt;= perc_85, converted_stat * 1.5, converted_stat)))))</f>
        <v/>
      </c>
      <c r="I738" s="30" t="str">
        <f t="array" ref="I738">IF($A738="", "", LET(bbgm_stat, INDEX(Players!$A737:$P737, MATCH(I$2, Players!$A$1:$P$1, 0)), perc_75, VLOOKUP(I$2, Percentiles!$A$45:$I$59, 6, FALSE), perc_90, VLOOKUP(I$2, Percentiles!$A$45:$I$59, 7, FALSE), perc_95, VLOOKUP(I$2, Percentiles!$A$45:$I$59, 8, FALSE), perc_85, perc_75 + (perc_90 - perc_75) * (2/3), converted_stat, '2K_Ratings'!I738, IF(bbgm_stat &gt;= perc_95, converted_stat * 3, IF(bbgm_stat &gt;= perc_90, converted_stat * 2, IF(bbgm_stat &gt;= perc_85, converted_stat * 1.5, converted_stat)))))</f>
        <v/>
      </c>
      <c r="J738" s="30" t="str">
        <f t="array" ref="J738">IF($A738="", "", LET(bbgm_stat, INDEX(Players!$A737:$P737, MATCH(J$2, Players!$A$1:$P$1, 0)), perc_75, VLOOKUP(J$2, Percentiles!$A$45:$I$59, 6, FALSE), perc_90, VLOOKUP(J$2, Percentiles!$A$45:$I$59, 7, FALSE), perc_95, VLOOKUP(J$2, Percentiles!$A$45:$I$59, 8, FALSE), perc_85, perc_75 + (perc_90 - perc_75) * (2/3), converted_stat, '2K_Ratings'!J738, IF(bbgm_stat &gt;= perc_95, converted_stat * 3, IF(bbgm_stat &gt;= perc_90, converted_stat * 2, IF(bbgm_stat &gt;= perc_85, converted_stat * 1.5, converted_stat)))))</f>
        <v/>
      </c>
      <c r="K738" s="30" t="str">
        <f t="array" ref="K738">IF($A738="", "", LET(bbgm_stat, INDEX(Players!$A737:$P737, MATCH(K$2, Players!$A$1:$P$1, 0)), perc_75, VLOOKUP(K$2, Percentiles!$A$45:$I$59, 6, FALSE), perc_90, VLOOKUP(K$2, Percentiles!$A$45:$I$59, 7, FALSE), perc_95, VLOOKUP(K$2, Percentiles!$A$45:$I$59, 8, FALSE), perc_85, perc_75 + (perc_90 - perc_75) * (2/3), converted_stat, '2K_Ratings'!K738, IF(bbgm_stat &gt;= perc_95, converted_stat * 3, IF(bbgm_stat &gt;= perc_90, converted_stat * 2, IF(bbgm_stat &gt;= perc_85, converted_stat * 1.5, converted_stat)))))</f>
        <v/>
      </c>
      <c r="L738" s="30" t="str">
        <f t="array" ref="L738">IF($A738="", "", LET(bbgm_stat, INDEX(Players!$A737:$P737, MATCH(L$2, Players!$A$1:$P$1, 0)), perc_75, VLOOKUP(L$2, Percentiles!$A$45:$I$59, 6, FALSE), perc_90, VLOOKUP(L$2, Percentiles!$A$45:$I$59, 7, FALSE), perc_95, VLOOKUP(L$2, Percentiles!$A$45:$I$59, 8, FALSE), perc_85, perc_75 + (perc_90 - perc_75) * (2/3), converted_stat, '2K_Ratings'!L738, IF(bbgm_stat &gt;= perc_95, converted_stat * 3, IF(bbgm_stat &gt;= perc_90, converted_stat * 2, IF(bbgm_stat &gt;= perc_85, converted_stat * 1.5, converted_stat)))))</f>
        <v/>
      </c>
      <c r="M738" s="30" t="str">
        <f t="array" ref="M738">IF($A738="", "", LET(bbgm_stat, INDEX(Players!$A737:$P737, MATCH(M$2, Players!$A$1:$P$1, 0)), perc_75, VLOOKUP(M$2, Percentiles!$A$45:$I$59, 6, FALSE), perc_90, VLOOKUP(M$2, Percentiles!$A$45:$I$59, 7, FALSE), perc_95, VLOOKUP(M$2, Percentiles!$A$45:$I$59, 8, FALSE), perc_85, perc_75 + (perc_90 - perc_75) * (2/3), converted_stat, '2K_Ratings'!M738, IF(bbgm_stat &gt;= perc_95, converted_stat * 3, IF(bbgm_stat &gt;= perc_90, converted_stat * 2, IF(bbgm_stat &gt;= perc_85, converted_stat * 1.5, converted_stat)))))</f>
        <v/>
      </c>
      <c r="N738" s="30" t="str">
        <f t="array" ref="N738">IF($A738="", "", LET(bbgm_stat, INDEX(Players!$A737:$P737, MATCH(N$2, Players!$A$1:$P$1, 0)), perc_75, VLOOKUP(N$2, Percentiles!$A$45:$I$59, 6, FALSE), perc_90, VLOOKUP(N$2, Percentiles!$A$45:$I$59, 7, FALSE), perc_95, VLOOKUP(N$2, Percentiles!$A$45:$I$59, 8, FALSE), perc_85, perc_75 + (perc_90 - perc_75) * (2/3), converted_stat, '2K_Ratings'!N738, IF(bbgm_stat &gt;= perc_95, converted_stat * 3, IF(bbgm_stat &gt;= perc_90, converted_stat * 2, IF(bbgm_stat &gt;= perc_85, converted_stat * 1.5, converted_stat)))))</f>
        <v/>
      </c>
      <c r="O738" s="30" t="str">
        <f t="array" ref="O738">IF($A738="", "", LET(bbgm_stat, INDEX(Players!$A737:$P737, MATCH(O$2, Players!$A$1:$P$1, 0)), perc_75, VLOOKUP(O$2, Percentiles!$A$45:$I$59, 6, FALSE), perc_90, VLOOKUP(O$2, Percentiles!$A$45:$I$59, 7, FALSE), perc_95, VLOOKUP(O$2, Percentiles!$A$45:$I$59, 8, FALSE), perc_85, perc_75 + (perc_90 - perc_75) * (2/3), converted_stat, '2K_Ratings'!O738, IF(bbgm_stat &gt;= perc_95, converted_stat * 3, IF(bbgm_stat &gt;= perc_90, converted_stat * 2, IF(bbgm_stat &gt;= perc_85, converted_stat * 1.5, converted_stat)))))</f>
        <v/>
      </c>
      <c r="P738" s="30" t="str">
        <f t="array" ref="P738">IF($A738="", "", LET(bbgm_stat, INDEX(Players!$A737:$P737, MATCH(P$2, Players!$A$1:$P$1, 0)), perc_75, VLOOKUP(P$2, Percentiles!$A$45:$I$59, 6, FALSE), perc_90, VLOOKUP(P$2, Percentiles!$A$45:$I$59, 7, FALSE), perc_95, VLOOKUP(P$2, Percentiles!$A$45:$I$59, 8, FALSE), perc_85, perc_75 + (perc_90 - perc_75) * (2/3), converted_stat, '2K_Ratings'!P738, IF(bbgm_stat &gt;= perc_95, converted_stat * 3, IF(bbgm_stat &gt;= perc_90, converted_stat * 2, IF(bbgm_stat &gt;= perc_85, converted_stat * 1.5, converted_stat)))))</f>
        <v/>
      </c>
      <c r="Q738" s="30" t="str">
        <f t="array" ref="Q738">IF($A738="", "", LET(bbgm_stat, INDEX(Players!$A737:$P737, MATCH(Q$2, Players!$A$1:$P$1, 0)), perc_75, VLOOKUP(Q$2, Percentiles!$A$45:$I$59, 6, FALSE), perc_90, VLOOKUP(Q$2, Percentiles!$A$45:$I$59, 7, FALSE), perc_95, VLOOKUP(Q$2, Percentiles!$A$45:$I$59, 8, FALSE), perc_85, perc_75 + (perc_90 - perc_75) * (2/3), converted_stat, '2K_Ratings'!Q738, IF(bbgm_stat &gt;= perc_95, converted_stat * 3, IF(bbgm_stat &gt;= perc_90, converted_stat * 2, IF(bbgm_stat &gt;= perc_85, converted_stat * 1.5, converted_stat)))))</f>
        <v/>
      </c>
      <c r="R738" s="30" t="str">
        <f t="array" ref="R738">IF($A738="", "", LET(bbgm_stat, INDEX(Players!$A737:$P737, MATCH(R$2, Players!$A$1:$P$1, 0)), perc_75, VLOOKUP(R$2, Percentiles!$A$45:$I$59, 6, FALSE), perc_90, VLOOKUP(R$2, Percentiles!$A$45:$I$59, 7, FALSE), perc_95, VLOOKUP(R$2, Percentiles!$A$45:$I$59, 8, FALSE), perc_85, perc_75 + (perc_90 - perc_75) * (2/3), converted_stat, '2K_Ratings'!R738, IF(bbgm_stat &gt;= perc_95, converted_stat * 3, IF(bbgm_stat &gt;= perc_90, converted_stat * 2, IF(bbgm_stat &gt;= perc_85, converted_stat * 1.5, converted_stat)))))</f>
        <v/>
      </c>
      <c r="S738" s="30" t="str">
        <f t="array" ref="S738">IF($A738="", "", LET(bbgm_stat, INDEX(Players!$A737:$P737, MATCH(S$2, Players!$A$1:$P$1, 0)), perc_75, VLOOKUP(S$2, Percentiles!$A$45:$I$59, 6, FALSE), perc_90, VLOOKUP(S$2, Percentiles!$A$45:$I$59, 7, FALSE), perc_95, VLOOKUP(S$2, Percentiles!$A$45:$I$59, 8, FALSE), perc_85, perc_75 + (perc_90 - perc_75) * (2/3), converted_stat, '2K_Ratings'!S738, IF(bbgm_stat &gt;= perc_95, converted_stat * 3, IF(bbgm_stat &gt;= perc_90, converted_stat * 2, IF(bbgm_stat &gt;= perc_85, converted_stat * 1.5, converted_stat)))))</f>
        <v/>
      </c>
      <c r="T738" s="30" t="str">
        <f t="array" ref="T738">IF($A738="", "", LET(bbgm_stat, INDEX(Players!$A737:$P737, MATCH(T$2, Players!$A$1:$P$1, 0)), perc_75, VLOOKUP(T$2, Percentiles!$A$45:$I$59, 6, FALSE), perc_90, VLOOKUP(T$2, Percentiles!$A$45:$I$59, 7, FALSE), perc_95, VLOOKUP(T$2, Percentiles!$A$45:$I$59, 8, FALSE), perc_85, perc_75 + (perc_90 - perc_75) * (2/3), converted_stat, '2K_Ratings'!T738, IF(bbgm_stat &gt;= perc_95, converted_stat * 3, IF(bbgm_stat &gt;= perc_90, converted_stat * 2, IF(bbgm_stat &gt;= perc_85, converted_stat * 1.5, converted_stat)))))</f>
        <v/>
      </c>
      <c r="U738" s="30" t="str">
        <f t="array" ref="U738">IF($A738="", "", LET(bbgm_stat, INDEX(Players!$A737:$P737, MATCH(U$2, Players!$A$1:$P$1, 0)), perc_75, VLOOKUP(U$2, Percentiles!$A$45:$I$59, 6, FALSE), perc_90, VLOOKUP(U$2, Percentiles!$A$45:$I$59, 7, FALSE), perc_95, VLOOKUP(U$2, Percentiles!$A$45:$I$59, 8, FALSE), perc_85, perc_75 + (perc_90 - perc_75) * (2/3), converted_stat, '2K_Ratings'!U738, IF(bbgm_stat &gt;= perc_95, converted_stat * 3, IF(bbgm_stat &gt;= perc_90, converted_stat * 2, IF(bbgm_stat &gt;= perc_85, converted_stat * 1.5, converted_stat)))))</f>
        <v/>
      </c>
      <c r="V738" s="30" t="str">
        <f t="array" ref="V738">IF($A738="", "", LET(bbgm_stat, INDEX(Players!$A737:$P737, MATCH(V$2, Players!$A$1:$P$1, 0)), perc_75, VLOOKUP(V$2, Percentiles!$A$45:$I$59, 6, FALSE), perc_90, VLOOKUP(V$2, Percentiles!$A$45:$I$59, 7, FALSE), perc_95, VLOOKUP(V$2, Percentiles!$A$45:$I$59, 8, FALSE), perc_85, perc_75 + (perc_90 - perc_75) * (2/3), converted_stat, '2K_Ratings'!V738, IF(bbgm_stat &gt;= perc_95, converted_stat * 3, IF(bbgm_stat &gt;= perc_90, converted_stat * 2, IF(bbgm_stat &gt;= perc_85, converted_stat * 1.5, converted_stat)))))</f>
        <v/>
      </c>
      <c r="W738" s="30" t="str">
        <f t="array" ref="W738">IF($A738="", "", LET(bbgm_stat, INDEX(Players!$A737:$P737, MATCH(W$2, Players!$A$1:$P$1, 0)), perc_75, VLOOKUP(W$2, Percentiles!$A$45:$I$59, 6, FALSE), perc_90, VLOOKUP(W$2, Percentiles!$A$45:$I$59, 7, FALSE), perc_95, VLOOKUP(W$2, Percentiles!$A$45:$I$59, 8, FALSE), perc_85, perc_75 + (perc_90 - perc_75) * (2/3), converted_stat, '2K_Ratings'!W738, IF(bbgm_stat &gt;= perc_95, converted_stat * 3, IF(bbgm_stat &gt;= perc_90, converted_stat * 2, IF(bbgm_stat &gt;= perc_85, converted_stat * 1.5, converted_stat)))))</f>
        <v/>
      </c>
    </row>
    <row r="739">
      <c r="A739" s="30"/>
      <c r="B739" s="30" t="str">
        <f t="array" ref="B739">IF($A739="", "", LET(bbgm_stat, INDEX(Players!$A738:$P738, MATCH(B$2, Players!$A$1:$P$1, 0)), perc_75, VLOOKUP(B$2, Percentiles!$A$45:$I$59, 6, FALSE), perc_90, VLOOKUP(B$2, Percentiles!$A$45:$I$59, 7, FALSE), perc_95, VLOOKUP(B$2, Percentiles!$A$45:$I$59, 8, FALSE), perc_85, perc_75 + (perc_90 - perc_75) * (2/3), converted_stat, '2K_Ratings'!B739, IF(bbgm_stat &gt;= perc_95, converted_stat * 3, IF(bbgm_stat &gt;= perc_90, converted_stat * 2, IF(bbgm_stat &gt;= perc_85, converted_stat * 1.5, converted_stat)))))</f>
        <v/>
      </c>
      <c r="C739" s="30" t="str">
        <f t="array" ref="C739">IF($A739="", "", LET(bbgm_stat, INDEX(Players!$A738:$P738, MATCH(C$2, Players!$A$1:$P$1, 0)), perc_75, VLOOKUP(C$2, Percentiles!$A$45:$I$59, 6, FALSE), perc_90, VLOOKUP(C$2, Percentiles!$A$45:$I$59, 7, FALSE), perc_95, VLOOKUP(C$2, Percentiles!$A$45:$I$59, 8, FALSE), perc_85, perc_75 + (perc_90 - perc_75) * (2/3), converted_stat, '2K_Ratings'!C739, IF(bbgm_stat &gt;= perc_95, converted_stat * 3, IF(bbgm_stat &gt;= perc_90, converted_stat * 2, IF(bbgm_stat &gt;= perc_85, converted_stat * 1.5, converted_stat)))))</f>
        <v/>
      </c>
      <c r="D739" s="30" t="str">
        <f t="array" ref="D739">IF($A739="", "", LET(bbgm_stat, INDEX(Players!$A738:$P738, MATCH(D$2, Players!$A$1:$P$1, 0)), perc_75, VLOOKUP(D$2, Percentiles!$A$45:$I$59, 6, FALSE), perc_90, VLOOKUP(D$2, Percentiles!$A$45:$I$59, 7, FALSE), perc_95, VLOOKUP(D$2, Percentiles!$A$45:$I$59, 8, FALSE), perc_85, perc_75 + (perc_90 - perc_75) * (2/3), converted_stat, '2K_Ratings'!D739, IF(bbgm_stat &gt;= perc_95, converted_stat * 3, IF(bbgm_stat &gt;= perc_90, converted_stat * 2, IF(bbgm_stat &gt;= perc_85, converted_stat * 1.5, converted_stat)))))</f>
        <v/>
      </c>
      <c r="E739" s="30" t="str">
        <f t="array" ref="E739">IF($A739="", "", LET(bbgm_stat, INDEX(Players!$A738:$P738, MATCH(E$2, Players!$A$1:$P$1, 0)), perc_75, VLOOKUP(E$2, Percentiles!$A$45:$I$59, 6, FALSE), perc_90, VLOOKUP(E$2, Percentiles!$A$45:$I$59, 7, FALSE), perc_95, VLOOKUP(E$2, Percentiles!$A$45:$I$59, 8, FALSE), perc_85, perc_75 + (perc_90 - perc_75) * (2/3), converted_stat, '2K_Ratings'!E739, IF(bbgm_stat &gt;= perc_95, converted_stat * 3, IF(bbgm_stat &gt;= perc_90, converted_stat * 2, IF(bbgm_stat &gt;= perc_85, converted_stat * 1.5, converted_stat)))))</f>
        <v/>
      </c>
      <c r="F739" s="30" t="str">
        <f t="array" ref="F739">IF($A739="", "", LET(bbgm_stat, INDEX(Players!$A738:$P738, MATCH(F$2, Players!$A$1:$P$1, 0)), perc_75, VLOOKUP(F$2, Percentiles!$A$45:$I$59, 6, FALSE), perc_90, VLOOKUP(F$2, Percentiles!$A$45:$I$59, 7, FALSE), perc_95, VLOOKUP(F$2, Percentiles!$A$45:$I$59, 8, FALSE), perc_85, perc_75 + (perc_90 - perc_75) * (2/3), converted_stat, '2K_Ratings'!F739, IF(bbgm_stat &gt;= perc_95, converted_stat * 3, IF(bbgm_stat &gt;= perc_90, converted_stat * 2, IF(bbgm_stat &gt;= perc_85, converted_stat * 1.5, converted_stat)))))</f>
        <v/>
      </c>
      <c r="G739" s="30" t="str">
        <f t="array" ref="G739">IF($A739="", "", LET(bbgm_stat, INDEX(Players!$A738:$P738, MATCH(G$2, Players!$A$1:$P$1, 0)), perc_75, VLOOKUP(G$2, Percentiles!$A$45:$I$59, 6, FALSE), perc_90, VLOOKUP(G$2, Percentiles!$A$45:$I$59, 7, FALSE), perc_95, VLOOKUP(G$2, Percentiles!$A$45:$I$59, 8, FALSE), perc_85, perc_75 + (perc_90 - perc_75) * (2/3), converted_stat, '2K_Ratings'!G739, IF(bbgm_stat &gt;= perc_95, converted_stat * 3, IF(bbgm_stat &gt;= perc_90, converted_stat * 2, IF(bbgm_stat &gt;= perc_85, converted_stat * 1.5, converted_stat)))))</f>
        <v/>
      </c>
      <c r="H739" s="30" t="str">
        <f t="array" ref="H739">IF($A739="", "", LET(bbgm_stat, INDEX(Players!$A738:$P738, MATCH(H$2, Players!$A$1:$P$1, 0)), perc_75, VLOOKUP(H$2, Percentiles!$A$45:$I$59, 6, FALSE), perc_90, VLOOKUP(H$2, Percentiles!$A$45:$I$59, 7, FALSE), perc_95, VLOOKUP(H$2, Percentiles!$A$45:$I$59, 8, FALSE), perc_85, perc_75 + (perc_90 - perc_75) * (2/3), converted_stat, '2K_Ratings'!H739, IF(bbgm_stat &gt;= perc_95, converted_stat * 3, IF(bbgm_stat &gt;= perc_90, converted_stat * 2, IF(bbgm_stat &gt;= perc_85, converted_stat * 1.5, converted_stat)))))</f>
        <v/>
      </c>
      <c r="I739" s="30" t="str">
        <f t="array" ref="I739">IF($A739="", "", LET(bbgm_stat, INDEX(Players!$A738:$P738, MATCH(I$2, Players!$A$1:$P$1, 0)), perc_75, VLOOKUP(I$2, Percentiles!$A$45:$I$59, 6, FALSE), perc_90, VLOOKUP(I$2, Percentiles!$A$45:$I$59, 7, FALSE), perc_95, VLOOKUP(I$2, Percentiles!$A$45:$I$59, 8, FALSE), perc_85, perc_75 + (perc_90 - perc_75) * (2/3), converted_stat, '2K_Ratings'!I739, IF(bbgm_stat &gt;= perc_95, converted_stat * 3, IF(bbgm_stat &gt;= perc_90, converted_stat * 2, IF(bbgm_stat &gt;= perc_85, converted_stat * 1.5, converted_stat)))))</f>
        <v/>
      </c>
      <c r="J739" s="30" t="str">
        <f t="array" ref="J739">IF($A739="", "", LET(bbgm_stat, INDEX(Players!$A738:$P738, MATCH(J$2, Players!$A$1:$P$1, 0)), perc_75, VLOOKUP(J$2, Percentiles!$A$45:$I$59, 6, FALSE), perc_90, VLOOKUP(J$2, Percentiles!$A$45:$I$59, 7, FALSE), perc_95, VLOOKUP(J$2, Percentiles!$A$45:$I$59, 8, FALSE), perc_85, perc_75 + (perc_90 - perc_75) * (2/3), converted_stat, '2K_Ratings'!J739, IF(bbgm_stat &gt;= perc_95, converted_stat * 3, IF(bbgm_stat &gt;= perc_90, converted_stat * 2, IF(bbgm_stat &gt;= perc_85, converted_stat * 1.5, converted_stat)))))</f>
        <v/>
      </c>
      <c r="K739" s="30" t="str">
        <f t="array" ref="K739">IF($A739="", "", LET(bbgm_stat, INDEX(Players!$A738:$P738, MATCH(K$2, Players!$A$1:$P$1, 0)), perc_75, VLOOKUP(K$2, Percentiles!$A$45:$I$59, 6, FALSE), perc_90, VLOOKUP(K$2, Percentiles!$A$45:$I$59, 7, FALSE), perc_95, VLOOKUP(K$2, Percentiles!$A$45:$I$59, 8, FALSE), perc_85, perc_75 + (perc_90 - perc_75) * (2/3), converted_stat, '2K_Ratings'!K739, IF(bbgm_stat &gt;= perc_95, converted_stat * 3, IF(bbgm_stat &gt;= perc_90, converted_stat * 2, IF(bbgm_stat &gt;= perc_85, converted_stat * 1.5, converted_stat)))))</f>
        <v/>
      </c>
      <c r="L739" s="30" t="str">
        <f t="array" ref="L739">IF($A739="", "", LET(bbgm_stat, INDEX(Players!$A738:$P738, MATCH(L$2, Players!$A$1:$P$1, 0)), perc_75, VLOOKUP(L$2, Percentiles!$A$45:$I$59, 6, FALSE), perc_90, VLOOKUP(L$2, Percentiles!$A$45:$I$59, 7, FALSE), perc_95, VLOOKUP(L$2, Percentiles!$A$45:$I$59, 8, FALSE), perc_85, perc_75 + (perc_90 - perc_75) * (2/3), converted_stat, '2K_Ratings'!L739, IF(bbgm_stat &gt;= perc_95, converted_stat * 3, IF(bbgm_stat &gt;= perc_90, converted_stat * 2, IF(bbgm_stat &gt;= perc_85, converted_stat * 1.5, converted_stat)))))</f>
        <v/>
      </c>
      <c r="M739" s="30" t="str">
        <f t="array" ref="M739">IF($A739="", "", LET(bbgm_stat, INDEX(Players!$A738:$P738, MATCH(M$2, Players!$A$1:$P$1, 0)), perc_75, VLOOKUP(M$2, Percentiles!$A$45:$I$59, 6, FALSE), perc_90, VLOOKUP(M$2, Percentiles!$A$45:$I$59, 7, FALSE), perc_95, VLOOKUP(M$2, Percentiles!$A$45:$I$59, 8, FALSE), perc_85, perc_75 + (perc_90 - perc_75) * (2/3), converted_stat, '2K_Ratings'!M739, IF(bbgm_stat &gt;= perc_95, converted_stat * 3, IF(bbgm_stat &gt;= perc_90, converted_stat * 2, IF(bbgm_stat &gt;= perc_85, converted_stat * 1.5, converted_stat)))))</f>
        <v/>
      </c>
      <c r="N739" s="30" t="str">
        <f t="array" ref="N739">IF($A739="", "", LET(bbgm_stat, INDEX(Players!$A738:$P738, MATCH(N$2, Players!$A$1:$P$1, 0)), perc_75, VLOOKUP(N$2, Percentiles!$A$45:$I$59, 6, FALSE), perc_90, VLOOKUP(N$2, Percentiles!$A$45:$I$59, 7, FALSE), perc_95, VLOOKUP(N$2, Percentiles!$A$45:$I$59, 8, FALSE), perc_85, perc_75 + (perc_90 - perc_75) * (2/3), converted_stat, '2K_Ratings'!N739, IF(bbgm_stat &gt;= perc_95, converted_stat * 3, IF(bbgm_stat &gt;= perc_90, converted_stat * 2, IF(bbgm_stat &gt;= perc_85, converted_stat * 1.5, converted_stat)))))</f>
        <v/>
      </c>
      <c r="O739" s="30" t="str">
        <f t="array" ref="O739">IF($A739="", "", LET(bbgm_stat, INDEX(Players!$A738:$P738, MATCH(O$2, Players!$A$1:$P$1, 0)), perc_75, VLOOKUP(O$2, Percentiles!$A$45:$I$59, 6, FALSE), perc_90, VLOOKUP(O$2, Percentiles!$A$45:$I$59, 7, FALSE), perc_95, VLOOKUP(O$2, Percentiles!$A$45:$I$59, 8, FALSE), perc_85, perc_75 + (perc_90 - perc_75) * (2/3), converted_stat, '2K_Ratings'!O739, IF(bbgm_stat &gt;= perc_95, converted_stat * 3, IF(bbgm_stat &gt;= perc_90, converted_stat * 2, IF(bbgm_stat &gt;= perc_85, converted_stat * 1.5, converted_stat)))))</f>
        <v/>
      </c>
      <c r="P739" s="30" t="str">
        <f t="array" ref="P739">IF($A739="", "", LET(bbgm_stat, INDEX(Players!$A738:$P738, MATCH(P$2, Players!$A$1:$P$1, 0)), perc_75, VLOOKUP(P$2, Percentiles!$A$45:$I$59, 6, FALSE), perc_90, VLOOKUP(P$2, Percentiles!$A$45:$I$59, 7, FALSE), perc_95, VLOOKUP(P$2, Percentiles!$A$45:$I$59, 8, FALSE), perc_85, perc_75 + (perc_90 - perc_75) * (2/3), converted_stat, '2K_Ratings'!P739, IF(bbgm_stat &gt;= perc_95, converted_stat * 3, IF(bbgm_stat &gt;= perc_90, converted_stat * 2, IF(bbgm_stat &gt;= perc_85, converted_stat * 1.5, converted_stat)))))</f>
        <v/>
      </c>
      <c r="Q739" s="30" t="str">
        <f t="array" ref="Q739">IF($A739="", "", LET(bbgm_stat, INDEX(Players!$A738:$P738, MATCH(Q$2, Players!$A$1:$P$1, 0)), perc_75, VLOOKUP(Q$2, Percentiles!$A$45:$I$59, 6, FALSE), perc_90, VLOOKUP(Q$2, Percentiles!$A$45:$I$59, 7, FALSE), perc_95, VLOOKUP(Q$2, Percentiles!$A$45:$I$59, 8, FALSE), perc_85, perc_75 + (perc_90 - perc_75) * (2/3), converted_stat, '2K_Ratings'!Q739, IF(bbgm_stat &gt;= perc_95, converted_stat * 3, IF(bbgm_stat &gt;= perc_90, converted_stat * 2, IF(bbgm_stat &gt;= perc_85, converted_stat * 1.5, converted_stat)))))</f>
        <v/>
      </c>
      <c r="R739" s="30" t="str">
        <f t="array" ref="R739">IF($A739="", "", LET(bbgm_stat, INDEX(Players!$A738:$P738, MATCH(R$2, Players!$A$1:$P$1, 0)), perc_75, VLOOKUP(R$2, Percentiles!$A$45:$I$59, 6, FALSE), perc_90, VLOOKUP(R$2, Percentiles!$A$45:$I$59, 7, FALSE), perc_95, VLOOKUP(R$2, Percentiles!$A$45:$I$59, 8, FALSE), perc_85, perc_75 + (perc_90 - perc_75) * (2/3), converted_stat, '2K_Ratings'!R739, IF(bbgm_stat &gt;= perc_95, converted_stat * 3, IF(bbgm_stat &gt;= perc_90, converted_stat * 2, IF(bbgm_stat &gt;= perc_85, converted_stat * 1.5, converted_stat)))))</f>
        <v/>
      </c>
      <c r="S739" s="30" t="str">
        <f t="array" ref="S739">IF($A739="", "", LET(bbgm_stat, INDEX(Players!$A738:$P738, MATCH(S$2, Players!$A$1:$P$1, 0)), perc_75, VLOOKUP(S$2, Percentiles!$A$45:$I$59, 6, FALSE), perc_90, VLOOKUP(S$2, Percentiles!$A$45:$I$59, 7, FALSE), perc_95, VLOOKUP(S$2, Percentiles!$A$45:$I$59, 8, FALSE), perc_85, perc_75 + (perc_90 - perc_75) * (2/3), converted_stat, '2K_Ratings'!S739, IF(bbgm_stat &gt;= perc_95, converted_stat * 3, IF(bbgm_stat &gt;= perc_90, converted_stat * 2, IF(bbgm_stat &gt;= perc_85, converted_stat * 1.5, converted_stat)))))</f>
        <v/>
      </c>
      <c r="T739" s="30" t="str">
        <f t="array" ref="T739">IF($A739="", "", LET(bbgm_stat, INDEX(Players!$A738:$P738, MATCH(T$2, Players!$A$1:$P$1, 0)), perc_75, VLOOKUP(T$2, Percentiles!$A$45:$I$59, 6, FALSE), perc_90, VLOOKUP(T$2, Percentiles!$A$45:$I$59, 7, FALSE), perc_95, VLOOKUP(T$2, Percentiles!$A$45:$I$59, 8, FALSE), perc_85, perc_75 + (perc_90 - perc_75) * (2/3), converted_stat, '2K_Ratings'!T739, IF(bbgm_stat &gt;= perc_95, converted_stat * 3, IF(bbgm_stat &gt;= perc_90, converted_stat * 2, IF(bbgm_stat &gt;= perc_85, converted_stat * 1.5, converted_stat)))))</f>
        <v/>
      </c>
      <c r="U739" s="30" t="str">
        <f t="array" ref="U739">IF($A739="", "", LET(bbgm_stat, INDEX(Players!$A738:$P738, MATCH(U$2, Players!$A$1:$P$1, 0)), perc_75, VLOOKUP(U$2, Percentiles!$A$45:$I$59, 6, FALSE), perc_90, VLOOKUP(U$2, Percentiles!$A$45:$I$59, 7, FALSE), perc_95, VLOOKUP(U$2, Percentiles!$A$45:$I$59, 8, FALSE), perc_85, perc_75 + (perc_90 - perc_75) * (2/3), converted_stat, '2K_Ratings'!U739, IF(bbgm_stat &gt;= perc_95, converted_stat * 3, IF(bbgm_stat &gt;= perc_90, converted_stat * 2, IF(bbgm_stat &gt;= perc_85, converted_stat * 1.5, converted_stat)))))</f>
        <v/>
      </c>
      <c r="V739" s="30" t="str">
        <f t="array" ref="V739">IF($A739="", "", LET(bbgm_stat, INDEX(Players!$A738:$P738, MATCH(V$2, Players!$A$1:$P$1, 0)), perc_75, VLOOKUP(V$2, Percentiles!$A$45:$I$59, 6, FALSE), perc_90, VLOOKUP(V$2, Percentiles!$A$45:$I$59, 7, FALSE), perc_95, VLOOKUP(V$2, Percentiles!$A$45:$I$59, 8, FALSE), perc_85, perc_75 + (perc_90 - perc_75) * (2/3), converted_stat, '2K_Ratings'!V739, IF(bbgm_stat &gt;= perc_95, converted_stat * 3, IF(bbgm_stat &gt;= perc_90, converted_stat * 2, IF(bbgm_stat &gt;= perc_85, converted_stat * 1.5, converted_stat)))))</f>
        <v/>
      </c>
      <c r="W739" s="30" t="str">
        <f t="array" ref="W739">IF($A739="", "", LET(bbgm_stat, INDEX(Players!$A738:$P738, MATCH(W$2, Players!$A$1:$P$1, 0)), perc_75, VLOOKUP(W$2, Percentiles!$A$45:$I$59, 6, FALSE), perc_90, VLOOKUP(W$2, Percentiles!$A$45:$I$59, 7, FALSE), perc_95, VLOOKUP(W$2, Percentiles!$A$45:$I$59, 8, FALSE), perc_85, perc_75 + (perc_90 - perc_75) * (2/3), converted_stat, '2K_Ratings'!W739, IF(bbgm_stat &gt;= perc_95, converted_stat * 3, IF(bbgm_stat &gt;= perc_90, converted_stat * 2, IF(bbgm_stat &gt;= perc_85, converted_stat * 1.5, converted_stat)))))</f>
        <v/>
      </c>
    </row>
    <row r="740">
      <c r="A740" s="30"/>
      <c r="B740" s="30" t="str">
        <f t="array" ref="B740">IF($A740="", "", LET(bbgm_stat, INDEX(Players!$A739:$P739, MATCH(B$2, Players!$A$1:$P$1, 0)), perc_75, VLOOKUP(B$2, Percentiles!$A$45:$I$59, 6, FALSE), perc_90, VLOOKUP(B$2, Percentiles!$A$45:$I$59, 7, FALSE), perc_95, VLOOKUP(B$2, Percentiles!$A$45:$I$59, 8, FALSE), perc_85, perc_75 + (perc_90 - perc_75) * (2/3), converted_stat, '2K_Ratings'!B740, IF(bbgm_stat &gt;= perc_95, converted_stat * 3, IF(bbgm_stat &gt;= perc_90, converted_stat * 2, IF(bbgm_stat &gt;= perc_85, converted_stat * 1.5, converted_stat)))))</f>
        <v/>
      </c>
      <c r="C740" s="30" t="str">
        <f t="array" ref="C740">IF($A740="", "", LET(bbgm_stat, INDEX(Players!$A739:$P739, MATCH(C$2, Players!$A$1:$P$1, 0)), perc_75, VLOOKUP(C$2, Percentiles!$A$45:$I$59, 6, FALSE), perc_90, VLOOKUP(C$2, Percentiles!$A$45:$I$59, 7, FALSE), perc_95, VLOOKUP(C$2, Percentiles!$A$45:$I$59, 8, FALSE), perc_85, perc_75 + (perc_90 - perc_75) * (2/3), converted_stat, '2K_Ratings'!C740, IF(bbgm_stat &gt;= perc_95, converted_stat * 3, IF(bbgm_stat &gt;= perc_90, converted_stat * 2, IF(bbgm_stat &gt;= perc_85, converted_stat * 1.5, converted_stat)))))</f>
        <v/>
      </c>
      <c r="D740" s="30" t="str">
        <f t="array" ref="D740">IF($A740="", "", LET(bbgm_stat, INDEX(Players!$A739:$P739, MATCH(D$2, Players!$A$1:$P$1, 0)), perc_75, VLOOKUP(D$2, Percentiles!$A$45:$I$59, 6, FALSE), perc_90, VLOOKUP(D$2, Percentiles!$A$45:$I$59, 7, FALSE), perc_95, VLOOKUP(D$2, Percentiles!$A$45:$I$59, 8, FALSE), perc_85, perc_75 + (perc_90 - perc_75) * (2/3), converted_stat, '2K_Ratings'!D740, IF(bbgm_stat &gt;= perc_95, converted_stat * 3, IF(bbgm_stat &gt;= perc_90, converted_stat * 2, IF(bbgm_stat &gt;= perc_85, converted_stat * 1.5, converted_stat)))))</f>
        <v/>
      </c>
      <c r="E740" s="30" t="str">
        <f t="array" ref="E740">IF($A740="", "", LET(bbgm_stat, INDEX(Players!$A739:$P739, MATCH(E$2, Players!$A$1:$P$1, 0)), perc_75, VLOOKUP(E$2, Percentiles!$A$45:$I$59, 6, FALSE), perc_90, VLOOKUP(E$2, Percentiles!$A$45:$I$59, 7, FALSE), perc_95, VLOOKUP(E$2, Percentiles!$A$45:$I$59, 8, FALSE), perc_85, perc_75 + (perc_90 - perc_75) * (2/3), converted_stat, '2K_Ratings'!E740, IF(bbgm_stat &gt;= perc_95, converted_stat * 3, IF(bbgm_stat &gt;= perc_90, converted_stat * 2, IF(bbgm_stat &gt;= perc_85, converted_stat * 1.5, converted_stat)))))</f>
        <v/>
      </c>
      <c r="F740" s="30" t="str">
        <f t="array" ref="F740">IF($A740="", "", LET(bbgm_stat, INDEX(Players!$A739:$P739, MATCH(F$2, Players!$A$1:$P$1, 0)), perc_75, VLOOKUP(F$2, Percentiles!$A$45:$I$59, 6, FALSE), perc_90, VLOOKUP(F$2, Percentiles!$A$45:$I$59, 7, FALSE), perc_95, VLOOKUP(F$2, Percentiles!$A$45:$I$59, 8, FALSE), perc_85, perc_75 + (perc_90 - perc_75) * (2/3), converted_stat, '2K_Ratings'!F740, IF(bbgm_stat &gt;= perc_95, converted_stat * 3, IF(bbgm_stat &gt;= perc_90, converted_stat * 2, IF(bbgm_stat &gt;= perc_85, converted_stat * 1.5, converted_stat)))))</f>
        <v/>
      </c>
      <c r="G740" s="30" t="str">
        <f t="array" ref="G740">IF($A740="", "", LET(bbgm_stat, INDEX(Players!$A739:$P739, MATCH(G$2, Players!$A$1:$P$1, 0)), perc_75, VLOOKUP(G$2, Percentiles!$A$45:$I$59, 6, FALSE), perc_90, VLOOKUP(G$2, Percentiles!$A$45:$I$59, 7, FALSE), perc_95, VLOOKUP(G$2, Percentiles!$A$45:$I$59, 8, FALSE), perc_85, perc_75 + (perc_90 - perc_75) * (2/3), converted_stat, '2K_Ratings'!G740, IF(bbgm_stat &gt;= perc_95, converted_stat * 3, IF(bbgm_stat &gt;= perc_90, converted_stat * 2, IF(bbgm_stat &gt;= perc_85, converted_stat * 1.5, converted_stat)))))</f>
        <v/>
      </c>
      <c r="H740" s="30" t="str">
        <f t="array" ref="H740">IF($A740="", "", LET(bbgm_stat, INDEX(Players!$A739:$P739, MATCH(H$2, Players!$A$1:$P$1, 0)), perc_75, VLOOKUP(H$2, Percentiles!$A$45:$I$59, 6, FALSE), perc_90, VLOOKUP(H$2, Percentiles!$A$45:$I$59, 7, FALSE), perc_95, VLOOKUP(H$2, Percentiles!$A$45:$I$59, 8, FALSE), perc_85, perc_75 + (perc_90 - perc_75) * (2/3), converted_stat, '2K_Ratings'!H740, IF(bbgm_stat &gt;= perc_95, converted_stat * 3, IF(bbgm_stat &gt;= perc_90, converted_stat * 2, IF(bbgm_stat &gt;= perc_85, converted_stat * 1.5, converted_stat)))))</f>
        <v/>
      </c>
      <c r="I740" s="30" t="str">
        <f t="array" ref="I740">IF($A740="", "", LET(bbgm_stat, INDEX(Players!$A739:$P739, MATCH(I$2, Players!$A$1:$P$1, 0)), perc_75, VLOOKUP(I$2, Percentiles!$A$45:$I$59, 6, FALSE), perc_90, VLOOKUP(I$2, Percentiles!$A$45:$I$59, 7, FALSE), perc_95, VLOOKUP(I$2, Percentiles!$A$45:$I$59, 8, FALSE), perc_85, perc_75 + (perc_90 - perc_75) * (2/3), converted_stat, '2K_Ratings'!I740, IF(bbgm_stat &gt;= perc_95, converted_stat * 3, IF(bbgm_stat &gt;= perc_90, converted_stat * 2, IF(bbgm_stat &gt;= perc_85, converted_stat * 1.5, converted_stat)))))</f>
        <v/>
      </c>
      <c r="J740" s="30" t="str">
        <f t="array" ref="J740">IF($A740="", "", LET(bbgm_stat, INDEX(Players!$A739:$P739, MATCH(J$2, Players!$A$1:$P$1, 0)), perc_75, VLOOKUP(J$2, Percentiles!$A$45:$I$59, 6, FALSE), perc_90, VLOOKUP(J$2, Percentiles!$A$45:$I$59, 7, FALSE), perc_95, VLOOKUP(J$2, Percentiles!$A$45:$I$59, 8, FALSE), perc_85, perc_75 + (perc_90 - perc_75) * (2/3), converted_stat, '2K_Ratings'!J740, IF(bbgm_stat &gt;= perc_95, converted_stat * 3, IF(bbgm_stat &gt;= perc_90, converted_stat * 2, IF(bbgm_stat &gt;= perc_85, converted_stat * 1.5, converted_stat)))))</f>
        <v/>
      </c>
      <c r="K740" s="30" t="str">
        <f t="array" ref="K740">IF($A740="", "", LET(bbgm_stat, INDEX(Players!$A739:$P739, MATCH(K$2, Players!$A$1:$P$1, 0)), perc_75, VLOOKUP(K$2, Percentiles!$A$45:$I$59, 6, FALSE), perc_90, VLOOKUP(K$2, Percentiles!$A$45:$I$59, 7, FALSE), perc_95, VLOOKUP(K$2, Percentiles!$A$45:$I$59, 8, FALSE), perc_85, perc_75 + (perc_90 - perc_75) * (2/3), converted_stat, '2K_Ratings'!K740, IF(bbgm_stat &gt;= perc_95, converted_stat * 3, IF(bbgm_stat &gt;= perc_90, converted_stat * 2, IF(bbgm_stat &gt;= perc_85, converted_stat * 1.5, converted_stat)))))</f>
        <v/>
      </c>
      <c r="L740" s="30" t="str">
        <f t="array" ref="L740">IF($A740="", "", LET(bbgm_stat, INDEX(Players!$A739:$P739, MATCH(L$2, Players!$A$1:$P$1, 0)), perc_75, VLOOKUP(L$2, Percentiles!$A$45:$I$59, 6, FALSE), perc_90, VLOOKUP(L$2, Percentiles!$A$45:$I$59, 7, FALSE), perc_95, VLOOKUP(L$2, Percentiles!$A$45:$I$59, 8, FALSE), perc_85, perc_75 + (perc_90 - perc_75) * (2/3), converted_stat, '2K_Ratings'!L740, IF(bbgm_stat &gt;= perc_95, converted_stat * 3, IF(bbgm_stat &gt;= perc_90, converted_stat * 2, IF(bbgm_stat &gt;= perc_85, converted_stat * 1.5, converted_stat)))))</f>
        <v/>
      </c>
      <c r="M740" s="30" t="str">
        <f t="array" ref="M740">IF($A740="", "", LET(bbgm_stat, INDEX(Players!$A739:$P739, MATCH(M$2, Players!$A$1:$P$1, 0)), perc_75, VLOOKUP(M$2, Percentiles!$A$45:$I$59, 6, FALSE), perc_90, VLOOKUP(M$2, Percentiles!$A$45:$I$59, 7, FALSE), perc_95, VLOOKUP(M$2, Percentiles!$A$45:$I$59, 8, FALSE), perc_85, perc_75 + (perc_90 - perc_75) * (2/3), converted_stat, '2K_Ratings'!M740, IF(bbgm_stat &gt;= perc_95, converted_stat * 3, IF(bbgm_stat &gt;= perc_90, converted_stat * 2, IF(bbgm_stat &gt;= perc_85, converted_stat * 1.5, converted_stat)))))</f>
        <v/>
      </c>
      <c r="N740" s="30" t="str">
        <f t="array" ref="N740">IF($A740="", "", LET(bbgm_stat, INDEX(Players!$A739:$P739, MATCH(N$2, Players!$A$1:$P$1, 0)), perc_75, VLOOKUP(N$2, Percentiles!$A$45:$I$59, 6, FALSE), perc_90, VLOOKUP(N$2, Percentiles!$A$45:$I$59, 7, FALSE), perc_95, VLOOKUP(N$2, Percentiles!$A$45:$I$59, 8, FALSE), perc_85, perc_75 + (perc_90 - perc_75) * (2/3), converted_stat, '2K_Ratings'!N740, IF(bbgm_stat &gt;= perc_95, converted_stat * 3, IF(bbgm_stat &gt;= perc_90, converted_stat * 2, IF(bbgm_stat &gt;= perc_85, converted_stat * 1.5, converted_stat)))))</f>
        <v/>
      </c>
      <c r="O740" s="30" t="str">
        <f t="array" ref="O740">IF($A740="", "", LET(bbgm_stat, INDEX(Players!$A739:$P739, MATCH(O$2, Players!$A$1:$P$1, 0)), perc_75, VLOOKUP(O$2, Percentiles!$A$45:$I$59, 6, FALSE), perc_90, VLOOKUP(O$2, Percentiles!$A$45:$I$59, 7, FALSE), perc_95, VLOOKUP(O$2, Percentiles!$A$45:$I$59, 8, FALSE), perc_85, perc_75 + (perc_90 - perc_75) * (2/3), converted_stat, '2K_Ratings'!O740, IF(bbgm_stat &gt;= perc_95, converted_stat * 3, IF(bbgm_stat &gt;= perc_90, converted_stat * 2, IF(bbgm_stat &gt;= perc_85, converted_stat * 1.5, converted_stat)))))</f>
        <v/>
      </c>
      <c r="P740" s="30" t="str">
        <f t="array" ref="P740">IF($A740="", "", LET(bbgm_stat, INDEX(Players!$A739:$P739, MATCH(P$2, Players!$A$1:$P$1, 0)), perc_75, VLOOKUP(P$2, Percentiles!$A$45:$I$59, 6, FALSE), perc_90, VLOOKUP(P$2, Percentiles!$A$45:$I$59, 7, FALSE), perc_95, VLOOKUP(P$2, Percentiles!$A$45:$I$59, 8, FALSE), perc_85, perc_75 + (perc_90 - perc_75) * (2/3), converted_stat, '2K_Ratings'!P740, IF(bbgm_stat &gt;= perc_95, converted_stat * 3, IF(bbgm_stat &gt;= perc_90, converted_stat * 2, IF(bbgm_stat &gt;= perc_85, converted_stat * 1.5, converted_stat)))))</f>
        <v/>
      </c>
      <c r="Q740" s="30" t="str">
        <f t="array" ref="Q740">IF($A740="", "", LET(bbgm_stat, INDEX(Players!$A739:$P739, MATCH(Q$2, Players!$A$1:$P$1, 0)), perc_75, VLOOKUP(Q$2, Percentiles!$A$45:$I$59, 6, FALSE), perc_90, VLOOKUP(Q$2, Percentiles!$A$45:$I$59, 7, FALSE), perc_95, VLOOKUP(Q$2, Percentiles!$A$45:$I$59, 8, FALSE), perc_85, perc_75 + (perc_90 - perc_75) * (2/3), converted_stat, '2K_Ratings'!Q740, IF(bbgm_stat &gt;= perc_95, converted_stat * 3, IF(bbgm_stat &gt;= perc_90, converted_stat * 2, IF(bbgm_stat &gt;= perc_85, converted_stat * 1.5, converted_stat)))))</f>
        <v/>
      </c>
      <c r="R740" s="30" t="str">
        <f t="array" ref="R740">IF($A740="", "", LET(bbgm_stat, INDEX(Players!$A739:$P739, MATCH(R$2, Players!$A$1:$P$1, 0)), perc_75, VLOOKUP(R$2, Percentiles!$A$45:$I$59, 6, FALSE), perc_90, VLOOKUP(R$2, Percentiles!$A$45:$I$59, 7, FALSE), perc_95, VLOOKUP(R$2, Percentiles!$A$45:$I$59, 8, FALSE), perc_85, perc_75 + (perc_90 - perc_75) * (2/3), converted_stat, '2K_Ratings'!R740, IF(bbgm_stat &gt;= perc_95, converted_stat * 3, IF(bbgm_stat &gt;= perc_90, converted_stat * 2, IF(bbgm_stat &gt;= perc_85, converted_stat * 1.5, converted_stat)))))</f>
        <v/>
      </c>
      <c r="S740" s="30" t="str">
        <f t="array" ref="S740">IF($A740="", "", LET(bbgm_stat, INDEX(Players!$A739:$P739, MATCH(S$2, Players!$A$1:$P$1, 0)), perc_75, VLOOKUP(S$2, Percentiles!$A$45:$I$59, 6, FALSE), perc_90, VLOOKUP(S$2, Percentiles!$A$45:$I$59, 7, FALSE), perc_95, VLOOKUP(S$2, Percentiles!$A$45:$I$59, 8, FALSE), perc_85, perc_75 + (perc_90 - perc_75) * (2/3), converted_stat, '2K_Ratings'!S740, IF(bbgm_stat &gt;= perc_95, converted_stat * 3, IF(bbgm_stat &gt;= perc_90, converted_stat * 2, IF(bbgm_stat &gt;= perc_85, converted_stat * 1.5, converted_stat)))))</f>
        <v/>
      </c>
      <c r="T740" s="30" t="str">
        <f t="array" ref="T740">IF($A740="", "", LET(bbgm_stat, INDEX(Players!$A739:$P739, MATCH(T$2, Players!$A$1:$P$1, 0)), perc_75, VLOOKUP(T$2, Percentiles!$A$45:$I$59, 6, FALSE), perc_90, VLOOKUP(T$2, Percentiles!$A$45:$I$59, 7, FALSE), perc_95, VLOOKUP(T$2, Percentiles!$A$45:$I$59, 8, FALSE), perc_85, perc_75 + (perc_90 - perc_75) * (2/3), converted_stat, '2K_Ratings'!T740, IF(bbgm_stat &gt;= perc_95, converted_stat * 3, IF(bbgm_stat &gt;= perc_90, converted_stat * 2, IF(bbgm_stat &gt;= perc_85, converted_stat * 1.5, converted_stat)))))</f>
        <v/>
      </c>
      <c r="U740" s="30" t="str">
        <f t="array" ref="U740">IF($A740="", "", LET(bbgm_stat, INDEX(Players!$A739:$P739, MATCH(U$2, Players!$A$1:$P$1, 0)), perc_75, VLOOKUP(U$2, Percentiles!$A$45:$I$59, 6, FALSE), perc_90, VLOOKUP(U$2, Percentiles!$A$45:$I$59, 7, FALSE), perc_95, VLOOKUP(U$2, Percentiles!$A$45:$I$59, 8, FALSE), perc_85, perc_75 + (perc_90 - perc_75) * (2/3), converted_stat, '2K_Ratings'!U740, IF(bbgm_stat &gt;= perc_95, converted_stat * 3, IF(bbgm_stat &gt;= perc_90, converted_stat * 2, IF(bbgm_stat &gt;= perc_85, converted_stat * 1.5, converted_stat)))))</f>
        <v/>
      </c>
      <c r="V740" s="30" t="str">
        <f t="array" ref="V740">IF($A740="", "", LET(bbgm_stat, INDEX(Players!$A739:$P739, MATCH(V$2, Players!$A$1:$P$1, 0)), perc_75, VLOOKUP(V$2, Percentiles!$A$45:$I$59, 6, FALSE), perc_90, VLOOKUP(V$2, Percentiles!$A$45:$I$59, 7, FALSE), perc_95, VLOOKUP(V$2, Percentiles!$A$45:$I$59, 8, FALSE), perc_85, perc_75 + (perc_90 - perc_75) * (2/3), converted_stat, '2K_Ratings'!V740, IF(bbgm_stat &gt;= perc_95, converted_stat * 3, IF(bbgm_stat &gt;= perc_90, converted_stat * 2, IF(bbgm_stat &gt;= perc_85, converted_stat * 1.5, converted_stat)))))</f>
        <v/>
      </c>
      <c r="W740" s="30" t="str">
        <f t="array" ref="W740">IF($A740="", "", LET(bbgm_stat, INDEX(Players!$A739:$P739, MATCH(W$2, Players!$A$1:$P$1, 0)), perc_75, VLOOKUP(W$2, Percentiles!$A$45:$I$59, 6, FALSE), perc_90, VLOOKUP(W$2, Percentiles!$A$45:$I$59, 7, FALSE), perc_95, VLOOKUP(W$2, Percentiles!$A$45:$I$59, 8, FALSE), perc_85, perc_75 + (perc_90 - perc_75) * (2/3), converted_stat, '2K_Ratings'!W740, IF(bbgm_stat &gt;= perc_95, converted_stat * 3, IF(bbgm_stat &gt;= perc_90, converted_stat * 2, IF(bbgm_stat &gt;= perc_85, converted_stat * 1.5, converted_stat)))))</f>
        <v/>
      </c>
    </row>
    <row r="741">
      <c r="A741" s="30"/>
      <c r="B741" s="30" t="str">
        <f t="array" ref="B741">IF($A741="", "", LET(bbgm_stat, INDEX(Players!$A740:$P740, MATCH(B$2, Players!$A$1:$P$1, 0)), perc_75, VLOOKUP(B$2, Percentiles!$A$45:$I$59, 6, FALSE), perc_90, VLOOKUP(B$2, Percentiles!$A$45:$I$59, 7, FALSE), perc_95, VLOOKUP(B$2, Percentiles!$A$45:$I$59, 8, FALSE), perc_85, perc_75 + (perc_90 - perc_75) * (2/3), converted_stat, '2K_Ratings'!B741, IF(bbgm_stat &gt;= perc_95, converted_stat * 3, IF(bbgm_stat &gt;= perc_90, converted_stat * 2, IF(bbgm_stat &gt;= perc_85, converted_stat * 1.5, converted_stat)))))</f>
        <v/>
      </c>
      <c r="C741" s="30" t="str">
        <f t="array" ref="C741">IF($A741="", "", LET(bbgm_stat, INDEX(Players!$A740:$P740, MATCH(C$2, Players!$A$1:$P$1, 0)), perc_75, VLOOKUP(C$2, Percentiles!$A$45:$I$59, 6, FALSE), perc_90, VLOOKUP(C$2, Percentiles!$A$45:$I$59, 7, FALSE), perc_95, VLOOKUP(C$2, Percentiles!$A$45:$I$59, 8, FALSE), perc_85, perc_75 + (perc_90 - perc_75) * (2/3), converted_stat, '2K_Ratings'!C741, IF(bbgm_stat &gt;= perc_95, converted_stat * 3, IF(bbgm_stat &gt;= perc_90, converted_stat * 2, IF(bbgm_stat &gt;= perc_85, converted_stat * 1.5, converted_stat)))))</f>
        <v/>
      </c>
      <c r="D741" s="30" t="str">
        <f t="array" ref="D741">IF($A741="", "", LET(bbgm_stat, INDEX(Players!$A740:$P740, MATCH(D$2, Players!$A$1:$P$1, 0)), perc_75, VLOOKUP(D$2, Percentiles!$A$45:$I$59, 6, FALSE), perc_90, VLOOKUP(D$2, Percentiles!$A$45:$I$59, 7, FALSE), perc_95, VLOOKUP(D$2, Percentiles!$A$45:$I$59, 8, FALSE), perc_85, perc_75 + (perc_90 - perc_75) * (2/3), converted_stat, '2K_Ratings'!D741, IF(bbgm_stat &gt;= perc_95, converted_stat * 3, IF(bbgm_stat &gt;= perc_90, converted_stat * 2, IF(bbgm_stat &gt;= perc_85, converted_stat * 1.5, converted_stat)))))</f>
        <v/>
      </c>
      <c r="E741" s="30" t="str">
        <f t="array" ref="E741">IF($A741="", "", LET(bbgm_stat, INDEX(Players!$A740:$P740, MATCH(E$2, Players!$A$1:$P$1, 0)), perc_75, VLOOKUP(E$2, Percentiles!$A$45:$I$59, 6, FALSE), perc_90, VLOOKUP(E$2, Percentiles!$A$45:$I$59, 7, FALSE), perc_95, VLOOKUP(E$2, Percentiles!$A$45:$I$59, 8, FALSE), perc_85, perc_75 + (perc_90 - perc_75) * (2/3), converted_stat, '2K_Ratings'!E741, IF(bbgm_stat &gt;= perc_95, converted_stat * 3, IF(bbgm_stat &gt;= perc_90, converted_stat * 2, IF(bbgm_stat &gt;= perc_85, converted_stat * 1.5, converted_stat)))))</f>
        <v/>
      </c>
      <c r="F741" s="30" t="str">
        <f t="array" ref="F741">IF($A741="", "", LET(bbgm_stat, INDEX(Players!$A740:$P740, MATCH(F$2, Players!$A$1:$P$1, 0)), perc_75, VLOOKUP(F$2, Percentiles!$A$45:$I$59, 6, FALSE), perc_90, VLOOKUP(F$2, Percentiles!$A$45:$I$59, 7, FALSE), perc_95, VLOOKUP(F$2, Percentiles!$A$45:$I$59, 8, FALSE), perc_85, perc_75 + (perc_90 - perc_75) * (2/3), converted_stat, '2K_Ratings'!F741, IF(bbgm_stat &gt;= perc_95, converted_stat * 3, IF(bbgm_stat &gt;= perc_90, converted_stat * 2, IF(bbgm_stat &gt;= perc_85, converted_stat * 1.5, converted_stat)))))</f>
        <v/>
      </c>
      <c r="G741" s="30" t="str">
        <f t="array" ref="G741">IF($A741="", "", LET(bbgm_stat, INDEX(Players!$A740:$P740, MATCH(G$2, Players!$A$1:$P$1, 0)), perc_75, VLOOKUP(G$2, Percentiles!$A$45:$I$59, 6, FALSE), perc_90, VLOOKUP(G$2, Percentiles!$A$45:$I$59, 7, FALSE), perc_95, VLOOKUP(G$2, Percentiles!$A$45:$I$59, 8, FALSE), perc_85, perc_75 + (perc_90 - perc_75) * (2/3), converted_stat, '2K_Ratings'!G741, IF(bbgm_stat &gt;= perc_95, converted_stat * 3, IF(bbgm_stat &gt;= perc_90, converted_stat * 2, IF(bbgm_stat &gt;= perc_85, converted_stat * 1.5, converted_stat)))))</f>
        <v/>
      </c>
      <c r="H741" s="30" t="str">
        <f t="array" ref="H741">IF($A741="", "", LET(bbgm_stat, INDEX(Players!$A740:$P740, MATCH(H$2, Players!$A$1:$P$1, 0)), perc_75, VLOOKUP(H$2, Percentiles!$A$45:$I$59, 6, FALSE), perc_90, VLOOKUP(H$2, Percentiles!$A$45:$I$59, 7, FALSE), perc_95, VLOOKUP(H$2, Percentiles!$A$45:$I$59, 8, FALSE), perc_85, perc_75 + (perc_90 - perc_75) * (2/3), converted_stat, '2K_Ratings'!H741, IF(bbgm_stat &gt;= perc_95, converted_stat * 3, IF(bbgm_stat &gt;= perc_90, converted_stat * 2, IF(bbgm_stat &gt;= perc_85, converted_stat * 1.5, converted_stat)))))</f>
        <v/>
      </c>
      <c r="I741" s="30" t="str">
        <f t="array" ref="I741">IF($A741="", "", LET(bbgm_stat, INDEX(Players!$A740:$P740, MATCH(I$2, Players!$A$1:$P$1, 0)), perc_75, VLOOKUP(I$2, Percentiles!$A$45:$I$59, 6, FALSE), perc_90, VLOOKUP(I$2, Percentiles!$A$45:$I$59, 7, FALSE), perc_95, VLOOKUP(I$2, Percentiles!$A$45:$I$59, 8, FALSE), perc_85, perc_75 + (perc_90 - perc_75) * (2/3), converted_stat, '2K_Ratings'!I741, IF(bbgm_stat &gt;= perc_95, converted_stat * 3, IF(bbgm_stat &gt;= perc_90, converted_stat * 2, IF(bbgm_stat &gt;= perc_85, converted_stat * 1.5, converted_stat)))))</f>
        <v/>
      </c>
      <c r="J741" s="30" t="str">
        <f t="array" ref="J741">IF($A741="", "", LET(bbgm_stat, INDEX(Players!$A740:$P740, MATCH(J$2, Players!$A$1:$P$1, 0)), perc_75, VLOOKUP(J$2, Percentiles!$A$45:$I$59, 6, FALSE), perc_90, VLOOKUP(J$2, Percentiles!$A$45:$I$59, 7, FALSE), perc_95, VLOOKUP(J$2, Percentiles!$A$45:$I$59, 8, FALSE), perc_85, perc_75 + (perc_90 - perc_75) * (2/3), converted_stat, '2K_Ratings'!J741, IF(bbgm_stat &gt;= perc_95, converted_stat * 3, IF(bbgm_stat &gt;= perc_90, converted_stat * 2, IF(bbgm_stat &gt;= perc_85, converted_stat * 1.5, converted_stat)))))</f>
        <v/>
      </c>
      <c r="K741" s="30" t="str">
        <f t="array" ref="K741">IF($A741="", "", LET(bbgm_stat, INDEX(Players!$A740:$P740, MATCH(K$2, Players!$A$1:$P$1, 0)), perc_75, VLOOKUP(K$2, Percentiles!$A$45:$I$59, 6, FALSE), perc_90, VLOOKUP(K$2, Percentiles!$A$45:$I$59, 7, FALSE), perc_95, VLOOKUP(K$2, Percentiles!$A$45:$I$59, 8, FALSE), perc_85, perc_75 + (perc_90 - perc_75) * (2/3), converted_stat, '2K_Ratings'!K741, IF(bbgm_stat &gt;= perc_95, converted_stat * 3, IF(bbgm_stat &gt;= perc_90, converted_stat * 2, IF(bbgm_stat &gt;= perc_85, converted_stat * 1.5, converted_stat)))))</f>
        <v/>
      </c>
      <c r="L741" s="30" t="str">
        <f t="array" ref="L741">IF($A741="", "", LET(bbgm_stat, INDEX(Players!$A740:$P740, MATCH(L$2, Players!$A$1:$P$1, 0)), perc_75, VLOOKUP(L$2, Percentiles!$A$45:$I$59, 6, FALSE), perc_90, VLOOKUP(L$2, Percentiles!$A$45:$I$59, 7, FALSE), perc_95, VLOOKUP(L$2, Percentiles!$A$45:$I$59, 8, FALSE), perc_85, perc_75 + (perc_90 - perc_75) * (2/3), converted_stat, '2K_Ratings'!L741, IF(bbgm_stat &gt;= perc_95, converted_stat * 3, IF(bbgm_stat &gt;= perc_90, converted_stat * 2, IF(bbgm_stat &gt;= perc_85, converted_stat * 1.5, converted_stat)))))</f>
        <v/>
      </c>
      <c r="M741" s="30" t="str">
        <f t="array" ref="M741">IF($A741="", "", LET(bbgm_stat, INDEX(Players!$A740:$P740, MATCH(M$2, Players!$A$1:$P$1, 0)), perc_75, VLOOKUP(M$2, Percentiles!$A$45:$I$59, 6, FALSE), perc_90, VLOOKUP(M$2, Percentiles!$A$45:$I$59, 7, FALSE), perc_95, VLOOKUP(M$2, Percentiles!$A$45:$I$59, 8, FALSE), perc_85, perc_75 + (perc_90 - perc_75) * (2/3), converted_stat, '2K_Ratings'!M741, IF(bbgm_stat &gt;= perc_95, converted_stat * 3, IF(bbgm_stat &gt;= perc_90, converted_stat * 2, IF(bbgm_stat &gt;= perc_85, converted_stat * 1.5, converted_stat)))))</f>
        <v/>
      </c>
      <c r="N741" s="30" t="str">
        <f t="array" ref="N741">IF($A741="", "", LET(bbgm_stat, INDEX(Players!$A740:$P740, MATCH(N$2, Players!$A$1:$P$1, 0)), perc_75, VLOOKUP(N$2, Percentiles!$A$45:$I$59, 6, FALSE), perc_90, VLOOKUP(N$2, Percentiles!$A$45:$I$59, 7, FALSE), perc_95, VLOOKUP(N$2, Percentiles!$A$45:$I$59, 8, FALSE), perc_85, perc_75 + (perc_90 - perc_75) * (2/3), converted_stat, '2K_Ratings'!N741, IF(bbgm_stat &gt;= perc_95, converted_stat * 3, IF(bbgm_stat &gt;= perc_90, converted_stat * 2, IF(bbgm_stat &gt;= perc_85, converted_stat * 1.5, converted_stat)))))</f>
        <v/>
      </c>
      <c r="O741" s="30" t="str">
        <f t="array" ref="O741">IF($A741="", "", LET(bbgm_stat, INDEX(Players!$A740:$P740, MATCH(O$2, Players!$A$1:$P$1, 0)), perc_75, VLOOKUP(O$2, Percentiles!$A$45:$I$59, 6, FALSE), perc_90, VLOOKUP(O$2, Percentiles!$A$45:$I$59, 7, FALSE), perc_95, VLOOKUP(O$2, Percentiles!$A$45:$I$59, 8, FALSE), perc_85, perc_75 + (perc_90 - perc_75) * (2/3), converted_stat, '2K_Ratings'!O741, IF(bbgm_stat &gt;= perc_95, converted_stat * 3, IF(bbgm_stat &gt;= perc_90, converted_stat * 2, IF(bbgm_stat &gt;= perc_85, converted_stat * 1.5, converted_stat)))))</f>
        <v/>
      </c>
      <c r="P741" s="30" t="str">
        <f t="array" ref="P741">IF($A741="", "", LET(bbgm_stat, INDEX(Players!$A740:$P740, MATCH(P$2, Players!$A$1:$P$1, 0)), perc_75, VLOOKUP(P$2, Percentiles!$A$45:$I$59, 6, FALSE), perc_90, VLOOKUP(P$2, Percentiles!$A$45:$I$59, 7, FALSE), perc_95, VLOOKUP(P$2, Percentiles!$A$45:$I$59, 8, FALSE), perc_85, perc_75 + (perc_90 - perc_75) * (2/3), converted_stat, '2K_Ratings'!P741, IF(bbgm_stat &gt;= perc_95, converted_stat * 3, IF(bbgm_stat &gt;= perc_90, converted_stat * 2, IF(bbgm_stat &gt;= perc_85, converted_stat * 1.5, converted_stat)))))</f>
        <v/>
      </c>
      <c r="Q741" s="30" t="str">
        <f t="array" ref="Q741">IF($A741="", "", LET(bbgm_stat, INDEX(Players!$A740:$P740, MATCH(Q$2, Players!$A$1:$P$1, 0)), perc_75, VLOOKUP(Q$2, Percentiles!$A$45:$I$59, 6, FALSE), perc_90, VLOOKUP(Q$2, Percentiles!$A$45:$I$59, 7, FALSE), perc_95, VLOOKUP(Q$2, Percentiles!$A$45:$I$59, 8, FALSE), perc_85, perc_75 + (perc_90 - perc_75) * (2/3), converted_stat, '2K_Ratings'!Q741, IF(bbgm_stat &gt;= perc_95, converted_stat * 3, IF(bbgm_stat &gt;= perc_90, converted_stat * 2, IF(bbgm_stat &gt;= perc_85, converted_stat * 1.5, converted_stat)))))</f>
        <v/>
      </c>
      <c r="R741" s="30" t="str">
        <f t="array" ref="R741">IF($A741="", "", LET(bbgm_stat, INDEX(Players!$A740:$P740, MATCH(R$2, Players!$A$1:$P$1, 0)), perc_75, VLOOKUP(R$2, Percentiles!$A$45:$I$59, 6, FALSE), perc_90, VLOOKUP(R$2, Percentiles!$A$45:$I$59, 7, FALSE), perc_95, VLOOKUP(R$2, Percentiles!$A$45:$I$59, 8, FALSE), perc_85, perc_75 + (perc_90 - perc_75) * (2/3), converted_stat, '2K_Ratings'!R741, IF(bbgm_stat &gt;= perc_95, converted_stat * 3, IF(bbgm_stat &gt;= perc_90, converted_stat * 2, IF(bbgm_stat &gt;= perc_85, converted_stat * 1.5, converted_stat)))))</f>
        <v/>
      </c>
      <c r="S741" s="30" t="str">
        <f t="array" ref="S741">IF($A741="", "", LET(bbgm_stat, INDEX(Players!$A740:$P740, MATCH(S$2, Players!$A$1:$P$1, 0)), perc_75, VLOOKUP(S$2, Percentiles!$A$45:$I$59, 6, FALSE), perc_90, VLOOKUP(S$2, Percentiles!$A$45:$I$59, 7, FALSE), perc_95, VLOOKUP(S$2, Percentiles!$A$45:$I$59, 8, FALSE), perc_85, perc_75 + (perc_90 - perc_75) * (2/3), converted_stat, '2K_Ratings'!S741, IF(bbgm_stat &gt;= perc_95, converted_stat * 3, IF(bbgm_stat &gt;= perc_90, converted_stat * 2, IF(bbgm_stat &gt;= perc_85, converted_stat * 1.5, converted_stat)))))</f>
        <v/>
      </c>
      <c r="T741" s="30" t="str">
        <f t="array" ref="T741">IF($A741="", "", LET(bbgm_stat, INDEX(Players!$A740:$P740, MATCH(T$2, Players!$A$1:$P$1, 0)), perc_75, VLOOKUP(T$2, Percentiles!$A$45:$I$59, 6, FALSE), perc_90, VLOOKUP(T$2, Percentiles!$A$45:$I$59, 7, FALSE), perc_95, VLOOKUP(T$2, Percentiles!$A$45:$I$59, 8, FALSE), perc_85, perc_75 + (perc_90 - perc_75) * (2/3), converted_stat, '2K_Ratings'!T741, IF(bbgm_stat &gt;= perc_95, converted_stat * 3, IF(bbgm_stat &gt;= perc_90, converted_stat * 2, IF(bbgm_stat &gt;= perc_85, converted_stat * 1.5, converted_stat)))))</f>
        <v/>
      </c>
      <c r="U741" s="30" t="str">
        <f t="array" ref="U741">IF($A741="", "", LET(bbgm_stat, INDEX(Players!$A740:$P740, MATCH(U$2, Players!$A$1:$P$1, 0)), perc_75, VLOOKUP(U$2, Percentiles!$A$45:$I$59, 6, FALSE), perc_90, VLOOKUP(U$2, Percentiles!$A$45:$I$59, 7, FALSE), perc_95, VLOOKUP(U$2, Percentiles!$A$45:$I$59, 8, FALSE), perc_85, perc_75 + (perc_90 - perc_75) * (2/3), converted_stat, '2K_Ratings'!U741, IF(bbgm_stat &gt;= perc_95, converted_stat * 3, IF(bbgm_stat &gt;= perc_90, converted_stat * 2, IF(bbgm_stat &gt;= perc_85, converted_stat * 1.5, converted_stat)))))</f>
        <v/>
      </c>
      <c r="V741" s="30" t="str">
        <f t="array" ref="V741">IF($A741="", "", LET(bbgm_stat, INDEX(Players!$A740:$P740, MATCH(V$2, Players!$A$1:$P$1, 0)), perc_75, VLOOKUP(V$2, Percentiles!$A$45:$I$59, 6, FALSE), perc_90, VLOOKUP(V$2, Percentiles!$A$45:$I$59, 7, FALSE), perc_95, VLOOKUP(V$2, Percentiles!$A$45:$I$59, 8, FALSE), perc_85, perc_75 + (perc_90 - perc_75) * (2/3), converted_stat, '2K_Ratings'!V741, IF(bbgm_stat &gt;= perc_95, converted_stat * 3, IF(bbgm_stat &gt;= perc_90, converted_stat * 2, IF(bbgm_stat &gt;= perc_85, converted_stat * 1.5, converted_stat)))))</f>
        <v/>
      </c>
      <c r="W741" s="30" t="str">
        <f t="array" ref="W741">IF($A741="", "", LET(bbgm_stat, INDEX(Players!$A740:$P740, MATCH(W$2, Players!$A$1:$P$1, 0)), perc_75, VLOOKUP(W$2, Percentiles!$A$45:$I$59, 6, FALSE), perc_90, VLOOKUP(W$2, Percentiles!$A$45:$I$59, 7, FALSE), perc_95, VLOOKUP(W$2, Percentiles!$A$45:$I$59, 8, FALSE), perc_85, perc_75 + (perc_90 - perc_75) * (2/3), converted_stat, '2K_Ratings'!W741, IF(bbgm_stat &gt;= perc_95, converted_stat * 3, IF(bbgm_stat &gt;= perc_90, converted_stat * 2, IF(bbgm_stat &gt;= perc_85, converted_stat * 1.5, converted_stat)))))</f>
        <v/>
      </c>
    </row>
    <row r="742">
      <c r="A742" s="30"/>
      <c r="B742" s="30" t="str">
        <f t="array" ref="B742">IF($A742="", "", LET(bbgm_stat, INDEX(Players!$A741:$P741, MATCH(B$2, Players!$A$1:$P$1, 0)), perc_75, VLOOKUP(B$2, Percentiles!$A$45:$I$59, 6, FALSE), perc_90, VLOOKUP(B$2, Percentiles!$A$45:$I$59, 7, FALSE), perc_95, VLOOKUP(B$2, Percentiles!$A$45:$I$59, 8, FALSE), perc_85, perc_75 + (perc_90 - perc_75) * (2/3), converted_stat, '2K_Ratings'!B742, IF(bbgm_stat &gt;= perc_95, converted_stat * 3, IF(bbgm_stat &gt;= perc_90, converted_stat * 2, IF(bbgm_stat &gt;= perc_85, converted_stat * 1.5, converted_stat)))))</f>
        <v/>
      </c>
      <c r="C742" s="30" t="str">
        <f t="array" ref="C742">IF($A742="", "", LET(bbgm_stat, INDEX(Players!$A741:$P741, MATCH(C$2, Players!$A$1:$P$1, 0)), perc_75, VLOOKUP(C$2, Percentiles!$A$45:$I$59, 6, FALSE), perc_90, VLOOKUP(C$2, Percentiles!$A$45:$I$59, 7, FALSE), perc_95, VLOOKUP(C$2, Percentiles!$A$45:$I$59, 8, FALSE), perc_85, perc_75 + (perc_90 - perc_75) * (2/3), converted_stat, '2K_Ratings'!C742, IF(bbgm_stat &gt;= perc_95, converted_stat * 3, IF(bbgm_stat &gt;= perc_90, converted_stat * 2, IF(bbgm_stat &gt;= perc_85, converted_stat * 1.5, converted_stat)))))</f>
        <v/>
      </c>
      <c r="D742" s="30" t="str">
        <f t="array" ref="D742">IF($A742="", "", LET(bbgm_stat, INDEX(Players!$A741:$P741, MATCH(D$2, Players!$A$1:$P$1, 0)), perc_75, VLOOKUP(D$2, Percentiles!$A$45:$I$59, 6, FALSE), perc_90, VLOOKUP(D$2, Percentiles!$A$45:$I$59, 7, FALSE), perc_95, VLOOKUP(D$2, Percentiles!$A$45:$I$59, 8, FALSE), perc_85, perc_75 + (perc_90 - perc_75) * (2/3), converted_stat, '2K_Ratings'!D742, IF(bbgm_stat &gt;= perc_95, converted_stat * 3, IF(bbgm_stat &gt;= perc_90, converted_stat * 2, IF(bbgm_stat &gt;= perc_85, converted_stat * 1.5, converted_stat)))))</f>
        <v/>
      </c>
      <c r="E742" s="30" t="str">
        <f t="array" ref="E742">IF($A742="", "", LET(bbgm_stat, INDEX(Players!$A741:$P741, MATCH(E$2, Players!$A$1:$P$1, 0)), perc_75, VLOOKUP(E$2, Percentiles!$A$45:$I$59, 6, FALSE), perc_90, VLOOKUP(E$2, Percentiles!$A$45:$I$59, 7, FALSE), perc_95, VLOOKUP(E$2, Percentiles!$A$45:$I$59, 8, FALSE), perc_85, perc_75 + (perc_90 - perc_75) * (2/3), converted_stat, '2K_Ratings'!E742, IF(bbgm_stat &gt;= perc_95, converted_stat * 3, IF(bbgm_stat &gt;= perc_90, converted_stat * 2, IF(bbgm_stat &gt;= perc_85, converted_stat * 1.5, converted_stat)))))</f>
        <v/>
      </c>
      <c r="F742" s="30" t="str">
        <f t="array" ref="F742">IF($A742="", "", LET(bbgm_stat, INDEX(Players!$A741:$P741, MATCH(F$2, Players!$A$1:$P$1, 0)), perc_75, VLOOKUP(F$2, Percentiles!$A$45:$I$59, 6, FALSE), perc_90, VLOOKUP(F$2, Percentiles!$A$45:$I$59, 7, FALSE), perc_95, VLOOKUP(F$2, Percentiles!$A$45:$I$59, 8, FALSE), perc_85, perc_75 + (perc_90 - perc_75) * (2/3), converted_stat, '2K_Ratings'!F742, IF(bbgm_stat &gt;= perc_95, converted_stat * 3, IF(bbgm_stat &gt;= perc_90, converted_stat * 2, IF(bbgm_stat &gt;= perc_85, converted_stat * 1.5, converted_stat)))))</f>
        <v/>
      </c>
      <c r="G742" s="30" t="str">
        <f t="array" ref="G742">IF($A742="", "", LET(bbgm_stat, INDEX(Players!$A741:$P741, MATCH(G$2, Players!$A$1:$P$1, 0)), perc_75, VLOOKUP(G$2, Percentiles!$A$45:$I$59, 6, FALSE), perc_90, VLOOKUP(G$2, Percentiles!$A$45:$I$59, 7, FALSE), perc_95, VLOOKUP(G$2, Percentiles!$A$45:$I$59, 8, FALSE), perc_85, perc_75 + (perc_90 - perc_75) * (2/3), converted_stat, '2K_Ratings'!G742, IF(bbgm_stat &gt;= perc_95, converted_stat * 3, IF(bbgm_stat &gt;= perc_90, converted_stat * 2, IF(bbgm_stat &gt;= perc_85, converted_stat * 1.5, converted_stat)))))</f>
        <v/>
      </c>
      <c r="H742" s="30" t="str">
        <f t="array" ref="H742">IF($A742="", "", LET(bbgm_stat, INDEX(Players!$A741:$P741, MATCH(H$2, Players!$A$1:$P$1, 0)), perc_75, VLOOKUP(H$2, Percentiles!$A$45:$I$59, 6, FALSE), perc_90, VLOOKUP(H$2, Percentiles!$A$45:$I$59, 7, FALSE), perc_95, VLOOKUP(H$2, Percentiles!$A$45:$I$59, 8, FALSE), perc_85, perc_75 + (perc_90 - perc_75) * (2/3), converted_stat, '2K_Ratings'!H742, IF(bbgm_stat &gt;= perc_95, converted_stat * 3, IF(bbgm_stat &gt;= perc_90, converted_stat * 2, IF(bbgm_stat &gt;= perc_85, converted_stat * 1.5, converted_stat)))))</f>
        <v/>
      </c>
      <c r="I742" s="30" t="str">
        <f t="array" ref="I742">IF($A742="", "", LET(bbgm_stat, INDEX(Players!$A741:$P741, MATCH(I$2, Players!$A$1:$P$1, 0)), perc_75, VLOOKUP(I$2, Percentiles!$A$45:$I$59, 6, FALSE), perc_90, VLOOKUP(I$2, Percentiles!$A$45:$I$59, 7, FALSE), perc_95, VLOOKUP(I$2, Percentiles!$A$45:$I$59, 8, FALSE), perc_85, perc_75 + (perc_90 - perc_75) * (2/3), converted_stat, '2K_Ratings'!I742, IF(bbgm_stat &gt;= perc_95, converted_stat * 3, IF(bbgm_stat &gt;= perc_90, converted_stat * 2, IF(bbgm_stat &gt;= perc_85, converted_stat * 1.5, converted_stat)))))</f>
        <v/>
      </c>
      <c r="J742" s="30" t="str">
        <f t="array" ref="J742">IF($A742="", "", LET(bbgm_stat, INDEX(Players!$A741:$P741, MATCH(J$2, Players!$A$1:$P$1, 0)), perc_75, VLOOKUP(J$2, Percentiles!$A$45:$I$59, 6, FALSE), perc_90, VLOOKUP(J$2, Percentiles!$A$45:$I$59, 7, FALSE), perc_95, VLOOKUP(J$2, Percentiles!$A$45:$I$59, 8, FALSE), perc_85, perc_75 + (perc_90 - perc_75) * (2/3), converted_stat, '2K_Ratings'!J742, IF(bbgm_stat &gt;= perc_95, converted_stat * 3, IF(bbgm_stat &gt;= perc_90, converted_stat * 2, IF(bbgm_stat &gt;= perc_85, converted_stat * 1.5, converted_stat)))))</f>
        <v/>
      </c>
      <c r="K742" s="30" t="str">
        <f t="array" ref="K742">IF($A742="", "", LET(bbgm_stat, INDEX(Players!$A741:$P741, MATCH(K$2, Players!$A$1:$P$1, 0)), perc_75, VLOOKUP(K$2, Percentiles!$A$45:$I$59, 6, FALSE), perc_90, VLOOKUP(K$2, Percentiles!$A$45:$I$59, 7, FALSE), perc_95, VLOOKUP(K$2, Percentiles!$A$45:$I$59, 8, FALSE), perc_85, perc_75 + (perc_90 - perc_75) * (2/3), converted_stat, '2K_Ratings'!K742, IF(bbgm_stat &gt;= perc_95, converted_stat * 3, IF(bbgm_stat &gt;= perc_90, converted_stat * 2, IF(bbgm_stat &gt;= perc_85, converted_stat * 1.5, converted_stat)))))</f>
        <v/>
      </c>
      <c r="L742" s="30" t="str">
        <f t="array" ref="L742">IF($A742="", "", LET(bbgm_stat, INDEX(Players!$A741:$P741, MATCH(L$2, Players!$A$1:$P$1, 0)), perc_75, VLOOKUP(L$2, Percentiles!$A$45:$I$59, 6, FALSE), perc_90, VLOOKUP(L$2, Percentiles!$A$45:$I$59, 7, FALSE), perc_95, VLOOKUP(L$2, Percentiles!$A$45:$I$59, 8, FALSE), perc_85, perc_75 + (perc_90 - perc_75) * (2/3), converted_stat, '2K_Ratings'!L742, IF(bbgm_stat &gt;= perc_95, converted_stat * 3, IF(bbgm_stat &gt;= perc_90, converted_stat * 2, IF(bbgm_stat &gt;= perc_85, converted_stat * 1.5, converted_stat)))))</f>
        <v/>
      </c>
      <c r="M742" s="30" t="str">
        <f t="array" ref="M742">IF($A742="", "", LET(bbgm_stat, INDEX(Players!$A741:$P741, MATCH(M$2, Players!$A$1:$P$1, 0)), perc_75, VLOOKUP(M$2, Percentiles!$A$45:$I$59, 6, FALSE), perc_90, VLOOKUP(M$2, Percentiles!$A$45:$I$59, 7, FALSE), perc_95, VLOOKUP(M$2, Percentiles!$A$45:$I$59, 8, FALSE), perc_85, perc_75 + (perc_90 - perc_75) * (2/3), converted_stat, '2K_Ratings'!M742, IF(bbgm_stat &gt;= perc_95, converted_stat * 3, IF(bbgm_stat &gt;= perc_90, converted_stat * 2, IF(bbgm_stat &gt;= perc_85, converted_stat * 1.5, converted_stat)))))</f>
        <v/>
      </c>
      <c r="N742" s="30" t="str">
        <f t="array" ref="N742">IF($A742="", "", LET(bbgm_stat, INDEX(Players!$A741:$P741, MATCH(N$2, Players!$A$1:$P$1, 0)), perc_75, VLOOKUP(N$2, Percentiles!$A$45:$I$59, 6, FALSE), perc_90, VLOOKUP(N$2, Percentiles!$A$45:$I$59, 7, FALSE), perc_95, VLOOKUP(N$2, Percentiles!$A$45:$I$59, 8, FALSE), perc_85, perc_75 + (perc_90 - perc_75) * (2/3), converted_stat, '2K_Ratings'!N742, IF(bbgm_stat &gt;= perc_95, converted_stat * 3, IF(bbgm_stat &gt;= perc_90, converted_stat * 2, IF(bbgm_stat &gt;= perc_85, converted_stat * 1.5, converted_stat)))))</f>
        <v/>
      </c>
      <c r="O742" s="30" t="str">
        <f t="array" ref="O742">IF($A742="", "", LET(bbgm_stat, INDEX(Players!$A741:$P741, MATCH(O$2, Players!$A$1:$P$1, 0)), perc_75, VLOOKUP(O$2, Percentiles!$A$45:$I$59, 6, FALSE), perc_90, VLOOKUP(O$2, Percentiles!$A$45:$I$59, 7, FALSE), perc_95, VLOOKUP(O$2, Percentiles!$A$45:$I$59, 8, FALSE), perc_85, perc_75 + (perc_90 - perc_75) * (2/3), converted_stat, '2K_Ratings'!O742, IF(bbgm_stat &gt;= perc_95, converted_stat * 3, IF(bbgm_stat &gt;= perc_90, converted_stat * 2, IF(bbgm_stat &gt;= perc_85, converted_stat * 1.5, converted_stat)))))</f>
        <v/>
      </c>
      <c r="P742" s="30" t="str">
        <f t="array" ref="P742">IF($A742="", "", LET(bbgm_stat, INDEX(Players!$A741:$P741, MATCH(P$2, Players!$A$1:$P$1, 0)), perc_75, VLOOKUP(P$2, Percentiles!$A$45:$I$59, 6, FALSE), perc_90, VLOOKUP(P$2, Percentiles!$A$45:$I$59, 7, FALSE), perc_95, VLOOKUP(P$2, Percentiles!$A$45:$I$59, 8, FALSE), perc_85, perc_75 + (perc_90 - perc_75) * (2/3), converted_stat, '2K_Ratings'!P742, IF(bbgm_stat &gt;= perc_95, converted_stat * 3, IF(bbgm_stat &gt;= perc_90, converted_stat * 2, IF(bbgm_stat &gt;= perc_85, converted_stat * 1.5, converted_stat)))))</f>
        <v/>
      </c>
      <c r="Q742" s="30" t="str">
        <f t="array" ref="Q742">IF($A742="", "", LET(bbgm_stat, INDEX(Players!$A741:$P741, MATCH(Q$2, Players!$A$1:$P$1, 0)), perc_75, VLOOKUP(Q$2, Percentiles!$A$45:$I$59, 6, FALSE), perc_90, VLOOKUP(Q$2, Percentiles!$A$45:$I$59, 7, FALSE), perc_95, VLOOKUP(Q$2, Percentiles!$A$45:$I$59, 8, FALSE), perc_85, perc_75 + (perc_90 - perc_75) * (2/3), converted_stat, '2K_Ratings'!Q742, IF(bbgm_stat &gt;= perc_95, converted_stat * 3, IF(bbgm_stat &gt;= perc_90, converted_stat * 2, IF(bbgm_stat &gt;= perc_85, converted_stat * 1.5, converted_stat)))))</f>
        <v/>
      </c>
      <c r="R742" s="30" t="str">
        <f t="array" ref="R742">IF($A742="", "", LET(bbgm_stat, INDEX(Players!$A741:$P741, MATCH(R$2, Players!$A$1:$P$1, 0)), perc_75, VLOOKUP(R$2, Percentiles!$A$45:$I$59, 6, FALSE), perc_90, VLOOKUP(R$2, Percentiles!$A$45:$I$59, 7, FALSE), perc_95, VLOOKUP(R$2, Percentiles!$A$45:$I$59, 8, FALSE), perc_85, perc_75 + (perc_90 - perc_75) * (2/3), converted_stat, '2K_Ratings'!R742, IF(bbgm_stat &gt;= perc_95, converted_stat * 3, IF(bbgm_stat &gt;= perc_90, converted_stat * 2, IF(bbgm_stat &gt;= perc_85, converted_stat * 1.5, converted_stat)))))</f>
        <v/>
      </c>
      <c r="S742" s="30" t="str">
        <f t="array" ref="S742">IF($A742="", "", LET(bbgm_stat, INDEX(Players!$A741:$P741, MATCH(S$2, Players!$A$1:$P$1, 0)), perc_75, VLOOKUP(S$2, Percentiles!$A$45:$I$59, 6, FALSE), perc_90, VLOOKUP(S$2, Percentiles!$A$45:$I$59, 7, FALSE), perc_95, VLOOKUP(S$2, Percentiles!$A$45:$I$59, 8, FALSE), perc_85, perc_75 + (perc_90 - perc_75) * (2/3), converted_stat, '2K_Ratings'!S742, IF(bbgm_stat &gt;= perc_95, converted_stat * 3, IF(bbgm_stat &gt;= perc_90, converted_stat * 2, IF(bbgm_stat &gt;= perc_85, converted_stat * 1.5, converted_stat)))))</f>
        <v/>
      </c>
      <c r="T742" s="30" t="str">
        <f t="array" ref="T742">IF($A742="", "", LET(bbgm_stat, INDEX(Players!$A741:$P741, MATCH(T$2, Players!$A$1:$P$1, 0)), perc_75, VLOOKUP(T$2, Percentiles!$A$45:$I$59, 6, FALSE), perc_90, VLOOKUP(T$2, Percentiles!$A$45:$I$59, 7, FALSE), perc_95, VLOOKUP(T$2, Percentiles!$A$45:$I$59, 8, FALSE), perc_85, perc_75 + (perc_90 - perc_75) * (2/3), converted_stat, '2K_Ratings'!T742, IF(bbgm_stat &gt;= perc_95, converted_stat * 3, IF(bbgm_stat &gt;= perc_90, converted_stat * 2, IF(bbgm_stat &gt;= perc_85, converted_stat * 1.5, converted_stat)))))</f>
        <v/>
      </c>
      <c r="U742" s="30" t="str">
        <f t="array" ref="U742">IF($A742="", "", LET(bbgm_stat, INDEX(Players!$A741:$P741, MATCH(U$2, Players!$A$1:$P$1, 0)), perc_75, VLOOKUP(U$2, Percentiles!$A$45:$I$59, 6, FALSE), perc_90, VLOOKUP(U$2, Percentiles!$A$45:$I$59, 7, FALSE), perc_95, VLOOKUP(U$2, Percentiles!$A$45:$I$59, 8, FALSE), perc_85, perc_75 + (perc_90 - perc_75) * (2/3), converted_stat, '2K_Ratings'!U742, IF(bbgm_stat &gt;= perc_95, converted_stat * 3, IF(bbgm_stat &gt;= perc_90, converted_stat * 2, IF(bbgm_stat &gt;= perc_85, converted_stat * 1.5, converted_stat)))))</f>
        <v/>
      </c>
      <c r="V742" s="30" t="str">
        <f t="array" ref="V742">IF($A742="", "", LET(bbgm_stat, INDEX(Players!$A741:$P741, MATCH(V$2, Players!$A$1:$P$1, 0)), perc_75, VLOOKUP(V$2, Percentiles!$A$45:$I$59, 6, FALSE), perc_90, VLOOKUP(V$2, Percentiles!$A$45:$I$59, 7, FALSE), perc_95, VLOOKUP(V$2, Percentiles!$A$45:$I$59, 8, FALSE), perc_85, perc_75 + (perc_90 - perc_75) * (2/3), converted_stat, '2K_Ratings'!V742, IF(bbgm_stat &gt;= perc_95, converted_stat * 3, IF(bbgm_stat &gt;= perc_90, converted_stat * 2, IF(bbgm_stat &gt;= perc_85, converted_stat * 1.5, converted_stat)))))</f>
        <v/>
      </c>
      <c r="W742" s="30" t="str">
        <f t="array" ref="W742">IF($A742="", "", LET(bbgm_stat, INDEX(Players!$A741:$P741, MATCH(W$2, Players!$A$1:$P$1, 0)), perc_75, VLOOKUP(W$2, Percentiles!$A$45:$I$59, 6, FALSE), perc_90, VLOOKUP(W$2, Percentiles!$A$45:$I$59, 7, FALSE), perc_95, VLOOKUP(W$2, Percentiles!$A$45:$I$59, 8, FALSE), perc_85, perc_75 + (perc_90 - perc_75) * (2/3), converted_stat, '2K_Ratings'!W742, IF(bbgm_stat &gt;= perc_95, converted_stat * 3, IF(bbgm_stat &gt;= perc_90, converted_stat * 2, IF(bbgm_stat &gt;= perc_85, converted_stat * 1.5, converted_stat)))))</f>
        <v/>
      </c>
    </row>
    <row r="743">
      <c r="A743" s="30"/>
      <c r="B743" s="30" t="str">
        <f t="array" ref="B743">IF($A743="", "", LET(bbgm_stat, INDEX(Players!$A742:$P742, MATCH(B$2, Players!$A$1:$P$1, 0)), perc_75, VLOOKUP(B$2, Percentiles!$A$45:$I$59, 6, FALSE), perc_90, VLOOKUP(B$2, Percentiles!$A$45:$I$59, 7, FALSE), perc_95, VLOOKUP(B$2, Percentiles!$A$45:$I$59, 8, FALSE), perc_85, perc_75 + (perc_90 - perc_75) * (2/3), converted_stat, '2K_Ratings'!B743, IF(bbgm_stat &gt;= perc_95, converted_stat * 3, IF(bbgm_stat &gt;= perc_90, converted_stat * 2, IF(bbgm_stat &gt;= perc_85, converted_stat * 1.5, converted_stat)))))</f>
        <v/>
      </c>
      <c r="C743" s="30" t="str">
        <f t="array" ref="C743">IF($A743="", "", LET(bbgm_stat, INDEX(Players!$A742:$P742, MATCH(C$2, Players!$A$1:$P$1, 0)), perc_75, VLOOKUP(C$2, Percentiles!$A$45:$I$59, 6, FALSE), perc_90, VLOOKUP(C$2, Percentiles!$A$45:$I$59, 7, FALSE), perc_95, VLOOKUP(C$2, Percentiles!$A$45:$I$59, 8, FALSE), perc_85, perc_75 + (perc_90 - perc_75) * (2/3), converted_stat, '2K_Ratings'!C743, IF(bbgm_stat &gt;= perc_95, converted_stat * 3, IF(bbgm_stat &gt;= perc_90, converted_stat * 2, IF(bbgm_stat &gt;= perc_85, converted_stat * 1.5, converted_stat)))))</f>
        <v/>
      </c>
      <c r="D743" s="30" t="str">
        <f t="array" ref="D743">IF($A743="", "", LET(bbgm_stat, INDEX(Players!$A742:$P742, MATCH(D$2, Players!$A$1:$P$1, 0)), perc_75, VLOOKUP(D$2, Percentiles!$A$45:$I$59, 6, FALSE), perc_90, VLOOKUP(D$2, Percentiles!$A$45:$I$59, 7, FALSE), perc_95, VLOOKUP(D$2, Percentiles!$A$45:$I$59, 8, FALSE), perc_85, perc_75 + (perc_90 - perc_75) * (2/3), converted_stat, '2K_Ratings'!D743, IF(bbgm_stat &gt;= perc_95, converted_stat * 3, IF(bbgm_stat &gt;= perc_90, converted_stat * 2, IF(bbgm_stat &gt;= perc_85, converted_stat * 1.5, converted_stat)))))</f>
        <v/>
      </c>
      <c r="E743" s="30" t="str">
        <f t="array" ref="E743">IF($A743="", "", LET(bbgm_stat, INDEX(Players!$A742:$P742, MATCH(E$2, Players!$A$1:$P$1, 0)), perc_75, VLOOKUP(E$2, Percentiles!$A$45:$I$59, 6, FALSE), perc_90, VLOOKUP(E$2, Percentiles!$A$45:$I$59, 7, FALSE), perc_95, VLOOKUP(E$2, Percentiles!$A$45:$I$59, 8, FALSE), perc_85, perc_75 + (perc_90 - perc_75) * (2/3), converted_stat, '2K_Ratings'!E743, IF(bbgm_stat &gt;= perc_95, converted_stat * 3, IF(bbgm_stat &gt;= perc_90, converted_stat * 2, IF(bbgm_stat &gt;= perc_85, converted_stat * 1.5, converted_stat)))))</f>
        <v/>
      </c>
      <c r="F743" s="30" t="str">
        <f t="array" ref="F743">IF($A743="", "", LET(bbgm_stat, INDEX(Players!$A742:$P742, MATCH(F$2, Players!$A$1:$P$1, 0)), perc_75, VLOOKUP(F$2, Percentiles!$A$45:$I$59, 6, FALSE), perc_90, VLOOKUP(F$2, Percentiles!$A$45:$I$59, 7, FALSE), perc_95, VLOOKUP(F$2, Percentiles!$A$45:$I$59, 8, FALSE), perc_85, perc_75 + (perc_90 - perc_75) * (2/3), converted_stat, '2K_Ratings'!F743, IF(bbgm_stat &gt;= perc_95, converted_stat * 3, IF(bbgm_stat &gt;= perc_90, converted_stat * 2, IF(bbgm_stat &gt;= perc_85, converted_stat * 1.5, converted_stat)))))</f>
        <v/>
      </c>
      <c r="G743" s="30" t="str">
        <f t="array" ref="G743">IF($A743="", "", LET(bbgm_stat, INDEX(Players!$A742:$P742, MATCH(G$2, Players!$A$1:$P$1, 0)), perc_75, VLOOKUP(G$2, Percentiles!$A$45:$I$59, 6, FALSE), perc_90, VLOOKUP(G$2, Percentiles!$A$45:$I$59, 7, FALSE), perc_95, VLOOKUP(G$2, Percentiles!$A$45:$I$59, 8, FALSE), perc_85, perc_75 + (perc_90 - perc_75) * (2/3), converted_stat, '2K_Ratings'!G743, IF(bbgm_stat &gt;= perc_95, converted_stat * 3, IF(bbgm_stat &gt;= perc_90, converted_stat * 2, IF(bbgm_stat &gt;= perc_85, converted_stat * 1.5, converted_stat)))))</f>
        <v/>
      </c>
      <c r="H743" s="30" t="str">
        <f t="array" ref="H743">IF($A743="", "", LET(bbgm_stat, INDEX(Players!$A742:$P742, MATCH(H$2, Players!$A$1:$P$1, 0)), perc_75, VLOOKUP(H$2, Percentiles!$A$45:$I$59, 6, FALSE), perc_90, VLOOKUP(H$2, Percentiles!$A$45:$I$59, 7, FALSE), perc_95, VLOOKUP(H$2, Percentiles!$A$45:$I$59, 8, FALSE), perc_85, perc_75 + (perc_90 - perc_75) * (2/3), converted_stat, '2K_Ratings'!H743, IF(bbgm_stat &gt;= perc_95, converted_stat * 3, IF(bbgm_stat &gt;= perc_90, converted_stat * 2, IF(bbgm_stat &gt;= perc_85, converted_stat * 1.5, converted_stat)))))</f>
        <v/>
      </c>
      <c r="I743" s="30" t="str">
        <f t="array" ref="I743">IF($A743="", "", LET(bbgm_stat, INDEX(Players!$A742:$P742, MATCH(I$2, Players!$A$1:$P$1, 0)), perc_75, VLOOKUP(I$2, Percentiles!$A$45:$I$59, 6, FALSE), perc_90, VLOOKUP(I$2, Percentiles!$A$45:$I$59, 7, FALSE), perc_95, VLOOKUP(I$2, Percentiles!$A$45:$I$59, 8, FALSE), perc_85, perc_75 + (perc_90 - perc_75) * (2/3), converted_stat, '2K_Ratings'!I743, IF(bbgm_stat &gt;= perc_95, converted_stat * 3, IF(bbgm_stat &gt;= perc_90, converted_stat * 2, IF(bbgm_stat &gt;= perc_85, converted_stat * 1.5, converted_stat)))))</f>
        <v/>
      </c>
      <c r="J743" s="30" t="str">
        <f t="array" ref="J743">IF($A743="", "", LET(bbgm_stat, INDEX(Players!$A742:$P742, MATCH(J$2, Players!$A$1:$P$1, 0)), perc_75, VLOOKUP(J$2, Percentiles!$A$45:$I$59, 6, FALSE), perc_90, VLOOKUP(J$2, Percentiles!$A$45:$I$59, 7, FALSE), perc_95, VLOOKUP(J$2, Percentiles!$A$45:$I$59, 8, FALSE), perc_85, perc_75 + (perc_90 - perc_75) * (2/3), converted_stat, '2K_Ratings'!J743, IF(bbgm_stat &gt;= perc_95, converted_stat * 3, IF(bbgm_stat &gt;= perc_90, converted_stat * 2, IF(bbgm_stat &gt;= perc_85, converted_stat * 1.5, converted_stat)))))</f>
        <v/>
      </c>
      <c r="K743" s="30" t="str">
        <f t="array" ref="K743">IF($A743="", "", LET(bbgm_stat, INDEX(Players!$A742:$P742, MATCH(K$2, Players!$A$1:$P$1, 0)), perc_75, VLOOKUP(K$2, Percentiles!$A$45:$I$59, 6, FALSE), perc_90, VLOOKUP(K$2, Percentiles!$A$45:$I$59, 7, FALSE), perc_95, VLOOKUP(K$2, Percentiles!$A$45:$I$59, 8, FALSE), perc_85, perc_75 + (perc_90 - perc_75) * (2/3), converted_stat, '2K_Ratings'!K743, IF(bbgm_stat &gt;= perc_95, converted_stat * 3, IF(bbgm_stat &gt;= perc_90, converted_stat * 2, IF(bbgm_stat &gt;= perc_85, converted_stat * 1.5, converted_stat)))))</f>
        <v/>
      </c>
      <c r="L743" s="30" t="str">
        <f t="array" ref="L743">IF($A743="", "", LET(bbgm_stat, INDEX(Players!$A742:$P742, MATCH(L$2, Players!$A$1:$P$1, 0)), perc_75, VLOOKUP(L$2, Percentiles!$A$45:$I$59, 6, FALSE), perc_90, VLOOKUP(L$2, Percentiles!$A$45:$I$59, 7, FALSE), perc_95, VLOOKUP(L$2, Percentiles!$A$45:$I$59, 8, FALSE), perc_85, perc_75 + (perc_90 - perc_75) * (2/3), converted_stat, '2K_Ratings'!L743, IF(bbgm_stat &gt;= perc_95, converted_stat * 3, IF(bbgm_stat &gt;= perc_90, converted_stat * 2, IF(bbgm_stat &gt;= perc_85, converted_stat * 1.5, converted_stat)))))</f>
        <v/>
      </c>
      <c r="M743" s="30" t="str">
        <f t="array" ref="M743">IF($A743="", "", LET(bbgm_stat, INDEX(Players!$A742:$P742, MATCH(M$2, Players!$A$1:$P$1, 0)), perc_75, VLOOKUP(M$2, Percentiles!$A$45:$I$59, 6, FALSE), perc_90, VLOOKUP(M$2, Percentiles!$A$45:$I$59, 7, FALSE), perc_95, VLOOKUP(M$2, Percentiles!$A$45:$I$59, 8, FALSE), perc_85, perc_75 + (perc_90 - perc_75) * (2/3), converted_stat, '2K_Ratings'!M743, IF(bbgm_stat &gt;= perc_95, converted_stat * 3, IF(bbgm_stat &gt;= perc_90, converted_stat * 2, IF(bbgm_stat &gt;= perc_85, converted_stat * 1.5, converted_stat)))))</f>
        <v/>
      </c>
      <c r="N743" s="30" t="str">
        <f t="array" ref="N743">IF($A743="", "", LET(bbgm_stat, INDEX(Players!$A742:$P742, MATCH(N$2, Players!$A$1:$P$1, 0)), perc_75, VLOOKUP(N$2, Percentiles!$A$45:$I$59, 6, FALSE), perc_90, VLOOKUP(N$2, Percentiles!$A$45:$I$59, 7, FALSE), perc_95, VLOOKUP(N$2, Percentiles!$A$45:$I$59, 8, FALSE), perc_85, perc_75 + (perc_90 - perc_75) * (2/3), converted_stat, '2K_Ratings'!N743, IF(bbgm_stat &gt;= perc_95, converted_stat * 3, IF(bbgm_stat &gt;= perc_90, converted_stat * 2, IF(bbgm_stat &gt;= perc_85, converted_stat * 1.5, converted_stat)))))</f>
        <v/>
      </c>
      <c r="O743" s="30" t="str">
        <f t="array" ref="O743">IF($A743="", "", LET(bbgm_stat, INDEX(Players!$A742:$P742, MATCH(O$2, Players!$A$1:$P$1, 0)), perc_75, VLOOKUP(O$2, Percentiles!$A$45:$I$59, 6, FALSE), perc_90, VLOOKUP(O$2, Percentiles!$A$45:$I$59, 7, FALSE), perc_95, VLOOKUP(O$2, Percentiles!$A$45:$I$59, 8, FALSE), perc_85, perc_75 + (perc_90 - perc_75) * (2/3), converted_stat, '2K_Ratings'!O743, IF(bbgm_stat &gt;= perc_95, converted_stat * 3, IF(bbgm_stat &gt;= perc_90, converted_stat * 2, IF(bbgm_stat &gt;= perc_85, converted_stat * 1.5, converted_stat)))))</f>
        <v/>
      </c>
      <c r="P743" s="30" t="str">
        <f t="array" ref="P743">IF($A743="", "", LET(bbgm_stat, INDEX(Players!$A742:$P742, MATCH(P$2, Players!$A$1:$P$1, 0)), perc_75, VLOOKUP(P$2, Percentiles!$A$45:$I$59, 6, FALSE), perc_90, VLOOKUP(P$2, Percentiles!$A$45:$I$59, 7, FALSE), perc_95, VLOOKUP(P$2, Percentiles!$A$45:$I$59, 8, FALSE), perc_85, perc_75 + (perc_90 - perc_75) * (2/3), converted_stat, '2K_Ratings'!P743, IF(bbgm_stat &gt;= perc_95, converted_stat * 3, IF(bbgm_stat &gt;= perc_90, converted_stat * 2, IF(bbgm_stat &gt;= perc_85, converted_stat * 1.5, converted_stat)))))</f>
        <v/>
      </c>
      <c r="Q743" s="30" t="str">
        <f t="array" ref="Q743">IF($A743="", "", LET(bbgm_stat, INDEX(Players!$A742:$P742, MATCH(Q$2, Players!$A$1:$P$1, 0)), perc_75, VLOOKUP(Q$2, Percentiles!$A$45:$I$59, 6, FALSE), perc_90, VLOOKUP(Q$2, Percentiles!$A$45:$I$59, 7, FALSE), perc_95, VLOOKUP(Q$2, Percentiles!$A$45:$I$59, 8, FALSE), perc_85, perc_75 + (perc_90 - perc_75) * (2/3), converted_stat, '2K_Ratings'!Q743, IF(bbgm_stat &gt;= perc_95, converted_stat * 3, IF(bbgm_stat &gt;= perc_90, converted_stat * 2, IF(bbgm_stat &gt;= perc_85, converted_stat * 1.5, converted_stat)))))</f>
        <v/>
      </c>
      <c r="R743" s="30" t="str">
        <f t="array" ref="R743">IF($A743="", "", LET(bbgm_stat, INDEX(Players!$A742:$P742, MATCH(R$2, Players!$A$1:$P$1, 0)), perc_75, VLOOKUP(R$2, Percentiles!$A$45:$I$59, 6, FALSE), perc_90, VLOOKUP(R$2, Percentiles!$A$45:$I$59, 7, FALSE), perc_95, VLOOKUP(R$2, Percentiles!$A$45:$I$59, 8, FALSE), perc_85, perc_75 + (perc_90 - perc_75) * (2/3), converted_stat, '2K_Ratings'!R743, IF(bbgm_stat &gt;= perc_95, converted_stat * 3, IF(bbgm_stat &gt;= perc_90, converted_stat * 2, IF(bbgm_stat &gt;= perc_85, converted_stat * 1.5, converted_stat)))))</f>
        <v/>
      </c>
      <c r="S743" s="30" t="str">
        <f t="array" ref="S743">IF($A743="", "", LET(bbgm_stat, INDEX(Players!$A742:$P742, MATCH(S$2, Players!$A$1:$P$1, 0)), perc_75, VLOOKUP(S$2, Percentiles!$A$45:$I$59, 6, FALSE), perc_90, VLOOKUP(S$2, Percentiles!$A$45:$I$59, 7, FALSE), perc_95, VLOOKUP(S$2, Percentiles!$A$45:$I$59, 8, FALSE), perc_85, perc_75 + (perc_90 - perc_75) * (2/3), converted_stat, '2K_Ratings'!S743, IF(bbgm_stat &gt;= perc_95, converted_stat * 3, IF(bbgm_stat &gt;= perc_90, converted_stat * 2, IF(bbgm_stat &gt;= perc_85, converted_stat * 1.5, converted_stat)))))</f>
        <v/>
      </c>
      <c r="T743" s="30" t="str">
        <f t="array" ref="T743">IF($A743="", "", LET(bbgm_stat, INDEX(Players!$A742:$P742, MATCH(T$2, Players!$A$1:$P$1, 0)), perc_75, VLOOKUP(T$2, Percentiles!$A$45:$I$59, 6, FALSE), perc_90, VLOOKUP(T$2, Percentiles!$A$45:$I$59, 7, FALSE), perc_95, VLOOKUP(T$2, Percentiles!$A$45:$I$59, 8, FALSE), perc_85, perc_75 + (perc_90 - perc_75) * (2/3), converted_stat, '2K_Ratings'!T743, IF(bbgm_stat &gt;= perc_95, converted_stat * 3, IF(bbgm_stat &gt;= perc_90, converted_stat * 2, IF(bbgm_stat &gt;= perc_85, converted_stat * 1.5, converted_stat)))))</f>
        <v/>
      </c>
      <c r="U743" s="30" t="str">
        <f t="array" ref="U743">IF($A743="", "", LET(bbgm_stat, INDEX(Players!$A742:$P742, MATCH(U$2, Players!$A$1:$P$1, 0)), perc_75, VLOOKUP(U$2, Percentiles!$A$45:$I$59, 6, FALSE), perc_90, VLOOKUP(U$2, Percentiles!$A$45:$I$59, 7, FALSE), perc_95, VLOOKUP(U$2, Percentiles!$A$45:$I$59, 8, FALSE), perc_85, perc_75 + (perc_90 - perc_75) * (2/3), converted_stat, '2K_Ratings'!U743, IF(bbgm_stat &gt;= perc_95, converted_stat * 3, IF(bbgm_stat &gt;= perc_90, converted_stat * 2, IF(bbgm_stat &gt;= perc_85, converted_stat * 1.5, converted_stat)))))</f>
        <v/>
      </c>
      <c r="V743" s="30" t="str">
        <f t="array" ref="V743">IF($A743="", "", LET(bbgm_stat, INDEX(Players!$A742:$P742, MATCH(V$2, Players!$A$1:$P$1, 0)), perc_75, VLOOKUP(V$2, Percentiles!$A$45:$I$59, 6, FALSE), perc_90, VLOOKUP(V$2, Percentiles!$A$45:$I$59, 7, FALSE), perc_95, VLOOKUP(V$2, Percentiles!$A$45:$I$59, 8, FALSE), perc_85, perc_75 + (perc_90 - perc_75) * (2/3), converted_stat, '2K_Ratings'!V743, IF(bbgm_stat &gt;= perc_95, converted_stat * 3, IF(bbgm_stat &gt;= perc_90, converted_stat * 2, IF(bbgm_stat &gt;= perc_85, converted_stat * 1.5, converted_stat)))))</f>
        <v/>
      </c>
      <c r="W743" s="30" t="str">
        <f t="array" ref="W743">IF($A743="", "", LET(bbgm_stat, INDEX(Players!$A742:$P742, MATCH(W$2, Players!$A$1:$P$1, 0)), perc_75, VLOOKUP(W$2, Percentiles!$A$45:$I$59, 6, FALSE), perc_90, VLOOKUP(W$2, Percentiles!$A$45:$I$59, 7, FALSE), perc_95, VLOOKUP(W$2, Percentiles!$A$45:$I$59, 8, FALSE), perc_85, perc_75 + (perc_90 - perc_75) * (2/3), converted_stat, '2K_Ratings'!W743, IF(bbgm_stat &gt;= perc_95, converted_stat * 3, IF(bbgm_stat &gt;= perc_90, converted_stat * 2, IF(bbgm_stat &gt;= perc_85, converted_stat * 1.5, converted_stat)))))</f>
        <v/>
      </c>
    </row>
    <row r="744">
      <c r="A744" s="30"/>
      <c r="B744" s="30" t="str">
        <f t="array" ref="B744">IF($A744="", "", LET(bbgm_stat, INDEX(Players!$A743:$P743, MATCH(B$2, Players!$A$1:$P$1, 0)), perc_75, VLOOKUP(B$2, Percentiles!$A$45:$I$59, 6, FALSE), perc_90, VLOOKUP(B$2, Percentiles!$A$45:$I$59, 7, FALSE), perc_95, VLOOKUP(B$2, Percentiles!$A$45:$I$59, 8, FALSE), perc_85, perc_75 + (perc_90 - perc_75) * (2/3), converted_stat, '2K_Ratings'!B744, IF(bbgm_stat &gt;= perc_95, converted_stat * 3, IF(bbgm_stat &gt;= perc_90, converted_stat * 2, IF(bbgm_stat &gt;= perc_85, converted_stat * 1.5, converted_stat)))))</f>
        <v/>
      </c>
      <c r="C744" s="30" t="str">
        <f t="array" ref="C744">IF($A744="", "", LET(bbgm_stat, INDEX(Players!$A743:$P743, MATCH(C$2, Players!$A$1:$P$1, 0)), perc_75, VLOOKUP(C$2, Percentiles!$A$45:$I$59, 6, FALSE), perc_90, VLOOKUP(C$2, Percentiles!$A$45:$I$59, 7, FALSE), perc_95, VLOOKUP(C$2, Percentiles!$A$45:$I$59, 8, FALSE), perc_85, perc_75 + (perc_90 - perc_75) * (2/3), converted_stat, '2K_Ratings'!C744, IF(bbgm_stat &gt;= perc_95, converted_stat * 3, IF(bbgm_stat &gt;= perc_90, converted_stat * 2, IF(bbgm_stat &gt;= perc_85, converted_stat * 1.5, converted_stat)))))</f>
        <v/>
      </c>
      <c r="D744" s="30" t="str">
        <f t="array" ref="D744">IF($A744="", "", LET(bbgm_stat, INDEX(Players!$A743:$P743, MATCH(D$2, Players!$A$1:$P$1, 0)), perc_75, VLOOKUP(D$2, Percentiles!$A$45:$I$59, 6, FALSE), perc_90, VLOOKUP(D$2, Percentiles!$A$45:$I$59, 7, FALSE), perc_95, VLOOKUP(D$2, Percentiles!$A$45:$I$59, 8, FALSE), perc_85, perc_75 + (perc_90 - perc_75) * (2/3), converted_stat, '2K_Ratings'!D744, IF(bbgm_stat &gt;= perc_95, converted_stat * 3, IF(bbgm_stat &gt;= perc_90, converted_stat * 2, IF(bbgm_stat &gt;= perc_85, converted_stat * 1.5, converted_stat)))))</f>
        <v/>
      </c>
      <c r="E744" s="30" t="str">
        <f t="array" ref="E744">IF($A744="", "", LET(bbgm_stat, INDEX(Players!$A743:$P743, MATCH(E$2, Players!$A$1:$P$1, 0)), perc_75, VLOOKUP(E$2, Percentiles!$A$45:$I$59, 6, FALSE), perc_90, VLOOKUP(E$2, Percentiles!$A$45:$I$59, 7, FALSE), perc_95, VLOOKUP(E$2, Percentiles!$A$45:$I$59, 8, FALSE), perc_85, perc_75 + (perc_90 - perc_75) * (2/3), converted_stat, '2K_Ratings'!E744, IF(bbgm_stat &gt;= perc_95, converted_stat * 3, IF(bbgm_stat &gt;= perc_90, converted_stat * 2, IF(bbgm_stat &gt;= perc_85, converted_stat * 1.5, converted_stat)))))</f>
        <v/>
      </c>
      <c r="F744" s="30" t="str">
        <f t="array" ref="F744">IF($A744="", "", LET(bbgm_stat, INDEX(Players!$A743:$P743, MATCH(F$2, Players!$A$1:$P$1, 0)), perc_75, VLOOKUP(F$2, Percentiles!$A$45:$I$59, 6, FALSE), perc_90, VLOOKUP(F$2, Percentiles!$A$45:$I$59, 7, FALSE), perc_95, VLOOKUP(F$2, Percentiles!$A$45:$I$59, 8, FALSE), perc_85, perc_75 + (perc_90 - perc_75) * (2/3), converted_stat, '2K_Ratings'!F744, IF(bbgm_stat &gt;= perc_95, converted_stat * 3, IF(bbgm_stat &gt;= perc_90, converted_stat * 2, IF(bbgm_stat &gt;= perc_85, converted_stat * 1.5, converted_stat)))))</f>
        <v/>
      </c>
      <c r="G744" s="30" t="str">
        <f t="array" ref="G744">IF($A744="", "", LET(bbgm_stat, INDEX(Players!$A743:$P743, MATCH(G$2, Players!$A$1:$P$1, 0)), perc_75, VLOOKUP(G$2, Percentiles!$A$45:$I$59, 6, FALSE), perc_90, VLOOKUP(G$2, Percentiles!$A$45:$I$59, 7, FALSE), perc_95, VLOOKUP(G$2, Percentiles!$A$45:$I$59, 8, FALSE), perc_85, perc_75 + (perc_90 - perc_75) * (2/3), converted_stat, '2K_Ratings'!G744, IF(bbgm_stat &gt;= perc_95, converted_stat * 3, IF(bbgm_stat &gt;= perc_90, converted_stat * 2, IF(bbgm_stat &gt;= perc_85, converted_stat * 1.5, converted_stat)))))</f>
        <v/>
      </c>
      <c r="H744" s="30" t="str">
        <f t="array" ref="H744">IF($A744="", "", LET(bbgm_stat, INDEX(Players!$A743:$P743, MATCH(H$2, Players!$A$1:$P$1, 0)), perc_75, VLOOKUP(H$2, Percentiles!$A$45:$I$59, 6, FALSE), perc_90, VLOOKUP(H$2, Percentiles!$A$45:$I$59, 7, FALSE), perc_95, VLOOKUP(H$2, Percentiles!$A$45:$I$59, 8, FALSE), perc_85, perc_75 + (perc_90 - perc_75) * (2/3), converted_stat, '2K_Ratings'!H744, IF(bbgm_stat &gt;= perc_95, converted_stat * 3, IF(bbgm_stat &gt;= perc_90, converted_stat * 2, IF(bbgm_stat &gt;= perc_85, converted_stat * 1.5, converted_stat)))))</f>
        <v/>
      </c>
      <c r="I744" s="30" t="str">
        <f t="array" ref="I744">IF($A744="", "", LET(bbgm_stat, INDEX(Players!$A743:$P743, MATCH(I$2, Players!$A$1:$P$1, 0)), perc_75, VLOOKUP(I$2, Percentiles!$A$45:$I$59, 6, FALSE), perc_90, VLOOKUP(I$2, Percentiles!$A$45:$I$59, 7, FALSE), perc_95, VLOOKUP(I$2, Percentiles!$A$45:$I$59, 8, FALSE), perc_85, perc_75 + (perc_90 - perc_75) * (2/3), converted_stat, '2K_Ratings'!I744, IF(bbgm_stat &gt;= perc_95, converted_stat * 3, IF(bbgm_stat &gt;= perc_90, converted_stat * 2, IF(bbgm_stat &gt;= perc_85, converted_stat * 1.5, converted_stat)))))</f>
        <v/>
      </c>
      <c r="J744" s="30" t="str">
        <f t="array" ref="J744">IF($A744="", "", LET(bbgm_stat, INDEX(Players!$A743:$P743, MATCH(J$2, Players!$A$1:$P$1, 0)), perc_75, VLOOKUP(J$2, Percentiles!$A$45:$I$59, 6, FALSE), perc_90, VLOOKUP(J$2, Percentiles!$A$45:$I$59, 7, FALSE), perc_95, VLOOKUP(J$2, Percentiles!$A$45:$I$59, 8, FALSE), perc_85, perc_75 + (perc_90 - perc_75) * (2/3), converted_stat, '2K_Ratings'!J744, IF(bbgm_stat &gt;= perc_95, converted_stat * 3, IF(bbgm_stat &gt;= perc_90, converted_stat * 2, IF(bbgm_stat &gt;= perc_85, converted_stat * 1.5, converted_stat)))))</f>
        <v/>
      </c>
      <c r="K744" s="30" t="str">
        <f t="array" ref="K744">IF($A744="", "", LET(bbgm_stat, INDEX(Players!$A743:$P743, MATCH(K$2, Players!$A$1:$P$1, 0)), perc_75, VLOOKUP(K$2, Percentiles!$A$45:$I$59, 6, FALSE), perc_90, VLOOKUP(K$2, Percentiles!$A$45:$I$59, 7, FALSE), perc_95, VLOOKUP(K$2, Percentiles!$A$45:$I$59, 8, FALSE), perc_85, perc_75 + (perc_90 - perc_75) * (2/3), converted_stat, '2K_Ratings'!K744, IF(bbgm_stat &gt;= perc_95, converted_stat * 3, IF(bbgm_stat &gt;= perc_90, converted_stat * 2, IF(bbgm_stat &gt;= perc_85, converted_stat * 1.5, converted_stat)))))</f>
        <v/>
      </c>
      <c r="L744" s="30" t="str">
        <f t="array" ref="L744">IF($A744="", "", LET(bbgm_stat, INDEX(Players!$A743:$P743, MATCH(L$2, Players!$A$1:$P$1, 0)), perc_75, VLOOKUP(L$2, Percentiles!$A$45:$I$59, 6, FALSE), perc_90, VLOOKUP(L$2, Percentiles!$A$45:$I$59, 7, FALSE), perc_95, VLOOKUP(L$2, Percentiles!$A$45:$I$59, 8, FALSE), perc_85, perc_75 + (perc_90 - perc_75) * (2/3), converted_stat, '2K_Ratings'!L744, IF(bbgm_stat &gt;= perc_95, converted_stat * 3, IF(bbgm_stat &gt;= perc_90, converted_stat * 2, IF(bbgm_stat &gt;= perc_85, converted_stat * 1.5, converted_stat)))))</f>
        <v/>
      </c>
      <c r="M744" s="30" t="str">
        <f t="array" ref="M744">IF($A744="", "", LET(bbgm_stat, INDEX(Players!$A743:$P743, MATCH(M$2, Players!$A$1:$P$1, 0)), perc_75, VLOOKUP(M$2, Percentiles!$A$45:$I$59, 6, FALSE), perc_90, VLOOKUP(M$2, Percentiles!$A$45:$I$59, 7, FALSE), perc_95, VLOOKUP(M$2, Percentiles!$A$45:$I$59, 8, FALSE), perc_85, perc_75 + (perc_90 - perc_75) * (2/3), converted_stat, '2K_Ratings'!M744, IF(bbgm_stat &gt;= perc_95, converted_stat * 3, IF(bbgm_stat &gt;= perc_90, converted_stat * 2, IF(bbgm_stat &gt;= perc_85, converted_stat * 1.5, converted_stat)))))</f>
        <v/>
      </c>
      <c r="N744" s="30" t="str">
        <f t="array" ref="N744">IF($A744="", "", LET(bbgm_stat, INDEX(Players!$A743:$P743, MATCH(N$2, Players!$A$1:$P$1, 0)), perc_75, VLOOKUP(N$2, Percentiles!$A$45:$I$59, 6, FALSE), perc_90, VLOOKUP(N$2, Percentiles!$A$45:$I$59, 7, FALSE), perc_95, VLOOKUP(N$2, Percentiles!$A$45:$I$59, 8, FALSE), perc_85, perc_75 + (perc_90 - perc_75) * (2/3), converted_stat, '2K_Ratings'!N744, IF(bbgm_stat &gt;= perc_95, converted_stat * 3, IF(bbgm_stat &gt;= perc_90, converted_stat * 2, IF(bbgm_stat &gt;= perc_85, converted_stat * 1.5, converted_stat)))))</f>
        <v/>
      </c>
      <c r="O744" s="30" t="str">
        <f t="array" ref="O744">IF($A744="", "", LET(bbgm_stat, INDEX(Players!$A743:$P743, MATCH(O$2, Players!$A$1:$P$1, 0)), perc_75, VLOOKUP(O$2, Percentiles!$A$45:$I$59, 6, FALSE), perc_90, VLOOKUP(O$2, Percentiles!$A$45:$I$59, 7, FALSE), perc_95, VLOOKUP(O$2, Percentiles!$A$45:$I$59, 8, FALSE), perc_85, perc_75 + (perc_90 - perc_75) * (2/3), converted_stat, '2K_Ratings'!O744, IF(bbgm_stat &gt;= perc_95, converted_stat * 3, IF(bbgm_stat &gt;= perc_90, converted_stat * 2, IF(bbgm_stat &gt;= perc_85, converted_stat * 1.5, converted_stat)))))</f>
        <v/>
      </c>
      <c r="P744" s="30" t="str">
        <f t="array" ref="P744">IF($A744="", "", LET(bbgm_stat, INDEX(Players!$A743:$P743, MATCH(P$2, Players!$A$1:$P$1, 0)), perc_75, VLOOKUP(P$2, Percentiles!$A$45:$I$59, 6, FALSE), perc_90, VLOOKUP(P$2, Percentiles!$A$45:$I$59, 7, FALSE), perc_95, VLOOKUP(P$2, Percentiles!$A$45:$I$59, 8, FALSE), perc_85, perc_75 + (perc_90 - perc_75) * (2/3), converted_stat, '2K_Ratings'!P744, IF(bbgm_stat &gt;= perc_95, converted_stat * 3, IF(bbgm_stat &gt;= perc_90, converted_stat * 2, IF(bbgm_stat &gt;= perc_85, converted_stat * 1.5, converted_stat)))))</f>
        <v/>
      </c>
      <c r="Q744" s="30" t="str">
        <f t="array" ref="Q744">IF($A744="", "", LET(bbgm_stat, INDEX(Players!$A743:$P743, MATCH(Q$2, Players!$A$1:$P$1, 0)), perc_75, VLOOKUP(Q$2, Percentiles!$A$45:$I$59, 6, FALSE), perc_90, VLOOKUP(Q$2, Percentiles!$A$45:$I$59, 7, FALSE), perc_95, VLOOKUP(Q$2, Percentiles!$A$45:$I$59, 8, FALSE), perc_85, perc_75 + (perc_90 - perc_75) * (2/3), converted_stat, '2K_Ratings'!Q744, IF(bbgm_stat &gt;= perc_95, converted_stat * 3, IF(bbgm_stat &gt;= perc_90, converted_stat * 2, IF(bbgm_stat &gt;= perc_85, converted_stat * 1.5, converted_stat)))))</f>
        <v/>
      </c>
      <c r="R744" s="30" t="str">
        <f t="array" ref="R744">IF($A744="", "", LET(bbgm_stat, INDEX(Players!$A743:$P743, MATCH(R$2, Players!$A$1:$P$1, 0)), perc_75, VLOOKUP(R$2, Percentiles!$A$45:$I$59, 6, FALSE), perc_90, VLOOKUP(R$2, Percentiles!$A$45:$I$59, 7, FALSE), perc_95, VLOOKUP(R$2, Percentiles!$A$45:$I$59, 8, FALSE), perc_85, perc_75 + (perc_90 - perc_75) * (2/3), converted_stat, '2K_Ratings'!R744, IF(bbgm_stat &gt;= perc_95, converted_stat * 3, IF(bbgm_stat &gt;= perc_90, converted_stat * 2, IF(bbgm_stat &gt;= perc_85, converted_stat * 1.5, converted_stat)))))</f>
        <v/>
      </c>
      <c r="S744" s="30" t="str">
        <f t="array" ref="S744">IF($A744="", "", LET(bbgm_stat, INDEX(Players!$A743:$P743, MATCH(S$2, Players!$A$1:$P$1, 0)), perc_75, VLOOKUP(S$2, Percentiles!$A$45:$I$59, 6, FALSE), perc_90, VLOOKUP(S$2, Percentiles!$A$45:$I$59, 7, FALSE), perc_95, VLOOKUP(S$2, Percentiles!$A$45:$I$59, 8, FALSE), perc_85, perc_75 + (perc_90 - perc_75) * (2/3), converted_stat, '2K_Ratings'!S744, IF(bbgm_stat &gt;= perc_95, converted_stat * 3, IF(bbgm_stat &gt;= perc_90, converted_stat * 2, IF(bbgm_stat &gt;= perc_85, converted_stat * 1.5, converted_stat)))))</f>
        <v/>
      </c>
      <c r="T744" s="30" t="str">
        <f t="array" ref="T744">IF($A744="", "", LET(bbgm_stat, INDEX(Players!$A743:$P743, MATCH(T$2, Players!$A$1:$P$1, 0)), perc_75, VLOOKUP(T$2, Percentiles!$A$45:$I$59, 6, FALSE), perc_90, VLOOKUP(T$2, Percentiles!$A$45:$I$59, 7, FALSE), perc_95, VLOOKUP(T$2, Percentiles!$A$45:$I$59, 8, FALSE), perc_85, perc_75 + (perc_90 - perc_75) * (2/3), converted_stat, '2K_Ratings'!T744, IF(bbgm_stat &gt;= perc_95, converted_stat * 3, IF(bbgm_stat &gt;= perc_90, converted_stat * 2, IF(bbgm_stat &gt;= perc_85, converted_stat * 1.5, converted_stat)))))</f>
        <v/>
      </c>
      <c r="U744" s="30" t="str">
        <f t="array" ref="U744">IF($A744="", "", LET(bbgm_stat, INDEX(Players!$A743:$P743, MATCH(U$2, Players!$A$1:$P$1, 0)), perc_75, VLOOKUP(U$2, Percentiles!$A$45:$I$59, 6, FALSE), perc_90, VLOOKUP(U$2, Percentiles!$A$45:$I$59, 7, FALSE), perc_95, VLOOKUP(U$2, Percentiles!$A$45:$I$59, 8, FALSE), perc_85, perc_75 + (perc_90 - perc_75) * (2/3), converted_stat, '2K_Ratings'!U744, IF(bbgm_stat &gt;= perc_95, converted_stat * 3, IF(bbgm_stat &gt;= perc_90, converted_stat * 2, IF(bbgm_stat &gt;= perc_85, converted_stat * 1.5, converted_stat)))))</f>
        <v/>
      </c>
      <c r="V744" s="30" t="str">
        <f t="array" ref="V744">IF($A744="", "", LET(bbgm_stat, INDEX(Players!$A743:$P743, MATCH(V$2, Players!$A$1:$P$1, 0)), perc_75, VLOOKUP(V$2, Percentiles!$A$45:$I$59, 6, FALSE), perc_90, VLOOKUP(V$2, Percentiles!$A$45:$I$59, 7, FALSE), perc_95, VLOOKUP(V$2, Percentiles!$A$45:$I$59, 8, FALSE), perc_85, perc_75 + (perc_90 - perc_75) * (2/3), converted_stat, '2K_Ratings'!V744, IF(bbgm_stat &gt;= perc_95, converted_stat * 3, IF(bbgm_stat &gt;= perc_90, converted_stat * 2, IF(bbgm_stat &gt;= perc_85, converted_stat * 1.5, converted_stat)))))</f>
        <v/>
      </c>
      <c r="W744" s="30" t="str">
        <f t="array" ref="W744">IF($A744="", "", LET(bbgm_stat, INDEX(Players!$A743:$P743, MATCH(W$2, Players!$A$1:$P$1, 0)), perc_75, VLOOKUP(W$2, Percentiles!$A$45:$I$59, 6, FALSE), perc_90, VLOOKUP(W$2, Percentiles!$A$45:$I$59, 7, FALSE), perc_95, VLOOKUP(W$2, Percentiles!$A$45:$I$59, 8, FALSE), perc_85, perc_75 + (perc_90 - perc_75) * (2/3), converted_stat, '2K_Ratings'!W744, IF(bbgm_stat &gt;= perc_95, converted_stat * 3, IF(bbgm_stat &gt;= perc_90, converted_stat * 2, IF(bbgm_stat &gt;= perc_85, converted_stat * 1.5, converted_stat)))))</f>
        <v/>
      </c>
    </row>
    <row r="745">
      <c r="A745" s="30"/>
      <c r="B745" s="30" t="str">
        <f t="array" ref="B745">IF($A745="", "", LET(bbgm_stat, INDEX(Players!$A744:$P744, MATCH(B$2, Players!$A$1:$P$1, 0)), perc_75, VLOOKUP(B$2, Percentiles!$A$45:$I$59, 6, FALSE), perc_90, VLOOKUP(B$2, Percentiles!$A$45:$I$59, 7, FALSE), perc_95, VLOOKUP(B$2, Percentiles!$A$45:$I$59, 8, FALSE), perc_85, perc_75 + (perc_90 - perc_75) * (2/3), converted_stat, '2K_Ratings'!B745, IF(bbgm_stat &gt;= perc_95, converted_stat * 3, IF(bbgm_stat &gt;= perc_90, converted_stat * 2, IF(bbgm_stat &gt;= perc_85, converted_stat * 1.5, converted_stat)))))</f>
        <v/>
      </c>
      <c r="C745" s="30" t="str">
        <f t="array" ref="C745">IF($A745="", "", LET(bbgm_stat, INDEX(Players!$A744:$P744, MATCH(C$2, Players!$A$1:$P$1, 0)), perc_75, VLOOKUP(C$2, Percentiles!$A$45:$I$59, 6, FALSE), perc_90, VLOOKUP(C$2, Percentiles!$A$45:$I$59, 7, FALSE), perc_95, VLOOKUP(C$2, Percentiles!$A$45:$I$59, 8, FALSE), perc_85, perc_75 + (perc_90 - perc_75) * (2/3), converted_stat, '2K_Ratings'!C745, IF(bbgm_stat &gt;= perc_95, converted_stat * 3, IF(bbgm_stat &gt;= perc_90, converted_stat * 2, IF(bbgm_stat &gt;= perc_85, converted_stat * 1.5, converted_stat)))))</f>
        <v/>
      </c>
      <c r="D745" s="30" t="str">
        <f t="array" ref="D745">IF($A745="", "", LET(bbgm_stat, INDEX(Players!$A744:$P744, MATCH(D$2, Players!$A$1:$P$1, 0)), perc_75, VLOOKUP(D$2, Percentiles!$A$45:$I$59, 6, FALSE), perc_90, VLOOKUP(D$2, Percentiles!$A$45:$I$59, 7, FALSE), perc_95, VLOOKUP(D$2, Percentiles!$A$45:$I$59, 8, FALSE), perc_85, perc_75 + (perc_90 - perc_75) * (2/3), converted_stat, '2K_Ratings'!D745, IF(bbgm_stat &gt;= perc_95, converted_stat * 3, IF(bbgm_stat &gt;= perc_90, converted_stat * 2, IF(bbgm_stat &gt;= perc_85, converted_stat * 1.5, converted_stat)))))</f>
        <v/>
      </c>
      <c r="E745" s="30" t="str">
        <f t="array" ref="E745">IF($A745="", "", LET(bbgm_stat, INDEX(Players!$A744:$P744, MATCH(E$2, Players!$A$1:$P$1, 0)), perc_75, VLOOKUP(E$2, Percentiles!$A$45:$I$59, 6, FALSE), perc_90, VLOOKUP(E$2, Percentiles!$A$45:$I$59, 7, FALSE), perc_95, VLOOKUP(E$2, Percentiles!$A$45:$I$59, 8, FALSE), perc_85, perc_75 + (perc_90 - perc_75) * (2/3), converted_stat, '2K_Ratings'!E745, IF(bbgm_stat &gt;= perc_95, converted_stat * 3, IF(bbgm_stat &gt;= perc_90, converted_stat * 2, IF(bbgm_stat &gt;= perc_85, converted_stat * 1.5, converted_stat)))))</f>
        <v/>
      </c>
      <c r="F745" s="30" t="str">
        <f t="array" ref="F745">IF($A745="", "", LET(bbgm_stat, INDEX(Players!$A744:$P744, MATCH(F$2, Players!$A$1:$P$1, 0)), perc_75, VLOOKUP(F$2, Percentiles!$A$45:$I$59, 6, FALSE), perc_90, VLOOKUP(F$2, Percentiles!$A$45:$I$59, 7, FALSE), perc_95, VLOOKUP(F$2, Percentiles!$A$45:$I$59, 8, FALSE), perc_85, perc_75 + (perc_90 - perc_75) * (2/3), converted_stat, '2K_Ratings'!F745, IF(bbgm_stat &gt;= perc_95, converted_stat * 3, IF(bbgm_stat &gt;= perc_90, converted_stat * 2, IF(bbgm_stat &gt;= perc_85, converted_stat * 1.5, converted_stat)))))</f>
        <v/>
      </c>
      <c r="G745" s="30" t="str">
        <f t="array" ref="G745">IF($A745="", "", LET(bbgm_stat, INDEX(Players!$A744:$P744, MATCH(G$2, Players!$A$1:$P$1, 0)), perc_75, VLOOKUP(G$2, Percentiles!$A$45:$I$59, 6, FALSE), perc_90, VLOOKUP(G$2, Percentiles!$A$45:$I$59, 7, FALSE), perc_95, VLOOKUP(G$2, Percentiles!$A$45:$I$59, 8, FALSE), perc_85, perc_75 + (perc_90 - perc_75) * (2/3), converted_stat, '2K_Ratings'!G745, IF(bbgm_stat &gt;= perc_95, converted_stat * 3, IF(bbgm_stat &gt;= perc_90, converted_stat * 2, IF(bbgm_stat &gt;= perc_85, converted_stat * 1.5, converted_stat)))))</f>
        <v/>
      </c>
      <c r="H745" s="30" t="str">
        <f t="array" ref="H745">IF($A745="", "", LET(bbgm_stat, INDEX(Players!$A744:$P744, MATCH(H$2, Players!$A$1:$P$1, 0)), perc_75, VLOOKUP(H$2, Percentiles!$A$45:$I$59, 6, FALSE), perc_90, VLOOKUP(H$2, Percentiles!$A$45:$I$59, 7, FALSE), perc_95, VLOOKUP(H$2, Percentiles!$A$45:$I$59, 8, FALSE), perc_85, perc_75 + (perc_90 - perc_75) * (2/3), converted_stat, '2K_Ratings'!H745, IF(bbgm_stat &gt;= perc_95, converted_stat * 3, IF(bbgm_stat &gt;= perc_90, converted_stat * 2, IF(bbgm_stat &gt;= perc_85, converted_stat * 1.5, converted_stat)))))</f>
        <v/>
      </c>
      <c r="I745" s="30" t="str">
        <f t="array" ref="I745">IF($A745="", "", LET(bbgm_stat, INDEX(Players!$A744:$P744, MATCH(I$2, Players!$A$1:$P$1, 0)), perc_75, VLOOKUP(I$2, Percentiles!$A$45:$I$59, 6, FALSE), perc_90, VLOOKUP(I$2, Percentiles!$A$45:$I$59, 7, FALSE), perc_95, VLOOKUP(I$2, Percentiles!$A$45:$I$59, 8, FALSE), perc_85, perc_75 + (perc_90 - perc_75) * (2/3), converted_stat, '2K_Ratings'!I745, IF(bbgm_stat &gt;= perc_95, converted_stat * 3, IF(bbgm_stat &gt;= perc_90, converted_stat * 2, IF(bbgm_stat &gt;= perc_85, converted_stat * 1.5, converted_stat)))))</f>
        <v/>
      </c>
      <c r="J745" s="30" t="str">
        <f t="array" ref="J745">IF($A745="", "", LET(bbgm_stat, INDEX(Players!$A744:$P744, MATCH(J$2, Players!$A$1:$P$1, 0)), perc_75, VLOOKUP(J$2, Percentiles!$A$45:$I$59, 6, FALSE), perc_90, VLOOKUP(J$2, Percentiles!$A$45:$I$59, 7, FALSE), perc_95, VLOOKUP(J$2, Percentiles!$A$45:$I$59, 8, FALSE), perc_85, perc_75 + (perc_90 - perc_75) * (2/3), converted_stat, '2K_Ratings'!J745, IF(bbgm_stat &gt;= perc_95, converted_stat * 3, IF(bbgm_stat &gt;= perc_90, converted_stat * 2, IF(bbgm_stat &gt;= perc_85, converted_stat * 1.5, converted_stat)))))</f>
        <v/>
      </c>
      <c r="K745" s="30" t="str">
        <f t="array" ref="K745">IF($A745="", "", LET(bbgm_stat, INDEX(Players!$A744:$P744, MATCH(K$2, Players!$A$1:$P$1, 0)), perc_75, VLOOKUP(K$2, Percentiles!$A$45:$I$59, 6, FALSE), perc_90, VLOOKUP(K$2, Percentiles!$A$45:$I$59, 7, FALSE), perc_95, VLOOKUP(K$2, Percentiles!$A$45:$I$59, 8, FALSE), perc_85, perc_75 + (perc_90 - perc_75) * (2/3), converted_stat, '2K_Ratings'!K745, IF(bbgm_stat &gt;= perc_95, converted_stat * 3, IF(bbgm_stat &gt;= perc_90, converted_stat * 2, IF(bbgm_stat &gt;= perc_85, converted_stat * 1.5, converted_stat)))))</f>
        <v/>
      </c>
      <c r="L745" s="30" t="str">
        <f t="array" ref="L745">IF($A745="", "", LET(bbgm_stat, INDEX(Players!$A744:$P744, MATCH(L$2, Players!$A$1:$P$1, 0)), perc_75, VLOOKUP(L$2, Percentiles!$A$45:$I$59, 6, FALSE), perc_90, VLOOKUP(L$2, Percentiles!$A$45:$I$59, 7, FALSE), perc_95, VLOOKUP(L$2, Percentiles!$A$45:$I$59, 8, FALSE), perc_85, perc_75 + (perc_90 - perc_75) * (2/3), converted_stat, '2K_Ratings'!L745, IF(bbgm_stat &gt;= perc_95, converted_stat * 3, IF(bbgm_stat &gt;= perc_90, converted_stat * 2, IF(bbgm_stat &gt;= perc_85, converted_stat * 1.5, converted_stat)))))</f>
        <v/>
      </c>
      <c r="M745" s="30" t="str">
        <f t="array" ref="M745">IF($A745="", "", LET(bbgm_stat, INDEX(Players!$A744:$P744, MATCH(M$2, Players!$A$1:$P$1, 0)), perc_75, VLOOKUP(M$2, Percentiles!$A$45:$I$59, 6, FALSE), perc_90, VLOOKUP(M$2, Percentiles!$A$45:$I$59, 7, FALSE), perc_95, VLOOKUP(M$2, Percentiles!$A$45:$I$59, 8, FALSE), perc_85, perc_75 + (perc_90 - perc_75) * (2/3), converted_stat, '2K_Ratings'!M745, IF(bbgm_stat &gt;= perc_95, converted_stat * 3, IF(bbgm_stat &gt;= perc_90, converted_stat * 2, IF(bbgm_stat &gt;= perc_85, converted_stat * 1.5, converted_stat)))))</f>
        <v/>
      </c>
      <c r="N745" s="30" t="str">
        <f t="array" ref="N745">IF($A745="", "", LET(bbgm_stat, INDEX(Players!$A744:$P744, MATCH(N$2, Players!$A$1:$P$1, 0)), perc_75, VLOOKUP(N$2, Percentiles!$A$45:$I$59, 6, FALSE), perc_90, VLOOKUP(N$2, Percentiles!$A$45:$I$59, 7, FALSE), perc_95, VLOOKUP(N$2, Percentiles!$A$45:$I$59, 8, FALSE), perc_85, perc_75 + (perc_90 - perc_75) * (2/3), converted_stat, '2K_Ratings'!N745, IF(bbgm_stat &gt;= perc_95, converted_stat * 3, IF(bbgm_stat &gt;= perc_90, converted_stat * 2, IF(bbgm_stat &gt;= perc_85, converted_stat * 1.5, converted_stat)))))</f>
        <v/>
      </c>
      <c r="O745" s="30" t="str">
        <f t="array" ref="O745">IF($A745="", "", LET(bbgm_stat, INDEX(Players!$A744:$P744, MATCH(O$2, Players!$A$1:$P$1, 0)), perc_75, VLOOKUP(O$2, Percentiles!$A$45:$I$59, 6, FALSE), perc_90, VLOOKUP(O$2, Percentiles!$A$45:$I$59, 7, FALSE), perc_95, VLOOKUP(O$2, Percentiles!$A$45:$I$59, 8, FALSE), perc_85, perc_75 + (perc_90 - perc_75) * (2/3), converted_stat, '2K_Ratings'!O745, IF(bbgm_stat &gt;= perc_95, converted_stat * 3, IF(bbgm_stat &gt;= perc_90, converted_stat * 2, IF(bbgm_stat &gt;= perc_85, converted_stat * 1.5, converted_stat)))))</f>
        <v/>
      </c>
      <c r="P745" s="30" t="str">
        <f t="array" ref="P745">IF($A745="", "", LET(bbgm_stat, INDEX(Players!$A744:$P744, MATCH(P$2, Players!$A$1:$P$1, 0)), perc_75, VLOOKUP(P$2, Percentiles!$A$45:$I$59, 6, FALSE), perc_90, VLOOKUP(P$2, Percentiles!$A$45:$I$59, 7, FALSE), perc_95, VLOOKUP(P$2, Percentiles!$A$45:$I$59, 8, FALSE), perc_85, perc_75 + (perc_90 - perc_75) * (2/3), converted_stat, '2K_Ratings'!P745, IF(bbgm_stat &gt;= perc_95, converted_stat * 3, IF(bbgm_stat &gt;= perc_90, converted_stat * 2, IF(bbgm_stat &gt;= perc_85, converted_stat * 1.5, converted_stat)))))</f>
        <v/>
      </c>
      <c r="Q745" s="30" t="str">
        <f t="array" ref="Q745">IF($A745="", "", LET(bbgm_stat, INDEX(Players!$A744:$P744, MATCH(Q$2, Players!$A$1:$P$1, 0)), perc_75, VLOOKUP(Q$2, Percentiles!$A$45:$I$59, 6, FALSE), perc_90, VLOOKUP(Q$2, Percentiles!$A$45:$I$59, 7, FALSE), perc_95, VLOOKUP(Q$2, Percentiles!$A$45:$I$59, 8, FALSE), perc_85, perc_75 + (perc_90 - perc_75) * (2/3), converted_stat, '2K_Ratings'!Q745, IF(bbgm_stat &gt;= perc_95, converted_stat * 3, IF(bbgm_stat &gt;= perc_90, converted_stat * 2, IF(bbgm_stat &gt;= perc_85, converted_stat * 1.5, converted_stat)))))</f>
        <v/>
      </c>
      <c r="R745" s="30" t="str">
        <f t="array" ref="R745">IF($A745="", "", LET(bbgm_stat, INDEX(Players!$A744:$P744, MATCH(R$2, Players!$A$1:$P$1, 0)), perc_75, VLOOKUP(R$2, Percentiles!$A$45:$I$59, 6, FALSE), perc_90, VLOOKUP(R$2, Percentiles!$A$45:$I$59, 7, FALSE), perc_95, VLOOKUP(R$2, Percentiles!$A$45:$I$59, 8, FALSE), perc_85, perc_75 + (perc_90 - perc_75) * (2/3), converted_stat, '2K_Ratings'!R745, IF(bbgm_stat &gt;= perc_95, converted_stat * 3, IF(bbgm_stat &gt;= perc_90, converted_stat * 2, IF(bbgm_stat &gt;= perc_85, converted_stat * 1.5, converted_stat)))))</f>
        <v/>
      </c>
      <c r="S745" s="30" t="str">
        <f t="array" ref="S745">IF($A745="", "", LET(bbgm_stat, INDEX(Players!$A744:$P744, MATCH(S$2, Players!$A$1:$P$1, 0)), perc_75, VLOOKUP(S$2, Percentiles!$A$45:$I$59, 6, FALSE), perc_90, VLOOKUP(S$2, Percentiles!$A$45:$I$59, 7, FALSE), perc_95, VLOOKUP(S$2, Percentiles!$A$45:$I$59, 8, FALSE), perc_85, perc_75 + (perc_90 - perc_75) * (2/3), converted_stat, '2K_Ratings'!S745, IF(bbgm_stat &gt;= perc_95, converted_stat * 3, IF(bbgm_stat &gt;= perc_90, converted_stat * 2, IF(bbgm_stat &gt;= perc_85, converted_stat * 1.5, converted_stat)))))</f>
        <v/>
      </c>
      <c r="T745" s="30" t="str">
        <f t="array" ref="T745">IF($A745="", "", LET(bbgm_stat, INDEX(Players!$A744:$P744, MATCH(T$2, Players!$A$1:$P$1, 0)), perc_75, VLOOKUP(T$2, Percentiles!$A$45:$I$59, 6, FALSE), perc_90, VLOOKUP(T$2, Percentiles!$A$45:$I$59, 7, FALSE), perc_95, VLOOKUP(T$2, Percentiles!$A$45:$I$59, 8, FALSE), perc_85, perc_75 + (perc_90 - perc_75) * (2/3), converted_stat, '2K_Ratings'!T745, IF(bbgm_stat &gt;= perc_95, converted_stat * 3, IF(bbgm_stat &gt;= perc_90, converted_stat * 2, IF(bbgm_stat &gt;= perc_85, converted_stat * 1.5, converted_stat)))))</f>
        <v/>
      </c>
      <c r="U745" s="30" t="str">
        <f t="array" ref="U745">IF($A745="", "", LET(bbgm_stat, INDEX(Players!$A744:$P744, MATCH(U$2, Players!$A$1:$P$1, 0)), perc_75, VLOOKUP(U$2, Percentiles!$A$45:$I$59, 6, FALSE), perc_90, VLOOKUP(U$2, Percentiles!$A$45:$I$59, 7, FALSE), perc_95, VLOOKUP(U$2, Percentiles!$A$45:$I$59, 8, FALSE), perc_85, perc_75 + (perc_90 - perc_75) * (2/3), converted_stat, '2K_Ratings'!U745, IF(bbgm_stat &gt;= perc_95, converted_stat * 3, IF(bbgm_stat &gt;= perc_90, converted_stat * 2, IF(bbgm_stat &gt;= perc_85, converted_stat * 1.5, converted_stat)))))</f>
        <v/>
      </c>
      <c r="V745" s="30" t="str">
        <f t="array" ref="V745">IF($A745="", "", LET(bbgm_stat, INDEX(Players!$A744:$P744, MATCH(V$2, Players!$A$1:$P$1, 0)), perc_75, VLOOKUP(V$2, Percentiles!$A$45:$I$59, 6, FALSE), perc_90, VLOOKUP(V$2, Percentiles!$A$45:$I$59, 7, FALSE), perc_95, VLOOKUP(V$2, Percentiles!$A$45:$I$59, 8, FALSE), perc_85, perc_75 + (perc_90 - perc_75) * (2/3), converted_stat, '2K_Ratings'!V745, IF(bbgm_stat &gt;= perc_95, converted_stat * 3, IF(bbgm_stat &gt;= perc_90, converted_stat * 2, IF(bbgm_stat &gt;= perc_85, converted_stat * 1.5, converted_stat)))))</f>
        <v/>
      </c>
      <c r="W745" s="30" t="str">
        <f t="array" ref="W745">IF($A745="", "", LET(bbgm_stat, INDEX(Players!$A744:$P744, MATCH(W$2, Players!$A$1:$P$1, 0)), perc_75, VLOOKUP(W$2, Percentiles!$A$45:$I$59, 6, FALSE), perc_90, VLOOKUP(W$2, Percentiles!$A$45:$I$59, 7, FALSE), perc_95, VLOOKUP(W$2, Percentiles!$A$45:$I$59, 8, FALSE), perc_85, perc_75 + (perc_90 - perc_75) * (2/3), converted_stat, '2K_Ratings'!W745, IF(bbgm_stat &gt;= perc_95, converted_stat * 3, IF(bbgm_stat &gt;= perc_90, converted_stat * 2, IF(bbgm_stat &gt;= perc_85, converted_stat * 1.5, converted_stat)))))</f>
        <v/>
      </c>
    </row>
    <row r="746">
      <c r="A746" s="30"/>
      <c r="B746" s="30" t="str">
        <f t="array" ref="B746">IF($A746="", "", LET(bbgm_stat, INDEX(Players!$A745:$P745, MATCH(B$2, Players!$A$1:$P$1, 0)), perc_75, VLOOKUP(B$2, Percentiles!$A$45:$I$59, 6, FALSE), perc_90, VLOOKUP(B$2, Percentiles!$A$45:$I$59, 7, FALSE), perc_95, VLOOKUP(B$2, Percentiles!$A$45:$I$59, 8, FALSE), perc_85, perc_75 + (perc_90 - perc_75) * (2/3), converted_stat, '2K_Ratings'!B746, IF(bbgm_stat &gt;= perc_95, converted_stat * 3, IF(bbgm_stat &gt;= perc_90, converted_stat * 2, IF(bbgm_stat &gt;= perc_85, converted_stat * 1.5, converted_stat)))))</f>
        <v/>
      </c>
      <c r="C746" s="30" t="str">
        <f t="array" ref="C746">IF($A746="", "", LET(bbgm_stat, INDEX(Players!$A745:$P745, MATCH(C$2, Players!$A$1:$P$1, 0)), perc_75, VLOOKUP(C$2, Percentiles!$A$45:$I$59, 6, FALSE), perc_90, VLOOKUP(C$2, Percentiles!$A$45:$I$59, 7, FALSE), perc_95, VLOOKUP(C$2, Percentiles!$A$45:$I$59, 8, FALSE), perc_85, perc_75 + (perc_90 - perc_75) * (2/3), converted_stat, '2K_Ratings'!C746, IF(bbgm_stat &gt;= perc_95, converted_stat * 3, IF(bbgm_stat &gt;= perc_90, converted_stat * 2, IF(bbgm_stat &gt;= perc_85, converted_stat * 1.5, converted_stat)))))</f>
        <v/>
      </c>
      <c r="D746" s="30" t="str">
        <f t="array" ref="D746">IF($A746="", "", LET(bbgm_stat, INDEX(Players!$A745:$P745, MATCH(D$2, Players!$A$1:$P$1, 0)), perc_75, VLOOKUP(D$2, Percentiles!$A$45:$I$59, 6, FALSE), perc_90, VLOOKUP(D$2, Percentiles!$A$45:$I$59, 7, FALSE), perc_95, VLOOKUP(D$2, Percentiles!$A$45:$I$59, 8, FALSE), perc_85, perc_75 + (perc_90 - perc_75) * (2/3), converted_stat, '2K_Ratings'!D746, IF(bbgm_stat &gt;= perc_95, converted_stat * 3, IF(bbgm_stat &gt;= perc_90, converted_stat * 2, IF(bbgm_stat &gt;= perc_85, converted_stat * 1.5, converted_stat)))))</f>
        <v/>
      </c>
      <c r="E746" s="30" t="str">
        <f t="array" ref="E746">IF($A746="", "", LET(bbgm_stat, INDEX(Players!$A745:$P745, MATCH(E$2, Players!$A$1:$P$1, 0)), perc_75, VLOOKUP(E$2, Percentiles!$A$45:$I$59, 6, FALSE), perc_90, VLOOKUP(E$2, Percentiles!$A$45:$I$59, 7, FALSE), perc_95, VLOOKUP(E$2, Percentiles!$A$45:$I$59, 8, FALSE), perc_85, perc_75 + (perc_90 - perc_75) * (2/3), converted_stat, '2K_Ratings'!E746, IF(bbgm_stat &gt;= perc_95, converted_stat * 3, IF(bbgm_stat &gt;= perc_90, converted_stat * 2, IF(bbgm_stat &gt;= perc_85, converted_stat * 1.5, converted_stat)))))</f>
        <v/>
      </c>
      <c r="F746" s="30" t="str">
        <f t="array" ref="F746">IF($A746="", "", LET(bbgm_stat, INDEX(Players!$A745:$P745, MATCH(F$2, Players!$A$1:$P$1, 0)), perc_75, VLOOKUP(F$2, Percentiles!$A$45:$I$59, 6, FALSE), perc_90, VLOOKUP(F$2, Percentiles!$A$45:$I$59, 7, FALSE), perc_95, VLOOKUP(F$2, Percentiles!$A$45:$I$59, 8, FALSE), perc_85, perc_75 + (perc_90 - perc_75) * (2/3), converted_stat, '2K_Ratings'!F746, IF(bbgm_stat &gt;= perc_95, converted_stat * 3, IF(bbgm_stat &gt;= perc_90, converted_stat * 2, IF(bbgm_stat &gt;= perc_85, converted_stat * 1.5, converted_stat)))))</f>
        <v/>
      </c>
      <c r="G746" s="30" t="str">
        <f t="array" ref="G746">IF($A746="", "", LET(bbgm_stat, INDEX(Players!$A745:$P745, MATCH(G$2, Players!$A$1:$P$1, 0)), perc_75, VLOOKUP(G$2, Percentiles!$A$45:$I$59, 6, FALSE), perc_90, VLOOKUP(G$2, Percentiles!$A$45:$I$59, 7, FALSE), perc_95, VLOOKUP(G$2, Percentiles!$A$45:$I$59, 8, FALSE), perc_85, perc_75 + (perc_90 - perc_75) * (2/3), converted_stat, '2K_Ratings'!G746, IF(bbgm_stat &gt;= perc_95, converted_stat * 3, IF(bbgm_stat &gt;= perc_90, converted_stat * 2, IF(bbgm_stat &gt;= perc_85, converted_stat * 1.5, converted_stat)))))</f>
        <v/>
      </c>
      <c r="H746" s="30" t="str">
        <f t="array" ref="H746">IF($A746="", "", LET(bbgm_stat, INDEX(Players!$A745:$P745, MATCH(H$2, Players!$A$1:$P$1, 0)), perc_75, VLOOKUP(H$2, Percentiles!$A$45:$I$59, 6, FALSE), perc_90, VLOOKUP(H$2, Percentiles!$A$45:$I$59, 7, FALSE), perc_95, VLOOKUP(H$2, Percentiles!$A$45:$I$59, 8, FALSE), perc_85, perc_75 + (perc_90 - perc_75) * (2/3), converted_stat, '2K_Ratings'!H746, IF(bbgm_stat &gt;= perc_95, converted_stat * 3, IF(bbgm_stat &gt;= perc_90, converted_stat * 2, IF(bbgm_stat &gt;= perc_85, converted_stat * 1.5, converted_stat)))))</f>
        <v/>
      </c>
      <c r="I746" s="30" t="str">
        <f t="array" ref="I746">IF($A746="", "", LET(bbgm_stat, INDEX(Players!$A745:$P745, MATCH(I$2, Players!$A$1:$P$1, 0)), perc_75, VLOOKUP(I$2, Percentiles!$A$45:$I$59, 6, FALSE), perc_90, VLOOKUP(I$2, Percentiles!$A$45:$I$59, 7, FALSE), perc_95, VLOOKUP(I$2, Percentiles!$A$45:$I$59, 8, FALSE), perc_85, perc_75 + (perc_90 - perc_75) * (2/3), converted_stat, '2K_Ratings'!I746, IF(bbgm_stat &gt;= perc_95, converted_stat * 3, IF(bbgm_stat &gt;= perc_90, converted_stat * 2, IF(bbgm_stat &gt;= perc_85, converted_stat * 1.5, converted_stat)))))</f>
        <v/>
      </c>
      <c r="J746" s="30" t="str">
        <f t="array" ref="J746">IF($A746="", "", LET(bbgm_stat, INDEX(Players!$A745:$P745, MATCH(J$2, Players!$A$1:$P$1, 0)), perc_75, VLOOKUP(J$2, Percentiles!$A$45:$I$59, 6, FALSE), perc_90, VLOOKUP(J$2, Percentiles!$A$45:$I$59, 7, FALSE), perc_95, VLOOKUP(J$2, Percentiles!$A$45:$I$59, 8, FALSE), perc_85, perc_75 + (perc_90 - perc_75) * (2/3), converted_stat, '2K_Ratings'!J746, IF(bbgm_stat &gt;= perc_95, converted_stat * 3, IF(bbgm_stat &gt;= perc_90, converted_stat * 2, IF(bbgm_stat &gt;= perc_85, converted_stat * 1.5, converted_stat)))))</f>
        <v/>
      </c>
      <c r="K746" s="30" t="str">
        <f t="array" ref="K746">IF($A746="", "", LET(bbgm_stat, INDEX(Players!$A745:$P745, MATCH(K$2, Players!$A$1:$P$1, 0)), perc_75, VLOOKUP(K$2, Percentiles!$A$45:$I$59, 6, FALSE), perc_90, VLOOKUP(K$2, Percentiles!$A$45:$I$59, 7, FALSE), perc_95, VLOOKUP(K$2, Percentiles!$A$45:$I$59, 8, FALSE), perc_85, perc_75 + (perc_90 - perc_75) * (2/3), converted_stat, '2K_Ratings'!K746, IF(bbgm_stat &gt;= perc_95, converted_stat * 3, IF(bbgm_stat &gt;= perc_90, converted_stat * 2, IF(bbgm_stat &gt;= perc_85, converted_stat * 1.5, converted_stat)))))</f>
        <v/>
      </c>
      <c r="L746" s="30" t="str">
        <f t="array" ref="L746">IF($A746="", "", LET(bbgm_stat, INDEX(Players!$A745:$P745, MATCH(L$2, Players!$A$1:$P$1, 0)), perc_75, VLOOKUP(L$2, Percentiles!$A$45:$I$59, 6, FALSE), perc_90, VLOOKUP(L$2, Percentiles!$A$45:$I$59, 7, FALSE), perc_95, VLOOKUP(L$2, Percentiles!$A$45:$I$59, 8, FALSE), perc_85, perc_75 + (perc_90 - perc_75) * (2/3), converted_stat, '2K_Ratings'!L746, IF(bbgm_stat &gt;= perc_95, converted_stat * 3, IF(bbgm_stat &gt;= perc_90, converted_stat * 2, IF(bbgm_stat &gt;= perc_85, converted_stat * 1.5, converted_stat)))))</f>
        <v/>
      </c>
      <c r="M746" s="30" t="str">
        <f t="array" ref="M746">IF($A746="", "", LET(bbgm_stat, INDEX(Players!$A745:$P745, MATCH(M$2, Players!$A$1:$P$1, 0)), perc_75, VLOOKUP(M$2, Percentiles!$A$45:$I$59, 6, FALSE), perc_90, VLOOKUP(M$2, Percentiles!$A$45:$I$59, 7, FALSE), perc_95, VLOOKUP(M$2, Percentiles!$A$45:$I$59, 8, FALSE), perc_85, perc_75 + (perc_90 - perc_75) * (2/3), converted_stat, '2K_Ratings'!M746, IF(bbgm_stat &gt;= perc_95, converted_stat * 3, IF(bbgm_stat &gt;= perc_90, converted_stat * 2, IF(bbgm_stat &gt;= perc_85, converted_stat * 1.5, converted_stat)))))</f>
        <v/>
      </c>
      <c r="N746" s="30" t="str">
        <f t="array" ref="N746">IF($A746="", "", LET(bbgm_stat, INDEX(Players!$A745:$P745, MATCH(N$2, Players!$A$1:$P$1, 0)), perc_75, VLOOKUP(N$2, Percentiles!$A$45:$I$59, 6, FALSE), perc_90, VLOOKUP(N$2, Percentiles!$A$45:$I$59, 7, FALSE), perc_95, VLOOKUP(N$2, Percentiles!$A$45:$I$59, 8, FALSE), perc_85, perc_75 + (perc_90 - perc_75) * (2/3), converted_stat, '2K_Ratings'!N746, IF(bbgm_stat &gt;= perc_95, converted_stat * 3, IF(bbgm_stat &gt;= perc_90, converted_stat * 2, IF(bbgm_stat &gt;= perc_85, converted_stat * 1.5, converted_stat)))))</f>
        <v/>
      </c>
      <c r="O746" s="30" t="str">
        <f t="array" ref="O746">IF($A746="", "", LET(bbgm_stat, INDEX(Players!$A745:$P745, MATCH(O$2, Players!$A$1:$P$1, 0)), perc_75, VLOOKUP(O$2, Percentiles!$A$45:$I$59, 6, FALSE), perc_90, VLOOKUP(O$2, Percentiles!$A$45:$I$59, 7, FALSE), perc_95, VLOOKUP(O$2, Percentiles!$A$45:$I$59, 8, FALSE), perc_85, perc_75 + (perc_90 - perc_75) * (2/3), converted_stat, '2K_Ratings'!O746, IF(bbgm_stat &gt;= perc_95, converted_stat * 3, IF(bbgm_stat &gt;= perc_90, converted_stat * 2, IF(bbgm_stat &gt;= perc_85, converted_stat * 1.5, converted_stat)))))</f>
        <v/>
      </c>
      <c r="P746" s="30" t="str">
        <f t="array" ref="P746">IF($A746="", "", LET(bbgm_stat, INDEX(Players!$A745:$P745, MATCH(P$2, Players!$A$1:$P$1, 0)), perc_75, VLOOKUP(P$2, Percentiles!$A$45:$I$59, 6, FALSE), perc_90, VLOOKUP(P$2, Percentiles!$A$45:$I$59, 7, FALSE), perc_95, VLOOKUP(P$2, Percentiles!$A$45:$I$59, 8, FALSE), perc_85, perc_75 + (perc_90 - perc_75) * (2/3), converted_stat, '2K_Ratings'!P746, IF(bbgm_stat &gt;= perc_95, converted_stat * 3, IF(bbgm_stat &gt;= perc_90, converted_stat * 2, IF(bbgm_stat &gt;= perc_85, converted_stat * 1.5, converted_stat)))))</f>
        <v/>
      </c>
      <c r="Q746" s="30" t="str">
        <f t="array" ref="Q746">IF($A746="", "", LET(bbgm_stat, INDEX(Players!$A745:$P745, MATCH(Q$2, Players!$A$1:$P$1, 0)), perc_75, VLOOKUP(Q$2, Percentiles!$A$45:$I$59, 6, FALSE), perc_90, VLOOKUP(Q$2, Percentiles!$A$45:$I$59, 7, FALSE), perc_95, VLOOKUP(Q$2, Percentiles!$A$45:$I$59, 8, FALSE), perc_85, perc_75 + (perc_90 - perc_75) * (2/3), converted_stat, '2K_Ratings'!Q746, IF(bbgm_stat &gt;= perc_95, converted_stat * 3, IF(bbgm_stat &gt;= perc_90, converted_stat * 2, IF(bbgm_stat &gt;= perc_85, converted_stat * 1.5, converted_stat)))))</f>
        <v/>
      </c>
      <c r="R746" s="30" t="str">
        <f t="array" ref="R746">IF($A746="", "", LET(bbgm_stat, INDEX(Players!$A745:$P745, MATCH(R$2, Players!$A$1:$P$1, 0)), perc_75, VLOOKUP(R$2, Percentiles!$A$45:$I$59, 6, FALSE), perc_90, VLOOKUP(R$2, Percentiles!$A$45:$I$59, 7, FALSE), perc_95, VLOOKUP(R$2, Percentiles!$A$45:$I$59, 8, FALSE), perc_85, perc_75 + (perc_90 - perc_75) * (2/3), converted_stat, '2K_Ratings'!R746, IF(bbgm_stat &gt;= perc_95, converted_stat * 3, IF(bbgm_stat &gt;= perc_90, converted_stat * 2, IF(bbgm_stat &gt;= perc_85, converted_stat * 1.5, converted_stat)))))</f>
        <v/>
      </c>
      <c r="S746" s="30" t="str">
        <f t="array" ref="S746">IF($A746="", "", LET(bbgm_stat, INDEX(Players!$A745:$P745, MATCH(S$2, Players!$A$1:$P$1, 0)), perc_75, VLOOKUP(S$2, Percentiles!$A$45:$I$59, 6, FALSE), perc_90, VLOOKUP(S$2, Percentiles!$A$45:$I$59, 7, FALSE), perc_95, VLOOKUP(S$2, Percentiles!$A$45:$I$59, 8, FALSE), perc_85, perc_75 + (perc_90 - perc_75) * (2/3), converted_stat, '2K_Ratings'!S746, IF(bbgm_stat &gt;= perc_95, converted_stat * 3, IF(bbgm_stat &gt;= perc_90, converted_stat * 2, IF(bbgm_stat &gt;= perc_85, converted_stat * 1.5, converted_stat)))))</f>
        <v/>
      </c>
      <c r="T746" s="30" t="str">
        <f t="array" ref="T746">IF($A746="", "", LET(bbgm_stat, INDEX(Players!$A745:$P745, MATCH(T$2, Players!$A$1:$P$1, 0)), perc_75, VLOOKUP(T$2, Percentiles!$A$45:$I$59, 6, FALSE), perc_90, VLOOKUP(T$2, Percentiles!$A$45:$I$59, 7, FALSE), perc_95, VLOOKUP(T$2, Percentiles!$A$45:$I$59, 8, FALSE), perc_85, perc_75 + (perc_90 - perc_75) * (2/3), converted_stat, '2K_Ratings'!T746, IF(bbgm_stat &gt;= perc_95, converted_stat * 3, IF(bbgm_stat &gt;= perc_90, converted_stat * 2, IF(bbgm_stat &gt;= perc_85, converted_stat * 1.5, converted_stat)))))</f>
        <v/>
      </c>
      <c r="U746" s="30" t="str">
        <f t="array" ref="U746">IF($A746="", "", LET(bbgm_stat, INDEX(Players!$A745:$P745, MATCH(U$2, Players!$A$1:$P$1, 0)), perc_75, VLOOKUP(U$2, Percentiles!$A$45:$I$59, 6, FALSE), perc_90, VLOOKUP(U$2, Percentiles!$A$45:$I$59, 7, FALSE), perc_95, VLOOKUP(U$2, Percentiles!$A$45:$I$59, 8, FALSE), perc_85, perc_75 + (perc_90 - perc_75) * (2/3), converted_stat, '2K_Ratings'!U746, IF(bbgm_stat &gt;= perc_95, converted_stat * 3, IF(bbgm_stat &gt;= perc_90, converted_stat * 2, IF(bbgm_stat &gt;= perc_85, converted_stat * 1.5, converted_stat)))))</f>
        <v/>
      </c>
      <c r="V746" s="30" t="str">
        <f t="array" ref="V746">IF($A746="", "", LET(bbgm_stat, INDEX(Players!$A745:$P745, MATCH(V$2, Players!$A$1:$P$1, 0)), perc_75, VLOOKUP(V$2, Percentiles!$A$45:$I$59, 6, FALSE), perc_90, VLOOKUP(V$2, Percentiles!$A$45:$I$59, 7, FALSE), perc_95, VLOOKUP(V$2, Percentiles!$A$45:$I$59, 8, FALSE), perc_85, perc_75 + (perc_90 - perc_75) * (2/3), converted_stat, '2K_Ratings'!V746, IF(bbgm_stat &gt;= perc_95, converted_stat * 3, IF(bbgm_stat &gt;= perc_90, converted_stat * 2, IF(bbgm_stat &gt;= perc_85, converted_stat * 1.5, converted_stat)))))</f>
        <v/>
      </c>
      <c r="W746" s="30" t="str">
        <f t="array" ref="W746">IF($A746="", "", LET(bbgm_stat, INDEX(Players!$A745:$P745, MATCH(W$2, Players!$A$1:$P$1, 0)), perc_75, VLOOKUP(W$2, Percentiles!$A$45:$I$59, 6, FALSE), perc_90, VLOOKUP(W$2, Percentiles!$A$45:$I$59, 7, FALSE), perc_95, VLOOKUP(W$2, Percentiles!$A$45:$I$59, 8, FALSE), perc_85, perc_75 + (perc_90 - perc_75) * (2/3), converted_stat, '2K_Ratings'!W746, IF(bbgm_stat &gt;= perc_95, converted_stat * 3, IF(bbgm_stat &gt;= perc_90, converted_stat * 2, IF(bbgm_stat &gt;= perc_85, converted_stat * 1.5, converted_stat)))))</f>
        <v/>
      </c>
    </row>
    <row r="747">
      <c r="A747" s="30"/>
      <c r="B747" s="30" t="str">
        <f t="array" ref="B747">IF($A747="", "", LET(bbgm_stat, INDEX(Players!$A746:$P746, MATCH(B$2, Players!$A$1:$P$1, 0)), perc_75, VLOOKUP(B$2, Percentiles!$A$45:$I$59, 6, FALSE), perc_90, VLOOKUP(B$2, Percentiles!$A$45:$I$59, 7, FALSE), perc_95, VLOOKUP(B$2, Percentiles!$A$45:$I$59, 8, FALSE), perc_85, perc_75 + (perc_90 - perc_75) * (2/3), converted_stat, '2K_Ratings'!B747, IF(bbgm_stat &gt;= perc_95, converted_stat * 3, IF(bbgm_stat &gt;= perc_90, converted_stat * 2, IF(bbgm_stat &gt;= perc_85, converted_stat * 1.5, converted_stat)))))</f>
        <v/>
      </c>
      <c r="C747" s="30" t="str">
        <f t="array" ref="C747">IF($A747="", "", LET(bbgm_stat, INDEX(Players!$A746:$P746, MATCH(C$2, Players!$A$1:$P$1, 0)), perc_75, VLOOKUP(C$2, Percentiles!$A$45:$I$59, 6, FALSE), perc_90, VLOOKUP(C$2, Percentiles!$A$45:$I$59, 7, FALSE), perc_95, VLOOKUP(C$2, Percentiles!$A$45:$I$59, 8, FALSE), perc_85, perc_75 + (perc_90 - perc_75) * (2/3), converted_stat, '2K_Ratings'!C747, IF(bbgm_stat &gt;= perc_95, converted_stat * 3, IF(bbgm_stat &gt;= perc_90, converted_stat * 2, IF(bbgm_stat &gt;= perc_85, converted_stat * 1.5, converted_stat)))))</f>
        <v/>
      </c>
      <c r="D747" s="30" t="str">
        <f t="array" ref="D747">IF($A747="", "", LET(bbgm_stat, INDEX(Players!$A746:$P746, MATCH(D$2, Players!$A$1:$P$1, 0)), perc_75, VLOOKUP(D$2, Percentiles!$A$45:$I$59, 6, FALSE), perc_90, VLOOKUP(D$2, Percentiles!$A$45:$I$59, 7, FALSE), perc_95, VLOOKUP(D$2, Percentiles!$A$45:$I$59, 8, FALSE), perc_85, perc_75 + (perc_90 - perc_75) * (2/3), converted_stat, '2K_Ratings'!D747, IF(bbgm_stat &gt;= perc_95, converted_stat * 3, IF(bbgm_stat &gt;= perc_90, converted_stat * 2, IF(bbgm_stat &gt;= perc_85, converted_stat * 1.5, converted_stat)))))</f>
        <v/>
      </c>
      <c r="E747" s="30" t="str">
        <f t="array" ref="E747">IF($A747="", "", LET(bbgm_stat, INDEX(Players!$A746:$P746, MATCH(E$2, Players!$A$1:$P$1, 0)), perc_75, VLOOKUP(E$2, Percentiles!$A$45:$I$59, 6, FALSE), perc_90, VLOOKUP(E$2, Percentiles!$A$45:$I$59, 7, FALSE), perc_95, VLOOKUP(E$2, Percentiles!$A$45:$I$59, 8, FALSE), perc_85, perc_75 + (perc_90 - perc_75) * (2/3), converted_stat, '2K_Ratings'!E747, IF(bbgm_stat &gt;= perc_95, converted_stat * 3, IF(bbgm_stat &gt;= perc_90, converted_stat * 2, IF(bbgm_stat &gt;= perc_85, converted_stat * 1.5, converted_stat)))))</f>
        <v/>
      </c>
      <c r="F747" s="30" t="str">
        <f t="array" ref="F747">IF($A747="", "", LET(bbgm_stat, INDEX(Players!$A746:$P746, MATCH(F$2, Players!$A$1:$P$1, 0)), perc_75, VLOOKUP(F$2, Percentiles!$A$45:$I$59, 6, FALSE), perc_90, VLOOKUP(F$2, Percentiles!$A$45:$I$59, 7, FALSE), perc_95, VLOOKUP(F$2, Percentiles!$A$45:$I$59, 8, FALSE), perc_85, perc_75 + (perc_90 - perc_75) * (2/3), converted_stat, '2K_Ratings'!F747, IF(bbgm_stat &gt;= perc_95, converted_stat * 3, IF(bbgm_stat &gt;= perc_90, converted_stat * 2, IF(bbgm_stat &gt;= perc_85, converted_stat * 1.5, converted_stat)))))</f>
        <v/>
      </c>
      <c r="G747" s="30" t="str">
        <f t="array" ref="G747">IF($A747="", "", LET(bbgm_stat, INDEX(Players!$A746:$P746, MATCH(G$2, Players!$A$1:$P$1, 0)), perc_75, VLOOKUP(G$2, Percentiles!$A$45:$I$59, 6, FALSE), perc_90, VLOOKUP(G$2, Percentiles!$A$45:$I$59, 7, FALSE), perc_95, VLOOKUP(G$2, Percentiles!$A$45:$I$59, 8, FALSE), perc_85, perc_75 + (perc_90 - perc_75) * (2/3), converted_stat, '2K_Ratings'!G747, IF(bbgm_stat &gt;= perc_95, converted_stat * 3, IF(bbgm_stat &gt;= perc_90, converted_stat * 2, IF(bbgm_stat &gt;= perc_85, converted_stat * 1.5, converted_stat)))))</f>
        <v/>
      </c>
      <c r="H747" s="30" t="str">
        <f t="array" ref="H747">IF($A747="", "", LET(bbgm_stat, INDEX(Players!$A746:$P746, MATCH(H$2, Players!$A$1:$P$1, 0)), perc_75, VLOOKUP(H$2, Percentiles!$A$45:$I$59, 6, FALSE), perc_90, VLOOKUP(H$2, Percentiles!$A$45:$I$59, 7, FALSE), perc_95, VLOOKUP(H$2, Percentiles!$A$45:$I$59, 8, FALSE), perc_85, perc_75 + (perc_90 - perc_75) * (2/3), converted_stat, '2K_Ratings'!H747, IF(bbgm_stat &gt;= perc_95, converted_stat * 3, IF(bbgm_stat &gt;= perc_90, converted_stat * 2, IF(bbgm_stat &gt;= perc_85, converted_stat * 1.5, converted_stat)))))</f>
        <v/>
      </c>
      <c r="I747" s="30" t="str">
        <f t="array" ref="I747">IF($A747="", "", LET(bbgm_stat, INDEX(Players!$A746:$P746, MATCH(I$2, Players!$A$1:$P$1, 0)), perc_75, VLOOKUP(I$2, Percentiles!$A$45:$I$59, 6, FALSE), perc_90, VLOOKUP(I$2, Percentiles!$A$45:$I$59, 7, FALSE), perc_95, VLOOKUP(I$2, Percentiles!$A$45:$I$59, 8, FALSE), perc_85, perc_75 + (perc_90 - perc_75) * (2/3), converted_stat, '2K_Ratings'!I747, IF(bbgm_stat &gt;= perc_95, converted_stat * 3, IF(bbgm_stat &gt;= perc_90, converted_stat * 2, IF(bbgm_stat &gt;= perc_85, converted_stat * 1.5, converted_stat)))))</f>
        <v/>
      </c>
      <c r="J747" s="30" t="str">
        <f t="array" ref="J747">IF($A747="", "", LET(bbgm_stat, INDEX(Players!$A746:$P746, MATCH(J$2, Players!$A$1:$P$1, 0)), perc_75, VLOOKUP(J$2, Percentiles!$A$45:$I$59, 6, FALSE), perc_90, VLOOKUP(J$2, Percentiles!$A$45:$I$59, 7, FALSE), perc_95, VLOOKUP(J$2, Percentiles!$A$45:$I$59, 8, FALSE), perc_85, perc_75 + (perc_90 - perc_75) * (2/3), converted_stat, '2K_Ratings'!J747, IF(bbgm_stat &gt;= perc_95, converted_stat * 3, IF(bbgm_stat &gt;= perc_90, converted_stat * 2, IF(bbgm_stat &gt;= perc_85, converted_stat * 1.5, converted_stat)))))</f>
        <v/>
      </c>
      <c r="K747" s="30" t="str">
        <f t="array" ref="K747">IF($A747="", "", LET(bbgm_stat, INDEX(Players!$A746:$P746, MATCH(K$2, Players!$A$1:$P$1, 0)), perc_75, VLOOKUP(K$2, Percentiles!$A$45:$I$59, 6, FALSE), perc_90, VLOOKUP(K$2, Percentiles!$A$45:$I$59, 7, FALSE), perc_95, VLOOKUP(K$2, Percentiles!$A$45:$I$59, 8, FALSE), perc_85, perc_75 + (perc_90 - perc_75) * (2/3), converted_stat, '2K_Ratings'!K747, IF(bbgm_stat &gt;= perc_95, converted_stat * 3, IF(bbgm_stat &gt;= perc_90, converted_stat * 2, IF(bbgm_stat &gt;= perc_85, converted_stat * 1.5, converted_stat)))))</f>
        <v/>
      </c>
      <c r="L747" s="30" t="str">
        <f t="array" ref="L747">IF($A747="", "", LET(bbgm_stat, INDEX(Players!$A746:$P746, MATCH(L$2, Players!$A$1:$P$1, 0)), perc_75, VLOOKUP(L$2, Percentiles!$A$45:$I$59, 6, FALSE), perc_90, VLOOKUP(L$2, Percentiles!$A$45:$I$59, 7, FALSE), perc_95, VLOOKUP(L$2, Percentiles!$A$45:$I$59, 8, FALSE), perc_85, perc_75 + (perc_90 - perc_75) * (2/3), converted_stat, '2K_Ratings'!L747, IF(bbgm_stat &gt;= perc_95, converted_stat * 3, IF(bbgm_stat &gt;= perc_90, converted_stat * 2, IF(bbgm_stat &gt;= perc_85, converted_stat * 1.5, converted_stat)))))</f>
        <v/>
      </c>
      <c r="M747" s="30" t="str">
        <f t="array" ref="M747">IF($A747="", "", LET(bbgm_stat, INDEX(Players!$A746:$P746, MATCH(M$2, Players!$A$1:$P$1, 0)), perc_75, VLOOKUP(M$2, Percentiles!$A$45:$I$59, 6, FALSE), perc_90, VLOOKUP(M$2, Percentiles!$A$45:$I$59, 7, FALSE), perc_95, VLOOKUP(M$2, Percentiles!$A$45:$I$59, 8, FALSE), perc_85, perc_75 + (perc_90 - perc_75) * (2/3), converted_stat, '2K_Ratings'!M747, IF(bbgm_stat &gt;= perc_95, converted_stat * 3, IF(bbgm_stat &gt;= perc_90, converted_stat * 2, IF(bbgm_stat &gt;= perc_85, converted_stat * 1.5, converted_stat)))))</f>
        <v/>
      </c>
      <c r="N747" s="30" t="str">
        <f t="array" ref="N747">IF($A747="", "", LET(bbgm_stat, INDEX(Players!$A746:$P746, MATCH(N$2, Players!$A$1:$P$1, 0)), perc_75, VLOOKUP(N$2, Percentiles!$A$45:$I$59, 6, FALSE), perc_90, VLOOKUP(N$2, Percentiles!$A$45:$I$59, 7, FALSE), perc_95, VLOOKUP(N$2, Percentiles!$A$45:$I$59, 8, FALSE), perc_85, perc_75 + (perc_90 - perc_75) * (2/3), converted_stat, '2K_Ratings'!N747, IF(bbgm_stat &gt;= perc_95, converted_stat * 3, IF(bbgm_stat &gt;= perc_90, converted_stat * 2, IF(bbgm_stat &gt;= perc_85, converted_stat * 1.5, converted_stat)))))</f>
        <v/>
      </c>
      <c r="O747" s="30" t="str">
        <f t="array" ref="O747">IF($A747="", "", LET(bbgm_stat, INDEX(Players!$A746:$P746, MATCH(O$2, Players!$A$1:$P$1, 0)), perc_75, VLOOKUP(O$2, Percentiles!$A$45:$I$59, 6, FALSE), perc_90, VLOOKUP(O$2, Percentiles!$A$45:$I$59, 7, FALSE), perc_95, VLOOKUP(O$2, Percentiles!$A$45:$I$59, 8, FALSE), perc_85, perc_75 + (perc_90 - perc_75) * (2/3), converted_stat, '2K_Ratings'!O747, IF(bbgm_stat &gt;= perc_95, converted_stat * 3, IF(bbgm_stat &gt;= perc_90, converted_stat * 2, IF(bbgm_stat &gt;= perc_85, converted_stat * 1.5, converted_stat)))))</f>
        <v/>
      </c>
      <c r="P747" s="30" t="str">
        <f t="array" ref="P747">IF($A747="", "", LET(bbgm_stat, INDEX(Players!$A746:$P746, MATCH(P$2, Players!$A$1:$P$1, 0)), perc_75, VLOOKUP(P$2, Percentiles!$A$45:$I$59, 6, FALSE), perc_90, VLOOKUP(P$2, Percentiles!$A$45:$I$59, 7, FALSE), perc_95, VLOOKUP(P$2, Percentiles!$A$45:$I$59, 8, FALSE), perc_85, perc_75 + (perc_90 - perc_75) * (2/3), converted_stat, '2K_Ratings'!P747, IF(bbgm_stat &gt;= perc_95, converted_stat * 3, IF(bbgm_stat &gt;= perc_90, converted_stat * 2, IF(bbgm_stat &gt;= perc_85, converted_stat * 1.5, converted_stat)))))</f>
        <v/>
      </c>
      <c r="Q747" s="30" t="str">
        <f t="array" ref="Q747">IF($A747="", "", LET(bbgm_stat, INDEX(Players!$A746:$P746, MATCH(Q$2, Players!$A$1:$P$1, 0)), perc_75, VLOOKUP(Q$2, Percentiles!$A$45:$I$59, 6, FALSE), perc_90, VLOOKUP(Q$2, Percentiles!$A$45:$I$59, 7, FALSE), perc_95, VLOOKUP(Q$2, Percentiles!$A$45:$I$59, 8, FALSE), perc_85, perc_75 + (perc_90 - perc_75) * (2/3), converted_stat, '2K_Ratings'!Q747, IF(bbgm_stat &gt;= perc_95, converted_stat * 3, IF(bbgm_stat &gt;= perc_90, converted_stat * 2, IF(bbgm_stat &gt;= perc_85, converted_stat * 1.5, converted_stat)))))</f>
        <v/>
      </c>
      <c r="R747" s="30" t="str">
        <f t="array" ref="R747">IF($A747="", "", LET(bbgm_stat, INDEX(Players!$A746:$P746, MATCH(R$2, Players!$A$1:$P$1, 0)), perc_75, VLOOKUP(R$2, Percentiles!$A$45:$I$59, 6, FALSE), perc_90, VLOOKUP(R$2, Percentiles!$A$45:$I$59, 7, FALSE), perc_95, VLOOKUP(R$2, Percentiles!$A$45:$I$59, 8, FALSE), perc_85, perc_75 + (perc_90 - perc_75) * (2/3), converted_stat, '2K_Ratings'!R747, IF(bbgm_stat &gt;= perc_95, converted_stat * 3, IF(bbgm_stat &gt;= perc_90, converted_stat * 2, IF(bbgm_stat &gt;= perc_85, converted_stat * 1.5, converted_stat)))))</f>
        <v/>
      </c>
      <c r="S747" s="30" t="str">
        <f t="array" ref="S747">IF($A747="", "", LET(bbgm_stat, INDEX(Players!$A746:$P746, MATCH(S$2, Players!$A$1:$P$1, 0)), perc_75, VLOOKUP(S$2, Percentiles!$A$45:$I$59, 6, FALSE), perc_90, VLOOKUP(S$2, Percentiles!$A$45:$I$59, 7, FALSE), perc_95, VLOOKUP(S$2, Percentiles!$A$45:$I$59, 8, FALSE), perc_85, perc_75 + (perc_90 - perc_75) * (2/3), converted_stat, '2K_Ratings'!S747, IF(bbgm_stat &gt;= perc_95, converted_stat * 3, IF(bbgm_stat &gt;= perc_90, converted_stat * 2, IF(bbgm_stat &gt;= perc_85, converted_stat * 1.5, converted_stat)))))</f>
        <v/>
      </c>
      <c r="T747" s="30" t="str">
        <f t="array" ref="T747">IF($A747="", "", LET(bbgm_stat, INDEX(Players!$A746:$P746, MATCH(T$2, Players!$A$1:$P$1, 0)), perc_75, VLOOKUP(T$2, Percentiles!$A$45:$I$59, 6, FALSE), perc_90, VLOOKUP(T$2, Percentiles!$A$45:$I$59, 7, FALSE), perc_95, VLOOKUP(T$2, Percentiles!$A$45:$I$59, 8, FALSE), perc_85, perc_75 + (perc_90 - perc_75) * (2/3), converted_stat, '2K_Ratings'!T747, IF(bbgm_stat &gt;= perc_95, converted_stat * 3, IF(bbgm_stat &gt;= perc_90, converted_stat * 2, IF(bbgm_stat &gt;= perc_85, converted_stat * 1.5, converted_stat)))))</f>
        <v/>
      </c>
      <c r="U747" s="30" t="str">
        <f t="array" ref="U747">IF($A747="", "", LET(bbgm_stat, INDEX(Players!$A746:$P746, MATCH(U$2, Players!$A$1:$P$1, 0)), perc_75, VLOOKUP(U$2, Percentiles!$A$45:$I$59, 6, FALSE), perc_90, VLOOKUP(U$2, Percentiles!$A$45:$I$59, 7, FALSE), perc_95, VLOOKUP(U$2, Percentiles!$A$45:$I$59, 8, FALSE), perc_85, perc_75 + (perc_90 - perc_75) * (2/3), converted_stat, '2K_Ratings'!U747, IF(bbgm_stat &gt;= perc_95, converted_stat * 3, IF(bbgm_stat &gt;= perc_90, converted_stat * 2, IF(bbgm_stat &gt;= perc_85, converted_stat * 1.5, converted_stat)))))</f>
        <v/>
      </c>
      <c r="V747" s="30" t="str">
        <f t="array" ref="V747">IF($A747="", "", LET(bbgm_stat, INDEX(Players!$A746:$P746, MATCH(V$2, Players!$A$1:$P$1, 0)), perc_75, VLOOKUP(V$2, Percentiles!$A$45:$I$59, 6, FALSE), perc_90, VLOOKUP(V$2, Percentiles!$A$45:$I$59, 7, FALSE), perc_95, VLOOKUP(V$2, Percentiles!$A$45:$I$59, 8, FALSE), perc_85, perc_75 + (perc_90 - perc_75) * (2/3), converted_stat, '2K_Ratings'!V747, IF(bbgm_stat &gt;= perc_95, converted_stat * 3, IF(bbgm_stat &gt;= perc_90, converted_stat * 2, IF(bbgm_stat &gt;= perc_85, converted_stat * 1.5, converted_stat)))))</f>
        <v/>
      </c>
      <c r="W747" s="30" t="str">
        <f t="array" ref="W747">IF($A747="", "", LET(bbgm_stat, INDEX(Players!$A746:$P746, MATCH(W$2, Players!$A$1:$P$1, 0)), perc_75, VLOOKUP(W$2, Percentiles!$A$45:$I$59, 6, FALSE), perc_90, VLOOKUP(W$2, Percentiles!$A$45:$I$59, 7, FALSE), perc_95, VLOOKUP(W$2, Percentiles!$A$45:$I$59, 8, FALSE), perc_85, perc_75 + (perc_90 - perc_75) * (2/3), converted_stat, '2K_Ratings'!W747, IF(bbgm_stat &gt;= perc_95, converted_stat * 3, IF(bbgm_stat &gt;= perc_90, converted_stat * 2, IF(bbgm_stat &gt;= perc_85, converted_stat * 1.5, converted_stat)))))</f>
        <v/>
      </c>
    </row>
    <row r="748">
      <c r="A748" s="30"/>
      <c r="B748" s="30" t="str">
        <f t="array" ref="B748">IF($A748="", "", LET(bbgm_stat, INDEX(Players!$A747:$P747, MATCH(B$2, Players!$A$1:$P$1, 0)), perc_75, VLOOKUP(B$2, Percentiles!$A$45:$I$59, 6, FALSE), perc_90, VLOOKUP(B$2, Percentiles!$A$45:$I$59, 7, FALSE), perc_95, VLOOKUP(B$2, Percentiles!$A$45:$I$59, 8, FALSE), perc_85, perc_75 + (perc_90 - perc_75) * (2/3), converted_stat, '2K_Ratings'!B748, IF(bbgm_stat &gt;= perc_95, converted_stat * 3, IF(bbgm_stat &gt;= perc_90, converted_stat * 2, IF(bbgm_stat &gt;= perc_85, converted_stat * 1.5, converted_stat)))))</f>
        <v/>
      </c>
      <c r="C748" s="30" t="str">
        <f t="array" ref="C748">IF($A748="", "", LET(bbgm_stat, INDEX(Players!$A747:$P747, MATCH(C$2, Players!$A$1:$P$1, 0)), perc_75, VLOOKUP(C$2, Percentiles!$A$45:$I$59, 6, FALSE), perc_90, VLOOKUP(C$2, Percentiles!$A$45:$I$59, 7, FALSE), perc_95, VLOOKUP(C$2, Percentiles!$A$45:$I$59, 8, FALSE), perc_85, perc_75 + (perc_90 - perc_75) * (2/3), converted_stat, '2K_Ratings'!C748, IF(bbgm_stat &gt;= perc_95, converted_stat * 3, IF(bbgm_stat &gt;= perc_90, converted_stat * 2, IF(bbgm_stat &gt;= perc_85, converted_stat * 1.5, converted_stat)))))</f>
        <v/>
      </c>
      <c r="D748" s="30" t="str">
        <f t="array" ref="D748">IF($A748="", "", LET(bbgm_stat, INDEX(Players!$A747:$P747, MATCH(D$2, Players!$A$1:$P$1, 0)), perc_75, VLOOKUP(D$2, Percentiles!$A$45:$I$59, 6, FALSE), perc_90, VLOOKUP(D$2, Percentiles!$A$45:$I$59, 7, FALSE), perc_95, VLOOKUP(D$2, Percentiles!$A$45:$I$59, 8, FALSE), perc_85, perc_75 + (perc_90 - perc_75) * (2/3), converted_stat, '2K_Ratings'!D748, IF(bbgm_stat &gt;= perc_95, converted_stat * 3, IF(bbgm_stat &gt;= perc_90, converted_stat * 2, IF(bbgm_stat &gt;= perc_85, converted_stat * 1.5, converted_stat)))))</f>
        <v/>
      </c>
      <c r="E748" s="30" t="str">
        <f t="array" ref="E748">IF($A748="", "", LET(bbgm_stat, INDEX(Players!$A747:$P747, MATCH(E$2, Players!$A$1:$P$1, 0)), perc_75, VLOOKUP(E$2, Percentiles!$A$45:$I$59, 6, FALSE), perc_90, VLOOKUP(E$2, Percentiles!$A$45:$I$59, 7, FALSE), perc_95, VLOOKUP(E$2, Percentiles!$A$45:$I$59, 8, FALSE), perc_85, perc_75 + (perc_90 - perc_75) * (2/3), converted_stat, '2K_Ratings'!E748, IF(bbgm_stat &gt;= perc_95, converted_stat * 3, IF(bbgm_stat &gt;= perc_90, converted_stat * 2, IF(bbgm_stat &gt;= perc_85, converted_stat * 1.5, converted_stat)))))</f>
        <v/>
      </c>
      <c r="F748" s="30" t="str">
        <f t="array" ref="F748">IF($A748="", "", LET(bbgm_stat, INDEX(Players!$A747:$P747, MATCH(F$2, Players!$A$1:$P$1, 0)), perc_75, VLOOKUP(F$2, Percentiles!$A$45:$I$59, 6, FALSE), perc_90, VLOOKUP(F$2, Percentiles!$A$45:$I$59, 7, FALSE), perc_95, VLOOKUP(F$2, Percentiles!$A$45:$I$59, 8, FALSE), perc_85, perc_75 + (perc_90 - perc_75) * (2/3), converted_stat, '2K_Ratings'!F748, IF(bbgm_stat &gt;= perc_95, converted_stat * 3, IF(bbgm_stat &gt;= perc_90, converted_stat * 2, IF(bbgm_stat &gt;= perc_85, converted_stat * 1.5, converted_stat)))))</f>
        <v/>
      </c>
      <c r="G748" s="30" t="str">
        <f t="array" ref="G748">IF($A748="", "", LET(bbgm_stat, INDEX(Players!$A747:$P747, MATCH(G$2, Players!$A$1:$P$1, 0)), perc_75, VLOOKUP(G$2, Percentiles!$A$45:$I$59, 6, FALSE), perc_90, VLOOKUP(G$2, Percentiles!$A$45:$I$59, 7, FALSE), perc_95, VLOOKUP(G$2, Percentiles!$A$45:$I$59, 8, FALSE), perc_85, perc_75 + (perc_90 - perc_75) * (2/3), converted_stat, '2K_Ratings'!G748, IF(bbgm_stat &gt;= perc_95, converted_stat * 3, IF(bbgm_stat &gt;= perc_90, converted_stat * 2, IF(bbgm_stat &gt;= perc_85, converted_stat * 1.5, converted_stat)))))</f>
        <v/>
      </c>
      <c r="H748" s="30" t="str">
        <f t="array" ref="H748">IF($A748="", "", LET(bbgm_stat, INDEX(Players!$A747:$P747, MATCH(H$2, Players!$A$1:$P$1, 0)), perc_75, VLOOKUP(H$2, Percentiles!$A$45:$I$59, 6, FALSE), perc_90, VLOOKUP(H$2, Percentiles!$A$45:$I$59, 7, FALSE), perc_95, VLOOKUP(H$2, Percentiles!$A$45:$I$59, 8, FALSE), perc_85, perc_75 + (perc_90 - perc_75) * (2/3), converted_stat, '2K_Ratings'!H748, IF(bbgm_stat &gt;= perc_95, converted_stat * 3, IF(bbgm_stat &gt;= perc_90, converted_stat * 2, IF(bbgm_stat &gt;= perc_85, converted_stat * 1.5, converted_stat)))))</f>
        <v/>
      </c>
      <c r="I748" s="30" t="str">
        <f t="array" ref="I748">IF($A748="", "", LET(bbgm_stat, INDEX(Players!$A747:$P747, MATCH(I$2, Players!$A$1:$P$1, 0)), perc_75, VLOOKUP(I$2, Percentiles!$A$45:$I$59, 6, FALSE), perc_90, VLOOKUP(I$2, Percentiles!$A$45:$I$59, 7, FALSE), perc_95, VLOOKUP(I$2, Percentiles!$A$45:$I$59, 8, FALSE), perc_85, perc_75 + (perc_90 - perc_75) * (2/3), converted_stat, '2K_Ratings'!I748, IF(bbgm_stat &gt;= perc_95, converted_stat * 3, IF(bbgm_stat &gt;= perc_90, converted_stat * 2, IF(bbgm_stat &gt;= perc_85, converted_stat * 1.5, converted_stat)))))</f>
        <v/>
      </c>
      <c r="J748" s="30" t="str">
        <f t="array" ref="J748">IF($A748="", "", LET(bbgm_stat, INDEX(Players!$A747:$P747, MATCH(J$2, Players!$A$1:$P$1, 0)), perc_75, VLOOKUP(J$2, Percentiles!$A$45:$I$59, 6, FALSE), perc_90, VLOOKUP(J$2, Percentiles!$A$45:$I$59, 7, FALSE), perc_95, VLOOKUP(J$2, Percentiles!$A$45:$I$59, 8, FALSE), perc_85, perc_75 + (perc_90 - perc_75) * (2/3), converted_stat, '2K_Ratings'!J748, IF(bbgm_stat &gt;= perc_95, converted_stat * 3, IF(bbgm_stat &gt;= perc_90, converted_stat * 2, IF(bbgm_stat &gt;= perc_85, converted_stat * 1.5, converted_stat)))))</f>
        <v/>
      </c>
      <c r="K748" s="30" t="str">
        <f t="array" ref="K748">IF($A748="", "", LET(bbgm_stat, INDEX(Players!$A747:$P747, MATCH(K$2, Players!$A$1:$P$1, 0)), perc_75, VLOOKUP(K$2, Percentiles!$A$45:$I$59, 6, FALSE), perc_90, VLOOKUP(K$2, Percentiles!$A$45:$I$59, 7, FALSE), perc_95, VLOOKUP(K$2, Percentiles!$A$45:$I$59, 8, FALSE), perc_85, perc_75 + (perc_90 - perc_75) * (2/3), converted_stat, '2K_Ratings'!K748, IF(bbgm_stat &gt;= perc_95, converted_stat * 3, IF(bbgm_stat &gt;= perc_90, converted_stat * 2, IF(bbgm_stat &gt;= perc_85, converted_stat * 1.5, converted_stat)))))</f>
        <v/>
      </c>
      <c r="L748" s="30" t="str">
        <f t="array" ref="L748">IF($A748="", "", LET(bbgm_stat, INDEX(Players!$A747:$P747, MATCH(L$2, Players!$A$1:$P$1, 0)), perc_75, VLOOKUP(L$2, Percentiles!$A$45:$I$59, 6, FALSE), perc_90, VLOOKUP(L$2, Percentiles!$A$45:$I$59, 7, FALSE), perc_95, VLOOKUP(L$2, Percentiles!$A$45:$I$59, 8, FALSE), perc_85, perc_75 + (perc_90 - perc_75) * (2/3), converted_stat, '2K_Ratings'!L748, IF(bbgm_stat &gt;= perc_95, converted_stat * 3, IF(bbgm_stat &gt;= perc_90, converted_stat * 2, IF(bbgm_stat &gt;= perc_85, converted_stat * 1.5, converted_stat)))))</f>
        <v/>
      </c>
      <c r="M748" s="30" t="str">
        <f t="array" ref="M748">IF($A748="", "", LET(bbgm_stat, INDEX(Players!$A747:$P747, MATCH(M$2, Players!$A$1:$P$1, 0)), perc_75, VLOOKUP(M$2, Percentiles!$A$45:$I$59, 6, FALSE), perc_90, VLOOKUP(M$2, Percentiles!$A$45:$I$59, 7, FALSE), perc_95, VLOOKUP(M$2, Percentiles!$A$45:$I$59, 8, FALSE), perc_85, perc_75 + (perc_90 - perc_75) * (2/3), converted_stat, '2K_Ratings'!M748, IF(bbgm_stat &gt;= perc_95, converted_stat * 3, IF(bbgm_stat &gt;= perc_90, converted_stat * 2, IF(bbgm_stat &gt;= perc_85, converted_stat * 1.5, converted_stat)))))</f>
        <v/>
      </c>
      <c r="N748" s="30" t="str">
        <f t="array" ref="N748">IF($A748="", "", LET(bbgm_stat, INDEX(Players!$A747:$P747, MATCH(N$2, Players!$A$1:$P$1, 0)), perc_75, VLOOKUP(N$2, Percentiles!$A$45:$I$59, 6, FALSE), perc_90, VLOOKUP(N$2, Percentiles!$A$45:$I$59, 7, FALSE), perc_95, VLOOKUP(N$2, Percentiles!$A$45:$I$59, 8, FALSE), perc_85, perc_75 + (perc_90 - perc_75) * (2/3), converted_stat, '2K_Ratings'!N748, IF(bbgm_stat &gt;= perc_95, converted_stat * 3, IF(bbgm_stat &gt;= perc_90, converted_stat * 2, IF(bbgm_stat &gt;= perc_85, converted_stat * 1.5, converted_stat)))))</f>
        <v/>
      </c>
      <c r="O748" s="30" t="str">
        <f t="array" ref="O748">IF($A748="", "", LET(bbgm_stat, INDEX(Players!$A747:$P747, MATCH(O$2, Players!$A$1:$P$1, 0)), perc_75, VLOOKUP(O$2, Percentiles!$A$45:$I$59, 6, FALSE), perc_90, VLOOKUP(O$2, Percentiles!$A$45:$I$59, 7, FALSE), perc_95, VLOOKUP(O$2, Percentiles!$A$45:$I$59, 8, FALSE), perc_85, perc_75 + (perc_90 - perc_75) * (2/3), converted_stat, '2K_Ratings'!O748, IF(bbgm_stat &gt;= perc_95, converted_stat * 3, IF(bbgm_stat &gt;= perc_90, converted_stat * 2, IF(bbgm_stat &gt;= perc_85, converted_stat * 1.5, converted_stat)))))</f>
        <v/>
      </c>
      <c r="P748" s="30" t="str">
        <f t="array" ref="P748">IF($A748="", "", LET(bbgm_stat, INDEX(Players!$A747:$P747, MATCH(P$2, Players!$A$1:$P$1, 0)), perc_75, VLOOKUP(P$2, Percentiles!$A$45:$I$59, 6, FALSE), perc_90, VLOOKUP(P$2, Percentiles!$A$45:$I$59, 7, FALSE), perc_95, VLOOKUP(P$2, Percentiles!$A$45:$I$59, 8, FALSE), perc_85, perc_75 + (perc_90 - perc_75) * (2/3), converted_stat, '2K_Ratings'!P748, IF(bbgm_stat &gt;= perc_95, converted_stat * 3, IF(bbgm_stat &gt;= perc_90, converted_stat * 2, IF(bbgm_stat &gt;= perc_85, converted_stat * 1.5, converted_stat)))))</f>
        <v/>
      </c>
      <c r="Q748" s="30" t="str">
        <f t="array" ref="Q748">IF($A748="", "", LET(bbgm_stat, INDEX(Players!$A747:$P747, MATCH(Q$2, Players!$A$1:$P$1, 0)), perc_75, VLOOKUP(Q$2, Percentiles!$A$45:$I$59, 6, FALSE), perc_90, VLOOKUP(Q$2, Percentiles!$A$45:$I$59, 7, FALSE), perc_95, VLOOKUP(Q$2, Percentiles!$A$45:$I$59, 8, FALSE), perc_85, perc_75 + (perc_90 - perc_75) * (2/3), converted_stat, '2K_Ratings'!Q748, IF(bbgm_stat &gt;= perc_95, converted_stat * 3, IF(bbgm_stat &gt;= perc_90, converted_stat * 2, IF(bbgm_stat &gt;= perc_85, converted_stat * 1.5, converted_stat)))))</f>
        <v/>
      </c>
      <c r="R748" s="30" t="str">
        <f t="array" ref="R748">IF($A748="", "", LET(bbgm_stat, INDEX(Players!$A747:$P747, MATCH(R$2, Players!$A$1:$P$1, 0)), perc_75, VLOOKUP(R$2, Percentiles!$A$45:$I$59, 6, FALSE), perc_90, VLOOKUP(R$2, Percentiles!$A$45:$I$59, 7, FALSE), perc_95, VLOOKUP(R$2, Percentiles!$A$45:$I$59, 8, FALSE), perc_85, perc_75 + (perc_90 - perc_75) * (2/3), converted_stat, '2K_Ratings'!R748, IF(bbgm_stat &gt;= perc_95, converted_stat * 3, IF(bbgm_stat &gt;= perc_90, converted_stat * 2, IF(bbgm_stat &gt;= perc_85, converted_stat * 1.5, converted_stat)))))</f>
        <v/>
      </c>
      <c r="S748" s="30" t="str">
        <f t="array" ref="S748">IF($A748="", "", LET(bbgm_stat, INDEX(Players!$A747:$P747, MATCH(S$2, Players!$A$1:$P$1, 0)), perc_75, VLOOKUP(S$2, Percentiles!$A$45:$I$59, 6, FALSE), perc_90, VLOOKUP(S$2, Percentiles!$A$45:$I$59, 7, FALSE), perc_95, VLOOKUP(S$2, Percentiles!$A$45:$I$59, 8, FALSE), perc_85, perc_75 + (perc_90 - perc_75) * (2/3), converted_stat, '2K_Ratings'!S748, IF(bbgm_stat &gt;= perc_95, converted_stat * 3, IF(bbgm_stat &gt;= perc_90, converted_stat * 2, IF(bbgm_stat &gt;= perc_85, converted_stat * 1.5, converted_stat)))))</f>
        <v/>
      </c>
      <c r="T748" s="30" t="str">
        <f t="array" ref="T748">IF($A748="", "", LET(bbgm_stat, INDEX(Players!$A747:$P747, MATCH(T$2, Players!$A$1:$P$1, 0)), perc_75, VLOOKUP(T$2, Percentiles!$A$45:$I$59, 6, FALSE), perc_90, VLOOKUP(T$2, Percentiles!$A$45:$I$59, 7, FALSE), perc_95, VLOOKUP(T$2, Percentiles!$A$45:$I$59, 8, FALSE), perc_85, perc_75 + (perc_90 - perc_75) * (2/3), converted_stat, '2K_Ratings'!T748, IF(bbgm_stat &gt;= perc_95, converted_stat * 3, IF(bbgm_stat &gt;= perc_90, converted_stat * 2, IF(bbgm_stat &gt;= perc_85, converted_stat * 1.5, converted_stat)))))</f>
        <v/>
      </c>
      <c r="U748" s="30" t="str">
        <f t="array" ref="U748">IF($A748="", "", LET(bbgm_stat, INDEX(Players!$A747:$P747, MATCH(U$2, Players!$A$1:$P$1, 0)), perc_75, VLOOKUP(U$2, Percentiles!$A$45:$I$59, 6, FALSE), perc_90, VLOOKUP(U$2, Percentiles!$A$45:$I$59, 7, FALSE), perc_95, VLOOKUP(U$2, Percentiles!$A$45:$I$59, 8, FALSE), perc_85, perc_75 + (perc_90 - perc_75) * (2/3), converted_stat, '2K_Ratings'!U748, IF(bbgm_stat &gt;= perc_95, converted_stat * 3, IF(bbgm_stat &gt;= perc_90, converted_stat * 2, IF(bbgm_stat &gt;= perc_85, converted_stat * 1.5, converted_stat)))))</f>
        <v/>
      </c>
      <c r="V748" s="30" t="str">
        <f t="array" ref="V748">IF($A748="", "", LET(bbgm_stat, INDEX(Players!$A747:$P747, MATCH(V$2, Players!$A$1:$P$1, 0)), perc_75, VLOOKUP(V$2, Percentiles!$A$45:$I$59, 6, FALSE), perc_90, VLOOKUP(V$2, Percentiles!$A$45:$I$59, 7, FALSE), perc_95, VLOOKUP(V$2, Percentiles!$A$45:$I$59, 8, FALSE), perc_85, perc_75 + (perc_90 - perc_75) * (2/3), converted_stat, '2K_Ratings'!V748, IF(bbgm_stat &gt;= perc_95, converted_stat * 3, IF(bbgm_stat &gt;= perc_90, converted_stat * 2, IF(bbgm_stat &gt;= perc_85, converted_stat * 1.5, converted_stat)))))</f>
        <v/>
      </c>
      <c r="W748" s="30" t="str">
        <f t="array" ref="W748">IF($A748="", "", LET(bbgm_stat, INDEX(Players!$A747:$P747, MATCH(W$2, Players!$A$1:$P$1, 0)), perc_75, VLOOKUP(W$2, Percentiles!$A$45:$I$59, 6, FALSE), perc_90, VLOOKUP(W$2, Percentiles!$A$45:$I$59, 7, FALSE), perc_95, VLOOKUP(W$2, Percentiles!$A$45:$I$59, 8, FALSE), perc_85, perc_75 + (perc_90 - perc_75) * (2/3), converted_stat, '2K_Ratings'!W748, IF(bbgm_stat &gt;= perc_95, converted_stat * 3, IF(bbgm_stat &gt;= perc_90, converted_stat * 2, IF(bbgm_stat &gt;= perc_85, converted_stat * 1.5, converted_stat)))))</f>
        <v/>
      </c>
    </row>
    <row r="749">
      <c r="A749" s="30"/>
      <c r="B749" s="30" t="str">
        <f t="array" ref="B749">IF($A749="", "", LET(bbgm_stat, INDEX(Players!$A748:$P748, MATCH(B$2, Players!$A$1:$P$1, 0)), perc_75, VLOOKUP(B$2, Percentiles!$A$45:$I$59, 6, FALSE), perc_90, VLOOKUP(B$2, Percentiles!$A$45:$I$59, 7, FALSE), perc_95, VLOOKUP(B$2, Percentiles!$A$45:$I$59, 8, FALSE), perc_85, perc_75 + (perc_90 - perc_75) * (2/3), converted_stat, '2K_Ratings'!B749, IF(bbgm_stat &gt;= perc_95, converted_stat * 3, IF(bbgm_stat &gt;= perc_90, converted_stat * 2, IF(bbgm_stat &gt;= perc_85, converted_stat * 1.5, converted_stat)))))</f>
        <v/>
      </c>
      <c r="C749" s="30" t="str">
        <f t="array" ref="C749">IF($A749="", "", LET(bbgm_stat, INDEX(Players!$A748:$P748, MATCH(C$2, Players!$A$1:$P$1, 0)), perc_75, VLOOKUP(C$2, Percentiles!$A$45:$I$59, 6, FALSE), perc_90, VLOOKUP(C$2, Percentiles!$A$45:$I$59, 7, FALSE), perc_95, VLOOKUP(C$2, Percentiles!$A$45:$I$59, 8, FALSE), perc_85, perc_75 + (perc_90 - perc_75) * (2/3), converted_stat, '2K_Ratings'!C749, IF(bbgm_stat &gt;= perc_95, converted_stat * 3, IF(bbgm_stat &gt;= perc_90, converted_stat * 2, IF(bbgm_stat &gt;= perc_85, converted_stat * 1.5, converted_stat)))))</f>
        <v/>
      </c>
      <c r="D749" s="30" t="str">
        <f t="array" ref="D749">IF($A749="", "", LET(bbgm_stat, INDEX(Players!$A748:$P748, MATCH(D$2, Players!$A$1:$P$1, 0)), perc_75, VLOOKUP(D$2, Percentiles!$A$45:$I$59, 6, FALSE), perc_90, VLOOKUP(D$2, Percentiles!$A$45:$I$59, 7, FALSE), perc_95, VLOOKUP(D$2, Percentiles!$A$45:$I$59, 8, FALSE), perc_85, perc_75 + (perc_90 - perc_75) * (2/3), converted_stat, '2K_Ratings'!D749, IF(bbgm_stat &gt;= perc_95, converted_stat * 3, IF(bbgm_stat &gt;= perc_90, converted_stat * 2, IF(bbgm_stat &gt;= perc_85, converted_stat * 1.5, converted_stat)))))</f>
        <v/>
      </c>
      <c r="E749" s="30" t="str">
        <f t="array" ref="E749">IF($A749="", "", LET(bbgm_stat, INDEX(Players!$A748:$P748, MATCH(E$2, Players!$A$1:$P$1, 0)), perc_75, VLOOKUP(E$2, Percentiles!$A$45:$I$59, 6, FALSE), perc_90, VLOOKUP(E$2, Percentiles!$A$45:$I$59, 7, FALSE), perc_95, VLOOKUP(E$2, Percentiles!$A$45:$I$59, 8, FALSE), perc_85, perc_75 + (perc_90 - perc_75) * (2/3), converted_stat, '2K_Ratings'!E749, IF(bbgm_stat &gt;= perc_95, converted_stat * 3, IF(bbgm_stat &gt;= perc_90, converted_stat * 2, IF(bbgm_stat &gt;= perc_85, converted_stat * 1.5, converted_stat)))))</f>
        <v/>
      </c>
      <c r="F749" s="30" t="str">
        <f t="array" ref="F749">IF($A749="", "", LET(bbgm_stat, INDEX(Players!$A748:$P748, MATCH(F$2, Players!$A$1:$P$1, 0)), perc_75, VLOOKUP(F$2, Percentiles!$A$45:$I$59, 6, FALSE), perc_90, VLOOKUP(F$2, Percentiles!$A$45:$I$59, 7, FALSE), perc_95, VLOOKUP(F$2, Percentiles!$A$45:$I$59, 8, FALSE), perc_85, perc_75 + (perc_90 - perc_75) * (2/3), converted_stat, '2K_Ratings'!F749, IF(bbgm_stat &gt;= perc_95, converted_stat * 3, IF(bbgm_stat &gt;= perc_90, converted_stat * 2, IF(bbgm_stat &gt;= perc_85, converted_stat * 1.5, converted_stat)))))</f>
        <v/>
      </c>
      <c r="G749" s="30" t="str">
        <f t="array" ref="G749">IF($A749="", "", LET(bbgm_stat, INDEX(Players!$A748:$P748, MATCH(G$2, Players!$A$1:$P$1, 0)), perc_75, VLOOKUP(G$2, Percentiles!$A$45:$I$59, 6, FALSE), perc_90, VLOOKUP(G$2, Percentiles!$A$45:$I$59, 7, FALSE), perc_95, VLOOKUP(G$2, Percentiles!$A$45:$I$59, 8, FALSE), perc_85, perc_75 + (perc_90 - perc_75) * (2/3), converted_stat, '2K_Ratings'!G749, IF(bbgm_stat &gt;= perc_95, converted_stat * 3, IF(bbgm_stat &gt;= perc_90, converted_stat * 2, IF(bbgm_stat &gt;= perc_85, converted_stat * 1.5, converted_stat)))))</f>
        <v/>
      </c>
      <c r="H749" s="30" t="str">
        <f t="array" ref="H749">IF($A749="", "", LET(bbgm_stat, INDEX(Players!$A748:$P748, MATCH(H$2, Players!$A$1:$P$1, 0)), perc_75, VLOOKUP(H$2, Percentiles!$A$45:$I$59, 6, FALSE), perc_90, VLOOKUP(H$2, Percentiles!$A$45:$I$59, 7, FALSE), perc_95, VLOOKUP(H$2, Percentiles!$A$45:$I$59, 8, FALSE), perc_85, perc_75 + (perc_90 - perc_75) * (2/3), converted_stat, '2K_Ratings'!H749, IF(bbgm_stat &gt;= perc_95, converted_stat * 3, IF(bbgm_stat &gt;= perc_90, converted_stat * 2, IF(bbgm_stat &gt;= perc_85, converted_stat * 1.5, converted_stat)))))</f>
        <v/>
      </c>
      <c r="I749" s="30" t="str">
        <f t="array" ref="I749">IF($A749="", "", LET(bbgm_stat, INDEX(Players!$A748:$P748, MATCH(I$2, Players!$A$1:$P$1, 0)), perc_75, VLOOKUP(I$2, Percentiles!$A$45:$I$59, 6, FALSE), perc_90, VLOOKUP(I$2, Percentiles!$A$45:$I$59, 7, FALSE), perc_95, VLOOKUP(I$2, Percentiles!$A$45:$I$59, 8, FALSE), perc_85, perc_75 + (perc_90 - perc_75) * (2/3), converted_stat, '2K_Ratings'!I749, IF(bbgm_stat &gt;= perc_95, converted_stat * 3, IF(bbgm_stat &gt;= perc_90, converted_stat * 2, IF(bbgm_stat &gt;= perc_85, converted_stat * 1.5, converted_stat)))))</f>
        <v/>
      </c>
      <c r="J749" s="30" t="str">
        <f t="array" ref="J749">IF($A749="", "", LET(bbgm_stat, INDEX(Players!$A748:$P748, MATCH(J$2, Players!$A$1:$P$1, 0)), perc_75, VLOOKUP(J$2, Percentiles!$A$45:$I$59, 6, FALSE), perc_90, VLOOKUP(J$2, Percentiles!$A$45:$I$59, 7, FALSE), perc_95, VLOOKUP(J$2, Percentiles!$A$45:$I$59, 8, FALSE), perc_85, perc_75 + (perc_90 - perc_75) * (2/3), converted_stat, '2K_Ratings'!J749, IF(bbgm_stat &gt;= perc_95, converted_stat * 3, IF(bbgm_stat &gt;= perc_90, converted_stat * 2, IF(bbgm_stat &gt;= perc_85, converted_stat * 1.5, converted_stat)))))</f>
        <v/>
      </c>
      <c r="K749" s="30" t="str">
        <f t="array" ref="K749">IF($A749="", "", LET(bbgm_stat, INDEX(Players!$A748:$P748, MATCH(K$2, Players!$A$1:$P$1, 0)), perc_75, VLOOKUP(K$2, Percentiles!$A$45:$I$59, 6, FALSE), perc_90, VLOOKUP(K$2, Percentiles!$A$45:$I$59, 7, FALSE), perc_95, VLOOKUP(K$2, Percentiles!$A$45:$I$59, 8, FALSE), perc_85, perc_75 + (perc_90 - perc_75) * (2/3), converted_stat, '2K_Ratings'!K749, IF(bbgm_stat &gt;= perc_95, converted_stat * 3, IF(bbgm_stat &gt;= perc_90, converted_stat * 2, IF(bbgm_stat &gt;= perc_85, converted_stat * 1.5, converted_stat)))))</f>
        <v/>
      </c>
      <c r="L749" s="30" t="str">
        <f t="array" ref="L749">IF($A749="", "", LET(bbgm_stat, INDEX(Players!$A748:$P748, MATCH(L$2, Players!$A$1:$P$1, 0)), perc_75, VLOOKUP(L$2, Percentiles!$A$45:$I$59, 6, FALSE), perc_90, VLOOKUP(L$2, Percentiles!$A$45:$I$59, 7, FALSE), perc_95, VLOOKUP(L$2, Percentiles!$A$45:$I$59, 8, FALSE), perc_85, perc_75 + (perc_90 - perc_75) * (2/3), converted_stat, '2K_Ratings'!L749, IF(bbgm_stat &gt;= perc_95, converted_stat * 3, IF(bbgm_stat &gt;= perc_90, converted_stat * 2, IF(bbgm_stat &gt;= perc_85, converted_stat * 1.5, converted_stat)))))</f>
        <v/>
      </c>
      <c r="M749" s="30" t="str">
        <f t="array" ref="M749">IF($A749="", "", LET(bbgm_stat, INDEX(Players!$A748:$P748, MATCH(M$2, Players!$A$1:$P$1, 0)), perc_75, VLOOKUP(M$2, Percentiles!$A$45:$I$59, 6, FALSE), perc_90, VLOOKUP(M$2, Percentiles!$A$45:$I$59, 7, FALSE), perc_95, VLOOKUP(M$2, Percentiles!$A$45:$I$59, 8, FALSE), perc_85, perc_75 + (perc_90 - perc_75) * (2/3), converted_stat, '2K_Ratings'!M749, IF(bbgm_stat &gt;= perc_95, converted_stat * 3, IF(bbgm_stat &gt;= perc_90, converted_stat * 2, IF(bbgm_stat &gt;= perc_85, converted_stat * 1.5, converted_stat)))))</f>
        <v/>
      </c>
      <c r="N749" s="30" t="str">
        <f t="array" ref="N749">IF($A749="", "", LET(bbgm_stat, INDEX(Players!$A748:$P748, MATCH(N$2, Players!$A$1:$P$1, 0)), perc_75, VLOOKUP(N$2, Percentiles!$A$45:$I$59, 6, FALSE), perc_90, VLOOKUP(N$2, Percentiles!$A$45:$I$59, 7, FALSE), perc_95, VLOOKUP(N$2, Percentiles!$A$45:$I$59, 8, FALSE), perc_85, perc_75 + (perc_90 - perc_75) * (2/3), converted_stat, '2K_Ratings'!N749, IF(bbgm_stat &gt;= perc_95, converted_stat * 3, IF(bbgm_stat &gt;= perc_90, converted_stat * 2, IF(bbgm_stat &gt;= perc_85, converted_stat * 1.5, converted_stat)))))</f>
        <v/>
      </c>
      <c r="O749" s="30" t="str">
        <f t="array" ref="O749">IF($A749="", "", LET(bbgm_stat, INDEX(Players!$A748:$P748, MATCH(O$2, Players!$A$1:$P$1, 0)), perc_75, VLOOKUP(O$2, Percentiles!$A$45:$I$59, 6, FALSE), perc_90, VLOOKUP(O$2, Percentiles!$A$45:$I$59, 7, FALSE), perc_95, VLOOKUP(O$2, Percentiles!$A$45:$I$59, 8, FALSE), perc_85, perc_75 + (perc_90 - perc_75) * (2/3), converted_stat, '2K_Ratings'!O749, IF(bbgm_stat &gt;= perc_95, converted_stat * 3, IF(bbgm_stat &gt;= perc_90, converted_stat * 2, IF(bbgm_stat &gt;= perc_85, converted_stat * 1.5, converted_stat)))))</f>
        <v/>
      </c>
      <c r="P749" s="30" t="str">
        <f t="array" ref="P749">IF($A749="", "", LET(bbgm_stat, INDEX(Players!$A748:$P748, MATCH(P$2, Players!$A$1:$P$1, 0)), perc_75, VLOOKUP(P$2, Percentiles!$A$45:$I$59, 6, FALSE), perc_90, VLOOKUP(P$2, Percentiles!$A$45:$I$59, 7, FALSE), perc_95, VLOOKUP(P$2, Percentiles!$A$45:$I$59, 8, FALSE), perc_85, perc_75 + (perc_90 - perc_75) * (2/3), converted_stat, '2K_Ratings'!P749, IF(bbgm_stat &gt;= perc_95, converted_stat * 3, IF(bbgm_stat &gt;= perc_90, converted_stat * 2, IF(bbgm_stat &gt;= perc_85, converted_stat * 1.5, converted_stat)))))</f>
        <v/>
      </c>
      <c r="Q749" s="30" t="str">
        <f t="array" ref="Q749">IF($A749="", "", LET(bbgm_stat, INDEX(Players!$A748:$P748, MATCH(Q$2, Players!$A$1:$P$1, 0)), perc_75, VLOOKUP(Q$2, Percentiles!$A$45:$I$59, 6, FALSE), perc_90, VLOOKUP(Q$2, Percentiles!$A$45:$I$59, 7, FALSE), perc_95, VLOOKUP(Q$2, Percentiles!$A$45:$I$59, 8, FALSE), perc_85, perc_75 + (perc_90 - perc_75) * (2/3), converted_stat, '2K_Ratings'!Q749, IF(bbgm_stat &gt;= perc_95, converted_stat * 3, IF(bbgm_stat &gt;= perc_90, converted_stat * 2, IF(bbgm_stat &gt;= perc_85, converted_stat * 1.5, converted_stat)))))</f>
        <v/>
      </c>
      <c r="R749" s="30" t="str">
        <f t="array" ref="R749">IF($A749="", "", LET(bbgm_stat, INDEX(Players!$A748:$P748, MATCH(R$2, Players!$A$1:$P$1, 0)), perc_75, VLOOKUP(R$2, Percentiles!$A$45:$I$59, 6, FALSE), perc_90, VLOOKUP(R$2, Percentiles!$A$45:$I$59, 7, FALSE), perc_95, VLOOKUP(R$2, Percentiles!$A$45:$I$59, 8, FALSE), perc_85, perc_75 + (perc_90 - perc_75) * (2/3), converted_stat, '2K_Ratings'!R749, IF(bbgm_stat &gt;= perc_95, converted_stat * 3, IF(bbgm_stat &gt;= perc_90, converted_stat * 2, IF(bbgm_stat &gt;= perc_85, converted_stat * 1.5, converted_stat)))))</f>
        <v/>
      </c>
      <c r="S749" s="30" t="str">
        <f t="array" ref="S749">IF($A749="", "", LET(bbgm_stat, INDEX(Players!$A748:$P748, MATCH(S$2, Players!$A$1:$P$1, 0)), perc_75, VLOOKUP(S$2, Percentiles!$A$45:$I$59, 6, FALSE), perc_90, VLOOKUP(S$2, Percentiles!$A$45:$I$59, 7, FALSE), perc_95, VLOOKUP(S$2, Percentiles!$A$45:$I$59, 8, FALSE), perc_85, perc_75 + (perc_90 - perc_75) * (2/3), converted_stat, '2K_Ratings'!S749, IF(bbgm_stat &gt;= perc_95, converted_stat * 3, IF(bbgm_stat &gt;= perc_90, converted_stat * 2, IF(bbgm_stat &gt;= perc_85, converted_stat * 1.5, converted_stat)))))</f>
        <v/>
      </c>
      <c r="T749" s="30" t="str">
        <f t="array" ref="T749">IF($A749="", "", LET(bbgm_stat, INDEX(Players!$A748:$P748, MATCH(T$2, Players!$A$1:$P$1, 0)), perc_75, VLOOKUP(T$2, Percentiles!$A$45:$I$59, 6, FALSE), perc_90, VLOOKUP(T$2, Percentiles!$A$45:$I$59, 7, FALSE), perc_95, VLOOKUP(T$2, Percentiles!$A$45:$I$59, 8, FALSE), perc_85, perc_75 + (perc_90 - perc_75) * (2/3), converted_stat, '2K_Ratings'!T749, IF(bbgm_stat &gt;= perc_95, converted_stat * 3, IF(bbgm_stat &gt;= perc_90, converted_stat * 2, IF(bbgm_stat &gt;= perc_85, converted_stat * 1.5, converted_stat)))))</f>
        <v/>
      </c>
      <c r="U749" s="30" t="str">
        <f t="array" ref="U749">IF($A749="", "", LET(bbgm_stat, INDEX(Players!$A748:$P748, MATCH(U$2, Players!$A$1:$P$1, 0)), perc_75, VLOOKUP(U$2, Percentiles!$A$45:$I$59, 6, FALSE), perc_90, VLOOKUP(U$2, Percentiles!$A$45:$I$59, 7, FALSE), perc_95, VLOOKUP(U$2, Percentiles!$A$45:$I$59, 8, FALSE), perc_85, perc_75 + (perc_90 - perc_75) * (2/3), converted_stat, '2K_Ratings'!U749, IF(bbgm_stat &gt;= perc_95, converted_stat * 3, IF(bbgm_stat &gt;= perc_90, converted_stat * 2, IF(bbgm_stat &gt;= perc_85, converted_stat * 1.5, converted_stat)))))</f>
        <v/>
      </c>
      <c r="V749" s="30" t="str">
        <f t="array" ref="V749">IF($A749="", "", LET(bbgm_stat, INDEX(Players!$A748:$P748, MATCH(V$2, Players!$A$1:$P$1, 0)), perc_75, VLOOKUP(V$2, Percentiles!$A$45:$I$59, 6, FALSE), perc_90, VLOOKUP(V$2, Percentiles!$A$45:$I$59, 7, FALSE), perc_95, VLOOKUP(V$2, Percentiles!$A$45:$I$59, 8, FALSE), perc_85, perc_75 + (perc_90 - perc_75) * (2/3), converted_stat, '2K_Ratings'!V749, IF(bbgm_stat &gt;= perc_95, converted_stat * 3, IF(bbgm_stat &gt;= perc_90, converted_stat * 2, IF(bbgm_stat &gt;= perc_85, converted_stat * 1.5, converted_stat)))))</f>
        <v/>
      </c>
      <c r="W749" s="30" t="str">
        <f t="array" ref="W749">IF($A749="", "", LET(bbgm_stat, INDEX(Players!$A748:$P748, MATCH(W$2, Players!$A$1:$P$1, 0)), perc_75, VLOOKUP(W$2, Percentiles!$A$45:$I$59, 6, FALSE), perc_90, VLOOKUP(W$2, Percentiles!$A$45:$I$59, 7, FALSE), perc_95, VLOOKUP(W$2, Percentiles!$A$45:$I$59, 8, FALSE), perc_85, perc_75 + (perc_90 - perc_75) * (2/3), converted_stat, '2K_Ratings'!W749, IF(bbgm_stat &gt;= perc_95, converted_stat * 3, IF(bbgm_stat &gt;= perc_90, converted_stat * 2, IF(bbgm_stat &gt;= perc_85, converted_stat * 1.5, converted_stat)))))</f>
        <v/>
      </c>
    </row>
    <row r="750">
      <c r="A750" s="30"/>
      <c r="B750" s="30" t="str">
        <f t="array" ref="B750">IF($A750="", "", LET(bbgm_stat, INDEX(Players!$A749:$P749, MATCH(B$2, Players!$A$1:$P$1, 0)), perc_75, VLOOKUP(B$2, Percentiles!$A$45:$I$59, 6, FALSE), perc_90, VLOOKUP(B$2, Percentiles!$A$45:$I$59, 7, FALSE), perc_95, VLOOKUP(B$2, Percentiles!$A$45:$I$59, 8, FALSE), perc_85, perc_75 + (perc_90 - perc_75) * (2/3), converted_stat, '2K_Ratings'!B750, IF(bbgm_stat &gt;= perc_95, converted_stat * 3, IF(bbgm_stat &gt;= perc_90, converted_stat * 2, IF(bbgm_stat &gt;= perc_85, converted_stat * 1.5, converted_stat)))))</f>
        <v/>
      </c>
      <c r="C750" s="30" t="str">
        <f t="array" ref="C750">IF($A750="", "", LET(bbgm_stat, INDEX(Players!$A749:$P749, MATCH(C$2, Players!$A$1:$P$1, 0)), perc_75, VLOOKUP(C$2, Percentiles!$A$45:$I$59, 6, FALSE), perc_90, VLOOKUP(C$2, Percentiles!$A$45:$I$59, 7, FALSE), perc_95, VLOOKUP(C$2, Percentiles!$A$45:$I$59, 8, FALSE), perc_85, perc_75 + (perc_90 - perc_75) * (2/3), converted_stat, '2K_Ratings'!C750, IF(bbgm_stat &gt;= perc_95, converted_stat * 3, IF(bbgm_stat &gt;= perc_90, converted_stat * 2, IF(bbgm_stat &gt;= perc_85, converted_stat * 1.5, converted_stat)))))</f>
        <v/>
      </c>
      <c r="D750" s="30" t="str">
        <f t="array" ref="D750">IF($A750="", "", LET(bbgm_stat, INDEX(Players!$A749:$P749, MATCH(D$2, Players!$A$1:$P$1, 0)), perc_75, VLOOKUP(D$2, Percentiles!$A$45:$I$59, 6, FALSE), perc_90, VLOOKUP(D$2, Percentiles!$A$45:$I$59, 7, FALSE), perc_95, VLOOKUP(D$2, Percentiles!$A$45:$I$59, 8, FALSE), perc_85, perc_75 + (perc_90 - perc_75) * (2/3), converted_stat, '2K_Ratings'!D750, IF(bbgm_stat &gt;= perc_95, converted_stat * 3, IF(bbgm_stat &gt;= perc_90, converted_stat * 2, IF(bbgm_stat &gt;= perc_85, converted_stat * 1.5, converted_stat)))))</f>
        <v/>
      </c>
      <c r="E750" s="30" t="str">
        <f t="array" ref="E750">IF($A750="", "", LET(bbgm_stat, INDEX(Players!$A749:$P749, MATCH(E$2, Players!$A$1:$P$1, 0)), perc_75, VLOOKUP(E$2, Percentiles!$A$45:$I$59, 6, FALSE), perc_90, VLOOKUP(E$2, Percentiles!$A$45:$I$59, 7, FALSE), perc_95, VLOOKUP(E$2, Percentiles!$A$45:$I$59, 8, FALSE), perc_85, perc_75 + (perc_90 - perc_75) * (2/3), converted_stat, '2K_Ratings'!E750, IF(bbgm_stat &gt;= perc_95, converted_stat * 3, IF(bbgm_stat &gt;= perc_90, converted_stat * 2, IF(bbgm_stat &gt;= perc_85, converted_stat * 1.5, converted_stat)))))</f>
        <v/>
      </c>
      <c r="F750" s="30" t="str">
        <f t="array" ref="F750">IF($A750="", "", LET(bbgm_stat, INDEX(Players!$A749:$P749, MATCH(F$2, Players!$A$1:$P$1, 0)), perc_75, VLOOKUP(F$2, Percentiles!$A$45:$I$59, 6, FALSE), perc_90, VLOOKUP(F$2, Percentiles!$A$45:$I$59, 7, FALSE), perc_95, VLOOKUP(F$2, Percentiles!$A$45:$I$59, 8, FALSE), perc_85, perc_75 + (perc_90 - perc_75) * (2/3), converted_stat, '2K_Ratings'!F750, IF(bbgm_stat &gt;= perc_95, converted_stat * 3, IF(bbgm_stat &gt;= perc_90, converted_stat * 2, IF(bbgm_stat &gt;= perc_85, converted_stat * 1.5, converted_stat)))))</f>
        <v/>
      </c>
      <c r="G750" s="30" t="str">
        <f t="array" ref="G750">IF($A750="", "", LET(bbgm_stat, INDEX(Players!$A749:$P749, MATCH(G$2, Players!$A$1:$P$1, 0)), perc_75, VLOOKUP(G$2, Percentiles!$A$45:$I$59, 6, FALSE), perc_90, VLOOKUP(G$2, Percentiles!$A$45:$I$59, 7, FALSE), perc_95, VLOOKUP(G$2, Percentiles!$A$45:$I$59, 8, FALSE), perc_85, perc_75 + (perc_90 - perc_75) * (2/3), converted_stat, '2K_Ratings'!G750, IF(bbgm_stat &gt;= perc_95, converted_stat * 3, IF(bbgm_stat &gt;= perc_90, converted_stat * 2, IF(bbgm_stat &gt;= perc_85, converted_stat * 1.5, converted_stat)))))</f>
        <v/>
      </c>
      <c r="H750" s="30" t="str">
        <f t="array" ref="H750">IF($A750="", "", LET(bbgm_stat, INDEX(Players!$A749:$P749, MATCH(H$2, Players!$A$1:$P$1, 0)), perc_75, VLOOKUP(H$2, Percentiles!$A$45:$I$59, 6, FALSE), perc_90, VLOOKUP(H$2, Percentiles!$A$45:$I$59, 7, FALSE), perc_95, VLOOKUP(H$2, Percentiles!$A$45:$I$59, 8, FALSE), perc_85, perc_75 + (perc_90 - perc_75) * (2/3), converted_stat, '2K_Ratings'!H750, IF(bbgm_stat &gt;= perc_95, converted_stat * 3, IF(bbgm_stat &gt;= perc_90, converted_stat * 2, IF(bbgm_stat &gt;= perc_85, converted_stat * 1.5, converted_stat)))))</f>
        <v/>
      </c>
      <c r="I750" s="30" t="str">
        <f t="array" ref="I750">IF($A750="", "", LET(bbgm_stat, INDEX(Players!$A749:$P749, MATCH(I$2, Players!$A$1:$P$1, 0)), perc_75, VLOOKUP(I$2, Percentiles!$A$45:$I$59, 6, FALSE), perc_90, VLOOKUP(I$2, Percentiles!$A$45:$I$59, 7, FALSE), perc_95, VLOOKUP(I$2, Percentiles!$A$45:$I$59, 8, FALSE), perc_85, perc_75 + (perc_90 - perc_75) * (2/3), converted_stat, '2K_Ratings'!I750, IF(bbgm_stat &gt;= perc_95, converted_stat * 3, IF(bbgm_stat &gt;= perc_90, converted_stat * 2, IF(bbgm_stat &gt;= perc_85, converted_stat * 1.5, converted_stat)))))</f>
        <v/>
      </c>
      <c r="J750" s="30" t="str">
        <f t="array" ref="J750">IF($A750="", "", LET(bbgm_stat, INDEX(Players!$A749:$P749, MATCH(J$2, Players!$A$1:$P$1, 0)), perc_75, VLOOKUP(J$2, Percentiles!$A$45:$I$59, 6, FALSE), perc_90, VLOOKUP(J$2, Percentiles!$A$45:$I$59, 7, FALSE), perc_95, VLOOKUP(J$2, Percentiles!$A$45:$I$59, 8, FALSE), perc_85, perc_75 + (perc_90 - perc_75) * (2/3), converted_stat, '2K_Ratings'!J750, IF(bbgm_stat &gt;= perc_95, converted_stat * 3, IF(bbgm_stat &gt;= perc_90, converted_stat * 2, IF(bbgm_stat &gt;= perc_85, converted_stat * 1.5, converted_stat)))))</f>
        <v/>
      </c>
      <c r="K750" s="30" t="str">
        <f t="array" ref="K750">IF($A750="", "", LET(bbgm_stat, INDEX(Players!$A749:$P749, MATCH(K$2, Players!$A$1:$P$1, 0)), perc_75, VLOOKUP(K$2, Percentiles!$A$45:$I$59, 6, FALSE), perc_90, VLOOKUP(K$2, Percentiles!$A$45:$I$59, 7, FALSE), perc_95, VLOOKUP(K$2, Percentiles!$A$45:$I$59, 8, FALSE), perc_85, perc_75 + (perc_90 - perc_75) * (2/3), converted_stat, '2K_Ratings'!K750, IF(bbgm_stat &gt;= perc_95, converted_stat * 3, IF(bbgm_stat &gt;= perc_90, converted_stat * 2, IF(bbgm_stat &gt;= perc_85, converted_stat * 1.5, converted_stat)))))</f>
        <v/>
      </c>
      <c r="L750" s="30" t="str">
        <f t="array" ref="L750">IF($A750="", "", LET(bbgm_stat, INDEX(Players!$A749:$P749, MATCH(L$2, Players!$A$1:$P$1, 0)), perc_75, VLOOKUP(L$2, Percentiles!$A$45:$I$59, 6, FALSE), perc_90, VLOOKUP(L$2, Percentiles!$A$45:$I$59, 7, FALSE), perc_95, VLOOKUP(L$2, Percentiles!$A$45:$I$59, 8, FALSE), perc_85, perc_75 + (perc_90 - perc_75) * (2/3), converted_stat, '2K_Ratings'!L750, IF(bbgm_stat &gt;= perc_95, converted_stat * 3, IF(bbgm_stat &gt;= perc_90, converted_stat * 2, IF(bbgm_stat &gt;= perc_85, converted_stat * 1.5, converted_stat)))))</f>
        <v/>
      </c>
      <c r="M750" s="30" t="str">
        <f t="array" ref="M750">IF($A750="", "", LET(bbgm_stat, INDEX(Players!$A749:$P749, MATCH(M$2, Players!$A$1:$P$1, 0)), perc_75, VLOOKUP(M$2, Percentiles!$A$45:$I$59, 6, FALSE), perc_90, VLOOKUP(M$2, Percentiles!$A$45:$I$59, 7, FALSE), perc_95, VLOOKUP(M$2, Percentiles!$A$45:$I$59, 8, FALSE), perc_85, perc_75 + (perc_90 - perc_75) * (2/3), converted_stat, '2K_Ratings'!M750, IF(bbgm_stat &gt;= perc_95, converted_stat * 3, IF(bbgm_stat &gt;= perc_90, converted_stat * 2, IF(bbgm_stat &gt;= perc_85, converted_stat * 1.5, converted_stat)))))</f>
        <v/>
      </c>
      <c r="N750" s="30" t="str">
        <f t="array" ref="N750">IF($A750="", "", LET(bbgm_stat, INDEX(Players!$A749:$P749, MATCH(N$2, Players!$A$1:$P$1, 0)), perc_75, VLOOKUP(N$2, Percentiles!$A$45:$I$59, 6, FALSE), perc_90, VLOOKUP(N$2, Percentiles!$A$45:$I$59, 7, FALSE), perc_95, VLOOKUP(N$2, Percentiles!$A$45:$I$59, 8, FALSE), perc_85, perc_75 + (perc_90 - perc_75) * (2/3), converted_stat, '2K_Ratings'!N750, IF(bbgm_stat &gt;= perc_95, converted_stat * 3, IF(bbgm_stat &gt;= perc_90, converted_stat * 2, IF(bbgm_stat &gt;= perc_85, converted_stat * 1.5, converted_stat)))))</f>
        <v/>
      </c>
      <c r="O750" s="30" t="str">
        <f t="array" ref="O750">IF($A750="", "", LET(bbgm_stat, INDEX(Players!$A749:$P749, MATCH(O$2, Players!$A$1:$P$1, 0)), perc_75, VLOOKUP(O$2, Percentiles!$A$45:$I$59, 6, FALSE), perc_90, VLOOKUP(O$2, Percentiles!$A$45:$I$59, 7, FALSE), perc_95, VLOOKUP(O$2, Percentiles!$A$45:$I$59, 8, FALSE), perc_85, perc_75 + (perc_90 - perc_75) * (2/3), converted_stat, '2K_Ratings'!O750, IF(bbgm_stat &gt;= perc_95, converted_stat * 3, IF(bbgm_stat &gt;= perc_90, converted_stat * 2, IF(bbgm_stat &gt;= perc_85, converted_stat * 1.5, converted_stat)))))</f>
        <v/>
      </c>
      <c r="P750" s="30" t="str">
        <f t="array" ref="P750">IF($A750="", "", LET(bbgm_stat, INDEX(Players!$A749:$P749, MATCH(P$2, Players!$A$1:$P$1, 0)), perc_75, VLOOKUP(P$2, Percentiles!$A$45:$I$59, 6, FALSE), perc_90, VLOOKUP(P$2, Percentiles!$A$45:$I$59, 7, FALSE), perc_95, VLOOKUP(P$2, Percentiles!$A$45:$I$59, 8, FALSE), perc_85, perc_75 + (perc_90 - perc_75) * (2/3), converted_stat, '2K_Ratings'!P750, IF(bbgm_stat &gt;= perc_95, converted_stat * 3, IF(bbgm_stat &gt;= perc_90, converted_stat * 2, IF(bbgm_stat &gt;= perc_85, converted_stat * 1.5, converted_stat)))))</f>
        <v/>
      </c>
      <c r="Q750" s="30" t="str">
        <f t="array" ref="Q750">IF($A750="", "", LET(bbgm_stat, INDEX(Players!$A749:$P749, MATCH(Q$2, Players!$A$1:$P$1, 0)), perc_75, VLOOKUP(Q$2, Percentiles!$A$45:$I$59, 6, FALSE), perc_90, VLOOKUP(Q$2, Percentiles!$A$45:$I$59, 7, FALSE), perc_95, VLOOKUP(Q$2, Percentiles!$A$45:$I$59, 8, FALSE), perc_85, perc_75 + (perc_90 - perc_75) * (2/3), converted_stat, '2K_Ratings'!Q750, IF(bbgm_stat &gt;= perc_95, converted_stat * 3, IF(bbgm_stat &gt;= perc_90, converted_stat * 2, IF(bbgm_stat &gt;= perc_85, converted_stat * 1.5, converted_stat)))))</f>
        <v/>
      </c>
      <c r="R750" s="30" t="str">
        <f t="array" ref="R750">IF($A750="", "", LET(bbgm_stat, INDEX(Players!$A749:$P749, MATCH(R$2, Players!$A$1:$P$1, 0)), perc_75, VLOOKUP(R$2, Percentiles!$A$45:$I$59, 6, FALSE), perc_90, VLOOKUP(R$2, Percentiles!$A$45:$I$59, 7, FALSE), perc_95, VLOOKUP(R$2, Percentiles!$A$45:$I$59, 8, FALSE), perc_85, perc_75 + (perc_90 - perc_75) * (2/3), converted_stat, '2K_Ratings'!R750, IF(bbgm_stat &gt;= perc_95, converted_stat * 3, IF(bbgm_stat &gt;= perc_90, converted_stat * 2, IF(bbgm_stat &gt;= perc_85, converted_stat * 1.5, converted_stat)))))</f>
        <v/>
      </c>
      <c r="S750" s="30" t="str">
        <f t="array" ref="S750">IF($A750="", "", LET(bbgm_stat, INDEX(Players!$A749:$P749, MATCH(S$2, Players!$A$1:$P$1, 0)), perc_75, VLOOKUP(S$2, Percentiles!$A$45:$I$59, 6, FALSE), perc_90, VLOOKUP(S$2, Percentiles!$A$45:$I$59, 7, FALSE), perc_95, VLOOKUP(S$2, Percentiles!$A$45:$I$59, 8, FALSE), perc_85, perc_75 + (perc_90 - perc_75) * (2/3), converted_stat, '2K_Ratings'!S750, IF(bbgm_stat &gt;= perc_95, converted_stat * 3, IF(bbgm_stat &gt;= perc_90, converted_stat * 2, IF(bbgm_stat &gt;= perc_85, converted_stat * 1.5, converted_stat)))))</f>
        <v/>
      </c>
      <c r="T750" s="30" t="str">
        <f t="array" ref="T750">IF($A750="", "", LET(bbgm_stat, INDEX(Players!$A749:$P749, MATCH(T$2, Players!$A$1:$P$1, 0)), perc_75, VLOOKUP(T$2, Percentiles!$A$45:$I$59, 6, FALSE), perc_90, VLOOKUP(T$2, Percentiles!$A$45:$I$59, 7, FALSE), perc_95, VLOOKUP(T$2, Percentiles!$A$45:$I$59, 8, FALSE), perc_85, perc_75 + (perc_90 - perc_75) * (2/3), converted_stat, '2K_Ratings'!T750, IF(bbgm_stat &gt;= perc_95, converted_stat * 3, IF(bbgm_stat &gt;= perc_90, converted_stat * 2, IF(bbgm_stat &gt;= perc_85, converted_stat * 1.5, converted_stat)))))</f>
        <v/>
      </c>
      <c r="U750" s="30" t="str">
        <f t="array" ref="U750">IF($A750="", "", LET(bbgm_stat, INDEX(Players!$A749:$P749, MATCH(U$2, Players!$A$1:$P$1, 0)), perc_75, VLOOKUP(U$2, Percentiles!$A$45:$I$59, 6, FALSE), perc_90, VLOOKUP(U$2, Percentiles!$A$45:$I$59, 7, FALSE), perc_95, VLOOKUP(U$2, Percentiles!$A$45:$I$59, 8, FALSE), perc_85, perc_75 + (perc_90 - perc_75) * (2/3), converted_stat, '2K_Ratings'!U750, IF(bbgm_stat &gt;= perc_95, converted_stat * 3, IF(bbgm_stat &gt;= perc_90, converted_stat * 2, IF(bbgm_stat &gt;= perc_85, converted_stat * 1.5, converted_stat)))))</f>
        <v/>
      </c>
      <c r="V750" s="30" t="str">
        <f t="array" ref="V750">IF($A750="", "", LET(bbgm_stat, INDEX(Players!$A749:$P749, MATCH(V$2, Players!$A$1:$P$1, 0)), perc_75, VLOOKUP(V$2, Percentiles!$A$45:$I$59, 6, FALSE), perc_90, VLOOKUP(V$2, Percentiles!$A$45:$I$59, 7, FALSE), perc_95, VLOOKUP(V$2, Percentiles!$A$45:$I$59, 8, FALSE), perc_85, perc_75 + (perc_90 - perc_75) * (2/3), converted_stat, '2K_Ratings'!V750, IF(bbgm_stat &gt;= perc_95, converted_stat * 3, IF(bbgm_stat &gt;= perc_90, converted_stat * 2, IF(bbgm_stat &gt;= perc_85, converted_stat * 1.5, converted_stat)))))</f>
        <v/>
      </c>
      <c r="W750" s="30" t="str">
        <f t="array" ref="W750">IF($A750="", "", LET(bbgm_stat, INDEX(Players!$A749:$P749, MATCH(W$2, Players!$A$1:$P$1, 0)), perc_75, VLOOKUP(W$2, Percentiles!$A$45:$I$59, 6, FALSE), perc_90, VLOOKUP(W$2, Percentiles!$A$45:$I$59, 7, FALSE), perc_95, VLOOKUP(W$2, Percentiles!$A$45:$I$59, 8, FALSE), perc_85, perc_75 + (perc_90 - perc_75) * (2/3), converted_stat, '2K_Ratings'!W750, IF(bbgm_stat &gt;= perc_95, converted_stat * 3, IF(bbgm_stat &gt;= perc_90, converted_stat * 2, IF(bbgm_stat &gt;= perc_85, converted_stat * 1.5, converted_stat)))))</f>
        <v/>
      </c>
    </row>
    <row r="751">
      <c r="A751" s="30"/>
      <c r="B751" s="30" t="str">
        <f t="array" ref="B751">IF($A751="", "", LET(bbgm_stat, INDEX(Players!$A750:$P750, MATCH(B$2, Players!$A$1:$P$1, 0)), perc_75, VLOOKUP(B$2, Percentiles!$A$45:$I$59, 6, FALSE), perc_90, VLOOKUP(B$2, Percentiles!$A$45:$I$59, 7, FALSE), perc_95, VLOOKUP(B$2, Percentiles!$A$45:$I$59, 8, FALSE), perc_85, perc_75 + (perc_90 - perc_75) * (2/3), converted_stat, '2K_Ratings'!B751, IF(bbgm_stat &gt;= perc_95, converted_stat * 3, IF(bbgm_stat &gt;= perc_90, converted_stat * 2, IF(bbgm_stat &gt;= perc_85, converted_stat * 1.5, converted_stat)))))</f>
        <v/>
      </c>
      <c r="C751" s="30" t="str">
        <f t="array" ref="C751">IF($A751="", "", LET(bbgm_stat, INDEX(Players!$A750:$P750, MATCH(C$2, Players!$A$1:$P$1, 0)), perc_75, VLOOKUP(C$2, Percentiles!$A$45:$I$59, 6, FALSE), perc_90, VLOOKUP(C$2, Percentiles!$A$45:$I$59, 7, FALSE), perc_95, VLOOKUP(C$2, Percentiles!$A$45:$I$59, 8, FALSE), perc_85, perc_75 + (perc_90 - perc_75) * (2/3), converted_stat, '2K_Ratings'!C751, IF(bbgm_stat &gt;= perc_95, converted_stat * 3, IF(bbgm_stat &gt;= perc_90, converted_stat * 2, IF(bbgm_stat &gt;= perc_85, converted_stat * 1.5, converted_stat)))))</f>
        <v/>
      </c>
      <c r="D751" s="30" t="str">
        <f t="array" ref="D751">IF($A751="", "", LET(bbgm_stat, INDEX(Players!$A750:$P750, MATCH(D$2, Players!$A$1:$P$1, 0)), perc_75, VLOOKUP(D$2, Percentiles!$A$45:$I$59, 6, FALSE), perc_90, VLOOKUP(D$2, Percentiles!$A$45:$I$59, 7, FALSE), perc_95, VLOOKUP(D$2, Percentiles!$A$45:$I$59, 8, FALSE), perc_85, perc_75 + (perc_90 - perc_75) * (2/3), converted_stat, '2K_Ratings'!D751, IF(bbgm_stat &gt;= perc_95, converted_stat * 3, IF(bbgm_stat &gt;= perc_90, converted_stat * 2, IF(bbgm_stat &gt;= perc_85, converted_stat * 1.5, converted_stat)))))</f>
        <v/>
      </c>
      <c r="E751" s="30" t="str">
        <f t="array" ref="E751">IF($A751="", "", LET(bbgm_stat, INDEX(Players!$A750:$P750, MATCH(E$2, Players!$A$1:$P$1, 0)), perc_75, VLOOKUP(E$2, Percentiles!$A$45:$I$59, 6, FALSE), perc_90, VLOOKUP(E$2, Percentiles!$A$45:$I$59, 7, FALSE), perc_95, VLOOKUP(E$2, Percentiles!$A$45:$I$59, 8, FALSE), perc_85, perc_75 + (perc_90 - perc_75) * (2/3), converted_stat, '2K_Ratings'!E751, IF(bbgm_stat &gt;= perc_95, converted_stat * 3, IF(bbgm_stat &gt;= perc_90, converted_stat * 2, IF(bbgm_stat &gt;= perc_85, converted_stat * 1.5, converted_stat)))))</f>
        <v/>
      </c>
      <c r="F751" s="30" t="str">
        <f t="array" ref="F751">IF($A751="", "", LET(bbgm_stat, INDEX(Players!$A750:$P750, MATCH(F$2, Players!$A$1:$P$1, 0)), perc_75, VLOOKUP(F$2, Percentiles!$A$45:$I$59, 6, FALSE), perc_90, VLOOKUP(F$2, Percentiles!$A$45:$I$59, 7, FALSE), perc_95, VLOOKUP(F$2, Percentiles!$A$45:$I$59, 8, FALSE), perc_85, perc_75 + (perc_90 - perc_75) * (2/3), converted_stat, '2K_Ratings'!F751, IF(bbgm_stat &gt;= perc_95, converted_stat * 3, IF(bbgm_stat &gt;= perc_90, converted_stat * 2, IF(bbgm_stat &gt;= perc_85, converted_stat * 1.5, converted_stat)))))</f>
        <v/>
      </c>
      <c r="G751" s="30" t="str">
        <f t="array" ref="G751">IF($A751="", "", LET(bbgm_stat, INDEX(Players!$A750:$P750, MATCH(G$2, Players!$A$1:$P$1, 0)), perc_75, VLOOKUP(G$2, Percentiles!$A$45:$I$59, 6, FALSE), perc_90, VLOOKUP(G$2, Percentiles!$A$45:$I$59, 7, FALSE), perc_95, VLOOKUP(G$2, Percentiles!$A$45:$I$59, 8, FALSE), perc_85, perc_75 + (perc_90 - perc_75) * (2/3), converted_stat, '2K_Ratings'!G751, IF(bbgm_stat &gt;= perc_95, converted_stat * 3, IF(bbgm_stat &gt;= perc_90, converted_stat * 2, IF(bbgm_stat &gt;= perc_85, converted_stat * 1.5, converted_stat)))))</f>
        <v/>
      </c>
      <c r="H751" s="30" t="str">
        <f t="array" ref="H751">IF($A751="", "", LET(bbgm_stat, INDEX(Players!$A750:$P750, MATCH(H$2, Players!$A$1:$P$1, 0)), perc_75, VLOOKUP(H$2, Percentiles!$A$45:$I$59, 6, FALSE), perc_90, VLOOKUP(H$2, Percentiles!$A$45:$I$59, 7, FALSE), perc_95, VLOOKUP(H$2, Percentiles!$A$45:$I$59, 8, FALSE), perc_85, perc_75 + (perc_90 - perc_75) * (2/3), converted_stat, '2K_Ratings'!H751, IF(bbgm_stat &gt;= perc_95, converted_stat * 3, IF(bbgm_stat &gt;= perc_90, converted_stat * 2, IF(bbgm_stat &gt;= perc_85, converted_stat * 1.5, converted_stat)))))</f>
        <v/>
      </c>
      <c r="I751" s="30" t="str">
        <f t="array" ref="I751">IF($A751="", "", LET(bbgm_stat, INDEX(Players!$A750:$P750, MATCH(I$2, Players!$A$1:$P$1, 0)), perc_75, VLOOKUP(I$2, Percentiles!$A$45:$I$59, 6, FALSE), perc_90, VLOOKUP(I$2, Percentiles!$A$45:$I$59, 7, FALSE), perc_95, VLOOKUP(I$2, Percentiles!$A$45:$I$59, 8, FALSE), perc_85, perc_75 + (perc_90 - perc_75) * (2/3), converted_stat, '2K_Ratings'!I751, IF(bbgm_stat &gt;= perc_95, converted_stat * 3, IF(bbgm_stat &gt;= perc_90, converted_stat * 2, IF(bbgm_stat &gt;= perc_85, converted_stat * 1.5, converted_stat)))))</f>
        <v/>
      </c>
      <c r="J751" s="30" t="str">
        <f t="array" ref="J751">IF($A751="", "", LET(bbgm_stat, INDEX(Players!$A750:$P750, MATCH(J$2, Players!$A$1:$P$1, 0)), perc_75, VLOOKUP(J$2, Percentiles!$A$45:$I$59, 6, FALSE), perc_90, VLOOKUP(J$2, Percentiles!$A$45:$I$59, 7, FALSE), perc_95, VLOOKUP(J$2, Percentiles!$A$45:$I$59, 8, FALSE), perc_85, perc_75 + (perc_90 - perc_75) * (2/3), converted_stat, '2K_Ratings'!J751, IF(bbgm_stat &gt;= perc_95, converted_stat * 3, IF(bbgm_stat &gt;= perc_90, converted_stat * 2, IF(bbgm_stat &gt;= perc_85, converted_stat * 1.5, converted_stat)))))</f>
        <v/>
      </c>
      <c r="K751" s="30" t="str">
        <f t="array" ref="K751">IF($A751="", "", LET(bbgm_stat, INDEX(Players!$A750:$P750, MATCH(K$2, Players!$A$1:$P$1, 0)), perc_75, VLOOKUP(K$2, Percentiles!$A$45:$I$59, 6, FALSE), perc_90, VLOOKUP(K$2, Percentiles!$A$45:$I$59, 7, FALSE), perc_95, VLOOKUP(K$2, Percentiles!$A$45:$I$59, 8, FALSE), perc_85, perc_75 + (perc_90 - perc_75) * (2/3), converted_stat, '2K_Ratings'!K751, IF(bbgm_stat &gt;= perc_95, converted_stat * 3, IF(bbgm_stat &gt;= perc_90, converted_stat * 2, IF(bbgm_stat &gt;= perc_85, converted_stat * 1.5, converted_stat)))))</f>
        <v/>
      </c>
      <c r="L751" s="30" t="str">
        <f t="array" ref="L751">IF($A751="", "", LET(bbgm_stat, INDEX(Players!$A750:$P750, MATCH(L$2, Players!$A$1:$P$1, 0)), perc_75, VLOOKUP(L$2, Percentiles!$A$45:$I$59, 6, FALSE), perc_90, VLOOKUP(L$2, Percentiles!$A$45:$I$59, 7, FALSE), perc_95, VLOOKUP(L$2, Percentiles!$A$45:$I$59, 8, FALSE), perc_85, perc_75 + (perc_90 - perc_75) * (2/3), converted_stat, '2K_Ratings'!L751, IF(bbgm_stat &gt;= perc_95, converted_stat * 3, IF(bbgm_stat &gt;= perc_90, converted_stat * 2, IF(bbgm_stat &gt;= perc_85, converted_stat * 1.5, converted_stat)))))</f>
        <v/>
      </c>
      <c r="M751" s="30" t="str">
        <f t="array" ref="M751">IF($A751="", "", LET(bbgm_stat, INDEX(Players!$A750:$P750, MATCH(M$2, Players!$A$1:$P$1, 0)), perc_75, VLOOKUP(M$2, Percentiles!$A$45:$I$59, 6, FALSE), perc_90, VLOOKUP(M$2, Percentiles!$A$45:$I$59, 7, FALSE), perc_95, VLOOKUP(M$2, Percentiles!$A$45:$I$59, 8, FALSE), perc_85, perc_75 + (perc_90 - perc_75) * (2/3), converted_stat, '2K_Ratings'!M751, IF(bbgm_stat &gt;= perc_95, converted_stat * 3, IF(bbgm_stat &gt;= perc_90, converted_stat * 2, IF(bbgm_stat &gt;= perc_85, converted_stat * 1.5, converted_stat)))))</f>
        <v/>
      </c>
      <c r="N751" s="30" t="str">
        <f t="array" ref="N751">IF($A751="", "", LET(bbgm_stat, INDEX(Players!$A750:$P750, MATCH(N$2, Players!$A$1:$P$1, 0)), perc_75, VLOOKUP(N$2, Percentiles!$A$45:$I$59, 6, FALSE), perc_90, VLOOKUP(N$2, Percentiles!$A$45:$I$59, 7, FALSE), perc_95, VLOOKUP(N$2, Percentiles!$A$45:$I$59, 8, FALSE), perc_85, perc_75 + (perc_90 - perc_75) * (2/3), converted_stat, '2K_Ratings'!N751, IF(bbgm_stat &gt;= perc_95, converted_stat * 3, IF(bbgm_stat &gt;= perc_90, converted_stat * 2, IF(bbgm_stat &gt;= perc_85, converted_stat * 1.5, converted_stat)))))</f>
        <v/>
      </c>
      <c r="O751" s="30" t="str">
        <f t="array" ref="O751">IF($A751="", "", LET(bbgm_stat, INDEX(Players!$A750:$P750, MATCH(O$2, Players!$A$1:$P$1, 0)), perc_75, VLOOKUP(O$2, Percentiles!$A$45:$I$59, 6, FALSE), perc_90, VLOOKUP(O$2, Percentiles!$A$45:$I$59, 7, FALSE), perc_95, VLOOKUP(O$2, Percentiles!$A$45:$I$59, 8, FALSE), perc_85, perc_75 + (perc_90 - perc_75) * (2/3), converted_stat, '2K_Ratings'!O751, IF(bbgm_stat &gt;= perc_95, converted_stat * 3, IF(bbgm_stat &gt;= perc_90, converted_stat * 2, IF(bbgm_stat &gt;= perc_85, converted_stat * 1.5, converted_stat)))))</f>
        <v/>
      </c>
      <c r="P751" s="30" t="str">
        <f t="array" ref="P751">IF($A751="", "", LET(bbgm_stat, INDEX(Players!$A750:$P750, MATCH(P$2, Players!$A$1:$P$1, 0)), perc_75, VLOOKUP(P$2, Percentiles!$A$45:$I$59, 6, FALSE), perc_90, VLOOKUP(P$2, Percentiles!$A$45:$I$59, 7, FALSE), perc_95, VLOOKUP(P$2, Percentiles!$A$45:$I$59, 8, FALSE), perc_85, perc_75 + (perc_90 - perc_75) * (2/3), converted_stat, '2K_Ratings'!P751, IF(bbgm_stat &gt;= perc_95, converted_stat * 3, IF(bbgm_stat &gt;= perc_90, converted_stat * 2, IF(bbgm_stat &gt;= perc_85, converted_stat * 1.5, converted_stat)))))</f>
        <v/>
      </c>
      <c r="Q751" s="30" t="str">
        <f t="array" ref="Q751">IF($A751="", "", LET(bbgm_stat, INDEX(Players!$A750:$P750, MATCH(Q$2, Players!$A$1:$P$1, 0)), perc_75, VLOOKUP(Q$2, Percentiles!$A$45:$I$59, 6, FALSE), perc_90, VLOOKUP(Q$2, Percentiles!$A$45:$I$59, 7, FALSE), perc_95, VLOOKUP(Q$2, Percentiles!$A$45:$I$59, 8, FALSE), perc_85, perc_75 + (perc_90 - perc_75) * (2/3), converted_stat, '2K_Ratings'!Q751, IF(bbgm_stat &gt;= perc_95, converted_stat * 3, IF(bbgm_stat &gt;= perc_90, converted_stat * 2, IF(bbgm_stat &gt;= perc_85, converted_stat * 1.5, converted_stat)))))</f>
        <v/>
      </c>
      <c r="R751" s="30" t="str">
        <f t="array" ref="R751">IF($A751="", "", LET(bbgm_stat, INDEX(Players!$A750:$P750, MATCH(R$2, Players!$A$1:$P$1, 0)), perc_75, VLOOKUP(R$2, Percentiles!$A$45:$I$59, 6, FALSE), perc_90, VLOOKUP(R$2, Percentiles!$A$45:$I$59, 7, FALSE), perc_95, VLOOKUP(R$2, Percentiles!$A$45:$I$59, 8, FALSE), perc_85, perc_75 + (perc_90 - perc_75) * (2/3), converted_stat, '2K_Ratings'!R751, IF(bbgm_stat &gt;= perc_95, converted_stat * 3, IF(bbgm_stat &gt;= perc_90, converted_stat * 2, IF(bbgm_stat &gt;= perc_85, converted_stat * 1.5, converted_stat)))))</f>
        <v/>
      </c>
      <c r="S751" s="30" t="str">
        <f t="array" ref="S751">IF($A751="", "", LET(bbgm_stat, INDEX(Players!$A750:$P750, MATCH(S$2, Players!$A$1:$P$1, 0)), perc_75, VLOOKUP(S$2, Percentiles!$A$45:$I$59, 6, FALSE), perc_90, VLOOKUP(S$2, Percentiles!$A$45:$I$59, 7, FALSE), perc_95, VLOOKUP(S$2, Percentiles!$A$45:$I$59, 8, FALSE), perc_85, perc_75 + (perc_90 - perc_75) * (2/3), converted_stat, '2K_Ratings'!S751, IF(bbgm_stat &gt;= perc_95, converted_stat * 3, IF(bbgm_stat &gt;= perc_90, converted_stat * 2, IF(bbgm_stat &gt;= perc_85, converted_stat * 1.5, converted_stat)))))</f>
        <v/>
      </c>
      <c r="T751" s="30" t="str">
        <f t="array" ref="T751">IF($A751="", "", LET(bbgm_stat, INDEX(Players!$A750:$P750, MATCH(T$2, Players!$A$1:$P$1, 0)), perc_75, VLOOKUP(T$2, Percentiles!$A$45:$I$59, 6, FALSE), perc_90, VLOOKUP(T$2, Percentiles!$A$45:$I$59, 7, FALSE), perc_95, VLOOKUP(T$2, Percentiles!$A$45:$I$59, 8, FALSE), perc_85, perc_75 + (perc_90 - perc_75) * (2/3), converted_stat, '2K_Ratings'!T751, IF(bbgm_stat &gt;= perc_95, converted_stat * 3, IF(bbgm_stat &gt;= perc_90, converted_stat * 2, IF(bbgm_stat &gt;= perc_85, converted_stat * 1.5, converted_stat)))))</f>
        <v/>
      </c>
      <c r="U751" s="30" t="str">
        <f t="array" ref="U751">IF($A751="", "", LET(bbgm_stat, INDEX(Players!$A750:$P750, MATCH(U$2, Players!$A$1:$P$1, 0)), perc_75, VLOOKUP(U$2, Percentiles!$A$45:$I$59, 6, FALSE), perc_90, VLOOKUP(U$2, Percentiles!$A$45:$I$59, 7, FALSE), perc_95, VLOOKUP(U$2, Percentiles!$A$45:$I$59, 8, FALSE), perc_85, perc_75 + (perc_90 - perc_75) * (2/3), converted_stat, '2K_Ratings'!U751, IF(bbgm_stat &gt;= perc_95, converted_stat * 3, IF(bbgm_stat &gt;= perc_90, converted_stat * 2, IF(bbgm_stat &gt;= perc_85, converted_stat * 1.5, converted_stat)))))</f>
        <v/>
      </c>
      <c r="V751" s="30" t="str">
        <f t="array" ref="V751">IF($A751="", "", LET(bbgm_stat, INDEX(Players!$A750:$P750, MATCH(V$2, Players!$A$1:$P$1, 0)), perc_75, VLOOKUP(V$2, Percentiles!$A$45:$I$59, 6, FALSE), perc_90, VLOOKUP(V$2, Percentiles!$A$45:$I$59, 7, FALSE), perc_95, VLOOKUP(V$2, Percentiles!$A$45:$I$59, 8, FALSE), perc_85, perc_75 + (perc_90 - perc_75) * (2/3), converted_stat, '2K_Ratings'!V751, IF(bbgm_stat &gt;= perc_95, converted_stat * 3, IF(bbgm_stat &gt;= perc_90, converted_stat * 2, IF(bbgm_stat &gt;= perc_85, converted_stat * 1.5, converted_stat)))))</f>
        <v/>
      </c>
      <c r="W751" s="30" t="str">
        <f t="array" ref="W751">IF($A751="", "", LET(bbgm_stat, INDEX(Players!$A750:$P750, MATCH(W$2, Players!$A$1:$P$1, 0)), perc_75, VLOOKUP(W$2, Percentiles!$A$45:$I$59, 6, FALSE), perc_90, VLOOKUP(W$2, Percentiles!$A$45:$I$59, 7, FALSE), perc_95, VLOOKUP(W$2, Percentiles!$A$45:$I$59, 8, FALSE), perc_85, perc_75 + (perc_90 - perc_75) * (2/3), converted_stat, '2K_Ratings'!W751, IF(bbgm_stat &gt;= perc_95, converted_stat * 3, IF(bbgm_stat &gt;= perc_90, converted_stat * 2, IF(bbgm_stat &gt;= perc_85, converted_stat * 1.5, converted_stat)))))</f>
        <v/>
      </c>
    </row>
    <row r="752">
      <c r="A752" s="30"/>
      <c r="B752" s="30" t="str">
        <f t="array" ref="B752">IF($A752="", "", LET(bbgm_stat, INDEX(Players!$A751:$P751, MATCH(B$2, Players!$A$1:$P$1, 0)), perc_75, VLOOKUP(B$2, Percentiles!$A$45:$I$59, 6, FALSE), perc_90, VLOOKUP(B$2, Percentiles!$A$45:$I$59, 7, FALSE), perc_95, VLOOKUP(B$2, Percentiles!$A$45:$I$59, 8, FALSE), perc_85, perc_75 + (perc_90 - perc_75) * (2/3), converted_stat, '2K_Ratings'!B752, IF(bbgm_stat &gt;= perc_95, converted_stat * 3, IF(bbgm_stat &gt;= perc_90, converted_stat * 2, IF(bbgm_stat &gt;= perc_85, converted_stat * 1.5, converted_stat)))))</f>
        <v/>
      </c>
      <c r="C752" s="30" t="str">
        <f t="array" ref="C752">IF($A752="", "", LET(bbgm_stat, INDEX(Players!$A751:$P751, MATCH(C$2, Players!$A$1:$P$1, 0)), perc_75, VLOOKUP(C$2, Percentiles!$A$45:$I$59, 6, FALSE), perc_90, VLOOKUP(C$2, Percentiles!$A$45:$I$59, 7, FALSE), perc_95, VLOOKUP(C$2, Percentiles!$A$45:$I$59, 8, FALSE), perc_85, perc_75 + (perc_90 - perc_75) * (2/3), converted_stat, '2K_Ratings'!C752, IF(bbgm_stat &gt;= perc_95, converted_stat * 3, IF(bbgm_stat &gt;= perc_90, converted_stat * 2, IF(bbgm_stat &gt;= perc_85, converted_stat * 1.5, converted_stat)))))</f>
        <v/>
      </c>
      <c r="D752" s="30" t="str">
        <f t="array" ref="D752">IF($A752="", "", LET(bbgm_stat, INDEX(Players!$A751:$P751, MATCH(D$2, Players!$A$1:$P$1, 0)), perc_75, VLOOKUP(D$2, Percentiles!$A$45:$I$59, 6, FALSE), perc_90, VLOOKUP(D$2, Percentiles!$A$45:$I$59, 7, FALSE), perc_95, VLOOKUP(D$2, Percentiles!$A$45:$I$59, 8, FALSE), perc_85, perc_75 + (perc_90 - perc_75) * (2/3), converted_stat, '2K_Ratings'!D752, IF(bbgm_stat &gt;= perc_95, converted_stat * 3, IF(bbgm_stat &gt;= perc_90, converted_stat * 2, IF(bbgm_stat &gt;= perc_85, converted_stat * 1.5, converted_stat)))))</f>
        <v/>
      </c>
      <c r="E752" s="30" t="str">
        <f t="array" ref="E752">IF($A752="", "", LET(bbgm_stat, INDEX(Players!$A751:$P751, MATCH(E$2, Players!$A$1:$P$1, 0)), perc_75, VLOOKUP(E$2, Percentiles!$A$45:$I$59, 6, FALSE), perc_90, VLOOKUP(E$2, Percentiles!$A$45:$I$59, 7, FALSE), perc_95, VLOOKUP(E$2, Percentiles!$A$45:$I$59, 8, FALSE), perc_85, perc_75 + (perc_90 - perc_75) * (2/3), converted_stat, '2K_Ratings'!E752, IF(bbgm_stat &gt;= perc_95, converted_stat * 3, IF(bbgm_stat &gt;= perc_90, converted_stat * 2, IF(bbgm_stat &gt;= perc_85, converted_stat * 1.5, converted_stat)))))</f>
        <v/>
      </c>
      <c r="F752" s="30" t="str">
        <f t="array" ref="F752">IF($A752="", "", LET(bbgm_stat, INDEX(Players!$A751:$P751, MATCH(F$2, Players!$A$1:$P$1, 0)), perc_75, VLOOKUP(F$2, Percentiles!$A$45:$I$59, 6, FALSE), perc_90, VLOOKUP(F$2, Percentiles!$A$45:$I$59, 7, FALSE), perc_95, VLOOKUP(F$2, Percentiles!$A$45:$I$59, 8, FALSE), perc_85, perc_75 + (perc_90 - perc_75) * (2/3), converted_stat, '2K_Ratings'!F752, IF(bbgm_stat &gt;= perc_95, converted_stat * 3, IF(bbgm_stat &gt;= perc_90, converted_stat * 2, IF(bbgm_stat &gt;= perc_85, converted_stat * 1.5, converted_stat)))))</f>
        <v/>
      </c>
      <c r="G752" s="30" t="str">
        <f t="array" ref="G752">IF($A752="", "", LET(bbgm_stat, INDEX(Players!$A751:$P751, MATCH(G$2, Players!$A$1:$P$1, 0)), perc_75, VLOOKUP(G$2, Percentiles!$A$45:$I$59, 6, FALSE), perc_90, VLOOKUP(G$2, Percentiles!$A$45:$I$59, 7, FALSE), perc_95, VLOOKUP(G$2, Percentiles!$A$45:$I$59, 8, FALSE), perc_85, perc_75 + (perc_90 - perc_75) * (2/3), converted_stat, '2K_Ratings'!G752, IF(bbgm_stat &gt;= perc_95, converted_stat * 3, IF(bbgm_stat &gt;= perc_90, converted_stat * 2, IF(bbgm_stat &gt;= perc_85, converted_stat * 1.5, converted_stat)))))</f>
        <v/>
      </c>
      <c r="H752" s="30" t="str">
        <f t="array" ref="H752">IF($A752="", "", LET(bbgm_stat, INDEX(Players!$A751:$P751, MATCH(H$2, Players!$A$1:$P$1, 0)), perc_75, VLOOKUP(H$2, Percentiles!$A$45:$I$59, 6, FALSE), perc_90, VLOOKUP(H$2, Percentiles!$A$45:$I$59, 7, FALSE), perc_95, VLOOKUP(H$2, Percentiles!$A$45:$I$59, 8, FALSE), perc_85, perc_75 + (perc_90 - perc_75) * (2/3), converted_stat, '2K_Ratings'!H752, IF(bbgm_stat &gt;= perc_95, converted_stat * 3, IF(bbgm_stat &gt;= perc_90, converted_stat * 2, IF(bbgm_stat &gt;= perc_85, converted_stat * 1.5, converted_stat)))))</f>
        <v/>
      </c>
      <c r="I752" s="30" t="str">
        <f t="array" ref="I752">IF($A752="", "", LET(bbgm_stat, INDEX(Players!$A751:$P751, MATCH(I$2, Players!$A$1:$P$1, 0)), perc_75, VLOOKUP(I$2, Percentiles!$A$45:$I$59, 6, FALSE), perc_90, VLOOKUP(I$2, Percentiles!$A$45:$I$59, 7, FALSE), perc_95, VLOOKUP(I$2, Percentiles!$A$45:$I$59, 8, FALSE), perc_85, perc_75 + (perc_90 - perc_75) * (2/3), converted_stat, '2K_Ratings'!I752, IF(bbgm_stat &gt;= perc_95, converted_stat * 3, IF(bbgm_stat &gt;= perc_90, converted_stat * 2, IF(bbgm_stat &gt;= perc_85, converted_stat * 1.5, converted_stat)))))</f>
        <v/>
      </c>
      <c r="J752" s="30" t="str">
        <f t="array" ref="J752">IF($A752="", "", LET(bbgm_stat, INDEX(Players!$A751:$P751, MATCH(J$2, Players!$A$1:$P$1, 0)), perc_75, VLOOKUP(J$2, Percentiles!$A$45:$I$59, 6, FALSE), perc_90, VLOOKUP(J$2, Percentiles!$A$45:$I$59, 7, FALSE), perc_95, VLOOKUP(J$2, Percentiles!$A$45:$I$59, 8, FALSE), perc_85, perc_75 + (perc_90 - perc_75) * (2/3), converted_stat, '2K_Ratings'!J752, IF(bbgm_stat &gt;= perc_95, converted_stat * 3, IF(bbgm_stat &gt;= perc_90, converted_stat * 2, IF(bbgm_stat &gt;= perc_85, converted_stat * 1.5, converted_stat)))))</f>
        <v/>
      </c>
      <c r="K752" s="30" t="str">
        <f t="array" ref="K752">IF($A752="", "", LET(bbgm_stat, INDEX(Players!$A751:$P751, MATCH(K$2, Players!$A$1:$P$1, 0)), perc_75, VLOOKUP(K$2, Percentiles!$A$45:$I$59, 6, FALSE), perc_90, VLOOKUP(K$2, Percentiles!$A$45:$I$59, 7, FALSE), perc_95, VLOOKUP(K$2, Percentiles!$A$45:$I$59, 8, FALSE), perc_85, perc_75 + (perc_90 - perc_75) * (2/3), converted_stat, '2K_Ratings'!K752, IF(bbgm_stat &gt;= perc_95, converted_stat * 3, IF(bbgm_stat &gt;= perc_90, converted_stat * 2, IF(bbgm_stat &gt;= perc_85, converted_stat * 1.5, converted_stat)))))</f>
        <v/>
      </c>
      <c r="L752" s="30" t="str">
        <f t="array" ref="L752">IF($A752="", "", LET(bbgm_stat, INDEX(Players!$A751:$P751, MATCH(L$2, Players!$A$1:$P$1, 0)), perc_75, VLOOKUP(L$2, Percentiles!$A$45:$I$59, 6, FALSE), perc_90, VLOOKUP(L$2, Percentiles!$A$45:$I$59, 7, FALSE), perc_95, VLOOKUP(L$2, Percentiles!$A$45:$I$59, 8, FALSE), perc_85, perc_75 + (perc_90 - perc_75) * (2/3), converted_stat, '2K_Ratings'!L752, IF(bbgm_stat &gt;= perc_95, converted_stat * 3, IF(bbgm_stat &gt;= perc_90, converted_stat * 2, IF(bbgm_stat &gt;= perc_85, converted_stat * 1.5, converted_stat)))))</f>
        <v/>
      </c>
      <c r="M752" s="30" t="str">
        <f t="array" ref="M752">IF($A752="", "", LET(bbgm_stat, INDEX(Players!$A751:$P751, MATCH(M$2, Players!$A$1:$P$1, 0)), perc_75, VLOOKUP(M$2, Percentiles!$A$45:$I$59, 6, FALSE), perc_90, VLOOKUP(M$2, Percentiles!$A$45:$I$59, 7, FALSE), perc_95, VLOOKUP(M$2, Percentiles!$A$45:$I$59, 8, FALSE), perc_85, perc_75 + (perc_90 - perc_75) * (2/3), converted_stat, '2K_Ratings'!M752, IF(bbgm_stat &gt;= perc_95, converted_stat * 3, IF(bbgm_stat &gt;= perc_90, converted_stat * 2, IF(bbgm_stat &gt;= perc_85, converted_stat * 1.5, converted_stat)))))</f>
        <v/>
      </c>
      <c r="N752" s="30" t="str">
        <f t="array" ref="N752">IF($A752="", "", LET(bbgm_stat, INDEX(Players!$A751:$P751, MATCH(N$2, Players!$A$1:$P$1, 0)), perc_75, VLOOKUP(N$2, Percentiles!$A$45:$I$59, 6, FALSE), perc_90, VLOOKUP(N$2, Percentiles!$A$45:$I$59, 7, FALSE), perc_95, VLOOKUP(N$2, Percentiles!$A$45:$I$59, 8, FALSE), perc_85, perc_75 + (perc_90 - perc_75) * (2/3), converted_stat, '2K_Ratings'!N752, IF(bbgm_stat &gt;= perc_95, converted_stat * 3, IF(bbgm_stat &gt;= perc_90, converted_stat * 2, IF(bbgm_stat &gt;= perc_85, converted_stat * 1.5, converted_stat)))))</f>
        <v/>
      </c>
      <c r="O752" s="30" t="str">
        <f t="array" ref="O752">IF($A752="", "", LET(bbgm_stat, INDEX(Players!$A751:$P751, MATCH(O$2, Players!$A$1:$P$1, 0)), perc_75, VLOOKUP(O$2, Percentiles!$A$45:$I$59, 6, FALSE), perc_90, VLOOKUP(O$2, Percentiles!$A$45:$I$59, 7, FALSE), perc_95, VLOOKUP(O$2, Percentiles!$A$45:$I$59, 8, FALSE), perc_85, perc_75 + (perc_90 - perc_75) * (2/3), converted_stat, '2K_Ratings'!O752, IF(bbgm_stat &gt;= perc_95, converted_stat * 3, IF(bbgm_stat &gt;= perc_90, converted_stat * 2, IF(bbgm_stat &gt;= perc_85, converted_stat * 1.5, converted_stat)))))</f>
        <v/>
      </c>
      <c r="P752" s="30" t="str">
        <f t="array" ref="P752">IF($A752="", "", LET(bbgm_stat, INDEX(Players!$A751:$P751, MATCH(P$2, Players!$A$1:$P$1, 0)), perc_75, VLOOKUP(P$2, Percentiles!$A$45:$I$59, 6, FALSE), perc_90, VLOOKUP(P$2, Percentiles!$A$45:$I$59, 7, FALSE), perc_95, VLOOKUP(P$2, Percentiles!$A$45:$I$59, 8, FALSE), perc_85, perc_75 + (perc_90 - perc_75) * (2/3), converted_stat, '2K_Ratings'!P752, IF(bbgm_stat &gt;= perc_95, converted_stat * 3, IF(bbgm_stat &gt;= perc_90, converted_stat * 2, IF(bbgm_stat &gt;= perc_85, converted_stat * 1.5, converted_stat)))))</f>
        <v/>
      </c>
      <c r="Q752" s="30" t="str">
        <f t="array" ref="Q752">IF($A752="", "", LET(bbgm_stat, INDEX(Players!$A751:$P751, MATCH(Q$2, Players!$A$1:$P$1, 0)), perc_75, VLOOKUP(Q$2, Percentiles!$A$45:$I$59, 6, FALSE), perc_90, VLOOKUP(Q$2, Percentiles!$A$45:$I$59, 7, FALSE), perc_95, VLOOKUP(Q$2, Percentiles!$A$45:$I$59, 8, FALSE), perc_85, perc_75 + (perc_90 - perc_75) * (2/3), converted_stat, '2K_Ratings'!Q752, IF(bbgm_stat &gt;= perc_95, converted_stat * 3, IF(bbgm_stat &gt;= perc_90, converted_stat * 2, IF(bbgm_stat &gt;= perc_85, converted_stat * 1.5, converted_stat)))))</f>
        <v/>
      </c>
      <c r="R752" s="30" t="str">
        <f t="array" ref="R752">IF($A752="", "", LET(bbgm_stat, INDEX(Players!$A751:$P751, MATCH(R$2, Players!$A$1:$P$1, 0)), perc_75, VLOOKUP(R$2, Percentiles!$A$45:$I$59, 6, FALSE), perc_90, VLOOKUP(R$2, Percentiles!$A$45:$I$59, 7, FALSE), perc_95, VLOOKUP(R$2, Percentiles!$A$45:$I$59, 8, FALSE), perc_85, perc_75 + (perc_90 - perc_75) * (2/3), converted_stat, '2K_Ratings'!R752, IF(bbgm_stat &gt;= perc_95, converted_stat * 3, IF(bbgm_stat &gt;= perc_90, converted_stat * 2, IF(bbgm_stat &gt;= perc_85, converted_stat * 1.5, converted_stat)))))</f>
        <v/>
      </c>
      <c r="S752" s="30" t="str">
        <f t="array" ref="S752">IF($A752="", "", LET(bbgm_stat, INDEX(Players!$A751:$P751, MATCH(S$2, Players!$A$1:$P$1, 0)), perc_75, VLOOKUP(S$2, Percentiles!$A$45:$I$59, 6, FALSE), perc_90, VLOOKUP(S$2, Percentiles!$A$45:$I$59, 7, FALSE), perc_95, VLOOKUP(S$2, Percentiles!$A$45:$I$59, 8, FALSE), perc_85, perc_75 + (perc_90 - perc_75) * (2/3), converted_stat, '2K_Ratings'!S752, IF(bbgm_stat &gt;= perc_95, converted_stat * 3, IF(bbgm_stat &gt;= perc_90, converted_stat * 2, IF(bbgm_stat &gt;= perc_85, converted_stat * 1.5, converted_stat)))))</f>
        <v/>
      </c>
      <c r="T752" s="30" t="str">
        <f t="array" ref="T752">IF($A752="", "", LET(bbgm_stat, INDEX(Players!$A751:$P751, MATCH(T$2, Players!$A$1:$P$1, 0)), perc_75, VLOOKUP(T$2, Percentiles!$A$45:$I$59, 6, FALSE), perc_90, VLOOKUP(T$2, Percentiles!$A$45:$I$59, 7, FALSE), perc_95, VLOOKUP(T$2, Percentiles!$A$45:$I$59, 8, FALSE), perc_85, perc_75 + (perc_90 - perc_75) * (2/3), converted_stat, '2K_Ratings'!T752, IF(bbgm_stat &gt;= perc_95, converted_stat * 3, IF(bbgm_stat &gt;= perc_90, converted_stat * 2, IF(bbgm_stat &gt;= perc_85, converted_stat * 1.5, converted_stat)))))</f>
        <v/>
      </c>
      <c r="U752" s="30" t="str">
        <f t="array" ref="U752">IF($A752="", "", LET(bbgm_stat, INDEX(Players!$A751:$P751, MATCH(U$2, Players!$A$1:$P$1, 0)), perc_75, VLOOKUP(U$2, Percentiles!$A$45:$I$59, 6, FALSE), perc_90, VLOOKUP(U$2, Percentiles!$A$45:$I$59, 7, FALSE), perc_95, VLOOKUP(U$2, Percentiles!$A$45:$I$59, 8, FALSE), perc_85, perc_75 + (perc_90 - perc_75) * (2/3), converted_stat, '2K_Ratings'!U752, IF(bbgm_stat &gt;= perc_95, converted_stat * 3, IF(bbgm_stat &gt;= perc_90, converted_stat * 2, IF(bbgm_stat &gt;= perc_85, converted_stat * 1.5, converted_stat)))))</f>
        <v/>
      </c>
      <c r="V752" s="30" t="str">
        <f t="array" ref="V752">IF($A752="", "", LET(bbgm_stat, INDEX(Players!$A751:$P751, MATCH(V$2, Players!$A$1:$P$1, 0)), perc_75, VLOOKUP(V$2, Percentiles!$A$45:$I$59, 6, FALSE), perc_90, VLOOKUP(V$2, Percentiles!$A$45:$I$59, 7, FALSE), perc_95, VLOOKUP(V$2, Percentiles!$A$45:$I$59, 8, FALSE), perc_85, perc_75 + (perc_90 - perc_75) * (2/3), converted_stat, '2K_Ratings'!V752, IF(bbgm_stat &gt;= perc_95, converted_stat * 3, IF(bbgm_stat &gt;= perc_90, converted_stat * 2, IF(bbgm_stat &gt;= perc_85, converted_stat * 1.5, converted_stat)))))</f>
        <v/>
      </c>
      <c r="W752" s="30" t="str">
        <f t="array" ref="W752">IF($A752="", "", LET(bbgm_stat, INDEX(Players!$A751:$P751, MATCH(W$2, Players!$A$1:$P$1, 0)), perc_75, VLOOKUP(W$2, Percentiles!$A$45:$I$59, 6, FALSE), perc_90, VLOOKUP(W$2, Percentiles!$A$45:$I$59, 7, FALSE), perc_95, VLOOKUP(W$2, Percentiles!$A$45:$I$59, 8, FALSE), perc_85, perc_75 + (perc_90 - perc_75) * (2/3), converted_stat, '2K_Ratings'!W752, IF(bbgm_stat &gt;= perc_95, converted_stat * 3, IF(bbgm_stat &gt;= perc_90, converted_stat * 2, IF(bbgm_stat &gt;= perc_85, converted_stat * 1.5, converted_stat)))))</f>
        <v/>
      </c>
    </row>
    <row r="753">
      <c r="A753" s="30"/>
      <c r="B753" s="30" t="str">
        <f t="array" ref="B753">IF($A753="", "", LET(bbgm_stat, INDEX(Players!$A752:$P752, MATCH(B$2, Players!$A$1:$P$1, 0)), perc_75, VLOOKUP(B$2, Percentiles!$A$45:$I$59, 6, FALSE), perc_90, VLOOKUP(B$2, Percentiles!$A$45:$I$59, 7, FALSE), perc_95, VLOOKUP(B$2, Percentiles!$A$45:$I$59, 8, FALSE), perc_85, perc_75 + (perc_90 - perc_75) * (2/3), converted_stat, '2K_Ratings'!B753, IF(bbgm_stat &gt;= perc_95, converted_stat * 3, IF(bbgm_stat &gt;= perc_90, converted_stat * 2, IF(bbgm_stat &gt;= perc_85, converted_stat * 1.5, converted_stat)))))</f>
        <v/>
      </c>
      <c r="C753" s="30" t="str">
        <f t="array" ref="C753">IF($A753="", "", LET(bbgm_stat, INDEX(Players!$A752:$P752, MATCH(C$2, Players!$A$1:$P$1, 0)), perc_75, VLOOKUP(C$2, Percentiles!$A$45:$I$59, 6, FALSE), perc_90, VLOOKUP(C$2, Percentiles!$A$45:$I$59, 7, FALSE), perc_95, VLOOKUP(C$2, Percentiles!$A$45:$I$59, 8, FALSE), perc_85, perc_75 + (perc_90 - perc_75) * (2/3), converted_stat, '2K_Ratings'!C753, IF(bbgm_stat &gt;= perc_95, converted_stat * 3, IF(bbgm_stat &gt;= perc_90, converted_stat * 2, IF(bbgm_stat &gt;= perc_85, converted_stat * 1.5, converted_stat)))))</f>
        <v/>
      </c>
      <c r="D753" s="30" t="str">
        <f t="array" ref="D753">IF($A753="", "", LET(bbgm_stat, INDEX(Players!$A752:$P752, MATCH(D$2, Players!$A$1:$P$1, 0)), perc_75, VLOOKUP(D$2, Percentiles!$A$45:$I$59, 6, FALSE), perc_90, VLOOKUP(D$2, Percentiles!$A$45:$I$59, 7, FALSE), perc_95, VLOOKUP(D$2, Percentiles!$A$45:$I$59, 8, FALSE), perc_85, perc_75 + (perc_90 - perc_75) * (2/3), converted_stat, '2K_Ratings'!D753, IF(bbgm_stat &gt;= perc_95, converted_stat * 3, IF(bbgm_stat &gt;= perc_90, converted_stat * 2, IF(bbgm_stat &gt;= perc_85, converted_stat * 1.5, converted_stat)))))</f>
        <v/>
      </c>
      <c r="E753" s="30" t="str">
        <f t="array" ref="E753">IF($A753="", "", LET(bbgm_stat, INDEX(Players!$A752:$P752, MATCH(E$2, Players!$A$1:$P$1, 0)), perc_75, VLOOKUP(E$2, Percentiles!$A$45:$I$59, 6, FALSE), perc_90, VLOOKUP(E$2, Percentiles!$A$45:$I$59, 7, FALSE), perc_95, VLOOKUP(E$2, Percentiles!$A$45:$I$59, 8, FALSE), perc_85, perc_75 + (perc_90 - perc_75) * (2/3), converted_stat, '2K_Ratings'!E753, IF(bbgm_stat &gt;= perc_95, converted_stat * 3, IF(bbgm_stat &gt;= perc_90, converted_stat * 2, IF(bbgm_stat &gt;= perc_85, converted_stat * 1.5, converted_stat)))))</f>
        <v/>
      </c>
      <c r="F753" s="30" t="str">
        <f t="array" ref="F753">IF($A753="", "", LET(bbgm_stat, INDEX(Players!$A752:$P752, MATCH(F$2, Players!$A$1:$P$1, 0)), perc_75, VLOOKUP(F$2, Percentiles!$A$45:$I$59, 6, FALSE), perc_90, VLOOKUP(F$2, Percentiles!$A$45:$I$59, 7, FALSE), perc_95, VLOOKUP(F$2, Percentiles!$A$45:$I$59, 8, FALSE), perc_85, perc_75 + (perc_90 - perc_75) * (2/3), converted_stat, '2K_Ratings'!F753, IF(bbgm_stat &gt;= perc_95, converted_stat * 3, IF(bbgm_stat &gt;= perc_90, converted_stat * 2, IF(bbgm_stat &gt;= perc_85, converted_stat * 1.5, converted_stat)))))</f>
        <v/>
      </c>
      <c r="G753" s="30" t="str">
        <f t="array" ref="G753">IF($A753="", "", LET(bbgm_stat, INDEX(Players!$A752:$P752, MATCH(G$2, Players!$A$1:$P$1, 0)), perc_75, VLOOKUP(G$2, Percentiles!$A$45:$I$59, 6, FALSE), perc_90, VLOOKUP(G$2, Percentiles!$A$45:$I$59, 7, FALSE), perc_95, VLOOKUP(G$2, Percentiles!$A$45:$I$59, 8, FALSE), perc_85, perc_75 + (perc_90 - perc_75) * (2/3), converted_stat, '2K_Ratings'!G753, IF(bbgm_stat &gt;= perc_95, converted_stat * 3, IF(bbgm_stat &gt;= perc_90, converted_stat * 2, IF(bbgm_stat &gt;= perc_85, converted_stat * 1.5, converted_stat)))))</f>
        <v/>
      </c>
      <c r="H753" s="30" t="str">
        <f t="array" ref="H753">IF($A753="", "", LET(bbgm_stat, INDEX(Players!$A752:$P752, MATCH(H$2, Players!$A$1:$P$1, 0)), perc_75, VLOOKUP(H$2, Percentiles!$A$45:$I$59, 6, FALSE), perc_90, VLOOKUP(H$2, Percentiles!$A$45:$I$59, 7, FALSE), perc_95, VLOOKUP(H$2, Percentiles!$A$45:$I$59, 8, FALSE), perc_85, perc_75 + (perc_90 - perc_75) * (2/3), converted_stat, '2K_Ratings'!H753, IF(bbgm_stat &gt;= perc_95, converted_stat * 3, IF(bbgm_stat &gt;= perc_90, converted_stat * 2, IF(bbgm_stat &gt;= perc_85, converted_stat * 1.5, converted_stat)))))</f>
        <v/>
      </c>
      <c r="I753" s="30" t="str">
        <f t="array" ref="I753">IF($A753="", "", LET(bbgm_stat, INDEX(Players!$A752:$P752, MATCH(I$2, Players!$A$1:$P$1, 0)), perc_75, VLOOKUP(I$2, Percentiles!$A$45:$I$59, 6, FALSE), perc_90, VLOOKUP(I$2, Percentiles!$A$45:$I$59, 7, FALSE), perc_95, VLOOKUP(I$2, Percentiles!$A$45:$I$59, 8, FALSE), perc_85, perc_75 + (perc_90 - perc_75) * (2/3), converted_stat, '2K_Ratings'!I753, IF(bbgm_stat &gt;= perc_95, converted_stat * 3, IF(bbgm_stat &gt;= perc_90, converted_stat * 2, IF(bbgm_stat &gt;= perc_85, converted_stat * 1.5, converted_stat)))))</f>
        <v/>
      </c>
      <c r="J753" s="30" t="str">
        <f t="array" ref="J753">IF($A753="", "", LET(bbgm_stat, INDEX(Players!$A752:$P752, MATCH(J$2, Players!$A$1:$P$1, 0)), perc_75, VLOOKUP(J$2, Percentiles!$A$45:$I$59, 6, FALSE), perc_90, VLOOKUP(J$2, Percentiles!$A$45:$I$59, 7, FALSE), perc_95, VLOOKUP(J$2, Percentiles!$A$45:$I$59, 8, FALSE), perc_85, perc_75 + (perc_90 - perc_75) * (2/3), converted_stat, '2K_Ratings'!J753, IF(bbgm_stat &gt;= perc_95, converted_stat * 3, IF(bbgm_stat &gt;= perc_90, converted_stat * 2, IF(bbgm_stat &gt;= perc_85, converted_stat * 1.5, converted_stat)))))</f>
        <v/>
      </c>
      <c r="K753" s="30" t="str">
        <f t="array" ref="K753">IF($A753="", "", LET(bbgm_stat, INDEX(Players!$A752:$P752, MATCH(K$2, Players!$A$1:$P$1, 0)), perc_75, VLOOKUP(K$2, Percentiles!$A$45:$I$59, 6, FALSE), perc_90, VLOOKUP(K$2, Percentiles!$A$45:$I$59, 7, FALSE), perc_95, VLOOKUP(K$2, Percentiles!$A$45:$I$59, 8, FALSE), perc_85, perc_75 + (perc_90 - perc_75) * (2/3), converted_stat, '2K_Ratings'!K753, IF(bbgm_stat &gt;= perc_95, converted_stat * 3, IF(bbgm_stat &gt;= perc_90, converted_stat * 2, IF(bbgm_stat &gt;= perc_85, converted_stat * 1.5, converted_stat)))))</f>
        <v/>
      </c>
      <c r="L753" s="30" t="str">
        <f t="array" ref="L753">IF($A753="", "", LET(bbgm_stat, INDEX(Players!$A752:$P752, MATCH(L$2, Players!$A$1:$P$1, 0)), perc_75, VLOOKUP(L$2, Percentiles!$A$45:$I$59, 6, FALSE), perc_90, VLOOKUP(L$2, Percentiles!$A$45:$I$59, 7, FALSE), perc_95, VLOOKUP(L$2, Percentiles!$A$45:$I$59, 8, FALSE), perc_85, perc_75 + (perc_90 - perc_75) * (2/3), converted_stat, '2K_Ratings'!L753, IF(bbgm_stat &gt;= perc_95, converted_stat * 3, IF(bbgm_stat &gt;= perc_90, converted_stat * 2, IF(bbgm_stat &gt;= perc_85, converted_stat * 1.5, converted_stat)))))</f>
        <v/>
      </c>
      <c r="M753" s="30" t="str">
        <f t="array" ref="M753">IF($A753="", "", LET(bbgm_stat, INDEX(Players!$A752:$P752, MATCH(M$2, Players!$A$1:$P$1, 0)), perc_75, VLOOKUP(M$2, Percentiles!$A$45:$I$59, 6, FALSE), perc_90, VLOOKUP(M$2, Percentiles!$A$45:$I$59, 7, FALSE), perc_95, VLOOKUP(M$2, Percentiles!$A$45:$I$59, 8, FALSE), perc_85, perc_75 + (perc_90 - perc_75) * (2/3), converted_stat, '2K_Ratings'!M753, IF(bbgm_stat &gt;= perc_95, converted_stat * 3, IF(bbgm_stat &gt;= perc_90, converted_stat * 2, IF(bbgm_stat &gt;= perc_85, converted_stat * 1.5, converted_stat)))))</f>
        <v/>
      </c>
      <c r="N753" s="30" t="str">
        <f t="array" ref="N753">IF($A753="", "", LET(bbgm_stat, INDEX(Players!$A752:$P752, MATCH(N$2, Players!$A$1:$P$1, 0)), perc_75, VLOOKUP(N$2, Percentiles!$A$45:$I$59, 6, FALSE), perc_90, VLOOKUP(N$2, Percentiles!$A$45:$I$59, 7, FALSE), perc_95, VLOOKUP(N$2, Percentiles!$A$45:$I$59, 8, FALSE), perc_85, perc_75 + (perc_90 - perc_75) * (2/3), converted_stat, '2K_Ratings'!N753, IF(bbgm_stat &gt;= perc_95, converted_stat * 3, IF(bbgm_stat &gt;= perc_90, converted_stat * 2, IF(bbgm_stat &gt;= perc_85, converted_stat * 1.5, converted_stat)))))</f>
        <v/>
      </c>
      <c r="O753" s="30" t="str">
        <f t="array" ref="O753">IF($A753="", "", LET(bbgm_stat, INDEX(Players!$A752:$P752, MATCH(O$2, Players!$A$1:$P$1, 0)), perc_75, VLOOKUP(O$2, Percentiles!$A$45:$I$59, 6, FALSE), perc_90, VLOOKUP(O$2, Percentiles!$A$45:$I$59, 7, FALSE), perc_95, VLOOKUP(O$2, Percentiles!$A$45:$I$59, 8, FALSE), perc_85, perc_75 + (perc_90 - perc_75) * (2/3), converted_stat, '2K_Ratings'!O753, IF(bbgm_stat &gt;= perc_95, converted_stat * 3, IF(bbgm_stat &gt;= perc_90, converted_stat * 2, IF(bbgm_stat &gt;= perc_85, converted_stat * 1.5, converted_stat)))))</f>
        <v/>
      </c>
      <c r="P753" s="30" t="str">
        <f t="array" ref="P753">IF($A753="", "", LET(bbgm_stat, INDEX(Players!$A752:$P752, MATCH(P$2, Players!$A$1:$P$1, 0)), perc_75, VLOOKUP(P$2, Percentiles!$A$45:$I$59, 6, FALSE), perc_90, VLOOKUP(P$2, Percentiles!$A$45:$I$59, 7, FALSE), perc_95, VLOOKUP(P$2, Percentiles!$A$45:$I$59, 8, FALSE), perc_85, perc_75 + (perc_90 - perc_75) * (2/3), converted_stat, '2K_Ratings'!P753, IF(bbgm_stat &gt;= perc_95, converted_stat * 3, IF(bbgm_stat &gt;= perc_90, converted_stat * 2, IF(bbgm_stat &gt;= perc_85, converted_stat * 1.5, converted_stat)))))</f>
        <v/>
      </c>
      <c r="Q753" s="30" t="str">
        <f t="array" ref="Q753">IF($A753="", "", LET(bbgm_stat, INDEX(Players!$A752:$P752, MATCH(Q$2, Players!$A$1:$P$1, 0)), perc_75, VLOOKUP(Q$2, Percentiles!$A$45:$I$59, 6, FALSE), perc_90, VLOOKUP(Q$2, Percentiles!$A$45:$I$59, 7, FALSE), perc_95, VLOOKUP(Q$2, Percentiles!$A$45:$I$59, 8, FALSE), perc_85, perc_75 + (perc_90 - perc_75) * (2/3), converted_stat, '2K_Ratings'!Q753, IF(bbgm_stat &gt;= perc_95, converted_stat * 3, IF(bbgm_stat &gt;= perc_90, converted_stat * 2, IF(bbgm_stat &gt;= perc_85, converted_stat * 1.5, converted_stat)))))</f>
        <v/>
      </c>
      <c r="R753" s="30" t="str">
        <f t="array" ref="R753">IF($A753="", "", LET(bbgm_stat, INDEX(Players!$A752:$P752, MATCH(R$2, Players!$A$1:$P$1, 0)), perc_75, VLOOKUP(R$2, Percentiles!$A$45:$I$59, 6, FALSE), perc_90, VLOOKUP(R$2, Percentiles!$A$45:$I$59, 7, FALSE), perc_95, VLOOKUP(R$2, Percentiles!$A$45:$I$59, 8, FALSE), perc_85, perc_75 + (perc_90 - perc_75) * (2/3), converted_stat, '2K_Ratings'!R753, IF(bbgm_stat &gt;= perc_95, converted_stat * 3, IF(bbgm_stat &gt;= perc_90, converted_stat * 2, IF(bbgm_stat &gt;= perc_85, converted_stat * 1.5, converted_stat)))))</f>
        <v/>
      </c>
      <c r="S753" s="30" t="str">
        <f t="array" ref="S753">IF($A753="", "", LET(bbgm_stat, INDEX(Players!$A752:$P752, MATCH(S$2, Players!$A$1:$P$1, 0)), perc_75, VLOOKUP(S$2, Percentiles!$A$45:$I$59, 6, FALSE), perc_90, VLOOKUP(S$2, Percentiles!$A$45:$I$59, 7, FALSE), perc_95, VLOOKUP(S$2, Percentiles!$A$45:$I$59, 8, FALSE), perc_85, perc_75 + (perc_90 - perc_75) * (2/3), converted_stat, '2K_Ratings'!S753, IF(bbgm_stat &gt;= perc_95, converted_stat * 3, IF(bbgm_stat &gt;= perc_90, converted_stat * 2, IF(bbgm_stat &gt;= perc_85, converted_stat * 1.5, converted_stat)))))</f>
        <v/>
      </c>
      <c r="T753" s="30" t="str">
        <f t="array" ref="T753">IF($A753="", "", LET(bbgm_stat, INDEX(Players!$A752:$P752, MATCH(T$2, Players!$A$1:$P$1, 0)), perc_75, VLOOKUP(T$2, Percentiles!$A$45:$I$59, 6, FALSE), perc_90, VLOOKUP(T$2, Percentiles!$A$45:$I$59, 7, FALSE), perc_95, VLOOKUP(T$2, Percentiles!$A$45:$I$59, 8, FALSE), perc_85, perc_75 + (perc_90 - perc_75) * (2/3), converted_stat, '2K_Ratings'!T753, IF(bbgm_stat &gt;= perc_95, converted_stat * 3, IF(bbgm_stat &gt;= perc_90, converted_stat * 2, IF(bbgm_stat &gt;= perc_85, converted_stat * 1.5, converted_stat)))))</f>
        <v/>
      </c>
      <c r="U753" s="30" t="str">
        <f t="array" ref="U753">IF($A753="", "", LET(bbgm_stat, INDEX(Players!$A752:$P752, MATCH(U$2, Players!$A$1:$P$1, 0)), perc_75, VLOOKUP(U$2, Percentiles!$A$45:$I$59, 6, FALSE), perc_90, VLOOKUP(U$2, Percentiles!$A$45:$I$59, 7, FALSE), perc_95, VLOOKUP(U$2, Percentiles!$A$45:$I$59, 8, FALSE), perc_85, perc_75 + (perc_90 - perc_75) * (2/3), converted_stat, '2K_Ratings'!U753, IF(bbgm_stat &gt;= perc_95, converted_stat * 3, IF(bbgm_stat &gt;= perc_90, converted_stat * 2, IF(bbgm_stat &gt;= perc_85, converted_stat * 1.5, converted_stat)))))</f>
        <v/>
      </c>
      <c r="V753" s="30" t="str">
        <f t="array" ref="V753">IF($A753="", "", LET(bbgm_stat, INDEX(Players!$A752:$P752, MATCH(V$2, Players!$A$1:$P$1, 0)), perc_75, VLOOKUP(V$2, Percentiles!$A$45:$I$59, 6, FALSE), perc_90, VLOOKUP(V$2, Percentiles!$A$45:$I$59, 7, FALSE), perc_95, VLOOKUP(V$2, Percentiles!$A$45:$I$59, 8, FALSE), perc_85, perc_75 + (perc_90 - perc_75) * (2/3), converted_stat, '2K_Ratings'!V753, IF(bbgm_stat &gt;= perc_95, converted_stat * 3, IF(bbgm_stat &gt;= perc_90, converted_stat * 2, IF(bbgm_stat &gt;= perc_85, converted_stat * 1.5, converted_stat)))))</f>
        <v/>
      </c>
      <c r="W753" s="30" t="str">
        <f t="array" ref="W753">IF($A753="", "", LET(bbgm_stat, INDEX(Players!$A752:$P752, MATCH(W$2, Players!$A$1:$P$1, 0)), perc_75, VLOOKUP(W$2, Percentiles!$A$45:$I$59, 6, FALSE), perc_90, VLOOKUP(W$2, Percentiles!$A$45:$I$59, 7, FALSE), perc_95, VLOOKUP(W$2, Percentiles!$A$45:$I$59, 8, FALSE), perc_85, perc_75 + (perc_90 - perc_75) * (2/3), converted_stat, '2K_Ratings'!W753, IF(bbgm_stat &gt;= perc_95, converted_stat * 3, IF(bbgm_stat &gt;= perc_90, converted_stat * 2, IF(bbgm_stat &gt;= perc_85, converted_stat * 1.5, converted_stat)))))</f>
        <v/>
      </c>
    </row>
    <row r="754">
      <c r="A754" s="30"/>
      <c r="B754" s="30" t="str">
        <f t="array" ref="B754">IF($A754="", "", LET(bbgm_stat, INDEX(Players!$A753:$P753, MATCH(B$2, Players!$A$1:$P$1, 0)), perc_75, VLOOKUP(B$2, Percentiles!$A$45:$I$59, 6, FALSE), perc_90, VLOOKUP(B$2, Percentiles!$A$45:$I$59, 7, FALSE), perc_95, VLOOKUP(B$2, Percentiles!$A$45:$I$59, 8, FALSE), perc_85, perc_75 + (perc_90 - perc_75) * (2/3), converted_stat, '2K_Ratings'!B754, IF(bbgm_stat &gt;= perc_95, converted_stat * 3, IF(bbgm_stat &gt;= perc_90, converted_stat * 2, IF(bbgm_stat &gt;= perc_85, converted_stat * 1.5, converted_stat)))))</f>
        <v/>
      </c>
      <c r="C754" s="30" t="str">
        <f t="array" ref="C754">IF($A754="", "", LET(bbgm_stat, INDEX(Players!$A753:$P753, MATCH(C$2, Players!$A$1:$P$1, 0)), perc_75, VLOOKUP(C$2, Percentiles!$A$45:$I$59, 6, FALSE), perc_90, VLOOKUP(C$2, Percentiles!$A$45:$I$59, 7, FALSE), perc_95, VLOOKUP(C$2, Percentiles!$A$45:$I$59, 8, FALSE), perc_85, perc_75 + (perc_90 - perc_75) * (2/3), converted_stat, '2K_Ratings'!C754, IF(bbgm_stat &gt;= perc_95, converted_stat * 3, IF(bbgm_stat &gt;= perc_90, converted_stat * 2, IF(bbgm_stat &gt;= perc_85, converted_stat * 1.5, converted_stat)))))</f>
        <v/>
      </c>
      <c r="D754" s="30" t="str">
        <f t="array" ref="D754">IF($A754="", "", LET(bbgm_stat, INDEX(Players!$A753:$P753, MATCH(D$2, Players!$A$1:$P$1, 0)), perc_75, VLOOKUP(D$2, Percentiles!$A$45:$I$59, 6, FALSE), perc_90, VLOOKUP(D$2, Percentiles!$A$45:$I$59, 7, FALSE), perc_95, VLOOKUP(D$2, Percentiles!$A$45:$I$59, 8, FALSE), perc_85, perc_75 + (perc_90 - perc_75) * (2/3), converted_stat, '2K_Ratings'!D754, IF(bbgm_stat &gt;= perc_95, converted_stat * 3, IF(bbgm_stat &gt;= perc_90, converted_stat * 2, IF(bbgm_stat &gt;= perc_85, converted_stat * 1.5, converted_stat)))))</f>
        <v/>
      </c>
      <c r="E754" s="30" t="str">
        <f t="array" ref="E754">IF($A754="", "", LET(bbgm_stat, INDEX(Players!$A753:$P753, MATCH(E$2, Players!$A$1:$P$1, 0)), perc_75, VLOOKUP(E$2, Percentiles!$A$45:$I$59, 6, FALSE), perc_90, VLOOKUP(E$2, Percentiles!$A$45:$I$59, 7, FALSE), perc_95, VLOOKUP(E$2, Percentiles!$A$45:$I$59, 8, FALSE), perc_85, perc_75 + (perc_90 - perc_75) * (2/3), converted_stat, '2K_Ratings'!E754, IF(bbgm_stat &gt;= perc_95, converted_stat * 3, IF(bbgm_stat &gt;= perc_90, converted_stat * 2, IF(bbgm_stat &gt;= perc_85, converted_stat * 1.5, converted_stat)))))</f>
        <v/>
      </c>
      <c r="F754" s="30" t="str">
        <f t="array" ref="F754">IF($A754="", "", LET(bbgm_stat, INDEX(Players!$A753:$P753, MATCH(F$2, Players!$A$1:$P$1, 0)), perc_75, VLOOKUP(F$2, Percentiles!$A$45:$I$59, 6, FALSE), perc_90, VLOOKUP(F$2, Percentiles!$A$45:$I$59, 7, FALSE), perc_95, VLOOKUP(F$2, Percentiles!$A$45:$I$59, 8, FALSE), perc_85, perc_75 + (perc_90 - perc_75) * (2/3), converted_stat, '2K_Ratings'!F754, IF(bbgm_stat &gt;= perc_95, converted_stat * 3, IF(bbgm_stat &gt;= perc_90, converted_stat * 2, IF(bbgm_stat &gt;= perc_85, converted_stat * 1.5, converted_stat)))))</f>
        <v/>
      </c>
      <c r="G754" s="30" t="str">
        <f t="array" ref="G754">IF($A754="", "", LET(bbgm_stat, INDEX(Players!$A753:$P753, MATCH(G$2, Players!$A$1:$P$1, 0)), perc_75, VLOOKUP(G$2, Percentiles!$A$45:$I$59, 6, FALSE), perc_90, VLOOKUP(G$2, Percentiles!$A$45:$I$59, 7, FALSE), perc_95, VLOOKUP(G$2, Percentiles!$A$45:$I$59, 8, FALSE), perc_85, perc_75 + (perc_90 - perc_75) * (2/3), converted_stat, '2K_Ratings'!G754, IF(bbgm_stat &gt;= perc_95, converted_stat * 3, IF(bbgm_stat &gt;= perc_90, converted_stat * 2, IF(bbgm_stat &gt;= perc_85, converted_stat * 1.5, converted_stat)))))</f>
        <v/>
      </c>
      <c r="H754" s="30" t="str">
        <f t="array" ref="H754">IF($A754="", "", LET(bbgm_stat, INDEX(Players!$A753:$P753, MATCH(H$2, Players!$A$1:$P$1, 0)), perc_75, VLOOKUP(H$2, Percentiles!$A$45:$I$59, 6, FALSE), perc_90, VLOOKUP(H$2, Percentiles!$A$45:$I$59, 7, FALSE), perc_95, VLOOKUP(H$2, Percentiles!$A$45:$I$59, 8, FALSE), perc_85, perc_75 + (perc_90 - perc_75) * (2/3), converted_stat, '2K_Ratings'!H754, IF(bbgm_stat &gt;= perc_95, converted_stat * 3, IF(bbgm_stat &gt;= perc_90, converted_stat * 2, IF(bbgm_stat &gt;= perc_85, converted_stat * 1.5, converted_stat)))))</f>
        <v/>
      </c>
      <c r="I754" s="30" t="str">
        <f t="array" ref="I754">IF($A754="", "", LET(bbgm_stat, INDEX(Players!$A753:$P753, MATCH(I$2, Players!$A$1:$P$1, 0)), perc_75, VLOOKUP(I$2, Percentiles!$A$45:$I$59, 6, FALSE), perc_90, VLOOKUP(I$2, Percentiles!$A$45:$I$59, 7, FALSE), perc_95, VLOOKUP(I$2, Percentiles!$A$45:$I$59, 8, FALSE), perc_85, perc_75 + (perc_90 - perc_75) * (2/3), converted_stat, '2K_Ratings'!I754, IF(bbgm_stat &gt;= perc_95, converted_stat * 3, IF(bbgm_stat &gt;= perc_90, converted_stat * 2, IF(bbgm_stat &gt;= perc_85, converted_stat * 1.5, converted_stat)))))</f>
        <v/>
      </c>
      <c r="J754" s="30" t="str">
        <f t="array" ref="J754">IF($A754="", "", LET(bbgm_stat, INDEX(Players!$A753:$P753, MATCH(J$2, Players!$A$1:$P$1, 0)), perc_75, VLOOKUP(J$2, Percentiles!$A$45:$I$59, 6, FALSE), perc_90, VLOOKUP(J$2, Percentiles!$A$45:$I$59, 7, FALSE), perc_95, VLOOKUP(J$2, Percentiles!$A$45:$I$59, 8, FALSE), perc_85, perc_75 + (perc_90 - perc_75) * (2/3), converted_stat, '2K_Ratings'!J754, IF(bbgm_stat &gt;= perc_95, converted_stat * 3, IF(bbgm_stat &gt;= perc_90, converted_stat * 2, IF(bbgm_stat &gt;= perc_85, converted_stat * 1.5, converted_stat)))))</f>
        <v/>
      </c>
      <c r="K754" s="30" t="str">
        <f t="array" ref="K754">IF($A754="", "", LET(bbgm_stat, INDEX(Players!$A753:$P753, MATCH(K$2, Players!$A$1:$P$1, 0)), perc_75, VLOOKUP(K$2, Percentiles!$A$45:$I$59, 6, FALSE), perc_90, VLOOKUP(K$2, Percentiles!$A$45:$I$59, 7, FALSE), perc_95, VLOOKUP(K$2, Percentiles!$A$45:$I$59, 8, FALSE), perc_85, perc_75 + (perc_90 - perc_75) * (2/3), converted_stat, '2K_Ratings'!K754, IF(bbgm_stat &gt;= perc_95, converted_stat * 3, IF(bbgm_stat &gt;= perc_90, converted_stat * 2, IF(bbgm_stat &gt;= perc_85, converted_stat * 1.5, converted_stat)))))</f>
        <v/>
      </c>
      <c r="L754" s="30" t="str">
        <f t="array" ref="L754">IF($A754="", "", LET(bbgm_stat, INDEX(Players!$A753:$P753, MATCH(L$2, Players!$A$1:$P$1, 0)), perc_75, VLOOKUP(L$2, Percentiles!$A$45:$I$59, 6, FALSE), perc_90, VLOOKUP(L$2, Percentiles!$A$45:$I$59, 7, FALSE), perc_95, VLOOKUP(L$2, Percentiles!$A$45:$I$59, 8, FALSE), perc_85, perc_75 + (perc_90 - perc_75) * (2/3), converted_stat, '2K_Ratings'!L754, IF(bbgm_stat &gt;= perc_95, converted_stat * 3, IF(bbgm_stat &gt;= perc_90, converted_stat * 2, IF(bbgm_stat &gt;= perc_85, converted_stat * 1.5, converted_stat)))))</f>
        <v/>
      </c>
      <c r="M754" s="30" t="str">
        <f t="array" ref="M754">IF($A754="", "", LET(bbgm_stat, INDEX(Players!$A753:$P753, MATCH(M$2, Players!$A$1:$P$1, 0)), perc_75, VLOOKUP(M$2, Percentiles!$A$45:$I$59, 6, FALSE), perc_90, VLOOKUP(M$2, Percentiles!$A$45:$I$59, 7, FALSE), perc_95, VLOOKUP(M$2, Percentiles!$A$45:$I$59, 8, FALSE), perc_85, perc_75 + (perc_90 - perc_75) * (2/3), converted_stat, '2K_Ratings'!M754, IF(bbgm_stat &gt;= perc_95, converted_stat * 3, IF(bbgm_stat &gt;= perc_90, converted_stat * 2, IF(bbgm_stat &gt;= perc_85, converted_stat * 1.5, converted_stat)))))</f>
        <v/>
      </c>
      <c r="N754" s="30" t="str">
        <f t="array" ref="N754">IF($A754="", "", LET(bbgm_stat, INDEX(Players!$A753:$P753, MATCH(N$2, Players!$A$1:$P$1, 0)), perc_75, VLOOKUP(N$2, Percentiles!$A$45:$I$59, 6, FALSE), perc_90, VLOOKUP(N$2, Percentiles!$A$45:$I$59, 7, FALSE), perc_95, VLOOKUP(N$2, Percentiles!$A$45:$I$59, 8, FALSE), perc_85, perc_75 + (perc_90 - perc_75) * (2/3), converted_stat, '2K_Ratings'!N754, IF(bbgm_stat &gt;= perc_95, converted_stat * 3, IF(bbgm_stat &gt;= perc_90, converted_stat * 2, IF(bbgm_stat &gt;= perc_85, converted_stat * 1.5, converted_stat)))))</f>
        <v/>
      </c>
      <c r="O754" s="30" t="str">
        <f t="array" ref="O754">IF($A754="", "", LET(bbgm_stat, INDEX(Players!$A753:$P753, MATCH(O$2, Players!$A$1:$P$1, 0)), perc_75, VLOOKUP(O$2, Percentiles!$A$45:$I$59, 6, FALSE), perc_90, VLOOKUP(O$2, Percentiles!$A$45:$I$59, 7, FALSE), perc_95, VLOOKUP(O$2, Percentiles!$A$45:$I$59, 8, FALSE), perc_85, perc_75 + (perc_90 - perc_75) * (2/3), converted_stat, '2K_Ratings'!O754, IF(bbgm_stat &gt;= perc_95, converted_stat * 3, IF(bbgm_stat &gt;= perc_90, converted_stat * 2, IF(bbgm_stat &gt;= perc_85, converted_stat * 1.5, converted_stat)))))</f>
        <v/>
      </c>
      <c r="P754" s="30" t="str">
        <f t="array" ref="P754">IF($A754="", "", LET(bbgm_stat, INDEX(Players!$A753:$P753, MATCH(P$2, Players!$A$1:$P$1, 0)), perc_75, VLOOKUP(P$2, Percentiles!$A$45:$I$59, 6, FALSE), perc_90, VLOOKUP(P$2, Percentiles!$A$45:$I$59, 7, FALSE), perc_95, VLOOKUP(P$2, Percentiles!$A$45:$I$59, 8, FALSE), perc_85, perc_75 + (perc_90 - perc_75) * (2/3), converted_stat, '2K_Ratings'!P754, IF(bbgm_stat &gt;= perc_95, converted_stat * 3, IF(bbgm_stat &gt;= perc_90, converted_stat * 2, IF(bbgm_stat &gt;= perc_85, converted_stat * 1.5, converted_stat)))))</f>
        <v/>
      </c>
      <c r="Q754" s="30" t="str">
        <f t="array" ref="Q754">IF($A754="", "", LET(bbgm_stat, INDEX(Players!$A753:$P753, MATCH(Q$2, Players!$A$1:$P$1, 0)), perc_75, VLOOKUP(Q$2, Percentiles!$A$45:$I$59, 6, FALSE), perc_90, VLOOKUP(Q$2, Percentiles!$A$45:$I$59, 7, FALSE), perc_95, VLOOKUP(Q$2, Percentiles!$A$45:$I$59, 8, FALSE), perc_85, perc_75 + (perc_90 - perc_75) * (2/3), converted_stat, '2K_Ratings'!Q754, IF(bbgm_stat &gt;= perc_95, converted_stat * 3, IF(bbgm_stat &gt;= perc_90, converted_stat * 2, IF(bbgm_stat &gt;= perc_85, converted_stat * 1.5, converted_stat)))))</f>
        <v/>
      </c>
      <c r="R754" s="30" t="str">
        <f t="array" ref="R754">IF($A754="", "", LET(bbgm_stat, INDEX(Players!$A753:$P753, MATCH(R$2, Players!$A$1:$P$1, 0)), perc_75, VLOOKUP(R$2, Percentiles!$A$45:$I$59, 6, FALSE), perc_90, VLOOKUP(R$2, Percentiles!$A$45:$I$59, 7, FALSE), perc_95, VLOOKUP(R$2, Percentiles!$A$45:$I$59, 8, FALSE), perc_85, perc_75 + (perc_90 - perc_75) * (2/3), converted_stat, '2K_Ratings'!R754, IF(bbgm_stat &gt;= perc_95, converted_stat * 3, IF(bbgm_stat &gt;= perc_90, converted_stat * 2, IF(bbgm_stat &gt;= perc_85, converted_stat * 1.5, converted_stat)))))</f>
        <v/>
      </c>
      <c r="S754" s="30" t="str">
        <f t="array" ref="S754">IF($A754="", "", LET(bbgm_stat, INDEX(Players!$A753:$P753, MATCH(S$2, Players!$A$1:$P$1, 0)), perc_75, VLOOKUP(S$2, Percentiles!$A$45:$I$59, 6, FALSE), perc_90, VLOOKUP(S$2, Percentiles!$A$45:$I$59, 7, FALSE), perc_95, VLOOKUP(S$2, Percentiles!$A$45:$I$59, 8, FALSE), perc_85, perc_75 + (perc_90 - perc_75) * (2/3), converted_stat, '2K_Ratings'!S754, IF(bbgm_stat &gt;= perc_95, converted_stat * 3, IF(bbgm_stat &gt;= perc_90, converted_stat * 2, IF(bbgm_stat &gt;= perc_85, converted_stat * 1.5, converted_stat)))))</f>
        <v/>
      </c>
      <c r="T754" s="30" t="str">
        <f t="array" ref="T754">IF($A754="", "", LET(bbgm_stat, INDEX(Players!$A753:$P753, MATCH(T$2, Players!$A$1:$P$1, 0)), perc_75, VLOOKUP(T$2, Percentiles!$A$45:$I$59, 6, FALSE), perc_90, VLOOKUP(T$2, Percentiles!$A$45:$I$59, 7, FALSE), perc_95, VLOOKUP(T$2, Percentiles!$A$45:$I$59, 8, FALSE), perc_85, perc_75 + (perc_90 - perc_75) * (2/3), converted_stat, '2K_Ratings'!T754, IF(bbgm_stat &gt;= perc_95, converted_stat * 3, IF(bbgm_stat &gt;= perc_90, converted_stat * 2, IF(bbgm_stat &gt;= perc_85, converted_stat * 1.5, converted_stat)))))</f>
        <v/>
      </c>
      <c r="U754" s="30" t="str">
        <f t="array" ref="U754">IF($A754="", "", LET(bbgm_stat, INDEX(Players!$A753:$P753, MATCH(U$2, Players!$A$1:$P$1, 0)), perc_75, VLOOKUP(U$2, Percentiles!$A$45:$I$59, 6, FALSE), perc_90, VLOOKUP(U$2, Percentiles!$A$45:$I$59, 7, FALSE), perc_95, VLOOKUP(U$2, Percentiles!$A$45:$I$59, 8, FALSE), perc_85, perc_75 + (perc_90 - perc_75) * (2/3), converted_stat, '2K_Ratings'!U754, IF(bbgm_stat &gt;= perc_95, converted_stat * 3, IF(bbgm_stat &gt;= perc_90, converted_stat * 2, IF(bbgm_stat &gt;= perc_85, converted_stat * 1.5, converted_stat)))))</f>
        <v/>
      </c>
      <c r="V754" s="30" t="str">
        <f t="array" ref="V754">IF($A754="", "", LET(bbgm_stat, INDEX(Players!$A753:$P753, MATCH(V$2, Players!$A$1:$P$1, 0)), perc_75, VLOOKUP(V$2, Percentiles!$A$45:$I$59, 6, FALSE), perc_90, VLOOKUP(V$2, Percentiles!$A$45:$I$59, 7, FALSE), perc_95, VLOOKUP(V$2, Percentiles!$A$45:$I$59, 8, FALSE), perc_85, perc_75 + (perc_90 - perc_75) * (2/3), converted_stat, '2K_Ratings'!V754, IF(bbgm_stat &gt;= perc_95, converted_stat * 3, IF(bbgm_stat &gt;= perc_90, converted_stat * 2, IF(bbgm_stat &gt;= perc_85, converted_stat * 1.5, converted_stat)))))</f>
        <v/>
      </c>
      <c r="W754" s="30" t="str">
        <f t="array" ref="W754">IF($A754="", "", LET(bbgm_stat, INDEX(Players!$A753:$P753, MATCH(W$2, Players!$A$1:$P$1, 0)), perc_75, VLOOKUP(W$2, Percentiles!$A$45:$I$59, 6, FALSE), perc_90, VLOOKUP(W$2, Percentiles!$A$45:$I$59, 7, FALSE), perc_95, VLOOKUP(W$2, Percentiles!$A$45:$I$59, 8, FALSE), perc_85, perc_75 + (perc_90 - perc_75) * (2/3), converted_stat, '2K_Ratings'!W754, IF(bbgm_stat &gt;= perc_95, converted_stat * 3, IF(bbgm_stat &gt;= perc_90, converted_stat * 2, IF(bbgm_stat &gt;= perc_85, converted_stat * 1.5, converted_stat)))))</f>
        <v/>
      </c>
    </row>
    <row r="755">
      <c r="A755" s="30"/>
      <c r="B755" s="30" t="str">
        <f t="array" ref="B755">IF($A755="", "", LET(bbgm_stat, INDEX(Players!$A754:$P754, MATCH(B$2, Players!$A$1:$P$1, 0)), perc_75, VLOOKUP(B$2, Percentiles!$A$45:$I$59, 6, FALSE), perc_90, VLOOKUP(B$2, Percentiles!$A$45:$I$59, 7, FALSE), perc_95, VLOOKUP(B$2, Percentiles!$A$45:$I$59, 8, FALSE), perc_85, perc_75 + (perc_90 - perc_75) * (2/3), converted_stat, '2K_Ratings'!B755, IF(bbgm_stat &gt;= perc_95, converted_stat * 3, IF(bbgm_stat &gt;= perc_90, converted_stat * 2, IF(bbgm_stat &gt;= perc_85, converted_stat * 1.5, converted_stat)))))</f>
        <v/>
      </c>
      <c r="C755" s="30" t="str">
        <f t="array" ref="C755">IF($A755="", "", LET(bbgm_stat, INDEX(Players!$A754:$P754, MATCH(C$2, Players!$A$1:$P$1, 0)), perc_75, VLOOKUP(C$2, Percentiles!$A$45:$I$59, 6, FALSE), perc_90, VLOOKUP(C$2, Percentiles!$A$45:$I$59, 7, FALSE), perc_95, VLOOKUP(C$2, Percentiles!$A$45:$I$59, 8, FALSE), perc_85, perc_75 + (perc_90 - perc_75) * (2/3), converted_stat, '2K_Ratings'!C755, IF(bbgm_stat &gt;= perc_95, converted_stat * 3, IF(bbgm_stat &gt;= perc_90, converted_stat * 2, IF(bbgm_stat &gt;= perc_85, converted_stat * 1.5, converted_stat)))))</f>
        <v/>
      </c>
      <c r="D755" s="30" t="str">
        <f t="array" ref="D755">IF($A755="", "", LET(bbgm_stat, INDEX(Players!$A754:$P754, MATCH(D$2, Players!$A$1:$P$1, 0)), perc_75, VLOOKUP(D$2, Percentiles!$A$45:$I$59, 6, FALSE), perc_90, VLOOKUP(D$2, Percentiles!$A$45:$I$59, 7, FALSE), perc_95, VLOOKUP(D$2, Percentiles!$A$45:$I$59, 8, FALSE), perc_85, perc_75 + (perc_90 - perc_75) * (2/3), converted_stat, '2K_Ratings'!D755, IF(bbgm_stat &gt;= perc_95, converted_stat * 3, IF(bbgm_stat &gt;= perc_90, converted_stat * 2, IF(bbgm_stat &gt;= perc_85, converted_stat * 1.5, converted_stat)))))</f>
        <v/>
      </c>
      <c r="E755" s="30" t="str">
        <f t="array" ref="E755">IF($A755="", "", LET(bbgm_stat, INDEX(Players!$A754:$P754, MATCH(E$2, Players!$A$1:$P$1, 0)), perc_75, VLOOKUP(E$2, Percentiles!$A$45:$I$59, 6, FALSE), perc_90, VLOOKUP(E$2, Percentiles!$A$45:$I$59, 7, FALSE), perc_95, VLOOKUP(E$2, Percentiles!$A$45:$I$59, 8, FALSE), perc_85, perc_75 + (perc_90 - perc_75) * (2/3), converted_stat, '2K_Ratings'!E755, IF(bbgm_stat &gt;= perc_95, converted_stat * 3, IF(bbgm_stat &gt;= perc_90, converted_stat * 2, IF(bbgm_stat &gt;= perc_85, converted_stat * 1.5, converted_stat)))))</f>
        <v/>
      </c>
      <c r="F755" s="30" t="str">
        <f t="array" ref="F755">IF($A755="", "", LET(bbgm_stat, INDEX(Players!$A754:$P754, MATCH(F$2, Players!$A$1:$P$1, 0)), perc_75, VLOOKUP(F$2, Percentiles!$A$45:$I$59, 6, FALSE), perc_90, VLOOKUP(F$2, Percentiles!$A$45:$I$59, 7, FALSE), perc_95, VLOOKUP(F$2, Percentiles!$A$45:$I$59, 8, FALSE), perc_85, perc_75 + (perc_90 - perc_75) * (2/3), converted_stat, '2K_Ratings'!F755, IF(bbgm_stat &gt;= perc_95, converted_stat * 3, IF(bbgm_stat &gt;= perc_90, converted_stat * 2, IF(bbgm_stat &gt;= perc_85, converted_stat * 1.5, converted_stat)))))</f>
        <v/>
      </c>
      <c r="G755" s="30" t="str">
        <f t="array" ref="G755">IF($A755="", "", LET(bbgm_stat, INDEX(Players!$A754:$P754, MATCH(G$2, Players!$A$1:$P$1, 0)), perc_75, VLOOKUP(G$2, Percentiles!$A$45:$I$59, 6, FALSE), perc_90, VLOOKUP(G$2, Percentiles!$A$45:$I$59, 7, FALSE), perc_95, VLOOKUP(G$2, Percentiles!$A$45:$I$59, 8, FALSE), perc_85, perc_75 + (perc_90 - perc_75) * (2/3), converted_stat, '2K_Ratings'!G755, IF(bbgm_stat &gt;= perc_95, converted_stat * 3, IF(bbgm_stat &gt;= perc_90, converted_stat * 2, IF(bbgm_stat &gt;= perc_85, converted_stat * 1.5, converted_stat)))))</f>
        <v/>
      </c>
      <c r="H755" s="30" t="str">
        <f t="array" ref="H755">IF($A755="", "", LET(bbgm_stat, INDEX(Players!$A754:$P754, MATCH(H$2, Players!$A$1:$P$1, 0)), perc_75, VLOOKUP(H$2, Percentiles!$A$45:$I$59, 6, FALSE), perc_90, VLOOKUP(H$2, Percentiles!$A$45:$I$59, 7, FALSE), perc_95, VLOOKUP(H$2, Percentiles!$A$45:$I$59, 8, FALSE), perc_85, perc_75 + (perc_90 - perc_75) * (2/3), converted_stat, '2K_Ratings'!H755, IF(bbgm_stat &gt;= perc_95, converted_stat * 3, IF(bbgm_stat &gt;= perc_90, converted_stat * 2, IF(bbgm_stat &gt;= perc_85, converted_stat * 1.5, converted_stat)))))</f>
        <v/>
      </c>
      <c r="I755" s="30" t="str">
        <f t="array" ref="I755">IF($A755="", "", LET(bbgm_stat, INDEX(Players!$A754:$P754, MATCH(I$2, Players!$A$1:$P$1, 0)), perc_75, VLOOKUP(I$2, Percentiles!$A$45:$I$59, 6, FALSE), perc_90, VLOOKUP(I$2, Percentiles!$A$45:$I$59, 7, FALSE), perc_95, VLOOKUP(I$2, Percentiles!$A$45:$I$59, 8, FALSE), perc_85, perc_75 + (perc_90 - perc_75) * (2/3), converted_stat, '2K_Ratings'!I755, IF(bbgm_stat &gt;= perc_95, converted_stat * 3, IF(bbgm_stat &gt;= perc_90, converted_stat * 2, IF(bbgm_stat &gt;= perc_85, converted_stat * 1.5, converted_stat)))))</f>
        <v/>
      </c>
      <c r="J755" s="30" t="str">
        <f t="array" ref="J755">IF($A755="", "", LET(bbgm_stat, INDEX(Players!$A754:$P754, MATCH(J$2, Players!$A$1:$P$1, 0)), perc_75, VLOOKUP(J$2, Percentiles!$A$45:$I$59, 6, FALSE), perc_90, VLOOKUP(J$2, Percentiles!$A$45:$I$59, 7, FALSE), perc_95, VLOOKUP(J$2, Percentiles!$A$45:$I$59, 8, FALSE), perc_85, perc_75 + (perc_90 - perc_75) * (2/3), converted_stat, '2K_Ratings'!J755, IF(bbgm_stat &gt;= perc_95, converted_stat * 3, IF(bbgm_stat &gt;= perc_90, converted_stat * 2, IF(bbgm_stat &gt;= perc_85, converted_stat * 1.5, converted_stat)))))</f>
        <v/>
      </c>
      <c r="K755" s="30" t="str">
        <f t="array" ref="K755">IF($A755="", "", LET(bbgm_stat, INDEX(Players!$A754:$P754, MATCH(K$2, Players!$A$1:$P$1, 0)), perc_75, VLOOKUP(K$2, Percentiles!$A$45:$I$59, 6, FALSE), perc_90, VLOOKUP(K$2, Percentiles!$A$45:$I$59, 7, FALSE), perc_95, VLOOKUP(K$2, Percentiles!$A$45:$I$59, 8, FALSE), perc_85, perc_75 + (perc_90 - perc_75) * (2/3), converted_stat, '2K_Ratings'!K755, IF(bbgm_stat &gt;= perc_95, converted_stat * 3, IF(bbgm_stat &gt;= perc_90, converted_stat * 2, IF(bbgm_stat &gt;= perc_85, converted_stat * 1.5, converted_stat)))))</f>
        <v/>
      </c>
      <c r="L755" s="30" t="str">
        <f t="array" ref="L755">IF($A755="", "", LET(bbgm_stat, INDEX(Players!$A754:$P754, MATCH(L$2, Players!$A$1:$P$1, 0)), perc_75, VLOOKUP(L$2, Percentiles!$A$45:$I$59, 6, FALSE), perc_90, VLOOKUP(L$2, Percentiles!$A$45:$I$59, 7, FALSE), perc_95, VLOOKUP(L$2, Percentiles!$A$45:$I$59, 8, FALSE), perc_85, perc_75 + (perc_90 - perc_75) * (2/3), converted_stat, '2K_Ratings'!L755, IF(bbgm_stat &gt;= perc_95, converted_stat * 3, IF(bbgm_stat &gt;= perc_90, converted_stat * 2, IF(bbgm_stat &gt;= perc_85, converted_stat * 1.5, converted_stat)))))</f>
        <v/>
      </c>
      <c r="M755" s="30" t="str">
        <f t="array" ref="M755">IF($A755="", "", LET(bbgm_stat, INDEX(Players!$A754:$P754, MATCH(M$2, Players!$A$1:$P$1, 0)), perc_75, VLOOKUP(M$2, Percentiles!$A$45:$I$59, 6, FALSE), perc_90, VLOOKUP(M$2, Percentiles!$A$45:$I$59, 7, FALSE), perc_95, VLOOKUP(M$2, Percentiles!$A$45:$I$59, 8, FALSE), perc_85, perc_75 + (perc_90 - perc_75) * (2/3), converted_stat, '2K_Ratings'!M755, IF(bbgm_stat &gt;= perc_95, converted_stat * 3, IF(bbgm_stat &gt;= perc_90, converted_stat * 2, IF(bbgm_stat &gt;= perc_85, converted_stat * 1.5, converted_stat)))))</f>
        <v/>
      </c>
      <c r="N755" s="30" t="str">
        <f t="array" ref="N755">IF($A755="", "", LET(bbgm_stat, INDEX(Players!$A754:$P754, MATCH(N$2, Players!$A$1:$P$1, 0)), perc_75, VLOOKUP(N$2, Percentiles!$A$45:$I$59, 6, FALSE), perc_90, VLOOKUP(N$2, Percentiles!$A$45:$I$59, 7, FALSE), perc_95, VLOOKUP(N$2, Percentiles!$A$45:$I$59, 8, FALSE), perc_85, perc_75 + (perc_90 - perc_75) * (2/3), converted_stat, '2K_Ratings'!N755, IF(bbgm_stat &gt;= perc_95, converted_stat * 3, IF(bbgm_stat &gt;= perc_90, converted_stat * 2, IF(bbgm_stat &gt;= perc_85, converted_stat * 1.5, converted_stat)))))</f>
        <v/>
      </c>
      <c r="O755" s="30" t="str">
        <f t="array" ref="O755">IF($A755="", "", LET(bbgm_stat, INDEX(Players!$A754:$P754, MATCH(O$2, Players!$A$1:$P$1, 0)), perc_75, VLOOKUP(O$2, Percentiles!$A$45:$I$59, 6, FALSE), perc_90, VLOOKUP(O$2, Percentiles!$A$45:$I$59, 7, FALSE), perc_95, VLOOKUP(O$2, Percentiles!$A$45:$I$59, 8, FALSE), perc_85, perc_75 + (perc_90 - perc_75) * (2/3), converted_stat, '2K_Ratings'!O755, IF(bbgm_stat &gt;= perc_95, converted_stat * 3, IF(bbgm_stat &gt;= perc_90, converted_stat * 2, IF(bbgm_stat &gt;= perc_85, converted_stat * 1.5, converted_stat)))))</f>
        <v/>
      </c>
      <c r="P755" s="30" t="str">
        <f t="array" ref="P755">IF($A755="", "", LET(bbgm_stat, INDEX(Players!$A754:$P754, MATCH(P$2, Players!$A$1:$P$1, 0)), perc_75, VLOOKUP(P$2, Percentiles!$A$45:$I$59, 6, FALSE), perc_90, VLOOKUP(P$2, Percentiles!$A$45:$I$59, 7, FALSE), perc_95, VLOOKUP(P$2, Percentiles!$A$45:$I$59, 8, FALSE), perc_85, perc_75 + (perc_90 - perc_75) * (2/3), converted_stat, '2K_Ratings'!P755, IF(bbgm_stat &gt;= perc_95, converted_stat * 3, IF(bbgm_stat &gt;= perc_90, converted_stat * 2, IF(bbgm_stat &gt;= perc_85, converted_stat * 1.5, converted_stat)))))</f>
        <v/>
      </c>
      <c r="Q755" s="30" t="str">
        <f t="array" ref="Q755">IF($A755="", "", LET(bbgm_stat, INDEX(Players!$A754:$P754, MATCH(Q$2, Players!$A$1:$P$1, 0)), perc_75, VLOOKUP(Q$2, Percentiles!$A$45:$I$59, 6, FALSE), perc_90, VLOOKUP(Q$2, Percentiles!$A$45:$I$59, 7, FALSE), perc_95, VLOOKUP(Q$2, Percentiles!$A$45:$I$59, 8, FALSE), perc_85, perc_75 + (perc_90 - perc_75) * (2/3), converted_stat, '2K_Ratings'!Q755, IF(bbgm_stat &gt;= perc_95, converted_stat * 3, IF(bbgm_stat &gt;= perc_90, converted_stat * 2, IF(bbgm_stat &gt;= perc_85, converted_stat * 1.5, converted_stat)))))</f>
        <v/>
      </c>
      <c r="R755" s="30" t="str">
        <f t="array" ref="R755">IF($A755="", "", LET(bbgm_stat, INDEX(Players!$A754:$P754, MATCH(R$2, Players!$A$1:$P$1, 0)), perc_75, VLOOKUP(R$2, Percentiles!$A$45:$I$59, 6, FALSE), perc_90, VLOOKUP(R$2, Percentiles!$A$45:$I$59, 7, FALSE), perc_95, VLOOKUP(R$2, Percentiles!$A$45:$I$59, 8, FALSE), perc_85, perc_75 + (perc_90 - perc_75) * (2/3), converted_stat, '2K_Ratings'!R755, IF(bbgm_stat &gt;= perc_95, converted_stat * 3, IF(bbgm_stat &gt;= perc_90, converted_stat * 2, IF(bbgm_stat &gt;= perc_85, converted_stat * 1.5, converted_stat)))))</f>
        <v/>
      </c>
      <c r="S755" s="30" t="str">
        <f t="array" ref="S755">IF($A755="", "", LET(bbgm_stat, INDEX(Players!$A754:$P754, MATCH(S$2, Players!$A$1:$P$1, 0)), perc_75, VLOOKUP(S$2, Percentiles!$A$45:$I$59, 6, FALSE), perc_90, VLOOKUP(S$2, Percentiles!$A$45:$I$59, 7, FALSE), perc_95, VLOOKUP(S$2, Percentiles!$A$45:$I$59, 8, FALSE), perc_85, perc_75 + (perc_90 - perc_75) * (2/3), converted_stat, '2K_Ratings'!S755, IF(bbgm_stat &gt;= perc_95, converted_stat * 3, IF(bbgm_stat &gt;= perc_90, converted_stat * 2, IF(bbgm_stat &gt;= perc_85, converted_stat * 1.5, converted_stat)))))</f>
        <v/>
      </c>
      <c r="T755" s="30" t="str">
        <f t="array" ref="T755">IF($A755="", "", LET(bbgm_stat, INDEX(Players!$A754:$P754, MATCH(T$2, Players!$A$1:$P$1, 0)), perc_75, VLOOKUP(T$2, Percentiles!$A$45:$I$59, 6, FALSE), perc_90, VLOOKUP(T$2, Percentiles!$A$45:$I$59, 7, FALSE), perc_95, VLOOKUP(T$2, Percentiles!$A$45:$I$59, 8, FALSE), perc_85, perc_75 + (perc_90 - perc_75) * (2/3), converted_stat, '2K_Ratings'!T755, IF(bbgm_stat &gt;= perc_95, converted_stat * 3, IF(bbgm_stat &gt;= perc_90, converted_stat * 2, IF(bbgm_stat &gt;= perc_85, converted_stat * 1.5, converted_stat)))))</f>
        <v/>
      </c>
      <c r="U755" s="30" t="str">
        <f t="array" ref="U755">IF($A755="", "", LET(bbgm_stat, INDEX(Players!$A754:$P754, MATCH(U$2, Players!$A$1:$P$1, 0)), perc_75, VLOOKUP(U$2, Percentiles!$A$45:$I$59, 6, FALSE), perc_90, VLOOKUP(U$2, Percentiles!$A$45:$I$59, 7, FALSE), perc_95, VLOOKUP(U$2, Percentiles!$A$45:$I$59, 8, FALSE), perc_85, perc_75 + (perc_90 - perc_75) * (2/3), converted_stat, '2K_Ratings'!U755, IF(bbgm_stat &gt;= perc_95, converted_stat * 3, IF(bbgm_stat &gt;= perc_90, converted_stat * 2, IF(bbgm_stat &gt;= perc_85, converted_stat * 1.5, converted_stat)))))</f>
        <v/>
      </c>
      <c r="V755" s="30" t="str">
        <f t="array" ref="V755">IF($A755="", "", LET(bbgm_stat, INDEX(Players!$A754:$P754, MATCH(V$2, Players!$A$1:$P$1, 0)), perc_75, VLOOKUP(V$2, Percentiles!$A$45:$I$59, 6, FALSE), perc_90, VLOOKUP(V$2, Percentiles!$A$45:$I$59, 7, FALSE), perc_95, VLOOKUP(V$2, Percentiles!$A$45:$I$59, 8, FALSE), perc_85, perc_75 + (perc_90 - perc_75) * (2/3), converted_stat, '2K_Ratings'!V755, IF(bbgm_stat &gt;= perc_95, converted_stat * 3, IF(bbgm_stat &gt;= perc_90, converted_stat * 2, IF(bbgm_stat &gt;= perc_85, converted_stat * 1.5, converted_stat)))))</f>
        <v/>
      </c>
      <c r="W755" s="30" t="str">
        <f t="array" ref="W755">IF($A755="", "", LET(bbgm_stat, INDEX(Players!$A754:$P754, MATCH(W$2, Players!$A$1:$P$1, 0)), perc_75, VLOOKUP(W$2, Percentiles!$A$45:$I$59, 6, FALSE), perc_90, VLOOKUP(W$2, Percentiles!$A$45:$I$59, 7, FALSE), perc_95, VLOOKUP(W$2, Percentiles!$A$45:$I$59, 8, FALSE), perc_85, perc_75 + (perc_90 - perc_75) * (2/3), converted_stat, '2K_Ratings'!W755, IF(bbgm_stat &gt;= perc_95, converted_stat * 3, IF(bbgm_stat &gt;= perc_90, converted_stat * 2, IF(bbgm_stat &gt;= perc_85, converted_stat * 1.5, converted_stat)))))</f>
        <v/>
      </c>
    </row>
    <row r="756">
      <c r="A756" s="30"/>
      <c r="B756" s="30" t="str">
        <f t="array" ref="B756">IF($A756="", "", LET(bbgm_stat, INDEX(Players!$A755:$P755, MATCH(B$2, Players!$A$1:$P$1, 0)), perc_75, VLOOKUP(B$2, Percentiles!$A$45:$I$59, 6, FALSE), perc_90, VLOOKUP(B$2, Percentiles!$A$45:$I$59, 7, FALSE), perc_95, VLOOKUP(B$2, Percentiles!$A$45:$I$59, 8, FALSE), perc_85, perc_75 + (perc_90 - perc_75) * (2/3), converted_stat, '2K_Ratings'!B756, IF(bbgm_stat &gt;= perc_95, converted_stat * 3, IF(bbgm_stat &gt;= perc_90, converted_stat * 2, IF(bbgm_stat &gt;= perc_85, converted_stat * 1.5, converted_stat)))))</f>
        <v/>
      </c>
      <c r="C756" s="30" t="str">
        <f t="array" ref="C756">IF($A756="", "", LET(bbgm_stat, INDEX(Players!$A755:$P755, MATCH(C$2, Players!$A$1:$P$1, 0)), perc_75, VLOOKUP(C$2, Percentiles!$A$45:$I$59, 6, FALSE), perc_90, VLOOKUP(C$2, Percentiles!$A$45:$I$59, 7, FALSE), perc_95, VLOOKUP(C$2, Percentiles!$A$45:$I$59, 8, FALSE), perc_85, perc_75 + (perc_90 - perc_75) * (2/3), converted_stat, '2K_Ratings'!C756, IF(bbgm_stat &gt;= perc_95, converted_stat * 3, IF(bbgm_stat &gt;= perc_90, converted_stat * 2, IF(bbgm_stat &gt;= perc_85, converted_stat * 1.5, converted_stat)))))</f>
        <v/>
      </c>
      <c r="D756" s="30" t="str">
        <f t="array" ref="D756">IF($A756="", "", LET(bbgm_stat, INDEX(Players!$A755:$P755, MATCH(D$2, Players!$A$1:$P$1, 0)), perc_75, VLOOKUP(D$2, Percentiles!$A$45:$I$59, 6, FALSE), perc_90, VLOOKUP(D$2, Percentiles!$A$45:$I$59, 7, FALSE), perc_95, VLOOKUP(D$2, Percentiles!$A$45:$I$59, 8, FALSE), perc_85, perc_75 + (perc_90 - perc_75) * (2/3), converted_stat, '2K_Ratings'!D756, IF(bbgm_stat &gt;= perc_95, converted_stat * 3, IF(bbgm_stat &gt;= perc_90, converted_stat * 2, IF(bbgm_stat &gt;= perc_85, converted_stat * 1.5, converted_stat)))))</f>
        <v/>
      </c>
      <c r="E756" s="30" t="str">
        <f t="array" ref="E756">IF($A756="", "", LET(bbgm_stat, INDEX(Players!$A755:$P755, MATCH(E$2, Players!$A$1:$P$1, 0)), perc_75, VLOOKUP(E$2, Percentiles!$A$45:$I$59, 6, FALSE), perc_90, VLOOKUP(E$2, Percentiles!$A$45:$I$59, 7, FALSE), perc_95, VLOOKUP(E$2, Percentiles!$A$45:$I$59, 8, FALSE), perc_85, perc_75 + (perc_90 - perc_75) * (2/3), converted_stat, '2K_Ratings'!E756, IF(bbgm_stat &gt;= perc_95, converted_stat * 3, IF(bbgm_stat &gt;= perc_90, converted_stat * 2, IF(bbgm_stat &gt;= perc_85, converted_stat * 1.5, converted_stat)))))</f>
        <v/>
      </c>
      <c r="F756" s="30" t="str">
        <f t="array" ref="F756">IF($A756="", "", LET(bbgm_stat, INDEX(Players!$A755:$P755, MATCH(F$2, Players!$A$1:$P$1, 0)), perc_75, VLOOKUP(F$2, Percentiles!$A$45:$I$59, 6, FALSE), perc_90, VLOOKUP(F$2, Percentiles!$A$45:$I$59, 7, FALSE), perc_95, VLOOKUP(F$2, Percentiles!$A$45:$I$59, 8, FALSE), perc_85, perc_75 + (perc_90 - perc_75) * (2/3), converted_stat, '2K_Ratings'!F756, IF(bbgm_stat &gt;= perc_95, converted_stat * 3, IF(bbgm_stat &gt;= perc_90, converted_stat * 2, IF(bbgm_stat &gt;= perc_85, converted_stat * 1.5, converted_stat)))))</f>
        <v/>
      </c>
      <c r="G756" s="30" t="str">
        <f t="array" ref="G756">IF($A756="", "", LET(bbgm_stat, INDEX(Players!$A755:$P755, MATCH(G$2, Players!$A$1:$P$1, 0)), perc_75, VLOOKUP(G$2, Percentiles!$A$45:$I$59, 6, FALSE), perc_90, VLOOKUP(G$2, Percentiles!$A$45:$I$59, 7, FALSE), perc_95, VLOOKUP(G$2, Percentiles!$A$45:$I$59, 8, FALSE), perc_85, perc_75 + (perc_90 - perc_75) * (2/3), converted_stat, '2K_Ratings'!G756, IF(bbgm_stat &gt;= perc_95, converted_stat * 3, IF(bbgm_stat &gt;= perc_90, converted_stat * 2, IF(bbgm_stat &gt;= perc_85, converted_stat * 1.5, converted_stat)))))</f>
        <v/>
      </c>
      <c r="H756" s="30" t="str">
        <f t="array" ref="H756">IF($A756="", "", LET(bbgm_stat, INDEX(Players!$A755:$P755, MATCH(H$2, Players!$A$1:$P$1, 0)), perc_75, VLOOKUP(H$2, Percentiles!$A$45:$I$59, 6, FALSE), perc_90, VLOOKUP(H$2, Percentiles!$A$45:$I$59, 7, FALSE), perc_95, VLOOKUP(H$2, Percentiles!$A$45:$I$59, 8, FALSE), perc_85, perc_75 + (perc_90 - perc_75) * (2/3), converted_stat, '2K_Ratings'!H756, IF(bbgm_stat &gt;= perc_95, converted_stat * 3, IF(bbgm_stat &gt;= perc_90, converted_stat * 2, IF(bbgm_stat &gt;= perc_85, converted_stat * 1.5, converted_stat)))))</f>
        <v/>
      </c>
      <c r="I756" s="30" t="str">
        <f t="array" ref="I756">IF($A756="", "", LET(bbgm_stat, INDEX(Players!$A755:$P755, MATCH(I$2, Players!$A$1:$P$1, 0)), perc_75, VLOOKUP(I$2, Percentiles!$A$45:$I$59, 6, FALSE), perc_90, VLOOKUP(I$2, Percentiles!$A$45:$I$59, 7, FALSE), perc_95, VLOOKUP(I$2, Percentiles!$A$45:$I$59, 8, FALSE), perc_85, perc_75 + (perc_90 - perc_75) * (2/3), converted_stat, '2K_Ratings'!I756, IF(bbgm_stat &gt;= perc_95, converted_stat * 3, IF(bbgm_stat &gt;= perc_90, converted_stat * 2, IF(bbgm_stat &gt;= perc_85, converted_stat * 1.5, converted_stat)))))</f>
        <v/>
      </c>
      <c r="J756" s="30" t="str">
        <f t="array" ref="J756">IF($A756="", "", LET(bbgm_stat, INDEX(Players!$A755:$P755, MATCH(J$2, Players!$A$1:$P$1, 0)), perc_75, VLOOKUP(J$2, Percentiles!$A$45:$I$59, 6, FALSE), perc_90, VLOOKUP(J$2, Percentiles!$A$45:$I$59, 7, FALSE), perc_95, VLOOKUP(J$2, Percentiles!$A$45:$I$59, 8, FALSE), perc_85, perc_75 + (perc_90 - perc_75) * (2/3), converted_stat, '2K_Ratings'!J756, IF(bbgm_stat &gt;= perc_95, converted_stat * 3, IF(bbgm_stat &gt;= perc_90, converted_stat * 2, IF(bbgm_stat &gt;= perc_85, converted_stat * 1.5, converted_stat)))))</f>
        <v/>
      </c>
      <c r="K756" s="30" t="str">
        <f t="array" ref="K756">IF($A756="", "", LET(bbgm_stat, INDEX(Players!$A755:$P755, MATCH(K$2, Players!$A$1:$P$1, 0)), perc_75, VLOOKUP(K$2, Percentiles!$A$45:$I$59, 6, FALSE), perc_90, VLOOKUP(K$2, Percentiles!$A$45:$I$59, 7, FALSE), perc_95, VLOOKUP(K$2, Percentiles!$A$45:$I$59, 8, FALSE), perc_85, perc_75 + (perc_90 - perc_75) * (2/3), converted_stat, '2K_Ratings'!K756, IF(bbgm_stat &gt;= perc_95, converted_stat * 3, IF(bbgm_stat &gt;= perc_90, converted_stat * 2, IF(bbgm_stat &gt;= perc_85, converted_stat * 1.5, converted_stat)))))</f>
        <v/>
      </c>
      <c r="L756" s="30" t="str">
        <f t="array" ref="L756">IF($A756="", "", LET(bbgm_stat, INDEX(Players!$A755:$P755, MATCH(L$2, Players!$A$1:$P$1, 0)), perc_75, VLOOKUP(L$2, Percentiles!$A$45:$I$59, 6, FALSE), perc_90, VLOOKUP(L$2, Percentiles!$A$45:$I$59, 7, FALSE), perc_95, VLOOKUP(L$2, Percentiles!$A$45:$I$59, 8, FALSE), perc_85, perc_75 + (perc_90 - perc_75) * (2/3), converted_stat, '2K_Ratings'!L756, IF(bbgm_stat &gt;= perc_95, converted_stat * 3, IF(bbgm_stat &gt;= perc_90, converted_stat * 2, IF(bbgm_stat &gt;= perc_85, converted_stat * 1.5, converted_stat)))))</f>
        <v/>
      </c>
      <c r="M756" s="30" t="str">
        <f t="array" ref="M756">IF($A756="", "", LET(bbgm_stat, INDEX(Players!$A755:$P755, MATCH(M$2, Players!$A$1:$P$1, 0)), perc_75, VLOOKUP(M$2, Percentiles!$A$45:$I$59, 6, FALSE), perc_90, VLOOKUP(M$2, Percentiles!$A$45:$I$59, 7, FALSE), perc_95, VLOOKUP(M$2, Percentiles!$A$45:$I$59, 8, FALSE), perc_85, perc_75 + (perc_90 - perc_75) * (2/3), converted_stat, '2K_Ratings'!M756, IF(bbgm_stat &gt;= perc_95, converted_stat * 3, IF(bbgm_stat &gt;= perc_90, converted_stat * 2, IF(bbgm_stat &gt;= perc_85, converted_stat * 1.5, converted_stat)))))</f>
        <v/>
      </c>
      <c r="N756" s="30" t="str">
        <f t="array" ref="N756">IF($A756="", "", LET(bbgm_stat, INDEX(Players!$A755:$P755, MATCH(N$2, Players!$A$1:$P$1, 0)), perc_75, VLOOKUP(N$2, Percentiles!$A$45:$I$59, 6, FALSE), perc_90, VLOOKUP(N$2, Percentiles!$A$45:$I$59, 7, FALSE), perc_95, VLOOKUP(N$2, Percentiles!$A$45:$I$59, 8, FALSE), perc_85, perc_75 + (perc_90 - perc_75) * (2/3), converted_stat, '2K_Ratings'!N756, IF(bbgm_stat &gt;= perc_95, converted_stat * 3, IF(bbgm_stat &gt;= perc_90, converted_stat * 2, IF(bbgm_stat &gt;= perc_85, converted_stat * 1.5, converted_stat)))))</f>
        <v/>
      </c>
      <c r="O756" s="30" t="str">
        <f t="array" ref="O756">IF($A756="", "", LET(bbgm_stat, INDEX(Players!$A755:$P755, MATCH(O$2, Players!$A$1:$P$1, 0)), perc_75, VLOOKUP(O$2, Percentiles!$A$45:$I$59, 6, FALSE), perc_90, VLOOKUP(O$2, Percentiles!$A$45:$I$59, 7, FALSE), perc_95, VLOOKUP(O$2, Percentiles!$A$45:$I$59, 8, FALSE), perc_85, perc_75 + (perc_90 - perc_75) * (2/3), converted_stat, '2K_Ratings'!O756, IF(bbgm_stat &gt;= perc_95, converted_stat * 3, IF(bbgm_stat &gt;= perc_90, converted_stat * 2, IF(bbgm_stat &gt;= perc_85, converted_stat * 1.5, converted_stat)))))</f>
        <v/>
      </c>
      <c r="P756" s="30" t="str">
        <f t="array" ref="P756">IF($A756="", "", LET(bbgm_stat, INDEX(Players!$A755:$P755, MATCH(P$2, Players!$A$1:$P$1, 0)), perc_75, VLOOKUP(P$2, Percentiles!$A$45:$I$59, 6, FALSE), perc_90, VLOOKUP(P$2, Percentiles!$A$45:$I$59, 7, FALSE), perc_95, VLOOKUP(P$2, Percentiles!$A$45:$I$59, 8, FALSE), perc_85, perc_75 + (perc_90 - perc_75) * (2/3), converted_stat, '2K_Ratings'!P756, IF(bbgm_stat &gt;= perc_95, converted_stat * 3, IF(bbgm_stat &gt;= perc_90, converted_stat * 2, IF(bbgm_stat &gt;= perc_85, converted_stat * 1.5, converted_stat)))))</f>
        <v/>
      </c>
      <c r="Q756" s="30" t="str">
        <f t="array" ref="Q756">IF($A756="", "", LET(bbgm_stat, INDEX(Players!$A755:$P755, MATCH(Q$2, Players!$A$1:$P$1, 0)), perc_75, VLOOKUP(Q$2, Percentiles!$A$45:$I$59, 6, FALSE), perc_90, VLOOKUP(Q$2, Percentiles!$A$45:$I$59, 7, FALSE), perc_95, VLOOKUP(Q$2, Percentiles!$A$45:$I$59, 8, FALSE), perc_85, perc_75 + (perc_90 - perc_75) * (2/3), converted_stat, '2K_Ratings'!Q756, IF(bbgm_stat &gt;= perc_95, converted_stat * 3, IF(bbgm_stat &gt;= perc_90, converted_stat * 2, IF(bbgm_stat &gt;= perc_85, converted_stat * 1.5, converted_stat)))))</f>
        <v/>
      </c>
      <c r="R756" s="30" t="str">
        <f t="array" ref="R756">IF($A756="", "", LET(bbgm_stat, INDEX(Players!$A755:$P755, MATCH(R$2, Players!$A$1:$P$1, 0)), perc_75, VLOOKUP(R$2, Percentiles!$A$45:$I$59, 6, FALSE), perc_90, VLOOKUP(R$2, Percentiles!$A$45:$I$59, 7, FALSE), perc_95, VLOOKUP(R$2, Percentiles!$A$45:$I$59, 8, FALSE), perc_85, perc_75 + (perc_90 - perc_75) * (2/3), converted_stat, '2K_Ratings'!R756, IF(bbgm_stat &gt;= perc_95, converted_stat * 3, IF(bbgm_stat &gt;= perc_90, converted_stat * 2, IF(bbgm_stat &gt;= perc_85, converted_stat * 1.5, converted_stat)))))</f>
        <v/>
      </c>
      <c r="S756" s="30" t="str">
        <f t="array" ref="S756">IF($A756="", "", LET(bbgm_stat, INDEX(Players!$A755:$P755, MATCH(S$2, Players!$A$1:$P$1, 0)), perc_75, VLOOKUP(S$2, Percentiles!$A$45:$I$59, 6, FALSE), perc_90, VLOOKUP(S$2, Percentiles!$A$45:$I$59, 7, FALSE), perc_95, VLOOKUP(S$2, Percentiles!$A$45:$I$59, 8, FALSE), perc_85, perc_75 + (perc_90 - perc_75) * (2/3), converted_stat, '2K_Ratings'!S756, IF(bbgm_stat &gt;= perc_95, converted_stat * 3, IF(bbgm_stat &gt;= perc_90, converted_stat * 2, IF(bbgm_stat &gt;= perc_85, converted_stat * 1.5, converted_stat)))))</f>
        <v/>
      </c>
      <c r="T756" s="30" t="str">
        <f t="array" ref="T756">IF($A756="", "", LET(bbgm_stat, INDEX(Players!$A755:$P755, MATCH(T$2, Players!$A$1:$P$1, 0)), perc_75, VLOOKUP(T$2, Percentiles!$A$45:$I$59, 6, FALSE), perc_90, VLOOKUP(T$2, Percentiles!$A$45:$I$59, 7, FALSE), perc_95, VLOOKUP(T$2, Percentiles!$A$45:$I$59, 8, FALSE), perc_85, perc_75 + (perc_90 - perc_75) * (2/3), converted_stat, '2K_Ratings'!T756, IF(bbgm_stat &gt;= perc_95, converted_stat * 3, IF(bbgm_stat &gt;= perc_90, converted_stat * 2, IF(bbgm_stat &gt;= perc_85, converted_stat * 1.5, converted_stat)))))</f>
        <v/>
      </c>
      <c r="U756" s="30" t="str">
        <f t="array" ref="U756">IF($A756="", "", LET(bbgm_stat, INDEX(Players!$A755:$P755, MATCH(U$2, Players!$A$1:$P$1, 0)), perc_75, VLOOKUP(U$2, Percentiles!$A$45:$I$59, 6, FALSE), perc_90, VLOOKUP(U$2, Percentiles!$A$45:$I$59, 7, FALSE), perc_95, VLOOKUP(U$2, Percentiles!$A$45:$I$59, 8, FALSE), perc_85, perc_75 + (perc_90 - perc_75) * (2/3), converted_stat, '2K_Ratings'!U756, IF(bbgm_stat &gt;= perc_95, converted_stat * 3, IF(bbgm_stat &gt;= perc_90, converted_stat * 2, IF(bbgm_stat &gt;= perc_85, converted_stat * 1.5, converted_stat)))))</f>
        <v/>
      </c>
      <c r="V756" s="30" t="str">
        <f t="array" ref="V756">IF($A756="", "", LET(bbgm_stat, INDEX(Players!$A755:$P755, MATCH(V$2, Players!$A$1:$P$1, 0)), perc_75, VLOOKUP(V$2, Percentiles!$A$45:$I$59, 6, FALSE), perc_90, VLOOKUP(V$2, Percentiles!$A$45:$I$59, 7, FALSE), perc_95, VLOOKUP(V$2, Percentiles!$A$45:$I$59, 8, FALSE), perc_85, perc_75 + (perc_90 - perc_75) * (2/3), converted_stat, '2K_Ratings'!V756, IF(bbgm_stat &gt;= perc_95, converted_stat * 3, IF(bbgm_stat &gt;= perc_90, converted_stat * 2, IF(bbgm_stat &gt;= perc_85, converted_stat * 1.5, converted_stat)))))</f>
        <v/>
      </c>
      <c r="W756" s="30" t="str">
        <f t="array" ref="W756">IF($A756="", "", LET(bbgm_stat, INDEX(Players!$A755:$P755, MATCH(W$2, Players!$A$1:$P$1, 0)), perc_75, VLOOKUP(W$2, Percentiles!$A$45:$I$59, 6, FALSE), perc_90, VLOOKUP(W$2, Percentiles!$A$45:$I$59, 7, FALSE), perc_95, VLOOKUP(W$2, Percentiles!$A$45:$I$59, 8, FALSE), perc_85, perc_75 + (perc_90 - perc_75) * (2/3), converted_stat, '2K_Ratings'!W756, IF(bbgm_stat &gt;= perc_95, converted_stat * 3, IF(bbgm_stat &gt;= perc_90, converted_stat * 2, IF(bbgm_stat &gt;= perc_85, converted_stat * 1.5, converted_stat)))))</f>
        <v/>
      </c>
    </row>
    <row r="757">
      <c r="A757" s="30"/>
      <c r="B757" s="30" t="str">
        <f t="array" ref="B757">IF($A757="", "", LET(bbgm_stat, INDEX(Players!$A756:$P756, MATCH(B$2, Players!$A$1:$P$1, 0)), perc_75, VLOOKUP(B$2, Percentiles!$A$45:$I$59, 6, FALSE), perc_90, VLOOKUP(B$2, Percentiles!$A$45:$I$59, 7, FALSE), perc_95, VLOOKUP(B$2, Percentiles!$A$45:$I$59, 8, FALSE), perc_85, perc_75 + (perc_90 - perc_75) * (2/3), converted_stat, '2K_Ratings'!B757, IF(bbgm_stat &gt;= perc_95, converted_stat * 3, IF(bbgm_stat &gt;= perc_90, converted_stat * 2, IF(bbgm_stat &gt;= perc_85, converted_stat * 1.5, converted_stat)))))</f>
        <v/>
      </c>
      <c r="C757" s="30" t="str">
        <f t="array" ref="C757">IF($A757="", "", LET(bbgm_stat, INDEX(Players!$A756:$P756, MATCH(C$2, Players!$A$1:$P$1, 0)), perc_75, VLOOKUP(C$2, Percentiles!$A$45:$I$59, 6, FALSE), perc_90, VLOOKUP(C$2, Percentiles!$A$45:$I$59, 7, FALSE), perc_95, VLOOKUP(C$2, Percentiles!$A$45:$I$59, 8, FALSE), perc_85, perc_75 + (perc_90 - perc_75) * (2/3), converted_stat, '2K_Ratings'!C757, IF(bbgm_stat &gt;= perc_95, converted_stat * 3, IF(bbgm_stat &gt;= perc_90, converted_stat * 2, IF(bbgm_stat &gt;= perc_85, converted_stat * 1.5, converted_stat)))))</f>
        <v/>
      </c>
      <c r="D757" s="30" t="str">
        <f t="array" ref="D757">IF($A757="", "", LET(bbgm_stat, INDEX(Players!$A756:$P756, MATCH(D$2, Players!$A$1:$P$1, 0)), perc_75, VLOOKUP(D$2, Percentiles!$A$45:$I$59, 6, FALSE), perc_90, VLOOKUP(D$2, Percentiles!$A$45:$I$59, 7, FALSE), perc_95, VLOOKUP(D$2, Percentiles!$A$45:$I$59, 8, FALSE), perc_85, perc_75 + (perc_90 - perc_75) * (2/3), converted_stat, '2K_Ratings'!D757, IF(bbgm_stat &gt;= perc_95, converted_stat * 3, IF(bbgm_stat &gt;= perc_90, converted_stat * 2, IF(bbgm_stat &gt;= perc_85, converted_stat * 1.5, converted_stat)))))</f>
        <v/>
      </c>
      <c r="E757" s="30" t="str">
        <f t="array" ref="E757">IF($A757="", "", LET(bbgm_stat, INDEX(Players!$A756:$P756, MATCH(E$2, Players!$A$1:$P$1, 0)), perc_75, VLOOKUP(E$2, Percentiles!$A$45:$I$59, 6, FALSE), perc_90, VLOOKUP(E$2, Percentiles!$A$45:$I$59, 7, FALSE), perc_95, VLOOKUP(E$2, Percentiles!$A$45:$I$59, 8, FALSE), perc_85, perc_75 + (perc_90 - perc_75) * (2/3), converted_stat, '2K_Ratings'!E757, IF(bbgm_stat &gt;= perc_95, converted_stat * 3, IF(bbgm_stat &gt;= perc_90, converted_stat * 2, IF(bbgm_stat &gt;= perc_85, converted_stat * 1.5, converted_stat)))))</f>
        <v/>
      </c>
      <c r="F757" s="30" t="str">
        <f t="array" ref="F757">IF($A757="", "", LET(bbgm_stat, INDEX(Players!$A756:$P756, MATCH(F$2, Players!$A$1:$P$1, 0)), perc_75, VLOOKUP(F$2, Percentiles!$A$45:$I$59, 6, FALSE), perc_90, VLOOKUP(F$2, Percentiles!$A$45:$I$59, 7, FALSE), perc_95, VLOOKUP(F$2, Percentiles!$A$45:$I$59, 8, FALSE), perc_85, perc_75 + (perc_90 - perc_75) * (2/3), converted_stat, '2K_Ratings'!F757, IF(bbgm_stat &gt;= perc_95, converted_stat * 3, IF(bbgm_stat &gt;= perc_90, converted_stat * 2, IF(bbgm_stat &gt;= perc_85, converted_stat * 1.5, converted_stat)))))</f>
        <v/>
      </c>
      <c r="G757" s="30" t="str">
        <f t="array" ref="G757">IF($A757="", "", LET(bbgm_stat, INDEX(Players!$A756:$P756, MATCH(G$2, Players!$A$1:$P$1, 0)), perc_75, VLOOKUP(G$2, Percentiles!$A$45:$I$59, 6, FALSE), perc_90, VLOOKUP(G$2, Percentiles!$A$45:$I$59, 7, FALSE), perc_95, VLOOKUP(G$2, Percentiles!$A$45:$I$59, 8, FALSE), perc_85, perc_75 + (perc_90 - perc_75) * (2/3), converted_stat, '2K_Ratings'!G757, IF(bbgm_stat &gt;= perc_95, converted_stat * 3, IF(bbgm_stat &gt;= perc_90, converted_stat * 2, IF(bbgm_stat &gt;= perc_85, converted_stat * 1.5, converted_stat)))))</f>
        <v/>
      </c>
      <c r="H757" s="30" t="str">
        <f t="array" ref="H757">IF($A757="", "", LET(bbgm_stat, INDEX(Players!$A756:$P756, MATCH(H$2, Players!$A$1:$P$1, 0)), perc_75, VLOOKUP(H$2, Percentiles!$A$45:$I$59, 6, FALSE), perc_90, VLOOKUP(H$2, Percentiles!$A$45:$I$59, 7, FALSE), perc_95, VLOOKUP(H$2, Percentiles!$A$45:$I$59, 8, FALSE), perc_85, perc_75 + (perc_90 - perc_75) * (2/3), converted_stat, '2K_Ratings'!H757, IF(bbgm_stat &gt;= perc_95, converted_stat * 3, IF(bbgm_stat &gt;= perc_90, converted_stat * 2, IF(bbgm_stat &gt;= perc_85, converted_stat * 1.5, converted_stat)))))</f>
        <v/>
      </c>
      <c r="I757" s="30" t="str">
        <f t="array" ref="I757">IF($A757="", "", LET(bbgm_stat, INDEX(Players!$A756:$P756, MATCH(I$2, Players!$A$1:$P$1, 0)), perc_75, VLOOKUP(I$2, Percentiles!$A$45:$I$59, 6, FALSE), perc_90, VLOOKUP(I$2, Percentiles!$A$45:$I$59, 7, FALSE), perc_95, VLOOKUP(I$2, Percentiles!$A$45:$I$59, 8, FALSE), perc_85, perc_75 + (perc_90 - perc_75) * (2/3), converted_stat, '2K_Ratings'!I757, IF(bbgm_stat &gt;= perc_95, converted_stat * 3, IF(bbgm_stat &gt;= perc_90, converted_stat * 2, IF(bbgm_stat &gt;= perc_85, converted_stat * 1.5, converted_stat)))))</f>
        <v/>
      </c>
      <c r="J757" s="30" t="str">
        <f t="array" ref="J757">IF($A757="", "", LET(bbgm_stat, INDEX(Players!$A756:$P756, MATCH(J$2, Players!$A$1:$P$1, 0)), perc_75, VLOOKUP(J$2, Percentiles!$A$45:$I$59, 6, FALSE), perc_90, VLOOKUP(J$2, Percentiles!$A$45:$I$59, 7, FALSE), perc_95, VLOOKUP(J$2, Percentiles!$A$45:$I$59, 8, FALSE), perc_85, perc_75 + (perc_90 - perc_75) * (2/3), converted_stat, '2K_Ratings'!J757, IF(bbgm_stat &gt;= perc_95, converted_stat * 3, IF(bbgm_stat &gt;= perc_90, converted_stat * 2, IF(bbgm_stat &gt;= perc_85, converted_stat * 1.5, converted_stat)))))</f>
        <v/>
      </c>
      <c r="K757" s="30" t="str">
        <f t="array" ref="K757">IF($A757="", "", LET(bbgm_stat, INDEX(Players!$A756:$P756, MATCH(K$2, Players!$A$1:$P$1, 0)), perc_75, VLOOKUP(K$2, Percentiles!$A$45:$I$59, 6, FALSE), perc_90, VLOOKUP(K$2, Percentiles!$A$45:$I$59, 7, FALSE), perc_95, VLOOKUP(K$2, Percentiles!$A$45:$I$59, 8, FALSE), perc_85, perc_75 + (perc_90 - perc_75) * (2/3), converted_stat, '2K_Ratings'!K757, IF(bbgm_stat &gt;= perc_95, converted_stat * 3, IF(bbgm_stat &gt;= perc_90, converted_stat * 2, IF(bbgm_stat &gt;= perc_85, converted_stat * 1.5, converted_stat)))))</f>
        <v/>
      </c>
      <c r="L757" s="30" t="str">
        <f t="array" ref="L757">IF($A757="", "", LET(bbgm_stat, INDEX(Players!$A756:$P756, MATCH(L$2, Players!$A$1:$P$1, 0)), perc_75, VLOOKUP(L$2, Percentiles!$A$45:$I$59, 6, FALSE), perc_90, VLOOKUP(L$2, Percentiles!$A$45:$I$59, 7, FALSE), perc_95, VLOOKUP(L$2, Percentiles!$A$45:$I$59, 8, FALSE), perc_85, perc_75 + (perc_90 - perc_75) * (2/3), converted_stat, '2K_Ratings'!L757, IF(bbgm_stat &gt;= perc_95, converted_stat * 3, IF(bbgm_stat &gt;= perc_90, converted_stat * 2, IF(bbgm_stat &gt;= perc_85, converted_stat * 1.5, converted_stat)))))</f>
        <v/>
      </c>
      <c r="M757" s="30" t="str">
        <f t="array" ref="M757">IF($A757="", "", LET(bbgm_stat, INDEX(Players!$A756:$P756, MATCH(M$2, Players!$A$1:$P$1, 0)), perc_75, VLOOKUP(M$2, Percentiles!$A$45:$I$59, 6, FALSE), perc_90, VLOOKUP(M$2, Percentiles!$A$45:$I$59, 7, FALSE), perc_95, VLOOKUP(M$2, Percentiles!$A$45:$I$59, 8, FALSE), perc_85, perc_75 + (perc_90 - perc_75) * (2/3), converted_stat, '2K_Ratings'!M757, IF(bbgm_stat &gt;= perc_95, converted_stat * 3, IF(bbgm_stat &gt;= perc_90, converted_stat * 2, IF(bbgm_stat &gt;= perc_85, converted_stat * 1.5, converted_stat)))))</f>
        <v/>
      </c>
      <c r="N757" s="30" t="str">
        <f t="array" ref="N757">IF($A757="", "", LET(bbgm_stat, INDEX(Players!$A756:$P756, MATCH(N$2, Players!$A$1:$P$1, 0)), perc_75, VLOOKUP(N$2, Percentiles!$A$45:$I$59, 6, FALSE), perc_90, VLOOKUP(N$2, Percentiles!$A$45:$I$59, 7, FALSE), perc_95, VLOOKUP(N$2, Percentiles!$A$45:$I$59, 8, FALSE), perc_85, perc_75 + (perc_90 - perc_75) * (2/3), converted_stat, '2K_Ratings'!N757, IF(bbgm_stat &gt;= perc_95, converted_stat * 3, IF(bbgm_stat &gt;= perc_90, converted_stat * 2, IF(bbgm_stat &gt;= perc_85, converted_stat * 1.5, converted_stat)))))</f>
        <v/>
      </c>
      <c r="O757" s="30" t="str">
        <f t="array" ref="O757">IF($A757="", "", LET(bbgm_stat, INDEX(Players!$A756:$P756, MATCH(O$2, Players!$A$1:$P$1, 0)), perc_75, VLOOKUP(O$2, Percentiles!$A$45:$I$59, 6, FALSE), perc_90, VLOOKUP(O$2, Percentiles!$A$45:$I$59, 7, FALSE), perc_95, VLOOKUP(O$2, Percentiles!$A$45:$I$59, 8, FALSE), perc_85, perc_75 + (perc_90 - perc_75) * (2/3), converted_stat, '2K_Ratings'!O757, IF(bbgm_stat &gt;= perc_95, converted_stat * 3, IF(bbgm_stat &gt;= perc_90, converted_stat * 2, IF(bbgm_stat &gt;= perc_85, converted_stat * 1.5, converted_stat)))))</f>
        <v/>
      </c>
      <c r="P757" s="30" t="str">
        <f t="array" ref="P757">IF($A757="", "", LET(bbgm_stat, INDEX(Players!$A756:$P756, MATCH(P$2, Players!$A$1:$P$1, 0)), perc_75, VLOOKUP(P$2, Percentiles!$A$45:$I$59, 6, FALSE), perc_90, VLOOKUP(P$2, Percentiles!$A$45:$I$59, 7, FALSE), perc_95, VLOOKUP(P$2, Percentiles!$A$45:$I$59, 8, FALSE), perc_85, perc_75 + (perc_90 - perc_75) * (2/3), converted_stat, '2K_Ratings'!P757, IF(bbgm_stat &gt;= perc_95, converted_stat * 3, IF(bbgm_stat &gt;= perc_90, converted_stat * 2, IF(bbgm_stat &gt;= perc_85, converted_stat * 1.5, converted_stat)))))</f>
        <v/>
      </c>
      <c r="Q757" s="30" t="str">
        <f t="array" ref="Q757">IF($A757="", "", LET(bbgm_stat, INDEX(Players!$A756:$P756, MATCH(Q$2, Players!$A$1:$P$1, 0)), perc_75, VLOOKUP(Q$2, Percentiles!$A$45:$I$59, 6, FALSE), perc_90, VLOOKUP(Q$2, Percentiles!$A$45:$I$59, 7, FALSE), perc_95, VLOOKUP(Q$2, Percentiles!$A$45:$I$59, 8, FALSE), perc_85, perc_75 + (perc_90 - perc_75) * (2/3), converted_stat, '2K_Ratings'!Q757, IF(bbgm_stat &gt;= perc_95, converted_stat * 3, IF(bbgm_stat &gt;= perc_90, converted_stat * 2, IF(bbgm_stat &gt;= perc_85, converted_stat * 1.5, converted_stat)))))</f>
        <v/>
      </c>
      <c r="R757" s="30" t="str">
        <f t="array" ref="R757">IF($A757="", "", LET(bbgm_stat, INDEX(Players!$A756:$P756, MATCH(R$2, Players!$A$1:$P$1, 0)), perc_75, VLOOKUP(R$2, Percentiles!$A$45:$I$59, 6, FALSE), perc_90, VLOOKUP(R$2, Percentiles!$A$45:$I$59, 7, FALSE), perc_95, VLOOKUP(R$2, Percentiles!$A$45:$I$59, 8, FALSE), perc_85, perc_75 + (perc_90 - perc_75) * (2/3), converted_stat, '2K_Ratings'!R757, IF(bbgm_stat &gt;= perc_95, converted_stat * 3, IF(bbgm_stat &gt;= perc_90, converted_stat * 2, IF(bbgm_stat &gt;= perc_85, converted_stat * 1.5, converted_stat)))))</f>
        <v/>
      </c>
      <c r="S757" s="30" t="str">
        <f t="array" ref="S757">IF($A757="", "", LET(bbgm_stat, INDEX(Players!$A756:$P756, MATCH(S$2, Players!$A$1:$P$1, 0)), perc_75, VLOOKUP(S$2, Percentiles!$A$45:$I$59, 6, FALSE), perc_90, VLOOKUP(S$2, Percentiles!$A$45:$I$59, 7, FALSE), perc_95, VLOOKUP(S$2, Percentiles!$A$45:$I$59, 8, FALSE), perc_85, perc_75 + (perc_90 - perc_75) * (2/3), converted_stat, '2K_Ratings'!S757, IF(bbgm_stat &gt;= perc_95, converted_stat * 3, IF(bbgm_stat &gt;= perc_90, converted_stat * 2, IF(bbgm_stat &gt;= perc_85, converted_stat * 1.5, converted_stat)))))</f>
        <v/>
      </c>
      <c r="T757" s="30" t="str">
        <f t="array" ref="T757">IF($A757="", "", LET(bbgm_stat, INDEX(Players!$A756:$P756, MATCH(T$2, Players!$A$1:$P$1, 0)), perc_75, VLOOKUP(T$2, Percentiles!$A$45:$I$59, 6, FALSE), perc_90, VLOOKUP(T$2, Percentiles!$A$45:$I$59, 7, FALSE), perc_95, VLOOKUP(T$2, Percentiles!$A$45:$I$59, 8, FALSE), perc_85, perc_75 + (perc_90 - perc_75) * (2/3), converted_stat, '2K_Ratings'!T757, IF(bbgm_stat &gt;= perc_95, converted_stat * 3, IF(bbgm_stat &gt;= perc_90, converted_stat * 2, IF(bbgm_stat &gt;= perc_85, converted_stat * 1.5, converted_stat)))))</f>
        <v/>
      </c>
      <c r="U757" s="30" t="str">
        <f t="array" ref="U757">IF($A757="", "", LET(bbgm_stat, INDEX(Players!$A756:$P756, MATCH(U$2, Players!$A$1:$P$1, 0)), perc_75, VLOOKUP(U$2, Percentiles!$A$45:$I$59, 6, FALSE), perc_90, VLOOKUP(U$2, Percentiles!$A$45:$I$59, 7, FALSE), perc_95, VLOOKUP(U$2, Percentiles!$A$45:$I$59, 8, FALSE), perc_85, perc_75 + (perc_90 - perc_75) * (2/3), converted_stat, '2K_Ratings'!U757, IF(bbgm_stat &gt;= perc_95, converted_stat * 3, IF(bbgm_stat &gt;= perc_90, converted_stat * 2, IF(bbgm_stat &gt;= perc_85, converted_stat * 1.5, converted_stat)))))</f>
        <v/>
      </c>
      <c r="V757" s="30" t="str">
        <f t="array" ref="V757">IF($A757="", "", LET(bbgm_stat, INDEX(Players!$A756:$P756, MATCH(V$2, Players!$A$1:$P$1, 0)), perc_75, VLOOKUP(V$2, Percentiles!$A$45:$I$59, 6, FALSE), perc_90, VLOOKUP(V$2, Percentiles!$A$45:$I$59, 7, FALSE), perc_95, VLOOKUP(V$2, Percentiles!$A$45:$I$59, 8, FALSE), perc_85, perc_75 + (perc_90 - perc_75) * (2/3), converted_stat, '2K_Ratings'!V757, IF(bbgm_stat &gt;= perc_95, converted_stat * 3, IF(bbgm_stat &gt;= perc_90, converted_stat * 2, IF(bbgm_stat &gt;= perc_85, converted_stat * 1.5, converted_stat)))))</f>
        <v/>
      </c>
      <c r="W757" s="30" t="str">
        <f t="array" ref="W757">IF($A757="", "", LET(bbgm_stat, INDEX(Players!$A756:$P756, MATCH(W$2, Players!$A$1:$P$1, 0)), perc_75, VLOOKUP(W$2, Percentiles!$A$45:$I$59, 6, FALSE), perc_90, VLOOKUP(W$2, Percentiles!$A$45:$I$59, 7, FALSE), perc_95, VLOOKUP(W$2, Percentiles!$A$45:$I$59, 8, FALSE), perc_85, perc_75 + (perc_90 - perc_75) * (2/3), converted_stat, '2K_Ratings'!W757, IF(bbgm_stat &gt;= perc_95, converted_stat * 3, IF(bbgm_stat &gt;= perc_90, converted_stat * 2, IF(bbgm_stat &gt;= perc_85, converted_stat * 1.5, converted_stat)))))</f>
        <v/>
      </c>
    </row>
    <row r="758">
      <c r="A758" s="30"/>
      <c r="B758" s="30" t="str">
        <f t="array" ref="B758">IF($A758="", "", LET(bbgm_stat, INDEX(Players!$A757:$P757, MATCH(B$2, Players!$A$1:$P$1, 0)), perc_75, VLOOKUP(B$2, Percentiles!$A$45:$I$59, 6, FALSE), perc_90, VLOOKUP(B$2, Percentiles!$A$45:$I$59, 7, FALSE), perc_95, VLOOKUP(B$2, Percentiles!$A$45:$I$59, 8, FALSE), perc_85, perc_75 + (perc_90 - perc_75) * (2/3), converted_stat, '2K_Ratings'!B758, IF(bbgm_stat &gt;= perc_95, converted_stat * 3, IF(bbgm_stat &gt;= perc_90, converted_stat * 2, IF(bbgm_stat &gt;= perc_85, converted_stat * 1.5, converted_stat)))))</f>
        <v/>
      </c>
      <c r="C758" s="30" t="str">
        <f t="array" ref="C758">IF($A758="", "", LET(bbgm_stat, INDEX(Players!$A757:$P757, MATCH(C$2, Players!$A$1:$P$1, 0)), perc_75, VLOOKUP(C$2, Percentiles!$A$45:$I$59, 6, FALSE), perc_90, VLOOKUP(C$2, Percentiles!$A$45:$I$59, 7, FALSE), perc_95, VLOOKUP(C$2, Percentiles!$A$45:$I$59, 8, FALSE), perc_85, perc_75 + (perc_90 - perc_75) * (2/3), converted_stat, '2K_Ratings'!C758, IF(bbgm_stat &gt;= perc_95, converted_stat * 3, IF(bbgm_stat &gt;= perc_90, converted_stat * 2, IF(bbgm_stat &gt;= perc_85, converted_stat * 1.5, converted_stat)))))</f>
        <v/>
      </c>
      <c r="D758" s="30" t="str">
        <f t="array" ref="D758">IF($A758="", "", LET(bbgm_stat, INDEX(Players!$A757:$P757, MATCH(D$2, Players!$A$1:$P$1, 0)), perc_75, VLOOKUP(D$2, Percentiles!$A$45:$I$59, 6, FALSE), perc_90, VLOOKUP(D$2, Percentiles!$A$45:$I$59, 7, FALSE), perc_95, VLOOKUP(D$2, Percentiles!$A$45:$I$59, 8, FALSE), perc_85, perc_75 + (perc_90 - perc_75) * (2/3), converted_stat, '2K_Ratings'!D758, IF(bbgm_stat &gt;= perc_95, converted_stat * 3, IF(bbgm_stat &gt;= perc_90, converted_stat * 2, IF(bbgm_stat &gt;= perc_85, converted_stat * 1.5, converted_stat)))))</f>
        <v/>
      </c>
      <c r="E758" s="30" t="str">
        <f t="array" ref="E758">IF($A758="", "", LET(bbgm_stat, INDEX(Players!$A757:$P757, MATCH(E$2, Players!$A$1:$P$1, 0)), perc_75, VLOOKUP(E$2, Percentiles!$A$45:$I$59, 6, FALSE), perc_90, VLOOKUP(E$2, Percentiles!$A$45:$I$59, 7, FALSE), perc_95, VLOOKUP(E$2, Percentiles!$A$45:$I$59, 8, FALSE), perc_85, perc_75 + (perc_90 - perc_75) * (2/3), converted_stat, '2K_Ratings'!E758, IF(bbgm_stat &gt;= perc_95, converted_stat * 3, IF(bbgm_stat &gt;= perc_90, converted_stat * 2, IF(bbgm_stat &gt;= perc_85, converted_stat * 1.5, converted_stat)))))</f>
        <v/>
      </c>
      <c r="F758" s="30" t="str">
        <f t="array" ref="F758">IF($A758="", "", LET(bbgm_stat, INDEX(Players!$A757:$P757, MATCH(F$2, Players!$A$1:$P$1, 0)), perc_75, VLOOKUP(F$2, Percentiles!$A$45:$I$59, 6, FALSE), perc_90, VLOOKUP(F$2, Percentiles!$A$45:$I$59, 7, FALSE), perc_95, VLOOKUP(F$2, Percentiles!$A$45:$I$59, 8, FALSE), perc_85, perc_75 + (perc_90 - perc_75) * (2/3), converted_stat, '2K_Ratings'!F758, IF(bbgm_stat &gt;= perc_95, converted_stat * 3, IF(bbgm_stat &gt;= perc_90, converted_stat * 2, IF(bbgm_stat &gt;= perc_85, converted_stat * 1.5, converted_stat)))))</f>
        <v/>
      </c>
      <c r="G758" s="30" t="str">
        <f t="array" ref="G758">IF($A758="", "", LET(bbgm_stat, INDEX(Players!$A757:$P757, MATCH(G$2, Players!$A$1:$P$1, 0)), perc_75, VLOOKUP(G$2, Percentiles!$A$45:$I$59, 6, FALSE), perc_90, VLOOKUP(G$2, Percentiles!$A$45:$I$59, 7, FALSE), perc_95, VLOOKUP(G$2, Percentiles!$A$45:$I$59, 8, FALSE), perc_85, perc_75 + (perc_90 - perc_75) * (2/3), converted_stat, '2K_Ratings'!G758, IF(bbgm_stat &gt;= perc_95, converted_stat * 3, IF(bbgm_stat &gt;= perc_90, converted_stat * 2, IF(bbgm_stat &gt;= perc_85, converted_stat * 1.5, converted_stat)))))</f>
        <v/>
      </c>
      <c r="H758" s="30" t="str">
        <f t="array" ref="H758">IF($A758="", "", LET(bbgm_stat, INDEX(Players!$A757:$P757, MATCH(H$2, Players!$A$1:$P$1, 0)), perc_75, VLOOKUP(H$2, Percentiles!$A$45:$I$59, 6, FALSE), perc_90, VLOOKUP(H$2, Percentiles!$A$45:$I$59, 7, FALSE), perc_95, VLOOKUP(H$2, Percentiles!$A$45:$I$59, 8, FALSE), perc_85, perc_75 + (perc_90 - perc_75) * (2/3), converted_stat, '2K_Ratings'!H758, IF(bbgm_stat &gt;= perc_95, converted_stat * 3, IF(bbgm_stat &gt;= perc_90, converted_stat * 2, IF(bbgm_stat &gt;= perc_85, converted_stat * 1.5, converted_stat)))))</f>
        <v/>
      </c>
      <c r="I758" s="30" t="str">
        <f t="array" ref="I758">IF($A758="", "", LET(bbgm_stat, INDEX(Players!$A757:$P757, MATCH(I$2, Players!$A$1:$P$1, 0)), perc_75, VLOOKUP(I$2, Percentiles!$A$45:$I$59, 6, FALSE), perc_90, VLOOKUP(I$2, Percentiles!$A$45:$I$59, 7, FALSE), perc_95, VLOOKUP(I$2, Percentiles!$A$45:$I$59, 8, FALSE), perc_85, perc_75 + (perc_90 - perc_75) * (2/3), converted_stat, '2K_Ratings'!I758, IF(bbgm_stat &gt;= perc_95, converted_stat * 3, IF(bbgm_stat &gt;= perc_90, converted_stat * 2, IF(bbgm_stat &gt;= perc_85, converted_stat * 1.5, converted_stat)))))</f>
        <v/>
      </c>
      <c r="J758" s="30" t="str">
        <f t="array" ref="J758">IF($A758="", "", LET(bbgm_stat, INDEX(Players!$A757:$P757, MATCH(J$2, Players!$A$1:$P$1, 0)), perc_75, VLOOKUP(J$2, Percentiles!$A$45:$I$59, 6, FALSE), perc_90, VLOOKUP(J$2, Percentiles!$A$45:$I$59, 7, FALSE), perc_95, VLOOKUP(J$2, Percentiles!$A$45:$I$59, 8, FALSE), perc_85, perc_75 + (perc_90 - perc_75) * (2/3), converted_stat, '2K_Ratings'!J758, IF(bbgm_stat &gt;= perc_95, converted_stat * 3, IF(bbgm_stat &gt;= perc_90, converted_stat * 2, IF(bbgm_stat &gt;= perc_85, converted_stat * 1.5, converted_stat)))))</f>
        <v/>
      </c>
      <c r="K758" s="30" t="str">
        <f t="array" ref="K758">IF($A758="", "", LET(bbgm_stat, INDEX(Players!$A757:$P757, MATCH(K$2, Players!$A$1:$P$1, 0)), perc_75, VLOOKUP(K$2, Percentiles!$A$45:$I$59, 6, FALSE), perc_90, VLOOKUP(K$2, Percentiles!$A$45:$I$59, 7, FALSE), perc_95, VLOOKUP(K$2, Percentiles!$A$45:$I$59, 8, FALSE), perc_85, perc_75 + (perc_90 - perc_75) * (2/3), converted_stat, '2K_Ratings'!K758, IF(bbgm_stat &gt;= perc_95, converted_stat * 3, IF(bbgm_stat &gt;= perc_90, converted_stat * 2, IF(bbgm_stat &gt;= perc_85, converted_stat * 1.5, converted_stat)))))</f>
        <v/>
      </c>
      <c r="L758" s="30" t="str">
        <f t="array" ref="L758">IF($A758="", "", LET(bbgm_stat, INDEX(Players!$A757:$P757, MATCH(L$2, Players!$A$1:$P$1, 0)), perc_75, VLOOKUP(L$2, Percentiles!$A$45:$I$59, 6, FALSE), perc_90, VLOOKUP(L$2, Percentiles!$A$45:$I$59, 7, FALSE), perc_95, VLOOKUP(L$2, Percentiles!$A$45:$I$59, 8, FALSE), perc_85, perc_75 + (perc_90 - perc_75) * (2/3), converted_stat, '2K_Ratings'!L758, IF(bbgm_stat &gt;= perc_95, converted_stat * 3, IF(bbgm_stat &gt;= perc_90, converted_stat * 2, IF(bbgm_stat &gt;= perc_85, converted_stat * 1.5, converted_stat)))))</f>
        <v/>
      </c>
      <c r="M758" s="30" t="str">
        <f t="array" ref="M758">IF($A758="", "", LET(bbgm_stat, INDEX(Players!$A757:$P757, MATCH(M$2, Players!$A$1:$P$1, 0)), perc_75, VLOOKUP(M$2, Percentiles!$A$45:$I$59, 6, FALSE), perc_90, VLOOKUP(M$2, Percentiles!$A$45:$I$59, 7, FALSE), perc_95, VLOOKUP(M$2, Percentiles!$A$45:$I$59, 8, FALSE), perc_85, perc_75 + (perc_90 - perc_75) * (2/3), converted_stat, '2K_Ratings'!M758, IF(bbgm_stat &gt;= perc_95, converted_stat * 3, IF(bbgm_stat &gt;= perc_90, converted_stat * 2, IF(bbgm_stat &gt;= perc_85, converted_stat * 1.5, converted_stat)))))</f>
        <v/>
      </c>
      <c r="N758" s="30" t="str">
        <f t="array" ref="N758">IF($A758="", "", LET(bbgm_stat, INDEX(Players!$A757:$P757, MATCH(N$2, Players!$A$1:$P$1, 0)), perc_75, VLOOKUP(N$2, Percentiles!$A$45:$I$59, 6, FALSE), perc_90, VLOOKUP(N$2, Percentiles!$A$45:$I$59, 7, FALSE), perc_95, VLOOKUP(N$2, Percentiles!$A$45:$I$59, 8, FALSE), perc_85, perc_75 + (perc_90 - perc_75) * (2/3), converted_stat, '2K_Ratings'!N758, IF(bbgm_stat &gt;= perc_95, converted_stat * 3, IF(bbgm_stat &gt;= perc_90, converted_stat * 2, IF(bbgm_stat &gt;= perc_85, converted_stat * 1.5, converted_stat)))))</f>
        <v/>
      </c>
      <c r="O758" s="30" t="str">
        <f t="array" ref="O758">IF($A758="", "", LET(bbgm_stat, INDEX(Players!$A757:$P757, MATCH(O$2, Players!$A$1:$P$1, 0)), perc_75, VLOOKUP(O$2, Percentiles!$A$45:$I$59, 6, FALSE), perc_90, VLOOKUP(O$2, Percentiles!$A$45:$I$59, 7, FALSE), perc_95, VLOOKUP(O$2, Percentiles!$A$45:$I$59, 8, FALSE), perc_85, perc_75 + (perc_90 - perc_75) * (2/3), converted_stat, '2K_Ratings'!O758, IF(bbgm_stat &gt;= perc_95, converted_stat * 3, IF(bbgm_stat &gt;= perc_90, converted_stat * 2, IF(bbgm_stat &gt;= perc_85, converted_stat * 1.5, converted_stat)))))</f>
        <v/>
      </c>
      <c r="P758" s="30" t="str">
        <f t="array" ref="P758">IF($A758="", "", LET(bbgm_stat, INDEX(Players!$A757:$P757, MATCH(P$2, Players!$A$1:$P$1, 0)), perc_75, VLOOKUP(P$2, Percentiles!$A$45:$I$59, 6, FALSE), perc_90, VLOOKUP(P$2, Percentiles!$A$45:$I$59, 7, FALSE), perc_95, VLOOKUP(P$2, Percentiles!$A$45:$I$59, 8, FALSE), perc_85, perc_75 + (perc_90 - perc_75) * (2/3), converted_stat, '2K_Ratings'!P758, IF(bbgm_stat &gt;= perc_95, converted_stat * 3, IF(bbgm_stat &gt;= perc_90, converted_stat * 2, IF(bbgm_stat &gt;= perc_85, converted_stat * 1.5, converted_stat)))))</f>
        <v/>
      </c>
      <c r="Q758" s="30" t="str">
        <f t="array" ref="Q758">IF($A758="", "", LET(bbgm_stat, INDEX(Players!$A757:$P757, MATCH(Q$2, Players!$A$1:$P$1, 0)), perc_75, VLOOKUP(Q$2, Percentiles!$A$45:$I$59, 6, FALSE), perc_90, VLOOKUP(Q$2, Percentiles!$A$45:$I$59, 7, FALSE), perc_95, VLOOKUP(Q$2, Percentiles!$A$45:$I$59, 8, FALSE), perc_85, perc_75 + (perc_90 - perc_75) * (2/3), converted_stat, '2K_Ratings'!Q758, IF(bbgm_stat &gt;= perc_95, converted_stat * 3, IF(bbgm_stat &gt;= perc_90, converted_stat * 2, IF(bbgm_stat &gt;= perc_85, converted_stat * 1.5, converted_stat)))))</f>
        <v/>
      </c>
      <c r="R758" s="30" t="str">
        <f t="array" ref="R758">IF($A758="", "", LET(bbgm_stat, INDEX(Players!$A757:$P757, MATCH(R$2, Players!$A$1:$P$1, 0)), perc_75, VLOOKUP(R$2, Percentiles!$A$45:$I$59, 6, FALSE), perc_90, VLOOKUP(R$2, Percentiles!$A$45:$I$59, 7, FALSE), perc_95, VLOOKUP(R$2, Percentiles!$A$45:$I$59, 8, FALSE), perc_85, perc_75 + (perc_90 - perc_75) * (2/3), converted_stat, '2K_Ratings'!R758, IF(bbgm_stat &gt;= perc_95, converted_stat * 3, IF(bbgm_stat &gt;= perc_90, converted_stat * 2, IF(bbgm_stat &gt;= perc_85, converted_stat * 1.5, converted_stat)))))</f>
        <v/>
      </c>
      <c r="S758" s="30" t="str">
        <f t="array" ref="S758">IF($A758="", "", LET(bbgm_stat, INDEX(Players!$A757:$P757, MATCH(S$2, Players!$A$1:$P$1, 0)), perc_75, VLOOKUP(S$2, Percentiles!$A$45:$I$59, 6, FALSE), perc_90, VLOOKUP(S$2, Percentiles!$A$45:$I$59, 7, FALSE), perc_95, VLOOKUP(S$2, Percentiles!$A$45:$I$59, 8, FALSE), perc_85, perc_75 + (perc_90 - perc_75) * (2/3), converted_stat, '2K_Ratings'!S758, IF(bbgm_stat &gt;= perc_95, converted_stat * 3, IF(bbgm_stat &gt;= perc_90, converted_stat * 2, IF(bbgm_stat &gt;= perc_85, converted_stat * 1.5, converted_stat)))))</f>
        <v/>
      </c>
      <c r="T758" s="30" t="str">
        <f t="array" ref="T758">IF($A758="", "", LET(bbgm_stat, INDEX(Players!$A757:$P757, MATCH(T$2, Players!$A$1:$P$1, 0)), perc_75, VLOOKUP(T$2, Percentiles!$A$45:$I$59, 6, FALSE), perc_90, VLOOKUP(T$2, Percentiles!$A$45:$I$59, 7, FALSE), perc_95, VLOOKUP(T$2, Percentiles!$A$45:$I$59, 8, FALSE), perc_85, perc_75 + (perc_90 - perc_75) * (2/3), converted_stat, '2K_Ratings'!T758, IF(bbgm_stat &gt;= perc_95, converted_stat * 3, IF(bbgm_stat &gt;= perc_90, converted_stat * 2, IF(bbgm_stat &gt;= perc_85, converted_stat * 1.5, converted_stat)))))</f>
        <v/>
      </c>
      <c r="U758" s="30" t="str">
        <f t="array" ref="U758">IF($A758="", "", LET(bbgm_stat, INDEX(Players!$A757:$P757, MATCH(U$2, Players!$A$1:$P$1, 0)), perc_75, VLOOKUP(U$2, Percentiles!$A$45:$I$59, 6, FALSE), perc_90, VLOOKUP(U$2, Percentiles!$A$45:$I$59, 7, FALSE), perc_95, VLOOKUP(U$2, Percentiles!$A$45:$I$59, 8, FALSE), perc_85, perc_75 + (perc_90 - perc_75) * (2/3), converted_stat, '2K_Ratings'!U758, IF(bbgm_stat &gt;= perc_95, converted_stat * 3, IF(bbgm_stat &gt;= perc_90, converted_stat * 2, IF(bbgm_stat &gt;= perc_85, converted_stat * 1.5, converted_stat)))))</f>
        <v/>
      </c>
      <c r="V758" s="30" t="str">
        <f t="array" ref="V758">IF($A758="", "", LET(bbgm_stat, INDEX(Players!$A757:$P757, MATCH(V$2, Players!$A$1:$P$1, 0)), perc_75, VLOOKUP(V$2, Percentiles!$A$45:$I$59, 6, FALSE), perc_90, VLOOKUP(V$2, Percentiles!$A$45:$I$59, 7, FALSE), perc_95, VLOOKUP(V$2, Percentiles!$A$45:$I$59, 8, FALSE), perc_85, perc_75 + (perc_90 - perc_75) * (2/3), converted_stat, '2K_Ratings'!V758, IF(bbgm_stat &gt;= perc_95, converted_stat * 3, IF(bbgm_stat &gt;= perc_90, converted_stat * 2, IF(bbgm_stat &gt;= perc_85, converted_stat * 1.5, converted_stat)))))</f>
        <v/>
      </c>
      <c r="W758" s="30" t="str">
        <f t="array" ref="W758">IF($A758="", "", LET(bbgm_stat, INDEX(Players!$A757:$P757, MATCH(W$2, Players!$A$1:$P$1, 0)), perc_75, VLOOKUP(W$2, Percentiles!$A$45:$I$59, 6, FALSE), perc_90, VLOOKUP(W$2, Percentiles!$A$45:$I$59, 7, FALSE), perc_95, VLOOKUP(W$2, Percentiles!$A$45:$I$59, 8, FALSE), perc_85, perc_75 + (perc_90 - perc_75) * (2/3), converted_stat, '2K_Ratings'!W758, IF(bbgm_stat &gt;= perc_95, converted_stat * 3, IF(bbgm_stat &gt;= perc_90, converted_stat * 2, IF(bbgm_stat &gt;= perc_85, converted_stat * 1.5, converted_stat)))))</f>
        <v/>
      </c>
    </row>
    <row r="759">
      <c r="A759" s="30"/>
      <c r="B759" s="30" t="str">
        <f t="array" ref="B759">IF($A759="", "", LET(bbgm_stat, INDEX(Players!$A758:$P758, MATCH(B$2, Players!$A$1:$P$1, 0)), perc_75, VLOOKUP(B$2, Percentiles!$A$45:$I$59, 6, FALSE), perc_90, VLOOKUP(B$2, Percentiles!$A$45:$I$59, 7, FALSE), perc_95, VLOOKUP(B$2, Percentiles!$A$45:$I$59, 8, FALSE), perc_85, perc_75 + (perc_90 - perc_75) * (2/3), converted_stat, '2K_Ratings'!B759, IF(bbgm_stat &gt;= perc_95, converted_stat * 3, IF(bbgm_stat &gt;= perc_90, converted_stat * 2, IF(bbgm_stat &gt;= perc_85, converted_stat * 1.5, converted_stat)))))</f>
        <v/>
      </c>
      <c r="C759" s="30" t="str">
        <f t="array" ref="C759">IF($A759="", "", LET(bbgm_stat, INDEX(Players!$A758:$P758, MATCH(C$2, Players!$A$1:$P$1, 0)), perc_75, VLOOKUP(C$2, Percentiles!$A$45:$I$59, 6, FALSE), perc_90, VLOOKUP(C$2, Percentiles!$A$45:$I$59, 7, FALSE), perc_95, VLOOKUP(C$2, Percentiles!$A$45:$I$59, 8, FALSE), perc_85, perc_75 + (perc_90 - perc_75) * (2/3), converted_stat, '2K_Ratings'!C759, IF(bbgm_stat &gt;= perc_95, converted_stat * 3, IF(bbgm_stat &gt;= perc_90, converted_stat * 2, IF(bbgm_stat &gt;= perc_85, converted_stat * 1.5, converted_stat)))))</f>
        <v/>
      </c>
      <c r="D759" s="30" t="str">
        <f t="array" ref="D759">IF($A759="", "", LET(bbgm_stat, INDEX(Players!$A758:$P758, MATCH(D$2, Players!$A$1:$P$1, 0)), perc_75, VLOOKUP(D$2, Percentiles!$A$45:$I$59, 6, FALSE), perc_90, VLOOKUP(D$2, Percentiles!$A$45:$I$59, 7, FALSE), perc_95, VLOOKUP(D$2, Percentiles!$A$45:$I$59, 8, FALSE), perc_85, perc_75 + (perc_90 - perc_75) * (2/3), converted_stat, '2K_Ratings'!D759, IF(bbgm_stat &gt;= perc_95, converted_stat * 3, IF(bbgm_stat &gt;= perc_90, converted_stat * 2, IF(bbgm_stat &gt;= perc_85, converted_stat * 1.5, converted_stat)))))</f>
        <v/>
      </c>
      <c r="E759" s="30" t="str">
        <f t="array" ref="E759">IF($A759="", "", LET(bbgm_stat, INDEX(Players!$A758:$P758, MATCH(E$2, Players!$A$1:$P$1, 0)), perc_75, VLOOKUP(E$2, Percentiles!$A$45:$I$59, 6, FALSE), perc_90, VLOOKUP(E$2, Percentiles!$A$45:$I$59, 7, FALSE), perc_95, VLOOKUP(E$2, Percentiles!$A$45:$I$59, 8, FALSE), perc_85, perc_75 + (perc_90 - perc_75) * (2/3), converted_stat, '2K_Ratings'!E759, IF(bbgm_stat &gt;= perc_95, converted_stat * 3, IF(bbgm_stat &gt;= perc_90, converted_stat * 2, IF(bbgm_stat &gt;= perc_85, converted_stat * 1.5, converted_stat)))))</f>
        <v/>
      </c>
      <c r="F759" s="30" t="str">
        <f t="array" ref="F759">IF($A759="", "", LET(bbgm_stat, INDEX(Players!$A758:$P758, MATCH(F$2, Players!$A$1:$P$1, 0)), perc_75, VLOOKUP(F$2, Percentiles!$A$45:$I$59, 6, FALSE), perc_90, VLOOKUP(F$2, Percentiles!$A$45:$I$59, 7, FALSE), perc_95, VLOOKUP(F$2, Percentiles!$A$45:$I$59, 8, FALSE), perc_85, perc_75 + (perc_90 - perc_75) * (2/3), converted_stat, '2K_Ratings'!F759, IF(bbgm_stat &gt;= perc_95, converted_stat * 3, IF(bbgm_stat &gt;= perc_90, converted_stat * 2, IF(bbgm_stat &gt;= perc_85, converted_stat * 1.5, converted_stat)))))</f>
        <v/>
      </c>
      <c r="G759" s="30" t="str">
        <f t="array" ref="G759">IF($A759="", "", LET(bbgm_stat, INDEX(Players!$A758:$P758, MATCH(G$2, Players!$A$1:$P$1, 0)), perc_75, VLOOKUP(G$2, Percentiles!$A$45:$I$59, 6, FALSE), perc_90, VLOOKUP(G$2, Percentiles!$A$45:$I$59, 7, FALSE), perc_95, VLOOKUP(G$2, Percentiles!$A$45:$I$59, 8, FALSE), perc_85, perc_75 + (perc_90 - perc_75) * (2/3), converted_stat, '2K_Ratings'!G759, IF(bbgm_stat &gt;= perc_95, converted_stat * 3, IF(bbgm_stat &gt;= perc_90, converted_stat * 2, IF(bbgm_stat &gt;= perc_85, converted_stat * 1.5, converted_stat)))))</f>
        <v/>
      </c>
      <c r="H759" s="30" t="str">
        <f t="array" ref="H759">IF($A759="", "", LET(bbgm_stat, INDEX(Players!$A758:$P758, MATCH(H$2, Players!$A$1:$P$1, 0)), perc_75, VLOOKUP(H$2, Percentiles!$A$45:$I$59, 6, FALSE), perc_90, VLOOKUP(H$2, Percentiles!$A$45:$I$59, 7, FALSE), perc_95, VLOOKUP(H$2, Percentiles!$A$45:$I$59, 8, FALSE), perc_85, perc_75 + (perc_90 - perc_75) * (2/3), converted_stat, '2K_Ratings'!H759, IF(bbgm_stat &gt;= perc_95, converted_stat * 3, IF(bbgm_stat &gt;= perc_90, converted_stat * 2, IF(bbgm_stat &gt;= perc_85, converted_stat * 1.5, converted_stat)))))</f>
        <v/>
      </c>
      <c r="I759" s="30" t="str">
        <f t="array" ref="I759">IF($A759="", "", LET(bbgm_stat, INDEX(Players!$A758:$P758, MATCH(I$2, Players!$A$1:$P$1, 0)), perc_75, VLOOKUP(I$2, Percentiles!$A$45:$I$59, 6, FALSE), perc_90, VLOOKUP(I$2, Percentiles!$A$45:$I$59, 7, FALSE), perc_95, VLOOKUP(I$2, Percentiles!$A$45:$I$59, 8, FALSE), perc_85, perc_75 + (perc_90 - perc_75) * (2/3), converted_stat, '2K_Ratings'!I759, IF(bbgm_stat &gt;= perc_95, converted_stat * 3, IF(bbgm_stat &gt;= perc_90, converted_stat * 2, IF(bbgm_stat &gt;= perc_85, converted_stat * 1.5, converted_stat)))))</f>
        <v/>
      </c>
      <c r="J759" s="30" t="str">
        <f t="array" ref="J759">IF($A759="", "", LET(bbgm_stat, INDEX(Players!$A758:$P758, MATCH(J$2, Players!$A$1:$P$1, 0)), perc_75, VLOOKUP(J$2, Percentiles!$A$45:$I$59, 6, FALSE), perc_90, VLOOKUP(J$2, Percentiles!$A$45:$I$59, 7, FALSE), perc_95, VLOOKUP(J$2, Percentiles!$A$45:$I$59, 8, FALSE), perc_85, perc_75 + (perc_90 - perc_75) * (2/3), converted_stat, '2K_Ratings'!J759, IF(bbgm_stat &gt;= perc_95, converted_stat * 3, IF(bbgm_stat &gt;= perc_90, converted_stat * 2, IF(bbgm_stat &gt;= perc_85, converted_stat * 1.5, converted_stat)))))</f>
        <v/>
      </c>
      <c r="K759" s="30" t="str">
        <f t="array" ref="K759">IF($A759="", "", LET(bbgm_stat, INDEX(Players!$A758:$P758, MATCH(K$2, Players!$A$1:$P$1, 0)), perc_75, VLOOKUP(K$2, Percentiles!$A$45:$I$59, 6, FALSE), perc_90, VLOOKUP(K$2, Percentiles!$A$45:$I$59, 7, FALSE), perc_95, VLOOKUP(K$2, Percentiles!$A$45:$I$59, 8, FALSE), perc_85, perc_75 + (perc_90 - perc_75) * (2/3), converted_stat, '2K_Ratings'!K759, IF(bbgm_stat &gt;= perc_95, converted_stat * 3, IF(bbgm_stat &gt;= perc_90, converted_stat * 2, IF(bbgm_stat &gt;= perc_85, converted_stat * 1.5, converted_stat)))))</f>
        <v/>
      </c>
      <c r="L759" s="30" t="str">
        <f t="array" ref="L759">IF($A759="", "", LET(bbgm_stat, INDEX(Players!$A758:$P758, MATCH(L$2, Players!$A$1:$P$1, 0)), perc_75, VLOOKUP(L$2, Percentiles!$A$45:$I$59, 6, FALSE), perc_90, VLOOKUP(L$2, Percentiles!$A$45:$I$59, 7, FALSE), perc_95, VLOOKUP(L$2, Percentiles!$A$45:$I$59, 8, FALSE), perc_85, perc_75 + (perc_90 - perc_75) * (2/3), converted_stat, '2K_Ratings'!L759, IF(bbgm_stat &gt;= perc_95, converted_stat * 3, IF(bbgm_stat &gt;= perc_90, converted_stat * 2, IF(bbgm_stat &gt;= perc_85, converted_stat * 1.5, converted_stat)))))</f>
        <v/>
      </c>
      <c r="M759" s="30" t="str">
        <f t="array" ref="M759">IF($A759="", "", LET(bbgm_stat, INDEX(Players!$A758:$P758, MATCH(M$2, Players!$A$1:$P$1, 0)), perc_75, VLOOKUP(M$2, Percentiles!$A$45:$I$59, 6, FALSE), perc_90, VLOOKUP(M$2, Percentiles!$A$45:$I$59, 7, FALSE), perc_95, VLOOKUP(M$2, Percentiles!$A$45:$I$59, 8, FALSE), perc_85, perc_75 + (perc_90 - perc_75) * (2/3), converted_stat, '2K_Ratings'!M759, IF(bbgm_stat &gt;= perc_95, converted_stat * 3, IF(bbgm_stat &gt;= perc_90, converted_stat * 2, IF(bbgm_stat &gt;= perc_85, converted_stat * 1.5, converted_stat)))))</f>
        <v/>
      </c>
      <c r="N759" s="30" t="str">
        <f t="array" ref="N759">IF($A759="", "", LET(bbgm_stat, INDEX(Players!$A758:$P758, MATCH(N$2, Players!$A$1:$P$1, 0)), perc_75, VLOOKUP(N$2, Percentiles!$A$45:$I$59, 6, FALSE), perc_90, VLOOKUP(N$2, Percentiles!$A$45:$I$59, 7, FALSE), perc_95, VLOOKUP(N$2, Percentiles!$A$45:$I$59, 8, FALSE), perc_85, perc_75 + (perc_90 - perc_75) * (2/3), converted_stat, '2K_Ratings'!N759, IF(bbgm_stat &gt;= perc_95, converted_stat * 3, IF(bbgm_stat &gt;= perc_90, converted_stat * 2, IF(bbgm_stat &gt;= perc_85, converted_stat * 1.5, converted_stat)))))</f>
        <v/>
      </c>
      <c r="O759" s="30" t="str">
        <f t="array" ref="O759">IF($A759="", "", LET(bbgm_stat, INDEX(Players!$A758:$P758, MATCH(O$2, Players!$A$1:$P$1, 0)), perc_75, VLOOKUP(O$2, Percentiles!$A$45:$I$59, 6, FALSE), perc_90, VLOOKUP(O$2, Percentiles!$A$45:$I$59, 7, FALSE), perc_95, VLOOKUP(O$2, Percentiles!$A$45:$I$59, 8, FALSE), perc_85, perc_75 + (perc_90 - perc_75) * (2/3), converted_stat, '2K_Ratings'!O759, IF(bbgm_stat &gt;= perc_95, converted_stat * 3, IF(bbgm_stat &gt;= perc_90, converted_stat * 2, IF(bbgm_stat &gt;= perc_85, converted_stat * 1.5, converted_stat)))))</f>
        <v/>
      </c>
      <c r="P759" s="30" t="str">
        <f t="array" ref="P759">IF($A759="", "", LET(bbgm_stat, INDEX(Players!$A758:$P758, MATCH(P$2, Players!$A$1:$P$1, 0)), perc_75, VLOOKUP(P$2, Percentiles!$A$45:$I$59, 6, FALSE), perc_90, VLOOKUP(P$2, Percentiles!$A$45:$I$59, 7, FALSE), perc_95, VLOOKUP(P$2, Percentiles!$A$45:$I$59, 8, FALSE), perc_85, perc_75 + (perc_90 - perc_75) * (2/3), converted_stat, '2K_Ratings'!P759, IF(bbgm_stat &gt;= perc_95, converted_stat * 3, IF(bbgm_stat &gt;= perc_90, converted_stat * 2, IF(bbgm_stat &gt;= perc_85, converted_stat * 1.5, converted_stat)))))</f>
        <v/>
      </c>
      <c r="Q759" s="30" t="str">
        <f t="array" ref="Q759">IF($A759="", "", LET(bbgm_stat, INDEX(Players!$A758:$P758, MATCH(Q$2, Players!$A$1:$P$1, 0)), perc_75, VLOOKUP(Q$2, Percentiles!$A$45:$I$59, 6, FALSE), perc_90, VLOOKUP(Q$2, Percentiles!$A$45:$I$59, 7, FALSE), perc_95, VLOOKUP(Q$2, Percentiles!$A$45:$I$59, 8, FALSE), perc_85, perc_75 + (perc_90 - perc_75) * (2/3), converted_stat, '2K_Ratings'!Q759, IF(bbgm_stat &gt;= perc_95, converted_stat * 3, IF(bbgm_stat &gt;= perc_90, converted_stat * 2, IF(bbgm_stat &gt;= perc_85, converted_stat * 1.5, converted_stat)))))</f>
        <v/>
      </c>
      <c r="R759" s="30" t="str">
        <f t="array" ref="R759">IF($A759="", "", LET(bbgm_stat, INDEX(Players!$A758:$P758, MATCH(R$2, Players!$A$1:$P$1, 0)), perc_75, VLOOKUP(R$2, Percentiles!$A$45:$I$59, 6, FALSE), perc_90, VLOOKUP(R$2, Percentiles!$A$45:$I$59, 7, FALSE), perc_95, VLOOKUP(R$2, Percentiles!$A$45:$I$59, 8, FALSE), perc_85, perc_75 + (perc_90 - perc_75) * (2/3), converted_stat, '2K_Ratings'!R759, IF(bbgm_stat &gt;= perc_95, converted_stat * 3, IF(bbgm_stat &gt;= perc_90, converted_stat * 2, IF(bbgm_stat &gt;= perc_85, converted_stat * 1.5, converted_stat)))))</f>
        <v/>
      </c>
      <c r="S759" s="30" t="str">
        <f t="array" ref="S759">IF($A759="", "", LET(bbgm_stat, INDEX(Players!$A758:$P758, MATCH(S$2, Players!$A$1:$P$1, 0)), perc_75, VLOOKUP(S$2, Percentiles!$A$45:$I$59, 6, FALSE), perc_90, VLOOKUP(S$2, Percentiles!$A$45:$I$59, 7, FALSE), perc_95, VLOOKUP(S$2, Percentiles!$A$45:$I$59, 8, FALSE), perc_85, perc_75 + (perc_90 - perc_75) * (2/3), converted_stat, '2K_Ratings'!S759, IF(bbgm_stat &gt;= perc_95, converted_stat * 3, IF(bbgm_stat &gt;= perc_90, converted_stat * 2, IF(bbgm_stat &gt;= perc_85, converted_stat * 1.5, converted_stat)))))</f>
        <v/>
      </c>
      <c r="T759" s="30" t="str">
        <f t="array" ref="T759">IF($A759="", "", LET(bbgm_stat, INDEX(Players!$A758:$P758, MATCH(T$2, Players!$A$1:$P$1, 0)), perc_75, VLOOKUP(T$2, Percentiles!$A$45:$I$59, 6, FALSE), perc_90, VLOOKUP(T$2, Percentiles!$A$45:$I$59, 7, FALSE), perc_95, VLOOKUP(T$2, Percentiles!$A$45:$I$59, 8, FALSE), perc_85, perc_75 + (perc_90 - perc_75) * (2/3), converted_stat, '2K_Ratings'!T759, IF(bbgm_stat &gt;= perc_95, converted_stat * 3, IF(bbgm_stat &gt;= perc_90, converted_stat * 2, IF(bbgm_stat &gt;= perc_85, converted_stat * 1.5, converted_stat)))))</f>
        <v/>
      </c>
      <c r="U759" s="30" t="str">
        <f t="array" ref="U759">IF($A759="", "", LET(bbgm_stat, INDEX(Players!$A758:$P758, MATCH(U$2, Players!$A$1:$P$1, 0)), perc_75, VLOOKUP(U$2, Percentiles!$A$45:$I$59, 6, FALSE), perc_90, VLOOKUP(U$2, Percentiles!$A$45:$I$59, 7, FALSE), perc_95, VLOOKUP(U$2, Percentiles!$A$45:$I$59, 8, FALSE), perc_85, perc_75 + (perc_90 - perc_75) * (2/3), converted_stat, '2K_Ratings'!U759, IF(bbgm_stat &gt;= perc_95, converted_stat * 3, IF(bbgm_stat &gt;= perc_90, converted_stat * 2, IF(bbgm_stat &gt;= perc_85, converted_stat * 1.5, converted_stat)))))</f>
        <v/>
      </c>
      <c r="V759" s="30" t="str">
        <f t="array" ref="V759">IF($A759="", "", LET(bbgm_stat, INDEX(Players!$A758:$P758, MATCH(V$2, Players!$A$1:$P$1, 0)), perc_75, VLOOKUP(V$2, Percentiles!$A$45:$I$59, 6, FALSE), perc_90, VLOOKUP(V$2, Percentiles!$A$45:$I$59, 7, FALSE), perc_95, VLOOKUP(V$2, Percentiles!$A$45:$I$59, 8, FALSE), perc_85, perc_75 + (perc_90 - perc_75) * (2/3), converted_stat, '2K_Ratings'!V759, IF(bbgm_stat &gt;= perc_95, converted_stat * 3, IF(bbgm_stat &gt;= perc_90, converted_stat * 2, IF(bbgm_stat &gt;= perc_85, converted_stat * 1.5, converted_stat)))))</f>
        <v/>
      </c>
      <c r="W759" s="30" t="str">
        <f t="array" ref="W759">IF($A759="", "", LET(bbgm_stat, INDEX(Players!$A758:$P758, MATCH(W$2, Players!$A$1:$P$1, 0)), perc_75, VLOOKUP(W$2, Percentiles!$A$45:$I$59, 6, FALSE), perc_90, VLOOKUP(W$2, Percentiles!$A$45:$I$59, 7, FALSE), perc_95, VLOOKUP(W$2, Percentiles!$A$45:$I$59, 8, FALSE), perc_85, perc_75 + (perc_90 - perc_75) * (2/3), converted_stat, '2K_Ratings'!W759, IF(bbgm_stat &gt;= perc_95, converted_stat * 3, IF(bbgm_stat &gt;= perc_90, converted_stat * 2, IF(bbgm_stat &gt;= perc_85, converted_stat * 1.5, converted_stat)))))</f>
        <v/>
      </c>
    </row>
    <row r="760">
      <c r="A760" s="30"/>
      <c r="B760" s="30" t="str">
        <f t="array" ref="B760">IF($A760="", "", LET(bbgm_stat, INDEX(Players!$A759:$P759, MATCH(B$2, Players!$A$1:$P$1, 0)), perc_75, VLOOKUP(B$2, Percentiles!$A$45:$I$59, 6, FALSE), perc_90, VLOOKUP(B$2, Percentiles!$A$45:$I$59, 7, FALSE), perc_95, VLOOKUP(B$2, Percentiles!$A$45:$I$59, 8, FALSE), perc_85, perc_75 + (perc_90 - perc_75) * (2/3), converted_stat, '2K_Ratings'!B760, IF(bbgm_stat &gt;= perc_95, converted_stat * 3, IF(bbgm_stat &gt;= perc_90, converted_stat * 2, IF(bbgm_stat &gt;= perc_85, converted_stat * 1.5, converted_stat)))))</f>
        <v/>
      </c>
      <c r="C760" s="30" t="str">
        <f t="array" ref="C760">IF($A760="", "", LET(bbgm_stat, INDEX(Players!$A759:$P759, MATCH(C$2, Players!$A$1:$P$1, 0)), perc_75, VLOOKUP(C$2, Percentiles!$A$45:$I$59, 6, FALSE), perc_90, VLOOKUP(C$2, Percentiles!$A$45:$I$59, 7, FALSE), perc_95, VLOOKUP(C$2, Percentiles!$A$45:$I$59, 8, FALSE), perc_85, perc_75 + (perc_90 - perc_75) * (2/3), converted_stat, '2K_Ratings'!C760, IF(bbgm_stat &gt;= perc_95, converted_stat * 3, IF(bbgm_stat &gt;= perc_90, converted_stat * 2, IF(bbgm_stat &gt;= perc_85, converted_stat * 1.5, converted_stat)))))</f>
        <v/>
      </c>
      <c r="D760" s="30" t="str">
        <f t="array" ref="D760">IF($A760="", "", LET(bbgm_stat, INDEX(Players!$A759:$P759, MATCH(D$2, Players!$A$1:$P$1, 0)), perc_75, VLOOKUP(D$2, Percentiles!$A$45:$I$59, 6, FALSE), perc_90, VLOOKUP(D$2, Percentiles!$A$45:$I$59, 7, FALSE), perc_95, VLOOKUP(D$2, Percentiles!$A$45:$I$59, 8, FALSE), perc_85, perc_75 + (perc_90 - perc_75) * (2/3), converted_stat, '2K_Ratings'!D760, IF(bbgm_stat &gt;= perc_95, converted_stat * 3, IF(bbgm_stat &gt;= perc_90, converted_stat * 2, IF(bbgm_stat &gt;= perc_85, converted_stat * 1.5, converted_stat)))))</f>
        <v/>
      </c>
      <c r="E760" s="30" t="str">
        <f t="array" ref="E760">IF($A760="", "", LET(bbgm_stat, INDEX(Players!$A759:$P759, MATCH(E$2, Players!$A$1:$P$1, 0)), perc_75, VLOOKUP(E$2, Percentiles!$A$45:$I$59, 6, FALSE), perc_90, VLOOKUP(E$2, Percentiles!$A$45:$I$59, 7, FALSE), perc_95, VLOOKUP(E$2, Percentiles!$A$45:$I$59, 8, FALSE), perc_85, perc_75 + (perc_90 - perc_75) * (2/3), converted_stat, '2K_Ratings'!E760, IF(bbgm_stat &gt;= perc_95, converted_stat * 3, IF(bbgm_stat &gt;= perc_90, converted_stat * 2, IF(bbgm_stat &gt;= perc_85, converted_stat * 1.5, converted_stat)))))</f>
        <v/>
      </c>
      <c r="F760" s="30" t="str">
        <f t="array" ref="F760">IF($A760="", "", LET(bbgm_stat, INDEX(Players!$A759:$P759, MATCH(F$2, Players!$A$1:$P$1, 0)), perc_75, VLOOKUP(F$2, Percentiles!$A$45:$I$59, 6, FALSE), perc_90, VLOOKUP(F$2, Percentiles!$A$45:$I$59, 7, FALSE), perc_95, VLOOKUP(F$2, Percentiles!$A$45:$I$59, 8, FALSE), perc_85, perc_75 + (perc_90 - perc_75) * (2/3), converted_stat, '2K_Ratings'!F760, IF(bbgm_stat &gt;= perc_95, converted_stat * 3, IF(bbgm_stat &gt;= perc_90, converted_stat * 2, IF(bbgm_stat &gt;= perc_85, converted_stat * 1.5, converted_stat)))))</f>
        <v/>
      </c>
      <c r="G760" s="30" t="str">
        <f t="array" ref="G760">IF($A760="", "", LET(bbgm_stat, INDEX(Players!$A759:$P759, MATCH(G$2, Players!$A$1:$P$1, 0)), perc_75, VLOOKUP(G$2, Percentiles!$A$45:$I$59, 6, FALSE), perc_90, VLOOKUP(G$2, Percentiles!$A$45:$I$59, 7, FALSE), perc_95, VLOOKUP(G$2, Percentiles!$A$45:$I$59, 8, FALSE), perc_85, perc_75 + (perc_90 - perc_75) * (2/3), converted_stat, '2K_Ratings'!G760, IF(bbgm_stat &gt;= perc_95, converted_stat * 3, IF(bbgm_stat &gt;= perc_90, converted_stat * 2, IF(bbgm_stat &gt;= perc_85, converted_stat * 1.5, converted_stat)))))</f>
        <v/>
      </c>
      <c r="H760" s="30" t="str">
        <f t="array" ref="H760">IF($A760="", "", LET(bbgm_stat, INDEX(Players!$A759:$P759, MATCH(H$2, Players!$A$1:$P$1, 0)), perc_75, VLOOKUP(H$2, Percentiles!$A$45:$I$59, 6, FALSE), perc_90, VLOOKUP(H$2, Percentiles!$A$45:$I$59, 7, FALSE), perc_95, VLOOKUP(H$2, Percentiles!$A$45:$I$59, 8, FALSE), perc_85, perc_75 + (perc_90 - perc_75) * (2/3), converted_stat, '2K_Ratings'!H760, IF(bbgm_stat &gt;= perc_95, converted_stat * 3, IF(bbgm_stat &gt;= perc_90, converted_stat * 2, IF(bbgm_stat &gt;= perc_85, converted_stat * 1.5, converted_stat)))))</f>
        <v/>
      </c>
      <c r="I760" s="30" t="str">
        <f t="array" ref="I760">IF($A760="", "", LET(bbgm_stat, INDEX(Players!$A759:$P759, MATCH(I$2, Players!$A$1:$P$1, 0)), perc_75, VLOOKUP(I$2, Percentiles!$A$45:$I$59, 6, FALSE), perc_90, VLOOKUP(I$2, Percentiles!$A$45:$I$59, 7, FALSE), perc_95, VLOOKUP(I$2, Percentiles!$A$45:$I$59, 8, FALSE), perc_85, perc_75 + (perc_90 - perc_75) * (2/3), converted_stat, '2K_Ratings'!I760, IF(bbgm_stat &gt;= perc_95, converted_stat * 3, IF(bbgm_stat &gt;= perc_90, converted_stat * 2, IF(bbgm_stat &gt;= perc_85, converted_stat * 1.5, converted_stat)))))</f>
        <v/>
      </c>
      <c r="J760" s="30" t="str">
        <f t="array" ref="J760">IF($A760="", "", LET(bbgm_stat, INDEX(Players!$A759:$P759, MATCH(J$2, Players!$A$1:$P$1, 0)), perc_75, VLOOKUP(J$2, Percentiles!$A$45:$I$59, 6, FALSE), perc_90, VLOOKUP(J$2, Percentiles!$A$45:$I$59, 7, FALSE), perc_95, VLOOKUP(J$2, Percentiles!$A$45:$I$59, 8, FALSE), perc_85, perc_75 + (perc_90 - perc_75) * (2/3), converted_stat, '2K_Ratings'!J760, IF(bbgm_stat &gt;= perc_95, converted_stat * 3, IF(bbgm_stat &gt;= perc_90, converted_stat * 2, IF(bbgm_stat &gt;= perc_85, converted_stat * 1.5, converted_stat)))))</f>
        <v/>
      </c>
      <c r="K760" s="30" t="str">
        <f t="array" ref="K760">IF($A760="", "", LET(bbgm_stat, INDEX(Players!$A759:$P759, MATCH(K$2, Players!$A$1:$P$1, 0)), perc_75, VLOOKUP(K$2, Percentiles!$A$45:$I$59, 6, FALSE), perc_90, VLOOKUP(K$2, Percentiles!$A$45:$I$59, 7, FALSE), perc_95, VLOOKUP(K$2, Percentiles!$A$45:$I$59, 8, FALSE), perc_85, perc_75 + (perc_90 - perc_75) * (2/3), converted_stat, '2K_Ratings'!K760, IF(bbgm_stat &gt;= perc_95, converted_stat * 3, IF(bbgm_stat &gt;= perc_90, converted_stat * 2, IF(bbgm_stat &gt;= perc_85, converted_stat * 1.5, converted_stat)))))</f>
        <v/>
      </c>
      <c r="L760" s="30" t="str">
        <f t="array" ref="L760">IF($A760="", "", LET(bbgm_stat, INDEX(Players!$A759:$P759, MATCH(L$2, Players!$A$1:$P$1, 0)), perc_75, VLOOKUP(L$2, Percentiles!$A$45:$I$59, 6, FALSE), perc_90, VLOOKUP(L$2, Percentiles!$A$45:$I$59, 7, FALSE), perc_95, VLOOKUP(L$2, Percentiles!$A$45:$I$59, 8, FALSE), perc_85, perc_75 + (perc_90 - perc_75) * (2/3), converted_stat, '2K_Ratings'!L760, IF(bbgm_stat &gt;= perc_95, converted_stat * 3, IF(bbgm_stat &gt;= perc_90, converted_stat * 2, IF(bbgm_stat &gt;= perc_85, converted_stat * 1.5, converted_stat)))))</f>
        <v/>
      </c>
      <c r="M760" s="30" t="str">
        <f t="array" ref="M760">IF($A760="", "", LET(bbgm_stat, INDEX(Players!$A759:$P759, MATCH(M$2, Players!$A$1:$P$1, 0)), perc_75, VLOOKUP(M$2, Percentiles!$A$45:$I$59, 6, FALSE), perc_90, VLOOKUP(M$2, Percentiles!$A$45:$I$59, 7, FALSE), perc_95, VLOOKUP(M$2, Percentiles!$A$45:$I$59, 8, FALSE), perc_85, perc_75 + (perc_90 - perc_75) * (2/3), converted_stat, '2K_Ratings'!M760, IF(bbgm_stat &gt;= perc_95, converted_stat * 3, IF(bbgm_stat &gt;= perc_90, converted_stat * 2, IF(bbgm_stat &gt;= perc_85, converted_stat * 1.5, converted_stat)))))</f>
        <v/>
      </c>
      <c r="N760" s="30" t="str">
        <f t="array" ref="N760">IF($A760="", "", LET(bbgm_stat, INDEX(Players!$A759:$P759, MATCH(N$2, Players!$A$1:$P$1, 0)), perc_75, VLOOKUP(N$2, Percentiles!$A$45:$I$59, 6, FALSE), perc_90, VLOOKUP(N$2, Percentiles!$A$45:$I$59, 7, FALSE), perc_95, VLOOKUP(N$2, Percentiles!$A$45:$I$59, 8, FALSE), perc_85, perc_75 + (perc_90 - perc_75) * (2/3), converted_stat, '2K_Ratings'!N760, IF(bbgm_stat &gt;= perc_95, converted_stat * 3, IF(bbgm_stat &gt;= perc_90, converted_stat * 2, IF(bbgm_stat &gt;= perc_85, converted_stat * 1.5, converted_stat)))))</f>
        <v/>
      </c>
      <c r="O760" s="30" t="str">
        <f t="array" ref="O760">IF($A760="", "", LET(bbgm_stat, INDEX(Players!$A759:$P759, MATCH(O$2, Players!$A$1:$P$1, 0)), perc_75, VLOOKUP(O$2, Percentiles!$A$45:$I$59, 6, FALSE), perc_90, VLOOKUP(O$2, Percentiles!$A$45:$I$59, 7, FALSE), perc_95, VLOOKUP(O$2, Percentiles!$A$45:$I$59, 8, FALSE), perc_85, perc_75 + (perc_90 - perc_75) * (2/3), converted_stat, '2K_Ratings'!O760, IF(bbgm_stat &gt;= perc_95, converted_stat * 3, IF(bbgm_stat &gt;= perc_90, converted_stat * 2, IF(bbgm_stat &gt;= perc_85, converted_stat * 1.5, converted_stat)))))</f>
        <v/>
      </c>
      <c r="P760" s="30" t="str">
        <f t="array" ref="P760">IF($A760="", "", LET(bbgm_stat, INDEX(Players!$A759:$P759, MATCH(P$2, Players!$A$1:$P$1, 0)), perc_75, VLOOKUP(P$2, Percentiles!$A$45:$I$59, 6, FALSE), perc_90, VLOOKUP(P$2, Percentiles!$A$45:$I$59, 7, FALSE), perc_95, VLOOKUP(P$2, Percentiles!$A$45:$I$59, 8, FALSE), perc_85, perc_75 + (perc_90 - perc_75) * (2/3), converted_stat, '2K_Ratings'!P760, IF(bbgm_stat &gt;= perc_95, converted_stat * 3, IF(bbgm_stat &gt;= perc_90, converted_stat * 2, IF(bbgm_stat &gt;= perc_85, converted_stat * 1.5, converted_stat)))))</f>
        <v/>
      </c>
      <c r="Q760" s="30" t="str">
        <f t="array" ref="Q760">IF($A760="", "", LET(bbgm_stat, INDEX(Players!$A759:$P759, MATCH(Q$2, Players!$A$1:$P$1, 0)), perc_75, VLOOKUP(Q$2, Percentiles!$A$45:$I$59, 6, FALSE), perc_90, VLOOKUP(Q$2, Percentiles!$A$45:$I$59, 7, FALSE), perc_95, VLOOKUP(Q$2, Percentiles!$A$45:$I$59, 8, FALSE), perc_85, perc_75 + (perc_90 - perc_75) * (2/3), converted_stat, '2K_Ratings'!Q760, IF(bbgm_stat &gt;= perc_95, converted_stat * 3, IF(bbgm_stat &gt;= perc_90, converted_stat * 2, IF(bbgm_stat &gt;= perc_85, converted_stat * 1.5, converted_stat)))))</f>
        <v/>
      </c>
      <c r="R760" s="30" t="str">
        <f t="array" ref="R760">IF($A760="", "", LET(bbgm_stat, INDEX(Players!$A759:$P759, MATCH(R$2, Players!$A$1:$P$1, 0)), perc_75, VLOOKUP(R$2, Percentiles!$A$45:$I$59, 6, FALSE), perc_90, VLOOKUP(R$2, Percentiles!$A$45:$I$59, 7, FALSE), perc_95, VLOOKUP(R$2, Percentiles!$A$45:$I$59, 8, FALSE), perc_85, perc_75 + (perc_90 - perc_75) * (2/3), converted_stat, '2K_Ratings'!R760, IF(bbgm_stat &gt;= perc_95, converted_stat * 3, IF(bbgm_stat &gt;= perc_90, converted_stat * 2, IF(bbgm_stat &gt;= perc_85, converted_stat * 1.5, converted_stat)))))</f>
        <v/>
      </c>
      <c r="S760" s="30" t="str">
        <f t="array" ref="S760">IF($A760="", "", LET(bbgm_stat, INDEX(Players!$A759:$P759, MATCH(S$2, Players!$A$1:$P$1, 0)), perc_75, VLOOKUP(S$2, Percentiles!$A$45:$I$59, 6, FALSE), perc_90, VLOOKUP(S$2, Percentiles!$A$45:$I$59, 7, FALSE), perc_95, VLOOKUP(S$2, Percentiles!$A$45:$I$59, 8, FALSE), perc_85, perc_75 + (perc_90 - perc_75) * (2/3), converted_stat, '2K_Ratings'!S760, IF(bbgm_stat &gt;= perc_95, converted_stat * 3, IF(bbgm_stat &gt;= perc_90, converted_stat * 2, IF(bbgm_stat &gt;= perc_85, converted_stat * 1.5, converted_stat)))))</f>
        <v/>
      </c>
      <c r="T760" s="30" t="str">
        <f t="array" ref="T760">IF($A760="", "", LET(bbgm_stat, INDEX(Players!$A759:$P759, MATCH(T$2, Players!$A$1:$P$1, 0)), perc_75, VLOOKUP(T$2, Percentiles!$A$45:$I$59, 6, FALSE), perc_90, VLOOKUP(T$2, Percentiles!$A$45:$I$59, 7, FALSE), perc_95, VLOOKUP(T$2, Percentiles!$A$45:$I$59, 8, FALSE), perc_85, perc_75 + (perc_90 - perc_75) * (2/3), converted_stat, '2K_Ratings'!T760, IF(bbgm_stat &gt;= perc_95, converted_stat * 3, IF(bbgm_stat &gt;= perc_90, converted_stat * 2, IF(bbgm_stat &gt;= perc_85, converted_stat * 1.5, converted_stat)))))</f>
        <v/>
      </c>
      <c r="U760" s="30" t="str">
        <f t="array" ref="U760">IF($A760="", "", LET(bbgm_stat, INDEX(Players!$A759:$P759, MATCH(U$2, Players!$A$1:$P$1, 0)), perc_75, VLOOKUP(U$2, Percentiles!$A$45:$I$59, 6, FALSE), perc_90, VLOOKUP(U$2, Percentiles!$A$45:$I$59, 7, FALSE), perc_95, VLOOKUP(U$2, Percentiles!$A$45:$I$59, 8, FALSE), perc_85, perc_75 + (perc_90 - perc_75) * (2/3), converted_stat, '2K_Ratings'!U760, IF(bbgm_stat &gt;= perc_95, converted_stat * 3, IF(bbgm_stat &gt;= perc_90, converted_stat * 2, IF(bbgm_stat &gt;= perc_85, converted_stat * 1.5, converted_stat)))))</f>
        <v/>
      </c>
      <c r="V760" s="30" t="str">
        <f t="array" ref="V760">IF($A760="", "", LET(bbgm_stat, INDEX(Players!$A759:$P759, MATCH(V$2, Players!$A$1:$P$1, 0)), perc_75, VLOOKUP(V$2, Percentiles!$A$45:$I$59, 6, FALSE), perc_90, VLOOKUP(V$2, Percentiles!$A$45:$I$59, 7, FALSE), perc_95, VLOOKUP(V$2, Percentiles!$A$45:$I$59, 8, FALSE), perc_85, perc_75 + (perc_90 - perc_75) * (2/3), converted_stat, '2K_Ratings'!V760, IF(bbgm_stat &gt;= perc_95, converted_stat * 3, IF(bbgm_stat &gt;= perc_90, converted_stat * 2, IF(bbgm_stat &gt;= perc_85, converted_stat * 1.5, converted_stat)))))</f>
        <v/>
      </c>
      <c r="W760" s="30" t="str">
        <f t="array" ref="W760">IF($A760="", "", LET(bbgm_stat, INDEX(Players!$A759:$P759, MATCH(W$2, Players!$A$1:$P$1, 0)), perc_75, VLOOKUP(W$2, Percentiles!$A$45:$I$59, 6, FALSE), perc_90, VLOOKUP(W$2, Percentiles!$A$45:$I$59, 7, FALSE), perc_95, VLOOKUP(W$2, Percentiles!$A$45:$I$59, 8, FALSE), perc_85, perc_75 + (perc_90 - perc_75) * (2/3), converted_stat, '2K_Ratings'!W760, IF(bbgm_stat &gt;= perc_95, converted_stat * 3, IF(bbgm_stat &gt;= perc_90, converted_stat * 2, IF(bbgm_stat &gt;= perc_85, converted_stat * 1.5, converted_stat)))))</f>
        <v/>
      </c>
    </row>
    <row r="761">
      <c r="A761" s="30"/>
      <c r="B761" s="30" t="str">
        <f t="array" ref="B761">IF($A761="", "", LET(bbgm_stat, INDEX(Players!$A760:$P760, MATCH(B$2, Players!$A$1:$P$1, 0)), perc_75, VLOOKUP(B$2, Percentiles!$A$45:$I$59, 6, FALSE), perc_90, VLOOKUP(B$2, Percentiles!$A$45:$I$59, 7, FALSE), perc_95, VLOOKUP(B$2, Percentiles!$A$45:$I$59, 8, FALSE), perc_85, perc_75 + (perc_90 - perc_75) * (2/3), converted_stat, '2K_Ratings'!B761, IF(bbgm_stat &gt;= perc_95, converted_stat * 3, IF(bbgm_stat &gt;= perc_90, converted_stat * 2, IF(bbgm_stat &gt;= perc_85, converted_stat * 1.5, converted_stat)))))</f>
        <v/>
      </c>
      <c r="C761" s="30" t="str">
        <f t="array" ref="C761">IF($A761="", "", LET(bbgm_stat, INDEX(Players!$A760:$P760, MATCH(C$2, Players!$A$1:$P$1, 0)), perc_75, VLOOKUP(C$2, Percentiles!$A$45:$I$59, 6, FALSE), perc_90, VLOOKUP(C$2, Percentiles!$A$45:$I$59, 7, FALSE), perc_95, VLOOKUP(C$2, Percentiles!$A$45:$I$59, 8, FALSE), perc_85, perc_75 + (perc_90 - perc_75) * (2/3), converted_stat, '2K_Ratings'!C761, IF(bbgm_stat &gt;= perc_95, converted_stat * 3, IF(bbgm_stat &gt;= perc_90, converted_stat * 2, IF(bbgm_stat &gt;= perc_85, converted_stat * 1.5, converted_stat)))))</f>
        <v/>
      </c>
      <c r="D761" s="30" t="str">
        <f t="array" ref="D761">IF($A761="", "", LET(bbgm_stat, INDEX(Players!$A760:$P760, MATCH(D$2, Players!$A$1:$P$1, 0)), perc_75, VLOOKUP(D$2, Percentiles!$A$45:$I$59, 6, FALSE), perc_90, VLOOKUP(D$2, Percentiles!$A$45:$I$59, 7, FALSE), perc_95, VLOOKUP(D$2, Percentiles!$A$45:$I$59, 8, FALSE), perc_85, perc_75 + (perc_90 - perc_75) * (2/3), converted_stat, '2K_Ratings'!D761, IF(bbgm_stat &gt;= perc_95, converted_stat * 3, IF(bbgm_stat &gt;= perc_90, converted_stat * 2, IF(bbgm_stat &gt;= perc_85, converted_stat * 1.5, converted_stat)))))</f>
        <v/>
      </c>
      <c r="E761" s="30" t="str">
        <f t="array" ref="E761">IF($A761="", "", LET(bbgm_stat, INDEX(Players!$A760:$P760, MATCH(E$2, Players!$A$1:$P$1, 0)), perc_75, VLOOKUP(E$2, Percentiles!$A$45:$I$59, 6, FALSE), perc_90, VLOOKUP(E$2, Percentiles!$A$45:$I$59, 7, FALSE), perc_95, VLOOKUP(E$2, Percentiles!$A$45:$I$59, 8, FALSE), perc_85, perc_75 + (perc_90 - perc_75) * (2/3), converted_stat, '2K_Ratings'!E761, IF(bbgm_stat &gt;= perc_95, converted_stat * 3, IF(bbgm_stat &gt;= perc_90, converted_stat * 2, IF(bbgm_stat &gt;= perc_85, converted_stat * 1.5, converted_stat)))))</f>
        <v/>
      </c>
      <c r="F761" s="30" t="str">
        <f t="array" ref="F761">IF($A761="", "", LET(bbgm_stat, INDEX(Players!$A760:$P760, MATCH(F$2, Players!$A$1:$P$1, 0)), perc_75, VLOOKUP(F$2, Percentiles!$A$45:$I$59, 6, FALSE), perc_90, VLOOKUP(F$2, Percentiles!$A$45:$I$59, 7, FALSE), perc_95, VLOOKUP(F$2, Percentiles!$A$45:$I$59, 8, FALSE), perc_85, perc_75 + (perc_90 - perc_75) * (2/3), converted_stat, '2K_Ratings'!F761, IF(bbgm_stat &gt;= perc_95, converted_stat * 3, IF(bbgm_stat &gt;= perc_90, converted_stat * 2, IF(bbgm_stat &gt;= perc_85, converted_stat * 1.5, converted_stat)))))</f>
        <v/>
      </c>
      <c r="G761" s="30" t="str">
        <f t="array" ref="G761">IF($A761="", "", LET(bbgm_stat, INDEX(Players!$A760:$P760, MATCH(G$2, Players!$A$1:$P$1, 0)), perc_75, VLOOKUP(G$2, Percentiles!$A$45:$I$59, 6, FALSE), perc_90, VLOOKUP(G$2, Percentiles!$A$45:$I$59, 7, FALSE), perc_95, VLOOKUP(G$2, Percentiles!$A$45:$I$59, 8, FALSE), perc_85, perc_75 + (perc_90 - perc_75) * (2/3), converted_stat, '2K_Ratings'!G761, IF(bbgm_stat &gt;= perc_95, converted_stat * 3, IF(bbgm_stat &gt;= perc_90, converted_stat * 2, IF(bbgm_stat &gt;= perc_85, converted_stat * 1.5, converted_stat)))))</f>
        <v/>
      </c>
      <c r="H761" s="30" t="str">
        <f t="array" ref="H761">IF($A761="", "", LET(bbgm_stat, INDEX(Players!$A760:$P760, MATCH(H$2, Players!$A$1:$P$1, 0)), perc_75, VLOOKUP(H$2, Percentiles!$A$45:$I$59, 6, FALSE), perc_90, VLOOKUP(H$2, Percentiles!$A$45:$I$59, 7, FALSE), perc_95, VLOOKUP(H$2, Percentiles!$A$45:$I$59, 8, FALSE), perc_85, perc_75 + (perc_90 - perc_75) * (2/3), converted_stat, '2K_Ratings'!H761, IF(bbgm_stat &gt;= perc_95, converted_stat * 3, IF(bbgm_stat &gt;= perc_90, converted_stat * 2, IF(bbgm_stat &gt;= perc_85, converted_stat * 1.5, converted_stat)))))</f>
        <v/>
      </c>
      <c r="I761" s="30" t="str">
        <f t="array" ref="I761">IF($A761="", "", LET(bbgm_stat, INDEX(Players!$A760:$P760, MATCH(I$2, Players!$A$1:$P$1, 0)), perc_75, VLOOKUP(I$2, Percentiles!$A$45:$I$59, 6, FALSE), perc_90, VLOOKUP(I$2, Percentiles!$A$45:$I$59, 7, FALSE), perc_95, VLOOKUP(I$2, Percentiles!$A$45:$I$59, 8, FALSE), perc_85, perc_75 + (perc_90 - perc_75) * (2/3), converted_stat, '2K_Ratings'!I761, IF(bbgm_stat &gt;= perc_95, converted_stat * 3, IF(bbgm_stat &gt;= perc_90, converted_stat * 2, IF(bbgm_stat &gt;= perc_85, converted_stat * 1.5, converted_stat)))))</f>
        <v/>
      </c>
      <c r="J761" s="30" t="str">
        <f t="array" ref="J761">IF($A761="", "", LET(bbgm_stat, INDEX(Players!$A760:$P760, MATCH(J$2, Players!$A$1:$P$1, 0)), perc_75, VLOOKUP(J$2, Percentiles!$A$45:$I$59, 6, FALSE), perc_90, VLOOKUP(J$2, Percentiles!$A$45:$I$59, 7, FALSE), perc_95, VLOOKUP(J$2, Percentiles!$A$45:$I$59, 8, FALSE), perc_85, perc_75 + (perc_90 - perc_75) * (2/3), converted_stat, '2K_Ratings'!J761, IF(bbgm_stat &gt;= perc_95, converted_stat * 3, IF(bbgm_stat &gt;= perc_90, converted_stat * 2, IF(bbgm_stat &gt;= perc_85, converted_stat * 1.5, converted_stat)))))</f>
        <v/>
      </c>
      <c r="K761" s="30" t="str">
        <f t="array" ref="K761">IF($A761="", "", LET(bbgm_stat, INDEX(Players!$A760:$P760, MATCH(K$2, Players!$A$1:$P$1, 0)), perc_75, VLOOKUP(K$2, Percentiles!$A$45:$I$59, 6, FALSE), perc_90, VLOOKUP(K$2, Percentiles!$A$45:$I$59, 7, FALSE), perc_95, VLOOKUP(K$2, Percentiles!$A$45:$I$59, 8, FALSE), perc_85, perc_75 + (perc_90 - perc_75) * (2/3), converted_stat, '2K_Ratings'!K761, IF(bbgm_stat &gt;= perc_95, converted_stat * 3, IF(bbgm_stat &gt;= perc_90, converted_stat * 2, IF(bbgm_stat &gt;= perc_85, converted_stat * 1.5, converted_stat)))))</f>
        <v/>
      </c>
      <c r="L761" s="30" t="str">
        <f t="array" ref="L761">IF($A761="", "", LET(bbgm_stat, INDEX(Players!$A760:$P760, MATCH(L$2, Players!$A$1:$P$1, 0)), perc_75, VLOOKUP(L$2, Percentiles!$A$45:$I$59, 6, FALSE), perc_90, VLOOKUP(L$2, Percentiles!$A$45:$I$59, 7, FALSE), perc_95, VLOOKUP(L$2, Percentiles!$A$45:$I$59, 8, FALSE), perc_85, perc_75 + (perc_90 - perc_75) * (2/3), converted_stat, '2K_Ratings'!L761, IF(bbgm_stat &gt;= perc_95, converted_stat * 3, IF(bbgm_stat &gt;= perc_90, converted_stat * 2, IF(bbgm_stat &gt;= perc_85, converted_stat * 1.5, converted_stat)))))</f>
        <v/>
      </c>
      <c r="M761" s="30" t="str">
        <f t="array" ref="M761">IF($A761="", "", LET(bbgm_stat, INDEX(Players!$A760:$P760, MATCH(M$2, Players!$A$1:$P$1, 0)), perc_75, VLOOKUP(M$2, Percentiles!$A$45:$I$59, 6, FALSE), perc_90, VLOOKUP(M$2, Percentiles!$A$45:$I$59, 7, FALSE), perc_95, VLOOKUP(M$2, Percentiles!$A$45:$I$59, 8, FALSE), perc_85, perc_75 + (perc_90 - perc_75) * (2/3), converted_stat, '2K_Ratings'!M761, IF(bbgm_stat &gt;= perc_95, converted_stat * 3, IF(bbgm_stat &gt;= perc_90, converted_stat * 2, IF(bbgm_stat &gt;= perc_85, converted_stat * 1.5, converted_stat)))))</f>
        <v/>
      </c>
      <c r="N761" s="30" t="str">
        <f t="array" ref="N761">IF($A761="", "", LET(bbgm_stat, INDEX(Players!$A760:$P760, MATCH(N$2, Players!$A$1:$P$1, 0)), perc_75, VLOOKUP(N$2, Percentiles!$A$45:$I$59, 6, FALSE), perc_90, VLOOKUP(N$2, Percentiles!$A$45:$I$59, 7, FALSE), perc_95, VLOOKUP(N$2, Percentiles!$A$45:$I$59, 8, FALSE), perc_85, perc_75 + (perc_90 - perc_75) * (2/3), converted_stat, '2K_Ratings'!N761, IF(bbgm_stat &gt;= perc_95, converted_stat * 3, IF(bbgm_stat &gt;= perc_90, converted_stat * 2, IF(bbgm_stat &gt;= perc_85, converted_stat * 1.5, converted_stat)))))</f>
        <v/>
      </c>
      <c r="O761" s="30" t="str">
        <f t="array" ref="O761">IF($A761="", "", LET(bbgm_stat, INDEX(Players!$A760:$P760, MATCH(O$2, Players!$A$1:$P$1, 0)), perc_75, VLOOKUP(O$2, Percentiles!$A$45:$I$59, 6, FALSE), perc_90, VLOOKUP(O$2, Percentiles!$A$45:$I$59, 7, FALSE), perc_95, VLOOKUP(O$2, Percentiles!$A$45:$I$59, 8, FALSE), perc_85, perc_75 + (perc_90 - perc_75) * (2/3), converted_stat, '2K_Ratings'!O761, IF(bbgm_stat &gt;= perc_95, converted_stat * 3, IF(bbgm_stat &gt;= perc_90, converted_stat * 2, IF(bbgm_stat &gt;= perc_85, converted_stat * 1.5, converted_stat)))))</f>
        <v/>
      </c>
      <c r="P761" s="30" t="str">
        <f t="array" ref="P761">IF($A761="", "", LET(bbgm_stat, INDEX(Players!$A760:$P760, MATCH(P$2, Players!$A$1:$P$1, 0)), perc_75, VLOOKUP(P$2, Percentiles!$A$45:$I$59, 6, FALSE), perc_90, VLOOKUP(P$2, Percentiles!$A$45:$I$59, 7, FALSE), perc_95, VLOOKUP(P$2, Percentiles!$A$45:$I$59, 8, FALSE), perc_85, perc_75 + (perc_90 - perc_75) * (2/3), converted_stat, '2K_Ratings'!P761, IF(bbgm_stat &gt;= perc_95, converted_stat * 3, IF(bbgm_stat &gt;= perc_90, converted_stat * 2, IF(bbgm_stat &gt;= perc_85, converted_stat * 1.5, converted_stat)))))</f>
        <v/>
      </c>
      <c r="Q761" s="30" t="str">
        <f t="array" ref="Q761">IF($A761="", "", LET(bbgm_stat, INDEX(Players!$A760:$P760, MATCH(Q$2, Players!$A$1:$P$1, 0)), perc_75, VLOOKUP(Q$2, Percentiles!$A$45:$I$59, 6, FALSE), perc_90, VLOOKUP(Q$2, Percentiles!$A$45:$I$59, 7, FALSE), perc_95, VLOOKUP(Q$2, Percentiles!$A$45:$I$59, 8, FALSE), perc_85, perc_75 + (perc_90 - perc_75) * (2/3), converted_stat, '2K_Ratings'!Q761, IF(bbgm_stat &gt;= perc_95, converted_stat * 3, IF(bbgm_stat &gt;= perc_90, converted_stat * 2, IF(bbgm_stat &gt;= perc_85, converted_stat * 1.5, converted_stat)))))</f>
        <v/>
      </c>
      <c r="R761" s="30" t="str">
        <f t="array" ref="R761">IF($A761="", "", LET(bbgm_stat, INDEX(Players!$A760:$P760, MATCH(R$2, Players!$A$1:$P$1, 0)), perc_75, VLOOKUP(R$2, Percentiles!$A$45:$I$59, 6, FALSE), perc_90, VLOOKUP(R$2, Percentiles!$A$45:$I$59, 7, FALSE), perc_95, VLOOKUP(R$2, Percentiles!$A$45:$I$59, 8, FALSE), perc_85, perc_75 + (perc_90 - perc_75) * (2/3), converted_stat, '2K_Ratings'!R761, IF(bbgm_stat &gt;= perc_95, converted_stat * 3, IF(bbgm_stat &gt;= perc_90, converted_stat * 2, IF(bbgm_stat &gt;= perc_85, converted_stat * 1.5, converted_stat)))))</f>
        <v/>
      </c>
      <c r="S761" s="30" t="str">
        <f t="array" ref="S761">IF($A761="", "", LET(bbgm_stat, INDEX(Players!$A760:$P760, MATCH(S$2, Players!$A$1:$P$1, 0)), perc_75, VLOOKUP(S$2, Percentiles!$A$45:$I$59, 6, FALSE), perc_90, VLOOKUP(S$2, Percentiles!$A$45:$I$59, 7, FALSE), perc_95, VLOOKUP(S$2, Percentiles!$A$45:$I$59, 8, FALSE), perc_85, perc_75 + (perc_90 - perc_75) * (2/3), converted_stat, '2K_Ratings'!S761, IF(bbgm_stat &gt;= perc_95, converted_stat * 3, IF(bbgm_stat &gt;= perc_90, converted_stat * 2, IF(bbgm_stat &gt;= perc_85, converted_stat * 1.5, converted_stat)))))</f>
        <v/>
      </c>
      <c r="T761" s="30" t="str">
        <f t="array" ref="T761">IF($A761="", "", LET(bbgm_stat, INDEX(Players!$A760:$P760, MATCH(T$2, Players!$A$1:$P$1, 0)), perc_75, VLOOKUP(T$2, Percentiles!$A$45:$I$59, 6, FALSE), perc_90, VLOOKUP(T$2, Percentiles!$A$45:$I$59, 7, FALSE), perc_95, VLOOKUP(T$2, Percentiles!$A$45:$I$59, 8, FALSE), perc_85, perc_75 + (perc_90 - perc_75) * (2/3), converted_stat, '2K_Ratings'!T761, IF(bbgm_stat &gt;= perc_95, converted_stat * 3, IF(bbgm_stat &gt;= perc_90, converted_stat * 2, IF(bbgm_stat &gt;= perc_85, converted_stat * 1.5, converted_stat)))))</f>
        <v/>
      </c>
      <c r="U761" s="30" t="str">
        <f t="array" ref="U761">IF($A761="", "", LET(bbgm_stat, INDEX(Players!$A760:$P760, MATCH(U$2, Players!$A$1:$P$1, 0)), perc_75, VLOOKUP(U$2, Percentiles!$A$45:$I$59, 6, FALSE), perc_90, VLOOKUP(U$2, Percentiles!$A$45:$I$59, 7, FALSE), perc_95, VLOOKUP(U$2, Percentiles!$A$45:$I$59, 8, FALSE), perc_85, perc_75 + (perc_90 - perc_75) * (2/3), converted_stat, '2K_Ratings'!U761, IF(bbgm_stat &gt;= perc_95, converted_stat * 3, IF(bbgm_stat &gt;= perc_90, converted_stat * 2, IF(bbgm_stat &gt;= perc_85, converted_stat * 1.5, converted_stat)))))</f>
        <v/>
      </c>
      <c r="V761" s="30" t="str">
        <f t="array" ref="V761">IF($A761="", "", LET(bbgm_stat, INDEX(Players!$A760:$P760, MATCH(V$2, Players!$A$1:$P$1, 0)), perc_75, VLOOKUP(V$2, Percentiles!$A$45:$I$59, 6, FALSE), perc_90, VLOOKUP(V$2, Percentiles!$A$45:$I$59, 7, FALSE), perc_95, VLOOKUP(V$2, Percentiles!$A$45:$I$59, 8, FALSE), perc_85, perc_75 + (perc_90 - perc_75) * (2/3), converted_stat, '2K_Ratings'!V761, IF(bbgm_stat &gt;= perc_95, converted_stat * 3, IF(bbgm_stat &gt;= perc_90, converted_stat * 2, IF(bbgm_stat &gt;= perc_85, converted_stat * 1.5, converted_stat)))))</f>
        <v/>
      </c>
      <c r="W761" s="30" t="str">
        <f t="array" ref="W761">IF($A761="", "", LET(bbgm_stat, INDEX(Players!$A760:$P760, MATCH(W$2, Players!$A$1:$P$1, 0)), perc_75, VLOOKUP(W$2, Percentiles!$A$45:$I$59, 6, FALSE), perc_90, VLOOKUP(W$2, Percentiles!$A$45:$I$59, 7, FALSE), perc_95, VLOOKUP(W$2, Percentiles!$A$45:$I$59, 8, FALSE), perc_85, perc_75 + (perc_90 - perc_75) * (2/3), converted_stat, '2K_Ratings'!W761, IF(bbgm_stat &gt;= perc_95, converted_stat * 3, IF(bbgm_stat &gt;= perc_90, converted_stat * 2, IF(bbgm_stat &gt;= perc_85, converted_stat * 1.5, converted_stat)))))</f>
        <v/>
      </c>
    </row>
    <row r="762">
      <c r="A762" s="30"/>
      <c r="B762" s="30" t="str">
        <f t="array" ref="B762">IF($A762="", "", LET(bbgm_stat, INDEX(Players!$A761:$P761, MATCH(B$2, Players!$A$1:$P$1, 0)), perc_75, VLOOKUP(B$2, Percentiles!$A$45:$I$59, 6, FALSE), perc_90, VLOOKUP(B$2, Percentiles!$A$45:$I$59, 7, FALSE), perc_95, VLOOKUP(B$2, Percentiles!$A$45:$I$59, 8, FALSE), perc_85, perc_75 + (perc_90 - perc_75) * (2/3), converted_stat, '2K_Ratings'!B762, IF(bbgm_stat &gt;= perc_95, converted_stat * 3, IF(bbgm_stat &gt;= perc_90, converted_stat * 2, IF(bbgm_stat &gt;= perc_85, converted_stat * 1.5, converted_stat)))))</f>
        <v/>
      </c>
      <c r="C762" s="30" t="str">
        <f t="array" ref="C762">IF($A762="", "", LET(bbgm_stat, INDEX(Players!$A761:$P761, MATCH(C$2, Players!$A$1:$P$1, 0)), perc_75, VLOOKUP(C$2, Percentiles!$A$45:$I$59, 6, FALSE), perc_90, VLOOKUP(C$2, Percentiles!$A$45:$I$59, 7, FALSE), perc_95, VLOOKUP(C$2, Percentiles!$A$45:$I$59, 8, FALSE), perc_85, perc_75 + (perc_90 - perc_75) * (2/3), converted_stat, '2K_Ratings'!C762, IF(bbgm_stat &gt;= perc_95, converted_stat * 3, IF(bbgm_stat &gt;= perc_90, converted_stat * 2, IF(bbgm_stat &gt;= perc_85, converted_stat * 1.5, converted_stat)))))</f>
        <v/>
      </c>
      <c r="D762" s="30" t="str">
        <f t="array" ref="D762">IF($A762="", "", LET(bbgm_stat, INDEX(Players!$A761:$P761, MATCH(D$2, Players!$A$1:$P$1, 0)), perc_75, VLOOKUP(D$2, Percentiles!$A$45:$I$59, 6, FALSE), perc_90, VLOOKUP(D$2, Percentiles!$A$45:$I$59, 7, FALSE), perc_95, VLOOKUP(D$2, Percentiles!$A$45:$I$59, 8, FALSE), perc_85, perc_75 + (perc_90 - perc_75) * (2/3), converted_stat, '2K_Ratings'!D762, IF(bbgm_stat &gt;= perc_95, converted_stat * 3, IF(bbgm_stat &gt;= perc_90, converted_stat * 2, IF(bbgm_stat &gt;= perc_85, converted_stat * 1.5, converted_stat)))))</f>
        <v/>
      </c>
      <c r="E762" s="30" t="str">
        <f t="array" ref="E762">IF($A762="", "", LET(bbgm_stat, INDEX(Players!$A761:$P761, MATCH(E$2, Players!$A$1:$P$1, 0)), perc_75, VLOOKUP(E$2, Percentiles!$A$45:$I$59, 6, FALSE), perc_90, VLOOKUP(E$2, Percentiles!$A$45:$I$59, 7, FALSE), perc_95, VLOOKUP(E$2, Percentiles!$A$45:$I$59, 8, FALSE), perc_85, perc_75 + (perc_90 - perc_75) * (2/3), converted_stat, '2K_Ratings'!E762, IF(bbgm_stat &gt;= perc_95, converted_stat * 3, IF(bbgm_stat &gt;= perc_90, converted_stat * 2, IF(bbgm_stat &gt;= perc_85, converted_stat * 1.5, converted_stat)))))</f>
        <v/>
      </c>
      <c r="F762" s="30" t="str">
        <f t="array" ref="F762">IF($A762="", "", LET(bbgm_stat, INDEX(Players!$A761:$P761, MATCH(F$2, Players!$A$1:$P$1, 0)), perc_75, VLOOKUP(F$2, Percentiles!$A$45:$I$59, 6, FALSE), perc_90, VLOOKUP(F$2, Percentiles!$A$45:$I$59, 7, FALSE), perc_95, VLOOKUP(F$2, Percentiles!$A$45:$I$59, 8, FALSE), perc_85, perc_75 + (perc_90 - perc_75) * (2/3), converted_stat, '2K_Ratings'!F762, IF(bbgm_stat &gt;= perc_95, converted_stat * 3, IF(bbgm_stat &gt;= perc_90, converted_stat * 2, IF(bbgm_stat &gt;= perc_85, converted_stat * 1.5, converted_stat)))))</f>
        <v/>
      </c>
      <c r="G762" s="30" t="str">
        <f t="array" ref="G762">IF($A762="", "", LET(bbgm_stat, INDEX(Players!$A761:$P761, MATCH(G$2, Players!$A$1:$P$1, 0)), perc_75, VLOOKUP(G$2, Percentiles!$A$45:$I$59, 6, FALSE), perc_90, VLOOKUP(G$2, Percentiles!$A$45:$I$59, 7, FALSE), perc_95, VLOOKUP(G$2, Percentiles!$A$45:$I$59, 8, FALSE), perc_85, perc_75 + (perc_90 - perc_75) * (2/3), converted_stat, '2K_Ratings'!G762, IF(bbgm_stat &gt;= perc_95, converted_stat * 3, IF(bbgm_stat &gt;= perc_90, converted_stat * 2, IF(bbgm_stat &gt;= perc_85, converted_stat * 1.5, converted_stat)))))</f>
        <v/>
      </c>
      <c r="H762" s="30" t="str">
        <f t="array" ref="H762">IF($A762="", "", LET(bbgm_stat, INDEX(Players!$A761:$P761, MATCH(H$2, Players!$A$1:$P$1, 0)), perc_75, VLOOKUP(H$2, Percentiles!$A$45:$I$59, 6, FALSE), perc_90, VLOOKUP(H$2, Percentiles!$A$45:$I$59, 7, FALSE), perc_95, VLOOKUP(H$2, Percentiles!$A$45:$I$59, 8, FALSE), perc_85, perc_75 + (perc_90 - perc_75) * (2/3), converted_stat, '2K_Ratings'!H762, IF(bbgm_stat &gt;= perc_95, converted_stat * 3, IF(bbgm_stat &gt;= perc_90, converted_stat * 2, IF(bbgm_stat &gt;= perc_85, converted_stat * 1.5, converted_stat)))))</f>
        <v/>
      </c>
      <c r="I762" s="30" t="str">
        <f t="array" ref="I762">IF($A762="", "", LET(bbgm_stat, INDEX(Players!$A761:$P761, MATCH(I$2, Players!$A$1:$P$1, 0)), perc_75, VLOOKUP(I$2, Percentiles!$A$45:$I$59, 6, FALSE), perc_90, VLOOKUP(I$2, Percentiles!$A$45:$I$59, 7, FALSE), perc_95, VLOOKUP(I$2, Percentiles!$A$45:$I$59, 8, FALSE), perc_85, perc_75 + (perc_90 - perc_75) * (2/3), converted_stat, '2K_Ratings'!I762, IF(bbgm_stat &gt;= perc_95, converted_stat * 3, IF(bbgm_stat &gt;= perc_90, converted_stat * 2, IF(bbgm_stat &gt;= perc_85, converted_stat * 1.5, converted_stat)))))</f>
        <v/>
      </c>
      <c r="J762" s="30" t="str">
        <f t="array" ref="J762">IF($A762="", "", LET(bbgm_stat, INDEX(Players!$A761:$P761, MATCH(J$2, Players!$A$1:$P$1, 0)), perc_75, VLOOKUP(J$2, Percentiles!$A$45:$I$59, 6, FALSE), perc_90, VLOOKUP(J$2, Percentiles!$A$45:$I$59, 7, FALSE), perc_95, VLOOKUP(J$2, Percentiles!$A$45:$I$59, 8, FALSE), perc_85, perc_75 + (perc_90 - perc_75) * (2/3), converted_stat, '2K_Ratings'!J762, IF(bbgm_stat &gt;= perc_95, converted_stat * 3, IF(bbgm_stat &gt;= perc_90, converted_stat * 2, IF(bbgm_stat &gt;= perc_85, converted_stat * 1.5, converted_stat)))))</f>
        <v/>
      </c>
      <c r="K762" s="30" t="str">
        <f t="array" ref="K762">IF($A762="", "", LET(bbgm_stat, INDEX(Players!$A761:$P761, MATCH(K$2, Players!$A$1:$P$1, 0)), perc_75, VLOOKUP(K$2, Percentiles!$A$45:$I$59, 6, FALSE), perc_90, VLOOKUP(K$2, Percentiles!$A$45:$I$59, 7, FALSE), perc_95, VLOOKUP(K$2, Percentiles!$A$45:$I$59, 8, FALSE), perc_85, perc_75 + (perc_90 - perc_75) * (2/3), converted_stat, '2K_Ratings'!K762, IF(bbgm_stat &gt;= perc_95, converted_stat * 3, IF(bbgm_stat &gt;= perc_90, converted_stat * 2, IF(bbgm_stat &gt;= perc_85, converted_stat * 1.5, converted_stat)))))</f>
        <v/>
      </c>
      <c r="L762" s="30" t="str">
        <f t="array" ref="L762">IF($A762="", "", LET(bbgm_stat, INDEX(Players!$A761:$P761, MATCH(L$2, Players!$A$1:$P$1, 0)), perc_75, VLOOKUP(L$2, Percentiles!$A$45:$I$59, 6, FALSE), perc_90, VLOOKUP(L$2, Percentiles!$A$45:$I$59, 7, FALSE), perc_95, VLOOKUP(L$2, Percentiles!$A$45:$I$59, 8, FALSE), perc_85, perc_75 + (perc_90 - perc_75) * (2/3), converted_stat, '2K_Ratings'!L762, IF(bbgm_stat &gt;= perc_95, converted_stat * 3, IF(bbgm_stat &gt;= perc_90, converted_stat * 2, IF(bbgm_stat &gt;= perc_85, converted_stat * 1.5, converted_stat)))))</f>
        <v/>
      </c>
      <c r="M762" s="30" t="str">
        <f t="array" ref="M762">IF($A762="", "", LET(bbgm_stat, INDEX(Players!$A761:$P761, MATCH(M$2, Players!$A$1:$P$1, 0)), perc_75, VLOOKUP(M$2, Percentiles!$A$45:$I$59, 6, FALSE), perc_90, VLOOKUP(M$2, Percentiles!$A$45:$I$59, 7, FALSE), perc_95, VLOOKUP(M$2, Percentiles!$A$45:$I$59, 8, FALSE), perc_85, perc_75 + (perc_90 - perc_75) * (2/3), converted_stat, '2K_Ratings'!M762, IF(bbgm_stat &gt;= perc_95, converted_stat * 3, IF(bbgm_stat &gt;= perc_90, converted_stat * 2, IF(bbgm_stat &gt;= perc_85, converted_stat * 1.5, converted_stat)))))</f>
        <v/>
      </c>
      <c r="N762" s="30" t="str">
        <f t="array" ref="N762">IF($A762="", "", LET(bbgm_stat, INDEX(Players!$A761:$P761, MATCH(N$2, Players!$A$1:$P$1, 0)), perc_75, VLOOKUP(N$2, Percentiles!$A$45:$I$59, 6, FALSE), perc_90, VLOOKUP(N$2, Percentiles!$A$45:$I$59, 7, FALSE), perc_95, VLOOKUP(N$2, Percentiles!$A$45:$I$59, 8, FALSE), perc_85, perc_75 + (perc_90 - perc_75) * (2/3), converted_stat, '2K_Ratings'!N762, IF(bbgm_stat &gt;= perc_95, converted_stat * 3, IF(bbgm_stat &gt;= perc_90, converted_stat * 2, IF(bbgm_stat &gt;= perc_85, converted_stat * 1.5, converted_stat)))))</f>
        <v/>
      </c>
      <c r="O762" s="30" t="str">
        <f t="array" ref="O762">IF($A762="", "", LET(bbgm_stat, INDEX(Players!$A761:$P761, MATCH(O$2, Players!$A$1:$P$1, 0)), perc_75, VLOOKUP(O$2, Percentiles!$A$45:$I$59, 6, FALSE), perc_90, VLOOKUP(O$2, Percentiles!$A$45:$I$59, 7, FALSE), perc_95, VLOOKUP(O$2, Percentiles!$A$45:$I$59, 8, FALSE), perc_85, perc_75 + (perc_90 - perc_75) * (2/3), converted_stat, '2K_Ratings'!O762, IF(bbgm_stat &gt;= perc_95, converted_stat * 3, IF(bbgm_stat &gt;= perc_90, converted_stat * 2, IF(bbgm_stat &gt;= perc_85, converted_stat * 1.5, converted_stat)))))</f>
        <v/>
      </c>
      <c r="P762" s="30" t="str">
        <f t="array" ref="P762">IF($A762="", "", LET(bbgm_stat, INDEX(Players!$A761:$P761, MATCH(P$2, Players!$A$1:$P$1, 0)), perc_75, VLOOKUP(P$2, Percentiles!$A$45:$I$59, 6, FALSE), perc_90, VLOOKUP(P$2, Percentiles!$A$45:$I$59, 7, FALSE), perc_95, VLOOKUP(P$2, Percentiles!$A$45:$I$59, 8, FALSE), perc_85, perc_75 + (perc_90 - perc_75) * (2/3), converted_stat, '2K_Ratings'!P762, IF(bbgm_stat &gt;= perc_95, converted_stat * 3, IF(bbgm_stat &gt;= perc_90, converted_stat * 2, IF(bbgm_stat &gt;= perc_85, converted_stat * 1.5, converted_stat)))))</f>
        <v/>
      </c>
      <c r="Q762" s="30" t="str">
        <f t="array" ref="Q762">IF($A762="", "", LET(bbgm_stat, INDEX(Players!$A761:$P761, MATCH(Q$2, Players!$A$1:$P$1, 0)), perc_75, VLOOKUP(Q$2, Percentiles!$A$45:$I$59, 6, FALSE), perc_90, VLOOKUP(Q$2, Percentiles!$A$45:$I$59, 7, FALSE), perc_95, VLOOKUP(Q$2, Percentiles!$A$45:$I$59, 8, FALSE), perc_85, perc_75 + (perc_90 - perc_75) * (2/3), converted_stat, '2K_Ratings'!Q762, IF(bbgm_stat &gt;= perc_95, converted_stat * 3, IF(bbgm_stat &gt;= perc_90, converted_stat * 2, IF(bbgm_stat &gt;= perc_85, converted_stat * 1.5, converted_stat)))))</f>
        <v/>
      </c>
      <c r="R762" s="30" t="str">
        <f t="array" ref="R762">IF($A762="", "", LET(bbgm_stat, INDEX(Players!$A761:$P761, MATCH(R$2, Players!$A$1:$P$1, 0)), perc_75, VLOOKUP(R$2, Percentiles!$A$45:$I$59, 6, FALSE), perc_90, VLOOKUP(R$2, Percentiles!$A$45:$I$59, 7, FALSE), perc_95, VLOOKUP(R$2, Percentiles!$A$45:$I$59, 8, FALSE), perc_85, perc_75 + (perc_90 - perc_75) * (2/3), converted_stat, '2K_Ratings'!R762, IF(bbgm_stat &gt;= perc_95, converted_stat * 3, IF(bbgm_stat &gt;= perc_90, converted_stat * 2, IF(bbgm_stat &gt;= perc_85, converted_stat * 1.5, converted_stat)))))</f>
        <v/>
      </c>
      <c r="S762" s="30" t="str">
        <f t="array" ref="S762">IF($A762="", "", LET(bbgm_stat, INDEX(Players!$A761:$P761, MATCH(S$2, Players!$A$1:$P$1, 0)), perc_75, VLOOKUP(S$2, Percentiles!$A$45:$I$59, 6, FALSE), perc_90, VLOOKUP(S$2, Percentiles!$A$45:$I$59, 7, FALSE), perc_95, VLOOKUP(S$2, Percentiles!$A$45:$I$59, 8, FALSE), perc_85, perc_75 + (perc_90 - perc_75) * (2/3), converted_stat, '2K_Ratings'!S762, IF(bbgm_stat &gt;= perc_95, converted_stat * 3, IF(bbgm_stat &gt;= perc_90, converted_stat * 2, IF(bbgm_stat &gt;= perc_85, converted_stat * 1.5, converted_stat)))))</f>
        <v/>
      </c>
      <c r="T762" s="30" t="str">
        <f t="array" ref="T762">IF($A762="", "", LET(bbgm_stat, INDEX(Players!$A761:$P761, MATCH(T$2, Players!$A$1:$P$1, 0)), perc_75, VLOOKUP(T$2, Percentiles!$A$45:$I$59, 6, FALSE), perc_90, VLOOKUP(T$2, Percentiles!$A$45:$I$59, 7, FALSE), perc_95, VLOOKUP(T$2, Percentiles!$A$45:$I$59, 8, FALSE), perc_85, perc_75 + (perc_90 - perc_75) * (2/3), converted_stat, '2K_Ratings'!T762, IF(bbgm_stat &gt;= perc_95, converted_stat * 3, IF(bbgm_stat &gt;= perc_90, converted_stat * 2, IF(bbgm_stat &gt;= perc_85, converted_stat * 1.5, converted_stat)))))</f>
        <v/>
      </c>
      <c r="U762" s="30" t="str">
        <f t="array" ref="U762">IF($A762="", "", LET(bbgm_stat, INDEX(Players!$A761:$P761, MATCH(U$2, Players!$A$1:$P$1, 0)), perc_75, VLOOKUP(U$2, Percentiles!$A$45:$I$59, 6, FALSE), perc_90, VLOOKUP(U$2, Percentiles!$A$45:$I$59, 7, FALSE), perc_95, VLOOKUP(U$2, Percentiles!$A$45:$I$59, 8, FALSE), perc_85, perc_75 + (perc_90 - perc_75) * (2/3), converted_stat, '2K_Ratings'!U762, IF(bbgm_stat &gt;= perc_95, converted_stat * 3, IF(bbgm_stat &gt;= perc_90, converted_stat * 2, IF(bbgm_stat &gt;= perc_85, converted_stat * 1.5, converted_stat)))))</f>
        <v/>
      </c>
      <c r="V762" s="30" t="str">
        <f t="array" ref="V762">IF($A762="", "", LET(bbgm_stat, INDEX(Players!$A761:$P761, MATCH(V$2, Players!$A$1:$P$1, 0)), perc_75, VLOOKUP(V$2, Percentiles!$A$45:$I$59, 6, FALSE), perc_90, VLOOKUP(V$2, Percentiles!$A$45:$I$59, 7, FALSE), perc_95, VLOOKUP(V$2, Percentiles!$A$45:$I$59, 8, FALSE), perc_85, perc_75 + (perc_90 - perc_75) * (2/3), converted_stat, '2K_Ratings'!V762, IF(bbgm_stat &gt;= perc_95, converted_stat * 3, IF(bbgm_stat &gt;= perc_90, converted_stat * 2, IF(bbgm_stat &gt;= perc_85, converted_stat * 1.5, converted_stat)))))</f>
        <v/>
      </c>
      <c r="W762" s="30" t="str">
        <f t="array" ref="W762">IF($A762="", "", LET(bbgm_stat, INDEX(Players!$A761:$P761, MATCH(W$2, Players!$A$1:$P$1, 0)), perc_75, VLOOKUP(W$2, Percentiles!$A$45:$I$59, 6, FALSE), perc_90, VLOOKUP(W$2, Percentiles!$A$45:$I$59, 7, FALSE), perc_95, VLOOKUP(W$2, Percentiles!$A$45:$I$59, 8, FALSE), perc_85, perc_75 + (perc_90 - perc_75) * (2/3), converted_stat, '2K_Ratings'!W762, IF(bbgm_stat &gt;= perc_95, converted_stat * 3, IF(bbgm_stat &gt;= perc_90, converted_stat * 2, IF(bbgm_stat &gt;= perc_85, converted_stat * 1.5, converted_stat)))))</f>
        <v/>
      </c>
    </row>
    <row r="763">
      <c r="A763" s="30"/>
      <c r="B763" s="30" t="str">
        <f t="array" ref="B763">IF($A763="", "", LET(bbgm_stat, INDEX(Players!$A762:$P762, MATCH(B$2, Players!$A$1:$P$1, 0)), perc_75, VLOOKUP(B$2, Percentiles!$A$45:$I$59, 6, FALSE), perc_90, VLOOKUP(B$2, Percentiles!$A$45:$I$59, 7, FALSE), perc_95, VLOOKUP(B$2, Percentiles!$A$45:$I$59, 8, FALSE), perc_85, perc_75 + (perc_90 - perc_75) * (2/3), converted_stat, '2K_Ratings'!B763, IF(bbgm_stat &gt;= perc_95, converted_stat * 3, IF(bbgm_stat &gt;= perc_90, converted_stat * 2, IF(bbgm_stat &gt;= perc_85, converted_stat * 1.5, converted_stat)))))</f>
        <v/>
      </c>
      <c r="C763" s="30" t="str">
        <f t="array" ref="C763">IF($A763="", "", LET(bbgm_stat, INDEX(Players!$A762:$P762, MATCH(C$2, Players!$A$1:$P$1, 0)), perc_75, VLOOKUP(C$2, Percentiles!$A$45:$I$59, 6, FALSE), perc_90, VLOOKUP(C$2, Percentiles!$A$45:$I$59, 7, FALSE), perc_95, VLOOKUP(C$2, Percentiles!$A$45:$I$59, 8, FALSE), perc_85, perc_75 + (perc_90 - perc_75) * (2/3), converted_stat, '2K_Ratings'!C763, IF(bbgm_stat &gt;= perc_95, converted_stat * 3, IF(bbgm_stat &gt;= perc_90, converted_stat * 2, IF(bbgm_stat &gt;= perc_85, converted_stat * 1.5, converted_stat)))))</f>
        <v/>
      </c>
      <c r="D763" s="30" t="str">
        <f t="array" ref="D763">IF($A763="", "", LET(bbgm_stat, INDEX(Players!$A762:$P762, MATCH(D$2, Players!$A$1:$P$1, 0)), perc_75, VLOOKUP(D$2, Percentiles!$A$45:$I$59, 6, FALSE), perc_90, VLOOKUP(D$2, Percentiles!$A$45:$I$59, 7, FALSE), perc_95, VLOOKUP(D$2, Percentiles!$A$45:$I$59, 8, FALSE), perc_85, perc_75 + (perc_90 - perc_75) * (2/3), converted_stat, '2K_Ratings'!D763, IF(bbgm_stat &gt;= perc_95, converted_stat * 3, IF(bbgm_stat &gt;= perc_90, converted_stat * 2, IF(bbgm_stat &gt;= perc_85, converted_stat * 1.5, converted_stat)))))</f>
        <v/>
      </c>
      <c r="E763" s="30" t="str">
        <f t="array" ref="E763">IF($A763="", "", LET(bbgm_stat, INDEX(Players!$A762:$P762, MATCH(E$2, Players!$A$1:$P$1, 0)), perc_75, VLOOKUP(E$2, Percentiles!$A$45:$I$59, 6, FALSE), perc_90, VLOOKUP(E$2, Percentiles!$A$45:$I$59, 7, FALSE), perc_95, VLOOKUP(E$2, Percentiles!$A$45:$I$59, 8, FALSE), perc_85, perc_75 + (perc_90 - perc_75) * (2/3), converted_stat, '2K_Ratings'!E763, IF(bbgm_stat &gt;= perc_95, converted_stat * 3, IF(bbgm_stat &gt;= perc_90, converted_stat * 2, IF(bbgm_stat &gt;= perc_85, converted_stat * 1.5, converted_stat)))))</f>
        <v/>
      </c>
      <c r="F763" s="30" t="str">
        <f t="array" ref="F763">IF($A763="", "", LET(bbgm_stat, INDEX(Players!$A762:$P762, MATCH(F$2, Players!$A$1:$P$1, 0)), perc_75, VLOOKUP(F$2, Percentiles!$A$45:$I$59, 6, FALSE), perc_90, VLOOKUP(F$2, Percentiles!$A$45:$I$59, 7, FALSE), perc_95, VLOOKUP(F$2, Percentiles!$A$45:$I$59, 8, FALSE), perc_85, perc_75 + (perc_90 - perc_75) * (2/3), converted_stat, '2K_Ratings'!F763, IF(bbgm_stat &gt;= perc_95, converted_stat * 3, IF(bbgm_stat &gt;= perc_90, converted_stat * 2, IF(bbgm_stat &gt;= perc_85, converted_stat * 1.5, converted_stat)))))</f>
        <v/>
      </c>
      <c r="G763" s="30" t="str">
        <f t="array" ref="G763">IF($A763="", "", LET(bbgm_stat, INDEX(Players!$A762:$P762, MATCH(G$2, Players!$A$1:$P$1, 0)), perc_75, VLOOKUP(G$2, Percentiles!$A$45:$I$59, 6, FALSE), perc_90, VLOOKUP(G$2, Percentiles!$A$45:$I$59, 7, FALSE), perc_95, VLOOKUP(G$2, Percentiles!$A$45:$I$59, 8, FALSE), perc_85, perc_75 + (perc_90 - perc_75) * (2/3), converted_stat, '2K_Ratings'!G763, IF(bbgm_stat &gt;= perc_95, converted_stat * 3, IF(bbgm_stat &gt;= perc_90, converted_stat * 2, IF(bbgm_stat &gt;= perc_85, converted_stat * 1.5, converted_stat)))))</f>
        <v/>
      </c>
      <c r="H763" s="30" t="str">
        <f t="array" ref="H763">IF($A763="", "", LET(bbgm_stat, INDEX(Players!$A762:$P762, MATCH(H$2, Players!$A$1:$P$1, 0)), perc_75, VLOOKUP(H$2, Percentiles!$A$45:$I$59, 6, FALSE), perc_90, VLOOKUP(H$2, Percentiles!$A$45:$I$59, 7, FALSE), perc_95, VLOOKUP(H$2, Percentiles!$A$45:$I$59, 8, FALSE), perc_85, perc_75 + (perc_90 - perc_75) * (2/3), converted_stat, '2K_Ratings'!H763, IF(bbgm_stat &gt;= perc_95, converted_stat * 3, IF(bbgm_stat &gt;= perc_90, converted_stat * 2, IF(bbgm_stat &gt;= perc_85, converted_stat * 1.5, converted_stat)))))</f>
        <v/>
      </c>
      <c r="I763" s="30" t="str">
        <f t="array" ref="I763">IF($A763="", "", LET(bbgm_stat, INDEX(Players!$A762:$P762, MATCH(I$2, Players!$A$1:$P$1, 0)), perc_75, VLOOKUP(I$2, Percentiles!$A$45:$I$59, 6, FALSE), perc_90, VLOOKUP(I$2, Percentiles!$A$45:$I$59, 7, FALSE), perc_95, VLOOKUP(I$2, Percentiles!$A$45:$I$59, 8, FALSE), perc_85, perc_75 + (perc_90 - perc_75) * (2/3), converted_stat, '2K_Ratings'!I763, IF(bbgm_stat &gt;= perc_95, converted_stat * 3, IF(bbgm_stat &gt;= perc_90, converted_stat * 2, IF(bbgm_stat &gt;= perc_85, converted_stat * 1.5, converted_stat)))))</f>
        <v/>
      </c>
      <c r="J763" s="30" t="str">
        <f t="array" ref="J763">IF($A763="", "", LET(bbgm_stat, INDEX(Players!$A762:$P762, MATCH(J$2, Players!$A$1:$P$1, 0)), perc_75, VLOOKUP(J$2, Percentiles!$A$45:$I$59, 6, FALSE), perc_90, VLOOKUP(J$2, Percentiles!$A$45:$I$59, 7, FALSE), perc_95, VLOOKUP(J$2, Percentiles!$A$45:$I$59, 8, FALSE), perc_85, perc_75 + (perc_90 - perc_75) * (2/3), converted_stat, '2K_Ratings'!J763, IF(bbgm_stat &gt;= perc_95, converted_stat * 3, IF(bbgm_stat &gt;= perc_90, converted_stat * 2, IF(bbgm_stat &gt;= perc_85, converted_stat * 1.5, converted_stat)))))</f>
        <v/>
      </c>
      <c r="K763" s="30" t="str">
        <f t="array" ref="K763">IF($A763="", "", LET(bbgm_stat, INDEX(Players!$A762:$P762, MATCH(K$2, Players!$A$1:$P$1, 0)), perc_75, VLOOKUP(K$2, Percentiles!$A$45:$I$59, 6, FALSE), perc_90, VLOOKUP(K$2, Percentiles!$A$45:$I$59, 7, FALSE), perc_95, VLOOKUP(K$2, Percentiles!$A$45:$I$59, 8, FALSE), perc_85, perc_75 + (perc_90 - perc_75) * (2/3), converted_stat, '2K_Ratings'!K763, IF(bbgm_stat &gt;= perc_95, converted_stat * 3, IF(bbgm_stat &gt;= perc_90, converted_stat * 2, IF(bbgm_stat &gt;= perc_85, converted_stat * 1.5, converted_stat)))))</f>
        <v/>
      </c>
      <c r="L763" s="30" t="str">
        <f t="array" ref="L763">IF($A763="", "", LET(bbgm_stat, INDEX(Players!$A762:$P762, MATCH(L$2, Players!$A$1:$P$1, 0)), perc_75, VLOOKUP(L$2, Percentiles!$A$45:$I$59, 6, FALSE), perc_90, VLOOKUP(L$2, Percentiles!$A$45:$I$59, 7, FALSE), perc_95, VLOOKUP(L$2, Percentiles!$A$45:$I$59, 8, FALSE), perc_85, perc_75 + (perc_90 - perc_75) * (2/3), converted_stat, '2K_Ratings'!L763, IF(bbgm_stat &gt;= perc_95, converted_stat * 3, IF(bbgm_stat &gt;= perc_90, converted_stat * 2, IF(bbgm_stat &gt;= perc_85, converted_stat * 1.5, converted_stat)))))</f>
        <v/>
      </c>
      <c r="M763" s="30" t="str">
        <f t="array" ref="M763">IF($A763="", "", LET(bbgm_stat, INDEX(Players!$A762:$P762, MATCH(M$2, Players!$A$1:$P$1, 0)), perc_75, VLOOKUP(M$2, Percentiles!$A$45:$I$59, 6, FALSE), perc_90, VLOOKUP(M$2, Percentiles!$A$45:$I$59, 7, FALSE), perc_95, VLOOKUP(M$2, Percentiles!$A$45:$I$59, 8, FALSE), perc_85, perc_75 + (perc_90 - perc_75) * (2/3), converted_stat, '2K_Ratings'!M763, IF(bbgm_stat &gt;= perc_95, converted_stat * 3, IF(bbgm_stat &gt;= perc_90, converted_stat * 2, IF(bbgm_stat &gt;= perc_85, converted_stat * 1.5, converted_stat)))))</f>
        <v/>
      </c>
      <c r="N763" s="30" t="str">
        <f t="array" ref="N763">IF($A763="", "", LET(bbgm_stat, INDEX(Players!$A762:$P762, MATCH(N$2, Players!$A$1:$P$1, 0)), perc_75, VLOOKUP(N$2, Percentiles!$A$45:$I$59, 6, FALSE), perc_90, VLOOKUP(N$2, Percentiles!$A$45:$I$59, 7, FALSE), perc_95, VLOOKUP(N$2, Percentiles!$A$45:$I$59, 8, FALSE), perc_85, perc_75 + (perc_90 - perc_75) * (2/3), converted_stat, '2K_Ratings'!N763, IF(bbgm_stat &gt;= perc_95, converted_stat * 3, IF(bbgm_stat &gt;= perc_90, converted_stat * 2, IF(bbgm_stat &gt;= perc_85, converted_stat * 1.5, converted_stat)))))</f>
        <v/>
      </c>
      <c r="O763" s="30" t="str">
        <f t="array" ref="O763">IF($A763="", "", LET(bbgm_stat, INDEX(Players!$A762:$P762, MATCH(O$2, Players!$A$1:$P$1, 0)), perc_75, VLOOKUP(O$2, Percentiles!$A$45:$I$59, 6, FALSE), perc_90, VLOOKUP(O$2, Percentiles!$A$45:$I$59, 7, FALSE), perc_95, VLOOKUP(O$2, Percentiles!$A$45:$I$59, 8, FALSE), perc_85, perc_75 + (perc_90 - perc_75) * (2/3), converted_stat, '2K_Ratings'!O763, IF(bbgm_stat &gt;= perc_95, converted_stat * 3, IF(bbgm_stat &gt;= perc_90, converted_stat * 2, IF(bbgm_stat &gt;= perc_85, converted_stat * 1.5, converted_stat)))))</f>
        <v/>
      </c>
      <c r="P763" s="30" t="str">
        <f t="array" ref="P763">IF($A763="", "", LET(bbgm_stat, INDEX(Players!$A762:$P762, MATCH(P$2, Players!$A$1:$P$1, 0)), perc_75, VLOOKUP(P$2, Percentiles!$A$45:$I$59, 6, FALSE), perc_90, VLOOKUP(P$2, Percentiles!$A$45:$I$59, 7, FALSE), perc_95, VLOOKUP(P$2, Percentiles!$A$45:$I$59, 8, FALSE), perc_85, perc_75 + (perc_90 - perc_75) * (2/3), converted_stat, '2K_Ratings'!P763, IF(bbgm_stat &gt;= perc_95, converted_stat * 3, IF(bbgm_stat &gt;= perc_90, converted_stat * 2, IF(bbgm_stat &gt;= perc_85, converted_stat * 1.5, converted_stat)))))</f>
        <v/>
      </c>
      <c r="Q763" s="30" t="str">
        <f t="array" ref="Q763">IF($A763="", "", LET(bbgm_stat, INDEX(Players!$A762:$P762, MATCH(Q$2, Players!$A$1:$P$1, 0)), perc_75, VLOOKUP(Q$2, Percentiles!$A$45:$I$59, 6, FALSE), perc_90, VLOOKUP(Q$2, Percentiles!$A$45:$I$59, 7, FALSE), perc_95, VLOOKUP(Q$2, Percentiles!$A$45:$I$59, 8, FALSE), perc_85, perc_75 + (perc_90 - perc_75) * (2/3), converted_stat, '2K_Ratings'!Q763, IF(bbgm_stat &gt;= perc_95, converted_stat * 3, IF(bbgm_stat &gt;= perc_90, converted_stat * 2, IF(bbgm_stat &gt;= perc_85, converted_stat * 1.5, converted_stat)))))</f>
        <v/>
      </c>
      <c r="R763" s="30" t="str">
        <f t="array" ref="R763">IF($A763="", "", LET(bbgm_stat, INDEX(Players!$A762:$P762, MATCH(R$2, Players!$A$1:$P$1, 0)), perc_75, VLOOKUP(R$2, Percentiles!$A$45:$I$59, 6, FALSE), perc_90, VLOOKUP(R$2, Percentiles!$A$45:$I$59, 7, FALSE), perc_95, VLOOKUP(R$2, Percentiles!$A$45:$I$59, 8, FALSE), perc_85, perc_75 + (perc_90 - perc_75) * (2/3), converted_stat, '2K_Ratings'!R763, IF(bbgm_stat &gt;= perc_95, converted_stat * 3, IF(bbgm_stat &gt;= perc_90, converted_stat * 2, IF(bbgm_stat &gt;= perc_85, converted_stat * 1.5, converted_stat)))))</f>
        <v/>
      </c>
      <c r="S763" s="30" t="str">
        <f t="array" ref="S763">IF($A763="", "", LET(bbgm_stat, INDEX(Players!$A762:$P762, MATCH(S$2, Players!$A$1:$P$1, 0)), perc_75, VLOOKUP(S$2, Percentiles!$A$45:$I$59, 6, FALSE), perc_90, VLOOKUP(S$2, Percentiles!$A$45:$I$59, 7, FALSE), perc_95, VLOOKUP(S$2, Percentiles!$A$45:$I$59, 8, FALSE), perc_85, perc_75 + (perc_90 - perc_75) * (2/3), converted_stat, '2K_Ratings'!S763, IF(bbgm_stat &gt;= perc_95, converted_stat * 3, IF(bbgm_stat &gt;= perc_90, converted_stat * 2, IF(bbgm_stat &gt;= perc_85, converted_stat * 1.5, converted_stat)))))</f>
        <v/>
      </c>
      <c r="T763" s="30" t="str">
        <f t="array" ref="T763">IF($A763="", "", LET(bbgm_stat, INDEX(Players!$A762:$P762, MATCH(T$2, Players!$A$1:$P$1, 0)), perc_75, VLOOKUP(T$2, Percentiles!$A$45:$I$59, 6, FALSE), perc_90, VLOOKUP(T$2, Percentiles!$A$45:$I$59, 7, FALSE), perc_95, VLOOKUP(T$2, Percentiles!$A$45:$I$59, 8, FALSE), perc_85, perc_75 + (perc_90 - perc_75) * (2/3), converted_stat, '2K_Ratings'!T763, IF(bbgm_stat &gt;= perc_95, converted_stat * 3, IF(bbgm_stat &gt;= perc_90, converted_stat * 2, IF(bbgm_stat &gt;= perc_85, converted_stat * 1.5, converted_stat)))))</f>
        <v/>
      </c>
      <c r="U763" s="30" t="str">
        <f t="array" ref="U763">IF($A763="", "", LET(bbgm_stat, INDEX(Players!$A762:$P762, MATCH(U$2, Players!$A$1:$P$1, 0)), perc_75, VLOOKUP(U$2, Percentiles!$A$45:$I$59, 6, FALSE), perc_90, VLOOKUP(U$2, Percentiles!$A$45:$I$59, 7, FALSE), perc_95, VLOOKUP(U$2, Percentiles!$A$45:$I$59, 8, FALSE), perc_85, perc_75 + (perc_90 - perc_75) * (2/3), converted_stat, '2K_Ratings'!U763, IF(bbgm_stat &gt;= perc_95, converted_stat * 3, IF(bbgm_stat &gt;= perc_90, converted_stat * 2, IF(bbgm_stat &gt;= perc_85, converted_stat * 1.5, converted_stat)))))</f>
        <v/>
      </c>
      <c r="V763" s="30" t="str">
        <f t="array" ref="V763">IF($A763="", "", LET(bbgm_stat, INDEX(Players!$A762:$P762, MATCH(V$2, Players!$A$1:$P$1, 0)), perc_75, VLOOKUP(V$2, Percentiles!$A$45:$I$59, 6, FALSE), perc_90, VLOOKUP(V$2, Percentiles!$A$45:$I$59, 7, FALSE), perc_95, VLOOKUP(V$2, Percentiles!$A$45:$I$59, 8, FALSE), perc_85, perc_75 + (perc_90 - perc_75) * (2/3), converted_stat, '2K_Ratings'!V763, IF(bbgm_stat &gt;= perc_95, converted_stat * 3, IF(bbgm_stat &gt;= perc_90, converted_stat * 2, IF(bbgm_stat &gt;= perc_85, converted_stat * 1.5, converted_stat)))))</f>
        <v/>
      </c>
      <c r="W763" s="30" t="str">
        <f t="array" ref="W763">IF($A763="", "", LET(bbgm_stat, INDEX(Players!$A762:$P762, MATCH(W$2, Players!$A$1:$P$1, 0)), perc_75, VLOOKUP(W$2, Percentiles!$A$45:$I$59, 6, FALSE), perc_90, VLOOKUP(W$2, Percentiles!$A$45:$I$59, 7, FALSE), perc_95, VLOOKUP(W$2, Percentiles!$A$45:$I$59, 8, FALSE), perc_85, perc_75 + (perc_90 - perc_75) * (2/3), converted_stat, '2K_Ratings'!W763, IF(bbgm_stat &gt;= perc_95, converted_stat * 3, IF(bbgm_stat &gt;= perc_90, converted_stat * 2, IF(bbgm_stat &gt;= perc_85, converted_stat * 1.5, converted_stat)))))</f>
        <v/>
      </c>
    </row>
    <row r="764">
      <c r="A764" s="30"/>
      <c r="B764" s="30" t="str">
        <f t="array" ref="B764">IF($A764="", "", LET(bbgm_stat, INDEX(Players!$A763:$P763, MATCH(B$2, Players!$A$1:$P$1, 0)), perc_75, VLOOKUP(B$2, Percentiles!$A$45:$I$59, 6, FALSE), perc_90, VLOOKUP(B$2, Percentiles!$A$45:$I$59, 7, FALSE), perc_95, VLOOKUP(B$2, Percentiles!$A$45:$I$59, 8, FALSE), perc_85, perc_75 + (perc_90 - perc_75) * (2/3), converted_stat, '2K_Ratings'!B764, IF(bbgm_stat &gt;= perc_95, converted_stat * 3, IF(bbgm_stat &gt;= perc_90, converted_stat * 2, IF(bbgm_stat &gt;= perc_85, converted_stat * 1.5, converted_stat)))))</f>
        <v/>
      </c>
      <c r="C764" s="30" t="str">
        <f t="array" ref="C764">IF($A764="", "", LET(bbgm_stat, INDEX(Players!$A763:$P763, MATCH(C$2, Players!$A$1:$P$1, 0)), perc_75, VLOOKUP(C$2, Percentiles!$A$45:$I$59, 6, FALSE), perc_90, VLOOKUP(C$2, Percentiles!$A$45:$I$59, 7, FALSE), perc_95, VLOOKUP(C$2, Percentiles!$A$45:$I$59, 8, FALSE), perc_85, perc_75 + (perc_90 - perc_75) * (2/3), converted_stat, '2K_Ratings'!C764, IF(bbgm_stat &gt;= perc_95, converted_stat * 3, IF(bbgm_stat &gt;= perc_90, converted_stat * 2, IF(bbgm_stat &gt;= perc_85, converted_stat * 1.5, converted_stat)))))</f>
        <v/>
      </c>
      <c r="D764" s="30" t="str">
        <f t="array" ref="D764">IF($A764="", "", LET(bbgm_stat, INDEX(Players!$A763:$P763, MATCH(D$2, Players!$A$1:$P$1, 0)), perc_75, VLOOKUP(D$2, Percentiles!$A$45:$I$59, 6, FALSE), perc_90, VLOOKUP(D$2, Percentiles!$A$45:$I$59, 7, FALSE), perc_95, VLOOKUP(D$2, Percentiles!$A$45:$I$59, 8, FALSE), perc_85, perc_75 + (perc_90 - perc_75) * (2/3), converted_stat, '2K_Ratings'!D764, IF(bbgm_stat &gt;= perc_95, converted_stat * 3, IF(bbgm_stat &gt;= perc_90, converted_stat * 2, IF(bbgm_stat &gt;= perc_85, converted_stat * 1.5, converted_stat)))))</f>
        <v/>
      </c>
      <c r="E764" s="30" t="str">
        <f t="array" ref="E764">IF($A764="", "", LET(bbgm_stat, INDEX(Players!$A763:$P763, MATCH(E$2, Players!$A$1:$P$1, 0)), perc_75, VLOOKUP(E$2, Percentiles!$A$45:$I$59, 6, FALSE), perc_90, VLOOKUP(E$2, Percentiles!$A$45:$I$59, 7, FALSE), perc_95, VLOOKUP(E$2, Percentiles!$A$45:$I$59, 8, FALSE), perc_85, perc_75 + (perc_90 - perc_75) * (2/3), converted_stat, '2K_Ratings'!E764, IF(bbgm_stat &gt;= perc_95, converted_stat * 3, IF(bbgm_stat &gt;= perc_90, converted_stat * 2, IF(bbgm_stat &gt;= perc_85, converted_stat * 1.5, converted_stat)))))</f>
        <v/>
      </c>
      <c r="F764" s="30" t="str">
        <f t="array" ref="F764">IF($A764="", "", LET(bbgm_stat, INDEX(Players!$A763:$P763, MATCH(F$2, Players!$A$1:$P$1, 0)), perc_75, VLOOKUP(F$2, Percentiles!$A$45:$I$59, 6, FALSE), perc_90, VLOOKUP(F$2, Percentiles!$A$45:$I$59, 7, FALSE), perc_95, VLOOKUP(F$2, Percentiles!$A$45:$I$59, 8, FALSE), perc_85, perc_75 + (perc_90 - perc_75) * (2/3), converted_stat, '2K_Ratings'!F764, IF(bbgm_stat &gt;= perc_95, converted_stat * 3, IF(bbgm_stat &gt;= perc_90, converted_stat * 2, IF(bbgm_stat &gt;= perc_85, converted_stat * 1.5, converted_stat)))))</f>
        <v/>
      </c>
      <c r="G764" s="30" t="str">
        <f t="array" ref="G764">IF($A764="", "", LET(bbgm_stat, INDEX(Players!$A763:$P763, MATCH(G$2, Players!$A$1:$P$1, 0)), perc_75, VLOOKUP(G$2, Percentiles!$A$45:$I$59, 6, FALSE), perc_90, VLOOKUP(G$2, Percentiles!$A$45:$I$59, 7, FALSE), perc_95, VLOOKUP(G$2, Percentiles!$A$45:$I$59, 8, FALSE), perc_85, perc_75 + (perc_90 - perc_75) * (2/3), converted_stat, '2K_Ratings'!G764, IF(bbgm_stat &gt;= perc_95, converted_stat * 3, IF(bbgm_stat &gt;= perc_90, converted_stat * 2, IF(bbgm_stat &gt;= perc_85, converted_stat * 1.5, converted_stat)))))</f>
        <v/>
      </c>
      <c r="H764" s="30" t="str">
        <f t="array" ref="H764">IF($A764="", "", LET(bbgm_stat, INDEX(Players!$A763:$P763, MATCH(H$2, Players!$A$1:$P$1, 0)), perc_75, VLOOKUP(H$2, Percentiles!$A$45:$I$59, 6, FALSE), perc_90, VLOOKUP(H$2, Percentiles!$A$45:$I$59, 7, FALSE), perc_95, VLOOKUP(H$2, Percentiles!$A$45:$I$59, 8, FALSE), perc_85, perc_75 + (perc_90 - perc_75) * (2/3), converted_stat, '2K_Ratings'!H764, IF(bbgm_stat &gt;= perc_95, converted_stat * 3, IF(bbgm_stat &gt;= perc_90, converted_stat * 2, IF(bbgm_stat &gt;= perc_85, converted_stat * 1.5, converted_stat)))))</f>
        <v/>
      </c>
      <c r="I764" s="30" t="str">
        <f t="array" ref="I764">IF($A764="", "", LET(bbgm_stat, INDEX(Players!$A763:$P763, MATCH(I$2, Players!$A$1:$P$1, 0)), perc_75, VLOOKUP(I$2, Percentiles!$A$45:$I$59, 6, FALSE), perc_90, VLOOKUP(I$2, Percentiles!$A$45:$I$59, 7, FALSE), perc_95, VLOOKUP(I$2, Percentiles!$A$45:$I$59, 8, FALSE), perc_85, perc_75 + (perc_90 - perc_75) * (2/3), converted_stat, '2K_Ratings'!I764, IF(bbgm_stat &gt;= perc_95, converted_stat * 3, IF(bbgm_stat &gt;= perc_90, converted_stat * 2, IF(bbgm_stat &gt;= perc_85, converted_stat * 1.5, converted_stat)))))</f>
        <v/>
      </c>
      <c r="J764" s="30" t="str">
        <f t="array" ref="J764">IF($A764="", "", LET(bbgm_stat, INDEX(Players!$A763:$P763, MATCH(J$2, Players!$A$1:$P$1, 0)), perc_75, VLOOKUP(J$2, Percentiles!$A$45:$I$59, 6, FALSE), perc_90, VLOOKUP(J$2, Percentiles!$A$45:$I$59, 7, FALSE), perc_95, VLOOKUP(J$2, Percentiles!$A$45:$I$59, 8, FALSE), perc_85, perc_75 + (perc_90 - perc_75) * (2/3), converted_stat, '2K_Ratings'!J764, IF(bbgm_stat &gt;= perc_95, converted_stat * 3, IF(bbgm_stat &gt;= perc_90, converted_stat * 2, IF(bbgm_stat &gt;= perc_85, converted_stat * 1.5, converted_stat)))))</f>
        <v/>
      </c>
      <c r="K764" s="30" t="str">
        <f t="array" ref="K764">IF($A764="", "", LET(bbgm_stat, INDEX(Players!$A763:$P763, MATCH(K$2, Players!$A$1:$P$1, 0)), perc_75, VLOOKUP(K$2, Percentiles!$A$45:$I$59, 6, FALSE), perc_90, VLOOKUP(K$2, Percentiles!$A$45:$I$59, 7, FALSE), perc_95, VLOOKUP(K$2, Percentiles!$A$45:$I$59, 8, FALSE), perc_85, perc_75 + (perc_90 - perc_75) * (2/3), converted_stat, '2K_Ratings'!K764, IF(bbgm_stat &gt;= perc_95, converted_stat * 3, IF(bbgm_stat &gt;= perc_90, converted_stat * 2, IF(bbgm_stat &gt;= perc_85, converted_stat * 1.5, converted_stat)))))</f>
        <v/>
      </c>
      <c r="L764" s="30" t="str">
        <f t="array" ref="L764">IF($A764="", "", LET(bbgm_stat, INDEX(Players!$A763:$P763, MATCH(L$2, Players!$A$1:$P$1, 0)), perc_75, VLOOKUP(L$2, Percentiles!$A$45:$I$59, 6, FALSE), perc_90, VLOOKUP(L$2, Percentiles!$A$45:$I$59, 7, FALSE), perc_95, VLOOKUP(L$2, Percentiles!$A$45:$I$59, 8, FALSE), perc_85, perc_75 + (perc_90 - perc_75) * (2/3), converted_stat, '2K_Ratings'!L764, IF(bbgm_stat &gt;= perc_95, converted_stat * 3, IF(bbgm_stat &gt;= perc_90, converted_stat * 2, IF(bbgm_stat &gt;= perc_85, converted_stat * 1.5, converted_stat)))))</f>
        <v/>
      </c>
      <c r="M764" s="30" t="str">
        <f t="array" ref="M764">IF($A764="", "", LET(bbgm_stat, INDEX(Players!$A763:$P763, MATCH(M$2, Players!$A$1:$P$1, 0)), perc_75, VLOOKUP(M$2, Percentiles!$A$45:$I$59, 6, FALSE), perc_90, VLOOKUP(M$2, Percentiles!$A$45:$I$59, 7, FALSE), perc_95, VLOOKUP(M$2, Percentiles!$A$45:$I$59, 8, FALSE), perc_85, perc_75 + (perc_90 - perc_75) * (2/3), converted_stat, '2K_Ratings'!M764, IF(bbgm_stat &gt;= perc_95, converted_stat * 3, IF(bbgm_stat &gt;= perc_90, converted_stat * 2, IF(bbgm_stat &gt;= perc_85, converted_stat * 1.5, converted_stat)))))</f>
        <v/>
      </c>
      <c r="N764" s="30" t="str">
        <f t="array" ref="N764">IF($A764="", "", LET(bbgm_stat, INDEX(Players!$A763:$P763, MATCH(N$2, Players!$A$1:$P$1, 0)), perc_75, VLOOKUP(N$2, Percentiles!$A$45:$I$59, 6, FALSE), perc_90, VLOOKUP(N$2, Percentiles!$A$45:$I$59, 7, FALSE), perc_95, VLOOKUP(N$2, Percentiles!$A$45:$I$59, 8, FALSE), perc_85, perc_75 + (perc_90 - perc_75) * (2/3), converted_stat, '2K_Ratings'!N764, IF(bbgm_stat &gt;= perc_95, converted_stat * 3, IF(bbgm_stat &gt;= perc_90, converted_stat * 2, IF(bbgm_stat &gt;= perc_85, converted_stat * 1.5, converted_stat)))))</f>
        <v/>
      </c>
      <c r="O764" s="30" t="str">
        <f t="array" ref="O764">IF($A764="", "", LET(bbgm_stat, INDEX(Players!$A763:$P763, MATCH(O$2, Players!$A$1:$P$1, 0)), perc_75, VLOOKUP(O$2, Percentiles!$A$45:$I$59, 6, FALSE), perc_90, VLOOKUP(O$2, Percentiles!$A$45:$I$59, 7, FALSE), perc_95, VLOOKUP(O$2, Percentiles!$A$45:$I$59, 8, FALSE), perc_85, perc_75 + (perc_90 - perc_75) * (2/3), converted_stat, '2K_Ratings'!O764, IF(bbgm_stat &gt;= perc_95, converted_stat * 3, IF(bbgm_stat &gt;= perc_90, converted_stat * 2, IF(bbgm_stat &gt;= perc_85, converted_stat * 1.5, converted_stat)))))</f>
        <v/>
      </c>
      <c r="P764" s="30" t="str">
        <f t="array" ref="P764">IF($A764="", "", LET(bbgm_stat, INDEX(Players!$A763:$P763, MATCH(P$2, Players!$A$1:$P$1, 0)), perc_75, VLOOKUP(P$2, Percentiles!$A$45:$I$59, 6, FALSE), perc_90, VLOOKUP(P$2, Percentiles!$A$45:$I$59, 7, FALSE), perc_95, VLOOKUP(P$2, Percentiles!$A$45:$I$59, 8, FALSE), perc_85, perc_75 + (perc_90 - perc_75) * (2/3), converted_stat, '2K_Ratings'!P764, IF(bbgm_stat &gt;= perc_95, converted_stat * 3, IF(bbgm_stat &gt;= perc_90, converted_stat * 2, IF(bbgm_stat &gt;= perc_85, converted_stat * 1.5, converted_stat)))))</f>
        <v/>
      </c>
      <c r="Q764" s="30" t="str">
        <f t="array" ref="Q764">IF($A764="", "", LET(bbgm_stat, INDEX(Players!$A763:$P763, MATCH(Q$2, Players!$A$1:$P$1, 0)), perc_75, VLOOKUP(Q$2, Percentiles!$A$45:$I$59, 6, FALSE), perc_90, VLOOKUP(Q$2, Percentiles!$A$45:$I$59, 7, FALSE), perc_95, VLOOKUP(Q$2, Percentiles!$A$45:$I$59, 8, FALSE), perc_85, perc_75 + (perc_90 - perc_75) * (2/3), converted_stat, '2K_Ratings'!Q764, IF(bbgm_stat &gt;= perc_95, converted_stat * 3, IF(bbgm_stat &gt;= perc_90, converted_stat * 2, IF(bbgm_stat &gt;= perc_85, converted_stat * 1.5, converted_stat)))))</f>
        <v/>
      </c>
      <c r="R764" s="30" t="str">
        <f t="array" ref="R764">IF($A764="", "", LET(bbgm_stat, INDEX(Players!$A763:$P763, MATCH(R$2, Players!$A$1:$P$1, 0)), perc_75, VLOOKUP(R$2, Percentiles!$A$45:$I$59, 6, FALSE), perc_90, VLOOKUP(R$2, Percentiles!$A$45:$I$59, 7, FALSE), perc_95, VLOOKUP(R$2, Percentiles!$A$45:$I$59, 8, FALSE), perc_85, perc_75 + (perc_90 - perc_75) * (2/3), converted_stat, '2K_Ratings'!R764, IF(bbgm_stat &gt;= perc_95, converted_stat * 3, IF(bbgm_stat &gt;= perc_90, converted_stat * 2, IF(bbgm_stat &gt;= perc_85, converted_stat * 1.5, converted_stat)))))</f>
        <v/>
      </c>
      <c r="S764" s="30" t="str">
        <f t="array" ref="S764">IF($A764="", "", LET(bbgm_stat, INDEX(Players!$A763:$P763, MATCH(S$2, Players!$A$1:$P$1, 0)), perc_75, VLOOKUP(S$2, Percentiles!$A$45:$I$59, 6, FALSE), perc_90, VLOOKUP(S$2, Percentiles!$A$45:$I$59, 7, FALSE), perc_95, VLOOKUP(S$2, Percentiles!$A$45:$I$59, 8, FALSE), perc_85, perc_75 + (perc_90 - perc_75) * (2/3), converted_stat, '2K_Ratings'!S764, IF(bbgm_stat &gt;= perc_95, converted_stat * 3, IF(bbgm_stat &gt;= perc_90, converted_stat * 2, IF(bbgm_stat &gt;= perc_85, converted_stat * 1.5, converted_stat)))))</f>
        <v/>
      </c>
      <c r="T764" s="30" t="str">
        <f t="array" ref="T764">IF($A764="", "", LET(bbgm_stat, INDEX(Players!$A763:$P763, MATCH(T$2, Players!$A$1:$P$1, 0)), perc_75, VLOOKUP(T$2, Percentiles!$A$45:$I$59, 6, FALSE), perc_90, VLOOKUP(T$2, Percentiles!$A$45:$I$59, 7, FALSE), perc_95, VLOOKUP(T$2, Percentiles!$A$45:$I$59, 8, FALSE), perc_85, perc_75 + (perc_90 - perc_75) * (2/3), converted_stat, '2K_Ratings'!T764, IF(bbgm_stat &gt;= perc_95, converted_stat * 3, IF(bbgm_stat &gt;= perc_90, converted_stat * 2, IF(bbgm_stat &gt;= perc_85, converted_stat * 1.5, converted_stat)))))</f>
        <v/>
      </c>
      <c r="U764" s="30" t="str">
        <f t="array" ref="U764">IF($A764="", "", LET(bbgm_stat, INDEX(Players!$A763:$P763, MATCH(U$2, Players!$A$1:$P$1, 0)), perc_75, VLOOKUP(U$2, Percentiles!$A$45:$I$59, 6, FALSE), perc_90, VLOOKUP(U$2, Percentiles!$A$45:$I$59, 7, FALSE), perc_95, VLOOKUP(U$2, Percentiles!$A$45:$I$59, 8, FALSE), perc_85, perc_75 + (perc_90 - perc_75) * (2/3), converted_stat, '2K_Ratings'!U764, IF(bbgm_stat &gt;= perc_95, converted_stat * 3, IF(bbgm_stat &gt;= perc_90, converted_stat * 2, IF(bbgm_stat &gt;= perc_85, converted_stat * 1.5, converted_stat)))))</f>
        <v/>
      </c>
      <c r="V764" s="30" t="str">
        <f t="array" ref="V764">IF($A764="", "", LET(bbgm_stat, INDEX(Players!$A763:$P763, MATCH(V$2, Players!$A$1:$P$1, 0)), perc_75, VLOOKUP(V$2, Percentiles!$A$45:$I$59, 6, FALSE), perc_90, VLOOKUP(V$2, Percentiles!$A$45:$I$59, 7, FALSE), perc_95, VLOOKUP(V$2, Percentiles!$A$45:$I$59, 8, FALSE), perc_85, perc_75 + (perc_90 - perc_75) * (2/3), converted_stat, '2K_Ratings'!V764, IF(bbgm_stat &gt;= perc_95, converted_stat * 3, IF(bbgm_stat &gt;= perc_90, converted_stat * 2, IF(bbgm_stat &gt;= perc_85, converted_stat * 1.5, converted_stat)))))</f>
        <v/>
      </c>
      <c r="W764" s="30" t="str">
        <f t="array" ref="W764">IF($A764="", "", LET(bbgm_stat, INDEX(Players!$A763:$P763, MATCH(W$2, Players!$A$1:$P$1, 0)), perc_75, VLOOKUP(W$2, Percentiles!$A$45:$I$59, 6, FALSE), perc_90, VLOOKUP(W$2, Percentiles!$A$45:$I$59, 7, FALSE), perc_95, VLOOKUP(W$2, Percentiles!$A$45:$I$59, 8, FALSE), perc_85, perc_75 + (perc_90 - perc_75) * (2/3), converted_stat, '2K_Ratings'!W764, IF(bbgm_stat &gt;= perc_95, converted_stat * 3, IF(bbgm_stat &gt;= perc_90, converted_stat * 2, IF(bbgm_stat &gt;= perc_85, converted_stat * 1.5, converted_stat)))))</f>
        <v/>
      </c>
    </row>
    <row r="765">
      <c r="A765" s="30"/>
      <c r="B765" s="30" t="str">
        <f t="array" ref="B765">IF($A765="", "", LET(bbgm_stat, INDEX(Players!$A764:$P764, MATCH(B$2, Players!$A$1:$P$1, 0)), perc_75, VLOOKUP(B$2, Percentiles!$A$45:$I$59, 6, FALSE), perc_90, VLOOKUP(B$2, Percentiles!$A$45:$I$59, 7, FALSE), perc_95, VLOOKUP(B$2, Percentiles!$A$45:$I$59, 8, FALSE), perc_85, perc_75 + (perc_90 - perc_75) * (2/3), converted_stat, '2K_Ratings'!B765, IF(bbgm_stat &gt;= perc_95, converted_stat * 3, IF(bbgm_stat &gt;= perc_90, converted_stat * 2, IF(bbgm_stat &gt;= perc_85, converted_stat * 1.5, converted_stat)))))</f>
        <v/>
      </c>
      <c r="C765" s="30" t="str">
        <f t="array" ref="C765">IF($A765="", "", LET(bbgm_stat, INDEX(Players!$A764:$P764, MATCH(C$2, Players!$A$1:$P$1, 0)), perc_75, VLOOKUP(C$2, Percentiles!$A$45:$I$59, 6, FALSE), perc_90, VLOOKUP(C$2, Percentiles!$A$45:$I$59, 7, FALSE), perc_95, VLOOKUP(C$2, Percentiles!$A$45:$I$59, 8, FALSE), perc_85, perc_75 + (perc_90 - perc_75) * (2/3), converted_stat, '2K_Ratings'!C765, IF(bbgm_stat &gt;= perc_95, converted_stat * 3, IF(bbgm_stat &gt;= perc_90, converted_stat * 2, IF(bbgm_stat &gt;= perc_85, converted_stat * 1.5, converted_stat)))))</f>
        <v/>
      </c>
      <c r="D765" s="30" t="str">
        <f t="array" ref="D765">IF($A765="", "", LET(bbgm_stat, INDEX(Players!$A764:$P764, MATCH(D$2, Players!$A$1:$P$1, 0)), perc_75, VLOOKUP(D$2, Percentiles!$A$45:$I$59, 6, FALSE), perc_90, VLOOKUP(D$2, Percentiles!$A$45:$I$59, 7, FALSE), perc_95, VLOOKUP(D$2, Percentiles!$A$45:$I$59, 8, FALSE), perc_85, perc_75 + (perc_90 - perc_75) * (2/3), converted_stat, '2K_Ratings'!D765, IF(bbgm_stat &gt;= perc_95, converted_stat * 3, IF(bbgm_stat &gt;= perc_90, converted_stat * 2, IF(bbgm_stat &gt;= perc_85, converted_stat * 1.5, converted_stat)))))</f>
        <v/>
      </c>
      <c r="E765" s="30" t="str">
        <f t="array" ref="E765">IF($A765="", "", LET(bbgm_stat, INDEX(Players!$A764:$P764, MATCH(E$2, Players!$A$1:$P$1, 0)), perc_75, VLOOKUP(E$2, Percentiles!$A$45:$I$59, 6, FALSE), perc_90, VLOOKUP(E$2, Percentiles!$A$45:$I$59, 7, FALSE), perc_95, VLOOKUP(E$2, Percentiles!$A$45:$I$59, 8, FALSE), perc_85, perc_75 + (perc_90 - perc_75) * (2/3), converted_stat, '2K_Ratings'!E765, IF(bbgm_stat &gt;= perc_95, converted_stat * 3, IF(bbgm_stat &gt;= perc_90, converted_stat * 2, IF(bbgm_stat &gt;= perc_85, converted_stat * 1.5, converted_stat)))))</f>
        <v/>
      </c>
      <c r="F765" s="30" t="str">
        <f t="array" ref="F765">IF($A765="", "", LET(bbgm_stat, INDEX(Players!$A764:$P764, MATCH(F$2, Players!$A$1:$P$1, 0)), perc_75, VLOOKUP(F$2, Percentiles!$A$45:$I$59, 6, FALSE), perc_90, VLOOKUP(F$2, Percentiles!$A$45:$I$59, 7, FALSE), perc_95, VLOOKUP(F$2, Percentiles!$A$45:$I$59, 8, FALSE), perc_85, perc_75 + (perc_90 - perc_75) * (2/3), converted_stat, '2K_Ratings'!F765, IF(bbgm_stat &gt;= perc_95, converted_stat * 3, IF(bbgm_stat &gt;= perc_90, converted_stat * 2, IF(bbgm_stat &gt;= perc_85, converted_stat * 1.5, converted_stat)))))</f>
        <v/>
      </c>
      <c r="G765" s="30" t="str">
        <f t="array" ref="G765">IF($A765="", "", LET(bbgm_stat, INDEX(Players!$A764:$P764, MATCH(G$2, Players!$A$1:$P$1, 0)), perc_75, VLOOKUP(G$2, Percentiles!$A$45:$I$59, 6, FALSE), perc_90, VLOOKUP(G$2, Percentiles!$A$45:$I$59, 7, FALSE), perc_95, VLOOKUP(G$2, Percentiles!$A$45:$I$59, 8, FALSE), perc_85, perc_75 + (perc_90 - perc_75) * (2/3), converted_stat, '2K_Ratings'!G765, IF(bbgm_stat &gt;= perc_95, converted_stat * 3, IF(bbgm_stat &gt;= perc_90, converted_stat * 2, IF(bbgm_stat &gt;= perc_85, converted_stat * 1.5, converted_stat)))))</f>
        <v/>
      </c>
      <c r="H765" s="30" t="str">
        <f t="array" ref="H765">IF($A765="", "", LET(bbgm_stat, INDEX(Players!$A764:$P764, MATCH(H$2, Players!$A$1:$P$1, 0)), perc_75, VLOOKUP(H$2, Percentiles!$A$45:$I$59, 6, FALSE), perc_90, VLOOKUP(H$2, Percentiles!$A$45:$I$59, 7, FALSE), perc_95, VLOOKUP(H$2, Percentiles!$A$45:$I$59, 8, FALSE), perc_85, perc_75 + (perc_90 - perc_75) * (2/3), converted_stat, '2K_Ratings'!H765, IF(bbgm_stat &gt;= perc_95, converted_stat * 3, IF(bbgm_stat &gt;= perc_90, converted_stat * 2, IF(bbgm_stat &gt;= perc_85, converted_stat * 1.5, converted_stat)))))</f>
        <v/>
      </c>
      <c r="I765" s="30" t="str">
        <f t="array" ref="I765">IF($A765="", "", LET(bbgm_stat, INDEX(Players!$A764:$P764, MATCH(I$2, Players!$A$1:$P$1, 0)), perc_75, VLOOKUP(I$2, Percentiles!$A$45:$I$59, 6, FALSE), perc_90, VLOOKUP(I$2, Percentiles!$A$45:$I$59, 7, FALSE), perc_95, VLOOKUP(I$2, Percentiles!$A$45:$I$59, 8, FALSE), perc_85, perc_75 + (perc_90 - perc_75) * (2/3), converted_stat, '2K_Ratings'!I765, IF(bbgm_stat &gt;= perc_95, converted_stat * 3, IF(bbgm_stat &gt;= perc_90, converted_stat * 2, IF(bbgm_stat &gt;= perc_85, converted_stat * 1.5, converted_stat)))))</f>
        <v/>
      </c>
      <c r="J765" s="30" t="str">
        <f t="array" ref="J765">IF($A765="", "", LET(bbgm_stat, INDEX(Players!$A764:$P764, MATCH(J$2, Players!$A$1:$P$1, 0)), perc_75, VLOOKUP(J$2, Percentiles!$A$45:$I$59, 6, FALSE), perc_90, VLOOKUP(J$2, Percentiles!$A$45:$I$59, 7, FALSE), perc_95, VLOOKUP(J$2, Percentiles!$A$45:$I$59, 8, FALSE), perc_85, perc_75 + (perc_90 - perc_75) * (2/3), converted_stat, '2K_Ratings'!J765, IF(bbgm_stat &gt;= perc_95, converted_stat * 3, IF(bbgm_stat &gt;= perc_90, converted_stat * 2, IF(bbgm_stat &gt;= perc_85, converted_stat * 1.5, converted_stat)))))</f>
        <v/>
      </c>
      <c r="K765" s="30" t="str">
        <f t="array" ref="K765">IF($A765="", "", LET(bbgm_stat, INDEX(Players!$A764:$P764, MATCH(K$2, Players!$A$1:$P$1, 0)), perc_75, VLOOKUP(K$2, Percentiles!$A$45:$I$59, 6, FALSE), perc_90, VLOOKUP(K$2, Percentiles!$A$45:$I$59, 7, FALSE), perc_95, VLOOKUP(K$2, Percentiles!$A$45:$I$59, 8, FALSE), perc_85, perc_75 + (perc_90 - perc_75) * (2/3), converted_stat, '2K_Ratings'!K765, IF(bbgm_stat &gt;= perc_95, converted_stat * 3, IF(bbgm_stat &gt;= perc_90, converted_stat * 2, IF(bbgm_stat &gt;= perc_85, converted_stat * 1.5, converted_stat)))))</f>
        <v/>
      </c>
      <c r="L765" s="30" t="str">
        <f t="array" ref="L765">IF($A765="", "", LET(bbgm_stat, INDEX(Players!$A764:$P764, MATCH(L$2, Players!$A$1:$P$1, 0)), perc_75, VLOOKUP(L$2, Percentiles!$A$45:$I$59, 6, FALSE), perc_90, VLOOKUP(L$2, Percentiles!$A$45:$I$59, 7, FALSE), perc_95, VLOOKUP(L$2, Percentiles!$A$45:$I$59, 8, FALSE), perc_85, perc_75 + (perc_90 - perc_75) * (2/3), converted_stat, '2K_Ratings'!L765, IF(bbgm_stat &gt;= perc_95, converted_stat * 3, IF(bbgm_stat &gt;= perc_90, converted_stat * 2, IF(bbgm_stat &gt;= perc_85, converted_stat * 1.5, converted_stat)))))</f>
        <v/>
      </c>
      <c r="M765" s="30" t="str">
        <f t="array" ref="M765">IF($A765="", "", LET(bbgm_stat, INDEX(Players!$A764:$P764, MATCH(M$2, Players!$A$1:$P$1, 0)), perc_75, VLOOKUP(M$2, Percentiles!$A$45:$I$59, 6, FALSE), perc_90, VLOOKUP(M$2, Percentiles!$A$45:$I$59, 7, FALSE), perc_95, VLOOKUP(M$2, Percentiles!$A$45:$I$59, 8, FALSE), perc_85, perc_75 + (perc_90 - perc_75) * (2/3), converted_stat, '2K_Ratings'!M765, IF(bbgm_stat &gt;= perc_95, converted_stat * 3, IF(bbgm_stat &gt;= perc_90, converted_stat * 2, IF(bbgm_stat &gt;= perc_85, converted_stat * 1.5, converted_stat)))))</f>
        <v/>
      </c>
      <c r="N765" s="30" t="str">
        <f t="array" ref="N765">IF($A765="", "", LET(bbgm_stat, INDEX(Players!$A764:$P764, MATCH(N$2, Players!$A$1:$P$1, 0)), perc_75, VLOOKUP(N$2, Percentiles!$A$45:$I$59, 6, FALSE), perc_90, VLOOKUP(N$2, Percentiles!$A$45:$I$59, 7, FALSE), perc_95, VLOOKUP(N$2, Percentiles!$A$45:$I$59, 8, FALSE), perc_85, perc_75 + (perc_90 - perc_75) * (2/3), converted_stat, '2K_Ratings'!N765, IF(bbgm_stat &gt;= perc_95, converted_stat * 3, IF(bbgm_stat &gt;= perc_90, converted_stat * 2, IF(bbgm_stat &gt;= perc_85, converted_stat * 1.5, converted_stat)))))</f>
        <v/>
      </c>
      <c r="O765" s="30" t="str">
        <f t="array" ref="O765">IF($A765="", "", LET(bbgm_stat, INDEX(Players!$A764:$P764, MATCH(O$2, Players!$A$1:$P$1, 0)), perc_75, VLOOKUP(O$2, Percentiles!$A$45:$I$59, 6, FALSE), perc_90, VLOOKUP(O$2, Percentiles!$A$45:$I$59, 7, FALSE), perc_95, VLOOKUP(O$2, Percentiles!$A$45:$I$59, 8, FALSE), perc_85, perc_75 + (perc_90 - perc_75) * (2/3), converted_stat, '2K_Ratings'!O765, IF(bbgm_stat &gt;= perc_95, converted_stat * 3, IF(bbgm_stat &gt;= perc_90, converted_stat * 2, IF(bbgm_stat &gt;= perc_85, converted_stat * 1.5, converted_stat)))))</f>
        <v/>
      </c>
      <c r="P765" s="30" t="str">
        <f t="array" ref="P765">IF($A765="", "", LET(bbgm_stat, INDEX(Players!$A764:$P764, MATCH(P$2, Players!$A$1:$P$1, 0)), perc_75, VLOOKUP(P$2, Percentiles!$A$45:$I$59, 6, FALSE), perc_90, VLOOKUP(P$2, Percentiles!$A$45:$I$59, 7, FALSE), perc_95, VLOOKUP(P$2, Percentiles!$A$45:$I$59, 8, FALSE), perc_85, perc_75 + (perc_90 - perc_75) * (2/3), converted_stat, '2K_Ratings'!P765, IF(bbgm_stat &gt;= perc_95, converted_stat * 3, IF(bbgm_stat &gt;= perc_90, converted_stat * 2, IF(bbgm_stat &gt;= perc_85, converted_stat * 1.5, converted_stat)))))</f>
        <v/>
      </c>
      <c r="Q765" s="30" t="str">
        <f t="array" ref="Q765">IF($A765="", "", LET(bbgm_stat, INDEX(Players!$A764:$P764, MATCH(Q$2, Players!$A$1:$P$1, 0)), perc_75, VLOOKUP(Q$2, Percentiles!$A$45:$I$59, 6, FALSE), perc_90, VLOOKUP(Q$2, Percentiles!$A$45:$I$59, 7, FALSE), perc_95, VLOOKUP(Q$2, Percentiles!$A$45:$I$59, 8, FALSE), perc_85, perc_75 + (perc_90 - perc_75) * (2/3), converted_stat, '2K_Ratings'!Q765, IF(bbgm_stat &gt;= perc_95, converted_stat * 3, IF(bbgm_stat &gt;= perc_90, converted_stat * 2, IF(bbgm_stat &gt;= perc_85, converted_stat * 1.5, converted_stat)))))</f>
        <v/>
      </c>
      <c r="R765" s="30" t="str">
        <f t="array" ref="R765">IF($A765="", "", LET(bbgm_stat, INDEX(Players!$A764:$P764, MATCH(R$2, Players!$A$1:$P$1, 0)), perc_75, VLOOKUP(R$2, Percentiles!$A$45:$I$59, 6, FALSE), perc_90, VLOOKUP(R$2, Percentiles!$A$45:$I$59, 7, FALSE), perc_95, VLOOKUP(R$2, Percentiles!$A$45:$I$59, 8, FALSE), perc_85, perc_75 + (perc_90 - perc_75) * (2/3), converted_stat, '2K_Ratings'!R765, IF(bbgm_stat &gt;= perc_95, converted_stat * 3, IF(bbgm_stat &gt;= perc_90, converted_stat * 2, IF(bbgm_stat &gt;= perc_85, converted_stat * 1.5, converted_stat)))))</f>
        <v/>
      </c>
      <c r="S765" s="30" t="str">
        <f t="array" ref="S765">IF($A765="", "", LET(bbgm_stat, INDEX(Players!$A764:$P764, MATCH(S$2, Players!$A$1:$P$1, 0)), perc_75, VLOOKUP(S$2, Percentiles!$A$45:$I$59, 6, FALSE), perc_90, VLOOKUP(S$2, Percentiles!$A$45:$I$59, 7, FALSE), perc_95, VLOOKUP(S$2, Percentiles!$A$45:$I$59, 8, FALSE), perc_85, perc_75 + (perc_90 - perc_75) * (2/3), converted_stat, '2K_Ratings'!S765, IF(bbgm_stat &gt;= perc_95, converted_stat * 3, IF(bbgm_stat &gt;= perc_90, converted_stat * 2, IF(bbgm_stat &gt;= perc_85, converted_stat * 1.5, converted_stat)))))</f>
        <v/>
      </c>
      <c r="T765" s="30" t="str">
        <f t="array" ref="T765">IF($A765="", "", LET(bbgm_stat, INDEX(Players!$A764:$P764, MATCH(T$2, Players!$A$1:$P$1, 0)), perc_75, VLOOKUP(T$2, Percentiles!$A$45:$I$59, 6, FALSE), perc_90, VLOOKUP(T$2, Percentiles!$A$45:$I$59, 7, FALSE), perc_95, VLOOKUP(T$2, Percentiles!$A$45:$I$59, 8, FALSE), perc_85, perc_75 + (perc_90 - perc_75) * (2/3), converted_stat, '2K_Ratings'!T765, IF(bbgm_stat &gt;= perc_95, converted_stat * 3, IF(bbgm_stat &gt;= perc_90, converted_stat * 2, IF(bbgm_stat &gt;= perc_85, converted_stat * 1.5, converted_stat)))))</f>
        <v/>
      </c>
      <c r="U765" s="30" t="str">
        <f t="array" ref="U765">IF($A765="", "", LET(bbgm_stat, INDEX(Players!$A764:$P764, MATCH(U$2, Players!$A$1:$P$1, 0)), perc_75, VLOOKUP(U$2, Percentiles!$A$45:$I$59, 6, FALSE), perc_90, VLOOKUP(U$2, Percentiles!$A$45:$I$59, 7, FALSE), perc_95, VLOOKUP(U$2, Percentiles!$A$45:$I$59, 8, FALSE), perc_85, perc_75 + (perc_90 - perc_75) * (2/3), converted_stat, '2K_Ratings'!U765, IF(bbgm_stat &gt;= perc_95, converted_stat * 3, IF(bbgm_stat &gt;= perc_90, converted_stat * 2, IF(bbgm_stat &gt;= perc_85, converted_stat * 1.5, converted_stat)))))</f>
        <v/>
      </c>
      <c r="V765" s="30" t="str">
        <f t="array" ref="V765">IF($A765="", "", LET(bbgm_stat, INDEX(Players!$A764:$P764, MATCH(V$2, Players!$A$1:$P$1, 0)), perc_75, VLOOKUP(V$2, Percentiles!$A$45:$I$59, 6, FALSE), perc_90, VLOOKUP(V$2, Percentiles!$A$45:$I$59, 7, FALSE), perc_95, VLOOKUP(V$2, Percentiles!$A$45:$I$59, 8, FALSE), perc_85, perc_75 + (perc_90 - perc_75) * (2/3), converted_stat, '2K_Ratings'!V765, IF(bbgm_stat &gt;= perc_95, converted_stat * 3, IF(bbgm_stat &gt;= perc_90, converted_stat * 2, IF(bbgm_stat &gt;= perc_85, converted_stat * 1.5, converted_stat)))))</f>
        <v/>
      </c>
      <c r="W765" s="30" t="str">
        <f t="array" ref="W765">IF($A765="", "", LET(bbgm_stat, INDEX(Players!$A764:$P764, MATCH(W$2, Players!$A$1:$P$1, 0)), perc_75, VLOOKUP(W$2, Percentiles!$A$45:$I$59, 6, FALSE), perc_90, VLOOKUP(W$2, Percentiles!$A$45:$I$59, 7, FALSE), perc_95, VLOOKUP(W$2, Percentiles!$A$45:$I$59, 8, FALSE), perc_85, perc_75 + (perc_90 - perc_75) * (2/3), converted_stat, '2K_Ratings'!W765, IF(bbgm_stat &gt;= perc_95, converted_stat * 3, IF(bbgm_stat &gt;= perc_90, converted_stat * 2, IF(bbgm_stat &gt;= perc_85, converted_stat * 1.5, converted_stat)))))</f>
        <v/>
      </c>
    </row>
    <row r="766">
      <c r="A766" s="30"/>
      <c r="B766" s="30" t="str">
        <f t="array" ref="B766">IF($A766="", "", LET(bbgm_stat, INDEX(Players!$A765:$P765, MATCH(B$2, Players!$A$1:$P$1, 0)), perc_75, VLOOKUP(B$2, Percentiles!$A$45:$I$59, 6, FALSE), perc_90, VLOOKUP(B$2, Percentiles!$A$45:$I$59, 7, FALSE), perc_95, VLOOKUP(B$2, Percentiles!$A$45:$I$59, 8, FALSE), perc_85, perc_75 + (perc_90 - perc_75) * (2/3), converted_stat, '2K_Ratings'!B766, IF(bbgm_stat &gt;= perc_95, converted_stat * 3, IF(bbgm_stat &gt;= perc_90, converted_stat * 2, IF(bbgm_stat &gt;= perc_85, converted_stat * 1.5, converted_stat)))))</f>
        <v/>
      </c>
      <c r="C766" s="30" t="str">
        <f t="array" ref="C766">IF($A766="", "", LET(bbgm_stat, INDEX(Players!$A765:$P765, MATCH(C$2, Players!$A$1:$P$1, 0)), perc_75, VLOOKUP(C$2, Percentiles!$A$45:$I$59, 6, FALSE), perc_90, VLOOKUP(C$2, Percentiles!$A$45:$I$59, 7, FALSE), perc_95, VLOOKUP(C$2, Percentiles!$A$45:$I$59, 8, FALSE), perc_85, perc_75 + (perc_90 - perc_75) * (2/3), converted_stat, '2K_Ratings'!C766, IF(bbgm_stat &gt;= perc_95, converted_stat * 3, IF(bbgm_stat &gt;= perc_90, converted_stat * 2, IF(bbgm_stat &gt;= perc_85, converted_stat * 1.5, converted_stat)))))</f>
        <v/>
      </c>
      <c r="D766" s="30" t="str">
        <f t="array" ref="D766">IF($A766="", "", LET(bbgm_stat, INDEX(Players!$A765:$P765, MATCH(D$2, Players!$A$1:$P$1, 0)), perc_75, VLOOKUP(D$2, Percentiles!$A$45:$I$59, 6, FALSE), perc_90, VLOOKUP(D$2, Percentiles!$A$45:$I$59, 7, FALSE), perc_95, VLOOKUP(D$2, Percentiles!$A$45:$I$59, 8, FALSE), perc_85, perc_75 + (perc_90 - perc_75) * (2/3), converted_stat, '2K_Ratings'!D766, IF(bbgm_stat &gt;= perc_95, converted_stat * 3, IF(bbgm_stat &gt;= perc_90, converted_stat * 2, IF(bbgm_stat &gt;= perc_85, converted_stat * 1.5, converted_stat)))))</f>
        <v/>
      </c>
      <c r="E766" s="30" t="str">
        <f t="array" ref="E766">IF($A766="", "", LET(bbgm_stat, INDEX(Players!$A765:$P765, MATCH(E$2, Players!$A$1:$P$1, 0)), perc_75, VLOOKUP(E$2, Percentiles!$A$45:$I$59, 6, FALSE), perc_90, VLOOKUP(E$2, Percentiles!$A$45:$I$59, 7, FALSE), perc_95, VLOOKUP(E$2, Percentiles!$A$45:$I$59, 8, FALSE), perc_85, perc_75 + (perc_90 - perc_75) * (2/3), converted_stat, '2K_Ratings'!E766, IF(bbgm_stat &gt;= perc_95, converted_stat * 3, IF(bbgm_stat &gt;= perc_90, converted_stat * 2, IF(bbgm_stat &gt;= perc_85, converted_stat * 1.5, converted_stat)))))</f>
        <v/>
      </c>
      <c r="F766" s="30" t="str">
        <f t="array" ref="F766">IF($A766="", "", LET(bbgm_stat, INDEX(Players!$A765:$P765, MATCH(F$2, Players!$A$1:$P$1, 0)), perc_75, VLOOKUP(F$2, Percentiles!$A$45:$I$59, 6, FALSE), perc_90, VLOOKUP(F$2, Percentiles!$A$45:$I$59, 7, FALSE), perc_95, VLOOKUP(F$2, Percentiles!$A$45:$I$59, 8, FALSE), perc_85, perc_75 + (perc_90 - perc_75) * (2/3), converted_stat, '2K_Ratings'!F766, IF(bbgm_stat &gt;= perc_95, converted_stat * 3, IF(bbgm_stat &gt;= perc_90, converted_stat * 2, IF(bbgm_stat &gt;= perc_85, converted_stat * 1.5, converted_stat)))))</f>
        <v/>
      </c>
      <c r="G766" s="30" t="str">
        <f t="array" ref="G766">IF($A766="", "", LET(bbgm_stat, INDEX(Players!$A765:$P765, MATCH(G$2, Players!$A$1:$P$1, 0)), perc_75, VLOOKUP(G$2, Percentiles!$A$45:$I$59, 6, FALSE), perc_90, VLOOKUP(G$2, Percentiles!$A$45:$I$59, 7, FALSE), perc_95, VLOOKUP(G$2, Percentiles!$A$45:$I$59, 8, FALSE), perc_85, perc_75 + (perc_90 - perc_75) * (2/3), converted_stat, '2K_Ratings'!G766, IF(bbgm_stat &gt;= perc_95, converted_stat * 3, IF(bbgm_stat &gt;= perc_90, converted_stat * 2, IF(bbgm_stat &gt;= perc_85, converted_stat * 1.5, converted_stat)))))</f>
        <v/>
      </c>
      <c r="H766" s="30" t="str">
        <f t="array" ref="H766">IF($A766="", "", LET(bbgm_stat, INDEX(Players!$A765:$P765, MATCH(H$2, Players!$A$1:$P$1, 0)), perc_75, VLOOKUP(H$2, Percentiles!$A$45:$I$59, 6, FALSE), perc_90, VLOOKUP(H$2, Percentiles!$A$45:$I$59, 7, FALSE), perc_95, VLOOKUP(H$2, Percentiles!$A$45:$I$59, 8, FALSE), perc_85, perc_75 + (perc_90 - perc_75) * (2/3), converted_stat, '2K_Ratings'!H766, IF(bbgm_stat &gt;= perc_95, converted_stat * 3, IF(bbgm_stat &gt;= perc_90, converted_stat * 2, IF(bbgm_stat &gt;= perc_85, converted_stat * 1.5, converted_stat)))))</f>
        <v/>
      </c>
      <c r="I766" s="30" t="str">
        <f t="array" ref="I766">IF($A766="", "", LET(bbgm_stat, INDEX(Players!$A765:$P765, MATCH(I$2, Players!$A$1:$P$1, 0)), perc_75, VLOOKUP(I$2, Percentiles!$A$45:$I$59, 6, FALSE), perc_90, VLOOKUP(I$2, Percentiles!$A$45:$I$59, 7, FALSE), perc_95, VLOOKUP(I$2, Percentiles!$A$45:$I$59, 8, FALSE), perc_85, perc_75 + (perc_90 - perc_75) * (2/3), converted_stat, '2K_Ratings'!I766, IF(bbgm_stat &gt;= perc_95, converted_stat * 3, IF(bbgm_stat &gt;= perc_90, converted_stat * 2, IF(bbgm_stat &gt;= perc_85, converted_stat * 1.5, converted_stat)))))</f>
        <v/>
      </c>
      <c r="J766" s="30" t="str">
        <f t="array" ref="J766">IF($A766="", "", LET(bbgm_stat, INDEX(Players!$A765:$P765, MATCH(J$2, Players!$A$1:$P$1, 0)), perc_75, VLOOKUP(J$2, Percentiles!$A$45:$I$59, 6, FALSE), perc_90, VLOOKUP(J$2, Percentiles!$A$45:$I$59, 7, FALSE), perc_95, VLOOKUP(J$2, Percentiles!$A$45:$I$59, 8, FALSE), perc_85, perc_75 + (perc_90 - perc_75) * (2/3), converted_stat, '2K_Ratings'!J766, IF(bbgm_stat &gt;= perc_95, converted_stat * 3, IF(bbgm_stat &gt;= perc_90, converted_stat * 2, IF(bbgm_stat &gt;= perc_85, converted_stat * 1.5, converted_stat)))))</f>
        <v/>
      </c>
      <c r="K766" s="30" t="str">
        <f t="array" ref="K766">IF($A766="", "", LET(bbgm_stat, INDEX(Players!$A765:$P765, MATCH(K$2, Players!$A$1:$P$1, 0)), perc_75, VLOOKUP(K$2, Percentiles!$A$45:$I$59, 6, FALSE), perc_90, VLOOKUP(K$2, Percentiles!$A$45:$I$59, 7, FALSE), perc_95, VLOOKUP(K$2, Percentiles!$A$45:$I$59, 8, FALSE), perc_85, perc_75 + (perc_90 - perc_75) * (2/3), converted_stat, '2K_Ratings'!K766, IF(bbgm_stat &gt;= perc_95, converted_stat * 3, IF(bbgm_stat &gt;= perc_90, converted_stat * 2, IF(bbgm_stat &gt;= perc_85, converted_stat * 1.5, converted_stat)))))</f>
        <v/>
      </c>
      <c r="L766" s="30" t="str">
        <f t="array" ref="L766">IF($A766="", "", LET(bbgm_stat, INDEX(Players!$A765:$P765, MATCH(L$2, Players!$A$1:$P$1, 0)), perc_75, VLOOKUP(L$2, Percentiles!$A$45:$I$59, 6, FALSE), perc_90, VLOOKUP(L$2, Percentiles!$A$45:$I$59, 7, FALSE), perc_95, VLOOKUP(L$2, Percentiles!$A$45:$I$59, 8, FALSE), perc_85, perc_75 + (perc_90 - perc_75) * (2/3), converted_stat, '2K_Ratings'!L766, IF(bbgm_stat &gt;= perc_95, converted_stat * 3, IF(bbgm_stat &gt;= perc_90, converted_stat * 2, IF(bbgm_stat &gt;= perc_85, converted_stat * 1.5, converted_stat)))))</f>
        <v/>
      </c>
      <c r="M766" s="30" t="str">
        <f t="array" ref="M766">IF($A766="", "", LET(bbgm_stat, INDEX(Players!$A765:$P765, MATCH(M$2, Players!$A$1:$P$1, 0)), perc_75, VLOOKUP(M$2, Percentiles!$A$45:$I$59, 6, FALSE), perc_90, VLOOKUP(M$2, Percentiles!$A$45:$I$59, 7, FALSE), perc_95, VLOOKUP(M$2, Percentiles!$A$45:$I$59, 8, FALSE), perc_85, perc_75 + (perc_90 - perc_75) * (2/3), converted_stat, '2K_Ratings'!M766, IF(bbgm_stat &gt;= perc_95, converted_stat * 3, IF(bbgm_stat &gt;= perc_90, converted_stat * 2, IF(bbgm_stat &gt;= perc_85, converted_stat * 1.5, converted_stat)))))</f>
        <v/>
      </c>
      <c r="N766" s="30" t="str">
        <f t="array" ref="N766">IF($A766="", "", LET(bbgm_stat, INDEX(Players!$A765:$P765, MATCH(N$2, Players!$A$1:$P$1, 0)), perc_75, VLOOKUP(N$2, Percentiles!$A$45:$I$59, 6, FALSE), perc_90, VLOOKUP(N$2, Percentiles!$A$45:$I$59, 7, FALSE), perc_95, VLOOKUP(N$2, Percentiles!$A$45:$I$59, 8, FALSE), perc_85, perc_75 + (perc_90 - perc_75) * (2/3), converted_stat, '2K_Ratings'!N766, IF(bbgm_stat &gt;= perc_95, converted_stat * 3, IF(bbgm_stat &gt;= perc_90, converted_stat * 2, IF(bbgm_stat &gt;= perc_85, converted_stat * 1.5, converted_stat)))))</f>
        <v/>
      </c>
      <c r="O766" s="30" t="str">
        <f t="array" ref="O766">IF($A766="", "", LET(bbgm_stat, INDEX(Players!$A765:$P765, MATCH(O$2, Players!$A$1:$P$1, 0)), perc_75, VLOOKUP(O$2, Percentiles!$A$45:$I$59, 6, FALSE), perc_90, VLOOKUP(O$2, Percentiles!$A$45:$I$59, 7, FALSE), perc_95, VLOOKUP(O$2, Percentiles!$A$45:$I$59, 8, FALSE), perc_85, perc_75 + (perc_90 - perc_75) * (2/3), converted_stat, '2K_Ratings'!O766, IF(bbgm_stat &gt;= perc_95, converted_stat * 3, IF(bbgm_stat &gt;= perc_90, converted_stat * 2, IF(bbgm_stat &gt;= perc_85, converted_stat * 1.5, converted_stat)))))</f>
        <v/>
      </c>
      <c r="P766" s="30" t="str">
        <f t="array" ref="P766">IF($A766="", "", LET(bbgm_stat, INDEX(Players!$A765:$P765, MATCH(P$2, Players!$A$1:$P$1, 0)), perc_75, VLOOKUP(P$2, Percentiles!$A$45:$I$59, 6, FALSE), perc_90, VLOOKUP(P$2, Percentiles!$A$45:$I$59, 7, FALSE), perc_95, VLOOKUP(P$2, Percentiles!$A$45:$I$59, 8, FALSE), perc_85, perc_75 + (perc_90 - perc_75) * (2/3), converted_stat, '2K_Ratings'!P766, IF(bbgm_stat &gt;= perc_95, converted_stat * 3, IF(bbgm_stat &gt;= perc_90, converted_stat * 2, IF(bbgm_stat &gt;= perc_85, converted_stat * 1.5, converted_stat)))))</f>
        <v/>
      </c>
      <c r="Q766" s="30" t="str">
        <f t="array" ref="Q766">IF($A766="", "", LET(bbgm_stat, INDEX(Players!$A765:$P765, MATCH(Q$2, Players!$A$1:$P$1, 0)), perc_75, VLOOKUP(Q$2, Percentiles!$A$45:$I$59, 6, FALSE), perc_90, VLOOKUP(Q$2, Percentiles!$A$45:$I$59, 7, FALSE), perc_95, VLOOKUP(Q$2, Percentiles!$A$45:$I$59, 8, FALSE), perc_85, perc_75 + (perc_90 - perc_75) * (2/3), converted_stat, '2K_Ratings'!Q766, IF(bbgm_stat &gt;= perc_95, converted_stat * 3, IF(bbgm_stat &gt;= perc_90, converted_stat * 2, IF(bbgm_stat &gt;= perc_85, converted_stat * 1.5, converted_stat)))))</f>
        <v/>
      </c>
      <c r="R766" s="30" t="str">
        <f t="array" ref="R766">IF($A766="", "", LET(bbgm_stat, INDEX(Players!$A765:$P765, MATCH(R$2, Players!$A$1:$P$1, 0)), perc_75, VLOOKUP(R$2, Percentiles!$A$45:$I$59, 6, FALSE), perc_90, VLOOKUP(R$2, Percentiles!$A$45:$I$59, 7, FALSE), perc_95, VLOOKUP(R$2, Percentiles!$A$45:$I$59, 8, FALSE), perc_85, perc_75 + (perc_90 - perc_75) * (2/3), converted_stat, '2K_Ratings'!R766, IF(bbgm_stat &gt;= perc_95, converted_stat * 3, IF(bbgm_stat &gt;= perc_90, converted_stat * 2, IF(bbgm_stat &gt;= perc_85, converted_stat * 1.5, converted_stat)))))</f>
        <v/>
      </c>
      <c r="S766" s="30" t="str">
        <f t="array" ref="S766">IF($A766="", "", LET(bbgm_stat, INDEX(Players!$A765:$P765, MATCH(S$2, Players!$A$1:$P$1, 0)), perc_75, VLOOKUP(S$2, Percentiles!$A$45:$I$59, 6, FALSE), perc_90, VLOOKUP(S$2, Percentiles!$A$45:$I$59, 7, FALSE), perc_95, VLOOKUP(S$2, Percentiles!$A$45:$I$59, 8, FALSE), perc_85, perc_75 + (perc_90 - perc_75) * (2/3), converted_stat, '2K_Ratings'!S766, IF(bbgm_stat &gt;= perc_95, converted_stat * 3, IF(bbgm_stat &gt;= perc_90, converted_stat * 2, IF(bbgm_stat &gt;= perc_85, converted_stat * 1.5, converted_stat)))))</f>
        <v/>
      </c>
      <c r="T766" s="30" t="str">
        <f t="array" ref="T766">IF($A766="", "", LET(bbgm_stat, INDEX(Players!$A765:$P765, MATCH(T$2, Players!$A$1:$P$1, 0)), perc_75, VLOOKUP(T$2, Percentiles!$A$45:$I$59, 6, FALSE), perc_90, VLOOKUP(T$2, Percentiles!$A$45:$I$59, 7, FALSE), perc_95, VLOOKUP(T$2, Percentiles!$A$45:$I$59, 8, FALSE), perc_85, perc_75 + (perc_90 - perc_75) * (2/3), converted_stat, '2K_Ratings'!T766, IF(bbgm_stat &gt;= perc_95, converted_stat * 3, IF(bbgm_stat &gt;= perc_90, converted_stat * 2, IF(bbgm_stat &gt;= perc_85, converted_stat * 1.5, converted_stat)))))</f>
        <v/>
      </c>
      <c r="U766" s="30" t="str">
        <f t="array" ref="U766">IF($A766="", "", LET(bbgm_stat, INDEX(Players!$A765:$P765, MATCH(U$2, Players!$A$1:$P$1, 0)), perc_75, VLOOKUP(U$2, Percentiles!$A$45:$I$59, 6, FALSE), perc_90, VLOOKUP(U$2, Percentiles!$A$45:$I$59, 7, FALSE), perc_95, VLOOKUP(U$2, Percentiles!$A$45:$I$59, 8, FALSE), perc_85, perc_75 + (perc_90 - perc_75) * (2/3), converted_stat, '2K_Ratings'!U766, IF(bbgm_stat &gt;= perc_95, converted_stat * 3, IF(bbgm_stat &gt;= perc_90, converted_stat * 2, IF(bbgm_stat &gt;= perc_85, converted_stat * 1.5, converted_stat)))))</f>
        <v/>
      </c>
      <c r="V766" s="30" t="str">
        <f t="array" ref="V766">IF($A766="", "", LET(bbgm_stat, INDEX(Players!$A765:$P765, MATCH(V$2, Players!$A$1:$P$1, 0)), perc_75, VLOOKUP(V$2, Percentiles!$A$45:$I$59, 6, FALSE), perc_90, VLOOKUP(V$2, Percentiles!$A$45:$I$59, 7, FALSE), perc_95, VLOOKUP(V$2, Percentiles!$A$45:$I$59, 8, FALSE), perc_85, perc_75 + (perc_90 - perc_75) * (2/3), converted_stat, '2K_Ratings'!V766, IF(bbgm_stat &gt;= perc_95, converted_stat * 3, IF(bbgm_stat &gt;= perc_90, converted_stat * 2, IF(bbgm_stat &gt;= perc_85, converted_stat * 1.5, converted_stat)))))</f>
        <v/>
      </c>
      <c r="W766" s="30" t="str">
        <f t="array" ref="W766">IF($A766="", "", LET(bbgm_stat, INDEX(Players!$A765:$P765, MATCH(W$2, Players!$A$1:$P$1, 0)), perc_75, VLOOKUP(W$2, Percentiles!$A$45:$I$59, 6, FALSE), perc_90, VLOOKUP(W$2, Percentiles!$A$45:$I$59, 7, FALSE), perc_95, VLOOKUP(W$2, Percentiles!$A$45:$I$59, 8, FALSE), perc_85, perc_75 + (perc_90 - perc_75) * (2/3), converted_stat, '2K_Ratings'!W766, IF(bbgm_stat &gt;= perc_95, converted_stat * 3, IF(bbgm_stat &gt;= perc_90, converted_stat * 2, IF(bbgm_stat &gt;= perc_85, converted_stat * 1.5, converted_stat)))))</f>
        <v/>
      </c>
    </row>
    <row r="767">
      <c r="A767" s="30"/>
      <c r="B767" s="30" t="str">
        <f t="array" ref="B767">IF($A767="", "", LET(bbgm_stat, INDEX(Players!$A766:$P766, MATCH(B$2, Players!$A$1:$P$1, 0)), perc_75, VLOOKUP(B$2, Percentiles!$A$45:$I$59, 6, FALSE), perc_90, VLOOKUP(B$2, Percentiles!$A$45:$I$59, 7, FALSE), perc_95, VLOOKUP(B$2, Percentiles!$A$45:$I$59, 8, FALSE), perc_85, perc_75 + (perc_90 - perc_75) * (2/3), converted_stat, '2K_Ratings'!B767, IF(bbgm_stat &gt;= perc_95, converted_stat * 3, IF(bbgm_stat &gt;= perc_90, converted_stat * 2, IF(bbgm_stat &gt;= perc_85, converted_stat * 1.5, converted_stat)))))</f>
        <v/>
      </c>
      <c r="C767" s="30" t="str">
        <f t="array" ref="C767">IF($A767="", "", LET(bbgm_stat, INDEX(Players!$A766:$P766, MATCH(C$2, Players!$A$1:$P$1, 0)), perc_75, VLOOKUP(C$2, Percentiles!$A$45:$I$59, 6, FALSE), perc_90, VLOOKUP(C$2, Percentiles!$A$45:$I$59, 7, FALSE), perc_95, VLOOKUP(C$2, Percentiles!$A$45:$I$59, 8, FALSE), perc_85, perc_75 + (perc_90 - perc_75) * (2/3), converted_stat, '2K_Ratings'!C767, IF(bbgm_stat &gt;= perc_95, converted_stat * 3, IF(bbgm_stat &gt;= perc_90, converted_stat * 2, IF(bbgm_stat &gt;= perc_85, converted_stat * 1.5, converted_stat)))))</f>
        <v/>
      </c>
      <c r="D767" s="30" t="str">
        <f t="array" ref="D767">IF($A767="", "", LET(bbgm_stat, INDEX(Players!$A766:$P766, MATCH(D$2, Players!$A$1:$P$1, 0)), perc_75, VLOOKUP(D$2, Percentiles!$A$45:$I$59, 6, FALSE), perc_90, VLOOKUP(D$2, Percentiles!$A$45:$I$59, 7, FALSE), perc_95, VLOOKUP(D$2, Percentiles!$A$45:$I$59, 8, FALSE), perc_85, perc_75 + (perc_90 - perc_75) * (2/3), converted_stat, '2K_Ratings'!D767, IF(bbgm_stat &gt;= perc_95, converted_stat * 3, IF(bbgm_stat &gt;= perc_90, converted_stat * 2, IF(bbgm_stat &gt;= perc_85, converted_stat * 1.5, converted_stat)))))</f>
        <v/>
      </c>
      <c r="E767" s="30" t="str">
        <f t="array" ref="E767">IF($A767="", "", LET(bbgm_stat, INDEX(Players!$A766:$P766, MATCH(E$2, Players!$A$1:$P$1, 0)), perc_75, VLOOKUP(E$2, Percentiles!$A$45:$I$59, 6, FALSE), perc_90, VLOOKUP(E$2, Percentiles!$A$45:$I$59, 7, FALSE), perc_95, VLOOKUP(E$2, Percentiles!$A$45:$I$59, 8, FALSE), perc_85, perc_75 + (perc_90 - perc_75) * (2/3), converted_stat, '2K_Ratings'!E767, IF(bbgm_stat &gt;= perc_95, converted_stat * 3, IF(bbgm_stat &gt;= perc_90, converted_stat * 2, IF(bbgm_stat &gt;= perc_85, converted_stat * 1.5, converted_stat)))))</f>
        <v/>
      </c>
      <c r="F767" s="30" t="str">
        <f t="array" ref="F767">IF($A767="", "", LET(bbgm_stat, INDEX(Players!$A766:$P766, MATCH(F$2, Players!$A$1:$P$1, 0)), perc_75, VLOOKUP(F$2, Percentiles!$A$45:$I$59, 6, FALSE), perc_90, VLOOKUP(F$2, Percentiles!$A$45:$I$59, 7, FALSE), perc_95, VLOOKUP(F$2, Percentiles!$A$45:$I$59, 8, FALSE), perc_85, perc_75 + (perc_90 - perc_75) * (2/3), converted_stat, '2K_Ratings'!F767, IF(bbgm_stat &gt;= perc_95, converted_stat * 3, IF(bbgm_stat &gt;= perc_90, converted_stat * 2, IF(bbgm_stat &gt;= perc_85, converted_stat * 1.5, converted_stat)))))</f>
        <v/>
      </c>
      <c r="G767" s="30" t="str">
        <f t="array" ref="G767">IF($A767="", "", LET(bbgm_stat, INDEX(Players!$A766:$P766, MATCH(G$2, Players!$A$1:$P$1, 0)), perc_75, VLOOKUP(G$2, Percentiles!$A$45:$I$59, 6, FALSE), perc_90, VLOOKUP(G$2, Percentiles!$A$45:$I$59, 7, FALSE), perc_95, VLOOKUP(G$2, Percentiles!$A$45:$I$59, 8, FALSE), perc_85, perc_75 + (perc_90 - perc_75) * (2/3), converted_stat, '2K_Ratings'!G767, IF(bbgm_stat &gt;= perc_95, converted_stat * 3, IF(bbgm_stat &gt;= perc_90, converted_stat * 2, IF(bbgm_stat &gt;= perc_85, converted_stat * 1.5, converted_stat)))))</f>
        <v/>
      </c>
      <c r="H767" s="30" t="str">
        <f t="array" ref="H767">IF($A767="", "", LET(bbgm_stat, INDEX(Players!$A766:$P766, MATCH(H$2, Players!$A$1:$P$1, 0)), perc_75, VLOOKUP(H$2, Percentiles!$A$45:$I$59, 6, FALSE), perc_90, VLOOKUP(H$2, Percentiles!$A$45:$I$59, 7, FALSE), perc_95, VLOOKUP(H$2, Percentiles!$A$45:$I$59, 8, FALSE), perc_85, perc_75 + (perc_90 - perc_75) * (2/3), converted_stat, '2K_Ratings'!H767, IF(bbgm_stat &gt;= perc_95, converted_stat * 3, IF(bbgm_stat &gt;= perc_90, converted_stat * 2, IF(bbgm_stat &gt;= perc_85, converted_stat * 1.5, converted_stat)))))</f>
        <v/>
      </c>
      <c r="I767" s="30" t="str">
        <f t="array" ref="I767">IF($A767="", "", LET(bbgm_stat, INDEX(Players!$A766:$P766, MATCH(I$2, Players!$A$1:$P$1, 0)), perc_75, VLOOKUP(I$2, Percentiles!$A$45:$I$59, 6, FALSE), perc_90, VLOOKUP(I$2, Percentiles!$A$45:$I$59, 7, FALSE), perc_95, VLOOKUP(I$2, Percentiles!$A$45:$I$59, 8, FALSE), perc_85, perc_75 + (perc_90 - perc_75) * (2/3), converted_stat, '2K_Ratings'!I767, IF(bbgm_stat &gt;= perc_95, converted_stat * 3, IF(bbgm_stat &gt;= perc_90, converted_stat * 2, IF(bbgm_stat &gt;= perc_85, converted_stat * 1.5, converted_stat)))))</f>
        <v/>
      </c>
      <c r="J767" s="30" t="str">
        <f t="array" ref="J767">IF($A767="", "", LET(bbgm_stat, INDEX(Players!$A766:$P766, MATCH(J$2, Players!$A$1:$P$1, 0)), perc_75, VLOOKUP(J$2, Percentiles!$A$45:$I$59, 6, FALSE), perc_90, VLOOKUP(J$2, Percentiles!$A$45:$I$59, 7, FALSE), perc_95, VLOOKUP(J$2, Percentiles!$A$45:$I$59, 8, FALSE), perc_85, perc_75 + (perc_90 - perc_75) * (2/3), converted_stat, '2K_Ratings'!J767, IF(bbgm_stat &gt;= perc_95, converted_stat * 3, IF(bbgm_stat &gt;= perc_90, converted_stat * 2, IF(bbgm_stat &gt;= perc_85, converted_stat * 1.5, converted_stat)))))</f>
        <v/>
      </c>
      <c r="K767" s="30" t="str">
        <f t="array" ref="K767">IF($A767="", "", LET(bbgm_stat, INDEX(Players!$A766:$P766, MATCH(K$2, Players!$A$1:$P$1, 0)), perc_75, VLOOKUP(K$2, Percentiles!$A$45:$I$59, 6, FALSE), perc_90, VLOOKUP(K$2, Percentiles!$A$45:$I$59, 7, FALSE), perc_95, VLOOKUP(K$2, Percentiles!$A$45:$I$59, 8, FALSE), perc_85, perc_75 + (perc_90 - perc_75) * (2/3), converted_stat, '2K_Ratings'!K767, IF(bbgm_stat &gt;= perc_95, converted_stat * 3, IF(bbgm_stat &gt;= perc_90, converted_stat * 2, IF(bbgm_stat &gt;= perc_85, converted_stat * 1.5, converted_stat)))))</f>
        <v/>
      </c>
      <c r="L767" s="30" t="str">
        <f t="array" ref="L767">IF($A767="", "", LET(bbgm_stat, INDEX(Players!$A766:$P766, MATCH(L$2, Players!$A$1:$P$1, 0)), perc_75, VLOOKUP(L$2, Percentiles!$A$45:$I$59, 6, FALSE), perc_90, VLOOKUP(L$2, Percentiles!$A$45:$I$59, 7, FALSE), perc_95, VLOOKUP(L$2, Percentiles!$A$45:$I$59, 8, FALSE), perc_85, perc_75 + (perc_90 - perc_75) * (2/3), converted_stat, '2K_Ratings'!L767, IF(bbgm_stat &gt;= perc_95, converted_stat * 3, IF(bbgm_stat &gt;= perc_90, converted_stat * 2, IF(bbgm_stat &gt;= perc_85, converted_stat * 1.5, converted_stat)))))</f>
        <v/>
      </c>
      <c r="M767" s="30" t="str">
        <f t="array" ref="M767">IF($A767="", "", LET(bbgm_stat, INDEX(Players!$A766:$P766, MATCH(M$2, Players!$A$1:$P$1, 0)), perc_75, VLOOKUP(M$2, Percentiles!$A$45:$I$59, 6, FALSE), perc_90, VLOOKUP(M$2, Percentiles!$A$45:$I$59, 7, FALSE), perc_95, VLOOKUP(M$2, Percentiles!$A$45:$I$59, 8, FALSE), perc_85, perc_75 + (perc_90 - perc_75) * (2/3), converted_stat, '2K_Ratings'!M767, IF(bbgm_stat &gt;= perc_95, converted_stat * 3, IF(bbgm_stat &gt;= perc_90, converted_stat * 2, IF(bbgm_stat &gt;= perc_85, converted_stat * 1.5, converted_stat)))))</f>
        <v/>
      </c>
      <c r="N767" s="30" t="str">
        <f t="array" ref="N767">IF($A767="", "", LET(bbgm_stat, INDEX(Players!$A766:$P766, MATCH(N$2, Players!$A$1:$P$1, 0)), perc_75, VLOOKUP(N$2, Percentiles!$A$45:$I$59, 6, FALSE), perc_90, VLOOKUP(N$2, Percentiles!$A$45:$I$59, 7, FALSE), perc_95, VLOOKUP(N$2, Percentiles!$A$45:$I$59, 8, FALSE), perc_85, perc_75 + (perc_90 - perc_75) * (2/3), converted_stat, '2K_Ratings'!N767, IF(bbgm_stat &gt;= perc_95, converted_stat * 3, IF(bbgm_stat &gt;= perc_90, converted_stat * 2, IF(bbgm_stat &gt;= perc_85, converted_stat * 1.5, converted_stat)))))</f>
        <v/>
      </c>
      <c r="O767" s="30" t="str">
        <f t="array" ref="O767">IF($A767="", "", LET(bbgm_stat, INDEX(Players!$A766:$P766, MATCH(O$2, Players!$A$1:$P$1, 0)), perc_75, VLOOKUP(O$2, Percentiles!$A$45:$I$59, 6, FALSE), perc_90, VLOOKUP(O$2, Percentiles!$A$45:$I$59, 7, FALSE), perc_95, VLOOKUP(O$2, Percentiles!$A$45:$I$59, 8, FALSE), perc_85, perc_75 + (perc_90 - perc_75) * (2/3), converted_stat, '2K_Ratings'!O767, IF(bbgm_stat &gt;= perc_95, converted_stat * 3, IF(bbgm_stat &gt;= perc_90, converted_stat * 2, IF(bbgm_stat &gt;= perc_85, converted_stat * 1.5, converted_stat)))))</f>
        <v/>
      </c>
      <c r="P767" s="30" t="str">
        <f t="array" ref="P767">IF($A767="", "", LET(bbgm_stat, INDEX(Players!$A766:$P766, MATCH(P$2, Players!$A$1:$P$1, 0)), perc_75, VLOOKUP(P$2, Percentiles!$A$45:$I$59, 6, FALSE), perc_90, VLOOKUP(P$2, Percentiles!$A$45:$I$59, 7, FALSE), perc_95, VLOOKUP(P$2, Percentiles!$A$45:$I$59, 8, FALSE), perc_85, perc_75 + (perc_90 - perc_75) * (2/3), converted_stat, '2K_Ratings'!P767, IF(bbgm_stat &gt;= perc_95, converted_stat * 3, IF(bbgm_stat &gt;= perc_90, converted_stat * 2, IF(bbgm_stat &gt;= perc_85, converted_stat * 1.5, converted_stat)))))</f>
        <v/>
      </c>
      <c r="Q767" s="30" t="str">
        <f t="array" ref="Q767">IF($A767="", "", LET(bbgm_stat, INDEX(Players!$A766:$P766, MATCH(Q$2, Players!$A$1:$P$1, 0)), perc_75, VLOOKUP(Q$2, Percentiles!$A$45:$I$59, 6, FALSE), perc_90, VLOOKUP(Q$2, Percentiles!$A$45:$I$59, 7, FALSE), perc_95, VLOOKUP(Q$2, Percentiles!$A$45:$I$59, 8, FALSE), perc_85, perc_75 + (perc_90 - perc_75) * (2/3), converted_stat, '2K_Ratings'!Q767, IF(bbgm_stat &gt;= perc_95, converted_stat * 3, IF(bbgm_stat &gt;= perc_90, converted_stat * 2, IF(bbgm_stat &gt;= perc_85, converted_stat * 1.5, converted_stat)))))</f>
        <v/>
      </c>
      <c r="R767" s="30" t="str">
        <f t="array" ref="R767">IF($A767="", "", LET(bbgm_stat, INDEX(Players!$A766:$P766, MATCH(R$2, Players!$A$1:$P$1, 0)), perc_75, VLOOKUP(R$2, Percentiles!$A$45:$I$59, 6, FALSE), perc_90, VLOOKUP(R$2, Percentiles!$A$45:$I$59, 7, FALSE), perc_95, VLOOKUP(R$2, Percentiles!$A$45:$I$59, 8, FALSE), perc_85, perc_75 + (perc_90 - perc_75) * (2/3), converted_stat, '2K_Ratings'!R767, IF(bbgm_stat &gt;= perc_95, converted_stat * 3, IF(bbgm_stat &gt;= perc_90, converted_stat * 2, IF(bbgm_stat &gt;= perc_85, converted_stat * 1.5, converted_stat)))))</f>
        <v/>
      </c>
      <c r="S767" s="30" t="str">
        <f t="array" ref="S767">IF($A767="", "", LET(bbgm_stat, INDEX(Players!$A766:$P766, MATCH(S$2, Players!$A$1:$P$1, 0)), perc_75, VLOOKUP(S$2, Percentiles!$A$45:$I$59, 6, FALSE), perc_90, VLOOKUP(S$2, Percentiles!$A$45:$I$59, 7, FALSE), perc_95, VLOOKUP(S$2, Percentiles!$A$45:$I$59, 8, FALSE), perc_85, perc_75 + (perc_90 - perc_75) * (2/3), converted_stat, '2K_Ratings'!S767, IF(bbgm_stat &gt;= perc_95, converted_stat * 3, IF(bbgm_stat &gt;= perc_90, converted_stat * 2, IF(bbgm_stat &gt;= perc_85, converted_stat * 1.5, converted_stat)))))</f>
        <v/>
      </c>
      <c r="T767" s="30" t="str">
        <f t="array" ref="T767">IF($A767="", "", LET(bbgm_stat, INDEX(Players!$A766:$P766, MATCH(T$2, Players!$A$1:$P$1, 0)), perc_75, VLOOKUP(T$2, Percentiles!$A$45:$I$59, 6, FALSE), perc_90, VLOOKUP(T$2, Percentiles!$A$45:$I$59, 7, FALSE), perc_95, VLOOKUP(T$2, Percentiles!$A$45:$I$59, 8, FALSE), perc_85, perc_75 + (perc_90 - perc_75) * (2/3), converted_stat, '2K_Ratings'!T767, IF(bbgm_stat &gt;= perc_95, converted_stat * 3, IF(bbgm_stat &gt;= perc_90, converted_stat * 2, IF(bbgm_stat &gt;= perc_85, converted_stat * 1.5, converted_stat)))))</f>
        <v/>
      </c>
      <c r="U767" s="30" t="str">
        <f t="array" ref="U767">IF($A767="", "", LET(bbgm_stat, INDEX(Players!$A766:$P766, MATCH(U$2, Players!$A$1:$P$1, 0)), perc_75, VLOOKUP(U$2, Percentiles!$A$45:$I$59, 6, FALSE), perc_90, VLOOKUP(U$2, Percentiles!$A$45:$I$59, 7, FALSE), perc_95, VLOOKUP(U$2, Percentiles!$A$45:$I$59, 8, FALSE), perc_85, perc_75 + (perc_90 - perc_75) * (2/3), converted_stat, '2K_Ratings'!U767, IF(bbgm_stat &gt;= perc_95, converted_stat * 3, IF(bbgm_stat &gt;= perc_90, converted_stat * 2, IF(bbgm_stat &gt;= perc_85, converted_stat * 1.5, converted_stat)))))</f>
        <v/>
      </c>
      <c r="V767" s="30" t="str">
        <f t="array" ref="V767">IF($A767="", "", LET(bbgm_stat, INDEX(Players!$A766:$P766, MATCH(V$2, Players!$A$1:$P$1, 0)), perc_75, VLOOKUP(V$2, Percentiles!$A$45:$I$59, 6, FALSE), perc_90, VLOOKUP(V$2, Percentiles!$A$45:$I$59, 7, FALSE), perc_95, VLOOKUP(V$2, Percentiles!$A$45:$I$59, 8, FALSE), perc_85, perc_75 + (perc_90 - perc_75) * (2/3), converted_stat, '2K_Ratings'!V767, IF(bbgm_stat &gt;= perc_95, converted_stat * 3, IF(bbgm_stat &gt;= perc_90, converted_stat * 2, IF(bbgm_stat &gt;= perc_85, converted_stat * 1.5, converted_stat)))))</f>
        <v/>
      </c>
      <c r="W767" s="30" t="str">
        <f t="array" ref="W767">IF($A767="", "", LET(bbgm_stat, INDEX(Players!$A766:$P766, MATCH(W$2, Players!$A$1:$P$1, 0)), perc_75, VLOOKUP(W$2, Percentiles!$A$45:$I$59, 6, FALSE), perc_90, VLOOKUP(W$2, Percentiles!$A$45:$I$59, 7, FALSE), perc_95, VLOOKUP(W$2, Percentiles!$A$45:$I$59, 8, FALSE), perc_85, perc_75 + (perc_90 - perc_75) * (2/3), converted_stat, '2K_Ratings'!W767, IF(bbgm_stat &gt;= perc_95, converted_stat * 3, IF(bbgm_stat &gt;= perc_90, converted_stat * 2, IF(bbgm_stat &gt;= perc_85, converted_stat * 1.5, converted_stat)))))</f>
        <v/>
      </c>
    </row>
    <row r="768">
      <c r="A768" s="30"/>
      <c r="B768" s="30" t="str">
        <f t="array" ref="B768">IF($A768="", "", LET(bbgm_stat, INDEX(Players!$A767:$P767, MATCH(B$2, Players!$A$1:$P$1, 0)), perc_75, VLOOKUP(B$2, Percentiles!$A$45:$I$59, 6, FALSE), perc_90, VLOOKUP(B$2, Percentiles!$A$45:$I$59, 7, FALSE), perc_95, VLOOKUP(B$2, Percentiles!$A$45:$I$59, 8, FALSE), perc_85, perc_75 + (perc_90 - perc_75) * (2/3), converted_stat, '2K_Ratings'!B768, IF(bbgm_stat &gt;= perc_95, converted_stat * 3, IF(bbgm_stat &gt;= perc_90, converted_stat * 2, IF(bbgm_stat &gt;= perc_85, converted_stat * 1.5, converted_stat)))))</f>
        <v/>
      </c>
      <c r="C768" s="30" t="str">
        <f t="array" ref="C768">IF($A768="", "", LET(bbgm_stat, INDEX(Players!$A767:$P767, MATCH(C$2, Players!$A$1:$P$1, 0)), perc_75, VLOOKUP(C$2, Percentiles!$A$45:$I$59, 6, FALSE), perc_90, VLOOKUP(C$2, Percentiles!$A$45:$I$59, 7, FALSE), perc_95, VLOOKUP(C$2, Percentiles!$A$45:$I$59, 8, FALSE), perc_85, perc_75 + (perc_90 - perc_75) * (2/3), converted_stat, '2K_Ratings'!C768, IF(bbgm_stat &gt;= perc_95, converted_stat * 3, IF(bbgm_stat &gt;= perc_90, converted_stat * 2, IF(bbgm_stat &gt;= perc_85, converted_stat * 1.5, converted_stat)))))</f>
        <v/>
      </c>
      <c r="D768" s="30" t="str">
        <f t="array" ref="D768">IF($A768="", "", LET(bbgm_stat, INDEX(Players!$A767:$P767, MATCH(D$2, Players!$A$1:$P$1, 0)), perc_75, VLOOKUP(D$2, Percentiles!$A$45:$I$59, 6, FALSE), perc_90, VLOOKUP(D$2, Percentiles!$A$45:$I$59, 7, FALSE), perc_95, VLOOKUP(D$2, Percentiles!$A$45:$I$59, 8, FALSE), perc_85, perc_75 + (perc_90 - perc_75) * (2/3), converted_stat, '2K_Ratings'!D768, IF(bbgm_stat &gt;= perc_95, converted_stat * 3, IF(bbgm_stat &gt;= perc_90, converted_stat * 2, IF(bbgm_stat &gt;= perc_85, converted_stat * 1.5, converted_stat)))))</f>
        <v/>
      </c>
      <c r="E768" s="30" t="str">
        <f t="array" ref="E768">IF($A768="", "", LET(bbgm_stat, INDEX(Players!$A767:$P767, MATCH(E$2, Players!$A$1:$P$1, 0)), perc_75, VLOOKUP(E$2, Percentiles!$A$45:$I$59, 6, FALSE), perc_90, VLOOKUP(E$2, Percentiles!$A$45:$I$59, 7, FALSE), perc_95, VLOOKUP(E$2, Percentiles!$A$45:$I$59, 8, FALSE), perc_85, perc_75 + (perc_90 - perc_75) * (2/3), converted_stat, '2K_Ratings'!E768, IF(bbgm_stat &gt;= perc_95, converted_stat * 3, IF(bbgm_stat &gt;= perc_90, converted_stat * 2, IF(bbgm_stat &gt;= perc_85, converted_stat * 1.5, converted_stat)))))</f>
        <v/>
      </c>
      <c r="F768" s="30" t="str">
        <f t="array" ref="F768">IF($A768="", "", LET(bbgm_stat, INDEX(Players!$A767:$P767, MATCH(F$2, Players!$A$1:$P$1, 0)), perc_75, VLOOKUP(F$2, Percentiles!$A$45:$I$59, 6, FALSE), perc_90, VLOOKUP(F$2, Percentiles!$A$45:$I$59, 7, FALSE), perc_95, VLOOKUP(F$2, Percentiles!$A$45:$I$59, 8, FALSE), perc_85, perc_75 + (perc_90 - perc_75) * (2/3), converted_stat, '2K_Ratings'!F768, IF(bbgm_stat &gt;= perc_95, converted_stat * 3, IF(bbgm_stat &gt;= perc_90, converted_stat * 2, IF(bbgm_stat &gt;= perc_85, converted_stat * 1.5, converted_stat)))))</f>
        <v/>
      </c>
      <c r="G768" s="30" t="str">
        <f t="array" ref="G768">IF($A768="", "", LET(bbgm_stat, INDEX(Players!$A767:$P767, MATCH(G$2, Players!$A$1:$P$1, 0)), perc_75, VLOOKUP(G$2, Percentiles!$A$45:$I$59, 6, FALSE), perc_90, VLOOKUP(G$2, Percentiles!$A$45:$I$59, 7, FALSE), perc_95, VLOOKUP(G$2, Percentiles!$A$45:$I$59, 8, FALSE), perc_85, perc_75 + (perc_90 - perc_75) * (2/3), converted_stat, '2K_Ratings'!G768, IF(bbgm_stat &gt;= perc_95, converted_stat * 3, IF(bbgm_stat &gt;= perc_90, converted_stat * 2, IF(bbgm_stat &gt;= perc_85, converted_stat * 1.5, converted_stat)))))</f>
        <v/>
      </c>
      <c r="H768" s="30" t="str">
        <f t="array" ref="H768">IF($A768="", "", LET(bbgm_stat, INDEX(Players!$A767:$P767, MATCH(H$2, Players!$A$1:$P$1, 0)), perc_75, VLOOKUP(H$2, Percentiles!$A$45:$I$59, 6, FALSE), perc_90, VLOOKUP(H$2, Percentiles!$A$45:$I$59, 7, FALSE), perc_95, VLOOKUP(H$2, Percentiles!$A$45:$I$59, 8, FALSE), perc_85, perc_75 + (perc_90 - perc_75) * (2/3), converted_stat, '2K_Ratings'!H768, IF(bbgm_stat &gt;= perc_95, converted_stat * 3, IF(bbgm_stat &gt;= perc_90, converted_stat * 2, IF(bbgm_stat &gt;= perc_85, converted_stat * 1.5, converted_stat)))))</f>
        <v/>
      </c>
      <c r="I768" s="30" t="str">
        <f t="array" ref="I768">IF($A768="", "", LET(bbgm_stat, INDEX(Players!$A767:$P767, MATCH(I$2, Players!$A$1:$P$1, 0)), perc_75, VLOOKUP(I$2, Percentiles!$A$45:$I$59, 6, FALSE), perc_90, VLOOKUP(I$2, Percentiles!$A$45:$I$59, 7, FALSE), perc_95, VLOOKUP(I$2, Percentiles!$A$45:$I$59, 8, FALSE), perc_85, perc_75 + (perc_90 - perc_75) * (2/3), converted_stat, '2K_Ratings'!I768, IF(bbgm_stat &gt;= perc_95, converted_stat * 3, IF(bbgm_stat &gt;= perc_90, converted_stat * 2, IF(bbgm_stat &gt;= perc_85, converted_stat * 1.5, converted_stat)))))</f>
        <v/>
      </c>
      <c r="J768" s="30" t="str">
        <f t="array" ref="J768">IF($A768="", "", LET(bbgm_stat, INDEX(Players!$A767:$P767, MATCH(J$2, Players!$A$1:$P$1, 0)), perc_75, VLOOKUP(J$2, Percentiles!$A$45:$I$59, 6, FALSE), perc_90, VLOOKUP(J$2, Percentiles!$A$45:$I$59, 7, FALSE), perc_95, VLOOKUP(J$2, Percentiles!$A$45:$I$59, 8, FALSE), perc_85, perc_75 + (perc_90 - perc_75) * (2/3), converted_stat, '2K_Ratings'!J768, IF(bbgm_stat &gt;= perc_95, converted_stat * 3, IF(bbgm_stat &gt;= perc_90, converted_stat * 2, IF(bbgm_stat &gt;= perc_85, converted_stat * 1.5, converted_stat)))))</f>
        <v/>
      </c>
      <c r="K768" s="30" t="str">
        <f t="array" ref="K768">IF($A768="", "", LET(bbgm_stat, INDEX(Players!$A767:$P767, MATCH(K$2, Players!$A$1:$P$1, 0)), perc_75, VLOOKUP(K$2, Percentiles!$A$45:$I$59, 6, FALSE), perc_90, VLOOKUP(K$2, Percentiles!$A$45:$I$59, 7, FALSE), perc_95, VLOOKUP(K$2, Percentiles!$A$45:$I$59, 8, FALSE), perc_85, perc_75 + (perc_90 - perc_75) * (2/3), converted_stat, '2K_Ratings'!K768, IF(bbgm_stat &gt;= perc_95, converted_stat * 3, IF(bbgm_stat &gt;= perc_90, converted_stat * 2, IF(bbgm_stat &gt;= perc_85, converted_stat * 1.5, converted_stat)))))</f>
        <v/>
      </c>
      <c r="L768" s="30" t="str">
        <f t="array" ref="L768">IF($A768="", "", LET(bbgm_stat, INDEX(Players!$A767:$P767, MATCH(L$2, Players!$A$1:$P$1, 0)), perc_75, VLOOKUP(L$2, Percentiles!$A$45:$I$59, 6, FALSE), perc_90, VLOOKUP(L$2, Percentiles!$A$45:$I$59, 7, FALSE), perc_95, VLOOKUP(L$2, Percentiles!$A$45:$I$59, 8, FALSE), perc_85, perc_75 + (perc_90 - perc_75) * (2/3), converted_stat, '2K_Ratings'!L768, IF(bbgm_stat &gt;= perc_95, converted_stat * 3, IF(bbgm_stat &gt;= perc_90, converted_stat * 2, IF(bbgm_stat &gt;= perc_85, converted_stat * 1.5, converted_stat)))))</f>
        <v/>
      </c>
      <c r="M768" s="30" t="str">
        <f t="array" ref="M768">IF($A768="", "", LET(bbgm_stat, INDEX(Players!$A767:$P767, MATCH(M$2, Players!$A$1:$P$1, 0)), perc_75, VLOOKUP(M$2, Percentiles!$A$45:$I$59, 6, FALSE), perc_90, VLOOKUP(M$2, Percentiles!$A$45:$I$59, 7, FALSE), perc_95, VLOOKUP(M$2, Percentiles!$A$45:$I$59, 8, FALSE), perc_85, perc_75 + (perc_90 - perc_75) * (2/3), converted_stat, '2K_Ratings'!M768, IF(bbgm_stat &gt;= perc_95, converted_stat * 3, IF(bbgm_stat &gt;= perc_90, converted_stat * 2, IF(bbgm_stat &gt;= perc_85, converted_stat * 1.5, converted_stat)))))</f>
        <v/>
      </c>
      <c r="N768" s="30" t="str">
        <f t="array" ref="N768">IF($A768="", "", LET(bbgm_stat, INDEX(Players!$A767:$P767, MATCH(N$2, Players!$A$1:$P$1, 0)), perc_75, VLOOKUP(N$2, Percentiles!$A$45:$I$59, 6, FALSE), perc_90, VLOOKUP(N$2, Percentiles!$A$45:$I$59, 7, FALSE), perc_95, VLOOKUP(N$2, Percentiles!$A$45:$I$59, 8, FALSE), perc_85, perc_75 + (perc_90 - perc_75) * (2/3), converted_stat, '2K_Ratings'!N768, IF(bbgm_stat &gt;= perc_95, converted_stat * 3, IF(bbgm_stat &gt;= perc_90, converted_stat * 2, IF(bbgm_stat &gt;= perc_85, converted_stat * 1.5, converted_stat)))))</f>
        <v/>
      </c>
      <c r="O768" s="30" t="str">
        <f t="array" ref="O768">IF($A768="", "", LET(bbgm_stat, INDEX(Players!$A767:$P767, MATCH(O$2, Players!$A$1:$P$1, 0)), perc_75, VLOOKUP(O$2, Percentiles!$A$45:$I$59, 6, FALSE), perc_90, VLOOKUP(O$2, Percentiles!$A$45:$I$59, 7, FALSE), perc_95, VLOOKUP(O$2, Percentiles!$A$45:$I$59, 8, FALSE), perc_85, perc_75 + (perc_90 - perc_75) * (2/3), converted_stat, '2K_Ratings'!O768, IF(bbgm_stat &gt;= perc_95, converted_stat * 3, IF(bbgm_stat &gt;= perc_90, converted_stat * 2, IF(bbgm_stat &gt;= perc_85, converted_stat * 1.5, converted_stat)))))</f>
        <v/>
      </c>
      <c r="P768" s="30" t="str">
        <f t="array" ref="P768">IF($A768="", "", LET(bbgm_stat, INDEX(Players!$A767:$P767, MATCH(P$2, Players!$A$1:$P$1, 0)), perc_75, VLOOKUP(P$2, Percentiles!$A$45:$I$59, 6, FALSE), perc_90, VLOOKUP(P$2, Percentiles!$A$45:$I$59, 7, FALSE), perc_95, VLOOKUP(P$2, Percentiles!$A$45:$I$59, 8, FALSE), perc_85, perc_75 + (perc_90 - perc_75) * (2/3), converted_stat, '2K_Ratings'!P768, IF(bbgm_stat &gt;= perc_95, converted_stat * 3, IF(bbgm_stat &gt;= perc_90, converted_stat * 2, IF(bbgm_stat &gt;= perc_85, converted_stat * 1.5, converted_stat)))))</f>
        <v/>
      </c>
      <c r="Q768" s="30" t="str">
        <f t="array" ref="Q768">IF($A768="", "", LET(bbgm_stat, INDEX(Players!$A767:$P767, MATCH(Q$2, Players!$A$1:$P$1, 0)), perc_75, VLOOKUP(Q$2, Percentiles!$A$45:$I$59, 6, FALSE), perc_90, VLOOKUP(Q$2, Percentiles!$A$45:$I$59, 7, FALSE), perc_95, VLOOKUP(Q$2, Percentiles!$A$45:$I$59, 8, FALSE), perc_85, perc_75 + (perc_90 - perc_75) * (2/3), converted_stat, '2K_Ratings'!Q768, IF(bbgm_stat &gt;= perc_95, converted_stat * 3, IF(bbgm_stat &gt;= perc_90, converted_stat * 2, IF(bbgm_stat &gt;= perc_85, converted_stat * 1.5, converted_stat)))))</f>
        <v/>
      </c>
      <c r="R768" s="30" t="str">
        <f t="array" ref="R768">IF($A768="", "", LET(bbgm_stat, INDEX(Players!$A767:$P767, MATCH(R$2, Players!$A$1:$P$1, 0)), perc_75, VLOOKUP(R$2, Percentiles!$A$45:$I$59, 6, FALSE), perc_90, VLOOKUP(R$2, Percentiles!$A$45:$I$59, 7, FALSE), perc_95, VLOOKUP(R$2, Percentiles!$A$45:$I$59, 8, FALSE), perc_85, perc_75 + (perc_90 - perc_75) * (2/3), converted_stat, '2K_Ratings'!R768, IF(bbgm_stat &gt;= perc_95, converted_stat * 3, IF(bbgm_stat &gt;= perc_90, converted_stat * 2, IF(bbgm_stat &gt;= perc_85, converted_stat * 1.5, converted_stat)))))</f>
        <v/>
      </c>
      <c r="S768" s="30" t="str">
        <f t="array" ref="S768">IF($A768="", "", LET(bbgm_stat, INDEX(Players!$A767:$P767, MATCH(S$2, Players!$A$1:$P$1, 0)), perc_75, VLOOKUP(S$2, Percentiles!$A$45:$I$59, 6, FALSE), perc_90, VLOOKUP(S$2, Percentiles!$A$45:$I$59, 7, FALSE), perc_95, VLOOKUP(S$2, Percentiles!$A$45:$I$59, 8, FALSE), perc_85, perc_75 + (perc_90 - perc_75) * (2/3), converted_stat, '2K_Ratings'!S768, IF(bbgm_stat &gt;= perc_95, converted_stat * 3, IF(bbgm_stat &gt;= perc_90, converted_stat * 2, IF(bbgm_stat &gt;= perc_85, converted_stat * 1.5, converted_stat)))))</f>
        <v/>
      </c>
      <c r="T768" s="30" t="str">
        <f t="array" ref="T768">IF($A768="", "", LET(bbgm_stat, INDEX(Players!$A767:$P767, MATCH(T$2, Players!$A$1:$P$1, 0)), perc_75, VLOOKUP(T$2, Percentiles!$A$45:$I$59, 6, FALSE), perc_90, VLOOKUP(T$2, Percentiles!$A$45:$I$59, 7, FALSE), perc_95, VLOOKUP(T$2, Percentiles!$A$45:$I$59, 8, FALSE), perc_85, perc_75 + (perc_90 - perc_75) * (2/3), converted_stat, '2K_Ratings'!T768, IF(bbgm_stat &gt;= perc_95, converted_stat * 3, IF(bbgm_stat &gt;= perc_90, converted_stat * 2, IF(bbgm_stat &gt;= perc_85, converted_stat * 1.5, converted_stat)))))</f>
        <v/>
      </c>
      <c r="U768" s="30" t="str">
        <f t="array" ref="U768">IF($A768="", "", LET(bbgm_stat, INDEX(Players!$A767:$P767, MATCH(U$2, Players!$A$1:$P$1, 0)), perc_75, VLOOKUP(U$2, Percentiles!$A$45:$I$59, 6, FALSE), perc_90, VLOOKUP(U$2, Percentiles!$A$45:$I$59, 7, FALSE), perc_95, VLOOKUP(U$2, Percentiles!$A$45:$I$59, 8, FALSE), perc_85, perc_75 + (perc_90 - perc_75) * (2/3), converted_stat, '2K_Ratings'!U768, IF(bbgm_stat &gt;= perc_95, converted_stat * 3, IF(bbgm_stat &gt;= perc_90, converted_stat * 2, IF(bbgm_stat &gt;= perc_85, converted_stat * 1.5, converted_stat)))))</f>
        <v/>
      </c>
      <c r="V768" s="30" t="str">
        <f t="array" ref="V768">IF($A768="", "", LET(bbgm_stat, INDEX(Players!$A767:$P767, MATCH(V$2, Players!$A$1:$P$1, 0)), perc_75, VLOOKUP(V$2, Percentiles!$A$45:$I$59, 6, FALSE), perc_90, VLOOKUP(V$2, Percentiles!$A$45:$I$59, 7, FALSE), perc_95, VLOOKUP(V$2, Percentiles!$A$45:$I$59, 8, FALSE), perc_85, perc_75 + (perc_90 - perc_75) * (2/3), converted_stat, '2K_Ratings'!V768, IF(bbgm_stat &gt;= perc_95, converted_stat * 3, IF(bbgm_stat &gt;= perc_90, converted_stat * 2, IF(bbgm_stat &gt;= perc_85, converted_stat * 1.5, converted_stat)))))</f>
        <v/>
      </c>
      <c r="W768" s="30" t="str">
        <f t="array" ref="W768">IF($A768="", "", LET(bbgm_stat, INDEX(Players!$A767:$P767, MATCH(W$2, Players!$A$1:$P$1, 0)), perc_75, VLOOKUP(W$2, Percentiles!$A$45:$I$59, 6, FALSE), perc_90, VLOOKUP(W$2, Percentiles!$A$45:$I$59, 7, FALSE), perc_95, VLOOKUP(W$2, Percentiles!$A$45:$I$59, 8, FALSE), perc_85, perc_75 + (perc_90 - perc_75) * (2/3), converted_stat, '2K_Ratings'!W768, IF(bbgm_stat &gt;= perc_95, converted_stat * 3, IF(bbgm_stat &gt;= perc_90, converted_stat * 2, IF(bbgm_stat &gt;= perc_85, converted_stat * 1.5, converted_stat)))))</f>
        <v/>
      </c>
    </row>
    <row r="769">
      <c r="A769" s="30"/>
      <c r="B769" s="30" t="str">
        <f t="array" ref="B769">IF($A769="", "", LET(bbgm_stat, INDEX(Players!$A768:$P768, MATCH(B$2, Players!$A$1:$P$1, 0)), perc_75, VLOOKUP(B$2, Percentiles!$A$45:$I$59, 6, FALSE), perc_90, VLOOKUP(B$2, Percentiles!$A$45:$I$59, 7, FALSE), perc_95, VLOOKUP(B$2, Percentiles!$A$45:$I$59, 8, FALSE), perc_85, perc_75 + (perc_90 - perc_75) * (2/3), converted_stat, '2K_Ratings'!B769, IF(bbgm_stat &gt;= perc_95, converted_stat * 3, IF(bbgm_stat &gt;= perc_90, converted_stat * 2, IF(bbgm_stat &gt;= perc_85, converted_stat * 1.5, converted_stat)))))</f>
        <v/>
      </c>
      <c r="C769" s="30" t="str">
        <f t="array" ref="C769">IF($A769="", "", LET(bbgm_stat, INDEX(Players!$A768:$P768, MATCH(C$2, Players!$A$1:$P$1, 0)), perc_75, VLOOKUP(C$2, Percentiles!$A$45:$I$59, 6, FALSE), perc_90, VLOOKUP(C$2, Percentiles!$A$45:$I$59, 7, FALSE), perc_95, VLOOKUP(C$2, Percentiles!$A$45:$I$59, 8, FALSE), perc_85, perc_75 + (perc_90 - perc_75) * (2/3), converted_stat, '2K_Ratings'!C769, IF(bbgm_stat &gt;= perc_95, converted_stat * 3, IF(bbgm_stat &gt;= perc_90, converted_stat * 2, IF(bbgm_stat &gt;= perc_85, converted_stat * 1.5, converted_stat)))))</f>
        <v/>
      </c>
      <c r="D769" s="30" t="str">
        <f t="array" ref="D769">IF($A769="", "", LET(bbgm_stat, INDEX(Players!$A768:$P768, MATCH(D$2, Players!$A$1:$P$1, 0)), perc_75, VLOOKUP(D$2, Percentiles!$A$45:$I$59, 6, FALSE), perc_90, VLOOKUP(D$2, Percentiles!$A$45:$I$59, 7, FALSE), perc_95, VLOOKUP(D$2, Percentiles!$A$45:$I$59, 8, FALSE), perc_85, perc_75 + (perc_90 - perc_75) * (2/3), converted_stat, '2K_Ratings'!D769, IF(bbgm_stat &gt;= perc_95, converted_stat * 3, IF(bbgm_stat &gt;= perc_90, converted_stat * 2, IF(bbgm_stat &gt;= perc_85, converted_stat * 1.5, converted_stat)))))</f>
        <v/>
      </c>
      <c r="E769" s="30" t="str">
        <f t="array" ref="E769">IF($A769="", "", LET(bbgm_stat, INDEX(Players!$A768:$P768, MATCH(E$2, Players!$A$1:$P$1, 0)), perc_75, VLOOKUP(E$2, Percentiles!$A$45:$I$59, 6, FALSE), perc_90, VLOOKUP(E$2, Percentiles!$A$45:$I$59, 7, FALSE), perc_95, VLOOKUP(E$2, Percentiles!$A$45:$I$59, 8, FALSE), perc_85, perc_75 + (perc_90 - perc_75) * (2/3), converted_stat, '2K_Ratings'!E769, IF(bbgm_stat &gt;= perc_95, converted_stat * 3, IF(bbgm_stat &gt;= perc_90, converted_stat * 2, IF(bbgm_stat &gt;= perc_85, converted_stat * 1.5, converted_stat)))))</f>
        <v/>
      </c>
      <c r="F769" s="30" t="str">
        <f t="array" ref="F769">IF($A769="", "", LET(bbgm_stat, INDEX(Players!$A768:$P768, MATCH(F$2, Players!$A$1:$P$1, 0)), perc_75, VLOOKUP(F$2, Percentiles!$A$45:$I$59, 6, FALSE), perc_90, VLOOKUP(F$2, Percentiles!$A$45:$I$59, 7, FALSE), perc_95, VLOOKUP(F$2, Percentiles!$A$45:$I$59, 8, FALSE), perc_85, perc_75 + (perc_90 - perc_75) * (2/3), converted_stat, '2K_Ratings'!F769, IF(bbgm_stat &gt;= perc_95, converted_stat * 3, IF(bbgm_stat &gt;= perc_90, converted_stat * 2, IF(bbgm_stat &gt;= perc_85, converted_stat * 1.5, converted_stat)))))</f>
        <v/>
      </c>
      <c r="G769" s="30" t="str">
        <f t="array" ref="G769">IF($A769="", "", LET(bbgm_stat, INDEX(Players!$A768:$P768, MATCH(G$2, Players!$A$1:$P$1, 0)), perc_75, VLOOKUP(G$2, Percentiles!$A$45:$I$59, 6, FALSE), perc_90, VLOOKUP(G$2, Percentiles!$A$45:$I$59, 7, FALSE), perc_95, VLOOKUP(G$2, Percentiles!$A$45:$I$59, 8, FALSE), perc_85, perc_75 + (perc_90 - perc_75) * (2/3), converted_stat, '2K_Ratings'!G769, IF(bbgm_stat &gt;= perc_95, converted_stat * 3, IF(bbgm_stat &gt;= perc_90, converted_stat * 2, IF(bbgm_stat &gt;= perc_85, converted_stat * 1.5, converted_stat)))))</f>
        <v/>
      </c>
      <c r="H769" s="30" t="str">
        <f t="array" ref="H769">IF($A769="", "", LET(bbgm_stat, INDEX(Players!$A768:$P768, MATCH(H$2, Players!$A$1:$P$1, 0)), perc_75, VLOOKUP(H$2, Percentiles!$A$45:$I$59, 6, FALSE), perc_90, VLOOKUP(H$2, Percentiles!$A$45:$I$59, 7, FALSE), perc_95, VLOOKUP(H$2, Percentiles!$A$45:$I$59, 8, FALSE), perc_85, perc_75 + (perc_90 - perc_75) * (2/3), converted_stat, '2K_Ratings'!H769, IF(bbgm_stat &gt;= perc_95, converted_stat * 3, IF(bbgm_stat &gt;= perc_90, converted_stat * 2, IF(bbgm_stat &gt;= perc_85, converted_stat * 1.5, converted_stat)))))</f>
        <v/>
      </c>
      <c r="I769" s="30" t="str">
        <f t="array" ref="I769">IF($A769="", "", LET(bbgm_stat, INDEX(Players!$A768:$P768, MATCH(I$2, Players!$A$1:$P$1, 0)), perc_75, VLOOKUP(I$2, Percentiles!$A$45:$I$59, 6, FALSE), perc_90, VLOOKUP(I$2, Percentiles!$A$45:$I$59, 7, FALSE), perc_95, VLOOKUP(I$2, Percentiles!$A$45:$I$59, 8, FALSE), perc_85, perc_75 + (perc_90 - perc_75) * (2/3), converted_stat, '2K_Ratings'!I769, IF(bbgm_stat &gt;= perc_95, converted_stat * 3, IF(bbgm_stat &gt;= perc_90, converted_stat * 2, IF(bbgm_stat &gt;= perc_85, converted_stat * 1.5, converted_stat)))))</f>
        <v/>
      </c>
      <c r="J769" s="30" t="str">
        <f t="array" ref="J769">IF($A769="", "", LET(bbgm_stat, INDEX(Players!$A768:$P768, MATCH(J$2, Players!$A$1:$P$1, 0)), perc_75, VLOOKUP(J$2, Percentiles!$A$45:$I$59, 6, FALSE), perc_90, VLOOKUP(J$2, Percentiles!$A$45:$I$59, 7, FALSE), perc_95, VLOOKUP(J$2, Percentiles!$A$45:$I$59, 8, FALSE), perc_85, perc_75 + (perc_90 - perc_75) * (2/3), converted_stat, '2K_Ratings'!J769, IF(bbgm_stat &gt;= perc_95, converted_stat * 3, IF(bbgm_stat &gt;= perc_90, converted_stat * 2, IF(bbgm_stat &gt;= perc_85, converted_stat * 1.5, converted_stat)))))</f>
        <v/>
      </c>
      <c r="K769" s="30" t="str">
        <f t="array" ref="K769">IF($A769="", "", LET(bbgm_stat, INDEX(Players!$A768:$P768, MATCH(K$2, Players!$A$1:$P$1, 0)), perc_75, VLOOKUP(K$2, Percentiles!$A$45:$I$59, 6, FALSE), perc_90, VLOOKUP(K$2, Percentiles!$A$45:$I$59, 7, FALSE), perc_95, VLOOKUP(K$2, Percentiles!$A$45:$I$59, 8, FALSE), perc_85, perc_75 + (perc_90 - perc_75) * (2/3), converted_stat, '2K_Ratings'!K769, IF(bbgm_stat &gt;= perc_95, converted_stat * 3, IF(bbgm_stat &gt;= perc_90, converted_stat * 2, IF(bbgm_stat &gt;= perc_85, converted_stat * 1.5, converted_stat)))))</f>
        <v/>
      </c>
      <c r="L769" s="30" t="str">
        <f t="array" ref="L769">IF($A769="", "", LET(bbgm_stat, INDEX(Players!$A768:$P768, MATCH(L$2, Players!$A$1:$P$1, 0)), perc_75, VLOOKUP(L$2, Percentiles!$A$45:$I$59, 6, FALSE), perc_90, VLOOKUP(L$2, Percentiles!$A$45:$I$59, 7, FALSE), perc_95, VLOOKUP(L$2, Percentiles!$A$45:$I$59, 8, FALSE), perc_85, perc_75 + (perc_90 - perc_75) * (2/3), converted_stat, '2K_Ratings'!L769, IF(bbgm_stat &gt;= perc_95, converted_stat * 3, IF(bbgm_stat &gt;= perc_90, converted_stat * 2, IF(bbgm_stat &gt;= perc_85, converted_stat * 1.5, converted_stat)))))</f>
        <v/>
      </c>
      <c r="M769" s="30" t="str">
        <f t="array" ref="M769">IF($A769="", "", LET(bbgm_stat, INDEX(Players!$A768:$P768, MATCH(M$2, Players!$A$1:$P$1, 0)), perc_75, VLOOKUP(M$2, Percentiles!$A$45:$I$59, 6, FALSE), perc_90, VLOOKUP(M$2, Percentiles!$A$45:$I$59, 7, FALSE), perc_95, VLOOKUP(M$2, Percentiles!$A$45:$I$59, 8, FALSE), perc_85, perc_75 + (perc_90 - perc_75) * (2/3), converted_stat, '2K_Ratings'!M769, IF(bbgm_stat &gt;= perc_95, converted_stat * 3, IF(bbgm_stat &gt;= perc_90, converted_stat * 2, IF(bbgm_stat &gt;= perc_85, converted_stat * 1.5, converted_stat)))))</f>
        <v/>
      </c>
      <c r="N769" s="30" t="str">
        <f t="array" ref="N769">IF($A769="", "", LET(bbgm_stat, INDEX(Players!$A768:$P768, MATCH(N$2, Players!$A$1:$P$1, 0)), perc_75, VLOOKUP(N$2, Percentiles!$A$45:$I$59, 6, FALSE), perc_90, VLOOKUP(N$2, Percentiles!$A$45:$I$59, 7, FALSE), perc_95, VLOOKUP(N$2, Percentiles!$A$45:$I$59, 8, FALSE), perc_85, perc_75 + (perc_90 - perc_75) * (2/3), converted_stat, '2K_Ratings'!N769, IF(bbgm_stat &gt;= perc_95, converted_stat * 3, IF(bbgm_stat &gt;= perc_90, converted_stat * 2, IF(bbgm_stat &gt;= perc_85, converted_stat * 1.5, converted_stat)))))</f>
        <v/>
      </c>
      <c r="O769" s="30" t="str">
        <f t="array" ref="O769">IF($A769="", "", LET(bbgm_stat, INDEX(Players!$A768:$P768, MATCH(O$2, Players!$A$1:$P$1, 0)), perc_75, VLOOKUP(O$2, Percentiles!$A$45:$I$59, 6, FALSE), perc_90, VLOOKUP(O$2, Percentiles!$A$45:$I$59, 7, FALSE), perc_95, VLOOKUP(O$2, Percentiles!$A$45:$I$59, 8, FALSE), perc_85, perc_75 + (perc_90 - perc_75) * (2/3), converted_stat, '2K_Ratings'!O769, IF(bbgm_stat &gt;= perc_95, converted_stat * 3, IF(bbgm_stat &gt;= perc_90, converted_stat * 2, IF(bbgm_stat &gt;= perc_85, converted_stat * 1.5, converted_stat)))))</f>
        <v/>
      </c>
      <c r="P769" s="30" t="str">
        <f t="array" ref="P769">IF($A769="", "", LET(bbgm_stat, INDEX(Players!$A768:$P768, MATCH(P$2, Players!$A$1:$P$1, 0)), perc_75, VLOOKUP(P$2, Percentiles!$A$45:$I$59, 6, FALSE), perc_90, VLOOKUP(P$2, Percentiles!$A$45:$I$59, 7, FALSE), perc_95, VLOOKUP(P$2, Percentiles!$A$45:$I$59, 8, FALSE), perc_85, perc_75 + (perc_90 - perc_75) * (2/3), converted_stat, '2K_Ratings'!P769, IF(bbgm_stat &gt;= perc_95, converted_stat * 3, IF(bbgm_stat &gt;= perc_90, converted_stat * 2, IF(bbgm_stat &gt;= perc_85, converted_stat * 1.5, converted_stat)))))</f>
        <v/>
      </c>
      <c r="Q769" s="30" t="str">
        <f t="array" ref="Q769">IF($A769="", "", LET(bbgm_stat, INDEX(Players!$A768:$P768, MATCH(Q$2, Players!$A$1:$P$1, 0)), perc_75, VLOOKUP(Q$2, Percentiles!$A$45:$I$59, 6, FALSE), perc_90, VLOOKUP(Q$2, Percentiles!$A$45:$I$59, 7, FALSE), perc_95, VLOOKUP(Q$2, Percentiles!$A$45:$I$59, 8, FALSE), perc_85, perc_75 + (perc_90 - perc_75) * (2/3), converted_stat, '2K_Ratings'!Q769, IF(bbgm_stat &gt;= perc_95, converted_stat * 3, IF(bbgm_stat &gt;= perc_90, converted_stat * 2, IF(bbgm_stat &gt;= perc_85, converted_stat * 1.5, converted_stat)))))</f>
        <v/>
      </c>
      <c r="R769" s="30" t="str">
        <f t="array" ref="R769">IF($A769="", "", LET(bbgm_stat, INDEX(Players!$A768:$P768, MATCH(R$2, Players!$A$1:$P$1, 0)), perc_75, VLOOKUP(R$2, Percentiles!$A$45:$I$59, 6, FALSE), perc_90, VLOOKUP(R$2, Percentiles!$A$45:$I$59, 7, FALSE), perc_95, VLOOKUP(R$2, Percentiles!$A$45:$I$59, 8, FALSE), perc_85, perc_75 + (perc_90 - perc_75) * (2/3), converted_stat, '2K_Ratings'!R769, IF(bbgm_stat &gt;= perc_95, converted_stat * 3, IF(bbgm_stat &gt;= perc_90, converted_stat * 2, IF(bbgm_stat &gt;= perc_85, converted_stat * 1.5, converted_stat)))))</f>
        <v/>
      </c>
      <c r="S769" s="30" t="str">
        <f t="array" ref="S769">IF($A769="", "", LET(bbgm_stat, INDEX(Players!$A768:$P768, MATCH(S$2, Players!$A$1:$P$1, 0)), perc_75, VLOOKUP(S$2, Percentiles!$A$45:$I$59, 6, FALSE), perc_90, VLOOKUP(S$2, Percentiles!$A$45:$I$59, 7, FALSE), perc_95, VLOOKUP(S$2, Percentiles!$A$45:$I$59, 8, FALSE), perc_85, perc_75 + (perc_90 - perc_75) * (2/3), converted_stat, '2K_Ratings'!S769, IF(bbgm_stat &gt;= perc_95, converted_stat * 3, IF(bbgm_stat &gt;= perc_90, converted_stat * 2, IF(bbgm_stat &gt;= perc_85, converted_stat * 1.5, converted_stat)))))</f>
        <v/>
      </c>
      <c r="T769" s="30" t="str">
        <f t="array" ref="T769">IF($A769="", "", LET(bbgm_stat, INDEX(Players!$A768:$P768, MATCH(T$2, Players!$A$1:$P$1, 0)), perc_75, VLOOKUP(T$2, Percentiles!$A$45:$I$59, 6, FALSE), perc_90, VLOOKUP(T$2, Percentiles!$A$45:$I$59, 7, FALSE), perc_95, VLOOKUP(T$2, Percentiles!$A$45:$I$59, 8, FALSE), perc_85, perc_75 + (perc_90 - perc_75) * (2/3), converted_stat, '2K_Ratings'!T769, IF(bbgm_stat &gt;= perc_95, converted_stat * 3, IF(bbgm_stat &gt;= perc_90, converted_stat * 2, IF(bbgm_stat &gt;= perc_85, converted_stat * 1.5, converted_stat)))))</f>
        <v/>
      </c>
      <c r="U769" s="30" t="str">
        <f t="array" ref="U769">IF($A769="", "", LET(bbgm_stat, INDEX(Players!$A768:$P768, MATCH(U$2, Players!$A$1:$P$1, 0)), perc_75, VLOOKUP(U$2, Percentiles!$A$45:$I$59, 6, FALSE), perc_90, VLOOKUP(U$2, Percentiles!$A$45:$I$59, 7, FALSE), perc_95, VLOOKUP(U$2, Percentiles!$A$45:$I$59, 8, FALSE), perc_85, perc_75 + (perc_90 - perc_75) * (2/3), converted_stat, '2K_Ratings'!U769, IF(bbgm_stat &gt;= perc_95, converted_stat * 3, IF(bbgm_stat &gt;= perc_90, converted_stat * 2, IF(bbgm_stat &gt;= perc_85, converted_stat * 1.5, converted_stat)))))</f>
        <v/>
      </c>
      <c r="V769" s="30" t="str">
        <f t="array" ref="V769">IF($A769="", "", LET(bbgm_stat, INDEX(Players!$A768:$P768, MATCH(V$2, Players!$A$1:$P$1, 0)), perc_75, VLOOKUP(V$2, Percentiles!$A$45:$I$59, 6, FALSE), perc_90, VLOOKUP(V$2, Percentiles!$A$45:$I$59, 7, FALSE), perc_95, VLOOKUP(V$2, Percentiles!$A$45:$I$59, 8, FALSE), perc_85, perc_75 + (perc_90 - perc_75) * (2/3), converted_stat, '2K_Ratings'!V769, IF(bbgm_stat &gt;= perc_95, converted_stat * 3, IF(bbgm_stat &gt;= perc_90, converted_stat * 2, IF(bbgm_stat &gt;= perc_85, converted_stat * 1.5, converted_stat)))))</f>
        <v/>
      </c>
      <c r="W769" s="30" t="str">
        <f t="array" ref="W769">IF($A769="", "", LET(bbgm_stat, INDEX(Players!$A768:$P768, MATCH(W$2, Players!$A$1:$P$1, 0)), perc_75, VLOOKUP(W$2, Percentiles!$A$45:$I$59, 6, FALSE), perc_90, VLOOKUP(W$2, Percentiles!$A$45:$I$59, 7, FALSE), perc_95, VLOOKUP(W$2, Percentiles!$A$45:$I$59, 8, FALSE), perc_85, perc_75 + (perc_90 - perc_75) * (2/3), converted_stat, '2K_Ratings'!W769, IF(bbgm_stat &gt;= perc_95, converted_stat * 3, IF(bbgm_stat &gt;= perc_90, converted_stat * 2, IF(bbgm_stat &gt;= perc_85, converted_stat * 1.5, converted_stat)))))</f>
        <v/>
      </c>
    </row>
    <row r="770">
      <c r="A770" s="30"/>
      <c r="B770" s="30" t="str">
        <f t="array" ref="B770">IF($A770="", "", LET(bbgm_stat, INDEX(Players!$A769:$P769, MATCH(B$2, Players!$A$1:$P$1, 0)), perc_75, VLOOKUP(B$2, Percentiles!$A$45:$I$59, 6, FALSE), perc_90, VLOOKUP(B$2, Percentiles!$A$45:$I$59, 7, FALSE), perc_95, VLOOKUP(B$2, Percentiles!$A$45:$I$59, 8, FALSE), perc_85, perc_75 + (perc_90 - perc_75) * (2/3), converted_stat, '2K_Ratings'!B770, IF(bbgm_stat &gt;= perc_95, converted_stat * 3, IF(bbgm_stat &gt;= perc_90, converted_stat * 2, IF(bbgm_stat &gt;= perc_85, converted_stat * 1.5, converted_stat)))))</f>
        <v/>
      </c>
      <c r="C770" s="30" t="str">
        <f t="array" ref="C770">IF($A770="", "", LET(bbgm_stat, INDEX(Players!$A769:$P769, MATCH(C$2, Players!$A$1:$P$1, 0)), perc_75, VLOOKUP(C$2, Percentiles!$A$45:$I$59, 6, FALSE), perc_90, VLOOKUP(C$2, Percentiles!$A$45:$I$59, 7, FALSE), perc_95, VLOOKUP(C$2, Percentiles!$A$45:$I$59, 8, FALSE), perc_85, perc_75 + (perc_90 - perc_75) * (2/3), converted_stat, '2K_Ratings'!C770, IF(bbgm_stat &gt;= perc_95, converted_stat * 3, IF(bbgm_stat &gt;= perc_90, converted_stat * 2, IF(bbgm_stat &gt;= perc_85, converted_stat * 1.5, converted_stat)))))</f>
        <v/>
      </c>
      <c r="D770" s="30" t="str">
        <f t="array" ref="D770">IF($A770="", "", LET(bbgm_stat, INDEX(Players!$A769:$P769, MATCH(D$2, Players!$A$1:$P$1, 0)), perc_75, VLOOKUP(D$2, Percentiles!$A$45:$I$59, 6, FALSE), perc_90, VLOOKUP(D$2, Percentiles!$A$45:$I$59, 7, FALSE), perc_95, VLOOKUP(D$2, Percentiles!$A$45:$I$59, 8, FALSE), perc_85, perc_75 + (perc_90 - perc_75) * (2/3), converted_stat, '2K_Ratings'!D770, IF(bbgm_stat &gt;= perc_95, converted_stat * 3, IF(bbgm_stat &gt;= perc_90, converted_stat * 2, IF(bbgm_stat &gt;= perc_85, converted_stat * 1.5, converted_stat)))))</f>
        <v/>
      </c>
      <c r="E770" s="30" t="str">
        <f t="array" ref="E770">IF($A770="", "", LET(bbgm_stat, INDEX(Players!$A769:$P769, MATCH(E$2, Players!$A$1:$P$1, 0)), perc_75, VLOOKUP(E$2, Percentiles!$A$45:$I$59, 6, FALSE), perc_90, VLOOKUP(E$2, Percentiles!$A$45:$I$59, 7, FALSE), perc_95, VLOOKUP(E$2, Percentiles!$A$45:$I$59, 8, FALSE), perc_85, perc_75 + (perc_90 - perc_75) * (2/3), converted_stat, '2K_Ratings'!E770, IF(bbgm_stat &gt;= perc_95, converted_stat * 3, IF(bbgm_stat &gt;= perc_90, converted_stat * 2, IF(bbgm_stat &gt;= perc_85, converted_stat * 1.5, converted_stat)))))</f>
        <v/>
      </c>
      <c r="F770" s="30" t="str">
        <f t="array" ref="F770">IF($A770="", "", LET(bbgm_stat, INDEX(Players!$A769:$P769, MATCH(F$2, Players!$A$1:$P$1, 0)), perc_75, VLOOKUP(F$2, Percentiles!$A$45:$I$59, 6, FALSE), perc_90, VLOOKUP(F$2, Percentiles!$A$45:$I$59, 7, FALSE), perc_95, VLOOKUP(F$2, Percentiles!$A$45:$I$59, 8, FALSE), perc_85, perc_75 + (perc_90 - perc_75) * (2/3), converted_stat, '2K_Ratings'!F770, IF(bbgm_stat &gt;= perc_95, converted_stat * 3, IF(bbgm_stat &gt;= perc_90, converted_stat * 2, IF(bbgm_stat &gt;= perc_85, converted_stat * 1.5, converted_stat)))))</f>
        <v/>
      </c>
      <c r="G770" s="30" t="str">
        <f t="array" ref="G770">IF($A770="", "", LET(bbgm_stat, INDEX(Players!$A769:$P769, MATCH(G$2, Players!$A$1:$P$1, 0)), perc_75, VLOOKUP(G$2, Percentiles!$A$45:$I$59, 6, FALSE), perc_90, VLOOKUP(G$2, Percentiles!$A$45:$I$59, 7, FALSE), perc_95, VLOOKUP(G$2, Percentiles!$A$45:$I$59, 8, FALSE), perc_85, perc_75 + (perc_90 - perc_75) * (2/3), converted_stat, '2K_Ratings'!G770, IF(bbgm_stat &gt;= perc_95, converted_stat * 3, IF(bbgm_stat &gt;= perc_90, converted_stat * 2, IF(bbgm_stat &gt;= perc_85, converted_stat * 1.5, converted_stat)))))</f>
        <v/>
      </c>
      <c r="H770" s="30" t="str">
        <f t="array" ref="H770">IF($A770="", "", LET(bbgm_stat, INDEX(Players!$A769:$P769, MATCH(H$2, Players!$A$1:$P$1, 0)), perc_75, VLOOKUP(H$2, Percentiles!$A$45:$I$59, 6, FALSE), perc_90, VLOOKUP(H$2, Percentiles!$A$45:$I$59, 7, FALSE), perc_95, VLOOKUP(H$2, Percentiles!$A$45:$I$59, 8, FALSE), perc_85, perc_75 + (perc_90 - perc_75) * (2/3), converted_stat, '2K_Ratings'!H770, IF(bbgm_stat &gt;= perc_95, converted_stat * 3, IF(bbgm_stat &gt;= perc_90, converted_stat * 2, IF(bbgm_stat &gt;= perc_85, converted_stat * 1.5, converted_stat)))))</f>
        <v/>
      </c>
      <c r="I770" s="30" t="str">
        <f t="array" ref="I770">IF($A770="", "", LET(bbgm_stat, INDEX(Players!$A769:$P769, MATCH(I$2, Players!$A$1:$P$1, 0)), perc_75, VLOOKUP(I$2, Percentiles!$A$45:$I$59, 6, FALSE), perc_90, VLOOKUP(I$2, Percentiles!$A$45:$I$59, 7, FALSE), perc_95, VLOOKUP(I$2, Percentiles!$A$45:$I$59, 8, FALSE), perc_85, perc_75 + (perc_90 - perc_75) * (2/3), converted_stat, '2K_Ratings'!I770, IF(bbgm_stat &gt;= perc_95, converted_stat * 3, IF(bbgm_stat &gt;= perc_90, converted_stat * 2, IF(bbgm_stat &gt;= perc_85, converted_stat * 1.5, converted_stat)))))</f>
        <v/>
      </c>
      <c r="J770" s="30" t="str">
        <f t="array" ref="J770">IF($A770="", "", LET(bbgm_stat, INDEX(Players!$A769:$P769, MATCH(J$2, Players!$A$1:$P$1, 0)), perc_75, VLOOKUP(J$2, Percentiles!$A$45:$I$59, 6, FALSE), perc_90, VLOOKUP(J$2, Percentiles!$A$45:$I$59, 7, FALSE), perc_95, VLOOKUP(J$2, Percentiles!$A$45:$I$59, 8, FALSE), perc_85, perc_75 + (perc_90 - perc_75) * (2/3), converted_stat, '2K_Ratings'!J770, IF(bbgm_stat &gt;= perc_95, converted_stat * 3, IF(bbgm_stat &gt;= perc_90, converted_stat * 2, IF(bbgm_stat &gt;= perc_85, converted_stat * 1.5, converted_stat)))))</f>
        <v/>
      </c>
      <c r="K770" s="30" t="str">
        <f t="array" ref="K770">IF($A770="", "", LET(bbgm_stat, INDEX(Players!$A769:$P769, MATCH(K$2, Players!$A$1:$P$1, 0)), perc_75, VLOOKUP(K$2, Percentiles!$A$45:$I$59, 6, FALSE), perc_90, VLOOKUP(K$2, Percentiles!$A$45:$I$59, 7, FALSE), perc_95, VLOOKUP(K$2, Percentiles!$A$45:$I$59, 8, FALSE), perc_85, perc_75 + (perc_90 - perc_75) * (2/3), converted_stat, '2K_Ratings'!K770, IF(bbgm_stat &gt;= perc_95, converted_stat * 3, IF(bbgm_stat &gt;= perc_90, converted_stat * 2, IF(bbgm_stat &gt;= perc_85, converted_stat * 1.5, converted_stat)))))</f>
        <v/>
      </c>
      <c r="L770" s="30" t="str">
        <f t="array" ref="L770">IF($A770="", "", LET(bbgm_stat, INDEX(Players!$A769:$P769, MATCH(L$2, Players!$A$1:$P$1, 0)), perc_75, VLOOKUP(L$2, Percentiles!$A$45:$I$59, 6, FALSE), perc_90, VLOOKUP(L$2, Percentiles!$A$45:$I$59, 7, FALSE), perc_95, VLOOKUP(L$2, Percentiles!$A$45:$I$59, 8, FALSE), perc_85, perc_75 + (perc_90 - perc_75) * (2/3), converted_stat, '2K_Ratings'!L770, IF(bbgm_stat &gt;= perc_95, converted_stat * 3, IF(bbgm_stat &gt;= perc_90, converted_stat * 2, IF(bbgm_stat &gt;= perc_85, converted_stat * 1.5, converted_stat)))))</f>
        <v/>
      </c>
      <c r="M770" s="30" t="str">
        <f t="array" ref="M770">IF($A770="", "", LET(bbgm_stat, INDEX(Players!$A769:$P769, MATCH(M$2, Players!$A$1:$P$1, 0)), perc_75, VLOOKUP(M$2, Percentiles!$A$45:$I$59, 6, FALSE), perc_90, VLOOKUP(M$2, Percentiles!$A$45:$I$59, 7, FALSE), perc_95, VLOOKUP(M$2, Percentiles!$A$45:$I$59, 8, FALSE), perc_85, perc_75 + (perc_90 - perc_75) * (2/3), converted_stat, '2K_Ratings'!M770, IF(bbgm_stat &gt;= perc_95, converted_stat * 3, IF(bbgm_stat &gt;= perc_90, converted_stat * 2, IF(bbgm_stat &gt;= perc_85, converted_stat * 1.5, converted_stat)))))</f>
        <v/>
      </c>
      <c r="N770" s="30" t="str">
        <f t="array" ref="N770">IF($A770="", "", LET(bbgm_stat, INDEX(Players!$A769:$P769, MATCH(N$2, Players!$A$1:$P$1, 0)), perc_75, VLOOKUP(N$2, Percentiles!$A$45:$I$59, 6, FALSE), perc_90, VLOOKUP(N$2, Percentiles!$A$45:$I$59, 7, FALSE), perc_95, VLOOKUP(N$2, Percentiles!$A$45:$I$59, 8, FALSE), perc_85, perc_75 + (perc_90 - perc_75) * (2/3), converted_stat, '2K_Ratings'!N770, IF(bbgm_stat &gt;= perc_95, converted_stat * 3, IF(bbgm_stat &gt;= perc_90, converted_stat * 2, IF(bbgm_stat &gt;= perc_85, converted_stat * 1.5, converted_stat)))))</f>
        <v/>
      </c>
      <c r="O770" s="30" t="str">
        <f t="array" ref="O770">IF($A770="", "", LET(bbgm_stat, INDEX(Players!$A769:$P769, MATCH(O$2, Players!$A$1:$P$1, 0)), perc_75, VLOOKUP(O$2, Percentiles!$A$45:$I$59, 6, FALSE), perc_90, VLOOKUP(O$2, Percentiles!$A$45:$I$59, 7, FALSE), perc_95, VLOOKUP(O$2, Percentiles!$A$45:$I$59, 8, FALSE), perc_85, perc_75 + (perc_90 - perc_75) * (2/3), converted_stat, '2K_Ratings'!O770, IF(bbgm_stat &gt;= perc_95, converted_stat * 3, IF(bbgm_stat &gt;= perc_90, converted_stat * 2, IF(bbgm_stat &gt;= perc_85, converted_stat * 1.5, converted_stat)))))</f>
        <v/>
      </c>
      <c r="P770" s="30" t="str">
        <f t="array" ref="P770">IF($A770="", "", LET(bbgm_stat, INDEX(Players!$A769:$P769, MATCH(P$2, Players!$A$1:$P$1, 0)), perc_75, VLOOKUP(P$2, Percentiles!$A$45:$I$59, 6, FALSE), perc_90, VLOOKUP(P$2, Percentiles!$A$45:$I$59, 7, FALSE), perc_95, VLOOKUP(P$2, Percentiles!$A$45:$I$59, 8, FALSE), perc_85, perc_75 + (perc_90 - perc_75) * (2/3), converted_stat, '2K_Ratings'!P770, IF(bbgm_stat &gt;= perc_95, converted_stat * 3, IF(bbgm_stat &gt;= perc_90, converted_stat * 2, IF(bbgm_stat &gt;= perc_85, converted_stat * 1.5, converted_stat)))))</f>
        <v/>
      </c>
      <c r="Q770" s="30" t="str">
        <f t="array" ref="Q770">IF($A770="", "", LET(bbgm_stat, INDEX(Players!$A769:$P769, MATCH(Q$2, Players!$A$1:$P$1, 0)), perc_75, VLOOKUP(Q$2, Percentiles!$A$45:$I$59, 6, FALSE), perc_90, VLOOKUP(Q$2, Percentiles!$A$45:$I$59, 7, FALSE), perc_95, VLOOKUP(Q$2, Percentiles!$A$45:$I$59, 8, FALSE), perc_85, perc_75 + (perc_90 - perc_75) * (2/3), converted_stat, '2K_Ratings'!Q770, IF(bbgm_stat &gt;= perc_95, converted_stat * 3, IF(bbgm_stat &gt;= perc_90, converted_stat * 2, IF(bbgm_stat &gt;= perc_85, converted_stat * 1.5, converted_stat)))))</f>
        <v/>
      </c>
      <c r="R770" s="30" t="str">
        <f t="array" ref="R770">IF($A770="", "", LET(bbgm_stat, INDEX(Players!$A769:$P769, MATCH(R$2, Players!$A$1:$P$1, 0)), perc_75, VLOOKUP(R$2, Percentiles!$A$45:$I$59, 6, FALSE), perc_90, VLOOKUP(R$2, Percentiles!$A$45:$I$59, 7, FALSE), perc_95, VLOOKUP(R$2, Percentiles!$A$45:$I$59, 8, FALSE), perc_85, perc_75 + (perc_90 - perc_75) * (2/3), converted_stat, '2K_Ratings'!R770, IF(bbgm_stat &gt;= perc_95, converted_stat * 3, IF(bbgm_stat &gt;= perc_90, converted_stat * 2, IF(bbgm_stat &gt;= perc_85, converted_stat * 1.5, converted_stat)))))</f>
        <v/>
      </c>
      <c r="S770" s="30" t="str">
        <f t="array" ref="S770">IF($A770="", "", LET(bbgm_stat, INDEX(Players!$A769:$P769, MATCH(S$2, Players!$A$1:$P$1, 0)), perc_75, VLOOKUP(S$2, Percentiles!$A$45:$I$59, 6, FALSE), perc_90, VLOOKUP(S$2, Percentiles!$A$45:$I$59, 7, FALSE), perc_95, VLOOKUP(S$2, Percentiles!$A$45:$I$59, 8, FALSE), perc_85, perc_75 + (perc_90 - perc_75) * (2/3), converted_stat, '2K_Ratings'!S770, IF(bbgm_stat &gt;= perc_95, converted_stat * 3, IF(bbgm_stat &gt;= perc_90, converted_stat * 2, IF(bbgm_stat &gt;= perc_85, converted_stat * 1.5, converted_stat)))))</f>
        <v/>
      </c>
      <c r="T770" s="30" t="str">
        <f t="array" ref="T770">IF($A770="", "", LET(bbgm_stat, INDEX(Players!$A769:$P769, MATCH(T$2, Players!$A$1:$P$1, 0)), perc_75, VLOOKUP(T$2, Percentiles!$A$45:$I$59, 6, FALSE), perc_90, VLOOKUP(T$2, Percentiles!$A$45:$I$59, 7, FALSE), perc_95, VLOOKUP(T$2, Percentiles!$A$45:$I$59, 8, FALSE), perc_85, perc_75 + (perc_90 - perc_75) * (2/3), converted_stat, '2K_Ratings'!T770, IF(bbgm_stat &gt;= perc_95, converted_stat * 3, IF(bbgm_stat &gt;= perc_90, converted_stat * 2, IF(bbgm_stat &gt;= perc_85, converted_stat * 1.5, converted_stat)))))</f>
        <v/>
      </c>
      <c r="U770" s="30" t="str">
        <f t="array" ref="U770">IF($A770="", "", LET(bbgm_stat, INDEX(Players!$A769:$P769, MATCH(U$2, Players!$A$1:$P$1, 0)), perc_75, VLOOKUP(U$2, Percentiles!$A$45:$I$59, 6, FALSE), perc_90, VLOOKUP(U$2, Percentiles!$A$45:$I$59, 7, FALSE), perc_95, VLOOKUP(U$2, Percentiles!$A$45:$I$59, 8, FALSE), perc_85, perc_75 + (perc_90 - perc_75) * (2/3), converted_stat, '2K_Ratings'!U770, IF(bbgm_stat &gt;= perc_95, converted_stat * 3, IF(bbgm_stat &gt;= perc_90, converted_stat * 2, IF(bbgm_stat &gt;= perc_85, converted_stat * 1.5, converted_stat)))))</f>
        <v/>
      </c>
      <c r="V770" s="30" t="str">
        <f t="array" ref="V770">IF($A770="", "", LET(bbgm_stat, INDEX(Players!$A769:$P769, MATCH(V$2, Players!$A$1:$P$1, 0)), perc_75, VLOOKUP(V$2, Percentiles!$A$45:$I$59, 6, FALSE), perc_90, VLOOKUP(V$2, Percentiles!$A$45:$I$59, 7, FALSE), perc_95, VLOOKUP(V$2, Percentiles!$A$45:$I$59, 8, FALSE), perc_85, perc_75 + (perc_90 - perc_75) * (2/3), converted_stat, '2K_Ratings'!V770, IF(bbgm_stat &gt;= perc_95, converted_stat * 3, IF(bbgm_stat &gt;= perc_90, converted_stat * 2, IF(bbgm_stat &gt;= perc_85, converted_stat * 1.5, converted_stat)))))</f>
        <v/>
      </c>
      <c r="W770" s="30" t="str">
        <f t="array" ref="W770">IF($A770="", "", LET(bbgm_stat, INDEX(Players!$A769:$P769, MATCH(W$2, Players!$A$1:$P$1, 0)), perc_75, VLOOKUP(W$2, Percentiles!$A$45:$I$59, 6, FALSE), perc_90, VLOOKUP(W$2, Percentiles!$A$45:$I$59, 7, FALSE), perc_95, VLOOKUP(W$2, Percentiles!$A$45:$I$59, 8, FALSE), perc_85, perc_75 + (perc_90 - perc_75) * (2/3), converted_stat, '2K_Ratings'!W770, IF(bbgm_stat &gt;= perc_95, converted_stat * 3, IF(bbgm_stat &gt;= perc_90, converted_stat * 2, IF(bbgm_stat &gt;= perc_85, converted_stat * 1.5, converted_stat)))))</f>
        <v/>
      </c>
    </row>
    <row r="771">
      <c r="A771" s="30"/>
      <c r="B771" s="30" t="str">
        <f t="array" ref="B771">IF($A771="", "", LET(bbgm_stat, INDEX(Players!$A770:$P770, MATCH(B$2, Players!$A$1:$P$1, 0)), perc_75, VLOOKUP(B$2, Percentiles!$A$45:$I$59, 6, FALSE), perc_90, VLOOKUP(B$2, Percentiles!$A$45:$I$59, 7, FALSE), perc_95, VLOOKUP(B$2, Percentiles!$A$45:$I$59, 8, FALSE), perc_85, perc_75 + (perc_90 - perc_75) * (2/3), converted_stat, '2K_Ratings'!B771, IF(bbgm_stat &gt;= perc_95, converted_stat * 3, IF(bbgm_stat &gt;= perc_90, converted_stat * 2, IF(bbgm_stat &gt;= perc_85, converted_stat * 1.5, converted_stat)))))</f>
        <v/>
      </c>
      <c r="C771" s="30" t="str">
        <f t="array" ref="C771">IF($A771="", "", LET(bbgm_stat, INDEX(Players!$A770:$P770, MATCH(C$2, Players!$A$1:$P$1, 0)), perc_75, VLOOKUP(C$2, Percentiles!$A$45:$I$59, 6, FALSE), perc_90, VLOOKUP(C$2, Percentiles!$A$45:$I$59, 7, FALSE), perc_95, VLOOKUP(C$2, Percentiles!$A$45:$I$59, 8, FALSE), perc_85, perc_75 + (perc_90 - perc_75) * (2/3), converted_stat, '2K_Ratings'!C771, IF(bbgm_stat &gt;= perc_95, converted_stat * 3, IF(bbgm_stat &gt;= perc_90, converted_stat * 2, IF(bbgm_stat &gt;= perc_85, converted_stat * 1.5, converted_stat)))))</f>
        <v/>
      </c>
      <c r="D771" s="30" t="str">
        <f t="array" ref="D771">IF($A771="", "", LET(bbgm_stat, INDEX(Players!$A770:$P770, MATCH(D$2, Players!$A$1:$P$1, 0)), perc_75, VLOOKUP(D$2, Percentiles!$A$45:$I$59, 6, FALSE), perc_90, VLOOKUP(D$2, Percentiles!$A$45:$I$59, 7, FALSE), perc_95, VLOOKUP(D$2, Percentiles!$A$45:$I$59, 8, FALSE), perc_85, perc_75 + (perc_90 - perc_75) * (2/3), converted_stat, '2K_Ratings'!D771, IF(bbgm_stat &gt;= perc_95, converted_stat * 3, IF(bbgm_stat &gt;= perc_90, converted_stat * 2, IF(bbgm_stat &gt;= perc_85, converted_stat * 1.5, converted_stat)))))</f>
        <v/>
      </c>
      <c r="E771" s="30" t="str">
        <f t="array" ref="E771">IF($A771="", "", LET(bbgm_stat, INDEX(Players!$A770:$P770, MATCH(E$2, Players!$A$1:$P$1, 0)), perc_75, VLOOKUP(E$2, Percentiles!$A$45:$I$59, 6, FALSE), perc_90, VLOOKUP(E$2, Percentiles!$A$45:$I$59, 7, FALSE), perc_95, VLOOKUP(E$2, Percentiles!$A$45:$I$59, 8, FALSE), perc_85, perc_75 + (perc_90 - perc_75) * (2/3), converted_stat, '2K_Ratings'!E771, IF(bbgm_stat &gt;= perc_95, converted_stat * 3, IF(bbgm_stat &gt;= perc_90, converted_stat * 2, IF(bbgm_stat &gt;= perc_85, converted_stat * 1.5, converted_stat)))))</f>
        <v/>
      </c>
      <c r="F771" s="30" t="str">
        <f t="array" ref="F771">IF($A771="", "", LET(bbgm_stat, INDEX(Players!$A770:$P770, MATCH(F$2, Players!$A$1:$P$1, 0)), perc_75, VLOOKUP(F$2, Percentiles!$A$45:$I$59, 6, FALSE), perc_90, VLOOKUP(F$2, Percentiles!$A$45:$I$59, 7, FALSE), perc_95, VLOOKUP(F$2, Percentiles!$A$45:$I$59, 8, FALSE), perc_85, perc_75 + (perc_90 - perc_75) * (2/3), converted_stat, '2K_Ratings'!F771, IF(bbgm_stat &gt;= perc_95, converted_stat * 3, IF(bbgm_stat &gt;= perc_90, converted_stat * 2, IF(bbgm_stat &gt;= perc_85, converted_stat * 1.5, converted_stat)))))</f>
        <v/>
      </c>
      <c r="G771" s="30" t="str">
        <f t="array" ref="G771">IF($A771="", "", LET(bbgm_stat, INDEX(Players!$A770:$P770, MATCH(G$2, Players!$A$1:$P$1, 0)), perc_75, VLOOKUP(G$2, Percentiles!$A$45:$I$59, 6, FALSE), perc_90, VLOOKUP(G$2, Percentiles!$A$45:$I$59, 7, FALSE), perc_95, VLOOKUP(G$2, Percentiles!$A$45:$I$59, 8, FALSE), perc_85, perc_75 + (perc_90 - perc_75) * (2/3), converted_stat, '2K_Ratings'!G771, IF(bbgm_stat &gt;= perc_95, converted_stat * 3, IF(bbgm_stat &gt;= perc_90, converted_stat * 2, IF(bbgm_stat &gt;= perc_85, converted_stat * 1.5, converted_stat)))))</f>
        <v/>
      </c>
      <c r="H771" s="30" t="str">
        <f t="array" ref="H771">IF($A771="", "", LET(bbgm_stat, INDEX(Players!$A770:$P770, MATCH(H$2, Players!$A$1:$P$1, 0)), perc_75, VLOOKUP(H$2, Percentiles!$A$45:$I$59, 6, FALSE), perc_90, VLOOKUP(H$2, Percentiles!$A$45:$I$59, 7, FALSE), perc_95, VLOOKUP(H$2, Percentiles!$A$45:$I$59, 8, FALSE), perc_85, perc_75 + (perc_90 - perc_75) * (2/3), converted_stat, '2K_Ratings'!H771, IF(bbgm_stat &gt;= perc_95, converted_stat * 3, IF(bbgm_stat &gt;= perc_90, converted_stat * 2, IF(bbgm_stat &gt;= perc_85, converted_stat * 1.5, converted_stat)))))</f>
        <v/>
      </c>
      <c r="I771" s="30" t="str">
        <f t="array" ref="I771">IF($A771="", "", LET(bbgm_stat, INDEX(Players!$A770:$P770, MATCH(I$2, Players!$A$1:$P$1, 0)), perc_75, VLOOKUP(I$2, Percentiles!$A$45:$I$59, 6, FALSE), perc_90, VLOOKUP(I$2, Percentiles!$A$45:$I$59, 7, FALSE), perc_95, VLOOKUP(I$2, Percentiles!$A$45:$I$59, 8, FALSE), perc_85, perc_75 + (perc_90 - perc_75) * (2/3), converted_stat, '2K_Ratings'!I771, IF(bbgm_stat &gt;= perc_95, converted_stat * 3, IF(bbgm_stat &gt;= perc_90, converted_stat * 2, IF(bbgm_stat &gt;= perc_85, converted_stat * 1.5, converted_stat)))))</f>
        <v/>
      </c>
      <c r="J771" s="30" t="str">
        <f t="array" ref="J771">IF($A771="", "", LET(bbgm_stat, INDEX(Players!$A770:$P770, MATCH(J$2, Players!$A$1:$P$1, 0)), perc_75, VLOOKUP(J$2, Percentiles!$A$45:$I$59, 6, FALSE), perc_90, VLOOKUP(J$2, Percentiles!$A$45:$I$59, 7, FALSE), perc_95, VLOOKUP(J$2, Percentiles!$A$45:$I$59, 8, FALSE), perc_85, perc_75 + (perc_90 - perc_75) * (2/3), converted_stat, '2K_Ratings'!J771, IF(bbgm_stat &gt;= perc_95, converted_stat * 3, IF(bbgm_stat &gt;= perc_90, converted_stat * 2, IF(bbgm_stat &gt;= perc_85, converted_stat * 1.5, converted_stat)))))</f>
        <v/>
      </c>
      <c r="K771" s="30" t="str">
        <f t="array" ref="K771">IF($A771="", "", LET(bbgm_stat, INDEX(Players!$A770:$P770, MATCH(K$2, Players!$A$1:$P$1, 0)), perc_75, VLOOKUP(K$2, Percentiles!$A$45:$I$59, 6, FALSE), perc_90, VLOOKUP(K$2, Percentiles!$A$45:$I$59, 7, FALSE), perc_95, VLOOKUP(K$2, Percentiles!$A$45:$I$59, 8, FALSE), perc_85, perc_75 + (perc_90 - perc_75) * (2/3), converted_stat, '2K_Ratings'!K771, IF(bbgm_stat &gt;= perc_95, converted_stat * 3, IF(bbgm_stat &gt;= perc_90, converted_stat * 2, IF(bbgm_stat &gt;= perc_85, converted_stat * 1.5, converted_stat)))))</f>
        <v/>
      </c>
      <c r="L771" s="30" t="str">
        <f t="array" ref="L771">IF($A771="", "", LET(bbgm_stat, INDEX(Players!$A770:$P770, MATCH(L$2, Players!$A$1:$P$1, 0)), perc_75, VLOOKUP(L$2, Percentiles!$A$45:$I$59, 6, FALSE), perc_90, VLOOKUP(L$2, Percentiles!$A$45:$I$59, 7, FALSE), perc_95, VLOOKUP(L$2, Percentiles!$A$45:$I$59, 8, FALSE), perc_85, perc_75 + (perc_90 - perc_75) * (2/3), converted_stat, '2K_Ratings'!L771, IF(bbgm_stat &gt;= perc_95, converted_stat * 3, IF(bbgm_stat &gt;= perc_90, converted_stat * 2, IF(bbgm_stat &gt;= perc_85, converted_stat * 1.5, converted_stat)))))</f>
        <v/>
      </c>
      <c r="M771" s="30" t="str">
        <f t="array" ref="M771">IF($A771="", "", LET(bbgm_stat, INDEX(Players!$A770:$P770, MATCH(M$2, Players!$A$1:$P$1, 0)), perc_75, VLOOKUP(M$2, Percentiles!$A$45:$I$59, 6, FALSE), perc_90, VLOOKUP(M$2, Percentiles!$A$45:$I$59, 7, FALSE), perc_95, VLOOKUP(M$2, Percentiles!$A$45:$I$59, 8, FALSE), perc_85, perc_75 + (perc_90 - perc_75) * (2/3), converted_stat, '2K_Ratings'!M771, IF(bbgm_stat &gt;= perc_95, converted_stat * 3, IF(bbgm_stat &gt;= perc_90, converted_stat * 2, IF(bbgm_stat &gt;= perc_85, converted_stat * 1.5, converted_stat)))))</f>
        <v/>
      </c>
      <c r="N771" s="30" t="str">
        <f t="array" ref="N771">IF($A771="", "", LET(bbgm_stat, INDEX(Players!$A770:$P770, MATCH(N$2, Players!$A$1:$P$1, 0)), perc_75, VLOOKUP(N$2, Percentiles!$A$45:$I$59, 6, FALSE), perc_90, VLOOKUP(N$2, Percentiles!$A$45:$I$59, 7, FALSE), perc_95, VLOOKUP(N$2, Percentiles!$A$45:$I$59, 8, FALSE), perc_85, perc_75 + (perc_90 - perc_75) * (2/3), converted_stat, '2K_Ratings'!N771, IF(bbgm_stat &gt;= perc_95, converted_stat * 3, IF(bbgm_stat &gt;= perc_90, converted_stat * 2, IF(bbgm_stat &gt;= perc_85, converted_stat * 1.5, converted_stat)))))</f>
        <v/>
      </c>
      <c r="O771" s="30" t="str">
        <f t="array" ref="O771">IF($A771="", "", LET(bbgm_stat, INDEX(Players!$A770:$P770, MATCH(O$2, Players!$A$1:$P$1, 0)), perc_75, VLOOKUP(O$2, Percentiles!$A$45:$I$59, 6, FALSE), perc_90, VLOOKUP(O$2, Percentiles!$A$45:$I$59, 7, FALSE), perc_95, VLOOKUP(O$2, Percentiles!$A$45:$I$59, 8, FALSE), perc_85, perc_75 + (perc_90 - perc_75) * (2/3), converted_stat, '2K_Ratings'!O771, IF(bbgm_stat &gt;= perc_95, converted_stat * 3, IF(bbgm_stat &gt;= perc_90, converted_stat * 2, IF(bbgm_stat &gt;= perc_85, converted_stat * 1.5, converted_stat)))))</f>
        <v/>
      </c>
      <c r="P771" s="30" t="str">
        <f t="array" ref="P771">IF($A771="", "", LET(bbgm_stat, INDEX(Players!$A770:$P770, MATCH(P$2, Players!$A$1:$P$1, 0)), perc_75, VLOOKUP(P$2, Percentiles!$A$45:$I$59, 6, FALSE), perc_90, VLOOKUP(P$2, Percentiles!$A$45:$I$59, 7, FALSE), perc_95, VLOOKUP(P$2, Percentiles!$A$45:$I$59, 8, FALSE), perc_85, perc_75 + (perc_90 - perc_75) * (2/3), converted_stat, '2K_Ratings'!P771, IF(bbgm_stat &gt;= perc_95, converted_stat * 3, IF(bbgm_stat &gt;= perc_90, converted_stat * 2, IF(bbgm_stat &gt;= perc_85, converted_stat * 1.5, converted_stat)))))</f>
        <v/>
      </c>
      <c r="Q771" s="30" t="str">
        <f t="array" ref="Q771">IF($A771="", "", LET(bbgm_stat, INDEX(Players!$A770:$P770, MATCH(Q$2, Players!$A$1:$P$1, 0)), perc_75, VLOOKUP(Q$2, Percentiles!$A$45:$I$59, 6, FALSE), perc_90, VLOOKUP(Q$2, Percentiles!$A$45:$I$59, 7, FALSE), perc_95, VLOOKUP(Q$2, Percentiles!$A$45:$I$59, 8, FALSE), perc_85, perc_75 + (perc_90 - perc_75) * (2/3), converted_stat, '2K_Ratings'!Q771, IF(bbgm_stat &gt;= perc_95, converted_stat * 3, IF(bbgm_stat &gt;= perc_90, converted_stat * 2, IF(bbgm_stat &gt;= perc_85, converted_stat * 1.5, converted_stat)))))</f>
        <v/>
      </c>
      <c r="R771" s="30" t="str">
        <f t="array" ref="R771">IF($A771="", "", LET(bbgm_stat, INDEX(Players!$A770:$P770, MATCH(R$2, Players!$A$1:$P$1, 0)), perc_75, VLOOKUP(R$2, Percentiles!$A$45:$I$59, 6, FALSE), perc_90, VLOOKUP(R$2, Percentiles!$A$45:$I$59, 7, FALSE), perc_95, VLOOKUP(R$2, Percentiles!$A$45:$I$59, 8, FALSE), perc_85, perc_75 + (perc_90 - perc_75) * (2/3), converted_stat, '2K_Ratings'!R771, IF(bbgm_stat &gt;= perc_95, converted_stat * 3, IF(bbgm_stat &gt;= perc_90, converted_stat * 2, IF(bbgm_stat &gt;= perc_85, converted_stat * 1.5, converted_stat)))))</f>
        <v/>
      </c>
      <c r="S771" s="30" t="str">
        <f t="array" ref="S771">IF($A771="", "", LET(bbgm_stat, INDEX(Players!$A770:$P770, MATCH(S$2, Players!$A$1:$P$1, 0)), perc_75, VLOOKUP(S$2, Percentiles!$A$45:$I$59, 6, FALSE), perc_90, VLOOKUP(S$2, Percentiles!$A$45:$I$59, 7, FALSE), perc_95, VLOOKUP(S$2, Percentiles!$A$45:$I$59, 8, FALSE), perc_85, perc_75 + (perc_90 - perc_75) * (2/3), converted_stat, '2K_Ratings'!S771, IF(bbgm_stat &gt;= perc_95, converted_stat * 3, IF(bbgm_stat &gt;= perc_90, converted_stat * 2, IF(bbgm_stat &gt;= perc_85, converted_stat * 1.5, converted_stat)))))</f>
        <v/>
      </c>
      <c r="T771" s="30" t="str">
        <f t="array" ref="T771">IF($A771="", "", LET(bbgm_stat, INDEX(Players!$A770:$P770, MATCH(T$2, Players!$A$1:$P$1, 0)), perc_75, VLOOKUP(T$2, Percentiles!$A$45:$I$59, 6, FALSE), perc_90, VLOOKUP(T$2, Percentiles!$A$45:$I$59, 7, FALSE), perc_95, VLOOKUP(T$2, Percentiles!$A$45:$I$59, 8, FALSE), perc_85, perc_75 + (perc_90 - perc_75) * (2/3), converted_stat, '2K_Ratings'!T771, IF(bbgm_stat &gt;= perc_95, converted_stat * 3, IF(bbgm_stat &gt;= perc_90, converted_stat * 2, IF(bbgm_stat &gt;= perc_85, converted_stat * 1.5, converted_stat)))))</f>
        <v/>
      </c>
      <c r="U771" s="30" t="str">
        <f t="array" ref="U771">IF($A771="", "", LET(bbgm_stat, INDEX(Players!$A770:$P770, MATCH(U$2, Players!$A$1:$P$1, 0)), perc_75, VLOOKUP(U$2, Percentiles!$A$45:$I$59, 6, FALSE), perc_90, VLOOKUP(U$2, Percentiles!$A$45:$I$59, 7, FALSE), perc_95, VLOOKUP(U$2, Percentiles!$A$45:$I$59, 8, FALSE), perc_85, perc_75 + (perc_90 - perc_75) * (2/3), converted_stat, '2K_Ratings'!U771, IF(bbgm_stat &gt;= perc_95, converted_stat * 3, IF(bbgm_stat &gt;= perc_90, converted_stat * 2, IF(bbgm_stat &gt;= perc_85, converted_stat * 1.5, converted_stat)))))</f>
        <v/>
      </c>
      <c r="V771" s="30" t="str">
        <f t="array" ref="V771">IF($A771="", "", LET(bbgm_stat, INDEX(Players!$A770:$P770, MATCH(V$2, Players!$A$1:$P$1, 0)), perc_75, VLOOKUP(V$2, Percentiles!$A$45:$I$59, 6, FALSE), perc_90, VLOOKUP(V$2, Percentiles!$A$45:$I$59, 7, FALSE), perc_95, VLOOKUP(V$2, Percentiles!$A$45:$I$59, 8, FALSE), perc_85, perc_75 + (perc_90 - perc_75) * (2/3), converted_stat, '2K_Ratings'!V771, IF(bbgm_stat &gt;= perc_95, converted_stat * 3, IF(bbgm_stat &gt;= perc_90, converted_stat * 2, IF(bbgm_stat &gt;= perc_85, converted_stat * 1.5, converted_stat)))))</f>
        <v/>
      </c>
      <c r="W771" s="30" t="str">
        <f t="array" ref="W771">IF($A771="", "", LET(bbgm_stat, INDEX(Players!$A770:$P770, MATCH(W$2, Players!$A$1:$P$1, 0)), perc_75, VLOOKUP(W$2, Percentiles!$A$45:$I$59, 6, FALSE), perc_90, VLOOKUP(W$2, Percentiles!$A$45:$I$59, 7, FALSE), perc_95, VLOOKUP(W$2, Percentiles!$A$45:$I$59, 8, FALSE), perc_85, perc_75 + (perc_90 - perc_75) * (2/3), converted_stat, '2K_Ratings'!W771, IF(bbgm_stat &gt;= perc_95, converted_stat * 3, IF(bbgm_stat &gt;= perc_90, converted_stat * 2, IF(bbgm_stat &gt;= perc_85, converted_stat * 1.5, converted_stat)))))</f>
        <v/>
      </c>
    </row>
    <row r="772">
      <c r="A772" s="30"/>
      <c r="B772" s="30" t="str">
        <f t="array" ref="B772">IF($A772="", "", LET(bbgm_stat, INDEX(Players!$A771:$P771, MATCH(B$2, Players!$A$1:$P$1, 0)), perc_75, VLOOKUP(B$2, Percentiles!$A$45:$I$59, 6, FALSE), perc_90, VLOOKUP(B$2, Percentiles!$A$45:$I$59, 7, FALSE), perc_95, VLOOKUP(B$2, Percentiles!$A$45:$I$59, 8, FALSE), perc_85, perc_75 + (perc_90 - perc_75) * (2/3), converted_stat, '2K_Ratings'!B772, IF(bbgm_stat &gt;= perc_95, converted_stat * 3, IF(bbgm_stat &gt;= perc_90, converted_stat * 2, IF(bbgm_stat &gt;= perc_85, converted_stat * 1.5, converted_stat)))))</f>
        <v/>
      </c>
      <c r="C772" s="30" t="str">
        <f t="array" ref="C772">IF($A772="", "", LET(bbgm_stat, INDEX(Players!$A771:$P771, MATCH(C$2, Players!$A$1:$P$1, 0)), perc_75, VLOOKUP(C$2, Percentiles!$A$45:$I$59, 6, FALSE), perc_90, VLOOKUP(C$2, Percentiles!$A$45:$I$59, 7, FALSE), perc_95, VLOOKUP(C$2, Percentiles!$A$45:$I$59, 8, FALSE), perc_85, perc_75 + (perc_90 - perc_75) * (2/3), converted_stat, '2K_Ratings'!C772, IF(bbgm_stat &gt;= perc_95, converted_stat * 3, IF(bbgm_stat &gt;= perc_90, converted_stat * 2, IF(bbgm_stat &gt;= perc_85, converted_stat * 1.5, converted_stat)))))</f>
        <v/>
      </c>
      <c r="D772" s="30" t="str">
        <f t="array" ref="D772">IF($A772="", "", LET(bbgm_stat, INDEX(Players!$A771:$P771, MATCH(D$2, Players!$A$1:$P$1, 0)), perc_75, VLOOKUP(D$2, Percentiles!$A$45:$I$59, 6, FALSE), perc_90, VLOOKUP(D$2, Percentiles!$A$45:$I$59, 7, FALSE), perc_95, VLOOKUP(D$2, Percentiles!$A$45:$I$59, 8, FALSE), perc_85, perc_75 + (perc_90 - perc_75) * (2/3), converted_stat, '2K_Ratings'!D772, IF(bbgm_stat &gt;= perc_95, converted_stat * 3, IF(bbgm_stat &gt;= perc_90, converted_stat * 2, IF(bbgm_stat &gt;= perc_85, converted_stat * 1.5, converted_stat)))))</f>
        <v/>
      </c>
      <c r="E772" s="30" t="str">
        <f t="array" ref="E772">IF($A772="", "", LET(bbgm_stat, INDEX(Players!$A771:$P771, MATCH(E$2, Players!$A$1:$P$1, 0)), perc_75, VLOOKUP(E$2, Percentiles!$A$45:$I$59, 6, FALSE), perc_90, VLOOKUP(E$2, Percentiles!$A$45:$I$59, 7, FALSE), perc_95, VLOOKUP(E$2, Percentiles!$A$45:$I$59, 8, FALSE), perc_85, perc_75 + (perc_90 - perc_75) * (2/3), converted_stat, '2K_Ratings'!E772, IF(bbgm_stat &gt;= perc_95, converted_stat * 3, IF(bbgm_stat &gt;= perc_90, converted_stat * 2, IF(bbgm_stat &gt;= perc_85, converted_stat * 1.5, converted_stat)))))</f>
        <v/>
      </c>
      <c r="F772" s="30" t="str">
        <f t="array" ref="F772">IF($A772="", "", LET(bbgm_stat, INDEX(Players!$A771:$P771, MATCH(F$2, Players!$A$1:$P$1, 0)), perc_75, VLOOKUP(F$2, Percentiles!$A$45:$I$59, 6, FALSE), perc_90, VLOOKUP(F$2, Percentiles!$A$45:$I$59, 7, FALSE), perc_95, VLOOKUP(F$2, Percentiles!$A$45:$I$59, 8, FALSE), perc_85, perc_75 + (perc_90 - perc_75) * (2/3), converted_stat, '2K_Ratings'!F772, IF(bbgm_stat &gt;= perc_95, converted_stat * 3, IF(bbgm_stat &gt;= perc_90, converted_stat * 2, IF(bbgm_stat &gt;= perc_85, converted_stat * 1.5, converted_stat)))))</f>
        <v/>
      </c>
      <c r="G772" s="30" t="str">
        <f t="array" ref="G772">IF($A772="", "", LET(bbgm_stat, INDEX(Players!$A771:$P771, MATCH(G$2, Players!$A$1:$P$1, 0)), perc_75, VLOOKUP(G$2, Percentiles!$A$45:$I$59, 6, FALSE), perc_90, VLOOKUP(G$2, Percentiles!$A$45:$I$59, 7, FALSE), perc_95, VLOOKUP(G$2, Percentiles!$A$45:$I$59, 8, FALSE), perc_85, perc_75 + (perc_90 - perc_75) * (2/3), converted_stat, '2K_Ratings'!G772, IF(bbgm_stat &gt;= perc_95, converted_stat * 3, IF(bbgm_stat &gt;= perc_90, converted_stat * 2, IF(bbgm_stat &gt;= perc_85, converted_stat * 1.5, converted_stat)))))</f>
        <v/>
      </c>
      <c r="H772" s="30" t="str">
        <f t="array" ref="H772">IF($A772="", "", LET(bbgm_stat, INDEX(Players!$A771:$P771, MATCH(H$2, Players!$A$1:$P$1, 0)), perc_75, VLOOKUP(H$2, Percentiles!$A$45:$I$59, 6, FALSE), perc_90, VLOOKUP(H$2, Percentiles!$A$45:$I$59, 7, FALSE), perc_95, VLOOKUP(H$2, Percentiles!$A$45:$I$59, 8, FALSE), perc_85, perc_75 + (perc_90 - perc_75) * (2/3), converted_stat, '2K_Ratings'!H772, IF(bbgm_stat &gt;= perc_95, converted_stat * 3, IF(bbgm_stat &gt;= perc_90, converted_stat * 2, IF(bbgm_stat &gt;= perc_85, converted_stat * 1.5, converted_stat)))))</f>
        <v/>
      </c>
      <c r="I772" s="30" t="str">
        <f t="array" ref="I772">IF($A772="", "", LET(bbgm_stat, INDEX(Players!$A771:$P771, MATCH(I$2, Players!$A$1:$P$1, 0)), perc_75, VLOOKUP(I$2, Percentiles!$A$45:$I$59, 6, FALSE), perc_90, VLOOKUP(I$2, Percentiles!$A$45:$I$59, 7, FALSE), perc_95, VLOOKUP(I$2, Percentiles!$A$45:$I$59, 8, FALSE), perc_85, perc_75 + (perc_90 - perc_75) * (2/3), converted_stat, '2K_Ratings'!I772, IF(bbgm_stat &gt;= perc_95, converted_stat * 3, IF(bbgm_stat &gt;= perc_90, converted_stat * 2, IF(bbgm_stat &gt;= perc_85, converted_stat * 1.5, converted_stat)))))</f>
        <v/>
      </c>
      <c r="J772" s="30" t="str">
        <f t="array" ref="J772">IF($A772="", "", LET(bbgm_stat, INDEX(Players!$A771:$P771, MATCH(J$2, Players!$A$1:$P$1, 0)), perc_75, VLOOKUP(J$2, Percentiles!$A$45:$I$59, 6, FALSE), perc_90, VLOOKUP(J$2, Percentiles!$A$45:$I$59, 7, FALSE), perc_95, VLOOKUP(J$2, Percentiles!$A$45:$I$59, 8, FALSE), perc_85, perc_75 + (perc_90 - perc_75) * (2/3), converted_stat, '2K_Ratings'!J772, IF(bbgm_stat &gt;= perc_95, converted_stat * 3, IF(bbgm_stat &gt;= perc_90, converted_stat * 2, IF(bbgm_stat &gt;= perc_85, converted_stat * 1.5, converted_stat)))))</f>
        <v/>
      </c>
      <c r="K772" s="30" t="str">
        <f t="array" ref="K772">IF($A772="", "", LET(bbgm_stat, INDEX(Players!$A771:$P771, MATCH(K$2, Players!$A$1:$P$1, 0)), perc_75, VLOOKUP(K$2, Percentiles!$A$45:$I$59, 6, FALSE), perc_90, VLOOKUP(K$2, Percentiles!$A$45:$I$59, 7, FALSE), perc_95, VLOOKUP(K$2, Percentiles!$A$45:$I$59, 8, FALSE), perc_85, perc_75 + (perc_90 - perc_75) * (2/3), converted_stat, '2K_Ratings'!K772, IF(bbgm_stat &gt;= perc_95, converted_stat * 3, IF(bbgm_stat &gt;= perc_90, converted_stat * 2, IF(bbgm_stat &gt;= perc_85, converted_stat * 1.5, converted_stat)))))</f>
        <v/>
      </c>
      <c r="L772" s="30" t="str">
        <f t="array" ref="L772">IF($A772="", "", LET(bbgm_stat, INDEX(Players!$A771:$P771, MATCH(L$2, Players!$A$1:$P$1, 0)), perc_75, VLOOKUP(L$2, Percentiles!$A$45:$I$59, 6, FALSE), perc_90, VLOOKUP(L$2, Percentiles!$A$45:$I$59, 7, FALSE), perc_95, VLOOKUP(L$2, Percentiles!$A$45:$I$59, 8, FALSE), perc_85, perc_75 + (perc_90 - perc_75) * (2/3), converted_stat, '2K_Ratings'!L772, IF(bbgm_stat &gt;= perc_95, converted_stat * 3, IF(bbgm_stat &gt;= perc_90, converted_stat * 2, IF(bbgm_stat &gt;= perc_85, converted_stat * 1.5, converted_stat)))))</f>
        <v/>
      </c>
      <c r="M772" s="30" t="str">
        <f t="array" ref="M772">IF($A772="", "", LET(bbgm_stat, INDEX(Players!$A771:$P771, MATCH(M$2, Players!$A$1:$P$1, 0)), perc_75, VLOOKUP(M$2, Percentiles!$A$45:$I$59, 6, FALSE), perc_90, VLOOKUP(M$2, Percentiles!$A$45:$I$59, 7, FALSE), perc_95, VLOOKUP(M$2, Percentiles!$A$45:$I$59, 8, FALSE), perc_85, perc_75 + (perc_90 - perc_75) * (2/3), converted_stat, '2K_Ratings'!M772, IF(bbgm_stat &gt;= perc_95, converted_stat * 3, IF(bbgm_stat &gt;= perc_90, converted_stat * 2, IF(bbgm_stat &gt;= perc_85, converted_stat * 1.5, converted_stat)))))</f>
        <v/>
      </c>
      <c r="N772" s="30" t="str">
        <f t="array" ref="N772">IF($A772="", "", LET(bbgm_stat, INDEX(Players!$A771:$P771, MATCH(N$2, Players!$A$1:$P$1, 0)), perc_75, VLOOKUP(N$2, Percentiles!$A$45:$I$59, 6, FALSE), perc_90, VLOOKUP(N$2, Percentiles!$A$45:$I$59, 7, FALSE), perc_95, VLOOKUP(N$2, Percentiles!$A$45:$I$59, 8, FALSE), perc_85, perc_75 + (perc_90 - perc_75) * (2/3), converted_stat, '2K_Ratings'!N772, IF(bbgm_stat &gt;= perc_95, converted_stat * 3, IF(bbgm_stat &gt;= perc_90, converted_stat * 2, IF(bbgm_stat &gt;= perc_85, converted_stat * 1.5, converted_stat)))))</f>
        <v/>
      </c>
      <c r="O772" s="30" t="str">
        <f t="array" ref="O772">IF($A772="", "", LET(bbgm_stat, INDEX(Players!$A771:$P771, MATCH(O$2, Players!$A$1:$P$1, 0)), perc_75, VLOOKUP(O$2, Percentiles!$A$45:$I$59, 6, FALSE), perc_90, VLOOKUP(O$2, Percentiles!$A$45:$I$59, 7, FALSE), perc_95, VLOOKUP(O$2, Percentiles!$A$45:$I$59, 8, FALSE), perc_85, perc_75 + (perc_90 - perc_75) * (2/3), converted_stat, '2K_Ratings'!O772, IF(bbgm_stat &gt;= perc_95, converted_stat * 3, IF(bbgm_stat &gt;= perc_90, converted_stat * 2, IF(bbgm_stat &gt;= perc_85, converted_stat * 1.5, converted_stat)))))</f>
        <v/>
      </c>
      <c r="P772" s="30" t="str">
        <f t="array" ref="P772">IF($A772="", "", LET(bbgm_stat, INDEX(Players!$A771:$P771, MATCH(P$2, Players!$A$1:$P$1, 0)), perc_75, VLOOKUP(P$2, Percentiles!$A$45:$I$59, 6, FALSE), perc_90, VLOOKUP(P$2, Percentiles!$A$45:$I$59, 7, FALSE), perc_95, VLOOKUP(P$2, Percentiles!$A$45:$I$59, 8, FALSE), perc_85, perc_75 + (perc_90 - perc_75) * (2/3), converted_stat, '2K_Ratings'!P772, IF(bbgm_stat &gt;= perc_95, converted_stat * 3, IF(bbgm_stat &gt;= perc_90, converted_stat * 2, IF(bbgm_stat &gt;= perc_85, converted_stat * 1.5, converted_stat)))))</f>
        <v/>
      </c>
      <c r="Q772" s="30" t="str">
        <f t="array" ref="Q772">IF($A772="", "", LET(bbgm_stat, INDEX(Players!$A771:$P771, MATCH(Q$2, Players!$A$1:$P$1, 0)), perc_75, VLOOKUP(Q$2, Percentiles!$A$45:$I$59, 6, FALSE), perc_90, VLOOKUP(Q$2, Percentiles!$A$45:$I$59, 7, FALSE), perc_95, VLOOKUP(Q$2, Percentiles!$A$45:$I$59, 8, FALSE), perc_85, perc_75 + (perc_90 - perc_75) * (2/3), converted_stat, '2K_Ratings'!Q772, IF(bbgm_stat &gt;= perc_95, converted_stat * 3, IF(bbgm_stat &gt;= perc_90, converted_stat * 2, IF(bbgm_stat &gt;= perc_85, converted_stat * 1.5, converted_stat)))))</f>
        <v/>
      </c>
      <c r="R772" s="30" t="str">
        <f t="array" ref="R772">IF($A772="", "", LET(bbgm_stat, INDEX(Players!$A771:$P771, MATCH(R$2, Players!$A$1:$P$1, 0)), perc_75, VLOOKUP(R$2, Percentiles!$A$45:$I$59, 6, FALSE), perc_90, VLOOKUP(R$2, Percentiles!$A$45:$I$59, 7, FALSE), perc_95, VLOOKUP(R$2, Percentiles!$A$45:$I$59, 8, FALSE), perc_85, perc_75 + (perc_90 - perc_75) * (2/3), converted_stat, '2K_Ratings'!R772, IF(bbgm_stat &gt;= perc_95, converted_stat * 3, IF(bbgm_stat &gt;= perc_90, converted_stat * 2, IF(bbgm_stat &gt;= perc_85, converted_stat * 1.5, converted_stat)))))</f>
        <v/>
      </c>
      <c r="S772" s="30" t="str">
        <f t="array" ref="S772">IF($A772="", "", LET(bbgm_stat, INDEX(Players!$A771:$P771, MATCH(S$2, Players!$A$1:$P$1, 0)), perc_75, VLOOKUP(S$2, Percentiles!$A$45:$I$59, 6, FALSE), perc_90, VLOOKUP(S$2, Percentiles!$A$45:$I$59, 7, FALSE), perc_95, VLOOKUP(S$2, Percentiles!$A$45:$I$59, 8, FALSE), perc_85, perc_75 + (perc_90 - perc_75) * (2/3), converted_stat, '2K_Ratings'!S772, IF(bbgm_stat &gt;= perc_95, converted_stat * 3, IF(bbgm_stat &gt;= perc_90, converted_stat * 2, IF(bbgm_stat &gt;= perc_85, converted_stat * 1.5, converted_stat)))))</f>
        <v/>
      </c>
      <c r="T772" s="30" t="str">
        <f t="array" ref="T772">IF($A772="", "", LET(bbgm_stat, INDEX(Players!$A771:$P771, MATCH(T$2, Players!$A$1:$P$1, 0)), perc_75, VLOOKUP(T$2, Percentiles!$A$45:$I$59, 6, FALSE), perc_90, VLOOKUP(T$2, Percentiles!$A$45:$I$59, 7, FALSE), perc_95, VLOOKUP(T$2, Percentiles!$A$45:$I$59, 8, FALSE), perc_85, perc_75 + (perc_90 - perc_75) * (2/3), converted_stat, '2K_Ratings'!T772, IF(bbgm_stat &gt;= perc_95, converted_stat * 3, IF(bbgm_stat &gt;= perc_90, converted_stat * 2, IF(bbgm_stat &gt;= perc_85, converted_stat * 1.5, converted_stat)))))</f>
        <v/>
      </c>
      <c r="U772" s="30" t="str">
        <f t="array" ref="U772">IF($A772="", "", LET(bbgm_stat, INDEX(Players!$A771:$P771, MATCH(U$2, Players!$A$1:$P$1, 0)), perc_75, VLOOKUP(U$2, Percentiles!$A$45:$I$59, 6, FALSE), perc_90, VLOOKUP(U$2, Percentiles!$A$45:$I$59, 7, FALSE), perc_95, VLOOKUP(U$2, Percentiles!$A$45:$I$59, 8, FALSE), perc_85, perc_75 + (perc_90 - perc_75) * (2/3), converted_stat, '2K_Ratings'!U772, IF(bbgm_stat &gt;= perc_95, converted_stat * 3, IF(bbgm_stat &gt;= perc_90, converted_stat * 2, IF(bbgm_stat &gt;= perc_85, converted_stat * 1.5, converted_stat)))))</f>
        <v/>
      </c>
      <c r="V772" s="30" t="str">
        <f t="array" ref="V772">IF($A772="", "", LET(bbgm_stat, INDEX(Players!$A771:$P771, MATCH(V$2, Players!$A$1:$P$1, 0)), perc_75, VLOOKUP(V$2, Percentiles!$A$45:$I$59, 6, FALSE), perc_90, VLOOKUP(V$2, Percentiles!$A$45:$I$59, 7, FALSE), perc_95, VLOOKUP(V$2, Percentiles!$A$45:$I$59, 8, FALSE), perc_85, perc_75 + (perc_90 - perc_75) * (2/3), converted_stat, '2K_Ratings'!V772, IF(bbgm_stat &gt;= perc_95, converted_stat * 3, IF(bbgm_stat &gt;= perc_90, converted_stat * 2, IF(bbgm_stat &gt;= perc_85, converted_stat * 1.5, converted_stat)))))</f>
        <v/>
      </c>
      <c r="W772" s="30" t="str">
        <f t="array" ref="W772">IF($A772="", "", LET(bbgm_stat, INDEX(Players!$A771:$P771, MATCH(W$2, Players!$A$1:$P$1, 0)), perc_75, VLOOKUP(W$2, Percentiles!$A$45:$I$59, 6, FALSE), perc_90, VLOOKUP(W$2, Percentiles!$A$45:$I$59, 7, FALSE), perc_95, VLOOKUP(W$2, Percentiles!$A$45:$I$59, 8, FALSE), perc_85, perc_75 + (perc_90 - perc_75) * (2/3), converted_stat, '2K_Ratings'!W772, IF(bbgm_stat &gt;= perc_95, converted_stat * 3, IF(bbgm_stat &gt;= perc_90, converted_stat * 2, IF(bbgm_stat &gt;= perc_85, converted_stat * 1.5, converted_stat)))))</f>
        <v/>
      </c>
    </row>
    <row r="773">
      <c r="A773" s="30"/>
      <c r="B773" s="30" t="str">
        <f t="array" ref="B773">IF($A773="", "", LET(bbgm_stat, INDEX(Players!$A772:$P772, MATCH(B$2, Players!$A$1:$P$1, 0)), perc_75, VLOOKUP(B$2, Percentiles!$A$45:$I$59, 6, FALSE), perc_90, VLOOKUP(B$2, Percentiles!$A$45:$I$59, 7, FALSE), perc_95, VLOOKUP(B$2, Percentiles!$A$45:$I$59, 8, FALSE), perc_85, perc_75 + (perc_90 - perc_75) * (2/3), converted_stat, '2K_Ratings'!B773, IF(bbgm_stat &gt;= perc_95, converted_stat * 3, IF(bbgm_stat &gt;= perc_90, converted_stat * 2, IF(bbgm_stat &gt;= perc_85, converted_stat * 1.5, converted_stat)))))</f>
        <v/>
      </c>
      <c r="C773" s="30" t="str">
        <f t="array" ref="C773">IF($A773="", "", LET(bbgm_stat, INDEX(Players!$A772:$P772, MATCH(C$2, Players!$A$1:$P$1, 0)), perc_75, VLOOKUP(C$2, Percentiles!$A$45:$I$59, 6, FALSE), perc_90, VLOOKUP(C$2, Percentiles!$A$45:$I$59, 7, FALSE), perc_95, VLOOKUP(C$2, Percentiles!$A$45:$I$59, 8, FALSE), perc_85, perc_75 + (perc_90 - perc_75) * (2/3), converted_stat, '2K_Ratings'!C773, IF(bbgm_stat &gt;= perc_95, converted_stat * 3, IF(bbgm_stat &gt;= perc_90, converted_stat * 2, IF(bbgm_stat &gt;= perc_85, converted_stat * 1.5, converted_stat)))))</f>
        <v/>
      </c>
      <c r="D773" s="30" t="str">
        <f t="array" ref="D773">IF($A773="", "", LET(bbgm_stat, INDEX(Players!$A772:$P772, MATCH(D$2, Players!$A$1:$P$1, 0)), perc_75, VLOOKUP(D$2, Percentiles!$A$45:$I$59, 6, FALSE), perc_90, VLOOKUP(D$2, Percentiles!$A$45:$I$59, 7, FALSE), perc_95, VLOOKUP(D$2, Percentiles!$A$45:$I$59, 8, FALSE), perc_85, perc_75 + (perc_90 - perc_75) * (2/3), converted_stat, '2K_Ratings'!D773, IF(bbgm_stat &gt;= perc_95, converted_stat * 3, IF(bbgm_stat &gt;= perc_90, converted_stat * 2, IF(bbgm_stat &gt;= perc_85, converted_stat * 1.5, converted_stat)))))</f>
        <v/>
      </c>
      <c r="E773" s="30" t="str">
        <f t="array" ref="E773">IF($A773="", "", LET(bbgm_stat, INDEX(Players!$A772:$P772, MATCH(E$2, Players!$A$1:$P$1, 0)), perc_75, VLOOKUP(E$2, Percentiles!$A$45:$I$59, 6, FALSE), perc_90, VLOOKUP(E$2, Percentiles!$A$45:$I$59, 7, FALSE), perc_95, VLOOKUP(E$2, Percentiles!$A$45:$I$59, 8, FALSE), perc_85, perc_75 + (perc_90 - perc_75) * (2/3), converted_stat, '2K_Ratings'!E773, IF(bbgm_stat &gt;= perc_95, converted_stat * 3, IF(bbgm_stat &gt;= perc_90, converted_stat * 2, IF(bbgm_stat &gt;= perc_85, converted_stat * 1.5, converted_stat)))))</f>
        <v/>
      </c>
      <c r="F773" s="30" t="str">
        <f t="array" ref="F773">IF($A773="", "", LET(bbgm_stat, INDEX(Players!$A772:$P772, MATCH(F$2, Players!$A$1:$P$1, 0)), perc_75, VLOOKUP(F$2, Percentiles!$A$45:$I$59, 6, FALSE), perc_90, VLOOKUP(F$2, Percentiles!$A$45:$I$59, 7, FALSE), perc_95, VLOOKUP(F$2, Percentiles!$A$45:$I$59, 8, FALSE), perc_85, perc_75 + (perc_90 - perc_75) * (2/3), converted_stat, '2K_Ratings'!F773, IF(bbgm_stat &gt;= perc_95, converted_stat * 3, IF(bbgm_stat &gt;= perc_90, converted_stat * 2, IF(bbgm_stat &gt;= perc_85, converted_stat * 1.5, converted_stat)))))</f>
        <v/>
      </c>
      <c r="G773" s="30" t="str">
        <f t="array" ref="G773">IF($A773="", "", LET(bbgm_stat, INDEX(Players!$A772:$P772, MATCH(G$2, Players!$A$1:$P$1, 0)), perc_75, VLOOKUP(G$2, Percentiles!$A$45:$I$59, 6, FALSE), perc_90, VLOOKUP(G$2, Percentiles!$A$45:$I$59, 7, FALSE), perc_95, VLOOKUP(G$2, Percentiles!$A$45:$I$59, 8, FALSE), perc_85, perc_75 + (perc_90 - perc_75) * (2/3), converted_stat, '2K_Ratings'!G773, IF(bbgm_stat &gt;= perc_95, converted_stat * 3, IF(bbgm_stat &gt;= perc_90, converted_stat * 2, IF(bbgm_stat &gt;= perc_85, converted_stat * 1.5, converted_stat)))))</f>
        <v/>
      </c>
      <c r="H773" s="30" t="str">
        <f t="array" ref="H773">IF($A773="", "", LET(bbgm_stat, INDEX(Players!$A772:$P772, MATCH(H$2, Players!$A$1:$P$1, 0)), perc_75, VLOOKUP(H$2, Percentiles!$A$45:$I$59, 6, FALSE), perc_90, VLOOKUP(H$2, Percentiles!$A$45:$I$59, 7, FALSE), perc_95, VLOOKUP(H$2, Percentiles!$A$45:$I$59, 8, FALSE), perc_85, perc_75 + (perc_90 - perc_75) * (2/3), converted_stat, '2K_Ratings'!H773, IF(bbgm_stat &gt;= perc_95, converted_stat * 3, IF(bbgm_stat &gt;= perc_90, converted_stat * 2, IF(bbgm_stat &gt;= perc_85, converted_stat * 1.5, converted_stat)))))</f>
        <v/>
      </c>
      <c r="I773" s="30" t="str">
        <f t="array" ref="I773">IF($A773="", "", LET(bbgm_stat, INDEX(Players!$A772:$P772, MATCH(I$2, Players!$A$1:$P$1, 0)), perc_75, VLOOKUP(I$2, Percentiles!$A$45:$I$59, 6, FALSE), perc_90, VLOOKUP(I$2, Percentiles!$A$45:$I$59, 7, FALSE), perc_95, VLOOKUP(I$2, Percentiles!$A$45:$I$59, 8, FALSE), perc_85, perc_75 + (perc_90 - perc_75) * (2/3), converted_stat, '2K_Ratings'!I773, IF(bbgm_stat &gt;= perc_95, converted_stat * 3, IF(bbgm_stat &gt;= perc_90, converted_stat * 2, IF(bbgm_stat &gt;= perc_85, converted_stat * 1.5, converted_stat)))))</f>
        <v/>
      </c>
      <c r="J773" s="30" t="str">
        <f t="array" ref="J773">IF($A773="", "", LET(bbgm_stat, INDEX(Players!$A772:$P772, MATCH(J$2, Players!$A$1:$P$1, 0)), perc_75, VLOOKUP(J$2, Percentiles!$A$45:$I$59, 6, FALSE), perc_90, VLOOKUP(J$2, Percentiles!$A$45:$I$59, 7, FALSE), perc_95, VLOOKUP(J$2, Percentiles!$A$45:$I$59, 8, FALSE), perc_85, perc_75 + (perc_90 - perc_75) * (2/3), converted_stat, '2K_Ratings'!J773, IF(bbgm_stat &gt;= perc_95, converted_stat * 3, IF(bbgm_stat &gt;= perc_90, converted_stat * 2, IF(bbgm_stat &gt;= perc_85, converted_stat * 1.5, converted_stat)))))</f>
        <v/>
      </c>
      <c r="K773" s="30" t="str">
        <f t="array" ref="K773">IF($A773="", "", LET(bbgm_stat, INDEX(Players!$A772:$P772, MATCH(K$2, Players!$A$1:$P$1, 0)), perc_75, VLOOKUP(K$2, Percentiles!$A$45:$I$59, 6, FALSE), perc_90, VLOOKUP(K$2, Percentiles!$A$45:$I$59, 7, FALSE), perc_95, VLOOKUP(K$2, Percentiles!$A$45:$I$59, 8, FALSE), perc_85, perc_75 + (perc_90 - perc_75) * (2/3), converted_stat, '2K_Ratings'!K773, IF(bbgm_stat &gt;= perc_95, converted_stat * 3, IF(bbgm_stat &gt;= perc_90, converted_stat * 2, IF(bbgm_stat &gt;= perc_85, converted_stat * 1.5, converted_stat)))))</f>
        <v/>
      </c>
      <c r="L773" s="30" t="str">
        <f t="array" ref="L773">IF($A773="", "", LET(bbgm_stat, INDEX(Players!$A772:$P772, MATCH(L$2, Players!$A$1:$P$1, 0)), perc_75, VLOOKUP(L$2, Percentiles!$A$45:$I$59, 6, FALSE), perc_90, VLOOKUP(L$2, Percentiles!$A$45:$I$59, 7, FALSE), perc_95, VLOOKUP(L$2, Percentiles!$A$45:$I$59, 8, FALSE), perc_85, perc_75 + (perc_90 - perc_75) * (2/3), converted_stat, '2K_Ratings'!L773, IF(bbgm_stat &gt;= perc_95, converted_stat * 3, IF(bbgm_stat &gt;= perc_90, converted_stat * 2, IF(bbgm_stat &gt;= perc_85, converted_stat * 1.5, converted_stat)))))</f>
        <v/>
      </c>
      <c r="M773" s="30" t="str">
        <f t="array" ref="M773">IF($A773="", "", LET(bbgm_stat, INDEX(Players!$A772:$P772, MATCH(M$2, Players!$A$1:$P$1, 0)), perc_75, VLOOKUP(M$2, Percentiles!$A$45:$I$59, 6, FALSE), perc_90, VLOOKUP(M$2, Percentiles!$A$45:$I$59, 7, FALSE), perc_95, VLOOKUP(M$2, Percentiles!$A$45:$I$59, 8, FALSE), perc_85, perc_75 + (perc_90 - perc_75) * (2/3), converted_stat, '2K_Ratings'!M773, IF(bbgm_stat &gt;= perc_95, converted_stat * 3, IF(bbgm_stat &gt;= perc_90, converted_stat * 2, IF(bbgm_stat &gt;= perc_85, converted_stat * 1.5, converted_stat)))))</f>
        <v/>
      </c>
      <c r="N773" s="30" t="str">
        <f t="array" ref="N773">IF($A773="", "", LET(bbgm_stat, INDEX(Players!$A772:$P772, MATCH(N$2, Players!$A$1:$P$1, 0)), perc_75, VLOOKUP(N$2, Percentiles!$A$45:$I$59, 6, FALSE), perc_90, VLOOKUP(N$2, Percentiles!$A$45:$I$59, 7, FALSE), perc_95, VLOOKUP(N$2, Percentiles!$A$45:$I$59, 8, FALSE), perc_85, perc_75 + (perc_90 - perc_75) * (2/3), converted_stat, '2K_Ratings'!N773, IF(bbgm_stat &gt;= perc_95, converted_stat * 3, IF(bbgm_stat &gt;= perc_90, converted_stat * 2, IF(bbgm_stat &gt;= perc_85, converted_stat * 1.5, converted_stat)))))</f>
        <v/>
      </c>
      <c r="O773" s="30" t="str">
        <f t="array" ref="O773">IF($A773="", "", LET(bbgm_stat, INDEX(Players!$A772:$P772, MATCH(O$2, Players!$A$1:$P$1, 0)), perc_75, VLOOKUP(O$2, Percentiles!$A$45:$I$59, 6, FALSE), perc_90, VLOOKUP(O$2, Percentiles!$A$45:$I$59, 7, FALSE), perc_95, VLOOKUP(O$2, Percentiles!$A$45:$I$59, 8, FALSE), perc_85, perc_75 + (perc_90 - perc_75) * (2/3), converted_stat, '2K_Ratings'!O773, IF(bbgm_stat &gt;= perc_95, converted_stat * 3, IF(bbgm_stat &gt;= perc_90, converted_stat * 2, IF(bbgm_stat &gt;= perc_85, converted_stat * 1.5, converted_stat)))))</f>
        <v/>
      </c>
      <c r="P773" s="30" t="str">
        <f t="array" ref="P773">IF($A773="", "", LET(bbgm_stat, INDEX(Players!$A772:$P772, MATCH(P$2, Players!$A$1:$P$1, 0)), perc_75, VLOOKUP(P$2, Percentiles!$A$45:$I$59, 6, FALSE), perc_90, VLOOKUP(P$2, Percentiles!$A$45:$I$59, 7, FALSE), perc_95, VLOOKUP(P$2, Percentiles!$A$45:$I$59, 8, FALSE), perc_85, perc_75 + (perc_90 - perc_75) * (2/3), converted_stat, '2K_Ratings'!P773, IF(bbgm_stat &gt;= perc_95, converted_stat * 3, IF(bbgm_stat &gt;= perc_90, converted_stat * 2, IF(bbgm_stat &gt;= perc_85, converted_stat * 1.5, converted_stat)))))</f>
        <v/>
      </c>
      <c r="Q773" s="30" t="str">
        <f t="array" ref="Q773">IF($A773="", "", LET(bbgm_stat, INDEX(Players!$A772:$P772, MATCH(Q$2, Players!$A$1:$P$1, 0)), perc_75, VLOOKUP(Q$2, Percentiles!$A$45:$I$59, 6, FALSE), perc_90, VLOOKUP(Q$2, Percentiles!$A$45:$I$59, 7, FALSE), perc_95, VLOOKUP(Q$2, Percentiles!$A$45:$I$59, 8, FALSE), perc_85, perc_75 + (perc_90 - perc_75) * (2/3), converted_stat, '2K_Ratings'!Q773, IF(bbgm_stat &gt;= perc_95, converted_stat * 3, IF(bbgm_stat &gt;= perc_90, converted_stat * 2, IF(bbgm_stat &gt;= perc_85, converted_stat * 1.5, converted_stat)))))</f>
        <v/>
      </c>
      <c r="R773" s="30" t="str">
        <f t="array" ref="R773">IF($A773="", "", LET(bbgm_stat, INDEX(Players!$A772:$P772, MATCH(R$2, Players!$A$1:$P$1, 0)), perc_75, VLOOKUP(R$2, Percentiles!$A$45:$I$59, 6, FALSE), perc_90, VLOOKUP(R$2, Percentiles!$A$45:$I$59, 7, FALSE), perc_95, VLOOKUP(R$2, Percentiles!$A$45:$I$59, 8, FALSE), perc_85, perc_75 + (perc_90 - perc_75) * (2/3), converted_stat, '2K_Ratings'!R773, IF(bbgm_stat &gt;= perc_95, converted_stat * 3, IF(bbgm_stat &gt;= perc_90, converted_stat * 2, IF(bbgm_stat &gt;= perc_85, converted_stat * 1.5, converted_stat)))))</f>
        <v/>
      </c>
      <c r="S773" s="30" t="str">
        <f t="array" ref="S773">IF($A773="", "", LET(bbgm_stat, INDEX(Players!$A772:$P772, MATCH(S$2, Players!$A$1:$P$1, 0)), perc_75, VLOOKUP(S$2, Percentiles!$A$45:$I$59, 6, FALSE), perc_90, VLOOKUP(S$2, Percentiles!$A$45:$I$59, 7, FALSE), perc_95, VLOOKUP(S$2, Percentiles!$A$45:$I$59, 8, FALSE), perc_85, perc_75 + (perc_90 - perc_75) * (2/3), converted_stat, '2K_Ratings'!S773, IF(bbgm_stat &gt;= perc_95, converted_stat * 3, IF(bbgm_stat &gt;= perc_90, converted_stat * 2, IF(bbgm_stat &gt;= perc_85, converted_stat * 1.5, converted_stat)))))</f>
        <v/>
      </c>
      <c r="T773" s="30" t="str">
        <f t="array" ref="T773">IF($A773="", "", LET(bbgm_stat, INDEX(Players!$A772:$P772, MATCH(T$2, Players!$A$1:$P$1, 0)), perc_75, VLOOKUP(T$2, Percentiles!$A$45:$I$59, 6, FALSE), perc_90, VLOOKUP(T$2, Percentiles!$A$45:$I$59, 7, FALSE), perc_95, VLOOKUP(T$2, Percentiles!$A$45:$I$59, 8, FALSE), perc_85, perc_75 + (perc_90 - perc_75) * (2/3), converted_stat, '2K_Ratings'!T773, IF(bbgm_stat &gt;= perc_95, converted_stat * 3, IF(bbgm_stat &gt;= perc_90, converted_stat * 2, IF(bbgm_stat &gt;= perc_85, converted_stat * 1.5, converted_stat)))))</f>
        <v/>
      </c>
      <c r="U773" s="30" t="str">
        <f t="array" ref="U773">IF($A773="", "", LET(bbgm_stat, INDEX(Players!$A772:$P772, MATCH(U$2, Players!$A$1:$P$1, 0)), perc_75, VLOOKUP(U$2, Percentiles!$A$45:$I$59, 6, FALSE), perc_90, VLOOKUP(U$2, Percentiles!$A$45:$I$59, 7, FALSE), perc_95, VLOOKUP(U$2, Percentiles!$A$45:$I$59, 8, FALSE), perc_85, perc_75 + (perc_90 - perc_75) * (2/3), converted_stat, '2K_Ratings'!U773, IF(bbgm_stat &gt;= perc_95, converted_stat * 3, IF(bbgm_stat &gt;= perc_90, converted_stat * 2, IF(bbgm_stat &gt;= perc_85, converted_stat * 1.5, converted_stat)))))</f>
        <v/>
      </c>
      <c r="V773" s="30" t="str">
        <f t="array" ref="V773">IF($A773="", "", LET(bbgm_stat, INDEX(Players!$A772:$P772, MATCH(V$2, Players!$A$1:$P$1, 0)), perc_75, VLOOKUP(V$2, Percentiles!$A$45:$I$59, 6, FALSE), perc_90, VLOOKUP(V$2, Percentiles!$A$45:$I$59, 7, FALSE), perc_95, VLOOKUP(V$2, Percentiles!$A$45:$I$59, 8, FALSE), perc_85, perc_75 + (perc_90 - perc_75) * (2/3), converted_stat, '2K_Ratings'!V773, IF(bbgm_stat &gt;= perc_95, converted_stat * 3, IF(bbgm_stat &gt;= perc_90, converted_stat * 2, IF(bbgm_stat &gt;= perc_85, converted_stat * 1.5, converted_stat)))))</f>
        <v/>
      </c>
      <c r="W773" s="30" t="str">
        <f t="array" ref="W773">IF($A773="", "", LET(bbgm_stat, INDEX(Players!$A772:$P772, MATCH(W$2, Players!$A$1:$P$1, 0)), perc_75, VLOOKUP(W$2, Percentiles!$A$45:$I$59, 6, FALSE), perc_90, VLOOKUP(W$2, Percentiles!$A$45:$I$59, 7, FALSE), perc_95, VLOOKUP(W$2, Percentiles!$A$45:$I$59, 8, FALSE), perc_85, perc_75 + (perc_90 - perc_75) * (2/3), converted_stat, '2K_Ratings'!W773, IF(bbgm_stat &gt;= perc_95, converted_stat * 3, IF(bbgm_stat &gt;= perc_90, converted_stat * 2, IF(bbgm_stat &gt;= perc_85, converted_stat * 1.5, converted_stat)))))</f>
        <v/>
      </c>
    </row>
    <row r="774">
      <c r="A774" s="30"/>
      <c r="B774" s="30" t="str">
        <f t="array" ref="B774">IF($A774="", "", LET(bbgm_stat, INDEX(Players!$A773:$P773, MATCH(B$2, Players!$A$1:$P$1, 0)), perc_75, VLOOKUP(B$2, Percentiles!$A$45:$I$59, 6, FALSE), perc_90, VLOOKUP(B$2, Percentiles!$A$45:$I$59, 7, FALSE), perc_95, VLOOKUP(B$2, Percentiles!$A$45:$I$59, 8, FALSE), perc_85, perc_75 + (perc_90 - perc_75) * (2/3), converted_stat, '2K_Ratings'!B774, IF(bbgm_stat &gt;= perc_95, converted_stat * 3, IF(bbgm_stat &gt;= perc_90, converted_stat * 2, IF(bbgm_stat &gt;= perc_85, converted_stat * 1.5, converted_stat)))))</f>
        <v/>
      </c>
      <c r="C774" s="30" t="str">
        <f t="array" ref="C774">IF($A774="", "", LET(bbgm_stat, INDEX(Players!$A773:$P773, MATCH(C$2, Players!$A$1:$P$1, 0)), perc_75, VLOOKUP(C$2, Percentiles!$A$45:$I$59, 6, FALSE), perc_90, VLOOKUP(C$2, Percentiles!$A$45:$I$59, 7, FALSE), perc_95, VLOOKUP(C$2, Percentiles!$A$45:$I$59, 8, FALSE), perc_85, perc_75 + (perc_90 - perc_75) * (2/3), converted_stat, '2K_Ratings'!C774, IF(bbgm_stat &gt;= perc_95, converted_stat * 3, IF(bbgm_stat &gt;= perc_90, converted_stat * 2, IF(bbgm_stat &gt;= perc_85, converted_stat * 1.5, converted_stat)))))</f>
        <v/>
      </c>
      <c r="D774" s="30" t="str">
        <f t="array" ref="D774">IF($A774="", "", LET(bbgm_stat, INDEX(Players!$A773:$P773, MATCH(D$2, Players!$A$1:$P$1, 0)), perc_75, VLOOKUP(D$2, Percentiles!$A$45:$I$59, 6, FALSE), perc_90, VLOOKUP(D$2, Percentiles!$A$45:$I$59, 7, FALSE), perc_95, VLOOKUP(D$2, Percentiles!$A$45:$I$59, 8, FALSE), perc_85, perc_75 + (perc_90 - perc_75) * (2/3), converted_stat, '2K_Ratings'!D774, IF(bbgm_stat &gt;= perc_95, converted_stat * 3, IF(bbgm_stat &gt;= perc_90, converted_stat * 2, IF(bbgm_stat &gt;= perc_85, converted_stat * 1.5, converted_stat)))))</f>
        <v/>
      </c>
      <c r="E774" s="30" t="str">
        <f t="array" ref="E774">IF($A774="", "", LET(bbgm_stat, INDEX(Players!$A773:$P773, MATCH(E$2, Players!$A$1:$P$1, 0)), perc_75, VLOOKUP(E$2, Percentiles!$A$45:$I$59, 6, FALSE), perc_90, VLOOKUP(E$2, Percentiles!$A$45:$I$59, 7, FALSE), perc_95, VLOOKUP(E$2, Percentiles!$A$45:$I$59, 8, FALSE), perc_85, perc_75 + (perc_90 - perc_75) * (2/3), converted_stat, '2K_Ratings'!E774, IF(bbgm_stat &gt;= perc_95, converted_stat * 3, IF(bbgm_stat &gt;= perc_90, converted_stat * 2, IF(bbgm_stat &gt;= perc_85, converted_stat * 1.5, converted_stat)))))</f>
        <v/>
      </c>
      <c r="F774" s="30" t="str">
        <f t="array" ref="F774">IF($A774="", "", LET(bbgm_stat, INDEX(Players!$A773:$P773, MATCH(F$2, Players!$A$1:$P$1, 0)), perc_75, VLOOKUP(F$2, Percentiles!$A$45:$I$59, 6, FALSE), perc_90, VLOOKUP(F$2, Percentiles!$A$45:$I$59, 7, FALSE), perc_95, VLOOKUP(F$2, Percentiles!$A$45:$I$59, 8, FALSE), perc_85, perc_75 + (perc_90 - perc_75) * (2/3), converted_stat, '2K_Ratings'!F774, IF(bbgm_stat &gt;= perc_95, converted_stat * 3, IF(bbgm_stat &gt;= perc_90, converted_stat * 2, IF(bbgm_stat &gt;= perc_85, converted_stat * 1.5, converted_stat)))))</f>
        <v/>
      </c>
      <c r="G774" s="30" t="str">
        <f t="array" ref="G774">IF($A774="", "", LET(bbgm_stat, INDEX(Players!$A773:$P773, MATCH(G$2, Players!$A$1:$P$1, 0)), perc_75, VLOOKUP(G$2, Percentiles!$A$45:$I$59, 6, FALSE), perc_90, VLOOKUP(G$2, Percentiles!$A$45:$I$59, 7, FALSE), perc_95, VLOOKUP(G$2, Percentiles!$A$45:$I$59, 8, FALSE), perc_85, perc_75 + (perc_90 - perc_75) * (2/3), converted_stat, '2K_Ratings'!G774, IF(bbgm_stat &gt;= perc_95, converted_stat * 3, IF(bbgm_stat &gt;= perc_90, converted_stat * 2, IF(bbgm_stat &gt;= perc_85, converted_stat * 1.5, converted_stat)))))</f>
        <v/>
      </c>
      <c r="H774" s="30" t="str">
        <f t="array" ref="H774">IF($A774="", "", LET(bbgm_stat, INDEX(Players!$A773:$P773, MATCH(H$2, Players!$A$1:$P$1, 0)), perc_75, VLOOKUP(H$2, Percentiles!$A$45:$I$59, 6, FALSE), perc_90, VLOOKUP(H$2, Percentiles!$A$45:$I$59, 7, FALSE), perc_95, VLOOKUP(H$2, Percentiles!$A$45:$I$59, 8, FALSE), perc_85, perc_75 + (perc_90 - perc_75) * (2/3), converted_stat, '2K_Ratings'!H774, IF(bbgm_stat &gt;= perc_95, converted_stat * 3, IF(bbgm_stat &gt;= perc_90, converted_stat * 2, IF(bbgm_stat &gt;= perc_85, converted_stat * 1.5, converted_stat)))))</f>
        <v/>
      </c>
      <c r="I774" s="30" t="str">
        <f t="array" ref="I774">IF($A774="", "", LET(bbgm_stat, INDEX(Players!$A773:$P773, MATCH(I$2, Players!$A$1:$P$1, 0)), perc_75, VLOOKUP(I$2, Percentiles!$A$45:$I$59, 6, FALSE), perc_90, VLOOKUP(I$2, Percentiles!$A$45:$I$59, 7, FALSE), perc_95, VLOOKUP(I$2, Percentiles!$A$45:$I$59, 8, FALSE), perc_85, perc_75 + (perc_90 - perc_75) * (2/3), converted_stat, '2K_Ratings'!I774, IF(bbgm_stat &gt;= perc_95, converted_stat * 3, IF(bbgm_stat &gt;= perc_90, converted_stat * 2, IF(bbgm_stat &gt;= perc_85, converted_stat * 1.5, converted_stat)))))</f>
        <v/>
      </c>
      <c r="J774" s="30" t="str">
        <f t="array" ref="J774">IF($A774="", "", LET(bbgm_stat, INDEX(Players!$A773:$P773, MATCH(J$2, Players!$A$1:$P$1, 0)), perc_75, VLOOKUP(J$2, Percentiles!$A$45:$I$59, 6, FALSE), perc_90, VLOOKUP(J$2, Percentiles!$A$45:$I$59, 7, FALSE), perc_95, VLOOKUP(J$2, Percentiles!$A$45:$I$59, 8, FALSE), perc_85, perc_75 + (perc_90 - perc_75) * (2/3), converted_stat, '2K_Ratings'!J774, IF(bbgm_stat &gt;= perc_95, converted_stat * 3, IF(bbgm_stat &gt;= perc_90, converted_stat * 2, IF(bbgm_stat &gt;= perc_85, converted_stat * 1.5, converted_stat)))))</f>
        <v/>
      </c>
      <c r="K774" s="30" t="str">
        <f t="array" ref="K774">IF($A774="", "", LET(bbgm_stat, INDEX(Players!$A773:$P773, MATCH(K$2, Players!$A$1:$P$1, 0)), perc_75, VLOOKUP(K$2, Percentiles!$A$45:$I$59, 6, FALSE), perc_90, VLOOKUP(K$2, Percentiles!$A$45:$I$59, 7, FALSE), perc_95, VLOOKUP(K$2, Percentiles!$A$45:$I$59, 8, FALSE), perc_85, perc_75 + (perc_90 - perc_75) * (2/3), converted_stat, '2K_Ratings'!K774, IF(bbgm_stat &gt;= perc_95, converted_stat * 3, IF(bbgm_stat &gt;= perc_90, converted_stat * 2, IF(bbgm_stat &gt;= perc_85, converted_stat * 1.5, converted_stat)))))</f>
        <v/>
      </c>
      <c r="L774" s="30" t="str">
        <f t="array" ref="L774">IF($A774="", "", LET(bbgm_stat, INDEX(Players!$A773:$P773, MATCH(L$2, Players!$A$1:$P$1, 0)), perc_75, VLOOKUP(L$2, Percentiles!$A$45:$I$59, 6, FALSE), perc_90, VLOOKUP(L$2, Percentiles!$A$45:$I$59, 7, FALSE), perc_95, VLOOKUP(L$2, Percentiles!$A$45:$I$59, 8, FALSE), perc_85, perc_75 + (perc_90 - perc_75) * (2/3), converted_stat, '2K_Ratings'!L774, IF(bbgm_stat &gt;= perc_95, converted_stat * 3, IF(bbgm_stat &gt;= perc_90, converted_stat * 2, IF(bbgm_stat &gt;= perc_85, converted_stat * 1.5, converted_stat)))))</f>
        <v/>
      </c>
      <c r="M774" s="30" t="str">
        <f t="array" ref="M774">IF($A774="", "", LET(bbgm_stat, INDEX(Players!$A773:$P773, MATCH(M$2, Players!$A$1:$P$1, 0)), perc_75, VLOOKUP(M$2, Percentiles!$A$45:$I$59, 6, FALSE), perc_90, VLOOKUP(M$2, Percentiles!$A$45:$I$59, 7, FALSE), perc_95, VLOOKUP(M$2, Percentiles!$A$45:$I$59, 8, FALSE), perc_85, perc_75 + (perc_90 - perc_75) * (2/3), converted_stat, '2K_Ratings'!M774, IF(bbgm_stat &gt;= perc_95, converted_stat * 3, IF(bbgm_stat &gt;= perc_90, converted_stat * 2, IF(bbgm_stat &gt;= perc_85, converted_stat * 1.5, converted_stat)))))</f>
        <v/>
      </c>
      <c r="N774" s="30" t="str">
        <f t="array" ref="N774">IF($A774="", "", LET(bbgm_stat, INDEX(Players!$A773:$P773, MATCH(N$2, Players!$A$1:$P$1, 0)), perc_75, VLOOKUP(N$2, Percentiles!$A$45:$I$59, 6, FALSE), perc_90, VLOOKUP(N$2, Percentiles!$A$45:$I$59, 7, FALSE), perc_95, VLOOKUP(N$2, Percentiles!$A$45:$I$59, 8, FALSE), perc_85, perc_75 + (perc_90 - perc_75) * (2/3), converted_stat, '2K_Ratings'!N774, IF(bbgm_stat &gt;= perc_95, converted_stat * 3, IF(bbgm_stat &gt;= perc_90, converted_stat * 2, IF(bbgm_stat &gt;= perc_85, converted_stat * 1.5, converted_stat)))))</f>
        <v/>
      </c>
      <c r="O774" s="30" t="str">
        <f t="array" ref="O774">IF($A774="", "", LET(bbgm_stat, INDEX(Players!$A773:$P773, MATCH(O$2, Players!$A$1:$P$1, 0)), perc_75, VLOOKUP(O$2, Percentiles!$A$45:$I$59, 6, FALSE), perc_90, VLOOKUP(O$2, Percentiles!$A$45:$I$59, 7, FALSE), perc_95, VLOOKUP(O$2, Percentiles!$A$45:$I$59, 8, FALSE), perc_85, perc_75 + (perc_90 - perc_75) * (2/3), converted_stat, '2K_Ratings'!O774, IF(bbgm_stat &gt;= perc_95, converted_stat * 3, IF(bbgm_stat &gt;= perc_90, converted_stat * 2, IF(bbgm_stat &gt;= perc_85, converted_stat * 1.5, converted_stat)))))</f>
        <v/>
      </c>
      <c r="P774" s="30" t="str">
        <f t="array" ref="P774">IF($A774="", "", LET(bbgm_stat, INDEX(Players!$A773:$P773, MATCH(P$2, Players!$A$1:$P$1, 0)), perc_75, VLOOKUP(P$2, Percentiles!$A$45:$I$59, 6, FALSE), perc_90, VLOOKUP(P$2, Percentiles!$A$45:$I$59, 7, FALSE), perc_95, VLOOKUP(P$2, Percentiles!$A$45:$I$59, 8, FALSE), perc_85, perc_75 + (perc_90 - perc_75) * (2/3), converted_stat, '2K_Ratings'!P774, IF(bbgm_stat &gt;= perc_95, converted_stat * 3, IF(bbgm_stat &gt;= perc_90, converted_stat * 2, IF(bbgm_stat &gt;= perc_85, converted_stat * 1.5, converted_stat)))))</f>
        <v/>
      </c>
      <c r="Q774" s="30" t="str">
        <f t="array" ref="Q774">IF($A774="", "", LET(bbgm_stat, INDEX(Players!$A773:$P773, MATCH(Q$2, Players!$A$1:$P$1, 0)), perc_75, VLOOKUP(Q$2, Percentiles!$A$45:$I$59, 6, FALSE), perc_90, VLOOKUP(Q$2, Percentiles!$A$45:$I$59, 7, FALSE), perc_95, VLOOKUP(Q$2, Percentiles!$A$45:$I$59, 8, FALSE), perc_85, perc_75 + (perc_90 - perc_75) * (2/3), converted_stat, '2K_Ratings'!Q774, IF(bbgm_stat &gt;= perc_95, converted_stat * 3, IF(bbgm_stat &gt;= perc_90, converted_stat * 2, IF(bbgm_stat &gt;= perc_85, converted_stat * 1.5, converted_stat)))))</f>
        <v/>
      </c>
      <c r="R774" s="30" t="str">
        <f t="array" ref="R774">IF($A774="", "", LET(bbgm_stat, INDEX(Players!$A773:$P773, MATCH(R$2, Players!$A$1:$P$1, 0)), perc_75, VLOOKUP(R$2, Percentiles!$A$45:$I$59, 6, FALSE), perc_90, VLOOKUP(R$2, Percentiles!$A$45:$I$59, 7, FALSE), perc_95, VLOOKUP(R$2, Percentiles!$A$45:$I$59, 8, FALSE), perc_85, perc_75 + (perc_90 - perc_75) * (2/3), converted_stat, '2K_Ratings'!R774, IF(bbgm_stat &gt;= perc_95, converted_stat * 3, IF(bbgm_stat &gt;= perc_90, converted_stat * 2, IF(bbgm_stat &gt;= perc_85, converted_stat * 1.5, converted_stat)))))</f>
        <v/>
      </c>
      <c r="S774" s="30" t="str">
        <f t="array" ref="S774">IF($A774="", "", LET(bbgm_stat, INDEX(Players!$A773:$P773, MATCH(S$2, Players!$A$1:$P$1, 0)), perc_75, VLOOKUP(S$2, Percentiles!$A$45:$I$59, 6, FALSE), perc_90, VLOOKUP(S$2, Percentiles!$A$45:$I$59, 7, FALSE), perc_95, VLOOKUP(S$2, Percentiles!$A$45:$I$59, 8, FALSE), perc_85, perc_75 + (perc_90 - perc_75) * (2/3), converted_stat, '2K_Ratings'!S774, IF(bbgm_stat &gt;= perc_95, converted_stat * 3, IF(bbgm_stat &gt;= perc_90, converted_stat * 2, IF(bbgm_stat &gt;= perc_85, converted_stat * 1.5, converted_stat)))))</f>
        <v/>
      </c>
      <c r="T774" s="30" t="str">
        <f t="array" ref="T774">IF($A774="", "", LET(bbgm_stat, INDEX(Players!$A773:$P773, MATCH(T$2, Players!$A$1:$P$1, 0)), perc_75, VLOOKUP(T$2, Percentiles!$A$45:$I$59, 6, FALSE), perc_90, VLOOKUP(T$2, Percentiles!$A$45:$I$59, 7, FALSE), perc_95, VLOOKUP(T$2, Percentiles!$A$45:$I$59, 8, FALSE), perc_85, perc_75 + (perc_90 - perc_75) * (2/3), converted_stat, '2K_Ratings'!T774, IF(bbgm_stat &gt;= perc_95, converted_stat * 3, IF(bbgm_stat &gt;= perc_90, converted_stat * 2, IF(bbgm_stat &gt;= perc_85, converted_stat * 1.5, converted_stat)))))</f>
        <v/>
      </c>
      <c r="U774" s="30" t="str">
        <f t="array" ref="U774">IF($A774="", "", LET(bbgm_stat, INDEX(Players!$A773:$P773, MATCH(U$2, Players!$A$1:$P$1, 0)), perc_75, VLOOKUP(U$2, Percentiles!$A$45:$I$59, 6, FALSE), perc_90, VLOOKUP(U$2, Percentiles!$A$45:$I$59, 7, FALSE), perc_95, VLOOKUP(U$2, Percentiles!$A$45:$I$59, 8, FALSE), perc_85, perc_75 + (perc_90 - perc_75) * (2/3), converted_stat, '2K_Ratings'!U774, IF(bbgm_stat &gt;= perc_95, converted_stat * 3, IF(bbgm_stat &gt;= perc_90, converted_stat * 2, IF(bbgm_stat &gt;= perc_85, converted_stat * 1.5, converted_stat)))))</f>
        <v/>
      </c>
      <c r="V774" s="30" t="str">
        <f t="array" ref="V774">IF($A774="", "", LET(bbgm_stat, INDEX(Players!$A773:$P773, MATCH(V$2, Players!$A$1:$P$1, 0)), perc_75, VLOOKUP(V$2, Percentiles!$A$45:$I$59, 6, FALSE), perc_90, VLOOKUP(V$2, Percentiles!$A$45:$I$59, 7, FALSE), perc_95, VLOOKUP(V$2, Percentiles!$A$45:$I$59, 8, FALSE), perc_85, perc_75 + (perc_90 - perc_75) * (2/3), converted_stat, '2K_Ratings'!V774, IF(bbgm_stat &gt;= perc_95, converted_stat * 3, IF(bbgm_stat &gt;= perc_90, converted_stat * 2, IF(bbgm_stat &gt;= perc_85, converted_stat * 1.5, converted_stat)))))</f>
        <v/>
      </c>
      <c r="W774" s="30" t="str">
        <f t="array" ref="W774">IF($A774="", "", LET(bbgm_stat, INDEX(Players!$A773:$P773, MATCH(W$2, Players!$A$1:$P$1, 0)), perc_75, VLOOKUP(W$2, Percentiles!$A$45:$I$59, 6, FALSE), perc_90, VLOOKUP(W$2, Percentiles!$A$45:$I$59, 7, FALSE), perc_95, VLOOKUP(W$2, Percentiles!$A$45:$I$59, 8, FALSE), perc_85, perc_75 + (perc_90 - perc_75) * (2/3), converted_stat, '2K_Ratings'!W774, IF(bbgm_stat &gt;= perc_95, converted_stat * 3, IF(bbgm_stat &gt;= perc_90, converted_stat * 2, IF(bbgm_stat &gt;= perc_85, converted_stat * 1.5, converted_stat)))))</f>
        <v/>
      </c>
    </row>
    <row r="775">
      <c r="A775" s="30"/>
      <c r="B775" s="30" t="str">
        <f t="array" ref="B775">IF($A775="", "", LET(bbgm_stat, INDEX(Players!$A774:$P774, MATCH(B$2, Players!$A$1:$P$1, 0)), perc_75, VLOOKUP(B$2, Percentiles!$A$45:$I$59, 6, FALSE), perc_90, VLOOKUP(B$2, Percentiles!$A$45:$I$59, 7, FALSE), perc_95, VLOOKUP(B$2, Percentiles!$A$45:$I$59, 8, FALSE), perc_85, perc_75 + (perc_90 - perc_75) * (2/3), converted_stat, '2K_Ratings'!B775, IF(bbgm_stat &gt;= perc_95, converted_stat * 3, IF(bbgm_stat &gt;= perc_90, converted_stat * 2, IF(bbgm_stat &gt;= perc_85, converted_stat * 1.5, converted_stat)))))</f>
        <v/>
      </c>
      <c r="C775" s="30" t="str">
        <f t="array" ref="C775">IF($A775="", "", LET(bbgm_stat, INDEX(Players!$A774:$P774, MATCH(C$2, Players!$A$1:$P$1, 0)), perc_75, VLOOKUP(C$2, Percentiles!$A$45:$I$59, 6, FALSE), perc_90, VLOOKUP(C$2, Percentiles!$A$45:$I$59, 7, FALSE), perc_95, VLOOKUP(C$2, Percentiles!$A$45:$I$59, 8, FALSE), perc_85, perc_75 + (perc_90 - perc_75) * (2/3), converted_stat, '2K_Ratings'!C775, IF(bbgm_stat &gt;= perc_95, converted_stat * 3, IF(bbgm_stat &gt;= perc_90, converted_stat * 2, IF(bbgm_stat &gt;= perc_85, converted_stat * 1.5, converted_stat)))))</f>
        <v/>
      </c>
      <c r="D775" s="30" t="str">
        <f t="array" ref="D775">IF($A775="", "", LET(bbgm_stat, INDEX(Players!$A774:$P774, MATCH(D$2, Players!$A$1:$P$1, 0)), perc_75, VLOOKUP(D$2, Percentiles!$A$45:$I$59, 6, FALSE), perc_90, VLOOKUP(D$2, Percentiles!$A$45:$I$59, 7, FALSE), perc_95, VLOOKUP(D$2, Percentiles!$A$45:$I$59, 8, FALSE), perc_85, perc_75 + (perc_90 - perc_75) * (2/3), converted_stat, '2K_Ratings'!D775, IF(bbgm_stat &gt;= perc_95, converted_stat * 3, IF(bbgm_stat &gt;= perc_90, converted_stat * 2, IF(bbgm_stat &gt;= perc_85, converted_stat * 1.5, converted_stat)))))</f>
        <v/>
      </c>
      <c r="E775" s="30" t="str">
        <f t="array" ref="E775">IF($A775="", "", LET(bbgm_stat, INDEX(Players!$A774:$P774, MATCH(E$2, Players!$A$1:$P$1, 0)), perc_75, VLOOKUP(E$2, Percentiles!$A$45:$I$59, 6, FALSE), perc_90, VLOOKUP(E$2, Percentiles!$A$45:$I$59, 7, FALSE), perc_95, VLOOKUP(E$2, Percentiles!$A$45:$I$59, 8, FALSE), perc_85, perc_75 + (perc_90 - perc_75) * (2/3), converted_stat, '2K_Ratings'!E775, IF(bbgm_stat &gt;= perc_95, converted_stat * 3, IF(bbgm_stat &gt;= perc_90, converted_stat * 2, IF(bbgm_stat &gt;= perc_85, converted_stat * 1.5, converted_stat)))))</f>
        <v/>
      </c>
      <c r="F775" s="30" t="str">
        <f t="array" ref="F775">IF($A775="", "", LET(bbgm_stat, INDEX(Players!$A774:$P774, MATCH(F$2, Players!$A$1:$P$1, 0)), perc_75, VLOOKUP(F$2, Percentiles!$A$45:$I$59, 6, FALSE), perc_90, VLOOKUP(F$2, Percentiles!$A$45:$I$59, 7, FALSE), perc_95, VLOOKUP(F$2, Percentiles!$A$45:$I$59, 8, FALSE), perc_85, perc_75 + (perc_90 - perc_75) * (2/3), converted_stat, '2K_Ratings'!F775, IF(bbgm_stat &gt;= perc_95, converted_stat * 3, IF(bbgm_stat &gt;= perc_90, converted_stat * 2, IF(bbgm_stat &gt;= perc_85, converted_stat * 1.5, converted_stat)))))</f>
        <v/>
      </c>
      <c r="G775" s="30" t="str">
        <f t="array" ref="G775">IF($A775="", "", LET(bbgm_stat, INDEX(Players!$A774:$P774, MATCH(G$2, Players!$A$1:$P$1, 0)), perc_75, VLOOKUP(G$2, Percentiles!$A$45:$I$59, 6, FALSE), perc_90, VLOOKUP(G$2, Percentiles!$A$45:$I$59, 7, FALSE), perc_95, VLOOKUP(G$2, Percentiles!$A$45:$I$59, 8, FALSE), perc_85, perc_75 + (perc_90 - perc_75) * (2/3), converted_stat, '2K_Ratings'!G775, IF(bbgm_stat &gt;= perc_95, converted_stat * 3, IF(bbgm_stat &gt;= perc_90, converted_stat * 2, IF(bbgm_stat &gt;= perc_85, converted_stat * 1.5, converted_stat)))))</f>
        <v/>
      </c>
      <c r="H775" s="30" t="str">
        <f t="array" ref="H775">IF($A775="", "", LET(bbgm_stat, INDEX(Players!$A774:$P774, MATCH(H$2, Players!$A$1:$P$1, 0)), perc_75, VLOOKUP(H$2, Percentiles!$A$45:$I$59, 6, FALSE), perc_90, VLOOKUP(H$2, Percentiles!$A$45:$I$59, 7, FALSE), perc_95, VLOOKUP(H$2, Percentiles!$A$45:$I$59, 8, FALSE), perc_85, perc_75 + (perc_90 - perc_75) * (2/3), converted_stat, '2K_Ratings'!H775, IF(bbgm_stat &gt;= perc_95, converted_stat * 3, IF(bbgm_stat &gt;= perc_90, converted_stat * 2, IF(bbgm_stat &gt;= perc_85, converted_stat * 1.5, converted_stat)))))</f>
        <v/>
      </c>
      <c r="I775" s="30" t="str">
        <f t="array" ref="I775">IF($A775="", "", LET(bbgm_stat, INDEX(Players!$A774:$P774, MATCH(I$2, Players!$A$1:$P$1, 0)), perc_75, VLOOKUP(I$2, Percentiles!$A$45:$I$59, 6, FALSE), perc_90, VLOOKUP(I$2, Percentiles!$A$45:$I$59, 7, FALSE), perc_95, VLOOKUP(I$2, Percentiles!$A$45:$I$59, 8, FALSE), perc_85, perc_75 + (perc_90 - perc_75) * (2/3), converted_stat, '2K_Ratings'!I775, IF(bbgm_stat &gt;= perc_95, converted_stat * 3, IF(bbgm_stat &gt;= perc_90, converted_stat * 2, IF(bbgm_stat &gt;= perc_85, converted_stat * 1.5, converted_stat)))))</f>
        <v/>
      </c>
      <c r="J775" s="30" t="str">
        <f t="array" ref="J775">IF($A775="", "", LET(bbgm_stat, INDEX(Players!$A774:$P774, MATCH(J$2, Players!$A$1:$P$1, 0)), perc_75, VLOOKUP(J$2, Percentiles!$A$45:$I$59, 6, FALSE), perc_90, VLOOKUP(J$2, Percentiles!$A$45:$I$59, 7, FALSE), perc_95, VLOOKUP(J$2, Percentiles!$A$45:$I$59, 8, FALSE), perc_85, perc_75 + (perc_90 - perc_75) * (2/3), converted_stat, '2K_Ratings'!J775, IF(bbgm_stat &gt;= perc_95, converted_stat * 3, IF(bbgm_stat &gt;= perc_90, converted_stat * 2, IF(bbgm_stat &gt;= perc_85, converted_stat * 1.5, converted_stat)))))</f>
        <v/>
      </c>
      <c r="K775" s="30" t="str">
        <f t="array" ref="K775">IF($A775="", "", LET(bbgm_stat, INDEX(Players!$A774:$P774, MATCH(K$2, Players!$A$1:$P$1, 0)), perc_75, VLOOKUP(K$2, Percentiles!$A$45:$I$59, 6, FALSE), perc_90, VLOOKUP(K$2, Percentiles!$A$45:$I$59, 7, FALSE), perc_95, VLOOKUP(K$2, Percentiles!$A$45:$I$59, 8, FALSE), perc_85, perc_75 + (perc_90 - perc_75) * (2/3), converted_stat, '2K_Ratings'!K775, IF(bbgm_stat &gt;= perc_95, converted_stat * 3, IF(bbgm_stat &gt;= perc_90, converted_stat * 2, IF(bbgm_stat &gt;= perc_85, converted_stat * 1.5, converted_stat)))))</f>
        <v/>
      </c>
      <c r="L775" s="30" t="str">
        <f t="array" ref="L775">IF($A775="", "", LET(bbgm_stat, INDEX(Players!$A774:$P774, MATCH(L$2, Players!$A$1:$P$1, 0)), perc_75, VLOOKUP(L$2, Percentiles!$A$45:$I$59, 6, FALSE), perc_90, VLOOKUP(L$2, Percentiles!$A$45:$I$59, 7, FALSE), perc_95, VLOOKUP(L$2, Percentiles!$A$45:$I$59, 8, FALSE), perc_85, perc_75 + (perc_90 - perc_75) * (2/3), converted_stat, '2K_Ratings'!L775, IF(bbgm_stat &gt;= perc_95, converted_stat * 3, IF(bbgm_stat &gt;= perc_90, converted_stat * 2, IF(bbgm_stat &gt;= perc_85, converted_stat * 1.5, converted_stat)))))</f>
        <v/>
      </c>
      <c r="M775" s="30" t="str">
        <f t="array" ref="M775">IF($A775="", "", LET(bbgm_stat, INDEX(Players!$A774:$P774, MATCH(M$2, Players!$A$1:$P$1, 0)), perc_75, VLOOKUP(M$2, Percentiles!$A$45:$I$59, 6, FALSE), perc_90, VLOOKUP(M$2, Percentiles!$A$45:$I$59, 7, FALSE), perc_95, VLOOKUP(M$2, Percentiles!$A$45:$I$59, 8, FALSE), perc_85, perc_75 + (perc_90 - perc_75) * (2/3), converted_stat, '2K_Ratings'!M775, IF(bbgm_stat &gt;= perc_95, converted_stat * 3, IF(bbgm_stat &gt;= perc_90, converted_stat * 2, IF(bbgm_stat &gt;= perc_85, converted_stat * 1.5, converted_stat)))))</f>
        <v/>
      </c>
      <c r="N775" s="30" t="str">
        <f t="array" ref="N775">IF($A775="", "", LET(bbgm_stat, INDEX(Players!$A774:$P774, MATCH(N$2, Players!$A$1:$P$1, 0)), perc_75, VLOOKUP(N$2, Percentiles!$A$45:$I$59, 6, FALSE), perc_90, VLOOKUP(N$2, Percentiles!$A$45:$I$59, 7, FALSE), perc_95, VLOOKUP(N$2, Percentiles!$A$45:$I$59, 8, FALSE), perc_85, perc_75 + (perc_90 - perc_75) * (2/3), converted_stat, '2K_Ratings'!N775, IF(bbgm_stat &gt;= perc_95, converted_stat * 3, IF(bbgm_stat &gt;= perc_90, converted_stat * 2, IF(bbgm_stat &gt;= perc_85, converted_stat * 1.5, converted_stat)))))</f>
        <v/>
      </c>
      <c r="O775" s="30" t="str">
        <f t="array" ref="O775">IF($A775="", "", LET(bbgm_stat, INDEX(Players!$A774:$P774, MATCH(O$2, Players!$A$1:$P$1, 0)), perc_75, VLOOKUP(O$2, Percentiles!$A$45:$I$59, 6, FALSE), perc_90, VLOOKUP(O$2, Percentiles!$A$45:$I$59, 7, FALSE), perc_95, VLOOKUP(O$2, Percentiles!$A$45:$I$59, 8, FALSE), perc_85, perc_75 + (perc_90 - perc_75) * (2/3), converted_stat, '2K_Ratings'!O775, IF(bbgm_stat &gt;= perc_95, converted_stat * 3, IF(bbgm_stat &gt;= perc_90, converted_stat * 2, IF(bbgm_stat &gt;= perc_85, converted_stat * 1.5, converted_stat)))))</f>
        <v/>
      </c>
      <c r="P775" s="30" t="str">
        <f t="array" ref="P775">IF($A775="", "", LET(bbgm_stat, INDEX(Players!$A774:$P774, MATCH(P$2, Players!$A$1:$P$1, 0)), perc_75, VLOOKUP(P$2, Percentiles!$A$45:$I$59, 6, FALSE), perc_90, VLOOKUP(P$2, Percentiles!$A$45:$I$59, 7, FALSE), perc_95, VLOOKUP(P$2, Percentiles!$A$45:$I$59, 8, FALSE), perc_85, perc_75 + (perc_90 - perc_75) * (2/3), converted_stat, '2K_Ratings'!P775, IF(bbgm_stat &gt;= perc_95, converted_stat * 3, IF(bbgm_stat &gt;= perc_90, converted_stat * 2, IF(bbgm_stat &gt;= perc_85, converted_stat * 1.5, converted_stat)))))</f>
        <v/>
      </c>
      <c r="Q775" s="30" t="str">
        <f t="array" ref="Q775">IF($A775="", "", LET(bbgm_stat, INDEX(Players!$A774:$P774, MATCH(Q$2, Players!$A$1:$P$1, 0)), perc_75, VLOOKUP(Q$2, Percentiles!$A$45:$I$59, 6, FALSE), perc_90, VLOOKUP(Q$2, Percentiles!$A$45:$I$59, 7, FALSE), perc_95, VLOOKUP(Q$2, Percentiles!$A$45:$I$59, 8, FALSE), perc_85, perc_75 + (perc_90 - perc_75) * (2/3), converted_stat, '2K_Ratings'!Q775, IF(bbgm_stat &gt;= perc_95, converted_stat * 3, IF(bbgm_stat &gt;= perc_90, converted_stat * 2, IF(bbgm_stat &gt;= perc_85, converted_stat * 1.5, converted_stat)))))</f>
        <v/>
      </c>
      <c r="R775" s="30" t="str">
        <f t="array" ref="R775">IF($A775="", "", LET(bbgm_stat, INDEX(Players!$A774:$P774, MATCH(R$2, Players!$A$1:$P$1, 0)), perc_75, VLOOKUP(R$2, Percentiles!$A$45:$I$59, 6, FALSE), perc_90, VLOOKUP(R$2, Percentiles!$A$45:$I$59, 7, FALSE), perc_95, VLOOKUP(R$2, Percentiles!$A$45:$I$59, 8, FALSE), perc_85, perc_75 + (perc_90 - perc_75) * (2/3), converted_stat, '2K_Ratings'!R775, IF(bbgm_stat &gt;= perc_95, converted_stat * 3, IF(bbgm_stat &gt;= perc_90, converted_stat * 2, IF(bbgm_stat &gt;= perc_85, converted_stat * 1.5, converted_stat)))))</f>
        <v/>
      </c>
      <c r="S775" s="30" t="str">
        <f t="array" ref="S775">IF($A775="", "", LET(bbgm_stat, INDEX(Players!$A774:$P774, MATCH(S$2, Players!$A$1:$P$1, 0)), perc_75, VLOOKUP(S$2, Percentiles!$A$45:$I$59, 6, FALSE), perc_90, VLOOKUP(S$2, Percentiles!$A$45:$I$59, 7, FALSE), perc_95, VLOOKUP(S$2, Percentiles!$A$45:$I$59, 8, FALSE), perc_85, perc_75 + (perc_90 - perc_75) * (2/3), converted_stat, '2K_Ratings'!S775, IF(bbgm_stat &gt;= perc_95, converted_stat * 3, IF(bbgm_stat &gt;= perc_90, converted_stat * 2, IF(bbgm_stat &gt;= perc_85, converted_stat * 1.5, converted_stat)))))</f>
        <v/>
      </c>
      <c r="T775" s="30" t="str">
        <f t="array" ref="T775">IF($A775="", "", LET(bbgm_stat, INDEX(Players!$A774:$P774, MATCH(T$2, Players!$A$1:$P$1, 0)), perc_75, VLOOKUP(T$2, Percentiles!$A$45:$I$59, 6, FALSE), perc_90, VLOOKUP(T$2, Percentiles!$A$45:$I$59, 7, FALSE), perc_95, VLOOKUP(T$2, Percentiles!$A$45:$I$59, 8, FALSE), perc_85, perc_75 + (perc_90 - perc_75) * (2/3), converted_stat, '2K_Ratings'!T775, IF(bbgm_stat &gt;= perc_95, converted_stat * 3, IF(bbgm_stat &gt;= perc_90, converted_stat * 2, IF(bbgm_stat &gt;= perc_85, converted_stat * 1.5, converted_stat)))))</f>
        <v/>
      </c>
      <c r="U775" s="30" t="str">
        <f t="array" ref="U775">IF($A775="", "", LET(bbgm_stat, INDEX(Players!$A774:$P774, MATCH(U$2, Players!$A$1:$P$1, 0)), perc_75, VLOOKUP(U$2, Percentiles!$A$45:$I$59, 6, FALSE), perc_90, VLOOKUP(U$2, Percentiles!$A$45:$I$59, 7, FALSE), perc_95, VLOOKUP(U$2, Percentiles!$A$45:$I$59, 8, FALSE), perc_85, perc_75 + (perc_90 - perc_75) * (2/3), converted_stat, '2K_Ratings'!U775, IF(bbgm_stat &gt;= perc_95, converted_stat * 3, IF(bbgm_stat &gt;= perc_90, converted_stat * 2, IF(bbgm_stat &gt;= perc_85, converted_stat * 1.5, converted_stat)))))</f>
        <v/>
      </c>
      <c r="V775" s="30" t="str">
        <f t="array" ref="V775">IF($A775="", "", LET(bbgm_stat, INDEX(Players!$A774:$P774, MATCH(V$2, Players!$A$1:$P$1, 0)), perc_75, VLOOKUP(V$2, Percentiles!$A$45:$I$59, 6, FALSE), perc_90, VLOOKUP(V$2, Percentiles!$A$45:$I$59, 7, FALSE), perc_95, VLOOKUP(V$2, Percentiles!$A$45:$I$59, 8, FALSE), perc_85, perc_75 + (perc_90 - perc_75) * (2/3), converted_stat, '2K_Ratings'!V775, IF(bbgm_stat &gt;= perc_95, converted_stat * 3, IF(bbgm_stat &gt;= perc_90, converted_stat * 2, IF(bbgm_stat &gt;= perc_85, converted_stat * 1.5, converted_stat)))))</f>
        <v/>
      </c>
      <c r="W775" s="30" t="str">
        <f t="array" ref="W775">IF($A775="", "", LET(bbgm_stat, INDEX(Players!$A774:$P774, MATCH(W$2, Players!$A$1:$P$1, 0)), perc_75, VLOOKUP(W$2, Percentiles!$A$45:$I$59, 6, FALSE), perc_90, VLOOKUP(W$2, Percentiles!$A$45:$I$59, 7, FALSE), perc_95, VLOOKUP(W$2, Percentiles!$A$45:$I$59, 8, FALSE), perc_85, perc_75 + (perc_90 - perc_75) * (2/3), converted_stat, '2K_Ratings'!W775, IF(bbgm_stat &gt;= perc_95, converted_stat * 3, IF(bbgm_stat &gt;= perc_90, converted_stat * 2, IF(bbgm_stat &gt;= perc_85, converted_stat * 1.5, converted_stat)))))</f>
        <v/>
      </c>
    </row>
    <row r="776">
      <c r="A776" s="30"/>
      <c r="B776" s="30" t="str">
        <f t="array" ref="B776">IF($A776="", "", LET(bbgm_stat, INDEX(Players!$A775:$P775, MATCH(B$2, Players!$A$1:$P$1, 0)), perc_75, VLOOKUP(B$2, Percentiles!$A$45:$I$59, 6, FALSE), perc_90, VLOOKUP(B$2, Percentiles!$A$45:$I$59, 7, FALSE), perc_95, VLOOKUP(B$2, Percentiles!$A$45:$I$59, 8, FALSE), perc_85, perc_75 + (perc_90 - perc_75) * (2/3), converted_stat, '2K_Ratings'!B776, IF(bbgm_stat &gt;= perc_95, converted_stat * 3, IF(bbgm_stat &gt;= perc_90, converted_stat * 2, IF(bbgm_stat &gt;= perc_85, converted_stat * 1.5, converted_stat)))))</f>
        <v/>
      </c>
      <c r="C776" s="30" t="str">
        <f t="array" ref="C776">IF($A776="", "", LET(bbgm_stat, INDEX(Players!$A775:$P775, MATCH(C$2, Players!$A$1:$P$1, 0)), perc_75, VLOOKUP(C$2, Percentiles!$A$45:$I$59, 6, FALSE), perc_90, VLOOKUP(C$2, Percentiles!$A$45:$I$59, 7, FALSE), perc_95, VLOOKUP(C$2, Percentiles!$A$45:$I$59, 8, FALSE), perc_85, perc_75 + (perc_90 - perc_75) * (2/3), converted_stat, '2K_Ratings'!C776, IF(bbgm_stat &gt;= perc_95, converted_stat * 3, IF(bbgm_stat &gt;= perc_90, converted_stat * 2, IF(bbgm_stat &gt;= perc_85, converted_stat * 1.5, converted_stat)))))</f>
        <v/>
      </c>
      <c r="D776" s="30" t="str">
        <f t="array" ref="D776">IF($A776="", "", LET(bbgm_stat, INDEX(Players!$A775:$P775, MATCH(D$2, Players!$A$1:$P$1, 0)), perc_75, VLOOKUP(D$2, Percentiles!$A$45:$I$59, 6, FALSE), perc_90, VLOOKUP(D$2, Percentiles!$A$45:$I$59, 7, FALSE), perc_95, VLOOKUP(D$2, Percentiles!$A$45:$I$59, 8, FALSE), perc_85, perc_75 + (perc_90 - perc_75) * (2/3), converted_stat, '2K_Ratings'!D776, IF(bbgm_stat &gt;= perc_95, converted_stat * 3, IF(bbgm_stat &gt;= perc_90, converted_stat * 2, IF(bbgm_stat &gt;= perc_85, converted_stat * 1.5, converted_stat)))))</f>
        <v/>
      </c>
      <c r="E776" s="30" t="str">
        <f t="array" ref="E776">IF($A776="", "", LET(bbgm_stat, INDEX(Players!$A775:$P775, MATCH(E$2, Players!$A$1:$P$1, 0)), perc_75, VLOOKUP(E$2, Percentiles!$A$45:$I$59, 6, FALSE), perc_90, VLOOKUP(E$2, Percentiles!$A$45:$I$59, 7, FALSE), perc_95, VLOOKUP(E$2, Percentiles!$A$45:$I$59, 8, FALSE), perc_85, perc_75 + (perc_90 - perc_75) * (2/3), converted_stat, '2K_Ratings'!E776, IF(bbgm_stat &gt;= perc_95, converted_stat * 3, IF(bbgm_stat &gt;= perc_90, converted_stat * 2, IF(bbgm_stat &gt;= perc_85, converted_stat * 1.5, converted_stat)))))</f>
        <v/>
      </c>
      <c r="F776" s="30" t="str">
        <f t="array" ref="F776">IF($A776="", "", LET(bbgm_stat, INDEX(Players!$A775:$P775, MATCH(F$2, Players!$A$1:$P$1, 0)), perc_75, VLOOKUP(F$2, Percentiles!$A$45:$I$59, 6, FALSE), perc_90, VLOOKUP(F$2, Percentiles!$A$45:$I$59, 7, FALSE), perc_95, VLOOKUP(F$2, Percentiles!$A$45:$I$59, 8, FALSE), perc_85, perc_75 + (perc_90 - perc_75) * (2/3), converted_stat, '2K_Ratings'!F776, IF(bbgm_stat &gt;= perc_95, converted_stat * 3, IF(bbgm_stat &gt;= perc_90, converted_stat * 2, IF(bbgm_stat &gt;= perc_85, converted_stat * 1.5, converted_stat)))))</f>
        <v/>
      </c>
      <c r="G776" s="30" t="str">
        <f t="array" ref="G776">IF($A776="", "", LET(bbgm_stat, INDEX(Players!$A775:$P775, MATCH(G$2, Players!$A$1:$P$1, 0)), perc_75, VLOOKUP(G$2, Percentiles!$A$45:$I$59, 6, FALSE), perc_90, VLOOKUP(G$2, Percentiles!$A$45:$I$59, 7, FALSE), perc_95, VLOOKUP(G$2, Percentiles!$A$45:$I$59, 8, FALSE), perc_85, perc_75 + (perc_90 - perc_75) * (2/3), converted_stat, '2K_Ratings'!G776, IF(bbgm_stat &gt;= perc_95, converted_stat * 3, IF(bbgm_stat &gt;= perc_90, converted_stat * 2, IF(bbgm_stat &gt;= perc_85, converted_stat * 1.5, converted_stat)))))</f>
        <v/>
      </c>
      <c r="H776" s="30" t="str">
        <f t="array" ref="H776">IF($A776="", "", LET(bbgm_stat, INDEX(Players!$A775:$P775, MATCH(H$2, Players!$A$1:$P$1, 0)), perc_75, VLOOKUP(H$2, Percentiles!$A$45:$I$59, 6, FALSE), perc_90, VLOOKUP(H$2, Percentiles!$A$45:$I$59, 7, FALSE), perc_95, VLOOKUP(H$2, Percentiles!$A$45:$I$59, 8, FALSE), perc_85, perc_75 + (perc_90 - perc_75) * (2/3), converted_stat, '2K_Ratings'!H776, IF(bbgm_stat &gt;= perc_95, converted_stat * 3, IF(bbgm_stat &gt;= perc_90, converted_stat * 2, IF(bbgm_stat &gt;= perc_85, converted_stat * 1.5, converted_stat)))))</f>
        <v/>
      </c>
      <c r="I776" s="30" t="str">
        <f t="array" ref="I776">IF($A776="", "", LET(bbgm_stat, INDEX(Players!$A775:$P775, MATCH(I$2, Players!$A$1:$P$1, 0)), perc_75, VLOOKUP(I$2, Percentiles!$A$45:$I$59, 6, FALSE), perc_90, VLOOKUP(I$2, Percentiles!$A$45:$I$59, 7, FALSE), perc_95, VLOOKUP(I$2, Percentiles!$A$45:$I$59, 8, FALSE), perc_85, perc_75 + (perc_90 - perc_75) * (2/3), converted_stat, '2K_Ratings'!I776, IF(bbgm_stat &gt;= perc_95, converted_stat * 3, IF(bbgm_stat &gt;= perc_90, converted_stat * 2, IF(bbgm_stat &gt;= perc_85, converted_stat * 1.5, converted_stat)))))</f>
        <v/>
      </c>
      <c r="J776" s="30" t="str">
        <f t="array" ref="J776">IF($A776="", "", LET(bbgm_stat, INDEX(Players!$A775:$P775, MATCH(J$2, Players!$A$1:$P$1, 0)), perc_75, VLOOKUP(J$2, Percentiles!$A$45:$I$59, 6, FALSE), perc_90, VLOOKUP(J$2, Percentiles!$A$45:$I$59, 7, FALSE), perc_95, VLOOKUP(J$2, Percentiles!$A$45:$I$59, 8, FALSE), perc_85, perc_75 + (perc_90 - perc_75) * (2/3), converted_stat, '2K_Ratings'!J776, IF(bbgm_stat &gt;= perc_95, converted_stat * 3, IF(bbgm_stat &gt;= perc_90, converted_stat * 2, IF(bbgm_stat &gt;= perc_85, converted_stat * 1.5, converted_stat)))))</f>
        <v/>
      </c>
      <c r="K776" s="30" t="str">
        <f t="array" ref="K776">IF($A776="", "", LET(bbgm_stat, INDEX(Players!$A775:$P775, MATCH(K$2, Players!$A$1:$P$1, 0)), perc_75, VLOOKUP(K$2, Percentiles!$A$45:$I$59, 6, FALSE), perc_90, VLOOKUP(K$2, Percentiles!$A$45:$I$59, 7, FALSE), perc_95, VLOOKUP(K$2, Percentiles!$A$45:$I$59, 8, FALSE), perc_85, perc_75 + (perc_90 - perc_75) * (2/3), converted_stat, '2K_Ratings'!K776, IF(bbgm_stat &gt;= perc_95, converted_stat * 3, IF(bbgm_stat &gt;= perc_90, converted_stat * 2, IF(bbgm_stat &gt;= perc_85, converted_stat * 1.5, converted_stat)))))</f>
        <v/>
      </c>
      <c r="L776" s="30" t="str">
        <f t="array" ref="L776">IF($A776="", "", LET(bbgm_stat, INDEX(Players!$A775:$P775, MATCH(L$2, Players!$A$1:$P$1, 0)), perc_75, VLOOKUP(L$2, Percentiles!$A$45:$I$59, 6, FALSE), perc_90, VLOOKUP(L$2, Percentiles!$A$45:$I$59, 7, FALSE), perc_95, VLOOKUP(L$2, Percentiles!$A$45:$I$59, 8, FALSE), perc_85, perc_75 + (perc_90 - perc_75) * (2/3), converted_stat, '2K_Ratings'!L776, IF(bbgm_stat &gt;= perc_95, converted_stat * 3, IF(bbgm_stat &gt;= perc_90, converted_stat * 2, IF(bbgm_stat &gt;= perc_85, converted_stat * 1.5, converted_stat)))))</f>
        <v/>
      </c>
      <c r="M776" s="30" t="str">
        <f t="array" ref="M776">IF($A776="", "", LET(bbgm_stat, INDEX(Players!$A775:$P775, MATCH(M$2, Players!$A$1:$P$1, 0)), perc_75, VLOOKUP(M$2, Percentiles!$A$45:$I$59, 6, FALSE), perc_90, VLOOKUP(M$2, Percentiles!$A$45:$I$59, 7, FALSE), perc_95, VLOOKUP(M$2, Percentiles!$A$45:$I$59, 8, FALSE), perc_85, perc_75 + (perc_90 - perc_75) * (2/3), converted_stat, '2K_Ratings'!M776, IF(bbgm_stat &gt;= perc_95, converted_stat * 3, IF(bbgm_stat &gt;= perc_90, converted_stat * 2, IF(bbgm_stat &gt;= perc_85, converted_stat * 1.5, converted_stat)))))</f>
        <v/>
      </c>
      <c r="N776" s="30" t="str">
        <f t="array" ref="N776">IF($A776="", "", LET(bbgm_stat, INDEX(Players!$A775:$P775, MATCH(N$2, Players!$A$1:$P$1, 0)), perc_75, VLOOKUP(N$2, Percentiles!$A$45:$I$59, 6, FALSE), perc_90, VLOOKUP(N$2, Percentiles!$A$45:$I$59, 7, FALSE), perc_95, VLOOKUP(N$2, Percentiles!$A$45:$I$59, 8, FALSE), perc_85, perc_75 + (perc_90 - perc_75) * (2/3), converted_stat, '2K_Ratings'!N776, IF(bbgm_stat &gt;= perc_95, converted_stat * 3, IF(bbgm_stat &gt;= perc_90, converted_stat * 2, IF(bbgm_stat &gt;= perc_85, converted_stat * 1.5, converted_stat)))))</f>
        <v/>
      </c>
      <c r="O776" s="30" t="str">
        <f t="array" ref="O776">IF($A776="", "", LET(bbgm_stat, INDEX(Players!$A775:$P775, MATCH(O$2, Players!$A$1:$P$1, 0)), perc_75, VLOOKUP(O$2, Percentiles!$A$45:$I$59, 6, FALSE), perc_90, VLOOKUP(O$2, Percentiles!$A$45:$I$59, 7, FALSE), perc_95, VLOOKUP(O$2, Percentiles!$A$45:$I$59, 8, FALSE), perc_85, perc_75 + (perc_90 - perc_75) * (2/3), converted_stat, '2K_Ratings'!O776, IF(bbgm_stat &gt;= perc_95, converted_stat * 3, IF(bbgm_stat &gt;= perc_90, converted_stat * 2, IF(bbgm_stat &gt;= perc_85, converted_stat * 1.5, converted_stat)))))</f>
        <v/>
      </c>
      <c r="P776" s="30" t="str">
        <f t="array" ref="P776">IF($A776="", "", LET(bbgm_stat, INDEX(Players!$A775:$P775, MATCH(P$2, Players!$A$1:$P$1, 0)), perc_75, VLOOKUP(P$2, Percentiles!$A$45:$I$59, 6, FALSE), perc_90, VLOOKUP(P$2, Percentiles!$A$45:$I$59, 7, FALSE), perc_95, VLOOKUP(P$2, Percentiles!$A$45:$I$59, 8, FALSE), perc_85, perc_75 + (perc_90 - perc_75) * (2/3), converted_stat, '2K_Ratings'!P776, IF(bbgm_stat &gt;= perc_95, converted_stat * 3, IF(bbgm_stat &gt;= perc_90, converted_stat * 2, IF(bbgm_stat &gt;= perc_85, converted_stat * 1.5, converted_stat)))))</f>
        <v/>
      </c>
      <c r="Q776" s="30" t="str">
        <f t="array" ref="Q776">IF($A776="", "", LET(bbgm_stat, INDEX(Players!$A775:$P775, MATCH(Q$2, Players!$A$1:$P$1, 0)), perc_75, VLOOKUP(Q$2, Percentiles!$A$45:$I$59, 6, FALSE), perc_90, VLOOKUP(Q$2, Percentiles!$A$45:$I$59, 7, FALSE), perc_95, VLOOKUP(Q$2, Percentiles!$A$45:$I$59, 8, FALSE), perc_85, perc_75 + (perc_90 - perc_75) * (2/3), converted_stat, '2K_Ratings'!Q776, IF(bbgm_stat &gt;= perc_95, converted_stat * 3, IF(bbgm_stat &gt;= perc_90, converted_stat * 2, IF(bbgm_stat &gt;= perc_85, converted_stat * 1.5, converted_stat)))))</f>
        <v/>
      </c>
      <c r="R776" s="30" t="str">
        <f t="array" ref="R776">IF($A776="", "", LET(bbgm_stat, INDEX(Players!$A775:$P775, MATCH(R$2, Players!$A$1:$P$1, 0)), perc_75, VLOOKUP(R$2, Percentiles!$A$45:$I$59, 6, FALSE), perc_90, VLOOKUP(R$2, Percentiles!$A$45:$I$59, 7, FALSE), perc_95, VLOOKUP(R$2, Percentiles!$A$45:$I$59, 8, FALSE), perc_85, perc_75 + (perc_90 - perc_75) * (2/3), converted_stat, '2K_Ratings'!R776, IF(bbgm_stat &gt;= perc_95, converted_stat * 3, IF(bbgm_stat &gt;= perc_90, converted_stat * 2, IF(bbgm_stat &gt;= perc_85, converted_stat * 1.5, converted_stat)))))</f>
        <v/>
      </c>
      <c r="S776" s="30" t="str">
        <f t="array" ref="S776">IF($A776="", "", LET(bbgm_stat, INDEX(Players!$A775:$P775, MATCH(S$2, Players!$A$1:$P$1, 0)), perc_75, VLOOKUP(S$2, Percentiles!$A$45:$I$59, 6, FALSE), perc_90, VLOOKUP(S$2, Percentiles!$A$45:$I$59, 7, FALSE), perc_95, VLOOKUP(S$2, Percentiles!$A$45:$I$59, 8, FALSE), perc_85, perc_75 + (perc_90 - perc_75) * (2/3), converted_stat, '2K_Ratings'!S776, IF(bbgm_stat &gt;= perc_95, converted_stat * 3, IF(bbgm_stat &gt;= perc_90, converted_stat * 2, IF(bbgm_stat &gt;= perc_85, converted_stat * 1.5, converted_stat)))))</f>
        <v/>
      </c>
      <c r="T776" s="30" t="str">
        <f t="array" ref="T776">IF($A776="", "", LET(bbgm_stat, INDEX(Players!$A775:$P775, MATCH(T$2, Players!$A$1:$P$1, 0)), perc_75, VLOOKUP(T$2, Percentiles!$A$45:$I$59, 6, FALSE), perc_90, VLOOKUP(T$2, Percentiles!$A$45:$I$59, 7, FALSE), perc_95, VLOOKUP(T$2, Percentiles!$A$45:$I$59, 8, FALSE), perc_85, perc_75 + (perc_90 - perc_75) * (2/3), converted_stat, '2K_Ratings'!T776, IF(bbgm_stat &gt;= perc_95, converted_stat * 3, IF(bbgm_stat &gt;= perc_90, converted_stat * 2, IF(bbgm_stat &gt;= perc_85, converted_stat * 1.5, converted_stat)))))</f>
        <v/>
      </c>
      <c r="U776" s="30" t="str">
        <f t="array" ref="U776">IF($A776="", "", LET(bbgm_stat, INDEX(Players!$A775:$P775, MATCH(U$2, Players!$A$1:$P$1, 0)), perc_75, VLOOKUP(U$2, Percentiles!$A$45:$I$59, 6, FALSE), perc_90, VLOOKUP(U$2, Percentiles!$A$45:$I$59, 7, FALSE), perc_95, VLOOKUP(U$2, Percentiles!$A$45:$I$59, 8, FALSE), perc_85, perc_75 + (perc_90 - perc_75) * (2/3), converted_stat, '2K_Ratings'!U776, IF(bbgm_stat &gt;= perc_95, converted_stat * 3, IF(bbgm_stat &gt;= perc_90, converted_stat * 2, IF(bbgm_stat &gt;= perc_85, converted_stat * 1.5, converted_stat)))))</f>
        <v/>
      </c>
      <c r="V776" s="30" t="str">
        <f t="array" ref="V776">IF($A776="", "", LET(bbgm_stat, INDEX(Players!$A775:$P775, MATCH(V$2, Players!$A$1:$P$1, 0)), perc_75, VLOOKUP(V$2, Percentiles!$A$45:$I$59, 6, FALSE), perc_90, VLOOKUP(V$2, Percentiles!$A$45:$I$59, 7, FALSE), perc_95, VLOOKUP(V$2, Percentiles!$A$45:$I$59, 8, FALSE), perc_85, perc_75 + (perc_90 - perc_75) * (2/3), converted_stat, '2K_Ratings'!V776, IF(bbgm_stat &gt;= perc_95, converted_stat * 3, IF(bbgm_stat &gt;= perc_90, converted_stat * 2, IF(bbgm_stat &gt;= perc_85, converted_stat * 1.5, converted_stat)))))</f>
        <v/>
      </c>
      <c r="W776" s="30" t="str">
        <f t="array" ref="W776">IF($A776="", "", LET(bbgm_stat, INDEX(Players!$A775:$P775, MATCH(W$2, Players!$A$1:$P$1, 0)), perc_75, VLOOKUP(W$2, Percentiles!$A$45:$I$59, 6, FALSE), perc_90, VLOOKUP(W$2, Percentiles!$A$45:$I$59, 7, FALSE), perc_95, VLOOKUP(W$2, Percentiles!$A$45:$I$59, 8, FALSE), perc_85, perc_75 + (perc_90 - perc_75) * (2/3), converted_stat, '2K_Ratings'!W776, IF(bbgm_stat &gt;= perc_95, converted_stat * 3, IF(bbgm_stat &gt;= perc_90, converted_stat * 2, IF(bbgm_stat &gt;= perc_85, converted_stat * 1.5, converted_stat)))))</f>
        <v/>
      </c>
    </row>
    <row r="777">
      <c r="A777" s="30"/>
      <c r="B777" s="30" t="str">
        <f t="array" ref="B777">IF($A777="", "", LET(bbgm_stat, INDEX(Players!$A776:$P776, MATCH(B$2, Players!$A$1:$P$1, 0)), perc_75, VLOOKUP(B$2, Percentiles!$A$45:$I$59, 6, FALSE), perc_90, VLOOKUP(B$2, Percentiles!$A$45:$I$59, 7, FALSE), perc_95, VLOOKUP(B$2, Percentiles!$A$45:$I$59, 8, FALSE), perc_85, perc_75 + (perc_90 - perc_75) * (2/3), converted_stat, '2K_Ratings'!B777, IF(bbgm_stat &gt;= perc_95, converted_stat * 3, IF(bbgm_stat &gt;= perc_90, converted_stat * 2, IF(bbgm_stat &gt;= perc_85, converted_stat * 1.5, converted_stat)))))</f>
        <v/>
      </c>
      <c r="C777" s="30" t="str">
        <f t="array" ref="C777">IF($A777="", "", LET(bbgm_stat, INDEX(Players!$A776:$P776, MATCH(C$2, Players!$A$1:$P$1, 0)), perc_75, VLOOKUP(C$2, Percentiles!$A$45:$I$59, 6, FALSE), perc_90, VLOOKUP(C$2, Percentiles!$A$45:$I$59, 7, FALSE), perc_95, VLOOKUP(C$2, Percentiles!$A$45:$I$59, 8, FALSE), perc_85, perc_75 + (perc_90 - perc_75) * (2/3), converted_stat, '2K_Ratings'!C777, IF(bbgm_stat &gt;= perc_95, converted_stat * 3, IF(bbgm_stat &gt;= perc_90, converted_stat * 2, IF(bbgm_stat &gt;= perc_85, converted_stat * 1.5, converted_stat)))))</f>
        <v/>
      </c>
      <c r="D777" s="30" t="str">
        <f t="array" ref="D777">IF($A777="", "", LET(bbgm_stat, INDEX(Players!$A776:$P776, MATCH(D$2, Players!$A$1:$P$1, 0)), perc_75, VLOOKUP(D$2, Percentiles!$A$45:$I$59, 6, FALSE), perc_90, VLOOKUP(D$2, Percentiles!$A$45:$I$59, 7, FALSE), perc_95, VLOOKUP(D$2, Percentiles!$A$45:$I$59, 8, FALSE), perc_85, perc_75 + (perc_90 - perc_75) * (2/3), converted_stat, '2K_Ratings'!D777, IF(bbgm_stat &gt;= perc_95, converted_stat * 3, IF(bbgm_stat &gt;= perc_90, converted_stat * 2, IF(bbgm_stat &gt;= perc_85, converted_stat * 1.5, converted_stat)))))</f>
        <v/>
      </c>
      <c r="E777" s="30" t="str">
        <f t="array" ref="E777">IF($A777="", "", LET(bbgm_stat, INDEX(Players!$A776:$P776, MATCH(E$2, Players!$A$1:$P$1, 0)), perc_75, VLOOKUP(E$2, Percentiles!$A$45:$I$59, 6, FALSE), perc_90, VLOOKUP(E$2, Percentiles!$A$45:$I$59, 7, FALSE), perc_95, VLOOKUP(E$2, Percentiles!$A$45:$I$59, 8, FALSE), perc_85, perc_75 + (perc_90 - perc_75) * (2/3), converted_stat, '2K_Ratings'!E777, IF(bbgm_stat &gt;= perc_95, converted_stat * 3, IF(bbgm_stat &gt;= perc_90, converted_stat * 2, IF(bbgm_stat &gt;= perc_85, converted_stat * 1.5, converted_stat)))))</f>
        <v/>
      </c>
      <c r="F777" s="30" t="str">
        <f t="array" ref="F777">IF($A777="", "", LET(bbgm_stat, INDEX(Players!$A776:$P776, MATCH(F$2, Players!$A$1:$P$1, 0)), perc_75, VLOOKUP(F$2, Percentiles!$A$45:$I$59, 6, FALSE), perc_90, VLOOKUP(F$2, Percentiles!$A$45:$I$59, 7, FALSE), perc_95, VLOOKUP(F$2, Percentiles!$A$45:$I$59, 8, FALSE), perc_85, perc_75 + (perc_90 - perc_75) * (2/3), converted_stat, '2K_Ratings'!F777, IF(bbgm_stat &gt;= perc_95, converted_stat * 3, IF(bbgm_stat &gt;= perc_90, converted_stat * 2, IF(bbgm_stat &gt;= perc_85, converted_stat * 1.5, converted_stat)))))</f>
        <v/>
      </c>
      <c r="G777" s="30" t="str">
        <f t="array" ref="G777">IF($A777="", "", LET(bbgm_stat, INDEX(Players!$A776:$P776, MATCH(G$2, Players!$A$1:$P$1, 0)), perc_75, VLOOKUP(G$2, Percentiles!$A$45:$I$59, 6, FALSE), perc_90, VLOOKUP(G$2, Percentiles!$A$45:$I$59, 7, FALSE), perc_95, VLOOKUP(G$2, Percentiles!$A$45:$I$59, 8, FALSE), perc_85, perc_75 + (perc_90 - perc_75) * (2/3), converted_stat, '2K_Ratings'!G777, IF(bbgm_stat &gt;= perc_95, converted_stat * 3, IF(bbgm_stat &gt;= perc_90, converted_stat * 2, IF(bbgm_stat &gt;= perc_85, converted_stat * 1.5, converted_stat)))))</f>
        <v/>
      </c>
      <c r="H777" s="30" t="str">
        <f t="array" ref="H777">IF($A777="", "", LET(bbgm_stat, INDEX(Players!$A776:$P776, MATCH(H$2, Players!$A$1:$P$1, 0)), perc_75, VLOOKUP(H$2, Percentiles!$A$45:$I$59, 6, FALSE), perc_90, VLOOKUP(H$2, Percentiles!$A$45:$I$59, 7, FALSE), perc_95, VLOOKUP(H$2, Percentiles!$A$45:$I$59, 8, FALSE), perc_85, perc_75 + (perc_90 - perc_75) * (2/3), converted_stat, '2K_Ratings'!H777, IF(bbgm_stat &gt;= perc_95, converted_stat * 3, IF(bbgm_stat &gt;= perc_90, converted_stat * 2, IF(bbgm_stat &gt;= perc_85, converted_stat * 1.5, converted_stat)))))</f>
        <v/>
      </c>
      <c r="I777" s="30" t="str">
        <f t="array" ref="I777">IF($A777="", "", LET(bbgm_stat, INDEX(Players!$A776:$P776, MATCH(I$2, Players!$A$1:$P$1, 0)), perc_75, VLOOKUP(I$2, Percentiles!$A$45:$I$59, 6, FALSE), perc_90, VLOOKUP(I$2, Percentiles!$A$45:$I$59, 7, FALSE), perc_95, VLOOKUP(I$2, Percentiles!$A$45:$I$59, 8, FALSE), perc_85, perc_75 + (perc_90 - perc_75) * (2/3), converted_stat, '2K_Ratings'!I777, IF(bbgm_stat &gt;= perc_95, converted_stat * 3, IF(bbgm_stat &gt;= perc_90, converted_stat * 2, IF(bbgm_stat &gt;= perc_85, converted_stat * 1.5, converted_stat)))))</f>
        <v/>
      </c>
      <c r="J777" s="30" t="str">
        <f t="array" ref="J777">IF($A777="", "", LET(bbgm_stat, INDEX(Players!$A776:$P776, MATCH(J$2, Players!$A$1:$P$1, 0)), perc_75, VLOOKUP(J$2, Percentiles!$A$45:$I$59, 6, FALSE), perc_90, VLOOKUP(J$2, Percentiles!$A$45:$I$59, 7, FALSE), perc_95, VLOOKUP(J$2, Percentiles!$A$45:$I$59, 8, FALSE), perc_85, perc_75 + (perc_90 - perc_75) * (2/3), converted_stat, '2K_Ratings'!J777, IF(bbgm_stat &gt;= perc_95, converted_stat * 3, IF(bbgm_stat &gt;= perc_90, converted_stat * 2, IF(bbgm_stat &gt;= perc_85, converted_stat * 1.5, converted_stat)))))</f>
        <v/>
      </c>
      <c r="K777" s="30" t="str">
        <f t="array" ref="K777">IF($A777="", "", LET(bbgm_stat, INDEX(Players!$A776:$P776, MATCH(K$2, Players!$A$1:$P$1, 0)), perc_75, VLOOKUP(K$2, Percentiles!$A$45:$I$59, 6, FALSE), perc_90, VLOOKUP(K$2, Percentiles!$A$45:$I$59, 7, FALSE), perc_95, VLOOKUP(K$2, Percentiles!$A$45:$I$59, 8, FALSE), perc_85, perc_75 + (perc_90 - perc_75) * (2/3), converted_stat, '2K_Ratings'!K777, IF(bbgm_stat &gt;= perc_95, converted_stat * 3, IF(bbgm_stat &gt;= perc_90, converted_stat * 2, IF(bbgm_stat &gt;= perc_85, converted_stat * 1.5, converted_stat)))))</f>
        <v/>
      </c>
      <c r="L777" s="30" t="str">
        <f t="array" ref="L777">IF($A777="", "", LET(bbgm_stat, INDEX(Players!$A776:$P776, MATCH(L$2, Players!$A$1:$P$1, 0)), perc_75, VLOOKUP(L$2, Percentiles!$A$45:$I$59, 6, FALSE), perc_90, VLOOKUP(L$2, Percentiles!$A$45:$I$59, 7, FALSE), perc_95, VLOOKUP(L$2, Percentiles!$A$45:$I$59, 8, FALSE), perc_85, perc_75 + (perc_90 - perc_75) * (2/3), converted_stat, '2K_Ratings'!L777, IF(bbgm_stat &gt;= perc_95, converted_stat * 3, IF(bbgm_stat &gt;= perc_90, converted_stat * 2, IF(bbgm_stat &gt;= perc_85, converted_stat * 1.5, converted_stat)))))</f>
        <v/>
      </c>
      <c r="M777" s="30" t="str">
        <f t="array" ref="M777">IF($A777="", "", LET(bbgm_stat, INDEX(Players!$A776:$P776, MATCH(M$2, Players!$A$1:$P$1, 0)), perc_75, VLOOKUP(M$2, Percentiles!$A$45:$I$59, 6, FALSE), perc_90, VLOOKUP(M$2, Percentiles!$A$45:$I$59, 7, FALSE), perc_95, VLOOKUP(M$2, Percentiles!$A$45:$I$59, 8, FALSE), perc_85, perc_75 + (perc_90 - perc_75) * (2/3), converted_stat, '2K_Ratings'!M777, IF(bbgm_stat &gt;= perc_95, converted_stat * 3, IF(bbgm_stat &gt;= perc_90, converted_stat * 2, IF(bbgm_stat &gt;= perc_85, converted_stat * 1.5, converted_stat)))))</f>
        <v/>
      </c>
      <c r="N777" s="30" t="str">
        <f t="array" ref="N777">IF($A777="", "", LET(bbgm_stat, INDEX(Players!$A776:$P776, MATCH(N$2, Players!$A$1:$P$1, 0)), perc_75, VLOOKUP(N$2, Percentiles!$A$45:$I$59, 6, FALSE), perc_90, VLOOKUP(N$2, Percentiles!$A$45:$I$59, 7, FALSE), perc_95, VLOOKUP(N$2, Percentiles!$A$45:$I$59, 8, FALSE), perc_85, perc_75 + (perc_90 - perc_75) * (2/3), converted_stat, '2K_Ratings'!N777, IF(bbgm_stat &gt;= perc_95, converted_stat * 3, IF(bbgm_stat &gt;= perc_90, converted_stat * 2, IF(bbgm_stat &gt;= perc_85, converted_stat * 1.5, converted_stat)))))</f>
        <v/>
      </c>
      <c r="O777" s="30" t="str">
        <f t="array" ref="O777">IF($A777="", "", LET(bbgm_stat, INDEX(Players!$A776:$P776, MATCH(O$2, Players!$A$1:$P$1, 0)), perc_75, VLOOKUP(O$2, Percentiles!$A$45:$I$59, 6, FALSE), perc_90, VLOOKUP(O$2, Percentiles!$A$45:$I$59, 7, FALSE), perc_95, VLOOKUP(O$2, Percentiles!$A$45:$I$59, 8, FALSE), perc_85, perc_75 + (perc_90 - perc_75) * (2/3), converted_stat, '2K_Ratings'!O777, IF(bbgm_stat &gt;= perc_95, converted_stat * 3, IF(bbgm_stat &gt;= perc_90, converted_stat * 2, IF(bbgm_stat &gt;= perc_85, converted_stat * 1.5, converted_stat)))))</f>
        <v/>
      </c>
      <c r="P777" s="30" t="str">
        <f t="array" ref="P777">IF($A777="", "", LET(bbgm_stat, INDEX(Players!$A776:$P776, MATCH(P$2, Players!$A$1:$P$1, 0)), perc_75, VLOOKUP(P$2, Percentiles!$A$45:$I$59, 6, FALSE), perc_90, VLOOKUP(P$2, Percentiles!$A$45:$I$59, 7, FALSE), perc_95, VLOOKUP(P$2, Percentiles!$A$45:$I$59, 8, FALSE), perc_85, perc_75 + (perc_90 - perc_75) * (2/3), converted_stat, '2K_Ratings'!P777, IF(bbgm_stat &gt;= perc_95, converted_stat * 3, IF(bbgm_stat &gt;= perc_90, converted_stat * 2, IF(bbgm_stat &gt;= perc_85, converted_stat * 1.5, converted_stat)))))</f>
        <v/>
      </c>
      <c r="Q777" s="30" t="str">
        <f t="array" ref="Q777">IF($A777="", "", LET(bbgm_stat, INDEX(Players!$A776:$P776, MATCH(Q$2, Players!$A$1:$P$1, 0)), perc_75, VLOOKUP(Q$2, Percentiles!$A$45:$I$59, 6, FALSE), perc_90, VLOOKUP(Q$2, Percentiles!$A$45:$I$59, 7, FALSE), perc_95, VLOOKUP(Q$2, Percentiles!$A$45:$I$59, 8, FALSE), perc_85, perc_75 + (perc_90 - perc_75) * (2/3), converted_stat, '2K_Ratings'!Q777, IF(bbgm_stat &gt;= perc_95, converted_stat * 3, IF(bbgm_stat &gt;= perc_90, converted_stat * 2, IF(bbgm_stat &gt;= perc_85, converted_stat * 1.5, converted_stat)))))</f>
        <v/>
      </c>
      <c r="R777" s="30" t="str">
        <f t="array" ref="R777">IF($A777="", "", LET(bbgm_stat, INDEX(Players!$A776:$P776, MATCH(R$2, Players!$A$1:$P$1, 0)), perc_75, VLOOKUP(R$2, Percentiles!$A$45:$I$59, 6, FALSE), perc_90, VLOOKUP(R$2, Percentiles!$A$45:$I$59, 7, FALSE), perc_95, VLOOKUP(R$2, Percentiles!$A$45:$I$59, 8, FALSE), perc_85, perc_75 + (perc_90 - perc_75) * (2/3), converted_stat, '2K_Ratings'!R777, IF(bbgm_stat &gt;= perc_95, converted_stat * 3, IF(bbgm_stat &gt;= perc_90, converted_stat * 2, IF(bbgm_stat &gt;= perc_85, converted_stat * 1.5, converted_stat)))))</f>
        <v/>
      </c>
      <c r="S777" s="30" t="str">
        <f t="array" ref="S777">IF($A777="", "", LET(bbgm_stat, INDEX(Players!$A776:$P776, MATCH(S$2, Players!$A$1:$P$1, 0)), perc_75, VLOOKUP(S$2, Percentiles!$A$45:$I$59, 6, FALSE), perc_90, VLOOKUP(S$2, Percentiles!$A$45:$I$59, 7, FALSE), perc_95, VLOOKUP(S$2, Percentiles!$A$45:$I$59, 8, FALSE), perc_85, perc_75 + (perc_90 - perc_75) * (2/3), converted_stat, '2K_Ratings'!S777, IF(bbgm_stat &gt;= perc_95, converted_stat * 3, IF(bbgm_stat &gt;= perc_90, converted_stat * 2, IF(bbgm_stat &gt;= perc_85, converted_stat * 1.5, converted_stat)))))</f>
        <v/>
      </c>
      <c r="T777" s="30" t="str">
        <f t="array" ref="T777">IF($A777="", "", LET(bbgm_stat, INDEX(Players!$A776:$P776, MATCH(T$2, Players!$A$1:$P$1, 0)), perc_75, VLOOKUP(T$2, Percentiles!$A$45:$I$59, 6, FALSE), perc_90, VLOOKUP(T$2, Percentiles!$A$45:$I$59, 7, FALSE), perc_95, VLOOKUP(T$2, Percentiles!$A$45:$I$59, 8, FALSE), perc_85, perc_75 + (perc_90 - perc_75) * (2/3), converted_stat, '2K_Ratings'!T777, IF(bbgm_stat &gt;= perc_95, converted_stat * 3, IF(bbgm_stat &gt;= perc_90, converted_stat * 2, IF(bbgm_stat &gt;= perc_85, converted_stat * 1.5, converted_stat)))))</f>
        <v/>
      </c>
      <c r="U777" s="30" t="str">
        <f t="array" ref="U777">IF($A777="", "", LET(bbgm_stat, INDEX(Players!$A776:$P776, MATCH(U$2, Players!$A$1:$P$1, 0)), perc_75, VLOOKUP(U$2, Percentiles!$A$45:$I$59, 6, FALSE), perc_90, VLOOKUP(U$2, Percentiles!$A$45:$I$59, 7, FALSE), perc_95, VLOOKUP(U$2, Percentiles!$A$45:$I$59, 8, FALSE), perc_85, perc_75 + (perc_90 - perc_75) * (2/3), converted_stat, '2K_Ratings'!U777, IF(bbgm_stat &gt;= perc_95, converted_stat * 3, IF(bbgm_stat &gt;= perc_90, converted_stat * 2, IF(bbgm_stat &gt;= perc_85, converted_stat * 1.5, converted_stat)))))</f>
        <v/>
      </c>
      <c r="V777" s="30" t="str">
        <f t="array" ref="V777">IF($A777="", "", LET(bbgm_stat, INDEX(Players!$A776:$P776, MATCH(V$2, Players!$A$1:$P$1, 0)), perc_75, VLOOKUP(V$2, Percentiles!$A$45:$I$59, 6, FALSE), perc_90, VLOOKUP(V$2, Percentiles!$A$45:$I$59, 7, FALSE), perc_95, VLOOKUP(V$2, Percentiles!$A$45:$I$59, 8, FALSE), perc_85, perc_75 + (perc_90 - perc_75) * (2/3), converted_stat, '2K_Ratings'!V777, IF(bbgm_stat &gt;= perc_95, converted_stat * 3, IF(bbgm_stat &gt;= perc_90, converted_stat * 2, IF(bbgm_stat &gt;= perc_85, converted_stat * 1.5, converted_stat)))))</f>
        <v/>
      </c>
      <c r="W777" s="30" t="str">
        <f t="array" ref="W777">IF($A777="", "", LET(bbgm_stat, INDEX(Players!$A776:$P776, MATCH(W$2, Players!$A$1:$P$1, 0)), perc_75, VLOOKUP(W$2, Percentiles!$A$45:$I$59, 6, FALSE), perc_90, VLOOKUP(W$2, Percentiles!$A$45:$I$59, 7, FALSE), perc_95, VLOOKUP(W$2, Percentiles!$A$45:$I$59, 8, FALSE), perc_85, perc_75 + (perc_90 - perc_75) * (2/3), converted_stat, '2K_Ratings'!W777, IF(bbgm_stat &gt;= perc_95, converted_stat * 3, IF(bbgm_stat &gt;= perc_90, converted_stat * 2, IF(bbgm_stat &gt;= perc_85, converted_stat * 1.5, converted_stat)))))</f>
        <v/>
      </c>
    </row>
    <row r="778">
      <c r="A778" s="30"/>
      <c r="B778" s="30" t="str">
        <f t="array" ref="B778">IF($A778="", "", LET(bbgm_stat, INDEX(Players!$A777:$P777, MATCH(B$2, Players!$A$1:$P$1, 0)), perc_75, VLOOKUP(B$2, Percentiles!$A$45:$I$59, 6, FALSE), perc_90, VLOOKUP(B$2, Percentiles!$A$45:$I$59, 7, FALSE), perc_95, VLOOKUP(B$2, Percentiles!$A$45:$I$59, 8, FALSE), perc_85, perc_75 + (perc_90 - perc_75) * (2/3), converted_stat, '2K_Ratings'!B778, IF(bbgm_stat &gt;= perc_95, converted_stat * 3, IF(bbgm_stat &gt;= perc_90, converted_stat * 2, IF(bbgm_stat &gt;= perc_85, converted_stat * 1.5, converted_stat)))))</f>
        <v/>
      </c>
      <c r="C778" s="30" t="str">
        <f t="array" ref="C778">IF($A778="", "", LET(bbgm_stat, INDEX(Players!$A777:$P777, MATCH(C$2, Players!$A$1:$P$1, 0)), perc_75, VLOOKUP(C$2, Percentiles!$A$45:$I$59, 6, FALSE), perc_90, VLOOKUP(C$2, Percentiles!$A$45:$I$59, 7, FALSE), perc_95, VLOOKUP(C$2, Percentiles!$A$45:$I$59, 8, FALSE), perc_85, perc_75 + (perc_90 - perc_75) * (2/3), converted_stat, '2K_Ratings'!C778, IF(bbgm_stat &gt;= perc_95, converted_stat * 3, IF(bbgm_stat &gt;= perc_90, converted_stat * 2, IF(bbgm_stat &gt;= perc_85, converted_stat * 1.5, converted_stat)))))</f>
        <v/>
      </c>
      <c r="D778" s="30" t="str">
        <f t="array" ref="D778">IF($A778="", "", LET(bbgm_stat, INDEX(Players!$A777:$P777, MATCH(D$2, Players!$A$1:$P$1, 0)), perc_75, VLOOKUP(D$2, Percentiles!$A$45:$I$59, 6, FALSE), perc_90, VLOOKUP(D$2, Percentiles!$A$45:$I$59, 7, FALSE), perc_95, VLOOKUP(D$2, Percentiles!$A$45:$I$59, 8, FALSE), perc_85, perc_75 + (perc_90 - perc_75) * (2/3), converted_stat, '2K_Ratings'!D778, IF(bbgm_stat &gt;= perc_95, converted_stat * 3, IF(bbgm_stat &gt;= perc_90, converted_stat * 2, IF(bbgm_stat &gt;= perc_85, converted_stat * 1.5, converted_stat)))))</f>
        <v/>
      </c>
      <c r="E778" s="30" t="str">
        <f t="array" ref="E778">IF($A778="", "", LET(bbgm_stat, INDEX(Players!$A777:$P777, MATCH(E$2, Players!$A$1:$P$1, 0)), perc_75, VLOOKUP(E$2, Percentiles!$A$45:$I$59, 6, FALSE), perc_90, VLOOKUP(E$2, Percentiles!$A$45:$I$59, 7, FALSE), perc_95, VLOOKUP(E$2, Percentiles!$A$45:$I$59, 8, FALSE), perc_85, perc_75 + (perc_90 - perc_75) * (2/3), converted_stat, '2K_Ratings'!E778, IF(bbgm_stat &gt;= perc_95, converted_stat * 3, IF(bbgm_stat &gt;= perc_90, converted_stat * 2, IF(bbgm_stat &gt;= perc_85, converted_stat * 1.5, converted_stat)))))</f>
        <v/>
      </c>
      <c r="F778" s="30" t="str">
        <f t="array" ref="F778">IF($A778="", "", LET(bbgm_stat, INDEX(Players!$A777:$P777, MATCH(F$2, Players!$A$1:$P$1, 0)), perc_75, VLOOKUP(F$2, Percentiles!$A$45:$I$59, 6, FALSE), perc_90, VLOOKUP(F$2, Percentiles!$A$45:$I$59, 7, FALSE), perc_95, VLOOKUP(F$2, Percentiles!$A$45:$I$59, 8, FALSE), perc_85, perc_75 + (perc_90 - perc_75) * (2/3), converted_stat, '2K_Ratings'!F778, IF(bbgm_stat &gt;= perc_95, converted_stat * 3, IF(bbgm_stat &gt;= perc_90, converted_stat * 2, IF(bbgm_stat &gt;= perc_85, converted_stat * 1.5, converted_stat)))))</f>
        <v/>
      </c>
      <c r="G778" s="30" t="str">
        <f t="array" ref="G778">IF($A778="", "", LET(bbgm_stat, INDEX(Players!$A777:$P777, MATCH(G$2, Players!$A$1:$P$1, 0)), perc_75, VLOOKUP(G$2, Percentiles!$A$45:$I$59, 6, FALSE), perc_90, VLOOKUP(G$2, Percentiles!$A$45:$I$59, 7, FALSE), perc_95, VLOOKUP(G$2, Percentiles!$A$45:$I$59, 8, FALSE), perc_85, perc_75 + (perc_90 - perc_75) * (2/3), converted_stat, '2K_Ratings'!G778, IF(bbgm_stat &gt;= perc_95, converted_stat * 3, IF(bbgm_stat &gt;= perc_90, converted_stat * 2, IF(bbgm_stat &gt;= perc_85, converted_stat * 1.5, converted_stat)))))</f>
        <v/>
      </c>
      <c r="H778" s="30" t="str">
        <f t="array" ref="H778">IF($A778="", "", LET(bbgm_stat, INDEX(Players!$A777:$P777, MATCH(H$2, Players!$A$1:$P$1, 0)), perc_75, VLOOKUP(H$2, Percentiles!$A$45:$I$59, 6, FALSE), perc_90, VLOOKUP(H$2, Percentiles!$A$45:$I$59, 7, FALSE), perc_95, VLOOKUP(H$2, Percentiles!$A$45:$I$59, 8, FALSE), perc_85, perc_75 + (perc_90 - perc_75) * (2/3), converted_stat, '2K_Ratings'!H778, IF(bbgm_stat &gt;= perc_95, converted_stat * 3, IF(bbgm_stat &gt;= perc_90, converted_stat * 2, IF(bbgm_stat &gt;= perc_85, converted_stat * 1.5, converted_stat)))))</f>
        <v/>
      </c>
      <c r="I778" s="30" t="str">
        <f t="array" ref="I778">IF($A778="", "", LET(bbgm_stat, INDEX(Players!$A777:$P777, MATCH(I$2, Players!$A$1:$P$1, 0)), perc_75, VLOOKUP(I$2, Percentiles!$A$45:$I$59, 6, FALSE), perc_90, VLOOKUP(I$2, Percentiles!$A$45:$I$59, 7, FALSE), perc_95, VLOOKUP(I$2, Percentiles!$A$45:$I$59, 8, FALSE), perc_85, perc_75 + (perc_90 - perc_75) * (2/3), converted_stat, '2K_Ratings'!I778, IF(bbgm_stat &gt;= perc_95, converted_stat * 3, IF(bbgm_stat &gt;= perc_90, converted_stat * 2, IF(bbgm_stat &gt;= perc_85, converted_stat * 1.5, converted_stat)))))</f>
        <v/>
      </c>
      <c r="J778" s="30" t="str">
        <f t="array" ref="J778">IF($A778="", "", LET(bbgm_stat, INDEX(Players!$A777:$P777, MATCH(J$2, Players!$A$1:$P$1, 0)), perc_75, VLOOKUP(J$2, Percentiles!$A$45:$I$59, 6, FALSE), perc_90, VLOOKUP(J$2, Percentiles!$A$45:$I$59, 7, FALSE), perc_95, VLOOKUP(J$2, Percentiles!$A$45:$I$59, 8, FALSE), perc_85, perc_75 + (perc_90 - perc_75) * (2/3), converted_stat, '2K_Ratings'!J778, IF(bbgm_stat &gt;= perc_95, converted_stat * 3, IF(bbgm_stat &gt;= perc_90, converted_stat * 2, IF(bbgm_stat &gt;= perc_85, converted_stat * 1.5, converted_stat)))))</f>
        <v/>
      </c>
      <c r="K778" s="30" t="str">
        <f t="array" ref="K778">IF($A778="", "", LET(bbgm_stat, INDEX(Players!$A777:$P777, MATCH(K$2, Players!$A$1:$P$1, 0)), perc_75, VLOOKUP(K$2, Percentiles!$A$45:$I$59, 6, FALSE), perc_90, VLOOKUP(K$2, Percentiles!$A$45:$I$59, 7, FALSE), perc_95, VLOOKUP(K$2, Percentiles!$A$45:$I$59, 8, FALSE), perc_85, perc_75 + (perc_90 - perc_75) * (2/3), converted_stat, '2K_Ratings'!K778, IF(bbgm_stat &gt;= perc_95, converted_stat * 3, IF(bbgm_stat &gt;= perc_90, converted_stat * 2, IF(bbgm_stat &gt;= perc_85, converted_stat * 1.5, converted_stat)))))</f>
        <v/>
      </c>
      <c r="L778" s="30" t="str">
        <f t="array" ref="L778">IF($A778="", "", LET(bbgm_stat, INDEX(Players!$A777:$P777, MATCH(L$2, Players!$A$1:$P$1, 0)), perc_75, VLOOKUP(L$2, Percentiles!$A$45:$I$59, 6, FALSE), perc_90, VLOOKUP(L$2, Percentiles!$A$45:$I$59, 7, FALSE), perc_95, VLOOKUP(L$2, Percentiles!$A$45:$I$59, 8, FALSE), perc_85, perc_75 + (perc_90 - perc_75) * (2/3), converted_stat, '2K_Ratings'!L778, IF(bbgm_stat &gt;= perc_95, converted_stat * 3, IF(bbgm_stat &gt;= perc_90, converted_stat * 2, IF(bbgm_stat &gt;= perc_85, converted_stat * 1.5, converted_stat)))))</f>
        <v/>
      </c>
      <c r="M778" s="30" t="str">
        <f t="array" ref="M778">IF($A778="", "", LET(bbgm_stat, INDEX(Players!$A777:$P777, MATCH(M$2, Players!$A$1:$P$1, 0)), perc_75, VLOOKUP(M$2, Percentiles!$A$45:$I$59, 6, FALSE), perc_90, VLOOKUP(M$2, Percentiles!$A$45:$I$59, 7, FALSE), perc_95, VLOOKUP(M$2, Percentiles!$A$45:$I$59, 8, FALSE), perc_85, perc_75 + (perc_90 - perc_75) * (2/3), converted_stat, '2K_Ratings'!M778, IF(bbgm_stat &gt;= perc_95, converted_stat * 3, IF(bbgm_stat &gt;= perc_90, converted_stat * 2, IF(bbgm_stat &gt;= perc_85, converted_stat * 1.5, converted_stat)))))</f>
        <v/>
      </c>
      <c r="N778" s="30" t="str">
        <f t="array" ref="N778">IF($A778="", "", LET(bbgm_stat, INDEX(Players!$A777:$P777, MATCH(N$2, Players!$A$1:$P$1, 0)), perc_75, VLOOKUP(N$2, Percentiles!$A$45:$I$59, 6, FALSE), perc_90, VLOOKUP(N$2, Percentiles!$A$45:$I$59, 7, FALSE), perc_95, VLOOKUP(N$2, Percentiles!$A$45:$I$59, 8, FALSE), perc_85, perc_75 + (perc_90 - perc_75) * (2/3), converted_stat, '2K_Ratings'!N778, IF(bbgm_stat &gt;= perc_95, converted_stat * 3, IF(bbgm_stat &gt;= perc_90, converted_stat * 2, IF(bbgm_stat &gt;= perc_85, converted_stat * 1.5, converted_stat)))))</f>
        <v/>
      </c>
      <c r="O778" s="30" t="str">
        <f t="array" ref="O778">IF($A778="", "", LET(bbgm_stat, INDEX(Players!$A777:$P777, MATCH(O$2, Players!$A$1:$P$1, 0)), perc_75, VLOOKUP(O$2, Percentiles!$A$45:$I$59, 6, FALSE), perc_90, VLOOKUP(O$2, Percentiles!$A$45:$I$59, 7, FALSE), perc_95, VLOOKUP(O$2, Percentiles!$A$45:$I$59, 8, FALSE), perc_85, perc_75 + (perc_90 - perc_75) * (2/3), converted_stat, '2K_Ratings'!O778, IF(bbgm_stat &gt;= perc_95, converted_stat * 3, IF(bbgm_stat &gt;= perc_90, converted_stat * 2, IF(bbgm_stat &gt;= perc_85, converted_stat * 1.5, converted_stat)))))</f>
        <v/>
      </c>
      <c r="P778" s="30" t="str">
        <f t="array" ref="P778">IF($A778="", "", LET(bbgm_stat, INDEX(Players!$A777:$P777, MATCH(P$2, Players!$A$1:$P$1, 0)), perc_75, VLOOKUP(P$2, Percentiles!$A$45:$I$59, 6, FALSE), perc_90, VLOOKUP(P$2, Percentiles!$A$45:$I$59, 7, FALSE), perc_95, VLOOKUP(P$2, Percentiles!$A$45:$I$59, 8, FALSE), perc_85, perc_75 + (perc_90 - perc_75) * (2/3), converted_stat, '2K_Ratings'!P778, IF(bbgm_stat &gt;= perc_95, converted_stat * 3, IF(bbgm_stat &gt;= perc_90, converted_stat * 2, IF(bbgm_stat &gt;= perc_85, converted_stat * 1.5, converted_stat)))))</f>
        <v/>
      </c>
      <c r="Q778" s="30" t="str">
        <f t="array" ref="Q778">IF($A778="", "", LET(bbgm_stat, INDEX(Players!$A777:$P777, MATCH(Q$2, Players!$A$1:$P$1, 0)), perc_75, VLOOKUP(Q$2, Percentiles!$A$45:$I$59, 6, FALSE), perc_90, VLOOKUP(Q$2, Percentiles!$A$45:$I$59, 7, FALSE), perc_95, VLOOKUP(Q$2, Percentiles!$A$45:$I$59, 8, FALSE), perc_85, perc_75 + (perc_90 - perc_75) * (2/3), converted_stat, '2K_Ratings'!Q778, IF(bbgm_stat &gt;= perc_95, converted_stat * 3, IF(bbgm_stat &gt;= perc_90, converted_stat * 2, IF(bbgm_stat &gt;= perc_85, converted_stat * 1.5, converted_stat)))))</f>
        <v/>
      </c>
      <c r="R778" s="30" t="str">
        <f t="array" ref="R778">IF($A778="", "", LET(bbgm_stat, INDEX(Players!$A777:$P777, MATCH(R$2, Players!$A$1:$P$1, 0)), perc_75, VLOOKUP(R$2, Percentiles!$A$45:$I$59, 6, FALSE), perc_90, VLOOKUP(R$2, Percentiles!$A$45:$I$59, 7, FALSE), perc_95, VLOOKUP(R$2, Percentiles!$A$45:$I$59, 8, FALSE), perc_85, perc_75 + (perc_90 - perc_75) * (2/3), converted_stat, '2K_Ratings'!R778, IF(bbgm_stat &gt;= perc_95, converted_stat * 3, IF(bbgm_stat &gt;= perc_90, converted_stat * 2, IF(bbgm_stat &gt;= perc_85, converted_stat * 1.5, converted_stat)))))</f>
        <v/>
      </c>
      <c r="S778" s="30" t="str">
        <f t="array" ref="S778">IF($A778="", "", LET(bbgm_stat, INDEX(Players!$A777:$P777, MATCH(S$2, Players!$A$1:$P$1, 0)), perc_75, VLOOKUP(S$2, Percentiles!$A$45:$I$59, 6, FALSE), perc_90, VLOOKUP(S$2, Percentiles!$A$45:$I$59, 7, FALSE), perc_95, VLOOKUP(S$2, Percentiles!$A$45:$I$59, 8, FALSE), perc_85, perc_75 + (perc_90 - perc_75) * (2/3), converted_stat, '2K_Ratings'!S778, IF(bbgm_stat &gt;= perc_95, converted_stat * 3, IF(bbgm_stat &gt;= perc_90, converted_stat * 2, IF(bbgm_stat &gt;= perc_85, converted_stat * 1.5, converted_stat)))))</f>
        <v/>
      </c>
      <c r="T778" s="30" t="str">
        <f t="array" ref="T778">IF($A778="", "", LET(bbgm_stat, INDEX(Players!$A777:$P777, MATCH(T$2, Players!$A$1:$P$1, 0)), perc_75, VLOOKUP(T$2, Percentiles!$A$45:$I$59, 6, FALSE), perc_90, VLOOKUP(T$2, Percentiles!$A$45:$I$59, 7, FALSE), perc_95, VLOOKUP(T$2, Percentiles!$A$45:$I$59, 8, FALSE), perc_85, perc_75 + (perc_90 - perc_75) * (2/3), converted_stat, '2K_Ratings'!T778, IF(bbgm_stat &gt;= perc_95, converted_stat * 3, IF(bbgm_stat &gt;= perc_90, converted_stat * 2, IF(bbgm_stat &gt;= perc_85, converted_stat * 1.5, converted_stat)))))</f>
        <v/>
      </c>
      <c r="U778" s="30" t="str">
        <f t="array" ref="U778">IF($A778="", "", LET(bbgm_stat, INDEX(Players!$A777:$P777, MATCH(U$2, Players!$A$1:$P$1, 0)), perc_75, VLOOKUP(U$2, Percentiles!$A$45:$I$59, 6, FALSE), perc_90, VLOOKUP(U$2, Percentiles!$A$45:$I$59, 7, FALSE), perc_95, VLOOKUP(U$2, Percentiles!$A$45:$I$59, 8, FALSE), perc_85, perc_75 + (perc_90 - perc_75) * (2/3), converted_stat, '2K_Ratings'!U778, IF(bbgm_stat &gt;= perc_95, converted_stat * 3, IF(bbgm_stat &gt;= perc_90, converted_stat * 2, IF(bbgm_stat &gt;= perc_85, converted_stat * 1.5, converted_stat)))))</f>
        <v/>
      </c>
      <c r="V778" s="30" t="str">
        <f t="array" ref="V778">IF($A778="", "", LET(bbgm_stat, INDEX(Players!$A777:$P777, MATCH(V$2, Players!$A$1:$P$1, 0)), perc_75, VLOOKUP(V$2, Percentiles!$A$45:$I$59, 6, FALSE), perc_90, VLOOKUP(V$2, Percentiles!$A$45:$I$59, 7, FALSE), perc_95, VLOOKUP(V$2, Percentiles!$A$45:$I$59, 8, FALSE), perc_85, perc_75 + (perc_90 - perc_75) * (2/3), converted_stat, '2K_Ratings'!V778, IF(bbgm_stat &gt;= perc_95, converted_stat * 3, IF(bbgm_stat &gt;= perc_90, converted_stat * 2, IF(bbgm_stat &gt;= perc_85, converted_stat * 1.5, converted_stat)))))</f>
        <v/>
      </c>
      <c r="W778" s="30" t="str">
        <f t="array" ref="W778">IF($A778="", "", LET(bbgm_stat, INDEX(Players!$A777:$P777, MATCH(W$2, Players!$A$1:$P$1, 0)), perc_75, VLOOKUP(W$2, Percentiles!$A$45:$I$59, 6, FALSE), perc_90, VLOOKUP(W$2, Percentiles!$A$45:$I$59, 7, FALSE), perc_95, VLOOKUP(W$2, Percentiles!$A$45:$I$59, 8, FALSE), perc_85, perc_75 + (perc_90 - perc_75) * (2/3), converted_stat, '2K_Ratings'!W778, IF(bbgm_stat &gt;= perc_95, converted_stat * 3, IF(bbgm_stat &gt;= perc_90, converted_stat * 2, IF(bbgm_stat &gt;= perc_85, converted_stat * 1.5, converted_stat)))))</f>
        <v/>
      </c>
    </row>
    <row r="779">
      <c r="A779" s="30"/>
      <c r="B779" s="30" t="str">
        <f t="array" ref="B779">IF($A779="", "", LET(bbgm_stat, INDEX(Players!$A778:$P778, MATCH(B$2, Players!$A$1:$P$1, 0)), perc_75, VLOOKUP(B$2, Percentiles!$A$45:$I$59, 6, FALSE), perc_90, VLOOKUP(B$2, Percentiles!$A$45:$I$59, 7, FALSE), perc_95, VLOOKUP(B$2, Percentiles!$A$45:$I$59, 8, FALSE), perc_85, perc_75 + (perc_90 - perc_75) * (2/3), converted_stat, '2K_Ratings'!B779, IF(bbgm_stat &gt;= perc_95, converted_stat * 3, IF(bbgm_stat &gt;= perc_90, converted_stat * 2, IF(bbgm_stat &gt;= perc_85, converted_stat * 1.5, converted_stat)))))</f>
        <v/>
      </c>
      <c r="C779" s="30" t="str">
        <f t="array" ref="C779">IF($A779="", "", LET(bbgm_stat, INDEX(Players!$A778:$P778, MATCH(C$2, Players!$A$1:$P$1, 0)), perc_75, VLOOKUP(C$2, Percentiles!$A$45:$I$59, 6, FALSE), perc_90, VLOOKUP(C$2, Percentiles!$A$45:$I$59, 7, FALSE), perc_95, VLOOKUP(C$2, Percentiles!$A$45:$I$59, 8, FALSE), perc_85, perc_75 + (perc_90 - perc_75) * (2/3), converted_stat, '2K_Ratings'!C779, IF(bbgm_stat &gt;= perc_95, converted_stat * 3, IF(bbgm_stat &gt;= perc_90, converted_stat * 2, IF(bbgm_stat &gt;= perc_85, converted_stat * 1.5, converted_stat)))))</f>
        <v/>
      </c>
      <c r="D779" s="30" t="str">
        <f t="array" ref="D779">IF($A779="", "", LET(bbgm_stat, INDEX(Players!$A778:$P778, MATCH(D$2, Players!$A$1:$P$1, 0)), perc_75, VLOOKUP(D$2, Percentiles!$A$45:$I$59, 6, FALSE), perc_90, VLOOKUP(D$2, Percentiles!$A$45:$I$59, 7, FALSE), perc_95, VLOOKUP(D$2, Percentiles!$A$45:$I$59, 8, FALSE), perc_85, perc_75 + (perc_90 - perc_75) * (2/3), converted_stat, '2K_Ratings'!D779, IF(bbgm_stat &gt;= perc_95, converted_stat * 3, IF(bbgm_stat &gt;= perc_90, converted_stat * 2, IF(bbgm_stat &gt;= perc_85, converted_stat * 1.5, converted_stat)))))</f>
        <v/>
      </c>
      <c r="E779" s="30" t="str">
        <f t="array" ref="E779">IF($A779="", "", LET(bbgm_stat, INDEX(Players!$A778:$P778, MATCH(E$2, Players!$A$1:$P$1, 0)), perc_75, VLOOKUP(E$2, Percentiles!$A$45:$I$59, 6, FALSE), perc_90, VLOOKUP(E$2, Percentiles!$A$45:$I$59, 7, FALSE), perc_95, VLOOKUP(E$2, Percentiles!$A$45:$I$59, 8, FALSE), perc_85, perc_75 + (perc_90 - perc_75) * (2/3), converted_stat, '2K_Ratings'!E779, IF(bbgm_stat &gt;= perc_95, converted_stat * 3, IF(bbgm_stat &gt;= perc_90, converted_stat * 2, IF(bbgm_stat &gt;= perc_85, converted_stat * 1.5, converted_stat)))))</f>
        <v/>
      </c>
      <c r="F779" s="30" t="str">
        <f t="array" ref="F779">IF($A779="", "", LET(bbgm_stat, INDEX(Players!$A778:$P778, MATCH(F$2, Players!$A$1:$P$1, 0)), perc_75, VLOOKUP(F$2, Percentiles!$A$45:$I$59, 6, FALSE), perc_90, VLOOKUP(F$2, Percentiles!$A$45:$I$59, 7, FALSE), perc_95, VLOOKUP(F$2, Percentiles!$A$45:$I$59, 8, FALSE), perc_85, perc_75 + (perc_90 - perc_75) * (2/3), converted_stat, '2K_Ratings'!F779, IF(bbgm_stat &gt;= perc_95, converted_stat * 3, IF(bbgm_stat &gt;= perc_90, converted_stat * 2, IF(bbgm_stat &gt;= perc_85, converted_stat * 1.5, converted_stat)))))</f>
        <v/>
      </c>
      <c r="G779" s="30" t="str">
        <f t="array" ref="G779">IF($A779="", "", LET(bbgm_stat, INDEX(Players!$A778:$P778, MATCH(G$2, Players!$A$1:$P$1, 0)), perc_75, VLOOKUP(G$2, Percentiles!$A$45:$I$59, 6, FALSE), perc_90, VLOOKUP(G$2, Percentiles!$A$45:$I$59, 7, FALSE), perc_95, VLOOKUP(G$2, Percentiles!$A$45:$I$59, 8, FALSE), perc_85, perc_75 + (perc_90 - perc_75) * (2/3), converted_stat, '2K_Ratings'!G779, IF(bbgm_stat &gt;= perc_95, converted_stat * 3, IF(bbgm_stat &gt;= perc_90, converted_stat * 2, IF(bbgm_stat &gt;= perc_85, converted_stat * 1.5, converted_stat)))))</f>
        <v/>
      </c>
      <c r="H779" s="30" t="str">
        <f t="array" ref="H779">IF($A779="", "", LET(bbgm_stat, INDEX(Players!$A778:$P778, MATCH(H$2, Players!$A$1:$P$1, 0)), perc_75, VLOOKUP(H$2, Percentiles!$A$45:$I$59, 6, FALSE), perc_90, VLOOKUP(H$2, Percentiles!$A$45:$I$59, 7, FALSE), perc_95, VLOOKUP(H$2, Percentiles!$A$45:$I$59, 8, FALSE), perc_85, perc_75 + (perc_90 - perc_75) * (2/3), converted_stat, '2K_Ratings'!H779, IF(bbgm_stat &gt;= perc_95, converted_stat * 3, IF(bbgm_stat &gt;= perc_90, converted_stat * 2, IF(bbgm_stat &gt;= perc_85, converted_stat * 1.5, converted_stat)))))</f>
        <v/>
      </c>
      <c r="I779" s="30" t="str">
        <f t="array" ref="I779">IF($A779="", "", LET(bbgm_stat, INDEX(Players!$A778:$P778, MATCH(I$2, Players!$A$1:$P$1, 0)), perc_75, VLOOKUP(I$2, Percentiles!$A$45:$I$59, 6, FALSE), perc_90, VLOOKUP(I$2, Percentiles!$A$45:$I$59, 7, FALSE), perc_95, VLOOKUP(I$2, Percentiles!$A$45:$I$59, 8, FALSE), perc_85, perc_75 + (perc_90 - perc_75) * (2/3), converted_stat, '2K_Ratings'!I779, IF(bbgm_stat &gt;= perc_95, converted_stat * 3, IF(bbgm_stat &gt;= perc_90, converted_stat * 2, IF(bbgm_stat &gt;= perc_85, converted_stat * 1.5, converted_stat)))))</f>
        <v/>
      </c>
      <c r="J779" s="30" t="str">
        <f t="array" ref="J779">IF($A779="", "", LET(bbgm_stat, INDEX(Players!$A778:$P778, MATCH(J$2, Players!$A$1:$P$1, 0)), perc_75, VLOOKUP(J$2, Percentiles!$A$45:$I$59, 6, FALSE), perc_90, VLOOKUP(J$2, Percentiles!$A$45:$I$59, 7, FALSE), perc_95, VLOOKUP(J$2, Percentiles!$A$45:$I$59, 8, FALSE), perc_85, perc_75 + (perc_90 - perc_75) * (2/3), converted_stat, '2K_Ratings'!J779, IF(bbgm_stat &gt;= perc_95, converted_stat * 3, IF(bbgm_stat &gt;= perc_90, converted_stat * 2, IF(bbgm_stat &gt;= perc_85, converted_stat * 1.5, converted_stat)))))</f>
        <v/>
      </c>
      <c r="K779" s="30" t="str">
        <f t="array" ref="K779">IF($A779="", "", LET(bbgm_stat, INDEX(Players!$A778:$P778, MATCH(K$2, Players!$A$1:$P$1, 0)), perc_75, VLOOKUP(K$2, Percentiles!$A$45:$I$59, 6, FALSE), perc_90, VLOOKUP(K$2, Percentiles!$A$45:$I$59, 7, FALSE), perc_95, VLOOKUP(K$2, Percentiles!$A$45:$I$59, 8, FALSE), perc_85, perc_75 + (perc_90 - perc_75) * (2/3), converted_stat, '2K_Ratings'!K779, IF(bbgm_stat &gt;= perc_95, converted_stat * 3, IF(bbgm_stat &gt;= perc_90, converted_stat * 2, IF(bbgm_stat &gt;= perc_85, converted_stat * 1.5, converted_stat)))))</f>
        <v/>
      </c>
      <c r="L779" s="30" t="str">
        <f t="array" ref="L779">IF($A779="", "", LET(bbgm_stat, INDEX(Players!$A778:$P778, MATCH(L$2, Players!$A$1:$P$1, 0)), perc_75, VLOOKUP(L$2, Percentiles!$A$45:$I$59, 6, FALSE), perc_90, VLOOKUP(L$2, Percentiles!$A$45:$I$59, 7, FALSE), perc_95, VLOOKUP(L$2, Percentiles!$A$45:$I$59, 8, FALSE), perc_85, perc_75 + (perc_90 - perc_75) * (2/3), converted_stat, '2K_Ratings'!L779, IF(bbgm_stat &gt;= perc_95, converted_stat * 3, IF(bbgm_stat &gt;= perc_90, converted_stat * 2, IF(bbgm_stat &gt;= perc_85, converted_stat * 1.5, converted_stat)))))</f>
        <v/>
      </c>
      <c r="M779" s="30" t="str">
        <f t="array" ref="M779">IF($A779="", "", LET(bbgm_stat, INDEX(Players!$A778:$P778, MATCH(M$2, Players!$A$1:$P$1, 0)), perc_75, VLOOKUP(M$2, Percentiles!$A$45:$I$59, 6, FALSE), perc_90, VLOOKUP(M$2, Percentiles!$A$45:$I$59, 7, FALSE), perc_95, VLOOKUP(M$2, Percentiles!$A$45:$I$59, 8, FALSE), perc_85, perc_75 + (perc_90 - perc_75) * (2/3), converted_stat, '2K_Ratings'!M779, IF(bbgm_stat &gt;= perc_95, converted_stat * 3, IF(bbgm_stat &gt;= perc_90, converted_stat * 2, IF(bbgm_stat &gt;= perc_85, converted_stat * 1.5, converted_stat)))))</f>
        <v/>
      </c>
      <c r="N779" s="30" t="str">
        <f t="array" ref="N779">IF($A779="", "", LET(bbgm_stat, INDEX(Players!$A778:$P778, MATCH(N$2, Players!$A$1:$P$1, 0)), perc_75, VLOOKUP(N$2, Percentiles!$A$45:$I$59, 6, FALSE), perc_90, VLOOKUP(N$2, Percentiles!$A$45:$I$59, 7, FALSE), perc_95, VLOOKUP(N$2, Percentiles!$A$45:$I$59, 8, FALSE), perc_85, perc_75 + (perc_90 - perc_75) * (2/3), converted_stat, '2K_Ratings'!N779, IF(bbgm_stat &gt;= perc_95, converted_stat * 3, IF(bbgm_stat &gt;= perc_90, converted_stat * 2, IF(bbgm_stat &gt;= perc_85, converted_stat * 1.5, converted_stat)))))</f>
        <v/>
      </c>
      <c r="O779" s="30" t="str">
        <f t="array" ref="O779">IF($A779="", "", LET(bbgm_stat, INDEX(Players!$A778:$P778, MATCH(O$2, Players!$A$1:$P$1, 0)), perc_75, VLOOKUP(O$2, Percentiles!$A$45:$I$59, 6, FALSE), perc_90, VLOOKUP(O$2, Percentiles!$A$45:$I$59, 7, FALSE), perc_95, VLOOKUP(O$2, Percentiles!$A$45:$I$59, 8, FALSE), perc_85, perc_75 + (perc_90 - perc_75) * (2/3), converted_stat, '2K_Ratings'!O779, IF(bbgm_stat &gt;= perc_95, converted_stat * 3, IF(bbgm_stat &gt;= perc_90, converted_stat * 2, IF(bbgm_stat &gt;= perc_85, converted_stat * 1.5, converted_stat)))))</f>
        <v/>
      </c>
      <c r="P779" s="30" t="str">
        <f t="array" ref="P779">IF($A779="", "", LET(bbgm_stat, INDEX(Players!$A778:$P778, MATCH(P$2, Players!$A$1:$P$1, 0)), perc_75, VLOOKUP(P$2, Percentiles!$A$45:$I$59, 6, FALSE), perc_90, VLOOKUP(P$2, Percentiles!$A$45:$I$59, 7, FALSE), perc_95, VLOOKUP(P$2, Percentiles!$A$45:$I$59, 8, FALSE), perc_85, perc_75 + (perc_90 - perc_75) * (2/3), converted_stat, '2K_Ratings'!P779, IF(bbgm_stat &gt;= perc_95, converted_stat * 3, IF(bbgm_stat &gt;= perc_90, converted_stat * 2, IF(bbgm_stat &gt;= perc_85, converted_stat * 1.5, converted_stat)))))</f>
        <v/>
      </c>
      <c r="Q779" s="30" t="str">
        <f t="array" ref="Q779">IF($A779="", "", LET(bbgm_stat, INDEX(Players!$A778:$P778, MATCH(Q$2, Players!$A$1:$P$1, 0)), perc_75, VLOOKUP(Q$2, Percentiles!$A$45:$I$59, 6, FALSE), perc_90, VLOOKUP(Q$2, Percentiles!$A$45:$I$59, 7, FALSE), perc_95, VLOOKUP(Q$2, Percentiles!$A$45:$I$59, 8, FALSE), perc_85, perc_75 + (perc_90 - perc_75) * (2/3), converted_stat, '2K_Ratings'!Q779, IF(bbgm_stat &gt;= perc_95, converted_stat * 3, IF(bbgm_stat &gt;= perc_90, converted_stat * 2, IF(bbgm_stat &gt;= perc_85, converted_stat * 1.5, converted_stat)))))</f>
        <v/>
      </c>
      <c r="R779" s="30" t="str">
        <f t="array" ref="R779">IF($A779="", "", LET(bbgm_stat, INDEX(Players!$A778:$P778, MATCH(R$2, Players!$A$1:$P$1, 0)), perc_75, VLOOKUP(R$2, Percentiles!$A$45:$I$59, 6, FALSE), perc_90, VLOOKUP(R$2, Percentiles!$A$45:$I$59, 7, FALSE), perc_95, VLOOKUP(R$2, Percentiles!$A$45:$I$59, 8, FALSE), perc_85, perc_75 + (perc_90 - perc_75) * (2/3), converted_stat, '2K_Ratings'!R779, IF(bbgm_stat &gt;= perc_95, converted_stat * 3, IF(bbgm_stat &gt;= perc_90, converted_stat * 2, IF(bbgm_stat &gt;= perc_85, converted_stat * 1.5, converted_stat)))))</f>
        <v/>
      </c>
      <c r="S779" s="30" t="str">
        <f t="array" ref="S779">IF($A779="", "", LET(bbgm_stat, INDEX(Players!$A778:$P778, MATCH(S$2, Players!$A$1:$P$1, 0)), perc_75, VLOOKUP(S$2, Percentiles!$A$45:$I$59, 6, FALSE), perc_90, VLOOKUP(S$2, Percentiles!$A$45:$I$59, 7, FALSE), perc_95, VLOOKUP(S$2, Percentiles!$A$45:$I$59, 8, FALSE), perc_85, perc_75 + (perc_90 - perc_75) * (2/3), converted_stat, '2K_Ratings'!S779, IF(bbgm_stat &gt;= perc_95, converted_stat * 3, IF(bbgm_stat &gt;= perc_90, converted_stat * 2, IF(bbgm_stat &gt;= perc_85, converted_stat * 1.5, converted_stat)))))</f>
        <v/>
      </c>
      <c r="T779" s="30" t="str">
        <f t="array" ref="T779">IF($A779="", "", LET(bbgm_stat, INDEX(Players!$A778:$P778, MATCH(T$2, Players!$A$1:$P$1, 0)), perc_75, VLOOKUP(T$2, Percentiles!$A$45:$I$59, 6, FALSE), perc_90, VLOOKUP(T$2, Percentiles!$A$45:$I$59, 7, FALSE), perc_95, VLOOKUP(T$2, Percentiles!$A$45:$I$59, 8, FALSE), perc_85, perc_75 + (perc_90 - perc_75) * (2/3), converted_stat, '2K_Ratings'!T779, IF(bbgm_stat &gt;= perc_95, converted_stat * 3, IF(bbgm_stat &gt;= perc_90, converted_stat * 2, IF(bbgm_stat &gt;= perc_85, converted_stat * 1.5, converted_stat)))))</f>
        <v/>
      </c>
      <c r="U779" s="30" t="str">
        <f t="array" ref="U779">IF($A779="", "", LET(bbgm_stat, INDEX(Players!$A778:$P778, MATCH(U$2, Players!$A$1:$P$1, 0)), perc_75, VLOOKUP(U$2, Percentiles!$A$45:$I$59, 6, FALSE), perc_90, VLOOKUP(U$2, Percentiles!$A$45:$I$59, 7, FALSE), perc_95, VLOOKUP(U$2, Percentiles!$A$45:$I$59, 8, FALSE), perc_85, perc_75 + (perc_90 - perc_75) * (2/3), converted_stat, '2K_Ratings'!U779, IF(bbgm_stat &gt;= perc_95, converted_stat * 3, IF(bbgm_stat &gt;= perc_90, converted_stat * 2, IF(bbgm_stat &gt;= perc_85, converted_stat * 1.5, converted_stat)))))</f>
        <v/>
      </c>
      <c r="V779" s="30" t="str">
        <f t="array" ref="V779">IF($A779="", "", LET(bbgm_stat, INDEX(Players!$A778:$P778, MATCH(V$2, Players!$A$1:$P$1, 0)), perc_75, VLOOKUP(V$2, Percentiles!$A$45:$I$59, 6, FALSE), perc_90, VLOOKUP(V$2, Percentiles!$A$45:$I$59, 7, FALSE), perc_95, VLOOKUP(V$2, Percentiles!$A$45:$I$59, 8, FALSE), perc_85, perc_75 + (perc_90 - perc_75) * (2/3), converted_stat, '2K_Ratings'!V779, IF(bbgm_stat &gt;= perc_95, converted_stat * 3, IF(bbgm_stat &gt;= perc_90, converted_stat * 2, IF(bbgm_stat &gt;= perc_85, converted_stat * 1.5, converted_stat)))))</f>
        <v/>
      </c>
      <c r="W779" s="30" t="str">
        <f t="array" ref="W779">IF($A779="", "", LET(bbgm_stat, INDEX(Players!$A778:$P778, MATCH(W$2, Players!$A$1:$P$1, 0)), perc_75, VLOOKUP(W$2, Percentiles!$A$45:$I$59, 6, FALSE), perc_90, VLOOKUP(W$2, Percentiles!$A$45:$I$59, 7, FALSE), perc_95, VLOOKUP(W$2, Percentiles!$A$45:$I$59, 8, FALSE), perc_85, perc_75 + (perc_90 - perc_75) * (2/3), converted_stat, '2K_Ratings'!W779, IF(bbgm_stat &gt;= perc_95, converted_stat * 3, IF(bbgm_stat &gt;= perc_90, converted_stat * 2, IF(bbgm_stat &gt;= perc_85, converted_stat * 1.5, converted_stat)))))</f>
        <v/>
      </c>
    </row>
    <row r="780">
      <c r="A780" s="30"/>
      <c r="B780" s="30" t="str">
        <f t="array" ref="B780">IF($A780="", "", LET(bbgm_stat, INDEX(Players!$A779:$P779, MATCH(B$2, Players!$A$1:$P$1, 0)), perc_75, VLOOKUP(B$2, Percentiles!$A$45:$I$59, 6, FALSE), perc_90, VLOOKUP(B$2, Percentiles!$A$45:$I$59, 7, FALSE), perc_95, VLOOKUP(B$2, Percentiles!$A$45:$I$59, 8, FALSE), perc_85, perc_75 + (perc_90 - perc_75) * (2/3), converted_stat, '2K_Ratings'!B780, IF(bbgm_stat &gt;= perc_95, converted_stat * 3, IF(bbgm_stat &gt;= perc_90, converted_stat * 2, IF(bbgm_stat &gt;= perc_85, converted_stat * 1.5, converted_stat)))))</f>
        <v/>
      </c>
      <c r="C780" s="30" t="str">
        <f t="array" ref="C780">IF($A780="", "", LET(bbgm_stat, INDEX(Players!$A779:$P779, MATCH(C$2, Players!$A$1:$P$1, 0)), perc_75, VLOOKUP(C$2, Percentiles!$A$45:$I$59, 6, FALSE), perc_90, VLOOKUP(C$2, Percentiles!$A$45:$I$59, 7, FALSE), perc_95, VLOOKUP(C$2, Percentiles!$A$45:$I$59, 8, FALSE), perc_85, perc_75 + (perc_90 - perc_75) * (2/3), converted_stat, '2K_Ratings'!C780, IF(bbgm_stat &gt;= perc_95, converted_stat * 3, IF(bbgm_stat &gt;= perc_90, converted_stat * 2, IF(bbgm_stat &gt;= perc_85, converted_stat * 1.5, converted_stat)))))</f>
        <v/>
      </c>
      <c r="D780" s="30" t="str">
        <f t="array" ref="D780">IF($A780="", "", LET(bbgm_stat, INDEX(Players!$A779:$P779, MATCH(D$2, Players!$A$1:$P$1, 0)), perc_75, VLOOKUP(D$2, Percentiles!$A$45:$I$59, 6, FALSE), perc_90, VLOOKUP(D$2, Percentiles!$A$45:$I$59, 7, FALSE), perc_95, VLOOKUP(D$2, Percentiles!$A$45:$I$59, 8, FALSE), perc_85, perc_75 + (perc_90 - perc_75) * (2/3), converted_stat, '2K_Ratings'!D780, IF(bbgm_stat &gt;= perc_95, converted_stat * 3, IF(bbgm_stat &gt;= perc_90, converted_stat * 2, IF(bbgm_stat &gt;= perc_85, converted_stat * 1.5, converted_stat)))))</f>
        <v/>
      </c>
      <c r="E780" s="30" t="str">
        <f t="array" ref="E780">IF($A780="", "", LET(bbgm_stat, INDEX(Players!$A779:$P779, MATCH(E$2, Players!$A$1:$P$1, 0)), perc_75, VLOOKUP(E$2, Percentiles!$A$45:$I$59, 6, FALSE), perc_90, VLOOKUP(E$2, Percentiles!$A$45:$I$59, 7, FALSE), perc_95, VLOOKUP(E$2, Percentiles!$A$45:$I$59, 8, FALSE), perc_85, perc_75 + (perc_90 - perc_75) * (2/3), converted_stat, '2K_Ratings'!E780, IF(bbgm_stat &gt;= perc_95, converted_stat * 3, IF(bbgm_stat &gt;= perc_90, converted_stat * 2, IF(bbgm_stat &gt;= perc_85, converted_stat * 1.5, converted_stat)))))</f>
        <v/>
      </c>
      <c r="F780" s="30" t="str">
        <f t="array" ref="F780">IF($A780="", "", LET(bbgm_stat, INDEX(Players!$A779:$P779, MATCH(F$2, Players!$A$1:$P$1, 0)), perc_75, VLOOKUP(F$2, Percentiles!$A$45:$I$59, 6, FALSE), perc_90, VLOOKUP(F$2, Percentiles!$A$45:$I$59, 7, FALSE), perc_95, VLOOKUP(F$2, Percentiles!$A$45:$I$59, 8, FALSE), perc_85, perc_75 + (perc_90 - perc_75) * (2/3), converted_stat, '2K_Ratings'!F780, IF(bbgm_stat &gt;= perc_95, converted_stat * 3, IF(bbgm_stat &gt;= perc_90, converted_stat * 2, IF(bbgm_stat &gt;= perc_85, converted_stat * 1.5, converted_stat)))))</f>
        <v/>
      </c>
      <c r="G780" s="30" t="str">
        <f t="array" ref="G780">IF($A780="", "", LET(bbgm_stat, INDEX(Players!$A779:$P779, MATCH(G$2, Players!$A$1:$P$1, 0)), perc_75, VLOOKUP(G$2, Percentiles!$A$45:$I$59, 6, FALSE), perc_90, VLOOKUP(G$2, Percentiles!$A$45:$I$59, 7, FALSE), perc_95, VLOOKUP(G$2, Percentiles!$A$45:$I$59, 8, FALSE), perc_85, perc_75 + (perc_90 - perc_75) * (2/3), converted_stat, '2K_Ratings'!G780, IF(bbgm_stat &gt;= perc_95, converted_stat * 3, IF(bbgm_stat &gt;= perc_90, converted_stat * 2, IF(bbgm_stat &gt;= perc_85, converted_stat * 1.5, converted_stat)))))</f>
        <v/>
      </c>
      <c r="H780" s="30" t="str">
        <f t="array" ref="H780">IF($A780="", "", LET(bbgm_stat, INDEX(Players!$A779:$P779, MATCH(H$2, Players!$A$1:$P$1, 0)), perc_75, VLOOKUP(H$2, Percentiles!$A$45:$I$59, 6, FALSE), perc_90, VLOOKUP(H$2, Percentiles!$A$45:$I$59, 7, FALSE), perc_95, VLOOKUP(H$2, Percentiles!$A$45:$I$59, 8, FALSE), perc_85, perc_75 + (perc_90 - perc_75) * (2/3), converted_stat, '2K_Ratings'!H780, IF(bbgm_stat &gt;= perc_95, converted_stat * 3, IF(bbgm_stat &gt;= perc_90, converted_stat * 2, IF(bbgm_stat &gt;= perc_85, converted_stat * 1.5, converted_stat)))))</f>
        <v/>
      </c>
      <c r="I780" s="30" t="str">
        <f t="array" ref="I780">IF($A780="", "", LET(bbgm_stat, INDEX(Players!$A779:$P779, MATCH(I$2, Players!$A$1:$P$1, 0)), perc_75, VLOOKUP(I$2, Percentiles!$A$45:$I$59, 6, FALSE), perc_90, VLOOKUP(I$2, Percentiles!$A$45:$I$59, 7, FALSE), perc_95, VLOOKUP(I$2, Percentiles!$A$45:$I$59, 8, FALSE), perc_85, perc_75 + (perc_90 - perc_75) * (2/3), converted_stat, '2K_Ratings'!I780, IF(bbgm_stat &gt;= perc_95, converted_stat * 3, IF(bbgm_stat &gt;= perc_90, converted_stat * 2, IF(bbgm_stat &gt;= perc_85, converted_stat * 1.5, converted_stat)))))</f>
        <v/>
      </c>
      <c r="J780" s="30" t="str">
        <f t="array" ref="J780">IF($A780="", "", LET(bbgm_stat, INDEX(Players!$A779:$P779, MATCH(J$2, Players!$A$1:$P$1, 0)), perc_75, VLOOKUP(J$2, Percentiles!$A$45:$I$59, 6, FALSE), perc_90, VLOOKUP(J$2, Percentiles!$A$45:$I$59, 7, FALSE), perc_95, VLOOKUP(J$2, Percentiles!$A$45:$I$59, 8, FALSE), perc_85, perc_75 + (perc_90 - perc_75) * (2/3), converted_stat, '2K_Ratings'!J780, IF(bbgm_stat &gt;= perc_95, converted_stat * 3, IF(bbgm_stat &gt;= perc_90, converted_stat * 2, IF(bbgm_stat &gt;= perc_85, converted_stat * 1.5, converted_stat)))))</f>
        <v/>
      </c>
      <c r="K780" s="30" t="str">
        <f t="array" ref="K780">IF($A780="", "", LET(bbgm_stat, INDEX(Players!$A779:$P779, MATCH(K$2, Players!$A$1:$P$1, 0)), perc_75, VLOOKUP(K$2, Percentiles!$A$45:$I$59, 6, FALSE), perc_90, VLOOKUP(K$2, Percentiles!$A$45:$I$59, 7, FALSE), perc_95, VLOOKUP(K$2, Percentiles!$A$45:$I$59, 8, FALSE), perc_85, perc_75 + (perc_90 - perc_75) * (2/3), converted_stat, '2K_Ratings'!K780, IF(bbgm_stat &gt;= perc_95, converted_stat * 3, IF(bbgm_stat &gt;= perc_90, converted_stat * 2, IF(bbgm_stat &gt;= perc_85, converted_stat * 1.5, converted_stat)))))</f>
        <v/>
      </c>
      <c r="L780" s="30" t="str">
        <f t="array" ref="L780">IF($A780="", "", LET(bbgm_stat, INDEX(Players!$A779:$P779, MATCH(L$2, Players!$A$1:$P$1, 0)), perc_75, VLOOKUP(L$2, Percentiles!$A$45:$I$59, 6, FALSE), perc_90, VLOOKUP(L$2, Percentiles!$A$45:$I$59, 7, FALSE), perc_95, VLOOKUP(L$2, Percentiles!$A$45:$I$59, 8, FALSE), perc_85, perc_75 + (perc_90 - perc_75) * (2/3), converted_stat, '2K_Ratings'!L780, IF(bbgm_stat &gt;= perc_95, converted_stat * 3, IF(bbgm_stat &gt;= perc_90, converted_stat * 2, IF(bbgm_stat &gt;= perc_85, converted_stat * 1.5, converted_stat)))))</f>
        <v/>
      </c>
      <c r="M780" s="30" t="str">
        <f t="array" ref="M780">IF($A780="", "", LET(bbgm_stat, INDEX(Players!$A779:$P779, MATCH(M$2, Players!$A$1:$P$1, 0)), perc_75, VLOOKUP(M$2, Percentiles!$A$45:$I$59, 6, FALSE), perc_90, VLOOKUP(M$2, Percentiles!$A$45:$I$59, 7, FALSE), perc_95, VLOOKUP(M$2, Percentiles!$A$45:$I$59, 8, FALSE), perc_85, perc_75 + (perc_90 - perc_75) * (2/3), converted_stat, '2K_Ratings'!M780, IF(bbgm_stat &gt;= perc_95, converted_stat * 3, IF(bbgm_stat &gt;= perc_90, converted_stat * 2, IF(bbgm_stat &gt;= perc_85, converted_stat * 1.5, converted_stat)))))</f>
        <v/>
      </c>
      <c r="N780" s="30" t="str">
        <f t="array" ref="N780">IF($A780="", "", LET(bbgm_stat, INDEX(Players!$A779:$P779, MATCH(N$2, Players!$A$1:$P$1, 0)), perc_75, VLOOKUP(N$2, Percentiles!$A$45:$I$59, 6, FALSE), perc_90, VLOOKUP(N$2, Percentiles!$A$45:$I$59, 7, FALSE), perc_95, VLOOKUP(N$2, Percentiles!$A$45:$I$59, 8, FALSE), perc_85, perc_75 + (perc_90 - perc_75) * (2/3), converted_stat, '2K_Ratings'!N780, IF(bbgm_stat &gt;= perc_95, converted_stat * 3, IF(bbgm_stat &gt;= perc_90, converted_stat * 2, IF(bbgm_stat &gt;= perc_85, converted_stat * 1.5, converted_stat)))))</f>
        <v/>
      </c>
      <c r="O780" s="30" t="str">
        <f t="array" ref="O780">IF($A780="", "", LET(bbgm_stat, INDEX(Players!$A779:$P779, MATCH(O$2, Players!$A$1:$P$1, 0)), perc_75, VLOOKUP(O$2, Percentiles!$A$45:$I$59, 6, FALSE), perc_90, VLOOKUP(O$2, Percentiles!$A$45:$I$59, 7, FALSE), perc_95, VLOOKUP(O$2, Percentiles!$A$45:$I$59, 8, FALSE), perc_85, perc_75 + (perc_90 - perc_75) * (2/3), converted_stat, '2K_Ratings'!O780, IF(bbgm_stat &gt;= perc_95, converted_stat * 3, IF(bbgm_stat &gt;= perc_90, converted_stat * 2, IF(bbgm_stat &gt;= perc_85, converted_stat * 1.5, converted_stat)))))</f>
        <v/>
      </c>
      <c r="P780" s="30" t="str">
        <f t="array" ref="P780">IF($A780="", "", LET(bbgm_stat, INDEX(Players!$A779:$P779, MATCH(P$2, Players!$A$1:$P$1, 0)), perc_75, VLOOKUP(P$2, Percentiles!$A$45:$I$59, 6, FALSE), perc_90, VLOOKUP(P$2, Percentiles!$A$45:$I$59, 7, FALSE), perc_95, VLOOKUP(P$2, Percentiles!$A$45:$I$59, 8, FALSE), perc_85, perc_75 + (perc_90 - perc_75) * (2/3), converted_stat, '2K_Ratings'!P780, IF(bbgm_stat &gt;= perc_95, converted_stat * 3, IF(bbgm_stat &gt;= perc_90, converted_stat * 2, IF(bbgm_stat &gt;= perc_85, converted_stat * 1.5, converted_stat)))))</f>
        <v/>
      </c>
      <c r="Q780" s="30" t="str">
        <f t="array" ref="Q780">IF($A780="", "", LET(bbgm_stat, INDEX(Players!$A779:$P779, MATCH(Q$2, Players!$A$1:$P$1, 0)), perc_75, VLOOKUP(Q$2, Percentiles!$A$45:$I$59, 6, FALSE), perc_90, VLOOKUP(Q$2, Percentiles!$A$45:$I$59, 7, FALSE), perc_95, VLOOKUP(Q$2, Percentiles!$A$45:$I$59, 8, FALSE), perc_85, perc_75 + (perc_90 - perc_75) * (2/3), converted_stat, '2K_Ratings'!Q780, IF(bbgm_stat &gt;= perc_95, converted_stat * 3, IF(bbgm_stat &gt;= perc_90, converted_stat * 2, IF(bbgm_stat &gt;= perc_85, converted_stat * 1.5, converted_stat)))))</f>
        <v/>
      </c>
      <c r="R780" s="30" t="str">
        <f t="array" ref="R780">IF($A780="", "", LET(bbgm_stat, INDEX(Players!$A779:$P779, MATCH(R$2, Players!$A$1:$P$1, 0)), perc_75, VLOOKUP(R$2, Percentiles!$A$45:$I$59, 6, FALSE), perc_90, VLOOKUP(R$2, Percentiles!$A$45:$I$59, 7, FALSE), perc_95, VLOOKUP(R$2, Percentiles!$A$45:$I$59, 8, FALSE), perc_85, perc_75 + (perc_90 - perc_75) * (2/3), converted_stat, '2K_Ratings'!R780, IF(bbgm_stat &gt;= perc_95, converted_stat * 3, IF(bbgm_stat &gt;= perc_90, converted_stat * 2, IF(bbgm_stat &gt;= perc_85, converted_stat * 1.5, converted_stat)))))</f>
        <v/>
      </c>
      <c r="S780" s="30" t="str">
        <f t="array" ref="S780">IF($A780="", "", LET(bbgm_stat, INDEX(Players!$A779:$P779, MATCH(S$2, Players!$A$1:$P$1, 0)), perc_75, VLOOKUP(S$2, Percentiles!$A$45:$I$59, 6, FALSE), perc_90, VLOOKUP(S$2, Percentiles!$A$45:$I$59, 7, FALSE), perc_95, VLOOKUP(S$2, Percentiles!$A$45:$I$59, 8, FALSE), perc_85, perc_75 + (perc_90 - perc_75) * (2/3), converted_stat, '2K_Ratings'!S780, IF(bbgm_stat &gt;= perc_95, converted_stat * 3, IF(bbgm_stat &gt;= perc_90, converted_stat * 2, IF(bbgm_stat &gt;= perc_85, converted_stat * 1.5, converted_stat)))))</f>
        <v/>
      </c>
      <c r="T780" s="30" t="str">
        <f t="array" ref="T780">IF($A780="", "", LET(bbgm_stat, INDEX(Players!$A779:$P779, MATCH(T$2, Players!$A$1:$P$1, 0)), perc_75, VLOOKUP(T$2, Percentiles!$A$45:$I$59, 6, FALSE), perc_90, VLOOKUP(T$2, Percentiles!$A$45:$I$59, 7, FALSE), perc_95, VLOOKUP(T$2, Percentiles!$A$45:$I$59, 8, FALSE), perc_85, perc_75 + (perc_90 - perc_75) * (2/3), converted_stat, '2K_Ratings'!T780, IF(bbgm_stat &gt;= perc_95, converted_stat * 3, IF(bbgm_stat &gt;= perc_90, converted_stat * 2, IF(bbgm_stat &gt;= perc_85, converted_stat * 1.5, converted_stat)))))</f>
        <v/>
      </c>
      <c r="U780" s="30" t="str">
        <f t="array" ref="U780">IF($A780="", "", LET(bbgm_stat, INDEX(Players!$A779:$P779, MATCH(U$2, Players!$A$1:$P$1, 0)), perc_75, VLOOKUP(U$2, Percentiles!$A$45:$I$59, 6, FALSE), perc_90, VLOOKUP(U$2, Percentiles!$A$45:$I$59, 7, FALSE), perc_95, VLOOKUP(U$2, Percentiles!$A$45:$I$59, 8, FALSE), perc_85, perc_75 + (perc_90 - perc_75) * (2/3), converted_stat, '2K_Ratings'!U780, IF(bbgm_stat &gt;= perc_95, converted_stat * 3, IF(bbgm_stat &gt;= perc_90, converted_stat * 2, IF(bbgm_stat &gt;= perc_85, converted_stat * 1.5, converted_stat)))))</f>
        <v/>
      </c>
      <c r="V780" s="30" t="str">
        <f t="array" ref="V780">IF($A780="", "", LET(bbgm_stat, INDEX(Players!$A779:$P779, MATCH(V$2, Players!$A$1:$P$1, 0)), perc_75, VLOOKUP(V$2, Percentiles!$A$45:$I$59, 6, FALSE), perc_90, VLOOKUP(V$2, Percentiles!$A$45:$I$59, 7, FALSE), perc_95, VLOOKUP(V$2, Percentiles!$A$45:$I$59, 8, FALSE), perc_85, perc_75 + (perc_90 - perc_75) * (2/3), converted_stat, '2K_Ratings'!V780, IF(bbgm_stat &gt;= perc_95, converted_stat * 3, IF(bbgm_stat &gt;= perc_90, converted_stat * 2, IF(bbgm_stat &gt;= perc_85, converted_stat * 1.5, converted_stat)))))</f>
        <v/>
      </c>
      <c r="W780" s="30" t="str">
        <f t="array" ref="W780">IF($A780="", "", LET(bbgm_stat, INDEX(Players!$A779:$P779, MATCH(W$2, Players!$A$1:$P$1, 0)), perc_75, VLOOKUP(W$2, Percentiles!$A$45:$I$59, 6, FALSE), perc_90, VLOOKUP(W$2, Percentiles!$A$45:$I$59, 7, FALSE), perc_95, VLOOKUP(W$2, Percentiles!$A$45:$I$59, 8, FALSE), perc_85, perc_75 + (perc_90 - perc_75) * (2/3), converted_stat, '2K_Ratings'!W780, IF(bbgm_stat &gt;= perc_95, converted_stat * 3, IF(bbgm_stat &gt;= perc_90, converted_stat * 2, IF(bbgm_stat &gt;= perc_85, converted_stat * 1.5, converted_stat)))))</f>
        <v/>
      </c>
    </row>
    <row r="781">
      <c r="A781" s="30"/>
      <c r="B781" s="30" t="str">
        <f t="array" ref="B781">IF($A781="", "", LET(bbgm_stat, INDEX(Players!$A780:$P780, MATCH(B$2, Players!$A$1:$P$1, 0)), perc_75, VLOOKUP(B$2, Percentiles!$A$45:$I$59, 6, FALSE), perc_90, VLOOKUP(B$2, Percentiles!$A$45:$I$59, 7, FALSE), perc_95, VLOOKUP(B$2, Percentiles!$A$45:$I$59, 8, FALSE), perc_85, perc_75 + (perc_90 - perc_75) * (2/3), converted_stat, '2K_Ratings'!B781, IF(bbgm_stat &gt;= perc_95, converted_stat * 3, IF(bbgm_stat &gt;= perc_90, converted_stat * 2, IF(bbgm_stat &gt;= perc_85, converted_stat * 1.5, converted_stat)))))</f>
        <v/>
      </c>
      <c r="C781" s="30" t="str">
        <f t="array" ref="C781">IF($A781="", "", LET(bbgm_stat, INDEX(Players!$A780:$P780, MATCH(C$2, Players!$A$1:$P$1, 0)), perc_75, VLOOKUP(C$2, Percentiles!$A$45:$I$59, 6, FALSE), perc_90, VLOOKUP(C$2, Percentiles!$A$45:$I$59, 7, FALSE), perc_95, VLOOKUP(C$2, Percentiles!$A$45:$I$59, 8, FALSE), perc_85, perc_75 + (perc_90 - perc_75) * (2/3), converted_stat, '2K_Ratings'!C781, IF(bbgm_stat &gt;= perc_95, converted_stat * 3, IF(bbgm_stat &gt;= perc_90, converted_stat * 2, IF(bbgm_stat &gt;= perc_85, converted_stat * 1.5, converted_stat)))))</f>
        <v/>
      </c>
      <c r="D781" s="30" t="str">
        <f t="array" ref="D781">IF($A781="", "", LET(bbgm_stat, INDEX(Players!$A780:$P780, MATCH(D$2, Players!$A$1:$P$1, 0)), perc_75, VLOOKUP(D$2, Percentiles!$A$45:$I$59, 6, FALSE), perc_90, VLOOKUP(D$2, Percentiles!$A$45:$I$59, 7, FALSE), perc_95, VLOOKUP(D$2, Percentiles!$A$45:$I$59, 8, FALSE), perc_85, perc_75 + (perc_90 - perc_75) * (2/3), converted_stat, '2K_Ratings'!D781, IF(bbgm_stat &gt;= perc_95, converted_stat * 3, IF(bbgm_stat &gt;= perc_90, converted_stat * 2, IF(bbgm_stat &gt;= perc_85, converted_stat * 1.5, converted_stat)))))</f>
        <v/>
      </c>
      <c r="E781" s="30" t="str">
        <f t="array" ref="E781">IF($A781="", "", LET(bbgm_stat, INDEX(Players!$A780:$P780, MATCH(E$2, Players!$A$1:$P$1, 0)), perc_75, VLOOKUP(E$2, Percentiles!$A$45:$I$59, 6, FALSE), perc_90, VLOOKUP(E$2, Percentiles!$A$45:$I$59, 7, FALSE), perc_95, VLOOKUP(E$2, Percentiles!$A$45:$I$59, 8, FALSE), perc_85, perc_75 + (perc_90 - perc_75) * (2/3), converted_stat, '2K_Ratings'!E781, IF(bbgm_stat &gt;= perc_95, converted_stat * 3, IF(bbgm_stat &gt;= perc_90, converted_stat * 2, IF(bbgm_stat &gt;= perc_85, converted_stat * 1.5, converted_stat)))))</f>
        <v/>
      </c>
      <c r="F781" s="30" t="str">
        <f t="array" ref="F781">IF($A781="", "", LET(bbgm_stat, INDEX(Players!$A780:$P780, MATCH(F$2, Players!$A$1:$P$1, 0)), perc_75, VLOOKUP(F$2, Percentiles!$A$45:$I$59, 6, FALSE), perc_90, VLOOKUP(F$2, Percentiles!$A$45:$I$59, 7, FALSE), perc_95, VLOOKUP(F$2, Percentiles!$A$45:$I$59, 8, FALSE), perc_85, perc_75 + (perc_90 - perc_75) * (2/3), converted_stat, '2K_Ratings'!F781, IF(bbgm_stat &gt;= perc_95, converted_stat * 3, IF(bbgm_stat &gt;= perc_90, converted_stat * 2, IF(bbgm_stat &gt;= perc_85, converted_stat * 1.5, converted_stat)))))</f>
        <v/>
      </c>
      <c r="G781" s="30" t="str">
        <f t="array" ref="G781">IF($A781="", "", LET(bbgm_stat, INDEX(Players!$A780:$P780, MATCH(G$2, Players!$A$1:$P$1, 0)), perc_75, VLOOKUP(G$2, Percentiles!$A$45:$I$59, 6, FALSE), perc_90, VLOOKUP(G$2, Percentiles!$A$45:$I$59, 7, FALSE), perc_95, VLOOKUP(G$2, Percentiles!$A$45:$I$59, 8, FALSE), perc_85, perc_75 + (perc_90 - perc_75) * (2/3), converted_stat, '2K_Ratings'!G781, IF(bbgm_stat &gt;= perc_95, converted_stat * 3, IF(bbgm_stat &gt;= perc_90, converted_stat * 2, IF(bbgm_stat &gt;= perc_85, converted_stat * 1.5, converted_stat)))))</f>
        <v/>
      </c>
      <c r="H781" s="30" t="str">
        <f t="array" ref="H781">IF($A781="", "", LET(bbgm_stat, INDEX(Players!$A780:$P780, MATCH(H$2, Players!$A$1:$P$1, 0)), perc_75, VLOOKUP(H$2, Percentiles!$A$45:$I$59, 6, FALSE), perc_90, VLOOKUP(H$2, Percentiles!$A$45:$I$59, 7, FALSE), perc_95, VLOOKUP(H$2, Percentiles!$A$45:$I$59, 8, FALSE), perc_85, perc_75 + (perc_90 - perc_75) * (2/3), converted_stat, '2K_Ratings'!H781, IF(bbgm_stat &gt;= perc_95, converted_stat * 3, IF(bbgm_stat &gt;= perc_90, converted_stat * 2, IF(bbgm_stat &gt;= perc_85, converted_stat * 1.5, converted_stat)))))</f>
        <v/>
      </c>
      <c r="I781" s="30" t="str">
        <f t="array" ref="I781">IF($A781="", "", LET(bbgm_stat, INDEX(Players!$A780:$P780, MATCH(I$2, Players!$A$1:$P$1, 0)), perc_75, VLOOKUP(I$2, Percentiles!$A$45:$I$59, 6, FALSE), perc_90, VLOOKUP(I$2, Percentiles!$A$45:$I$59, 7, FALSE), perc_95, VLOOKUP(I$2, Percentiles!$A$45:$I$59, 8, FALSE), perc_85, perc_75 + (perc_90 - perc_75) * (2/3), converted_stat, '2K_Ratings'!I781, IF(bbgm_stat &gt;= perc_95, converted_stat * 3, IF(bbgm_stat &gt;= perc_90, converted_stat * 2, IF(bbgm_stat &gt;= perc_85, converted_stat * 1.5, converted_stat)))))</f>
        <v/>
      </c>
      <c r="J781" s="30" t="str">
        <f t="array" ref="J781">IF($A781="", "", LET(bbgm_stat, INDEX(Players!$A780:$P780, MATCH(J$2, Players!$A$1:$P$1, 0)), perc_75, VLOOKUP(J$2, Percentiles!$A$45:$I$59, 6, FALSE), perc_90, VLOOKUP(J$2, Percentiles!$A$45:$I$59, 7, FALSE), perc_95, VLOOKUP(J$2, Percentiles!$A$45:$I$59, 8, FALSE), perc_85, perc_75 + (perc_90 - perc_75) * (2/3), converted_stat, '2K_Ratings'!J781, IF(bbgm_stat &gt;= perc_95, converted_stat * 3, IF(bbgm_stat &gt;= perc_90, converted_stat * 2, IF(bbgm_stat &gt;= perc_85, converted_stat * 1.5, converted_stat)))))</f>
        <v/>
      </c>
      <c r="K781" s="30" t="str">
        <f t="array" ref="K781">IF($A781="", "", LET(bbgm_stat, INDEX(Players!$A780:$P780, MATCH(K$2, Players!$A$1:$P$1, 0)), perc_75, VLOOKUP(K$2, Percentiles!$A$45:$I$59, 6, FALSE), perc_90, VLOOKUP(K$2, Percentiles!$A$45:$I$59, 7, FALSE), perc_95, VLOOKUP(K$2, Percentiles!$A$45:$I$59, 8, FALSE), perc_85, perc_75 + (perc_90 - perc_75) * (2/3), converted_stat, '2K_Ratings'!K781, IF(bbgm_stat &gt;= perc_95, converted_stat * 3, IF(bbgm_stat &gt;= perc_90, converted_stat * 2, IF(bbgm_stat &gt;= perc_85, converted_stat * 1.5, converted_stat)))))</f>
        <v/>
      </c>
      <c r="L781" s="30" t="str">
        <f t="array" ref="L781">IF($A781="", "", LET(bbgm_stat, INDEX(Players!$A780:$P780, MATCH(L$2, Players!$A$1:$P$1, 0)), perc_75, VLOOKUP(L$2, Percentiles!$A$45:$I$59, 6, FALSE), perc_90, VLOOKUP(L$2, Percentiles!$A$45:$I$59, 7, FALSE), perc_95, VLOOKUP(L$2, Percentiles!$A$45:$I$59, 8, FALSE), perc_85, perc_75 + (perc_90 - perc_75) * (2/3), converted_stat, '2K_Ratings'!L781, IF(bbgm_stat &gt;= perc_95, converted_stat * 3, IF(bbgm_stat &gt;= perc_90, converted_stat * 2, IF(bbgm_stat &gt;= perc_85, converted_stat * 1.5, converted_stat)))))</f>
        <v/>
      </c>
      <c r="M781" s="30" t="str">
        <f t="array" ref="M781">IF($A781="", "", LET(bbgm_stat, INDEX(Players!$A780:$P780, MATCH(M$2, Players!$A$1:$P$1, 0)), perc_75, VLOOKUP(M$2, Percentiles!$A$45:$I$59, 6, FALSE), perc_90, VLOOKUP(M$2, Percentiles!$A$45:$I$59, 7, FALSE), perc_95, VLOOKUP(M$2, Percentiles!$A$45:$I$59, 8, FALSE), perc_85, perc_75 + (perc_90 - perc_75) * (2/3), converted_stat, '2K_Ratings'!M781, IF(bbgm_stat &gt;= perc_95, converted_stat * 3, IF(bbgm_stat &gt;= perc_90, converted_stat * 2, IF(bbgm_stat &gt;= perc_85, converted_stat * 1.5, converted_stat)))))</f>
        <v/>
      </c>
      <c r="N781" s="30" t="str">
        <f t="array" ref="N781">IF($A781="", "", LET(bbgm_stat, INDEX(Players!$A780:$P780, MATCH(N$2, Players!$A$1:$P$1, 0)), perc_75, VLOOKUP(N$2, Percentiles!$A$45:$I$59, 6, FALSE), perc_90, VLOOKUP(N$2, Percentiles!$A$45:$I$59, 7, FALSE), perc_95, VLOOKUP(N$2, Percentiles!$A$45:$I$59, 8, FALSE), perc_85, perc_75 + (perc_90 - perc_75) * (2/3), converted_stat, '2K_Ratings'!N781, IF(bbgm_stat &gt;= perc_95, converted_stat * 3, IF(bbgm_stat &gt;= perc_90, converted_stat * 2, IF(bbgm_stat &gt;= perc_85, converted_stat * 1.5, converted_stat)))))</f>
        <v/>
      </c>
      <c r="O781" s="30" t="str">
        <f t="array" ref="O781">IF($A781="", "", LET(bbgm_stat, INDEX(Players!$A780:$P780, MATCH(O$2, Players!$A$1:$P$1, 0)), perc_75, VLOOKUP(O$2, Percentiles!$A$45:$I$59, 6, FALSE), perc_90, VLOOKUP(O$2, Percentiles!$A$45:$I$59, 7, FALSE), perc_95, VLOOKUP(O$2, Percentiles!$A$45:$I$59, 8, FALSE), perc_85, perc_75 + (perc_90 - perc_75) * (2/3), converted_stat, '2K_Ratings'!O781, IF(bbgm_stat &gt;= perc_95, converted_stat * 3, IF(bbgm_stat &gt;= perc_90, converted_stat * 2, IF(bbgm_stat &gt;= perc_85, converted_stat * 1.5, converted_stat)))))</f>
        <v/>
      </c>
      <c r="P781" s="30" t="str">
        <f t="array" ref="P781">IF($A781="", "", LET(bbgm_stat, INDEX(Players!$A780:$P780, MATCH(P$2, Players!$A$1:$P$1, 0)), perc_75, VLOOKUP(P$2, Percentiles!$A$45:$I$59, 6, FALSE), perc_90, VLOOKUP(P$2, Percentiles!$A$45:$I$59, 7, FALSE), perc_95, VLOOKUP(P$2, Percentiles!$A$45:$I$59, 8, FALSE), perc_85, perc_75 + (perc_90 - perc_75) * (2/3), converted_stat, '2K_Ratings'!P781, IF(bbgm_stat &gt;= perc_95, converted_stat * 3, IF(bbgm_stat &gt;= perc_90, converted_stat * 2, IF(bbgm_stat &gt;= perc_85, converted_stat * 1.5, converted_stat)))))</f>
        <v/>
      </c>
      <c r="Q781" s="30" t="str">
        <f t="array" ref="Q781">IF($A781="", "", LET(bbgm_stat, INDEX(Players!$A780:$P780, MATCH(Q$2, Players!$A$1:$P$1, 0)), perc_75, VLOOKUP(Q$2, Percentiles!$A$45:$I$59, 6, FALSE), perc_90, VLOOKUP(Q$2, Percentiles!$A$45:$I$59, 7, FALSE), perc_95, VLOOKUP(Q$2, Percentiles!$A$45:$I$59, 8, FALSE), perc_85, perc_75 + (perc_90 - perc_75) * (2/3), converted_stat, '2K_Ratings'!Q781, IF(bbgm_stat &gt;= perc_95, converted_stat * 3, IF(bbgm_stat &gt;= perc_90, converted_stat * 2, IF(bbgm_stat &gt;= perc_85, converted_stat * 1.5, converted_stat)))))</f>
        <v/>
      </c>
      <c r="R781" s="30" t="str">
        <f t="array" ref="R781">IF($A781="", "", LET(bbgm_stat, INDEX(Players!$A780:$P780, MATCH(R$2, Players!$A$1:$P$1, 0)), perc_75, VLOOKUP(R$2, Percentiles!$A$45:$I$59, 6, FALSE), perc_90, VLOOKUP(R$2, Percentiles!$A$45:$I$59, 7, FALSE), perc_95, VLOOKUP(R$2, Percentiles!$A$45:$I$59, 8, FALSE), perc_85, perc_75 + (perc_90 - perc_75) * (2/3), converted_stat, '2K_Ratings'!R781, IF(bbgm_stat &gt;= perc_95, converted_stat * 3, IF(bbgm_stat &gt;= perc_90, converted_stat * 2, IF(bbgm_stat &gt;= perc_85, converted_stat * 1.5, converted_stat)))))</f>
        <v/>
      </c>
      <c r="S781" s="30" t="str">
        <f t="array" ref="S781">IF($A781="", "", LET(bbgm_stat, INDEX(Players!$A780:$P780, MATCH(S$2, Players!$A$1:$P$1, 0)), perc_75, VLOOKUP(S$2, Percentiles!$A$45:$I$59, 6, FALSE), perc_90, VLOOKUP(S$2, Percentiles!$A$45:$I$59, 7, FALSE), perc_95, VLOOKUP(S$2, Percentiles!$A$45:$I$59, 8, FALSE), perc_85, perc_75 + (perc_90 - perc_75) * (2/3), converted_stat, '2K_Ratings'!S781, IF(bbgm_stat &gt;= perc_95, converted_stat * 3, IF(bbgm_stat &gt;= perc_90, converted_stat * 2, IF(bbgm_stat &gt;= perc_85, converted_stat * 1.5, converted_stat)))))</f>
        <v/>
      </c>
      <c r="T781" s="30" t="str">
        <f t="array" ref="T781">IF($A781="", "", LET(bbgm_stat, INDEX(Players!$A780:$P780, MATCH(T$2, Players!$A$1:$P$1, 0)), perc_75, VLOOKUP(T$2, Percentiles!$A$45:$I$59, 6, FALSE), perc_90, VLOOKUP(T$2, Percentiles!$A$45:$I$59, 7, FALSE), perc_95, VLOOKUP(T$2, Percentiles!$A$45:$I$59, 8, FALSE), perc_85, perc_75 + (perc_90 - perc_75) * (2/3), converted_stat, '2K_Ratings'!T781, IF(bbgm_stat &gt;= perc_95, converted_stat * 3, IF(bbgm_stat &gt;= perc_90, converted_stat * 2, IF(bbgm_stat &gt;= perc_85, converted_stat * 1.5, converted_stat)))))</f>
        <v/>
      </c>
      <c r="U781" s="30" t="str">
        <f t="array" ref="U781">IF($A781="", "", LET(bbgm_stat, INDEX(Players!$A780:$P780, MATCH(U$2, Players!$A$1:$P$1, 0)), perc_75, VLOOKUP(U$2, Percentiles!$A$45:$I$59, 6, FALSE), perc_90, VLOOKUP(U$2, Percentiles!$A$45:$I$59, 7, FALSE), perc_95, VLOOKUP(U$2, Percentiles!$A$45:$I$59, 8, FALSE), perc_85, perc_75 + (perc_90 - perc_75) * (2/3), converted_stat, '2K_Ratings'!U781, IF(bbgm_stat &gt;= perc_95, converted_stat * 3, IF(bbgm_stat &gt;= perc_90, converted_stat * 2, IF(bbgm_stat &gt;= perc_85, converted_stat * 1.5, converted_stat)))))</f>
        <v/>
      </c>
      <c r="V781" s="30" t="str">
        <f t="array" ref="V781">IF($A781="", "", LET(bbgm_stat, INDEX(Players!$A780:$P780, MATCH(V$2, Players!$A$1:$P$1, 0)), perc_75, VLOOKUP(V$2, Percentiles!$A$45:$I$59, 6, FALSE), perc_90, VLOOKUP(V$2, Percentiles!$A$45:$I$59, 7, FALSE), perc_95, VLOOKUP(V$2, Percentiles!$A$45:$I$59, 8, FALSE), perc_85, perc_75 + (perc_90 - perc_75) * (2/3), converted_stat, '2K_Ratings'!V781, IF(bbgm_stat &gt;= perc_95, converted_stat * 3, IF(bbgm_stat &gt;= perc_90, converted_stat * 2, IF(bbgm_stat &gt;= perc_85, converted_stat * 1.5, converted_stat)))))</f>
        <v/>
      </c>
      <c r="W781" s="30" t="str">
        <f t="array" ref="W781">IF($A781="", "", LET(bbgm_stat, INDEX(Players!$A780:$P780, MATCH(W$2, Players!$A$1:$P$1, 0)), perc_75, VLOOKUP(W$2, Percentiles!$A$45:$I$59, 6, FALSE), perc_90, VLOOKUP(W$2, Percentiles!$A$45:$I$59, 7, FALSE), perc_95, VLOOKUP(W$2, Percentiles!$A$45:$I$59, 8, FALSE), perc_85, perc_75 + (perc_90 - perc_75) * (2/3), converted_stat, '2K_Ratings'!W781, IF(bbgm_stat &gt;= perc_95, converted_stat * 3, IF(bbgm_stat &gt;= perc_90, converted_stat * 2, IF(bbgm_stat &gt;= perc_85, converted_stat * 1.5, converted_stat)))))</f>
        <v/>
      </c>
    </row>
    <row r="782">
      <c r="A782" s="30"/>
      <c r="B782" s="30" t="str">
        <f t="array" ref="B782">IF($A782="", "", LET(bbgm_stat, INDEX(Players!$A781:$P781, MATCH(B$2, Players!$A$1:$P$1, 0)), perc_75, VLOOKUP(B$2, Percentiles!$A$45:$I$59, 6, FALSE), perc_90, VLOOKUP(B$2, Percentiles!$A$45:$I$59, 7, FALSE), perc_95, VLOOKUP(B$2, Percentiles!$A$45:$I$59, 8, FALSE), perc_85, perc_75 + (perc_90 - perc_75) * (2/3), converted_stat, '2K_Ratings'!B782, IF(bbgm_stat &gt;= perc_95, converted_stat * 3, IF(bbgm_stat &gt;= perc_90, converted_stat * 2, IF(bbgm_stat &gt;= perc_85, converted_stat * 1.5, converted_stat)))))</f>
        <v/>
      </c>
      <c r="C782" s="30" t="str">
        <f t="array" ref="C782">IF($A782="", "", LET(bbgm_stat, INDEX(Players!$A781:$P781, MATCH(C$2, Players!$A$1:$P$1, 0)), perc_75, VLOOKUP(C$2, Percentiles!$A$45:$I$59, 6, FALSE), perc_90, VLOOKUP(C$2, Percentiles!$A$45:$I$59, 7, FALSE), perc_95, VLOOKUP(C$2, Percentiles!$A$45:$I$59, 8, FALSE), perc_85, perc_75 + (perc_90 - perc_75) * (2/3), converted_stat, '2K_Ratings'!C782, IF(bbgm_stat &gt;= perc_95, converted_stat * 3, IF(bbgm_stat &gt;= perc_90, converted_stat * 2, IF(bbgm_stat &gt;= perc_85, converted_stat * 1.5, converted_stat)))))</f>
        <v/>
      </c>
      <c r="D782" s="30" t="str">
        <f t="array" ref="D782">IF($A782="", "", LET(bbgm_stat, INDEX(Players!$A781:$P781, MATCH(D$2, Players!$A$1:$P$1, 0)), perc_75, VLOOKUP(D$2, Percentiles!$A$45:$I$59, 6, FALSE), perc_90, VLOOKUP(D$2, Percentiles!$A$45:$I$59, 7, FALSE), perc_95, VLOOKUP(D$2, Percentiles!$A$45:$I$59, 8, FALSE), perc_85, perc_75 + (perc_90 - perc_75) * (2/3), converted_stat, '2K_Ratings'!D782, IF(bbgm_stat &gt;= perc_95, converted_stat * 3, IF(bbgm_stat &gt;= perc_90, converted_stat * 2, IF(bbgm_stat &gt;= perc_85, converted_stat * 1.5, converted_stat)))))</f>
        <v/>
      </c>
      <c r="E782" s="30" t="str">
        <f t="array" ref="E782">IF($A782="", "", LET(bbgm_stat, INDEX(Players!$A781:$P781, MATCH(E$2, Players!$A$1:$P$1, 0)), perc_75, VLOOKUP(E$2, Percentiles!$A$45:$I$59, 6, FALSE), perc_90, VLOOKUP(E$2, Percentiles!$A$45:$I$59, 7, FALSE), perc_95, VLOOKUP(E$2, Percentiles!$A$45:$I$59, 8, FALSE), perc_85, perc_75 + (perc_90 - perc_75) * (2/3), converted_stat, '2K_Ratings'!E782, IF(bbgm_stat &gt;= perc_95, converted_stat * 3, IF(bbgm_stat &gt;= perc_90, converted_stat * 2, IF(bbgm_stat &gt;= perc_85, converted_stat * 1.5, converted_stat)))))</f>
        <v/>
      </c>
      <c r="F782" s="30" t="str">
        <f t="array" ref="F782">IF($A782="", "", LET(bbgm_stat, INDEX(Players!$A781:$P781, MATCH(F$2, Players!$A$1:$P$1, 0)), perc_75, VLOOKUP(F$2, Percentiles!$A$45:$I$59, 6, FALSE), perc_90, VLOOKUP(F$2, Percentiles!$A$45:$I$59, 7, FALSE), perc_95, VLOOKUP(F$2, Percentiles!$A$45:$I$59, 8, FALSE), perc_85, perc_75 + (perc_90 - perc_75) * (2/3), converted_stat, '2K_Ratings'!F782, IF(bbgm_stat &gt;= perc_95, converted_stat * 3, IF(bbgm_stat &gt;= perc_90, converted_stat * 2, IF(bbgm_stat &gt;= perc_85, converted_stat * 1.5, converted_stat)))))</f>
        <v/>
      </c>
      <c r="G782" s="30" t="str">
        <f t="array" ref="G782">IF($A782="", "", LET(bbgm_stat, INDEX(Players!$A781:$P781, MATCH(G$2, Players!$A$1:$P$1, 0)), perc_75, VLOOKUP(G$2, Percentiles!$A$45:$I$59, 6, FALSE), perc_90, VLOOKUP(G$2, Percentiles!$A$45:$I$59, 7, FALSE), perc_95, VLOOKUP(G$2, Percentiles!$A$45:$I$59, 8, FALSE), perc_85, perc_75 + (perc_90 - perc_75) * (2/3), converted_stat, '2K_Ratings'!G782, IF(bbgm_stat &gt;= perc_95, converted_stat * 3, IF(bbgm_stat &gt;= perc_90, converted_stat * 2, IF(bbgm_stat &gt;= perc_85, converted_stat * 1.5, converted_stat)))))</f>
        <v/>
      </c>
      <c r="H782" s="30" t="str">
        <f t="array" ref="H782">IF($A782="", "", LET(bbgm_stat, INDEX(Players!$A781:$P781, MATCH(H$2, Players!$A$1:$P$1, 0)), perc_75, VLOOKUP(H$2, Percentiles!$A$45:$I$59, 6, FALSE), perc_90, VLOOKUP(H$2, Percentiles!$A$45:$I$59, 7, FALSE), perc_95, VLOOKUP(H$2, Percentiles!$A$45:$I$59, 8, FALSE), perc_85, perc_75 + (perc_90 - perc_75) * (2/3), converted_stat, '2K_Ratings'!H782, IF(bbgm_stat &gt;= perc_95, converted_stat * 3, IF(bbgm_stat &gt;= perc_90, converted_stat * 2, IF(bbgm_stat &gt;= perc_85, converted_stat * 1.5, converted_stat)))))</f>
        <v/>
      </c>
      <c r="I782" s="30" t="str">
        <f t="array" ref="I782">IF($A782="", "", LET(bbgm_stat, INDEX(Players!$A781:$P781, MATCH(I$2, Players!$A$1:$P$1, 0)), perc_75, VLOOKUP(I$2, Percentiles!$A$45:$I$59, 6, FALSE), perc_90, VLOOKUP(I$2, Percentiles!$A$45:$I$59, 7, FALSE), perc_95, VLOOKUP(I$2, Percentiles!$A$45:$I$59, 8, FALSE), perc_85, perc_75 + (perc_90 - perc_75) * (2/3), converted_stat, '2K_Ratings'!I782, IF(bbgm_stat &gt;= perc_95, converted_stat * 3, IF(bbgm_stat &gt;= perc_90, converted_stat * 2, IF(bbgm_stat &gt;= perc_85, converted_stat * 1.5, converted_stat)))))</f>
        <v/>
      </c>
      <c r="J782" s="30" t="str">
        <f t="array" ref="J782">IF($A782="", "", LET(bbgm_stat, INDEX(Players!$A781:$P781, MATCH(J$2, Players!$A$1:$P$1, 0)), perc_75, VLOOKUP(J$2, Percentiles!$A$45:$I$59, 6, FALSE), perc_90, VLOOKUP(J$2, Percentiles!$A$45:$I$59, 7, FALSE), perc_95, VLOOKUP(J$2, Percentiles!$A$45:$I$59, 8, FALSE), perc_85, perc_75 + (perc_90 - perc_75) * (2/3), converted_stat, '2K_Ratings'!J782, IF(bbgm_stat &gt;= perc_95, converted_stat * 3, IF(bbgm_stat &gt;= perc_90, converted_stat * 2, IF(bbgm_stat &gt;= perc_85, converted_stat * 1.5, converted_stat)))))</f>
        <v/>
      </c>
      <c r="K782" s="30" t="str">
        <f t="array" ref="K782">IF($A782="", "", LET(bbgm_stat, INDEX(Players!$A781:$P781, MATCH(K$2, Players!$A$1:$P$1, 0)), perc_75, VLOOKUP(K$2, Percentiles!$A$45:$I$59, 6, FALSE), perc_90, VLOOKUP(K$2, Percentiles!$A$45:$I$59, 7, FALSE), perc_95, VLOOKUP(K$2, Percentiles!$A$45:$I$59, 8, FALSE), perc_85, perc_75 + (perc_90 - perc_75) * (2/3), converted_stat, '2K_Ratings'!K782, IF(bbgm_stat &gt;= perc_95, converted_stat * 3, IF(bbgm_stat &gt;= perc_90, converted_stat * 2, IF(bbgm_stat &gt;= perc_85, converted_stat * 1.5, converted_stat)))))</f>
        <v/>
      </c>
      <c r="L782" s="30" t="str">
        <f t="array" ref="L782">IF($A782="", "", LET(bbgm_stat, INDEX(Players!$A781:$P781, MATCH(L$2, Players!$A$1:$P$1, 0)), perc_75, VLOOKUP(L$2, Percentiles!$A$45:$I$59, 6, FALSE), perc_90, VLOOKUP(L$2, Percentiles!$A$45:$I$59, 7, FALSE), perc_95, VLOOKUP(L$2, Percentiles!$A$45:$I$59, 8, FALSE), perc_85, perc_75 + (perc_90 - perc_75) * (2/3), converted_stat, '2K_Ratings'!L782, IF(bbgm_stat &gt;= perc_95, converted_stat * 3, IF(bbgm_stat &gt;= perc_90, converted_stat * 2, IF(bbgm_stat &gt;= perc_85, converted_stat * 1.5, converted_stat)))))</f>
        <v/>
      </c>
      <c r="M782" s="30" t="str">
        <f t="array" ref="M782">IF($A782="", "", LET(bbgm_stat, INDEX(Players!$A781:$P781, MATCH(M$2, Players!$A$1:$P$1, 0)), perc_75, VLOOKUP(M$2, Percentiles!$A$45:$I$59, 6, FALSE), perc_90, VLOOKUP(M$2, Percentiles!$A$45:$I$59, 7, FALSE), perc_95, VLOOKUP(M$2, Percentiles!$A$45:$I$59, 8, FALSE), perc_85, perc_75 + (perc_90 - perc_75) * (2/3), converted_stat, '2K_Ratings'!M782, IF(bbgm_stat &gt;= perc_95, converted_stat * 3, IF(bbgm_stat &gt;= perc_90, converted_stat * 2, IF(bbgm_stat &gt;= perc_85, converted_stat * 1.5, converted_stat)))))</f>
        <v/>
      </c>
      <c r="N782" s="30" t="str">
        <f t="array" ref="N782">IF($A782="", "", LET(bbgm_stat, INDEX(Players!$A781:$P781, MATCH(N$2, Players!$A$1:$P$1, 0)), perc_75, VLOOKUP(N$2, Percentiles!$A$45:$I$59, 6, FALSE), perc_90, VLOOKUP(N$2, Percentiles!$A$45:$I$59, 7, FALSE), perc_95, VLOOKUP(N$2, Percentiles!$A$45:$I$59, 8, FALSE), perc_85, perc_75 + (perc_90 - perc_75) * (2/3), converted_stat, '2K_Ratings'!N782, IF(bbgm_stat &gt;= perc_95, converted_stat * 3, IF(bbgm_stat &gt;= perc_90, converted_stat * 2, IF(bbgm_stat &gt;= perc_85, converted_stat * 1.5, converted_stat)))))</f>
        <v/>
      </c>
      <c r="O782" s="30" t="str">
        <f t="array" ref="O782">IF($A782="", "", LET(bbgm_stat, INDEX(Players!$A781:$P781, MATCH(O$2, Players!$A$1:$P$1, 0)), perc_75, VLOOKUP(O$2, Percentiles!$A$45:$I$59, 6, FALSE), perc_90, VLOOKUP(O$2, Percentiles!$A$45:$I$59, 7, FALSE), perc_95, VLOOKUP(O$2, Percentiles!$A$45:$I$59, 8, FALSE), perc_85, perc_75 + (perc_90 - perc_75) * (2/3), converted_stat, '2K_Ratings'!O782, IF(bbgm_stat &gt;= perc_95, converted_stat * 3, IF(bbgm_stat &gt;= perc_90, converted_stat * 2, IF(bbgm_stat &gt;= perc_85, converted_stat * 1.5, converted_stat)))))</f>
        <v/>
      </c>
      <c r="P782" s="30" t="str">
        <f t="array" ref="P782">IF($A782="", "", LET(bbgm_stat, INDEX(Players!$A781:$P781, MATCH(P$2, Players!$A$1:$P$1, 0)), perc_75, VLOOKUP(P$2, Percentiles!$A$45:$I$59, 6, FALSE), perc_90, VLOOKUP(P$2, Percentiles!$A$45:$I$59, 7, FALSE), perc_95, VLOOKUP(P$2, Percentiles!$A$45:$I$59, 8, FALSE), perc_85, perc_75 + (perc_90 - perc_75) * (2/3), converted_stat, '2K_Ratings'!P782, IF(bbgm_stat &gt;= perc_95, converted_stat * 3, IF(bbgm_stat &gt;= perc_90, converted_stat * 2, IF(bbgm_stat &gt;= perc_85, converted_stat * 1.5, converted_stat)))))</f>
        <v/>
      </c>
      <c r="Q782" s="30" t="str">
        <f t="array" ref="Q782">IF($A782="", "", LET(bbgm_stat, INDEX(Players!$A781:$P781, MATCH(Q$2, Players!$A$1:$P$1, 0)), perc_75, VLOOKUP(Q$2, Percentiles!$A$45:$I$59, 6, FALSE), perc_90, VLOOKUP(Q$2, Percentiles!$A$45:$I$59, 7, FALSE), perc_95, VLOOKUP(Q$2, Percentiles!$A$45:$I$59, 8, FALSE), perc_85, perc_75 + (perc_90 - perc_75) * (2/3), converted_stat, '2K_Ratings'!Q782, IF(bbgm_stat &gt;= perc_95, converted_stat * 3, IF(bbgm_stat &gt;= perc_90, converted_stat * 2, IF(bbgm_stat &gt;= perc_85, converted_stat * 1.5, converted_stat)))))</f>
        <v/>
      </c>
      <c r="R782" s="30" t="str">
        <f t="array" ref="R782">IF($A782="", "", LET(bbgm_stat, INDEX(Players!$A781:$P781, MATCH(R$2, Players!$A$1:$P$1, 0)), perc_75, VLOOKUP(R$2, Percentiles!$A$45:$I$59, 6, FALSE), perc_90, VLOOKUP(R$2, Percentiles!$A$45:$I$59, 7, FALSE), perc_95, VLOOKUP(R$2, Percentiles!$A$45:$I$59, 8, FALSE), perc_85, perc_75 + (perc_90 - perc_75) * (2/3), converted_stat, '2K_Ratings'!R782, IF(bbgm_stat &gt;= perc_95, converted_stat * 3, IF(bbgm_stat &gt;= perc_90, converted_stat * 2, IF(bbgm_stat &gt;= perc_85, converted_stat * 1.5, converted_stat)))))</f>
        <v/>
      </c>
      <c r="S782" s="30" t="str">
        <f t="array" ref="S782">IF($A782="", "", LET(bbgm_stat, INDEX(Players!$A781:$P781, MATCH(S$2, Players!$A$1:$P$1, 0)), perc_75, VLOOKUP(S$2, Percentiles!$A$45:$I$59, 6, FALSE), perc_90, VLOOKUP(S$2, Percentiles!$A$45:$I$59, 7, FALSE), perc_95, VLOOKUP(S$2, Percentiles!$A$45:$I$59, 8, FALSE), perc_85, perc_75 + (perc_90 - perc_75) * (2/3), converted_stat, '2K_Ratings'!S782, IF(bbgm_stat &gt;= perc_95, converted_stat * 3, IF(bbgm_stat &gt;= perc_90, converted_stat * 2, IF(bbgm_stat &gt;= perc_85, converted_stat * 1.5, converted_stat)))))</f>
        <v/>
      </c>
      <c r="T782" s="30" t="str">
        <f t="array" ref="T782">IF($A782="", "", LET(bbgm_stat, INDEX(Players!$A781:$P781, MATCH(T$2, Players!$A$1:$P$1, 0)), perc_75, VLOOKUP(T$2, Percentiles!$A$45:$I$59, 6, FALSE), perc_90, VLOOKUP(T$2, Percentiles!$A$45:$I$59, 7, FALSE), perc_95, VLOOKUP(T$2, Percentiles!$A$45:$I$59, 8, FALSE), perc_85, perc_75 + (perc_90 - perc_75) * (2/3), converted_stat, '2K_Ratings'!T782, IF(bbgm_stat &gt;= perc_95, converted_stat * 3, IF(bbgm_stat &gt;= perc_90, converted_stat * 2, IF(bbgm_stat &gt;= perc_85, converted_stat * 1.5, converted_stat)))))</f>
        <v/>
      </c>
      <c r="U782" s="30" t="str">
        <f t="array" ref="U782">IF($A782="", "", LET(bbgm_stat, INDEX(Players!$A781:$P781, MATCH(U$2, Players!$A$1:$P$1, 0)), perc_75, VLOOKUP(U$2, Percentiles!$A$45:$I$59, 6, FALSE), perc_90, VLOOKUP(U$2, Percentiles!$A$45:$I$59, 7, FALSE), perc_95, VLOOKUP(U$2, Percentiles!$A$45:$I$59, 8, FALSE), perc_85, perc_75 + (perc_90 - perc_75) * (2/3), converted_stat, '2K_Ratings'!U782, IF(bbgm_stat &gt;= perc_95, converted_stat * 3, IF(bbgm_stat &gt;= perc_90, converted_stat * 2, IF(bbgm_stat &gt;= perc_85, converted_stat * 1.5, converted_stat)))))</f>
        <v/>
      </c>
      <c r="V782" s="30" t="str">
        <f t="array" ref="V782">IF($A782="", "", LET(bbgm_stat, INDEX(Players!$A781:$P781, MATCH(V$2, Players!$A$1:$P$1, 0)), perc_75, VLOOKUP(V$2, Percentiles!$A$45:$I$59, 6, FALSE), perc_90, VLOOKUP(V$2, Percentiles!$A$45:$I$59, 7, FALSE), perc_95, VLOOKUP(V$2, Percentiles!$A$45:$I$59, 8, FALSE), perc_85, perc_75 + (perc_90 - perc_75) * (2/3), converted_stat, '2K_Ratings'!V782, IF(bbgm_stat &gt;= perc_95, converted_stat * 3, IF(bbgm_stat &gt;= perc_90, converted_stat * 2, IF(bbgm_stat &gt;= perc_85, converted_stat * 1.5, converted_stat)))))</f>
        <v/>
      </c>
      <c r="W782" s="30" t="str">
        <f t="array" ref="W782">IF($A782="", "", LET(bbgm_stat, INDEX(Players!$A781:$P781, MATCH(W$2, Players!$A$1:$P$1, 0)), perc_75, VLOOKUP(W$2, Percentiles!$A$45:$I$59, 6, FALSE), perc_90, VLOOKUP(W$2, Percentiles!$A$45:$I$59, 7, FALSE), perc_95, VLOOKUP(W$2, Percentiles!$A$45:$I$59, 8, FALSE), perc_85, perc_75 + (perc_90 - perc_75) * (2/3), converted_stat, '2K_Ratings'!W782, IF(bbgm_stat &gt;= perc_95, converted_stat * 3, IF(bbgm_stat &gt;= perc_90, converted_stat * 2, IF(bbgm_stat &gt;= perc_85, converted_stat * 1.5, converted_stat)))))</f>
        <v/>
      </c>
    </row>
    <row r="783">
      <c r="A783" s="30"/>
      <c r="B783" s="30" t="str">
        <f t="array" ref="B783">IF($A783="", "", LET(bbgm_stat, INDEX(Players!$A782:$P782, MATCH(B$2, Players!$A$1:$P$1, 0)), perc_75, VLOOKUP(B$2, Percentiles!$A$45:$I$59, 6, FALSE), perc_90, VLOOKUP(B$2, Percentiles!$A$45:$I$59, 7, FALSE), perc_95, VLOOKUP(B$2, Percentiles!$A$45:$I$59, 8, FALSE), perc_85, perc_75 + (perc_90 - perc_75) * (2/3), converted_stat, '2K_Ratings'!B783, IF(bbgm_stat &gt;= perc_95, converted_stat * 3, IF(bbgm_stat &gt;= perc_90, converted_stat * 2, IF(bbgm_stat &gt;= perc_85, converted_stat * 1.5, converted_stat)))))</f>
        <v/>
      </c>
      <c r="C783" s="30" t="str">
        <f t="array" ref="C783">IF($A783="", "", LET(bbgm_stat, INDEX(Players!$A782:$P782, MATCH(C$2, Players!$A$1:$P$1, 0)), perc_75, VLOOKUP(C$2, Percentiles!$A$45:$I$59, 6, FALSE), perc_90, VLOOKUP(C$2, Percentiles!$A$45:$I$59, 7, FALSE), perc_95, VLOOKUP(C$2, Percentiles!$A$45:$I$59, 8, FALSE), perc_85, perc_75 + (perc_90 - perc_75) * (2/3), converted_stat, '2K_Ratings'!C783, IF(bbgm_stat &gt;= perc_95, converted_stat * 3, IF(bbgm_stat &gt;= perc_90, converted_stat * 2, IF(bbgm_stat &gt;= perc_85, converted_stat * 1.5, converted_stat)))))</f>
        <v/>
      </c>
      <c r="D783" s="30" t="str">
        <f t="array" ref="D783">IF($A783="", "", LET(bbgm_stat, INDEX(Players!$A782:$P782, MATCH(D$2, Players!$A$1:$P$1, 0)), perc_75, VLOOKUP(D$2, Percentiles!$A$45:$I$59, 6, FALSE), perc_90, VLOOKUP(D$2, Percentiles!$A$45:$I$59, 7, FALSE), perc_95, VLOOKUP(D$2, Percentiles!$A$45:$I$59, 8, FALSE), perc_85, perc_75 + (perc_90 - perc_75) * (2/3), converted_stat, '2K_Ratings'!D783, IF(bbgm_stat &gt;= perc_95, converted_stat * 3, IF(bbgm_stat &gt;= perc_90, converted_stat * 2, IF(bbgm_stat &gt;= perc_85, converted_stat * 1.5, converted_stat)))))</f>
        <v/>
      </c>
      <c r="E783" s="30" t="str">
        <f t="array" ref="E783">IF($A783="", "", LET(bbgm_stat, INDEX(Players!$A782:$P782, MATCH(E$2, Players!$A$1:$P$1, 0)), perc_75, VLOOKUP(E$2, Percentiles!$A$45:$I$59, 6, FALSE), perc_90, VLOOKUP(E$2, Percentiles!$A$45:$I$59, 7, FALSE), perc_95, VLOOKUP(E$2, Percentiles!$A$45:$I$59, 8, FALSE), perc_85, perc_75 + (perc_90 - perc_75) * (2/3), converted_stat, '2K_Ratings'!E783, IF(bbgm_stat &gt;= perc_95, converted_stat * 3, IF(bbgm_stat &gt;= perc_90, converted_stat * 2, IF(bbgm_stat &gt;= perc_85, converted_stat * 1.5, converted_stat)))))</f>
        <v/>
      </c>
      <c r="F783" s="30" t="str">
        <f t="array" ref="F783">IF($A783="", "", LET(bbgm_stat, INDEX(Players!$A782:$P782, MATCH(F$2, Players!$A$1:$P$1, 0)), perc_75, VLOOKUP(F$2, Percentiles!$A$45:$I$59, 6, FALSE), perc_90, VLOOKUP(F$2, Percentiles!$A$45:$I$59, 7, FALSE), perc_95, VLOOKUP(F$2, Percentiles!$A$45:$I$59, 8, FALSE), perc_85, perc_75 + (perc_90 - perc_75) * (2/3), converted_stat, '2K_Ratings'!F783, IF(bbgm_stat &gt;= perc_95, converted_stat * 3, IF(bbgm_stat &gt;= perc_90, converted_stat * 2, IF(bbgm_stat &gt;= perc_85, converted_stat * 1.5, converted_stat)))))</f>
        <v/>
      </c>
      <c r="G783" s="30" t="str">
        <f t="array" ref="G783">IF($A783="", "", LET(bbgm_stat, INDEX(Players!$A782:$P782, MATCH(G$2, Players!$A$1:$P$1, 0)), perc_75, VLOOKUP(G$2, Percentiles!$A$45:$I$59, 6, FALSE), perc_90, VLOOKUP(G$2, Percentiles!$A$45:$I$59, 7, FALSE), perc_95, VLOOKUP(G$2, Percentiles!$A$45:$I$59, 8, FALSE), perc_85, perc_75 + (perc_90 - perc_75) * (2/3), converted_stat, '2K_Ratings'!G783, IF(bbgm_stat &gt;= perc_95, converted_stat * 3, IF(bbgm_stat &gt;= perc_90, converted_stat * 2, IF(bbgm_stat &gt;= perc_85, converted_stat * 1.5, converted_stat)))))</f>
        <v/>
      </c>
      <c r="H783" s="30" t="str">
        <f t="array" ref="H783">IF($A783="", "", LET(bbgm_stat, INDEX(Players!$A782:$P782, MATCH(H$2, Players!$A$1:$P$1, 0)), perc_75, VLOOKUP(H$2, Percentiles!$A$45:$I$59, 6, FALSE), perc_90, VLOOKUP(H$2, Percentiles!$A$45:$I$59, 7, FALSE), perc_95, VLOOKUP(H$2, Percentiles!$A$45:$I$59, 8, FALSE), perc_85, perc_75 + (perc_90 - perc_75) * (2/3), converted_stat, '2K_Ratings'!H783, IF(bbgm_stat &gt;= perc_95, converted_stat * 3, IF(bbgm_stat &gt;= perc_90, converted_stat * 2, IF(bbgm_stat &gt;= perc_85, converted_stat * 1.5, converted_stat)))))</f>
        <v/>
      </c>
      <c r="I783" s="30" t="str">
        <f t="array" ref="I783">IF($A783="", "", LET(bbgm_stat, INDEX(Players!$A782:$P782, MATCH(I$2, Players!$A$1:$P$1, 0)), perc_75, VLOOKUP(I$2, Percentiles!$A$45:$I$59, 6, FALSE), perc_90, VLOOKUP(I$2, Percentiles!$A$45:$I$59, 7, FALSE), perc_95, VLOOKUP(I$2, Percentiles!$A$45:$I$59, 8, FALSE), perc_85, perc_75 + (perc_90 - perc_75) * (2/3), converted_stat, '2K_Ratings'!I783, IF(bbgm_stat &gt;= perc_95, converted_stat * 3, IF(bbgm_stat &gt;= perc_90, converted_stat * 2, IF(bbgm_stat &gt;= perc_85, converted_stat * 1.5, converted_stat)))))</f>
        <v/>
      </c>
      <c r="J783" s="30" t="str">
        <f t="array" ref="J783">IF($A783="", "", LET(bbgm_stat, INDEX(Players!$A782:$P782, MATCH(J$2, Players!$A$1:$P$1, 0)), perc_75, VLOOKUP(J$2, Percentiles!$A$45:$I$59, 6, FALSE), perc_90, VLOOKUP(J$2, Percentiles!$A$45:$I$59, 7, FALSE), perc_95, VLOOKUP(J$2, Percentiles!$A$45:$I$59, 8, FALSE), perc_85, perc_75 + (perc_90 - perc_75) * (2/3), converted_stat, '2K_Ratings'!J783, IF(bbgm_stat &gt;= perc_95, converted_stat * 3, IF(bbgm_stat &gt;= perc_90, converted_stat * 2, IF(bbgm_stat &gt;= perc_85, converted_stat * 1.5, converted_stat)))))</f>
        <v/>
      </c>
      <c r="K783" s="30" t="str">
        <f t="array" ref="K783">IF($A783="", "", LET(bbgm_stat, INDEX(Players!$A782:$P782, MATCH(K$2, Players!$A$1:$P$1, 0)), perc_75, VLOOKUP(K$2, Percentiles!$A$45:$I$59, 6, FALSE), perc_90, VLOOKUP(K$2, Percentiles!$A$45:$I$59, 7, FALSE), perc_95, VLOOKUP(K$2, Percentiles!$A$45:$I$59, 8, FALSE), perc_85, perc_75 + (perc_90 - perc_75) * (2/3), converted_stat, '2K_Ratings'!K783, IF(bbgm_stat &gt;= perc_95, converted_stat * 3, IF(bbgm_stat &gt;= perc_90, converted_stat * 2, IF(bbgm_stat &gt;= perc_85, converted_stat * 1.5, converted_stat)))))</f>
        <v/>
      </c>
      <c r="L783" s="30" t="str">
        <f t="array" ref="L783">IF($A783="", "", LET(bbgm_stat, INDEX(Players!$A782:$P782, MATCH(L$2, Players!$A$1:$P$1, 0)), perc_75, VLOOKUP(L$2, Percentiles!$A$45:$I$59, 6, FALSE), perc_90, VLOOKUP(L$2, Percentiles!$A$45:$I$59, 7, FALSE), perc_95, VLOOKUP(L$2, Percentiles!$A$45:$I$59, 8, FALSE), perc_85, perc_75 + (perc_90 - perc_75) * (2/3), converted_stat, '2K_Ratings'!L783, IF(bbgm_stat &gt;= perc_95, converted_stat * 3, IF(bbgm_stat &gt;= perc_90, converted_stat * 2, IF(bbgm_stat &gt;= perc_85, converted_stat * 1.5, converted_stat)))))</f>
        <v/>
      </c>
      <c r="M783" s="30" t="str">
        <f t="array" ref="M783">IF($A783="", "", LET(bbgm_stat, INDEX(Players!$A782:$P782, MATCH(M$2, Players!$A$1:$P$1, 0)), perc_75, VLOOKUP(M$2, Percentiles!$A$45:$I$59, 6, FALSE), perc_90, VLOOKUP(M$2, Percentiles!$A$45:$I$59, 7, FALSE), perc_95, VLOOKUP(M$2, Percentiles!$A$45:$I$59, 8, FALSE), perc_85, perc_75 + (perc_90 - perc_75) * (2/3), converted_stat, '2K_Ratings'!M783, IF(bbgm_stat &gt;= perc_95, converted_stat * 3, IF(bbgm_stat &gt;= perc_90, converted_stat * 2, IF(bbgm_stat &gt;= perc_85, converted_stat * 1.5, converted_stat)))))</f>
        <v/>
      </c>
      <c r="N783" s="30" t="str">
        <f t="array" ref="N783">IF($A783="", "", LET(bbgm_stat, INDEX(Players!$A782:$P782, MATCH(N$2, Players!$A$1:$P$1, 0)), perc_75, VLOOKUP(N$2, Percentiles!$A$45:$I$59, 6, FALSE), perc_90, VLOOKUP(N$2, Percentiles!$A$45:$I$59, 7, FALSE), perc_95, VLOOKUP(N$2, Percentiles!$A$45:$I$59, 8, FALSE), perc_85, perc_75 + (perc_90 - perc_75) * (2/3), converted_stat, '2K_Ratings'!N783, IF(bbgm_stat &gt;= perc_95, converted_stat * 3, IF(bbgm_stat &gt;= perc_90, converted_stat * 2, IF(bbgm_stat &gt;= perc_85, converted_stat * 1.5, converted_stat)))))</f>
        <v/>
      </c>
      <c r="O783" s="30" t="str">
        <f t="array" ref="O783">IF($A783="", "", LET(bbgm_stat, INDEX(Players!$A782:$P782, MATCH(O$2, Players!$A$1:$P$1, 0)), perc_75, VLOOKUP(O$2, Percentiles!$A$45:$I$59, 6, FALSE), perc_90, VLOOKUP(O$2, Percentiles!$A$45:$I$59, 7, FALSE), perc_95, VLOOKUP(O$2, Percentiles!$A$45:$I$59, 8, FALSE), perc_85, perc_75 + (perc_90 - perc_75) * (2/3), converted_stat, '2K_Ratings'!O783, IF(bbgm_stat &gt;= perc_95, converted_stat * 3, IF(bbgm_stat &gt;= perc_90, converted_stat * 2, IF(bbgm_stat &gt;= perc_85, converted_stat * 1.5, converted_stat)))))</f>
        <v/>
      </c>
      <c r="P783" s="30" t="str">
        <f t="array" ref="P783">IF($A783="", "", LET(bbgm_stat, INDEX(Players!$A782:$P782, MATCH(P$2, Players!$A$1:$P$1, 0)), perc_75, VLOOKUP(P$2, Percentiles!$A$45:$I$59, 6, FALSE), perc_90, VLOOKUP(P$2, Percentiles!$A$45:$I$59, 7, FALSE), perc_95, VLOOKUP(P$2, Percentiles!$A$45:$I$59, 8, FALSE), perc_85, perc_75 + (perc_90 - perc_75) * (2/3), converted_stat, '2K_Ratings'!P783, IF(bbgm_stat &gt;= perc_95, converted_stat * 3, IF(bbgm_stat &gt;= perc_90, converted_stat * 2, IF(bbgm_stat &gt;= perc_85, converted_stat * 1.5, converted_stat)))))</f>
        <v/>
      </c>
      <c r="Q783" s="30" t="str">
        <f t="array" ref="Q783">IF($A783="", "", LET(bbgm_stat, INDEX(Players!$A782:$P782, MATCH(Q$2, Players!$A$1:$P$1, 0)), perc_75, VLOOKUP(Q$2, Percentiles!$A$45:$I$59, 6, FALSE), perc_90, VLOOKUP(Q$2, Percentiles!$A$45:$I$59, 7, FALSE), perc_95, VLOOKUP(Q$2, Percentiles!$A$45:$I$59, 8, FALSE), perc_85, perc_75 + (perc_90 - perc_75) * (2/3), converted_stat, '2K_Ratings'!Q783, IF(bbgm_stat &gt;= perc_95, converted_stat * 3, IF(bbgm_stat &gt;= perc_90, converted_stat * 2, IF(bbgm_stat &gt;= perc_85, converted_stat * 1.5, converted_stat)))))</f>
        <v/>
      </c>
      <c r="R783" s="30" t="str">
        <f t="array" ref="R783">IF($A783="", "", LET(bbgm_stat, INDEX(Players!$A782:$P782, MATCH(R$2, Players!$A$1:$P$1, 0)), perc_75, VLOOKUP(R$2, Percentiles!$A$45:$I$59, 6, FALSE), perc_90, VLOOKUP(R$2, Percentiles!$A$45:$I$59, 7, FALSE), perc_95, VLOOKUP(R$2, Percentiles!$A$45:$I$59, 8, FALSE), perc_85, perc_75 + (perc_90 - perc_75) * (2/3), converted_stat, '2K_Ratings'!R783, IF(bbgm_stat &gt;= perc_95, converted_stat * 3, IF(bbgm_stat &gt;= perc_90, converted_stat * 2, IF(bbgm_stat &gt;= perc_85, converted_stat * 1.5, converted_stat)))))</f>
        <v/>
      </c>
      <c r="S783" s="30" t="str">
        <f t="array" ref="S783">IF($A783="", "", LET(bbgm_stat, INDEX(Players!$A782:$P782, MATCH(S$2, Players!$A$1:$P$1, 0)), perc_75, VLOOKUP(S$2, Percentiles!$A$45:$I$59, 6, FALSE), perc_90, VLOOKUP(S$2, Percentiles!$A$45:$I$59, 7, FALSE), perc_95, VLOOKUP(S$2, Percentiles!$A$45:$I$59, 8, FALSE), perc_85, perc_75 + (perc_90 - perc_75) * (2/3), converted_stat, '2K_Ratings'!S783, IF(bbgm_stat &gt;= perc_95, converted_stat * 3, IF(bbgm_stat &gt;= perc_90, converted_stat * 2, IF(bbgm_stat &gt;= perc_85, converted_stat * 1.5, converted_stat)))))</f>
        <v/>
      </c>
      <c r="T783" s="30" t="str">
        <f t="array" ref="T783">IF($A783="", "", LET(bbgm_stat, INDEX(Players!$A782:$P782, MATCH(T$2, Players!$A$1:$P$1, 0)), perc_75, VLOOKUP(T$2, Percentiles!$A$45:$I$59, 6, FALSE), perc_90, VLOOKUP(T$2, Percentiles!$A$45:$I$59, 7, FALSE), perc_95, VLOOKUP(T$2, Percentiles!$A$45:$I$59, 8, FALSE), perc_85, perc_75 + (perc_90 - perc_75) * (2/3), converted_stat, '2K_Ratings'!T783, IF(bbgm_stat &gt;= perc_95, converted_stat * 3, IF(bbgm_stat &gt;= perc_90, converted_stat * 2, IF(bbgm_stat &gt;= perc_85, converted_stat * 1.5, converted_stat)))))</f>
        <v/>
      </c>
      <c r="U783" s="30" t="str">
        <f t="array" ref="U783">IF($A783="", "", LET(bbgm_stat, INDEX(Players!$A782:$P782, MATCH(U$2, Players!$A$1:$P$1, 0)), perc_75, VLOOKUP(U$2, Percentiles!$A$45:$I$59, 6, FALSE), perc_90, VLOOKUP(U$2, Percentiles!$A$45:$I$59, 7, FALSE), perc_95, VLOOKUP(U$2, Percentiles!$A$45:$I$59, 8, FALSE), perc_85, perc_75 + (perc_90 - perc_75) * (2/3), converted_stat, '2K_Ratings'!U783, IF(bbgm_stat &gt;= perc_95, converted_stat * 3, IF(bbgm_stat &gt;= perc_90, converted_stat * 2, IF(bbgm_stat &gt;= perc_85, converted_stat * 1.5, converted_stat)))))</f>
        <v/>
      </c>
      <c r="V783" s="30" t="str">
        <f t="array" ref="V783">IF($A783="", "", LET(bbgm_stat, INDEX(Players!$A782:$P782, MATCH(V$2, Players!$A$1:$P$1, 0)), perc_75, VLOOKUP(V$2, Percentiles!$A$45:$I$59, 6, FALSE), perc_90, VLOOKUP(V$2, Percentiles!$A$45:$I$59, 7, FALSE), perc_95, VLOOKUP(V$2, Percentiles!$A$45:$I$59, 8, FALSE), perc_85, perc_75 + (perc_90 - perc_75) * (2/3), converted_stat, '2K_Ratings'!V783, IF(bbgm_stat &gt;= perc_95, converted_stat * 3, IF(bbgm_stat &gt;= perc_90, converted_stat * 2, IF(bbgm_stat &gt;= perc_85, converted_stat * 1.5, converted_stat)))))</f>
        <v/>
      </c>
      <c r="W783" s="30" t="str">
        <f t="array" ref="W783">IF($A783="", "", LET(bbgm_stat, INDEX(Players!$A782:$P782, MATCH(W$2, Players!$A$1:$P$1, 0)), perc_75, VLOOKUP(W$2, Percentiles!$A$45:$I$59, 6, FALSE), perc_90, VLOOKUP(W$2, Percentiles!$A$45:$I$59, 7, FALSE), perc_95, VLOOKUP(W$2, Percentiles!$A$45:$I$59, 8, FALSE), perc_85, perc_75 + (perc_90 - perc_75) * (2/3), converted_stat, '2K_Ratings'!W783, IF(bbgm_stat &gt;= perc_95, converted_stat * 3, IF(bbgm_stat &gt;= perc_90, converted_stat * 2, IF(bbgm_stat &gt;= perc_85, converted_stat * 1.5, converted_stat)))))</f>
        <v/>
      </c>
    </row>
    <row r="784">
      <c r="A784" s="30"/>
      <c r="B784" s="30" t="str">
        <f t="array" ref="B784">IF($A784="", "", LET(bbgm_stat, INDEX(Players!$A783:$P783, MATCH(B$2, Players!$A$1:$P$1, 0)), perc_75, VLOOKUP(B$2, Percentiles!$A$45:$I$59, 6, FALSE), perc_90, VLOOKUP(B$2, Percentiles!$A$45:$I$59, 7, FALSE), perc_95, VLOOKUP(B$2, Percentiles!$A$45:$I$59, 8, FALSE), perc_85, perc_75 + (perc_90 - perc_75) * (2/3), converted_stat, '2K_Ratings'!B784, IF(bbgm_stat &gt;= perc_95, converted_stat * 3, IF(bbgm_stat &gt;= perc_90, converted_stat * 2, IF(bbgm_stat &gt;= perc_85, converted_stat * 1.5, converted_stat)))))</f>
        <v/>
      </c>
      <c r="C784" s="30" t="str">
        <f t="array" ref="C784">IF($A784="", "", LET(bbgm_stat, INDEX(Players!$A783:$P783, MATCH(C$2, Players!$A$1:$P$1, 0)), perc_75, VLOOKUP(C$2, Percentiles!$A$45:$I$59, 6, FALSE), perc_90, VLOOKUP(C$2, Percentiles!$A$45:$I$59, 7, FALSE), perc_95, VLOOKUP(C$2, Percentiles!$A$45:$I$59, 8, FALSE), perc_85, perc_75 + (perc_90 - perc_75) * (2/3), converted_stat, '2K_Ratings'!C784, IF(bbgm_stat &gt;= perc_95, converted_stat * 3, IF(bbgm_stat &gt;= perc_90, converted_stat * 2, IF(bbgm_stat &gt;= perc_85, converted_stat * 1.5, converted_stat)))))</f>
        <v/>
      </c>
      <c r="D784" s="30" t="str">
        <f t="array" ref="D784">IF($A784="", "", LET(bbgm_stat, INDEX(Players!$A783:$P783, MATCH(D$2, Players!$A$1:$P$1, 0)), perc_75, VLOOKUP(D$2, Percentiles!$A$45:$I$59, 6, FALSE), perc_90, VLOOKUP(D$2, Percentiles!$A$45:$I$59, 7, FALSE), perc_95, VLOOKUP(D$2, Percentiles!$A$45:$I$59, 8, FALSE), perc_85, perc_75 + (perc_90 - perc_75) * (2/3), converted_stat, '2K_Ratings'!D784, IF(bbgm_stat &gt;= perc_95, converted_stat * 3, IF(bbgm_stat &gt;= perc_90, converted_stat * 2, IF(bbgm_stat &gt;= perc_85, converted_stat * 1.5, converted_stat)))))</f>
        <v/>
      </c>
      <c r="E784" s="30" t="str">
        <f t="array" ref="E784">IF($A784="", "", LET(bbgm_stat, INDEX(Players!$A783:$P783, MATCH(E$2, Players!$A$1:$P$1, 0)), perc_75, VLOOKUP(E$2, Percentiles!$A$45:$I$59, 6, FALSE), perc_90, VLOOKUP(E$2, Percentiles!$A$45:$I$59, 7, FALSE), perc_95, VLOOKUP(E$2, Percentiles!$A$45:$I$59, 8, FALSE), perc_85, perc_75 + (perc_90 - perc_75) * (2/3), converted_stat, '2K_Ratings'!E784, IF(bbgm_stat &gt;= perc_95, converted_stat * 3, IF(bbgm_stat &gt;= perc_90, converted_stat * 2, IF(bbgm_stat &gt;= perc_85, converted_stat * 1.5, converted_stat)))))</f>
        <v/>
      </c>
      <c r="F784" s="30" t="str">
        <f t="array" ref="F784">IF($A784="", "", LET(bbgm_stat, INDEX(Players!$A783:$P783, MATCH(F$2, Players!$A$1:$P$1, 0)), perc_75, VLOOKUP(F$2, Percentiles!$A$45:$I$59, 6, FALSE), perc_90, VLOOKUP(F$2, Percentiles!$A$45:$I$59, 7, FALSE), perc_95, VLOOKUP(F$2, Percentiles!$A$45:$I$59, 8, FALSE), perc_85, perc_75 + (perc_90 - perc_75) * (2/3), converted_stat, '2K_Ratings'!F784, IF(bbgm_stat &gt;= perc_95, converted_stat * 3, IF(bbgm_stat &gt;= perc_90, converted_stat * 2, IF(bbgm_stat &gt;= perc_85, converted_stat * 1.5, converted_stat)))))</f>
        <v/>
      </c>
      <c r="G784" s="30" t="str">
        <f t="array" ref="G784">IF($A784="", "", LET(bbgm_stat, INDEX(Players!$A783:$P783, MATCH(G$2, Players!$A$1:$P$1, 0)), perc_75, VLOOKUP(G$2, Percentiles!$A$45:$I$59, 6, FALSE), perc_90, VLOOKUP(G$2, Percentiles!$A$45:$I$59, 7, FALSE), perc_95, VLOOKUP(G$2, Percentiles!$A$45:$I$59, 8, FALSE), perc_85, perc_75 + (perc_90 - perc_75) * (2/3), converted_stat, '2K_Ratings'!G784, IF(bbgm_stat &gt;= perc_95, converted_stat * 3, IF(bbgm_stat &gt;= perc_90, converted_stat * 2, IF(bbgm_stat &gt;= perc_85, converted_stat * 1.5, converted_stat)))))</f>
        <v/>
      </c>
      <c r="H784" s="30" t="str">
        <f t="array" ref="H784">IF($A784="", "", LET(bbgm_stat, INDEX(Players!$A783:$P783, MATCH(H$2, Players!$A$1:$P$1, 0)), perc_75, VLOOKUP(H$2, Percentiles!$A$45:$I$59, 6, FALSE), perc_90, VLOOKUP(H$2, Percentiles!$A$45:$I$59, 7, FALSE), perc_95, VLOOKUP(H$2, Percentiles!$A$45:$I$59, 8, FALSE), perc_85, perc_75 + (perc_90 - perc_75) * (2/3), converted_stat, '2K_Ratings'!H784, IF(bbgm_stat &gt;= perc_95, converted_stat * 3, IF(bbgm_stat &gt;= perc_90, converted_stat * 2, IF(bbgm_stat &gt;= perc_85, converted_stat * 1.5, converted_stat)))))</f>
        <v/>
      </c>
      <c r="I784" s="30" t="str">
        <f t="array" ref="I784">IF($A784="", "", LET(bbgm_stat, INDEX(Players!$A783:$P783, MATCH(I$2, Players!$A$1:$P$1, 0)), perc_75, VLOOKUP(I$2, Percentiles!$A$45:$I$59, 6, FALSE), perc_90, VLOOKUP(I$2, Percentiles!$A$45:$I$59, 7, FALSE), perc_95, VLOOKUP(I$2, Percentiles!$A$45:$I$59, 8, FALSE), perc_85, perc_75 + (perc_90 - perc_75) * (2/3), converted_stat, '2K_Ratings'!I784, IF(bbgm_stat &gt;= perc_95, converted_stat * 3, IF(bbgm_stat &gt;= perc_90, converted_stat * 2, IF(bbgm_stat &gt;= perc_85, converted_stat * 1.5, converted_stat)))))</f>
        <v/>
      </c>
      <c r="J784" s="30" t="str">
        <f t="array" ref="J784">IF($A784="", "", LET(bbgm_stat, INDEX(Players!$A783:$P783, MATCH(J$2, Players!$A$1:$P$1, 0)), perc_75, VLOOKUP(J$2, Percentiles!$A$45:$I$59, 6, FALSE), perc_90, VLOOKUP(J$2, Percentiles!$A$45:$I$59, 7, FALSE), perc_95, VLOOKUP(J$2, Percentiles!$A$45:$I$59, 8, FALSE), perc_85, perc_75 + (perc_90 - perc_75) * (2/3), converted_stat, '2K_Ratings'!J784, IF(bbgm_stat &gt;= perc_95, converted_stat * 3, IF(bbgm_stat &gt;= perc_90, converted_stat * 2, IF(bbgm_stat &gt;= perc_85, converted_stat * 1.5, converted_stat)))))</f>
        <v/>
      </c>
      <c r="K784" s="30" t="str">
        <f t="array" ref="K784">IF($A784="", "", LET(bbgm_stat, INDEX(Players!$A783:$P783, MATCH(K$2, Players!$A$1:$P$1, 0)), perc_75, VLOOKUP(K$2, Percentiles!$A$45:$I$59, 6, FALSE), perc_90, VLOOKUP(K$2, Percentiles!$A$45:$I$59, 7, FALSE), perc_95, VLOOKUP(K$2, Percentiles!$A$45:$I$59, 8, FALSE), perc_85, perc_75 + (perc_90 - perc_75) * (2/3), converted_stat, '2K_Ratings'!K784, IF(bbgm_stat &gt;= perc_95, converted_stat * 3, IF(bbgm_stat &gt;= perc_90, converted_stat * 2, IF(bbgm_stat &gt;= perc_85, converted_stat * 1.5, converted_stat)))))</f>
        <v/>
      </c>
      <c r="L784" s="30" t="str">
        <f t="array" ref="L784">IF($A784="", "", LET(bbgm_stat, INDEX(Players!$A783:$P783, MATCH(L$2, Players!$A$1:$P$1, 0)), perc_75, VLOOKUP(L$2, Percentiles!$A$45:$I$59, 6, FALSE), perc_90, VLOOKUP(L$2, Percentiles!$A$45:$I$59, 7, FALSE), perc_95, VLOOKUP(L$2, Percentiles!$A$45:$I$59, 8, FALSE), perc_85, perc_75 + (perc_90 - perc_75) * (2/3), converted_stat, '2K_Ratings'!L784, IF(bbgm_stat &gt;= perc_95, converted_stat * 3, IF(bbgm_stat &gt;= perc_90, converted_stat * 2, IF(bbgm_stat &gt;= perc_85, converted_stat * 1.5, converted_stat)))))</f>
        <v/>
      </c>
      <c r="M784" s="30" t="str">
        <f t="array" ref="M784">IF($A784="", "", LET(bbgm_stat, INDEX(Players!$A783:$P783, MATCH(M$2, Players!$A$1:$P$1, 0)), perc_75, VLOOKUP(M$2, Percentiles!$A$45:$I$59, 6, FALSE), perc_90, VLOOKUP(M$2, Percentiles!$A$45:$I$59, 7, FALSE), perc_95, VLOOKUP(M$2, Percentiles!$A$45:$I$59, 8, FALSE), perc_85, perc_75 + (perc_90 - perc_75) * (2/3), converted_stat, '2K_Ratings'!M784, IF(bbgm_stat &gt;= perc_95, converted_stat * 3, IF(bbgm_stat &gt;= perc_90, converted_stat * 2, IF(bbgm_stat &gt;= perc_85, converted_stat * 1.5, converted_stat)))))</f>
        <v/>
      </c>
      <c r="N784" s="30" t="str">
        <f t="array" ref="N784">IF($A784="", "", LET(bbgm_stat, INDEX(Players!$A783:$P783, MATCH(N$2, Players!$A$1:$P$1, 0)), perc_75, VLOOKUP(N$2, Percentiles!$A$45:$I$59, 6, FALSE), perc_90, VLOOKUP(N$2, Percentiles!$A$45:$I$59, 7, FALSE), perc_95, VLOOKUP(N$2, Percentiles!$A$45:$I$59, 8, FALSE), perc_85, perc_75 + (perc_90 - perc_75) * (2/3), converted_stat, '2K_Ratings'!N784, IF(bbgm_stat &gt;= perc_95, converted_stat * 3, IF(bbgm_stat &gt;= perc_90, converted_stat * 2, IF(bbgm_stat &gt;= perc_85, converted_stat * 1.5, converted_stat)))))</f>
        <v/>
      </c>
      <c r="O784" s="30" t="str">
        <f t="array" ref="O784">IF($A784="", "", LET(bbgm_stat, INDEX(Players!$A783:$P783, MATCH(O$2, Players!$A$1:$P$1, 0)), perc_75, VLOOKUP(O$2, Percentiles!$A$45:$I$59, 6, FALSE), perc_90, VLOOKUP(O$2, Percentiles!$A$45:$I$59, 7, FALSE), perc_95, VLOOKUP(O$2, Percentiles!$A$45:$I$59, 8, FALSE), perc_85, perc_75 + (perc_90 - perc_75) * (2/3), converted_stat, '2K_Ratings'!O784, IF(bbgm_stat &gt;= perc_95, converted_stat * 3, IF(bbgm_stat &gt;= perc_90, converted_stat * 2, IF(bbgm_stat &gt;= perc_85, converted_stat * 1.5, converted_stat)))))</f>
        <v/>
      </c>
      <c r="P784" s="30" t="str">
        <f t="array" ref="P784">IF($A784="", "", LET(bbgm_stat, INDEX(Players!$A783:$P783, MATCH(P$2, Players!$A$1:$P$1, 0)), perc_75, VLOOKUP(P$2, Percentiles!$A$45:$I$59, 6, FALSE), perc_90, VLOOKUP(P$2, Percentiles!$A$45:$I$59, 7, FALSE), perc_95, VLOOKUP(P$2, Percentiles!$A$45:$I$59, 8, FALSE), perc_85, perc_75 + (perc_90 - perc_75) * (2/3), converted_stat, '2K_Ratings'!P784, IF(bbgm_stat &gt;= perc_95, converted_stat * 3, IF(bbgm_stat &gt;= perc_90, converted_stat * 2, IF(bbgm_stat &gt;= perc_85, converted_stat * 1.5, converted_stat)))))</f>
        <v/>
      </c>
      <c r="Q784" s="30" t="str">
        <f t="array" ref="Q784">IF($A784="", "", LET(bbgm_stat, INDEX(Players!$A783:$P783, MATCH(Q$2, Players!$A$1:$P$1, 0)), perc_75, VLOOKUP(Q$2, Percentiles!$A$45:$I$59, 6, FALSE), perc_90, VLOOKUP(Q$2, Percentiles!$A$45:$I$59, 7, FALSE), perc_95, VLOOKUP(Q$2, Percentiles!$A$45:$I$59, 8, FALSE), perc_85, perc_75 + (perc_90 - perc_75) * (2/3), converted_stat, '2K_Ratings'!Q784, IF(bbgm_stat &gt;= perc_95, converted_stat * 3, IF(bbgm_stat &gt;= perc_90, converted_stat * 2, IF(bbgm_stat &gt;= perc_85, converted_stat * 1.5, converted_stat)))))</f>
        <v/>
      </c>
      <c r="R784" s="30" t="str">
        <f t="array" ref="R784">IF($A784="", "", LET(bbgm_stat, INDEX(Players!$A783:$P783, MATCH(R$2, Players!$A$1:$P$1, 0)), perc_75, VLOOKUP(R$2, Percentiles!$A$45:$I$59, 6, FALSE), perc_90, VLOOKUP(R$2, Percentiles!$A$45:$I$59, 7, FALSE), perc_95, VLOOKUP(R$2, Percentiles!$A$45:$I$59, 8, FALSE), perc_85, perc_75 + (perc_90 - perc_75) * (2/3), converted_stat, '2K_Ratings'!R784, IF(bbgm_stat &gt;= perc_95, converted_stat * 3, IF(bbgm_stat &gt;= perc_90, converted_stat * 2, IF(bbgm_stat &gt;= perc_85, converted_stat * 1.5, converted_stat)))))</f>
        <v/>
      </c>
      <c r="S784" s="30" t="str">
        <f t="array" ref="S784">IF($A784="", "", LET(bbgm_stat, INDEX(Players!$A783:$P783, MATCH(S$2, Players!$A$1:$P$1, 0)), perc_75, VLOOKUP(S$2, Percentiles!$A$45:$I$59, 6, FALSE), perc_90, VLOOKUP(S$2, Percentiles!$A$45:$I$59, 7, FALSE), perc_95, VLOOKUP(S$2, Percentiles!$A$45:$I$59, 8, FALSE), perc_85, perc_75 + (perc_90 - perc_75) * (2/3), converted_stat, '2K_Ratings'!S784, IF(bbgm_stat &gt;= perc_95, converted_stat * 3, IF(bbgm_stat &gt;= perc_90, converted_stat * 2, IF(bbgm_stat &gt;= perc_85, converted_stat * 1.5, converted_stat)))))</f>
        <v/>
      </c>
      <c r="T784" s="30" t="str">
        <f t="array" ref="T784">IF($A784="", "", LET(bbgm_stat, INDEX(Players!$A783:$P783, MATCH(T$2, Players!$A$1:$P$1, 0)), perc_75, VLOOKUP(T$2, Percentiles!$A$45:$I$59, 6, FALSE), perc_90, VLOOKUP(T$2, Percentiles!$A$45:$I$59, 7, FALSE), perc_95, VLOOKUP(T$2, Percentiles!$A$45:$I$59, 8, FALSE), perc_85, perc_75 + (perc_90 - perc_75) * (2/3), converted_stat, '2K_Ratings'!T784, IF(bbgm_stat &gt;= perc_95, converted_stat * 3, IF(bbgm_stat &gt;= perc_90, converted_stat * 2, IF(bbgm_stat &gt;= perc_85, converted_stat * 1.5, converted_stat)))))</f>
        <v/>
      </c>
      <c r="U784" s="30" t="str">
        <f t="array" ref="U784">IF($A784="", "", LET(bbgm_stat, INDEX(Players!$A783:$P783, MATCH(U$2, Players!$A$1:$P$1, 0)), perc_75, VLOOKUP(U$2, Percentiles!$A$45:$I$59, 6, FALSE), perc_90, VLOOKUP(U$2, Percentiles!$A$45:$I$59, 7, FALSE), perc_95, VLOOKUP(U$2, Percentiles!$A$45:$I$59, 8, FALSE), perc_85, perc_75 + (perc_90 - perc_75) * (2/3), converted_stat, '2K_Ratings'!U784, IF(bbgm_stat &gt;= perc_95, converted_stat * 3, IF(bbgm_stat &gt;= perc_90, converted_stat * 2, IF(bbgm_stat &gt;= perc_85, converted_stat * 1.5, converted_stat)))))</f>
        <v/>
      </c>
      <c r="V784" s="30" t="str">
        <f t="array" ref="V784">IF($A784="", "", LET(bbgm_stat, INDEX(Players!$A783:$P783, MATCH(V$2, Players!$A$1:$P$1, 0)), perc_75, VLOOKUP(V$2, Percentiles!$A$45:$I$59, 6, FALSE), perc_90, VLOOKUP(V$2, Percentiles!$A$45:$I$59, 7, FALSE), perc_95, VLOOKUP(V$2, Percentiles!$A$45:$I$59, 8, FALSE), perc_85, perc_75 + (perc_90 - perc_75) * (2/3), converted_stat, '2K_Ratings'!V784, IF(bbgm_stat &gt;= perc_95, converted_stat * 3, IF(bbgm_stat &gt;= perc_90, converted_stat * 2, IF(bbgm_stat &gt;= perc_85, converted_stat * 1.5, converted_stat)))))</f>
        <v/>
      </c>
      <c r="W784" s="30" t="str">
        <f t="array" ref="W784">IF($A784="", "", LET(bbgm_stat, INDEX(Players!$A783:$P783, MATCH(W$2, Players!$A$1:$P$1, 0)), perc_75, VLOOKUP(W$2, Percentiles!$A$45:$I$59, 6, FALSE), perc_90, VLOOKUP(W$2, Percentiles!$A$45:$I$59, 7, FALSE), perc_95, VLOOKUP(W$2, Percentiles!$A$45:$I$59, 8, FALSE), perc_85, perc_75 + (perc_90 - perc_75) * (2/3), converted_stat, '2K_Ratings'!W784, IF(bbgm_stat &gt;= perc_95, converted_stat * 3, IF(bbgm_stat &gt;= perc_90, converted_stat * 2, IF(bbgm_stat &gt;= perc_85, converted_stat * 1.5, converted_stat)))))</f>
        <v/>
      </c>
    </row>
    <row r="785">
      <c r="A785" s="30"/>
      <c r="B785" s="30" t="str">
        <f t="array" ref="B785">IF($A785="", "", LET(bbgm_stat, INDEX(Players!$A784:$P784, MATCH(B$2, Players!$A$1:$P$1, 0)), perc_75, VLOOKUP(B$2, Percentiles!$A$45:$I$59, 6, FALSE), perc_90, VLOOKUP(B$2, Percentiles!$A$45:$I$59, 7, FALSE), perc_95, VLOOKUP(B$2, Percentiles!$A$45:$I$59, 8, FALSE), perc_85, perc_75 + (perc_90 - perc_75) * (2/3), converted_stat, '2K_Ratings'!B785, IF(bbgm_stat &gt;= perc_95, converted_stat * 3, IF(bbgm_stat &gt;= perc_90, converted_stat * 2, IF(bbgm_stat &gt;= perc_85, converted_stat * 1.5, converted_stat)))))</f>
        <v/>
      </c>
      <c r="C785" s="30" t="str">
        <f t="array" ref="C785">IF($A785="", "", LET(bbgm_stat, INDEX(Players!$A784:$P784, MATCH(C$2, Players!$A$1:$P$1, 0)), perc_75, VLOOKUP(C$2, Percentiles!$A$45:$I$59, 6, FALSE), perc_90, VLOOKUP(C$2, Percentiles!$A$45:$I$59, 7, FALSE), perc_95, VLOOKUP(C$2, Percentiles!$A$45:$I$59, 8, FALSE), perc_85, perc_75 + (perc_90 - perc_75) * (2/3), converted_stat, '2K_Ratings'!C785, IF(bbgm_stat &gt;= perc_95, converted_stat * 3, IF(bbgm_stat &gt;= perc_90, converted_stat * 2, IF(bbgm_stat &gt;= perc_85, converted_stat * 1.5, converted_stat)))))</f>
        <v/>
      </c>
      <c r="D785" s="30" t="str">
        <f t="array" ref="D785">IF($A785="", "", LET(bbgm_stat, INDEX(Players!$A784:$P784, MATCH(D$2, Players!$A$1:$P$1, 0)), perc_75, VLOOKUP(D$2, Percentiles!$A$45:$I$59, 6, FALSE), perc_90, VLOOKUP(D$2, Percentiles!$A$45:$I$59, 7, FALSE), perc_95, VLOOKUP(D$2, Percentiles!$A$45:$I$59, 8, FALSE), perc_85, perc_75 + (perc_90 - perc_75) * (2/3), converted_stat, '2K_Ratings'!D785, IF(bbgm_stat &gt;= perc_95, converted_stat * 3, IF(bbgm_stat &gt;= perc_90, converted_stat * 2, IF(bbgm_stat &gt;= perc_85, converted_stat * 1.5, converted_stat)))))</f>
        <v/>
      </c>
      <c r="E785" s="30" t="str">
        <f t="array" ref="E785">IF($A785="", "", LET(bbgm_stat, INDEX(Players!$A784:$P784, MATCH(E$2, Players!$A$1:$P$1, 0)), perc_75, VLOOKUP(E$2, Percentiles!$A$45:$I$59, 6, FALSE), perc_90, VLOOKUP(E$2, Percentiles!$A$45:$I$59, 7, FALSE), perc_95, VLOOKUP(E$2, Percentiles!$A$45:$I$59, 8, FALSE), perc_85, perc_75 + (perc_90 - perc_75) * (2/3), converted_stat, '2K_Ratings'!E785, IF(bbgm_stat &gt;= perc_95, converted_stat * 3, IF(bbgm_stat &gt;= perc_90, converted_stat * 2, IF(bbgm_stat &gt;= perc_85, converted_stat * 1.5, converted_stat)))))</f>
        <v/>
      </c>
      <c r="F785" s="30" t="str">
        <f t="array" ref="F785">IF($A785="", "", LET(bbgm_stat, INDEX(Players!$A784:$P784, MATCH(F$2, Players!$A$1:$P$1, 0)), perc_75, VLOOKUP(F$2, Percentiles!$A$45:$I$59, 6, FALSE), perc_90, VLOOKUP(F$2, Percentiles!$A$45:$I$59, 7, FALSE), perc_95, VLOOKUP(F$2, Percentiles!$A$45:$I$59, 8, FALSE), perc_85, perc_75 + (perc_90 - perc_75) * (2/3), converted_stat, '2K_Ratings'!F785, IF(bbgm_stat &gt;= perc_95, converted_stat * 3, IF(bbgm_stat &gt;= perc_90, converted_stat * 2, IF(bbgm_stat &gt;= perc_85, converted_stat * 1.5, converted_stat)))))</f>
        <v/>
      </c>
      <c r="G785" s="30" t="str">
        <f t="array" ref="G785">IF($A785="", "", LET(bbgm_stat, INDEX(Players!$A784:$P784, MATCH(G$2, Players!$A$1:$P$1, 0)), perc_75, VLOOKUP(G$2, Percentiles!$A$45:$I$59, 6, FALSE), perc_90, VLOOKUP(G$2, Percentiles!$A$45:$I$59, 7, FALSE), perc_95, VLOOKUP(G$2, Percentiles!$A$45:$I$59, 8, FALSE), perc_85, perc_75 + (perc_90 - perc_75) * (2/3), converted_stat, '2K_Ratings'!G785, IF(bbgm_stat &gt;= perc_95, converted_stat * 3, IF(bbgm_stat &gt;= perc_90, converted_stat * 2, IF(bbgm_stat &gt;= perc_85, converted_stat * 1.5, converted_stat)))))</f>
        <v/>
      </c>
      <c r="H785" s="30" t="str">
        <f t="array" ref="H785">IF($A785="", "", LET(bbgm_stat, INDEX(Players!$A784:$P784, MATCH(H$2, Players!$A$1:$P$1, 0)), perc_75, VLOOKUP(H$2, Percentiles!$A$45:$I$59, 6, FALSE), perc_90, VLOOKUP(H$2, Percentiles!$A$45:$I$59, 7, FALSE), perc_95, VLOOKUP(H$2, Percentiles!$A$45:$I$59, 8, FALSE), perc_85, perc_75 + (perc_90 - perc_75) * (2/3), converted_stat, '2K_Ratings'!H785, IF(bbgm_stat &gt;= perc_95, converted_stat * 3, IF(bbgm_stat &gt;= perc_90, converted_stat * 2, IF(bbgm_stat &gt;= perc_85, converted_stat * 1.5, converted_stat)))))</f>
        <v/>
      </c>
      <c r="I785" s="30" t="str">
        <f t="array" ref="I785">IF($A785="", "", LET(bbgm_stat, INDEX(Players!$A784:$P784, MATCH(I$2, Players!$A$1:$P$1, 0)), perc_75, VLOOKUP(I$2, Percentiles!$A$45:$I$59, 6, FALSE), perc_90, VLOOKUP(I$2, Percentiles!$A$45:$I$59, 7, FALSE), perc_95, VLOOKUP(I$2, Percentiles!$A$45:$I$59, 8, FALSE), perc_85, perc_75 + (perc_90 - perc_75) * (2/3), converted_stat, '2K_Ratings'!I785, IF(bbgm_stat &gt;= perc_95, converted_stat * 3, IF(bbgm_stat &gt;= perc_90, converted_stat * 2, IF(bbgm_stat &gt;= perc_85, converted_stat * 1.5, converted_stat)))))</f>
        <v/>
      </c>
      <c r="J785" s="30" t="str">
        <f t="array" ref="J785">IF($A785="", "", LET(bbgm_stat, INDEX(Players!$A784:$P784, MATCH(J$2, Players!$A$1:$P$1, 0)), perc_75, VLOOKUP(J$2, Percentiles!$A$45:$I$59, 6, FALSE), perc_90, VLOOKUP(J$2, Percentiles!$A$45:$I$59, 7, FALSE), perc_95, VLOOKUP(J$2, Percentiles!$A$45:$I$59, 8, FALSE), perc_85, perc_75 + (perc_90 - perc_75) * (2/3), converted_stat, '2K_Ratings'!J785, IF(bbgm_stat &gt;= perc_95, converted_stat * 3, IF(bbgm_stat &gt;= perc_90, converted_stat * 2, IF(bbgm_stat &gt;= perc_85, converted_stat * 1.5, converted_stat)))))</f>
        <v/>
      </c>
      <c r="K785" s="30" t="str">
        <f t="array" ref="K785">IF($A785="", "", LET(bbgm_stat, INDEX(Players!$A784:$P784, MATCH(K$2, Players!$A$1:$P$1, 0)), perc_75, VLOOKUP(K$2, Percentiles!$A$45:$I$59, 6, FALSE), perc_90, VLOOKUP(K$2, Percentiles!$A$45:$I$59, 7, FALSE), perc_95, VLOOKUP(K$2, Percentiles!$A$45:$I$59, 8, FALSE), perc_85, perc_75 + (perc_90 - perc_75) * (2/3), converted_stat, '2K_Ratings'!K785, IF(bbgm_stat &gt;= perc_95, converted_stat * 3, IF(bbgm_stat &gt;= perc_90, converted_stat * 2, IF(bbgm_stat &gt;= perc_85, converted_stat * 1.5, converted_stat)))))</f>
        <v/>
      </c>
      <c r="L785" s="30" t="str">
        <f t="array" ref="L785">IF($A785="", "", LET(bbgm_stat, INDEX(Players!$A784:$P784, MATCH(L$2, Players!$A$1:$P$1, 0)), perc_75, VLOOKUP(L$2, Percentiles!$A$45:$I$59, 6, FALSE), perc_90, VLOOKUP(L$2, Percentiles!$A$45:$I$59, 7, FALSE), perc_95, VLOOKUP(L$2, Percentiles!$A$45:$I$59, 8, FALSE), perc_85, perc_75 + (perc_90 - perc_75) * (2/3), converted_stat, '2K_Ratings'!L785, IF(bbgm_stat &gt;= perc_95, converted_stat * 3, IF(bbgm_stat &gt;= perc_90, converted_stat * 2, IF(bbgm_stat &gt;= perc_85, converted_stat * 1.5, converted_stat)))))</f>
        <v/>
      </c>
      <c r="M785" s="30" t="str">
        <f t="array" ref="M785">IF($A785="", "", LET(bbgm_stat, INDEX(Players!$A784:$P784, MATCH(M$2, Players!$A$1:$P$1, 0)), perc_75, VLOOKUP(M$2, Percentiles!$A$45:$I$59, 6, FALSE), perc_90, VLOOKUP(M$2, Percentiles!$A$45:$I$59, 7, FALSE), perc_95, VLOOKUP(M$2, Percentiles!$A$45:$I$59, 8, FALSE), perc_85, perc_75 + (perc_90 - perc_75) * (2/3), converted_stat, '2K_Ratings'!M785, IF(bbgm_stat &gt;= perc_95, converted_stat * 3, IF(bbgm_stat &gt;= perc_90, converted_stat * 2, IF(bbgm_stat &gt;= perc_85, converted_stat * 1.5, converted_stat)))))</f>
        <v/>
      </c>
      <c r="N785" s="30" t="str">
        <f t="array" ref="N785">IF($A785="", "", LET(bbgm_stat, INDEX(Players!$A784:$P784, MATCH(N$2, Players!$A$1:$P$1, 0)), perc_75, VLOOKUP(N$2, Percentiles!$A$45:$I$59, 6, FALSE), perc_90, VLOOKUP(N$2, Percentiles!$A$45:$I$59, 7, FALSE), perc_95, VLOOKUP(N$2, Percentiles!$A$45:$I$59, 8, FALSE), perc_85, perc_75 + (perc_90 - perc_75) * (2/3), converted_stat, '2K_Ratings'!N785, IF(bbgm_stat &gt;= perc_95, converted_stat * 3, IF(bbgm_stat &gt;= perc_90, converted_stat * 2, IF(bbgm_stat &gt;= perc_85, converted_stat * 1.5, converted_stat)))))</f>
        <v/>
      </c>
      <c r="O785" s="30" t="str">
        <f t="array" ref="O785">IF($A785="", "", LET(bbgm_stat, INDEX(Players!$A784:$P784, MATCH(O$2, Players!$A$1:$P$1, 0)), perc_75, VLOOKUP(O$2, Percentiles!$A$45:$I$59, 6, FALSE), perc_90, VLOOKUP(O$2, Percentiles!$A$45:$I$59, 7, FALSE), perc_95, VLOOKUP(O$2, Percentiles!$A$45:$I$59, 8, FALSE), perc_85, perc_75 + (perc_90 - perc_75) * (2/3), converted_stat, '2K_Ratings'!O785, IF(bbgm_stat &gt;= perc_95, converted_stat * 3, IF(bbgm_stat &gt;= perc_90, converted_stat * 2, IF(bbgm_stat &gt;= perc_85, converted_stat * 1.5, converted_stat)))))</f>
        <v/>
      </c>
      <c r="P785" s="30" t="str">
        <f t="array" ref="P785">IF($A785="", "", LET(bbgm_stat, INDEX(Players!$A784:$P784, MATCH(P$2, Players!$A$1:$P$1, 0)), perc_75, VLOOKUP(P$2, Percentiles!$A$45:$I$59, 6, FALSE), perc_90, VLOOKUP(P$2, Percentiles!$A$45:$I$59, 7, FALSE), perc_95, VLOOKUP(P$2, Percentiles!$A$45:$I$59, 8, FALSE), perc_85, perc_75 + (perc_90 - perc_75) * (2/3), converted_stat, '2K_Ratings'!P785, IF(bbgm_stat &gt;= perc_95, converted_stat * 3, IF(bbgm_stat &gt;= perc_90, converted_stat * 2, IF(bbgm_stat &gt;= perc_85, converted_stat * 1.5, converted_stat)))))</f>
        <v/>
      </c>
      <c r="Q785" s="30" t="str">
        <f t="array" ref="Q785">IF($A785="", "", LET(bbgm_stat, INDEX(Players!$A784:$P784, MATCH(Q$2, Players!$A$1:$P$1, 0)), perc_75, VLOOKUP(Q$2, Percentiles!$A$45:$I$59, 6, FALSE), perc_90, VLOOKUP(Q$2, Percentiles!$A$45:$I$59, 7, FALSE), perc_95, VLOOKUP(Q$2, Percentiles!$A$45:$I$59, 8, FALSE), perc_85, perc_75 + (perc_90 - perc_75) * (2/3), converted_stat, '2K_Ratings'!Q785, IF(bbgm_stat &gt;= perc_95, converted_stat * 3, IF(bbgm_stat &gt;= perc_90, converted_stat * 2, IF(bbgm_stat &gt;= perc_85, converted_stat * 1.5, converted_stat)))))</f>
        <v/>
      </c>
      <c r="R785" s="30" t="str">
        <f t="array" ref="R785">IF($A785="", "", LET(bbgm_stat, INDEX(Players!$A784:$P784, MATCH(R$2, Players!$A$1:$P$1, 0)), perc_75, VLOOKUP(R$2, Percentiles!$A$45:$I$59, 6, FALSE), perc_90, VLOOKUP(R$2, Percentiles!$A$45:$I$59, 7, FALSE), perc_95, VLOOKUP(R$2, Percentiles!$A$45:$I$59, 8, FALSE), perc_85, perc_75 + (perc_90 - perc_75) * (2/3), converted_stat, '2K_Ratings'!R785, IF(bbgm_stat &gt;= perc_95, converted_stat * 3, IF(bbgm_stat &gt;= perc_90, converted_stat * 2, IF(bbgm_stat &gt;= perc_85, converted_stat * 1.5, converted_stat)))))</f>
        <v/>
      </c>
      <c r="S785" s="30" t="str">
        <f t="array" ref="S785">IF($A785="", "", LET(bbgm_stat, INDEX(Players!$A784:$P784, MATCH(S$2, Players!$A$1:$P$1, 0)), perc_75, VLOOKUP(S$2, Percentiles!$A$45:$I$59, 6, FALSE), perc_90, VLOOKUP(S$2, Percentiles!$A$45:$I$59, 7, FALSE), perc_95, VLOOKUP(S$2, Percentiles!$A$45:$I$59, 8, FALSE), perc_85, perc_75 + (perc_90 - perc_75) * (2/3), converted_stat, '2K_Ratings'!S785, IF(bbgm_stat &gt;= perc_95, converted_stat * 3, IF(bbgm_stat &gt;= perc_90, converted_stat * 2, IF(bbgm_stat &gt;= perc_85, converted_stat * 1.5, converted_stat)))))</f>
        <v/>
      </c>
      <c r="T785" s="30" t="str">
        <f t="array" ref="T785">IF($A785="", "", LET(bbgm_stat, INDEX(Players!$A784:$P784, MATCH(T$2, Players!$A$1:$P$1, 0)), perc_75, VLOOKUP(T$2, Percentiles!$A$45:$I$59, 6, FALSE), perc_90, VLOOKUP(T$2, Percentiles!$A$45:$I$59, 7, FALSE), perc_95, VLOOKUP(T$2, Percentiles!$A$45:$I$59, 8, FALSE), perc_85, perc_75 + (perc_90 - perc_75) * (2/3), converted_stat, '2K_Ratings'!T785, IF(bbgm_stat &gt;= perc_95, converted_stat * 3, IF(bbgm_stat &gt;= perc_90, converted_stat * 2, IF(bbgm_stat &gt;= perc_85, converted_stat * 1.5, converted_stat)))))</f>
        <v/>
      </c>
      <c r="U785" s="30" t="str">
        <f t="array" ref="U785">IF($A785="", "", LET(bbgm_stat, INDEX(Players!$A784:$P784, MATCH(U$2, Players!$A$1:$P$1, 0)), perc_75, VLOOKUP(U$2, Percentiles!$A$45:$I$59, 6, FALSE), perc_90, VLOOKUP(U$2, Percentiles!$A$45:$I$59, 7, FALSE), perc_95, VLOOKUP(U$2, Percentiles!$A$45:$I$59, 8, FALSE), perc_85, perc_75 + (perc_90 - perc_75) * (2/3), converted_stat, '2K_Ratings'!U785, IF(bbgm_stat &gt;= perc_95, converted_stat * 3, IF(bbgm_stat &gt;= perc_90, converted_stat * 2, IF(bbgm_stat &gt;= perc_85, converted_stat * 1.5, converted_stat)))))</f>
        <v/>
      </c>
      <c r="V785" s="30" t="str">
        <f t="array" ref="V785">IF($A785="", "", LET(bbgm_stat, INDEX(Players!$A784:$P784, MATCH(V$2, Players!$A$1:$P$1, 0)), perc_75, VLOOKUP(V$2, Percentiles!$A$45:$I$59, 6, FALSE), perc_90, VLOOKUP(V$2, Percentiles!$A$45:$I$59, 7, FALSE), perc_95, VLOOKUP(V$2, Percentiles!$A$45:$I$59, 8, FALSE), perc_85, perc_75 + (perc_90 - perc_75) * (2/3), converted_stat, '2K_Ratings'!V785, IF(bbgm_stat &gt;= perc_95, converted_stat * 3, IF(bbgm_stat &gt;= perc_90, converted_stat * 2, IF(bbgm_stat &gt;= perc_85, converted_stat * 1.5, converted_stat)))))</f>
        <v/>
      </c>
      <c r="W785" s="30" t="str">
        <f t="array" ref="W785">IF($A785="", "", LET(bbgm_stat, INDEX(Players!$A784:$P784, MATCH(W$2, Players!$A$1:$P$1, 0)), perc_75, VLOOKUP(W$2, Percentiles!$A$45:$I$59, 6, FALSE), perc_90, VLOOKUP(W$2, Percentiles!$A$45:$I$59, 7, FALSE), perc_95, VLOOKUP(W$2, Percentiles!$A$45:$I$59, 8, FALSE), perc_85, perc_75 + (perc_90 - perc_75) * (2/3), converted_stat, '2K_Ratings'!W785, IF(bbgm_stat &gt;= perc_95, converted_stat * 3, IF(bbgm_stat &gt;= perc_90, converted_stat * 2, IF(bbgm_stat &gt;= perc_85, converted_stat * 1.5, converted_stat)))))</f>
        <v/>
      </c>
    </row>
    <row r="786">
      <c r="A786" s="30"/>
      <c r="B786" s="30" t="str">
        <f t="array" ref="B786">IF($A786="", "", LET(bbgm_stat, INDEX(Players!$A785:$P785, MATCH(B$2, Players!$A$1:$P$1, 0)), perc_75, VLOOKUP(B$2, Percentiles!$A$45:$I$59, 6, FALSE), perc_90, VLOOKUP(B$2, Percentiles!$A$45:$I$59, 7, FALSE), perc_95, VLOOKUP(B$2, Percentiles!$A$45:$I$59, 8, FALSE), perc_85, perc_75 + (perc_90 - perc_75) * (2/3), converted_stat, '2K_Ratings'!B786, IF(bbgm_stat &gt;= perc_95, converted_stat * 3, IF(bbgm_stat &gt;= perc_90, converted_stat * 2, IF(bbgm_stat &gt;= perc_85, converted_stat * 1.5, converted_stat)))))</f>
        <v/>
      </c>
      <c r="C786" s="30" t="str">
        <f t="array" ref="C786">IF($A786="", "", LET(bbgm_stat, INDEX(Players!$A785:$P785, MATCH(C$2, Players!$A$1:$P$1, 0)), perc_75, VLOOKUP(C$2, Percentiles!$A$45:$I$59, 6, FALSE), perc_90, VLOOKUP(C$2, Percentiles!$A$45:$I$59, 7, FALSE), perc_95, VLOOKUP(C$2, Percentiles!$A$45:$I$59, 8, FALSE), perc_85, perc_75 + (perc_90 - perc_75) * (2/3), converted_stat, '2K_Ratings'!C786, IF(bbgm_stat &gt;= perc_95, converted_stat * 3, IF(bbgm_stat &gt;= perc_90, converted_stat * 2, IF(bbgm_stat &gt;= perc_85, converted_stat * 1.5, converted_stat)))))</f>
        <v/>
      </c>
      <c r="D786" s="30" t="str">
        <f t="array" ref="D786">IF($A786="", "", LET(bbgm_stat, INDEX(Players!$A785:$P785, MATCH(D$2, Players!$A$1:$P$1, 0)), perc_75, VLOOKUP(D$2, Percentiles!$A$45:$I$59, 6, FALSE), perc_90, VLOOKUP(D$2, Percentiles!$A$45:$I$59, 7, FALSE), perc_95, VLOOKUP(D$2, Percentiles!$A$45:$I$59, 8, FALSE), perc_85, perc_75 + (perc_90 - perc_75) * (2/3), converted_stat, '2K_Ratings'!D786, IF(bbgm_stat &gt;= perc_95, converted_stat * 3, IF(bbgm_stat &gt;= perc_90, converted_stat * 2, IF(bbgm_stat &gt;= perc_85, converted_stat * 1.5, converted_stat)))))</f>
        <v/>
      </c>
      <c r="E786" s="30" t="str">
        <f t="array" ref="E786">IF($A786="", "", LET(bbgm_stat, INDEX(Players!$A785:$P785, MATCH(E$2, Players!$A$1:$P$1, 0)), perc_75, VLOOKUP(E$2, Percentiles!$A$45:$I$59, 6, FALSE), perc_90, VLOOKUP(E$2, Percentiles!$A$45:$I$59, 7, FALSE), perc_95, VLOOKUP(E$2, Percentiles!$A$45:$I$59, 8, FALSE), perc_85, perc_75 + (perc_90 - perc_75) * (2/3), converted_stat, '2K_Ratings'!E786, IF(bbgm_stat &gt;= perc_95, converted_stat * 3, IF(bbgm_stat &gt;= perc_90, converted_stat * 2, IF(bbgm_stat &gt;= perc_85, converted_stat * 1.5, converted_stat)))))</f>
        <v/>
      </c>
      <c r="F786" s="30" t="str">
        <f t="array" ref="F786">IF($A786="", "", LET(bbgm_stat, INDEX(Players!$A785:$P785, MATCH(F$2, Players!$A$1:$P$1, 0)), perc_75, VLOOKUP(F$2, Percentiles!$A$45:$I$59, 6, FALSE), perc_90, VLOOKUP(F$2, Percentiles!$A$45:$I$59, 7, FALSE), perc_95, VLOOKUP(F$2, Percentiles!$A$45:$I$59, 8, FALSE), perc_85, perc_75 + (perc_90 - perc_75) * (2/3), converted_stat, '2K_Ratings'!F786, IF(bbgm_stat &gt;= perc_95, converted_stat * 3, IF(bbgm_stat &gt;= perc_90, converted_stat * 2, IF(bbgm_stat &gt;= perc_85, converted_stat * 1.5, converted_stat)))))</f>
        <v/>
      </c>
      <c r="G786" s="30" t="str">
        <f t="array" ref="G786">IF($A786="", "", LET(bbgm_stat, INDEX(Players!$A785:$P785, MATCH(G$2, Players!$A$1:$P$1, 0)), perc_75, VLOOKUP(G$2, Percentiles!$A$45:$I$59, 6, FALSE), perc_90, VLOOKUP(G$2, Percentiles!$A$45:$I$59, 7, FALSE), perc_95, VLOOKUP(G$2, Percentiles!$A$45:$I$59, 8, FALSE), perc_85, perc_75 + (perc_90 - perc_75) * (2/3), converted_stat, '2K_Ratings'!G786, IF(bbgm_stat &gt;= perc_95, converted_stat * 3, IF(bbgm_stat &gt;= perc_90, converted_stat * 2, IF(bbgm_stat &gt;= perc_85, converted_stat * 1.5, converted_stat)))))</f>
        <v/>
      </c>
      <c r="H786" s="30" t="str">
        <f t="array" ref="H786">IF($A786="", "", LET(bbgm_stat, INDEX(Players!$A785:$P785, MATCH(H$2, Players!$A$1:$P$1, 0)), perc_75, VLOOKUP(H$2, Percentiles!$A$45:$I$59, 6, FALSE), perc_90, VLOOKUP(H$2, Percentiles!$A$45:$I$59, 7, FALSE), perc_95, VLOOKUP(H$2, Percentiles!$A$45:$I$59, 8, FALSE), perc_85, perc_75 + (perc_90 - perc_75) * (2/3), converted_stat, '2K_Ratings'!H786, IF(bbgm_stat &gt;= perc_95, converted_stat * 3, IF(bbgm_stat &gt;= perc_90, converted_stat * 2, IF(bbgm_stat &gt;= perc_85, converted_stat * 1.5, converted_stat)))))</f>
        <v/>
      </c>
      <c r="I786" s="30" t="str">
        <f t="array" ref="I786">IF($A786="", "", LET(bbgm_stat, INDEX(Players!$A785:$P785, MATCH(I$2, Players!$A$1:$P$1, 0)), perc_75, VLOOKUP(I$2, Percentiles!$A$45:$I$59, 6, FALSE), perc_90, VLOOKUP(I$2, Percentiles!$A$45:$I$59, 7, FALSE), perc_95, VLOOKUP(I$2, Percentiles!$A$45:$I$59, 8, FALSE), perc_85, perc_75 + (perc_90 - perc_75) * (2/3), converted_stat, '2K_Ratings'!I786, IF(bbgm_stat &gt;= perc_95, converted_stat * 3, IF(bbgm_stat &gt;= perc_90, converted_stat * 2, IF(bbgm_stat &gt;= perc_85, converted_stat * 1.5, converted_stat)))))</f>
        <v/>
      </c>
      <c r="J786" s="30" t="str">
        <f t="array" ref="J786">IF($A786="", "", LET(bbgm_stat, INDEX(Players!$A785:$P785, MATCH(J$2, Players!$A$1:$P$1, 0)), perc_75, VLOOKUP(J$2, Percentiles!$A$45:$I$59, 6, FALSE), perc_90, VLOOKUP(J$2, Percentiles!$A$45:$I$59, 7, FALSE), perc_95, VLOOKUP(J$2, Percentiles!$A$45:$I$59, 8, FALSE), perc_85, perc_75 + (perc_90 - perc_75) * (2/3), converted_stat, '2K_Ratings'!J786, IF(bbgm_stat &gt;= perc_95, converted_stat * 3, IF(bbgm_stat &gt;= perc_90, converted_stat * 2, IF(bbgm_stat &gt;= perc_85, converted_stat * 1.5, converted_stat)))))</f>
        <v/>
      </c>
      <c r="K786" s="30" t="str">
        <f t="array" ref="K786">IF($A786="", "", LET(bbgm_stat, INDEX(Players!$A785:$P785, MATCH(K$2, Players!$A$1:$P$1, 0)), perc_75, VLOOKUP(K$2, Percentiles!$A$45:$I$59, 6, FALSE), perc_90, VLOOKUP(K$2, Percentiles!$A$45:$I$59, 7, FALSE), perc_95, VLOOKUP(K$2, Percentiles!$A$45:$I$59, 8, FALSE), perc_85, perc_75 + (perc_90 - perc_75) * (2/3), converted_stat, '2K_Ratings'!K786, IF(bbgm_stat &gt;= perc_95, converted_stat * 3, IF(bbgm_stat &gt;= perc_90, converted_stat * 2, IF(bbgm_stat &gt;= perc_85, converted_stat * 1.5, converted_stat)))))</f>
        <v/>
      </c>
      <c r="L786" s="30" t="str">
        <f t="array" ref="L786">IF($A786="", "", LET(bbgm_stat, INDEX(Players!$A785:$P785, MATCH(L$2, Players!$A$1:$P$1, 0)), perc_75, VLOOKUP(L$2, Percentiles!$A$45:$I$59, 6, FALSE), perc_90, VLOOKUP(L$2, Percentiles!$A$45:$I$59, 7, FALSE), perc_95, VLOOKUP(L$2, Percentiles!$A$45:$I$59, 8, FALSE), perc_85, perc_75 + (perc_90 - perc_75) * (2/3), converted_stat, '2K_Ratings'!L786, IF(bbgm_stat &gt;= perc_95, converted_stat * 3, IF(bbgm_stat &gt;= perc_90, converted_stat * 2, IF(bbgm_stat &gt;= perc_85, converted_stat * 1.5, converted_stat)))))</f>
        <v/>
      </c>
      <c r="M786" s="30" t="str">
        <f t="array" ref="M786">IF($A786="", "", LET(bbgm_stat, INDEX(Players!$A785:$P785, MATCH(M$2, Players!$A$1:$P$1, 0)), perc_75, VLOOKUP(M$2, Percentiles!$A$45:$I$59, 6, FALSE), perc_90, VLOOKUP(M$2, Percentiles!$A$45:$I$59, 7, FALSE), perc_95, VLOOKUP(M$2, Percentiles!$A$45:$I$59, 8, FALSE), perc_85, perc_75 + (perc_90 - perc_75) * (2/3), converted_stat, '2K_Ratings'!M786, IF(bbgm_stat &gt;= perc_95, converted_stat * 3, IF(bbgm_stat &gt;= perc_90, converted_stat * 2, IF(bbgm_stat &gt;= perc_85, converted_stat * 1.5, converted_stat)))))</f>
        <v/>
      </c>
      <c r="N786" s="30" t="str">
        <f t="array" ref="N786">IF($A786="", "", LET(bbgm_stat, INDEX(Players!$A785:$P785, MATCH(N$2, Players!$A$1:$P$1, 0)), perc_75, VLOOKUP(N$2, Percentiles!$A$45:$I$59, 6, FALSE), perc_90, VLOOKUP(N$2, Percentiles!$A$45:$I$59, 7, FALSE), perc_95, VLOOKUP(N$2, Percentiles!$A$45:$I$59, 8, FALSE), perc_85, perc_75 + (perc_90 - perc_75) * (2/3), converted_stat, '2K_Ratings'!N786, IF(bbgm_stat &gt;= perc_95, converted_stat * 3, IF(bbgm_stat &gt;= perc_90, converted_stat * 2, IF(bbgm_stat &gt;= perc_85, converted_stat * 1.5, converted_stat)))))</f>
        <v/>
      </c>
      <c r="O786" s="30" t="str">
        <f t="array" ref="O786">IF($A786="", "", LET(bbgm_stat, INDEX(Players!$A785:$P785, MATCH(O$2, Players!$A$1:$P$1, 0)), perc_75, VLOOKUP(O$2, Percentiles!$A$45:$I$59, 6, FALSE), perc_90, VLOOKUP(O$2, Percentiles!$A$45:$I$59, 7, FALSE), perc_95, VLOOKUP(O$2, Percentiles!$A$45:$I$59, 8, FALSE), perc_85, perc_75 + (perc_90 - perc_75) * (2/3), converted_stat, '2K_Ratings'!O786, IF(bbgm_stat &gt;= perc_95, converted_stat * 3, IF(bbgm_stat &gt;= perc_90, converted_stat * 2, IF(bbgm_stat &gt;= perc_85, converted_stat * 1.5, converted_stat)))))</f>
        <v/>
      </c>
      <c r="P786" s="30" t="str">
        <f t="array" ref="P786">IF($A786="", "", LET(bbgm_stat, INDEX(Players!$A785:$P785, MATCH(P$2, Players!$A$1:$P$1, 0)), perc_75, VLOOKUP(P$2, Percentiles!$A$45:$I$59, 6, FALSE), perc_90, VLOOKUP(P$2, Percentiles!$A$45:$I$59, 7, FALSE), perc_95, VLOOKUP(P$2, Percentiles!$A$45:$I$59, 8, FALSE), perc_85, perc_75 + (perc_90 - perc_75) * (2/3), converted_stat, '2K_Ratings'!P786, IF(bbgm_stat &gt;= perc_95, converted_stat * 3, IF(bbgm_stat &gt;= perc_90, converted_stat * 2, IF(bbgm_stat &gt;= perc_85, converted_stat * 1.5, converted_stat)))))</f>
        <v/>
      </c>
      <c r="Q786" s="30" t="str">
        <f t="array" ref="Q786">IF($A786="", "", LET(bbgm_stat, INDEX(Players!$A785:$P785, MATCH(Q$2, Players!$A$1:$P$1, 0)), perc_75, VLOOKUP(Q$2, Percentiles!$A$45:$I$59, 6, FALSE), perc_90, VLOOKUP(Q$2, Percentiles!$A$45:$I$59, 7, FALSE), perc_95, VLOOKUP(Q$2, Percentiles!$A$45:$I$59, 8, FALSE), perc_85, perc_75 + (perc_90 - perc_75) * (2/3), converted_stat, '2K_Ratings'!Q786, IF(bbgm_stat &gt;= perc_95, converted_stat * 3, IF(bbgm_stat &gt;= perc_90, converted_stat * 2, IF(bbgm_stat &gt;= perc_85, converted_stat * 1.5, converted_stat)))))</f>
        <v/>
      </c>
      <c r="R786" s="30" t="str">
        <f t="array" ref="R786">IF($A786="", "", LET(bbgm_stat, INDEX(Players!$A785:$P785, MATCH(R$2, Players!$A$1:$P$1, 0)), perc_75, VLOOKUP(R$2, Percentiles!$A$45:$I$59, 6, FALSE), perc_90, VLOOKUP(R$2, Percentiles!$A$45:$I$59, 7, FALSE), perc_95, VLOOKUP(R$2, Percentiles!$A$45:$I$59, 8, FALSE), perc_85, perc_75 + (perc_90 - perc_75) * (2/3), converted_stat, '2K_Ratings'!R786, IF(bbgm_stat &gt;= perc_95, converted_stat * 3, IF(bbgm_stat &gt;= perc_90, converted_stat * 2, IF(bbgm_stat &gt;= perc_85, converted_stat * 1.5, converted_stat)))))</f>
        <v/>
      </c>
      <c r="S786" s="30" t="str">
        <f t="array" ref="S786">IF($A786="", "", LET(bbgm_stat, INDEX(Players!$A785:$P785, MATCH(S$2, Players!$A$1:$P$1, 0)), perc_75, VLOOKUP(S$2, Percentiles!$A$45:$I$59, 6, FALSE), perc_90, VLOOKUP(S$2, Percentiles!$A$45:$I$59, 7, FALSE), perc_95, VLOOKUP(S$2, Percentiles!$A$45:$I$59, 8, FALSE), perc_85, perc_75 + (perc_90 - perc_75) * (2/3), converted_stat, '2K_Ratings'!S786, IF(bbgm_stat &gt;= perc_95, converted_stat * 3, IF(bbgm_stat &gt;= perc_90, converted_stat * 2, IF(bbgm_stat &gt;= perc_85, converted_stat * 1.5, converted_stat)))))</f>
        <v/>
      </c>
      <c r="T786" s="30" t="str">
        <f t="array" ref="T786">IF($A786="", "", LET(bbgm_stat, INDEX(Players!$A785:$P785, MATCH(T$2, Players!$A$1:$P$1, 0)), perc_75, VLOOKUP(T$2, Percentiles!$A$45:$I$59, 6, FALSE), perc_90, VLOOKUP(T$2, Percentiles!$A$45:$I$59, 7, FALSE), perc_95, VLOOKUP(T$2, Percentiles!$A$45:$I$59, 8, FALSE), perc_85, perc_75 + (perc_90 - perc_75) * (2/3), converted_stat, '2K_Ratings'!T786, IF(bbgm_stat &gt;= perc_95, converted_stat * 3, IF(bbgm_stat &gt;= perc_90, converted_stat * 2, IF(bbgm_stat &gt;= perc_85, converted_stat * 1.5, converted_stat)))))</f>
        <v/>
      </c>
      <c r="U786" s="30" t="str">
        <f t="array" ref="U786">IF($A786="", "", LET(bbgm_stat, INDEX(Players!$A785:$P785, MATCH(U$2, Players!$A$1:$P$1, 0)), perc_75, VLOOKUP(U$2, Percentiles!$A$45:$I$59, 6, FALSE), perc_90, VLOOKUP(U$2, Percentiles!$A$45:$I$59, 7, FALSE), perc_95, VLOOKUP(U$2, Percentiles!$A$45:$I$59, 8, FALSE), perc_85, perc_75 + (perc_90 - perc_75) * (2/3), converted_stat, '2K_Ratings'!U786, IF(bbgm_stat &gt;= perc_95, converted_stat * 3, IF(bbgm_stat &gt;= perc_90, converted_stat * 2, IF(bbgm_stat &gt;= perc_85, converted_stat * 1.5, converted_stat)))))</f>
        <v/>
      </c>
      <c r="V786" s="30" t="str">
        <f t="array" ref="V786">IF($A786="", "", LET(bbgm_stat, INDEX(Players!$A785:$P785, MATCH(V$2, Players!$A$1:$P$1, 0)), perc_75, VLOOKUP(V$2, Percentiles!$A$45:$I$59, 6, FALSE), perc_90, VLOOKUP(V$2, Percentiles!$A$45:$I$59, 7, FALSE), perc_95, VLOOKUP(V$2, Percentiles!$A$45:$I$59, 8, FALSE), perc_85, perc_75 + (perc_90 - perc_75) * (2/3), converted_stat, '2K_Ratings'!V786, IF(bbgm_stat &gt;= perc_95, converted_stat * 3, IF(bbgm_stat &gt;= perc_90, converted_stat * 2, IF(bbgm_stat &gt;= perc_85, converted_stat * 1.5, converted_stat)))))</f>
        <v/>
      </c>
      <c r="W786" s="30" t="str">
        <f t="array" ref="W786">IF($A786="", "", LET(bbgm_stat, INDEX(Players!$A785:$P785, MATCH(W$2, Players!$A$1:$P$1, 0)), perc_75, VLOOKUP(W$2, Percentiles!$A$45:$I$59, 6, FALSE), perc_90, VLOOKUP(W$2, Percentiles!$A$45:$I$59, 7, FALSE), perc_95, VLOOKUP(W$2, Percentiles!$A$45:$I$59, 8, FALSE), perc_85, perc_75 + (perc_90 - perc_75) * (2/3), converted_stat, '2K_Ratings'!W786, IF(bbgm_stat &gt;= perc_95, converted_stat * 3, IF(bbgm_stat &gt;= perc_90, converted_stat * 2, IF(bbgm_stat &gt;= perc_85, converted_stat * 1.5, converted_stat)))))</f>
        <v/>
      </c>
    </row>
    <row r="787">
      <c r="A787" s="30"/>
      <c r="B787" s="30" t="str">
        <f t="array" ref="B787">IF($A787="", "", LET(bbgm_stat, INDEX(Players!$A786:$P786, MATCH(B$2, Players!$A$1:$P$1, 0)), perc_75, VLOOKUP(B$2, Percentiles!$A$45:$I$59, 6, FALSE), perc_90, VLOOKUP(B$2, Percentiles!$A$45:$I$59, 7, FALSE), perc_95, VLOOKUP(B$2, Percentiles!$A$45:$I$59, 8, FALSE), perc_85, perc_75 + (perc_90 - perc_75) * (2/3), converted_stat, '2K_Ratings'!B787, IF(bbgm_stat &gt;= perc_95, converted_stat * 3, IF(bbgm_stat &gt;= perc_90, converted_stat * 2, IF(bbgm_stat &gt;= perc_85, converted_stat * 1.5, converted_stat)))))</f>
        <v/>
      </c>
      <c r="C787" s="30" t="str">
        <f t="array" ref="C787">IF($A787="", "", LET(bbgm_stat, INDEX(Players!$A786:$P786, MATCH(C$2, Players!$A$1:$P$1, 0)), perc_75, VLOOKUP(C$2, Percentiles!$A$45:$I$59, 6, FALSE), perc_90, VLOOKUP(C$2, Percentiles!$A$45:$I$59, 7, FALSE), perc_95, VLOOKUP(C$2, Percentiles!$A$45:$I$59, 8, FALSE), perc_85, perc_75 + (perc_90 - perc_75) * (2/3), converted_stat, '2K_Ratings'!C787, IF(bbgm_stat &gt;= perc_95, converted_stat * 3, IF(bbgm_stat &gt;= perc_90, converted_stat * 2, IF(bbgm_stat &gt;= perc_85, converted_stat * 1.5, converted_stat)))))</f>
        <v/>
      </c>
      <c r="D787" s="30" t="str">
        <f t="array" ref="D787">IF($A787="", "", LET(bbgm_stat, INDEX(Players!$A786:$P786, MATCH(D$2, Players!$A$1:$P$1, 0)), perc_75, VLOOKUP(D$2, Percentiles!$A$45:$I$59, 6, FALSE), perc_90, VLOOKUP(D$2, Percentiles!$A$45:$I$59, 7, FALSE), perc_95, VLOOKUP(D$2, Percentiles!$A$45:$I$59, 8, FALSE), perc_85, perc_75 + (perc_90 - perc_75) * (2/3), converted_stat, '2K_Ratings'!D787, IF(bbgm_stat &gt;= perc_95, converted_stat * 3, IF(bbgm_stat &gt;= perc_90, converted_stat * 2, IF(bbgm_stat &gt;= perc_85, converted_stat * 1.5, converted_stat)))))</f>
        <v/>
      </c>
      <c r="E787" s="30" t="str">
        <f t="array" ref="E787">IF($A787="", "", LET(bbgm_stat, INDEX(Players!$A786:$P786, MATCH(E$2, Players!$A$1:$P$1, 0)), perc_75, VLOOKUP(E$2, Percentiles!$A$45:$I$59, 6, FALSE), perc_90, VLOOKUP(E$2, Percentiles!$A$45:$I$59, 7, FALSE), perc_95, VLOOKUP(E$2, Percentiles!$A$45:$I$59, 8, FALSE), perc_85, perc_75 + (perc_90 - perc_75) * (2/3), converted_stat, '2K_Ratings'!E787, IF(bbgm_stat &gt;= perc_95, converted_stat * 3, IF(bbgm_stat &gt;= perc_90, converted_stat * 2, IF(bbgm_stat &gt;= perc_85, converted_stat * 1.5, converted_stat)))))</f>
        <v/>
      </c>
      <c r="F787" s="30" t="str">
        <f t="array" ref="F787">IF($A787="", "", LET(bbgm_stat, INDEX(Players!$A786:$P786, MATCH(F$2, Players!$A$1:$P$1, 0)), perc_75, VLOOKUP(F$2, Percentiles!$A$45:$I$59, 6, FALSE), perc_90, VLOOKUP(F$2, Percentiles!$A$45:$I$59, 7, FALSE), perc_95, VLOOKUP(F$2, Percentiles!$A$45:$I$59, 8, FALSE), perc_85, perc_75 + (perc_90 - perc_75) * (2/3), converted_stat, '2K_Ratings'!F787, IF(bbgm_stat &gt;= perc_95, converted_stat * 3, IF(bbgm_stat &gt;= perc_90, converted_stat * 2, IF(bbgm_stat &gt;= perc_85, converted_stat * 1.5, converted_stat)))))</f>
        <v/>
      </c>
      <c r="G787" s="30" t="str">
        <f t="array" ref="G787">IF($A787="", "", LET(bbgm_stat, INDEX(Players!$A786:$P786, MATCH(G$2, Players!$A$1:$P$1, 0)), perc_75, VLOOKUP(G$2, Percentiles!$A$45:$I$59, 6, FALSE), perc_90, VLOOKUP(G$2, Percentiles!$A$45:$I$59, 7, FALSE), perc_95, VLOOKUP(G$2, Percentiles!$A$45:$I$59, 8, FALSE), perc_85, perc_75 + (perc_90 - perc_75) * (2/3), converted_stat, '2K_Ratings'!G787, IF(bbgm_stat &gt;= perc_95, converted_stat * 3, IF(bbgm_stat &gt;= perc_90, converted_stat * 2, IF(bbgm_stat &gt;= perc_85, converted_stat * 1.5, converted_stat)))))</f>
        <v/>
      </c>
      <c r="H787" s="30" t="str">
        <f t="array" ref="H787">IF($A787="", "", LET(bbgm_stat, INDEX(Players!$A786:$P786, MATCH(H$2, Players!$A$1:$P$1, 0)), perc_75, VLOOKUP(H$2, Percentiles!$A$45:$I$59, 6, FALSE), perc_90, VLOOKUP(H$2, Percentiles!$A$45:$I$59, 7, FALSE), perc_95, VLOOKUP(H$2, Percentiles!$A$45:$I$59, 8, FALSE), perc_85, perc_75 + (perc_90 - perc_75) * (2/3), converted_stat, '2K_Ratings'!H787, IF(bbgm_stat &gt;= perc_95, converted_stat * 3, IF(bbgm_stat &gt;= perc_90, converted_stat * 2, IF(bbgm_stat &gt;= perc_85, converted_stat * 1.5, converted_stat)))))</f>
        <v/>
      </c>
      <c r="I787" s="30" t="str">
        <f t="array" ref="I787">IF($A787="", "", LET(bbgm_stat, INDEX(Players!$A786:$P786, MATCH(I$2, Players!$A$1:$P$1, 0)), perc_75, VLOOKUP(I$2, Percentiles!$A$45:$I$59, 6, FALSE), perc_90, VLOOKUP(I$2, Percentiles!$A$45:$I$59, 7, FALSE), perc_95, VLOOKUP(I$2, Percentiles!$A$45:$I$59, 8, FALSE), perc_85, perc_75 + (perc_90 - perc_75) * (2/3), converted_stat, '2K_Ratings'!I787, IF(bbgm_stat &gt;= perc_95, converted_stat * 3, IF(bbgm_stat &gt;= perc_90, converted_stat * 2, IF(bbgm_stat &gt;= perc_85, converted_stat * 1.5, converted_stat)))))</f>
        <v/>
      </c>
      <c r="J787" s="30" t="str">
        <f t="array" ref="J787">IF($A787="", "", LET(bbgm_stat, INDEX(Players!$A786:$P786, MATCH(J$2, Players!$A$1:$P$1, 0)), perc_75, VLOOKUP(J$2, Percentiles!$A$45:$I$59, 6, FALSE), perc_90, VLOOKUP(J$2, Percentiles!$A$45:$I$59, 7, FALSE), perc_95, VLOOKUP(J$2, Percentiles!$A$45:$I$59, 8, FALSE), perc_85, perc_75 + (perc_90 - perc_75) * (2/3), converted_stat, '2K_Ratings'!J787, IF(bbgm_stat &gt;= perc_95, converted_stat * 3, IF(bbgm_stat &gt;= perc_90, converted_stat * 2, IF(bbgm_stat &gt;= perc_85, converted_stat * 1.5, converted_stat)))))</f>
        <v/>
      </c>
      <c r="K787" s="30" t="str">
        <f t="array" ref="K787">IF($A787="", "", LET(bbgm_stat, INDEX(Players!$A786:$P786, MATCH(K$2, Players!$A$1:$P$1, 0)), perc_75, VLOOKUP(K$2, Percentiles!$A$45:$I$59, 6, FALSE), perc_90, VLOOKUP(K$2, Percentiles!$A$45:$I$59, 7, FALSE), perc_95, VLOOKUP(K$2, Percentiles!$A$45:$I$59, 8, FALSE), perc_85, perc_75 + (perc_90 - perc_75) * (2/3), converted_stat, '2K_Ratings'!K787, IF(bbgm_stat &gt;= perc_95, converted_stat * 3, IF(bbgm_stat &gt;= perc_90, converted_stat * 2, IF(bbgm_stat &gt;= perc_85, converted_stat * 1.5, converted_stat)))))</f>
        <v/>
      </c>
      <c r="L787" s="30" t="str">
        <f t="array" ref="L787">IF($A787="", "", LET(bbgm_stat, INDEX(Players!$A786:$P786, MATCH(L$2, Players!$A$1:$P$1, 0)), perc_75, VLOOKUP(L$2, Percentiles!$A$45:$I$59, 6, FALSE), perc_90, VLOOKUP(L$2, Percentiles!$A$45:$I$59, 7, FALSE), perc_95, VLOOKUP(L$2, Percentiles!$A$45:$I$59, 8, FALSE), perc_85, perc_75 + (perc_90 - perc_75) * (2/3), converted_stat, '2K_Ratings'!L787, IF(bbgm_stat &gt;= perc_95, converted_stat * 3, IF(bbgm_stat &gt;= perc_90, converted_stat * 2, IF(bbgm_stat &gt;= perc_85, converted_stat * 1.5, converted_stat)))))</f>
        <v/>
      </c>
      <c r="M787" s="30" t="str">
        <f t="array" ref="M787">IF($A787="", "", LET(bbgm_stat, INDEX(Players!$A786:$P786, MATCH(M$2, Players!$A$1:$P$1, 0)), perc_75, VLOOKUP(M$2, Percentiles!$A$45:$I$59, 6, FALSE), perc_90, VLOOKUP(M$2, Percentiles!$A$45:$I$59, 7, FALSE), perc_95, VLOOKUP(M$2, Percentiles!$A$45:$I$59, 8, FALSE), perc_85, perc_75 + (perc_90 - perc_75) * (2/3), converted_stat, '2K_Ratings'!M787, IF(bbgm_stat &gt;= perc_95, converted_stat * 3, IF(bbgm_stat &gt;= perc_90, converted_stat * 2, IF(bbgm_stat &gt;= perc_85, converted_stat * 1.5, converted_stat)))))</f>
        <v/>
      </c>
      <c r="N787" s="30" t="str">
        <f t="array" ref="N787">IF($A787="", "", LET(bbgm_stat, INDEX(Players!$A786:$P786, MATCH(N$2, Players!$A$1:$P$1, 0)), perc_75, VLOOKUP(N$2, Percentiles!$A$45:$I$59, 6, FALSE), perc_90, VLOOKUP(N$2, Percentiles!$A$45:$I$59, 7, FALSE), perc_95, VLOOKUP(N$2, Percentiles!$A$45:$I$59, 8, FALSE), perc_85, perc_75 + (perc_90 - perc_75) * (2/3), converted_stat, '2K_Ratings'!N787, IF(bbgm_stat &gt;= perc_95, converted_stat * 3, IF(bbgm_stat &gt;= perc_90, converted_stat * 2, IF(bbgm_stat &gt;= perc_85, converted_stat * 1.5, converted_stat)))))</f>
        <v/>
      </c>
      <c r="O787" s="30" t="str">
        <f t="array" ref="O787">IF($A787="", "", LET(bbgm_stat, INDEX(Players!$A786:$P786, MATCH(O$2, Players!$A$1:$P$1, 0)), perc_75, VLOOKUP(O$2, Percentiles!$A$45:$I$59, 6, FALSE), perc_90, VLOOKUP(O$2, Percentiles!$A$45:$I$59, 7, FALSE), perc_95, VLOOKUP(O$2, Percentiles!$A$45:$I$59, 8, FALSE), perc_85, perc_75 + (perc_90 - perc_75) * (2/3), converted_stat, '2K_Ratings'!O787, IF(bbgm_stat &gt;= perc_95, converted_stat * 3, IF(bbgm_stat &gt;= perc_90, converted_stat * 2, IF(bbgm_stat &gt;= perc_85, converted_stat * 1.5, converted_stat)))))</f>
        <v/>
      </c>
      <c r="P787" s="30" t="str">
        <f t="array" ref="P787">IF($A787="", "", LET(bbgm_stat, INDEX(Players!$A786:$P786, MATCH(P$2, Players!$A$1:$P$1, 0)), perc_75, VLOOKUP(P$2, Percentiles!$A$45:$I$59, 6, FALSE), perc_90, VLOOKUP(P$2, Percentiles!$A$45:$I$59, 7, FALSE), perc_95, VLOOKUP(P$2, Percentiles!$A$45:$I$59, 8, FALSE), perc_85, perc_75 + (perc_90 - perc_75) * (2/3), converted_stat, '2K_Ratings'!P787, IF(bbgm_stat &gt;= perc_95, converted_stat * 3, IF(bbgm_stat &gt;= perc_90, converted_stat * 2, IF(bbgm_stat &gt;= perc_85, converted_stat * 1.5, converted_stat)))))</f>
        <v/>
      </c>
      <c r="Q787" s="30" t="str">
        <f t="array" ref="Q787">IF($A787="", "", LET(bbgm_stat, INDEX(Players!$A786:$P786, MATCH(Q$2, Players!$A$1:$P$1, 0)), perc_75, VLOOKUP(Q$2, Percentiles!$A$45:$I$59, 6, FALSE), perc_90, VLOOKUP(Q$2, Percentiles!$A$45:$I$59, 7, FALSE), perc_95, VLOOKUP(Q$2, Percentiles!$A$45:$I$59, 8, FALSE), perc_85, perc_75 + (perc_90 - perc_75) * (2/3), converted_stat, '2K_Ratings'!Q787, IF(bbgm_stat &gt;= perc_95, converted_stat * 3, IF(bbgm_stat &gt;= perc_90, converted_stat * 2, IF(bbgm_stat &gt;= perc_85, converted_stat * 1.5, converted_stat)))))</f>
        <v/>
      </c>
      <c r="R787" s="30" t="str">
        <f t="array" ref="R787">IF($A787="", "", LET(bbgm_stat, INDEX(Players!$A786:$P786, MATCH(R$2, Players!$A$1:$P$1, 0)), perc_75, VLOOKUP(R$2, Percentiles!$A$45:$I$59, 6, FALSE), perc_90, VLOOKUP(R$2, Percentiles!$A$45:$I$59, 7, FALSE), perc_95, VLOOKUP(R$2, Percentiles!$A$45:$I$59, 8, FALSE), perc_85, perc_75 + (perc_90 - perc_75) * (2/3), converted_stat, '2K_Ratings'!R787, IF(bbgm_stat &gt;= perc_95, converted_stat * 3, IF(bbgm_stat &gt;= perc_90, converted_stat * 2, IF(bbgm_stat &gt;= perc_85, converted_stat * 1.5, converted_stat)))))</f>
        <v/>
      </c>
      <c r="S787" s="30" t="str">
        <f t="array" ref="S787">IF($A787="", "", LET(bbgm_stat, INDEX(Players!$A786:$P786, MATCH(S$2, Players!$A$1:$P$1, 0)), perc_75, VLOOKUP(S$2, Percentiles!$A$45:$I$59, 6, FALSE), perc_90, VLOOKUP(S$2, Percentiles!$A$45:$I$59, 7, FALSE), perc_95, VLOOKUP(S$2, Percentiles!$A$45:$I$59, 8, FALSE), perc_85, perc_75 + (perc_90 - perc_75) * (2/3), converted_stat, '2K_Ratings'!S787, IF(bbgm_stat &gt;= perc_95, converted_stat * 3, IF(bbgm_stat &gt;= perc_90, converted_stat * 2, IF(bbgm_stat &gt;= perc_85, converted_stat * 1.5, converted_stat)))))</f>
        <v/>
      </c>
      <c r="T787" s="30" t="str">
        <f t="array" ref="T787">IF($A787="", "", LET(bbgm_stat, INDEX(Players!$A786:$P786, MATCH(T$2, Players!$A$1:$P$1, 0)), perc_75, VLOOKUP(T$2, Percentiles!$A$45:$I$59, 6, FALSE), perc_90, VLOOKUP(T$2, Percentiles!$A$45:$I$59, 7, FALSE), perc_95, VLOOKUP(T$2, Percentiles!$A$45:$I$59, 8, FALSE), perc_85, perc_75 + (perc_90 - perc_75) * (2/3), converted_stat, '2K_Ratings'!T787, IF(bbgm_stat &gt;= perc_95, converted_stat * 3, IF(bbgm_stat &gt;= perc_90, converted_stat * 2, IF(bbgm_stat &gt;= perc_85, converted_stat * 1.5, converted_stat)))))</f>
        <v/>
      </c>
      <c r="U787" s="30" t="str">
        <f t="array" ref="U787">IF($A787="", "", LET(bbgm_stat, INDEX(Players!$A786:$P786, MATCH(U$2, Players!$A$1:$P$1, 0)), perc_75, VLOOKUP(U$2, Percentiles!$A$45:$I$59, 6, FALSE), perc_90, VLOOKUP(U$2, Percentiles!$A$45:$I$59, 7, FALSE), perc_95, VLOOKUP(U$2, Percentiles!$A$45:$I$59, 8, FALSE), perc_85, perc_75 + (perc_90 - perc_75) * (2/3), converted_stat, '2K_Ratings'!U787, IF(bbgm_stat &gt;= perc_95, converted_stat * 3, IF(bbgm_stat &gt;= perc_90, converted_stat * 2, IF(bbgm_stat &gt;= perc_85, converted_stat * 1.5, converted_stat)))))</f>
        <v/>
      </c>
      <c r="V787" s="30" t="str">
        <f t="array" ref="V787">IF($A787="", "", LET(bbgm_stat, INDEX(Players!$A786:$P786, MATCH(V$2, Players!$A$1:$P$1, 0)), perc_75, VLOOKUP(V$2, Percentiles!$A$45:$I$59, 6, FALSE), perc_90, VLOOKUP(V$2, Percentiles!$A$45:$I$59, 7, FALSE), perc_95, VLOOKUP(V$2, Percentiles!$A$45:$I$59, 8, FALSE), perc_85, perc_75 + (perc_90 - perc_75) * (2/3), converted_stat, '2K_Ratings'!V787, IF(bbgm_stat &gt;= perc_95, converted_stat * 3, IF(bbgm_stat &gt;= perc_90, converted_stat * 2, IF(bbgm_stat &gt;= perc_85, converted_stat * 1.5, converted_stat)))))</f>
        <v/>
      </c>
      <c r="W787" s="30" t="str">
        <f t="array" ref="W787">IF($A787="", "", LET(bbgm_stat, INDEX(Players!$A786:$P786, MATCH(W$2, Players!$A$1:$P$1, 0)), perc_75, VLOOKUP(W$2, Percentiles!$A$45:$I$59, 6, FALSE), perc_90, VLOOKUP(W$2, Percentiles!$A$45:$I$59, 7, FALSE), perc_95, VLOOKUP(W$2, Percentiles!$A$45:$I$59, 8, FALSE), perc_85, perc_75 + (perc_90 - perc_75) * (2/3), converted_stat, '2K_Ratings'!W787, IF(bbgm_stat &gt;= perc_95, converted_stat * 3, IF(bbgm_stat &gt;= perc_90, converted_stat * 2, IF(bbgm_stat &gt;= perc_85, converted_stat * 1.5, converted_stat)))))</f>
        <v/>
      </c>
    </row>
    <row r="788">
      <c r="A788" s="30"/>
      <c r="B788" s="30" t="str">
        <f t="array" ref="B788">IF($A788="", "", LET(bbgm_stat, INDEX(Players!$A787:$P787, MATCH(B$2, Players!$A$1:$P$1, 0)), perc_75, VLOOKUP(B$2, Percentiles!$A$45:$I$59, 6, FALSE), perc_90, VLOOKUP(B$2, Percentiles!$A$45:$I$59, 7, FALSE), perc_95, VLOOKUP(B$2, Percentiles!$A$45:$I$59, 8, FALSE), perc_85, perc_75 + (perc_90 - perc_75) * (2/3), converted_stat, '2K_Ratings'!B788, IF(bbgm_stat &gt;= perc_95, converted_stat * 3, IF(bbgm_stat &gt;= perc_90, converted_stat * 2, IF(bbgm_stat &gt;= perc_85, converted_stat * 1.5, converted_stat)))))</f>
        <v/>
      </c>
      <c r="C788" s="30" t="str">
        <f t="array" ref="C788">IF($A788="", "", LET(bbgm_stat, INDEX(Players!$A787:$P787, MATCH(C$2, Players!$A$1:$P$1, 0)), perc_75, VLOOKUP(C$2, Percentiles!$A$45:$I$59, 6, FALSE), perc_90, VLOOKUP(C$2, Percentiles!$A$45:$I$59, 7, FALSE), perc_95, VLOOKUP(C$2, Percentiles!$A$45:$I$59, 8, FALSE), perc_85, perc_75 + (perc_90 - perc_75) * (2/3), converted_stat, '2K_Ratings'!C788, IF(bbgm_stat &gt;= perc_95, converted_stat * 3, IF(bbgm_stat &gt;= perc_90, converted_stat * 2, IF(bbgm_stat &gt;= perc_85, converted_stat * 1.5, converted_stat)))))</f>
        <v/>
      </c>
      <c r="D788" s="30" t="str">
        <f t="array" ref="D788">IF($A788="", "", LET(bbgm_stat, INDEX(Players!$A787:$P787, MATCH(D$2, Players!$A$1:$P$1, 0)), perc_75, VLOOKUP(D$2, Percentiles!$A$45:$I$59, 6, FALSE), perc_90, VLOOKUP(D$2, Percentiles!$A$45:$I$59, 7, FALSE), perc_95, VLOOKUP(D$2, Percentiles!$A$45:$I$59, 8, FALSE), perc_85, perc_75 + (perc_90 - perc_75) * (2/3), converted_stat, '2K_Ratings'!D788, IF(bbgm_stat &gt;= perc_95, converted_stat * 3, IF(bbgm_stat &gt;= perc_90, converted_stat * 2, IF(bbgm_stat &gt;= perc_85, converted_stat * 1.5, converted_stat)))))</f>
        <v/>
      </c>
      <c r="E788" s="30" t="str">
        <f t="array" ref="E788">IF($A788="", "", LET(bbgm_stat, INDEX(Players!$A787:$P787, MATCH(E$2, Players!$A$1:$P$1, 0)), perc_75, VLOOKUP(E$2, Percentiles!$A$45:$I$59, 6, FALSE), perc_90, VLOOKUP(E$2, Percentiles!$A$45:$I$59, 7, FALSE), perc_95, VLOOKUP(E$2, Percentiles!$A$45:$I$59, 8, FALSE), perc_85, perc_75 + (perc_90 - perc_75) * (2/3), converted_stat, '2K_Ratings'!E788, IF(bbgm_stat &gt;= perc_95, converted_stat * 3, IF(bbgm_stat &gt;= perc_90, converted_stat * 2, IF(bbgm_stat &gt;= perc_85, converted_stat * 1.5, converted_stat)))))</f>
        <v/>
      </c>
      <c r="F788" s="30" t="str">
        <f t="array" ref="F788">IF($A788="", "", LET(bbgm_stat, INDEX(Players!$A787:$P787, MATCH(F$2, Players!$A$1:$P$1, 0)), perc_75, VLOOKUP(F$2, Percentiles!$A$45:$I$59, 6, FALSE), perc_90, VLOOKUP(F$2, Percentiles!$A$45:$I$59, 7, FALSE), perc_95, VLOOKUP(F$2, Percentiles!$A$45:$I$59, 8, FALSE), perc_85, perc_75 + (perc_90 - perc_75) * (2/3), converted_stat, '2K_Ratings'!F788, IF(bbgm_stat &gt;= perc_95, converted_stat * 3, IF(bbgm_stat &gt;= perc_90, converted_stat * 2, IF(bbgm_stat &gt;= perc_85, converted_stat * 1.5, converted_stat)))))</f>
        <v/>
      </c>
      <c r="G788" s="30" t="str">
        <f t="array" ref="G788">IF($A788="", "", LET(bbgm_stat, INDEX(Players!$A787:$P787, MATCH(G$2, Players!$A$1:$P$1, 0)), perc_75, VLOOKUP(G$2, Percentiles!$A$45:$I$59, 6, FALSE), perc_90, VLOOKUP(G$2, Percentiles!$A$45:$I$59, 7, FALSE), perc_95, VLOOKUP(G$2, Percentiles!$A$45:$I$59, 8, FALSE), perc_85, perc_75 + (perc_90 - perc_75) * (2/3), converted_stat, '2K_Ratings'!G788, IF(bbgm_stat &gt;= perc_95, converted_stat * 3, IF(bbgm_stat &gt;= perc_90, converted_stat * 2, IF(bbgm_stat &gt;= perc_85, converted_stat * 1.5, converted_stat)))))</f>
        <v/>
      </c>
      <c r="H788" s="30" t="str">
        <f t="array" ref="H788">IF($A788="", "", LET(bbgm_stat, INDEX(Players!$A787:$P787, MATCH(H$2, Players!$A$1:$P$1, 0)), perc_75, VLOOKUP(H$2, Percentiles!$A$45:$I$59, 6, FALSE), perc_90, VLOOKUP(H$2, Percentiles!$A$45:$I$59, 7, FALSE), perc_95, VLOOKUP(H$2, Percentiles!$A$45:$I$59, 8, FALSE), perc_85, perc_75 + (perc_90 - perc_75) * (2/3), converted_stat, '2K_Ratings'!H788, IF(bbgm_stat &gt;= perc_95, converted_stat * 3, IF(bbgm_stat &gt;= perc_90, converted_stat * 2, IF(bbgm_stat &gt;= perc_85, converted_stat * 1.5, converted_stat)))))</f>
        <v/>
      </c>
      <c r="I788" s="30" t="str">
        <f t="array" ref="I788">IF($A788="", "", LET(bbgm_stat, INDEX(Players!$A787:$P787, MATCH(I$2, Players!$A$1:$P$1, 0)), perc_75, VLOOKUP(I$2, Percentiles!$A$45:$I$59, 6, FALSE), perc_90, VLOOKUP(I$2, Percentiles!$A$45:$I$59, 7, FALSE), perc_95, VLOOKUP(I$2, Percentiles!$A$45:$I$59, 8, FALSE), perc_85, perc_75 + (perc_90 - perc_75) * (2/3), converted_stat, '2K_Ratings'!I788, IF(bbgm_stat &gt;= perc_95, converted_stat * 3, IF(bbgm_stat &gt;= perc_90, converted_stat * 2, IF(bbgm_stat &gt;= perc_85, converted_stat * 1.5, converted_stat)))))</f>
        <v/>
      </c>
      <c r="J788" s="30" t="str">
        <f t="array" ref="J788">IF($A788="", "", LET(bbgm_stat, INDEX(Players!$A787:$P787, MATCH(J$2, Players!$A$1:$P$1, 0)), perc_75, VLOOKUP(J$2, Percentiles!$A$45:$I$59, 6, FALSE), perc_90, VLOOKUP(J$2, Percentiles!$A$45:$I$59, 7, FALSE), perc_95, VLOOKUP(J$2, Percentiles!$A$45:$I$59, 8, FALSE), perc_85, perc_75 + (perc_90 - perc_75) * (2/3), converted_stat, '2K_Ratings'!J788, IF(bbgm_stat &gt;= perc_95, converted_stat * 3, IF(bbgm_stat &gt;= perc_90, converted_stat * 2, IF(bbgm_stat &gt;= perc_85, converted_stat * 1.5, converted_stat)))))</f>
        <v/>
      </c>
      <c r="K788" s="30" t="str">
        <f t="array" ref="K788">IF($A788="", "", LET(bbgm_stat, INDEX(Players!$A787:$P787, MATCH(K$2, Players!$A$1:$P$1, 0)), perc_75, VLOOKUP(K$2, Percentiles!$A$45:$I$59, 6, FALSE), perc_90, VLOOKUP(K$2, Percentiles!$A$45:$I$59, 7, FALSE), perc_95, VLOOKUP(K$2, Percentiles!$A$45:$I$59, 8, FALSE), perc_85, perc_75 + (perc_90 - perc_75) * (2/3), converted_stat, '2K_Ratings'!K788, IF(bbgm_stat &gt;= perc_95, converted_stat * 3, IF(bbgm_stat &gt;= perc_90, converted_stat * 2, IF(bbgm_stat &gt;= perc_85, converted_stat * 1.5, converted_stat)))))</f>
        <v/>
      </c>
      <c r="L788" s="30" t="str">
        <f t="array" ref="L788">IF($A788="", "", LET(bbgm_stat, INDEX(Players!$A787:$P787, MATCH(L$2, Players!$A$1:$P$1, 0)), perc_75, VLOOKUP(L$2, Percentiles!$A$45:$I$59, 6, FALSE), perc_90, VLOOKUP(L$2, Percentiles!$A$45:$I$59, 7, FALSE), perc_95, VLOOKUP(L$2, Percentiles!$A$45:$I$59, 8, FALSE), perc_85, perc_75 + (perc_90 - perc_75) * (2/3), converted_stat, '2K_Ratings'!L788, IF(bbgm_stat &gt;= perc_95, converted_stat * 3, IF(bbgm_stat &gt;= perc_90, converted_stat * 2, IF(bbgm_stat &gt;= perc_85, converted_stat * 1.5, converted_stat)))))</f>
        <v/>
      </c>
      <c r="M788" s="30" t="str">
        <f t="array" ref="M788">IF($A788="", "", LET(bbgm_stat, INDEX(Players!$A787:$P787, MATCH(M$2, Players!$A$1:$P$1, 0)), perc_75, VLOOKUP(M$2, Percentiles!$A$45:$I$59, 6, FALSE), perc_90, VLOOKUP(M$2, Percentiles!$A$45:$I$59, 7, FALSE), perc_95, VLOOKUP(M$2, Percentiles!$A$45:$I$59, 8, FALSE), perc_85, perc_75 + (perc_90 - perc_75) * (2/3), converted_stat, '2K_Ratings'!M788, IF(bbgm_stat &gt;= perc_95, converted_stat * 3, IF(bbgm_stat &gt;= perc_90, converted_stat * 2, IF(bbgm_stat &gt;= perc_85, converted_stat * 1.5, converted_stat)))))</f>
        <v/>
      </c>
      <c r="N788" s="30" t="str">
        <f t="array" ref="N788">IF($A788="", "", LET(bbgm_stat, INDEX(Players!$A787:$P787, MATCH(N$2, Players!$A$1:$P$1, 0)), perc_75, VLOOKUP(N$2, Percentiles!$A$45:$I$59, 6, FALSE), perc_90, VLOOKUP(N$2, Percentiles!$A$45:$I$59, 7, FALSE), perc_95, VLOOKUP(N$2, Percentiles!$A$45:$I$59, 8, FALSE), perc_85, perc_75 + (perc_90 - perc_75) * (2/3), converted_stat, '2K_Ratings'!N788, IF(bbgm_stat &gt;= perc_95, converted_stat * 3, IF(bbgm_stat &gt;= perc_90, converted_stat * 2, IF(bbgm_stat &gt;= perc_85, converted_stat * 1.5, converted_stat)))))</f>
        <v/>
      </c>
      <c r="O788" s="30" t="str">
        <f t="array" ref="O788">IF($A788="", "", LET(bbgm_stat, INDEX(Players!$A787:$P787, MATCH(O$2, Players!$A$1:$P$1, 0)), perc_75, VLOOKUP(O$2, Percentiles!$A$45:$I$59, 6, FALSE), perc_90, VLOOKUP(O$2, Percentiles!$A$45:$I$59, 7, FALSE), perc_95, VLOOKUP(O$2, Percentiles!$A$45:$I$59, 8, FALSE), perc_85, perc_75 + (perc_90 - perc_75) * (2/3), converted_stat, '2K_Ratings'!O788, IF(bbgm_stat &gt;= perc_95, converted_stat * 3, IF(bbgm_stat &gt;= perc_90, converted_stat * 2, IF(bbgm_stat &gt;= perc_85, converted_stat * 1.5, converted_stat)))))</f>
        <v/>
      </c>
      <c r="P788" s="30" t="str">
        <f t="array" ref="P788">IF($A788="", "", LET(bbgm_stat, INDEX(Players!$A787:$P787, MATCH(P$2, Players!$A$1:$P$1, 0)), perc_75, VLOOKUP(P$2, Percentiles!$A$45:$I$59, 6, FALSE), perc_90, VLOOKUP(P$2, Percentiles!$A$45:$I$59, 7, FALSE), perc_95, VLOOKUP(P$2, Percentiles!$A$45:$I$59, 8, FALSE), perc_85, perc_75 + (perc_90 - perc_75) * (2/3), converted_stat, '2K_Ratings'!P788, IF(bbgm_stat &gt;= perc_95, converted_stat * 3, IF(bbgm_stat &gt;= perc_90, converted_stat * 2, IF(bbgm_stat &gt;= perc_85, converted_stat * 1.5, converted_stat)))))</f>
        <v/>
      </c>
      <c r="Q788" s="30" t="str">
        <f t="array" ref="Q788">IF($A788="", "", LET(bbgm_stat, INDEX(Players!$A787:$P787, MATCH(Q$2, Players!$A$1:$P$1, 0)), perc_75, VLOOKUP(Q$2, Percentiles!$A$45:$I$59, 6, FALSE), perc_90, VLOOKUP(Q$2, Percentiles!$A$45:$I$59, 7, FALSE), perc_95, VLOOKUP(Q$2, Percentiles!$A$45:$I$59, 8, FALSE), perc_85, perc_75 + (perc_90 - perc_75) * (2/3), converted_stat, '2K_Ratings'!Q788, IF(bbgm_stat &gt;= perc_95, converted_stat * 3, IF(bbgm_stat &gt;= perc_90, converted_stat * 2, IF(bbgm_stat &gt;= perc_85, converted_stat * 1.5, converted_stat)))))</f>
        <v/>
      </c>
      <c r="R788" s="30" t="str">
        <f t="array" ref="R788">IF($A788="", "", LET(bbgm_stat, INDEX(Players!$A787:$P787, MATCH(R$2, Players!$A$1:$P$1, 0)), perc_75, VLOOKUP(R$2, Percentiles!$A$45:$I$59, 6, FALSE), perc_90, VLOOKUP(R$2, Percentiles!$A$45:$I$59, 7, FALSE), perc_95, VLOOKUP(R$2, Percentiles!$A$45:$I$59, 8, FALSE), perc_85, perc_75 + (perc_90 - perc_75) * (2/3), converted_stat, '2K_Ratings'!R788, IF(bbgm_stat &gt;= perc_95, converted_stat * 3, IF(bbgm_stat &gt;= perc_90, converted_stat * 2, IF(bbgm_stat &gt;= perc_85, converted_stat * 1.5, converted_stat)))))</f>
        <v/>
      </c>
      <c r="S788" s="30" t="str">
        <f t="array" ref="S788">IF($A788="", "", LET(bbgm_stat, INDEX(Players!$A787:$P787, MATCH(S$2, Players!$A$1:$P$1, 0)), perc_75, VLOOKUP(S$2, Percentiles!$A$45:$I$59, 6, FALSE), perc_90, VLOOKUP(S$2, Percentiles!$A$45:$I$59, 7, FALSE), perc_95, VLOOKUP(S$2, Percentiles!$A$45:$I$59, 8, FALSE), perc_85, perc_75 + (perc_90 - perc_75) * (2/3), converted_stat, '2K_Ratings'!S788, IF(bbgm_stat &gt;= perc_95, converted_stat * 3, IF(bbgm_stat &gt;= perc_90, converted_stat * 2, IF(bbgm_stat &gt;= perc_85, converted_stat * 1.5, converted_stat)))))</f>
        <v/>
      </c>
      <c r="T788" s="30" t="str">
        <f t="array" ref="T788">IF($A788="", "", LET(bbgm_stat, INDEX(Players!$A787:$P787, MATCH(T$2, Players!$A$1:$P$1, 0)), perc_75, VLOOKUP(T$2, Percentiles!$A$45:$I$59, 6, FALSE), perc_90, VLOOKUP(T$2, Percentiles!$A$45:$I$59, 7, FALSE), perc_95, VLOOKUP(T$2, Percentiles!$A$45:$I$59, 8, FALSE), perc_85, perc_75 + (perc_90 - perc_75) * (2/3), converted_stat, '2K_Ratings'!T788, IF(bbgm_stat &gt;= perc_95, converted_stat * 3, IF(bbgm_stat &gt;= perc_90, converted_stat * 2, IF(bbgm_stat &gt;= perc_85, converted_stat * 1.5, converted_stat)))))</f>
        <v/>
      </c>
      <c r="U788" s="30" t="str">
        <f t="array" ref="U788">IF($A788="", "", LET(bbgm_stat, INDEX(Players!$A787:$P787, MATCH(U$2, Players!$A$1:$P$1, 0)), perc_75, VLOOKUP(U$2, Percentiles!$A$45:$I$59, 6, FALSE), perc_90, VLOOKUP(U$2, Percentiles!$A$45:$I$59, 7, FALSE), perc_95, VLOOKUP(U$2, Percentiles!$A$45:$I$59, 8, FALSE), perc_85, perc_75 + (perc_90 - perc_75) * (2/3), converted_stat, '2K_Ratings'!U788, IF(bbgm_stat &gt;= perc_95, converted_stat * 3, IF(bbgm_stat &gt;= perc_90, converted_stat * 2, IF(bbgm_stat &gt;= perc_85, converted_stat * 1.5, converted_stat)))))</f>
        <v/>
      </c>
      <c r="V788" s="30" t="str">
        <f t="array" ref="V788">IF($A788="", "", LET(bbgm_stat, INDEX(Players!$A787:$P787, MATCH(V$2, Players!$A$1:$P$1, 0)), perc_75, VLOOKUP(V$2, Percentiles!$A$45:$I$59, 6, FALSE), perc_90, VLOOKUP(V$2, Percentiles!$A$45:$I$59, 7, FALSE), perc_95, VLOOKUP(V$2, Percentiles!$A$45:$I$59, 8, FALSE), perc_85, perc_75 + (perc_90 - perc_75) * (2/3), converted_stat, '2K_Ratings'!V788, IF(bbgm_stat &gt;= perc_95, converted_stat * 3, IF(bbgm_stat &gt;= perc_90, converted_stat * 2, IF(bbgm_stat &gt;= perc_85, converted_stat * 1.5, converted_stat)))))</f>
        <v/>
      </c>
      <c r="W788" s="30" t="str">
        <f t="array" ref="W788">IF($A788="", "", LET(bbgm_stat, INDEX(Players!$A787:$P787, MATCH(W$2, Players!$A$1:$P$1, 0)), perc_75, VLOOKUP(W$2, Percentiles!$A$45:$I$59, 6, FALSE), perc_90, VLOOKUP(W$2, Percentiles!$A$45:$I$59, 7, FALSE), perc_95, VLOOKUP(W$2, Percentiles!$A$45:$I$59, 8, FALSE), perc_85, perc_75 + (perc_90 - perc_75) * (2/3), converted_stat, '2K_Ratings'!W788, IF(bbgm_stat &gt;= perc_95, converted_stat * 3, IF(bbgm_stat &gt;= perc_90, converted_stat * 2, IF(bbgm_stat &gt;= perc_85, converted_stat * 1.5, converted_stat)))))</f>
        <v/>
      </c>
    </row>
    <row r="789">
      <c r="A789" s="30"/>
      <c r="B789" s="30" t="str">
        <f t="array" ref="B789">IF($A789="", "", LET(bbgm_stat, INDEX(Players!$A788:$P788, MATCH(B$2, Players!$A$1:$P$1, 0)), perc_75, VLOOKUP(B$2, Percentiles!$A$45:$I$59, 6, FALSE), perc_90, VLOOKUP(B$2, Percentiles!$A$45:$I$59, 7, FALSE), perc_95, VLOOKUP(B$2, Percentiles!$A$45:$I$59, 8, FALSE), perc_85, perc_75 + (perc_90 - perc_75) * (2/3), converted_stat, '2K_Ratings'!B789, IF(bbgm_stat &gt;= perc_95, converted_stat * 3, IF(bbgm_stat &gt;= perc_90, converted_stat * 2, IF(bbgm_stat &gt;= perc_85, converted_stat * 1.5, converted_stat)))))</f>
        <v/>
      </c>
      <c r="C789" s="30" t="str">
        <f t="array" ref="C789">IF($A789="", "", LET(bbgm_stat, INDEX(Players!$A788:$P788, MATCH(C$2, Players!$A$1:$P$1, 0)), perc_75, VLOOKUP(C$2, Percentiles!$A$45:$I$59, 6, FALSE), perc_90, VLOOKUP(C$2, Percentiles!$A$45:$I$59, 7, FALSE), perc_95, VLOOKUP(C$2, Percentiles!$A$45:$I$59, 8, FALSE), perc_85, perc_75 + (perc_90 - perc_75) * (2/3), converted_stat, '2K_Ratings'!C789, IF(bbgm_stat &gt;= perc_95, converted_stat * 3, IF(bbgm_stat &gt;= perc_90, converted_stat * 2, IF(bbgm_stat &gt;= perc_85, converted_stat * 1.5, converted_stat)))))</f>
        <v/>
      </c>
      <c r="D789" s="30" t="str">
        <f t="array" ref="D789">IF($A789="", "", LET(bbgm_stat, INDEX(Players!$A788:$P788, MATCH(D$2, Players!$A$1:$P$1, 0)), perc_75, VLOOKUP(D$2, Percentiles!$A$45:$I$59, 6, FALSE), perc_90, VLOOKUP(D$2, Percentiles!$A$45:$I$59, 7, FALSE), perc_95, VLOOKUP(D$2, Percentiles!$A$45:$I$59, 8, FALSE), perc_85, perc_75 + (perc_90 - perc_75) * (2/3), converted_stat, '2K_Ratings'!D789, IF(bbgm_stat &gt;= perc_95, converted_stat * 3, IF(bbgm_stat &gt;= perc_90, converted_stat * 2, IF(bbgm_stat &gt;= perc_85, converted_stat * 1.5, converted_stat)))))</f>
        <v/>
      </c>
      <c r="E789" s="30" t="str">
        <f t="array" ref="E789">IF($A789="", "", LET(bbgm_stat, INDEX(Players!$A788:$P788, MATCH(E$2, Players!$A$1:$P$1, 0)), perc_75, VLOOKUP(E$2, Percentiles!$A$45:$I$59, 6, FALSE), perc_90, VLOOKUP(E$2, Percentiles!$A$45:$I$59, 7, FALSE), perc_95, VLOOKUP(E$2, Percentiles!$A$45:$I$59, 8, FALSE), perc_85, perc_75 + (perc_90 - perc_75) * (2/3), converted_stat, '2K_Ratings'!E789, IF(bbgm_stat &gt;= perc_95, converted_stat * 3, IF(bbgm_stat &gt;= perc_90, converted_stat * 2, IF(bbgm_stat &gt;= perc_85, converted_stat * 1.5, converted_stat)))))</f>
        <v/>
      </c>
      <c r="F789" s="30" t="str">
        <f t="array" ref="F789">IF($A789="", "", LET(bbgm_stat, INDEX(Players!$A788:$P788, MATCH(F$2, Players!$A$1:$P$1, 0)), perc_75, VLOOKUP(F$2, Percentiles!$A$45:$I$59, 6, FALSE), perc_90, VLOOKUP(F$2, Percentiles!$A$45:$I$59, 7, FALSE), perc_95, VLOOKUP(F$2, Percentiles!$A$45:$I$59, 8, FALSE), perc_85, perc_75 + (perc_90 - perc_75) * (2/3), converted_stat, '2K_Ratings'!F789, IF(bbgm_stat &gt;= perc_95, converted_stat * 3, IF(bbgm_stat &gt;= perc_90, converted_stat * 2, IF(bbgm_stat &gt;= perc_85, converted_stat * 1.5, converted_stat)))))</f>
        <v/>
      </c>
      <c r="G789" s="30" t="str">
        <f t="array" ref="G789">IF($A789="", "", LET(bbgm_stat, INDEX(Players!$A788:$P788, MATCH(G$2, Players!$A$1:$P$1, 0)), perc_75, VLOOKUP(G$2, Percentiles!$A$45:$I$59, 6, FALSE), perc_90, VLOOKUP(G$2, Percentiles!$A$45:$I$59, 7, FALSE), perc_95, VLOOKUP(G$2, Percentiles!$A$45:$I$59, 8, FALSE), perc_85, perc_75 + (perc_90 - perc_75) * (2/3), converted_stat, '2K_Ratings'!G789, IF(bbgm_stat &gt;= perc_95, converted_stat * 3, IF(bbgm_stat &gt;= perc_90, converted_stat * 2, IF(bbgm_stat &gt;= perc_85, converted_stat * 1.5, converted_stat)))))</f>
        <v/>
      </c>
      <c r="H789" s="30" t="str">
        <f t="array" ref="H789">IF($A789="", "", LET(bbgm_stat, INDEX(Players!$A788:$P788, MATCH(H$2, Players!$A$1:$P$1, 0)), perc_75, VLOOKUP(H$2, Percentiles!$A$45:$I$59, 6, FALSE), perc_90, VLOOKUP(H$2, Percentiles!$A$45:$I$59, 7, FALSE), perc_95, VLOOKUP(H$2, Percentiles!$A$45:$I$59, 8, FALSE), perc_85, perc_75 + (perc_90 - perc_75) * (2/3), converted_stat, '2K_Ratings'!H789, IF(bbgm_stat &gt;= perc_95, converted_stat * 3, IF(bbgm_stat &gt;= perc_90, converted_stat * 2, IF(bbgm_stat &gt;= perc_85, converted_stat * 1.5, converted_stat)))))</f>
        <v/>
      </c>
      <c r="I789" s="30" t="str">
        <f t="array" ref="I789">IF($A789="", "", LET(bbgm_stat, INDEX(Players!$A788:$P788, MATCH(I$2, Players!$A$1:$P$1, 0)), perc_75, VLOOKUP(I$2, Percentiles!$A$45:$I$59, 6, FALSE), perc_90, VLOOKUP(I$2, Percentiles!$A$45:$I$59, 7, FALSE), perc_95, VLOOKUP(I$2, Percentiles!$A$45:$I$59, 8, FALSE), perc_85, perc_75 + (perc_90 - perc_75) * (2/3), converted_stat, '2K_Ratings'!I789, IF(bbgm_stat &gt;= perc_95, converted_stat * 3, IF(bbgm_stat &gt;= perc_90, converted_stat * 2, IF(bbgm_stat &gt;= perc_85, converted_stat * 1.5, converted_stat)))))</f>
        <v/>
      </c>
      <c r="J789" s="30" t="str">
        <f t="array" ref="J789">IF($A789="", "", LET(bbgm_stat, INDEX(Players!$A788:$P788, MATCH(J$2, Players!$A$1:$P$1, 0)), perc_75, VLOOKUP(J$2, Percentiles!$A$45:$I$59, 6, FALSE), perc_90, VLOOKUP(J$2, Percentiles!$A$45:$I$59, 7, FALSE), perc_95, VLOOKUP(J$2, Percentiles!$A$45:$I$59, 8, FALSE), perc_85, perc_75 + (perc_90 - perc_75) * (2/3), converted_stat, '2K_Ratings'!J789, IF(bbgm_stat &gt;= perc_95, converted_stat * 3, IF(bbgm_stat &gt;= perc_90, converted_stat * 2, IF(bbgm_stat &gt;= perc_85, converted_stat * 1.5, converted_stat)))))</f>
        <v/>
      </c>
      <c r="K789" s="30" t="str">
        <f t="array" ref="K789">IF($A789="", "", LET(bbgm_stat, INDEX(Players!$A788:$P788, MATCH(K$2, Players!$A$1:$P$1, 0)), perc_75, VLOOKUP(K$2, Percentiles!$A$45:$I$59, 6, FALSE), perc_90, VLOOKUP(K$2, Percentiles!$A$45:$I$59, 7, FALSE), perc_95, VLOOKUP(K$2, Percentiles!$A$45:$I$59, 8, FALSE), perc_85, perc_75 + (perc_90 - perc_75) * (2/3), converted_stat, '2K_Ratings'!K789, IF(bbgm_stat &gt;= perc_95, converted_stat * 3, IF(bbgm_stat &gt;= perc_90, converted_stat * 2, IF(bbgm_stat &gt;= perc_85, converted_stat * 1.5, converted_stat)))))</f>
        <v/>
      </c>
      <c r="L789" s="30" t="str">
        <f t="array" ref="L789">IF($A789="", "", LET(bbgm_stat, INDEX(Players!$A788:$P788, MATCH(L$2, Players!$A$1:$P$1, 0)), perc_75, VLOOKUP(L$2, Percentiles!$A$45:$I$59, 6, FALSE), perc_90, VLOOKUP(L$2, Percentiles!$A$45:$I$59, 7, FALSE), perc_95, VLOOKUP(L$2, Percentiles!$A$45:$I$59, 8, FALSE), perc_85, perc_75 + (perc_90 - perc_75) * (2/3), converted_stat, '2K_Ratings'!L789, IF(bbgm_stat &gt;= perc_95, converted_stat * 3, IF(bbgm_stat &gt;= perc_90, converted_stat * 2, IF(bbgm_stat &gt;= perc_85, converted_stat * 1.5, converted_stat)))))</f>
        <v/>
      </c>
      <c r="M789" s="30" t="str">
        <f t="array" ref="M789">IF($A789="", "", LET(bbgm_stat, INDEX(Players!$A788:$P788, MATCH(M$2, Players!$A$1:$P$1, 0)), perc_75, VLOOKUP(M$2, Percentiles!$A$45:$I$59, 6, FALSE), perc_90, VLOOKUP(M$2, Percentiles!$A$45:$I$59, 7, FALSE), perc_95, VLOOKUP(M$2, Percentiles!$A$45:$I$59, 8, FALSE), perc_85, perc_75 + (perc_90 - perc_75) * (2/3), converted_stat, '2K_Ratings'!M789, IF(bbgm_stat &gt;= perc_95, converted_stat * 3, IF(bbgm_stat &gt;= perc_90, converted_stat * 2, IF(bbgm_stat &gt;= perc_85, converted_stat * 1.5, converted_stat)))))</f>
        <v/>
      </c>
      <c r="N789" s="30" t="str">
        <f t="array" ref="N789">IF($A789="", "", LET(bbgm_stat, INDEX(Players!$A788:$P788, MATCH(N$2, Players!$A$1:$P$1, 0)), perc_75, VLOOKUP(N$2, Percentiles!$A$45:$I$59, 6, FALSE), perc_90, VLOOKUP(N$2, Percentiles!$A$45:$I$59, 7, FALSE), perc_95, VLOOKUP(N$2, Percentiles!$A$45:$I$59, 8, FALSE), perc_85, perc_75 + (perc_90 - perc_75) * (2/3), converted_stat, '2K_Ratings'!N789, IF(bbgm_stat &gt;= perc_95, converted_stat * 3, IF(bbgm_stat &gt;= perc_90, converted_stat * 2, IF(bbgm_stat &gt;= perc_85, converted_stat * 1.5, converted_stat)))))</f>
        <v/>
      </c>
      <c r="O789" s="30" t="str">
        <f t="array" ref="O789">IF($A789="", "", LET(bbgm_stat, INDEX(Players!$A788:$P788, MATCH(O$2, Players!$A$1:$P$1, 0)), perc_75, VLOOKUP(O$2, Percentiles!$A$45:$I$59, 6, FALSE), perc_90, VLOOKUP(O$2, Percentiles!$A$45:$I$59, 7, FALSE), perc_95, VLOOKUP(O$2, Percentiles!$A$45:$I$59, 8, FALSE), perc_85, perc_75 + (perc_90 - perc_75) * (2/3), converted_stat, '2K_Ratings'!O789, IF(bbgm_stat &gt;= perc_95, converted_stat * 3, IF(bbgm_stat &gt;= perc_90, converted_stat * 2, IF(bbgm_stat &gt;= perc_85, converted_stat * 1.5, converted_stat)))))</f>
        <v/>
      </c>
      <c r="P789" s="30" t="str">
        <f t="array" ref="P789">IF($A789="", "", LET(bbgm_stat, INDEX(Players!$A788:$P788, MATCH(P$2, Players!$A$1:$P$1, 0)), perc_75, VLOOKUP(P$2, Percentiles!$A$45:$I$59, 6, FALSE), perc_90, VLOOKUP(P$2, Percentiles!$A$45:$I$59, 7, FALSE), perc_95, VLOOKUP(P$2, Percentiles!$A$45:$I$59, 8, FALSE), perc_85, perc_75 + (perc_90 - perc_75) * (2/3), converted_stat, '2K_Ratings'!P789, IF(bbgm_stat &gt;= perc_95, converted_stat * 3, IF(bbgm_stat &gt;= perc_90, converted_stat * 2, IF(bbgm_stat &gt;= perc_85, converted_stat * 1.5, converted_stat)))))</f>
        <v/>
      </c>
      <c r="Q789" s="30" t="str">
        <f t="array" ref="Q789">IF($A789="", "", LET(bbgm_stat, INDEX(Players!$A788:$P788, MATCH(Q$2, Players!$A$1:$P$1, 0)), perc_75, VLOOKUP(Q$2, Percentiles!$A$45:$I$59, 6, FALSE), perc_90, VLOOKUP(Q$2, Percentiles!$A$45:$I$59, 7, FALSE), perc_95, VLOOKUP(Q$2, Percentiles!$A$45:$I$59, 8, FALSE), perc_85, perc_75 + (perc_90 - perc_75) * (2/3), converted_stat, '2K_Ratings'!Q789, IF(bbgm_stat &gt;= perc_95, converted_stat * 3, IF(bbgm_stat &gt;= perc_90, converted_stat * 2, IF(bbgm_stat &gt;= perc_85, converted_stat * 1.5, converted_stat)))))</f>
        <v/>
      </c>
      <c r="R789" s="30" t="str">
        <f t="array" ref="R789">IF($A789="", "", LET(bbgm_stat, INDEX(Players!$A788:$P788, MATCH(R$2, Players!$A$1:$P$1, 0)), perc_75, VLOOKUP(R$2, Percentiles!$A$45:$I$59, 6, FALSE), perc_90, VLOOKUP(R$2, Percentiles!$A$45:$I$59, 7, FALSE), perc_95, VLOOKUP(R$2, Percentiles!$A$45:$I$59, 8, FALSE), perc_85, perc_75 + (perc_90 - perc_75) * (2/3), converted_stat, '2K_Ratings'!R789, IF(bbgm_stat &gt;= perc_95, converted_stat * 3, IF(bbgm_stat &gt;= perc_90, converted_stat * 2, IF(bbgm_stat &gt;= perc_85, converted_stat * 1.5, converted_stat)))))</f>
        <v/>
      </c>
      <c r="S789" s="30" t="str">
        <f t="array" ref="S789">IF($A789="", "", LET(bbgm_stat, INDEX(Players!$A788:$P788, MATCH(S$2, Players!$A$1:$P$1, 0)), perc_75, VLOOKUP(S$2, Percentiles!$A$45:$I$59, 6, FALSE), perc_90, VLOOKUP(S$2, Percentiles!$A$45:$I$59, 7, FALSE), perc_95, VLOOKUP(S$2, Percentiles!$A$45:$I$59, 8, FALSE), perc_85, perc_75 + (perc_90 - perc_75) * (2/3), converted_stat, '2K_Ratings'!S789, IF(bbgm_stat &gt;= perc_95, converted_stat * 3, IF(bbgm_stat &gt;= perc_90, converted_stat * 2, IF(bbgm_stat &gt;= perc_85, converted_stat * 1.5, converted_stat)))))</f>
        <v/>
      </c>
      <c r="T789" s="30" t="str">
        <f t="array" ref="T789">IF($A789="", "", LET(bbgm_stat, INDEX(Players!$A788:$P788, MATCH(T$2, Players!$A$1:$P$1, 0)), perc_75, VLOOKUP(T$2, Percentiles!$A$45:$I$59, 6, FALSE), perc_90, VLOOKUP(T$2, Percentiles!$A$45:$I$59, 7, FALSE), perc_95, VLOOKUP(T$2, Percentiles!$A$45:$I$59, 8, FALSE), perc_85, perc_75 + (perc_90 - perc_75) * (2/3), converted_stat, '2K_Ratings'!T789, IF(bbgm_stat &gt;= perc_95, converted_stat * 3, IF(bbgm_stat &gt;= perc_90, converted_stat * 2, IF(bbgm_stat &gt;= perc_85, converted_stat * 1.5, converted_stat)))))</f>
        <v/>
      </c>
      <c r="U789" s="30" t="str">
        <f t="array" ref="U789">IF($A789="", "", LET(bbgm_stat, INDEX(Players!$A788:$P788, MATCH(U$2, Players!$A$1:$P$1, 0)), perc_75, VLOOKUP(U$2, Percentiles!$A$45:$I$59, 6, FALSE), perc_90, VLOOKUP(U$2, Percentiles!$A$45:$I$59, 7, FALSE), perc_95, VLOOKUP(U$2, Percentiles!$A$45:$I$59, 8, FALSE), perc_85, perc_75 + (perc_90 - perc_75) * (2/3), converted_stat, '2K_Ratings'!U789, IF(bbgm_stat &gt;= perc_95, converted_stat * 3, IF(bbgm_stat &gt;= perc_90, converted_stat * 2, IF(bbgm_stat &gt;= perc_85, converted_stat * 1.5, converted_stat)))))</f>
        <v/>
      </c>
      <c r="V789" s="30" t="str">
        <f t="array" ref="V789">IF($A789="", "", LET(bbgm_stat, INDEX(Players!$A788:$P788, MATCH(V$2, Players!$A$1:$P$1, 0)), perc_75, VLOOKUP(V$2, Percentiles!$A$45:$I$59, 6, FALSE), perc_90, VLOOKUP(V$2, Percentiles!$A$45:$I$59, 7, FALSE), perc_95, VLOOKUP(V$2, Percentiles!$A$45:$I$59, 8, FALSE), perc_85, perc_75 + (perc_90 - perc_75) * (2/3), converted_stat, '2K_Ratings'!V789, IF(bbgm_stat &gt;= perc_95, converted_stat * 3, IF(bbgm_stat &gt;= perc_90, converted_stat * 2, IF(bbgm_stat &gt;= perc_85, converted_stat * 1.5, converted_stat)))))</f>
        <v/>
      </c>
      <c r="W789" s="30" t="str">
        <f t="array" ref="W789">IF($A789="", "", LET(bbgm_stat, INDEX(Players!$A788:$P788, MATCH(W$2, Players!$A$1:$P$1, 0)), perc_75, VLOOKUP(W$2, Percentiles!$A$45:$I$59, 6, FALSE), perc_90, VLOOKUP(W$2, Percentiles!$A$45:$I$59, 7, FALSE), perc_95, VLOOKUP(W$2, Percentiles!$A$45:$I$59, 8, FALSE), perc_85, perc_75 + (perc_90 - perc_75) * (2/3), converted_stat, '2K_Ratings'!W789, IF(bbgm_stat &gt;= perc_95, converted_stat * 3, IF(bbgm_stat &gt;= perc_90, converted_stat * 2, IF(bbgm_stat &gt;= perc_85, converted_stat * 1.5, converted_stat)))))</f>
        <v/>
      </c>
    </row>
    <row r="790">
      <c r="A790" s="30"/>
      <c r="B790" s="30" t="str">
        <f t="array" ref="B790">IF($A790="", "", LET(bbgm_stat, INDEX(Players!$A789:$P789, MATCH(B$2, Players!$A$1:$P$1, 0)), perc_75, VLOOKUP(B$2, Percentiles!$A$45:$I$59, 6, FALSE), perc_90, VLOOKUP(B$2, Percentiles!$A$45:$I$59, 7, FALSE), perc_95, VLOOKUP(B$2, Percentiles!$A$45:$I$59, 8, FALSE), perc_85, perc_75 + (perc_90 - perc_75) * (2/3), converted_stat, '2K_Ratings'!B790, IF(bbgm_stat &gt;= perc_95, converted_stat * 3, IF(bbgm_stat &gt;= perc_90, converted_stat * 2, IF(bbgm_stat &gt;= perc_85, converted_stat * 1.5, converted_stat)))))</f>
        <v/>
      </c>
      <c r="C790" s="30" t="str">
        <f t="array" ref="C790">IF($A790="", "", LET(bbgm_stat, INDEX(Players!$A789:$P789, MATCH(C$2, Players!$A$1:$P$1, 0)), perc_75, VLOOKUP(C$2, Percentiles!$A$45:$I$59, 6, FALSE), perc_90, VLOOKUP(C$2, Percentiles!$A$45:$I$59, 7, FALSE), perc_95, VLOOKUP(C$2, Percentiles!$A$45:$I$59, 8, FALSE), perc_85, perc_75 + (perc_90 - perc_75) * (2/3), converted_stat, '2K_Ratings'!C790, IF(bbgm_stat &gt;= perc_95, converted_stat * 3, IF(bbgm_stat &gt;= perc_90, converted_stat * 2, IF(bbgm_stat &gt;= perc_85, converted_stat * 1.5, converted_stat)))))</f>
        <v/>
      </c>
      <c r="D790" s="30" t="str">
        <f t="array" ref="D790">IF($A790="", "", LET(bbgm_stat, INDEX(Players!$A789:$P789, MATCH(D$2, Players!$A$1:$P$1, 0)), perc_75, VLOOKUP(D$2, Percentiles!$A$45:$I$59, 6, FALSE), perc_90, VLOOKUP(D$2, Percentiles!$A$45:$I$59, 7, FALSE), perc_95, VLOOKUP(D$2, Percentiles!$A$45:$I$59, 8, FALSE), perc_85, perc_75 + (perc_90 - perc_75) * (2/3), converted_stat, '2K_Ratings'!D790, IF(bbgm_stat &gt;= perc_95, converted_stat * 3, IF(bbgm_stat &gt;= perc_90, converted_stat * 2, IF(bbgm_stat &gt;= perc_85, converted_stat * 1.5, converted_stat)))))</f>
        <v/>
      </c>
      <c r="E790" s="30" t="str">
        <f t="array" ref="E790">IF($A790="", "", LET(bbgm_stat, INDEX(Players!$A789:$P789, MATCH(E$2, Players!$A$1:$P$1, 0)), perc_75, VLOOKUP(E$2, Percentiles!$A$45:$I$59, 6, FALSE), perc_90, VLOOKUP(E$2, Percentiles!$A$45:$I$59, 7, FALSE), perc_95, VLOOKUP(E$2, Percentiles!$A$45:$I$59, 8, FALSE), perc_85, perc_75 + (perc_90 - perc_75) * (2/3), converted_stat, '2K_Ratings'!E790, IF(bbgm_stat &gt;= perc_95, converted_stat * 3, IF(bbgm_stat &gt;= perc_90, converted_stat * 2, IF(bbgm_stat &gt;= perc_85, converted_stat * 1.5, converted_stat)))))</f>
        <v/>
      </c>
      <c r="F790" s="30" t="str">
        <f t="array" ref="F790">IF($A790="", "", LET(bbgm_stat, INDEX(Players!$A789:$P789, MATCH(F$2, Players!$A$1:$P$1, 0)), perc_75, VLOOKUP(F$2, Percentiles!$A$45:$I$59, 6, FALSE), perc_90, VLOOKUP(F$2, Percentiles!$A$45:$I$59, 7, FALSE), perc_95, VLOOKUP(F$2, Percentiles!$A$45:$I$59, 8, FALSE), perc_85, perc_75 + (perc_90 - perc_75) * (2/3), converted_stat, '2K_Ratings'!F790, IF(bbgm_stat &gt;= perc_95, converted_stat * 3, IF(bbgm_stat &gt;= perc_90, converted_stat * 2, IF(bbgm_stat &gt;= perc_85, converted_stat * 1.5, converted_stat)))))</f>
        <v/>
      </c>
      <c r="G790" s="30" t="str">
        <f t="array" ref="G790">IF($A790="", "", LET(bbgm_stat, INDEX(Players!$A789:$P789, MATCH(G$2, Players!$A$1:$P$1, 0)), perc_75, VLOOKUP(G$2, Percentiles!$A$45:$I$59, 6, FALSE), perc_90, VLOOKUP(G$2, Percentiles!$A$45:$I$59, 7, FALSE), perc_95, VLOOKUP(G$2, Percentiles!$A$45:$I$59, 8, FALSE), perc_85, perc_75 + (perc_90 - perc_75) * (2/3), converted_stat, '2K_Ratings'!G790, IF(bbgm_stat &gt;= perc_95, converted_stat * 3, IF(bbgm_stat &gt;= perc_90, converted_stat * 2, IF(bbgm_stat &gt;= perc_85, converted_stat * 1.5, converted_stat)))))</f>
        <v/>
      </c>
      <c r="H790" s="30" t="str">
        <f t="array" ref="H790">IF($A790="", "", LET(bbgm_stat, INDEX(Players!$A789:$P789, MATCH(H$2, Players!$A$1:$P$1, 0)), perc_75, VLOOKUP(H$2, Percentiles!$A$45:$I$59, 6, FALSE), perc_90, VLOOKUP(H$2, Percentiles!$A$45:$I$59, 7, FALSE), perc_95, VLOOKUP(H$2, Percentiles!$A$45:$I$59, 8, FALSE), perc_85, perc_75 + (perc_90 - perc_75) * (2/3), converted_stat, '2K_Ratings'!H790, IF(bbgm_stat &gt;= perc_95, converted_stat * 3, IF(bbgm_stat &gt;= perc_90, converted_stat * 2, IF(bbgm_stat &gt;= perc_85, converted_stat * 1.5, converted_stat)))))</f>
        <v/>
      </c>
      <c r="I790" s="30" t="str">
        <f t="array" ref="I790">IF($A790="", "", LET(bbgm_stat, INDEX(Players!$A789:$P789, MATCH(I$2, Players!$A$1:$P$1, 0)), perc_75, VLOOKUP(I$2, Percentiles!$A$45:$I$59, 6, FALSE), perc_90, VLOOKUP(I$2, Percentiles!$A$45:$I$59, 7, FALSE), perc_95, VLOOKUP(I$2, Percentiles!$A$45:$I$59, 8, FALSE), perc_85, perc_75 + (perc_90 - perc_75) * (2/3), converted_stat, '2K_Ratings'!I790, IF(bbgm_stat &gt;= perc_95, converted_stat * 3, IF(bbgm_stat &gt;= perc_90, converted_stat * 2, IF(bbgm_stat &gt;= perc_85, converted_stat * 1.5, converted_stat)))))</f>
        <v/>
      </c>
      <c r="J790" s="30" t="str">
        <f t="array" ref="J790">IF($A790="", "", LET(bbgm_stat, INDEX(Players!$A789:$P789, MATCH(J$2, Players!$A$1:$P$1, 0)), perc_75, VLOOKUP(J$2, Percentiles!$A$45:$I$59, 6, FALSE), perc_90, VLOOKUP(J$2, Percentiles!$A$45:$I$59, 7, FALSE), perc_95, VLOOKUP(J$2, Percentiles!$A$45:$I$59, 8, FALSE), perc_85, perc_75 + (perc_90 - perc_75) * (2/3), converted_stat, '2K_Ratings'!J790, IF(bbgm_stat &gt;= perc_95, converted_stat * 3, IF(bbgm_stat &gt;= perc_90, converted_stat * 2, IF(bbgm_stat &gt;= perc_85, converted_stat * 1.5, converted_stat)))))</f>
        <v/>
      </c>
      <c r="K790" s="30" t="str">
        <f t="array" ref="K790">IF($A790="", "", LET(bbgm_stat, INDEX(Players!$A789:$P789, MATCH(K$2, Players!$A$1:$P$1, 0)), perc_75, VLOOKUP(K$2, Percentiles!$A$45:$I$59, 6, FALSE), perc_90, VLOOKUP(K$2, Percentiles!$A$45:$I$59, 7, FALSE), perc_95, VLOOKUP(K$2, Percentiles!$A$45:$I$59, 8, FALSE), perc_85, perc_75 + (perc_90 - perc_75) * (2/3), converted_stat, '2K_Ratings'!K790, IF(bbgm_stat &gt;= perc_95, converted_stat * 3, IF(bbgm_stat &gt;= perc_90, converted_stat * 2, IF(bbgm_stat &gt;= perc_85, converted_stat * 1.5, converted_stat)))))</f>
        <v/>
      </c>
      <c r="L790" s="30" t="str">
        <f t="array" ref="L790">IF($A790="", "", LET(bbgm_stat, INDEX(Players!$A789:$P789, MATCH(L$2, Players!$A$1:$P$1, 0)), perc_75, VLOOKUP(L$2, Percentiles!$A$45:$I$59, 6, FALSE), perc_90, VLOOKUP(L$2, Percentiles!$A$45:$I$59, 7, FALSE), perc_95, VLOOKUP(L$2, Percentiles!$A$45:$I$59, 8, FALSE), perc_85, perc_75 + (perc_90 - perc_75) * (2/3), converted_stat, '2K_Ratings'!L790, IF(bbgm_stat &gt;= perc_95, converted_stat * 3, IF(bbgm_stat &gt;= perc_90, converted_stat * 2, IF(bbgm_stat &gt;= perc_85, converted_stat * 1.5, converted_stat)))))</f>
        <v/>
      </c>
      <c r="M790" s="30" t="str">
        <f t="array" ref="M790">IF($A790="", "", LET(bbgm_stat, INDEX(Players!$A789:$P789, MATCH(M$2, Players!$A$1:$P$1, 0)), perc_75, VLOOKUP(M$2, Percentiles!$A$45:$I$59, 6, FALSE), perc_90, VLOOKUP(M$2, Percentiles!$A$45:$I$59, 7, FALSE), perc_95, VLOOKUP(M$2, Percentiles!$A$45:$I$59, 8, FALSE), perc_85, perc_75 + (perc_90 - perc_75) * (2/3), converted_stat, '2K_Ratings'!M790, IF(bbgm_stat &gt;= perc_95, converted_stat * 3, IF(bbgm_stat &gt;= perc_90, converted_stat * 2, IF(bbgm_stat &gt;= perc_85, converted_stat * 1.5, converted_stat)))))</f>
        <v/>
      </c>
      <c r="N790" s="30" t="str">
        <f t="array" ref="N790">IF($A790="", "", LET(bbgm_stat, INDEX(Players!$A789:$P789, MATCH(N$2, Players!$A$1:$P$1, 0)), perc_75, VLOOKUP(N$2, Percentiles!$A$45:$I$59, 6, FALSE), perc_90, VLOOKUP(N$2, Percentiles!$A$45:$I$59, 7, FALSE), perc_95, VLOOKUP(N$2, Percentiles!$A$45:$I$59, 8, FALSE), perc_85, perc_75 + (perc_90 - perc_75) * (2/3), converted_stat, '2K_Ratings'!N790, IF(bbgm_stat &gt;= perc_95, converted_stat * 3, IF(bbgm_stat &gt;= perc_90, converted_stat * 2, IF(bbgm_stat &gt;= perc_85, converted_stat * 1.5, converted_stat)))))</f>
        <v/>
      </c>
      <c r="O790" s="30" t="str">
        <f t="array" ref="O790">IF($A790="", "", LET(bbgm_stat, INDEX(Players!$A789:$P789, MATCH(O$2, Players!$A$1:$P$1, 0)), perc_75, VLOOKUP(O$2, Percentiles!$A$45:$I$59, 6, FALSE), perc_90, VLOOKUP(O$2, Percentiles!$A$45:$I$59, 7, FALSE), perc_95, VLOOKUP(O$2, Percentiles!$A$45:$I$59, 8, FALSE), perc_85, perc_75 + (perc_90 - perc_75) * (2/3), converted_stat, '2K_Ratings'!O790, IF(bbgm_stat &gt;= perc_95, converted_stat * 3, IF(bbgm_stat &gt;= perc_90, converted_stat * 2, IF(bbgm_stat &gt;= perc_85, converted_stat * 1.5, converted_stat)))))</f>
        <v/>
      </c>
      <c r="P790" s="30" t="str">
        <f t="array" ref="P790">IF($A790="", "", LET(bbgm_stat, INDEX(Players!$A789:$P789, MATCH(P$2, Players!$A$1:$P$1, 0)), perc_75, VLOOKUP(P$2, Percentiles!$A$45:$I$59, 6, FALSE), perc_90, VLOOKUP(P$2, Percentiles!$A$45:$I$59, 7, FALSE), perc_95, VLOOKUP(P$2, Percentiles!$A$45:$I$59, 8, FALSE), perc_85, perc_75 + (perc_90 - perc_75) * (2/3), converted_stat, '2K_Ratings'!P790, IF(bbgm_stat &gt;= perc_95, converted_stat * 3, IF(bbgm_stat &gt;= perc_90, converted_stat * 2, IF(bbgm_stat &gt;= perc_85, converted_stat * 1.5, converted_stat)))))</f>
        <v/>
      </c>
      <c r="Q790" s="30" t="str">
        <f t="array" ref="Q790">IF($A790="", "", LET(bbgm_stat, INDEX(Players!$A789:$P789, MATCH(Q$2, Players!$A$1:$P$1, 0)), perc_75, VLOOKUP(Q$2, Percentiles!$A$45:$I$59, 6, FALSE), perc_90, VLOOKUP(Q$2, Percentiles!$A$45:$I$59, 7, FALSE), perc_95, VLOOKUP(Q$2, Percentiles!$A$45:$I$59, 8, FALSE), perc_85, perc_75 + (perc_90 - perc_75) * (2/3), converted_stat, '2K_Ratings'!Q790, IF(bbgm_stat &gt;= perc_95, converted_stat * 3, IF(bbgm_stat &gt;= perc_90, converted_stat * 2, IF(bbgm_stat &gt;= perc_85, converted_stat * 1.5, converted_stat)))))</f>
        <v/>
      </c>
      <c r="R790" s="30" t="str">
        <f t="array" ref="R790">IF($A790="", "", LET(bbgm_stat, INDEX(Players!$A789:$P789, MATCH(R$2, Players!$A$1:$P$1, 0)), perc_75, VLOOKUP(R$2, Percentiles!$A$45:$I$59, 6, FALSE), perc_90, VLOOKUP(R$2, Percentiles!$A$45:$I$59, 7, FALSE), perc_95, VLOOKUP(R$2, Percentiles!$A$45:$I$59, 8, FALSE), perc_85, perc_75 + (perc_90 - perc_75) * (2/3), converted_stat, '2K_Ratings'!R790, IF(bbgm_stat &gt;= perc_95, converted_stat * 3, IF(bbgm_stat &gt;= perc_90, converted_stat * 2, IF(bbgm_stat &gt;= perc_85, converted_stat * 1.5, converted_stat)))))</f>
        <v/>
      </c>
      <c r="S790" s="30" t="str">
        <f t="array" ref="S790">IF($A790="", "", LET(bbgm_stat, INDEX(Players!$A789:$P789, MATCH(S$2, Players!$A$1:$P$1, 0)), perc_75, VLOOKUP(S$2, Percentiles!$A$45:$I$59, 6, FALSE), perc_90, VLOOKUP(S$2, Percentiles!$A$45:$I$59, 7, FALSE), perc_95, VLOOKUP(S$2, Percentiles!$A$45:$I$59, 8, FALSE), perc_85, perc_75 + (perc_90 - perc_75) * (2/3), converted_stat, '2K_Ratings'!S790, IF(bbgm_stat &gt;= perc_95, converted_stat * 3, IF(bbgm_stat &gt;= perc_90, converted_stat * 2, IF(bbgm_stat &gt;= perc_85, converted_stat * 1.5, converted_stat)))))</f>
        <v/>
      </c>
      <c r="T790" s="30" t="str">
        <f t="array" ref="T790">IF($A790="", "", LET(bbgm_stat, INDEX(Players!$A789:$P789, MATCH(T$2, Players!$A$1:$P$1, 0)), perc_75, VLOOKUP(T$2, Percentiles!$A$45:$I$59, 6, FALSE), perc_90, VLOOKUP(T$2, Percentiles!$A$45:$I$59, 7, FALSE), perc_95, VLOOKUP(T$2, Percentiles!$A$45:$I$59, 8, FALSE), perc_85, perc_75 + (perc_90 - perc_75) * (2/3), converted_stat, '2K_Ratings'!T790, IF(bbgm_stat &gt;= perc_95, converted_stat * 3, IF(bbgm_stat &gt;= perc_90, converted_stat * 2, IF(bbgm_stat &gt;= perc_85, converted_stat * 1.5, converted_stat)))))</f>
        <v/>
      </c>
      <c r="U790" s="30" t="str">
        <f t="array" ref="U790">IF($A790="", "", LET(bbgm_stat, INDEX(Players!$A789:$P789, MATCH(U$2, Players!$A$1:$P$1, 0)), perc_75, VLOOKUP(U$2, Percentiles!$A$45:$I$59, 6, FALSE), perc_90, VLOOKUP(U$2, Percentiles!$A$45:$I$59, 7, FALSE), perc_95, VLOOKUP(U$2, Percentiles!$A$45:$I$59, 8, FALSE), perc_85, perc_75 + (perc_90 - perc_75) * (2/3), converted_stat, '2K_Ratings'!U790, IF(bbgm_stat &gt;= perc_95, converted_stat * 3, IF(bbgm_stat &gt;= perc_90, converted_stat * 2, IF(bbgm_stat &gt;= perc_85, converted_stat * 1.5, converted_stat)))))</f>
        <v/>
      </c>
      <c r="V790" s="30" t="str">
        <f t="array" ref="V790">IF($A790="", "", LET(bbgm_stat, INDEX(Players!$A789:$P789, MATCH(V$2, Players!$A$1:$P$1, 0)), perc_75, VLOOKUP(V$2, Percentiles!$A$45:$I$59, 6, FALSE), perc_90, VLOOKUP(V$2, Percentiles!$A$45:$I$59, 7, FALSE), perc_95, VLOOKUP(V$2, Percentiles!$A$45:$I$59, 8, FALSE), perc_85, perc_75 + (perc_90 - perc_75) * (2/3), converted_stat, '2K_Ratings'!V790, IF(bbgm_stat &gt;= perc_95, converted_stat * 3, IF(bbgm_stat &gt;= perc_90, converted_stat * 2, IF(bbgm_stat &gt;= perc_85, converted_stat * 1.5, converted_stat)))))</f>
        <v/>
      </c>
      <c r="W790" s="30" t="str">
        <f t="array" ref="W790">IF($A790="", "", LET(bbgm_stat, INDEX(Players!$A789:$P789, MATCH(W$2, Players!$A$1:$P$1, 0)), perc_75, VLOOKUP(W$2, Percentiles!$A$45:$I$59, 6, FALSE), perc_90, VLOOKUP(W$2, Percentiles!$A$45:$I$59, 7, FALSE), perc_95, VLOOKUP(W$2, Percentiles!$A$45:$I$59, 8, FALSE), perc_85, perc_75 + (perc_90 - perc_75) * (2/3), converted_stat, '2K_Ratings'!W790, IF(bbgm_stat &gt;= perc_95, converted_stat * 3, IF(bbgm_stat &gt;= perc_90, converted_stat * 2, IF(bbgm_stat &gt;= perc_85, converted_stat * 1.5, converted_stat)))))</f>
        <v/>
      </c>
    </row>
    <row r="791">
      <c r="A791" s="30"/>
      <c r="B791" s="30" t="str">
        <f t="array" ref="B791">IF($A791="", "", LET(bbgm_stat, INDEX(Players!$A790:$P790, MATCH(B$2, Players!$A$1:$P$1, 0)), perc_75, VLOOKUP(B$2, Percentiles!$A$45:$I$59, 6, FALSE), perc_90, VLOOKUP(B$2, Percentiles!$A$45:$I$59, 7, FALSE), perc_95, VLOOKUP(B$2, Percentiles!$A$45:$I$59, 8, FALSE), perc_85, perc_75 + (perc_90 - perc_75) * (2/3), converted_stat, '2K_Ratings'!B791, IF(bbgm_stat &gt;= perc_95, converted_stat * 3, IF(bbgm_stat &gt;= perc_90, converted_stat * 2, IF(bbgm_stat &gt;= perc_85, converted_stat * 1.5, converted_stat)))))</f>
        <v/>
      </c>
      <c r="C791" s="30" t="str">
        <f t="array" ref="C791">IF($A791="", "", LET(bbgm_stat, INDEX(Players!$A790:$P790, MATCH(C$2, Players!$A$1:$P$1, 0)), perc_75, VLOOKUP(C$2, Percentiles!$A$45:$I$59, 6, FALSE), perc_90, VLOOKUP(C$2, Percentiles!$A$45:$I$59, 7, FALSE), perc_95, VLOOKUP(C$2, Percentiles!$A$45:$I$59, 8, FALSE), perc_85, perc_75 + (perc_90 - perc_75) * (2/3), converted_stat, '2K_Ratings'!C791, IF(bbgm_stat &gt;= perc_95, converted_stat * 3, IF(bbgm_stat &gt;= perc_90, converted_stat * 2, IF(bbgm_stat &gt;= perc_85, converted_stat * 1.5, converted_stat)))))</f>
        <v/>
      </c>
      <c r="D791" s="30" t="str">
        <f t="array" ref="D791">IF($A791="", "", LET(bbgm_stat, INDEX(Players!$A790:$P790, MATCH(D$2, Players!$A$1:$P$1, 0)), perc_75, VLOOKUP(D$2, Percentiles!$A$45:$I$59, 6, FALSE), perc_90, VLOOKUP(D$2, Percentiles!$A$45:$I$59, 7, FALSE), perc_95, VLOOKUP(D$2, Percentiles!$A$45:$I$59, 8, FALSE), perc_85, perc_75 + (perc_90 - perc_75) * (2/3), converted_stat, '2K_Ratings'!D791, IF(bbgm_stat &gt;= perc_95, converted_stat * 3, IF(bbgm_stat &gt;= perc_90, converted_stat * 2, IF(bbgm_stat &gt;= perc_85, converted_stat * 1.5, converted_stat)))))</f>
        <v/>
      </c>
      <c r="E791" s="30" t="str">
        <f t="array" ref="E791">IF($A791="", "", LET(bbgm_stat, INDEX(Players!$A790:$P790, MATCH(E$2, Players!$A$1:$P$1, 0)), perc_75, VLOOKUP(E$2, Percentiles!$A$45:$I$59, 6, FALSE), perc_90, VLOOKUP(E$2, Percentiles!$A$45:$I$59, 7, FALSE), perc_95, VLOOKUP(E$2, Percentiles!$A$45:$I$59, 8, FALSE), perc_85, perc_75 + (perc_90 - perc_75) * (2/3), converted_stat, '2K_Ratings'!E791, IF(bbgm_stat &gt;= perc_95, converted_stat * 3, IF(bbgm_stat &gt;= perc_90, converted_stat * 2, IF(bbgm_stat &gt;= perc_85, converted_stat * 1.5, converted_stat)))))</f>
        <v/>
      </c>
      <c r="F791" s="30" t="str">
        <f t="array" ref="F791">IF($A791="", "", LET(bbgm_stat, INDEX(Players!$A790:$P790, MATCH(F$2, Players!$A$1:$P$1, 0)), perc_75, VLOOKUP(F$2, Percentiles!$A$45:$I$59, 6, FALSE), perc_90, VLOOKUP(F$2, Percentiles!$A$45:$I$59, 7, FALSE), perc_95, VLOOKUP(F$2, Percentiles!$A$45:$I$59, 8, FALSE), perc_85, perc_75 + (perc_90 - perc_75) * (2/3), converted_stat, '2K_Ratings'!F791, IF(bbgm_stat &gt;= perc_95, converted_stat * 3, IF(bbgm_stat &gt;= perc_90, converted_stat * 2, IF(bbgm_stat &gt;= perc_85, converted_stat * 1.5, converted_stat)))))</f>
        <v/>
      </c>
      <c r="G791" s="30" t="str">
        <f t="array" ref="G791">IF($A791="", "", LET(bbgm_stat, INDEX(Players!$A790:$P790, MATCH(G$2, Players!$A$1:$P$1, 0)), perc_75, VLOOKUP(G$2, Percentiles!$A$45:$I$59, 6, FALSE), perc_90, VLOOKUP(G$2, Percentiles!$A$45:$I$59, 7, FALSE), perc_95, VLOOKUP(G$2, Percentiles!$A$45:$I$59, 8, FALSE), perc_85, perc_75 + (perc_90 - perc_75) * (2/3), converted_stat, '2K_Ratings'!G791, IF(bbgm_stat &gt;= perc_95, converted_stat * 3, IF(bbgm_stat &gt;= perc_90, converted_stat * 2, IF(bbgm_stat &gt;= perc_85, converted_stat * 1.5, converted_stat)))))</f>
        <v/>
      </c>
      <c r="H791" s="30" t="str">
        <f t="array" ref="H791">IF($A791="", "", LET(bbgm_stat, INDEX(Players!$A790:$P790, MATCH(H$2, Players!$A$1:$P$1, 0)), perc_75, VLOOKUP(H$2, Percentiles!$A$45:$I$59, 6, FALSE), perc_90, VLOOKUP(H$2, Percentiles!$A$45:$I$59, 7, FALSE), perc_95, VLOOKUP(H$2, Percentiles!$A$45:$I$59, 8, FALSE), perc_85, perc_75 + (perc_90 - perc_75) * (2/3), converted_stat, '2K_Ratings'!H791, IF(bbgm_stat &gt;= perc_95, converted_stat * 3, IF(bbgm_stat &gt;= perc_90, converted_stat * 2, IF(bbgm_stat &gt;= perc_85, converted_stat * 1.5, converted_stat)))))</f>
        <v/>
      </c>
      <c r="I791" s="30" t="str">
        <f t="array" ref="I791">IF($A791="", "", LET(bbgm_stat, INDEX(Players!$A790:$P790, MATCH(I$2, Players!$A$1:$P$1, 0)), perc_75, VLOOKUP(I$2, Percentiles!$A$45:$I$59, 6, FALSE), perc_90, VLOOKUP(I$2, Percentiles!$A$45:$I$59, 7, FALSE), perc_95, VLOOKUP(I$2, Percentiles!$A$45:$I$59, 8, FALSE), perc_85, perc_75 + (perc_90 - perc_75) * (2/3), converted_stat, '2K_Ratings'!I791, IF(bbgm_stat &gt;= perc_95, converted_stat * 3, IF(bbgm_stat &gt;= perc_90, converted_stat * 2, IF(bbgm_stat &gt;= perc_85, converted_stat * 1.5, converted_stat)))))</f>
        <v/>
      </c>
      <c r="J791" s="30" t="str">
        <f t="array" ref="J791">IF($A791="", "", LET(bbgm_stat, INDEX(Players!$A790:$P790, MATCH(J$2, Players!$A$1:$P$1, 0)), perc_75, VLOOKUP(J$2, Percentiles!$A$45:$I$59, 6, FALSE), perc_90, VLOOKUP(J$2, Percentiles!$A$45:$I$59, 7, FALSE), perc_95, VLOOKUP(J$2, Percentiles!$A$45:$I$59, 8, FALSE), perc_85, perc_75 + (perc_90 - perc_75) * (2/3), converted_stat, '2K_Ratings'!J791, IF(bbgm_stat &gt;= perc_95, converted_stat * 3, IF(bbgm_stat &gt;= perc_90, converted_stat * 2, IF(bbgm_stat &gt;= perc_85, converted_stat * 1.5, converted_stat)))))</f>
        <v/>
      </c>
      <c r="K791" s="30" t="str">
        <f t="array" ref="K791">IF($A791="", "", LET(bbgm_stat, INDEX(Players!$A790:$P790, MATCH(K$2, Players!$A$1:$P$1, 0)), perc_75, VLOOKUP(K$2, Percentiles!$A$45:$I$59, 6, FALSE), perc_90, VLOOKUP(K$2, Percentiles!$A$45:$I$59, 7, FALSE), perc_95, VLOOKUP(K$2, Percentiles!$A$45:$I$59, 8, FALSE), perc_85, perc_75 + (perc_90 - perc_75) * (2/3), converted_stat, '2K_Ratings'!K791, IF(bbgm_stat &gt;= perc_95, converted_stat * 3, IF(bbgm_stat &gt;= perc_90, converted_stat * 2, IF(bbgm_stat &gt;= perc_85, converted_stat * 1.5, converted_stat)))))</f>
        <v/>
      </c>
      <c r="L791" s="30" t="str">
        <f t="array" ref="L791">IF($A791="", "", LET(bbgm_stat, INDEX(Players!$A790:$P790, MATCH(L$2, Players!$A$1:$P$1, 0)), perc_75, VLOOKUP(L$2, Percentiles!$A$45:$I$59, 6, FALSE), perc_90, VLOOKUP(L$2, Percentiles!$A$45:$I$59, 7, FALSE), perc_95, VLOOKUP(L$2, Percentiles!$A$45:$I$59, 8, FALSE), perc_85, perc_75 + (perc_90 - perc_75) * (2/3), converted_stat, '2K_Ratings'!L791, IF(bbgm_stat &gt;= perc_95, converted_stat * 3, IF(bbgm_stat &gt;= perc_90, converted_stat * 2, IF(bbgm_stat &gt;= perc_85, converted_stat * 1.5, converted_stat)))))</f>
        <v/>
      </c>
      <c r="M791" s="30" t="str">
        <f t="array" ref="M791">IF($A791="", "", LET(bbgm_stat, INDEX(Players!$A790:$P790, MATCH(M$2, Players!$A$1:$P$1, 0)), perc_75, VLOOKUP(M$2, Percentiles!$A$45:$I$59, 6, FALSE), perc_90, VLOOKUP(M$2, Percentiles!$A$45:$I$59, 7, FALSE), perc_95, VLOOKUP(M$2, Percentiles!$A$45:$I$59, 8, FALSE), perc_85, perc_75 + (perc_90 - perc_75) * (2/3), converted_stat, '2K_Ratings'!M791, IF(bbgm_stat &gt;= perc_95, converted_stat * 3, IF(bbgm_stat &gt;= perc_90, converted_stat * 2, IF(bbgm_stat &gt;= perc_85, converted_stat * 1.5, converted_stat)))))</f>
        <v/>
      </c>
      <c r="N791" s="30" t="str">
        <f t="array" ref="N791">IF($A791="", "", LET(bbgm_stat, INDEX(Players!$A790:$P790, MATCH(N$2, Players!$A$1:$P$1, 0)), perc_75, VLOOKUP(N$2, Percentiles!$A$45:$I$59, 6, FALSE), perc_90, VLOOKUP(N$2, Percentiles!$A$45:$I$59, 7, FALSE), perc_95, VLOOKUP(N$2, Percentiles!$A$45:$I$59, 8, FALSE), perc_85, perc_75 + (perc_90 - perc_75) * (2/3), converted_stat, '2K_Ratings'!N791, IF(bbgm_stat &gt;= perc_95, converted_stat * 3, IF(bbgm_stat &gt;= perc_90, converted_stat * 2, IF(bbgm_stat &gt;= perc_85, converted_stat * 1.5, converted_stat)))))</f>
        <v/>
      </c>
      <c r="O791" s="30" t="str">
        <f t="array" ref="O791">IF($A791="", "", LET(bbgm_stat, INDEX(Players!$A790:$P790, MATCH(O$2, Players!$A$1:$P$1, 0)), perc_75, VLOOKUP(O$2, Percentiles!$A$45:$I$59, 6, FALSE), perc_90, VLOOKUP(O$2, Percentiles!$A$45:$I$59, 7, FALSE), perc_95, VLOOKUP(O$2, Percentiles!$A$45:$I$59, 8, FALSE), perc_85, perc_75 + (perc_90 - perc_75) * (2/3), converted_stat, '2K_Ratings'!O791, IF(bbgm_stat &gt;= perc_95, converted_stat * 3, IF(bbgm_stat &gt;= perc_90, converted_stat * 2, IF(bbgm_stat &gt;= perc_85, converted_stat * 1.5, converted_stat)))))</f>
        <v/>
      </c>
      <c r="P791" s="30" t="str">
        <f t="array" ref="P791">IF($A791="", "", LET(bbgm_stat, INDEX(Players!$A790:$P790, MATCH(P$2, Players!$A$1:$P$1, 0)), perc_75, VLOOKUP(P$2, Percentiles!$A$45:$I$59, 6, FALSE), perc_90, VLOOKUP(P$2, Percentiles!$A$45:$I$59, 7, FALSE), perc_95, VLOOKUP(P$2, Percentiles!$A$45:$I$59, 8, FALSE), perc_85, perc_75 + (perc_90 - perc_75) * (2/3), converted_stat, '2K_Ratings'!P791, IF(bbgm_stat &gt;= perc_95, converted_stat * 3, IF(bbgm_stat &gt;= perc_90, converted_stat * 2, IF(bbgm_stat &gt;= perc_85, converted_stat * 1.5, converted_stat)))))</f>
        <v/>
      </c>
      <c r="Q791" s="30" t="str">
        <f t="array" ref="Q791">IF($A791="", "", LET(bbgm_stat, INDEX(Players!$A790:$P790, MATCH(Q$2, Players!$A$1:$P$1, 0)), perc_75, VLOOKUP(Q$2, Percentiles!$A$45:$I$59, 6, FALSE), perc_90, VLOOKUP(Q$2, Percentiles!$A$45:$I$59, 7, FALSE), perc_95, VLOOKUP(Q$2, Percentiles!$A$45:$I$59, 8, FALSE), perc_85, perc_75 + (perc_90 - perc_75) * (2/3), converted_stat, '2K_Ratings'!Q791, IF(bbgm_stat &gt;= perc_95, converted_stat * 3, IF(bbgm_stat &gt;= perc_90, converted_stat * 2, IF(bbgm_stat &gt;= perc_85, converted_stat * 1.5, converted_stat)))))</f>
        <v/>
      </c>
      <c r="R791" s="30" t="str">
        <f t="array" ref="R791">IF($A791="", "", LET(bbgm_stat, INDEX(Players!$A790:$P790, MATCH(R$2, Players!$A$1:$P$1, 0)), perc_75, VLOOKUP(R$2, Percentiles!$A$45:$I$59, 6, FALSE), perc_90, VLOOKUP(R$2, Percentiles!$A$45:$I$59, 7, FALSE), perc_95, VLOOKUP(R$2, Percentiles!$A$45:$I$59, 8, FALSE), perc_85, perc_75 + (perc_90 - perc_75) * (2/3), converted_stat, '2K_Ratings'!R791, IF(bbgm_stat &gt;= perc_95, converted_stat * 3, IF(bbgm_stat &gt;= perc_90, converted_stat * 2, IF(bbgm_stat &gt;= perc_85, converted_stat * 1.5, converted_stat)))))</f>
        <v/>
      </c>
      <c r="S791" s="30" t="str">
        <f t="array" ref="S791">IF($A791="", "", LET(bbgm_stat, INDEX(Players!$A790:$P790, MATCH(S$2, Players!$A$1:$P$1, 0)), perc_75, VLOOKUP(S$2, Percentiles!$A$45:$I$59, 6, FALSE), perc_90, VLOOKUP(S$2, Percentiles!$A$45:$I$59, 7, FALSE), perc_95, VLOOKUP(S$2, Percentiles!$A$45:$I$59, 8, FALSE), perc_85, perc_75 + (perc_90 - perc_75) * (2/3), converted_stat, '2K_Ratings'!S791, IF(bbgm_stat &gt;= perc_95, converted_stat * 3, IF(bbgm_stat &gt;= perc_90, converted_stat * 2, IF(bbgm_stat &gt;= perc_85, converted_stat * 1.5, converted_stat)))))</f>
        <v/>
      </c>
      <c r="T791" s="30" t="str">
        <f t="array" ref="T791">IF($A791="", "", LET(bbgm_stat, INDEX(Players!$A790:$P790, MATCH(T$2, Players!$A$1:$P$1, 0)), perc_75, VLOOKUP(T$2, Percentiles!$A$45:$I$59, 6, FALSE), perc_90, VLOOKUP(T$2, Percentiles!$A$45:$I$59, 7, FALSE), perc_95, VLOOKUP(T$2, Percentiles!$A$45:$I$59, 8, FALSE), perc_85, perc_75 + (perc_90 - perc_75) * (2/3), converted_stat, '2K_Ratings'!T791, IF(bbgm_stat &gt;= perc_95, converted_stat * 3, IF(bbgm_stat &gt;= perc_90, converted_stat * 2, IF(bbgm_stat &gt;= perc_85, converted_stat * 1.5, converted_stat)))))</f>
        <v/>
      </c>
      <c r="U791" s="30" t="str">
        <f t="array" ref="U791">IF($A791="", "", LET(bbgm_stat, INDEX(Players!$A790:$P790, MATCH(U$2, Players!$A$1:$P$1, 0)), perc_75, VLOOKUP(U$2, Percentiles!$A$45:$I$59, 6, FALSE), perc_90, VLOOKUP(U$2, Percentiles!$A$45:$I$59, 7, FALSE), perc_95, VLOOKUP(U$2, Percentiles!$A$45:$I$59, 8, FALSE), perc_85, perc_75 + (perc_90 - perc_75) * (2/3), converted_stat, '2K_Ratings'!U791, IF(bbgm_stat &gt;= perc_95, converted_stat * 3, IF(bbgm_stat &gt;= perc_90, converted_stat * 2, IF(bbgm_stat &gt;= perc_85, converted_stat * 1.5, converted_stat)))))</f>
        <v/>
      </c>
      <c r="V791" s="30" t="str">
        <f t="array" ref="V791">IF($A791="", "", LET(bbgm_stat, INDEX(Players!$A790:$P790, MATCH(V$2, Players!$A$1:$P$1, 0)), perc_75, VLOOKUP(V$2, Percentiles!$A$45:$I$59, 6, FALSE), perc_90, VLOOKUP(V$2, Percentiles!$A$45:$I$59, 7, FALSE), perc_95, VLOOKUP(V$2, Percentiles!$A$45:$I$59, 8, FALSE), perc_85, perc_75 + (perc_90 - perc_75) * (2/3), converted_stat, '2K_Ratings'!V791, IF(bbgm_stat &gt;= perc_95, converted_stat * 3, IF(bbgm_stat &gt;= perc_90, converted_stat * 2, IF(bbgm_stat &gt;= perc_85, converted_stat * 1.5, converted_stat)))))</f>
        <v/>
      </c>
      <c r="W791" s="30" t="str">
        <f t="array" ref="W791">IF($A791="", "", LET(bbgm_stat, INDEX(Players!$A790:$P790, MATCH(W$2, Players!$A$1:$P$1, 0)), perc_75, VLOOKUP(W$2, Percentiles!$A$45:$I$59, 6, FALSE), perc_90, VLOOKUP(W$2, Percentiles!$A$45:$I$59, 7, FALSE), perc_95, VLOOKUP(W$2, Percentiles!$A$45:$I$59, 8, FALSE), perc_85, perc_75 + (perc_90 - perc_75) * (2/3), converted_stat, '2K_Ratings'!W791, IF(bbgm_stat &gt;= perc_95, converted_stat * 3, IF(bbgm_stat &gt;= perc_90, converted_stat * 2, IF(bbgm_stat &gt;= perc_85, converted_stat * 1.5, converted_stat)))))</f>
        <v/>
      </c>
    </row>
    <row r="792">
      <c r="A792" s="30"/>
      <c r="B792" s="30" t="str">
        <f t="array" ref="B792">IF($A792="", "", LET(bbgm_stat, INDEX(Players!$A791:$P791, MATCH(B$2, Players!$A$1:$P$1, 0)), perc_75, VLOOKUP(B$2, Percentiles!$A$45:$I$59, 6, FALSE), perc_90, VLOOKUP(B$2, Percentiles!$A$45:$I$59, 7, FALSE), perc_95, VLOOKUP(B$2, Percentiles!$A$45:$I$59, 8, FALSE), perc_85, perc_75 + (perc_90 - perc_75) * (2/3), converted_stat, '2K_Ratings'!B792, IF(bbgm_stat &gt;= perc_95, converted_stat * 3, IF(bbgm_stat &gt;= perc_90, converted_stat * 2, IF(bbgm_stat &gt;= perc_85, converted_stat * 1.5, converted_stat)))))</f>
        <v/>
      </c>
      <c r="C792" s="30" t="str">
        <f t="array" ref="C792">IF($A792="", "", LET(bbgm_stat, INDEX(Players!$A791:$P791, MATCH(C$2, Players!$A$1:$P$1, 0)), perc_75, VLOOKUP(C$2, Percentiles!$A$45:$I$59, 6, FALSE), perc_90, VLOOKUP(C$2, Percentiles!$A$45:$I$59, 7, FALSE), perc_95, VLOOKUP(C$2, Percentiles!$A$45:$I$59, 8, FALSE), perc_85, perc_75 + (perc_90 - perc_75) * (2/3), converted_stat, '2K_Ratings'!C792, IF(bbgm_stat &gt;= perc_95, converted_stat * 3, IF(bbgm_stat &gt;= perc_90, converted_stat * 2, IF(bbgm_stat &gt;= perc_85, converted_stat * 1.5, converted_stat)))))</f>
        <v/>
      </c>
      <c r="D792" s="30" t="str">
        <f t="array" ref="D792">IF($A792="", "", LET(bbgm_stat, INDEX(Players!$A791:$P791, MATCH(D$2, Players!$A$1:$P$1, 0)), perc_75, VLOOKUP(D$2, Percentiles!$A$45:$I$59, 6, FALSE), perc_90, VLOOKUP(D$2, Percentiles!$A$45:$I$59, 7, FALSE), perc_95, VLOOKUP(D$2, Percentiles!$A$45:$I$59, 8, FALSE), perc_85, perc_75 + (perc_90 - perc_75) * (2/3), converted_stat, '2K_Ratings'!D792, IF(bbgm_stat &gt;= perc_95, converted_stat * 3, IF(bbgm_stat &gt;= perc_90, converted_stat * 2, IF(bbgm_stat &gt;= perc_85, converted_stat * 1.5, converted_stat)))))</f>
        <v/>
      </c>
      <c r="E792" s="30" t="str">
        <f t="array" ref="E792">IF($A792="", "", LET(bbgm_stat, INDEX(Players!$A791:$P791, MATCH(E$2, Players!$A$1:$P$1, 0)), perc_75, VLOOKUP(E$2, Percentiles!$A$45:$I$59, 6, FALSE), perc_90, VLOOKUP(E$2, Percentiles!$A$45:$I$59, 7, FALSE), perc_95, VLOOKUP(E$2, Percentiles!$A$45:$I$59, 8, FALSE), perc_85, perc_75 + (perc_90 - perc_75) * (2/3), converted_stat, '2K_Ratings'!E792, IF(bbgm_stat &gt;= perc_95, converted_stat * 3, IF(bbgm_stat &gt;= perc_90, converted_stat * 2, IF(bbgm_stat &gt;= perc_85, converted_stat * 1.5, converted_stat)))))</f>
        <v/>
      </c>
      <c r="F792" s="30" t="str">
        <f t="array" ref="F792">IF($A792="", "", LET(bbgm_stat, INDEX(Players!$A791:$P791, MATCH(F$2, Players!$A$1:$P$1, 0)), perc_75, VLOOKUP(F$2, Percentiles!$A$45:$I$59, 6, FALSE), perc_90, VLOOKUP(F$2, Percentiles!$A$45:$I$59, 7, FALSE), perc_95, VLOOKUP(F$2, Percentiles!$A$45:$I$59, 8, FALSE), perc_85, perc_75 + (perc_90 - perc_75) * (2/3), converted_stat, '2K_Ratings'!F792, IF(bbgm_stat &gt;= perc_95, converted_stat * 3, IF(bbgm_stat &gt;= perc_90, converted_stat * 2, IF(bbgm_stat &gt;= perc_85, converted_stat * 1.5, converted_stat)))))</f>
        <v/>
      </c>
      <c r="G792" s="30" t="str">
        <f t="array" ref="G792">IF($A792="", "", LET(bbgm_stat, INDEX(Players!$A791:$P791, MATCH(G$2, Players!$A$1:$P$1, 0)), perc_75, VLOOKUP(G$2, Percentiles!$A$45:$I$59, 6, FALSE), perc_90, VLOOKUP(G$2, Percentiles!$A$45:$I$59, 7, FALSE), perc_95, VLOOKUP(G$2, Percentiles!$A$45:$I$59, 8, FALSE), perc_85, perc_75 + (perc_90 - perc_75) * (2/3), converted_stat, '2K_Ratings'!G792, IF(bbgm_stat &gt;= perc_95, converted_stat * 3, IF(bbgm_stat &gt;= perc_90, converted_stat * 2, IF(bbgm_stat &gt;= perc_85, converted_stat * 1.5, converted_stat)))))</f>
        <v/>
      </c>
      <c r="H792" s="30" t="str">
        <f t="array" ref="H792">IF($A792="", "", LET(bbgm_stat, INDEX(Players!$A791:$P791, MATCH(H$2, Players!$A$1:$P$1, 0)), perc_75, VLOOKUP(H$2, Percentiles!$A$45:$I$59, 6, FALSE), perc_90, VLOOKUP(H$2, Percentiles!$A$45:$I$59, 7, FALSE), perc_95, VLOOKUP(H$2, Percentiles!$A$45:$I$59, 8, FALSE), perc_85, perc_75 + (perc_90 - perc_75) * (2/3), converted_stat, '2K_Ratings'!H792, IF(bbgm_stat &gt;= perc_95, converted_stat * 3, IF(bbgm_stat &gt;= perc_90, converted_stat * 2, IF(bbgm_stat &gt;= perc_85, converted_stat * 1.5, converted_stat)))))</f>
        <v/>
      </c>
      <c r="I792" s="30" t="str">
        <f t="array" ref="I792">IF($A792="", "", LET(bbgm_stat, INDEX(Players!$A791:$P791, MATCH(I$2, Players!$A$1:$P$1, 0)), perc_75, VLOOKUP(I$2, Percentiles!$A$45:$I$59, 6, FALSE), perc_90, VLOOKUP(I$2, Percentiles!$A$45:$I$59, 7, FALSE), perc_95, VLOOKUP(I$2, Percentiles!$A$45:$I$59, 8, FALSE), perc_85, perc_75 + (perc_90 - perc_75) * (2/3), converted_stat, '2K_Ratings'!I792, IF(bbgm_stat &gt;= perc_95, converted_stat * 3, IF(bbgm_stat &gt;= perc_90, converted_stat * 2, IF(bbgm_stat &gt;= perc_85, converted_stat * 1.5, converted_stat)))))</f>
        <v/>
      </c>
      <c r="J792" s="30" t="str">
        <f t="array" ref="J792">IF($A792="", "", LET(bbgm_stat, INDEX(Players!$A791:$P791, MATCH(J$2, Players!$A$1:$P$1, 0)), perc_75, VLOOKUP(J$2, Percentiles!$A$45:$I$59, 6, FALSE), perc_90, VLOOKUP(J$2, Percentiles!$A$45:$I$59, 7, FALSE), perc_95, VLOOKUP(J$2, Percentiles!$A$45:$I$59, 8, FALSE), perc_85, perc_75 + (perc_90 - perc_75) * (2/3), converted_stat, '2K_Ratings'!J792, IF(bbgm_stat &gt;= perc_95, converted_stat * 3, IF(bbgm_stat &gt;= perc_90, converted_stat * 2, IF(bbgm_stat &gt;= perc_85, converted_stat * 1.5, converted_stat)))))</f>
        <v/>
      </c>
      <c r="K792" s="30" t="str">
        <f t="array" ref="K792">IF($A792="", "", LET(bbgm_stat, INDEX(Players!$A791:$P791, MATCH(K$2, Players!$A$1:$P$1, 0)), perc_75, VLOOKUP(K$2, Percentiles!$A$45:$I$59, 6, FALSE), perc_90, VLOOKUP(K$2, Percentiles!$A$45:$I$59, 7, FALSE), perc_95, VLOOKUP(K$2, Percentiles!$A$45:$I$59, 8, FALSE), perc_85, perc_75 + (perc_90 - perc_75) * (2/3), converted_stat, '2K_Ratings'!K792, IF(bbgm_stat &gt;= perc_95, converted_stat * 3, IF(bbgm_stat &gt;= perc_90, converted_stat * 2, IF(bbgm_stat &gt;= perc_85, converted_stat * 1.5, converted_stat)))))</f>
        <v/>
      </c>
      <c r="L792" s="30" t="str">
        <f t="array" ref="L792">IF($A792="", "", LET(bbgm_stat, INDEX(Players!$A791:$P791, MATCH(L$2, Players!$A$1:$P$1, 0)), perc_75, VLOOKUP(L$2, Percentiles!$A$45:$I$59, 6, FALSE), perc_90, VLOOKUP(L$2, Percentiles!$A$45:$I$59, 7, FALSE), perc_95, VLOOKUP(L$2, Percentiles!$A$45:$I$59, 8, FALSE), perc_85, perc_75 + (perc_90 - perc_75) * (2/3), converted_stat, '2K_Ratings'!L792, IF(bbgm_stat &gt;= perc_95, converted_stat * 3, IF(bbgm_stat &gt;= perc_90, converted_stat * 2, IF(bbgm_stat &gt;= perc_85, converted_stat * 1.5, converted_stat)))))</f>
        <v/>
      </c>
      <c r="M792" s="30" t="str">
        <f t="array" ref="M792">IF($A792="", "", LET(bbgm_stat, INDEX(Players!$A791:$P791, MATCH(M$2, Players!$A$1:$P$1, 0)), perc_75, VLOOKUP(M$2, Percentiles!$A$45:$I$59, 6, FALSE), perc_90, VLOOKUP(M$2, Percentiles!$A$45:$I$59, 7, FALSE), perc_95, VLOOKUP(M$2, Percentiles!$A$45:$I$59, 8, FALSE), perc_85, perc_75 + (perc_90 - perc_75) * (2/3), converted_stat, '2K_Ratings'!M792, IF(bbgm_stat &gt;= perc_95, converted_stat * 3, IF(bbgm_stat &gt;= perc_90, converted_stat * 2, IF(bbgm_stat &gt;= perc_85, converted_stat * 1.5, converted_stat)))))</f>
        <v/>
      </c>
      <c r="N792" s="30" t="str">
        <f t="array" ref="N792">IF($A792="", "", LET(bbgm_stat, INDEX(Players!$A791:$P791, MATCH(N$2, Players!$A$1:$P$1, 0)), perc_75, VLOOKUP(N$2, Percentiles!$A$45:$I$59, 6, FALSE), perc_90, VLOOKUP(N$2, Percentiles!$A$45:$I$59, 7, FALSE), perc_95, VLOOKUP(N$2, Percentiles!$A$45:$I$59, 8, FALSE), perc_85, perc_75 + (perc_90 - perc_75) * (2/3), converted_stat, '2K_Ratings'!N792, IF(bbgm_stat &gt;= perc_95, converted_stat * 3, IF(bbgm_stat &gt;= perc_90, converted_stat * 2, IF(bbgm_stat &gt;= perc_85, converted_stat * 1.5, converted_stat)))))</f>
        <v/>
      </c>
      <c r="O792" s="30" t="str">
        <f t="array" ref="O792">IF($A792="", "", LET(bbgm_stat, INDEX(Players!$A791:$P791, MATCH(O$2, Players!$A$1:$P$1, 0)), perc_75, VLOOKUP(O$2, Percentiles!$A$45:$I$59, 6, FALSE), perc_90, VLOOKUP(O$2, Percentiles!$A$45:$I$59, 7, FALSE), perc_95, VLOOKUP(O$2, Percentiles!$A$45:$I$59, 8, FALSE), perc_85, perc_75 + (perc_90 - perc_75) * (2/3), converted_stat, '2K_Ratings'!O792, IF(bbgm_stat &gt;= perc_95, converted_stat * 3, IF(bbgm_stat &gt;= perc_90, converted_stat * 2, IF(bbgm_stat &gt;= perc_85, converted_stat * 1.5, converted_stat)))))</f>
        <v/>
      </c>
      <c r="P792" s="30" t="str">
        <f t="array" ref="P792">IF($A792="", "", LET(bbgm_stat, INDEX(Players!$A791:$P791, MATCH(P$2, Players!$A$1:$P$1, 0)), perc_75, VLOOKUP(P$2, Percentiles!$A$45:$I$59, 6, FALSE), perc_90, VLOOKUP(P$2, Percentiles!$A$45:$I$59, 7, FALSE), perc_95, VLOOKUP(P$2, Percentiles!$A$45:$I$59, 8, FALSE), perc_85, perc_75 + (perc_90 - perc_75) * (2/3), converted_stat, '2K_Ratings'!P792, IF(bbgm_stat &gt;= perc_95, converted_stat * 3, IF(bbgm_stat &gt;= perc_90, converted_stat * 2, IF(bbgm_stat &gt;= perc_85, converted_stat * 1.5, converted_stat)))))</f>
        <v/>
      </c>
      <c r="Q792" s="30" t="str">
        <f t="array" ref="Q792">IF($A792="", "", LET(bbgm_stat, INDEX(Players!$A791:$P791, MATCH(Q$2, Players!$A$1:$P$1, 0)), perc_75, VLOOKUP(Q$2, Percentiles!$A$45:$I$59, 6, FALSE), perc_90, VLOOKUP(Q$2, Percentiles!$A$45:$I$59, 7, FALSE), perc_95, VLOOKUP(Q$2, Percentiles!$A$45:$I$59, 8, FALSE), perc_85, perc_75 + (perc_90 - perc_75) * (2/3), converted_stat, '2K_Ratings'!Q792, IF(bbgm_stat &gt;= perc_95, converted_stat * 3, IF(bbgm_stat &gt;= perc_90, converted_stat * 2, IF(bbgm_stat &gt;= perc_85, converted_stat * 1.5, converted_stat)))))</f>
        <v/>
      </c>
      <c r="R792" s="30" t="str">
        <f t="array" ref="R792">IF($A792="", "", LET(bbgm_stat, INDEX(Players!$A791:$P791, MATCH(R$2, Players!$A$1:$P$1, 0)), perc_75, VLOOKUP(R$2, Percentiles!$A$45:$I$59, 6, FALSE), perc_90, VLOOKUP(R$2, Percentiles!$A$45:$I$59, 7, FALSE), perc_95, VLOOKUP(R$2, Percentiles!$A$45:$I$59, 8, FALSE), perc_85, perc_75 + (perc_90 - perc_75) * (2/3), converted_stat, '2K_Ratings'!R792, IF(bbgm_stat &gt;= perc_95, converted_stat * 3, IF(bbgm_stat &gt;= perc_90, converted_stat * 2, IF(bbgm_stat &gt;= perc_85, converted_stat * 1.5, converted_stat)))))</f>
        <v/>
      </c>
      <c r="S792" s="30" t="str">
        <f t="array" ref="S792">IF($A792="", "", LET(bbgm_stat, INDEX(Players!$A791:$P791, MATCH(S$2, Players!$A$1:$P$1, 0)), perc_75, VLOOKUP(S$2, Percentiles!$A$45:$I$59, 6, FALSE), perc_90, VLOOKUP(S$2, Percentiles!$A$45:$I$59, 7, FALSE), perc_95, VLOOKUP(S$2, Percentiles!$A$45:$I$59, 8, FALSE), perc_85, perc_75 + (perc_90 - perc_75) * (2/3), converted_stat, '2K_Ratings'!S792, IF(bbgm_stat &gt;= perc_95, converted_stat * 3, IF(bbgm_stat &gt;= perc_90, converted_stat * 2, IF(bbgm_stat &gt;= perc_85, converted_stat * 1.5, converted_stat)))))</f>
        <v/>
      </c>
      <c r="T792" s="30" t="str">
        <f t="array" ref="T792">IF($A792="", "", LET(bbgm_stat, INDEX(Players!$A791:$P791, MATCH(T$2, Players!$A$1:$P$1, 0)), perc_75, VLOOKUP(T$2, Percentiles!$A$45:$I$59, 6, FALSE), perc_90, VLOOKUP(T$2, Percentiles!$A$45:$I$59, 7, FALSE), perc_95, VLOOKUP(T$2, Percentiles!$A$45:$I$59, 8, FALSE), perc_85, perc_75 + (perc_90 - perc_75) * (2/3), converted_stat, '2K_Ratings'!T792, IF(bbgm_stat &gt;= perc_95, converted_stat * 3, IF(bbgm_stat &gt;= perc_90, converted_stat * 2, IF(bbgm_stat &gt;= perc_85, converted_stat * 1.5, converted_stat)))))</f>
        <v/>
      </c>
      <c r="U792" s="30" t="str">
        <f t="array" ref="U792">IF($A792="", "", LET(bbgm_stat, INDEX(Players!$A791:$P791, MATCH(U$2, Players!$A$1:$P$1, 0)), perc_75, VLOOKUP(U$2, Percentiles!$A$45:$I$59, 6, FALSE), perc_90, VLOOKUP(U$2, Percentiles!$A$45:$I$59, 7, FALSE), perc_95, VLOOKUP(U$2, Percentiles!$A$45:$I$59, 8, FALSE), perc_85, perc_75 + (perc_90 - perc_75) * (2/3), converted_stat, '2K_Ratings'!U792, IF(bbgm_stat &gt;= perc_95, converted_stat * 3, IF(bbgm_stat &gt;= perc_90, converted_stat * 2, IF(bbgm_stat &gt;= perc_85, converted_stat * 1.5, converted_stat)))))</f>
        <v/>
      </c>
      <c r="V792" s="30" t="str">
        <f t="array" ref="V792">IF($A792="", "", LET(bbgm_stat, INDEX(Players!$A791:$P791, MATCH(V$2, Players!$A$1:$P$1, 0)), perc_75, VLOOKUP(V$2, Percentiles!$A$45:$I$59, 6, FALSE), perc_90, VLOOKUP(V$2, Percentiles!$A$45:$I$59, 7, FALSE), perc_95, VLOOKUP(V$2, Percentiles!$A$45:$I$59, 8, FALSE), perc_85, perc_75 + (perc_90 - perc_75) * (2/3), converted_stat, '2K_Ratings'!V792, IF(bbgm_stat &gt;= perc_95, converted_stat * 3, IF(bbgm_stat &gt;= perc_90, converted_stat * 2, IF(bbgm_stat &gt;= perc_85, converted_stat * 1.5, converted_stat)))))</f>
        <v/>
      </c>
      <c r="W792" s="30" t="str">
        <f t="array" ref="W792">IF($A792="", "", LET(bbgm_stat, INDEX(Players!$A791:$P791, MATCH(W$2, Players!$A$1:$P$1, 0)), perc_75, VLOOKUP(W$2, Percentiles!$A$45:$I$59, 6, FALSE), perc_90, VLOOKUP(W$2, Percentiles!$A$45:$I$59, 7, FALSE), perc_95, VLOOKUP(W$2, Percentiles!$A$45:$I$59, 8, FALSE), perc_85, perc_75 + (perc_90 - perc_75) * (2/3), converted_stat, '2K_Ratings'!W792, IF(bbgm_stat &gt;= perc_95, converted_stat * 3, IF(bbgm_stat &gt;= perc_90, converted_stat * 2, IF(bbgm_stat &gt;= perc_85, converted_stat * 1.5, converted_stat)))))</f>
        <v/>
      </c>
    </row>
    <row r="793">
      <c r="A793" s="30"/>
      <c r="B793" s="30" t="str">
        <f t="array" ref="B793">IF($A793="", "", LET(bbgm_stat, INDEX(Players!$A792:$P792, MATCH(B$2, Players!$A$1:$P$1, 0)), perc_75, VLOOKUP(B$2, Percentiles!$A$45:$I$59, 6, FALSE), perc_90, VLOOKUP(B$2, Percentiles!$A$45:$I$59, 7, FALSE), perc_95, VLOOKUP(B$2, Percentiles!$A$45:$I$59, 8, FALSE), perc_85, perc_75 + (perc_90 - perc_75) * (2/3), converted_stat, '2K_Ratings'!B793, IF(bbgm_stat &gt;= perc_95, converted_stat * 3, IF(bbgm_stat &gt;= perc_90, converted_stat * 2, IF(bbgm_stat &gt;= perc_85, converted_stat * 1.5, converted_stat)))))</f>
        <v/>
      </c>
      <c r="C793" s="30" t="str">
        <f t="array" ref="C793">IF($A793="", "", LET(bbgm_stat, INDEX(Players!$A792:$P792, MATCH(C$2, Players!$A$1:$P$1, 0)), perc_75, VLOOKUP(C$2, Percentiles!$A$45:$I$59, 6, FALSE), perc_90, VLOOKUP(C$2, Percentiles!$A$45:$I$59, 7, FALSE), perc_95, VLOOKUP(C$2, Percentiles!$A$45:$I$59, 8, FALSE), perc_85, perc_75 + (perc_90 - perc_75) * (2/3), converted_stat, '2K_Ratings'!C793, IF(bbgm_stat &gt;= perc_95, converted_stat * 3, IF(bbgm_stat &gt;= perc_90, converted_stat * 2, IF(bbgm_stat &gt;= perc_85, converted_stat * 1.5, converted_stat)))))</f>
        <v/>
      </c>
      <c r="D793" s="30" t="str">
        <f t="array" ref="D793">IF($A793="", "", LET(bbgm_stat, INDEX(Players!$A792:$P792, MATCH(D$2, Players!$A$1:$P$1, 0)), perc_75, VLOOKUP(D$2, Percentiles!$A$45:$I$59, 6, FALSE), perc_90, VLOOKUP(D$2, Percentiles!$A$45:$I$59, 7, FALSE), perc_95, VLOOKUP(D$2, Percentiles!$A$45:$I$59, 8, FALSE), perc_85, perc_75 + (perc_90 - perc_75) * (2/3), converted_stat, '2K_Ratings'!D793, IF(bbgm_stat &gt;= perc_95, converted_stat * 3, IF(bbgm_stat &gt;= perc_90, converted_stat * 2, IF(bbgm_stat &gt;= perc_85, converted_stat * 1.5, converted_stat)))))</f>
        <v/>
      </c>
      <c r="E793" s="30" t="str">
        <f t="array" ref="E793">IF($A793="", "", LET(bbgm_stat, INDEX(Players!$A792:$P792, MATCH(E$2, Players!$A$1:$P$1, 0)), perc_75, VLOOKUP(E$2, Percentiles!$A$45:$I$59, 6, FALSE), perc_90, VLOOKUP(E$2, Percentiles!$A$45:$I$59, 7, FALSE), perc_95, VLOOKUP(E$2, Percentiles!$A$45:$I$59, 8, FALSE), perc_85, perc_75 + (perc_90 - perc_75) * (2/3), converted_stat, '2K_Ratings'!E793, IF(bbgm_stat &gt;= perc_95, converted_stat * 3, IF(bbgm_stat &gt;= perc_90, converted_stat * 2, IF(bbgm_stat &gt;= perc_85, converted_stat * 1.5, converted_stat)))))</f>
        <v/>
      </c>
      <c r="F793" s="30" t="str">
        <f t="array" ref="F793">IF($A793="", "", LET(bbgm_stat, INDEX(Players!$A792:$P792, MATCH(F$2, Players!$A$1:$P$1, 0)), perc_75, VLOOKUP(F$2, Percentiles!$A$45:$I$59, 6, FALSE), perc_90, VLOOKUP(F$2, Percentiles!$A$45:$I$59, 7, FALSE), perc_95, VLOOKUP(F$2, Percentiles!$A$45:$I$59, 8, FALSE), perc_85, perc_75 + (perc_90 - perc_75) * (2/3), converted_stat, '2K_Ratings'!F793, IF(bbgm_stat &gt;= perc_95, converted_stat * 3, IF(bbgm_stat &gt;= perc_90, converted_stat * 2, IF(bbgm_stat &gt;= perc_85, converted_stat * 1.5, converted_stat)))))</f>
        <v/>
      </c>
      <c r="G793" s="30" t="str">
        <f t="array" ref="G793">IF($A793="", "", LET(bbgm_stat, INDEX(Players!$A792:$P792, MATCH(G$2, Players!$A$1:$P$1, 0)), perc_75, VLOOKUP(G$2, Percentiles!$A$45:$I$59, 6, FALSE), perc_90, VLOOKUP(G$2, Percentiles!$A$45:$I$59, 7, FALSE), perc_95, VLOOKUP(G$2, Percentiles!$A$45:$I$59, 8, FALSE), perc_85, perc_75 + (perc_90 - perc_75) * (2/3), converted_stat, '2K_Ratings'!G793, IF(bbgm_stat &gt;= perc_95, converted_stat * 3, IF(bbgm_stat &gt;= perc_90, converted_stat * 2, IF(bbgm_stat &gt;= perc_85, converted_stat * 1.5, converted_stat)))))</f>
        <v/>
      </c>
      <c r="H793" s="30" t="str">
        <f t="array" ref="H793">IF($A793="", "", LET(bbgm_stat, INDEX(Players!$A792:$P792, MATCH(H$2, Players!$A$1:$P$1, 0)), perc_75, VLOOKUP(H$2, Percentiles!$A$45:$I$59, 6, FALSE), perc_90, VLOOKUP(H$2, Percentiles!$A$45:$I$59, 7, FALSE), perc_95, VLOOKUP(H$2, Percentiles!$A$45:$I$59, 8, FALSE), perc_85, perc_75 + (perc_90 - perc_75) * (2/3), converted_stat, '2K_Ratings'!H793, IF(bbgm_stat &gt;= perc_95, converted_stat * 3, IF(bbgm_stat &gt;= perc_90, converted_stat * 2, IF(bbgm_stat &gt;= perc_85, converted_stat * 1.5, converted_stat)))))</f>
        <v/>
      </c>
      <c r="I793" s="30" t="str">
        <f t="array" ref="I793">IF($A793="", "", LET(bbgm_stat, INDEX(Players!$A792:$P792, MATCH(I$2, Players!$A$1:$P$1, 0)), perc_75, VLOOKUP(I$2, Percentiles!$A$45:$I$59, 6, FALSE), perc_90, VLOOKUP(I$2, Percentiles!$A$45:$I$59, 7, FALSE), perc_95, VLOOKUP(I$2, Percentiles!$A$45:$I$59, 8, FALSE), perc_85, perc_75 + (perc_90 - perc_75) * (2/3), converted_stat, '2K_Ratings'!I793, IF(bbgm_stat &gt;= perc_95, converted_stat * 3, IF(bbgm_stat &gt;= perc_90, converted_stat * 2, IF(bbgm_stat &gt;= perc_85, converted_stat * 1.5, converted_stat)))))</f>
        <v/>
      </c>
      <c r="J793" s="30" t="str">
        <f t="array" ref="J793">IF($A793="", "", LET(bbgm_stat, INDEX(Players!$A792:$P792, MATCH(J$2, Players!$A$1:$P$1, 0)), perc_75, VLOOKUP(J$2, Percentiles!$A$45:$I$59, 6, FALSE), perc_90, VLOOKUP(J$2, Percentiles!$A$45:$I$59, 7, FALSE), perc_95, VLOOKUP(J$2, Percentiles!$A$45:$I$59, 8, FALSE), perc_85, perc_75 + (perc_90 - perc_75) * (2/3), converted_stat, '2K_Ratings'!J793, IF(bbgm_stat &gt;= perc_95, converted_stat * 3, IF(bbgm_stat &gt;= perc_90, converted_stat * 2, IF(bbgm_stat &gt;= perc_85, converted_stat * 1.5, converted_stat)))))</f>
        <v/>
      </c>
      <c r="K793" s="30" t="str">
        <f t="array" ref="K793">IF($A793="", "", LET(bbgm_stat, INDEX(Players!$A792:$P792, MATCH(K$2, Players!$A$1:$P$1, 0)), perc_75, VLOOKUP(K$2, Percentiles!$A$45:$I$59, 6, FALSE), perc_90, VLOOKUP(K$2, Percentiles!$A$45:$I$59, 7, FALSE), perc_95, VLOOKUP(K$2, Percentiles!$A$45:$I$59, 8, FALSE), perc_85, perc_75 + (perc_90 - perc_75) * (2/3), converted_stat, '2K_Ratings'!K793, IF(bbgm_stat &gt;= perc_95, converted_stat * 3, IF(bbgm_stat &gt;= perc_90, converted_stat * 2, IF(bbgm_stat &gt;= perc_85, converted_stat * 1.5, converted_stat)))))</f>
        <v/>
      </c>
      <c r="L793" s="30" t="str">
        <f t="array" ref="L793">IF($A793="", "", LET(bbgm_stat, INDEX(Players!$A792:$P792, MATCH(L$2, Players!$A$1:$P$1, 0)), perc_75, VLOOKUP(L$2, Percentiles!$A$45:$I$59, 6, FALSE), perc_90, VLOOKUP(L$2, Percentiles!$A$45:$I$59, 7, FALSE), perc_95, VLOOKUP(L$2, Percentiles!$A$45:$I$59, 8, FALSE), perc_85, perc_75 + (perc_90 - perc_75) * (2/3), converted_stat, '2K_Ratings'!L793, IF(bbgm_stat &gt;= perc_95, converted_stat * 3, IF(bbgm_stat &gt;= perc_90, converted_stat * 2, IF(bbgm_stat &gt;= perc_85, converted_stat * 1.5, converted_stat)))))</f>
        <v/>
      </c>
      <c r="M793" s="30" t="str">
        <f t="array" ref="M793">IF($A793="", "", LET(bbgm_stat, INDEX(Players!$A792:$P792, MATCH(M$2, Players!$A$1:$P$1, 0)), perc_75, VLOOKUP(M$2, Percentiles!$A$45:$I$59, 6, FALSE), perc_90, VLOOKUP(M$2, Percentiles!$A$45:$I$59, 7, FALSE), perc_95, VLOOKUP(M$2, Percentiles!$A$45:$I$59, 8, FALSE), perc_85, perc_75 + (perc_90 - perc_75) * (2/3), converted_stat, '2K_Ratings'!M793, IF(bbgm_stat &gt;= perc_95, converted_stat * 3, IF(bbgm_stat &gt;= perc_90, converted_stat * 2, IF(bbgm_stat &gt;= perc_85, converted_stat * 1.5, converted_stat)))))</f>
        <v/>
      </c>
      <c r="N793" s="30" t="str">
        <f t="array" ref="N793">IF($A793="", "", LET(bbgm_stat, INDEX(Players!$A792:$P792, MATCH(N$2, Players!$A$1:$P$1, 0)), perc_75, VLOOKUP(N$2, Percentiles!$A$45:$I$59, 6, FALSE), perc_90, VLOOKUP(N$2, Percentiles!$A$45:$I$59, 7, FALSE), perc_95, VLOOKUP(N$2, Percentiles!$A$45:$I$59, 8, FALSE), perc_85, perc_75 + (perc_90 - perc_75) * (2/3), converted_stat, '2K_Ratings'!N793, IF(bbgm_stat &gt;= perc_95, converted_stat * 3, IF(bbgm_stat &gt;= perc_90, converted_stat * 2, IF(bbgm_stat &gt;= perc_85, converted_stat * 1.5, converted_stat)))))</f>
        <v/>
      </c>
      <c r="O793" s="30" t="str">
        <f t="array" ref="O793">IF($A793="", "", LET(bbgm_stat, INDEX(Players!$A792:$P792, MATCH(O$2, Players!$A$1:$P$1, 0)), perc_75, VLOOKUP(O$2, Percentiles!$A$45:$I$59, 6, FALSE), perc_90, VLOOKUP(O$2, Percentiles!$A$45:$I$59, 7, FALSE), perc_95, VLOOKUP(O$2, Percentiles!$A$45:$I$59, 8, FALSE), perc_85, perc_75 + (perc_90 - perc_75) * (2/3), converted_stat, '2K_Ratings'!O793, IF(bbgm_stat &gt;= perc_95, converted_stat * 3, IF(bbgm_stat &gt;= perc_90, converted_stat * 2, IF(bbgm_stat &gt;= perc_85, converted_stat * 1.5, converted_stat)))))</f>
        <v/>
      </c>
      <c r="P793" s="30" t="str">
        <f t="array" ref="P793">IF($A793="", "", LET(bbgm_stat, INDEX(Players!$A792:$P792, MATCH(P$2, Players!$A$1:$P$1, 0)), perc_75, VLOOKUP(P$2, Percentiles!$A$45:$I$59, 6, FALSE), perc_90, VLOOKUP(P$2, Percentiles!$A$45:$I$59, 7, FALSE), perc_95, VLOOKUP(P$2, Percentiles!$A$45:$I$59, 8, FALSE), perc_85, perc_75 + (perc_90 - perc_75) * (2/3), converted_stat, '2K_Ratings'!P793, IF(bbgm_stat &gt;= perc_95, converted_stat * 3, IF(bbgm_stat &gt;= perc_90, converted_stat * 2, IF(bbgm_stat &gt;= perc_85, converted_stat * 1.5, converted_stat)))))</f>
        <v/>
      </c>
      <c r="Q793" s="30" t="str">
        <f t="array" ref="Q793">IF($A793="", "", LET(bbgm_stat, INDEX(Players!$A792:$P792, MATCH(Q$2, Players!$A$1:$P$1, 0)), perc_75, VLOOKUP(Q$2, Percentiles!$A$45:$I$59, 6, FALSE), perc_90, VLOOKUP(Q$2, Percentiles!$A$45:$I$59, 7, FALSE), perc_95, VLOOKUP(Q$2, Percentiles!$A$45:$I$59, 8, FALSE), perc_85, perc_75 + (perc_90 - perc_75) * (2/3), converted_stat, '2K_Ratings'!Q793, IF(bbgm_stat &gt;= perc_95, converted_stat * 3, IF(bbgm_stat &gt;= perc_90, converted_stat * 2, IF(bbgm_stat &gt;= perc_85, converted_stat * 1.5, converted_stat)))))</f>
        <v/>
      </c>
      <c r="R793" s="30" t="str">
        <f t="array" ref="R793">IF($A793="", "", LET(bbgm_stat, INDEX(Players!$A792:$P792, MATCH(R$2, Players!$A$1:$P$1, 0)), perc_75, VLOOKUP(R$2, Percentiles!$A$45:$I$59, 6, FALSE), perc_90, VLOOKUP(R$2, Percentiles!$A$45:$I$59, 7, FALSE), perc_95, VLOOKUP(R$2, Percentiles!$A$45:$I$59, 8, FALSE), perc_85, perc_75 + (perc_90 - perc_75) * (2/3), converted_stat, '2K_Ratings'!R793, IF(bbgm_stat &gt;= perc_95, converted_stat * 3, IF(bbgm_stat &gt;= perc_90, converted_stat * 2, IF(bbgm_stat &gt;= perc_85, converted_stat * 1.5, converted_stat)))))</f>
        <v/>
      </c>
      <c r="S793" s="30" t="str">
        <f t="array" ref="S793">IF($A793="", "", LET(bbgm_stat, INDEX(Players!$A792:$P792, MATCH(S$2, Players!$A$1:$P$1, 0)), perc_75, VLOOKUP(S$2, Percentiles!$A$45:$I$59, 6, FALSE), perc_90, VLOOKUP(S$2, Percentiles!$A$45:$I$59, 7, FALSE), perc_95, VLOOKUP(S$2, Percentiles!$A$45:$I$59, 8, FALSE), perc_85, perc_75 + (perc_90 - perc_75) * (2/3), converted_stat, '2K_Ratings'!S793, IF(bbgm_stat &gt;= perc_95, converted_stat * 3, IF(bbgm_stat &gt;= perc_90, converted_stat * 2, IF(bbgm_stat &gt;= perc_85, converted_stat * 1.5, converted_stat)))))</f>
        <v/>
      </c>
      <c r="T793" s="30" t="str">
        <f t="array" ref="T793">IF($A793="", "", LET(bbgm_stat, INDEX(Players!$A792:$P792, MATCH(T$2, Players!$A$1:$P$1, 0)), perc_75, VLOOKUP(T$2, Percentiles!$A$45:$I$59, 6, FALSE), perc_90, VLOOKUP(T$2, Percentiles!$A$45:$I$59, 7, FALSE), perc_95, VLOOKUP(T$2, Percentiles!$A$45:$I$59, 8, FALSE), perc_85, perc_75 + (perc_90 - perc_75) * (2/3), converted_stat, '2K_Ratings'!T793, IF(bbgm_stat &gt;= perc_95, converted_stat * 3, IF(bbgm_stat &gt;= perc_90, converted_stat * 2, IF(bbgm_stat &gt;= perc_85, converted_stat * 1.5, converted_stat)))))</f>
        <v/>
      </c>
      <c r="U793" s="30" t="str">
        <f t="array" ref="U793">IF($A793="", "", LET(bbgm_stat, INDEX(Players!$A792:$P792, MATCH(U$2, Players!$A$1:$P$1, 0)), perc_75, VLOOKUP(U$2, Percentiles!$A$45:$I$59, 6, FALSE), perc_90, VLOOKUP(U$2, Percentiles!$A$45:$I$59, 7, FALSE), perc_95, VLOOKUP(U$2, Percentiles!$A$45:$I$59, 8, FALSE), perc_85, perc_75 + (perc_90 - perc_75) * (2/3), converted_stat, '2K_Ratings'!U793, IF(bbgm_stat &gt;= perc_95, converted_stat * 3, IF(bbgm_stat &gt;= perc_90, converted_stat * 2, IF(bbgm_stat &gt;= perc_85, converted_stat * 1.5, converted_stat)))))</f>
        <v/>
      </c>
      <c r="V793" s="30" t="str">
        <f t="array" ref="V793">IF($A793="", "", LET(bbgm_stat, INDEX(Players!$A792:$P792, MATCH(V$2, Players!$A$1:$P$1, 0)), perc_75, VLOOKUP(V$2, Percentiles!$A$45:$I$59, 6, FALSE), perc_90, VLOOKUP(V$2, Percentiles!$A$45:$I$59, 7, FALSE), perc_95, VLOOKUP(V$2, Percentiles!$A$45:$I$59, 8, FALSE), perc_85, perc_75 + (perc_90 - perc_75) * (2/3), converted_stat, '2K_Ratings'!V793, IF(bbgm_stat &gt;= perc_95, converted_stat * 3, IF(bbgm_stat &gt;= perc_90, converted_stat * 2, IF(bbgm_stat &gt;= perc_85, converted_stat * 1.5, converted_stat)))))</f>
        <v/>
      </c>
      <c r="W793" s="30" t="str">
        <f t="array" ref="W793">IF($A793="", "", LET(bbgm_stat, INDEX(Players!$A792:$P792, MATCH(W$2, Players!$A$1:$P$1, 0)), perc_75, VLOOKUP(W$2, Percentiles!$A$45:$I$59, 6, FALSE), perc_90, VLOOKUP(W$2, Percentiles!$A$45:$I$59, 7, FALSE), perc_95, VLOOKUP(W$2, Percentiles!$A$45:$I$59, 8, FALSE), perc_85, perc_75 + (perc_90 - perc_75) * (2/3), converted_stat, '2K_Ratings'!W793, IF(bbgm_stat &gt;= perc_95, converted_stat * 3, IF(bbgm_stat &gt;= perc_90, converted_stat * 2, IF(bbgm_stat &gt;= perc_85, converted_stat * 1.5, converted_stat)))))</f>
        <v/>
      </c>
    </row>
    <row r="794">
      <c r="A794" s="30"/>
      <c r="B794" s="30" t="str">
        <f t="array" ref="B794">IF($A794="", "", LET(bbgm_stat, INDEX(Players!$A793:$P793, MATCH(B$2, Players!$A$1:$P$1, 0)), perc_75, VLOOKUP(B$2, Percentiles!$A$45:$I$59, 6, FALSE), perc_90, VLOOKUP(B$2, Percentiles!$A$45:$I$59, 7, FALSE), perc_95, VLOOKUP(B$2, Percentiles!$A$45:$I$59, 8, FALSE), perc_85, perc_75 + (perc_90 - perc_75) * (2/3), converted_stat, '2K_Ratings'!B794, IF(bbgm_stat &gt;= perc_95, converted_stat * 3, IF(bbgm_stat &gt;= perc_90, converted_stat * 2, IF(bbgm_stat &gt;= perc_85, converted_stat * 1.5, converted_stat)))))</f>
        <v/>
      </c>
      <c r="C794" s="30" t="str">
        <f t="array" ref="C794">IF($A794="", "", LET(bbgm_stat, INDEX(Players!$A793:$P793, MATCH(C$2, Players!$A$1:$P$1, 0)), perc_75, VLOOKUP(C$2, Percentiles!$A$45:$I$59, 6, FALSE), perc_90, VLOOKUP(C$2, Percentiles!$A$45:$I$59, 7, FALSE), perc_95, VLOOKUP(C$2, Percentiles!$A$45:$I$59, 8, FALSE), perc_85, perc_75 + (perc_90 - perc_75) * (2/3), converted_stat, '2K_Ratings'!C794, IF(bbgm_stat &gt;= perc_95, converted_stat * 3, IF(bbgm_stat &gt;= perc_90, converted_stat * 2, IF(bbgm_stat &gt;= perc_85, converted_stat * 1.5, converted_stat)))))</f>
        <v/>
      </c>
      <c r="D794" s="30" t="str">
        <f t="array" ref="D794">IF($A794="", "", LET(bbgm_stat, INDEX(Players!$A793:$P793, MATCH(D$2, Players!$A$1:$P$1, 0)), perc_75, VLOOKUP(D$2, Percentiles!$A$45:$I$59, 6, FALSE), perc_90, VLOOKUP(D$2, Percentiles!$A$45:$I$59, 7, FALSE), perc_95, VLOOKUP(D$2, Percentiles!$A$45:$I$59, 8, FALSE), perc_85, perc_75 + (perc_90 - perc_75) * (2/3), converted_stat, '2K_Ratings'!D794, IF(bbgm_stat &gt;= perc_95, converted_stat * 3, IF(bbgm_stat &gt;= perc_90, converted_stat * 2, IF(bbgm_stat &gt;= perc_85, converted_stat * 1.5, converted_stat)))))</f>
        <v/>
      </c>
      <c r="E794" s="30" t="str">
        <f t="array" ref="E794">IF($A794="", "", LET(bbgm_stat, INDEX(Players!$A793:$P793, MATCH(E$2, Players!$A$1:$P$1, 0)), perc_75, VLOOKUP(E$2, Percentiles!$A$45:$I$59, 6, FALSE), perc_90, VLOOKUP(E$2, Percentiles!$A$45:$I$59, 7, FALSE), perc_95, VLOOKUP(E$2, Percentiles!$A$45:$I$59, 8, FALSE), perc_85, perc_75 + (perc_90 - perc_75) * (2/3), converted_stat, '2K_Ratings'!E794, IF(bbgm_stat &gt;= perc_95, converted_stat * 3, IF(bbgm_stat &gt;= perc_90, converted_stat * 2, IF(bbgm_stat &gt;= perc_85, converted_stat * 1.5, converted_stat)))))</f>
        <v/>
      </c>
      <c r="F794" s="30" t="str">
        <f t="array" ref="F794">IF($A794="", "", LET(bbgm_stat, INDEX(Players!$A793:$P793, MATCH(F$2, Players!$A$1:$P$1, 0)), perc_75, VLOOKUP(F$2, Percentiles!$A$45:$I$59, 6, FALSE), perc_90, VLOOKUP(F$2, Percentiles!$A$45:$I$59, 7, FALSE), perc_95, VLOOKUP(F$2, Percentiles!$A$45:$I$59, 8, FALSE), perc_85, perc_75 + (perc_90 - perc_75) * (2/3), converted_stat, '2K_Ratings'!F794, IF(bbgm_stat &gt;= perc_95, converted_stat * 3, IF(bbgm_stat &gt;= perc_90, converted_stat * 2, IF(bbgm_stat &gt;= perc_85, converted_stat * 1.5, converted_stat)))))</f>
        <v/>
      </c>
      <c r="G794" s="30" t="str">
        <f t="array" ref="G794">IF($A794="", "", LET(bbgm_stat, INDEX(Players!$A793:$P793, MATCH(G$2, Players!$A$1:$P$1, 0)), perc_75, VLOOKUP(G$2, Percentiles!$A$45:$I$59, 6, FALSE), perc_90, VLOOKUP(G$2, Percentiles!$A$45:$I$59, 7, FALSE), perc_95, VLOOKUP(G$2, Percentiles!$A$45:$I$59, 8, FALSE), perc_85, perc_75 + (perc_90 - perc_75) * (2/3), converted_stat, '2K_Ratings'!G794, IF(bbgm_stat &gt;= perc_95, converted_stat * 3, IF(bbgm_stat &gt;= perc_90, converted_stat * 2, IF(bbgm_stat &gt;= perc_85, converted_stat * 1.5, converted_stat)))))</f>
        <v/>
      </c>
      <c r="H794" s="30" t="str">
        <f t="array" ref="H794">IF($A794="", "", LET(bbgm_stat, INDEX(Players!$A793:$P793, MATCH(H$2, Players!$A$1:$P$1, 0)), perc_75, VLOOKUP(H$2, Percentiles!$A$45:$I$59, 6, FALSE), perc_90, VLOOKUP(H$2, Percentiles!$A$45:$I$59, 7, FALSE), perc_95, VLOOKUP(H$2, Percentiles!$A$45:$I$59, 8, FALSE), perc_85, perc_75 + (perc_90 - perc_75) * (2/3), converted_stat, '2K_Ratings'!H794, IF(bbgm_stat &gt;= perc_95, converted_stat * 3, IF(bbgm_stat &gt;= perc_90, converted_stat * 2, IF(bbgm_stat &gt;= perc_85, converted_stat * 1.5, converted_stat)))))</f>
        <v/>
      </c>
      <c r="I794" s="30" t="str">
        <f t="array" ref="I794">IF($A794="", "", LET(bbgm_stat, INDEX(Players!$A793:$P793, MATCH(I$2, Players!$A$1:$P$1, 0)), perc_75, VLOOKUP(I$2, Percentiles!$A$45:$I$59, 6, FALSE), perc_90, VLOOKUP(I$2, Percentiles!$A$45:$I$59, 7, FALSE), perc_95, VLOOKUP(I$2, Percentiles!$A$45:$I$59, 8, FALSE), perc_85, perc_75 + (perc_90 - perc_75) * (2/3), converted_stat, '2K_Ratings'!I794, IF(bbgm_stat &gt;= perc_95, converted_stat * 3, IF(bbgm_stat &gt;= perc_90, converted_stat * 2, IF(bbgm_stat &gt;= perc_85, converted_stat * 1.5, converted_stat)))))</f>
        <v/>
      </c>
      <c r="J794" s="30" t="str">
        <f t="array" ref="J794">IF($A794="", "", LET(bbgm_stat, INDEX(Players!$A793:$P793, MATCH(J$2, Players!$A$1:$P$1, 0)), perc_75, VLOOKUP(J$2, Percentiles!$A$45:$I$59, 6, FALSE), perc_90, VLOOKUP(J$2, Percentiles!$A$45:$I$59, 7, FALSE), perc_95, VLOOKUP(J$2, Percentiles!$A$45:$I$59, 8, FALSE), perc_85, perc_75 + (perc_90 - perc_75) * (2/3), converted_stat, '2K_Ratings'!J794, IF(bbgm_stat &gt;= perc_95, converted_stat * 3, IF(bbgm_stat &gt;= perc_90, converted_stat * 2, IF(bbgm_stat &gt;= perc_85, converted_stat * 1.5, converted_stat)))))</f>
        <v/>
      </c>
      <c r="K794" s="30" t="str">
        <f t="array" ref="K794">IF($A794="", "", LET(bbgm_stat, INDEX(Players!$A793:$P793, MATCH(K$2, Players!$A$1:$P$1, 0)), perc_75, VLOOKUP(K$2, Percentiles!$A$45:$I$59, 6, FALSE), perc_90, VLOOKUP(K$2, Percentiles!$A$45:$I$59, 7, FALSE), perc_95, VLOOKUP(K$2, Percentiles!$A$45:$I$59, 8, FALSE), perc_85, perc_75 + (perc_90 - perc_75) * (2/3), converted_stat, '2K_Ratings'!K794, IF(bbgm_stat &gt;= perc_95, converted_stat * 3, IF(bbgm_stat &gt;= perc_90, converted_stat * 2, IF(bbgm_stat &gt;= perc_85, converted_stat * 1.5, converted_stat)))))</f>
        <v/>
      </c>
      <c r="L794" s="30" t="str">
        <f t="array" ref="L794">IF($A794="", "", LET(bbgm_stat, INDEX(Players!$A793:$P793, MATCH(L$2, Players!$A$1:$P$1, 0)), perc_75, VLOOKUP(L$2, Percentiles!$A$45:$I$59, 6, FALSE), perc_90, VLOOKUP(L$2, Percentiles!$A$45:$I$59, 7, FALSE), perc_95, VLOOKUP(L$2, Percentiles!$A$45:$I$59, 8, FALSE), perc_85, perc_75 + (perc_90 - perc_75) * (2/3), converted_stat, '2K_Ratings'!L794, IF(bbgm_stat &gt;= perc_95, converted_stat * 3, IF(bbgm_stat &gt;= perc_90, converted_stat * 2, IF(bbgm_stat &gt;= perc_85, converted_stat * 1.5, converted_stat)))))</f>
        <v/>
      </c>
      <c r="M794" s="30" t="str">
        <f t="array" ref="M794">IF($A794="", "", LET(bbgm_stat, INDEX(Players!$A793:$P793, MATCH(M$2, Players!$A$1:$P$1, 0)), perc_75, VLOOKUP(M$2, Percentiles!$A$45:$I$59, 6, FALSE), perc_90, VLOOKUP(M$2, Percentiles!$A$45:$I$59, 7, FALSE), perc_95, VLOOKUP(M$2, Percentiles!$A$45:$I$59, 8, FALSE), perc_85, perc_75 + (perc_90 - perc_75) * (2/3), converted_stat, '2K_Ratings'!M794, IF(bbgm_stat &gt;= perc_95, converted_stat * 3, IF(bbgm_stat &gt;= perc_90, converted_stat * 2, IF(bbgm_stat &gt;= perc_85, converted_stat * 1.5, converted_stat)))))</f>
        <v/>
      </c>
      <c r="N794" s="30" t="str">
        <f t="array" ref="N794">IF($A794="", "", LET(bbgm_stat, INDEX(Players!$A793:$P793, MATCH(N$2, Players!$A$1:$P$1, 0)), perc_75, VLOOKUP(N$2, Percentiles!$A$45:$I$59, 6, FALSE), perc_90, VLOOKUP(N$2, Percentiles!$A$45:$I$59, 7, FALSE), perc_95, VLOOKUP(N$2, Percentiles!$A$45:$I$59, 8, FALSE), perc_85, perc_75 + (perc_90 - perc_75) * (2/3), converted_stat, '2K_Ratings'!N794, IF(bbgm_stat &gt;= perc_95, converted_stat * 3, IF(bbgm_stat &gt;= perc_90, converted_stat * 2, IF(bbgm_stat &gt;= perc_85, converted_stat * 1.5, converted_stat)))))</f>
        <v/>
      </c>
      <c r="O794" s="30" t="str">
        <f t="array" ref="O794">IF($A794="", "", LET(bbgm_stat, INDEX(Players!$A793:$P793, MATCH(O$2, Players!$A$1:$P$1, 0)), perc_75, VLOOKUP(O$2, Percentiles!$A$45:$I$59, 6, FALSE), perc_90, VLOOKUP(O$2, Percentiles!$A$45:$I$59, 7, FALSE), perc_95, VLOOKUP(O$2, Percentiles!$A$45:$I$59, 8, FALSE), perc_85, perc_75 + (perc_90 - perc_75) * (2/3), converted_stat, '2K_Ratings'!O794, IF(bbgm_stat &gt;= perc_95, converted_stat * 3, IF(bbgm_stat &gt;= perc_90, converted_stat * 2, IF(bbgm_stat &gt;= perc_85, converted_stat * 1.5, converted_stat)))))</f>
        <v/>
      </c>
      <c r="P794" s="30" t="str">
        <f t="array" ref="P794">IF($A794="", "", LET(bbgm_stat, INDEX(Players!$A793:$P793, MATCH(P$2, Players!$A$1:$P$1, 0)), perc_75, VLOOKUP(P$2, Percentiles!$A$45:$I$59, 6, FALSE), perc_90, VLOOKUP(P$2, Percentiles!$A$45:$I$59, 7, FALSE), perc_95, VLOOKUP(P$2, Percentiles!$A$45:$I$59, 8, FALSE), perc_85, perc_75 + (perc_90 - perc_75) * (2/3), converted_stat, '2K_Ratings'!P794, IF(bbgm_stat &gt;= perc_95, converted_stat * 3, IF(bbgm_stat &gt;= perc_90, converted_stat * 2, IF(bbgm_stat &gt;= perc_85, converted_stat * 1.5, converted_stat)))))</f>
        <v/>
      </c>
      <c r="Q794" s="30" t="str">
        <f t="array" ref="Q794">IF($A794="", "", LET(bbgm_stat, INDEX(Players!$A793:$P793, MATCH(Q$2, Players!$A$1:$P$1, 0)), perc_75, VLOOKUP(Q$2, Percentiles!$A$45:$I$59, 6, FALSE), perc_90, VLOOKUP(Q$2, Percentiles!$A$45:$I$59, 7, FALSE), perc_95, VLOOKUP(Q$2, Percentiles!$A$45:$I$59, 8, FALSE), perc_85, perc_75 + (perc_90 - perc_75) * (2/3), converted_stat, '2K_Ratings'!Q794, IF(bbgm_stat &gt;= perc_95, converted_stat * 3, IF(bbgm_stat &gt;= perc_90, converted_stat * 2, IF(bbgm_stat &gt;= perc_85, converted_stat * 1.5, converted_stat)))))</f>
        <v/>
      </c>
      <c r="R794" s="30" t="str">
        <f t="array" ref="R794">IF($A794="", "", LET(bbgm_stat, INDEX(Players!$A793:$P793, MATCH(R$2, Players!$A$1:$P$1, 0)), perc_75, VLOOKUP(R$2, Percentiles!$A$45:$I$59, 6, FALSE), perc_90, VLOOKUP(R$2, Percentiles!$A$45:$I$59, 7, FALSE), perc_95, VLOOKUP(R$2, Percentiles!$A$45:$I$59, 8, FALSE), perc_85, perc_75 + (perc_90 - perc_75) * (2/3), converted_stat, '2K_Ratings'!R794, IF(bbgm_stat &gt;= perc_95, converted_stat * 3, IF(bbgm_stat &gt;= perc_90, converted_stat * 2, IF(bbgm_stat &gt;= perc_85, converted_stat * 1.5, converted_stat)))))</f>
        <v/>
      </c>
      <c r="S794" s="30" t="str">
        <f t="array" ref="S794">IF($A794="", "", LET(bbgm_stat, INDEX(Players!$A793:$P793, MATCH(S$2, Players!$A$1:$P$1, 0)), perc_75, VLOOKUP(S$2, Percentiles!$A$45:$I$59, 6, FALSE), perc_90, VLOOKUP(S$2, Percentiles!$A$45:$I$59, 7, FALSE), perc_95, VLOOKUP(S$2, Percentiles!$A$45:$I$59, 8, FALSE), perc_85, perc_75 + (perc_90 - perc_75) * (2/3), converted_stat, '2K_Ratings'!S794, IF(bbgm_stat &gt;= perc_95, converted_stat * 3, IF(bbgm_stat &gt;= perc_90, converted_stat * 2, IF(bbgm_stat &gt;= perc_85, converted_stat * 1.5, converted_stat)))))</f>
        <v/>
      </c>
      <c r="T794" s="30" t="str">
        <f t="array" ref="T794">IF($A794="", "", LET(bbgm_stat, INDEX(Players!$A793:$P793, MATCH(T$2, Players!$A$1:$P$1, 0)), perc_75, VLOOKUP(T$2, Percentiles!$A$45:$I$59, 6, FALSE), perc_90, VLOOKUP(T$2, Percentiles!$A$45:$I$59, 7, FALSE), perc_95, VLOOKUP(T$2, Percentiles!$A$45:$I$59, 8, FALSE), perc_85, perc_75 + (perc_90 - perc_75) * (2/3), converted_stat, '2K_Ratings'!T794, IF(bbgm_stat &gt;= perc_95, converted_stat * 3, IF(bbgm_stat &gt;= perc_90, converted_stat * 2, IF(bbgm_stat &gt;= perc_85, converted_stat * 1.5, converted_stat)))))</f>
        <v/>
      </c>
      <c r="U794" s="30" t="str">
        <f t="array" ref="U794">IF($A794="", "", LET(bbgm_stat, INDEX(Players!$A793:$P793, MATCH(U$2, Players!$A$1:$P$1, 0)), perc_75, VLOOKUP(U$2, Percentiles!$A$45:$I$59, 6, FALSE), perc_90, VLOOKUP(U$2, Percentiles!$A$45:$I$59, 7, FALSE), perc_95, VLOOKUP(U$2, Percentiles!$A$45:$I$59, 8, FALSE), perc_85, perc_75 + (perc_90 - perc_75) * (2/3), converted_stat, '2K_Ratings'!U794, IF(bbgm_stat &gt;= perc_95, converted_stat * 3, IF(bbgm_stat &gt;= perc_90, converted_stat * 2, IF(bbgm_stat &gt;= perc_85, converted_stat * 1.5, converted_stat)))))</f>
        <v/>
      </c>
      <c r="V794" s="30" t="str">
        <f t="array" ref="V794">IF($A794="", "", LET(bbgm_stat, INDEX(Players!$A793:$P793, MATCH(V$2, Players!$A$1:$P$1, 0)), perc_75, VLOOKUP(V$2, Percentiles!$A$45:$I$59, 6, FALSE), perc_90, VLOOKUP(V$2, Percentiles!$A$45:$I$59, 7, FALSE), perc_95, VLOOKUP(V$2, Percentiles!$A$45:$I$59, 8, FALSE), perc_85, perc_75 + (perc_90 - perc_75) * (2/3), converted_stat, '2K_Ratings'!V794, IF(bbgm_stat &gt;= perc_95, converted_stat * 3, IF(bbgm_stat &gt;= perc_90, converted_stat * 2, IF(bbgm_stat &gt;= perc_85, converted_stat * 1.5, converted_stat)))))</f>
        <v/>
      </c>
      <c r="W794" s="30" t="str">
        <f t="array" ref="W794">IF($A794="", "", LET(bbgm_stat, INDEX(Players!$A793:$P793, MATCH(W$2, Players!$A$1:$P$1, 0)), perc_75, VLOOKUP(W$2, Percentiles!$A$45:$I$59, 6, FALSE), perc_90, VLOOKUP(W$2, Percentiles!$A$45:$I$59, 7, FALSE), perc_95, VLOOKUP(W$2, Percentiles!$A$45:$I$59, 8, FALSE), perc_85, perc_75 + (perc_90 - perc_75) * (2/3), converted_stat, '2K_Ratings'!W794, IF(bbgm_stat &gt;= perc_95, converted_stat * 3, IF(bbgm_stat &gt;= perc_90, converted_stat * 2, IF(bbgm_stat &gt;= perc_85, converted_stat * 1.5, converted_stat)))))</f>
        <v/>
      </c>
    </row>
    <row r="795">
      <c r="A795" s="30"/>
      <c r="B795" s="30" t="str">
        <f t="array" ref="B795">IF($A795="", "", LET(bbgm_stat, INDEX(Players!$A794:$P794, MATCH(B$2, Players!$A$1:$P$1, 0)), perc_75, VLOOKUP(B$2, Percentiles!$A$45:$I$59, 6, FALSE), perc_90, VLOOKUP(B$2, Percentiles!$A$45:$I$59, 7, FALSE), perc_95, VLOOKUP(B$2, Percentiles!$A$45:$I$59, 8, FALSE), perc_85, perc_75 + (perc_90 - perc_75) * (2/3), converted_stat, '2K_Ratings'!B795, IF(bbgm_stat &gt;= perc_95, converted_stat * 3, IF(bbgm_stat &gt;= perc_90, converted_stat * 2, IF(bbgm_stat &gt;= perc_85, converted_stat * 1.5, converted_stat)))))</f>
        <v/>
      </c>
      <c r="C795" s="30" t="str">
        <f t="array" ref="C795">IF($A795="", "", LET(bbgm_stat, INDEX(Players!$A794:$P794, MATCH(C$2, Players!$A$1:$P$1, 0)), perc_75, VLOOKUP(C$2, Percentiles!$A$45:$I$59, 6, FALSE), perc_90, VLOOKUP(C$2, Percentiles!$A$45:$I$59, 7, FALSE), perc_95, VLOOKUP(C$2, Percentiles!$A$45:$I$59, 8, FALSE), perc_85, perc_75 + (perc_90 - perc_75) * (2/3), converted_stat, '2K_Ratings'!C795, IF(bbgm_stat &gt;= perc_95, converted_stat * 3, IF(bbgm_stat &gt;= perc_90, converted_stat * 2, IF(bbgm_stat &gt;= perc_85, converted_stat * 1.5, converted_stat)))))</f>
        <v/>
      </c>
      <c r="D795" s="30" t="str">
        <f t="array" ref="D795">IF($A795="", "", LET(bbgm_stat, INDEX(Players!$A794:$P794, MATCH(D$2, Players!$A$1:$P$1, 0)), perc_75, VLOOKUP(D$2, Percentiles!$A$45:$I$59, 6, FALSE), perc_90, VLOOKUP(D$2, Percentiles!$A$45:$I$59, 7, FALSE), perc_95, VLOOKUP(D$2, Percentiles!$A$45:$I$59, 8, FALSE), perc_85, perc_75 + (perc_90 - perc_75) * (2/3), converted_stat, '2K_Ratings'!D795, IF(bbgm_stat &gt;= perc_95, converted_stat * 3, IF(bbgm_stat &gt;= perc_90, converted_stat * 2, IF(bbgm_stat &gt;= perc_85, converted_stat * 1.5, converted_stat)))))</f>
        <v/>
      </c>
      <c r="E795" s="30" t="str">
        <f t="array" ref="E795">IF($A795="", "", LET(bbgm_stat, INDEX(Players!$A794:$P794, MATCH(E$2, Players!$A$1:$P$1, 0)), perc_75, VLOOKUP(E$2, Percentiles!$A$45:$I$59, 6, FALSE), perc_90, VLOOKUP(E$2, Percentiles!$A$45:$I$59, 7, FALSE), perc_95, VLOOKUP(E$2, Percentiles!$A$45:$I$59, 8, FALSE), perc_85, perc_75 + (perc_90 - perc_75) * (2/3), converted_stat, '2K_Ratings'!E795, IF(bbgm_stat &gt;= perc_95, converted_stat * 3, IF(bbgm_stat &gt;= perc_90, converted_stat * 2, IF(bbgm_stat &gt;= perc_85, converted_stat * 1.5, converted_stat)))))</f>
        <v/>
      </c>
      <c r="F795" s="30" t="str">
        <f t="array" ref="F795">IF($A795="", "", LET(bbgm_stat, INDEX(Players!$A794:$P794, MATCH(F$2, Players!$A$1:$P$1, 0)), perc_75, VLOOKUP(F$2, Percentiles!$A$45:$I$59, 6, FALSE), perc_90, VLOOKUP(F$2, Percentiles!$A$45:$I$59, 7, FALSE), perc_95, VLOOKUP(F$2, Percentiles!$A$45:$I$59, 8, FALSE), perc_85, perc_75 + (perc_90 - perc_75) * (2/3), converted_stat, '2K_Ratings'!F795, IF(bbgm_stat &gt;= perc_95, converted_stat * 3, IF(bbgm_stat &gt;= perc_90, converted_stat * 2, IF(bbgm_stat &gt;= perc_85, converted_stat * 1.5, converted_stat)))))</f>
        <v/>
      </c>
      <c r="G795" s="30" t="str">
        <f t="array" ref="G795">IF($A795="", "", LET(bbgm_stat, INDEX(Players!$A794:$P794, MATCH(G$2, Players!$A$1:$P$1, 0)), perc_75, VLOOKUP(G$2, Percentiles!$A$45:$I$59, 6, FALSE), perc_90, VLOOKUP(G$2, Percentiles!$A$45:$I$59, 7, FALSE), perc_95, VLOOKUP(G$2, Percentiles!$A$45:$I$59, 8, FALSE), perc_85, perc_75 + (perc_90 - perc_75) * (2/3), converted_stat, '2K_Ratings'!G795, IF(bbgm_stat &gt;= perc_95, converted_stat * 3, IF(bbgm_stat &gt;= perc_90, converted_stat * 2, IF(bbgm_stat &gt;= perc_85, converted_stat * 1.5, converted_stat)))))</f>
        <v/>
      </c>
      <c r="H795" s="30" t="str">
        <f t="array" ref="H795">IF($A795="", "", LET(bbgm_stat, INDEX(Players!$A794:$P794, MATCH(H$2, Players!$A$1:$P$1, 0)), perc_75, VLOOKUP(H$2, Percentiles!$A$45:$I$59, 6, FALSE), perc_90, VLOOKUP(H$2, Percentiles!$A$45:$I$59, 7, FALSE), perc_95, VLOOKUP(H$2, Percentiles!$A$45:$I$59, 8, FALSE), perc_85, perc_75 + (perc_90 - perc_75) * (2/3), converted_stat, '2K_Ratings'!H795, IF(bbgm_stat &gt;= perc_95, converted_stat * 3, IF(bbgm_stat &gt;= perc_90, converted_stat * 2, IF(bbgm_stat &gt;= perc_85, converted_stat * 1.5, converted_stat)))))</f>
        <v/>
      </c>
      <c r="I795" s="30" t="str">
        <f t="array" ref="I795">IF($A795="", "", LET(bbgm_stat, INDEX(Players!$A794:$P794, MATCH(I$2, Players!$A$1:$P$1, 0)), perc_75, VLOOKUP(I$2, Percentiles!$A$45:$I$59, 6, FALSE), perc_90, VLOOKUP(I$2, Percentiles!$A$45:$I$59, 7, FALSE), perc_95, VLOOKUP(I$2, Percentiles!$A$45:$I$59, 8, FALSE), perc_85, perc_75 + (perc_90 - perc_75) * (2/3), converted_stat, '2K_Ratings'!I795, IF(bbgm_stat &gt;= perc_95, converted_stat * 3, IF(bbgm_stat &gt;= perc_90, converted_stat * 2, IF(bbgm_stat &gt;= perc_85, converted_stat * 1.5, converted_stat)))))</f>
        <v/>
      </c>
      <c r="J795" s="30" t="str">
        <f t="array" ref="J795">IF($A795="", "", LET(bbgm_stat, INDEX(Players!$A794:$P794, MATCH(J$2, Players!$A$1:$P$1, 0)), perc_75, VLOOKUP(J$2, Percentiles!$A$45:$I$59, 6, FALSE), perc_90, VLOOKUP(J$2, Percentiles!$A$45:$I$59, 7, FALSE), perc_95, VLOOKUP(J$2, Percentiles!$A$45:$I$59, 8, FALSE), perc_85, perc_75 + (perc_90 - perc_75) * (2/3), converted_stat, '2K_Ratings'!J795, IF(bbgm_stat &gt;= perc_95, converted_stat * 3, IF(bbgm_stat &gt;= perc_90, converted_stat * 2, IF(bbgm_stat &gt;= perc_85, converted_stat * 1.5, converted_stat)))))</f>
        <v/>
      </c>
      <c r="K795" s="30" t="str">
        <f t="array" ref="K795">IF($A795="", "", LET(bbgm_stat, INDEX(Players!$A794:$P794, MATCH(K$2, Players!$A$1:$P$1, 0)), perc_75, VLOOKUP(K$2, Percentiles!$A$45:$I$59, 6, FALSE), perc_90, VLOOKUP(K$2, Percentiles!$A$45:$I$59, 7, FALSE), perc_95, VLOOKUP(K$2, Percentiles!$A$45:$I$59, 8, FALSE), perc_85, perc_75 + (perc_90 - perc_75) * (2/3), converted_stat, '2K_Ratings'!K795, IF(bbgm_stat &gt;= perc_95, converted_stat * 3, IF(bbgm_stat &gt;= perc_90, converted_stat * 2, IF(bbgm_stat &gt;= perc_85, converted_stat * 1.5, converted_stat)))))</f>
        <v/>
      </c>
      <c r="L795" s="30" t="str">
        <f t="array" ref="L795">IF($A795="", "", LET(bbgm_stat, INDEX(Players!$A794:$P794, MATCH(L$2, Players!$A$1:$P$1, 0)), perc_75, VLOOKUP(L$2, Percentiles!$A$45:$I$59, 6, FALSE), perc_90, VLOOKUP(L$2, Percentiles!$A$45:$I$59, 7, FALSE), perc_95, VLOOKUP(L$2, Percentiles!$A$45:$I$59, 8, FALSE), perc_85, perc_75 + (perc_90 - perc_75) * (2/3), converted_stat, '2K_Ratings'!L795, IF(bbgm_stat &gt;= perc_95, converted_stat * 3, IF(bbgm_stat &gt;= perc_90, converted_stat * 2, IF(bbgm_stat &gt;= perc_85, converted_stat * 1.5, converted_stat)))))</f>
        <v/>
      </c>
      <c r="M795" s="30" t="str">
        <f t="array" ref="M795">IF($A795="", "", LET(bbgm_stat, INDEX(Players!$A794:$P794, MATCH(M$2, Players!$A$1:$P$1, 0)), perc_75, VLOOKUP(M$2, Percentiles!$A$45:$I$59, 6, FALSE), perc_90, VLOOKUP(M$2, Percentiles!$A$45:$I$59, 7, FALSE), perc_95, VLOOKUP(M$2, Percentiles!$A$45:$I$59, 8, FALSE), perc_85, perc_75 + (perc_90 - perc_75) * (2/3), converted_stat, '2K_Ratings'!M795, IF(bbgm_stat &gt;= perc_95, converted_stat * 3, IF(bbgm_stat &gt;= perc_90, converted_stat * 2, IF(bbgm_stat &gt;= perc_85, converted_stat * 1.5, converted_stat)))))</f>
        <v/>
      </c>
      <c r="N795" s="30" t="str">
        <f t="array" ref="N795">IF($A795="", "", LET(bbgm_stat, INDEX(Players!$A794:$P794, MATCH(N$2, Players!$A$1:$P$1, 0)), perc_75, VLOOKUP(N$2, Percentiles!$A$45:$I$59, 6, FALSE), perc_90, VLOOKUP(N$2, Percentiles!$A$45:$I$59, 7, FALSE), perc_95, VLOOKUP(N$2, Percentiles!$A$45:$I$59, 8, FALSE), perc_85, perc_75 + (perc_90 - perc_75) * (2/3), converted_stat, '2K_Ratings'!N795, IF(bbgm_stat &gt;= perc_95, converted_stat * 3, IF(bbgm_stat &gt;= perc_90, converted_stat * 2, IF(bbgm_stat &gt;= perc_85, converted_stat * 1.5, converted_stat)))))</f>
        <v/>
      </c>
      <c r="O795" s="30" t="str">
        <f t="array" ref="O795">IF($A795="", "", LET(bbgm_stat, INDEX(Players!$A794:$P794, MATCH(O$2, Players!$A$1:$P$1, 0)), perc_75, VLOOKUP(O$2, Percentiles!$A$45:$I$59, 6, FALSE), perc_90, VLOOKUP(O$2, Percentiles!$A$45:$I$59, 7, FALSE), perc_95, VLOOKUP(O$2, Percentiles!$A$45:$I$59, 8, FALSE), perc_85, perc_75 + (perc_90 - perc_75) * (2/3), converted_stat, '2K_Ratings'!O795, IF(bbgm_stat &gt;= perc_95, converted_stat * 3, IF(bbgm_stat &gt;= perc_90, converted_stat * 2, IF(bbgm_stat &gt;= perc_85, converted_stat * 1.5, converted_stat)))))</f>
        <v/>
      </c>
      <c r="P795" s="30" t="str">
        <f t="array" ref="P795">IF($A795="", "", LET(bbgm_stat, INDEX(Players!$A794:$P794, MATCH(P$2, Players!$A$1:$P$1, 0)), perc_75, VLOOKUP(P$2, Percentiles!$A$45:$I$59, 6, FALSE), perc_90, VLOOKUP(P$2, Percentiles!$A$45:$I$59, 7, FALSE), perc_95, VLOOKUP(P$2, Percentiles!$A$45:$I$59, 8, FALSE), perc_85, perc_75 + (perc_90 - perc_75) * (2/3), converted_stat, '2K_Ratings'!P795, IF(bbgm_stat &gt;= perc_95, converted_stat * 3, IF(bbgm_stat &gt;= perc_90, converted_stat * 2, IF(bbgm_stat &gt;= perc_85, converted_stat * 1.5, converted_stat)))))</f>
        <v/>
      </c>
      <c r="Q795" s="30" t="str">
        <f t="array" ref="Q795">IF($A795="", "", LET(bbgm_stat, INDEX(Players!$A794:$P794, MATCH(Q$2, Players!$A$1:$P$1, 0)), perc_75, VLOOKUP(Q$2, Percentiles!$A$45:$I$59, 6, FALSE), perc_90, VLOOKUP(Q$2, Percentiles!$A$45:$I$59, 7, FALSE), perc_95, VLOOKUP(Q$2, Percentiles!$A$45:$I$59, 8, FALSE), perc_85, perc_75 + (perc_90 - perc_75) * (2/3), converted_stat, '2K_Ratings'!Q795, IF(bbgm_stat &gt;= perc_95, converted_stat * 3, IF(bbgm_stat &gt;= perc_90, converted_stat * 2, IF(bbgm_stat &gt;= perc_85, converted_stat * 1.5, converted_stat)))))</f>
        <v/>
      </c>
      <c r="R795" s="30" t="str">
        <f t="array" ref="R795">IF($A795="", "", LET(bbgm_stat, INDEX(Players!$A794:$P794, MATCH(R$2, Players!$A$1:$P$1, 0)), perc_75, VLOOKUP(R$2, Percentiles!$A$45:$I$59, 6, FALSE), perc_90, VLOOKUP(R$2, Percentiles!$A$45:$I$59, 7, FALSE), perc_95, VLOOKUP(R$2, Percentiles!$A$45:$I$59, 8, FALSE), perc_85, perc_75 + (perc_90 - perc_75) * (2/3), converted_stat, '2K_Ratings'!R795, IF(bbgm_stat &gt;= perc_95, converted_stat * 3, IF(bbgm_stat &gt;= perc_90, converted_stat * 2, IF(bbgm_stat &gt;= perc_85, converted_stat * 1.5, converted_stat)))))</f>
        <v/>
      </c>
      <c r="S795" s="30" t="str">
        <f t="array" ref="S795">IF($A795="", "", LET(bbgm_stat, INDEX(Players!$A794:$P794, MATCH(S$2, Players!$A$1:$P$1, 0)), perc_75, VLOOKUP(S$2, Percentiles!$A$45:$I$59, 6, FALSE), perc_90, VLOOKUP(S$2, Percentiles!$A$45:$I$59, 7, FALSE), perc_95, VLOOKUP(S$2, Percentiles!$A$45:$I$59, 8, FALSE), perc_85, perc_75 + (perc_90 - perc_75) * (2/3), converted_stat, '2K_Ratings'!S795, IF(bbgm_stat &gt;= perc_95, converted_stat * 3, IF(bbgm_stat &gt;= perc_90, converted_stat * 2, IF(bbgm_stat &gt;= perc_85, converted_stat * 1.5, converted_stat)))))</f>
        <v/>
      </c>
      <c r="T795" s="30" t="str">
        <f t="array" ref="T795">IF($A795="", "", LET(bbgm_stat, INDEX(Players!$A794:$P794, MATCH(T$2, Players!$A$1:$P$1, 0)), perc_75, VLOOKUP(T$2, Percentiles!$A$45:$I$59, 6, FALSE), perc_90, VLOOKUP(T$2, Percentiles!$A$45:$I$59, 7, FALSE), perc_95, VLOOKUP(T$2, Percentiles!$A$45:$I$59, 8, FALSE), perc_85, perc_75 + (perc_90 - perc_75) * (2/3), converted_stat, '2K_Ratings'!T795, IF(bbgm_stat &gt;= perc_95, converted_stat * 3, IF(bbgm_stat &gt;= perc_90, converted_stat * 2, IF(bbgm_stat &gt;= perc_85, converted_stat * 1.5, converted_stat)))))</f>
        <v/>
      </c>
      <c r="U795" s="30" t="str">
        <f t="array" ref="U795">IF($A795="", "", LET(bbgm_stat, INDEX(Players!$A794:$P794, MATCH(U$2, Players!$A$1:$P$1, 0)), perc_75, VLOOKUP(U$2, Percentiles!$A$45:$I$59, 6, FALSE), perc_90, VLOOKUP(U$2, Percentiles!$A$45:$I$59, 7, FALSE), perc_95, VLOOKUP(U$2, Percentiles!$A$45:$I$59, 8, FALSE), perc_85, perc_75 + (perc_90 - perc_75) * (2/3), converted_stat, '2K_Ratings'!U795, IF(bbgm_stat &gt;= perc_95, converted_stat * 3, IF(bbgm_stat &gt;= perc_90, converted_stat * 2, IF(bbgm_stat &gt;= perc_85, converted_stat * 1.5, converted_stat)))))</f>
        <v/>
      </c>
      <c r="V795" s="30" t="str">
        <f t="array" ref="V795">IF($A795="", "", LET(bbgm_stat, INDEX(Players!$A794:$P794, MATCH(V$2, Players!$A$1:$P$1, 0)), perc_75, VLOOKUP(V$2, Percentiles!$A$45:$I$59, 6, FALSE), perc_90, VLOOKUP(V$2, Percentiles!$A$45:$I$59, 7, FALSE), perc_95, VLOOKUP(V$2, Percentiles!$A$45:$I$59, 8, FALSE), perc_85, perc_75 + (perc_90 - perc_75) * (2/3), converted_stat, '2K_Ratings'!V795, IF(bbgm_stat &gt;= perc_95, converted_stat * 3, IF(bbgm_stat &gt;= perc_90, converted_stat * 2, IF(bbgm_stat &gt;= perc_85, converted_stat * 1.5, converted_stat)))))</f>
        <v/>
      </c>
      <c r="W795" s="30" t="str">
        <f t="array" ref="W795">IF($A795="", "", LET(bbgm_stat, INDEX(Players!$A794:$P794, MATCH(W$2, Players!$A$1:$P$1, 0)), perc_75, VLOOKUP(W$2, Percentiles!$A$45:$I$59, 6, FALSE), perc_90, VLOOKUP(W$2, Percentiles!$A$45:$I$59, 7, FALSE), perc_95, VLOOKUP(W$2, Percentiles!$A$45:$I$59, 8, FALSE), perc_85, perc_75 + (perc_90 - perc_75) * (2/3), converted_stat, '2K_Ratings'!W795, IF(bbgm_stat &gt;= perc_95, converted_stat * 3, IF(bbgm_stat &gt;= perc_90, converted_stat * 2, IF(bbgm_stat &gt;= perc_85, converted_stat * 1.5, converted_stat)))))</f>
        <v/>
      </c>
    </row>
    <row r="796">
      <c r="A796" s="30"/>
      <c r="B796" s="30" t="str">
        <f t="array" ref="B796">IF($A796="", "", LET(bbgm_stat, INDEX(Players!$A795:$P795, MATCH(B$2, Players!$A$1:$P$1, 0)), perc_75, VLOOKUP(B$2, Percentiles!$A$45:$I$59, 6, FALSE), perc_90, VLOOKUP(B$2, Percentiles!$A$45:$I$59, 7, FALSE), perc_95, VLOOKUP(B$2, Percentiles!$A$45:$I$59, 8, FALSE), perc_85, perc_75 + (perc_90 - perc_75) * (2/3), converted_stat, '2K_Ratings'!B796, IF(bbgm_stat &gt;= perc_95, converted_stat * 3, IF(bbgm_stat &gt;= perc_90, converted_stat * 2, IF(bbgm_stat &gt;= perc_85, converted_stat * 1.5, converted_stat)))))</f>
        <v/>
      </c>
      <c r="C796" s="30" t="str">
        <f t="array" ref="C796">IF($A796="", "", LET(bbgm_stat, INDEX(Players!$A795:$P795, MATCH(C$2, Players!$A$1:$P$1, 0)), perc_75, VLOOKUP(C$2, Percentiles!$A$45:$I$59, 6, FALSE), perc_90, VLOOKUP(C$2, Percentiles!$A$45:$I$59, 7, FALSE), perc_95, VLOOKUP(C$2, Percentiles!$A$45:$I$59, 8, FALSE), perc_85, perc_75 + (perc_90 - perc_75) * (2/3), converted_stat, '2K_Ratings'!C796, IF(bbgm_stat &gt;= perc_95, converted_stat * 3, IF(bbgm_stat &gt;= perc_90, converted_stat * 2, IF(bbgm_stat &gt;= perc_85, converted_stat * 1.5, converted_stat)))))</f>
        <v/>
      </c>
      <c r="D796" s="30" t="str">
        <f t="array" ref="D796">IF($A796="", "", LET(bbgm_stat, INDEX(Players!$A795:$P795, MATCH(D$2, Players!$A$1:$P$1, 0)), perc_75, VLOOKUP(D$2, Percentiles!$A$45:$I$59, 6, FALSE), perc_90, VLOOKUP(D$2, Percentiles!$A$45:$I$59, 7, FALSE), perc_95, VLOOKUP(D$2, Percentiles!$A$45:$I$59, 8, FALSE), perc_85, perc_75 + (perc_90 - perc_75) * (2/3), converted_stat, '2K_Ratings'!D796, IF(bbgm_stat &gt;= perc_95, converted_stat * 3, IF(bbgm_stat &gt;= perc_90, converted_stat * 2, IF(bbgm_stat &gt;= perc_85, converted_stat * 1.5, converted_stat)))))</f>
        <v/>
      </c>
      <c r="E796" s="30" t="str">
        <f t="array" ref="E796">IF($A796="", "", LET(bbgm_stat, INDEX(Players!$A795:$P795, MATCH(E$2, Players!$A$1:$P$1, 0)), perc_75, VLOOKUP(E$2, Percentiles!$A$45:$I$59, 6, FALSE), perc_90, VLOOKUP(E$2, Percentiles!$A$45:$I$59, 7, FALSE), perc_95, VLOOKUP(E$2, Percentiles!$A$45:$I$59, 8, FALSE), perc_85, perc_75 + (perc_90 - perc_75) * (2/3), converted_stat, '2K_Ratings'!E796, IF(bbgm_stat &gt;= perc_95, converted_stat * 3, IF(bbgm_stat &gt;= perc_90, converted_stat * 2, IF(bbgm_stat &gt;= perc_85, converted_stat * 1.5, converted_stat)))))</f>
        <v/>
      </c>
      <c r="F796" s="30" t="str">
        <f t="array" ref="F796">IF($A796="", "", LET(bbgm_stat, INDEX(Players!$A795:$P795, MATCH(F$2, Players!$A$1:$P$1, 0)), perc_75, VLOOKUP(F$2, Percentiles!$A$45:$I$59, 6, FALSE), perc_90, VLOOKUP(F$2, Percentiles!$A$45:$I$59, 7, FALSE), perc_95, VLOOKUP(F$2, Percentiles!$A$45:$I$59, 8, FALSE), perc_85, perc_75 + (perc_90 - perc_75) * (2/3), converted_stat, '2K_Ratings'!F796, IF(bbgm_stat &gt;= perc_95, converted_stat * 3, IF(bbgm_stat &gt;= perc_90, converted_stat * 2, IF(bbgm_stat &gt;= perc_85, converted_stat * 1.5, converted_stat)))))</f>
        <v/>
      </c>
      <c r="G796" s="30" t="str">
        <f t="array" ref="G796">IF($A796="", "", LET(bbgm_stat, INDEX(Players!$A795:$P795, MATCH(G$2, Players!$A$1:$P$1, 0)), perc_75, VLOOKUP(G$2, Percentiles!$A$45:$I$59, 6, FALSE), perc_90, VLOOKUP(G$2, Percentiles!$A$45:$I$59, 7, FALSE), perc_95, VLOOKUP(G$2, Percentiles!$A$45:$I$59, 8, FALSE), perc_85, perc_75 + (perc_90 - perc_75) * (2/3), converted_stat, '2K_Ratings'!G796, IF(bbgm_stat &gt;= perc_95, converted_stat * 3, IF(bbgm_stat &gt;= perc_90, converted_stat * 2, IF(bbgm_stat &gt;= perc_85, converted_stat * 1.5, converted_stat)))))</f>
        <v/>
      </c>
      <c r="H796" s="30" t="str">
        <f t="array" ref="H796">IF($A796="", "", LET(bbgm_stat, INDEX(Players!$A795:$P795, MATCH(H$2, Players!$A$1:$P$1, 0)), perc_75, VLOOKUP(H$2, Percentiles!$A$45:$I$59, 6, FALSE), perc_90, VLOOKUP(H$2, Percentiles!$A$45:$I$59, 7, FALSE), perc_95, VLOOKUP(H$2, Percentiles!$A$45:$I$59, 8, FALSE), perc_85, perc_75 + (perc_90 - perc_75) * (2/3), converted_stat, '2K_Ratings'!H796, IF(bbgm_stat &gt;= perc_95, converted_stat * 3, IF(bbgm_stat &gt;= perc_90, converted_stat * 2, IF(bbgm_stat &gt;= perc_85, converted_stat * 1.5, converted_stat)))))</f>
        <v/>
      </c>
      <c r="I796" s="30" t="str">
        <f t="array" ref="I796">IF($A796="", "", LET(bbgm_stat, INDEX(Players!$A795:$P795, MATCH(I$2, Players!$A$1:$P$1, 0)), perc_75, VLOOKUP(I$2, Percentiles!$A$45:$I$59, 6, FALSE), perc_90, VLOOKUP(I$2, Percentiles!$A$45:$I$59, 7, FALSE), perc_95, VLOOKUP(I$2, Percentiles!$A$45:$I$59, 8, FALSE), perc_85, perc_75 + (perc_90 - perc_75) * (2/3), converted_stat, '2K_Ratings'!I796, IF(bbgm_stat &gt;= perc_95, converted_stat * 3, IF(bbgm_stat &gt;= perc_90, converted_stat * 2, IF(bbgm_stat &gt;= perc_85, converted_stat * 1.5, converted_stat)))))</f>
        <v/>
      </c>
      <c r="J796" s="30" t="str">
        <f t="array" ref="J796">IF($A796="", "", LET(bbgm_stat, INDEX(Players!$A795:$P795, MATCH(J$2, Players!$A$1:$P$1, 0)), perc_75, VLOOKUP(J$2, Percentiles!$A$45:$I$59, 6, FALSE), perc_90, VLOOKUP(J$2, Percentiles!$A$45:$I$59, 7, FALSE), perc_95, VLOOKUP(J$2, Percentiles!$A$45:$I$59, 8, FALSE), perc_85, perc_75 + (perc_90 - perc_75) * (2/3), converted_stat, '2K_Ratings'!J796, IF(bbgm_stat &gt;= perc_95, converted_stat * 3, IF(bbgm_stat &gt;= perc_90, converted_stat * 2, IF(bbgm_stat &gt;= perc_85, converted_stat * 1.5, converted_stat)))))</f>
        <v/>
      </c>
      <c r="K796" s="30" t="str">
        <f t="array" ref="K796">IF($A796="", "", LET(bbgm_stat, INDEX(Players!$A795:$P795, MATCH(K$2, Players!$A$1:$P$1, 0)), perc_75, VLOOKUP(K$2, Percentiles!$A$45:$I$59, 6, FALSE), perc_90, VLOOKUP(K$2, Percentiles!$A$45:$I$59, 7, FALSE), perc_95, VLOOKUP(K$2, Percentiles!$A$45:$I$59, 8, FALSE), perc_85, perc_75 + (perc_90 - perc_75) * (2/3), converted_stat, '2K_Ratings'!K796, IF(bbgm_stat &gt;= perc_95, converted_stat * 3, IF(bbgm_stat &gt;= perc_90, converted_stat * 2, IF(bbgm_stat &gt;= perc_85, converted_stat * 1.5, converted_stat)))))</f>
        <v/>
      </c>
      <c r="L796" s="30" t="str">
        <f t="array" ref="L796">IF($A796="", "", LET(bbgm_stat, INDEX(Players!$A795:$P795, MATCH(L$2, Players!$A$1:$P$1, 0)), perc_75, VLOOKUP(L$2, Percentiles!$A$45:$I$59, 6, FALSE), perc_90, VLOOKUP(L$2, Percentiles!$A$45:$I$59, 7, FALSE), perc_95, VLOOKUP(L$2, Percentiles!$A$45:$I$59, 8, FALSE), perc_85, perc_75 + (perc_90 - perc_75) * (2/3), converted_stat, '2K_Ratings'!L796, IF(bbgm_stat &gt;= perc_95, converted_stat * 3, IF(bbgm_stat &gt;= perc_90, converted_stat * 2, IF(bbgm_stat &gt;= perc_85, converted_stat * 1.5, converted_stat)))))</f>
        <v/>
      </c>
      <c r="M796" s="30" t="str">
        <f t="array" ref="M796">IF($A796="", "", LET(bbgm_stat, INDEX(Players!$A795:$P795, MATCH(M$2, Players!$A$1:$P$1, 0)), perc_75, VLOOKUP(M$2, Percentiles!$A$45:$I$59, 6, FALSE), perc_90, VLOOKUP(M$2, Percentiles!$A$45:$I$59, 7, FALSE), perc_95, VLOOKUP(M$2, Percentiles!$A$45:$I$59, 8, FALSE), perc_85, perc_75 + (perc_90 - perc_75) * (2/3), converted_stat, '2K_Ratings'!M796, IF(bbgm_stat &gt;= perc_95, converted_stat * 3, IF(bbgm_stat &gt;= perc_90, converted_stat * 2, IF(bbgm_stat &gt;= perc_85, converted_stat * 1.5, converted_stat)))))</f>
        <v/>
      </c>
      <c r="N796" s="30" t="str">
        <f t="array" ref="N796">IF($A796="", "", LET(bbgm_stat, INDEX(Players!$A795:$P795, MATCH(N$2, Players!$A$1:$P$1, 0)), perc_75, VLOOKUP(N$2, Percentiles!$A$45:$I$59, 6, FALSE), perc_90, VLOOKUP(N$2, Percentiles!$A$45:$I$59, 7, FALSE), perc_95, VLOOKUP(N$2, Percentiles!$A$45:$I$59, 8, FALSE), perc_85, perc_75 + (perc_90 - perc_75) * (2/3), converted_stat, '2K_Ratings'!N796, IF(bbgm_stat &gt;= perc_95, converted_stat * 3, IF(bbgm_stat &gt;= perc_90, converted_stat * 2, IF(bbgm_stat &gt;= perc_85, converted_stat * 1.5, converted_stat)))))</f>
        <v/>
      </c>
      <c r="O796" s="30" t="str">
        <f t="array" ref="O796">IF($A796="", "", LET(bbgm_stat, INDEX(Players!$A795:$P795, MATCH(O$2, Players!$A$1:$P$1, 0)), perc_75, VLOOKUP(O$2, Percentiles!$A$45:$I$59, 6, FALSE), perc_90, VLOOKUP(O$2, Percentiles!$A$45:$I$59, 7, FALSE), perc_95, VLOOKUP(O$2, Percentiles!$A$45:$I$59, 8, FALSE), perc_85, perc_75 + (perc_90 - perc_75) * (2/3), converted_stat, '2K_Ratings'!O796, IF(bbgm_stat &gt;= perc_95, converted_stat * 3, IF(bbgm_stat &gt;= perc_90, converted_stat * 2, IF(bbgm_stat &gt;= perc_85, converted_stat * 1.5, converted_stat)))))</f>
        <v/>
      </c>
      <c r="P796" s="30" t="str">
        <f t="array" ref="P796">IF($A796="", "", LET(bbgm_stat, INDEX(Players!$A795:$P795, MATCH(P$2, Players!$A$1:$P$1, 0)), perc_75, VLOOKUP(P$2, Percentiles!$A$45:$I$59, 6, FALSE), perc_90, VLOOKUP(P$2, Percentiles!$A$45:$I$59, 7, FALSE), perc_95, VLOOKUP(P$2, Percentiles!$A$45:$I$59, 8, FALSE), perc_85, perc_75 + (perc_90 - perc_75) * (2/3), converted_stat, '2K_Ratings'!P796, IF(bbgm_stat &gt;= perc_95, converted_stat * 3, IF(bbgm_stat &gt;= perc_90, converted_stat * 2, IF(bbgm_stat &gt;= perc_85, converted_stat * 1.5, converted_stat)))))</f>
        <v/>
      </c>
      <c r="Q796" s="30" t="str">
        <f t="array" ref="Q796">IF($A796="", "", LET(bbgm_stat, INDEX(Players!$A795:$P795, MATCH(Q$2, Players!$A$1:$P$1, 0)), perc_75, VLOOKUP(Q$2, Percentiles!$A$45:$I$59, 6, FALSE), perc_90, VLOOKUP(Q$2, Percentiles!$A$45:$I$59, 7, FALSE), perc_95, VLOOKUP(Q$2, Percentiles!$A$45:$I$59, 8, FALSE), perc_85, perc_75 + (perc_90 - perc_75) * (2/3), converted_stat, '2K_Ratings'!Q796, IF(bbgm_stat &gt;= perc_95, converted_stat * 3, IF(bbgm_stat &gt;= perc_90, converted_stat * 2, IF(bbgm_stat &gt;= perc_85, converted_stat * 1.5, converted_stat)))))</f>
        <v/>
      </c>
      <c r="R796" s="30" t="str">
        <f t="array" ref="R796">IF($A796="", "", LET(bbgm_stat, INDEX(Players!$A795:$P795, MATCH(R$2, Players!$A$1:$P$1, 0)), perc_75, VLOOKUP(R$2, Percentiles!$A$45:$I$59, 6, FALSE), perc_90, VLOOKUP(R$2, Percentiles!$A$45:$I$59, 7, FALSE), perc_95, VLOOKUP(R$2, Percentiles!$A$45:$I$59, 8, FALSE), perc_85, perc_75 + (perc_90 - perc_75) * (2/3), converted_stat, '2K_Ratings'!R796, IF(bbgm_stat &gt;= perc_95, converted_stat * 3, IF(bbgm_stat &gt;= perc_90, converted_stat * 2, IF(bbgm_stat &gt;= perc_85, converted_stat * 1.5, converted_stat)))))</f>
        <v/>
      </c>
      <c r="S796" s="30" t="str">
        <f t="array" ref="S796">IF($A796="", "", LET(bbgm_stat, INDEX(Players!$A795:$P795, MATCH(S$2, Players!$A$1:$P$1, 0)), perc_75, VLOOKUP(S$2, Percentiles!$A$45:$I$59, 6, FALSE), perc_90, VLOOKUP(S$2, Percentiles!$A$45:$I$59, 7, FALSE), perc_95, VLOOKUP(S$2, Percentiles!$A$45:$I$59, 8, FALSE), perc_85, perc_75 + (perc_90 - perc_75) * (2/3), converted_stat, '2K_Ratings'!S796, IF(bbgm_stat &gt;= perc_95, converted_stat * 3, IF(bbgm_stat &gt;= perc_90, converted_stat * 2, IF(bbgm_stat &gt;= perc_85, converted_stat * 1.5, converted_stat)))))</f>
        <v/>
      </c>
      <c r="T796" s="30" t="str">
        <f t="array" ref="T796">IF($A796="", "", LET(bbgm_stat, INDEX(Players!$A795:$P795, MATCH(T$2, Players!$A$1:$P$1, 0)), perc_75, VLOOKUP(T$2, Percentiles!$A$45:$I$59, 6, FALSE), perc_90, VLOOKUP(T$2, Percentiles!$A$45:$I$59, 7, FALSE), perc_95, VLOOKUP(T$2, Percentiles!$A$45:$I$59, 8, FALSE), perc_85, perc_75 + (perc_90 - perc_75) * (2/3), converted_stat, '2K_Ratings'!T796, IF(bbgm_stat &gt;= perc_95, converted_stat * 3, IF(bbgm_stat &gt;= perc_90, converted_stat * 2, IF(bbgm_stat &gt;= perc_85, converted_stat * 1.5, converted_stat)))))</f>
        <v/>
      </c>
      <c r="U796" s="30" t="str">
        <f t="array" ref="U796">IF($A796="", "", LET(bbgm_stat, INDEX(Players!$A795:$P795, MATCH(U$2, Players!$A$1:$P$1, 0)), perc_75, VLOOKUP(U$2, Percentiles!$A$45:$I$59, 6, FALSE), perc_90, VLOOKUP(U$2, Percentiles!$A$45:$I$59, 7, FALSE), perc_95, VLOOKUP(U$2, Percentiles!$A$45:$I$59, 8, FALSE), perc_85, perc_75 + (perc_90 - perc_75) * (2/3), converted_stat, '2K_Ratings'!U796, IF(bbgm_stat &gt;= perc_95, converted_stat * 3, IF(bbgm_stat &gt;= perc_90, converted_stat * 2, IF(bbgm_stat &gt;= perc_85, converted_stat * 1.5, converted_stat)))))</f>
        <v/>
      </c>
      <c r="V796" s="30" t="str">
        <f t="array" ref="V796">IF($A796="", "", LET(bbgm_stat, INDEX(Players!$A795:$P795, MATCH(V$2, Players!$A$1:$P$1, 0)), perc_75, VLOOKUP(V$2, Percentiles!$A$45:$I$59, 6, FALSE), perc_90, VLOOKUP(V$2, Percentiles!$A$45:$I$59, 7, FALSE), perc_95, VLOOKUP(V$2, Percentiles!$A$45:$I$59, 8, FALSE), perc_85, perc_75 + (perc_90 - perc_75) * (2/3), converted_stat, '2K_Ratings'!V796, IF(bbgm_stat &gt;= perc_95, converted_stat * 3, IF(bbgm_stat &gt;= perc_90, converted_stat * 2, IF(bbgm_stat &gt;= perc_85, converted_stat * 1.5, converted_stat)))))</f>
        <v/>
      </c>
      <c r="W796" s="30" t="str">
        <f t="array" ref="W796">IF($A796="", "", LET(bbgm_stat, INDEX(Players!$A795:$P795, MATCH(W$2, Players!$A$1:$P$1, 0)), perc_75, VLOOKUP(W$2, Percentiles!$A$45:$I$59, 6, FALSE), perc_90, VLOOKUP(W$2, Percentiles!$A$45:$I$59, 7, FALSE), perc_95, VLOOKUP(W$2, Percentiles!$A$45:$I$59, 8, FALSE), perc_85, perc_75 + (perc_90 - perc_75) * (2/3), converted_stat, '2K_Ratings'!W796, IF(bbgm_stat &gt;= perc_95, converted_stat * 3, IF(bbgm_stat &gt;= perc_90, converted_stat * 2, IF(bbgm_stat &gt;= perc_85, converted_stat * 1.5, converted_stat)))))</f>
        <v/>
      </c>
    </row>
    <row r="797">
      <c r="A797" s="30"/>
      <c r="B797" s="30" t="str">
        <f t="array" ref="B797">IF($A797="", "", LET(bbgm_stat, INDEX(Players!$A796:$P796, MATCH(B$2, Players!$A$1:$P$1, 0)), perc_75, VLOOKUP(B$2, Percentiles!$A$45:$I$59, 6, FALSE), perc_90, VLOOKUP(B$2, Percentiles!$A$45:$I$59, 7, FALSE), perc_95, VLOOKUP(B$2, Percentiles!$A$45:$I$59, 8, FALSE), perc_85, perc_75 + (perc_90 - perc_75) * (2/3), converted_stat, '2K_Ratings'!B797, IF(bbgm_stat &gt;= perc_95, converted_stat * 3, IF(bbgm_stat &gt;= perc_90, converted_stat * 2, IF(bbgm_stat &gt;= perc_85, converted_stat * 1.5, converted_stat)))))</f>
        <v/>
      </c>
      <c r="C797" s="30" t="str">
        <f t="array" ref="C797">IF($A797="", "", LET(bbgm_stat, INDEX(Players!$A796:$P796, MATCH(C$2, Players!$A$1:$P$1, 0)), perc_75, VLOOKUP(C$2, Percentiles!$A$45:$I$59, 6, FALSE), perc_90, VLOOKUP(C$2, Percentiles!$A$45:$I$59, 7, FALSE), perc_95, VLOOKUP(C$2, Percentiles!$A$45:$I$59, 8, FALSE), perc_85, perc_75 + (perc_90 - perc_75) * (2/3), converted_stat, '2K_Ratings'!C797, IF(bbgm_stat &gt;= perc_95, converted_stat * 3, IF(bbgm_stat &gt;= perc_90, converted_stat * 2, IF(bbgm_stat &gt;= perc_85, converted_stat * 1.5, converted_stat)))))</f>
        <v/>
      </c>
      <c r="D797" s="30" t="str">
        <f t="array" ref="D797">IF($A797="", "", LET(bbgm_stat, INDEX(Players!$A796:$P796, MATCH(D$2, Players!$A$1:$P$1, 0)), perc_75, VLOOKUP(D$2, Percentiles!$A$45:$I$59, 6, FALSE), perc_90, VLOOKUP(D$2, Percentiles!$A$45:$I$59, 7, FALSE), perc_95, VLOOKUP(D$2, Percentiles!$A$45:$I$59, 8, FALSE), perc_85, perc_75 + (perc_90 - perc_75) * (2/3), converted_stat, '2K_Ratings'!D797, IF(bbgm_stat &gt;= perc_95, converted_stat * 3, IF(bbgm_stat &gt;= perc_90, converted_stat * 2, IF(bbgm_stat &gt;= perc_85, converted_stat * 1.5, converted_stat)))))</f>
        <v/>
      </c>
      <c r="E797" s="30" t="str">
        <f t="array" ref="E797">IF($A797="", "", LET(bbgm_stat, INDEX(Players!$A796:$P796, MATCH(E$2, Players!$A$1:$P$1, 0)), perc_75, VLOOKUP(E$2, Percentiles!$A$45:$I$59, 6, FALSE), perc_90, VLOOKUP(E$2, Percentiles!$A$45:$I$59, 7, FALSE), perc_95, VLOOKUP(E$2, Percentiles!$A$45:$I$59, 8, FALSE), perc_85, perc_75 + (perc_90 - perc_75) * (2/3), converted_stat, '2K_Ratings'!E797, IF(bbgm_stat &gt;= perc_95, converted_stat * 3, IF(bbgm_stat &gt;= perc_90, converted_stat * 2, IF(bbgm_stat &gt;= perc_85, converted_stat * 1.5, converted_stat)))))</f>
        <v/>
      </c>
      <c r="F797" s="30" t="str">
        <f t="array" ref="F797">IF($A797="", "", LET(bbgm_stat, INDEX(Players!$A796:$P796, MATCH(F$2, Players!$A$1:$P$1, 0)), perc_75, VLOOKUP(F$2, Percentiles!$A$45:$I$59, 6, FALSE), perc_90, VLOOKUP(F$2, Percentiles!$A$45:$I$59, 7, FALSE), perc_95, VLOOKUP(F$2, Percentiles!$A$45:$I$59, 8, FALSE), perc_85, perc_75 + (perc_90 - perc_75) * (2/3), converted_stat, '2K_Ratings'!F797, IF(bbgm_stat &gt;= perc_95, converted_stat * 3, IF(bbgm_stat &gt;= perc_90, converted_stat * 2, IF(bbgm_stat &gt;= perc_85, converted_stat * 1.5, converted_stat)))))</f>
        <v/>
      </c>
      <c r="G797" s="30" t="str">
        <f t="array" ref="G797">IF($A797="", "", LET(bbgm_stat, INDEX(Players!$A796:$P796, MATCH(G$2, Players!$A$1:$P$1, 0)), perc_75, VLOOKUP(G$2, Percentiles!$A$45:$I$59, 6, FALSE), perc_90, VLOOKUP(G$2, Percentiles!$A$45:$I$59, 7, FALSE), perc_95, VLOOKUP(G$2, Percentiles!$A$45:$I$59, 8, FALSE), perc_85, perc_75 + (perc_90 - perc_75) * (2/3), converted_stat, '2K_Ratings'!G797, IF(bbgm_stat &gt;= perc_95, converted_stat * 3, IF(bbgm_stat &gt;= perc_90, converted_stat * 2, IF(bbgm_stat &gt;= perc_85, converted_stat * 1.5, converted_stat)))))</f>
        <v/>
      </c>
      <c r="H797" s="30" t="str">
        <f t="array" ref="H797">IF($A797="", "", LET(bbgm_stat, INDEX(Players!$A796:$P796, MATCH(H$2, Players!$A$1:$P$1, 0)), perc_75, VLOOKUP(H$2, Percentiles!$A$45:$I$59, 6, FALSE), perc_90, VLOOKUP(H$2, Percentiles!$A$45:$I$59, 7, FALSE), perc_95, VLOOKUP(H$2, Percentiles!$A$45:$I$59, 8, FALSE), perc_85, perc_75 + (perc_90 - perc_75) * (2/3), converted_stat, '2K_Ratings'!H797, IF(bbgm_stat &gt;= perc_95, converted_stat * 3, IF(bbgm_stat &gt;= perc_90, converted_stat * 2, IF(bbgm_stat &gt;= perc_85, converted_stat * 1.5, converted_stat)))))</f>
        <v/>
      </c>
      <c r="I797" s="30" t="str">
        <f t="array" ref="I797">IF($A797="", "", LET(bbgm_stat, INDEX(Players!$A796:$P796, MATCH(I$2, Players!$A$1:$P$1, 0)), perc_75, VLOOKUP(I$2, Percentiles!$A$45:$I$59, 6, FALSE), perc_90, VLOOKUP(I$2, Percentiles!$A$45:$I$59, 7, FALSE), perc_95, VLOOKUP(I$2, Percentiles!$A$45:$I$59, 8, FALSE), perc_85, perc_75 + (perc_90 - perc_75) * (2/3), converted_stat, '2K_Ratings'!I797, IF(bbgm_stat &gt;= perc_95, converted_stat * 3, IF(bbgm_stat &gt;= perc_90, converted_stat * 2, IF(bbgm_stat &gt;= perc_85, converted_stat * 1.5, converted_stat)))))</f>
        <v/>
      </c>
      <c r="J797" s="30" t="str">
        <f t="array" ref="J797">IF($A797="", "", LET(bbgm_stat, INDEX(Players!$A796:$P796, MATCH(J$2, Players!$A$1:$P$1, 0)), perc_75, VLOOKUP(J$2, Percentiles!$A$45:$I$59, 6, FALSE), perc_90, VLOOKUP(J$2, Percentiles!$A$45:$I$59, 7, FALSE), perc_95, VLOOKUP(J$2, Percentiles!$A$45:$I$59, 8, FALSE), perc_85, perc_75 + (perc_90 - perc_75) * (2/3), converted_stat, '2K_Ratings'!J797, IF(bbgm_stat &gt;= perc_95, converted_stat * 3, IF(bbgm_stat &gt;= perc_90, converted_stat * 2, IF(bbgm_stat &gt;= perc_85, converted_stat * 1.5, converted_stat)))))</f>
        <v/>
      </c>
      <c r="K797" s="30" t="str">
        <f t="array" ref="K797">IF($A797="", "", LET(bbgm_stat, INDEX(Players!$A796:$P796, MATCH(K$2, Players!$A$1:$P$1, 0)), perc_75, VLOOKUP(K$2, Percentiles!$A$45:$I$59, 6, FALSE), perc_90, VLOOKUP(K$2, Percentiles!$A$45:$I$59, 7, FALSE), perc_95, VLOOKUP(K$2, Percentiles!$A$45:$I$59, 8, FALSE), perc_85, perc_75 + (perc_90 - perc_75) * (2/3), converted_stat, '2K_Ratings'!K797, IF(bbgm_stat &gt;= perc_95, converted_stat * 3, IF(bbgm_stat &gt;= perc_90, converted_stat * 2, IF(bbgm_stat &gt;= perc_85, converted_stat * 1.5, converted_stat)))))</f>
        <v/>
      </c>
      <c r="L797" s="30" t="str">
        <f t="array" ref="L797">IF($A797="", "", LET(bbgm_stat, INDEX(Players!$A796:$P796, MATCH(L$2, Players!$A$1:$P$1, 0)), perc_75, VLOOKUP(L$2, Percentiles!$A$45:$I$59, 6, FALSE), perc_90, VLOOKUP(L$2, Percentiles!$A$45:$I$59, 7, FALSE), perc_95, VLOOKUP(L$2, Percentiles!$A$45:$I$59, 8, FALSE), perc_85, perc_75 + (perc_90 - perc_75) * (2/3), converted_stat, '2K_Ratings'!L797, IF(bbgm_stat &gt;= perc_95, converted_stat * 3, IF(bbgm_stat &gt;= perc_90, converted_stat * 2, IF(bbgm_stat &gt;= perc_85, converted_stat * 1.5, converted_stat)))))</f>
        <v/>
      </c>
      <c r="M797" s="30" t="str">
        <f t="array" ref="M797">IF($A797="", "", LET(bbgm_stat, INDEX(Players!$A796:$P796, MATCH(M$2, Players!$A$1:$P$1, 0)), perc_75, VLOOKUP(M$2, Percentiles!$A$45:$I$59, 6, FALSE), perc_90, VLOOKUP(M$2, Percentiles!$A$45:$I$59, 7, FALSE), perc_95, VLOOKUP(M$2, Percentiles!$A$45:$I$59, 8, FALSE), perc_85, perc_75 + (perc_90 - perc_75) * (2/3), converted_stat, '2K_Ratings'!M797, IF(bbgm_stat &gt;= perc_95, converted_stat * 3, IF(bbgm_stat &gt;= perc_90, converted_stat * 2, IF(bbgm_stat &gt;= perc_85, converted_stat * 1.5, converted_stat)))))</f>
        <v/>
      </c>
      <c r="N797" s="30" t="str">
        <f t="array" ref="N797">IF($A797="", "", LET(bbgm_stat, INDEX(Players!$A796:$P796, MATCH(N$2, Players!$A$1:$P$1, 0)), perc_75, VLOOKUP(N$2, Percentiles!$A$45:$I$59, 6, FALSE), perc_90, VLOOKUP(N$2, Percentiles!$A$45:$I$59, 7, FALSE), perc_95, VLOOKUP(N$2, Percentiles!$A$45:$I$59, 8, FALSE), perc_85, perc_75 + (perc_90 - perc_75) * (2/3), converted_stat, '2K_Ratings'!N797, IF(bbgm_stat &gt;= perc_95, converted_stat * 3, IF(bbgm_stat &gt;= perc_90, converted_stat * 2, IF(bbgm_stat &gt;= perc_85, converted_stat * 1.5, converted_stat)))))</f>
        <v/>
      </c>
      <c r="O797" s="30" t="str">
        <f t="array" ref="O797">IF($A797="", "", LET(bbgm_stat, INDEX(Players!$A796:$P796, MATCH(O$2, Players!$A$1:$P$1, 0)), perc_75, VLOOKUP(O$2, Percentiles!$A$45:$I$59, 6, FALSE), perc_90, VLOOKUP(O$2, Percentiles!$A$45:$I$59, 7, FALSE), perc_95, VLOOKUP(O$2, Percentiles!$A$45:$I$59, 8, FALSE), perc_85, perc_75 + (perc_90 - perc_75) * (2/3), converted_stat, '2K_Ratings'!O797, IF(bbgm_stat &gt;= perc_95, converted_stat * 3, IF(bbgm_stat &gt;= perc_90, converted_stat * 2, IF(bbgm_stat &gt;= perc_85, converted_stat * 1.5, converted_stat)))))</f>
        <v/>
      </c>
      <c r="P797" s="30" t="str">
        <f t="array" ref="P797">IF($A797="", "", LET(bbgm_stat, INDEX(Players!$A796:$P796, MATCH(P$2, Players!$A$1:$P$1, 0)), perc_75, VLOOKUP(P$2, Percentiles!$A$45:$I$59, 6, FALSE), perc_90, VLOOKUP(P$2, Percentiles!$A$45:$I$59, 7, FALSE), perc_95, VLOOKUP(P$2, Percentiles!$A$45:$I$59, 8, FALSE), perc_85, perc_75 + (perc_90 - perc_75) * (2/3), converted_stat, '2K_Ratings'!P797, IF(bbgm_stat &gt;= perc_95, converted_stat * 3, IF(bbgm_stat &gt;= perc_90, converted_stat * 2, IF(bbgm_stat &gt;= perc_85, converted_stat * 1.5, converted_stat)))))</f>
        <v/>
      </c>
      <c r="Q797" s="30" t="str">
        <f t="array" ref="Q797">IF($A797="", "", LET(bbgm_stat, INDEX(Players!$A796:$P796, MATCH(Q$2, Players!$A$1:$P$1, 0)), perc_75, VLOOKUP(Q$2, Percentiles!$A$45:$I$59, 6, FALSE), perc_90, VLOOKUP(Q$2, Percentiles!$A$45:$I$59, 7, FALSE), perc_95, VLOOKUP(Q$2, Percentiles!$A$45:$I$59, 8, FALSE), perc_85, perc_75 + (perc_90 - perc_75) * (2/3), converted_stat, '2K_Ratings'!Q797, IF(bbgm_stat &gt;= perc_95, converted_stat * 3, IF(bbgm_stat &gt;= perc_90, converted_stat * 2, IF(bbgm_stat &gt;= perc_85, converted_stat * 1.5, converted_stat)))))</f>
        <v/>
      </c>
      <c r="R797" s="30" t="str">
        <f t="array" ref="R797">IF($A797="", "", LET(bbgm_stat, INDEX(Players!$A796:$P796, MATCH(R$2, Players!$A$1:$P$1, 0)), perc_75, VLOOKUP(R$2, Percentiles!$A$45:$I$59, 6, FALSE), perc_90, VLOOKUP(R$2, Percentiles!$A$45:$I$59, 7, FALSE), perc_95, VLOOKUP(R$2, Percentiles!$A$45:$I$59, 8, FALSE), perc_85, perc_75 + (perc_90 - perc_75) * (2/3), converted_stat, '2K_Ratings'!R797, IF(bbgm_stat &gt;= perc_95, converted_stat * 3, IF(bbgm_stat &gt;= perc_90, converted_stat * 2, IF(bbgm_stat &gt;= perc_85, converted_stat * 1.5, converted_stat)))))</f>
        <v/>
      </c>
      <c r="S797" s="30" t="str">
        <f t="array" ref="S797">IF($A797="", "", LET(bbgm_stat, INDEX(Players!$A796:$P796, MATCH(S$2, Players!$A$1:$P$1, 0)), perc_75, VLOOKUP(S$2, Percentiles!$A$45:$I$59, 6, FALSE), perc_90, VLOOKUP(S$2, Percentiles!$A$45:$I$59, 7, FALSE), perc_95, VLOOKUP(S$2, Percentiles!$A$45:$I$59, 8, FALSE), perc_85, perc_75 + (perc_90 - perc_75) * (2/3), converted_stat, '2K_Ratings'!S797, IF(bbgm_stat &gt;= perc_95, converted_stat * 3, IF(bbgm_stat &gt;= perc_90, converted_stat * 2, IF(bbgm_stat &gt;= perc_85, converted_stat * 1.5, converted_stat)))))</f>
        <v/>
      </c>
      <c r="T797" s="30" t="str">
        <f t="array" ref="T797">IF($A797="", "", LET(bbgm_stat, INDEX(Players!$A796:$P796, MATCH(T$2, Players!$A$1:$P$1, 0)), perc_75, VLOOKUP(T$2, Percentiles!$A$45:$I$59, 6, FALSE), perc_90, VLOOKUP(T$2, Percentiles!$A$45:$I$59, 7, FALSE), perc_95, VLOOKUP(T$2, Percentiles!$A$45:$I$59, 8, FALSE), perc_85, perc_75 + (perc_90 - perc_75) * (2/3), converted_stat, '2K_Ratings'!T797, IF(bbgm_stat &gt;= perc_95, converted_stat * 3, IF(bbgm_stat &gt;= perc_90, converted_stat * 2, IF(bbgm_stat &gt;= perc_85, converted_stat * 1.5, converted_stat)))))</f>
        <v/>
      </c>
      <c r="U797" s="30" t="str">
        <f t="array" ref="U797">IF($A797="", "", LET(bbgm_stat, INDEX(Players!$A796:$P796, MATCH(U$2, Players!$A$1:$P$1, 0)), perc_75, VLOOKUP(U$2, Percentiles!$A$45:$I$59, 6, FALSE), perc_90, VLOOKUP(U$2, Percentiles!$A$45:$I$59, 7, FALSE), perc_95, VLOOKUP(U$2, Percentiles!$A$45:$I$59, 8, FALSE), perc_85, perc_75 + (perc_90 - perc_75) * (2/3), converted_stat, '2K_Ratings'!U797, IF(bbgm_stat &gt;= perc_95, converted_stat * 3, IF(bbgm_stat &gt;= perc_90, converted_stat * 2, IF(bbgm_stat &gt;= perc_85, converted_stat * 1.5, converted_stat)))))</f>
        <v/>
      </c>
      <c r="V797" s="30" t="str">
        <f t="array" ref="V797">IF($A797="", "", LET(bbgm_stat, INDEX(Players!$A796:$P796, MATCH(V$2, Players!$A$1:$P$1, 0)), perc_75, VLOOKUP(V$2, Percentiles!$A$45:$I$59, 6, FALSE), perc_90, VLOOKUP(V$2, Percentiles!$A$45:$I$59, 7, FALSE), perc_95, VLOOKUP(V$2, Percentiles!$A$45:$I$59, 8, FALSE), perc_85, perc_75 + (perc_90 - perc_75) * (2/3), converted_stat, '2K_Ratings'!V797, IF(bbgm_stat &gt;= perc_95, converted_stat * 3, IF(bbgm_stat &gt;= perc_90, converted_stat * 2, IF(bbgm_stat &gt;= perc_85, converted_stat * 1.5, converted_stat)))))</f>
        <v/>
      </c>
      <c r="W797" s="30" t="str">
        <f t="array" ref="W797">IF($A797="", "", LET(bbgm_stat, INDEX(Players!$A796:$P796, MATCH(W$2, Players!$A$1:$P$1, 0)), perc_75, VLOOKUP(W$2, Percentiles!$A$45:$I$59, 6, FALSE), perc_90, VLOOKUP(W$2, Percentiles!$A$45:$I$59, 7, FALSE), perc_95, VLOOKUP(W$2, Percentiles!$A$45:$I$59, 8, FALSE), perc_85, perc_75 + (perc_90 - perc_75) * (2/3), converted_stat, '2K_Ratings'!W797, IF(bbgm_stat &gt;= perc_95, converted_stat * 3, IF(bbgm_stat &gt;= perc_90, converted_stat * 2, IF(bbgm_stat &gt;= perc_85, converted_stat * 1.5, converted_stat)))))</f>
        <v/>
      </c>
    </row>
    <row r="798">
      <c r="A798" s="30"/>
      <c r="B798" s="30" t="str">
        <f t="array" ref="B798">IF($A798="", "", LET(bbgm_stat, INDEX(Players!$A797:$P797, MATCH(B$2, Players!$A$1:$P$1, 0)), perc_75, VLOOKUP(B$2, Percentiles!$A$45:$I$59, 6, FALSE), perc_90, VLOOKUP(B$2, Percentiles!$A$45:$I$59, 7, FALSE), perc_95, VLOOKUP(B$2, Percentiles!$A$45:$I$59, 8, FALSE), perc_85, perc_75 + (perc_90 - perc_75) * (2/3), converted_stat, '2K_Ratings'!B798, IF(bbgm_stat &gt;= perc_95, converted_stat * 3, IF(bbgm_stat &gt;= perc_90, converted_stat * 2, IF(bbgm_stat &gt;= perc_85, converted_stat * 1.5, converted_stat)))))</f>
        <v/>
      </c>
      <c r="C798" s="30" t="str">
        <f t="array" ref="C798">IF($A798="", "", LET(bbgm_stat, INDEX(Players!$A797:$P797, MATCH(C$2, Players!$A$1:$P$1, 0)), perc_75, VLOOKUP(C$2, Percentiles!$A$45:$I$59, 6, FALSE), perc_90, VLOOKUP(C$2, Percentiles!$A$45:$I$59, 7, FALSE), perc_95, VLOOKUP(C$2, Percentiles!$A$45:$I$59, 8, FALSE), perc_85, perc_75 + (perc_90 - perc_75) * (2/3), converted_stat, '2K_Ratings'!C798, IF(bbgm_stat &gt;= perc_95, converted_stat * 3, IF(bbgm_stat &gt;= perc_90, converted_stat * 2, IF(bbgm_stat &gt;= perc_85, converted_stat * 1.5, converted_stat)))))</f>
        <v/>
      </c>
      <c r="D798" s="30" t="str">
        <f t="array" ref="D798">IF($A798="", "", LET(bbgm_stat, INDEX(Players!$A797:$P797, MATCH(D$2, Players!$A$1:$P$1, 0)), perc_75, VLOOKUP(D$2, Percentiles!$A$45:$I$59, 6, FALSE), perc_90, VLOOKUP(D$2, Percentiles!$A$45:$I$59, 7, FALSE), perc_95, VLOOKUP(D$2, Percentiles!$A$45:$I$59, 8, FALSE), perc_85, perc_75 + (perc_90 - perc_75) * (2/3), converted_stat, '2K_Ratings'!D798, IF(bbgm_stat &gt;= perc_95, converted_stat * 3, IF(bbgm_stat &gt;= perc_90, converted_stat * 2, IF(bbgm_stat &gt;= perc_85, converted_stat * 1.5, converted_stat)))))</f>
        <v/>
      </c>
      <c r="E798" s="30" t="str">
        <f t="array" ref="E798">IF($A798="", "", LET(bbgm_stat, INDEX(Players!$A797:$P797, MATCH(E$2, Players!$A$1:$P$1, 0)), perc_75, VLOOKUP(E$2, Percentiles!$A$45:$I$59, 6, FALSE), perc_90, VLOOKUP(E$2, Percentiles!$A$45:$I$59, 7, FALSE), perc_95, VLOOKUP(E$2, Percentiles!$A$45:$I$59, 8, FALSE), perc_85, perc_75 + (perc_90 - perc_75) * (2/3), converted_stat, '2K_Ratings'!E798, IF(bbgm_stat &gt;= perc_95, converted_stat * 3, IF(bbgm_stat &gt;= perc_90, converted_stat * 2, IF(bbgm_stat &gt;= perc_85, converted_stat * 1.5, converted_stat)))))</f>
        <v/>
      </c>
      <c r="F798" s="30" t="str">
        <f t="array" ref="F798">IF($A798="", "", LET(bbgm_stat, INDEX(Players!$A797:$P797, MATCH(F$2, Players!$A$1:$P$1, 0)), perc_75, VLOOKUP(F$2, Percentiles!$A$45:$I$59, 6, FALSE), perc_90, VLOOKUP(F$2, Percentiles!$A$45:$I$59, 7, FALSE), perc_95, VLOOKUP(F$2, Percentiles!$A$45:$I$59, 8, FALSE), perc_85, perc_75 + (perc_90 - perc_75) * (2/3), converted_stat, '2K_Ratings'!F798, IF(bbgm_stat &gt;= perc_95, converted_stat * 3, IF(bbgm_stat &gt;= perc_90, converted_stat * 2, IF(bbgm_stat &gt;= perc_85, converted_stat * 1.5, converted_stat)))))</f>
        <v/>
      </c>
      <c r="G798" s="30" t="str">
        <f t="array" ref="G798">IF($A798="", "", LET(bbgm_stat, INDEX(Players!$A797:$P797, MATCH(G$2, Players!$A$1:$P$1, 0)), perc_75, VLOOKUP(G$2, Percentiles!$A$45:$I$59, 6, FALSE), perc_90, VLOOKUP(G$2, Percentiles!$A$45:$I$59, 7, FALSE), perc_95, VLOOKUP(G$2, Percentiles!$A$45:$I$59, 8, FALSE), perc_85, perc_75 + (perc_90 - perc_75) * (2/3), converted_stat, '2K_Ratings'!G798, IF(bbgm_stat &gt;= perc_95, converted_stat * 3, IF(bbgm_stat &gt;= perc_90, converted_stat * 2, IF(bbgm_stat &gt;= perc_85, converted_stat * 1.5, converted_stat)))))</f>
        <v/>
      </c>
      <c r="H798" s="30" t="str">
        <f t="array" ref="H798">IF($A798="", "", LET(bbgm_stat, INDEX(Players!$A797:$P797, MATCH(H$2, Players!$A$1:$P$1, 0)), perc_75, VLOOKUP(H$2, Percentiles!$A$45:$I$59, 6, FALSE), perc_90, VLOOKUP(H$2, Percentiles!$A$45:$I$59, 7, FALSE), perc_95, VLOOKUP(H$2, Percentiles!$A$45:$I$59, 8, FALSE), perc_85, perc_75 + (perc_90 - perc_75) * (2/3), converted_stat, '2K_Ratings'!H798, IF(bbgm_stat &gt;= perc_95, converted_stat * 3, IF(bbgm_stat &gt;= perc_90, converted_stat * 2, IF(bbgm_stat &gt;= perc_85, converted_stat * 1.5, converted_stat)))))</f>
        <v/>
      </c>
      <c r="I798" s="30" t="str">
        <f t="array" ref="I798">IF($A798="", "", LET(bbgm_stat, INDEX(Players!$A797:$P797, MATCH(I$2, Players!$A$1:$P$1, 0)), perc_75, VLOOKUP(I$2, Percentiles!$A$45:$I$59, 6, FALSE), perc_90, VLOOKUP(I$2, Percentiles!$A$45:$I$59, 7, FALSE), perc_95, VLOOKUP(I$2, Percentiles!$A$45:$I$59, 8, FALSE), perc_85, perc_75 + (perc_90 - perc_75) * (2/3), converted_stat, '2K_Ratings'!I798, IF(bbgm_stat &gt;= perc_95, converted_stat * 3, IF(bbgm_stat &gt;= perc_90, converted_stat * 2, IF(bbgm_stat &gt;= perc_85, converted_stat * 1.5, converted_stat)))))</f>
        <v/>
      </c>
      <c r="J798" s="30" t="str">
        <f t="array" ref="J798">IF($A798="", "", LET(bbgm_stat, INDEX(Players!$A797:$P797, MATCH(J$2, Players!$A$1:$P$1, 0)), perc_75, VLOOKUP(J$2, Percentiles!$A$45:$I$59, 6, FALSE), perc_90, VLOOKUP(J$2, Percentiles!$A$45:$I$59, 7, FALSE), perc_95, VLOOKUP(J$2, Percentiles!$A$45:$I$59, 8, FALSE), perc_85, perc_75 + (perc_90 - perc_75) * (2/3), converted_stat, '2K_Ratings'!J798, IF(bbgm_stat &gt;= perc_95, converted_stat * 3, IF(bbgm_stat &gt;= perc_90, converted_stat * 2, IF(bbgm_stat &gt;= perc_85, converted_stat * 1.5, converted_stat)))))</f>
        <v/>
      </c>
      <c r="K798" s="30" t="str">
        <f t="array" ref="K798">IF($A798="", "", LET(bbgm_stat, INDEX(Players!$A797:$P797, MATCH(K$2, Players!$A$1:$P$1, 0)), perc_75, VLOOKUP(K$2, Percentiles!$A$45:$I$59, 6, FALSE), perc_90, VLOOKUP(K$2, Percentiles!$A$45:$I$59, 7, FALSE), perc_95, VLOOKUP(K$2, Percentiles!$A$45:$I$59, 8, FALSE), perc_85, perc_75 + (perc_90 - perc_75) * (2/3), converted_stat, '2K_Ratings'!K798, IF(bbgm_stat &gt;= perc_95, converted_stat * 3, IF(bbgm_stat &gt;= perc_90, converted_stat * 2, IF(bbgm_stat &gt;= perc_85, converted_stat * 1.5, converted_stat)))))</f>
        <v/>
      </c>
      <c r="L798" s="30" t="str">
        <f t="array" ref="L798">IF($A798="", "", LET(bbgm_stat, INDEX(Players!$A797:$P797, MATCH(L$2, Players!$A$1:$P$1, 0)), perc_75, VLOOKUP(L$2, Percentiles!$A$45:$I$59, 6, FALSE), perc_90, VLOOKUP(L$2, Percentiles!$A$45:$I$59, 7, FALSE), perc_95, VLOOKUP(L$2, Percentiles!$A$45:$I$59, 8, FALSE), perc_85, perc_75 + (perc_90 - perc_75) * (2/3), converted_stat, '2K_Ratings'!L798, IF(bbgm_stat &gt;= perc_95, converted_stat * 3, IF(bbgm_stat &gt;= perc_90, converted_stat * 2, IF(bbgm_stat &gt;= perc_85, converted_stat * 1.5, converted_stat)))))</f>
        <v/>
      </c>
      <c r="M798" s="30" t="str">
        <f t="array" ref="M798">IF($A798="", "", LET(bbgm_stat, INDEX(Players!$A797:$P797, MATCH(M$2, Players!$A$1:$P$1, 0)), perc_75, VLOOKUP(M$2, Percentiles!$A$45:$I$59, 6, FALSE), perc_90, VLOOKUP(M$2, Percentiles!$A$45:$I$59, 7, FALSE), perc_95, VLOOKUP(M$2, Percentiles!$A$45:$I$59, 8, FALSE), perc_85, perc_75 + (perc_90 - perc_75) * (2/3), converted_stat, '2K_Ratings'!M798, IF(bbgm_stat &gt;= perc_95, converted_stat * 3, IF(bbgm_stat &gt;= perc_90, converted_stat * 2, IF(bbgm_stat &gt;= perc_85, converted_stat * 1.5, converted_stat)))))</f>
        <v/>
      </c>
      <c r="N798" s="30" t="str">
        <f t="array" ref="N798">IF($A798="", "", LET(bbgm_stat, INDEX(Players!$A797:$P797, MATCH(N$2, Players!$A$1:$P$1, 0)), perc_75, VLOOKUP(N$2, Percentiles!$A$45:$I$59, 6, FALSE), perc_90, VLOOKUP(N$2, Percentiles!$A$45:$I$59, 7, FALSE), perc_95, VLOOKUP(N$2, Percentiles!$A$45:$I$59, 8, FALSE), perc_85, perc_75 + (perc_90 - perc_75) * (2/3), converted_stat, '2K_Ratings'!N798, IF(bbgm_stat &gt;= perc_95, converted_stat * 3, IF(bbgm_stat &gt;= perc_90, converted_stat * 2, IF(bbgm_stat &gt;= perc_85, converted_stat * 1.5, converted_stat)))))</f>
        <v/>
      </c>
      <c r="O798" s="30" t="str">
        <f t="array" ref="O798">IF($A798="", "", LET(bbgm_stat, INDEX(Players!$A797:$P797, MATCH(O$2, Players!$A$1:$P$1, 0)), perc_75, VLOOKUP(O$2, Percentiles!$A$45:$I$59, 6, FALSE), perc_90, VLOOKUP(O$2, Percentiles!$A$45:$I$59, 7, FALSE), perc_95, VLOOKUP(O$2, Percentiles!$A$45:$I$59, 8, FALSE), perc_85, perc_75 + (perc_90 - perc_75) * (2/3), converted_stat, '2K_Ratings'!O798, IF(bbgm_stat &gt;= perc_95, converted_stat * 3, IF(bbgm_stat &gt;= perc_90, converted_stat * 2, IF(bbgm_stat &gt;= perc_85, converted_stat * 1.5, converted_stat)))))</f>
        <v/>
      </c>
      <c r="P798" s="30" t="str">
        <f t="array" ref="P798">IF($A798="", "", LET(bbgm_stat, INDEX(Players!$A797:$P797, MATCH(P$2, Players!$A$1:$P$1, 0)), perc_75, VLOOKUP(P$2, Percentiles!$A$45:$I$59, 6, FALSE), perc_90, VLOOKUP(P$2, Percentiles!$A$45:$I$59, 7, FALSE), perc_95, VLOOKUP(P$2, Percentiles!$A$45:$I$59, 8, FALSE), perc_85, perc_75 + (perc_90 - perc_75) * (2/3), converted_stat, '2K_Ratings'!P798, IF(bbgm_stat &gt;= perc_95, converted_stat * 3, IF(bbgm_stat &gt;= perc_90, converted_stat * 2, IF(bbgm_stat &gt;= perc_85, converted_stat * 1.5, converted_stat)))))</f>
        <v/>
      </c>
      <c r="Q798" s="30" t="str">
        <f t="array" ref="Q798">IF($A798="", "", LET(bbgm_stat, INDEX(Players!$A797:$P797, MATCH(Q$2, Players!$A$1:$P$1, 0)), perc_75, VLOOKUP(Q$2, Percentiles!$A$45:$I$59, 6, FALSE), perc_90, VLOOKUP(Q$2, Percentiles!$A$45:$I$59, 7, FALSE), perc_95, VLOOKUP(Q$2, Percentiles!$A$45:$I$59, 8, FALSE), perc_85, perc_75 + (perc_90 - perc_75) * (2/3), converted_stat, '2K_Ratings'!Q798, IF(bbgm_stat &gt;= perc_95, converted_stat * 3, IF(bbgm_stat &gt;= perc_90, converted_stat * 2, IF(bbgm_stat &gt;= perc_85, converted_stat * 1.5, converted_stat)))))</f>
        <v/>
      </c>
      <c r="R798" s="30" t="str">
        <f t="array" ref="R798">IF($A798="", "", LET(bbgm_stat, INDEX(Players!$A797:$P797, MATCH(R$2, Players!$A$1:$P$1, 0)), perc_75, VLOOKUP(R$2, Percentiles!$A$45:$I$59, 6, FALSE), perc_90, VLOOKUP(R$2, Percentiles!$A$45:$I$59, 7, FALSE), perc_95, VLOOKUP(R$2, Percentiles!$A$45:$I$59, 8, FALSE), perc_85, perc_75 + (perc_90 - perc_75) * (2/3), converted_stat, '2K_Ratings'!R798, IF(bbgm_stat &gt;= perc_95, converted_stat * 3, IF(bbgm_stat &gt;= perc_90, converted_stat * 2, IF(bbgm_stat &gt;= perc_85, converted_stat * 1.5, converted_stat)))))</f>
        <v/>
      </c>
      <c r="S798" s="30" t="str">
        <f t="array" ref="S798">IF($A798="", "", LET(bbgm_stat, INDEX(Players!$A797:$P797, MATCH(S$2, Players!$A$1:$P$1, 0)), perc_75, VLOOKUP(S$2, Percentiles!$A$45:$I$59, 6, FALSE), perc_90, VLOOKUP(S$2, Percentiles!$A$45:$I$59, 7, FALSE), perc_95, VLOOKUP(S$2, Percentiles!$A$45:$I$59, 8, FALSE), perc_85, perc_75 + (perc_90 - perc_75) * (2/3), converted_stat, '2K_Ratings'!S798, IF(bbgm_stat &gt;= perc_95, converted_stat * 3, IF(bbgm_stat &gt;= perc_90, converted_stat * 2, IF(bbgm_stat &gt;= perc_85, converted_stat * 1.5, converted_stat)))))</f>
        <v/>
      </c>
      <c r="T798" s="30" t="str">
        <f t="array" ref="T798">IF($A798="", "", LET(bbgm_stat, INDEX(Players!$A797:$P797, MATCH(T$2, Players!$A$1:$P$1, 0)), perc_75, VLOOKUP(T$2, Percentiles!$A$45:$I$59, 6, FALSE), perc_90, VLOOKUP(T$2, Percentiles!$A$45:$I$59, 7, FALSE), perc_95, VLOOKUP(T$2, Percentiles!$A$45:$I$59, 8, FALSE), perc_85, perc_75 + (perc_90 - perc_75) * (2/3), converted_stat, '2K_Ratings'!T798, IF(bbgm_stat &gt;= perc_95, converted_stat * 3, IF(bbgm_stat &gt;= perc_90, converted_stat * 2, IF(bbgm_stat &gt;= perc_85, converted_stat * 1.5, converted_stat)))))</f>
        <v/>
      </c>
      <c r="U798" s="30" t="str">
        <f t="array" ref="U798">IF($A798="", "", LET(bbgm_stat, INDEX(Players!$A797:$P797, MATCH(U$2, Players!$A$1:$P$1, 0)), perc_75, VLOOKUP(U$2, Percentiles!$A$45:$I$59, 6, FALSE), perc_90, VLOOKUP(U$2, Percentiles!$A$45:$I$59, 7, FALSE), perc_95, VLOOKUP(U$2, Percentiles!$A$45:$I$59, 8, FALSE), perc_85, perc_75 + (perc_90 - perc_75) * (2/3), converted_stat, '2K_Ratings'!U798, IF(bbgm_stat &gt;= perc_95, converted_stat * 3, IF(bbgm_stat &gt;= perc_90, converted_stat * 2, IF(bbgm_stat &gt;= perc_85, converted_stat * 1.5, converted_stat)))))</f>
        <v/>
      </c>
      <c r="V798" s="30" t="str">
        <f t="array" ref="V798">IF($A798="", "", LET(bbgm_stat, INDEX(Players!$A797:$P797, MATCH(V$2, Players!$A$1:$P$1, 0)), perc_75, VLOOKUP(V$2, Percentiles!$A$45:$I$59, 6, FALSE), perc_90, VLOOKUP(V$2, Percentiles!$A$45:$I$59, 7, FALSE), perc_95, VLOOKUP(V$2, Percentiles!$A$45:$I$59, 8, FALSE), perc_85, perc_75 + (perc_90 - perc_75) * (2/3), converted_stat, '2K_Ratings'!V798, IF(bbgm_stat &gt;= perc_95, converted_stat * 3, IF(bbgm_stat &gt;= perc_90, converted_stat * 2, IF(bbgm_stat &gt;= perc_85, converted_stat * 1.5, converted_stat)))))</f>
        <v/>
      </c>
      <c r="W798" s="30" t="str">
        <f t="array" ref="W798">IF($A798="", "", LET(bbgm_stat, INDEX(Players!$A797:$P797, MATCH(W$2, Players!$A$1:$P$1, 0)), perc_75, VLOOKUP(W$2, Percentiles!$A$45:$I$59, 6, FALSE), perc_90, VLOOKUP(W$2, Percentiles!$A$45:$I$59, 7, FALSE), perc_95, VLOOKUP(W$2, Percentiles!$A$45:$I$59, 8, FALSE), perc_85, perc_75 + (perc_90 - perc_75) * (2/3), converted_stat, '2K_Ratings'!W798, IF(bbgm_stat &gt;= perc_95, converted_stat * 3, IF(bbgm_stat &gt;= perc_90, converted_stat * 2, IF(bbgm_stat &gt;= perc_85, converted_stat * 1.5, converted_stat)))))</f>
        <v/>
      </c>
    </row>
    <row r="799">
      <c r="A799" s="30"/>
      <c r="B799" s="30" t="str">
        <f t="array" ref="B799">IF($A799="", "", LET(bbgm_stat, INDEX(Players!$A798:$P798, MATCH(B$2, Players!$A$1:$P$1, 0)), perc_75, VLOOKUP(B$2, Percentiles!$A$45:$I$59, 6, FALSE), perc_90, VLOOKUP(B$2, Percentiles!$A$45:$I$59, 7, FALSE), perc_95, VLOOKUP(B$2, Percentiles!$A$45:$I$59, 8, FALSE), perc_85, perc_75 + (perc_90 - perc_75) * (2/3), converted_stat, '2K_Ratings'!B799, IF(bbgm_stat &gt;= perc_95, converted_stat * 3, IF(bbgm_stat &gt;= perc_90, converted_stat * 2, IF(bbgm_stat &gt;= perc_85, converted_stat * 1.5, converted_stat)))))</f>
        <v/>
      </c>
      <c r="C799" s="30" t="str">
        <f t="array" ref="C799">IF($A799="", "", LET(bbgm_stat, INDEX(Players!$A798:$P798, MATCH(C$2, Players!$A$1:$P$1, 0)), perc_75, VLOOKUP(C$2, Percentiles!$A$45:$I$59, 6, FALSE), perc_90, VLOOKUP(C$2, Percentiles!$A$45:$I$59, 7, FALSE), perc_95, VLOOKUP(C$2, Percentiles!$A$45:$I$59, 8, FALSE), perc_85, perc_75 + (perc_90 - perc_75) * (2/3), converted_stat, '2K_Ratings'!C799, IF(bbgm_stat &gt;= perc_95, converted_stat * 3, IF(bbgm_stat &gt;= perc_90, converted_stat * 2, IF(bbgm_stat &gt;= perc_85, converted_stat * 1.5, converted_stat)))))</f>
        <v/>
      </c>
      <c r="D799" s="30" t="str">
        <f t="array" ref="D799">IF($A799="", "", LET(bbgm_stat, INDEX(Players!$A798:$P798, MATCH(D$2, Players!$A$1:$P$1, 0)), perc_75, VLOOKUP(D$2, Percentiles!$A$45:$I$59, 6, FALSE), perc_90, VLOOKUP(D$2, Percentiles!$A$45:$I$59, 7, FALSE), perc_95, VLOOKUP(D$2, Percentiles!$A$45:$I$59, 8, FALSE), perc_85, perc_75 + (perc_90 - perc_75) * (2/3), converted_stat, '2K_Ratings'!D799, IF(bbgm_stat &gt;= perc_95, converted_stat * 3, IF(bbgm_stat &gt;= perc_90, converted_stat * 2, IF(bbgm_stat &gt;= perc_85, converted_stat * 1.5, converted_stat)))))</f>
        <v/>
      </c>
      <c r="E799" s="30" t="str">
        <f t="array" ref="E799">IF($A799="", "", LET(bbgm_stat, INDEX(Players!$A798:$P798, MATCH(E$2, Players!$A$1:$P$1, 0)), perc_75, VLOOKUP(E$2, Percentiles!$A$45:$I$59, 6, FALSE), perc_90, VLOOKUP(E$2, Percentiles!$A$45:$I$59, 7, FALSE), perc_95, VLOOKUP(E$2, Percentiles!$A$45:$I$59, 8, FALSE), perc_85, perc_75 + (perc_90 - perc_75) * (2/3), converted_stat, '2K_Ratings'!E799, IF(bbgm_stat &gt;= perc_95, converted_stat * 3, IF(bbgm_stat &gt;= perc_90, converted_stat * 2, IF(bbgm_stat &gt;= perc_85, converted_stat * 1.5, converted_stat)))))</f>
        <v/>
      </c>
      <c r="F799" s="30" t="str">
        <f t="array" ref="F799">IF($A799="", "", LET(bbgm_stat, INDEX(Players!$A798:$P798, MATCH(F$2, Players!$A$1:$P$1, 0)), perc_75, VLOOKUP(F$2, Percentiles!$A$45:$I$59, 6, FALSE), perc_90, VLOOKUP(F$2, Percentiles!$A$45:$I$59, 7, FALSE), perc_95, VLOOKUP(F$2, Percentiles!$A$45:$I$59, 8, FALSE), perc_85, perc_75 + (perc_90 - perc_75) * (2/3), converted_stat, '2K_Ratings'!F799, IF(bbgm_stat &gt;= perc_95, converted_stat * 3, IF(bbgm_stat &gt;= perc_90, converted_stat * 2, IF(bbgm_stat &gt;= perc_85, converted_stat * 1.5, converted_stat)))))</f>
        <v/>
      </c>
      <c r="G799" s="30" t="str">
        <f t="array" ref="G799">IF($A799="", "", LET(bbgm_stat, INDEX(Players!$A798:$P798, MATCH(G$2, Players!$A$1:$P$1, 0)), perc_75, VLOOKUP(G$2, Percentiles!$A$45:$I$59, 6, FALSE), perc_90, VLOOKUP(G$2, Percentiles!$A$45:$I$59, 7, FALSE), perc_95, VLOOKUP(G$2, Percentiles!$A$45:$I$59, 8, FALSE), perc_85, perc_75 + (perc_90 - perc_75) * (2/3), converted_stat, '2K_Ratings'!G799, IF(bbgm_stat &gt;= perc_95, converted_stat * 3, IF(bbgm_stat &gt;= perc_90, converted_stat * 2, IF(bbgm_stat &gt;= perc_85, converted_stat * 1.5, converted_stat)))))</f>
        <v/>
      </c>
      <c r="H799" s="30" t="str">
        <f t="array" ref="H799">IF($A799="", "", LET(bbgm_stat, INDEX(Players!$A798:$P798, MATCH(H$2, Players!$A$1:$P$1, 0)), perc_75, VLOOKUP(H$2, Percentiles!$A$45:$I$59, 6, FALSE), perc_90, VLOOKUP(H$2, Percentiles!$A$45:$I$59, 7, FALSE), perc_95, VLOOKUP(H$2, Percentiles!$A$45:$I$59, 8, FALSE), perc_85, perc_75 + (perc_90 - perc_75) * (2/3), converted_stat, '2K_Ratings'!H799, IF(bbgm_stat &gt;= perc_95, converted_stat * 3, IF(bbgm_stat &gt;= perc_90, converted_stat * 2, IF(bbgm_stat &gt;= perc_85, converted_stat * 1.5, converted_stat)))))</f>
        <v/>
      </c>
      <c r="I799" s="30" t="str">
        <f t="array" ref="I799">IF($A799="", "", LET(bbgm_stat, INDEX(Players!$A798:$P798, MATCH(I$2, Players!$A$1:$P$1, 0)), perc_75, VLOOKUP(I$2, Percentiles!$A$45:$I$59, 6, FALSE), perc_90, VLOOKUP(I$2, Percentiles!$A$45:$I$59, 7, FALSE), perc_95, VLOOKUP(I$2, Percentiles!$A$45:$I$59, 8, FALSE), perc_85, perc_75 + (perc_90 - perc_75) * (2/3), converted_stat, '2K_Ratings'!I799, IF(bbgm_stat &gt;= perc_95, converted_stat * 3, IF(bbgm_stat &gt;= perc_90, converted_stat * 2, IF(bbgm_stat &gt;= perc_85, converted_stat * 1.5, converted_stat)))))</f>
        <v/>
      </c>
      <c r="J799" s="30" t="str">
        <f t="array" ref="J799">IF($A799="", "", LET(bbgm_stat, INDEX(Players!$A798:$P798, MATCH(J$2, Players!$A$1:$P$1, 0)), perc_75, VLOOKUP(J$2, Percentiles!$A$45:$I$59, 6, FALSE), perc_90, VLOOKUP(J$2, Percentiles!$A$45:$I$59, 7, FALSE), perc_95, VLOOKUP(J$2, Percentiles!$A$45:$I$59, 8, FALSE), perc_85, perc_75 + (perc_90 - perc_75) * (2/3), converted_stat, '2K_Ratings'!J799, IF(bbgm_stat &gt;= perc_95, converted_stat * 3, IF(bbgm_stat &gt;= perc_90, converted_stat * 2, IF(bbgm_stat &gt;= perc_85, converted_stat * 1.5, converted_stat)))))</f>
        <v/>
      </c>
      <c r="K799" s="30" t="str">
        <f t="array" ref="K799">IF($A799="", "", LET(bbgm_stat, INDEX(Players!$A798:$P798, MATCH(K$2, Players!$A$1:$P$1, 0)), perc_75, VLOOKUP(K$2, Percentiles!$A$45:$I$59, 6, FALSE), perc_90, VLOOKUP(K$2, Percentiles!$A$45:$I$59, 7, FALSE), perc_95, VLOOKUP(K$2, Percentiles!$A$45:$I$59, 8, FALSE), perc_85, perc_75 + (perc_90 - perc_75) * (2/3), converted_stat, '2K_Ratings'!K799, IF(bbgm_stat &gt;= perc_95, converted_stat * 3, IF(bbgm_stat &gt;= perc_90, converted_stat * 2, IF(bbgm_stat &gt;= perc_85, converted_stat * 1.5, converted_stat)))))</f>
        <v/>
      </c>
      <c r="L799" s="30" t="str">
        <f t="array" ref="L799">IF($A799="", "", LET(bbgm_stat, INDEX(Players!$A798:$P798, MATCH(L$2, Players!$A$1:$P$1, 0)), perc_75, VLOOKUP(L$2, Percentiles!$A$45:$I$59, 6, FALSE), perc_90, VLOOKUP(L$2, Percentiles!$A$45:$I$59, 7, FALSE), perc_95, VLOOKUP(L$2, Percentiles!$A$45:$I$59, 8, FALSE), perc_85, perc_75 + (perc_90 - perc_75) * (2/3), converted_stat, '2K_Ratings'!L799, IF(bbgm_stat &gt;= perc_95, converted_stat * 3, IF(bbgm_stat &gt;= perc_90, converted_stat * 2, IF(bbgm_stat &gt;= perc_85, converted_stat * 1.5, converted_stat)))))</f>
        <v/>
      </c>
      <c r="M799" s="30" t="str">
        <f t="array" ref="M799">IF($A799="", "", LET(bbgm_stat, INDEX(Players!$A798:$P798, MATCH(M$2, Players!$A$1:$P$1, 0)), perc_75, VLOOKUP(M$2, Percentiles!$A$45:$I$59, 6, FALSE), perc_90, VLOOKUP(M$2, Percentiles!$A$45:$I$59, 7, FALSE), perc_95, VLOOKUP(M$2, Percentiles!$A$45:$I$59, 8, FALSE), perc_85, perc_75 + (perc_90 - perc_75) * (2/3), converted_stat, '2K_Ratings'!M799, IF(bbgm_stat &gt;= perc_95, converted_stat * 3, IF(bbgm_stat &gt;= perc_90, converted_stat * 2, IF(bbgm_stat &gt;= perc_85, converted_stat * 1.5, converted_stat)))))</f>
        <v/>
      </c>
      <c r="N799" s="30" t="str">
        <f t="array" ref="N799">IF($A799="", "", LET(bbgm_stat, INDEX(Players!$A798:$P798, MATCH(N$2, Players!$A$1:$P$1, 0)), perc_75, VLOOKUP(N$2, Percentiles!$A$45:$I$59, 6, FALSE), perc_90, VLOOKUP(N$2, Percentiles!$A$45:$I$59, 7, FALSE), perc_95, VLOOKUP(N$2, Percentiles!$A$45:$I$59, 8, FALSE), perc_85, perc_75 + (perc_90 - perc_75) * (2/3), converted_stat, '2K_Ratings'!N799, IF(bbgm_stat &gt;= perc_95, converted_stat * 3, IF(bbgm_stat &gt;= perc_90, converted_stat * 2, IF(bbgm_stat &gt;= perc_85, converted_stat * 1.5, converted_stat)))))</f>
        <v/>
      </c>
      <c r="O799" s="30" t="str">
        <f t="array" ref="O799">IF($A799="", "", LET(bbgm_stat, INDEX(Players!$A798:$P798, MATCH(O$2, Players!$A$1:$P$1, 0)), perc_75, VLOOKUP(O$2, Percentiles!$A$45:$I$59, 6, FALSE), perc_90, VLOOKUP(O$2, Percentiles!$A$45:$I$59, 7, FALSE), perc_95, VLOOKUP(O$2, Percentiles!$A$45:$I$59, 8, FALSE), perc_85, perc_75 + (perc_90 - perc_75) * (2/3), converted_stat, '2K_Ratings'!O799, IF(bbgm_stat &gt;= perc_95, converted_stat * 3, IF(bbgm_stat &gt;= perc_90, converted_stat * 2, IF(bbgm_stat &gt;= perc_85, converted_stat * 1.5, converted_stat)))))</f>
        <v/>
      </c>
      <c r="P799" s="30" t="str">
        <f t="array" ref="P799">IF($A799="", "", LET(bbgm_stat, INDEX(Players!$A798:$P798, MATCH(P$2, Players!$A$1:$P$1, 0)), perc_75, VLOOKUP(P$2, Percentiles!$A$45:$I$59, 6, FALSE), perc_90, VLOOKUP(P$2, Percentiles!$A$45:$I$59, 7, FALSE), perc_95, VLOOKUP(P$2, Percentiles!$A$45:$I$59, 8, FALSE), perc_85, perc_75 + (perc_90 - perc_75) * (2/3), converted_stat, '2K_Ratings'!P799, IF(bbgm_stat &gt;= perc_95, converted_stat * 3, IF(bbgm_stat &gt;= perc_90, converted_stat * 2, IF(bbgm_stat &gt;= perc_85, converted_stat * 1.5, converted_stat)))))</f>
        <v/>
      </c>
      <c r="Q799" s="30" t="str">
        <f t="array" ref="Q799">IF($A799="", "", LET(bbgm_stat, INDEX(Players!$A798:$P798, MATCH(Q$2, Players!$A$1:$P$1, 0)), perc_75, VLOOKUP(Q$2, Percentiles!$A$45:$I$59, 6, FALSE), perc_90, VLOOKUP(Q$2, Percentiles!$A$45:$I$59, 7, FALSE), perc_95, VLOOKUP(Q$2, Percentiles!$A$45:$I$59, 8, FALSE), perc_85, perc_75 + (perc_90 - perc_75) * (2/3), converted_stat, '2K_Ratings'!Q799, IF(bbgm_stat &gt;= perc_95, converted_stat * 3, IF(bbgm_stat &gt;= perc_90, converted_stat * 2, IF(bbgm_stat &gt;= perc_85, converted_stat * 1.5, converted_stat)))))</f>
        <v/>
      </c>
      <c r="R799" s="30" t="str">
        <f t="array" ref="R799">IF($A799="", "", LET(bbgm_stat, INDEX(Players!$A798:$P798, MATCH(R$2, Players!$A$1:$P$1, 0)), perc_75, VLOOKUP(R$2, Percentiles!$A$45:$I$59, 6, FALSE), perc_90, VLOOKUP(R$2, Percentiles!$A$45:$I$59, 7, FALSE), perc_95, VLOOKUP(R$2, Percentiles!$A$45:$I$59, 8, FALSE), perc_85, perc_75 + (perc_90 - perc_75) * (2/3), converted_stat, '2K_Ratings'!R799, IF(bbgm_stat &gt;= perc_95, converted_stat * 3, IF(bbgm_stat &gt;= perc_90, converted_stat * 2, IF(bbgm_stat &gt;= perc_85, converted_stat * 1.5, converted_stat)))))</f>
        <v/>
      </c>
      <c r="S799" s="30" t="str">
        <f t="array" ref="S799">IF($A799="", "", LET(bbgm_stat, INDEX(Players!$A798:$P798, MATCH(S$2, Players!$A$1:$P$1, 0)), perc_75, VLOOKUP(S$2, Percentiles!$A$45:$I$59, 6, FALSE), perc_90, VLOOKUP(S$2, Percentiles!$A$45:$I$59, 7, FALSE), perc_95, VLOOKUP(S$2, Percentiles!$A$45:$I$59, 8, FALSE), perc_85, perc_75 + (perc_90 - perc_75) * (2/3), converted_stat, '2K_Ratings'!S799, IF(bbgm_stat &gt;= perc_95, converted_stat * 3, IF(bbgm_stat &gt;= perc_90, converted_stat * 2, IF(bbgm_stat &gt;= perc_85, converted_stat * 1.5, converted_stat)))))</f>
        <v/>
      </c>
      <c r="T799" s="30" t="str">
        <f t="array" ref="T799">IF($A799="", "", LET(bbgm_stat, INDEX(Players!$A798:$P798, MATCH(T$2, Players!$A$1:$P$1, 0)), perc_75, VLOOKUP(T$2, Percentiles!$A$45:$I$59, 6, FALSE), perc_90, VLOOKUP(T$2, Percentiles!$A$45:$I$59, 7, FALSE), perc_95, VLOOKUP(T$2, Percentiles!$A$45:$I$59, 8, FALSE), perc_85, perc_75 + (perc_90 - perc_75) * (2/3), converted_stat, '2K_Ratings'!T799, IF(bbgm_stat &gt;= perc_95, converted_stat * 3, IF(bbgm_stat &gt;= perc_90, converted_stat * 2, IF(bbgm_stat &gt;= perc_85, converted_stat * 1.5, converted_stat)))))</f>
        <v/>
      </c>
      <c r="U799" s="30" t="str">
        <f t="array" ref="U799">IF($A799="", "", LET(bbgm_stat, INDEX(Players!$A798:$P798, MATCH(U$2, Players!$A$1:$P$1, 0)), perc_75, VLOOKUP(U$2, Percentiles!$A$45:$I$59, 6, FALSE), perc_90, VLOOKUP(U$2, Percentiles!$A$45:$I$59, 7, FALSE), perc_95, VLOOKUP(U$2, Percentiles!$A$45:$I$59, 8, FALSE), perc_85, perc_75 + (perc_90 - perc_75) * (2/3), converted_stat, '2K_Ratings'!U799, IF(bbgm_stat &gt;= perc_95, converted_stat * 3, IF(bbgm_stat &gt;= perc_90, converted_stat * 2, IF(bbgm_stat &gt;= perc_85, converted_stat * 1.5, converted_stat)))))</f>
        <v/>
      </c>
      <c r="V799" s="30" t="str">
        <f t="array" ref="V799">IF($A799="", "", LET(bbgm_stat, INDEX(Players!$A798:$P798, MATCH(V$2, Players!$A$1:$P$1, 0)), perc_75, VLOOKUP(V$2, Percentiles!$A$45:$I$59, 6, FALSE), perc_90, VLOOKUP(V$2, Percentiles!$A$45:$I$59, 7, FALSE), perc_95, VLOOKUP(V$2, Percentiles!$A$45:$I$59, 8, FALSE), perc_85, perc_75 + (perc_90 - perc_75) * (2/3), converted_stat, '2K_Ratings'!V799, IF(bbgm_stat &gt;= perc_95, converted_stat * 3, IF(bbgm_stat &gt;= perc_90, converted_stat * 2, IF(bbgm_stat &gt;= perc_85, converted_stat * 1.5, converted_stat)))))</f>
        <v/>
      </c>
      <c r="W799" s="30" t="str">
        <f t="array" ref="W799">IF($A799="", "", LET(bbgm_stat, INDEX(Players!$A798:$P798, MATCH(W$2, Players!$A$1:$P$1, 0)), perc_75, VLOOKUP(W$2, Percentiles!$A$45:$I$59, 6, FALSE), perc_90, VLOOKUP(W$2, Percentiles!$A$45:$I$59, 7, FALSE), perc_95, VLOOKUP(W$2, Percentiles!$A$45:$I$59, 8, FALSE), perc_85, perc_75 + (perc_90 - perc_75) * (2/3), converted_stat, '2K_Ratings'!W799, IF(bbgm_stat &gt;= perc_95, converted_stat * 3, IF(bbgm_stat &gt;= perc_90, converted_stat * 2, IF(bbgm_stat &gt;= perc_85, converted_stat * 1.5, converted_stat)))))</f>
        <v/>
      </c>
    </row>
    <row r="800">
      <c r="A800" s="30"/>
      <c r="B800" s="30" t="str">
        <f t="array" ref="B800">IF($A800="", "", LET(bbgm_stat, INDEX(Players!$A799:$P799, MATCH(B$2, Players!$A$1:$P$1, 0)), perc_75, VLOOKUP(B$2, Percentiles!$A$45:$I$59, 6, FALSE), perc_90, VLOOKUP(B$2, Percentiles!$A$45:$I$59, 7, FALSE), perc_95, VLOOKUP(B$2, Percentiles!$A$45:$I$59, 8, FALSE), perc_85, perc_75 + (perc_90 - perc_75) * (2/3), converted_stat, '2K_Ratings'!B800, IF(bbgm_stat &gt;= perc_95, converted_stat * 3, IF(bbgm_stat &gt;= perc_90, converted_stat * 2, IF(bbgm_stat &gt;= perc_85, converted_stat * 1.5, converted_stat)))))</f>
        <v/>
      </c>
      <c r="C800" s="30" t="str">
        <f t="array" ref="C800">IF($A800="", "", LET(bbgm_stat, INDEX(Players!$A799:$P799, MATCH(C$2, Players!$A$1:$P$1, 0)), perc_75, VLOOKUP(C$2, Percentiles!$A$45:$I$59, 6, FALSE), perc_90, VLOOKUP(C$2, Percentiles!$A$45:$I$59, 7, FALSE), perc_95, VLOOKUP(C$2, Percentiles!$A$45:$I$59, 8, FALSE), perc_85, perc_75 + (perc_90 - perc_75) * (2/3), converted_stat, '2K_Ratings'!C800, IF(bbgm_stat &gt;= perc_95, converted_stat * 3, IF(bbgm_stat &gt;= perc_90, converted_stat * 2, IF(bbgm_stat &gt;= perc_85, converted_stat * 1.5, converted_stat)))))</f>
        <v/>
      </c>
      <c r="D800" s="30" t="str">
        <f t="array" ref="D800">IF($A800="", "", LET(bbgm_stat, INDEX(Players!$A799:$P799, MATCH(D$2, Players!$A$1:$P$1, 0)), perc_75, VLOOKUP(D$2, Percentiles!$A$45:$I$59, 6, FALSE), perc_90, VLOOKUP(D$2, Percentiles!$A$45:$I$59, 7, FALSE), perc_95, VLOOKUP(D$2, Percentiles!$A$45:$I$59, 8, FALSE), perc_85, perc_75 + (perc_90 - perc_75) * (2/3), converted_stat, '2K_Ratings'!D800, IF(bbgm_stat &gt;= perc_95, converted_stat * 3, IF(bbgm_stat &gt;= perc_90, converted_stat * 2, IF(bbgm_stat &gt;= perc_85, converted_stat * 1.5, converted_stat)))))</f>
        <v/>
      </c>
      <c r="E800" s="30" t="str">
        <f t="array" ref="E800">IF($A800="", "", LET(bbgm_stat, INDEX(Players!$A799:$P799, MATCH(E$2, Players!$A$1:$P$1, 0)), perc_75, VLOOKUP(E$2, Percentiles!$A$45:$I$59, 6, FALSE), perc_90, VLOOKUP(E$2, Percentiles!$A$45:$I$59, 7, FALSE), perc_95, VLOOKUP(E$2, Percentiles!$A$45:$I$59, 8, FALSE), perc_85, perc_75 + (perc_90 - perc_75) * (2/3), converted_stat, '2K_Ratings'!E800, IF(bbgm_stat &gt;= perc_95, converted_stat * 3, IF(bbgm_stat &gt;= perc_90, converted_stat * 2, IF(bbgm_stat &gt;= perc_85, converted_stat * 1.5, converted_stat)))))</f>
        <v/>
      </c>
      <c r="F800" s="30" t="str">
        <f t="array" ref="F800">IF($A800="", "", LET(bbgm_stat, INDEX(Players!$A799:$P799, MATCH(F$2, Players!$A$1:$P$1, 0)), perc_75, VLOOKUP(F$2, Percentiles!$A$45:$I$59, 6, FALSE), perc_90, VLOOKUP(F$2, Percentiles!$A$45:$I$59, 7, FALSE), perc_95, VLOOKUP(F$2, Percentiles!$A$45:$I$59, 8, FALSE), perc_85, perc_75 + (perc_90 - perc_75) * (2/3), converted_stat, '2K_Ratings'!F800, IF(bbgm_stat &gt;= perc_95, converted_stat * 3, IF(bbgm_stat &gt;= perc_90, converted_stat * 2, IF(bbgm_stat &gt;= perc_85, converted_stat * 1.5, converted_stat)))))</f>
        <v/>
      </c>
      <c r="G800" s="30" t="str">
        <f t="array" ref="G800">IF($A800="", "", LET(bbgm_stat, INDEX(Players!$A799:$P799, MATCH(G$2, Players!$A$1:$P$1, 0)), perc_75, VLOOKUP(G$2, Percentiles!$A$45:$I$59, 6, FALSE), perc_90, VLOOKUP(G$2, Percentiles!$A$45:$I$59, 7, FALSE), perc_95, VLOOKUP(G$2, Percentiles!$A$45:$I$59, 8, FALSE), perc_85, perc_75 + (perc_90 - perc_75) * (2/3), converted_stat, '2K_Ratings'!G800, IF(bbgm_stat &gt;= perc_95, converted_stat * 3, IF(bbgm_stat &gt;= perc_90, converted_stat * 2, IF(bbgm_stat &gt;= perc_85, converted_stat * 1.5, converted_stat)))))</f>
        <v/>
      </c>
      <c r="H800" s="30" t="str">
        <f t="array" ref="H800">IF($A800="", "", LET(bbgm_stat, INDEX(Players!$A799:$P799, MATCH(H$2, Players!$A$1:$P$1, 0)), perc_75, VLOOKUP(H$2, Percentiles!$A$45:$I$59, 6, FALSE), perc_90, VLOOKUP(H$2, Percentiles!$A$45:$I$59, 7, FALSE), perc_95, VLOOKUP(H$2, Percentiles!$A$45:$I$59, 8, FALSE), perc_85, perc_75 + (perc_90 - perc_75) * (2/3), converted_stat, '2K_Ratings'!H800, IF(bbgm_stat &gt;= perc_95, converted_stat * 3, IF(bbgm_stat &gt;= perc_90, converted_stat * 2, IF(bbgm_stat &gt;= perc_85, converted_stat * 1.5, converted_stat)))))</f>
        <v/>
      </c>
      <c r="I800" s="30" t="str">
        <f t="array" ref="I800">IF($A800="", "", LET(bbgm_stat, INDEX(Players!$A799:$P799, MATCH(I$2, Players!$A$1:$P$1, 0)), perc_75, VLOOKUP(I$2, Percentiles!$A$45:$I$59, 6, FALSE), perc_90, VLOOKUP(I$2, Percentiles!$A$45:$I$59, 7, FALSE), perc_95, VLOOKUP(I$2, Percentiles!$A$45:$I$59, 8, FALSE), perc_85, perc_75 + (perc_90 - perc_75) * (2/3), converted_stat, '2K_Ratings'!I800, IF(bbgm_stat &gt;= perc_95, converted_stat * 3, IF(bbgm_stat &gt;= perc_90, converted_stat * 2, IF(bbgm_stat &gt;= perc_85, converted_stat * 1.5, converted_stat)))))</f>
        <v/>
      </c>
      <c r="J800" s="30" t="str">
        <f t="array" ref="J800">IF($A800="", "", LET(bbgm_stat, INDEX(Players!$A799:$P799, MATCH(J$2, Players!$A$1:$P$1, 0)), perc_75, VLOOKUP(J$2, Percentiles!$A$45:$I$59, 6, FALSE), perc_90, VLOOKUP(J$2, Percentiles!$A$45:$I$59, 7, FALSE), perc_95, VLOOKUP(J$2, Percentiles!$A$45:$I$59, 8, FALSE), perc_85, perc_75 + (perc_90 - perc_75) * (2/3), converted_stat, '2K_Ratings'!J800, IF(bbgm_stat &gt;= perc_95, converted_stat * 3, IF(bbgm_stat &gt;= perc_90, converted_stat * 2, IF(bbgm_stat &gt;= perc_85, converted_stat * 1.5, converted_stat)))))</f>
        <v/>
      </c>
      <c r="K800" s="30" t="str">
        <f t="array" ref="K800">IF($A800="", "", LET(bbgm_stat, INDEX(Players!$A799:$P799, MATCH(K$2, Players!$A$1:$P$1, 0)), perc_75, VLOOKUP(K$2, Percentiles!$A$45:$I$59, 6, FALSE), perc_90, VLOOKUP(K$2, Percentiles!$A$45:$I$59, 7, FALSE), perc_95, VLOOKUP(K$2, Percentiles!$A$45:$I$59, 8, FALSE), perc_85, perc_75 + (perc_90 - perc_75) * (2/3), converted_stat, '2K_Ratings'!K800, IF(bbgm_stat &gt;= perc_95, converted_stat * 3, IF(bbgm_stat &gt;= perc_90, converted_stat * 2, IF(bbgm_stat &gt;= perc_85, converted_stat * 1.5, converted_stat)))))</f>
        <v/>
      </c>
      <c r="L800" s="30" t="str">
        <f t="array" ref="L800">IF($A800="", "", LET(bbgm_stat, INDEX(Players!$A799:$P799, MATCH(L$2, Players!$A$1:$P$1, 0)), perc_75, VLOOKUP(L$2, Percentiles!$A$45:$I$59, 6, FALSE), perc_90, VLOOKUP(L$2, Percentiles!$A$45:$I$59, 7, FALSE), perc_95, VLOOKUP(L$2, Percentiles!$A$45:$I$59, 8, FALSE), perc_85, perc_75 + (perc_90 - perc_75) * (2/3), converted_stat, '2K_Ratings'!L800, IF(bbgm_stat &gt;= perc_95, converted_stat * 3, IF(bbgm_stat &gt;= perc_90, converted_stat * 2, IF(bbgm_stat &gt;= perc_85, converted_stat * 1.5, converted_stat)))))</f>
        <v/>
      </c>
      <c r="M800" s="30" t="str">
        <f t="array" ref="M800">IF($A800="", "", LET(bbgm_stat, INDEX(Players!$A799:$P799, MATCH(M$2, Players!$A$1:$P$1, 0)), perc_75, VLOOKUP(M$2, Percentiles!$A$45:$I$59, 6, FALSE), perc_90, VLOOKUP(M$2, Percentiles!$A$45:$I$59, 7, FALSE), perc_95, VLOOKUP(M$2, Percentiles!$A$45:$I$59, 8, FALSE), perc_85, perc_75 + (perc_90 - perc_75) * (2/3), converted_stat, '2K_Ratings'!M800, IF(bbgm_stat &gt;= perc_95, converted_stat * 3, IF(bbgm_stat &gt;= perc_90, converted_stat * 2, IF(bbgm_stat &gt;= perc_85, converted_stat * 1.5, converted_stat)))))</f>
        <v/>
      </c>
      <c r="N800" s="30" t="str">
        <f t="array" ref="N800">IF($A800="", "", LET(bbgm_stat, INDEX(Players!$A799:$P799, MATCH(N$2, Players!$A$1:$P$1, 0)), perc_75, VLOOKUP(N$2, Percentiles!$A$45:$I$59, 6, FALSE), perc_90, VLOOKUP(N$2, Percentiles!$A$45:$I$59, 7, FALSE), perc_95, VLOOKUP(N$2, Percentiles!$A$45:$I$59, 8, FALSE), perc_85, perc_75 + (perc_90 - perc_75) * (2/3), converted_stat, '2K_Ratings'!N800, IF(bbgm_stat &gt;= perc_95, converted_stat * 3, IF(bbgm_stat &gt;= perc_90, converted_stat * 2, IF(bbgm_stat &gt;= perc_85, converted_stat * 1.5, converted_stat)))))</f>
        <v/>
      </c>
      <c r="O800" s="30" t="str">
        <f t="array" ref="O800">IF($A800="", "", LET(bbgm_stat, INDEX(Players!$A799:$P799, MATCH(O$2, Players!$A$1:$P$1, 0)), perc_75, VLOOKUP(O$2, Percentiles!$A$45:$I$59, 6, FALSE), perc_90, VLOOKUP(O$2, Percentiles!$A$45:$I$59, 7, FALSE), perc_95, VLOOKUP(O$2, Percentiles!$A$45:$I$59, 8, FALSE), perc_85, perc_75 + (perc_90 - perc_75) * (2/3), converted_stat, '2K_Ratings'!O800, IF(bbgm_stat &gt;= perc_95, converted_stat * 3, IF(bbgm_stat &gt;= perc_90, converted_stat * 2, IF(bbgm_stat &gt;= perc_85, converted_stat * 1.5, converted_stat)))))</f>
        <v/>
      </c>
      <c r="P800" s="30" t="str">
        <f t="array" ref="P800">IF($A800="", "", LET(bbgm_stat, INDEX(Players!$A799:$P799, MATCH(P$2, Players!$A$1:$P$1, 0)), perc_75, VLOOKUP(P$2, Percentiles!$A$45:$I$59, 6, FALSE), perc_90, VLOOKUP(P$2, Percentiles!$A$45:$I$59, 7, FALSE), perc_95, VLOOKUP(P$2, Percentiles!$A$45:$I$59, 8, FALSE), perc_85, perc_75 + (perc_90 - perc_75) * (2/3), converted_stat, '2K_Ratings'!P800, IF(bbgm_stat &gt;= perc_95, converted_stat * 3, IF(bbgm_stat &gt;= perc_90, converted_stat * 2, IF(bbgm_stat &gt;= perc_85, converted_stat * 1.5, converted_stat)))))</f>
        <v/>
      </c>
      <c r="Q800" s="30" t="str">
        <f t="array" ref="Q800">IF($A800="", "", LET(bbgm_stat, INDEX(Players!$A799:$P799, MATCH(Q$2, Players!$A$1:$P$1, 0)), perc_75, VLOOKUP(Q$2, Percentiles!$A$45:$I$59, 6, FALSE), perc_90, VLOOKUP(Q$2, Percentiles!$A$45:$I$59, 7, FALSE), perc_95, VLOOKUP(Q$2, Percentiles!$A$45:$I$59, 8, FALSE), perc_85, perc_75 + (perc_90 - perc_75) * (2/3), converted_stat, '2K_Ratings'!Q800, IF(bbgm_stat &gt;= perc_95, converted_stat * 3, IF(bbgm_stat &gt;= perc_90, converted_stat * 2, IF(bbgm_stat &gt;= perc_85, converted_stat * 1.5, converted_stat)))))</f>
        <v/>
      </c>
      <c r="R800" s="30" t="str">
        <f t="array" ref="R800">IF($A800="", "", LET(bbgm_stat, INDEX(Players!$A799:$P799, MATCH(R$2, Players!$A$1:$P$1, 0)), perc_75, VLOOKUP(R$2, Percentiles!$A$45:$I$59, 6, FALSE), perc_90, VLOOKUP(R$2, Percentiles!$A$45:$I$59, 7, FALSE), perc_95, VLOOKUP(R$2, Percentiles!$A$45:$I$59, 8, FALSE), perc_85, perc_75 + (perc_90 - perc_75) * (2/3), converted_stat, '2K_Ratings'!R800, IF(bbgm_stat &gt;= perc_95, converted_stat * 3, IF(bbgm_stat &gt;= perc_90, converted_stat * 2, IF(bbgm_stat &gt;= perc_85, converted_stat * 1.5, converted_stat)))))</f>
        <v/>
      </c>
      <c r="S800" s="30" t="str">
        <f t="array" ref="S800">IF($A800="", "", LET(bbgm_stat, INDEX(Players!$A799:$P799, MATCH(S$2, Players!$A$1:$P$1, 0)), perc_75, VLOOKUP(S$2, Percentiles!$A$45:$I$59, 6, FALSE), perc_90, VLOOKUP(S$2, Percentiles!$A$45:$I$59, 7, FALSE), perc_95, VLOOKUP(S$2, Percentiles!$A$45:$I$59, 8, FALSE), perc_85, perc_75 + (perc_90 - perc_75) * (2/3), converted_stat, '2K_Ratings'!S800, IF(bbgm_stat &gt;= perc_95, converted_stat * 3, IF(bbgm_stat &gt;= perc_90, converted_stat * 2, IF(bbgm_stat &gt;= perc_85, converted_stat * 1.5, converted_stat)))))</f>
        <v/>
      </c>
      <c r="T800" s="30" t="str">
        <f t="array" ref="T800">IF($A800="", "", LET(bbgm_stat, INDEX(Players!$A799:$P799, MATCH(T$2, Players!$A$1:$P$1, 0)), perc_75, VLOOKUP(T$2, Percentiles!$A$45:$I$59, 6, FALSE), perc_90, VLOOKUP(T$2, Percentiles!$A$45:$I$59, 7, FALSE), perc_95, VLOOKUP(T$2, Percentiles!$A$45:$I$59, 8, FALSE), perc_85, perc_75 + (perc_90 - perc_75) * (2/3), converted_stat, '2K_Ratings'!T800, IF(bbgm_stat &gt;= perc_95, converted_stat * 3, IF(bbgm_stat &gt;= perc_90, converted_stat * 2, IF(bbgm_stat &gt;= perc_85, converted_stat * 1.5, converted_stat)))))</f>
        <v/>
      </c>
      <c r="U800" s="30" t="str">
        <f t="array" ref="U800">IF($A800="", "", LET(bbgm_stat, INDEX(Players!$A799:$P799, MATCH(U$2, Players!$A$1:$P$1, 0)), perc_75, VLOOKUP(U$2, Percentiles!$A$45:$I$59, 6, FALSE), perc_90, VLOOKUP(U$2, Percentiles!$A$45:$I$59, 7, FALSE), perc_95, VLOOKUP(U$2, Percentiles!$A$45:$I$59, 8, FALSE), perc_85, perc_75 + (perc_90 - perc_75) * (2/3), converted_stat, '2K_Ratings'!U800, IF(bbgm_stat &gt;= perc_95, converted_stat * 3, IF(bbgm_stat &gt;= perc_90, converted_stat * 2, IF(bbgm_stat &gt;= perc_85, converted_stat * 1.5, converted_stat)))))</f>
        <v/>
      </c>
      <c r="V800" s="30" t="str">
        <f t="array" ref="V800">IF($A800="", "", LET(bbgm_stat, INDEX(Players!$A799:$P799, MATCH(V$2, Players!$A$1:$P$1, 0)), perc_75, VLOOKUP(V$2, Percentiles!$A$45:$I$59, 6, FALSE), perc_90, VLOOKUP(V$2, Percentiles!$A$45:$I$59, 7, FALSE), perc_95, VLOOKUP(V$2, Percentiles!$A$45:$I$59, 8, FALSE), perc_85, perc_75 + (perc_90 - perc_75) * (2/3), converted_stat, '2K_Ratings'!V800, IF(bbgm_stat &gt;= perc_95, converted_stat * 3, IF(bbgm_stat &gt;= perc_90, converted_stat * 2, IF(bbgm_stat &gt;= perc_85, converted_stat * 1.5, converted_stat)))))</f>
        <v/>
      </c>
      <c r="W800" s="30" t="str">
        <f t="array" ref="W800">IF($A800="", "", LET(bbgm_stat, INDEX(Players!$A799:$P799, MATCH(W$2, Players!$A$1:$P$1, 0)), perc_75, VLOOKUP(W$2, Percentiles!$A$45:$I$59, 6, FALSE), perc_90, VLOOKUP(W$2, Percentiles!$A$45:$I$59, 7, FALSE), perc_95, VLOOKUP(W$2, Percentiles!$A$45:$I$59, 8, FALSE), perc_85, perc_75 + (perc_90 - perc_75) * (2/3), converted_stat, '2K_Ratings'!W800, IF(bbgm_stat &gt;= perc_95, converted_stat * 3, IF(bbgm_stat &gt;= perc_90, converted_stat * 2, IF(bbgm_stat &gt;= perc_85, converted_stat * 1.5, converted_stat)))))</f>
        <v/>
      </c>
    </row>
    <row r="801">
      <c r="A801" s="30"/>
      <c r="B801" s="30" t="str">
        <f t="array" ref="B801">IF($A801="", "", LET(bbgm_stat, INDEX(Players!$A800:$P800, MATCH(B$2, Players!$A$1:$P$1, 0)), perc_75, VLOOKUP(B$2, Percentiles!$A$45:$I$59, 6, FALSE), perc_90, VLOOKUP(B$2, Percentiles!$A$45:$I$59, 7, FALSE), perc_95, VLOOKUP(B$2, Percentiles!$A$45:$I$59, 8, FALSE), perc_85, perc_75 + (perc_90 - perc_75) * (2/3), converted_stat, '2K_Ratings'!B801, IF(bbgm_stat &gt;= perc_95, converted_stat * 3, IF(bbgm_stat &gt;= perc_90, converted_stat * 2, IF(bbgm_stat &gt;= perc_85, converted_stat * 1.5, converted_stat)))))</f>
        <v/>
      </c>
      <c r="C801" s="30" t="str">
        <f t="array" ref="C801">IF($A801="", "", LET(bbgm_stat, INDEX(Players!$A800:$P800, MATCH(C$2, Players!$A$1:$P$1, 0)), perc_75, VLOOKUP(C$2, Percentiles!$A$45:$I$59, 6, FALSE), perc_90, VLOOKUP(C$2, Percentiles!$A$45:$I$59, 7, FALSE), perc_95, VLOOKUP(C$2, Percentiles!$A$45:$I$59, 8, FALSE), perc_85, perc_75 + (perc_90 - perc_75) * (2/3), converted_stat, '2K_Ratings'!C801, IF(bbgm_stat &gt;= perc_95, converted_stat * 3, IF(bbgm_stat &gt;= perc_90, converted_stat * 2, IF(bbgm_stat &gt;= perc_85, converted_stat * 1.5, converted_stat)))))</f>
        <v/>
      </c>
      <c r="D801" s="30" t="str">
        <f t="array" ref="D801">IF($A801="", "", LET(bbgm_stat, INDEX(Players!$A800:$P800, MATCH(D$2, Players!$A$1:$P$1, 0)), perc_75, VLOOKUP(D$2, Percentiles!$A$45:$I$59, 6, FALSE), perc_90, VLOOKUP(D$2, Percentiles!$A$45:$I$59, 7, FALSE), perc_95, VLOOKUP(D$2, Percentiles!$A$45:$I$59, 8, FALSE), perc_85, perc_75 + (perc_90 - perc_75) * (2/3), converted_stat, '2K_Ratings'!D801, IF(bbgm_stat &gt;= perc_95, converted_stat * 3, IF(bbgm_stat &gt;= perc_90, converted_stat * 2, IF(bbgm_stat &gt;= perc_85, converted_stat * 1.5, converted_stat)))))</f>
        <v/>
      </c>
      <c r="E801" s="30" t="str">
        <f t="array" ref="E801">IF($A801="", "", LET(bbgm_stat, INDEX(Players!$A800:$P800, MATCH(E$2, Players!$A$1:$P$1, 0)), perc_75, VLOOKUP(E$2, Percentiles!$A$45:$I$59, 6, FALSE), perc_90, VLOOKUP(E$2, Percentiles!$A$45:$I$59, 7, FALSE), perc_95, VLOOKUP(E$2, Percentiles!$A$45:$I$59, 8, FALSE), perc_85, perc_75 + (perc_90 - perc_75) * (2/3), converted_stat, '2K_Ratings'!E801, IF(bbgm_stat &gt;= perc_95, converted_stat * 3, IF(bbgm_stat &gt;= perc_90, converted_stat * 2, IF(bbgm_stat &gt;= perc_85, converted_stat * 1.5, converted_stat)))))</f>
        <v/>
      </c>
      <c r="F801" s="30" t="str">
        <f t="array" ref="F801">IF($A801="", "", LET(bbgm_stat, INDEX(Players!$A800:$P800, MATCH(F$2, Players!$A$1:$P$1, 0)), perc_75, VLOOKUP(F$2, Percentiles!$A$45:$I$59, 6, FALSE), perc_90, VLOOKUP(F$2, Percentiles!$A$45:$I$59, 7, FALSE), perc_95, VLOOKUP(F$2, Percentiles!$A$45:$I$59, 8, FALSE), perc_85, perc_75 + (perc_90 - perc_75) * (2/3), converted_stat, '2K_Ratings'!F801, IF(bbgm_stat &gt;= perc_95, converted_stat * 3, IF(bbgm_stat &gt;= perc_90, converted_stat * 2, IF(bbgm_stat &gt;= perc_85, converted_stat * 1.5, converted_stat)))))</f>
        <v/>
      </c>
      <c r="G801" s="30" t="str">
        <f t="array" ref="G801">IF($A801="", "", LET(bbgm_stat, INDEX(Players!$A800:$P800, MATCH(G$2, Players!$A$1:$P$1, 0)), perc_75, VLOOKUP(G$2, Percentiles!$A$45:$I$59, 6, FALSE), perc_90, VLOOKUP(G$2, Percentiles!$A$45:$I$59, 7, FALSE), perc_95, VLOOKUP(G$2, Percentiles!$A$45:$I$59, 8, FALSE), perc_85, perc_75 + (perc_90 - perc_75) * (2/3), converted_stat, '2K_Ratings'!G801, IF(bbgm_stat &gt;= perc_95, converted_stat * 3, IF(bbgm_stat &gt;= perc_90, converted_stat * 2, IF(bbgm_stat &gt;= perc_85, converted_stat * 1.5, converted_stat)))))</f>
        <v/>
      </c>
      <c r="H801" s="30" t="str">
        <f t="array" ref="H801">IF($A801="", "", LET(bbgm_stat, INDEX(Players!$A800:$P800, MATCH(H$2, Players!$A$1:$P$1, 0)), perc_75, VLOOKUP(H$2, Percentiles!$A$45:$I$59, 6, FALSE), perc_90, VLOOKUP(H$2, Percentiles!$A$45:$I$59, 7, FALSE), perc_95, VLOOKUP(H$2, Percentiles!$A$45:$I$59, 8, FALSE), perc_85, perc_75 + (perc_90 - perc_75) * (2/3), converted_stat, '2K_Ratings'!H801, IF(bbgm_stat &gt;= perc_95, converted_stat * 3, IF(bbgm_stat &gt;= perc_90, converted_stat * 2, IF(bbgm_stat &gt;= perc_85, converted_stat * 1.5, converted_stat)))))</f>
        <v/>
      </c>
      <c r="I801" s="30" t="str">
        <f t="array" ref="I801">IF($A801="", "", LET(bbgm_stat, INDEX(Players!$A800:$P800, MATCH(I$2, Players!$A$1:$P$1, 0)), perc_75, VLOOKUP(I$2, Percentiles!$A$45:$I$59, 6, FALSE), perc_90, VLOOKUP(I$2, Percentiles!$A$45:$I$59, 7, FALSE), perc_95, VLOOKUP(I$2, Percentiles!$A$45:$I$59, 8, FALSE), perc_85, perc_75 + (perc_90 - perc_75) * (2/3), converted_stat, '2K_Ratings'!I801, IF(bbgm_stat &gt;= perc_95, converted_stat * 3, IF(bbgm_stat &gt;= perc_90, converted_stat * 2, IF(bbgm_stat &gt;= perc_85, converted_stat * 1.5, converted_stat)))))</f>
        <v/>
      </c>
      <c r="J801" s="30" t="str">
        <f t="array" ref="J801">IF($A801="", "", LET(bbgm_stat, INDEX(Players!$A800:$P800, MATCH(J$2, Players!$A$1:$P$1, 0)), perc_75, VLOOKUP(J$2, Percentiles!$A$45:$I$59, 6, FALSE), perc_90, VLOOKUP(J$2, Percentiles!$A$45:$I$59, 7, FALSE), perc_95, VLOOKUP(J$2, Percentiles!$A$45:$I$59, 8, FALSE), perc_85, perc_75 + (perc_90 - perc_75) * (2/3), converted_stat, '2K_Ratings'!J801, IF(bbgm_stat &gt;= perc_95, converted_stat * 3, IF(bbgm_stat &gt;= perc_90, converted_stat * 2, IF(bbgm_stat &gt;= perc_85, converted_stat * 1.5, converted_stat)))))</f>
        <v/>
      </c>
      <c r="K801" s="30" t="str">
        <f t="array" ref="K801">IF($A801="", "", LET(bbgm_stat, INDEX(Players!$A800:$P800, MATCH(K$2, Players!$A$1:$P$1, 0)), perc_75, VLOOKUP(K$2, Percentiles!$A$45:$I$59, 6, FALSE), perc_90, VLOOKUP(K$2, Percentiles!$A$45:$I$59, 7, FALSE), perc_95, VLOOKUP(K$2, Percentiles!$A$45:$I$59, 8, FALSE), perc_85, perc_75 + (perc_90 - perc_75) * (2/3), converted_stat, '2K_Ratings'!K801, IF(bbgm_stat &gt;= perc_95, converted_stat * 3, IF(bbgm_stat &gt;= perc_90, converted_stat * 2, IF(bbgm_stat &gt;= perc_85, converted_stat * 1.5, converted_stat)))))</f>
        <v/>
      </c>
      <c r="L801" s="30" t="str">
        <f t="array" ref="L801">IF($A801="", "", LET(bbgm_stat, INDEX(Players!$A800:$P800, MATCH(L$2, Players!$A$1:$P$1, 0)), perc_75, VLOOKUP(L$2, Percentiles!$A$45:$I$59, 6, FALSE), perc_90, VLOOKUP(L$2, Percentiles!$A$45:$I$59, 7, FALSE), perc_95, VLOOKUP(L$2, Percentiles!$A$45:$I$59, 8, FALSE), perc_85, perc_75 + (perc_90 - perc_75) * (2/3), converted_stat, '2K_Ratings'!L801, IF(bbgm_stat &gt;= perc_95, converted_stat * 3, IF(bbgm_stat &gt;= perc_90, converted_stat * 2, IF(bbgm_stat &gt;= perc_85, converted_stat * 1.5, converted_stat)))))</f>
        <v/>
      </c>
      <c r="M801" s="30" t="str">
        <f t="array" ref="M801">IF($A801="", "", LET(bbgm_stat, INDEX(Players!$A800:$P800, MATCH(M$2, Players!$A$1:$P$1, 0)), perc_75, VLOOKUP(M$2, Percentiles!$A$45:$I$59, 6, FALSE), perc_90, VLOOKUP(M$2, Percentiles!$A$45:$I$59, 7, FALSE), perc_95, VLOOKUP(M$2, Percentiles!$A$45:$I$59, 8, FALSE), perc_85, perc_75 + (perc_90 - perc_75) * (2/3), converted_stat, '2K_Ratings'!M801, IF(bbgm_stat &gt;= perc_95, converted_stat * 3, IF(bbgm_stat &gt;= perc_90, converted_stat * 2, IF(bbgm_stat &gt;= perc_85, converted_stat * 1.5, converted_stat)))))</f>
        <v/>
      </c>
      <c r="N801" s="30" t="str">
        <f t="array" ref="N801">IF($A801="", "", LET(bbgm_stat, INDEX(Players!$A800:$P800, MATCH(N$2, Players!$A$1:$P$1, 0)), perc_75, VLOOKUP(N$2, Percentiles!$A$45:$I$59, 6, FALSE), perc_90, VLOOKUP(N$2, Percentiles!$A$45:$I$59, 7, FALSE), perc_95, VLOOKUP(N$2, Percentiles!$A$45:$I$59, 8, FALSE), perc_85, perc_75 + (perc_90 - perc_75) * (2/3), converted_stat, '2K_Ratings'!N801, IF(bbgm_stat &gt;= perc_95, converted_stat * 3, IF(bbgm_stat &gt;= perc_90, converted_stat * 2, IF(bbgm_stat &gt;= perc_85, converted_stat * 1.5, converted_stat)))))</f>
        <v/>
      </c>
      <c r="O801" s="30" t="str">
        <f t="array" ref="O801">IF($A801="", "", LET(bbgm_stat, INDEX(Players!$A800:$P800, MATCH(O$2, Players!$A$1:$P$1, 0)), perc_75, VLOOKUP(O$2, Percentiles!$A$45:$I$59, 6, FALSE), perc_90, VLOOKUP(O$2, Percentiles!$A$45:$I$59, 7, FALSE), perc_95, VLOOKUP(O$2, Percentiles!$A$45:$I$59, 8, FALSE), perc_85, perc_75 + (perc_90 - perc_75) * (2/3), converted_stat, '2K_Ratings'!O801, IF(bbgm_stat &gt;= perc_95, converted_stat * 3, IF(bbgm_stat &gt;= perc_90, converted_stat * 2, IF(bbgm_stat &gt;= perc_85, converted_stat * 1.5, converted_stat)))))</f>
        <v/>
      </c>
      <c r="P801" s="30" t="str">
        <f t="array" ref="P801">IF($A801="", "", LET(bbgm_stat, INDEX(Players!$A800:$P800, MATCH(P$2, Players!$A$1:$P$1, 0)), perc_75, VLOOKUP(P$2, Percentiles!$A$45:$I$59, 6, FALSE), perc_90, VLOOKUP(P$2, Percentiles!$A$45:$I$59, 7, FALSE), perc_95, VLOOKUP(P$2, Percentiles!$A$45:$I$59, 8, FALSE), perc_85, perc_75 + (perc_90 - perc_75) * (2/3), converted_stat, '2K_Ratings'!P801, IF(bbgm_stat &gt;= perc_95, converted_stat * 3, IF(bbgm_stat &gt;= perc_90, converted_stat * 2, IF(bbgm_stat &gt;= perc_85, converted_stat * 1.5, converted_stat)))))</f>
        <v/>
      </c>
      <c r="Q801" s="30" t="str">
        <f t="array" ref="Q801">IF($A801="", "", LET(bbgm_stat, INDEX(Players!$A800:$P800, MATCH(Q$2, Players!$A$1:$P$1, 0)), perc_75, VLOOKUP(Q$2, Percentiles!$A$45:$I$59, 6, FALSE), perc_90, VLOOKUP(Q$2, Percentiles!$A$45:$I$59, 7, FALSE), perc_95, VLOOKUP(Q$2, Percentiles!$A$45:$I$59, 8, FALSE), perc_85, perc_75 + (perc_90 - perc_75) * (2/3), converted_stat, '2K_Ratings'!Q801, IF(bbgm_stat &gt;= perc_95, converted_stat * 3, IF(bbgm_stat &gt;= perc_90, converted_stat * 2, IF(bbgm_stat &gt;= perc_85, converted_stat * 1.5, converted_stat)))))</f>
        <v/>
      </c>
      <c r="R801" s="30" t="str">
        <f t="array" ref="R801">IF($A801="", "", LET(bbgm_stat, INDEX(Players!$A800:$P800, MATCH(R$2, Players!$A$1:$P$1, 0)), perc_75, VLOOKUP(R$2, Percentiles!$A$45:$I$59, 6, FALSE), perc_90, VLOOKUP(R$2, Percentiles!$A$45:$I$59, 7, FALSE), perc_95, VLOOKUP(R$2, Percentiles!$A$45:$I$59, 8, FALSE), perc_85, perc_75 + (perc_90 - perc_75) * (2/3), converted_stat, '2K_Ratings'!R801, IF(bbgm_stat &gt;= perc_95, converted_stat * 3, IF(bbgm_stat &gt;= perc_90, converted_stat * 2, IF(bbgm_stat &gt;= perc_85, converted_stat * 1.5, converted_stat)))))</f>
        <v/>
      </c>
      <c r="S801" s="30" t="str">
        <f t="array" ref="S801">IF($A801="", "", LET(bbgm_stat, INDEX(Players!$A800:$P800, MATCH(S$2, Players!$A$1:$P$1, 0)), perc_75, VLOOKUP(S$2, Percentiles!$A$45:$I$59, 6, FALSE), perc_90, VLOOKUP(S$2, Percentiles!$A$45:$I$59, 7, FALSE), perc_95, VLOOKUP(S$2, Percentiles!$A$45:$I$59, 8, FALSE), perc_85, perc_75 + (perc_90 - perc_75) * (2/3), converted_stat, '2K_Ratings'!S801, IF(bbgm_stat &gt;= perc_95, converted_stat * 3, IF(bbgm_stat &gt;= perc_90, converted_stat * 2, IF(bbgm_stat &gt;= perc_85, converted_stat * 1.5, converted_stat)))))</f>
        <v/>
      </c>
      <c r="T801" s="30" t="str">
        <f t="array" ref="T801">IF($A801="", "", LET(bbgm_stat, INDEX(Players!$A800:$P800, MATCH(T$2, Players!$A$1:$P$1, 0)), perc_75, VLOOKUP(T$2, Percentiles!$A$45:$I$59, 6, FALSE), perc_90, VLOOKUP(T$2, Percentiles!$A$45:$I$59, 7, FALSE), perc_95, VLOOKUP(T$2, Percentiles!$A$45:$I$59, 8, FALSE), perc_85, perc_75 + (perc_90 - perc_75) * (2/3), converted_stat, '2K_Ratings'!T801, IF(bbgm_stat &gt;= perc_95, converted_stat * 3, IF(bbgm_stat &gt;= perc_90, converted_stat * 2, IF(bbgm_stat &gt;= perc_85, converted_stat * 1.5, converted_stat)))))</f>
        <v/>
      </c>
      <c r="U801" s="30" t="str">
        <f t="array" ref="U801">IF($A801="", "", LET(bbgm_stat, INDEX(Players!$A800:$P800, MATCH(U$2, Players!$A$1:$P$1, 0)), perc_75, VLOOKUP(U$2, Percentiles!$A$45:$I$59, 6, FALSE), perc_90, VLOOKUP(U$2, Percentiles!$A$45:$I$59, 7, FALSE), perc_95, VLOOKUP(U$2, Percentiles!$A$45:$I$59, 8, FALSE), perc_85, perc_75 + (perc_90 - perc_75) * (2/3), converted_stat, '2K_Ratings'!U801, IF(bbgm_stat &gt;= perc_95, converted_stat * 3, IF(bbgm_stat &gt;= perc_90, converted_stat * 2, IF(bbgm_stat &gt;= perc_85, converted_stat * 1.5, converted_stat)))))</f>
        <v/>
      </c>
      <c r="V801" s="30" t="str">
        <f t="array" ref="V801">IF($A801="", "", LET(bbgm_stat, INDEX(Players!$A800:$P800, MATCH(V$2, Players!$A$1:$P$1, 0)), perc_75, VLOOKUP(V$2, Percentiles!$A$45:$I$59, 6, FALSE), perc_90, VLOOKUP(V$2, Percentiles!$A$45:$I$59, 7, FALSE), perc_95, VLOOKUP(V$2, Percentiles!$A$45:$I$59, 8, FALSE), perc_85, perc_75 + (perc_90 - perc_75) * (2/3), converted_stat, '2K_Ratings'!V801, IF(bbgm_stat &gt;= perc_95, converted_stat * 3, IF(bbgm_stat &gt;= perc_90, converted_stat * 2, IF(bbgm_stat &gt;= perc_85, converted_stat * 1.5, converted_stat)))))</f>
        <v/>
      </c>
      <c r="W801" s="30" t="str">
        <f t="array" ref="W801">IF($A801="", "", LET(bbgm_stat, INDEX(Players!$A800:$P800, MATCH(W$2, Players!$A$1:$P$1, 0)), perc_75, VLOOKUP(W$2, Percentiles!$A$45:$I$59, 6, FALSE), perc_90, VLOOKUP(W$2, Percentiles!$A$45:$I$59, 7, FALSE), perc_95, VLOOKUP(W$2, Percentiles!$A$45:$I$59, 8, FALSE), perc_85, perc_75 + (perc_90 - perc_75) * (2/3), converted_stat, '2K_Ratings'!W801, IF(bbgm_stat &gt;= perc_95, converted_stat * 3, IF(bbgm_stat &gt;= perc_90, converted_stat * 2, IF(bbgm_stat &gt;= perc_85, converted_stat * 1.5, converted_stat)))))</f>
        <v/>
      </c>
    </row>
    <row r="802">
      <c r="A802" s="30"/>
      <c r="B802" s="30" t="str">
        <f t="array" ref="B802">IF($A802="", "", LET(bbgm_stat, INDEX(Players!$A801:$P801, MATCH(B$2, Players!$A$1:$P$1, 0)), perc_75, VLOOKUP(B$2, Percentiles!$A$45:$I$59, 6, FALSE), perc_90, VLOOKUP(B$2, Percentiles!$A$45:$I$59, 7, FALSE), perc_95, VLOOKUP(B$2, Percentiles!$A$45:$I$59, 8, FALSE), perc_85, perc_75 + (perc_90 - perc_75) * (2/3), converted_stat, '2K_Ratings'!B802, IF(bbgm_stat &gt;= perc_95, converted_stat * 3, IF(bbgm_stat &gt;= perc_90, converted_stat * 2, IF(bbgm_stat &gt;= perc_85, converted_stat * 1.5, converted_stat)))))</f>
        <v/>
      </c>
      <c r="C802" s="30" t="str">
        <f t="array" ref="C802">IF($A802="", "", LET(bbgm_stat, INDEX(Players!$A801:$P801, MATCH(C$2, Players!$A$1:$P$1, 0)), perc_75, VLOOKUP(C$2, Percentiles!$A$45:$I$59, 6, FALSE), perc_90, VLOOKUP(C$2, Percentiles!$A$45:$I$59, 7, FALSE), perc_95, VLOOKUP(C$2, Percentiles!$A$45:$I$59, 8, FALSE), perc_85, perc_75 + (perc_90 - perc_75) * (2/3), converted_stat, '2K_Ratings'!C802, IF(bbgm_stat &gt;= perc_95, converted_stat * 3, IF(bbgm_stat &gt;= perc_90, converted_stat * 2, IF(bbgm_stat &gt;= perc_85, converted_stat * 1.5, converted_stat)))))</f>
        <v/>
      </c>
      <c r="D802" s="30" t="str">
        <f t="array" ref="D802">IF($A802="", "", LET(bbgm_stat, INDEX(Players!$A801:$P801, MATCH(D$2, Players!$A$1:$P$1, 0)), perc_75, VLOOKUP(D$2, Percentiles!$A$45:$I$59, 6, FALSE), perc_90, VLOOKUP(D$2, Percentiles!$A$45:$I$59, 7, FALSE), perc_95, VLOOKUP(D$2, Percentiles!$A$45:$I$59, 8, FALSE), perc_85, perc_75 + (perc_90 - perc_75) * (2/3), converted_stat, '2K_Ratings'!D802, IF(bbgm_stat &gt;= perc_95, converted_stat * 3, IF(bbgm_stat &gt;= perc_90, converted_stat * 2, IF(bbgm_stat &gt;= perc_85, converted_stat * 1.5, converted_stat)))))</f>
        <v/>
      </c>
      <c r="E802" s="30" t="str">
        <f t="array" ref="E802">IF($A802="", "", LET(bbgm_stat, INDEX(Players!$A801:$P801, MATCH(E$2, Players!$A$1:$P$1, 0)), perc_75, VLOOKUP(E$2, Percentiles!$A$45:$I$59, 6, FALSE), perc_90, VLOOKUP(E$2, Percentiles!$A$45:$I$59, 7, FALSE), perc_95, VLOOKUP(E$2, Percentiles!$A$45:$I$59, 8, FALSE), perc_85, perc_75 + (perc_90 - perc_75) * (2/3), converted_stat, '2K_Ratings'!E802, IF(bbgm_stat &gt;= perc_95, converted_stat * 3, IF(bbgm_stat &gt;= perc_90, converted_stat * 2, IF(bbgm_stat &gt;= perc_85, converted_stat * 1.5, converted_stat)))))</f>
        <v/>
      </c>
      <c r="F802" s="30" t="str">
        <f t="array" ref="F802">IF($A802="", "", LET(bbgm_stat, INDEX(Players!$A801:$P801, MATCH(F$2, Players!$A$1:$P$1, 0)), perc_75, VLOOKUP(F$2, Percentiles!$A$45:$I$59, 6, FALSE), perc_90, VLOOKUP(F$2, Percentiles!$A$45:$I$59, 7, FALSE), perc_95, VLOOKUP(F$2, Percentiles!$A$45:$I$59, 8, FALSE), perc_85, perc_75 + (perc_90 - perc_75) * (2/3), converted_stat, '2K_Ratings'!F802, IF(bbgm_stat &gt;= perc_95, converted_stat * 3, IF(bbgm_stat &gt;= perc_90, converted_stat * 2, IF(bbgm_stat &gt;= perc_85, converted_stat * 1.5, converted_stat)))))</f>
        <v/>
      </c>
      <c r="G802" s="30" t="str">
        <f t="array" ref="G802">IF($A802="", "", LET(bbgm_stat, INDEX(Players!$A801:$P801, MATCH(G$2, Players!$A$1:$P$1, 0)), perc_75, VLOOKUP(G$2, Percentiles!$A$45:$I$59, 6, FALSE), perc_90, VLOOKUP(G$2, Percentiles!$A$45:$I$59, 7, FALSE), perc_95, VLOOKUP(G$2, Percentiles!$A$45:$I$59, 8, FALSE), perc_85, perc_75 + (perc_90 - perc_75) * (2/3), converted_stat, '2K_Ratings'!G802, IF(bbgm_stat &gt;= perc_95, converted_stat * 3, IF(bbgm_stat &gt;= perc_90, converted_stat * 2, IF(bbgm_stat &gt;= perc_85, converted_stat * 1.5, converted_stat)))))</f>
        <v/>
      </c>
      <c r="H802" s="30" t="str">
        <f t="array" ref="H802">IF($A802="", "", LET(bbgm_stat, INDEX(Players!$A801:$P801, MATCH(H$2, Players!$A$1:$P$1, 0)), perc_75, VLOOKUP(H$2, Percentiles!$A$45:$I$59, 6, FALSE), perc_90, VLOOKUP(H$2, Percentiles!$A$45:$I$59, 7, FALSE), perc_95, VLOOKUP(H$2, Percentiles!$A$45:$I$59, 8, FALSE), perc_85, perc_75 + (perc_90 - perc_75) * (2/3), converted_stat, '2K_Ratings'!H802, IF(bbgm_stat &gt;= perc_95, converted_stat * 3, IF(bbgm_stat &gt;= perc_90, converted_stat * 2, IF(bbgm_stat &gt;= perc_85, converted_stat * 1.5, converted_stat)))))</f>
        <v/>
      </c>
      <c r="I802" s="30" t="str">
        <f t="array" ref="I802">IF($A802="", "", LET(bbgm_stat, INDEX(Players!$A801:$P801, MATCH(I$2, Players!$A$1:$P$1, 0)), perc_75, VLOOKUP(I$2, Percentiles!$A$45:$I$59, 6, FALSE), perc_90, VLOOKUP(I$2, Percentiles!$A$45:$I$59, 7, FALSE), perc_95, VLOOKUP(I$2, Percentiles!$A$45:$I$59, 8, FALSE), perc_85, perc_75 + (perc_90 - perc_75) * (2/3), converted_stat, '2K_Ratings'!I802, IF(bbgm_stat &gt;= perc_95, converted_stat * 3, IF(bbgm_stat &gt;= perc_90, converted_stat * 2, IF(bbgm_stat &gt;= perc_85, converted_stat * 1.5, converted_stat)))))</f>
        <v/>
      </c>
      <c r="J802" s="30" t="str">
        <f t="array" ref="J802">IF($A802="", "", LET(bbgm_stat, INDEX(Players!$A801:$P801, MATCH(J$2, Players!$A$1:$P$1, 0)), perc_75, VLOOKUP(J$2, Percentiles!$A$45:$I$59, 6, FALSE), perc_90, VLOOKUP(J$2, Percentiles!$A$45:$I$59, 7, FALSE), perc_95, VLOOKUP(J$2, Percentiles!$A$45:$I$59, 8, FALSE), perc_85, perc_75 + (perc_90 - perc_75) * (2/3), converted_stat, '2K_Ratings'!J802, IF(bbgm_stat &gt;= perc_95, converted_stat * 3, IF(bbgm_stat &gt;= perc_90, converted_stat * 2, IF(bbgm_stat &gt;= perc_85, converted_stat * 1.5, converted_stat)))))</f>
        <v/>
      </c>
      <c r="K802" s="30" t="str">
        <f t="array" ref="K802">IF($A802="", "", LET(bbgm_stat, INDEX(Players!$A801:$P801, MATCH(K$2, Players!$A$1:$P$1, 0)), perc_75, VLOOKUP(K$2, Percentiles!$A$45:$I$59, 6, FALSE), perc_90, VLOOKUP(K$2, Percentiles!$A$45:$I$59, 7, FALSE), perc_95, VLOOKUP(K$2, Percentiles!$A$45:$I$59, 8, FALSE), perc_85, perc_75 + (perc_90 - perc_75) * (2/3), converted_stat, '2K_Ratings'!K802, IF(bbgm_stat &gt;= perc_95, converted_stat * 3, IF(bbgm_stat &gt;= perc_90, converted_stat * 2, IF(bbgm_stat &gt;= perc_85, converted_stat * 1.5, converted_stat)))))</f>
        <v/>
      </c>
      <c r="L802" s="30" t="str">
        <f t="array" ref="L802">IF($A802="", "", LET(bbgm_stat, INDEX(Players!$A801:$P801, MATCH(L$2, Players!$A$1:$P$1, 0)), perc_75, VLOOKUP(L$2, Percentiles!$A$45:$I$59, 6, FALSE), perc_90, VLOOKUP(L$2, Percentiles!$A$45:$I$59, 7, FALSE), perc_95, VLOOKUP(L$2, Percentiles!$A$45:$I$59, 8, FALSE), perc_85, perc_75 + (perc_90 - perc_75) * (2/3), converted_stat, '2K_Ratings'!L802, IF(bbgm_stat &gt;= perc_95, converted_stat * 3, IF(bbgm_stat &gt;= perc_90, converted_stat * 2, IF(bbgm_stat &gt;= perc_85, converted_stat * 1.5, converted_stat)))))</f>
        <v/>
      </c>
      <c r="M802" s="30" t="str">
        <f t="array" ref="M802">IF($A802="", "", LET(bbgm_stat, INDEX(Players!$A801:$P801, MATCH(M$2, Players!$A$1:$P$1, 0)), perc_75, VLOOKUP(M$2, Percentiles!$A$45:$I$59, 6, FALSE), perc_90, VLOOKUP(M$2, Percentiles!$A$45:$I$59, 7, FALSE), perc_95, VLOOKUP(M$2, Percentiles!$A$45:$I$59, 8, FALSE), perc_85, perc_75 + (perc_90 - perc_75) * (2/3), converted_stat, '2K_Ratings'!M802, IF(bbgm_stat &gt;= perc_95, converted_stat * 3, IF(bbgm_stat &gt;= perc_90, converted_stat * 2, IF(bbgm_stat &gt;= perc_85, converted_stat * 1.5, converted_stat)))))</f>
        <v/>
      </c>
      <c r="N802" s="30" t="str">
        <f t="array" ref="N802">IF($A802="", "", LET(bbgm_stat, INDEX(Players!$A801:$P801, MATCH(N$2, Players!$A$1:$P$1, 0)), perc_75, VLOOKUP(N$2, Percentiles!$A$45:$I$59, 6, FALSE), perc_90, VLOOKUP(N$2, Percentiles!$A$45:$I$59, 7, FALSE), perc_95, VLOOKUP(N$2, Percentiles!$A$45:$I$59, 8, FALSE), perc_85, perc_75 + (perc_90 - perc_75) * (2/3), converted_stat, '2K_Ratings'!N802, IF(bbgm_stat &gt;= perc_95, converted_stat * 3, IF(bbgm_stat &gt;= perc_90, converted_stat * 2, IF(bbgm_stat &gt;= perc_85, converted_stat * 1.5, converted_stat)))))</f>
        <v/>
      </c>
      <c r="O802" s="30" t="str">
        <f t="array" ref="O802">IF($A802="", "", LET(bbgm_stat, INDEX(Players!$A801:$P801, MATCH(O$2, Players!$A$1:$P$1, 0)), perc_75, VLOOKUP(O$2, Percentiles!$A$45:$I$59, 6, FALSE), perc_90, VLOOKUP(O$2, Percentiles!$A$45:$I$59, 7, FALSE), perc_95, VLOOKUP(O$2, Percentiles!$A$45:$I$59, 8, FALSE), perc_85, perc_75 + (perc_90 - perc_75) * (2/3), converted_stat, '2K_Ratings'!O802, IF(bbgm_stat &gt;= perc_95, converted_stat * 3, IF(bbgm_stat &gt;= perc_90, converted_stat * 2, IF(bbgm_stat &gt;= perc_85, converted_stat * 1.5, converted_stat)))))</f>
        <v/>
      </c>
      <c r="P802" s="30" t="str">
        <f t="array" ref="P802">IF($A802="", "", LET(bbgm_stat, INDEX(Players!$A801:$P801, MATCH(P$2, Players!$A$1:$P$1, 0)), perc_75, VLOOKUP(P$2, Percentiles!$A$45:$I$59, 6, FALSE), perc_90, VLOOKUP(P$2, Percentiles!$A$45:$I$59, 7, FALSE), perc_95, VLOOKUP(P$2, Percentiles!$A$45:$I$59, 8, FALSE), perc_85, perc_75 + (perc_90 - perc_75) * (2/3), converted_stat, '2K_Ratings'!P802, IF(bbgm_stat &gt;= perc_95, converted_stat * 3, IF(bbgm_stat &gt;= perc_90, converted_stat * 2, IF(bbgm_stat &gt;= perc_85, converted_stat * 1.5, converted_stat)))))</f>
        <v/>
      </c>
      <c r="Q802" s="30" t="str">
        <f t="array" ref="Q802">IF($A802="", "", LET(bbgm_stat, INDEX(Players!$A801:$P801, MATCH(Q$2, Players!$A$1:$P$1, 0)), perc_75, VLOOKUP(Q$2, Percentiles!$A$45:$I$59, 6, FALSE), perc_90, VLOOKUP(Q$2, Percentiles!$A$45:$I$59, 7, FALSE), perc_95, VLOOKUP(Q$2, Percentiles!$A$45:$I$59, 8, FALSE), perc_85, perc_75 + (perc_90 - perc_75) * (2/3), converted_stat, '2K_Ratings'!Q802, IF(bbgm_stat &gt;= perc_95, converted_stat * 3, IF(bbgm_stat &gt;= perc_90, converted_stat * 2, IF(bbgm_stat &gt;= perc_85, converted_stat * 1.5, converted_stat)))))</f>
        <v/>
      </c>
      <c r="R802" s="30" t="str">
        <f t="array" ref="R802">IF($A802="", "", LET(bbgm_stat, INDEX(Players!$A801:$P801, MATCH(R$2, Players!$A$1:$P$1, 0)), perc_75, VLOOKUP(R$2, Percentiles!$A$45:$I$59, 6, FALSE), perc_90, VLOOKUP(R$2, Percentiles!$A$45:$I$59, 7, FALSE), perc_95, VLOOKUP(R$2, Percentiles!$A$45:$I$59, 8, FALSE), perc_85, perc_75 + (perc_90 - perc_75) * (2/3), converted_stat, '2K_Ratings'!R802, IF(bbgm_stat &gt;= perc_95, converted_stat * 3, IF(bbgm_stat &gt;= perc_90, converted_stat * 2, IF(bbgm_stat &gt;= perc_85, converted_stat * 1.5, converted_stat)))))</f>
        <v/>
      </c>
      <c r="S802" s="30" t="str">
        <f t="array" ref="S802">IF($A802="", "", LET(bbgm_stat, INDEX(Players!$A801:$P801, MATCH(S$2, Players!$A$1:$P$1, 0)), perc_75, VLOOKUP(S$2, Percentiles!$A$45:$I$59, 6, FALSE), perc_90, VLOOKUP(S$2, Percentiles!$A$45:$I$59, 7, FALSE), perc_95, VLOOKUP(S$2, Percentiles!$A$45:$I$59, 8, FALSE), perc_85, perc_75 + (perc_90 - perc_75) * (2/3), converted_stat, '2K_Ratings'!S802, IF(bbgm_stat &gt;= perc_95, converted_stat * 3, IF(bbgm_stat &gt;= perc_90, converted_stat * 2, IF(bbgm_stat &gt;= perc_85, converted_stat * 1.5, converted_stat)))))</f>
        <v/>
      </c>
      <c r="T802" s="30" t="str">
        <f t="array" ref="T802">IF($A802="", "", LET(bbgm_stat, INDEX(Players!$A801:$P801, MATCH(T$2, Players!$A$1:$P$1, 0)), perc_75, VLOOKUP(T$2, Percentiles!$A$45:$I$59, 6, FALSE), perc_90, VLOOKUP(T$2, Percentiles!$A$45:$I$59, 7, FALSE), perc_95, VLOOKUP(T$2, Percentiles!$A$45:$I$59, 8, FALSE), perc_85, perc_75 + (perc_90 - perc_75) * (2/3), converted_stat, '2K_Ratings'!T802, IF(bbgm_stat &gt;= perc_95, converted_stat * 3, IF(bbgm_stat &gt;= perc_90, converted_stat * 2, IF(bbgm_stat &gt;= perc_85, converted_stat * 1.5, converted_stat)))))</f>
        <v/>
      </c>
      <c r="U802" s="30" t="str">
        <f t="array" ref="U802">IF($A802="", "", LET(bbgm_stat, INDEX(Players!$A801:$P801, MATCH(U$2, Players!$A$1:$P$1, 0)), perc_75, VLOOKUP(U$2, Percentiles!$A$45:$I$59, 6, FALSE), perc_90, VLOOKUP(U$2, Percentiles!$A$45:$I$59, 7, FALSE), perc_95, VLOOKUP(U$2, Percentiles!$A$45:$I$59, 8, FALSE), perc_85, perc_75 + (perc_90 - perc_75) * (2/3), converted_stat, '2K_Ratings'!U802, IF(bbgm_stat &gt;= perc_95, converted_stat * 3, IF(bbgm_stat &gt;= perc_90, converted_stat * 2, IF(bbgm_stat &gt;= perc_85, converted_stat * 1.5, converted_stat)))))</f>
        <v/>
      </c>
      <c r="V802" s="30" t="str">
        <f t="array" ref="V802">IF($A802="", "", LET(bbgm_stat, INDEX(Players!$A801:$P801, MATCH(V$2, Players!$A$1:$P$1, 0)), perc_75, VLOOKUP(V$2, Percentiles!$A$45:$I$59, 6, FALSE), perc_90, VLOOKUP(V$2, Percentiles!$A$45:$I$59, 7, FALSE), perc_95, VLOOKUP(V$2, Percentiles!$A$45:$I$59, 8, FALSE), perc_85, perc_75 + (perc_90 - perc_75) * (2/3), converted_stat, '2K_Ratings'!V802, IF(bbgm_stat &gt;= perc_95, converted_stat * 3, IF(bbgm_stat &gt;= perc_90, converted_stat * 2, IF(bbgm_stat &gt;= perc_85, converted_stat * 1.5, converted_stat)))))</f>
        <v/>
      </c>
      <c r="W802" s="30" t="str">
        <f t="array" ref="W802">IF($A802="", "", LET(bbgm_stat, INDEX(Players!$A801:$P801, MATCH(W$2, Players!$A$1:$P$1, 0)), perc_75, VLOOKUP(W$2, Percentiles!$A$45:$I$59, 6, FALSE), perc_90, VLOOKUP(W$2, Percentiles!$A$45:$I$59, 7, FALSE), perc_95, VLOOKUP(W$2, Percentiles!$A$45:$I$59, 8, FALSE), perc_85, perc_75 + (perc_90 - perc_75) * (2/3), converted_stat, '2K_Ratings'!W802, IF(bbgm_stat &gt;= perc_95, converted_stat * 3, IF(bbgm_stat &gt;= perc_90, converted_stat * 2, IF(bbgm_stat &gt;= perc_85, converted_stat * 1.5, converted_stat)))))</f>
        <v/>
      </c>
    </row>
    <row r="803">
      <c r="A803" s="30"/>
      <c r="B803" s="30" t="str">
        <f t="array" ref="B803">IF($A803="", "", LET(bbgm_stat, INDEX(Players!$A802:$P802, MATCH(B$2, Players!$A$1:$P$1, 0)), perc_75, VLOOKUP(B$2, Percentiles!$A$45:$I$59, 6, FALSE), perc_90, VLOOKUP(B$2, Percentiles!$A$45:$I$59, 7, FALSE), perc_95, VLOOKUP(B$2, Percentiles!$A$45:$I$59, 8, FALSE), perc_85, perc_75 + (perc_90 - perc_75) * (2/3), converted_stat, '2K_Ratings'!B803, IF(bbgm_stat &gt;= perc_95, converted_stat * 3, IF(bbgm_stat &gt;= perc_90, converted_stat * 2, IF(bbgm_stat &gt;= perc_85, converted_stat * 1.5, converted_stat)))))</f>
        <v/>
      </c>
      <c r="C803" s="30" t="str">
        <f t="array" ref="C803">IF($A803="", "", LET(bbgm_stat, INDEX(Players!$A802:$P802, MATCH(C$2, Players!$A$1:$P$1, 0)), perc_75, VLOOKUP(C$2, Percentiles!$A$45:$I$59, 6, FALSE), perc_90, VLOOKUP(C$2, Percentiles!$A$45:$I$59, 7, FALSE), perc_95, VLOOKUP(C$2, Percentiles!$A$45:$I$59, 8, FALSE), perc_85, perc_75 + (perc_90 - perc_75) * (2/3), converted_stat, '2K_Ratings'!C803, IF(bbgm_stat &gt;= perc_95, converted_stat * 3, IF(bbgm_stat &gt;= perc_90, converted_stat * 2, IF(bbgm_stat &gt;= perc_85, converted_stat * 1.5, converted_stat)))))</f>
        <v/>
      </c>
      <c r="D803" s="30" t="str">
        <f t="array" ref="D803">IF($A803="", "", LET(bbgm_stat, INDEX(Players!$A802:$P802, MATCH(D$2, Players!$A$1:$P$1, 0)), perc_75, VLOOKUP(D$2, Percentiles!$A$45:$I$59, 6, FALSE), perc_90, VLOOKUP(D$2, Percentiles!$A$45:$I$59, 7, FALSE), perc_95, VLOOKUP(D$2, Percentiles!$A$45:$I$59, 8, FALSE), perc_85, perc_75 + (perc_90 - perc_75) * (2/3), converted_stat, '2K_Ratings'!D803, IF(bbgm_stat &gt;= perc_95, converted_stat * 3, IF(bbgm_stat &gt;= perc_90, converted_stat * 2, IF(bbgm_stat &gt;= perc_85, converted_stat * 1.5, converted_stat)))))</f>
        <v/>
      </c>
      <c r="E803" s="30" t="str">
        <f t="array" ref="E803">IF($A803="", "", LET(bbgm_stat, INDEX(Players!$A802:$P802, MATCH(E$2, Players!$A$1:$P$1, 0)), perc_75, VLOOKUP(E$2, Percentiles!$A$45:$I$59, 6, FALSE), perc_90, VLOOKUP(E$2, Percentiles!$A$45:$I$59, 7, FALSE), perc_95, VLOOKUP(E$2, Percentiles!$A$45:$I$59, 8, FALSE), perc_85, perc_75 + (perc_90 - perc_75) * (2/3), converted_stat, '2K_Ratings'!E803, IF(bbgm_stat &gt;= perc_95, converted_stat * 3, IF(bbgm_stat &gt;= perc_90, converted_stat * 2, IF(bbgm_stat &gt;= perc_85, converted_stat * 1.5, converted_stat)))))</f>
        <v/>
      </c>
      <c r="F803" s="30" t="str">
        <f t="array" ref="F803">IF($A803="", "", LET(bbgm_stat, INDEX(Players!$A802:$P802, MATCH(F$2, Players!$A$1:$P$1, 0)), perc_75, VLOOKUP(F$2, Percentiles!$A$45:$I$59, 6, FALSE), perc_90, VLOOKUP(F$2, Percentiles!$A$45:$I$59, 7, FALSE), perc_95, VLOOKUP(F$2, Percentiles!$A$45:$I$59, 8, FALSE), perc_85, perc_75 + (perc_90 - perc_75) * (2/3), converted_stat, '2K_Ratings'!F803, IF(bbgm_stat &gt;= perc_95, converted_stat * 3, IF(bbgm_stat &gt;= perc_90, converted_stat * 2, IF(bbgm_stat &gt;= perc_85, converted_stat * 1.5, converted_stat)))))</f>
        <v/>
      </c>
      <c r="G803" s="30" t="str">
        <f t="array" ref="G803">IF($A803="", "", LET(bbgm_stat, INDEX(Players!$A802:$P802, MATCH(G$2, Players!$A$1:$P$1, 0)), perc_75, VLOOKUP(G$2, Percentiles!$A$45:$I$59, 6, FALSE), perc_90, VLOOKUP(G$2, Percentiles!$A$45:$I$59, 7, FALSE), perc_95, VLOOKUP(G$2, Percentiles!$A$45:$I$59, 8, FALSE), perc_85, perc_75 + (perc_90 - perc_75) * (2/3), converted_stat, '2K_Ratings'!G803, IF(bbgm_stat &gt;= perc_95, converted_stat * 3, IF(bbgm_stat &gt;= perc_90, converted_stat * 2, IF(bbgm_stat &gt;= perc_85, converted_stat * 1.5, converted_stat)))))</f>
        <v/>
      </c>
      <c r="H803" s="30" t="str">
        <f t="array" ref="H803">IF($A803="", "", LET(bbgm_stat, INDEX(Players!$A802:$P802, MATCH(H$2, Players!$A$1:$P$1, 0)), perc_75, VLOOKUP(H$2, Percentiles!$A$45:$I$59, 6, FALSE), perc_90, VLOOKUP(H$2, Percentiles!$A$45:$I$59, 7, FALSE), perc_95, VLOOKUP(H$2, Percentiles!$A$45:$I$59, 8, FALSE), perc_85, perc_75 + (perc_90 - perc_75) * (2/3), converted_stat, '2K_Ratings'!H803, IF(bbgm_stat &gt;= perc_95, converted_stat * 3, IF(bbgm_stat &gt;= perc_90, converted_stat * 2, IF(bbgm_stat &gt;= perc_85, converted_stat * 1.5, converted_stat)))))</f>
        <v/>
      </c>
      <c r="I803" s="30" t="str">
        <f t="array" ref="I803">IF($A803="", "", LET(bbgm_stat, INDEX(Players!$A802:$P802, MATCH(I$2, Players!$A$1:$P$1, 0)), perc_75, VLOOKUP(I$2, Percentiles!$A$45:$I$59, 6, FALSE), perc_90, VLOOKUP(I$2, Percentiles!$A$45:$I$59, 7, FALSE), perc_95, VLOOKUP(I$2, Percentiles!$A$45:$I$59, 8, FALSE), perc_85, perc_75 + (perc_90 - perc_75) * (2/3), converted_stat, '2K_Ratings'!I803, IF(bbgm_stat &gt;= perc_95, converted_stat * 3, IF(bbgm_stat &gt;= perc_90, converted_stat * 2, IF(bbgm_stat &gt;= perc_85, converted_stat * 1.5, converted_stat)))))</f>
        <v/>
      </c>
      <c r="J803" s="30" t="str">
        <f t="array" ref="J803">IF($A803="", "", LET(bbgm_stat, INDEX(Players!$A802:$P802, MATCH(J$2, Players!$A$1:$P$1, 0)), perc_75, VLOOKUP(J$2, Percentiles!$A$45:$I$59, 6, FALSE), perc_90, VLOOKUP(J$2, Percentiles!$A$45:$I$59, 7, FALSE), perc_95, VLOOKUP(J$2, Percentiles!$A$45:$I$59, 8, FALSE), perc_85, perc_75 + (perc_90 - perc_75) * (2/3), converted_stat, '2K_Ratings'!J803, IF(bbgm_stat &gt;= perc_95, converted_stat * 3, IF(bbgm_stat &gt;= perc_90, converted_stat * 2, IF(bbgm_stat &gt;= perc_85, converted_stat * 1.5, converted_stat)))))</f>
        <v/>
      </c>
      <c r="K803" s="30" t="str">
        <f t="array" ref="K803">IF($A803="", "", LET(bbgm_stat, INDEX(Players!$A802:$P802, MATCH(K$2, Players!$A$1:$P$1, 0)), perc_75, VLOOKUP(K$2, Percentiles!$A$45:$I$59, 6, FALSE), perc_90, VLOOKUP(K$2, Percentiles!$A$45:$I$59, 7, FALSE), perc_95, VLOOKUP(K$2, Percentiles!$A$45:$I$59, 8, FALSE), perc_85, perc_75 + (perc_90 - perc_75) * (2/3), converted_stat, '2K_Ratings'!K803, IF(bbgm_stat &gt;= perc_95, converted_stat * 3, IF(bbgm_stat &gt;= perc_90, converted_stat * 2, IF(bbgm_stat &gt;= perc_85, converted_stat * 1.5, converted_stat)))))</f>
        <v/>
      </c>
      <c r="L803" s="30" t="str">
        <f t="array" ref="L803">IF($A803="", "", LET(bbgm_stat, INDEX(Players!$A802:$P802, MATCH(L$2, Players!$A$1:$P$1, 0)), perc_75, VLOOKUP(L$2, Percentiles!$A$45:$I$59, 6, FALSE), perc_90, VLOOKUP(L$2, Percentiles!$A$45:$I$59, 7, FALSE), perc_95, VLOOKUP(L$2, Percentiles!$A$45:$I$59, 8, FALSE), perc_85, perc_75 + (perc_90 - perc_75) * (2/3), converted_stat, '2K_Ratings'!L803, IF(bbgm_stat &gt;= perc_95, converted_stat * 3, IF(bbgm_stat &gt;= perc_90, converted_stat * 2, IF(bbgm_stat &gt;= perc_85, converted_stat * 1.5, converted_stat)))))</f>
        <v/>
      </c>
      <c r="M803" s="30" t="str">
        <f t="array" ref="M803">IF($A803="", "", LET(bbgm_stat, INDEX(Players!$A802:$P802, MATCH(M$2, Players!$A$1:$P$1, 0)), perc_75, VLOOKUP(M$2, Percentiles!$A$45:$I$59, 6, FALSE), perc_90, VLOOKUP(M$2, Percentiles!$A$45:$I$59, 7, FALSE), perc_95, VLOOKUP(M$2, Percentiles!$A$45:$I$59, 8, FALSE), perc_85, perc_75 + (perc_90 - perc_75) * (2/3), converted_stat, '2K_Ratings'!M803, IF(bbgm_stat &gt;= perc_95, converted_stat * 3, IF(bbgm_stat &gt;= perc_90, converted_stat * 2, IF(bbgm_stat &gt;= perc_85, converted_stat * 1.5, converted_stat)))))</f>
        <v/>
      </c>
      <c r="N803" s="30" t="str">
        <f t="array" ref="N803">IF($A803="", "", LET(bbgm_stat, INDEX(Players!$A802:$P802, MATCH(N$2, Players!$A$1:$P$1, 0)), perc_75, VLOOKUP(N$2, Percentiles!$A$45:$I$59, 6, FALSE), perc_90, VLOOKUP(N$2, Percentiles!$A$45:$I$59, 7, FALSE), perc_95, VLOOKUP(N$2, Percentiles!$A$45:$I$59, 8, FALSE), perc_85, perc_75 + (perc_90 - perc_75) * (2/3), converted_stat, '2K_Ratings'!N803, IF(bbgm_stat &gt;= perc_95, converted_stat * 3, IF(bbgm_stat &gt;= perc_90, converted_stat * 2, IF(bbgm_stat &gt;= perc_85, converted_stat * 1.5, converted_stat)))))</f>
        <v/>
      </c>
      <c r="O803" s="30" t="str">
        <f t="array" ref="O803">IF($A803="", "", LET(bbgm_stat, INDEX(Players!$A802:$P802, MATCH(O$2, Players!$A$1:$P$1, 0)), perc_75, VLOOKUP(O$2, Percentiles!$A$45:$I$59, 6, FALSE), perc_90, VLOOKUP(O$2, Percentiles!$A$45:$I$59, 7, FALSE), perc_95, VLOOKUP(O$2, Percentiles!$A$45:$I$59, 8, FALSE), perc_85, perc_75 + (perc_90 - perc_75) * (2/3), converted_stat, '2K_Ratings'!O803, IF(bbgm_stat &gt;= perc_95, converted_stat * 3, IF(bbgm_stat &gt;= perc_90, converted_stat * 2, IF(bbgm_stat &gt;= perc_85, converted_stat * 1.5, converted_stat)))))</f>
        <v/>
      </c>
      <c r="P803" s="30" t="str">
        <f t="array" ref="P803">IF($A803="", "", LET(bbgm_stat, INDEX(Players!$A802:$P802, MATCH(P$2, Players!$A$1:$P$1, 0)), perc_75, VLOOKUP(P$2, Percentiles!$A$45:$I$59, 6, FALSE), perc_90, VLOOKUP(P$2, Percentiles!$A$45:$I$59, 7, FALSE), perc_95, VLOOKUP(P$2, Percentiles!$A$45:$I$59, 8, FALSE), perc_85, perc_75 + (perc_90 - perc_75) * (2/3), converted_stat, '2K_Ratings'!P803, IF(bbgm_stat &gt;= perc_95, converted_stat * 3, IF(bbgm_stat &gt;= perc_90, converted_stat * 2, IF(bbgm_stat &gt;= perc_85, converted_stat * 1.5, converted_stat)))))</f>
        <v/>
      </c>
      <c r="Q803" s="30" t="str">
        <f t="array" ref="Q803">IF($A803="", "", LET(bbgm_stat, INDEX(Players!$A802:$P802, MATCH(Q$2, Players!$A$1:$P$1, 0)), perc_75, VLOOKUP(Q$2, Percentiles!$A$45:$I$59, 6, FALSE), perc_90, VLOOKUP(Q$2, Percentiles!$A$45:$I$59, 7, FALSE), perc_95, VLOOKUP(Q$2, Percentiles!$A$45:$I$59, 8, FALSE), perc_85, perc_75 + (perc_90 - perc_75) * (2/3), converted_stat, '2K_Ratings'!Q803, IF(bbgm_stat &gt;= perc_95, converted_stat * 3, IF(bbgm_stat &gt;= perc_90, converted_stat * 2, IF(bbgm_stat &gt;= perc_85, converted_stat * 1.5, converted_stat)))))</f>
        <v/>
      </c>
      <c r="R803" s="30" t="str">
        <f t="array" ref="R803">IF($A803="", "", LET(bbgm_stat, INDEX(Players!$A802:$P802, MATCH(R$2, Players!$A$1:$P$1, 0)), perc_75, VLOOKUP(R$2, Percentiles!$A$45:$I$59, 6, FALSE), perc_90, VLOOKUP(R$2, Percentiles!$A$45:$I$59, 7, FALSE), perc_95, VLOOKUP(R$2, Percentiles!$A$45:$I$59, 8, FALSE), perc_85, perc_75 + (perc_90 - perc_75) * (2/3), converted_stat, '2K_Ratings'!R803, IF(bbgm_stat &gt;= perc_95, converted_stat * 3, IF(bbgm_stat &gt;= perc_90, converted_stat * 2, IF(bbgm_stat &gt;= perc_85, converted_stat * 1.5, converted_stat)))))</f>
        <v/>
      </c>
      <c r="S803" s="30" t="str">
        <f t="array" ref="S803">IF($A803="", "", LET(bbgm_stat, INDEX(Players!$A802:$P802, MATCH(S$2, Players!$A$1:$P$1, 0)), perc_75, VLOOKUP(S$2, Percentiles!$A$45:$I$59, 6, FALSE), perc_90, VLOOKUP(S$2, Percentiles!$A$45:$I$59, 7, FALSE), perc_95, VLOOKUP(S$2, Percentiles!$A$45:$I$59, 8, FALSE), perc_85, perc_75 + (perc_90 - perc_75) * (2/3), converted_stat, '2K_Ratings'!S803, IF(bbgm_stat &gt;= perc_95, converted_stat * 3, IF(bbgm_stat &gt;= perc_90, converted_stat * 2, IF(bbgm_stat &gt;= perc_85, converted_stat * 1.5, converted_stat)))))</f>
        <v/>
      </c>
      <c r="T803" s="30" t="str">
        <f t="array" ref="T803">IF($A803="", "", LET(bbgm_stat, INDEX(Players!$A802:$P802, MATCH(T$2, Players!$A$1:$P$1, 0)), perc_75, VLOOKUP(T$2, Percentiles!$A$45:$I$59, 6, FALSE), perc_90, VLOOKUP(T$2, Percentiles!$A$45:$I$59, 7, FALSE), perc_95, VLOOKUP(T$2, Percentiles!$A$45:$I$59, 8, FALSE), perc_85, perc_75 + (perc_90 - perc_75) * (2/3), converted_stat, '2K_Ratings'!T803, IF(bbgm_stat &gt;= perc_95, converted_stat * 3, IF(bbgm_stat &gt;= perc_90, converted_stat * 2, IF(bbgm_stat &gt;= perc_85, converted_stat * 1.5, converted_stat)))))</f>
        <v/>
      </c>
      <c r="U803" s="30" t="str">
        <f t="array" ref="U803">IF($A803="", "", LET(bbgm_stat, INDEX(Players!$A802:$P802, MATCH(U$2, Players!$A$1:$P$1, 0)), perc_75, VLOOKUP(U$2, Percentiles!$A$45:$I$59, 6, FALSE), perc_90, VLOOKUP(U$2, Percentiles!$A$45:$I$59, 7, FALSE), perc_95, VLOOKUP(U$2, Percentiles!$A$45:$I$59, 8, FALSE), perc_85, perc_75 + (perc_90 - perc_75) * (2/3), converted_stat, '2K_Ratings'!U803, IF(bbgm_stat &gt;= perc_95, converted_stat * 3, IF(bbgm_stat &gt;= perc_90, converted_stat * 2, IF(bbgm_stat &gt;= perc_85, converted_stat * 1.5, converted_stat)))))</f>
        <v/>
      </c>
      <c r="V803" s="30" t="str">
        <f t="array" ref="V803">IF($A803="", "", LET(bbgm_stat, INDEX(Players!$A802:$P802, MATCH(V$2, Players!$A$1:$P$1, 0)), perc_75, VLOOKUP(V$2, Percentiles!$A$45:$I$59, 6, FALSE), perc_90, VLOOKUP(V$2, Percentiles!$A$45:$I$59, 7, FALSE), perc_95, VLOOKUP(V$2, Percentiles!$A$45:$I$59, 8, FALSE), perc_85, perc_75 + (perc_90 - perc_75) * (2/3), converted_stat, '2K_Ratings'!V803, IF(bbgm_stat &gt;= perc_95, converted_stat * 3, IF(bbgm_stat &gt;= perc_90, converted_stat * 2, IF(bbgm_stat &gt;= perc_85, converted_stat * 1.5, converted_stat)))))</f>
        <v/>
      </c>
      <c r="W803" s="30" t="str">
        <f t="array" ref="W803">IF($A803="", "", LET(bbgm_stat, INDEX(Players!$A802:$P802, MATCH(W$2, Players!$A$1:$P$1, 0)), perc_75, VLOOKUP(W$2, Percentiles!$A$45:$I$59, 6, FALSE), perc_90, VLOOKUP(W$2, Percentiles!$A$45:$I$59, 7, FALSE), perc_95, VLOOKUP(W$2, Percentiles!$A$45:$I$59, 8, FALSE), perc_85, perc_75 + (perc_90 - perc_75) * (2/3), converted_stat, '2K_Ratings'!W803, IF(bbgm_stat &gt;= perc_95, converted_stat * 3, IF(bbgm_stat &gt;= perc_90, converted_stat * 2, IF(bbgm_stat &gt;= perc_85, converted_stat * 1.5, converted_stat)))))</f>
        <v/>
      </c>
    </row>
    <row r="804">
      <c r="A804" s="30"/>
      <c r="B804" s="30" t="str">
        <f t="array" ref="B804">IF($A804="", "", LET(bbgm_stat, INDEX(Players!$A803:$P803, MATCH(B$2, Players!$A$1:$P$1, 0)), perc_75, VLOOKUP(B$2, Percentiles!$A$45:$I$59, 6, FALSE), perc_90, VLOOKUP(B$2, Percentiles!$A$45:$I$59, 7, FALSE), perc_95, VLOOKUP(B$2, Percentiles!$A$45:$I$59, 8, FALSE), perc_85, perc_75 + (perc_90 - perc_75) * (2/3), converted_stat, '2K_Ratings'!B804, IF(bbgm_stat &gt;= perc_95, converted_stat * 3, IF(bbgm_stat &gt;= perc_90, converted_stat * 2, IF(bbgm_stat &gt;= perc_85, converted_stat * 1.5, converted_stat)))))</f>
        <v/>
      </c>
      <c r="C804" s="30" t="str">
        <f t="array" ref="C804">IF($A804="", "", LET(bbgm_stat, INDEX(Players!$A803:$P803, MATCH(C$2, Players!$A$1:$P$1, 0)), perc_75, VLOOKUP(C$2, Percentiles!$A$45:$I$59, 6, FALSE), perc_90, VLOOKUP(C$2, Percentiles!$A$45:$I$59, 7, FALSE), perc_95, VLOOKUP(C$2, Percentiles!$A$45:$I$59, 8, FALSE), perc_85, perc_75 + (perc_90 - perc_75) * (2/3), converted_stat, '2K_Ratings'!C804, IF(bbgm_stat &gt;= perc_95, converted_stat * 3, IF(bbgm_stat &gt;= perc_90, converted_stat * 2, IF(bbgm_stat &gt;= perc_85, converted_stat * 1.5, converted_stat)))))</f>
        <v/>
      </c>
      <c r="D804" s="30" t="str">
        <f t="array" ref="D804">IF($A804="", "", LET(bbgm_stat, INDEX(Players!$A803:$P803, MATCH(D$2, Players!$A$1:$P$1, 0)), perc_75, VLOOKUP(D$2, Percentiles!$A$45:$I$59, 6, FALSE), perc_90, VLOOKUP(D$2, Percentiles!$A$45:$I$59, 7, FALSE), perc_95, VLOOKUP(D$2, Percentiles!$A$45:$I$59, 8, FALSE), perc_85, perc_75 + (perc_90 - perc_75) * (2/3), converted_stat, '2K_Ratings'!D804, IF(bbgm_stat &gt;= perc_95, converted_stat * 3, IF(bbgm_stat &gt;= perc_90, converted_stat * 2, IF(bbgm_stat &gt;= perc_85, converted_stat * 1.5, converted_stat)))))</f>
        <v/>
      </c>
      <c r="E804" s="30" t="str">
        <f t="array" ref="E804">IF($A804="", "", LET(bbgm_stat, INDEX(Players!$A803:$P803, MATCH(E$2, Players!$A$1:$P$1, 0)), perc_75, VLOOKUP(E$2, Percentiles!$A$45:$I$59, 6, FALSE), perc_90, VLOOKUP(E$2, Percentiles!$A$45:$I$59, 7, FALSE), perc_95, VLOOKUP(E$2, Percentiles!$A$45:$I$59, 8, FALSE), perc_85, perc_75 + (perc_90 - perc_75) * (2/3), converted_stat, '2K_Ratings'!E804, IF(bbgm_stat &gt;= perc_95, converted_stat * 3, IF(bbgm_stat &gt;= perc_90, converted_stat * 2, IF(bbgm_stat &gt;= perc_85, converted_stat * 1.5, converted_stat)))))</f>
        <v/>
      </c>
      <c r="F804" s="30" t="str">
        <f t="array" ref="F804">IF($A804="", "", LET(bbgm_stat, INDEX(Players!$A803:$P803, MATCH(F$2, Players!$A$1:$P$1, 0)), perc_75, VLOOKUP(F$2, Percentiles!$A$45:$I$59, 6, FALSE), perc_90, VLOOKUP(F$2, Percentiles!$A$45:$I$59, 7, FALSE), perc_95, VLOOKUP(F$2, Percentiles!$A$45:$I$59, 8, FALSE), perc_85, perc_75 + (perc_90 - perc_75) * (2/3), converted_stat, '2K_Ratings'!F804, IF(bbgm_stat &gt;= perc_95, converted_stat * 3, IF(bbgm_stat &gt;= perc_90, converted_stat * 2, IF(bbgm_stat &gt;= perc_85, converted_stat * 1.5, converted_stat)))))</f>
        <v/>
      </c>
      <c r="G804" s="30" t="str">
        <f t="array" ref="G804">IF($A804="", "", LET(bbgm_stat, INDEX(Players!$A803:$P803, MATCH(G$2, Players!$A$1:$P$1, 0)), perc_75, VLOOKUP(G$2, Percentiles!$A$45:$I$59, 6, FALSE), perc_90, VLOOKUP(G$2, Percentiles!$A$45:$I$59, 7, FALSE), perc_95, VLOOKUP(G$2, Percentiles!$A$45:$I$59, 8, FALSE), perc_85, perc_75 + (perc_90 - perc_75) * (2/3), converted_stat, '2K_Ratings'!G804, IF(bbgm_stat &gt;= perc_95, converted_stat * 3, IF(bbgm_stat &gt;= perc_90, converted_stat * 2, IF(bbgm_stat &gt;= perc_85, converted_stat * 1.5, converted_stat)))))</f>
        <v/>
      </c>
      <c r="H804" s="30" t="str">
        <f t="array" ref="H804">IF($A804="", "", LET(bbgm_stat, INDEX(Players!$A803:$P803, MATCH(H$2, Players!$A$1:$P$1, 0)), perc_75, VLOOKUP(H$2, Percentiles!$A$45:$I$59, 6, FALSE), perc_90, VLOOKUP(H$2, Percentiles!$A$45:$I$59, 7, FALSE), perc_95, VLOOKUP(H$2, Percentiles!$A$45:$I$59, 8, FALSE), perc_85, perc_75 + (perc_90 - perc_75) * (2/3), converted_stat, '2K_Ratings'!H804, IF(bbgm_stat &gt;= perc_95, converted_stat * 3, IF(bbgm_stat &gt;= perc_90, converted_stat * 2, IF(bbgm_stat &gt;= perc_85, converted_stat * 1.5, converted_stat)))))</f>
        <v/>
      </c>
      <c r="I804" s="30" t="str">
        <f t="array" ref="I804">IF($A804="", "", LET(bbgm_stat, INDEX(Players!$A803:$P803, MATCH(I$2, Players!$A$1:$P$1, 0)), perc_75, VLOOKUP(I$2, Percentiles!$A$45:$I$59, 6, FALSE), perc_90, VLOOKUP(I$2, Percentiles!$A$45:$I$59, 7, FALSE), perc_95, VLOOKUP(I$2, Percentiles!$A$45:$I$59, 8, FALSE), perc_85, perc_75 + (perc_90 - perc_75) * (2/3), converted_stat, '2K_Ratings'!I804, IF(bbgm_stat &gt;= perc_95, converted_stat * 3, IF(bbgm_stat &gt;= perc_90, converted_stat * 2, IF(bbgm_stat &gt;= perc_85, converted_stat * 1.5, converted_stat)))))</f>
        <v/>
      </c>
      <c r="J804" s="30" t="str">
        <f t="array" ref="J804">IF($A804="", "", LET(bbgm_stat, INDEX(Players!$A803:$P803, MATCH(J$2, Players!$A$1:$P$1, 0)), perc_75, VLOOKUP(J$2, Percentiles!$A$45:$I$59, 6, FALSE), perc_90, VLOOKUP(J$2, Percentiles!$A$45:$I$59, 7, FALSE), perc_95, VLOOKUP(J$2, Percentiles!$A$45:$I$59, 8, FALSE), perc_85, perc_75 + (perc_90 - perc_75) * (2/3), converted_stat, '2K_Ratings'!J804, IF(bbgm_stat &gt;= perc_95, converted_stat * 3, IF(bbgm_stat &gt;= perc_90, converted_stat * 2, IF(bbgm_stat &gt;= perc_85, converted_stat * 1.5, converted_stat)))))</f>
        <v/>
      </c>
      <c r="K804" s="30" t="str">
        <f t="array" ref="K804">IF($A804="", "", LET(bbgm_stat, INDEX(Players!$A803:$P803, MATCH(K$2, Players!$A$1:$P$1, 0)), perc_75, VLOOKUP(K$2, Percentiles!$A$45:$I$59, 6, FALSE), perc_90, VLOOKUP(K$2, Percentiles!$A$45:$I$59, 7, FALSE), perc_95, VLOOKUP(K$2, Percentiles!$A$45:$I$59, 8, FALSE), perc_85, perc_75 + (perc_90 - perc_75) * (2/3), converted_stat, '2K_Ratings'!K804, IF(bbgm_stat &gt;= perc_95, converted_stat * 3, IF(bbgm_stat &gt;= perc_90, converted_stat * 2, IF(bbgm_stat &gt;= perc_85, converted_stat * 1.5, converted_stat)))))</f>
        <v/>
      </c>
      <c r="L804" s="30" t="str">
        <f t="array" ref="L804">IF($A804="", "", LET(bbgm_stat, INDEX(Players!$A803:$P803, MATCH(L$2, Players!$A$1:$P$1, 0)), perc_75, VLOOKUP(L$2, Percentiles!$A$45:$I$59, 6, FALSE), perc_90, VLOOKUP(L$2, Percentiles!$A$45:$I$59, 7, FALSE), perc_95, VLOOKUP(L$2, Percentiles!$A$45:$I$59, 8, FALSE), perc_85, perc_75 + (perc_90 - perc_75) * (2/3), converted_stat, '2K_Ratings'!L804, IF(bbgm_stat &gt;= perc_95, converted_stat * 3, IF(bbgm_stat &gt;= perc_90, converted_stat * 2, IF(bbgm_stat &gt;= perc_85, converted_stat * 1.5, converted_stat)))))</f>
        <v/>
      </c>
      <c r="M804" s="30" t="str">
        <f t="array" ref="M804">IF($A804="", "", LET(bbgm_stat, INDEX(Players!$A803:$P803, MATCH(M$2, Players!$A$1:$P$1, 0)), perc_75, VLOOKUP(M$2, Percentiles!$A$45:$I$59, 6, FALSE), perc_90, VLOOKUP(M$2, Percentiles!$A$45:$I$59, 7, FALSE), perc_95, VLOOKUP(M$2, Percentiles!$A$45:$I$59, 8, FALSE), perc_85, perc_75 + (perc_90 - perc_75) * (2/3), converted_stat, '2K_Ratings'!M804, IF(bbgm_stat &gt;= perc_95, converted_stat * 3, IF(bbgm_stat &gt;= perc_90, converted_stat * 2, IF(bbgm_stat &gt;= perc_85, converted_stat * 1.5, converted_stat)))))</f>
        <v/>
      </c>
      <c r="N804" s="30" t="str">
        <f t="array" ref="N804">IF($A804="", "", LET(bbgm_stat, INDEX(Players!$A803:$P803, MATCH(N$2, Players!$A$1:$P$1, 0)), perc_75, VLOOKUP(N$2, Percentiles!$A$45:$I$59, 6, FALSE), perc_90, VLOOKUP(N$2, Percentiles!$A$45:$I$59, 7, FALSE), perc_95, VLOOKUP(N$2, Percentiles!$A$45:$I$59, 8, FALSE), perc_85, perc_75 + (perc_90 - perc_75) * (2/3), converted_stat, '2K_Ratings'!N804, IF(bbgm_stat &gt;= perc_95, converted_stat * 3, IF(bbgm_stat &gt;= perc_90, converted_stat * 2, IF(bbgm_stat &gt;= perc_85, converted_stat * 1.5, converted_stat)))))</f>
        <v/>
      </c>
      <c r="O804" s="30" t="str">
        <f t="array" ref="O804">IF($A804="", "", LET(bbgm_stat, INDEX(Players!$A803:$P803, MATCH(O$2, Players!$A$1:$P$1, 0)), perc_75, VLOOKUP(O$2, Percentiles!$A$45:$I$59, 6, FALSE), perc_90, VLOOKUP(O$2, Percentiles!$A$45:$I$59, 7, FALSE), perc_95, VLOOKUP(O$2, Percentiles!$A$45:$I$59, 8, FALSE), perc_85, perc_75 + (perc_90 - perc_75) * (2/3), converted_stat, '2K_Ratings'!O804, IF(bbgm_stat &gt;= perc_95, converted_stat * 3, IF(bbgm_stat &gt;= perc_90, converted_stat * 2, IF(bbgm_stat &gt;= perc_85, converted_stat * 1.5, converted_stat)))))</f>
        <v/>
      </c>
      <c r="P804" s="30" t="str">
        <f t="array" ref="P804">IF($A804="", "", LET(bbgm_stat, INDEX(Players!$A803:$P803, MATCH(P$2, Players!$A$1:$P$1, 0)), perc_75, VLOOKUP(P$2, Percentiles!$A$45:$I$59, 6, FALSE), perc_90, VLOOKUP(P$2, Percentiles!$A$45:$I$59, 7, FALSE), perc_95, VLOOKUP(P$2, Percentiles!$A$45:$I$59, 8, FALSE), perc_85, perc_75 + (perc_90 - perc_75) * (2/3), converted_stat, '2K_Ratings'!P804, IF(bbgm_stat &gt;= perc_95, converted_stat * 3, IF(bbgm_stat &gt;= perc_90, converted_stat * 2, IF(bbgm_stat &gt;= perc_85, converted_stat * 1.5, converted_stat)))))</f>
        <v/>
      </c>
      <c r="Q804" s="30" t="str">
        <f t="array" ref="Q804">IF($A804="", "", LET(bbgm_stat, INDEX(Players!$A803:$P803, MATCH(Q$2, Players!$A$1:$P$1, 0)), perc_75, VLOOKUP(Q$2, Percentiles!$A$45:$I$59, 6, FALSE), perc_90, VLOOKUP(Q$2, Percentiles!$A$45:$I$59, 7, FALSE), perc_95, VLOOKUP(Q$2, Percentiles!$A$45:$I$59, 8, FALSE), perc_85, perc_75 + (perc_90 - perc_75) * (2/3), converted_stat, '2K_Ratings'!Q804, IF(bbgm_stat &gt;= perc_95, converted_stat * 3, IF(bbgm_stat &gt;= perc_90, converted_stat * 2, IF(bbgm_stat &gt;= perc_85, converted_stat * 1.5, converted_stat)))))</f>
        <v/>
      </c>
      <c r="R804" s="30" t="str">
        <f t="array" ref="R804">IF($A804="", "", LET(bbgm_stat, INDEX(Players!$A803:$P803, MATCH(R$2, Players!$A$1:$P$1, 0)), perc_75, VLOOKUP(R$2, Percentiles!$A$45:$I$59, 6, FALSE), perc_90, VLOOKUP(R$2, Percentiles!$A$45:$I$59, 7, FALSE), perc_95, VLOOKUP(R$2, Percentiles!$A$45:$I$59, 8, FALSE), perc_85, perc_75 + (perc_90 - perc_75) * (2/3), converted_stat, '2K_Ratings'!R804, IF(bbgm_stat &gt;= perc_95, converted_stat * 3, IF(bbgm_stat &gt;= perc_90, converted_stat * 2, IF(bbgm_stat &gt;= perc_85, converted_stat * 1.5, converted_stat)))))</f>
        <v/>
      </c>
      <c r="S804" s="30" t="str">
        <f t="array" ref="S804">IF($A804="", "", LET(bbgm_stat, INDEX(Players!$A803:$P803, MATCH(S$2, Players!$A$1:$P$1, 0)), perc_75, VLOOKUP(S$2, Percentiles!$A$45:$I$59, 6, FALSE), perc_90, VLOOKUP(S$2, Percentiles!$A$45:$I$59, 7, FALSE), perc_95, VLOOKUP(S$2, Percentiles!$A$45:$I$59, 8, FALSE), perc_85, perc_75 + (perc_90 - perc_75) * (2/3), converted_stat, '2K_Ratings'!S804, IF(bbgm_stat &gt;= perc_95, converted_stat * 3, IF(bbgm_stat &gt;= perc_90, converted_stat * 2, IF(bbgm_stat &gt;= perc_85, converted_stat * 1.5, converted_stat)))))</f>
        <v/>
      </c>
      <c r="T804" s="30" t="str">
        <f t="array" ref="T804">IF($A804="", "", LET(bbgm_stat, INDEX(Players!$A803:$P803, MATCH(T$2, Players!$A$1:$P$1, 0)), perc_75, VLOOKUP(T$2, Percentiles!$A$45:$I$59, 6, FALSE), perc_90, VLOOKUP(T$2, Percentiles!$A$45:$I$59, 7, FALSE), perc_95, VLOOKUP(T$2, Percentiles!$A$45:$I$59, 8, FALSE), perc_85, perc_75 + (perc_90 - perc_75) * (2/3), converted_stat, '2K_Ratings'!T804, IF(bbgm_stat &gt;= perc_95, converted_stat * 3, IF(bbgm_stat &gt;= perc_90, converted_stat * 2, IF(bbgm_stat &gt;= perc_85, converted_stat * 1.5, converted_stat)))))</f>
        <v/>
      </c>
      <c r="U804" s="30" t="str">
        <f t="array" ref="U804">IF($A804="", "", LET(bbgm_stat, INDEX(Players!$A803:$P803, MATCH(U$2, Players!$A$1:$P$1, 0)), perc_75, VLOOKUP(U$2, Percentiles!$A$45:$I$59, 6, FALSE), perc_90, VLOOKUP(U$2, Percentiles!$A$45:$I$59, 7, FALSE), perc_95, VLOOKUP(U$2, Percentiles!$A$45:$I$59, 8, FALSE), perc_85, perc_75 + (perc_90 - perc_75) * (2/3), converted_stat, '2K_Ratings'!U804, IF(bbgm_stat &gt;= perc_95, converted_stat * 3, IF(bbgm_stat &gt;= perc_90, converted_stat * 2, IF(bbgm_stat &gt;= perc_85, converted_stat * 1.5, converted_stat)))))</f>
        <v/>
      </c>
      <c r="V804" s="30" t="str">
        <f t="array" ref="V804">IF($A804="", "", LET(bbgm_stat, INDEX(Players!$A803:$P803, MATCH(V$2, Players!$A$1:$P$1, 0)), perc_75, VLOOKUP(V$2, Percentiles!$A$45:$I$59, 6, FALSE), perc_90, VLOOKUP(V$2, Percentiles!$A$45:$I$59, 7, FALSE), perc_95, VLOOKUP(V$2, Percentiles!$A$45:$I$59, 8, FALSE), perc_85, perc_75 + (perc_90 - perc_75) * (2/3), converted_stat, '2K_Ratings'!V804, IF(bbgm_stat &gt;= perc_95, converted_stat * 3, IF(bbgm_stat &gt;= perc_90, converted_stat * 2, IF(bbgm_stat &gt;= perc_85, converted_stat * 1.5, converted_stat)))))</f>
        <v/>
      </c>
      <c r="W804" s="30" t="str">
        <f t="array" ref="W804">IF($A804="", "", LET(bbgm_stat, INDEX(Players!$A803:$P803, MATCH(W$2, Players!$A$1:$P$1, 0)), perc_75, VLOOKUP(W$2, Percentiles!$A$45:$I$59, 6, FALSE), perc_90, VLOOKUP(W$2, Percentiles!$A$45:$I$59, 7, FALSE), perc_95, VLOOKUP(W$2, Percentiles!$A$45:$I$59, 8, FALSE), perc_85, perc_75 + (perc_90 - perc_75) * (2/3), converted_stat, '2K_Ratings'!W804, IF(bbgm_stat &gt;= perc_95, converted_stat * 3, IF(bbgm_stat &gt;= perc_90, converted_stat * 2, IF(bbgm_stat &gt;= perc_85, converted_stat * 1.5, converted_stat)))))</f>
        <v/>
      </c>
    </row>
    <row r="805">
      <c r="A805" s="30"/>
      <c r="B805" s="30" t="str">
        <f t="array" ref="B805">IF($A805="", "", LET(bbgm_stat, INDEX(Players!$A804:$P804, MATCH(B$2, Players!$A$1:$P$1, 0)), perc_75, VLOOKUP(B$2, Percentiles!$A$45:$I$59, 6, FALSE), perc_90, VLOOKUP(B$2, Percentiles!$A$45:$I$59, 7, FALSE), perc_95, VLOOKUP(B$2, Percentiles!$A$45:$I$59, 8, FALSE), perc_85, perc_75 + (perc_90 - perc_75) * (2/3), converted_stat, '2K_Ratings'!B805, IF(bbgm_stat &gt;= perc_95, converted_stat * 3, IF(bbgm_stat &gt;= perc_90, converted_stat * 2, IF(bbgm_stat &gt;= perc_85, converted_stat * 1.5, converted_stat)))))</f>
        <v/>
      </c>
      <c r="C805" s="30" t="str">
        <f t="array" ref="C805">IF($A805="", "", LET(bbgm_stat, INDEX(Players!$A804:$P804, MATCH(C$2, Players!$A$1:$P$1, 0)), perc_75, VLOOKUP(C$2, Percentiles!$A$45:$I$59, 6, FALSE), perc_90, VLOOKUP(C$2, Percentiles!$A$45:$I$59, 7, FALSE), perc_95, VLOOKUP(C$2, Percentiles!$A$45:$I$59, 8, FALSE), perc_85, perc_75 + (perc_90 - perc_75) * (2/3), converted_stat, '2K_Ratings'!C805, IF(bbgm_stat &gt;= perc_95, converted_stat * 3, IF(bbgm_stat &gt;= perc_90, converted_stat * 2, IF(bbgm_stat &gt;= perc_85, converted_stat * 1.5, converted_stat)))))</f>
        <v/>
      </c>
      <c r="D805" s="30" t="str">
        <f t="array" ref="D805">IF($A805="", "", LET(bbgm_stat, INDEX(Players!$A804:$P804, MATCH(D$2, Players!$A$1:$P$1, 0)), perc_75, VLOOKUP(D$2, Percentiles!$A$45:$I$59, 6, FALSE), perc_90, VLOOKUP(D$2, Percentiles!$A$45:$I$59, 7, FALSE), perc_95, VLOOKUP(D$2, Percentiles!$A$45:$I$59, 8, FALSE), perc_85, perc_75 + (perc_90 - perc_75) * (2/3), converted_stat, '2K_Ratings'!D805, IF(bbgm_stat &gt;= perc_95, converted_stat * 3, IF(bbgm_stat &gt;= perc_90, converted_stat * 2, IF(bbgm_stat &gt;= perc_85, converted_stat * 1.5, converted_stat)))))</f>
        <v/>
      </c>
      <c r="E805" s="30" t="str">
        <f t="array" ref="E805">IF($A805="", "", LET(bbgm_stat, INDEX(Players!$A804:$P804, MATCH(E$2, Players!$A$1:$P$1, 0)), perc_75, VLOOKUP(E$2, Percentiles!$A$45:$I$59, 6, FALSE), perc_90, VLOOKUP(E$2, Percentiles!$A$45:$I$59, 7, FALSE), perc_95, VLOOKUP(E$2, Percentiles!$A$45:$I$59, 8, FALSE), perc_85, perc_75 + (perc_90 - perc_75) * (2/3), converted_stat, '2K_Ratings'!E805, IF(bbgm_stat &gt;= perc_95, converted_stat * 3, IF(bbgm_stat &gt;= perc_90, converted_stat * 2, IF(bbgm_stat &gt;= perc_85, converted_stat * 1.5, converted_stat)))))</f>
        <v/>
      </c>
      <c r="F805" s="30" t="str">
        <f t="array" ref="F805">IF($A805="", "", LET(bbgm_stat, INDEX(Players!$A804:$P804, MATCH(F$2, Players!$A$1:$P$1, 0)), perc_75, VLOOKUP(F$2, Percentiles!$A$45:$I$59, 6, FALSE), perc_90, VLOOKUP(F$2, Percentiles!$A$45:$I$59, 7, FALSE), perc_95, VLOOKUP(F$2, Percentiles!$A$45:$I$59, 8, FALSE), perc_85, perc_75 + (perc_90 - perc_75) * (2/3), converted_stat, '2K_Ratings'!F805, IF(bbgm_stat &gt;= perc_95, converted_stat * 3, IF(bbgm_stat &gt;= perc_90, converted_stat * 2, IF(bbgm_stat &gt;= perc_85, converted_stat * 1.5, converted_stat)))))</f>
        <v/>
      </c>
      <c r="G805" s="30" t="str">
        <f t="array" ref="G805">IF($A805="", "", LET(bbgm_stat, INDEX(Players!$A804:$P804, MATCH(G$2, Players!$A$1:$P$1, 0)), perc_75, VLOOKUP(G$2, Percentiles!$A$45:$I$59, 6, FALSE), perc_90, VLOOKUP(G$2, Percentiles!$A$45:$I$59, 7, FALSE), perc_95, VLOOKUP(G$2, Percentiles!$A$45:$I$59, 8, FALSE), perc_85, perc_75 + (perc_90 - perc_75) * (2/3), converted_stat, '2K_Ratings'!G805, IF(bbgm_stat &gt;= perc_95, converted_stat * 3, IF(bbgm_stat &gt;= perc_90, converted_stat * 2, IF(bbgm_stat &gt;= perc_85, converted_stat * 1.5, converted_stat)))))</f>
        <v/>
      </c>
      <c r="H805" s="30" t="str">
        <f t="array" ref="H805">IF($A805="", "", LET(bbgm_stat, INDEX(Players!$A804:$P804, MATCH(H$2, Players!$A$1:$P$1, 0)), perc_75, VLOOKUP(H$2, Percentiles!$A$45:$I$59, 6, FALSE), perc_90, VLOOKUP(H$2, Percentiles!$A$45:$I$59, 7, FALSE), perc_95, VLOOKUP(H$2, Percentiles!$A$45:$I$59, 8, FALSE), perc_85, perc_75 + (perc_90 - perc_75) * (2/3), converted_stat, '2K_Ratings'!H805, IF(bbgm_stat &gt;= perc_95, converted_stat * 3, IF(bbgm_stat &gt;= perc_90, converted_stat * 2, IF(bbgm_stat &gt;= perc_85, converted_stat * 1.5, converted_stat)))))</f>
        <v/>
      </c>
      <c r="I805" s="30" t="str">
        <f t="array" ref="I805">IF($A805="", "", LET(bbgm_stat, INDEX(Players!$A804:$P804, MATCH(I$2, Players!$A$1:$P$1, 0)), perc_75, VLOOKUP(I$2, Percentiles!$A$45:$I$59, 6, FALSE), perc_90, VLOOKUP(I$2, Percentiles!$A$45:$I$59, 7, FALSE), perc_95, VLOOKUP(I$2, Percentiles!$A$45:$I$59, 8, FALSE), perc_85, perc_75 + (perc_90 - perc_75) * (2/3), converted_stat, '2K_Ratings'!I805, IF(bbgm_stat &gt;= perc_95, converted_stat * 3, IF(bbgm_stat &gt;= perc_90, converted_stat * 2, IF(bbgm_stat &gt;= perc_85, converted_stat * 1.5, converted_stat)))))</f>
        <v/>
      </c>
      <c r="J805" s="30" t="str">
        <f t="array" ref="J805">IF($A805="", "", LET(bbgm_stat, INDEX(Players!$A804:$P804, MATCH(J$2, Players!$A$1:$P$1, 0)), perc_75, VLOOKUP(J$2, Percentiles!$A$45:$I$59, 6, FALSE), perc_90, VLOOKUP(J$2, Percentiles!$A$45:$I$59, 7, FALSE), perc_95, VLOOKUP(J$2, Percentiles!$A$45:$I$59, 8, FALSE), perc_85, perc_75 + (perc_90 - perc_75) * (2/3), converted_stat, '2K_Ratings'!J805, IF(bbgm_stat &gt;= perc_95, converted_stat * 3, IF(bbgm_stat &gt;= perc_90, converted_stat * 2, IF(bbgm_stat &gt;= perc_85, converted_stat * 1.5, converted_stat)))))</f>
        <v/>
      </c>
      <c r="K805" s="30" t="str">
        <f t="array" ref="K805">IF($A805="", "", LET(bbgm_stat, INDEX(Players!$A804:$P804, MATCH(K$2, Players!$A$1:$P$1, 0)), perc_75, VLOOKUP(K$2, Percentiles!$A$45:$I$59, 6, FALSE), perc_90, VLOOKUP(K$2, Percentiles!$A$45:$I$59, 7, FALSE), perc_95, VLOOKUP(K$2, Percentiles!$A$45:$I$59, 8, FALSE), perc_85, perc_75 + (perc_90 - perc_75) * (2/3), converted_stat, '2K_Ratings'!K805, IF(bbgm_stat &gt;= perc_95, converted_stat * 3, IF(bbgm_stat &gt;= perc_90, converted_stat * 2, IF(bbgm_stat &gt;= perc_85, converted_stat * 1.5, converted_stat)))))</f>
        <v/>
      </c>
      <c r="L805" s="30" t="str">
        <f t="array" ref="L805">IF($A805="", "", LET(bbgm_stat, INDEX(Players!$A804:$P804, MATCH(L$2, Players!$A$1:$P$1, 0)), perc_75, VLOOKUP(L$2, Percentiles!$A$45:$I$59, 6, FALSE), perc_90, VLOOKUP(L$2, Percentiles!$A$45:$I$59, 7, FALSE), perc_95, VLOOKUP(L$2, Percentiles!$A$45:$I$59, 8, FALSE), perc_85, perc_75 + (perc_90 - perc_75) * (2/3), converted_stat, '2K_Ratings'!L805, IF(bbgm_stat &gt;= perc_95, converted_stat * 3, IF(bbgm_stat &gt;= perc_90, converted_stat * 2, IF(bbgm_stat &gt;= perc_85, converted_stat * 1.5, converted_stat)))))</f>
        <v/>
      </c>
      <c r="M805" s="30" t="str">
        <f t="array" ref="M805">IF($A805="", "", LET(bbgm_stat, INDEX(Players!$A804:$P804, MATCH(M$2, Players!$A$1:$P$1, 0)), perc_75, VLOOKUP(M$2, Percentiles!$A$45:$I$59, 6, FALSE), perc_90, VLOOKUP(M$2, Percentiles!$A$45:$I$59, 7, FALSE), perc_95, VLOOKUP(M$2, Percentiles!$A$45:$I$59, 8, FALSE), perc_85, perc_75 + (perc_90 - perc_75) * (2/3), converted_stat, '2K_Ratings'!M805, IF(bbgm_stat &gt;= perc_95, converted_stat * 3, IF(bbgm_stat &gt;= perc_90, converted_stat * 2, IF(bbgm_stat &gt;= perc_85, converted_stat * 1.5, converted_stat)))))</f>
        <v/>
      </c>
      <c r="N805" s="30" t="str">
        <f t="array" ref="N805">IF($A805="", "", LET(bbgm_stat, INDEX(Players!$A804:$P804, MATCH(N$2, Players!$A$1:$P$1, 0)), perc_75, VLOOKUP(N$2, Percentiles!$A$45:$I$59, 6, FALSE), perc_90, VLOOKUP(N$2, Percentiles!$A$45:$I$59, 7, FALSE), perc_95, VLOOKUP(N$2, Percentiles!$A$45:$I$59, 8, FALSE), perc_85, perc_75 + (perc_90 - perc_75) * (2/3), converted_stat, '2K_Ratings'!N805, IF(bbgm_stat &gt;= perc_95, converted_stat * 3, IF(bbgm_stat &gt;= perc_90, converted_stat * 2, IF(bbgm_stat &gt;= perc_85, converted_stat * 1.5, converted_stat)))))</f>
        <v/>
      </c>
      <c r="O805" s="30" t="str">
        <f t="array" ref="O805">IF($A805="", "", LET(bbgm_stat, INDEX(Players!$A804:$P804, MATCH(O$2, Players!$A$1:$P$1, 0)), perc_75, VLOOKUP(O$2, Percentiles!$A$45:$I$59, 6, FALSE), perc_90, VLOOKUP(O$2, Percentiles!$A$45:$I$59, 7, FALSE), perc_95, VLOOKUP(O$2, Percentiles!$A$45:$I$59, 8, FALSE), perc_85, perc_75 + (perc_90 - perc_75) * (2/3), converted_stat, '2K_Ratings'!O805, IF(bbgm_stat &gt;= perc_95, converted_stat * 3, IF(bbgm_stat &gt;= perc_90, converted_stat * 2, IF(bbgm_stat &gt;= perc_85, converted_stat * 1.5, converted_stat)))))</f>
        <v/>
      </c>
      <c r="P805" s="30" t="str">
        <f t="array" ref="P805">IF($A805="", "", LET(bbgm_stat, INDEX(Players!$A804:$P804, MATCH(P$2, Players!$A$1:$P$1, 0)), perc_75, VLOOKUP(P$2, Percentiles!$A$45:$I$59, 6, FALSE), perc_90, VLOOKUP(P$2, Percentiles!$A$45:$I$59, 7, FALSE), perc_95, VLOOKUP(P$2, Percentiles!$A$45:$I$59, 8, FALSE), perc_85, perc_75 + (perc_90 - perc_75) * (2/3), converted_stat, '2K_Ratings'!P805, IF(bbgm_stat &gt;= perc_95, converted_stat * 3, IF(bbgm_stat &gt;= perc_90, converted_stat * 2, IF(bbgm_stat &gt;= perc_85, converted_stat * 1.5, converted_stat)))))</f>
        <v/>
      </c>
      <c r="Q805" s="30" t="str">
        <f t="array" ref="Q805">IF($A805="", "", LET(bbgm_stat, INDEX(Players!$A804:$P804, MATCH(Q$2, Players!$A$1:$P$1, 0)), perc_75, VLOOKUP(Q$2, Percentiles!$A$45:$I$59, 6, FALSE), perc_90, VLOOKUP(Q$2, Percentiles!$A$45:$I$59, 7, FALSE), perc_95, VLOOKUP(Q$2, Percentiles!$A$45:$I$59, 8, FALSE), perc_85, perc_75 + (perc_90 - perc_75) * (2/3), converted_stat, '2K_Ratings'!Q805, IF(bbgm_stat &gt;= perc_95, converted_stat * 3, IF(bbgm_stat &gt;= perc_90, converted_stat * 2, IF(bbgm_stat &gt;= perc_85, converted_stat * 1.5, converted_stat)))))</f>
        <v/>
      </c>
      <c r="R805" s="30" t="str">
        <f t="array" ref="R805">IF($A805="", "", LET(bbgm_stat, INDEX(Players!$A804:$P804, MATCH(R$2, Players!$A$1:$P$1, 0)), perc_75, VLOOKUP(R$2, Percentiles!$A$45:$I$59, 6, FALSE), perc_90, VLOOKUP(R$2, Percentiles!$A$45:$I$59, 7, FALSE), perc_95, VLOOKUP(R$2, Percentiles!$A$45:$I$59, 8, FALSE), perc_85, perc_75 + (perc_90 - perc_75) * (2/3), converted_stat, '2K_Ratings'!R805, IF(bbgm_stat &gt;= perc_95, converted_stat * 3, IF(bbgm_stat &gt;= perc_90, converted_stat * 2, IF(bbgm_stat &gt;= perc_85, converted_stat * 1.5, converted_stat)))))</f>
        <v/>
      </c>
      <c r="S805" s="30" t="str">
        <f t="array" ref="S805">IF($A805="", "", LET(bbgm_stat, INDEX(Players!$A804:$P804, MATCH(S$2, Players!$A$1:$P$1, 0)), perc_75, VLOOKUP(S$2, Percentiles!$A$45:$I$59, 6, FALSE), perc_90, VLOOKUP(S$2, Percentiles!$A$45:$I$59, 7, FALSE), perc_95, VLOOKUP(S$2, Percentiles!$A$45:$I$59, 8, FALSE), perc_85, perc_75 + (perc_90 - perc_75) * (2/3), converted_stat, '2K_Ratings'!S805, IF(bbgm_stat &gt;= perc_95, converted_stat * 3, IF(bbgm_stat &gt;= perc_90, converted_stat * 2, IF(bbgm_stat &gt;= perc_85, converted_stat * 1.5, converted_stat)))))</f>
        <v/>
      </c>
      <c r="T805" s="30" t="str">
        <f t="array" ref="T805">IF($A805="", "", LET(bbgm_stat, INDEX(Players!$A804:$P804, MATCH(T$2, Players!$A$1:$P$1, 0)), perc_75, VLOOKUP(T$2, Percentiles!$A$45:$I$59, 6, FALSE), perc_90, VLOOKUP(T$2, Percentiles!$A$45:$I$59, 7, FALSE), perc_95, VLOOKUP(T$2, Percentiles!$A$45:$I$59, 8, FALSE), perc_85, perc_75 + (perc_90 - perc_75) * (2/3), converted_stat, '2K_Ratings'!T805, IF(bbgm_stat &gt;= perc_95, converted_stat * 3, IF(bbgm_stat &gt;= perc_90, converted_stat * 2, IF(bbgm_stat &gt;= perc_85, converted_stat * 1.5, converted_stat)))))</f>
        <v/>
      </c>
      <c r="U805" s="30" t="str">
        <f t="array" ref="U805">IF($A805="", "", LET(bbgm_stat, INDEX(Players!$A804:$P804, MATCH(U$2, Players!$A$1:$P$1, 0)), perc_75, VLOOKUP(U$2, Percentiles!$A$45:$I$59, 6, FALSE), perc_90, VLOOKUP(U$2, Percentiles!$A$45:$I$59, 7, FALSE), perc_95, VLOOKUP(U$2, Percentiles!$A$45:$I$59, 8, FALSE), perc_85, perc_75 + (perc_90 - perc_75) * (2/3), converted_stat, '2K_Ratings'!U805, IF(bbgm_stat &gt;= perc_95, converted_stat * 3, IF(bbgm_stat &gt;= perc_90, converted_stat * 2, IF(bbgm_stat &gt;= perc_85, converted_stat * 1.5, converted_stat)))))</f>
        <v/>
      </c>
      <c r="V805" s="30" t="str">
        <f t="array" ref="V805">IF($A805="", "", LET(bbgm_stat, INDEX(Players!$A804:$P804, MATCH(V$2, Players!$A$1:$P$1, 0)), perc_75, VLOOKUP(V$2, Percentiles!$A$45:$I$59, 6, FALSE), perc_90, VLOOKUP(V$2, Percentiles!$A$45:$I$59, 7, FALSE), perc_95, VLOOKUP(V$2, Percentiles!$A$45:$I$59, 8, FALSE), perc_85, perc_75 + (perc_90 - perc_75) * (2/3), converted_stat, '2K_Ratings'!V805, IF(bbgm_stat &gt;= perc_95, converted_stat * 3, IF(bbgm_stat &gt;= perc_90, converted_stat * 2, IF(bbgm_stat &gt;= perc_85, converted_stat * 1.5, converted_stat)))))</f>
        <v/>
      </c>
      <c r="W805" s="30" t="str">
        <f t="array" ref="W805">IF($A805="", "", LET(bbgm_stat, INDEX(Players!$A804:$P804, MATCH(W$2, Players!$A$1:$P$1, 0)), perc_75, VLOOKUP(W$2, Percentiles!$A$45:$I$59, 6, FALSE), perc_90, VLOOKUP(W$2, Percentiles!$A$45:$I$59, 7, FALSE), perc_95, VLOOKUP(W$2, Percentiles!$A$45:$I$59, 8, FALSE), perc_85, perc_75 + (perc_90 - perc_75) * (2/3), converted_stat, '2K_Ratings'!W805, IF(bbgm_stat &gt;= perc_95, converted_stat * 3, IF(bbgm_stat &gt;= perc_90, converted_stat * 2, IF(bbgm_stat &gt;= perc_85, converted_stat * 1.5, converted_stat)))))</f>
        <v/>
      </c>
    </row>
    <row r="806">
      <c r="A806" s="30"/>
      <c r="B806" s="30" t="str">
        <f t="array" ref="B806">IF($A806="", "", LET(bbgm_stat, INDEX(Players!$A805:$P805, MATCH(B$2, Players!$A$1:$P$1, 0)), perc_75, VLOOKUP(B$2, Percentiles!$A$45:$I$59, 6, FALSE), perc_90, VLOOKUP(B$2, Percentiles!$A$45:$I$59, 7, FALSE), perc_95, VLOOKUP(B$2, Percentiles!$A$45:$I$59, 8, FALSE), perc_85, perc_75 + (perc_90 - perc_75) * (2/3), converted_stat, '2K_Ratings'!B806, IF(bbgm_stat &gt;= perc_95, converted_stat * 3, IF(bbgm_stat &gt;= perc_90, converted_stat * 2, IF(bbgm_stat &gt;= perc_85, converted_stat * 1.5, converted_stat)))))</f>
        <v/>
      </c>
      <c r="C806" s="30" t="str">
        <f t="array" ref="C806">IF($A806="", "", LET(bbgm_stat, INDEX(Players!$A805:$P805, MATCH(C$2, Players!$A$1:$P$1, 0)), perc_75, VLOOKUP(C$2, Percentiles!$A$45:$I$59, 6, FALSE), perc_90, VLOOKUP(C$2, Percentiles!$A$45:$I$59, 7, FALSE), perc_95, VLOOKUP(C$2, Percentiles!$A$45:$I$59, 8, FALSE), perc_85, perc_75 + (perc_90 - perc_75) * (2/3), converted_stat, '2K_Ratings'!C806, IF(bbgm_stat &gt;= perc_95, converted_stat * 3, IF(bbgm_stat &gt;= perc_90, converted_stat * 2, IF(bbgm_stat &gt;= perc_85, converted_stat * 1.5, converted_stat)))))</f>
        <v/>
      </c>
      <c r="D806" s="30" t="str">
        <f t="array" ref="D806">IF($A806="", "", LET(bbgm_stat, INDEX(Players!$A805:$P805, MATCH(D$2, Players!$A$1:$P$1, 0)), perc_75, VLOOKUP(D$2, Percentiles!$A$45:$I$59, 6, FALSE), perc_90, VLOOKUP(D$2, Percentiles!$A$45:$I$59, 7, FALSE), perc_95, VLOOKUP(D$2, Percentiles!$A$45:$I$59, 8, FALSE), perc_85, perc_75 + (perc_90 - perc_75) * (2/3), converted_stat, '2K_Ratings'!D806, IF(bbgm_stat &gt;= perc_95, converted_stat * 3, IF(bbgm_stat &gt;= perc_90, converted_stat * 2, IF(bbgm_stat &gt;= perc_85, converted_stat * 1.5, converted_stat)))))</f>
        <v/>
      </c>
      <c r="E806" s="30" t="str">
        <f t="array" ref="E806">IF($A806="", "", LET(bbgm_stat, INDEX(Players!$A805:$P805, MATCH(E$2, Players!$A$1:$P$1, 0)), perc_75, VLOOKUP(E$2, Percentiles!$A$45:$I$59, 6, FALSE), perc_90, VLOOKUP(E$2, Percentiles!$A$45:$I$59, 7, FALSE), perc_95, VLOOKUP(E$2, Percentiles!$A$45:$I$59, 8, FALSE), perc_85, perc_75 + (perc_90 - perc_75) * (2/3), converted_stat, '2K_Ratings'!E806, IF(bbgm_stat &gt;= perc_95, converted_stat * 3, IF(bbgm_stat &gt;= perc_90, converted_stat * 2, IF(bbgm_stat &gt;= perc_85, converted_stat * 1.5, converted_stat)))))</f>
        <v/>
      </c>
      <c r="F806" s="30" t="str">
        <f t="array" ref="F806">IF($A806="", "", LET(bbgm_stat, INDEX(Players!$A805:$P805, MATCH(F$2, Players!$A$1:$P$1, 0)), perc_75, VLOOKUP(F$2, Percentiles!$A$45:$I$59, 6, FALSE), perc_90, VLOOKUP(F$2, Percentiles!$A$45:$I$59, 7, FALSE), perc_95, VLOOKUP(F$2, Percentiles!$A$45:$I$59, 8, FALSE), perc_85, perc_75 + (perc_90 - perc_75) * (2/3), converted_stat, '2K_Ratings'!F806, IF(bbgm_stat &gt;= perc_95, converted_stat * 3, IF(bbgm_stat &gt;= perc_90, converted_stat * 2, IF(bbgm_stat &gt;= perc_85, converted_stat * 1.5, converted_stat)))))</f>
        <v/>
      </c>
      <c r="G806" s="30" t="str">
        <f t="array" ref="G806">IF($A806="", "", LET(bbgm_stat, INDEX(Players!$A805:$P805, MATCH(G$2, Players!$A$1:$P$1, 0)), perc_75, VLOOKUP(G$2, Percentiles!$A$45:$I$59, 6, FALSE), perc_90, VLOOKUP(G$2, Percentiles!$A$45:$I$59, 7, FALSE), perc_95, VLOOKUP(G$2, Percentiles!$A$45:$I$59, 8, FALSE), perc_85, perc_75 + (perc_90 - perc_75) * (2/3), converted_stat, '2K_Ratings'!G806, IF(bbgm_stat &gt;= perc_95, converted_stat * 3, IF(bbgm_stat &gt;= perc_90, converted_stat * 2, IF(bbgm_stat &gt;= perc_85, converted_stat * 1.5, converted_stat)))))</f>
        <v/>
      </c>
      <c r="H806" s="30" t="str">
        <f t="array" ref="H806">IF($A806="", "", LET(bbgm_stat, INDEX(Players!$A805:$P805, MATCH(H$2, Players!$A$1:$P$1, 0)), perc_75, VLOOKUP(H$2, Percentiles!$A$45:$I$59, 6, FALSE), perc_90, VLOOKUP(H$2, Percentiles!$A$45:$I$59, 7, FALSE), perc_95, VLOOKUP(H$2, Percentiles!$A$45:$I$59, 8, FALSE), perc_85, perc_75 + (perc_90 - perc_75) * (2/3), converted_stat, '2K_Ratings'!H806, IF(bbgm_stat &gt;= perc_95, converted_stat * 3, IF(bbgm_stat &gt;= perc_90, converted_stat * 2, IF(bbgm_stat &gt;= perc_85, converted_stat * 1.5, converted_stat)))))</f>
        <v/>
      </c>
      <c r="I806" s="30" t="str">
        <f t="array" ref="I806">IF($A806="", "", LET(bbgm_stat, INDEX(Players!$A805:$P805, MATCH(I$2, Players!$A$1:$P$1, 0)), perc_75, VLOOKUP(I$2, Percentiles!$A$45:$I$59, 6, FALSE), perc_90, VLOOKUP(I$2, Percentiles!$A$45:$I$59, 7, FALSE), perc_95, VLOOKUP(I$2, Percentiles!$A$45:$I$59, 8, FALSE), perc_85, perc_75 + (perc_90 - perc_75) * (2/3), converted_stat, '2K_Ratings'!I806, IF(bbgm_stat &gt;= perc_95, converted_stat * 3, IF(bbgm_stat &gt;= perc_90, converted_stat * 2, IF(bbgm_stat &gt;= perc_85, converted_stat * 1.5, converted_stat)))))</f>
        <v/>
      </c>
      <c r="J806" s="30" t="str">
        <f t="array" ref="J806">IF($A806="", "", LET(bbgm_stat, INDEX(Players!$A805:$P805, MATCH(J$2, Players!$A$1:$P$1, 0)), perc_75, VLOOKUP(J$2, Percentiles!$A$45:$I$59, 6, FALSE), perc_90, VLOOKUP(J$2, Percentiles!$A$45:$I$59, 7, FALSE), perc_95, VLOOKUP(J$2, Percentiles!$A$45:$I$59, 8, FALSE), perc_85, perc_75 + (perc_90 - perc_75) * (2/3), converted_stat, '2K_Ratings'!J806, IF(bbgm_stat &gt;= perc_95, converted_stat * 3, IF(bbgm_stat &gt;= perc_90, converted_stat * 2, IF(bbgm_stat &gt;= perc_85, converted_stat * 1.5, converted_stat)))))</f>
        <v/>
      </c>
      <c r="K806" s="30" t="str">
        <f t="array" ref="K806">IF($A806="", "", LET(bbgm_stat, INDEX(Players!$A805:$P805, MATCH(K$2, Players!$A$1:$P$1, 0)), perc_75, VLOOKUP(K$2, Percentiles!$A$45:$I$59, 6, FALSE), perc_90, VLOOKUP(K$2, Percentiles!$A$45:$I$59, 7, FALSE), perc_95, VLOOKUP(K$2, Percentiles!$A$45:$I$59, 8, FALSE), perc_85, perc_75 + (perc_90 - perc_75) * (2/3), converted_stat, '2K_Ratings'!K806, IF(bbgm_stat &gt;= perc_95, converted_stat * 3, IF(bbgm_stat &gt;= perc_90, converted_stat * 2, IF(bbgm_stat &gt;= perc_85, converted_stat * 1.5, converted_stat)))))</f>
        <v/>
      </c>
      <c r="L806" s="30" t="str">
        <f t="array" ref="L806">IF($A806="", "", LET(bbgm_stat, INDEX(Players!$A805:$P805, MATCH(L$2, Players!$A$1:$P$1, 0)), perc_75, VLOOKUP(L$2, Percentiles!$A$45:$I$59, 6, FALSE), perc_90, VLOOKUP(L$2, Percentiles!$A$45:$I$59, 7, FALSE), perc_95, VLOOKUP(L$2, Percentiles!$A$45:$I$59, 8, FALSE), perc_85, perc_75 + (perc_90 - perc_75) * (2/3), converted_stat, '2K_Ratings'!L806, IF(bbgm_stat &gt;= perc_95, converted_stat * 3, IF(bbgm_stat &gt;= perc_90, converted_stat * 2, IF(bbgm_stat &gt;= perc_85, converted_stat * 1.5, converted_stat)))))</f>
        <v/>
      </c>
      <c r="M806" s="30" t="str">
        <f t="array" ref="M806">IF($A806="", "", LET(bbgm_stat, INDEX(Players!$A805:$P805, MATCH(M$2, Players!$A$1:$P$1, 0)), perc_75, VLOOKUP(M$2, Percentiles!$A$45:$I$59, 6, FALSE), perc_90, VLOOKUP(M$2, Percentiles!$A$45:$I$59, 7, FALSE), perc_95, VLOOKUP(M$2, Percentiles!$A$45:$I$59, 8, FALSE), perc_85, perc_75 + (perc_90 - perc_75) * (2/3), converted_stat, '2K_Ratings'!M806, IF(bbgm_stat &gt;= perc_95, converted_stat * 3, IF(bbgm_stat &gt;= perc_90, converted_stat * 2, IF(bbgm_stat &gt;= perc_85, converted_stat * 1.5, converted_stat)))))</f>
        <v/>
      </c>
      <c r="N806" s="30" t="str">
        <f t="array" ref="N806">IF($A806="", "", LET(bbgm_stat, INDEX(Players!$A805:$P805, MATCH(N$2, Players!$A$1:$P$1, 0)), perc_75, VLOOKUP(N$2, Percentiles!$A$45:$I$59, 6, FALSE), perc_90, VLOOKUP(N$2, Percentiles!$A$45:$I$59, 7, FALSE), perc_95, VLOOKUP(N$2, Percentiles!$A$45:$I$59, 8, FALSE), perc_85, perc_75 + (perc_90 - perc_75) * (2/3), converted_stat, '2K_Ratings'!N806, IF(bbgm_stat &gt;= perc_95, converted_stat * 3, IF(bbgm_stat &gt;= perc_90, converted_stat * 2, IF(bbgm_stat &gt;= perc_85, converted_stat * 1.5, converted_stat)))))</f>
        <v/>
      </c>
      <c r="O806" s="30" t="str">
        <f t="array" ref="O806">IF($A806="", "", LET(bbgm_stat, INDEX(Players!$A805:$P805, MATCH(O$2, Players!$A$1:$P$1, 0)), perc_75, VLOOKUP(O$2, Percentiles!$A$45:$I$59, 6, FALSE), perc_90, VLOOKUP(O$2, Percentiles!$A$45:$I$59, 7, FALSE), perc_95, VLOOKUP(O$2, Percentiles!$A$45:$I$59, 8, FALSE), perc_85, perc_75 + (perc_90 - perc_75) * (2/3), converted_stat, '2K_Ratings'!O806, IF(bbgm_stat &gt;= perc_95, converted_stat * 3, IF(bbgm_stat &gt;= perc_90, converted_stat * 2, IF(bbgm_stat &gt;= perc_85, converted_stat * 1.5, converted_stat)))))</f>
        <v/>
      </c>
      <c r="P806" s="30" t="str">
        <f t="array" ref="P806">IF($A806="", "", LET(bbgm_stat, INDEX(Players!$A805:$P805, MATCH(P$2, Players!$A$1:$P$1, 0)), perc_75, VLOOKUP(P$2, Percentiles!$A$45:$I$59, 6, FALSE), perc_90, VLOOKUP(P$2, Percentiles!$A$45:$I$59, 7, FALSE), perc_95, VLOOKUP(P$2, Percentiles!$A$45:$I$59, 8, FALSE), perc_85, perc_75 + (perc_90 - perc_75) * (2/3), converted_stat, '2K_Ratings'!P806, IF(bbgm_stat &gt;= perc_95, converted_stat * 3, IF(bbgm_stat &gt;= perc_90, converted_stat * 2, IF(bbgm_stat &gt;= perc_85, converted_stat * 1.5, converted_stat)))))</f>
        <v/>
      </c>
      <c r="Q806" s="30" t="str">
        <f t="array" ref="Q806">IF($A806="", "", LET(bbgm_stat, INDEX(Players!$A805:$P805, MATCH(Q$2, Players!$A$1:$P$1, 0)), perc_75, VLOOKUP(Q$2, Percentiles!$A$45:$I$59, 6, FALSE), perc_90, VLOOKUP(Q$2, Percentiles!$A$45:$I$59, 7, FALSE), perc_95, VLOOKUP(Q$2, Percentiles!$A$45:$I$59, 8, FALSE), perc_85, perc_75 + (perc_90 - perc_75) * (2/3), converted_stat, '2K_Ratings'!Q806, IF(bbgm_stat &gt;= perc_95, converted_stat * 3, IF(bbgm_stat &gt;= perc_90, converted_stat * 2, IF(bbgm_stat &gt;= perc_85, converted_stat * 1.5, converted_stat)))))</f>
        <v/>
      </c>
      <c r="R806" s="30" t="str">
        <f t="array" ref="R806">IF($A806="", "", LET(bbgm_stat, INDEX(Players!$A805:$P805, MATCH(R$2, Players!$A$1:$P$1, 0)), perc_75, VLOOKUP(R$2, Percentiles!$A$45:$I$59, 6, FALSE), perc_90, VLOOKUP(R$2, Percentiles!$A$45:$I$59, 7, FALSE), perc_95, VLOOKUP(R$2, Percentiles!$A$45:$I$59, 8, FALSE), perc_85, perc_75 + (perc_90 - perc_75) * (2/3), converted_stat, '2K_Ratings'!R806, IF(bbgm_stat &gt;= perc_95, converted_stat * 3, IF(bbgm_stat &gt;= perc_90, converted_stat * 2, IF(bbgm_stat &gt;= perc_85, converted_stat * 1.5, converted_stat)))))</f>
        <v/>
      </c>
      <c r="S806" s="30" t="str">
        <f t="array" ref="S806">IF($A806="", "", LET(bbgm_stat, INDEX(Players!$A805:$P805, MATCH(S$2, Players!$A$1:$P$1, 0)), perc_75, VLOOKUP(S$2, Percentiles!$A$45:$I$59, 6, FALSE), perc_90, VLOOKUP(S$2, Percentiles!$A$45:$I$59, 7, FALSE), perc_95, VLOOKUP(S$2, Percentiles!$A$45:$I$59, 8, FALSE), perc_85, perc_75 + (perc_90 - perc_75) * (2/3), converted_stat, '2K_Ratings'!S806, IF(bbgm_stat &gt;= perc_95, converted_stat * 3, IF(bbgm_stat &gt;= perc_90, converted_stat * 2, IF(bbgm_stat &gt;= perc_85, converted_stat * 1.5, converted_stat)))))</f>
        <v/>
      </c>
      <c r="T806" s="30" t="str">
        <f t="array" ref="T806">IF($A806="", "", LET(bbgm_stat, INDEX(Players!$A805:$P805, MATCH(T$2, Players!$A$1:$P$1, 0)), perc_75, VLOOKUP(T$2, Percentiles!$A$45:$I$59, 6, FALSE), perc_90, VLOOKUP(T$2, Percentiles!$A$45:$I$59, 7, FALSE), perc_95, VLOOKUP(T$2, Percentiles!$A$45:$I$59, 8, FALSE), perc_85, perc_75 + (perc_90 - perc_75) * (2/3), converted_stat, '2K_Ratings'!T806, IF(bbgm_stat &gt;= perc_95, converted_stat * 3, IF(bbgm_stat &gt;= perc_90, converted_stat * 2, IF(bbgm_stat &gt;= perc_85, converted_stat * 1.5, converted_stat)))))</f>
        <v/>
      </c>
      <c r="U806" s="30" t="str">
        <f t="array" ref="U806">IF($A806="", "", LET(bbgm_stat, INDEX(Players!$A805:$P805, MATCH(U$2, Players!$A$1:$P$1, 0)), perc_75, VLOOKUP(U$2, Percentiles!$A$45:$I$59, 6, FALSE), perc_90, VLOOKUP(U$2, Percentiles!$A$45:$I$59, 7, FALSE), perc_95, VLOOKUP(U$2, Percentiles!$A$45:$I$59, 8, FALSE), perc_85, perc_75 + (perc_90 - perc_75) * (2/3), converted_stat, '2K_Ratings'!U806, IF(bbgm_stat &gt;= perc_95, converted_stat * 3, IF(bbgm_stat &gt;= perc_90, converted_stat * 2, IF(bbgm_stat &gt;= perc_85, converted_stat * 1.5, converted_stat)))))</f>
        <v/>
      </c>
      <c r="V806" s="30" t="str">
        <f t="array" ref="V806">IF($A806="", "", LET(bbgm_stat, INDEX(Players!$A805:$P805, MATCH(V$2, Players!$A$1:$P$1, 0)), perc_75, VLOOKUP(V$2, Percentiles!$A$45:$I$59, 6, FALSE), perc_90, VLOOKUP(V$2, Percentiles!$A$45:$I$59, 7, FALSE), perc_95, VLOOKUP(V$2, Percentiles!$A$45:$I$59, 8, FALSE), perc_85, perc_75 + (perc_90 - perc_75) * (2/3), converted_stat, '2K_Ratings'!V806, IF(bbgm_stat &gt;= perc_95, converted_stat * 3, IF(bbgm_stat &gt;= perc_90, converted_stat * 2, IF(bbgm_stat &gt;= perc_85, converted_stat * 1.5, converted_stat)))))</f>
        <v/>
      </c>
      <c r="W806" s="30" t="str">
        <f t="array" ref="W806">IF($A806="", "", LET(bbgm_stat, INDEX(Players!$A805:$P805, MATCH(W$2, Players!$A$1:$P$1, 0)), perc_75, VLOOKUP(W$2, Percentiles!$A$45:$I$59, 6, FALSE), perc_90, VLOOKUP(W$2, Percentiles!$A$45:$I$59, 7, FALSE), perc_95, VLOOKUP(W$2, Percentiles!$A$45:$I$59, 8, FALSE), perc_85, perc_75 + (perc_90 - perc_75) * (2/3), converted_stat, '2K_Ratings'!W806, IF(bbgm_stat &gt;= perc_95, converted_stat * 3, IF(bbgm_stat &gt;= perc_90, converted_stat * 2, IF(bbgm_stat &gt;= perc_85, converted_stat * 1.5, converted_stat)))))</f>
        <v/>
      </c>
    </row>
    <row r="807">
      <c r="A807" s="30"/>
      <c r="B807" s="30" t="str">
        <f t="array" ref="B807">IF($A807="", "", LET(bbgm_stat, INDEX(Players!$A806:$P806, MATCH(B$2, Players!$A$1:$P$1, 0)), perc_75, VLOOKUP(B$2, Percentiles!$A$45:$I$59, 6, FALSE), perc_90, VLOOKUP(B$2, Percentiles!$A$45:$I$59, 7, FALSE), perc_95, VLOOKUP(B$2, Percentiles!$A$45:$I$59, 8, FALSE), perc_85, perc_75 + (perc_90 - perc_75) * (2/3), converted_stat, '2K_Ratings'!B807, IF(bbgm_stat &gt;= perc_95, converted_stat * 3, IF(bbgm_stat &gt;= perc_90, converted_stat * 2, IF(bbgm_stat &gt;= perc_85, converted_stat * 1.5, converted_stat)))))</f>
        <v/>
      </c>
      <c r="C807" s="30" t="str">
        <f t="array" ref="C807">IF($A807="", "", LET(bbgm_stat, INDEX(Players!$A806:$P806, MATCH(C$2, Players!$A$1:$P$1, 0)), perc_75, VLOOKUP(C$2, Percentiles!$A$45:$I$59, 6, FALSE), perc_90, VLOOKUP(C$2, Percentiles!$A$45:$I$59, 7, FALSE), perc_95, VLOOKUP(C$2, Percentiles!$A$45:$I$59, 8, FALSE), perc_85, perc_75 + (perc_90 - perc_75) * (2/3), converted_stat, '2K_Ratings'!C807, IF(bbgm_stat &gt;= perc_95, converted_stat * 3, IF(bbgm_stat &gt;= perc_90, converted_stat * 2, IF(bbgm_stat &gt;= perc_85, converted_stat * 1.5, converted_stat)))))</f>
        <v/>
      </c>
      <c r="D807" s="30" t="str">
        <f t="array" ref="D807">IF($A807="", "", LET(bbgm_stat, INDEX(Players!$A806:$P806, MATCH(D$2, Players!$A$1:$P$1, 0)), perc_75, VLOOKUP(D$2, Percentiles!$A$45:$I$59, 6, FALSE), perc_90, VLOOKUP(D$2, Percentiles!$A$45:$I$59, 7, FALSE), perc_95, VLOOKUP(D$2, Percentiles!$A$45:$I$59, 8, FALSE), perc_85, perc_75 + (perc_90 - perc_75) * (2/3), converted_stat, '2K_Ratings'!D807, IF(bbgm_stat &gt;= perc_95, converted_stat * 3, IF(bbgm_stat &gt;= perc_90, converted_stat * 2, IF(bbgm_stat &gt;= perc_85, converted_stat * 1.5, converted_stat)))))</f>
        <v/>
      </c>
      <c r="E807" s="30" t="str">
        <f t="array" ref="E807">IF($A807="", "", LET(bbgm_stat, INDEX(Players!$A806:$P806, MATCH(E$2, Players!$A$1:$P$1, 0)), perc_75, VLOOKUP(E$2, Percentiles!$A$45:$I$59, 6, FALSE), perc_90, VLOOKUP(E$2, Percentiles!$A$45:$I$59, 7, FALSE), perc_95, VLOOKUP(E$2, Percentiles!$A$45:$I$59, 8, FALSE), perc_85, perc_75 + (perc_90 - perc_75) * (2/3), converted_stat, '2K_Ratings'!E807, IF(bbgm_stat &gt;= perc_95, converted_stat * 3, IF(bbgm_stat &gt;= perc_90, converted_stat * 2, IF(bbgm_stat &gt;= perc_85, converted_stat * 1.5, converted_stat)))))</f>
        <v/>
      </c>
      <c r="F807" s="30" t="str">
        <f t="array" ref="F807">IF($A807="", "", LET(bbgm_stat, INDEX(Players!$A806:$P806, MATCH(F$2, Players!$A$1:$P$1, 0)), perc_75, VLOOKUP(F$2, Percentiles!$A$45:$I$59, 6, FALSE), perc_90, VLOOKUP(F$2, Percentiles!$A$45:$I$59, 7, FALSE), perc_95, VLOOKUP(F$2, Percentiles!$A$45:$I$59, 8, FALSE), perc_85, perc_75 + (perc_90 - perc_75) * (2/3), converted_stat, '2K_Ratings'!F807, IF(bbgm_stat &gt;= perc_95, converted_stat * 3, IF(bbgm_stat &gt;= perc_90, converted_stat * 2, IF(bbgm_stat &gt;= perc_85, converted_stat * 1.5, converted_stat)))))</f>
        <v/>
      </c>
      <c r="G807" s="30" t="str">
        <f t="array" ref="G807">IF($A807="", "", LET(bbgm_stat, INDEX(Players!$A806:$P806, MATCH(G$2, Players!$A$1:$P$1, 0)), perc_75, VLOOKUP(G$2, Percentiles!$A$45:$I$59, 6, FALSE), perc_90, VLOOKUP(G$2, Percentiles!$A$45:$I$59, 7, FALSE), perc_95, VLOOKUP(G$2, Percentiles!$A$45:$I$59, 8, FALSE), perc_85, perc_75 + (perc_90 - perc_75) * (2/3), converted_stat, '2K_Ratings'!G807, IF(bbgm_stat &gt;= perc_95, converted_stat * 3, IF(bbgm_stat &gt;= perc_90, converted_stat * 2, IF(bbgm_stat &gt;= perc_85, converted_stat * 1.5, converted_stat)))))</f>
        <v/>
      </c>
      <c r="H807" s="30" t="str">
        <f t="array" ref="H807">IF($A807="", "", LET(bbgm_stat, INDEX(Players!$A806:$P806, MATCH(H$2, Players!$A$1:$P$1, 0)), perc_75, VLOOKUP(H$2, Percentiles!$A$45:$I$59, 6, FALSE), perc_90, VLOOKUP(H$2, Percentiles!$A$45:$I$59, 7, FALSE), perc_95, VLOOKUP(H$2, Percentiles!$A$45:$I$59, 8, FALSE), perc_85, perc_75 + (perc_90 - perc_75) * (2/3), converted_stat, '2K_Ratings'!H807, IF(bbgm_stat &gt;= perc_95, converted_stat * 3, IF(bbgm_stat &gt;= perc_90, converted_stat * 2, IF(bbgm_stat &gt;= perc_85, converted_stat * 1.5, converted_stat)))))</f>
        <v/>
      </c>
      <c r="I807" s="30" t="str">
        <f t="array" ref="I807">IF($A807="", "", LET(bbgm_stat, INDEX(Players!$A806:$P806, MATCH(I$2, Players!$A$1:$P$1, 0)), perc_75, VLOOKUP(I$2, Percentiles!$A$45:$I$59, 6, FALSE), perc_90, VLOOKUP(I$2, Percentiles!$A$45:$I$59, 7, FALSE), perc_95, VLOOKUP(I$2, Percentiles!$A$45:$I$59, 8, FALSE), perc_85, perc_75 + (perc_90 - perc_75) * (2/3), converted_stat, '2K_Ratings'!I807, IF(bbgm_stat &gt;= perc_95, converted_stat * 3, IF(bbgm_stat &gt;= perc_90, converted_stat * 2, IF(bbgm_stat &gt;= perc_85, converted_stat * 1.5, converted_stat)))))</f>
        <v/>
      </c>
      <c r="J807" s="30" t="str">
        <f t="array" ref="J807">IF($A807="", "", LET(bbgm_stat, INDEX(Players!$A806:$P806, MATCH(J$2, Players!$A$1:$P$1, 0)), perc_75, VLOOKUP(J$2, Percentiles!$A$45:$I$59, 6, FALSE), perc_90, VLOOKUP(J$2, Percentiles!$A$45:$I$59, 7, FALSE), perc_95, VLOOKUP(J$2, Percentiles!$A$45:$I$59, 8, FALSE), perc_85, perc_75 + (perc_90 - perc_75) * (2/3), converted_stat, '2K_Ratings'!J807, IF(bbgm_stat &gt;= perc_95, converted_stat * 3, IF(bbgm_stat &gt;= perc_90, converted_stat * 2, IF(bbgm_stat &gt;= perc_85, converted_stat * 1.5, converted_stat)))))</f>
        <v/>
      </c>
      <c r="K807" s="30" t="str">
        <f t="array" ref="K807">IF($A807="", "", LET(bbgm_stat, INDEX(Players!$A806:$P806, MATCH(K$2, Players!$A$1:$P$1, 0)), perc_75, VLOOKUP(K$2, Percentiles!$A$45:$I$59, 6, FALSE), perc_90, VLOOKUP(K$2, Percentiles!$A$45:$I$59, 7, FALSE), perc_95, VLOOKUP(K$2, Percentiles!$A$45:$I$59, 8, FALSE), perc_85, perc_75 + (perc_90 - perc_75) * (2/3), converted_stat, '2K_Ratings'!K807, IF(bbgm_stat &gt;= perc_95, converted_stat * 3, IF(bbgm_stat &gt;= perc_90, converted_stat * 2, IF(bbgm_stat &gt;= perc_85, converted_stat * 1.5, converted_stat)))))</f>
        <v/>
      </c>
      <c r="L807" s="30" t="str">
        <f t="array" ref="L807">IF($A807="", "", LET(bbgm_stat, INDEX(Players!$A806:$P806, MATCH(L$2, Players!$A$1:$P$1, 0)), perc_75, VLOOKUP(L$2, Percentiles!$A$45:$I$59, 6, FALSE), perc_90, VLOOKUP(L$2, Percentiles!$A$45:$I$59, 7, FALSE), perc_95, VLOOKUP(L$2, Percentiles!$A$45:$I$59, 8, FALSE), perc_85, perc_75 + (perc_90 - perc_75) * (2/3), converted_stat, '2K_Ratings'!L807, IF(bbgm_stat &gt;= perc_95, converted_stat * 3, IF(bbgm_stat &gt;= perc_90, converted_stat * 2, IF(bbgm_stat &gt;= perc_85, converted_stat * 1.5, converted_stat)))))</f>
        <v/>
      </c>
      <c r="M807" s="30" t="str">
        <f t="array" ref="M807">IF($A807="", "", LET(bbgm_stat, INDEX(Players!$A806:$P806, MATCH(M$2, Players!$A$1:$P$1, 0)), perc_75, VLOOKUP(M$2, Percentiles!$A$45:$I$59, 6, FALSE), perc_90, VLOOKUP(M$2, Percentiles!$A$45:$I$59, 7, FALSE), perc_95, VLOOKUP(M$2, Percentiles!$A$45:$I$59, 8, FALSE), perc_85, perc_75 + (perc_90 - perc_75) * (2/3), converted_stat, '2K_Ratings'!M807, IF(bbgm_stat &gt;= perc_95, converted_stat * 3, IF(bbgm_stat &gt;= perc_90, converted_stat * 2, IF(bbgm_stat &gt;= perc_85, converted_stat * 1.5, converted_stat)))))</f>
        <v/>
      </c>
      <c r="N807" s="30" t="str">
        <f t="array" ref="N807">IF($A807="", "", LET(bbgm_stat, INDEX(Players!$A806:$P806, MATCH(N$2, Players!$A$1:$P$1, 0)), perc_75, VLOOKUP(N$2, Percentiles!$A$45:$I$59, 6, FALSE), perc_90, VLOOKUP(N$2, Percentiles!$A$45:$I$59, 7, FALSE), perc_95, VLOOKUP(N$2, Percentiles!$A$45:$I$59, 8, FALSE), perc_85, perc_75 + (perc_90 - perc_75) * (2/3), converted_stat, '2K_Ratings'!N807, IF(bbgm_stat &gt;= perc_95, converted_stat * 3, IF(bbgm_stat &gt;= perc_90, converted_stat * 2, IF(bbgm_stat &gt;= perc_85, converted_stat * 1.5, converted_stat)))))</f>
        <v/>
      </c>
      <c r="O807" s="30" t="str">
        <f t="array" ref="O807">IF($A807="", "", LET(bbgm_stat, INDEX(Players!$A806:$P806, MATCH(O$2, Players!$A$1:$P$1, 0)), perc_75, VLOOKUP(O$2, Percentiles!$A$45:$I$59, 6, FALSE), perc_90, VLOOKUP(O$2, Percentiles!$A$45:$I$59, 7, FALSE), perc_95, VLOOKUP(O$2, Percentiles!$A$45:$I$59, 8, FALSE), perc_85, perc_75 + (perc_90 - perc_75) * (2/3), converted_stat, '2K_Ratings'!O807, IF(bbgm_stat &gt;= perc_95, converted_stat * 3, IF(bbgm_stat &gt;= perc_90, converted_stat * 2, IF(bbgm_stat &gt;= perc_85, converted_stat * 1.5, converted_stat)))))</f>
        <v/>
      </c>
      <c r="P807" s="30" t="str">
        <f t="array" ref="P807">IF($A807="", "", LET(bbgm_stat, INDEX(Players!$A806:$P806, MATCH(P$2, Players!$A$1:$P$1, 0)), perc_75, VLOOKUP(P$2, Percentiles!$A$45:$I$59, 6, FALSE), perc_90, VLOOKUP(P$2, Percentiles!$A$45:$I$59, 7, FALSE), perc_95, VLOOKUP(P$2, Percentiles!$A$45:$I$59, 8, FALSE), perc_85, perc_75 + (perc_90 - perc_75) * (2/3), converted_stat, '2K_Ratings'!P807, IF(bbgm_stat &gt;= perc_95, converted_stat * 3, IF(bbgm_stat &gt;= perc_90, converted_stat * 2, IF(bbgm_stat &gt;= perc_85, converted_stat * 1.5, converted_stat)))))</f>
        <v/>
      </c>
      <c r="Q807" s="30" t="str">
        <f t="array" ref="Q807">IF($A807="", "", LET(bbgm_stat, INDEX(Players!$A806:$P806, MATCH(Q$2, Players!$A$1:$P$1, 0)), perc_75, VLOOKUP(Q$2, Percentiles!$A$45:$I$59, 6, FALSE), perc_90, VLOOKUP(Q$2, Percentiles!$A$45:$I$59, 7, FALSE), perc_95, VLOOKUP(Q$2, Percentiles!$A$45:$I$59, 8, FALSE), perc_85, perc_75 + (perc_90 - perc_75) * (2/3), converted_stat, '2K_Ratings'!Q807, IF(bbgm_stat &gt;= perc_95, converted_stat * 3, IF(bbgm_stat &gt;= perc_90, converted_stat * 2, IF(bbgm_stat &gt;= perc_85, converted_stat * 1.5, converted_stat)))))</f>
        <v/>
      </c>
      <c r="R807" s="30" t="str">
        <f t="array" ref="R807">IF($A807="", "", LET(bbgm_stat, INDEX(Players!$A806:$P806, MATCH(R$2, Players!$A$1:$P$1, 0)), perc_75, VLOOKUP(R$2, Percentiles!$A$45:$I$59, 6, FALSE), perc_90, VLOOKUP(R$2, Percentiles!$A$45:$I$59, 7, FALSE), perc_95, VLOOKUP(R$2, Percentiles!$A$45:$I$59, 8, FALSE), perc_85, perc_75 + (perc_90 - perc_75) * (2/3), converted_stat, '2K_Ratings'!R807, IF(bbgm_stat &gt;= perc_95, converted_stat * 3, IF(bbgm_stat &gt;= perc_90, converted_stat * 2, IF(bbgm_stat &gt;= perc_85, converted_stat * 1.5, converted_stat)))))</f>
        <v/>
      </c>
      <c r="S807" s="30" t="str">
        <f t="array" ref="S807">IF($A807="", "", LET(bbgm_stat, INDEX(Players!$A806:$P806, MATCH(S$2, Players!$A$1:$P$1, 0)), perc_75, VLOOKUP(S$2, Percentiles!$A$45:$I$59, 6, FALSE), perc_90, VLOOKUP(S$2, Percentiles!$A$45:$I$59, 7, FALSE), perc_95, VLOOKUP(S$2, Percentiles!$A$45:$I$59, 8, FALSE), perc_85, perc_75 + (perc_90 - perc_75) * (2/3), converted_stat, '2K_Ratings'!S807, IF(bbgm_stat &gt;= perc_95, converted_stat * 3, IF(bbgm_stat &gt;= perc_90, converted_stat * 2, IF(bbgm_stat &gt;= perc_85, converted_stat * 1.5, converted_stat)))))</f>
        <v/>
      </c>
      <c r="T807" s="30" t="str">
        <f t="array" ref="T807">IF($A807="", "", LET(bbgm_stat, INDEX(Players!$A806:$P806, MATCH(T$2, Players!$A$1:$P$1, 0)), perc_75, VLOOKUP(T$2, Percentiles!$A$45:$I$59, 6, FALSE), perc_90, VLOOKUP(T$2, Percentiles!$A$45:$I$59, 7, FALSE), perc_95, VLOOKUP(T$2, Percentiles!$A$45:$I$59, 8, FALSE), perc_85, perc_75 + (perc_90 - perc_75) * (2/3), converted_stat, '2K_Ratings'!T807, IF(bbgm_stat &gt;= perc_95, converted_stat * 3, IF(bbgm_stat &gt;= perc_90, converted_stat * 2, IF(bbgm_stat &gt;= perc_85, converted_stat * 1.5, converted_stat)))))</f>
        <v/>
      </c>
      <c r="U807" s="30" t="str">
        <f t="array" ref="U807">IF($A807="", "", LET(bbgm_stat, INDEX(Players!$A806:$P806, MATCH(U$2, Players!$A$1:$P$1, 0)), perc_75, VLOOKUP(U$2, Percentiles!$A$45:$I$59, 6, FALSE), perc_90, VLOOKUP(U$2, Percentiles!$A$45:$I$59, 7, FALSE), perc_95, VLOOKUP(U$2, Percentiles!$A$45:$I$59, 8, FALSE), perc_85, perc_75 + (perc_90 - perc_75) * (2/3), converted_stat, '2K_Ratings'!U807, IF(bbgm_stat &gt;= perc_95, converted_stat * 3, IF(bbgm_stat &gt;= perc_90, converted_stat * 2, IF(bbgm_stat &gt;= perc_85, converted_stat * 1.5, converted_stat)))))</f>
        <v/>
      </c>
      <c r="V807" s="30" t="str">
        <f t="array" ref="V807">IF($A807="", "", LET(bbgm_stat, INDEX(Players!$A806:$P806, MATCH(V$2, Players!$A$1:$P$1, 0)), perc_75, VLOOKUP(V$2, Percentiles!$A$45:$I$59, 6, FALSE), perc_90, VLOOKUP(V$2, Percentiles!$A$45:$I$59, 7, FALSE), perc_95, VLOOKUP(V$2, Percentiles!$A$45:$I$59, 8, FALSE), perc_85, perc_75 + (perc_90 - perc_75) * (2/3), converted_stat, '2K_Ratings'!V807, IF(bbgm_stat &gt;= perc_95, converted_stat * 3, IF(bbgm_stat &gt;= perc_90, converted_stat * 2, IF(bbgm_stat &gt;= perc_85, converted_stat * 1.5, converted_stat)))))</f>
        <v/>
      </c>
      <c r="W807" s="30" t="str">
        <f t="array" ref="W807">IF($A807="", "", LET(bbgm_stat, INDEX(Players!$A806:$P806, MATCH(W$2, Players!$A$1:$P$1, 0)), perc_75, VLOOKUP(W$2, Percentiles!$A$45:$I$59, 6, FALSE), perc_90, VLOOKUP(W$2, Percentiles!$A$45:$I$59, 7, FALSE), perc_95, VLOOKUP(W$2, Percentiles!$A$45:$I$59, 8, FALSE), perc_85, perc_75 + (perc_90 - perc_75) * (2/3), converted_stat, '2K_Ratings'!W807, IF(bbgm_stat &gt;= perc_95, converted_stat * 3, IF(bbgm_stat &gt;= perc_90, converted_stat * 2, IF(bbgm_stat &gt;= perc_85, converted_stat * 1.5, converted_stat)))))</f>
        <v/>
      </c>
    </row>
    <row r="808">
      <c r="A808" s="30"/>
      <c r="B808" s="30" t="str">
        <f t="array" ref="B808">IF($A808="", "", LET(bbgm_stat, INDEX(Players!$A807:$P807, MATCH(B$2, Players!$A$1:$P$1, 0)), perc_75, VLOOKUP(B$2, Percentiles!$A$45:$I$59, 6, FALSE), perc_90, VLOOKUP(B$2, Percentiles!$A$45:$I$59, 7, FALSE), perc_95, VLOOKUP(B$2, Percentiles!$A$45:$I$59, 8, FALSE), perc_85, perc_75 + (perc_90 - perc_75) * (2/3), converted_stat, '2K_Ratings'!B808, IF(bbgm_stat &gt;= perc_95, converted_stat * 3, IF(bbgm_stat &gt;= perc_90, converted_stat * 2, IF(bbgm_stat &gt;= perc_85, converted_stat * 1.5, converted_stat)))))</f>
        <v/>
      </c>
      <c r="C808" s="30" t="str">
        <f t="array" ref="C808">IF($A808="", "", LET(bbgm_stat, INDEX(Players!$A807:$P807, MATCH(C$2, Players!$A$1:$P$1, 0)), perc_75, VLOOKUP(C$2, Percentiles!$A$45:$I$59, 6, FALSE), perc_90, VLOOKUP(C$2, Percentiles!$A$45:$I$59, 7, FALSE), perc_95, VLOOKUP(C$2, Percentiles!$A$45:$I$59, 8, FALSE), perc_85, perc_75 + (perc_90 - perc_75) * (2/3), converted_stat, '2K_Ratings'!C808, IF(bbgm_stat &gt;= perc_95, converted_stat * 3, IF(bbgm_stat &gt;= perc_90, converted_stat * 2, IF(bbgm_stat &gt;= perc_85, converted_stat * 1.5, converted_stat)))))</f>
        <v/>
      </c>
      <c r="D808" s="30" t="str">
        <f t="array" ref="D808">IF($A808="", "", LET(bbgm_stat, INDEX(Players!$A807:$P807, MATCH(D$2, Players!$A$1:$P$1, 0)), perc_75, VLOOKUP(D$2, Percentiles!$A$45:$I$59, 6, FALSE), perc_90, VLOOKUP(D$2, Percentiles!$A$45:$I$59, 7, FALSE), perc_95, VLOOKUP(D$2, Percentiles!$A$45:$I$59, 8, FALSE), perc_85, perc_75 + (perc_90 - perc_75) * (2/3), converted_stat, '2K_Ratings'!D808, IF(bbgm_stat &gt;= perc_95, converted_stat * 3, IF(bbgm_stat &gt;= perc_90, converted_stat * 2, IF(bbgm_stat &gt;= perc_85, converted_stat * 1.5, converted_stat)))))</f>
        <v/>
      </c>
      <c r="E808" s="30" t="str">
        <f t="array" ref="E808">IF($A808="", "", LET(bbgm_stat, INDEX(Players!$A807:$P807, MATCH(E$2, Players!$A$1:$P$1, 0)), perc_75, VLOOKUP(E$2, Percentiles!$A$45:$I$59, 6, FALSE), perc_90, VLOOKUP(E$2, Percentiles!$A$45:$I$59, 7, FALSE), perc_95, VLOOKUP(E$2, Percentiles!$A$45:$I$59, 8, FALSE), perc_85, perc_75 + (perc_90 - perc_75) * (2/3), converted_stat, '2K_Ratings'!E808, IF(bbgm_stat &gt;= perc_95, converted_stat * 3, IF(bbgm_stat &gt;= perc_90, converted_stat * 2, IF(bbgm_stat &gt;= perc_85, converted_stat * 1.5, converted_stat)))))</f>
        <v/>
      </c>
      <c r="F808" s="30" t="str">
        <f t="array" ref="F808">IF($A808="", "", LET(bbgm_stat, INDEX(Players!$A807:$P807, MATCH(F$2, Players!$A$1:$P$1, 0)), perc_75, VLOOKUP(F$2, Percentiles!$A$45:$I$59, 6, FALSE), perc_90, VLOOKUP(F$2, Percentiles!$A$45:$I$59, 7, FALSE), perc_95, VLOOKUP(F$2, Percentiles!$A$45:$I$59, 8, FALSE), perc_85, perc_75 + (perc_90 - perc_75) * (2/3), converted_stat, '2K_Ratings'!F808, IF(bbgm_stat &gt;= perc_95, converted_stat * 3, IF(bbgm_stat &gt;= perc_90, converted_stat * 2, IF(bbgm_stat &gt;= perc_85, converted_stat * 1.5, converted_stat)))))</f>
        <v/>
      </c>
      <c r="G808" s="30" t="str">
        <f t="array" ref="G808">IF($A808="", "", LET(bbgm_stat, INDEX(Players!$A807:$P807, MATCH(G$2, Players!$A$1:$P$1, 0)), perc_75, VLOOKUP(G$2, Percentiles!$A$45:$I$59, 6, FALSE), perc_90, VLOOKUP(G$2, Percentiles!$A$45:$I$59, 7, FALSE), perc_95, VLOOKUP(G$2, Percentiles!$A$45:$I$59, 8, FALSE), perc_85, perc_75 + (perc_90 - perc_75) * (2/3), converted_stat, '2K_Ratings'!G808, IF(bbgm_stat &gt;= perc_95, converted_stat * 3, IF(bbgm_stat &gt;= perc_90, converted_stat * 2, IF(bbgm_stat &gt;= perc_85, converted_stat * 1.5, converted_stat)))))</f>
        <v/>
      </c>
      <c r="H808" s="30" t="str">
        <f t="array" ref="H808">IF($A808="", "", LET(bbgm_stat, INDEX(Players!$A807:$P807, MATCH(H$2, Players!$A$1:$P$1, 0)), perc_75, VLOOKUP(H$2, Percentiles!$A$45:$I$59, 6, FALSE), perc_90, VLOOKUP(H$2, Percentiles!$A$45:$I$59, 7, FALSE), perc_95, VLOOKUP(H$2, Percentiles!$A$45:$I$59, 8, FALSE), perc_85, perc_75 + (perc_90 - perc_75) * (2/3), converted_stat, '2K_Ratings'!H808, IF(bbgm_stat &gt;= perc_95, converted_stat * 3, IF(bbgm_stat &gt;= perc_90, converted_stat * 2, IF(bbgm_stat &gt;= perc_85, converted_stat * 1.5, converted_stat)))))</f>
        <v/>
      </c>
      <c r="I808" s="30" t="str">
        <f t="array" ref="I808">IF($A808="", "", LET(bbgm_stat, INDEX(Players!$A807:$P807, MATCH(I$2, Players!$A$1:$P$1, 0)), perc_75, VLOOKUP(I$2, Percentiles!$A$45:$I$59, 6, FALSE), perc_90, VLOOKUP(I$2, Percentiles!$A$45:$I$59, 7, FALSE), perc_95, VLOOKUP(I$2, Percentiles!$A$45:$I$59, 8, FALSE), perc_85, perc_75 + (perc_90 - perc_75) * (2/3), converted_stat, '2K_Ratings'!I808, IF(bbgm_stat &gt;= perc_95, converted_stat * 3, IF(bbgm_stat &gt;= perc_90, converted_stat * 2, IF(bbgm_stat &gt;= perc_85, converted_stat * 1.5, converted_stat)))))</f>
        <v/>
      </c>
      <c r="J808" s="30" t="str">
        <f t="array" ref="J808">IF($A808="", "", LET(bbgm_stat, INDEX(Players!$A807:$P807, MATCH(J$2, Players!$A$1:$P$1, 0)), perc_75, VLOOKUP(J$2, Percentiles!$A$45:$I$59, 6, FALSE), perc_90, VLOOKUP(J$2, Percentiles!$A$45:$I$59, 7, FALSE), perc_95, VLOOKUP(J$2, Percentiles!$A$45:$I$59, 8, FALSE), perc_85, perc_75 + (perc_90 - perc_75) * (2/3), converted_stat, '2K_Ratings'!J808, IF(bbgm_stat &gt;= perc_95, converted_stat * 3, IF(bbgm_stat &gt;= perc_90, converted_stat * 2, IF(bbgm_stat &gt;= perc_85, converted_stat * 1.5, converted_stat)))))</f>
        <v/>
      </c>
      <c r="K808" s="30" t="str">
        <f t="array" ref="K808">IF($A808="", "", LET(bbgm_stat, INDEX(Players!$A807:$P807, MATCH(K$2, Players!$A$1:$P$1, 0)), perc_75, VLOOKUP(K$2, Percentiles!$A$45:$I$59, 6, FALSE), perc_90, VLOOKUP(K$2, Percentiles!$A$45:$I$59, 7, FALSE), perc_95, VLOOKUP(K$2, Percentiles!$A$45:$I$59, 8, FALSE), perc_85, perc_75 + (perc_90 - perc_75) * (2/3), converted_stat, '2K_Ratings'!K808, IF(bbgm_stat &gt;= perc_95, converted_stat * 3, IF(bbgm_stat &gt;= perc_90, converted_stat * 2, IF(bbgm_stat &gt;= perc_85, converted_stat * 1.5, converted_stat)))))</f>
        <v/>
      </c>
      <c r="L808" s="30" t="str">
        <f t="array" ref="L808">IF($A808="", "", LET(bbgm_stat, INDEX(Players!$A807:$P807, MATCH(L$2, Players!$A$1:$P$1, 0)), perc_75, VLOOKUP(L$2, Percentiles!$A$45:$I$59, 6, FALSE), perc_90, VLOOKUP(L$2, Percentiles!$A$45:$I$59, 7, FALSE), perc_95, VLOOKUP(L$2, Percentiles!$A$45:$I$59, 8, FALSE), perc_85, perc_75 + (perc_90 - perc_75) * (2/3), converted_stat, '2K_Ratings'!L808, IF(bbgm_stat &gt;= perc_95, converted_stat * 3, IF(bbgm_stat &gt;= perc_90, converted_stat * 2, IF(bbgm_stat &gt;= perc_85, converted_stat * 1.5, converted_stat)))))</f>
        <v/>
      </c>
      <c r="M808" s="30" t="str">
        <f t="array" ref="M808">IF($A808="", "", LET(bbgm_stat, INDEX(Players!$A807:$P807, MATCH(M$2, Players!$A$1:$P$1, 0)), perc_75, VLOOKUP(M$2, Percentiles!$A$45:$I$59, 6, FALSE), perc_90, VLOOKUP(M$2, Percentiles!$A$45:$I$59, 7, FALSE), perc_95, VLOOKUP(M$2, Percentiles!$A$45:$I$59, 8, FALSE), perc_85, perc_75 + (perc_90 - perc_75) * (2/3), converted_stat, '2K_Ratings'!M808, IF(bbgm_stat &gt;= perc_95, converted_stat * 3, IF(bbgm_stat &gt;= perc_90, converted_stat * 2, IF(bbgm_stat &gt;= perc_85, converted_stat * 1.5, converted_stat)))))</f>
        <v/>
      </c>
      <c r="N808" s="30" t="str">
        <f t="array" ref="N808">IF($A808="", "", LET(bbgm_stat, INDEX(Players!$A807:$P807, MATCH(N$2, Players!$A$1:$P$1, 0)), perc_75, VLOOKUP(N$2, Percentiles!$A$45:$I$59, 6, FALSE), perc_90, VLOOKUP(N$2, Percentiles!$A$45:$I$59, 7, FALSE), perc_95, VLOOKUP(N$2, Percentiles!$A$45:$I$59, 8, FALSE), perc_85, perc_75 + (perc_90 - perc_75) * (2/3), converted_stat, '2K_Ratings'!N808, IF(bbgm_stat &gt;= perc_95, converted_stat * 3, IF(bbgm_stat &gt;= perc_90, converted_stat * 2, IF(bbgm_stat &gt;= perc_85, converted_stat * 1.5, converted_stat)))))</f>
        <v/>
      </c>
      <c r="O808" s="30" t="str">
        <f t="array" ref="O808">IF($A808="", "", LET(bbgm_stat, INDEX(Players!$A807:$P807, MATCH(O$2, Players!$A$1:$P$1, 0)), perc_75, VLOOKUP(O$2, Percentiles!$A$45:$I$59, 6, FALSE), perc_90, VLOOKUP(O$2, Percentiles!$A$45:$I$59, 7, FALSE), perc_95, VLOOKUP(O$2, Percentiles!$A$45:$I$59, 8, FALSE), perc_85, perc_75 + (perc_90 - perc_75) * (2/3), converted_stat, '2K_Ratings'!O808, IF(bbgm_stat &gt;= perc_95, converted_stat * 3, IF(bbgm_stat &gt;= perc_90, converted_stat * 2, IF(bbgm_stat &gt;= perc_85, converted_stat * 1.5, converted_stat)))))</f>
        <v/>
      </c>
      <c r="P808" s="30" t="str">
        <f t="array" ref="P808">IF($A808="", "", LET(bbgm_stat, INDEX(Players!$A807:$P807, MATCH(P$2, Players!$A$1:$P$1, 0)), perc_75, VLOOKUP(P$2, Percentiles!$A$45:$I$59, 6, FALSE), perc_90, VLOOKUP(P$2, Percentiles!$A$45:$I$59, 7, FALSE), perc_95, VLOOKUP(P$2, Percentiles!$A$45:$I$59, 8, FALSE), perc_85, perc_75 + (perc_90 - perc_75) * (2/3), converted_stat, '2K_Ratings'!P808, IF(bbgm_stat &gt;= perc_95, converted_stat * 3, IF(bbgm_stat &gt;= perc_90, converted_stat * 2, IF(bbgm_stat &gt;= perc_85, converted_stat * 1.5, converted_stat)))))</f>
        <v/>
      </c>
      <c r="Q808" s="30" t="str">
        <f t="array" ref="Q808">IF($A808="", "", LET(bbgm_stat, INDEX(Players!$A807:$P807, MATCH(Q$2, Players!$A$1:$P$1, 0)), perc_75, VLOOKUP(Q$2, Percentiles!$A$45:$I$59, 6, FALSE), perc_90, VLOOKUP(Q$2, Percentiles!$A$45:$I$59, 7, FALSE), perc_95, VLOOKUP(Q$2, Percentiles!$A$45:$I$59, 8, FALSE), perc_85, perc_75 + (perc_90 - perc_75) * (2/3), converted_stat, '2K_Ratings'!Q808, IF(bbgm_stat &gt;= perc_95, converted_stat * 3, IF(bbgm_stat &gt;= perc_90, converted_stat * 2, IF(bbgm_stat &gt;= perc_85, converted_stat * 1.5, converted_stat)))))</f>
        <v/>
      </c>
      <c r="R808" s="30" t="str">
        <f t="array" ref="R808">IF($A808="", "", LET(bbgm_stat, INDEX(Players!$A807:$P807, MATCH(R$2, Players!$A$1:$P$1, 0)), perc_75, VLOOKUP(R$2, Percentiles!$A$45:$I$59, 6, FALSE), perc_90, VLOOKUP(R$2, Percentiles!$A$45:$I$59, 7, FALSE), perc_95, VLOOKUP(R$2, Percentiles!$A$45:$I$59, 8, FALSE), perc_85, perc_75 + (perc_90 - perc_75) * (2/3), converted_stat, '2K_Ratings'!R808, IF(bbgm_stat &gt;= perc_95, converted_stat * 3, IF(bbgm_stat &gt;= perc_90, converted_stat * 2, IF(bbgm_stat &gt;= perc_85, converted_stat * 1.5, converted_stat)))))</f>
        <v/>
      </c>
      <c r="S808" s="30" t="str">
        <f t="array" ref="S808">IF($A808="", "", LET(bbgm_stat, INDEX(Players!$A807:$P807, MATCH(S$2, Players!$A$1:$P$1, 0)), perc_75, VLOOKUP(S$2, Percentiles!$A$45:$I$59, 6, FALSE), perc_90, VLOOKUP(S$2, Percentiles!$A$45:$I$59, 7, FALSE), perc_95, VLOOKUP(S$2, Percentiles!$A$45:$I$59, 8, FALSE), perc_85, perc_75 + (perc_90 - perc_75) * (2/3), converted_stat, '2K_Ratings'!S808, IF(bbgm_stat &gt;= perc_95, converted_stat * 3, IF(bbgm_stat &gt;= perc_90, converted_stat * 2, IF(bbgm_stat &gt;= perc_85, converted_stat * 1.5, converted_stat)))))</f>
        <v/>
      </c>
      <c r="T808" s="30" t="str">
        <f t="array" ref="T808">IF($A808="", "", LET(bbgm_stat, INDEX(Players!$A807:$P807, MATCH(T$2, Players!$A$1:$P$1, 0)), perc_75, VLOOKUP(T$2, Percentiles!$A$45:$I$59, 6, FALSE), perc_90, VLOOKUP(T$2, Percentiles!$A$45:$I$59, 7, FALSE), perc_95, VLOOKUP(T$2, Percentiles!$A$45:$I$59, 8, FALSE), perc_85, perc_75 + (perc_90 - perc_75) * (2/3), converted_stat, '2K_Ratings'!T808, IF(bbgm_stat &gt;= perc_95, converted_stat * 3, IF(bbgm_stat &gt;= perc_90, converted_stat * 2, IF(bbgm_stat &gt;= perc_85, converted_stat * 1.5, converted_stat)))))</f>
        <v/>
      </c>
      <c r="U808" s="30" t="str">
        <f t="array" ref="U808">IF($A808="", "", LET(bbgm_stat, INDEX(Players!$A807:$P807, MATCH(U$2, Players!$A$1:$P$1, 0)), perc_75, VLOOKUP(U$2, Percentiles!$A$45:$I$59, 6, FALSE), perc_90, VLOOKUP(U$2, Percentiles!$A$45:$I$59, 7, FALSE), perc_95, VLOOKUP(U$2, Percentiles!$A$45:$I$59, 8, FALSE), perc_85, perc_75 + (perc_90 - perc_75) * (2/3), converted_stat, '2K_Ratings'!U808, IF(bbgm_stat &gt;= perc_95, converted_stat * 3, IF(bbgm_stat &gt;= perc_90, converted_stat * 2, IF(bbgm_stat &gt;= perc_85, converted_stat * 1.5, converted_stat)))))</f>
        <v/>
      </c>
      <c r="V808" s="30" t="str">
        <f t="array" ref="V808">IF($A808="", "", LET(bbgm_stat, INDEX(Players!$A807:$P807, MATCH(V$2, Players!$A$1:$P$1, 0)), perc_75, VLOOKUP(V$2, Percentiles!$A$45:$I$59, 6, FALSE), perc_90, VLOOKUP(V$2, Percentiles!$A$45:$I$59, 7, FALSE), perc_95, VLOOKUP(V$2, Percentiles!$A$45:$I$59, 8, FALSE), perc_85, perc_75 + (perc_90 - perc_75) * (2/3), converted_stat, '2K_Ratings'!V808, IF(bbgm_stat &gt;= perc_95, converted_stat * 3, IF(bbgm_stat &gt;= perc_90, converted_stat * 2, IF(bbgm_stat &gt;= perc_85, converted_stat * 1.5, converted_stat)))))</f>
        <v/>
      </c>
      <c r="W808" s="30" t="str">
        <f t="array" ref="W808">IF($A808="", "", LET(bbgm_stat, INDEX(Players!$A807:$P807, MATCH(W$2, Players!$A$1:$P$1, 0)), perc_75, VLOOKUP(W$2, Percentiles!$A$45:$I$59, 6, FALSE), perc_90, VLOOKUP(W$2, Percentiles!$A$45:$I$59, 7, FALSE), perc_95, VLOOKUP(W$2, Percentiles!$A$45:$I$59, 8, FALSE), perc_85, perc_75 + (perc_90 - perc_75) * (2/3), converted_stat, '2K_Ratings'!W808, IF(bbgm_stat &gt;= perc_95, converted_stat * 3, IF(bbgm_stat &gt;= perc_90, converted_stat * 2, IF(bbgm_stat &gt;= perc_85, converted_stat * 1.5, converted_stat)))))</f>
        <v/>
      </c>
    </row>
    <row r="809">
      <c r="A809" s="30"/>
      <c r="B809" s="30" t="str">
        <f t="array" ref="B809">IF($A809="", "", LET(bbgm_stat, INDEX(Players!$A808:$P808, MATCH(B$2, Players!$A$1:$P$1, 0)), perc_75, VLOOKUP(B$2, Percentiles!$A$45:$I$59, 6, FALSE), perc_90, VLOOKUP(B$2, Percentiles!$A$45:$I$59, 7, FALSE), perc_95, VLOOKUP(B$2, Percentiles!$A$45:$I$59, 8, FALSE), perc_85, perc_75 + (perc_90 - perc_75) * (2/3), converted_stat, '2K_Ratings'!B809, IF(bbgm_stat &gt;= perc_95, converted_stat * 3, IF(bbgm_stat &gt;= perc_90, converted_stat * 2, IF(bbgm_stat &gt;= perc_85, converted_stat * 1.5, converted_stat)))))</f>
        <v/>
      </c>
      <c r="C809" s="30" t="str">
        <f t="array" ref="C809">IF($A809="", "", LET(bbgm_stat, INDEX(Players!$A808:$P808, MATCH(C$2, Players!$A$1:$P$1, 0)), perc_75, VLOOKUP(C$2, Percentiles!$A$45:$I$59, 6, FALSE), perc_90, VLOOKUP(C$2, Percentiles!$A$45:$I$59, 7, FALSE), perc_95, VLOOKUP(C$2, Percentiles!$A$45:$I$59, 8, FALSE), perc_85, perc_75 + (perc_90 - perc_75) * (2/3), converted_stat, '2K_Ratings'!C809, IF(bbgm_stat &gt;= perc_95, converted_stat * 3, IF(bbgm_stat &gt;= perc_90, converted_stat * 2, IF(bbgm_stat &gt;= perc_85, converted_stat * 1.5, converted_stat)))))</f>
        <v/>
      </c>
      <c r="D809" s="30" t="str">
        <f t="array" ref="D809">IF($A809="", "", LET(bbgm_stat, INDEX(Players!$A808:$P808, MATCH(D$2, Players!$A$1:$P$1, 0)), perc_75, VLOOKUP(D$2, Percentiles!$A$45:$I$59, 6, FALSE), perc_90, VLOOKUP(D$2, Percentiles!$A$45:$I$59, 7, FALSE), perc_95, VLOOKUP(D$2, Percentiles!$A$45:$I$59, 8, FALSE), perc_85, perc_75 + (perc_90 - perc_75) * (2/3), converted_stat, '2K_Ratings'!D809, IF(bbgm_stat &gt;= perc_95, converted_stat * 3, IF(bbgm_stat &gt;= perc_90, converted_stat * 2, IF(bbgm_stat &gt;= perc_85, converted_stat * 1.5, converted_stat)))))</f>
        <v/>
      </c>
      <c r="E809" s="30" t="str">
        <f t="array" ref="E809">IF($A809="", "", LET(bbgm_stat, INDEX(Players!$A808:$P808, MATCH(E$2, Players!$A$1:$P$1, 0)), perc_75, VLOOKUP(E$2, Percentiles!$A$45:$I$59, 6, FALSE), perc_90, VLOOKUP(E$2, Percentiles!$A$45:$I$59, 7, FALSE), perc_95, VLOOKUP(E$2, Percentiles!$A$45:$I$59, 8, FALSE), perc_85, perc_75 + (perc_90 - perc_75) * (2/3), converted_stat, '2K_Ratings'!E809, IF(bbgm_stat &gt;= perc_95, converted_stat * 3, IF(bbgm_stat &gt;= perc_90, converted_stat * 2, IF(bbgm_stat &gt;= perc_85, converted_stat * 1.5, converted_stat)))))</f>
        <v/>
      </c>
      <c r="F809" s="30" t="str">
        <f t="array" ref="F809">IF($A809="", "", LET(bbgm_stat, INDEX(Players!$A808:$P808, MATCH(F$2, Players!$A$1:$P$1, 0)), perc_75, VLOOKUP(F$2, Percentiles!$A$45:$I$59, 6, FALSE), perc_90, VLOOKUP(F$2, Percentiles!$A$45:$I$59, 7, FALSE), perc_95, VLOOKUP(F$2, Percentiles!$A$45:$I$59, 8, FALSE), perc_85, perc_75 + (perc_90 - perc_75) * (2/3), converted_stat, '2K_Ratings'!F809, IF(bbgm_stat &gt;= perc_95, converted_stat * 3, IF(bbgm_stat &gt;= perc_90, converted_stat * 2, IF(bbgm_stat &gt;= perc_85, converted_stat * 1.5, converted_stat)))))</f>
        <v/>
      </c>
      <c r="G809" s="30" t="str">
        <f t="array" ref="G809">IF($A809="", "", LET(bbgm_stat, INDEX(Players!$A808:$P808, MATCH(G$2, Players!$A$1:$P$1, 0)), perc_75, VLOOKUP(G$2, Percentiles!$A$45:$I$59, 6, FALSE), perc_90, VLOOKUP(G$2, Percentiles!$A$45:$I$59, 7, FALSE), perc_95, VLOOKUP(G$2, Percentiles!$A$45:$I$59, 8, FALSE), perc_85, perc_75 + (perc_90 - perc_75) * (2/3), converted_stat, '2K_Ratings'!G809, IF(bbgm_stat &gt;= perc_95, converted_stat * 3, IF(bbgm_stat &gt;= perc_90, converted_stat * 2, IF(bbgm_stat &gt;= perc_85, converted_stat * 1.5, converted_stat)))))</f>
        <v/>
      </c>
      <c r="H809" s="30" t="str">
        <f t="array" ref="H809">IF($A809="", "", LET(bbgm_stat, INDEX(Players!$A808:$P808, MATCH(H$2, Players!$A$1:$P$1, 0)), perc_75, VLOOKUP(H$2, Percentiles!$A$45:$I$59, 6, FALSE), perc_90, VLOOKUP(H$2, Percentiles!$A$45:$I$59, 7, FALSE), perc_95, VLOOKUP(H$2, Percentiles!$A$45:$I$59, 8, FALSE), perc_85, perc_75 + (perc_90 - perc_75) * (2/3), converted_stat, '2K_Ratings'!H809, IF(bbgm_stat &gt;= perc_95, converted_stat * 3, IF(bbgm_stat &gt;= perc_90, converted_stat * 2, IF(bbgm_stat &gt;= perc_85, converted_stat * 1.5, converted_stat)))))</f>
        <v/>
      </c>
      <c r="I809" s="30" t="str">
        <f t="array" ref="I809">IF($A809="", "", LET(bbgm_stat, INDEX(Players!$A808:$P808, MATCH(I$2, Players!$A$1:$P$1, 0)), perc_75, VLOOKUP(I$2, Percentiles!$A$45:$I$59, 6, FALSE), perc_90, VLOOKUP(I$2, Percentiles!$A$45:$I$59, 7, FALSE), perc_95, VLOOKUP(I$2, Percentiles!$A$45:$I$59, 8, FALSE), perc_85, perc_75 + (perc_90 - perc_75) * (2/3), converted_stat, '2K_Ratings'!I809, IF(bbgm_stat &gt;= perc_95, converted_stat * 3, IF(bbgm_stat &gt;= perc_90, converted_stat * 2, IF(bbgm_stat &gt;= perc_85, converted_stat * 1.5, converted_stat)))))</f>
        <v/>
      </c>
      <c r="J809" s="30" t="str">
        <f t="array" ref="J809">IF($A809="", "", LET(bbgm_stat, INDEX(Players!$A808:$P808, MATCH(J$2, Players!$A$1:$P$1, 0)), perc_75, VLOOKUP(J$2, Percentiles!$A$45:$I$59, 6, FALSE), perc_90, VLOOKUP(J$2, Percentiles!$A$45:$I$59, 7, FALSE), perc_95, VLOOKUP(J$2, Percentiles!$A$45:$I$59, 8, FALSE), perc_85, perc_75 + (perc_90 - perc_75) * (2/3), converted_stat, '2K_Ratings'!J809, IF(bbgm_stat &gt;= perc_95, converted_stat * 3, IF(bbgm_stat &gt;= perc_90, converted_stat * 2, IF(bbgm_stat &gt;= perc_85, converted_stat * 1.5, converted_stat)))))</f>
        <v/>
      </c>
      <c r="K809" s="30" t="str">
        <f t="array" ref="K809">IF($A809="", "", LET(bbgm_stat, INDEX(Players!$A808:$P808, MATCH(K$2, Players!$A$1:$P$1, 0)), perc_75, VLOOKUP(K$2, Percentiles!$A$45:$I$59, 6, FALSE), perc_90, VLOOKUP(K$2, Percentiles!$A$45:$I$59, 7, FALSE), perc_95, VLOOKUP(K$2, Percentiles!$A$45:$I$59, 8, FALSE), perc_85, perc_75 + (perc_90 - perc_75) * (2/3), converted_stat, '2K_Ratings'!K809, IF(bbgm_stat &gt;= perc_95, converted_stat * 3, IF(bbgm_stat &gt;= perc_90, converted_stat * 2, IF(bbgm_stat &gt;= perc_85, converted_stat * 1.5, converted_stat)))))</f>
        <v/>
      </c>
      <c r="L809" s="30" t="str">
        <f t="array" ref="L809">IF($A809="", "", LET(bbgm_stat, INDEX(Players!$A808:$P808, MATCH(L$2, Players!$A$1:$P$1, 0)), perc_75, VLOOKUP(L$2, Percentiles!$A$45:$I$59, 6, FALSE), perc_90, VLOOKUP(L$2, Percentiles!$A$45:$I$59, 7, FALSE), perc_95, VLOOKUP(L$2, Percentiles!$A$45:$I$59, 8, FALSE), perc_85, perc_75 + (perc_90 - perc_75) * (2/3), converted_stat, '2K_Ratings'!L809, IF(bbgm_stat &gt;= perc_95, converted_stat * 3, IF(bbgm_stat &gt;= perc_90, converted_stat * 2, IF(bbgm_stat &gt;= perc_85, converted_stat * 1.5, converted_stat)))))</f>
        <v/>
      </c>
      <c r="M809" s="30" t="str">
        <f t="array" ref="M809">IF($A809="", "", LET(bbgm_stat, INDEX(Players!$A808:$P808, MATCH(M$2, Players!$A$1:$P$1, 0)), perc_75, VLOOKUP(M$2, Percentiles!$A$45:$I$59, 6, FALSE), perc_90, VLOOKUP(M$2, Percentiles!$A$45:$I$59, 7, FALSE), perc_95, VLOOKUP(M$2, Percentiles!$A$45:$I$59, 8, FALSE), perc_85, perc_75 + (perc_90 - perc_75) * (2/3), converted_stat, '2K_Ratings'!M809, IF(bbgm_stat &gt;= perc_95, converted_stat * 3, IF(bbgm_stat &gt;= perc_90, converted_stat * 2, IF(bbgm_stat &gt;= perc_85, converted_stat * 1.5, converted_stat)))))</f>
        <v/>
      </c>
      <c r="N809" s="30" t="str">
        <f t="array" ref="N809">IF($A809="", "", LET(bbgm_stat, INDEX(Players!$A808:$P808, MATCH(N$2, Players!$A$1:$P$1, 0)), perc_75, VLOOKUP(N$2, Percentiles!$A$45:$I$59, 6, FALSE), perc_90, VLOOKUP(N$2, Percentiles!$A$45:$I$59, 7, FALSE), perc_95, VLOOKUP(N$2, Percentiles!$A$45:$I$59, 8, FALSE), perc_85, perc_75 + (perc_90 - perc_75) * (2/3), converted_stat, '2K_Ratings'!N809, IF(bbgm_stat &gt;= perc_95, converted_stat * 3, IF(bbgm_stat &gt;= perc_90, converted_stat * 2, IF(bbgm_stat &gt;= perc_85, converted_stat * 1.5, converted_stat)))))</f>
        <v/>
      </c>
      <c r="O809" s="30" t="str">
        <f t="array" ref="O809">IF($A809="", "", LET(bbgm_stat, INDEX(Players!$A808:$P808, MATCH(O$2, Players!$A$1:$P$1, 0)), perc_75, VLOOKUP(O$2, Percentiles!$A$45:$I$59, 6, FALSE), perc_90, VLOOKUP(O$2, Percentiles!$A$45:$I$59, 7, FALSE), perc_95, VLOOKUP(O$2, Percentiles!$A$45:$I$59, 8, FALSE), perc_85, perc_75 + (perc_90 - perc_75) * (2/3), converted_stat, '2K_Ratings'!O809, IF(bbgm_stat &gt;= perc_95, converted_stat * 3, IF(bbgm_stat &gt;= perc_90, converted_stat * 2, IF(bbgm_stat &gt;= perc_85, converted_stat * 1.5, converted_stat)))))</f>
        <v/>
      </c>
      <c r="P809" s="30" t="str">
        <f t="array" ref="P809">IF($A809="", "", LET(bbgm_stat, INDEX(Players!$A808:$P808, MATCH(P$2, Players!$A$1:$P$1, 0)), perc_75, VLOOKUP(P$2, Percentiles!$A$45:$I$59, 6, FALSE), perc_90, VLOOKUP(P$2, Percentiles!$A$45:$I$59, 7, FALSE), perc_95, VLOOKUP(P$2, Percentiles!$A$45:$I$59, 8, FALSE), perc_85, perc_75 + (perc_90 - perc_75) * (2/3), converted_stat, '2K_Ratings'!P809, IF(bbgm_stat &gt;= perc_95, converted_stat * 3, IF(bbgm_stat &gt;= perc_90, converted_stat * 2, IF(bbgm_stat &gt;= perc_85, converted_stat * 1.5, converted_stat)))))</f>
        <v/>
      </c>
      <c r="Q809" s="30" t="str">
        <f t="array" ref="Q809">IF($A809="", "", LET(bbgm_stat, INDEX(Players!$A808:$P808, MATCH(Q$2, Players!$A$1:$P$1, 0)), perc_75, VLOOKUP(Q$2, Percentiles!$A$45:$I$59, 6, FALSE), perc_90, VLOOKUP(Q$2, Percentiles!$A$45:$I$59, 7, FALSE), perc_95, VLOOKUP(Q$2, Percentiles!$A$45:$I$59, 8, FALSE), perc_85, perc_75 + (perc_90 - perc_75) * (2/3), converted_stat, '2K_Ratings'!Q809, IF(bbgm_stat &gt;= perc_95, converted_stat * 3, IF(bbgm_stat &gt;= perc_90, converted_stat * 2, IF(bbgm_stat &gt;= perc_85, converted_stat * 1.5, converted_stat)))))</f>
        <v/>
      </c>
      <c r="R809" s="30" t="str">
        <f t="array" ref="R809">IF($A809="", "", LET(bbgm_stat, INDEX(Players!$A808:$P808, MATCH(R$2, Players!$A$1:$P$1, 0)), perc_75, VLOOKUP(R$2, Percentiles!$A$45:$I$59, 6, FALSE), perc_90, VLOOKUP(R$2, Percentiles!$A$45:$I$59, 7, FALSE), perc_95, VLOOKUP(R$2, Percentiles!$A$45:$I$59, 8, FALSE), perc_85, perc_75 + (perc_90 - perc_75) * (2/3), converted_stat, '2K_Ratings'!R809, IF(bbgm_stat &gt;= perc_95, converted_stat * 3, IF(bbgm_stat &gt;= perc_90, converted_stat * 2, IF(bbgm_stat &gt;= perc_85, converted_stat * 1.5, converted_stat)))))</f>
        <v/>
      </c>
      <c r="S809" s="30" t="str">
        <f t="array" ref="S809">IF($A809="", "", LET(bbgm_stat, INDEX(Players!$A808:$P808, MATCH(S$2, Players!$A$1:$P$1, 0)), perc_75, VLOOKUP(S$2, Percentiles!$A$45:$I$59, 6, FALSE), perc_90, VLOOKUP(S$2, Percentiles!$A$45:$I$59, 7, FALSE), perc_95, VLOOKUP(S$2, Percentiles!$A$45:$I$59, 8, FALSE), perc_85, perc_75 + (perc_90 - perc_75) * (2/3), converted_stat, '2K_Ratings'!S809, IF(bbgm_stat &gt;= perc_95, converted_stat * 3, IF(bbgm_stat &gt;= perc_90, converted_stat * 2, IF(bbgm_stat &gt;= perc_85, converted_stat * 1.5, converted_stat)))))</f>
        <v/>
      </c>
      <c r="T809" s="30" t="str">
        <f t="array" ref="T809">IF($A809="", "", LET(bbgm_stat, INDEX(Players!$A808:$P808, MATCH(T$2, Players!$A$1:$P$1, 0)), perc_75, VLOOKUP(T$2, Percentiles!$A$45:$I$59, 6, FALSE), perc_90, VLOOKUP(T$2, Percentiles!$A$45:$I$59, 7, FALSE), perc_95, VLOOKUP(T$2, Percentiles!$A$45:$I$59, 8, FALSE), perc_85, perc_75 + (perc_90 - perc_75) * (2/3), converted_stat, '2K_Ratings'!T809, IF(bbgm_stat &gt;= perc_95, converted_stat * 3, IF(bbgm_stat &gt;= perc_90, converted_stat * 2, IF(bbgm_stat &gt;= perc_85, converted_stat * 1.5, converted_stat)))))</f>
        <v/>
      </c>
      <c r="U809" s="30" t="str">
        <f t="array" ref="U809">IF($A809="", "", LET(bbgm_stat, INDEX(Players!$A808:$P808, MATCH(U$2, Players!$A$1:$P$1, 0)), perc_75, VLOOKUP(U$2, Percentiles!$A$45:$I$59, 6, FALSE), perc_90, VLOOKUP(U$2, Percentiles!$A$45:$I$59, 7, FALSE), perc_95, VLOOKUP(U$2, Percentiles!$A$45:$I$59, 8, FALSE), perc_85, perc_75 + (perc_90 - perc_75) * (2/3), converted_stat, '2K_Ratings'!U809, IF(bbgm_stat &gt;= perc_95, converted_stat * 3, IF(bbgm_stat &gt;= perc_90, converted_stat * 2, IF(bbgm_stat &gt;= perc_85, converted_stat * 1.5, converted_stat)))))</f>
        <v/>
      </c>
      <c r="V809" s="30" t="str">
        <f t="array" ref="V809">IF($A809="", "", LET(bbgm_stat, INDEX(Players!$A808:$P808, MATCH(V$2, Players!$A$1:$P$1, 0)), perc_75, VLOOKUP(V$2, Percentiles!$A$45:$I$59, 6, FALSE), perc_90, VLOOKUP(V$2, Percentiles!$A$45:$I$59, 7, FALSE), perc_95, VLOOKUP(V$2, Percentiles!$A$45:$I$59, 8, FALSE), perc_85, perc_75 + (perc_90 - perc_75) * (2/3), converted_stat, '2K_Ratings'!V809, IF(bbgm_stat &gt;= perc_95, converted_stat * 3, IF(bbgm_stat &gt;= perc_90, converted_stat * 2, IF(bbgm_stat &gt;= perc_85, converted_stat * 1.5, converted_stat)))))</f>
        <v/>
      </c>
      <c r="W809" s="30" t="str">
        <f t="array" ref="W809">IF($A809="", "", LET(bbgm_stat, INDEX(Players!$A808:$P808, MATCH(W$2, Players!$A$1:$P$1, 0)), perc_75, VLOOKUP(W$2, Percentiles!$A$45:$I$59, 6, FALSE), perc_90, VLOOKUP(W$2, Percentiles!$A$45:$I$59, 7, FALSE), perc_95, VLOOKUP(W$2, Percentiles!$A$45:$I$59, 8, FALSE), perc_85, perc_75 + (perc_90 - perc_75) * (2/3), converted_stat, '2K_Ratings'!W809, IF(bbgm_stat &gt;= perc_95, converted_stat * 3, IF(bbgm_stat &gt;= perc_90, converted_stat * 2, IF(bbgm_stat &gt;= perc_85, converted_stat * 1.5, converted_stat)))))</f>
        <v/>
      </c>
    </row>
    <row r="810">
      <c r="A810" s="30"/>
      <c r="B810" s="30" t="str">
        <f t="array" ref="B810">IF($A810="", "", LET(bbgm_stat, INDEX(Players!$A809:$P809, MATCH(B$2, Players!$A$1:$P$1, 0)), perc_75, VLOOKUP(B$2, Percentiles!$A$45:$I$59, 6, FALSE), perc_90, VLOOKUP(B$2, Percentiles!$A$45:$I$59, 7, FALSE), perc_95, VLOOKUP(B$2, Percentiles!$A$45:$I$59, 8, FALSE), perc_85, perc_75 + (perc_90 - perc_75) * (2/3), converted_stat, '2K_Ratings'!B810, IF(bbgm_stat &gt;= perc_95, converted_stat * 3, IF(bbgm_stat &gt;= perc_90, converted_stat * 2, IF(bbgm_stat &gt;= perc_85, converted_stat * 1.5, converted_stat)))))</f>
        <v/>
      </c>
      <c r="C810" s="30" t="str">
        <f t="array" ref="C810">IF($A810="", "", LET(bbgm_stat, INDEX(Players!$A809:$P809, MATCH(C$2, Players!$A$1:$P$1, 0)), perc_75, VLOOKUP(C$2, Percentiles!$A$45:$I$59, 6, FALSE), perc_90, VLOOKUP(C$2, Percentiles!$A$45:$I$59, 7, FALSE), perc_95, VLOOKUP(C$2, Percentiles!$A$45:$I$59, 8, FALSE), perc_85, perc_75 + (perc_90 - perc_75) * (2/3), converted_stat, '2K_Ratings'!C810, IF(bbgm_stat &gt;= perc_95, converted_stat * 3, IF(bbgm_stat &gt;= perc_90, converted_stat * 2, IF(bbgm_stat &gt;= perc_85, converted_stat * 1.5, converted_stat)))))</f>
        <v/>
      </c>
      <c r="D810" s="30" t="str">
        <f t="array" ref="D810">IF($A810="", "", LET(bbgm_stat, INDEX(Players!$A809:$P809, MATCH(D$2, Players!$A$1:$P$1, 0)), perc_75, VLOOKUP(D$2, Percentiles!$A$45:$I$59, 6, FALSE), perc_90, VLOOKUP(D$2, Percentiles!$A$45:$I$59, 7, FALSE), perc_95, VLOOKUP(D$2, Percentiles!$A$45:$I$59, 8, FALSE), perc_85, perc_75 + (perc_90 - perc_75) * (2/3), converted_stat, '2K_Ratings'!D810, IF(bbgm_stat &gt;= perc_95, converted_stat * 3, IF(bbgm_stat &gt;= perc_90, converted_stat * 2, IF(bbgm_stat &gt;= perc_85, converted_stat * 1.5, converted_stat)))))</f>
        <v/>
      </c>
      <c r="E810" s="30" t="str">
        <f t="array" ref="E810">IF($A810="", "", LET(bbgm_stat, INDEX(Players!$A809:$P809, MATCH(E$2, Players!$A$1:$P$1, 0)), perc_75, VLOOKUP(E$2, Percentiles!$A$45:$I$59, 6, FALSE), perc_90, VLOOKUP(E$2, Percentiles!$A$45:$I$59, 7, FALSE), perc_95, VLOOKUP(E$2, Percentiles!$A$45:$I$59, 8, FALSE), perc_85, perc_75 + (perc_90 - perc_75) * (2/3), converted_stat, '2K_Ratings'!E810, IF(bbgm_stat &gt;= perc_95, converted_stat * 3, IF(bbgm_stat &gt;= perc_90, converted_stat * 2, IF(bbgm_stat &gt;= perc_85, converted_stat * 1.5, converted_stat)))))</f>
        <v/>
      </c>
      <c r="F810" s="30" t="str">
        <f t="array" ref="F810">IF($A810="", "", LET(bbgm_stat, INDEX(Players!$A809:$P809, MATCH(F$2, Players!$A$1:$P$1, 0)), perc_75, VLOOKUP(F$2, Percentiles!$A$45:$I$59, 6, FALSE), perc_90, VLOOKUP(F$2, Percentiles!$A$45:$I$59, 7, FALSE), perc_95, VLOOKUP(F$2, Percentiles!$A$45:$I$59, 8, FALSE), perc_85, perc_75 + (perc_90 - perc_75) * (2/3), converted_stat, '2K_Ratings'!F810, IF(bbgm_stat &gt;= perc_95, converted_stat * 3, IF(bbgm_stat &gt;= perc_90, converted_stat * 2, IF(bbgm_stat &gt;= perc_85, converted_stat * 1.5, converted_stat)))))</f>
        <v/>
      </c>
      <c r="G810" s="30" t="str">
        <f t="array" ref="G810">IF($A810="", "", LET(bbgm_stat, INDEX(Players!$A809:$P809, MATCH(G$2, Players!$A$1:$P$1, 0)), perc_75, VLOOKUP(G$2, Percentiles!$A$45:$I$59, 6, FALSE), perc_90, VLOOKUP(G$2, Percentiles!$A$45:$I$59, 7, FALSE), perc_95, VLOOKUP(G$2, Percentiles!$A$45:$I$59, 8, FALSE), perc_85, perc_75 + (perc_90 - perc_75) * (2/3), converted_stat, '2K_Ratings'!G810, IF(bbgm_stat &gt;= perc_95, converted_stat * 3, IF(bbgm_stat &gt;= perc_90, converted_stat * 2, IF(bbgm_stat &gt;= perc_85, converted_stat * 1.5, converted_stat)))))</f>
        <v/>
      </c>
      <c r="H810" s="30" t="str">
        <f t="array" ref="H810">IF($A810="", "", LET(bbgm_stat, INDEX(Players!$A809:$P809, MATCH(H$2, Players!$A$1:$P$1, 0)), perc_75, VLOOKUP(H$2, Percentiles!$A$45:$I$59, 6, FALSE), perc_90, VLOOKUP(H$2, Percentiles!$A$45:$I$59, 7, FALSE), perc_95, VLOOKUP(H$2, Percentiles!$A$45:$I$59, 8, FALSE), perc_85, perc_75 + (perc_90 - perc_75) * (2/3), converted_stat, '2K_Ratings'!H810, IF(bbgm_stat &gt;= perc_95, converted_stat * 3, IF(bbgm_stat &gt;= perc_90, converted_stat * 2, IF(bbgm_stat &gt;= perc_85, converted_stat * 1.5, converted_stat)))))</f>
        <v/>
      </c>
      <c r="I810" s="30" t="str">
        <f t="array" ref="I810">IF($A810="", "", LET(bbgm_stat, INDEX(Players!$A809:$P809, MATCH(I$2, Players!$A$1:$P$1, 0)), perc_75, VLOOKUP(I$2, Percentiles!$A$45:$I$59, 6, FALSE), perc_90, VLOOKUP(I$2, Percentiles!$A$45:$I$59, 7, FALSE), perc_95, VLOOKUP(I$2, Percentiles!$A$45:$I$59, 8, FALSE), perc_85, perc_75 + (perc_90 - perc_75) * (2/3), converted_stat, '2K_Ratings'!I810, IF(bbgm_stat &gt;= perc_95, converted_stat * 3, IF(bbgm_stat &gt;= perc_90, converted_stat * 2, IF(bbgm_stat &gt;= perc_85, converted_stat * 1.5, converted_stat)))))</f>
        <v/>
      </c>
      <c r="J810" s="30" t="str">
        <f t="array" ref="J810">IF($A810="", "", LET(bbgm_stat, INDEX(Players!$A809:$P809, MATCH(J$2, Players!$A$1:$P$1, 0)), perc_75, VLOOKUP(J$2, Percentiles!$A$45:$I$59, 6, FALSE), perc_90, VLOOKUP(J$2, Percentiles!$A$45:$I$59, 7, FALSE), perc_95, VLOOKUP(J$2, Percentiles!$A$45:$I$59, 8, FALSE), perc_85, perc_75 + (perc_90 - perc_75) * (2/3), converted_stat, '2K_Ratings'!J810, IF(bbgm_stat &gt;= perc_95, converted_stat * 3, IF(bbgm_stat &gt;= perc_90, converted_stat * 2, IF(bbgm_stat &gt;= perc_85, converted_stat * 1.5, converted_stat)))))</f>
        <v/>
      </c>
      <c r="K810" s="30" t="str">
        <f t="array" ref="K810">IF($A810="", "", LET(bbgm_stat, INDEX(Players!$A809:$P809, MATCH(K$2, Players!$A$1:$P$1, 0)), perc_75, VLOOKUP(K$2, Percentiles!$A$45:$I$59, 6, FALSE), perc_90, VLOOKUP(K$2, Percentiles!$A$45:$I$59, 7, FALSE), perc_95, VLOOKUP(K$2, Percentiles!$A$45:$I$59, 8, FALSE), perc_85, perc_75 + (perc_90 - perc_75) * (2/3), converted_stat, '2K_Ratings'!K810, IF(bbgm_stat &gt;= perc_95, converted_stat * 3, IF(bbgm_stat &gt;= perc_90, converted_stat * 2, IF(bbgm_stat &gt;= perc_85, converted_stat * 1.5, converted_stat)))))</f>
        <v/>
      </c>
      <c r="L810" s="30" t="str">
        <f t="array" ref="L810">IF($A810="", "", LET(bbgm_stat, INDEX(Players!$A809:$P809, MATCH(L$2, Players!$A$1:$P$1, 0)), perc_75, VLOOKUP(L$2, Percentiles!$A$45:$I$59, 6, FALSE), perc_90, VLOOKUP(L$2, Percentiles!$A$45:$I$59, 7, FALSE), perc_95, VLOOKUP(L$2, Percentiles!$A$45:$I$59, 8, FALSE), perc_85, perc_75 + (perc_90 - perc_75) * (2/3), converted_stat, '2K_Ratings'!L810, IF(bbgm_stat &gt;= perc_95, converted_stat * 3, IF(bbgm_stat &gt;= perc_90, converted_stat * 2, IF(bbgm_stat &gt;= perc_85, converted_stat * 1.5, converted_stat)))))</f>
        <v/>
      </c>
      <c r="M810" s="30" t="str">
        <f t="array" ref="M810">IF($A810="", "", LET(bbgm_stat, INDEX(Players!$A809:$P809, MATCH(M$2, Players!$A$1:$P$1, 0)), perc_75, VLOOKUP(M$2, Percentiles!$A$45:$I$59, 6, FALSE), perc_90, VLOOKUP(M$2, Percentiles!$A$45:$I$59, 7, FALSE), perc_95, VLOOKUP(M$2, Percentiles!$A$45:$I$59, 8, FALSE), perc_85, perc_75 + (perc_90 - perc_75) * (2/3), converted_stat, '2K_Ratings'!M810, IF(bbgm_stat &gt;= perc_95, converted_stat * 3, IF(bbgm_stat &gt;= perc_90, converted_stat * 2, IF(bbgm_stat &gt;= perc_85, converted_stat * 1.5, converted_stat)))))</f>
        <v/>
      </c>
      <c r="N810" s="30" t="str">
        <f t="array" ref="N810">IF($A810="", "", LET(bbgm_stat, INDEX(Players!$A809:$P809, MATCH(N$2, Players!$A$1:$P$1, 0)), perc_75, VLOOKUP(N$2, Percentiles!$A$45:$I$59, 6, FALSE), perc_90, VLOOKUP(N$2, Percentiles!$A$45:$I$59, 7, FALSE), perc_95, VLOOKUP(N$2, Percentiles!$A$45:$I$59, 8, FALSE), perc_85, perc_75 + (perc_90 - perc_75) * (2/3), converted_stat, '2K_Ratings'!N810, IF(bbgm_stat &gt;= perc_95, converted_stat * 3, IF(bbgm_stat &gt;= perc_90, converted_stat * 2, IF(bbgm_stat &gt;= perc_85, converted_stat * 1.5, converted_stat)))))</f>
        <v/>
      </c>
      <c r="O810" s="30" t="str">
        <f t="array" ref="O810">IF($A810="", "", LET(bbgm_stat, INDEX(Players!$A809:$P809, MATCH(O$2, Players!$A$1:$P$1, 0)), perc_75, VLOOKUP(O$2, Percentiles!$A$45:$I$59, 6, FALSE), perc_90, VLOOKUP(O$2, Percentiles!$A$45:$I$59, 7, FALSE), perc_95, VLOOKUP(O$2, Percentiles!$A$45:$I$59, 8, FALSE), perc_85, perc_75 + (perc_90 - perc_75) * (2/3), converted_stat, '2K_Ratings'!O810, IF(bbgm_stat &gt;= perc_95, converted_stat * 3, IF(bbgm_stat &gt;= perc_90, converted_stat * 2, IF(bbgm_stat &gt;= perc_85, converted_stat * 1.5, converted_stat)))))</f>
        <v/>
      </c>
      <c r="P810" s="30" t="str">
        <f t="array" ref="P810">IF($A810="", "", LET(bbgm_stat, INDEX(Players!$A809:$P809, MATCH(P$2, Players!$A$1:$P$1, 0)), perc_75, VLOOKUP(P$2, Percentiles!$A$45:$I$59, 6, FALSE), perc_90, VLOOKUP(P$2, Percentiles!$A$45:$I$59, 7, FALSE), perc_95, VLOOKUP(P$2, Percentiles!$A$45:$I$59, 8, FALSE), perc_85, perc_75 + (perc_90 - perc_75) * (2/3), converted_stat, '2K_Ratings'!P810, IF(bbgm_stat &gt;= perc_95, converted_stat * 3, IF(bbgm_stat &gt;= perc_90, converted_stat * 2, IF(bbgm_stat &gt;= perc_85, converted_stat * 1.5, converted_stat)))))</f>
        <v/>
      </c>
      <c r="Q810" s="30" t="str">
        <f t="array" ref="Q810">IF($A810="", "", LET(bbgm_stat, INDEX(Players!$A809:$P809, MATCH(Q$2, Players!$A$1:$P$1, 0)), perc_75, VLOOKUP(Q$2, Percentiles!$A$45:$I$59, 6, FALSE), perc_90, VLOOKUP(Q$2, Percentiles!$A$45:$I$59, 7, FALSE), perc_95, VLOOKUP(Q$2, Percentiles!$A$45:$I$59, 8, FALSE), perc_85, perc_75 + (perc_90 - perc_75) * (2/3), converted_stat, '2K_Ratings'!Q810, IF(bbgm_stat &gt;= perc_95, converted_stat * 3, IF(bbgm_stat &gt;= perc_90, converted_stat * 2, IF(bbgm_stat &gt;= perc_85, converted_stat * 1.5, converted_stat)))))</f>
        <v/>
      </c>
      <c r="R810" s="30" t="str">
        <f t="array" ref="R810">IF($A810="", "", LET(bbgm_stat, INDEX(Players!$A809:$P809, MATCH(R$2, Players!$A$1:$P$1, 0)), perc_75, VLOOKUP(R$2, Percentiles!$A$45:$I$59, 6, FALSE), perc_90, VLOOKUP(R$2, Percentiles!$A$45:$I$59, 7, FALSE), perc_95, VLOOKUP(R$2, Percentiles!$A$45:$I$59, 8, FALSE), perc_85, perc_75 + (perc_90 - perc_75) * (2/3), converted_stat, '2K_Ratings'!R810, IF(bbgm_stat &gt;= perc_95, converted_stat * 3, IF(bbgm_stat &gt;= perc_90, converted_stat * 2, IF(bbgm_stat &gt;= perc_85, converted_stat * 1.5, converted_stat)))))</f>
        <v/>
      </c>
      <c r="S810" s="30" t="str">
        <f t="array" ref="S810">IF($A810="", "", LET(bbgm_stat, INDEX(Players!$A809:$P809, MATCH(S$2, Players!$A$1:$P$1, 0)), perc_75, VLOOKUP(S$2, Percentiles!$A$45:$I$59, 6, FALSE), perc_90, VLOOKUP(S$2, Percentiles!$A$45:$I$59, 7, FALSE), perc_95, VLOOKUP(S$2, Percentiles!$A$45:$I$59, 8, FALSE), perc_85, perc_75 + (perc_90 - perc_75) * (2/3), converted_stat, '2K_Ratings'!S810, IF(bbgm_stat &gt;= perc_95, converted_stat * 3, IF(bbgm_stat &gt;= perc_90, converted_stat * 2, IF(bbgm_stat &gt;= perc_85, converted_stat * 1.5, converted_stat)))))</f>
        <v/>
      </c>
      <c r="T810" s="30" t="str">
        <f t="array" ref="T810">IF($A810="", "", LET(bbgm_stat, INDEX(Players!$A809:$P809, MATCH(T$2, Players!$A$1:$P$1, 0)), perc_75, VLOOKUP(T$2, Percentiles!$A$45:$I$59, 6, FALSE), perc_90, VLOOKUP(T$2, Percentiles!$A$45:$I$59, 7, FALSE), perc_95, VLOOKUP(T$2, Percentiles!$A$45:$I$59, 8, FALSE), perc_85, perc_75 + (perc_90 - perc_75) * (2/3), converted_stat, '2K_Ratings'!T810, IF(bbgm_stat &gt;= perc_95, converted_stat * 3, IF(bbgm_stat &gt;= perc_90, converted_stat * 2, IF(bbgm_stat &gt;= perc_85, converted_stat * 1.5, converted_stat)))))</f>
        <v/>
      </c>
      <c r="U810" s="30" t="str">
        <f t="array" ref="U810">IF($A810="", "", LET(bbgm_stat, INDEX(Players!$A809:$P809, MATCH(U$2, Players!$A$1:$P$1, 0)), perc_75, VLOOKUP(U$2, Percentiles!$A$45:$I$59, 6, FALSE), perc_90, VLOOKUP(U$2, Percentiles!$A$45:$I$59, 7, FALSE), perc_95, VLOOKUP(U$2, Percentiles!$A$45:$I$59, 8, FALSE), perc_85, perc_75 + (perc_90 - perc_75) * (2/3), converted_stat, '2K_Ratings'!U810, IF(bbgm_stat &gt;= perc_95, converted_stat * 3, IF(bbgm_stat &gt;= perc_90, converted_stat * 2, IF(bbgm_stat &gt;= perc_85, converted_stat * 1.5, converted_stat)))))</f>
        <v/>
      </c>
      <c r="V810" s="30" t="str">
        <f t="array" ref="V810">IF($A810="", "", LET(bbgm_stat, INDEX(Players!$A809:$P809, MATCH(V$2, Players!$A$1:$P$1, 0)), perc_75, VLOOKUP(V$2, Percentiles!$A$45:$I$59, 6, FALSE), perc_90, VLOOKUP(V$2, Percentiles!$A$45:$I$59, 7, FALSE), perc_95, VLOOKUP(V$2, Percentiles!$A$45:$I$59, 8, FALSE), perc_85, perc_75 + (perc_90 - perc_75) * (2/3), converted_stat, '2K_Ratings'!V810, IF(bbgm_stat &gt;= perc_95, converted_stat * 3, IF(bbgm_stat &gt;= perc_90, converted_stat * 2, IF(bbgm_stat &gt;= perc_85, converted_stat * 1.5, converted_stat)))))</f>
        <v/>
      </c>
      <c r="W810" s="30" t="str">
        <f t="array" ref="W810">IF($A810="", "", LET(bbgm_stat, INDEX(Players!$A809:$P809, MATCH(W$2, Players!$A$1:$P$1, 0)), perc_75, VLOOKUP(W$2, Percentiles!$A$45:$I$59, 6, FALSE), perc_90, VLOOKUP(W$2, Percentiles!$A$45:$I$59, 7, FALSE), perc_95, VLOOKUP(W$2, Percentiles!$A$45:$I$59, 8, FALSE), perc_85, perc_75 + (perc_90 - perc_75) * (2/3), converted_stat, '2K_Ratings'!W810, IF(bbgm_stat &gt;= perc_95, converted_stat * 3, IF(bbgm_stat &gt;= perc_90, converted_stat * 2, IF(bbgm_stat &gt;= perc_85, converted_stat * 1.5, converted_stat)))))</f>
        <v/>
      </c>
    </row>
    <row r="811">
      <c r="A811" s="30"/>
      <c r="B811" s="30" t="str">
        <f t="array" ref="B811">IF($A811="", "", LET(bbgm_stat, INDEX(Players!$A810:$P810, MATCH(B$2, Players!$A$1:$P$1, 0)), perc_75, VLOOKUP(B$2, Percentiles!$A$45:$I$59, 6, FALSE), perc_90, VLOOKUP(B$2, Percentiles!$A$45:$I$59, 7, FALSE), perc_95, VLOOKUP(B$2, Percentiles!$A$45:$I$59, 8, FALSE), perc_85, perc_75 + (perc_90 - perc_75) * (2/3), converted_stat, '2K_Ratings'!B811, IF(bbgm_stat &gt;= perc_95, converted_stat * 3, IF(bbgm_stat &gt;= perc_90, converted_stat * 2, IF(bbgm_stat &gt;= perc_85, converted_stat * 1.5, converted_stat)))))</f>
        <v/>
      </c>
      <c r="C811" s="30" t="str">
        <f t="array" ref="C811">IF($A811="", "", LET(bbgm_stat, INDEX(Players!$A810:$P810, MATCH(C$2, Players!$A$1:$P$1, 0)), perc_75, VLOOKUP(C$2, Percentiles!$A$45:$I$59, 6, FALSE), perc_90, VLOOKUP(C$2, Percentiles!$A$45:$I$59, 7, FALSE), perc_95, VLOOKUP(C$2, Percentiles!$A$45:$I$59, 8, FALSE), perc_85, perc_75 + (perc_90 - perc_75) * (2/3), converted_stat, '2K_Ratings'!C811, IF(bbgm_stat &gt;= perc_95, converted_stat * 3, IF(bbgm_stat &gt;= perc_90, converted_stat * 2, IF(bbgm_stat &gt;= perc_85, converted_stat * 1.5, converted_stat)))))</f>
        <v/>
      </c>
      <c r="D811" s="30" t="str">
        <f t="array" ref="D811">IF($A811="", "", LET(bbgm_stat, INDEX(Players!$A810:$P810, MATCH(D$2, Players!$A$1:$P$1, 0)), perc_75, VLOOKUP(D$2, Percentiles!$A$45:$I$59, 6, FALSE), perc_90, VLOOKUP(D$2, Percentiles!$A$45:$I$59, 7, FALSE), perc_95, VLOOKUP(D$2, Percentiles!$A$45:$I$59, 8, FALSE), perc_85, perc_75 + (perc_90 - perc_75) * (2/3), converted_stat, '2K_Ratings'!D811, IF(bbgm_stat &gt;= perc_95, converted_stat * 3, IF(bbgm_stat &gt;= perc_90, converted_stat * 2, IF(bbgm_stat &gt;= perc_85, converted_stat * 1.5, converted_stat)))))</f>
        <v/>
      </c>
      <c r="E811" s="30" t="str">
        <f t="array" ref="E811">IF($A811="", "", LET(bbgm_stat, INDEX(Players!$A810:$P810, MATCH(E$2, Players!$A$1:$P$1, 0)), perc_75, VLOOKUP(E$2, Percentiles!$A$45:$I$59, 6, FALSE), perc_90, VLOOKUP(E$2, Percentiles!$A$45:$I$59, 7, FALSE), perc_95, VLOOKUP(E$2, Percentiles!$A$45:$I$59, 8, FALSE), perc_85, perc_75 + (perc_90 - perc_75) * (2/3), converted_stat, '2K_Ratings'!E811, IF(bbgm_stat &gt;= perc_95, converted_stat * 3, IF(bbgm_stat &gt;= perc_90, converted_stat * 2, IF(bbgm_stat &gt;= perc_85, converted_stat * 1.5, converted_stat)))))</f>
        <v/>
      </c>
      <c r="F811" s="30" t="str">
        <f t="array" ref="F811">IF($A811="", "", LET(bbgm_stat, INDEX(Players!$A810:$P810, MATCH(F$2, Players!$A$1:$P$1, 0)), perc_75, VLOOKUP(F$2, Percentiles!$A$45:$I$59, 6, FALSE), perc_90, VLOOKUP(F$2, Percentiles!$A$45:$I$59, 7, FALSE), perc_95, VLOOKUP(F$2, Percentiles!$A$45:$I$59, 8, FALSE), perc_85, perc_75 + (perc_90 - perc_75) * (2/3), converted_stat, '2K_Ratings'!F811, IF(bbgm_stat &gt;= perc_95, converted_stat * 3, IF(bbgm_stat &gt;= perc_90, converted_stat * 2, IF(bbgm_stat &gt;= perc_85, converted_stat * 1.5, converted_stat)))))</f>
        <v/>
      </c>
      <c r="G811" s="30" t="str">
        <f t="array" ref="G811">IF($A811="", "", LET(bbgm_stat, INDEX(Players!$A810:$P810, MATCH(G$2, Players!$A$1:$P$1, 0)), perc_75, VLOOKUP(G$2, Percentiles!$A$45:$I$59, 6, FALSE), perc_90, VLOOKUP(G$2, Percentiles!$A$45:$I$59, 7, FALSE), perc_95, VLOOKUP(G$2, Percentiles!$A$45:$I$59, 8, FALSE), perc_85, perc_75 + (perc_90 - perc_75) * (2/3), converted_stat, '2K_Ratings'!G811, IF(bbgm_stat &gt;= perc_95, converted_stat * 3, IF(bbgm_stat &gt;= perc_90, converted_stat * 2, IF(bbgm_stat &gt;= perc_85, converted_stat * 1.5, converted_stat)))))</f>
        <v/>
      </c>
      <c r="H811" s="30" t="str">
        <f t="array" ref="H811">IF($A811="", "", LET(bbgm_stat, INDEX(Players!$A810:$P810, MATCH(H$2, Players!$A$1:$P$1, 0)), perc_75, VLOOKUP(H$2, Percentiles!$A$45:$I$59, 6, FALSE), perc_90, VLOOKUP(H$2, Percentiles!$A$45:$I$59, 7, FALSE), perc_95, VLOOKUP(H$2, Percentiles!$A$45:$I$59, 8, FALSE), perc_85, perc_75 + (perc_90 - perc_75) * (2/3), converted_stat, '2K_Ratings'!H811, IF(bbgm_stat &gt;= perc_95, converted_stat * 3, IF(bbgm_stat &gt;= perc_90, converted_stat * 2, IF(bbgm_stat &gt;= perc_85, converted_stat * 1.5, converted_stat)))))</f>
        <v/>
      </c>
      <c r="I811" s="30" t="str">
        <f t="array" ref="I811">IF($A811="", "", LET(bbgm_stat, INDEX(Players!$A810:$P810, MATCH(I$2, Players!$A$1:$P$1, 0)), perc_75, VLOOKUP(I$2, Percentiles!$A$45:$I$59, 6, FALSE), perc_90, VLOOKUP(I$2, Percentiles!$A$45:$I$59, 7, FALSE), perc_95, VLOOKUP(I$2, Percentiles!$A$45:$I$59, 8, FALSE), perc_85, perc_75 + (perc_90 - perc_75) * (2/3), converted_stat, '2K_Ratings'!I811, IF(bbgm_stat &gt;= perc_95, converted_stat * 3, IF(bbgm_stat &gt;= perc_90, converted_stat * 2, IF(bbgm_stat &gt;= perc_85, converted_stat * 1.5, converted_stat)))))</f>
        <v/>
      </c>
      <c r="J811" s="30" t="str">
        <f t="array" ref="J811">IF($A811="", "", LET(bbgm_stat, INDEX(Players!$A810:$P810, MATCH(J$2, Players!$A$1:$P$1, 0)), perc_75, VLOOKUP(J$2, Percentiles!$A$45:$I$59, 6, FALSE), perc_90, VLOOKUP(J$2, Percentiles!$A$45:$I$59, 7, FALSE), perc_95, VLOOKUP(J$2, Percentiles!$A$45:$I$59, 8, FALSE), perc_85, perc_75 + (perc_90 - perc_75) * (2/3), converted_stat, '2K_Ratings'!J811, IF(bbgm_stat &gt;= perc_95, converted_stat * 3, IF(bbgm_stat &gt;= perc_90, converted_stat * 2, IF(bbgm_stat &gt;= perc_85, converted_stat * 1.5, converted_stat)))))</f>
        <v/>
      </c>
      <c r="K811" s="30" t="str">
        <f t="array" ref="K811">IF($A811="", "", LET(bbgm_stat, INDEX(Players!$A810:$P810, MATCH(K$2, Players!$A$1:$P$1, 0)), perc_75, VLOOKUP(K$2, Percentiles!$A$45:$I$59, 6, FALSE), perc_90, VLOOKUP(K$2, Percentiles!$A$45:$I$59, 7, FALSE), perc_95, VLOOKUP(K$2, Percentiles!$A$45:$I$59, 8, FALSE), perc_85, perc_75 + (perc_90 - perc_75) * (2/3), converted_stat, '2K_Ratings'!K811, IF(bbgm_stat &gt;= perc_95, converted_stat * 3, IF(bbgm_stat &gt;= perc_90, converted_stat * 2, IF(bbgm_stat &gt;= perc_85, converted_stat * 1.5, converted_stat)))))</f>
        <v/>
      </c>
      <c r="L811" s="30" t="str">
        <f t="array" ref="L811">IF($A811="", "", LET(bbgm_stat, INDEX(Players!$A810:$P810, MATCH(L$2, Players!$A$1:$P$1, 0)), perc_75, VLOOKUP(L$2, Percentiles!$A$45:$I$59, 6, FALSE), perc_90, VLOOKUP(L$2, Percentiles!$A$45:$I$59, 7, FALSE), perc_95, VLOOKUP(L$2, Percentiles!$A$45:$I$59, 8, FALSE), perc_85, perc_75 + (perc_90 - perc_75) * (2/3), converted_stat, '2K_Ratings'!L811, IF(bbgm_stat &gt;= perc_95, converted_stat * 3, IF(bbgm_stat &gt;= perc_90, converted_stat * 2, IF(bbgm_stat &gt;= perc_85, converted_stat * 1.5, converted_stat)))))</f>
        <v/>
      </c>
      <c r="M811" s="30" t="str">
        <f t="array" ref="M811">IF($A811="", "", LET(bbgm_stat, INDEX(Players!$A810:$P810, MATCH(M$2, Players!$A$1:$P$1, 0)), perc_75, VLOOKUP(M$2, Percentiles!$A$45:$I$59, 6, FALSE), perc_90, VLOOKUP(M$2, Percentiles!$A$45:$I$59, 7, FALSE), perc_95, VLOOKUP(M$2, Percentiles!$A$45:$I$59, 8, FALSE), perc_85, perc_75 + (perc_90 - perc_75) * (2/3), converted_stat, '2K_Ratings'!M811, IF(bbgm_stat &gt;= perc_95, converted_stat * 3, IF(bbgm_stat &gt;= perc_90, converted_stat * 2, IF(bbgm_stat &gt;= perc_85, converted_stat * 1.5, converted_stat)))))</f>
        <v/>
      </c>
      <c r="N811" s="30" t="str">
        <f t="array" ref="N811">IF($A811="", "", LET(bbgm_stat, INDEX(Players!$A810:$P810, MATCH(N$2, Players!$A$1:$P$1, 0)), perc_75, VLOOKUP(N$2, Percentiles!$A$45:$I$59, 6, FALSE), perc_90, VLOOKUP(N$2, Percentiles!$A$45:$I$59, 7, FALSE), perc_95, VLOOKUP(N$2, Percentiles!$A$45:$I$59, 8, FALSE), perc_85, perc_75 + (perc_90 - perc_75) * (2/3), converted_stat, '2K_Ratings'!N811, IF(bbgm_stat &gt;= perc_95, converted_stat * 3, IF(bbgm_stat &gt;= perc_90, converted_stat * 2, IF(bbgm_stat &gt;= perc_85, converted_stat * 1.5, converted_stat)))))</f>
        <v/>
      </c>
      <c r="O811" s="30" t="str">
        <f t="array" ref="O811">IF($A811="", "", LET(bbgm_stat, INDEX(Players!$A810:$P810, MATCH(O$2, Players!$A$1:$P$1, 0)), perc_75, VLOOKUP(O$2, Percentiles!$A$45:$I$59, 6, FALSE), perc_90, VLOOKUP(O$2, Percentiles!$A$45:$I$59, 7, FALSE), perc_95, VLOOKUP(O$2, Percentiles!$A$45:$I$59, 8, FALSE), perc_85, perc_75 + (perc_90 - perc_75) * (2/3), converted_stat, '2K_Ratings'!O811, IF(bbgm_stat &gt;= perc_95, converted_stat * 3, IF(bbgm_stat &gt;= perc_90, converted_stat * 2, IF(bbgm_stat &gt;= perc_85, converted_stat * 1.5, converted_stat)))))</f>
        <v/>
      </c>
      <c r="P811" s="30" t="str">
        <f t="array" ref="P811">IF($A811="", "", LET(bbgm_stat, INDEX(Players!$A810:$P810, MATCH(P$2, Players!$A$1:$P$1, 0)), perc_75, VLOOKUP(P$2, Percentiles!$A$45:$I$59, 6, FALSE), perc_90, VLOOKUP(P$2, Percentiles!$A$45:$I$59, 7, FALSE), perc_95, VLOOKUP(P$2, Percentiles!$A$45:$I$59, 8, FALSE), perc_85, perc_75 + (perc_90 - perc_75) * (2/3), converted_stat, '2K_Ratings'!P811, IF(bbgm_stat &gt;= perc_95, converted_stat * 3, IF(bbgm_stat &gt;= perc_90, converted_stat * 2, IF(bbgm_stat &gt;= perc_85, converted_stat * 1.5, converted_stat)))))</f>
        <v/>
      </c>
      <c r="Q811" s="30" t="str">
        <f t="array" ref="Q811">IF($A811="", "", LET(bbgm_stat, INDEX(Players!$A810:$P810, MATCH(Q$2, Players!$A$1:$P$1, 0)), perc_75, VLOOKUP(Q$2, Percentiles!$A$45:$I$59, 6, FALSE), perc_90, VLOOKUP(Q$2, Percentiles!$A$45:$I$59, 7, FALSE), perc_95, VLOOKUP(Q$2, Percentiles!$A$45:$I$59, 8, FALSE), perc_85, perc_75 + (perc_90 - perc_75) * (2/3), converted_stat, '2K_Ratings'!Q811, IF(bbgm_stat &gt;= perc_95, converted_stat * 3, IF(bbgm_stat &gt;= perc_90, converted_stat * 2, IF(bbgm_stat &gt;= perc_85, converted_stat * 1.5, converted_stat)))))</f>
        <v/>
      </c>
      <c r="R811" s="30" t="str">
        <f t="array" ref="R811">IF($A811="", "", LET(bbgm_stat, INDEX(Players!$A810:$P810, MATCH(R$2, Players!$A$1:$P$1, 0)), perc_75, VLOOKUP(R$2, Percentiles!$A$45:$I$59, 6, FALSE), perc_90, VLOOKUP(R$2, Percentiles!$A$45:$I$59, 7, FALSE), perc_95, VLOOKUP(R$2, Percentiles!$A$45:$I$59, 8, FALSE), perc_85, perc_75 + (perc_90 - perc_75) * (2/3), converted_stat, '2K_Ratings'!R811, IF(bbgm_stat &gt;= perc_95, converted_stat * 3, IF(bbgm_stat &gt;= perc_90, converted_stat * 2, IF(bbgm_stat &gt;= perc_85, converted_stat * 1.5, converted_stat)))))</f>
        <v/>
      </c>
      <c r="S811" s="30" t="str">
        <f t="array" ref="S811">IF($A811="", "", LET(bbgm_stat, INDEX(Players!$A810:$P810, MATCH(S$2, Players!$A$1:$P$1, 0)), perc_75, VLOOKUP(S$2, Percentiles!$A$45:$I$59, 6, FALSE), perc_90, VLOOKUP(S$2, Percentiles!$A$45:$I$59, 7, FALSE), perc_95, VLOOKUP(S$2, Percentiles!$A$45:$I$59, 8, FALSE), perc_85, perc_75 + (perc_90 - perc_75) * (2/3), converted_stat, '2K_Ratings'!S811, IF(bbgm_stat &gt;= perc_95, converted_stat * 3, IF(bbgm_stat &gt;= perc_90, converted_stat * 2, IF(bbgm_stat &gt;= perc_85, converted_stat * 1.5, converted_stat)))))</f>
        <v/>
      </c>
      <c r="T811" s="30" t="str">
        <f t="array" ref="T811">IF($A811="", "", LET(bbgm_stat, INDEX(Players!$A810:$P810, MATCH(T$2, Players!$A$1:$P$1, 0)), perc_75, VLOOKUP(T$2, Percentiles!$A$45:$I$59, 6, FALSE), perc_90, VLOOKUP(T$2, Percentiles!$A$45:$I$59, 7, FALSE), perc_95, VLOOKUP(T$2, Percentiles!$A$45:$I$59, 8, FALSE), perc_85, perc_75 + (perc_90 - perc_75) * (2/3), converted_stat, '2K_Ratings'!T811, IF(bbgm_stat &gt;= perc_95, converted_stat * 3, IF(bbgm_stat &gt;= perc_90, converted_stat * 2, IF(bbgm_stat &gt;= perc_85, converted_stat * 1.5, converted_stat)))))</f>
        <v/>
      </c>
      <c r="U811" s="30" t="str">
        <f t="array" ref="U811">IF($A811="", "", LET(bbgm_stat, INDEX(Players!$A810:$P810, MATCH(U$2, Players!$A$1:$P$1, 0)), perc_75, VLOOKUP(U$2, Percentiles!$A$45:$I$59, 6, FALSE), perc_90, VLOOKUP(U$2, Percentiles!$A$45:$I$59, 7, FALSE), perc_95, VLOOKUP(U$2, Percentiles!$A$45:$I$59, 8, FALSE), perc_85, perc_75 + (perc_90 - perc_75) * (2/3), converted_stat, '2K_Ratings'!U811, IF(bbgm_stat &gt;= perc_95, converted_stat * 3, IF(bbgm_stat &gt;= perc_90, converted_stat * 2, IF(bbgm_stat &gt;= perc_85, converted_stat * 1.5, converted_stat)))))</f>
        <v/>
      </c>
      <c r="V811" s="30" t="str">
        <f t="array" ref="V811">IF($A811="", "", LET(bbgm_stat, INDEX(Players!$A810:$P810, MATCH(V$2, Players!$A$1:$P$1, 0)), perc_75, VLOOKUP(V$2, Percentiles!$A$45:$I$59, 6, FALSE), perc_90, VLOOKUP(V$2, Percentiles!$A$45:$I$59, 7, FALSE), perc_95, VLOOKUP(V$2, Percentiles!$A$45:$I$59, 8, FALSE), perc_85, perc_75 + (perc_90 - perc_75) * (2/3), converted_stat, '2K_Ratings'!V811, IF(bbgm_stat &gt;= perc_95, converted_stat * 3, IF(bbgm_stat &gt;= perc_90, converted_stat * 2, IF(bbgm_stat &gt;= perc_85, converted_stat * 1.5, converted_stat)))))</f>
        <v/>
      </c>
      <c r="W811" s="30" t="str">
        <f t="array" ref="W811">IF($A811="", "", LET(bbgm_stat, INDEX(Players!$A810:$P810, MATCH(W$2, Players!$A$1:$P$1, 0)), perc_75, VLOOKUP(W$2, Percentiles!$A$45:$I$59, 6, FALSE), perc_90, VLOOKUP(W$2, Percentiles!$A$45:$I$59, 7, FALSE), perc_95, VLOOKUP(W$2, Percentiles!$A$45:$I$59, 8, FALSE), perc_85, perc_75 + (perc_90 - perc_75) * (2/3), converted_stat, '2K_Ratings'!W811, IF(bbgm_stat &gt;= perc_95, converted_stat * 3, IF(bbgm_stat &gt;= perc_90, converted_stat * 2, IF(bbgm_stat &gt;= perc_85, converted_stat * 1.5, converted_stat)))))</f>
        <v/>
      </c>
    </row>
    <row r="812">
      <c r="A812" s="30"/>
      <c r="B812" s="30" t="str">
        <f t="array" ref="B812">IF($A812="", "", LET(bbgm_stat, INDEX(Players!$A811:$P811, MATCH(B$2, Players!$A$1:$P$1, 0)), perc_75, VLOOKUP(B$2, Percentiles!$A$45:$I$59, 6, FALSE), perc_90, VLOOKUP(B$2, Percentiles!$A$45:$I$59, 7, FALSE), perc_95, VLOOKUP(B$2, Percentiles!$A$45:$I$59, 8, FALSE), perc_85, perc_75 + (perc_90 - perc_75) * (2/3), converted_stat, '2K_Ratings'!B812, IF(bbgm_stat &gt;= perc_95, converted_stat * 3, IF(bbgm_stat &gt;= perc_90, converted_stat * 2, IF(bbgm_stat &gt;= perc_85, converted_stat * 1.5, converted_stat)))))</f>
        <v/>
      </c>
      <c r="C812" s="30" t="str">
        <f t="array" ref="C812">IF($A812="", "", LET(bbgm_stat, INDEX(Players!$A811:$P811, MATCH(C$2, Players!$A$1:$P$1, 0)), perc_75, VLOOKUP(C$2, Percentiles!$A$45:$I$59, 6, FALSE), perc_90, VLOOKUP(C$2, Percentiles!$A$45:$I$59, 7, FALSE), perc_95, VLOOKUP(C$2, Percentiles!$A$45:$I$59, 8, FALSE), perc_85, perc_75 + (perc_90 - perc_75) * (2/3), converted_stat, '2K_Ratings'!C812, IF(bbgm_stat &gt;= perc_95, converted_stat * 3, IF(bbgm_stat &gt;= perc_90, converted_stat * 2, IF(bbgm_stat &gt;= perc_85, converted_stat * 1.5, converted_stat)))))</f>
        <v/>
      </c>
      <c r="D812" s="30" t="str">
        <f t="array" ref="D812">IF($A812="", "", LET(bbgm_stat, INDEX(Players!$A811:$P811, MATCH(D$2, Players!$A$1:$P$1, 0)), perc_75, VLOOKUP(D$2, Percentiles!$A$45:$I$59, 6, FALSE), perc_90, VLOOKUP(D$2, Percentiles!$A$45:$I$59, 7, FALSE), perc_95, VLOOKUP(D$2, Percentiles!$A$45:$I$59, 8, FALSE), perc_85, perc_75 + (perc_90 - perc_75) * (2/3), converted_stat, '2K_Ratings'!D812, IF(bbgm_stat &gt;= perc_95, converted_stat * 3, IF(bbgm_stat &gt;= perc_90, converted_stat * 2, IF(bbgm_stat &gt;= perc_85, converted_stat * 1.5, converted_stat)))))</f>
        <v/>
      </c>
      <c r="E812" s="30" t="str">
        <f t="array" ref="E812">IF($A812="", "", LET(bbgm_stat, INDEX(Players!$A811:$P811, MATCH(E$2, Players!$A$1:$P$1, 0)), perc_75, VLOOKUP(E$2, Percentiles!$A$45:$I$59, 6, FALSE), perc_90, VLOOKUP(E$2, Percentiles!$A$45:$I$59, 7, FALSE), perc_95, VLOOKUP(E$2, Percentiles!$A$45:$I$59, 8, FALSE), perc_85, perc_75 + (perc_90 - perc_75) * (2/3), converted_stat, '2K_Ratings'!E812, IF(bbgm_stat &gt;= perc_95, converted_stat * 3, IF(bbgm_stat &gt;= perc_90, converted_stat * 2, IF(bbgm_stat &gt;= perc_85, converted_stat * 1.5, converted_stat)))))</f>
        <v/>
      </c>
      <c r="F812" s="30" t="str">
        <f t="array" ref="F812">IF($A812="", "", LET(bbgm_stat, INDEX(Players!$A811:$P811, MATCH(F$2, Players!$A$1:$P$1, 0)), perc_75, VLOOKUP(F$2, Percentiles!$A$45:$I$59, 6, FALSE), perc_90, VLOOKUP(F$2, Percentiles!$A$45:$I$59, 7, FALSE), perc_95, VLOOKUP(F$2, Percentiles!$A$45:$I$59, 8, FALSE), perc_85, perc_75 + (perc_90 - perc_75) * (2/3), converted_stat, '2K_Ratings'!F812, IF(bbgm_stat &gt;= perc_95, converted_stat * 3, IF(bbgm_stat &gt;= perc_90, converted_stat * 2, IF(bbgm_stat &gt;= perc_85, converted_stat * 1.5, converted_stat)))))</f>
        <v/>
      </c>
      <c r="G812" s="30" t="str">
        <f t="array" ref="G812">IF($A812="", "", LET(bbgm_stat, INDEX(Players!$A811:$P811, MATCH(G$2, Players!$A$1:$P$1, 0)), perc_75, VLOOKUP(G$2, Percentiles!$A$45:$I$59, 6, FALSE), perc_90, VLOOKUP(G$2, Percentiles!$A$45:$I$59, 7, FALSE), perc_95, VLOOKUP(G$2, Percentiles!$A$45:$I$59, 8, FALSE), perc_85, perc_75 + (perc_90 - perc_75) * (2/3), converted_stat, '2K_Ratings'!G812, IF(bbgm_stat &gt;= perc_95, converted_stat * 3, IF(bbgm_stat &gt;= perc_90, converted_stat * 2, IF(bbgm_stat &gt;= perc_85, converted_stat * 1.5, converted_stat)))))</f>
        <v/>
      </c>
      <c r="H812" s="30" t="str">
        <f t="array" ref="H812">IF($A812="", "", LET(bbgm_stat, INDEX(Players!$A811:$P811, MATCH(H$2, Players!$A$1:$P$1, 0)), perc_75, VLOOKUP(H$2, Percentiles!$A$45:$I$59, 6, FALSE), perc_90, VLOOKUP(H$2, Percentiles!$A$45:$I$59, 7, FALSE), perc_95, VLOOKUP(H$2, Percentiles!$A$45:$I$59, 8, FALSE), perc_85, perc_75 + (perc_90 - perc_75) * (2/3), converted_stat, '2K_Ratings'!H812, IF(bbgm_stat &gt;= perc_95, converted_stat * 3, IF(bbgm_stat &gt;= perc_90, converted_stat * 2, IF(bbgm_stat &gt;= perc_85, converted_stat * 1.5, converted_stat)))))</f>
        <v/>
      </c>
      <c r="I812" s="30" t="str">
        <f t="array" ref="I812">IF($A812="", "", LET(bbgm_stat, INDEX(Players!$A811:$P811, MATCH(I$2, Players!$A$1:$P$1, 0)), perc_75, VLOOKUP(I$2, Percentiles!$A$45:$I$59, 6, FALSE), perc_90, VLOOKUP(I$2, Percentiles!$A$45:$I$59, 7, FALSE), perc_95, VLOOKUP(I$2, Percentiles!$A$45:$I$59, 8, FALSE), perc_85, perc_75 + (perc_90 - perc_75) * (2/3), converted_stat, '2K_Ratings'!I812, IF(bbgm_stat &gt;= perc_95, converted_stat * 3, IF(bbgm_stat &gt;= perc_90, converted_stat * 2, IF(bbgm_stat &gt;= perc_85, converted_stat * 1.5, converted_stat)))))</f>
        <v/>
      </c>
      <c r="J812" s="30" t="str">
        <f t="array" ref="J812">IF($A812="", "", LET(bbgm_stat, INDEX(Players!$A811:$P811, MATCH(J$2, Players!$A$1:$P$1, 0)), perc_75, VLOOKUP(J$2, Percentiles!$A$45:$I$59, 6, FALSE), perc_90, VLOOKUP(J$2, Percentiles!$A$45:$I$59, 7, FALSE), perc_95, VLOOKUP(J$2, Percentiles!$A$45:$I$59, 8, FALSE), perc_85, perc_75 + (perc_90 - perc_75) * (2/3), converted_stat, '2K_Ratings'!J812, IF(bbgm_stat &gt;= perc_95, converted_stat * 3, IF(bbgm_stat &gt;= perc_90, converted_stat * 2, IF(bbgm_stat &gt;= perc_85, converted_stat * 1.5, converted_stat)))))</f>
        <v/>
      </c>
      <c r="K812" s="30" t="str">
        <f t="array" ref="K812">IF($A812="", "", LET(bbgm_stat, INDEX(Players!$A811:$P811, MATCH(K$2, Players!$A$1:$P$1, 0)), perc_75, VLOOKUP(K$2, Percentiles!$A$45:$I$59, 6, FALSE), perc_90, VLOOKUP(K$2, Percentiles!$A$45:$I$59, 7, FALSE), perc_95, VLOOKUP(K$2, Percentiles!$A$45:$I$59, 8, FALSE), perc_85, perc_75 + (perc_90 - perc_75) * (2/3), converted_stat, '2K_Ratings'!K812, IF(bbgm_stat &gt;= perc_95, converted_stat * 3, IF(bbgm_stat &gt;= perc_90, converted_stat * 2, IF(bbgm_stat &gt;= perc_85, converted_stat * 1.5, converted_stat)))))</f>
        <v/>
      </c>
      <c r="L812" s="30" t="str">
        <f t="array" ref="L812">IF($A812="", "", LET(bbgm_stat, INDEX(Players!$A811:$P811, MATCH(L$2, Players!$A$1:$P$1, 0)), perc_75, VLOOKUP(L$2, Percentiles!$A$45:$I$59, 6, FALSE), perc_90, VLOOKUP(L$2, Percentiles!$A$45:$I$59, 7, FALSE), perc_95, VLOOKUP(L$2, Percentiles!$A$45:$I$59, 8, FALSE), perc_85, perc_75 + (perc_90 - perc_75) * (2/3), converted_stat, '2K_Ratings'!L812, IF(bbgm_stat &gt;= perc_95, converted_stat * 3, IF(bbgm_stat &gt;= perc_90, converted_stat * 2, IF(bbgm_stat &gt;= perc_85, converted_stat * 1.5, converted_stat)))))</f>
        <v/>
      </c>
      <c r="M812" s="30" t="str">
        <f t="array" ref="M812">IF($A812="", "", LET(bbgm_stat, INDEX(Players!$A811:$P811, MATCH(M$2, Players!$A$1:$P$1, 0)), perc_75, VLOOKUP(M$2, Percentiles!$A$45:$I$59, 6, FALSE), perc_90, VLOOKUP(M$2, Percentiles!$A$45:$I$59, 7, FALSE), perc_95, VLOOKUP(M$2, Percentiles!$A$45:$I$59, 8, FALSE), perc_85, perc_75 + (perc_90 - perc_75) * (2/3), converted_stat, '2K_Ratings'!M812, IF(bbgm_stat &gt;= perc_95, converted_stat * 3, IF(bbgm_stat &gt;= perc_90, converted_stat * 2, IF(bbgm_stat &gt;= perc_85, converted_stat * 1.5, converted_stat)))))</f>
        <v/>
      </c>
      <c r="N812" s="30" t="str">
        <f t="array" ref="N812">IF($A812="", "", LET(bbgm_stat, INDEX(Players!$A811:$P811, MATCH(N$2, Players!$A$1:$P$1, 0)), perc_75, VLOOKUP(N$2, Percentiles!$A$45:$I$59, 6, FALSE), perc_90, VLOOKUP(N$2, Percentiles!$A$45:$I$59, 7, FALSE), perc_95, VLOOKUP(N$2, Percentiles!$A$45:$I$59, 8, FALSE), perc_85, perc_75 + (perc_90 - perc_75) * (2/3), converted_stat, '2K_Ratings'!N812, IF(bbgm_stat &gt;= perc_95, converted_stat * 3, IF(bbgm_stat &gt;= perc_90, converted_stat * 2, IF(bbgm_stat &gt;= perc_85, converted_stat * 1.5, converted_stat)))))</f>
        <v/>
      </c>
      <c r="O812" s="30" t="str">
        <f t="array" ref="O812">IF($A812="", "", LET(bbgm_stat, INDEX(Players!$A811:$P811, MATCH(O$2, Players!$A$1:$P$1, 0)), perc_75, VLOOKUP(O$2, Percentiles!$A$45:$I$59, 6, FALSE), perc_90, VLOOKUP(O$2, Percentiles!$A$45:$I$59, 7, FALSE), perc_95, VLOOKUP(O$2, Percentiles!$A$45:$I$59, 8, FALSE), perc_85, perc_75 + (perc_90 - perc_75) * (2/3), converted_stat, '2K_Ratings'!O812, IF(bbgm_stat &gt;= perc_95, converted_stat * 3, IF(bbgm_stat &gt;= perc_90, converted_stat * 2, IF(bbgm_stat &gt;= perc_85, converted_stat * 1.5, converted_stat)))))</f>
        <v/>
      </c>
      <c r="P812" s="30" t="str">
        <f t="array" ref="P812">IF($A812="", "", LET(bbgm_stat, INDEX(Players!$A811:$P811, MATCH(P$2, Players!$A$1:$P$1, 0)), perc_75, VLOOKUP(P$2, Percentiles!$A$45:$I$59, 6, FALSE), perc_90, VLOOKUP(P$2, Percentiles!$A$45:$I$59, 7, FALSE), perc_95, VLOOKUP(P$2, Percentiles!$A$45:$I$59, 8, FALSE), perc_85, perc_75 + (perc_90 - perc_75) * (2/3), converted_stat, '2K_Ratings'!P812, IF(bbgm_stat &gt;= perc_95, converted_stat * 3, IF(bbgm_stat &gt;= perc_90, converted_stat * 2, IF(bbgm_stat &gt;= perc_85, converted_stat * 1.5, converted_stat)))))</f>
        <v/>
      </c>
      <c r="Q812" s="30" t="str">
        <f t="array" ref="Q812">IF($A812="", "", LET(bbgm_stat, INDEX(Players!$A811:$P811, MATCH(Q$2, Players!$A$1:$P$1, 0)), perc_75, VLOOKUP(Q$2, Percentiles!$A$45:$I$59, 6, FALSE), perc_90, VLOOKUP(Q$2, Percentiles!$A$45:$I$59, 7, FALSE), perc_95, VLOOKUP(Q$2, Percentiles!$A$45:$I$59, 8, FALSE), perc_85, perc_75 + (perc_90 - perc_75) * (2/3), converted_stat, '2K_Ratings'!Q812, IF(bbgm_stat &gt;= perc_95, converted_stat * 3, IF(bbgm_stat &gt;= perc_90, converted_stat * 2, IF(bbgm_stat &gt;= perc_85, converted_stat * 1.5, converted_stat)))))</f>
        <v/>
      </c>
      <c r="R812" s="30" t="str">
        <f t="array" ref="R812">IF($A812="", "", LET(bbgm_stat, INDEX(Players!$A811:$P811, MATCH(R$2, Players!$A$1:$P$1, 0)), perc_75, VLOOKUP(R$2, Percentiles!$A$45:$I$59, 6, FALSE), perc_90, VLOOKUP(R$2, Percentiles!$A$45:$I$59, 7, FALSE), perc_95, VLOOKUP(R$2, Percentiles!$A$45:$I$59, 8, FALSE), perc_85, perc_75 + (perc_90 - perc_75) * (2/3), converted_stat, '2K_Ratings'!R812, IF(bbgm_stat &gt;= perc_95, converted_stat * 3, IF(bbgm_stat &gt;= perc_90, converted_stat * 2, IF(bbgm_stat &gt;= perc_85, converted_stat * 1.5, converted_stat)))))</f>
        <v/>
      </c>
      <c r="S812" s="30" t="str">
        <f t="array" ref="S812">IF($A812="", "", LET(bbgm_stat, INDEX(Players!$A811:$P811, MATCH(S$2, Players!$A$1:$P$1, 0)), perc_75, VLOOKUP(S$2, Percentiles!$A$45:$I$59, 6, FALSE), perc_90, VLOOKUP(S$2, Percentiles!$A$45:$I$59, 7, FALSE), perc_95, VLOOKUP(S$2, Percentiles!$A$45:$I$59, 8, FALSE), perc_85, perc_75 + (perc_90 - perc_75) * (2/3), converted_stat, '2K_Ratings'!S812, IF(bbgm_stat &gt;= perc_95, converted_stat * 3, IF(bbgm_stat &gt;= perc_90, converted_stat * 2, IF(bbgm_stat &gt;= perc_85, converted_stat * 1.5, converted_stat)))))</f>
        <v/>
      </c>
      <c r="T812" s="30" t="str">
        <f t="array" ref="T812">IF($A812="", "", LET(bbgm_stat, INDEX(Players!$A811:$P811, MATCH(T$2, Players!$A$1:$P$1, 0)), perc_75, VLOOKUP(T$2, Percentiles!$A$45:$I$59, 6, FALSE), perc_90, VLOOKUP(T$2, Percentiles!$A$45:$I$59, 7, FALSE), perc_95, VLOOKUP(T$2, Percentiles!$A$45:$I$59, 8, FALSE), perc_85, perc_75 + (perc_90 - perc_75) * (2/3), converted_stat, '2K_Ratings'!T812, IF(bbgm_stat &gt;= perc_95, converted_stat * 3, IF(bbgm_stat &gt;= perc_90, converted_stat * 2, IF(bbgm_stat &gt;= perc_85, converted_stat * 1.5, converted_stat)))))</f>
        <v/>
      </c>
      <c r="U812" s="30" t="str">
        <f t="array" ref="U812">IF($A812="", "", LET(bbgm_stat, INDEX(Players!$A811:$P811, MATCH(U$2, Players!$A$1:$P$1, 0)), perc_75, VLOOKUP(U$2, Percentiles!$A$45:$I$59, 6, FALSE), perc_90, VLOOKUP(U$2, Percentiles!$A$45:$I$59, 7, FALSE), perc_95, VLOOKUP(U$2, Percentiles!$A$45:$I$59, 8, FALSE), perc_85, perc_75 + (perc_90 - perc_75) * (2/3), converted_stat, '2K_Ratings'!U812, IF(bbgm_stat &gt;= perc_95, converted_stat * 3, IF(bbgm_stat &gt;= perc_90, converted_stat * 2, IF(bbgm_stat &gt;= perc_85, converted_stat * 1.5, converted_stat)))))</f>
        <v/>
      </c>
      <c r="V812" s="30" t="str">
        <f t="array" ref="V812">IF($A812="", "", LET(bbgm_stat, INDEX(Players!$A811:$P811, MATCH(V$2, Players!$A$1:$P$1, 0)), perc_75, VLOOKUP(V$2, Percentiles!$A$45:$I$59, 6, FALSE), perc_90, VLOOKUP(V$2, Percentiles!$A$45:$I$59, 7, FALSE), perc_95, VLOOKUP(V$2, Percentiles!$A$45:$I$59, 8, FALSE), perc_85, perc_75 + (perc_90 - perc_75) * (2/3), converted_stat, '2K_Ratings'!V812, IF(bbgm_stat &gt;= perc_95, converted_stat * 3, IF(bbgm_stat &gt;= perc_90, converted_stat * 2, IF(bbgm_stat &gt;= perc_85, converted_stat * 1.5, converted_stat)))))</f>
        <v/>
      </c>
      <c r="W812" s="30" t="str">
        <f t="array" ref="W812">IF($A812="", "", LET(bbgm_stat, INDEX(Players!$A811:$P811, MATCH(W$2, Players!$A$1:$P$1, 0)), perc_75, VLOOKUP(W$2, Percentiles!$A$45:$I$59, 6, FALSE), perc_90, VLOOKUP(W$2, Percentiles!$A$45:$I$59, 7, FALSE), perc_95, VLOOKUP(W$2, Percentiles!$A$45:$I$59, 8, FALSE), perc_85, perc_75 + (perc_90 - perc_75) * (2/3), converted_stat, '2K_Ratings'!W812, IF(bbgm_stat &gt;= perc_95, converted_stat * 3, IF(bbgm_stat &gt;= perc_90, converted_stat * 2, IF(bbgm_stat &gt;= perc_85, converted_stat * 1.5, converted_stat)))))</f>
        <v/>
      </c>
    </row>
    <row r="813">
      <c r="A813" s="30"/>
      <c r="B813" s="30" t="str">
        <f t="array" ref="B813">IF($A813="", "", LET(bbgm_stat, INDEX(Players!$A812:$P812, MATCH(B$2, Players!$A$1:$P$1, 0)), perc_75, VLOOKUP(B$2, Percentiles!$A$45:$I$59, 6, FALSE), perc_90, VLOOKUP(B$2, Percentiles!$A$45:$I$59, 7, FALSE), perc_95, VLOOKUP(B$2, Percentiles!$A$45:$I$59, 8, FALSE), perc_85, perc_75 + (perc_90 - perc_75) * (2/3), converted_stat, '2K_Ratings'!B813, IF(bbgm_stat &gt;= perc_95, converted_stat * 3, IF(bbgm_stat &gt;= perc_90, converted_stat * 2, IF(bbgm_stat &gt;= perc_85, converted_stat * 1.5, converted_stat)))))</f>
        <v/>
      </c>
      <c r="C813" s="30" t="str">
        <f t="array" ref="C813">IF($A813="", "", LET(bbgm_stat, INDEX(Players!$A812:$P812, MATCH(C$2, Players!$A$1:$P$1, 0)), perc_75, VLOOKUP(C$2, Percentiles!$A$45:$I$59, 6, FALSE), perc_90, VLOOKUP(C$2, Percentiles!$A$45:$I$59, 7, FALSE), perc_95, VLOOKUP(C$2, Percentiles!$A$45:$I$59, 8, FALSE), perc_85, perc_75 + (perc_90 - perc_75) * (2/3), converted_stat, '2K_Ratings'!C813, IF(bbgm_stat &gt;= perc_95, converted_stat * 3, IF(bbgm_stat &gt;= perc_90, converted_stat * 2, IF(bbgm_stat &gt;= perc_85, converted_stat * 1.5, converted_stat)))))</f>
        <v/>
      </c>
      <c r="D813" s="30" t="str">
        <f t="array" ref="D813">IF($A813="", "", LET(bbgm_stat, INDEX(Players!$A812:$P812, MATCH(D$2, Players!$A$1:$P$1, 0)), perc_75, VLOOKUP(D$2, Percentiles!$A$45:$I$59, 6, FALSE), perc_90, VLOOKUP(D$2, Percentiles!$A$45:$I$59, 7, FALSE), perc_95, VLOOKUP(D$2, Percentiles!$A$45:$I$59, 8, FALSE), perc_85, perc_75 + (perc_90 - perc_75) * (2/3), converted_stat, '2K_Ratings'!D813, IF(bbgm_stat &gt;= perc_95, converted_stat * 3, IF(bbgm_stat &gt;= perc_90, converted_stat * 2, IF(bbgm_stat &gt;= perc_85, converted_stat * 1.5, converted_stat)))))</f>
        <v/>
      </c>
      <c r="E813" s="30" t="str">
        <f t="array" ref="E813">IF($A813="", "", LET(bbgm_stat, INDEX(Players!$A812:$P812, MATCH(E$2, Players!$A$1:$P$1, 0)), perc_75, VLOOKUP(E$2, Percentiles!$A$45:$I$59, 6, FALSE), perc_90, VLOOKUP(E$2, Percentiles!$A$45:$I$59, 7, FALSE), perc_95, VLOOKUP(E$2, Percentiles!$A$45:$I$59, 8, FALSE), perc_85, perc_75 + (perc_90 - perc_75) * (2/3), converted_stat, '2K_Ratings'!E813, IF(bbgm_stat &gt;= perc_95, converted_stat * 3, IF(bbgm_stat &gt;= perc_90, converted_stat * 2, IF(bbgm_stat &gt;= perc_85, converted_stat * 1.5, converted_stat)))))</f>
        <v/>
      </c>
      <c r="F813" s="30" t="str">
        <f t="array" ref="F813">IF($A813="", "", LET(bbgm_stat, INDEX(Players!$A812:$P812, MATCH(F$2, Players!$A$1:$P$1, 0)), perc_75, VLOOKUP(F$2, Percentiles!$A$45:$I$59, 6, FALSE), perc_90, VLOOKUP(F$2, Percentiles!$A$45:$I$59, 7, FALSE), perc_95, VLOOKUP(F$2, Percentiles!$A$45:$I$59, 8, FALSE), perc_85, perc_75 + (perc_90 - perc_75) * (2/3), converted_stat, '2K_Ratings'!F813, IF(bbgm_stat &gt;= perc_95, converted_stat * 3, IF(bbgm_stat &gt;= perc_90, converted_stat * 2, IF(bbgm_stat &gt;= perc_85, converted_stat * 1.5, converted_stat)))))</f>
        <v/>
      </c>
      <c r="G813" s="30" t="str">
        <f t="array" ref="G813">IF($A813="", "", LET(bbgm_stat, INDEX(Players!$A812:$P812, MATCH(G$2, Players!$A$1:$P$1, 0)), perc_75, VLOOKUP(G$2, Percentiles!$A$45:$I$59, 6, FALSE), perc_90, VLOOKUP(G$2, Percentiles!$A$45:$I$59, 7, FALSE), perc_95, VLOOKUP(G$2, Percentiles!$A$45:$I$59, 8, FALSE), perc_85, perc_75 + (perc_90 - perc_75) * (2/3), converted_stat, '2K_Ratings'!G813, IF(bbgm_stat &gt;= perc_95, converted_stat * 3, IF(bbgm_stat &gt;= perc_90, converted_stat * 2, IF(bbgm_stat &gt;= perc_85, converted_stat * 1.5, converted_stat)))))</f>
        <v/>
      </c>
      <c r="H813" s="30" t="str">
        <f t="array" ref="H813">IF($A813="", "", LET(bbgm_stat, INDEX(Players!$A812:$P812, MATCH(H$2, Players!$A$1:$P$1, 0)), perc_75, VLOOKUP(H$2, Percentiles!$A$45:$I$59, 6, FALSE), perc_90, VLOOKUP(H$2, Percentiles!$A$45:$I$59, 7, FALSE), perc_95, VLOOKUP(H$2, Percentiles!$A$45:$I$59, 8, FALSE), perc_85, perc_75 + (perc_90 - perc_75) * (2/3), converted_stat, '2K_Ratings'!H813, IF(bbgm_stat &gt;= perc_95, converted_stat * 3, IF(bbgm_stat &gt;= perc_90, converted_stat * 2, IF(bbgm_stat &gt;= perc_85, converted_stat * 1.5, converted_stat)))))</f>
        <v/>
      </c>
      <c r="I813" s="30" t="str">
        <f t="array" ref="I813">IF($A813="", "", LET(bbgm_stat, INDEX(Players!$A812:$P812, MATCH(I$2, Players!$A$1:$P$1, 0)), perc_75, VLOOKUP(I$2, Percentiles!$A$45:$I$59, 6, FALSE), perc_90, VLOOKUP(I$2, Percentiles!$A$45:$I$59, 7, FALSE), perc_95, VLOOKUP(I$2, Percentiles!$A$45:$I$59, 8, FALSE), perc_85, perc_75 + (perc_90 - perc_75) * (2/3), converted_stat, '2K_Ratings'!I813, IF(bbgm_stat &gt;= perc_95, converted_stat * 3, IF(bbgm_stat &gt;= perc_90, converted_stat * 2, IF(bbgm_stat &gt;= perc_85, converted_stat * 1.5, converted_stat)))))</f>
        <v/>
      </c>
      <c r="J813" s="30" t="str">
        <f t="array" ref="J813">IF($A813="", "", LET(bbgm_stat, INDEX(Players!$A812:$P812, MATCH(J$2, Players!$A$1:$P$1, 0)), perc_75, VLOOKUP(J$2, Percentiles!$A$45:$I$59, 6, FALSE), perc_90, VLOOKUP(J$2, Percentiles!$A$45:$I$59, 7, FALSE), perc_95, VLOOKUP(J$2, Percentiles!$A$45:$I$59, 8, FALSE), perc_85, perc_75 + (perc_90 - perc_75) * (2/3), converted_stat, '2K_Ratings'!J813, IF(bbgm_stat &gt;= perc_95, converted_stat * 3, IF(bbgm_stat &gt;= perc_90, converted_stat * 2, IF(bbgm_stat &gt;= perc_85, converted_stat * 1.5, converted_stat)))))</f>
        <v/>
      </c>
      <c r="K813" s="30" t="str">
        <f t="array" ref="K813">IF($A813="", "", LET(bbgm_stat, INDEX(Players!$A812:$P812, MATCH(K$2, Players!$A$1:$P$1, 0)), perc_75, VLOOKUP(K$2, Percentiles!$A$45:$I$59, 6, FALSE), perc_90, VLOOKUP(K$2, Percentiles!$A$45:$I$59, 7, FALSE), perc_95, VLOOKUP(K$2, Percentiles!$A$45:$I$59, 8, FALSE), perc_85, perc_75 + (perc_90 - perc_75) * (2/3), converted_stat, '2K_Ratings'!K813, IF(bbgm_stat &gt;= perc_95, converted_stat * 3, IF(bbgm_stat &gt;= perc_90, converted_stat * 2, IF(bbgm_stat &gt;= perc_85, converted_stat * 1.5, converted_stat)))))</f>
        <v/>
      </c>
      <c r="L813" s="30" t="str">
        <f t="array" ref="L813">IF($A813="", "", LET(bbgm_stat, INDEX(Players!$A812:$P812, MATCH(L$2, Players!$A$1:$P$1, 0)), perc_75, VLOOKUP(L$2, Percentiles!$A$45:$I$59, 6, FALSE), perc_90, VLOOKUP(L$2, Percentiles!$A$45:$I$59, 7, FALSE), perc_95, VLOOKUP(L$2, Percentiles!$A$45:$I$59, 8, FALSE), perc_85, perc_75 + (perc_90 - perc_75) * (2/3), converted_stat, '2K_Ratings'!L813, IF(bbgm_stat &gt;= perc_95, converted_stat * 3, IF(bbgm_stat &gt;= perc_90, converted_stat * 2, IF(bbgm_stat &gt;= perc_85, converted_stat * 1.5, converted_stat)))))</f>
        <v/>
      </c>
      <c r="M813" s="30" t="str">
        <f t="array" ref="M813">IF($A813="", "", LET(bbgm_stat, INDEX(Players!$A812:$P812, MATCH(M$2, Players!$A$1:$P$1, 0)), perc_75, VLOOKUP(M$2, Percentiles!$A$45:$I$59, 6, FALSE), perc_90, VLOOKUP(M$2, Percentiles!$A$45:$I$59, 7, FALSE), perc_95, VLOOKUP(M$2, Percentiles!$A$45:$I$59, 8, FALSE), perc_85, perc_75 + (perc_90 - perc_75) * (2/3), converted_stat, '2K_Ratings'!M813, IF(bbgm_stat &gt;= perc_95, converted_stat * 3, IF(bbgm_stat &gt;= perc_90, converted_stat * 2, IF(bbgm_stat &gt;= perc_85, converted_stat * 1.5, converted_stat)))))</f>
        <v/>
      </c>
      <c r="N813" s="30" t="str">
        <f t="array" ref="N813">IF($A813="", "", LET(bbgm_stat, INDEX(Players!$A812:$P812, MATCH(N$2, Players!$A$1:$P$1, 0)), perc_75, VLOOKUP(N$2, Percentiles!$A$45:$I$59, 6, FALSE), perc_90, VLOOKUP(N$2, Percentiles!$A$45:$I$59, 7, FALSE), perc_95, VLOOKUP(N$2, Percentiles!$A$45:$I$59, 8, FALSE), perc_85, perc_75 + (perc_90 - perc_75) * (2/3), converted_stat, '2K_Ratings'!N813, IF(bbgm_stat &gt;= perc_95, converted_stat * 3, IF(bbgm_stat &gt;= perc_90, converted_stat * 2, IF(bbgm_stat &gt;= perc_85, converted_stat * 1.5, converted_stat)))))</f>
        <v/>
      </c>
      <c r="O813" s="30" t="str">
        <f t="array" ref="O813">IF($A813="", "", LET(bbgm_stat, INDEX(Players!$A812:$P812, MATCH(O$2, Players!$A$1:$P$1, 0)), perc_75, VLOOKUP(O$2, Percentiles!$A$45:$I$59, 6, FALSE), perc_90, VLOOKUP(O$2, Percentiles!$A$45:$I$59, 7, FALSE), perc_95, VLOOKUP(O$2, Percentiles!$A$45:$I$59, 8, FALSE), perc_85, perc_75 + (perc_90 - perc_75) * (2/3), converted_stat, '2K_Ratings'!O813, IF(bbgm_stat &gt;= perc_95, converted_stat * 3, IF(bbgm_stat &gt;= perc_90, converted_stat * 2, IF(bbgm_stat &gt;= perc_85, converted_stat * 1.5, converted_stat)))))</f>
        <v/>
      </c>
      <c r="P813" s="30" t="str">
        <f t="array" ref="P813">IF($A813="", "", LET(bbgm_stat, INDEX(Players!$A812:$P812, MATCH(P$2, Players!$A$1:$P$1, 0)), perc_75, VLOOKUP(P$2, Percentiles!$A$45:$I$59, 6, FALSE), perc_90, VLOOKUP(P$2, Percentiles!$A$45:$I$59, 7, FALSE), perc_95, VLOOKUP(P$2, Percentiles!$A$45:$I$59, 8, FALSE), perc_85, perc_75 + (perc_90 - perc_75) * (2/3), converted_stat, '2K_Ratings'!P813, IF(bbgm_stat &gt;= perc_95, converted_stat * 3, IF(bbgm_stat &gt;= perc_90, converted_stat * 2, IF(bbgm_stat &gt;= perc_85, converted_stat * 1.5, converted_stat)))))</f>
        <v/>
      </c>
      <c r="Q813" s="30" t="str">
        <f t="array" ref="Q813">IF($A813="", "", LET(bbgm_stat, INDEX(Players!$A812:$P812, MATCH(Q$2, Players!$A$1:$P$1, 0)), perc_75, VLOOKUP(Q$2, Percentiles!$A$45:$I$59, 6, FALSE), perc_90, VLOOKUP(Q$2, Percentiles!$A$45:$I$59, 7, FALSE), perc_95, VLOOKUP(Q$2, Percentiles!$A$45:$I$59, 8, FALSE), perc_85, perc_75 + (perc_90 - perc_75) * (2/3), converted_stat, '2K_Ratings'!Q813, IF(bbgm_stat &gt;= perc_95, converted_stat * 3, IF(bbgm_stat &gt;= perc_90, converted_stat * 2, IF(bbgm_stat &gt;= perc_85, converted_stat * 1.5, converted_stat)))))</f>
        <v/>
      </c>
      <c r="R813" s="30" t="str">
        <f t="array" ref="R813">IF($A813="", "", LET(bbgm_stat, INDEX(Players!$A812:$P812, MATCH(R$2, Players!$A$1:$P$1, 0)), perc_75, VLOOKUP(R$2, Percentiles!$A$45:$I$59, 6, FALSE), perc_90, VLOOKUP(R$2, Percentiles!$A$45:$I$59, 7, FALSE), perc_95, VLOOKUP(R$2, Percentiles!$A$45:$I$59, 8, FALSE), perc_85, perc_75 + (perc_90 - perc_75) * (2/3), converted_stat, '2K_Ratings'!R813, IF(bbgm_stat &gt;= perc_95, converted_stat * 3, IF(bbgm_stat &gt;= perc_90, converted_stat * 2, IF(bbgm_stat &gt;= perc_85, converted_stat * 1.5, converted_stat)))))</f>
        <v/>
      </c>
      <c r="S813" s="30" t="str">
        <f t="array" ref="S813">IF($A813="", "", LET(bbgm_stat, INDEX(Players!$A812:$P812, MATCH(S$2, Players!$A$1:$P$1, 0)), perc_75, VLOOKUP(S$2, Percentiles!$A$45:$I$59, 6, FALSE), perc_90, VLOOKUP(S$2, Percentiles!$A$45:$I$59, 7, FALSE), perc_95, VLOOKUP(S$2, Percentiles!$A$45:$I$59, 8, FALSE), perc_85, perc_75 + (perc_90 - perc_75) * (2/3), converted_stat, '2K_Ratings'!S813, IF(bbgm_stat &gt;= perc_95, converted_stat * 3, IF(bbgm_stat &gt;= perc_90, converted_stat * 2, IF(bbgm_stat &gt;= perc_85, converted_stat * 1.5, converted_stat)))))</f>
        <v/>
      </c>
      <c r="T813" s="30" t="str">
        <f t="array" ref="T813">IF($A813="", "", LET(bbgm_stat, INDEX(Players!$A812:$P812, MATCH(T$2, Players!$A$1:$P$1, 0)), perc_75, VLOOKUP(T$2, Percentiles!$A$45:$I$59, 6, FALSE), perc_90, VLOOKUP(T$2, Percentiles!$A$45:$I$59, 7, FALSE), perc_95, VLOOKUP(T$2, Percentiles!$A$45:$I$59, 8, FALSE), perc_85, perc_75 + (perc_90 - perc_75) * (2/3), converted_stat, '2K_Ratings'!T813, IF(bbgm_stat &gt;= perc_95, converted_stat * 3, IF(bbgm_stat &gt;= perc_90, converted_stat * 2, IF(bbgm_stat &gt;= perc_85, converted_stat * 1.5, converted_stat)))))</f>
        <v/>
      </c>
      <c r="U813" s="30" t="str">
        <f t="array" ref="U813">IF($A813="", "", LET(bbgm_stat, INDEX(Players!$A812:$P812, MATCH(U$2, Players!$A$1:$P$1, 0)), perc_75, VLOOKUP(U$2, Percentiles!$A$45:$I$59, 6, FALSE), perc_90, VLOOKUP(U$2, Percentiles!$A$45:$I$59, 7, FALSE), perc_95, VLOOKUP(U$2, Percentiles!$A$45:$I$59, 8, FALSE), perc_85, perc_75 + (perc_90 - perc_75) * (2/3), converted_stat, '2K_Ratings'!U813, IF(bbgm_stat &gt;= perc_95, converted_stat * 3, IF(bbgm_stat &gt;= perc_90, converted_stat * 2, IF(bbgm_stat &gt;= perc_85, converted_stat * 1.5, converted_stat)))))</f>
        <v/>
      </c>
      <c r="V813" s="30" t="str">
        <f t="array" ref="V813">IF($A813="", "", LET(bbgm_stat, INDEX(Players!$A812:$P812, MATCH(V$2, Players!$A$1:$P$1, 0)), perc_75, VLOOKUP(V$2, Percentiles!$A$45:$I$59, 6, FALSE), perc_90, VLOOKUP(V$2, Percentiles!$A$45:$I$59, 7, FALSE), perc_95, VLOOKUP(V$2, Percentiles!$A$45:$I$59, 8, FALSE), perc_85, perc_75 + (perc_90 - perc_75) * (2/3), converted_stat, '2K_Ratings'!V813, IF(bbgm_stat &gt;= perc_95, converted_stat * 3, IF(bbgm_stat &gt;= perc_90, converted_stat * 2, IF(bbgm_stat &gt;= perc_85, converted_stat * 1.5, converted_stat)))))</f>
        <v/>
      </c>
      <c r="W813" s="30" t="str">
        <f t="array" ref="W813">IF($A813="", "", LET(bbgm_stat, INDEX(Players!$A812:$P812, MATCH(W$2, Players!$A$1:$P$1, 0)), perc_75, VLOOKUP(W$2, Percentiles!$A$45:$I$59, 6, FALSE), perc_90, VLOOKUP(W$2, Percentiles!$A$45:$I$59, 7, FALSE), perc_95, VLOOKUP(W$2, Percentiles!$A$45:$I$59, 8, FALSE), perc_85, perc_75 + (perc_90 - perc_75) * (2/3), converted_stat, '2K_Ratings'!W813, IF(bbgm_stat &gt;= perc_95, converted_stat * 3, IF(bbgm_stat &gt;= perc_90, converted_stat * 2, IF(bbgm_stat &gt;= perc_85, converted_stat * 1.5, converted_stat)))))</f>
        <v/>
      </c>
    </row>
    <row r="814">
      <c r="A814" s="30"/>
      <c r="B814" s="30" t="str">
        <f t="array" ref="B814">IF($A814="", "", LET(bbgm_stat, INDEX(Players!$A813:$P813, MATCH(B$2, Players!$A$1:$P$1, 0)), perc_75, VLOOKUP(B$2, Percentiles!$A$45:$I$59, 6, FALSE), perc_90, VLOOKUP(B$2, Percentiles!$A$45:$I$59, 7, FALSE), perc_95, VLOOKUP(B$2, Percentiles!$A$45:$I$59, 8, FALSE), perc_85, perc_75 + (perc_90 - perc_75) * (2/3), converted_stat, '2K_Ratings'!B814, IF(bbgm_stat &gt;= perc_95, converted_stat * 3, IF(bbgm_stat &gt;= perc_90, converted_stat * 2, IF(bbgm_stat &gt;= perc_85, converted_stat * 1.5, converted_stat)))))</f>
        <v/>
      </c>
      <c r="C814" s="30" t="str">
        <f t="array" ref="C814">IF($A814="", "", LET(bbgm_stat, INDEX(Players!$A813:$P813, MATCH(C$2, Players!$A$1:$P$1, 0)), perc_75, VLOOKUP(C$2, Percentiles!$A$45:$I$59, 6, FALSE), perc_90, VLOOKUP(C$2, Percentiles!$A$45:$I$59, 7, FALSE), perc_95, VLOOKUP(C$2, Percentiles!$A$45:$I$59, 8, FALSE), perc_85, perc_75 + (perc_90 - perc_75) * (2/3), converted_stat, '2K_Ratings'!C814, IF(bbgm_stat &gt;= perc_95, converted_stat * 3, IF(bbgm_stat &gt;= perc_90, converted_stat * 2, IF(bbgm_stat &gt;= perc_85, converted_stat * 1.5, converted_stat)))))</f>
        <v/>
      </c>
      <c r="D814" s="30" t="str">
        <f t="array" ref="D814">IF($A814="", "", LET(bbgm_stat, INDEX(Players!$A813:$P813, MATCH(D$2, Players!$A$1:$P$1, 0)), perc_75, VLOOKUP(D$2, Percentiles!$A$45:$I$59, 6, FALSE), perc_90, VLOOKUP(D$2, Percentiles!$A$45:$I$59, 7, FALSE), perc_95, VLOOKUP(D$2, Percentiles!$A$45:$I$59, 8, FALSE), perc_85, perc_75 + (perc_90 - perc_75) * (2/3), converted_stat, '2K_Ratings'!D814, IF(bbgm_stat &gt;= perc_95, converted_stat * 3, IF(bbgm_stat &gt;= perc_90, converted_stat * 2, IF(bbgm_stat &gt;= perc_85, converted_stat * 1.5, converted_stat)))))</f>
        <v/>
      </c>
      <c r="E814" s="30" t="str">
        <f t="array" ref="E814">IF($A814="", "", LET(bbgm_stat, INDEX(Players!$A813:$P813, MATCH(E$2, Players!$A$1:$P$1, 0)), perc_75, VLOOKUP(E$2, Percentiles!$A$45:$I$59, 6, FALSE), perc_90, VLOOKUP(E$2, Percentiles!$A$45:$I$59, 7, FALSE), perc_95, VLOOKUP(E$2, Percentiles!$A$45:$I$59, 8, FALSE), perc_85, perc_75 + (perc_90 - perc_75) * (2/3), converted_stat, '2K_Ratings'!E814, IF(bbgm_stat &gt;= perc_95, converted_stat * 3, IF(bbgm_stat &gt;= perc_90, converted_stat * 2, IF(bbgm_stat &gt;= perc_85, converted_stat * 1.5, converted_stat)))))</f>
        <v/>
      </c>
      <c r="F814" s="30" t="str">
        <f t="array" ref="F814">IF($A814="", "", LET(bbgm_stat, INDEX(Players!$A813:$P813, MATCH(F$2, Players!$A$1:$P$1, 0)), perc_75, VLOOKUP(F$2, Percentiles!$A$45:$I$59, 6, FALSE), perc_90, VLOOKUP(F$2, Percentiles!$A$45:$I$59, 7, FALSE), perc_95, VLOOKUP(F$2, Percentiles!$A$45:$I$59, 8, FALSE), perc_85, perc_75 + (perc_90 - perc_75) * (2/3), converted_stat, '2K_Ratings'!F814, IF(bbgm_stat &gt;= perc_95, converted_stat * 3, IF(bbgm_stat &gt;= perc_90, converted_stat * 2, IF(bbgm_stat &gt;= perc_85, converted_stat * 1.5, converted_stat)))))</f>
        <v/>
      </c>
      <c r="G814" s="30" t="str">
        <f t="array" ref="G814">IF($A814="", "", LET(bbgm_stat, INDEX(Players!$A813:$P813, MATCH(G$2, Players!$A$1:$P$1, 0)), perc_75, VLOOKUP(G$2, Percentiles!$A$45:$I$59, 6, FALSE), perc_90, VLOOKUP(G$2, Percentiles!$A$45:$I$59, 7, FALSE), perc_95, VLOOKUP(G$2, Percentiles!$A$45:$I$59, 8, FALSE), perc_85, perc_75 + (perc_90 - perc_75) * (2/3), converted_stat, '2K_Ratings'!G814, IF(bbgm_stat &gt;= perc_95, converted_stat * 3, IF(bbgm_stat &gt;= perc_90, converted_stat * 2, IF(bbgm_stat &gt;= perc_85, converted_stat * 1.5, converted_stat)))))</f>
        <v/>
      </c>
      <c r="H814" s="30" t="str">
        <f t="array" ref="H814">IF($A814="", "", LET(bbgm_stat, INDEX(Players!$A813:$P813, MATCH(H$2, Players!$A$1:$P$1, 0)), perc_75, VLOOKUP(H$2, Percentiles!$A$45:$I$59, 6, FALSE), perc_90, VLOOKUP(H$2, Percentiles!$A$45:$I$59, 7, FALSE), perc_95, VLOOKUP(H$2, Percentiles!$A$45:$I$59, 8, FALSE), perc_85, perc_75 + (perc_90 - perc_75) * (2/3), converted_stat, '2K_Ratings'!H814, IF(bbgm_stat &gt;= perc_95, converted_stat * 3, IF(bbgm_stat &gt;= perc_90, converted_stat * 2, IF(bbgm_stat &gt;= perc_85, converted_stat * 1.5, converted_stat)))))</f>
        <v/>
      </c>
      <c r="I814" s="30" t="str">
        <f t="array" ref="I814">IF($A814="", "", LET(bbgm_stat, INDEX(Players!$A813:$P813, MATCH(I$2, Players!$A$1:$P$1, 0)), perc_75, VLOOKUP(I$2, Percentiles!$A$45:$I$59, 6, FALSE), perc_90, VLOOKUP(I$2, Percentiles!$A$45:$I$59, 7, FALSE), perc_95, VLOOKUP(I$2, Percentiles!$A$45:$I$59, 8, FALSE), perc_85, perc_75 + (perc_90 - perc_75) * (2/3), converted_stat, '2K_Ratings'!I814, IF(bbgm_stat &gt;= perc_95, converted_stat * 3, IF(bbgm_stat &gt;= perc_90, converted_stat * 2, IF(bbgm_stat &gt;= perc_85, converted_stat * 1.5, converted_stat)))))</f>
        <v/>
      </c>
      <c r="J814" s="30" t="str">
        <f t="array" ref="J814">IF($A814="", "", LET(bbgm_stat, INDEX(Players!$A813:$P813, MATCH(J$2, Players!$A$1:$P$1, 0)), perc_75, VLOOKUP(J$2, Percentiles!$A$45:$I$59, 6, FALSE), perc_90, VLOOKUP(J$2, Percentiles!$A$45:$I$59, 7, FALSE), perc_95, VLOOKUP(J$2, Percentiles!$A$45:$I$59, 8, FALSE), perc_85, perc_75 + (perc_90 - perc_75) * (2/3), converted_stat, '2K_Ratings'!J814, IF(bbgm_stat &gt;= perc_95, converted_stat * 3, IF(bbgm_stat &gt;= perc_90, converted_stat * 2, IF(bbgm_stat &gt;= perc_85, converted_stat * 1.5, converted_stat)))))</f>
        <v/>
      </c>
      <c r="K814" s="30" t="str">
        <f t="array" ref="K814">IF($A814="", "", LET(bbgm_stat, INDEX(Players!$A813:$P813, MATCH(K$2, Players!$A$1:$P$1, 0)), perc_75, VLOOKUP(K$2, Percentiles!$A$45:$I$59, 6, FALSE), perc_90, VLOOKUP(K$2, Percentiles!$A$45:$I$59, 7, FALSE), perc_95, VLOOKUP(K$2, Percentiles!$A$45:$I$59, 8, FALSE), perc_85, perc_75 + (perc_90 - perc_75) * (2/3), converted_stat, '2K_Ratings'!K814, IF(bbgm_stat &gt;= perc_95, converted_stat * 3, IF(bbgm_stat &gt;= perc_90, converted_stat * 2, IF(bbgm_stat &gt;= perc_85, converted_stat * 1.5, converted_stat)))))</f>
        <v/>
      </c>
      <c r="L814" s="30" t="str">
        <f t="array" ref="L814">IF($A814="", "", LET(bbgm_stat, INDEX(Players!$A813:$P813, MATCH(L$2, Players!$A$1:$P$1, 0)), perc_75, VLOOKUP(L$2, Percentiles!$A$45:$I$59, 6, FALSE), perc_90, VLOOKUP(L$2, Percentiles!$A$45:$I$59, 7, FALSE), perc_95, VLOOKUP(L$2, Percentiles!$A$45:$I$59, 8, FALSE), perc_85, perc_75 + (perc_90 - perc_75) * (2/3), converted_stat, '2K_Ratings'!L814, IF(bbgm_stat &gt;= perc_95, converted_stat * 3, IF(bbgm_stat &gt;= perc_90, converted_stat * 2, IF(bbgm_stat &gt;= perc_85, converted_stat * 1.5, converted_stat)))))</f>
        <v/>
      </c>
      <c r="M814" s="30" t="str">
        <f t="array" ref="M814">IF($A814="", "", LET(bbgm_stat, INDEX(Players!$A813:$P813, MATCH(M$2, Players!$A$1:$P$1, 0)), perc_75, VLOOKUP(M$2, Percentiles!$A$45:$I$59, 6, FALSE), perc_90, VLOOKUP(M$2, Percentiles!$A$45:$I$59, 7, FALSE), perc_95, VLOOKUP(M$2, Percentiles!$A$45:$I$59, 8, FALSE), perc_85, perc_75 + (perc_90 - perc_75) * (2/3), converted_stat, '2K_Ratings'!M814, IF(bbgm_stat &gt;= perc_95, converted_stat * 3, IF(bbgm_stat &gt;= perc_90, converted_stat * 2, IF(bbgm_stat &gt;= perc_85, converted_stat * 1.5, converted_stat)))))</f>
        <v/>
      </c>
      <c r="N814" s="30" t="str">
        <f t="array" ref="N814">IF($A814="", "", LET(bbgm_stat, INDEX(Players!$A813:$P813, MATCH(N$2, Players!$A$1:$P$1, 0)), perc_75, VLOOKUP(N$2, Percentiles!$A$45:$I$59, 6, FALSE), perc_90, VLOOKUP(N$2, Percentiles!$A$45:$I$59, 7, FALSE), perc_95, VLOOKUP(N$2, Percentiles!$A$45:$I$59, 8, FALSE), perc_85, perc_75 + (perc_90 - perc_75) * (2/3), converted_stat, '2K_Ratings'!N814, IF(bbgm_stat &gt;= perc_95, converted_stat * 3, IF(bbgm_stat &gt;= perc_90, converted_stat * 2, IF(bbgm_stat &gt;= perc_85, converted_stat * 1.5, converted_stat)))))</f>
        <v/>
      </c>
      <c r="O814" s="30" t="str">
        <f t="array" ref="O814">IF($A814="", "", LET(bbgm_stat, INDEX(Players!$A813:$P813, MATCH(O$2, Players!$A$1:$P$1, 0)), perc_75, VLOOKUP(O$2, Percentiles!$A$45:$I$59, 6, FALSE), perc_90, VLOOKUP(O$2, Percentiles!$A$45:$I$59, 7, FALSE), perc_95, VLOOKUP(O$2, Percentiles!$A$45:$I$59, 8, FALSE), perc_85, perc_75 + (perc_90 - perc_75) * (2/3), converted_stat, '2K_Ratings'!O814, IF(bbgm_stat &gt;= perc_95, converted_stat * 3, IF(bbgm_stat &gt;= perc_90, converted_stat * 2, IF(bbgm_stat &gt;= perc_85, converted_stat * 1.5, converted_stat)))))</f>
        <v/>
      </c>
      <c r="P814" s="30" t="str">
        <f t="array" ref="P814">IF($A814="", "", LET(bbgm_stat, INDEX(Players!$A813:$P813, MATCH(P$2, Players!$A$1:$P$1, 0)), perc_75, VLOOKUP(P$2, Percentiles!$A$45:$I$59, 6, FALSE), perc_90, VLOOKUP(P$2, Percentiles!$A$45:$I$59, 7, FALSE), perc_95, VLOOKUP(P$2, Percentiles!$A$45:$I$59, 8, FALSE), perc_85, perc_75 + (perc_90 - perc_75) * (2/3), converted_stat, '2K_Ratings'!P814, IF(bbgm_stat &gt;= perc_95, converted_stat * 3, IF(bbgm_stat &gt;= perc_90, converted_stat * 2, IF(bbgm_stat &gt;= perc_85, converted_stat * 1.5, converted_stat)))))</f>
        <v/>
      </c>
      <c r="Q814" s="30" t="str">
        <f t="array" ref="Q814">IF($A814="", "", LET(bbgm_stat, INDEX(Players!$A813:$P813, MATCH(Q$2, Players!$A$1:$P$1, 0)), perc_75, VLOOKUP(Q$2, Percentiles!$A$45:$I$59, 6, FALSE), perc_90, VLOOKUP(Q$2, Percentiles!$A$45:$I$59, 7, FALSE), perc_95, VLOOKUP(Q$2, Percentiles!$A$45:$I$59, 8, FALSE), perc_85, perc_75 + (perc_90 - perc_75) * (2/3), converted_stat, '2K_Ratings'!Q814, IF(bbgm_stat &gt;= perc_95, converted_stat * 3, IF(bbgm_stat &gt;= perc_90, converted_stat * 2, IF(bbgm_stat &gt;= perc_85, converted_stat * 1.5, converted_stat)))))</f>
        <v/>
      </c>
      <c r="R814" s="30" t="str">
        <f t="array" ref="R814">IF($A814="", "", LET(bbgm_stat, INDEX(Players!$A813:$P813, MATCH(R$2, Players!$A$1:$P$1, 0)), perc_75, VLOOKUP(R$2, Percentiles!$A$45:$I$59, 6, FALSE), perc_90, VLOOKUP(R$2, Percentiles!$A$45:$I$59, 7, FALSE), perc_95, VLOOKUP(R$2, Percentiles!$A$45:$I$59, 8, FALSE), perc_85, perc_75 + (perc_90 - perc_75) * (2/3), converted_stat, '2K_Ratings'!R814, IF(bbgm_stat &gt;= perc_95, converted_stat * 3, IF(bbgm_stat &gt;= perc_90, converted_stat * 2, IF(bbgm_stat &gt;= perc_85, converted_stat * 1.5, converted_stat)))))</f>
        <v/>
      </c>
      <c r="S814" s="30" t="str">
        <f t="array" ref="S814">IF($A814="", "", LET(bbgm_stat, INDEX(Players!$A813:$P813, MATCH(S$2, Players!$A$1:$P$1, 0)), perc_75, VLOOKUP(S$2, Percentiles!$A$45:$I$59, 6, FALSE), perc_90, VLOOKUP(S$2, Percentiles!$A$45:$I$59, 7, FALSE), perc_95, VLOOKUP(S$2, Percentiles!$A$45:$I$59, 8, FALSE), perc_85, perc_75 + (perc_90 - perc_75) * (2/3), converted_stat, '2K_Ratings'!S814, IF(bbgm_stat &gt;= perc_95, converted_stat * 3, IF(bbgm_stat &gt;= perc_90, converted_stat * 2, IF(bbgm_stat &gt;= perc_85, converted_stat * 1.5, converted_stat)))))</f>
        <v/>
      </c>
      <c r="T814" s="30" t="str">
        <f t="array" ref="T814">IF($A814="", "", LET(bbgm_stat, INDEX(Players!$A813:$P813, MATCH(T$2, Players!$A$1:$P$1, 0)), perc_75, VLOOKUP(T$2, Percentiles!$A$45:$I$59, 6, FALSE), perc_90, VLOOKUP(T$2, Percentiles!$A$45:$I$59, 7, FALSE), perc_95, VLOOKUP(T$2, Percentiles!$A$45:$I$59, 8, FALSE), perc_85, perc_75 + (perc_90 - perc_75) * (2/3), converted_stat, '2K_Ratings'!T814, IF(bbgm_stat &gt;= perc_95, converted_stat * 3, IF(bbgm_stat &gt;= perc_90, converted_stat * 2, IF(bbgm_stat &gt;= perc_85, converted_stat * 1.5, converted_stat)))))</f>
        <v/>
      </c>
      <c r="U814" s="30" t="str">
        <f t="array" ref="U814">IF($A814="", "", LET(bbgm_stat, INDEX(Players!$A813:$P813, MATCH(U$2, Players!$A$1:$P$1, 0)), perc_75, VLOOKUP(U$2, Percentiles!$A$45:$I$59, 6, FALSE), perc_90, VLOOKUP(U$2, Percentiles!$A$45:$I$59, 7, FALSE), perc_95, VLOOKUP(U$2, Percentiles!$A$45:$I$59, 8, FALSE), perc_85, perc_75 + (perc_90 - perc_75) * (2/3), converted_stat, '2K_Ratings'!U814, IF(bbgm_stat &gt;= perc_95, converted_stat * 3, IF(bbgm_stat &gt;= perc_90, converted_stat * 2, IF(bbgm_stat &gt;= perc_85, converted_stat * 1.5, converted_stat)))))</f>
        <v/>
      </c>
      <c r="V814" s="30" t="str">
        <f t="array" ref="V814">IF($A814="", "", LET(bbgm_stat, INDEX(Players!$A813:$P813, MATCH(V$2, Players!$A$1:$P$1, 0)), perc_75, VLOOKUP(V$2, Percentiles!$A$45:$I$59, 6, FALSE), perc_90, VLOOKUP(V$2, Percentiles!$A$45:$I$59, 7, FALSE), perc_95, VLOOKUP(V$2, Percentiles!$A$45:$I$59, 8, FALSE), perc_85, perc_75 + (perc_90 - perc_75) * (2/3), converted_stat, '2K_Ratings'!V814, IF(bbgm_stat &gt;= perc_95, converted_stat * 3, IF(bbgm_stat &gt;= perc_90, converted_stat * 2, IF(bbgm_stat &gt;= perc_85, converted_stat * 1.5, converted_stat)))))</f>
        <v/>
      </c>
      <c r="W814" s="30" t="str">
        <f t="array" ref="W814">IF($A814="", "", LET(bbgm_stat, INDEX(Players!$A813:$P813, MATCH(W$2, Players!$A$1:$P$1, 0)), perc_75, VLOOKUP(W$2, Percentiles!$A$45:$I$59, 6, FALSE), perc_90, VLOOKUP(W$2, Percentiles!$A$45:$I$59, 7, FALSE), perc_95, VLOOKUP(W$2, Percentiles!$A$45:$I$59, 8, FALSE), perc_85, perc_75 + (perc_90 - perc_75) * (2/3), converted_stat, '2K_Ratings'!W814, IF(bbgm_stat &gt;= perc_95, converted_stat * 3, IF(bbgm_stat &gt;= perc_90, converted_stat * 2, IF(bbgm_stat &gt;= perc_85, converted_stat * 1.5, converted_stat)))))</f>
        <v/>
      </c>
    </row>
    <row r="815">
      <c r="A815" s="30"/>
      <c r="B815" s="30" t="str">
        <f t="array" ref="B815">IF($A815="", "", LET(bbgm_stat, INDEX(Players!$A814:$P814, MATCH(B$2, Players!$A$1:$P$1, 0)), perc_75, VLOOKUP(B$2, Percentiles!$A$45:$I$59, 6, FALSE), perc_90, VLOOKUP(B$2, Percentiles!$A$45:$I$59, 7, FALSE), perc_95, VLOOKUP(B$2, Percentiles!$A$45:$I$59, 8, FALSE), perc_85, perc_75 + (perc_90 - perc_75) * (2/3), converted_stat, '2K_Ratings'!B815, IF(bbgm_stat &gt;= perc_95, converted_stat * 3, IF(bbgm_stat &gt;= perc_90, converted_stat * 2, IF(bbgm_stat &gt;= perc_85, converted_stat * 1.5, converted_stat)))))</f>
        <v/>
      </c>
      <c r="C815" s="30" t="str">
        <f t="array" ref="C815">IF($A815="", "", LET(bbgm_stat, INDEX(Players!$A814:$P814, MATCH(C$2, Players!$A$1:$P$1, 0)), perc_75, VLOOKUP(C$2, Percentiles!$A$45:$I$59, 6, FALSE), perc_90, VLOOKUP(C$2, Percentiles!$A$45:$I$59, 7, FALSE), perc_95, VLOOKUP(C$2, Percentiles!$A$45:$I$59, 8, FALSE), perc_85, perc_75 + (perc_90 - perc_75) * (2/3), converted_stat, '2K_Ratings'!C815, IF(bbgm_stat &gt;= perc_95, converted_stat * 3, IF(bbgm_stat &gt;= perc_90, converted_stat * 2, IF(bbgm_stat &gt;= perc_85, converted_stat * 1.5, converted_stat)))))</f>
        <v/>
      </c>
      <c r="D815" s="30" t="str">
        <f t="array" ref="D815">IF($A815="", "", LET(bbgm_stat, INDEX(Players!$A814:$P814, MATCH(D$2, Players!$A$1:$P$1, 0)), perc_75, VLOOKUP(D$2, Percentiles!$A$45:$I$59, 6, FALSE), perc_90, VLOOKUP(D$2, Percentiles!$A$45:$I$59, 7, FALSE), perc_95, VLOOKUP(D$2, Percentiles!$A$45:$I$59, 8, FALSE), perc_85, perc_75 + (perc_90 - perc_75) * (2/3), converted_stat, '2K_Ratings'!D815, IF(bbgm_stat &gt;= perc_95, converted_stat * 3, IF(bbgm_stat &gt;= perc_90, converted_stat * 2, IF(bbgm_stat &gt;= perc_85, converted_stat * 1.5, converted_stat)))))</f>
        <v/>
      </c>
      <c r="E815" s="30" t="str">
        <f t="array" ref="E815">IF($A815="", "", LET(bbgm_stat, INDEX(Players!$A814:$P814, MATCH(E$2, Players!$A$1:$P$1, 0)), perc_75, VLOOKUP(E$2, Percentiles!$A$45:$I$59, 6, FALSE), perc_90, VLOOKUP(E$2, Percentiles!$A$45:$I$59, 7, FALSE), perc_95, VLOOKUP(E$2, Percentiles!$A$45:$I$59, 8, FALSE), perc_85, perc_75 + (perc_90 - perc_75) * (2/3), converted_stat, '2K_Ratings'!E815, IF(bbgm_stat &gt;= perc_95, converted_stat * 3, IF(bbgm_stat &gt;= perc_90, converted_stat * 2, IF(bbgm_stat &gt;= perc_85, converted_stat * 1.5, converted_stat)))))</f>
        <v/>
      </c>
      <c r="F815" s="30" t="str">
        <f t="array" ref="F815">IF($A815="", "", LET(bbgm_stat, INDEX(Players!$A814:$P814, MATCH(F$2, Players!$A$1:$P$1, 0)), perc_75, VLOOKUP(F$2, Percentiles!$A$45:$I$59, 6, FALSE), perc_90, VLOOKUP(F$2, Percentiles!$A$45:$I$59, 7, FALSE), perc_95, VLOOKUP(F$2, Percentiles!$A$45:$I$59, 8, FALSE), perc_85, perc_75 + (perc_90 - perc_75) * (2/3), converted_stat, '2K_Ratings'!F815, IF(bbgm_stat &gt;= perc_95, converted_stat * 3, IF(bbgm_stat &gt;= perc_90, converted_stat * 2, IF(bbgm_stat &gt;= perc_85, converted_stat * 1.5, converted_stat)))))</f>
        <v/>
      </c>
      <c r="G815" s="30" t="str">
        <f t="array" ref="G815">IF($A815="", "", LET(bbgm_stat, INDEX(Players!$A814:$P814, MATCH(G$2, Players!$A$1:$P$1, 0)), perc_75, VLOOKUP(G$2, Percentiles!$A$45:$I$59, 6, FALSE), perc_90, VLOOKUP(G$2, Percentiles!$A$45:$I$59, 7, FALSE), perc_95, VLOOKUP(G$2, Percentiles!$A$45:$I$59, 8, FALSE), perc_85, perc_75 + (perc_90 - perc_75) * (2/3), converted_stat, '2K_Ratings'!G815, IF(bbgm_stat &gt;= perc_95, converted_stat * 3, IF(bbgm_stat &gt;= perc_90, converted_stat * 2, IF(bbgm_stat &gt;= perc_85, converted_stat * 1.5, converted_stat)))))</f>
        <v/>
      </c>
      <c r="H815" s="30" t="str">
        <f t="array" ref="H815">IF($A815="", "", LET(bbgm_stat, INDEX(Players!$A814:$P814, MATCH(H$2, Players!$A$1:$P$1, 0)), perc_75, VLOOKUP(H$2, Percentiles!$A$45:$I$59, 6, FALSE), perc_90, VLOOKUP(H$2, Percentiles!$A$45:$I$59, 7, FALSE), perc_95, VLOOKUP(H$2, Percentiles!$A$45:$I$59, 8, FALSE), perc_85, perc_75 + (perc_90 - perc_75) * (2/3), converted_stat, '2K_Ratings'!H815, IF(bbgm_stat &gt;= perc_95, converted_stat * 3, IF(bbgm_stat &gt;= perc_90, converted_stat * 2, IF(bbgm_stat &gt;= perc_85, converted_stat * 1.5, converted_stat)))))</f>
        <v/>
      </c>
      <c r="I815" s="30" t="str">
        <f t="array" ref="I815">IF($A815="", "", LET(bbgm_stat, INDEX(Players!$A814:$P814, MATCH(I$2, Players!$A$1:$P$1, 0)), perc_75, VLOOKUP(I$2, Percentiles!$A$45:$I$59, 6, FALSE), perc_90, VLOOKUP(I$2, Percentiles!$A$45:$I$59, 7, FALSE), perc_95, VLOOKUP(I$2, Percentiles!$A$45:$I$59, 8, FALSE), perc_85, perc_75 + (perc_90 - perc_75) * (2/3), converted_stat, '2K_Ratings'!I815, IF(bbgm_stat &gt;= perc_95, converted_stat * 3, IF(bbgm_stat &gt;= perc_90, converted_stat * 2, IF(bbgm_stat &gt;= perc_85, converted_stat * 1.5, converted_stat)))))</f>
        <v/>
      </c>
      <c r="J815" s="30" t="str">
        <f t="array" ref="J815">IF($A815="", "", LET(bbgm_stat, INDEX(Players!$A814:$P814, MATCH(J$2, Players!$A$1:$P$1, 0)), perc_75, VLOOKUP(J$2, Percentiles!$A$45:$I$59, 6, FALSE), perc_90, VLOOKUP(J$2, Percentiles!$A$45:$I$59, 7, FALSE), perc_95, VLOOKUP(J$2, Percentiles!$A$45:$I$59, 8, FALSE), perc_85, perc_75 + (perc_90 - perc_75) * (2/3), converted_stat, '2K_Ratings'!J815, IF(bbgm_stat &gt;= perc_95, converted_stat * 3, IF(bbgm_stat &gt;= perc_90, converted_stat * 2, IF(bbgm_stat &gt;= perc_85, converted_stat * 1.5, converted_stat)))))</f>
        <v/>
      </c>
      <c r="K815" s="30" t="str">
        <f t="array" ref="K815">IF($A815="", "", LET(bbgm_stat, INDEX(Players!$A814:$P814, MATCH(K$2, Players!$A$1:$P$1, 0)), perc_75, VLOOKUP(K$2, Percentiles!$A$45:$I$59, 6, FALSE), perc_90, VLOOKUP(K$2, Percentiles!$A$45:$I$59, 7, FALSE), perc_95, VLOOKUP(K$2, Percentiles!$A$45:$I$59, 8, FALSE), perc_85, perc_75 + (perc_90 - perc_75) * (2/3), converted_stat, '2K_Ratings'!K815, IF(bbgm_stat &gt;= perc_95, converted_stat * 3, IF(bbgm_stat &gt;= perc_90, converted_stat * 2, IF(bbgm_stat &gt;= perc_85, converted_stat * 1.5, converted_stat)))))</f>
        <v/>
      </c>
      <c r="L815" s="30" t="str">
        <f t="array" ref="L815">IF($A815="", "", LET(bbgm_stat, INDEX(Players!$A814:$P814, MATCH(L$2, Players!$A$1:$P$1, 0)), perc_75, VLOOKUP(L$2, Percentiles!$A$45:$I$59, 6, FALSE), perc_90, VLOOKUP(L$2, Percentiles!$A$45:$I$59, 7, FALSE), perc_95, VLOOKUP(L$2, Percentiles!$A$45:$I$59, 8, FALSE), perc_85, perc_75 + (perc_90 - perc_75) * (2/3), converted_stat, '2K_Ratings'!L815, IF(bbgm_stat &gt;= perc_95, converted_stat * 3, IF(bbgm_stat &gt;= perc_90, converted_stat * 2, IF(bbgm_stat &gt;= perc_85, converted_stat * 1.5, converted_stat)))))</f>
        <v/>
      </c>
      <c r="M815" s="30" t="str">
        <f t="array" ref="M815">IF($A815="", "", LET(bbgm_stat, INDEX(Players!$A814:$P814, MATCH(M$2, Players!$A$1:$P$1, 0)), perc_75, VLOOKUP(M$2, Percentiles!$A$45:$I$59, 6, FALSE), perc_90, VLOOKUP(M$2, Percentiles!$A$45:$I$59, 7, FALSE), perc_95, VLOOKUP(M$2, Percentiles!$A$45:$I$59, 8, FALSE), perc_85, perc_75 + (perc_90 - perc_75) * (2/3), converted_stat, '2K_Ratings'!M815, IF(bbgm_stat &gt;= perc_95, converted_stat * 3, IF(bbgm_stat &gt;= perc_90, converted_stat * 2, IF(bbgm_stat &gt;= perc_85, converted_stat * 1.5, converted_stat)))))</f>
        <v/>
      </c>
      <c r="N815" s="30" t="str">
        <f t="array" ref="N815">IF($A815="", "", LET(bbgm_stat, INDEX(Players!$A814:$P814, MATCH(N$2, Players!$A$1:$P$1, 0)), perc_75, VLOOKUP(N$2, Percentiles!$A$45:$I$59, 6, FALSE), perc_90, VLOOKUP(N$2, Percentiles!$A$45:$I$59, 7, FALSE), perc_95, VLOOKUP(N$2, Percentiles!$A$45:$I$59, 8, FALSE), perc_85, perc_75 + (perc_90 - perc_75) * (2/3), converted_stat, '2K_Ratings'!N815, IF(bbgm_stat &gt;= perc_95, converted_stat * 3, IF(bbgm_stat &gt;= perc_90, converted_stat * 2, IF(bbgm_stat &gt;= perc_85, converted_stat * 1.5, converted_stat)))))</f>
        <v/>
      </c>
      <c r="O815" s="30" t="str">
        <f t="array" ref="O815">IF($A815="", "", LET(bbgm_stat, INDEX(Players!$A814:$P814, MATCH(O$2, Players!$A$1:$P$1, 0)), perc_75, VLOOKUP(O$2, Percentiles!$A$45:$I$59, 6, FALSE), perc_90, VLOOKUP(O$2, Percentiles!$A$45:$I$59, 7, FALSE), perc_95, VLOOKUP(O$2, Percentiles!$A$45:$I$59, 8, FALSE), perc_85, perc_75 + (perc_90 - perc_75) * (2/3), converted_stat, '2K_Ratings'!O815, IF(bbgm_stat &gt;= perc_95, converted_stat * 3, IF(bbgm_stat &gt;= perc_90, converted_stat * 2, IF(bbgm_stat &gt;= perc_85, converted_stat * 1.5, converted_stat)))))</f>
        <v/>
      </c>
      <c r="P815" s="30" t="str">
        <f t="array" ref="P815">IF($A815="", "", LET(bbgm_stat, INDEX(Players!$A814:$P814, MATCH(P$2, Players!$A$1:$P$1, 0)), perc_75, VLOOKUP(P$2, Percentiles!$A$45:$I$59, 6, FALSE), perc_90, VLOOKUP(P$2, Percentiles!$A$45:$I$59, 7, FALSE), perc_95, VLOOKUP(P$2, Percentiles!$A$45:$I$59, 8, FALSE), perc_85, perc_75 + (perc_90 - perc_75) * (2/3), converted_stat, '2K_Ratings'!P815, IF(bbgm_stat &gt;= perc_95, converted_stat * 3, IF(bbgm_stat &gt;= perc_90, converted_stat * 2, IF(bbgm_stat &gt;= perc_85, converted_stat * 1.5, converted_stat)))))</f>
        <v/>
      </c>
      <c r="Q815" s="30" t="str">
        <f t="array" ref="Q815">IF($A815="", "", LET(bbgm_stat, INDEX(Players!$A814:$P814, MATCH(Q$2, Players!$A$1:$P$1, 0)), perc_75, VLOOKUP(Q$2, Percentiles!$A$45:$I$59, 6, FALSE), perc_90, VLOOKUP(Q$2, Percentiles!$A$45:$I$59, 7, FALSE), perc_95, VLOOKUP(Q$2, Percentiles!$A$45:$I$59, 8, FALSE), perc_85, perc_75 + (perc_90 - perc_75) * (2/3), converted_stat, '2K_Ratings'!Q815, IF(bbgm_stat &gt;= perc_95, converted_stat * 3, IF(bbgm_stat &gt;= perc_90, converted_stat * 2, IF(bbgm_stat &gt;= perc_85, converted_stat * 1.5, converted_stat)))))</f>
        <v/>
      </c>
      <c r="R815" s="30" t="str">
        <f t="array" ref="R815">IF($A815="", "", LET(bbgm_stat, INDEX(Players!$A814:$P814, MATCH(R$2, Players!$A$1:$P$1, 0)), perc_75, VLOOKUP(R$2, Percentiles!$A$45:$I$59, 6, FALSE), perc_90, VLOOKUP(R$2, Percentiles!$A$45:$I$59, 7, FALSE), perc_95, VLOOKUP(R$2, Percentiles!$A$45:$I$59, 8, FALSE), perc_85, perc_75 + (perc_90 - perc_75) * (2/3), converted_stat, '2K_Ratings'!R815, IF(bbgm_stat &gt;= perc_95, converted_stat * 3, IF(bbgm_stat &gt;= perc_90, converted_stat * 2, IF(bbgm_stat &gt;= perc_85, converted_stat * 1.5, converted_stat)))))</f>
        <v/>
      </c>
      <c r="S815" s="30" t="str">
        <f t="array" ref="S815">IF($A815="", "", LET(bbgm_stat, INDEX(Players!$A814:$P814, MATCH(S$2, Players!$A$1:$P$1, 0)), perc_75, VLOOKUP(S$2, Percentiles!$A$45:$I$59, 6, FALSE), perc_90, VLOOKUP(S$2, Percentiles!$A$45:$I$59, 7, FALSE), perc_95, VLOOKUP(S$2, Percentiles!$A$45:$I$59, 8, FALSE), perc_85, perc_75 + (perc_90 - perc_75) * (2/3), converted_stat, '2K_Ratings'!S815, IF(bbgm_stat &gt;= perc_95, converted_stat * 3, IF(bbgm_stat &gt;= perc_90, converted_stat * 2, IF(bbgm_stat &gt;= perc_85, converted_stat * 1.5, converted_stat)))))</f>
        <v/>
      </c>
      <c r="T815" s="30" t="str">
        <f t="array" ref="T815">IF($A815="", "", LET(bbgm_stat, INDEX(Players!$A814:$P814, MATCH(T$2, Players!$A$1:$P$1, 0)), perc_75, VLOOKUP(T$2, Percentiles!$A$45:$I$59, 6, FALSE), perc_90, VLOOKUP(T$2, Percentiles!$A$45:$I$59, 7, FALSE), perc_95, VLOOKUP(T$2, Percentiles!$A$45:$I$59, 8, FALSE), perc_85, perc_75 + (perc_90 - perc_75) * (2/3), converted_stat, '2K_Ratings'!T815, IF(bbgm_stat &gt;= perc_95, converted_stat * 3, IF(bbgm_stat &gt;= perc_90, converted_stat * 2, IF(bbgm_stat &gt;= perc_85, converted_stat * 1.5, converted_stat)))))</f>
        <v/>
      </c>
      <c r="U815" s="30" t="str">
        <f t="array" ref="U815">IF($A815="", "", LET(bbgm_stat, INDEX(Players!$A814:$P814, MATCH(U$2, Players!$A$1:$P$1, 0)), perc_75, VLOOKUP(U$2, Percentiles!$A$45:$I$59, 6, FALSE), perc_90, VLOOKUP(U$2, Percentiles!$A$45:$I$59, 7, FALSE), perc_95, VLOOKUP(U$2, Percentiles!$A$45:$I$59, 8, FALSE), perc_85, perc_75 + (perc_90 - perc_75) * (2/3), converted_stat, '2K_Ratings'!U815, IF(bbgm_stat &gt;= perc_95, converted_stat * 3, IF(bbgm_stat &gt;= perc_90, converted_stat * 2, IF(bbgm_stat &gt;= perc_85, converted_stat * 1.5, converted_stat)))))</f>
        <v/>
      </c>
      <c r="V815" s="30" t="str">
        <f t="array" ref="V815">IF($A815="", "", LET(bbgm_stat, INDEX(Players!$A814:$P814, MATCH(V$2, Players!$A$1:$P$1, 0)), perc_75, VLOOKUP(V$2, Percentiles!$A$45:$I$59, 6, FALSE), perc_90, VLOOKUP(V$2, Percentiles!$A$45:$I$59, 7, FALSE), perc_95, VLOOKUP(V$2, Percentiles!$A$45:$I$59, 8, FALSE), perc_85, perc_75 + (perc_90 - perc_75) * (2/3), converted_stat, '2K_Ratings'!V815, IF(bbgm_stat &gt;= perc_95, converted_stat * 3, IF(bbgm_stat &gt;= perc_90, converted_stat * 2, IF(bbgm_stat &gt;= perc_85, converted_stat * 1.5, converted_stat)))))</f>
        <v/>
      </c>
      <c r="W815" s="30" t="str">
        <f t="array" ref="W815">IF($A815="", "", LET(bbgm_stat, INDEX(Players!$A814:$P814, MATCH(W$2, Players!$A$1:$P$1, 0)), perc_75, VLOOKUP(W$2, Percentiles!$A$45:$I$59, 6, FALSE), perc_90, VLOOKUP(W$2, Percentiles!$A$45:$I$59, 7, FALSE), perc_95, VLOOKUP(W$2, Percentiles!$A$45:$I$59, 8, FALSE), perc_85, perc_75 + (perc_90 - perc_75) * (2/3), converted_stat, '2K_Ratings'!W815, IF(bbgm_stat &gt;= perc_95, converted_stat * 3, IF(bbgm_stat &gt;= perc_90, converted_stat * 2, IF(bbgm_stat &gt;= perc_85, converted_stat * 1.5, converted_stat)))))</f>
        <v/>
      </c>
    </row>
    <row r="816">
      <c r="A816" s="30"/>
      <c r="B816" s="30" t="str">
        <f t="array" ref="B816">IF($A816="", "", LET(bbgm_stat, INDEX(Players!$A815:$P815, MATCH(B$2, Players!$A$1:$P$1, 0)), perc_75, VLOOKUP(B$2, Percentiles!$A$45:$I$59, 6, FALSE), perc_90, VLOOKUP(B$2, Percentiles!$A$45:$I$59, 7, FALSE), perc_95, VLOOKUP(B$2, Percentiles!$A$45:$I$59, 8, FALSE), perc_85, perc_75 + (perc_90 - perc_75) * (2/3), converted_stat, '2K_Ratings'!B816, IF(bbgm_stat &gt;= perc_95, converted_stat * 3, IF(bbgm_stat &gt;= perc_90, converted_stat * 2, IF(bbgm_stat &gt;= perc_85, converted_stat * 1.5, converted_stat)))))</f>
        <v/>
      </c>
      <c r="C816" s="30" t="str">
        <f t="array" ref="C816">IF($A816="", "", LET(bbgm_stat, INDEX(Players!$A815:$P815, MATCH(C$2, Players!$A$1:$P$1, 0)), perc_75, VLOOKUP(C$2, Percentiles!$A$45:$I$59, 6, FALSE), perc_90, VLOOKUP(C$2, Percentiles!$A$45:$I$59, 7, FALSE), perc_95, VLOOKUP(C$2, Percentiles!$A$45:$I$59, 8, FALSE), perc_85, perc_75 + (perc_90 - perc_75) * (2/3), converted_stat, '2K_Ratings'!C816, IF(bbgm_stat &gt;= perc_95, converted_stat * 3, IF(bbgm_stat &gt;= perc_90, converted_stat * 2, IF(bbgm_stat &gt;= perc_85, converted_stat * 1.5, converted_stat)))))</f>
        <v/>
      </c>
      <c r="D816" s="30" t="str">
        <f t="array" ref="D816">IF($A816="", "", LET(bbgm_stat, INDEX(Players!$A815:$P815, MATCH(D$2, Players!$A$1:$P$1, 0)), perc_75, VLOOKUP(D$2, Percentiles!$A$45:$I$59, 6, FALSE), perc_90, VLOOKUP(D$2, Percentiles!$A$45:$I$59, 7, FALSE), perc_95, VLOOKUP(D$2, Percentiles!$A$45:$I$59, 8, FALSE), perc_85, perc_75 + (perc_90 - perc_75) * (2/3), converted_stat, '2K_Ratings'!D816, IF(bbgm_stat &gt;= perc_95, converted_stat * 3, IF(bbgm_stat &gt;= perc_90, converted_stat * 2, IF(bbgm_stat &gt;= perc_85, converted_stat * 1.5, converted_stat)))))</f>
        <v/>
      </c>
      <c r="E816" s="30" t="str">
        <f t="array" ref="E816">IF($A816="", "", LET(bbgm_stat, INDEX(Players!$A815:$P815, MATCH(E$2, Players!$A$1:$P$1, 0)), perc_75, VLOOKUP(E$2, Percentiles!$A$45:$I$59, 6, FALSE), perc_90, VLOOKUP(E$2, Percentiles!$A$45:$I$59, 7, FALSE), perc_95, VLOOKUP(E$2, Percentiles!$A$45:$I$59, 8, FALSE), perc_85, perc_75 + (perc_90 - perc_75) * (2/3), converted_stat, '2K_Ratings'!E816, IF(bbgm_stat &gt;= perc_95, converted_stat * 3, IF(bbgm_stat &gt;= perc_90, converted_stat * 2, IF(bbgm_stat &gt;= perc_85, converted_stat * 1.5, converted_stat)))))</f>
        <v/>
      </c>
      <c r="F816" s="30" t="str">
        <f t="array" ref="F816">IF($A816="", "", LET(bbgm_stat, INDEX(Players!$A815:$P815, MATCH(F$2, Players!$A$1:$P$1, 0)), perc_75, VLOOKUP(F$2, Percentiles!$A$45:$I$59, 6, FALSE), perc_90, VLOOKUP(F$2, Percentiles!$A$45:$I$59, 7, FALSE), perc_95, VLOOKUP(F$2, Percentiles!$A$45:$I$59, 8, FALSE), perc_85, perc_75 + (perc_90 - perc_75) * (2/3), converted_stat, '2K_Ratings'!F816, IF(bbgm_stat &gt;= perc_95, converted_stat * 3, IF(bbgm_stat &gt;= perc_90, converted_stat * 2, IF(bbgm_stat &gt;= perc_85, converted_stat * 1.5, converted_stat)))))</f>
        <v/>
      </c>
      <c r="G816" s="30" t="str">
        <f t="array" ref="G816">IF($A816="", "", LET(bbgm_stat, INDEX(Players!$A815:$P815, MATCH(G$2, Players!$A$1:$P$1, 0)), perc_75, VLOOKUP(G$2, Percentiles!$A$45:$I$59, 6, FALSE), perc_90, VLOOKUP(G$2, Percentiles!$A$45:$I$59, 7, FALSE), perc_95, VLOOKUP(G$2, Percentiles!$A$45:$I$59, 8, FALSE), perc_85, perc_75 + (perc_90 - perc_75) * (2/3), converted_stat, '2K_Ratings'!G816, IF(bbgm_stat &gt;= perc_95, converted_stat * 3, IF(bbgm_stat &gt;= perc_90, converted_stat * 2, IF(bbgm_stat &gt;= perc_85, converted_stat * 1.5, converted_stat)))))</f>
        <v/>
      </c>
      <c r="H816" s="30" t="str">
        <f t="array" ref="H816">IF($A816="", "", LET(bbgm_stat, INDEX(Players!$A815:$P815, MATCH(H$2, Players!$A$1:$P$1, 0)), perc_75, VLOOKUP(H$2, Percentiles!$A$45:$I$59, 6, FALSE), perc_90, VLOOKUP(H$2, Percentiles!$A$45:$I$59, 7, FALSE), perc_95, VLOOKUP(H$2, Percentiles!$A$45:$I$59, 8, FALSE), perc_85, perc_75 + (perc_90 - perc_75) * (2/3), converted_stat, '2K_Ratings'!H816, IF(bbgm_stat &gt;= perc_95, converted_stat * 3, IF(bbgm_stat &gt;= perc_90, converted_stat * 2, IF(bbgm_stat &gt;= perc_85, converted_stat * 1.5, converted_stat)))))</f>
        <v/>
      </c>
      <c r="I816" s="30" t="str">
        <f t="array" ref="I816">IF($A816="", "", LET(bbgm_stat, INDEX(Players!$A815:$P815, MATCH(I$2, Players!$A$1:$P$1, 0)), perc_75, VLOOKUP(I$2, Percentiles!$A$45:$I$59, 6, FALSE), perc_90, VLOOKUP(I$2, Percentiles!$A$45:$I$59, 7, FALSE), perc_95, VLOOKUP(I$2, Percentiles!$A$45:$I$59, 8, FALSE), perc_85, perc_75 + (perc_90 - perc_75) * (2/3), converted_stat, '2K_Ratings'!I816, IF(bbgm_stat &gt;= perc_95, converted_stat * 3, IF(bbgm_stat &gt;= perc_90, converted_stat * 2, IF(bbgm_stat &gt;= perc_85, converted_stat * 1.5, converted_stat)))))</f>
        <v/>
      </c>
      <c r="J816" s="30" t="str">
        <f t="array" ref="J816">IF($A816="", "", LET(bbgm_stat, INDEX(Players!$A815:$P815, MATCH(J$2, Players!$A$1:$P$1, 0)), perc_75, VLOOKUP(J$2, Percentiles!$A$45:$I$59, 6, FALSE), perc_90, VLOOKUP(J$2, Percentiles!$A$45:$I$59, 7, FALSE), perc_95, VLOOKUP(J$2, Percentiles!$A$45:$I$59, 8, FALSE), perc_85, perc_75 + (perc_90 - perc_75) * (2/3), converted_stat, '2K_Ratings'!J816, IF(bbgm_stat &gt;= perc_95, converted_stat * 3, IF(bbgm_stat &gt;= perc_90, converted_stat * 2, IF(bbgm_stat &gt;= perc_85, converted_stat * 1.5, converted_stat)))))</f>
        <v/>
      </c>
      <c r="K816" s="30" t="str">
        <f t="array" ref="K816">IF($A816="", "", LET(bbgm_stat, INDEX(Players!$A815:$P815, MATCH(K$2, Players!$A$1:$P$1, 0)), perc_75, VLOOKUP(K$2, Percentiles!$A$45:$I$59, 6, FALSE), perc_90, VLOOKUP(K$2, Percentiles!$A$45:$I$59, 7, FALSE), perc_95, VLOOKUP(K$2, Percentiles!$A$45:$I$59, 8, FALSE), perc_85, perc_75 + (perc_90 - perc_75) * (2/3), converted_stat, '2K_Ratings'!K816, IF(bbgm_stat &gt;= perc_95, converted_stat * 3, IF(bbgm_stat &gt;= perc_90, converted_stat * 2, IF(bbgm_stat &gt;= perc_85, converted_stat * 1.5, converted_stat)))))</f>
        <v/>
      </c>
      <c r="L816" s="30" t="str">
        <f t="array" ref="L816">IF($A816="", "", LET(bbgm_stat, INDEX(Players!$A815:$P815, MATCH(L$2, Players!$A$1:$P$1, 0)), perc_75, VLOOKUP(L$2, Percentiles!$A$45:$I$59, 6, FALSE), perc_90, VLOOKUP(L$2, Percentiles!$A$45:$I$59, 7, FALSE), perc_95, VLOOKUP(L$2, Percentiles!$A$45:$I$59, 8, FALSE), perc_85, perc_75 + (perc_90 - perc_75) * (2/3), converted_stat, '2K_Ratings'!L816, IF(bbgm_stat &gt;= perc_95, converted_stat * 3, IF(bbgm_stat &gt;= perc_90, converted_stat * 2, IF(bbgm_stat &gt;= perc_85, converted_stat * 1.5, converted_stat)))))</f>
        <v/>
      </c>
      <c r="M816" s="30" t="str">
        <f t="array" ref="M816">IF($A816="", "", LET(bbgm_stat, INDEX(Players!$A815:$P815, MATCH(M$2, Players!$A$1:$P$1, 0)), perc_75, VLOOKUP(M$2, Percentiles!$A$45:$I$59, 6, FALSE), perc_90, VLOOKUP(M$2, Percentiles!$A$45:$I$59, 7, FALSE), perc_95, VLOOKUP(M$2, Percentiles!$A$45:$I$59, 8, FALSE), perc_85, perc_75 + (perc_90 - perc_75) * (2/3), converted_stat, '2K_Ratings'!M816, IF(bbgm_stat &gt;= perc_95, converted_stat * 3, IF(bbgm_stat &gt;= perc_90, converted_stat * 2, IF(bbgm_stat &gt;= perc_85, converted_stat * 1.5, converted_stat)))))</f>
        <v/>
      </c>
      <c r="N816" s="30" t="str">
        <f t="array" ref="N816">IF($A816="", "", LET(bbgm_stat, INDEX(Players!$A815:$P815, MATCH(N$2, Players!$A$1:$P$1, 0)), perc_75, VLOOKUP(N$2, Percentiles!$A$45:$I$59, 6, FALSE), perc_90, VLOOKUP(N$2, Percentiles!$A$45:$I$59, 7, FALSE), perc_95, VLOOKUP(N$2, Percentiles!$A$45:$I$59, 8, FALSE), perc_85, perc_75 + (perc_90 - perc_75) * (2/3), converted_stat, '2K_Ratings'!N816, IF(bbgm_stat &gt;= perc_95, converted_stat * 3, IF(bbgm_stat &gt;= perc_90, converted_stat * 2, IF(bbgm_stat &gt;= perc_85, converted_stat * 1.5, converted_stat)))))</f>
        <v/>
      </c>
      <c r="O816" s="30" t="str">
        <f t="array" ref="O816">IF($A816="", "", LET(bbgm_stat, INDEX(Players!$A815:$P815, MATCH(O$2, Players!$A$1:$P$1, 0)), perc_75, VLOOKUP(O$2, Percentiles!$A$45:$I$59, 6, FALSE), perc_90, VLOOKUP(O$2, Percentiles!$A$45:$I$59, 7, FALSE), perc_95, VLOOKUP(O$2, Percentiles!$A$45:$I$59, 8, FALSE), perc_85, perc_75 + (perc_90 - perc_75) * (2/3), converted_stat, '2K_Ratings'!O816, IF(bbgm_stat &gt;= perc_95, converted_stat * 3, IF(bbgm_stat &gt;= perc_90, converted_stat * 2, IF(bbgm_stat &gt;= perc_85, converted_stat * 1.5, converted_stat)))))</f>
        <v/>
      </c>
      <c r="P816" s="30" t="str">
        <f t="array" ref="P816">IF($A816="", "", LET(bbgm_stat, INDEX(Players!$A815:$P815, MATCH(P$2, Players!$A$1:$P$1, 0)), perc_75, VLOOKUP(P$2, Percentiles!$A$45:$I$59, 6, FALSE), perc_90, VLOOKUP(P$2, Percentiles!$A$45:$I$59, 7, FALSE), perc_95, VLOOKUP(P$2, Percentiles!$A$45:$I$59, 8, FALSE), perc_85, perc_75 + (perc_90 - perc_75) * (2/3), converted_stat, '2K_Ratings'!P816, IF(bbgm_stat &gt;= perc_95, converted_stat * 3, IF(bbgm_stat &gt;= perc_90, converted_stat * 2, IF(bbgm_stat &gt;= perc_85, converted_stat * 1.5, converted_stat)))))</f>
        <v/>
      </c>
      <c r="Q816" s="30" t="str">
        <f t="array" ref="Q816">IF($A816="", "", LET(bbgm_stat, INDEX(Players!$A815:$P815, MATCH(Q$2, Players!$A$1:$P$1, 0)), perc_75, VLOOKUP(Q$2, Percentiles!$A$45:$I$59, 6, FALSE), perc_90, VLOOKUP(Q$2, Percentiles!$A$45:$I$59, 7, FALSE), perc_95, VLOOKUP(Q$2, Percentiles!$A$45:$I$59, 8, FALSE), perc_85, perc_75 + (perc_90 - perc_75) * (2/3), converted_stat, '2K_Ratings'!Q816, IF(bbgm_stat &gt;= perc_95, converted_stat * 3, IF(bbgm_stat &gt;= perc_90, converted_stat * 2, IF(bbgm_stat &gt;= perc_85, converted_stat * 1.5, converted_stat)))))</f>
        <v/>
      </c>
      <c r="R816" s="30" t="str">
        <f t="array" ref="R816">IF($A816="", "", LET(bbgm_stat, INDEX(Players!$A815:$P815, MATCH(R$2, Players!$A$1:$P$1, 0)), perc_75, VLOOKUP(R$2, Percentiles!$A$45:$I$59, 6, FALSE), perc_90, VLOOKUP(R$2, Percentiles!$A$45:$I$59, 7, FALSE), perc_95, VLOOKUP(R$2, Percentiles!$A$45:$I$59, 8, FALSE), perc_85, perc_75 + (perc_90 - perc_75) * (2/3), converted_stat, '2K_Ratings'!R816, IF(bbgm_stat &gt;= perc_95, converted_stat * 3, IF(bbgm_stat &gt;= perc_90, converted_stat * 2, IF(bbgm_stat &gt;= perc_85, converted_stat * 1.5, converted_stat)))))</f>
        <v/>
      </c>
      <c r="S816" s="30" t="str">
        <f t="array" ref="S816">IF($A816="", "", LET(bbgm_stat, INDEX(Players!$A815:$P815, MATCH(S$2, Players!$A$1:$P$1, 0)), perc_75, VLOOKUP(S$2, Percentiles!$A$45:$I$59, 6, FALSE), perc_90, VLOOKUP(S$2, Percentiles!$A$45:$I$59, 7, FALSE), perc_95, VLOOKUP(S$2, Percentiles!$A$45:$I$59, 8, FALSE), perc_85, perc_75 + (perc_90 - perc_75) * (2/3), converted_stat, '2K_Ratings'!S816, IF(bbgm_stat &gt;= perc_95, converted_stat * 3, IF(bbgm_stat &gt;= perc_90, converted_stat * 2, IF(bbgm_stat &gt;= perc_85, converted_stat * 1.5, converted_stat)))))</f>
        <v/>
      </c>
      <c r="T816" s="30" t="str">
        <f t="array" ref="T816">IF($A816="", "", LET(bbgm_stat, INDEX(Players!$A815:$P815, MATCH(T$2, Players!$A$1:$P$1, 0)), perc_75, VLOOKUP(T$2, Percentiles!$A$45:$I$59, 6, FALSE), perc_90, VLOOKUP(T$2, Percentiles!$A$45:$I$59, 7, FALSE), perc_95, VLOOKUP(T$2, Percentiles!$A$45:$I$59, 8, FALSE), perc_85, perc_75 + (perc_90 - perc_75) * (2/3), converted_stat, '2K_Ratings'!T816, IF(bbgm_stat &gt;= perc_95, converted_stat * 3, IF(bbgm_stat &gt;= perc_90, converted_stat * 2, IF(bbgm_stat &gt;= perc_85, converted_stat * 1.5, converted_stat)))))</f>
        <v/>
      </c>
      <c r="U816" s="30" t="str">
        <f t="array" ref="U816">IF($A816="", "", LET(bbgm_stat, INDEX(Players!$A815:$P815, MATCH(U$2, Players!$A$1:$P$1, 0)), perc_75, VLOOKUP(U$2, Percentiles!$A$45:$I$59, 6, FALSE), perc_90, VLOOKUP(U$2, Percentiles!$A$45:$I$59, 7, FALSE), perc_95, VLOOKUP(U$2, Percentiles!$A$45:$I$59, 8, FALSE), perc_85, perc_75 + (perc_90 - perc_75) * (2/3), converted_stat, '2K_Ratings'!U816, IF(bbgm_stat &gt;= perc_95, converted_stat * 3, IF(bbgm_stat &gt;= perc_90, converted_stat * 2, IF(bbgm_stat &gt;= perc_85, converted_stat * 1.5, converted_stat)))))</f>
        <v/>
      </c>
      <c r="V816" s="30" t="str">
        <f t="array" ref="V816">IF($A816="", "", LET(bbgm_stat, INDEX(Players!$A815:$P815, MATCH(V$2, Players!$A$1:$P$1, 0)), perc_75, VLOOKUP(V$2, Percentiles!$A$45:$I$59, 6, FALSE), perc_90, VLOOKUP(V$2, Percentiles!$A$45:$I$59, 7, FALSE), perc_95, VLOOKUP(V$2, Percentiles!$A$45:$I$59, 8, FALSE), perc_85, perc_75 + (perc_90 - perc_75) * (2/3), converted_stat, '2K_Ratings'!V816, IF(bbgm_stat &gt;= perc_95, converted_stat * 3, IF(bbgm_stat &gt;= perc_90, converted_stat * 2, IF(bbgm_stat &gt;= perc_85, converted_stat * 1.5, converted_stat)))))</f>
        <v/>
      </c>
      <c r="W816" s="30" t="str">
        <f t="array" ref="W816">IF($A816="", "", LET(bbgm_stat, INDEX(Players!$A815:$P815, MATCH(W$2, Players!$A$1:$P$1, 0)), perc_75, VLOOKUP(W$2, Percentiles!$A$45:$I$59, 6, FALSE), perc_90, VLOOKUP(W$2, Percentiles!$A$45:$I$59, 7, FALSE), perc_95, VLOOKUP(W$2, Percentiles!$A$45:$I$59, 8, FALSE), perc_85, perc_75 + (perc_90 - perc_75) * (2/3), converted_stat, '2K_Ratings'!W816, IF(bbgm_stat &gt;= perc_95, converted_stat * 3, IF(bbgm_stat &gt;= perc_90, converted_stat * 2, IF(bbgm_stat &gt;= perc_85, converted_stat * 1.5, converted_stat)))))</f>
        <v/>
      </c>
    </row>
    <row r="817">
      <c r="A817" s="30"/>
      <c r="B817" s="30" t="str">
        <f t="array" ref="B817">IF($A817="", "", LET(bbgm_stat, INDEX(Players!$A816:$P816, MATCH(B$2, Players!$A$1:$P$1, 0)), perc_75, VLOOKUP(B$2, Percentiles!$A$45:$I$59, 6, FALSE), perc_90, VLOOKUP(B$2, Percentiles!$A$45:$I$59, 7, FALSE), perc_95, VLOOKUP(B$2, Percentiles!$A$45:$I$59, 8, FALSE), perc_85, perc_75 + (perc_90 - perc_75) * (2/3), converted_stat, '2K_Ratings'!B817, IF(bbgm_stat &gt;= perc_95, converted_stat * 3, IF(bbgm_stat &gt;= perc_90, converted_stat * 2, IF(bbgm_stat &gt;= perc_85, converted_stat * 1.5, converted_stat)))))</f>
        <v/>
      </c>
      <c r="C817" s="30" t="str">
        <f t="array" ref="C817">IF($A817="", "", LET(bbgm_stat, INDEX(Players!$A816:$P816, MATCH(C$2, Players!$A$1:$P$1, 0)), perc_75, VLOOKUP(C$2, Percentiles!$A$45:$I$59, 6, FALSE), perc_90, VLOOKUP(C$2, Percentiles!$A$45:$I$59, 7, FALSE), perc_95, VLOOKUP(C$2, Percentiles!$A$45:$I$59, 8, FALSE), perc_85, perc_75 + (perc_90 - perc_75) * (2/3), converted_stat, '2K_Ratings'!C817, IF(bbgm_stat &gt;= perc_95, converted_stat * 3, IF(bbgm_stat &gt;= perc_90, converted_stat * 2, IF(bbgm_stat &gt;= perc_85, converted_stat * 1.5, converted_stat)))))</f>
        <v/>
      </c>
      <c r="D817" s="30" t="str">
        <f t="array" ref="D817">IF($A817="", "", LET(bbgm_stat, INDEX(Players!$A816:$P816, MATCH(D$2, Players!$A$1:$P$1, 0)), perc_75, VLOOKUP(D$2, Percentiles!$A$45:$I$59, 6, FALSE), perc_90, VLOOKUP(D$2, Percentiles!$A$45:$I$59, 7, FALSE), perc_95, VLOOKUP(D$2, Percentiles!$A$45:$I$59, 8, FALSE), perc_85, perc_75 + (perc_90 - perc_75) * (2/3), converted_stat, '2K_Ratings'!D817, IF(bbgm_stat &gt;= perc_95, converted_stat * 3, IF(bbgm_stat &gt;= perc_90, converted_stat * 2, IF(bbgm_stat &gt;= perc_85, converted_stat * 1.5, converted_stat)))))</f>
        <v/>
      </c>
      <c r="E817" s="30" t="str">
        <f t="array" ref="E817">IF($A817="", "", LET(bbgm_stat, INDEX(Players!$A816:$P816, MATCH(E$2, Players!$A$1:$P$1, 0)), perc_75, VLOOKUP(E$2, Percentiles!$A$45:$I$59, 6, FALSE), perc_90, VLOOKUP(E$2, Percentiles!$A$45:$I$59, 7, FALSE), perc_95, VLOOKUP(E$2, Percentiles!$A$45:$I$59, 8, FALSE), perc_85, perc_75 + (perc_90 - perc_75) * (2/3), converted_stat, '2K_Ratings'!E817, IF(bbgm_stat &gt;= perc_95, converted_stat * 3, IF(bbgm_stat &gt;= perc_90, converted_stat * 2, IF(bbgm_stat &gt;= perc_85, converted_stat * 1.5, converted_stat)))))</f>
        <v/>
      </c>
      <c r="F817" s="30" t="str">
        <f t="array" ref="F817">IF($A817="", "", LET(bbgm_stat, INDEX(Players!$A816:$P816, MATCH(F$2, Players!$A$1:$P$1, 0)), perc_75, VLOOKUP(F$2, Percentiles!$A$45:$I$59, 6, FALSE), perc_90, VLOOKUP(F$2, Percentiles!$A$45:$I$59, 7, FALSE), perc_95, VLOOKUP(F$2, Percentiles!$A$45:$I$59, 8, FALSE), perc_85, perc_75 + (perc_90 - perc_75) * (2/3), converted_stat, '2K_Ratings'!F817, IF(bbgm_stat &gt;= perc_95, converted_stat * 3, IF(bbgm_stat &gt;= perc_90, converted_stat * 2, IF(bbgm_stat &gt;= perc_85, converted_stat * 1.5, converted_stat)))))</f>
        <v/>
      </c>
      <c r="G817" s="30" t="str">
        <f t="array" ref="G817">IF($A817="", "", LET(bbgm_stat, INDEX(Players!$A816:$P816, MATCH(G$2, Players!$A$1:$P$1, 0)), perc_75, VLOOKUP(G$2, Percentiles!$A$45:$I$59, 6, FALSE), perc_90, VLOOKUP(G$2, Percentiles!$A$45:$I$59, 7, FALSE), perc_95, VLOOKUP(G$2, Percentiles!$A$45:$I$59, 8, FALSE), perc_85, perc_75 + (perc_90 - perc_75) * (2/3), converted_stat, '2K_Ratings'!G817, IF(bbgm_stat &gt;= perc_95, converted_stat * 3, IF(bbgm_stat &gt;= perc_90, converted_stat * 2, IF(bbgm_stat &gt;= perc_85, converted_stat * 1.5, converted_stat)))))</f>
        <v/>
      </c>
      <c r="H817" s="30" t="str">
        <f t="array" ref="H817">IF($A817="", "", LET(bbgm_stat, INDEX(Players!$A816:$P816, MATCH(H$2, Players!$A$1:$P$1, 0)), perc_75, VLOOKUP(H$2, Percentiles!$A$45:$I$59, 6, FALSE), perc_90, VLOOKUP(H$2, Percentiles!$A$45:$I$59, 7, FALSE), perc_95, VLOOKUP(H$2, Percentiles!$A$45:$I$59, 8, FALSE), perc_85, perc_75 + (perc_90 - perc_75) * (2/3), converted_stat, '2K_Ratings'!H817, IF(bbgm_stat &gt;= perc_95, converted_stat * 3, IF(bbgm_stat &gt;= perc_90, converted_stat * 2, IF(bbgm_stat &gt;= perc_85, converted_stat * 1.5, converted_stat)))))</f>
        <v/>
      </c>
      <c r="I817" s="30" t="str">
        <f t="array" ref="I817">IF($A817="", "", LET(bbgm_stat, INDEX(Players!$A816:$P816, MATCH(I$2, Players!$A$1:$P$1, 0)), perc_75, VLOOKUP(I$2, Percentiles!$A$45:$I$59, 6, FALSE), perc_90, VLOOKUP(I$2, Percentiles!$A$45:$I$59, 7, FALSE), perc_95, VLOOKUP(I$2, Percentiles!$A$45:$I$59, 8, FALSE), perc_85, perc_75 + (perc_90 - perc_75) * (2/3), converted_stat, '2K_Ratings'!I817, IF(bbgm_stat &gt;= perc_95, converted_stat * 3, IF(bbgm_stat &gt;= perc_90, converted_stat * 2, IF(bbgm_stat &gt;= perc_85, converted_stat * 1.5, converted_stat)))))</f>
        <v/>
      </c>
      <c r="J817" s="30" t="str">
        <f t="array" ref="J817">IF($A817="", "", LET(bbgm_stat, INDEX(Players!$A816:$P816, MATCH(J$2, Players!$A$1:$P$1, 0)), perc_75, VLOOKUP(J$2, Percentiles!$A$45:$I$59, 6, FALSE), perc_90, VLOOKUP(J$2, Percentiles!$A$45:$I$59, 7, FALSE), perc_95, VLOOKUP(J$2, Percentiles!$A$45:$I$59, 8, FALSE), perc_85, perc_75 + (perc_90 - perc_75) * (2/3), converted_stat, '2K_Ratings'!J817, IF(bbgm_stat &gt;= perc_95, converted_stat * 3, IF(bbgm_stat &gt;= perc_90, converted_stat * 2, IF(bbgm_stat &gt;= perc_85, converted_stat * 1.5, converted_stat)))))</f>
        <v/>
      </c>
      <c r="K817" s="30" t="str">
        <f t="array" ref="K817">IF($A817="", "", LET(bbgm_stat, INDEX(Players!$A816:$P816, MATCH(K$2, Players!$A$1:$P$1, 0)), perc_75, VLOOKUP(K$2, Percentiles!$A$45:$I$59, 6, FALSE), perc_90, VLOOKUP(K$2, Percentiles!$A$45:$I$59, 7, FALSE), perc_95, VLOOKUP(K$2, Percentiles!$A$45:$I$59, 8, FALSE), perc_85, perc_75 + (perc_90 - perc_75) * (2/3), converted_stat, '2K_Ratings'!K817, IF(bbgm_stat &gt;= perc_95, converted_stat * 3, IF(bbgm_stat &gt;= perc_90, converted_stat * 2, IF(bbgm_stat &gt;= perc_85, converted_stat * 1.5, converted_stat)))))</f>
        <v/>
      </c>
      <c r="L817" s="30" t="str">
        <f t="array" ref="L817">IF($A817="", "", LET(bbgm_stat, INDEX(Players!$A816:$P816, MATCH(L$2, Players!$A$1:$P$1, 0)), perc_75, VLOOKUP(L$2, Percentiles!$A$45:$I$59, 6, FALSE), perc_90, VLOOKUP(L$2, Percentiles!$A$45:$I$59, 7, FALSE), perc_95, VLOOKUP(L$2, Percentiles!$A$45:$I$59, 8, FALSE), perc_85, perc_75 + (perc_90 - perc_75) * (2/3), converted_stat, '2K_Ratings'!L817, IF(bbgm_stat &gt;= perc_95, converted_stat * 3, IF(bbgm_stat &gt;= perc_90, converted_stat * 2, IF(bbgm_stat &gt;= perc_85, converted_stat * 1.5, converted_stat)))))</f>
        <v/>
      </c>
      <c r="M817" s="30" t="str">
        <f t="array" ref="M817">IF($A817="", "", LET(bbgm_stat, INDEX(Players!$A816:$P816, MATCH(M$2, Players!$A$1:$P$1, 0)), perc_75, VLOOKUP(M$2, Percentiles!$A$45:$I$59, 6, FALSE), perc_90, VLOOKUP(M$2, Percentiles!$A$45:$I$59, 7, FALSE), perc_95, VLOOKUP(M$2, Percentiles!$A$45:$I$59, 8, FALSE), perc_85, perc_75 + (perc_90 - perc_75) * (2/3), converted_stat, '2K_Ratings'!M817, IF(bbgm_stat &gt;= perc_95, converted_stat * 3, IF(bbgm_stat &gt;= perc_90, converted_stat * 2, IF(bbgm_stat &gt;= perc_85, converted_stat * 1.5, converted_stat)))))</f>
        <v/>
      </c>
      <c r="N817" s="30" t="str">
        <f t="array" ref="N817">IF($A817="", "", LET(bbgm_stat, INDEX(Players!$A816:$P816, MATCH(N$2, Players!$A$1:$P$1, 0)), perc_75, VLOOKUP(N$2, Percentiles!$A$45:$I$59, 6, FALSE), perc_90, VLOOKUP(N$2, Percentiles!$A$45:$I$59, 7, FALSE), perc_95, VLOOKUP(N$2, Percentiles!$A$45:$I$59, 8, FALSE), perc_85, perc_75 + (perc_90 - perc_75) * (2/3), converted_stat, '2K_Ratings'!N817, IF(bbgm_stat &gt;= perc_95, converted_stat * 3, IF(bbgm_stat &gt;= perc_90, converted_stat * 2, IF(bbgm_stat &gt;= perc_85, converted_stat * 1.5, converted_stat)))))</f>
        <v/>
      </c>
      <c r="O817" s="30" t="str">
        <f t="array" ref="O817">IF($A817="", "", LET(bbgm_stat, INDEX(Players!$A816:$P816, MATCH(O$2, Players!$A$1:$P$1, 0)), perc_75, VLOOKUP(O$2, Percentiles!$A$45:$I$59, 6, FALSE), perc_90, VLOOKUP(O$2, Percentiles!$A$45:$I$59, 7, FALSE), perc_95, VLOOKUP(O$2, Percentiles!$A$45:$I$59, 8, FALSE), perc_85, perc_75 + (perc_90 - perc_75) * (2/3), converted_stat, '2K_Ratings'!O817, IF(bbgm_stat &gt;= perc_95, converted_stat * 3, IF(bbgm_stat &gt;= perc_90, converted_stat * 2, IF(bbgm_stat &gt;= perc_85, converted_stat * 1.5, converted_stat)))))</f>
        <v/>
      </c>
      <c r="P817" s="30" t="str">
        <f t="array" ref="P817">IF($A817="", "", LET(bbgm_stat, INDEX(Players!$A816:$P816, MATCH(P$2, Players!$A$1:$P$1, 0)), perc_75, VLOOKUP(P$2, Percentiles!$A$45:$I$59, 6, FALSE), perc_90, VLOOKUP(P$2, Percentiles!$A$45:$I$59, 7, FALSE), perc_95, VLOOKUP(P$2, Percentiles!$A$45:$I$59, 8, FALSE), perc_85, perc_75 + (perc_90 - perc_75) * (2/3), converted_stat, '2K_Ratings'!P817, IF(bbgm_stat &gt;= perc_95, converted_stat * 3, IF(bbgm_stat &gt;= perc_90, converted_stat * 2, IF(bbgm_stat &gt;= perc_85, converted_stat * 1.5, converted_stat)))))</f>
        <v/>
      </c>
      <c r="Q817" s="30" t="str">
        <f t="array" ref="Q817">IF($A817="", "", LET(bbgm_stat, INDEX(Players!$A816:$P816, MATCH(Q$2, Players!$A$1:$P$1, 0)), perc_75, VLOOKUP(Q$2, Percentiles!$A$45:$I$59, 6, FALSE), perc_90, VLOOKUP(Q$2, Percentiles!$A$45:$I$59, 7, FALSE), perc_95, VLOOKUP(Q$2, Percentiles!$A$45:$I$59, 8, FALSE), perc_85, perc_75 + (perc_90 - perc_75) * (2/3), converted_stat, '2K_Ratings'!Q817, IF(bbgm_stat &gt;= perc_95, converted_stat * 3, IF(bbgm_stat &gt;= perc_90, converted_stat * 2, IF(bbgm_stat &gt;= perc_85, converted_stat * 1.5, converted_stat)))))</f>
        <v/>
      </c>
      <c r="R817" s="30" t="str">
        <f t="array" ref="R817">IF($A817="", "", LET(bbgm_stat, INDEX(Players!$A816:$P816, MATCH(R$2, Players!$A$1:$P$1, 0)), perc_75, VLOOKUP(R$2, Percentiles!$A$45:$I$59, 6, FALSE), perc_90, VLOOKUP(R$2, Percentiles!$A$45:$I$59, 7, FALSE), perc_95, VLOOKUP(R$2, Percentiles!$A$45:$I$59, 8, FALSE), perc_85, perc_75 + (perc_90 - perc_75) * (2/3), converted_stat, '2K_Ratings'!R817, IF(bbgm_stat &gt;= perc_95, converted_stat * 3, IF(bbgm_stat &gt;= perc_90, converted_stat * 2, IF(bbgm_stat &gt;= perc_85, converted_stat * 1.5, converted_stat)))))</f>
        <v/>
      </c>
      <c r="S817" s="30" t="str">
        <f t="array" ref="S817">IF($A817="", "", LET(bbgm_stat, INDEX(Players!$A816:$P816, MATCH(S$2, Players!$A$1:$P$1, 0)), perc_75, VLOOKUP(S$2, Percentiles!$A$45:$I$59, 6, FALSE), perc_90, VLOOKUP(S$2, Percentiles!$A$45:$I$59, 7, FALSE), perc_95, VLOOKUP(S$2, Percentiles!$A$45:$I$59, 8, FALSE), perc_85, perc_75 + (perc_90 - perc_75) * (2/3), converted_stat, '2K_Ratings'!S817, IF(bbgm_stat &gt;= perc_95, converted_stat * 3, IF(bbgm_stat &gt;= perc_90, converted_stat * 2, IF(bbgm_stat &gt;= perc_85, converted_stat * 1.5, converted_stat)))))</f>
        <v/>
      </c>
      <c r="T817" s="30" t="str">
        <f t="array" ref="T817">IF($A817="", "", LET(bbgm_stat, INDEX(Players!$A816:$P816, MATCH(T$2, Players!$A$1:$P$1, 0)), perc_75, VLOOKUP(T$2, Percentiles!$A$45:$I$59, 6, FALSE), perc_90, VLOOKUP(T$2, Percentiles!$A$45:$I$59, 7, FALSE), perc_95, VLOOKUP(T$2, Percentiles!$A$45:$I$59, 8, FALSE), perc_85, perc_75 + (perc_90 - perc_75) * (2/3), converted_stat, '2K_Ratings'!T817, IF(bbgm_stat &gt;= perc_95, converted_stat * 3, IF(bbgm_stat &gt;= perc_90, converted_stat * 2, IF(bbgm_stat &gt;= perc_85, converted_stat * 1.5, converted_stat)))))</f>
        <v/>
      </c>
      <c r="U817" s="30" t="str">
        <f t="array" ref="U817">IF($A817="", "", LET(bbgm_stat, INDEX(Players!$A816:$P816, MATCH(U$2, Players!$A$1:$P$1, 0)), perc_75, VLOOKUP(U$2, Percentiles!$A$45:$I$59, 6, FALSE), perc_90, VLOOKUP(U$2, Percentiles!$A$45:$I$59, 7, FALSE), perc_95, VLOOKUP(U$2, Percentiles!$A$45:$I$59, 8, FALSE), perc_85, perc_75 + (perc_90 - perc_75) * (2/3), converted_stat, '2K_Ratings'!U817, IF(bbgm_stat &gt;= perc_95, converted_stat * 3, IF(bbgm_stat &gt;= perc_90, converted_stat * 2, IF(bbgm_stat &gt;= perc_85, converted_stat * 1.5, converted_stat)))))</f>
        <v/>
      </c>
      <c r="V817" s="30" t="str">
        <f t="array" ref="V817">IF($A817="", "", LET(bbgm_stat, INDEX(Players!$A816:$P816, MATCH(V$2, Players!$A$1:$P$1, 0)), perc_75, VLOOKUP(V$2, Percentiles!$A$45:$I$59, 6, FALSE), perc_90, VLOOKUP(V$2, Percentiles!$A$45:$I$59, 7, FALSE), perc_95, VLOOKUP(V$2, Percentiles!$A$45:$I$59, 8, FALSE), perc_85, perc_75 + (perc_90 - perc_75) * (2/3), converted_stat, '2K_Ratings'!V817, IF(bbgm_stat &gt;= perc_95, converted_stat * 3, IF(bbgm_stat &gt;= perc_90, converted_stat * 2, IF(bbgm_stat &gt;= perc_85, converted_stat * 1.5, converted_stat)))))</f>
        <v/>
      </c>
      <c r="W817" s="30" t="str">
        <f t="array" ref="W817">IF($A817="", "", LET(bbgm_stat, INDEX(Players!$A816:$P816, MATCH(W$2, Players!$A$1:$P$1, 0)), perc_75, VLOOKUP(W$2, Percentiles!$A$45:$I$59, 6, FALSE), perc_90, VLOOKUP(W$2, Percentiles!$A$45:$I$59, 7, FALSE), perc_95, VLOOKUP(W$2, Percentiles!$A$45:$I$59, 8, FALSE), perc_85, perc_75 + (perc_90 - perc_75) * (2/3), converted_stat, '2K_Ratings'!W817, IF(bbgm_stat &gt;= perc_95, converted_stat * 3, IF(bbgm_stat &gt;= perc_90, converted_stat * 2, IF(bbgm_stat &gt;= perc_85, converted_stat * 1.5, converted_stat)))))</f>
        <v/>
      </c>
    </row>
    <row r="818">
      <c r="A818" s="30"/>
      <c r="B818" s="30" t="str">
        <f t="array" ref="B818">IF($A818="", "", LET(bbgm_stat, INDEX(Players!$A817:$P817, MATCH(B$2, Players!$A$1:$P$1, 0)), perc_75, VLOOKUP(B$2, Percentiles!$A$45:$I$59, 6, FALSE), perc_90, VLOOKUP(B$2, Percentiles!$A$45:$I$59, 7, FALSE), perc_95, VLOOKUP(B$2, Percentiles!$A$45:$I$59, 8, FALSE), perc_85, perc_75 + (perc_90 - perc_75) * (2/3), converted_stat, '2K_Ratings'!B818, IF(bbgm_stat &gt;= perc_95, converted_stat * 3, IF(bbgm_stat &gt;= perc_90, converted_stat * 2, IF(bbgm_stat &gt;= perc_85, converted_stat * 1.5, converted_stat)))))</f>
        <v/>
      </c>
      <c r="C818" s="30" t="str">
        <f t="array" ref="C818">IF($A818="", "", LET(bbgm_stat, INDEX(Players!$A817:$P817, MATCH(C$2, Players!$A$1:$P$1, 0)), perc_75, VLOOKUP(C$2, Percentiles!$A$45:$I$59, 6, FALSE), perc_90, VLOOKUP(C$2, Percentiles!$A$45:$I$59, 7, FALSE), perc_95, VLOOKUP(C$2, Percentiles!$A$45:$I$59, 8, FALSE), perc_85, perc_75 + (perc_90 - perc_75) * (2/3), converted_stat, '2K_Ratings'!C818, IF(bbgm_stat &gt;= perc_95, converted_stat * 3, IF(bbgm_stat &gt;= perc_90, converted_stat * 2, IF(bbgm_stat &gt;= perc_85, converted_stat * 1.5, converted_stat)))))</f>
        <v/>
      </c>
      <c r="D818" s="30" t="str">
        <f t="array" ref="D818">IF($A818="", "", LET(bbgm_stat, INDEX(Players!$A817:$P817, MATCH(D$2, Players!$A$1:$P$1, 0)), perc_75, VLOOKUP(D$2, Percentiles!$A$45:$I$59, 6, FALSE), perc_90, VLOOKUP(D$2, Percentiles!$A$45:$I$59, 7, FALSE), perc_95, VLOOKUP(D$2, Percentiles!$A$45:$I$59, 8, FALSE), perc_85, perc_75 + (perc_90 - perc_75) * (2/3), converted_stat, '2K_Ratings'!D818, IF(bbgm_stat &gt;= perc_95, converted_stat * 3, IF(bbgm_stat &gt;= perc_90, converted_stat * 2, IF(bbgm_stat &gt;= perc_85, converted_stat * 1.5, converted_stat)))))</f>
        <v/>
      </c>
      <c r="E818" s="30" t="str">
        <f t="array" ref="E818">IF($A818="", "", LET(bbgm_stat, INDEX(Players!$A817:$P817, MATCH(E$2, Players!$A$1:$P$1, 0)), perc_75, VLOOKUP(E$2, Percentiles!$A$45:$I$59, 6, FALSE), perc_90, VLOOKUP(E$2, Percentiles!$A$45:$I$59, 7, FALSE), perc_95, VLOOKUP(E$2, Percentiles!$A$45:$I$59, 8, FALSE), perc_85, perc_75 + (perc_90 - perc_75) * (2/3), converted_stat, '2K_Ratings'!E818, IF(bbgm_stat &gt;= perc_95, converted_stat * 3, IF(bbgm_stat &gt;= perc_90, converted_stat * 2, IF(bbgm_stat &gt;= perc_85, converted_stat * 1.5, converted_stat)))))</f>
        <v/>
      </c>
      <c r="F818" s="30" t="str">
        <f t="array" ref="F818">IF($A818="", "", LET(bbgm_stat, INDEX(Players!$A817:$P817, MATCH(F$2, Players!$A$1:$P$1, 0)), perc_75, VLOOKUP(F$2, Percentiles!$A$45:$I$59, 6, FALSE), perc_90, VLOOKUP(F$2, Percentiles!$A$45:$I$59, 7, FALSE), perc_95, VLOOKUP(F$2, Percentiles!$A$45:$I$59, 8, FALSE), perc_85, perc_75 + (perc_90 - perc_75) * (2/3), converted_stat, '2K_Ratings'!F818, IF(bbgm_stat &gt;= perc_95, converted_stat * 3, IF(bbgm_stat &gt;= perc_90, converted_stat * 2, IF(bbgm_stat &gt;= perc_85, converted_stat * 1.5, converted_stat)))))</f>
        <v/>
      </c>
      <c r="G818" s="30" t="str">
        <f t="array" ref="G818">IF($A818="", "", LET(bbgm_stat, INDEX(Players!$A817:$P817, MATCH(G$2, Players!$A$1:$P$1, 0)), perc_75, VLOOKUP(G$2, Percentiles!$A$45:$I$59, 6, FALSE), perc_90, VLOOKUP(G$2, Percentiles!$A$45:$I$59, 7, FALSE), perc_95, VLOOKUP(G$2, Percentiles!$A$45:$I$59, 8, FALSE), perc_85, perc_75 + (perc_90 - perc_75) * (2/3), converted_stat, '2K_Ratings'!G818, IF(bbgm_stat &gt;= perc_95, converted_stat * 3, IF(bbgm_stat &gt;= perc_90, converted_stat * 2, IF(bbgm_stat &gt;= perc_85, converted_stat * 1.5, converted_stat)))))</f>
        <v/>
      </c>
      <c r="H818" s="30" t="str">
        <f t="array" ref="H818">IF($A818="", "", LET(bbgm_stat, INDEX(Players!$A817:$P817, MATCH(H$2, Players!$A$1:$P$1, 0)), perc_75, VLOOKUP(H$2, Percentiles!$A$45:$I$59, 6, FALSE), perc_90, VLOOKUP(H$2, Percentiles!$A$45:$I$59, 7, FALSE), perc_95, VLOOKUP(H$2, Percentiles!$A$45:$I$59, 8, FALSE), perc_85, perc_75 + (perc_90 - perc_75) * (2/3), converted_stat, '2K_Ratings'!H818, IF(bbgm_stat &gt;= perc_95, converted_stat * 3, IF(bbgm_stat &gt;= perc_90, converted_stat * 2, IF(bbgm_stat &gt;= perc_85, converted_stat * 1.5, converted_stat)))))</f>
        <v/>
      </c>
      <c r="I818" s="30" t="str">
        <f t="array" ref="I818">IF($A818="", "", LET(bbgm_stat, INDEX(Players!$A817:$P817, MATCH(I$2, Players!$A$1:$P$1, 0)), perc_75, VLOOKUP(I$2, Percentiles!$A$45:$I$59, 6, FALSE), perc_90, VLOOKUP(I$2, Percentiles!$A$45:$I$59, 7, FALSE), perc_95, VLOOKUP(I$2, Percentiles!$A$45:$I$59, 8, FALSE), perc_85, perc_75 + (perc_90 - perc_75) * (2/3), converted_stat, '2K_Ratings'!I818, IF(bbgm_stat &gt;= perc_95, converted_stat * 3, IF(bbgm_stat &gt;= perc_90, converted_stat * 2, IF(bbgm_stat &gt;= perc_85, converted_stat * 1.5, converted_stat)))))</f>
        <v/>
      </c>
      <c r="J818" s="30" t="str">
        <f t="array" ref="J818">IF($A818="", "", LET(bbgm_stat, INDEX(Players!$A817:$P817, MATCH(J$2, Players!$A$1:$P$1, 0)), perc_75, VLOOKUP(J$2, Percentiles!$A$45:$I$59, 6, FALSE), perc_90, VLOOKUP(J$2, Percentiles!$A$45:$I$59, 7, FALSE), perc_95, VLOOKUP(J$2, Percentiles!$A$45:$I$59, 8, FALSE), perc_85, perc_75 + (perc_90 - perc_75) * (2/3), converted_stat, '2K_Ratings'!J818, IF(bbgm_stat &gt;= perc_95, converted_stat * 3, IF(bbgm_stat &gt;= perc_90, converted_stat * 2, IF(bbgm_stat &gt;= perc_85, converted_stat * 1.5, converted_stat)))))</f>
        <v/>
      </c>
      <c r="K818" s="30" t="str">
        <f t="array" ref="K818">IF($A818="", "", LET(bbgm_stat, INDEX(Players!$A817:$P817, MATCH(K$2, Players!$A$1:$P$1, 0)), perc_75, VLOOKUP(K$2, Percentiles!$A$45:$I$59, 6, FALSE), perc_90, VLOOKUP(K$2, Percentiles!$A$45:$I$59, 7, FALSE), perc_95, VLOOKUP(K$2, Percentiles!$A$45:$I$59, 8, FALSE), perc_85, perc_75 + (perc_90 - perc_75) * (2/3), converted_stat, '2K_Ratings'!K818, IF(bbgm_stat &gt;= perc_95, converted_stat * 3, IF(bbgm_stat &gt;= perc_90, converted_stat * 2, IF(bbgm_stat &gt;= perc_85, converted_stat * 1.5, converted_stat)))))</f>
        <v/>
      </c>
      <c r="L818" s="30" t="str">
        <f t="array" ref="L818">IF($A818="", "", LET(bbgm_stat, INDEX(Players!$A817:$P817, MATCH(L$2, Players!$A$1:$P$1, 0)), perc_75, VLOOKUP(L$2, Percentiles!$A$45:$I$59, 6, FALSE), perc_90, VLOOKUP(L$2, Percentiles!$A$45:$I$59, 7, FALSE), perc_95, VLOOKUP(L$2, Percentiles!$A$45:$I$59, 8, FALSE), perc_85, perc_75 + (perc_90 - perc_75) * (2/3), converted_stat, '2K_Ratings'!L818, IF(bbgm_stat &gt;= perc_95, converted_stat * 3, IF(bbgm_stat &gt;= perc_90, converted_stat * 2, IF(bbgm_stat &gt;= perc_85, converted_stat * 1.5, converted_stat)))))</f>
        <v/>
      </c>
      <c r="M818" s="30" t="str">
        <f t="array" ref="M818">IF($A818="", "", LET(bbgm_stat, INDEX(Players!$A817:$P817, MATCH(M$2, Players!$A$1:$P$1, 0)), perc_75, VLOOKUP(M$2, Percentiles!$A$45:$I$59, 6, FALSE), perc_90, VLOOKUP(M$2, Percentiles!$A$45:$I$59, 7, FALSE), perc_95, VLOOKUP(M$2, Percentiles!$A$45:$I$59, 8, FALSE), perc_85, perc_75 + (perc_90 - perc_75) * (2/3), converted_stat, '2K_Ratings'!M818, IF(bbgm_stat &gt;= perc_95, converted_stat * 3, IF(bbgm_stat &gt;= perc_90, converted_stat * 2, IF(bbgm_stat &gt;= perc_85, converted_stat * 1.5, converted_stat)))))</f>
        <v/>
      </c>
      <c r="N818" s="30" t="str">
        <f t="array" ref="N818">IF($A818="", "", LET(bbgm_stat, INDEX(Players!$A817:$P817, MATCH(N$2, Players!$A$1:$P$1, 0)), perc_75, VLOOKUP(N$2, Percentiles!$A$45:$I$59, 6, FALSE), perc_90, VLOOKUP(N$2, Percentiles!$A$45:$I$59, 7, FALSE), perc_95, VLOOKUP(N$2, Percentiles!$A$45:$I$59, 8, FALSE), perc_85, perc_75 + (perc_90 - perc_75) * (2/3), converted_stat, '2K_Ratings'!N818, IF(bbgm_stat &gt;= perc_95, converted_stat * 3, IF(bbgm_stat &gt;= perc_90, converted_stat * 2, IF(bbgm_stat &gt;= perc_85, converted_stat * 1.5, converted_stat)))))</f>
        <v/>
      </c>
      <c r="O818" s="30" t="str">
        <f t="array" ref="O818">IF($A818="", "", LET(bbgm_stat, INDEX(Players!$A817:$P817, MATCH(O$2, Players!$A$1:$P$1, 0)), perc_75, VLOOKUP(O$2, Percentiles!$A$45:$I$59, 6, FALSE), perc_90, VLOOKUP(O$2, Percentiles!$A$45:$I$59, 7, FALSE), perc_95, VLOOKUP(O$2, Percentiles!$A$45:$I$59, 8, FALSE), perc_85, perc_75 + (perc_90 - perc_75) * (2/3), converted_stat, '2K_Ratings'!O818, IF(bbgm_stat &gt;= perc_95, converted_stat * 3, IF(bbgm_stat &gt;= perc_90, converted_stat * 2, IF(bbgm_stat &gt;= perc_85, converted_stat * 1.5, converted_stat)))))</f>
        <v/>
      </c>
      <c r="P818" s="30" t="str">
        <f t="array" ref="P818">IF($A818="", "", LET(bbgm_stat, INDEX(Players!$A817:$P817, MATCH(P$2, Players!$A$1:$P$1, 0)), perc_75, VLOOKUP(P$2, Percentiles!$A$45:$I$59, 6, FALSE), perc_90, VLOOKUP(P$2, Percentiles!$A$45:$I$59, 7, FALSE), perc_95, VLOOKUP(P$2, Percentiles!$A$45:$I$59, 8, FALSE), perc_85, perc_75 + (perc_90 - perc_75) * (2/3), converted_stat, '2K_Ratings'!P818, IF(bbgm_stat &gt;= perc_95, converted_stat * 3, IF(bbgm_stat &gt;= perc_90, converted_stat * 2, IF(bbgm_stat &gt;= perc_85, converted_stat * 1.5, converted_stat)))))</f>
        <v/>
      </c>
      <c r="Q818" s="30" t="str">
        <f t="array" ref="Q818">IF($A818="", "", LET(bbgm_stat, INDEX(Players!$A817:$P817, MATCH(Q$2, Players!$A$1:$P$1, 0)), perc_75, VLOOKUP(Q$2, Percentiles!$A$45:$I$59, 6, FALSE), perc_90, VLOOKUP(Q$2, Percentiles!$A$45:$I$59, 7, FALSE), perc_95, VLOOKUP(Q$2, Percentiles!$A$45:$I$59, 8, FALSE), perc_85, perc_75 + (perc_90 - perc_75) * (2/3), converted_stat, '2K_Ratings'!Q818, IF(bbgm_stat &gt;= perc_95, converted_stat * 3, IF(bbgm_stat &gt;= perc_90, converted_stat * 2, IF(bbgm_stat &gt;= perc_85, converted_stat * 1.5, converted_stat)))))</f>
        <v/>
      </c>
      <c r="R818" s="30" t="str">
        <f t="array" ref="R818">IF($A818="", "", LET(bbgm_stat, INDEX(Players!$A817:$P817, MATCH(R$2, Players!$A$1:$P$1, 0)), perc_75, VLOOKUP(R$2, Percentiles!$A$45:$I$59, 6, FALSE), perc_90, VLOOKUP(R$2, Percentiles!$A$45:$I$59, 7, FALSE), perc_95, VLOOKUP(R$2, Percentiles!$A$45:$I$59, 8, FALSE), perc_85, perc_75 + (perc_90 - perc_75) * (2/3), converted_stat, '2K_Ratings'!R818, IF(bbgm_stat &gt;= perc_95, converted_stat * 3, IF(bbgm_stat &gt;= perc_90, converted_stat * 2, IF(bbgm_stat &gt;= perc_85, converted_stat * 1.5, converted_stat)))))</f>
        <v/>
      </c>
      <c r="S818" s="30" t="str">
        <f t="array" ref="S818">IF($A818="", "", LET(bbgm_stat, INDEX(Players!$A817:$P817, MATCH(S$2, Players!$A$1:$P$1, 0)), perc_75, VLOOKUP(S$2, Percentiles!$A$45:$I$59, 6, FALSE), perc_90, VLOOKUP(S$2, Percentiles!$A$45:$I$59, 7, FALSE), perc_95, VLOOKUP(S$2, Percentiles!$A$45:$I$59, 8, FALSE), perc_85, perc_75 + (perc_90 - perc_75) * (2/3), converted_stat, '2K_Ratings'!S818, IF(bbgm_stat &gt;= perc_95, converted_stat * 3, IF(bbgm_stat &gt;= perc_90, converted_stat * 2, IF(bbgm_stat &gt;= perc_85, converted_stat * 1.5, converted_stat)))))</f>
        <v/>
      </c>
      <c r="T818" s="30" t="str">
        <f t="array" ref="T818">IF($A818="", "", LET(bbgm_stat, INDEX(Players!$A817:$P817, MATCH(T$2, Players!$A$1:$P$1, 0)), perc_75, VLOOKUP(T$2, Percentiles!$A$45:$I$59, 6, FALSE), perc_90, VLOOKUP(T$2, Percentiles!$A$45:$I$59, 7, FALSE), perc_95, VLOOKUP(T$2, Percentiles!$A$45:$I$59, 8, FALSE), perc_85, perc_75 + (perc_90 - perc_75) * (2/3), converted_stat, '2K_Ratings'!T818, IF(bbgm_stat &gt;= perc_95, converted_stat * 3, IF(bbgm_stat &gt;= perc_90, converted_stat * 2, IF(bbgm_stat &gt;= perc_85, converted_stat * 1.5, converted_stat)))))</f>
        <v/>
      </c>
      <c r="U818" s="30" t="str">
        <f t="array" ref="U818">IF($A818="", "", LET(bbgm_stat, INDEX(Players!$A817:$P817, MATCH(U$2, Players!$A$1:$P$1, 0)), perc_75, VLOOKUP(U$2, Percentiles!$A$45:$I$59, 6, FALSE), perc_90, VLOOKUP(U$2, Percentiles!$A$45:$I$59, 7, FALSE), perc_95, VLOOKUP(U$2, Percentiles!$A$45:$I$59, 8, FALSE), perc_85, perc_75 + (perc_90 - perc_75) * (2/3), converted_stat, '2K_Ratings'!U818, IF(bbgm_stat &gt;= perc_95, converted_stat * 3, IF(bbgm_stat &gt;= perc_90, converted_stat * 2, IF(bbgm_stat &gt;= perc_85, converted_stat * 1.5, converted_stat)))))</f>
        <v/>
      </c>
      <c r="V818" s="30" t="str">
        <f t="array" ref="V818">IF($A818="", "", LET(bbgm_stat, INDEX(Players!$A817:$P817, MATCH(V$2, Players!$A$1:$P$1, 0)), perc_75, VLOOKUP(V$2, Percentiles!$A$45:$I$59, 6, FALSE), perc_90, VLOOKUP(V$2, Percentiles!$A$45:$I$59, 7, FALSE), perc_95, VLOOKUP(V$2, Percentiles!$A$45:$I$59, 8, FALSE), perc_85, perc_75 + (perc_90 - perc_75) * (2/3), converted_stat, '2K_Ratings'!V818, IF(bbgm_stat &gt;= perc_95, converted_stat * 3, IF(bbgm_stat &gt;= perc_90, converted_stat * 2, IF(bbgm_stat &gt;= perc_85, converted_stat * 1.5, converted_stat)))))</f>
        <v/>
      </c>
      <c r="W818" s="30" t="str">
        <f t="array" ref="W818">IF($A818="", "", LET(bbgm_stat, INDEX(Players!$A817:$P817, MATCH(W$2, Players!$A$1:$P$1, 0)), perc_75, VLOOKUP(W$2, Percentiles!$A$45:$I$59, 6, FALSE), perc_90, VLOOKUP(W$2, Percentiles!$A$45:$I$59, 7, FALSE), perc_95, VLOOKUP(W$2, Percentiles!$A$45:$I$59, 8, FALSE), perc_85, perc_75 + (perc_90 - perc_75) * (2/3), converted_stat, '2K_Ratings'!W818, IF(bbgm_stat &gt;= perc_95, converted_stat * 3, IF(bbgm_stat &gt;= perc_90, converted_stat * 2, IF(bbgm_stat &gt;= perc_85, converted_stat * 1.5, converted_stat)))))</f>
        <v/>
      </c>
    </row>
    <row r="819">
      <c r="A819" s="30"/>
      <c r="B819" s="30" t="str">
        <f t="array" ref="B819">IF($A819="", "", LET(bbgm_stat, INDEX(Players!$A818:$P818, MATCH(B$2, Players!$A$1:$P$1, 0)), perc_75, VLOOKUP(B$2, Percentiles!$A$45:$I$59, 6, FALSE), perc_90, VLOOKUP(B$2, Percentiles!$A$45:$I$59, 7, FALSE), perc_95, VLOOKUP(B$2, Percentiles!$A$45:$I$59, 8, FALSE), perc_85, perc_75 + (perc_90 - perc_75) * (2/3), converted_stat, '2K_Ratings'!B819, IF(bbgm_stat &gt;= perc_95, converted_stat * 3, IF(bbgm_stat &gt;= perc_90, converted_stat * 2, IF(bbgm_stat &gt;= perc_85, converted_stat * 1.5, converted_stat)))))</f>
        <v/>
      </c>
      <c r="C819" s="30" t="str">
        <f t="array" ref="C819">IF($A819="", "", LET(bbgm_stat, INDEX(Players!$A818:$P818, MATCH(C$2, Players!$A$1:$P$1, 0)), perc_75, VLOOKUP(C$2, Percentiles!$A$45:$I$59, 6, FALSE), perc_90, VLOOKUP(C$2, Percentiles!$A$45:$I$59, 7, FALSE), perc_95, VLOOKUP(C$2, Percentiles!$A$45:$I$59, 8, FALSE), perc_85, perc_75 + (perc_90 - perc_75) * (2/3), converted_stat, '2K_Ratings'!C819, IF(bbgm_stat &gt;= perc_95, converted_stat * 3, IF(bbgm_stat &gt;= perc_90, converted_stat * 2, IF(bbgm_stat &gt;= perc_85, converted_stat * 1.5, converted_stat)))))</f>
        <v/>
      </c>
      <c r="D819" s="30" t="str">
        <f t="array" ref="D819">IF($A819="", "", LET(bbgm_stat, INDEX(Players!$A818:$P818, MATCH(D$2, Players!$A$1:$P$1, 0)), perc_75, VLOOKUP(D$2, Percentiles!$A$45:$I$59, 6, FALSE), perc_90, VLOOKUP(D$2, Percentiles!$A$45:$I$59, 7, FALSE), perc_95, VLOOKUP(D$2, Percentiles!$A$45:$I$59, 8, FALSE), perc_85, perc_75 + (perc_90 - perc_75) * (2/3), converted_stat, '2K_Ratings'!D819, IF(bbgm_stat &gt;= perc_95, converted_stat * 3, IF(bbgm_stat &gt;= perc_90, converted_stat * 2, IF(bbgm_stat &gt;= perc_85, converted_stat * 1.5, converted_stat)))))</f>
        <v/>
      </c>
      <c r="E819" s="30" t="str">
        <f t="array" ref="E819">IF($A819="", "", LET(bbgm_stat, INDEX(Players!$A818:$P818, MATCH(E$2, Players!$A$1:$P$1, 0)), perc_75, VLOOKUP(E$2, Percentiles!$A$45:$I$59, 6, FALSE), perc_90, VLOOKUP(E$2, Percentiles!$A$45:$I$59, 7, FALSE), perc_95, VLOOKUP(E$2, Percentiles!$A$45:$I$59, 8, FALSE), perc_85, perc_75 + (perc_90 - perc_75) * (2/3), converted_stat, '2K_Ratings'!E819, IF(bbgm_stat &gt;= perc_95, converted_stat * 3, IF(bbgm_stat &gt;= perc_90, converted_stat * 2, IF(bbgm_stat &gt;= perc_85, converted_stat * 1.5, converted_stat)))))</f>
        <v/>
      </c>
      <c r="F819" s="30" t="str">
        <f t="array" ref="F819">IF($A819="", "", LET(bbgm_stat, INDEX(Players!$A818:$P818, MATCH(F$2, Players!$A$1:$P$1, 0)), perc_75, VLOOKUP(F$2, Percentiles!$A$45:$I$59, 6, FALSE), perc_90, VLOOKUP(F$2, Percentiles!$A$45:$I$59, 7, FALSE), perc_95, VLOOKUP(F$2, Percentiles!$A$45:$I$59, 8, FALSE), perc_85, perc_75 + (perc_90 - perc_75) * (2/3), converted_stat, '2K_Ratings'!F819, IF(bbgm_stat &gt;= perc_95, converted_stat * 3, IF(bbgm_stat &gt;= perc_90, converted_stat * 2, IF(bbgm_stat &gt;= perc_85, converted_stat * 1.5, converted_stat)))))</f>
        <v/>
      </c>
      <c r="G819" s="30" t="str">
        <f t="array" ref="G819">IF($A819="", "", LET(bbgm_stat, INDEX(Players!$A818:$P818, MATCH(G$2, Players!$A$1:$P$1, 0)), perc_75, VLOOKUP(G$2, Percentiles!$A$45:$I$59, 6, FALSE), perc_90, VLOOKUP(G$2, Percentiles!$A$45:$I$59, 7, FALSE), perc_95, VLOOKUP(G$2, Percentiles!$A$45:$I$59, 8, FALSE), perc_85, perc_75 + (perc_90 - perc_75) * (2/3), converted_stat, '2K_Ratings'!G819, IF(bbgm_stat &gt;= perc_95, converted_stat * 3, IF(bbgm_stat &gt;= perc_90, converted_stat * 2, IF(bbgm_stat &gt;= perc_85, converted_stat * 1.5, converted_stat)))))</f>
        <v/>
      </c>
      <c r="H819" s="30" t="str">
        <f t="array" ref="H819">IF($A819="", "", LET(bbgm_stat, INDEX(Players!$A818:$P818, MATCH(H$2, Players!$A$1:$P$1, 0)), perc_75, VLOOKUP(H$2, Percentiles!$A$45:$I$59, 6, FALSE), perc_90, VLOOKUP(H$2, Percentiles!$A$45:$I$59, 7, FALSE), perc_95, VLOOKUP(H$2, Percentiles!$A$45:$I$59, 8, FALSE), perc_85, perc_75 + (perc_90 - perc_75) * (2/3), converted_stat, '2K_Ratings'!H819, IF(bbgm_stat &gt;= perc_95, converted_stat * 3, IF(bbgm_stat &gt;= perc_90, converted_stat * 2, IF(bbgm_stat &gt;= perc_85, converted_stat * 1.5, converted_stat)))))</f>
        <v/>
      </c>
      <c r="I819" s="30" t="str">
        <f t="array" ref="I819">IF($A819="", "", LET(bbgm_stat, INDEX(Players!$A818:$P818, MATCH(I$2, Players!$A$1:$P$1, 0)), perc_75, VLOOKUP(I$2, Percentiles!$A$45:$I$59, 6, FALSE), perc_90, VLOOKUP(I$2, Percentiles!$A$45:$I$59, 7, FALSE), perc_95, VLOOKUP(I$2, Percentiles!$A$45:$I$59, 8, FALSE), perc_85, perc_75 + (perc_90 - perc_75) * (2/3), converted_stat, '2K_Ratings'!I819, IF(bbgm_stat &gt;= perc_95, converted_stat * 3, IF(bbgm_stat &gt;= perc_90, converted_stat * 2, IF(bbgm_stat &gt;= perc_85, converted_stat * 1.5, converted_stat)))))</f>
        <v/>
      </c>
      <c r="J819" s="30" t="str">
        <f t="array" ref="J819">IF($A819="", "", LET(bbgm_stat, INDEX(Players!$A818:$P818, MATCH(J$2, Players!$A$1:$P$1, 0)), perc_75, VLOOKUP(J$2, Percentiles!$A$45:$I$59, 6, FALSE), perc_90, VLOOKUP(J$2, Percentiles!$A$45:$I$59, 7, FALSE), perc_95, VLOOKUP(J$2, Percentiles!$A$45:$I$59, 8, FALSE), perc_85, perc_75 + (perc_90 - perc_75) * (2/3), converted_stat, '2K_Ratings'!J819, IF(bbgm_stat &gt;= perc_95, converted_stat * 3, IF(bbgm_stat &gt;= perc_90, converted_stat * 2, IF(bbgm_stat &gt;= perc_85, converted_stat * 1.5, converted_stat)))))</f>
        <v/>
      </c>
      <c r="K819" s="30" t="str">
        <f t="array" ref="K819">IF($A819="", "", LET(bbgm_stat, INDEX(Players!$A818:$P818, MATCH(K$2, Players!$A$1:$P$1, 0)), perc_75, VLOOKUP(K$2, Percentiles!$A$45:$I$59, 6, FALSE), perc_90, VLOOKUP(K$2, Percentiles!$A$45:$I$59, 7, FALSE), perc_95, VLOOKUP(K$2, Percentiles!$A$45:$I$59, 8, FALSE), perc_85, perc_75 + (perc_90 - perc_75) * (2/3), converted_stat, '2K_Ratings'!K819, IF(bbgm_stat &gt;= perc_95, converted_stat * 3, IF(bbgm_stat &gt;= perc_90, converted_stat * 2, IF(bbgm_stat &gt;= perc_85, converted_stat * 1.5, converted_stat)))))</f>
        <v/>
      </c>
      <c r="L819" s="30" t="str">
        <f t="array" ref="L819">IF($A819="", "", LET(bbgm_stat, INDEX(Players!$A818:$P818, MATCH(L$2, Players!$A$1:$P$1, 0)), perc_75, VLOOKUP(L$2, Percentiles!$A$45:$I$59, 6, FALSE), perc_90, VLOOKUP(L$2, Percentiles!$A$45:$I$59, 7, FALSE), perc_95, VLOOKUP(L$2, Percentiles!$A$45:$I$59, 8, FALSE), perc_85, perc_75 + (perc_90 - perc_75) * (2/3), converted_stat, '2K_Ratings'!L819, IF(bbgm_stat &gt;= perc_95, converted_stat * 3, IF(bbgm_stat &gt;= perc_90, converted_stat * 2, IF(bbgm_stat &gt;= perc_85, converted_stat * 1.5, converted_stat)))))</f>
        <v/>
      </c>
      <c r="M819" s="30" t="str">
        <f t="array" ref="M819">IF($A819="", "", LET(bbgm_stat, INDEX(Players!$A818:$P818, MATCH(M$2, Players!$A$1:$P$1, 0)), perc_75, VLOOKUP(M$2, Percentiles!$A$45:$I$59, 6, FALSE), perc_90, VLOOKUP(M$2, Percentiles!$A$45:$I$59, 7, FALSE), perc_95, VLOOKUP(M$2, Percentiles!$A$45:$I$59, 8, FALSE), perc_85, perc_75 + (perc_90 - perc_75) * (2/3), converted_stat, '2K_Ratings'!M819, IF(bbgm_stat &gt;= perc_95, converted_stat * 3, IF(bbgm_stat &gt;= perc_90, converted_stat * 2, IF(bbgm_stat &gt;= perc_85, converted_stat * 1.5, converted_stat)))))</f>
        <v/>
      </c>
      <c r="N819" s="30" t="str">
        <f t="array" ref="N819">IF($A819="", "", LET(bbgm_stat, INDEX(Players!$A818:$P818, MATCH(N$2, Players!$A$1:$P$1, 0)), perc_75, VLOOKUP(N$2, Percentiles!$A$45:$I$59, 6, FALSE), perc_90, VLOOKUP(N$2, Percentiles!$A$45:$I$59, 7, FALSE), perc_95, VLOOKUP(N$2, Percentiles!$A$45:$I$59, 8, FALSE), perc_85, perc_75 + (perc_90 - perc_75) * (2/3), converted_stat, '2K_Ratings'!N819, IF(bbgm_stat &gt;= perc_95, converted_stat * 3, IF(bbgm_stat &gt;= perc_90, converted_stat * 2, IF(bbgm_stat &gt;= perc_85, converted_stat * 1.5, converted_stat)))))</f>
        <v/>
      </c>
      <c r="O819" s="30" t="str">
        <f t="array" ref="O819">IF($A819="", "", LET(bbgm_stat, INDEX(Players!$A818:$P818, MATCH(O$2, Players!$A$1:$P$1, 0)), perc_75, VLOOKUP(O$2, Percentiles!$A$45:$I$59, 6, FALSE), perc_90, VLOOKUP(O$2, Percentiles!$A$45:$I$59, 7, FALSE), perc_95, VLOOKUP(O$2, Percentiles!$A$45:$I$59, 8, FALSE), perc_85, perc_75 + (perc_90 - perc_75) * (2/3), converted_stat, '2K_Ratings'!O819, IF(bbgm_stat &gt;= perc_95, converted_stat * 3, IF(bbgm_stat &gt;= perc_90, converted_stat * 2, IF(bbgm_stat &gt;= perc_85, converted_stat * 1.5, converted_stat)))))</f>
        <v/>
      </c>
      <c r="P819" s="30" t="str">
        <f t="array" ref="P819">IF($A819="", "", LET(bbgm_stat, INDEX(Players!$A818:$P818, MATCH(P$2, Players!$A$1:$P$1, 0)), perc_75, VLOOKUP(P$2, Percentiles!$A$45:$I$59, 6, FALSE), perc_90, VLOOKUP(P$2, Percentiles!$A$45:$I$59, 7, FALSE), perc_95, VLOOKUP(P$2, Percentiles!$A$45:$I$59, 8, FALSE), perc_85, perc_75 + (perc_90 - perc_75) * (2/3), converted_stat, '2K_Ratings'!P819, IF(bbgm_stat &gt;= perc_95, converted_stat * 3, IF(bbgm_stat &gt;= perc_90, converted_stat * 2, IF(bbgm_stat &gt;= perc_85, converted_stat * 1.5, converted_stat)))))</f>
        <v/>
      </c>
      <c r="Q819" s="30" t="str">
        <f t="array" ref="Q819">IF($A819="", "", LET(bbgm_stat, INDEX(Players!$A818:$P818, MATCH(Q$2, Players!$A$1:$P$1, 0)), perc_75, VLOOKUP(Q$2, Percentiles!$A$45:$I$59, 6, FALSE), perc_90, VLOOKUP(Q$2, Percentiles!$A$45:$I$59, 7, FALSE), perc_95, VLOOKUP(Q$2, Percentiles!$A$45:$I$59, 8, FALSE), perc_85, perc_75 + (perc_90 - perc_75) * (2/3), converted_stat, '2K_Ratings'!Q819, IF(bbgm_stat &gt;= perc_95, converted_stat * 3, IF(bbgm_stat &gt;= perc_90, converted_stat * 2, IF(bbgm_stat &gt;= perc_85, converted_stat * 1.5, converted_stat)))))</f>
        <v/>
      </c>
      <c r="R819" s="30" t="str">
        <f t="array" ref="R819">IF($A819="", "", LET(bbgm_stat, INDEX(Players!$A818:$P818, MATCH(R$2, Players!$A$1:$P$1, 0)), perc_75, VLOOKUP(R$2, Percentiles!$A$45:$I$59, 6, FALSE), perc_90, VLOOKUP(R$2, Percentiles!$A$45:$I$59, 7, FALSE), perc_95, VLOOKUP(R$2, Percentiles!$A$45:$I$59, 8, FALSE), perc_85, perc_75 + (perc_90 - perc_75) * (2/3), converted_stat, '2K_Ratings'!R819, IF(bbgm_stat &gt;= perc_95, converted_stat * 3, IF(bbgm_stat &gt;= perc_90, converted_stat * 2, IF(bbgm_stat &gt;= perc_85, converted_stat * 1.5, converted_stat)))))</f>
        <v/>
      </c>
      <c r="S819" s="30" t="str">
        <f t="array" ref="S819">IF($A819="", "", LET(bbgm_stat, INDEX(Players!$A818:$P818, MATCH(S$2, Players!$A$1:$P$1, 0)), perc_75, VLOOKUP(S$2, Percentiles!$A$45:$I$59, 6, FALSE), perc_90, VLOOKUP(S$2, Percentiles!$A$45:$I$59, 7, FALSE), perc_95, VLOOKUP(S$2, Percentiles!$A$45:$I$59, 8, FALSE), perc_85, perc_75 + (perc_90 - perc_75) * (2/3), converted_stat, '2K_Ratings'!S819, IF(bbgm_stat &gt;= perc_95, converted_stat * 3, IF(bbgm_stat &gt;= perc_90, converted_stat * 2, IF(bbgm_stat &gt;= perc_85, converted_stat * 1.5, converted_stat)))))</f>
        <v/>
      </c>
      <c r="T819" s="30" t="str">
        <f t="array" ref="T819">IF($A819="", "", LET(bbgm_stat, INDEX(Players!$A818:$P818, MATCH(T$2, Players!$A$1:$P$1, 0)), perc_75, VLOOKUP(T$2, Percentiles!$A$45:$I$59, 6, FALSE), perc_90, VLOOKUP(T$2, Percentiles!$A$45:$I$59, 7, FALSE), perc_95, VLOOKUP(T$2, Percentiles!$A$45:$I$59, 8, FALSE), perc_85, perc_75 + (perc_90 - perc_75) * (2/3), converted_stat, '2K_Ratings'!T819, IF(bbgm_stat &gt;= perc_95, converted_stat * 3, IF(bbgm_stat &gt;= perc_90, converted_stat * 2, IF(bbgm_stat &gt;= perc_85, converted_stat * 1.5, converted_stat)))))</f>
        <v/>
      </c>
      <c r="U819" s="30" t="str">
        <f t="array" ref="U819">IF($A819="", "", LET(bbgm_stat, INDEX(Players!$A818:$P818, MATCH(U$2, Players!$A$1:$P$1, 0)), perc_75, VLOOKUP(U$2, Percentiles!$A$45:$I$59, 6, FALSE), perc_90, VLOOKUP(U$2, Percentiles!$A$45:$I$59, 7, FALSE), perc_95, VLOOKUP(U$2, Percentiles!$A$45:$I$59, 8, FALSE), perc_85, perc_75 + (perc_90 - perc_75) * (2/3), converted_stat, '2K_Ratings'!U819, IF(bbgm_stat &gt;= perc_95, converted_stat * 3, IF(bbgm_stat &gt;= perc_90, converted_stat * 2, IF(bbgm_stat &gt;= perc_85, converted_stat * 1.5, converted_stat)))))</f>
        <v/>
      </c>
      <c r="V819" s="30" t="str">
        <f t="array" ref="V819">IF($A819="", "", LET(bbgm_stat, INDEX(Players!$A818:$P818, MATCH(V$2, Players!$A$1:$P$1, 0)), perc_75, VLOOKUP(V$2, Percentiles!$A$45:$I$59, 6, FALSE), perc_90, VLOOKUP(V$2, Percentiles!$A$45:$I$59, 7, FALSE), perc_95, VLOOKUP(V$2, Percentiles!$A$45:$I$59, 8, FALSE), perc_85, perc_75 + (perc_90 - perc_75) * (2/3), converted_stat, '2K_Ratings'!V819, IF(bbgm_stat &gt;= perc_95, converted_stat * 3, IF(bbgm_stat &gt;= perc_90, converted_stat * 2, IF(bbgm_stat &gt;= perc_85, converted_stat * 1.5, converted_stat)))))</f>
        <v/>
      </c>
      <c r="W819" s="30" t="str">
        <f t="array" ref="W819">IF($A819="", "", LET(bbgm_stat, INDEX(Players!$A818:$P818, MATCH(W$2, Players!$A$1:$P$1, 0)), perc_75, VLOOKUP(W$2, Percentiles!$A$45:$I$59, 6, FALSE), perc_90, VLOOKUP(W$2, Percentiles!$A$45:$I$59, 7, FALSE), perc_95, VLOOKUP(W$2, Percentiles!$A$45:$I$59, 8, FALSE), perc_85, perc_75 + (perc_90 - perc_75) * (2/3), converted_stat, '2K_Ratings'!W819, IF(bbgm_stat &gt;= perc_95, converted_stat * 3, IF(bbgm_stat &gt;= perc_90, converted_stat * 2, IF(bbgm_stat &gt;= perc_85, converted_stat * 1.5, converted_stat)))))</f>
        <v/>
      </c>
    </row>
    <row r="820">
      <c r="A820" s="30"/>
      <c r="B820" s="30" t="str">
        <f t="array" ref="B820">IF($A820="", "", LET(bbgm_stat, INDEX(Players!$A819:$P819, MATCH(B$2, Players!$A$1:$P$1, 0)), perc_75, VLOOKUP(B$2, Percentiles!$A$45:$I$59, 6, FALSE), perc_90, VLOOKUP(B$2, Percentiles!$A$45:$I$59, 7, FALSE), perc_95, VLOOKUP(B$2, Percentiles!$A$45:$I$59, 8, FALSE), perc_85, perc_75 + (perc_90 - perc_75) * (2/3), converted_stat, '2K_Ratings'!B820, IF(bbgm_stat &gt;= perc_95, converted_stat * 3, IF(bbgm_stat &gt;= perc_90, converted_stat * 2, IF(bbgm_stat &gt;= perc_85, converted_stat * 1.5, converted_stat)))))</f>
        <v/>
      </c>
      <c r="C820" s="30" t="str">
        <f t="array" ref="C820">IF($A820="", "", LET(bbgm_stat, INDEX(Players!$A819:$P819, MATCH(C$2, Players!$A$1:$P$1, 0)), perc_75, VLOOKUP(C$2, Percentiles!$A$45:$I$59, 6, FALSE), perc_90, VLOOKUP(C$2, Percentiles!$A$45:$I$59, 7, FALSE), perc_95, VLOOKUP(C$2, Percentiles!$A$45:$I$59, 8, FALSE), perc_85, perc_75 + (perc_90 - perc_75) * (2/3), converted_stat, '2K_Ratings'!C820, IF(bbgm_stat &gt;= perc_95, converted_stat * 3, IF(bbgm_stat &gt;= perc_90, converted_stat * 2, IF(bbgm_stat &gt;= perc_85, converted_stat * 1.5, converted_stat)))))</f>
        <v/>
      </c>
      <c r="D820" s="30" t="str">
        <f t="array" ref="D820">IF($A820="", "", LET(bbgm_stat, INDEX(Players!$A819:$P819, MATCH(D$2, Players!$A$1:$P$1, 0)), perc_75, VLOOKUP(D$2, Percentiles!$A$45:$I$59, 6, FALSE), perc_90, VLOOKUP(D$2, Percentiles!$A$45:$I$59, 7, FALSE), perc_95, VLOOKUP(D$2, Percentiles!$A$45:$I$59, 8, FALSE), perc_85, perc_75 + (perc_90 - perc_75) * (2/3), converted_stat, '2K_Ratings'!D820, IF(bbgm_stat &gt;= perc_95, converted_stat * 3, IF(bbgm_stat &gt;= perc_90, converted_stat * 2, IF(bbgm_stat &gt;= perc_85, converted_stat * 1.5, converted_stat)))))</f>
        <v/>
      </c>
      <c r="E820" s="30" t="str">
        <f t="array" ref="E820">IF($A820="", "", LET(bbgm_stat, INDEX(Players!$A819:$P819, MATCH(E$2, Players!$A$1:$P$1, 0)), perc_75, VLOOKUP(E$2, Percentiles!$A$45:$I$59, 6, FALSE), perc_90, VLOOKUP(E$2, Percentiles!$A$45:$I$59, 7, FALSE), perc_95, VLOOKUP(E$2, Percentiles!$A$45:$I$59, 8, FALSE), perc_85, perc_75 + (perc_90 - perc_75) * (2/3), converted_stat, '2K_Ratings'!E820, IF(bbgm_stat &gt;= perc_95, converted_stat * 3, IF(bbgm_stat &gt;= perc_90, converted_stat * 2, IF(bbgm_stat &gt;= perc_85, converted_stat * 1.5, converted_stat)))))</f>
        <v/>
      </c>
      <c r="F820" s="30" t="str">
        <f t="array" ref="F820">IF($A820="", "", LET(bbgm_stat, INDEX(Players!$A819:$P819, MATCH(F$2, Players!$A$1:$P$1, 0)), perc_75, VLOOKUP(F$2, Percentiles!$A$45:$I$59, 6, FALSE), perc_90, VLOOKUP(F$2, Percentiles!$A$45:$I$59, 7, FALSE), perc_95, VLOOKUP(F$2, Percentiles!$A$45:$I$59, 8, FALSE), perc_85, perc_75 + (perc_90 - perc_75) * (2/3), converted_stat, '2K_Ratings'!F820, IF(bbgm_stat &gt;= perc_95, converted_stat * 3, IF(bbgm_stat &gt;= perc_90, converted_stat * 2, IF(bbgm_stat &gt;= perc_85, converted_stat * 1.5, converted_stat)))))</f>
        <v/>
      </c>
      <c r="G820" s="30" t="str">
        <f t="array" ref="G820">IF($A820="", "", LET(bbgm_stat, INDEX(Players!$A819:$P819, MATCH(G$2, Players!$A$1:$P$1, 0)), perc_75, VLOOKUP(G$2, Percentiles!$A$45:$I$59, 6, FALSE), perc_90, VLOOKUP(G$2, Percentiles!$A$45:$I$59, 7, FALSE), perc_95, VLOOKUP(G$2, Percentiles!$A$45:$I$59, 8, FALSE), perc_85, perc_75 + (perc_90 - perc_75) * (2/3), converted_stat, '2K_Ratings'!G820, IF(bbgm_stat &gt;= perc_95, converted_stat * 3, IF(bbgm_stat &gt;= perc_90, converted_stat * 2, IF(bbgm_stat &gt;= perc_85, converted_stat * 1.5, converted_stat)))))</f>
        <v/>
      </c>
      <c r="H820" s="30" t="str">
        <f t="array" ref="H820">IF($A820="", "", LET(bbgm_stat, INDEX(Players!$A819:$P819, MATCH(H$2, Players!$A$1:$P$1, 0)), perc_75, VLOOKUP(H$2, Percentiles!$A$45:$I$59, 6, FALSE), perc_90, VLOOKUP(H$2, Percentiles!$A$45:$I$59, 7, FALSE), perc_95, VLOOKUP(H$2, Percentiles!$A$45:$I$59, 8, FALSE), perc_85, perc_75 + (perc_90 - perc_75) * (2/3), converted_stat, '2K_Ratings'!H820, IF(bbgm_stat &gt;= perc_95, converted_stat * 3, IF(bbgm_stat &gt;= perc_90, converted_stat * 2, IF(bbgm_stat &gt;= perc_85, converted_stat * 1.5, converted_stat)))))</f>
        <v/>
      </c>
      <c r="I820" s="30" t="str">
        <f t="array" ref="I820">IF($A820="", "", LET(bbgm_stat, INDEX(Players!$A819:$P819, MATCH(I$2, Players!$A$1:$P$1, 0)), perc_75, VLOOKUP(I$2, Percentiles!$A$45:$I$59, 6, FALSE), perc_90, VLOOKUP(I$2, Percentiles!$A$45:$I$59, 7, FALSE), perc_95, VLOOKUP(I$2, Percentiles!$A$45:$I$59, 8, FALSE), perc_85, perc_75 + (perc_90 - perc_75) * (2/3), converted_stat, '2K_Ratings'!I820, IF(bbgm_stat &gt;= perc_95, converted_stat * 3, IF(bbgm_stat &gt;= perc_90, converted_stat * 2, IF(bbgm_stat &gt;= perc_85, converted_stat * 1.5, converted_stat)))))</f>
        <v/>
      </c>
      <c r="J820" s="30" t="str">
        <f t="array" ref="J820">IF($A820="", "", LET(bbgm_stat, INDEX(Players!$A819:$P819, MATCH(J$2, Players!$A$1:$P$1, 0)), perc_75, VLOOKUP(J$2, Percentiles!$A$45:$I$59, 6, FALSE), perc_90, VLOOKUP(J$2, Percentiles!$A$45:$I$59, 7, FALSE), perc_95, VLOOKUP(J$2, Percentiles!$A$45:$I$59, 8, FALSE), perc_85, perc_75 + (perc_90 - perc_75) * (2/3), converted_stat, '2K_Ratings'!J820, IF(bbgm_stat &gt;= perc_95, converted_stat * 3, IF(bbgm_stat &gt;= perc_90, converted_stat * 2, IF(bbgm_stat &gt;= perc_85, converted_stat * 1.5, converted_stat)))))</f>
        <v/>
      </c>
      <c r="K820" s="30" t="str">
        <f t="array" ref="K820">IF($A820="", "", LET(bbgm_stat, INDEX(Players!$A819:$P819, MATCH(K$2, Players!$A$1:$P$1, 0)), perc_75, VLOOKUP(K$2, Percentiles!$A$45:$I$59, 6, FALSE), perc_90, VLOOKUP(K$2, Percentiles!$A$45:$I$59, 7, FALSE), perc_95, VLOOKUP(K$2, Percentiles!$A$45:$I$59, 8, FALSE), perc_85, perc_75 + (perc_90 - perc_75) * (2/3), converted_stat, '2K_Ratings'!K820, IF(bbgm_stat &gt;= perc_95, converted_stat * 3, IF(bbgm_stat &gt;= perc_90, converted_stat * 2, IF(bbgm_stat &gt;= perc_85, converted_stat * 1.5, converted_stat)))))</f>
        <v/>
      </c>
      <c r="L820" s="30" t="str">
        <f t="array" ref="L820">IF($A820="", "", LET(bbgm_stat, INDEX(Players!$A819:$P819, MATCH(L$2, Players!$A$1:$P$1, 0)), perc_75, VLOOKUP(L$2, Percentiles!$A$45:$I$59, 6, FALSE), perc_90, VLOOKUP(L$2, Percentiles!$A$45:$I$59, 7, FALSE), perc_95, VLOOKUP(L$2, Percentiles!$A$45:$I$59, 8, FALSE), perc_85, perc_75 + (perc_90 - perc_75) * (2/3), converted_stat, '2K_Ratings'!L820, IF(bbgm_stat &gt;= perc_95, converted_stat * 3, IF(bbgm_stat &gt;= perc_90, converted_stat * 2, IF(bbgm_stat &gt;= perc_85, converted_stat * 1.5, converted_stat)))))</f>
        <v/>
      </c>
      <c r="M820" s="30" t="str">
        <f t="array" ref="M820">IF($A820="", "", LET(bbgm_stat, INDEX(Players!$A819:$P819, MATCH(M$2, Players!$A$1:$P$1, 0)), perc_75, VLOOKUP(M$2, Percentiles!$A$45:$I$59, 6, FALSE), perc_90, VLOOKUP(M$2, Percentiles!$A$45:$I$59, 7, FALSE), perc_95, VLOOKUP(M$2, Percentiles!$A$45:$I$59, 8, FALSE), perc_85, perc_75 + (perc_90 - perc_75) * (2/3), converted_stat, '2K_Ratings'!M820, IF(bbgm_stat &gt;= perc_95, converted_stat * 3, IF(bbgm_stat &gt;= perc_90, converted_stat * 2, IF(bbgm_stat &gt;= perc_85, converted_stat * 1.5, converted_stat)))))</f>
        <v/>
      </c>
      <c r="N820" s="30" t="str">
        <f t="array" ref="N820">IF($A820="", "", LET(bbgm_stat, INDEX(Players!$A819:$P819, MATCH(N$2, Players!$A$1:$P$1, 0)), perc_75, VLOOKUP(N$2, Percentiles!$A$45:$I$59, 6, FALSE), perc_90, VLOOKUP(N$2, Percentiles!$A$45:$I$59, 7, FALSE), perc_95, VLOOKUP(N$2, Percentiles!$A$45:$I$59, 8, FALSE), perc_85, perc_75 + (perc_90 - perc_75) * (2/3), converted_stat, '2K_Ratings'!N820, IF(bbgm_stat &gt;= perc_95, converted_stat * 3, IF(bbgm_stat &gt;= perc_90, converted_stat * 2, IF(bbgm_stat &gt;= perc_85, converted_stat * 1.5, converted_stat)))))</f>
        <v/>
      </c>
      <c r="O820" s="30" t="str">
        <f t="array" ref="O820">IF($A820="", "", LET(bbgm_stat, INDEX(Players!$A819:$P819, MATCH(O$2, Players!$A$1:$P$1, 0)), perc_75, VLOOKUP(O$2, Percentiles!$A$45:$I$59, 6, FALSE), perc_90, VLOOKUP(O$2, Percentiles!$A$45:$I$59, 7, FALSE), perc_95, VLOOKUP(O$2, Percentiles!$A$45:$I$59, 8, FALSE), perc_85, perc_75 + (perc_90 - perc_75) * (2/3), converted_stat, '2K_Ratings'!O820, IF(bbgm_stat &gt;= perc_95, converted_stat * 3, IF(bbgm_stat &gt;= perc_90, converted_stat * 2, IF(bbgm_stat &gt;= perc_85, converted_stat * 1.5, converted_stat)))))</f>
        <v/>
      </c>
      <c r="P820" s="30" t="str">
        <f t="array" ref="P820">IF($A820="", "", LET(bbgm_stat, INDEX(Players!$A819:$P819, MATCH(P$2, Players!$A$1:$P$1, 0)), perc_75, VLOOKUP(P$2, Percentiles!$A$45:$I$59, 6, FALSE), perc_90, VLOOKUP(P$2, Percentiles!$A$45:$I$59, 7, FALSE), perc_95, VLOOKUP(P$2, Percentiles!$A$45:$I$59, 8, FALSE), perc_85, perc_75 + (perc_90 - perc_75) * (2/3), converted_stat, '2K_Ratings'!P820, IF(bbgm_stat &gt;= perc_95, converted_stat * 3, IF(bbgm_stat &gt;= perc_90, converted_stat * 2, IF(bbgm_stat &gt;= perc_85, converted_stat * 1.5, converted_stat)))))</f>
        <v/>
      </c>
      <c r="Q820" s="30" t="str">
        <f t="array" ref="Q820">IF($A820="", "", LET(bbgm_stat, INDEX(Players!$A819:$P819, MATCH(Q$2, Players!$A$1:$P$1, 0)), perc_75, VLOOKUP(Q$2, Percentiles!$A$45:$I$59, 6, FALSE), perc_90, VLOOKUP(Q$2, Percentiles!$A$45:$I$59, 7, FALSE), perc_95, VLOOKUP(Q$2, Percentiles!$A$45:$I$59, 8, FALSE), perc_85, perc_75 + (perc_90 - perc_75) * (2/3), converted_stat, '2K_Ratings'!Q820, IF(bbgm_stat &gt;= perc_95, converted_stat * 3, IF(bbgm_stat &gt;= perc_90, converted_stat * 2, IF(bbgm_stat &gt;= perc_85, converted_stat * 1.5, converted_stat)))))</f>
        <v/>
      </c>
      <c r="R820" s="30" t="str">
        <f t="array" ref="R820">IF($A820="", "", LET(bbgm_stat, INDEX(Players!$A819:$P819, MATCH(R$2, Players!$A$1:$P$1, 0)), perc_75, VLOOKUP(R$2, Percentiles!$A$45:$I$59, 6, FALSE), perc_90, VLOOKUP(R$2, Percentiles!$A$45:$I$59, 7, FALSE), perc_95, VLOOKUP(R$2, Percentiles!$A$45:$I$59, 8, FALSE), perc_85, perc_75 + (perc_90 - perc_75) * (2/3), converted_stat, '2K_Ratings'!R820, IF(bbgm_stat &gt;= perc_95, converted_stat * 3, IF(bbgm_stat &gt;= perc_90, converted_stat * 2, IF(bbgm_stat &gt;= perc_85, converted_stat * 1.5, converted_stat)))))</f>
        <v/>
      </c>
      <c r="S820" s="30" t="str">
        <f t="array" ref="S820">IF($A820="", "", LET(bbgm_stat, INDEX(Players!$A819:$P819, MATCH(S$2, Players!$A$1:$P$1, 0)), perc_75, VLOOKUP(S$2, Percentiles!$A$45:$I$59, 6, FALSE), perc_90, VLOOKUP(S$2, Percentiles!$A$45:$I$59, 7, FALSE), perc_95, VLOOKUP(S$2, Percentiles!$A$45:$I$59, 8, FALSE), perc_85, perc_75 + (perc_90 - perc_75) * (2/3), converted_stat, '2K_Ratings'!S820, IF(bbgm_stat &gt;= perc_95, converted_stat * 3, IF(bbgm_stat &gt;= perc_90, converted_stat * 2, IF(bbgm_stat &gt;= perc_85, converted_stat * 1.5, converted_stat)))))</f>
        <v/>
      </c>
      <c r="T820" s="30" t="str">
        <f t="array" ref="T820">IF($A820="", "", LET(bbgm_stat, INDEX(Players!$A819:$P819, MATCH(T$2, Players!$A$1:$P$1, 0)), perc_75, VLOOKUP(T$2, Percentiles!$A$45:$I$59, 6, FALSE), perc_90, VLOOKUP(T$2, Percentiles!$A$45:$I$59, 7, FALSE), perc_95, VLOOKUP(T$2, Percentiles!$A$45:$I$59, 8, FALSE), perc_85, perc_75 + (perc_90 - perc_75) * (2/3), converted_stat, '2K_Ratings'!T820, IF(bbgm_stat &gt;= perc_95, converted_stat * 3, IF(bbgm_stat &gt;= perc_90, converted_stat * 2, IF(bbgm_stat &gt;= perc_85, converted_stat * 1.5, converted_stat)))))</f>
        <v/>
      </c>
      <c r="U820" s="30" t="str">
        <f t="array" ref="U820">IF($A820="", "", LET(bbgm_stat, INDEX(Players!$A819:$P819, MATCH(U$2, Players!$A$1:$P$1, 0)), perc_75, VLOOKUP(U$2, Percentiles!$A$45:$I$59, 6, FALSE), perc_90, VLOOKUP(U$2, Percentiles!$A$45:$I$59, 7, FALSE), perc_95, VLOOKUP(U$2, Percentiles!$A$45:$I$59, 8, FALSE), perc_85, perc_75 + (perc_90 - perc_75) * (2/3), converted_stat, '2K_Ratings'!U820, IF(bbgm_stat &gt;= perc_95, converted_stat * 3, IF(bbgm_stat &gt;= perc_90, converted_stat * 2, IF(bbgm_stat &gt;= perc_85, converted_stat * 1.5, converted_stat)))))</f>
        <v/>
      </c>
      <c r="V820" s="30" t="str">
        <f t="array" ref="V820">IF($A820="", "", LET(bbgm_stat, INDEX(Players!$A819:$P819, MATCH(V$2, Players!$A$1:$P$1, 0)), perc_75, VLOOKUP(V$2, Percentiles!$A$45:$I$59, 6, FALSE), perc_90, VLOOKUP(V$2, Percentiles!$A$45:$I$59, 7, FALSE), perc_95, VLOOKUP(V$2, Percentiles!$A$45:$I$59, 8, FALSE), perc_85, perc_75 + (perc_90 - perc_75) * (2/3), converted_stat, '2K_Ratings'!V820, IF(bbgm_stat &gt;= perc_95, converted_stat * 3, IF(bbgm_stat &gt;= perc_90, converted_stat * 2, IF(bbgm_stat &gt;= perc_85, converted_stat * 1.5, converted_stat)))))</f>
        <v/>
      </c>
      <c r="W820" s="30" t="str">
        <f t="array" ref="W820">IF($A820="", "", LET(bbgm_stat, INDEX(Players!$A819:$P819, MATCH(W$2, Players!$A$1:$P$1, 0)), perc_75, VLOOKUP(W$2, Percentiles!$A$45:$I$59, 6, FALSE), perc_90, VLOOKUP(W$2, Percentiles!$A$45:$I$59, 7, FALSE), perc_95, VLOOKUP(W$2, Percentiles!$A$45:$I$59, 8, FALSE), perc_85, perc_75 + (perc_90 - perc_75) * (2/3), converted_stat, '2K_Ratings'!W820, IF(bbgm_stat &gt;= perc_95, converted_stat * 3, IF(bbgm_stat &gt;= perc_90, converted_stat * 2, IF(bbgm_stat &gt;= perc_85, converted_stat * 1.5, converted_stat)))))</f>
        <v/>
      </c>
    </row>
    <row r="821">
      <c r="A821" s="30"/>
      <c r="B821" s="30" t="str">
        <f t="array" ref="B821">IF($A821="", "", LET(bbgm_stat, INDEX(Players!$A820:$P820, MATCH(B$2, Players!$A$1:$P$1, 0)), perc_75, VLOOKUP(B$2, Percentiles!$A$45:$I$59, 6, FALSE), perc_90, VLOOKUP(B$2, Percentiles!$A$45:$I$59, 7, FALSE), perc_95, VLOOKUP(B$2, Percentiles!$A$45:$I$59, 8, FALSE), perc_85, perc_75 + (perc_90 - perc_75) * (2/3), converted_stat, '2K_Ratings'!B821, IF(bbgm_stat &gt;= perc_95, converted_stat * 3, IF(bbgm_stat &gt;= perc_90, converted_stat * 2, IF(bbgm_stat &gt;= perc_85, converted_stat * 1.5, converted_stat)))))</f>
        <v/>
      </c>
      <c r="C821" s="30" t="str">
        <f t="array" ref="C821">IF($A821="", "", LET(bbgm_stat, INDEX(Players!$A820:$P820, MATCH(C$2, Players!$A$1:$P$1, 0)), perc_75, VLOOKUP(C$2, Percentiles!$A$45:$I$59, 6, FALSE), perc_90, VLOOKUP(C$2, Percentiles!$A$45:$I$59, 7, FALSE), perc_95, VLOOKUP(C$2, Percentiles!$A$45:$I$59, 8, FALSE), perc_85, perc_75 + (perc_90 - perc_75) * (2/3), converted_stat, '2K_Ratings'!C821, IF(bbgm_stat &gt;= perc_95, converted_stat * 3, IF(bbgm_stat &gt;= perc_90, converted_stat * 2, IF(bbgm_stat &gt;= perc_85, converted_stat * 1.5, converted_stat)))))</f>
        <v/>
      </c>
      <c r="D821" s="30" t="str">
        <f t="array" ref="D821">IF($A821="", "", LET(bbgm_stat, INDEX(Players!$A820:$P820, MATCH(D$2, Players!$A$1:$P$1, 0)), perc_75, VLOOKUP(D$2, Percentiles!$A$45:$I$59, 6, FALSE), perc_90, VLOOKUP(D$2, Percentiles!$A$45:$I$59, 7, FALSE), perc_95, VLOOKUP(D$2, Percentiles!$A$45:$I$59, 8, FALSE), perc_85, perc_75 + (perc_90 - perc_75) * (2/3), converted_stat, '2K_Ratings'!D821, IF(bbgm_stat &gt;= perc_95, converted_stat * 3, IF(bbgm_stat &gt;= perc_90, converted_stat * 2, IF(bbgm_stat &gt;= perc_85, converted_stat * 1.5, converted_stat)))))</f>
        <v/>
      </c>
      <c r="E821" s="30" t="str">
        <f t="array" ref="E821">IF($A821="", "", LET(bbgm_stat, INDEX(Players!$A820:$P820, MATCH(E$2, Players!$A$1:$P$1, 0)), perc_75, VLOOKUP(E$2, Percentiles!$A$45:$I$59, 6, FALSE), perc_90, VLOOKUP(E$2, Percentiles!$A$45:$I$59, 7, FALSE), perc_95, VLOOKUP(E$2, Percentiles!$A$45:$I$59, 8, FALSE), perc_85, perc_75 + (perc_90 - perc_75) * (2/3), converted_stat, '2K_Ratings'!E821, IF(bbgm_stat &gt;= perc_95, converted_stat * 3, IF(bbgm_stat &gt;= perc_90, converted_stat * 2, IF(bbgm_stat &gt;= perc_85, converted_stat * 1.5, converted_stat)))))</f>
        <v/>
      </c>
      <c r="F821" s="30" t="str">
        <f t="array" ref="F821">IF($A821="", "", LET(bbgm_stat, INDEX(Players!$A820:$P820, MATCH(F$2, Players!$A$1:$P$1, 0)), perc_75, VLOOKUP(F$2, Percentiles!$A$45:$I$59, 6, FALSE), perc_90, VLOOKUP(F$2, Percentiles!$A$45:$I$59, 7, FALSE), perc_95, VLOOKUP(F$2, Percentiles!$A$45:$I$59, 8, FALSE), perc_85, perc_75 + (perc_90 - perc_75) * (2/3), converted_stat, '2K_Ratings'!F821, IF(bbgm_stat &gt;= perc_95, converted_stat * 3, IF(bbgm_stat &gt;= perc_90, converted_stat * 2, IF(bbgm_stat &gt;= perc_85, converted_stat * 1.5, converted_stat)))))</f>
        <v/>
      </c>
      <c r="G821" s="30" t="str">
        <f t="array" ref="G821">IF($A821="", "", LET(bbgm_stat, INDEX(Players!$A820:$P820, MATCH(G$2, Players!$A$1:$P$1, 0)), perc_75, VLOOKUP(G$2, Percentiles!$A$45:$I$59, 6, FALSE), perc_90, VLOOKUP(G$2, Percentiles!$A$45:$I$59, 7, FALSE), perc_95, VLOOKUP(G$2, Percentiles!$A$45:$I$59, 8, FALSE), perc_85, perc_75 + (perc_90 - perc_75) * (2/3), converted_stat, '2K_Ratings'!G821, IF(bbgm_stat &gt;= perc_95, converted_stat * 3, IF(bbgm_stat &gt;= perc_90, converted_stat * 2, IF(bbgm_stat &gt;= perc_85, converted_stat * 1.5, converted_stat)))))</f>
        <v/>
      </c>
      <c r="H821" s="30" t="str">
        <f t="array" ref="H821">IF($A821="", "", LET(bbgm_stat, INDEX(Players!$A820:$P820, MATCH(H$2, Players!$A$1:$P$1, 0)), perc_75, VLOOKUP(H$2, Percentiles!$A$45:$I$59, 6, FALSE), perc_90, VLOOKUP(H$2, Percentiles!$A$45:$I$59, 7, FALSE), perc_95, VLOOKUP(H$2, Percentiles!$A$45:$I$59, 8, FALSE), perc_85, perc_75 + (perc_90 - perc_75) * (2/3), converted_stat, '2K_Ratings'!H821, IF(bbgm_stat &gt;= perc_95, converted_stat * 3, IF(bbgm_stat &gt;= perc_90, converted_stat * 2, IF(bbgm_stat &gt;= perc_85, converted_stat * 1.5, converted_stat)))))</f>
        <v/>
      </c>
      <c r="I821" s="30" t="str">
        <f t="array" ref="I821">IF($A821="", "", LET(bbgm_stat, INDEX(Players!$A820:$P820, MATCH(I$2, Players!$A$1:$P$1, 0)), perc_75, VLOOKUP(I$2, Percentiles!$A$45:$I$59, 6, FALSE), perc_90, VLOOKUP(I$2, Percentiles!$A$45:$I$59, 7, FALSE), perc_95, VLOOKUP(I$2, Percentiles!$A$45:$I$59, 8, FALSE), perc_85, perc_75 + (perc_90 - perc_75) * (2/3), converted_stat, '2K_Ratings'!I821, IF(bbgm_stat &gt;= perc_95, converted_stat * 3, IF(bbgm_stat &gt;= perc_90, converted_stat * 2, IF(bbgm_stat &gt;= perc_85, converted_stat * 1.5, converted_stat)))))</f>
        <v/>
      </c>
      <c r="J821" s="30" t="str">
        <f t="array" ref="J821">IF($A821="", "", LET(bbgm_stat, INDEX(Players!$A820:$P820, MATCH(J$2, Players!$A$1:$P$1, 0)), perc_75, VLOOKUP(J$2, Percentiles!$A$45:$I$59, 6, FALSE), perc_90, VLOOKUP(J$2, Percentiles!$A$45:$I$59, 7, FALSE), perc_95, VLOOKUP(J$2, Percentiles!$A$45:$I$59, 8, FALSE), perc_85, perc_75 + (perc_90 - perc_75) * (2/3), converted_stat, '2K_Ratings'!J821, IF(bbgm_stat &gt;= perc_95, converted_stat * 3, IF(bbgm_stat &gt;= perc_90, converted_stat * 2, IF(bbgm_stat &gt;= perc_85, converted_stat * 1.5, converted_stat)))))</f>
        <v/>
      </c>
      <c r="K821" s="30" t="str">
        <f t="array" ref="K821">IF($A821="", "", LET(bbgm_stat, INDEX(Players!$A820:$P820, MATCH(K$2, Players!$A$1:$P$1, 0)), perc_75, VLOOKUP(K$2, Percentiles!$A$45:$I$59, 6, FALSE), perc_90, VLOOKUP(K$2, Percentiles!$A$45:$I$59, 7, FALSE), perc_95, VLOOKUP(K$2, Percentiles!$A$45:$I$59, 8, FALSE), perc_85, perc_75 + (perc_90 - perc_75) * (2/3), converted_stat, '2K_Ratings'!K821, IF(bbgm_stat &gt;= perc_95, converted_stat * 3, IF(bbgm_stat &gt;= perc_90, converted_stat * 2, IF(bbgm_stat &gt;= perc_85, converted_stat * 1.5, converted_stat)))))</f>
        <v/>
      </c>
      <c r="L821" s="30" t="str">
        <f t="array" ref="L821">IF($A821="", "", LET(bbgm_stat, INDEX(Players!$A820:$P820, MATCH(L$2, Players!$A$1:$P$1, 0)), perc_75, VLOOKUP(L$2, Percentiles!$A$45:$I$59, 6, FALSE), perc_90, VLOOKUP(L$2, Percentiles!$A$45:$I$59, 7, FALSE), perc_95, VLOOKUP(L$2, Percentiles!$A$45:$I$59, 8, FALSE), perc_85, perc_75 + (perc_90 - perc_75) * (2/3), converted_stat, '2K_Ratings'!L821, IF(bbgm_stat &gt;= perc_95, converted_stat * 3, IF(bbgm_stat &gt;= perc_90, converted_stat * 2, IF(bbgm_stat &gt;= perc_85, converted_stat * 1.5, converted_stat)))))</f>
        <v/>
      </c>
      <c r="M821" s="30" t="str">
        <f t="array" ref="M821">IF($A821="", "", LET(bbgm_stat, INDEX(Players!$A820:$P820, MATCH(M$2, Players!$A$1:$P$1, 0)), perc_75, VLOOKUP(M$2, Percentiles!$A$45:$I$59, 6, FALSE), perc_90, VLOOKUP(M$2, Percentiles!$A$45:$I$59, 7, FALSE), perc_95, VLOOKUP(M$2, Percentiles!$A$45:$I$59, 8, FALSE), perc_85, perc_75 + (perc_90 - perc_75) * (2/3), converted_stat, '2K_Ratings'!M821, IF(bbgm_stat &gt;= perc_95, converted_stat * 3, IF(bbgm_stat &gt;= perc_90, converted_stat * 2, IF(bbgm_stat &gt;= perc_85, converted_stat * 1.5, converted_stat)))))</f>
        <v/>
      </c>
      <c r="N821" s="30" t="str">
        <f t="array" ref="N821">IF($A821="", "", LET(bbgm_stat, INDEX(Players!$A820:$P820, MATCH(N$2, Players!$A$1:$P$1, 0)), perc_75, VLOOKUP(N$2, Percentiles!$A$45:$I$59, 6, FALSE), perc_90, VLOOKUP(N$2, Percentiles!$A$45:$I$59, 7, FALSE), perc_95, VLOOKUP(N$2, Percentiles!$A$45:$I$59, 8, FALSE), perc_85, perc_75 + (perc_90 - perc_75) * (2/3), converted_stat, '2K_Ratings'!N821, IF(bbgm_stat &gt;= perc_95, converted_stat * 3, IF(bbgm_stat &gt;= perc_90, converted_stat * 2, IF(bbgm_stat &gt;= perc_85, converted_stat * 1.5, converted_stat)))))</f>
        <v/>
      </c>
      <c r="O821" s="30" t="str">
        <f t="array" ref="O821">IF($A821="", "", LET(bbgm_stat, INDEX(Players!$A820:$P820, MATCH(O$2, Players!$A$1:$P$1, 0)), perc_75, VLOOKUP(O$2, Percentiles!$A$45:$I$59, 6, FALSE), perc_90, VLOOKUP(O$2, Percentiles!$A$45:$I$59, 7, FALSE), perc_95, VLOOKUP(O$2, Percentiles!$A$45:$I$59, 8, FALSE), perc_85, perc_75 + (perc_90 - perc_75) * (2/3), converted_stat, '2K_Ratings'!O821, IF(bbgm_stat &gt;= perc_95, converted_stat * 3, IF(bbgm_stat &gt;= perc_90, converted_stat * 2, IF(bbgm_stat &gt;= perc_85, converted_stat * 1.5, converted_stat)))))</f>
        <v/>
      </c>
      <c r="P821" s="30" t="str">
        <f t="array" ref="P821">IF($A821="", "", LET(bbgm_stat, INDEX(Players!$A820:$P820, MATCH(P$2, Players!$A$1:$P$1, 0)), perc_75, VLOOKUP(P$2, Percentiles!$A$45:$I$59, 6, FALSE), perc_90, VLOOKUP(P$2, Percentiles!$A$45:$I$59, 7, FALSE), perc_95, VLOOKUP(P$2, Percentiles!$A$45:$I$59, 8, FALSE), perc_85, perc_75 + (perc_90 - perc_75) * (2/3), converted_stat, '2K_Ratings'!P821, IF(bbgm_stat &gt;= perc_95, converted_stat * 3, IF(bbgm_stat &gt;= perc_90, converted_stat * 2, IF(bbgm_stat &gt;= perc_85, converted_stat * 1.5, converted_stat)))))</f>
        <v/>
      </c>
      <c r="Q821" s="30" t="str">
        <f t="array" ref="Q821">IF($A821="", "", LET(bbgm_stat, INDEX(Players!$A820:$P820, MATCH(Q$2, Players!$A$1:$P$1, 0)), perc_75, VLOOKUP(Q$2, Percentiles!$A$45:$I$59, 6, FALSE), perc_90, VLOOKUP(Q$2, Percentiles!$A$45:$I$59, 7, FALSE), perc_95, VLOOKUP(Q$2, Percentiles!$A$45:$I$59, 8, FALSE), perc_85, perc_75 + (perc_90 - perc_75) * (2/3), converted_stat, '2K_Ratings'!Q821, IF(bbgm_stat &gt;= perc_95, converted_stat * 3, IF(bbgm_stat &gt;= perc_90, converted_stat * 2, IF(bbgm_stat &gt;= perc_85, converted_stat * 1.5, converted_stat)))))</f>
        <v/>
      </c>
      <c r="R821" s="30" t="str">
        <f t="array" ref="R821">IF($A821="", "", LET(bbgm_stat, INDEX(Players!$A820:$P820, MATCH(R$2, Players!$A$1:$P$1, 0)), perc_75, VLOOKUP(R$2, Percentiles!$A$45:$I$59, 6, FALSE), perc_90, VLOOKUP(R$2, Percentiles!$A$45:$I$59, 7, FALSE), perc_95, VLOOKUP(R$2, Percentiles!$A$45:$I$59, 8, FALSE), perc_85, perc_75 + (perc_90 - perc_75) * (2/3), converted_stat, '2K_Ratings'!R821, IF(bbgm_stat &gt;= perc_95, converted_stat * 3, IF(bbgm_stat &gt;= perc_90, converted_stat * 2, IF(bbgm_stat &gt;= perc_85, converted_stat * 1.5, converted_stat)))))</f>
        <v/>
      </c>
      <c r="S821" s="30" t="str">
        <f t="array" ref="S821">IF($A821="", "", LET(bbgm_stat, INDEX(Players!$A820:$P820, MATCH(S$2, Players!$A$1:$P$1, 0)), perc_75, VLOOKUP(S$2, Percentiles!$A$45:$I$59, 6, FALSE), perc_90, VLOOKUP(S$2, Percentiles!$A$45:$I$59, 7, FALSE), perc_95, VLOOKUP(S$2, Percentiles!$A$45:$I$59, 8, FALSE), perc_85, perc_75 + (perc_90 - perc_75) * (2/3), converted_stat, '2K_Ratings'!S821, IF(bbgm_stat &gt;= perc_95, converted_stat * 3, IF(bbgm_stat &gt;= perc_90, converted_stat * 2, IF(bbgm_stat &gt;= perc_85, converted_stat * 1.5, converted_stat)))))</f>
        <v/>
      </c>
      <c r="T821" s="30" t="str">
        <f t="array" ref="T821">IF($A821="", "", LET(bbgm_stat, INDEX(Players!$A820:$P820, MATCH(T$2, Players!$A$1:$P$1, 0)), perc_75, VLOOKUP(T$2, Percentiles!$A$45:$I$59, 6, FALSE), perc_90, VLOOKUP(T$2, Percentiles!$A$45:$I$59, 7, FALSE), perc_95, VLOOKUP(T$2, Percentiles!$A$45:$I$59, 8, FALSE), perc_85, perc_75 + (perc_90 - perc_75) * (2/3), converted_stat, '2K_Ratings'!T821, IF(bbgm_stat &gt;= perc_95, converted_stat * 3, IF(bbgm_stat &gt;= perc_90, converted_stat * 2, IF(bbgm_stat &gt;= perc_85, converted_stat * 1.5, converted_stat)))))</f>
        <v/>
      </c>
      <c r="U821" s="30" t="str">
        <f t="array" ref="U821">IF($A821="", "", LET(bbgm_stat, INDEX(Players!$A820:$P820, MATCH(U$2, Players!$A$1:$P$1, 0)), perc_75, VLOOKUP(U$2, Percentiles!$A$45:$I$59, 6, FALSE), perc_90, VLOOKUP(U$2, Percentiles!$A$45:$I$59, 7, FALSE), perc_95, VLOOKUP(U$2, Percentiles!$A$45:$I$59, 8, FALSE), perc_85, perc_75 + (perc_90 - perc_75) * (2/3), converted_stat, '2K_Ratings'!U821, IF(bbgm_stat &gt;= perc_95, converted_stat * 3, IF(bbgm_stat &gt;= perc_90, converted_stat * 2, IF(bbgm_stat &gt;= perc_85, converted_stat * 1.5, converted_stat)))))</f>
        <v/>
      </c>
      <c r="V821" s="30" t="str">
        <f t="array" ref="V821">IF($A821="", "", LET(bbgm_stat, INDEX(Players!$A820:$P820, MATCH(V$2, Players!$A$1:$P$1, 0)), perc_75, VLOOKUP(V$2, Percentiles!$A$45:$I$59, 6, FALSE), perc_90, VLOOKUP(V$2, Percentiles!$A$45:$I$59, 7, FALSE), perc_95, VLOOKUP(V$2, Percentiles!$A$45:$I$59, 8, FALSE), perc_85, perc_75 + (perc_90 - perc_75) * (2/3), converted_stat, '2K_Ratings'!V821, IF(bbgm_stat &gt;= perc_95, converted_stat * 3, IF(bbgm_stat &gt;= perc_90, converted_stat * 2, IF(bbgm_stat &gt;= perc_85, converted_stat * 1.5, converted_stat)))))</f>
        <v/>
      </c>
      <c r="W821" s="30" t="str">
        <f t="array" ref="W821">IF($A821="", "", LET(bbgm_stat, INDEX(Players!$A820:$P820, MATCH(W$2, Players!$A$1:$P$1, 0)), perc_75, VLOOKUP(W$2, Percentiles!$A$45:$I$59, 6, FALSE), perc_90, VLOOKUP(W$2, Percentiles!$A$45:$I$59, 7, FALSE), perc_95, VLOOKUP(W$2, Percentiles!$A$45:$I$59, 8, FALSE), perc_85, perc_75 + (perc_90 - perc_75) * (2/3), converted_stat, '2K_Ratings'!W821, IF(bbgm_stat &gt;= perc_95, converted_stat * 3, IF(bbgm_stat &gt;= perc_90, converted_stat * 2, IF(bbgm_stat &gt;= perc_85, converted_stat * 1.5, converted_stat)))))</f>
        <v/>
      </c>
    </row>
    <row r="822">
      <c r="A822" s="30"/>
      <c r="B822" s="30" t="str">
        <f t="array" ref="B822">IF($A822="", "", LET(bbgm_stat, INDEX(Players!$A821:$P821, MATCH(B$2, Players!$A$1:$P$1, 0)), perc_75, VLOOKUP(B$2, Percentiles!$A$45:$I$59, 6, FALSE), perc_90, VLOOKUP(B$2, Percentiles!$A$45:$I$59, 7, FALSE), perc_95, VLOOKUP(B$2, Percentiles!$A$45:$I$59, 8, FALSE), perc_85, perc_75 + (perc_90 - perc_75) * (2/3), converted_stat, '2K_Ratings'!B822, IF(bbgm_stat &gt;= perc_95, converted_stat * 3, IF(bbgm_stat &gt;= perc_90, converted_stat * 2, IF(bbgm_stat &gt;= perc_85, converted_stat * 1.5, converted_stat)))))</f>
        <v/>
      </c>
      <c r="C822" s="30" t="str">
        <f t="array" ref="C822">IF($A822="", "", LET(bbgm_stat, INDEX(Players!$A821:$P821, MATCH(C$2, Players!$A$1:$P$1, 0)), perc_75, VLOOKUP(C$2, Percentiles!$A$45:$I$59, 6, FALSE), perc_90, VLOOKUP(C$2, Percentiles!$A$45:$I$59, 7, FALSE), perc_95, VLOOKUP(C$2, Percentiles!$A$45:$I$59, 8, FALSE), perc_85, perc_75 + (perc_90 - perc_75) * (2/3), converted_stat, '2K_Ratings'!C822, IF(bbgm_stat &gt;= perc_95, converted_stat * 3, IF(bbgm_stat &gt;= perc_90, converted_stat * 2, IF(bbgm_stat &gt;= perc_85, converted_stat * 1.5, converted_stat)))))</f>
        <v/>
      </c>
      <c r="D822" s="30" t="str">
        <f t="array" ref="D822">IF($A822="", "", LET(bbgm_stat, INDEX(Players!$A821:$P821, MATCH(D$2, Players!$A$1:$P$1, 0)), perc_75, VLOOKUP(D$2, Percentiles!$A$45:$I$59, 6, FALSE), perc_90, VLOOKUP(D$2, Percentiles!$A$45:$I$59, 7, FALSE), perc_95, VLOOKUP(D$2, Percentiles!$A$45:$I$59, 8, FALSE), perc_85, perc_75 + (perc_90 - perc_75) * (2/3), converted_stat, '2K_Ratings'!D822, IF(bbgm_stat &gt;= perc_95, converted_stat * 3, IF(bbgm_stat &gt;= perc_90, converted_stat * 2, IF(bbgm_stat &gt;= perc_85, converted_stat * 1.5, converted_stat)))))</f>
        <v/>
      </c>
      <c r="E822" s="30" t="str">
        <f t="array" ref="E822">IF($A822="", "", LET(bbgm_stat, INDEX(Players!$A821:$P821, MATCH(E$2, Players!$A$1:$P$1, 0)), perc_75, VLOOKUP(E$2, Percentiles!$A$45:$I$59, 6, FALSE), perc_90, VLOOKUP(E$2, Percentiles!$A$45:$I$59, 7, FALSE), perc_95, VLOOKUP(E$2, Percentiles!$A$45:$I$59, 8, FALSE), perc_85, perc_75 + (perc_90 - perc_75) * (2/3), converted_stat, '2K_Ratings'!E822, IF(bbgm_stat &gt;= perc_95, converted_stat * 3, IF(bbgm_stat &gt;= perc_90, converted_stat * 2, IF(bbgm_stat &gt;= perc_85, converted_stat * 1.5, converted_stat)))))</f>
        <v/>
      </c>
      <c r="F822" s="30" t="str">
        <f t="array" ref="F822">IF($A822="", "", LET(bbgm_stat, INDEX(Players!$A821:$P821, MATCH(F$2, Players!$A$1:$P$1, 0)), perc_75, VLOOKUP(F$2, Percentiles!$A$45:$I$59, 6, FALSE), perc_90, VLOOKUP(F$2, Percentiles!$A$45:$I$59, 7, FALSE), perc_95, VLOOKUP(F$2, Percentiles!$A$45:$I$59, 8, FALSE), perc_85, perc_75 + (perc_90 - perc_75) * (2/3), converted_stat, '2K_Ratings'!F822, IF(bbgm_stat &gt;= perc_95, converted_stat * 3, IF(bbgm_stat &gt;= perc_90, converted_stat * 2, IF(bbgm_stat &gt;= perc_85, converted_stat * 1.5, converted_stat)))))</f>
        <v/>
      </c>
      <c r="G822" s="30" t="str">
        <f t="array" ref="G822">IF($A822="", "", LET(bbgm_stat, INDEX(Players!$A821:$P821, MATCH(G$2, Players!$A$1:$P$1, 0)), perc_75, VLOOKUP(G$2, Percentiles!$A$45:$I$59, 6, FALSE), perc_90, VLOOKUP(G$2, Percentiles!$A$45:$I$59, 7, FALSE), perc_95, VLOOKUP(G$2, Percentiles!$A$45:$I$59, 8, FALSE), perc_85, perc_75 + (perc_90 - perc_75) * (2/3), converted_stat, '2K_Ratings'!G822, IF(bbgm_stat &gt;= perc_95, converted_stat * 3, IF(bbgm_stat &gt;= perc_90, converted_stat * 2, IF(bbgm_stat &gt;= perc_85, converted_stat * 1.5, converted_stat)))))</f>
        <v/>
      </c>
      <c r="H822" s="30" t="str">
        <f t="array" ref="H822">IF($A822="", "", LET(bbgm_stat, INDEX(Players!$A821:$P821, MATCH(H$2, Players!$A$1:$P$1, 0)), perc_75, VLOOKUP(H$2, Percentiles!$A$45:$I$59, 6, FALSE), perc_90, VLOOKUP(H$2, Percentiles!$A$45:$I$59, 7, FALSE), perc_95, VLOOKUP(H$2, Percentiles!$A$45:$I$59, 8, FALSE), perc_85, perc_75 + (perc_90 - perc_75) * (2/3), converted_stat, '2K_Ratings'!H822, IF(bbgm_stat &gt;= perc_95, converted_stat * 3, IF(bbgm_stat &gt;= perc_90, converted_stat * 2, IF(bbgm_stat &gt;= perc_85, converted_stat * 1.5, converted_stat)))))</f>
        <v/>
      </c>
      <c r="I822" s="30" t="str">
        <f t="array" ref="I822">IF($A822="", "", LET(bbgm_stat, INDEX(Players!$A821:$P821, MATCH(I$2, Players!$A$1:$P$1, 0)), perc_75, VLOOKUP(I$2, Percentiles!$A$45:$I$59, 6, FALSE), perc_90, VLOOKUP(I$2, Percentiles!$A$45:$I$59, 7, FALSE), perc_95, VLOOKUP(I$2, Percentiles!$A$45:$I$59, 8, FALSE), perc_85, perc_75 + (perc_90 - perc_75) * (2/3), converted_stat, '2K_Ratings'!I822, IF(bbgm_stat &gt;= perc_95, converted_stat * 3, IF(bbgm_stat &gt;= perc_90, converted_stat * 2, IF(bbgm_stat &gt;= perc_85, converted_stat * 1.5, converted_stat)))))</f>
        <v/>
      </c>
      <c r="J822" s="30" t="str">
        <f t="array" ref="J822">IF($A822="", "", LET(bbgm_stat, INDEX(Players!$A821:$P821, MATCH(J$2, Players!$A$1:$P$1, 0)), perc_75, VLOOKUP(J$2, Percentiles!$A$45:$I$59, 6, FALSE), perc_90, VLOOKUP(J$2, Percentiles!$A$45:$I$59, 7, FALSE), perc_95, VLOOKUP(J$2, Percentiles!$A$45:$I$59, 8, FALSE), perc_85, perc_75 + (perc_90 - perc_75) * (2/3), converted_stat, '2K_Ratings'!J822, IF(bbgm_stat &gt;= perc_95, converted_stat * 3, IF(bbgm_stat &gt;= perc_90, converted_stat * 2, IF(bbgm_stat &gt;= perc_85, converted_stat * 1.5, converted_stat)))))</f>
        <v/>
      </c>
      <c r="K822" s="30" t="str">
        <f t="array" ref="K822">IF($A822="", "", LET(bbgm_stat, INDEX(Players!$A821:$P821, MATCH(K$2, Players!$A$1:$P$1, 0)), perc_75, VLOOKUP(K$2, Percentiles!$A$45:$I$59, 6, FALSE), perc_90, VLOOKUP(K$2, Percentiles!$A$45:$I$59, 7, FALSE), perc_95, VLOOKUP(K$2, Percentiles!$A$45:$I$59, 8, FALSE), perc_85, perc_75 + (perc_90 - perc_75) * (2/3), converted_stat, '2K_Ratings'!K822, IF(bbgm_stat &gt;= perc_95, converted_stat * 3, IF(bbgm_stat &gt;= perc_90, converted_stat * 2, IF(bbgm_stat &gt;= perc_85, converted_stat * 1.5, converted_stat)))))</f>
        <v/>
      </c>
      <c r="L822" s="30" t="str">
        <f t="array" ref="L822">IF($A822="", "", LET(bbgm_stat, INDEX(Players!$A821:$P821, MATCH(L$2, Players!$A$1:$P$1, 0)), perc_75, VLOOKUP(L$2, Percentiles!$A$45:$I$59, 6, FALSE), perc_90, VLOOKUP(L$2, Percentiles!$A$45:$I$59, 7, FALSE), perc_95, VLOOKUP(L$2, Percentiles!$A$45:$I$59, 8, FALSE), perc_85, perc_75 + (perc_90 - perc_75) * (2/3), converted_stat, '2K_Ratings'!L822, IF(bbgm_stat &gt;= perc_95, converted_stat * 3, IF(bbgm_stat &gt;= perc_90, converted_stat * 2, IF(bbgm_stat &gt;= perc_85, converted_stat * 1.5, converted_stat)))))</f>
        <v/>
      </c>
      <c r="M822" s="30" t="str">
        <f t="array" ref="M822">IF($A822="", "", LET(bbgm_stat, INDEX(Players!$A821:$P821, MATCH(M$2, Players!$A$1:$P$1, 0)), perc_75, VLOOKUP(M$2, Percentiles!$A$45:$I$59, 6, FALSE), perc_90, VLOOKUP(M$2, Percentiles!$A$45:$I$59, 7, FALSE), perc_95, VLOOKUP(M$2, Percentiles!$A$45:$I$59, 8, FALSE), perc_85, perc_75 + (perc_90 - perc_75) * (2/3), converted_stat, '2K_Ratings'!M822, IF(bbgm_stat &gt;= perc_95, converted_stat * 3, IF(bbgm_stat &gt;= perc_90, converted_stat * 2, IF(bbgm_stat &gt;= perc_85, converted_stat * 1.5, converted_stat)))))</f>
        <v/>
      </c>
      <c r="N822" s="30" t="str">
        <f t="array" ref="N822">IF($A822="", "", LET(bbgm_stat, INDEX(Players!$A821:$P821, MATCH(N$2, Players!$A$1:$P$1, 0)), perc_75, VLOOKUP(N$2, Percentiles!$A$45:$I$59, 6, FALSE), perc_90, VLOOKUP(N$2, Percentiles!$A$45:$I$59, 7, FALSE), perc_95, VLOOKUP(N$2, Percentiles!$A$45:$I$59, 8, FALSE), perc_85, perc_75 + (perc_90 - perc_75) * (2/3), converted_stat, '2K_Ratings'!N822, IF(bbgm_stat &gt;= perc_95, converted_stat * 3, IF(bbgm_stat &gt;= perc_90, converted_stat * 2, IF(bbgm_stat &gt;= perc_85, converted_stat * 1.5, converted_stat)))))</f>
        <v/>
      </c>
      <c r="O822" s="30" t="str">
        <f t="array" ref="O822">IF($A822="", "", LET(bbgm_stat, INDEX(Players!$A821:$P821, MATCH(O$2, Players!$A$1:$P$1, 0)), perc_75, VLOOKUP(O$2, Percentiles!$A$45:$I$59, 6, FALSE), perc_90, VLOOKUP(O$2, Percentiles!$A$45:$I$59, 7, FALSE), perc_95, VLOOKUP(O$2, Percentiles!$A$45:$I$59, 8, FALSE), perc_85, perc_75 + (perc_90 - perc_75) * (2/3), converted_stat, '2K_Ratings'!O822, IF(bbgm_stat &gt;= perc_95, converted_stat * 3, IF(bbgm_stat &gt;= perc_90, converted_stat * 2, IF(bbgm_stat &gt;= perc_85, converted_stat * 1.5, converted_stat)))))</f>
        <v/>
      </c>
      <c r="P822" s="30" t="str">
        <f t="array" ref="P822">IF($A822="", "", LET(bbgm_stat, INDEX(Players!$A821:$P821, MATCH(P$2, Players!$A$1:$P$1, 0)), perc_75, VLOOKUP(P$2, Percentiles!$A$45:$I$59, 6, FALSE), perc_90, VLOOKUP(P$2, Percentiles!$A$45:$I$59, 7, FALSE), perc_95, VLOOKUP(P$2, Percentiles!$A$45:$I$59, 8, FALSE), perc_85, perc_75 + (perc_90 - perc_75) * (2/3), converted_stat, '2K_Ratings'!P822, IF(bbgm_stat &gt;= perc_95, converted_stat * 3, IF(bbgm_stat &gt;= perc_90, converted_stat * 2, IF(bbgm_stat &gt;= perc_85, converted_stat * 1.5, converted_stat)))))</f>
        <v/>
      </c>
      <c r="Q822" s="30" t="str">
        <f t="array" ref="Q822">IF($A822="", "", LET(bbgm_stat, INDEX(Players!$A821:$P821, MATCH(Q$2, Players!$A$1:$P$1, 0)), perc_75, VLOOKUP(Q$2, Percentiles!$A$45:$I$59, 6, FALSE), perc_90, VLOOKUP(Q$2, Percentiles!$A$45:$I$59, 7, FALSE), perc_95, VLOOKUP(Q$2, Percentiles!$A$45:$I$59, 8, FALSE), perc_85, perc_75 + (perc_90 - perc_75) * (2/3), converted_stat, '2K_Ratings'!Q822, IF(bbgm_stat &gt;= perc_95, converted_stat * 3, IF(bbgm_stat &gt;= perc_90, converted_stat * 2, IF(bbgm_stat &gt;= perc_85, converted_stat * 1.5, converted_stat)))))</f>
        <v/>
      </c>
      <c r="R822" s="30" t="str">
        <f t="array" ref="R822">IF($A822="", "", LET(bbgm_stat, INDEX(Players!$A821:$P821, MATCH(R$2, Players!$A$1:$P$1, 0)), perc_75, VLOOKUP(R$2, Percentiles!$A$45:$I$59, 6, FALSE), perc_90, VLOOKUP(R$2, Percentiles!$A$45:$I$59, 7, FALSE), perc_95, VLOOKUP(R$2, Percentiles!$A$45:$I$59, 8, FALSE), perc_85, perc_75 + (perc_90 - perc_75) * (2/3), converted_stat, '2K_Ratings'!R822, IF(bbgm_stat &gt;= perc_95, converted_stat * 3, IF(bbgm_stat &gt;= perc_90, converted_stat * 2, IF(bbgm_stat &gt;= perc_85, converted_stat * 1.5, converted_stat)))))</f>
        <v/>
      </c>
      <c r="S822" s="30" t="str">
        <f t="array" ref="S822">IF($A822="", "", LET(bbgm_stat, INDEX(Players!$A821:$P821, MATCH(S$2, Players!$A$1:$P$1, 0)), perc_75, VLOOKUP(S$2, Percentiles!$A$45:$I$59, 6, FALSE), perc_90, VLOOKUP(S$2, Percentiles!$A$45:$I$59, 7, FALSE), perc_95, VLOOKUP(S$2, Percentiles!$A$45:$I$59, 8, FALSE), perc_85, perc_75 + (perc_90 - perc_75) * (2/3), converted_stat, '2K_Ratings'!S822, IF(bbgm_stat &gt;= perc_95, converted_stat * 3, IF(bbgm_stat &gt;= perc_90, converted_stat * 2, IF(bbgm_stat &gt;= perc_85, converted_stat * 1.5, converted_stat)))))</f>
        <v/>
      </c>
      <c r="T822" s="30" t="str">
        <f t="array" ref="T822">IF($A822="", "", LET(bbgm_stat, INDEX(Players!$A821:$P821, MATCH(T$2, Players!$A$1:$P$1, 0)), perc_75, VLOOKUP(T$2, Percentiles!$A$45:$I$59, 6, FALSE), perc_90, VLOOKUP(T$2, Percentiles!$A$45:$I$59, 7, FALSE), perc_95, VLOOKUP(T$2, Percentiles!$A$45:$I$59, 8, FALSE), perc_85, perc_75 + (perc_90 - perc_75) * (2/3), converted_stat, '2K_Ratings'!T822, IF(bbgm_stat &gt;= perc_95, converted_stat * 3, IF(bbgm_stat &gt;= perc_90, converted_stat * 2, IF(bbgm_stat &gt;= perc_85, converted_stat * 1.5, converted_stat)))))</f>
        <v/>
      </c>
      <c r="U822" s="30" t="str">
        <f t="array" ref="U822">IF($A822="", "", LET(bbgm_stat, INDEX(Players!$A821:$P821, MATCH(U$2, Players!$A$1:$P$1, 0)), perc_75, VLOOKUP(U$2, Percentiles!$A$45:$I$59, 6, FALSE), perc_90, VLOOKUP(U$2, Percentiles!$A$45:$I$59, 7, FALSE), perc_95, VLOOKUP(U$2, Percentiles!$A$45:$I$59, 8, FALSE), perc_85, perc_75 + (perc_90 - perc_75) * (2/3), converted_stat, '2K_Ratings'!U822, IF(bbgm_stat &gt;= perc_95, converted_stat * 3, IF(bbgm_stat &gt;= perc_90, converted_stat * 2, IF(bbgm_stat &gt;= perc_85, converted_stat * 1.5, converted_stat)))))</f>
        <v/>
      </c>
      <c r="V822" s="30" t="str">
        <f t="array" ref="V822">IF($A822="", "", LET(bbgm_stat, INDEX(Players!$A821:$P821, MATCH(V$2, Players!$A$1:$P$1, 0)), perc_75, VLOOKUP(V$2, Percentiles!$A$45:$I$59, 6, FALSE), perc_90, VLOOKUP(V$2, Percentiles!$A$45:$I$59, 7, FALSE), perc_95, VLOOKUP(V$2, Percentiles!$A$45:$I$59, 8, FALSE), perc_85, perc_75 + (perc_90 - perc_75) * (2/3), converted_stat, '2K_Ratings'!V822, IF(bbgm_stat &gt;= perc_95, converted_stat * 3, IF(bbgm_stat &gt;= perc_90, converted_stat * 2, IF(bbgm_stat &gt;= perc_85, converted_stat * 1.5, converted_stat)))))</f>
        <v/>
      </c>
      <c r="W822" s="30" t="str">
        <f t="array" ref="W822">IF($A822="", "", LET(bbgm_stat, INDEX(Players!$A821:$P821, MATCH(W$2, Players!$A$1:$P$1, 0)), perc_75, VLOOKUP(W$2, Percentiles!$A$45:$I$59, 6, FALSE), perc_90, VLOOKUP(W$2, Percentiles!$A$45:$I$59, 7, FALSE), perc_95, VLOOKUP(W$2, Percentiles!$A$45:$I$59, 8, FALSE), perc_85, perc_75 + (perc_90 - perc_75) * (2/3), converted_stat, '2K_Ratings'!W822, IF(bbgm_stat &gt;= perc_95, converted_stat * 3, IF(bbgm_stat &gt;= perc_90, converted_stat * 2, IF(bbgm_stat &gt;= perc_85, converted_stat * 1.5, converted_stat)))))</f>
        <v/>
      </c>
    </row>
    <row r="823">
      <c r="A823" s="30"/>
      <c r="B823" s="30" t="str">
        <f t="array" ref="B823">IF($A823="", "", LET(bbgm_stat, INDEX(Players!$A822:$P822, MATCH(B$2, Players!$A$1:$P$1, 0)), perc_75, VLOOKUP(B$2, Percentiles!$A$45:$I$59, 6, FALSE), perc_90, VLOOKUP(B$2, Percentiles!$A$45:$I$59, 7, FALSE), perc_95, VLOOKUP(B$2, Percentiles!$A$45:$I$59, 8, FALSE), perc_85, perc_75 + (perc_90 - perc_75) * (2/3), converted_stat, '2K_Ratings'!B823, IF(bbgm_stat &gt;= perc_95, converted_stat * 3, IF(bbgm_stat &gt;= perc_90, converted_stat * 2, IF(bbgm_stat &gt;= perc_85, converted_stat * 1.5, converted_stat)))))</f>
        <v/>
      </c>
      <c r="C823" s="30" t="str">
        <f t="array" ref="C823">IF($A823="", "", LET(bbgm_stat, INDEX(Players!$A822:$P822, MATCH(C$2, Players!$A$1:$P$1, 0)), perc_75, VLOOKUP(C$2, Percentiles!$A$45:$I$59, 6, FALSE), perc_90, VLOOKUP(C$2, Percentiles!$A$45:$I$59, 7, FALSE), perc_95, VLOOKUP(C$2, Percentiles!$A$45:$I$59, 8, FALSE), perc_85, perc_75 + (perc_90 - perc_75) * (2/3), converted_stat, '2K_Ratings'!C823, IF(bbgm_stat &gt;= perc_95, converted_stat * 3, IF(bbgm_stat &gt;= perc_90, converted_stat * 2, IF(bbgm_stat &gt;= perc_85, converted_stat * 1.5, converted_stat)))))</f>
        <v/>
      </c>
      <c r="D823" s="30" t="str">
        <f t="array" ref="D823">IF($A823="", "", LET(bbgm_stat, INDEX(Players!$A822:$P822, MATCH(D$2, Players!$A$1:$P$1, 0)), perc_75, VLOOKUP(D$2, Percentiles!$A$45:$I$59, 6, FALSE), perc_90, VLOOKUP(D$2, Percentiles!$A$45:$I$59, 7, FALSE), perc_95, VLOOKUP(D$2, Percentiles!$A$45:$I$59, 8, FALSE), perc_85, perc_75 + (perc_90 - perc_75) * (2/3), converted_stat, '2K_Ratings'!D823, IF(bbgm_stat &gt;= perc_95, converted_stat * 3, IF(bbgm_stat &gt;= perc_90, converted_stat * 2, IF(bbgm_stat &gt;= perc_85, converted_stat * 1.5, converted_stat)))))</f>
        <v/>
      </c>
      <c r="E823" s="30" t="str">
        <f t="array" ref="E823">IF($A823="", "", LET(bbgm_stat, INDEX(Players!$A822:$P822, MATCH(E$2, Players!$A$1:$P$1, 0)), perc_75, VLOOKUP(E$2, Percentiles!$A$45:$I$59, 6, FALSE), perc_90, VLOOKUP(E$2, Percentiles!$A$45:$I$59, 7, FALSE), perc_95, VLOOKUP(E$2, Percentiles!$A$45:$I$59, 8, FALSE), perc_85, perc_75 + (perc_90 - perc_75) * (2/3), converted_stat, '2K_Ratings'!E823, IF(bbgm_stat &gt;= perc_95, converted_stat * 3, IF(bbgm_stat &gt;= perc_90, converted_stat * 2, IF(bbgm_stat &gt;= perc_85, converted_stat * 1.5, converted_stat)))))</f>
        <v/>
      </c>
      <c r="F823" s="30" t="str">
        <f t="array" ref="F823">IF($A823="", "", LET(bbgm_stat, INDEX(Players!$A822:$P822, MATCH(F$2, Players!$A$1:$P$1, 0)), perc_75, VLOOKUP(F$2, Percentiles!$A$45:$I$59, 6, FALSE), perc_90, VLOOKUP(F$2, Percentiles!$A$45:$I$59, 7, FALSE), perc_95, VLOOKUP(F$2, Percentiles!$A$45:$I$59, 8, FALSE), perc_85, perc_75 + (perc_90 - perc_75) * (2/3), converted_stat, '2K_Ratings'!F823, IF(bbgm_stat &gt;= perc_95, converted_stat * 3, IF(bbgm_stat &gt;= perc_90, converted_stat * 2, IF(bbgm_stat &gt;= perc_85, converted_stat * 1.5, converted_stat)))))</f>
        <v/>
      </c>
      <c r="G823" s="30" t="str">
        <f t="array" ref="G823">IF($A823="", "", LET(bbgm_stat, INDEX(Players!$A822:$P822, MATCH(G$2, Players!$A$1:$P$1, 0)), perc_75, VLOOKUP(G$2, Percentiles!$A$45:$I$59, 6, FALSE), perc_90, VLOOKUP(G$2, Percentiles!$A$45:$I$59, 7, FALSE), perc_95, VLOOKUP(G$2, Percentiles!$A$45:$I$59, 8, FALSE), perc_85, perc_75 + (perc_90 - perc_75) * (2/3), converted_stat, '2K_Ratings'!G823, IF(bbgm_stat &gt;= perc_95, converted_stat * 3, IF(bbgm_stat &gt;= perc_90, converted_stat * 2, IF(bbgm_stat &gt;= perc_85, converted_stat * 1.5, converted_stat)))))</f>
        <v/>
      </c>
      <c r="H823" s="30" t="str">
        <f t="array" ref="H823">IF($A823="", "", LET(bbgm_stat, INDEX(Players!$A822:$P822, MATCH(H$2, Players!$A$1:$P$1, 0)), perc_75, VLOOKUP(H$2, Percentiles!$A$45:$I$59, 6, FALSE), perc_90, VLOOKUP(H$2, Percentiles!$A$45:$I$59, 7, FALSE), perc_95, VLOOKUP(H$2, Percentiles!$A$45:$I$59, 8, FALSE), perc_85, perc_75 + (perc_90 - perc_75) * (2/3), converted_stat, '2K_Ratings'!H823, IF(bbgm_stat &gt;= perc_95, converted_stat * 3, IF(bbgm_stat &gt;= perc_90, converted_stat * 2, IF(bbgm_stat &gt;= perc_85, converted_stat * 1.5, converted_stat)))))</f>
        <v/>
      </c>
      <c r="I823" s="30" t="str">
        <f t="array" ref="I823">IF($A823="", "", LET(bbgm_stat, INDEX(Players!$A822:$P822, MATCH(I$2, Players!$A$1:$P$1, 0)), perc_75, VLOOKUP(I$2, Percentiles!$A$45:$I$59, 6, FALSE), perc_90, VLOOKUP(I$2, Percentiles!$A$45:$I$59, 7, FALSE), perc_95, VLOOKUP(I$2, Percentiles!$A$45:$I$59, 8, FALSE), perc_85, perc_75 + (perc_90 - perc_75) * (2/3), converted_stat, '2K_Ratings'!I823, IF(bbgm_stat &gt;= perc_95, converted_stat * 3, IF(bbgm_stat &gt;= perc_90, converted_stat * 2, IF(bbgm_stat &gt;= perc_85, converted_stat * 1.5, converted_stat)))))</f>
        <v/>
      </c>
      <c r="J823" s="30" t="str">
        <f t="array" ref="J823">IF($A823="", "", LET(bbgm_stat, INDEX(Players!$A822:$P822, MATCH(J$2, Players!$A$1:$P$1, 0)), perc_75, VLOOKUP(J$2, Percentiles!$A$45:$I$59, 6, FALSE), perc_90, VLOOKUP(J$2, Percentiles!$A$45:$I$59, 7, FALSE), perc_95, VLOOKUP(J$2, Percentiles!$A$45:$I$59, 8, FALSE), perc_85, perc_75 + (perc_90 - perc_75) * (2/3), converted_stat, '2K_Ratings'!J823, IF(bbgm_stat &gt;= perc_95, converted_stat * 3, IF(bbgm_stat &gt;= perc_90, converted_stat * 2, IF(bbgm_stat &gt;= perc_85, converted_stat * 1.5, converted_stat)))))</f>
        <v/>
      </c>
      <c r="K823" s="30" t="str">
        <f t="array" ref="K823">IF($A823="", "", LET(bbgm_stat, INDEX(Players!$A822:$P822, MATCH(K$2, Players!$A$1:$P$1, 0)), perc_75, VLOOKUP(K$2, Percentiles!$A$45:$I$59, 6, FALSE), perc_90, VLOOKUP(K$2, Percentiles!$A$45:$I$59, 7, FALSE), perc_95, VLOOKUP(K$2, Percentiles!$A$45:$I$59, 8, FALSE), perc_85, perc_75 + (perc_90 - perc_75) * (2/3), converted_stat, '2K_Ratings'!K823, IF(bbgm_stat &gt;= perc_95, converted_stat * 3, IF(bbgm_stat &gt;= perc_90, converted_stat * 2, IF(bbgm_stat &gt;= perc_85, converted_stat * 1.5, converted_stat)))))</f>
        <v/>
      </c>
      <c r="L823" s="30" t="str">
        <f t="array" ref="L823">IF($A823="", "", LET(bbgm_stat, INDEX(Players!$A822:$P822, MATCH(L$2, Players!$A$1:$P$1, 0)), perc_75, VLOOKUP(L$2, Percentiles!$A$45:$I$59, 6, FALSE), perc_90, VLOOKUP(L$2, Percentiles!$A$45:$I$59, 7, FALSE), perc_95, VLOOKUP(L$2, Percentiles!$A$45:$I$59, 8, FALSE), perc_85, perc_75 + (perc_90 - perc_75) * (2/3), converted_stat, '2K_Ratings'!L823, IF(bbgm_stat &gt;= perc_95, converted_stat * 3, IF(bbgm_stat &gt;= perc_90, converted_stat * 2, IF(bbgm_stat &gt;= perc_85, converted_stat * 1.5, converted_stat)))))</f>
        <v/>
      </c>
      <c r="M823" s="30" t="str">
        <f t="array" ref="M823">IF($A823="", "", LET(bbgm_stat, INDEX(Players!$A822:$P822, MATCH(M$2, Players!$A$1:$P$1, 0)), perc_75, VLOOKUP(M$2, Percentiles!$A$45:$I$59, 6, FALSE), perc_90, VLOOKUP(M$2, Percentiles!$A$45:$I$59, 7, FALSE), perc_95, VLOOKUP(M$2, Percentiles!$A$45:$I$59, 8, FALSE), perc_85, perc_75 + (perc_90 - perc_75) * (2/3), converted_stat, '2K_Ratings'!M823, IF(bbgm_stat &gt;= perc_95, converted_stat * 3, IF(bbgm_stat &gt;= perc_90, converted_stat * 2, IF(bbgm_stat &gt;= perc_85, converted_stat * 1.5, converted_stat)))))</f>
        <v/>
      </c>
      <c r="N823" s="30" t="str">
        <f t="array" ref="N823">IF($A823="", "", LET(bbgm_stat, INDEX(Players!$A822:$P822, MATCH(N$2, Players!$A$1:$P$1, 0)), perc_75, VLOOKUP(N$2, Percentiles!$A$45:$I$59, 6, FALSE), perc_90, VLOOKUP(N$2, Percentiles!$A$45:$I$59, 7, FALSE), perc_95, VLOOKUP(N$2, Percentiles!$A$45:$I$59, 8, FALSE), perc_85, perc_75 + (perc_90 - perc_75) * (2/3), converted_stat, '2K_Ratings'!N823, IF(bbgm_stat &gt;= perc_95, converted_stat * 3, IF(bbgm_stat &gt;= perc_90, converted_stat * 2, IF(bbgm_stat &gt;= perc_85, converted_stat * 1.5, converted_stat)))))</f>
        <v/>
      </c>
      <c r="O823" s="30" t="str">
        <f t="array" ref="O823">IF($A823="", "", LET(bbgm_stat, INDEX(Players!$A822:$P822, MATCH(O$2, Players!$A$1:$P$1, 0)), perc_75, VLOOKUP(O$2, Percentiles!$A$45:$I$59, 6, FALSE), perc_90, VLOOKUP(O$2, Percentiles!$A$45:$I$59, 7, FALSE), perc_95, VLOOKUP(O$2, Percentiles!$A$45:$I$59, 8, FALSE), perc_85, perc_75 + (perc_90 - perc_75) * (2/3), converted_stat, '2K_Ratings'!O823, IF(bbgm_stat &gt;= perc_95, converted_stat * 3, IF(bbgm_stat &gt;= perc_90, converted_stat * 2, IF(bbgm_stat &gt;= perc_85, converted_stat * 1.5, converted_stat)))))</f>
        <v/>
      </c>
      <c r="P823" s="30" t="str">
        <f t="array" ref="P823">IF($A823="", "", LET(bbgm_stat, INDEX(Players!$A822:$P822, MATCH(P$2, Players!$A$1:$P$1, 0)), perc_75, VLOOKUP(P$2, Percentiles!$A$45:$I$59, 6, FALSE), perc_90, VLOOKUP(P$2, Percentiles!$A$45:$I$59, 7, FALSE), perc_95, VLOOKUP(P$2, Percentiles!$A$45:$I$59, 8, FALSE), perc_85, perc_75 + (perc_90 - perc_75) * (2/3), converted_stat, '2K_Ratings'!P823, IF(bbgm_stat &gt;= perc_95, converted_stat * 3, IF(bbgm_stat &gt;= perc_90, converted_stat * 2, IF(bbgm_stat &gt;= perc_85, converted_stat * 1.5, converted_stat)))))</f>
        <v/>
      </c>
      <c r="Q823" s="30" t="str">
        <f t="array" ref="Q823">IF($A823="", "", LET(bbgm_stat, INDEX(Players!$A822:$P822, MATCH(Q$2, Players!$A$1:$P$1, 0)), perc_75, VLOOKUP(Q$2, Percentiles!$A$45:$I$59, 6, FALSE), perc_90, VLOOKUP(Q$2, Percentiles!$A$45:$I$59, 7, FALSE), perc_95, VLOOKUP(Q$2, Percentiles!$A$45:$I$59, 8, FALSE), perc_85, perc_75 + (perc_90 - perc_75) * (2/3), converted_stat, '2K_Ratings'!Q823, IF(bbgm_stat &gt;= perc_95, converted_stat * 3, IF(bbgm_stat &gt;= perc_90, converted_stat * 2, IF(bbgm_stat &gt;= perc_85, converted_stat * 1.5, converted_stat)))))</f>
        <v/>
      </c>
      <c r="R823" s="30" t="str">
        <f t="array" ref="R823">IF($A823="", "", LET(bbgm_stat, INDEX(Players!$A822:$P822, MATCH(R$2, Players!$A$1:$P$1, 0)), perc_75, VLOOKUP(R$2, Percentiles!$A$45:$I$59, 6, FALSE), perc_90, VLOOKUP(R$2, Percentiles!$A$45:$I$59, 7, FALSE), perc_95, VLOOKUP(R$2, Percentiles!$A$45:$I$59, 8, FALSE), perc_85, perc_75 + (perc_90 - perc_75) * (2/3), converted_stat, '2K_Ratings'!R823, IF(bbgm_stat &gt;= perc_95, converted_stat * 3, IF(bbgm_stat &gt;= perc_90, converted_stat * 2, IF(bbgm_stat &gt;= perc_85, converted_stat * 1.5, converted_stat)))))</f>
        <v/>
      </c>
      <c r="S823" s="30" t="str">
        <f t="array" ref="S823">IF($A823="", "", LET(bbgm_stat, INDEX(Players!$A822:$P822, MATCH(S$2, Players!$A$1:$P$1, 0)), perc_75, VLOOKUP(S$2, Percentiles!$A$45:$I$59, 6, FALSE), perc_90, VLOOKUP(S$2, Percentiles!$A$45:$I$59, 7, FALSE), perc_95, VLOOKUP(S$2, Percentiles!$A$45:$I$59, 8, FALSE), perc_85, perc_75 + (perc_90 - perc_75) * (2/3), converted_stat, '2K_Ratings'!S823, IF(bbgm_stat &gt;= perc_95, converted_stat * 3, IF(bbgm_stat &gt;= perc_90, converted_stat * 2, IF(bbgm_stat &gt;= perc_85, converted_stat * 1.5, converted_stat)))))</f>
        <v/>
      </c>
      <c r="T823" s="30" t="str">
        <f t="array" ref="T823">IF($A823="", "", LET(bbgm_stat, INDEX(Players!$A822:$P822, MATCH(T$2, Players!$A$1:$P$1, 0)), perc_75, VLOOKUP(T$2, Percentiles!$A$45:$I$59, 6, FALSE), perc_90, VLOOKUP(T$2, Percentiles!$A$45:$I$59, 7, FALSE), perc_95, VLOOKUP(T$2, Percentiles!$A$45:$I$59, 8, FALSE), perc_85, perc_75 + (perc_90 - perc_75) * (2/3), converted_stat, '2K_Ratings'!T823, IF(bbgm_stat &gt;= perc_95, converted_stat * 3, IF(bbgm_stat &gt;= perc_90, converted_stat * 2, IF(bbgm_stat &gt;= perc_85, converted_stat * 1.5, converted_stat)))))</f>
        <v/>
      </c>
      <c r="U823" s="30" t="str">
        <f t="array" ref="U823">IF($A823="", "", LET(bbgm_stat, INDEX(Players!$A822:$P822, MATCH(U$2, Players!$A$1:$P$1, 0)), perc_75, VLOOKUP(U$2, Percentiles!$A$45:$I$59, 6, FALSE), perc_90, VLOOKUP(U$2, Percentiles!$A$45:$I$59, 7, FALSE), perc_95, VLOOKUP(U$2, Percentiles!$A$45:$I$59, 8, FALSE), perc_85, perc_75 + (perc_90 - perc_75) * (2/3), converted_stat, '2K_Ratings'!U823, IF(bbgm_stat &gt;= perc_95, converted_stat * 3, IF(bbgm_stat &gt;= perc_90, converted_stat * 2, IF(bbgm_stat &gt;= perc_85, converted_stat * 1.5, converted_stat)))))</f>
        <v/>
      </c>
      <c r="V823" s="30" t="str">
        <f t="array" ref="V823">IF($A823="", "", LET(bbgm_stat, INDEX(Players!$A822:$P822, MATCH(V$2, Players!$A$1:$P$1, 0)), perc_75, VLOOKUP(V$2, Percentiles!$A$45:$I$59, 6, FALSE), perc_90, VLOOKUP(V$2, Percentiles!$A$45:$I$59, 7, FALSE), perc_95, VLOOKUP(V$2, Percentiles!$A$45:$I$59, 8, FALSE), perc_85, perc_75 + (perc_90 - perc_75) * (2/3), converted_stat, '2K_Ratings'!V823, IF(bbgm_stat &gt;= perc_95, converted_stat * 3, IF(bbgm_stat &gt;= perc_90, converted_stat * 2, IF(bbgm_stat &gt;= perc_85, converted_stat * 1.5, converted_stat)))))</f>
        <v/>
      </c>
      <c r="W823" s="30" t="str">
        <f t="array" ref="W823">IF($A823="", "", LET(bbgm_stat, INDEX(Players!$A822:$P822, MATCH(W$2, Players!$A$1:$P$1, 0)), perc_75, VLOOKUP(W$2, Percentiles!$A$45:$I$59, 6, FALSE), perc_90, VLOOKUP(W$2, Percentiles!$A$45:$I$59, 7, FALSE), perc_95, VLOOKUP(W$2, Percentiles!$A$45:$I$59, 8, FALSE), perc_85, perc_75 + (perc_90 - perc_75) * (2/3), converted_stat, '2K_Ratings'!W823, IF(bbgm_stat &gt;= perc_95, converted_stat * 3, IF(bbgm_stat &gt;= perc_90, converted_stat * 2, IF(bbgm_stat &gt;= perc_85, converted_stat * 1.5, converted_stat)))))</f>
        <v/>
      </c>
    </row>
    <row r="824">
      <c r="A824" s="30"/>
      <c r="B824" s="30" t="str">
        <f t="array" ref="B824">IF($A824="", "", LET(bbgm_stat, INDEX(Players!$A823:$P823, MATCH(B$2, Players!$A$1:$P$1, 0)), perc_75, VLOOKUP(B$2, Percentiles!$A$45:$I$59, 6, FALSE), perc_90, VLOOKUP(B$2, Percentiles!$A$45:$I$59, 7, FALSE), perc_95, VLOOKUP(B$2, Percentiles!$A$45:$I$59, 8, FALSE), perc_85, perc_75 + (perc_90 - perc_75) * (2/3), converted_stat, '2K_Ratings'!B824, IF(bbgm_stat &gt;= perc_95, converted_stat * 3, IF(bbgm_stat &gt;= perc_90, converted_stat * 2, IF(bbgm_stat &gt;= perc_85, converted_stat * 1.5, converted_stat)))))</f>
        <v/>
      </c>
      <c r="C824" s="30" t="str">
        <f t="array" ref="C824">IF($A824="", "", LET(bbgm_stat, INDEX(Players!$A823:$P823, MATCH(C$2, Players!$A$1:$P$1, 0)), perc_75, VLOOKUP(C$2, Percentiles!$A$45:$I$59, 6, FALSE), perc_90, VLOOKUP(C$2, Percentiles!$A$45:$I$59, 7, FALSE), perc_95, VLOOKUP(C$2, Percentiles!$A$45:$I$59, 8, FALSE), perc_85, perc_75 + (perc_90 - perc_75) * (2/3), converted_stat, '2K_Ratings'!C824, IF(bbgm_stat &gt;= perc_95, converted_stat * 3, IF(bbgm_stat &gt;= perc_90, converted_stat * 2, IF(bbgm_stat &gt;= perc_85, converted_stat * 1.5, converted_stat)))))</f>
        <v/>
      </c>
      <c r="D824" s="30" t="str">
        <f t="array" ref="D824">IF($A824="", "", LET(bbgm_stat, INDEX(Players!$A823:$P823, MATCH(D$2, Players!$A$1:$P$1, 0)), perc_75, VLOOKUP(D$2, Percentiles!$A$45:$I$59, 6, FALSE), perc_90, VLOOKUP(D$2, Percentiles!$A$45:$I$59, 7, FALSE), perc_95, VLOOKUP(D$2, Percentiles!$A$45:$I$59, 8, FALSE), perc_85, perc_75 + (perc_90 - perc_75) * (2/3), converted_stat, '2K_Ratings'!D824, IF(bbgm_stat &gt;= perc_95, converted_stat * 3, IF(bbgm_stat &gt;= perc_90, converted_stat * 2, IF(bbgm_stat &gt;= perc_85, converted_stat * 1.5, converted_stat)))))</f>
        <v/>
      </c>
      <c r="E824" s="30" t="str">
        <f t="array" ref="E824">IF($A824="", "", LET(bbgm_stat, INDEX(Players!$A823:$P823, MATCH(E$2, Players!$A$1:$P$1, 0)), perc_75, VLOOKUP(E$2, Percentiles!$A$45:$I$59, 6, FALSE), perc_90, VLOOKUP(E$2, Percentiles!$A$45:$I$59, 7, FALSE), perc_95, VLOOKUP(E$2, Percentiles!$A$45:$I$59, 8, FALSE), perc_85, perc_75 + (perc_90 - perc_75) * (2/3), converted_stat, '2K_Ratings'!E824, IF(bbgm_stat &gt;= perc_95, converted_stat * 3, IF(bbgm_stat &gt;= perc_90, converted_stat * 2, IF(bbgm_stat &gt;= perc_85, converted_stat * 1.5, converted_stat)))))</f>
        <v/>
      </c>
      <c r="F824" s="30" t="str">
        <f t="array" ref="F824">IF($A824="", "", LET(bbgm_stat, INDEX(Players!$A823:$P823, MATCH(F$2, Players!$A$1:$P$1, 0)), perc_75, VLOOKUP(F$2, Percentiles!$A$45:$I$59, 6, FALSE), perc_90, VLOOKUP(F$2, Percentiles!$A$45:$I$59, 7, FALSE), perc_95, VLOOKUP(F$2, Percentiles!$A$45:$I$59, 8, FALSE), perc_85, perc_75 + (perc_90 - perc_75) * (2/3), converted_stat, '2K_Ratings'!F824, IF(bbgm_stat &gt;= perc_95, converted_stat * 3, IF(bbgm_stat &gt;= perc_90, converted_stat * 2, IF(bbgm_stat &gt;= perc_85, converted_stat * 1.5, converted_stat)))))</f>
        <v/>
      </c>
      <c r="G824" s="30" t="str">
        <f t="array" ref="G824">IF($A824="", "", LET(bbgm_stat, INDEX(Players!$A823:$P823, MATCH(G$2, Players!$A$1:$P$1, 0)), perc_75, VLOOKUP(G$2, Percentiles!$A$45:$I$59, 6, FALSE), perc_90, VLOOKUP(G$2, Percentiles!$A$45:$I$59, 7, FALSE), perc_95, VLOOKUP(G$2, Percentiles!$A$45:$I$59, 8, FALSE), perc_85, perc_75 + (perc_90 - perc_75) * (2/3), converted_stat, '2K_Ratings'!G824, IF(bbgm_stat &gt;= perc_95, converted_stat * 3, IF(bbgm_stat &gt;= perc_90, converted_stat * 2, IF(bbgm_stat &gt;= perc_85, converted_stat * 1.5, converted_stat)))))</f>
        <v/>
      </c>
      <c r="H824" s="30" t="str">
        <f t="array" ref="H824">IF($A824="", "", LET(bbgm_stat, INDEX(Players!$A823:$P823, MATCH(H$2, Players!$A$1:$P$1, 0)), perc_75, VLOOKUP(H$2, Percentiles!$A$45:$I$59, 6, FALSE), perc_90, VLOOKUP(H$2, Percentiles!$A$45:$I$59, 7, FALSE), perc_95, VLOOKUP(H$2, Percentiles!$A$45:$I$59, 8, FALSE), perc_85, perc_75 + (perc_90 - perc_75) * (2/3), converted_stat, '2K_Ratings'!H824, IF(bbgm_stat &gt;= perc_95, converted_stat * 3, IF(bbgm_stat &gt;= perc_90, converted_stat * 2, IF(bbgm_stat &gt;= perc_85, converted_stat * 1.5, converted_stat)))))</f>
        <v/>
      </c>
      <c r="I824" s="30" t="str">
        <f t="array" ref="I824">IF($A824="", "", LET(bbgm_stat, INDEX(Players!$A823:$P823, MATCH(I$2, Players!$A$1:$P$1, 0)), perc_75, VLOOKUP(I$2, Percentiles!$A$45:$I$59, 6, FALSE), perc_90, VLOOKUP(I$2, Percentiles!$A$45:$I$59, 7, FALSE), perc_95, VLOOKUP(I$2, Percentiles!$A$45:$I$59, 8, FALSE), perc_85, perc_75 + (perc_90 - perc_75) * (2/3), converted_stat, '2K_Ratings'!I824, IF(bbgm_stat &gt;= perc_95, converted_stat * 3, IF(bbgm_stat &gt;= perc_90, converted_stat * 2, IF(bbgm_stat &gt;= perc_85, converted_stat * 1.5, converted_stat)))))</f>
        <v/>
      </c>
      <c r="J824" s="30" t="str">
        <f t="array" ref="J824">IF($A824="", "", LET(bbgm_stat, INDEX(Players!$A823:$P823, MATCH(J$2, Players!$A$1:$P$1, 0)), perc_75, VLOOKUP(J$2, Percentiles!$A$45:$I$59, 6, FALSE), perc_90, VLOOKUP(J$2, Percentiles!$A$45:$I$59, 7, FALSE), perc_95, VLOOKUP(J$2, Percentiles!$A$45:$I$59, 8, FALSE), perc_85, perc_75 + (perc_90 - perc_75) * (2/3), converted_stat, '2K_Ratings'!J824, IF(bbgm_stat &gt;= perc_95, converted_stat * 3, IF(bbgm_stat &gt;= perc_90, converted_stat * 2, IF(bbgm_stat &gt;= perc_85, converted_stat * 1.5, converted_stat)))))</f>
        <v/>
      </c>
      <c r="K824" s="30" t="str">
        <f t="array" ref="K824">IF($A824="", "", LET(bbgm_stat, INDEX(Players!$A823:$P823, MATCH(K$2, Players!$A$1:$P$1, 0)), perc_75, VLOOKUP(K$2, Percentiles!$A$45:$I$59, 6, FALSE), perc_90, VLOOKUP(K$2, Percentiles!$A$45:$I$59, 7, FALSE), perc_95, VLOOKUP(K$2, Percentiles!$A$45:$I$59, 8, FALSE), perc_85, perc_75 + (perc_90 - perc_75) * (2/3), converted_stat, '2K_Ratings'!K824, IF(bbgm_stat &gt;= perc_95, converted_stat * 3, IF(bbgm_stat &gt;= perc_90, converted_stat * 2, IF(bbgm_stat &gt;= perc_85, converted_stat * 1.5, converted_stat)))))</f>
        <v/>
      </c>
      <c r="L824" s="30" t="str">
        <f t="array" ref="L824">IF($A824="", "", LET(bbgm_stat, INDEX(Players!$A823:$P823, MATCH(L$2, Players!$A$1:$P$1, 0)), perc_75, VLOOKUP(L$2, Percentiles!$A$45:$I$59, 6, FALSE), perc_90, VLOOKUP(L$2, Percentiles!$A$45:$I$59, 7, FALSE), perc_95, VLOOKUP(L$2, Percentiles!$A$45:$I$59, 8, FALSE), perc_85, perc_75 + (perc_90 - perc_75) * (2/3), converted_stat, '2K_Ratings'!L824, IF(bbgm_stat &gt;= perc_95, converted_stat * 3, IF(bbgm_stat &gt;= perc_90, converted_stat * 2, IF(bbgm_stat &gt;= perc_85, converted_stat * 1.5, converted_stat)))))</f>
        <v/>
      </c>
      <c r="M824" s="30" t="str">
        <f t="array" ref="M824">IF($A824="", "", LET(bbgm_stat, INDEX(Players!$A823:$P823, MATCH(M$2, Players!$A$1:$P$1, 0)), perc_75, VLOOKUP(M$2, Percentiles!$A$45:$I$59, 6, FALSE), perc_90, VLOOKUP(M$2, Percentiles!$A$45:$I$59, 7, FALSE), perc_95, VLOOKUP(M$2, Percentiles!$A$45:$I$59, 8, FALSE), perc_85, perc_75 + (perc_90 - perc_75) * (2/3), converted_stat, '2K_Ratings'!M824, IF(bbgm_stat &gt;= perc_95, converted_stat * 3, IF(bbgm_stat &gt;= perc_90, converted_stat * 2, IF(bbgm_stat &gt;= perc_85, converted_stat * 1.5, converted_stat)))))</f>
        <v/>
      </c>
      <c r="N824" s="30" t="str">
        <f t="array" ref="N824">IF($A824="", "", LET(bbgm_stat, INDEX(Players!$A823:$P823, MATCH(N$2, Players!$A$1:$P$1, 0)), perc_75, VLOOKUP(N$2, Percentiles!$A$45:$I$59, 6, FALSE), perc_90, VLOOKUP(N$2, Percentiles!$A$45:$I$59, 7, FALSE), perc_95, VLOOKUP(N$2, Percentiles!$A$45:$I$59, 8, FALSE), perc_85, perc_75 + (perc_90 - perc_75) * (2/3), converted_stat, '2K_Ratings'!N824, IF(bbgm_stat &gt;= perc_95, converted_stat * 3, IF(bbgm_stat &gt;= perc_90, converted_stat * 2, IF(bbgm_stat &gt;= perc_85, converted_stat * 1.5, converted_stat)))))</f>
        <v/>
      </c>
      <c r="O824" s="30" t="str">
        <f t="array" ref="O824">IF($A824="", "", LET(bbgm_stat, INDEX(Players!$A823:$P823, MATCH(O$2, Players!$A$1:$P$1, 0)), perc_75, VLOOKUP(O$2, Percentiles!$A$45:$I$59, 6, FALSE), perc_90, VLOOKUP(O$2, Percentiles!$A$45:$I$59, 7, FALSE), perc_95, VLOOKUP(O$2, Percentiles!$A$45:$I$59, 8, FALSE), perc_85, perc_75 + (perc_90 - perc_75) * (2/3), converted_stat, '2K_Ratings'!O824, IF(bbgm_stat &gt;= perc_95, converted_stat * 3, IF(bbgm_stat &gt;= perc_90, converted_stat * 2, IF(bbgm_stat &gt;= perc_85, converted_stat * 1.5, converted_stat)))))</f>
        <v/>
      </c>
      <c r="P824" s="30" t="str">
        <f t="array" ref="P824">IF($A824="", "", LET(bbgm_stat, INDEX(Players!$A823:$P823, MATCH(P$2, Players!$A$1:$P$1, 0)), perc_75, VLOOKUP(P$2, Percentiles!$A$45:$I$59, 6, FALSE), perc_90, VLOOKUP(P$2, Percentiles!$A$45:$I$59, 7, FALSE), perc_95, VLOOKUP(P$2, Percentiles!$A$45:$I$59, 8, FALSE), perc_85, perc_75 + (perc_90 - perc_75) * (2/3), converted_stat, '2K_Ratings'!P824, IF(bbgm_stat &gt;= perc_95, converted_stat * 3, IF(bbgm_stat &gt;= perc_90, converted_stat * 2, IF(bbgm_stat &gt;= perc_85, converted_stat * 1.5, converted_stat)))))</f>
        <v/>
      </c>
      <c r="Q824" s="30" t="str">
        <f t="array" ref="Q824">IF($A824="", "", LET(bbgm_stat, INDEX(Players!$A823:$P823, MATCH(Q$2, Players!$A$1:$P$1, 0)), perc_75, VLOOKUP(Q$2, Percentiles!$A$45:$I$59, 6, FALSE), perc_90, VLOOKUP(Q$2, Percentiles!$A$45:$I$59, 7, FALSE), perc_95, VLOOKUP(Q$2, Percentiles!$A$45:$I$59, 8, FALSE), perc_85, perc_75 + (perc_90 - perc_75) * (2/3), converted_stat, '2K_Ratings'!Q824, IF(bbgm_stat &gt;= perc_95, converted_stat * 3, IF(bbgm_stat &gt;= perc_90, converted_stat * 2, IF(bbgm_stat &gt;= perc_85, converted_stat * 1.5, converted_stat)))))</f>
        <v/>
      </c>
      <c r="R824" s="30" t="str">
        <f t="array" ref="R824">IF($A824="", "", LET(bbgm_stat, INDEX(Players!$A823:$P823, MATCH(R$2, Players!$A$1:$P$1, 0)), perc_75, VLOOKUP(R$2, Percentiles!$A$45:$I$59, 6, FALSE), perc_90, VLOOKUP(R$2, Percentiles!$A$45:$I$59, 7, FALSE), perc_95, VLOOKUP(R$2, Percentiles!$A$45:$I$59, 8, FALSE), perc_85, perc_75 + (perc_90 - perc_75) * (2/3), converted_stat, '2K_Ratings'!R824, IF(bbgm_stat &gt;= perc_95, converted_stat * 3, IF(bbgm_stat &gt;= perc_90, converted_stat * 2, IF(bbgm_stat &gt;= perc_85, converted_stat * 1.5, converted_stat)))))</f>
        <v/>
      </c>
      <c r="S824" s="30" t="str">
        <f t="array" ref="S824">IF($A824="", "", LET(bbgm_stat, INDEX(Players!$A823:$P823, MATCH(S$2, Players!$A$1:$P$1, 0)), perc_75, VLOOKUP(S$2, Percentiles!$A$45:$I$59, 6, FALSE), perc_90, VLOOKUP(S$2, Percentiles!$A$45:$I$59, 7, FALSE), perc_95, VLOOKUP(S$2, Percentiles!$A$45:$I$59, 8, FALSE), perc_85, perc_75 + (perc_90 - perc_75) * (2/3), converted_stat, '2K_Ratings'!S824, IF(bbgm_stat &gt;= perc_95, converted_stat * 3, IF(bbgm_stat &gt;= perc_90, converted_stat * 2, IF(bbgm_stat &gt;= perc_85, converted_stat * 1.5, converted_stat)))))</f>
        <v/>
      </c>
      <c r="T824" s="30" t="str">
        <f t="array" ref="T824">IF($A824="", "", LET(bbgm_stat, INDEX(Players!$A823:$P823, MATCH(T$2, Players!$A$1:$P$1, 0)), perc_75, VLOOKUP(T$2, Percentiles!$A$45:$I$59, 6, FALSE), perc_90, VLOOKUP(T$2, Percentiles!$A$45:$I$59, 7, FALSE), perc_95, VLOOKUP(T$2, Percentiles!$A$45:$I$59, 8, FALSE), perc_85, perc_75 + (perc_90 - perc_75) * (2/3), converted_stat, '2K_Ratings'!T824, IF(bbgm_stat &gt;= perc_95, converted_stat * 3, IF(bbgm_stat &gt;= perc_90, converted_stat * 2, IF(bbgm_stat &gt;= perc_85, converted_stat * 1.5, converted_stat)))))</f>
        <v/>
      </c>
      <c r="U824" s="30" t="str">
        <f t="array" ref="U824">IF($A824="", "", LET(bbgm_stat, INDEX(Players!$A823:$P823, MATCH(U$2, Players!$A$1:$P$1, 0)), perc_75, VLOOKUP(U$2, Percentiles!$A$45:$I$59, 6, FALSE), perc_90, VLOOKUP(U$2, Percentiles!$A$45:$I$59, 7, FALSE), perc_95, VLOOKUP(U$2, Percentiles!$A$45:$I$59, 8, FALSE), perc_85, perc_75 + (perc_90 - perc_75) * (2/3), converted_stat, '2K_Ratings'!U824, IF(bbgm_stat &gt;= perc_95, converted_stat * 3, IF(bbgm_stat &gt;= perc_90, converted_stat * 2, IF(bbgm_stat &gt;= perc_85, converted_stat * 1.5, converted_stat)))))</f>
        <v/>
      </c>
      <c r="V824" s="30" t="str">
        <f t="array" ref="V824">IF($A824="", "", LET(bbgm_stat, INDEX(Players!$A823:$P823, MATCH(V$2, Players!$A$1:$P$1, 0)), perc_75, VLOOKUP(V$2, Percentiles!$A$45:$I$59, 6, FALSE), perc_90, VLOOKUP(V$2, Percentiles!$A$45:$I$59, 7, FALSE), perc_95, VLOOKUP(V$2, Percentiles!$A$45:$I$59, 8, FALSE), perc_85, perc_75 + (perc_90 - perc_75) * (2/3), converted_stat, '2K_Ratings'!V824, IF(bbgm_stat &gt;= perc_95, converted_stat * 3, IF(bbgm_stat &gt;= perc_90, converted_stat * 2, IF(bbgm_stat &gt;= perc_85, converted_stat * 1.5, converted_stat)))))</f>
        <v/>
      </c>
      <c r="W824" s="30" t="str">
        <f t="array" ref="W824">IF($A824="", "", LET(bbgm_stat, INDEX(Players!$A823:$P823, MATCH(W$2, Players!$A$1:$P$1, 0)), perc_75, VLOOKUP(W$2, Percentiles!$A$45:$I$59, 6, FALSE), perc_90, VLOOKUP(W$2, Percentiles!$A$45:$I$59, 7, FALSE), perc_95, VLOOKUP(W$2, Percentiles!$A$45:$I$59, 8, FALSE), perc_85, perc_75 + (perc_90 - perc_75) * (2/3), converted_stat, '2K_Ratings'!W824, IF(bbgm_stat &gt;= perc_95, converted_stat * 3, IF(bbgm_stat &gt;= perc_90, converted_stat * 2, IF(bbgm_stat &gt;= perc_85, converted_stat * 1.5, converted_stat)))))</f>
        <v/>
      </c>
    </row>
    <row r="825">
      <c r="A825" s="30"/>
      <c r="B825" s="30" t="str">
        <f t="array" ref="B825">IF($A825="", "", LET(bbgm_stat, INDEX(Players!$A824:$P824, MATCH(B$2, Players!$A$1:$P$1, 0)), perc_75, VLOOKUP(B$2, Percentiles!$A$45:$I$59, 6, FALSE), perc_90, VLOOKUP(B$2, Percentiles!$A$45:$I$59, 7, FALSE), perc_95, VLOOKUP(B$2, Percentiles!$A$45:$I$59, 8, FALSE), perc_85, perc_75 + (perc_90 - perc_75) * (2/3), converted_stat, '2K_Ratings'!B825, IF(bbgm_stat &gt;= perc_95, converted_stat * 3, IF(bbgm_stat &gt;= perc_90, converted_stat * 2, IF(bbgm_stat &gt;= perc_85, converted_stat * 1.5, converted_stat)))))</f>
        <v/>
      </c>
      <c r="C825" s="30" t="str">
        <f t="array" ref="C825">IF($A825="", "", LET(bbgm_stat, INDEX(Players!$A824:$P824, MATCH(C$2, Players!$A$1:$P$1, 0)), perc_75, VLOOKUP(C$2, Percentiles!$A$45:$I$59, 6, FALSE), perc_90, VLOOKUP(C$2, Percentiles!$A$45:$I$59, 7, FALSE), perc_95, VLOOKUP(C$2, Percentiles!$A$45:$I$59, 8, FALSE), perc_85, perc_75 + (perc_90 - perc_75) * (2/3), converted_stat, '2K_Ratings'!C825, IF(bbgm_stat &gt;= perc_95, converted_stat * 3, IF(bbgm_stat &gt;= perc_90, converted_stat * 2, IF(bbgm_stat &gt;= perc_85, converted_stat * 1.5, converted_stat)))))</f>
        <v/>
      </c>
      <c r="D825" s="30" t="str">
        <f t="array" ref="D825">IF($A825="", "", LET(bbgm_stat, INDEX(Players!$A824:$P824, MATCH(D$2, Players!$A$1:$P$1, 0)), perc_75, VLOOKUP(D$2, Percentiles!$A$45:$I$59, 6, FALSE), perc_90, VLOOKUP(D$2, Percentiles!$A$45:$I$59, 7, FALSE), perc_95, VLOOKUP(D$2, Percentiles!$A$45:$I$59, 8, FALSE), perc_85, perc_75 + (perc_90 - perc_75) * (2/3), converted_stat, '2K_Ratings'!D825, IF(bbgm_stat &gt;= perc_95, converted_stat * 3, IF(bbgm_stat &gt;= perc_90, converted_stat * 2, IF(bbgm_stat &gt;= perc_85, converted_stat * 1.5, converted_stat)))))</f>
        <v/>
      </c>
      <c r="E825" s="30" t="str">
        <f t="array" ref="E825">IF($A825="", "", LET(bbgm_stat, INDEX(Players!$A824:$P824, MATCH(E$2, Players!$A$1:$P$1, 0)), perc_75, VLOOKUP(E$2, Percentiles!$A$45:$I$59, 6, FALSE), perc_90, VLOOKUP(E$2, Percentiles!$A$45:$I$59, 7, FALSE), perc_95, VLOOKUP(E$2, Percentiles!$A$45:$I$59, 8, FALSE), perc_85, perc_75 + (perc_90 - perc_75) * (2/3), converted_stat, '2K_Ratings'!E825, IF(bbgm_stat &gt;= perc_95, converted_stat * 3, IF(bbgm_stat &gt;= perc_90, converted_stat * 2, IF(bbgm_stat &gt;= perc_85, converted_stat * 1.5, converted_stat)))))</f>
        <v/>
      </c>
      <c r="F825" s="30" t="str">
        <f t="array" ref="F825">IF($A825="", "", LET(bbgm_stat, INDEX(Players!$A824:$P824, MATCH(F$2, Players!$A$1:$P$1, 0)), perc_75, VLOOKUP(F$2, Percentiles!$A$45:$I$59, 6, FALSE), perc_90, VLOOKUP(F$2, Percentiles!$A$45:$I$59, 7, FALSE), perc_95, VLOOKUP(F$2, Percentiles!$A$45:$I$59, 8, FALSE), perc_85, perc_75 + (perc_90 - perc_75) * (2/3), converted_stat, '2K_Ratings'!F825, IF(bbgm_stat &gt;= perc_95, converted_stat * 3, IF(bbgm_stat &gt;= perc_90, converted_stat * 2, IF(bbgm_stat &gt;= perc_85, converted_stat * 1.5, converted_stat)))))</f>
        <v/>
      </c>
      <c r="G825" s="30" t="str">
        <f t="array" ref="G825">IF($A825="", "", LET(bbgm_stat, INDEX(Players!$A824:$P824, MATCH(G$2, Players!$A$1:$P$1, 0)), perc_75, VLOOKUP(G$2, Percentiles!$A$45:$I$59, 6, FALSE), perc_90, VLOOKUP(G$2, Percentiles!$A$45:$I$59, 7, FALSE), perc_95, VLOOKUP(G$2, Percentiles!$A$45:$I$59, 8, FALSE), perc_85, perc_75 + (perc_90 - perc_75) * (2/3), converted_stat, '2K_Ratings'!G825, IF(bbgm_stat &gt;= perc_95, converted_stat * 3, IF(bbgm_stat &gt;= perc_90, converted_stat * 2, IF(bbgm_stat &gt;= perc_85, converted_stat * 1.5, converted_stat)))))</f>
        <v/>
      </c>
      <c r="H825" s="30" t="str">
        <f t="array" ref="H825">IF($A825="", "", LET(bbgm_stat, INDEX(Players!$A824:$P824, MATCH(H$2, Players!$A$1:$P$1, 0)), perc_75, VLOOKUP(H$2, Percentiles!$A$45:$I$59, 6, FALSE), perc_90, VLOOKUP(H$2, Percentiles!$A$45:$I$59, 7, FALSE), perc_95, VLOOKUP(H$2, Percentiles!$A$45:$I$59, 8, FALSE), perc_85, perc_75 + (perc_90 - perc_75) * (2/3), converted_stat, '2K_Ratings'!H825, IF(bbgm_stat &gt;= perc_95, converted_stat * 3, IF(bbgm_stat &gt;= perc_90, converted_stat * 2, IF(bbgm_stat &gt;= perc_85, converted_stat * 1.5, converted_stat)))))</f>
        <v/>
      </c>
      <c r="I825" s="30" t="str">
        <f t="array" ref="I825">IF($A825="", "", LET(bbgm_stat, INDEX(Players!$A824:$P824, MATCH(I$2, Players!$A$1:$P$1, 0)), perc_75, VLOOKUP(I$2, Percentiles!$A$45:$I$59, 6, FALSE), perc_90, VLOOKUP(I$2, Percentiles!$A$45:$I$59, 7, FALSE), perc_95, VLOOKUP(I$2, Percentiles!$A$45:$I$59, 8, FALSE), perc_85, perc_75 + (perc_90 - perc_75) * (2/3), converted_stat, '2K_Ratings'!I825, IF(bbgm_stat &gt;= perc_95, converted_stat * 3, IF(bbgm_stat &gt;= perc_90, converted_stat * 2, IF(bbgm_stat &gt;= perc_85, converted_stat * 1.5, converted_stat)))))</f>
        <v/>
      </c>
      <c r="J825" s="30" t="str">
        <f t="array" ref="J825">IF($A825="", "", LET(bbgm_stat, INDEX(Players!$A824:$P824, MATCH(J$2, Players!$A$1:$P$1, 0)), perc_75, VLOOKUP(J$2, Percentiles!$A$45:$I$59, 6, FALSE), perc_90, VLOOKUP(J$2, Percentiles!$A$45:$I$59, 7, FALSE), perc_95, VLOOKUP(J$2, Percentiles!$A$45:$I$59, 8, FALSE), perc_85, perc_75 + (perc_90 - perc_75) * (2/3), converted_stat, '2K_Ratings'!J825, IF(bbgm_stat &gt;= perc_95, converted_stat * 3, IF(bbgm_stat &gt;= perc_90, converted_stat * 2, IF(bbgm_stat &gt;= perc_85, converted_stat * 1.5, converted_stat)))))</f>
        <v/>
      </c>
      <c r="K825" s="30" t="str">
        <f t="array" ref="K825">IF($A825="", "", LET(bbgm_stat, INDEX(Players!$A824:$P824, MATCH(K$2, Players!$A$1:$P$1, 0)), perc_75, VLOOKUP(K$2, Percentiles!$A$45:$I$59, 6, FALSE), perc_90, VLOOKUP(K$2, Percentiles!$A$45:$I$59, 7, FALSE), perc_95, VLOOKUP(K$2, Percentiles!$A$45:$I$59, 8, FALSE), perc_85, perc_75 + (perc_90 - perc_75) * (2/3), converted_stat, '2K_Ratings'!K825, IF(bbgm_stat &gt;= perc_95, converted_stat * 3, IF(bbgm_stat &gt;= perc_90, converted_stat * 2, IF(bbgm_stat &gt;= perc_85, converted_stat * 1.5, converted_stat)))))</f>
        <v/>
      </c>
      <c r="L825" s="30" t="str">
        <f t="array" ref="L825">IF($A825="", "", LET(bbgm_stat, INDEX(Players!$A824:$P824, MATCH(L$2, Players!$A$1:$P$1, 0)), perc_75, VLOOKUP(L$2, Percentiles!$A$45:$I$59, 6, FALSE), perc_90, VLOOKUP(L$2, Percentiles!$A$45:$I$59, 7, FALSE), perc_95, VLOOKUP(L$2, Percentiles!$A$45:$I$59, 8, FALSE), perc_85, perc_75 + (perc_90 - perc_75) * (2/3), converted_stat, '2K_Ratings'!L825, IF(bbgm_stat &gt;= perc_95, converted_stat * 3, IF(bbgm_stat &gt;= perc_90, converted_stat * 2, IF(bbgm_stat &gt;= perc_85, converted_stat * 1.5, converted_stat)))))</f>
        <v/>
      </c>
      <c r="M825" s="30" t="str">
        <f t="array" ref="M825">IF($A825="", "", LET(bbgm_stat, INDEX(Players!$A824:$P824, MATCH(M$2, Players!$A$1:$P$1, 0)), perc_75, VLOOKUP(M$2, Percentiles!$A$45:$I$59, 6, FALSE), perc_90, VLOOKUP(M$2, Percentiles!$A$45:$I$59, 7, FALSE), perc_95, VLOOKUP(M$2, Percentiles!$A$45:$I$59, 8, FALSE), perc_85, perc_75 + (perc_90 - perc_75) * (2/3), converted_stat, '2K_Ratings'!M825, IF(bbgm_stat &gt;= perc_95, converted_stat * 3, IF(bbgm_stat &gt;= perc_90, converted_stat * 2, IF(bbgm_stat &gt;= perc_85, converted_stat * 1.5, converted_stat)))))</f>
        <v/>
      </c>
      <c r="N825" s="30" t="str">
        <f t="array" ref="N825">IF($A825="", "", LET(bbgm_stat, INDEX(Players!$A824:$P824, MATCH(N$2, Players!$A$1:$P$1, 0)), perc_75, VLOOKUP(N$2, Percentiles!$A$45:$I$59, 6, FALSE), perc_90, VLOOKUP(N$2, Percentiles!$A$45:$I$59, 7, FALSE), perc_95, VLOOKUP(N$2, Percentiles!$A$45:$I$59, 8, FALSE), perc_85, perc_75 + (perc_90 - perc_75) * (2/3), converted_stat, '2K_Ratings'!N825, IF(bbgm_stat &gt;= perc_95, converted_stat * 3, IF(bbgm_stat &gt;= perc_90, converted_stat * 2, IF(bbgm_stat &gt;= perc_85, converted_stat * 1.5, converted_stat)))))</f>
        <v/>
      </c>
      <c r="O825" s="30" t="str">
        <f t="array" ref="O825">IF($A825="", "", LET(bbgm_stat, INDEX(Players!$A824:$P824, MATCH(O$2, Players!$A$1:$P$1, 0)), perc_75, VLOOKUP(O$2, Percentiles!$A$45:$I$59, 6, FALSE), perc_90, VLOOKUP(O$2, Percentiles!$A$45:$I$59, 7, FALSE), perc_95, VLOOKUP(O$2, Percentiles!$A$45:$I$59, 8, FALSE), perc_85, perc_75 + (perc_90 - perc_75) * (2/3), converted_stat, '2K_Ratings'!O825, IF(bbgm_stat &gt;= perc_95, converted_stat * 3, IF(bbgm_stat &gt;= perc_90, converted_stat * 2, IF(bbgm_stat &gt;= perc_85, converted_stat * 1.5, converted_stat)))))</f>
        <v/>
      </c>
      <c r="P825" s="30" t="str">
        <f t="array" ref="P825">IF($A825="", "", LET(bbgm_stat, INDEX(Players!$A824:$P824, MATCH(P$2, Players!$A$1:$P$1, 0)), perc_75, VLOOKUP(P$2, Percentiles!$A$45:$I$59, 6, FALSE), perc_90, VLOOKUP(P$2, Percentiles!$A$45:$I$59, 7, FALSE), perc_95, VLOOKUP(P$2, Percentiles!$A$45:$I$59, 8, FALSE), perc_85, perc_75 + (perc_90 - perc_75) * (2/3), converted_stat, '2K_Ratings'!P825, IF(bbgm_stat &gt;= perc_95, converted_stat * 3, IF(bbgm_stat &gt;= perc_90, converted_stat * 2, IF(bbgm_stat &gt;= perc_85, converted_stat * 1.5, converted_stat)))))</f>
        <v/>
      </c>
      <c r="Q825" s="30" t="str">
        <f t="array" ref="Q825">IF($A825="", "", LET(bbgm_stat, INDEX(Players!$A824:$P824, MATCH(Q$2, Players!$A$1:$P$1, 0)), perc_75, VLOOKUP(Q$2, Percentiles!$A$45:$I$59, 6, FALSE), perc_90, VLOOKUP(Q$2, Percentiles!$A$45:$I$59, 7, FALSE), perc_95, VLOOKUP(Q$2, Percentiles!$A$45:$I$59, 8, FALSE), perc_85, perc_75 + (perc_90 - perc_75) * (2/3), converted_stat, '2K_Ratings'!Q825, IF(bbgm_stat &gt;= perc_95, converted_stat * 3, IF(bbgm_stat &gt;= perc_90, converted_stat * 2, IF(bbgm_stat &gt;= perc_85, converted_stat * 1.5, converted_stat)))))</f>
        <v/>
      </c>
      <c r="R825" s="30" t="str">
        <f t="array" ref="R825">IF($A825="", "", LET(bbgm_stat, INDEX(Players!$A824:$P824, MATCH(R$2, Players!$A$1:$P$1, 0)), perc_75, VLOOKUP(R$2, Percentiles!$A$45:$I$59, 6, FALSE), perc_90, VLOOKUP(R$2, Percentiles!$A$45:$I$59, 7, FALSE), perc_95, VLOOKUP(R$2, Percentiles!$A$45:$I$59, 8, FALSE), perc_85, perc_75 + (perc_90 - perc_75) * (2/3), converted_stat, '2K_Ratings'!R825, IF(bbgm_stat &gt;= perc_95, converted_stat * 3, IF(bbgm_stat &gt;= perc_90, converted_stat * 2, IF(bbgm_stat &gt;= perc_85, converted_stat * 1.5, converted_stat)))))</f>
        <v/>
      </c>
      <c r="S825" s="30" t="str">
        <f t="array" ref="S825">IF($A825="", "", LET(bbgm_stat, INDEX(Players!$A824:$P824, MATCH(S$2, Players!$A$1:$P$1, 0)), perc_75, VLOOKUP(S$2, Percentiles!$A$45:$I$59, 6, FALSE), perc_90, VLOOKUP(S$2, Percentiles!$A$45:$I$59, 7, FALSE), perc_95, VLOOKUP(S$2, Percentiles!$A$45:$I$59, 8, FALSE), perc_85, perc_75 + (perc_90 - perc_75) * (2/3), converted_stat, '2K_Ratings'!S825, IF(bbgm_stat &gt;= perc_95, converted_stat * 3, IF(bbgm_stat &gt;= perc_90, converted_stat * 2, IF(bbgm_stat &gt;= perc_85, converted_stat * 1.5, converted_stat)))))</f>
        <v/>
      </c>
      <c r="T825" s="30" t="str">
        <f t="array" ref="T825">IF($A825="", "", LET(bbgm_stat, INDEX(Players!$A824:$P824, MATCH(T$2, Players!$A$1:$P$1, 0)), perc_75, VLOOKUP(T$2, Percentiles!$A$45:$I$59, 6, FALSE), perc_90, VLOOKUP(T$2, Percentiles!$A$45:$I$59, 7, FALSE), perc_95, VLOOKUP(T$2, Percentiles!$A$45:$I$59, 8, FALSE), perc_85, perc_75 + (perc_90 - perc_75) * (2/3), converted_stat, '2K_Ratings'!T825, IF(bbgm_stat &gt;= perc_95, converted_stat * 3, IF(bbgm_stat &gt;= perc_90, converted_stat * 2, IF(bbgm_stat &gt;= perc_85, converted_stat * 1.5, converted_stat)))))</f>
        <v/>
      </c>
      <c r="U825" s="30" t="str">
        <f t="array" ref="U825">IF($A825="", "", LET(bbgm_stat, INDEX(Players!$A824:$P824, MATCH(U$2, Players!$A$1:$P$1, 0)), perc_75, VLOOKUP(U$2, Percentiles!$A$45:$I$59, 6, FALSE), perc_90, VLOOKUP(U$2, Percentiles!$A$45:$I$59, 7, FALSE), perc_95, VLOOKUP(U$2, Percentiles!$A$45:$I$59, 8, FALSE), perc_85, perc_75 + (perc_90 - perc_75) * (2/3), converted_stat, '2K_Ratings'!U825, IF(bbgm_stat &gt;= perc_95, converted_stat * 3, IF(bbgm_stat &gt;= perc_90, converted_stat * 2, IF(bbgm_stat &gt;= perc_85, converted_stat * 1.5, converted_stat)))))</f>
        <v/>
      </c>
      <c r="V825" s="30" t="str">
        <f t="array" ref="V825">IF($A825="", "", LET(bbgm_stat, INDEX(Players!$A824:$P824, MATCH(V$2, Players!$A$1:$P$1, 0)), perc_75, VLOOKUP(V$2, Percentiles!$A$45:$I$59, 6, FALSE), perc_90, VLOOKUP(V$2, Percentiles!$A$45:$I$59, 7, FALSE), perc_95, VLOOKUP(V$2, Percentiles!$A$45:$I$59, 8, FALSE), perc_85, perc_75 + (perc_90 - perc_75) * (2/3), converted_stat, '2K_Ratings'!V825, IF(bbgm_stat &gt;= perc_95, converted_stat * 3, IF(bbgm_stat &gt;= perc_90, converted_stat * 2, IF(bbgm_stat &gt;= perc_85, converted_stat * 1.5, converted_stat)))))</f>
        <v/>
      </c>
      <c r="W825" s="30" t="str">
        <f t="array" ref="W825">IF($A825="", "", LET(bbgm_stat, INDEX(Players!$A824:$P824, MATCH(W$2, Players!$A$1:$P$1, 0)), perc_75, VLOOKUP(W$2, Percentiles!$A$45:$I$59, 6, FALSE), perc_90, VLOOKUP(W$2, Percentiles!$A$45:$I$59, 7, FALSE), perc_95, VLOOKUP(W$2, Percentiles!$A$45:$I$59, 8, FALSE), perc_85, perc_75 + (perc_90 - perc_75) * (2/3), converted_stat, '2K_Ratings'!W825, IF(bbgm_stat &gt;= perc_95, converted_stat * 3, IF(bbgm_stat &gt;= perc_90, converted_stat * 2, IF(bbgm_stat &gt;= perc_85, converted_stat * 1.5, converted_stat)))))</f>
        <v/>
      </c>
    </row>
    <row r="826">
      <c r="A826" s="30"/>
      <c r="B826" s="30" t="str">
        <f t="array" ref="B826">IF($A826="", "", LET(bbgm_stat, INDEX(Players!$A825:$P825, MATCH(B$2, Players!$A$1:$P$1, 0)), perc_75, VLOOKUP(B$2, Percentiles!$A$45:$I$59, 6, FALSE), perc_90, VLOOKUP(B$2, Percentiles!$A$45:$I$59, 7, FALSE), perc_95, VLOOKUP(B$2, Percentiles!$A$45:$I$59, 8, FALSE), perc_85, perc_75 + (perc_90 - perc_75) * (2/3), converted_stat, '2K_Ratings'!B826, IF(bbgm_stat &gt;= perc_95, converted_stat * 3, IF(bbgm_stat &gt;= perc_90, converted_stat * 2, IF(bbgm_stat &gt;= perc_85, converted_stat * 1.5, converted_stat)))))</f>
        <v/>
      </c>
      <c r="C826" s="30" t="str">
        <f t="array" ref="C826">IF($A826="", "", LET(bbgm_stat, INDEX(Players!$A825:$P825, MATCH(C$2, Players!$A$1:$P$1, 0)), perc_75, VLOOKUP(C$2, Percentiles!$A$45:$I$59, 6, FALSE), perc_90, VLOOKUP(C$2, Percentiles!$A$45:$I$59, 7, FALSE), perc_95, VLOOKUP(C$2, Percentiles!$A$45:$I$59, 8, FALSE), perc_85, perc_75 + (perc_90 - perc_75) * (2/3), converted_stat, '2K_Ratings'!C826, IF(bbgm_stat &gt;= perc_95, converted_stat * 3, IF(bbgm_stat &gt;= perc_90, converted_stat * 2, IF(bbgm_stat &gt;= perc_85, converted_stat * 1.5, converted_stat)))))</f>
        <v/>
      </c>
      <c r="D826" s="30" t="str">
        <f t="array" ref="D826">IF($A826="", "", LET(bbgm_stat, INDEX(Players!$A825:$P825, MATCH(D$2, Players!$A$1:$P$1, 0)), perc_75, VLOOKUP(D$2, Percentiles!$A$45:$I$59, 6, FALSE), perc_90, VLOOKUP(D$2, Percentiles!$A$45:$I$59, 7, FALSE), perc_95, VLOOKUP(D$2, Percentiles!$A$45:$I$59, 8, FALSE), perc_85, perc_75 + (perc_90 - perc_75) * (2/3), converted_stat, '2K_Ratings'!D826, IF(bbgm_stat &gt;= perc_95, converted_stat * 3, IF(bbgm_stat &gt;= perc_90, converted_stat * 2, IF(bbgm_stat &gt;= perc_85, converted_stat * 1.5, converted_stat)))))</f>
        <v/>
      </c>
      <c r="E826" s="30" t="str">
        <f t="array" ref="E826">IF($A826="", "", LET(bbgm_stat, INDEX(Players!$A825:$P825, MATCH(E$2, Players!$A$1:$P$1, 0)), perc_75, VLOOKUP(E$2, Percentiles!$A$45:$I$59, 6, FALSE), perc_90, VLOOKUP(E$2, Percentiles!$A$45:$I$59, 7, FALSE), perc_95, VLOOKUP(E$2, Percentiles!$A$45:$I$59, 8, FALSE), perc_85, perc_75 + (perc_90 - perc_75) * (2/3), converted_stat, '2K_Ratings'!E826, IF(bbgm_stat &gt;= perc_95, converted_stat * 3, IF(bbgm_stat &gt;= perc_90, converted_stat * 2, IF(bbgm_stat &gt;= perc_85, converted_stat * 1.5, converted_stat)))))</f>
        <v/>
      </c>
      <c r="F826" s="30" t="str">
        <f t="array" ref="F826">IF($A826="", "", LET(bbgm_stat, INDEX(Players!$A825:$P825, MATCH(F$2, Players!$A$1:$P$1, 0)), perc_75, VLOOKUP(F$2, Percentiles!$A$45:$I$59, 6, FALSE), perc_90, VLOOKUP(F$2, Percentiles!$A$45:$I$59, 7, FALSE), perc_95, VLOOKUP(F$2, Percentiles!$A$45:$I$59, 8, FALSE), perc_85, perc_75 + (perc_90 - perc_75) * (2/3), converted_stat, '2K_Ratings'!F826, IF(bbgm_stat &gt;= perc_95, converted_stat * 3, IF(bbgm_stat &gt;= perc_90, converted_stat * 2, IF(bbgm_stat &gt;= perc_85, converted_stat * 1.5, converted_stat)))))</f>
        <v/>
      </c>
      <c r="G826" s="30" t="str">
        <f t="array" ref="G826">IF($A826="", "", LET(bbgm_stat, INDEX(Players!$A825:$P825, MATCH(G$2, Players!$A$1:$P$1, 0)), perc_75, VLOOKUP(G$2, Percentiles!$A$45:$I$59, 6, FALSE), perc_90, VLOOKUP(G$2, Percentiles!$A$45:$I$59, 7, FALSE), perc_95, VLOOKUP(G$2, Percentiles!$A$45:$I$59, 8, FALSE), perc_85, perc_75 + (perc_90 - perc_75) * (2/3), converted_stat, '2K_Ratings'!G826, IF(bbgm_stat &gt;= perc_95, converted_stat * 3, IF(bbgm_stat &gt;= perc_90, converted_stat * 2, IF(bbgm_stat &gt;= perc_85, converted_stat * 1.5, converted_stat)))))</f>
        <v/>
      </c>
      <c r="H826" s="30" t="str">
        <f t="array" ref="H826">IF($A826="", "", LET(bbgm_stat, INDEX(Players!$A825:$P825, MATCH(H$2, Players!$A$1:$P$1, 0)), perc_75, VLOOKUP(H$2, Percentiles!$A$45:$I$59, 6, FALSE), perc_90, VLOOKUP(H$2, Percentiles!$A$45:$I$59, 7, FALSE), perc_95, VLOOKUP(H$2, Percentiles!$A$45:$I$59, 8, FALSE), perc_85, perc_75 + (perc_90 - perc_75) * (2/3), converted_stat, '2K_Ratings'!H826, IF(bbgm_stat &gt;= perc_95, converted_stat * 3, IF(bbgm_stat &gt;= perc_90, converted_stat * 2, IF(bbgm_stat &gt;= perc_85, converted_stat * 1.5, converted_stat)))))</f>
        <v/>
      </c>
      <c r="I826" s="30" t="str">
        <f t="array" ref="I826">IF($A826="", "", LET(bbgm_stat, INDEX(Players!$A825:$P825, MATCH(I$2, Players!$A$1:$P$1, 0)), perc_75, VLOOKUP(I$2, Percentiles!$A$45:$I$59, 6, FALSE), perc_90, VLOOKUP(I$2, Percentiles!$A$45:$I$59, 7, FALSE), perc_95, VLOOKUP(I$2, Percentiles!$A$45:$I$59, 8, FALSE), perc_85, perc_75 + (perc_90 - perc_75) * (2/3), converted_stat, '2K_Ratings'!I826, IF(bbgm_stat &gt;= perc_95, converted_stat * 3, IF(bbgm_stat &gt;= perc_90, converted_stat * 2, IF(bbgm_stat &gt;= perc_85, converted_stat * 1.5, converted_stat)))))</f>
        <v/>
      </c>
      <c r="J826" s="30" t="str">
        <f t="array" ref="J826">IF($A826="", "", LET(bbgm_stat, INDEX(Players!$A825:$P825, MATCH(J$2, Players!$A$1:$P$1, 0)), perc_75, VLOOKUP(J$2, Percentiles!$A$45:$I$59, 6, FALSE), perc_90, VLOOKUP(J$2, Percentiles!$A$45:$I$59, 7, FALSE), perc_95, VLOOKUP(J$2, Percentiles!$A$45:$I$59, 8, FALSE), perc_85, perc_75 + (perc_90 - perc_75) * (2/3), converted_stat, '2K_Ratings'!J826, IF(bbgm_stat &gt;= perc_95, converted_stat * 3, IF(bbgm_stat &gt;= perc_90, converted_stat * 2, IF(bbgm_stat &gt;= perc_85, converted_stat * 1.5, converted_stat)))))</f>
        <v/>
      </c>
      <c r="K826" s="30" t="str">
        <f t="array" ref="K826">IF($A826="", "", LET(bbgm_stat, INDEX(Players!$A825:$P825, MATCH(K$2, Players!$A$1:$P$1, 0)), perc_75, VLOOKUP(K$2, Percentiles!$A$45:$I$59, 6, FALSE), perc_90, VLOOKUP(K$2, Percentiles!$A$45:$I$59, 7, FALSE), perc_95, VLOOKUP(K$2, Percentiles!$A$45:$I$59, 8, FALSE), perc_85, perc_75 + (perc_90 - perc_75) * (2/3), converted_stat, '2K_Ratings'!K826, IF(bbgm_stat &gt;= perc_95, converted_stat * 3, IF(bbgm_stat &gt;= perc_90, converted_stat * 2, IF(bbgm_stat &gt;= perc_85, converted_stat * 1.5, converted_stat)))))</f>
        <v/>
      </c>
      <c r="L826" s="30" t="str">
        <f t="array" ref="L826">IF($A826="", "", LET(bbgm_stat, INDEX(Players!$A825:$P825, MATCH(L$2, Players!$A$1:$P$1, 0)), perc_75, VLOOKUP(L$2, Percentiles!$A$45:$I$59, 6, FALSE), perc_90, VLOOKUP(L$2, Percentiles!$A$45:$I$59, 7, FALSE), perc_95, VLOOKUP(L$2, Percentiles!$A$45:$I$59, 8, FALSE), perc_85, perc_75 + (perc_90 - perc_75) * (2/3), converted_stat, '2K_Ratings'!L826, IF(bbgm_stat &gt;= perc_95, converted_stat * 3, IF(bbgm_stat &gt;= perc_90, converted_stat * 2, IF(bbgm_stat &gt;= perc_85, converted_stat * 1.5, converted_stat)))))</f>
        <v/>
      </c>
      <c r="M826" s="30" t="str">
        <f t="array" ref="M826">IF($A826="", "", LET(bbgm_stat, INDEX(Players!$A825:$P825, MATCH(M$2, Players!$A$1:$P$1, 0)), perc_75, VLOOKUP(M$2, Percentiles!$A$45:$I$59, 6, FALSE), perc_90, VLOOKUP(M$2, Percentiles!$A$45:$I$59, 7, FALSE), perc_95, VLOOKUP(M$2, Percentiles!$A$45:$I$59, 8, FALSE), perc_85, perc_75 + (perc_90 - perc_75) * (2/3), converted_stat, '2K_Ratings'!M826, IF(bbgm_stat &gt;= perc_95, converted_stat * 3, IF(bbgm_stat &gt;= perc_90, converted_stat * 2, IF(bbgm_stat &gt;= perc_85, converted_stat * 1.5, converted_stat)))))</f>
        <v/>
      </c>
      <c r="N826" s="30" t="str">
        <f t="array" ref="N826">IF($A826="", "", LET(bbgm_stat, INDEX(Players!$A825:$P825, MATCH(N$2, Players!$A$1:$P$1, 0)), perc_75, VLOOKUP(N$2, Percentiles!$A$45:$I$59, 6, FALSE), perc_90, VLOOKUP(N$2, Percentiles!$A$45:$I$59, 7, FALSE), perc_95, VLOOKUP(N$2, Percentiles!$A$45:$I$59, 8, FALSE), perc_85, perc_75 + (perc_90 - perc_75) * (2/3), converted_stat, '2K_Ratings'!N826, IF(bbgm_stat &gt;= perc_95, converted_stat * 3, IF(bbgm_stat &gt;= perc_90, converted_stat * 2, IF(bbgm_stat &gt;= perc_85, converted_stat * 1.5, converted_stat)))))</f>
        <v/>
      </c>
      <c r="O826" s="30" t="str">
        <f t="array" ref="O826">IF($A826="", "", LET(bbgm_stat, INDEX(Players!$A825:$P825, MATCH(O$2, Players!$A$1:$P$1, 0)), perc_75, VLOOKUP(O$2, Percentiles!$A$45:$I$59, 6, FALSE), perc_90, VLOOKUP(O$2, Percentiles!$A$45:$I$59, 7, FALSE), perc_95, VLOOKUP(O$2, Percentiles!$A$45:$I$59, 8, FALSE), perc_85, perc_75 + (perc_90 - perc_75) * (2/3), converted_stat, '2K_Ratings'!O826, IF(bbgm_stat &gt;= perc_95, converted_stat * 3, IF(bbgm_stat &gt;= perc_90, converted_stat * 2, IF(bbgm_stat &gt;= perc_85, converted_stat * 1.5, converted_stat)))))</f>
        <v/>
      </c>
      <c r="P826" s="30" t="str">
        <f t="array" ref="P826">IF($A826="", "", LET(bbgm_stat, INDEX(Players!$A825:$P825, MATCH(P$2, Players!$A$1:$P$1, 0)), perc_75, VLOOKUP(P$2, Percentiles!$A$45:$I$59, 6, FALSE), perc_90, VLOOKUP(P$2, Percentiles!$A$45:$I$59, 7, FALSE), perc_95, VLOOKUP(P$2, Percentiles!$A$45:$I$59, 8, FALSE), perc_85, perc_75 + (perc_90 - perc_75) * (2/3), converted_stat, '2K_Ratings'!P826, IF(bbgm_stat &gt;= perc_95, converted_stat * 3, IF(bbgm_stat &gt;= perc_90, converted_stat * 2, IF(bbgm_stat &gt;= perc_85, converted_stat * 1.5, converted_stat)))))</f>
        <v/>
      </c>
      <c r="Q826" s="30" t="str">
        <f t="array" ref="Q826">IF($A826="", "", LET(bbgm_stat, INDEX(Players!$A825:$P825, MATCH(Q$2, Players!$A$1:$P$1, 0)), perc_75, VLOOKUP(Q$2, Percentiles!$A$45:$I$59, 6, FALSE), perc_90, VLOOKUP(Q$2, Percentiles!$A$45:$I$59, 7, FALSE), perc_95, VLOOKUP(Q$2, Percentiles!$A$45:$I$59, 8, FALSE), perc_85, perc_75 + (perc_90 - perc_75) * (2/3), converted_stat, '2K_Ratings'!Q826, IF(bbgm_stat &gt;= perc_95, converted_stat * 3, IF(bbgm_stat &gt;= perc_90, converted_stat * 2, IF(bbgm_stat &gt;= perc_85, converted_stat * 1.5, converted_stat)))))</f>
        <v/>
      </c>
      <c r="R826" s="30" t="str">
        <f t="array" ref="R826">IF($A826="", "", LET(bbgm_stat, INDEX(Players!$A825:$P825, MATCH(R$2, Players!$A$1:$P$1, 0)), perc_75, VLOOKUP(R$2, Percentiles!$A$45:$I$59, 6, FALSE), perc_90, VLOOKUP(R$2, Percentiles!$A$45:$I$59, 7, FALSE), perc_95, VLOOKUP(R$2, Percentiles!$A$45:$I$59, 8, FALSE), perc_85, perc_75 + (perc_90 - perc_75) * (2/3), converted_stat, '2K_Ratings'!R826, IF(bbgm_stat &gt;= perc_95, converted_stat * 3, IF(bbgm_stat &gt;= perc_90, converted_stat * 2, IF(bbgm_stat &gt;= perc_85, converted_stat * 1.5, converted_stat)))))</f>
        <v/>
      </c>
      <c r="S826" s="30" t="str">
        <f t="array" ref="S826">IF($A826="", "", LET(bbgm_stat, INDEX(Players!$A825:$P825, MATCH(S$2, Players!$A$1:$P$1, 0)), perc_75, VLOOKUP(S$2, Percentiles!$A$45:$I$59, 6, FALSE), perc_90, VLOOKUP(S$2, Percentiles!$A$45:$I$59, 7, FALSE), perc_95, VLOOKUP(S$2, Percentiles!$A$45:$I$59, 8, FALSE), perc_85, perc_75 + (perc_90 - perc_75) * (2/3), converted_stat, '2K_Ratings'!S826, IF(bbgm_stat &gt;= perc_95, converted_stat * 3, IF(bbgm_stat &gt;= perc_90, converted_stat * 2, IF(bbgm_stat &gt;= perc_85, converted_stat * 1.5, converted_stat)))))</f>
        <v/>
      </c>
      <c r="T826" s="30" t="str">
        <f t="array" ref="T826">IF($A826="", "", LET(bbgm_stat, INDEX(Players!$A825:$P825, MATCH(T$2, Players!$A$1:$P$1, 0)), perc_75, VLOOKUP(T$2, Percentiles!$A$45:$I$59, 6, FALSE), perc_90, VLOOKUP(T$2, Percentiles!$A$45:$I$59, 7, FALSE), perc_95, VLOOKUP(T$2, Percentiles!$A$45:$I$59, 8, FALSE), perc_85, perc_75 + (perc_90 - perc_75) * (2/3), converted_stat, '2K_Ratings'!T826, IF(bbgm_stat &gt;= perc_95, converted_stat * 3, IF(bbgm_stat &gt;= perc_90, converted_stat * 2, IF(bbgm_stat &gt;= perc_85, converted_stat * 1.5, converted_stat)))))</f>
        <v/>
      </c>
      <c r="U826" s="30" t="str">
        <f t="array" ref="U826">IF($A826="", "", LET(bbgm_stat, INDEX(Players!$A825:$P825, MATCH(U$2, Players!$A$1:$P$1, 0)), perc_75, VLOOKUP(U$2, Percentiles!$A$45:$I$59, 6, FALSE), perc_90, VLOOKUP(U$2, Percentiles!$A$45:$I$59, 7, FALSE), perc_95, VLOOKUP(U$2, Percentiles!$A$45:$I$59, 8, FALSE), perc_85, perc_75 + (perc_90 - perc_75) * (2/3), converted_stat, '2K_Ratings'!U826, IF(bbgm_stat &gt;= perc_95, converted_stat * 3, IF(bbgm_stat &gt;= perc_90, converted_stat * 2, IF(bbgm_stat &gt;= perc_85, converted_stat * 1.5, converted_stat)))))</f>
        <v/>
      </c>
      <c r="V826" s="30" t="str">
        <f t="array" ref="V826">IF($A826="", "", LET(bbgm_stat, INDEX(Players!$A825:$P825, MATCH(V$2, Players!$A$1:$P$1, 0)), perc_75, VLOOKUP(V$2, Percentiles!$A$45:$I$59, 6, FALSE), perc_90, VLOOKUP(V$2, Percentiles!$A$45:$I$59, 7, FALSE), perc_95, VLOOKUP(V$2, Percentiles!$A$45:$I$59, 8, FALSE), perc_85, perc_75 + (perc_90 - perc_75) * (2/3), converted_stat, '2K_Ratings'!V826, IF(bbgm_stat &gt;= perc_95, converted_stat * 3, IF(bbgm_stat &gt;= perc_90, converted_stat * 2, IF(bbgm_stat &gt;= perc_85, converted_stat * 1.5, converted_stat)))))</f>
        <v/>
      </c>
      <c r="W826" s="30" t="str">
        <f t="array" ref="W826">IF($A826="", "", LET(bbgm_stat, INDEX(Players!$A825:$P825, MATCH(W$2, Players!$A$1:$P$1, 0)), perc_75, VLOOKUP(W$2, Percentiles!$A$45:$I$59, 6, FALSE), perc_90, VLOOKUP(W$2, Percentiles!$A$45:$I$59, 7, FALSE), perc_95, VLOOKUP(W$2, Percentiles!$A$45:$I$59, 8, FALSE), perc_85, perc_75 + (perc_90 - perc_75) * (2/3), converted_stat, '2K_Ratings'!W826, IF(bbgm_stat &gt;= perc_95, converted_stat * 3, IF(bbgm_stat &gt;= perc_90, converted_stat * 2, IF(bbgm_stat &gt;= perc_85, converted_stat * 1.5, converted_stat)))))</f>
        <v/>
      </c>
    </row>
    <row r="827">
      <c r="A827" s="30"/>
      <c r="B827" s="30" t="str">
        <f t="array" ref="B827">IF($A827="", "", LET(bbgm_stat, INDEX(Players!$A826:$P826, MATCH(B$2, Players!$A$1:$P$1, 0)), perc_75, VLOOKUP(B$2, Percentiles!$A$45:$I$59, 6, FALSE), perc_90, VLOOKUP(B$2, Percentiles!$A$45:$I$59, 7, FALSE), perc_95, VLOOKUP(B$2, Percentiles!$A$45:$I$59, 8, FALSE), perc_85, perc_75 + (perc_90 - perc_75) * (2/3), converted_stat, '2K_Ratings'!B827, IF(bbgm_stat &gt;= perc_95, converted_stat * 3, IF(bbgm_stat &gt;= perc_90, converted_stat * 2, IF(bbgm_stat &gt;= perc_85, converted_stat * 1.5, converted_stat)))))</f>
        <v/>
      </c>
      <c r="C827" s="30" t="str">
        <f t="array" ref="C827">IF($A827="", "", LET(bbgm_stat, INDEX(Players!$A826:$P826, MATCH(C$2, Players!$A$1:$P$1, 0)), perc_75, VLOOKUP(C$2, Percentiles!$A$45:$I$59, 6, FALSE), perc_90, VLOOKUP(C$2, Percentiles!$A$45:$I$59, 7, FALSE), perc_95, VLOOKUP(C$2, Percentiles!$A$45:$I$59, 8, FALSE), perc_85, perc_75 + (perc_90 - perc_75) * (2/3), converted_stat, '2K_Ratings'!C827, IF(bbgm_stat &gt;= perc_95, converted_stat * 3, IF(bbgm_stat &gt;= perc_90, converted_stat * 2, IF(bbgm_stat &gt;= perc_85, converted_stat * 1.5, converted_stat)))))</f>
        <v/>
      </c>
      <c r="D827" s="30" t="str">
        <f t="array" ref="D827">IF($A827="", "", LET(bbgm_stat, INDEX(Players!$A826:$P826, MATCH(D$2, Players!$A$1:$P$1, 0)), perc_75, VLOOKUP(D$2, Percentiles!$A$45:$I$59, 6, FALSE), perc_90, VLOOKUP(D$2, Percentiles!$A$45:$I$59, 7, FALSE), perc_95, VLOOKUP(D$2, Percentiles!$A$45:$I$59, 8, FALSE), perc_85, perc_75 + (perc_90 - perc_75) * (2/3), converted_stat, '2K_Ratings'!D827, IF(bbgm_stat &gt;= perc_95, converted_stat * 3, IF(bbgm_stat &gt;= perc_90, converted_stat * 2, IF(bbgm_stat &gt;= perc_85, converted_stat * 1.5, converted_stat)))))</f>
        <v/>
      </c>
      <c r="E827" s="30" t="str">
        <f t="array" ref="E827">IF($A827="", "", LET(bbgm_stat, INDEX(Players!$A826:$P826, MATCH(E$2, Players!$A$1:$P$1, 0)), perc_75, VLOOKUP(E$2, Percentiles!$A$45:$I$59, 6, FALSE), perc_90, VLOOKUP(E$2, Percentiles!$A$45:$I$59, 7, FALSE), perc_95, VLOOKUP(E$2, Percentiles!$A$45:$I$59, 8, FALSE), perc_85, perc_75 + (perc_90 - perc_75) * (2/3), converted_stat, '2K_Ratings'!E827, IF(bbgm_stat &gt;= perc_95, converted_stat * 3, IF(bbgm_stat &gt;= perc_90, converted_stat * 2, IF(bbgm_stat &gt;= perc_85, converted_stat * 1.5, converted_stat)))))</f>
        <v/>
      </c>
      <c r="F827" s="30" t="str">
        <f t="array" ref="F827">IF($A827="", "", LET(bbgm_stat, INDEX(Players!$A826:$P826, MATCH(F$2, Players!$A$1:$P$1, 0)), perc_75, VLOOKUP(F$2, Percentiles!$A$45:$I$59, 6, FALSE), perc_90, VLOOKUP(F$2, Percentiles!$A$45:$I$59, 7, FALSE), perc_95, VLOOKUP(F$2, Percentiles!$A$45:$I$59, 8, FALSE), perc_85, perc_75 + (perc_90 - perc_75) * (2/3), converted_stat, '2K_Ratings'!F827, IF(bbgm_stat &gt;= perc_95, converted_stat * 3, IF(bbgm_stat &gt;= perc_90, converted_stat * 2, IF(bbgm_stat &gt;= perc_85, converted_stat * 1.5, converted_stat)))))</f>
        <v/>
      </c>
      <c r="G827" s="30" t="str">
        <f t="array" ref="G827">IF($A827="", "", LET(bbgm_stat, INDEX(Players!$A826:$P826, MATCH(G$2, Players!$A$1:$P$1, 0)), perc_75, VLOOKUP(G$2, Percentiles!$A$45:$I$59, 6, FALSE), perc_90, VLOOKUP(G$2, Percentiles!$A$45:$I$59, 7, FALSE), perc_95, VLOOKUP(G$2, Percentiles!$A$45:$I$59, 8, FALSE), perc_85, perc_75 + (perc_90 - perc_75) * (2/3), converted_stat, '2K_Ratings'!G827, IF(bbgm_stat &gt;= perc_95, converted_stat * 3, IF(bbgm_stat &gt;= perc_90, converted_stat * 2, IF(bbgm_stat &gt;= perc_85, converted_stat * 1.5, converted_stat)))))</f>
        <v/>
      </c>
      <c r="H827" s="30" t="str">
        <f t="array" ref="H827">IF($A827="", "", LET(bbgm_stat, INDEX(Players!$A826:$P826, MATCH(H$2, Players!$A$1:$P$1, 0)), perc_75, VLOOKUP(H$2, Percentiles!$A$45:$I$59, 6, FALSE), perc_90, VLOOKUP(H$2, Percentiles!$A$45:$I$59, 7, FALSE), perc_95, VLOOKUP(H$2, Percentiles!$A$45:$I$59, 8, FALSE), perc_85, perc_75 + (perc_90 - perc_75) * (2/3), converted_stat, '2K_Ratings'!H827, IF(bbgm_stat &gt;= perc_95, converted_stat * 3, IF(bbgm_stat &gt;= perc_90, converted_stat * 2, IF(bbgm_stat &gt;= perc_85, converted_stat * 1.5, converted_stat)))))</f>
        <v/>
      </c>
      <c r="I827" s="30" t="str">
        <f t="array" ref="I827">IF($A827="", "", LET(bbgm_stat, INDEX(Players!$A826:$P826, MATCH(I$2, Players!$A$1:$P$1, 0)), perc_75, VLOOKUP(I$2, Percentiles!$A$45:$I$59, 6, FALSE), perc_90, VLOOKUP(I$2, Percentiles!$A$45:$I$59, 7, FALSE), perc_95, VLOOKUP(I$2, Percentiles!$A$45:$I$59, 8, FALSE), perc_85, perc_75 + (perc_90 - perc_75) * (2/3), converted_stat, '2K_Ratings'!I827, IF(bbgm_stat &gt;= perc_95, converted_stat * 3, IF(bbgm_stat &gt;= perc_90, converted_stat * 2, IF(bbgm_stat &gt;= perc_85, converted_stat * 1.5, converted_stat)))))</f>
        <v/>
      </c>
      <c r="J827" s="30" t="str">
        <f t="array" ref="J827">IF($A827="", "", LET(bbgm_stat, INDEX(Players!$A826:$P826, MATCH(J$2, Players!$A$1:$P$1, 0)), perc_75, VLOOKUP(J$2, Percentiles!$A$45:$I$59, 6, FALSE), perc_90, VLOOKUP(J$2, Percentiles!$A$45:$I$59, 7, FALSE), perc_95, VLOOKUP(J$2, Percentiles!$A$45:$I$59, 8, FALSE), perc_85, perc_75 + (perc_90 - perc_75) * (2/3), converted_stat, '2K_Ratings'!J827, IF(bbgm_stat &gt;= perc_95, converted_stat * 3, IF(bbgm_stat &gt;= perc_90, converted_stat * 2, IF(bbgm_stat &gt;= perc_85, converted_stat * 1.5, converted_stat)))))</f>
        <v/>
      </c>
      <c r="K827" s="30" t="str">
        <f t="array" ref="K827">IF($A827="", "", LET(bbgm_stat, INDEX(Players!$A826:$P826, MATCH(K$2, Players!$A$1:$P$1, 0)), perc_75, VLOOKUP(K$2, Percentiles!$A$45:$I$59, 6, FALSE), perc_90, VLOOKUP(K$2, Percentiles!$A$45:$I$59, 7, FALSE), perc_95, VLOOKUP(K$2, Percentiles!$A$45:$I$59, 8, FALSE), perc_85, perc_75 + (perc_90 - perc_75) * (2/3), converted_stat, '2K_Ratings'!K827, IF(bbgm_stat &gt;= perc_95, converted_stat * 3, IF(bbgm_stat &gt;= perc_90, converted_stat * 2, IF(bbgm_stat &gt;= perc_85, converted_stat * 1.5, converted_stat)))))</f>
        <v/>
      </c>
      <c r="L827" s="30" t="str">
        <f t="array" ref="L827">IF($A827="", "", LET(bbgm_stat, INDEX(Players!$A826:$P826, MATCH(L$2, Players!$A$1:$P$1, 0)), perc_75, VLOOKUP(L$2, Percentiles!$A$45:$I$59, 6, FALSE), perc_90, VLOOKUP(L$2, Percentiles!$A$45:$I$59, 7, FALSE), perc_95, VLOOKUP(L$2, Percentiles!$A$45:$I$59, 8, FALSE), perc_85, perc_75 + (perc_90 - perc_75) * (2/3), converted_stat, '2K_Ratings'!L827, IF(bbgm_stat &gt;= perc_95, converted_stat * 3, IF(bbgm_stat &gt;= perc_90, converted_stat * 2, IF(bbgm_stat &gt;= perc_85, converted_stat * 1.5, converted_stat)))))</f>
        <v/>
      </c>
      <c r="M827" s="30" t="str">
        <f t="array" ref="M827">IF($A827="", "", LET(bbgm_stat, INDEX(Players!$A826:$P826, MATCH(M$2, Players!$A$1:$P$1, 0)), perc_75, VLOOKUP(M$2, Percentiles!$A$45:$I$59, 6, FALSE), perc_90, VLOOKUP(M$2, Percentiles!$A$45:$I$59, 7, FALSE), perc_95, VLOOKUP(M$2, Percentiles!$A$45:$I$59, 8, FALSE), perc_85, perc_75 + (perc_90 - perc_75) * (2/3), converted_stat, '2K_Ratings'!M827, IF(bbgm_stat &gt;= perc_95, converted_stat * 3, IF(bbgm_stat &gt;= perc_90, converted_stat * 2, IF(bbgm_stat &gt;= perc_85, converted_stat * 1.5, converted_stat)))))</f>
        <v/>
      </c>
      <c r="N827" s="30" t="str">
        <f t="array" ref="N827">IF($A827="", "", LET(bbgm_stat, INDEX(Players!$A826:$P826, MATCH(N$2, Players!$A$1:$P$1, 0)), perc_75, VLOOKUP(N$2, Percentiles!$A$45:$I$59, 6, FALSE), perc_90, VLOOKUP(N$2, Percentiles!$A$45:$I$59, 7, FALSE), perc_95, VLOOKUP(N$2, Percentiles!$A$45:$I$59, 8, FALSE), perc_85, perc_75 + (perc_90 - perc_75) * (2/3), converted_stat, '2K_Ratings'!N827, IF(bbgm_stat &gt;= perc_95, converted_stat * 3, IF(bbgm_stat &gt;= perc_90, converted_stat * 2, IF(bbgm_stat &gt;= perc_85, converted_stat * 1.5, converted_stat)))))</f>
        <v/>
      </c>
      <c r="O827" s="30" t="str">
        <f t="array" ref="O827">IF($A827="", "", LET(bbgm_stat, INDEX(Players!$A826:$P826, MATCH(O$2, Players!$A$1:$P$1, 0)), perc_75, VLOOKUP(O$2, Percentiles!$A$45:$I$59, 6, FALSE), perc_90, VLOOKUP(O$2, Percentiles!$A$45:$I$59, 7, FALSE), perc_95, VLOOKUP(O$2, Percentiles!$A$45:$I$59, 8, FALSE), perc_85, perc_75 + (perc_90 - perc_75) * (2/3), converted_stat, '2K_Ratings'!O827, IF(bbgm_stat &gt;= perc_95, converted_stat * 3, IF(bbgm_stat &gt;= perc_90, converted_stat * 2, IF(bbgm_stat &gt;= perc_85, converted_stat * 1.5, converted_stat)))))</f>
        <v/>
      </c>
      <c r="P827" s="30" t="str">
        <f t="array" ref="P827">IF($A827="", "", LET(bbgm_stat, INDEX(Players!$A826:$P826, MATCH(P$2, Players!$A$1:$P$1, 0)), perc_75, VLOOKUP(P$2, Percentiles!$A$45:$I$59, 6, FALSE), perc_90, VLOOKUP(P$2, Percentiles!$A$45:$I$59, 7, FALSE), perc_95, VLOOKUP(P$2, Percentiles!$A$45:$I$59, 8, FALSE), perc_85, perc_75 + (perc_90 - perc_75) * (2/3), converted_stat, '2K_Ratings'!P827, IF(bbgm_stat &gt;= perc_95, converted_stat * 3, IF(bbgm_stat &gt;= perc_90, converted_stat * 2, IF(bbgm_stat &gt;= perc_85, converted_stat * 1.5, converted_stat)))))</f>
        <v/>
      </c>
      <c r="Q827" s="30" t="str">
        <f t="array" ref="Q827">IF($A827="", "", LET(bbgm_stat, INDEX(Players!$A826:$P826, MATCH(Q$2, Players!$A$1:$P$1, 0)), perc_75, VLOOKUP(Q$2, Percentiles!$A$45:$I$59, 6, FALSE), perc_90, VLOOKUP(Q$2, Percentiles!$A$45:$I$59, 7, FALSE), perc_95, VLOOKUP(Q$2, Percentiles!$A$45:$I$59, 8, FALSE), perc_85, perc_75 + (perc_90 - perc_75) * (2/3), converted_stat, '2K_Ratings'!Q827, IF(bbgm_stat &gt;= perc_95, converted_stat * 3, IF(bbgm_stat &gt;= perc_90, converted_stat * 2, IF(bbgm_stat &gt;= perc_85, converted_stat * 1.5, converted_stat)))))</f>
        <v/>
      </c>
      <c r="R827" s="30" t="str">
        <f t="array" ref="R827">IF($A827="", "", LET(bbgm_stat, INDEX(Players!$A826:$P826, MATCH(R$2, Players!$A$1:$P$1, 0)), perc_75, VLOOKUP(R$2, Percentiles!$A$45:$I$59, 6, FALSE), perc_90, VLOOKUP(R$2, Percentiles!$A$45:$I$59, 7, FALSE), perc_95, VLOOKUP(R$2, Percentiles!$A$45:$I$59, 8, FALSE), perc_85, perc_75 + (perc_90 - perc_75) * (2/3), converted_stat, '2K_Ratings'!R827, IF(bbgm_stat &gt;= perc_95, converted_stat * 3, IF(bbgm_stat &gt;= perc_90, converted_stat * 2, IF(bbgm_stat &gt;= perc_85, converted_stat * 1.5, converted_stat)))))</f>
        <v/>
      </c>
      <c r="S827" s="30" t="str">
        <f t="array" ref="S827">IF($A827="", "", LET(bbgm_stat, INDEX(Players!$A826:$P826, MATCH(S$2, Players!$A$1:$P$1, 0)), perc_75, VLOOKUP(S$2, Percentiles!$A$45:$I$59, 6, FALSE), perc_90, VLOOKUP(S$2, Percentiles!$A$45:$I$59, 7, FALSE), perc_95, VLOOKUP(S$2, Percentiles!$A$45:$I$59, 8, FALSE), perc_85, perc_75 + (perc_90 - perc_75) * (2/3), converted_stat, '2K_Ratings'!S827, IF(bbgm_stat &gt;= perc_95, converted_stat * 3, IF(bbgm_stat &gt;= perc_90, converted_stat * 2, IF(bbgm_stat &gt;= perc_85, converted_stat * 1.5, converted_stat)))))</f>
        <v/>
      </c>
      <c r="T827" s="30" t="str">
        <f t="array" ref="T827">IF($A827="", "", LET(bbgm_stat, INDEX(Players!$A826:$P826, MATCH(T$2, Players!$A$1:$P$1, 0)), perc_75, VLOOKUP(T$2, Percentiles!$A$45:$I$59, 6, FALSE), perc_90, VLOOKUP(T$2, Percentiles!$A$45:$I$59, 7, FALSE), perc_95, VLOOKUP(T$2, Percentiles!$A$45:$I$59, 8, FALSE), perc_85, perc_75 + (perc_90 - perc_75) * (2/3), converted_stat, '2K_Ratings'!T827, IF(bbgm_stat &gt;= perc_95, converted_stat * 3, IF(bbgm_stat &gt;= perc_90, converted_stat * 2, IF(bbgm_stat &gt;= perc_85, converted_stat * 1.5, converted_stat)))))</f>
        <v/>
      </c>
      <c r="U827" s="30" t="str">
        <f t="array" ref="U827">IF($A827="", "", LET(bbgm_stat, INDEX(Players!$A826:$P826, MATCH(U$2, Players!$A$1:$P$1, 0)), perc_75, VLOOKUP(U$2, Percentiles!$A$45:$I$59, 6, FALSE), perc_90, VLOOKUP(U$2, Percentiles!$A$45:$I$59, 7, FALSE), perc_95, VLOOKUP(U$2, Percentiles!$A$45:$I$59, 8, FALSE), perc_85, perc_75 + (perc_90 - perc_75) * (2/3), converted_stat, '2K_Ratings'!U827, IF(bbgm_stat &gt;= perc_95, converted_stat * 3, IF(bbgm_stat &gt;= perc_90, converted_stat * 2, IF(bbgm_stat &gt;= perc_85, converted_stat * 1.5, converted_stat)))))</f>
        <v/>
      </c>
      <c r="V827" s="30" t="str">
        <f t="array" ref="V827">IF($A827="", "", LET(bbgm_stat, INDEX(Players!$A826:$P826, MATCH(V$2, Players!$A$1:$P$1, 0)), perc_75, VLOOKUP(V$2, Percentiles!$A$45:$I$59, 6, FALSE), perc_90, VLOOKUP(V$2, Percentiles!$A$45:$I$59, 7, FALSE), perc_95, VLOOKUP(V$2, Percentiles!$A$45:$I$59, 8, FALSE), perc_85, perc_75 + (perc_90 - perc_75) * (2/3), converted_stat, '2K_Ratings'!V827, IF(bbgm_stat &gt;= perc_95, converted_stat * 3, IF(bbgm_stat &gt;= perc_90, converted_stat * 2, IF(bbgm_stat &gt;= perc_85, converted_stat * 1.5, converted_stat)))))</f>
        <v/>
      </c>
      <c r="W827" s="30" t="str">
        <f t="array" ref="W827">IF($A827="", "", LET(bbgm_stat, INDEX(Players!$A826:$P826, MATCH(W$2, Players!$A$1:$P$1, 0)), perc_75, VLOOKUP(W$2, Percentiles!$A$45:$I$59, 6, FALSE), perc_90, VLOOKUP(W$2, Percentiles!$A$45:$I$59, 7, FALSE), perc_95, VLOOKUP(W$2, Percentiles!$A$45:$I$59, 8, FALSE), perc_85, perc_75 + (perc_90 - perc_75) * (2/3), converted_stat, '2K_Ratings'!W827, IF(bbgm_stat &gt;= perc_95, converted_stat * 3, IF(bbgm_stat &gt;= perc_90, converted_stat * 2, IF(bbgm_stat &gt;= perc_85, converted_stat * 1.5, converted_stat)))))</f>
        <v/>
      </c>
    </row>
    <row r="828">
      <c r="A828" s="30"/>
      <c r="B828" s="30" t="str">
        <f t="array" ref="B828">IF($A828="", "", LET(bbgm_stat, INDEX(Players!$A827:$P827, MATCH(B$2, Players!$A$1:$P$1, 0)), perc_75, VLOOKUP(B$2, Percentiles!$A$45:$I$59, 6, FALSE), perc_90, VLOOKUP(B$2, Percentiles!$A$45:$I$59, 7, FALSE), perc_95, VLOOKUP(B$2, Percentiles!$A$45:$I$59, 8, FALSE), perc_85, perc_75 + (perc_90 - perc_75) * (2/3), converted_stat, '2K_Ratings'!B828, IF(bbgm_stat &gt;= perc_95, converted_stat * 3, IF(bbgm_stat &gt;= perc_90, converted_stat * 2, IF(bbgm_stat &gt;= perc_85, converted_stat * 1.5, converted_stat)))))</f>
        <v/>
      </c>
      <c r="C828" s="30" t="str">
        <f t="array" ref="C828">IF($A828="", "", LET(bbgm_stat, INDEX(Players!$A827:$P827, MATCH(C$2, Players!$A$1:$P$1, 0)), perc_75, VLOOKUP(C$2, Percentiles!$A$45:$I$59, 6, FALSE), perc_90, VLOOKUP(C$2, Percentiles!$A$45:$I$59, 7, FALSE), perc_95, VLOOKUP(C$2, Percentiles!$A$45:$I$59, 8, FALSE), perc_85, perc_75 + (perc_90 - perc_75) * (2/3), converted_stat, '2K_Ratings'!C828, IF(bbgm_stat &gt;= perc_95, converted_stat * 3, IF(bbgm_stat &gt;= perc_90, converted_stat * 2, IF(bbgm_stat &gt;= perc_85, converted_stat * 1.5, converted_stat)))))</f>
        <v/>
      </c>
      <c r="D828" s="30" t="str">
        <f t="array" ref="D828">IF($A828="", "", LET(bbgm_stat, INDEX(Players!$A827:$P827, MATCH(D$2, Players!$A$1:$P$1, 0)), perc_75, VLOOKUP(D$2, Percentiles!$A$45:$I$59, 6, FALSE), perc_90, VLOOKUP(D$2, Percentiles!$A$45:$I$59, 7, FALSE), perc_95, VLOOKUP(D$2, Percentiles!$A$45:$I$59, 8, FALSE), perc_85, perc_75 + (perc_90 - perc_75) * (2/3), converted_stat, '2K_Ratings'!D828, IF(bbgm_stat &gt;= perc_95, converted_stat * 3, IF(bbgm_stat &gt;= perc_90, converted_stat * 2, IF(bbgm_stat &gt;= perc_85, converted_stat * 1.5, converted_stat)))))</f>
        <v/>
      </c>
      <c r="E828" s="30" t="str">
        <f t="array" ref="E828">IF($A828="", "", LET(bbgm_stat, INDEX(Players!$A827:$P827, MATCH(E$2, Players!$A$1:$P$1, 0)), perc_75, VLOOKUP(E$2, Percentiles!$A$45:$I$59, 6, FALSE), perc_90, VLOOKUP(E$2, Percentiles!$A$45:$I$59, 7, FALSE), perc_95, VLOOKUP(E$2, Percentiles!$A$45:$I$59, 8, FALSE), perc_85, perc_75 + (perc_90 - perc_75) * (2/3), converted_stat, '2K_Ratings'!E828, IF(bbgm_stat &gt;= perc_95, converted_stat * 3, IF(bbgm_stat &gt;= perc_90, converted_stat * 2, IF(bbgm_stat &gt;= perc_85, converted_stat * 1.5, converted_stat)))))</f>
        <v/>
      </c>
      <c r="F828" s="30" t="str">
        <f t="array" ref="F828">IF($A828="", "", LET(bbgm_stat, INDEX(Players!$A827:$P827, MATCH(F$2, Players!$A$1:$P$1, 0)), perc_75, VLOOKUP(F$2, Percentiles!$A$45:$I$59, 6, FALSE), perc_90, VLOOKUP(F$2, Percentiles!$A$45:$I$59, 7, FALSE), perc_95, VLOOKUP(F$2, Percentiles!$A$45:$I$59, 8, FALSE), perc_85, perc_75 + (perc_90 - perc_75) * (2/3), converted_stat, '2K_Ratings'!F828, IF(bbgm_stat &gt;= perc_95, converted_stat * 3, IF(bbgm_stat &gt;= perc_90, converted_stat * 2, IF(bbgm_stat &gt;= perc_85, converted_stat * 1.5, converted_stat)))))</f>
        <v/>
      </c>
      <c r="G828" s="30" t="str">
        <f t="array" ref="G828">IF($A828="", "", LET(bbgm_stat, INDEX(Players!$A827:$P827, MATCH(G$2, Players!$A$1:$P$1, 0)), perc_75, VLOOKUP(G$2, Percentiles!$A$45:$I$59, 6, FALSE), perc_90, VLOOKUP(G$2, Percentiles!$A$45:$I$59, 7, FALSE), perc_95, VLOOKUP(G$2, Percentiles!$A$45:$I$59, 8, FALSE), perc_85, perc_75 + (perc_90 - perc_75) * (2/3), converted_stat, '2K_Ratings'!G828, IF(bbgm_stat &gt;= perc_95, converted_stat * 3, IF(bbgm_stat &gt;= perc_90, converted_stat * 2, IF(bbgm_stat &gt;= perc_85, converted_stat * 1.5, converted_stat)))))</f>
        <v/>
      </c>
      <c r="H828" s="30" t="str">
        <f t="array" ref="H828">IF($A828="", "", LET(bbgm_stat, INDEX(Players!$A827:$P827, MATCH(H$2, Players!$A$1:$P$1, 0)), perc_75, VLOOKUP(H$2, Percentiles!$A$45:$I$59, 6, FALSE), perc_90, VLOOKUP(H$2, Percentiles!$A$45:$I$59, 7, FALSE), perc_95, VLOOKUP(H$2, Percentiles!$A$45:$I$59, 8, FALSE), perc_85, perc_75 + (perc_90 - perc_75) * (2/3), converted_stat, '2K_Ratings'!H828, IF(bbgm_stat &gt;= perc_95, converted_stat * 3, IF(bbgm_stat &gt;= perc_90, converted_stat * 2, IF(bbgm_stat &gt;= perc_85, converted_stat * 1.5, converted_stat)))))</f>
        <v/>
      </c>
      <c r="I828" s="30" t="str">
        <f t="array" ref="I828">IF($A828="", "", LET(bbgm_stat, INDEX(Players!$A827:$P827, MATCH(I$2, Players!$A$1:$P$1, 0)), perc_75, VLOOKUP(I$2, Percentiles!$A$45:$I$59, 6, FALSE), perc_90, VLOOKUP(I$2, Percentiles!$A$45:$I$59, 7, FALSE), perc_95, VLOOKUP(I$2, Percentiles!$A$45:$I$59, 8, FALSE), perc_85, perc_75 + (perc_90 - perc_75) * (2/3), converted_stat, '2K_Ratings'!I828, IF(bbgm_stat &gt;= perc_95, converted_stat * 3, IF(bbgm_stat &gt;= perc_90, converted_stat * 2, IF(bbgm_stat &gt;= perc_85, converted_stat * 1.5, converted_stat)))))</f>
        <v/>
      </c>
      <c r="J828" s="30" t="str">
        <f t="array" ref="J828">IF($A828="", "", LET(bbgm_stat, INDEX(Players!$A827:$P827, MATCH(J$2, Players!$A$1:$P$1, 0)), perc_75, VLOOKUP(J$2, Percentiles!$A$45:$I$59, 6, FALSE), perc_90, VLOOKUP(J$2, Percentiles!$A$45:$I$59, 7, FALSE), perc_95, VLOOKUP(J$2, Percentiles!$A$45:$I$59, 8, FALSE), perc_85, perc_75 + (perc_90 - perc_75) * (2/3), converted_stat, '2K_Ratings'!J828, IF(bbgm_stat &gt;= perc_95, converted_stat * 3, IF(bbgm_stat &gt;= perc_90, converted_stat * 2, IF(bbgm_stat &gt;= perc_85, converted_stat * 1.5, converted_stat)))))</f>
        <v/>
      </c>
      <c r="K828" s="30" t="str">
        <f t="array" ref="K828">IF($A828="", "", LET(bbgm_stat, INDEX(Players!$A827:$P827, MATCH(K$2, Players!$A$1:$P$1, 0)), perc_75, VLOOKUP(K$2, Percentiles!$A$45:$I$59, 6, FALSE), perc_90, VLOOKUP(K$2, Percentiles!$A$45:$I$59, 7, FALSE), perc_95, VLOOKUP(K$2, Percentiles!$A$45:$I$59, 8, FALSE), perc_85, perc_75 + (perc_90 - perc_75) * (2/3), converted_stat, '2K_Ratings'!K828, IF(bbgm_stat &gt;= perc_95, converted_stat * 3, IF(bbgm_stat &gt;= perc_90, converted_stat * 2, IF(bbgm_stat &gt;= perc_85, converted_stat * 1.5, converted_stat)))))</f>
        <v/>
      </c>
      <c r="L828" s="30" t="str">
        <f t="array" ref="L828">IF($A828="", "", LET(bbgm_stat, INDEX(Players!$A827:$P827, MATCH(L$2, Players!$A$1:$P$1, 0)), perc_75, VLOOKUP(L$2, Percentiles!$A$45:$I$59, 6, FALSE), perc_90, VLOOKUP(L$2, Percentiles!$A$45:$I$59, 7, FALSE), perc_95, VLOOKUP(L$2, Percentiles!$A$45:$I$59, 8, FALSE), perc_85, perc_75 + (perc_90 - perc_75) * (2/3), converted_stat, '2K_Ratings'!L828, IF(bbgm_stat &gt;= perc_95, converted_stat * 3, IF(bbgm_stat &gt;= perc_90, converted_stat * 2, IF(bbgm_stat &gt;= perc_85, converted_stat * 1.5, converted_stat)))))</f>
        <v/>
      </c>
      <c r="M828" s="30" t="str">
        <f t="array" ref="M828">IF($A828="", "", LET(bbgm_stat, INDEX(Players!$A827:$P827, MATCH(M$2, Players!$A$1:$P$1, 0)), perc_75, VLOOKUP(M$2, Percentiles!$A$45:$I$59, 6, FALSE), perc_90, VLOOKUP(M$2, Percentiles!$A$45:$I$59, 7, FALSE), perc_95, VLOOKUP(M$2, Percentiles!$A$45:$I$59, 8, FALSE), perc_85, perc_75 + (perc_90 - perc_75) * (2/3), converted_stat, '2K_Ratings'!M828, IF(bbgm_stat &gt;= perc_95, converted_stat * 3, IF(bbgm_stat &gt;= perc_90, converted_stat * 2, IF(bbgm_stat &gt;= perc_85, converted_stat * 1.5, converted_stat)))))</f>
        <v/>
      </c>
      <c r="N828" s="30" t="str">
        <f t="array" ref="N828">IF($A828="", "", LET(bbgm_stat, INDEX(Players!$A827:$P827, MATCH(N$2, Players!$A$1:$P$1, 0)), perc_75, VLOOKUP(N$2, Percentiles!$A$45:$I$59, 6, FALSE), perc_90, VLOOKUP(N$2, Percentiles!$A$45:$I$59, 7, FALSE), perc_95, VLOOKUP(N$2, Percentiles!$A$45:$I$59, 8, FALSE), perc_85, perc_75 + (perc_90 - perc_75) * (2/3), converted_stat, '2K_Ratings'!N828, IF(bbgm_stat &gt;= perc_95, converted_stat * 3, IF(bbgm_stat &gt;= perc_90, converted_stat * 2, IF(bbgm_stat &gt;= perc_85, converted_stat * 1.5, converted_stat)))))</f>
        <v/>
      </c>
      <c r="O828" s="30" t="str">
        <f t="array" ref="O828">IF($A828="", "", LET(bbgm_stat, INDEX(Players!$A827:$P827, MATCH(O$2, Players!$A$1:$P$1, 0)), perc_75, VLOOKUP(O$2, Percentiles!$A$45:$I$59, 6, FALSE), perc_90, VLOOKUP(O$2, Percentiles!$A$45:$I$59, 7, FALSE), perc_95, VLOOKUP(O$2, Percentiles!$A$45:$I$59, 8, FALSE), perc_85, perc_75 + (perc_90 - perc_75) * (2/3), converted_stat, '2K_Ratings'!O828, IF(bbgm_stat &gt;= perc_95, converted_stat * 3, IF(bbgm_stat &gt;= perc_90, converted_stat * 2, IF(bbgm_stat &gt;= perc_85, converted_stat * 1.5, converted_stat)))))</f>
        <v/>
      </c>
      <c r="P828" s="30" t="str">
        <f t="array" ref="P828">IF($A828="", "", LET(bbgm_stat, INDEX(Players!$A827:$P827, MATCH(P$2, Players!$A$1:$P$1, 0)), perc_75, VLOOKUP(P$2, Percentiles!$A$45:$I$59, 6, FALSE), perc_90, VLOOKUP(P$2, Percentiles!$A$45:$I$59, 7, FALSE), perc_95, VLOOKUP(P$2, Percentiles!$A$45:$I$59, 8, FALSE), perc_85, perc_75 + (perc_90 - perc_75) * (2/3), converted_stat, '2K_Ratings'!P828, IF(bbgm_stat &gt;= perc_95, converted_stat * 3, IF(bbgm_stat &gt;= perc_90, converted_stat * 2, IF(bbgm_stat &gt;= perc_85, converted_stat * 1.5, converted_stat)))))</f>
        <v/>
      </c>
      <c r="Q828" s="30" t="str">
        <f t="array" ref="Q828">IF($A828="", "", LET(bbgm_stat, INDEX(Players!$A827:$P827, MATCH(Q$2, Players!$A$1:$P$1, 0)), perc_75, VLOOKUP(Q$2, Percentiles!$A$45:$I$59, 6, FALSE), perc_90, VLOOKUP(Q$2, Percentiles!$A$45:$I$59, 7, FALSE), perc_95, VLOOKUP(Q$2, Percentiles!$A$45:$I$59, 8, FALSE), perc_85, perc_75 + (perc_90 - perc_75) * (2/3), converted_stat, '2K_Ratings'!Q828, IF(bbgm_stat &gt;= perc_95, converted_stat * 3, IF(bbgm_stat &gt;= perc_90, converted_stat * 2, IF(bbgm_stat &gt;= perc_85, converted_stat * 1.5, converted_stat)))))</f>
        <v/>
      </c>
      <c r="R828" s="30" t="str">
        <f t="array" ref="R828">IF($A828="", "", LET(bbgm_stat, INDEX(Players!$A827:$P827, MATCH(R$2, Players!$A$1:$P$1, 0)), perc_75, VLOOKUP(R$2, Percentiles!$A$45:$I$59, 6, FALSE), perc_90, VLOOKUP(R$2, Percentiles!$A$45:$I$59, 7, FALSE), perc_95, VLOOKUP(R$2, Percentiles!$A$45:$I$59, 8, FALSE), perc_85, perc_75 + (perc_90 - perc_75) * (2/3), converted_stat, '2K_Ratings'!R828, IF(bbgm_stat &gt;= perc_95, converted_stat * 3, IF(bbgm_stat &gt;= perc_90, converted_stat * 2, IF(bbgm_stat &gt;= perc_85, converted_stat * 1.5, converted_stat)))))</f>
        <v/>
      </c>
      <c r="S828" s="30" t="str">
        <f t="array" ref="S828">IF($A828="", "", LET(bbgm_stat, INDEX(Players!$A827:$P827, MATCH(S$2, Players!$A$1:$P$1, 0)), perc_75, VLOOKUP(S$2, Percentiles!$A$45:$I$59, 6, FALSE), perc_90, VLOOKUP(S$2, Percentiles!$A$45:$I$59, 7, FALSE), perc_95, VLOOKUP(S$2, Percentiles!$A$45:$I$59, 8, FALSE), perc_85, perc_75 + (perc_90 - perc_75) * (2/3), converted_stat, '2K_Ratings'!S828, IF(bbgm_stat &gt;= perc_95, converted_stat * 3, IF(bbgm_stat &gt;= perc_90, converted_stat * 2, IF(bbgm_stat &gt;= perc_85, converted_stat * 1.5, converted_stat)))))</f>
        <v/>
      </c>
      <c r="T828" s="30" t="str">
        <f t="array" ref="T828">IF($A828="", "", LET(bbgm_stat, INDEX(Players!$A827:$P827, MATCH(T$2, Players!$A$1:$P$1, 0)), perc_75, VLOOKUP(T$2, Percentiles!$A$45:$I$59, 6, FALSE), perc_90, VLOOKUP(T$2, Percentiles!$A$45:$I$59, 7, FALSE), perc_95, VLOOKUP(T$2, Percentiles!$A$45:$I$59, 8, FALSE), perc_85, perc_75 + (perc_90 - perc_75) * (2/3), converted_stat, '2K_Ratings'!T828, IF(bbgm_stat &gt;= perc_95, converted_stat * 3, IF(bbgm_stat &gt;= perc_90, converted_stat * 2, IF(bbgm_stat &gt;= perc_85, converted_stat * 1.5, converted_stat)))))</f>
        <v/>
      </c>
      <c r="U828" s="30" t="str">
        <f t="array" ref="U828">IF($A828="", "", LET(bbgm_stat, INDEX(Players!$A827:$P827, MATCH(U$2, Players!$A$1:$P$1, 0)), perc_75, VLOOKUP(U$2, Percentiles!$A$45:$I$59, 6, FALSE), perc_90, VLOOKUP(U$2, Percentiles!$A$45:$I$59, 7, FALSE), perc_95, VLOOKUP(U$2, Percentiles!$A$45:$I$59, 8, FALSE), perc_85, perc_75 + (perc_90 - perc_75) * (2/3), converted_stat, '2K_Ratings'!U828, IF(bbgm_stat &gt;= perc_95, converted_stat * 3, IF(bbgm_stat &gt;= perc_90, converted_stat * 2, IF(bbgm_stat &gt;= perc_85, converted_stat * 1.5, converted_stat)))))</f>
        <v/>
      </c>
      <c r="V828" s="30" t="str">
        <f t="array" ref="V828">IF($A828="", "", LET(bbgm_stat, INDEX(Players!$A827:$P827, MATCH(V$2, Players!$A$1:$P$1, 0)), perc_75, VLOOKUP(V$2, Percentiles!$A$45:$I$59, 6, FALSE), perc_90, VLOOKUP(V$2, Percentiles!$A$45:$I$59, 7, FALSE), perc_95, VLOOKUP(V$2, Percentiles!$A$45:$I$59, 8, FALSE), perc_85, perc_75 + (perc_90 - perc_75) * (2/3), converted_stat, '2K_Ratings'!V828, IF(bbgm_stat &gt;= perc_95, converted_stat * 3, IF(bbgm_stat &gt;= perc_90, converted_stat * 2, IF(bbgm_stat &gt;= perc_85, converted_stat * 1.5, converted_stat)))))</f>
        <v/>
      </c>
      <c r="W828" s="30" t="str">
        <f t="array" ref="W828">IF($A828="", "", LET(bbgm_stat, INDEX(Players!$A827:$P827, MATCH(W$2, Players!$A$1:$P$1, 0)), perc_75, VLOOKUP(W$2, Percentiles!$A$45:$I$59, 6, FALSE), perc_90, VLOOKUP(W$2, Percentiles!$A$45:$I$59, 7, FALSE), perc_95, VLOOKUP(W$2, Percentiles!$A$45:$I$59, 8, FALSE), perc_85, perc_75 + (perc_90 - perc_75) * (2/3), converted_stat, '2K_Ratings'!W828, IF(bbgm_stat &gt;= perc_95, converted_stat * 3, IF(bbgm_stat &gt;= perc_90, converted_stat * 2, IF(bbgm_stat &gt;= perc_85, converted_stat * 1.5, converted_stat)))))</f>
        <v/>
      </c>
    </row>
    <row r="829">
      <c r="A829" s="30"/>
      <c r="B829" s="30" t="str">
        <f t="array" ref="B829">IF($A829="", "", LET(bbgm_stat, INDEX(Players!$A828:$P828, MATCH(B$2, Players!$A$1:$P$1, 0)), perc_75, VLOOKUP(B$2, Percentiles!$A$45:$I$59, 6, FALSE), perc_90, VLOOKUP(B$2, Percentiles!$A$45:$I$59, 7, FALSE), perc_95, VLOOKUP(B$2, Percentiles!$A$45:$I$59, 8, FALSE), perc_85, perc_75 + (perc_90 - perc_75) * (2/3), converted_stat, '2K_Ratings'!B829, IF(bbgm_stat &gt;= perc_95, converted_stat * 3, IF(bbgm_stat &gt;= perc_90, converted_stat * 2, IF(bbgm_stat &gt;= perc_85, converted_stat * 1.5, converted_stat)))))</f>
        <v/>
      </c>
      <c r="C829" s="30" t="str">
        <f t="array" ref="C829">IF($A829="", "", LET(bbgm_stat, INDEX(Players!$A828:$P828, MATCH(C$2, Players!$A$1:$P$1, 0)), perc_75, VLOOKUP(C$2, Percentiles!$A$45:$I$59, 6, FALSE), perc_90, VLOOKUP(C$2, Percentiles!$A$45:$I$59, 7, FALSE), perc_95, VLOOKUP(C$2, Percentiles!$A$45:$I$59, 8, FALSE), perc_85, perc_75 + (perc_90 - perc_75) * (2/3), converted_stat, '2K_Ratings'!C829, IF(bbgm_stat &gt;= perc_95, converted_stat * 3, IF(bbgm_stat &gt;= perc_90, converted_stat * 2, IF(bbgm_stat &gt;= perc_85, converted_stat * 1.5, converted_stat)))))</f>
        <v/>
      </c>
      <c r="D829" s="30" t="str">
        <f t="array" ref="D829">IF($A829="", "", LET(bbgm_stat, INDEX(Players!$A828:$P828, MATCH(D$2, Players!$A$1:$P$1, 0)), perc_75, VLOOKUP(D$2, Percentiles!$A$45:$I$59, 6, FALSE), perc_90, VLOOKUP(D$2, Percentiles!$A$45:$I$59, 7, FALSE), perc_95, VLOOKUP(D$2, Percentiles!$A$45:$I$59, 8, FALSE), perc_85, perc_75 + (perc_90 - perc_75) * (2/3), converted_stat, '2K_Ratings'!D829, IF(bbgm_stat &gt;= perc_95, converted_stat * 3, IF(bbgm_stat &gt;= perc_90, converted_stat * 2, IF(bbgm_stat &gt;= perc_85, converted_stat * 1.5, converted_stat)))))</f>
        <v/>
      </c>
      <c r="E829" s="30" t="str">
        <f t="array" ref="E829">IF($A829="", "", LET(bbgm_stat, INDEX(Players!$A828:$P828, MATCH(E$2, Players!$A$1:$P$1, 0)), perc_75, VLOOKUP(E$2, Percentiles!$A$45:$I$59, 6, FALSE), perc_90, VLOOKUP(E$2, Percentiles!$A$45:$I$59, 7, FALSE), perc_95, VLOOKUP(E$2, Percentiles!$A$45:$I$59, 8, FALSE), perc_85, perc_75 + (perc_90 - perc_75) * (2/3), converted_stat, '2K_Ratings'!E829, IF(bbgm_stat &gt;= perc_95, converted_stat * 3, IF(bbgm_stat &gt;= perc_90, converted_stat * 2, IF(bbgm_stat &gt;= perc_85, converted_stat * 1.5, converted_stat)))))</f>
        <v/>
      </c>
      <c r="F829" s="30" t="str">
        <f t="array" ref="F829">IF($A829="", "", LET(bbgm_stat, INDEX(Players!$A828:$P828, MATCH(F$2, Players!$A$1:$P$1, 0)), perc_75, VLOOKUP(F$2, Percentiles!$A$45:$I$59, 6, FALSE), perc_90, VLOOKUP(F$2, Percentiles!$A$45:$I$59, 7, FALSE), perc_95, VLOOKUP(F$2, Percentiles!$A$45:$I$59, 8, FALSE), perc_85, perc_75 + (perc_90 - perc_75) * (2/3), converted_stat, '2K_Ratings'!F829, IF(bbgm_stat &gt;= perc_95, converted_stat * 3, IF(bbgm_stat &gt;= perc_90, converted_stat * 2, IF(bbgm_stat &gt;= perc_85, converted_stat * 1.5, converted_stat)))))</f>
        <v/>
      </c>
      <c r="G829" s="30" t="str">
        <f t="array" ref="G829">IF($A829="", "", LET(bbgm_stat, INDEX(Players!$A828:$P828, MATCH(G$2, Players!$A$1:$P$1, 0)), perc_75, VLOOKUP(G$2, Percentiles!$A$45:$I$59, 6, FALSE), perc_90, VLOOKUP(G$2, Percentiles!$A$45:$I$59, 7, FALSE), perc_95, VLOOKUP(G$2, Percentiles!$A$45:$I$59, 8, FALSE), perc_85, perc_75 + (perc_90 - perc_75) * (2/3), converted_stat, '2K_Ratings'!G829, IF(bbgm_stat &gt;= perc_95, converted_stat * 3, IF(bbgm_stat &gt;= perc_90, converted_stat * 2, IF(bbgm_stat &gt;= perc_85, converted_stat * 1.5, converted_stat)))))</f>
        <v/>
      </c>
      <c r="H829" s="30" t="str">
        <f t="array" ref="H829">IF($A829="", "", LET(bbgm_stat, INDEX(Players!$A828:$P828, MATCH(H$2, Players!$A$1:$P$1, 0)), perc_75, VLOOKUP(H$2, Percentiles!$A$45:$I$59, 6, FALSE), perc_90, VLOOKUP(H$2, Percentiles!$A$45:$I$59, 7, FALSE), perc_95, VLOOKUP(H$2, Percentiles!$A$45:$I$59, 8, FALSE), perc_85, perc_75 + (perc_90 - perc_75) * (2/3), converted_stat, '2K_Ratings'!H829, IF(bbgm_stat &gt;= perc_95, converted_stat * 3, IF(bbgm_stat &gt;= perc_90, converted_stat * 2, IF(bbgm_stat &gt;= perc_85, converted_stat * 1.5, converted_stat)))))</f>
        <v/>
      </c>
      <c r="I829" s="30" t="str">
        <f t="array" ref="I829">IF($A829="", "", LET(bbgm_stat, INDEX(Players!$A828:$P828, MATCH(I$2, Players!$A$1:$P$1, 0)), perc_75, VLOOKUP(I$2, Percentiles!$A$45:$I$59, 6, FALSE), perc_90, VLOOKUP(I$2, Percentiles!$A$45:$I$59, 7, FALSE), perc_95, VLOOKUP(I$2, Percentiles!$A$45:$I$59, 8, FALSE), perc_85, perc_75 + (perc_90 - perc_75) * (2/3), converted_stat, '2K_Ratings'!I829, IF(bbgm_stat &gt;= perc_95, converted_stat * 3, IF(bbgm_stat &gt;= perc_90, converted_stat * 2, IF(bbgm_stat &gt;= perc_85, converted_stat * 1.5, converted_stat)))))</f>
        <v/>
      </c>
      <c r="J829" s="30" t="str">
        <f t="array" ref="J829">IF($A829="", "", LET(bbgm_stat, INDEX(Players!$A828:$P828, MATCH(J$2, Players!$A$1:$P$1, 0)), perc_75, VLOOKUP(J$2, Percentiles!$A$45:$I$59, 6, FALSE), perc_90, VLOOKUP(J$2, Percentiles!$A$45:$I$59, 7, FALSE), perc_95, VLOOKUP(J$2, Percentiles!$A$45:$I$59, 8, FALSE), perc_85, perc_75 + (perc_90 - perc_75) * (2/3), converted_stat, '2K_Ratings'!J829, IF(bbgm_stat &gt;= perc_95, converted_stat * 3, IF(bbgm_stat &gt;= perc_90, converted_stat * 2, IF(bbgm_stat &gt;= perc_85, converted_stat * 1.5, converted_stat)))))</f>
        <v/>
      </c>
      <c r="K829" s="30" t="str">
        <f t="array" ref="K829">IF($A829="", "", LET(bbgm_stat, INDEX(Players!$A828:$P828, MATCH(K$2, Players!$A$1:$P$1, 0)), perc_75, VLOOKUP(K$2, Percentiles!$A$45:$I$59, 6, FALSE), perc_90, VLOOKUP(K$2, Percentiles!$A$45:$I$59, 7, FALSE), perc_95, VLOOKUP(K$2, Percentiles!$A$45:$I$59, 8, FALSE), perc_85, perc_75 + (perc_90 - perc_75) * (2/3), converted_stat, '2K_Ratings'!K829, IF(bbgm_stat &gt;= perc_95, converted_stat * 3, IF(bbgm_stat &gt;= perc_90, converted_stat * 2, IF(bbgm_stat &gt;= perc_85, converted_stat * 1.5, converted_stat)))))</f>
        <v/>
      </c>
      <c r="L829" s="30" t="str">
        <f t="array" ref="L829">IF($A829="", "", LET(bbgm_stat, INDEX(Players!$A828:$P828, MATCH(L$2, Players!$A$1:$P$1, 0)), perc_75, VLOOKUP(L$2, Percentiles!$A$45:$I$59, 6, FALSE), perc_90, VLOOKUP(L$2, Percentiles!$A$45:$I$59, 7, FALSE), perc_95, VLOOKUP(L$2, Percentiles!$A$45:$I$59, 8, FALSE), perc_85, perc_75 + (perc_90 - perc_75) * (2/3), converted_stat, '2K_Ratings'!L829, IF(bbgm_stat &gt;= perc_95, converted_stat * 3, IF(bbgm_stat &gt;= perc_90, converted_stat * 2, IF(bbgm_stat &gt;= perc_85, converted_stat * 1.5, converted_stat)))))</f>
        <v/>
      </c>
      <c r="M829" s="30" t="str">
        <f t="array" ref="M829">IF($A829="", "", LET(bbgm_stat, INDEX(Players!$A828:$P828, MATCH(M$2, Players!$A$1:$P$1, 0)), perc_75, VLOOKUP(M$2, Percentiles!$A$45:$I$59, 6, FALSE), perc_90, VLOOKUP(M$2, Percentiles!$A$45:$I$59, 7, FALSE), perc_95, VLOOKUP(M$2, Percentiles!$A$45:$I$59, 8, FALSE), perc_85, perc_75 + (perc_90 - perc_75) * (2/3), converted_stat, '2K_Ratings'!M829, IF(bbgm_stat &gt;= perc_95, converted_stat * 3, IF(bbgm_stat &gt;= perc_90, converted_stat * 2, IF(bbgm_stat &gt;= perc_85, converted_stat * 1.5, converted_stat)))))</f>
        <v/>
      </c>
      <c r="N829" s="30" t="str">
        <f t="array" ref="N829">IF($A829="", "", LET(bbgm_stat, INDEX(Players!$A828:$P828, MATCH(N$2, Players!$A$1:$P$1, 0)), perc_75, VLOOKUP(N$2, Percentiles!$A$45:$I$59, 6, FALSE), perc_90, VLOOKUP(N$2, Percentiles!$A$45:$I$59, 7, FALSE), perc_95, VLOOKUP(N$2, Percentiles!$A$45:$I$59, 8, FALSE), perc_85, perc_75 + (perc_90 - perc_75) * (2/3), converted_stat, '2K_Ratings'!N829, IF(bbgm_stat &gt;= perc_95, converted_stat * 3, IF(bbgm_stat &gt;= perc_90, converted_stat * 2, IF(bbgm_stat &gt;= perc_85, converted_stat * 1.5, converted_stat)))))</f>
        <v/>
      </c>
      <c r="O829" s="30" t="str">
        <f t="array" ref="O829">IF($A829="", "", LET(bbgm_stat, INDEX(Players!$A828:$P828, MATCH(O$2, Players!$A$1:$P$1, 0)), perc_75, VLOOKUP(O$2, Percentiles!$A$45:$I$59, 6, FALSE), perc_90, VLOOKUP(O$2, Percentiles!$A$45:$I$59, 7, FALSE), perc_95, VLOOKUP(O$2, Percentiles!$A$45:$I$59, 8, FALSE), perc_85, perc_75 + (perc_90 - perc_75) * (2/3), converted_stat, '2K_Ratings'!O829, IF(bbgm_stat &gt;= perc_95, converted_stat * 3, IF(bbgm_stat &gt;= perc_90, converted_stat * 2, IF(bbgm_stat &gt;= perc_85, converted_stat * 1.5, converted_stat)))))</f>
        <v/>
      </c>
      <c r="P829" s="30" t="str">
        <f t="array" ref="P829">IF($A829="", "", LET(bbgm_stat, INDEX(Players!$A828:$P828, MATCH(P$2, Players!$A$1:$P$1, 0)), perc_75, VLOOKUP(P$2, Percentiles!$A$45:$I$59, 6, FALSE), perc_90, VLOOKUP(P$2, Percentiles!$A$45:$I$59, 7, FALSE), perc_95, VLOOKUP(P$2, Percentiles!$A$45:$I$59, 8, FALSE), perc_85, perc_75 + (perc_90 - perc_75) * (2/3), converted_stat, '2K_Ratings'!P829, IF(bbgm_stat &gt;= perc_95, converted_stat * 3, IF(bbgm_stat &gt;= perc_90, converted_stat * 2, IF(bbgm_stat &gt;= perc_85, converted_stat * 1.5, converted_stat)))))</f>
        <v/>
      </c>
      <c r="Q829" s="30" t="str">
        <f t="array" ref="Q829">IF($A829="", "", LET(bbgm_stat, INDEX(Players!$A828:$P828, MATCH(Q$2, Players!$A$1:$P$1, 0)), perc_75, VLOOKUP(Q$2, Percentiles!$A$45:$I$59, 6, FALSE), perc_90, VLOOKUP(Q$2, Percentiles!$A$45:$I$59, 7, FALSE), perc_95, VLOOKUP(Q$2, Percentiles!$A$45:$I$59, 8, FALSE), perc_85, perc_75 + (perc_90 - perc_75) * (2/3), converted_stat, '2K_Ratings'!Q829, IF(bbgm_stat &gt;= perc_95, converted_stat * 3, IF(bbgm_stat &gt;= perc_90, converted_stat * 2, IF(bbgm_stat &gt;= perc_85, converted_stat * 1.5, converted_stat)))))</f>
        <v/>
      </c>
      <c r="R829" s="30" t="str">
        <f t="array" ref="R829">IF($A829="", "", LET(bbgm_stat, INDEX(Players!$A828:$P828, MATCH(R$2, Players!$A$1:$P$1, 0)), perc_75, VLOOKUP(R$2, Percentiles!$A$45:$I$59, 6, FALSE), perc_90, VLOOKUP(R$2, Percentiles!$A$45:$I$59, 7, FALSE), perc_95, VLOOKUP(R$2, Percentiles!$A$45:$I$59, 8, FALSE), perc_85, perc_75 + (perc_90 - perc_75) * (2/3), converted_stat, '2K_Ratings'!R829, IF(bbgm_stat &gt;= perc_95, converted_stat * 3, IF(bbgm_stat &gt;= perc_90, converted_stat * 2, IF(bbgm_stat &gt;= perc_85, converted_stat * 1.5, converted_stat)))))</f>
        <v/>
      </c>
      <c r="S829" s="30" t="str">
        <f t="array" ref="S829">IF($A829="", "", LET(bbgm_stat, INDEX(Players!$A828:$P828, MATCH(S$2, Players!$A$1:$P$1, 0)), perc_75, VLOOKUP(S$2, Percentiles!$A$45:$I$59, 6, FALSE), perc_90, VLOOKUP(S$2, Percentiles!$A$45:$I$59, 7, FALSE), perc_95, VLOOKUP(S$2, Percentiles!$A$45:$I$59, 8, FALSE), perc_85, perc_75 + (perc_90 - perc_75) * (2/3), converted_stat, '2K_Ratings'!S829, IF(bbgm_stat &gt;= perc_95, converted_stat * 3, IF(bbgm_stat &gt;= perc_90, converted_stat * 2, IF(bbgm_stat &gt;= perc_85, converted_stat * 1.5, converted_stat)))))</f>
        <v/>
      </c>
      <c r="T829" s="30" t="str">
        <f t="array" ref="T829">IF($A829="", "", LET(bbgm_stat, INDEX(Players!$A828:$P828, MATCH(T$2, Players!$A$1:$P$1, 0)), perc_75, VLOOKUP(T$2, Percentiles!$A$45:$I$59, 6, FALSE), perc_90, VLOOKUP(T$2, Percentiles!$A$45:$I$59, 7, FALSE), perc_95, VLOOKUP(T$2, Percentiles!$A$45:$I$59, 8, FALSE), perc_85, perc_75 + (perc_90 - perc_75) * (2/3), converted_stat, '2K_Ratings'!T829, IF(bbgm_stat &gt;= perc_95, converted_stat * 3, IF(bbgm_stat &gt;= perc_90, converted_stat * 2, IF(bbgm_stat &gt;= perc_85, converted_stat * 1.5, converted_stat)))))</f>
        <v/>
      </c>
      <c r="U829" s="30" t="str">
        <f t="array" ref="U829">IF($A829="", "", LET(bbgm_stat, INDEX(Players!$A828:$P828, MATCH(U$2, Players!$A$1:$P$1, 0)), perc_75, VLOOKUP(U$2, Percentiles!$A$45:$I$59, 6, FALSE), perc_90, VLOOKUP(U$2, Percentiles!$A$45:$I$59, 7, FALSE), perc_95, VLOOKUP(U$2, Percentiles!$A$45:$I$59, 8, FALSE), perc_85, perc_75 + (perc_90 - perc_75) * (2/3), converted_stat, '2K_Ratings'!U829, IF(bbgm_stat &gt;= perc_95, converted_stat * 3, IF(bbgm_stat &gt;= perc_90, converted_stat * 2, IF(bbgm_stat &gt;= perc_85, converted_stat * 1.5, converted_stat)))))</f>
        <v/>
      </c>
      <c r="V829" s="30" t="str">
        <f t="array" ref="V829">IF($A829="", "", LET(bbgm_stat, INDEX(Players!$A828:$P828, MATCH(V$2, Players!$A$1:$P$1, 0)), perc_75, VLOOKUP(V$2, Percentiles!$A$45:$I$59, 6, FALSE), perc_90, VLOOKUP(V$2, Percentiles!$A$45:$I$59, 7, FALSE), perc_95, VLOOKUP(V$2, Percentiles!$A$45:$I$59, 8, FALSE), perc_85, perc_75 + (perc_90 - perc_75) * (2/3), converted_stat, '2K_Ratings'!V829, IF(bbgm_stat &gt;= perc_95, converted_stat * 3, IF(bbgm_stat &gt;= perc_90, converted_stat * 2, IF(bbgm_stat &gt;= perc_85, converted_stat * 1.5, converted_stat)))))</f>
        <v/>
      </c>
      <c r="W829" s="30" t="str">
        <f t="array" ref="W829">IF($A829="", "", LET(bbgm_stat, INDEX(Players!$A828:$P828, MATCH(W$2, Players!$A$1:$P$1, 0)), perc_75, VLOOKUP(W$2, Percentiles!$A$45:$I$59, 6, FALSE), perc_90, VLOOKUP(W$2, Percentiles!$A$45:$I$59, 7, FALSE), perc_95, VLOOKUP(W$2, Percentiles!$A$45:$I$59, 8, FALSE), perc_85, perc_75 + (perc_90 - perc_75) * (2/3), converted_stat, '2K_Ratings'!W829, IF(bbgm_stat &gt;= perc_95, converted_stat * 3, IF(bbgm_stat &gt;= perc_90, converted_stat * 2, IF(bbgm_stat &gt;= perc_85, converted_stat * 1.5, converted_stat)))))</f>
        <v/>
      </c>
    </row>
    <row r="830">
      <c r="A830" s="30"/>
      <c r="B830" s="30" t="str">
        <f t="array" ref="B830">IF($A830="", "", LET(bbgm_stat, INDEX(Players!$A829:$P829, MATCH(B$2, Players!$A$1:$P$1, 0)), perc_75, VLOOKUP(B$2, Percentiles!$A$45:$I$59, 6, FALSE), perc_90, VLOOKUP(B$2, Percentiles!$A$45:$I$59, 7, FALSE), perc_95, VLOOKUP(B$2, Percentiles!$A$45:$I$59, 8, FALSE), perc_85, perc_75 + (perc_90 - perc_75) * (2/3), converted_stat, '2K_Ratings'!B830, IF(bbgm_stat &gt;= perc_95, converted_stat * 3, IF(bbgm_stat &gt;= perc_90, converted_stat * 2, IF(bbgm_stat &gt;= perc_85, converted_stat * 1.5, converted_stat)))))</f>
        <v/>
      </c>
      <c r="C830" s="30" t="str">
        <f t="array" ref="C830">IF($A830="", "", LET(bbgm_stat, INDEX(Players!$A829:$P829, MATCH(C$2, Players!$A$1:$P$1, 0)), perc_75, VLOOKUP(C$2, Percentiles!$A$45:$I$59, 6, FALSE), perc_90, VLOOKUP(C$2, Percentiles!$A$45:$I$59, 7, FALSE), perc_95, VLOOKUP(C$2, Percentiles!$A$45:$I$59, 8, FALSE), perc_85, perc_75 + (perc_90 - perc_75) * (2/3), converted_stat, '2K_Ratings'!C830, IF(bbgm_stat &gt;= perc_95, converted_stat * 3, IF(bbgm_stat &gt;= perc_90, converted_stat * 2, IF(bbgm_stat &gt;= perc_85, converted_stat * 1.5, converted_stat)))))</f>
        <v/>
      </c>
      <c r="D830" s="30" t="str">
        <f t="array" ref="D830">IF($A830="", "", LET(bbgm_stat, INDEX(Players!$A829:$P829, MATCH(D$2, Players!$A$1:$P$1, 0)), perc_75, VLOOKUP(D$2, Percentiles!$A$45:$I$59, 6, FALSE), perc_90, VLOOKUP(D$2, Percentiles!$A$45:$I$59, 7, FALSE), perc_95, VLOOKUP(D$2, Percentiles!$A$45:$I$59, 8, FALSE), perc_85, perc_75 + (perc_90 - perc_75) * (2/3), converted_stat, '2K_Ratings'!D830, IF(bbgm_stat &gt;= perc_95, converted_stat * 3, IF(bbgm_stat &gt;= perc_90, converted_stat * 2, IF(bbgm_stat &gt;= perc_85, converted_stat * 1.5, converted_stat)))))</f>
        <v/>
      </c>
      <c r="E830" s="30" t="str">
        <f t="array" ref="E830">IF($A830="", "", LET(bbgm_stat, INDEX(Players!$A829:$P829, MATCH(E$2, Players!$A$1:$P$1, 0)), perc_75, VLOOKUP(E$2, Percentiles!$A$45:$I$59, 6, FALSE), perc_90, VLOOKUP(E$2, Percentiles!$A$45:$I$59, 7, FALSE), perc_95, VLOOKUP(E$2, Percentiles!$A$45:$I$59, 8, FALSE), perc_85, perc_75 + (perc_90 - perc_75) * (2/3), converted_stat, '2K_Ratings'!E830, IF(bbgm_stat &gt;= perc_95, converted_stat * 3, IF(bbgm_stat &gt;= perc_90, converted_stat * 2, IF(bbgm_stat &gt;= perc_85, converted_stat * 1.5, converted_stat)))))</f>
        <v/>
      </c>
      <c r="F830" s="30" t="str">
        <f t="array" ref="F830">IF($A830="", "", LET(bbgm_stat, INDEX(Players!$A829:$P829, MATCH(F$2, Players!$A$1:$P$1, 0)), perc_75, VLOOKUP(F$2, Percentiles!$A$45:$I$59, 6, FALSE), perc_90, VLOOKUP(F$2, Percentiles!$A$45:$I$59, 7, FALSE), perc_95, VLOOKUP(F$2, Percentiles!$A$45:$I$59, 8, FALSE), perc_85, perc_75 + (perc_90 - perc_75) * (2/3), converted_stat, '2K_Ratings'!F830, IF(bbgm_stat &gt;= perc_95, converted_stat * 3, IF(bbgm_stat &gt;= perc_90, converted_stat * 2, IF(bbgm_stat &gt;= perc_85, converted_stat * 1.5, converted_stat)))))</f>
        <v/>
      </c>
      <c r="G830" s="30" t="str">
        <f t="array" ref="G830">IF($A830="", "", LET(bbgm_stat, INDEX(Players!$A829:$P829, MATCH(G$2, Players!$A$1:$P$1, 0)), perc_75, VLOOKUP(G$2, Percentiles!$A$45:$I$59, 6, FALSE), perc_90, VLOOKUP(G$2, Percentiles!$A$45:$I$59, 7, FALSE), perc_95, VLOOKUP(G$2, Percentiles!$A$45:$I$59, 8, FALSE), perc_85, perc_75 + (perc_90 - perc_75) * (2/3), converted_stat, '2K_Ratings'!G830, IF(bbgm_stat &gt;= perc_95, converted_stat * 3, IF(bbgm_stat &gt;= perc_90, converted_stat * 2, IF(bbgm_stat &gt;= perc_85, converted_stat * 1.5, converted_stat)))))</f>
        <v/>
      </c>
      <c r="H830" s="30" t="str">
        <f t="array" ref="H830">IF($A830="", "", LET(bbgm_stat, INDEX(Players!$A829:$P829, MATCH(H$2, Players!$A$1:$P$1, 0)), perc_75, VLOOKUP(H$2, Percentiles!$A$45:$I$59, 6, FALSE), perc_90, VLOOKUP(H$2, Percentiles!$A$45:$I$59, 7, FALSE), perc_95, VLOOKUP(H$2, Percentiles!$A$45:$I$59, 8, FALSE), perc_85, perc_75 + (perc_90 - perc_75) * (2/3), converted_stat, '2K_Ratings'!H830, IF(bbgm_stat &gt;= perc_95, converted_stat * 3, IF(bbgm_stat &gt;= perc_90, converted_stat * 2, IF(bbgm_stat &gt;= perc_85, converted_stat * 1.5, converted_stat)))))</f>
        <v/>
      </c>
      <c r="I830" s="30" t="str">
        <f t="array" ref="I830">IF($A830="", "", LET(bbgm_stat, INDEX(Players!$A829:$P829, MATCH(I$2, Players!$A$1:$P$1, 0)), perc_75, VLOOKUP(I$2, Percentiles!$A$45:$I$59, 6, FALSE), perc_90, VLOOKUP(I$2, Percentiles!$A$45:$I$59, 7, FALSE), perc_95, VLOOKUP(I$2, Percentiles!$A$45:$I$59, 8, FALSE), perc_85, perc_75 + (perc_90 - perc_75) * (2/3), converted_stat, '2K_Ratings'!I830, IF(bbgm_stat &gt;= perc_95, converted_stat * 3, IF(bbgm_stat &gt;= perc_90, converted_stat * 2, IF(bbgm_stat &gt;= perc_85, converted_stat * 1.5, converted_stat)))))</f>
        <v/>
      </c>
      <c r="J830" s="30" t="str">
        <f t="array" ref="J830">IF($A830="", "", LET(bbgm_stat, INDEX(Players!$A829:$P829, MATCH(J$2, Players!$A$1:$P$1, 0)), perc_75, VLOOKUP(J$2, Percentiles!$A$45:$I$59, 6, FALSE), perc_90, VLOOKUP(J$2, Percentiles!$A$45:$I$59, 7, FALSE), perc_95, VLOOKUP(J$2, Percentiles!$A$45:$I$59, 8, FALSE), perc_85, perc_75 + (perc_90 - perc_75) * (2/3), converted_stat, '2K_Ratings'!J830, IF(bbgm_stat &gt;= perc_95, converted_stat * 3, IF(bbgm_stat &gt;= perc_90, converted_stat * 2, IF(bbgm_stat &gt;= perc_85, converted_stat * 1.5, converted_stat)))))</f>
        <v/>
      </c>
      <c r="K830" s="30" t="str">
        <f t="array" ref="K830">IF($A830="", "", LET(bbgm_stat, INDEX(Players!$A829:$P829, MATCH(K$2, Players!$A$1:$P$1, 0)), perc_75, VLOOKUP(K$2, Percentiles!$A$45:$I$59, 6, FALSE), perc_90, VLOOKUP(K$2, Percentiles!$A$45:$I$59, 7, FALSE), perc_95, VLOOKUP(K$2, Percentiles!$A$45:$I$59, 8, FALSE), perc_85, perc_75 + (perc_90 - perc_75) * (2/3), converted_stat, '2K_Ratings'!K830, IF(bbgm_stat &gt;= perc_95, converted_stat * 3, IF(bbgm_stat &gt;= perc_90, converted_stat * 2, IF(bbgm_stat &gt;= perc_85, converted_stat * 1.5, converted_stat)))))</f>
        <v/>
      </c>
      <c r="L830" s="30" t="str">
        <f t="array" ref="L830">IF($A830="", "", LET(bbgm_stat, INDEX(Players!$A829:$P829, MATCH(L$2, Players!$A$1:$P$1, 0)), perc_75, VLOOKUP(L$2, Percentiles!$A$45:$I$59, 6, FALSE), perc_90, VLOOKUP(L$2, Percentiles!$A$45:$I$59, 7, FALSE), perc_95, VLOOKUP(L$2, Percentiles!$A$45:$I$59, 8, FALSE), perc_85, perc_75 + (perc_90 - perc_75) * (2/3), converted_stat, '2K_Ratings'!L830, IF(bbgm_stat &gt;= perc_95, converted_stat * 3, IF(bbgm_stat &gt;= perc_90, converted_stat * 2, IF(bbgm_stat &gt;= perc_85, converted_stat * 1.5, converted_stat)))))</f>
        <v/>
      </c>
      <c r="M830" s="30" t="str">
        <f t="array" ref="M830">IF($A830="", "", LET(bbgm_stat, INDEX(Players!$A829:$P829, MATCH(M$2, Players!$A$1:$P$1, 0)), perc_75, VLOOKUP(M$2, Percentiles!$A$45:$I$59, 6, FALSE), perc_90, VLOOKUP(M$2, Percentiles!$A$45:$I$59, 7, FALSE), perc_95, VLOOKUP(M$2, Percentiles!$A$45:$I$59, 8, FALSE), perc_85, perc_75 + (perc_90 - perc_75) * (2/3), converted_stat, '2K_Ratings'!M830, IF(bbgm_stat &gt;= perc_95, converted_stat * 3, IF(bbgm_stat &gt;= perc_90, converted_stat * 2, IF(bbgm_stat &gt;= perc_85, converted_stat * 1.5, converted_stat)))))</f>
        <v/>
      </c>
      <c r="N830" s="30" t="str">
        <f t="array" ref="N830">IF($A830="", "", LET(bbgm_stat, INDEX(Players!$A829:$P829, MATCH(N$2, Players!$A$1:$P$1, 0)), perc_75, VLOOKUP(N$2, Percentiles!$A$45:$I$59, 6, FALSE), perc_90, VLOOKUP(N$2, Percentiles!$A$45:$I$59, 7, FALSE), perc_95, VLOOKUP(N$2, Percentiles!$A$45:$I$59, 8, FALSE), perc_85, perc_75 + (perc_90 - perc_75) * (2/3), converted_stat, '2K_Ratings'!N830, IF(bbgm_stat &gt;= perc_95, converted_stat * 3, IF(bbgm_stat &gt;= perc_90, converted_stat * 2, IF(bbgm_stat &gt;= perc_85, converted_stat * 1.5, converted_stat)))))</f>
        <v/>
      </c>
      <c r="O830" s="30" t="str">
        <f t="array" ref="O830">IF($A830="", "", LET(bbgm_stat, INDEX(Players!$A829:$P829, MATCH(O$2, Players!$A$1:$P$1, 0)), perc_75, VLOOKUP(O$2, Percentiles!$A$45:$I$59, 6, FALSE), perc_90, VLOOKUP(O$2, Percentiles!$A$45:$I$59, 7, FALSE), perc_95, VLOOKUP(O$2, Percentiles!$A$45:$I$59, 8, FALSE), perc_85, perc_75 + (perc_90 - perc_75) * (2/3), converted_stat, '2K_Ratings'!O830, IF(bbgm_stat &gt;= perc_95, converted_stat * 3, IF(bbgm_stat &gt;= perc_90, converted_stat * 2, IF(bbgm_stat &gt;= perc_85, converted_stat * 1.5, converted_stat)))))</f>
        <v/>
      </c>
      <c r="P830" s="30" t="str">
        <f t="array" ref="P830">IF($A830="", "", LET(bbgm_stat, INDEX(Players!$A829:$P829, MATCH(P$2, Players!$A$1:$P$1, 0)), perc_75, VLOOKUP(P$2, Percentiles!$A$45:$I$59, 6, FALSE), perc_90, VLOOKUP(P$2, Percentiles!$A$45:$I$59, 7, FALSE), perc_95, VLOOKUP(P$2, Percentiles!$A$45:$I$59, 8, FALSE), perc_85, perc_75 + (perc_90 - perc_75) * (2/3), converted_stat, '2K_Ratings'!P830, IF(bbgm_stat &gt;= perc_95, converted_stat * 3, IF(bbgm_stat &gt;= perc_90, converted_stat * 2, IF(bbgm_stat &gt;= perc_85, converted_stat * 1.5, converted_stat)))))</f>
        <v/>
      </c>
      <c r="Q830" s="30" t="str">
        <f t="array" ref="Q830">IF($A830="", "", LET(bbgm_stat, INDEX(Players!$A829:$P829, MATCH(Q$2, Players!$A$1:$P$1, 0)), perc_75, VLOOKUP(Q$2, Percentiles!$A$45:$I$59, 6, FALSE), perc_90, VLOOKUP(Q$2, Percentiles!$A$45:$I$59, 7, FALSE), perc_95, VLOOKUP(Q$2, Percentiles!$A$45:$I$59, 8, FALSE), perc_85, perc_75 + (perc_90 - perc_75) * (2/3), converted_stat, '2K_Ratings'!Q830, IF(bbgm_stat &gt;= perc_95, converted_stat * 3, IF(bbgm_stat &gt;= perc_90, converted_stat * 2, IF(bbgm_stat &gt;= perc_85, converted_stat * 1.5, converted_stat)))))</f>
        <v/>
      </c>
      <c r="R830" s="30" t="str">
        <f t="array" ref="R830">IF($A830="", "", LET(bbgm_stat, INDEX(Players!$A829:$P829, MATCH(R$2, Players!$A$1:$P$1, 0)), perc_75, VLOOKUP(R$2, Percentiles!$A$45:$I$59, 6, FALSE), perc_90, VLOOKUP(R$2, Percentiles!$A$45:$I$59, 7, FALSE), perc_95, VLOOKUP(R$2, Percentiles!$A$45:$I$59, 8, FALSE), perc_85, perc_75 + (perc_90 - perc_75) * (2/3), converted_stat, '2K_Ratings'!R830, IF(bbgm_stat &gt;= perc_95, converted_stat * 3, IF(bbgm_stat &gt;= perc_90, converted_stat * 2, IF(bbgm_stat &gt;= perc_85, converted_stat * 1.5, converted_stat)))))</f>
        <v/>
      </c>
      <c r="S830" s="30" t="str">
        <f t="array" ref="S830">IF($A830="", "", LET(bbgm_stat, INDEX(Players!$A829:$P829, MATCH(S$2, Players!$A$1:$P$1, 0)), perc_75, VLOOKUP(S$2, Percentiles!$A$45:$I$59, 6, FALSE), perc_90, VLOOKUP(S$2, Percentiles!$A$45:$I$59, 7, FALSE), perc_95, VLOOKUP(S$2, Percentiles!$A$45:$I$59, 8, FALSE), perc_85, perc_75 + (perc_90 - perc_75) * (2/3), converted_stat, '2K_Ratings'!S830, IF(bbgm_stat &gt;= perc_95, converted_stat * 3, IF(bbgm_stat &gt;= perc_90, converted_stat * 2, IF(bbgm_stat &gt;= perc_85, converted_stat * 1.5, converted_stat)))))</f>
        <v/>
      </c>
      <c r="T830" s="30" t="str">
        <f t="array" ref="T830">IF($A830="", "", LET(bbgm_stat, INDEX(Players!$A829:$P829, MATCH(T$2, Players!$A$1:$P$1, 0)), perc_75, VLOOKUP(T$2, Percentiles!$A$45:$I$59, 6, FALSE), perc_90, VLOOKUP(T$2, Percentiles!$A$45:$I$59, 7, FALSE), perc_95, VLOOKUP(T$2, Percentiles!$A$45:$I$59, 8, FALSE), perc_85, perc_75 + (perc_90 - perc_75) * (2/3), converted_stat, '2K_Ratings'!T830, IF(bbgm_stat &gt;= perc_95, converted_stat * 3, IF(bbgm_stat &gt;= perc_90, converted_stat * 2, IF(bbgm_stat &gt;= perc_85, converted_stat * 1.5, converted_stat)))))</f>
        <v/>
      </c>
      <c r="U830" s="30" t="str">
        <f t="array" ref="U830">IF($A830="", "", LET(bbgm_stat, INDEX(Players!$A829:$P829, MATCH(U$2, Players!$A$1:$P$1, 0)), perc_75, VLOOKUP(U$2, Percentiles!$A$45:$I$59, 6, FALSE), perc_90, VLOOKUP(U$2, Percentiles!$A$45:$I$59, 7, FALSE), perc_95, VLOOKUP(U$2, Percentiles!$A$45:$I$59, 8, FALSE), perc_85, perc_75 + (perc_90 - perc_75) * (2/3), converted_stat, '2K_Ratings'!U830, IF(bbgm_stat &gt;= perc_95, converted_stat * 3, IF(bbgm_stat &gt;= perc_90, converted_stat * 2, IF(bbgm_stat &gt;= perc_85, converted_stat * 1.5, converted_stat)))))</f>
        <v/>
      </c>
      <c r="V830" s="30" t="str">
        <f t="array" ref="V830">IF($A830="", "", LET(bbgm_stat, INDEX(Players!$A829:$P829, MATCH(V$2, Players!$A$1:$P$1, 0)), perc_75, VLOOKUP(V$2, Percentiles!$A$45:$I$59, 6, FALSE), perc_90, VLOOKUP(V$2, Percentiles!$A$45:$I$59, 7, FALSE), perc_95, VLOOKUP(V$2, Percentiles!$A$45:$I$59, 8, FALSE), perc_85, perc_75 + (perc_90 - perc_75) * (2/3), converted_stat, '2K_Ratings'!V830, IF(bbgm_stat &gt;= perc_95, converted_stat * 3, IF(bbgm_stat &gt;= perc_90, converted_stat * 2, IF(bbgm_stat &gt;= perc_85, converted_stat * 1.5, converted_stat)))))</f>
        <v/>
      </c>
      <c r="W830" s="30" t="str">
        <f t="array" ref="W830">IF($A830="", "", LET(bbgm_stat, INDEX(Players!$A829:$P829, MATCH(W$2, Players!$A$1:$P$1, 0)), perc_75, VLOOKUP(W$2, Percentiles!$A$45:$I$59, 6, FALSE), perc_90, VLOOKUP(W$2, Percentiles!$A$45:$I$59, 7, FALSE), perc_95, VLOOKUP(W$2, Percentiles!$A$45:$I$59, 8, FALSE), perc_85, perc_75 + (perc_90 - perc_75) * (2/3), converted_stat, '2K_Ratings'!W830, IF(bbgm_stat &gt;= perc_95, converted_stat * 3, IF(bbgm_stat &gt;= perc_90, converted_stat * 2, IF(bbgm_stat &gt;= perc_85, converted_stat * 1.5, converted_stat)))))</f>
        <v/>
      </c>
    </row>
    <row r="831">
      <c r="A831" s="30"/>
      <c r="B831" s="30" t="str">
        <f t="array" ref="B831">IF($A831="", "", LET(bbgm_stat, INDEX(Players!$A830:$P830, MATCH(B$2, Players!$A$1:$P$1, 0)), perc_75, VLOOKUP(B$2, Percentiles!$A$45:$I$59, 6, FALSE), perc_90, VLOOKUP(B$2, Percentiles!$A$45:$I$59, 7, FALSE), perc_95, VLOOKUP(B$2, Percentiles!$A$45:$I$59, 8, FALSE), perc_85, perc_75 + (perc_90 - perc_75) * (2/3), converted_stat, '2K_Ratings'!B831, IF(bbgm_stat &gt;= perc_95, converted_stat * 3, IF(bbgm_stat &gt;= perc_90, converted_stat * 2, IF(bbgm_stat &gt;= perc_85, converted_stat * 1.5, converted_stat)))))</f>
        <v/>
      </c>
      <c r="C831" s="30" t="str">
        <f t="array" ref="C831">IF($A831="", "", LET(bbgm_stat, INDEX(Players!$A830:$P830, MATCH(C$2, Players!$A$1:$P$1, 0)), perc_75, VLOOKUP(C$2, Percentiles!$A$45:$I$59, 6, FALSE), perc_90, VLOOKUP(C$2, Percentiles!$A$45:$I$59, 7, FALSE), perc_95, VLOOKUP(C$2, Percentiles!$A$45:$I$59, 8, FALSE), perc_85, perc_75 + (perc_90 - perc_75) * (2/3), converted_stat, '2K_Ratings'!C831, IF(bbgm_stat &gt;= perc_95, converted_stat * 3, IF(bbgm_stat &gt;= perc_90, converted_stat * 2, IF(bbgm_stat &gt;= perc_85, converted_stat * 1.5, converted_stat)))))</f>
        <v/>
      </c>
      <c r="D831" s="30" t="str">
        <f t="array" ref="D831">IF($A831="", "", LET(bbgm_stat, INDEX(Players!$A830:$P830, MATCH(D$2, Players!$A$1:$P$1, 0)), perc_75, VLOOKUP(D$2, Percentiles!$A$45:$I$59, 6, FALSE), perc_90, VLOOKUP(D$2, Percentiles!$A$45:$I$59, 7, FALSE), perc_95, VLOOKUP(D$2, Percentiles!$A$45:$I$59, 8, FALSE), perc_85, perc_75 + (perc_90 - perc_75) * (2/3), converted_stat, '2K_Ratings'!D831, IF(bbgm_stat &gt;= perc_95, converted_stat * 3, IF(bbgm_stat &gt;= perc_90, converted_stat * 2, IF(bbgm_stat &gt;= perc_85, converted_stat * 1.5, converted_stat)))))</f>
        <v/>
      </c>
      <c r="E831" s="30" t="str">
        <f t="array" ref="E831">IF($A831="", "", LET(bbgm_stat, INDEX(Players!$A830:$P830, MATCH(E$2, Players!$A$1:$P$1, 0)), perc_75, VLOOKUP(E$2, Percentiles!$A$45:$I$59, 6, FALSE), perc_90, VLOOKUP(E$2, Percentiles!$A$45:$I$59, 7, FALSE), perc_95, VLOOKUP(E$2, Percentiles!$A$45:$I$59, 8, FALSE), perc_85, perc_75 + (perc_90 - perc_75) * (2/3), converted_stat, '2K_Ratings'!E831, IF(bbgm_stat &gt;= perc_95, converted_stat * 3, IF(bbgm_stat &gt;= perc_90, converted_stat * 2, IF(bbgm_stat &gt;= perc_85, converted_stat * 1.5, converted_stat)))))</f>
        <v/>
      </c>
      <c r="F831" s="30" t="str">
        <f t="array" ref="F831">IF($A831="", "", LET(bbgm_stat, INDEX(Players!$A830:$P830, MATCH(F$2, Players!$A$1:$P$1, 0)), perc_75, VLOOKUP(F$2, Percentiles!$A$45:$I$59, 6, FALSE), perc_90, VLOOKUP(F$2, Percentiles!$A$45:$I$59, 7, FALSE), perc_95, VLOOKUP(F$2, Percentiles!$A$45:$I$59, 8, FALSE), perc_85, perc_75 + (perc_90 - perc_75) * (2/3), converted_stat, '2K_Ratings'!F831, IF(bbgm_stat &gt;= perc_95, converted_stat * 3, IF(bbgm_stat &gt;= perc_90, converted_stat * 2, IF(bbgm_stat &gt;= perc_85, converted_stat * 1.5, converted_stat)))))</f>
        <v/>
      </c>
      <c r="G831" s="30" t="str">
        <f t="array" ref="G831">IF($A831="", "", LET(bbgm_stat, INDEX(Players!$A830:$P830, MATCH(G$2, Players!$A$1:$P$1, 0)), perc_75, VLOOKUP(G$2, Percentiles!$A$45:$I$59, 6, FALSE), perc_90, VLOOKUP(G$2, Percentiles!$A$45:$I$59, 7, FALSE), perc_95, VLOOKUP(G$2, Percentiles!$A$45:$I$59, 8, FALSE), perc_85, perc_75 + (perc_90 - perc_75) * (2/3), converted_stat, '2K_Ratings'!G831, IF(bbgm_stat &gt;= perc_95, converted_stat * 3, IF(bbgm_stat &gt;= perc_90, converted_stat * 2, IF(bbgm_stat &gt;= perc_85, converted_stat * 1.5, converted_stat)))))</f>
        <v/>
      </c>
      <c r="H831" s="30" t="str">
        <f t="array" ref="H831">IF($A831="", "", LET(bbgm_stat, INDEX(Players!$A830:$P830, MATCH(H$2, Players!$A$1:$P$1, 0)), perc_75, VLOOKUP(H$2, Percentiles!$A$45:$I$59, 6, FALSE), perc_90, VLOOKUP(H$2, Percentiles!$A$45:$I$59, 7, FALSE), perc_95, VLOOKUP(H$2, Percentiles!$A$45:$I$59, 8, FALSE), perc_85, perc_75 + (perc_90 - perc_75) * (2/3), converted_stat, '2K_Ratings'!H831, IF(bbgm_stat &gt;= perc_95, converted_stat * 3, IF(bbgm_stat &gt;= perc_90, converted_stat * 2, IF(bbgm_stat &gt;= perc_85, converted_stat * 1.5, converted_stat)))))</f>
        <v/>
      </c>
      <c r="I831" s="30" t="str">
        <f t="array" ref="I831">IF($A831="", "", LET(bbgm_stat, INDEX(Players!$A830:$P830, MATCH(I$2, Players!$A$1:$P$1, 0)), perc_75, VLOOKUP(I$2, Percentiles!$A$45:$I$59, 6, FALSE), perc_90, VLOOKUP(I$2, Percentiles!$A$45:$I$59, 7, FALSE), perc_95, VLOOKUP(I$2, Percentiles!$A$45:$I$59, 8, FALSE), perc_85, perc_75 + (perc_90 - perc_75) * (2/3), converted_stat, '2K_Ratings'!I831, IF(bbgm_stat &gt;= perc_95, converted_stat * 3, IF(bbgm_stat &gt;= perc_90, converted_stat * 2, IF(bbgm_stat &gt;= perc_85, converted_stat * 1.5, converted_stat)))))</f>
        <v/>
      </c>
      <c r="J831" s="30" t="str">
        <f t="array" ref="J831">IF($A831="", "", LET(bbgm_stat, INDEX(Players!$A830:$P830, MATCH(J$2, Players!$A$1:$P$1, 0)), perc_75, VLOOKUP(J$2, Percentiles!$A$45:$I$59, 6, FALSE), perc_90, VLOOKUP(J$2, Percentiles!$A$45:$I$59, 7, FALSE), perc_95, VLOOKUP(J$2, Percentiles!$A$45:$I$59, 8, FALSE), perc_85, perc_75 + (perc_90 - perc_75) * (2/3), converted_stat, '2K_Ratings'!J831, IF(bbgm_stat &gt;= perc_95, converted_stat * 3, IF(bbgm_stat &gt;= perc_90, converted_stat * 2, IF(bbgm_stat &gt;= perc_85, converted_stat * 1.5, converted_stat)))))</f>
        <v/>
      </c>
      <c r="K831" s="30" t="str">
        <f t="array" ref="K831">IF($A831="", "", LET(bbgm_stat, INDEX(Players!$A830:$P830, MATCH(K$2, Players!$A$1:$P$1, 0)), perc_75, VLOOKUP(K$2, Percentiles!$A$45:$I$59, 6, FALSE), perc_90, VLOOKUP(K$2, Percentiles!$A$45:$I$59, 7, FALSE), perc_95, VLOOKUP(K$2, Percentiles!$A$45:$I$59, 8, FALSE), perc_85, perc_75 + (perc_90 - perc_75) * (2/3), converted_stat, '2K_Ratings'!K831, IF(bbgm_stat &gt;= perc_95, converted_stat * 3, IF(bbgm_stat &gt;= perc_90, converted_stat * 2, IF(bbgm_stat &gt;= perc_85, converted_stat * 1.5, converted_stat)))))</f>
        <v/>
      </c>
      <c r="L831" s="30" t="str">
        <f t="array" ref="L831">IF($A831="", "", LET(bbgm_stat, INDEX(Players!$A830:$P830, MATCH(L$2, Players!$A$1:$P$1, 0)), perc_75, VLOOKUP(L$2, Percentiles!$A$45:$I$59, 6, FALSE), perc_90, VLOOKUP(L$2, Percentiles!$A$45:$I$59, 7, FALSE), perc_95, VLOOKUP(L$2, Percentiles!$A$45:$I$59, 8, FALSE), perc_85, perc_75 + (perc_90 - perc_75) * (2/3), converted_stat, '2K_Ratings'!L831, IF(bbgm_stat &gt;= perc_95, converted_stat * 3, IF(bbgm_stat &gt;= perc_90, converted_stat * 2, IF(bbgm_stat &gt;= perc_85, converted_stat * 1.5, converted_stat)))))</f>
        <v/>
      </c>
      <c r="M831" s="30" t="str">
        <f t="array" ref="M831">IF($A831="", "", LET(bbgm_stat, INDEX(Players!$A830:$P830, MATCH(M$2, Players!$A$1:$P$1, 0)), perc_75, VLOOKUP(M$2, Percentiles!$A$45:$I$59, 6, FALSE), perc_90, VLOOKUP(M$2, Percentiles!$A$45:$I$59, 7, FALSE), perc_95, VLOOKUP(M$2, Percentiles!$A$45:$I$59, 8, FALSE), perc_85, perc_75 + (perc_90 - perc_75) * (2/3), converted_stat, '2K_Ratings'!M831, IF(bbgm_stat &gt;= perc_95, converted_stat * 3, IF(bbgm_stat &gt;= perc_90, converted_stat * 2, IF(bbgm_stat &gt;= perc_85, converted_stat * 1.5, converted_stat)))))</f>
        <v/>
      </c>
      <c r="N831" s="30" t="str">
        <f t="array" ref="N831">IF($A831="", "", LET(bbgm_stat, INDEX(Players!$A830:$P830, MATCH(N$2, Players!$A$1:$P$1, 0)), perc_75, VLOOKUP(N$2, Percentiles!$A$45:$I$59, 6, FALSE), perc_90, VLOOKUP(N$2, Percentiles!$A$45:$I$59, 7, FALSE), perc_95, VLOOKUP(N$2, Percentiles!$A$45:$I$59, 8, FALSE), perc_85, perc_75 + (perc_90 - perc_75) * (2/3), converted_stat, '2K_Ratings'!N831, IF(bbgm_stat &gt;= perc_95, converted_stat * 3, IF(bbgm_stat &gt;= perc_90, converted_stat * 2, IF(bbgm_stat &gt;= perc_85, converted_stat * 1.5, converted_stat)))))</f>
        <v/>
      </c>
      <c r="O831" s="30" t="str">
        <f t="array" ref="O831">IF($A831="", "", LET(bbgm_stat, INDEX(Players!$A830:$P830, MATCH(O$2, Players!$A$1:$P$1, 0)), perc_75, VLOOKUP(O$2, Percentiles!$A$45:$I$59, 6, FALSE), perc_90, VLOOKUP(O$2, Percentiles!$A$45:$I$59, 7, FALSE), perc_95, VLOOKUP(O$2, Percentiles!$A$45:$I$59, 8, FALSE), perc_85, perc_75 + (perc_90 - perc_75) * (2/3), converted_stat, '2K_Ratings'!O831, IF(bbgm_stat &gt;= perc_95, converted_stat * 3, IF(bbgm_stat &gt;= perc_90, converted_stat * 2, IF(bbgm_stat &gt;= perc_85, converted_stat * 1.5, converted_stat)))))</f>
        <v/>
      </c>
      <c r="P831" s="30" t="str">
        <f t="array" ref="P831">IF($A831="", "", LET(bbgm_stat, INDEX(Players!$A830:$P830, MATCH(P$2, Players!$A$1:$P$1, 0)), perc_75, VLOOKUP(P$2, Percentiles!$A$45:$I$59, 6, FALSE), perc_90, VLOOKUP(P$2, Percentiles!$A$45:$I$59, 7, FALSE), perc_95, VLOOKUP(P$2, Percentiles!$A$45:$I$59, 8, FALSE), perc_85, perc_75 + (perc_90 - perc_75) * (2/3), converted_stat, '2K_Ratings'!P831, IF(bbgm_stat &gt;= perc_95, converted_stat * 3, IF(bbgm_stat &gt;= perc_90, converted_stat * 2, IF(bbgm_stat &gt;= perc_85, converted_stat * 1.5, converted_stat)))))</f>
        <v/>
      </c>
      <c r="Q831" s="30" t="str">
        <f t="array" ref="Q831">IF($A831="", "", LET(bbgm_stat, INDEX(Players!$A830:$P830, MATCH(Q$2, Players!$A$1:$P$1, 0)), perc_75, VLOOKUP(Q$2, Percentiles!$A$45:$I$59, 6, FALSE), perc_90, VLOOKUP(Q$2, Percentiles!$A$45:$I$59, 7, FALSE), perc_95, VLOOKUP(Q$2, Percentiles!$A$45:$I$59, 8, FALSE), perc_85, perc_75 + (perc_90 - perc_75) * (2/3), converted_stat, '2K_Ratings'!Q831, IF(bbgm_stat &gt;= perc_95, converted_stat * 3, IF(bbgm_stat &gt;= perc_90, converted_stat * 2, IF(bbgm_stat &gt;= perc_85, converted_stat * 1.5, converted_stat)))))</f>
        <v/>
      </c>
      <c r="R831" s="30" t="str">
        <f t="array" ref="R831">IF($A831="", "", LET(bbgm_stat, INDEX(Players!$A830:$P830, MATCH(R$2, Players!$A$1:$P$1, 0)), perc_75, VLOOKUP(R$2, Percentiles!$A$45:$I$59, 6, FALSE), perc_90, VLOOKUP(R$2, Percentiles!$A$45:$I$59, 7, FALSE), perc_95, VLOOKUP(R$2, Percentiles!$A$45:$I$59, 8, FALSE), perc_85, perc_75 + (perc_90 - perc_75) * (2/3), converted_stat, '2K_Ratings'!R831, IF(bbgm_stat &gt;= perc_95, converted_stat * 3, IF(bbgm_stat &gt;= perc_90, converted_stat * 2, IF(bbgm_stat &gt;= perc_85, converted_stat * 1.5, converted_stat)))))</f>
        <v/>
      </c>
      <c r="S831" s="30" t="str">
        <f t="array" ref="S831">IF($A831="", "", LET(bbgm_stat, INDEX(Players!$A830:$P830, MATCH(S$2, Players!$A$1:$P$1, 0)), perc_75, VLOOKUP(S$2, Percentiles!$A$45:$I$59, 6, FALSE), perc_90, VLOOKUP(S$2, Percentiles!$A$45:$I$59, 7, FALSE), perc_95, VLOOKUP(S$2, Percentiles!$A$45:$I$59, 8, FALSE), perc_85, perc_75 + (perc_90 - perc_75) * (2/3), converted_stat, '2K_Ratings'!S831, IF(bbgm_stat &gt;= perc_95, converted_stat * 3, IF(bbgm_stat &gt;= perc_90, converted_stat * 2, IF(bbgm_stat &gt;= perc_85, converted_stat * 1.5, converted_stat)))))</f>
        <v/>
      </c>
      <c r="T831" s="30" t="str">
        <f t="array" ref="T831">IF($A831="", "", LET(bbgm_stat, INDEX(Players!$A830:$P830, MATCH(T$2, Players!$A$1:$P$1, 0)), perc_75, VLOOKUP(T$2, Percentiles!$A$45:$I$59, 6, FALSE), perc_90, VLOOKUP(T$2, Percentiles!$A$45:$I$59, 7, FALSE), perc_95, VLOOKUP(T$2, Percentiles!$A$45:$I$59, 8, FALSE), perc_85, perc_75 + (perc_90 - perc_75) * (2/3), converted_stat, '2K_Ratings'!T831, IF(bbgm_stat &gt;= perc_95, converted_stat * 3, IF(bbgm_stat &gt;= perc_90, converted_stat * 2, IF(bbgm_stat &gt;= perc_85, converted_stat * 1.5, converted_stat)))))</f>
        <v/>
      </c>
      <c r="U831" s="30" t="str">
        <f t="array" ref="U831">IF($A831="", "", LET(bbgm_stat, INDEX(Players!$A830:$P830, MATCH(U$2, Players!$A$1:$P$1, 0)), perc_75, VLOOKUP(U$2, Percentiles!$A$45:$I$59, 6, FALSE), perc_90, VLOOKUP(U$2, Percentiles!$A$45:$I$59, 7, FALSE), perc_95, VLOOKUP(U$2, Percentiles!$A$45:$I$59, 8, FALSE), perc_85, perc_75 + (perc_90 - perc_75) * (2/3), converted_stat, '2K_Ratings'!U831, IF(bbgm_stat &gt;= perc_95, converted_stat * 3, IF(bbgm_stat &gt;= perc_90, converted_stat * 2, IF(bbgm_stat &gt;= perc_85, converted_stat * 1.5, converted_stat)))))</f>
        <v/>
      </c>
      <c r="V831" s="30" t="str">
        <f t="array" ref="V831">IF($A831="", "", LET(bbgm_stat, INDEX(Players!$A830:$P830, MATCH(V$2, Players!$A$1:$P$1, 0)), perc_75, VLOOKUP(V$2, Percentiles!$A$45:$I$59, 6, FALSE), perc_90, VLOOKUP(V$2, Percentiles!$A$45:$I$59, 7, FALSE), perc_95, VLOOKUP(V$2, Percentiles!$A$45:$I$59, 8, FALSE), perc_85, perc_75 + (perc_90 - perc_75) * (2/3), converted_stat, '2K_Ratings'!V831, IF(bbgm_stat &gt;= perc_95, converted_stat * 3, IF(bbgm_stat &gt;= perc_90, converted_stat * 2, IF(bbgm_stat &gt;= perc_85, converted_stat * 1.5, converted_stat)))))</f>
        <v/>
      </c>
      <c r="W831" s="30" t="str">
        <f t="array" ref="W831">IF($A831="", "", LET(bbgm_stat, INDEX(Players!$A830:$P830, MATCH(W$2, Players!$A$1:$P$1, 0)), perc_75, VLOOKUP(W$2, Percentiles!$A$45:$I$59, 6, FALSE), perc_90, VLOOKUP(W$2, Percentiles!$A$45:$I$59, 7, FALSE), perc_95, VLOOKUP(W$2, Percentiles!$A$45:$I$59, 8, FALSE), perc_85, perc_75 + (perc_90 - perc_75) * (2/3), converted_stat, '2K_Ratings'!W831, IF(bbgm_stat &gt;= perc_95, converted_stat * 3, IF(bbgm_stat &gt;= perc_90, converted_stat * 2, IF(bbgm_stat &gt;= perc_85, converted_stat * 1.5, converted_stat)))))</f>
        <v/>
      </c>
    </row>
    <row r="832">
      <c r="A832" s="30"/>
      <c r="B832" s="30" t="str">
        <f t="array" ref="B832">IF($A832="", "", LET(bbgm_stat, INDEX(Players!$A831:$P831, MATCH(B$2, Players!$A$1:$P$1, 0)), perc_75, VLOOKUP(B$2, Percentiles!$A$45:$I$59, 6, FALSE), perc_90, VLOOKUP(B$2, Percentiles!$A$45:$I$59, 7, FALSE), perc_95, VLOOKUP(B$2, Percentiles!$A$45:$I$59, 8, FALSE), perc_85, perc_75 + (perc_90 - perc_75) * (2/3), converted_stat, '2K_Ratings'!B832, IF(bbgm_stat &gt;= perc_95, converted_stat * 3, IF(bbgm_stat &gt;= perc_90, converted_stat * 2, IF(bbgm_stat &gt;= perc_85, converted_stat * 1.5, converted_stat)))))</f>
        <v/>
      </c>
      <c r="C832" s="30" t="str">
        <f t="array" ref="C832">IF($A832="", "", LET(bbgm_stat, INDEX(Players!$A831:$P831, MATCH(C$2, Players!$A$1:$P$1, 0)), perc_75, VLOOKUP(C$2, Percentiles!$A$45:$I$59, 6, FALSE), perc_90, VLOOKUP(C$2, Percentiles!$A$45:$I$59, 7, FALSE), perc_95, VLOOKUP(C$2, Percentiles!$A$45:$I$59, 8, FALSE), perc_85, perc_75 + (perc_90 - perc_75) * (2/3), converted_stat, '2K_Ratings'!C832, IF(bbgm_stat &gt;= perc_95, converted_stat * 3, IF(bbgm_stat &gt;= perc_90, converted_stat * 2, IF(bbgm_stat &gt;= perc_85, converted_stat * 1.5, converted_stat)))))</f>
        <v/>
      </c>
      <c r="D832" s="30" t="str">
        <f t="array" ref="D832">IF($A832="", "", LET(bbgm_stat, INDEX(Players!$A831:$P831, MATCH(D$2, Players!$A$1:$P$1, 0)), perc_75, VLOOKUP(D$2, Percentiles!$A$45:$I$59, 6, FALSE), perc_90, VLOOKUP(D$2, Percentiles!$A$45:$I$59, 7, FALSE), perc_95, VLOOKUP(D$2, Percentiles!$A$45:$I$59, 8, FALSE), perc_85, perc_75 + (perc_90 - perc_75) * (2/3), converted_stat, '2K_Ratings'!D832, IF(bbgm_stat &gt;= perc_95, converted_stat * 3, IF(bbgm_stat &gt;= perc_90, converted_stat * 2, IF(bbgm_stat &gt;= perc_85, converted_stat * 1.5, converted_stat)))))</f>
        <v/>
      </c>
      <c r="E832" s="30" t="str">
        <f t="array" ref="E832">IF($A832="", "", LET(bbgm_stat, INDEX(Players!$A831:$P831, MATCH(E$2, Players!$A$1:$P$1, 0)), perc_75, VLOOKUP(E$2, Percentiles!$A$45:$I$59, 6, FALSE), perc_90, VLOOKUP(E$2, Percentiles!$A$45:$I$59, 7, FALSE), perc_95, VLOOKUP(E$2, Percentiles!$A$45:$I$59, 8, FALSE), perc_85, perc_75 + (perc_90 - perc_75) * (2/3), converted_stat, '2K_Ratings'!E832, IF(bbgm_stat &gt;= perc_95, converted_stat * 3, IF(bbgm_stat &gt;= perc_90, converted_stat * 2, IF(bbgm_stat &gt;= perc_85, converted_stat * 1.5, converted_stat)))))</f>
        <v/>
      </c>
      <c r="F832" s="30" t="str">
        <f t="array" ref="F832">IF($A832="", "", LET(bbgm_stat, INDEX(Players!$A831:$P831, MATCH(F$2, Players!$A$1:$P$1, 0)), perc_75, VLOOKUP(F$2, Percentiles!$A$45:$I$59, 6, FALSE), perc_90, VLOOKUP(F$2, Percentiles!$A$45:$I$59, 7, FALSE), perc_95, VLOOKUP(F$2, Percentiles!$A$45:$I$59, 8, FALSE), perc_85, perc_75 + (perc_90 - perc_75) * (2/3), converted_stat, '2K_Ratings'!F832, IF(bbgm_stat &gt;= perc_95, converted_stat * 3, IF(bbgm_stat &gt;= perc_90, converted_stat * 2, IF(bbgm_stat &gt;= perc_85, converted_stat * 1.5, converted_stat)))))</f>
        <v/>
      </c>
      <c r="G832" s="30" t="str">
        <f t="array" ref="G832">IF($A832="", "", LET(bbgm_stat, INDEX(Players!$A831:$P831, MATCH(G$2, Players!$A$1:$P$1, 0)), perc_75, VLOOKUP(G$2, Percentiles!$A$45:$I$59, 6, FALSE), perc_90, VLOOKUP(G$2, Percentiles!$A$45:$I$59, 7, FALSE), perc_95, VLOOKUP(G$2, Percentiles!$A$45:$I$59, 8, FALSE), perc_85, perc_75 + (perc_90 - perc_75) * (2/3), converted_stat, '2K_Ratings'!G832, IF(bbgm_stat &gt;= perc_95, converted_stat * 3, IF(bbgm_stat &gt;= perc_90, converted_stat * 2, IF(bbgm_stat &gt;= perc_85, converted_stat * 1.5, converted_stat)))))</f>
        <v/>
      </c>
      <c r="H832" s="30" t="str">
        <f t="array" ref="H832">IF($A832="", "", LET(bbgm_stat, INDEX(Players!$A831:$P831, MATCH(H$2, Players!$A$1:$P$1, 0)), perc_75, VLOOKUP(H$2, Percentiles!$A$45:$I$59, 6, FALSE), perc_90, VLOOKUP(H$2, Percentiles!$A$45:$I$59, 7, FALSE), perc_95, VLOOKUP(H$2, Percentiles!$A$45:$I$59, 8, FALSE), perc_85, perc_75 + (perc_90 - perc_75) * (2/3), converted_stat, '2K_Ratings'!H832, IF(bbgm_stat &gt;= perc_95, converted_stat * 3, IF(bbgm_stat &gt;= perc_90, converted_stat * 2, IF(bbgm_stat &gt;= perc_85, converted_stat * 1.5, converted_stat)))))</f>
        <v/>
      </c>
      <c r="I832" s="30" t="str">
        <f t="array" ref="I832">IF($A832="", "", LET(bbgm_stat, INDEX(Players!$A831:$P831, MATCH(I$2, Players!$A$1:$P$1, 0)), perc_75, VLOOKUP(I$2, Percentiles!$A$45:$I$59, 6, FALSE), perc_90, VLOOKUP(I$2, Percentiles!$A$45:$I$59, 7, FALSE), perc_95, VLOOKUP(I$2, Percentiles!$A$45:$I$59, 8, FALSE), perc_85, perc_75 + (perc_90 - perc_75) * (2/3), converted_stat, '2K_Ratings'!I832, IF(bbgm_stat &gt;= perc_95, converted_stat * 3, IF(bbgm_stat &gt;= perc_90, converted_stat * 2, IF(bbgm_stat &gt;= perc_85, converted_stat * 1.5, converted_stat)))))</f>
        <v/>
      </c>
      <c r="J832" s="30" t="str">
        <f t="array" ref="J832">IF($A832="", "", LET(bbgm_stat, INDEX(Players!$A831:$P831, MATCH(J$2, Players!$A$1:$P$1, 0)), perc_75, VLOOKUP(J$2, Percentiles!$A$45:$I$59, 6, FALSE), perc_90, VLOOKUP(J$2, Percentiles!$A$45:$I$59, 7, FALSE), perc_95, VLOOKUP(J$2, Percentiles!$A$45:$I$59, 8, FALSE), perc_85, perc_75 + (perc_90 - perc_75) * (2/3), converted_stat, '2K_Ratings'!J832, IF(bbgm_stat &gt;= perc_95, converted_stat * 3, IF(bbgm_stat &gt;= perc_90, converted_stat * 2, IF(bbgm_stat &gt;= perc_85, converted_stat * 1.5, converted_stat)))))</f>
        <v/>
      </c>
      <c r="K832" s="30" t="str">
        <f t="array" ref="K832">IF($A832="", "", LET(bbgm_stat, INDEX(Players!$A831:$P831, MATCH(K$2, Players!$A$1:$P$1, 0)), perc_75, VLOOKUP(K$2, Percentiles!$A$45:$I$59, 6, FALSE), perc_90, VLOOKUP(K$2, Percentiles!$A$45:$I$59, 7, FALSE), perc_95, VLOOKUP(K$2, Percentiles!$A$45:$I$59, 8, FALSE), perc_85, perc_75 + (perc_90 - perc_75) * (2/3), converted_stat, '2K_Ratings'!K832, IF(bbgm_stat &gt;= perc_95, converted_stat * 3, IF(bbgm_stat &gt;= perc_90, converted_stat * 2, IF(bbgm_stat &gt;= perc_85, converted_stat * 1.5, converted_stat)))))</f>
        <v/>
      </c>
      <c r="L832" s="30" t="str">
        <f t="array" ref="L832">IF($A832="", "", LET(bbgm_stat, INDEX(Players!$A831:$P831, MATCH(L$2, Players!$A$1:$P$1, 0)), perc_75, VLOOKUP(L$2, Percentiles!$A$45:$I$59, 6, FALSE), perc_90, VLOOKUP(L$2, Percentiles!$A$45:$I$59, 7, FALSE), perc_95, VLOOKUP(L$2, Percentiles!$A$45:$I$59, 8, FALSE), perc_85, perc_75 + (perc_90 - perc_75) * (2/3), converted_stat, '2K_Ratings'!L832, IF(bbgm_stat &gt;= perc_95, converted_stat * 3, IF(bbgm_stat &gt;= perc_90, converted_stat * 2, IF(bbgm_stat &gt;= perc_85, converted_stat * 1.5, converted_stat)))))</f>
        <v/>
      </c>
      <c r="M832" s="30" t="str">
        <f t="array" ref="M832">IF($A832="", "", LET(bbgm_stat, INDEX(Players!$A831:$P831, MATCH(M$2, Players!$A$1:$P$1, 0)), perc_75, VLOOKUP(M$2, Percentiles!$A$45:$I$59, 6, FALSE), perc_90, VLOOKUP(M$2, Percentiles!$A$45:$I$59, 7, FALSE), perc_95, VLOOKUP(M$2, Percentiles!$A$45:$I$59, 8, FALSE), perc_85, perc_75 + (perc_90 - perc_75) * (2/3), converted_stat, '2K_Ratings'!M832, IF(bbgm_stat &gt;= perc_95, converted_stat * 3, IF(bbgm_stat &gt;= perc_90, converted_stat * 2, IF(bbgm_stat &gt;= perc_85, converted_stat * 1.5, converted_stat)))))</f>
        <v/>
      </c>
      <c r="N832" s="30" t="str">
        <f t="array" ref="N832">IF($A832="", "", LET(bbgm_stat, INDEX(Players!$A831:$P831, MATCH(N$2, Players!$A$1:$P$1, 0)), perc_75, VLOOKUP(N$2, Percentiles!$A$45:$I$59, 6, FALSE), perc_90, VLOOKUP(N$2, Percentiles!$A$45:$I$59, 7, FALSE), perc_95, VLOOKUP(N$2, Percentiles!$A$45:$I$59, 8, FALSE), perc_85, perc_75 + (perc_90 - perc_75) * (2/3), converted_stat, '2K_Ratings'!N832, IF(bbgm_stat &gt;= perc_95, converted_stat * 3, IF(bbgm_stat &gt;= perc_90, converted_stat * 2, IF(bbgm_stat &gt;= perc_85, converted_stat * 1.5, converted_stat)))))</f>
        <v/>
      </c>
      <c r="O832" s="30" t="str">
        <f t="array" ref="O832">IF($A832="", "", LET(bbgm_stat, INDEX(Players!$A831:$P831, MATCH(O$2, Players!$A$1:$P$1, 0)), perc_75, VLOOKUP(O$2, Percentiles!$A$45:$I$59, 6, FALSE), perc_90, VLOOKUP(O$2, Percentiles!$A$45:$I$59, 7, FALSE), perc_95, VLOOKUP(O$2, Percentiles!$A$45:$I$59, 8, FALSE), perc_85, perc_75 + (perc_90 - perc_75) * (2/3), converted_stat, '2K_Ratings'!O832, IF(bbgm_stat &gt;= perc_95, converted_stat * 3, IF(bbgm_stat &gt;= perc_90, converted_stat * 2, IF(bbgm_stat &gt;= perc_85, converted_stat * 1.5, converted_stat)))))</f>
        <v/>
      </c>
      <c r="P832" s="30" t="str">
        <f t="array" ref="P832">IF($A832="", "", LET(bbgm_stat, INDEX(Players!$A831:$P831, MATCH(P$2, Players!$A$1:$P$1, 0)), perc_75, VLOOKUP(P$2, Percentiles!$A$45:$I$59, 6, FALSE), perc_90, VLOOKUP(P$2, Percentiles!$A$45:$I$59, 7, FALSE), perc_95, VLOOKUP(P$2, Percentiles!$A$45:$I$59, 8, FALSE), perc_85, perc_75 + (perc_90 - perc_75) * (2/3), converted_stat, '2K_Ratings'!P832, IF(bbgm_stat &gt;= perc_95, converted_stat * 3, IF(bbgm_stat &gt;= perc_90, converted_stat * 2, IF(bbgm_stat &gt;= perc_85, converted_stat * 1.5, converted_stat)))))</f>
        <v/>
      </c>
      <c r="Q832" s="30" t="str">
        <f t="array" ref="Q832">IF($A832="", "", LET(bbgm_stat, INDEX(Players!$A831:$P831, MATCH(Q$2, Players!$A$1:$P$1, 0)), perc_75, VLOOKUP(Q$2, Percentiles!$A$45:$I$59, 6, FALSE), perc_90, VLOOKUP(Q$2, Percentiles!$A$45:$I$59, 7, FALSE), perc_95, VLOOKUP(Q$2, Percentiles!$A$45:$I$59, 8, FALSE), perc_85, perc_75 + (perc_90 - perc_75) * (2/3), converted_stat, '2K_Ratings'!Q832, IF(bbgm_stat &gt;= perc_95, converted_stat * 3, IF(bbgm_stat &gt;= perc_90, converted_stat * 2, IF(bbgm_stat &gt;= perc_85, converted_stat * 1.5, converted_stat)))))</f>
        <v/>
      </c>
      <c r="R832" s="30" t="str">
        <f t="array" ref="R832">IF($A832="", "", LET(bbgm_stat, INDEX(Players!$A831:$P831, MATCH(R$2, Players!$A$1:$P$1, 0)), perc_75, VLOOKUP(R$2, Percentiles!$A$45:$I$59, 6, FALSE), perc_90, VLOOKUP(R$2, Percentiles!$A$45:$I$59, 7, FALSE), perc_95, VLOOKUP(R$2, Percentiles!$A$45:$I$59, 8, FALSE), perc_85, perc_75 + (perc_90 - perc_75) * (2/3), converted_stat, '2K_Ratings'!R832, IF(bbgm_stat &gt;= perc_95, converted_stat * 3, IF(bbgm_stat &gt;= perc_90, converted_stat * 2, IF(bbgm_stat &gt;= perc_85, converted_stat * 1.5, converted_stat)))))</f>
        <v/>
      </c>
      <c r="S832" s="30" t="str">
        <f t="array" ref="S832">IF($A832="", "", LET(bbgm_stat, INDEX(Players!$A831:$P831, MATCH(S$2, Players!$A$1:$P$1, 0)), perc_75, VLOOKUP(S$2, Percentiles!$A$45:$I$59, 6, FALSE), perc_90, VLOOKUP(S$2, Percentiles!$A$45:$I$59, 7, FALSE), perc_95, VLOOKUP(S$2, Percentiles!$A$45:$I$59, 8, FALSE), perc_85, perc_75 + (perc_90 - perc_75) * (2/3), converted_stat, '2K_Ratings'!S832, IF(bbgm_stat &gt;= perc_95, converted_stat * 3, IF(bbgm_stat &gt;= perc_90, converted_stat * 2, IF(bbgm_stat &gt;= perc_85, converted_stat * 1.5, converted_stat)))))</f>
        <v/>
      </c>
      <c r="T832" s="30" t="str">
        <f t="array" ref="T832">IF($A832="", "", LET(bbgm_stat, INDEX(Players!$A831:$P831, MATCH(T$2, Players!$A$1:$P$1, 0)), perc_75, VLOOKUP(T$2, Percentiles!$A$45:$I$59, 6, FALSE), perc_90, VLOOKUP(T$2, Percentiles!$A$45:$I$59, 7, FALSE), perc_95, VLOOKUP(T$2, Percentiles!$A$45:$I$59, 8, FALSE), perc_85, perc_75 + (perc_90 - perc_75) * (2/3), converted_stat, '2K_Ratings'!T832, IF(bbgm_stat &gt;= perc_95, converted_stat * 3, IF(bbgm_stat &gt;= perc_90, converted_stat * 2, IF(bbgm_stat &gt;= perc_85, converted_stat * 1.5, converted_stat)))))</f>
        <v/>
      </c>
      <c r="U832" s="30" t="str">
        <f t="array" ref="U832">IF($A832="", "", LET(bbgm_stat, INDEX(Players!$A831:$P831, MATCH(U$2, Players!$A$1:$P$1, 0)), perc_75, VLOOKUP(U$2, Percentiles!$A$45:$I$59, 6, FALSE), perc_90, VLOOKUP(U$2, Percentiles!$A$45:$I$59, 7, FALSE), perc_95, VLOOKUP(U$2, Percentiles!$A$45:$I$59, 8, FALSE), perc_85, perc_75 + (perc_90 - perc_75) * (2/3), converted_stat, '2K_Ratings'!U832, IF(bbgm_stat &gt;= perc_95, converted_stat * 3, IF(bbgm_stat &gt;= perc_90, converted_stat * 2, IF(bbgm_stat &gt;= perc_85, converted_stat * 1.5, converted_stat)))))</f>
        <v/>
      </c>
      <c r="V832" s="30" t="str">
        <f t="array" ref="V832">IF($A832="", "", LET(bbgm_stat, INDEX(Players!$A831:$P831, MATCH(V$2, Players!$A$1:$P$1, 0)), perc_75, VLOOKUP(V$2, Percentiles!$A$45:$I$59, 6, FALSE), perc_90, VLOOKUP(V$2, Percentiles!$A$45:$I$59, 7, FALSE), perc_95, VLOOKUP(V$2, Percentiles!$A$45:$I$59, 8, FALSE), perc_85, perc_75 + (perc_90 - perc_75) * (2/3), converted_stat, '2K_Ratings'!V832, IF(bbgm_stat &gt;= perc_95, converted_stat * 3, IF(bbgm_stat &gt;= perc_90, converted_stat * 2, IF(bbgm_stat &gt;= perc_85, converted_stat * 1.5, converted_stat)))))</f>
        <v/>
      </c>
      <c r="W832" s="30" t="str">
        <f t="array" ref="W832">IF($A832="", "", LET(bbgm_stat, INDEX(Players!$A831:$P831, MATCH(W$2, Players!$A$1:$P$1, 0)), perc_75, VLOOKUP(W$2, Percentiles!$A$45:$I$59, 6, FALSE), perc_90, VLOOKUP(W$2, Percentiles!$A$45:$I$59, 7, FALSE), perc_95, VLOOKUP(W$2, Percentiles!$A$45:$I$59, 8, FALSE), perc_85, perc_75 + (perc_90 - perc_75) * (2/3), converted_stat, '2K_Ratings'!W832, IF(bbgm_stat &gt;= perc_95, converted_stat * 3, IF(bbgm_stat &gt;= perc_90, converted_stat * 2, IF(bbgm_stat &gt;= perc_85, converted_stat * 1.5, converted_stat)))))</f>
        <v/>
      </c>
    </row>
    <row r="833">
      <c r="A833" s="30"/>
      <c r="B833" s="30" t="str">
        <f t="array" ref="B833">IF($A833="", "", LET(bbgm_stat, INDEX(Players!$A832:$P832, MATCH(B$2, Players!$A$1:$P$1, 0)), perc_75, VLOOKUP(B$2, Percentiles!$A$45:$I$59, 6, FALSE), perc_90, VLOOKUP(B$2, Percentiles!$A$45:$I$59, 7, FALSE), perc_95, VLOOKUP(B$2, Percentiles!$A$45:$I$59, 8, FALSE), perc_85, perc_75 + (perc_90 - perc_75) * (2/3), converted_stat, '2K_Ratings'!B833, IF(bbgm_stat &gt;= perc_95, converted_stat * 3, IF(bbgm_stat &gt;= perc_90, converted_stat * 2, IF(bbgm_stat &gt;= perc_85, converted_stat * 1.5, converted_stat)))))</f>
        <v/>
      </c>
      <c r="C833" s="30" t="str">
        <f t="array" ref="C833">IF($A833="", "", LET(bbgm_stat, INDEX(Players!$A832:$P832, MATCH(C$2, Players!$A$1:$P$1, 0)), perc_75, VLOOKUP(C$2, Percentiles!$A$45:$I$59, 6, FALSE), perc_90, VLOOKUP(C$2, Percentiles!$A$45:$I$59, 7, FALSE), perc_95, VLOOKUP(C$2, Percentiles!$A$45:$I$59, 8, FALSE), perc_85, perc_75 + (perc_90 - perc_75) * (2/3), converted_stat, '2K_Ratings'!C833, IF(bbgm_stat &gt;= perc_95, converted_stat * 3, IF(bbgm_stat &gt;= perc_90, converted_stat * 2, IF(bbgm_stat &gt;= perc_85, converted_stat * 1.5, converted_stat)))))</f>
        <v/>
      </c>
      <c r="D833" s="30" t="str">
        <f t="array" ref="D833">IF($A833="", "", LET(bbgm_stat, INDEX(Players!$A832:$P832, MATCH(D$2, Players!$A$1:$P$1, 0)), perc_75, VLOOKUP(D$2, Percentiles!$A$45:$I$59, 6, FALSE), perc_90, VLOOKUP(D$2, Percentiles!$A$45:$I$59, 7, FALSE), perc_95, VLOOKUP(D$2, Percentiles!$A$45:$I$59, 8, FALSE), perc_85, perc_75 + (perc_90 - perc_75) * (2/3), converted_stat, '2K_Ratings'!D833, IF(bbgm_stat &gt;= perc_95, converted_stat * 3, IF(bbgm_stat &gt;= perc_90, converted_stat * 2, IF(bbgm_stat &gt;= perc_85, converted_stat * 1.5, converted_stat)))))</f>
        <v/>
      </c>
      <c r="E833" s="30" t="str">
        <f t="array" ref="E833">IF($A833="", "", LET(bbgm_stat, INDEX(Players!$A832:$P832, MATCH(E$2, Players!$A$1:$P$1, 0)), perc_75, VLOOKUP(E$2, Percentiles!$A$45:$I$59, 6, FALSE), perc_90, VLOOKUP(E$2, Percentiles!$A$45:$I$59, 7, FALSE), perc_95, VLOOKUP(E$2, Percentiles!$A$45:$I$59, 8, FALSE), perc_85, perc_75 + (perc_90 - perc_75) * (2/3), converted_stat, '2K_Ratings'!E833, IF(bbgm_stat &gt;= perc_95, converted_stat * 3, IF(bbgm_stat &gt;= perc_90, converted_stat * 2, IF(bbgm_stat &gt;= perc_85, converted_stat * 1.5, converted_stat)))))</f>
        <v/>
      </c>
      <c r="F833" s="30" t="str">
        <f t="array" ref="F833">IF($A833="", "", LET(bbgm_stat, INDEX(Players!$A832:$P832, MATCH(F$2, Players!$A$1:$P$1, 0)), perc_75, VLOOKUP(F$2, Percentiles!$A$45:$I$59, 6, FALSE), perc_90, VLOOKUP(F$2, Percentiles!$A$45:$I$59, 7, FALSE), perc_95, VLOOKUP(F$2, Percentiles!$A$45:$I$59, 8, FALSE), perc_85, perc_75 + (perc_90 - perc_75) * (2/3), converted_stat, '2K_Ratings'!F833, IF(bbgm_stat &gt;= perc_95, converted_stat * 3, IF(bbgm_stat &gt;= perc_90, converted_stat * 2, IF(bbgm_stat &gt;= perc_85, converted_stat * 1.5, converted_stat)))))</f>
        <v/>
      </c>
      <c r="G833" s="30" t="str">
        <f t="array" ref="G833">IF($A833="", "", LET(bbgm_stat, INDEX(Players!$A832:$P832, MATCH(G$2, Players!$A$1:$P$1, 0)), perc_75, VLOOKUP(G$2, Percentiles!$A$45:$I$59, 6, FALSE), perc_90, VLOOKUP(G$2, Percentiles!$A$45:$I$59, 7, FALSE), perc_95, VLOOKUP(G$2, Percentiles!$A$45:$I$59, 8, FALSE), perc_85, perc_75 + (perc_90 - perc_75) * (2/3), converted_stat, '2K_Ratings'!G833, IF(bbgm_stat &gt;= perc_95, converted_stat * 3, IF(bbgm_stat &gt;= perc_90, converted_stat * 2, IF(bbgm_stat &gt;= perc_85, converted_stat * 1.5, converted_stat)))))</f>
        <v/>
      </c>
      <c r="H833" s="30" t="str">
        <f t="array" ref="H833">IF($A833="", "", LET(bbgm_stat, INDEX(Players!$A832:$P832, MATCH(H$2, Players!$A$1:$P$1, 0)), perc_75, VLOOKUP(H$2, Percentiles!$A$45:$I$59, 6, FALSE), perc_90, VLOOKUP(H$2, Percentiles!$A$45:$I$59, 7, FALSE), perc_95, VLOOKUP(H$2, Percentiles!$A$45:$I$59, 8, FALSE), perc_85, perc_75 + (perc_90 - perc_75) * (2/3), converted_stat, '2K_Ratings'!H833, IF(bbgm_stat &gt;= perc_95, converted_stat * 3, IF(bbgm_stat &gt;= perc_90, converted_stat * 2, IF(bbgm_stat &gt;= perc_85, converted_stat * 1.5, converted_stat)))))</f>
        <v/>
      </c>
      <c r="I833" s="30" t="str">
        <f t="array" ref="I833">IF($A833="", "", LET(bbgm_stat, INDEX(Players!$A832:$P832, MATCH(I$2, Players!$A$1:$P$1, 0)), perc_75, VLOOKUP(I$2, Percentiles!$A$45:$I$59, 6, FALSE), perc_90, VLOOKUP(I$2, Percentiles!$A$45:$I$59, 7, FALSE), perc_95, VLOOKUP(I$2, Percentiles!$A$45:$I$59, 8, FALSE), perc_85, perc_75 + (perc_90 - perc_75) * (2/3), converted_stat, '2K_Ratings'!I833, IF(bbgm_stat &gt;= perc_95, converted_stat * 3, IF(bbgm_stat &gt;= perc_90, converted_stat * 2, IF(bbgm_stat &gt;= perc_85, converted_stat * 1.5, converted_stat)))))</f>
        <v/>
      </c>
      <c r="J833" s="30" t="str">
        <f t="array" ref="J833">IF($A833="", "", LET(bbgm_stat, INDEX(Players!$A832:$P832, MATCH(J$2, Players!$A$1:$P$1, 0)), perc_75, VLOOKUP(J$2, Percentiles!$A$45:$I$59, 6, FALSE), perc_90, VLOOKUP(J$2, Percentiles!$A$45:$I$59, 7, FALSE), perc_95, VLOOKUP(J$2, Percentiles!$A$45:$I$59, 8, FALSE), perc_85, perc_75 + (perc_90 - perc_75) * (2/3), converted_stat, '2K_Ratings'!J833, IF(bbgm_stat &gt;= perc_95, converted_stat * 3, IF(bbgm_stat &gt;= perc_90, converted_stat * 2, IF(bbgm_stat &gt;= perc_85, converted_stat * 1.5, converted_stat)))))</f>
        <v/>
      </c>
      <c r="K833" s="30" t="str">
        <f t="array" ref="K833">IF($A833="", "", LET(bbgm_stat, INDEX(Players!$A832:$P832, MATCH(K$2, Players!$A$1:$P$1, 0)), perc_75, VLOOKUP(K$2, Percentiles!$A$45:$I$59, 6, FALSE), perc_90, VLOOKUP(K$2, Percentiles!$A$45:$I$59, 7, FALSE), perc_95, VLOOKUP(K$2, Percentiles!$A$45:$I$59, 8, FALSE), perc_85, perc_75 + (perc_90 - perc_75) * (2/3), converted_stat, '2K_Ratings'!K833, IF(bbgm_stat &gt;= perc_95, converted_stat * 3, IF(bbgm_stat &gt;= perc_90, converted_stat * 2, IF(bbgm_stat &gt;= perc_85, converted_stat * 1.5, converted_stat)))))</f>
        <v/>
      </c>
      <c r="L833" s="30" t="str">
        <f t="array" ref="L833">IF($A833="", "", LET(bbgm_stat, INDEX(Players!$A832:$P832, MATCH(L$2, Players!$A$1:$P$1, 0)), perc_75, VLOOKUP(L$2, Percentiles!$A$45:$I$59, 6, FALSE), perc_90, VLOOKUP(L$2, Percentiles!$A$45:$I$59, 7, FALSE), perc_95, VLOOKUP(L$2, Percentiles!$A$45:$I$59, 8, FALSE), perc_85, perc_75 + (perc_90 - perc_75) * (2/3), converted_stat, '2K_Ratings'!L833, IF(bbgm_stat &gt;= perc_95, converted_stat * 3, IF(bbgm_stat &gt;= perc_90, converted_stat * 2, IF(bbgm_stat &gt;= perc_85, converted_stat * 1.5, converted_stat)))))</f>
        <v/>
      </c>
      <c r="M833" s="30" t="str">
        <f t="array" ref="M833">IF($A833="", "", LET(bbgm_stat, INDEX(Players!$A832:$P832, MATCH(M$2, Players!$A$1:$P$1, 0)), perc_75, VLOOKUP(M$2, Percentiles!$A$45:$I$59, 6, FALSE), perc_90, VLOOKUP(M$2, Percentiles!$A$45:$I$59, 7, FALSE), perc_95, VLOOKUP(M$2, Percentiles!$A$45:$I$59, 8, FALSE), perc_85, perc_75 + (perc_90 - perc_75) * (2/3), converted_stat, '2K_Ratings'!M833, IF(bbgm_stat &gt;= perc_95, converted_stat * 3, IF(bbgm_stat &gt;= perc_90, converted_stat * 2, IF(bbgm_stat &gt;= perc_85, converted_stat * 1.5, converted_stat)))))</f>
        <v/>
      </c>
      <c r="N833" s="30" t="str">
        <f t="array" ref="N833">IF($A833="", "", LET(bbgm_stat, INDEX(Players!$A832:$P832, MATCH(N$2, Players!$A$1:$P$1, 0)), perc_75, VLOOKUP(N$2, Percentiles!$A$45:$I$59, 6, FALSE), perc_90, VLOOKUP(N$2, Percentiles!$A$45:$I$59, 7, FALSE), perc_95, VLOOKUP(N$2, Percentiles!$A$45:$I$59, 8, FALSE), perc_85, perc_75 + (perc_90 - perc_75) * (2/3), converted_stat, '2K_Ratings'!N833, IF(bbgm_stat &gt;= perc_95, converted_stat * 3, IF(bbgm_stat &gt;= perc_90, converted_stat * 2, IF(bbgm_stat &gt;= perc_85, converted_stat * 1.5, converted_stat)))))</f>
        <v/>
      </c>
      <c r="O833" s="30" t="str">
        <f t="array" ref="O833">IF($A833="", "", LET(bbgm_stat, INDEX(Players!$A832:$P832, MATCH(O$2, Players!$A$1:$P$1, 0)), perc_75, VLOOKUP(O$2, Percentiles!$A$45:$I$59, 6, FALSE), perc_90, VLOOKUP(O$2, Percentiles!$A$45:$I$59, 7, FALSE), perc_95, VLOOKUP(O$2, Percentiles!$A$45:$I$59, 8, FALSE), perc_85, perc_75 + (perc_90 - perc_75) * (2/3), converted_stat, '2K_Ratings'!O833, IF(bbgm_stat &gt;= perc_95, converted_stat * 3, IF(bbgm_stat &gt;= perc_90, converted_stat * 2, IF(bbgm_stat &gt;= perc_85, converted_stat * 1.5, converted_stat)))))</f>
        <v/>
      </c>
      <c r="P833" s="30" t="str">
        <f t="array" ref="P833">IF($A833="", "", LET(bbgm_stat, INDEX(Players!$A832:$P832, MATCH(P$2, Players!$A$1:$P$1, 0)), perc_75, VLOOKUP(P$2, Percentiles!$A$45:$I$59, 6, FALSE), perc_90, VLOOKUP(P$2, Percentiles!$A$45:$I$59, 7, FALSE), perc_95, VLOOKUP(P$2, Percentiles!$A$45:$I$59, 8, FALSE), perc_85, perc_75 + (perc_90 - perc_75) * (2/3), converted_stat, '2K_Ratings'!P833, IF(bbgm_stat &gt;= perc_95, converted_stat * 3, IF(bbgm_stat &gt;= perc_90, converted_stat * 2, IF(bbgm_stat &gt;= perc_85, converted_stat * 1.5, converted_stat)))))</f>
        <v/>
      </c>
      <c r="Q833" s="30" t="str">
        <f t="array" ref="Q833">IF($A833="", "", LET(bbgm_stat, INDEX(Players!$A832:$P832, MATCH(Q$2, Players!$A$1:$P$1, 0)), perc_75, VLOOKUP(Q$2, Percentiles!$A$45:$I$59, 6, FALSE), perc_90, VLOOKUP(Q$2, Percentiles!$A$45:$I$59, 7, FALSE), perc_95, VLOOKUP(Q$2, Percentiles!$A$45:$I$59, 8, FALSE), perc_85, perc_75 + (perc_90 - perc_75) * (2/3), converted_stat, '2K_Ratings'!Q833, IF(bbgm_stat &gt;= perc_95, converted_stat * 3, IF(bbgm_stat &gt;= perc_90, converted_stat * 2, IF(bbgm_stat &gt;= perc_85, converted_stat * 1.5, converted_stat)))))</f>
        <v/>
      </c>
      <c r="R833" s="30" t="str">
        <f t="array" ref="R833">IF($A833="", "", LET(bbgm_stat, INDEX(Players!$A832:$P832, MATCH(R$2, Players!$A$1:$P$1, 0)), perc_75, VLOOKUP(R$2, Percentiles!$A$45:$I$59, 6, FALSE), perc_90, VLOOKUP(R$2, Percentiles!$A$45:$I$59, 7, FALSE), perc_95, VLOOKUP(R$2, Percentiles!$A$45:$I$59, 8, FALSE), perc_85, perc_75 + (perc_90 - perc_75) * (2/3), converted_stat, '2K_Ratings'!R833, IF(bbgm_stat &gt;= perc_95, converted_stat * 3, IF(bbgm_stat &gt;= perc_90, converted_stat * 2, IF(bbgm_stat &gt;= perc_85, converted_stat * 1.5, converted_stat)))))</f>
        <v/>
      </c>
      <c r="S833" s="30" t="str">
        <f t="array" ref="S833">IF($A833="", "", LET(bbgm_stat, INDEX(Players!$A832:$P832, MATCH(S$2, Players!$A$1:$P$1, 0)), perc_75, VLOOKUP(S$2, Percentiles!$A$45:$I$59, 6, FALSE), perc_90, VLOOKUP(S$2, Percentiles!$A$45:$I$59, 7, FALSE), perc_95, VLOOKUP(S$2, Percentiles!$A$45:$I$59, 8, FALSE), perc_85, perc_75 + (perc_90 - perc_75) * (2/3), converted_stat, '2K_Ratings'!S833, IF(bbgm_stat &gt;= perc_95, converted_stat * 3, IF(bbgm_stat &gt;= perc_90, converted_stat * 2, IF(bbgm_stat &gt;= perc_85, converted_stat * 1.5, converted_stat)))))</f>
        <v/>
      </c>
      <c r="T833" s="30" t="str">
        <f t="array" ref="T833">IF($A833="", "", LET(bbgm_stat, INDEX(Players!$A832:$P832, MATCH(T$2, Players!$A$1:$P$1, 0)), perc_75, VLOOKUP(T$2, Percentiles!$A$45:$I$59, 6, FALSE), perc_90, VLOOKUP(T$2, Percentiles!$A$45:$I$59, 7, FALSE), perc_95, VLOOKUP(T$2, Percentiles!$A$45:$I$59, 8, FALSE), perc_85, perc_75 + (perc_90 - perc_75) * (2/3), converted_stat, '2K_Ratings'!T833, IF(bbgm_stat &gt;= perc_95, converted_stat * 3, IF(bbgm_stat &gt;= perc_90, converted_stat * 2, IF(bbgm_stat &gt;= perc_85, converted_stat * 1.5, converted_stat)))))</f>
        <v/>
      </c>
      <c r="U833" s="30" t="str">
        <f t="array" ref="U833">IF($A833="", "", LET(bbgm_stat, INDEX(Players!$A832:$P832, MATCH(U$2, Players!$A$1:$P$1, 0)), perc_75, VLOOKUP(U$2, Percentiles!$A$45:$I$59, 6, FALSE), perc_90, VLOOKUP(U$2, Percentiles!$A$45:$I$59, 7, FALSE), perc_95, VLOOKUP(U$2, Percentiles!$A$45:$I$59, 8, FALSE), perc_85, perc_75 + (perc_90 - perc_75) * (2/3), converted_stat, '2K_Ratings'!U833, IF(bbgm_stat &gt;= perc_95, converted_stat * 3, IF(bbgm_stat &gt;= perc_90, converted_stat * 2, IF(bbgm_stat &gt;= perc_85, converted_stat * 1.5, converted_stat)))))</f>
        <v/>
      </c>
      <c r="V833" s="30" t="str">
        <f t="array" ref="V833">IF($A833="", "", LET(bbgm_stat, INDEX(Players!$A832:$P832, MATCH(V$2, Players!$A$1:$P$1, 0)), perc_75, VLOOKUP(V$2, Percentiles!$A$45:$I$59, 6, FALSE), perc_90, VLOOKUP(V$2, Percentiles!$A$45:$I$59, 7, FALSE), perc_95, VLOOKUP(V$2, Percentiles!$A$45:$I$59, 8, FALSE), perc_85, perc_75 + (perc_90 - perc_75) * (2/3), converted_stat, '2K_Ratings'!V833, IF(bbgm_stat &gt;= perc_95, converted_stat * 3, IF(bbgm_stat &gt;= perc_90, converted_stat * 2, IF(bbgm_stat &gt;= perc_85, converted_stat * 1.5, converted_stat)))))</f>
        <v/>
      </c>
      <c r="W833" s="30" t="str">
        <f t="array" ref="W833">IF($A833="", "", LET(bbgm_stat, INDEX(Players!$A832:$P832, MATCH(W$2, Players!$A$1:$P$1, 0)), perc_75, VLOOKUP(W$2, Percentiles!$A$45:$I$59, 6, FALSE), perc_90, VLOOKUP(W$2, Percentiles!$A$45:$I$59, 7, FALSE), perc_95, VLOOKUP(W$2, Percentiles!$A$45:$I$59, 8, FALSE), perc_85, perc_75 + (perc_90 - perc_75) * (2/3), converted_stat, '2K_Ratings'!W833, IF(bbgm_stat &gt;= perc_95, converted_stat * 3, IF(bbgm_stat &gt;= perc_90, converted_stat * 2, IF(bbgm_stat &gt;= perc_85, converted_stat * 1.5, converted_stat)))))</f>
        <v/>
      </c>
    </row>
    <row r="834">
      <c r="A834" s="30"/>
      <c r="B834" s="30" t="str">
        <f t="array" ref="B834">IF($A834="", "", LET(bbgm_stat, INDEX(Players!$A833:$P833, MATCH(B$2, Players!$A$1:$P$1, 0)), perc_75, VLOOKUP(B$2, Percentiles!$A$45:$I$59, 6, FALSE), perc_90, VLOOKUP(B$2, Percentiles!$A$45:$I$59, 7, FALSE), perc_95, VLOOKUP(B$2, Percentiles!$A$45:$I$59, 8, FALSE), perc_85, perc_75 + (perc_90 - perc_75) * (2/3), converted_stat, '2K_Ratings'!B834, IF(bbgm_stat &gt;= perc_95, converted_stat * 3, IF(bbgm_stat &gt;= perc_90, converted_stat * 2, IF(bbgm_stat &gt;= perc_85, converted_stat * 1.5, converted_stat)))))</f>
        <v/>
      </c>
      <c r="C834" s="30" t="str">
        <f t="array" ref="C834">IF($A834="", "", LET(bbgm_stat, INDEX(Players!$A833:$P833, MATCH(C$2, Players!$A$1:$P$1, 0)), perc_75, VLOOKUP(C$2, Percentiles!$A$45:$I$59, 6, FALSE), perc_90, VLOOKUP(C$2, Percentiles!$A$45:$I$59, 7, FALSE), perc_95, VLOOKUP(C$2, Percentiles!$A$45:$I$59, 8, FALSE), perc_85, perc_75 + (perc_90 - perc_75) * (2/3), converted_stat, '2K_Ratings'!C834, IF(bbgm_stat &gt;= perc_95, converted_stat * 3, IF(bbgm_stat &gt;= perc_90, converted_stat * 2, IF(bbgm_stat &gt;= perc_85, converted_stat * 1.5, converted_stat)))))</f>
        <v/>
      </c>
      <c r="D834" s="30" t="str">
        <f t="array" ref="D834">IF($A834="", "", LET(bbgm_stat, INDEX(Players!$A833:$P833, MATCH(D$2, Players!$A$1:$P$1, 0)), perc_75, VLOOKUP(D$2, Percentiles!$A$45:$I$59, 6, FALSE), perc_90, VLOOKUP(D$2, Percentiles!$A$45:$I$59, 7, FALSE), perc_95, VLOOKUP(D$2, Percentiles!$A$45:$I$59, 8, FALSE), perc_85, perc_75 + (perc_90 - perc_75) * (2/3), converted_stat, '2K_Ratings'!D834, IF(bbgm_stat &gt;= perc_95, converted_stat * 3, IF(bbgm_stat &gt;= perc_90, converted_stat * 2, IF(bbgm_stat &gt;= perc_85, converted_stat * 1.5, converted_stat)))))</f>
        <v/>
      </c>
      <c r="E834" s="30" t="str">
        <f t="array" ref="E834">IF($A834="", "", LET(bbgm_stat, INDEX(Players!$A833:$P833, MATCH(E$2, Players!$A$1:$P$1, 0)), perc_75, VLOOKUP(E$2, Percentiles!$A$45:$I$59, 6, FALSE), perc_90, VLOOKUP(E$2, Percentiles!$A$45:$I$59, 7, FALSE), perc_95, VLOOKUP(E$2, Percentiles!$A$45:$I$59, 8, FALSE), perc_85, perc_75 + (perc_90 - perc_75) * (2/3), converted_stat, '2K_Ratings'!E834, IF(bbgm_stat &gt;= perc_95, converted_stat * 3, IF(bbgm_stat &gt;= perc_90, converted_stat * 2, IF(bbgm_stat &gt;= perc_85, converted_stat * 1.5, converted_stat)))))</f>
        <v/>
      </c>
      <c r="F834" s="30" t="str">
        <f t="array" ref="F834">IF($A834="", "", LET(bbgm_stat, INDEX(Players!$A833:$P833, MATCH(F$2, Players!$A$1:$P$1, 0)), perc_75, VLOOKUP(F$2, Percentiles!$A$45:$I$59, 6, FALSE), perc_90, VLOOKUP(F$2, Percentiles!$A$45:$I$59, 7, FALSE), perc_95, VLOOKUP(F$2, Percentiles!$A$45:$I$59, 8, FALSE), perc_85, perc_75 + (perc_90 - perc_75) * (2/3), converted_stat, '2K_Ratings'!F834, IF(bbgm_stat &gt;= perc_95, converted_stat * 3, IF(bbgm_stat &gt;= perc_90, converted_stat * 2, IF(bbgm_stat &gt;= perc_85, converted_stat * 1.5, converted_stat)))))</f>
        <v/>
      </c>
      <c r="G834" s="30" t="str">
        <f t="array" ref="G834">IF($A834="", "", LET(bbgm_stat, INDEX(Players!$A833:$P833, MATCH(G$2, Players!$A$1:$P$1, 0)), perc_75, VLOOKUP(G$2, Percentiles!$A$45:$I$59, 6, FALSE), perc_90, VLOOKUP(G$2, Percentiles!$A$45:$I$59, 7, FALSE), perc_95, VLOOKUP(G$2, Percentiles!$A$45:$I$59, 8, FALSE), perc_85, perc_75 + (perc_90 - perc_75) * (2/3), converted_stat, '2K_Ratings'!G834, IF(bbgm_stat &gt;= perc_95, converted_stat * 3, IF(bbgm_stat &gt;= perc_90, converted_stat * 2, IF(bbgm_stat &gt;= perc_85, converted_stat * 1.5, converted_stat)))))</f>
        <v/>
      </c>
      <c r="H834" s="30" t="str">
        <f t="array" ref="H834">IF($A834="", "", LET(bbgm_stat, INDEX(Players!$A833:$P833, MATCH(H$2, Players!$A$1:$P$1, 0)), perc_75, VLOOKUP(H$2, Percentiles!$A$45:$I$59, 6, FALSE), perc_90, VLOOKUP(H$2, Percentiles!$A$45:$I$59, 7, FALSE), perc_95, VLOOKUP(H$2, Percentiles!$A$45:$I$59, 8, FALSE), perc_85, perc_75 + (perc_90 - perc_75) * (2/3), converted_stat, '2K_Ratings'!H834, IF(bbgm_stat &gt;= perc_95, converted_stat * 3, IF(bbgm_stat &gt;= perc_90, converted_stat * 2, IF(bbgm_stat &gt;= perc_85, converted_stat * 1.5, converted_stat)))))</f>
        <v/>
      </c>
      <c r="I834" s="30" t="str">
        <f t="array" ref="I834">IF($A834="", "", LET(bbgm_stat, INDEX(Players!$A833:$P833, MATCH(I$2, Players!$A$1:$P$1, 0)), perc_75, VLOOKUP(I$2, Percentiles!$A$45:$I$59, 6, FALSE), perc_90, VLOOKUP(I$2, Percentiles!$A$45:$I$59, 7, FALSE), perc_95, VLOOKUP(I$2, Percentiles!$A$45:$I$59, 8, FALSE), perc_85, perc_75 + (perc_90 - perc_75) * (2/3), converted_stat, '2K_Ratings'!I834, IF(bbgm_stat &gt;= perc_95, converted_stat * 3, IF(bbgm_stat &gt;= perc_90, converted_stat * 2, IF(bbgm_stat &gt;= perc_85, converted_stat * 1.5, converted_stat)))))</f>
        <v/>
      </c>
      <c r="J834" s="30" t="str">
        <f t="array" ref="J834">IF($A834="", "", LET(bbgm_stat, INDEX(Players!$A833:$P833, MATCH(J$2, Players!$A$1:$P$1, 0)), perc_75, VLOOKUP(J$2, Percentiles!$A$45:$I$59, 6, FALSE), perc_90, VLOOKUP(J$2, Percentiles!$A$45:$I$59, 7, FALSE), perc_95, VLOOKUP(J$2, Percentiles!$A$45:$I$59, 8, FALSE), perc_85, perc_75 + (perc_90 - perc_75) * (2/3), converted_stat, '2K_Ratings'!J834, IF(bbgm_stat &gt;= perc_95, converted_stat * 3, IF(bbgm_stat &gt;= perc_90, converted_stat * 2, IF(bbgm_stat &gt;= perc_85, converted_stat * 1.5, converted_stat)))))</f>
        <v/>
      </c>
      <c r="K834" s="30" t="str">
        <f t="array" ref="K834">IF($A834="", "", LET(bbgm_stat, INDEX(Players!$A833:$P833, MATCH(K$2, Players!$A$1:$P$1, 0)), perc_75, VLOOKUP(K$2, Percentiles!$A$45:$I$59, 6, FALSE), perc_90, VLOOKUP(K$2, Percentiles!$A$45:$I$59, 7, FALSE), perc_95, VLOOKUP(K$2, Percentiles!$A$45:$I$59, 8, FALSE), perc_85, perc_75 + (perc_90 - perc_75) * (2/3), converted_stat, '2K_Ratings'!K834, IF(bbgm_stat &gt;= perc_95, converted_stat * 3, IF(bbgm_stat &gt;= perc_90, converted_stat * 2, IF(bbgm_stat &gt;= perc_85, converted_stat * 1.5, converted_stat)))))</f>
        <v/>
      </c>
      <c r="L834" s="30" t="str">
        <f t="array" ref="L834">IF($A834="", "", LET(bbgm_stat, INDEX(Players!$A833:$P833, MATCH(L$2, Players!$A$1:$P$1, 0)), perc_75, VLOOKUP(L$2, Percentiles!$A$45:$I$59, 6, FALSE), perc_90, VLOOKUP(L$2, Percentiles!$A$45:$I$59, 7, FALSE), perc_95, VLOOKUP(L$2, Percentiles!$A$45:$I$59, 8, FALSE), perc_85, perc_75 + (perc_90 - perc_75) * (2/3), converted_stat, '2K_Ratings'!L834, IF(bbgm_stat &gt;= perc_95, converted_stat * 3, IF(bbgm_stat &gt;= perc_90, converted_stat * 2, IF(bbgm_stat &gt;= perc_85, converted_stat * 1.5, converted_stat)))))</f>
        <v/>
      </c>
      <c r="M834" s="30" t="str">
        <f t="array" ref="M834">IF($A834="", "", LET(bbgm_stat, INDEX(Players!$A833:$P833, MATCH(M$2, Players!$A$1:$P$1, 0)), perc_75, VLOOKUP(M$2, Percentiles!$A$45:$I$59, 6, FALSE), perc_90, VLOOKUP(M$2, Percentiles!$A$45:$I$59, 7, FALSE), perc_95, VLOOKUP(M$2, Percentiles!$A$45:$I$59, 8, FALSE), perc_85, perc_75 + (perc_90 - perc_75) * (2/3), converted_stat, '2K_Ratings'!M834, IF(bbgm_stat &gt;= perc_95, converted_stat * 3, IF(bbgm_stat &gt;= perc_90, converted_stat * 2, IF(bbgm_stat &gt;= perc_85, converted_stat * 1.5, converted_stat)))))</f>
        <v/>
      </c>
      <c r="N834" s="30" t="str">
        <f t="array" ref="N834">IF($A834="", "", LET(bbgm_stat, INDEX(Players!$A833:$P833, MATCH(N$2, Players!$A$1:$P$1, 0)), perc_75, VLOOKUP(N$2, Percentiles!$A$45:$I$59, 6, FALSE), perc_90, VLOOKUP(N$2, Percentiles!$A$45:$I$59, 7, FALSE), perc_95, VLOOKUP(N$2, Percentiles!$A$45:$I$59, 8, FALSE), perc_85, perc_75 + (perc_90 - perc_75) * (2/3), converted_stat, '2K_Ratings'!N834, IF(bbgm_stat &gt;= perc_95, converted_stat * 3, IF(bbgm_stat &gt;= perc_90, converted_stat * 2, IF(bbgm_stat &gt;= perc_85, converted_stat * 1.5, converted_stat)))))</f>
        <v/>
      </c>
      <c r="O834" s="30" t="str">
        <f t="array" ref="O834">IF($A834="", "", LET(bbgm_stat, INDEX(Players!$A833:$P833, MATCH(O$2, Players!$A$1:$P$1, 0)), perc_75, VLOOKUP(O$2, Percentiles!$A$45:$I$59, 6, FALSE), perc_90, VLOOKUP(O$2, Percentiles!$A$45:$I$59, 7, FALSE), perc_95, VLOOKUP(O$2, Percentiles!$A$45:$I$59, 8, FALSE), perc_85, perc_75 + (perc_90 - perc_75) * (2/3), converted_stat, '2K_Ratings'!O834, IF(bbgm_stat &gt;= perc_95, converted_stat * 3, IF(bbgm_stat &gt;= perc_90, converted_stat * 2, IF(bbgm_stat &gt;= perc_85, converted_stat * 1.5, converted_stat)))))</f>
        <v/>
      </c>
      <c r="P834" s="30" t="str">
        <f t="array" ref="P834">IF($A834="", "", LET(bbgm_stat, INDEX(Players!$A833:$P833, MATCH(P$2, Players!$A$1:$P$1, 0)), perc_75, VLOOKUP(P$2, Percentiles!$A$45:$I$59, 6, FALSE), perc_90, VLOOKUP(P$2, Percentiles!$A$45:$I$59, 7, FALSE), perc_95, VLOOKUP(P$2, Percentiles!$A$45:$I$59, 8, FALSE), perc_85, perc_75 + (perc_90 - perc_75) * (2/3), converted_stat, '2K_Ratings'!P834, IF(bbgm_stat &gt;= perc_95, converted_stat * 3, IF(bbgm_stat &gt;= perc_90, converted_stat * 2, IF(bbgm_stat &gt;= perc_85, converted_stat * 1.5, converted_stat)))))</f>
        <v/>
      </c>
      <c r="Q834" s="30" t="str">
        <f t="array" ref="Q834">IF($A834="", "", LET(bbgm_stat, INDEX(Players!$A833:$P833, MATCH(Q$2, Players!$A$1:$P$1, 0)), perc_75, VLOOKUP(Q$2, Percentiles!$A$45:$I$59, 6, FALSE), perc_90, VLOOKUP(Q$2, Percentiles!$A$45:$I$59, 7, FALSE), perc_95, VLOOKUP(Q$2, Percentiles!$A$45:$I$59, 8, FALSE), perc_85, perc_75 + (perc_90 - perc_75) * (2/3), converted_stat, '2K_Ratings'!Q834, IF(bbgm_stat &gt;= perc_95, converted_stat * 3, IF(bbgm_stat &gt;= perc_90, converted_stat * 2, IF(bbgm_stat &gt;= perc_85, converted_stat * 1.5, converted_stat)))))</f>
        <v/>
      </c>
      <c r="R834" s="30" t="str">
        <f t="array" ref="R834">IF($A834="", "", LET(bbgm_stat, INDEX(Players!$A833:$P833, MATCH(R$2, Players!$A$1:$P$1, 0)), perc_75, VLOOKUP(R$2, Percentiles!$A$45:$I$59, 6, FALSE), perc_90, VLOOKUP(R$2, Percentiles!$A$45:$I$59, 7, FALSE), perc_95, VLOOKUP(R$2, Percentiles!$A$45:$I$59, 8, FALSE), perc_85, perc_75 + (perc_90 - perc_75) * (2/3), converted_stat, '2K_Ratings'!R834, IF(bbgm_stat &gt;= perc_95, converted_stat * 3, IF(bbgm_stat &gt;= perc_90, converted_stat * 2, IF(bbgm_stat &gt;= perc_85, converted_stat * 1.5, converted_stat)))))</f>
        <v/>
      </c>
      <c r="S834" s="30" t="str">
        <f t="array" ref="S834">IF($A834="", "", LET(bbgm_stat, INDEX(Players!$A833:$P833, MATCH(S$2, Players!$A$1:$P$1, 0)), perc_75, VLOOKUP(S$2, Percentiles!$A$45:$I$59, 6, FALSE), perc_90, VLOOKUP(S$2, Percentiles!$A$45:$I$59, 7, FALSE), perc_95, VLOOKUP(S$2, Percentiles!$A$45:$I$59, 8, FALSE), perc_85, perc_75 + (perc_90 - perc_75) * (2/3), converted_stat, '2K_Ratings'!S834, IF(bbgm_stat &gt;= perc_95, converted_stat * 3, IF(bbgm_stat &gt;= perc_90, converted_stat * 2, IF(bbgm_stat &gt;= perc_85, converted_stat * 1.5, converted_stat)))))</f>
        <v/>
      </c>
      <c r="T834" s="30" t="str">
        <f t="array" ref="T834">IF($A834="", "", LET(bbgm_stat, INDEX(Players!$A833:$P833, MATCH(T$2, Players!$A$1:$P$1, 0)), perc_75, VLOOKUP(T$2, Percentiles!$A$45:$I$59, 6, FALSE), perc_90, VLOOKUP(T$2, Percentiles!$A$45:$I$59, 7, FALSE), perc_95, VLOOKUP(T$2, Percentiles!$A$45:$I$59, 8, FALSE), perc_85, perc_75 + (perc_90 - perc_75) * (2/3), converted_stat, '2K_Ratings'!T834, IF(bbgm_stat &gt;= perc_95, converted_stat * 3, IF(bbgm_stat &gt;= perc_90, converted_stat * 2, IF(bbgm_stat &gt;= perc_85, converted_stat * 1.5, converted_stat)))))</f>
        <v/>
      </c>
      <c r="U834" s="30" t="str">
        <f t="array" ref="U834">IF($A834="", "", LET(bbgm_stat, INDEX(Players!$A833:$P833, MATCH(U$2, Players!$A$1:$P$1, 0)), perc_75, VLOOKUP(U$2, Percentiles!$A$45:$I$59, 6, FALSE), perc_90, VLOOKUP(U$2, Percentiles!$A$45:$I$59, 7, FALSE), perc_95, VLOOKUP(U$2, Percentiles!$A$45:$I$59, 8, FALSE), perc_85, perc_75 + (perc_90 - perc_75) * (2/3), converted_stat, '2K_Ratings'!U834, IF(bbgm_stat &gt;= perc_95, converted_stat * 3, IF(bbgm_stat &gt;= perc_90, converted_stat * 2, IF(bbgm_stat &gt;= perc_85, converted_stat * 1.5, converted_stat)))))</f>
        <v/>
      </c>
      <c r="V834" s="30" t="str">
        <f t="array" ref="V834">IF($A834="", "", LET(bbgm_stat, INDEX(Players!$A833:$P833, MATCH(V$2, Players!$A$1:$P$1, 0)), perc_75, VLOOKUP(V$2, Percentiles!$A$45:$I$59, 6, FALSE), perc_90, VLOOKUP(V$2, Percentiles!$A$45:$I$59, 7, FALSE), perc_95, VLOOKUP(V$2, Percentiles!$A$45:$I$59, 8, FALSE), perc_85, perc_75 + (perc_90 - perc_75) * (2/3), converted_stat, '2K_Ratings'!V834, IF(bbgm_stat &gt;= perc_95, converted_stat * 3, IF(bbgm_stat &gt;= perc_90, converted_stat * 2, IF(bbgm_stat &gt;= perc_85, converted_stat * 1.5, converted_stat)))))</f>
        <v/>
      </c>
      <c r="W834" s="30" t="str">
        <f t="array" ref="W834">IF($A834="", "", LET(bbgm_stat, INDEX(Players!$A833:$P833, MATCH(W$2, Players!$A$1:$P$1, 0)), perc_75, VLOOKUP(W$2, Percentiles!$A$45:$I$59, 6, FALSE), perc_90, VLOOKUP(W$2, Percentiles!$A$45:$I$59, 7, FALSE), perc_95, VLOOKUP(W$2, Percentiles!$A$45:$I$59, 8, FALSE), perc_85, perc_75 + (perc_90 - perc_75) * (2/3), converted_stat, '2K_Ratings'!W834, IF(bbgm_stat &gt;= perc_95, converted_stat * 3, IF(bbgm_stat &gt;= perc_90, converted_stat * 2, IF(bbgm_stat &gt;= perc_85, converted_stat * 1.5, converted_stat)))))</f>
        <v/>
      </c>
    </row>
    <row r="835">
      <c r="A835" s="30"/>
      <c r="B835" s="30" t="str">
        <f t="array" ref="B835">IF($A835="", "", LET(bbgm_stat, INDEX(Players!$A834:$P834, MATCH(B$2, Players!$A$1:$P$1, 0)), perc_75, VLOOKUP(B$2, Percentiles!$A$45:$I$59, 6, FALSE), perc_90, VLOOKUP(B$2, Percentiles!$A$45:$I$59, 7, FALSE), perc_95, VLOOKUP(B$2, Percentiles!$A$45:$I$59, 8, FALSE), perc_85, perc_75 + (perc_90 - perc_75) * (2/3), converted_stat, '2K_Ratings'!B835, IF(bbgm_stat &gt;= perc_95, converted_stat * 3, IF(bbgm_stat &gt;= perc_90, converted_stat * 2, IF(bbgm_stat &gt;= perc_85, converted_stat * 1.5, converted_stat)))))</f>
        <v/>
      </c>
      <c r="C835" s="30" t="str">
        <f t="array" ref="C835">IF($A835="", "", LET(bbgm_stat, INDEX(Players!$A834:$P834, MATCH(C$2, Players!$A$1:$P$1, 0)), perc_75, VLOOKUP(C$2, Percentiles!$A$45:$I$59, 6, FALSE), perc_90, VLOOKUP(C$2, Percentiles!$A$45:$I$59, 7, FALSE), perc_95, VLOOKUP(C$2, Percentiles!$A$45:$I$59, 8, FALSE), perc_85, perc_75 + (perc_90 - perc_75) * (2/3), converted_stat, '2K_Ratings'!C835, IF(bbgm_stat &gt;= perc_95, converted_stat * 3, IF(bbgm_stat &gt;= perc_90, converted_stat * 2, IF(bbgm_stat &gt;= perc_85, converted_stat * 1.5, converted_stat)))))</f>
        <v/>
      </c>
      <c r="D835" s="30" t="str">
        <f t="array" ref="D835">IF($A835="", "", LET(bbgm_stat, INDEX(Players!$A834:$P834, MATCH(D$2, Players!$A$1:$P$1, 0)), perc_75, VLOOKUP(D$2, Percentiles!$A$45:$I$59, 6, FALSE), perc_90, VLOOKUP(D$2, Percentiles!$A$45:$I$59, 7, FALSE), perc_95, VLOOKUP(D$2, Percentiles!$A$45:$I$59, 8, FALSE), perc_85, perc_75 + (perc_90 - perc_75) * (2/3), converted_stat, '2K_Ratings'!D835, IF(bbgm_stat &gt;= perc_95, converted_stat * 3, IF(bbgm_stat &gt;= perc_90, converted_stat * 2, IF(bbgm_stat &gt;= perc_85, converted_stat * 1.5, converted_stat)))))</f>
        <v/>
      </c>
      <c r="E835" s="30" t="str">
        <f t="array" ref="E835">IF($A835="", "", LET(bbgm_stat, INDEX(Players!$A834:$P834, MATCH(E$2, Players!$A$1:$P$1, 0)), perc_75, VLOOKUP(E$2, Percentiles!$A$45:$I$59, 6, FALSE), perc_90, VLOOKUP(E$2, Percentiles!$A$45:$I$59, 7, FALSE), perc_95, VLOOKUP(E$2, Percentiles!$A$45:$I$59, 8, FALSE), perc_85, perc_75 + (perc_90 - perc_75) * (2/3), converted_stat, '2K_Ratings'!E835, IF(bbgm_stat &gt;= perc_95, converted_stat * 3, IF(bbgm_stat &gt;= perc_90, converted_stat * 2, IF(bbgm_stat &gt;= perc_85, converted_stat * 1.5, converted_stat)))))</f>
        <v/>
      </c>
      <c r="F835" s="30" t="str">
        <f t="array" ref="F835">IF($A835="", "", LET(bbgm_stat, INDEX(Players!$A834:$P834, MATCH(F$2, Players!$A$1:$P$1, 0)), perc_75, VLOOKUP(F$2, Percentiles!$A$45:$I$59, 6, FALSE), perc_90, VLOOKUP(F$2, Percentiles!$A$45:$I$59, 7, FALSE), perc_95, VLOOKUP(F$2, Percentiles!$A$45:$I$59, 8, FALSE), perc_85, perc_75 + (perc_90 - perc_75) * (2/3), converted_stat, '2K_Ratings'!F835, IF(bbgm_stat &gt;= perc_95, converted_stat * 3, IF(bbgm_stat &gt;= perc_90, converted_stat * 2, IF(bbgm_stat &gt;= perc_85, converted_stat * 1.5, converted_stat)))))</f>
        <v/>
      </c>
      <c r="G835" s="30" t="str">
        <f t="array" ref="G835">IF($A835="", "", LET(bbgm_stat, INDEX(Players!$A834:$P834, MATCH(G$2, Players!$A$1:$P$1, 0)), perc_75, VLOOKUP(G$2, Percentiles!$A$45:$I$59, 6, FALSE), perc_90, VLOOKUP(G$2, Percentiles!$A$45:$I$59, 7, FALSE), perc_95, VLOOKUP(G$2, Percentiles!$A$45:$I$59, 8, FALSE), perc_85, perc_75 + (perc_90 - perc_75) * (2/3), converted_stat, '2K_Ratings'!G835, IF(bbgm_stat &gt;= perc_95, converted_stat * 3, IF(bbgm_stat &gt;= perc_90, converted_stat * 2, IF(bbgm_stat &gt;= perc_85, converted_stat * 1.5, converted_stat)))))</f>
        <v/>
      </c>
      <c r="H835" s="30" t="str">
        <f t="array" ref="H835">IF($A835="", "", LET(bbgm_stat, INDEX(Players!$A834:$P834, MATCH(H$2, Players!$A$1:$P$1, 0)), perc_75, VLOOKUP(H$2, Percentiles!$A$45:$I$59, 6, FALSE), perc_90, VLOOKUP(H$2, Percentiles!$A$45:$I$59, 7, FALSE), perc_95, VLOOKUP(H$2, Percentiles!$A$45:$I$59, 8, FALSE), perc_85, perc_75 + (perc_90 - perc_75) * (2/3), converted_stat, '2K_Ratings'!H835, IF(bbgm_stat &gt;= perc_95, converted_stat * 3, IF(bbgm_stat &gt;= perc_90, converted_stat * 2, IF(bbgm_stat &gt;= perc_85, converted_stat * 1.5, converted_stat)))))</f>
        <v/>
      </c>
      <c r="I835" s="30" t="str">
        <f t="array" ref="I835">IF($A835="", "", LET(bbgm_stat, INDEX(Players!$A834:$P834, MATCH(I$2, Players!$A$1:$P$1, 0)), perc_75, VLOOKUP(I$2, Percentiles!$A$45:$I$59, 6, FALSE), perc_90, VLOOKUP(I$2, Percentiles!$A$45:$I$59, 7, FALSE), perc_95, VLOOKUP(I$2, Percentiles!$A$45:$I$59, 8, FALSE), perc_85, perc_75 + (perc_90 - perc_75) * (2/3), converted_stat, '2K_Ratings'!I835, IF(bbgm_stat &gt;= perc_95, converted_stat * 3, IF(bbgm_stat &gt;= perc_90, converted_stat * 2, IF(bbgm_stat &gt;= perc_85, converted_stat * 1.5, converted_stat)))))</f>
        <v/>
      </c>
      <c r="J835" s="30" t="str">
        <f t="array" ref="J835">IF($A835="", "", LET(bbgm_stat, INDEX(Players!$A834:$P834, MATCH(J$2, Players!$A$1:$P$1, 0)), perc_75, VLOOKUP(J$2, Percentiles!$A$45:$I$59, 6, FALSE), perc_90, VLOOKUP(J$2, Percentiles!$A$45:$I$59, 7, FALSE), perc_95, VLOOKUP(J$2, Percentiles!$A$45:$I$59, 8, FALSE), perc_85, perc_75 + (perc_90 - perc_75) * (2/3), converted_stat, '2K_Ratings'!J835, IF(bbgm_stat &gt;= perc_95, converted_stat * 3, IF(bbgm_stat &gt;= perc_90, converted_stat * 2, IF(bbgm_stat &gt;= perc_85, converted_stat * 1.5, converted_stat)))))</f>
        <v/>
      </c>
      <c r="K835" s="30" t="str">
        <f t="array" ref="K835">IF($A835="", "", LET(bbgm_stat, INDEX(Players!$A834:$P834, MATCH(K$2, Players!$A$1:$P$1, 0)), perc_75, VLOOKUP(K$2, Percentiles!$A$45:$I$59, 6, FALSE), perc_90, VLOOKUP(K$2, Percentiles!$A$45:$I$59, 7, FALSE), perc_95, VLOOKUP(K$2, Percentiles!$A$45:$I$59, 8, FALSE), perc_85, perc_75 + (perc_90 - perc_75) * (2/3), converted_stat, '2K_Ratings'!K835, IF(bbgm_stat &gt;= perc_95, converted_stat * 3, IF(bbgm_stat &gt;= perc_90, converted_stat * 2, IF(bbgm_stat &gt;= perc_85, converted_stat * 1.5, converted_stat)))))</f>
        <v/>
      </c>
      <c r="L835" s="30" t="str">
        <f t="array" ref="L835">IF($A835="", "", LET(bbgm_stat, INDEX(Players!$A834:$P834, MATCH(L$2, Players!$A$1:$P$1, 0)), perc_75, VLOOKUP(L$2, Percentiles!$A$45:$I$59, 6, FALSE), perc_90, VLOOKUP(L$2, Percentiles!$A$45:$I$59, 7, FALSE), perc_95, VLOOKUP(L$2, Percentiles!$A$45:$I$59, 8, FALSE), perc_85, perc_75 + (perc_90 - perc_75) * (2/3), converted_stat, '2K_Ratings'!L835, IF(bbgm_stat &gt;= perc_95, converted_stat * 3, IF(bbgm_stat &gt;= perc_90, converted_stat * 2, IF(bbgm_stat &gt;= perc_85, converted_stat * 1.5, converted_stat)))))</f>
        <v/>
      </c>
      <c r="M835" s="30" t="str">
        <f t="array" ref="M835">IF($A835="", "", LET(bbgm_stat, INDEX(Players!$A834:$P834, MATCH(M$2, Players!$A$1:$P$1, 0)), perc_75, VLOOKUP(M$2, Percentiles!$A$45:$I$59, 6, FALSE), perc_90, VLOOKUP(M$2, Percentiles!$A$45:$I$59, 7, FALSE), perc_95, VLOOKUP(M$2, Percentiles!$A$45:$I$59, 8, FALSE), perc_85, perc_75 + (perc_90 - perc_75) * (2/3), converted_stat, '2K_Ratings'!M835, IF(bbgm_stat &gt;= perc_95, converted_stat * 3, IF(bbgm_stat &gt;= perc_90, converted_stat * 2, IF(bbgm_stat &gt;= perc_85, converted_stat * 1.5, converted_stat)))))</f>
        <v/>
      </c>
      <c r="N835" s="30" t="str">
        <f t="array" ref="N835">IF($A835="", "", LET(bbgm_stat, INDEX(Players!$A834:$P834, MATCH(N$2, Players!$A$1:$P$1, 0)), perc_75, VLOOKUP(N$2, Percentiles!$A$45:$I$59, 6, FALSE), perc_90, VLOOKUP(N$2, Percentiles!$A$45:$I$59, 7, FALSE), perc_95, VLOOKUP(N$2, Percentiles!$A$45:$I$59, 8, FALSE), perc_85, perc_75 + (perc_90 - perc_75) * (2/3), converted_stat, '2K_Ratings'!N835, IF(bbgm_stat &gt;= perc_95, converted_stat * 3, IF(bbgm_stat &gt;= perc_90, converted_stat * 2, IF(bbgm_stat &gt;= perc_85, converted_stat * 1.5, converted_stat)))))</f>
        <v/>
      </c>
      <c r="O835" s="30" t="str">
        <f t="array" ref="O835">IF($A835="", "", LET(bbgm_stat, INDEX(Players!$A834:$P834, MATCH(O$2, Players!$A$1:$P$1, 0)), perc_75, VLOOKUP(O$2, Percentiles!$A$45:$I$59, 6, FALSE), perc_90, VLOOKUP(O$2, Percentiles!$A$45:$I$59, 7, FALSE), perc_95, VLOOKUP(O$2, Percentiles!$A$45:$I$59, 8, FALSE), perc_85, perc_75 + (perc_90 - perc_75) * (2/3), converted_stat, '2K_Ratings'!O835, IF(bbgm_stat &gt;= perc_95, converted_stat * 3, IF(bbgm_stat &gt;= perc_90, converted_stat * 2, IF(bbgm_stat &gt;= perc_85, converted_stat * 1.5, converted_stat)))))</f>
        <v/>
      </c>
      <c r="P835" s="30" t="str">
        <f t="array" ref="P835">IF($A835="", "", LET(bbgm_stat, INDEX(Players!$A834:$P834, MATCH(P$2, Players!$A$1:$P$1, 0)), perc_75, VLOOKUP(P$2, Percentiles!$A$45:$I$59, 6, FALSE), perc_90, VLOOKUP(P$2, Percentiles!$A$45:$I$59, 7, FALSE), perc_95, VLOOKUP(P$2, Percentiles!$A$45:$I$59, 8, FALSE), perc_85, perc_75 + (perc_90 - perc_75) * (2/3), converted_stat, '2K_Ratings'!P835, IF(bbgm_stat &gt;= perc_95, converted_stat * 3, IF(bbgm_stat &gt;= perc_90, converted_stat * 2, IF(bbgm_stat &gt;= perc_85, converted_stat * 1.5, converted_stat)))))</f>
        <v/>
      </c>
      <c r="Q835" s="30" t="str">
        <f t="array" ref="Q835">IF($A835="", "", LET(bbgm_stat, INDEX(Players!$A834:$P834, MATCH(Q$2, Players!$A$1:$P$1, 0)), perc_75, VLOOKUP(Q$2, Percentiles!$A$45:$I$59, 6, FALSE), perc_90, VLOOKUP(Q$2, Percentiles!$A$45:$I$59, 7, FALSE), perc_95, VLOOKUP(Q$2, Percentiles!$A$45:$I$59, 8, FALSE), perc_85, perc_75 + (perc_90 - perc_75) * (2/3), converted_stat, '2K_Ratings'!Q835, IF(bbgm_stat &gt;= perc_95, converted_stat * 3, IF(bbgm_stat &gt;= perc_90, converted_stat * 2, IF(bbgm_stat &gt;= perc_85, converted_stat * 1.5, converted_stat)))))</f>
        <v/>
      </c>
      <c r="R835" s="30" t="str">
        <f t="array" ref="R835">IF($A835="", "", LET(bbgm_stat, INDEX(Players!$A834:$P834, MATCH(R$2, Players!$A$1:$P$1, 0)), perc_75, VLOOKUP(R$2, Percentiles!$A$45:$I$59, 6, FALSE), perc_90, VLOOKUP(R$2, Percentiles!$A$45:$I$59, 7, FALSE), perc_95, VLOOKUP(R$2, Percentiles!$A$45:$I$59, 8, FALSE), perc_85, perc_75 + (perc_90 - perc_75) * (2/3), converted_stat, '2K_Ratings'!R835, IF(bbgm_stat &gt;= perc_95, converted_stat * 3, IF(bbgm_stat &gt;= perc_90, converted_stat * 2, IF(bbgm_stat &gt;= perc_85, converted_stat * 1.5, converted_stat)))))</f>
        <v/>
      </c>
      <c r="S835" s="30" t="str">
        <f t="array" ref="S835">IF($A835="", "", LET(bbgm_stat, INDEX(Players!$A834:$P834, MATCH(S$2, Players!$A$1:$P$1, 0)), perc_75, VLOOKUP(S$2, Percentiles!$A$45:$I$59, 6, FALSE), perc_90, VLOOKUP(S$2, Percentiles!$A$45:$I$59, 7, FALSE), perc_95, VLOOKUP(S$2, Percentiles!$A$45:$I$59, 8, FALSE), perc_85, perc_75 + (perc_90 - perc_75) * (2/3), converted_stat, '2K_Ratings'!S835, IF(bbgm_stat &gt;= perc_95, converted_stat * 3, IF(bbgm_stat &gt;= perc_90, converted_stat * 2, IF(bbgm_stat &gt;= perc_85, converted_stat * 1.5, converted_stat)))))</f>
        <v/>
      </c>
      <c r="T835" s="30" t="str">
        <f t="array" ref="T835">IF($A835="", "", LET(bbgm_stat, INDEX(Players!$A834:$P834, MATCH(T$2, Players!$A$1:$P$1, 0)), perc_75, VLOOKUP(T$2, Percentiles!$A$45:$I$59, 6, FALSE), perc_90, VLOOKUP(T$2, Percentiles!$A$45:$I$59, 7, FALSE), perc_95, VLOOKUP(T$2, Percentiles!$A$45:$I$59, 8, FALSE), perc_85, perc_75 + (perc_90 - perc_75) * (2/3), converted_stat, '2K_Ratings'!T835, IF(bbgm_stat &gt;= perc_95, converted_stat * 3, IF(bbgm_stat &gt;= perc_90, converted_stat * 2, IF(bbgm_stat &gt;= perc_85, converted_stat * 1.5, converted_stat)))))</f>
        <v/>
      </c>
      <c r="U835" s="30" t="str">
        <f t="array" ref="U835">IF($A835="", "", LET(bbgm_stat, INDEX(Players!$A834:$P834, MATCH(U$2, Players!$A$1:$P$1, 0)), perc_75, VLOOKUP(U$2, Percentiles!$A$45:$I$59, 6, FALSE), perc_90, VLOOKUP(U$2, Percentiles!$A$45:$I$59, 7, FALSE), perc_95, VLOOKUP(U$2, Percentiles!$A$45:$I$59, 8, FALSE), perc_85, perc_75 + (perc_90 - perc_75) * (2/3), converted_stat, '2K_Ratings'!U835, IF(bbgm_stat &gt;= perc_95, converted_stat * 3, IF(bbgm_stat &gt;= perc_90, converted_stat * 2, IF(bbgm_stat &gt;= perc_85, converted_stat * 1.5, converted_stat)))))</f>
        <v/>
      </c>
      <c r="V835" s="30" t="str">
        <f t="array" ref="V835">IF($A835="", "", LET(bbgm_stat, INDEX(Players!$A834:$P834, MATCH(V$2, Players!$A$1:$P$1, 0)), perc_75, VLOOKUP(V$2, Percentiles!$A$45:$I$59, 6, FALSE), perc_90, VLOOKUP(V$2, Percentiles!$A$45:$I$59, 7, FALSE), perc_95, VLOOKUP(V$2, Percentiles!$A$45:$I$59, 8, FALSE), perc_85, perc_75 + (perc_90 - perc_75) * (2/3), converted_stat, '2K_Ratings'!V835, IF(bbgm_stat &gt;= perc_95, converted_stat * 3, IF(bbgm_stat &gt;= perc_90, converted_stat * 2, IF(bbgm_stat &gt;= perc_85, converted_stat * 1.5, converted_stat)))))</f>
        <v/>
      </c>
      <c r="W835" s="30" t="str">
        <f t="array" ref="W835">IF($A835="", "", LET(bbgm_stat, INDEX(Players!$A834:$P834, MATCH(W$2, Players!$A$1:$P$1, 0)), perc_75, VLOOKUP(W$2, Percentiles!$A$45:$I$59, 6, FALSE), perc_90, VLOOKUP(W$2, Percentiles!$A$45:$I$59, 7, FALSE), perc_95, VLOOKUP(W$2, Percentiles!$A$45:$I$59, 8, FALSE), perc_85, perc_75 + (perc_90 - perc_75) * (2/3), converted_stat, '2K_Ratings'!W835, IF(bbgm_stat &gt;= perc_95, converted_stat * 3, IF(bbgm_stat &gt;= perc_90, converted_stat * 2, IF(bbgm_stat &gt;= perc_85, converted_stat * 1.5, converted_stat)))))</f>
        <v/>
      </c>
    </row>
    <row r="836">
      <c r="A836" s="30"/>
      <c r="B836" s="30" t="str">
        <f t="array" ref="B836">IF($A836="", "", LET(bbgm_stat, INDEX(Players!$A835:$P835, MATCH(B$2, Players!$A$1:$P$1, 0)), perc_75, VLOOKUP(B$2, Percentiles!$A$45:$I$59, 6, FALSE), perc_90, VLOOKUP(B$2, Percentiles!$A$45:$I$59, 7, FALSE), perc_95, VLOOKUP(B$2, Percentiles!$A$45:$I$59, 8, FALSE), perc_85, perc_75 + (perc_90 - perc_75) * (2/3), converted_stat, '2K_Ratings'!B836, IF(bbgm_stat &gt;= perc_95, converted_stat * 3, IF(bbgm_stat &gt;= perc_90, converted_stat * 2, IF(bbgm_stat &gt;= perc_85, converted_stat * 1.5, converted_stat)))))</f>
        <v/>
      </c>
      <c r="C836" s="30" t="str">
        <f t="array" ref="C836">IF($A836="", "", LET(bbgm_stat, INDEX(Players!$A835:$P835, MATCH(C$2, Players!$A$1:$P$1, 0)), perc_75, VLOOKUP(C$2, Percentiles!$A$45:$I$59, 6, FALSE), perc_90, VLOOKUP(C$2, Percentiles!$A$45:$I$59, 7, FALSE), perc_95, VLOOKUP(C$2, Percentiles!$A$45:$I$59, 8, FALSE), perc_85, perc_75 + (perc_90 - perc_75) * (2/3), converted_stat, '2K_Ratings'!C836, IF(bbgm_stat &gt;= perc_95, converted_stat * 3, IF(bbgm_stat &gt;= perc_90, converted_stat * 2, IF(bbgm_stat &gt;= perc_85, converted_stat * 1.5, converted_stat)))))</f>
        <v/>
      </c>
      <c r="D836" s="30" t="str">
        <f t="array" ref="D836">IF($A836="", "", LET(bbgm_stat, INDEX(Players!$A835:$P835, MATCH(D$2, Players!$A$1:$P$1, 0)), perc_75, VLOOKUP(D$2, Percentiles!$A$45:$I$59, 6, FALSE), perc_90, VLOOKUP(D$2, Percentiles!$A$45:$I$59, 7, FALSE), perc_95, VLOOKUP(D$2, Percentiles!$A$45:$I$59, 8, FALSE), perc_85, perc_75 + (perc_90 - perc_75) * (2/3), converted_stat, '2K_Ratings'!D836, IF(bbgm_stat &gt;= perc_95, converted_stat * 3, IF(bbgm_stat &gt;= perc_90, converted_stat * 2, IF(bbgm_stat &gt;= perc_85, converted_stat * 1.5, converted_stat)))))</f>
        <v/>
      </c>
      <c r="E836" s="30" t="str">
        <f t="array" ref="E836">IF($A836="", "", LET(bbgm_stat, INDEX(Players!$A835:$P835, MATCH(E$2, Players!$A$1:$P$1, 0)), perc_75, VLOOKUP(E$2, Percentiles!$A$45:$I$59, 6, FALSE), perc_90, VLOOKUP(E$2, Percentiles!$A$45:$I$59, 7, FALSE), perc_95, VLOOKUP(E$2, Percentiles!$A$45:$I$59, 8, FALSE), perc_85, perc_75 + (perc_90 - perc_75) * (2/3), converted_stat, '2K_Ratings'!E836, IF(bbgm_stat &gt;= perc_95, converted_stat * 3, IF(bbgm_stat &gt;= perc_90, converted_stat * 2, IF(bbgm_stat &gt;= perc_85, converted_stat * 1.5, converted_stat)))))</f>
        <v/>
      </c>
      <c r="F836" s="30" t="str">
        <f t="array" ref="F836">IF($A836="", "", LET(bbgm_stat, INDEX(Players!$A835:$P835, MATCH(F$2, Players!$A$1:$P$1, 0)), perc_75, VLOOKUP(F$2, Percentiles!$A$45:$I$59, 6, FALSE), perc_90, VLOOKUP(F$2, Percentiles!$A$45:$I$59, 7, FALSE), perc_95, VLOOKUP(F$2, Percentiles!$A$45:$I$59, 8, FALSE), perc_85, perc_75 + (perc_90 - perc_75) * (2/3), converted_stat, '2K_Ratings'!F836, IF(bbgm_stat &gt;= perc_95, converted_stat * 3, IF(bbgm_stat &gt;= perc_90, converted_stat * 2, IF(bbgm_stat &gt;= perc_85, converted_stat * 1.5, converted_stat)))))</f>
        <v/>
      </c>
      <c r="G836" s="30" t="str">
        <f t="array" ref="G836">IF($A836="", "", LET(bbgm_stat, INDEX(Players!$A835:$P835, MATCH(G$2, Players!$A$1:$P$1, 0)), perc_75, VLOOKUP(G$2, Percentiles!$A$45:$I$59, 6, FALSE), perc_90, VLOOKUP(G$2, Percentiles!$A$45:$I$59, 7, FALSE), perc_95, VLOOKUP(G$2, Percentiles!$A$45:$I$59, 8, FALSE), perc_85, perc_75 + (perc_90 - perc_75) * (2/3), converted_stat, '2K_Ratings'!G836, IF(bbgm_stat &gt;= perc_95, converted_stat * 3, IF(bbgm_stat &gt;= perc_90, converted_stat * 2, IF(bbgm_stat &gt;= perc_85, converted_stat * 1.5, converted_stat)))))</f>
        <v/>
      </c>
      <c r="H836" s="30" t="str">
        <f t="array" ref="H836">IF($A836="", "", LET(bbgm_stat, INDEX(Players!$A835:$P835, MATCH(H$2, Players!$A$1:$P$1, 0)), perc_75, VLOOKUP(H$2, Percentiles!$A$45:$I$59, 6, FALSE), perc_90, VLOOKUP(H$2, Percentiles!$A$45:$I$59, 7, FALSE), perc_95, VLOOKUP(H$2, Percentiles!$A$45:$I$59, 8, FALSE), perc_85, perc_75 + (perc_90 - perc_75) * (2/3), converted_stat, '2K_Ratings'!H836, IF(bbgm_stat &gt;= perc_95, converted_stat * 3, IF(bbgm_stat &gt;= perc_90, converted_stat * 2, IF(bbgm_stat &gt;= perc_85, converted_stat * 1.5, converted_stat)))))</f>
        <v/>
      </c>
      <c r="I836" s="30" t="str">
        <f t="array" ref="I836">IF($A836="", "", LET(bbgm_stat, INDEX(Players!$A835:$P835, MATCH(I$2, Players!$A$1:$P$1, 0)), perc_75, VLOOKUP(I$2, Percentiles!$A$45:$I$59, 6, FALSE), perc_90, VLOOKUP(I$2, Percentiles!$A$45:$I$59, 7, FALSE), perc_95, VLOOKUP(I$2, Percentiles!$A$45:$I$59, 8, FALSE), perc_85, perc_75 + (perc_90 - perc_75) * (2/3), converted_stat, '2K_Ratings'!I836, IF(bbgm_stat &gt;= perc_95, converted_stat * 3, IF(bbgm_stat &gt;= perc_90, converted_stat * 2, IF(bbgm_stat &gt;= perc_85, converted_stat * 1.5, converted_stat)))))</f>
        <v/>
      </c>
      <c r="J836" s="30" t="str">
        <f t="array" ref="J836">IF($A836="", "", LET(bbgm_stat, INDEX(Players!$A835:$P835, MATCH(J$2, Players!$A$1:$P$1, 0)), perc_75, VLOOKUP(J$2, Percentiles!$A$45:$I$59, 6, FALSE), perc_90, VLOOKUP(J$2, Percentiles!$A$45:$I$59, 7, FALSE), perc_95, VLOOKUP(J$2, Percentiles!$A$45:$I$59, 8, FALSE), perc_85, perc_75 + (perc_90 - perc_75) * (2/3), converted_stat, '2K_Ratings'!J836, IF(bbgm_stat &gt;= perc_95, converted_stat * 3, IF(bbgm_stat &gt;= perc_90, converted_stat * 2, IF(bbgm_stat &gt;= perc_85, converted_stat * 1.5, converted_stat)))))</f>
        <v/>
      </c>
      <c r="K836" s="30" t="str">
        <f t="array" ref="K836">IF($A836="", "", LET(bbgm_stat, INDEX(Players!$A835:$P835, MATCH(K$2, Players!$A$1:$P$1, 0)), perc_75, VLOOKUP(K$2, Percentiles!$A$45:$I$59, 6, FALSE), perc_90, VLOOKUP(K$2, Percentiles!$A$45:$I$59, 7, FALSE), perc_95, VLOOKUP(K$2, Percentiles!$A$45:$I$59, 8, FALSE), perc_85, perc_75 + (perc_90 - perc_75) * (2/3), converted_stat, '2K_Ratings'!K836, IF(bbgm_stat &gt;= perc_95, converted_stat * 3, IF(bbgm_stat &gt;= perc_90, converted_stat * 2, IF(bbgm_stat &gt;= perc_85, converted_stat * 1.5, converted_stat)))))</f>
        <v/>
      </c>
      <c r="L836" s="30" t="str">
        <f t="array" ref="L836">IF($A836="", "", LET(bbgm_stat, INDEX(Players!$A835:$P835, MATCH(L$2, Players!$A$1:$P$1, 0)), perc_75, VLOOKUP(L$2, Percentiles!$A$45:$I$59, 6, FALSE), perc_90, VLOOKUP(L$2, Percentiles!$A$45:$I$59, 7, FALSE), perc_95, VLOOKUP(L$2, Percentiles!$A$45:$I$59, 8, FALSE), perc_85, perc_75 + (perc_90 - perc_75) * (2/3), converted_stat, '2K_Ratings'!L836, IF(bbgm_stat &gt;= perc_95, converted_stat * 3, IF(bbgm_stat &gt;= perc_90, converted_stat * 2, IF(bbgm_stat &gt;= perc_85, converted_stat * 1.5, converted_stat)))))</f>
        <v/>
      </c>
      <c r="M836" s="30" t="str">
        <f t="array" ref="M836">IF($A836="", "", LET(bbgm_stat, INDEX(Players!$A835:$P835, MATCH(M$2, Players!$A$1:$P$1, 0)), perc_75, VLOOKUP(M$2, Percentiles!$A$45:$I$59, 6, FALSE), perc_90, VLOOKUP(M$2, Percentiles!$A$45:$I$59, 7, FALSE), perc_95, VLOOKUP(M$2, Percentiles!$A$45:$I$59, 8, FALSE), perc_85, perc_75 + (perc_90 - perc_75) * (2/3), converted_stat, '2K_Ratings'!M836, IF(bbgm_stat &gt;= perc_95, converted_stat * 3, IF(bbgm_stat &gt;= perc_90, converted_stat * 2, IF(bbgm_stat &gt;= perc_85, converted_stat * 1.5, converted_stat)))))</f>
        <v/>
      </c>
      <c r="N836" s="30" t="str">
        <f t="array" ref="N836">IF($A836="", "", LET(bbgm_stat, INDEX(Players!$A835:$P835, MATCH(N$2, Players!$A$1:$P$1, 0)), perc_75, VLOOKUP(N$2, Percentiles!$A$45:$I$59, 6, FALSE), perc_90, VLOOKUP(N$2, Percentiles!$A$45:$I$59, 7, FALSE), perc_95, VLOOKUP(N$2, Percentiles!$A$45:$I$59, 8, FALSE), perc_85, perc_75 + (perc_90 - perc_75) * (2/3), converted_stat, '2K_Ratings'!N836, IF(bbgm_stat &gt;= perc_95, converted_stat * 3, IF(bbgm_stat &gt;= perc_90, converted_stat * 2, IF(bbgm_stat &gt;= perc_85, converted_stat * 1.5, converted_stat)))))</f>
        <v/>
      </c>
      <c r="O836" s="30" t="str">
        <f t="array" ref="O836">IF($A836="", "", LET(bbgm_stat, INDEX(Players!$A835:$P835, MATCH(O$2, Players!$A$1:$P$1, 0)), perc_75, VLOOKUP(O$2, Percentiles!$A$45:$I$59, 6, FALSE), perc_90, VLOOKUP(O$2, Percentiles!$A$45:$I$59, 7, FALSE), perc_95, VLOOKUP(O$2, Percentiles!$A$45:$I$59, 8, FALSE), perc_85, perc_75 + (perc_90 - perc_75) * (2/3), converted_stat, '2K_Ratings'!O836, IF(bbgm_stat &gt;= perc_95, converted_stat * 3, IF(bbgm_stat &gt;= perc_90, converted_stat * 2, IF(bbgm_stat &gt;= perc_85, converted_stat * 1.5, converted_stat)))))</f>
        <v/>
      </c>
      <c r="P836" s="30" t="str">
        <f t="array" ref="P836">IF($A836="", "", LET(bbgm_stat, INDEX(Players!$A835:$P835, MATCH(P$2, Players!$A$1:$P$1, 0)), perc_75, VLOOKUP(P$2, Percentiles!$A$45:$I$59, 6, FALSE), perc_90, VLOOKUP(P$2, Percentiles!$A$45:$I$59, 7, FALSE), perc_95, VLOOKUP(P$2, Percentiles!$A$45:$I$59, 8, FALSE), perc_85, perc_75 + (perc_90 - perc_75) * (2/3), converted_stat, '2K_Ratings'!P836, IF(bbgm_stat &gt;= perc_95, converted_stat * 3, IF(bbgm_stat &gt;= perc_90, converted_stat * 2, IF(bbgm_stat &gt;= perc_85, converted_stat * 1.5, converted_stat)))))</f>
        <v/>
      </c>
      <c r="Q836" s="30" t="str">
        <f t="array" ref="Q836">IF($A836="", "", LET(bbgm_stat, INDEX(Players!$A835:$P835, MATCH(Q$2, Players!$A$1:$P$1, 0)), perc_75, VLOOKUP(Q$2, Percentiles!$A$45:$I$59, 6, FALSE), perc_90, VLOOKUP(Q$2, Percentiles!$A$45:$I$59, 7, FALSE), perc_95, VLOOKUP(Q$2, Percentiles!$A$45:$I$59, 8, FALSE), perc_85, perc_75 + (perc_90 - perc_75) * (2/3), converted_stat, '2K_Ratings'!Q836, IF(bbgm_stat &gt;= perc_95, converted_stat * 3, IF(bbgm_stat &gt;= perc_90, converted_stat * 2, IF(bbgm_stat &gt;= perc_85, converted_stat * 1.5, converted_stat)))))</f>
        <v/>
      </c>
      <c r="R836" s="30" t="str">
        <f t="array" ref="R836">IF($A836="", "", LET(bbgm_stat, INDEX(Players!$A835:$P835, MATCH(R$2, Players!$A$1:$P$1, 0)), perc_75, VLOOKUP(R$2, Percentiles!$A$45:$I$59, 6, FALSE), perc_90, VLOOKUP(R$2, Percentiles!$A$45:$I$59, 7, FALSE), perc_95, VLOOKUP(R$2, Percentiles!$A$45:$I$59, 8, FALSE), perc_85, perc_75 + (perc_90 - perc_75) * (2/3), converted_stat, '2K_Ratings'!R836, IF(bbgm_stat &gt;= perc_95, converted_stat * 3, IF(bbgm_stat &gt;= perc_90, converted_stat * 2, IF(bbgm_stat &gt;= perc_85, converted_stat * 1.5, converted_stat)))))</f>
        <v/>
      </c>
      <c r="S836" s="30" t="str">
        <f t="array" ref="S836">IF($A836="", "", LET(bbgm_stat, INDEX(Players!$A835:$P835, MATCH(S$2, Players!$A$1:$P$1, 0)), perc_75, VLOOKUP(S$2, Percentiles!$A$45:$I$59, 6, FALSE), perc_90, VLOOKUP(S$2, Percentiles!$A$45:$I$59, 7, FALSE), perc_95, VLOOKUP(S$2, Percentiles!$A$45:$I$59, 8, FALSE), perc_85, perc_75 + (perc_90 - perc_75) * (2/3), converted_stat, '2K_Ratings'!S836, IF(bbgm_stat &gt;= perc_95, converted_stat * 3, IF(bbgm_stat &gt;= perc_90, converted_stat * 2, IF(bbgm_stat &gt;= perc_85, converted_stat * 1.5, converted_stat)))))</f>
        <v/>
      </c>
      <c r="T836" s="30" t="str">
        <f t="array" ref="T836">IF($A836="", "", LET(bbgm_stat, INDEX(Players!$A835:$P835, MATCH(T$2, Players!$A$1:$P$1, 0)), perc_75, VLOOKUP(T$2, Percentiles!$A$45:$I$59, 6, FALSE), perc_90, VLOOKUP(T$2, Percentiles!$A$45:$I$59, 7, FALSE), perc_95, VLOOKUP(T$2, Percentiles!$A$45:$I$59, 8, FALSE), perc_85, perc_75 + (perc_90 - perc_75) * (2/3), converted_stat, '2K_Ratings'!T836, IF(bbgm_stat &gt;= perc_95, converted_stat * 3, IF(bbgm_stat &gt;= perc_90, converted_stat * 2, IF(bbgm_stat &gt;= perc_85, converted_stat * 1.5, converted_stat)))))</f>
        <v/>
      </c>
      <c r="U836" s="30" t="str">
        <f t="array" ref="U836">IF($A836="", "", LET(bbgm_stat, INDEX(Players!$A835:$P835, MATCH(U$2, Players!$A$1:$P$1, 0)), perc_75, VLOOKUP(U$2, Percentiles!$A$45:$I$59, 6, FALSE), perc_90, VLOOKUP(U$2, Percentiles!$A$45:$I$59, 7, FALSE), perc_95, VLOOKUP(U$2, Percentiles!$A$45:$I$59, 8, FALSE), perc_85, perc_75 + (perc_90 - perc_75) * (2/3), converted_stat, '2K_Ratings'!U836, IF(bbgm_stat &gt;= perc_95, converted_stat * 3, IF(bbgm_stat &gt;= perc_90, converted_stat * 2, IF(bbgm_stat &gt;= perc_85, converted_stat * 1.5, converted_stat)))))</f>
        <v/>
      </c>
      <c r="V836" s="30" t="str">
        <f t="array" ref="V836">IF($A836="", "", LET(bbgm_stat, INDEX(Players!$A835:$P835, MATCH(V$2, Players!$A$1:$P$1, 0)), perc_75, VLOOKUP(V$2, Percentiles!$A$45:$I$59, 6, FALSE), perc_90, VLOOKUP(V$2, Percentiles!$A$45:$I$59, 7, FALSE), perc_95, VLOOKUP(V$2, Percentiles!$A$45:$I$59, 8, FALSE), perc_85, perc_75 + (perc_90 - perc_75) * (2/3), converted_stat, '2K_Ratings'!V836, IF(bbgm_stat &gt;= perc_95, converted_stat * 3, IF(bbgm_stat &gt;= perc_90, converted_stat * 2, IF(bbgm_stat &gt;= perc_85, converted_stat * 1.5, converted_stat)))))</f>
        <v/>
      </c>
      <c r="W836" s="30" t="str">
        <f t="array" ref="W836">IF($A836="", "", LET(bbgm_stat, INDEX(Players!$A835:$P835, MATCH(W$2, Players!$A$1:$P$1, 0)), perc_75, VLOOKUP(W$2, Percentiles!$A$45:$I$59, 6, FALSE), perc_90, VLOOKUP(W$2, Percentiles!$A$45:$I$59, 7, FALSE), perc_95, VLOOKUP(W$2, Percentiles!$A$45:$I$59, 8, FALSE), perc_85, perc_75 + (perc_90 - perc_75) * (2/3), converted_stat, '2K_Ratings'!W836, IF(bbgm_stat &gt;= perc_95, converted_stat * 3, IF(bbgm_stat &gt;= perc_90, converted_stat * 2, IF(bbgm_stat &gt;= perc_85, converted_stat * 1.5, converted_stat)))))</f>
        <v/>
      </c>
    </row>
    <row r="837">
      <c r="A837" s="30"/>
      <c r="B837" s="30" t="str">
        <f t="array" ref="B837">IF($A837="", "", LET(bbgm_stat, INDEX(Players!$A836:$P836, MATCH(B$2, Players!$A$1:$P$1, 0)), perc_75, VLOOKUP(B$2, Percentiles!$A$45:$I$59, 6, FALSE), perc_90, VLOOKUP(B$2, Percentiles!$A$45:$I$59, 7, FALSE), perc_95, VLOOKUP(B$2, Percentiles!$A$45:$I$59, 8, FALSE), perc_85, perc_75 + (perc_90 - perc_75) * (2/3), converted_stat, '2K_Ratings'!B837, IF(bbgm_stat &gt;= perc_95, converted_stat * 3, IF(bbgm_stat &gt;= perc_90, converted_stat * 2, IF(bbgm_stat &gt;= perc_85, converted_stat * 1.5, converted_stat)))))</f>
        <v/>
      </c>
      <c r="C837" s="30" t="str">
        <f t="array" ref="C837">IF($A837="", "", LET(bbgm_stat, INDEX(Players!$A836:$P836, MATCH(C$2, Players!$A$1:$P$1, 0)), perc_75, VLOOKUP(C$2, Percentiles!$A$45:$I$59, 6, FALSE), perc_90, VLOOKUP(C$2, Percentiles!$A$45:$I$59, 7, FALSE), perc_95, VLOOKUP(C$2, Percentiles!$A$45:$I$59, 8, FALSE), perc_85, perc_75 + (perc_90 - perc_75) * (2/3), converted_stat, '2K_Ratings'!C837, IF(bbgm_stat &gt;= perc_95, converted_stat * 3, IF(bbgm_stat &gt;= perc_90, converted_stat * 2, IF(bbgm_stat &gt;= perc_85, converted_stat * 1.5, converted_stat)))))</f>
        <v/>
      </c>
      <c r="D837" s="30" t="str">
        <f t="array" ref="D837">IF($A837="", "", LET(bbgm_stat, INDEX(Players!$A836:$P836, MATCH(D$2, Players!$A$1:$P$1, 0)), perc_75, VLOOKUP(D$2, Percentiles!$A$45:$I$59, 6, FALSE), perc_90, VLOOKUP(D$2, Percentiles!$A$45:$I$59, 7, FALSE), perc_95, VLOOKUP(D$2, Percentiles!$A$45:$I$59, 8, FALSE), perc_85, perc_75 + (perc_90 - perc_75) * (2/3), converted_stat, '2K_Ratings'!D837, IF(bbgm_stat &gt;= perc_95, converted_stat * 3, IF(bbgm_stat &gt;= perc_90, converted_stat * 2, IF(bbgm_stat &gt;= perc_85, converted_stat * 1.5, converted_stat)))))</f>
        <v/>
      </c>
      <c r="E837" s="30" t="str">
        <f t="array" ref="E837">IF($A837="", "", LET(bbgm_stat, INDEX(Players!$A836:$P836, MATCH(E$2, Players!$A$1:$P$1, 0)), perc_75, VLOOKUP(E$2, Percentiles!$A$45:$I$59, 6, FALSE), perc_90, VLOOKUP(E$2, Percentiles!$A$45:$I$59, 7, FALSE), perc_95, VLOOKUP(E$2, Percentiles!$A$45:$I$59, 8, FALSE), perc_85, perc_75 + (perc_90 - perc_75) * (2/3), converted_stat, '2K_Ratings'!E837, IF(bbgm_stat &gt;= perc_95, converted_stat * 3, IF(bbgm_stat &gt;= perc_90, converted_stat * 2, IF(bbgm_stat &gt;= perc_85, converted_stat * 1.5, converted_stat)))))</f>
        <v/>
      </c>
      <c r="F837" s="30" t="str">
        <f t="array" ref="F837">IF($A837="", "", LET(bbgm_stat, INDEX(Players!$A836:$P836, MATCH(F$2, Players!$A$1:$P$1, 0)), perc_75, VLOOKUP(F$2, Percentiles!$A$45:$I$59, 6, FALSE), perc_90, VLOOKUP(F$2, Percentiles!$A$45:$I$59, 7, FALSE), perc_95, VLOOKUP(F$2, Percentiles!$A$45:$I$59, 8, FALSE), perc_85, perc_75 + (perc_90 - perc_75) * (2/3), converted_stat, '2K_Ratings'!F837, IF(bbgm_stat &gt;= perc_95, converted_stat * 3, IF(bbgm_stat &gt;= perc_90, converted_stat * 2, IF(bbgm_stat &gt;= perc_85, converted_stat * 1.5, converted_stat)))))</f>
        <v/>
      </c>
      <c r="G837" s="30" t="str">
        <f t="array" ref="G837">IF($A837="", "", LET(bbgm_stat, INDEX(Players!$A836:$P836, MATCH(G$2, Players!$A$1:$P$1, 0)), perc_75, VLOOKUP(G$2, Percentiles!$A$45:$I$59, 6, FALSE), perc_90, VLOOKUP(G$2, Percentiles!$A$45:$I$59, 7, FALSE), perc_95, VLOOKUP(G$2, Percentiles!$A$45:$I$59, 8, FALSE), perc_85, perc_75 + (perc_90 - perc_75) * (2/3), converted_stat, '2K_Ratings'!G837, IF(bbgm_stat &gt;= perc_95, converted_stat * 3, IF(bbgm_stat &gt;= perc_90, converted_stat * 2, IF(bbgm_stat &gt;= perc_85, converted_stat * 1.5, converted_stat)))))</f>
        <v/>
      </c>
      <c r="H837" s="30" t="str">
        <f t="array" ref="H837">IF($A837="", "", LET(bbgm_stat, INDEX(Players!$A836:$P836, MATCH(H$2, Players!$A$1:$P$1, 0)), perc_75, VLOOKUP(H$2, Percentiles!$A$45:$I$59, 6, FALSE), perc_90, VLOOKUP(H$2, Percentiles!$A$45:$I$59, 7, FALSE), perc_95, VLOOKUP(H$2, Percentiles!$A$45:$I$59, 8, FALSE), perc_85, perc_75 + (perc_90 - perc_75) * (2/3), converted_stat, '2K_Ratings'!H837, IF(bbgm_stat &gt;= perc_95, converted_stat * 3, IF(bbgm_stat &gt;= perc_90, converted_stat * 2, IF(bbgm_stat &gt;= perc_85, converted_stat * 1.5, converted_stat)))))</f>
        <v/>
      </c>
      <c r="I837" s="30" t="str">
        <f t="array" ref="I837">IF($A837="", "", LET(bbgm_stat, INDEX(Players!$A836:$P836, MATCH(I$2, Players!$A$1:$P$1, 0)), perc_75, VLOOKUP(I$2, Percentiles!$A$45:$I$59, 6, FALSE), perc_90, VLOOKUP(I$2, Percentiles!$A$45:$I$59, 7, FALSE), perc_95, VLOOKUP(I$2, Percentiles!$A$45:$I$59, 8, FALSE), perc_85, perc_75 + (perc_90 - perc_75) * (2/3), converted_stat, '2K_Ratings'!I837, IF(bbgm_stat &gt;= perc_95, converted_stat * 3, IF(bbgm_stat &gt;= perc_90, converted_stat * 2, IF(bbgm_stat &gt;= perc_85, converted_stat * 1.5, converted_stat)))))</f>
        <v/>
      </c>
      <c r="J837" s="30" t="str">
        <f t="array" ref="J837">IF($A837="", "", LET(bbgm_stat, INDEX(Players!$A836:$P836, MATCH(J$2, Players!$A$1:$P$1, 0)), perc_75, VLOOKUP(J$2, Percentiles!$A$45:$I$59, 6, FALSE), perc_90, VLOOKUP(J$2, Percentiles!$A$45:$I$59, 7, FALSE), perc_95, VLOOKUP(J$2, Percentiles!$A$45:$I$59, 8, FALSE), perc_85, perc_75 + (perc_90 - perc_75) * (2/3), converted_stat, '2K_Ratings'!J837, IF(bbgm_stat &gt;= perc_95, converted_stat * 3, IF(bbgm_stat &gt;= perc_90, converted_stat * 2, IF(bbgm_stat &gt;= perc_85, converted_stat * 1.5, converted_stat)))))</f>
        <v/>
      </c>
      <c r="K837" s="30" t="str">
        <f t="array" ref="K837">IF($A837="", "", LET(bbgm_stat, INDEX(Players!$A836:$P836, MATCH(K$2, Players!$A$1:$P$1, 0)), perc_75, VLOOKUP(K$2, Percentiles!$A$45:$I$59, 6, FALSE), perc_90, VLOOKUP(K$2, Percentiles!$A$45:$I$59, 7, FALSE), perc_95, VLOOKUP(K$2, Percentiles!$A$45:$I$59, 8, FALSE), perc_85, perc_75 + (perc_90 - perc_75) * (2/3), converted_stat, '2K_Ratings'!K837, IF(bbgm_stat &gt;= perc_95, converted_stat * 3, IF(bbgm_stat &gt;= perc_90, converted_stat * 2, IF(bbgm_stat &gt;= perc_85, converted_stat * 1.5, converted_stat)))))</f>
        <v/>
      </c>
      <c r="L837" s="30" t="str">
        <f t="array" ref="L837">IF($A837="", "", LET(bbgm_stat, INDEX(Players!$A836:$P836, MATCH(L$2, Players!$A$1:$P$1, 0)), perc_75, VLOOKUP(L$2, Percentiles!$A$45:$I$59, 6, FALSE), perc_90, VLOOKUP(L$2, Percentiles!$A$45:$I$59, 7, FALSE), perc_95, VLOOKUP(L$2, Percentiles!$A$45:$I$59, 8, FALSE), perc_85, perc_75 + (perc_90 - perc_75) * (2/3), converted_stat, '2K_Ratings'!L837, IF(bbgm_stat &gt;= perc_95, converted_stat * 3, IF(bbgm_stat &gt;= perc_90, converted_stat * 2, IF(bbgm_stat &gt;= perc_85, converted_stat * 1.5, converted_stat)))))</f>
        <v/>
      </c>
      <c r="M837" s="30" t="str">
        <f t="array" ref="M837">IF($A837="", "", LET(bbgm_stat, INDEX(Players!$A836:$P836, MATCH(M$2, Players!$A$1:$P$1, 0)), perc_75, VLOOKUP(M$2, Percentiles!$A$45:$I$59, 6, FALSE), perc_90, VLOOKUP(M$2, Percentiles!$A$45:$I$59, 7, FALSE), perc_95, VLOOKUP(M$2, Percentiles!$A$45:$I$59, 8, FALSE), perc_85, perc_75 + (perc_90 - perc_75) * (2/3), converted_stat, '2K_Ratings'!M837, IF(bbgm_stat &gt;= perc_95, converted_stat * 3, IF(bbgm_stat &gt;= perc_90, converted_stat * 2, IF(bbgm_stat &gt;= perc_85, converted_stat * 1.5, converted_stat)))))</f>
        <v/>
      </c>
      <c r="N837" s="30" t="str">
        <f t="array" ref="N837">IF($A837="", "", LET(bbgm_stat, INDEX(Players!$A836:$P836, MATCH(N$2, Players!$A$1:$P$1, 0)), perc_75, VLOOKUP(N$2, Percentiles!$A$45:$I$59, 6, FALSE), perc_90, VLOOKUP(N$2, Percentiles!$A$45:$I$59, 7, FALSE), perc_95, VLOOKUP(N$2, Percentiles!$A$45:$I$59, 8, FALSE), perc_85, perc_75 + (perc_90 - perc_75) * (2/3), converted_stat, '2K_Ratings'!N837, IF(bbgm_stat &gt;= perc_95, converted_stat * 3, IF(bbgm_stat &gt;= perc_90, converted_stat * 2, IF(bbgm_stat &gt;= perc_85, converted_stat * 1.5, converted_stat)))))</f>
        <v/>
      </c>
      <c r="O837" s="30" t="str">
        <f t="array" ref="O837">IF($A837="", "", LET(bbgm_stat, INDEX(Players!$A836:$P836, MATCH(O$2, Players!$A$1:$P$1, 0)), perc_75, VLOOKUP(O$2, Percentiles!$A$45:$I$59, 6, FALSE), perc_90, VLOOKUP(O$2, Percentiles!$A$45:$I$59, 7, FALSE), perc_95, VLOOKUP(O$2, Percentiles!$A$45:$I$59, 8, FALSE), perc_85, perc_75 + (perc_90 - perc_75) * (2/3), converted_stat, '2K_Ratings'!O837, IF(bbgm_stat &gt;= perc_95, converted_stat * 3, IF(bbgm_stat &gt;= perc_90, converted_stat * 2, IF(bbgm_stat &gt;= perc_85, converted_stat * 1.5, converted_stat)))))</f>
        <v/>
      </c>
      <c r="P837" s="30" t="str">
        <f t="array" ref="P837">IF($A837="", "", LET(bbgm_stat, INDEX(Players!$A836:$P836, MATCH(P$2, Players!$A$1:$P$1, 0)), perc_75, VLOOKUP(P$2, Percentiles!$A$45:$I$59, 6, FALSE), perc_90, VLOOKUP(P$2, Percentiles!$A$45:$I$59, 7, FALSE), perc_95, VLOOKUP(P$2, Percentiles!$A$45:$I$59, 8, FALSE), perc_85, perc_75 + (perc_90 - perc_75) * (2/3), converted_stat, '2K_Ratings'!P837, IF(bbgm_stat &gt;= perc_95, converted_stat * 3, IF(bbgm_stat &gt;= perc_90, converted_stat * 2, IF(bbgm_stat &gt;= perc_85, converted_stat * 1.5, converted_stat)))))</f>
        <v/>
      </c>
      <c r="Q837" s="30" t="str">
        <f t="array" ref="Q837">IF($A837="", "", LET(bbgm_stat, INDEX(Players!$A836:$P836, MATCH(Q$2, Players!$A$1:$P$1, 0)), perc_75, VLOOKUP(Q$2, Percentiles!$A$45:$I$59, 6, FALSE), perc_90, VLOOKUP(Q$2, Percentiles!$A$45:$I$59, 7, FALSE), perc_95, VLOOKUP(Q$2, Percentiles!$A$45:$I$59, 8, FALSE), perc_85, perc_75 + (perc_90 - perc_75) * (2/3), converted_stat, '2K_Ratings'!Q837, IF(bbgm_stat &gt;= perc_95, converted_stat * 3, IF(bbgm_stat &gt;= perc_90, converted_stat * 2, IF(bbgm_stat &gt;= perc_85, converted_stat * 1.5, converted_stat)))))</f>
        <v/>
      </c>
      <c r="R837" s="30" t="str">
        <f t="array" ref="R837">IF($A837="", "", LET(bbgm_stat, INDEX(Players!$A836:$P836, MATCH(R$2, Players!$A$1:$P$1, 0)), perc_75, VLOOKUP(R$2, Percentiles!$A$45:$I$59, 6, FALSE), perc_90, VLOOKUP(R$2, Percentiles!$A$45:$I$59, 7, FALSE), perc_95, VLOOKUP(R$2, Percentiles!$A$45:$I$59, 8, FALSE), perc_85, perc_75 + (perc_90 - perc_75) * (2/3), converted_stat, '2K_Ratings'!R837, IF(bbgm_stat &gt;= perc_95, converted_stat * 3, IF(bbgm_stat &gt;= perc_90, converted_stat * 2, IF(bbgm_stat &gt;= perc_85, converted_stat * 1.5, converted_stat)))))</f>
        <v/>
      </c>
      <c r="S837" s="30" t="str">
        <f t="array" ref="S837">IF($A837="", "", LET(bbgm_stat, INDEX(Players!$A836:$P836, MATCH(S$2, Players!$A$1:$P$1, 0)), perc_75, VLOOKUP(S$2, Percentiles!$A$45:$I$59, 6, FALSE), perc_90, VLOOKUP(S$2, Percentiles!$A$45:$I$59, 7, FALSE), perc_95, VLOOKUP(S$2, Percentiles!$A$45:$I$59, 8, FALSE), perc_85, perc_75 + (perc_90 - perc_75) * (2/3), converted_stat, '2K_Ratings'!S837, IF(bbgm_stat &gt;= perc_95, converted_stat * 3, IF(bbgm_stat &gt;= perc_90, converted_stat * 2, IF(bbgm_stat &gt;= perc_85, converted_stat * 1.5, converted_stat)))))</f>
        <v/>
      </c>
      <c r="T837" s="30" t="str">
        <f t="array" ref="T837">IF($A837="", "", LET(bbgm_stat, INDEX(Players!$A836:$P836, MATCH(T$2, Players!$A$1:$P$1, 0)), perc_75, VLOOKUP(T$2, Percentiles!$A$45:$I$59, 6, FALSE), perc_90, VLOOKUP(T$2, Percentiles!$A$45:$I$59, 7, FALSE), perc_95, VLOOKUP(T$2, Percentiles!$A$45:$I$59, 8, FALSE), perc_85, perc_75 + (perc_90 - perc_75) * (2/3), converted_stat, '2K_Ratings'!T837, IF(bbgm_stat &gt;= perc_95, converted_stat * 3, IF(bbgm_stat &gt;= perc_90, converted_stat * 2, IF(bbgm_stat &gt;= perc_85, converted_stat * 1.5, converted_stat)))))</f>
        <v/>
      </c>
      <c r="U837" s="30" t="str">
        <f t="array" ref="U837">IF($A837="", "", LET(bbgm_stat, INDEX(Players!$A836:$P836, MATCH(U$2, Players!$A$1:$P$1, 0)), perc_75, VLOOKUP(U$2, Percentiles!$A$45:$I$59, 6, FALSE), perc_90, VLOOKUP(U$2, Percentiles!$A$45:$I$59, 7, FALSE), perc_95, VLOOKUP(U$2, Percentiles!$A$45:$I$59, 8, FALSE), perc_85, perc_75 + (perc_90 - perc_75) * (2/3), converted_stat, '2K_Ratings'!U837, IF(bbgm_stat &gt;= perc_95, converted_stat * 3, IF(bbgm_stat &gt;= perc_90, converted_stat * 2, IF(bbgm_stat &gt;= perc_85, converted_stat * 1.5, converted_stat)))))</f>
        <v/>
      </c>
      <c r="V837" s="30" t="str">
        <f t="array" ref="V837">IF($A837="", "", LET(bbgm_stat, INDEX(Players!$A836:$P836, MATCH(V$2, Players!$A$1:$P$1, 0)), perc_75, VLOOKUP(V$2, Percentiles!$A$45:$I$59, 6, FALSE), perc_90, VLOOKUP(V$2, Percentiles!$A$45:$I$59, 7, FALSE), perc_95, VLOOKUP(V$2, Percentiles!$A$45:$I$59, 8, FALSE), perc_85, perc_75 + (perc_90 - perc_75) * (2/3), converted_stat, '2K_Ratings'!V837, IF(bbgm_stat &gt;= perc_95, converted_stat * 3, IF(bbgm_stat &gt;= perc_90, converted_stat * 2, IF(bbgm_stat &gt;= perc_85, converted_stat * 1.5, converted_stat)))))</f>
        <v/>
      </c>
      <c r="W837" s="30" t="str">
        <f t="array" ref="W837">IF($A837="", "", LET(bbgm_stat, INDEX(Players!$A836:$P836, MATCH(W$2, Players!$A$1:$P$1, 0)), perc_75, VLOOKUP(W$2, Percentiles!$A$45:$I$59, 6, FALSE), perc_90, VLOOKUP(W$2, Percentiles!$A$45:$I$59, 7, FALSE), perc_95, VLOOKUP(W$2, Percentiles!$A$45:$I$59, 8, FALSE), perc_85, perc_75 + (perc_90 - perc_75) * (2/3), converted_stat, '2K_Ratings'!W837, IF(bbgm_stat &gt;= perc_95, converted_stat * 3, IF(bbgm_stat &gt;= perc_90, converted_stat * 2, IF(bbgm_stat &gt;= perc_85, converted_stat * 1.5, converted_stat)))))</f>
        <v/>
      </c>
    </row>
    <row r="838">
      <c r="A838" s="30"/>
      <c r="B838" s="30" t="str">
        <f t="array" ref="B838">IF($A838="", "", LET(bbgm_stat, INDEX(Players!$A837:$P837, MATCH(B$2, Players!$A$1:$P$1, 0)), perc_75, VLOOKUP(B$2, Percentiles!$A$45:$I$59, 6, FALSE), perc_90, VLOOKUP(B$2, Percentiles!$A$45:$I$59, 7, FALSE), perc_95, VLOOKUP(B$2, Percentiles!$A$45:$I$59, 8, FALSE), perc_85, perc_75 + (perc_90 - perc_75) * (2/3), converted_stat, '2K_Ratings'!B838, IF(bbgm_stat &gt;= perc_95, converted_stat * 3, IF(bbgm_stat &gt;= perc_90, converted_stat * 2, IF(bbgm_stat &gt;= perc_85, converted_stat * 1.5, converted_stat)))))</f>
        <v/>
      </c>
      <c r="C838" s="30" t="str">
        <f t="array" ref="C838">IF($A838="", "", LET(bbgm_stat, INDEX(Players!$A837:$P837, MATCH(C$2, Players!$A$1:$P$1, 0)), perc_75, VLOOKUP(C$2, Percentiles!$A$45:$I$59, 6, FALSE), perc_90, VLOOKUP(C$2, Percentiles!$A$45:$I$59, 7, FALSE), perc_95, VLOOKUP(C$2, Percentiles!$A$45:$I$59, 8, FALSE), perc_85, perc_75 + (perc_90 - perc_75) * (2/3), converted_stat, '2K_Ratings'!C838, IF(bbgm_stat &gt;= perc_95, converted_stat * 3, IF(bbgm_stat &gt;= perc_90, converted_stat * 2, IF(bbgm_stat &gt;= perc_85, converted_stat * 1.5, converted_stat)))))</f>
        <v/>
      </c>
      <c r="D838" s="30" t="str">
        <f t="array" ref="D838">IF($A838="", "", LET(bbgm_stat, INDEX(Players!$A837:$P837, MATCH(D$2, Players!$A$1:$P$1, 0)), perc_75, VLOOKUP(D$2, Percentiles!$A$45:$I$59, 6, FALSE), perc_90, VLOOKUP(D$2, Percentiles!$A$45:$I$59, 7, FALSE), perc_95, VLOOKUP(D$2, Percentiles!$A$45:$I$59, 8, FALSE), perc_85, perc_75 + (perc_90 - perc_75) * (2/3), converted_stat, '2K_Ratings'!D838, IF(bbgm_stat &gt;= perc_95, converted_stat * 3, IF(bbgm_stat &gt;= perc_90, converted_stat * 2, IF(bbgm_stat &gt;= perc_85, converted_stat * 1.5, converted_stat)))))</f>
        <v/>
      </c>
      <c r="E838" s="30" t="str">
        <f t="array" ref="E838">IF($A838="", "", LET(bbgm_stat, INDEX(Players!$A837:$P837, MATCH(E$2, Players!$A$1:$P$1, 0)), perc_75, VLOOKUP(E$2, Percentiles!$A$45:$I$59, 6, FALSE), perc_90, VLOOKUP(E$2, Percentiles!$A$45:$I$59, 7, FALSE), perc_95, VLOOKUP(E$2, Percentiles!$A$45:$I$59, 8, FALSE), perc_85, perc_75 + (perc_90 - perc_75) * (2/3), converted_stat, '2K_Ratings'!E838, IF(bbgm_stat &gt;= perc_95, converted_stat * 3, IF(bbgm_stat &gt;= perc_90, converted_stat * 2, IF(bbgm_stat &gt;= perc_85, converted_stat * 1.5, converted_stat)))))</f>
        <v/>
      </c>
      <c r="F838" s="30" t="str">
        <f t="array" ref="F838">IF($A838="", "", LET(bbgm_stat, INDEX(Players!$A837:$P837, MATCH(F$2, Players!$A$1:$P$1, 0)), perc_75, VLOOKUP(F$2, Percentiles!$A$45:$I$59, 6, FALSE), perc_90, VLOOKUP(F$2, Percentiles!$A$45:$I$59, 7, FALSE), perc_95, VLOOKUP(F$2, Percentiles!$A$45:$I$59, 8, FALSE), perc_85, perc_75 + (perc_90 - perc_75) * (2/3), converted_stat, '2K_Ratings'!F838, IF(bbgm_stat &gt;= perc_95, converted_stat * 3, IF(bbgm_stat &gt;= perc_90, converted_stat * 2, IF(bbgm_stat &gt;= perc_85, converted_stat * 1.5, converted_stat)))))</f>
        <v/>
      </c>
      <c r="G838" s="30" t="str">
        <f t="array" ref="G838">IF($A838="", "", LET(bbgm_stat, INDEX(Players!$A837:$P837, MATCH(G$2, Players!$A$1:$P$1, 0)), perc_75, VLOOKUP(G$2, Percentiles!$A$45:$I$59, 6, FALSE), perc_90, VLOOKUP(G$2, Percentiles!$A$45:$I$59, 7, FALSE), perc_95, VLOOKUP(G$2, Percentiles!$A$45:$I$59, 8, FALSE), perc_85, perc_75 + (perc_90 - perc_75) * (2/3), converted_stat, '2K_Ratings'!G838, IF(bbgm_stat &gt;= perc_95, converted_stat * 3, IF(bbgm_stat &gt;= perc_90, converted_stat * 2, IF(bbgm_stat &gt;= perc_85, converted_stat * 1.5, converted_stat)))))</f>
        <v/>
      </c>
      <c r="H838" s="30" t="str">
        <f t="array" ref="H838">IF($A838="", "", LET(bbgm_stat, INDEX(Players!$A837:$P837, MATCH(H$2, Players!$A$1:$P$1, 0)), perc_75, VLOOKUP(H$2, Percentiles!$A$45:$I$59, 6, FALSE), perc_90, VLOOKUP(H$2, Percentiles!$A$45:$I$59, 7, FALSE), perc_95, VLOOKUP(H$2, Percentiles!$A$45:$I$59, 8, FALSE), perc_85, perc_75 + (perc_90 - perc_75) * (2/3), converted_stat, '2K_Ratings'!H838, IF(bbgm_stat &gt;= perc_95, converted_stat * 3, IF(bbgm_stat &gt;= perc_90, converted_stat * 2, IF(bbgm_stat &gt;= perc_85, converted_stat * 1.5, converted_stat)))))</f>
        <v/>
      </c>
      <c r="I838" s="30" t="str">
        <f t="array" ref="I838">IF($A838="", "", LET(bbgm_stat, INDEX(Players!$A837:$P837, MATCH(I$2, Players!$A$1:$P$1, 0)), perc_75, VLOOKUP(I$2, Percentiles!$A$45:$I$59, 6, FALSE), perc_90, VLOOKUP(I$2, Percentiles!$A$45:$I$59, 7, FALSE), perc_95, VLOOKUP(I$2, Percentiles!$A$45:$I$59, 8, FALSE), perc_85, perc_75 + (perc_90 - perc_75) * (2/3), converted_stat, '2K_Ratings'!I838, IF(bbgm_stat &gt;= perc_95, converted_stat * 3, IF(bbgm_stat &gt;= perc_90, converted_stat * 2, IF(bbgm_stat &gt;= perc_85, converted_stat * 1.5, converted_stat)))))</f>
        <v/>
      </c>
      <c r="J838" s="30" t="str">
        <f t="array" ref="J838">IF($A838="", "", LET(bbgm_stat, INDEX(Players!$A837:$P837, MATCH(J$2, Players!$A$1:$P$1, 0)), perc_75, VLOOKUP(J$2, Percentiles!$A$45:$I$59, 6, FALSE), perc_90, VLOOKUP(J$2, Percentiles!$A$45:$I$59, 7, FALSE), perc_95, VLOOKUP(J$2, Percentiles!$A$45:$I$59, 8, FALSE), perc_85, perc_75 + (perc_90 - perc_75) * (2/3), converted_stat, '2K_Ratings'!J838, IF(bbgm_stat &gt;= perc_95, converted_stat * 3, IF(bbgm_stat &gt;= perc_90, converted_stat * 2, IF(bbgm_stat &gt;= perc_85, converted_stat * 1.5, converted_stat)))))</f>
        <v/>
      </c>
      <c r="K838" s="30" t="str">
        <f t="array" ref="K838">IF($A838="", "", LET(bbgm_stat, INDEX(Players!$A837:$P837, MATCH(K$2, Players!$A$1:$P$1, 0)), perc_75, VLOOKUP(K$2, Percentiles!$A$45:$I$59, 6, FALSE), perc_90, VLOOKUP(K$2, Percentiles!$A$45:$I$59, 7, FALSE), perc_95, VLOOKUP(K$2, Percentiles!$A$45:$I$59, 8, FALSE), perc_85, perc_75 + (perc_90 - perc_75) * (2/3), converted_stat, '2K_Ratings'!K838, IF(bbgm_stat &gt;= perc_95, converted_stat * 3, IF(bbgm_stat &gt;= perc_90, converted_stat * 2, IF(bbgm_stat &gt;= perc_85, converted_stat * 1.5, converted_stat)))))</f>
        <v/>
      </c>
      <c r="L838" s="30" t="str">
        <f t="array" ref="L838">IF($A838="", "", LET(bbgm_stat, INDEX(Players!$A837:$P837, MATCH(L$2, Players!$A$1:$P$1, 0)), perc_75, VLOOKUP(L$2, Percentiles!$A$45:$I$59, 6, FALSE), perc_90, VLOOKUP(L$2, Percentiles!$A$45:$I$59, 7, FALSE), perc_95, VLOOKUP(L$2, Percentiles!$A$45:$I$59, 8, FALSE), perc_85, perc_75 + (perc_90 - perc_75) * (2/3), converted_stat, '2K_Ratings'!L838, IF(bbgm_stat &gt;= perc_95, converted_stat * 3, IF(bbgm_stat &gt;= perc_90, converted_stat * 2, IF(bbgm_stat &gt;= perc_85, converted_stat * 1.5, converted_stat)))))</f>
        <v/>
      </c>
      <c r="M838" s="30" t="str">
        <f t="array" ref="M838">IF($A838="", "", LET(bbgm_stat, INDEX(Players!$A837:$P837, MATCH(M$2, Players!$A$1:$P$1, 0)), perc_75, VLOOKUP(M$2, Percentiles!$A$45:$I$59, 6, FALSE), perc_90, VLOOKUP(M$2, Percentiles!$A$45:$I$59, 7, FALSE), perc_95, VLOOKUP(M$2, Percentiles!$A$45:$I$59, 8, FALSE), perc_85, perc_75 + (perc_90 - perc_75) * (2/3), converted_stat, '2K_Ratings'!M838, IF(bbgm_stat &gt;= perc_95, converted_stat * 3, IF(bbgm_stat &gt;= perc_90, converted_stat * 2, IF(bbgm_stat &gt;= perc_85, converted_stat * 1.5, converted_stat)))))</f>
        <v/>
      </c>
      <c r="N838" s="30" t="str">
        <f t="array" ref="N838">IF($A838="", "", LET(bbgm_stat, INDEX(Players!$A837:$P837, MATCH(N$2, Players!$A$1:$P$1, 0)), perc_75, VLOOKUP(N$2, Percentiles!$A$45:$I$59, 6, FALSE), perc_90, VLOOKUP(N$2, Percentiles!$A$45:$I$59, 7, FALSE), perc_95, VLOOKUP(N$2, Percentiles!$A$45:$I$59, 8, FALSE), perc_85, perc_75 + (perc_90 - perc_75) * (2/3), converted_stat, '2K_Ratings'!N838, IF(bbgm_stat &gt;= perc_95, converted_stat * 3, IF(bbgm_stat &gt;= perc_90, converted_stat * 2, IF(bbgm_stat &gt;= perc_85, converted_stat * 1.5, converted_stat)))))</f>
        <v/>
      </c>
      <c r="O838" s="30" t="str">
        <f t="array" ref="O838">IF($A838="", "", LET(bbgm_stat, INDEX(Players!$A837:$P837, MATCH(O$2, Players!$A$1:$P$1, 0)), perc_75, VLOOKUP(O$2, Percentiles!$A$45:$I$59, 6, FALSE), perc_90, VLOOKUP(O$2, Percentiles!$A$45:$I$59, 7, FALSE), perc_95, VLOOKUP(O$2, Percentiles!$A$45:$I$59, 8, FALSE), perc_85, perc_75 + (perc_90 - perc_75) * (2/3), converted_stat, '2K_Ratings'!O838, IF(bbgm_stat &gt;= perc_95, converted_stat * 3, IF(bbgm_stat &gt;= perc_90, converted_stat * 2, IF(bbgm_stat &gt;= perc_85, converted_stat * 1.5, converted_stat)))))</f>
        <v/>
      </c>
      <c r="P838" s="30" t="str">
        <f t="array" ref="P838">IF($A838="", "", LET(bbgm_stat, INDEX(Players!$A837:$P837, MATCH(P$2, Players!$A$1:$P$1, 0)), perc_75, VLOOKUP(P$2, Percentiles!$A$45:$I$59, 6, FALSE), perc_90, VLOOKUP(P$2, Percentiles!$A$45:$I$59, 7, FALSE), perc_95, VLOOKUP(P$2, Percentiles!$A$45:$I$59, 8, FALSE), perc_85, perc_75 + (perc_90 - perc_75) * (2/3), converted_stat, '2K_Ratings'!P838, IF(bbgm_stat &gt;= perc_95, converted_stat * 3, IF(bbgm_stat &gt;= perc_90, converted_stat * 2, IF(bbgm_stat &gt;= perc_85, converted_stat * 1.5, converted_stat)))))</f>
        <v/>
      </c>
      <c r="Q838" s="30" t="str">
        <f t="array" ref="Q838">IF($A838="", "", LET(bbgm_stat, INDEX(Players!$A837:$P837, MATCH(Q$2, Players!$A$1:$P$1, 0)), perc_75, VLOOKUP(Q$2, Percentiles!$A$45:$I$59, 6, FALSE), perc_90, VLOOKUP(Q$2, Percentiles!$A$45:$I$59, 7, FALSE), perc_95, VLOOKUP(Q$2, Percentiles!$A$45:$I$59, 8, FALSE), perc_85, perc_75 + (perc_90 - perc_75) * (2/3), converted_stat, '2K_Ratings'!Q838, IF(bbgm_stat &gt;= perc_95, converted_stat * 3, IF(bbgm_stat &gt;= perc_90, converted_stat * 2, IF(bbgm_stat &gt;= perc_85, converted_stat * 1.5, converted_stat)))))</f>
        <v/>
      </c>
      <c r="R838" s="30" t="str">
        <f t="array" ref="R838">IF($A838="", "", LET(bbgm_stat, INDEX(Players!$A837:$P837, MATCH(R$2, Players!$A$1:$P$1, 0)), perc_75, VLOOKUP(R$2, Percentiles!$A$45:$I$59, 6, FALSE), perc_90, VLOOKUP(R$2, Percentiles!$A$45:$I$59, 7, FALSE), perc_95, VLOOKUP(R$2, Percentiles!$A$45:$I$59, 8, FALSE), perc_85, perc_75 + (perc_90 - perc_75) * (2/3), converted_stat, '2K_Ratings'!R838, IF(bbgm_stat &gt;= perc_95, converted_stat * 3, IF(bbgm_stat &gt;= perc_90, converted_stat * 2, IF(bbgm_stat &gt;= perc_85, converted_stat * 1.5, converted_stat)))))</f>
        <v/>
      </c>
      <c r="S838" s="30" t="str">
        <f t="array" ref="S838">IF($A838="", "", LET(bbgm_stat, INDEX(Players!$A837:$P837, MATCH(S$2, Players!$A$1:$P$1, 0)), perc_75, VLOOKUP(S$2, Percentiles!$A$45:$I$59, 6, FALSE), perc_90, VLOOKUP(S$2, Percentiles!$A$45:$I$59, 7, FALSE), perc_95, VLOOKUP(S$2, Percentiles!$A$45:$I$59, 8, FALSE), perc_85, perc_75 + (perc_90 - perc_75) * (2/3), converted_stat, '2K_Ratings'!S838, IF(bbgm_stat &gt;= perc_95, converted_stat * 3, IF(bbgm_stat &gt;= perc_90, converted_stat * 2, IF(bbgm_stat &gt;= perc_85, converted_stat * 1.5, converted_stat)))))</f>
        <v/>
      </c>
      <c r="T838" s="30" t="str">
        <f t="array" ref="T838">IF($A838="", "", LET(bbgm_stat, INDEX(Players!$A837:$P837, MATCH(T$2, Players!$A$1:$P$1, 0)), perc_75, VLOOKUP(T$2, Percentiles!$A$45:$I$59, 6, FALSE), perc_90, VLOOKUP(T$2, Percentiles!$A$45:$I$59, 7, FALSE), perc_95, VLOOKUP(T$2, Percentiles!$A$45:$I$59, 8, FALSE), perc_85, perc_75 + (perc_90 - perc_75) * (2/3), converted_stat, '2K_Ratings'!T838, IF(bbgm_stat &gt;= perc_95, converted_stat * 3, IF(bbgm_stat &gt;= perc_90, converted_stat * 2, IF(bbgm_stat &gt;= perc_85, converted_stat * 1.5, converted_stat)))))</f>
        <v/>
      </c>
      <c r="U838" s="30" t="str">
        <f t="array" ref="U838">IF($A838="", "", LET(bbgm_stat, INDEX(Players!$A837:$P837, MATCH(U$2, Players!$A$1:$P$1, 0)), perc_75, VLOOKUP(U$2, Percentiles!$A$45:$I$59, 6, FALSE), perc_90, VLOOKUP(U$2, Percentiles!$A$45:$I$59, 7, FALSE), perc_95, VLOOKUP(U$2, Percentiles!$A$45:$I$59, 8, FALSE), perc_85, perc_75 + (perc_90 - perc_75) * (2/3), converted_stat, '2K_Ratings'!U838, IF(bbgm_stat &gt;= perc_95, converted_stat * 3, IF(bbgm_stat &gt;= perc_90, converted_stat * 2, IF(bbgm_stat &gt;= perc_85, converted_stat * 1.5, converted_stat)))))</f>
        <v/>
      </c>
      <c r="V838" s="30" t="str">
        <f t="array" ref="V838">IF($A838="", "", LET(bbgm_stat, INDEX(Players!$A837:$P837, MATCH(V$2, Players!$A$1:$P$1, 0)), perc_75, VLOOKUP(V$2, Percentiles!$A$45:$I$59, 6, FALSE), perc_90, VLOOKUP(V$2, Percentiles!$A$45:$I$59, 7, FALSE), perc_95, VLOOKUP(V$2, Percentiles!$A$45:$I$59, 8, FALSE), perc_85, perc_75 + (perc_90 - perc_75) * (2/3), converted_stat, '2K_Ratings'!V838, IF(bbgm_stat &gt;= perc_95, converted_stat * 3, IF(bbgm_stat &gt;= perc_90, converted_stat * 2, IF(bbgm_stat &gt;= perc_85, converted_stat * 1.5, converted_stat)))))</f>
        <v/>
      </c>
      <c r="W838" s="30" t="str">
        <f t="array" ref="W838">IF($A838="", "", LET(bbgm_stat, INDEX(Players!$A837:$P837, MATCH(W$2, Players!$A$1:$P$1, 0)), perc_75, VLOOKUP(W$2, Percentiles!$A$45:$I$59, 6, FALSE), perc_90, VLOOKUP(W$2, Percentiles!$A$45:$I$59, 7, FALSE), perc_95, VLOOKUP(W$2, Percentiles!$A$45:$I$59, 8, FALSE), perc_85, perc_75 + (perc_90 - perc_75) * (2/3), converted_stat, '2K_Ratings'!W838, IF(bbgm_stat &gt;= perc_95, converted_stat * 3, IF(bbgm_stat &gt;= perc_90, converted_stat * 2, IF(bbgm_stat &gt;= perc_85, converted_stat * 1.5, converted_stat)))))</f>
        <v/>
      </c>
    </row>
    <row r="839">
      <c r="A839" s="30"/>
      <c r="B839" s="30" t="str">
        <f t="array" ref="B839">IF($A839="", "", LET(bbgm_stat, INDEX(Players!$A838:$P838, MATCH(B$2, Players!$A$1:$P$1, 0)), perc_75, VLOOKUP(B$2, Percentiles!$A$45:$I$59, 6, FALSE), perc_90, VLOOKUP(B$2, Percentiles!$A$45:$I$59, 7, FALSE), perc_95, VLOOKUP(B$2, Percentiles!$A$45:$I$59, 8, FALSE), perc_85, perc_75 + (perc_90 - perc_75) * (2/3), converted_stat, '2K_Ratings'!B839, IF(bbgm_stat &gt;= perc_95, converted_stat * 3, IF(bbgm_stat &gt;= perc_90, converted_stat * 2, IF(bbgm_stat &gt;= perc_85, converted_stat * 1.5, converted_stat)))))</f>
        <v/>
      </c>
      <c r="C839" s="30" t="str">
        <f t="array" ref="C839">IF($A839="", "", LET(bbgm_stat, INDEX(Players!$A838:$P838, MATCH(C$2, Players!$A$1:$P$1, 0)), perc_75, VLOOKUP(C$2, Percentiles!$A$45:$I$59, 6, FALSE), perc_90, VLOOKUP(C$2, Percentiles!$A$45:$I$59, 7, FALSE), perc_95, VLOOKUP(C$2, Percentiles!$A$45:$I$59, 8, FALSE), perc_85, perc_75 + (perc_90 - perc_75) * (2/3), converted_stat, '2K_Ratings'!C839, IF(bbgm_stat &gt;= perc_95, converted_stat * 3, IF(bbgm_stat &gt;= perc_90, converted_stat * 2, IF(bbgm_stat &gt;= perc_85, converted_stat * 1.5, converted_stat)))))</f>
        <v/>
      </c>
      <c r="D839" s="30" t="str">
        <f t="array" ref="D839">IF($A839="", "", LET(bbgm_stat, INDEX(Players!$A838:$P838, MATCH(D$2, Players!$A$1:$P$1, 0)), perc_75, VLOOKUP(D$2, Percentiles!$A$45:$I$59, 6, FALSE), perc_90, VLOOKUP(D$2, Percentiles!$A$45:$I$59, 7, FALSE), perc_95, VLOOKUP(D$2, Percentiles!$A$45:$I$59, 8, FALSE), perc_85, perc_75 + (perc_90 - perc_75) * (2/3), converted_stat, '2K_Ratings'!D839, IF(bbgm_stat &gt;= perc_95, converted_stat * 3, IF(bbgm_stat &gt;= perc_90, converted_stat * 2, IF(bbgm_stat &gt;= perc_85, converted_stat * 1.5, converted_stat)))))</f>
        <v/>
      </c>
      <c r="E839" s="30" t="str">
        <f t="array" ref="E839">IF($A839="", "", LET(bbgm_stat, INDEX(Players!$A838:$P838, MATCH(E$2, Players!$A$1:$P$1, 0)), perc_75, VLOOKUP(E$2, Percentiles!$A$45:$I$59, 6, FALSE), perc_90, VLOOKUP(E$2, Percentiles!$A$45:$I$59, 7, FALSE), perc_95, VLOOKUP(E$2, Percentiles!$A$45:$I$59, 8, FALSE), perc_85, perc_75 + (perc_90 - perc_75) * (2/3), converted_stat, '2K_Ratings'!E839, IF(bbgm_stat &gt;= perc_95, converted_stat * 3, IF(bbgm_stat &gt;= perc_90, converted_stat * 2, IF(bbgm_stat &gt;= perc_85, converted_stat * 1.5, converted_stat)))))</f>
        <v/>
      </c>
      <c r="F839" s="30" t="str">
        <f t="array" ref="F839">IF($A839="", "", LET(bbgm_stat, INDEX(Players!$A838:$P838, MATCH(F$2, Players!$A$1:$P$1, 0)), perc_75, VLOOKUP(F$2, Percentiles!$A$45:$I$59, 6, FALSE), perc_90, VLOOKUP(F$2, Percentiles!$A$45:$I$59, 7, FALSE), perc_95, VLOOKUP(F$2, Percentiles!$A$45:$I$59, 8, FALSE), perc_85, perc_75 + (perc_90 - perc_75) * (2/3), converted_stat, '2K_Ratings'!F839, IF(bbgm_stat &gt;= perc_95, converted_stat * 3, IF(bbgm_stat &gt;= perc_90, converted_stat * 2, IF(bbgm_stat &gt;= perc_85, converted_stat * 1.5, converted_stat)))))</f>
        <v/>
      </c>
      <c r="G839" s="30" t="str">
        <f t="array" ref="G839">IF($A839="", "", LET(bbgm_stat, INDEX(Players!$A838:$P838, MATCH(G$2, Players!$A$1:$P$1, 0)), perc_75, VLOOKUP(G$2, Percentiles!$A$45:$I$59, 6, FALSE), perc_90, VLOOKUP(G$2, Percentiles!$A$45:$I$59, 7, FALSE), perc_95, VLOOKUP(G$2, Percentiles!$A$45:$I$59, 8, FALSE), perc_85, perc_75 + (perc_90 - perc_75) * (2/3), converted_stat, '2K_Ratings'!G839, IF(bbgm_stat &gt;= perc_95, converted_stat * 3, IF(bbgm_stat &gt;= perc_90, converted_stat * 2, IF(bbgm_stat &gt;= perc_85, converted_stat * 1.5, converted_stat)))))</f>
        <v/>
      </c>
      <c r="H839" s="30" t="str">
        <f t="array" ref="H839">IF($A839="", "", LET(bbgm_stat, INDEX(Players!$A838:$P838, MATCH(H$2, Players!$A$1:$P$1, 0)), perc_75, VLOOKUP(H$2, Percentiles!$A$45:$I$59, 6, FALSE), perc_90, VLOOKUP(H$2, Percentiles!$A$45:$I$59, 7, FALSE), perc_95, VLOOKUP(H$2, Percentiles!$A$45:$I$59, 8, FALSE), perc_85, perc_75 + (perc_90 - perc_75) * (2/3), converted_stat, '2K_Ratings'!H839, IF(bbgm_stat &gt;= perc_95, converted_stat * 3, IF(bbgm_stat &gt;= perc_90, converted_stat * 2, IF(bbgm_stat &gt;= perc_85, converted_stat * 1.5, converted_stat)))))</f>
        <v/>
      </c>
      <c r="I839" s="30" t="str">
        <f t="array" ref="I839">IF($A839="", "", LET(bbgm_stat, INDEX(Players!$A838:$P838, MATCH(I$2, Players!$A$1:$P$1, 0)), perc_75, VLOOKUP(I$2, Percentiles!$A$45:$I$59, 6, FALSE), perc_90, VLOOKUP(I$2, Percentiles!$A$45:$I$59, 7, FALSE), perc_95, VLOOKUP(I$2, Percentiles!$A$45:$I$59, 8, FALSE), perc_85, perc_75 + (perc_90 - perc_75) * (2/3), converted_stat, '2K_Ratings'!I839, IF(bbgm_stat &gt;= perc_95, converted_stat * 3, IF(bbgm_stat &gt;= perc_90, converted_stat * 2, IF(bbgm_stat &gt;= perc_85, converted_stat * 1.5, converted_stat)))))</f>
        <v/>
      </c>
      <c r="J839" s="30" t="str">
        <f t="array" ref="J839">IF($A839="", "", LET(bbgm_stat, INDEX(Players!$A838:$P838, MATCH(J$2, Players!$A$1:$P$1, 0)), perc_75, VLOOKUP(J$2, Percentiles!$A$45:$I$59, 6, FALSE), perc_90, VLOOKUP(J$2, Percentiles!$A$45:$I$59, 7, FALSE), perc_95, VLOOKUP(J$2, Percentiles!$A$45:$I$59, 8, FALSE), perc_85, perc_75 + (perc_90 - perc_75) * (2/3), converted_stat, '2K_Ratings'!J839, IF(bbgm_stat &gt;= perc_95, converted_stat * 3, IF(bbgm_stat &gt;= perc_90, converted_stat * 2, IF(bbgm_stat &gt;= perc_85, converted_stat * 1.5, converted_stat)))))</f>
        <v/>
      </c>
      <c r="K839" s="30" t="str">
        <f t="array" ref="K839">IF($A839="", "", LET(bbgm_stat, INDEX(Players!$A838:$P838, MATCH(K$2, Players!$A$1:$P$1, 0)), perc_75, VLOOKUP(K$2, Percentiles!$A$45:$I$59, 6, FALSE), perc_90, VLOOKUP(K$2, Percentiles!$A$45:$I$59, 7, FALSE), perc_95, VLOOKUP(K$2, Percentiles!$A$45:$I$59, 8, FALSE), perc_85, perc_75 + (perc_90 - perc_75) * (2/3), converted_stat, '2K_Ratings'!K839, IF(bbgm_stat &gt;= perc_95, converted_stat * 3, IF(bbgm_stat &gt;= perc_90, converted_stat * 2, IF(bbgm_stat &gt;= perc_85, converted_stat * 1.5, converted_stat)))))</f>
        <v/>
      </c>
      <c r="L839" s="30" t="str">
        <f t="array" ref="L839">IF($A839="", "", LET(bbgm_stat, INDEX(Players!$A838:$P838, MATCH(L$2, Players!$A$1:$P$1, 0)), perc_75, VLOOKUP(L$2, Percentiles!$A$45:$I$59, 6, FALSE), perc_90, VLOOKUP(L$2, Percentiles!$A$45:$I$59, 7, FALSE), perc_95, VLOOKUP(L$2, Percentiles!$A$45:$I$59, 8, FALSE), perc_85, perc_75 + (perc_90 - perc_75) * (2/3), converted_stat, '2K_Ratings'!L839, IF(bbgm_stat &gt;= perc_95, converted_stat * 3, IF(bbgm_stat &gt;= perc_90, converted_stat * 2, IF(bbgm_stat &gt;= perc_85, converted_stat * 1.5, converted_stat)))))</f>
        <v/>
      </c>
      <c r="M839" s="30" t="str">
        <f t="array" ref="M839">IF($A839="", "", LET(bbgm_stat, INDEX(Players!$A838:$P838, MATCH(M$2, Players!$A$1:$P$1, 0)), perc_75, VLOOKUP(M$2, Percentiles!$A$45:$I$59, 6, FALSE), perc_90, VLOOKUP(M$2, Percentiles!$A$45:$I$59, 7, FALSE), perc_95, VLOOKUP(M$2, Percentiles!$A$45:$I$59, 8, FALSE), perc_85, perc_75 + (perc_90 - perc_75) * (2/3), converted_stat, '2K_Ratings'!M839, IF(bbgm_stat &gt;= perc_95, converted_stat * 3, IF(bbgm_stat &gt;= perc_90, converted_stat * 2, IF(bbgm_stat &gt;= perc_85, converted_stat * 1.5, converted_stat)))))</f>
        <v/>
      </c>
      <c r="N839" s="30" t="str">
        <f t="array" ref="N839">IF($A839="", "", LET(bbgm_stat, INDEX(Players!$A838:$P838, MATCH(N$2, Players!$A$1:$P$1, 0)), perc_75, VLOOKUP(N$2, Percentiles!$A$45:$I$59, 6, FALSE), perc_90, VLOOKUP(N$2, Percentiles!$A$45:$I$59, 7, FALSE), perc_95, VLOOKUP(N$2, Percentiles!$A$45:$I$59, 8, FALSE), perc_85, perc_75 + (perc_90 - perc_75) * (2/3), converted_stat, '2K_Ratings'!N839, IF(bbgm_stat &gt;= perc_95, converted_stat * 3, IF(bbgm_stat &gt;= perc_90, converted_stat * 2, IF(bbgm_stat &gt;= perc_85, converted_stat * 1.5, converted_stat)))))</f>
        <v/>
      </c>
      <c r="O839" s="30" t="str">
        <f t="array" ref="O839">IF($A839="", "", LET(bbgm_stat, INDEX(Players!$A838:$P838, MATCH(O$2, Players!$A$1:$P$1, 0)), perc_75, VLOOKUP(O$2, Percentiles!$A$45:$I$59, 6, FALSE), perc_90, VLOOKUP(O$2, Percentiles!$A$45:$I$59, 7, FALSE), perc_95, VLOOKUP(O$2, Percentiles!$A$45:$I$59, 8, FALSE), perc_85, perc_75 + (perc_90 - perc_75) * (2/3), converted_stat, '2K_Ratings'!O839, IF(bbgm_stat &gt;= perc_95, converted_stat * 3, IF(bbgm_stat &gt;= perc_90, converted_stat * 2, IF(bbgm_stat &gt;= perc_85, converted_stat * 1.5, converted_stat)))))</f>
        <v/>
      </c>
      <c r="P839" s="30" t="str">
        <f t="array" ref="P839">IF($A839="", "", LET(bbgm_stat, INDEX(Players!$A838:$P838, MATCH(P$2, Players!$A$1:$P$1, 0)), perc_75, VLOOKUP(P$2, Percentiles!$A$45:$I$59, 6, FALSE), perc_90, VLOOKUP(P$2, Percentiles!$A$45:$I$59, 7, FALSE), perc_95, VLOOKUP(P$2, Percentiles!$A$45:$I$59, 8, FALSE), perc_85, perc_75 + (perc_90 - perc_75) * (2/3), converted_stat, '2K_Ratings'!P839, IF(bbgm_stat &gt;= perc_95, converted_stat * 3, IF(bbgm_stat &gt;= perc_90, converted_stat * 2, IF(bbgm_stat &gt;= perc_85, converted_stat * 1.5, converted_stat)))))</f>
        <v/>
      </c>
      <c r="Q839" s="30" t="str">
        <f t="array" ref="Q839">IF($A839="", "", LET(bbgm_stat, INDEX(Players!$A838:$P838, MATCH(Q$2, Players!$A$1:$P$1, 0)), perc_75, VLOOKUP(Q$2, Percentiles!$A$45:$I$59, 6, FALSE), perc_90, VLOOKUP(Q$2, Percentiles!$A$45:$I$59, 7, FALSE), perc_95, VLOOKUP(Q$2, Percentiles!$A$45:$I$59, 8, FALSE), perc_85, perc_75 + (perc_90 - perc_75) * (2/3), converted_stat, '2K_Ratings'!Q839, IF(bbgm_stat &gt;= perc_95, converted_stat * 3, IF(bbgm_stat &gt;= perc_90, converted_stat * 2, IF(bbgm_stat &gt;= perc_85, converted_stat * 1.5, converted_stat)))))</f>
        <v/>
      </c>
      <c r="R839" s="30" t="str">
        <f t="array" ref="R839">IF($A839="", "", LET(bbgm_stat, INDEX(Players!$A838:$P838, MATCH(R$2, Players!$A$1:$P$1, 0)), perc_75, VLOOKUP(R$2, Percentiles!$A$45:$I$59, 6, FALSE), perc_90, VLOOKUP(R$2, Percentiles!$A$45:$I$59, 7, FALSE), perc_95, VLOOKUP(R$2, Percentiles!$A$45:$I$59, 8, FALSE), perc_85, perc_75 + (perc_90 - perc_75) * (2/3), converted_stat, '2K_Ratings'!R839, IF(bbgm_stat &gt;= perc_95, converted_stat * 3, IF(bbgm_stat &gt;= perc_90, converted_stat * 2, IF(bbgm_stat &gt;= perc_85, converted_stat * 1.5, converted_stat)))))</f>
        <v/>
      </c>
      <c r="S839" s="30" t="str">
        <f t="array" ref="S839">IF($A839="", "", LET(bbgm_stat, INDEX(Players!$A838:$P838, MATCH(S$2, Players!$A$1:$P$1, 0)), perc_75, VLOOKUP(S$2, Percentiles!$A$45:$I$59, 6, FALSE), perc_90, VLOOKUP(S$2, Percentiles!$A$45:$I$59, 7, FALSE), perc_95, VLOOKUP(S$2, Percentiles!$A$45:$I$59, 8, FALSE), perc_85, perc_75 + (perc_90 - perc_75) * (2/3), converted_stat, '2K_Ratings'!S839, IF(bbgm_stat &gt;= perc_95, converted_stat * 3, IF(bbgm_stat &gt;= perc_90, converted_stat * 2, IF(bbgm_stat &gt;= perc_85, converted_stat * 1.5, converted_stat)))))</f>
        <v/>
      </c>
      <c r="T839" s="30" t="str">
        <f t="array" ref="T839">IF($A839="", "", LET(bbgm_stat, INDEX(Players!$A838:$P838, MATCH(T$2, Players!$A$1:$P$1, 0)), perc_75, VLOOKUP(T$2, Percentiles!$A$45:$I$59, 6, FALSE), perc_90, VLOOKUP(T$2, Percentiles!$A$45:$I$59, 7, FALSE), perc_95, VLOOKUP(T$2, Percentiles!$A$45:$I$59, 8, FALSE), perc_85, perc_75 + (perc_90 - perc_75) * (2/3), converted_stat, '2K_Ratings'!T839, IF(bbgm_stat &gt;= perc_95, converted_stat * 3, IF(bbgm_stat &gt;= perc_90, converted_stat * 2, IF(bbgm_stat &gt;= perc_85, converted_stat * 1.5, converted_stat)))))</f>
        <v/>
      </c>
      <c r="U839" s="30" t="str">
        <f t="array" ref="U839">IF($A839="", "", LET(bbgm_stat, INDEX(Players!$A838:$P838, MATCH(U$2, Players!$A$1:$P$1, 0)), perc_75, VLOOKUP(U$2, Percentiles!$A$45:$I$59, 6, FALSE), perc_90, VLOOKUP(U$2, Percentiles!$A$45:$I$59, 7, FALSE), perc_95, VLOOKUP(U$2, Percentiles!$A$45:$I$59, 8, FALSE), perc_85, perc_75 + (perc_90 - perc_75) * (2/3), converted_stat, '2K_Ratings'!U839, IF(bbgm_stat &gt;= perc_95, converted_stat * 3, IF(bbgm_stat &gt;= perc_90, converted_stat * 2, IF(bbgm_stat &gt;= perc_85, converted_stat * 1.5, converted_stat)))))</f>
        <v/>
      </c>
      <c r="V839" s="30" t="str">
        <f t="array" ref="V839">IF($A839="", "", LET(bbgm_stat, INDEX(Players!$A838:$P838, MATCH(V$2, Players!$A$1:$P$1, 0)), perc_75, VLOOKUP(V$2, Percentiles!$A$45:$I$59, 6, FALSE), perc_90, VLOOKUP(V$2, Percentiles!$A$45:$I$59, 7, FALSE), perc_95, VLOOKUP(V$2, Percentiles!$A$45:$I$59, 8, FALSE), perc_85, perc_75 + (perc_90 - perc_75) * (2/3), converted_stat, '2K_Ratings'!V839, IF(bbgm_stat &gt;= perc_95, converted_stat * 3, IF(bbgm_stat &gt;= perc_90, converted_stat * 2, IF(bbgm_stat &gt;= perc_85, converted_stat * 1.5, converted_stat)))))</f>
        <v/>
      </c>
      <c r="W839" s="30" t="str">
        <f t="array" ref="W839">IF($A839="", "", LET(bbgm_stat, INDEX(Players!$A838:$P838, MATCH(W$2, Players!$A$1:$P$1, 0)), perc_75, VLOOKUP(W$2, Percentiles!$A$45:$I$59, 6, FALSE), perc_90, VLOOKUP(W$2, Percentiles!$A$45:$I$59, 7, FALSE), perc_95, VLOOKUP(W$2, Percentiles!$A$45:$I$59, 8, FALSE), perc_85, perc_75 + (perc_90 - perc_75) * (2/3), converted_stat, '2K_Ratings'!W839, IF(bbgm_stat &gt;= perc_95, converted_stat * 3, IF(bbgm_stat &gt;= perc_90, converted_stat * 2, IF(bbgm_stat &gt;= perc_85, converted_stat * 1.5, converted_stat)))))</f>
        <v/>
      </c>
    </row>
    <row r="840">
      <c r="A840" s="30"/>
      <c r="B840" s="30" t="str">
        <f t="array" ref="B840">IF($A840="", "", LET(bbgm_stat, INDEX(Players!$A839:$P839, MATCH(B$2, Players!$A$1:$P$1, 0)), perc_75, VLOOKUP(B$2, Percentiles!$A$45:$I$59, 6, FALSE), perc_90, VLOOKUP(B$2, Percentiles!$A$45:$I$59, 7, FALSE), perc_95, VLOOKUP(B$2, Percentiles!$A$45:$I$59, 8, FALSE), perc_85, perc_75 + (perc_90 - perc_75) * (2/3), converted_stat, '2K_Ratings'!B840, IF(bbgm_stat &gt;= perc_95, converted_stat * 3, IF(bbgm_stat &gt;= perc_90, converted_stat * 2, IF(bbgm_stat &gt;= perc_85, converted_stat * 1.5, converted_stat)))))</f>
        <v/>
      </c>
      <c r="C840" s="30" t="str">
        <f t="array" ref="C840">IF($A840="", "", LET(bbgm_stat, INDEX(Players!$A839:$P839, MATCH(C$2, Players!$A$1:$P$1, 0)), perc_75, VLOOKUP(C$2, Percentiles!$A$45:$I$59, 6, FALSE), perc_90, VLOOKUP(C$2, Percentiles!$A$45:$I$59, 7, FALSE), perc_95, VLOOKUP(C$2, Percentiles!$A$45:$I$59, 8, FALSE), perc_85, perc_75 + (perc_90 - perc_75) * (2/3), converted_stat, '2K_Ratings'!C840, IF(bbgm_stat &gt;= perc_95, converted_stat * 3, IF(bbgm_stat &gt;= perc_90, converted_stat * 2, IF(bbgm_stat &gt;= perc_85, converted_stat * 1.5, converted_stat)))))</f>
        <v/>
      </c>
      <c r="D840" s="30" t="str">
        <f t="array" ref="D840">IF($A840="", "", LET(bbgm_stat, INDEX(Players!$A839:$P839, MATCH(D$2, Players!$A$1:$P$1, 0)), perc_75, VLOOKUP(D$2, Percentiles!$A$45:$I$59, 6, FALSE), perc_90, VLOOKUP(D$2, Percentiles!$A$45:$I$59, 7, FALSE), perc_95, VLOOKUP(D$2, Percentiles!$A$45:$I$59, 8, FALSE), perc_85, perc_75 + (perc_90 - perc_75) * (2/3), converted_stat, '2K_Ratings'!D840, IF(bbgm_stat &gt;= perc_95, converted_stat * 3, IF(bbgm_stat &gt;= perc_90, converted_stat * 2, IF(bbgm_stat &gt;= perc_85, converted_stat * 1.5, converted_stat)))))</f>
        <v/>
      </c>
      <c r="E840" s="30" t="str">
        <f t="array" ref="E840">IF($A840="", "", LET(bbgm_stat, INDEX(Players!$A839:$P839, MATCH(E$2, Players!$A$1:$P$1, 0)), perc_75, VLOOKUP(E$2, Percentiles!$A$45:$I$59, 6, FALSE), perc_90, VLOOKUP(E$2, Percentiles!$A$45:$I$59, 7, FALSE), perc_95, VLOOKUP(E$2, Percentiles!$A$45:$I$59, 8, FALSE), perc_85, perc_75 + (perc_90 - perc_75) * (2/3), converted_stat, '2K_Ratings'!E840, IF(bbgm_stat &gt;= perc_95, converted_stat * 3, IF(bbgm_stat &gt;= perc_90, converted_stat * 2, IF(bbgm_stat &gt;= perc_85, converted_stat * 1.5, converted_stat)))))</f>
        <v/>
      </c>
      <c r="F840" s="30" t="str">
        <f t="array" ref="F840">IF($A840="", "", LET(bbgm_stat, INDEX(Players!$A839:$P839, MATCH(F$2, Players!$A$1:$P$1, 0)), perc_75, VLOOKUP(F$2, Percentiles!$A$45:$I$59, 6, FALSE), perc_90, VLOOKUP(F$2, Percentiles!$A$45:$I$59, 7, FALSE), perc_95, VLOOKUP(F$2, Percentiles!$A$45:$I$59, 8, FALSE), perc_85, perc_75 + (perc_90 - perc_75) * (2/3), converted_stat, '2K_Ratings'!F840, IF(bbgm_stat &gt;= perc_95, converted_stat * 3, IF(bbgm_stat &gt;= perc_90, converted_stat * 2, IF(bbgm_stat &gt;= perc_85, converted_stat * 1.5, converted_stat)))))</f>
        <v/>
      </c>
      <c r="G840" s="30" t="str">
        <f t="array" ref="G840">IF($A840="", "", LET(bbgm_stat, INDEX(Players!$A839:$P839, MATCH(G$2, Players!$A$1:$P$1, 0)), perc_75, VLOOKUP(G$2, Percentiles!$A$45:$I$59, 6, FALSE), perc_90, VLOOKUP(G$2, Percentiles!$A$45:$I$59, 7, FALSE), perc_95, VLOOKUP(G$2, Percentiles!$A$45:$I$59, 8, FALSE), perc_85, perc_75 + (perc_90 - perc_75) * (2/3), converted_stat, '2K_Ratings'!G840, IF(bbgm_stat &gt;= perc_95, converted_stat * 3, IF(bbgm_stat &gt;= perc_90, converted_stat * 2, IF(bbgm_stat &gt;= perc_85, converted_stat * 1.5, converted_stat)))))</f>
        <v/>
      </c>
      <c r="H840" s="30" t="str">
        <f t="array" ref="H840">IF($A840="", "", LET(bbgm_stat, INDEX(Players!$A839:$P839, MATCH(H$2, Players!$A$1:$P$1, 0)), perc_75, VLOOKUP(H$2, Percentiles!$A$45:$I$59, 6, FALSE), perc_90, VLOOKUP(H$2, Percentiles!$A$45:$I$59, 7, FALSE), perc_95, VLOOKUP(H$2, Percentiles!$A$45:$I$59, 8, FALSE), perc_85, perc_75 + (perc_90 - perc_75) * (2/3), converted_stat, '2K_Ratings'!H840, IF(bbgm_stat &gt;= perc_95, converted_stat * 3, IF(bbgm_stat &gt;= perc_90, converted_stat * 2, IF(bbgm_stat &gt;= perc_85, converted_stat * 1.5, converted_stat)))))</f>
        <v/>
      </c>
      <c r="I840" s="30" t="str">
        <f t="array" ref="I840">IF($A840="", "", LET(bbgm_stat, INDEX(Players!$A839:$P839, MATCH(I$2, Players!$A$1:$P$1, 0)), perc_75, VLOOKUP(I$2, Percentiles!$A$45:$I$59, 6, FALSE), perc_90, VLOOKUP(I$2, Percentiles!$A$45:$I$59, 7, FALSE), perc_95, VLOOKUP(I$2, Percentiles!$A$45:$I$59, 8, FALSE), perc_85, perc_75 + (perc_90 - perc_75) * (2/3), converted_stat, '2K_Ratings'!I840, IF(bbgm_stat &gt;= perc_95, converted_stat * 3, IF(bbgm_stat &gt;= perc_90, converted_stat * 2, IF(bbgm_stat &gt;= perc_85, converted_stat * 1.5, converted_stat)))))</f>
        <v/>
      </c>
      <c r="J840" s="30" t="str">
        <f t="array" ref="J840">IF($A840="", "", LET(bbgm_stat, INDEX(Players!$A839:$P839, MATCH(J$2, Players!$A$1:$P$1, 0)), perc_75, VLOOKUP(J$2, Percentiles!$A$45:$I$59, 6, FALSE), perc_90, VLOOKUP(J$2, Percentiles!$A$45:$I$59, 7, FALSE), perc_95, VLOOKUP(J$2, Percentiles!$A$45:$I$59, 8, FALSE), perc_85, perc_75 + (perc_90 - perc_75) * (2/3), converted_stat, '2K_Ratings'!J840, IF(bbgm_stat &gt;= perc_95, converted_stat * 3, IF(bbgm_stat &gt;= perc_90, converted_stat * 2, IF(bbgm_stat &gt;= perc_85, converted_stat * 1.5, converted_stat)))))</f>
        <v/>
      </c>
      <c r="K840" s="30" t="str">
        <f t="array" ref="K840">IF($A840="", "", LET(bbgm_stat, INDEX(Players!$A839:$P839, MATCH(K$2, Players!$A$1:$P$1, 0)), perc_75, VLOOKUP(K$2, Percentiles!$A$45:$I$59, 6, FALSE), perc_90, VLOOKUP(K$2, Percentiles!$A$45:$I$59, 7, FALSE), perc_95, VLOOKUP(K$2, Percentiles!$A$45:$I$59, 8, FALSE), perc_85, perc_75 + (perc_90 - perc_75) * (2/3), converted_stat, '2K_Ratings'!K840, IF(bbgm_stat &gt;= perc_95, converted_stat * 3, IF(bbgm_stat &gt;= perc_90, converted_stat * 2, IF(bbgm_stat &gt;= perc_85, converted_stat * 1.5, converted_stat)))))</f>
        <v/>
      </c>
      <c r="L840" s="30" t="str">
        <f t="array" ref="L840">IF($A840="", "", LET(bbgm_stat, INDEX(Players!$A839:$P839, MATCH(L$2, Players!$A$1:$P$1, 0)), perc_75, VLOOKUP(L$2, Percentiles!$A$45:$I$59, 6, FALSE), perc_90, VLOOKUP(L$2, Percentiles!$A$45:$I$59, 7, FALSE), perc_95, VLOOKUP(L$2, Percentiles!$A$45:$I$59, 8, FALSE), perc_85, perc_75 + (perc_90 - perc_75) * (2/3), converted_stat, '2K_Ratings'!L840, IF(bbgm_stat &gt;= perc_95, converted_stat * 3, IF(bbgm_stat &gt;= perc_90, converted_stat * 2, IF(bbgm_stat &gt;= perc_85, converted_stat * 1.5, converted_stat)))))</f>
        <v/>
      </c>
      <c r="M840" s="30" t="str">
        <f t="array" ref="M840">IF($A840="", "", LET(bbgm_stat, INDEX(Players!$A839:$P839, MATCH(M$2, Players!$A$1:$P$1, 0)), perc_75, VLOOKUP(M$2, Percentiles!$A$45:$I$59, 6, FALSE), perc_90, VLOOKUP(M$2, Percentiles!$A$45:$I$59, 7, FALSE), perc_95, VLOOKUP(M$2, Percentiles!$A$45:$I$59, 8, FALSE), perc_85, perc_75 + (perc_90 - perc_75) * (2/3), converted_stat, '2K_Ratings'!M840, IF(bbgm_stat &gt;= perc_95, converted_stat * 3, IF(bbgm_stat &gt;= perc_90, converted_stat * 2, IF(bbgm_stat &gt;= perc_85, converted_stat * 1.5, converted_stat)))))</f>
        <v/>
      </c>
      <c r="N840" s="30" t="str">
        <f t="array" ref="N840">IF($A840="", "", LET(bbgm_stat, INDEX(Players!$A839:$P839, MATCH(N$2, Players!$A$1:$P$1, 0)), perc_75, VLOOKUP(N$2, Percentiles!$A$45:$I$59, 6, FALSE), perc_90, VLOOKUP(N$2, Percentiles!$A$45:$I$59, 7, FALSE), perc_95, VLOOKUP(N$2, Percentiles!$A$45:$I$59, 8, FALSE), perc_85, perc_75 + (perc_90 - perc_75) * (2/3), converted_stat, '2K_Ratings'!N840, IF(bbgm_stat &gt;= perc_95, converted_stat * 3, IF(bbgm_stat &gt;= perc_90, converted_stat * 2, IF(bbgm_stat &gt;= perc_85, converted_stat * 1.5, converted_stat)))))</f>
        <v/>
      </c>
      <c r="O840" s="30" t="str">
        <f t="array" ref="O840">IF($A840="", "", LET(bbgm_stat, INDEX(Players!$A839:$P839, MATCH(O$2, Players!$A$1:$P$1, 0)), perc_75, VLOOKUP(O$2, Percentiles!$A$45:$I$59, 6, FALSE), perc_90, VLOOKUP(O$2, Percentiles!$A$45:$I$59, 7, FALSE), perc_95, VLOOKUP(O$2, Percentiles!$A$45:$I$59, 8, FALSE), perc_85, perc_75 + (perc_90 - perc_75) * (2/3), converted_stat, '2K_Ratings'!O840, IF(bbgm_stat &gt;= perc_95, converted_stat * 3, IF(bbgm_stat &gt;= perc_90, converted_stat * 2, IF(bbgm_stat &gt;= perc_85, converted_stat * 1.5, converted_stat)))))</f>
        <v/>
      </c>
      <c r="P840" s="30" t="str">
        <f t="array" ref="P840">IF($A840="", "", LET(bbgm_stat, INDEX(Players!$A839:$P839, MATCH(P$2, Players!$A$1:$P$1, 0)), perc_75, VLOOKUP(P$2, Percentiles!$A$45:$I$59, 6, FALSE), perc_90, VLOOKUP(P$2, Percentiles!$A$45:$I$59, 7, FALSE), perc_95, VLOOKUP(P$2, Percentiles!$A$45:$I$59, 8, FALSE), perc_85, perc_75 + (perc_90 - perc_75) * (2/3), converted_stat, '2K_Ratings'!P840, IF(bbgm_stat &gt;= perc_95, converted_stat * 3, IF(bbgm_stat &gt;= perc_90, converted_stat * 2, IF(bbgm_stat &gt;= perc_85, converted_stat * 1.5, converted_stat)))))</f>
        <v/>
      </c>
      <c r="Q840" s="30" t="str">
        <f t="array" ref="Q840">IF($A840="", "", LET(bbgm_stat, INDEX(Players!$A839:$P839, MATCH(Q$2, Players!$A$1:$P$1, 0)), perc_75, VLOOKUP(Q$2, Percentiles!$A$45:$I$59, 6, FALSE), perc_90, VLOOKUP(Q$2, Percentiles!$A$45:$I$59, 7, FALSE), perc_95, VLOOKUP(Q$2, Percentiles!$A$45:$I$59, 8, FALSE), perc_85, perc_75 + (perc_90 - perc_75) * (2/3), converted_stat, '2K_Ratings'!Q840, IF(bbgm_stat &gt;= perc_95, converted_stat * 3, IF(bbgm_stat &gt;= perc_90, converted_stat * 2, IF(bbgm_stat &gt;= perc_85, converted_stat * 1.5, converted_stat)))))</f>
        <v/>
      </c>
      <c r="R840" s="30" t="str">
        <f t="array" ref="R840">IF($A840="", "", LET(bbgm_stat, INDEX(Players!$A839:$P839, MATCH(R$2, Players!$A$1:$P$1, 0)), perc_75, VLOOKUP(R$2, Percentiles!$A$45:$I$59, 6, FALSE), perc_90, VLOOKUP(R$2, Percentiles!$A$45:$I$59, 7, FALSE), perc_95, VLOOKUP(R$2, Percentiles!$A$45:$I$59, 8, FALSE), perc_85, perc_75 + (perc_90 - perc_75) * (2/3), converted_stat, '2K_Ratings'!R840, IF(bbgm_stat &gt;= perc_95, converted_stat * 3, IF(bbgm_stat &gt;= perc_90, converted_stat * 2, IF(bbgm_stat &gt;= perc_85, converted_stat * 1.5, converted_stat)))))</f>
        <v/>
      </c>
      <c r="S840" s="30" t="str">
        <f t="array" ref="S840">IF($A840="", "", LET(bbgm_stat, INDEX(Players!$A839:$P839, MATCH(S$2, Players!$A$1:$P$1, 0)), perc_75, VLOOKUP(S$2, Percentiles!$A$45:$I$59, 6, FALSE), perc_90, VLOOKUP(S$2, Percentiles!$A$45:$I$59, 7, FALSE), perc_95, VLOOKUP(S$2, Percentiles!$A$45:$I$59, 8, FALSE), perc_85, perc_75 + (perc_90 - perc_75) * (2/3), converted_stat, '2K_Ratings'!S840, IF(bbgm_stat &gt;= perc_95, converted_stat * 3, IF(bbgm_stat &gt;= perc_90, converted_stat * 2, IF(bbgm_stat &gt;= perc_85, converted_stat * 1.5, converted_stat)))))</f>
        <v/>
      </c>
      <c r="T840" s="30" t="str">
        <f t="array" ref="T840">IF($A840="", "", LET(bbgm_stat, INDEX(Players!$A839:$P839, MATCH(T$2, Players!$A$1:$P$1, 0)), perc_75, VLOOKUP(T$2, Percentiles!$A$45:$I$59, 6, FALSE), perc_90, VLOOKUP(T$2, Percentiles!$A$45:$I$59, 7, FALSE), perc_95, VLOOKUP(T$2, Percentiles!$A$45:$I$59, 8, FALSE), perc_85, perc_75 + (perc_90 - perc_75) * (2/3), converted_stat, '2K_Ratings'!T840, IF(bbgm_stat &gt;= perc_95, converted_stat * 3, IF(bbgm_stat &gt;= perc_90, converted_stat * 2, IF(bbgm_stat &gt;= perc_85, converted_stat * 1.5, converted_stat)))))</f>
        <v/>
      </c>
      <c r="U840" s="30" t="str">
        <f t="array" ref="U840">IF($A840="", "", LET(bbgm_stat, INDEX(Players!$A839:$P839, MATCH(U$2, Players!$A$1:$P$1, 0)), perc_75, VLOOKUP(U$2, Percentiles!$A$45:$I$59, 6, FALSE), perc_90, VLOOKUP(U$2, Percentiles!$A$45:$I$59, 7, FALSE), perc_95, VLOOKUP(U$2, Percentiles!$A$45:$I$59, 8, FALSE), perc_85, perc_75 + (perc_90 - perc_75) * (2/3), converted_stat, '2K_Ratings'!U840, IF(bbgm_stat &gt;= perc_95, converted_stat * 3, IF(bbgm_stat &gt;= perc_90, converted_stat * 2, IF(bbgm_stat &gt;= perc_85, converted_stat * 1.5, converted_stat)))))</f>
        <v/>
      </c>
      <c r="V840" s="30" t="str">
        <f t="array" ref="V840">IF($A840="", "", LET(bbgm_stat, INDEX(Players!$A839:$P839, MATCH(V$2, Players!$A$1:$P$1, 0)), perc_75, VLOOKUP(V$2, Percentiles!$A$45:$I$59, 6, FALSE), perc_90, VLOOKUP(V$2, Percentiles!$A$45:$I$59, 7, FALSE), perc_95, VLOOKUP(V$2, Percentiles!$A$45:$I$59, 8, FALSE), perc_85, perc_75 + (perc_90 - perc_75) * (2/3), converted_stat, '2K_Ratings'!V840, IF(bbgm_stat &gt;= perc_95, converted_stat * 3, IF(bbgm_stat &gt;= perc_90, converted_stat * 2, IF(bbgm_stat &gt;= perc_85, converted_stat * 1.5, converted_stat)))))</f>
        <v/>
      </c>
      <c r="W840" s="30" t="str">
        <f t="array" ref="W840">IF($A840="", "", LET(bbgm_stat, INDEX(Players!$A839:$P839, MATCH(W$2, Players!$A$1:$P$1, 0)), perc_75, VLOOKUP(W$2, Percentiles!$A$45:$I$59, 6, FALSE), perc_90, VLOOKUP(W$2, Percentiles!$A$45:$I$59, 7, FALSE), perc_95, VLOOKUP(W$2, Percentiles!$A$45:$I$59, 8, FALSE), perc_85, perc_75 + (perc_90 - perc_75) * (2/3), converted_stat, '2K_Ratings'!W840, IF(bbgm_stat &gt;= perc_95, converted_stat * 3, IF(bbgm_stat &gt;= perc_90, converted_stat * 2, IF(bbgm_stat &gt;= perc_85, converted_stat * 1.5, converted_stat)))))</f>
        <v/>
      </c>
    </row>
    <row r="841">
      <c r="A841" s="30"/>
      <c r="B841" s="30" t="str">
        <f t="array" ref="B841">IF($A841="", "", LET(bbgm_stat, INDEX(Players!$A840:$P840, MATCH(B$2, Players!$A$1:$P$1, 0)), perc_75, VLOOKUP(B$2, Percentiles!$A$45:$I$59, 6, FALSE), perc_90, VLOOKUP(B$2, Percentiles!$A$45:$I$59, 7, FALSE), perc_95, VLOOKUP(B$2, Percentiles!$A$45:$I$59, 8, FALSE), perc_85, perc_75 + (perc_90 - perc_75) * (2/3), converted_stat, '2K_Ratings'!B841, IF(bbgm_stat &gt;= perc_95, converted_stat * 3, IF(bbgm_stat &gt;= perc_90, converted_stat * 2, IF(bbgm_stat &gt;= perc_85, converted_stat * 1.5, converted_stat)))))</f>
        <v/>
      </c>
      <c r="C841" s="30" t="str">
        <f t="array" ref="C841">IF($A841="", "", LET(bbgm_stat, INDEX(Players!$A840:$P840, MATCH(C$2, Players!$A$1:$P$1, 0)), perc_75, VLOOKUP(C$2, Percentiles!$A$45:$I$59, 6, FALSE), perc_90, VLOOKUP(C$2, Percentiles!$A$45:$I$59, 7, FALSE), perc_95, VLOOKUP(C$2, Percentiles!$A$45:$I$59, 8, FALSE), perc_85, perc_75 + (perc_90 - perc_75) * (2/3), converted_stat, '2K_Ratings'!C841, IF(bbgm_stat &gt;= perc_95, converted_stat * 3, IF(bbgm_stat &gt;= perc_90, converted_stat * 2, IF(bbgm_stat &gt;= perc_85, converted_stat * 1.5, converted_stat)))))</f>
        <v/>
      </c>
      <c r="D841" s="30" t="str">
        <f t="array" ref="D841">IF($A841="", "", LET(bbgm_stat, INDEX(Players!$A840:$P840, MATCH(D$2, Players!$A$1:$P$1, 0)), perc_75, VLOOKUP(D$2, Percentiles!$A$45:$I$59, 6, FALSE), perc_90, VLOOKUP(D$2, Percentiles!$A$45:$I$59, 7, FALSE), perc_95, VLOOKUP(D$2, Percentiles!$A$45:$I$59, 8, FALSE), perc_85, perc_75 + (perc_90 - perc_75) * (2/3), converted_stat, '2K_Ratings'!D841, IF(bbgm_stat &gt;= perc_95, converted_stat * 3, IF(bbgm_stat &gt;= perc_90, converted_stat * 2, IF(bbgm_stat &gt;= perc_85, converted_stat * 1.5, converted_stat)))))</f>
        <v/>
      </c>
      <c r="E841" s="30" t="str">
        <f t="array" ref="E841">IF($A841="", "", LET(bbgm_stat, INDEX(Players!$A840:$P840, MATCH(E$2, Players!$A$1:$P$1, 0)), perc_75, VLOOKUP(E$2, Percentiles!$A$45:$I$59, 6, FALSE), perc_90, VLOOKUP(E$2, Percentiles!$A$45:$I$59, 7, FALSE), perc_95, VLOOKUP(E$2, Percentiles!$A$45:$I$59, 8, FALSE), perc_85, perc_75 + (perc_90 - perc_75) * (2/3), converted_stat, '2K_Ratings'!E841, IF(bbgm_stat &gt;= perc_95, converted_stat * 3, IF(bbgm_stat &gt;= perc_90, converted_stat * 2, IF(bbgm_stat &gt;= perc_85, converted_stat * 1.5, converted_stat)))))</f>
        <v/>
      </c>
      <c r="F841" s="30" t="str">
        <f t="array" ref="F841">IF($A841="", "", LET(bbgm_stat, INDEX(Players!$A840:$P840, MATCH(F$2, Players!$A$1:$P$1, 0)), perc_75, VLOOKUP(F$2, Percentiles!$A$45:$I$59, 6, FALSE), perc_90, VLOOKUP(F$2, Percentiles!$A$45:$I$59, 7, FALSE), perc_95, VLOOKUP(F$2, Percentiles!$A$45:$I$59, 8, FALSE), perc_85, perc_75 + (perc_90 - perc_75) * (2/3), converted_stat, '2K_Ratings'!F841, IF(bbgm_stat &gt;= perc_95, converted_stat * 3, IF(bbgm_stat &gt;= perc_90, converted_stat * 2, IF(bbgm_stat &gt;= perc_85, converted_stat * 1.5, converted_stat)))))</f>
        <v/>
      </c>
      <c r="G841" s="30" t="str">
        <f t="array" ref="G841">IF($A841="", "", LET(bbgm_stat, INDEX(Players!$A840:$P840, MATCH(G$2, Players!$A$1:$P$1, 0)), perc_75, VLOOKUP(G$2, Percentiles!$A$45:$I$59, 6, FALSE), perc_90, VLOOKUP(G$2, Percentiles!$A$45:$I$59, 7, FALSE), perc_95, VLOOKUP(G$2, Percentiles!$A$45:$I$59, 8, FALSE), perc_85, perc_75 + (perc_90 - perc_75) * (2/3), converted_stat, '2K_Ratings'!G841, IF(bbgm_stat &gt;= perc_95, converted_stat * 3, IF(bbgm_stat &gt;= perc_90, converted_stat * 2, IF(bbgm_stat &gt;= perc_85, converted_stat * 1.5, converted_stat)))))</f>
        <v/>
      </c>
      <c r="H841" s="30" t="str">
        <f t="array" ref="H841">IF($A841="", "", LET(bbgm_stat, INDEX(Players!$A840:$P840, MATCH(H$2, Players!$A$1:$P$1, 0)), perc_75, VLOOKUP(H$2, Percentiles!$A$45:$I$59, 6, FALSE), perc_90, VLOOKUP(H$2, Percentiles!$A$45:$I$59, 7, FALSE), perc_95, VLOOKUP(H$2, Percentiles!$A$45:$I$59, 8, FALSE), perc_85, perc_75 + (perc_90 - perc_75) * (2/3), converted_stat, '2K_Ratings'!H841, IF(bbgm_stat &gt;= perc_95, converted_stat * 3, IF(bbgm_stat &gt;= perc_90, converted_stat * 2, IF(bbgm_stat &gt;= perc_85, converted_stat * 1.5, converted_stat)))))</f>
        <v/>
      </c>
      <c r="I841" s="30" t="str">
        <f t="array" ref="I841">IF($A841="", "", LET(bbgm_stat, INDEX(Players!$A840:$P840, MATCH(I$2, Players!$A$1:$P$1, 0)), perc_75, VLOOKUP(I$2, Percentiles!$A$45:$I$59, 6, FALSE), perc_90, VLOOKUP(I$2, Percentiles!$A$45:$I$59, 7, FALSE), perc_95, VLOOKUP(I$2, Percentiles!$A$45:$I$59, 8, FALSE), perc_85, perc_75 + (perc_90 - perc_75) * (2/3), converted_stat, '2K_Ratings'!I841, IF(bbgm_stat &gt;= perc_95, converted_stat * 3, IF(bbgm_stat &gt;= perc_90, converted_stat * 2, IF(bbgm_stat &gt;= perc_85, converted_stat * 1.5, converted_stat)))))</f>
        <v/>
      </c>
      <c r="J841" s="30" t="str">
        <f t="array" ref="J841">IF($A841="", "", LET(bbgm_stat, INDEX(Players!$A840:$P840, MATCH(J$2, Players!$A$1:$P$1, 0)), perc_75, VLOOKUP(J$2, Percentiles!$A$45:$I$59, 6, FALSE), perc_90, VLOOKUP(J$2, Percentiles!$A$45:$I$59, 7, FALSE), perc_95, VLOOKUP(J$2, Percentiles!$A$45:$I$59, 8, FALSE), perc_85, perc_75 + (perc_90 - perc_75) * (2/3), converted_stat, '2K_Ratings'!J841, IF(bbgm_stat &gt;= perc_95, converted_stat * 3, IF(bbgm_stat &gt;= perc_90, converted_stat * 2, IF(bbgm_stat &gt;= perc_85, converted_stat * 1.5, converted_stat)))))</f>
        <v/>
      </c>
      <c r="K841" s="30" t="str">
        <f t="array" ref="K841">IF($A841="", "", LET(bbgm_stat, INDEX(Players!$A840:$P840, MATCH(K$2, Players!$A$1:$P$1, 0)), perc_75, VLOOKUP(K$2, Percentiles!$A$45:$I$59, 6, FALSE), perc_90, VLOOKUP(K$2, Percentiles!$A$45:$I$59, 7, FALSE), perc_95, VLOOKUP(K$2, Percentiles!$A$45:$I$59, 8, FALSE), perc_85, perc_75 + (perc_90 - perc_75) * (2/3), converted_stat, '2K_Ratings'!K841, IF(bbgm_stat &gt;= perc_95, converted_stat * 3, IF(bbgm_stat &gt;= perc_90, converted_stat * 2, IF(bbgm_stat &gt;= perc_85, converted_stat * 1.5, converted_stat)))))</f>
        <v/>
      </c>
      <c r="L841" s="30" t="str">
        <f t="array" ref="L841">IF($A841="", "", LET(bbgm_stat, INDEX(Players!$A840:$P840, MATCH(L$2, Players!$A$1:$P$1, 0)), perc_75, VLOOKUP(L$2, Percentiles!$A$45:$I$59, 6, FALSE), perc_90, VLOOKUP(L$2, Percentiles!$A$45:$I$59, 7, FALSE), perc_95, VLOOKUP(L$2, Percentiles!$A$45:$I$59, 8, FALSE), perc_85, perc_75 + (perc_90 - perc_75) * (2/3), converted_stat, '2K_Ratings'!L841, IF(bbgm_stat &gt;= perc_95, converted_stat * 3, IF(bbgm_stat &gt;= perc_90, converted_stat * 2, IF(bbgm_stat &gt;= perc_85, converted_stat * 1.5, converted_stat)))))</f>
        <v/>
      </c>
      <c r="M841" s="30" t="str">
        <f t="array" ref="M841">IF($A841="", "", LET(bbgm_stat, INDEX(Players!$A840:$P840, MATCH(M$2, Players!$A$1:$P$1, 0)), perc_75, VLOOKUP(M$2, Percentiles!$A$45:$I$59, 6, FALSE), perc_90, VLOOKUP(M$2, Percentiles!$A$45:$I$59, 7, FALSE), perc_95, VLOOKUP(M$2, Percentiles!$A$45:$I$59, 8, FALSE), perc_85, perc_75 + (perc_90 - perc_75) * (2/3), converted_stat, '2K_Ratings'!M841, IF(bbgm_stat &gt;= perc_95, converted_stat * 3, IF(bbgm_stat &gt;= perc_90, converted_stat * 2, IF(bbgm_stat &gt;= perc_85, converted_stat * 1.5, converted_stat)))))</f>
        <v/>
      </c>
      <c r="N841" s="30" t="str">
        <f t="array" ref="N841">IF($A841="", "", LET(bbgm_stat, INDEX(Players!$A840:$P840, MATCH(N$2, Players!$A$1:$P$1, 0)), perc_75, VLOOKUP(N$2, Percentiles!$A$45:$I$59, 6, FALSE), perc_90, VLOOKUP(N$2, Percentiles!$A$45:$I$59, 7, FALSE), perc_95, VLOOKUP(N$2, Percentiles!$A$45:$I$59, 8, FALSE), perc_85, perc_75 + (perc_90 - perc_75) * (2/3), converted_stat, '2K_Ratings'!N841, IF(bbgm_stat &gt;= perc_95, converted_stat * 3, IF(bbgm_stat &gt;= perc_90, converted_stat * 2, IF(bbgm_stat &gt;= perc_85, converted_stat * 1.5, converted_stat)))))</f>
        <v/>
      </c>
      <c r="O841" s="30" t="str">
        <f t="array" ref="O841">IF($A841="", "", LET(bbgm_stat, INDEX(Players!$A840:$P840, MATCH(O$2, Players!$A$1:$P$1, 0)), perc_75, VLOOKUP(O$2, Percentiles!$A$45:$I$59, 6, FALSE), perc_90, VLOOKUP(O$2, Percentiles!$A$45:$I$59, 7, FALSE), perc_95, VLOOKUP(O$2, Percentiles!$A$45:$I$59, 8, FALSE), perc_85, perc_75 + (perc_90 - perc_75) * (2/3), converted_stat, '2K_Ratings'!O841, IF(bbgm_stat &gt;= perc_95, converted_stat * 3, IF(bbgm_stat &gt;= perc_90, converted_stat * 2, IF(bbgm_stat &gt;= perc_85, converted_stat * 1.5, converted_stat)))))</f>
        <v/>
      </c>
      <c r="P841" s="30" t="str">
        <f t="array" ref="P841">IF($A841="", "", LET(bbgm_stat, INDEX(Players!$A840:$P840, MATCH(P$2, Players!$A$1:$P$1, 0)), perc_75, VLOOKUP(P$2, Percentiles!$A$45:$I$59, 6, FALSE), perc_90, VLOOKUP(P$2, Percentiles!$A$45:$I$59, 7, FALSE), perc_95, VLOOKUP(P$2, Percentiles!$A$45:$I$59, 8, FALSE), perc_85, perc_75 + (perc_90 - perc_75) * (2/3), converted_stat, '2K_Ratings'!P841, IF(bbgm_stat &gt;= perc_95, converted_stat * 3, IF(bbgm_stat &gt;= perc_90, converted_stat * 2, IF(bbgm_stat &gt;= perc_85, converted_stat * 1.5, converted_stat)))))</f>
        <v/>
      </c>
      <c r="Q841" s="30" t="str">
        <f t="array" ref="Q841">IF($A841="", "", LET(bbgm_stat, INDEX(Players!$A840:$P840, MATCH(Q$2, Players!$A$1:$P$1, 0)), perc_75, VLOOKUP(Q$2, Percentiles!$A$45:$I$59, 6, FALSE), perc_90, VLOOKUP(Q$2, Percentiles!$A$45:$I$59, 7, FALSE), perc_95, VLOOKUP(Q$2, Percentiles!$A$45:$I$59, 8, FALSE), perc_85, perc_75 + (perc_90 - perc_75) * (2/3), converted_stat, '2K_Ratings'!Q841, IF(bbgm_stat &gt;= perc_95, converted_stat * 3, IF(bbgm_stat &gt;= perc_90, converted_stat * 2, IF(bbgm_stat &gt;= perc_85, converted_stat * 1.5, converted_stat)))))</f>
        <v/>
      </c>
      <c r="R841" s="30" t="str">
        <f t="array" ref="R841">IF($A841="", "", LET(bbgm_stat, INDEX(Players!$A840:$P840, MATCH(R$2, Players!$A$1:$P$1, 0)), perc_75, VLOOKUP(R$2, Percentiles!$A$45:$I$59, 6, FALSE), perc_90, VLOOKUP(R$2, Percentiles!$A$45:$I$59, 7, FALSE), perc_95, VLOOKUP(R$2, Percentiles!$A$45:$I$59, 8, FALSE), perc_85, perc_75 + (perc_90 - perc_75) * (2/3), converted_stat, '2K_Ratings'!R841, IF(bbgm_stat &gt;= perc_95, converted_stat * 3, IF(bbgm_stat &gt;= perc_90, converted_stat * 2, IF(bbgm_stat &gt;= perc_85, converted_stat * 1.5, converted_stat)))))</f>
        <v/>
      </c>
      <c r="S841" s="30" t="str">
        <f t="array" ref="S841">IF($A841="", "", LET(bbgm_stat, INDEX(Players!$A840:$P840, MATCH(S$2, Players!$A$1:$P$1, 0)), perc_75, VLOOKUP(S$2, Percentiles!$A$45:$I$59, 6, FALSE), perc_90, VLOOKUP(S$2, Percentiles!$A$45:$I$59, 7, FALSE), perc_95, VLOOKUP(S$2, Percentiles!$A$45:$I$59, 8, FALSE), perc_85, perc_75 + (perc_90 - perc_75) * (2/3), converted_stat, '2K_Ratings'!S841, IF(bbgm_stat &gt;= perc_95, converted_stat * 3, IF(bbgm_stat &gt;= perc_90, converted_stat * 2, IF(bbgm_stat &gt;= perc_85, converted_stat * 1.5, converted_stat)))))</f>
        <v/>
      </c>
      <c r="T841" s="30" t="str">
        <f t="array" ref="T841">IF($A841="", "", LET(bbgm_stat, INDEX(Players!$A840:$P840, MATCH(T$2, Players!$A$1:$P$1, 0)), perc_75, VLOOKUP(T$2, Percentiles!$A$45:$I$59, 6, FALSE), perc_90, VLOOKUP(T$2, Percentiles!$A$45:$I$59, 7, FALSE), perc_95, VLOOKUP(T$2, Percentiles!$A$45:$I$59, 8, FALSE), perc_85, perc_75 + (perc_90 - perc_75) * (2/3), converted_stat, '2K_Ratings'!T841, IF(bbgm_stat &gt;= perc_95, converted_stat * 3, IF(bbgm_stat &gt;= perc_90, converted_stat * 2, IF(bbgm_stat &gt;= perc_85, converted_stat * 1.5, converted_stat)))))</f>
        <v/>
      </c>
      <c r="U841" s="30" t="str">
        <f t="array" ref="U841">IF($A841="", "", LET(bbgm_stat, INDEX(Players!$A840:$P840, MATCH(U$2, Players!$A$1:$P$1, 0)), perc_75, VLOOKUP(U$2, Percentiles!$A$45:$I$59, 6, FALSE), perc_90, VLOOKUP(U$2, Percentiles!$A$45:$I$59, 7, FALSE), perc_95, VLOOKUP(U$2, Percentiles!$A$45:$I$59, 8, FALSE), perc_85, perc_75 + (perc_90 - perc_75) * (2/3), converted_stat, '2K_Ratings'!U841, IF(bbgm_stat &gt;= perc_95, converted_stat * 3, IF(bbgm_stat &gt;= perc_90, converted_stat * 2, IF(bbgm_stat &gt;= perc_85, converted_stat * 1.5, converted_stat)))))</f>
        <v/>
      </c>
      <c r="V841" s="30" t="str">
        <f t="array" ref="V841">IF($A841="", "", LET(bbgm_stat, INDEX(Players!$A840:$P840, MATCH(V$2, Players!$A$1:$P$1, 0)), perc_75, VLOOKUP(V$2, Percentiles!$A$45:$I$59, 6, FALSE), perc_90, VLOOKUP(V$2, Percentiles!$A$45:$I$59, 7, FALSE), perc_95, VLOOKUP(V$2, Percentiles!$A$45:$I$59, 8, FALSE), perc_85, perc_75 + (perc_90 - perc_75) * (2/3), converted_stat, '2K_Ratings'!V841, IF(bbgm_stat &gt;= perc_95, converted_stat * 3, IF(bbgm_stat &gt;= perc_90, converted_stat * 2, IF(bbgm_stat &gt;= perc_85, converted_stat * 1.5, converted_stat)))))</f>
        <v/>
      </c>
      <c r="W841" s="30" t="str">
        <f t="array" ref="W841">IF($A841="", "", LET(bbgm_stat, INDEX(Players!$A840:$P840, MATCH(W$2, Players!$A$1:$P$1, 0)), perc_75, VLOOKUP(W$2, Percentiles!$A$45:$I$59, 6, FALSE), perc_90, VLOOKUP(W$2, Percentiles!$A$45:$I$59, 7, FALSE), perc_95, VLOOKUP(W$2, Percentiles!$A$45:$I$59, 8, FALSE), perc_85, perc_75 + (perc_90 - perc_75) * (2/3), converted_stat, '2K_Ratings'!W841, IF(bbgm_stat &gt;= perc_95, converted_stat * 3, IF(bbgm_stat &gt;= perc_90, converted_stat * 2, IF(bbgm_stat &gt;= perc_85, converted_stat * 1.5, converted_stat)))))</f>
        <v/>
      </c>
    </row>
    <row r="842">
      <c r="A842" s="30"/>
      <c r="B842" s="30" t="str">
        <f t="array" ref="B842">IF($A842="", "", LET(bbgm_stat, INDEX(Players!$A841:$P841, MATCH(B$2, Players!$A$1:$P$1, 0)), perc_75, VLOOKUP(B$2, Percentiles!$A$45:$I$59, 6, FALSE), perc_90, VLOOKUP(B$2, Percentiles!$A$45:$I$59, 7, FALSE), perc_95, VLOOKUP(B$2, Percentiles!$A$45:$I$59, 8, FALSE), perc_85, perc_75 + (perc_90 - perc_75) * (2/3), converted_stat, '2K_Ratings'!B842, IF(bbgm_stat &gt;= perc_95, converted_stat * 3, IF(bbgm_stat &gt;= perc_90, converted_stat * 2, IF(bbgm_stat &gt;= perc_85, converted_stat * 1.5, converted_stat)))))</f>
        <v/>
      </c>
      <c r="C842" s="30" t="str">
        <f t="array" ref="C842">IF($A842="", "", LET(bbgm_stat, INDEX(Players!$A841:$P841, MATCH(C$2, Players!$A$1:$P$1, 0)), perc_75, VLOOKUP(C$2, Percentiles!$A$45:$I$59, 6, FALSE), perc_90, VLOOKUP(C$2, Percentiles!$A$45:$I$59, 7, FALSE), perc_95, VLOOKUP(C$2, Percentiles!$A$45:$I$59, 8, FALSE), perc_85, perc_75 + (perc_90 - perc_75) * (2/3), converted_stat, '2K_Ratings'!C842, IF(bbgm_stat &gt;= perc_95, converted_stat * 3, IF(bbgm_stat &gt;= perc_90, converted_stat * 2, IF(bbgm_stat &gt;= perc_85, converted_stat * 1.5, converted_stat)))))</f>
        <v/>
      </c>
      <c r="D842" s="30" t="str">
        <f t="array" ref="D842">IF($A842="", "", LET(bbgm_stat, INDEX(Players!$A841:$P841, MATCH(D$2, Players!$A$1:$P$1, 0)), perc_75, VLOOKUP(D$2, Percentiles!$A$45:$I$59, 6, FALSE), perc_90, VLOOKUP(D$2, Percentiles!$A$45:$I$59, 7, FALSE), perc_95, VLOOKUP(D$2, Percentiles!$A$45:$I$59, 8, FALSE), perc_85, perc_75 + (perc_90 - perc_75) * (2/3), converted_stat, '2K_Ratings'!D842, IF(bbgm_stat &gt;= perc_95, converted_stat * 3, IF(bbgm_stat &gt;= perc_90, converted_stat * 2, IF(bbgm_stat &gt;= perc_85, converted_stat * 1.5, converted_stat)))))</f>
        <v/>
      </c>
      <c r="E842" s="30" t="str">
        <f t="array" ref="E842">IF($A842="", "", LET(bbgm_stat, INDEX(Players!$A841:$P841, MATCH(E$2, Players!$A$1:$P$1, 0)), perc_75, VLOOKUP(E$2, Percentiles!$A$45:$I$59, 6, FALSE), perc_90, VLOOKUP(E$2, Percentiles!$A$45:$I$59, 7, FALSE), perc_95, VLOOKUP(E$2, Percentiles!$A$45:$I$59, 8, FALSE), perc_85, perc_75 + (perc_90 - perc_75) * (2/3), converted_stat, '2K_Ratings'!E842, IF(bbgm_stat &gt;= perc_95, converted_stat * 3, IF(bbgm_stat &gt;= perc_90, converted_stat * 2, IF(bbgm_stat &gt;= perc_85, converted_stat * 1.5, converted_stat)))))</f>
        <v/>
      </c>
      <c r="F842" s="30" t="str">
        <f t="array" ref="F842">IF($A842="", "", LET(bbgm_stat, INDEX(Players!$A841:$P841, MATCH(F$2, Players!$A$1:$P$1, 0)), perc_75, VLOOKUP(F$2, Percentiles!$A$45:$I$59, 6, FALSE), perc_90, VLOOKUP(F$2, Percentiles!$A$45:$I$59, 7, FALSE), perc_95, VLOOKUP(F$2, Percentiles!$A$45:$I$59, 8, FALSE), perc_85, perc_75 + (perc_90 - perc_75) * (2/3), converted_stat, '2K_Ratings'!F842, IF(bbgm_stat &gt;= perc_95, converted_stat * 3, IF(bbgm_stat &gt;= perc_90, converted_stat * 2, IF(bbgm_stat &gt;= perc_85, converted_stat * 1.5, converted_stat)))))</f>
        <v/>
      </c>
      <c r="G842" s="30" t="str">
        <f t="array" ref="G842">IF($A842="", "", LET(bbgm_stat, INDEX(Players!$A841:$P841, MATCH(G$2, Players!$A$1:$P$1, 0)), perc_75, VLOOKUP(G$2, Percentiles!$A$45:$I$59, 6, FALSE), perc_90, VLOOKUP(G$2, Percentiles!$A$45:$I$59, 7, FALSE), perc_95, VLOOKUP(G$2, Percentiles!$A$45:$I$59, 8, FALSE), perc_85, perc_75 + (perc_90 - perc_75) * (2/3), converted_stat, '2K_Ratings'!G842, IF(bbgm_stat &gt;= perc_95, converted_stat * 3, IF(bbgm_stat &gt;= perc_90, converted_stat * 2, IF(bbgm_stat &gt;= perc_85, converted_stat * 1.5, converted_stat)))))</f>
        <v/>
      </c>
      <c r="H842" s="30" t="str">
        <f t="array" ref="H842">IF($A842="", "", LET(bbgm_stat, INDEX(Players!$A841:$P841, MATCH(H$2, Players!$A$1:$P$1, 0)), perc_75, VLOOKUP(H$2, Percentiles!$A$45:$I$59, 6, FALSE), perc_90, VLOOKUP(H$2, Percentiles!$A$45:$I$59, 7, FALSE), perc_95, VLOOKUP(H$2, Percentiles!$A$45:$I$59, 8, FALSE), perc_85, perc_75 + (perc_90 - perc_75) * (2/3), converted_stat, '2K_Ratings'!H842, IF(bbgm_stat &gt;= perc_95, converted_stat * 3, IF(bbgm_stat &gt;= perc_90, converted_stat * 2, IF(bbgm_stat &gt;= perc_85, converted_stat * 1.5, converted_stat)))))</f>
        <v/>
      </c>
      <c r="I842" s="30" t="str">
        <f t="array" ref="I842">IF($A842="", "", LET(bbgm_stat, INDEX(Players!$A841:$P841, MATCH(I$2, Players!$A$1:$P$1, 0)), perc_75, VLOOKUP(I$2, Percentiles!$A$45:$I$59, 6, FALSE), perc_90, VLOOKUP(I$2, Percentiles!$A$45:$I$59, 7, FALSE), perc_95, VLOOKUP(I$2, Percentiles!$A$45:$I$59, 8, FALSE), perc_85, perc_75 + (perc_90 - perc_75) * (2/3), converted_stat, '2K_Ratings'!I842, IF(bbgm_stat &gt;= perc_95, converted_stat * 3, IF(bbgm_stat &gt;= perc_90, converted_stat * 2, IF(bbgm_stat &gt;= perc_85, converted_stat * 1.5, converted_stat)))))</f>
        <v/>
      </c>
      <c r="J842" s="30" t="str">
        <f t="array" ref="J842">IF($A842="", "", LET(bbgm_stat, INDEX(Players!$A841:$P841, MATCH(J$2, Players!$A$1:$P$1, 0)), perc_75, VLOOKUP(J$2, Percentiles!$A$45:$I$59, 6, FALSE), perc_90, VLOOKUP(J$2, Percentiles!$A$45:$I$59, 7, FALSE), perc_95, VLOOKUP(J$2, Percentiles!$A$45:$I$59, 8, FALSE), perc_85, perc_75 + (perc_90 - perc_75) * (2/3), converted_stat, '2K_Ratings'!J842, IF(bbgm_stat &gt;= perc_95, converted_stat * 3, IF(bbgm_stat &gt;= perc_90, converted_stat * 2, IF(bbgm_stat &gt;= perc_85, converted_stat * 1.5, converted_stat)))))</f>
        <v/>
      </c>
      <c r="K842" s="30" t="str">
        <f t="array" ref="K842">IF($A842="", "", LET(bbgm_stat, INDEX(Players!$A841:$P841, MATCH(K$2, Players!$A$1:$P$1, 0)), perc_75, VLOOKUP(K$2, Percentiles!$A$45:$I$59, 6, FALSE), perc_90, VLOOKUP(K$2, Percentiles!$A$45:$I$59, 7, FALSE), perc_95, VLOOKUP(K$2, Percentiles!$A$45:$I$59, 8, FALSE), perc_85, perc_75 + (perc_90 - perc_75) * (2/3), converted_stat, '2K_Ratings'!K842, IF(bbgm_stat &gt;= perc_95, converted_stat * 3, IF(bbgm_stat &gt;= perc_90, converted_stat * 2, IF(bbgm_stat &gt;= perc_85, converted_stat * 1.5, converted_stat)))))</f>
        <v/>
      </c>
      <c r="L842" s="30" t="str">
        <f t="array" ref="L842">IF($A842="", "", LET(bbgm_stat, INDEX(Players!$A841:$P841, MATCH(L$2, Players!$A$1:$P$1, 0)), perc_75, VLOOKUP(L$2, Percentiles!$A$45:$I$59, 6, FALSE), perc_90, VLOOKUP(L$2, Percentiles!$A$45:$I$59, 7, FALSE), perc_95, VLOOKUP(L$2, Percentiles!$A$45:$I$59, 8, FALSE), perc_85, perc_75 + (perc_90 - perc_75) * (2/3), converted_stat, '2K_Ratings'!L842, IF(bbgm_stat &gt;= perc_95, converted_stat * 3, IF(bbgm_stat &gt;= perc_90, converted_stat * 2, IF(bbgm_stat &gt;= perc_85, converted_stat * 1.5, converted_stat)))))</f>
        <v/>
      </c>
      <c r="M842" s="30" t="str">
        <f t="array" ref="M842">IF($A842="", "", LET(bbgm_stat, INDEX(Players!$A841:$P841, MATCH(M$2, Players!$A$1:$P$1, 0)), perc_75, VLOOKUP(M$2, Percentiles!$A$45:$I$59, 6, FALSE), perc_90, VLOOKUP(M$2, Percentiles!$A$45:$I$59, 7, FALSE), perc_95, VLOOKUP(M$2, Percentiles!$A$45:$I$59, 8, FALSE), perc_85, perc_75 + (perc_90 - perc_75) * (2/3), converted_stat, '2K_Ratings'!M842, IF(bbgm_stat &gt;= perc_95, converted_stat * 3, IF(bbgm_stat &gt;= perc_90, converted_stat * 2, IF(bbgm_stat &gt;= perc_85, converted_stat * 1.5, converted_stat)))))</f>
        <v/>
      </c>
      <c r="N842" s="30" t="str">
        <f t="array" ref="N842">IF($A842="", "", LET(bbgm_stat, INDEX(Players!$A841:$P841, MATCH(N$2, Players!$A$1:$P$1, 0)), perc_75, VLOOKUP(N$2, Percentiles!$A$45:$I$59, 6, FALSE), perc_90, VLOOKUP(N$2, Percentiles!$A$45:$I$59, 7, FALSE), perc_95, VLOOKUP(N$2, Percentiles!$A$45:$I$59, 8, FALSE), perc_85, perc_75 + (perc_90 - perc_75) * (2/3), converted_stat, '2K_Ratings'!N842, IF(bbgm_stat &gt;= perc_95, converted_stat * 3, IF(bbgm_stat &gt;= perc_90, converted_stat * 2, IF(bbgm_stat &gt;= perc_85, converted_stat * 1.5, converted_stat)))))</f>
        <v/>
      </c>
      <c r="O842" s="30" t="str">
        <f t="array" ref="O842">IF($A842="", "", LET(bbgm_stat, INDEX(Players!$A841:$P841, MATCH(O$2, Players!$A$1:$P$1, 0)), perc_75, VLOOKUP(O$2, Percentiles!$A$45:$I$59, 6, FALSE), perc_90, VLOOKUP(O$2, Percentiles!$A$45:$I$59, 7, FALSE), perc_95, VLOOKUP(O$2, Percentiles!$A$45:$I$59, 8, FALSE), perc_85, perc_75 + (perc_90 - perc_75) * (2/3), converted_stat, '2K_Ratings'!O842, IF(bbgm_stat &gt;= perc_95, converted_stat * 3, IF(bbgm_stat &gt;= perc_90, converted_stat * 2, IF(bbgm_stat &gt;= perc_85, converted_stat * 1.5, converted_stat)))))</f>
        <v/>
      </c>
      <c r="P842" s="30" t="str">
        <f t="array" ref="P842">IF($A842="", "", LET(bbgm_stat, INDEX(Players!$A841:$P841, MATCH(P$2, Players!$A$1:$P$1, 0)), perc_75, VLOOKUP(P$2, Percentiles!$A$45:$I$59, 6, FALSE), perc_90, VLOOKUP(P$2, Percentiles!$A$45:$I$59, 7, FALSE), perc_95, VLOOKUP(P$2, Percentiles!$A$45:$I$59, 8, FALSE), perc_85, perc_75 + (perc_90 - perc_75) * (2/3), converted_stat, '2K_Ratings'!P842, IF(bbgm_stat &gt;= perc_95, converted_stat * 3, IF(bbgm_stat &gt;= perc_90, converted_stat * 2, IF(bbgm_stat &gt;= perc_85, converted_stat * 1.5, converted_stat)))))</f>
        <v/>
      </c>
      <c r="Q842" s="30" t="str">
        <f t="array" ref="Q842">IF($A842="", "", LET(bbgm_stat, INDEX(Players!$A841:$P841, MATCH(Q$2, Players!$A$1:$P$1, 0)), perc_75, VLOOKUP(Q$2, Percentiles!$A$45:$I$59, 6, FALSE), perc_90, VLOOKUP(Q$2, Percentiles!$A$45:$I$59, 7, FALSE), perc_95, VLOOKUP(Q$2, Percentiles!$A$45:$I$59, 8, FALSE), perc_85, perc_75 + (perc_90 - perc_75) * (2/3), converted_stat, '2K_Ratings'!Q842, IF(bbgm_stat &gt;= perc_95, converted_stat * 3, IF(bbgm_stat &gt;= perc_90, converted_stat * 2, IF(bbgm_stat &gt;= perc_85, converted_stat * 1.5, converted_stat)))))</f>
        <v/>
      </c>
      <c r="R842" s="30" t="str">
        <f t="array" ref="R842">IF($A842="", "", LET(bbgm_stat, INDEX(Players!$A841:$P841, MATCH(R$2, Players!$A$1:$P$1, 0)), perc_75, VLOOKUP(R$2, Percentiles!$A$45:$I$59, 6, FALSE), perc_90, VLOOKUP(R$2, Percentiles!$A$45:$I$59, 7, FALSE), perc_95, VLOOKUP(R$2, Percentiles!$A$45:$I$59, 8, FALSE), perc_85, perc_75 + (perc_90 - perc_75) * (2/3), converted_stat, '2K_Ratings'!R842, IF(bbgm_stat &gt;= perc_95, converted_stat * 3, IF(bbgm_stat &gt;= perc_90, converted_stat * 2, IF(bbgm_stat &gt;= perc_85, converted_stat * 1.5, converted_stat)))))</f>
        <v/>
      </c>
      <c r="S842" s="30" t="str">
        <f t="array" ref="S842">IF($A842="", "", LET(bbgm_stat, INDEX(Players!$A841:$P841, MATCH(S$2, Players!$A$1:$P$1, 0)), perc_75, VLOOKUP(S$2, Percentiles!$A$45:$I$59, 6, FALSE), perc_90, VLOOKUP(S$2, Percentiles!$A$45:$I$59, 7, FALSE), perc_95, VLOOKUP(S$2, Percentiles!$A$45:$I$59, 8, FALSE), perc_85, perc_75 + (perc_90 - perc_75) * (2/3), converted_stat, '2K_Ratings'!S842, IF(bbgm_stat &gt;= perc_95, converted_stat * 3, IF(bbgm_stat &gt;= perc_90, converted_stat * 2, IF(bbgm_stat &gt;= perc_85, converted_stat * 1.5, converted_stat)))))</f>
        <v/>
      </c>
      <c r="T842" s="30" t="str">
        <f t="array" ref="T842">IF($A842="", "", LET(bbgm_stat, INDEX(Players!$A841:$P841, MATCH(T$2, Players!$A$1:$P$1, 0)), perc_75, VLOOKUP(T$2, Percentiles!$A$45:$I$59, 6, FALSE), perc_90, VLOOKUP(T$2, Percentiles!$A$45:$I$59, 7, FALSE), perc_95, VLOOKUP(T$2, Percentiles!$A$45:$I$59, 8, FALSE), perc_85, perc_75 + (perc_90 - perc_75) * (2/3), converted_stat, '2K_Ratings'!T842, IF(bbgm_stat &gt;= perc_95, converted_stat * 3, IF(bbgm_stat &gt;= perc_90, converted_stat * 2, IF(bbgm_stat &gt;= perc_85, converted_stat * 1.5, converted_stat)))))</f>
        <v/>
      </c>
      <c r="U842" s="30" t="str">
        <f t="array" ref="U842">IF($A842="", "", LET(bbgm_stat, INDEX(Players!$A841:$P841, MATCH(U$2, Players!$A$1:$P$1, 0)), perc_75, VLOOKUP(U$2, Percentiles!$A$45:$I$59, 6, FALSE), perc_90, VLOOKUP(U$2, Percentiles!$A$45:$I$59, 7, FALSE), perc_95, VLOOKUP(U$2, Percentiles!$A$45:$I$59, 8, FALSE), perc_85, perc_75 + (perc_90 - perc_75) * (2/3), converted_stat, '2K_Ratings'!U842, IF(bbgm_stat &gt;= perc_95, converted_stat * 3, IF(bbgm_stat &gt;= perc_90, converted_stat * 2, IF(bbgm_stat &gt;= perc_85, converted_stat * 1.5, converted_stat)))))</f>
        <v/>
      </c>
      <c r="V842" s="30" t="str">
        <f t="array" ref="V842">IF($A842="", "", LET(bbgm_stat, INDEX(Players!$A841:$P841, MATCH(V$2, Players!$A$1:$P$1, 0)), perc_75, VLOOKUP(V$2, Percentiles!$A$45:$I$59, 6, FALSE), perc_90, VLOOKUP(V$2, Percentiles!$A$45:$I$59, 7, FALSE), perc_95, VLOOKUP(V$2, Percentiles!$A$45:$I$59, 8, FALSE), perc_85, perc_75 + (perc_90 - perc_75) * (2/3), converted_stat, '2K_Ratings'!V842, IF(bbgm_stat &gt;= perc_95, converted_stat * 3, IF(bbgm_stat &gt;= perc_90, converted_stat * 2, IF(bbgm_stat &gt;= perc_85, converted_stat * 1.5, converted_stat)))))</f>
        <v/>
      </c>
      <c r="W842" s="30" t="str">
        <f t="array" ref="W842">IF($A842="", "", LET(bbgm_stat, INDEX(Players!$A841:$P841, MATCH(W$2, Players!$A$1:$P$1, 0)), perc_75, VLOOKUP(W$2, Percentiles!$A$45:$I$59, 6, FALSE), perc_90, VLOOKUP(W$2, Percentiles!$A$45:$I$59, 7, FALSE), perc_95, VLOOKUP(W$2, Percentiles!$A$45:$I$59, 8, FALSE), perc_85, perc_75 + (perc_90 - perc_75) * (2/3), converted_stat, '2K_Ratings'!W842, IF(bbgm_stat &gt;= perc_95, converted_stat * 3, IF(bbgm_stat &gt;= perc_90, converted_stat * 2, IF(bbgm_stat &gt;= perc_85, converted_stat * 1.5, converted_stat)))))</f>
        <v/>
      </c>
    </row>
    <row r="843">
      <c r="A843" s="30"/>
      <c r="B843" s="30" t="str">
        <f t="array" ref="B843">IF($A843="", "", LET(bbgm_stat, INDEX(Players!$A842:$P842, MATCH(B$2, Players!$A$1:$P$1, 0)), perc_75, VLOOKUP(B$2, Percentiles!$A$45:$I$59, 6, FALSE), perc_90, VLOOKUP(B$2, Percentiles!$A$45:$I$59, 7, FALSE), perc_95, VLOOKUP(B$2, Percentiles!$A$45:$I$59, 8, FALSE), perc_85, perc_75 + (perc_90 - perc_75) * (2/3), converted_stat, '2K_Ratings'!B843, IF(bbgm_stat &gt;= perc_95, converted_stat * 3, IF(bbgm_stat &gt;= perc_90, converted_stat * 2, IF(bbgm_stat &gt;= perc_85, converted_stat * 1.5, converted_stat)))))</f>
        <v/>
      </c>
      <c r="C843" s="30" t="str">
        <f t="array" ref="C843">IF($A843="", "", LET(bbgm_stat, INDEX(Players!$A842:$P842, MATCH(C$2, Players!$A$1:$P$1, 0)), perc_75, VLOOKUP(C$2, Percentiles!$A$45:$I$59, 6, FALSE), perc_90, VLOOKUP(C$2, Percentiles!$A$45:$I$59, 7, FALSE), perc_95, VLOOKUP(C$2, Percentiles!$A$45:$I$59, 8, FALSE), perc_85, perc_75 + (perc_90 - perc_75) * (2/3), converted_stat, '2K_Ratings'!C843, IF(bbgm_stat &gt;= perc_95, converted_stat * 3, IF(bbgm_stat &gt;= perc_90, converted_stat * 2, IF(bbgm_stat &gt;= perc_85, converted_stat * 1.5, converted_stat)))))</f>
        <v/>
      </c>
      <c r="D843" s="30" t="str">
        <f t="array" ref="D843">IF($A843="", "", LET(bbgm_stat, INDEX(Players!$A842:$P842, MATCH(D$2, Players!$A$1:$P$1, 0)), perc_75, VLOOKUP(D$2, Percentiles!$A$45:$I$59, 6, FALSE), perc_90, VLOOKUP(D$2, Percentiles!$A$45:$I$59, 7, FALSE), perc_95, VLOOKUP(D$2, Percentiles!$A$45:$I$59, 8, FALSE), perc_85, perc_75 + (perc_90 - perc_75) * (2/3), converted_stat, '2K_Ratings'!D843, IF(bbgm_stat &gt;= perc_95, converted_stat * 3, IF(bbgm_stat &gt;= perc_90, converted_stat * 2, IF(bbgm_stat &gt;= perc_85, converted_stat * 1.5, converted_stat)))))</f>
        <v/>
      </c>
      <c r="E843" s="30" t="str">
        <f t="array" ref="E843">IF($A843="", "", LET(bbgm_stat, INDEX(Players!$A842:$P842, MATCH(E$2, Players!$A$1:$P$1, 0)), perc_75, VLOOKUP(E$2, Percentiles!$A$45:$I$59, 6, FALSE), perc_90, VLOOKUP(E$2, Percentiles!$A$45:$I$59, 7, FALSE), perc_95, VLOOKUP(E$2, Percentiles!$A$45:$I$59, 8, FALSE), perc_85, perc_75 + (perc_90 - perc_75) * (2/3), converted_stat, '2K_Ratings'!E843, IF(bbgm_stat &gt;= perc_95, converted_stat * 3, IF(bbgm_stat &gt;= perc_90, converted_stat * 2, IF(bbgm_stat &gt;= perc_85, converted_stat * 1.5, converted_stat)))))</f>
        <v/>
      </c>
      <c r="F843" s="30" t="str">
        <f t="array" ref="F843">IF($A843="", "", LET(bbgm_stat, INDEX(Players!$A842:$P842, MATCH(F$2, Players!$A$1:$P$1, 0)), perc_75, VLOOKUP(F$2, Percentiles!$A$45:$I$59, 6, FALSE), perc_90, VLOOKUP(F$2, Percentiles!$A$45:$I$59, 7, FALSE), perc_95, VLOOKUP(F$2, Percentiles!$A$45:$I$59, 8, FALSE), perc_85, perc_75 + (perc_90 - perc_75) * (2/3), converted_stat, '2K_Ratings'!F843, IF(bbgm_stat &gt;= perc_95, converted_stat * 3, IF(bbgm_stat &gt;= perc_90, converted_stat * 2, IF(bbgm_stat &gt;= perc_85, converted_stat * 1.5, converted_stat)))))</f>
        <v/>
      </c>
      <c r="G843" s="30" t="str">
        <f t="array" ref="G843">IF($A843="", "", LET(bbgm_stat, INDEX(Players!$A842:$P842, MATCH(G$2, Players!$A$1:$P$1, 0)), perc_75, VLOOKUP(G$2, Percentiles!$A$45:$I$59, 6, FALSE), perc_90, VLOOKUP(G$2, Percentiles!$A$45:$I$59, 7, FALSE), perc_95, VLOOKUP(G$2, Percentiles!$A$45:$I$59, 8, FALSE), perc_85, perc_75 + (perc_90 - perc_75) * (2/3), converted_stat, '2K_Ratings'!G843, IF(bbgm_stat &gt;= perc_95, converted_stat * 3, IF(bbgm_stat &gt;= perc_90, converted_stat * 2, IF(bbgm_stat &gt;= perc_85, converted_stat * 1.5, converted_stat)))))</f>
        <v/>
      </c>
      <c r="H843" s="30" t="str">
        <f t="array" ref="H843">IF($A843="", "", LET(bbgm_stat, INDEX(Players!$A842:$P842, MATCH(H$2, Players!$A$1:$P$1, 0)), perc_75, VLOOKUP(H$2, Percentiles!$A$45:$I$59, 6, FALSE), perc_90, VLOOKUP(H$2, Percentiles!$A$45:$I$59, 7, FALSE), perc_95, VLOOKUP(H$2, Percentiles!$A$45:$I$59, 8, FALSE), perc_85, perc_75 + (perc_90 - perc_75) * (2/3), converted_stat, '2K_Ratings'!H843, IF(bbgm_stat &gt;= perc_95, converted_stat * 3, IF(bbgm_stat &gt;= perc_90, converted_stat * 2, IF(bbgm_stat &gt;= perc_85, converted_stat * 1.5, converted_stat)))))</f>
        <v/>
      </c>
      <c r="I843" s="30" t="str">
        <f t="array" ref="I843">IF($A843="", "", LET(bbgm_stat, INDEX(Players!$A842:$P842, MATCH(I$2, Players!$A$1:$P$1, 0)), perc_75, VLOOKUP(I$2, Percentiles!$A$45:$I$59, 6, FALSE), perc_90, VLOOKUP(I$2, Percentiles!$A$45:$I$59, 7, FALSE), perc_95, VLOOKUP(I$2, Percentiles!$A$45:$I$59, 8, FALSE), perc_85, perc_75 + (perc_90 - perc_75) * (2/3), converted_stat, '2K_Ratings'!I843, IF(bbgm_stat &gt;= perc_95, converted_stat * 3, IF(bbgm_stat &gt;= perc_90, converted_stat * 2, IF(bbgm_stat &gt;= perc_85, converted_stat * 1.5, converted_stat)))))</f>
        <v/>
      </c>
      <c r="J843" s="30" t="str">
        <f t="array" ref="J843">IF($A843="", "", LET(bbgm_stat, INDEX(Players!$A842:$P842, MATCH(J$2, Players!$A$1:$P$1, 0)), perc_75, VLOOKUP(J$2, Percentiles!$A$45:$I$59, 6, FALSE), perc_90, VLOOKUP(J$2, Percentiles!$A$45:$I$59, 7, FALSE), perc_95, VLOOKUP(J$2, Percentiles!$A$45:$I$59, 8, FALSE), perc_85, perc_75 + (perc_90 - perc_75) * (2/3), converted_stat, '2K_Ratings'!J843, IF(bbgm_stat &gt;= perc_95, converted_stat * 3, IF(bbgm_stat &gt;= perc_90, converted_stat * 2, IF(bbgm_stat &gt;= perc_85, converted_stat * 1.5, converted_stat)))))</f>
        <v/>
      </c>
      <c r="K843" s="30" t="str">
        <f t="array" ref="K843">IF($A843="", "", LET(bbgm_stat, INDEX(Players!$A842:$P842, MATCH(K$2, Players!$A$1:$P$1, 0)), perc_75, VLOOKUP(K$2, Percentiles!$A$45:$I$59, 6, FALSE), perc_90, VLOOKUP(K$2, Percentiles!$A$45:$I$59, 7, FALSE), perc_95, VLOOKUP(K$2, Percentiles!$A$45:$I$59, 8, FALSE), perc_85, perc_75 + (perc_90 - perc_75) * (2/3), converted_stat, '2K_Ratings'!K843, IF(bbgm_stat &gt;= perc_95, converted_stat * 3, IF(bbgm_stat &gt;= perc_90, converted_stat * 2, IF(bbgm_stat &gt;= perc_85, converted_stat * 1.5, converted_stat)))))</f>
        <v/>
      </c>
      <c r="L843" s="30" t="str">
        <f t="array" ref="L843">IF($A843="", "", LET(bbgm_stat, INDEX(Players!$A842:$P842, MATCH(L$2, Players!$A$1:$P$1, 0)), perc_75, VLOOKUP(L$2, Percentiles!$A$45:$I$59, 6, FALSE), perc_90, VLOOKUP(L$2, Percentiles!$A$45:$I$59, 7, FALSE), perc_95, VLOOKUP(L$2, Percentiles!$A$45:$I$59, 8, FALSE), perc_85, perc_75 + (perc_90 - perc_75) * (2/3), converted_stat, '2K_Ratings'!L843, IF(bbgm_stat &gt;= perc_95, converted_stat * 3, IF(bbgm_stat &gt;= perc_90, converted_stat * 2, IF(bbgm_stat &gt;= perc_85, converted_stat * 1.5, converted_stat)))))</f>
        <v/>
      </c>
      <c r="M843" s="30" t="str">
        <f t="array" ref="M843">IF($A843="", "", LET(bbgm_stat, INDEX(Players!$A842:$P842, MATCH(M$2, Players!$A$1:$P$1, 0)), perc_75, VLOOKUP(M$2, Percentiles!$A$45:$I$59, 6, FALSE), perc_90, VLOOKUP(M$2, Percentiles!$A$45:$I$59, 7, FALSE), perc_95, VLOOKUP(M$2, Percentiles!$A$45:$I$59, 8, FALSE), perc_85, perc_75 + (perc_90 - perc_75) * (2/3), converted_stat, '2K_Ratings'!M843, IF(bbgm_stat &gt;= perc_95, converted_stat * 3, IF(bbgm_stat &gt;= perc_90, converted_stat * 2, IF(bbgm_stat &gt;= perc_85, converted_stat * 1.5, converted_stat)))))</f>
        <v/>
      </c>
      <c r="N843" s="30" t="str">
        <f t="array" ref="N843">IF($A843="", "", LET(bbgm_stat, INDEX(Players!$A842:$P842, MATCH(N$2, Players!$A$1:$P$1, 0)), perc_75, VLOOKUP(N$2, Percentiles!$A$45:$I$59, 6, FALSE), perc_90, VLOOKUP(N$2, Percentiles!$A$45:$I$59, 7, FALSE), perc_95, VLOOKUP(N$2, Percentiles!$A$45:$I$59, 8, FALSE), perc_85, perc_75 + (perc_90 - perc_75) * (2/3), converted_stat, '2K_Ratings'!N843, IF(bbgm_stat &gt;= perc_95, converted_stat * 3, IF(bbgm_stat &gt;= perc_90, converted_stat * 2, IF(bbgm_stat &gt;= perc_85, converted_stat * 1.5, converted_stat)))))</f>
        <v/>
      </c>
      <c r="O843" s="30" t="str">
        <f t="array" ref="O843">IF($A843="", "", LET(bbgm_stat, INDEX(Players!$A842:$P842, MATCH(O$2, Players!$A$1:$P$1, 0)), perc_75, VLOOKUP(O$2, Percentiles!$A$45:$I$59, 6, FALSE), perc_90, VLOOKUP(O$2, Percentiles!$A$45:$I$59, 7, FALSE), perc_95, VLOOKUP(O$2, Percentiles!$A$45:$I$59, 8, FALSE), perc_85, perc_75 + (perc_90 - perc_75) * (2/3), converted_stat, '2K_Ratings'!O843, IF(bbgm_stat &gt;= perc_95, converted_stat * 3, IF(bbgm_stat &gt;= perc_90, converted_stat * 2, IF(bbgm_stat &gt;= perc_85, converted_stat * 1.5, converted_stat)))))</f>
        <v/>
      </c>
      <c r="P843" s="30" t="str">
        <f t="array" ref="P843">IF($A843="", "", LET(bbgm_stat, INDEX(Players!$A842:$P842, MATCH(P$2, Players!$A$1:$P$1, 0)), perc_75, VLOOKUP(P$2, Percentiles!$A$45:$I$59, 6, FALSE), perc_90, VLOOKUP(P$2, Percentiles!$A$45:$I$59, 7, FALSE), perc_95, VLOOKUP(P$2, Percentiles!$A$45:$I$59, 8, FALSE), perc_85, perc_75 + (perc_90 - perc_75) * (2/3), converted_stat, '2K_Ratings'!P843, IF(bbgm_stat &gt;= perc_95, converted_stat * 3, IF(bbgm_stat &gt;= perc_90, converted_stat * 2, IF(bbgm_stat &gt;= perc_85, converted_stat * 1.5, converted_stat)))))</f>
        <v/>
      </c>
      <c r="Q843" s="30" t="str">
        <f t="array" ref="Q843">IF($A843="", "", LET(bbgm_stat, INDEX(Players!$A842:$P842, MATCH(Q$2, Players!$A$1:$P$1, 0)), perc_75, VLOOKUP(Q$2, Percentiles!$A$45:$I$59, 6, FALSE), perc_90, VLOOKUP(Q$2, Percentiles!$A$45:$I$59, 7, FALSE), perc_95, VLOOKUP(Q$2, Percentiles!$A$45:$I$59, 8, FALSE), perc_85, perc_75 + (perc_90 - perc_75) * (2/3), converted_stat, '2K_Ratings'!Q843, IF(bbgm_stat &gt;= perc_95, converted_stat * 3, IF(bbgm_stat &gt;= perc_90, converted_stat * 2, IF(bbgm_stat &gt;= perc_85, converted_stat * 1.5, converted_stat)))))</f>
        <v/>
      </c>
      <c r="R843" s="30" t="str">
        <f t="array" ref="R843">IF($A843="", "", LET(bbgm_stat, INDEX(Players!$A842:$P842, MATCH(R$2, Players!$A$1:$P$1, 0)), perc_75, VLOOKUP(R$2, Percentiles!$A$45:$I$59, 6, FALSE), perc_90, VLOOKUP(R$2, Percentiles!$A$45:$I$59, 7, FALSE), perc_95, VLOOKUP(R$2, Percentiles!$A$45:$I$59, 8, FALSE), perc_85, perc_75 + (perc_90 - perc_75) * (2/3), converted_stat, '2K_Ratings'!R843, IF(bbgm_stat &gt;= perc_95, converted_stat * 3, IF(bbgm_stat &gt;= perc_90, converted_stat * 2, IF(bbgm_stat &gt;= perc_85, converted_stat * 1.5, converted_stat)))))</f>
        <v/>
      </c>
      <c r="S843" s="30" t="str">
        <f t="array" ref="S843">IF($A843="", "", LET(bbgm_stat, INDEX(Players!$A842:$P842, MATCH(S$2, Players!$A$1:$P$1, 0)), perc_75, VLOOKUP(S$2, Percentiles!$A$45:$I$59, 6, FALSE), perc_90, VLOOKUP(S$2, Percentiles!$A$45:$I$59, 7, FALSE), perc_95, VLOOKUP(S$2, Percentiles!$A$45:$I$59, 8, FALSE), perc_85, perc_75 + (perc_90 - perc_75) * (2/3), converted_stat, '2K_Ratings'!S843, IF(bbgm_stat &gt;= perc_95, converted_stat * 3, IF(bbgm_stat &gt;= perc_90, converted_stat * 2, IF(bbgm_stat &gt;= perc_85, converted_stat * 1.5, converted_stat)))))</f>
        <v/>
      </c>
      <c r="T843" s="30" t="str">
        <f t="array" ref="T843">IF($A843="", "", LET(bbgm_stat, INDEX(Players!$A842:$P842, MATCH(T$2, Players!$A$1:$P$1, 0)), perc_75, VLOOKUP(T$2, Percentiles!$A$45:$I$59, 6, FALSE), perc_90, VLOOKUP(T$2, Percentiles!$A$45:$I$59, 7, FALSE), perc_95, VLOOKUP(T$2, Percentiles!$A$45:$I$59, 8, FALSE), perc_85, perc_75 + (perc_90 - perc_75) * (2/3), converted_stat, '2K_Ratings'!T843, IF(bbgm_stat &gt;= perc_95, converted_stat * 3, IF(bbgm_stat &gt;= perc_90, converted_stat * 2, IF(bbgm_stat &gt;= perc_85, converted_stat * 1.5, converted_stat)))))</f>
        <v/>
      </c>
      <c r="U843" s="30" t="str">
        <f t="array" ref="U843">IF($A843="", "", LET(bbgm_stat, INDEX(Players!$A842:$P842, MATCH(U$2, Players!$A$1:$P$1, 0)), perc_75, VLOOKUP(U$2, Percentiles!$A$45:$I$59, 6, FALSE), perc_90, VLOOKUP(U$2, Percentiles!$A$45:$I$59, 7, FALSE), perc_95, VLOOKUP(U$2, Percentiles!$A$45:$I$59, 8, FALSE), perc_85, perc_75 + (perc_90 - perc_75) * (2/3), converted_stat, '2K_Ratings'!U843, IF(bbgm_stat &gt;= perc_95, converted_stat * 3, IF(bbgm_stat &gt;= perc_90, converted_stat * 2, IF(bbgm_stat &gt;= perc_85, converted_stat * 1.5, converted_stat)))))</f>
        <v/>
      </c>
      <c r="V843" s="30" t="str">
        <f t="array" ref="V843">IF($A843="", "", LET(bbgm_stat, INDEX(Players!$A842:$P842, MATCH(V$2, Players!$A$1:$P$1, 0)), perc_75, VLOOKUP(V$2, Percentiles!$A$45:$I$59, 6, FALSE), perc_90, VLOOKUP(V$2, Percentiles!$A$45:$I$59, 7, FALSE), perc_95, VLOOKUP(V$2, Percentiles!$A$45:$I$59, 8, FALSE), perc_85, perc_75 + (perc_90 - perc_75) * (2/3), converted_stat, '2K_Ratings'!V843, IF(bbgm_stat &gt;= perc_95, converted_stat * 3, IF(bbgm_stat &gt;= perc_90, converted_stat * 2, IF(bbgm_stat &gt;= perc_85, converted_stat * 1.5, converted_stat)))))</f>
        <v/>
      </c>
      <c r="W843" s="30" t="str">
        <f t="array" ref="W843">IF($A843="", "", LET(bbgm_stat, INDEX(Players!$A842:$P842, MATCH(W$2, Players!$A$1:$P$1, 0)), perc_75, VLOOKUP(W$2, Percentiles!$A$45:$I$59, 6, FALSE), perc_90, VLOOKUP(W$2, Percentiles!$A$45:$I$59, 7, FALSE), perc_95, VLOOKUP(W$2, Percentiles!$A$45:$I$59, 8, FALSE), perc_85, perc_75 + (perc_90 - perc_75) * (2/3), converted_stat, '2K_Ratings'!W843, IF(bbgm_stat &gt;= perc_95, converted_stat * 3, IF(bbgm_stat &gt;= perc_90, converted_stat * 2, IF(bbgm_stat &gt;= perc_85, converted_stat * 1.5, converted_stat)))))</f>
        <v/>
      </c>
    </row>
    <row r="844">
      <c r="A844" s="30"/>
      <c r="B844" s="30" t="str">
        <f t="array" ref="B844">IF($A844="", "", LET(bbgm_stat, INDEX(Players!$A843:$P843, MATCH(B$2, Players!$A$1:$P$1, 0)), perc_75, VLOOKUP(B$2, Percentiles!$A$45:$I$59, 6, FALSE), perc_90, VLOOKUP(B$2, Percentiles!$A$45:$I$59, 7, FALSE), perc_95, VLOOKUP(B$2, Percentiles!$A$45:$I$59, 8, FALSE), perc_85, perc_75 + (perc_90 - perc_75) * (2/3), converted_stat, '2K_Ratings'!B844, IF(bbgm_stat &gt;= perc_95, converted_stat * 3, IF(bbgm_stat &gt;= perc_90, converted_stat * 2, IF(bbgm_stat &gt;= perc_85, converted_stat * 1.5, converted_stat)))))</f>
        <v/>
      </c>
      <c r="C844" s="30" t="str">
        <f t="array" ref="C844">IF($A844="", "", LET(bbgm_stat, INDEX(Players!$A843:$P843, MATCH(C$2, Players!$A$1:$P$1, 0)), perc_75, VLOOKUP(C$2, Percentiles!$A$45:$I$59, 6, FALSE), perc_90, VLOOKUP(C$2, Percentiles!$A$45:$I$59, 7, FALSE), perc_95, VLOOKUP(C$2, Percentiles!$A$45:$I$59, 8, FALSE), perc_85, perc_75 + (perc_90 - perc_75) * (2/3), converted_stat, '2K_Ratings'!C844, IF(bbgm_stat &gt;= perc_95, converted_stat * 3, IF(bbgm_stat &gt;= perc_90, converted_stat * 2, IF(bbgm_stat &gt;= perc_85, converted_stat * 1.5, converted_stat)))))</f>
        <v/>
      </c>
      <c r="D844" s="30" t="str">
        <f t="array" ref="D844">IF($A844="", "", LET(bbgm_stat, INDEX(Players!$A843:$P843, MATCH(D$2, Players!$A$1:$P$1, 0)), perc_75, VLOOKUP(D$2, Percentiles!$A$45:$I$59, 6, FALSE), perc_90, VLOOKUP(D$2, Percentiles!$A$45:$I$59, 7, FALSE), perc_95, VLOOKUP(D$2, Percentiles!$A$45:$I$59, 8, FALSE), perc_85, perc_75 + (perc_90 - perc_75) * (2/3), converted_stat, '2K_Ratings'!D844, IF(bbgm_stat &gt;= perc_95, converted_stat * 3, IF(bbgm_stat &gt;= perc_90, converted_stat * 2, IF(bbgm_stat &gt;= perc_85, converted_stat * 1.5, converted_stat)))))</f>
        <v/>
      </c>
      <c r="E844" s="30" t="str">
        <f t="array" ref="E844">IF($A844="", "", LET(bbgm_stat, INDEX(Players!$A843:$P843, MATCH(E$2, Players!$A$1:$P$1, 0)), perc_75, VLOOKUP(E$2, Percentiles!$A$45:$I$59, 6, FALSE), perc_90, VLOOKUP(E$2, Percentiles!$A$45:$I$59, 7, FALSE), perc_95, VLOOKUP(E$2, Percentiles!$A$45:$I$59, 8, FALSE), perc_85, perc_75 + (perc_90 - perc_75) * (2/3), converted_stat, '2K_Ratings'!E844, IF(bbgm_stat &gt;= perc_95, converted_stat * 3, IF(bbgm_stat &gt;= perc_90, converted_stat * 2, IF(bbgm_stat &gt;= perc_85, converted_stat * 1.5, converted_stat)))))</f>
        <v/>
      </c>
      <c r="F844" s="30" t="str">
        <f t="array" ref="F844">IF($A844="", "", LET(bbgm_stat, INDEX(Players!$A843:$P843, MATCH(F$2, Players!$A$1:$P$1, 0)), perc_75, VLOOKUP(F$2, Percentiles!$A$45:$I$59, 6, FALSE), perc_90, VLOOKUP(F$2, Percentiles!$A$45:$I$59, 7, FALSE), perc_95, VLOOKUP(F$2, Percentiles!$A$45:$I$59, 8, FALSE), perc_85, perc_75 + (perc_90 - perc_75) * (2/3), converted_stat, '2K_Ratings'!F844, IF(bbgm_stat &gt;= perc_95, converted_stat * 3, IF(bbgm_stat &gt;= perc_90, converted_stat * 2, IF(bbgm_stat &gt;= perc_85, converted_stat * 1.5, converted_stat)))))</f>
        <v/>
      </c>
      <c r="G844" s="30" t="str">
        <f t="array" ref="G844">IF($A844="", "", LET(bbgm_stat, INDEX(Players!$A843:$P843, MATCH(G$2, Players!$A$1:$P$1, 0)), perc_75, VLOOKUP(G$2, Percentiles!$A$45:$I$59, 6, FALSE), perc_90, VLOOKUP(G$2, Percentiles!$A$45:$I$59, 7, FALSE), perc_95, VLOOKUP(G$2, Percentiles!$A$45:$I$59, 8, FALSE), perc_85, perc_75 + (perc_90 - perc_75) * (2/3), converted_stat, '2K_Ratings'!G844, IF(bbgm_stat &gt;= perc_95, converted_stat * 3, IF(bbgm_stat &gt;= perc_90, converted_stat * 2, IF(bbgm_stat &gt;= perc_85, converted_stat * 1.5, converted_stat)))))</f>
        <v/>
      </c>
      <c r="H844" s="30" t="str">
        <f t="array" ref="H844">IF($A844="", "", LET(bbgm_stat, INDEX(Players!$A843:$P843, MATCH(H$2, Players!$A$1:$P$1, 0)), perc_75, VLOOKUP(H$2, Percentiles!$A$45:$I$59, 6, FALSE), perc_90, VLOOKUP(H$2, Percentiles!$A$45:$I$59, 7, FALSE), perc_95, VLOOKUP(H$2, Percentiles!$A$45:$I$59, 8, FALSE), perc_85, perc_75 + (perc_90 - perc_75) * (2/3), converted_stat, '2K_Ratings'!H844, IF(bbgm_stat &gt;= perc_95, converted_stat * 3, IF(bbgm_stat &gt;= perc_90, converted_stat * 2, IF(bbgm_stat &gt;= perc_85, converted_stat * 1.5, converted_stat)))))</f>
        <v/>
      </c>
      <c r="I844" s="30" t="str">
        <f t="array" ref="I844">IF($A844="", "", LET(bbgm_stat, INDEX(Players!$A843:$P843, MATCH(I$2, Players!$A$1:$P$1, 0)), perc_75, VLOOKUP(I$2, Percentiles!$A$45:$I$59, 6, FALSE), perc_90, VLOOKUP(I$2, Percentiles!$A$45:$I$59, 7, FALSE), perc_95, VLOOKUP(I$2, Percentiles!$A$45:$I$59, 8, FALSE), perc_85, perc_75 + (perc_90 - perc_75) * (2/3), converted_stat, '2K_Ratings'!I844, IF(bbgm_stat &gt;= perc_95, converted_stat * 3, IF(bbgm_stat &gt;= perc_90, converted_stat * 2, IF(bbgm_stat &gt;= perc_85, converted_stat * 1.5, converted_stat)))))</f>
        <v/>
      </c>
      <c r="J844" s="30" t="str">
        <f t="array" ref="J844">IF($A844="", "", LET(bbgm_stat, INDEX(Players!$A843:$P843, MATCH(J$2, Players!$A$1:$P$1, 0)), perc_75, VLOOKUP(J$2, Percentiles!$A$45:$I$59, 6, FALSE), perc_90, VLOOKUP(J$2, Percentiles!$A$45:$I$59, 7, FALSE), perc_95, VLOOKUP(J$2, Percentiles!$A$45:$I$59, 8, FALSE), perc_85, perc_75 + (perc_90 - perc_75) * (2/3), converted_stat, '2K_Ratings'!J844, IF(bbgm_stat &gt;= perc_95, converted_stat * 3, IF(bbgm_stat &gt;= perc_90, converted_stat * 2, IF(bbgm_stat &gt;= perc_85, converted_stat * 1.5, converted_stat)))))</f>
        <v/>
      </c>
      <c r="K844" s="30" t="str">
        <f t="array" ref="K844">IF($A844="", "", LET(bbgm_stat, INDEX(Players!$A843:$P843, MATCH(K$2, Players!$A$1:$P$1, 0)), perc_75, VLOOKUP(K$2, Percentiles!$A$45:$I$59, 6, FALSE), perc_90, VLOOKUP(K$2, Percentiles!$A$45:$I$59, 7, FALSE), perc_95, VLOOKUP(K$2, Percentiles!$A$45:$I$59, 8, FALSE), perc_85, perc_75 + (perc_90 - perc_75) * (2/3), converted_stat, '2K_Ratings'!K844, IF(bbgm_stat &gt;= perc_95, converted_stat * 3, IF(bbgm_stat &gt;= perc_90, converted_stat * 2, IF(bbgm_stat &gt;= perc_85, converted_stat * 1.5, converted_stat)))))</f>
        <v/>
      </c>
      <c r="L844" s="30" t="str">
        <f t="array" ref="L844">IF($A844="", "", LET(bbgm_stat, INDEX(Players!$A843:$P843, MATCH(L$2, Players!$A$1:$P$1, 0)), perc_75, VLOOKUP(L$2, Percentiles!$A$45:$I$59, 6, FALSE), perc_90, VLOOKUP(L$2, Percentiles!$A$45:$I$59, 7, FALSE), perc_95, VLOOKUP(L$2, Percentiles!$A$45:$I$59, 8, FALSE), perc_85, perc_75 + (perc_90 - perc_75) * (2/3), converted_stat, '2K_Ratings'!L844, IF(bbgm_stat &gt;= perc_95, converted_stat * 3, IF(bbgm_stat &gt;= perc_90, converted_stat * 2, IF(bbgm_stat &gt;= perc_85, converted_stat * 1.5, converted_stat)))))</f>
        <v/>
      </c>
      <c r="M844" s="30" t="str">
        <f t="array" ref="M844">IF($A844="", "", LET(bbgm_stat, INDEX(Players!$A843:$P843, MATCH(M$2, Players!$A$1:$P$1, 0)), perc_75, VLOOKUP(M$2, Percentiles!$A$45:$I$59, 6, FALSE), perc_90, VLOOKUP(M$2, Percentiles!$A$45:$I$59, 7, FALSE), perc_95, VLOOKUP(M$2, Percentiles!$A$45:$I$59, 8, FALSE), perc_85, perc_75 + (perc_90 - perc_75) * (2/3), converted_stat, '2K_Ratings'!M844, IF(bbgm_stat &gt;= perc_95, converted_stat * 3, IF(bbgm_stat &gt;= perc_90, converted_stat * 2, IF(bbgm_stat &gt;= perc_85, converted_stat * 1.5, converted_stat)))))</f>
        <v/>
      </c>
      <c r="N844" s="30" t="str">
        <f t="array" ref="N844">IF($A844="", "", LET(bbgm_stat, INDEX(Players!$A843:$P843, MATCH(N$2, Players!$A$1:$P$1, 0)), perc_75, VLOOKUP(N$2, Percentiles!$A$45:$I$59, 6, FALSE), perc_90, VLOOKUP(N$2, Percentiles!$A$45:$I$59, 7, FALSE), perc_95, VLOOKUP(N$2, Percentiles!$A$45:$I$59, 8, FALSE), perc_85, perc_75 + (perc_90 - perc_75) * (2/3), converted_stat, '2K_Ratings'!N844, IF(bbgm_stat &gt;= perc_95, converted_stat * 3, IF(bbgm_stat &gt;= perc_90, converted_stat * 2, IF(bbgm_stat &gt;= perc_85, converted_stat * 1.5, converted_stat)))))</f>
        <v/>
      </c>
      <c r="O844" s="30" t="str">
        <f t="array" ref="O844">IF($A844="", "", LET(bbgm_stat, INDEX(Players!$A843:$P843, MATCH(O$2, Players!$A$1:$P$1, 0)), perc_75, VLOOKUP(O$2, Percentiles!$A$45:$I$59, 6, FALSE), perc_90, VLOOKUP(O$2, Percentiles!$A$45:$I$59, 7, FALSE), perc_95, VLOOKUP(O$2, Percentiles!$A$45:$I$59, 8, FALSE), perc_85, perc_75 + (perc_90 - perc_75) * (2/3), converted_stat, '2K_Ratings'!O844, IF(bbgm_stat &gt;= perc_95, converted_stat * 3, IF(bbgm_stat &gt;= perc_90, converted_stat * 2, IF(bbgm_stat &gt;= perc_85, converted_stat * 1.5, converted_stat)))))</f>
        <v/>
      </c>
      <c r="P844" s="30" t="str">
        <f t="array" ref="P844">IF($A844="", "", LET(bbgm_stat, INDEX(Players!$A843:$P843, MATCH(P$2, Players!$A$1:$P$1, 0)), perc_75, VLOOKUP(P$2, Percentiles!$A$45:$I$59, 6, FALSE), perc_90, VLOOKUP(P$2, Percentiles!$A$45:$I$59, 7, FALSE), perc_95, VLOOKUP(P$2, Percentiles!$A$45:$I$59, 8, FALSE), perc_85, perc_75 + (perc_90 - perc_75) * (2/3), converted_stat, '2K_Ratings'!P844, IF(bbgm_stat &gt;= perc_95, converted_stat * 3, IF(bbgm_stat &gt;= perc_90, converted_stat * 2, IF(bbgm_stat &gt;= perc_85, converted_stat * 1.5, converted_stat)))))</f>
        <v/>
      </c>
      <c r="Q844" s="30" t="str">
        <f t="array" ref="Q844">IF($A844="", "", LET(bbgm_stat, INDEX(Players!$A843:$P843, MATCH(Q$2, Players!$A$1:$P$1, 0)), perc_75, VLOOKUP(Q$2, Percentiles!$A$45:$I$59, 6, FALSE), perc_90, VLOOKUP(Q$2, Percentiles!$A$45:$I$59, 7, FALSE), perc_95, VLOOKUP(Q$2, Percentiles!$A$45:$I$59, 8, FALSE), perc_85, perc_75 + (perc_90 - perc_75) * (2/3), converted_stat, '2K_Ratings'!Q844, IF(bbgm_stat &gt;= perc_95, converted_stat * 3, IF(bbgm_stat &gt;= perc_90, converted_stat * 2, IF(bbgm_stat &gt;= perc_85, converted_stat * 1.5, converted_stat)))))</f>
        <v/>
      </c>
      <c r="R844" s="30" t="str">
        <f t="array" ref="R844">IF($A844="", "", LET(bbgm_stat, INDEX(Players!$A843:$P843, MATCH(R$2, Players!$A$1:$P$1, 0)), perc_75, VLOOKUP(R$2, Percentiles!$A$45:$I$59, 6, FALSE), perc_90, VLOOKUP(R$2, Percentiles!$A$45:$I$59, 7, FALSE), perc_95, VLOOKUP(R$2, Percentiles!$A$45:$I$59, 8, FALSE), perc_85, perc_75 + (perc_90 - perc_75) * (2/3), converted_stat, '2K_Ratings'!R844, IF(bbgm_stat &gt;= perc_95, converted_stat * 3, IF(bbgm_stat &gt;= perc_90, converted_stat * 2, IF(bbgm_stat &gt;= perc_85, converted_stat * 1.5, converted_stat)))))</f>
        <v/>
      </c>
      <c r="S844" s="30" t="str">
        <f t="array" ref="S844">IF($A844="", "", LET(bbgm_stat, INDEX(Players!$A843:$P843, MATCH(S$2, Players!$A$1:$P$1, 0)), perc_75, VLOOKUP(S$2, Percentiles!$A$45:$I$59, 6, FALSE), perc_90, VLOOKUP(S$2, Percentiles!$A$45:$I$59, 7, FALSE), perc_95, VLOOKUP(S$2, Percentiles!$A$45:$I$59, 8, FALSE), perc_85, perc_75 + (perc_90 - perc_75) * (2/3), converted_stat, '2K_Ratings'!S844, IF(bbgm_stat &gt;= perc_95, converted_stat * 3, IF(bbgm_stat &gt;= perc_90, converted_stat * 2, IF(bbgm_stat &gt;= perc_85, converted_stat * 1.5, converted_stat)))))</f>
        <v/>
      </c>
      <c r="T844" s="30" t="str">
        <f t="array" ref="T844">IF($A844="", "", LET(bbgm_stat, INDEX(Players!$A843:$P843, MATCH(T$2, Players!$A$1:$P$1, 0)), perc_75, VLOOKUP(T$2, Percentiles!$A$45:$I$59, 6, FALSE), perc_90, VLOOKUP(T$2, Percentiles!$A$45:$I$59, 7, FALSE), perc_95, VLOOKUP(T$2, Percentiles!$A$45:$I$59, 8, FALSE), perc_85, perc_75 + (perc_90 - perc_75) * (2/3), converted_stat, '2K_Ratings'!T844, IF(bbgm_stat &gt;= perc_95, converted_stat * 3, IF(bbgm_stat &gt;= perc_90, converted_stat * 2, IF(bbgm_stat &gt;= perc_85, converted_stat * 1.5, converted_stat)))))</f>
        <v/>
      </c>
      <c r="U844" s="30" t="str">
        <f t="array" ref="U844">IF($A844="", "", LET(bbgm_stat, INDEX(Players!$A843:$P843, MATCH(U$2, Players!$A$1:$P$1, 0)), perc_75, VLOOKUP(U$2, Percentiles!$A$45:$I$59, 6, FALSE), perc_90, VLOOKUP(U$2, Percentiles!$A$45:$I$59, 7, FALSE), perc_95, VLOOKUP(U$2, Percentiles!$A$45:$I$59, 8, FALSE), perc_85, perc_75 + (perc_90 - perc_75) * (2/3), converted_stat, '2K_Ratings'!U844, IF(bbgm_stat &gt;= perc_95, converted_stat * 3, IF(bbgm_stat &gt;= perc_90, converted_stat * 2, IF(bbgm_stat &gt;= perc_85, converted_stat * 1.5, converted_stat)))))</f>
        <v/>
      </c>
      <c r="V844" s="30" t="str">
        <f t="array" ref="V844">IF($A844="", "", LET(bbgm_stat, INDEX(Players!$A843:$P843, MATCH(V$2, Players!$A$1:$P$1, 0)), perc_75, VLOOKUP(V$2, Percentiles!$A$45:$I$59, 6, FALSE), perc_90, VLOOKUP(V$2, Percentiles!$A$45:$I$59, 7, FALSE), perc_95, VLOOKUP(V$2, Percentiles!$A$45:$I$59, 8, FALSE), perc_85, perc_75 + (perc_90 - perc_75) * (2/3), converted_stat, '2K_Ratings'!V844, IF(bbgm_stat &gt;= perc_95, converted_stat * 3, IF(bbgm_stat &gt;= perc_90, converted_stat * 2, IF(bbgm_stat &gt;= perc_85, converted_stat * 1.5, converted_stat)))))</f>
        <v/>
      </c>
      <c r="W844" s="30" t="str">
        <f t="array" ref="W844">IF($A844="", "", LET(bbgm_stat, INDEX(Players!$A843:$P843, MATCH(W$2, Players!$A$1:$P$1, 0)), perc_75, VLOOKUP(W$2, Percentiles!$A$45:$I$59, 6, FALSE), perc_90, VLOOKUP(W$2, Percentiles!$A$45:$I$59, 7, FALSE), perc_95, VLOOKUP(W$2, Percentiles!$A$45:$I$59, 8, FALSE), perc_85, perc_75 + (perc_90 - perc_75) * (2/3), converted_stat, '2K_Ratings'!W844, IF(bbgm_stat &gt;= perc_95, converted_stat * 3, IF(bbgm_stat &gt;= perc_90, converted_stat * 2, IF(bbgm_stat &gt;= perc_85, converted_stat * 1.5, converted_stat)))))</f>
        <v/>
      </c>
    </row>
    <row r="845">
      <c r="A845" s="30"/>
      <c r="B845" s="30" t="str">
        <f t="array" ref="B845">IF($A845="", "", LET(bbgm_stat, INDEX(Players!$A844:$P844, MATCH(B$2, Players!$A$1:$P$1, 0)), perc_75, VLOOKUP(B$2, Percentiles!$A$45:$I$59, 6, FALSE), perc_90, VLOOKUP(B$2, Percentiles!$A$45:$I$59, 7, FALSE), perc_95, VLOOKUP(B$2, Percentiles!$A$45:$I$59, 8, FALSE), perc_85, perc_75 + (perc_90 - perc_75) * (2/3), converted_stat, '2K_Ratings'!B845, IF(bbgm_stat &gt;= perc_95, converted_stat * 3, IF(bbgm_stat &gt;= perc_90, converted_stat * 2, IF(bbgm_stat &gt;= perc_85, converted_stat * 1.5, converted_stat)))))</f>
        <v/>
      </c>
      <c r="C845" s="30" t="str">
        <f t="array" ref="C845">IF($A845="", "", LET(bbgm_stat, INDEX(Players!$A844:$P844, MATCH(C$2, Players!$A$1:$P$1, 0)), perc_75, VLOOKUP(C$2, Percentiles!$A$45:$I$59, 6, FALSE), perc_90, VLOOKUP(C$2, Percentiles!$A$45:$I$59, 7, FALSE), perc_95, VLOOKUP(C$2, Percentiles!$A$45:$I$59, 8, FALSE), perc_85, perc_75 + (perc_90 - perc_75) * (2/3), converted_stat, '2K_Ratings'!C845, IF(bbgm_stat &gt;= perc_95, converted_stat * 3, IF(bbgm_stat &gt;= perc_90, converted_stat * 2, IF(bbgm_stat &gt;= perc_85, converted_stat * 1.5, converted_stat)))))</f>
        <v/>
      </c>
      <c r="D845" s="30" t="str">
        <f t="array" ref="D845">IF($A845="", "", LET(bbgm_stat, INDEX(Players!$A844:$P844, MATCH(D$2, Players!$A$1:$P$1, 0)), perc_75, VLOOKUP(D$2, Percentiles!$A$45:$I$59, 6, FALSE), perc_90, VLOOKUP(D$2, Percentiles!$A$45:$I$59, 7, FALSE), perc_95, VLOOKUP(D$2, Percentiles!$A$45:$I$59, 8, FALSE), perc_85, perc_75 + (perc_90 - perc_75) * (2/3), converted_stat, '2K_Ratings'!D845, IF(bbgm_stat &gt;= perc_95, converted_stat * 3, IF(bbgm_stat &gt;= perc_90, converted_stat * 2, IF(bbgm_stat &gt;= perc_85, converted_stat * 1.5, converted_stat)))))</f>
        <v/>
      </c>
      <c r="E845" s="30" t="str">
        <f t="array" ref="E845">IF($A845="", "", LET(bbgm_stat, INDEX(Players!$A844:$P844, MATCH(E$2, Players!$A$1:$P$1, 0)), perc_75, VLOOKUP(E$2, Percentiles!$A$45:$I$59, 6, FALSE), perc_90, VLOOKUP(E$2, Percentiles!$A$45:$I$59, 7, FALSE), perc_95, VLOOKUP(E$2, Percentiles!$A$45:$I$59, 8, FALSE), perc_85, perc_75 + (perc_90 - perc_75) * (2/3), converted_stat, '2K_Ratings'!E845, IF(bbgm_stat &gt;= perc_95, converted_stat * 3, IF(bbgm_stat &gt;= perc_90, converted_stat * 2, IF(bbgm_stat &gt;= perc_85, converted_stat * 1.5, converted_stat)))))</f>
        <v/>
      </c>
      <c r="F845" s="30" t="str">
        <f t="array" ref="F845">IF($A845="", "", LET(bbgm_stat, INDEX(Players!$A844:$P844, MATCH(F$2, Players!$A$1:$P$1, 0)), perc_75, VLOOKUP(F$2, Percentiles!$A$45:$I$59, 6, FALSE), perc_90, VLOOKUP(F$2, Percentiles!$A$45:$I$59, 7, FALSE), perc_95, VLOOKUP(F$2, Percentiles!$A$45:$I$59, 8, FALSE), perc_85, perc_75 + (perc_90 - perc_75) * (2/3), converted_stat, '2K_Ratings'!F845, IF(bbgm_stat &gt;= perc_95, converted_stat * 3, IF(bbgm_stat &gt;= perc_90, converted_stat * 2, IF(bbgm_stat &gt;= perc_85, converted_stat * 1.5, converted_stat)))))</f>
        <v/>
      </c>
      <c r="G845" s="30" t="str">
        <f t="array" ref="G845">IF($A845="", "", LET(bbgm_stat, INDEX(Players!$A844:$P844, MATCH(G$2, Players!$A$1:$P$1, 0)), perc_75, VLOOKUP(G$2, Percentiles!$A$45:$I$59, 6, FALSE), perc_90, VLOOKUP(G$2, Percentiles!$A$45:$I$59, 7, FALSE), perc_95, VLOOKUP(G$2, Percentiles!$A$45:$I$59, 8, FALSE), perc_85, perc_75 + (perc_90 - perc_75) * (2/3), converted_stat, '2K_Ratings'!G845, IF(bbgm_stat &gt;= perc_95, converted_stat * 3, IF(bbgm_stat &gt;= perc_90, converted_stat * 2, IF(bbgm_stat &gt;= perc_85, converted_stat * 1.5, converted_stat)))))</f>
        <v/>
      </c>
      <c r="H845" s="30" t="str">
        <f t="array" ref="H845">IF($A845="", "", LET(bbgm_stat, INDEX(Players!$A844:$P844, MATCH(H$2, Players!$A$1:$P$1, 0)), perc_75, VLOOKUP(H$2, Percentiles!$A$45:$I$59, 6, FALSE), perc_90, VLOOKUP(H$2, Percentiles!$A$45:$I$59, 7, FALSE), perc_95, VLOOKUP(H$2, Percentiles!$A$45:$I$59, 8, FALSE), perc_85, perc_75 + (perc_90 - perc_75) * (2/3), converted_stat, '2K_Ratings'!H845, IF(bbgm_stat &gt;= perc_95, converted_stat * 3, IF(bbgm_stat &gt;= perc_90, converted_stat * 2, IF(bbgm_stat &gt;= perc_85, converted_stat * 1.5, converted_stat)))))</f>
        <v/>
      </c>
      <c r="I845" s="30" t="str">
        <f t="array" ref="I845">IF($A845="", "", LET(bbgm_stat, INDEX(Players!$A844:$P844, MATCH(I$2, Players!$A$1:$P$1, 0)), perc_75, VLOOKUP(I$2, Percentiles!$A$45:$I$59, 6, FALSE), perc_90, VLOOKUP(I$2, Percentiles!$A$45:$I$59, 7, FALSE), perc_95, VLOOKUP(I$2, Percentiles!$A$45:$I$59, 8, FALSE), perc_85, perc_75 + (perc_90 - perc_75) * (2/3), converted_stat, '2K_Ratings'!I845, IF(bbgm_stat &gt;= perc_95, converted_stat * 3, IF(bbgm_stat &gt;= perc_90, converted_stat * 2, IF(bbgm_stat &gt;= perc_85, converted_stat * 1.5, converted_stat)))))</f>
        <v/>
      </c>
      <c r="J845" s="30" t="str">
        <f t="array" ref="J845">IF($A845="", "", LET(bbgm_stat, INDEX(Players!$A844:$P844, MATCH(J$2, Players!$A$1:$P$1, 0)), perc_75, VLOOKUP(J$2, Percentiles!$A$45:$I$59, 6, FALSE), perc_90, VLOOKUP(J$2, Percentiles!$A$45:$I$59, 7, FALSE), perc_95, VLOOKUP(J$2, Percentiles!$A$45:$I$59, 8, FALSE), perc_85, perc_75 + (perc_90 - perc_75) * (2/3), converted_stat, '2K_Ratings'!J845, IF(bbgm_stat &gt;= perc_95, converted_stat * 3, IF(bbgm_stat &gt;= perc_90, converted_stat * 2, IF(bbgm_stat &gt;= perc_85, converted_stat * 1.5, converted_stat)))))</f>
        <v/>
      </c>
      <c r="K845" s="30" t="str">
        <f t="array" ref="K845">IF($A845="", "", LET(bbgm_stat, INDEX(Players!$A844:$P844, MATCH(K$2, Players!$A$1:$P$1, 0)), perc_75, VLOOKUP(K$2, Percentiles!$A$45:$I$59, 6, FALSE), perc_90, VLOOKUP(K$2, Percentiles!$A$45:$I$59, 7, FALSE), perc_95, VLOOKUP(K$2, Percentiles!$A$45:$I$59, 8, FALSE), perc_85, perc_75 + (perc_90 - perc_75) * (2/3), converted_stat, '2K_Ratings'!K845, IF(bbgm_stat &gt;= perc_95, converted_stat * 3, IF(bbgm_stat &gt;= perc_90, converted_stat * 2, IF(bbgm_stat &gt;= perc_85, converted_stat * 1.5, converted_stat)))))</f>
        <v/>
      </c>
      <c r="L845" s="30" t="str">
        <f t="array" ref="L845">IF($A845="", "", LET(bbgm_stat, INDEX(Players!$A844:$P844, MATCH(L$2, Players!$A$1:$P$1, 0)), perc_75, VLOOKUP(L$2, Percentiles!$A$45:$I$59, 6, FALSE), perc_90, VLOOKUP(L$2, Percentiles!$A$45:$I$59, 7, FALSE), perc_95, VLOOKUP(L$2, Percentiles!$A$45:$I$59, 8, FALSE), perc_85, perc_75 + (perc_90 - perc_75) * (2/3), converted_stat, '2K_Ratings'!L845, IF(bbgm_stat &gt;= perc_95, converted_stat * 3, IF(bbgm_stat &gt;= perc_90, converted_stat * 2, IF(bbgm_stat &gt;= perc_85, converted_stat * 1.5, converted_stat)))))</f>
        <v/>
      </c>
      <c r="M845" s="30" t="str">
        <f t="array" ref="M845">IF($A845="", "", LET(bbgm_stat, INDEX(Players!$A844:$P844, MATCH(M$2, Players!$A$1:$P$1, 0)), perc_75, VLOOKUP(M$2, Percentiles!$A$45:$I$59, 6, FALSE), perc_90, VLOOKUP(M$2, Percentiles!$A$45:$I$59, 7, FALSE), perc_95, VLOOKUP(M$2, Percentiles!$A$45:$I$59, 8, FALSE), perc_85, perc_75 + (perc_90 - perc_75) * (2/3), converted_stat, '2K_Ratings'!M845, IF(bbgm_stat &gt;= perc_95, converted_stat * 3, IF(bbgm_stat &gt;= perc_90, converted_stat * 2, IF(bbgm_stat &gt;= perc_85, converted_stat * 1.5, converted_stat)))))</f>
        <v/>
      </c>
      <c r="N845" s="30" t="str">
        <f t="array" ref="N845">IF($A845="", "", LET(bbgm_stat, INDEX(Players!$A844:$P844, MATCH(N$2, Players!$A$1:$P$1, 0)), perc_75, VLOOKUP(N$2, Percentiles!$A$45:$I$59, 6, FALSE), perc_90, VLOOKUP(N$2, Percentiles!$A$45:$I$59, 7, FALSE), perc_95, VLOOKUP(N$2, Percentiles!$A$45:$I$59, 8, FALSE), perc_85, perc_75 + (perc_90 - perc_75) * (2/3), converted_stat, '2K_Ratings'!N845, IF(bbgm_stat &gt;= perc_95, converted_stat * 3, IF(bbgm_stat &gt;= perc_90, converted_stat * 2, IF(bbgm_stat &gt;= perc_85, converted_stat * 1.5, converted_stat)))))</f>
        <v/>
      </c>
      <c r="O845" s="30" t="str">
        <f t="array" ref="O845">IF($A845="", "", LET(bbgm_stat, INDEX(Players!$A844:$P844, MATCH(O$2, Players!$A$1:$P$1, 0)), perc_75, VLOOKUP(O$2, Percentiles!$A$45:$I$59, 6, FALSE), perc_90, VLOOKUP(O$2, Percentiles!$A$45:$I$59, 7, FALSE), perc_95, VLOOKUP(O$2, Percentiles!$A$45:$I$59, 8, FALSE), perc_85, perc_75 + (perc_90 - perc_75) * (2/3), converted_stat, '2K_Ratings'!O845, IF(bbgm_stat &gt;= perc_95, converted_stat * 3, IF(bbgm_stat &gt;= perc_90, converted_stat * 2, IF(bbgm_stat &gt;= perc_85, converted_stat * 1.5, converted_stat)))))</f>
        <v/>
      </c>
      <c r="P845" s="30" t="str">
        <f t="array" ref="P845">IF($A845="", "", LET(bbgm_stat, INDEX(Players!$A844:$P844, MATCH(P$2, Players!$A$1:$P$1, 0)), perc_75, VLOOKUP(P$2, Percentiles!$A$45:$I$59, 6, FALSE), perc_90, VLOOKUP(P$2, Percentiles!$A$45:$I$59, 7, FALSE), perc_95, VLOOKUP(P$2, Percentiles!$A$45:$I$59, 8, FALSE), perc_85, perc_75 + (perc_90 - perc_75) * (2/3), converted_stat, '2K_Ratings'!P845, IF(bbgm_stat &gt;= perc_95, converted_stat * 3, IF(bbgm_stat &gt;= perc_90, converted_stat * 2, IF(bbgm_stat &gt;= perc_85, converted_stat * 1.5, converted_stat)))))</f>
        <v/>
      </c>
      <c r="Q845" s="30" t="str">
        <f t="array" ref="Q845">IF($A845="", "", LET(bbgm_stat, INDEX(Players!$A844:$P844, MATCH(Q$2, Players!$A$1:$P$1, 0)), perc_75, VLOOKUP(Q$2, Percentiles!$A$45:$I$59, 6, FALSE), perc_90, VLOOKUP(Q$2, Percentiles!$A$45:$I$59, 7, FALSE), perc_95, VLOOKUP(Q$2, Percentiles!$A$45:$I$59, 8, FALSE), perc_85, perc_75 + (perc_90 - perc_75) * (2/3), converted_stat, '2K_Ratings'!Q845, IF(bbgm_stat &gt;= perc_95, converted_stat * 3, IF(bbgm_stat &gt;= perc_90, converted_stat * 2, IF(bbgm_stat &gt;= perc_85, converted_stat * 1.5, converted_stat)))))</f>
        <v/>
      </c>
      <c r="R845" s="30" t="str">
        <f t="array" ref="R845">IF($A845="", "", LET(bbgm_stat, INDEX(Players!$A844:$P844, MATCH(R$2, Players!$A$1:$P$1, 0)), perc_75, VLOOKUP(R$2, Percentiles!$A$45:$I$59, 6, FALSE), perc_90, VLOOKUP(R$2, Percentiles!$A$45:$I$59, 7, FALSE), perc_95, VLOOKUP(R$2, Percentiles!$A$45:$I$59, 8, FALSE), perc_85, perc_75 + (perc_90 - perc_75) * (2/3), converted_stat, '2K_Ratings'!R845, IF(bbgm_stat &gt;= perc_95, converted_stat * 3, IF(bbgm_stat &gt;= perc_90, converted_stat * 2, IF(bbgm_stat &gt;= perc_85, converted_stat * 1.5, converted_stat)))))</f>
        <v/>
      </c>
      <c r="S845" s="30" t="str">
        <f t="array" ref="S845">IF($A845="", "", LET(bbgm_stat, INDEX(Players!$A844:$P844, MATCH(S$2, Players!$A$1:$P$1, 0)), perc_75, VLOOKUP(S$2, Percentiles!$A$45:$I$59, 6, FALSE), perc_90, VLOOKUP(S$2, Percentiles!$A$45:$I$59, 7, FALSE), perc_95, VLOOKUP(S$2, Percentiles!$A$45:$I$59, 8, FALSE), perc_85, perc_75 + (perc_90 - perc_75) * (2/3), converted_stat, '2K_Ratings'!S845, IF(bbgm_stat &gt;= perc_95, converted_stat * 3, IF(bbgm_stat &gt;= perc_90, converted_stat * 2, IF(bbgm_stat &gt;= perc_85, converted_stat * 1.5, converted_stat)))))</f>
        <v/>
      </c>
      <c r="T845" s="30" t="str">
        <f t="array" ref="T845">IF($A845="", "", LET(bbgm_stat, INDEX(Players!$A844:$P844, MATCH(T$2, Players!$A$1:$P$1, 0)), perc_75, VLOOKUP(T$2, Percentiles!$A$45:$I$59, 6, FALSE), perc_90, VLOOKUP(T$2, Percentiles!$A$45:$I$59, 7, FALSE), perc_95, VLOOKUP(T$2, Percentiles!$A$45:$I$59, 8, FALSE), perc_85, perc_75 + (perc_90 - perc_75) * (2/3), converted_stat, '2K_Ratings'!T845, IF(bbgm_stat &gt;= perc_95, converted_stat * 3, IF(bbgm_stat &gt;= perc_90, converted_stat * 2, IF(bbgm_stat &gt;= perc_85, converted_stat * 1.5, converted_stat)))))</f>
        <v/>
      </c>
      <c r="U845" s="30" t="str">
        <f t="array" ref="U845">IF($A845="", "", LET(bbgm_stat, INDEX(Players!$A844:$P844, MATCH(U$2, Players!$A$1:$P$1, 0)), perc_75, VLOOKUP(U$2, Percentiles!$A$45:$I$59, 6, FALSE), perc_90, VLOOKUP(U$2, Percentiles!$A$45:$I$59, 7, FALSE), perc_95, VLOOKUP(U$2, Percentiles!$A$45:$I$59, 8, FALSE), perc_85, perc_75 + (perc_90 - perc_75) * (2/3), converted_stat, '2K_Ratings'!U845, IF(bbgm_stat &gt;= perc_95, converted_stat * 3, IF(bbgm_stat &gt;= perc_90, converted_stat * 2, IF(bbgm_stat &gt;= perc_85, converted_stat * 1.5, converted_stat)))))</f>
        <v/>
      </c>
      <c r="V845" s="30" t="str">
        <f t="array" ref="V845">IF($A845="", "", LET(bbgm_stat, INDEX(Players!$A844:$P844, MATCH(V$2, Players!$A$1:$P$1, 0)), perc_75, VLOOKUP(V$2, Percentiles!$A$45:$I$59, 6, FALSE), perc_90, VLOOKUP(V$2, Percentiles!$A$45:$I$59, 7, FALSE), perc_95, VLOOKUP(V$2, Percentiles!$A$45:$I$59, 8, FALSE), perc_85, perc_75 + (perc_90 - perc_75) * (2/3), converted_stat, '2K_Ratings'!V845, IF(bbgm_stat &gt;= perc_95, converted_stat * 3, IF(bbgm_stat &gt;= perc_90, converted_stat * 2, IF(bbgm_stat &gt;= perc_85, converted_stat * 1.5, converted_stat)))))</f>
        <v/>
      </c>
      <c r="W845" s="30" t="str">
        <f t="array" ref="W845">IF($A845="", "", LET(bbgm_stat, INDEX(Players!$A844:$P844, MATCH(W$2, Players!$A$1:$P$1, 0)), perc_75, VLOOKUP(W$2, Percentiles!$A$45:$I$59, 6, FALSE), perc_90, VLOOKUP(W$2, Percentiles!$A$45:$I$59, 7, FALSE), perc_95, VLOOKUP(W$2, Percentiles!$A$45:$I$59, 8, FALSE), perc_85, perc_75 + (perc_90 - perc_75) * (2/3), converted_stat, '2K_Ratings'!W845, IF(bbgm_stat &gt;= perc_95, converted_stat * 3, IF(bbgm_stat &gt;= perc_90, converted_stat * 2, IF(bbgm_stat &gt;= perc_85, converted_stat * 1.5, converted_stat)))))</f>
        <v/>
      </c>
    </row>
    <row r="846">
      <c r="A846" s="30"/>
      <c r="B846" s="30" t="str">
        <f t="array" ref="B846">IF($A846="", "", LET(bbgm_stat, INDEX(Players!$A845:$P845, MATCH(B$2, Players!$A$1:$P$1, 0)), perc_75, VLOOKUP(B$2, Percentiles!$A$45:$I$59, 6, FALSE), perc_90, VLOOKUP(B$2, Percentiles!$A$45:$I$59, 7, FALSE), perc_95, VLOOKUP(B$2, Percentiles!$A$45:$I$59, 8, FALSE), perc_85, perc_75 + (perc_90 - perc_75) * (2/3), converted_stat, '2K_Ratings'!B846, IF(bbgm_stat &gt;= perc_95, converted_stat * 3, IF(bbgm_stat &gt;= perc_90, converted_stat * 2, IF(bbgm_stat &gt;= perc_85, converted_stat * 1.5, converted_stat)))))</f>
        <v/>
      </c>
      <c r="C846" s="30" t="str">
        <f t="array" ref="C846">IF($A846="", "", LET(bbgm_stat, INDEX(Players!$A845:$P845, MATCH(C$2, Players!$A$1:$P$1, 0)), perc_75, VLOOKUP(C$2, Percentiles!$A$45:$I$59, 6, FALSE), perc_90, VLOOKUP(C$2, Percentiles!$A$45:$I$59, 7, FALSE), perc_95, VLOOKUP(C$2, Percentiles!$A$45:$I$59, 8, FALSE), perc_85, perc_75 + (perc_90 - perc_75) * (2/3), converted_stat, '2K_Ratings'!C846, IF(bbgm_stat &gt;= perc_95, converted_stat * 3, IF(bbgm_stat &gt;= perc_90, converted_stat * 2, IF(bbgm_stat &gt;= perc_85, converted_stat * 1.5, converted_stat)))))</f>
        <v/>
      </c>
      <c r="D846" s="30" t="str">
        <f t="array" ref="D846">IF($A846="", "", LET(bbgm_stat, INDEX(Players!$A845:$P845, MATCH(D$2, Players!$A$1:$P$1, 0)), perc_75, VLOOKUP(D$2, Percentiles!$A$45:$I$59, 6, FALSE), perc_90, VLOOKUP(D$2, Percentiles!$A$45:$I$59, 7, FALSE), perc_95, VLOOKUP(D$2, Percentiles!$A$45:$I$59, 8, FALSE), perc_85, perc_75 + (perc_90 - perc_75) * (2/3), converted_stat, '2K_Ratings'!D846, IF(bbgm_stat &gt;= perc_95, converted_stat * 3, IF(bbgm_stat &gt;= perc_90, converted_stat * 2, IF(bbgm_stat &gt;= perc_85, converted_stat * 1.5, converted_stat)))))</f>
        <v/>
      </c>
      <c r="E846" s="30" t="str">
        <f t="array" ref="E846">IF($A846="", "", LET(bbgm_stat, INDEX(Players!$A845:$P845, MATCH(E$2, Players!$A$1:$P$1, 0)), perc_75, VLOOKUP(E$2, Percentiles!$A$45:$I$59, 6, FALSE), perc_90, VLOOKUP(E$2, Percentiles!$A$45:$I$59, 7, FALSE), perc_95, VLOOKUP(E$2, Percentiles!$A$45:$I$59, 8, FALSE), perc_85, perc_75 + (perc_90 - perc_75) * (2/3), converted_stat, '2K_Ratings'!E846, IF(bbgm_stat &gt;= perc_95, converted_stat * 3, IF(bbgm_stat &gt;= perc_90, converted_stat * 2, IF(bbgm_stat &gt;= perc_85, converted_stat * 1.5, converted_stat)))))</f>
        <v/>
      </c>
      <c r="F846" s="30" t="str">
        <f t="array" ref="F846">IF($A846="", "", LET(bbgm_stat, INDEX(Players!$A845:$P845, MATCH(F$2, Players!$A$1:$P$1, 0)), perc_75, VLOOKUP(F$2, Percentiles!$A$45:$I$59, 6, FALSE), perc_90, VLOOKUP(F$2, Percentiles!$A$45:$I$59, 7, FALSE), perc_95, VLOOKUP(F$2, Percentiles!$A$45:$I$59, 8, FALSE), perc_85, perc_75 + (perc_90 - perc_75) * (2/3), converted_stat, '2K_Ratings'!F846, IF(bbgm_stat &gt;= perc_95, converted_stat * 3, IF(bbgm_stat &gt;= perc_90, converted_stat * 2, IF(bbgm_stat &gt;= perc_85, converted_stat * 1.5, converted_stat)))))</f>
        <v/>
      </c>
      <c r="G846" s="30" t="str">
        <f t="array" ref="G846">IF($A846="", "", LET(bbgm_stat, INDEX(Players!$A845:$P845, MATCH(G$2, Players!$A$1:$P$1, 0)), perc_75, VLOOKUP(G$2, Percentiles!$A$45:$I$59, 6, FALSE), perc_90, VLOOKUP(G$2, Percentiles!$A$45:$I$59, 7, FALSE), perc_95, VLOOKUP(G$2, Percentiles!$A$45:$I$59, 8, FALSE), perc_85, perc_75 + (perc_90 - perc_75) * (2/3), converted_stat, '2K_Ratings'!G846, IF(bbgm_stat &gt;= perc_95, converted_stat * 3, IF(bbgm_stat &gt;= perc_90, converted_stat * 2, IF(bbgm_stat &gt;= perc_85, converted_stat * 1.5, converted_stat)))))</f>
        <v/>
      </c>
      <c r="H846" s="30" t="str">
        <f t="array" ref="H846">IF($A846="", "", LET(bbgm_stat, INDEX(Players!$A845:$P845, MATCH(H$2, Players!$A$1:$P$1, 0)), perc_75, VLOOKUP(H$2, Percentiles!$A$45:$I$59, 6, FALSE), perc_90, VLOOKUP(H$2, Percentiles!$A$45:$I$59, 7, FALSE), perc_95, VLOOKUP(H$2, Percentiles!$A$45:$I$59, 8, FALSE), perc_85, perc_75 + (perc_90 - perc_75) * (2/3), converted_stat, '2K_Ratings'!H846, IF(bbgm_stat &gt;= perc_95, converted_stat * 3, IF(bbgm_stat &gt;= perc_90, converted_stat * 2, IF(bbgm_stat &gt;= perc_85, converted_stat * 1.5, converted_stat)))))</f>
        <v/>
      </c>
      <c r="I846" s="30" t="str">
        <f t="array" ref="I846">IF($A846="", "", LET(bbgm_stat, INDEX(Players!$A845:$P845, MATCH(I$2, Players!$A$1:$P$1, 0)), perc_75, VLOOKUP(I$2, Percentiles!$A$45:$I$59, 6, FALSE), perc_90, VLOOKUP(I$2, Percentiles!$A$45:$I$59, 7, FALSE), perc_95, VLOOKUP(I$2, Percentiles!$A$45:$I$59, 8, FALSE), perc_85, perc_75 + (perc_90 - perc_75) * (2/3), converted_stat, '2K_Ratings'!I846, IF(bbgm_stat &gt;= perc_95, converted_stat * 3, IF(bbgm_stat &gt;= perc_90, converted_stat * 2, IF(bbgm_stat &gt;= perc_85, converted_stat * 1.5, converted_stat)))))</f>
        <v/>
      </c>
      <c r="J846" s="30" t="str">
        <f t="array" ref="J846">IF($A846="", "", LET(bbgm_stat, INDEX(Players!$A845:$P845, MATCH(J$2, Players!$A$1:$P$1, 0)), perc_75, VLOOKUP(J$2, Percentiles!$A$45:$I$59, 6, FALSE), perc_90, VLOOKUP(J$2, Percentiles!$A$45:$I$59, 7, FALSE), perc_95, VLOOKUP(J$2, Percentiles!$A$45:$I$59, 8, FALSE), perc_85, perc_75 + (perc_90 - perc_75) * (2/3), converted_stat, '2K_Ratings'!J846, IF(bbgm_stat &gt;= perc_95, converted_stat * 3, IF(bbgm_stat &gt;= perc_90, converted_stat * 2, IF(bbgm_stat &gt;= perc_85, converted_stat * 1.5, converted_stat)))))</f>
        <v/>
      </c>
      <c r="K846" s="30" t="str">
        <f t="array" ref="K846">IF($A846="", "", LET(bbgm_stat, INDEX(Players!$A845:$P845, MATCH(K$2, Players!$A$1:$P$1, 0)), perc_75, VLOOKUP(K$2, Percentiles!$A$45:$I$59, 6, FALSE), perc_90, VLOOKUP(K$2, Percentiles!$A$45:$I$59, 7, FALSE), perc_95, VLOOKUP(K$2, Percentiles!$A$45:$I$59, 8, FALSE), perc_85, perc_75 + (perc_90 - perc_75) * (2/3), converted_stat, '2K_Ratings'!K846, IF(bbgm_stat &gt;= perc_95, converted_stat * 3, IF(bbgm_stat &gt;= perc_90, converted_stat * 2, IF(bbgm_stat &gt;= perc_85, converted_stat * 1.5, converted_stat)))))</f>
        <v/>
      </c>
      <c r="L846" s="30" t="str">
        <f t="array" ref="L846">IF($A846="", "", LET(bbgm_stat, INDEX(Players!$A845:$P845, MATCH(L$2, Players!$A$1:$P$1, 0)), perc_75, VLOOKUP(L$2, Percentiles!$A$45:$I$59, 6, FALSE), perc_90, VLOOKUP(L$2, Percentiles!$A$45:$I$59, 7, FALSE), perc_95, VLOOKUP(L$2, Percentiles!$A$45:$I$59, 8, FALSE), perc_85, perc_75 + (perc_90 - perc_75) * (2/3), converted_stat, '2K_Ratings'!L846, IF(bbgm_stat &gt;= perc_95, converted_stat * 3, IF(bbgm_stat &gt;= perc_90, converted_stat * 2, IF(bbgm_stat &gt;= perc_85, converted_stat * 1.5, converted_stat)))))</f>
        <v/>
      </c>
      <c r="M846" s="30" t="str">
        <f t="array" ref="M846">IF($A846="", "", LET(bbgm_stat, INDEX(Players!$A845:$P845, MATCH(M$2, Players!$A$1:$P$1, 0)), perc_75, VLOOKUP(M$2, Percentiles!$A$45:$I$59, 6, FALSE), perc_90, VLOOKUP(M$2, Percentiles!$A$45:$I$59, 7, FALSE), perc_95, VLOOKUP(M$2, Percentiles!$A$45:$I$59, 8, FALSE), perc_85, perc_75 + (perc_90 - perc_75) * (2/3), converted_stat, '2K_Ratings'!M846, IF(bbgm_stat &gt;= perc_95, converted_stat * 3, IF(bbgm_stat &gt;= perc_90, converted_stat * 2, IF(bbgm_stat &gt;= perc_85, converted_stat * 1.5, converted_stat)))))</f>
        <v/>
      </c>
      <c r="N846" s="30" t="str">
        <f t="array" ref="N846">IF($A846="", "", LET(bbgm_stat, INDEX(Players!$A845:$P845, MATCH(N$2, Players!$A$1:$P$1, 0)), perc_75, VLOOKUP(N$2, Percentiles!$A$45:$I$59, 6, FALSE), perc_90, VLOOKUP(N$2, Percentiles!$A$45:$I$59, 7, FALSE), perc_95, VLOOKUP(N$2, Percentiles!$A$45:$I$59, 8, FALSE), perc_85, perc_75 + (perc_90 - perc_75) * (2/3), converted_stat, '2K_Ratings'!N846, IF(bbgm_stat &gt;= perc_95, converted_stat * 3, IF(bbgm_stat &gt;= perc_90, converted_stat * 2, IF(bbgm_stat &gt;= perc_85, converted_stat * 1.5, converted_stat)))))</f>
        <v/>
      </c>
      <c r="O846" s="30" t="str">
        <f t="array" ref="O846">IF($A846="", "", LET(bbgm_stat, INDEX(Players!$A845:$P845, MATCH(O$2, Players!$A$1:$P$1, 0)), perc_75, VLOOKUP(O$2, Percentiles!$A$45:$I$59, 6, FALSE), perc_90, VLOOKUP(O$2, Percentiles!$A$45:$I$59, 7, FALSE), perc_95, VLOOKUP(O$2, Percentiles!$A$45:$I$59, 8, FALSE), perc_85, perc_75 + (perc_90 - perc_75) * (2/3), converted_stat, '2K_Ratings'!O846, IF(bbgm_stat &gt;= perc_95, converted_stat * 3, IF(bbgm_stat &gt;= perc_90, converted_stat * 2, IF(bbgm_stat &gt;= perc_85, converted_stat * 1.5, converted_stat)))))</f>
        <v/>
      </c>
      <c r="P846" s="30" t="str">
        <f t="array" ref="P846">IF($A846="", "", LET(bbgm_stat, INDEX(Players!$A845:$P845, MATCH(P$2, Players!$A$1:$P$1, 0)), perc_75, VLOOKUP(P$2, Percentiles!$A$45:$I$59, 6, FALSE), perc_90, VLOOKUP(P$2, Percentiles!$A$45:$I$59, 7, FALSE), perc_95, VLOOKUP(P$2, Percentiles!$A$45:$I$59, 8, FALSE), perc_85, perc_75 + (perc_90 - perc_75) * (2/3), converted_stat, '2K_Ratings'!P846, IF(bbgm_stat &gt;= perc_95, converted_stat * 3, IF(bbgm_stat &gt;= perc_90, converted_stat * 2, IF(bbgm_stat &gt;= perc_85, converted_stat * 1.5, converted_stat)))))</f>
        <v/>
      </c>
      <c r="Q846" s="30" t="str">
        <f t="array" ref="Q846">IF($A846="", "", LET(bbgm_stat, INDEX(Players!$A845:$P845, MATCH(Q$2, Players!$A$1:$P$1, 0)), perc_75, VLOOKUP(Q$2, Percentiles!$A$45:$I$59, 6, FALSE), perc_90, VLOOKUP(Q$2, Percentiles!$A$45:$I$59, 7, FALSE), perc_95, VLOOKUP(Q$2, Percentiles!$A$45:$I$59, 8, FALSE), perc_85, perc_75 + (perc_90 - perc_75) * (2/3), converted_stat, '2K_Ratings'!Q846, IF(bbgm_stat &gt;= perc_95, converted_stat * 3, IF(bbgm_stat &gt;= perc_90, converted_stat * 2, IF(bbgm_stat &gt;= perc_85, converted_stat * 1.5, converted_stat)))))</f>
        <v/>
      </c>
      <c r="R846" s="30" t="str">
        <f t="array" ref="R846">IF($A846="", "", LET(bbgm_stat, INDEX(Players!$A845:$P845, MATCH(R$2, Players!$A$1:$P$1, 0)), perc_75, VLOOKUP(R$2, Percentiles!$A$45:$I$59, 6, FALSE), perc_90, VLOOKUP(R$2, Percentiles!$A$45:$I$59, 7, FALSE), perc_95, VLOOKUP(R$2, Percentiles!$A$45:$I$59, 8, FALSE), perc_85, perc_75 + (perc_90 - perc_75) * (2/3), converted_stat, '2K_Ratings'!R846, IF(bbgm_stat &gt;= perc_95, converted_stat * 3, IF(bbgm_stat &gt;= perc_90, converted_stat * 2, IF(bbgm_stat &gt;= perc_85, converted_stat * 1.5, converted_stat)))))</f>
        <v/>
      </c>
      <c r="S846" s="30" t="str">
        <f t="array" ref="S846">IF($A846="", "", LET(bbgm_stat, INDEX(Players!$A845:$P845, MATCH(S$2, Players!$A$1:$P$1, 0)), perc_75, VLOOKUP(S$2, Percentiles!$A$45:$I$59, 6, FALSE), perc_90, VLOOKUP(S$2, Percentiles!$A$45:$I$59, 7, FALSE), perc_95, VLOOKUP(S$2, Percentiles!$A$45:$I$59, 8, FALSE), perc_85, perc_75 + (perc_90 - perc_75) * (2/3), converted_stat, '2K_Ratings'!S846, IF(bbgm_stat &gt;= perc_95, converted_stat * 3, IF(bbgm_stat &gt;= perc_90, converted_stat * 2, IF(bbgm_stat &gt;= perc_85, converted_stat * 1.5, converted_stat)))))</f>
        <v/>
      </c>
      <c r="T846" s="30" t="str">
        <f t="array" ref="T846">IF($A846="", "", LET(bbgm_stat, INDEX(Players!$A845:$P845, MATCH(T$2, Players!$A$1:$P$1, 0)), perc_75, VLOOKUP(T$2, Percentiles!$A$45:$I$59, 6, FALSE), perc_90, VLOOKUP(T$2, Percentiles!$A$45:$I$59, 7, FALSE), perc_95, VLOOKUP(T$2, Percentiles!$A$45:$I$59, 8, FALSE), perc_85, perc_75 + (perc_90 - perc_75) * (2/3), converted_stat, '2K_Ratings'!T846, IF(bbgm_stat &gt;= perc_95, converted_stat * 3, IF(bbgm_stat &gt;= perc_90, converted_stat * 2, IF(bbgm_stat &gt;= perc_85, converted_stat * 1.5, converted_stat)))))</f>
        <v/>
      </c>
      <c r="U846" s="30" t="str">
        <f t="array" ref="U846">IF($A846="", "", LET(bbgm_stat, INDEX(Players!$A845:$P845, MATCH(U$2, Players!$A$1:$P$1, 0)), perc_75, VLOOKUP(U$2, Percentiles!$A$45:$I$59, 6, FALSE), perc_90, VLOOKUP(U$2, Percentiles!$A$45:$I$59, 7, FALSE), perc_95, VLOOKUP(U$2, Percentiles!$A$45:$I$59, 8, FALSE), perc_85, perc_75 + (perc_90 - perc_75) * (2/3), converted_stat, '2K_Ratings'!U846, IF(bbgm_stat &gt;= perc_95, converted_stat * 3, IF(bbgm_stat &gt;= perc_90, converted_stat * 2, IF(bbgm_stat &gt;= perc_85, converted_stat * 1.5, converted_stat)))))</f>
        <v/>
      </c>
      <c r="V846" s="30" t="str">
        <f t="array" ref="V846">IF($A846="", "", LET(bbgm_stat, INDEX(Players!$A845:$P845, MATCH(V$2, Players!$A$1:$P$1, 0)), perc_75, VLOOKUP(V$2, Percentiles!$A$45:$I$59, 6, FALSE), perc_90, VLOOKUP(V$2, Percentiles!$A$45:$I$59, 7, FALSE), perc_95, VLOOKUP(V$2, Percentiles!$A$45:$I$59, 8, FALSE), perc_85, perc_75 + (perc_90 - perc_75) * (2/3), converted_stat, '2K_Ratings'!V846, IF(bbgm_stat &gt;= perc_95, converted_stat * 3, IF(bbgm_stat &gt;= perc_90, converted_stat * 2, IF(bbgm_stat &gt;= perc_85, converted_stat * 1.5, converted_stat)))))</f>
        <v/>
      </c>
      <c r="W846" s="30" t="str">
        <f t="array" ref="W846">IF($A846="", "", LET(bbgm_stat, INDEX(Players!$A845:$P845, MATCH(W$2, Players!$A$1:$P$1, 0)), perc_75, VLOOKUP(W$2, Percentiles!$A$45:$I$59, 6, FALSE), perc_90, VLOOKUP(W$2, Percentiles!$A$45:$I$59, 7, FALSE), perc_95, VLOOKUP(W$2, Percentiles!$A$45:$I$59, 8, FALSE), perc_85, perc_75 + (perc_90 - perc_75) * (2/3), converted_stat, '2K_Ratings'!W846, IF(bbgm_stat &gt;= perc_95, converted_stat * 3, IF(bbgm_stat &gt;= perc_90, converted_stat * 2, IF(bbgm_stat &gt;= perc_85, converted_stat * 1.5, converted_stat)))))</f>
        <v/>
      </c>
    </row>
    <row r="847">
      <c r="A847" s="30"/>
      <c r="B847" s="30" t="str">
        <f t="array" ref="B847">IF($A847="", "", LET(bbgm_stat, INDEX(Players!$A846:$P846, MATCH(B$2, Players!$A$1:$P$1, 0)), perc_75, VLOOKUP(B$2, Percentiles!$A$45:$I$59, 6, FALSE), perc_90, VLOOKUP(B$2, Percentiles!$A$45:$I$59, 7, FALSE), perc_95, VLOOKUP(B$2, Percentiles!$A$45:$I$59, 8, FALSE), perc_85, perc_75 + (perc_90 - perc_75) * (2/3), converted_stat, '2K_Ratings'!B847, IF(bbgm_stat &gt;= perc_95, converted_stat * 3, IF(bbgm_stat &gt;= perc_90, converted_stat * 2, IF(bbgm_stat &gt;= perc_85, converted_stat * 1.5, converted_stat)))))</f>
        <v/>
      </c>
      <c r="C847" s="30" t="str">
        <f t="array" ref="C847">IF($A847="", "", LET(bbgm_stat, INDEX(Players!$A846:$P846, MATCH(C$2, Players!$A$1:$P$1, 0)), perc_75, VLOOKUP(C$2, Percentiles!$A$45:$I$59, 6, FALSE), perc_90, VLOOKUP(C$2, Percentiles!$A$45:$I$59, 7, FALSE), perc_95, VLOOKUP(C$2, Percentiles!$A$45:$I$59, 8, FALSE), perc_85, perc_75 + (perc_90 - perc_75) * (2/3), converted_stat, '2K_Ratings'!C847, IF(bbgm_stat &gt;= perc_95, converted_stat * 3, IF(bbgm_stat &gt;= perc_90, converted_stat * 2, IF(bbgm_stat &gt;= perc_85, converted_stat * 1.5, converted_stat)))))</f>
        <v/>
      </c>
      <c r="D847" s="30" t="str">
        <f t="array" ref="D847">IF($A847="", "", LET(bbgm_stat, INDEX(Players!$A846:$P846, MATCH(D$2, Players!$A$1:$P$1, 0)), perc_75, VLOOKUP(D$2, Percentiles!$A$45:$I$59, 6, FALSE), perc_90, VLOOKUP(D$2, Percentiles!$A$45:$I$59, 7, FALSE), perc_95, VLOOKUP(D$2, Percentiles!$A$45:$I$59, 8, FALSE), perc_85, perc_75 + (perc_90 - perc_75) * (2/3), converted_stat, '2K_Ratings'!D847, IF(bbgm_stat &gt;= perc_95, converted_stat * 3, IF(bbgm_stat &gt;= perc_90, converted_stat * 2, IF(bbgm_stat &gt;= perc_85, converted_stat * 1.5, converted_stat)))))</f>
        <v/>
      </c>
      <c r="E847" s="30" t="str">
        <f t="array" ref="E847">IF($A847="", "", LET(bbgm_stat, INDEX(Players!$A846:$P846, MATCH(E$2, Players!$A$1:$P$1, 0)), perc_75, VLOOKUP(E$2, Percentiles!$A$45:$I$59, 6, FALSE), perc_90, VLOOKUP(E$2, Percentiles!$A$45:$I$59, 7, FALSE), perc_95, VLOOKUP(E$2, Percentiles!$A$45:$I$59, 8, FALSE), perc_85, perc_75 + (perc_90 - perc_75) * (2/3), converted_stat, '2K_Ratings'!E847, IF(bbgm_stat &gt;= perc_95, converted_stat * 3, IF(bbgm_stat &gt;= perc_90, converted_stat * 2, IF(bbgm_stat &gt;= perc_85, converted_stat * 1.5, converted_stat)))))</f>
        <v/>
      </c>
      <c r="F847" s="30" t="str">
        <f t="array" ref="F847">IF($A847="", "", LET(bbgm_stat, INDEX(Players!$A846:$P846, MATCH(F$2, Players!$A$1:$P$1, 0)), perc_75, VLOOKUP(F$2, Percentiles!$A$45:$I$59, 6, FALSE), perc_90, VLOOKUP(F$2, Percentiles!$A$45:$I$59, 7, FALSE), perc_95, VLOOKUP(F$2, Percentiles!$A$45:$I$59, 8, FALSE), perc_85, perc_75 + (perc_90 - perc_75) * (2/3), converted_stat, '2K_Ratings'!F847, IF(bbgm_stat &gt;= perc_95, converted_stat * 3, IF(bbgm_stat &gt;= perc_90, converted_stat * 2, IF(bbgm_stat &gt;= perc_85, converted_stat * 1.5, converted_stat)))))</f>
        <v/>
      </c>
      <c r="G847" s="30" t="str">
        <f t="array" ref="G847">IF($A847="", "", LET(bbgm_stat, INDEX(Players!$A846:$P846, MATCH(G$2, Players!$A$1:$P$1, 0)), perc_75, VLOOKUP(G$2, Percentiles!$A$45:$I$59, 6, FALSE), perc_90, VLOOKUP(G$2, Percentiles!$A$45:$I$59, 7, FALSE), perc_95, VLOOKUP(G$2, Percentiles!$A$45:$I$59, 8, FALSE), perc_85, perc_75 + (perc_90 - perc_75) * (2/3), converted_stat, '2K_Ratings'!G847, IF(bbgm_stat &gt;= perc_95, converted_stat * 3, IF(bbgm_stat &gt;= perc_90, converted_stat * 2, IF(bbgm_stat &gt;= perc_85, converted_stat * 1.5, converted_stat)))))</f>
        <v/>
      </c>
      <c r="H847" s="30" t="str">
        <f t="array" ref="H847">IF($A847="", "", LET(bbgm_stat, INDEX(Players!$A846:$P846, MATCH(H$2, Players!$A$1:$P$1, 0)), perc_75, VLOOKUP(H$2, Percentiles!$A$45:$I$59, 6, FALSE), perc_90, VLOOKUP(H$2, Percentiles!$A$45:$I$59, 7, FALSE), perc_95, VLOOKUP(H$2, Percentiles!$A$45:$I$59, 8, FALSE), perc_85, perc_75 + (perc_90 - perc_75) * (2/3), converted_stat, '2K_Ratings'!H847, IF(bbgm_stat &gt;= perc_95, converted_stat * 3, IF(bbgm_stat &gt;= perc_90, converted_stat * 2, IF(bbgm_stat &gt;= perc_85, converted_stat * 1.5, converted_stat)))))</f>
        <v/>
      </c>
      <c r="I847" s="30" t="str">
        <f t="array" ref="I847">IF($A847="", "", LET(bbgm_stat, INDEX(Players!$A846:$P846, MATCH(I$2, Players!$A$1:$P$1, 0)), perc_75, VLOOKUP(I$2, Percentiles!$A$45:$I$59, 6, FALSE), perc_90, VLOOKUP(I$2, Percentiles!$A$45:$I$59, 7, FALSE), perc_95, VLOOKUP(I$2, Percentiles!$A$45:$I$59, 8, FALSE), perc_85, perc_75 + (perc_90 - perc_75) * (2/3), converted_stat, '2K_Ratings'!I847, IF(bbgm_stat &gt;= perc_95, converted_stat * 3, IF(bbgm_stat &gt;= perc_90, converted_stat * 2, IF(bbgm_stat &gt;= perc_85, converted_stat * 1.5, converted_stat)))))</f>
        <v/>
      </c>
      <c r="J847" s="30" t="str">
        <f t="array" ref="J847">IF($A847="", "", LET(bbgm_stat, INDEX(Players!$A846:$P846, MATCH(J$2, Players!$A$1:$P$1, 0)), perc_75, VLOOKUP(J$2, Percentiles!$A$45:$I$59, 6, FALSE), perc_90, VLOOKUP(J$2, Percentiles!$A$45:$I$59, 7, FALSE), perc_95, VLOOKUP(J$2, Percentiles!$A$45:$I$59, 8, FALSE), perc_85, perc_75 + (perc_90 - perc_75) * (2/3), converted_stat, '2K_Ratings'!J847, IF(bbgm_stat &gt;= perc_95, converted_stat * 3, IF(bbgm_stat &gt;= perc_90, converted_stat * 2, IF(bbgm_stat &gt;= perc_85, converted_stat * 1.5, converted_stat)))))</f>
        <v/>
      </c>
      <c r="K847" s="30" t="str">
        <f t="array" ref="K847">IF($A847="", "", LET(bbgm_stat, INDEX(Players!$A846:$P846, MATCH(K$2, Players!$A$1:$P$1, 0)), perc_75, VLOOKUP(K$2, Percentiles!$A$45:$I$59, 6, FALSE), perc_90, VLOOKUP(K$2, Percentiles!$A$45:$I$59, 7, FALSE), perc_95, VLOOKUP(K$2, Percentiles!$A$45:$I$59, 8, FALSE), perc_85, perc_75 + (perc_90 - perc_75) * (2/3), converted_stat, '2K_Ratings'!K847, IF(bbgm_stat &gt;= perc_95, converted_stat * 3, IF(bbgm_stat &gt;= perc_90, converted_stat * 2, IF(bbgm_stat &gt;= perc_85, converted_stat * 1.5, converted_stat)))))</f>
        <v/>
      </c>
      <c r="L847" s="30" t="str">
        <f t="array" ref="L847">IF($A847="", "", LET(bbgm_stat, INDEX(Players!$A846:$P846, MATCH(L$2, Players!$A$1:$P$1, 0)), perc_75, VLOOKUP(L$2, Percentiles!$A$45:$I$59, 6, FALSE), perc_90, VLOOKUP(L$2, Percentiles!$A$45:$I$59, 7, FALSE), perc_95, VLOOKUP(L$2, Percentiles!$A$45:$I$59, 8, FALSE), perc_85, perc_75 + (perc_90 - perc_75) * (2/3), converted_stat, '2K_Ratings'!L847, IF(bbgm_stat &gt;= perc_95, converted_stat * 3, IF(bbgm_stat &gt;= perc_90, converted_stat * 2, IF(bbgm_stat &gt;= perc_85, converted_stat * 1.5, converted_stat)))))</f>
        <v/>
      </c>
      <c r="M847" s="30" t="str">
        <f t="array" ref="M847">IF($A847="", "", LET(bbgm_stat, INDEX(Players!$A846:$P846, MATCH(M$2, Players!$A$1:$P$1, 0)), perc_75, VLOOKUP(M$2, Percentiles!$A$45:$I$59, 6, FALSE), perc_90, VLOOKUP(M$2, Percentiles!$A$45:$I$59, 7, FALSE), perc_95, VLOOKUP(M$2, Percentiles!$A$45:$I$59, 8, FALSE), perc_85, perc_75 + (perc_90 - perc_75) * (2/3), converted_stat, '2K_Ratings'!M847, IF(bbgm_stat &gt;= perc_95, converted_stat * 3, IF(bbgm_stat &gt;= perc_90, converted_stat * 2, IF(bbgm_stat &gt;= perc_85, converted_stat * 1.5, converted_stat)))))</f>
        <v/>
      </c>
      <c r="N847" s="30" t="str">
        <f t="array" ref="N847">IF($A847="", "", LET(bbgm_stat, INDEX(Players!$A846:$P846, MATCH(N$2, Players!$A$1:$P$1, 0)), perc_75, VLOOKUP(N$2, Percentiles!$A$45:$I$59, 6, FALSE), perc_90, VLOOKUP(N$2, Percentiles!$A$45:$I$59, 7, FALSE), perc_95, VLOOKUP(N$2, Percentiles!$A$45:$I$59, 8, FALSE), perc_85, perc_75 + (perc_90 - perc_75) * (2/3), converted_stat, '2K_Ratings'!N847, IF(bbgm_stat &gt;= perc_95, converted_stat * 3, IF(bbgm_stat &gt;= perc_90, converted_stat * 2, IF(bbgm_stat &gt;= perc_85, converted_stat * 1.5, converted_stat)))))</f>
        <v/>
      </c>
      <c r="O847" s="30" t="str">
        <f t="array" ref="O847">IF($A847="", "", LET(bbgm_stat, INDEX(Players!$A846:$P846, MATCH(O$2, Players!$A$1:$P$1, 0)), perc_75, VLOOKUP(O$2, Percentiles!$A$45:$I$59, 6, FALSE), perc_90, VLOOKUP(O$2, Percentiles!$A$45:$I$59, 7, FALSE), perc_95, VLOOKUP(O$2, Percentiles!$A$45:$I$59, 8, FALSE), perc_85, perc_75 + (perc_90 - perc_75) * (2/3), converted_stat, '2K_Ratings'!O847, IF(bbgm_stat &gt;= perc_95, converted_stat * 3, IF(bbgm_stat &gt;= perc_90, converted_stat * 2, IF(bbgm_stat &gt;= perc_85, converted_stat * 1.5, converted_stat)))))</f>
        <v/>
      </c>
      <c r="P847" s="30" t="str">
        <f t="array" ref="P847">IF($A847="", "", LET(bbgm_stat, INDEX(Players!$A846:$P846, MATCH(P$2, Players!$A$1:$P$1, 0)), perc_75, VLOOKUP(P$2, Percentiles!$A$45:$I$59, 6, FALSE), perc_90, VLOOKUP(P$2, Percentiles!$A$45:$I$59, 7, FALSE), perc_95, VLOOKUP(P$2, Percentiles!$A$45:$I$59, 8, FALSE), perc_85, perc_75 + (perc_90 - perc_75) * (2/3), converted_stat, '2K_Ratings'!P847, IF(bbgm_stat &gt;= perc_95, converted_stat * 3, IF(bbgm_stat &gt;= perc_90, converted_stat * 2, IF(bbgm_stat &gt;= perc_85, converted_stat * 1.5, converted_stat)))))</f>
        <v/>
      </c>
      <c r="Q847" s="30" t="str">
        <f t="array" ref="Q847">IF($A847="", "", LET(bbgm_stat, INDEX(Players!$A846:$P846, MATCH(Q$2, Players!$A$1:$P$1, 0)), perc_75, VLOOKUP(Q$2, Percentiles!$A$45:$I$59, 6, FALSE), perc_90, VLOOKUP(Q$2, Percentiles!$A$45:$I$59, 7, FALSE), perc_95, VLOOKUP(Q$2, Percentiles!$A$45:$I$59, 8, FALSE), perc_85, perc_75 + (perc_90 - perc_75) * (2/3), converted_stat, '2K_Ratings'!Q847, IF(bbgm_stat &gt;= perc_95, converted_stat * 3, IF(bbgm_stat &gt;= perc_90, converted_stat * 2, IF(bbgm_stat &gt;= perc_85, converted_stat * 1.5, converted_stat)))))</f>
        <v/>
      </c>
      <c r="R847" s="30" t="str">
        <f t="array" ref="R847">IF($A847="", "", LET(bbgm_stat, INDEX(Players!$A846:$P846, MATCH(R$2, Players!$A$1:$P$1, 0)), perc_75, VLOOKUP(R$2, Percentiles!$A$45:$I$59, 6, FALSE), perc_90, VLOOKUP(R$2, Percentiles!$A$45:$I$59, 7, FALSE), perc_95, VLOOKUP(R$2, Percentiles!$A$45:$I$59, 8, FALSE), perc_85, perc_75 + (perc_90 - perc_75) * (2/3), converted_stat, '2K_Ratings'!R847, IF(bbgm_stat &gt;= perc_95, converted_stat * 3, IF(bbgm_stat &gt;= perc_90, converted_stat * 2, IF(bbgm_stat &gt;= perc_85, converted_stat * 1.5, converted_stat)))))</f>
        <v/>
      </c>
      <c r="S847" s="30" t="str">
        <f t="array" ref="S847">IF($A847="", "", LET(bbgm_stat, INDEX(Players!$A846:$P846, MATCH(S$2, Players!$A$1:$P$1, 0)), perc_75, VLOOKUP(S$2, Percentiles!$A$45:$I$59, 6, FALSE), perc_90, VLOOKUP(S$2, Percentiles!$A$45:$I$59, 7, FALSE), perc_95, VLOOKUP(S$2, Percentiles!$A$45:$I$59, 8, FALSE), perc_85, perc_75 + (perc_90 - perc_75) * (2/3), converted_stat, '2K_Ratings'!S847, IF(bbgm_stat &gt;= perc_95, converted_stat * 3, IF(bbgm_stat &gt;= perc_90, converted_stat * 2, IF(bbgm_stat &gt;= perc_85, converted_stat * 1.5, converted_stat)))))</f>
        <v/>
      </c>
      <c r="T847" s="30" t="str">
        <f t="array" ref="T847">IF($A847="", "", LET(bbgm_stat, INDEX(Players!$A846:$P846, MATCH(T$2, Players!$A$1:$P$1, 0)), perc_75, VLOOKUP(T$2, Percentiles!$A$45:$I$59, 6, FALSE), perc_90, VLOOKUP(T$2, Percentiles!$A$45:$I$59, 7, FALSE), perc_95, VLOOKUP(T$2, Percentiles!$A$45:$I$59, 8, FALSE), perc_85, perc_75 + (perc_90 - perc_75) * (2/3), converted_stat, '2K_Ratings'!T847, IF(bbgm_stat &gt;= perc_95, converted_stat * 3, IF(bbgm_stat &gt;= perc_90, converted_stat * 2, IF(bbgm_stat &gt;= perc_85, converted_stat * 1.5, converted_stat)))))</f>
        <v/>
      </c>
      <c r="U847" s="30" t="str">
        <f t="array" ref="U847">IF($A847="", "", LET(bbgm_stat, INDEX(Players!$A846:$P846, MATCH(U$2, Players!$A$1:$P$1, 0)), perc_75, VLOOKUP(U$2, Percentiles!$A$45:$I$59, 6, FALSE), perc_90, VLOOKUP(U$2, Percentiles!$A$45:$I$59, 7, FALSE), perc_95, VLOOKUP(U$2, Percentiles!$A$45:$I$59, 8, FALSE), perc_85, perc_75 + (perc_90 - perc_75) * (2/3), converted_stat, '2K_Ratings'!U847, IF(bbgm_stat &gt;= perc_95, converted_stat * 3, IF(bbgm_stat &gt;= perc_90, converted_stat * 2, IF(bbgm_stat &gt;= perc_85, converted_stat * 1.5, converted_stat)))))</f>
        <v/>
      </c>
      <c r="V847" s="30" t="str">
        <f t="array" ref="V847">IF($A847="", "", LET(bbgm_stat, INDEX(Players!$A846:$P846, MATCH(V$2, Players!$A$1:$P$1, 0)), perc_75, VLOOKUP(V$2, Percentiles!$A$45:$I$59, 6, FALSE), perc_90, VLOOKUP(V$2, Percentiles!$A$45:$I$59, 7, FALSE), perc_95, VLOOKUP(V$2, Percentiles!$A$45:$I$59, 8, FALSE), perc_85, perc_75 + (perc_90 - perc_75) * (2/3), converted_stat, '2K_Ratings'!V847, IF(bbgm_stat &gt;= perc_95, converted_stat * 3, IF(bbgm_stat &gt;= perc_90, converted_stat * 2, IF(bbgm_stat &gt;= perc_85, converted_stat * 1.5, converted_stat)))))</f>
        <v/>
      </c>
      <c r="W847" s="30" t="str">
        <f t="array" ref="W847">IF($A847="", "", LET(bbgm_stat, INDEX(Players!$A846:$P846, MATCH(W$2, Players!$A$1:$P$1, 0)), perc_75, VLOOKUP(W$2, Percentiles!$A$45:$I$59, 6, FALSE), perc_90, VLOOKUP(W$2, Percentiles!$A$45:$I$59, 7, FALSE), perc_95, VLOOKUP(W$2, Percentiles!$A$45:$I$59, 8, FALSE), perc_85, perc_75 + (perc_90 - perc_75) * (2/3), converted_stat, '2K_Ratings'!W847, IF(bbgm_stat &gt;= perc_95, converted_stat * 3, IF(bbgm_stat &gt;= perc_90, converted_stat * 2, IF(bbgm_stat &gt;= perc_85, converted_stat * 1.5, converted_stat)))))</f>
        <v/>
      </c>
    </row>
    <row r="848">
      <c r="A848" s="30"/>
      <c r="B848" s="30" t="str">
        <f t="array" ref="B848">IF($A848="", "", LET(bbgm_stat, INDEX(Players!$A847:$P847, MATCH(B$2, Players!$A$1:$P$1, 0)), perc_75, VLOOKUP(B$2, Percentiles!$A$45:$I$59, 6, FALSE), perc_90, VLOOKUP(B$2, Percentiles!$A$45:$I$59, 7, FALSE), perc_95, VLOOKUP(B$2, Percentiles!$A$45:$I$59, 8, FALSE), perc_85, perc_75 + (perc_90 - perc_75) * (2/3), converted_stat, '2K_Ratings'!B848, IF(bbgm_stat &gt;= perc_95, converted_stat * 3, IF(bbgm_stat &gt;= perc_90, converted_stat * 2, IF(bbgm_stat &gt;= perc_85, converted_stat * 1.5, converted_stat)))))</f>
        <v/>
      </c>
      <c r="C848" s="30" t="str">
        <f t="array" ref="C848">IF($A848="", "", LET(bbgm_stat, INDEX(Players!$A847:$P847, MATCH(C$2, Players!$A$1:$P$1, 0)), perc_75, VLOOKUP(C$2, Percentiles!$A$45:$I$59, 6, FALSE), perc_90, VLOOKUP(C$2, Percentiles!$A$45:$I$59, 7, FALSE), perc_95, VLOOKUP(C$2, Percentiles!$A$45:$I$59, 8, FALSE), perc_85, perc_75 + (perc_90 - perc_75) * (2/3), converted_stat, '2K_Ratings'!C848, IF(bbgm_stat &gt;= perc_95, converted_stat * 3, IF(bbgm_stat &gt;= perc_90, converted_stat * 2, IF(bbgm_stat &gt;= perc_85, converted_stat * 1.5, converted_stat)))))</f>
        <v/>
      </c>
      <c r="D848" s="30" t="str">
        <f t="array" ref="D848">IF($A848="", "", LET(bbgm_stat, INDEX(Players!$A847:$P847, MATCH(D$2, Players!$A$1:$P$1, 0)), perc_75, VLOOKUP(D$2, Percentiles!$A$45:$I$59, 6, FALSE), perc_90, VLOOKUP(D$2, Percentiles!$A$45:$I$59, 7, FALSE), perc_95, VLOOKUP(D$2, Percentiles!$A$45:$I$59, 8, FALSE), perc_85, perc_75 + (perc_90 - perc_75) * (2/3), converted_stat, '2K_Ratings'!D848, IF(bbgm_stat &gt;= perc_95, converted_stat * 3, IF(bbgm_stat &gt;= perc_90, converted_stat * 2, IF(bbgm_stat &gt;= perc_85, converted_stat * 1.5, converted_stat)))))</f>
        <v/>
      </c>
      <c r="E848" s="30" t="str">
        <f t="array" ref="E848">IF($A848="", "", LET(bbgm_stat, INDEX(Players!$A847:$P847, MATCH(E$2, Players!$A$1:$P$1, 0)), perc_75, VLOOKUP(E$2, Percentiles!$A$45:$I$59, 6, FALSE), perc_90, VLOOKUP(E$2, Percentiles!$A$45:$I$59, 7, FALSE), perc_95, VLOOKUP(E$2, Percentiles!$A$45:$I$59, 8, FALSE), perc_85, perc_75 + (perc_90 - perc_75) * (2/3), converted_stat, '2K_Ratings'!E848, IF(bbgm_stat &gt;= perc_95, converted_stat * 3, IF(bbgm_stat &gt;= perc_90, converted_stat * 2, IF(bbgm_stat &gt;= perc_85, converted_stat * 1.5, converted_stat)))))</f>
        <v/>
      </c>
      <c r="F848" s="30" t="str">
        <f t="array" ref="F848">IF($A848="", "", LET(bbgm_stat, INDEX(Players!$A847:$P847, MATCH(F$2, Players!$A$1:$P$1, 0)), perc_75, VLOOKUP(F$2, Percentiles!$A$45:$I$59, 6, FALSE), perc_90, VLOOKUP(F$2, Percentiles!$A$45:$I$59, 7, FALSE), perc_95, VLOOKUP(F$2, Percentiles!$A$45:$I$59, 8, FALSE), perc_85, perc_75 + (perc_90 - perc_75) * (2/3), converted_stat, '2K_Ratings'!F848, IF(bbgm_stat &gt;= perc_95, converted_stat * 3, IF(bbgm_stat &gt;= perc_90, converted_stat * 2, IF(bbgm_stat &gt;= perc_85, converted_stat * 1.5, converted_stat)))))</f>
        <v/>
      </c>
      <c r="G848" s="30" t="str">
        <f t="array" ref="G848">IF($A848="", "", LET(bbgm_stat, INDEX(Players!$A847:$P847, MATCH(G$2, Players!$A$1:$P$1, 0)), perc_75, VLOOKUP(G$2, Percentiles!$A$45:$I$59, 6, FALSE), perc_90, VLOOKUP(G$2, Percentiles!$A$45:$I$59, 7, FALSE), perc_95, VLOOKUP(G$2, Percentiles!$A$45:$I$59, 8, FALSE), perc_85, perc_75 + (perc_90 - perc_75) * (2/3), converted_stat, '2K_Ratings'!G848, IF(bbgm_stat &gt;= perc_95, converted_stat * 3, IF(bbgm_stat &gt;= perc_90, converted_stat * 2, IF(bbgm_stat &gt;= perc_85, converted_stat * 1.5, converted_stat)))))</f>
        <v/>
      </c>
      <c r="H848" s="30" t="str">
        <f t="array" ref="H848">IF($A848="", "", LET(bbgm_stat, INDEX(Players!$A847:$P847, MATCH(H$2, Players!$A$1:$P$1, 0)), perc_75, VLOOKUP(H$2, Percentiles!$A$45:$I$59, 6, FALSE), perc_90, VLOOKUP(H$2, Percentiles!$A$45:$I$59, 7, FALSE), perc_95, VLOOKUP(H$2, Percentiles!$A$45:$I$59, 8, FALSE), perc_85, perc_75 + (perc_90 - perc_75) * (2/3), converted_stat, '2K_Ratings'!H848, IF(bbgm_stat &gt;= perc_95, converted_stat * 3, IF(bbgm_stat &gt;= perc_90, converted_stat * 2, IF(bbgm_stat &gt;= perc_85, converted_stat * 1.5, converted_stat)))))</f>
        <v/>
      </c>
      <c r="I848" s="30" t="str">
        <f t="array" ref="I848">IF($A848="", "", LET(bbgm_stat, INDEX(Players!$A847:$P847, MATCH(I$2, Players!$A$1:$P$1, 0)), perc_75, VLOOKUP(I$2, Percentiles!$A$45:$I$59, 6, FALSE), perc_90, VLOOKUP(I$2, Percentiles!$A$45:$I$59, 7, FALSE), perc_95, VLOOKUP(I$2, Percentiles!$A$45:$I$59, 8, FALSE), perc_85, perc_75 + (perc_90 - perc_75) * (2/3), converted_stat, '2K_Ratings'!I848, IF(bbgm_stat &gt;= perc_95, converted_stat * 3, IF(bbgm_stat &gt;= perc_90, converted_stat * 2, IF(bbgm_stat &gt;= perc_85, converted_stat * 1.5, converted_stat)))))</f>
        <v/>
      </c>
      <c r="J848" s="30" t="str">
        <f t="array" ref="J848">IF($A848="", "", LET(bbgm_stat, INDEX(Players!$A847:$P847, MATCH(J$2, Players!$A$1:$P$1, 0)), perc_75, VLOOKUP(J$2, Percentiles!$A$45:$I$59, 6, FALSE), perc_90, VLOOKUP(J$2, Percentiles!$A$45:$I$59, 7, FALSE), perc_95, VLOOKUP(J$2, Percentiles!$A$45:$I$59, 8, FALSE), perc_85, perc_75 + (perc_90 - perc_75) * (2/3), converted_stat, '2K_Ratings'!J848, IF(bbgm_stat &gt;= perc_95, converted_stat * 3, IF(bbgm_stat &gt;= perc_90, converted_stat * 2, IF(bbgm_stat &gt;= perc_85, converted_stat * 1.5, converted_stat)))))</f>
        <v/>
      </c>
      <c r="K848" s="30" t="str">
        <f t="array" ref="K848">IF($A848="", "", LET(bbgm_stat, INDEX(Players!$A847:$P847, MATCH(K$2, Players!$A$1:$P$1, 0)), perc_75, VLOOKUP(K$2, Percentiles!$A$45:$I$59, 6, FALSE), perc_90, VLOOKUP(K$2, Percentiles!$A$45:$I$59, 7, FALSE), perc_95, VLOOKUP(K$2, Percentiles!$A$45:$I$59, 8, FALSE), perc_85, perc_75 + (perc_90 - perc_75) * (2/3), converted_stat, '2K_Ratings'!K848, IF(bbgm_stat &gt;= perc_95, converted_stat * 3, IF(bbgm_stat &gt;= perc_90, converted_stat * 2, IF(bbgm_stat &gt;= perc_85, converted_stat * 1.5, converted_stat)))))</f>
        <v/>
      </c>
      <c r="L848" s="30" t="str">
        <f t="array" ref="L848">IF($A848="", "", LET(bbgm_stat, INDEX(Players!$A847:$P847, MATCH(L$2, Players!$A$1:$P$1, 0)), perc_75, VLOOKUP(L$2, Percentiles!$A$45:$I$59, 6, FALSE), perc_90, VLOOKUP(L$2, Percentiles!$A$45:$I$59, 7, FALSE), perc_95, VLOOKUP(L$2, Percentiles!$A$45:$I$59, 8, FALSE), perc_85, perc_75 + (perc_90 - perc_75) * (2/3), converted_stat, '2K_Ratings'!L848, IF(bbgm_stat &gt;= perc_95, converted_stat * 3, IF(bbgm_stat &gt;= perc_90, converted_stat * 2, IF(bbgm_stat &gt;= perc_85, converted_stat * 1.5, converted_stat)))))</f>
        <v/>
      </c>
      <c r="M848" s="30" t="str">
        <f t="array" ref="M848">IF($A848="", "", LET(bbgm_stat, INDEX(Players!$A847:$P847, MATCH(M$2, Players!$A$1:$P$1, 0)), perc_75, VLOOKUP(M$2, Percentiles!$A$45:$I$59, 6, FALSE), perc_90, VLOOKUP(M$2, Percentiles!$A$45:$I$59, 7, FALSE), perc_95, VLOOKUP(M$2, Percentiles!$A$45:$I$59, 8, FALSE), perc_85, perc_75 + (perc_90 - perc_75) * (2/3), converted_stat, '2K_Ratings'!M848, IF(bbgm_stat &gt;= perc_95, converted_stat * 3, IF(bbgm_stat &gt;= perc_90, converted_stat * 2, IF(bbgm_stat &gt;= perc_85, converted_stat * 1.5, converted_stat)))))</f>
        <v/>
      </c>
      <c r="N848" s="30" t="str">
        <f t="array" ref="N848">IF($A848="", "", LET(bbgm_stat, INDEX(Players!$A847:$P847, MATCH(N$2, Players!$A$1:$P$1, 0)), perc_75, VLOOKUP(N$2, Percentiles!$A$45:$I$59, 6, FALSE), perc_90, VLOOKUP(N$2, Percentiles!$A$45:$I$59, 7, FALSE), perc_95, VLOOKUP(N$2, Percentiles!$A$45:$I$59, 8, FALSE), perc_85, perc_75 + (perc_90 - perc_75) * (2/3), converted_stat, '2K_Ratings'!N848, IF(bbgm_stat &gt;= perc_95, converted_stat * 3, IF(bbgm_stat &gt;= perc_90, converted_stat * 2, IF(bbgm_stat &gt;= perc_85, converted_stat * 1.5, converted_stat)))))</f>
        <v/>
      </c>
      <c r="O848" s="30" t="str">
        <f t="array" ref="O848">IF($A848="", "", LET(bbgm_stat, INDEX(Players!$A847:$P847, MATCH(O$2, Players!$A$1:$P$1, 0)), perc_75, VLOOKUP(O$2, Percentiles!$A$45:$I$59, 6, FALSE), perc_90, VLOOKUP(O$2, Percentiles!$A$45:$I$59, 7, FALSE), perc_95, VLOOKUP(O$2, Percentiles!$A$45:$I$59, 8, FALSE), perc_85, perc_75 + (perc_90 - perc_75) * (2/3), converted_stat, '2K_Ratings'!O848, IF(bbgm_stat &gt;= perc_95, converted_stat * 3, IF(bbgm_stat &gt;= perc_90, converted_stat * 2, IF(bbgm_stat &gt;= perc_85, converted_stat * 1.5, converted_stat)))))</f>
        <v/>
      </c>
      <c r="P848" s="30" t="str">
        <f t="array" ref="P848">IF($A848="", "", LET(bbgm_stat, INDEX(Players!$A847:$P847, MATCH(P$2, Players!$A$1:$P$1, 0)), perc_75, VLOOKUP(P$2, Percentiles!$A$45:$I$59, 6, FALSE), perc_90, VLOOKUP(P$2, Percentiles!$A$45:$I$59, 7, FALSE), perc_95, VLOOKUP(P$2, Percentiles!$A$45:$I$59, 8, FALSE), perc_85, perc_75 + (perc_90 - perc_75) * (2/3), converted_stat, '2K_Ratings'!P848, IF(bbgm_stat &gt;= perc_95, converted_stat * 3, IF(bbgm_stat &gt;= perc_90, converted_stat * 2, IF(bbgm_stat &gt;= perc_85, converted_stat * 1.5, converted_stat)))))</f>
        <v/>
      </c>
      <c r="Q848" s="30" t="str">
        <f t="array" ref="Q848">IF($A848="", "", LET(bbgm_stat, INDEX(Players!$A847:$P847, MATCH(Q$2, Players!$A$1:$P$1, 0)), perc_75, VLOOKUP(Q$2, Percentiles!$A$45:$I$59, 6, FALSE), perc_90, VLOOKUP(Q$2, Percentiles!$A$45:$I$59, 7, FALSE), perc_95, VLOOKUP(Q$2, Percentiles!$A$45:$I$59, 8, FALSE), perc_85, perc_75 + (perc_90 - perc_75) * (2/3), converted_stat, '2K_Ratings'!Q848, IF(bbgm_stat &gt;= perc_95, converted_stat * 3, IF(bbgm_stat &gt;= perc_90, converted_stat * 2, IF(bbgm_stat &gt;= perc_85, converted_stat * 1.5, converted_stat)))))</f>
        <v/>
      </c>
      <c r="R848" s="30" t="str">
        <f t="array" ref="R848">IF($A848="", "", LET(bbgm_stat, INDEX(Players!$A847:$P847, MATCH(R$2, Players!$A$1:$P$1, 0)), perc_75, VLOOKUP(R$2, Percentiles!$A$45:$I$59, 6, FALSE), perc_90, VLOOKUP(R$2, Percentiles!$A$45:$I$59, 7, FALSE), perc_95, VLOOKUP(R$2, Percentiles!$A$45:$I$59, 8, FALSE), perc_85, perc_75 + (perc_90 - perc_75) * (2/3), converted_stat, '2K_Ratings'!R848, IF(bbgm_stat &gt;= perc_95, converted_stat * 3, IF(bbgm_stat &gt;= perc_90, converted_stat * 2, IF(bbgm_stat &gt;= perc_85, converted_stat * 1.5, converted_stat)))))</f>
        <v/>
      </c>
      <c r="S848" s="30" t="str">
        <f t="array" ref="S848">IF($A848="", "", LET(bbgm_stat, INDEX(Players!$A847:$P847, MATCH(S$2, Players!$A$1:$P$1, 0)), perc_75, VLOOKUP(S$2, Percentiles!$A$45:$I$59, 6, FALSE), perc_90, VLOOKUP(S$2, Percentiles!$A$45:$I$59, 7, FALSE), perc_95, VLOOKUP(S$2, Percentiles!$A$45:$I$59, 8, FALSE), perc_85, perc_75 + (perc_90 - perc_75) * (2/3), converted_stat, '2K_Ratings'!S848, IF(bbgm_stat &gt;= perc_95, converted_stat * 3, IF(bbgm_stat &gt;= perc_90, converted_stat * 2, IF(bbgm_stat &gt;= perc_85, converted_stat * 1.5, converted_stat)))))</f>
        <v/>
      </c>
      <c r="T848" s="30" t="str">
        <f t="array" ref="T848">IF($A848="", "", LET(bbgm_stat, INDEX(Players!$A847:$P847, MATCH(T$2, Players!$A$1:$P$1, 0)), perc_75, VLOOKUP(T$2, Percentiles!$A$45:$I$59, 6, FALSE), perc_90, VLOOKUP(T$2, Percentiles!$A$45:$I$59, 7, FALSE), perc_95, VLOOKUP(T$2, Percentiles!$A$45:$I$59, 8, FALSE), perc_85, perc_75 + (perc_90 - perc_75) * (2/3), converted_stat, '2K_Ratings'!T848, IF(bbgm_stat &gt;= perc_95, converted_stat * 3, IF(bbgm_stat &gt;= perc_90, converted_stat * 2, IF(bbgm_stat &gt;= perc_85, converted_stat * 1.5, converted_stat)))))</f>
        <v/>
      </c>
      <c r="U848" s="30" t="str">
        <f t="array" ref="U848">IF($A848="", "", LET(bbgm_stat, INDEX(Players!$A847:$P847, MATCH(U$2, Players!$A$1:$P$1, 0)), perc_75, VLOOKUP(U$2, Percentiles!$A$45:$I$59, 6, FALSE), perc_90, VLOOKUP(U$2, Percentiles!$A$45:$I$59, 7, FALSE), perc_95, VLOOKUP(U$2, Percentiles!$A$45:$I$59, 8, FALSE), perc_85, perc_75 + (perc_90 - perc_75) * (2/3), converted_stat, '2K_Ratings'!U848, IF(bbgm_stat &gt;= perc_95, converted_stat * 3, IF(bbgm_stat &gt;= perc_90, converted_stat * 2, IF(bbgm_stat &gt;= perc_85, converted_stat * 1.5, converted_stat)))))</f>
        <v/>
      </c>
      <c r="V848" s="30" t="str">
        <f t="array" ref="V848">IF($A848="", "", LET(bbgm_stat, INDEX(Players!$A847:$P847, MATCH(V$2, Players!$A$1:$P$1, 0)), perc_75, VLOOKUP(V$2, Percentiles!$A$45:$I$59, 6, FALSE), perc_90, VLOOKUP(V$2, Percentiles!$A$45:$I$59, 7, FALSE), perc_95, VLOOKUP(V$2, Percentiles!$A$45:$I$59, 8, FALSE), perc_85, perc_75 + (perc_90 - perc_75) * (2/3), converted_stat, '2K_Ratings'!V848, IF(bbgm_stat &gt;= perc_95, converted_stat * 3, IF(bbgm_stat &gt;= perc_90, converted_stat * 2, IF(bbgm_stat &gt;= perc_85, converted_stat * 1.5, converted_stat)))))</f>
        <v/>
      </c>
      <c r="W848" s="30" t="str">
        <f t="array" ref="W848">IF($A848="", "", LET(bbgm_stat, INDEX(Players!$A847:$P847, MATCH(W$2, Players!$A$1:$P$1, 0)), perc_75, VLOOKUP(W$2, Percentiles!$A$45:$I$59, 6, FALSE), perc_90, VLOOKUP(W$2, Percentiles!$A$45:$I$59, 7, FALSE), perc_95, VLOOKUP(W$2, Percentiles!$A$45:$I$59, 8, FALSE), perc_85, perc_75 + (perc_90 - perc_75) * (2/3), converted_stat, '2K_Ratings'!W848, IF(bbgm_stat &gt;= perc_95, converted_stat * 3, IF(bbgm_stat &gt;= perc_90, converted_stat * 2, IF(bbgm_stat &gt;= perc_85, converted_stat * 1.5, converted_stat)))))</f>
        <v/>
      </c>
    </row>
    <row r="849">
      <c r="A849" s="30"/>
      <c r="B849" s="30" t="str">
        <f t="array" ref="B849">IF($A849="", "", LET(bbgm_stat, INDEX(Players!$A848:$P848, MATCH(B$2, Players!$A$1:$P$1, 0)), perc_75, VLOOKUP(B$2, Percentiles!$A$45:$I$59, 6, FALSE), perc_90, VLOOKUP(B$2, Percentiles!$A$45:$I$59, 7, FALSE), perc_95, VLOOKUP(B$2, Percentiles!$A$45:$I$59, 8, FALSE), perc_85, perc_75 + (perc_90 - perc_75) * (2/3), converted_stat, '2K_Ratings'!B849, IF(bbgm_stat &gt;= perc_95, converted_stat * 3, IF(bbgm_stat &gt;= perc_90, converted_stat * 2, IF(bbgm_stat &gt;= perc_85, converted_stat * 1.5, converted_stat)))))</f>
        <v/>
      </c>
      <c r="C849" s="30" t="str">
        <f t="array" ref="C849">IF($A849="", "", LET(bbgm_stat, INDEX(Players!$A848:$P848, MATCH(C$2, Players!$A$1:$P$1, 0)), perc_75, VLOOKUP(C$2, Percentiles!$A$45:$I$59, 6, FALSE), perc_90, VLOOKUP(C$2, Percentiles!$A$45:$I$59, 7, FALSE), perc_95, VLOOKUP(C$2, Percentiles!$A$45:$I$59, 8, FALSE), perc_85, perc_75 + (perc_90 - perc_75) * (2/3), converted_stat, '2K_Ratings'!C849, IF(bbgm_stat &gt;= perc_95, converted_stat * 3, IF(bbgm_stat &gt;= perc_90, converted_stat * 2, IF(bbgm_stat &gt;= perc_85, converted_stat * 1.5, converted_stat)))))</f>
        <v/>
      </c>
      <c r="D849" s="30" t="str">
        <f t="array" ref="D849">IF($A849="", "", LET(bbgm_stat, INDEX(Players!$A848:$P848, MATCH(D$2, Players!$A$1:$P$1, 0)), perc_75, VLOOKUP(D$2, Percentiles!$A$45:$I$59, 6, FALSE), perc_90, VLOOKUP(D$2, Percentiles!$A$45:$I$59, 7, FALSE), perc_95, VLOOKUP(D$2, Percentiles!$A$45:$I$59, 8, FALSE), perc_85, perc_75 + (perc_90 - perc_75) * (2/3), converted_stat, '2K_Ratings'!D849, IF(bbgm_stat &gt;= perc_95, converted_stat * 3, IF(bbgm_stat &gt;= perc_90, converted_stat * 2, IF(bbgm_stat &gt;= perc_85, converted_stat * 1.5, converted_stat)))))</f>
        <v/>
      </c>
      <c r="E849" s="30" t="str">
        <f t="array" ref="E849">IF($A849="", "", LET(bbgm_stat, INDEX(Players!$A848:$P848, MATCH(E$2, Players!$A$1:$P$1, 0)), perc_75, VLOOKUP(E$2, Percentiles!$A$45:$I$59, 6, FALSE), perc_90, VLOOKUP(E$2, Percentiles!$A$45:$I$59, 7, FALSE), perc_95, VLOOKUP(E$2, Percentiles!$A$45:$I$59, 8, FALSE), perc_85, perc_75 + (perc_90 - perc_75) * (2/3), converted_stat, '2K_Ratings'!E849, IF(bbgm_stat &gt;= perc_95, converted_stat * 3, IF(bbgm_stat &gt;= perc_90, converted_stat * 2, IF(bbgm_stat &gt;= perc_85, converted_stat * 1.5, converted_stat)))))</f>
        <v/>
      </c>
      <c r="F849" s="30" t="str">
        <f t="array" ref="F849">IF($A849="", "", LET(bbgm_stat, INDEX(Players!$A848:$P848, MATCH(F$2, Players!$A$1:$P$1, 0)), perc_75, VLOOKUP(F$2, Percentiles!$A$45:$I$59, 6, FALSE), perc_90, VLOOKUP(F$2, Percentiles!$A$45:$I$59, 7, FALSE), perc_95, VLOOKUP(F$2, Percentiles!$A$45:$I$59, 8, FALSE), perc_85, perc_75 + (perc_90 - perc_75) * (2/3), converted_stat, '2K_Ratings'!F849, IF(bbgm_stat &gt;= perc_95, converted_stat * 3, IF(bbgm_stat &gt;= perc_90, converted_stat * 2, IF(bbgm_stat &gt;= perc_85, converted_stat * 1.5, converted_stat)))))</f>
        <v/>
      </c>
      <c r="G849" s="30" t="str">
        <f t="array" ref="G849">IF($A849="", "", LET(bbgm_stat, INDEX(Players!$A848:$P848, MATCH(G$2, Players!$A$1:$P$1, 0)), perc_75, VLOOKUP(G$2, Percentiles!$A$45:$I$59, 6, FALSE), perc_90, VLOOKUP(G$2, Percentiles!$A$45:$I$59, 7, FALSE), perc_95, VLOOKUP(G$2, Percentiles!$A$45:$I$59, 8, FALSE), perc_85, perc_75 + (perc_90 - perc_75) * (2/3), converted_stat, '2K_Ratings'!G849, IF(bbgm_stat &gt;= perc_95, converted_stat * 3, IF(bbgm_stat &gt;= perc_90, converted_stat * 2, IF(bbgm_stat &gt;= perc_85, converted_stat * 1.5, converted_stat)))))</f>
        <v/>
      </c>
      <c r="H849" s="30" t="str">
        <f t="array" ref="H849">IF($A849="", "", LET(bbgm_stat, INDEX(Players!$A848:$P848, MATCH(H$2, Players!$A$1:$P$1, 0)), perc_75, VLOOKUP(H$2, Percentiles!$A$45:$I$59, 6, FALSE), perc_90, VLOOKUP(H$2, Percentiles!$A$45:$I$59, 7, FALSE), perc_95, VLOOKUP(H$2, Percentiles!$A$45:$I$59, 8, FALSE), perc_85, perc_75 + (perc_90 - perc_75) * (2/3), converted_stat, '2K_Ratings'!H849, IF(bbgm_stat &gt;= perc_95, converted_stat * 3, IF(bbgm_stat &gt;= perc_90, converted_stat * 2, IF(bbgm_stat &gt;= perc_85, converted_stat * 1.5, converted_stat)))))</f>
        <v/>
      </c>
      <c r="I849" s="30" t="str">
        <f t="array" ref="I849">IF($A849="", "", LET(bbgm_stat, INDEX(Players!$A848:$P848, MATCH(I$2, Players!$A$1:$P$1, 0)), perc_75, VLOOKUP(I$2, Percentiles!$A$45:$I$59, 6, FALSE), perc_90, VLOOKUP(I$2, Percentiles!$A$45:$I$59, 7, FALSE), perc_95, VLOOKUP(I$2, Percentiles!$A$45:$I$59, 8, FALSE), perc_85, perc_75 + (perc_90 - perc_75) * (2/3), converted_stat, '2K_Ratings'!I849, IF(bbgm_stat &gt;= perc_95, converted_stat * 3, IF(bbgm_stat &gt;= perc_90, converted_stat * 2, IF(bbgm_stat &gt;= perc_85, converted_stat * 1.5, converted_stat)))))</f>
        <v/>
      </c>
      <c r="J849" s="30" t="str">
        <f t="array" ref="J849">IF($A849="", "", LET(bbgm_stat, INDEX(Players!$A848:$P848, MATCH(J$2, Players!$A$1:$P$1, 0)), perc_75, VLOOKUP(J$2, Percentiles!$A$45:$I$59, 6, FALSE), perc_90, VLOOKUP(J$2, Percentiles!$A$45:$I$59, 7, FALSE), perc_95, VLOOKUP(J$2, Percentiles!$A$45:$I$59, 8, FALSE), perc_85, perc_75 + (perc_90 - perc_75) * (2/3), converted_stat, '2K_Ratings'!J849, IF(bbgm_stat &gt;= perc_95, converted_stat * 3, IF(bbgm_stat &gt;= perc_90, converted_stat * 2, IF(bbgm_stat &gt;= perc_85, converted_stat * 1.5, converted_stat)))))</f>
        <v/>
      </c>
      <c r="K849" s="30" t="str">
        <f t="array" ref="K849">IF($A849="", "", LET(bbgm_stat, INDEX(Players!$A848:$P848, MATCH(K$2, Players!$A$1:$P$1, 0)), perc_75, VLOOKUP(K$2, Percentiles!$A$45:$I$59, 6, FALSE), perc_90, VLOOKUP(K$2, Percentiles!$A$45:$I$59, 7, FALSE), perc_95, VLOOKUP(K$2, Percentiles!$A$45:$I$59, 8, FALSE), perc_85, perc_75 + (perc_90 - perc_75) * (2/3), converted_stat, '2K_Ratings'!K849, IF(bbgm_stat &gt;= perc_95, converted_stat * 3, IF(bbgm_stat &gt;= perc_90, converted_stat * 2, IF(bbgm_stat &gt;= perc_85, converted_stat * 1.5, converted_stat)))))</f>
        <v/>
      </c>
      <c r="L849" s="30" t="str">
        <f t="array" ref="L849">IF($A849="", "", LET(bbgm_stat, INDEX(Players!$A848:$P848, MATCH(L$2, Players!$A$1:$P$1, 0)), perc_75, VLOOKUP(L$2, Percentiles!$A$45:$I$59, 6, FALSE), perc_90, VLOOKUP(L$2, Percentiles!$A$45:$I$59, 7, FALSE), perc_95, VLOOKUP(L$2, Percentiles!$A$45:$I$59, 8, FALSE), perc_85, perc_75 + (perc_90 - perc_75) * (2/3), converted_stat, '2K_Ratings'!L849, IF(bbgm_stat &gt;= perc_95, converted_stat * 3, IF(bbgm_stat &gt;= perc_90, converted_stat * 2, IF(bbgm_stat &gt;= perc_85, converted_stat * 1.5, converted_stat)))))</f>
        <v/>
      </c>
      <c r="M849" s="30" t="str">
        <f t="array" ref="M849">IF($A849="", "", LET(bbgm_stat, INDEX(Players!$A848:$P848, MATCH(M$2, Players!$A$1:$P$1, 0)), perc_75, VLOOKUP(M$2, Percentiles!$A$45:$I$59, 6, FALSE), perc_90, VLOOKUP(M$2, Percentiles!$A$45:$I$59, 7, FALSE), perc_95, VLOOKUP(M$2, Percentiles!$A$45:$I$59, 8, FALSE), perc_85, perc_75 + (perc_90 - perc_75) * (2/3), converted_stat, '2K_Ratings'!M849, IF(bbgm_stat &gt;= perc_95, converted_stat * 3, IF(bbgm_stat &gt;= perc_90, converted_stat * 2, IF(bbgm_stat &gt;= perc_85, converted_stat * 1.5, converted_stat)))))</f>
        <v/>
      </c>
      <c r="N849" s="30" t="str">
        <f t="array" ref="N849">IF($A849="", "", LET(bbgm_stat, INDEX(Players!$A848:$P848, MATCH(N$2, Players!$A$1:$P$1, 0)), perc_75, VLOOKUP(N$2, Percentiles!$A$45:$I$59, 6, FALSE), perc_90, VLOOKUP(N$2, Percentiles!$A$45:$I$59, 7, FALSE), perc_95, VLOOKUP(N$2, Percentiles!$A$45:$I$59, 8, FALSE), perc_85, perc_75 + (perc_90 - perc_75) * (2/3), converted_stat, '2K_Ratings'!N849, IF(bbgm_stat &gt;= perc_95, converted_stat * 3, IF(bbgm_stat &gt;= perc_90, converted_stat * 2, IF(bbgm_stat &gt;= perc_85, converted_stat * 1.5, converted_stat)))))</f>
        <v/>
      </c>
      <c r="O849" s="30" t="str">
        <f t="array" ref="O849">IF($A849="", "", LET(bbgm_stat, INDEX(Players!$A848:$P848, MATCH(O$2, Players!$A$1:$P$1, 0)), perc_75, VLOOKUP(O$2, Percentiles!$A$45:$I$59, 6, FALSE), perc_90, VLOOKUP(O$2, Percentiles!$A$45:$I$59, 7, FALSE), perc_95, VLOOKUP(O$2, Percentiles!$A$45:$I$59, 8, FALSE), perc_85, perc_75 + (perc_90 - perc_75) * (2/3), converted_stat, '2K_Ratings'!O849, IF(bbgm_stat &gt;= perc_95, converted_stat * 3, IF(bbgm_stat &gt;= perc_90, converted_stat * 2, IF(bbgm_stat &gt;= perc_85, converted_stat * 1.5, converted_stat)))))</f>
        <v/>
      </c>
      <c r="P849" s="30" t="str">
        <f t="array" ref="P849">IF($A849="", "", LET(bbgm_stat, INDEX(Players!$A848:$P848, MATCH(P$2, Players!$A$1:$P$1, 0)), perc_75, VLOOKUP(P$2, Percentiles!$A$45:$I$59, 6, FALSE), perc_90, VLOOKUP(P$2, Percentiles!$A$45:$I$59, 7, FALSE), perc_95, VLOOKUP(P$2, Percentiles!$A$45:$I$59, 8, FALSE), perc_85, perc_75 + (perc_90 - perc_75) * (2/3), converted_stat, '2K_Ratings'!P849, IF(bbgm_stat &gt;= perc_95, converted_stat * 3, IF(bbgm_stat &gt;= perc_90, converted_stat * 2, IF(bbgm_stat &gt;= perc_85, converted_stat * 1.5, converted_stat)))))</f>
        <v/>
      </c>
      <c r="Q849" s="30" t="str">
        <f t="array" ref="Q849">IF($A849="", "", LET(bbgm_stat, INDEX(Players!$A848:$P848, MATCH(Q$2, Players!$A$1:$P$1, 0)), perc_75, VLOOKUP(Q$2, Percentiles!$A$45:$I$59, 6, FALSE), perc_90, VLOOKUP(Q$2, Percentiles!$A$45:$I$59, 7, FALSE), perc_95, VLOOKUP(Q$2, Percentiles!$A$45:$I$59, 8, FALSE), perc_85, perc_75 + (perc_90 - perc_75) * (2/3), converted_stat, '2K_Ratings'!Q849, IF(bbgm_stat &gt;= perc_95, converted_stat * 3, IF(bbgm_stat &gt;= perc_90, converted_stat * 2, IF(bbgm_stat &gt;= perc_85, converted_stat * 1.5, converted_stat)))))</f>
        <v/>
      </c>
      <c r="R849" s="30" t="str">
        <f t="array" ref="R849">IF($A849="", "", LET(bbgm_stat, INDEX(Players!$A848:$P848, MATCH(R$2, Players!$A$1:$P$1, 0)), perc_75, VLOOKUP(R$2, Percentiles!$A$45:$I$59, 6, FALSE), perc_90, VLOOKUP(R$2, Percentiles!$A$45:$I$59, 7, FALSE), perc_95, VLOOKUP(R$2, Percentiles!$A$45:$I$59, 8, FALSE), perc_85, perc_75 + (perc_90 - perc_75) * (2/3), converted_stat, '2K_Ratings'!R849, IF(bbgm_stat &gt;= perc_95, converted_stat * 3, IF(bbgm_stat &gt;= perc_90, converted_stat * 2, IF(bbgm_stat &gt;= perc_85, converted_stat * 1.5, converted_stat)))))</f>
        <v/>
      </c>
      <c r="S849" s="30" t="str">
        <f t="array" ref="S849">IF($A849="", "", LET(bbgm_stat, INDEX(Players!$A848:$P848, MATCH(S$2, Players!$A$1:$P$1, 0)), perc_75, VLOOKUP(S$2, Percentiles!$A$45:$I$59, 6, FALSE), perc_90, VLOOKUP(S$2, Percentiles!$A$45:$I$59, 7, FALSE), perc_95, VLOOKUP(S$2, Percentiles!$A$45:$I$59, 8, FALSE), perc_85, perc_75 + (perc_90 - perc_75) * (2/3), converted_stat, '2K_Ratings'!S849, IF(bbgm_stat &gt;= perc_95, converted_stat * 3, IF(bbgm_stat &gt;= perc_90, converted_stat * 2, IF(bbgm_stat &gt;= perc_85, converted_stat * 1.5, converted_stat)))))</f>
        <v/>
      </c>
      <c r="T849" s="30" t="str">
        <f t="array" ref="T849">IF($A849="", "", LET(bbgm_stat, INDEX(Players!$A848:$P848, MATCH(T$2, Players!$A$1:$P$1, 0)), perc_75, VLOOKUP(T$2, Percentiles!$A$45:$I$59, 6, FALSE), perc_90, VLOOKUP(T$2, Percentiles!$A$45:$I$59, 7, FALSE), perc_95, VLOOKUP(T$2, Percentiles!$A$45:$I$59, 8, FALSE), perc_85, perc_75 + (perc_90 - perc_75) * (2/3), converted_stat, '2K_Ratings'!T849, IF(bbgm_stat &gt;= perc_95, converted_stat * 3, IF(bbgm_stat &gt;= perc_90, converted_stat * 2, IF(bbgm_stat &gt;= perc_85, converted_stat * 1.5, converted_stat)))))</f>
        <v/>
      </c>
      <c r="U849" s="30" t="str">
        <f t="array" ref="U849">IF($A849="", "", LET(bbgm_stat, INDEX(Players!$A848:$P848, MATCH(U$2, Players!$A$1:$P$1, 0)), perc_75, VLOOKUP(U$2, Percentiles!$A$45:$I$59, 6, FALSE), perc_90, VLOOKUP(U$2, Percentiles!$A$45:$I$59, 7, FALSE), perc_95, VLOOKUP(U$2, Percentiles!$A$45:$I$59, 8, FALSE), perc_85, perc_75 + (perc_90 - perc_75) * (2/3), converted_stat, '2K_Ratings'!U849, IF(bbgm_stat &gt;= perc_95, converted_stat * 3, IF(bbgm_stat &gt;= perc_90, converted_stat * 2, IF(bbgm_stat &gt;= perc_85, converted_stat * 1.5, converted_stat)))))</f>
        <v/>
      </c>
      <c r="V849" s="30" t="str">
        <f t="array" ref="V849">IF($A849="", "", LET(bbgm_stat, INDEX(Players!$A848:$P848, MATCH(V$2, Players!$A$1:$P$1, 0)), perc_75, VLOOKUP(V$2, Percentiles!$A$45:$I$59, 6, FALSE), perc_90, VLOOKUP(V$2, Percentiles!$A$45:$I$59, 7, FALSE), perc_95, VLOOKUP(V$2, Percentiles!$A$45:$I$59, 8, FALSE), perc_85, perc_75 + (perc_90 - perc_75) * (2/3), converted_stat, '2K_Ratings'!V849, IF(bbgm_stat &gt;= perc_95, converted_stat * 3, IF(bbgm_stat &gt;= perc_90, converted_stat * 2, IF(bbgm_stat &gt;= perc_85, converted_stat * 1.5, converted_stat)))))</f>
        <v/>
      </c>
      <c r="W849" s="30" t="str">
        <f t="array" ref="W849">IF($A849="", "", LET(bbgm_stat, INDEX(Players!$A848:$P848, MATCH(W$2, Players!$A$1:$P$1, 0)), perc_75, VLOOKUP(W$2, Percentiles!$A$45:$I$59, 6, FALSE), perc_90, VLOOKUP(W$2, Percentiles!$A$45:$I$59, 7, FALSE), perc_95, VLOOKUP(W$2, Percentiles!$A$45:$I$59, 8, FALSE), perc_85, perc_75 + (perc_90 - perc_75) * (2/3), converted_stat, '2K_Ratings'!W849, IF(bbgm_stat &gt;= perc_95, converted_stat * 3, IF(bbgm_stat &gt;= perc_90, converted_stat * 2, IF(bbgm_stat &gt;= perc_85, converted_stat * 1.5, converted_stat)))))</f>
        <v/>
      </c>
    </row>
    <row r="850">
      <c r="A850" s="30"/>
      <c r="B850" s="30" t="str">
        <f t="array" ref="B850">IF($A850="", "", LET(bbgm_stat, INDEX(Players!$A849:$P849, MATCH(B$2, Players!$A$1:$P$1, 0)), perc_75, VLOOKUP(B$2, Percentiles!$A$45:$I$59, 6, FALSE), perc_90, VLOOKUP(B$2, Percentiles!$A$45:$I$59, 7, FALSE), perc_95, VLOOKUP(B$2, Percentiles!$A$45:$I$59, 8, FALSE), perc_85, perc_75 + (perc_90 - perc_75) * (2/3), converted_stat, '2K_Ratings'!B850, IF(bbgm_stat &gt;= perc_95, converted_stat * 3, IF(bbgm_stat &gt;= perc_90, converted_stat * 2, IF(bbgm_stat &gt;= perc_85, converted_stat * 1.5, converted_stat)))))</f>
        <v/>
      </c>
      <c r="C850" s="30" t="str">
        <f t="array" ref="C850">IF($A850="", "", LET(bbgm_stat, INDEX(Players!$A849:$P849, MATCH(C$2, Players!$A$1:$P$1, 0)), perc_75, VLOOKUP(C$2, Percentiles!$A$45:$I$59, 6, FALSE), perc_90, VLOOKUP(C$2, Percentiles!$A$45:$I$59, 7, FALSE), perc_95, VLOOKUP(C$2, Percentiles!$A$45:$I$59, 8, FALSE), perc_85, perc_75 + (perc_90 - perc_75) * (2/3), converted_stat, '2K_Ratings'!C850, IF(bbgm_stat &gt;= perc_95, converted_stat * 3, IF(bbgm_stat &gt;= perc_90, converted_stat * 2, IF(bbgm_stat &gt;= perc_85, converted_stat * 1.5, converted_stat)))))</f>
        <v/>
      </c>
      <c r="D850" s="30" t="str">
        <f t="array" ref="D850">IF($A850="", "", LET(bbgm_stat, INDEX(Players!$A849:$P849, MATCH(D$2, Players!$A$1:$P$1, 0)), perc_75, VLOOKUP(D$2, Percentiles!$A$45:$I$59, 6, FALSE), perc_90, VLOOKUP(D$2, Percentiles!$A$45:$I$59, 7, FALSE), perc_95, VLOOKUP(D$2, Percentiles!$A$45:$I$59, 8, FALSE), perc_85, perc_75 + (perc_90 - perc_75) * (2/3), converted_stat, '2K_Ratings'!D850, IF(bbgm_stat &gt;= perc_95, converted_stat * 3, IF(bbgm_stat &gt;= perc_90, converted_stat * 2, IF(bbgm_stat &gt;= perc_85, converted_stat * 1.5, converted_stat)))))</f>
        <v/>
      </c>
      <c r="E850" s="30" t="str">
        <f t="array" ref="E850">IF($A850="", "", LET(bbgm_stat, INDEX(Players!$A849:$P849, MATCH(E$2, Players!$A$1:$P$1, 0)), perc_75, VLOOKUP(E$2, Percentiles!$A$45:$I$59, 6, FALSE), perc_90, VLOOKUP(E$2, Percentiles!$A$45:$I$59, 7, FALSE), perc_95, VLOOKUP(E$2, Percentiles!$A$45:$I$59, 8, FALSE), perc_85, perc_75 + (perc_90 - perc_75) * (2/3), converted_stat, '2K_Ratings'!E850, IF(bbgm_stat &gt;= perc_95, converted_stat * 3, IF(bbgm_stat &gt;= perc_90, converted_stat * 2, IF(bbgm_stat &gt;= perc_85, converted_stat * 1.5, converted_stat)))))</f>
        <v/>
      </c>
      <c r="F850" s="30" t="str">
        <f t="array" ref="F850">IF($A850="", "", LET(bbgm_stat, INDEX(Players!$A849:$P849, MATCH(F$2, Players!$A$1:$P$1, 0)), perc_75, VLOOKUP(F$2, Percentiles!$A$45:$I$59, 6, FALSE), perc_90, VLOOKUP(F$2, Percentiles!$A$45:$I$59, 7, FALSE), perc_95, VLOOKUP(F$2, Percentiles!$A$45:$I$59, 8, FALSE), perc_85, perc_75 + (perc_90 - perc_75) * (2/3), converted_stat, '2K_Ratings'!F850, IF(bbgm_stat &gt;= perc_95, converted_stat * 3, IF(bbgm_stat &gt;= perc_90, converted_stat * 2, IF(bbgm_stat &gt;= perc_85, converted_stat * 1.5, converted_stat)))))</f>
        <v/>
      </c>
      <c r="G850" s="30" t="str">
        <f t="array" ref="G850">IF($A850="", "", LET(bbgm_stat, INDEX(Players!$A849:$P849, MATCH(G$2, Players!$A$1:$P$1, 0)), perc_75, VLOOKUP(G$2, Percentiles!$A$45:$I$59, 6, FALSE), perc_90, VLOOKUP(G$2, Percentiles!$A$45:$I$59, 7, FALSE), perc_95, VLOOKUP(G$2, Percentiles!$A$45:$I$59, 8, FALSE), perc_85, perc_75 + (perc_90 - perc_75) * (2/3), converted_stat, '2K_Ratings'!G850, IF(bbgm_stat &gt;= perc_95, converted_stat * 3, IF(bbgm_stat &gt;= perc_90, converted_stat * 2, IF(bbgm_stat &gt;= perc_85, converted_stat * 1.5, converted_stat)))))</f>
        <v/>
      </c>
      <c r="H850" s="30" t="str">
        <f t="array" ref="H850">IF($A850="", "", LET(bbgm_stat, INDEX(Players!$A849:$P849, MATCH(H$2, Players!$A$1:$P$1, 0)), perc_75, VLOOKUP(H$2, Percentiles!$A$45:$I$59, 6, FALSE), perc_90, VLOOKUP(H$2, Percentiles!$A$45:$I$59, 7, FALSE), perc_95, VLOOKUP(H$2, Percentiles!$A$45:$I$59, 8, FALSE), perc_85, perc_75 + (perc_90 - perc_75) * (2/3), converted_stat, '2K_Ratings'!H850, IF(bbgm_stat &gt;= perc_95, converted_stat * 3, IF(bbgm_stat &gt;= perc_90, converted_stat * 2, IF(bbgm_stat &gt;= perc_85, converted_stat * 1.5, converted_stat)))))</f>
        <v/>
      </c>
      <c r="I850" s="30" t="str">
        <f t="array" ref="I850">IF($A850="", "", LET(bbgm_stat, INDEX(Players!$A849:$P849, MATCH(I$2, Players!$A$1:$P$1, 0)), perc_75, VLOOKUP(I$2, Percentiles!$A$45:$I$59, 6, FALSE), perc_90, VLOOKUP(I$2, Percentiles!$A$45:$I$59, 7, FALSE), perc_95, VLOOKUP(I$2, Percentiles!$A$45:$I$59, 8, FALSE), perc_85, perc_75 + (perc_90 - perc_75) * (2/3), converted_stat, '2K_Ratings'!I850, IF(bbgm_stat &gt;= perc_95, converted_stat * 3, IF(bbgm_stat &gt;= perc_90, converted_stat * 2, IF(bbgm_stat &gt;= perc_85, converted_stat * 1.5, converted_stat)))))</f>
        <v/>
      </c>
      <c r="J850" s="30" t="str">
        <f t="array" ref="J850">IF($A850="", "", LET(bbgm_stat, INDEX(Players!$A849:$P849, MATCH(J$2, Players!$A$1:$P$1, 0)), perc_75, VLOOKUP(J$2, Percentiles!$A$45:$I$59, 6, FALSE), perc_90, VLOOKUP(J$2, Percentiles!$A$45:$I$59, 7, FALSE), perc_95, VLOOKUP(J$2, Percentiles!$A$45:$I$59, 8, FALSE), perc_85, perc_75 + (perc_90 - perc_75) * (2/3), converted_stat, '2K_Ratings'!J850, IF(bbgm_stat &gt;= perc_95, converted_stat * 3, IF(bbgm_stat &gt;= perc_90, converted_stat * 2, IF(bbgm_stat &gt;= perc_85, converted_stat * 1.5, converted_stat)))))</f>
        <v/>
      </c>
      <c r="K850" s="30" t="str">
        <f t="array" ref="K850">IF($A850="", "", LET(bbgm_stat, INDEX(Players!$A849:$P849, MATCH(K$2, Players!$A$1:$P$1, 0)), perc_75, VLOOKUP(K$2, Percentiles!$A$45:$I$59, 6, FALSE), perc_90, VLOOKUP(K$2, Percentiles!$A$45:$I$59, 7, FALSE), perc_95, VLOOKUP(K$2, Percentiles!$A$45:$I$59, 8, FALSE), perc_85, perc_75 + (perc_90 - perc_75) * (2/3), converted_stat, '2K_Ratings'!K850, IF(bbgm_stat &gt;= perc_95, converted_stat * 3, IF(bbgm_stat &gt;= perc_90, converted_stat * 2, IF(bbgm_stat &gt;= perc_85, converted_stat * 1.5, converted_stat)))))</f>
        <v/>
      </c>
      <c r="L850" s="30" t="str">
        <f t="array" ref="L850">IF($A850="", "", LET(bbgm_stat, INDEX(Players!$A849:$P849, MATCH(L$2, Players!$A$1:$P$1, 0)), perc_75, VLOOKUP(L$2, Percentiles!$A$45:$I$59, 6, FALSE), perc_90, VLOOKUP(L$2, Percentiles!$A$45:$I$59, 7, FALSE), perc_95, VLOOKUP(L$2, Percentiles!$A$45:$I$59, 8, FALSE), perc_85, perc_75 + (perc_90 - perc_75) * (2/3), converted_stat, '2K_Ratings'!L850, IF(bbgm_stat &gt;= perc_95, converted_stat * 3, IF(bbgm_stat &gt;= perc_90, converted_stat * 2, IF(bbgm_stat &gt;= perc_85, converted_stat * 1.5, converted_stat)))))</f>
        <v/>
      </c>
      <c r="M850" s="30" t="str">
        <f t="array" ref="M850">IF($A850="", "", LET(bbgm_stat, INDEX(Players!$A849:$P849, MATCH(M$2, Players!$A$1:$P$1, 0)), perc_75, VLOOKUP(M$2, Percentiles!$A$45:$I$59, 6, FALSE), perc_90, VLOOKUP(M$2, Percentiles!$A$45:$I$59, 7, FALSE), perc_95, VLOOKUP(M$2, Percentiles!$A$45:$I$59, 8, FALSE), perc_85, perc_75 + (perc_90 - perc_75) * (2/3), converted_stat, '2K_Ratings'!M850, IF(bbgm_stat &gt;= perc_95, converted_stat * 3, IF(bbgm_stat &gt;= perc_90, converted_stat * 2, IF(bbgm_stat &gt;= perc_85, converted_stat * 1.5, converted_stat)))))</f>
        <v/>
      </c>
      <c r="N850" s="30" t="str">
        <f t="array" ref="N850">IF($A850="", "", LET(bbgm_stat, INDEX(Players!$A849:$P849, MATCH(N$2, Players!$A$1:$P$1, 0)), perc_75, VLOOKUP(N$2, Percentiles!$A$45:$I$59, 6, FALSE), perc_90, VLOOKUP(N$2, Percentiles!$A$45:$I$59, 7, FALSE), perc_95, VLOOKUP(N$2, Percentiles!$A$45:$I$59, 8, FALSE), perc_85, perc_75 + (perc_90 - perc_75) * (2/3), converted_stat, '2K_Ratings'!N850, IF(bbgm_stat &gt;= perc_95, converted_stat * 3, IF(bbgm_stat &gt;= perc_90, converted_stat * 2, IF(bbgm_stat &gt;= perc_85, converted_stat * 1.5, converted_stat)))))</f>
        <v/>
      </c>
      <c r="O850" s="30" t="str">
        <f t="array" ref="O850">IF($A850="", "", LET(bbgm_stat, INDEX(Players!$A849:$P849, MATCH(O$2, Players!$A$1:$P$1, 0)), perc_75, VLOOKUP(O$2, Percentiles!$A$45:$I$59, 6, FALSE), perc_90, VLOOKUP(O$2, Percentiles!$A$45:$I$59, 7, FALSE), perc_95, VLOOKUP(O$2, Percentiles!$A$45:$I$59, 8, FALSE), perc_85, perc_75 + (perc_90 - perc_75) * (2/3), converted_stat, '2K_Ratings'!O850, IF(bbgm_stat &gt;= perc_95, converted_stat * 3, IF(bbgm_stat &gt;= perc_90, converted_stat * 2, IF(bbgm_stat &gt;= perc_85, converted_stat * 1.5, converted_stat)))))</f>
        <v/>
      </c>
      <c r="P850" s="30" t="str">
        <f t="array" ref="P850">IF($A850="", "", LET(bbgm_stat, INDEX(Players!$A849:$P849, MATCH(P$2, Players!$A$1:$P$1, 0)), perc_75, VLOOKUP(P$2, Percentiles!$A$45:$I$59, 6, FALSE), perc_90, VLOOKUP(P$2, Percentiles!$A$45:$I$59, 7, FALSE), perc_95, VLOOKUP(P$2, Percentiles!$A$45:$I$59, 8, FALSE), perc_85, perc_75 + (perc_90 - perc_75) * (2/3), converted_stat, '2K_Ratings'!P850, IF(bbgm_stat &gt;= perc_95, converted_stat * 3, IF(bbgm_stat &gt;= perc_90, converted_stat * 2, IF(bbgm_stat &gt;= perc_85, converted_stat * 1.5, converted_stat)))))</f>
        <v/>
      </c>
      <c r="Q850" s="30" t="str">
        <f t="array" ref="Q850">IF($A850="", "", LET(bbgm_stat, INDEX(Players!$A849:$P849, MATCH(Q$2, Players!$A$1:$P$1, 0)), perc_75, VLOOKUP(Q$2, Percentiles!$A$45:$I$59, 6, FALSE), perc_90, VLOOKUP(Q$2, Percentiles!$A$45:$I$59, 7, FALSE), perc_95, VLOOKUP(Q$2, Percentiles!$A$45:$I$59, 8, FALSE), perc_85, perc_75 + (perc_90 - perc_75) * (2/3), converted_stat, '2K_Ratings'!Q850, IF(bbgm_stat &gt;= perc_95, converted_stat * 3, IF(bbgm_stat &gt;= perc_90, converted_stat * 2, IF(bbgm_stat &gt;= perc_85, converted_stat * 1.5, converted_stat)))))</f>
        <v/>
      </c>
      <c r="R850" s="30" t="str">
        <f t="array" ref="R850">IF($A850="", "", LET(bbgm_stat, INDEX(Players!$A849:$P849, MATCH(R$2, Players!$A$1:$P$1, 0)), perc_75, VLOOKUP(R$2, Percentiles!$A$45:$I$59, 6, FALSE), perc_90, VLOOKUP(R$2, Percentiles!$A$45:$I$59, 7, FALSE), perc_95, VLOOKUP(R$2, Percentiles!$A$45:$I$59, 8, FALSE), perc_85, perc_75 + (perc_90 - perc_75) * (2/3), converted_stat, '2K_Ratings'!R850, IF(bbgm_stat &gt;= perc_95, converted_stat * 3, IF(bbgm_stat &gt;= perc_90, converted_stat * 2, IF(bbgm_stat &gt;= perc_85, converted_stat * 1.5, converted_stat)))))</f>
        <v/>
      </c>
      <c r="S850" s="30" t="str">
        <f t="array" ref="S850">IF($A850="", "", LET(bbgm_stat, INDEX(Players!$A849:$P849, MATCH(S$2, Players!$A$1:$P$1, 0)), perc_75, VLOOKUP(S$2, Percentiles!$A$45:$I$59, 6, FALSE), perc_90, VLOOKUP(S$2, Percentiles!$A$45:$I$59, 7, FALSE), perc_95, VLOOKUP(S$2, Percentiles!$A$45:$I$59, 8, FALSE), perc_85, perc_75 + (perc_90 - perc_75) * (2/3), converted_stat, '2K_Ratings'!S850, IF(bbgm_stat &gt;= perc_95, converted_stat * 3, IF(bbgm_stat &gt;= perc_90, converted_stat * 2, IF(bbgm_stat &gt;= perc_85, converted_stat * 1.5, converted_stat)))))</f>
        <v/>
      </c>
      <c r="T850" s="30" t="str">
        <f t="array" ref="T850">IF($A850="", "", LET(bbgm_stat, INDEX(Players!$A849:$P849, MATCH(T$2, Players!$A$1:$P$1, 0)), perc_75, VLOOKUP(T$2, Percentiles!$A$45:$I$59, 6, FALSE), perc_90, VLOOKUP(T$2, Percentiles!$A$45:$I$59, 7, FALSE), perc_95, VLOOKUP(T$2, Percentiles!$A$45:$I$59, 8, FALSE), perc_85, perc_75 + (perc_90 - perc_75) * (2/3), converted_stat, '2K_Ratings'!T850, IF(bbgm_stat &gt;= perc_95, converted_stat * 3, IF(bbgm_stat &gt;= perc_90, converted_stat * 2, IF(bbgm_stat &gt;= perc_85, converted_stat * 1.5, converted_stat)))))</f>
        <v/>
      </c>
      <c r="U850" s="30" t="str">
        <f t="array" ref="U850">IF($A850="", "", LET(bbgm_stat, INDEX(Players!$A849:$P849, MATCH(U$2, Players!$A$1:$P$1, 0)), perc_75, VLOOKUP(U$2, Percentiles!$A$45:$I$59, 6, FALSE), perc_90, VLOOKUP(U$2, Percentiles!$A$45:$I$59, 7, FALSE), perc_95, VLOOKUP(U$2, Percentiles!$A$45:$I$59, 8, FALSE), perc_85, perc_75 + (perc_90 - perc_75) * (2/3), converted_stat, '2K_Ratings'!U850, IF(bbgm_stat &gt;= perc_95, converted_stat * 3, IF(bbgm_stat &gt;= perc_90, converted_stat * 2, IF(bbgm_stat &gt;= perc_85, converted_stat * 1.5, converted_stat)))))</f>
        <v/>
      </c>
      <c r="V850" s="30" t="str">
        <f t="array" ref="V850">IF($A850="", "", LET(bbgm_stat, INDEX(Players!$A849:$P849, MATCH(V$2, Players!$A$1:$P$1, 0)), perc_75, VLOOKUP(V$2, Percentiles!$A$45:$I$59, 6, FALSE), perc_90, VLOOKUP(V$2, Percentiles!$A$45:$I$59, 7, FALSE), perc_95, VLOOKUP(V$2, Percentiles!$A$45:$I$59, 8, FALSE), perc_85, perc_75 + (perc_90 - perc_75) * (2/3), converted_stat, '2K_Ratings'!V850, IF(bbgm_stat &gt;= perc_95, converted_stat * 3, IF(bbgm_stat &gt;= perc_90, converted_stat * 2, IF(bbgm_stat &gt;= perc_85, converted_stat * 1.5, converted_stat)))))</f>
        <v/>
      </c>
      <c r="W850" s="30" t="str">
        <f t="array" ref="W850">IF($A850="", "", LET(bbgm_stat, INDEX(Players!$A849:$P849, MATCH(W$2, Players!$A$1:$P$1, 0)), perc_75, VLOOKUP(W$2, Percentiles!$A$45:$I$59, 6, FALSE), perc_90, VLOOKUP(W$2, Percentiles!$A$45:$I$59, 7, FALSE), perc_95, VLOOKUP(W$2, Percentiles!$A$45:$I$59, 8, FALSE), perc_85, perc_75 + (perc_90 - perc_75) * (2/3), converted_stat, '2K_Ratings'!W850, IF(bbgm_stat &gt;= perc_95, converted_stat * 3, IF(bbgm_stat &gt;= perc_90, converted_stat * 2, IF(bbgm_stat &gt;= perc_85, converted_stat * 1.5, converted_stat)))))</f>
        <v/>
      </c>
    </row>
    <row r="851">
      <c r="A851" s="30"/>
      <c r="B851" s="30" t="str">
        <f t="array" ref="B851">IF($A851="", "", LET(bbgm_stat, INDEX(Players!$A850:$P850, MATCH(B$2, Players!$A$1:$P$1, 0)), perc_75, VLOOKUP(B$2, Percentiles!$A$45:$I$59, 6, FALSE), perc_90, VLOOKUP(B$2, Percentiles!$A$45:$I$59, 7, FALSE), perc_95, VLOOKUP(B$2, Percentiles!$A$45:$I$59, 8, FALSE), perc_85, perc_75 + (perc_90 - perc_75) * (2/3), converted_stat, '2K_Ratings'!B851, IF(bbgm_stat &gt;= perc_95, converted_stat * 3, IF(bbgm_stat &gt;= perc_90, converted_stat * 2, IF(bbgm_stat &gt;= perc_85, converted_stat * 1.5, converted_stat)))))</f>
        <v/>
      </c>
      <c r="C851" s="30" t="str">
        <f t="array" ref="C851">IF($A851="", "", LET(bbgm_stat, INDEX(Players!$A850:$P850, MATCH(C$2, Players!$A$1:$P$1, 0)), perc_75, VLOOKUP(C$2, Percentiles!$A$45:$I$59, 6, FALSE), perc_90, VLOOKUP(C$2, Percentiles!$A$45:$I$59, 7, FALSE), perc_95, VLOOKUP(C$2, Percentiles!$A$45:$I$59, 8, FALSE), perc_85, perc_75 + (perc_90 - perc_75) * (2/3), converted_stat, '2K_Ratings'!C851, IF(bbgm_stat &gt;= perc_95, converted_stat * 3, IF(bbgm_stat &gt;= perc_90, converted_stat * 2, IF(bbgm_stat &gt;= perc_85, converted_stat * 1.5, converted_stat)))))</f>
        <v/>
      </c>
      <c r="D851" s="30" t="str">
        <f t="array" ref="D851">IF($A851="", "", LET(bbgm_stat, INDEX(Players!$A850:$P850, MATCH(D$2, Players!$A$1:$P$1, 0)), perc_75, VLOOKUP(D$2, Percentiles!$A$45:$I$59, 6, FALSE), perc_90, VLOOKUP(D$2, Percentiles!$A$45:$I$59, 7, FALSE), perc_95, VLOOKUP(D$2, Percentiles!$A$45:$I$59, 8, FALSE), perc_85, perc_75 + (perc_90 - perc_75) * (2/3), converted_stat, '2K_Ratings'!D851, IF(bbgm_stat &gt;= perc_95, converted_stat * 3, IF(bbgm_stat &gt;= perc_90, converted_stat * 2, IF(bbgm_stat &gt;= perc_85, converted_stat * 1.5, converted_stat)))))</f>
        <v/>
      </c>
      <c r="E851" s="30" t="str">
        <f t="array" ref="E851">IF($A851="", "", LET(bbgm_stat, INDEX(Players!$A850:$P850, MATCH(E$2, Players!$A$1:$P$1, 0)), perc_75, VLOOKUP(E$2, Percentiles!$A$45:$I$59, 6, FALSE), perc_90, VLOOKUP(E$2, Percentiles!$A$45:$I$59, 7, FALSE), perc_95, VLOOKUP(E$2, Percentiles!$A$45:$I$59, 8, FALSE), perc_85, perc_75 + (perc_90 - perc_75) * (2/3), converted_stat, '2K_Ratings'!E851, IF(bbgm_stat &gt;= perc_95, converted_stat * 3, IF(bbgm_stat &gt;= perc_90, converted_stat * 2, IF(bbgm_stat &gt;= perc_85, converted_stat * 1.5, converted_stat)))))</f>
        <v/>
      </c>
      <c r="F851" s="30" t="str">
        <f t="array" ref="F851">IF($A851="", "", LET(bbgm_stat, INDEX(Players!$A850:$P850, MATCH(F$2, Players!$A$1:$P$1, 0)), perc_75, VLOOKUP(F$2, Percentiles!$A$45:$I$59, 6, FALSE), perc_90, VLOOKUP(F$2, Percentiles!$A$45:$I$59, 7, FALSE), perc_95, VLOOKUP(F$2, Percentiles!$A$45:$I$59, 8, FALSE), perc_85, perc_75 + (perc_90 - perc_75) * (2/3), converted_stat, '2K_Ratings'!F851, IF(bbgm_stat &gt;= perc_95, converted_stat * 3, IF(bbgm_stat &gt;= perc_90, converted_stat * 2, IF(bbgm_stat &gt;= perc_85, converted_stat * 1.5, converted_stat)))))</f>
        <v/>
      </c>
      <c r="G851" s="30" t="str">
        <f t="array" ref="G851">IF($A851="", "", LET(bbgm_stat, INDEX(Players!$A850:$P850, MATCH(G$2, Players!$A$1:$P$1, 0)), perc_75, VLOOKUP(G$2, Percentiles!$A$45:$I$59, 6, FALSE), perc_90, VLOOKUP(G$2, Percentiles!$A$45:$I$59, 7, FALSE), perc_95, VLOOKUP(G$2, Percentiles!$A$45:$I$59, 8, FALSE), perc_85, perc_75 + (perc_90 - perc_75) * (2/3), converted_stat, '2K_Ratings'!G851, IF(bbgm_stat &gt;= perc_95, converted_stat * 3, IF(bbgm_stat &gt;= perc_90, converted_stat * 2, IF(bbgm_stat &gt;= perc_85, converted_stat * 1.5, converted_stat)))))</f>
        <v/>
      </c>
      <c r="H851" s="30" t="str">
        <f t="array" ref="H851">IF($A851="", "", LET(bbgm_stat, INDEX(Players!$A850:$P850, MATCH(H$2, Players!$A$1:$P$1, 0)), perc_75, VLOOKUP(H$2, Percentiles!$A$45:$I$59, 6, FALSE), perc_90, VLOOKUP(H$2, Percentiles!$A$45:$I$59, 7, FALSE), perc_95, VLOOKUP(H$2, Percentiles!$A$45:$I$59, 8, FALSE), perc_85, perc_75 + (perc_90 - perc_75) * (2/3), converted_stat, '2K_Ratings'!H851, IF(bbgm_stat &gt;= perc_95, converted_stat * 3, IF(bbgm_stat &gt;= perc_90, converted_stat * 2, IF(bbgm_stat &gt;= perc_85, converted_stat * 1.5, converted_stat)))))</f>
        <v/>
      </c>
      <c r="I851" s="30" t="str">
        <f t="array" ref="I851">IF($A851="", "", LET(bbgm_stat, INDEX(Players!$A850:$P850, MATCH(I$2, Players!$A$1:$P$1, 0)), perc_75, VLOOKUP(I$2, Percentiles!$A$45:$I$59, 6, FALSE), perc_90, VLOOKUP(I$2, Percentiles!$A$45:$I$59, 7, FALSE), perc_95, VLOOKUP(I$2, Percentiles!$A$45:$I$59, 8, FALSE), perc_85, perc_75 + (perc_90 - perc_75) * (2/3), converted_stat, '2K_Ratings'!I851, IF(bbgm_stat &gt;= perc_95, converted_stat * 3, IF(bbgm_stat &gt;= perc_90, converted_stat * 2, IF(bbgm_stat &gt;= perc_85, converted_stat * 1.5, converted_stat)))))</f>
        <v/>
      </c>
      <c r="J851" s="30" t="str">
        <f t="array" ref="J851">IF($A851="", "", LET(bbgm_stat, INDEX(Players!$A850:$P850, MATCH(J$2, Players!$A$1:$P$1, 0)), perc_75, VLOOKUP(J$2, Percentiles!$A$45:$I$59, 6, FALSE), perc_90, VLOOKUP(J$2, Percentiles!$A$45:$I$59, 7, FALSE), perc_95, VLOOKUP(J$2, Percentiles!$A$45:$I$59, 8, FALSE), perc_85, perc_75 + (perc_90 - perc_75) * (2/3), converted_stat, '2K_Ratings'!J851, IF(bbgm_stat &gt;= perc_95, converted_stat * 3, IF(bbgm_stat &gt;= perc_90, converted_stat * 2, IF(bbgm_stat &gt;= perc_85, converted_stat * 1.5, converted_stat)))))</f>
        <v/>
      </c>
      <c r="K851" s="30" t="str">
        <f t="array" ref="K851">IF($A851="", "", LET(bbgm_stat, INDEX(Players!$A850:$P850, MATCH(K$2, Players!$A$1:$P$1, 0)), perc_75, VLOOKUP(K$2, Percentiles!$A$45:$I$59, 6, FALSE), perc_90, VLOOKUP(K$2, Percentiles!$A$45:$I$59, 7, FALSE), perc_95, VLOOKUP(K$2, Percentiles!$A$45:$I$59, 8, FALSE), perc_85, perc_75 + (perc_90 - perc_75) * (2/3), converted_stat, '2K_Ratings'!K851, IF(bbgm_stat &gt;= perc_95, converted_stat * 3, IF(bbgm_stat &gt;= perc_90, converted_stat * 2, IF(bbgm_stat &gt;= perc_85, converted_stat * 1.5, converted_stat)))))</f>
        <v/>
      </c>
      <c r="L851" s="30" t="str">
        <f t="array" ref="L851">IF($A851="", "", LET(bbgm_stat, INDEX(Players!$A850:$P850, MATCH(L$2, Players!$A$1:$P$1, 0)), perc_75, VLOOKUP(L$2, Percentiles!$A$45:$I$59, 6, FALSE), perc_90, VLOOKUP(L$2, Percentiles!$A$45:$I$59, 7, FALSE), perc_95, VLOOKUP(L$2, Percentiles!$A$45:$I$59, 8, FALSE), perc_85, perc_75 + (perc_90 - perc_75) * (2/3), converted_stat, '2K_Ratings'!L851, IF(bbgm_stat &gt;= perc_95, converted_stat * 3, IF(bbgm_stat &gt;= perc_90, converted_stat * 2, IF(bbgm_stat &gt;= perc_85, converted_stat * 1.5, converted_stat)))))</f>
        <v/>
      </c>
      <c r="M851" s="30" t="str">
        <f t="array" ref="M851">IF($A851="", "", LET(bbgm_stat, INDEX(Players!$A850:$P850, MATCH(M$2, Players!$A$1:$P$1, 0)), perc_75, VLOOKUP(M$2, Percentiles!$A$45:$I$59, 6, FALSE), perc_90, VLOOKUP(M$2, Percentiles!$A$45:$I$59, 7, FALSE), perc_95, VLOOKUP(M$2, Percentiles!$A$45:$I$59, 8, FALSE), perc_85, perc_75 + (perc_90 - perc_75) * (2/3), converted_stat, '2K_Ratings'!M851, IF(bbgm_stat &gt;= perc_95, converted_stat * 3, IF(bbgm_stat &gt;= perc_90, converted_stat * 2, IF(bbgm_stat &gt;= perc_85, converted_stat * 1.5, converted_stat)))))</f>
        <v/>
      </c>
      <c r="N851" s="30" t="str">
        <f t="array" ref="N851">IF($A851="", "", LET(bbgm_stat, INDEX(Players!$A850:$P850, MATCH(N$2, Players!$A$1:$P$1, 0)), perc_75, VLOOKUP(N$2, Percentiles!$A$45:$I$59, 6, FALSE), perc_90, VLOOKUP(N$2, Percentiles!$A$45:$I$59, 7, FALSE), perc_95, VLOOKUP(N$2, Percentiles!$A$45:$I$59, 8, FALSE), perc_85, perc_75 + (perc_90 - perc_75) * (2/3), converted_stat, '2K_Ratings'!N851, IF(bbgm_stat &gt;= perc_95, converted_stat * 3, IF(bbgm_stat &gt;= perc_90, converted_stat * 2, IF(bbgm_stat &gt;= perc_85, converted_stat * 1.5, converted_stat)))))</f>
        <v/>
      </c>
      <c r="O851" s="30" t="str">
        <f t="array" ref="O851">IF($A851="", "", LET(bbgm_stat, INDEX(Players!$A850:$P850, MATCH(O$2, Players!$A$1:$P$1, 0)), perc_75, VLOOKUP(O$2, Percentiles!$A$45:$I$59, 6, FALSE), perc_90, VLOOKUP(O$2, Percentiles!$A$45:$I$59, 7, FALSE), perc_95, VLOOKUP(O$2, Percentiles!$A$45:$I$59, 8, FALSE), perc_85, perc_75 + (perc_90 - perc_75) * (2/3), converted_stat, '2K_Ratings'!O851, IF(bbgm_stat &gt;= perc_95, converted_stat * 3, IF(bbgm_stat &gt;= perc_90, converted_stat * 2, IF(bbgm_stat &gt;= perc_85, converted_stat * 1.5, converted_stat)))))</f>
        <v/>
      </c>
      <c r="P851" s="30" t="str">
        <f t="array" ref="P851">IF($A851="", "", LET(bbgm_stat, INDEX(Players!$A850:$P850, MATCH(P$2, Players!$A$1:$P$1, 0)), perc_75, VLOOKUP(P$2, Percentiles!$A$45:$I$59, 6, FALSE), perc_90, VLOOKUP(P$2, Percentiles!$A$45:$I$59, 7, FALSE), perc_95, VLOOKUP(P$2, Percentiles!$A$45:$I$59, 8, FALSE), perc_85, perc_75 + (perc_90 - perc_75) * (2/3), converted_stat, '2K_Ratings'!P851, IF(bbgm_stat &gt;= perc_95, converted_stat * 3, IF(bbgm_stat &gt;= perc_90, converted_stat * 2, IF(bbgm_stat &gt;= perc_85, converted_stat * 1.5, converted_stat)))))</f>
        <v/>
      </c>
      <c r="Q851" s="30" t="str">
        <f t="array" ref="Q851">IF($A851="", "", LET(bbgm_stat, INDEX(Players!$A850:$P850, MATCH(Q$2, Players!$A$1:$P$1, 0)), perc_75, VLOOKUP(Q$2, Percentiles!$A$45:$I$59, 6, FALSE), perc_90, VLOOKUP(Q$2, Percentiles!$A$45:$I$59, 7, FALSE), perc_95, VLOOKUP(Q$2, Percentiles!$A$45:$I$59, 8, FALSE), perc_85, perc_75 + (perc_90 - perc_75) * (2/3), converted_stat, '2K_Ratings'!Q851, IF(bbgm_stat &gt;= perc_95, converted_stat * 3, IF(bbgm_stat &gt;= perc_90, converted_stat * 2, IF(bbgm_stat &gt;= perc_85, converted_stat * 1.5, converted_stat)))))</f>
        <v/>
      </c>
      <c r="R851" s="30" t="str">
        <f t="array" ref="R851">IF($A851="", "", LET(bbgm_stat, INDEX(Players!$A850:$P850, MATCH(R$2, Players!$A$1:$P$1, 0)), perc_75, VLOOKUP(R$2, Percentiles!$A$45:$I$59, 6, FALSE), perc_90, VLOOKUP(R$2, Percentiles!$A$45:$I$59, 7, FALSE), perc_95, VLOOKUP(R$2, Percentiles!$A$45:$I$59, 8, FALSE), perc_85, perc_75 + (perc_90 - perc_75) * (2/3), converted_stat, '2K_Ratings'!R851, IF(bbgm_stat &gt;= perc_95, converted_stat * 3, IF(bbgm_stat &gt;= perc_90, converted_stat * 2, IF(bbgm_stat &gt;= perc_85, converted_stat * 1.5, converted_stat)))))</f>
        <v/>
      </c>
      <c r="S851" s="30" t="str">
        <f t="array" ref="S851">IF($A851="", "", LET(bbgm_stat, INDEX(Players!$A850:$P850, MATCH(S$2, Players!$A$1:$P$1, 0)), perc_75, VLOOKUP(S$2, Percentiles!$A$45:$I$59, 6, FALSE), perc_90, VLOOKUP(S$2, Percentiles!$A$45:$I$59, 7, FALSE), perc_95, VLOOKUP(S$2, Percentiles!$A$45:$I$59, 8, FALSE), perc_85, perc_75 + (perc_90 - perc_75) * (2/3), converted_stat, '2K_Ratings'!S851, IF(bbgm_stat &gt;= perc_95, converted_stat * 3, IF(bbgm_stat &gt;= perc_90, converted_stat * 2, IF(bbgm_stat &gt;= perc_85, converted_stat * 1.5, converted_stat)))))</f>
        <v/>
      </c>
      <c r="T851" s="30" t="str">
        <f t="array" ref="T851">IF($A851="", "", LET(bbgm_stat, INDEX(Players!$A850:$P850, MATCH(T$2, Players!$A$1:$P$1, 0)), perc_75, VLOOKUP(T$2, Percentiles!$A$45:$I$59, 6, FALSE), perc_90, VLOOKUP(T$2, Percentiles!$A$45:$I$59, 7, FALSE), perc_95, VLOOKUP(T$2, Percentiles!$A$45:$I$59, 8, FALSE), perc_85, perc_75 + (perc_90 - perc_75) * (2/3), converted_stat, '2K_Ratings'!T851, IF(bbgm_stat &gt;= perc_95, converted_stat * 3, IF(bbgm_stat &gt;= perc_90, converted_stat * 2, IF(bbgm_stat &gt;= perc_85, converted_stat * 1.5, converted_stat)))))</f>
        <v/>
      </c>
      <c r="U851" s="30" t="str">
        <f t="array" ref="U851">IF($A851="", "", LET(bbgm_stat, INDEX(Players!$A850:$P850, MATCH(U$2, Players!$A$1:$P$1, 0)), perc_75, VLOOKUP(U$2, Percentiles!$A$45:$I$59, 6, FALSE), perc_90, VLOOKUP(U$2, Percentiles!$A$45:$I$59, 7, FALSE), perc_95, VLOOKUP(U$2, Percentiles!$A$45:$I$59, 8, FALSE), perc_85, perc_75 + (perc_90 - perc_75) * (2/3), converted_stat, '2K_Ratings'!U851, IF(bbgm_stat &gt;= perc_95, converted_stat * 3, IF(bbgm_stat &gt;= perc_90, converted_stat * 2, IF(bbgm_stat &gt;= perc_85, converted_stat * 1.5, converted_stat)))))</f>
        <v/>
      </c>
      <c r="V851" s="30" t="str">
        <f t="array" ref="V851">IF($A851="", "", LET(bbgm_stat, INDEX(Players!$A850:$P850, MATCH(V$2, Players!$A$1:$P$1, 0)), perc_75, VLOOKUP(V$2, Percentiles!$A$45:$I$59, 6, FALSE), perc_90, VLOOKUP(V$2, Percentiles!$A$45:$I$59, 7, FALSE), perc_95, VLOOKUP(V$2, Percentiles!$A$45:$I$59, 8, FALSE), perc_85, perc_75 + (perc_90 - perc_75) * (2/3), converted_stat, '2K_Ratings'!V851, IF(bbgm_stat &gt;= perc_95, converted_stat * 3, IF(bbgm_stat &gt;= perc_90, converted_stat * 2, IF(bbgm_stat &gt;= perc_85, converted_stat * 1.5, converted_stat)))))</f>
        <v/>
      </c>
      <c r="W851" s="30" t="str">
        <f t="array" ref="W851">IF($A851="", "", LET(bbgm_stat, INDEX(Players!$A850:$P850, MATCH(W$2, Players!$A$1:$P$1, 0)), perc_75, VLOOKUP(W$2, Percentiles!$A$45:$I$59, 6, FALSE), perc_90, VLOOKUP(W$2, Percentiles!$A$45:$I$59, 7, FALSE), perc_95, VLOOKUP(W$2, Percentiles!$A$45:$I$59, 8, FALSE), perc_85, perc_75 + (perc_90 - perc_75) * (2/3), converted_stat, '2K_Ratings'!W851, IF(bbgm_stat &gt;= perc_95, converted_stat * 3, IF(bbgm_stat &gt;= perc_90, converted_stat * 2, IF(bbgm_stat &gt;= perc_85, converted_stat * 1.5, converted_stat)))))</f>
        <v/>
      </c>
    </row>
    <row r="852">
      <c r="A852" s="30"/>
      <c r="B852" s="30" t="str">
        <f t="array" ref="B852">IF($A852="", "", LET(bbgm_stat, INDEX(Players!$A851:$P851, MATCH(B$2, Players!$A$1:$P$1, 0)), perc_75, VLOOKUP(B$2, Percentiles!$A$45:$I$59, 6, FALSE), perc_90, VLOOKUP(B$2, Percentiles!$A$45:$I$59, 7, FALSE), perc_95, VLOOKUP(B$2, Percentiles!$A$45:$I$59, 8, FALSE), perc_85, perc_75 + (perc_90 - perc_75) * (2/3), converted_stat, '2K_Ratings'!B852, IF(bbgm_stat &gt;= perc_95, converted_stat * 3, IF(bbgm_stat &gt;= perc_90, converted_stat * 2, IF(bbgm_stat &gt;= perc_85, converted_stat * 1.5, converted_stat)))))</f>
        <v/>
      </c>
      <c r="C852" s="30" t="str">
        <f t="array" ref="C852">IF($A852="", "", LET(bbgm_stat, INDEX(Players!$A851:$P851, MATCH(C$2, Players!$A$1:$P$1, 0)), perc_75, VLOOKUP(C$2, Percentiles!$A$45:$I$59, 6, FALSE), perc_90, VLOOKUP(C$2, Percentiles!$A$45:$I$59, 7, FALSE), perc_95, VLOOKUP(C$2, Percentiles!$A$45:$I$59, 8, FALSE), perc_85, perc_75 + (perc_90 - perc_75) * (2/3), converted_stat, '2K_Ratings'!C852, IF(bbgm_stat &gt;= perc_95, converted_stat * 3, IF(bbgm_stat &gt;= perc_90, converted_stat * 2, IF(bbgm_stat &gt;= perc_85, converted_stat * 1.5, converted_stat)))))</f>
        <v/>
      </c>
      <c r="D852" s="30" t="str">
        <f t="array" ref="D852">IF($A852="", "", LET(bbgm_stat, INDEX(Players!$A851:$P851, MATCH(D$2, Players!$A$1:$P$1, 0)), perc_75, VLOOKUP(D$2, Percentiles!$A$45:$I$59, 6, FALSE), perc_90, VLOOKUP(D$2, Percentiles!$A$45:$I$59, 7, FALSE), perc_95, VLOOKUP(D$2, Percentiles!$A$45:$I$59, 8, FALSE), perc_85, perc_75 + (perc_90 - perc_75) * (2/3), converted_stat, '2K_Ratings'!D852, IF(bbgm_stat &gt;= perc_95, converted_stat * 3, IF(bbgm_stat &gt;= perc_90, converted_stat * 2, IF(bbgm_stat &gt;= perc_85, converted_stat * 1.5, converted_stat)))))</f>
        <v/>
      </c>
      <c r="E852" s="30" t="str">
        <f t="array" ref="E852">IF($A852="", "", LET(bbgm_stat, INDEX(Players!$A851:$P851, MATCH(E$2, Players!$A$1:$P$1, 0)), perc_75, VLOOKUP(E$2, Percentiles!$A$45:$I$59, 6, FALSE), perc_90, VLOOKUP(E$2, Percentiles!$A$45:$I$59, 7, FALSE), perc_95, VLOOKUP(E$2, Percentiles!$A$45:$I$59, 8, FALSE), perc_85, perc_75 + (perc_90 - perc_75) * (2/3), converted_stat, '2K_Ratings'!E852, IF(bbgm_stat &gt;= perc_95, converted_stat * 3, IF(bbgm_stat &gt;= perc_90, converted_stat * 2, IF(bbgm_stat &gt;= perc_85, converted_stat * 1.5, converted_stat)))))</f>
        <v/>
      </c>
      <c r="F852" s="30" t="str">
        <f t="array" ref="F852">IF($A852="", "", LET(bbgm_stat, INDEX(Players!$A851:$P851, MATCH(F$2, Players!$A$1:$P$1, 0)), perc_75, VLOOKUP(F$2, Percentiles!$A$45:$I$59, 6, FALSE), perc_90, VLOOKUP(F$2, Percentiles!$A$45:$I$59, 7, FALSE), perc_95, VLOOKUP(F$2, Percentiles!$A$45:$I$59, 8, FALSE), perc_85, perc_75 + (perc_90 - perc_75) * (2/3), converted_stat, '2K_Ratings'!F852, IF(bbgm_stat &gt;= perc_95, converted_stat * 3, IF(bbgm_stat &gt;= perc_90, converted_stat * 2, IF(bbgm_stat &gt;= perc_85, converted_stat * 1.5, converted_stat)))))</f>
        <v/>
      </c>
      <c r="G852" s="30" t="str">
        <f t="array" ref="G852">IF($A852="", "", LET(bbgm_stat, INDEX(Players!$A851:$P851, MATCH(G$2, Players!$A$1:$P$1, 0)), perc_75, VLOOKUP(G$2, Percentiles!$A$45:$I$59, 6, FALSE), perc_90, VLOOKUP(G$2, Percentiles!$A$45:$I$59, 7, FALSE), perc_95, VLOOKUP(G$2, Percentiles!$A$45:$I$59, 8, FALSE), perc_85, perc_75 + (perc_90 - perc_75) * (2/3), converted_stat, '2K_Ratings'!G852, IF(bbgm_stat &gt;= perc_95, converted_stat * 3, IF(bbgm_stat &gt;= perc_90, converted_stat * 2, IF(bbgm_stat &gt;= perc_85, converted_stat * 1.5, converted_stat)))))</f>
        <v/>
      </c>
      <c r="H852" s="30" t="str">
        <f t="array" ref="H852">IF($A852="", "", LET(bbgm_stat, INDEX(Players!$A851:$P851, MATCH(H$2, Players!$A$1:$P$1, 0)), perc_75, VLOOKUP(H$2, Percentiles!$A$45:$I$59, 6, FALSE), perc_90, VLOOKUP(H$2, Percentiles!$A$45:$I$59, 7, FALSE), perc_95, VLOOKUP(H$2, Percentiles!$A$45:$I$59, 8, FALSE), perc_85, perc_75 + (perc_90 - perc_75) * (2/3), converted_stat, '2K_Ratings'!H852, IF(bbgm_stat &gt;= perc_95, converted_stat * 3, IF(bbgm_stat &gt;= perc_90, converted_stat * 2, IF(bbgm_stat &gt;= perc_85, converted_stat * 1.5, converted_stat)))))</f>
        <v/>
      </c>
      <c r="I852" s="30" t="str">
        <f t="array" ref="I852">IF($A852="", "", LET(bbgm_stat, INDEX(Players!$A851:$P851, MATCH(I$2, Players!$A$1:$P$1, 0)), perc_75, VLOOKUP(I$2, Percentiles!$A$45:$I$59, 6, FALSE), perc_90, VLOOKUP(I$2, Percentiles!$A$45:$I$59, 7, FALSE), perc_95, VLOOKUP(I$2, Percentiles!$A$45:$I$59, 8, FALSE), perc_85, perc_75 + (perc_90 - perc_75) * (2/3), converted_stat, '2K_Ratings'!I852, IF(bbgm_stat &gt;= perc_95, converted_stat * 3, IF(bbgm_stat &gt;= perc_90, converted_stat * 2, IF(bbgm_stat &gt;= perc_85, converted_stat * 1.5, converted_stat)))))</f>
        <v/>
      </c>
      <c r="J852" s="30" t="str">
        <f t="array" ref="J852">IF($A852="", "", LET(bbgm_stat, INDEX(Players!$A851:$P851, MATCH(J$2, Players!$A$1:$P$1, 0)), perc_75, VLOOKUP(J$2, Percentiles!$A$45:$I$59, 6, FALSE), perc_90, VLOOKUP(J$2, Percentiles!$A$45:$I$59, 7, FALSE), perc_95, VLOOKUP(J$2, Percentiles!$A$45:$I$59, 8, FALSE), perc_85, perc_75 + (perc_90 - perc_75) * (2/3), converted_stat, '2K_Ratings'!J852, IF(bbgm_stat &gt;= perc_95, converted_stat * 3, IF(bbgm_stat &gt;= perc_90, converted_stat * 2, IF(bbgm_stat &gt;= perc_85, converted_stat * 1.5, converted_stat)))))</f>
        <v/>
      </c>
      <c r="K852" s="30" t="str">
        <f t="array" ref="K852">IF($A852="", "", LET(bbgm_stat, INDEX(Players!$A851:$P851, MATCH(K$2, Players!$A$1:$P$1, 0)), perc_75, VLOOKUP(K$2, Percentiles!$A$45:$I$59, 6, FALSE), perc_90, VLOOKUP(K$2, Percentiles!$A$45:$I$59, 7, FALSE), perc_95, VLOOKUP(K$2, Percentiles!$A$45:$I$59, 8, FALSE), perc_85, perc_75 + (perc_90 - perc_75) * (2/3), converted_stat, '2K_Ratings'!K852, IF(bbgm_stat &gt;= perc_95, converted_stat * 3, IF(bbgm_stat &gt;= perc_90, converted_stat * 2, IF(bbgm_stat &gt;= perc_85, converted_stat * 1.5, converted_stat)))))</f>
        <v/>
      </c>
      <c r="L852" s="30" t="str">
        <f t="array" ref="L852">IF($A852="", "", LET(bbgm_stat, INDEX(Players!$A851:$P851, MATCH(L$2, Players!$A$1:$P$1, 0)), perc_75, VLOOKUP(L$2, Percentiles!$A$45:$I$59, 6, FALSE), perc_90, VLOOKUP(L$2, Percentiles!$A$45:$I$59, 7, FALSE), perc_95, VLOOKUP(L$2, Percentiles!$A$45:$I$59, 8, FALSE), perc_85, perc_75 + (perc_90 - perc_75) * (2/3), converted_stat, '2K_Ratings'!L852, IF(bbgm_stat &gt;= perc_95, converted_stat * 3, IF(bbgm_stat &gt;= perc_90, converted_stat * 2, IF(bbgm_stat &gt;= perc_85, converted_stat * 1.5, converted_stat)))))</f>
        <v/>
      </c>
      <c r="M852" s="30" t="str">
        <f t="array" ref="M852">IF($A852="", "", LET(bbgm_stat, INDEX(Players!$A851:$P851, MATCH(M$2, Players!$A$1:$P$1, 0)), perc_75, VLOOKUP(M$2, Percentiles!$A$45:$I$59, 6, FALSE), perc_90, VLOOKUP(M$2, Percentiles!$A$45:$I$59, 7, FALSE), perc_95, VLOOKUP(M$2, Percentiles!$A$45:$I$59, 8, FALSE), perc_85, perc_75 + (perc_90 - perc_75) * (2/3), converted_stat, '2K_Ratings'!M852, IF(bbgm_stat &gt;= perc_95, converted_stat * 3, IF(bbgm_stat &gt;= perc_90, converted_stat * 2, IF(bbgm_stat &gt;= perc_85, converted_stat * 1.5, converted_stat)))))</f>
        <v/>
      </c>
      <c r="N852" s="30" t="str">
        <f t="array" ref="N852">IF($A852="", "", LET(bbgm_stat, INDEX(Players!$A851:$P851, MATCH(N$2, Players!$A$1:$P$1, 0)), perc_75, VLOOKUP(N$2, Percentiles!$A$45:$I$59, 6, FALSE), perc_90, VLOOKUP(N$2, Percentiles!$A$45:$I$59, 7, FALSE), perc_95, VLOOKUP(N$2, Percentiles!$A$45:$I$59, 8, FALSE), perc_85, perc_75 + (perc_90 - perc_75) * (2/3), converted_stat, '2K_Ratings'!N852, IF(bbgm_stat &gt;= perc_95, converted_stat * 3, IF(bbgm_stat &gt;= perc_90, converted_stat * 2, IF(bbgm_stat &gt;= perc_85, converted_stat * 1.5, converted_stat)))))</f>
        <v/>
      </c>
      <c r="O852" s="30" t="str">
        <f t="array" ref="O852">IF($A852="", "", LET(bbgm_stat, INDEX(Players!$A851:$P851, MATCH(O$2, Players!$A$1:$P$1, 0)), perc_75, VLOOKUP(O$2, Percentiles!$A$45:$I$59, 6, FALSE), perc_90, VLOOKUP(O$2, Percentiles!$A$45:$I$59, 7, FALSE), perc_95, VLOOKUP(O$2, Percentiles!$A$45:$I$59, 8, FALSE), perc_85, perc_75 + (perc_90 - perc_75) * (2/3), converted_stat, '2K_Ratings'!O852, IF(bbgm_stat &gt;= perc_95, converted_stat * 3, IF(bbgm_stat &gt;= perc_90, converted_stat * 2, IF(bbgm_stat &gt;= perc_85, converted_stat * 1.5, converted_stat)))))</f>
        <v/>
      </c>
      <c r="P852" s="30" t="str">
        <f t="array" ref="P852">IF($A852="", "", LET(bbgm_stat, INDEX(Players!$A851:$P851, MATCH(P$2, Players!$A$1:$P$1, 0)), perc_75, VLOOKUP(P$2, Percentiles!$A$45:$I$59, 6, FALSE), perc_90, VLOOKUP(P$2, Percentiles!$A$45:$I$59, 7, FALSE), perc_95, VLOOKUP(P$2, Percentiles!$A$45:$I$59, 8, FALSE), perc_85, perc_75 + (perc_90 - perc_75) * (2/3), converted_stat, '2K_Ratings'!P852, IF(bbgm_stat &gt;= perc_95, converted_stat * 3, IF(bbgm_stat &gt;= perc_90, converted_stat * 2, IF(bbgm_stat &gt;= perc_85, converted_stat * 1.5, converted_stat)))))</f>
        <v/>
      </c>
      <c r="Q852" s="30" t="str">
        <f t="array" ref="Q852">IF($A852="", "", LET(bbgm_stat, INDEX(Players!$A851:$P851, MATCH(Q$2, Players!$A$1:$P$1, 0)), perc_75, VLOOKUP(Q$2, Percentiles!$A$45:$I$59, 6, FALSE), perc_90, VLOOKUP(Q$2, Percentiles!$A$45:$I$59, 7, FALSE), perc_95, VLOOKUP(Q$2, Percentiles!$A$45:$I$59, 8, FALSE), perc_85, perc_75 + (perc_90 - perc_75) * (2/3), converted_stat, '2K_Ratings'!Q852, IF(bbgm_stat &gt;= perc_95, converted_stat * 3, IF(bbgm_stat &gt;= perc_90, converted_stat * 2, IF(bbgm_stat &gt;= perc_85, converted_stat * 1.5, converted_stat)))))</f>
        <v/>
      </c>
      <c r="R852" s="30" t="str">
        <f t="array" ref="R852">IF($A852="", "", LET(bbgm_stat, INDEX(Players!$A851:$P851, MATCH(R$2, Players!$A$1:$P$1, 0)), perc_75, VLOOKUP(R$2, Percentiles!$A$45:$I$59, 6, FALSE), perc_90, VLOOKUP(R$2, Percentiles!$A$45:$I$59, 7, FALSE), perc_95, VLOOKUP(R$2, Percentiles!$A$45:$I$59, 8, FALSE), perc_85, perc_75 + (perc_90 - perc_75) * (2/3), converted_stat, '2K_Ratings'!R852, IF(bbgm_stat &gt;= perc_95, converted_stat * 3, IF(bbgm_stat &gt;= perc_90, converted_stat * 2, IF(bbgm_stat &gt;= perc_85, converted_stat * 1.5, converted_stat)))))</f>
        <v/>
      </c>
      <c r="S852" s="30" t="str">
        <f t="array" ref="S852">IF($A852="", "", LET(bbgm_stat, INDEX(Players!$A851:$P851, MATCH(S$2, Players!$A$1:$P$1, 0)), perc_75, VLOOKUP(S$2, Percentiles!$A$45:$I$59, 6, FALSE), perc_90, VLOOKUP(S$2, Percentiles!$A$45:$I$59, 7, FALSE), perc_95, VLOOKUP(S$2, Percentiles!$A$45:$I$59, 8, FALSE), perc_85, perc_75 + (perc_90 - perc_75) * (2/3), converted_stat, '2K_Ratings'!S852, IF(bbgm_stat &gt;= perc_95, converted_stat * 3, IF(bbgm_stat &gt;= perc_90, converted_stat * 2, IF(bbgm_stat &gt;= perc_85, converted_stat * 1.5, converted_stat)))))</f>
        <v/>
      </c>
      <c r="T852" s="30" t="str">
        <f t="array" ref="T852">IF($A852="", "", LET(bbgm_stat, INDEX(Players!$A851:$P851, MATCH(T$2, Players!$A$1:$P$1, 0)), perc_75, VLOOKUP(T$2, Percentiles!$A$45:$I$59, 6, FALSE), perc_90, VLOOKUP(T$2, Percentiles!$A$45:$I$59, 7, FALSE), perc_95, VLOOKUP(T$2, Percentiles!$A$45:$I$59, 8, FALSE), perc_85, perc_75 + (perc_90 - perc_75) * (2/3), converted_stat, '2K_Ratings'!T852, IF(bbgm_stat &gt;= perc_95, converted_stat * 3, IF(bbgm_stat &gt;= perc_90, converted_stat * 2, IF(bbgm_stat &gt;= perc_85, converted_stat * 1.5, converted_stat)))))</f>
        <v/>
      </c>
      <c r="U852" s="30" t="str">
        <f t="array" ref="U852">IF($A852="", "", LET(bbgm_stat, INDEX(Players!$A851:$P851, MATCH(U$2, Players!$A$1:$P$1, 0)), perc_75, VLOOKUP(U$2, Percentiles!$A$45:$I$59, 6, FALSE), perc_90, VLOOKUP(U$2, Percentiles!$A$45:$I$59, 7, FALSE), perc_95, VLOOKUP(U$2, Percentiles!$A$45:$I$59, 8, FALSE), perc_85, perc_75 + (perc_90 - perc_75) * (2/3), converted_stat, '2K_Ratings'!U852, IF(bbgm_stat &gt;= perc_95, converted_stat * 3, IF(bbgm_stat &gt;= perc_90, converted_stat * 2, IF(bbgm_stat &gt;= perc_85, converted_stat * 1.5, converted_stat)))))</f>
        <v/>
      </c>
      <c r="V852" s="30" t="str">
        <f t="array" ref="V852">IF($A852="", "", LET(bbgm_stat, INDEX(Players!$A851:$P851, MATCH(V$2, Players!$A$1:$P$1, 0)), perc_75, VLOOKUP(V$2, Percentiles!$A$45:$I$59, 6, FALSE), perc_90, VLOOKUP(V$2, Percentiles!$A$45:$I$59, 7, FALSE), perc_95, VLOOKUP(V$2, Percentiles!$A$45:$I$59, 8, FALSE), perc_85, perc_75 + (perc_90 - perc_75) * (2/3), converted_stat, '2K_Ratings'!V852, IF(bbgm_stat &gt;= perc_95, converted_stat * 3, IF(bbgm_stat &gt;= perc_90, converted_stat * 2, IF(bbgm_stat &gt;= perc_85, converted_stat * 1.5, converted_stat)))))</f>
        <v/>
      </c>
      <c r="W852" s="30" t="str">
        <f t="array" ref="W852">IF($A852="", "", LET(bbgm_stat, INDEX(Players!$A851:$P851, MATCH(W$2, Players!$A$1:$P$1, 0)), perc_75, VLOOKUP(W$2, Percentiles!$A$45:$I$59, 6, FALSE), perc_90, VLOOKUP(W$2, Percentiles!$A$45:$I$59, 7, FALSE), perc_95, VLOOKUP(W$2, Percentiles!$A$45:$I$59, 8, FALSE), perc_85, perc_75 + (perc_90 - perc_75) * (2/3), converted_stat, '2K_Ratings'!W852, IF(bbgm_stat &gt;= perc_95, converted_stat * 3, IF(bbgm_stat &gt;= perc_90, converted_stat * 2, IF(bbgm_stat &gt;= perc_85, converted_stat * 1.5, converted_stat)))))</f>
        <v/>
      </c>
    </row>
    <row r="853">
      <c r="A853" s="30"/>
      <c r="B853" s="30" t="str">
        <f t="array" ref="B853">IF($A853="", "", LET(bbgm_stat, INDEX(Players!$A852:$P852, MATCH(B$2, Players!$A$1:$P$1, 0)), perc_75, VLOOKUP(B$2, Percentiles!$A$45:$I$59, 6, FALSE), perc_90, VLOOKUP(B$2, Percentiles!$A$45:$I$59, 7, FALSE), perc_95, VLOOKUP(B$2, Percentiles!$A$45:$I$59, 8, FALSE), perc_85, perc_75 + (perc_90 - perc_75) * (2/3), converted_stat, '2K_Ratings'!B853, IF(bbgm_stat &gt;= perc_95, converted_stat * 3, IF(bbgm_stat &gt;= perc_90, converted_stat * 2, IF(bbgm_stat &gt;= perc_85, converted_stat * 1.5, converted_stat)))))</f>
        <v/>
      </c>
      <c r="C853" s="30" t="str">
        <f t="array" ref="C853">IF($A853="", "", LET(bbgm_stat, INDEX(Players!$A852:$P852, MATCH(C$2, Players!$A$1:$P$1, 0)), perc_75, VLOOKUP(C$2, Percentiles!$A$45:$I$59, 6, FALSE), perc_90, VLOOKUP(C$2, Percentiles!$A$45:$I$59, 7, FALSE), perc_95, VLOOKUP(C$2, Percentiles!$A$45:$I$59, 8, FALSE), perc_85, perc_75 + (perc_90 - perc_75) * (2/3), converted_stat, '2K_Ratings'!C853, IF(bbgm_stat &gt;= perc_95, converted_stat * 3, IF(bbgm_stat &gt;= perc_90, converted_stat * 2, IF(bbgm_stat &gt;= perc_85, converted_stat * 1.5, converted_stat)))))</f>
        <v/>
      </c>
      <c r="D853" s="30" t="str">
        <f t="array" ref="D853">IF($A853="", "", LET(bbgm_stat, INDEX(Players!$A852:$P852, MATCH(D$2, Players!$A$1:$P$1, 0)), perc_75, VLOOKUP(D$2, Percentiles!$A$45:$I$59, 6, FALSE), perc_90, VLOOKUP(D$2, Percentiles!$A$45:$I$59, 7, FALSE), perc_95, VLOOKUP(D$2, Percentiles!$A$45:$I$59, 8, FALSE), perc_85, perc_75 + (perc_90 - perc_75) * (2/3), converted_stat, '2K_Ratings'!D853, IF(bbgm_stat &gt;= perc_95, converted_stat * 3, IF(bbgm_stat &gt;= perc_90, converted_stat * 2, IF(bbgm_stat &gt;= perc_85, converted_stat * 1.5, converted_stat)))))</f>
        <v/>
      </c>
      <c r="E853" s="30" t="str">
        <f t="array" ref="E853">IF($A853="", "", LET(bbgm_stat, INDEX(Players!$A852:$P852, MATCH(E$2, Players!$A$1:$P$1, 0)), perc_75, VLOOKUP(E$2, Percentiles!$A$45:$I$59, 6, FALSE), perc_90, VLOOKUP(E$2, Percentiles!$A$45:$I$59, 7, FALSE), perc_95, VLOOKUP(E$2, Percentiles!$A$45:$I$59, 8, FALSE), perc_85, perc_75 + (perc_90 - perc_75) * (2/3), converted_stat, '2K_Ratings'!E853, IF(bbgm_stat &gt;= perc_95, converted_stat * 3, IF(bbgm_stat &gt;= perc_90, converted_stat * 2, IF(bbgm_stat &gt;= perc_85, converted_stat * 1.5, converted_stat)))))</f>
        <v/>
      </c>
      <c r="F853" s="30" t="str">
        <f t="array" ref="F853">IF($A853="", "", LET(bbgm_stat, INDEX(Players!$A852:$P852, MATCH(F$2, Players!$A$1:$P$1, 0)), perc_75, VLOOKUP(F$2, Percentiles!$A$45:$I$59, 6, FALSE), perc_90, VLOOKUP(F$2, Percentiles!$A$45:$I$59, 7, FALSE), perc_95, VLOOKUP(F$2, Percentiles!$A$45:$I$59, 8, FALSE), perc_85, perc_75 + (perc_90 - perc_75) * (2/3), converted_stat, '2K_Ratings'!F853, IF(bbgm_stat &gt;= perc_95, converted_stat * 3, IF(bbgm_stat &gt;= perc_90, converted_stat * 2, IF(bbgm_stat &gt;= perc_85, converted_stat * 1.5, converted_stat)))))</f>
        <v/>
      </c>
      <c r="G853" s="30" t="str">
        <f t="array" ref="G853">IF($A853="", "", LET(bbgm_stat, INDEX(Players!$A852:$P852, MATCH(G$2, Players!$A$1:$P$1, 0)), perc_75, VLOOKUP(G$2, Percentiles!$A$45:$I$59, 6, FALSE), perc_90, VLOOKUP(G$2, Percentiles!$A$45:$I$59, 7, FALSE), perc_95, VLOOKUP(G$2, Percentiles!$A$45:$I$59, 8, FALSE), perc_85, perc_75 + (perc_90 - perc_75) * (2/3), converted_stat, '2K_Ratings'!G853, IF(bbgm_stat &gt;= perc_95, converted_stat * 3, IF(bbgm_stat &gt;= perc_90, converted_stat * 2, IF(bbgm_stat &gt;= perc_85, converted_stat * 1.5, converted_stat)))))</f>
        <v/>
      </c>
      <c r="H853" s="30" t="str">
        <f t="array" ref="H853">IF($A853="", "", LET(bbgm_stat, INDEX(Players!$A852:$P852, MATCH(H$2, Players!$A$1:$P$1, 0)), perc_75, VLOOKUP(H$2, Percentiles!$A$45:$I$59, 6, FALSE), perc_90, VLOOKUP(H$2, Percentiles!$A$45:$I$59, 7, FALSE), perc_95, VLOOKUP(H$2, Percentiles!$A$45:$I$59, 8, FALSE), perc_85, perc_75 + (perc_90 - perc_75) * (2/3), converted_stat, '2K_Ratings'!H853, IF(bbgm_stat &gt;= perc_95, converted_stat * 3, IF(bbgm_stat &gt;= perc_90, converted_stat * 2, IF(bbgm_stat &gt;= perc_85, converted_stat * 1.5, converted_stat)))))</f>
        <v/>
      </c>
      <c r="I853" s="30" t="str">
        <f t="array" ref="I853">IF($A853="", "", LET(bbgm_stat, INDEX(Players!$A852:$P852, MATCH(I$2, Players!$A$1:$P$1, 0)), perc_75, VLOOKUP(I$2, Percentiles!$A$45:$I$59, 6, FALSE), perc_90, VLOOKUP(I$2, Percentiles!$A$45:$I$59, 7, FALSE), perc_95, VLOOKUP(I$2, Percentiles!$A$45:$I$59, 8, FALSE), perc_85, perc_75 + (perc_90 - perc_75) * (2/3), converted_stat, '2K_Ratings'!I853, IF(bbgm_stat &gt;= perc_95, converted_stat * 3, IF(bbgm_stat &gt;= perc_90, converted_stat * 2, IF(bbgm_stat &gt;= perc_85, converted_stat * 1.5, converted_stat)))))</f>
        <v/>
      </c>
      <c r="J853" s="30" t="str">
        <f t="array" ref="J853">IF($A853="", "", LET(bbgm_stat, INDEX(Players!$A852:$P852, MATCH(J$2, Players!$A$1:$P$1, 0)), perc_75, VLOOKUP(J$2, Percentiles!$A$45:$I$59, 6, FALSE), perc_90, VLOOKUP(J$2, Percentiles!$A$45:$I$59, 7, FALSE), perc_95, VLOOKUP(J$2, Percentiles!$A$45:$I$59, 8, FALSE), perc_85, perc_75 + (perc_90 - perc_75) * (2/3), converted_stat, '2K_Ratings'!J853, IF(bbgm_stat &gt;= perc_95, converted_stat * 3, IF(bbgm_stat &gt;= perc_90, converted_stat * 2, IF(bbgm_stat &gt;= perc_85, converted_stat * 1.5, converted_stat)))))</f>
        <v/>
      </c>
      <c r="K853" s="30" t="str">
        <f t="array" ref="K853">IF($A853="", "", LET(bbgm_stat, INDEX(Players!$A852:$P852, MATCH(K$2, Players!$A$1:$P$1, 0)), perc_75, VLOOKUP(K$2, Percentiles!$A$45:$I$59, 6, FALSE), perc_90, VLOOKUP(K$2, Percentiles!$A$45:$I$59, 7, FALSE), perc_95, VLOOKUP(K$2, Percentiles!$A$45:$I$59, 8, FALSE), perc_85, perc_75 + (perc_90 - perc_75) * (2/3), converted_stat, '2K_Ratings'!K853, IF(bbgm_stat &gt;= perc_95, converted_stat * 3, IF(bbgm_stat &gt;= perc_90, converted_stat * 2, IF(bbgm_stat &gt;= perc_85, converted_stat * 1.5, converted_stat)))))</f>
        <v/>
      </c>
      <c r="L853" s="30" t="str">
        <f t="array" ref="L853">IF($A853="", "", LET(bbgm_stat, INDEX(Players!$A852:$P852, MATCH(L$2, Players!$A$1:$P$1, 0)), perc_75, VLOOKUP(L$2, Percentiles!$A$45:$I$59, 6, FALSE), perc_90, VLOOKUP(L$2, Percentiles!$A$45:$I$59, 7, FALSE), perc_95, VLOOKUP(L$2, Percentiles!$A$45:$I$59, 8, FALSE), perc_85, perc_75 + (perc_90 - perc_75) * (2/3), converted_stat, '2K_Ratings'!L853, IF(bbgm_stat &gt;= perc_95, converted_stat * 3, IF(bbgm_stat &gt;= perc_90, converted_stat * 2, IF(bbgm_stat &gt;= perc_85, converted_stat * 1.5, converted_stat)))))</f>
        <v/>
      </c>
      <c r="M853" s="30" t="str">
        <f t="array" ref="M853">IF($A853="", "", LET(bbgm_stat, INDEX(Players!$A852:$P852, MATCH(M$2, Players!$A$1:$P$1, 0)), perc_75, VLOOKUP(M$2, Percentiles!$A$45:$I$59, 6, FALSE), perc_90, VLOOKUP(M$2, Percentiles!$A$45:$I$59, 7, FALSE), perc_95, VLOOKUP(M$2, Percentiles!$A$45:$I$59, 8, FALSE), perc_85, perc_75 + (perc_90 - perc_75) * (2/3), converted_stat, '2K_Ratings'!M853, IF(bbgm_stat &gt;= perc_95, converted_stat * 3, IF(bbgm_stat &gt;= perc_90, converted_stat * 2, IF(bbgm_stat &gt;= perc_85, converted_stat * 1.5, converted_stat)))))</f>
        <v/>
      </c>
      <c r="N853" s="30" t="str">
        <f t="array" ref="N853">IF($A853="", "", LET(bbgm_stat, INDEX(Players!$A852:$P852, MATCH(N$2, Players!$A$1:$P$1, 0)), perc_75, VLOOKUP(N$2, Percentiles!$A$45:$I$59, 6, FALSE), perc_90, VLOOKUP(N$2, Percentiles!$A$45:$I$59, 7, FALSE), perc_95, VLOOKUP(N$2, Percentiles!$A$45:$I$59, 8, FALSE), perc_85, perc_75 + (perc_90 - perc_75) * (2/3), converted_stat, '2K_Ratings'!N853, IF(bbgm_stat &gt;= perc_95, converted_stat * 3, IF(bbgm_stat &gt;= perc_90, converted_stat * 2, IF(bbgm_stat &gt;= perc_85, converted_stat * 1.5, converted_stat)))))</f>
        <v/>
      </c>
      <c r="O853" s="30" t="str">
        <f t="array" ref="O853">IF($A853="", "", LET(bbgm_stat, INDEX(Players!$A852:$P852, MATCH(O$2, Players!$A$1:$P$1, 0)), perc_75, VLOOKUP(O$2, Percentiles!$A$45:$I$59, 6, FALSE), perc_90, VLOOKUP(O$2, Percentiles!$A$45:$I$59, 7, FALSE), perc_95, VLOOKUP(O$2, Percentiles!$A$45:$I$59, 8, FALSE), perc_85, perc_75 + (perc_90 - perc_75) * (2/3), converted_stat, '2K_Ratings'!O853, IF(bbgm_stat &gt;= perc_95, converted_stat * 3, IF(bbgm_stat &gt;= perc_90, converted_stat * 2, IF(bbgm_stat &gt;= perc_85, converted_stat * 1.5, converted_stat)))))</f>
        <v/>
      </c>
      <c r="P853" s="30" t="str">
        <f t="array" ref="P853">IF($A853="", "", LET(bbgm_stat, INDEX(Players!$A852:$P852, MATCH(P$2, Players!$A$1:$P$1, 0)), perc_75, VLOOKUP(P$2, Percentiles!$A$45:$I$59, 6, FALSE), perc_90, VLOOKUP(P$2, Percentiles!$A$45:$I$59, 7, FALSE), perc_95, VLOOKUP(P$2, Percentiles!$A$45:$I$59, 8, FALSE), perc_85, perc_75 + (perc_90 - perc_75) * (2/3), converted_stat, '2K_Ratings'!P853, IF(bbgm_stat &gt;= perc_95, converted_stat * 3, IF(bbgm_stat &gt;= perc_90, converted_stat * 2, IF(bbgm_stat &gt;= perc_85, converted_stat * 1.5, converted_stat)))))</f>
        <v/>
      </c>
      <c r="Q853" s="30" t="str">
        <f t="array" ref="Q853">IF($A853="", "", LET(bbgm_stat, INDEX(Players!$A852:$P852, MATCH(Q$2, Players!$A$1:$P$1, 0)), perc_75, VLOOKUP(Q$2, Percentiles!$A$45:$I$59, 6, FALSE), perc_90, VLOOKUP(Q$2, Percentiles!$A$45:$I$59, 7, FALSE), perc_95, VLOOKUP(Q$2, Percentiles!$A$45:$I$59, 8, FALSE), perc_85, perc_75 + (perc_90 - perc_75) * (2/3), converted_stat, '2K_Ratings'!Q853, IF(bbgm_stat &gt;= perc_95, converted_stat * 3, IF(bbgm_stat &gt;= perc_90, converted_stat * 2, IF(bbgm_stat &gt;= perc_85, converted_stat * 1.5, converted_stat)))))</f>
        <v/>
      </c>
      <c r="R853" s="30" t="str">
        <f t="array" ref="R853">IF($A853="", "", LET(bbgm_stat, INDEX(Players!$A852:$P852, MATCH(R$2, Players!$A$1:$P$1, 0)), perc_75, VLOOKUP(R$2, Percentiles!$A$45:$I$59, 6, FALSE), perc_90, VLOOKUP(R$2, Percentiles!$A$45:$I$59, 7, FALSE), perc_95, VLOOKUP(R$2, Percentiles!$A$45:$I$59, 8, FALSE), perc_85, perc_75 + (perc_90 - perc_75) * (2/3), converted_stat, '2K_Ratings'!R853, IF(bbgm_stat &gt;= perc_95, converted_stat * 3, IF(bbgm_stat &gt;= perc_90, converted_stat * 2, IF(bbgm_stat &gt;= perc_85, converted_stat * 1.5, converted_stat)))))</f>
        <v/>
      </c>
      <c r="S853" s="30" t="str">
        <f t="array" ref="S853">IF($A853="", "", LET(bbgm_stat, INDEX(Players!$A852:$P852, MATCH(S$2, Players!$A$1:$P$1, 0)), perc_75, VLOOKUP(S$2, Percentiles!$A$45:$I$59, 6, FALSE), perc_90, VLOOKUP(S$2, Percentiles!$A$45:$I$59, 7, FALSE), perc_95, VLOOKUP(S$2, Percentiles!$A$45:$I$59, 8, FALSE), perc_85, perc_75 + (perc_90 - perc_75) * (2/3), converted_stat, '2K_Ratings'!S853, IF(bbgm_stat &gt;= perc_95, converted_stat * 3, IF(bbgm_stat &gt;= perc_90, converted_stat * 2, IF(bbgm_stat &gt;= perc_85, converted_stat * 1.5, converted_stat)))))</f>
        <v/>
      </c>
      <c r="T853" s="30" t="str">
        <f t="array" ref="T853">IF($A853="", "", LET(bbgm_stat, INDEX(Players!$A852:$P852, MATCH(T$2, Players!$A$1:$P$1, 0)), perc_75, VLOOKUP(T$2, Percentiles!$A$45:$I$59, 6, FALSE), perc_90, VLOOKUP(T$2, Percentiles!$A$45:$I$59, 7, FALSE), perc_95, VLOOKUP(T$2, Percentiles!$A$45:$I$59, 8, FALSE), perc_85, perc_75 + (perc_90 - perc_75) * (2/3), converted_stat, '2K_Ratings'!T853, IF(bbgm_stat &gt;= perc_95, converted_stat * 3, IF(bbgm_stat &gt;= perc_90, converted_stat * 2, IF(bbgm_stat &gt;= perc_85, converted_stat * 1.5, converted_stat)))))</f>
        <v/>
      </c>
      <c r="U853" s="30" t="str">
        <f t="array" ref="U853">IF($A853="", "", LET(bbgm_stat, INDEX(Players!$A852:$P852, MATCH(U$2, Players!$A$1:$P$1, 0)), perc_75, VLOOKUP(U$2, Percentiles!$A$45:$I$59, 6, FALSE), perc_90, VLOOKUP(U$2, Percentiles!$A$45:$I$59, 7, FALSE), perc_95, VLOOKUP(U$2, Percentiles!$A$45:$I$59, 8, FALSE), perc_85, perc_75 + (perc_90 - perc_75) * (2/3), converted_stat, '2K_Ratings'!U853, IF(bbgm_stat &gt;= perc_95, converted_stat * 3, IF(bbgm_stat &gt;= perc_90, converted_stat * 2, IF(bbgm_stat &gt;= perc_85, converted_stat * 1.5, converted_stat)))))</f>
        <v/>
      </c>
      <c r="V853" s="30" t="str">
        <f t="array" ref="V853">IF($A853="", "", LET(bbgm_stat, INDEX(Players!$A852:$P852, MATCH(V$2, Players!$A$1:$P$1, 0)), perc_75, VLOOKUP(V$2, Percentiles!$A$45:$I$59, 6, FALSE), perc_90, VLOOKUP(V$2, Percentiles!$A$45:$I$59, 7, FALSE), perc_95, VLOOKUP(V$2, Percentiles!$A$45:$I$59, 8, FALSE), perc_85, perc_75 + (perc_90 - perc_75) * (2/3), converted_stat, '2K_Ratings'!V853, IF(bbgm_stat &gt;= perc_95, converted_stat * 3, IF(bbgm_stat &gt;= perc_90, converted_stat * 2, IF(bbgm_stat &gt;= perc_85, converted_stat * 1.5, converted_stat)))))</f>
        <v/>
      </c>
      <c r="W853" s="30" t="str">
        <f t="array" ref="W853">IF($A853="", "", LET(bbgm_stat, INDEX(Players!$A852:$P852, MATCH(W$2, Players!$A$1:$P$1, 0)), perc_75, VLOOKUP(W$2, Percentiles!$A$45:$I$59, 6, FALSE), perc_90, VLOOKUP(W$2, Percentiles!$A$45:$I$59, 7, FALSE), perc_95, VLOOKUP(W$2, Percentiles!$A$45:$I$59, 8, FALSE), perc_85, perc_75 + (perc_90 - perc_75) * (2/3), converted_stat, '2K_Ratings'!W853, IF(bbgm_stat &gt;= perc_95, converted_stat * 3, IF(bbgm_stat &gt;= perc_90, converted_stat * 2, IF(bbgm_stat &gt;= perc_85, converted_stat * 1.5, converted_stat)))))</f>
        <v/>
      </c>
    </row>
    <row r="854">
      <c r="A854" s="30"/>
      <c r="B854" s="30" t="str">
        <f t="array" ref="B854">IF($A854="", "", LET(bbgm_stat, INDEX(Players!$A853:$P853, MATCH(B$2, Players!$A$1:$P$1, 0)), perc_75, VLOOKUP(B$2, Percentiles!$A$45:$I$59, 6, FALSE), perc_90, VLOOKUP(B$2, Percentiles!$A$45:$I$59, 7, FALSE), perc_95, VLOOKUP(B$2, Percentiles!$A$45:$I$59, 8, FALSE), perc_85, perc_75 + (perc_90 - perc_75) * (2/3), converted_stat, '2K_Ratings'!B854, IF(bbgm_stat &gt;= perc_95, converted_stat * 3, IF(bbgm_stat &gt;= perc_90, converted_stat * 2, IF(bbgm_stat &gt;= perc_85, converted_stat * 1.5, converted_stat)))))</f>
        <v/>
      </c>
      <c r="C854" s="30" t="str">
        <f t="array" ref="C854">IF($A854="", "", LET(bbgm_stat, INDEX(Players!$A853:$P853, MATCH(C$2, Players!$A$1:$P$1, 0)), perc_75, VLOOKUP(C$2, Percentiles!$A$45:$I$59, 6, FALSE), perc_90, VLOOKUP(C$2, Percentiles!$A$45:$I$59, 7, FALSE), perc_95, VLOOKUP(C$2, Percentiles!$A$45:$I$59, 8, FALSE), perc_85, perc_75 + (perc_90 - perc_75) * (2/3), converted_stat, '2K_Ratings'!C854, IF(bbgm_stat &gt;= perc_95, converted_stat * 3, IF(bbgm_stat &gt;= perc_90, converted_stat * 2, IF(bbgm_stat &gt;= perc_85, converted_stat * 1.5, converted_stat)))))</f>
        <v/>
      </c>
      <c r="D854" s="30" t="str">
        <f t="array" ref="D854">IF($A854="", "", LET(bbgm_stat, INDEX(Players!$A853:$P853, MATCH(D$2, Players!$A$1:$P$1, 0)), perc_75, VLOOKUP(D$2, Percentiles!$A$45:$I$59, 6, FALSE), perc_90, VLOOKUP(D$2, Percentiles!$A$45:$I$59, 7, FALSE), perc_95, VLOOKUP(D$2, Percentiles!$A$45:$I$59, 8, FALSE), perc_85, perc_75 + (perc_90 - perc_75) * (2/3), converted_stat, '2K_Ratings'!D854, IF(bbgm_stat &gt;= perc_95, converted_stat * 3, IF(bbgm_stat &gt;= perc_90, converted_stat * 2, IF(bbgm_stat &gt;= perc_85, converted_stat * 1.5, converted_stat)))))</f>
        <v/>
      </c>
      <c r="E854" s="30" t="str">
        <f t="array" ref="E854">IF($A854="", "", LET(bbgm_stat, INDEX(Players!$A853:$P853, MATCH(E$2, Players!$A$1:$P$1, 0)), perc_75, VLOOKUP(E$2, Percentiles!$A$45:$I$59, 6, FALSE), perc_90, VLOOKUP(E$2, Percentiles!$A$45:$I$59, 7, FALSE), perc_95, VLOOKUP(E$2, Percentiles!$A$45:$I$59, 8, FALSE), perc_85, perc_75 + (perc_90 - perc_75) * (2/3), converted_stat, '2K_Ratings'!E854, IF(bbgm_stat &gt;= perc_95, converted_stat * 3, IF(bbgm_stat &gt;= perc_90, converted_stat * 2, IF(bbgm_stat &gt;= perc_85, converted_stat * 1.5, converted_stat)))))</f>
        <v/>
      </c>
      <c r="F854" s="30" t="str">
        <f t="array" ref="F854">IF($A854="", "", LET(bbgm_stat, INDEX(Players!$A853:$P853, MATCH(F$2, Players!$A$1:$P$1, 0)), perc_75, VLOOKUP(F$2, Percentiles!$A$45:$I$59, 6, FALSE), perc_90, VLOOKUP(F$2, Percentiles!$A$45:$I$59, 7, FALSE), perc_95, VLOOKUP(F$2, Percentiles!$A$45:$I$59, 8, FALSE), perc_85, perc_75 + (perc_90 - perc_75) * (2/3), converted_stat, '2K_Ratings'!F854, IF(bbgm_stat &gt;= perc_95, converted_stat * 3, IF(bbgm_stat &gt;= perc_90, converted_stat * 2, IF(bbgm_stat &gt;= perc_85, converted_stat * 1.5, converted_stat)))))</f>
        <v/>
      </c>
      <c r="G854" s="30" t="str">
        <f t="array" ref="G854">IF($A854="", "", LET(bbgm_stat, INDEX(Players!$A853:$P853, MATCH(G$2, Players!$A$1:$P$1, 0)), perc_75, VLOOKUP(G$2, Percentiles!$A$45:$I$59, 6, FALSE), perc_90, VLOOKUP(G$2, Percentiles!$A$45:$I$59, 7, FALSE), perc_95, VLOOKUP(G$2, Percentiles!$A$45:$I$59, 8, FALSE), perc_85, perc_75 + (perc_90 - perc_75) * (2/3), converted_stat, '2K_Ratings'!G854, IF(bbgm_stat &gt;= perc_95, converted_stat * 3, IF(bbgm_stat &gt;= perc_90, converted_stat * 2, IF(bbgm_stat &gt;= perc_85, converted_stat * 1.5, converted_stat)))))</f>
        <v/>
      </c>
      <c r="H854" s="30" t="str">
        <f t="array" ref="H854">IF($A854="", "", LET(bbgm_stat, INDEX(Players!$A853:$P853, MATCH(H$2, Players!$A$1:$P$1, 0)), perc_75, VLOOKUP(H$2, Percentiles!$A$45:$I$59, 6, FALSE), perc_90, VLOOKUP(H$2, Percentiles!$A$45:$I$59, 7, FALSE), perc_95, VLOOKUP(H$2, Percentiles!$A$45:$I$59, 8, FALSE), perc_85, perc_75 + (perc_90 - perc_75) * (2/3), converted_stat, '2K_Ratings'!H854, IF(bbgm_stat &gt;= perc_95, converted_stat * 3, IF(bbgm_stat &gt;= perc_90, converted_stat * 2, IF(bbgm_stat &gt;= perc_85, converted_stat * 1.5, converted_stat)))))</f>
        <v/>
      </c>
      <c r="I854" s="30" t="str">
        <f t="array" ref="I854">IF($A854="", "", LET(bbgm_stat, INDEX(Players!$A853:$P853, MATCH(I$2, Players!$A$1:$P$1, 0)), perc_75, VLOOKUP(I$2, Percentiles!$A$45:$I$59, 6, FALSE), perc_90, VLOOKUP(I$2, Percentiles!$A$45:$I$59, 7, FALSE), perc_95, VLOOKUP(I$2, Percentiles!$A$45:$I$59, 8, FALSE), perc_85, perc_75 + (perc_90 - perc_75) * (2/3), converted_stat, '2K_Ratings'!I854, IF(bbgm_stat &gt;= perc_95, converted_stat * 3, IF(bbgm_stat &gt;= perc_90, converted_stat * 2, IF(bbgm_stat &gt;= perc_85, converted_stat * 1.5, converted_stat)))))</f>
        <v/>
      </c>
      <c r="J854" s="30" t="str">
        <f t="array" ref="J854">IF($A854="", "", LET(bbgm_stat, INDEX(Players!$A853:$P853, MATCH(J$2, Players!$A$1:$P$1, 0)), perc_75, VLOOKUP(J$2, Percentiles!$A$45:$I$59, 6, FALSE), perc_90, VLOOKUP(J$2, Percentiles!$A$45:$I$59, 7, FALSE), perc_95, VLOOKUP(J$2, Percentiles!$A$45:$I$59, 8, FALSE), perc_85, perc_75 + (perc_90 - perc_75) * (2/3), converted_stat, '2K_Ratings'!J854, IF(bbgm_stat &gt;= perc_95, converted_stat * 3, IF(bbgm_stat &gt;= perc_90, converted_stat * 2, IF(bbgm_stat &gt;= perc_85, converted_stat * 1.5, converted_stat)))))</f>
        <v/>
      </c>
      <c r="K854" s="30" t="str">
        <f t="array" ref="K854">IF($A854="", "", LET(bbgm_stat, INDEX(Players!$A853:$P853, MATCH(K$2, Players!$A$1:$P$1, 0)), perc_75, VLOOKUP(K$2, Percentiles!$A$45:$I$59, 6, FALSE), perc_90, VLOOKUP(K$2, Percentiles!$A$45:$I$59, 7, FALSE), perc_95, VLOOKUP(K$2, Percentiles!$A$45:$I$59, 8, FALSE), perc_85, perc_75 + (perc_90 - perc_75) * (2/3), converted_stat, '2K_Ratings'!K854, IF(bbgm_stat &gt;= perc_95, converted_stat * 3, IF(bbgm_stat &gt;= perc_90, converted_stat * 2, IF(bbgm_stat &gt;= perc_85, converted_stat * 1.5, converted_stat)))))</f>
        <v/>
      </c>
      <c r="L854" s="30" t="str">
        <f t="array" ref="L854">IF($A854="", "", LET(bbgm_stat, INDEX(Players!$A853:$P853, MATCH(L$2, Players!$A$1:$P$1, 0)), perc_75, VLOOKUP(L$2, Percentiles!$A$45:$I$59, 6, FALSE), perc_90, VLOOKUP(L$2, Percentiles!$A$45:$I$59, 7, FALSE), perc_95, VLOOKUP(L$2, Percentiles!$A$45:$I$59, 8, FALSE), perc_85, perc_75 + (perc_90 - perc_75) * (2/3), converted_stat, '2K_Ratings'!L854, IF(bbgm_stat &gt;= perc_95, converted_stat * 3, IF(bbgm_stat &gt;= perc_90, converted_stat * 2, IF(bbgm_stat &gt;= perc_85, converted_stat * 1.5, converted_stat)))))</f>
        <v/>
      </c>
      <c r="M854" s="30" t="str">
        <f t="array" ref="M854">IF($A854="", "", LET(bbgm_stat, INDEX(Players!$A853:$P853, MATCH(M$2, Players!$A$1:$P$1, 0)), perc_75, VLOOKUP(M$2, Percentiles!$A$45:$I$59, 6, FALSE), perc_90, VLOOKUP(M$2, Percentiles!$A$45:$I$59, 7, FALSE), perc_95, VLOOKUP(M$2, Percentiles!$A$45:$I$59, 8, FALSE), perc_85, perc_75 + (perc_90 - perc_75) * (2/3), converted_stat, '2K_Ratings'!M854, IF(bbgm_stat &gt;= perc_95, converted_stat * 3, IF(bbgm_stat &gt;= perc_90, converted_stat * 2, IF(bbgm_stat &gt;= perc_85, converted_stat * 1.5, converted_stat)))))</f>
        <v/>
      </c>
      <c r="N854" s="30" t="str">
        <f t="array" ref="N854">IF($A854="", "", LET(bbgm_stat, INDEX(Players!$A853:$P853, MATCH(N$2, Players!$A$1:$P$1, 0)), perc_75, VLOOKUP(N$2, Percentiles!$A$45:$I$59, 6, FALSE), perc_90, VLOOKUP(N$2, Percentiles!$A$45:$I$59, 7, FALSE), perc_95, VLOOKUP(N$2, Percentiles!$A$45:$I$59, 8, FALSE), perc_85, perc_75 + (perc_90 - perc_75) * (2/3), converted_stat, '2K_Ratings'!N854, IF(bbgm_stat &gt;= perc_95, converted_stat * 3, IF(bbgm_stat &gt;= perc_90, converted_stat * 2, IF(bbgm_stat &gt;= perc_85, converted_stat * 1.5, converted_stat)))))</f>
        <v/>
      </c>
      <c r="O854" s="30" t="str">
        <f t="array" ref="O854">IF($A854="", "", LET(bbgm_stat, INDEX(Players!$A853:$P853, MATCH(O$2, Players!$A$1:$P$1, 0)), perc_75, VLOOKUP(O$2, Percentiles!$A$45:$I$59, 6, FALSE), perc_90, VLOOKUP(O$2, Percentiles!$A$45:$I$59, 7, FALSE), perc_95, VLOOKUP(O$2, Percentiles!$A$45:$I$59, 8, FALSE), perc_85, perc_75 + (perc_90 - perc_75) * (2/3), converted_stat, '2K_Ratings'!O854, IF(bbgm_stat &gt;= perc_95, converted_stat * 3, IF(bbgm_stat &gt;= perc_90, converted_stat * 2, IF(bbgm_stat &gt;= perc_85, converted_stat * 1.5, converted_stat)))))</f>
        <v/>
      </c>
      <c r="P854" s="30" t="str">
        <f t="array" ref="P854">IF($A854="", "", LET(bbgm_stat, INDEX(Players!$A853:$P853, MATCH(P$2, Players!$A$1:$P$1, 0)), perc_75, VLOOKUP(P$2, Percentiles!$A$45:$I$59, 6, FALSE), perc_90, VLOOKUP(P$2, Percentiles!$A$45:$I$59, 7, FALSE), perc_95, VLOOKUP(P$2, Percentiles!$A$45:$I$59, 8, FALSE), perc_85, perc_75 + (perc_90 - perc_75) * (2/3), converted_stat, '2K_Ratings'!P854, IF(bbgm_stat &gt;= perc_95, converted_stat * 3, IF(bbgm_stat &gt;= perc_90, converted_stat * 2, IF(bbgm_stat &gt;= perc_85, converted_stat * 1.5, converted_stat)))))</f>
        <v/>
      </c>
      <c r="Q854" s="30" t="str">
        <f t="array" ref="Q854">IF($A854="", "", LET(bbgm_stat, INDEX(Players!$A853:$P853, MATCH(Q$2, Players!$A$1:$P$1, 0)), perc_75, VLOOKUP(Q$2, Percentiles!$A$45:$I$59, 6, FALSE), perc_90, VLOOKUP(Q$2, Percentiles!$A$45:$I$59, 7, FALSE), perc_95, VLOOKUP(Q$2, Percentiles!$A$45:$I$59, 8, FALSE), perc_85, perc_75 + (perc_90 - perc_75) * (2/3), converted_stat, '2K_Ratings'!Q854, IF(bbgm_stat &gt;= perc_95, converted_stat * 3, IF(bbgm_stat &gt;= perc_90, converted_stat * 2, IF(bbgm_stat &gt;= perc_85, converted_stat * 1.5, converted_stat)))))</f>
        <v/>
      </c>
      <c r="R854" s="30" t="str">
        <f t="array" ref="R854">IF($A854="", "", LET(bbgm_stat, INDEX(Players!$A853:$P853, MATCH(R$2, Players!$A$1:$P$1, 0)), perc_75, VLOOKUP(R$2, Percentiles!$A$45:$I$59, 6, FALSE), perc_90, VLOOKUP(R$2, Percentiles!$A$45:$I$59, 7, FALSE), perc_95, VLOOKUP(R$2, Percentiles!$A$45:$I$59, 8, FALSE), perc_85, perc_75 + (perc_90 - perc_75) * (2/3), converted_stat, '2K_Ratings'!R854, IF(bbgm_stat &gt;= perc_95, converted_stat * 3, IF(bbgm_stat &gt;= perc_90, converted_stat * 2, IF(bbgm_stat &gt;= perc_85, converted_stat * 1.5, converted_stat)))))</f>
        <v/>
      </c>
      <c r="S854" s="30" t="str">
        <f t="array" ref="S854">IF($A854="", "", LET(bbgm_stat, INDEX(Players!$A853:$P853, MATCH(S$2, Players!$A$1:$P$1, 0)), perc_75, VLOOKUP(S$2, Percentiles!$A$45:$I$59, 6, FALSE), perc_90, VLOOKUP(S$2, Percentiles!$A$45:$I$59, 7, FALSE), perc_95, VLOOKUP(S$2, Percentiles!$A$45:$I$59, 8, FALSE), perc_85, perc_75 + (perc_90 - perc_75) * (2/3), converted_stat, '2K_Ratings'!S854, IF(bbgm_stat &gt;= perc_95, converted_stat * 3, IF(bbgm_stat &gt;= perc_90, converted_stat * 2, IF(bbgm_stat &gt;= perc_85, converted_stat * 1.5, converted_stat)))))</f>
        <v/>
      </c>
      <c r="T854" s="30" t="str">
        <f t="array" ref="T854">IF($A854="", "", LET(bbgm_stat, INDEX(Players!$A853:$P853, MATCH(T$2, Players!$A$1:$P$1, 0)), perc_75, VLOOKUP(T$2, Percentiles!$A$45:$I$59, 6, FALSE), perc_90, VLOOKUP(T$2, Percentiles!$A$45:$I$59, 7, FALSE), perc_95, VLOOKUP(T$2, Percentiles!$A$45:$I$59, 8, FALSE), perc_85, perc_75 + (perc_90 - perc_75) * (2/3), converted_stat, '2K_Ratings'!T854, IF(bbgm_stat &gt;= perc_95, converted_stat * 3, IF(bbgm_stat &gt;= perc_90, converted_stat * 2, IF(bbgm_stat &gt;= perc_85, converted_stat * 1.5, converted_stat)))))</f>
        <v/>
      </c>
      <c r="U854" s="30" t="str">
        <f t="array" ref="U854">IF($A854="", "", LET(bbgm_stat, INDEX(Players!$A853:$P853, MATCH(U$2, Players!$A$1:$P$1, 0)), perc_75, VLOOKUP(U$2, Percentiles!$A$45:$I$59, 6, FALSE), perc_90, VLOOKUP(U$2, Percentiles!$A$45:$I$59, 7, FALSE), perc_95, VLOOKUP(U$2, Percentiles!$A$45:$I$59, 8, FALSE), perc_85, perc_75 + (perc_90 - perc_75) * (2/3), converted_stat, '2K_Ratings'!U854, IF(bbgm_stat &gt;= perc_95, converted_stat * 3, IF(bbgm_stat &gt;= perc_90, converted_stat * 2, IF(bbgm_stat &gt;= perc_85, converted_stat * 1.5, converted_stat)))))</f>
        <v/>
      </c>
      <c r="V854" s="30" t="str">
        <f t="array" ref="V854">IF($A854="", "", LET(bbgm_stat, INDEX(Players!$A853:$P853, MATCH(V$2, Players!$A$1:$P$1, 0)), perc_75, VLOOKUP(V$2, Percentiles!$A$45:$I$59, 6, FALSE), perc_90, VLOOKUP(V$2, Percentiles!$A$45:$I$59, 7, FALSE), perc_95, VLOOKUP(V$2, Percentiles!$A$45:$I$59, 8, FALSE), perc_85, perc_75 + (perc_90 - perc_75) * (2/3), converted_stat, '2K_Ratings'!V854, IF(bbgm_stat &gt;= perc_95, converted_stat * 3, IF(bbgm_stat &gt;= perc_90, converted_stat * 2, IF(bbgm_stat &gt;= perc_85, converted_stat * 1.5, converted_stat)))))</f>
        <v/>
      </c>
      <c r="W854" s="30" t="str">
        <f t="array" ref="W854">IF($A854="", "", LET(bbgm_stat, INDEX(Players!$A853:$P853, MATCH(W$2, Players!$A$1:$P$1, 0)), perc_75, VLOOKUP(W$2, Percentiles!$A$45:$I$59, 6, FALSE), perc_90, VLOOKUP(W$2, Percentiles!$A$45:$I$59, 7, FALSE), perc_95, VLOOKUP(W$2, Percentiles!$A$45:$I$59, 8, FALSE), perc_85, perc_75 + (perc_90 - perc_75) * (2/3), converted_stat, '2K_Ratings'!W854, IF(bbgm_stat &gt;= perc_95, converted_stat * 3, IF(bbgm_stat &gt;= perc_90, converted_stat * 2, IF(bbgm_stat &gt;= perc_85, converted_stat * 1.5, converted_stat)))))</f>
        <v/>
      </c>
    </row>
    <row r="855">
      <c r="A855" s="30"/>
      <c r="B855" s="30" t="str">
        <f t="array" ref="B855">IF($A855="", "", LET(bbgm_stat, INDEX(Players!$A854:$P854, MATCH(B$2, Players!$A$1:$P$1, 0)), perc_75, VLOOKUP(B$2, Percentiles!$A$45:$I$59, 6, FALSE), perc_90, VLOOKUP(B$2, Percentiles!$A$45:$I$59, 7, FALSE), perc_95, VLOOKUP(B$2, Percentiles!$A$45:$I$59, 8, FALSE), perc_85, perc_75 + (perc_90 - perc_75) * (2/3), converted_stat, '2K_Ratings'!B855, IF(bbgm_stat &gt;= perc_95, converted_stat * 3, IF(bbgm_stat &gt;= perc_90, converted_stat * 2, IF(bbgm_stat &gt;= perc_85, converted_stat * 1.5, converted_stat)))))</f>
        <v/>
      </c>
      <c r="C855" s="30" t="str">
        <f t="array" ref="C855">IF($A855="", "", LET(bbgm_stat, INDEX(Players!$A854:$P854, MATCH(C$2, Players!$A$1:$P$1, 0)), perc_75, VLOOKUP(C$2, Percentiles!$A$45:$I$59, 6, FALSE), perc_90, VLOOKUP(C$2, Percentiles!$A$45:$I$59, 7, FALSE), perc_95, VLOOKUP(C$2, Percentiles!$A$45:$I$59, 8, FALSE), perc_85, perc_75 + (perc_90 - perc_75) * (2/3), converted_stat, '2K_Ratings'!C855, IF(bbgm_stat &gt;= perc_95, converted_stat * 3, IF(bbgm_stat &gt;= perc_90, converted_stat * 2, IF(bbgm_stat &gt;= perc_85, converted_stat * 1.5, converted_stat)))))</f>
        <v/>
      </c>
      <c r="D855" s="30" t="str">
        <f t="array" ref="D855">IF($A855="", "", LET(bbgm_stat, INDEX(Players!$A854:$P854, MATCH(D$2, Players!$A$1:$P$1, 0)), perc_75, VLOOKUP(D$2, Percentiles!$A$45:$I$59, 6, FALSE), perc_90, VLOOKUP(D$2, Percentiles!$A$45:$I$59, 7, FALSE), perc_95, VLOOKUP(D$2, Percentiles!$A$45:$I$59, 8, FALSE), perc_85, perc_75 + (perc_90 - perc_75) * (2/3), converted_stat, '2K_Ratings'!D855, IF(bbgm_stat &gt;= perc_95, converted_stat * 3, IF(bbgm_stat &gt;= perc_90, converted_stat * 2, IF(bbgm_stat &gt;= perc_85, converted_stat * 1.5, converted_stat)))))</f>
        <v/>
      </c>
      <c r="E855" s="30" t="str">
        <f t="array" ref="E855">IF($A855="", "", LET(bbgm_stat, INDEX(Players!$A854:$P854, MATCH(E$2, Players!$A$1:$P$1, 0)), perc_75, VLOOKUP(E$2, Percentiles!$A$45:$I$59, 6, FALSE), perc_90, VLOOKUP(E$2, Percentiles!$A$45:$I$59, 7, FALSE), perc_95, VLOOKUP(E$2, Percentiles!$A$45:$I$59, 8, FALSE), perc_85, perc_75 + (perc_90 - perc_75) * (2/3), converted_stat, '2K_Ratings'!E855, IF(bbgm_stat &gt;= perc_95, converted_stat * 3, IF(bbgm_stat &gt;= perc_90, converted_stat * 2, IF(bbgm_stat &gt;= perc_85, converted_stat * 1.5, converted_stat)))))</f>
        <v/>
      </c>
      <c r="F855" s="30" t="str">
        <f t="array" ref="F855">IF($A855="", "", LET(bbgm_stat, INDEX(Players!$A854:$P854, MATCH(F$2, Players!$A$1:$P$1, 0)), perc_75, VLOOKUP(F$2, Percentiles!$A$45:$I$59, 6, FALSE), perc_90, VLOOKUP(F$2, Percentiles!$A$45:$I$59, 7, FALSE), perc_95, VLOOKUP(F$2, Percentiles!$A$45:$I$59, 8, FALSE), perc_85, perc_75 + (perc_90 - perc_75) * (2/3), converted_stat, '2K_Ratings'!F855, IF(bbgm_stat &gt;= perc_95, converted_stat * 3, IF(bbgm_stat &gt;= perc_90, converted_stat * 2, IF(bbgm_stat &gt;= perc_85, converted_stat * 1.5, converted_stat)))))</f>
        <v/>
      </c>
      <c r="G855" s="30" t="str">
        <f t="array" ref="G855">IF($A855="", "", LET(bbgm_stat, INDEX(Players!$A854:$P854, MATCH(G$2, Players!$A$1:$P$1, 0)), perc_75, VLOOKUP(G$2, Percentiles!$A$45:$I$59, 6, FALSE), perc_90, VLOOKUP(G$2, Percentiles!$A$45:$I$59, 7, FALSE), perc_95, VLOOKUP(G$2, Percentiles!$A$45:$I$59, 8, FALSE), perc_85, perc_75 + (perc_90 - perc_75) * (2/3), converted_stat, '2K_Ratings'!G855, IF(bbgm_stat &gt;= perc_95, converted_stat * 3, IF(bbgm_stat &gt;= perc_90, converted_stat * 2, IF(bbgm_stat &gt;= perc_85, converted_stat * 1.5, converted_stat)))))</f>
        <v/>
      </c>
      <c r="H855" s="30" t="str">
        <f t="array" ref="H855">IF($A855="", "", LET(bbgm_stat, INDEX(Players!$A854:$P854, MATCH(H$2, Players!$A$1:$P$1, 0)), perc_75, VLOOKUP(H$2, Percentiles!$A$45:$I$59, 6, FALSE), perc_90, VLOOKUP(H$2, Percentiles!$A$45:$I$59, 7, FALSE), perc_95, VLOOKUP(H$2, Percentiles!$A$45:$I$59, 8, FALSE), perc_85, perc_75 + (perc_90 - perc_75) * (2/3), converted_stat, '2K_Ratings'!H855, IF(bbgm_stat &gt;= perc_95, converted_stat * 3, IF(bbgm_stat &gt;= perc_90, converted_stat * 2, IF(bbgm_stat &gt;= perc_85, converted_stat * 1.5, converted_stat)))))</f>
        <v/>
      </c>
      <c r="I855" s="30" t="str">
        <f t="array" ref="I855">IF($A855="", "", LET(bbgm_stat, INDEX(Players!$A854:$P854, MATCH(I$2, Players!$A$1:$P$1, 0)), perc_75, VLOOKUP(I$2, Percentiles!$A$45:$I$59, 6, FALSE), perc_90, VLOOKUP(I$2, Percentiles!$A$45:$I$59, 7, FALSE), perc_95, VLOOKUP(I$2, Percentiles!$A$45:$I$59, 8, FALSE), perc_85, perc_75 + (perc_90 - perc_75) * (2/3), converted_stat, '2K_Ratings'!I855, IF(bbgm_stat &gt;= perc_95, converted_stat * 3, IF(bbgm_stat &gt;= perc_90, converted_stat * 2, IF(bbgm_stat &gt;= perc_85, converted_stat * 1.5, converted_stat)))))</f>
        <v/>
      </c>
      <c r="J855" s="30" t="str">
        <f t="array" ref="J855">IF($A855="", "", LET(bbgm_stat, INDEX(Players!$A854:$P854, MATCH(J$2, Players!$A$1:$P$1, 0)), perc_75, VLOOKUP(J$2, Percentiles!$A$45:$I$59, 6, FALSE), perc_90, VLOOKUP(J$2, Percentiles!$A$45:$I$59, 7, FALSE), perc_95, VLOOKUP(J$2, Percentiles!$A$45:$I$59, 8, FALSE), perc_85, perc_75 + (perc_90 - perc_75) * (2/3), converted_stat, '2K_Ratings'!J855, IF(bbgm_stat &gt;= perc_95, converted_stat * 3, IF(bbgm_stat &gt;= perc_90, converted_stat * 2, IF(bbgm_stat &gt;= perc_85, converted_stat * 1.5, converted_stat)))))</f>
        <v/>
      </c>
      <c r="K855" s="30" t="str">
        <f t="array" ref="K855">IF($A855="", "", LET(bbgm_stat, INDEX(Players!$A854:$P854, MATCH(K$2, Players!$A$1:$P$1, 0)), perc_75, VLOOKUP(K$2, Percentiles!$A$45:$I$59, 6, FALSE), perc_90, VLOOKUP(K$2, Percentiles!$A$45:$I$59, 7, FALSE), perc_95, VLOOKUP(K$2, Percentiles!$A$45:$I$59, 8, FALSE), perc_85, perc_75 + (perc_90 - perc_75) * (2/3), converted_stat, '2K_Ratings'!K855, IF(bbgm_stat &gt;= perc_95, converted_stat * 3, IF(bbgm_stat &gt;= perc_90, converted_stat * 2, IF(bbgm_stat &gt;= perc_85, converted_stat * 1.5, converted_stat)))))</f>
        <v/>
      </c>
      <c r="L855" s="30" t="str">
        <f t="array" ref="L855">IF($A855="", "", LET(bbgm_stat, INDEX(Players!$A854:$P854, MATCH(L$2, Players!$A$1:$P$1, 0)), perc_75, VLOOKUP(L$2, Percentiles!$A$45:$I$59, 6, FALSE), perc_90, VLOOKUP(L$2, Percentiles!$A$45:$I$59, 7, FALSE), perc_95, VLOOKUP(L$2, Percentiles!$A$45:$I$59, 8, FALSE), perc_85, perc_75 + (perc_90 - perc_75) * (2/3), converted_stat, '2K_Ratings'!L855, IF(bbgm_stat &gt;= perc_95, converted_stat * 3, IF(bbgm_stat &gt;= perc_90, converted_stat * 2, IF(bbgm_stat &gt;= perc_85, converted_stat * 1.5, converted_stat)))))</f>
        <v/>
      </c>
      <c r="M855" s="30" t="str">
        <f t="array" ref="M855">IF($A855="", "", LET(bbgm_stat, INDEX(Players!$A854:$P854, MATCH(M$2, Players!$A$1:$P$1, 0)), perc_75, VLOOKUP(M$2, Percentiles!$A$45:$I$59, 6, FALSE), perc_90, VLOOKUP(M$2, Percentiles!$A$45:$I$59, 7, FALSE), perc_95, VLOOKUP(M$2, Percentiles!$A$45:$I$59, 8, FALSE), perc_85, perc_75 + (perc_90 - perc_75) * (2/3), converted_stat, '2K_Ratings'!M855, IF(bbgm_stat &gt;= perc_95, converted_stat * 3, IF(bbgm_stat &gt;= perc_90, converted_stat * 2, IF(bbgm_stat &gt;= perc_85, converted_stat * 1.5, converted_stat)))))</f>
        <v/>
      </c>
      <c r="N855" s="30" t="str">
        <f t="array" ref="N855">IF($A855="", "", LET(bbgm_stat, INDEX(Players!$A854:$P854, MATCH(N$2, Players!$A$1:$P$1, 0)), perc_75, VLOOKUP(N$2, Percentiles!$A$45:$I$59, 6, FALSE), perc_90, VLOOKUP(N$2, Percentiles!$A$45:$I$59, 7, FALSE), perc_95, VLOOKUP(N$2, Percentiles!$A$45:$I$59, 8, FALSE), perc_85, perc_75 + (perc_90 - perc_75) * (2/3), converted_stat, '2K_Ratings'!N855, IF(bbgm_stat &gt;= perc_95, converted_stat * 3, IF(bbgm_stat &gt;= perc_90, converted_stat * 2, IF(bbgm_stat &gt;= perc_85, converted_stat * 1.5, converted_stat)))))</f>
        <v/>
      </c>
      <c r="O855" s="30" t="str">
        <f t="array" ref="O855">IF($A855="", "", LET(bbgm_stat, INDEX(Players!$A854:$P854, MATCH(O$2, Players!$A$1:$P$1, 0)), perc_75, VLOOKUP(O$2, Percentiles!$A$45:$I$59, 6, FALSE), perc_90, VLOOKUP(O$2, Percentiles!$A$45:$I$59, 7, FALSE), perc_95, VLOOKUP(O$2, Percentiles!$A$45:$I$59, 8, FALSE), perc_85, perc_75 + (perc_90 - perc_75) * (2/3), converted_stat, '2K_Ratings'!O855, IF(bbgm_stat &gt;= perc_95, converted_stat * 3, IF(bbgm_stat &gt;= perc_90, converted_stat * 2, IF(bbgm_stat &gt;= perc_85, converted_stat * 1.5, converted_stat)))))</f>
        <v/>
      </c>
      <c r="P855" s="30" t="str">
        <f t="array" ref="P855">IF($A855="", "", LET(bbgm_stat, INDEX(Players!$A854:$P854, MATCH(P$2, Players!$A$1:$P$1, 0)), perc_75, VLOOKUP(P$2, Percentiles!$A$45:$I$59, 6, FALSE), perc_90, VLOOKUP(P$2, Percentiles!$A$45:$I$59, 7, FALSE), perc_95, VLOOKUP(P$2, Percentiles!$A$45:$I$59, 8, FALSE), perc_85, perc_75 + (perc_90 - perc_75) * (2/3), converted_stat, '2K_Ratings'!P855, IF(bbgm_stat &gt;= perc_95, converted_stat * 3, IF(bbgm_stat &gt;= perc_90, converted_stat * 2, IF(bbgm_stat &gt;= perc_85, converted_stat * 1.5, converted_stat)))))</f>
        <v/>
      </c>
      <c r="Q855" s="30" t="str">
        <f t="array" ref="Q855">IF($A855="", "", LET(bbgm_stat, INDEX(Players!$A854:$P854, MATCH(Q$2, Players!$A$1:$P$1, 0)), perc_75, VLOOKUP(Q$2, Percentiles!$A$45:$I$59, 6, FALSE), perc_90, VLOOKUP(Q$2, Percentiles!$A$45:$I$59, 7, FALSE), perc_95, VLOOKUP(Q$2, Percentiles!$A$45:$I$59, 8, FALSE), perc_85, perc_75 + (perc_90 - perc_75) * (2/3), converted_stat, '2K_Ratings'!Q855, IF(bbgm_stat &gt;= perc_95, converted_stat * 3, IF(bbgm_stat &gt;= perc_90, converted_stat * 2, IF(bbgm_stat &gt;= perc_85, converted_stat * 1.5, converted_stat)))))</f>
        <v/>
      </c>
      <c r="R855" s="30" t="str">
        <f t="array" ref="R855">IF($A855="", "", LET(bbgm_stat, INDEX(Players!$A854:$P854, MATCH(R$2, Players!$A$1:$P$1, 0)), perc_75, VLOOKUP(R$2, Percentiles!$A$45:$I$59, 6, FALSE), perc_90, VLOOKUP(R$2, Percentiles!$A$45:$I$59, 7, FALSE), perc_95, VLOOKUP(R$2, Percentiles!$A$45:$I$59, 8, FALSE), perc_85, perc_75 + (perc_90 - perc_75) * (2/3), converted_stat, '2K_Ratings'!R855, IF(bbgm_stat &gt;= perc_95, converted_stat * 3, IF(bbgm_stat &gt;= perc_90, converted_stat * 2, IF(bbgm_stat &gt;= perc_85, converted_stat * 1.5, converted_stat)))))</f>
        <v/>
      </c>
      <c r="S855" s="30" t="str">
        <f t="array" ref="S855">IF($A855="", "", LET(bbgm_stat, INDEX(Players!$A854:$P854, MATCH(S$2, Players!$A$1:$P$1, 0)), perc_75, VLOOKUP(S$2, Percentiles!$A$45:$I$59, 6, FALSE), perc_90, VLOOKUP(S$2, Percentiles!$A$45:$I$59, 7, FALSE), perc_95, VLOOKUP(S$2, Percentiles!$A$45:$I$59, 8, FALSE), perc_85, perc_75 + (perc_90 - perc_75) * (2/3), converted_stat, '2K_Ratings'!S855, IF(bbgm_stat &gt;= perc_95, converted_stat * 3, IF(bbgm_stat &gt;= perc_90, converted_stat * 2, IF(bbgm_stat &gt;= perc_85, converted_stat * 1.5, converted_stat)))))</f>
        <v/>
      </c>
      <c r="T855" s="30" t="str">
        <f t="array" ref="T855">IF($A855="", "", LET(bbgm_stat, INDEX(Players!$A854:$P854, MATCH(T$2, Players!$A$1:$P$1, 0)), perc_75, VLOOKUP(T$2, Percentiles!$A$45:$I$59, 6, FALSE), perc_90, VLOOKUP(T$2, Percentiles!$A$45:$I$59, 7, FALSE), perc_95, VLOOKUP(T$2, Percentiles!$A$45:$I$59, 8, FALSE), perc_85, perc_75 + (perc_90 - perc_75) * (2/3), converted_stat, '2K_Ratings'!T855, IF(bbgm_stat &gt;= perc_95, converted_stat * 3, IF(bbgm_stat &gt;= perc_90, converted_stat * 2, IF(bbgm_stat &gt;= perc_85, converted_stat * 1.5, converted_stat)))))</f>
        <v/>
      </c>
      <c r="U855" s="30" t="str">
        <f t="array" ref="U855">IF($A855="", "", LET(bbgm_stat, INDEX(Players!$A854:$P854, MATCH(U$2, Players!$A$1:$P$1, 0)), perc_75, VLOOKUP(U$2, Percentiles!$A$45:$I$59, 6, FALSE), perc_90, VLOOKUP(U$2, Percentiles!$A$45:$I$59, 7, FALSE), perc_95, VLOOKUP(U$2, Percentiles!$A$45:$I$59, 8, FALSE), perc_85, perc_75 + (perc_90 - perc_75) * (2/3), converted_stat, '2K_Ratings'!U855, IF(bbgm_stat &gt;= perc_95, converted_stat * 3, IF(bbgm_stat &gt;= perc_90, converted_stat * 2, IF(bbgm_stat &gt;= perc_85, converted_stat * 1.5, converted_stat)))))</f>
        <v/>
      </c>
      <c r="V855" s="30" t="str">
        <f t="array" ref="V855">IF($A855="", "", LET(bbgm_stat, INDEX(Players!$A854:$P854, MATCH(V$2, Players!$A$1:$P$1, 0)), perc_75, VLOOKUP(V$2, Percentiles!$A$45:$I$59, 6, FALSE), perc_90, VLOOKUP(V$2, Percentiles!$A$45:$I$59, 7, FALSE), perc_95, VLOOKUP(V$2, Percentiles!$A$45:$I$59, 8, FALSE), perc_85, perc_75 + (perc_90 - perc_75) * (2/3), converted_stat, '2K_Ratings'!V855, IF(bbgm_stat &gt;= perc_95, converted_stat * 3, IF(bbgm_stat &gt;= perc_90, converted_stat * 2, IF(bbgm_stat &gt;= perc_85, converted_stat * 1.5, converted_stat)))))</f>
        <v/>
      </c>
      <c r="W855" s="30" t="str">
        <f t="array" ref="W855">IF($A855="", "", LET(bbgm_stat, INDEX(Players!$A854:$P854, MATCH(W$2, Players!$A$1:$P$1, 0)), perc_75, VLOOKUP(W$2, Percentiles!$A$45:$I$59, 6, FALSE), perc_90, VLOOKUP(W$2, Percentiles!$A$45:$I$59, 7, FALSE), perc_95, VLOOKUP(W$2, Percentiles!$A$45:$I$59, 8, FALSE), perc_85, perc_75 + (perc_90 - perc_75) * (2/3), converted_stat, '2K_Ratings'!W855, IF(bbgm_stat &gt;= perc_95, converted_stat * 3, IF(bbgm_stat &gt;= perc_90, converted_stat * 2, IF(bbgm_stat &gt;= perc_85, converted_stat * 1.5, converted_stat)))))</f>
        <v/>
      </c>
    </row>
    <row r="856">
      <c r="A856" s="30"/>
      <c r="B856" s="30" t="str">
        <f t="array" ref="B856">IF($A856="", "", LET(bbgm_stat, INDEX(Players!$A855:$P855, MATCH(B$2, Players!$A$1:$P$1, 0)), perc_75, VLOOKUP(B$2, Percentiles!$A$45:$I$59, 6, FALSE), perc_90, VLOOKUP(B$2, Percentiles!$A$45:$I$59, 7, FALSE), perc_95, VLOOKUP(B$2, Percentiles!$A$45:$I$59, 8, FALSE), perc_85, perc_75 + (perc_90 - perc_75) * (2/3), converted_stat, '2K_Ratings'!B856, IF(bbgm_stat &gt;= perc_95, converted_stat * 3, IF(bbgm_stat &gt;= perc_90, converted_stat * 2, IF(bbgm_stat &gt;= perc_85, converted_stat * 1.5, converted_stat)))))</f>
        <v/>
      </c>
      <c r="C856" s="30" t="str">
        <f t="array" ref="C856">IF($A856="", "", LET(bbgm_stat, INDEX(Players!$A855:$P855, MATCH(C$2, Players!$A$1:$P$1, 0)), perc_75, VLOOKUP(C$2, Percentiles!$A$45:$I$59, 6, FALSE), perc_90, VLOOKUP(C$2, Percentiles!$A$45:$I$59, 7, FALSE), perc_95, VLOOKUP(C$2, Percentiles!$A$45:$I$59, 8, FALSE), perc_85, perc_75 + (perc_90 - perc_75) * (2/3), converted_stat, '2K_Ratings'!C856, IF(bbgm_stat &gt;= perc_95, converted_stat * 3, IF(bbgm_stat &gt;= perc_90, converted_stat * 2, IF(bbgm_stat &gt;= perc_85, converted_stat * 1.5, converted_stat)))))</f>
        <v/>
      </c>
      <c r="D856" s="30" t="str">
        <f t="array" ref="D856">IF($A856="", "", LET(bbgm_stat, INDEX(Players!$A855:$P855, MATCH(D$2, Players!$A$1:$P$1, 0)), perc_75, VLOOKUP(D$2, Percentiles!$A$45:$I$59, 6, FALSE), perc_90, VLOOKUP(D$2, Percentiles!$A$45:$I$59, 7, FALSE), perc_95, VLOOKUP(D$2, Percentiles!$A$45:$I$59, 8, FALSE), perc_85, perc_75 + (perc_90 - perc_75) * (2/3), converted_stat, '2K_Ratings'!D856, IF(bbgm_stat &gt;= perc_95, converted_stat * 3, IF(bbgm_stat &gt;= perc_90, converted_stat * 2, IF(bbgm_stat &gt;= perc_85, converted_stat * 1.5, converted_stat)))))</f>
        <v/>
      </c>
      <c r="E856" s="30" t="str">
        <f t="array" ref="E856">IF($A856="", "", LET(bbgm_stat, INDEX(Players!$A855:$P855, MATCH(E$2, Players!$A$1:$P$1, 0)), perc_75, VLOOKUP(E$2, Percentiles!$A$45:$I$59, 6, FALSE), perc_90, VLOOKUP(E$2, Percentiles!$A$45:$I$59, 7, FALSE), perc_95, VLOOKUP(E$2, Percentiles!$A$45:$I$59, 8, FALSE), perc_85, perc_75 + (perc_90 - perc_75) * (2/3), converted_stat, '2K_Ratings'!E856, IF(bbgm_stat &gt;= perc_95, converted_stat * 3, IF(bbgm_stat &gt;= perc_90, converted_stat * 2, IF(bbgm_stat &gt;= perc_85, converted_stat * 1.5, converted_stat)))))</f>
        <v/>
      </c>
      <c r="F856" s="30" t="str">
        <f t="array" ref="F856">IF($A856="", "", LET(bbgm_stat, INDEX(Players!$A855:$P855, MATCH(F$2, Players!$A$1:$P$1, 0)), perc_75, VLOOKUP(F$2, Percentiles!$A$45:$I$59, 6, FALSE), perc_90, VLOOKUP(F$2, Percentiles!$A$45:$I$59, 7, FALSE), perc_95, VLOOKUP(F$2, Percentiles!$A$45:$I$59, 8, FALSE), perc_85, perc_75 + (perc_90 - perc_75) * (2/3), converted_stat, '2K_Ratings'!F856, IF(bbgm_stat &gt;= perc_95, converted_stat * 3, IF(bbgm_stat &gt;= perc_90, converted_stat * 2, IF(bbgm_stat &gt;= perc_85, converted_stat * 1.5, converted_stat)))))</f>
        <v/>
      </c>
      <c r="G856" s="30" t="str">
        <f t="array" ref="G856">IF($A856="", "", LET(bbgm_stat, INDEX(Players!$A855:$P855, MATCH(G$2, Players!$A$1:$P$1, 0)), perc_75, VLOOKUP(G$2, Percentiles!$A$45:$I$59, 6, FALSE), perc_90, VLOOKUP(G$2, Percentiles!$A$45:$I$59, 7, FALSE), perc_95, VLOOKUP(G$2, Percentiles!$A$45:$I$59, 8, FALSE), perc_85, perc_75 + (perc_90 - perc_75) * (2/3), converted_stat, '2K_Ratings'!G856, IF(bbgm_stat &gt;= perc_95, converted_stat * 3, IF(bbgm_stat &gt;= perc_90, converted_stat * 2, IF(bbgm_stat &gt;= perc_85, converted_stat * 1.5, converted_stat)))))</f>
        <v/>
      </c>
      <c r="H856" s="30" t="str">
        <f t="array" ref="H856">IF($A856="", "", LET(bbgm_stat, INDEX(Players!$A855:$P855, MATCH(H$2, Players!$A$1:$P$1, 0)), perc_75, VLOOKUP(H$2, Percentiles!$A$45:$I$59, 6, FALSE), perc_90, VLOOKUP(H$2, Percentiles!$A$45:$I$59, 7, FALSE), perc_95, VLOOKUP(H$2, Percentiles!$A$45:$I$59, 8, FALSE), perc_85, perc_75 + (perc_90 - perc_75) * (2/3), converted_stat, '2K_Ratings'!H856, IF(bbgm_stat &gt;= perc_95, converted_stat * 3, IF(bbgm_stat &gt;= perc_90, converted_stat * 2, IF(bbgm_stat &gt;= perc_85, converted_stat * 1.5, converted_stat)))))</f>
        <v/>
      </c>
      <c r="I856" s="30" t="str">
        <f t="array" ref="I856">IF($A856="", "", LET(bbgm_stat, INDEX(Players!$A855:$P855, MATCH(I$2, Players!$A$1:$P$1, 0)), perc_75, VLOOKUP(I$2, Percentiles!$A$45:$I$59, 6, FALSE), perc_90, VLOOKUP(I$2, Percentiles!$A$45:$I$59, 7, FALSE), perc_95, VLOOKUP(I$2, Percentiles!$A$45:$I$59, 8, FALSE), perc_85, perc_75 + (perc_90 - perc_75) * (2/3), converted_stat, '2K_Ratings'!I856, IF(bbgm_stat &gt;= perc_95, converted_stat * 3, IF(bbgm_stat &gt;= perc_90, converted_stat * 2, IF(bbgm_stat &gt;= perc_85, converted_stat * 1.5, converted_stat)))))</f>
        <v/>
      </c>
      <c r="J856" s="30" t="str">
        <f t="array" ref="J856">IF($A856="", "", LET(bbgm_stat, INDEX(Players!$A855:$P855, MATCH(J$2, Players!$A$1:$P$1, 0)), perc_75, VLOOKUP(J$2, Percentiles!$A$45:$I$59, 6, FALSE), perc_90, VLOOKUP(J$2, Percentiles!$A$45:$I$59, 7, FALSE), perc_95, VLOOKUP(J$2, Percentiles!$A$45:$I$59, 8, FALSE), perc_85, perc_75 + (perc_90 - perc_75) * (2/3), converted_stat, '2K_Ratings'!J856, IF(bbgm_stat &gt;= perc_95, converted_stat * 3, IF(bbgm_stat &gt;= perc_90, converted_stat * 2, IF(bbgm_stat &gt;= perc_85, converted_stat * 1.5, converted_stat)))))</f>
        <v/>
      </c>
      <c r="K856" s="30" t="str">
        <f t="array" ref="K856">IF($A856="", "", LET(bbgm_stat, INDEX(Players!$A855:$P855, MATCH(K$2, Players!$A$1:$P$1, 0)), perc_75, VLOOKUP(K$2, Percentiles!$A$45:$I$59, 6, FALSE), perc_90, VLOOKUP(K$2, Percentiles!$A$45:$I$59, 7, FALSE), perc_95, VLOOKUP(K$2, Percentiles!$A$45:$I$59, 8, FALSE), perc_85, perc_75 + (perc_90 - perc_75) * (2/3), converted_stat, '2K_Ratings'!K856, IF(bbgm_stat &gt;= perc_95, converted_stat * 3, IF(bbgm_stat &gt;= perc_90, converted_stat * 2, IF(bbgm_stat &gt;= perc_85, converted_stat * 1.5, converted_stat)))))</f>
        <v/>
      </c>
      <c r="L856" s="30" t="str">
        <f t="array" ref="L856">IF($A856="", "", LET(bbgm_stat, INDEX(Players!$A855:$P855, MATCH(L$2, Players!$A$1:$P$1, 0)), perc_75, VLOOKUP(L$2, Percentiles!$A$45:$I$59, 6, FALSE), perc_90, VLOOKUP(L$2, Percentiles!$A$45:$I$59, 7, FALSE), perc_95, VLOOKUP(L$2, Percentiles!$A$45:$I$59, 8, FALSE), perc_85, perc_75 + (perc_90 - perc_75) * (2/3), converted_stat, '2K_Ratings'!L856, IF(bbgm_stat &gt;= perc_95, converted_stat * 3, IF(bbgm_stat &gt;= perc_90, converted_stat * 2, IF(bbgm_stat &gt;= perc_85, converted_stat * 1.5, converted_stat)))))</f>
        <v/>
      </c>
      <c r="M856" s="30" t="str">
        <f t="array" ref="M856">IF($A856="", "", LET(bbgm_stat, INDEX(Players!$A855:$P855, MATCH(M$2, Players!$A$1:$P$1, 0)), perc_75, VLOOKUP(M$2, Percentiles!$A$45:$I$59, 6, FALSE), perc_90, VLOOKUP(M$2, Percentiles!$A$45:$I$59, 7, FALSE), perc_95, VLOOKUP(M$2, Percentiles!$A$45:$I$59, 8, FALSE), perc_85, perc_75 + (perc_90 - perc_75) * (2/3), converted_stat, '2K_Ratings'!M856, IF(bbgm_stat &gt;= perc_95, converted_stat * 3, IF(bbgm_stat &gt;= perc_90, converted_stat * 2, IF(bbgm_stat &gt;= perc_85, converted_stat * 1.5, converted_stat)))))</f>
        <v/>
      </c>
      <c r="N856" s="30" t="str">
        <f t="array" ref="N856">IF($A856="", "", LET(bbgm_stat, INDEX(Players!$A855:$P855, MATCH(N$2, Players!$A$1:$P$1, 0)), perc_75, VLOOKUP(N$2, Percentiles!$A$45:$I$59, 6, FALSE), perc_90, VLOOKUP(N$2, Percentiles!$A$45:$I$59, 7, FALSE), perc_95, VLOOKUP(N$2, Percentiles!$A$45:$I$59, 8, FALSE), perc_85, perc_75 + (perc_90 - perc_75) * (2/3), converted_stat, '2K_Ratings'!N856, IF(bbgm_stat &gt;= perc_95, converted_stat * 3, IF(bbgm_stat &gt;= perc_90, converted_stat * 2, IF(bbgm_stat &gt;= perc_85, converted_stat * 1.5, converted_stat)))))</f>
        <v/>
      </c>
      <c r="O856" s="30" t="str">
        <f t="array" ref="O856">IF($A856="", "", LET(bbgm_stat, INDEX(Players!$A855:$P855, MATCH(O$2, Players!$A$1:$P$1, 0)), perc_75, VLOOKUP(O$2, Percentiles!$A$45:$I$59, 6, FALSE), perc_90, VLOOKUP(O$2, Percentiles!$A$45:$I$59, 7, FALSE), perc_95, VLOOKUP(O$2, Percentiles!$A$45:$I$59, 8, FALSE), perc_85, perc_75 + (perc_90 - perc_75) * (2/3), converted_stat, '2K_Ratings'!O856, IF(bbgm_stat &gt;= perc_95, converted_stat * 3, IF(bbgm_stat &gt;= perc_90, converted_stat * 2, IF(bbgm_stat &gt;= perc_85, converted_stat * 1.5, converted_stat)))))</f>
        <v/>
      </c>
      <c r="P856" s="30" t="str">
        <f t="array" ref="P856">IF($A856="", "", LET(bbgm_stat, INDEX(Players!$A855:$P855, MATCH(P$2, Players!$A$1:$P$1, 0)), perc_75, VLOOKUP(P$2, Percentiles!$A$45:$I$59, 6, FALSE), perc_90, VLOOKUP(P$2, Percentiles!$A$45:$I$59, 7, FALSE), perc_95, VLOOKUP(P$2, Percentiles!$A$45:$I$59, 8, FALSE), perc_85, perc_75 + (perc_90 - perc_75) * (2/3), converted_stat, '2K_Ratings'!P856, IF(bbgm_stat &gt;= perc_95, converted_stat * 3, IF(bbgm_stat &gt;= perc_90, converted_stat * 2, IF(bbgm_stat &gt;= perc_85, converted_stat * 1.5, converted_stat)))))</f>
        <v/>
      </c>
      <c r="Q856" s="30" t="str">
        <f t="array" ref="Q856">IF($A856="", "", LET(bbgm_stat, INDEX(Players!$A855:$P855, MATCH(Q$2, Players!$A$1:$P$1, 0)), perc_75, VLOOKUP(Q$2, Percentiles!$A$45:$I$59, 6, FALSE), perc_90, VLOOKUP(Q$2, Percentiles!$A$45:$I$59, 7, FALSE), perc_95, VLOOKUP(Q$2, Percentiles!$A$45:$I$59, 8, FALSE), perc_85, perc_75 + (perc_90 - perc_75) * (2/3), converted_stat, '2K_Ratings'!Q856, IF(bbgm_stat &gt;= perc_95, converted_stat * 3, IF(bbgm_stat &gt;= perc_90, converted_stat * 2, IF(bbgm_stat &gt;= perc_85, converted_stat * 1.5, converted_stat)))))</f>
        <v/>
      </c>
      <c r="R856" s="30" t="str">
        <f t="array" ref="R856">IF($A856="", "", LET(bbgm_stat, INDEX(Players!$A855:$P855, MATCH(R$2, Players!$A$1:$P$1, 0)), perc_75, VLOOKUP(R$2, Percentiles!$A$45:$I$59, 6, FALSE), perc_90, VLOOKUP(R$2, Percentiles!$A$45:$I$59, 7, FALSE), perc_95, VLOOKUP(R$2, Percentiles!$A$45:$I$59, 8, FALSE), perc_85, perc_75 + (perc_90 - perc_75) * (2/3), converted_stat, '2K_Ratings'!R856, IF(bbgm_stat &gt;= perc_95, converted_stat * 3, IF(bbgm_stat &gt;= perc_90, converted_stat * 2, IF(bbgm_stat &gt;= perc_85, converted_stat * 1.5, converted_stat)))))</f>
        <v/>
      </c>
      <c r="S856" s="30" t="str">
        <f t="array" ref="S856">IF($A856="", "", LET(bbgm_stat, INDEX(Players!$A855:$P855, MATCH(S$2, Players!$A$1:$P$1, 0)), perc_75, VLOOKUP(S$2, Percentiles!$A$45:$I$59, 6, FALSE), perc_90, VLOOKUP(S$2, Percentiles!$A$45:$I$59, 7, FALSE), perc_95, VLOOKUP(S$2, Percentiles!$A$45:$I$59, 8, FALSE), perc_85, perc_75 + (perc_90 - perc_75) * (2/3), converted_stat, '2K_Ratings'!S856, IF(bbgm_stat &gt;= perc_95, converted_stat * 3, IF(bbgm_stat &gt;= perc_90, converted_stat * 2, IF(bbgm_stat &gt;= perc_85, converted_stat * 1.5, converted_stat)))))</f>
        <v/>
      </c>
      <c r="T856" s="30" t="str">
        <f t="array" ref="T856">IF($A856="", "", LET(bbgm_stat, INDEX(Players!$A855:$P855, MATCH(T$2, Players!$A$1:$P$1, 0)), perc_75, VLOOKUP(T$2, Percentiles!$A$45:$I$59, 6, FALSE), perc_90, VLOOKUP(T$2, Percentiles!$A$45:$I$59, 7, FALSE), perc_95, VLOOKUP(T$2, Percentiles!$A$45:$I$59, 8, FALSE), perc_85, perc_75 + (perc_90 - perc_75) * (2/3), converted_stat, '2K_Ratings'!T856, IF(bbgm_stat &gt;= perc_95, converted_stat * 3, IF(bbgm_stat &gt;= perc_90, converted_stat * 2, IF(bbgm_stat &gt;= perc_85, converted_stat * 1.5, converted_stat)))))</f>
        <v/>
      </c>
      <c r="U856" s="30" t="str">
        <f t="array" ref="U856">IF($A856="", "", LET(bbgm_stat, INDEX(Players!$A855:$P855, MATCH(U$2, Players!$A$1:$P$1, 0)), perc_75, VLOOKUP(U$2, Percentiles!$A$45:$I$59, 6, FALSE), perc_90, VLOOKUP(U$2, Percentiles!$A$45:$I$59, 7, FALSE), perc_95, VLOOKUP(U$2, Percentiles!$A$45:$I$59, 8, FALSE), perc_85, perc_75 + (perc_90 - perc_75) * (2/3), converted_stat, '2K_Ratings'!U856, IF(bbgm_stat &gt;= perc_95, converted_stat * 3, IF(bbgm_stat &gt;= perc_90, converted_stat * 2, IF(bbgm_stat &gt;= perc_85, converted_stat * 1.5, converted_stat)))))</f>
        <v/>
      </c>
      <c r="V856" s="30" t="str">
        <f t="array" ref="V856">IF($A856="", "", LET(bbgm_stat, INDEX(Players!$A855:$P855, MATCH(V$2, Players!$A$1:$P$1, 0)), perc_75, VLOOKUP(V$2, Percentiles!$A$45:$I$59, 6, FALSE), perc_90, VLOOKUP(V$2, Percentiles!$A$45:$I$59, 7, FALSE), perc_95, VLOOKUP(V$2, Percentiles!$A$45:$I$59, 8, FALSE), perc_85, perc_75 + (perc_90 - perc_75) * (2/3), converted_stat, '2K_Ratings'!V856, IF(bbgm_stat &gt;= perc_95, converted_stat * 3, IF(bbgm_stat &gt;= perc_90, converted_stat * 2, IF(bbgm_stat &gt;= perc_85, converted_stat * 1.5, converted_stat)))))</f>
        <v/>
      </c>
      <c r="W856" s="30" t="str">
        <f t="array" ref="W856">IF($A856="", "", LET(bbgm_stat, INDEX(Players!$A855:$P855, MATCH(W$2, Players!$A$1:$P$1, 0)), perc_75, VLOOKUP(W$2, Percentiles!$A$45:$I$59, 6, FALSE), perc_90, VLOOKUP(W$2, Percentiles!$A$45:$I$59, 7, FALSE), perc_95, VLOOKUP(W$2, Percentiles!$A$45:$I$59, 8, FALSE), perc_85, perc_75 + (perc_90 - perc_75) * (2/3), converted_stat, '2K_Ratings'!W856, IF(bbgm_stat &gt;= perc_95, converted_stat * 3, IF(bbgm_stat &gt;= perc_90, converted_stat * 2, IF(bbgm_stat &gt;= perc_85, converted_stat * 1.5, converted_stat)))))</f>
        <v/>
      </c>
    </row>
    <row r="857">
      <c r="A857" s="30"/>
      <c r="B857" s="30" t="str">
        <f t="array" ref="B857">IF($A857="", "", LET(bbgm_stat, INDEX(Players!$A856:$P856, MATCH(B$2, Players!$A$1:$P$1, 0)), perc_75, VLOOKUP(B$2, Percentiles!$A$45:$I$59, 6, FALSE), perc_90, VLOOKUP(B$2, Percentiles!$A$45:$I$59, 7, FALSE), perc_95, VLOOKUP(B$2, Percentiles!$A$45:$I$59, 8, FALSE), perc_85, perc_75 + (perc_90 - perc_75) * (2/3), converted_stat, '2K_Ratings'!B857, IF(bbgm_stat &gt;= perc_95, converted_stat * 3, IF(bbgm_stat &gt;= perc_90, converted_stat * 2, IF(bbgm_stat &gt;= perc_85, converted_stat * 1.5, converted_stat)))))</f>
        <v/>
      </c>
      <c r="C857" s="30" t="str">
        <f t="array" ref="C857">IF($A857="", "", LET(bbgm_stat, INDEX(Players!$A856:$P856, MATCH(C$2, Players!$A$1:$P$1, 0)), perc_75, VLOOKUP(C$2, Percentiles!$A$45:$I$59, 6, FALSE), perc_90, VLOOKUP(C$2, Percentiles!$A$45:$I$59, 7, FALSE), perc_95, VLOOKUP(C$2, Percentiles!$A$45:$I$59, 8, FALSE), perc_85, perc_75 + (perc_90 - perc_75) * (2/3), converted_stat, '2K_Ratings'!C857, IF(bbgm_stat &gt;= perc_95, converted_stat * 3, IF(bbgm_stat &gt;= perc_90, converted_stat * 2, IF(bbgm_stat &gt;= perc_85, converted_stat * 1.5, converted_stat)))))</f>
        <v/>
      </c>
      <c r="D857" s="30" t="str">
        <f t="array" ref="D857">IF($A857="", "", LET(bbgm_stat, INDEX(Players!$A856:$P856, MATCH(D$2, Players!$A$1:$P$1, 0)), perc_75, VLOOKUP(D$2, Percentiles!$A$45:$I$59, 6, FALSE), perc_90, VLOOKUP(D$2, Percentiles!$A$45:$I$59, 7, FALSE), perc_95, VLOOKUP(D$2, Percentiles!$A$45:$I$59, 8, FALSE), perc_85, perc_75 + (perc_90 - perc_75) * (2/3), converted_stat, '2K_Ratings'!D857, IF(bbgm_stat &gt;= perc_95, converted_stat * 3, IF(bbgm_stat &gt;= perc_90, converted_stat * 2, IF(bbgm_stat &gt;= perc_85, converted_stat * 1.5, converted_stat)))))</f>
        <v/>
      </c>
      <c r="E857" s="30" t="str">
        <f t="array" ref="E857">IF($A857="", "", LET(bbgm_stat, INDEX(Players!$A856:$P856, MATCH(E$2, Players!$A$1:$P$1, 0)), perc_75, VLOOKUP(E$2, Percentiles!$A$45:$I$59, 6, FALSE), perc_90, VLOOKUP(E$2, Percentiles!$A$45:$I$59, 7, FALSE), perc_95, VLOOKUP(E$2, Percentiles!$A$45:$I$59, 8, FALSE), perc_85, perc_75 + (perc_90 - perc_75) * (2/3), converted_stat, '2K_Ratings'!E857, IF(bbgm_stat &gt;= perc_95, converted_stat * 3, IF(bbgm_stat &gt;= perc_90, converted_stat * 2, IF(bbgm_stat &gt;= perc_85, converted_stat * 1.5, converted_stat)))))</f>
        <v/>
      </c>
      <c r="F857" s="30" t="str">
        <f t="array" ref="F857">IF($A857="", "", LET(bbgm_stat, INDEX(Players!$A856:$P856, MATCH(F$2, Players!$A$1:$P$1, 0)), perc_75, VLOOKUP(F$2, Percentiles!$A$45:$I$59, 6, FALSE), perc_90, VLOOKUP(F$2, Percentiles!$A$45:$I$59, 7, FALSE), perc_95, VLOOKUP(F$2, Percentiles!$A$45:$I$59, 8, FALSE), perc_85, perc_75 + (perc_90 - perc_75) * (2/3), converted_stat, '2K_Ratings'!F857, IF(bbgm_stat &gt;= perc_95, converted_stat * 3, IF(bbgm_stat &gt;= perc_90, converted_stat * 2, IF(bbgm_stat &gt;= perc_85, converted_stat * 1.5, converted_stat)))))</f>
        <v/>
      </c>
      <c r="G857" s="30" t="str">
        <f t="array" ref="G857">IF($A857="", "", LET(bbgm_stat, INDEX(Players!$A856:$P856, MATCH(G$2, Players!$A$1:$P$1, 0)), perc_75, VLOOKUP(G$2, Percentiles!$A$45:$I$59, 6, FALSE), perc_90, VLOOKUP(G$2, Percentiles!$A$45:$I$59, 7, FALSE), perc_95, VLOOKUP(G$2, Percentiles!$A$45:$I$59, 8, FALSE), perc_85, perc_75 + (perc_90 - perc_75) * (2/3), converted_stat, '2K_Ratings'!G857, IF(bbgm_stat &gt;= perc_95, converted_stat * 3, IF(bbgm_stat &gt;= perc_90, converted_stat * 2, IF(bbgm_stat &gt;= perc_85, converted_stat * 1.5, converted_stat)))))</f>
        <v/>
      </c>
      <c r="H857" s="30" t="str">
        <f t="array" ref="H857">IF($A857="", "", LET(bbgm_stat, INDEX(Players!$A856:$P856, MATCH(H$2, Players!$A$1:$P$1, 0)), perc_75, VLOOKUP(H$2, Percentiles!$A$45:$I$59, 6, FALSE), perc_90, VLOOKUP(H$2, Percentiles!$A$45:$I$59, 7, FALSE), perc_95, VLOOKUP(H$2, Percentiles!$A$45:$I$59, 8, FALSE), perc_85, perc_75 + (perc_90 - perc_75) * (2/3), converted_stat, '2K_Ratings'!H857, IF(bbgm_stat &gt;= perc_95, converted_stat * 3, IF(bbgm_stat &gt;= perc_90, converted_stat * 2, IF(bbgm_stat &gt;= perc_85, converted_stat * 1.5, converted_stat)))))</f>
        <v/>
      </c>
      <c r="I857" s="30" t="str">
        <f t="array" ref="I857">IF($A857="", "", LET(bbgm_stat, INDEX(Players!$A856:$P856, MATCH(I$2, Players!$A$1:$P$1, 0)), perc_75, VLOOKUP(I$2, Percentiles!$A$45:$I$59, 6, FALSE), perc_90, VLOOKUP(I$2, Percentiles!$A$45:$I$59, 7, FALSE), perc_95, VLOOKUP(I$2, Percentiles!$A$45:$I$59, 8, FALSE), perc_85, perc_75 + (perc_90 - perc_75) * (2/3), converted_stat, '2K_Ratings'!I857, IF(bbgm_stat &gt;= perc_95, converted_stat * 3, IF(bbgm_stat &gt;= perc_90, converted_stat * 2, IF(bbgm_stat &gt;= perc_85, converted_stat * 1.5, converted_stat)))))</f>
        <v/>
      </c>
      <c r="J857" s="30" t="str">
        <f t="array" ref="J857">IF($A857="", "", LET(bbgm_stat, INDEX(Players!$A856:$P856, MATCH(J$2, Players!$A$1:$P$1, 0)), perc_75, VLOOKUP(J$2, Percentiles!$A$45:$I$59, 6, FALSE), perc_90, VLOOKUP(J$2, Percentiles!$A$45:$I$59, 7, FALSE), perc_95, VLOOKUP(J$2, Percentiles!$A$45:$I$59, 8, FALSE), perc_85, perc_75 + (perc_90 - perc_75) * (2/3), converted_stat, '2K_Ratings'!J857, IF(bbgm_stat &gt;= perc_95, converted_stat * 3, IF(bbgm_stat &gt;= perc_90, converted_stat * 2, IF(bbgm_stat &gt;= perc_85, converted_stat * 1.5, converted_stat)))))</f>
        <v/>
      </c>
      <c r="K857" s="30" t="str">
        <f t="array" ref="K857">IF($A857="", "", LET(bbgm_stat, INDEX(Players!$A856:$P856, MATCH(K$2, Players!$A$1:$P$1, 0)), perc_75, VLOOKUP(K$2, Percentiles!$A$45:$I$59, 6, FALSE), perc_90, VLOOKUP(K$2, Percentiles!$A$45:$I$59, 7, FALSE), perc_95, VLOOKUP(K$2, Percentiles!$A$45:$I$59, 8, FALSE), perc_85, perc_75 + (perc_90 - perc_75) * (2/3), converted_stat, '2K_Ratings'!K857, IF(bbgm_stat &gt;= perc_95, converted_stat * 3, IF(bbgm_stat &gt;= perc_90, converted_stat * 2, IF(bbgm_stat &gt;= perc_85, converted_stat * 1.5, converted_stat)))))</f>
        <v/>
      </c>
      <c r="L857" s="30" t="str">
        <f t="array" ref="L857">IF($A857="", "", LET(bbgm_stat, INDEX(Players!$A856:$P856, MATCH(L$2, Players!$A$1:$P$1, 0)), perc_75, VLOOKUP(L$2, Percentiles!$A$45:$I$59, 6, FALSE), perc_90, VLOOKUP(L$2, Percentiles!$A$45:$I$59, 7, FALSE), perc_95, VLOOKUP(L$2, Percentiles!$A$45:$I$59, 8, FALSE), perc_85, perc_75 + (perc_90 - perc_75) * (2/3), converted_stat, '2K_Ratings'!L857, IF(bbgm_stat &gt;= perc_95, converted_stat * 3, IF(bbgm_stat &gt;= perc_90, converted_stat * 2, IF(bbgm_stat &gt;= perc_85, converted_stat * 1.5, converted_stat)))))</f>
        <v/>
      </c>
      <c r="M857" s="30" t="str">
        <f t="array" ref="M857">IF($A857="", "", LET(bbgm_stat, INDEX(Players!$A856:$P856, MATCH(M$2, Players!$A$1:$P$1, 0)), perc_75, VLOOKUP(M$2, Percentiles!$A$45:$I$59, 6, FALSE), perc_90, VLOOKUP(M$2, Percentiles!$A$45:$I$59, 7, FALSE), perc_95, VLOOKUP(M$2, Percentiles!$A$45:$I$59, 8, FALSE), perc_85, perc_75 + (perc_90 - perc_75) * (2/3), converted_stat, '2K_Ratings'!M857, IF(bbgm_stat &gt;= perc_95, converted_stat * 3, IF(bbgm_stat &gt;= perc_90, converted_stat * 2, IF(bbgm_stat &gt;= perc_85, converted_stat * 1.5, converted_stat)))))</f>
        <v/>
      </c>
      <c r="N857" s="30" t="str">
        <f t="array" ref="N857">IF($A857="", "", LET(bbgm_stat, INDEX(Players!$A856:$P856, MATCH(N$2, Players!$A$1:$P$1, 0)), perc_75, VLOOKUP(N$2, Percentiles!$A$45:$I$59, 6, FALSE), perc_90, VLOOKUP(N$2, Percentiles!$A$45:$I$59, 7, FALSE), perc_95, VLOOKUP(N$2, Percentiles!$A$45:$I$59, 8, FALSE), perc_85, perc_75 + (perc_90 - perc_75) * (2/3), converted_stat, '2K_Ratings'!N857, IF(bbgm_stat &gt;= perc_95, converted_stat * 3, IF(bbgm_stat &gt;= perc_90, converted_stat * 2, IF(bbgm_stat &gt;= perc_85, converted_stat * 1.5, converted_stat)))))</f>
        <v/>
      </c>
      <c r="O857" s="30" t="str">
        <f t="array" ref="O857">IF($A857="", "", LET(bbgm_stat, INDEX(Players!$A856:$P856, MATCH(O$2, Players!$A$1:$P$1, 0)), perc_75, VLOOKUP(O$2, Percentiles!$A$45:$I$59, 6, FALSE), perc_90, VLOOKUP(O$2, Percentiles!$A$45:$I$59, 7, FALSE), perc_95, VLOOKUP(O$2, Percentiles!$A$45:$I$59, 8, FALSE), perc_85, perc_75 + (perc_90 - perc_75) * (2/3), converted_stat, '2K_Ratings'!O857, IF(bbgm_stat &gt;= perc_95, converted_stat * 3, IF(bbgm_stat &gt;= perc_90, converted_stat * 2, IF(bbgm_stat &gt;= perc_85, converted_stat * 1.5, converted_stat)))))</f>
        <v/>
      </c>
      <c r="P857" s="30" t="str">
        <f t="array" ref="P857">IF($A857="", "", LET(bbgm_stat, INDEX(Players!$A856:$P856, MATCH(P$2, Players!$A$1:$P$1, 0)), perc_75, VLOOKUP(P$2, Percentiles!$A$45:$I$59, 6, FALSE), perc_90, VLOOKUP(P$2, Percentiles!$A$45:$I$59, 7, FALSE), perc_95, VLOOKUP(P$2, Percentiles!$A$45:$I$59, 8, FALSE), perc_85, perc_75 + (perc_90 - perc_75) * (2/3), converted_stat, '2K_Ratings'!P857, IF(bbgm_stat &gt;= perc_95, converted_stat * 3, IF(bbgm_stat &gt;= perc_90, converted_stat * 2, IF(bbgm_stat &gt;= perc_85, converted_stat * 1.5, converted_stat)))))</f>
        <v/>
      </c>
      <c r="Q857" s="30" t="str">
        <f t="array" ref="Q857">IF($A857="", "", LET(bbgm_stat, INDEX(Players!$A856:$P856, MATCH(Q$2, Players!$A$1:$P$1, 0)), perc_75, VLOOKUP(Q$2, Percentiles!$A$45:$I$59, 6, FALSE), perc_90, VLOOKUP(Q$2, Percentiles!$A$45:$I$59, 7, FALSE), perc_95, VLOOKUP(Q$2, Percentiles!$A$45:$I$59, 8, FALSE), perc_85, perc_75 + (perc_90 - perc_75) * (2/3), converted_stat, '2K_Ratings'!Q857, IF(bbgm_stat &gt;= perc_95, converted_stat * 3, IF(bbgm_stat &gt;= perc_90, converted_stat * 2, IF(bbgm_stat &gt;= perc_85, converted_stat * 1.5, converted_stat)))))</f>
        <v/>
      </c>
      <c r="R857" s="30" t="str">
        <f t="array" ref="R857">IF($A857="", "", LET(bbgm_stat, INDEX(Players!$A856:$P856, MATCH(R$2, Players!$A$1:$P$1, 0)), perc_75, VLOOKUP(R$2, Percentiles!$A$45:$I$59, 6, FALSE), perc_90, VLOOKUP(R$2, Percentiles!$A$45:$I$59, 7, FALSE), perc_95, VLOOKUP(R$2, Percentiles!$A$45:$I$59, 8, FALSE), perc_85, perc_75 + (perc_90 - perc_75) * (2/3), converted_stat, '2K_Ratings'!R857, IF(bbgm_stat &gt;= perc_95, converted_stat * 3, IF(bbgm_stat &gt;= perc_90, converted_stat * 2, IF(bbgm_stat &gt;= perc_85, converted_stat * 1.5, converted_stat)))))</f>
        <v/>
      </c>
      <c r="S857" s="30" t="str">
        <f t="array" ref="S857">IF($A857="", "", LET(bbgm_stat, INDEX(Players!$A856:$P856, MATCH(S$2, Players!$A$1:$P$1, 0)), perc_75, VLOOKUP(S$2, Percentiles!$A$45:$I$59, 6, FALSE), perc_90, VLOOKUP(S$2, Percentiles!$A$45:$I$59, 7, FALSE), perc_95, VLOOKUP(S$2, Percentiles!$A$45:$I$59, 8, FALSE), perc_85, perc_75 + (perc_90 - perc_75) * (2/3), converted_stat, '2K_Ratings'!S857, IF(bbgm_stat &gt;= perc_95, converted_stat * 3, IF(bbgm_stat &gt;= perc_90, converted_stat * 2, IF(bbgm_stat &gt;= perc_85, converted_stat * 1.5, converted_stat)))))</f>
        <v/>
      </c>
      <c r="T857" s="30" t="str">
        <f t="array" ref="T857">IF($A857="", "", LET(bbgm_stat, INDEX(Players!$A856:$P856, MATCH(T$2, Players!$A$1:$P$1, 0)), perc_75, VLOOKUP(T$2, Percentiles!$A$45:$I$59, 6, FALSE), perc_90, VLOOKUP(T$2, Percentiles!$A$45:$I$59, 7, FALSE), perc_95, VLOOKUP(T$2, Percentiles!$A$45:$I$59, 8, FALSE), perc_85, perc_75 + (perc_90 - perc_75) * (2/3), converted_stat, '2K_Ratings'!T857, IF(bbgm_stat &gt;= perc_95, converted_stat * 3, IF(bbgm_stat &gt;= perc_90, converted_stat * 2, IF(bbgm_stat &gt;= perc_85, converted_stat * 1.5, converted_stat)))))</f>
        <v/>
      </c>
      <c r="U857" s="30" t="str">
        <f t="array" ref="U857">IF($A857="", "", LET(bbgm_stat, INDEX(Players!$A856:$P856, MATCH(U$2, Players!$A$1:$P$1, 0)), perc_75, VLOOKUP(U$2, Percentiles!$A$45:$I$59, 6, FALSE), perc_90, VLOOKUP(U$2, Percentiles!$A$45:$I$59, 7, FALSE), perc_95, VLOOKUP(U$2, Percentiles!$A$45:$I$59, 8, FALSE), perc_85, perc_75 + (perc_90 - perc_75) * (2/3), converted_stat, '2K_Ratings'!U857, IF(bbgm_stat &gt;= perc_95, converted_stat * 3, IF(bbgm_stat &gt;= perc_90, converted_stat * 2, IF(bbgm_stat &gt;= perc_85, converted_stat * 1.5, converted_stat)))))</f>
        <v/>
      </c>
      <c r="V857" s="30" t="str">
        <f t="array" ref="V857">IF($A857="", "", LET(bbgm_stat, INDEX(Players!$A856:$P856, MATCH(V$2, Players!$A$1:$P$1, 0)), perc_75, VLOOKUP(V$2, Percentiles!$A$45:$I$59, 6, FALSE), perc_90, VLOOKUP(V$2, Percentiles!$A$45:$I$59, 7, FALSE), perc_95, VLOOKUP(V$2, Percentiles!$A$45:$I$59, 8, FALSE), perc_85, perc_75 + (perc_90 - perc_75) * (2/3), converted_stat, '2K_Ratings'!V857, IF(bbgm_stat &gt;= perc_95, converted_stat * 3, IF(bbgm_stat &gt;= perc_90, converted_stat * 2, IF(bbgm_stat &gt;= perc_85, converted_stat * 1.5, converted_stat)))))</f>
        <v/>
      </c>
      <c r="W857" s="30" t="str">
        <f t="array" ref="W857">IF($A857="", "", LET(bbgm_stat, INDEX(Players!$A856:$P856, MATCH(W$2, Players!$A$1:$P$1, 0)), perc_75, VLOOKUP(W$2, Percentiles!$A$45:$I$59, 6, FALSE), perc_90, VLOOKUP(W$2, Percentiles!$A$45:$I$59, 7, FALSE), perc_95, VLOOKUP(W$2, Percentiles!$A$45:$I$59, 8, FALSE), perc_85, perc_75 + (perc_90 - perc_75) * (2/3), converted_stat, '2K_Ratings'!W857, IF(bbgm_stat &gt;= perc_95, converted_stat * 3, IF(bbgm_stat &gt;= perc_90, converted_stat * 2, IF(bbgm_stat &gt;= perc_85, converted_stat * 1.5, converted_stat)))))</f>
        <v/>
      </c>
    </row>
    <row r="858">
      <c r="A858" s="30"/>
      <c r="B858" s="30" t="str">
        <f t="array" ref="B858">IF($A858="", "", LET(bbgm_stat, INDEX(Players!$A857:$P857, MATCH(B$2, Players!$A$1:$P$1, 0)), perc_75, VLOOKUP(B$2, Percentiles!$A$45:$I$59, 6, FALSE), perc_90, VLOOKUP(B$2, Percentiles!$A$45:$I$59, 7, FALSE), perc_95, VLOOKUP(B$2, Percentiles!$A$45:$I$59, 8, FALSE), perc_85, perc_75 + (perc_90 - perc_75) * (2/3), converted_stat, '2K_Ratings'!B858, IF(bbgm_stat &gt;= perc_95, converted_stat * 3, IF(bbgm_stat &gt;= perc_90, converted_stat * 2, IF(bbgm_stat &gt;= perc_85, converted_stat * 1.5, converted_stat)))))</f>
        <v/>
      </c>
      <c r="C858" s="30" t="str">
        <f t="array" ref="C858">IF($A858="", "", LET(bbgm_stat, INDEX(Players!$A857:$P857, MATCH(C$2, Players!$A$1:$P$1, 0)), perc_75, VLOOKUP(C$2, Percentiles!$A$45:$I$59, 6, FALSE), perc_90, VLOOKUP(C$2, Percentiles!$A$45:$I$59, 7, FALSE), perc_95, VLOOKUP(C$2, Percentiles!$A$45:$I$59, 8, FALSE), perc_85, perc_75 + (perc_90 - perc_75) * (2/3), converted_stat, '2K_Ratings'!C858, IF(bbgm_stat &gt;= perc_95, converted_stat * 3, IF(bbgm_stat &gt;= perc_90, converted_stat * 2, IF(bbgm_stat &gt;= perc_85, converted_stat * 1.5, converted_stat)))))</f>
        <v/>
      </c>
      <c r="D858" s="30" t="str">
        <f t="array" ref="D858">IF($A858="", "", LET(bbgm_stat, INDEX(Players!$A857:$P857, MATCH(D$2, Players!$A$1:$P$1, 0)), perc_75, VLOOKUP(D$2, Percentiles!$A$45:$I$59, 6, FALSE), perc_90, VLOOKUP(D$2, Percentiles!$A$45:$I$59, 7, FALSE), perc_95, VLOOKUP(D$2, Percentiles!$A$45:$I$59, 8, FALSE), perc_85, perc_75 + (perc_90 - perc_75) * (2/3), converted_stat, '2K_Ratings'!D858, IF(bbgm_stat &gt;= perc_95, converted_stat * 3, IF(bbgm_stat &gt;= perc_90, converted_stat * 2, IF(bbgm_stat &gt;= perc_85, converted_stat * 1.5, converted_stat)))))</f>
        <v/>
      </c>
      <c r="E858" s="30" t="str">
        <f t="array" ref="E858">IF($A858="", "", LET(bbgm_stat, INDEX(Players!$A857:$P857, MATCH(E$2, Players!$A$1:$P$1, 0)), perc_75, VLOOKUP(E$2, Percentiles!$A$45:$I$59, 6, FALSE), perc_90, VLOOKUP(E$2, Percentiles!$A$45:$I$59, 7, FALSE), perc_95, VLOOKUP(E$2, Percentiles!$A$45:$I$59, 8, FALSE), perc_85, perc_75 + (perc_90 - perc_75) * (2/3), converted_stat, '2K_Ratings'!E858, IF(bbgm_stat &gt;= perc_95, converted_stat * 3, IF(bbgm_stat &gt;= perc_90, converted_stat * 2, IF(bbgm_stat &gt;= perc_85, converted_stat * 1.5, converted_stat)))))</f>
        <v/>
      </c>
      <c r="F858" s="30" t="str">
        <f t="array" ref="F858">IF($A858="", "", LET(bbgm_stat, INDEX(Players!$A857:$P857, MATCH(F$2, Players!$A$1:$P$1, 0)), perc_75, VLOOKUP(F$2, Percentiles!$A$45:$I$59, 6, FALSE), perc_90, VLOOKUP(F$2, Percentiles!$A$45:$I$59, 7, FALSE), perc_95, VLOOKUP(F$2, Percentiles!$A$45:$I$59, 8, FALSE), perc_85, perc_75 + (perc_90 - perc_75) * (2/3), converted_stat, '2K_Ratings'!F858, IF(bbgm_stat &gt;= perc_95, converted_stat * 3, IF(bbgm_stat &gt;= perc_90, converted_stat * 2, IF(bbgm_stat &gt;= perc_85, converted_stat * 1.5, converted_stat)))))</f>
        <v/>
      </c>
      <c r="G858" s="30" t="str">
        <f t="array" ref="G858">IF($A858="", "", LET(bbgm_stat, INDEX(Players!$A857:$P857, MATCH(G$2, Players!$A$1:$P$1, 0)), perc_75, VLOOKUP(G$2, Percentiles!$A$45:$I$59, 6, FALSE), perc_90, VLOOKUP(G$2, Percentiles!$A$45:$I$59, 7, FALSE), perc_95, VLOOKUP(G$2, Percentiles!$A$45:$I$59, 8, FALSE), perc_85, perc_75 + (perc_90 - perc_75) * (2/3), converted_stat, '2K_Ratings'!G858, IF(bbgm_stat &gt;= perc_95, converted_stat * 3, IF(bbgm_stat &gt;= perc_90, converted_stat * 2, IF(bbgm_stat &gt;= perc_85, converted_stat * 1.5, converted_stat)))))</f>
        <v/>
      </c>
      <c r="H858" s="30" t="str">
        <f t="array" ref="H858">IF($A858="", "", LET(bbgm_stat, INDEX(Players!$A857:$P857, MATCH(H$2, Players!$A$1:$P$1, 0)), perc_75, VLOOKUP(H$2, Percentiles!$A$45:$I$59, 6, FALSE), perc_90, VLOOKUP(H$2, Percentiles!$A$45:$I$59, 7, FALSE), perc_95, VLOOKUP(H$2, Percentiles!$A$45:$I$59, 8, FALSE), perc_85, perc_75 + (perc_90 - perc_75) * (2/3), converted_stat, '2K_Ratings'!H858, IF(bbgm_stat &gt;= perc_95, converted_stat * 3, IF(bbgm_stat &gt;= perc_90, converted_stat * 2, IF(bbgm_stat &gt;= perc_85, converted_stat * 1.5, converted_stat)))))</f>
        <v/>
      </c>
      <c r="I858" s="30" t="str">
        <f t="array" ref="I858">IF($A858="", "", LET(bbgm_stat, INDEX(Players!$A857:$P857, MATCH(I$2, Players!$A$1:$P$1, 0)), perc_75, VLOOKUP(I$2, Percentiles!$A$45:$I$59, 6, FALSE), perc_90, VLOOKUP(I$2, Percentiles!$A$45:$I$59, 7, FALSE), perc_95, VLOOKUP(I$2, Percentiles!$A$45:$I$59, 8, FALSE), perc_85, perc_75 + (perc_90 - perc_75) * (2/3), converted_stat, '2K_Ratings'!I858, IF(bbgm_stat &gt;= perc_95, converted_stat * 3, IF(bbgm_stat &gt;= perc_90, converted_stat * 2, IF(bbgm_stat &gt;= perc_85, converted_stat * 1.5, converted_stat)))))</f>
        <v/>
      </c>
      <c r="J858" s="30" t="str">
        <f t="array" ref="J858">IF($A858="", "", LET(bbgm_stat, INDEX(Players!$A857:$P857, MATCH(J$2, Players!$A$1:$P$1, 0)), perc_75, VLOOKUP(J$2, Percentiles!$A$45:$I$59, 6, FALSE), perc_90, VLOOKUP(J$2, Percentiles!$A$45:$I$59, 7, FALSE), perc_95, VLOOKUP(J$2, Percentiles!$A$45:$I$59, 8, FALSE), perc_85, perc_75 + (perc_90 - perc_75) * (2/3), converted_stat, '2K_Ratings'!J858, IF(bbgm_stat &gt;= perc_95, converted_stat * 3, IF(bbgm_stat &gt;= perc_90, converted_stat * 2, IF(bbgm_stat &gt;= perc_85, converted_stat * 1.5, converted_stat)))))</f>
        <v/>
      </c>
      <c r="K858" s="30" t="str">
        <f t="array" ref="K858">IF($A858="", "", LET(bbgm_stat, INDEX(Players!$A857:$P857, MATCH(K$2, Players!$A$1:$P$1, 0)), perc_75, VLOOKUP(K$2, Percentiles!$A$45:$I$59, 6, FALSE), perc_90, VLOOKUP(K$2, Percentiles!$A$45:$I$59, 7, FALSE), perc_95, VLOOKUP(K$2, Percentiles!$A$45:$I$59, 8, FALSE), perc_85, perc_75 + (perc_90 - perc_75) * (2/3), converted_stat, '2K_Ratings'!K858, IF(bbgm_stat &gt;= perc_95, converted_stat * 3, IF(bbgm_stat &gt;= perc_90, converted_stat * 2, IF(bbgm_stat &gt;= perc_85, converted_stat * 1.5, converted_stat)))))</f>
        <v/>
      </c>
      <c r="L858" s="30" t="str">
        <f t="array" ref="L858">IF($A858="", "", LET(bbgm_stat, INDEX(Players!$A857:$P857, MATCH(L$2, Players!$A$1:$P$1, 0)), perc_75, VLOOKUP(L$2, Percentiles!$A$45:$I$59, 6, FALSE), perc_90, VLOOKUP(L$2, Percentiles!$A$45:$I$59, 7, FALSE), perc_95, VLOOKUP(L$2, Percentiles!$A$45:$I$59, 8, FALSE), perc_85, perc_75 + (perc_90 - perc_75) * (2/3), converted_stat, '2K_Ratings'!L858, IF(bbgm_stat &gt;= perc_95, converted_stat * 3, IF(bbgm_stat &gt;= perc_90, converted_stat * 2, IF(bbgm_stat &gt;= perc_85, converted_stat * 1.5, converted_stat)))))</f>
        <v/>
      </c>
      <c r="M858" s="30" t="str">
        <f t="array" ref="M858">IF($A858="", "", LET(bbgm_stat, INDEX(Players!$A857:$P857, MATCH(M$2, Players!$A$1:$P$1, 0)), perc_75, VLOOKUP(M$2, Percentiles!$A$45:$I$59, 6, FALSE), perc_90, VLOOKUP(M$2, Percentiles!$A$45:$I$59, 7, FALSE), perc_95, VLOOKUP(M$2, Percentiles!$A$45:$I$59, 8, FALSE), perc_85, perc_75 + (perc_90 - perc_75) * (2/3), converted_stat, '2K_Ratings'!M858, IF(bbgm_stat &gt;= perc_95, converted_stat * 3, IF(bbgm_stat &gt;= perc_90, converted_stat * 2, IF(bbgm_stat &gt;= perc_85, converted_stat * 1.5, converted_stat)))))</f>
        <v/>
      </c>
      <c r="N858" s="30" t="str">
        <f t="array" ref="N858">IF($A858="", "", LET(bbgm_stat, INDEX(Players!$A857:$P857, MATCH(N$2, Players!$A$1:$P$1, 0)), perc_75, VLOOKUP(N$2, Percentiles!$A$45:$I$59, 6, FALSE), perc_90, VLOOKUP(N$2, Percentiles!$A$45:$I$59, 7, FALSE), perc_95, VLOOKUP(N$2, Percentiles!$A$45:$I$59, 8, FALSE), perc_85, perc_75 + (perc_90 - perc_75) * (2/3), converted_stat, '2K_Ratings'!N858, IF(bbgm_stat &gt;= perc_95, converted_stat * 3, IF(bbgm_stat &gt;= perc_90, converted_stat * 2, IF(bbgm_stat &gt;= perc_85, converted_stat * 1.5, converted_stat)))))</f>
        <v/>
      </c>
      <c r="O858" s="30" t="str">
        <f t="array" ref="O858">IF($A858="", "", LET(bbgm_stat, INDEX(Players!$A857:$P857, MATCH(O$2, Players!$A$1:$P$1, 0)), perc_75, VLOOKUP(O$2, Percentiles!$A$45:$I$59, 6, FALSE), perc_90, VLOOKUP(O$2, Percentiles!$A$45:$I$59, 7, FALSE), perc_95, VLOOKUP(O$2, Percentiles!$A$45:$I$59, 8, FALSE), perc_85, perc_75 + (perc_90 - perc_75) * (2/3), converted_stat, '2K_Ratings'!O858, IF(bbgm_stat &gt;= perc_95, converted_stat * 3, IF(bbgm_stat &gt;= perc_90, converted_stat * 2, IF(bbgm_stat &gt;= perc_85, converted_stat * 1.5, converted_stat)))))</f>
        <v/>
      </c>
      <c r="P858" s="30" t="str">
        <f t="array" ref="P858">IF($A858="", "", LET(bbgm_stat, INDEX(Players!$A857:$P857, MATCH(P$2, Players!$A$1:$P$1, 0)), perc_75, VLOOKUP(P$2, Percentiles!$A$45:$I$59, 6, FALSE), perc_90, VLOOKUP(P$2, Percentiles!$A$45:$I$59, 7, FALSE), perc_95, VLOOKUP(P$2, Percentiles!$A$45:$I$59, 8, FALSE), perc_85, perc_75 + (perc_90 - perc_75) * (2/3), converted_stat, '2K_Ratings'!P858, IF(bbgm_stat &gt;= perc_95, converted_stat * 3, IF(bbgm_stat &gt;= perc_90, converted_stat * 2, IF(bbgm_stat &gt;= perc_85, converted_stat * 1.5, converted_stat)))))</f>
        <v/>
      </c>
      <c r="Q858" s="30" t="str">
        <f t="array" ref="Q858">IF($A858="", "", LET(bbgm_stat, INDEX(Players!$A857:$P857, MATCH(Q$2, Players!$A$1:$P$1, 0)), perc_75, VLOOKUP(Q$2, Percentiles!$A$45:$I$59, 6, FALSE), perc_90, VLOOKUP(Q$2, Percentiles!$A$45:$I$59, 7, FALSE), perc_95, VLOOKUP(Q$2, Percentiles!$A$45:$I$59, 8, FALSE), perc_85, perc_75 + (perc_90 - perc_75) * (2/3), converted_stat, '2K_Ratings'!Q858, IF(bbgm_stat &gt;= perc_95, converted_stat * 3, IF(bbgm_stat &gt;= perc_90, converted_stat * 2, IF(bbgm_stat &gt;= perc_85, converted_stat * 1.5, converted_stat)))))</f>
        <v/>
      </c>
      <c r="R858" s="30" t="str">
        <f t="array" ref="R858">IF($A858="", "", LET(bbgm_stat, INDEX(Players!$A857:$P857, MATCH(R$2, Players!$A$1:$P$1, 0)), perc_75, VLOOKUP(R$2, Percentiles!$A$45:$I$59, 6, FALSE), perc_90, VLOOKUP(R$2, Percentiles!$A$45:$I$59, 7, FALSE), perc_95, VLOOKUP(R$2, Percentiles!$A$45:$I$59, 8, FALSE), perc_85, perc_75 + (perc_90 - perc_75) * (2/3), converted_stat, '2K_Ratings'!R858, IF(bbgm_stat &gt;= perc_95, converted_stat * 3, IF(bbgm_stat &gt;= perc_90, converted_stat * 2, IF(bbgm_stat &gt;= perc_85, converted_stat * 1.5, converted_stat)))))</f>
        <v/>
      </c>
      <c r="S858" s="30" t="str">
        <f t="array" ref="S858">IF($A858="", "", LET(bbgm_stat, INDEX(Players!$A857:$P857, MATCH(S$2, Players!$A$1:$P$1, 0)), perc_75, VLOOKUP(S$2, Percentiles!$A$45:$I$59, 6, FALSE), perc_90, VLOOKUP(S$2, Percentiles!$A$45:$I$59, 7, FALSE), perc_95, VLOOKUP(S$2, Percentiles!$A$45:$I$59, 8, FALSE), perc_85, perc_75 + (perc_90 - perc_75) * (2/3), converted_stat, '2K_Ratings'!S858, IF(bbgm_stat &gt;= perc_95, converted_stat * 3, IF(bbgm_stat &gt;= perc_90, converted_stat * 2, IF(bbgm_stat &gt;= perc_85, converted_stat * 1.5, converted_stat)))))</f>
        <v/>
      </c>
      <c r="T858" s="30" t="str">
        <f t="array" ref="T858">IF($A858="", "", LET(bbgm_stat, INDEX(Players!$A857:$P857, MATCH(T$2, Players!$A$1:$P$1, 0)), perc_75, VLOOKUP(T$2, Percentiles!$A$45:$I$59, 6, FALSE), perc_90, VLOOKUP(T$2, Percentiles!$A$45:$I$59, 7, FALSE), perc_95, VLOOKUP(T$2, Percentiles!$A$45:$I$59, 8, FALSE), perc_85, perc_75 + (perc_90 - perc_75) * (2/3), converted_stat, '2K_Ratings'!T858, IF(bbgm_stat &gt;= perc_95, converted_stat * 3, IF(bbgm_stat &gt;= perc_90, converted_stat * 2, IF(bbgm_stat &gt;= perc_85, converted_stat * 1.5, converted_stat)))))</f>
        <v/>
      </c>
      <c r="U858" s="30" t="str">
        <f t="array" ref="U858">IF($A858="", "", LET(bbgm_stat, INDEX(Players!$A857:$P857, MATCH(U$2, Players!$A$1:$P$1, 0)), perc_75, VLOOKUP(U$2, Percentiles!$A$45:$I$59, 6, FALSE), perc_90, VLOOKUP(U$2, Percentiles!$A$45:$I$59, 7, FALSE), perc_95, VLOOKUP(U$2, Percentiles!$A$45:$I$59, 8, FALSE), perc_85, perc_75 + (perc_90 - perc_75) * (2/3), converted_stat, '2K_Ratings'!U858, IF(bbgm_stat &gt;= perc_95, converted_stat * 3, IF(bbgm_stat &gt;= perc_90, converted_stat * 2, IF(bbgm_stat &gt;= perc_85, converted_stat * 1.5, converted_stat)))))</f>
        <v/>
      </c>
      <c r="V858" s="30" t="str">
        <f t="array" ref="V858">IF($A858="", "", LET(bbgm_stat, INDEX(Players!$A857:$P857, MATCH(V$2, Players!$A$1:$P$1, 0)), perc_75, VLOOKUP(V$2, Percentiles!$A$45:$I$59, 6, FALSE), perc_90, VLOOKUP(V$2, Percentiles!$A$45:$I$59, 7, FALSE), perc_95, VLOOKUP(V$2, Percentiles!$A$45:$I$59, 8, FALSE), perc_85, perc_75 + (perc_90 - perc_75) * (2/3), converted_stat, '2K_Ratings'!V858, IF(bbgm_stat &gt;= perc_95, converted_stat * 3, IF(bbgm_stat &gt;= perc_90, converted_stat * 2, IF(bbgm_stat &gt;= perc_85, converted_stat * 1.5, converted_stat)))))</f>
        <v/>
      </c>
      <c r="W858" s="30" t="str">
        <f t="array" ref="W858">IF($A858="", "", LET(bbgm_stat, INDEX(Players!$A857:$P857, MATCH(W$2, Players!$A$1:$P$1, 0)), perc_75, VLOOKUP(W$2, Percentiles!$A$45:$I$59, 6, FALSE), perc_90, VLOOKUP(W$2, Percentiles!$A$45:$I$59, 7, FALSE), perc_95, VLOOKUP(W$2, Percentiles!$A$45:$I$59, 8, FALSE), perc_85, perc_75 + (perc_90 - perc_75) * (2/3), converted_stat, '2K_Ratings'!W858, IF(bbgm_stat &gt;= perc_95, converted_stat * 3, IF(bbgm_stat &gt;= perc_90, converted_stat * 2, IF(bbgm_stat &gt;= perc_85, converted_stat * 1.5, converted_stat)))))</f>
        <v/>
      </c>
    </row>
    <row r="859">
      <c r="A859" s="30"/>
      <c r="B859" s="30" t="str">
        <f t="array" ref="B859">IF($A859="", "", LET(bbgm_stat, INDEX(Players!$A858:$P858, MATCH(B$2, Players!$A$1:$P$1, 0)), perc_75, VLOOKUP(B$2, Percentiles!$A$45:$I$59, 6, FALSE), perc_90, VLOOKUP(B$2, Percentiles!$A$45:$I$59, 7, FALSE), perc_95, VLOOKUP(B$2, Percentiles!$A$45:$I$59, 8, FALSE), perc_85, perc_75 + (perc_90 - perc_75) * (2/3), converted_stat, '2K_Ratings'!B859, IF(bbgm_stat &gt;= perc_95, converted_stat * 3, IF(bbgm_stat &gt;= perc_90, converted_stat * 2, IF(bbgm_stat &gt;= perc_85, converted_stat * 1.5, converted_stat)))))</f>
        <v/>
      </c>
      <c r="C859" s="30" t="str">
        <f t="array" ref="C859">IF($A859="", "", LET(bbgm_stat, INDEX(Players!$A858:$P858, MATCH(C$2, Players!$A$1:$P$1, 0)), perc_75, VLOOKUP(C$2, Percentiles!$A$45:$I$59, 6, FALSE), perc_90, VLOOKUP(C$2, Percentiles!$A$45:$I$59, 7, FALSE), perc_95, VLOOKUP(C$2, Percentiles!$A$45:$I$59, 8, FALSE), perc_85, perc_75 + (perc_90 - perc_75) * (2/3), converted_stat, '2K_Ratings'!C859, IF(bbgm_stat &gt;= perc_95, converted_stat * 3, IF(bbgm_stat &gt;= perc_90, converted_stat * 2, IF(bbgm_stat &gt;= perc_85, converted_stat * 1.5, converted_stat)))))</f>
        <v/>
      </c>
      <c r="D859" s="30" t="str">
        <f t="array" ref="D859">IF($A859="", "", LET(bbgm_stat, INDEX(Players!$A858:$P858, MATCH(D$2, Players!$A$1:$P$1, 0)), perc_75, VLOOKUP(D$2, Percentiles!$A$45:$I$59, 6, FALSE), perc_90, VLOOKUP(D$2, Percentiles!$A$45:$I$59, 7, FALSE), perc_95, VLOOKUP(D$2, Percentiles!$A$45:$I$59, 8, FALSE), perc_85, perc_75 + (perc_90 - perc_75) * (2/3), converted_stat, '2K_Ratings'!D859, IF(bbgm_stat &gt;= perc_95, converted_stat * 3, IF(bbgm_stat &gt;= perc_90, converted_stat * 2, IF(bbgm_stat &gt;= perc_85, converted_stat * 1.5, converted_stat)))))</f>
        <v/>
      </c>
      <c r="E859" s="30" t="str">
        <f t="array" ref="E859">IF($A859="", "", LET(bbgm_stat, INDEX(Players!$A858:$P858, MATCH(E$2, Players!$A$1:$P$1, 0)), perc_75, VLOOKUP(E$2, Percentiles!$A$45:$I$59, 6, FALSE), perc_90, VLOOKUP(E$2, Percentiles!$A$45:$I$59, 7, FALSE), perc_95, VLOOKUP(E$2, Percentiles!$A$45:$I$59, 8, FALSE), perc_85, perc_75 + (perc_90 - perc_75) * (2/3), converted_stat, '2K_Ratings'!E859, IF(bbgm_stat &gt;= perc_95, converted_stat * 3, IF(bbgm_stat &gt;= perc_90, converted_stat * 2, IF(bbgm_stat &gt;= perc_85, converted_stat * 1.5, converted_stat)))))</f>
        <v/>
      </c>
      <c r="F859" s="30" t="str">
        <f t="array" ref="F859">IF($A859="", "", LET(bbgm_stat, INDEX(Players!$A858:$P858, MATCH(F$2, Players!$A$1:$P$1, 0)), perc_75, VLOOKUP(F$2, Percentiles!$A$45:$I$59, 6, FALSE), perc_90, VLOOKUP(F$2, Percentiles!$A$45:$I$59, 7, FALSE), perc_95, VLOOKUP(F$2, Percentiles!$A$45:$I$59, 8, FALSE), perc_85, perc_75 + (perc_90 - perc_75) * (2/3), converted_stat, '2K_Ratings'!F859, IF(bbgm_stat &gt;= perc_95, converted_stat * 3, IF(bbgm_stat &gt;= perc_90, converted_stat * 2, IF(bbgm_stat &gt;= perc_85, converted_stat * 1.5, converted_stat)))))</f>
        <v/>
      </c>
      <c r="G859" s="30" t="str">
        <f t="array" ref="G859">IF($A859="", "", LET(bbgm_stat, INDEX(Players!$A858:$P858, MATCH(G$2, Players!$A$1:$P$1, 0)), perc_75, VLOOKUP(G$2, Percentiles!$A$45:$I$59, 6, FALSE), perc_90, VLOOKUP(G$2, Percentiles!$A$45:$I$59, 7, FALSE), perc_95, VLOOKUP(G$2, Percentiles!$A$45:$I$59, 8, FALSE), perc_85, perc_75 + (perc_90 - perc_75) * (2/3), converted_stat, '2K_Ratings'!G859, IF(bbgm_stat &gt;= perc_95, converted_stat * 3, IF(bbgm_stat &gt;= perc_90, converted_stat * 2, IF(bbgm_stat &gt;= perc_85, converted_stat * 1.5, converted_stat)))))</f>
        <v/>
      </c>
      <c r="H859" s="30" t="str">
        <f t="array" ref="H859">IF($A859="", "", LET(bbgm_stat, INDEX(Players!$A858:$P858, MATCH(H$2, Players!$A$1:$P$1, 0)), perc_75, VLOOKUP(H$2, Percentiles!$A$45:$I$59, 6, FALSE), perc_90, VLOOKUP(H$2, Percentiles!$A$45:$I$59, 7, FALSE), perc_95, VLOOKUP(H$2, Percentiles!$A$45:$I$59, 8, FALSE), perc_85, perc_75 + (perc_90 - perc_75) * (2/3), converted_stat, '2K_Ratings'!H859, IF(bbgm_stat &gt;= perc_95, converted_stat * 3, IF(bbgm_stat &gt;= perc_90, converted_stat * 2, IF(bbgm_stat &gt;= perc_85, converted_stat * 1.5, converted_stat)))))</f>
        <v/>
      </c>
      <c r="I859" s="30" t="str">
        <f t="array" ref="I859">IF($A859="", "", LET(bbgm_stat, INDEX(Players!$A858:$P858, MATCH(I$2, Players!$A$1:$P$1, 0)), perc_75, VLOOKUP(I$2, Percentiles!$A$45:$I$59, 6, FALSE), perc_90, VLOOKUP(I$2, Percentiles!$A$45:$I$59, 7, FALSE), perc_95, VLOOKUP(I$2, Percentiles!$A$45:$I$59, 8, FALSE), perc_85, perc_75 + (perc_90 - perc_75) * (2/3), converted_stat, '2K_Ratings'!I859, IF(bbgm_stat &gt;= perc_95, converted_stat * 3, IF(bbgm_stat &gt;= perc_90, converted_stat * 2, IF(bbgm_stat &gt;= perc_85, converted_stat * 1.5, converted_stat)))))</f>
        <v/>
      </c>
      <c r="J859" s="30" t="str">
        <f t="array" ref="J859">IF($A859="", "", LET(bbgm_stat, INDEX(Players!$A858:$P858, MATCH(J$2, Players!$A$1:$P$1, 0)), perc_75, VLOOKUP(J$2, Percentiles!$A$45:$I$59, 6, FALSE), perc_90, VLOOKUP(J$2, Percentiles!$A$45:$I$59, 7, FALSE), perc_95, VLOOKUP(J$2, Percentiles!$A$45:$I$59, 8, FALSE), perc_85, perc_75 + (perc_90 - perc_75) * (2/3), converted_stat, '2K_Ratings'!J859, IF(bbgm_stat &gt;= perc_95, converted_stat * 3, IF(bbgm_stat &gt;= perc_90, converted_stat * 2, IF(bbgm_stat &gt;= perc_85, converted_stat * 1.5, converted_stat)))))</f>
        <v/>
      </c>
      <c r="K859" s="30" t="str">
        <f t="array" ref="K859">IF($A859="", "", LET(bbgm_stat, INDEX(Players!$A858:$P858, MATCH(K$2, Players!$A$1:$P$1, 0)), perc_75, VLOOKUP(K$2, Percentiles!$A$45:$I$59, 6, FALSE), perc_90, VLOOKUP(K$2, Percentiles!$A$45:$I$59, 7, FALSE), perc_95, VLOOKUP(K$2, Percentiles!$A$45:$I$59, 8, FALSE), perc_85, perc_75 + (perc_90 - perc_75) * (2/3), converted_stat, '2K_Ratings'!K859, IF(bbgm_stat &gt;= perc_95, converted_stat * 3, IF(bbgm_stat &gt;= perc_90, converted_stat * 2, IF(bbgm_stat &gt;= perc_85, converted_stat * 1.5, converted_stat)))))</f>
        <v/>
      </c>
      <c r="L859" s="30" t="str">
        <f t="array" ref="L859">IF($A859="", "", LET(bbgm_stat, INDEX(Players!$A858:$P858, MATCH(L$2, Players!$A$1:$P$1, 0)), perc_75, VLOOKUP(L$2, Percentiles!$A$45:$I$59, 6, FALSE), perc_90, VLOOKUP(L$2, Percentiles!$A$45:$I$59, 7, FALSE), perc_95, VLOOKUP(L$2, Percentiles!$A$45:$I$59, 8, FALSE), perc_85, perc_75 + (perc_90 - perc_75) * (2/3), converted_stat, '2K_Ratings'!L859, IF(bbgm_stat &gt;= perc_95, converted_stat * 3, IF(bbgm_stat &gt;= perc_90, converted_stat * 2, IF(bbgm_stat &gt;= perc_85, converted_stat * 1.5, converted_stat)))))</f>
        <v/>
      </c>
      <c r="M859" s="30" t="str">
        <f t="array" ref="M859">IF($A859="", "", LET(bbgm_stat, INDEX(Players!$A858:$P858, MATCH(M$2, Players!$A$1:$P$1, 0)), perc_75, VLOOKUP(M$2, Percentiles!$A$45:$I$59, 6, FALSE), perc_90, VLOOKUP(M$2, Percentiles!$A$45:$I$59, 7, FALSE), perc_95, VLOOKUP(M$2, Percentiles!$A$45:$I$59, 8, FALSE), perc_85, perc_75 + (perc_90 - perc_75) * (2/3), converted_stat, '2K_Ratings'!M859, IF(bbgm_stat &gt;= perc_95, converted_stat * 3, IF(bbgm_stat &gt;= perc_90, converted_stat * 2, IF(bbgm_stat &gt;= perc_85, converted_stat * 1.5, converted_stat)))))</f>
        <v/>
      </c>
      <c r="N859" s="30" t="str">
        <f t="array" ref="N859">IF($A859="", "", LET(bbgm_stat, INDEX(Players!$A858:$P858, MATCH(N$2, Players!$A$1:$P$1, 0)), perc_75, VLOOKUP(N$2, Percentiles!$A$45:$I$59, 6, FALSE), perc_90, VLOOKUP(N$2, Percentiles!$A$45:$I$59, 7, FALSE), perc_95, VLOOKUP(N$2, Percentiles!$A$45:$I$59, 8, FALSE), perc_85, perc_75 + (perc_90 - perc_75) * (2/3), converted_stat, '2K_Ratings'!N859, IF(bbgm_stat &gt;= perc_95, converted_stat * 3, IF(bbgm_stat &gt;= perc_90, converted_stat * 2, IF(bbgm_stat &gt;= perc_85, converted_stat * 1.5, converted_stat)))))</f>
        <v/>
      </c>
      <c r="O859" s="30" t="str">
        <f t="array" ref="O859">IF($A859="", "", LET(bbgm_stat, INDEX(Players!$A858:$P858, MATCH(O$2, Players!$A$1:$P$1, 0)), perc_75, VLOOKUP(O$2, Percentiles!$A$45:$I$59, 6, FALSE), perc_90, VLOOKUP(O$2, Percentiles!$A$45:$I$59, 7, FALSE), perc_95, VLOOKUP(O$2, Percentiles!$A$45:$I$59, 8, FALSE), perc_85, perc_75 + (perc_90 - perc_75) * (2/3), converted_stat, '2K_Ratings'!O859, IF(bbgm_stat &gt;= perc_95, converted_stat * 3, IF(bbgm_stat &gt;= perc_90, converted_stat * 2, IF(bbgm_stat &gt;= perc_85, converted_stat * 1.5, converted_stat)))))</f>
        <v/>
      </c>
      <c r="P859" s="30" t="str">
        <f t="array" ref="P859">IF($A859="", "", LET(bbgm_stat, INDEX(Players!$A858:$P858, MATCH(P$2, Players!$A$1:$P$1, 0)), perc_75, VLOOKUP(P$2, Percentiles!$A$45:$I$59, 6, FALSE), perc_90, VLOOKUP(P$2, Percentiles!$A$45:$I$59, 7, FALSE), perc_95, VLOOKUP(P$2, Percentiles!$A$45:$I$59, 8, FALSE), perc_85, perc_75 + (perc_90 - perc_75) * (2/3), converted_stat, '2K_Ratings'!P859, IF(bbgm_stat &gt;= perc_95, converted_stat * 3, IF(bbgm_stat &gt;= perc_90, converted_stat * 2, IF(bbgm_stat &gt;= perc_85, converted_stat * 1.5, converted_stat)))))</f>
        <v/>
      </c>
      <c r="Q859" s="30" t="str">
        <f t="array" ref="Q859">IF($A859="", "", LET(bbgm_stat, INDEX(Players!$A858:$P858, MATCH(Q$2, Players!$A$1:$P$1, 0)), perc_75, VLOOKUP(Q$2, Percentiles!$A$45:$I$59, 6, FALSE), perc_90, VLOOKUP(Q$2, Percentiles!$A$45:$I$59, 7, FALSE), perc_95, VLOOKUP(Q$2, Percentiles!$A$45:$I$59, 8, FALSE), perc_85, perc_75 + (perc_90 - perc_75) * (2/3), converted_stat, '2K_Ratings'!Q859, IF(bbgm_stat &gt;= perc_95, converted_stat * 3, IF(bbgm_stat &gt;= perc_90, converted_stat * 2, IF(bbgm_stat &gt;= perc_85, converted_stat * 1.5, converted_stat)))))</f>
        <v/>
      </c>
      <c r="R859" s="30" t="str">
        <f t="array" ref="R859">IF($A859="", "", LET(bbgm_stat, INDEX(Players!$A858:$P858, MATCH(R$2, Players!$A$1:$P$1, 0)), perc_75, VLOOKUP(R$2, Percentiles!$A$45:$I$59, 6, FALSE), perc_90, VLOOKUP(R$2, Percentiles!$A$45:$I$59, 7, FALSE), perc_95, VLOOKUP(R$2, Percentiles!$A$45:$I$59, 8, FALSE), perc_85, perc_75 + (perc_90 - perc_75) * (2/3), converted_stat, '2K_Ratings'!R859, IF(bbgm_stat &gt;= perc_95, converted_stat * 3, IF(bbgm_stat &gt;= perc_90, converted_stat * 2, IF(bbgm_stat &gt;= perc_85, converted_stat * 1.5, converted_stat)))))</f>
        <v/>
      </c>
      <c r="S859" s="30" t="str">
        <f t="array" ref="S859">IF($A859="", "", LET(bbgm_stat, INDEX(Players!$A858:$P858, MATCH(S$2, Players!$A$1:$P$1, 0)), perc_75, VLOOKUP(S$2, Percentiles!$A$45:$I$59, 6, FALSE), perc_90, VLOOKUP(S$2, Percentiles!$A$45:$I$59, 7, FALSE), perc_95, VLOOKUP(S$2, Percentiles!$A$45:$I$59, 8, FALSE), perc_85, perc_75 + (perc_90 - perc_75) * (2/3), converted_stat, '2K_Ratings'!S859, IF(bbgm_stat &gt;= perc_95, converted_stat * 3, IF(bbgm_stat &gt;= perc_90, converted_stat * 2, IF(bbgm_stat &gt;= perc_85, converted_stat * 1.5, converted_stat)))))</f>
        <v/>
      </c>
      <c r="T859" s="30" t="str">
        <f t="array" ref="T859">IF($A859="", "", LET(bbgm_stat, INDEX(Players!$A858:$P858, MATCH(T$2, Players!$A$1:$P$1, 0)), perc_75, VLOOKUP(T$2, Percentiles!$A$45:$I$59, 6, FALSE), perc_90, VLOOKUP(T$2, Percentiles!$A$45:$I$59, 7, FALSE), perc_95, VLOOKUP(T$2, Percentiles!$A$45:$I$59, 8, FALSE), perc_85, perc_75 + (perc_90 - perc_75) * (2/3), converted_stat, '2K_Ratings'!T859, IF(bbgm_stat &gt;= perc_95, converted_stat * 3, IF(bbgm_stat &gt;= perc_90, converted_stat * 2, IF(bbgm_stat &gt;= perc_85, converted_stat * 1.5, converted_stat)))))</f>
        <v/>
      </c>
      <c r="U859" s="30" t="str">
        <f t="array" ref="U859">IF($A859="", "", LET(bbgm_stat, INDEX(Players!$A858:$P858, MATCH(U$2, Players!$A$1:$P$1, 0)), perc_75, VLOOKUP(U$2, Percentiles!$A$45:$I$59, 6, FALSE), perc_90, VLOOKUP(U$2, Percentiles!$A$45:$I$59, 7, FALSE), perc_95, VLOOKUP(U$2, Percentiles!$A$45:$I$59, 8, FALSE), perc_85, perc_75 + (perc_90 - perc_75) * (2/3), converted_stat, '2K_Ratings'!U859, IF(bbgm_stat &gt;= perc_95, converted_stat * 3, IF(bbgm_stat &gt;= perc_90, converted_stat * 2, IF(bbgm_stat &gt;= perc_85, converted_stat * 1.5, converted_stat)))))</f>
        <v/>
      </c>
      <c r="V859" s="30" t="str">
        <f t="array" ref="V859">IF($A859="", "", LET(bbgm_stat, INDEX(Players!$A858:$P858, MATCH(V$2, Players!$A$1:$P$1, 0)), perc_75, VLOOKUP(V$2, Percentiles!$A$45:$I$59, 6, FALSE), perc_90, VLOOKUP(V$2, Percentiles!$A$45:$I$59, 7, FALSE), perc_95, VLOOKUP(V$2, Percentiles!$A$45:$I$59, 8, FALSE), perc_85, perc_75 + (perc_90 - perc_75) * (2/3), converted_stat, '2K_Ratings'!V859, IF(bbgm_stat &gt;= perc_95, converted_stat * 3, IF(bbgm_stat &gt;= perc_90, converted_stat * 2, IF(bbgm_stat &gt;= perc_85, converted_stat * 1.5, converted_stat)))))</f>
        <v/>
      </c>
      <c r="W859" s="30" t="str">
        <f t="array" ref="W859">IF($A859="", "", LET(bbgm_stat, INDEX(Players!$A858:$P858, MATCH(W$2, Players!$A$1:$P$1, 0)), perc_75, VLOOKUP(W$2, Percentiles!$A$45:$I$59, 6, FALSE), perc_90, VLOOKUP(W$2, Percentiles!$A$45:$I$59, 7, FALSE), perc_95, VLOOKUP(W$2, Percentiles!$A$45:$I$59, 8, FALSE), perc_85, perc_75 + (perc_90 - perc_75) * (2/3), converted_stat, '2K_Ratings'!W859, IF(bbgm_stat &gt;= perc_95, converted_stat * 3, IF(bbgm_stat &gt;= perc_90, converted_stat * 2, IF(bbgm_stat &gt;= perc_85, converted_stat * 1.5, converted_stat)))))</f>
        <v/>
      </c>
    </row>
    <row r="860">
      <c r="A860" s="30"/>
      <c r="B860" s="30" t="str">
        <f t="array" ref="B860">IF($A860="", "", LET(bbgm_stat, INDEX(Players!$A859:$P859, MATCH(B$2, Players!$A$1:$P$1, 0)), perc_75, VLOOKUP(B$2, Percentiles!$A$45:$I$59, 6, FALSE), perc_90, VLOOKUP(B$2, Percentiles!$A$45:$I$59, 7, FALSE), perc_95, VLOOKUP(B$2, Percentiles!$A$45:$I$59, 8, FALSE), perc_85, perc_75 + (perc_90 - perc_75) * (2/3), converted_stat, '2K_Ratings'!B860, IF(bbgm_stat &gt;= perc_95, converted_stat * 3, IF(bbgm_stat &gt;= perc_90, converted_stat * 2, IF(bbgm_stat &gt;= perc_85, converted_stat * 1.5, converted_stat)))))</f>
        <v/>
      </c>
      <c r="C860" s="30" t="str">
        <f t="array" ref="C860">IF($A860="", "", LET(bbgm_stat, INDEX(Players!$A859:$P859, MATCH(C$2, Players!$A$1:$P$1, 0)), perc_75, VLOOKUP(C$2, Percentiles!$A$45:$I$59, 6, FALSE), perc_90, VLOOKUP(C$2, Percentiles!$A$45:$I$59, 7, FALSE), perc_95, VLOOKUP(C$2, Percentiles!$A$45:$I$59, 8, FALSE), perc_85, perc_75 + (perc_90 - perc_75) * (2/3), converted_stat, '2K_Ratings'!C860, IF(bbgm_stat &gt;= perc_95, converted_stat * 3, IF(bbgm_stat &gt;= perc_90, converted_stat * 2, IF(bbgm_stat &gt;= perc_85, converted_stat * 1.5, converted_stat)))))</f>
        <v/>
      </c>
      <c r="D860" s="30" t="str">
        <f t="array" ref="D860">IF($A860="", "", LET(bbgm_stat, INDEX(Players!$A859:$P859, MATCH(D$2, Players!$A$1:$P$1, 0)), perc_75, VLOOKUP(D$2, Percentiles!$A$45:$I$59, 6, FALSE), perc_90, VLOOKUP(D$2, Percentiles!$A$45:$I$59, 7, FALSE), perc_95, VLOOKUP(D$2, Percentiles!$A$45:$I$59, 8, FALSE), perc_85, perc_75 + (perc_90 - perc_75) * (2/3), converted_stat, '2K_Ratings'!D860, IF(bbgm_stat &gt;= perc_95, converted_stat * 3, IF(bbgm_stat &gt;= perc_90, converted_stat * 2, IF(bbgm_stat &gt;= perc_85, converted_stat * 1.5, converted_stat)))))</f>
        <v/>
      </c>
      <c r="E860" s="30" t="str">
        <f t="array" ref="E860">IF($A860="", "", LET(bbgm_stat, INDEX(Players!$A859:$P859, MATCH(E$2, Players!$A$1:$P$1, 0)), perc_75, VLOOKUP(E$2, Percentiles!$A$45:$I$59, 6, FALSE), perc_90, VLOOKUP(E$2, Percentiles!$A$45:$I$59, 7, FALSE), perc_95, VLOOKUP(E$2, Percentiles!$A$45:$I$59, 8, FALSE), perc_85, perc_75 + (perc_90 - perc_75) * (2/3), converted_stat, '2K_Ratings'!E860, IF(bbgm_stat &gt;= perc_95, converted_stat * 3, IF(bbgm_stat &gt;= perc_90, converted_stat * 2, IF(bbgm_stat &gt;= perc_85, converted_stat * 1.5, converted_stat)))))</f>
        <v/>
      </c>
      <c r="F860" s="30" t="str">
        <f t="array" ref="F860">IF($A860="", "", LET(bbgm_stat, INDEX(Players!$A859:$P859, MATCH(F$2, Players!$A$1:$P$1, 0)), perc_75, VLOOKUP(F$2, Percentiles!$A$45:$I$59, 6, FALSE), perc_90, VLOOKUP(F$2, Percentiles!$A$45:$I$59, 7, FALSE), perc_95, VLOOKUP(F$2, Percentiles!$A$45:$I$59, 8, FALSE), perc_85, perc_75 + (perc_90 - perc_75) * (2/3), converted_stat, '2K_Ratings'!F860, IF(bbgm_stat &gt;= perc_95, converted_stat * 3, IF(bbgm_stat &gt;= perc_90, converted_stat * 2, IF(bbgm_stat &gt;= perc_85, converted_stat * 1.5, converted_stat)))))</f>
        <v/>
      </c>
      <c r="G860" s="30" t="str">
        <f t="array" ref="G860">IF($A860="", "", LET(bbgm_stat, INDEX(Players!$A859:$P859, MATCH(G$2, Players!$A$1:$P$1, 0)), perc_75, VLOOKUP(G$2, Percentiles!$A$45:$I$59, 6, FALSE), perc_90, VLOOKUP(G$2, Percentiles!$A$45:$I$59, 7, FALSE), perc_95, VLOOKUP(G$2, Percentiles!$A$45:$I$59, 8, FALSE), perc_85, perc_75 + (perc_90 - perc_75) * (2/3), converted_stat, '2K_Ratings'!G860, IF(bbgm_stat &gt;= perc_95, converted_stat * 3, IF(bbgm_stat &gt;= perc_90, converted_stat * 2, IF(bbgm_stat &gt;= perc_85, converted_stat * 1.5, converted_stat)))))</f>
        <v/>
      </c>
      <c r="H860" s="30" t="str">
        <f t="array" ref="H860">IF($A860="", "", LET(bbgm_stat, INDEX(Players!$A859:$P859, MATCH(H$2, Players!$A$1:$P$1, 0)), perc_75, VLOOKUP(H$2, Percentiles!$A$45:$I$59, 6, FALSE), perc_90, VLOOKUP(H$2, Percentiles!$A$45:$I$59, 7, FALSE), perc_95, VLOOKUP(H$2, Percentiles!$A$45:$I$59, 8, FALSE), perc_85, perc_75 + (perc_90 - perc_75) * (2/3), converted_stat, '2K_Ratings'!H860, IF(bbgm_stat &gt;= perc_95, converted_stat * 3, IF(bbgm_stat &gt;= perc_90, converted_stat * 2, IF(bbgm_stat &gt;= perc_85, converted_stat * 1.5, converted_stat)))))</f>
        <v/>
      </c>
      <c r="I860" s="30" t="str">
        <f t="array" ref="I860">IF($A860="", "", LET(bbgm_stat, INDEX(Players!$A859:$P859, MATCH(I$2, Players!$A$1:$P$1, 0)), perc_75, VLOOKUP(I$2, Percentiles!$A$45:$I$59, 6, FALSE), perc_90, VLOOKUP(I$2, Percentiles!$A$45:$I$59, 7, FALSE), perc_95, VLOOKUP(I$2, Percentiles!$A$45:$I$59, 8, FALSE), perc_85, perc_75 + (perc_90 - perc_75) * (2/3), converted_stat, '2K_Ratings'!I860, IF(bbgm_stat &gt;= perc_95, converted_stat * 3, IF(bbgm_stat &gt;= perc_90, converted_stat * 2, IF(bbgm_stat &gt;= perc_85, converted_stat * 1.5, converted_stat)))))</f>
        <v/>
      </c>
      <c r="J860" s="30" t="str">
        <f t="array" ref="J860">IF($A860="", "", LET(bbgm_stat, INDEX(Players!$A859:$P859, MATCH(J$2, Players!$A$1:$P$1, 0)), perc_75, VLOOKUP(J$2, Percentiles!$A$45:$I$59, 6, FALSE), perc_90, VLOOKUP(J$2, Percentiles!$A$45:$I$59, 7, FALSE), perc_95, VLOOKUP(J$2, Percentiles!$A$45:$I$59, 8, FALSE), perc_85, perc_75 + (perc_90 - perc_75) * (2/3), converted_stat, '2K_Ratings'!J860, IF(bbgm_stat &gt;= perc_95, converted_stat * 3, IF(bbgm_stat &gt;= perc_90, converted_stat * 2, IF(bbgm_stat &gt;= perc_85, converted_stat * 1.5, converted_stat)))))</f>
        <v/>
      </c>
      <c r="K860" s="30" t="str">
        <f t="array" ref="K860">IF($A860="", "", LET(bbgm_stat, INDEX(Players!$A859:$P859, MATCH(K$2, Players!$A$1:$P$1, 0)), perc_75, VLOOKUP(K$2, Percentiles!$A$45:$I$59, 6, FALSE), perc_90, VLOOKUP(K$2, Percentiles!$A$45:$I$59, 7, FALSE), perc_95, VLOOKUP(K$2, Percentiles!$A$45:$I$59, 8, FALSE), perc_85, perc_75 + (perc_90 - perc_75) * (2/3), converted_stat, '2K_Ratings'!K860, IF(bbgm_stat &gt;= perc_95, converted_stat * 3, IF(bbgm_stat &gt;= perc_90, converted_stat * 2, IF(bbgm_stat &gt;= perc_85, converted_stat * 1.5, converted_stat)))))</f>
        <v/>
      </c>
      <c r="L860" s="30" t="str">
        <f t="array" ref="L860">IF($A860="", "", LET(bbgm_stat, INDEX(Players!$A859:$P859, MATCH(L$2, Players!$A$1:$P$1, 0)), perc_75, VLOOKUP(L$2, Percentiles!$A$45:$I$59, 6, FALSE), perc_90, VLOOKUP(L$2, Percentiles!$A$45:$I$59, 7, FALSE), perc_95, VLOOKUP(L$2, Percentiles!$A$45:$I$59, 8, FALSE), perc_85, perc_75 + (perc_90 - perc_75) * (2/3), converted_stat, '2K_Ratings'!L860, IF(bbgm_stat &gt;= perc_95, converted_stat * 3, IF(bbgm_stat &gt;= perc_90, converted_stat * 2, IF(bbgm_stat &gt;= perc_85, converted_stat * 1.5, converted_stat)))))</f>
        <v/>
      </c>
      <c r="M860" s="30" t="str">
        <f t="array" ref="M860">IF($A860="", "", LET(bbgm_stat, INDEX(Players!$A859:$P859, MATCH(M$2, Players!$A$1:$P$1, 0)), perc_75, VLOOKUP(M$2, Percentiles!$A$45:$I$59, 6, FALSE), perc_90, VLOOKUP(M$2, Percentiles!$A$45:$I$59, 7, FALSE), perc_95, VLOOKUP(M$2, Percentiles!$A$45:$I$59, 8, FALSE), perc_85, perc_75 + (perc_90 - perc_75) * (2/3), converted_stat, '2K_Ratings'!M860, IF(bbgm_stat &gt;= perc_95, converted_stat * 3, IF(bbgm_stat &gt;= perc_90, converted_stat * 2, IF(bbgm_stat &gt;= perc_85, converted_stat * 1.5, converted_stat)))))</f>
        <v/>
      </c>
      <c r="N860" s="30" t="str">
        <f t="array" ref="N860">IF($A860="", "", LET(bbgm_stat, INDEX(Players!$A859:$P859, MATCH(N$2, Players!$A$1:$P$1, 0)), perc_75, VLOOKUP(N$2, Percentiles!$A$45:$I$59, 6, FALSE), perc_90, VLOOKUP(N$2, Percentiles!$A$45:$I$59, 7, FALSE), perc_95, VLOOKUP(N$2, Percentiles!$A$45:$I$59, 8, FALSE), perc_85, perc_75 + (perc_90 - perc_75) * (2/3), converted_stat, '2K_Ratings'!N860, IF(bbgm_stat &gt;= perc_95, converted_stat * 3, IF(bbgm_stat &gt;= perc_90, converted_stat * 2, IF(bbgm_stat &gt;= perc_85, converted_stat * 1.5, converted_stat)))))</f>
        <v/>
      </c>
      <c r="O860" s="30" t="str">
        <f t="array" ref="O860">IF($A860="", "", LET(bbgm_stat, INDEX(Players!$A859:$P859, MATCH(O$2, Players!$A$1:$P$1, 0)), perc_75, VLOOKUP(O$2, Percentiles!$A$45:$I$59, 6, FALSE), perc_90, VLOOKUP(O$2, Percentiles!$A$45:$I$59, 7, FALSE), perc_95, VLOOKUP(O$2, Percentiles!$A$45:$I$59, 8, FALSE), perc_85, perc_75 + (perc_90 - perc_75) * (2/3), converted_stat, '2K_Ratings'!O860, IF(bbgm_stat &gt;= perc_95, converted_stat * 3, IF(bbgm_stat &gt;= perc_90, converted_stat * 2, IF(bbgm_stat &gt;= perc_85, converted_stat * 1.5, converted_stat)))))</f>
        <v/>
      </c>
      <c r="P860" s="30" t="str">
        <f t="array" ref="P860">IF($A860="", "", LET(bbgm_stat, INDEX(Players!$A859:$P859, MATCH(P$2, Players!$A$1:$P$1, 0)), perc_75, VLOOKUP(P$2, Percentiles!$A$45:$I$59, 6, FALSE), perc_90, VLOOKUP(P$2, Percentiles!$A$45:$I$59, 7, FALSE), perc_95, VLOOKUP(P$2, Percentiles!$A$45:$I$59, 8, FALSE), perc_85, perc_75 + (perc_90 - perc_75) * (2/3), converted_stat, '2K_Ratings'!P860, IF(bbgm_stat &gt;= perc_95, converted_stat * 3, IF(bbgm_stat &gt;= perc_90, converted_stat * 2, IF(bbgm_stat &gt;= perc_85, converted_stat * 1.5, converted_stat)))))</f>
        <v/>
      </c>
      <c r="Q860" s="30" t="str">
        <f t="array" ref="Q860">IF($A860="", "", LET(bbgm_stat, INDEX(Players!$A859:$P859, MATCH(Q$2, Players!$A$1:$P$1, 0)), perc_75, VLOOKUP(Q$2, Percentiles!$A$45:$I$59, 6, FALSE), perc_90, VLOOKUP(Q$2, Percentiles!$A$45:$I$59, 7, FALSE), perc_95, VLOOKUP(Q$2, Percentiles!$A$45:$I$59, 8, FALSE), perc_85, perc_75 + (perc_90 - perc_75) * (2/3), converted_stat, '2K_Ratings'!Q860, IF(bbgm_stat &gt;= perc_95, converted_stat * 3, IF(bbgm_stat &gt;= perc_90, converted_stat * 2, IF(bbgm_stat &gt;= perc_85, converted_stat * 1.5, converted_stat)))))</f>
        <v/>
      </c>
      <c r="R860" s="30" t="str">
        <f t="array" ref="R860">IF($A860="", "", LET(bbgm_stat, INDEX(Players!$A859:$P859, MATCH(R$2, Players!$A$1:$P$1, 0)), perc_75, VLOOKUP(R$2, Percentiles!$A$45:$I$59, 6, FALSE), perc_90, VLOOKUP(R$2, Percentiles!$A$45:$I$59, 7, FALSE), perc_95, VLOOKUP(R$2, Percentiles!$A$45:$I$59, 8, FALSE), perc_85, perc_75 + (perc_90 - perc_75) * (2/3), converted_stat, '2K_Ratings'!R860, IF(bbgm_stat &gt;= perc_95, converted_stat * 3, IF(bbgm_stat &gt;= perc_90, converted_stat * 2, IF(bbgm_stat &gt;= perc_85, converted_stat * 1.5, converted_stat)))))</f>
        <v/>
      </c>
      <c r="S860" s="30" t="str">
        <f t="array" ref="S860">IF($A860="", "", LET(bbgm_stat, INDEX(Players!$A859:$P859, MATCH(S$2, Players!$A$1:$P$1, 0)), perc_75, VLOOKUP(S$2, Percentiles!$A$45:$I$59, 6, FALSE), perc_90, VLOOKUP(S$2, Percentiles!$A$45:$I$59, 7, FALSE), perc_95, VLOOKUP(S$2, Percentiles!$A$45:$I$59, 8, FALSE), perc_85, perc_75 + (perc_90 - perc_75) * (2/3), converted_stat, '2K_Ratings'!S860, IF(bbgm_stat &gt;= perc_95, converted_stat * 3, IF(bbgm_stat &gt;= perc_90, converted_stat * 2, IF(bbgm_stat &gt;= perc_85, converted_stat * 1.5, converted_stat)))))</f>
        <v/>
      </c>
      <c r="T860" s="30" t="str">
        <f t="array" ref="T860">IF($A860="", "", LET(bbgm_stat, INDEX(Players!$A859:$P859, MATCH(T$2, Players!$A$1:$P$1, 0)), perc_75, VLOOKUP(T$2, Percentiles!$A$45:$I$59, 6, FALSE), perc_90, VLOOKUP(T$2, Percentiles!$A$45:$I$59, 7, FALSE), perc_95, VLOOKUP(T$2, Percentiles!$A$45:$I$59, 8, FALSE), perc_85, perc_75 + (perc_90 - perc_75) * (2/3), converted_stat, '2K_Ratings'!T860, IF(bbgm_stat &gt;= perc_95, converted_stat * 3, IF(bbgm_stat &gt;= perc_90, converted_stat * 2, IF(bbgm_stat &gt;= perc_85, converted_stat * 1.5, converted_stat)))))</f>
        <v/>
      </c>
      <c r="U860" s="30" t="str">
        <f t="array" ref="U860">IF($A860="", "", LET(bbgm_stat, INDEX(Players!$A859:$P859, MATCH(U$2, Players!$A$1:$P$1, 0)), perc_75, VLOOKUP(U$2, Percentiles!$A$45:$I$59, 6, FALSE), perc_90, VLOOKUP(U$2, Percentiles!$A$45:$I$59, 7, FALSE), perc_95, VLOOKUP(U$2, Percentiles!$A$45:$I$59, 8, FALSE), perc_85, perc_75 + (perc_90 - perc_75) * (2/3), converted_stat, '2K_Ratings'!U860, IF(bbgm_stat &gt;= perc_95, converted_stat * 3, IF(bbgm_stat &gt;= perc_90, converted_stat * 2, IF(bbgm_stat &gt;= perc_85, converted_stat * 1.5, converted_stat)))))</f>
        <v/>
      </c>
      <c r="V860" s="30" t="str">
        <f t="array" ref="V860">IF($A860="", "", LET(bbgm_stat, INDEX(Players!$A859:$P859, MATCH(V$2, Players!$A$1:$P$1, 0)), perc_75, VLOOKUP(V$2, Percentiles!$A$45:$I$59, 6, FALSE), perc_90, VLOOKUP(V$2, Percentiles!$A$45:$I$59, 7, FALSE), perc_95, VLOOKUP(V$2, Percentiles!$A$45:$I$59, 8, FALSE), perc_85, perc_75 + (perc_90 - perc_75) * (2/3), converted_stat, '2K_Ratings'!V860, IF(bbgm_stat &gt;= perc_95, converted_stat * 3, IF(bbgm_stat &gt;= perc_90, converted_stat * 2, IF(bbgm_stat &gt;= perc_85, converted_stat * 1.5, converted_stat)))))</f>
        <v/>
      </c>
      <c r="W860" s="30" t="str">
        <f t="array" ref="W860">IF($A860="", "", LET(bbgm_stat, INDEX(Players!$A859:$P859, MATCH(W$2, Players!$A$1:$P$1, 0)), perc_75, VLOOKUP(W$2, Percentiles!$A$45:$I$59, 6, FALSE), perc_90, VLOOKUP(W$2, Percentiles!$A$45:$I$59, 7, FALSE), perc_95, VLOOKUP(W$2, Percentiles!$A$45:$I$59, 8, FALSE), perc_85, perc_75 + (perc_90 - perc_75) * (2/3), converted_stat, '2K_Ratings'!W860, IF(bbgm_stat &gt;= perc_95, converted_stat * 3, IF(bbgm_stat &gt;= perc_90, converted_stat * 2, IF(bbgm_stat &gt;= perc_85, converted_stat * 1.5, converted_stat)))))</f>
        <v/>
      </c>
    </row>
    <row r="861">
      <c r="A861" s="30"/>
      <c r="B861" s="30" t="str">
        <f t="array" ref="B861">IF($A861="", "", LET(bbgm_stat, INDEX(Players!$A860:$P860, MATCH(B$2, Players!$A$1:$P$1, 0)), perc_75, VLOOKUP(B$2, Percentiles!$A$45:$I$59, 6, FALSE), perc_90, VLOOKUP(B$2, Percentiles!$A$45:$I$59, 7, FALSE), perc_95, VLOOKUP(B$2, Percentiles!$A$45:$I$59, 8, FALSE), perc_85, perc_75 + (perc_90 - perc_75) * (2/3), converted_stat, '2K_Ratings'!B861, IF(bbgm_stat &gt;= perc_95, converted_stat * 3, IF(bbgm_stat &gt;= perc_90, converted_stat * 2, IF(bbgm_stat &gt;= perc_85, converted_stat * 1.5, converted_stat)))))</f>
        <v/>
      </c>
      <c r="C861" s="30" t="str">
        <f t="array" ref="C861">IF($A861="", "", LET(bbgm_stat, INDEX(Players!$A860:$P860, MATCH(C$2, Players!$A$1:$P$1, 0)), perc_75, VLOOKUP(C$2, Percentiles!$A$45:$I$59, 6, FALSE), perc_90, VLOOKUP(C$2, Percentiles!$A$45:$I$59, 7, FALSE), perc_95, VLOOKUP(C$2, Percentiles!$A$45:$I$59, 8, FALSE), perc_85, perc_75 + (perc_90 - perc_75) * (2/3), converted_stat, '2K_Ratings'!C861, IF(bbgm_stat &gt;= perc_95, converted_stat * 3, IF(bbgm_stat &gt;= perc_90, converted_stat * 2, IF(bbgm_stat &gt;= perc_85, converted_stat * 1.5, converted_stat)))))</f>
        <v/>
      </c>
      <c r="D861" s="30" t="str">
        <f t="array" ref="D861">IF($A861="", "", LET(bbgm_stat, INDEX(Players!$A860:$P860, MATCH(D$2, Players!$A$1:$P$1, 0)), perc_75, VLOOKUP(D$2, Percentiles!$A$45:$I$59, 6, FALSE), perc_90, VLOOKUP(D$2, Percentiles!$A$45:$I$59, 7, FALSE), perc_95, VLOOKUP(D$2, Percentiles!$A$45:$I$59, 8, FALSE), perc_85, perc_75 + (perc_90 - perc_75) * (2/3), converted_stat, '2K_Ratings'!D861, IF(bbgm_stat &gt;= perc_95, converted_stat * 3, IF(bbgm_stat &gt;= perc_90, converted_stat * 2, IF(bbgm_stat &gt;= perc_85, converted_stat * 1.5, converted_stat)))))</f>
        <v/>
      </c>
      <c r="E861" s="30" t="str">
        <f t="array" ref="E861">IF($A861="", "", LET(bbgm_stat, INDEX(Players!$A860:$P860, MATCH(E$2, Players!$A$1:$P$1, 0)), perc_75, VLOOKUP(E$2, Percentiles!$A$45:$I$59, 6, FALSE), perc_90, VLOOKUP(E$2, Percentiles!$A$45:$I$59, 7, FALSE), perc_95, VLOOKUP(E$2, Percentiles!$A$45:$I$59, 8, FALSE), perc_85, perc_75 + (perc_90 - perc_75) * (2/3), converted_stat, '2K_Ratings'!E861, IF(bbgm_stat &gt;= perc_95, converted_stat * 3, IF(bbgm_stat &gt;= perc_90, converted_stat * 2, IF(bbgm_stat &gt;= perc_85, converted_stat * 1.5, converted_stat)))))</f>
        <v/>
      </c>
      <c r="F861" s="30" t="str">
        <f t="array" ref="F861">IF($A861="", "", LET(bbgm_stat, INDEX(Players!$A860:$P860, MATCH(F$2, Players!$A$1:$P$1, 0)), perc_75, VLOOKUP(F$2, Percentiles!$A$45:$I$59, 6, FALSE), perc_90, VLOOKUP(F$2, Percentiles!$A$45:$I$59, 7, FALSE), perc_95, VLOOKUP(F$2, Percentiles!$A$45:$I$59, 8, FALSE), perc_85, perc_75 + (perc_90 - perc_75) * (2/3), converted_stat, '2K_Ratings'!F861, IF(bbgm_stat &gt;= perc_95, converted_stat * 3, IF(bbgm_stat &gt;= perc_90, converted_stat * 2, IF(bbgm_stat &gt;= perc_85, converted_stat * 1.5, converted_stat)))))</f>
        <v/>
      </c>
      <c r="G861" s="30" t="str">
        <f t="array" ref="G861">IF($A861="", "", LET(bbgm_stat, INDEX(Players!$A860:$P860, MATCH(G$2, Players!$A$1:$P$1, 0)), perc_75, VLOOKUP(G$2, Percentiles!$A$45:$I$59, 6, FALSE), perc_90, VLOOKUP(G$2, Percentiles!$A$45:$I$59, 7, FALSE), perc_95, VLOOKUP(G$2, Percentiles!$A$45:$I$59, 8, FALSE), perc_85, perc_75 + (perc_90 - perc_75) * (2/3), converted_stat, '2K_Ratings'!G861, IF(bbgm_stat &gt;= perc_95, converted_stat * 3, IF(bbgm_stat &gt;= perc_90, converted_stat * 2, IF(bbgm_stat &gt;= perc_85, converted_stat * 1.5, converted_stat)))))</f>
        <v/>
      </c>
      <c r="H861" s="30" t="str">
        <f t="array" ref="H861">IF($A861="", "", LET(bbgm_stat, INDEX(Players!$A860:$P860, MATCH(H$2, Players!$A$1:$P$1, 0)), perc_75, VLOOKUP(H$2, Percentiles!$A$45:$I$59, 6, FALSE), perc_90, VLOOKUP(H$2, Percentiles!$A$45:$I$59, 7, FALSE), perc_95, VLOOKUP(H$2, Percentiles!$A$45:$I$59, 8, FALSE), perc_85, perc_75 + (perc_90 - perc_75) * (2/3), converted_stat, '2K_Ratings'!H861, IF(bbgm_stat &gt;= perc_95, converted_stat * 3, IF(bbgm_stat &gt;= perc_90, converted_stat * 2, IF(bbgm_stat &gt;= perc_85, converted_stat * 1.5, converted_stat)))))</f>
        <v/>
      </c>
      <c r="I861" s="30" t="str">
        <f t="array" ref="I861">IF($A861="", "", LET(bbgm_stat, INDEX(Players!$A860:$P860, MATCH(I$2, Players!$A$1:$P$1, 0)), perc_75, VLOOKUP(I$2, Percentiles!$A$45:$I$59, 6, FALSE), perc_90, VLOOKUP(I$2, Percentiles!$A$45:$I$59, 7, FALSE), perc_95, VLOOKUP(I$2, Percentiles!$A$45:$I$59, 8, FALSE), perc_85, perc_75 + (perc_90 - perc_75) * (2/3), converted_stat, '2K_Ratings'!I861, IF(bbgm_stat &gt;= perc_95, converted_stat * 3, IF(bbgm_stat &gt;= perc_90, converted_stat * 2, IF(bbgm_stat &gt;= perc_85, converted_stat * 1.5, converted_stat)))))</f>
        <v/>
      </c>
      <c r="J861" s="30" t="str">
        <f t="array" ref="J861">IF($A861="", "", LET(bbgm_stat, INDEX(Players!$A860:$P860, MATCH(J$2, Players!$A$1:$P$1, 0)), perc_75, VLOOKUP(J$2, Percentiles!$A$45:$I$59, 6, FALSE), perc_90, VLOOKUP(J$2, Percentiles!$A$45:$I$59, 7, FALSE), perc_95, VLOOKUP(J$2, Percentiles!$A$45:$I$59, 8, FALSE), perc_85, perc_75 + (perc_90 - perc_75) * (2/3), converted_stat, '2K_Ratings'!J861, IF(bbgm_stat &gt;= perc_95, converted_stat * 3, IF(bbgm_stat &gt;= perc_90, converted_stat * 2, IF(bbgm_stat &gt;= perc_85, converted_stat * 1.5, converted_stat)))))</f>
        <v/>
      </c>
      <c r="K861" s="30" t="str">
        <f t="array" ref="K861">IF($A861="", "", LET(bbgm_stat, INDEX(Players!$A860:$P860, MATCH(K$2, Players!$A$1:$P$1, 0)), perc_75, VLOOKUP(K$2, Percentiles!$A$45:$I$59, 6, FALSE), perc_90, VLOOKUP(K$2, Percentiles!$A$45:$I$59, 7, FALSE), perc_95, VLOOKUP(K$2, Percentiles!$A$45:$I$59, 8, FALSE), perc_85, perc_75 + (perc_90 - perc_75) * (2/3), converted_stat, '2K_Ratings'!K861, IF(bbgm_stat &gt;= perc_95, converted_stat * 3, IF(bbgm_stat &gt;= perc_90, converted_stat * 2, IF(bbgm_stat &gt;= perc_85, converted_stat * 1.5, converted_stat)))))</f>
        <v/>
      </c>
      <c r="L861" s="30" t="str">
        <f t="array" ref="L861">IF($A861="", "", LET(bbgm_stat, INDEX(Players!$A860:$P860, MATCH(L$2, Players!$A$1:$P$1, 0)), perc_75, VLOOKUP(L$2, Percentiles!$A$45:$I$59, 6, FALSE), perc_90, VLOOKUP(L$2, Percentiles!$A$45:$I$59, 7, FALSE), perc_95, VLOOKUP(L$2, Percentiles!$A$45:$I$59, 8, FALSE), perc_85, perc_75 + (perc_90 - perc_75) * (2/3), converted_stat, '2K_Ratings'!L861, IF(bbgm_stat &gt;= perc_95, converted_stat * 3, IF(bbgm_stat &gt;= perc_90, converted_stat * 2, IF(bbgm_stat &gt;= perc_85, converted_stat * 1.5, converted_stat)))))</f>
        <v/>
      </c>
      <c r="M861" s="30" t="str">
        <f t="array" ref="M861">IF($A861="", "", LET(bbgm_stat, INDEX(Players!$A860:$P860, MATCH(M$2, Players!$A$1:$P$1, 0)), perc_75, VLOOKUP(M$2, Percentiles!$A$45:$I$59, 6, FALSE), perc_90, VLOOKUP(M$2, Percentiles!$A$45:$I$59, 7, FALSE), perc_95, VLOOKUP(M$2, Percentiles!$A$45:$I$59, 8, FALSE), perc_85, perc_75 + (perc_90 - perc_75) * (2/3), converted_stat, '2K_Ratings'!M861, IF(bbgm_stat &gt;= perc_95, converted_stat * 3, IF(bbgm_stat &gt;= perc_90, converted_stat * 2, IF(bbgm_stat &gt;= perc_85, converted_stat * 1.5, converted_stat)))))</f>
        <v/>
      </c>
      <c r="N861" s="30" t="str">
        <f t="array" ref="N861">IF($A861="", "", LET(bbgm_stat, INDEX(Players!$A860:$P860, MATCH(N$2, Players!$A$1:$P$1, 0)), perc_75, VLOOKUP(N$2, Percentiles!$A$45:$I$59, 6, FALSE), perc_90, VLOOKUP(N$2, Percentiles!$A$45:$I$59, 7, FALSE), perc_95, VLOOKUP(N$2, Percentiles!$A$45:$I$59, 8, FALSE), perc_85, perc_75 + (perc_90 - perc_75) * (2/3), converted_stat, '2K_Ratings'!N861, IF(bbgm_stat &gt;= perc_95, converted_stat * 3, IF(bbgm_stat &gt;= perc_90, converted_stat * 2, IF(bbgm_stat &gt;= perc_85, converted_stat * 1.5, converted_stat)))))</f>
        <v/>
      </c>
      <c r="O861" s="30" t="str">
        <f t="array" ref="O861">IF($A861="", "", LET(bbgm_stat, INDEX(Players!$A860:$P860, MATCH(O$2, Players!$A$1:$P$1, 0)), perc_75, VLOOKUP(O$2, Percentiles!$A$45:$I$59, 6, FALSE), perc_90, VLOOKUP(O$2, Percentiles!$A$45:$I$59, 7, FALSE), perc_95, VLOOKUP(O$2, Percentiles!$A$45:$I$59, 8, FALSE), perc_85, perc_75 + (perc_90 - perc_75) * (2/3), converted_stat, '2K_Ratings'!O861, IF(bbgm_stat &gt;= perc_95, converted_stat * 3, IF(bbgm_stat &gt;= perc_90, converted_stat * 2, IF(bbgm_stat &gt;= perc_85, converted_stat * 1.5, converted_stat)))))</f>
        <v/>
      </c>
      <c r="P861" s="30" t="str">
        <f t="array" ref="P861">IF($A861="", "", LET(bbgm_stat, INDEX(Players!$A860:$P860, MATCH(P$2, Players!$A$1:$P$1, 0)), perc_75, VLOOKUP(P$2, Percentiles!$A$45:$I$59, 6, FALSE), perc_90, VLOOKUP(P$2, Percentiles!$A$45:$I$59, 7, FALSE), perc_95, VLOOKUP(P$2, Percentiles!$A$45:$I$59, 8, FALSE), perc_85, perc_75 + (perc_90 - perc_75) * (2/3), converted_stat, '2K_Ratings'!P861, IF(bbgm_stat &gt;= perc_95, converted_stat * 3, IF(bbgm_stat &gt;= perc_90, converted_stat * 2, IF(bbgm_stat &gt;= perc_85, converted_stat * 1.5, converted_stat)))))</f>
        <v/>
      </c>
      <c r="Q861" s="30" t="str">
        <f t="array" ref="Q861">IF($A861="", "", LET(bbgm_stat, INDEX(Players!$A860:$P860, MATCH(Q$2, Players!$A$1:$P$1, 0)), perc_75, VLOOKUP(Q$2, Percentiles!$A$45:$I$59, 6, FALSE), perc_90, VLOOKUP(Q$2, Percentiles!$A$45:$I$59, 7, FALSE), perc_95, VLOOKUP(Q$2, Percentiles!$A$45:$I$59, 8, FALSE), perc_85, perc_75 + (perc_90 - perc_75) * (2/3), converted_stat, '2K_Ratings'!Q861, IF(bbgm_stat &gt;= perc_95, converted_stat * 3, IF(bbgm_stat &gt;= perc_90, converted_stat * 2, IF(bbgm_stat &gt;= perc_85, converted_stat * 1.5, converted_stat)))))</f>
        <v/>
      </c>
      <c r="R861" s="30" t="str">
        <f t="array" ref="R861">IF($A861="", "", LET(bbgm_stat, INDEX(Players!$A860:$P860, MATCH(R$2, Players!$A$1:$P$1, 0)), perc_75, VLOOKUP(R$2, Percentiles!$A$45:$I$59, 6, FALSE), perc_90, VLOOKUP(R$2, Percentiles!$A$45:$I$59, 7, FALSE), perc_95, VLOOKUP(R$2, Percentiles!$A$45:$I$59, 8, FALSE), perc_85, perc_75 + (perc_90 - perc_75) * (2/3), converted_stat, '2K_Ratings'!R861, IF(bbgm_stat &gt;= perc_95, converted_stat * 3, IF(bbgm_stat &gt;= perc_90, converted_stat * 2, IF(bbgm_stat &gt;= perc_85, converted_stat * 1.5, converted_stat)))))</f>
        <v/>
      </c>
      <c r="S861" s="30" t="str">
        <f t="array" ref="S861">IF($A861="", "", LET(bbgm_stat, INDEX(Players!$A860:$P860, MATCH(S$2, Players!$A$1:$P$1, 0)), perc_75, VLOOKUP(S$2, Percentiles!$A$45:$I$59, 6, FALSE), perc_90, VLOOKUP(S$2, Percentiles!$A$45:$I$59, 7, FALSE), perc_95, VLOOKUP(S$2, Percentiles!$A$45:$I$59, 8, FALSE), perc_85, perc_75 + (perc_90 - perc_75) * (2/3), converted_stat, '2K_Ratings'!S861, IF(bbgm_stat &gt;= perc_95, converted_stat * 3, IF(bbgm_stat &gt;= perc_90, converted_stat * 2, IF(bbgm_stat &gt;= perc_85, converted_stat * 1.5, converted_stat)))))</f>
        <v/>
      </c>
      <c r="T861" s="30" t="str">
        <f t="array" ref="T861">IF($A861="", "", LET(bbgm_stat, INDEX(Players!$A860:$P860, MATCH(T$2, Players!$A$1:$P$1, 0)), perc_75, VLOOKUP(T$2, Percentiles!$A$45:$I$59, 6, FALSE), perc_90, VLOOKUP(T$2, Percentiles!$A$45:$I$59, 7, FALSE), perc_95, VLOOKUP(T$2, Percentiles!$A$45:$I$59, 8, FALSE), perc_85, perc_75 + (perc_90 - perc_75) * (2/3), converted_stat, '2K_Ratings'!T861, IF(bbgm_stat &gt;= perc_95, converted_stat * 3, IF(bbgm_stat &gt;= perc_90, converted_stat * 2, IF(bbgm_stat &gt;= perc_85, converted_stat * 1.5, converted_stat)))))</f>
        <v/>
      </c>
      <c r="U861" s="30" t="str">
        <f t="array" ref="U861">IF($A861="", "", LET(bbgm_stat, INDEX(Players!$A860:$P860, MATCH(U$2, Players!$A$1:$P$1, 0)), perc_75, VLOOKUP(U$2, Percentiles!$A$45:$I$59, 6, FALSE), perc_90, VLOOKUP(U$2, Percentiles!$A$45:$I$59, 7, FALSE), perc_95, VLOOKUP(U$2, Percentiles!$A$45:$I$59, 8, FALSE), perc_85, perc_75 + (perc_90 - perc_75) * (2/3), converted_stat, '2K_Ratings'!U861, IF(bbgm_stat &gt;= perc_95, converted_stat * 3, IF(bbgm_stat &gt;= perc_90, converted_stat * 2, IF(bbgm_stat &gt;= perc_85, converted_stat * 1.5, converted_stat)))))</f>
        <v/>
      </c>
      <c r="V861" s="30" t="str">
        <f t="array" ref="V861">IF($A861="", "", LET(bbgm_stat, INDEX(Players!$A860:$P860, MATCH(V$2, Players!$A$1:$P$1, 0)), perc_75, VLOOKUP(V$2, Percentiles!$A$45:$I$59, 6, FALSE), perc_90, VLOOKUP(V$2, Percentiles!$A$45:$I$59, 7, FALSE), perc_95, VLOOKUP(V$2, Percentiles!$A$45:$I$59, 8, FALSE), perc_85, perc_75 + (perc_90 - perc_75) * (2/3), converted_stat, '2K_Ratings'!V861, IF(bbgm_stat &gt;= perc_95, converted_stat * 3, IF(bbgm_stat &gt;= perc_90, converted_stat * 2, IF(bbgm_stat &gt;= perc_85, converted_stat * 1.5, converted_stat)))))</f>
        <v/>
      </c>
      <c r="W861" s="30" t="str">
        <f t="array" ref="W861">IF($A861="", "", LET(bbgm_stat, INDEX(Players!$A860:$P860, MATCH(W$2, Players!$A$1:$P$1, 0)), perc_75, VLOOKUP(W$2, Percentiles!$A$45:$I$59, 6, FALSE), perc_90, VLOOKUP(W$2, Percentiles!$A$45:$I$59, 7, FALSE), perc_95, VLOOKUP(W$2, Percentiles!$A$45:$I$59, 8, FALSE), perc_85, perc_75 + (perc_90 - perc_75) * (2/3), converted_stat, '2K_Ratings'!W861, IF(bbgm_stat &gt;= perc_95, converted_stat * 3, IF(bbgm_stat &gt;= perc_90, converted_stat * 2, IF(bbgm_stat &gt;= perc_85, converted_stat * 1.5, converted_stat)))))</f>
        <v/>
      </c>
    </row>
    <row r="862">
      <c r="A862" s="30"/>
      <c r="B862" s="30" t="str">
        <f t="array" ref="B862">IF($A862="", "", LET(bbgm_stat, INDEX(Players!$A861:$P861, MATCH(B$2, Players!$A$1:$P$1, 0)), perc_75, VLOOKUP(B$2, Percentiles!$A$45:$I$59, 6, FALSE), perc_90, VLOOKUP(B$2, Percentiles!$A$45:$I$59, 7, FALSE), perc_95, VLOOKUP(B$2, Percentiles!$A$45:$I$59, 8, FALSE), perc_85, perc_75 + (perc_90 - perc_75) * (2/3), converted_stat, '2K_Ratings'!B862, IF(bbgm_stat &gt;= perc_95, converted_stat * 3, IF(bbgm_stat &gt;= perc_90, converted_stat * 2, IF(bbgm_stat &gt;= perc_85, converted_stat * 1.5, converted_stat)))))</f>
        <v/>
      </c>
      <c r="C862" s="30" t="str">
        <f t="array" ref="C862">IF($A862="", "", LET(bbgm_stat, INDEX(Players!$A861:$P861, MATCH(C$2, Players!$A$1:$P$1, 0)), perc_75, VLOOKUP(C$2, Percentiles!$A$45:$I$59, 6, FALSE), perc_90, VLOOKUP(C$2, Percentiles!$A$45:$I$59, 7, FALSE), perc_95, VLOOKUP(C$2, Percentiles!$A$45:$I$59, 8, FALSE), perc_85, perc_75 + (perc_90 - perc_75) * (2/3), converted_stat, '2K_Ratings'!C862, IF(bbgm_stat &gt;= perc_95, converted_stat * 3, IF(bbgm_stat &gt;= perc_90, converted_stat * 2, IF(bbgm_stat &gt;= perc_85, converted_stat * 1.5, converted_stat)))))</f>
        <v/>
      </c>
      <c r="D862" s="30" t="str">
        <f t="array" ref="D862">IF($A862="", "", LET(bbgm_stat, INDEX(Players!$A861:$P861, MATCH(D$2, Players!$A$1:$P$1, 0)), perc_75, VLOOKUP(D$2, Percentiles!$A$45:$I$59, 6, FALSE), perc_90, VLOOKUP(D$2, Percentiles!$A$45:$I$59, 7, FALSE), perc_95, VLOOKUP(D$2, Percentiles!$A$45:$I$59, 8, FALSE), perc_85, perc_75 + (perc_90 - perc_75) * (2/3), converted_stat, '2K_Ratings'!D862, IF(bbgm_stat &gt;= perc_95, converted_stat * 3, IF(bbgm_stat &gt;= perc_90, converted_stat * 2, IF(bbgm_stat &gt;= perc_85, converted_stat * 1.5, converted_stat)))))</f>
        <v/>
      </c>
      <c r="E862" s="30" t="str">
        <f t="array" ref="E862">IF($A862="", "", LET(bbgm_stat, INDEX(Players!$A861:$P861, MATCH(E$2, Players!$A$1:$P$1, 0)), perc_75, VLOOKUP(E$2, Percentiles!$A$45:$I$59, 6, FALSE), perc_90, VLOOKUP(E$2, Percentiles!$A$45:$I$59, 7, FALSE), perc_95, VLOOKUP(E$2, Percentiles!$A$45:$I$59, 8, FALSE), perc_85, perc_75 + (perc_90 - perc_75) * (2/3), converted_stat, '2K_Ratings'!E862, IF(bbgm_stat &gt;= perc_95, converted_stat * 3, IF(bbgm_stat &gt;= perc_90, converted_stat * 2, IF(bbgm_stat &gt;= perc_85, converted_stat * 1.5, converted_stat)))))</f>
        <v/>
      </c>
      <c r="F862" s="30" t="str">
        <f t="array" ref="F862">IF($A862="", "", LET(bbgm_stat, INDEX(Players!$A861:$P861, MATCH(F$2, Players!$A$1:$P$1, 0)), perc_75, VLOOKUP(F$2, Percentiles!$A$45:$I$59, 6, FALSE), perc_90, VLOOKUP(F$2, Percentiles!$A$45:$I$59, 7, FALSE), perc_95, VLOOKUP(F$2, Percentiles!$A$45:$I$59, 8, FALSE), perc_85, perc_75 + (perc_90 - perc_75) * (2/3), converted_stat, '2K_Ratings'!F862, IF(bbgm_stat &gt;= perc_95, converted_stat * 3, IF(bbgm_stat &gt;= perc_90, converted_stat * 2, IF(bbgm_stat &gt;= perc_85, converted_stat * 1.5, converted_stat)))))</f>
        <v/>
      </c>
      <c r="G862" s="30" t="str">
        <f t="array" ref="G862">IF($A862="", "", LET(bbgm_stat, INDEX(Players!$A861:$P861, MATCH(G$2, Players!$A$1:$P$1, 0)), perc_75, VLOOKUP(G$2, Percentiles!$A$45:$I$59, 6, FALSE), perc_90, VLOOKUP(G$2, Percentiles!$A$45:$I$59, 7, FALSE), perc_95, VLOOKUP(G$2, Percentiles!$A$45:$I$59, 8, FALSE), perc_85, perc_75 + (perc_90 - perc_75) * (2/3), converted_stat, '2K_Ratings'!G862, IF(bbgm_stat &gt;= perc_95, converted_stat * 3, IF(bbgm_stat &gt;= perc_90, converted_stat * 2, IF(bbgm_stat &gt;= perc_85, converted_stat * 1.5, converted_stat)))))</f>
        <v/>
      </c>
      <c r="H862" s="30" t="str">
        <f t="array" ref="H862">IF($A862="", "", LET(bbgm_stat, INDEX(Players!$A861:$P861, MATCH(H$2, Players!$A$1:$P$1, 0)), perc_75, VLOOKUP(H$2, Percentiles!$A$45:$I$59, 6, FALSE), perc_90, VLOOKUP(H$2, Percentiles!$A$45:$I$59, 7, FALSE), perc_95, VLOOKUP(H$2, Percentiles!$A$45:$I$59, 8, FALSE), perc_85, perc_75 + (perc_90 - perc_75) * (2/3), converted_stat, '2K_Ratings'!H862, IF(bbgm_stat &gt;= perc_95, converted_stat * 3, IF(bbgm_stat &gt;= perc_90, converted_stat * 2, IF(bbgm_stat &gt;= perc_85, converted_stat * 1.5, converted_stat)))))</f>
        <v/>
      </c>
      <c r="I862" s="30" t="str">
        <f t="array" ref="I862">IF($A862="", "", LET(bbgm_stat, INDEX(Players!$A861:$P861, MATCH(I$2, Players!$A$1:$P$1, 0)), perc_75, VLOOKUP(I$2, Percentiles!$A$45:$I$59, 6, FALSE), perc_90, VLOOKUP(I$2, Percentiles!$A$45:$I$59, 7, FALSE), perc_95, VLOOKUP(I$2, Percentiles!$A$45:$I$59, 8, FALSE), perc_85, perc_75 + (perc_90 - perc_75) * (2/3), converted_stat, '2K_Ratings'!I862, IF(bbgm_stat &gt;= perc_95, converted_stat * 3, IF(bbgm_stat &gt;= perc_90, converted_stat * 2, IF(bbgm_stat &gt;= perc_85, converted_stat * 1.5, converted_stat)))))</f>
        <v/>
      </c>
      <c r="J862" s="30" t="str">
        <f t="array" ref="J862">IF($A862="", "", LET(bbgm_stat, INDEX(Players!$A861:$P861, MATCH(J$2, Players!$A$1:$P$1, 0)), perc_75, VLOOKUP(J$2, Percentiles!$A$45:$I$59, 6, FALSE), perc_90, VLOOKUP(J$2, Percentiles!$A$45:$I$59, 7, FALSE), perc_95, VLOOKUP(J$2, Percentiles!$A$45:$I$59, 8, FALSE), perc_85, perc_75 + (perc_90 - perc_75) * (2/3), converted_stat, '2K_Ratings'!J862, IF(bbgm_stat &gt;= perc_95, converted_stat * 3, IF(bbgm_stat &gt;= perc_90, converted_stat * 2, IF(bbgm_stat &gt;= perc_85, converted_stat * 1.5, converted_stat)))))</f>
        <v/>
      </c>
      <c r="K862" s="30" t="str">
        <f t="array" ref="K862">IF($A862="", "", LET(bbgm_stat, INDEX(Players!$A861:$P861, MATCH(K$2, Players!$A$1:$P$1, 0)), perc_75, VLOOKUP(K$2, Percentiles!$A$45:$I$59, 6, FALSE), perc_90, VLOOKUP(K$2, Percentiles!$A$45:$I$59, 7, FALSE), perc_95, VLOOKUP(K$2, Percentiles!$A$45:$I$59, 8, FALSE), perc_85, perc_75 + (perc_90 - perc_75) * (2/3), converted_stat, '2K_Ratings'!K862, IF(bbgm_stat &gt;= perc_95, converted_stat * 3, IF(bbgm_stat &gt;= perc_90, converted_stat * 2, IF(bbgm_stat &gt;= perc_85, converted_stat * 1.5, converted_stat)))))</f>
        <v/>
      </c>
      <c r="L862" s="30" t="str">
        <f t="array" ref="L862">IF($A862="", "", LET(bbgm_stat, INDEX(Players!$A861:$P861, MATCH(L$2, Players!$A$1:$P$1, 0)), perc_75, VLOOKUP(L$2, Percentiles!$A$45:$I$59, 6, FALSE), perc_90, VLOOKUP(L$2, Percentiles!$A$45:$I$59, 7, FALSE), perc_95, VLOOKUP(L$2, Percentiles!$A$45:$I$59, 8, FALSE), perc_85, perc_75 + (perc_90 - perc_75) * (2/3), converted_stat, '2K_Ratings'!L862, IF(bbgm_stat &gt;= perc_95, converted_stat * 3, IF(bbgm_stat &gt;= perc_90, converted_stat * 2, IF(bbgm_stat &gt;= perc_85, converted_stat * 1.5, converted_stat)))))</f>
        <v/>
      </c>
      <c r="M862" s="30" t="str">
        <f t="array" ref="M862">IF($A862="", "", LET(bbgm_stat, INDEX(Players!$A861:$P861, MATCH(M$2, Players!$A$1:$P$1, 0)), perc_75, VLOOKUP(M$2, Percentiles!$A$45:$I$59, 6, FALSE), perc_90, VLOOKUP(M$2, Percentiles!$A$45:$I$59, 7, FALSE), perc_95, VLOOKUP(M$2, Percentiles!$A$45:$I$59, 8, FALSE), perc_85, perc_75 + (perc_90 - perc_75) * (2/3), converted_stat, '2K_Ratings'!M862, IF(bbgm_stat &gt;= perc_95, converted_stat * 3, IF(bbgm_stat &gt;= perc_90, converted_stat * 2, IF(bbgm_stat &gt;= perc_85, converted_stat * 1.5, converted_stat)))))</f>
        <v/>
      </c>
      <c r="N862" s="30" t="str">
        <f t="array" ref="N862">IF($A862="", "", LET(bbgm_stat, INDEX(Players!$A861:$P861, MATCH(N$2, Players!$A$1:$P$1, 0)), perc_75, VLOOKUP(N$2, Percentiles!$A$45:$I$59, 6, FALSE), perc_90, VLOOKUP(N$2, Percentiles!$A$45:$I$59, 7, FALSE), perc_95, VLOOKUP(N$2, Percentiles!$A$45:$I$59, 8, FALSE), perc_85, perc_75 + (perc_90 - perc_75) * (2/3), converted_stat, '2K_Ratings'!N862, IF(bbgm_stat &gt;= perc_95, converted_stat * 3, IF(bbgm_stat &gt;= perc_90, converted_stat * 2, IF(bbgm_stat &gt;= perc_85, converted_stat * 1.5, converted_stat)))))</f>
        <v/>
      </c>
      <c r="O862" s="30" t="str">
        <f t="array" ref="O862">IF($A862="", "", LET(bbgm_stat, INDEX(Players!$A861:$P861, MATCH(O$2, Players!$A$1:$P$1, 0)), perc_75, VLOOKUP(O$2, Percentiles!$A$45:$I$59, 6, FALSE), perc_90, VLOOKUP(O$2, Percentiles!$A$45:$I$59, 7, FALSE), perc_95, VLOOKUP(O$2, Percentiles!$A$45:$I$59, 8, FALSE), perc_85, perc_75 + (perc_90 - perc_75) * (2/3), converted_stat, '2K_Ratings'!O862, IF(bbgm_stat &gt;= perc_95, converted_stat * 3, IF(bbgm_stat &gt;= perc_90, converted_stat * 2, IF(bbgm_stat &gt;= perc_85, converted_stat * 1.5, converted_stat)))))</f>
        <v/>
      </c>
      <c r="P862" s="30" t="str">
        <f t="array" ref="P862">IF($A862="", "", LET(bbgm_stat, INDEX(Players!$A861:$P861, MATCH(P$2, Players!$A$1:$P$1, 0)), perc_75, VLOOKUP(P$2, Percentiles!$A$45:$I$59, 6, FALSE), perc_90, VLOOKUP(P$2, Percentiles!$A$45:$I$59, 7, FALSE), perc_95, VLOOKUP(P$2, Percentiles!$A$45:$I$59, 8, FALSE), perc_85, perc_75 + (perc_90 - perc_75) * (2/3), converted_stat, '2K_Ratings'!P862, IF(bbgm_stat &gt;= perc_95, converted_stat * 3, IF(bbgm_stat &gt;= perc_90, converted_stat * 2, IF(bbgm_stat &gt;= perc_85, converted_stat * 1.5, converted_stat)))))</f>
        <v/>
      </c>
      <c r="Q862" s="30" t="str">
        <f t="array" ref="Q862">IF($A862="", "", LET(bbgm_stat, INDEX(Players!$A861:$P861, MATCH(Q$2, Players!$A$1:$P$1, 0)), perc_75, VLOOKUP(Q$2, Percentiles!$A$45:$I$59, 6, FALSE), perc_90, VLOOKUP(Q$2, Percentiles!$A$45:$I$59, 7, FALSE), perc_95, VLOOKUP(Q$2, Percentiles!$A$45:$I$59, 8, FALSE), perc_85, perc_75 + (perc_90 - perc_75) * (2/3), converted_stat, '2K_Ratings'!Q862, IF(bbgm_stat &gt;= perc_95, converted_stat * 3, IF(bbgm_stat &gt;= perc_90, converted_stat * 2, IF(bbgm_stat &gt;= perc_85, converted_stat * 1.5, converted_stat)))))</f>
        <v/>
      </c>
      <c r="R862" s="30" t="str">
        <f t="array" ref="R862">IF($A862="", "", LET(bbgm_stat, INDEX(Players!$A861:$P861, MATCH(R$2, Players!$A$1:$P$1, 0)), perc_75, VLOOKUP(R$2, Percentiles!$A$45:$I$59, 6, FALSE), perc_90, VLOOKUP(R$2, Percentiles!$A$45:$I$59, 7, FALSE), perc_95, VLOOKUP(R$2, Percentiles!$A$45:$I$59, 8, FALSE), perc_85, perc_75 + (perc_90 - perc_75) * (2/3), converted_stat, '2K_Ratings'!R862, IF(bbgm_stat &gt;= perc_95, converted_stat * 3, IF(bbgm_stat &gt;= perc_90, converted_stat * 2, IF(bbgm_stat &gt;= perc_85, converted_stat * 1.5, converted_stat)))))</f>
        <v/>
      </c>
      <c r="S862" s="30" t="str">
        <f t="array" ref="S862">IF($A862="", "", LET(bbgm_stat, INDEX(Players!$A861:$P861, MATCH(S$2, Players!$A$1:$P$1, 0)), perc_75, VLOOKUP(S$2, Percentiles!$A$45:$I$59, 6, FALSE), perc_90, VLOOKUP(S$2, Percentiles!$A$45:$I$59, 7, FALSE), perc_95, VLOOKUP(S$2, Percentiles!$A$45:$I$59, 8, FALSE), perc_85, perc_75 + (perc_90 - perc_75) * (2/3), converted_stat, '2K_Ratings'!S862, IF(bbgm_stat &gt;= perc_95, converted_stat * 3, IF(bbgm_stat &gt;= perc_90, converted_stat * 2, IF(bbgm_stat &gt;= perc_85, converted_stat * 1.5, converted_stat)))))</f>
        <v/>
      </c>
      <c r="T862" s="30" t="str">
        <f t="array" ref="T862">IF($A862="", "", LET(bbgm_stat, INDEX(Players!$A861:$P861, MATCH(T$2, Players!$A$1:$P$1, 0)), perc_75, VLOOKUP(T$2, Percentiles!$A$45:$I$59, 6, FALSE), perc_90, VLOOKUP(T$2, Percentiles!$A$45:$I$59, 7, FALSE), perc_95, VLOOKUP(T$2, Percentiles!$A$45:$I$59, 8, FALSE), perc_85, perc_75 + (perc_90 - perc_75) * (2/3), converted_stat, '2K_Ratings'!T862, IF(bbgm_stat &gt;= perc_95, converted_stat * 3, IF(bbgm_stat &gt;= perc_90, converted_stat * 2, IF(bbgm_stat &gt;= perc_85, converted_stat * 1.5, converted_stat)))))</f>
        <v/>
      </c>
      <c r="U862" s="30" t="str">
        <f t="array" ref="U862">IF($A862="", "", LET(bbgm_stat, INDEX(Players!$A861:$P861, MATCH(U$2, Players!$A$1:$P$1, 0)), perc_75, VLOOKUP(U$2, Percentiles!$A$45:$I$59, 6, FALSE), perc_90, VLOOKUP(U$2, Percentiles!$A$45:$I$59, 7, FALSE), perc_95, VLOOKUP(U$2, Percentiles!$A$45:$I$59, 8, FALSE), perc_85, perc_75 + (perc_90 - perc_75) * (2/3), converted_stat, '2K_Ratings'!U862, IF(bbgm_stat &gt;= perc_95, converted_stat * 3, IF(bbgm_stat &gt;= perc_90, converted_stat * 2, IF(bbgm_stat &gt;= perc_85, converted_stat * 1.5, converted_stat)))))</f>
        <v/>
      </c>
      <c r="V862" s="30" t="str">
        <f t="array" ref="V862">IF($A862="", "", LET(bbgm_stat, INDEX(Players!$A861:$P861, MATCH(V$2, Players!$A$1:$P$1, 0)), perc_75, VLOOKUP(V$2, Percentiles!$A$45:$I$59, 6, FALSE), perc_90, VLOOKUP(V$2, Percentiles!$A$45:$I$59, 7, FALSE), perc_95, VLOOKUP(V$2, Percentiles!$A$45:$I$59, 8, FALSE), perc_85, perc_75 + (perc_90 - perc_75) * (2/3), converted_stat, '2K_Ratings'!V862, IF(bbgm_stat &gt;= perc_95, converted_stat * 3, IF(bbgm_stat &gt;= perc_90, converted_stat * 2, IF(bbgm_stat &gt;= perc_85, converted_stat * 1.5, converted_stat)))))</f>
        <v/>
      </c>
      <c r="W862" s="30" t="str">
        <f t="array" ref="W862">IF($A862="", "", LET(bbgm_stat, INDEX(Players!$A861:$P861, MATCH(W$2, Players!$A$1:$P$1, 0)), perc_75, VLOOKUP(W$2, Percentiles!$A$45:$I$59, 6, FALSE), perc_90, VLOOKUP(W$2, Percentiles!$A$45:$I$59, 7, FALSE), perc_95, VLOOKUP(W$2, Percentiles!$A$45:$I$59, 8, FALSE), perc_85, perc_75 + (perc_90 - perc_75) * (2/3), converted_stat, '2K_Ratings'!W862, IF(bbgm_stat &gt;= perc_95, converted_stat * 3, IF(bbgm_stat &gt;= perc_90, converted_stat * 2, IF(bbgm_stat &gt;= perc_85, converted_stat * 1.5, converted_stat)))))</f>
        <v/>
      </c>
    </row>
    <row r="863">
      <c r="A863" s="30"/>
      <c r="B863" s="30" t="str">
        <f t="array" ref="B863">IF($A863="", "", LET(bbgm_stat, INDEX(Players!$A862:$P862, MATCH(B$2, Players!$A$1:$P$1, 0)), perc_75, VLOOKUP(B$2, Percentiles!$A$45:$I$59, 6, FALSE), perc_90, VLOOKUP(B$2, Percentiles!$A$45:$I$59, 7, FALSE), perc_95, VLOOKUP(B$2, Percentiles!$A$45:$I$59, 8, FALSE), perc_85, perc_75 + (perc_90 - perc_75) * (2/3), converted_stat, '2K_Ratings'!B863, IF(bbgm_stat &gt;= perc_95, converted_stat * 3, IF(bbgm_stat &gt;= perc_90, converted_stat * 2, IF(bbgm_stat &gt;= perc_85, converted_stat * 1.5, converted_stat)))))</f>
        <v/>
      </c>
      <c r="C863" s="30" t="str">
        <f t="array" ref="C863">IF($A863="", "", LET(bbgm_stat, INDEX(Players!$A862:$P862, MATCH(C$2, Players!$A$1:$P$1, 0)), perc_75, VLOOKUP(C$2, Percentiles!$A$45:$I$59, 6, FALSE), perc_90, VLOOKUP(C$2, Percentiles!$A$45:$I$59, 7, FALSE), perc_95, VLOOKUP(C$2, Percentiles!$A$45:$I$59, 8, FALSE), perc_85, perc_75 + (perc_90 - perc_75) * (2/3), converted_stat, '2K_Ratings'!C863, IF(bbgm_stat &gt;= perc_95, converted_stat * 3, IF(bbgm_stat &gt;= perc_90, converted_stat * 2, IF(bbgm_stat &gt;= perc_85, converted_stat * 1.5, converted_stat)))))</f>
        <v/>
      </c>
      <c r="D863" s="30" t="str">
        <f t="array" ref="D863">IF($A863="", "", LET(bbgm_stat, INDEX(Players!$A862:$P862, MATCH(D$2, Players!$A$1:$P$1, 0)), perc_75, VLOOKUP(D$2, Percentiles!$A$45:$I$59, 6, FALSE), perc_90, VLOOKUP(D$2, Percentiles!$A$45:$I$59, 7, FALSE), perc_95, VLOOKUP(D$2, Percentiles!$A$45:$I$59, 8, FALSE), perc_85, perc_75 + (perc_90 - perc_75) * (2/3), converted_stat, '2K_Ratings'!D863, IF(bbgm_stat &gt;= perc_95, converted_stat * 3, IF(bbgm_stat &gt;= perc_90, converted_stat * 2, IF(bbgm_stat &gt;= perc_85, converted_stat * 1.5, converted_stat)))))</f>
        <v/>
      </c>
      <c r="E863" s="30" t="str">
        <f t="array" ref="E863">IF($A863="", "", LET(bbgm_stat, INDEX(Players!$A862:$P862, MATCH(E$2, Players!$A$1:$P$1, 0)), perc_75, VLOOKUP(E$2, Percentiles!$A$45:$I$59, 6, FALSE), perc_90, VLOOKUP(E$2, Percentiles!$A$45:$I$59, 7, FALSE), perc_95, VLOOKUP(E$2, Percentiles!$A$45:$I$59, 8, FALSE), perc_85, perc_75 + (perc_90 - perc_75) * (2/3), converted_stat, '2K_Ratings'!E863, IF(bbgm_stat &gt;= perc_95, converted_stat * 3, IF(bbgm_stat &gt;= perc_90, converted_stat * 2, IF(bbgm_stat &gt;= perc_85, converted_stat * 1.5, converted_stat)))))</f>
        <v/>
      </c>
      <c r="F863" s="30" t="str">
        <f t="array" ref="F863">IF($A863="", "", LET(bbgm_stat, INDEX(Players!$A862:$P862, MATCH(F$2, Players!$A$1:$P$1, 0)), perc_75, VLOOKUP(F$2, Percentiles!$A$45:$I$59, 6, FALSE), perc_90, VLOOKUP(F$2, Percentiles!$A$45:$I$59, 7, FALSE), perc_95, VLOOKUP(F$2, Percentiles!$A$45:$I$59, 8, FALSE), perc_85, perc_75 + (perc_90 - perc_75) * (2/3), converted_stat, '2K_Ratings'!F863, IF(bbgm_stat &gt;= perc_95, converted_stat * 3, IF(bbgm_stat &gt;= perc_90, converted_stat * 2, IF(bbgm_stat &gt;= perc_85, converted_stat * 1.5, converted_stat)))))</f>
        <v/>
      </c>
      <c r="G863" s="30" t="str">
        <f t="array" ref="G863">IF($A863="", "", LET(bbgm_stat, INDEX(Players!$A862:$P862, MATCH(G$2, Players!$A$1:$P$1, 0)), perc_75, VLOOKUP(G$2, Percentiles!$A$45:$I$59, 6, FALSE), perc_90, VLOOKUP(G$2, Percentiles!$A$45:$I$59, 7, FALSE), perc_95, VLOOKUP(G$2, Percentiles!$A$45:$I$59, 8, FALSE), perc_85, perc_75 + (perc_90 - perc_75) * (2/3), converted_stat, '2K_Ratings'!G863, IF(bbgm_stat &gt;= perc_95, converted_stat * 3, IF(bbgm_stat &gt;= perc_90, converted_stat * 2, IF(bbgm_stat &gt;= perc_85, converted_stat * 1.5, converted_stat)))))</f>
        <v/>
      </c>
      <c r="H863" s="30" t="str">
        <f t="array" ref="H863">IF($A863="", "", LET(bbgm_stat, INDEX(Players!$A862:$P862, MATCH(H$2, Players!$A$1:$P$1, 0)), perc_75, VLOOKUP(H$2, Percentiles!$A$45:$I$59, 6, FALSE), perc_90, VLOOKUP(H$2, Percentiles!$A$45:$I$59, 7, FALSE), perc_95, VLOOKUP(H$2, Percentiles!$A$45:$I$59, 8, FALSE), perc_85, perc_75 + (perc_90 - perc_75) * (2/3), converted_stat, '2K_Ratings'!H863, IF(bbgm_stat &gt;= perc_95, converted_stat * 3, IF(bbgm_stat &gt;= perc_90, converted_stat * 2, IF(bbgm_stat &gt;= perc_85, converted_stat * 1.5, converted_stat)))))</f>
        <v/>
      </c>
      <c r="I863" s="30" t="str">
        <f t="array" ref="I863">IF($A863="", "", LET(bbgm_stat, INDEX(Players!$A862:$P862, MATCH(I$2, Players!$A$1:$P$1, 0)), perc_75, VLOOKUP(I$2, Percentiles!$A$45:$I$59, 6, FALSE), perc_90, VLOOKUP(I$2, Percentiles!$A$45:$I$59, 7, FALSE), perc_95, VLOOKUP(I$2, Percentiles!$A$45:$I$59, 8, FALSE), perc_85, perc_75 + (perc_90 - perc_75) * (2/3), converted_stat, '2K_Ratings'!I863, IF(bbgm_stat &gt;= perc_95, converted_stat * 3, IF(bbgm_stat &gt;= perc_90, converted_stat * 2, IF(bbgm_stat &gt;= perc_85, converted_stat * 1.5, converted_stat)))))</f>
        <v/>
      </c>
      <c r="J863" s="30" t="str">
        <f t="array" ref="J863">IF($A863="", "", LET(bbgm_stat, INDEX(Players!$A862:$P862, MATCH(J$2, Players!$A$1:$P$1, 0)), perc_75, VLOOKUP(J$2, Percentiles!$A$45:$I$59, 6, FALSE), perc_90, VLOOKUP(J$2, Percentiles!$A$45:$I$59, 7, FALSE), perc_95, VLOOKUP(J$2, Percentiles!$A$45:$I$59, 8, FALSE), perc_85, perc_75 + (perc_90 - perc_75) * (2/3), converted_stat, '2K_Ratings'!J863, IF(bbgm_stat &gt;= perc_95, converted_stat * 3, IF(bbgm_stat &gt;= perc_90, converted_stat * 2, IF(bbgm_stat &gt;= perc_85, converted_stat * 1.5, converted_stat)))))</f>
        <v/>
      </c>
      <c r="K863" s="30" t="str">
        <f t="array" ref="K863">IF($A863="", "", LET(bbgm_stat, INDEX(Players!$A862:$P862, MATCH(K$2, Players!$A$1:$P$1, 0)), perc_75, VLOOKUP(K$2, Percentiles!$A$45:$I$59, 6, FALSE), perc_90, VLOOKUP(K$2, Percentiles!$A$45:$I$59, 7, FALSE), perc_95, VLOOKUP(K$2, Percentiles!$A$45:$I$59, 8, FALSE), perc_85, perc_75 + (perc_90 - perc_75) * (2/3), converted_stat, '2K_Ratings'!K863, IF(bbgm_stat &gt;= perc_95, converted_stat * 3, IF(bbgm_stat &gt;= perc_90, converted_stat * 2, IF(bbgm_stat &gt;= perc_85, converted_stat * 1.5, converted_stat)))))</f>
        <v/>
      </c>
      <c r="L863" s="30" t="str">
        <f t="array" ref="L863">IF($A863="", "", LET(bbgm_stat, INDEX(Players!$A862:$P862, MATCH(L$2, Players!$A$1:$P$1, 0)), perc_75, VLOOKUP(L$2, Percentiles!$A$45:$I$59, 6, FALSE), perc_90, VLOOKUP(L$2, Percentiles!$A$45:$I$59, 7, FALSE), perc_95, VLOOKUP(L$2, Percentiles!$A$45:$I$59, 8, FALSE), perc_85, perc_75 + (perc_90 - perc_75) * (2/3), converted_stat, '2K_Ratings'!L863, IF(bbgm_stat &gt;= perc_95, converted_stat * 3, IF(bbgm_stat &gt;= perc_90, converted_stat * 2, IF(bbgm_stat &gt;= perc_85, converted_stat * 1.5, converted_stat)))))</f>
        <v/>
      </c>
      <c r="M863" s="30" t="str">
        <f t="array" ref="M863">IF($A863="", "", LET(bbgm_stat, INDEX(Players!$A862:$P862, MATCH(M$2, Players!$A$1:$P$1, 0)), perc_75, VLOOKUP(M$2, Percentiles!$A$45:$I$59, 6, FALSE), perc_90, VLOOKUP(M$2, Percentiles!$A$45:$I$59, 7, FALSE), perc_95, VLOOKUP(M$2, Percentiles!$A$45:$I$59, 8, FALSE), perc_85, perc_75 + (perc_90 - perc_75) * (2/3), converted_stat, '2K_Ratings'!M863, IF(bbgm_stat &gt;= perc_95, converted_stat * 3, IF(bbgm_stat &gt;= perc_90, converted_stat * 2, IF(bbgm_stat &gt;= perc_85, converted_stat * 1.5, converted_stat)))))</f>
        <v/>
      </c>
      <c r="N863" s="30" t="str">
        <f t="array" ref="N863">IF($A863="", "", LET(bbgm_stat, INDEX(Players!$A862:$P862, MATCH(N$2, Players!$A$1:$P$1, 0)), perc_75, VLOOKUP(N$2, Percentiles!$A$45:$I$59, 6, FALSE), perc_90, VLOOKUP(N$2, Percentiles!$A$45:$I$59, 7, FALSE), perc_95, VLOOKUP(N$2, Percentiles!$A$45:$I$59, 8, FALSE), perc_85, perc_75 + (perc_90 - perc_75) * (2/3), converted_stat, '2K_Ratings'!N863, IF(bbgm_stat &gt;= perc_95, converted_stat * 3, IF(bbgm_stat &gt;= perc_90, converted_stat * 2, IF(bbgm_stat &gt;= perc_85, converted_stat * 1.5, converted_stat)))))</f>
        <v/>
      </c>
      <c r="O863" s="30" t="str">
        <f t="array" ref="O863">IF($A863="", "", LET(bbgm_stat, INDEX(Players!$A862:$P862, MATCH(O$2, Players!$A$1:$P$1, 0)), perc_75, VLOOKUP(O$2, Percentiles!$A$45:$I$59, 6, FALSE), perc_90, VLOOKUP(O$2, Percentiles!$A$45:$I$59, 7, FALSE), perc_95, VLOOKUP(O$2, Percentiles!$A$45:$I$59, 8, FALSE), perc_85, perc_75 + (perc_90 - perc_75) * (2/3), converted_stat, '2K_Ratings'!O863, IF(bbgm_stat &gt;= perc_95, converted_stat * 3, IF(bbgm_stat &gt;= perc_90, converted_stat * 2, IF(bbgm_stat &gt;= perc_85, converted_stat * 1.5, converted_stat)))))</f>
        <v/>
      </c>
      <c r="P863" s="30" t="str">
        <f t="array" ref="P863">IF($A863="", "", LET(bbgm_stat, INDEX(Players!$A862:$P862, MATCH(P$2, Players!$A$1:$P$1, 0)), perc_75, VLOOKUP(P$2, Percentiles!$A$45:$I$59, 6, FALSE), perc_90, VLOOKUP(P$2, Percentiles!$A$45:$I$59, 7, FALSE), perc_95, VLOOKUP(P$2, Percentiles!$A$45:$I$59, 8, FALSE), perc_85, perc_75 + (perc_90 - perc_75) * (2/3), converted_stat, '2K_Ratings'!P863, IF(bbgm_stat &gt;= perc_95, converted_stat * 3, IF(bbgm_stat &gt;= perc_90, converted_stat * 2, IF(bbgm_stat &gt;= perc_85, converted_stat * 1.5, converted_stat)))))</f>
        <v/>
      </c>
      <c r="Q863" s="30" t="str">
        <f t="array" ref="Q863">IF($A863="", "", LET(bbgm_stat, INDEX(Players!$A862:$P862, MATCH(Q$2, Players!$A$1:$P$1, 0)), perc_75, VLOOKUP(Q$2, Percentiles!$A$45:$I$59, 6, FALSE), perc_90, VLOOKUP(Q$2, Percentiles!$A$45:$I$59, 7, FALSE), perc_95, VLOOKUP(Q$2, Percentiles!$A$45:$I$59, 8, FALSE), perc_85, perc_75 + (perc_90 - perc_75) * (2/3), converted_stat, '2K_Ratings'!Q863, IF(bbgm_stat &gt;= perc_95, converted_stat * 3, IF(bbgm_stat &gt;= perc_90, converted_stat * 2, IF(bbgm_stat &gt;= perc_85, converted_stat * 1.5, converted_stat)))))</f>
        <v/>
      </c>
      <c r="R863" s="30" t="str">
        <f t="array" ref="R863">IF($A863="", "", LET(bbgm_stat, INDEX(Players!$A862:$P862, MATCH(R$2, Players!$A$1:$P$1, 0)), perc_75, VLOOKUP(R$2, Percentiles!$A$45:$I$59, 6, FALSE), perc_90, VLOOKUP(R$2, Percentiles!$A$45:$I$59, 7, FALSE), perc_95, VLOOKUP(R$2, Percentiles!$A$45:$I$59, 8, FALSE), perc_85, perc_75 + (perc_90 - perc_75) * (2/3), converted_stat, '2K_Ratings'!R863, IF(bbgm_stat &gt;= perc_95, converted_stat * 3, IF(bbgm_stat &gt;= perc_90, converted_stat * 2, IF(bbgm_stat &gt;= perc_85, converted_stat * 1.5, converted_stat)))))</f>
        <v/>
      </c>
      <c r="S863" s="30" t="str">
        <f t="array" ref="S863">IF($A863="", "", LET(bbgm_stat, INDEX(Players!$A862:$P862, MATCH(S$2, Players!$A$1:$P$1, 0)), perc_75, VLOOKUP(S$2, Percentiles!$A$45:$I$59, 6, FALSE), perc_90, VLOOKUP(S$2, Percentiles!$A$45:$I$59, 7, FALSE), perc_95, VLOOKUP(S$2, Percentiles!$A$45:$I$59, 8, FALSE), perc_85, perc_75 + (perc_90 - perc_75) * (2/3), converted_stat, '2K_Ratings'!S863, IF(bbgm_stat &gt;= perc_95, converted_stat * 3, IF(bbgm_stat &gt;= perc_90, converted_stat * 2, IF(bbgm_stat &gt;= perc_85, converted_stat * 1.5, converted_stat)))))</f>
        <v/>
      </c>
      <c r="T863" s="30" t="str">
        <f t="array" ref="T863">IF($A863="", "", LET(bbgm_stat, INDEX(Players!$A862:$P862, MATCH(T$2, Players!$A$1:$P$1, 0)), perc_75, VLOOKUP(T$2, Percentiles!$A$45:$I$59, 6, FALSE), perc_90, VLOOKUP(T$2, Percentiles!$A$45:$I$59, 7, FALSE), perc_95, VLOOKUP(T$2, Percentiles!$A$45:$I$59, 8, FALSE), perc_85, perc_75 + (perc_90 - perc_75) * (2/3), converted_stat, '2K_Ratings'!T863, IF(bbgm_stat &gt;= perc_95, converted_stat * 3, IF(bbgm_stat &gt;= perc_90, converted_stat * 2, IF(bbgm_stat &gt;= perc_85, converted_stat * 1.5, converted_stat)))))</f>
        <v/>
      </c>
      <c r="U863" s="30" t="str">
        <f t="array" ref="U863">IF($A863="", "", LET(bbgm_stat, INDEX(Players!$A862:$P862, MATCH(U$2, Players!$A$1:$P$1, 0)), perc_75, VLOOKUP(U$2, Percentiles!$A$45:$I$59, 6, FALSE), perc_90, VLOOKUP(U$2, Percentiles!$A$45:$I$59, 7, FALSE), perc_95, VLOOKUP(U$2, Percentiles!$A$45:$I$59, 8, FALSE), perc_85, perc_75 + (perc_90 - perc_75) * (2/3), converted_stat, '2K_Ratings'!U863, IF(bbgm_stat &gt;= perc_95, converted_stat * 3, IF(bbgm_stat &gt;= perc_90, converted_stat * 2, IF(bbgm_stat &gt;= perc_85, converted_stat * 1.5, converted_stat)))))</f>
        <v/>
      </c>
      <c r="V863" s="30" t="str">
        <f t="array" ref="V863">IF($A863="", "", LET(bbgm_stat, INDEX(Players!$A862:$P862, MATCH(V$2, Players!$A$1:$P$1, 0)), perc_75, VLOOKUP(V$2, Percentiles!$A$45:$I$59, 6, FALSE), perc_90, VLOOKUP(V$2, Percentiles!$A$45:$I$59, 7, FALSE), perc_95, VLOOKUP(V$2, Percentiles!$A$45:$I$59, 8, FALSE), perc_85, perc_75 + (perc_90 - perc_75) * (2/3), converted_stat, '2K_Ratings'!V863, IF(bbgm_stat &gt;= perc_95, converted_stat * 3, IF(bbgm_stat &gt;= perc_90, converted_stat * 2, IF(bbgm_stat &gt;= perc_85, converted_stat * 1.5, converted_stat)))))</f>
        <v/>
      </c>
      <c r="W863" s="30" t="str">
        <f t="array" ref="W863">IF($A863="", "", LET(bbgm_stat, INDEX(Players!$A862:$P862, MATCH(W$2, Players!$A$1:$P$1, 0)), perc_75, VLOOKUP(W$2, Percentiles!$A$45:$I$59, 6, FALSE), perc_90, VLOOKUP(W$2, Percentiles!$A$45:$I$59, 7, FALSE), perc_95, VLOOKUP(W$2, Percentiles!$A$45:$I$59, 8, FALSE), perc_85, perc_75 + (perc_90 - perc_75) * (2/3), converted_stat, '2K_Ratings'!W863, IF(bbgm_stat &gt;= perc_95, converted_stat * 3, IF(bbgm_stat &gt;= perc_90, converted_stat * 2, IF(bbgm_stat &gt;= perc_85, converted_stat * 1.5, converted_stat)))))</f>
        <v/>
      </c>
    </row>
    <row r="864">
      <c r="A864" s="30"/>
      <c r="B864" s="30" t="str">
        <f t="array" ref="B864">IF($A864="", "", LET(bbgm_stat, INDEX(Players!$A863:$P863, MATCH(B$2, Players!$A$1:$P$1, 0)), perc_75, VLOOKUP(B$2, Percentiles!$A$45:$I$59, 6, FALSE), perc_90, VLOOKUP(B$2, Percentiles!$A$45:$I$59, 7, FALSE), perc_95, VLOOKUP(B$2, Percentiles!$A$45:$I$59, 8, FALSE), perc_85, perc_75 + (perc_90 - perc_75) * (2/3), converted_stat, '2K_Ratings'!B864, IF(bbgm_stat &gt;= perc_95, converted_stat * 3, IF(bbgm_stat &gt;= perc_90, converted_stat * 2, IF(bbgm_stat &gt;= perc_85, converted_stat * 1.5, converted_stat)))))</f>
        <v/>
      </c>
      <c r="C864" s="30" t="str">
        <f t="array" ref="C864">IF($A864="", "", LET(bbgm_stat, INDEX(Players!$A863:$P863, MATCH(C$2, Players!$A$1:$P$1, 0)), perc_75, VLOOKUP(C$2, Percentiles!$A$45:$I$59, 6, FALSE), perc_90, VLOOKUP(C$2, Percentiles!$A$45:$I$59, 7, FALSE), perc_95, VLOOKUP(C$2, Percentiles!$A$45:$I$59, 8, FALSE), perc_85, perc_75 + (perc_90 - perc_75) * (2/3), converted_stat, '2K_Ratings'!C864, IF(bbgm_stat &gt;= perc_95, converted_stat * 3, IF(bbgm_stat &gt;= perc_90, converted_stat * 2, IF(bbgm_stat &gt;= perc_85, converted_stat * 1.5, converted_stat)))))</f>
        <v/>
      </c>
      <c r="D864" s="30" t="str">
        <f t="array" ref="D864">IF($A864="", "", LET(bbgm_stat, INDEX(Players!$A863:$P863, MATCH(D$2, Players!$A$1:$P$1, 0)), perc_75, VLOOKUP(D$2, Percentiles!$A$45:$I$59, 6, FALSE), perc_90, VLOOKUP(D$2, Percentiles!$A$45:$I$59, 7, FALSE), perc_95, VLOOKUP(D$2, Percentiles!$A$45:$I$59, 8, FALSE), perc_85, perc_75 + (perc_90 - perc_75) * (2/3), converted_stat, '2K_Ratings'!D864, IF(bbgm_stat &gt;= perc_95, converted_stat * 3, IF(bbgm_stat &gt;= perc_90, converted_stat * 2, IF(bbgm_stat &gt;= perc_85, converted_stat * 1.5, converted_stat)))))</f>
        <v/>
      </c>
      <c r="E864" s="30" t="str">
        <f t="array" ref="E864">IF($A864="", "", LET(bbgm_stat, INDEX(Players!$A863:$P863, MATCH(E$2, Players!$A$1:$P$1, 0)), perc_75, VLOOKUP(E$2, Percentiles!$A$45:$I$59, 6, FALSE), perc_90, VLOOKUP(E$2, Percentiles!$A$45:$I$59, 7, FALSE), perc_95, VLOOKUP(E$2, Percentiles!$A$45:$I$59, 8, FALSE), perc_85, perc_75 + (perc_90 - perc_75) * (2/3), converted_stat, '2K_Ratings'!E864, IF(bbgm_stat &gt;= perc_95, converted_stat * 3, IF(bbgm_stat &gt;= perc_90, converted_stat * 2, IF(bbgm_stat &gt;= perc_85, converted_stat * 1.5, converted_stat)))))</f>
        <v/>
      </c>
      <c r="F864" s="30" t="str">
        <f t="array" ref="F864">IF($A864="", "", LET(bbgm_stat, INDEX(Players!$A863:$P863, MATCH(F$2, Players!$A$1:$P$1, 0)), perc_75, VLOOKUP(F$2, Percentiles!$A$45:$I$59, 6, FALSE), perc_90, VLOOKUP(F$2, Percentiles!$A$45:$I$59, 7, FALSE), perc_95, VLOOKUP(F$2, Percentiles!$A$45:$I$59, 8, FALSE), perc_85, perc_75 + (perc_90 - perc_75) * (2/3), converted_stat, '2K_Ratings'!F864, IF(bbgm_stat &gt;= perc_95, converted_stat * 3, IF(bbgm_stat &gt;= perc_90, converted_stat * 2, IF(bbgm_stat &gt;= perc_85, converted_stat * 1.5, converted_stat)))))</f>
        <v/>
      </c>
      <c r="G864" s="30" t="str">
        <f t="array" ref="G864">IF($A864="", "", LET(bbgm_stat, INDEX(Players!$A863:$P863, MATCH(G$2, Players!$A$1:$P$1, 0)), perc_75, VLOOKUP(G$2, Percentiles!$A$45:$I$59, 6, FALSE), perc_90, VLOOKUP(G$2, Percentiles!$A$45:$I$59, 7, FALSE), perc_95, VLOOKUP(G$2, Percentiles!$A$45:$I$59, 8, FALSE), perc_85, perc_75 + (perc_90 - perc_75) * (2/3), converted_stat, '2K_Ratings'!G864, IF(bbgm_stat &gt;= perc_95, converted_stat * 3, IF(bbgm_stat &gt;= perc_90, converted_stat * 2, IF(bbgm_stat &gt;= perc_85, converted_stat * 1.5, converted_stat)))))</f>
        <v/>
      </c>
      <c r="H864" s="30" t="str">
        <f t="array" ref="H864">IF($A864="", "", LET(bbgm_stat, INDEX(Players!$A863:$P863, MATCH(H$2, Players!$A$1:$P$1, 0)), perc_75, VLOOKUP(H$2, Percentiles!$A$45:$I$59, 6, FALSE), perc_90, VLOOKUP(H$2, Percentiles!$A$45:$I$59, 7, FALSE), perc_95, VLOOKUP(H$2, Percentiles!$A$45:$I$59, 8, FALSE), perc_85, perc_75 + (perc_90 - perc_75) * (2/3), converted_stat, '2K_Ratings'!H864, IF(bbgm_stat &gt;= perc_95, converted_stat * 3, IF(bbgm_stat &gt;= perc_90, converted_stat * 2, IF(bbgm_stat &gt;= perc_85, converted_stat * 1.5, converted_stat)))))</f>
        <v/>
      </c>
      <c r="I864" s="30" t="str">
        <f t="array" ref="I864">IF($A864="", "", LET(bbgm_stat, INDEX(Players!$A863:$P863, MATCH(I$2, Players!$A$1:$P$1, 0)), perc_75, VLOOKUP(I$2, Percentiles!$A$45:$I$59, 6, FALSE), perc_90, VLOOKUP(I$2, Percentiles!$A$45:$I$59, 7, FALSE), perc_95, VLOOKUP(I$2, Percentiles!$A$45:$I$59, 8, FALSE), perc_85, perc_75 + (perc_90 - perc_75) * (2/3), converted_stat, '2K_Ratings'!I864, IF(bbgm_stat &gt;= perc_95, converted_stat * 3, IF(bbgm_stat &gt;= perc_90, converted_stat * 2, IF(bbgm_stat &gt;= perc_85, converted_stat * 1.5, converted_stat)))))</f>
        <v/>
      </c>
      <c r="J864" s="30" t="str">
        <f t="array" ref="J864">IF($A864="", "", LET(bbgm_stat, INDEX(Players!$A863:$P863, MATCH(J$2, Players!$A$1:$P$1, 0)), perc_75, VLOOKUP(J$2, Percentiles!$A$45:$I$59, 6, FALSE), perc_90, VLOOKUP(J$2, Percentiles!$A$45:$I$59, 7, FALSE), perc_95, VLOOKUP(J$2, Percentiles!$A$45:$I$59, 8, FALSE), perc_85, perc_75 + (perc_90 - perc_75) * (2/3), converted_stat, '2K_Ratings'!J864, IF(bbgm_stat &gt;= perc_95, converted_stat * 3, IF(bbgm_stat &gt;= perc_90, converted_stat * 2, IF(bbgm_stat &gt;= perc_85, converted_stat * 1.5, converted_stat)))))</f>
        <v/>
      </c>
      <c r="K864" s="30" t="str">
        <f t="array" ref="K864">IF($A864="", "", LET(bbgm_stat, INDEX(Players!$A863:$P863, MATCH(K$2, Players!$A$1:$P$1, 0)), perc_75, VLOOKUP(K$2, Percentiles!$A$45:$I$59, 6, FALSE), perc_90, VLOOKUP(K$2, Percentiles!$A$45:$I$59, 7, FALSE), perc_95, VLOOKUP(K$2, Percentiles!$A$45:$I$59, 8, FALSE), perc_85, perc_75 + (perc_90 - perc_75) * (2/3), converted_stat, '2K_Ratings'!K864, IF(bbgm_stat &gt;= perc_95, converted_stat * 3, IF(bbgm_stat &gt;= perc_90, converted_stat * 2, IF(bbgm_stat &gt;= perc_85, converted_stat * 1.5, converted_stat)))))</f>
        <v/>
      </c>
      <c r="L864" s="30" t="str">
        <f t="array" ref="L864">IF($A864="", "", LET(bbgm_stat, INDEX(Players!$A863:$P863, MATCH(L$2, Players!$A$1:$P$1, 0)), perc_75, VLOOKUP(L$2, Percentiles!$A$45:$I$59, 6, FALSE), perc_90, VLOOKUP(L$2, Percentiles!$A$45:$I$59, 7, FALSE), perc_95, VLOOKUP(L$2, Percentiles!$A$45:$I$59, 8, FALSE), perc_85, perc_75 + (perc_90 - perc_75) * (2/3), converted_stat, '2K_Ratings'!L864, IF(bbgm_stat &gt;= perc_95, converted_stat * 3, IF(bbgm_stat &gt;= perc_90, converted_stat * 2, IF(bbgm_stat &gt;= perc_85, converted_stat * 1.5, converted_stat)))))</f>
        <v/>
      </c>
      <c r="M864" s="30" t="str">
        <f t="array" ref="M864">IF($A864="", "", LET(bbgm_stat, INDEX(Players!$A863:$P863, MATCH(M$2, Players!$A$1:$P$1, 0)), perc_75, VLOOKUP(M$2, Percentiles!$A$45:$I$59, 6, FALSE), perc_90, VLOOKUP(M$2, Percentiles!$A$45:$I$59, 7, FALSE), perc_95, VLOOKUP(M$2, Percentiles!$A$45:$I$59, 8, FALSE), perc_85, perc_75 + (perc_90 - perc_75) * (2/3), converted_stat, '2K_Ratings'!M864, IF(bbgm_stat &gt;= perc_95, converted_stat * 3, IF(bbgm_stat &gt;= perc_90, converted_stat * 2, IF(bbgm_stat &gt;= perc_85, converted_stat * 1.5, converted_stat)))))</f>
        <v/>
      </c>
      <c r="N864" s="30" t="str">
        <f t="array" ref="N864">IF($A864="", "", LET(bbgm_stat, INDEX(Players!$A863:$P863, MATCH(N$2, Players!$A$1:$P$1, 0)), perc_75, VLOOKUP(N$2, Percentiles!$A$45:$I$59, 6, FALSE), perc_90, VLOOKUP(N$2, Percentiles!$A$45:$I$59, 7, FALSE), perc_95, VLOOKUP(N$2, Percentiles!$A$45:$I$59, 8, FALSE), perc_85, perc_75 + (perc_90 - perc_75) * (2/3), converted_stat, '2K_Ratings'!N864, IF(bbgm_stat &gt;= perc_95, converted_stat * 3, IF(bbgm_stat &gt;= perc_90, converted_stat * 2, IF(bbgm_stat &gt;= perc_85, converted_stat * 1.5, converted_stat)))))</f>
        <v/>
      </c>
      <c r="O864" s="30" t="str">
        <f t="array" ref="O864">IF($A864="", "", LET(bbgm_stat, INDEX(Players!$A863:$P863, MATCH(O$2, Players!$A$1:$P$1, 0)), perc_75, VLOOKUP(O$2, Percentiles!$A$45:$I$59, 6, FALSE), perc_90, VLOOKUP(O$2, Percentiles!$A$45:$I$59, 7, FALSE), perc_95, VLOOKUP(O$2, Percentiles!$A$45:$I$59, 8, FALSE), perc_85, perc_75 + (perc_90 - perc_75) * (2/3), converted_stat, '2K_Ratings'!O864, IF(bbgm_stat &gt;= perc_95, converted_stat * 3, IF(bbgm_stat &gt;= perc_90, converted_stat * 2, IF(bbgm_stat &gt;= perc_85, converted_stat * 1.5, converted_stat)))))</f>
        <v/>
      </c>
      <c r="P864" s="30" t="str">
        <f t="array" ref="P864">IF($A864="", "", LET(bbgm_stat, INDEX(Players!$A863:$P863, MATCH(P$2, Players!$A$1:$P$1, 0)), perc_75, VLOOKUP(P$2, Percentiles!$A$45:$I$59, 6, FALSE), perc_90, VLOOKUP(P$2, Percentiles!$A$45:$I$59, 7, FALSE), perc_95, VLOOKUP(P$2, Percentiles!$A$45:$I$59, 8, FALSE), perc_85, perc_75 + (perc_90 - perc_75) * (2/3), converted_stat, '2K_Ratings'!P864, IF(bbgm_stat &gt;= perc_95, converted_stat * 3, IF(bbgm_stat &gt;= perc_90, converted_stat * 2, IF(bbgm_stat &gt;= perc_85, converted_stat * 1.5, converted_stat)))))</f>
        <v/>
      </c>
      <c r="Q864" s="30" t="str">
        <f t="array" ref="Q864">IF($A864="", "", LET(bbgm_stat, INDEX(Players!$A863:$P863, MATCH(Q$2, Players!$A$1:$P$1, 0)), perc_75, VLOOKUP(Q$2, Percentiles!$A$45:$I$59, 6, FALSE), perc_90, VLOOKUP(Q$2, Percentiles!$A$45:$I$59, 7, FALSE), perc_95, VLOOKUP(Q$2, Percentiles!$A$45:$I$59, 8, FALSE), perc_85, perc_75 + (perc_90 - perc_75) * (2/3), converted_stat, '2K_Ratings'!Q864, IF(bbgm_stat &gt;= perc_95, converted_stat * 3, IF(bbgm_stat &gt;= perc_90, converted_stat * 2, IF(bbgm_stat &gt;= perc_85, converted_stat * 1.5, converted_stat)))))</f>
        <v/>
      </c>
      <c r="R864" s="30" t="str">
        <f t="array" ref="R864">IF($A864="", "", LET(bbgm_stat, INDEX(Players!$A863:$P863, MATCH(R$2, Players!$A$1:$P$1, 0)), perc_75, VLOOKUP(R$2, Percentiles!$A$45:$I$59, 6, FALSE), perc_90, VLOOKUP(R$2, Percentiles!$A$45:$I$59, 7, FALSE), perc_95, VLOOKUP(R$2, Percentiles!$A$45:$I$59, 8, FALSE), perc_85, perc_75 + (perc_90 - perc_75) * (2/3), converted_stat, '2K_Ratings'!R864, IF(bbgm_stat &gt;= perc_95, converted_stat * 3, IF(bbgm_stat &gt;= perc_90, converted_stat * 2, IF(bbgm_stat &gt;= perc_85, converted_stat * 1.5, converted_stat)))))</f>
        <v/>
      </c>
      <c r="S864" s="30" t="str">
        <f t="array" ref="S864">IF($A864="", "", LET(bbgm_stat, INDEX(Players!$A863:$P863, MATCH(S$2, Players!$A$1:$P$1, 0)), perc_75, VLOOKUP(S$2, Percentiles!$A$45:$I$59, 6, FALSE), perc_90, VLOOKUP(S$2, Percentiles!$A$45:$I$59, 7, FALSE), perc_95, VLOOKUP(S$2, Percentiles!$A$45:$I$59, 8, FALSE), perc_85, perc_75 + (perc_90 - perc_75) * (2/3), converted_stat, '2K_Ratings'!S864, IF(bbgm_stat &gt;= perc_95, converted_stat * 3, IF(bbgm_stat &gt;= perc_90, converted_stat * 2, IF(bbgm_stat &gt;= perc_85, converted_stat * 1.5, converted_stat)))))</f>
        <v/>
      </c>
      <c r="T864" s="30" t="str">
        <f t="array" ref="T864">IF($A864="", "", LET(bbgm_stat, INDEX(Players!$A863:$P863, MATCH(T$2, Players!$A$1:$P$1, 0)), perc_75, VLOOKUP(T$2, Percentiles!$A$45:$I$59, 6, FALSE), perc_90, VLOOKUP(T$2, Percentiles!$A$45:$I$59, 7, FALSE), perc_95, VLOOKUP(T$2, Percentiles!$A$45:$I$59, 8, FALSE), perc_85, perc_75 + (perc_90 - perc_75) * (2/3), converted_stat, '2K_Ratings'!T864, IF(bbgm_stat &gt;= perc_95, converted_stat * 3, IF(bbgm_stat &gt;= perc_90, converted_stat * 2, IF(bbgm_stat &gt;= perc_85, converted_stat * 1.5, converted_stat)))))</f>
        <v/>
      </c>
      <c r="U864" s="30" t="str">
        <f t="array" ref="U864">IF($A864="", "", LET(bbgm_stat, INDEX(Players!$A863:$P863, MATCH(U$2, Players!$A$1:$P$1, 0)), perc_75, VLOOKUP(U$2, Percentiles!$A$45:$I$59, 6, FALSE), perc_90, VLOOKUP(U$2, Percentiles!$A$45:$I$59, 7, FALSE), perc_95, VLOOKUP(U$2, Percentiles!$A$45:$I$59, 8, FALSE), perc_85, perc_75 + (perc_90 - perc_75) * (2/3), converted_stat, '2K_Ratings'!U864, IF(bbgm_stat &gt;= perc_95, converted_stat * 3, IF(bbgm_stat &gt;= perc_90, converted_stat * 2, IF(bbgm_stat &gt;= perc_85, converted_stat * 1.5, converted_stat)))))</f>
        <v/>
      </c>
      <c r="V864" s="30" t="str">
        <f t="array" ref="V864">IF($A864="", "", LET(bbgm_stat, INDEX(Players!$A863:$P863, MATCH(V$2, Players!$A$1:$P$1, 0)), perc_75, VLOOKUP(V$2, Percentiles!$A$45:$I$59, 6, FALSE), perc_90, VLOOKUP(V$2, Percentiles!$A$45:$I$59, 7, FALSE), perc_95, VLOOKUP(V$2, Percentiles!$A$45:$I$59, 8, FALSE), perc_85, perc_75 + (perc_90 - perc_75) * (2/3), converted_stat, '2K_Ratings'!V864, IF(bbgm_stat &gt;= perc_95, converted_stat * 3, IF(bbgm_stat &gt;= perc_90, converted_stat * 2, IF(bbgm_stat &gt;= perc_85, converted_stat * 1.5, converted_stat)))))</f>
        <v/>
      </c>
      <c r="W864" s="30" t="str">
        <f t="array" ref="W864">IF($A864="", "", LET(bbgm_stat, INDEX(Players!$A863:$P863, MATCH(W$2, Players!$A$1:$P$1, 0)), perc_75, VLOOKUP(W$2, Percentiles!$A$45:$I$59, 6, FALSE), perc_90, VLOOKUP(W$2, Percentiles!$A$45:$I$59, 7, FALSE), perc_95, VLOOKUP(W$2, Percentiles!$A$45:$I$59, 8, FALSE), perc_85, perc_75 + (perc_90 - perc_75) * (2/3), converted_stat, '2K_Ratings'!W864, IF(bbgm_stat &gt;= perc_95, converted_stat * 3, IF(bbgm_stat &gt;= perc_90, converted_stat * 2, IF(bbgm_stat &gt;= perc_85, converted_stat * 1.5, converted_stat)))))</f>
        <v/>
      </c>
    </row>
    <row r="865">
      <c r="A865" s="30"/>
      <c r="B865" s="30" t="str">
        <f t="array" ref="B865">IF($A865="", "", LET(bbgm_stat, INDEX(Players!$A864:$P864, MATCH(B$2, Players!$A$1:$P$1, 0)), perc_75, VLOOKUP(B$2, Percentiles!$A$45:$I$59, 6, FALSE), perc_90, VLOOKUP(B$2, Percentiles!$A$45:$I$59, 7, FALSE), perc_95, VLOOKUP(B$2, Percentiles!$A$45:$I$59, 8, FALSE), perc_85, perc_75 + (perc_90 - perc_75) * (2/3), converted_stat, '2K_Ratings'!B865, IF(bbgm_stat &gt;= perc_95, converted_stat * 3, IF(bbgm_stat &gt;= perc_90, converted_stat * 2, IF(bbgm_stat &gt;= perc_85, converted_stat * 1.5, converted_stat)))))</f>
        <v/>
      </c>
      <c r="C865" s="30" t="str">
        <f t="array" ref="C865">IF($A865="", "", LET(bbgm_stat, INDEX(Players!$A864:$P864, MATCH(C$2, Players!$A$1:$P$1, 0)), perc_75, VLOOKUP(C$2, Percentiles!$A$45:$I$59, 6, FALSE), perc_90, VLOOKUP(C$2, Percentiles!$A$45:$I$59, 7, FALSE), perc_95, VLOOKUP(C$2, Percentiles!$A$45:$I$59, 8, FALSE), perc_85, perc_75 + (perc_90 - perc_75) * (2/3), converted_stat, '2K_Ratings'!C865, IF(bbgm_stat &gt;= perc_95, converted_stat * 3, IF(bbgm_stat &gt;= perc_90, converted_stat * 2, IF(bbgm_stat &gt;= perc_85, converted_stat * 1.5, converted_stat)))))</f>
        <v/>
      </c>
      <c r="D865" s="30" t="str">
        <f t="array" ref="D865">IF($A865="", "", LET(bbgm_stat, INDEX(Players!$A864:$P864, MATCH(D$2, Players!$A$1:$P$1, 0)), perc_75, VLOOKUP(D$2, Percentiles!$A$45:$I$59, 6, FALSE), perc_90, VLOOKUP(D$2, Percentiles!$A$45:$I$59, 7, FALSE), perc_95, VLOOKUP(D$2, Percentiles!$A$45:$I$59, 8, FALSE), perc_85, perc_75 + (perc_90 - perc_75) * (2/3), converted_stat, '2K_Ratings'!D865, IF(bbgm_stat &gt;= perc_95, converted_stat * 3, IF(bbgm_stat &gt;= perc_90, converted_stat * 2, IF(bbgm_stat &gt;= perc_85, converted_stat * 1.5, converted_stat)))))</f>
        <v/>
      </c>
      <c r="E865" s="30" t="str">
        <f t="array" ref="E865">IF($A865="", "", LET(bbgm_stat, INDEX(Players!$A864:$P864, MATCH(E$2, Players!$A$1:$P$1, 0)), perc_75, VLOOKUP(E$2, Percentiles!$A$45:$I$59, 6, FALSE), perc_90, VLOOKUP(E$2, Percentiles!$A$45:$I$59, 7, FALSE), perc_95, VLOOKUP(E$2, Percentiles!$A$45:$I$59, 8, FALSE), perc_85, perc_75 + (perc_90 - perc_75) * (2/3), converted_stat, '2K_Ratings'!E865, IF(bbgm_stat &gt;= perc_95, converted_stat * 3, IF(bbgm_stat &gt;= perc_90, converted_stat * 2, IF(bbgm_stat &gt;= perc_85, converted_stat * 1.5, converted_stat)))))</f>
        <v/>
      </c>
      <c r="F865" s="30" t="str">
        <f t="array" ref="F865">IF($A865="", "", LET(bbgm_stat, INDEX(Players!$A864:$P864, MATCH(F$2, Players!$A$1:$P$1, 0)), perc_75, VLOOKUP(F$2, Percentiles!$A$45:$I$59, 6, FALSE), perc_90, VLOOKUP(F$2, Percentiles!$A$45:$I$59, 7, FALSE), perc_95, VLOOKUP(F$2, Percentiles!$A$45:$I$59, 8, FALSE), perc_85, perc_75 + (perc_90 - perc_75) * (2/3), converted_stat, '2K_Ratings'!F865, IF(bbgm_stat &gt;= perc_95, converted_stat * 3, IF(bbgm_stat &gt;= perc_90, converted_stat * 2, IF(bbgm_stat &gt;= perc_85, converted_stat * 1.5, converted_stat)))))</f>
        <v/>
      </c>
      <c r="G865" s="30" t="str">
        <f t="array" ref="G865">IF($A865="", "", LET(bbgm_stat, INDEX(Players!$A864:$P864, MATCH(G$2, Players!$A$1:$P$1, 0)), perc_75, VLOOKUP(G$2, Percentiles!$A$45:$I$59, 6, FALSE), perc_90, VLOOKUP(G$2, Percentiles!$A$45:$I$59, 7, FALSE), perc_95, VLOOKUP(G$2, Percentiles!$A$45:$I$59, 8, FALSE), perc_85, perc_75 + (perc_90 - perc_75) * (2/3), converted_stat, '2K_Ratings'!G865, IF(bbgm_stat &gt;= perc_95, converted_stat * 3, IF(bbgm_stat &gt;= perc_90, converted_stat * 2, IF(bbgm_stat &gt;= perc_85, converted_stat * 1.5, converted_stat)))))</f>
        <v/>
      </c>
      <c r="H865" s="30" t="str">
        <f t="array" ref="H865">IF($A865="", "", LET(bbgm_stat, INDEX(Players!$A864:$P864, MATCH(H$2, Players!$A$1:$P$1, 0)), perc_75, VLOOKUP(H$2, Percentiles!$A$45:$I$59, 6, FALSE), perc_90, VLOOKUP(H$2, Percentiles!$A$45:$I$59, 7, FALSE), perc_95, VLOOKUP(H$2, Percentiles!$A$45:$I$59, 8, FALSE), perc_85, perc_75 + (perc_90 - perc_75) * (2/3), converted_stat, '2K_Ratings'!H865, IF(bbgm_stat &gt;= perc_95, converted_stat * 3, IF(bbgm_stat &gt;= perc_90, converted_stat * 2, IF(bbgm_stat &gt;= perc_85, converted_stat * 1.5, converted_stat)))))</f>
        <v/>
      </c>
      <c r="I865" s="30" t="str">
        <f t="array" ref="I865">IF($A865="", "", LET(bbgm_stat, INDEX(Players!$A864:$P864, MATCH(I$2, Players!$A$1:$P$1, 0)), perc_75, VLOOKUP(I$2, Percentiles!$A$45:$I$59, 6, FALSE), perc_90, VLOOKUP(I$2, Percentiles!$A$45:$I$59, 7, FALSE), perc_95, VLOOKUP(I$2, Percentiles!$A$45:$I$59, 8, FALSE), perc_85, perc_75 + (perc_90 - perc_75) * (2/3), converted_stat, '2K_Ratings'!I865, IF(bbgm_stat &gt;= perc_95, converted_stat * 3, IF(bbgm_stat &gt;= perc_90, converted_stat * 2, IF(bbgm_stat &gt;= perc_85, converted_stat * 1.5, converted_stat)))))</f>
        <v/>
      </c>
      <c r="J865" s="30" t="str">
        <f t="array" ref="J865">IF($A865="", "", LET(bbgm_stat, INDEX(Players!$A864:$P864, MATCH(J$2, Players!$A$1:$P$1, 0)), perc_75, VLOOKUP(J$2, Percentiles!$A$45:$I$59, 6, FALSE), perc_90, VLOOKUP(J$2, Percentiles!$A$45:$I$59, 7, FALSE), perc_95, VLOOKUP(J$2, Percentiles!$A$45:$I$59, 8, FALSE), perc_85, perc_75 + (perc_90 - perc_75) * (2/3), converted_stat, '2K_Ratings'!J865, IF(bbgm_stat &gt;= perc_95, converted_stat * 3, IF(bbgm_stat &gt;= perc_90, converted_stat * 2, IF(bbgm_stat &gt;= perc_85, converted_stat * 1.5, converted_stat)))))</f>
        <v/>
      </c>
      <c r="K865" s="30" t="str">
        <f t="array" ref="K865">IF($A865="", "", LET(bbgm_stat, INDEX(Players!$A864:$P864, MATCH(K$2, Players!$A$1:$P$1, 0)), perc_75, VLOOKUP(K$2, Percentiles!$A$45:$I$59, 6, FALSE), perc_90, VLOOKUP(K$2, Percentiles!$A$45:$I$59, 7, FALSE), perc_95, VLOOKUP(K$2, Percentiles!$A$45:$I$59, 8, FALSE), perc_85, perc_75 + (perc_90 - perc_75) * (2/3), converted_stat, '2K_Ratings'!K865, IF(bbgm_stat &gt;= perc_95, converted_stat * 3, IF(bbgm_stat &gt;= perc_90, converted_stat * 2, IF(bbgm_stat &gt;= perc_85, converted_stat * 1.5, converted_stat)))))</f>
        <v/>
      </c>
      <c r="L865" s="30" t="str">
        <f t="array" ref="L865">IF($A865="", "", LET(bbgm_stat, INDEX(Players!$A864:$P864, MATCH(L$2, Players!$A$1:$P$1, 0)), perc_75, VLOOKUP(L$2, Percentiles!$A$45:$I$59, 6, FALSE), perc_90, VLOOKUP(L$2, Percentiles!$A$45:$I$59, 7, FALSE), perc_95, VLOOKUP(L$2, Percentiles!$A$45:$I$59, 8, FALSE), perc_85, perc_75 + (perc_90 - perc_75) * (2/3), converted_stat, '2K_Ratings'!L865, IF(bbgm_stat &gt;= perc_95, converted_stat * 3, IF(bbgm_stat &gt;= perc_90, converted_stat * 2, IF(bbgm_stat &gt;= perc_85, converted_stat * 1.5, converted_stat)))))</f>
        <v/>
      </c>
      <c r="M865" s="30" t="str">
        <f t="array" ref="M865">IF($A865="", "", LET(bbgm_stat, INDEX(Players!$A864:$P864, MATCH(M$2, Players!$A$1:$P$1, 0)), perc_75, VLOOKUP(M$2, Percentiles!$A$45:$I$59, 6, FALSE), perc_90, VLOOKUP(M$2, Percentiles!$A$45:$I$59, 7, FALSE), perc_95, VLOOKUP(M$2, Percentiles!$A$45:$I$59, 8, FALSE), perc_85, perc_75 + (perc_90 - perc_75) * (2/3), converted_stat, '2K_Ratings'!M865, IF(bbgm_stat &gt;= perc_95, converted_stat * 3, IF(bbgm_stat &gt;= perc_90, converted_stat * 2, IF(bbgm_stat &gt;= perc_85, converted_stat * 1.5, converted_stat)))))</f>
        <v/>
      </c>
      <c r="N865" s="30" t="str">
        <f t="array" ref="N865">IF($A865="", "", LET(bbgm_stat, INDEX(Players!$A864:$P864, MATCH(N$2, Players!$A$1:$P$1, 0)), perc_75, VLOOKUP(N$2, Percentiles!$A$45:$I$59, 6, FALSE), perc_90, VLOOKUP(N$2, Percentiles!$A$45:$I$59, 7, FALSE), perc_95, VLOOKUP(N$2, Percentiles!$A$45:$I$59, 8, FALSE), perc_85, perc_75 + (perc_90 - perc_75) * (2/3), converted_stat, '2K_Ratings'!N865, IF(bbgm_stat &gt;= perc_95, converted_stat * 3, IF(bbgm_stat &gt;= perc_90, converted_stat * 2, IF(bbgm_stat &gt;= perc_85, converted_stat * 1.5, converted_stat)))))</f>
        <v/>
      </c>
      <c r="O865" s="30" t="str">
        <f t="array" ref="O865">IF($A865="", "", LET(bbgm_stat, INDEX(Players!$A864:$P864, MATCH(O$2, Players!$A$1:$P$1, 0)), perc_75, VLOOKUP(O$2, Percentiles!$A$45:$I$59, 6, FALSE), perc_90, VLOOKUP(O$2, Percentiles!$A$45:$I$59, 7, FALSE), perc_95, VLOOKUP(O$2, Percentiles!$A$45:$I$59, 8, FALSE), perc_85, perc_75 + (perc_90 - perc_75) * (2/3), converted_stat, '2K_Ratings'!O865, IF(bbgm_stat &gt;= perc_95, converted_stat * 3, IF(bbgm_stat &gt;= perc_90, converted_stat * 2, IF(bbgm_stat &gt;= perc_85, converted_stat * 1.5, converted_stat)))))</f>
        <v/>
      </c>
      <c r="P865" s="30" t="str">
        <f t="array" ref="P865">IF($A865="", "", LET(bbgm_stat, INDEX(Players!$A864:$P864, MATCH(P$2, Players!$A$1:$P$1, 0)), perc_75, VLOOKUP(P$2, Percentiles!$A$45:$I$59, 6, FALSE), perc_90, VLOOKUP(P$2, Percentiles!$A$45:$I$59, 7, FALSE), perc_95, VLOOKUP(P$2, Percentiles!$A$45:$I$59, 8, FALSE), perc_85, perc_75 + (perc_90 - perc_75) * (2/3), converted_stat, '2K_Ratings'!P865, IF(bbgm_stat &gt;= perc_95, converted_stat * 3, IF(bbgm_stat &gt;= perc_90, converted_stat * 2, IF(bbgm_stat &gt;= perc_85, converted_stat * 1.5, converted_stat)))))</f>
        <v/>
      </c>
      <c r="Q865" s="30" t="str">
        <f t="array" ref="Q865">IF($A865="", "", LET(bbgm_stat, INDEX(Players!$A864:$P864, MATCH(Q$2, Players!$A$1:$P$1, 0)), perc_75, VLOOKUP(Q$2, Percentiles!$A$45:$I$59, 6, FALSE), perc_90, VLOOKUP(Q$2, Percentiles!$A$45:$I$59, 7, FALSE), perc_95, VLOOKUP(Q$2, Percentiles!$A$45:$I$59, 8, FALSE), perc_85, perc_75 + (perc_90 - perc_75) * (2/3), converted_stat, '2K_Ratings'!Q865, IF(bbgm_stat &gt;= perc_95, converted_stat * 3, IF(bbgm_stat &gt;= perc_90, converted_stat * 2, IF(bbgm_stat &gt;= perc_85, converted_stat * 1.5, converted_stat)))))</f>
        <v/>
      </c>
      <c r="R865" s="30" t="str">
        <f t="array" ref="R865">IF($A865="", "", LET(bbgm_stat, INDEX(Players!$A864:$P864, MATCH(R$2, Players!$A$1:$P$1, 0)), perc_75, VLOOKUP(R$2, Percentiles!$A$45:$I$59, 6, FALSE), perc_90, VLOOKUP(R$2, Percentiles!$A$45:$I$59, 7, FALSE), perc_95, VLOOKUP(R$2, Percentiles!$A$45:$I$59, 8, FALSE), perc_85, perc_75 + (perc_90 - perc_75) * (2/3), converted_stat, '2K_Ratings'!R865, IF(bbgm_stat &gt;= perc_95, converted_stat * 3, IF(bbgm_stat &gt;= perc_90, converted_stat * 2, IF(bbgm_stat &gt;= perc_85, converted_stat * 1.5, converted_stat)))))</f>
        <v/>
      </c>
      <c r="S865" s="30" t="str">
        <f t="array" ref="S865">IF($A865="", "", LET(bbgm_stat, INDEX(Players!$A864:$P864, MATCH(S$2, Players!$A$1:$P$1, 0)), perc_75, VLOOKUP(S$2, Percentiles!$A$45:$I$59, 6, FALSE), perc_90, VLOOKUP(S$2, Percentiles!$A$45:$I$59, 7, FALSE), perc_95, VLOOKUP(S$2, Percentiles!$A$45:$I$59, 8, FALSE), perc_85, perc_75 + (perc_90 - perc_75) * (2/3), converted_stat, '2K_Ratings'!S865, IF(bbgm_stat &gt;= perc_95, converted_stat * 3, IF(bbgm_stat &gt;= perc_90, converted_stat * 2, IF(bbgm_stat &gt;= perc_85, converted_stat * 1.5, converted_stat)))))</f>
        <v/>
      </c>
      <c r="T865" s="30" t="str">
        <f t="array" ref="T865">IF($A865="", "", LET(bbgm_stat, INDEX(Players!$A864:$P864, MATCH(T$2, Players!$A$1:$P$1, 0)), perc_75, VLOOKUP(T$2, Percentiles!$A$45:$I$59, 6, FALSE), perc_90, VLOOKUP(T$2, Percentiles!$A$45:$I$59, 7, FALSE), perc_95, VLOOKUP(T$2, Percentiles!$A$45:$I$59, 8, FALSE), perc_85, perc_75 + (perc_90 - perc_75) * (2/3), converted_stat, '2K_Ratings'!T865, IF(bbgm_stat &gt;= perc_95, converted_stat * 3, IF(bbgm_stat &gt;= perc_90, converted_stat * 2, IF(bbgm_stat &gt;= perc_85, converted_stat * 1.5, converted_stat)))))</f>
        <v/>
      </c>
      <c r="U865" s="30" t="str">
        <f t="array" ref="U865">IF($A865="", "", LET(bbgm_stat, INDEX(Players!$A864:$P864, MATCH(U$2, Players!$A$1:$P$1, 0)), perc_75, VLOOKUP(U$2, Percentiles!$A$45:$I$59, 6, FALSE), perc_90, VLOOKUP(U$2, Percentiles!$A$45:$I$59, 7, FALSE), perc_95, VLOOKUP(U$2, Percentiles!$A$45:$I$59, 8, FALSE), perc_85, perc_75 + (perc_90 - perc_75) * (2/3), converted_stat, '2K_Ratings'!U865, IF(bbgm_stat &gt;= perc_95, converted_stat * 3, IF(bbgm_stat &gt;= perc_90, converted_stat * 2, IF(bbgm_stat &gt;= perc_85, converted_stat * 1.5, converted_stat)))))</f>
        <v/>
      </c>
      <c r="V865" s="30" t="str">
        <f t="array" ref="V865">IF($A865="", "", LET(bbgm_stat, INDEX(Players!$A864:$P864, MATCH(V$2, Players!$A$1:$P$1, 0)), perc_75, VLOOKUP(V$2, Percentiles!$A$45:$I$59, 6, FALSE), perc_90, VLOOKUP(V$2, Percentiles!$A$45:$I$59, 7, FALSE), perc_95, VLOOKUP(V$2, Percentiles!$A$45:$I$59, 8, FALSE), perc_85, perc_75 + (perc_90 - perc_75) * (2/3), converted_stat, '2K_Ratings'!V865, IF(bbgm_stat &gt;= perc_95, converted_stat * 3, IF(bbgm_stat &gt;= perc_90, converted_stat * 2, IF(bbgm_stat &gt;= perc_85, converted_stat * 1.5, converted_stat)))))</f>
        <v/>
      </c>
      <c r="W865" s="30" t="str">
        <f t="array" ref="W865">IF($A865="", "", LET(bbgm_stat, INDEX(Players!$A864:$P864, MATCH(W$2, Players!$A$1:$P$1, 0)), perc_75, VLOOKUP(W$2, Percentiles!$A$45:$I$59, 6, FALSE), perc_90, VLOOKUP(W$2, Percentiles!$A$45:$I$59, 7, FALSE), perc_95, VLOOKUP(W$2, Percentiles!$A$45:$I$59, 8, FALSE), perc_85, perc_75 + (perc_90 - perc_75) * (2/3), converted_stat, '2K_Ratings'!W865, IF(bbgm_stat &gt;= perc_95, converted_stat * 3, IF(bbgm_stat &gt;= perc_90, converted_stat * 2, IF(bbgm_stat &gt;= perc_85, converted_stat * 1.5, converted_stat)))))</f>
        <v/>
      </c>
    </row>
    <row r="866">
      <c r="A866" s="30"/>
      <c r="B866" s="30" t="str">
        <f t="array" ref="B866">IF($A866="", "", LET(bbgm_stat, INDEX(Players!$A865:$P865, MATCH(B$2, Players!$A$1:$P$1, 0)), perc_75, VLOOKUP(B$2, Percentiles!$A$45:$I$59, 6, FALSE), perc_90, VLOOKUP(B$2, Percentiles!$A$45:$I$59, 7, FALSE), perc_95, VLOOKUP(B$2, Percentiles!$A$45:$I$59, 8, FALSE), perc_85, perc_75 + (perc_90 - perc_75) * (2/3), converted_stat, '2K_Ratings'!B866, IF(bbgm_stat &gt;= perc_95, converted_stat * 3, IF(bbgm_stat &gt;= perc_90, converted_stat * 2, IF(bbgm_stat &gt;= perc_85, converted_stat * 1.5, converted_stat)))))</f>
        <v/>
      </c>
      <c r="C866" s="30" t="str">
        <f t="array" ref="C866">IF($A866="", "", LET(bbgm_stat, INDEX(Players!$A865:$P865, MATCH(C$2, Players!$A$1:$P$1, 0)), perc_75, VLOOKUP(C$2, Percentiles!$A$45:$I$59, 6, FALSE), perc_90, VLOOKUP(C$2, Percentiles!$A$45:$I$59, 7, FALSE), perc_95, VLOOKUP(C$2, Percentiles!$A$45:$I$59, 8, FALSE), perc_85, perc_75 + (perc_90 - perc_75) * (2/3), converted_stat, '2K_Ratings'!C866, IF(bbgm_stat &gt;= perc_95, converted_stat * 3, IF(bbgm_stat &gt;= perc_90, converted_stat * 2, IF(bbgm_stat &gt;= perc_85, converted_stat * 1.5, converted_stat)))))</f>
        <v/>
      </c>
      <c r="D866" s="30" t="str">
        <f t="array" ref="D866">IF($A866="", "", LET(bbgm_stat, INDEX(Players!$A865:$P865, MATCH(D$2, Players!$A$1:$P$1, 0)), perc_75, VLOOKUP(D$2, Percentiles!$A$45:$I$59, 6, FALSE), perc_90, VLOOKUP(D$2, Percentiles!$A$45:$I$59, 7, FALSE), perc_95, VLOOKUP(D$2, Percentiles!$A$45:$I$59, 8, FALSE), perc_85, perc_75 + (perc_90 - perc_75) * (2/3), converted_stat, '2K_Ratings'!D866, IF(bbgm_stat &gt;= perc_95, converted_stat * 3, IF(bbgm_stat &gt;= perc_90, converted_stat * 2, IF(bbgm_stat &gt;= perc_85, converted_stat * 1.5, converted_stat)))))</f>
        <v/>
      </c>
      <c r="E866" s="30" t="str">
        <f t="array" ref="E866">IF($A866="", "", LET(bbgm_stat, INDEX(Players!$A865:$P865, MATCH(E$2, Players!$A$1:$P$1, 0)), perc_75, VLOOKUP(E$2, Percentiles!$A$45:$I$59, 6, FALSE), perc_90, VLOOKUP(E$2, Percentiles!$A$45:$I$59, 7, FALSE), perc_95, VLOOKUP(E$2, Percentiles!$A$45:$I$59, 8, FALSE), perc_85, perc_75 + (perc_90 - perc_75) * (2/3), converted_stat, '2K_Ratings'!E866, IF(bbgm_stat &gt;= perc_95, converted_stat * 3, IF(bbgm_stat &gt;= perc_90, converted_stat * 2, IF(bbgm_stat &gt;= perc_85, converted_stat * 1.5, converted_stat)))))</f>
        <v/>
      </c>
      <c r="F866" s="30" t="str">
        <f t="array" ref="F866">IF($A866="", "", LET(bbgm_stat, INDEX(Players!$A865:$P865, MATCH(F$2, Players!$A$1:$P$1, 0)), perc_75, VLOOKUP(F$2, Percentiles!$A$45:$I$59, 6, FALSE), perc_90, VLOOKUP(F$2, Percentiles!$A$45:$I$59, 7, FALSE), perc_95, VLOOKUP(F$2, Percentiles!$A$45:$I$59, 8, FALSE), perc_85, perc_75 + (perc_90 - perc_75) * (2/3), converted_stat, '2K_Ratings'!F866, IF(bbgm_stat &gt;= perc_95, converted_stat * 3, IF(bbgm_stat &gt;= perc_90, converted_stat * 2, IF(bbgm_stat &gt;= perc_85, converted_stat * 1.5, converted_stat)))))</f>
        <v/>
      </c>
      <c r="G866" s="30" t="str">
        <f t="array" ref="G866">IF($A866="", "", LET(bbgm_stat, INDEX(Players!$A865:$P865, MATCH(G$2, Players!$A$1:$P$1, 0)), perc_75, VLOOKUP(G$2, Percentiles!$A$45:$I$59, 6, FALSE), perc_90, VLOOKUP(G$2, Percentiles!$A$45:$I$59, 7, FALSE), perc_95, VLOOKUP(G$2, Percentiles!$A$45:$I$59, 8, FALSE), perc_85, perc_75 + (perc_90 - perc_75) * (2/3), converted_stat, '2K_Ratings'!G866, IF(bbgm_stat &gt;= perc_95, converted_stat * 3, IF(bbgm_stat &gt;= perc_90, converted_stat * 2, IF(bbgm_stat &gt;= perc_85, converted_stat * 1.5, converted_stat)))))</f>
        <v/>
      </c>
      <c r="H866" s="30" t="str">
        <f t="array" ref="H866">IF($A866="", "", LET(bbgm_stat, INDEX(Players!$A865:$P865, MATCH(H$2, Players!$A$1:$P$1, 0)), perc_75, VLOOKUP(H$2, Percentiles!$A$45:$I$59, 6, FALSE), perc_90, VLOOKUP(H$2, Percentiles!$A$45:$I$59, 7, FALSE), perc_95, VLOOKUP(H$2, Percentiles!$A$45:$I$59, 8, FALSE), perc_85, perc_75 + (perc_90 - perc_75) * (2/3), converted_stat, '2K_Ratings'!H866, IF(bbgm_stat &gt;= perc_95, converted_stat * 3, IF(bbgm_stat &gt;= perc_90, converted_stat * 2, IF(bbgm_stat &gt;= perc_85, converted_stat * 1.5, converted_stat)))))</f>
        <v/>
      </c>
      <c r="I866" s="30" t="str">
        <f t="array" ref="I866">IF($A866="", "", LET(bbgm_stat, INDEX(Players!$A865:$P865, MATCH(I$2, Players!$A$1:$P$1, 0)), perc_75, VLOOKUP(I$2, Percentiles!$A$45:$I$59, 6, FALSE), perc_90, VLOOKUP(I$2, Percentiles!$A$45:$I$59, 7, FALSE), perc_95, VLOOKUP(I$2, Percentiles!$A$45:$I$59, 8, FALSE), perc_85, perc_75 + (perc_90 - perc_75) * (2/3), converted_stat, '2K_Ratings'!I866, IF(bbgm_stat &gt;= perc_95, converted_stat * 3, IF(bbgm_stat &gt;= perc_90, converted_stat * 2, IF(bbgm_stat &gt;= perc_85, converted_stat * 1.5, converted_stat)))))</f>
        <v/>
      </c>
      <c r="J866" s="30" t="str">
        <f t="array" ref="J866">IF($A866="", "", LET(bbgm_stat, INDEX(Players!$A865:$P865, MATCH(J$2, Players!$A$1:$P$1, 0)), perc_75, VLOOKUP(J$2, Percentiles!$A$45:$I$59, 6, FALSE), perc_90, VLOOKUP(J$2, Percentiles!$A$45:$I$59, 7, FALSE), perc_95, VLOOKUP(J$2, Percentiles!$A$45:$I$59, 8, FALSE), perc_85, perc_75 + (perc_90 - perc_75) * (2/3), converted_stat, '2K_Ratings'!J866, IF(bbgm_stat &gt;= perc_95, converted_stat * 3, IF(bbgm_stat &gt;= perc_90, converted_stat * 2, IF(bbgm_stat &gt;= perc_85, converted_stat * 1.5, converted_stat)))))</f>
        <v/>
      </c>
      <c r="K866" s="30" t="str">
        <f t="array" ref="K866">IF($A866="", "", LET(bbgm_stat, INDEX(Players!$A865:$P865, MATCH(K$2, Players!$A$1:$P$1, 0)), perc_75, VLOOKUP(K$2, Percentiles!$A$45:$I$59, 6, FALSE), perc_90, VLOOKUP(K$2, Percentiles!$A$45:$I$59, 7, FALSE), perc_95, VLOOKUP(K$2, Percentiles!$A$45:$I$59, 8, FALSE), perc_85, perc_75 + (perc_90 - perc_75) * (2/3), converted_stat, '2K_Ratings'!K866, IF(bbgm_stat &gt;= perc_95, converted_stat * 3, IF(bbgm_stat &gt;= perc_90, converted_stat * 2, IF(bbgm_stat &gt;= perc_85, converted_stat * 1.5, converted_stat)))))</f>
        <v/>
      </c>
      <c r="L866" s="30" t="str">
        <f t="array" ref="L866">IF($A866="", "", LET(bbgm_stat, INDEX(Players!$A865:$P865, MATCH(L$2, Players!$A$1:$P$1, 0)), perc_75, VLOOKUP(L$2, Percentiles!$A$45:$I$59, 6, FALSE), perc_90, VLOOKUP(L$2, Percentiles!$A$45:$I$59, 7, FALSE), perc_95, VLOOKUP(L$2, Percentiles!$A$45:$I$59, 8, FALSE), perc_85, perc_75 + (perc_90 - perc_75) * (2/3), converted_stat, '2K_Ratings'!L866, IF(bbgm_stat &gt;= perc_95, converted_stat * 3, IF(bbgm_stat &gt;= perc_90, converted_stat * 2, IF(bbgm_stat &gt;= perc_85, converted_stat * 1.5, converted_stat)))))</f>
        <v/>
      </c>
      <c r="M866" s="30" t="str">
        <f t="array" ref="M866">IF($A866="", "", LET(bbgm_stat, INDEX(Players!$A865:$P865, MATCH(M$2, Players!$A$1:$P$1, 0)), perc_75, VLOOKUP(M$2, Percentiles!$A$45:$I$59, 6, FALSE), perc_90, VLOOKUP(M$2, Percentiles!$A$45:$I$59, 7, FALSE), perc_95, VLOOKUP(M$2, Percentiles!$A$45:$I$59, 8, FALSE), perc_85, perc_75 + (perc_90 - perc_75) * (2/3), converted_stat, '2K_Ratings'!M866, IF(bbgm_stat &gt;= perc_95, converted_stat * 3, IF(bbgm_stat &gt;= perc_90, converted_stat * 2, IF(bbgm_stat &gt;= perc_85, converted_stat * 1.5, converted_stat)))))</f>
        <v/>
      </c>
      <c r="N866" s="30" t="str">
        <f t="array" ref="N866">IF($A866="", "", LET(bbgm_stat, INDEX(Players!$A865:$P865, MATCH(N$2, Players!$A$1:$P$1, 0)), perc_75, VLOOKUP(N$2, Percentiles!$A$45:$I$59, 6, FALSE), perc_90, VLOOKUP(N$2, Percentiles!$A$45:$I$59, 7, FALSE), perc_95, VLOOKUP(N$2, Percentiles!$A$45:$I$59, 8, FALSE), perc_85, perc_75 + (perc_90 - perc_75) * (2/3), converted_stat, '2K_Ratings'!N866, IF(bbgm_stat &gt;= perc_95, converted_stat * 3, IF(bbgm_stat &gt;= perc_90, converted_stat * 2, IF(bbgm_stat &gt;= perc_85, converted_stat * 1.5, converted_stat)))))</f>
        <v/>
      </c>
      <c r="O866" s="30" t="str">
        <f t="array" ref="O866">IF($A866="", "", LET(bbgm_stat, INDEX(Players!$A865:$P865, MATCH(O$2, Players!$A$1:$P$1, 0)), perc_75, VLOOKUP(O$2, Percentiles!$A$45:$I$59, 6, FALSE), perc_90, VLOOKUP(O$2, Percentiles!$A$45:$I$59, 7, FALSE), perc_95, VLOOKUP(O$2, Percentiles!$A$45:$I$59, 8, FALSE), perc_85, perc_75 + (perc_90 - perc_75) * (2/3), converted_stat, '2K_Ratings'!O866, IF(bbgm_stat &gt;= perc_95, converted_stat * 3, IF(bbgm_stat &gt;= perc_90, converted_stat * 2, IF(bbgm_stat &gt;= perc_85, converted_stat * 1.5, converted_stat)))))</f>
        <v/>
      </c>
      <c r="P866" s="30" t="str">
        <f t="array" ref="P866">IF($A866="", "", LET(bbgm_stat, INDEX(Players!$A865:$P865, MATCH(P$2, Players!$A$1:$P$1, 0)), perc_75, VLOOKUP(P$2, Percentiles!$A$45:$I$59, 6, FALSE), perc_90, VLOOKUP(P$2, Percentiles!$A$45:$I$59, 7, FALSE), perc_95, VLOOKUP(P$2, Percentiles!$A$45:$I$59, 8, FALSE), perc_85, perc_75 + (perc_90 - perc_75) * (2/3), converted_stat, '2K_Ratings'!P866, IF(bbgm_stat &gt;= perc_95, converted_stat * 3, IF(bbgm_stat &gt;= perc_90, converted_stat * 2, IF(bbgm_stat &gt;= perc_85, converted_stat * 1.5, converted_stat)))))</f>
        <v/>
      </c>
      <c r="Q866" s="30" t="str">
        <f t="array" ref="Q866">IF($A866="", "", LET(bbgm_stat, INDEX(Players!$A865:$P865, MATCH(Q$2, Players!$A$1:$P$1, 0)), perc_75, VLOOKUP(Q$2, Percentiles!$A$45:$I$59, 6, FALSE), perc_90, VLOOKUP(Q$2, Percentiles!$A$45:$I$59, 7, FALSE), perc_95, VLOOKUP(Q$2, Percentiles!$A$45:$I$59, 8, FALSE), perc_85, perc_75 + (perc_90 - perc_75) * (2/3), converted_stat, '2K_Ratings'!Q866, IF(bbgm_stat &gt;= perc_95, converted_stat * 3, IF(bbgm_stat &gt;= perc_90, converted_stat * 2, IF(bbgm_stat &gt;= perc_85, converted_stat * 1.5, converted_stat)))))</f>
        <v/>
      </c>
      <c r="R866" s="30" t="str">
        <f t="array" ref="R866">IF($A866="", "", LET(bbgm_stat, INDEX(Players!$A865:$P865, MATCH(R$2, Players!$A$1:$P$1, 0)), perc_75, VLOOKUP(R$2, Percentiles!$A$45:$I$59, 6, FALSE), perc_90, VLOOKUP(R$2, Percentiles!$A$45:$I$59, 7, FALSE), perc_95, VLOOKUP(R$2, Percentiles!$A$45:$I$59, 8, FALSE), perc_85, perc_75 + (perc_90 - perc_75) * (2/3), converted_stat, '2K_Ratings'!R866, IF(bbgm_stat &gt;= perc_95, converted_stat * 3, IF(bbgm_stat &gt;= perc_90, converted_stat * 2, IF(bbgm_stat &gt;= perc_85, converted_stat * 1.5, converted_stat)))))</f>
        <v/>
      </c>
      <c r="S866" s="30" t="str">
        <f t="array" ref="S866">IF($A866="", "", LET(bbgm_stat, INDEX(Players!$A865:$P865, MATCH(S$2, Players!$A$1:$P$1, 0)), perc_75, VLOOKUP(S$2, Percentiles!$A$45:$I$59, 6, FALSE), perc_90, VLOOKUP(S$2, Percentiles!$A$45:$I$59, 7, FALSE), perc_95, VLOOKUP(S$2, Percentiles!$A$45:$I$59, 8, FALSE), perc_85, perc_75 + (perc_90 - perc_75) * (2/3), converted_stat, '2K_Ratings'!S866, IF(bbgm_stat &gt;= perc_95, converted_stat * 3, IF(bbgm_stat &gt;= perc_90, converted_stat * 2, IF(bbgm_stat &gt;= perc_85, converted_stat * 1.5, converted_stat)))))</f>
        <v/>
      </c>
      <c r="T866" s="30" t="str">
        <f t="array" ref="T866">IF($A866="", "", LET(bbgm_stat, INDEX(Players!$A865:$P865, MATCH(T$2, Players!$A$1:$P$1, 0)), perc_75, VLOOKUP(T$2, Percentiles!$A$45:$I$59, 6, FALSE), perc_90, VLOOKUP(T$2, Percentiles!$A$45:$I$59, 7, FALSE), perc_95, VLOOKUP(T$2, Percentiles!$A$45:$I$59, 8, FALSE), perc_85, perc_75 + (perc_90 - perc_75) * (2/3), converted_stat, '2K_Ratings'!T866, IF(bbgm_stat &gt;= perc_95, converted_stat * 3, IF(bbgm_stat &gt;= perc_90, converted_stat * 2, IF(bbgm_stat &gt;= perc_85, converted_stat * 1.5, converted_stat)))))</f>
        <v/>
      </c>
      <c r="U866" s="30" t="str">
        <f t="array" ref="U866">IF($A866="", "", LET(bbgm_stat, INDEX(Players!$A865:$P865, MATCH(U$2, Players!$A$1:$P$1, 0)), perc_75, VLOOKUP(U$2, Percentiles!$A$45:$I$59, 6, FALSE), perc_90, VLOOKUP(U$2, Percentiles!$A$45:$I$59, 7, FALSE), perc_95, VLOOKUP(U$2, Percentiles!$A$45:$I$59, 8, FALSE), perc_85, perc_75 + (perc_90 - perc_75) * (2/3), converted_stat, '2K_Ratings'!U866, IF(bbgm_stat &gt;= perc_95, converted_stat * 3, IF(bbgm_stat &gt;= perc_90, converted_stat * 2, IF(bbgm_stat &gt;= perc_85, converted_stat * 1.5, converted_stat)))))</f>
        <v/>
      </c>
      <c r="V866" s="30" t="str">
        <f t="array" ref="V866">IF($A866="", "", LET(bbgm_stat, INDEX(Players!$A865:$P865, MATCH(V$2, Players!$A$1:$P$1, 0)), perc_75, VLOOKUP(V$2, Percentiles!$A$45:$I$59, 6, FALSE), perc_90, VLOOKUP(V$2, Percentiles!$A$45:$I$59, 7, FALSE), perc_95, VLOOKUP(V$2, Percentiles!$A$45:$I$59, 8, FALSE), perc_85, perc_75 + (perc_90 - perc_75) * (2/3), converted_stat, '2K_Ratings'!V866, IF(bbgm_stat &gt;= perc_95, converted_stat * 3, IF(bbgm_stat &gt;= perc_90, converted_stat * 2, IF(bbgm_stat &gt;= perc_85, converted_stat * 1.5, converted_stat)))))</f>
        <v/>
      </c>
      <c r="W866" s="30" t="str">
        <f t="array" ref="W866">IF($A866="", "", LET(bbgm_stat, INDEX(Players!$A865:$P865, MATCH(W$2, Players!$A$1:$P$1, 0)), perc_75, VLOOKUP(W$2, Percentiles!$A$45:$I$59, 6, FALSE), perc_90, VLOOKUP(W$2, Percentiles!$A$45:$I$59, 7, FALSE), perc_95, VLOOKUP(W$2, Percentiles!$A$45:$I$59, 8, FALSE), perc_85, perc_75 + (perc_90 - perc_75) * (2/3), converted_stat, '2K_Ratings'!W866, IF(bbgm_stat &gt;= perc_95, converted_stat * 3, IF(bbgm_stat &gt;= perc_90, converted_stat * 2, IF(bbgm_stat &gt;= perc_85, converted_stat * 1.5, converted_stat)))))</f>
        <v/>
      </c>
    </row>
    <row r="867">
      <c r="A867" s="30"/>
      <c r="B867" s="30" t="str">
        <f t="array" ref="B867">IF($A867="", "", LET(bbgm_stat, INDEX(Players!$A866:$P866, MATCH(B$2, Players!$A$1:$P$1, 0)), perc_75, VLOOKUP(B$2, Percentiles!$A$45:$I$59, 6, FALSE), perc_90, VLOOKUP(B$2, Percentiles!$A$45:$I$59, 7, FALSE), perc_95, VLOOKUP(B$2, Percentiles!$A$45:$I$59, 8, FALSE), perc_85, perc_75 + (perc_90 - perc_75) * (2/3), converted_stat, '2K_Ratings'!B867, IF(bbgm_stat &gt;= perc_95, converted_stat * 3, IF(bbgm_stat &gt;= perc_90, converted_stat * 2, IF(bbgm_stat &gt;= perc_85, converted_stat * 1.5, converted_stat)))))</f>
        <v/>
      </c>
      <c r="C867" s="30" t="str">
        <f t="array" ref="C867">IF($A867="", "", LET(bbgm_stat, INDEX(Players!$A866:$P866, MATCH(C$2, Players!$A$1:$P$1, 0)), perc_75, VLOOKUP(C$2, Percentiles!$A$45:$I$59, 6, FALSE), perc_90, VLOOKUP(C$2, Percentiles!$A$45:$I$59, 7, FALSE), perc_95, VLOOKUP(C$2, Percentiles!$A$45:$I$59, 8, FALSE), perc_85, perc_75 + (perc_90 - perc_75) * (2/3), converted_stat, '2K_Ratings'!C867, IF(bbgm_stat &gt;= perc_95, converted_stat * 3, IF(bbgm_stat &gt;= perc_90, converted_stat * 2, IF(bbgm_stat &gt;= perc_85, converted_stat * 1.5, converted_stat)))))</f>
        <v/>
      </c>
      <c r="D867" s="30" t="str">
        <f t="array" ref="D867">IF($A867="", "", LET(bbgm_stat, INDEX(Players!$A866:$P866, MATCH(D$2, Players!$A$1:$P$1, 0)), perc_75, VLOOKUP(D$2, Percentiles!$A$45:$I$59, 6, FALSE), perc_90, VLOOKUP(D$2, Percentiles!$A$45:$I$59, 7, FALSE), perc_95, VLOOKUP(D$2, Percentiles!$A$45:$I$59, 8, FALSE), perc_85, perc_75 + (perc_90 - perc_75) * (2/3), converted_stat, '2K_Ratings'!D867, IF(bbgm_stat &gt;= perc_95, converted_stat * 3, IF(bbgm_stat &gt;= perc_90, converted_stat * 2, IF(bbgm_stat &gt;= perc_85, converted_stat * 1.5, converted_stat)))))</f>
        <v/>
      </c>
      <c r="E867" s="30" t="str">
        <f t="array" ref="E867">IF($A867="", "", LET(bbgm_stat, INDEX(Players!$A866:$P866, MATCH(E$2, Players!$A$1:$P$1, 0)), perc_75, VLOOKUP(E$2, Percentiles!$A$45:$I$59, 6, FALSE), perc_90, VLOOKUP(E$2, Percentiles!$A$45:$I$59, 7, FALSE), perc_95, VLOOKUP(E$2, Percentiles!$A$45:$I$59, 8, FALSE), perc_85, perc_75 + (perc_90 - perc_75) * (2/3), converted_stat, '2K_Ratings'!E867, IF(bbgm_stat &gt;= perc_95, converted_stat * 3, IF(bbgm_stat &gt;= perc_90, converted_stat * 2, IF(bbgm_stat &gt;= perc_85, converted_stat * 1.5, converted_stat)))))</f>
        <v/>
      </c>
      <c r="F867" s="30" t="str">
        <f t="array" ref="F867">IF($A867="", "", LET(bbgm_stat, INDEX(Players!$A866:$P866, MATCH(F$2, Players!$A$1:$P$1, 0)), perc_75, VLOOKUP(F$2, Percentiles!$A$45:$I$59, 6, FALSE), perc_90, VLOOKUP(F$2, Percentiles!$A$45:$I$59, 7, FALSE), perc_95, VLOOKUP(F$2, Percentiles!$A$45:$I$59, 8, FALSE), perc_85, perc_75 + (perc_90 - perc_75) * (2/3), converted_stat, '2K_Ratings'!F867, IF(bbgm_stat &gt;= perc_95, converted_stat * 3, IF(bbgm_stat &gt;= perc_90, converted_stat * 2, IF(bbgm_stat &gt;= perc_85, converted_stat * 1.5, converted_stat)))))</f>
        <v/>
      </c>
      <c r="G867" s="30" t="str">
        <f t="array" ref="G867">IF($A867="", "", LET(bbgm_stat, INDEX(Players!$A866:$P866, MATCH(G$2, Players!$A$1:$P$1, 0)), perc_75, VLOOKUP(G$2, Percentiles!$A$45:$I$59, 6, FALSE), perc_90, VLOOKUP(G$2, Percentiles!$A$45:$I$59, 7, FALSE), perc_95, VLOOKUP(G$2, Percentiles!$A$45:$I$59, 8, FALSE), perc_85, perc_75 + (perc_90 - perc_75) * (2/3), converted_stat, '2K_Ratings'!G867, IF(bbgm_stat &gt;= perc_95, converted_stat * 3, IF(bbgm_stat &gt;= perc_90, converted_stat * 2, IF(bbgm_stat &gt;= perc_85, converted_stat * 1.5, converted_stat)))))</f>
        <v/>
      </c>
      <c r="H867" s="30" t="str">
        <f t="array" ref="H867">IF($A867="", "", LET(bbgm_stat, INDEX(Players!$A866:$P866, MATCH(H$2, Players!$A$1:$P$1, 0)), perc_75, VLOOKUP(H$2, Percentiles!$A$45:$I$59, 6, FALSE), perc_90, VLOOKUP(H$2, Percentiles!$A$45:$I$59, 7, FALSE), perc_95, VLOOKUP(H$2, Percentiles!$A$45:$I$59, 8, FALSE), perc_85, perc_75 + (perc_90 - perc_75) * (2/3), converted_stat, '2K_Ratings'!H867, IF(bbgm_stat &gt;= perc_95, converted_stat * 3, IF(bbgm_stat &gt;= perc_90, converted_stat * 2, IF(bbgm_stat &gt;= perc_85, converted_stat * 1.5, converted_stat)))))</f>
        <v/>
      </c>
      <c r="I867" s="30" t="str">
        <f t="array" ref="I867">IF($A867="", "", LET(bbgm_stat, INDEX(Players!$A866:$P866, MATCH(I$2, Players!$A$1:$P$1, 0)), perc_75, VLOOKUP(I$2, Percentiles!$A$45:$I$59, 6, FALSE), perc_90, VLOOKUP(I$2, Percentiles!$A$45:$I$59, 7, FALSE), perc_95, VLOOKUP(I$2, Percentiles!$A$45:$I$59, 8, FALSE), perc_85, perc_75 + (perc_90 - perc_75) * (2/3), converted_stat, '2K_Ratings'!I867, IF(bbgm_stat &gt;= perc_95, converted_stat * 3, IF(bbgm_stat &gt;= perc_90, converted_stat * 2, IF(bbgm_stat &gt;= perc_85, converted_stat * 1.5, converted_stat)))))</f>
        <v/>
      </c>
      <c r="J867" s="30" t="str">
        <f t="array" ref="J867">IF($A867="", "", LET(bbgm_stat, INDEX(Players!$A866:$P866, MATCH(J$2, Players!$A$1:$P$1, 0)), perc_75, VLOOKUP(J$2, Percentiles!$A$45:$I$59, 6, FALSE), perc_90, VLOOKUP(J$2, Percentiles!$A$45:$I$59, 7, FALSE), perc_95, VLOOKUP(J$2, Percentiles!$A$45:$I$59, 8, FALSE), perc_85, perc_75 + (perc_90 - perc_75) * (2/3), converted_stat, '2K_Ratings'!J867, IF(bbgm_stat &gt;= perc_95, converted_stat * 3, IF(bbgm_stat &gt;= perc_90, converted_stat * 2, IF(bbgm_stat &gt;= perc_85, converted_stat * 1.5, converted_stat)))))</f>
        <v/>
      </c>
      <c r="K867" s="30" t="str">
        <f t="array" ref="K867">IF($A867="", "", LET(bbgm_stat, INDEX(Players!$A866:$P866, MATCH(K$2, Players!$A$1:$P$1, 0)), perc_75, VLOOKUP(K$2, Percentiles!$A$45:$I$59, 6, FALSE), perc_90, VLOOKUP(K$2, Percentiles!$A$45:$I$59, 7, FALSE), perc_95, VLOOKUP(K$2, Percentiles!$A$45:$I$59, 8, FALSE), perc_85, perc_75 + (perc_90 - perc_75) * (2/3), converted_stat, '2K_Ratings'!K867, IF(bbgm_stat &gt;= perc_95, converted_stat * 3, IF(bbgm_stat &gt;= perc_90, converted_stat * 2, IF(bbgm_stat &gt;= perc_85, converted_stat * 1.5, converted_stat)))))</f>
        <v/>
      </c>
      <c r="L867" s="30" t="str">
        <f t="array" ref="L867">IF($A867="", "", LET(bbgm_stat, INDEX(Players!$A866:$P866, MATCH(L$2, Players!$A$1:$P$1, 0)), perc_75, VLOOKUP(L$2, Percentiles!$A$45:$I$59, 6, FALSE), perc_90, VLOOKUP(L$2, Percentiles!$A$45:$I$59, 7, FALSE), perc_95, VLOOKUP(L$2, Percentiles!$A$45:$I$59, 8, FALSE), perc_85, perc_75 + (perc_90 - perc_75) * (2/3), converted_stat, '2K_Ratings'!L867, IF(bbgm_stat &gt;= perc_95, converted_stat * 3, IF(bbgm_stat &gt;= perc_90, converted_stat * 2, IF(bbgm_stat &gt;= perc_85, converted_stat * 1.5, converted_stat)))))</f>
        <v/>
      </c>
      <c r="M867" s="30" t="str">
        <f t="array" ref="M867">IF($A867="", "", LET(bbgm_stat, INDEX(Players!$A866:$P866, MATCH(M$2, Players!$A$1:$P$1, 0)), perc_75, VLOOKUP(M$2, Percentiles!$A$45:$I$59, 6, FALSE), perc_90, VLOOKUP(M$2, Percentiles!$A$45:$I$59, 7, FALSE), perc_95, VLOOKUP(M$2, Percentiles!$A$45:$I$59, 8, FALSE), perc_85, perc_75 + (perc_90 - perc_75) * (2/3), converted_stat, '2K_Ratings'!M867, IF(bbgm_stat &gt;= perc_95, converted_stat * 3, IF(bbgm_stat &gt;= perc_90, converted_stat * 2, IF(bbgm_stat &gt;= perc_85, converted_stat * 1.5, converted_stat)))))</f>
        <v/>
      </c>
      <c r="N867" s="30" t="str">
        <f t="array" ref="N867">IF($A867="", "", LET(bbgm_stat, INDEX(Players!$A866:$P866, MATCH(N$2, Players!$A$1:$P$1, 0)), perc_75, VLOOKUP(N$2, Percentiles!$A$45:$I$59, 6, FALSE), perc_90, VLOOKUP(N$2, Percentiles!$A$45:$I$59, 7, FALSE), perc_95, VLOOKUP(N$2, Percentiles!$A$45:$I$59, 8, FALSE), perc_85, perc_75 + (perc_90 - perc_75) * (2/3), converted_stat, '2K_Ratings'!N867, IF(bbgm_stat &gt;= perc_95, converted_stat * 3, IF(bbgm_stat &gt;= perc_90, converted_stat * 2, IF(bbgm_stat &gt;= perc_85, converted_stat * 1.5, converted_stat)))))</f>
        <v/>
      </c>
      <c r="O867" s="30" t="str">
        <f t="array" ref="O867">IF($A867="", "", LET(bbgm_stat, INDEX(Players!$A866:$P866, MATCH(O$2, Players!$A$1:$P$1, 0)), perc_75, VLOOKUP(O$2, Percentiles!$A$45:$I$59, 6, FALSE), perc_90, VLOOKUP(O$2, Percentiles!$A$45:$I$59, 7, FALSE), perc_95, VLOOKUP(O$2, Percentiles!$A$45:$I$59, 8, FALSE), perc_85, perc_75 + (perc_90 - perc_75) * (2/3), converted_stat, '2K_Ratings'!O867, IF(bbgm_stat &gt;= perc_95, converted_stat * 3, IF(bbgm_stat &gt;= perc_90, converted_stat * 2, IF(bbgm_stat &gt;= perc_85, converted_stat * 1.5, converted_stat)))))</f>
        <v/>
      </c>
      <c r="P867" s="30" t="str">
        <f t="array" ref="P867">IF($A867="", "", LET(bbgm_stat, INDEX(Players!$A866:$P866, MATCH(P$2, Players!$A$1:$P$1, 0)), perc_75, VLOOKUP(P$2, Percentiles!$A$45:$I$59, 6, FALSE), perc_90, VLOOKUP(P$2, Percentiles!$A$45:$I$59, 7, FALSE), perc_95, VLOOKUP(P$2, Percentiles!$A$45:$I$59, 8, FALSE), perc_85, perc_75 + (perc_90 - perc_75) * (2/3), converted_stat, '2K_Ratings'!P867, IF(bbgm_stat &gt;= perc_95, converted_stat * 3, IF(bbgm_stat &gt;= perc_90, converted_stat * 2, IF(bbgm_stat &gt;= perc_85, converted_stat * 1.5, converted_stat)))))</f>
        <v/>
      </c>
      <c r="Q867" s="30" t="str">
        <f t="array" ref="Q867">IF($A867="", "", LET(bbgm_stat, INDEX(Players!$A866:$P866, MATCH(Q$2, Players!$A$1:$P$1, 0)), perc_75, VLOOKUP(Q$2, Percentiles!$A$45:$I$59, 6, FALSE), perc_90, VLOOKUP(Q$2, Percentiles!$A$45:$I$59, 7, FALSE), perc_95, VLOOKUP(Q$2, Percentiles!$A$45:$I$59, 8, FALSE), perc_85, perc_75 + (perc_90 - perc_75) * (2/3), converted_stat, '2K_Ratings'!Q867, IF(bbgm_stat &gt;= perc_95, converted_stat * 3, IF(bbgm_stat &gt;= perc_90, converted_stat * 2, IF(bbgm_stat &gt;= perc_85, converted_stat * 1.5, converted_stat)))))</f>
        <v/>
      </c>
      <c r="R867" s="30" t="str">
        <f t="array" ref="R867">IF($A867="", "", LET(bbgm_stat, INDEX(Players!$A866:$P866, MATCH(R$2, Players!$A$1:$P$1, 0)), perc_75, VLOOKUP(R$2, Percentiles!$A$45:$I$59, 6, FALSE), perc_90, VLOOKUP(R$2, Percentiles!$A$45:$I$59, 7, FALSE), perc_95, VLOOKUP(R$2, Percentiles!$A$45:$I$59, 8, FALSE), perc_85, perc_75 + (perc_90 - perc_75) * (2/3), converted_stat, '2K_Ratings'!R867, IF(bbgm_stat &gt;= perc_95, converted_stat * 3, IF(bbgm_stat &gt;= perc_90, converted_stat * 2, IF(bbgm_stat &gt;= perc_85, converted_stat * 1.5, converted_stat)))))</f>
        <v/>
      </c>
      <c r="S867" s="30" t="str">
        <f t="array" ref="S867">IF($A867="", "", LET(bbgm_stat, INDEX(Players!$A866:$P866, MATCH(S$2, Players!$A$1:$P$1, 0)), perc_75, VLOOKUP(S$2, Percentiles!$A$45:$I$59, 6, FALSE), perc_90, VLOOKUP(S$2, Percentiles!$A$45:$I$59, 7, FALSE), perc_95, VLOOKUP(S$2, Percentiles!$A$45:$I$59, 8, FALSE), perc_85, perc_75 + (perc_90 - perc_75) * (2/3), converted_stat, '2K_Ratings'!S867, IF(bbgm_stat &gt;= perc_95, converted_stat * 3, IF(bbgm_stat &gt;= perc_90, converted_stat * 2, IF(bbgm_stat &gt;= perc_85, converted_stat * 1.5, converted_stat)))))</f>
        <v/>
      </c>
      <c r="T867" s="30" t="str">
        <f t="array" ref="T867">IF($A867="", "", LET(bbgm_stat, INDEX(Players!$A866:$P866, MATCH(T$2, Players!$A$1:$P$1, 0)), perc_75, VLOOKUP(T$2, Percentiles!$A$45:$I$59, 6, FALSE), perc_90, VLOOKUP(T$2, Percentiles!$A$45:$I$59, 7, FALSE), perc_95, VLOOKUP(T$2, Percentiles!$A$45:$I$59, 8, FALSE), perc_85, perc_75 + (perc_90 - perc_75) * (2/3), converted_stat, '2K_Ratings'!T867, IF(bbgm_stat &gt;= perc_95, converted_stat * 3, IF(bbgm_stat &gt;= perc_90, converted_stat * 2, IF(bbgm_stat &gt;= perc_85, converted_stat * 1.5, converted_stat)))))</f>
        <v/>
      </c>
      <c r="U867" s="30" t="str">
        <f t="array" ref="U867">IF($A867="", "", LET(bbgm_stat, INDEX(Players!$A866:$P866, MATCH(U$2, Players!$A$1:$P$1, 0)), perc_75, VLOOKUP(U$2, Percentiles!$A$45:$I$59, 6, FALSE), perc_90, VLOOKUP(U$2, Percentiles!$A$45:$I$59, 7, FALSE), perc_95, VLOOKUP(U$2, Percentiles!$A$45:$I$59, 8, FALSE), perc_85, perc_75 + (perc_90 - perc_75) * (2/3), converted_stat, '2K_Ratings'!U867, IF(bbgm_stat &gt;= perc_95, converted_stat * 3, IF(bbgm_stat &gt;= perc_90, converted_stat * 2, IF(bbgm_stat &gt;= perc_85, converted_stat * 1.5, converted_stat)))))</f>
        <v/>
      </c>
      <c r="V867" s="30" t="str">
        <f t="array" ref="V867">IF($A867="", "", LET(bbgm_stat, INDEX(Players!$A866:$P866, MATCH(V$2, Players!$A$1:$P$1, 0)), perc_75, VLOOKUP(V$2, Percentiles!$A$45:$I$59, 6, FALSE), perc_90, VLOOKUP(V$2, Percentiles!$A$45:$I$59, 7, FALSE), perc_95, VLOOKUP(V$2, Percentiles!$A$45:$I$59, 8, FALSE), perc_85, perc_75 + (perc_90 - perc_75) * (2/3), converted_stat, '2K_Ratings'!V867, IF(bbgm_stat &gt;= perc_95, converted_stat * 3, IF(bbgm_stat &gt;= perc_90, converted_stat * 2, IF(bbgm_stat &gt;= perc_85, converted_stat * 1.5, converted_stat)))))</f>
        <v/>
      </c>
      <c r="W867" s="30" t="str">
        <f t="array" ref="W867">IF($A867="", "", LET(bbgm_stat, INDEX(Players!$A866:$P866, MATCH(W$2, Players!$A$1:$P$1, 0)), perc_75, VLOOKUP(W$2, Percentiles!$A$45:$I$59, 6, FALSE), perc_90, VLOOKUP(W$2, Percentiles!$A$45:$I$59, 7, FALSE), perc_95, VLOOKUP(W$2, Percentiles!$A$45:$I$59, 8, FALSE), perc_85, perc_75 + (perc_90 - perc_75) * (2/3), converted_stat, '2K_Ratings'!W867, IF(bbgm_stat &gt;= perc_95, converted_stat * 3, IF(bbgm_stat &gt;= perc_90, converted_stat * 2, IF(bbgm_stat &gt;= perc_85, converted_stat * 1.5, converted_stat)))))</f>
        <v/>
      </c>
    </row>
    <row r="868">
      <c r="A868" s="30"/>
      <c r="B868" s="30" t="str">
        <f t="array" ref="B868">IF($A868="", "", LET(bbgm_stat, INDEX(Players!$A867:$P867, MATCH(B$2, Players!$A$1:$P$1, 0)), perc_75, VLOOKUP(B$2, Percentiles!$A$45:$I$59, 6, FALSE), perc_90, VLOOKUP(B$2, Percentiles!$A$45:$I$59, 7, FALSE), perc_95, VLOOKUP(B$2, Percentiles!$A$45:$I$59, 8, FALSE), perc_85, perc_75 + (perc_90 - perc_75) * (2/3), converted_stat, '2K_Ratings'!B868, IF(bbgm_stat &gt;= perc_95, converted_stat * 3, IF(bbgm_stat &gt;= perc_90, converted_stat * 2, IF(bbgm_stat &gt;= perc_85, converted_stat * 1.5, converted_stat)))))</f>
        <v/>
      </c>
      <c r="C868" s="30" t="str">
        <f t="array" ref="C868">IF($A868="", "", LET(bbgm_stat, INDEX(Players!$A867:$P867, MATCH(C$2, Players!$A$1:$P$1, 0)), perc_75, VLOOKUP(C$2, Percentiles!$A$45:$I$59, 6, FALSE), perc_90, VLOOKUP(C$2, Percentiles!$A$45:$I$59, 7, FALSE), perc_95, VLOOKUP(C$2, Percentiles!$A$45:$I$59, 8, FALSE), perc_85, perc_75 + (perc_90 - perc_75) * (2/3), converted_stat, '2K_Ratings'!C868, IF(bbgm_stat &gt;= perc_95, converted_stat * 3, IF(bbgm_stat &gt;= perc_90, converted_stat * 2, IF(bbgm_stat &gt;= perc_85, converted_stat * 1.5, converted_stat)))))</f>
        <v/>
      </c>
      <c r="D868" s="30" t="str">
        <f t="array" ref="D868">IF($A868="", "", LET(bbgm_stat, INDEX(Players!$A867:$P867, MATCH(D$2, Players!$A$1:$P$1, 0)), perc_75, VLOOKUP(D$2, Percentiles!$A$45:$I$59, 6, FALSE), perc_90, VLOOKUP(D$2, Percentiles!$A$45:$I$59, 7, FALSE), perc_95, VLOOKUP(D$2, Percentiles!$A$45:$I$59, 8, FALSE), perc_85, perc_75 + (perc_90 - perc_75) * (2/3), converted_stat, '2K_Ratings'!D868, IF(bbgm_stat &gt;= perc_95, converted_stat * 3, IF(bbgm_stat &gt;= perc_90, converted_stat * 2, IF(bbgm_stat &gt;= perc_85, converted_stat * 1.5, converted_stat)))))</f>
        <v/>
      </c>
      <c r="E868" s="30" t="str">
        <f t="array" ref="E868">IF($A868="", "", LET(bbgm_stat, INDEX(Players!$A867:$P867, MATCH(E$2, Players!$A$1:$P$1, 0)), perc_75, VLOOKUP(E$2, Percentiles!$A$45:$I$59, 6, FALSE), perc_90, VLOOKUP(E$2, Percentiles!$A$45:$I$59, 7, FALSE), perc_95, VLOOKUP(E$2, Percentiles!$A$45:$I$59, 8, FALSE), perc_85, perc_75 + (perc_90 - perc_75) * (2/3), converted_stat, '2K_Ratings'!E868, IF(bbgm_stat &gt;= perc_95, converted_stat * 3, IF(bbgm_stat &gt;= perc_90, converted_stat * 2, IF(bbgm_stat &gt;= perc_85, converted_stat * 1.5, converted_stat)))))</f>
        <v/>
      </c>
      <c r="F868" s="30" t="str">
        <f t="array" ref="F868">IF($A868="", "", LET(bbgm_stat, INDEX(Players!$A867:$P867, MATCH(F$2, Players!$A$1:$P$1, 0)), perc_75, VLOOKUP(F$2, Percentiles!$A$45:$I$59, 6, FALSE), perc_90, VLOOKUP(F$2, Percentiles!$A$45:$I$59, 7, FALSE), perc_95, VLOOKUP(F$2, Percentiles!$A$45:$I$59, 8, FALSE), perc_85, perc_75 + (perc_90 - perc_75) * (2/3), converted_stat, '2K_Ratings'!F868, IF(bbgm_stat &gt;= perc_95, converted_stat * 3, IF(bbgm_stat &gt;= perc_90, converted_stat * 2, IF(bbgm_stat &gt;= perc_85, converted_stat * 1.5, converted_stat)))))</f>
        <v/>
      </c>
      <c r="G868" s="30" t="str">
        <f t="array" ref="G868">IF($A868="", "", LET(bbgm_stat, INDEX(Players!$A867:$P867, MATCH(G$2, Players!$A$1:$P$1, 0)), perc_75, VLOOKUP(G$2, Percentiles!$A$45:$I$59, 6, FALSE), perc_90, VLOOKUP(G$2, Percentiles!$A$45:$I$59, 7, FALSE), perc_95, VLOOKUP(G$2, Percentiles!$A$45:$I$59, 8, FALSE), perc_85, perc_75 + (perc_90 - perc_75) * (2/3), converted_stat, '2K_Ratings'!G868, IF(bbgm_stat &gt;= perc_95, converted_stat * 3, IF(bbgm_stat &gt;= perc_90, converted_stat * 2, IF(bbgm_stat &gt;= perc_85, converted_stat * 1.5, converted_stat)))))</f>
        <v/>
      </c>
      <c r="H868" s="30" t="str">
        <f t="array" ref="H868">IF($A868="", "", LET(bbgm_stat, INDEX(Players!$A867:$P867, MATCH(H$2, Players!$A$1:$P$1, 0)), perc_75, VLOOKUP(H$2, Percentiles!$A$45:$I$59, 6, FALSE), perc_90, VLOOKUP(H$2, Percentiles!$A$45:$I$59, 7, FALSE), perc_95, VLOOKUP(H$2, Percentiles!$A$45:$I$59, 8, FALSE), perc_85, perc_75 + (perc_90 - perc_75) * (2/3), converted_stat, '2K_Ratings'!H868, IF(bbgm_stat &gt;= perc_95, converted_stat * 3, IF(bbgm_stat &gt;= perc_90, converted_stat * 2, IF(bbgm_stat &gt;= perc_85, converted_stat * 1.5, converted_stat)))))</f>
        <v/>
      </c>
      <c r="I868" s="30" t="str">
        <f t="array" ref="I868">IF($A868="", "", LET(bbgm_stat, INDEX(Players!$A867:$P867, MATCH(I$2, Players!$A$1:$P$1, 0)), perc_75, VLOOKUP(I$2, Percentiles!$A$45:$I$59, 6, FALSE), perc_90, VLOOKUP(I$2, Percentiles!$A$45:$I$59, 7, FALSE), perc_95, VLOOKUP(I$2, Percentiles!$A$45:$I$59, 8, FALSE), perc_85, perc_75 + (perc_90 - perc_75) * (2/3), converted_stat, '2K_Ratings'!I868, IF(bbgm_stat &gt;= perc_95, converted_stat * 3, IF(bbgm_stat &gt;= perc_90, converted_stat * 2, IF(bbgm_stat &gt;= perc_85, converted_stat * 1.5, converted_stat)))))</f>
        <v/>
      </c>
      <c r="J868" s="30" t="str">
        <f t="array" ref="J868">IF($A868="", "", LET(bbgm_stat, INDEX(Players!$A867:$P867, MATCH(J$2, Players!$A$1:$P$1, 0)), perc_75, VLOOKUP(J$2, Percentiles!$A$45:$I$59, 6, FALSE), perc_90, VLOOKUP(J$2, Percentiles!$A$45:$I$59, 7, FALSE), perc_95, VLOOKUP(J$2, Percentiles!$A$45:$I$59, 8, FALSE), perc_85, perc_75 + (perc_90 - perc_75) * (2/3), converted_stat, '2K_Ratings'!J868, IF(bbgm_stat &gt;= perc_95, converted_stat * 3, IF(bbgm_stat &gt;= perc_90, converted_stat * 2, IF(bbgm_stat &gt;= perc_85, converted_stat * 1.5, converted_stat)))))</f>
        <v/>
      </c>
      <c r="K868" s="30" t="str">
        <f t="array" ref="K868">IF($A868="", "", LET(bbgm_stat, INDEX(Players!$A867:$P867, MATCH(K$2, Players!$A$1:$P$1, 0)), perc_75, VLOOKUP(K$2, Percentiles!$A$45:$I$59, 6, FALSE), perc_90, VLOOKUP(K$2, Percentiles!$A$45:$I$59, 7, FALSE), perc_95, VLOOKUP(K$2, Percentiles!$A$45:$I$59, 8, FALSE), perc_85, perc_75 + (perc_90 - perc_75) * (2/3), converted_stat, '2K_Ratings'!K868, IF(bbgm_stat &gt;= perc_95, converted_stat * 3, IF(bbgm_stat &gt;= perc_90, converted_stat * 2, IF(bbgm_stat &gt;= perc_85, converted_stat * 1.5, converted_stat)))))</f>
        <v/>
      </c>
      <c r="L868" s="30" t="str">
        <f t="array" ref="L868">IF($A868="", "", LET(bbgm_stat, INDEX(Players!$A867:$P867, MATCH(L$2, Players!$A$1:$P$1, 0)), perc_75, VLOOKUP(L$2, Percentiles!$A$45:$I$59, 6, FALSE), perc_90, VLOOKUP(L$2, Percentiles!$A$45:$I$59, 7, FALSE), perc_95, VLOOKUP(L$2, Percentiles!$A$45:$I$59, 8, FALSE), perc_85, perc_75 + (perc_90 - perc_75) * (2/3), converted_stat, '2K_Ratings'!L868, IF(bbgm_stat &gt;= perc_95, converted_stat * 3, IF(bbgm_stat &gt;= perc_90, converted_stat * 2, IF(bbgm_stat &gt;= perc_85, converted_stat * 1.5, converted_stat)))))</f>
        <v/>
      </c>
      <c r="M868" s="30" t="str">
        <f t="array" ref="M868">IF($A868="", "", LET(bbgm_stat, INDEX(Players!$A867:$P867, MATCH(M$2, Players!$A$1:$P$1, 0)), perc_75, VLOOKUP(M$2, Percentiles!$A$45:$I$59, 6, FALSE), perc_90, VLOOKUP(M$2, Percentiles!$A$45:$I$59, 7, FALSE), perc_95, VLOOKUP(M$2, Percentiles!$A$45:$I$59, 8, FALSE), perc_85, perc_75 + (perc_90 - perc_75) * (2/3), converted_stat, '2K_Ratings'!M868, IF(bbgm_stat &gt;= perc_95, converted_stat * 3, IF(bbgm_stat &gt;= perc_90, converted_stat * 2, IF(bbgm_stat &gt;= perc_85, converted_stat * 1.5, converted_stat)))))</f>
        <v/>
      </c>
      <c r="N868" s="30" t="str">
        <f t="array" ref="N868">IF($A868="", "", LET(bbgm_stat, INDEX(Players!$A867:$P867, MATCH(N$2, Players!$A$1:$P$1, 0)), perc_75, VLOOKUP(N$2, Percentiles!$A$45:$I$59, 6, FALSE), perc_90, VLOOKUP(N$2, Percentiles!$A$45:$I$59, 7, FALSE), perc_95, VLOOKUP(N$2, Percentiles!$A$45:$I$59, 8, FALSE), perc_85, perc_75 + (perc_90 - perc_75) * (2/3), converted_stat, '2K_Ratings'!N868, IF(bbgm_stat &gt;= perc_95, converted_stat * 3, IF(bbgm_stat &gt;= perc_90, converted_stat * 2, IF(bbgm_stat &gt;= perc_85, converted_stat * 1.5, converted_stat)))))</f>
        <v/>
      </c>
      <c r="O868" s="30" t="str">
        <f t="array" ref="O868">IF($A868="", "", LET(bbgm_stat, INDEX(Players!$A867:$P867, MATCH(O$2, Players!$A$1:$P$1, 0)), perc_75, VLOOKUP(O$2, Percentiles!$A$45:$I$59, 6, FALSE), perc_90, VLOOKUP(O$2, Percentiles!$A$45:$I$59, 7, FALSE), perc_95, VLOOKUP(O$2, Percentiles!$A$45:$I$59, 8, FALSE), perc_85, perc_75 + (perc_90 - perc_75) * (2/3), converted_stat, '2K_Ratings'!O868, IF(bbgm_stat &gt;= perc_95, converted_stat * 3, IF(bbgm_stat &gt;= perc_90, converted_stat * 2, IF(bbgm_stat &gt;= perc_85, converted_stat * 1.5, converted_stat)))))</f>
        <v/>
      </c>
      <c r="P868" s="30" t="str">
        <f t="array" ref="P868">IF($A868="", "", LET(bbgm_stat, INDEX(Players!$A867:$P867, MATCH(P$2, Players!$A$1:$P$1, 0)), perc_75, VLOOKUP(P$2, Percentiles!$A$45:$I$59, 6, FALSE), perc_90, VLOOKUP(P$2, Percentiles!$A$45:$I$59, 7, FALSE), perc_95, VLOOKUP(P$2, Percentiles!$A$45:$I$59, 8, FALSE), perc_85, perc_75 + (perc_90 - perc_75) * (2/3), converted_stat, '2K_Ratings'!P868, IF(bbgm_stat &gt;= perc_95, converted_stat * 3, IF(bbgm_stat &gt;= perc_90, converted_stat * 2, IF(bbgm_stat &gt;= perc_85, converted_stat * 1.5, converted_stat)))))</f>
        <v/>
      </c>
      <c r="Q868" s="30" t="str">
        <f t="array" ref="Q868">IF($A868="", "", LET(bbgm_stat, INDEX(Players!$A867:$P867, MATCH(Q$2, Players!$A$1:$P$1, 0)), perc_75, VLOOKUP(Q$2, Percentiles!$A$45:$I$59, 6, FALSE), perc_90, VLOOKUP(Q$2, Percentiles!$A$45:$I$59, 7, FALSE), perc_95, VLOOKUP(Q$2, Percentiles!$A$45:$I$59, 8, FALSE), perc_85, perc_75 + (perc_90 - perc_75) * (2/3), converted_stat, '2K_Ratings'!Q868, IF(bbgm_stat &gt;= perc_95, converted_stat * 3, IF(bbgm_stat &gt;= perc_90, converted_stat * 2, IF(bbgm_stat &gt;= perc_85, converted_stat * 1.5, converted_stat)))))</f>
        <v/>
      </c>
      <c r="R868" s="30" t="str">
        <f t="array" ref="R868">IF($A868="", "", LET(bbgm_stat, INDEX(Players!$A867:$P867, MATCH(R$2, Players!$A$1:$P$1, 0)), perc_75, VLOOKUP(R$2, Percentiles!$A$45:$I$59, 6, FALSE), perc_90, VLOOKUP(R$2, Percentiles!$A$45:$I$59, 7, FALSE), perc_95, VLOOKUP(R$2, Percentiles!$A$45:$I$59, 8, FALSE), perc_85, perc_75 + (perc_90 - perc_75) * (2/3), converted_stat, '2K_Ratings'!R868, IF(bbgm_stat &gt;= perc_95, converted_stat * 3, IF(bbgm_stat &gt;= perc_90, converted_stat * 2, IF(bbgm_stat &gt;= perc_85, converted_stat * 1.5, converted_stat)))))</f>
        <v/>
      </c>
      <c r="S868" s="30" t="str">
        <f t="array" ref="S868">IF($A868="", "", LET(bbgm_stat, INDEX(Players!$A867:$P867, MATCH(S$2, Players!$A$1:$P$1, 0)), perc_75, VLOOKUP(S$2, Percentiles!$A$45:$I$59, 6, FALSE), perc_90, VLOOKUP(S$2, Percentiles!$A$45:$I$59, 7, FALSE), perc_95, VLOOKUP(S$2, Percentiles!$A$45:$I$59, 8, FALSE), perc_85, perc_75 + (perc_90 - perc_75) * (2/3), converted_stat, '2K_Ratings'!S868, IF(bbgm_stat &gt;= perc_95, converted_stat * 3, IF(bbgm_stat &gt;= perc_90, converted_stat * 2, IF(bbgm_stat &gt;= perc_85, converted_stat * 1.5, converted_stat)))))</f>
        <v/>
      </c>
      <c r="T868" s="30" t="str">
        <f t="array" ref="T868">IF($A868="", "", LET(bbgm_stat, INDEX(Players!$A867:$P867, MATCH(T$2, Players!$A$1:$P$1, 0)), perc_75, VLOOKUP(T$2, Percentiles!$A$45:$I$59, 6, FALSE), perc_90, VLOOKUP(T$2, Percentiles!$A$45:$I$59, 7, FALSE), perc_95, VLOOKUP(T$2, Percentiles!$A$45:$I$59, 8, FALSE), perc_85, perc_75 + (perc_90 - perc_75) * (2/3), converted_stat, '2K_Ratings'!T868, IF(bbgm_stat &gt;= perc_95, converted_stat * 3, IF(bbgm_stat &gt;= perc_90, converted_stat * 2, IF(bbgm_stat &gt;= perc_85, converted_stat * 1.5, converted_stat)))))</f>
        <v/>
      </c>
      <c r="U868" s="30" t="str">
        <f t="array" ref="U868">IF($A868="", "", LET(bbgm_stat, INDEX(Players!$A867:$P867, MATCH(U$2, Players!$A$1:$P$1, 0)), perc_75, VLOOKUP(U$2, Percentiles!$A$45:$I$59, 6, FALSE), perc_90, VLOOKUP(U$2, Percentiles!$A$45:$I$59, 7, FALSE), perc_95, VLOOKUP(U$2, Percentiles!$A$45:$I$59, 8, FALSE), perc_85, perc_75 + (perc_90 - perc_75) * (2/3), converted_stat, '2K_Ratings'!U868, IF(bbgm_stat &gt;= perc_95, converted_stat * 3, IF(bbgm_stat &gt;= perc_90, converted_stat * 2, IF(bbgm_stat &gt;= perc_85, converted_stat * 1.5, converted_stat)))))</f>
        <v/>
      </c>
      <c r="V868" s="30" t="str">
        <f t="array" ref="V868">IF($A868="", "", LET(bbgm_stat, INDEX(Players!$A867:$P867, MATCH(V$2, Players!$A$1:$P$1, 0)), perc_75, VLOOKUP(V$2, Percentiles!$A$45:$I$59, 6, FALSE), perc_90, VLOOKUP(V$2, Percentiles!$A$45:$I$59, 7, FALSE), perc_95, VLOOKUP(V$2, Percentiles!$A$45:$I$59, 8, FALSE), perc_85, perc_75 + (perc_90 - perc_75) * (2/3), converted_stat, '2K_Ratings'!V868, IF(bbgm_stat &gt;= perc_95, converted_stat * 3, IF(bbgm_stat &gt;= perc_90, converted_stat * 2, IF(bbgm_stat &gt;= perc_85, converted_stat * 1.5, converted_stat)))))</f>
        <v/>
      </c>
      <c r="W868" s="30" t="str">
        <f t="array" ref="W868">IF($A868="", "", LET(bbgm_stat, INDEX(Players!$A867:$P867, MATCH(W$2, Players!$A$1:$P$1, 0)), perc_75, VLOOKUP(W$2, Percentiles!$A$45:$I$59, 6, FALSE), perc_90, VLOOKUP(W$2, Percentiles!$A$45:$I$59, 7, FALSE), perc_95, VLOOKUP(W$2, Percentiles!$A$45:$I$59, 8, FALSE), perc_85, perc_75 + (perc_90 - perc_75) * (2/3), converted_stat, '2K_Ratings'!W868, IF(bbgm_stat &gt;= perc_95, converted_stat * 3, IF(bbgm_stat &gt;= perc_90, converted_stat * 2, IF(bbgm_stat &gt;= perc_85, converted_stat * 1.5, converted_stat)))))</f>
        <v/>
      </c>
    </row>
    <row r="869">
      <c r="A869" s="30"/>
      <c r="B869" s="30" t="str">
        <f t="array" ref="B869">IF($A869="", "", LET(bbgm_stat, INDEX(Players!$A868:$P868, MATCH(B$2, Players!$A$1:$P$1, 0)), perc_75, VLOOKUP(B$2, Percentiles!$A$45:$I$59, 6, FALSE), perc_90, VLOOKUP(B$2, Percentiles!$A$45:$I$59, 7, FALSE), perc_95, VLOOKUP(B$2, Percentiles!$A$45:$I$59, 8, FALSE), perc_85, perc_75 + (perc_90 - perc_75) * (2/3), converted_stat, '2K_Ratings'!B869, IF(bbgm_stat &gt;= perc_95, converted_stat * 3, IF(bbgm_stat &gt;= perc_90, converted_stat * 2, IF(bbgm_stat &gt;= perc_85, converted_stat * 1.5, converted_stat)))))</f>
        <v/>
      </c>
      <c r="C869" s="30" t="str">
        <f t="array" ref="C869">IF($A869="", "", LET(bbgm_stat, INDEX(Players!$A868:$P868, MATCH(C$2, Players!$A$1:$P$1, 0)), perc_75, VLOOKUP(C$2, Percentiles!$A$45:$I$59, 6, FALSE), perc_90, VLOOKUP(C$2, Percentiles!$A$45:$I$59, 7, FALSE), perc_95, VLOOKUP(C$2, Percentiles!$A$45:$I$59, 8, FALSE), perc_85, perc_75 + (perc_90 - perc_75) * (2/3), converted_stat, '2K_Ratings'!C869, IF(bbgm_stat &gt;= perc_95, converted_stat * 3, IF(bbgm_stat &gt;= perc_90, converted_stat * 2, IF(bbgm_stat &gt;= perc_85, converted_stat * 1.5, converted_stat)))))</f>
        <v/>
      </c>
      <c r="D869" s="30" t="str">
        <f t="array" ref="D869">IF($A869="", "", LET(bbgm_stat, INDEX(Players!$A868:$P868, MATCH(D$2, Players!$A$1:$P$1, 0)), perc_75, VLOOKUP(D$2, Percentiles!$A$45:$I$59, 6, FALSE), perc_90, VLOOKUP(D$2, Percentiles!$A$45:$I$59, 7, FALSE), perc_95, VLOOKUP(D$2, Percentiles!$A$45:$I$59, 8, FALSE), perc_85, perc_75 + (perc_90 - perc_75) * (2/3), converted_stat, '2K_Ratings'!D869, IF(bbgm_stat &gt;= perc_95, converted_stat * 3, IF(bbgm_stat &gt;= perc_90, converted_stat * 2, IF(bbgm_stat &gt;= perc_85, converted_stat * 1.5, converted_stat)))))</f>
        <v/>
      </c>
      <c r="E869" s="30" t="str">
        <f t="array" ref="E869">IF($A869="", "", LET(bbgm_stat, INDEX(Players!$A868:$P868, MATCH(E$2, Players!$A$1:$P$1, 0)), perc_75, VLOOKUP(E$2, Percentiles!$A$45:$I$59, 6, FALSE), perc_90, VLOOKUP(E$2, Percentiles!$A$45:$I$59, 7, FALSE), perc_95, VLOOKUP(E$2, Percentiles!$A$45:$I$59, 8, FALSE), perc_85, perc_75 + (perc_90 - perc_75) * (2/3), converted_stat, '2K_Ratings'!E869, IF(bbgm_stat &gt;= perc_95, converted_stat * 3, IF(bbgm_stat &gt;= perc_90, converted_stat * 2, IF(bbgm_stat &gt;= perc_85, converted_stat * 1.5, converted_stat)))))</f>
        <v/>
      </c>
      <c r="F869" s="30" t="str">
        <f t="array" ref="F869">IF($A869="", "", LET(bbgm_stat, INDEX(Players!$A868:$P868, MATCH(F$2, Players!$A$1:$P$1, 0)), perc_75, VLOOKUP(F$2, Percentiles!$A$45:$I$59, 6, FALSE), perc_90, VLOOKUP(F$2, Percentiles!$A$45:$I$59, 7, FALSE), perc_95, VLOOKUP(F$2, Percentiles!$A$45:$I$59, 8, FALSE), perc_85, perc_75 + (perc_90 - perc_75) * (2/3), converted_stat, '2K_Ratings'!F869, IF(bbgm_stat &gt;= perc_95, converted_stat * 3, IF(bbgm_stat &gt;= perc_90, converted_stat * 2, IF(bbgm_stat &gt;= perc_85, converted_stat * 1.5, converted_stat)))))</f>
        <v/>
      </c>
      <c r="G869" s="30" t="str">
        <f t="array" ref="G869">IF($A869="", "", LET(bbgm_stat, INDEX(Players!$A868:$P868, MATCH(G$2, Players!$A$1:$P$1, 0)), perc_75, VLOOKUP(G$2, Percentiles!$A$45:$I$59, 6, FALSE), perc_90, VLOOKUP(G$2, Percentiles!$A$45:$I$59, 7, FALSE), perc_95, VLOOKUP(G$2, Percentiles!$A$45:$I$59, 8, FALSE), perc_85, perc_75 + (perc_90 - perc_75) * (2/3), converted_stat, '2K_Ratings'!G869, IF(bbgm_stat &gt;= perc_95, converted_stat * 3, IF(bbgm_stat &gt;= perc_90, converted_stat * 2, IF(bbgm_stat &gt;= perc_85, converted_stat * 1.5, converted_stat)))))</f>
        <v/>
      </c>
      <c r="H869" s="30" t="str">
        <f t="array" ref="H869">IF($A869="", "", LET(bbgm_stat, INDEX(Players!$A868:$P868, MATCH(H$2, Players!$A$1:$P$1, 0)), perc_75, VLOOKUP(H$2, Percentiles!$A$45:$I$59, 6, FALSE), perc_90, VLOOKUP(H$2, Percentiles!$A$45:$I$59, 7, FALSE), perc_95, VLOOKUP(H$2, Percentiles!$A$45:$I$59, 8, FALSE), perc_85, perc_75 + (perc_90 - perc_75) * (2/3), converted_stat, '2K_Ratings'!H869, IF(bbgm_stat &gt;= perc_95, converted_stat * 3, IF(bbgm_stat &gt;= perc_90, converted_stat * 2, IF(bbgm_stat &gt;= perc_85, converted_stat * 1.5, converted_stat)))))</f>
        <v/>
      </c>
      <c r="I869" s="30" t="str">
        <f t="array" ref="I869">IF($A869="", "", LET(bbgm_stat, INDEX(Players!$A868:$P868, MATCH(I$2, Players!$A$1:$P$1, 0)), perc_75, VLOOKUP(I$2, Percentiles!$A$45:$I$59, 6, FALSE), perc_90, VLOOKUP(I$2, Percentiles!$A$45:$I$59, 7, FALSE), perc_95, VLOOKUP(I$2, Percentiles!$A$45:$I$59, 8, FALSE), perc_85, perc_75 + (perc_90 - perc_75) * (2/3), converted_stat, '2K_Ratings'!I869, IF(bbgm_stat &gt;= perc_95, converted_stat * 3, IF(bbgm_stat &gt;= perc_90, converted_stat * 2, IF(bbgm_stat &gt;= perc_85, converted_stat * 1.5, converted_stat)))))</f>
        <v/>
      </c>
      <c r="J869" s="30" t="str">
        <f t="array" ref="J869">IF($A869="", "", LET(bbgm_stat, INDEX(Players!$A868:$P868, MATCH(J$2, Players!$A$1:$P$1, 0)), perc_75, VLOOKUP(J$2, Percentiles!$A$45:$I$59, 6, FALSE), perc_90, VLOOKUP(J$2, Percentiles!$A$45:$I$59, 7, FALSE), perc_95, VLOOKUP(J$2, Percentiles!$A$45:$I$59, 8, FALSE), perc_85, perc_75 + (perc_90 - perc_75) * (2/3), converted_stat, '2K_Ratings'!J869, IF(bbgm_stat &gt;= perc_95, converted_stat * 3, IF(bbgm_stat &gt;= perc_90, converted_stat * 2, IF(bbgm_stat &gt;= perc_85, converted_stat * 1.5, converted_stat)))))</f>
        <v/>
      </c>
      <c r="K869" s="30" t="str">
        <f t="array" ref="K869">IF($A869="", "", LET(bbgm_stat, INDEX(Players!$A868:$P868, MATCH(K$2, Players!$A$1:$P$1, 0)), perc_75, VLOOKUP(K$2, Percentiles!$A$45:$I$59, 6, FALSE), perc_90, VLOOKUP(K$2, Percentiles!$A$45:$I$59, 7, FALSE), perc_95, VLOOKUP(K$2, Percentiles!$A$45:$I$59, 8, FALSE), perc_85, perc_75 + (perc_90 - perc_75) * (2/3), converted_stat, '2K_Ratings'!K869, IF(bbgm_stat &gt;= perc_95, converted_stat * 3, IF(bbgm_stat &gt;= perc_90, converted_stat * 2, IF(bbgm_stat &gt;= perc_85, converted_stat * 1.5, converted_stat)))))</f>
        <v/>
      </c>
      <c r="L869" s="30" t="str">
        <f t="array" ref="L869">IF($A869="", "", LET(bbgm_stat, INDEX(Players!$A868:$P868, MATCH(L$2, Players!$A$1:$P$1, 0)), perc_75, VLOOKUP(L$2, Percentiles!$A$45:$I$59, 6, FALSE), perc_90, VLOOKUP(L$2, Percentiles!$A$45:$I$59, 7, FALSE), perc_95, VLOOKUP(L$2, Percentiles!$A$45:$I$59, 8, FALSE), perc_85, perc_75 + (perc_90 - perc_75) * (2/3), converted_stat, '2K_Ratings'!L869, IF(bbgm_stat &gt;= perc_95, converted_stat * 3, IF(bbgm_stat &gt;= perc_90, converted_stat * 2, IF(bbgm_stat &gt;= perc_85, converted_stat * 1.5, converted_stat)))))</f>
        <v/>
      </c>
      <c r="M869" s="30" t="str">
        <f t="array" ref="M869">IF($A869="", "", LET(bbgm_stat, INDEX(Players!$A868:$P868, MATCH(M$2, Players!$A$1:$P$1, 0)), perc_75, VLOOKUP(M$2, Percentiles!$A$45:$I$59, 6, FALSE), perc_90, VLOOKUP(M$2, Percentiles!$A$45:$I$59, 7, FALSE), perc_95, VLOOKUP(M$2, Percentiles!$A$45:$I$59, 8, FALSE), perc_85, perc_75 + (perc_90 - perc_75) * (2/3), converted_stat, '2K_Ratings'!M869, IF(bbgm_stat &gt;= perc_95, converted_stat * 3, IF(bbgm_stat &gt;= perc_90, converted_stat * 2, IF(bbgm_stat &gt;= perc_85, converted_stat * 1.5, converted_stat)))))</f>
        <v/>
      </c>
      <c r="N869" s="30" t="str">
        <f t="array" ref="N869">IF($A869="", "", LET(bbgm_stat, INDEX(Players!$A868:$P868, MATCH(N$2, Players!$A$1:$P$1, 0)), perc_75, VLOOKUP(N$2, Percentiles!$A$45:$I$59, 6, FALSE), perc_90, VLOOKUP(N$2, Percentiles!$A$45:$I$59, 7, FALSE), perc_95, VLOOKUP(N$2, Percentiles!$A$45:$I$59, 8, FALSE), perc_85, perc_75 + (perc_90 - perc_75) * (2/3), converted_stat, '2K_Ratings'!N869, IF(bbgm_stat &gt;= perc_95, converted_stat * 3, IF(bbgm_stat &gt;= perc_90, converted_stat * 2, IF(bbgm_stat &gt;= perc_85, converted_stat * 1.5, converted_stat)))))</f>
        <v/>
      </c>
      <c r="O869" s="30" t="str">
        <f t="array" ref="O869">IF($A869="", "", LET(bbgm_stat, INDEX(Players!$A868:$P868, MATCH(O$2, Players!$A$1:$P$1, 0)), perc_75, VLOOKUP(O$2, Percentiles!$A$45:$I$59, 6, FALSE), perc_90, VLOOKUP(O$2, Percentiles!$A$45:$I$59, 7, FALSE), perc_95, VLOOKUP(O$2, Percentiles!$A$45:$I$59, 8, FALSE), perc_85, perc_75 + (perc_90 - perc_75) * (2/3), converted_stat, '2K_Ratings'!O869, IF(bbgm_stat &gt;= perc_95, converted_stat * 3, IF(bbgm_stat &gt;= perc_90, converted_stat * 2, IF(bbgm_stat &gt;= perc_85, converted_stat * 1.5, converted_stat)))))</f>
        <v/>
      </c>
      <c r="P869" s="30" t="str">
        <f t="array" ref="P869">IF($A869="", "", LET(bbgm_stat, INDEX(Players!$A868:$P868, MATCH(P$2, Players!$A$1:$P$1, 0)), perc_75, VLOOKUP(P$2, Percentiles!$A$45:$I$59, 6, FALSE), perc_90, VLOOKUP(P$2, Percentiles!$A$45:$I$59, 7, FALSE), perc_95, VLOOKUP(P$2, Percentiles!$A$45:$I$59, 8, FALSE), perc_85, perc_75 + (perc_90 - perc_75) * (2/3), converted_stat, '2K_Ratings'!P869, IF(bbgm_stat &gt;= perc_95, converted_stat * 3, IF(bbgm_stat &gt;= perc_90, converted_stat * 2, IF(bbgm_stat &gt;= perc_85, converted_stat * 1.5, converted_stat)))))</f>
        <v/>
      </c>
      <c r="Q869" s="30" t="str">
        <f t="array" ref="Q869">IF($A869="", "", LET(bbgm_stat, INDEX(Players!$A868:$P868, MATCH(Q$2, Players!$A$1:$P$1, 0)), perc_75, VLOOKUP(Q$2, Percentiles!$A$45:$I$59, 6, FALSE), perc_90, VLOOKUP(Q$2, Percentiles!$A$45:$I$59, 7, FALSE), perc_95, VLOOKUP(Q$2, Percentiles!$A$45:$I$59, 8, FALSE), perc_85, perc_75 + (perc_90 - perc_75) * (2/3), converted_stat, '2K_Ratings'!Q869, IF(bbgm_stat &gt;= perc_95, converted_stat * 3, IF(bbgm_stat &gt;= perc_90, converted_stat * 2, IF(bbgm_stat &gt;= perc_85, converted_stat * 1.5, converted_stat)))))</f>
        <v/>
      </c>
      <c r="R869" s="30" t="str">
        <f t="array" ref="R869">IF($A869="", "", LET(bbgm_stat, INDEX(Players!$A868:$P868, MATCH(R$2, Players!$A$1:$P$1, 0)), perc_75, VLOOKUP(R$2, Percentiles!$A$45:$I$59, 6, FALSE), perc_90, VLOOKUP(R$2, Percentiles!$A$45:$I$59, 7, FALSE), perc_95, VLOOKUP(R$2, Percentiles!$A$45:$I$59, 8, FALSE), perc_85, perc_75 + (perc_90 - perc_75) * (2/3), converted_stat, '2K_Ratings'!R869, IF(bbgm_stat &gt;= perc_95, converted_stat * 3, IF(bbgm_stat &gt;= perc_90, converted_stat * 2, IF(bbgm_stat &gt;= perc_85, converted_stat * 1.5, converted_stat)))))</f>
        <v/>
      </c>
      <c r="S869" s="30" t="str">
        <f t="array" ref="S869">IF($A869="", "", LET(bbgm_stat, INDEX(Players!$A868:$P868, MATCH(S$2, Players!$A$1:$P$1, 0)), perc_75, VLOOKUP(S$2, Percentiles!$A$45:$I$59, 6, FALSE), perc_90, VLOOKUP(S$2, Percentiles!$A$45:$I$59, 7, FALSE), perc_95, VLOOKUP(S$2, Percentiles!$A$45:$I$59, 8, FALSE), perc_85, perc_75 + (perc_90 - perc_75) * (2/3), converted_stat, '2K_Ratings'!S869, IF(bbgm_stat &gt;= perc_95, converted_stat * 3, IF(bbgm_stat &gt;= perc_90, converted_stat * 2, IF(bbgm_stat &gt;= perc_85, converted_stat * 1.5, converted_stat)))))</f>
        <v/>
      </c>
      <c r="T869" s="30" t="str">
        <f t="array" ref="T869">IF($A869="", "", LET(bbgm_stat, INDEX(Players!$A868:$P868, MATCH(T$2, Players!$A$1:$P$1, 0)), perc_75, VLOOKUP(T$2, Percentiles!$A$45:$I$59, 6, FALSE), perc_90, VLOOKUP(T$2, Percentiles!$A$45:$I$59, 7, FALSE), perc_95, VLOOKUP(T$2, Percentiles!$A$45:$I$59, 8, FALSE), perc_85, perc_75 + (perc_90 - perc_75) * (2/3), converted_stat, '2K_Ratings'!T869, IF(bbgm_stat &gt;= perc_95, converted_stat * 3, IF(bbgm_stat &gt;= perc_90, converted_stat * 2, IF(bbgm_stat &gt;= perc_85, converted_stat * 1.5, converted_stat)))))</f>
        <v/>
      </c>
      <c r="U869" s="30" t="str">
        <f t="array" ref="U869">IF($A869="", "", LET(bbgm_stat, INDEX(Players!$A868:$P868, MATCH(U$2, Players!$A$1:$P$1, 0)), perc_75, VLOOKUP(U$2, Percentiles!$A$45:$I$59, 6, FALSE), perc_90, VLOOKUP(U$2, Percentiles!$A$45:$I$59, 7, FALSE), perc_95, VLOOKUP(U$2, Percentiles!$A$45:$I$59, 8, FALSE), perc_85, perc_75 + (perc_90 - perc_75) * (2/3), converted_stat, '2K_Ratings'!U869, IF(bbgm_stat &gt;= perc_95, converted_stat * 3, IF(bbgm_stat &gt;= perc_90, converted_stat * 2, IF(bbgm_stat &gt;= perc_85, converted_stat * 1.5, converted_stat)))))</f>
        <v/>
      </c>
      <c r="V869" s="30" t="str">
        <f t="array" ref="V869">IF($A869="", "", LET(bbgm_stat, INDEX(Players!$A868:$P868, MATCH(V$2, Players!$A$1:$P$1, 0)), perc_75, VLOOKUP(V$2, Percentiles!$A$45:$I$59, 6, FALSE), perc_90, VLOOKUP(V$2, Percentiles!$A$45:$I$59, 7, FALSE), perc_95, VLOOKUP(V$2, Percentiles!$A$45:$I$59, 8, FALSE), perc_85, perc_75 + (perc_90 - perc_75) * (2/3), converted_stat, '2K_Ratings'!V869, IF(bbgm_stat &gt;= perc_95, converted_stat * 3, IF(bbgm_stat &gt;= perc_90, converted_stat * 2, IF(bbgm_stat &gt;= perc_85, converted_stat * 1.5, converted_stat)))))</f>
        <v/>
      </c>
      <c r="W869" s="30" t="str">
        <f t="array" ref="W869">IF($A869="", "", LET(bbgm_stat, INDEX(Players!$A868:$P868, MATCH(W$2, Players!$A$1:$P$1, 0)), perc_75, VLOOKUP(W$2, Percentiles!$A$45:$I$59, 6, FALSE), perc_90, VLOOKUP(W$2, Percentiles!$A$45:$I$59, 7, FALSE), perc_95, VLOOKUP(W$2, Percentiles!$A$45:$I$59, 8, FALSE), perc_85, perc_75 + (perc_90 - perc_75) * (2/3), converted_stat, '2K_Ratings'!W869, IF(bbgm_stat &gt;= perc_95, converted_stat * 3, IF(bbgm_stat &gt;= perc_90, converted_stat * 2, IF(bbgm_stat &gt;= perc_85, converted_stat * 1.5, converted_stat)))))</f>
        <v/>
      </c>
    </row>
    <row r="870">
      <c r="A870" s="30"/>
      <c r="B870" s="30" t="str">
        <f t="array" ref="B870">IF($A870="", "", LET(bbgm_stat, INDEX(Players!$A869:$P869, MATCH(B$2, Players!$A$1:$P$1, 0)), perc_75, VLOOKUP(B$2, Percentiles!$A$45:$I$59, 6, FALSE), perc_90, VLOOKUP(B$2, Percentiles!$A$45:$I$59, 7, FALSE), perc_95, VLOOKUP(B$2, Percentiles!$A$45:$I$59, 8, FALSE), perc_85, perc_75 + (perc_90 - perc_75) * (2/3), converted_stat, '2K_Ratings'!B870, IF(bbgm_stat &gt;= perc_95, converted_stat * 3, IF(bbgm_stat &gt;= perc_90, converted_stat * 2, IF(bbgm_stat &gt;= perc_85, converted_stat * 1.5, converted_stat)))))</f>
        <v/>
      </c>
      <c r="C870" s="30" t="str">
        <f t="array" ref="C870">IF($A870="", "", LET(bbgm_stat, INDEX(Players!$A869:$P869, MATCH(C$2, Players!$A$1:$P$1, 0)), perc_75, VLOOKUP(C$2, Percentiles!$A$45:$I$59, 6, FALSE), perc_90, VLOOKUP(C$2, Percentiles!$A$45:$I$59, 7, FALSE), perc_95, VLOOKUP(C$2, Percentiles!$A$45:$I$59, 8, FALSE), perc_85, perc_75 + (perc_90 - perc_75) * (2/3), converted_stat, '2K_Ratings'!C870, IF(bbgm_stat &gt;= perc_95, converted_stat * 3, IF(bbgm_stat &gt;= perc_90, converted_stat * 2, IF(bbgm_stat &gt;= perc_85, converted_stat * 1.5, converted_stat)))))</f>
        <v/>
      </c>
      <c r="D870" s="30" t="str">
        <f t="array" ref="D870">IF($A870="", "", LET(bbgm_stat, INDEX(Players!$A869:$P869, MATCH(D$2, Players!$A$1:$P$1, 0)), perc_75, VLOOKUP(D$2, Percentiles!$A$45:$I$59, 6, FALSE), perc_90, VLOOKUP(D$2, Percentiles!$A$45:$I$59, 7, FALSE), perc_95, VLOOKUP(D$2, Percentiles!$A$45:$I$59, 8, FALSE), perc_85, perc_75 + (perc_90 - perc_75) * (2/3), converted_stat, '2K_Ratings'!D870, IF(bbgm_stat &gt;= perc_95, converted_stat * 3, IF(bbgm_stat &gt;= perc_90, converted_stat * 2, IF(bbgm_stat &gt;= perc_85, converted_stat * 1.5, converted_stat)))))</f>
        <v/>
      </c>
      <c r="E870" s="30" t="str">
        <f t="array" ref="E870">IF($A870="", "", LET(bbgm_stat, INDEX(Players!$A869:$P869, MATCH(E$2, Players!$A$1:$P$1, 0)), perc_75, VLOOKUP(E$2, Percentiles!$A$45:$I$59, 6, FALSE), perc_90, VLOOKUP(E$2, Percentiles!$A$45:$I$59, 7, FALSE), perc_95, VLOOKUP(E$2, Percentiles!$A$45:$I$59, 8, FALSE), perc_85, perc_75 + (perc_90 - perc_75) * (2/3), converted_stat, '2K_Ratings'!E870, IF(bbgm_stat &gt;= perc_95, converted_stat * 3, IF(bbgm_stat &gt;= perc_90, converted_stat * 2, IF(bbgm_stat &gt;= perc_85, converted_stat * 1.5, converted_stat)))))</f>
        <v/>
      </c>
      <c r="F870" s="30" t="str">
        <f t="array" ref="F870">IF($A870="", "", LET(bbgm_stat, INDEX(Players!$A869:$P869, MATCH(F$2, Players!$A$1:$P$1, 0)), perc_75, VLOOKUP(F$2, Percentiles!$A$45:$I$59, 6, FALSE), perc_90, VLOOKUP(F$2, Percentiles!$A$45:$I$59, 7, FALSE), perc_95, VLOOKUP(F$2, Percentiles!$A$45:$I$59, 8, FALSE), perc_85, perc_75 + (perc_90 - perc_75) * (2/3), converted_stat, '2K_Ratings'!F870, IF(bbgm_stat &gt;= perc_95, converted_stat * 3, IF(bbgm_stat &gt;= perc_90, converted_stat * 2, IF(bbgm_stat &gt;= perc_85, converted_stat * 1.5, converted_stat)))))</f>
        <v/>
      </c>
      <c r="G870" s="30" t="str">
        <f t="array" ref="G870">IF($A870="", "", LET(bbgm_stat, INDEX(Players!$A869:$P869, MATCH(G$2, Players!$A$1:$P$1, 0)), perc_75, VLOOKUP(G$2, Percentiles!$A$45:$I$59, 6, FALSE), perc_90, VLOOKUP(G$2, Percentiles!$A$45:$I$59, 7, FALSE), perc_95, VLOOKUP(G$2, Percentiles!$A$45:$I$59, 8, FALSE), perc_85, perc_75 + (perc_90 - perc_75) * (2/3), converted_stat, '2K_Ratings'!G870, IF(bbgm_stat &gt;= perc_95, converted_stat * 3, IF(bbgm_stat &gt;= perc_90, converted_stat * 2, IF(bbgm_stat &gt;= perc_85, converted_stat * 1.5, converted_stat)))))</f>
        <v/>
      </c>
      <c r="H870" s="30" t="str">
        <f t="array" ref="H870">IF($A870="", "", LET(bbgm_stat, INDEX(Players!$A869:$P869, MATCH(H$2, Players!$A$1:$P$1, 0)), perc_75, VLOOKUP(H$2, Percentiles!$A$45:$I$59, 6, FALSE), perc_90, VLOOKUP(H$2, Percentiles!$A$45:$I$59, 7, FALSE), perc_95, VLOOKUP(H$2, Percentiles!$A$45:$I$59, 8, FALSE), perc_85, perc_75 + (perc_90 - perc_75) * (2/3), converted_stat, '2K_Ratings'!H870, IF(bbgm_stat &gt;= perc_95, converted_stat * 3, IF(bbgm_stat &gt;= perc_90, converted_stat * 2, IF(bbgm_stat &gt;= perc_85, converted_stat * 1.5, converted_stat)))))</f>
        <v/>
      </c>
      <c r="I870" s="30" t="str">
        <f t="array" ref="I870">IF($A870="", "", LET(bbgm_stat, INDEX(Players!$A869:$P869, MATCH(I$2, Players!$A$1:$P$1, 0)), perc_75, VLOOKUP(I$2, Percentiles!$A$45:$I$59, 6, FALSE), perc_90, VLOOKUP(I$2, Percentiles!$A$45:$I$59, 7, FALSE), perc_95, VLOOKUP(I$2, Percentiles!$A$45:$I$59, 8, FALSE), perc_85, perc_75 + (perc_90 - perc_75) * (2/3), converted_stat, '2K_Ratings'!I870, IF(bbgm_stat &gt;= perc_95, converted_stat * 3, IF(bbgm_stat &gt;= perc_90, converted_stat * 2, IF(bbgm_stat &gt;= perc_85, converted_stat * 1.5, converted_stat)))))</f>
        <v/>
      </c>
      <c r="J870" s="30" t="str">
        <f t="array" ref="J870">IF($A870="", "", LET(bbgm_stat, INDEX(Players!$A869:$P869, MATCH(J$2, Players!$A$1:$P$1, 0)), perc_75, VLOOKUP(J$2, Percentiles!$A$45:$I$59, 6, FALSE), perc_90, VLOOKUP(J$2, Percentiles!$A$45:$I$59, 7, FALSE), perc_95, VLOOKUP(J$2, Percentiles!$A$45:$I$59, 8, FALSE), perc_85, perc_75 + (perc_90 - perc_75) * (2/3), converted_stat, '2K_Ratings'!J870, IF(bbgm_stat &gt;= perc_95, converted_stat * 3, IF(bbgm_stat &gt;= perc_90, converted_stat * 2, IF(bbgm_stat &gt;= perc_85, converted_stat * 1.5, converted_stat)))))</f>
        <v/>
      </c>
      <c r="K870" s="30" t="str">
        <f t="array" ref="K870">IF($A870="", "", LET(bbgm_stat, INDEX(Players!$A869:$P869, MATCH(K$2, Players!$A$1:$P$1, 0)), perc_75, VLOOKUP(K$2, Percentiles!$A$45:$I$59, 6, FALSE), perc_90, VLOOKUP(K$2, Percentiles!$A$45:$I$59, 7, FALSE), perc_95, VLOOKUP(K$2, Percentiles!$A$45:$I$59, 8, FALSE), perc_85, perc_75 + (perc_90 - perc_75) * (2/3), converted_stat, '2K_Ratings'!K870, IF(bbgm_stat &gt;= perc_95, converted_stat * 3, IF(bbgm_stat &gt;= perc_90, converted_stat * 2, IF(bbgm_stat &gt;= perc_85, converted_stat * 1.5, converted_stat)))))</f>
        <v/>
      </c>
      <c r="L870" s="30" t="str">
        <f t="array" ref="L870">IF($A870="", "", LET(bbgm_stat, INDEX(Players!$A869:$P869, MATCH(L$2, Players!$A$1:$P$1, 0)), perc_75, VLOOKUP(L$2, Percentiles!$A$45:$I$59, 6, FALSE), perc_90, VLOOKUP(L$2, Percentiles!$A$45:$I$59, 7, FALSE), perc_95, VLOOKUP(L$2, Percentiles!$A$45:$I$59, 8, FALSE), perc_85, perc_75 + (perc_90 - perc_75) * (2/3), converted_stat, '2K_Ratings'!L870, IF(bbgm_stat &gt;= perc_95, converted_stat * 3, IF(bbgm_stat &gt;= perc_90, converted_stat * 2, IF(bbgm_stat &gt;= perc_85, converted_stat * 1.5, converted_stat)))))</f>
        <v/>
      </c>
      <c r="M870" s="30" t="str">
        <f t="array" ref="M870">IF($A870="", "", LET(bbgm_stat, INDEX(Players!$A869:$P869, MATCH(M$2, Players!$A$1:$P$1, 0)), perc_75, VLOOKUP(M$2, Percentiles!$A$45:$I$59, 6, FALSE), perc_90, VLOOKUP(M$2, Percentiles!$A$45:$I$59, 7, FALSE), perc_95, VLOOKUP(M$2, Percentiles!$A$45:$I$59, 8, FALSE), perc_85, perc_75 + (perc_90 - perc_75) * (2/3), converted_stat, '2K_Ratings'!M870, IF(bbgm_stat &gt;= perc_95, converted_stat * 3, IF(bbgm_stat &gt;= perc_90, converted_stat * 2, IF(bbgm_stat &gt;= perc_85, converted_stat * 1.5, converted_stat)))))</f>
        <v/>
      </c>
      <c r="N870" s="30" t="str">
        <f t="array" ref="N870">IF($A870="", "", LET(bbgm_stat, INDEX(Players!$A869:$P869, MATCH(N$2, Players!$A$1:$P$1, 0)), perc_75, VLOOKUP(N$2, Percentiles!$A$45:$I$59, 6, FALSE), perc_90, VLOOKUP(N$2, Percentiles!$A$45:$I$59, 7, FALSE), perc_95, VLOOKUP(N$2, Percentiles!$A$45:$I$59, 8, FALSE), perc_85, perc_75 + (perc_90 - perc_75) * (2/3), converted_stat, '2K_Ratings'!N870, IF(bbgm_stat &gt;= perc_95, converted_stat * 3, IF(bbgm_stat &gt;= perc_90, converted_stat * 2, IF(bbgm_stat &gt;= perc_85, converted_stat * 1.5, converted_stat)))))</f>
        <v/>
      </c>
      <c r="O870" s="30" t="str">
        <f t="array" ref="O870">IF($A870="", "", LET(bbgm_stat, INDEX(Players!$A869:$P869, MATCH(O$2, Players!$A$1:$P$1, 0)), perc_75, VLOOKUP(O$2, Percentiles!$A$45:$I$59, 6, FALSE), perc_90, VLOOKUP(O$2, Percentiles!$A$45:$I$59, 7, FALSE), perc_95, VLOOKUP(O$2, Percentiles!$A$45:$I$59, 8, FALSE), perc_85, perc_75 + (perc_90 - perc_75) * (2/3), converted_stat, '2K_Ratings'!O870, IF(bbgm_stat &gt;= perc_95, converted_stat * 3, IF(bbgm_stat &gt;= perc_90, converted_stat * 2, IF(bbgm_stat &gt;= perc_85, converted_stat * 1.5, converted_stat)))))</f>
        <v/>
      </c>
      <c r="P870" s="30" t="str">
        <f t="array" ref="P870">IF($A870="", "", LET(bbgm_stat, INDEX(Players!$A869:$P869, MATCH(P$2, Players!$A$1:$P$1, 0)), perc_75, VLOOKUP(P$2, Percentiles!$A$45:$I$59, 6, FALSE), perc_90, VLOOKUP(P$2, Percentiles!$A$45:$I$59, 7, FALSE), perc_95, VLOOKUP(P$2, Percentiles!$A$45:$I$59, 8, FALSE), perc_85, perc_75 + (perc_90 - perc_75) * (2/3), converted_stat, '2K_Ratings'!P870, IF(bbgm_stat &gt;= perc_95, converted_stat * 3, IF(bbgm_stat &gt;= perc_90, converted_stat * 2, IF(bbgm_stat &gt;= perc_85, converted_stat * 1.5, converted_stat)))))</f>
        <v/>
      </c>
      <c r="Q870" s="30" t="str">
        <f t="array" ref="Q870">IF($A870="", "", LET(bbgm_stat, INDEX(Players!$A869:$P869, MATCH(Q$2, Players!$A$1:$P$1, 0)), perc_75, VLOOKUP(Q$2, Percentiles!$A$45:$I$59, 6, FALSE), perc_90, VLOOKUP(Q$2, Percentiles!$A$45:$I$59, 7, FALSE), perc_95, VLOOKUP(Q$2, Percentiles!$A$45:$I$59, 8, FALSE), perc_85, perc_75 + (perc_90 - perc_75) * (2/3), converted_stat, '2K_Ratings'!Q870, IF(bbgm_stat &gt;= perc_95, converted_stat * 3, IF(bbgm_stat &gt;= perc_90, converted_stat * 2, IF(bbgm_stat &gt;= perc_85, converted_stat * 1.5, converted_stat)))))</f>
        <v/>
      </c>
      <c r="R870" s="30" t="str">
        <f t="array" ref="R870">IF($A870="", "", LET(bbgm_stat, INDEX(Players!$A869:$P869, MATCH(R$2, Players!$A$1:$P$1, 0)), perc_75, VLOOKUP(R$2, Percentiles!$A$45:$I$59, 6, FALSE), perc_90, VLOOKUP(R$2, Percentiles!$A$45:$I$59, 7, FALSE), perc_95, VLOOKUP(R$2, Percentiles!$A$45:$I$59, 8, FALSE), perc_85, perc_75 + (perc_90 - perc_75) * (2/3), converted_stat, '2K_Ratings'!R870, IF(bbgm_stat &gt;= perc_95, converted_stat * 3, IF(bbgm_stat &gt;= perc_90, converted_stat * 2, IF(bbgm_stat &gt;= perc_85, converted_stat * 1.5, converted_stat)))))</f>
        <v/>
      </c>
      <c r="S870" s="30" t="str">
        <f t="array" ref="S870">IF($A870="", "", LET(bbgm_stat, INDEX(Players!$A869:$P869, MATCH(S$2, Players!$A$1:$P$1, 0)), perc_75, VLOOKUP(S$2, Percentiles!$A$45:$I$59, 6, FALSE), perc_90, VLOOKUP(S$2, Percentiles!$A$45:$I$59, 7, FALSE), perc_95, VLOOKUP(S$2, Percentiles!$A$45:$I$59, 8, FALSE), perc_85, perc_75 + (perc_90 - perc_75) * (2/3), converted_stat, '2K_Ratings'!S870, IF(bbgm_stat &gt;= perc_95, converted_stat * 3, IF(bbgm_stat &gt;= perc_90, converted_stat * 2, IF(bbgm_stat &gt;= perc_85, converted_stat * 1.5, converted_stat)))))</f>
        <v/>
      </c>
      <c r="T870" s="30" t="str">
        <f t="array" ref="T870">IF($A870="", "", LET(bbgm_stat, INDEX(Players!$A869:$P869, MATCH(T$2, Players!$A$1:$P$1, 0)), perc_75, VLOOKUP(T$2, Percentiles!$A$45:$I$59, 6, FALSE), perc_90, VLOOKUP(T$2, Percentiles!$A$45:$I$59, 7, FALSE), perc_95, VLOOKUP(T$2, Percentiles!$A$45:$I$59, 8, FALSE), perc_85, perc_75 + (perc_90 - perc_75) * (2/3), converted_stat, '2K_Ratings'!T870, IF(bbgm_stat &gt;= perc_95, converted_stat * 3, IF(bbgm_stat &gt;= perc_90, converted_stat * 2, IF(bbgm_stat &gt;= perc_85, converted_stat * 1.5, converted_stat)))))</f>
        <v/>
      </c>
      <c r="U870" s="30" t="str">
        <f t="array" ref="U870">IF($A870="", "", LET(bbgm_stat, INDEX(Players!$A869:$P869, MATCH(U$2, Players!$A$1:$P$1, 0)), perc_75, VLOOKUP(U$2, Percentiles!$A$45:$I$59, 6, FALSE), perc_90, VLOOKUP(U$2, Percentiles!$A$45:$I$59, 7, FALSE), perc_95, VLOOKUP(U$2, Percentiles!$A$45:$I$59, 8, FALSE), perc_85, perc_75 + (perc_90 - perc_75) * (2/3), converted_stat, '2K_Ratings'!U870, IF(bbgm_stat &gt;= perc_95, converted_stat * 3, IF(bbgm_stat &gt;= perc_90, converted_stat * 2, IF(bbgm_stat &gt;= perc_85, converted_stat * 1.5, converted_stat)))))</f>
        <v/>
      </c>
      <c r="V870" s="30" t="str">
        <f t="array" ref="V870">IF($A870="", "", LET(bbgm_stat, INDEX(Players!$A869:$P869, MATCH(V$2, Players!$A$1:$P$1, 0)), perc_75, VLOOKUP(V$2, Percentiles!$A$45:$I$59, 6, FALSE), perc_90, VLOOKUP(V$2, Percentiles!$A$45:$I$59, 7, FALSE), perc_95, VLOOKUP(V$2, Percentiles!$A$45:$I$59, 8, FALSE), perc_85, perc_75 + (perc_90 - perc_75) * (2/3), converted_stat, '2K_Ratings'!V870, IF(bbgm_stat &gt;= perc_95, converted_stat * 3, IF(bbgm_stat &gt;= perc_90, converted_stat * 2, IF(bbgm_stat &gt;= perc_85, converted_stat * 1.5, converted_stat)))))</f>
        <v/>
      </c>
      <c r="W870" s="30" t="str">
        <f t="array" ref="W870">IF($A870="", "", LET(bbgm_stat, INDEX(Players!$A869:$P869, MATCH(W$2, Players!$A$1:$P$1, 0)), perc_75, VLOOKUP(W$2, Percentiles!$A$45:$I$59, 6, FALSE), perc_90, VLOOKUP(W$2, Percentiles!$A$45:$I$59, 7, FALSE), perc_95, VLOOKUP(W$2, Percentiles!$A$45:$I$59, 8, FALSE), perc_85, perc_75 + (perc_90 - perc_75) * (2/3), converted_stat, '2K_Ratings'!W870, IF(bbgm_stat &gt;= perc_95, converted_stat * 3, IF(bbgm_stat &gt;= perc_90, converted_stat * 2, IF(bbgm_stat &gt;= perc_85, converted_stat * 1.5, converted_stat)))))</f>
        <v/>
      </c>
    </row>
    <row r="871">
      <c r="A871" s="30"/>
      <c r="B871" s="30" t="str">
        <f t="array" ref="B871">IF($A871="", "", LET(bbgm_stat, INDEX(Players!$A870:$P870, MATCH(B$2, Players!$A$1:$P$1, 0)), perc_75, VLOOKUP(B$2, Percentiles!$A$45:$I$59, 6, FALSE), perc_90, VLOOKUP(B$2, Percentiles!$A$45:$I$59, 7, FALSE), perc_95, VLOOKUP(B$2, Percentiles!$A$45:$I$59, 8, FALSE), perc_85, perc_75 + (perc_90 - perc_75) * (2/3), converted_stat, '2K_Ratings'!B871, IF(bbgm_stat &gt;= perc_95, converted_stat * 3, IF(bbgm_stat &gt;= perc_90, converted_stat * 2, IF(bbgm_stat &gt;= perc_85, converted_stat * 1.5, converted_stat)))))</f>
        <v/>
      </c>
      <c r="C871" s="30" t="str">
        <f t="array" ref="C871">IF($A871="", "", LET(bbgm_stat, INDEX(Players!$A870:$P870, MATCH(C$2, Players!$A$1:$P$1, 0)), perc_75, VLOOKUP(C$2, Percentiles!$A$45:$I$59, 6, FALSE), perc_90, VLOOKUP(C$2, Percentiles!$A$45:$I$59, 7, FALSE), perc_95, VLOOKUP(C$2, Percentiles!$A$45:$I$59, 8, FALSE), perc_85, perc_75 + (perc_90 - perc_75) * (2/3), converted_stat, '2K_Ratings'!C871, IF(bbgm_stat &gt;= perc_95, converted_stat * 3, IF(bbgm_stat &gt;= perc_90, converted_stat * 2, IF(bbgm_stat &gt;= perc_85, converted_stat * 1.5, converted_stat)))))</f>
        <v/>
      </c>
      <c r="D871" s="30" t="str">
        <f t="array" ref="D871">IF($A871="", "", LET(bbgm_stat, INDEX(Players!$A870:$P870, MATCH(D$2, Players!$A$1:$P$1, 0)), perc_75, VLOOKUP(D$2, Percentiles!$A$45:$I$59, 6, FALSE), perc_90, VLOOKUP(D$2, Percentiles!$A$45:$I$59, 7, FALSE), perc_95, VLOOKUP(D$2, Percentiles!$A$45:$I$59, 8, FALSE), perc_85, perc_75 + (perc_90 - perc_75) * (2/3), converted_stat, '2K_Ratings'!D871, IF(bbgm_stat &gt;= perc_95, converted_stat * 3, IF(bbgm_stat &gt;= perc_90, converted_stat * 2, IF(bbgm_stat &gt;= perc_85, converted_stat * 1.5, converted_stat)))))</f>
        <v/>
      </c>
      <c r="E871" s="30" t="str">
        <f t="array" ref="E871">IF($A871="", "", LET(bbgm_stat, INDEX(Players!$A870:$P870, MATCH(E$2, Players!$A$1:$P$1, 0)), perc_75, VLOOKUP(E$2, Percentiles!$A$45:$I$59, 6, FALSE), perc_90, VLOOKUP(E$2, Percentiles!$A$45:$I$59, 7, FALSE), perc_95, VLOOKUP(E$2, Percentiles!$A$45:$I$59, 8, FALSE), perc_85, perc_75 + (perc_90 - perc_75) * (2/3), converted_stat, '2K_Ratings'!E871, IF(bbgm_stat &gt;= perc_95, converted_stat * 3, IF(bbgm_stat &gt;= perc_90, converted_stat * 2, IF(bbgm_stat &gt;= perc_85, converted_stat * 1.5, converted_stat)))))</f>
        <v/>
      </c>
      <c r="F871" s="30" t="str">
        <f t="array" ref="F871">IF($A871="", "", LET(bbgm_stat, INDEX(Players!$A870:$P870, MATCH(F$2, Players!$A$1:$P$1, 0)), perc_75, VLOOKUP(F$2, Percentiles!$A$45:$I$59, 6, FALSE), perc_90, VLOOKUP(F$2, Percentiles!$A$45:$I$59, 7, FALSE), perc_95, VLOOKUP(F$2, Percentiles!$A$45:$I$59, 8, FALSE), perc_85, perc_75 + (perc_90 - perc_75) * (2/3), converted_stat, '2K_Ratings'!F871, IF(bbgm_stat &gt;= perc_95, converted_stat * 3, IF(bbgm_stat &gt;= perc_90, converted_stat * 2, IF(bbgm_stat &gt;= perc_85, converted_stat * 1.5, converted_stat)))))</f>
        <v/>
      </c>
      <c r="G871" s="30" t="str">
        <f t="array" ref="G871">IF($A871="", "", LET(bbgm_stat, INDEX(Players!$A870:$P870, MATCH(G$2, Players!$A$1:$P$1, 0)), perc_75, VLOOKUP(G$2, Percentiles!$A$45:$I$59, 6, FALSE), perc_90, VLOOKUP(G$2, Percentiles!$A$45:$I$59, 7, FALSE), perc_95, VLOOKUP(G$2, Percentiles!$A$45:$I$59, 8, FALSE), perc_85, perc_75 + (perc_90 - perc_75) * (2/3), converted_stat, '2K_Ratings'!G871, IF(bbgm_stat &gt;= perc_95, converted_stat * 3, IF(bbgm_stat &gt;= perc_90, converted_stat * 2, IF(bbgm_stat &gt;= perc_85, converted_stat * 1.5, converted_stat)))))</f>
        <v/>
      </c>
      <c r="H871" s="30" t="str">
        <f t="array" ref="H871">IF($A871="", "", LET(bbgm_stat, INDEX(Players!$A870:$P870, MATCH(H$2, Players!$A$1:$P$1, 0)), perc_75, VLOOKUP(H$2, Percentiles!$A$45:$I$59, 6, FALSE), perc_90, VLOOKUP(H$2, Percentiles!$A$45:$I$59, 7, FALSE), perc_95, VLOOKUP(H$2, Percentiles!$A$45:$I$59, 8, FALSE), perc_85, perc_75 + (perc_90 - perc_75) * (2/3), converted_stat, '2K_Ratings'!H871, IF(bbgm_stat &gt;= perc_95, converted_stat * 3, IF(bbgm_stat &gt;= perc_90, converted_stat * 2, IF(bbgm_stat &gt;= perc_85, converted_stat * 1.5, converted_stat)))))</f>
        <v/>
      </c>
      <c r="I871" s="30" t="str">
        <f t="array" ref="I871">IF($A871="", "", LET(bbgm_stat, INDEX(Players!$A870:$P870, MATCH(I$2, Players!$A$1:$P$1, 0)), perc_75, VLOOKUP(I$2, Percentiles!$A$45:$I$59, 6, FALSE), perc_90, VLOOKUP(I$2, Percentiles!$A$45:$I$59, 7, FALSE), perc_95, VLOOKUP(I$2, Percentiles!$A$45:$I$59, 8, FALSE), perc_85, perc_75 + (perc_90 - perc_75) * (2/3), converted_stat, '2K_Ratings'!I871, IF(bbgm_stat &gt;= perc_95, converted_stat * 3, IF(bbgm_stat &gt;= perc_90, converted_stat * 2, IF(bbgm_stat &gt;= perc_85, converted_stat * 1.5, converted_stat)))))</f>
        <v/>
      </c>
      <c r="J871" s="30" t="str">
        <f t="array" ref="J871">IF($A871="", "", LET(bbgm_stat, INDEX(Players!$A870:$P870, MATCH(J$2, Players!$A$1:$P$1, 0)), perc_75, VLOOKUP(J$2, Percentiles!$A$45:$I$59, 6, FALSE), perc_90, VLOOKUP(J$2, Percentiles!$A$45:$I$59, 7, FALSE), perc_95, VLOOKUP(J$2, Percentiles!$A$45:$I$59, 8, FALSE), perc_85, perc_75 + (perc_90 - perc_75) * (2/3), converted_stat, '2K_Ratings'!J871, IF(bbgm_stat &gt;= perc_95, converted_stat * 3, IF(bbgm_stat &gt;= perc_90, converted_stat * 2, IF(bbgm_stat &gt;= perc_85, converted_stat * 1.5, converted_stat)))))</f>
        <v/>
      </c>
      <c r="K871" s="30" t="str">
        <f t="array" ref="K871">IF($A871="", "", LET(bbgm_stat, INDEX(Players!$A870:$P870, MATCH(K$2, Players!$A$1:$P$1, 0)), perc_75, VLOOKUP(K$2, Percentiles!$A$45:$I$59, 6, FALSE), perc_90, VLOOKUP(K$2, Percentiles!$A$45:$I$59, 7, FALSE), perc_95, VLOOKUP(K$2, Percentiles!$A$45:$I$59, 8, FALSE), perc_85, perc_75 + (perc_90 - perc_75) * (2/3), converted_stat, '2K_Ratings'!K871, IF(bbgm_stat &gt;= perc_95, converted_stat * 3, IF(bbgm_stat &gt;= perc_90, converted_stat * 2, IF(bbgm_stat &gt;= perc_85, converted_stat * 1.5, converted_stat)))))</f>
        <v/>
      </c>
      <c r="L871" s="30" t="str">
        <f t="array" ref="L871">IF($A871="", "", LET(bbgm_stat, INDEX(Players!$A870:$P870, MATCH(L$2, Players!$A$1:$P$1, 0)), perc_75, VLOOKUP(L$2, Percentiles!$A$45:$I$59, 6, FALSE), perc_90, VLOOKUP(L$2, Percentiles!$A$45:$I$59, 7, FALSE), perc_95, VLOOKUP(L$2, Percentiles!$A$45:$I$59, 8, FALSE), perc_85, perc_75 + (perc_90 - perc_75) * (2/3), converted_stat, '2K_Ratings'!L871, IF(bbgm_stat &gt;= perc_95, converted_stat * 3, IF(bbgm_stat &gt;= perc_90, converted_stat * 2, IF(bbgm_stat &gt;= perc_85, converted_stat * 1.5, converted_stat)))))</f>
        <v/>
      </c>
      <c r="M871" s="30" t="str">
        <f t="array" ref="M871">IF($A871="", "", LET(bbgm_stat, INDEX(Players!$A870:$P870, MATCH(M$2, Players!$A$1:$P$1, 0)), perc_75, VLOOKUP(M$2, Percentiles!$A$45:$I$59, 6, FALSE), perc_90, VLOOKUP(M$2, Percentiles!$A$45:$I$59, 7, FALSE), perc_95, VLOOKUP(M$2, Percentiles!$A$45:$I$59, 8, FALSE), perc_85, perc_75 + (perc_90 - perc_75) * (2/3), converted_stat, '2K_Ratings'!M871, IF(bbgm_stat &gt;= perc_95, converted_stat * 3, IF(bbgm_stat &gt;= perc_90, converted_stat * 2, IF(bbgm_stat &gt;= perc_85, converted_stat * 1.5, converted_stat)))))</f>
        <v/>
      </c>
      <c r="N871" s="30" t="str">
        <f t="array" ref="N871">IF($A871="", "", LET(bbgm_stat, INDEX(Players!$A870:$P870, MATCH(N$2, Players!$A$1:$P$1, 0)), perc_75, VLOOKUP(N$2, Percentiles!$A$45:$I$59, 6, FALSE), perc_90, VLOOKUP(N$2, Percentiles!$A$45:$I$59, 7, FALSE), perc_95, VLOOKUP(N$2, Percentiles!$A$45:$I$59, 8, FALSE), perc_85, perc_75 + (perc_90 - perc_75) * (2/3), converted_stat, '2K_Ratings'!N871, IF(bbgm_stat &gt;= perc_95, converted_stat * 3, IF(bbgm_stat &gt;= perc_90, converted_stat * 2, IF(bbgm_stat &gt;= perc_85, converted_stat * 1.5, converted_stat)))))</f>
        <v/>
      </c>
      <c r="O871" s="30" t="str">
        <f t="array" ref="O871">IF($A871="", "", LET(bbgm_stat, INDEX(Players!$A870:$P870, MATCH(O$2, Players!$A$1:$P$1, 0)), perc_75, VLOOKUP(O$2, Percentiles!$A$45:$I$59, 6, FALSE), perc_90, VLOOKUP(O$2, Percentiles!$A$45:$I$59, 7, FALSE), perc_95, VLOOKUP(O$2, Percentiles!$A$45:$I$59, 8, FALSE), perc_85, perc_75 + (perc_90 - perc_75) * (2/3), converted_stat, '2K_Ratings'!O871, IF(bbgm_stat &gt;= perc_95, converted_stat * 3, IF(bbgm_stat &gt;= perc_90, converted_stat * 2, IF(bbgm_stat &gt;= perc_85, converted_stat * 1.5, converted_stat)))))</f>
        <v/>
      </c>
      <c r="P871" s="30" t="str">
        <f t="array" ref="P871">IF($A871="", "", LET(bbgm_stat, INDEX(Players!$A870:$P870, MATCH(P$2, Players!$A$1:$P$1, 0)), perc_75, VLOOKUP(P$2, Percentiles!$A$45:$I$59, 6, FALSE), perc_90, VLOOKUP(P$2, Percentiles!$A$45:$I$59, 7, FALSE), perc_95, VLOOKUP(P$2, Percentiles!$A$45:$I$59, 8, FALSE), perc_85, perc_75 + (perc_90 - perc_75) * (2/3), converted_stat, '2K_Ratings'!P871, IF(bbgm_stat &gt;= perc_95, converted_stat * 3, IF(bbgm_stat &gt;= perc_90, converted_stat * 2, IF(bbgm_stat &gt;= perc_85, converted_stat * 1.5, converted_stat)))))</f>
        <v/>
      </c>
      <c r="Q871" s="30" t="str">
        <f t="array" ref="Q871">IF($A871="", "", LET(bbgm_stat, INDEX(Players!$A870:$P870, MATCH(Q$2, Players!$A$1:$P$1, 0)), perc_75, VLOOKUP(Q$2, Percentiles!$A$45:$I$59, 6, FALSE), perc_90, VLOOKUP(Q$2, Percentiles!$A$45:$I$59, 7, FALSE), perc_95, VLOOKUP(Q$2, Percentiles!$A$45:$I$59, 8, FALSE), perc_85, perc_75 + (perc_90 - perc_75) * (2/3), converted_stat, '2K_Ratings'!Q871, IF(bbgm_stat &gt;= perc_95, converted_stat * 3, IF(bbgm_stat &gt;= perc_90, converted_stat * 2, IF(bbgm_stat &gt;= perc_85, converted_stat * 1.5, converted_stat)))))</f>
        <v/>
      </c>
      <c r="R871" s="30" t="str">
        <f t="array" ref="R871">IF($A871="", "", LET(bbgm_stat, INDEX(Players!$A870:$P870, MATCH(R$2, Players!$A$1:$P$1, 0)), perc_75, VLOOKUP(R$2, Percentiles!$A$45:$I$59, 6, FALSE), perc_90, VLOOKUP(R$2, Percentiles!$A$45:$I$59, 7, FALSE), perc_95, VLOOKUP(R$2, Percentiles!$A$45:$I$59, 8, FALSE), perc_85, perc_75 + (perc_90 - perc_75) * (2/3), converted_stat, '2K_Ratings'!R871, IF(bbgm_stat &gt;= perc_95, converted_stat * 3, IF(bbgm_stat &gt;= perc_90, converted_stat * 2, IF(bbgm_stat &gt;= perc_85, converted_stat * 1.5, converted_stat)))))</f>
        <v/>
      </c>
      <c r="S871" s="30" t="str">
        <f t="array" ref="S871">IF($A871="", "", LET(bbgm_stat, INDEX(Players!$A870:$P870, MATCH(S$2, Players!$A$1:$P$1, 0)), perc_75, VLOOKUP(S$2, Percentiles!$A$45:$I$59, 6, FALSE), perc_90, VLOOKUP(S$2, Percentiles!$A$45:$I$59, 7, FALSE), perc_95, VLOOKUP(S$2, Percentiles!$A$45:$I$59, 8, FALSE), perc_85, perc_75 + (perc_90 - perc_75) * (2/3), converted_stat, '2K_Ratings'!S871, IF(bbgm_stat &gt;= perc_95, converted_stat * 3, IF(bbgm_stat &gt;= perc_90, converted_stat * 2, IF(bbgm_stat &gt;= perc_85, converted_stat * 1.5, converted_stat)))))</f>
        <v/>
      </c>
      <c r="T871" s="30" t="str">
        <f t="array" ref="T871">IF($A871="", "", LET(bbgm_stat, INDEX(Players!$A870:$P870, MATCH(T$2, Players!$A$1:$P$1, 0)), perc_75, VLOOKUP(T$2, Percentiles!$A$45:$I$59, 6, FALSE), perc_90, VLOOKUP(T$2, Percentiles!$A$45:$I$59, 7, FALSE), perc_95, VLOOKUP(T$2, Percentiles!$A$45:$I$59, 8, FALSE), perc_85, perc_75 + (perc_90 - perc_75) * (2/3), converted_stat, '2K_Ratings'!T871, IF(bbgm_stat &gt;= perc_95, converted_stat * 3, IF(bbgm_stat &gt;= perc_90, converted_stat * 2, IF(bbgm_stat &gt;= perc_85, converted_stat * 1.5, converted_stat)))))</f>
        <v/>
      </c>
      <c r="U871" s="30" t="str">
        <f t="array" ref="U871">IF($A871="", "", LET(bbgm_stat, INDEX(Players!$A870:$P870, MATCH(U$2, Players!$A$1:$P$1, 0)), perc_75, VLOOKUP(U$2, Percentiles!$A$45:$I$59, 6, FALSE), perc_90, VLOOKUP(U$2, Percentiles!$A$45:$I$59, 7, FALSE), perc_95, VLOOKUP(U$2, Percentiles!$A$45:$I$59, 8, FALSE), perc_85, perc_75 + (perc_90 - perc_75) * (2/3), converted_stat, '2K_Ratings'!U871, IF(bbgm_stat &gt;= perc_95, converted_stat * 3, IF(bbgm_stat &gt;= perc_90, converted_stat * 2, IF(bbgm_stat &gt;= perc_85, converted_stat * 1.5, converted_stat)))))</f>
        <v/>
      </c>
      <c r="V871" s="30" t="str">
        <f t="array" ref="V871">IF($A871="", "", LET(bbgm_stat, INDEX(Players!$A870:$P870, MATCH(V$2, Players!$A$1:$P$1, 0)), perc_75, VLOOKUP(V$2, Percentiles!$A$45:$I$59, 6, FALSE), perc_90, VLOOKUP(V$2, Percentiles!$A$45:$I$59, 7, FALSE), perc_95, VLOOKUP(V$2, Percentiles!$A$45:$I$59, 8, FALSE), perc_85, perc_75 + (perc_90 - perc_75) * (2/3), converted_stat, '2K_Ratings'!V871, IF(bbgm_stat &gt;= perc_95, converted_stat * 3, IF(bbgm_stat &gt;= perc_90, converted_stat * 2, IF(bbgm_stat &gt;= perc_85, converted_stat * 1.5, converted_stat)))))</f>
        <v/>
      </c>
      <c r="W871" s="30" t="str">
        <f t="array" ref="W871">IF($A871="", "", LET(bbgm_stat, INDEX(Players!$A870:$P870, MATCH(W$2, Players!$A$1:$P$1, 0)), perc_75, VLOOKUP(W$2, Percentiles!$A$45:$I$59, 6, FALSE), perc_90, VLOOKUP(W$2, Percentiles!$A$45:$I$59, 7, FALSE), perc_95, VLOOKUP(W$2, Percentiles!$A$45:$I$59, 8, FALSE), perc_85, perc_75 + (perc_90 - perc_75) * (2/3), converted_stat, '2K_Ratings'!W871, IF(bbgm_stat &gt;= perc_95, converted_stat * 3, IF(bbgm_stat &gt;= perc_90, converted_stat * 2, IF(bbgm_stat &gt;= perc_85, converted_stat * 1.5, converted_stat)))))</f>
        <v/>
      </c>
    </row>
    <row r="872">
      <c r="A872" s="30"/>
      <c r="B872" s="30" t="str">
        <f t="array" ref="B872">IF($A872="", "", LET(bbgm_stat, INDEX(Players!$A871:$P871, MATCH(B$2, Players!$A$1:$P$1, 0)), perc_75, VLOOKUP(B$2, Percentiles!$A$45:$I$59, 6, FALSE), perc_90, VLOOKUP(B$2, Percentiles!$A$45:$I$59, 7, FALSE), perc_95, VLOOKUP(B$2, Percentiles!$A$45:$I$59, 8, FALSE), perc_85, perc_75 + (perc_90 - perc_75) * (2/3), converted_stat, '2K_Ratings'!B872, IF(bbgm_stat &gt;= perc_95, converted_stat * 3, IF(bbgm_stat &gt;= perc_90, converted_stat * 2, IF(bbgm_stat &gt;= perc_85, converted_stat * 1.5, converted_stat)))))</f>
        <v/>
      </c>
      <c r="C872" s="30" t="str">
        <f t="array" ref="C872">IF($A872="", "", LET(bbgm_stat, INDEX(Players!$A871:$P871, MATCH(C$2, Players!$A$1:$P$1, 0)), perc_75, VLOOKUP(C$2, Percentiles!$A$45:$I$59, 6, FALSE), perc_90, VLOOKUP(C$2, Percentiles!$A$45:$I$59, 7, FALSE), perc_95, VLOOKUP(C$2, Percentiles!$A$45:$I$59, 8, FALSE), perc_85, perc_75 + (perc_90 - perc_75) * (2/3), converted_stat, '2K_Ratings'!C872, IF(bbgm_stat &gt;= perc_95, converted_stat * 3, IF(bbgm_stat &gt;= perc_90, converted_stat * 2, IF(bbgm_stat &gt;= perc_85, converted_stat * 1.5, converted_stat)))))</f>
        <v/>
      </c>
      <c r="D872" s="30" t="str">
        <f t="array" ref="D872">IF($A872="", "", LET(bbgm_stat, INDEX(Players!$A871:$P871, MATCH(D$2, Players!$A$1:$P$1, 0)), perc_75, VLOOKUP(D$2, Percentiles!$A$45:$I$59, 6, FALSE), perc_90, VLOOKUP(D$2, Percentiles!$A$45:$I$59, 7, FALSE), perc_95, VLOOKUP(D$2, Percentiles!$A$45:$I$59, 8, FALSE), perc_85, perc_75 + (perc_90 - perc_75) * (2/3), converted_stat, '2K_Ratings'!D872, IF(bbgm_stat &gt;= perc_95, converted_stat * 3, IF(bbgm_stat &gt;= perc_90, converted_stat * 2, IF(bbgm_stat &gt;= perc_85, converted_stat * 1.5, converted_stat)))))</f>
        <v/>
      </c>
      <c r="E872" s="30" t="str">
        <f t="array" ref="E872">IF($A872="", "", LET(bbgm_stat, INDEX(Players!$A871:$P871, MATCH(E$2, Players!$A$1:$P$1, 0)), perc_75, VLOOKUP(E$2, Percentiles!$A$45:$I$59, 6, FALSE), perc_90, VLOOKUP(E$2, Percentiles!$A$45:$I$59, 7, FALSE), perc_95, VLOOKUP(E$2, Percentiles!$A$45:$I$59, 8, FALSE), perc_85, perc_75 + (perc_90 - perc_75) * (2/3), converted_stat, '2K_Ratings'!E872, IF(bbgm_stat &gt;= perc_95, converted_stat * 3, IF(bbgm_stat &gt;= perc_90, converted_stat * 2, IF(bbgm_stat &gt;= perc_85, converted_stat * 1.5, converted_stat)))))</f>
        <v/>
      </c>
      <c r="F872" s="30" t="str">
        <f t="array" ref="F872">IF($A872="", "", LET(bbgm_stat, INDEX(Players!$A871:$P871, MATCH(F$2, Players!$A$1:$P$1, 0)), perc_75, VLOOKUP(F$2, Percentiles!$A$45:$I$59, 6, FALSE), perc_90, VLOOKUP(F$2, Percentiles!$A$45:$I$59, 7, FALSE), perc_95, VLOOKUP(F$2, Percentiles!$A$45:$I$59, 8, FALSE), perc_85, perc_75 + (perc_90 - perc_75) * (2/3), converted_stat, '2K_Ratings'!F872, IF(bbgm_stat &gt;= perc_95, converted_stat * 3, IF(bbgm_stat &gt;= perc_90, converted_stat * 2, IF(bbgm_stat &gt;= perc_85, converted_stat * 1.5, converted_stat)))))</f>
        <v/>
      </c>
      <c r="G872" s="30" t="str">
        <f t="array" ref="G872">IF($A872="", "", LET(bbgm_stat, INDEX(Players!$A871:$P871, MATCH(G$2, Players!$A$1:$P$1, 0)), perc_75, VLOOKUP(G$2, Percentiles!$A$45:$I$59, 6, FALSE), perc_90, VLOOKUP(G$2, Percentiles!$A$45:$I$59, 7, FALSE), perc_95, VLOOKUP(G$2, Percentiles!$A$45:$I$59, 8, FALSE), perc_85, perc_75 + (perc_90 - perc_75) * (2/3), converted_stat, '2K_Ratings'!G872, IF(bbgm_stat &gt;= perc_95, converted_stat * 3, IF(bbgm_stat &gt;= perc_90, converted_stat * 2, IF(bbgm_stat &gt;= perc_85, converted_stat * 1.5, converted_stat)))))</f>
        <v/>
      </c>
      <c r="H872" s="30" t="str">
        <f t="array" ref="H872">IF($A872="", "", LET(bbgm_stat, INDEX(Players!$A871:$P871, MATCH(H$2, Players!$A$1:$P$1, 0)), perc_75, VLOOKUP(H$2, Percentiles!$A$45:$I$59, 6, FALSE), perc_90, VLOOKUP(H$2, Percentiles!$A$45:$I$59, 7, FALSE), perc_95, VLOOKUP(H$2, Percentiles!$A$45:$I$59, 8, FALSE), perc_85, perc_75 + (perc_90 - perc_75) * (2/3), converted_stat, '2K_Ratings'!H872, IF(bbgm_stat &gt;= perc_95, converted_stat * 3, IF(bbgm_stat &gt;= perc_90, converted_stat * 2, IF(bbgm_stat &gt;= perc_85, converted_stat * 1.5, converted_stat)))))</f>
        <v/>
      </c>
      <c r="I872" s="30" t="str">
        <f t="array" ref="I872">IF($A872="", "", LET(bbgm_stat, INDEX(Players!$A871:$P871, MATCH(I$2, Players!$A$1:$P$1, 0)), perc_75, VLOOKUP(I$2, Percentiles!$A$45:$I$59, 6, FALSE), perc_90, VLOOKUP(I$2, Percentiles!$A$45:$I$59, 7, FALSE), perc_95, VLOOKUP(I$2, Percentiles!$A$45:$I$59, 8, FALSE), perc_85, perc_75 + (perc_90 - perc_75) * (2/3), converted_stat, '2K_Ratings'!I872, IF(bbgm_stat &gt;= perc_95, converted_stat * 3, IF(bbgm_stat &gt;= perc_90, converted_stat * 2, IF(bbgm_stat &gt;= perc_85, converted_stat * 1.5, converted_stat)))))</f>
        <v/>
      </c>
      <c r="J872" s="30" t="str">
        <f t="array" ref="J872">IF($A872="", "", LET(bbgm_stat, INDEX(Players!$A871:$P871, MATCH(J$2, Players!$A$1:$P$1, 0)), perc_75, VLOOKUP(J$2, Percentiles!$A$45:$I$59, 6, FALSE), perc_90, VLOOKUP(J$2, Percentiles!$A$45:$I$59, 7, FALSE), perc_95, VLOOKUP(J$2, Percentiles!$A$45:$I$59, 8, FALSE), perc_85, perc_75 + (perc_90 - perc_75) * (2/3), converted_stat, '2K_Ratings'!J872, IF(bbgm_stat &gt;= perc_95, converted_stat * 3, IF(bbgm_stat &gt;= perc_90, converted_stat * 2, IF(bbgm_stat &gt;= perc_85, converted_stat * 1.5, converted_stat)))))</f>
        <v/>
      </c>
      <c r="K872" s="30" t="str">
        <f t="array" ref="K872">IF($A872="", "", LET(bbgm_stat, INDEX(Players!$A871:$P871, MATCH(K$2, Players!$A$1:$P$1, 0)), perc_75, VLOOKUP(K$2, Percentiles!$A$45:$I$59, 6, FALSE), perc_90, VLOOKUP(K$2, Percentiles!$A$45:$I$59, 7, FALSE), perc_95, VLOOKUP(K$2, Percentiles!$A$45:$I$59, 8, FALSE), perc_85, perc_75 + (perc_90 - perc_75) * (2/3), converted_stat, '2K_Ratings'!K872, IF(bbgm_stat &gt;= perc_95, converted_stat * 3, IF(bbgm_stat &gt;= perc_90, converted_stat * 2, IF(bbgm_stat &gt;= perc_85, converted_stat * 1.5, converted_stat)))))</f>
        <v/>
      </c>
      <c r="L872" s="30" t="str">
        <f t="array" ref="L872">IF($A872="", "", LET(bbgm_stat, INDEX(Players!$A871:$P871, MATCH(L$2, Players!$A$1:$P$1, 0)), perc_75, VLOOKUP(L$2, Percentiles!$A$45:$I$59, 6, FALSE), perc_90, VLOOKUP(L$2, Percentiles!$A$45:$I$59, 7, FALSE), perc_95, VLOOKUP(L$2, Percentiles!$A$45:$I$59, 8, FALSE), perc_85, perc_75 + (perc_90 - perc_75) * (2/3), converted_stat, '2K_Ratings'!L872, IF(bbgm_stat &gt;= perc_95, converted_stat * 3, IF(bbgm_stat &gt;= perc_90, converted_stat * 2, IF(bbgm_stat &gt;= perc_85, converted_stat * 1.5, converted_stat)))))</f>
        <v/>
      </c>
      <c r="M872" s="30" t="str">
        <f t="array" ref="M872">IF($A872="", "", LET(bbgm_stat, INDEX(Players!$A871:$P871, MATCH(M$2, Players!$A$1:$P$1, 0)), perc_75, VLOOKUP(M$2, Percentiles!$A$45:$I$59, 6, FALSE), perc_90, VLOOKUP(M$2, Percentiles!$A$45:$I$59, 7, FALSE), perc_95, VLOOKUP(M$2, Percentiles!$A$45:$I$59, 8, FALSE), perc_85, perc_75 + (perc_90 - perc_75) * (2/3), converted_stat, '2K_Ratings'!M872, IF(bbgm_stat &gt;= perc_95, converted_stat * 3, IF(bbgm_stat &gt;= perc_90, converted_stat * 2, IF(bbgm_stat &gt;= perc_85, converted_stat * 1.5, converted_stat)))))</f>
        <v/>
      </c>
      <c r="N872" s="30" t="str">
        <f t="array" ref="N872">IF($A872="", "", LET(bbgm_stat, INDEX(Players!$A871:$P871, MATCH(N$2, Players!$A$1:$P$1, 0)), perc_75, VLOOKUP(N$2, Percentiles!$A$45:$I$59, 6, FALSE), perc_90, VLOOKUP(N$2, Percentiles!$A$45:$I$59, 7, FALSE), perc_95, VLOOKUP(N$2, Percentiles!$A$45:$I$59, 8, FALSE), perc_85, perc_75 + (perc_90 - perc_75) * (2/3), converted_stat, '2K_Ratings'!N872, IF(bbgm_stat &gt;= perc_95, converted_stat * 3, IF(bbgm_stat &gt;= perc_90, converted_stat * 2, IF(bbgm_stat &gt;= perc_85, converted_stat * 1.5, converted_stat)))))</f>
        <v/>
      </c>
      <c r="O872" s="30" t="str">
        <f t="array" ref="O872">IF($A872="", "", LET(bbgm_stat, INDEX(Players!$A871:$P871, MATCH(O$2, Players!$A$1:$P$1, 0)), perc_75, VLOOKUP(O$2, Percentiles!$A$45:$I$59, 6, FALSE), perc_90, VLOOKUP(O$2, Percentiles!$A$45:$I$59, 7, FALSE), perc_95, VLOOKUP(O$2, Percentiles!$A$45:$I$59, 8, FALSE), perc_85, perc_75 + (perc_90 - perc_75) * (2/3), converted_stat, '2K_Ratings'!O872, IF(bbgm_stat &gt;= perc_95, converted_stat * 3, IF(bbgm_stat &gt;= perc_90, converted_stat * 2, IF(bbgm_stat &gt;= perc_85, converted_stat * 1.5, converted_stat)))))</f>
        <v/>
      </c>
      <c r="P872" s="30" t="str">
        <f t="array" ref="P872">IF($A872="", "", LET(bbgm_stat, INDEX(Players!$A871:$P871, MATCH(P$2, Players!$A$1:$P$1, 0)), perc_75, VLOOKUP(P$2, Percentiles!$A$45:$I$59, 6, FALSE), perc_90, VLOOKUP(P$2, Percentiles!$A$45:$I$59, 7, FALSE), perc_95, VLOOKUP(P$2, Percentiles!$A$45:$I$59, 8, FALSE), perc_85, perc_75 + (perc_90 - perc_75) * (2/3), converted_stat, '2K_Ratings'!P872, IF(bbgm_stat &gt;= perc_95, converted_stat * 3, IF(bbgm_stat &gt;= perc_90, converted_stat * 2, IF(bbgm_stat &gt;= perc_85, converted_stat * 1.5, converted_stat)))))</f>
        <v/>
      </c>
      <c r="Q872" s="30" t="str">
        <f t="array" ref="Q872">IF($A872="", "", LET(bbgm_stat, INDEX(Players!$A871:$P871, MATCH(Q$2, Players!$A$1:$P$1, 0)), perc_75, VLOOKUP(Q$2, Percentiles!$A$45:$I$59, 6, FALSE), perc_90, VLOOKUP(Q$2, Percentiles!$A$45:$I$59, 7, FALSE), perc_95, VLOOKUP(Q$2, Percentiles!$A$45:$I$59, 8, FALSE), perc_85, perc_75 + (perc_90 - perc_75) * (2/3), converted_stat, '2K_Ratings'!Q872, IF(bbgm_stat &gt;= perc_95, converted_stat * 3, IF(bbgm_stat &gt;= perc_90, converted_stat * 2, IF(bbgm_stat &gt;= perc_85, converted_stat * 1.5, converted_stat)))))</f>
        <v/>
      </c>
      <c r="R872" s="30" t="str">
        <f t="array" ref="R872">IF($A872="", "", LET(bbgm_stat, INDEX(Players!$A871:$P871, MATCH(R$2, Players!$A$1:$P$1, 0)), perc_75, VLOOKUP(R$2, Percentiles!$A$45:$I$59, 6, FALSE), perc_90, VLOOKUP(R$2, Percentiles!$A$45:$I$59, 7, FALSE), perc_95, VLOOKUP(R$2, Percentiles!$A$45:$I$59, 8, FALSE), perc_85, perc_75 + (perc_90 - perc_75) * (2/3), converted_stat, '2K_Ratings'!R872, IF(bbgm_stat &gt;= perc_95, converted_stat * 3, IF(bbgm_stat &gt;= perc_90, converted_stat * 2, IF(bbgm_stat &gt;= perc_85, converted_stat * 1.5, converted_stat)))))</f>
        <v/>
      </c>
      <c r="S872" s="30" t="str">
        <f t="array" ref="S872">IF($A872="", "", LET(bbgm_stat, INDEX(Players!$A871:$P871, MATCH(S$2, Players!$A$1:$P$1, 0)), perc_75, VLOOKUP(S$2, Percentiles!$A$45:$I$59, 6, FALSE), perc_90, VLOOKUP(S$2, Percentiles!$A$45:$I$59, 7, FALSE), perc_95, VLOOKUP(S$2, Percentiles!$A$45:$I$59, 8, FALSE), perc_85, perc_75 + (perc_90 - perc_75) * (2/3), converted_stat, '2K_Ratings'!S872, IF(bbgm_stat &gt;= perc_95, converted_stat * 3, IF(bbgm_stat &gt;= perc_90, converted_stat * 2, IF(bbgm_stat &gt;= perc_85, converted_stat * 1.5, converted_stat)))))</f>
        <v/>
      </c>
      <c r="T872" s="30" t="str">
        <f t="array" ref="T872">IF($A872="", "", LET(bbgm_stat, INDEX(Players!$A871:$P871, MATCH(T$2, Players!$A$1:$P$1, 0)), perc_75, VLOOKUP(T$2, Percentiles!$A$45:$I$59, 6, FALSE), perc_90, VLOOKUP(T$2, Percentiles!$A$45:$I$59, 7, FALSE), perc_95, VLOOKUP(T$2, Percentiles!$A$45:$I$59, 8, FALSE), perc_85, perc_75 + (perc_90 - perc_75) * (2/3), converted_stat, '2K_Ratings'!T872, IF(bbgm_stat &gt;= perc_95, converted_stat * 3, IF(bbgm_stat &gt;= perc_90, converted_stat * 2, IF(bbgm_stat &gt;= perc_85, converted_stat * 1.5, converted_stat)))))</f>
        <v/>
      </c>
      <c r="U872" s="30" t="str">
        <f t="array" ref="U872">IF($A872="", "", LET(bbgm_stat, INDEX(Players!$A871:$P871, MATCH(U$2, Players!$A$1:$P$1, 0)), perc_75, VLOOKUP(U$2, Percentiles!$A$45:$I$59, 6, FALSE), perc_90, VLOOKUP(U$2, Percentiles!$A$45:$I$59, 7, FALSE), perc_95, VLOOKUP(U$2, Percentiles!$A$45:$I$59, 8, FALSE), perc_85, perc_75 + (perc_90 - perc_75) * (2/3), converted_stat, '2K_Ratings'!U872, IF(bbgm_stat &gt;= perc_95, converted_stat * 3, IF(bbgm_stat &gt;= perc_90, converted_stat * 2, IF(bbgm_stat &gt;= perc_85, converted_stat * 1.5, converted_stat)))))</f>
        <v/>
      </c>
      <c r="V872" s="30" t="str">
        <f t="array" ref="V872">IF($A872="", "", LET(bbgm_stat, INDEX(Players!$A871:$P871, MATCH(V$2, Players!$A$1:$P$1, 0)), perc_75, VLOOKUP(V$2, Percentiles!$A$45:$I$59, 6, FALSE), perc_90, VLOOKUP(V$2, Percentiles!$A$45:$I$59, 7, FALSE), perc_95, VLOOKUP(V$2, Percentiles!$A$45:$I$59, 8, FALSE), perc_85, perc_75 + (perc_90 - perc_75) * (2/3), converted_stat, '2K_Ratings'!V872, IF(bbgm_stat &gt;= perc_95, converted_stat * 3, IF(bbgm_stat &gt;= perc_90, converted_stat * 2, IF(bbgm_stat &gt;= perc_85, converted_stat * 1.5, converted_stat)))))</f>
        <v/>
      </c>
      <c r="W872" s="30" t="str">
        <f t="array" ref="W872">IF($A872="", "", LET(bbgm_stat, INDEX(Players!$A871:$P871, MATCH(W$2, Players!$A$1:$P$1, 0)), perc_75, VLOOKUP(W$2, Percentiles!$A$45:$I$59, 6, FALSE), perc_90, VLOOKUP(W$2, Percentiles!$A$45:$I$59, 7, FALSE), perc_95, VLOOKUP(W$2, Percentiles!$A$45:$I$59, 8, FALSE), perc_85, perc_75 + (perc_90 - perc_75) * (2/3), converted_stat, '2K_Ratings'!W872, IF(bbgm_stat &gt;= perc_95, converted_stat * 3, IF(bbgm_stat &gt;= perc_90, converted_stat * 2, IF(bbgm_stat &gt;= perc_85, converted_stat * 1.5, converted_stat)))))</f>
        <v/>
      </c>
    </row>
    <row r="873">
      <c r="A873" s="30"/>
      <c r="B873" s="30" t="str">
        <f t="array" ref="B873">IF($A873="", "", LET(bbgm_stat, INDEX(Players!$A872:$P872, MATCH(B$2, Players!$A$1:$P$1, 0)), perc_75, VLOOKUP(B$2, Percentiles!$A$45:$I$59, 6, FALSE), perc_90, VLOOKUP(B$2, Percentiles!$A$45:$I$59, 7, FALSE), perc_95, VLOOKUP(B$2, Percentiles!$A$45:$I$59, 8, FALSE), perc_85, perc_75 + (perc_90 - perc_75) * (2/3), converted_stat, '2K_Ratings'!B873, IF(bbgm_stat &gt;= perc_95, converted_stat * 3, IF(bbgm_stat &gt;= perc_90, converted_stat * 2, IF(bbgm_stat &gt;= perc_85, converted_stat * 1.5, converted_stat)))))</f>
        <v/>
      </c>
      <c r="C873" s="30" t="str">
        <f t="array" ref="C873">IF($A873="", "", LET(bbgm_stat, INDEX(Players!$A872:$P872, MATCH(C$2, Players!$A$1:$P$1, 0)), perc_75, VLOOKUP(C$2, Percentiles!$A$45:$I$59, 6, FALSE), perc_90, VLOOKUP(C$2, Percentiles!$A$45:$I$59, 7, FALSE), perc_95, VLOOKUP(C$2, Percentiles!$A$45:$I$59, 8, FALSE), perc_85, perc_75 + (perc_90 - perc_75) * (2/3), converted_stat, '2K_Ratings'!C873, IF(bbgm_stat &gt;= perc_95, converted_stat * 3, IF(bbgm_stat &gt;= perc_90, converted_stat * 2, IF(bbgm_stat &gt;= perc_85, converted_stat * 1.5, converted_stat)))))</f>
        <v/>
      </c>
      <c r="D873" s="30" t="str">
        <f t="array" ref="D873">IF($A873="", "", LET(bbgm_stat, INDEX(Players!$A872:$P872, MATCH(D$2, Players!$A$1:$P$1, 0)), perc_75, VLOOKUP(D$2, Percentiles!$A$45:$I$59, 6, FALSE), perc_90, VLOOKUP(D$2, Percentiles!$A$45:$I$59, 7, FALSE), perc_95, VLOOKUP(D$2, Percentiles!$A$45:$I$59, 8, FALSE), perc_85, perc_75 + (perc_90 - perc_75) * (2/3), converted_stat, '2K_Ratings'!D873, IF(bbgm_stat &gt;= perc_95, converted_stat * 3, IF(bbgm_stat &gt;= perc_90, converted_stat * 2, IF(bbgm_stat &gt;= perc_85, converted_stat * 1.5, converted_stat)))))</f>
        <v/>
      </c>
      <c r="E873" s="30" t="str">
        <f t="array" ref="E873">IF($A873="", "", LET(bbgm_stat, INDEX(Players!$A872:$P872, MATCH(E$2, Players!$A$1:$P$1, 0)), perc_75, VLOOKUP(E$2, Percentiles!$A$45:$I$59, 6, FALSE), perc_90, VLOOKUP(E$2, Percentiles!$A$45:$I$59, 7, FALSE), perc_95, VLOOKUP(E$2, Percentiles!$A$45:$I$59, 8, FALSE), perc_85, perc_75 + (perc_90 - perc_75) * (2/3), converted_stat, '2K_Ratings'!E873, IF(bbgm_stat &gt;= perc_95, converted_stat * 3, IF(bbgm_stat &gt;= perc_90, converted_stat * 2, IF(bbgm_stat &gt;= perc_85, converted_stat * 1.5, converted_stat)))))</f>
        <v/>
      </c>
      <c r="F873" s="30" t="str">
        <f t="array" ref="F873">IF($A873="", "", LET(bbgm_stat, INDEX(Players!$A872:$P872, MATCH(F$2, Players!$A$1:$P$1, 0)), perc_75, VLOOKUP(F$2, Percentiles!$A$45:$I$59, 6, FALSE), perc_90, VLOOKUP(F$2, Percentiles!$A$45:$I$59, 7, FALSE), perc_95, VLOOKUP(F$2, Percentiles!$A$45:$I$59, 8, FALSE), perc_85, perc_75 + (perc_90 - perc_75) * (2/3), converted_stat, '2K_Ratings'!F873, IF(bbgm_stat &gt;= perc_95, converted_stat * 3, IF(bbgm_stat &gt;= perc_90, converted_stat * 2, IF(bbgm_stat &gt;= perc_85, converted_stat * 1.5, converted_stat)))))</f>
        <v/>
      </c>
      <c r="G873" s="30" t="str">
        <f t="array" ref="G873">IF($A873="", "", LET(bbgm_stat, INDEX(Players!$A872:$P872, MATCH(G$2, Players!$A$1:$P$1, 0)), perc_75, VLOOKUP(G$2, Percentiles!$A$45:$I$59, 6, FALSE), perc_90, VLOOKUP(G$2, Percentiles!$A$45:$I$59, 7, FALSE), perc_95, VLOOKUP(G$2, Percentiles!$A$45:$I$59, 8, FALSE), perc_85, perc_75 + (perc_90 - perc_75) * (2/3), converted_stat, '2K_Ratings'!G873, IF(bbgm_stat &gt;= perc_95, converted_stat * 3, IF(bbgm_stat &gt;= perc_90, converted_stat * 2, IF(bbgm_stat &gt;= perc_85, converted_stat * 1.5, converted_stat)))))</f>
        <v/>
      </c>
      <c r="H873" s="30" t="str">
        <f t="array" ref="H873">IF($A873="", "", LET(bbgm_stat, INDEX(Players!$A872:$P872, MATCH(H$2, Players!$A$1:$P$1, 0)), perc_75, VLOOKUP(H$2, Percentiles!$A$45:$I$59, 6, FALSE), perc_90, VLOOKUP(H$2, Percentiles!$A$45:$I$59, 7, FALSE), perc_95, VLOOKUP(H$2, Percentiles!$A$45:$I$59, 8, FALSE), perc_85, perc_75 + (perc_90 - perc_75) * (2/3), converted_stat, '2K_Ratings'!H873, IF(bbgm_stat &gt;= perc_95, converted_stat * 3, IF(bbgm_stat &gt;= perc_90, converted_stat * 2, IF(bbgm_stat &gt;= perc_85, converted_stat * 1.5, converted_stat)))))</f>
        <v/>
      </c>
      <c r="I873" s="30" t="str">
        <f t="array" ref="I873">IF($A873="", "", LET(bbgm_stat, INDEX(Players!$A872:$P872, MATCH(I$2, Players!$A$1:$P$1, 0)), perc_75, VLOOKUP(I$2, Percentiles!$A$45:$I$59, 6, FALSE), perc_90, VLOOKUP(I$2, Percentiles!$A$45:$I$59, 7, FALSE), perc_95, VLOOKUP(I$2, Percentiles!$A$45:$I$59, 8, FALSE), perc_85, perc_75 + (perc_90 - perc_75) * (2/3), converted_stat, '2K_Ratings'!I873, IF(bbgm_stat &gt;= perc_95, converted_stat * 3, IF(bbgm_stat &gt;= perc_90, converted_stat * 2, IF(bbgm_stat &gt;= perc_85, converted_stat * 1.5, converted_stat)))))</f>
        <v/>
      </c>
      <c r="J873" s="30" t="str">
        <f t="array" ref="J873">IF($A873="", "", LET(bbgm_stat, INDEX(Players!$A872:$P872, MATCH(J$2, Players!$A$1:$P$1, 0)), perc_75, VLOOKUP(J$2, Percentiles!$A$45:$I$59, 6, FALSE), perc_90, VLOOKUP(J$2, Percentiles!$A$45:$I$59, 7, FALSE), perc_95, VLOOKUP(J$2, Percentiles!$A$45:$I$59, 8, FALSE), perc_85, perc_75 + (perc_90 - perc_75) * (2/3), converted_stat, '2K_Ratings'!J873, IF(bbgm_stat &gt;= perc_95, converted_stat * 3, IF(bbgm_stat &gt;= perc_90, converted_stat * 2, IF(bbgm_stat &gt;= perc_85, converted_stat * 1.5, converted_stat)))))</f>
        <v/>
      </c>
      <c r="K873" s="30" t="str">
        <f t="array" ref="K873">IF($A873="", "", LET(bbgm_stat, INDEX(Players!$A872:$P872, MATCH(K$2, Players!$A$1:$P$1, 0)), perc_75, VLOOKUP(K$2, Percentiles!$A$45:$I$59, 6, FALSE), perc_90, VLOOKUP(K$2, Percentiles!$A$45:$I$59, 7, FALSE), perc_95, VLOOKUP(K$2, Percentiles!$A$45:$I$59, 8, FALSE), perc_85, perc_75 + (perc_90 - perc_75) * (2/3), converted_stat, '2K_Ratings'!K873, IF(bbgm_stat &gt;= perc_95, converted_stat * 3, IF(bbgm_stat &gt;= perc_90, converted_stat * 2, IF(bbgm_stat &gt;= perc_85, converted_stat * 1.5, converted_stat)))))</f>
        <v/>
      </c>
      <c r="L873" s="30" t="str">
        <f t="array" ref="L873">IF($A873="", "", LET(bbgm_stat, INDEX(Players!$A872:$P872, MATCH(L$2, Players!$A$1:$P$1, 0)), perc_75, VLOOKUP(L$2, Percentiles!$A$45:$I$59, 6, FALSE), perc_90, VLOOKUP(L$2, Percentiles!$A$45:$I$59, 7, FALSE), perc_95, VLOOKUP(L$2, Percentiles!$A$45:$I$59, 8, FALSE), perc_85, perc_75 + (perc_90 - perc_75) * (2/3), converted_stat, '2K_Ratings'!L873, IF(bbgm_stat &gt;= perc_95, converted_stat * 3, IF(bbgm_stat &gt;= perc_90, converted_stat * 2, IF(bbgm_stat &gt;= perc_85, converted_stat * 1.5, converted_stat)))))</f>
        <v/>
      </c>
      <c r="M873" s="30" t="str">
        <f t="array" ref="M873">IF($A873="", "", LET(bbgm_stat, INDEX(Players!$A872:$P872, MATCH(M$2, Players!$A$1:$P$1, 0)), perc_75, VLOOKUP(M$2, Percentiles!$A$45:$I$59, 6, FALSE), perc_90, VLOOKUP(M$2, Percentiles!$A$45:$I$59, 7, FALSE), perc_95, VLOOKUP(M$2, Percentiles!$A$45:$I$59, 8, FALSE), perc_85, perc_75 + (perc_90 - perc_75) * (2/3), converted_stat, '2K_Ratings'!M873, IF(bbgm_stat &gt;= perc_95, converted_stat * 3, IF(bbgm_stat &gt;= perc_90, converted_stat * 2, IF(bbgm_stat &gt;= perc_85, converted_stat * 1.5, converted_stat)))))</f>
        <v/>
      </c>
      <c r="N873" s="30" t="str">
        <f t="array" ref="N873">IF($A873="", "", LET(bbgm_stat, INDEX(Players!$A872:$P872, MATCH(N$2, Players!$A$1:$P$1, 0)), perc_75, VLOOKUP(N$2, Percentiles!$A$45:$I$59, 6, FALSE), perc_90, VLOOKUP(N$2, Percentiles!$A$45:$I$59, 7, FALSE), perc_95, VLOOKUP(N$2, Percentiles!$A$45:$I$59, 8, FALSE), perc_85, perc_75 + (perc_90 - perc_75) * (2/3), converted_stat, '2K_Ratings'!N873, IF(bbgm_stat &gt;= perc_95, converted_stat * 3, IF(bbgm_stat &gt;= perc_90, converted_stat * 2, IF(bbgm_stat &gt;= perc_85, converted_stat * 1.5, converted_stat)))))</f>
        <v/>
      </c>
      <c r="O873" s="30" t="str">
        <f t="array" ref="O873">IF($A873="", "", LET(bbgm_stat, INDEX(Players!$A872:$P872, MATCH(O$2, Players!$A$1:$P$1, 0)), perc_75, VLOOKUP(O$2, Percentiles!$A$45:$I$59, 6, FALSE), perc_90, VLOOKUP(O$2, Percentiles!$A$45:$I$59, 7, FALSE), perc_95, VLOOKUP(O$2, Percentiles!$A$45:$I$59, 8, FALSE), perc_85, perc_75 + (perc_90 - perc_75) * (2/3), converted_stat, '2K_Ratings'!O873, IF(bbgm_stat &gt;= perc_95, converted_stat * 3, IF(bbgm_stat &gt;= perc_90, converted_stat * 2, IF(bbgm_stat &gt;= perc_85, converted_stat * 1.5, converted_stat)))))</f>
        <v/>
      </c>
      <c r="P873" s="30" t="str">
        <f t="array" ref="P873">IF($A873="", "", LET(bbgm_stat, INDEX(Players!$A872:$P872, MATCH(P$2, Players!$A$1:$P$1, 0)), perc_75, VLOOKUP(P$2, Percentiles!$A$45:$I$59, 6, FALSE), perc_90, VLOOKUP(P$2, Percentiles!$A$45:$I$59, 7, FALSE), perc_95, VLOOKUP(P$2, Percentiles!$A$45:$I$59, 8, FALSE), perc_85, perc_75 + (perc_90 - perc_75) * (2/3), converted_stat, '2K_Ratings'!P873, IF(bbgm_stat &gt;= perc_95, converted_stat * 3, IF(bbgm_stat &gt;= perc_90, converted_stat * 2, IF(bbgm_stat &gt;= perc_85, converted_stat * 1.5, converted_stat)))))</f>
        <v/>
      </c>
      <c r="Q873" s="30" t="str">
        <f t="array" ref="Q873">IF($A873="", "", LET(bbgm_stat, INDEX(Players!$A872:$P872, MATCH(Q$2, Players!$A$1:$P$1, 0)), perc_75, VLOOKUP(Q$2, Percentiles!$A$45:$I$59, 6, FALSE), perc_90, VLOOKUP(Q$2, Percentiles!$A$45:$I$59, 7, FALSE), perc_95, VLOOKUP(Q$2, Percentiles!$A$45:$I$59, 8, FALSE), perc_85, perc_75 + (perc_90 - perc_75) * (2/3), converted_stat, '2K_Ratings'!Q873, IF(bbgm_stat &gt;= perc_95, converted_stat * 3, IF(bbgm_stat &gt;= perc_90, converted_stat * 2, IF(bbgm_stat &gt;= perc_85, converted_stat * 1.5, converted_stat)))))</f>
        <v/>
      </c>
      <c r="R873" s="30" t="str">
        <f t="array" ref="R873">IF($A873="", "", LET(bbgm_stat, INDEX(Players!$A872:$P872, MATCH(R$2, Players!$A$1:$P$1, 0)), perc_75, VLOOKUP(R$2, Percentiles!$A$45:$I$59, 6, FALSE), perc_90, VLOOKUP(R$2, Percentiles!$A$45:$I$59, 7, FALSE), perc_95, VLOOKUP(R$2, Percentiles!$A$45:$I$59, 8, FALSE), perc_85, perc_75 + (perc_90 - perc_75) * (2/3), converted_stat, '2K_Ratings'!R873, IF(bbgm_stat &gt;= perc_95, converted_stat * 3, IF(bbgm_stat &gt;= perc_90, converted_stat * 2, IF(bbgm_stat &gt;= perc_85, converted_stat * 1.5, converted_stat)))))</f>
        <v/>
      </c>
      <c r="S873" s="30" t="str">
        <f t="array" ref="S873">IF($A873="", "", LET(bbgm_stat, INDEX(Players!$A872:$P872, MATCH(S$2, Players!$A$1:$P$1, 0)), perc_75, VLOOKUP(S$2, Percentiles!$A$45:$I$59, 6, FALSE), perc_90, VLOOKUP(S$2, Percentiles!$A$45:$I$59, 7, FALSE), perc_95, VLOOKUP(S$2, Percentiles!$A$45:$I$59, 8, FALSE), perc_85, perc_75 + (perc_90 - perc_75) * (2/3), converted_stat, '2K_Ratings'!S873, IF(bbgm_stat &gt;= perc_95, converted_stat * 3, IF(bbgm_stat &gt;= perc_90, converted_stat * 2, IF(bbgm_stat &gt;= perc_85, converted_stat * 1.5, converted_stat)))))</f>
        <v/>
      </c>
      <c r="T873" s="30" t="str">
        <f t="array" ref="T873">IF($A873="", "", LET(bbgm_stat, INDEX(Players!$A872:$P872, MATCH(T$2, Players!$A$1:$P$1, 0)), perc_75, VLOOKUP(T$2, Percentiles!$A$45:$I$59, 6, FALSE), perc_90, VLOOKUP(T$2, Percentiles!$A$45:$I$59, 7, FALSE), perc_95, VLOOKUP(T$2, Percentiles!$A$45:$I$59, 8, FALSE), perc_85, perc_75 + (perc_90 - perc_75) * (2/3), converted_stat, '2K_Ratings'!T873, IF(bbgm_stat &gt;= perc_95, converted_stat * 3, IF(bbgm_stat &gt;= perc_90, converted_stat * 2, IF(bbgm_stat &gt;= perc_85, converted_stat * 1.5, converted_stat)))))</f>
        <v/>
      </c>
      <c r="U873" s="30" t="str">
        <f t="array" ref="U873">IF($A873="", "", LET(bbgm_stat, INDEX(Players!$A872:$P872, MATCH(U$2, Players!$A$1:$P$1, 0)), perc_75, VLOOKUP(U$2, Percentiles!$A$45:$I$59, 6, FALSE), perc_90, VLOOKUP(U$2, Percentiles!$A$45:$I$59, 7, FALSE), perc_95, VLOOKUP(U$2, Percentiles!$A$45:$I$59, 8, FALSE), perc_85, perc_75 + (perc_90 - perc_75) * (2/3), converted_stat, '2K_Ratings'!U873, IF(bbgm_stat &gt;= perc_95, converted_stat * 3, IF(bbgm_stat &gt;= perc_90, converted_stat * 2, IF(bbgm_stat &gt;= perc_85, converted_stat * 1.5, converted_stat)))))</f>
        <v/>
      </c>
      <c r="V873" s="30" t="str">
        <f t="array" ref="V873">IF($A873="", "", LET(bbgm_stat, INDEX(Players!$A872:$P872, MATCH(V$2, Players!$A$1:$P$1, 0)), perc_75, VLOOKUP(V$2, Percentiles!$A$45:$I$59, 6, FALSE), perc_90, VLOOKUP(V$2, Percentiles!$A$45:$I$59, 7, FALSE), perc_95, VLOOKUP(V$2, Percentiles!$A$45:$I$59, 8, FALSE), perc_85, perc_75 + (perc_90 - perc_75) * (2/3), converted_stat, '2K_Ratings'!V873, IF(bbgm_stat &gt;= perc_95, converted_stat * 3, IF(bbgm_stat &gt;= perc_90, converted_stat * 2, IF(bbgm_stat &gt;= perc_85, converted_stat * 1.5, converted_stat)))))</f>
        <v/>
      </c>
      <c r="W873" s="30" t="str">
        <f t="array" ref="W873">IF($A873="", "", LET(bbgm_stat, INDEX(Players!$A872:$P872, MATCH(W$2, Players!$A$1:$P$1, 0)), perc_75, VLOOKUP(W$2, Percentiles!$A$45:$I$59, 6, FALSE), perc_90, VLOOKUP(W$2, Percentiles!$A$45:$I$59, 7, FALSE), perc_95, VLOOKUP(W$2, Percentiles!$A$45:$I$59, 8, FALSE), perc_85, perc_75 + (perc_90 - perc_75) * (2/3), converted_stat, '2K_Ratings'!W873, IF(bbgm_stat &gt;= perc_95, converted_stat * 3, IF(bbgm_stat &gt;= perc_90, converted_stat * 2, IF(bbgm_stat &gt;= perc_85, converted_stat * 1.5, converted_stat)))))</f>
        <v/>
      </c>
    </row>
    <row r="874">
      <c r="A874" s="30"/>
      <c r="B874" s="30" t="str">
        <f t="array" ref="B874">IF($A874="", "", LET(bbgm_stat, INDEX(Players!$A873:$P873, MATCH(B$2, Players!$A$1:$P$1, 0)), perc_75, VLOOKUP(B$2, Percentiles!$A$45:$I$59, 6, FALSE), perc_90, VLOOKUP(B$2, Percentiles!$A$45:$I$59, 7, FALSE), perc_95, VLOOKUP(B$2, Percentiles!$A$45:$I$59, 8, FALSE), perc_85, perc_75 + (perc_90 - perc_75) * (2/3), converted_stat, '2K_Ratings'!B874, IF(bbgm_stat &gt;= perc_95, converted_stat * 3, IF(bbgm_stat &gt;= perc_90, converted_stat * 2, IF(bbgm_stat &gt;= perc_85, converted_stat * 1.5, converted_stat)))))</f>
        <v/>
      </c>
      <c r="C874" s="30" t="str">
        <f t="array" ref="C874">IF($A874="", "", LET(bbgm_stat, INDEX(Players!$A873:$P873, MATCH(C$2, Players!$A$1:$P$1, 0)), perc_75, VLOOKUP(C$2, Percentiles!$A$45:$I$59, 6, FALSE), perc_90, VLOOKUP(C$2, Percentiles!$A$45:$I$59, 7, FALSE), perc_95, VLOOKUP(C$2, Percentiles!$A$45:$I$59, 8, FALSE), perc_85, perc_75 + (perc_90 - perc_75) * (2/3), converted_stat, '2K_Ratings'!C874, IF(bbgm_stat &gt;= perc_95, converted_stat * 3, IF(bbgm_stat &gt;= perc_90, converted_stat * 2, IF(bbgm_stat &gt;= perc_85, converted_stat * 1.5, converted_stat)))))</f>
        <v/>
      </c>
      <c r="D874" s="30" t="str">
        <f t="array" ref="D874">IF($A874="", "", LET(bbgm_stat, INDEX(Players!$A873:$P873, MATCH(D$2, Players!$A$1:$P$1, 0)), perc_75, VLOOKUP(D$2, Percentiles!$A$45:$I$59, 6, FALSE), perc_90, VLOOKUP(D$2, Percentiles!$A$45:$I$59, 7, FALSE), perc_95, VLOOKUP(D$2, Percentiles!$A$45:$I$59, 8, FALSE), perc_85, perc_75 + (perc_90 - perc_75) * (2/3), converted_stat, '2K_Ratings'!D874, IF(bbgm_stat &gt;= perc_95, converted_stat * 3, IF(bbgm_stat &gt;= perc_90, converted_stat * 2, IF(bbgm_stat &gt;= perc_85, converted_stat * 1.5, converted_stat)))))</f>
        <v/>
      </c>
      <c r="E874" s="30" t="str">
        <f t="array" ref="E874">IF($A874="", "", LET(bbgm_stat, INDEX(Players!$A873:$P873, MATCH(E$2, Players!$A$1:$P$1, 0)), perc_75, VLOOKUP(E$2, Percentiles!$A$45:$I$59, 6, FALSE), perc_90, VLOOKUP(E$2, Percentiles!$A$45:$I$59, 7, FALSE), perc_95, VLOOKUP(E$2, Percentiles!$A$45:$I$59, 8, FALSE), perc_85, perc_75 + (perc_90 - perc_75) * (2/3), converted_stat, '2K_Ratings'!E874, IF(bbgm_stat &gt;= perc_95, converted_stat * 3, IF(bbgm_stat &gt;= perc_90, converted_stat * 2, IF(bbgm_stat &gt;= perc_85, converted_stat * 1.5, converted_stat)))))</f>
        <v/>
      </c>
      <c r="F874" s="30" t="str">
        <f t="array" ref="F874">IF($A874="", "", LET(bbgm_stat, INDEX(Players!$A873:$P873, MATCH(F$2, Players!$A$1:$P$1, 0)), perc_75, VLOOKUP(F$2, Percentiles!$A$45:$I$59, 6, FALSE), perc_90, VLOOKUP(F$2, Percentiles!$A$45:$I$59, 7, FALSE), perc_95, VLOOKUP(F$2, Percentiles!$A$45:$I$59, 8, FALSE), perc_85, perc_75 + (perc_90 - perc_75) * (2/3), converted_stat, '2K_Ratings'!F874, IF(bbgm_stat &gt;= perc_95, converted_stat * 3, IF(bbgm_stat &gt;= perc_90, converted_stat * 2, IF(bbgm_stat &gt;= perc_85, converted_stat * 1.5, converted_stat)))))</f>
        <v/>
      </c>
      <c r="G874" s="30" t="str">
        <f t="array" ref="G874">IF($A874="", "", LET(bbgm_stat, INDEX(Players!$A873:$P873, MATCH(G$2, Players!$A$1:$P$1, 0)), perc_75, VLOOKUP(G$2, Percentiles!$A$45:$I$59, 6, FALSE), perc_90, VLOOKUP(G$2, Percentiles!$A$45:$I$59, 7, FALSE), perc_95, VLOOKUP(G$2, Percentiles!$A$45:$I$59, 8, FALSE), perc_85, perc_75 + (perc_90 - perc_75) * (2/3), converted_stat, '2K_Ratings'!G874, IF(bbgm_stat &gt;= perc_95, converted_stat * 3, IF(bbgm_stat &gt;= perc_90, converted_stat * 2, IF(bbgm_stat &gt;= perc_85, converted_stat * 1.5, converted_stat)))))</f>
        <v/>
      </c>
      <c r="H874" s="30" t="str">
        <f t="array" ref="H874">IF($A874="", "", LET(bbgm_stat, INDEX(Players!$A873:$P873, MATCH(H$2, Players!$A$1:$P$1, 0)), perc_75, VLOOKUP(H$2, Percentiles!$A$45:$I$59, 6, FALSE), perc_90, VLOOKUP(H$2, Percentiles!$A$45:$I$59, 7, FALSE), perc_95, VLOOKUP(H$2, Percentiles!$A$45:$I$59, 8, FALSE), perc_85, perc_75 + (perc_90 - perc_75) * (2/3), converted_stat, '2K_Ratings'!H874, IF(bbgm_stat &gt;= perc_95, converted_stat * 3, IF(bbgm_stat &gt;= perc_90, converted_stat * 2, IF(bbgm_stat &gt;= perc_85, converted_stat * 1.5, converted_stat)))))</f>
        <v/>
      </c>
      <c r="I874" s="30" t="str">
        <f t="array" ref="I874">IF($A874="", "", LET(bbgm_stat, INDEX(Players!$A873:$P873, MATCH(I$2, Players!$A$1:$P$1, 0)), perc_75, VLOOKUP(I$2, Percentiles!$A$45:$I$59, 6, FALSE), perc_90, VLOOKUP(I$2, Percentiles!$A$45:$I$59, 7, FALSE), perc_95, VLOOKUP(I$2, Percentiles!$A$45:$I$59, 8, FALSE), perc_85, perc_75 + (perc_90 - perc_75) * (2/3), converted_stat, '2K_Ratings'!I874, IF(bbgm_stat &gt;= perc_95, converted_stat * 3, IF(bbgm_stat &gt;= perc_90, converted_stat * 2, IF(bbgm_stat &gt;= perc_85, converted_stat * 1.5, converted_stat)))))</f>
        <v/>
      </c>
      <c r="J874" s="30" t="str">
        <f t="array" ref="J874">IF($A874="", "", LET(bbgm_stat, INDEX(Players!$A873:$P873, MATCH(J$2, Players!$A$1:$P$1, 0)), perc_75, VLOOKUP(J$2, Percentiles!$A$45:$I$59, 6, FALSE), perc_90, VLOOKUP(J$2, Percentiles!$A$45:$I$59, 7, FALSE), perc_95, VLOOKUP(J$2, Percentiles!$A$45:$I$59, 8, FALSE), perc_85, perc_75 + (perc_90 - perc_75) * (2/3), converted_stat, '2K_Ratings'!J874, IF(bbgm_stat &gt;= perc_95, converted_stat * 3, IF(bbgm_stat &gt;= perc_90, converted_stat * 2, IF(bbgm_stat &gt;= perc_85, converted_stat * 1.5, converted_stat)))))</f>
        <v/>
      </c>
      <c r="K874" s="30" t="str">
        <f t="array" ref="K874">IF($A874="", "", LET(bbgm_stat, INDEX(Players!$A873:$P873, MATCH(K$2, Players!$A$1:$P$1, 0)), perc_75, VLOOKUP(K$2, Percentiles!$A$45:$I$59, 6, FALSE), perc_90, VLOOKUP(K$2, Percentiles!$A$45:$I$59, 7, FALSE), perc_95, VLOOKUP(K$2, Percentiles!$A$45:$I$59, 8, FALSE), perc_85, perc_75 + (perc_90 - perc_75) * (2/3), converted_stat, '2K_Ratings'!K874, IF(bbgm_stat &gt;= perc_95, converted_stat * 3, IF(bbgm_stat &gt;= perc_90, converted_stat * 2, IF(bbgm_stat &gt;= perc_85, converted_stat * 1.5, converted_stat)))))</f>
        <v/>
      </c>
      <c r="L874" s="30" t="str">
        <f t="array" ref="L874">IF($A874="", "", LET(bbgm_stat, INDEX(Players!$A873:$P873, MATCH(L$2, Players!$A$1:$P$1, 0)), perc_75, VLOOKUP(L$2, Percentiles!$A$45:$I$59, 6, FALSE), perc_90, VLOOKUP(L$2, Percentiles!$A$45:$I$59, 7, FALSE), perc_95, VLOOKUP(L$2, Percentiles!$A$45:$I$59, 8, FALSE), perc_85, perc_75 + (perc_90 - perc_75) * (2/3), converted_stat, '2K_Ratings'!L874, IF(bbgm_stat &gt;= perc_95, converted_stat * 3, IF(bbgm_stat &gt;= perc_90, converted_stat * 2, IF(bbgm_stat &gt;= perc_85, converted_stat * 1.5, converted_stat)))))</f>
        <v/>
      </c>
      <c r="M874" s="30" t="str">
        <f t="array" ref="M874">IF($A874="", "", LET(bbgm_stat, INDEX(Players!$A873:$P873, MATCH(M$2, Players!$A$1:$P$1, 0)), perc_75, VLOOKUP(M$2, Percentiles!$A$45:$I$59, 6, FALSE), perc_90, VLOOKUP(M$2, Percentiles!$A$45:$I$59, 7, FALSE), perc_95, VLOOKUP(M$2, Percentiles!$A$45:$I$59, 8, FALSE), perc_85, perc_75 + (perc_90 - perc_75) * (2/3), converted_stat, '2K_Ratings'!M874, IF(bbgm_stat &gt;= perc_95, converted_stat * 3, IF(bbgm_stat &gt;= perc_90, converted_stat * 2, IF(bbgm_stat &gt;= perc_85, converted_stat * 1.5, converted_stat)))))</f>
        <v/>
      </c>
      <c r="N874" s="30" t="str">
        <f t="array" ref="N874">IF($A874="", "", LET(bbgm_stat, INDEX(Players!$A873:$P873, MATCH(N$2, Players!$A$1:$P$1, 0)), perc_75, VLOOKUP(N$2, Percentiles!$A$45:$I$59, 6, FALSE), perc_90, VLOOKUP(N$2, Percentiles!$A$45:$I$59, 7, FALSE), perc_95, VLOOKUP(N$2, Percentiles!$A$45:$I$59, 8, FALSE), perc_85, perc_75 + (perc_90 - perc_75) * (2/3), converted_stat, '2K_Ratings'!N874, IF(bbgm_stat &gt;= perc_95, converted_stat * 3, IF(bbgm_stat &gt;= perc_90, converted_stat * 2, IF(bbgm_stat &gt;= perc_85, converted_stat * 1.5, converted_stat)))))</f>
        <v/>
      </c>
      <c r="O874" s="30" t="str">
        <f t="array" ref="O874">IF($A874="", "", LET(bbgm_stat, INDEX(Players!$A873:$P873, MATCH(O$2, Players!$A$1:$P$1, 0)), perc_75, VLOOKUP(O$2, Percentiles!$A$45:$I$59, 6, FALSE), perc_90, VLOOKUP(O$2, Percentiles!$A$45:$I$59, 7, FALSE), perc_95, VLOOKUP(O$2, Percentiles!$A$45:$I$59, 8, FALSE), perc_85, perc_75 + (perc_90 - perc_75) * (2/3), converted_stat, '2K_Ratings'!O874, IF(bbgm_stat &gt;= perc_95, converted_stat * 3, IF(bbgm_stat &gt;= perc_90, converted_stat * 2, IF(bbgm_stat &gt;= perc_85, converted_stat * 1.5, converted_stat)))))</f>
        <v/>
      </c>
      <c r="P874" s="30" t="str">
        <f t="array" ref="P874">IF($A874="", "", LET(bbgm_stat, INDEX(Players!$A873:$P873, MATCH(P$2, Players!$A$1:$P$1, 0)), perc_75, VLOOKUP(P$2, Percentiles!$A$45:$I$59, 6, FALSE), perc_90, VLOOKUP(P$2, Percentiles!$A$45:$I$59, 7, FALSE), perc_95, VLOOKUP(P$2, Percentiles!$A$45:$I$59, 8, FALSE), perc_85, perc_75 + (perc_90 - perc_75) * (2/3), converted_stat, '2K_Ratings'!P874, IF(bbgm_stat &gt;= perc_95, converted_stat * 3, IF(bbgm_stat &gt;= perc_90, converted_stat * 2, IF(bbgm_stat &gt;= perc_85, converted_stat * 1.5, converted_stat)))))</f>
        <v/>
      </c>
      <c r="Q874" s="30" t="str">
        <f t="array" ref="Q874">IF($A874="", "", LET(bbgm_stat, INDEX(Players!$A873:$P873, MATCH(Q$2, Players!$A$1:$P$1, 0)), perc_75, VLOOKUP(Q$2, Percentiles!$A$45:$I$59, 6, FALSE), perc_90, VLOOKUP(Q$2, Percentiles!$A$45:$I$59, 7, FALSE), perc_95, VLOOKUP(Q$2, Percentiles!$A$45:$I$59, 8, FALSE), perc_85, perc_75 + (perc_90 - perc_75) * (2/3), converted_stat, '2K_Ratings'!Q874, IF(bbgm_stat &gt;= perc_95, converted_stat * 3, IF(bbgm_stat &gt;= perc_90, converted_stat * 2, IF(bbgm_stat &gt;= perc_85, converted_stat * 1.5, converted_stat)))))</f>
        <v/>
      </c>
      <c r="R874" s="30" t="str">
        <f t="array" ref="R874">IF($A874="", "", LET(bbgm_stat, INDEX(Players!$A873:$P873, MATCH(R$2, Players!$A$1:$P$1, 0)), perc_75, VLOOKUP(R$2, Percentiles!$A$45:$I$59, 6, FALSE), perc_90, VLOOKUP(R$2, Percentiles!$A$45:$I$59, 7, FALSE), perc_95, VLOOKUP(R$2, Percentiles!$A$45:$I$59, 8, FALSE), perc_85, perc_75 + (perc_90 - perc_75) * (2/3), converted_stat, '2K_Ratings'!R874, IF(bbgm_stat &gt;= perc_95, converted_stat * 3, IF(bbgm_stat &gt;= perc_90, converted_stat * 2, IF(bbgm_stat &gt;= perc_85, converted_stat * 1.5, converted_stat)))))</f>
        <v/>
      </c>
      <c r="S874" s="30" t="str">
        <f t="array" ref="S874">IF($A874="", "", LET(bbgm_stat, INDEX(Players!$A873:$P873, MATCH(S$2, Players!$A$1:$P$1, 0)), perc_75, VLOOKUP(S$2, Percentiles!$A$45:$I$59, 6, FALSE), perc_90, VLOOKUP(S$2, Percentiles!$A$45:$I$59, 7, FALSE), perc_95, VLOOKUP(S$2, Percentiles!$A$45:$I$59, 8, FALSE), perc_85, perc_75 + (perc_90 - perc_75) * (2/3), converted_stat, '2K_Ratings'!S874, IF(bbgm_stat &gt;= perc_95, converted_stat * 3, IF(bbgm_stat &gt;= perc_90, converted_stat * 2, IF(bbgm_stat &gt;= perc_85, converted_stat * 1.5, converted_stat)))))</f>
        <v/>
      </c>
      <c r="T874" s="30" t="str">
        <f t="array" ref="T874">IF($A874="", "", LET(bbgm_stat, INDEX(Players!$A873:$P873, MATCH(T$2, Players!$A$1:$P$1, 0)), perc_75, VLOOKUP(T$2, Percentiles!$A$45:$I$59, 6, FALSE), perc_90, VLOOKUP(T$2, Percentiles!$A$45:$I$59, 7, FALSE), perc_95, VLOOKUP(T$2, Percentiles!$A$45:$I$59, 8, FALSE), perc_85, perc_75 + (perc_90 - perc_75) * (2/3), converted_stat, '2K_Ratings'!T874, IF(bbgm_stat &gt;= perc_95, converted_stat * 3, IF(bbgm_stat &gt;= perc_90, converted_stat * 2, IF(bbgm_stat &gt;= perc_85, converted_stat * 1.5, converted_stat)))))</f>
        <v/>
      </c>
      <c r="U874" s="30" t="str">
        <f t="array" ref="U874">IF($A874="", "", LET(bbgm_stat, INDEX(Players!$A873:$P873, MATCH(U$2, Players!$A$1:$P$1, 0)), perc_75, VLOOKUP(U$2, Percentiles!$A$45:$I$59, 6, FALSE), perc_90, VLOOKUP(U$2, Percentiles!$A$45:$I$59, 7, FALSE), perc_95, VLOOKUP(U$2, Percentiles!$A$45:$I$59, 8, FALSE), perc_85, perc_75 + (perc_90 - perc_75) * (2/3), converted_stat, '2K_Ratings'!U874, IF(bbgm_stat &gt;= perc_95, converted_stat * 3, IF(bbgm_stat &gt;= perc_90, converted_stat * 2, IF(bbgm_stat &gt;= perc_85, converted_stat * 1.5, converted_stat)))))</f>
        <v/>
      </c>
      <c r="V874" s="30" t="str">
        <f t="array" ref="V874">IF($A874="", "", LET(bbgm_stat, INDEX(Players!$A873:$P873, MATCH(V$2, Players!$A$1:$P$1, 0)), perc_75, VLOOKUP(V$2, Percentiles!$A$45:$I$59, 6, FALSE), perc_90, VLOOKUP(V$2, Percentiles!$A$45:$I$59, 7, FALSE), perc_95, VLOOKUP(V$2, Percentiles!$A$45:$I$59, 8, FALSE), perc_85, perc_75 + (perc_90 - perc_75) * (2/3), converted_stat, '2K_Ratings'!V874, IF(bbgm_stat &gt;= perc_95, converted_stat * 3, IF(bbgm_stat &gt;= perc_90, converted_stat * 2, IF(bbgm_stat &gt;= perc_85, converted_stat * 1.5, converted_stat)))))</f>
        <v/>
      </c>
      <c r="W874" s="30" t="str">
        <f t="array" ref="W874">IF($A874="", "", LET(bbgm_stat, INDEX(Players!$A873:$P873, MATCH(W$2, Players!$A$1:$P$1, 0)), perc_75, VLOOKUP(W$2, Percentiles!$A$45:$I$59, 6, FALSE), perc_90, VLOOKUP(W$2, Percentiles!$A$45:$I$59, 7, FALSE), perc_95, VLOOKUP(W$2, Percentiles!$A$45:$I$59, 8, FALSE), perc_85, perc_75 + (perc_90 - perc_75) * (2/3), converted_stat, '2K_Ratings'!W874, IF(bbgm_stat &gt;= perc_95, converted_stat * 3, IF(bbgm_stat &gt;= perc_90, converted_stat * 2, IF(bbgm_stat &gt;= perc_85, converted_stat * 1.5, converted_stat)))))</f>
        <v/>
      </c>
    </row>
    <row r="875">
      <c r="A875" s="30"/>
      <c r="B875" s="30" t="str">
        <f t="array" ref="B875">IF($A875="", "", LET(bbgm_stat, INDEX(Players!$A874:$P874, MATCH(B$2, Players!$A$1:$P$1, 0)), perc_75, VLOOKUP(B$2, Percentiles!$A$45:$I$59, 6, FALSE), perc_90, VLOOKUP(B$2, Percentiles!$A$45:$I$59, 7, FALSE), perc_95, VLOOKUP(B$2, Percentiles!$A$45:$I$59, 8, FALSE), perc_85, perc_75 + (perc_90 - perc_75) * (2/3), converted_stat, '2K_Ratings'!B875, IF(bbgm_stat &gt;= perc_95, converted_stat * 3, IF(bbgm_stat &gt;= perc_90, converted_stat * 2, IF(bbgm_stat &gt;= perc_85, converted_stat * 1.5, converted_stat)))))</f>
        <v/>
      </c>
      <c r="C875" s="30" t="str">
        <f t="array" ref="C875">IF($A875="", "", LET(bbgm_stat, INDEX(Players!$A874:$P874, MATCH(C$2, Players!$A$1:$P$1, 0)), perc_75, VLOOKUP(C$2, Percentiles!$A$45:$I$59, 6, FALSE), perc_90, VLOOKUP(C$2, Percentiles!$A$45:$I$59, 7, FALSE), perc_95, VLOOKUP(C$2, Percentiles!$A$45:$I$59, 8, FALSE), perc_85, perc_75 + (perc_90 - perc_75) * (2/3), converted_stat, '2K_Ratings'!C875, IF(bbgm_stat &gt;= perc_95, converted_stat * 3, IF(bbgm_stat &gt;= perc_90, converted_stat * 2, IF(bbgm_stat &gt;= perc_85, converted_stat * 1.5, converted_stat)))))</f>
        <v/>
      </c>
      <c r="D875" s="30" t="str">
        <f t="array" ref="D875">IF($A875="", "", LET(bbgm_stat, INDEX(Players!$A874:$P874, MATCH(D$2, Players!$A$1:$P$1, 0)), perc_75, VLOOKUP(D$2, Percentiles!$A$45:$I$59, 6, FALSE), perc_90, VLOOKUP(D$2, Percentiles!$A$45:$I$59, 7, FALSE), perc_95, VLOOKUP(D$2, Percentiles!$A$45:$I$59, 8, FALSE), perc_85, perc_75 + (perc_90 - perc_75) * (2/3), converted_stat, '2K_Ratings'!D875, IF(bbgm_stat &gt;= perc_95, converted_stat * 3, IF(bbgm_stat &gt;= perc_90, converted_stat * 2, IF(bbgm_stat &gt;= perc_85, converted_stat * 1.5, converted_stat)))))</f>
        <v/>
      </c>
      <c r="E875" s="30" t="str">
        <f t="array" ref="E875">IF($A875="", "", LET(bbgm_stat, INDEX(Players!$A874:$P874, MATCH(E$2, Players!$A$1:$P$1, 0)), perc_75, VLOOKUP(E$2, Percentiles!$A$45:$I$59, 6, FALSE), perc_90, VLOOKUP(E$2, Percentiles!$A$45:$I$59, 7, FALSE), perc_95, VLOOKUP(E$2, Percentiles!$A$45:$I$59, 8, FALSE), perc_85, perc_75 + (perc_90 - perc_75) * (2/3), converted_stat, '2K_Ratings'!E875, IF(bbgm_stat &gt;= perc_95, converted_stat * 3, IF(bbgm_stat &gt;= perc_90, converted_stat * 2, IF(bbgm_stat &gt;= perc_85, converted_stat * 1.5, converted_stat)))))</f>
        <v/>
      </c>
      <c r="F875" s="30" t="str">
        <f t="array" ref="F875">IF($A875="", "", LET(bbgm_stat, INDEX(Players!$A874:$P874, MATCH(F$2, Players!$A$1:$P$1, 0)), perc_75, VLOOKUP(F$2, Percentiles!$A$45:$I$59, 6, FALSE), perc_90, VLOOKUP(F$2, Percentiles!$A$45:$I$59, 7, FALSE), perc_95, VLOOKUP(F$2, Percentiles!$A$45:$I$59, 8, FALSE), perc_85, perc_75 + (perc_90 - perc_75) * (2/3), converted_stat, '2K_Ratings'!F875, IF(bbgm_stat &gt;= perc_95, converted_stat * 3, IF(bbgm_stat &gt;= perc_90, converted_stat * 2, IF(bbgm_stat &gt;= perc_85, converted_stat * 1.5, converted_stat)))))</f>
        <v/>
      </c>
      <c r="G875" s="30" t="str">
        <f t="array" ref="G875">IF($A875="", "", LET(bbgm_stat, INDEX(Players!$A874:$P874, MATCH(G$2, Players!$A$1:$P$1, 0)), perc_75, VLOOKUP(G$2, Percentiles!$A$45:$I$59, 6, FALSE), perc_90, VLOOKUP(G$2, Percentiles!$A$45:$I$59, 7, FALSE), perc_95, VLOOKUP(G$2, Percentiles!$A$45:$I$59, 8, FALSE), perc_85, perc_75 + (perc_90 - perc_75) * (2/3), converted_stat, '2K_Ratings'!G875, IF(bbgm_stat &gt;= perc_95, converted_stat * 3, IF(bbgm_stat &gt;= perc_90, converted_stat * 2, IF(bbgm_stat &gt;= perc_85, converted_stat * 1.5, converted_stat)))))</f>
        <v/>
      </c>
      <c r="H875" s="30" t="str">
        <f t="array" ref="H875">IF($A875="", "", LET(bbgm_stat, INDEX(Players!$A874:$P874, MATCH(H$2, Players!$A$1:$P$1, 0)), perc_75, VLOOKUP(H$2, Percentiles!$A$45:$I$59, 6, FALSE), perc_90, VLOOKUP(H$2, Percentiles!$A$45:$I$59, 7, FALSE), perc_95, VLOOKUP(H$2, Percentiles!$A$45:$I$59, 8, FALSE), perc_85, perc_75 + (perc_90 - perc_75) * (2/3), converted_stat, '2K_Ratings'!H875, IF(bbgm_stat &gt;= perc_95, converted_stat * 3, IF(bbgm_stat &gt;= perc_90, converted_stat * 2, IF(bbgm_stat &gt;= perc_85, converted_stat * 1.5, converted_stat)))))</f>
        <v/>
      </c>
      <c r="I875" s="30" t="str">
        <f t="array" ref="I875">IF($A875="", "", LET(bbgm_stat, INDEX(Players!$A874:$P874, MATCH(I$2, Players!$A$1:$P$1, 0)), perc_75, VLOOKUP(I$2, Percentiles!$A$45:$I$59, 6, FALSE), perc_90, VLOOKUP(I$2, Percentiles!$A$45:$I$59, 7, FALSE), perc_95, VLOOKUP(I$2, Percentiles!$A$45:$I$59, 8, FALSE), perc_85, perc_75 + (perc_90 - perc_75) * (2/3), converted_stat, '2K_Ratings'!I875, IF(bbgm_stat &gt;= perc_95, converted_stat * 3, IF(bbgm_stat &gt;= perc_90, converted_stat * 2, IF(bbgm_stat &gt;= perc_85, converted_stat * 1.5, converted_stat)))))</f>
        <v/>
      </c>
      <c r="J875" s="30" t="str">
        <f t="array" ref="J875">IF($A875="", "", LET(bbgm_stat, INDEX(Players!$A874:$P874, MATCH(J$2, Players!$A$1:$P$1, 0)), perc_75, VLOOKUP(J$2, Percentiles!$A$45:$I$59, 6, FALSE), perc_90, VLOOKUP(J$2, Percentiles!$A$45:$I$59, 7, FALSE), perc_95, VLOOKUP(J$2, Percentiles!$A$45:$I$59, 8, FALSE), perc_85, perc_75 + (perc_90 - perc_75) * (2/3), converted_stat, '2K_Ratings'!J875, IF(bbgm_stat &gt;= perc_95, converted_stat * 3, IF(bbgm_stat &gt;= perc_90, converted_stat * 2, IF(bbgm_stat &gt;= perc_85, converted_stat * 1.5, converted_stat)))))</f>
        <v/>
      </c>
      <c r="K875" s="30" t="str">
        <f t="array" ref="K875">IF($A875="", "", LET(bbgm_stat, INDEX(Players!$A874:$P874, MATCH(K$2, Players!$A$1:$P$1, 0)), perc_75, VLOOKUP(K$2, Percentiles!$A$45:$I$59, 6, FALSE), perc_90, VLOOKUP(K$2, Percentiles!$A$45:$I$59, 7, FALSE), perc_95, VLOOKUP(K$2, Percentiles!$A$45:$I$59, 8, FALSE), perc_85, perc_75 + (perc_90 - perc_75) * (2/3), converted_stat, '2K_Ratings'!K875, IF(bbgm_stat &gt;= perc_95, converted_stat * 3, IF(bbgm_stat &gt;= perc_90, converted_stat * 2, IF(bbgm_stat &gt;= perc_85, converted_stat * 1.5, converted_stat)))))</f>
        <v/>
      </c>
      <c r="L875" s="30" t="str">
        <f t="array" ref="L875">IF($A875="", "", LET(bbgm_stat, INDEX(Players!$A874:$P874, MATCH(L$2, Players!$A$1:$P$1, 0)), perc_75, VLOOKUP(L$2, Percentiles!$A$45:$I$59, 6, FALSE), perc_90, VLOOKUP(L$2, Percentiles!$A$45:$I$59, 7, FALSE), perc_95, VLOOKUP(L$2, Percentiles!$A$45:$I$59, 8, FALSE), perc_85, perc_75 + (perc_90 - perc_75) * (2/3), converted_stat, '2K_Ratings'!L875, IF(bbgm_stat &gt;= perc_95, converted_stat * 3, IF(bbgm_stat &gt;= perc_90, converted_stat * 2, IF(bbgm_stat &gt;= perc_85, converted_stat * 1.5, converted_stat)))))</f>
        <v/>
      </c>
      <c r="M875" s="30" t="str">
        <f t="array" ref="M875">IF($A875="", "", LET(bbgm_stat, INDEX(Players!$A874:$P874, MATCH(M$2, Players!$A$1:$P$1, 0)), perc_75, VLOOKUP(M$2, Percentiles!$A$45:$I$59, 6, FALSE), perc_90, VLOOKUP(M$2, Percentiles!$A$45:$I$59, 7, FALSE), perc_95, VLOOKUP(M$2, Percentiles!$A$45:$I$59, 8, FALSE), perc_85, perc_75 + (perc_90 - perc_75) * (2/3), converted_stat, '2K_Ratings'!M875, IF(bbgm_stat &gt;= perc_95, converted_stat * 3, IF(bbgm_stat &gt;= perc_90, converted_stat * 2, IF(bbgm_stat &gt;= perc_85, converted_stat * 1.5, converted_stat)))))</f>
        <v/>
      </c>
      <c r="N875" s="30" t="str">
        <f t="array" ref="N875">IF($A875="", "", LET(bbgm_stat, INDEX(Players!$A874:$P874, MATCH(N$2, Players!$A$1:$P$1, 0)), perc_75, VLOOKUP(N$2, Percentiles!$A$45:$I$59, 6, FALSE), perc_90, VLOOKUP(N$2, Percentiles!$A$45:$I$59, 7, FALSE), perc_95, VLOOKUP(N$2, Percentiles!$A$45:$I$59, 8, FALSE), perc_85, perc_75 + (perc_90 - perc_75) * (2/3), converted_stat, '2K_Ratings'!N875, IF(bbgm_stat &gt;= perc_95, converted_stat * 3, IF(bbgm_stat &gt;= perc_90, converted_stat * 2, IF(bbgm_stat &gt;= perc_85, converted_stat * 1.5, converted_stat)))))</f>
        <v/>
      </c>
      <c r="O875" s="30" t="str">
        <f t="array" ref="O875">IF($A875="", "", LET(bbgm_stat, INDEX(Players!$A874:$P874, MATCH(O$2, Players!$A$1:$P$1, 0)), perc_75, VLOOKUP(O$2, Percentiles!$A$45:$I$59, 6, FALSE), perc_90, VLOOKUP(O$2, Percentiles!$A$45:$I$59, 7, FALSE), perc_95, VLOOKUP(O$2, Percentiles!$A$45:$I$59, 8, FALSE), perc_85, perc_75 + (perc_90 - perc_75) * (2/3), converted_stat, '2K_Ratings'!O875, IF(bbgm_stat &gt;= perc_95, converted_stat * 3, IF(bbgm_stat &gt;= perc_90, converted_stat * 2, IF(bbgm_stat &gt;= perc_85, converted_stat * 1.5, converted_stat)))))</f>
        <v/>
      </c>
      <c r="P875" s="30" t="str">
        <f t="array" ref="P875">IF($A875="", "", LET(bbgm_stat, INDEX(Players!$A874:$P874, MATCH(P$2, Players!$A$1:$P$1, 0)), perc_75, VLOOKUP(P$2, Percentiles!$A$45:$I$59, 6, FALSE), perc_90, VLOOKUP(P$2, Percentiles!$A$45:$I$59, 7, FALSE), perc_95, VLOOKUP(P$2, Percentiles!$A$45:$I$59, 8, FALSE), perc_85, perc_75 + (perc_90 - perc_75) * (2/3), converted_stat, '2K_Ratings'!P875, IF(bbgm_stat &gt;= perc_95, converted_stat * 3, IF(bbgm_stat &gt;= perc_90, converted_stat * 2, IF(bbgm_stat &gt;= perc_85, converted_stat * 1.5, converted_stat)))))</f>
        <v/>
      </c>
      <c r="Q875" s="30" t="str">
        <f t="array" ref="Q875">IF($A875="", "", LET(bbgm_stat, INDEX(Players!$A874:$P874, MATCH(Q$2, Players!$A$1:$P$1, 0)), perc_75, VLOOKUP(Q$2, Percentiles!$A$45:$I$59, 6, FALSE), perc_90, VLOOKUP(Q$2, Percentiles!$A$45:$I$59, 7, FALSE), perc_95, VLOOKUP(Q$2, Percentiles!$A$45:$I$59, 8, FALSE), perc_85, perc_75 + (perc_90 - perc_75) * (2/3), converted_stat, '2K_Ratings'!Q875, IF(bbgm_stat &gt;= perc_95, converted_stat * 3, IF(bbgm_stat &gt;= perc_90, converted_stat * 2, IF(bbgm_stat &gt;= perc_85, converted_stat * 1.5, converted_stat)))))</f>
        <v/>
      </c>
      <c r="R875" s="30" t="str">
        <f t="array" ref="R875">IF($A875="", "", LET(bbgm_stat, INDEX(Players!$A874:$P874, MATCH(R$2, Players!$A$1:$P$1, 0)), perc_75, VLOOKUP(R$2, Percentiles!$A$45:$I$59, 6, FALSE), perc_90, VLOOKUP(R$2, Percentiles!$A$45:$I$59, 7, FALSE), perc_95, VLOOKUP(R$2, Percentiles!$A$45:$I$59, 8, FALSE), perc_85, perc_75 + (perc_90 - perc_75) * (2/3), converted_stat, '2K_Ratings'!R875, IF(bbgm_stat &gt;= perc_95, converted_stat * 3, IF(bbgm_stat &gt;= perc_90, converted_stat * 2, IF(bbgm_stat &gt;= perc_85, converted_stat * 1.5, converted_stat)))))</f>
        <v/>
      </c>
      <c r="S875" s="30" t="str">
        <f t="array" ref="S875">IF($A875="", "", LET(bbgm_stat, INDEX(Players!$A874:$P874, MATCH(S$2, Players!$A$1:$P$1, 0)), perc_75, VLOOKUP(S$2, Percentiles!$A$45:$I$59, 6, FALSE), perc_90, VLOOKUP(S$2, Percentiles!$A$45:$I$59, 7, FALSE), perc_95, VLOOKUP(S$2, Percentiles!$A$45:$I$59, 8, FALSE), perc_85, perc_75 + (perc_90 - perc_75) * (2/3), converted_stat, '2K_Ratings'!S875, IF(bbgm_stat &gt;= perc_95, converted_stat * 3, IF(bbgm_stat &gt;= perc_90, converted_stat * 2, IF(bbgm_stat &gt;= perc_85, converted_stat * 1.5, converted_stat)))))</f>
        <v/>
      </c>
      <c r="T875" s="30" t="str">
        <f t="array" ref="T875">IF($A875="", "", LET(bbgm_stat, INDEX(Players!$A874:$P874, MATCH(T$2, Players!$A$1:$P$1, 0)), perc_75, VLOOKUP(T$2, Percentiles!$A$45:$I$59, 6, FALSE), perc_90, VLOOKUP(T$2, Percentiles!$A$45:$I$59, 7, FALSE), perc_95, VLOOKUP(T$2, Percentiles!$A$45:$I$59, 8, FALSE), perc_85, perc_75 + (perc_90 - perc_75) * (2/3), converted_stat, '2K_Ratings'!T875, IF(bbgm_stat &gt;= perc_95, converted_stat * 3, IF(bbgm_stat &gt;= perc_90, converted_stat * 2, IF(bbgm_stat &gt;= perc_85, converted_stat * 1.5, converted_stat)))))</f>
        <v/>
      </c>
      <c r="U875" s="30" t="str">
        <f t="array" ref="U875">IF($A875="", "", LET(bbgm_stat, INDEX(Players!$A874:$P874, MATCH(U$2, Players!$A$1:$P$1, 0)), perc_75, VLOOKUP(U$2, Percentiles!$A$45:$I$59, 6, FALSE), perc_90, VLOOKUP(U$2, Percentiles!$A$45:$I$59, 7, FALSE), perc_95, VLOOKUP(U$2, Percentiles!$A$45:$I$59, 8, FALSE), perc_85, perc_75 + (perc_90 - perc_75) * (2/3), converted_stat, '2K_Ratings'!U875, IF(bbgm_stat &gt;= perc_95, converted_stat * 3, IF(bbgm_stat &gt;= perc_90, converted_stat * 2, IF(bbgm_stat &gt;= perc_85, converted_stat * 1.5, converted_stat)))))</f>
        <v/>
      </c>
      <c r="V875" s="30" t="str">
        <f t="array" ref="V875">IF($A875="", "", LET(bbgm_stat, INDEX(Players!$A874:$P874, MATCH(V$2, Players!$A$1:$P$1, 0)), perc_75, VLOOKUP(V$2, Percentiles!$A$45:$I$59, 6, FALSE), perc_90, VLOOKUP(V$2, Percentiles!$A$45:$I$59, 7, FALSE), perc_95, VLOOKUP(V$2, Percentiles!$A$45:$I$59, 8, FALSE), perc_85, perc_75 + (perc_90 - perc_75) * (2/3), converted_stat, '2K_Ratings'!V875, IF(bbgm_stat &gt;= perc_95, converted_stat * 3, IF(bbgm_stat &gt;= perc_90, converted_stat * 2, IF(bbgm_stat &gt;= perc_85, converted_stat * 1.5, converted_stat)))))</f>
        <v/>
      </c>
      <c r="W875" s="30" t="str">
        <f t="array" ref="W875">IF($A875="", "", LET(bbgm_stat, INDEX(Players!$A874:$P874, MATCH(W$2, Players!$A$1:$P$1, 0)), perc_75, VLOOKUP(W$2, Percentiles!$A$45:$I$59, 6, FALSE), perc_90, VLOOKUP(W$2, Percentiles!$A$45:$I$59, 7, FALSE), perc_95, VLOOKUP(W$2, Percentiles!$A$45:$I$59, 8, FALSE), perc_85, perc_75 + (perc_90 - perc_75) * (2/3), converted_stat, '2K_Ratings'!W875, IF(bbgm_stat &gt;= perc_95, converted_stat * 3, IF(bbgm_stat &gt;= perc_90, converted_stat * 2, IF(bbgm_stat &gt;= perc_85, converted_stat * 1.5, converted_stat)))))</f>
        <v/>
      </c>
    </row>
    <row r="876">
      <c r="A876" s="30"/>
      <c r="B876" s="30" t="str">
        <f t="array" ref="B876">IF($A876="", "", LET(bbgm_stat, INDEX(Players!$A875:$P875, MATCH(B$2, Players!$A$1:$P$1, 0)), perc_75, VLOOKUP(B$2, Percentiles!$A$45:$I$59, 6, FALSE), perc_90, VLOOKUP(B$2, Percentiles!$A$45:$I$59, 7, FALSE), perc_95, VLOOKUP(B$2, Percentiles!$A$45:$I$59, 8, FALSE), perc_85, perc_75 + (perc_90 - perc_75) * (2/3), converted_stat, '2K_Ratings'!B876, IF(bbgm_stat &gt;= perc_95, converted_stat * 3, IF(bbgm_stat &gt;= perc_90, converted_stat * 2, IF(bbgm_stat &gt;= perc_85, converted_stat * 1.5, converted_stat)))))</f>
        <v/>
      </c>
      <c r="C876" s="30" t="str">
        <f t="array" ref="C876">IF($A876="", "", LET(bbgm_stat, INDEX(Players!$A875:$P875, MATCH(C$2, Players!$A$1:$P$1, 0)), perc_75, VLOOKUP(C$2, Percentiles!$A$45:$I$59, 6, FALSE), perc_90, VLOOKUP(C$2, Percentiles!$A$45:$I$59, 7, FALSE), perc_95, VLOOKUP(C$2, Percentiles!$A$45:$I$59, 8, FALSE), perc_85, perc_75 + (perc_90 - perc_75) * (2/3), converted_stat, '2K_Ratings'!C876, IF(bbgm_stat &gt;= perc_95, converted_stat * 3, IF(bbgm_stat &gt;= perc_90, converted_stat * 2, IF(bbgm_stat &gt;= perc_85, converted_stat * 1.5, converted_stat)))))</f>
        <v/>
      </c>
      <c r="D876" s="30" t="str">
        <f t="array" ref="D876">IF($A876="", "", LET(bbgm_stat, INDEX(Players!$A875:$P875, MATCH(D$2, Players!$A$1:$P$1, 0)), perc_75, VLOOKUP(D$2, Percentiles!$A$45:$I$59, 6, FALSE), perc_90, VLOOKUP(D$2, Percentiles!$A$45:$I$59, 7, FALSE), perc_95, VLOOKUP(D$2, Percentiles!$A$45:$I$59, 8, FALSE), perc_85, perc_75 + (perc_90 - perc_75) * (2/3), converted_stat, '2K_Ratings'!D876, IF(bbgm_stat &gt;= perc_95, converted_stat * 3, IF(bbgm_stat &gt;= perc_90, converted_stat * 2, IF(bbgm_stat &gt;= perc_85, converted_stat * 1.5, converted_stat)))))</f>
        <v/>
      </c>
      <c r="E876" s="30" t="str">
        <f t="array" ref="E876">IF($A876="", "", LET(bbgm_stat, INDEX(Players!$A875:$P875, MATCH(E$2, Players!$A$1:$P$1, 0)), perc_75, VLOOKUP(E$2, Percentiles!$A$45:$I$59, 6, FALSE), perc_90, VLOOKUP(E$2, Percentiles!$A$45:$I$59, 7, FALSE), perc_95, VLOOKUP(E$2, Percentiles!$A$45:$I$59, 8, FALSE), perc_85, perc_75 + (perc_90 - perc_75) * (2/3), converted_stat, '2K_Ratings'!E876, IF(bbgm_stat &gt;= perc_95, converted_stat * 3, IF(bbgm_stat &gt;= perc_90, converted_stat * 2, IF(bbgm_stat &gt;= perc_85, converted_stat * 1.5, converted_stat)))))</f>
        <v/>
      </c>
      <c r="F876" s="30" t="str">
        <f t="array" ref="F876">IF($A876="", "", LET(bbgm_stat, INDEX(Players!$A875:$P875, MATCH(F$2, Players!$A$1:$P$1, 0)), perc_75, VLOOKUP(F$2, Percentiles!$A$45:$I$59, 6, FALSE), perc_90, VLOOKUP(F$2, Percentiles!$A$45:$I$59, 7, FALSE), perc_95, VLOOKUP(F$2, Percentiles!$A$45:$I$59, 8, FALSE), perc_85, perc_75 + (perc_90 - perc_75) * (2/3), converted_stat, '2K_Ratings'!F876, IF(bbgm_stat &gt;= perc_95, converted_stat * 3, IF(bbgm_stat &gt;= perc_90, converted_stat * 2, IF(bbgm_stat &gt;= perc_85, converted_stat * 1.5, converted_stat)))))</f>
        <v/>
      </c>
      <c r="G876" s="30" t="str">
        <f t="array" ref="G876">IF($A876="", "", LET(bbgm_stat, INDEX(Players!$A875:$P875, MATCH(G$2, Players!$A$1:$P$1, 0)), perc_75, VLOOKUP(G$2, Percentiles!$A$45:$I$59, 6, FALSE), perc_90, VLOOKUP(G$2, Percentiles!$A$45:$I$59, 7, FALSE), perc_95, VLOOKUP(G$2, Percentiles!$A$45:$I$59, 8, FALSE), perc_85, perc_75 + (perc_90 - perc_75) * (2/3), converted_stat, '2K_Ratings'!G876, IF(bbgm_stat &gt;= perc_95, converted_stat * 3, IF(bbgm_stat &gt;= perc_90, converted_stat * 2, IF(bbgm_stat &gt;= perc_85, converted_stat * 1.5, converted_stat)))))</f>
        <v/>
      </c>
      <c r="H876" s="30" t="str">
        <f t="array" ref="H876">IF($A876="", "", LET(bbgm_stat, INDEX(Players!$A875:$P875, MATCH(H$2, Players!$A$1:$P$1, 0)), perc_75, VLOOKUP(H$2, Percentiles!$A$45:$I$59, 6, FALSE), perc_90, VLOOKUP(H$2, Percentiles!$A$45:$I$59, 7, FALSE), perc_95, VLOOKUP(H$2, Percentiles!$A$45:$I$59, 8, FALSE), perc_85, perc_75 + (perc_90 - perc_75) * (2/3), converted_stat, '2K_Ratings'!H876, IF(bbgm_stat &gt;= perc_95, converted_stat * 3, IF(bbgm_stat &gt;= perc_90, converted_stat * 2, IF(bbgm_stat &gt;= perc_85, converted_stat * 1.5, converted_stat)))))</f>
        <v/>
      </c>
      <c r="I876" s="30" t="str">
        <f t="array" ref="I876">IF($A876="", "", LET(bbgm_stat, INDEX(Players!$A875:$P875, MATCH(I$2, Players!$A$1:$P$1, 0)), perc_75, VLOOKUP(I$2, Percentiles!$A$45:$I$59, 6, FALSE), perc_90, VLOOKUP(I$2, Percentiles!$A$45:$I$59, 7, FALSE), perc_95, VLOOKUP(I$2, Percentiles!$A$45:$I$59, 8, FALSE), perc_85, perc_75 + (perc_90 - perc_75) * (2/3), converted_stat, '2K_Ratings'!I876, IF(bbgm_stat &gt;= perc_95, converted_stat * 3, IF(bbgm_stat &gt;= perc_90, converted_stat * 2, IF(bbgm_stat &gt;= perc_85, converted_stat * 1.5, converted_stat)))))</f>
        <v/>
      </c>
      <c r="J876" s="30" t="str">
        <f t="array" ref="J876">IF($A876="", "", LET(bbgm_stat, INDEX(Players!$A875:$P875, MATCH(J$2, Players!$A$1:$P$1, 0)), perc_75, VLOOKUP(J$2, Percentiles!$A$45:$I$59, 6, FALSE), perc_90, VLOOKUP(J$2, Percentiles!$A$45:$I$59, 7, FALSE), perc_95, VLOOKUP(J$2, Percentiles!$A$45:$I$59, 8, FALSE), perc_85, perc_75 + (perc_90 - perc_75) * (2/3), converted_stat, '2K_Ratings'!J876, IF(bbgm_stat &gt;= perc_95, converted_stat * 3, IF(bbgm_stat &gt;= perc_90, converted_stat * 2, IF(bbgm_stat &gt;= perc_85, converted_stat * 1.5, converted_stat)))))</f>
        <v/>
      </c>
      <c r="K876" s="30" t="str">
        <f t="array" ref="K876">IF($A876="", "", LET(bbgm_stat, INDEX(Players!$A875:$P875, MATCH(K$2, Players!$A$1:$P$1, 0)), perc_75, VLOOKUP(K$2, Percentiles!$A$45:$I$59, 6, FALSE), perc_90, VLOOKUP(K$2, Percentiles!$A$45:$I$59, 7, FALSE), perc_95, VLOOKUP(K$2, Percentiles!$A$45:$I$59, 8, FALSE), perc_85, perc_75 + (perc_90 - perc_75) * (2/3), converted_stat, '2K_Ratings'!K876, IF(bbgm_stat &gt;= perc_95, converted_stat * 3, IF(bbgm_stat &gt;= perc_90, converted_stat * 2, IF(bbgm_stat &gt;= perc_85, converted_stat * 1.5, converted_stat)))))</f>
        <v/>
      </c>
      <c r="L876" s="30" t="str">
        <f t="array" ref="L876">IF($A876="", "", LET(bbgm_stat, INDEX(Players!$A875:$P875, MATCH(L$2, Players!$A$1:$P$1, 0)), perc_75, VLOOKUP(L$2, Percentiles!$A$45:$I$59, 6, FALSE), perc_90, VLOOKUP(L$2, Percentiles!$A$45:$I$59, 7, FALSE), perc_95, VLOOKUP(L$2, Percentiles!$A$45:$I$59, 8, FALSE), perc_85, perc_75 + (perc_90 - perc_75) * (2/3), converted_stat, '2K_Ratings'!L876, IF(bbgm_stat &gt;= perc_95, converted_stat * 3, IF(bbgm_stat &gt;= perc_90, converted_stat * 2, IF(bbgm_stat &gt;= perc_85, converted_stat * 1.5, converted_stat)))))</f>
        <v/>
      </c>
      <c r="M876" s="30" t="str">
        <f t="array" ref="M876">IF($A876="", "", LET(bbgm_stat, INDEX(Players!$A875:$P875, MATCH(M$2, Players!$A$1:$P$1, 0)), perc_75, VLOOKUP(M$2, Percentiles!$A$45:$I$59, 6, FALSE), perc_90, VLOOKUP(M$2, Percentiles!$A$45:$I$59, 7, FALSE), perc_95, VLOOKUP(M$2, Percentiles!$A$45:$I$59, 8, FALSE), perc_85, perc_75 + (perc_90 - perc_75) * (2/3), converted_stat, '2K_Ratings'!M876, IF(bbgm_stat &gt;= perc_95, converted_stat * 3, IF(bbgm_stat &gt;= perc_90, converted_stat * 2, IF(bbgm_stat &gt;= perc_85, converted_stat * 1.5, converted_stat)))))</f>
        <v/>
      </c>
      <c r="N876" s="30" t="str">
        <f t="array" ref="N876">IF($A876="", "", LET(bbgm_stat, INDEX(Players!$A875:$P875, MATCH(N$2, Players!$A$1:$P$1, 0)), perc_75, VLOOKUP(N$2, Percentiles!$A$45:$I$59, 6, FALSE), perc_90, VLOOKUP(N$2, Percentiles!$A$45:$I$59, 7, FALSE), perc_95, VLOOKUP(N$2, Percentiles!$A$45:$I$59, 8, FALSE), perc_85, perc_75 + (perc_90 - perc_75) * (2/3), converted_stat, '2K_Ratings'!N876, IF(bbgm_stat &gt;= perc_95, converted_stat * 3, IF(bbgm_stat &gt;= perc_90, converted_stat * 2, IF(bbgm_stat &gt;= perc_85, converted_stat * 1.5, converted_stat)))))</f>
        <v/>
      </c>
      <c r="O876" s="30" t="str">
        <f t="array" ref="O876">IF($A876="", "", LET(bbgm_stat, INDEX(Players!$A875:$P875, MATCH(O$2, Players!$A$1:$P$1, 0)), perc_75, VLOOKUP(O$2, Percentiles!$A$45:$I$59, 6, FALSE), perc_90, VLOOKUP(O$2, Percentiles!$A$45:$I$59, 7, FALSE), perc_95, VLOOKUP(O$2, Percentiles!$A$45:$I$59, 8, FALSE), perc_85, perc_75 + (perc_90 - perc_75) * (2/3), converted_stat, '2K_Ratings'!O876, IF(bbgm_stat &gt;= perc_95, converted_stat * 3, IF(bbgm_stat &gt;= perc_90, converted_stat * 2, IF(bbgm_stat &gt;= perc_85, converted_stat * 1.5, converted_stat)))))</f>
        <v/>
      </c>
      <c r="P876" s="30" t="str">
        <f t="array" ref="P876">IF($A876="", "", LET(bbgm_stat, INDEX(Players!$A875:$P875, MATCH(P$2, Players!$A$1:$P$1, 0)), perc_75, VLOOKUP(P$2, Percentiles!$A$45:$I$59, 6, FALSE), perc_90, VLOOKUP(P$2, Percentiles!$A$45:$I$59, 7, FALSE), perc_95, VLOOKUP(P$2, Percentiles!$A$45:$I$59, 8, FALSE), perc_85, perc_75 + (perc_90 - perc_75) * (2/3), converted_stat, '2K_Ratings'!P876, IF(bbgm_stat &gt;= perc_95, converted_stat * 3, IF(bbgm_stat &gt;= perc_90, converted_stat * 2, IF(bbgm_stat &gt;= perc_85, converted_stat * 1.5, converted_stat)))))</f>
        <v/>
      </c>
      <c r="Q876" s="30" t="str">
        <f t="array" ref="Q876">IF($A876="", "", LET(bbgm_stat, INDEX(Players!$A875:$P875, MATCH(Q$2, Players!$A$1:$P$1, 0)), perc_75, VLOOKUP(Q$2, Percentiles!$A$45:$I$59, 6, FALSE), perc_90, VLOOKUP(Q$2, Percentiles!$A$45:$I$59, 7, FALSE), perc_95, VLOOKUP(Q$2, Percentiles!$A$45:$I$59, 8, FALSE), perc_85, perc_75 + (perc_90 - perc_75) * (2/3), converted_stat, '2K_Ratings'!Q876, IF(bbgm_stat &gt;= perc_95, converted_stat * 3, IF(bbgm_stat &gt;= perc_90, converted_stat * 2, IF(bbgm_stat &gt;= perc_85, converted_stat * 1.5, converted_stat)))))</f>
        <v/>
      </c>
      <c r="R876" s="30" t="str">
        <f t="array" ref="R876">IF($A876="", "", LET(bbgm_stat, INDEX(Players!$A875:$P875, MATCH(R$2, Players!$A$1:$P$1, 0)), perc_75, VLOOKUP(R$2, Percentiles!$A$45:$I$59, 6, FALSE), perc_90, VLOOKUP(R$2, Percentiles!$A$45:$I$59, 7, FALSE), perc_95, VLOOKUP(R$2, Percentiles!$A$45:$I$59, 8, FALSE), perc_85, perc_75 + (perc_90 - perc_75) * (2/3), converted_stat, '2K_Ratings'!R876, IF(bbgm_stat &gt;= perc_95, converted_stat * 3, IF(bbgm_stat &gt;= perc_90, converted_stat * 2, IF(bbgm_stat &gt;= perc_85, converted_stat * 1.5, converted_stat)))))</f>
        <v/>
      </c>
      <c r="S876" s="30" t="str">
        <f t="array" ref="S876">IF($A876="", "", LET(bbgm_stat, INDEX(Players!$A875:$P875, MATCH(S$2, Players!$A$1:$P$1, 0)), perc_75, VLOOKUP(S$2, Percentiles!$A$45:$I$59, 6, FALSE), perc_90, VLOOKUP(S$2, Percentiles!$A$45:$I$59, 7, FALSE), perc_95, VLOOKUP(S$2, Percentiles!$A$45:$I$59, 8, FALSE), perc_85, perc_75 + (perc_90 - perc_75) * (2/3), converted_stat, '2K_Ratings'!S876, IF(bbgm_stat &gt;= perc_95, converted_stat * 3, IF(bbgm_stat &gt;= perc_90, converted_stat * 2, IF(bbgm_stat &gt;= perc_85, converted_stat * 1.5, converted_stat)))))</f>
        <v/>
      </c>
      <c r="T876" s="30" t="str">
        <f t="array" ref="T876">IF($A876="", "", LET(bbgm_stat, INDEX(Players!$A875:$P875, MATCH(T$2, Players!$A$1:$P$1, 0)), perc_75, VLOOKUP(T$2, Percentiles!$A$45:$I$59, 6, FALSE), perc_90, VLOOKUP(T$2, Percentiles!$A$45:$I$59, 7, FALSE), perc_95, VLOOKUP(T$2, Percentiles!$A$45:$I$59, 8, FALSE), perc_85, perc_75 + (perc_90 - perc_75) * (2/3), converted_stat, '2K_Ratings'!T876, IF(bbgm_stat &gt;= perc_95, converted_stat * 3, IF(bbgm_stat &gt;= perc_90, converted_stat * 2, IF(bbgm_stat &gt;= perc_85, converted_stat * 1.5, converted_stat)))))</f>
        <v/>
      </c>
      <c r="U876" s="30" t="str">
        <f t="array" ref="U876">IF($A876="", "", LET(bbgm_stat, INDEX(Players!$A875:$P875, MATCH(U$2, Players!$A$1:$P$1, 0)), perc_75, VLOOKUP(U$2, Percentiles!$A$45:$I$59, 6, FALSE), perc_90, VLOOKUP(U$2, Percentiles!$A$45:$I$59, 7, FALSE), perc_95, VLOOKUP(U$2, Percentiles!$A$45:$I$59, 8, FALSE), perc_85, perc_75 + (perc_90 - perc_75) * (2/3), converted_stat, '2K_Ratings'!U876, IF(bbgm_stat &gt;= perc_95, converted_stat * 3, IF(bbgm_stat &gt;= perc_90, converted_stat * 2, IF(bbgm_stat &gt;= perc_85, converted_stat * 1.5, converted_stat)))))</f>
        <v/>
      </c>
      <c r="V876" s="30" t="str">
        <f t="array" ref="V876">IF($A876="", "", LET(bbgm_stat, INDEX(Players!$A875:$P875, MATCH(V$2, Players!$A$1:$P$1, 0)), perc_75, VLOOKUP(V$2, Percentiles!$A$45:$I$59, 6, FALSE), perc_90, VLOOKUP(V$2, Percentiles!$A$45:$I$59, 7, FALSE), perc_95, VLOOKUP(V$2, Percentiles!$A$45:$I$59, 8, FALSE), perc_85, perc_75 + (perc_90 - perc_75) * (2/3), converted_stat, '2K_Ratings'!V876, IF(bbgm_stat &gt;= perc_95, converted_stat * 3, IF(bbgm_stat &gt;= perc_90, converted_stat * 2, IF(bbgm_stat &gt;= perc_85, converted_stat * 1.5, converted_stat)))))</f>
        <v/>
      </c>
      <c r="W876" s="30" t="str">
        <f t="array" ref="W876">IF($A876="", "", LET(bbgm_stat, INDEX(Players!$A875:$P875, MATCH(W$2, Players!$A$1:$P$1, 0)), perc_75, VLOOKUP(W$2, Percentiles!$A$45:$I$59, 6, FALSE), perc_90, VLOOKUP(W$2, Percentiles!$A$45:$I$59, 7, FALSE), perc_95, VLOOKUP(W$2, Percentiles!$A$45:$I$59, 8, FALSE), perc_85, perc_75 + (perc_90 - perc_75) * (2/3), converted_stat, '2K_Ratings'!W876, IF(bbgm_stat &gt;= perc_95, converted_stat * 3, IF(bbgm_stat &gt;= perc_90, converted_stat * 2, IF(bbgm_stat &gt;= perc_85, converted_stat * 1.5, converted_stat)))))</f>
        <v/>
      </c>
    </row>
    <row r="877">
      <c r="A877" s="30"/>
      <c r="B877" s="30" t="str">
        <f t="array" ref="B877">IF($A877="", "", LET(bbgm_stat, INDEX(Players!$A876:$P876, MATCH(B$2, Players!$A$1:$P$1, 0)), perc_75, VLOOKUP(B$2, Percentiles!$A$45:$I$59, 6, FALSE), perc_90, VLOOKUP(B$2, Percentiles!$A$45:$I$59, 7, FALSE), perc_95, VLOOKUP(B$2, Percentiles!$A$45:$I$59, 8, FALSE), perc_85, perc_75 + (perc_90 - perc_75) * (2/3), converted_stat, '2K_Ratings'!B877, IF(bbgm_stat &gt;= perc_95, converted_stat * 3, IF(bbgm_stat &gt;= perc_90, converted_stat * 2, IF(bbgm_stat &gt;= perc_85, converted_stat * 1.5, converted_stat)))))</f>
        <v/>
      </c>
      <c r="C877" s="30" t="str">
        <f t="array" ref="C877">IF($A877="", "", LET(bbgm_stat, INDEX(Players!$A876:$P876, MATCH(C$2, Players!$A$1:$P$1, 0)), perc_75, VLOOKUP(C$2, Percentiles!$A$45:$I$59, 6, FALSE), perc_90, VLOOKUP(C$2, Percentiles!$A$45:$I$59, 7, FALSE), perc_95, VLOOKUP(C$2, Percentiles!$A$45:$I$59, 8, FALSE), perc_85, perc_75 + (perc_90 - perc_75) * (2/3), converted_stat, '2K_Ratings'!C877, IF(bbgm_stat &gt;= perc_95, converted_stat * 3, IF(bbgm_stat &gt;= perc_90, converted_stat * 2, IF(bbgm_stat &gt;= perc_85, converted_stat * 1.5, converted_stat)))))</f>
        <v/>
      </c>
      <c r="D877" s="30" t="str">
        <f t="array" ref="D877">IF($A877="", "", LET(bbgm_stat, INDEX(Players!$A876:$P876, MATCH(D$2, Players!$A$1:$P$1, 0)), perc_75, VLOOKUP(D$2, Percentiles!$A$45:$I$59, 6, FALSE), perc_90, VLOOKUP(D$2, Percentiles!$A$45:$I$59, 7, FALSE), perc_95, VLOOKUP(D$2, Percentiles!$A$45:$I$59, 8, FALSE), perc_85, perc_75 + (perc_90 - perc_75) * (2/3), converted_stat, '2K_Ratings'!D877, IF(bbgm_stat &gt;= perc_95, converted_stat * 3, IF(bbgm_stat &gt;= perc_90, converted_stat * 2, IF(bbgm_stat &gt;= perc_85, converted_stat * 1.5, converted_stat)))))</f>
        <v/>
      </c>
      <c r="E877" s="30" t="str">
        <f t="array" ref="E877">IF($A877="", "", LET(bbgm_stat, INDEX(Players!$A876:$P876, MATCH(E$2, Players!$A$1:$P$1, 0)), perc_75, VLOOKUP(E$2, Percentiles!$A$45:$I$59, 6, FALSE), perc_90, VLOOKUP(E$2, Percentiles!$A$45:$I$59, 7, FALSE), perc_95, VLOOKUP(E$2, Percentiles!$A$45:$I$59, 8, FALSE), perc_85, perc_75 + (perc_90 - perc_75) * (2/3), converted_stat, '2K_Ratings'!E877, IF(bbgm_stat &gt;= perc_95, converted_stat * 3, IF(bbgm_stat &gt;= perc_90, converted_stat * 2, IF(bbgm_stat &gt;= perc_85, converted_stat * 1.5, converted_stat)))))</f>
        <v/>
      </c>
      <c r="F877" s="30" t="str">
        <f t="array" ref="F877">IF($A877="", "", LET(bbgm_stat, INDEX(Players!$A876:$P876, MATCH(F$2, Players!$A$1:$P$1, 0)), perc_75, VLOOKUP(F$2, Percentiles!$A$45:$I$59, 6, FALSE), perc_90, VLOOKUP(F$2, Percentiles!$A$45:$I$59, 7, FALSE), perc_95, VLOOKUP(F$2, Percentiles!$A$45:$I$59, 8, FALSE), perc_85, perc_75 + (perc_90 - perc_75) * (2/3), converted_stat, '2K_Ratings'!F877, IF(bbgm_stat &gt;= perc_95, converted_stat * 3, IF(bbgm_stat &gt;= perc_90, converted_stat * 2, IF(bbgm_stat &gt;= perc_85, converted_stat * 1.5, converted_stat)))))</f>
        <v/>
      </c>
      <c r="G877" s="30" t="str">
        <f t="array" ref="G877">IF($A877="", "", LET(bbgm_stat, INDEX(Players!$A876:$P876, MATCH(G$2, Players!$A$1:$P$1, 0)), perc_75, VLOOKUP(G$2, Percentiles!$A$45:$I$59, 6, FALSE), perc_90, VLOOKUP(G$2, Percentiles!$A$45:$I$59, 7, FALSE), perc_95, VLOOKUP(G$2, Percentiles!$A$45:$I$59, 8, FALSE), perc_85, perc_75 + (perc_90 - perc_75) * (2/3), converted_stat, '2K_Ratings'!G877, IF(bbgm_stat &gt;= perc_95, converted_stat * 3, IF(bbgm_stat &gt;= perc_90, converted_stat * 2, IF(bbgm_stat &gt;= perc_85, converted_stat * 1.5, converted_stat)))))</f>
        <v/>
      </c>
      <c r="H877" s="30" t="str">
        <f t="array" ref="H877">IF($A877="", "", LET(bbgm_stat, INDEX(Players!$A876:$P876, MATCH(H$2, Players!$A$1:$P$1, 0)), perc_75, VLOOKUP(H$2, Percentiles!$A$45:$I$59, 6, FALSE), perc_90, VLOOKUP(H$2, Percentiles!$A$45:$I$59, 7, FALSE), perc_95, VLOOKUP(H$2, Percentiles!$A$45:$I$59, 8, FALSE), perc_85, perc_75 + (perc_90 - perc_75) * (2/3), converted_stat, '2K_Ratings'!H877, IF(bbgm_stat &gt;= perc_95, converted_stat * 3, IF(bbgm_stat &gt;= perc_90, converted_stat * 2, IF(bbgm_stat &gt;= perc_85, converted_stat * 1.5, converted_stat)))))</f>
        <v/>
      </c>
      <c r="I877" s="30" t="str">
        <f t="array" ref="I877">IF($A877="", "", LET(bbgm_stat, INDEX(Players!$A876:$P876, MATCH(I$2, Players!$A$1:$P$1, 0)), perc_75, VLOOKUP(I$2, Percentiles!$A$45:$I$59, 6, FALSE), perc_90, VLOOKUP(I$2, Percentiles!$A$45:$I$59, 7, FALSE), perc_95, VLOOKUP(I$2, Percentiles!$A$45:$I$59, 8, FALSE), perc_85, perc_75 + (perc_90 - perc_75) * (2/3), converted_stat, '2K_Ratings'!I877, IF(bbgm_stat &gt;= perc_95, converted_stat * 3, IF(bbgm_stat &gt;= perc_90, converted_stat * 2, IF(bbgm_stat &gt;= perc_85, converted_stat * 1.5, converted_stat)))))</f>
        <v/>
      </c>
      <c r="J877" s="30" t="str">
        <f t="array" ref="J877">IF($A877="", "", LET(bbgm_stat, INDEX(Players!$A876:$P876, MATCH(J$2, Players!$A$1:$P$1, 0)), perc_75, VLOOKUP(J$2, Percentiles!$A$45:$I$59, 6, FALSE), perc_90, VLOOKUP(J$2, Percentiles!$A$45:$I$59, 7, FALSE), perc_95, VLOOKUP(J$2, Percentiles!$A$45:$I$59, 8, FALSE), perc_85, perc_75 + (perc_90 - perc_75) * (2/3), converted_stat, '2K_Ratings'!J877, IF(bbgm_stat &gt;= perc_95, converted_stat * 3, IF(bbgm_stat &gt;= perc_90, converted_stat * 2, IF(bbgm_stat &gt;= perc_85, converted_stat * 1.5, converted_stat)))))</f>
        <v/>
      </c>
      <c r="K877" s="30" t="str">
        <f t="array" ref="K877">IF($A877="", "", LET(bbgm_stat, INDEX(Players!$A876:$P876, MATCH(K$2, Players!$A$1:$P$1, 0)), perc_75, VLOOKUP(K$2, Percentiles!$A$45:$I$59, 6, FALSE), perc_90, VLOOKUP(K$2, Percentiles!$A$45:$I$59, 7, FALSE), perc_95, VLOOKUP(K$2, Percentiles!$A$45:$I$59, 8, FALSE), perc_85, perc_75 + (perc_90 - perc_75) * (2/3), converted_stat, '2K_Ratings'!K877, IF(bbgm_stat &gt;= perc_95, converted_stat * 3, IF(bbgm_stat &gt;= perc_90, converted_stat * 2, IF(bbgm_stat &gt;= perc_85, converted_stat * 1.5, converted_stat)))))</f>
        <v/>
      </c>
      <c r="L877" s="30" t="str">
        <f t="array" ref="L877">IF($A877="", "", LET(bbgm_stat, INDEX(Players!$A876:$P876, MATCH(L$2, Players!$A$1:$P$1, 0)), perc_75, VLOOKUP(L$2, Percentiles!$A$45:$I$59, 6, FALSE), perc_90, VLOOKUP(L$2, Percentiles!$A$45:$I$59, 7, FALSE), perc_95, VLOOKUP(L$2, Percentiles!$A$45:$I$59, 8, FALSE), perc_85, perc_75 + (perc_90 - perc_75) * (2/3), converted_stat, '2K_Ratings'!L877, IF(bbgm_stat &gt;= perc_95, converted_stat * 3, IF(bbgm_stat &gt;= perc_90, converted_stat * 2, IF(bbgm_stat &gt;= perc_85, converted_stat * 1.5, converted_stat)))))</f>
        <v/>
      </c>
      <c r="M877" s="30" t="str">
        <f t="array" ref="M877">IF($A877="", "", LET(bbgm_stat, INDEX(Players!$A876:$P876, MATCH(M$2, Players!$A$1:$P$1, 0)), perc_75, VLOOKUP(M$2, Percentiles!$A$45:$I$59, 6, FALSE), perc_90, VLOOKUP(M$2, Percentiles!$A$45:$I$59, 7, FALSE), perc_95, VLOOKUP(M$2, Percentiles!$A$45:$I$59, 8, FALSE), perc_85, perc_75 + (perc_90 - perc_75) * (2/3), converted_stat, '2K_Ratings'!M877, IF(bbgm_stat &gt;= perc_95, converted_stat * 3, IF(bbgm_stat &gt;= perc_90, converted_stat * 2, IF(bbgm_stat &gt;= perc_85, converted_stat * 1.5, converted_stat)))))</f>
        <v/>
      </c>
      <c r="N877" s="30" t="str">
        <f t="array" ref="N877">IF($A877="", "", LET(bbgm_stat, INDEX(Players!$A876:$P876, MATCH(N$2, Players!$A$1:$P$1, 0)), perc_75, VLOOKUP(N$2, Percentiles!$A$45:$I$59, 6, FALSE), perc_90, VLOOKUP(N$2, Percentiles!$A$45:$I$59, 7, FALSE), perc_95, VLOOKUP(N$2, Percentiles!$A$45:$I$59, 8, FALSE), perc_85, perc_75 + (perc_90 - perc_75) * (2/3), converted_stat, '2K_Ratings'!N877, IF(bbgm_stat &gt;= perc_95, converted_stat * 3, IF(bbgm_stat &gt;= perc_90, converted_stat * 2, IF(bbgm_stat &gt;= perc_85, converted_stat * 1.5, converted_stat)))))</f>
        <v/>
      </c>
      <c r="O877" s="30" t="str">
        <f t="array" ref="O877">IF($A877="", "", LET(bbgm_stat, INDEX(Players!$A876:$P876, MATCH(O$2, Players!$A$1:$P$1, 0)), perc_75, VLOOKUP(O$2, Percentiles!$A$45:$I$59, 6, FALSE), perc_90, VLOOKUP(O$2, Percentiles!$A$45:$I$59, 7, FALSE), perc_95, VLOOKUP(O$2, Percentiles!$A$45:$I$59, 8, FALSE), perc_85, perc_75 + (perc_90 - perc_75) * (2/3), converted_stat, '2K_Ratings'!O877, IF(bbgm_stat &gt;= perc_95, converted_stat * 3, IF(bbgm_stat &gt;= perc_90, converted_stat * 2, IF(bbgm_stat &gt;= perc_85, converted_stat * 1.5, converted_stat)))))</f>
        <v/>
      </c>
      <c r="P877" s="30" t="str">
        <f t="array" ref="P877">IF($A877="", "", LET(bbgm_stat, INDEX(Players!$A876:$P876, MATCH(P$2, Players!$A$1:$P$1, 0)), perc_75, VLOOKUP(P$2, Percentiles!$A$45:$I$59, 6, FALSE), perc_90, VLOOKUP(P$2, Percentiles!$A$45:$I$59, 7, FALSE), perc_95, VLOOKUP(P$2, Percentiles!$A$45:$I$59, 8, FALSE), perc_85, perc_75 + (perc_90 - perc_75) * (2/3), converted_stat, '2K_Ratings'!P877, IF(bbgm_stat &gt;= perc_95, converted_stat * 3, IF(bbgm_stat &gt;= perc_90, converted_stat * 2, IF(bbgm_stat &gt;= perc_85, converted_stat * 1.5, converted_stat)))))</f>
        <v/>
      </c>
      <c r="Q877" s="30" t="str">
        <f t="array" ref="Q877">IF($A877="", "", LET(bbgm_stat, INDEX(Players!$A876:$P876, MATCH(Q$2, Players!$A$1:$P$1, 0)), perc_75, VLOOKUP(Q$2, Percentiles!$A$45:$I$59, 6, FALSE), perc_90, VLOOKUP(Q$2, Percentiles!$A$45:$I$59, 7, FALSE), perc_95, VLOOKUP(Q$2, Percentiles!$A$45:$I$59, 8, FALSE), perc_85, perc_75 + (perc_90 - perc_75) * (2/3), converted_stat, '2K_Ratings'!Q877, IF(bbgm_stat &gt;= perc_95, converted_stat * 3, IF(bbgm_stat &gt;= perc_90, converted_stat * 2, IF(bbgm_stat &gt;= perc_85, converted_stat * 1.5, converted_stat)))))</f>
        <v/>
      </c>
      <c r="R877" s="30" t="str">
        <f t="array" ref="R877">IF($A877="", "", LET(bbgm_stat, INDEX(Players!$A876:$P876, MATCH(R$2, Players!$A$1:$P$1, 0)), perc_75, VLOOKUP(R$2, Percentiles!$A$45:$I$59, 6, FALSE), perc_90, VLOOKUP(R$2, Percentiles!$A$45:$I$59, 7, FALSE), perc_95, VLOOKUP(R$2, Percentiles!$A$45:$I$59, 8, FALSE), perc_85, perc_75 + (perc_90 - perc_75) * (2/3), converted_stat, '2K_Ratings'!R877, IF(bbgm_stat &gt;= perc_95, converted_stat * 3, IF(bbgm_stat &gt;= perc_90, converted_stat * 2, IF(bbgm_stat &gt;= perc_85, converted_stat * 1.5, converted_stat)))))</f>
        <v/>
      </c>
      <c r="S877" s="30" t="str">
        <f t="array" ref="S877">IF($A877="", "", LET(bbgm_stat, INDEX(Players!$A876:$P876, MATCH(S$2, Players!$A$1:$P$1, 0)), perc_75, VLOOKUP(S$2, Percentiles!$A$45:$I$59, 6, FALSE), perc_90, VLOOKUP(S$2, Percentiles!$A$45:$I$59, 7, FALSE), perc_95, VLOOKUP(S$2, Percentiles!$A$45:$I$59, 8, FALSE), perc_85, perc_75 + (perc_90 - perc_75) * (2/3), converted_stat, '2K_Ratings'!S877, IF(bbgm_stat &gt;= perc_95, converted_stat * 3, IF(bbgm_stat &gt;= perc_90, converted_stat * 2, IF(bbgm_stat &gt;= perc_85, converted_stat * 1.5, converted_stat)))))</f>
        <v/>
      </c>
      <c r="T877" s="30" t="str">
        <f t="array" ref="T877">IF($A877="", "", LET(bbgm_stat, INDEX(Players!$A876:$P876, MATCH(T$2, Players!$A$1:$P$1, 0)), perc_75, VLOOKUP(T$2, Percentiles!$A$45:$I$59, 6, FALSE), perc_90, VLOOKUP(T$2, Percentiles!$A$45:$I$59, 7, FALSE), perc_95, VLOOKUP(T$2, Percentiles!$A$45:$I$59, 8, FALSE), perc_85, perc_75 + (perc_90 - perc_75) * (2/3), converted_stat, '2K_Ratings'!T877, IF(bbgm_stat &gt;= perc_95, converted_stat * 3, IF(bbgm_stat &gt;= perc_90, converted_stat * 2, IF(bbgm_stat &gt;= perc_85, converted_stat * 1.5, converted_stat)))))</f>
        <v/>
      </c>
      <c r="U877" s="30" t="str">
        <f t="array" ref="U877">IF($A877="", "", LET(bbgm_stat, INDEX(Players!$A876:$P876, MATCH(U$2, Players!$A$1:$P$1, 0)), perc_75, VLOOKUP(U$2, Percentiles!$A$45:$I$59, 6, FALSE), perc_90, VLOOKUP(U$2, Percentiles!$A$45:$I$59, 7, FALSE), perc_95, VLOOKUP(U$2, Percentiles!$A$45:$I$59, 8, FALSE), perc_85, perc_75 + (perc_90 - perc_75) * (2/3), converted_stat, '2K_Ratings'!U877, IF(bbgm_stat &gt;= perc_95, converted_stat * 3, IF(bbgm_stat &gt;= perc_90, converted_stat * 2, IF(bbgm_stat &gt;= perc_85, converted_stat * 1.5, converted_stat)))))</f>
        <v/>
      </c>
      <c r="V877" s="30" t="str">
        <f t="array" ref="V877">IF($A877="", "", LET(bbgm_stat, INDEX(Players!$A876:$P876, MATCH(V$2, Players!$A$1:$P$1, 0)), perc_75, VLOOKUP(V$2, Percentiles!$A$45:$I$59, 6, FALSE), perc_90, VLOOKUP(V$2, Percentiles!$A$45:$I$59, 7, FALSE), perc_95, VLOOKUP(V$2, Percentiles!$A$45:$I$59, 8, FALSE), perc_85, perc_75 + (perc_90 - perc_75) * (2/3), converted_stat, '2K_Ratings'!V877, IF(bbgm_stat &gt;= perc_95, converted_stat * 3, IF(bbgm_stat &gt;= perc_90, converted_stat * 2, IF(bbgm_stat &gt;= perc_85, converted_stat * 1.5, converted_stat)))))</f>
        <v/>
      </c>
      <c r="W877" s="30" t="str">
        <f t="array" ref="W877">IF($A877="", "", LET(bbgm_stat, INDEX(Players!$A876:$P876, MATCH(W$2, Players!$A$1:$P$1, 0)), perc_75, VLOOKUP(W$2, Percentiles!$A$45:$I$59, 6, FALSE), perc_90, VLOOKUP(W$2, Percentiles!$A$45:$I$59, 7, FALSE), perc_95, VLOOKUP(W$2, Percentiles!$A$45:$I$59, 8, FALSE), perc_85, perc_75 + (perc_90 - perc_75) * (2/3), converted_stat, '2K_Ratings'!W877, IF(bbgm_stat &gt;= perc_95, converted_stat * 3, IF(bbgm_stat &gt;= perc_90, converted_stat * 2, IF(bbgm_stat &gt;= perc_85, converted_stat * 1.5, converted_stat)))))</f>
        <v/>
      </c>
    </row>
    <row r="878">
      <c r="A878" s="30"/>
      <c r="B878" s="30" t="str">
        <f t="array" ref="B878">IF($A878="", "", LET(bbgm_stat, INDEX(Players!$A877:$P877, MATCH(B$2, Players!$A$1:$P$1, 0)), perc_75, VLOOKUP(B$2, Percentiles!$A$45:$I$59, 6, FALSE), perc_90, VLOOKUP(B$2, Percentiles!$A$45:$I$59, 7, FALSE), perc_95, VLOOKUP(B$2, Percentiles!$A$45:$I$59, 8, FALSE), perc_85, perc_75 + (perc_90 - perc_75) * (2/3), converted_stat, '2K_Ratings'!B878, IF(bbgm_stat &gt;= perc_95, converted_stat * 3, IF(bbgm_stat &gt;= perc_90, converted_stat * 2, IF(bbgm_stat &gt;= perc_85, converted_stat * 1.5, converted_stat)))))</f>
        <v/>
      </c>
      <c r="C878" s="30" t="str">
        <f t="array" ref="C878">IF($A878="", "", LET(bbgm_stat, INDEX(Players!$A877:$P877, MATCH(C$2, Players!$A$1:$P$1, 0)), perc_75, VLOOKUP(C$2, Percentiles!$A$45:$I$59, 6, FALSE), perc_90, VLOOKUP(C$2, Percentiles!$A$45:$I$59, 7, FALSE), perc_95, VLOOKUP(C$2, Percentiles!$A$45:$I$59, 8, FALSE), perc_85, perc_75 + (perc_90 - perc_75) * (2/3), converted_stat, '2K_Ratings'!C878, IF(bbgm_stat &gt;= perc_95, converted_stat * 3, IF(bbgm_stat &gt;= perc_90, converted_stat * 2, IF(bbgm_stat &gt;= perc_85, converted_stat * 1.5, converted_stat)))))</f>
        <v/>
      </c>
      <c r="D878" s="30" t="str">
        <f t="array" ref="D878">IF($A878="", "", LET(bbgm_stat, INDEX(Players!$A877:$P877, MATCH(D$2, Players!$A$1:$P$1, 0)), perc_75, VLOOKUP(D$2, Percentiles!$A$45:$I$59, 6, FALSE), perc_90, VLOOKUP(D$2, Percentiles!$A$45:$I$59, 7, FALSE), perc_95, VLOOKUP(D$2, Percentiles!$A$45:$I$59, 8, FALSE), perc_85, perc_75 + (perc_90 - perc_75) * (2/3), converted_stat, '2K_Ratings'!D878, IF(bbgm_stat &gt;= perc_95, converted_stat * 3, IF(bbgm_stat &gt;= perc_90, converted_stat * 2, IF(bbgm_stat &gt;= perc_85, converted_stat * 1.5, converted_stat)))))</f>
        <v/>
      </c>
      <c r="E878" s="30" t="str">
        <f t="array" ref="E878">IF($A878="", "", LET(bbgm_stat, INDEX(Players!$A877:$P877, MATCH(E$2, Players!$A$1:$P$1, 0)), perc_75, VLOOKUP(E$2, Percentiles!$A$45:$I$59, 6, FALSE), perc_90, VLOOKUP(E$2, Percentiles!$A$45:$I$59, 7, FALSE), perc_95, VLOOKUP(E$2, Percentiles!$A$45:$I$59, 8, FALSE), perc_85, perc_75 + (perc_90 - perc_75) * (2/3), converted_stat, '2K_Ratings'!E878, IF(bbgm_stat &gt;= perc_95, converted_stat * 3, IF(bbgm_stat &gt;= perc_90, converted_stat * 2, IF(bbgm_stat &gt;= perc_85, converted_stat * 1.5, converted_stat)))))</f>
        <v/>
      </c>
      <c r="F878" s="30" t="str">
        <f t="array" ref="F878">IF($A878="", "", LET(bbgm_stat, INDEX(Players!$A877:$P877, MATCH(F$2, Players!$A$1:$P$1, 0)), perc_75, VLOOKUP(F$2, Percentiles!$A$45:$I$59, 6, FALSE), perc_90, VLOOKUP(F$2, Percentiles!$A$45:$I$59, 7, FALSE), perc_95, VLOOKUP(F$2, Percentiles!$A$45:$I$59, 8, FALSE), perc_85, perc_75 + (perc_90 - perc_75) * (2/3), converted_stat, '2K_Ratings'!F878, IF(bbgm_stat &gt;= perc_95, converted_stat * 3, IF(bbgm_stat &gt;= perc_90, converted_stat * 2, IF(bbgm_stat &gt;= perc_85, converted_stat * 1.5, converted_stat)))))</f>
        <v/>
      </c>
      <c r="G878" s="30" t="str">
        <f t="array" ref="G878">IF($A878="", "", LET(bbgm_stat, INDEX(Players!$A877:$P877, MATCH(G$2, Players!$A$1:$P$1, 0)), perc_75, VLOOKUP(G$2, Percentiles!$A$45:$I$59, 6, FALSE), perc_90, VLOOKUP(G$2, Percentiles!$A$45:$I$59, 7, FALSE), perc_95, VLOOKUP(G$2, Percentiles!$A$45:$I$59, 8, FALSE), perc_85, perc_75 + (perc_90 - perc_75) * (2/3), converted_stat, '2K_Ratings'!G878, IF(bbgm_stat &gt;= perc_95, converted_stat * 3, IF(bbgm_stat &gt;= perc_90, converted_stat * 2, IF(bbgm_stat &gt;= perc_85, converted_stat * 1.5, converted_stat)))))</f>
        <v/>
      </c>
      <c r="H878" s="30" t="str">
        <f t="array" ref="H878">IF($A878="", "", LET(bbgm_stat, INDEX(Players!$A877:$P877, MATCH(H$2, Players!$A$1:$P$1, 0)), perc_75, VLOOKUP(H$2, Percentiles!$A$45:$I$59, 6, FALSE), perc_90, VLOOKUP(H$2, Percentiles!$A$45:$I$59, 7, FALSE), perc_95, VLOOKUP(H$2, Percentiles!$A$45:$I$59, 8, FALSE), perc_85, perc_75 + (perc_90 - perc_75) * (2/3), converted_stat, '2K_Ratings'!H878, IF(bbgm_stat &gt;= perc_95, converted_stat * 3, IF(bbgm_stat &gt;= perc_90, converted_stat * 2, IF(bbgm_stat &gt;= perc_85, converted_stat * 1.5, converted_stat)))))</f>
        <v/>
      </c>
      <c r="I878" s="30" t="str">
        <f t="array" ref="I878">IF($A878="", "", LET(bbgm_stat, INDEX(Players!$A877:$P877, MATCH(I$2, Players!$A$1:$P$1, 0)), perc_75, VLOOKUP(I$2, Percentiles!$A$45:$I$59, 6, FALSE), perc_90, VLOOKUP(I$2, Percentiles!$A$45:$I$59, 7, FALSE), perc_95, VLOOKUP(I$2, Percentiles!$A$45:$I$59, 8, FALSE), perc_85, perc_75 + (perc_90 - perc_75) * (2/3), converted_stat, '2K_Ratings'!I878, IF(bbgm_stat &gt;= perc_95, converted_stat * 3, IF(bbgm_stat &gt;= perc_90, converted_stat * 2, IF(bbgm_stat &gt;= perc_85, converted_stat * 1.5, converted_stat)))))</f>
        <v/>
      </c>
      <c r="J878" s="30" t="str">
        <f t="array" ref="J878">IF($A878="", "", LET(bbgm_stat, INDEX(Players!$A877:$P877, MATCH(J$2, Players!$A$1:$P$1, 0)), perc_75, VLOOKUP(J$2, Percentiles!$A$45:$I$59, 6, FALSE), perc_90, VLOOKUP(J$2, Percentiles!$A$45:$I$59, 7, FALSE), perc_95, VLOOKUP(J$2, Percentiles!$A$45:$I$59, 8, FALSE), perc_85, perc_75 + (perc_90 - perc_75) * (2/3), converted_stat, '2K_Ratings'!J878, IF(bbgm_stat &gt;= perc_95, converted_stat * 3, IF(bbgm_stat &gt;= perc_90, converted_stat * 2, IF(bbgm_stat &gt;= perc_85, converted_stat * 1.5, converted_stat)))))</f>
        <v/>
      </c>
      <c r="K878" s="30" t="str">
        <f t="array" ref="K878">IF($A878="", "", LET(bbgm_stat, INDEX(Players!$A877:$P877, MATCH(K$2, Players!$A$1:$P$1, 0)), perc_75, VLOOKUP(K$2, Percentiles!$A$45:$I$59, 6, FALSE), perc_90, VLOOKUP(K$2, Percentiles!$A$45:$I$59, 7, FALSE), perc_95, VLOOKUP(K$2, Percentiles!$A$45:$I$59, 8, FALSE), perc_85, perc_75 + (perc_90 - perc_75) * (2/3), converted_stat, '2K_Ratings'!K878, IF(bbgm_stat &gt;= perc_95, converted_stat * 3, IF(bbgm_stat &gt;= perc_90, converted_stat * 2, IF(bbgm_stat &gt;= perc_85, converted_stat * 1.5, converted_stat)))))</f>
        <v/>
      </c>
      <c r="L878" s="30" t="str">
        <f t="array" ref="L878">IF($A878="", "", LET(bbgm_stat, INDEX(Players!$A877:$P877, MATCH(L$2, Players!$A$1:$P$1, 0)), perc_75, VLOOKUP(L$2, Percentiles!$A$45:$I$59, 6, FALSE), perc_90, VLOOKUP(L$2, Percentiles!$A$45:$I$59, 7, FALSE), perc_95, VLOOKUP(L$2, Percentiles!$A$45:$I$59, 8, FALSE), perc_85, perc_75 + (perc_90 - perc_75) * (2/3), converted_stat, '2K_Ratings'!L878, IF(bbgm_stat &gt;= perc_95, converted_stat * 3, IF(bbgm_stat &gt;= perc_90, converted_stat * 2, IF(bbgm_stat &gt;= perc_85, converted_stat * 1.5, converted_stat)))))</f>
        <v/>
      </c>
      <c r="M878" s="30" t="str">
        <f t="array" ref="M878">IF($A878="", "", LET(bbgm_stat, INDEX(Players!$A877:$P877, MATCH(M$2, Players!$A$1:$P$1, 0)), perc_75, VLOOKUP(M$2, Percentiles!$A$45:$I$59, 6, FALSE), perc_90, VLOOKUP(M$2, Percentiles!$A$45:$I$59, 7, FALSE), perc_95, VLOOKUP(M$2, Percentiles!$A$45:$I$59, 8, FALSE), perc_85, perc_75 + (perc_90 - perc_75) * (2/3), converted_stat, '2K_Ratings'!M878, IF(bbgm_stat &gt;= perc_95, converted_stat * 3, IF(bbgm_stat &gt;= perc_90, converted_stat * 2, IF(bbgm_stat &gt;= perc_85, converted_stat * 1.5, converted_stat)))))</f>
        <v/>
      </c>
      <c r="N878" s="30" t="str">
        <f t="array" ref="N878">IF($A878="", "", LET(bbgm_stat, INDEX(Players!$A877:$P877, MATCH(N$2, Players!$A$1:$P$1, 0)), perc_75, VLOOKUP(N$2, Percentiles!$A$45:$I$59, 6, FALSE), perc_90, VLOOKUP(N$2, Percentiles!$A$45:$I$59, 7, FALSE), perc_95, VLOOKUP(N$2, Percentiles!$A$45:$I$59, 8, FALSE), perc_85, perc_75 + (perc_90 - perc_75) * (2/3), converted_stat, '2K_Ratings'!N878, IF(bbgm_stat &gt;= perc_95, converted_stat * 3, IF(bbgm_stat &gt;= perc_90, converted_stat * 2, IF(bbgm_stat &gt;= perc_85, converted_stat * 1.5, converted_stat)))))</f>
        <v/>
      </c>
      <c r="O878" s="30" t="str">
        <f t="array" ref="O878">IF($A878="", "", LET(bbgm_stat, INDEX(Players!$A877:$P877, MATCH(O$2, Players!$A$1:$P$1, 0)), perc_75, VLOOKUP(O$2, Percentiles!$A$45:$I$59, 6, FALSE), perc_90, VLOOKUP(O$2, Percentiles!$A$45:$I$59, 7, FALSE), perc_95, VLOOKUP(O$2, Percentiles!$A$45:$I$59, 8, FALSE), perc_85, perc_75 + (perc_90 - perc_75) * (2/3), converted_stat, '2K_Ratings'!O878, IF(bbgm_stat &gt;= perc_95, converted_stat * 3, IF(bbgm_stat &gt;= perc_90, converted_stat * 2, IF(bbgm_stat &gt;= perc_85, converted_stat * 1.5, converted_stat)))))</f>
        <v/>
      </c>
      <c r="P878" s="30" t="str">
        <f t="array" ref="P878">IF($A878="", "", LET(bbgm_stat, INDEX(Players!$A877:$P877, MATCH(P$2, Players!$A$1:$P$1, 0)), perc_75, VLOOKUP(P$2, Percentiles!$A$45:$I$59, 6, FALSE), perc_90, VLOOKUP(P$2, Percentiles!$A$45:$I$59, 7, FALSE), perc_95, VLOOKUP(P$2, Percentiles!$A$45:$I$59, 8, FALSE), perc_85, perc_75 + (perc_90 - perc_75) * (2/3), converted_stat, '2K_Ratings'!P878, IF(bbgm_stat &gt;= perc_95, converted_stat * 3, IF(bbgm_stat &gt;= perc_90, converted_stat * 2, IF(bbgm_stat &gt;= perc_85, converted_stat * 1.5, converted_stat)))))</f>
        <v/>
      </c>
      <c r="Q878" s="30" t="str">
        <f t="array" ref="Q878">IF($A878="", "", LET(bbgm_stat, INDEX(Players!$A877:$P877, MATCH(Q$2, Players!$A$1:$P$1, 0)), perc_75, VLOOKUP(Q$2, Percentiles!$A$45:$I$59, 6, FALSE), perc_90, VLOOKUP(Q$2, Percentiles!$A$45:$I$59, 7, FALSE), perc_95, VLOOKUP(Q$2, Percentiles!$A$45:$I$59, 8, FALSE), perc_85, perc_75 + (perc_90 - perc_75) * (2/3), converted_stat, '2K_Ratings'!Q878, IF(bbgm_stat &gt;= perc_95, converted_stat * 3, IF(bbgm_stat &gt;= perc_90, converted_stat * 2, IF(bbgm_stat &gt;= perc_85, converted_stat * 1.5, converted_stat)))))</f>
        <v/>
      </c>
      <c r="R878" s="30" t="str">
        <f t="array" ref="R878">IF($A878="", "", LET(bbgm_stat, INDEX(Players!$A877:$P877, MATCH(R$2, Players!$A$1:$P$1, 0)), perc_75, VLOOKUP(R$2, Percentiles!$A$45:$I$59, 6, FALSE), perc_90, VLOOKUP(R$2, Percentiles!$A$45:$I$59, 7, FALSE), perc_95, VLOOKUP(R$2, Percentiles!$A$45:$I$59, 8, FALSE), perc_85, perc_75 + (perc_90 - perc_75) * (2/3), converted_stat, '2K_Ratings'!R878, IF(bbgm_stat &gt;= perc_95, converted_stat * 3, IF(bbgm_stat &gt;= perc_90, converted_stat * 2, IF(bbgm_stat &gt;= perc_85, converted_stat * 1.5, converted_stat)))))</f>
        <v/>
      </c>
      <c r="S878" s="30" t="str">
        <f t="array" ref="S878">IF($A878="", "", LET(bbgm_stat, INDEX(Players!$A877:$P877, MATCH(S$2, Players!$A$1:$P$1, 0)), perc_75, VLOOKUP(S$2, Percentiles!$A$45:$I$59, 6, FALSE), perc_90, VLOOKUP(S$2, Percentiles!$A$45:$I$59, 7, FALSE), perc_95, VLOOKUP(S$2, Percentiles!$A$45:$I$59, 8, FALSE), perc_85, perc_75 + (perc_90 - perc_75) * (2/3), converted_stat, '2K_Ratings'!S878, IF(bbgm_stat &gt;= perc_95, converted_stat * 3, IF(bbgm_stat &gt;= perc_90, converted_stat * 2, IF(bbgm_stat &gt;= perc_85, converted_stat * 1.5, converted_stat)))))</f>
        <v/>
      </c>
      <c r="T878" s="30" t="str">
        <f t="array" ref="T878">IF($A878="", "", LET(bbgm_stat, INDEX(Players!$A877:$P877, MATCH(T$2, Players!$A$1:$P$1, 0)), perc_75, VLOOKUP(T$2, Percentiles!$A$45:$I$59, 6, FALSE), perc_90, VLOOKUP(T$2, Percentiles!$A$45:$I$59, 7, FALSE), perc_95, VLOOKUP(T$2, Percentiles!$A$45:$I$59, 8, FALSE), perc_85, perc_75 + (perc_90 - perc_75) * (2/3), converted_stat, '2K_Ratings'!T878, IF(bbgm_stat &gt;= perc_95, converted_stat * 3, IF(bbgm_stat &gt;= perc_90, converted_stat * 2, IF(bbgm_stat &gt;= perc_85, converted_stat * 1.5, converted_stat)))))</f>
        <v/>
      </c>
      <c r="U878" s="30" t="str">
        <f t="array" ref="U878">IF($A878="", "", LET(bbgm_stat, INDEX(Players!$A877:$P877, MATCH(U$2, Players!$A$1:$P$1, 0)), perc_75, VLOOKUP(U$2, Percentiles!$A$45:$I$59, 6, FALSE), perc_90, VLOOKUP(U$2, Percentiles!$A$45:$I$59, 7, FALSE), perc_95, VLOOKUP(U$2, Percentiles!$A$45:$I$59, 8, FALSE), perc_85, perc_75 + (perc_90 - perc_75) * (2/3), converted_stat, '2K_Ratings'!U878, IF(bbgm_stat &gt;= perc_95, converted_stat * 3, IF(bbgm_stat &gt;= perc_90, converted_stat * 2, IF(bbgm_stat &gt;= perc_85, converted_stat * 1.5, converted_stat)))))</f>
        <v/>
      </c>
      <c r="V878" s="30" t="str">
        <f t="array" ref="V878">IF($A878="", "", LET(bbgm_stat, INDEX(Players!$A877:$P877, MATCH(V$2, Players!$A$1:$P$1, 0)), perc_75, VLOOKUP(V$2, Percentiles!$A$45:$I$59, 6, FALSE), perc_90, VLOOKUP(V$2, Percentiles!$A$45:$I$59, 7, FALSE), perc_95, VLOOKUP(V$2, Percentiles!$A$45:$I$59, 8, FALSE), perc_85, perc_75 + (perc_90 - perc_75) * (2/3), converted_stat, '2K_Ratings'!V878, IF(bbgm_stat &gt;= perc_95, converted_stat * 3, IF(bbgm_stat &gt;= perc_90, converted_stat * 2, IF(bbgm_stat &gt;= perc_85, converted_stat * 1.5, converted_stat)))))</f>
        <v/>
      </c>
      <c r="W878" s="30" t="str">
        <f t="array" ref="W878">IF($A878="", "", LET(bbgm_stat, INDEX(Players!$A877:$P877, MATCH(W$2, Players!$A$1:$P$1, 0)), perc_75, VLOOKUP(W$2, Percentiles!$A$45:$I$59, 6, FALSE), perc_90, VLOOKUP(W$2, Percentiles!$A$45:$I$59, 7, FALSE), perc_95, VLOOKUP(W$2, Percentiles!$A$45:$I$59, 8, FALSE), perc_85, perc_75 + (perc_90 - perc_75) * (2/3), converted_stat, '2K_Ratings'!W878, IF(bbgm_stat &gt;= perc_95, converted_stat * 3, IF(bbgm_stat &gt;= perc_90, converted_stat * 2, IF(bbgm_stat &gt;= perc_85, converted_stat * 1.5, converted_stat)))))</f>
        <v/>
      </c>
    </row>
    <row r="879">
      <c r="A879" s="30"/>
      <c r="B879" s="30" t="str">
        <f t="array" ref="B879">IF($A879="", "", LET(bbgm_stat, INDEX(Players!$A878:$P878, MATCH(B$2, Players!$A$1:$P$1, 0)), perc_75, VLOOKUP(B$2, Percentiles!$A$45:$I$59, 6, FALSE), perc_90, VLOOKUP(B$2, Percentiles!$A$45:$I$59, 7, FALSE), perc_95, VLOOKUP(B$2, Percentiles!$A$45:$I$59, 8, FALSE), perc_85, perc_75 + (perc_90 - perc_75) * (2/3), converted_stat, '2K_Ratings'!B879, IF(bbgm_stat &gt;= perc_95, converted_stat * 3, IF(bbgm_stat &gt;= perc_90, converted_stat * 2, IF(bbgm_stat &gt;= perc_85, converted_stat * 1.5, converted_stat)))))</f>
        <v/>
      </c>
      <c r="C879" s="30" t="str">
        <f t="array" ref="C879">IF($A879="", "", LET(bbgm_stat, INDEX(Players!$A878:$P878, MATCH(C$2, Players!$A$1:$P$1, 0)), perc_75, VLOOKUP(C$2, Percentiles!$A$45:$I$59, 6, FALSE), perc_90, VLOOKUP(C$2, Percentiles!$A$45:$I$59, 7, FALSE), perc_95, VLOOKUP(C$2, Percentiles!$A$45:$I$59, 8, FALSE), perc_85, perc_75 + (perc_90 - perc_75) * (2/3), converted_stat, '2K_Ratings'!C879, IF(bbgm_stat &gt;= perc_95, converted_stat * 3, IF(bbgm_stat &gt;= perc_90, converted_stat * 2, IF(bbgm_stat &gt;= perc_85, converted_stat * 1.5, converted_stat)))))</f>
        <v/>
      </c>
      <c r="D879" s="30" t="str">
        <f t="array" ref="D879">IF($A879="", "", LET(bbgm_stat, INDEX(Players!$A878:$P878, MATCH(D$2, Players!$A$1:$P$1, 0)), perc_75, VLOOKUP(D$2, Percentiles!$A$45:$I$59, 6, FALSE), perc_90, VLOOKUP(D$2, Percentiles!$A$45:$I$59, 7, FALSE), perc_95, VLOOKUP(D$2, Percentiles!$A$45:$I$59, 8, FALSE), perc_85, perc_75 + (perc_90 - perc_75) * (2/3), converted_stat, '2K_Ratings'!D879, IF(bbgm_stat &gt;= perc_95, converted_stat * 3, IF(bbgm_stat &gt;= perc_90, converted_stat * 2, IF(bbgm_stat &gt;= perc_85, converted_stat * 1.5, converted_stat)))))</f>
        <v/>
      </c>
      <c r="E879" s="30" t="str">
        <f t="array" ref="E879">IF($A879="", "", LET(bbgm_stat, INDEX(Players!$A878:$P878, MATCH(E$2, Players!$A$1:$P$1, 0)), perc_75, VLOOKUP(E$2, Percentiles!$A$45:$I$59, 6, FALSE), perc_90, VLOOKUP(E$2, Percentiles!$A$45:$I$59, 7, FALSE), perc_95, VLOOKUP(E$2, Percentiles!$A$45:$I$59, 8, FALSE), perc_85, perc_75 + (perc_90 - perc_75) * (2/3), converted_stat, '2K_Ratings'!E879, IF(bbgm_stat &gt;= perc_95, converted_stat * 3, IF(bbgm_stat &gt;= perc_90, converted_stat * 2, IF(bbgm_stat &gt;= perc_85, converted_stat * 1.5, converted_stat)))))</f>
        <v/>
      </c>
      <c r="F879" s="30" t="str">
        <f t="array" ref="F879">IF($A879="", "", LET(bbgm_stat, INDEX(Players!$A878:$P878, MATCH(F$2, Players!$A$1:$P$1, 0)), perc_75, VLOOKUP(F$2, Percentiles!$A$45:$I$59, 6, FALSE), perc_90, VLOOKUP(F$2, Percentiles!$A$45:$I$59, 7, FALSE), perc_95, VLOOKUP(F$2, Percentiles!$A$45:$I$59, 8, FALSE), perc_85, perc_75 + (perc_90 - perc_75) * (2/3), converted_stat, '2K_Ratings'!F879, IF(bbgm_stat &gt;= perc_95, converted_stat * 3, IF(bbgm_stat &gt;= perc_90, converted_stat * 2, IF(bbgm_stat &gt;= perc_85, converted_stat * 1.5, converted_stat)))))</f>
        <v/>
      </c>
      <c r="G879" s="30" t="str">
        <f t="array" ref="G879">IF($A879="", "", LET(bbgm_stat, INDEX(Players!$A878:$P878, MATCH(G$2, Players!$A$1:$P$1, 0)), perc_75, VLOOKUP(G$2, Percentiles!$A$45:$I$59, 6, FALSE), perc_90, VLOOKUP(G$2, Percentiles!$A$45:$I$59, 7, FALSE), perc_95, VLOOKUP(G$2, Percentiles!$A$45:$I$59, 8, FALSE), perc_85, perc_75 + (perc_90 - perc_75) * (2/3), converted_stat, '2K_Ratings'!G879, IF(bbgm_stat &gt;= perc_95, converted_stat * 3, IF(bbgm_stat &gt;= perc_90, converted_stat * 2, IF(bbgm_stat &gt;= perc_85, converted_stat * 1.5, converted_stat)))))</f>
        <v/>
      </c>
      <c r="H879" s="30" t="str">
        <f t="array" ref="H879">IF($A879="", "", LET(bbgm_stat, INDEX(Players!$A878:$P878, MATCH(H$2, Players!$A$1:$P$1, 0)), perc_75, VLOOKUP(H$2, Percentiles!$A$45:$I$59, 6, FALSE), perc_90, VLOOKUP(H$2, Percentiles!$A$45:$I$59, 7, FALSE), perc_95, VLOOKUP(H$2, Percentiles!$A$45:$I$59, 8, FALSE), perc_85, perc_75 + (perc_90 - perc_75) * (2/3), converted_stat, '2K_Ratings'!H879, IF(bbgm_stat &gt;= perc_95, converted_stat * 3, IF(bbgm_stat &gt;= perc_90, converted_stat * 2, IF(bbgm_stat &gt;= perc_85, converted_stat * 1.5, converted_stat)))))</f>
        <v/>
      </c>
      <c r="I879" s="30" t="str">
        <f t="array" ref="I879">IF($A879="", "", LET(bbgm_stat, INDEX(Players!$A878:$P878, MATCH(I$2, Players!$A$1:$P$1, 0)), perc_75, VLOOKUP(I$2, Percentiles!$A$45:$I$59, 6, FALSE), perc_90, VLOOKUP(I$2, Percentiles!$A$45:$I$59, 7, FALSE), perc_95, VLOOKUP(I$2, Percentiles!$A$45:$I$59, 8, FALSE), perc_85, perc_75 + (perc_90 - perc_75) * (2/3), converted_stat, '2K_Ratings'!I879, IF(bbgm_stat &gt;= perc_95, converted_stat * 3, IF(bbgm_stat &gt;= perc_90, converted_stat * 2, IF(bbgm_stat &gt;= perc_85, converted_stat * 1.5, converted_stat)))))</f>
        <v/>
      </c>
      <c r="J879" s="30" t="str">
        <f t="array" ref="J879">IF($A879="", "", LET(bbgm_stat, INDEX(Players!$A878:$P878, MATCH(J$2, Players!$A$1:$P$1, 0)), perc_75, VLOOKUP(J$2, Percentiles!$A$45:$I$59, 6, FALSE), perc_90, VLOOKUP(J$2, Percentiles!$A$45:$I$59, 7, FALSE), perc_95, VLOOKUP(J$2, Percentiles!$A$45:$I$59, 8, FALSE), perc_85, perc_75 + (perc_90 - perc_75) * (2/3), converted_stat, '2K_Ratings'!J879, IF(bbgm_stat &gt;= perc_95, converted_stat * 3, IF(bbgm_stat &gt;= perc_90, converted_stat * 2, IF(bbgm_stat &gt;= perc_85, converted_stat * 1.5, converted_stat)))))</f>
        <v/>
      </c>
      <c r="K879" s="30" t="str">
        <f t="array" ref="K879">IF($A879="", "", LET(bbgm_stat, INDEX(Players!$A878:$P878, MATCH(K$2, Players!$A$1:$P$1, 0)), perc_75, VLOOKUP(K$2, Percentiles!$A$45:$I$59, 6, FALSE), perc_90, VLOOKUP(K$2, Percentiles!$A$45:$I$59, 7, FALSE), perc_95, VLOOKUP(K$2, Percentiles!$A$45:$I$59, 8, FALSE), perc_85, perc_75 + (perc_90 - perc_75) * (2/3), converted_stat, '2K_Ratings'!K879, IF(bbgm_stat &gt;= perc_95, converted_stat * 3, IF(bbgm_stat &gt;= perc_90, converted_stat * 2, IF(bbgm_stat &gt;= perc_85, converted_stat * 1.5, converted_stat)))))</f>
        <v/>
      </c>
      <c r="L879" s="30" t="str">
        <f t="array" ref="L879">IF($A879="", "", LET(bbgm_stat, INDEX(Players!$A878:$P878, MATCH(L$2, Players!$A$1:$P$1, 0)), perc_75, VLOOKUP(L$2, Percentiles!$A$45:$I$59, 6, FALSE), perc_90, VLOOKUP(L$2, Percentiles!$A$45:$I$59, 7, FALSE), perc_95, VLOOKUP(L$2, Percentiles!$A$45:$I$59, 8, FALSE), perc_85, perc_75 + (perc_90 - perc_75) * (2/3), converted_stat, '2K_Ratings'!L879, IF(bbgm_stat &gt;= perc_95, converted_stat * 3, IF(bbgm_stat &gt;= perc_90, converted_stat * 2, IF(bbgm_stat &gt;= perc_85, converted_stat * 1.5, converted_stat)))))</f>
        <v/>
      </c>
      <c r="M879" s="30" t="str">
        <f t="array" ref="M879">IF($A879="", "", LET(bbgm_stat, INDEX(Players!$A878:$P878, MATCH(M$2, Players!$A$1:$P$1, 0)), perc_75, VLOOKUP(M$2, Percentiles!$A$45:$I$59, 6, FALSE), perc_90, VLOOKUP(M$2, Percentiles!$A$45:$I$59, 7, FALSE), perc_95, VLOOKUP(M$2, Percentiles!$A$45:$I$59, 8, FALSE), perc_85, perc_75 + (perc_90 - perc_75) * (2/3), converted_stat, '2K_Ratings'!M879, IF(bbgm_stat &gt;= perc_95, converted_stat * 3, IF(bbgm_stat &gt;= perc_90, converted_stat * 2, IF(bbgm_stat &gt;= perc_85, converted_stat * 1.5, converted_stat)))))</f>
        <v/>
      </c>
      <c r="N879" s="30" t="str">
        <f t="array" ref="N879">IF($A879="", "", LET(bbgm_stat, INDEX(Players!$A878:$P878, MATCH(N$2, Players!$A$1:$P$1, 0)), perc_75, VLOOKUP(N$2, Percentiles!$A$45:$I$59, 6, FALSE), perc_90, VLOOKUP(N$2, Percentiles!$A$45:$I$59, 7, FALSE), perc_95, VLOOKUP(N$2, Percentiles!$A$45:$I$59, 8, FALSE), perc_85, perc_75 + (perc_90 - perc_75) * (2/3), converted_stat, '2K_Ratings'!N879, IF(bbgm_stat &gt;= perc_95, converted_stat * 3, IF(bbgm_stat &gt;= perc_90, converted_stat * 2, IF(bbgm_stat &gt;= perc_85, converted_stat * 1.5, converted_stat)))))</f>
        <v/>
      </c>
      <c r="O879" s="30" t="str">
        <f t="array" ref="O879">IF($A879="", "", LET(bbgm_stat, INDEX(Players!$A878:$P878, MATCH(O$2, Players!$A$1:$P$1, 0)), perc_75, VLOOKUP(O$2, Percentiles!$A$45:$I$59, 6, FALSE), perc_90, VLOOKUP(O$2, Percentiles!$A$45:$I$59, 7, FALSE), perc_95, VLOOKUP(O$2, Percentiles!$A$45:$I$59, 8, FALSE), perc_85, perc_75 + (perc_90 - perc_75) * (2/3), converted_stat, '2K_Ratings'!O879, IF(bbgm_stat &gt;= perc_95, converted_stat * 3, IF(bbgm_stat &gt;= perc_90, converted_stat * 2, IF(bbgm_stat &gt;= perc_85, converted_stat * 1.5, converted_stat)))))</f>
        <v/>
      </c>
      <c r="P879" s="30" t="str">
        <f t="array" ref="P879">IF($A879="", "", LET(bbgm_stat, INDEX(Players!$A878:$P878, MATCH(P$2, Players!$A$1:$P$1, 0)), perc_75, VLOOKUP(P$2, Percentiles!$A$45:$I$59, 6, FALSE), perc_90, VLOOKUP(P$2, Percentiles!$A$45:$I$59, 7, FALSE), perc_95, VLOOKUP(P$2, Percentiles!$A$45:$I$59, 8, FALSE), perc_85, perc_75 + (perc_90 - perc_75) * (2/3), converted_stat, '2K_Ratings'!P879, IF(bbgm_stat &gt;= perc_95, converted_stat * 3, IF(bbgm_stat &gt;= perc_90, converted_stat * 2, IF(bbgm_stat &gt;= perc_85, converted_stat * 1.5, converted_stat)))))</f>
        <v/>
      </c>
      <c r="Q879" s="30" t="str">
        <f t="array" ref="Q879">IF($A879="", "", LET(bbgm_stat, INDEX(Players!$A878:$P878, MATCH(Q$2, Players!$A$1:$P$1, 0)), perc_75, VLOOKUP(Q$2, Percentiles!$A$45:$I$59, 6, FALSE), perc_90, VLOOKUP(Q$2, Percentiles!$A$45:$I$59, 7, FALSE), perc_95, VLOOKUP(Q$2, Percentiles!$A$45:$I$59, 8, FALSE), perc_85, perc_75 + (perc_90 - perc_75) * (2/3), converted_stat, '2K_Ratings'!Q879, IF(bbgm_stat &gt;= perc_95, converted_stat * 3, IF(bbgm_stat &gt;= perc_90, converted_stat * 2, IF(bbgm_stat &gt;= perc_85, converted_stat * 1.5, converted_stat)))))</f>
        <v/>
      </c>
      <c r="R879" s="30" t="str">
        <f t="array" ref="R879">IF($A879="", "", LET(bbgm_stat, INDEX(Players!$A878:$P878, MATCH(R$2, Players!$A$1:$P$1, 0)), perc_75, VLOOKUP(R$2, Percentiles!$A$45:$I$59, 6, FALSE), perc_90, VLOOKUP(R$2, Percentiles!$A$45:$I$59, 7, FALSE), perc_95, VLOOKUP(R$2, Percentiles!$A$45:$I$59, 8, FALSE), perc_85, perc_75 + (perc_90 - perc_75) * (2/3), converted_stat, '2K_Ratings'!R879, IF(bbgm_stat &gt;= perc_95, converted_stat * 3, IF(bbgm_stat &gt;= perc_90, converted_stat * 2, IF(bbgm_stat &gt;= perc_85, converted_stat * 1.5, converted_stat)))))</f>
        <v/>
      </c>
      <c r="S879" s="30" t="str">
        <f t="array" ref="S879">IF($A879="", "", LET(bbgm_stat, INDEX(Players!$A878:$P878, MATCH(S$2, Players!$A$1:$P$1, 0)), perc_75, VLOOKUP(S$2, Percentiles!$A$45:$I$59, 6, FALSE), perc_90, VLOOKUP(S$2, Percentiles!$A$45:$I$59, 7, FALSE), perc_95, VLOOKUP(S$2, Percentiles!$A$45:$I$59, 8, FALSE), perc_85, perc_75 + (perc_90 - perc_75) * (2/3), converted_stat, '2K_Ratings'!S879, IF(bbgm_stat &gt;= perc_95, converted_stat * 3, IF(bbgm_stat &gt;= perc_90, converted_stat * 2, IF(bbgm_stat &gt;= perc_85, converted_stat * 1.5, converted_stat)))))</f>
        <v/>
      </c>
      <c r="T879" s="30" t="str">
        <f t="array" ref="T879">IF($A879="", "", LET(bbgm_stat, INDEX(Players!$A878:$P878, MATCH(T$2, Players!$A$1:$P$1, 0)), perc_75, VLOOKUP(T$2, Percentiles!$A$45:$I$59, 6, FALSE), perc_90, VLOOKUP(T$2, Percentiles!$A$45:$I$59, 7, FALSE), perc_95, VLOOKUP(T$2, Percentiles!$A$45:$I$59, 8, FALSE), perc_85, perc_75 + (perc_90 - perc_75) * (2/3), converted_stat, '2K_Ratings'!T879, IF(bbgm_stat &gt;= perc_95, converted_stat * 3, IF(bbgm_stat &gt;= perc_90, converted_stat * 2, IF(bbgm_stat &gt;= perc_85, converted_stat * 1.5, converted_stat)))))</f>
        <v/>
      </c>
      <c r="U879" s="30" t="str">
        <f t="array" ref="U879">IF($A879="", "", LET(bbgm_stat, INDEX(Players!$A878:$P878, MATCH(U$2, Players!$A$1:$P$1, 0)), perc_75, VLOOKUP(U$2, Percentiles!$A$45:$I$59, 6, FALSE), perc_90, VLOOKUP(U$2, Percentiles!$A$45:$I$59, 7, FALSE), perc_95, VLOOKUP(U$2, Percentiles!$A$45:$I$59, 8, FALSE), perc_85, perc_75 + (perc_90 - perc_75) * (2/3), converted_stat, '2K_Ratings'!U879, IF(bbgm_stat &gt;= perc_95, converted_stat * 3, IF(bbgm_stat &gt;= perc_90, converted_stat * 2, IF(bbgm_stat &gt;= perc_85, converted_stat * 1.5, converted_stat)))))</f>
        <v/>
      </c>
      <c r="V879" s="30" t="str">
        <f t="array" ref="V879">IF($A879="", "", LET(bbgm_stat, INDEX(Players!$A878:$P878, MATCH(V$2, Players!$A$1:$P$1, 0)), perc_75, VLOOKUP(V$2, Percentiles!$A$45:$I$59, 6, FALSE), perc_90, VLOOKUP(V$2, Percentiles!$A$45:$I$59, 7, FALSE), perc_95, VLOOKUP(V$2, Percentiles!$A$45:$I$59, 8, FALSE), perc_85, perc_75 + (perc_90 - perc_75) * (2/3), converted_stat, '2K_Ratings'!V879, IF(bbgm_stat &gt;= perc_95, converted_stat * 3, IF(bbgm_stat &gt;= perc_90, converted_stat * 2, IF(bbgm_stat &gt;= perc_85, converted_stat * 1.5, converted_stat)))))</f>
        <v/>
      </c>
      <c r="W879" s="30" t="str">
        <f t="array" ref="W879">IF($A879="", "", LET(bbgm_stat, INDEX(Players!$A878:$P878, MATCH(W$2, Players!$A$1:$P$1, 0)), perc_75, VLOOKUP(W$2, Percentiles!$A$45:$I$59, 6, FALSE), perc_90, VLOOKUP(W$2, Percentiles!$A$45:$I$59, 7, FALSE), perc_95, VLOOKUP(W$2, Percentiles!$A$45:$I$59, 8, FALSE), perc_85, perc_75 + (perc_90 - perc_75) * (2/3), converted_stat, '2K_Ratings'!W879, IF(bbgm_stat &gt;= perc_95, converted_stat * 3, IF(bbgm_stat &gt;= perc_90, converted_stat * 2, IF(bbgm_stat &gt;= perc_85, converted_stat * 1.5, converted_stat)))))</f>
        <v/>
      </c>
    </row>
    <row r="880">
      <c r="A880" s="30"/>
      <c r="B880" s="30" t="str">
        <f t="array" ref="B880">IF($A880="", "", LET(bbgm_stat, INDEX(Players!$A879:$P879, MATCH(B$2, Players!$A$1:$P$1, 0)), perc_75, VLOOKUP(B$2, Percentiles!$A$45:$I$59, 6, FALSE), perc_90, VLOOKUP(B$2, Percentiles!$A$45:$I$59, 7, FALSE), perc_95, VLOOKUP(B$2, Percentiles!$A$45:$I$59, 8, FALSE), perc_85, perc_75 + (perc_90 - perc_75) * (2/3), converted_stat, '2K_Ratings'!B880, IF(bbgm_stat &gt;= perc_95, converted_stat * 3, IF(bbgm_stat &gt;= perc_90, converted_stat * 2, IF(bbgm_stat &gt;= perc_85, converted_stat * 1.5, converted_stat)))))</f>
        <v/>
      </c>
      <c r="C880" s="30" t="str">
        <f t="array" ref="C880">IF($A880="", "", LET(bbgm_stat, INDEX(Players!$A879:$P879, MATCH(C$2, Players!$A$1:$P$1, 0)), perc_75, VLOOKUP(C$2, Percentiles!$A$45:$I$59, 6, FALSE), perc_90, VLOOKUP(C$2, Percentiles!$A$45:$I$59, 7, FALSE), perc_95, VLOOKUP(C$2, Percentiles!$A$45:$I$59, 8, FALSE), perc_85, perc_75 + (perc_90 - perc_75) * (2/3), converted_stat, '2K_Ratings'!C880, IF(bbgm_stat &gt;= perc_95, converted_stat * 3, IF(bbgm_stat &gt;= perc_90, converted_stat * 2, IF(bbgm_stat &gt;= perc_85, converted_stat * 1.5, converted_stat)))))</f>
        <v/>
      </c>
      <c r="D880" s="30" t="str">
        <f t="array" ref="D880">IF($A880="", "", LET(bbgm_stat, INDEX(Players!$A879:$P879, MATCH(D$2, Players!$A$1:$P$1, 0)), perc_75, VLOOKUP(D$2, Percentiles!$A$45:$I$59, 6, FALSE), perc_90, VLOOKUP(D$2, Percentiles!$A$45:$I$59, 7, FALSE), perc_95, VLOOKUP(D$2, Percentiles!$A$45:$I$59, 8, FALSE), perc_85, perc_75 + (perc_90 - perc_75) * (2/3), converted_stat, '2K_Ratings'!D880, IF(bbgm_stat &gt;= perc_95, converted_stat * 3, IF(bbgm_stat &gt;= perc_90, converted_stat * 2, IF(bbgm_stat &gt;= perc_85, converted_stat * 1.5, converted_stat)))))</f>
        <v/>
      </c>
      <c r="E880" s="30" t="str">
        <f t="array" ref="E880">IF($A880="", "", LET(bbgm_stat, INDEX(Players!$A879:$P879, MATCH(E$2, Players!$A$1:$P$1, 0)), perc_75, VLOOKUP(E$2, Percentiles!$A$45:$I$59, 6, FALSE), perc_90, VLOOKUP(E$2, Percentiles!$A$45:$I$59, 7, FALSE), perc_95, VLOOKUP(E$2, Percentiles!$A$45:$I$59, 8, FALSE), perc_85, perc_75 + (perc_90 - perc_75) * (2/3), converted_stat, '2K_Ratings'!E880, IF(bbgm_stat &gt;= perc_95, converted_stat * 3, IF(bbgm_stat &gt;= perc_90, converted_stat * 2, IF(bbgm_stat &gt;= perc_85, converted_stat * 1.5, converted_stat)))))</f>
        <v/>
      </c>
      <c r="F880" s="30" t="str">
        <f t="array" ref="F880">IF($A880="", "", LET(bbgm_stat, INDEX(Players!$A879:$P879, MATCH(F$2, Players!$A$1:$P$1, 0)), perc_75, VLOOKUP(F$2, Percentiles!$A$45:$I$59, 6, FALSE), perc_90, VLOOKUP(F$2, Percentiles!$A$45:$I$59, 7, FALSE), perc_95, VLOOKUP(F$2, Percentiles!$A$45:$I$59, 8, FALSE), perc_85, perc_75 + (perc_90 - perc_75) * (2/3), converted_stat, '2K_Ratings'!F880, IF(bbgm_stat &gt;= perc_95, converted_stat * 3, IF(bbgm_stat &gt;= perc_90, converted_stat * 2, IF(bbgm_stat &gt;= perc_85, converted_stat * 1.5, converted_stat)))))</f>
        <v/>
      </c>
      <c r="G880" s="30" t="str">
        <f t="array" ref="G880">IF($A880="", "", LET(bbgm_stat, INDEX(Players!$A879:$P879, MATCH(G$2, Players!$A$1:$P$1, 0)), perc_75, VLOOKUP(G$2, Percentiles!$A$45:$I$59, 6, FALSE), perc_90, VLOOKUP(G$2, Percentiles!$A$45:$I$59, 7, FALSE), perc_95, VLOOKUP(G$2, Percentiles!$A$45:$I$59, 8, FALSE), perc_85, perc_75 + (perc_90 - perc_75) * (2/3), converted_stat, '2K_Ratings'!G880, IF(bbgm_stat &gt;= perc_95, converted_stat * 3, IF(bbgm_stat &gt;= perc_90, converted_stat * 2, IF(bbgm_stat &gt;= perc_85, converted_stat * 1.5, converted_stat)))))</f>
        <v/>
      </c>
      <c r="H880" s="30" t="str">
        <f t="array" ref="H880">IF($A880="", "", LET(bbgm_stat, INDEX(Players!$A879:$P879, MATCH(H$2, Players!$A$1:$P$1, 0)), perc_75, VLOOKUP(H$2, Percentiles!$A$45:$I$59, 6, FALSE), perc_90, VLOOKUP(H$2, Percentiles!$A$45:$I$59, 7, FALSE), perc_95, VLOOKUP(H$2, Percentiles!$A$45:$I$59, 8, FALSE), perc_85, perc_75 + (perc_90 - perc_75) * (2/3), converted_stat, '2K_Ratings'!H880, IF(bbgm_stat &gt;= perc_95, converted_stat * 3, IF(bbgm_stat &gt;= perc_90, converted_stat * 2, IF(bbgm_stat &gt;= perc_85, converted_stat * 1.5, converted_stat)))))</f>
        <v/>
      </c>
      <c r="I880" s="30" t="str">
        <f t="array" ref="I880">IF($A880="", "", LET(bbgm_stat, INDEX(Players!$A879:$P879, MATCH(I$2, Players!$A$1:$P$1, 0)), perc_75, VLOOKUP(I$2, Percentiles!$A$45:$I$59, 6, FALSE), perc_90, VLOOKUP(I$2, Percentiles!$A$45:$I$59, 7, FALSE), perc_95, VLOOKUP(I$2, Percentiles!$A$45:$I$59, 8, FALSE), perc_85, perc_75 + (perc_90 - perc_75) * (2/3), converted_stat, '2K_Ratings'!I880, IF(bbgm_stat &gt;= perc_95, converted_stat * 3, IF(bbgm_stat &gt;= perc_90, converted_stat * 2, IF(bbgm_stat &gt;= perc_85, converted_stat * 1.5, converted_stat)))))</f>
        <v/>
      </c>
      <c r="J880" s="30" t="str">
        <f t="array" ref="J880">IF($A880="", "", LET(bbgm_stat, INDEX(Players!$A879:$P879, MATCH(J$2, Players!$A$1:$P$1, 0)), perc_75, VLOOKUP(J$2, Percentiles!$A$45:$I$59, 6, FALSE), perc_90, VLOOKUP(J$2, Percentiles!$A$45:$I$59, 7, FALSE), perc_95, VLOOKUP(J$2, Percentiles!$A$45:$I$59, 8, FALSE), perc_85, perc_75 + (perc_90 - perc_75) * (2/3), converted_stat, '2K_Ratings'!J880, IF(bbgm_stat &gt;= perc_95, converted_stat * 3, IF(bbgm_stat &gt;= perc_90, converted_stat * 2, IF(bbgm_stat &gt;= perc_85, converted_stat * 1.5, converted_stat)))))</f>
        <v/>
      </c>
      <c r="K880" s="30" t="str">
        <f t="array" ref="K880">IF($A880="", "", LET(bbgm_stat, INDEX(Players!$A879:$P879, MATCH(K$2, Players!$A$1:$P$1, 0)), perc_75, VLOOKUP(K$2, Percentiles!$A$45:$I$59, 6, FALSE), perc_90, VLOOKUP(K$2, Percentiles!$A$45:$I$59, 7, FALSE), perc_95, VLOOKUP(K$2, Percentiles!$A$45:$I$59, 8, FALSE), perc_85, perc_75 + (perc_90 - perc_75) * (2/3), converted_stat, '2K_Ratings'!K880, IF(bbgm_stat &gt;= perc_95, converted_stat * 3, IF(bbgm_stat &gt;= perc_90, converted_stat * 2, IF(bbgm_stat &gt;= perc_85, converted_stat * 1.5, converted_stat)))))</f>
        <v/>
      </c>
      <c r="L880" s="30" t="str">
        <f t="array" ref="L880">IF($A880="", "", LET(bbgm_stat, INDEX(Players!$A879:$P879, MATCH(L$2, Players!$A$1:$P$1, 0)), perc_75, VLOOKUP(L$2, Percentiles!$A$45:$I$59, 6, FALSE), perc_90, VLOOKUP(L$2, Percentiles!$A$45:$I$59, 7, FALSE), perc_95, VLOOKUP(L$2, Percentiles!$A$45:$I$59, 8, FALSE), perc_85, perc_75 + (perc_90 - perc_75) * (2/3), converted_stat, '2K_Ratings'!L880, IF(bbgm_stat &gt;= perc_95, converted_stat * 3, IF(bbgm_stat &gt;= perc_90, converted_stat * 2, IF(bbgm_stat &gt;= perc_85, converted_stat * 1.5, converted_stat)))))</f>
        <v/>
      </c>
      <c r="M880" s="30" t="str">
        <f t="array" ref="M880">IF($A880="", "", LET(bbgm_stat, INDEX(Players!$A879:$P879, MATCH(M$2, Players!$A$1:$P$1, 0)), perc_75, VLOOKUP(M$2, Percentiles!$A$45:$I$59, 6, FALSE), perc_90, VLOOKUP(M$2, Percentiles!$A$45:$I$59, 7, FALSE), perc_95, VLOOKUP(M$2, Percentiles!$A$45:$I$59, 8, FALSE), perc_85, perc_75 + (perc_90 - perc_75) * (2/3), converted_stat, '2K_Ratings'!M880, IF(bbgm_stat &gt;= perc_95, converted_stat * 3, IF(bbgm_stat &gt;= perc_90, converted_stat * 2, IF(bbgm_stat &gt;= perc_85, converted_stat * 1.5, converted_stat)))))</f>
        <v/>
      </c>
      <c r="N880" s="30" t="str">
        <f t="array" ref="N880">IF($A880="", "", LET(bbgm_stat, INDEX(Players!$A879:$P879, MATCH(N$2, Players!$A$1:$P$1, 0)), perc_75, VLOOKUP(N$2, Percentiles!$A$45:$I$59, 6, FALSE), perc_90, VLOOKUP(N$2, Percentiles!$A$45:$I$59, 7, FALSE), perc_95, VLOOKUP(N$2, Percentiles!$A$45:$I$59, 8, FALSE), perc_85, perc_75 + (perc_90 - perc_75) * (2/3), converted_stat, '2K_Ratings'!N880, IF(bbgm_stat &gt;= perc_95, converted_stat * 3, IF(bbgm_stat &gt;= perc_90, converted_stat * 2, IF(bbgm_stat &gt;= perc_85, converted_stat * 1.5, converted_stat)))))</f>
        <v/>
      </c>
      <c r="O880" s="30" t="str">
        <f t="array" ref="O880">IF($A880="", "", LET(bbgm_stat, INDEX(Players!$A879:$P879, MATCH(O$2, Players!$A$1:$P$1, 0)), perc_75, VLOOKUP(O$2, Percentiles!$A$45:$I$59, 6, FALSE), perc_90, VLOOKUP(O$2, Percentiles!$A$45:$I$59, 7, FALSE), perc_95, VLOOKUP(O$2, Percentiles!$A$45:$I$59, 8, FALSE), perc_85, perc_75 + (perc_90 - perc_75) * (2/3), converted_stat, '2K_Ratings'!O880, IF(bbgm_stat &gt;= perc_95, converted_stat * 3, IF(bbgm_stat &gt;= perc_90, converted_stat * 2, IF(bbgm_stat &gt;= perc_85, converted_stat * 1.5, converted_stat)))))</f>
        <v/>
      </c>
      <c r="P880" s="30" t="str">
        <f t="array" ref="P880">IF($A880="", "", LET(bbgm_stat, INDEX(Players!$A879:$P879, MATCH(P$2, Players!$A$1:$P$1, 0)), perc_75, VLOOKUP(P$2, Percentiles!$A$45:$I$59, 6, FALSE), perc_90, VLOOKUP(P$2, Percentiles!$A$45:$I$59, 7, FALSE), perc_95, VLOOKUP(P$2, Percentiles!$A$45:$I$59, 8, FALSE), perc_85, perc_75 + (perc_90 - perc_75) * (2/3), converted_stat, '2K_Ratings'!P880, IF(bbgm_stat &gt;= perc_95, converted_stat * 3, IF(bbgm_stat &gt;= perc_90, converted_stat * 2, IF(bbgm_stat &gt;= perc_85, converted_stat * 1.5, converted_stat)))))</f>
        <v/>
      </c>
      <c r="Q880" s="30" t="str">
        <f t="array" ref="Q880">IF($A880="", "", LET(bbgm_stat, INDEX(Players!$A879:$P879, MATCH(Q$2, Players!$A$1:$P$1, 0)), perc_75, VLOOKUP(Q$2, Percentiles!$A$45:$I$59, 6, FALSE), perc_90, VLOOKUP(Q$2, Percentiles!$A$45:$I$59, 7, FALSE), perc_95, VLOOKUP(Q$2, Percentiles!$A$45:$I$59, 8, FALSE), perc_85, perc_75 + (perc_90 - perc_75) * (2/3), converted_stat, '2K_Ratings'!Q880, IF(bbgm_stat &gt;= perc_95, converted_stat * 3, IF(bbgm_stat &gt;= perc_90, converted_stat * 2, IF(bbgm_stat &gt;= perc_85, converted_stat * 1.5, converted_stat)))))</f>
        <v/>
      </c>
      <c r="R880" s="30" t="str">
        <f t="array" ref="R880">IF($A880="", "", LET(bbgm_stat, INDEX(Players!$A879:$P879, MATCH(R$2, Players!$A$1:$P$1, 0)), perc_75, VLOOKUP(R$2, Percentiles!$A$45:$I$59, 6, FALSE), perc_90, VLOOKUP(R$2, Percentiles!$A$45:$I$59, 7, FALSE), perc_95, VLOOKUP(R$2, Percentiles!$A$45:$I$59, 8, FALSE), perc_85, perc_75 + (perc_90 - perc_75) * (2/3), converted_stat, '2K_Ratings'!R880, IF(bbgm_stat &gt;= perc_95, converted_stat * 3, IF(bbgm_stat &gt;= perc_90, converted_stat * 2, IF(bbgm_stat &gt;= perc_85, converted_stat * 1.5, converted_stat)))))</f>
        <v/>
      </c>
      <c r="S880" s="30" t="str">
        <f t="array" ref="S880">IF($A880="", "", LET(bbgm_stat, INDEX(Players!$A879:$P879, MATCH(S$2, Players!$A$1:$P$1, 0)), perc_75, VLOOKUP(S$2, Percentiles!$A$45:$I$59, 6, FALSE), perc_90, VLOOKUP(S$2, Percentiles!$A$45:$I$59, 7, FALSE), perc_95, VLOOKUP(S$2, Percentiles!$A$45:$I$59, 8, FALSE), perc_85, perc_75 + (perc_90 - perc_75) * (2/3), converted_stat, '2K_Ratings'!S880, IF(bbgm_stat &gt;= perc_95, converted_stat * 3, IF(bbgm_stat &gt;= perc_90, converted_stat * 2, IF(bbgm_stat &gt;= perc_85, converted_stat * 1.5, converted_stat)))))</f>
        <v/>
      </c>
      <c r="T880" s="30" t="str">
        <f t="array" ref="T880">IF($A880="", "", LET(bbgm_stat, INDEX(Players!$A879:$P879, MATCH(T$2, Players!$A$1:$P$1, 0)), perc_75, VLOOKUP(T$2, Percentiles!$A$45:$I$59, 6, FALSE), perc_90, VLOOKUP(T$2, Percentiles!$A$45:$I$59, 7, FALSE), perc_95, VLOOKUP(T$2, Percentiles!$A$45:$I$59, 8, FALSE), perc_85, perc_75 + (perc_90 - perc_75) * (2/3), converted_stat, '2K_Ratings'!T880, IF(bbgm_stat &gt;= perc_95, converted_stat * 3, IF(bbgm_stat &gt;= perc_90, converted_stat * 2, IF(bbgm_stat &gt;= perc_85, converted_stat * 1.5, converted_stat)))))</f>
        <v/>
      </c>
      <c r="U880" s="30" t="str">
        <f t="array" ref="U880">IF($A880="", "", LET(bbgm_stat, INDEX(Players!$A879:$P879, MATCH(U$2, Players!$A$1:$P$1, 0)), perc_75, VLOOKUP(U$2, Percentiles!$A$45:$I$59, 6, FALSE), perc_90, VLOOKUP(U$2, Percentiles!$A$45:$I$59, 7, FALSE), perc_95, VLOOKUP(U$2, Percentiles!$A$45:$I$59, 8, FALSE), perc_85, perc_75 + (perc_90 - perc_75) * (2/3), converted_stat, '2K_Ratings'!U880, IF(bbgm_stat &gt;= perc_95, converted_stat * 3, IF(bbgm_stat &gt;= perc_90, converted_stat * 2, IF(bbgm_stat &gt;= perc_85, converted_stat * 1.5, converted_stat)))))</f>
        <v/>
      </c>
      <c r="V880" s="30" t="str">
        <f t="array" ref="V880">IF($A880="", "", LET(bbgm_stat, INDEX(Players!$A879:$P879, MATCH(V$2, Players!$A$1:$P$1, 0)), perc_75, VLOOKUP(V$2, Percentiles!$A$45:$I$59, 6, FALSE), perc_90, VLOOKUP(V$2, Percentiles!$A$45:$I$59, 7, FALSE), perc_95, VLOOKUP(V$2, Percentiles!$A$45:$I$59, 8, FALSE), perc_85, perc_75 + (perc_90 - perc_75) * (2/3), converted_stat, '2K_Ratings'!V880, IF(bbgm_stat &gt;= perc_95, converted_stat * 3, IF(bbgm_stat &gt;= perc_90, converted_stat * 2, IF(bbgm_stat &gt;= perc_85, converted_stat * 1.5, converted_stat)))))</f>
        <v/>
      </c>
      <c r="W880" s="30" t="str">
        <f t="array" ref="W880">IF($A880="", "", LET(bbgm_stat, INDEX(Players!$A879:$P879, MATCH(W$2, Players!$A$1:$P$1, 0)), perc_75, VLOOKUP(W$2, Percentiles!$A$45:$I$59, 6, FALSE), perc_90, VLOOKUP(W$2, Percentiles!$A$45:$I$59, 7, FALSE), perc_95, VLOOKUP(W$2, Percentiles!$A$45:$I$59, 8, FALSE), perc_85, perc_75 + (perc_90 - perc_75) * (2/3), converted_stat, '2K_Ratings'!W880, IF(bbgm_stat &gt;= perc_95, converted_stat * 3, IF(bbgm_stat &gt;= perc_90, converted_stat * 2, IF(bbgm_stat &gt;= perc_85, converted_stat * 1.5, converted_stat)))))</f>
        <v/>
      </c>
    </row>
    <row r="881">
      <c r="A881" s="30"/>
      <c r="B881" s="30" t="str">
        <f t="array" ref="B881">IF($A881="", "", LET(bbgm_stat, INDEX(Players!$A880:$P880, MATCH(B$2, Players!$A$1:$P$1, 0)), perc_75, VLOOKUP(B$2, Percentiles!$A$45:$I$59, 6, FALSE), perc_90, VLOOKUP(B$2, Percentiles!$A$45:$I$59, 7, FALSE), perc_95, VLOOKUP(B$2, Percentiles!$A$45:$I$59, 8, FALSE), perc_85, perc_75 + (perc_90 - perc_75) * (2/3), converted_stat, '2K_Ratings'!B881, IF(bbgm_stat &gt;= perc_95, converted_stat * 3, IF(bbgm_stat &gt;= perc_90, converted_stat * 2, IF(bbgm_stat &gt;= perc_85, converted_stat * 1.5, converted_stat)))))</f>
        <v/>
      </c>
      <c r="C881" s="30" t="str">
        <f t="array" ref="C881">IF($A881="", "", LET(bbgm_stat, INDEX(Players!$A880:$P880, MATCH(C$2, Players!$A$1:$P$1, 0)), perc_75, VLOOKUP(C$2, Percentiles!$A$45:$I$59, 6, FALSE), perc_90, VLOOKUP(C$2, Percentiles!$A$45:$I$59, 7, FALSE), perc_95, VLOOKUP(C$2, Percentiles!$A$45:$I$59, 8, FALSE), perc_85, perc_75 + (perc_90 - perc_75) * (2/3), converted_stat, '2K_Ratings'!C881, IF(bbgm_stat &gt;= perc_95, converted_stat * 3, IF(bbgm_stat &gt;= perc_90, converted_stat * 2, IF(bbgm_stat &gt;= perc_85, converted_stat * 1.5, converted_stat)))))</f>
        <v/>
      </c>
      <c r="D881" s="30" t="str">
        <f t="array" ref="D881">IF($A881="", "", LET(bbgm_stat, INDEX(Players!$A880:$P880, MATCH(D$2, Players!$A$1:$P$1, 0)), perc_75, VLOOKUP(D$2, Percentiles!$A$45:$I$59, 6, FALSE), perc_90, VLOOKUP(D$2, Percentiles!$A$45:$I$59, 7, FALSE), perc_95, VLOOKUP(D$2, Percentiles!$A$45:$I$59, 8, FALSE), perc_85, perc_75 + (perc_90 - perc_75) * (2/3), converted_stat, '2K_Ratings'!D881, IF(bbgm_stat &gt;= perc_95, converted_stat * 3, IF(bbgm_stat &gt;= perc_90, converted_stat * 2, IF(bbgm_stat &gt;= perc_85, converted_stat * 1.5, converted_stat)))))</f>
        <v/>
      </c>
      <c r="E881" s="30" t="str">
        <f t="array" ref="E881">IF($A881="", "", LET(bbgm_stat, INDEX(Players!$A880:$P880, MATCH(E$2, Players!$A$1:$P$1, 0)), perc_75, VLOOKUP(E$2, Percentiles!$A$45:$I$59, 6, FALSE), perc_90, VLOOKUP(E$2, Percentiles!$A$45:$I$59, 7, FALSE), perc_95, VLOOKUP(E$2, Percentiles!$A$45:$I$59, 8, FALSE), perc_85, perc_75 + (perc_90 - perc_75) * (2/3), converted_stat, '2K_Ratings'!E881, IF(bbgm_stat &gt;= perc_95, converted_stat * 3, IF(bbgm_stat &gt;= perc_90, converted_stat * 2, IF(bbgm_stat &gt;= perc_85, converted_stat * 1.5, converted_stat)))))</f>
        <v/>
      </c>
      <c r="F881" s="30" t="str">
        <f t="array" ref="F881">IF($A881="", "", LET(bbgm_stat, INDEX(Players!$A880:$P880, MATCH(F$2, Players!$A$1:$P$1, 0)), perc_75, VLOOKUP(F$2, Percentiles!$A$45:$I$59, 6, FALSE), perc_90, VLOOKUP(F$2, Percentiles!$A$45:$I$59, 7, FALSE), perc_95, VLOOKUP(F$2, Percentiles!$A$45:$I$59, 8, FALSE), perc_85, perc_75 + (perc_90 - perc_75) * (2/3), converted_stat, '2K_Ratings'!F881, IF(bbgm_stat &gt;= perc_95, converted_stat * 3, IF(bbgm_stat &gt;= perc_90, converted_stat * 2, IF(bbgm_stat &gt;= perc_85, converted_stat * 1.5, converted_stat)))))</f>
        <v/>
      </c>
      <c r="G881" s="30" t="str">
        <f t="array" ref="G881">IF($A881="", "", LET(bbgm_stat, INDEX(Players!$A880:$P880, MATCH(G$2, Players!$A$1:$P$1, 0)), perc_75, VLOOKUP(G$2, Percentiles!$A$45:$I$59, 6, FALSE), perc_90, VLOOKUP(G$2, Percentiles!$A$45:$I$59, 7, FALSE), perc_95, VLOOKUP(G$2, Percentiles!$A$45:$I$59, 8, FALSE), perc_85, perc_75 + (perc_90 - perc_75) * (2/3), converted_stat, '2K_Ratings'!G881, IF(bbgm_stat &gt;= perc_95, converted_stat * 3, IF(bbgm_stat &gt;= perc_90, converted_stat * 2, IF(bbgm_stat &gt;= perc_85, converted_stat * 1.5, converted_stat)))))</f>
        <v/>
      </c>
      <c r="H881" s="30" t="str">
        <f t="array" ref="H881">IF($A881="", "", LET(bbgm_stat, INDEX(Players!$A880:$P880, MATCH(H$2, Players!$A$1:$P$1, 0)), perc_75, VLOOKUP(H$2, Percentiles!$A$45:$I$59, 6, FALSE), perc_90, VLOOKUP(H$2, Percentiles!$A$45:$I$59, 7, FALSE), perc_95, VLOOKUP(H$2, Percentiles!$A$45:$I$59, 8, FALSE), perc_85, perc_75 + (perc_90 - perc_75) * (2/3), converted_stat, '2K_Ratings'!H881, IF(bbgm_stat &gt;= perc_95, converted_stat * 3, IF(bbgm_stat &gt;= perc_90, converted_stat * 2, IF(bbgm_stat &gt;= perc_85, converted_stat * 1.5, converted_stat)))))</f>
        <v/>
      </c>
      <c r="I881" s="30" t="str">
        <f t="array" ref="I881">IF($A881="", "", LET(bbgm_stat, INDEX(Players!$A880:$P880, MATCH(I$2, Players!$A$1:$P$1, 0)), perc_75, VLOOKUP(I$2, Percentiles!$A$45:$I$59, 6, FALSE), perc_90, VLOOKUP(I$2, Percentiles!$A$45:$I$59, 7, FALSE), perc_95, VLOOKUP(I$2, Percentiles!$A$45:$I$59, 8, FALSE), perc_85, perc_75 + (perc_90 - perc_75) * (2/3), converted_stat, '2K_Ratings'!I881, IF(bbgm_stat &gt;= perc_95, converted_stat * 3, IF(bbgm_stat &gt;= perc_90, converted_stat * 2, IF(bbgm_stat &gt;= perc_85, converted_stat * 1.5, converted_stat)))))</f>
        <v/>
      </c>
      <c r="J881" s="30" t="str">
        <f t="array" ref="J881">IF($A881="", "", LET(bbgm_stat, INDEX(Players!$A880:$P880, MATCH(J$2, Players!$A$1:$P$1, 0)), perc_75, VLOOKUP(J$2, Percentiles!$A$45:$I$59, 6, FALSE), perc_90, VLOOKUP(J$2, Percentiles!$A$45:$I$59, 7, FALSE), perc_95, VLOOKUP(J$2, Percentiles!$A$45:$I$59, 8, FALSE), perc_85, perc_75 + (perc_90 - perc_75) * (2/3), converted_stat, '2K_Ratings'!J881, IF(bbgm_stat &gt;= perc_95, converted_stat * 3, IF(bbgm_stat &gt;= perc_90, converted_stat * 2, IF(bbgm_stat &gt;= perc_85, converted_stat * 1.5, converted_stat)))))</f>
        <v/>
      </c>
      <c r="K881" s="30" t="str">
        <f t="array" ref="K881">IF($A881="", "", LET(bbgm_stat, INDEX(Players!$A880:$P880, MATCH(K$2, Players!$A$1:$P$1, 0)), perc_75, VLOOKUP(K$2, Percentiles!$A$45:$I$59, 6, FALSE), perc_90, VLOOKUP(K$2, Percentiles!$A$45:$I$59, 7, FALSE), perc_95, VLOOKUP(K$2, Percentiles!$A$45:$I$59, 8, FALSE), perc_85, perc_75 + (perc_90 - perc_75) * (2/3), converted_stat, '2K_Ratings'!K881, IF(bbgm_stat &gt;= perc_95, converted_stat * 3, IF(bbgm_stat &gt;= perc_90, converted_stat * 2, IF(bbgm_stat &gt;= perc_85, converted_stat * 1.5, converted_stat)))))</f>
        <v/>
      </c>
      <c r="L881" s="30" t="str">
        <f t="array" ref="L881">IF($A881="", "", LET(bbgm_stat, INDEX(Players!$A880:$P880, MATCH(L$2, Players!$A$1:$P$1, 0)), perc_75, VLOOKUP(L$2, Percentiles!$A$45:$I$59, 6, FALSE), perc_90, VLOOKUP(L$2, Percentiles!$A$45:$I$59, 7, FALSE), perc_95, VLOOKUP(L$2, Percentiles!$A$45:$I$59, 8, FALSE), perc_85, perc_75 + (perc_90 - perc_75) * (2/3), converted_stat, '2K_Ratings'!L881, IF(bbgm_stat &gt;= perc_95, converted_stat * 3, IF(bbgm_stat &gt;= perc_90, converted_stat * 2, IF(bbgm_stat &gt;= perc_85, converted_stat * 1.5, converted_stat)))))</f>
        <v/>
      </c>
      <c r="M881" s="30" t="str">
        <f t="array" ref="M881">IF($A881="", "", LET(bbgm_stat, INDEX(Players!$A880:$P880, MATCH(M$2, Players!$A$1:$P$1, 0)), perc_75, VLOOKUP(M$2, Percentiles!$A$45:$I$59, 6, FALSE), perc_90, VLOOKUP(M$2, Percentiles!$A$45:$I$59, 7, FALSE), perc_95, VLOOKUP(M$2, Percentiles!$A$45:$I$59, 8, FALSE), perc_85, perc_75 + (perc_90 - perc_75) * (2/3), converted_stat, '2K_Ratings'!M881, IF(bbgm_stat &gt;= perc_95, converted_stat * 3, IF(bbgm_stat &gt;= perc_90, converted_stat * 2, IF(bbgm_stat &gt;= perc_85, converted_stat * 1.5, converted_stat)))))</f>
        <v/>
      </c>
      <c r="N881" s="30" t="str">
        <f t="array" ref="N881">IF($A881="", "", LET(bbgm_stat, INDEX(Players!$A880:$P880, MATCH(N$2, Players!$A$1:$P$1, 0)), perc_75, VLOOKUP(N$2, Percentiles!$A$45:$I$59, 6, FALSE), perc_90, VLOOKUP(N$2, Percentiles!$A$45:$I$59, 7, FALSE), perc_95, VLOOKUP(N$2, Percentiles!$A$45:$I$59, 8, FALSE), perc_85, perc_75 + (perc_90 - perc_75) * (2/3), converted_stat, '2K_Ratings'!N881, IF(bbgm_stat &gt;= perc_95, converted_stat * 3, IF(bbgm_stat &gt;= perc_90, converted_stat * 2, IF(bbgm_stat &gt;= perc_85, converted_stat * 1.5, converted_stat)))))</f>
        <v/>
      </c>
      <c r="O881" s="30" t="str">
        <f t="array" ref="O881">IF($A881="", "", LET(bbgm_stat, INDEX(Players!$A880:$P880, MATCH(O$2, Players!$A$1:$P$1, 0)), perc_75, VLOOKUP(O$2, Percentiles!$A$45:$I$59, 6, FALSE), perc_90, VLOOKUP(O$2, Percentiles!$A$45:$I$59, 7, FALSE), perc_95, VLOOKUP(O$2, Percentiles!$A$45:$I$59, 8, FALSE), perc_85, perc_75 + (perc_90 - perc_75) * (2/3), converted_stat, '2K_Ratings'!O881, IF(bbgm_stat &gt;= perc_95, converted_stat * 3, IF(bbgm_stat &gt;= perc_90, converted_stat * 2, IF(bbgm_stat &gt;= perc_85, converted_stat * 1.5, converted_stat)))))</f>
        <v/>
      </c>
      <c r="P881" s="30" t="str">
        <f t="array" ref="P881">IF($A881="", "", LET(bbgm_stat, INDEX(Players!$A880:$P880, MATCH(P$2, Players!$A$1:$P$1, 0)), perc_75, VLOOKUP(P$2, Percentiles!$A$45:$I$59, 6, FALSE), perc_90, VLOOKUP(P$2, Percentiles!$A$45:$I$59, 7, FALSE), perc_95, VLOOKUP(P$2, Percentiles!$A$45:$I$59, 8, FALSE), perc_85, perc_75 + (perc_90 - perc_75) * (2/3), converted_stat, '2K_Ratings'!P881, IF(bbgm_stat &gt;= perc_95, converted_stat * 3, IF(bbgm_stat &gt;= perc_90, converted_stat * 2, IF(bbgm_stat &gt;= perc_85, converted_stat * 1.5, converted_stat)))))</f>
        <v/>
      </c>
      <c r="Q881" s="30" t="str">
        <f t="array" ref="Q881">IF($A881="", "", LET(bbgm_stat, INDEX(Players!$A880:$P880, MATCH(Q$2, Players!$A$1:$P$1, 0)), perc_75, VLOOKUP(Q$2, Percentiles!$A$45:$I$59, 6, FALSE), perc_90, VLOOKUP(Q$2, Percentiles!$A$45:$I$59, 7, FALSE), perc_95, VLOOKUP(Q$2, Percentiles!$A$45:$I$59, 8, FALSE), perc_85, perc_75 + (perc_90 - perc_75) * (2/3), converted_stat, '2K_Ratings'!Q881, IF(bbgm_stat &gt;= perc_95, converted_stat * 3, IF(bbgm_stat &gt;= perc_90, converted_stat * 2, IF(bbgm_stat &gt;= perc_85, converted_stat * 1.5, converted_stat)))))</f>
        <v/>
      </c>
      <c r="R881" s="30" t="str">
        <f t="array" ref="R881">IF($A881="", "", LET(bbgm_stat, INDEX(Players!$A880:$P880, MATCH(R$2, Players!$A$1:$P$1, 0)), perc_75, VLOOKUP(R$2, Percentiles!$A$45:$I$59, 6, FALSE), perc_90, VLOOKUP(R$2, Percentiles!$A$45:$I$59, 7, FALSE), perc_95, VLOOKUP(R$2, Percentiles!$A$45:$I$59, 8, FALSE), perc_85, perc_75 + (perc_90 - perc_75) * (2/3), converted_stat, '2K_Ratings'!R881, IF(bbgm_stat &gt;= perc_95, converted_stat * 3, IF(bbgm_stat &gt;= perc_90, converted_stat * 2, IF(bbgm_stat &gt;= perc_85, converted_stat * 1.5, converted_stat)))))</f>
        <v/>
      </c>
      <c r="S881" s="30" t="str">
        <f t="array" ref="S881">IF($A881="", "", LET(bbgm_stat, INDEX(Players!$A880:$P880, MATCH(S$2, Players!$A$1:$P$1, 0)), perc_75, VLOOKUP(S$2, Percentiles!$A$45:$I$59, 6, FALSE), perc_90, VLOOKUP(S$2, Percentiles!$A$45:$I$59, 7, FALSE), perc_95, VLOOKUP(S$2, Percentiles!$A$45:$I$59, 8, FALSE), perc_85, perc_75 + (perc_90 - perc_75) * (2/3), converted_stat, '2K_Ratings'!S881, IF(bbgm_stat &gt;= perc_95, converted_stat * 3, IF(bbgm_stat &gt;= perc_90, converted_stat * 2, IF(bbgm_stat &gt;= perc_85, converted_stat * 1.5, converted_stat)))))</f>
        <v/>
      </c>
      <c r="T881" s="30" t="str">
        <f t="array" ref="T881">IF($A881="", "", LET(bbgm_stat, INDEX(Players!$A880:$P880, MATCH(T$2, Players!$A$1:$P$1, 0)), perc_75, VLOOKUP(T$2, Percentiles!$A$45:$I$59, 6, FALSE), perc_90, VLOOKUP(T$2, Percentiles!$A$45:$I$59, 7, FALSE), perc_95, VLOOKUP(T$2, Percentiles!$A$45:$I$59, 8, FALSE), perc_85, perc_75 + (perc_90 - perc_75) * (2/3), converted_stat, '2K_Ratings'!T881, IF(bbgm_stat &gt;= perc_95, converted_stat * 3, IF(bbgm_stat &gt;= perc_90, converted_stat * 2, IF(bbgm_stat &gt;= perc_85, converted_stat * 1.5, converted_stat)))))</f>
        <v/>
      </c>
      <c r="U881" s="30" t="str">
        <f t="array" ref="U881">IF($A881="", "", LET(bbgm_stat, INDEX(Players!$A880:$P880, MATCH(U$2, Players!$A$1:$P$1, 0)), perc_75, VLOOKUP(U$2, Percentiles!$A$45:$I$59, 6, FALSE), perc_90, VLOOKUP(U$2, Percentiles!$A$45:$I$59, 7, FALSE), perc_95, VLOOKUP(U$2, Percentiles!$A$45:$I$59, 8, FALSE), perc_85, perc_75 + (perc_90 - perc_75) * (2/3), converted_stat, '2K_Ratings'!U881, IF(bbgm_stat &gt;= perc_95, converted_stat * 3, IF(bbgm_stat &gt;= perc_90, converted_stat * 2, IF(bbgm_stat &gt;= perc_85, converted_stat * 1.5, converted_stat)))))</f>
        <v/>
      </c>
      <c r="V881" s="30" t="str">
        <f t="array" ref="V881">IF($A881="", "", LET(bbgm_stat, INDEX(Players!$A880:$P880, MATCH(V$2, Players!$A$1:$P$1, 0)), perc_75, VLOOKUP(V$2, Percentiles!$A$45:$I$59, 6, FALSE), perc_90, VLOOKUP(V$2, Percentiles!$A$45:$I$59, 7, FALSE), perc_95, VLOOKUP(V$2, Percentiles!$A$45:$I$59, 8, FALSE), perc_85, perc_75 + (perc_90 - perc_75) * (2/3), converted_stat, '2K_Ratings'!V881, IF(bbgm_stat &gt;= perc_95, converted_stat * 3, IF(bbgm_stat &gt;= perc_90, converted_stat * 2, IF(bbgm_stat &gt;= perc_85, converted_stat * 1.5, converted_stat)))))</f>
        <v/>
      </c>
      <c r="W881" s="30" t="str">
        <f t="array" ref="W881">IF($A881="", "", LET(bbgm_stat, INDEX(Players!$A880:$P880, MATCH(W$2, Players!$A$1:$P$1, 0)), perc_75, VLOOKUP(W$2, Percentiles!$A$45:$I$59, 6, FALSE), perc_90, VLOOKUP(W$2, Percentiles!$A$45:$I$59, 7, FALSE), perc_95, VLOOKUP(W$2, Percentiles!$A$45:$I$59, 8, FALSE), perc_85, perc_75 + (perc_90 - perc_75) * (2/3), converted_stat, '2K_Ratings'!W881, IF(bbgm_stat &gt;= perc_95, converted_stat * 3, IF(bbgm_stat &gt;= perc_90, converted_stat * 2, IF(bbgm_stat &gt;= perc_85, converted_stat * 1.5, converted_stat)))))</f>
        <v/>
      </c>
    </row>
    <row r="882">
      <c r="A882" s="30"/>
      <c r="B882" s="30" t="str">
        <f t="array" ref="B882">IF($A882="", "", LET(bbgm_stat, INDEX(Players!$A881:$P881, MATCH(B$2, Players!$A$1:$P$1, 0)), perc_75, VLOOKUP(B$2, Percentiles!$A$45:$I$59, 6, FALSE), perc_90, VLOOKUP(B$2, Percentiles!$A$45:$I$59, 7, FALSE), perc_95, VLOOKUP(B$2, Percentiles!$A$45:$I$59, 8, FALSE), perc_85, perc_75 + (perc_90 - perc_75) * (2/3), converted_stat, '2K_Ratings'!B882, IF(bbgm_stat &gt;= perc_95, converted_stat * 3, IF(bbgm_stat &gt;= perc_90, converted_stat * 2, IF(bbgm_stat &gt;= perc_85, converted_stat * 1.5, converted_stat)))))</f>
        <v/>
      </c>
      <c r="C882" s="30" t="str">
        <f t="array" ref="C882">IF($A882="", "", LET(bbgm_stat, INDEX(Players!$A881:$P881, MATCH(C$2, Players!$A$1:$P$1, 0)), perc_75, VLOOKUP(C$2, Percentiles!$A$45:$I$59, 6, FALSE), perc_90, VLOOKUP(C$2, Percentiles!$A$45:$I$59, 7, FALSE), perc_95, VLOOKUP(C$2, Percentiles!$A$45:$I$59, 8, FALSE), perc_85, perc_75 + (perc_90 - perc_75) * (2/3), converted_stat, '2K_Ratings'!C882, IF(bbgm_stat &gt;= perc_95, converted_stat * 3, IF(bbgm_stat &gt;= perc_90, converted_stat * 2, IF(bbgm_stat &gt;= perc_85, converted_stat * 1.5, converted_stat)))))</f>
        <v/>
      </c>
      <c r="D882" s="30" t="str">
        <f t="array" ref="D882">IF($A882="", "", LET(bbgm_stat, INDEX(Players!$A881:$P881, MATCH(D$2, Players!$A$1:$P$1, 0)), perc_75, VLOOKUP(D$2, Percentiles!$A$45:$I$59, 6, FALSE), perc_90, VLOOKUP(D$2, Percentiles!$A$45:$I$59, 7, FALSE), perc_95, VLOOKUP(D$2, Percentiles!$A$45:$I$59, 8, FALSE), perc_85, perc_75 + (perc_90 - perc_75) * (2/3), converted_stat, '2K_Ratings'!D882, IF(bbgm_stat &gt;= perc_95, converted_stat * 3, IF(bbgm_stat &gt;= perc_90, converted_stat * 2, IF(bbgm_stat &gt;= perc_85, converted_stat * 1.5, converted_stat)))))</f>
        <v/>
      </c>
      <c r="E882" s="30" t="str">
        <f t="array" ref="E882">IF($A882="", "", LET(bbgm_stat, INDEX(Players!$A881:$P881, MATCH(E$2, Players!$A$1:$P$1, 0)), perc_75, VLOOKUP(E$2, Percentiles!$A$45:$I$59, 6, FALSE), perc_90, VLOOKUP(E$2, Percentiles!$A$45:$I$59, 7, FALSE), perc_95, VLOOKUP(E$2, Percentiles!$A$45:$I$59, 8, FALSE), perc_85, perc_75 + (perc_90 - perc_75) * (2/3), converted_stat, '2K_Ratings'!E882, IF(bbgm_stat &gt;= perc_95, converted_stat * 3, IF(bbgm_stat &gt;= perc_90, converted_stat * 2, IF(bbgm_stat &gt;= perc_85, converted_stat * 1.5, converted_stat)))))</f>
        <v/>
      </c>
      <c r="F882" s="30" t="str">
        <f t="array" ref="F882">IF($A882="", "", LET(bbgm_stat, INDEX(Players!$A881:$P881, MATCH(F$2, Players!$A$1:$P$1, 0)), perc_75, VLOOKUP(F$2, Percentiles!$A$45:$I$59, 6, FALSE), perc_90, VLOOKUP(F$2, Percentiles!$A$45:$I$59, 7, FALSE), perc_95, VLOOKUP(F$2, Percentiles!$A$45:$I$59, 8, FALSE), perc_85, perc_75 + (perc_90 - perc_75) * (2/3), converted_stat, '2K_Ratings'!F882, IF(bbgm_stat &gt;= perc_95, converted_stat * 3, IF(bbgm_stat &gt;= perc_90, converted_stat * 2, IF(bbgm_stat &gt;= perc_85, converted_stat * 1.5, converted_stat)))))</f>
        <v/>
      </c>
      <c r="G882" s="30" t="str">
        <f t="array" ref="G882">IF($A882="", "", LET(bbgm_stat, INDEX(Players!$A881:$P881, MATCH(G$2, Players!$A$1:$P$1, 0)), perc_75, VLOOKUP(G$2, Percentiles!$A$45:$I$59, 6, FALSE), perc_90, VLOOKUP(G$2, Percentiles!$A$45:$I$59, 7, FALSE), perc_95, VLOOKUP(G$2, Percentiles!$A$45:$I$59, 8, FALSE), perc_85, perc_75 + (perc_90 - perc_75) * (2/3), converted_stat, '2K_Ratings'!G882, IF(bbgm_stat &gt;= perc_95, converted_stat * 3, IF(bbgm_stat &gt;= perc_90, converted_stat * 2, IF(bbgm_stat &gt;= perc_85, converted_stat * 1.5, converted_stat)))))</f>
        <v/>
      </c>
      <c r="H882" s="30" t="str">
        <f t="array" ref="H882">IF($A882="", "", LET(bbgm_stat, INDEX(Players!$A881:$P881, MATCH(H$2, Players!$A$1:$P$1, 0)), perc_75, VLOOKUP(H$2, Percentiles!$A$45:$I$59, 6, FALSE), perc_90, VLOOKUP(H$2, Percentiles!$A$45:$I$59, 7, FALSE), perc_95, VLOOKUP(H$2, Percentiles!$A$45:$I$59, 8, FALSE), perc_85, perc_75 + (perc_90 - perc_75) * (2/3), converted_stat, '2K_Ratings'!H882, IF(bbgm_stat &gt;= perc_95, converted_stat * 3, IF(bbgm_stat &gt;= perc_90, converted_stat * 2, IF(bbgm_stat &gt;= perc_85, converted_stat * 1.5, converted_stat)))))</f>
        <v/>
      </c>
      <c r="I882" s="30" t="str">
        <f t="array" ref="I882">IF($A882="", "", LET(bbgm_stat, INDEX(Players!$A881:$P881, MATCH(I$2, Players!$A$1:$P$1, 0)), perc_75, VLOOKUP(I$2, Percentiles!$A$45:$I$59, 6, FALSE), perc_90, VLOOKUP(I$2, Percentiles!$A$45:$I$59, 7, FALSE), perc_95, VLOOKUP(I$2, Percentiles!$A$45:$I$59, 8, FALSE), perc_85, perc_75 + (perc_90 - perc_75) * (2/3), converted_stat, '2K_Ratings'!I882, IF(bbgm_stat &gt;= perc_95, converted_stat * 3, IF(bbgm_stat &gt;= perc_90, converted_stat * 2, IF(bbgm_stat &gt;= perc_85, converted_stat * 1.5, converted_stat)))))</f>
        <v/>
      </c>
      <c r="J882" s="30" t="str">
        <f t="array" ref="J882">IF($A882="", "", LET(bbgm_stat, INDEX(Players!$A881:$P881, MATCH(J$2, Players!$A$1:$P$1, 0)), perc_75, VLOOKUP(J$2, Percentiles!$A$45:$I$59, 6, FALSE), perc_90, VLOOKUP(J$2, Percentiles!$A$45:$I$59, 7, FALSE), perc_95, VLOOKUP(J$2, Percentiles!$A$45:$I$59, 8, FALSE), perc_85, perc_75 + (perc_90 - perc_75) * (2/3), converted_stat, '2K_Ratings'!J882, IF(bbgm_stat &gt;= perc_95, converted_stat * 3, IF(bbgm_stat &gt;= perc_90, converted_stat * 2, IF(bbgm_stat &gt;= perc_85, converted_stat * 1.5, converted_stat)))))</f>
        <v/>
      </c>
      <c r="K882" s="30" t="str">
        <f t="array" ref="K882">IF($A882="", "", LET(bbgm_stat, INDEX(Players!$A881:$P881, MATCH(K$2, Players!$A$1:$P$1, 0)), perc_75, VLOOKUP(K$2, Percentiles!$A$45:$I$59, 6, FALSE), perc_90, VLOOKUP(K$2, Percentiles!$A$45:$I$59, 7, FALSE), perc_95, VLOOKUP(K$2, Percentiles!$A$45:$I$59, 8, FALSE), perc_85, perc_75 + (perc_90 - perc_75) * (2/3), converted_stat, '2K_Ratings'!K882, IF(bbgm_stat &gt;= perc_95, converted_stat * 3, IF(bbgm_stat &gt;= perc_90, converted_stat * 2, IF(bbgm_stat &gt;= perc_85, converted_stat * 1.5, converted_stat)))))</f>
        <v/>
      </c>
      <c r="L882" s="30" t="str">
        <f t="array" ref="L882">IF($A882="", "", LET(bbgm_stat, INDEX(Players!$A881:$P881, MATCH(L$2, Players!$A$1:$P$1, 0)), perc_75, VLOOKUP(L$2, Percentiles!$A$45:$I$59, 6, FALSE), perc_90, VLOOKUP(L$2, Percentiles!$A$45:$I$59, 7, FALSE), perc_95, VLOOKUP(L$2, Percentiles!$A$45:$I$59, 8, FALSE), perc_85, perc_75 + (perc_90 - perc_75) * (2/3), converted_stat, '2K_Ratings'!L882, IF(bbgm_stat &gt;= perc_95, converted_stat * 3, IF(bbgm_stat &gt;= perc_90, converted_stat * 2, IF(bbgm_stat &gt;= perc_85, converted_stat * 1.5, converted_stat)))))</f>
        <v/>
      </c>
      <c r="M882" s="30" t="str">
        <f t="array" ref="M882">IF($A882="", "", LET(bbgm_stat, INDEX(Players!$A881:$P881, MATCH(M$2, Players!$A$1:$P$1, 0)), perc_75, VLOOKUP(M$2, Percentiles!$A$45:$I$59, 6, FALSE), perc_90, VLOOKUP(M$2, Percentiles!$A$45:$I$59, 7, FALSE), perc_95, VLOOKUP(M$2, Percentiles!$A$45:$I$59, 8, FALSE), perc_85, perc_75 + (perc_90 - perc_75) * (2/3), converted_stat, '2K_Ratings'!M882, IF(bbgm_stat &gt;= perc_95, converted_stat * 3, IF(bbgm_stat &gt;= perc_90, converted_stat * 2, IF(bbgm_stat &gt;= perc_85, converted_stat * 1.5, converted_stat)))))</f>
        <v/>
      </c>
      <c r="N882" s="30" t="str">
        <f t="array" ref="N882">IF($A882="", "", LET(bbgm_stat, INDEX(Players!$A881:$P881, MATCH(N$2, Players!$A$1:$P$1, 0)), perc_75, VLOOKUP(N$2, Percentiles!$A$45:$I$59, 6, FALSE), perc_90, VLOOKUP(N$2, Percentiles!$A$45:$I$59, 7, FALSE), perc_95, VLOOKUP(N$2, Percentiles!$A$45:$I$59, 8, FALSE), perc_85, perc_75 + (perc_90 - perc_75) * (2/3), converted_stat, '2K_Ratings'!N882, IF(bbgm_stat &gt;= perc_95, converted_stat * 3, IF(bbgm_stat &gt;= perc_90, converted_stat * 2, IF(bbgm_stat &gt;= perc_85, converted_stat * 1.5, converted_stat)))))</f>
        <v/>
      </c>
      <c r="O882" s="30" t="str">
        <f t="array" ref="O882">IF($A882="", "", LET(bbgm_stat, INDEX(Players!$A881:$P881, MATCH(O$2, Players!$A$1:$P$1, 0)), perc_75, VLOOKUP(O$2, Percentiles!$A$45:$I$59, 6, FALSE), perc_90, VLOOKUP(O$2, Percentiles!$A$45:$I$59, 7, FALSE), perc_95, VLOOKUP(O$2, Percentiles!$A$45:$I$59, 8, FALSE), perc_85, perc_75 + (perc_90 - perc_75) * (2/3), converted_stat, '2K_Ratings'!O882, IF(bbgm_stat &gt;= perc_95, converted_stat * 3, IF(bbgm_stat &gt;= perc_90, converted_stat * 2, IF(bbgm_stat &gt;= perc_85, converted_stat * 1.5, converted_stat)))))</f>
        <v/>
      </c>
      <c r="P882" s="30" t="str">
        <f t="array" ref="P882">IF($A882="", "", LET(bbgm_stat, INDEX(Players!$A881:$P881, MATCH(P$2, Players!$A$1:$P$1, 0)), perc_75, VLOOKUP(P$2, Percentiles!$A$45:$I$59, 6, FALSE), perc_90, VLOOKUP(P$2, Percentiles!$A$45:$I$59, 7, FALSE), perc_95, VLOOKUP(P$2, Percentiles!$A$45:$I$59, 8, FALSE), perc_85, perc_75 + (perc_90 - perc_75) * (2/3), converted_stat, '2K_Ratings'!P882, IF(bbgm_stat &gt;= perc_95, converted_stat * 3, IF(bbgm_stat &gt;= perc_90, converted_stat * 2, IF(bbgm_stat &gt;= perc_85, converted_stat * 1.5, converted_stat)))))</f>
        <v/>
      </c>
      <c r="Q882" s="30" t="str">
        <f t="array" ref="Q882">IF($A882="", "", LET(bbgm_stat, INDEX(Players!$A881:$P881, MATCH(Q$2, Players!$A$1:$P$1, 0)), perc_75, VLOOKUP(Q$2, Percentiles!$A$45:$I$59, 6, FALSE), perc_90, VLOOKUP(Q$2, Percentiles!$A$45:$I$59, 7, FALSE), perc_95, VLOOKUP(Q$2, Percentiles!$A$45:$I$59, 8, FALSE), perc_85, perc_75 + (perc_90 - perc_75) * (2/3), converted_stat, '2K_Ratings'!Q882, IF(bbgm_stat &gt;= perc_95, converted_stat * 3, IF(bbgm_stat &gt;= perc_90, converted_stat * 2, IF(bbgm_stat &gt;= perc_85, converted_stat * 1.5, converted_stat)))))</f>
        <v/>
      </c>
      <c r="R882" s="30" t="str">
        <f t="array" ref="R882">IF($A882="", "", LET(bbgm_stat, INDEX(Players!$A881:$P881, MATCH(R$2, Players!$A$1:$P$1, 0)), perc_75, VLOOKUP(R$2, Percentiles!$A$45:$I$59, 6, FALSE), perc_90, VLOOKUP(R$2, Percentiles!$A$45:$I$59, 7, FALSE), perc_95, VLOOKUP(R$2, Percentiles!$A$45:$I$59, 8, FALSE), perc_85, perc_75 + (perc_90 - perc_75) * (2/3), converted_stat, '2K_Ratings'!R882, IF(bbgm_stat &gt;= perc_95, converted_stat * 3, IF(bbgm_stat &gt;= perc_90, converted_stat * 2, IF(bbgm_stat &gt;= perc_85, converted_stat * 1.5, converted_stat)))))</f>
        <v/>
      </c>
      <c r="S882" s="30" t="str">
        <f t="array" ref="S882">IF($A882="", "", LET(bbgm_stat, INDEX(Players!$A881:$P881, MATCH(S$2, Players!$A$1:$P$1, 0)), perc_75, VLOOKUP(S$2, Percentiles!$A$45:$I$59, 6, FALSE), perc_90, VLOOKUP(S$2, Percentiles!$A$45:$I$59, 7, FALSE), perc_95, VLOOKUP(S$2, Percentiles!$A$45:$I$59, 8, FALSE), perc_85, perc_75 + (perc_90 - perc_75) * (2/3), converted_stat, '2K_Ratings'!S882, IF(bbgm_stat &gt;= perc_95, converted_stat * 3, IF(bbgm_stat &gt;= perc_90, converted_stat * 2, IF(bbgm_stat &gt;= perc_85, converted_stat * 1.5, converted_stat)))))</f>
        <v/>
      </c>
      <c r="T882" s="30" t="str">
        <f t="array" ref="T882">IF($A882="", "", LET(bbgm_stat, INDEX(Players!$A881:$P881, MATCH(T$2, Players!$A$1:$P$1, 0)), perc_75, VLOOKUP(T$2, Percentiles!$A$45:$I$59, 6, FALSE), perc_90, VLOOKUP(T$2, Percentiles!$A$45:$I$59, 7, FALSE), perc_95, VLOOKUP(T$2, Percentiles!$A$45:$I$59, 8, FALSE), perc_85, perc_75 + (perc_90 - perc_75) * (2/3), converted_stat, '2K_Ratings'!T882, IF(bbgm_stat &gt;= perc_95, converted_stat * 3, IF(bbgm_stat &gt;= perc_90, converted_stat * 2, IF(bbgm_stat &gt;= perc_85, converted_stat * 1.5, converted_stat)))))</f>
        <v/>
      </c>
      <c r="U882" s="30" t="str">
        <f t="array" ref="U882">IF($A882="", "", LET(bbgm_stat, INDEX(Players!$A881:$P881, MATCH(U$2, Players!$A$1:$P$1, 0)), perc_75, VLOOKUP(U$2, Percentiles!$A$45:$I$59, 6, FALSE), perc_90, VLOOKUP(U$2, Percentiles!$A$45:$I$59, 7, FALSE), perc_95, VLOOKUP(U$2, Percentiles!$A$45:$I$59, 8, FALSE), perc_85, perc_75 + (perc_90 - perc_75) * (2/3), converted_stat, '2K_Ratings'!U882, IF(bbgm_stat &gt;= perc_95, converted_stat * 3, IF(bbgm_stat &gt;= perc_90, converted_stat * 2, IF(bbgm_stat &gt;= perc_85, converted_stat * 1.5, converted_stat)))))</f>
        <v/>
      </c>
      <c r="V882" s="30" t="str">
        <f t="array" ref="V882">IF($A882="", "", LET(bbgm_stat, INDEX(Players!$A881:$P881, MATCH(V$2, Players!$A$1:$P$1, 0)), perc_75, VLOOKUP(V$2, Percentiles!$A$45:$I$59, 6, FALSE), perc_90, VLOOKUP(V$2, Percentiles!$A$45:$I$59, 7, FALSE), perc_95, VLOOKUP(V$2, Percentiles!$A$45:$I$59, 8, FALSE), perc_85, perc_75 + (perc_90 - perc_75) * (2/3), converted_stat, '2K_Ratings'!V882, IF(bbgm_stat &gt;= perc_95, converted_stat * 3, IF(bbgm_stat &gt;= perc_90, converted_stat * 2, IF(bbgm_stat &gt;= perc_85, converted_stat * 1.5, converted_stat)))))</f>
        <v/>
      </c>
      <c r="W882" s="30" t="str">
        <f t="array" ref="W882">IF($A882="", "", LET(bbgm_stat, INDEX(Players!$A881:$P881, MATCH(W$2, Players!$A$1:$P$1, 0)), perc_75, VLOOKUP(W$2, Percentiles!$A$45:$I$59, 6, FALSE), perc_90, VLOOKUP(W$2, Percentiles!$A$45:$I$59, 7, FALSE), perc_95, VLOOKUP(W$2, Percentiles!$A$45:$I$59, 8, FALSE), perc_85, perc_75 + (perc_90 - perc_75) * (2/3), converted_stat, '2K_Ratings'!W882, IF(bbgm_stat &gt;= perc_95, converted_stat * 3, IF(bbgm_stat &gt;= perc_90, converted_stat * 2, IF(bbgm_stat &gt;= perc_85, converted_stat * 1.5, converted_stat)))))</f>
        <v/>
      </c>
    </row>
    <row r="883">
      <c r="A883" s="30"/>
      <c r="B883" s="30" t="str">
        <f t="array" ref="B883">IF($A883="", "", LET(bbgm_stat, INDEX(Players!$A882:$P882, MATCH(B$2, Players!$A$1:$P$1, 0)), perc_75, VLOOKUP(B$2, Percentiles!$A$45:$I$59, 6, FALSE), perc_90, VLOOKUP(B$2, Percentiles!$A$45:$I$59, 7, FALSE), perc_95, VLOOKUP(B$2, Percentiles!$A$45:$I$59, 8, FALSE), perc_85, perc_75 + (perc_90 - perc_75) * (2/3), converted_stat, '2K_Ratings'!B883, IF(bbgm_stat &gt;= perc_95, converted_stat * 3, IF(bbgm_stat &gt;= perc_90, converted_stat * 2, IF(bbgm_stat &gt;= perc_85, converted_stat * 1.5, converted_stat)))))</f>
        <v/>
      </c>
      <c r="C883" s="30" t="str">
        <f t="array" ref="C883">IF($A883="", "", LET(bbgm_stat, INDEX(Players!$A882:$P882, MATCH(C$2, Players!$A$1:$P$1, 0)), perc_75, VLOOKUP(C$2, Percentiles!$A$45:$I$59, 6, FALSE), perc_90, VLOOKUP(C$2, Percentiles!$A$45:$I$59, 7, FALSE), perc_95, VLOOKUP(C$2, Percentiles!$A$45:$I$59, 8, FALSE), perc_85, perc_75 + (perc_90 - perc_75) * (2/3), converted_stat, '2K_Ratings'!C883, IF(bbgm_stat &gt;= perc_95, converted_stat * 3, IF(bbgm_stat &gt;= perc_90, converted_stat * 2, IF(bbgm_stat &gt;= perc_85, converted_stat * 1.5, converted_stat)))))</f>
        <v/>
      </c>
      <c r="D883" s="30" t="str">
        <f t="array" ref="D883">IF($A883="", "", LET(bbgm_stat, INDEX(Players!$A882:$P882, MATCH(D$2, Players!$A$1:$P$1, 0)), perc_75, VLOOKUP(D$2, Percentiles!$A$45:$I$59, 6, FALSE), perc_90, VLOOKUP(D$2, Percentiles!$A$45:$I$59, 7, FALSE), perc_95, VLOOKUP(D$2, Percentiles!$A$45:$I$59, 8, FALSE), perc_85, perc_75 + (perc_90 - perc_75) * (2/3), converted_stat, '2K_Ratings'!D883, IF(bbgm_stat &gt;= perc_95, converted_stat * 3, IF(bbgm_stat &gt;= perc_90, converted_stat * 2, IF(bbgm_stat &gt;= perc_85, converted_stat * 1.5, converted_stat)))))</f>
        <v/>
      </c>
      <c r="E883" s="30" t="str">
        <f t="array" ref="E883">IF($A883="", "", LET(bbgm_stat, INDEX(Players!$A882:$P882, MATCH(E$2, Players!$A$1:$P$1, 0)), perc_75, VLOOKUP(E$2, Percentiles!$A$45:$I$59, 6, FALSE), perc_90, VLOOKUP(E$2, Percentiles!$A$45:$I$59, 7, FALSE), perc_95, VLOOKUP(E$2, Percentiles!$A$45:$I$59, 8, FALSE), perc_85, perc_75 + (perc_90 - perc_75) * (2/3), converted_stat, '2K_Ratings'!E883, IF(bbgm_stat &gt;= perc_95, converted_stat * 3, IF(bbgm_stat &gt;= perc_90, converted_stat * 2, IF(bbgm_stat &gt;= perc_85, converted_stat * 1.5, converted_stat)))))</f>
        <v/>
      </c>
      <c r="F883" s="30" t="str">
        <f t="array" ref="F883">IF($A883="", "", LET(bbgm_stat, INDEX(Players!$A882:$P882, MATCH(F$2, Players!$A$1:$P$1, 0)), perc_75, VLOOKUP(F$2, Percentiles!$A$45:$I$59, 6, FALSE), perc_90, VLOOKUP(F$2, Percentiles!$A$45:$I$59, 7, FALSE), perc_95, VLOOKUP(F$2, Percentiles!$A$45:$I$59, 8, FALSE), perc_85, perc_75 + (perc_90 - perc_75) * (2/3), converted_stat, '2K_Ratings'!F883, IF(bbgm_stat &gt;= perc_95, converted_stat * 3, IF(bbgm_stat &gt;= perc_90, converted_stat * 2, IF(bbgm_stat &gt;= perc_85, converted_stat * 1.5, converted_stat)))))</f>
        <v/>
      </c>
      <c r="G883" s="30" t="str">
        <f t="array" ref="G883">IF($A883="", "", LET(bbgm_stat, INDEX(Players!$A882:$P882, MATCH(G$2, Players!$A$1:$P$1, 0)), perc_75, VLOOKUP(G$2, Percentiles!$A$45:$I$59, 6, FALSE), perc_90, VLOOKUP(G$2, Percentiles!$A$45:$I$59, 7, FALSE), perc_95, VLOOKUP(G$2, Percentiles!$A$45:$I$59, 8, FALSE), perc_85, perc_75 + (perc_90 - perc_75) * (2/3), converted_stat, '2K_Ratings'!G883, IF(bbgm_stat &gt;= perc_95, converted_stat * 3, IF(bbgm_stat &gt;= perc_90, converted_stat * 2, IF(bbgm_stat &gt;= perc_85, converted_stat * 1.5, converted_stat)))))</f>
        <v/>
      </c>
      <c r="H883" s="30" t="str">
        <f t="array" ref="H883">IF($A883="", "", LET(bbgm_stat, INDEX(Players!$A882:$P882, MATCH(H$2, Players!$A$1:$P$1, 0)), perc_75, VLOOKUP(H$2, Percentiles!$A$45:$I$59, 6, FALSE), perc_90, VLOOKUP(H$2, Percentiles!$A$45:$I$59, 7, FALSE), perc_95, VLOOKUP(H$2, Percentiles!$A$45:$I$59, 8, FALSE), perc_85, perc_75 + (perc_90 - perc_75) * (2/3), converted_stat, '2K_Ratings'!H883, IF(bbgm_stat &gt;= perc_95, converted_stat * 3, IF(bbgm_stat &gt;= perc_90, converted_stat * 2, IF(bbgm_stat &gt;= perc_85, converted_stat * 1.5, converted_stat)))))</f>
        <v/>
      </c>
      <c r="I883" s="30" t="str">
        <f t="array" ref="I883">IF($A883="", "", LET(bbgm_stat, INDEX(Players!$A882:$P882, MATCH(I$2, Players!$A$1:$P$1, 0)), perc_75, VLOOKUP(I$2, Percentiles!$A$45:$I$59, 6, FALSE), perc_90, VLOOKUP(I$2, Percentiles!$A$45:$I$59, 7, FALSE), perc_95, VLOOKUP(I$2, Percentiles!$A$45:$I$59, 8, FALSE), perc_85, perc_75 + (perc_90 - perc_75) * (2/3), converted_stat, '2K_Ratings'!I883, IF(bbgm_stat &gt;= perc_95, converted_stat * 3, IF(bbgm_stat &gt;= perc_90, converted_stat * 2, IF(bbgm_stat &gt;= perc_85, converted_stat * 1.5, converted_stat)))))</f>
        <v/>
      </c>
      <c r="J883" s="30" t="str">
        <f t="array" ref="J883">IF($A883="", "", LET(bbgm_stat, INDEX(Players!$A882:$P882, MATCH(J$2, Players!$A$1:$P$1, 0)), perc_75, VLOOKUP(J$2, Percentiles!$A$45:$I$59, 6, FALSE), perc_90, VLOOKUP(J$2, Percentiles!$A$45:$I$59, 7, FALSE), perc_95, VLOOKUP(J$2, Percentiles!$A$45:$I$59, 8, FALSE), perc_85, perc_75 + (perc_90 - perc_75) * (2/3), converted_stat, '2K_Ratings'!J883, IF(bbgm_stat &gt;= perc_95, converted_stat * 3, IF(bbgm_stat &gt;= perc_90, converted_stat * 2, IF(bbgm_stat &gt;= perc_85, converted_stat * 1.5, converted_stat)))))</f>
        <v/>
      </c>
      <c r="K883" s="30" t="str">
        <f t="array" ref="K883">IF($A883="", "", LET(bbgm_stat, INDEX(Players!$A882:$P882, MATCH(K$2, Players!$A$1:$P$1, 0)), perc_75, VLOOKUP(K$2, Percentiles!$A$45:$I$59, 6, FALSE), perc_90, VLOOKUP(K$2, Percentiles!$A$45:$I$59, 7, FALSE), perc_95, VLOOKUP(K$2, Percentiles!$A$45:$I$59, 8, FALSE), perc_85, perc_75 + (perc_90 - perc_75) * (2/3), converted_stat, '2K_Ratings'!K883, IF(bbgm_stat &gt;= perc_95, converted_stat * 3, IF(bbgm_stat &gt;= perc_90, converted_stat * 2, IF(bbgm_stat &gt;= perc_85, converted_stat * 1.5, converted_stat)))))</f>
        <v/>
      </c>
      <c r="L883" s="30" t="str">
        <f t="array" ref="L883">IF($A883="", "", LET(bbgm_stat, INDEX(Players!$A882:$P882, MATCH(L$2, Players!$A$1:$P$1, 0)), perc_75, VLOOKUP(L$2, Percentiles!$A$45:$I$59, 6, FALSE), perc_90, VLOOKUP(L$2, Percentiles!$A$45:$I$59, 7, FALSE), perc_95, VLOOKUP(L$2, Percentiles!$A$45:$I$59, 8, FALSE), perc_85, perc_75 + (perc_90 - perc_75) * (2/3), converted_stat, '2K_Ratings'!L883, IF(bbgm_stat &gt;= perc_95, converted_stat * 3, IF(bbgm_stat &gt;= perc_90, converted_stat * 2, IF(bbgm_stat &gt;= perc_85, converted_stat * 1.5, converted_stat)))))</f>
        <v/>
      </c>
      <c r="M883" s="30" t="str">
        <f t="array" ref="M883">IF($A883="", "", LET(bbgm_stat, INDEX(Players!$A882:$P882, MATCH(M$2, Players!$A$1:$P$1, 0)), perc_75, VLOOKUP(M$2, Percentiles!$A$45:$I$59, 6, FALSE), perc_90, VLOOKUP(M$2, Percentiles!$A$45:$I$59, 7, FALSE), perc_95, VLOOKUP(M$2, Percentiles!$A$45:$I$59, 8, FALSE), perc_85, perc_75 + (perc_90 - perc_75) * (2/3), converted_stat, '2K_Ratings'!M883, IF(bbgm_stat &gt;= perc_95, converted_stat * 3, IF(bbgm_stat &gt;= perc_90, converted_stat * 2, IF(bbgm_stat &gt;= perc_85, converted_stat * 1.5, converted_stat)))))</f>
        <v/>
      </c>
      <c r="N883" s="30" t="str">
        <f t="array" ref="N883">IF($A883="", "", LET(bbgm_stat, INDEX(Players!$A882:$P882, MATCH(N$2, Players!$A$1:$P$1, 0)), perc_75, VLOOKUP(N$2, Percentiles!$A$45:$I$59, 6, FALSE), perc_90, VLOOKUP(N$2, Percentiles!$A$45:$I$59, 7, FALSE), perc_95, VLOOKUP(N$2, Percentiles!$A$45:$I$59, 8, FALSE), perc_85, perc_75 + (perc_90 - perc_75) * (2/3), converted_stat, '2K_Ratings'!N883, IF(bbgm_stat &gt;= perc_95, converted_stat * 3, IF(bbgm_stat &gt;= perc_90, converted_stat * 2, IF(bbgm_stat &gt;= perc_85, converted_stat * 1.5, converted_stat)))))</f>
        <v/>
      </c>
      <c r="O883" s="30" t="str">
        <f t="array" ref="O883">IF($A883="", "", LET(bbgm_stat, INDEX(Players!$A882:$P882, MATCH(O$2, Players!$A$1:$P$1, 0)), perc_75, VLOOKUP(O$2, Percentiles!$A$45:$I$59, 6, FALSE), perc_90, VLOOKUP(O$2, Percentiles!$A$45:$I$59, 7, FALSE), perc_95, VLOOKUP(O$2, Percentiles!$A$45:$I$59, 8, FALSE), perc_85, perc_75 + (perc_90 - perc_75) * (2/3), converted_stat, '2K_Ratings'!O883, IF(bbgm_stat &gt;= perc_95, converted_stat * 3, IF(bbgm_stat &gt;= perc_90, converted_stat * 2, IF(bbgm_stat &gt;= perc_85, converted_stat * 1.5, converted_stat)))))</f>
        <v/>
      </c>
      <c r="P883" s="30" t="str">
        <f t="array" ref="P883">IF($A883="", "", LET(bbgm_stat, INDEX(Players!$A882:$P882, MATCH(P$2, Players!$A$1:$P$1, 0)), perc_75, VLOOKUP(P$2, Percentiles!$A$45:$I$59, 6, FALSE), perc_90, VLOOKUP(P$2, Percentiles!$A$45:$I$59, 7, FALSE), perc_95, VLOOKUP(P$2, Percentiles!$A$45:$I$59, 8, FALSE), perc_85, perc_75 + (perc_90 - perc_75) * (2/3), converted_stat, '2K_Ratings'!P883, IF(bbgm_stat &gt;= perc_95, converted_stat * 3, IF(bbgm_stat &gt;= perc_90, converted_stat * 2, IF(bbgm_stat &gt;= perc_85, converted_stat * 1.5, converted_stat)))))</f>
        <v/>
      </c>
      <c r="Q883" s="30" t="str">
        <f t="array" ref="Q883">IF($A883="", "", LET(bbgm_stat, INDEX(Players!$A882:$P882, MATCH(Q$2, Players!$A$1:$P$1, 0)), perc_75, VLOOKUP(Q$2, Percentiles!$A$45:$I$59, 6, FALSE), perc_90, VLOOKUP(Q$2, Percentiles!$A$45:$I$59, 7, FALSE), perc_95, VLOOKUP(Q$2, Percentiles!$A$45:$I$59, 8, FALSE), perc_85, perc_75 + (perc_90 - perc_75) * (2/3), converted_stat, '2K_Ratings'!Q883, IF(bbgm_stat &gt;= perc_95, converted_stat * 3, IF(bbgm_stat &gt;= perc_90, converted_stat * 2, IF(bbgm_stat &gt;= perc_85, converted_stat * 1.5, converted_stat)))))</f>
        <v/>
      </c>
      <c r="R883" s="30" t="str">
        <f t="array" ref="R883">IF($A883="", "", LET(bbgm_stat, INDEX(Players!$A882:$P882, MATCH(R$2, Players!$A$1:$P$1, 0)), perc_75, VLOOKUP(R$2, Percentiles!$A$45:$I$59, 6, FALSE), perc_90, VLOOKUP(R$2, Percentiles!$A$45:$I$59, 7, FALSE), perc_95, VLOOKUP(R$2, Percentiles!$A$45:$I$59, 8, FALSE), perc_85, perc_75 + (perc_90 - perc_75) * (2/3), converted_stat, '2K_Ratings'!R883, IF(bbgm_stat &gt;= perc_95, converted_stat * 3, IF(bbgm_stat &gt;= perc_90, converted_stat * 2, IF(bbgm_stat &gt;= perc_85, converted_stat * 1.5, converted_stat)))))</f>
        <v/>
      </c>
      <c r="S883" s="30" t="str">
        <f t="array" ref="S883">IF($A883="", "", LET(bbgm_stat, INDEX(Players!$A882:$P882, MATCH(S$2, Players!$A$1:$P$1, 0)), perc_75, VLOOKUP(S$2, Percentiles!$A$45:$I$59, 6, FALSE), perc_90, VLOOKUP(S$2, Percentiles!$A$45:$I$59, 7, FALSE), perc_95, VLOOKUP(S$2, Percentiles!$A$45:$I$59, 8, FALSE), perc_85, perc_75 + (perc_90 - perc_75) * (2/3), converted_stat, '2K_Ratings'!S883, IF(bbgm_stat &gt;= perc_95, converted_stat * 3, IF(bbgm_stat &gt;= perc_90, converted_stat * 2, IF(bbgm_stat &gt;= perc_85, converted_stat * 1.5, converted_stat)))))</f>
        <v/>
      </c>
      <c r="T883" s="30" t="str">
        <f t="array" ref="T883">IF($A883="", "", LET(bbgm_stat, INDEX(Players!$A882:$P882, MATCH(T$2, Players!$A$1:$P$1, 0)), perc_75, VLOOKUP(T$2, Percentiles!$A$45:$I$59, 6, FALSE), perc_90, VLOOKUP(T$2, Percentiles!$A$45:$I$59, 7, FALSE), perc_95, VLOOKUP(T$2, Percentiles!$A$45:$I$59, 8, FALSE), perc_85, perc_75 + (perc_90 - perc_75) * (2/3), converted_stat, '2K_Ratings'!T883, IF(bbgm_stat &gt;= perc_95, converted_stat * 3, IF(bbgm_stat &gt;= perc_90, converted_stat * 2, IF(bbgm_stat &gt;= perc_85, converted_stat * 1.5, converted_stat)))))</f>
        <v/>
      </c>
      <c r="U883" s="30" t="str">
        <f t="array" ref="U883">IF($A883="", "", LET(bbgm_stat, INDEX(Players!$A882:$P882, MATCH(U$2, Players!$A$1:$P$1, 0)), perc_75, VLOOKUP(U$2, Percentiles!$A$45:$I$59, 6, FALSE), perc_90, VLOOKUP(U$2, Percentiles!$A$45:$I$59, 7, FALSE), perc_95, VLOOKUP(U$2, Percentiles!$A$45:$I$59, 8, FALSE), perc_85, perc_75 + (perc_90 - perc_75) * (2/3), converted_stat, '2K_Ratings'!U883, IF(bbgm_stat &gt;= perc_95, converted_stat * 3, IF(bbgm_stat &gt;= perc_90, converted_stat * 2, IF(bbgm_stat &gt;= perc_85, converted_stat * 1.5, converted_stat)))))</f>
        <v/>
      </c>
      <c r="V883" s="30" t="str">
        <f t="array" ref="V883">IF($A883="", "", LET(bbgm_stat, INDEX(Players!$A882:$P882, MATCH(V$2, Players!$A$1:$P$1, 0)), perc_75, VLOOKUP(V$2, Percentiles!$A$45:$I$59, 6, FALSE), perc_90, VLOOKUP(V$2, Percentiles!$A$45:$I$59, 7, FALSE), perc_95, VLOOKUP(V$2, Percentiles!$A$45:$I$59, 8, FALSE), perc_85, perc_75 + (perc_90 - perc_75) * (2/3), converted_stat, '2K_Ratings'!V883, IF(bbgm_stat &gt;= perc_95, converted_stat * 3, IF(bbgm_stat &gt;= perc_90, converted_stat * 2, IF(bbgm_stat &gt;= perc_85, converted_stat * 1.5, converted_stat)))))</f>
        <v/>
      </c>
      <c r="W883" s="30" t="str">
        <f t="array" ref="W883">IF($A883="", "", LET(bbgm_stat, INDEX(Players!$A882:$P882, MATCH(W$2, Players!$A$1:$P$1, 0)), perc_75, VLOOKUP(W$2, Percentiles!$A$45:$I$59, 6, FALSE), perc_90, VLOOKUP(W$2, Percentiles!$A$45:$I$59, 7, FALSE), perc_95, VLOOKUP(W$2, Percentiles!$A$45:$I$59, 8, FALSE), perc_85, perc_75 + (perc_90 - perc_75) * (2/3), converted_stat, '2K_Ratings'!W883, IF(bbgm_stat &gt;= perc_95, converted_stat * 3, IF(bbgm_stat &gt;= perc_90, converted_stat * 2, IF(bbgm_stat &gt;= perc_85, converted_stat * 1.5, converted_stat)))))</f>
        <v/>
      </c>
    </row>
    <row r="884">
      <c r="A884" s="30"/>
      <c r="B884" s="30" t="str">
        <f t="array" ref="B884">IF($A884="", "", LET(bbgm_stat, INDEX(Players!$A883:$P883, MATCH(B$2, Players!$A$1:$P$1, 0)), perc_75, VLOOKUP(B$2, Percentiles!$A$45:$I$59, 6, FALSE), perc_90, VLOOKUP(B$2, Percentiles!$A$45:$I$59, 7, FALSE), perc_95, VLOOKUP(B$2, Percentiles!$A$45:$I$59, 8, FALSE), perc_85, perc_75 + (perc_90 - perc_75) * (2/3), converted_stat, '2K_Ratings'!B884, IF(bbgm_stat &gt;= perc_95, converted_stat * 3, IF(bbgm_stat &gt;= perc_90, converted_stat * 2, IF(bbgm_stat &gt;= perc_85, converted_stat * 1.5, converted_stat)))))</f>
        <v/>
      </c>
      <c r="C884" s="30" t="str">
        <f t="array" ref="C884">IF($A884="", "", LET(bbgm_stat, INDEX(Players!$A883:$P883, MATCH(C$2, Players!$A$1:$P$1, 0)), perc_75, VLOOKUP(C$2, Percentiles!$A$45:$I$59, 6, FALSE), perc_90, VLOOKUP(C$2, Percentiles!$A$45:$I$59, 7, FALSE), perc_95, VLOOKUP(C$2, Percentiles!$A$45:$I$59, 8, FALSE), perc_85, perc_75 + (perc_90 - perc_75) * (2/3), converted_stat, '2K_Ratings'!C884, IF(bbgm_stat &gt;= perc_95, converted_stat * 3, IF(bbgm_stat &gt;= perc_90, converted_stat * 2, IF(bbgm_stat &gt;= perc_85, converted_stat * 1.5, converted_stat)))))</f>
        <v/>
      </c>
      <c r="D884" s="30" t="str">
        <f t="array" ref="D884">IF($A884="", "", LET(bbgm_stat, INDEX(Players!$A883:$P883, MATCH(D$2, Players!$A$1:$P$1, 0)), perc_75, VLOOKUP(D$2, Percentiles!$A$45:$I$59, 6, FALSE), perc_90, VLOOKUP(D$2, Percentiles!$A$45:$I$59, 7, FALSE), perc_95, VLOOKUP(D$2, Percentiles!$A$45:$I$59, 8, FALSE), perc_85, perc_75 + (perc_90 - perc_75) * (2/3), converted_stat, '2K_Ratings'!D884, IF(bbgm_stat &gt;= perc_95, converted_stat * 3, IF(bbgm_stat &gt;= perc_90, converted_stat * 2, IF(bbgm_stat &gt;= perc_85, converted_stat * 1.5, converted_stat)))))</f>
        <v/>
      </c>
      <c r="E884" s="30" t="str">
        <f t="array" ref="E884">IF($A884="", "", LET(bbgm_stat, INDEX(Players!$A883:$P883, MATCH(E$2, Players!$A$1:$P$1, 0)), perc_75, VLOOKUP(E$2, Percentiles!$A$45:$I$59, 6, FALSE), perc_90, VLOOKUP(E$2, Percentiles!$A$45:$I$59, 7, FALSE), perc_95, VLOOKUP(E$2, Percentiles!$A$45:$I$59, 8, FALSE), perc_85, perc_75 + (perc_90 - perc_75) * (2/3), converted_stat, '2K_Ratings'!E884, IF(bbgm_stat &gt;= perc_95, converted_stat * 3, IF(bbgm_stat &gt;= perc_90, converted_stat * 2, IF(bbgm_stat &gt;= perc_85, converted_stat * 1.5, converted_stat)))))</f>
        <v/>
      </c>
      <c r="F884" s="30" t="str">
        <f t="array" ref="F884">IF($A884="", "", LET(bbgm_stat, INDEX(Players!$A883:$P883, MATCH(F$2, Players!$A$1:$P$1, 0)), perc_75, VLOOKUP(F$2, Percentiles!$A$45:$I$59, 6, FALSE), perc_90, VLOOKUP(F$2, Percentiles!$A$45:$I$59, 7, FALSE), perc_95, VLOOKUP(F$2, Percentiles!$A$45:$I$59, 8, FALSE), perc_85, perc_75 + (perc_90 - perc_75) * (2/3), converted_stat, '2K_Ratings'!F884, IF(bbgm_stat &gt;= perc_95, converted_stat * 3, IF(bbgm_stat &gt;= perc_90, converted_stat * 2, IF(bbgm_stat &gt;= perc_85, converted_stat * 1.5, converted_stat)))))</f>
        <v/>
      </c>
      <c r="G884" s="30" t="str">
        <f t="array" ref="G884">IF($A884="", "", LET(bbgm_stat, INDEX(Players!$A883:$P883, MATCH(G$2, Players!$A$1:$P$1, 0)), perc_75, VLOOKUP(G$2, Percentiles!$A$45:$I$59, 6, FALSE), perc_90, VLOOKUP(G$2, Percentiles!$A$45:$I$59, 7, FALSE), perc_95, VLOOKUP(G$2, Percentiles!$A$45:$I$59, 8, FALSE), perc_85, perc_75 + (perc_90 - perc_75) * (2/3), converted_stat, '2K_Ratings'!G884, IF(bbgm_stat &gt;= perc_95, converted_stat * 3, IF(bbgm_stat &gt;= perc_90, converted_stat * 2, IF(bbgm_stat &gt;= perc_85, converted_stat * 1.5, converted_stat)))))</f>
        <v/>
      </c>
      <c r="H884" s="30" t="str">
        <f t="array" ref="H884">IF($A884="", "", LET(bbgm_stat, INDEX(Players!$A883:$P883, MATCH(H$2, Players!$A$1:$P$1, 0)), perc_75, VLOOKUP(H$2, Percentiles!$A$45:$I$59, 6, FALSE), perc_90, VLOOKUP(H$2, Percentiles!$A$45:$I$59, 7, FALSE), perc_95, VLOOKUP(H$2, Percentiles!$A$45:$I$59, 8, FALSE), perc_85, perc_75 + (perc_90 - perc_75) * (2/3), converted_stat, '2K_Ratings'!H884, IF(bbgm_stat &gt;= perc_95, converted_stat * 3, IF(bbgm_stat &gt;= perc_90, converted_stat * 2, IF(bbgm_stat &gt;= perc_85, converted_stat * 1.5, converted_stat)))))</f>
        <v/>
      </c>
      <c r="I884" s="30" t="str">
        <f t="array" ref="I884">IF($A884="", "", LET(bbgm_stat, INDEX(Players!$A883:$P883, MATCH(I$2, Players!$A$1:$P$1, 0)), perc_75, VLOOKUP(I$2, Percentiles!$A$45:$I$59, 6, FALSE), perc_90, VLOOKUP(I$2, Percentiles!$A$45:$I$59, 7, FALSE), perc_95, VLOOKUP(I$2, Percentiles!$A$45:$I$59, 8, FALSE), perc_85, perc_75 + (perc_90 - perc_75) * (2/3), converted_stat, '2K_Ratings'!I884, IF(bbgm_stat &gt;= perc_95, converted_stat * 3, IF(bbgm_stat &gt;= perc_90, converted_stat * 2, IF(bbgm_stat &gt;= perc_85, converted_stat * 1.5, converted_stat)))))</f>
        <v/>
      </c>
      <c r="J884" s="30" t="str">
        <f t="array" ref="J884">IF($A884="", "", LET(bbgm_stat, INDEX(Players!$A883:$P883, MATCH(J$2, Players!$A$1:$P$1, 0)), perc_75, VLOOKUP(J$2, Percentiles!$A$45:$I$59, 6, FALSE), perc_90, VLOOKUP(J$2, Percentiles!$A$45:$I$59, 7, FALSE), perc_95, VLOOKUP(J$2, Percentiles!$A$45:$I$59, 8, FALSE), perc_85, perc_75 + (perc_90 - perc_75) * (2/3), converted_stat, '2K_Ratings'!J884, IF(bbgm_stat &gt;= perc_95, converted_stat * 3, IF(bbgm_stat &gt;= perc_90, converted_stat * 2, IF(bbgm_stat &gt;= perc_85, converted_stat * 1.5, converted_stat)))))</f>
        <v/>
      </c>
      <c r="K884" s="30" t="str">
        <f t="array" ref="K884">IF($A884="", "", LET(bbgm_stat, INDEX(Players!$A883:$P883, MATCH(K$2, Players!$A$1:$P$1, 0)), perc_75, VLOOKUP(K$2, Percentiles!$A$45:$I$59, 6, FALSE), perc_90, VLOOKUP(K$2, Percentiles!$A$45:$I$59, 7, FALSE), perc_95, VLOOKUP(K$2, Percentiles!$A$45:$I$59, 8, FALSE), perc_85, perc_75 + (perc_90 - perc_75) * (2/3), converted_stat, '2K_Ratings'!K884, IF(bbgm_stat &gt;= perc_95, converted_stat * 3, IF(bbgm_stat &gt;= perc_90, converted_stat * 2, IF(bbgm_stat &gt;= perc_85, converted_stat * 1.5, converted_stat)))))</f>
        <v/>
      </c>
      <c r="L884" s="30" t="str">
        <f t="array" ref="L884">IF($A884="", "", LET(bbgm_stat, INDEX(Players!$A883:$P883, MATCH(L$2, Players!$A$1:$P$1, 0)), perc_75, VLOOKUP(L$2, Percentiles!$A$45:$I$59, 6, FALSE), perc_90, VLOOKUP(L$2, Percentiles!$A$45:$I$59, 7, FALSE), perc_95, VLOOKUP(L$2, Percentiles!$A$45:$I$59, 8, FALSE), perc_85, perc_75 + (perc_90 - perc_75) * (2/3), converted_stat, '2K_Ratings'!L884, IF(bbgm_stat &gt;= perc_95, converted_stat * 3, IF(bbgm_stat &gt;= perc_90, converted_stat * 2, IF(bbgm_stat &gt;= perc_85, converted_stat * 1.5, converted_stat)))))</f>
        <v/>
      </c>
      <c r="M884" s="30" t="str">
        <f t="array" ref="M884">IF($A884="", "", LET(bbgm_stat, INDEX(Players!$A883:$P883, MATCH(M$2, Players!$A$1:$P$1, 0)), perc_75, VLOOKUP(M$2, Percentiles!$A$45:$I$59, 6, FALSE), perc_90, VLOOKUP(M$2, Percentiles!$A$45:$I$59, 7, FALSE), perc_95, VLOOKUP(M$2, Percentiles!$A$45:$I$59, 8, FALSE), perc_85, perc_75 + (perc_90 - perc_75) * (2/3), converted_stat, '2K_Ratings'!M884, IF(bbgm_stat &gt;= perc_95, converted_stat * 3, IF(bbgm_stat &gt;= perc_90, converted_stat * 2, IF(bbgm_stat &gt;= perc_85, converted_stat * 1.5, converted_stat)))))</f>
        <v/>
      </c>
      <c r="N884" s="30" t="str">
        <f t="array" ref="N884">IF($A884="", "", LET(bbgm_stat, INDEX(Players!$A883:$P883, MATCH(N$2, Players!$A$1:$P$1, 0)), perc_75, VLOOKUP(N$2, Percentiles!$A$45:$I$59, 6, FALSE), perc_90, VLOOKUP(N$2, Percentiles!$A$45:$I$59, 7, FALSE), perc_95, VLOOKUP(N$2, Percentiles!$A$45:$I$59, 8, FALSE), perc_85, perc_75 + (perc_90 - perc_75) * (2/3), converted_stat, '2K_Ratings'!N884, IF(bbgm_stat &gt;= perc_95, converted_stat * 3, IF(bbgm_stat &gt;= perc_90, converted_stat * 2, IF(bbgm_stat &gt;= perc_85, converted_stat * 1.5, converted_stat)))))</f>
        <v/>
      </c>
      <c r="O884" s="30" t="str">
        <f t="array" ref="O884">IF($A884="", "", LET(bbgm_stat, INDEX(Players!$A883:$P883, MATCH(O$2, Players!$A$1:$P$1, 0)), perc_75, VLOOKUP(O$2, Percentiles!$A$45:$I$59, 6, FALSE), perc_90, VLOOKUP(O$2, Percentiles!$A$45:$I$59, 7, FALSE), perc_95, VLOOKUP(O$2, Percentiles!$A$45:$I$59, 8, FALSE), perc_85, perc_75 + (perc_90 - perc_75) * (2/3), converted_stat, '2K_Ratings'!O884, IF(bbgm_stat &gt;= perc_95, converted_stat * 3, IF(bbgm_stat &gt;= perc_90, converted_stat * 2, IF(bbgm_stat &gt;= perc_85, converted_stat * 1.5, converted_stat)))))</f>
        <v/>
      </c>
      <c r="P884" s="30" t="str">
        <f t="array" ref="P884">IF($A884="", "", LET(bbgm_stat, INDEX(Players!$A883:$P883, MATCH(P$2, Players!$A$1:$P$1, 0)), perc_75, VLOOKUP(P$2, Percentiles!$A$45:$I$59, 6, FALSE), perc_90, VLOOKUP(P$2, Percentiles!$A$45:$I$59, 7, FALSE), perc_95, VLOOKUP(P$2, Percentiles!$A$45:$I$59, 8, FALSE), perc_85, perc_75 + (perc_90 - perc_75) * (2/3), converted_stat, '2K_Ratings'!P884, IF(bbgm_stat &gt;= perc_95, converted_stat * 3, IF(bbgm_stat &gt;= perc_90, converted_stat * 2, IF(bbgm_stat &gt;= perc_85, converted_stat * 1.5, converted_stat)))))</f>
        <v/>
      </c>
      <c r="Q884" s="30" t="str">
        <f t="array" ref="Q884">IF($A884="", "", LET(bbgm_stat, INDEX(Players!$A883:$P883, MATCH(Q$2, Players!$A$1:$P$1, 0)), perc_75, VLOOKUP(Q$2, Percentiles!$A$45:$I$59, 6, FALSE), perc_90, VLOOKUP(Q$2, Percentiles!$A$45:$I$59, 7, FALSE), perc_95, VLOOKUP(Q$2, Percentiles!$A$45:$I$59, 8, FALSE), perc_85, perc_75 + (perc_90 - perc_75) * (2/3), converted_stat, '2K_Ratings'!Q884, IF(bbgm_stat &gt;= perc_95, converted_stat * 3, IF(bbgm_stat &gt;= perc_90, converted_stat * 2, IF(bbgm_stat &gt;= perc_85, converted_stat * 1.5, converted_stat)))))</f>
        <v/>
      </c>
      <c r="R884" s="30" t="str">
        <f t="array" ref="R884">IF($A884="", "", LET(bbgm_stat, INDEX(Players!$A883:$P883, MATCH(R$2, Players!$A$1:$P$1, 0)), perc_75, VLOOKUP(R$2, Percentiles!$A$45:$I$59, 6, FALSE), perc_90, VLOOKUP(R$2, Percentiles!$A$45:$I$59, 7, FALSE), perc_95, VLOOKUP(R$2, Percentiles!$A$45:$I$59, 8, FALSE), perc_85, perc_75 + (perc_90 - perc_75) * (2/3), converted_stat, '2K_Ratings'!R884, IF(bbgm_stat &gt;= perc_95, converted_stat * 3, IF(bbgm_stat &gt;= perc_90, converted_stat * 2, IF(bbgm_stat &gt;= perc_85, converted_stat * 1.5, converted_stat)))))</f>
        <v/>
      </c>
      <c r="S884" s="30" t="str">
        <f t="array" ref="S884">IF($A884="", "", LET(bbgm_stat, INDEX(Players!$A883:$P883, MATCH(S$2, Players!$A$1:$P$1, 0)), perc_75, VLOOKUP(S$2, Percentiles!$A$45:$I$59, 6, FALSE), perc_90, VLOOKUP(S$2, Percentiles!$A$45:$I$59, 7, FALSE), perc_95, VLOOKUP(S$2, Percentiles!$A$45:$I$59, 8, FALSE), perc_85, perc_75 + (perc_90 - perc_75) * (2/3), converted_stat, '2K_Ratings'!S884, IF(bbgm_stat &gt;= perc_95, converted_stat * 3, IF(bbgm_stat &gt;= perc_90, converted_stat * 2, IF(bbgm_stat &gt;= perc_85, converted_stat * 1.5, converted_stat)))))</f>
        <v/>
      </c>
      <c r="T884" s="30" t="str">
        <f t="array" ref="T884">IF($A884="", "", LET(bbgm_stat, INDEX(Players!$A883:$P883, MATCH(T$2, Players!$A$1:$P$1, 0)), perc_75, VLOOKUP(T$2, Percentiles!$A$45:$I$59, 6, FALSE), perc_90, VLOOKUP(T$2, Percentiles!$A$45:$I$59, 7, FALSE), perc_95, VLOOKUP(T$2, Percentiles!$A$45:$I$59, 8, FALSE), perc_85, perc_75 + (perc_90 - perc_75) * (2/3), converted_stat, '2K_Ratings'!T884, IF(bbgm_stat &gt;= perc_95, converted_stat * 3, IF(bbgm_stat &gt;= perc_90, converted_stat * 2, IF(bbgm_stat &gt;= perc_85, converted_stat * 1.5, converted_stat)))))</f>
        <v/>
      </c>
      <c r="U884" s="30" t="str">
        <f t="array" ref="U884">IF($A884="", "", LET(bbgm_stat, INDEX(Players!$A883:$P883, MATCH(U$2, Players!$A$1:$P$1, 0)), perc_75, VLOOKUP(U$2, Percentiles!$A$45:$I$59, 6, FALSE), perc_90, VLOOKUP(U$2, Percentiles!$A$45:$I$59, 7, FALSE), perc_95, VLOOKUP(U$2, Percentiles!$A$45:$I$59, 8, FALSE), perc_85, perc_75 + (perc_90 - perc_75) * (2/3), converted_stat, '2K_Ratings'!U884, IF(bbgm_stat &gt;= perc_95, converted_stat * 3, IF(bbgm_stat &gt;= perc_90, converted_stat * 2, IF(bbgm_stat &gt;= perc_85, converted_stat * 1.5, converted_stat)))))</f>
        <v/>
      </c>
      <c r="V884" s="30" t="str">
        <f t="array" ref="V884">IF($A884="", "", LET(bbgm_stat, INDEX(Players!$A883:$P883, MATCH(V$2, Players!$A$1:$P$1, 0)), perc_75, VLOOKUP(V$2, Percentiles!$A$45:$I$59, 6, FALSE), perc_90, VLOOKUP(V$2, Percentiles!$A$45:$I$59, 7, FALSE), perc_95, VLOOKUP(V$2, Percentiles!$A$45:$I$59, 8, FALSE), perc_85, perc_75 + (perc_90 - perc_75) * (2/3), converted_stat, '2K_Ratings'!V884, IF(bbgm_stat &gt;= perc_95, converted_stat * 3, IF(bbgm_stat &gt;= perc_90, converted_stat * 2, IF(bbgm_stat &gt;= perc_85, converted_stat * 1.5, converted_stat)))))</f>
        <v/>
      </c>
      <c r="W884" s="30" t="str">
        <f t="array" ref="W884">IF($A884="", "", LET(bbgm_stat, INDEX(Players!$A883:$P883, MATCH(W$2, Players!$A$1:$P$1, 0)), perc_75, VLOOKUP(W$2, Percentiles!$A$45:$I$59, 6, FALSE), perc_90, VLOOKUP(W$2, Percentiles!$A$45:$I$59, 7, FALSE), perc_95, VLOOKUP(W$2, Percentiles!$A$45:$I$59, 8, FALSE), perc_85, perc_75 + (perc_90 - perc_75) * (2/3), converted_stat, '2K_Ratings'!W884, IF(bbgm_stat &gt;= perc_95, converted_stat * 3, IF(bbgm_stat &gt;= perc_90, converted_stat * 2, IF(bbgm_stat &gt;= perc_85, converted_stat * 1.5, converted_stat)))))</f>
        <v/>
      </c>
    </row>
    <row r="885">
      <c r="A885" s="30"/>
      <c r="B885" s="30" t="str">
        <f t="array" ref="B885">IF($A885="", "", LET(bbgm_stat, INDEX(Players!$A884:$P884, MATCH(B$2, Players!$A$1:$P$1, 0)), perc_75, VLOOKUP(B$2, Percentiles!$A$45:$I$59, 6, FALSE), perc_90, VLOOKUP(B$2, Percentiles!$A$45:$I$59, 7, FALSE), perc_95, VLOOKUP(B$2, Percentiles!$A$45:$I$59, 8, FALSE), perc_85, perc_75 + (perc_90 - perc_75) * (2/3), converted_stat, '2K_Ratings'!B885, IF(bbgm_stat &gt;= perc_95, converted_stat * 3, IF(bbgm_stat &gt;= perc_90, converted_stat * 2, IF(bbgm_stat &gt;= perc_85, converted_stat * 1.5, converted_stat)))))</f>
        <v/>
      </c>
      <c r="C885" s="30" t="str">
        <f t="array" ref="C885">IF($A885="", "", LET(bbgm_stat, INDEX(Players!$A884:$P884, MATCH(C$2, Players!$A$1:$P$1, 0)), perc_75, VLOOKUP(C$2, Percentiles!$A$45:$I$59, 6, FALSE), perc_90, VLOOKUP(C$2, Percentiles!$A$45:$I$59, 7, FALSE), perc_95, VLOOKUP(C$2, Percentiles!$A$45:$I$59, 8, FALSE), perc_85, perc_75 + (perc_90 - perc_75) * (2/3), converted_stat, '2K_Ratings'!C885, IF(bbgm_stat &gt;= perc_95, converted_stat * 3, IF(bbgm_stat &gt;= perc_90, converted_stat * 2, IF(bbgm_stat &gt;= perc_85, converted_stat * 1.5, converted_stat)))))</f>
        <v/>
      </c>
      <c r="D885" s="30" t="str">
        <f t="array" ref="D885">IF($A885="", "", LET(bbgm_stat, INDEX(Players!$A884:$P884, MATCH(D$2, Players!$A$1:$P$1, 0)), perc_75, VLOOKUP(D$2, Percentiles!$A$45:$I$59, 6, FALSE), perc_90, VLOOKUP(D$2, Percentiles!$A$45:$I$59, 7, FALSE), perc_95, VLOOKUP(D$2, Percentiles!$A$45:$I$59, 8, FALSE), perc_85, perc_75 + (perc_90 - perc_75) * (2/3), converted_stat, '2K_Ratings'!D885, IF(bbgm_stat &gt;= perc_95, converted_stat * 3, IF(bbgm_stat &gt;= perc_90, converted_stat * 2, IF(bbgm_stat &gt;= perc_85, converted_stat * 1.5, converted_stat)))))</f>
        <v/>
      </c>
      <c r="E885" s="30" t="str">
        <f t="array" ref="E885">IF($A885="", "", LET(bbgm_stat, INDEX(Players!$A884:$P884, MATCH(E$2, Players!$A$1:$P$1, 0)), perc_75, VLOOKUP(E$2, Percentiles!$A$45:$I$59, 6, FALSE), perc_90, VLOOKUP(E$2, Percentiles!$A$45:$I$59, 7, FALSE), perc_95, VLOOKUP(E$2, Percentiles!$A$45:$I$59, 8, FALSE), perc_85, perc_75 + (perc_90 - perc_75) * (2/3), converted_stat, '2K_Ratings'!E885, IF(bbgm_stat &gt;= perc_95, converted_stat * 3, IF(bbgm_stat &gt;= perc_90, converted_stat * 2, IF(bbgm_stat &gt;= perc_85, converted_stat * 1.5, converted_stat)))))</f>
        <v/>
      </c>
      <c r="F885" s="30" t="str">
        <f t="array" ref="F885">IF($A885="", "", LET(bbgm_stat, INDEX(Players!$A884:$P884, MATCH(F$2, Players!$A$1:$P$1, 0)), perc_75, VLOOKUP(F$2, Percentiles!$A$45:$I$59, 6, FALSE), perc_90, VLOOKUP(F$2, Percentiles!$A$45:$I$59, 7, FALSE), perc_95, VLOOKUP(F$2, Percentiles!$A$45:$I$59, 8, FALSE), perc_85, perc_75 + (perc_90 - perc_75) * (2/3), converted_stat, '2K_Ratings'!F885, IF(bbgm_stat &gt;= perc_95, converted_stat * 3, IF(bbgm_stat &gt;= perc_90, converted_stat * 2, IF(bbgm_stat &gt;= perc_85, converted_stat * 1.5, converted_stat)))))</f>
        <v/>
      </c>
      <c r="G885" s="30" t="str">
        <f t="array" ref="G885">IF($A885="", "", LET(bbgm_stat, INDEX(Players!$A884:$P884, MATCH(G$2, Players!$A$1:$P$1, 0)), perc_75, VLOOKUP(G$2, Percentiles!$A$45:$I$59, 6, FALSE), perc_90, VLOOKUP(G$2, Percentiles!$A$45:$I$59, 7, FALSE), perc_95, VLOOKUP(G$2, Percentiles!$A$45:$I$59, 8, FALSE), perc_85, perc_75 + (perc_90 - perc_75) * (2/3), converted_stat, '2K_Ratings'!G885, IF(bbgm_stat &gt;= perc_95, converted_stat * 3, IF(bbgm_stat &gt;= perc_90, converted_stat * 2, IF(bbgm_stat &gt;= perc_85, converted_stat * 1.5, converted_stat)))))</f>
        <v/>
      </c>
      <c r="H885" s="30" t="str">
        <f t="array" ref="H885">IF($A885="", "", LET(bbgm_stat, INDEX(Players!$A884:$P884, MATCH(H$2, Players!$A$1:$P$1, 0)), perc_75, VLOOKUP(H$2, Percentiles!$A$45:$I$59, 6, FALSE), perc_90, VLOOKUP(H$2, Percentiles!$A$45:$I$59, 7, FALSE), perc_95, VLOOKUP(H$2, Percentiles!$A$45:$I$59, 8, FALSE), perc_85, perc_75 + (perc_90 - perc_75) * (2/3), converted_stat, '2K_Ratings'!H885, IF(bbgm_stat &gt;= perc_95, converted_stat * 3, IF(bbgm_stat &gt;= perc_90, converted_stat * 2, IF(bbgm_stat &gt;= perc_85, converted_stat * 1.5, converted_stat)))))</f>
        <v/>
      </c>
      <c r="I885" s="30" t="str">
        <f t="array" ref="I885">IF($A885="", "", LET(bbgm_stat, INDEX(Players!$A884:$P884, MATCH(I$2, Players!$A$1:$P$1, 0)), perc_75, VLOOKUP(I$2, Percentiles!$A$45:$I$59, 6, FALSE), perc_90, VLOOKUP(I$2, Percentiles!$A$45:$I$59, 7, FALSE), perc_95, VLOOKUP(I$2, Percentiles!$A$45:$I$59, 8, FALSE), perc_85, perc_75 + (perc_90 - perc_75) * (2/3), converted_stat, '2K_Ratings'!I885, IF(bbgm_stat &gt;= perc_95, converted_stat * 3, IF(bbgm_stat &gt;= perc_90, converted_stat * 2, IF(bbgm_stat &gt;= perc_85, converted_stat * 1.5, converted_stat)))))</f>
        <v/>
      </c>
      <c r="J885" s="30" t="str">
        <f t="array" ref="J885">IF($A885="", "", LET(bbgm_stat, INDEX(Players!$A884:$P884, MATCH(J$2, Players!$A$1:$P$1, 0)), perc_75, VLOOKUP(J$2, Percentiles!$A$45:$I$59, 6, FALSE), perc_90, VLOOKUP(J$2, Percentiles!$A$45:$I$59, 7, FALSE), perc_95, VLOOKUP(J$2, Percentiles!$A$45:$I$59, 8, FALSE), perc_85, perc_75 + (perc_90 - perc_75) * (2/3), converted_stat, '2K_Ratings'!J885, IF(bbgm_stat &gt;= perc_95, converted_stat * 3, IF(bbgm_stat &gt;= perc_90, converted_stat * 2, IF(bbgm_stat &gt;= perc_85, converted_stat * 1.5, converted_stat)))))</f>
        <v/>
      </c>
      <c r="K885" s="30" t="str">
        <f t="array" ref="K885">IF($A885="", "", LET(bbgm_stat, INDEX(Players!$A884:$P884, MATCH(K$2, Players!$A$1:$P$1, 0)), perc_75, VLOOKUP(K$2, Percentiles!$A$45:$I$59, 6, FALSE), perc_90, VLOOKUP(K$2, Percentiles!$A$45:$I$59, 7, FALSE), perc_95, VLOOKUP(K$2, Percentiles!$A$45:$I$59, 8, FALSE), perc_85, perc_75 + (perc_90 - perc_75) * (2/3), converted_stat, '2K_Ratings'!K885, IF(bbgm_stat &gt;= perc_95, converted_stat * 3, IF(bbgm_stat &gt;= perc_90, converted_stat * 2, IF(bbgm_stat &gt;= perc_85, converted_stat * 1.5, converted_stat)))))</f>
        <v/>
      </c>
      <c r="L885" s="30" t="str">
        <f t="array" ref="L885">IF($A885="", "", LET(bbgm_stat, INDEX(Players!$A884:$P884, MATCH(L$2, Players!$A$1:$P$1, 0)), perc_75, VLOOKUP(L$2, Percentiles!$A$45:$I$59, 6, FALSE), perc_90, VLOOKUP(L$2, Percentiles!$A$45:$I$59, 7, FALSE), perc_95, VLOOKUP(L$2, Percentiles!$A$45:$I$59, 8, FALSE), perc_85, perc_75 + (perc_90 - perc_75) * (2/3), converted_stat, '2K_Ratings'!L885, IF(bbgm_stat &gt;= perc_95, converted_stat * 3, IF(bbgm_stat &gt;= perc_90, converted_stat * 2, IF(bbgm_stat &gt;= perc_85, converted_stat * 1.5, converted_stat)))))</f>
        <v/>
      </c>
      <c r="M885" s="30" t="str">
        <f t="array" ref="M885">IF($A885="", "", LET(bbgm_stat, INDEX(Players!$A884:$P884, MATCH(M$2, Players!$A$1:$P$1, 0)), perc_75, VLOOKUP(M$2, Percentiles!$A$45:$I$59, 6, FALSE), perc_90, VLOOKUP(M$2, Percentiles!$A$45:$I$59, 7, FALSE), perc_95, VLOOKUP(M$2, Percentiles!$A$45:$I$59, 8, FALSE), perc_85, perc_75 + (perc_90 - perc_75) * (2/3), converted_stat, '2K_Ratings'!M885, IF(bbgm_stat &gt;= perc_95, converted_stat * 3, IF(bbgm_stat &gt;= perc_90, converted_stat * 2, IF(bbgm_stat &gt;= perc_85, converted_stat * 1.5, converted_stat)))))</f>
        <v/>
      </c>
      <c r="N885" s="30" t="str">
        <f t="array" ref="N885">IF($A885="", "", LET(bbgm_stat, INDEX(Players!$A884:$P884, MATCH(N$2, Players!$A$1:$P$1, 0)), perc_75, VLOOKUP(N$2, Percentiles!$A$45:$I$59, 6, FALSE), perc_90, VLOOKUP(N$2, Percentiles!$A$45:$I$59, 7, FALSE), perc_95, VLOOKUP(N$2, Percentiles!$A$45:$I$59, 8, FALSE), perc_85, perc_75 + (perc_90 - perc_75) * (2/3), converted_stat, '2K_Ratings'!N885, IF(bbgm_stat &gt;= perc_95, converted_stat * 3, IF(bbgm_stat &gt;= perc_90, converted_stat * 2, IF(bbgm_stat &gt;= perc_85, converted_stat * 1.5, converted_stat)))))</f>
        <v/>
      </c>
      <c r="O885" s="30" t="str">
        <f t="array" ref="O885">IF($A885="", "", LET(bbgm_stat, INDEX(Players!$A884:$P884, MATCH(O$2, Players!$A$1:$P$1, 0)), perc_75, VLOOKUP(O$2, Percentiles!$A$45:$I$59, 6, FALSE), perc_90, VLOOKUP(O$2, Percentiles!$A$45:$I$59, 7, FALSE), perc_95, VLOOKUP(O$2, Percentiles!$A$45:$I$59, 8, FALSE), perc_85, perc_75 + (perc_90 - perc_75) * (2/3), converted_stat, '2K_Ratings'!O885, IF(bbgm_stat &gt;= perc_95, converted_stat * 3, IF(bbgm_stat &gt;= perc_90, converted_stat * 2, IF(bbgm_stat &gt;= perc_85, converted_stat * 1.5, converted_stat)))))</f>
        <v/>
      </c>
      <c r="P885" s="30" t="str">
        <f t="array" ref="P885">IF($A885="", "", LET(bbgm_stat, INDEX(Players!$A884:$P884, MATCH(P$2, Players!$A$1:$P$1, 0)), perc_75, VLOOKUP(P$2, Percentiles!$A$45:$I$59, 6, FALSE), perc_90, VLOOKUP(P$2, Percentiles!$A$45:$I$59, 7, FALSE), perc_95, VLOOKUP(P$2, Percentiles!$A$45:$I$59, 8, FALSE), perc_85, perc_75 + (perc_90 - perc_75) * (2/3), converted_stat, '2K_Ratings'!P885, IF(bbgm_stat &gt;= perc_95, converted_stat * 3, IF(bbgm_stat &gt;= perc_90, converted_stat * 2, IF(bbgm_stat &gt;= perc_85, converted_stat * 1.5, converted_stat)))))</f>
        <v/>
      </c>
      <c r="Q885" s="30" t="str">
        <f t="array" ref="Q885">IF($A885="", "", LET(bbgm_stat, INDEX(Players!$A884:$P884, MATCH(Q$2, Players!$A$1:$P$1, 0)), perc_75, VLOOKUP(Q$2, Percentiles!$A$45:$I$59, 6, FALSE), perc_90, VLOOKUP(Q$2, Percentiles!$A$45:$I$59, 7, FALSE), perc_95, VLOOKUP(Q$2, Percentiles!$A$45:$I$59, 8, FALSE), perc_85, perc_75 + (perc_90 - perc_75) * (2/3), converted_stat, '2K_Ratings'!Q885, IF(bbgm_stat &gt;= perc_95, converted_stat * 3, IF(bbgm_stat &gt;= perc_90, converted_stat * 2, IF(bbgm_stat &gt;= perc_85, converted_stat * 1.5, converted_stat)))))</f>
        <v/>
      </c>
      <c r="R885" s="30" t="str">
        <f t="array" ref="R885">IF($A885="", "", LET(bbgm_stat, INDEX(Players!$A884:$P884, MATCH(R$2, Players!$A$1:$P$1, 0)), perc_75, VLOOKUP(R$2, Percentiles!$A$45:$I$59, 6, FALSE), perc_90, VLOOKUP(R$2, Percentiles!$A$45:$I$59, 7, FALSE), perc_95, VLOOKUP(R$2, Percentiles!$A$45:$I$59, 8, FALSE), perc_85, perc_75 + (perc_90 - perc_75) * (2/3), converted_stat, '2K_Ratings'!R885, IF(bbgm_stat &gt;= perc_95, converted_stat * 3, IF(bbgm_stat &gt;= perc_90, converted_stat * 2, IF(bbgm_stat &gt;= perc_85, converted_stat * 1.5, converted_stat)))))</f>
        <v/>
      </c>
      <c r="S885" s="30" t="str">
        <f t="array" ref="S885">IF($A885="", "", LET(bbgm_stat, INDEX(Players!$A884:$P884, MATCH(S$2, Players!$A$1:$P$1, 0)), perc_75, VLOOKUP(S$2, Percentiles!$A$45:$I$59, 6, FALSE), perc_90, VLOOKUP(S$2, Percentiles!$A$45:$I$59, 7, FALSE), perc_95, VLOOKUP(S$2, Percentiles!$A$45:$I$59, 8, FALSE), perc_85, perc_75 + (perc_90 - perc_75) * (2/3), converted_stat, '2K_Ratings'!S885, IF(bbgm_stat &gt;= perc_95, converted_stat * 3, IF(bbgm_stat &gt;= perc_90, converted_stat * 2, IF(bbgm_stat &gt;= perc_85, converted_stat * 1.5, converted_stat)))))</f>
        <v/>
      </c>
      <c r="T885" s="30" t="str">
        <f t="array" ref="T885">IF($A885="", "", LET(bbgm_stat, INDEX(Players!$A884:$P884, MATCH(T$2, Players!$A$1:$P$1, 0)), perc_75, VLOOKUP(T$2, Percentiles!$A$45:$I$59, 6, FALSE), perc_90, VLOOKUP(T$2, Percentiles!$A$45:$I$59, 7, FALSE), perc_95, VLOOKUP(T$2, Percentiles!$A$45:$I$59, 8, FALSE), perc_85, perc_75 + (perc_90 - perc_75) * (2/3), converted_stat, '2K_Ratings'!T885, IF(bbgm_stat &gt;= perc_95, converted_stat * 3, IF(bbgm_stat &gt;= perc_90, converted_stat * 2, IF(bbgm_stat &gt;= perc_85, converted_stat * 1.5, converted_stat)))))</f>
        <v/>
      </c>
      <c r="U885" s="30" t="str">
        <f t="array" ref="U885">IF($A885="", "", LET(bbgm_stat, INDEX(Players!$A884:$P884, MATCH(U$2, Players!$A$1:$P$1, 0)), perc_75, VLOOKUP(U$2, Percentiles!$A$45:$I$59, 6, FALSE), perc_90, VLOOKUP(U$2, Percentiles!$A$45:$I$59, 7, FALSE), perc_95, VLOOKUP(U$2, Percentiles!$A$45:$I$59, 8, FALSE), perc_85, perc_75 + (perc_90 - perc_75) * (2/3), converted_stat, '2K_Ratings'!U885, IF(bbgm_stat &gt;= perc_95, converted_stat * 3, IF(bbgm_stat &gt;= perc_90, converted_stat * 2, IF(bbgm_stat &gt;= perc_85, converted_stat * 1.5, converted_stat)))))</f>
        <v/>
      </c>
      <c r="V885" s="30" t="str">
        <f t="array" ref="V885">IF($A885="", "", LET(bbgm_stat, INDEX(Players!$A884:$P884, MATCH(V$2, Players!$A$1:$P$1, 0)), perc_75, VLOOKUP(V$2, Percentiles!$A$45:$I$59, 6, FALSE), perc_90, VLOOKUP(V$2, Percentiles!$A$45:$I$59, 7, FALSE), perc_95, VLOOKUP(V$2, Percentiles!$A$45:$I$59, 8, FALSE), perc_85, perc_75 + (perc_90 - perc_75) * (2/3), converted_stat, '2K_Ratings'!V885, IF(bbgm_stat &gt;= perc_95, converted_stat * 3, IF(bbgm_stat &gt;= perc_90, converted_stat * 2, IF(bbgm_stat &gt;= perc_85, converted_stat * 1.5, converted_stat)))))</f>
        <v/>
      </c>
      <c r="W885" s="30" t="str">
        <f t="array" ref="W885">IF($A885="", "", LET(bbgm_stat, INDEX(Players!$A884:$P884, MATCH(W$2, Players!$A$1:$P$1, 0)), perc_75, VLOOKUP(W$2, Percentiles!$A$45:$I$59, 6, FALSE), perc_90, VLOOKUP(W$2, Percentiles!$A$45:$I$59, 7, FALSE), perc_95, VLOOKUP(W$2, Percentiles!$A$45:$I$59, 8, FALSE), perc_85, perc_75 + (perc_90 - perc_75) * (2/3), converted_stat, '2K_Ratings'!W885, IF(bbgm_stat &gt;= perc_95, converted_stat * 3, IF(bbgm_stat &gt;= perc_90, converted_stat * 2, IF(bbgm_stat &gt;= perc_85, converted_stat * 1.5, converted_stat)))))</f>
        <v/>
      </c>
    </row>
    <row r="886">
      <c r="A886" s="30"/>
      <c r="B886" s="30" t="str">
        <f t="array" ref="B886">IF($A886="", "", LET(bbgm_stat, INDEX(Players!$A885:$P885, MATCH(B$2, Players!$A$1:$P$1, 0)), perc_75, VLOOKUP(B$2, Percentiles!$A$45:$I$59, 6, FALSE), perc_90, VLOOKUP(B$2, Percentiles!$A$45:$I$59, 7, FALSE), perc_95, VLOOKUP(B$2, Percentiles!$A$45:$I$59, 8, FALSE), perc_85, perc_75 + (perc_90 - perc_75) * (2/3), converted_stat, '2K_Ratings'!B886, IF(bbgm_stat &gt;= perc_95, converted_stat * 3, IF(bbgm_stat &gt;= perc_90, converted_stat * 2, IF(bbgm_stat &gt;= perc_85, converted_stat * 1.5, converted_stat)))))</f>
        <v/>
      </c>
      <c r="C886" s="30" t="str">
        <f t="array" ref="C886">IF($A886="", "", LET(bbgm_stat, INDEX(Players!$A885:$P885, MATCH(C$2, Players!$A$1:$P$1, 0)), perc_75, VLOOKUP(C$2, Percentiles!$A$45:$I$59, 6, FALSE), perc_90, VLOOKUP(C$2, Percentiles!$A$45:$I$59, 7, FALSE), perc_95, VLOOKUP(C$2, Percentiles!$A$45:$I$59, 8, FALSE), perc_85, perc_75 + (perc_90 - perc_75) * (2/3), converted_stat, '2K_Ratings'!C886, IF(bbgm_stat &gt;= perc_95, converted_stat * 3, IF(bbgm_stat &gt;= perc_90, converted_stat * 2, IF(bbgm_stat &gt;= perc_85, converted_stat * 1.5, converted_stat)))))</f>
        <v/>
      </c>
      <c r="D886" s="30" t="str">
        <f t="array" ref="D886">IF($A886="", "", LET(bbgm_stat, INDEX(Players!$A885:$P885, MATCH(D$2, Players!$A$1:$P$1, 0)), perc_75, VLOOKUP(D$2, Percentiles!$A$45:$I$59, 6, FALSE), perc_90, VLOOKUP(D$2, Percentiles!$A$45:$I$59, 7, FALSE), perc_95, VLOOKUP(D$2, Percentiles!$A$45:$I$59, 8, FALSE), perc_85, perc_75 + (perc_90 - perc_75) * (2/3), converted_stat, '2K_Ratings'!D886, IF(bbgm_stat &gt;= perc_95, converted_stat * 3, IF(bbgm_stat &gt;= perc_90, converted_stat * 2, IF(bbgm_stat &gt;= perc_85, converted_stat * 1.5, converted_stat)))))</f>
        <v/>
      </c>
      <c r="E886" s="30" t="str">
        <f t="array" ref="E886">IF($A886="", "", LET(bbgm_stat, INDEX(Players!$A885:$P885, MATCH(E$2, Players!$A$1:$P$1, 0)), perc_75, VLOOKUP(E$2, Percentiles!$A$45:$I$59, 6, FALSE), perc_90, VLOOKUP(E$2, Percentiles!$A$45:$I$59, 7, FALSE), perc_95, VLOOKUP(E$2, Percentiles!$A$45:$I$59, 8, FALSE), perc_85, perc_75 + (perc_90 - perc_75) * (2/3), converted_stat, '2K_Ratings'!E886, IF(bbgm_stat &gt;= perc_95, converted_stat * 3, IF(bbgm_stat &gt;= perc_90, converted_stat * 2, IF(bbgm_stat &gt;= perc_85, converted_stat * 1.5, converted_stat)))))</f>
        <v/>
      </c>
      <c r="F886" s="30" t="str">
        <f t="array" ref="F886">IF($A886="", "", LET(bbgm_stat, INDEX(Players!$A885:$P885, MATCH(F$2, Players!$A$1:$P$1, 0)), perc_75, VLOOKUP(F$2, Percentiles!$A$45:$I$59, 6, FALSE), perc_90, VLOOKUP(F$2, Percentiles!$A$45:$I$59, 7, FALSE), perc_95, VLOOKUP(F$2, Percentiles!$A$45:$I$59, 8, FALSE), perc_85, perc_75 + (perc_90 - perc_75) * (2/3), converted_stat, '2K_Ratings'!F886, IF(bbgm_stat &gt;= perc_95, converted_stat * 3, IF(bbgm_stat &gt;= perc_90, converted_stat * 2, IF(bbgm_stat &gt;= perc_85, converted_stat * 1.5, converted_stat)))))</f>
        <v/>
      </c>
      <c r="G886" s="30" t="str">
        <f t="array" ref="G886">IF($A886="", "", LET(bbgm_stat, INDEX(Players!$A885:$P885, MATCH(G$2, Players!$A$1:$P$1, 0)), perc_75, VLOOKUP(G$2, Percentiles!$A$45:$I$59, 6, FALSE), perc_90, VLOOKUP(G$2, Percentiles!$A$45:$I$59, 7, FALSE), perc_95, VLOOKUP(G$2, Percentiles!$A$45:$I$59, 8, FALSE), perc_85, perc_75 + (perc_90 - perc_75) * (2/3), converted_stat, '2K_Ratings'!G886, IF(bbgm_stat &gt;= perc_95, converted_stat * 3, IF(bbgm_stat &gt;= perc_90, converted_stat * 2, IF(bbgm_stat &gt;= perc_85, converted_stat * 1.5, converted_stat)))))</f>
        <v/>
      </c>
      <c r="H886" s="30" t="str">
        <f t="array" ref="H886">IF($A886="", "", LET(bbgm_stat, INDEX(Players!$A885:$P885, MATCH(H$2, Players!$A$1:$P$1, 0)), perc_75, VLOOKUP(H$2, Percentiles!$A$45:$I$59, 6, FALSE), perc_90, VLOOKUP(H$2, Percentiles!$A$45:$I$59, 7, FALSE), perc_95, VLOOKUP(H$2, Percentiles!$A$45:$I$59, 8, FALSE), perc_85, perc_75 + (perc_90 - perc_75) * (2/3), converted_stat, '2K_Ratings'!H886, IF(bbgm_stat &gt;= perc_95, converted_stat * 3, IF(bbgm_stat &gt;= perc_90, converted_stat * 2, IF(bbgm_stat &gt;= perc_85, converted_stat * 1.5, converted_stat)))))</f>
        <v/>
      </c>
      <c r="I886" s="30" t="str">
        <f t="array" ref="I886">IF($A886="", "", LET(bbgm_stat, INDEX(Players!$A885:$P885, MATCH(I$2, Players!$A$1:$P$1, 0)), perc_75, VLOOKUP(I$2, Percentiles!$A$45:$I$59, 6, FALSE), perc_90, VLOOKUP(I$2, Percentiles!$A$45:$I$59, 7, FALSE), perc_95, VLOOKUP(I$2, Percentiles!$A$45:$I$59, 8, FALSE), perc_85, perc_75 + (perc_90 - perc_75) * (2/3), converted_stat, '2K_Ratings'!I886, IF(bbgm_stat &gt;= perc_95, converted_stat * 3, IF(bbgm_stat &gt;= perc_90, converted_stat * 2, IF(bbgm_stat &gt;= perc_85, converted_stat * 1.5, converted_stat)))))</f>
        <v/>
      </c>
      <c r="J886" s="30" t="str">
        <f t="array" ref="J886">IF($A886="", "", LET(bbgm_stat, INDEX(Players!$A885:$P885, MATCH(J$2, Players!$A$1:$P$1, 0)), perc_75, VLOOKUP(J$2, Percentiles!$A$45:$I$59, 6, FALSE), perc_90, VLOOKUP(J$2, Percentiles!$A$45:$I$59, 7, FALSE), perc_95, VLOOKUP(J$2, Percentiles!$A$45:$I$59, 8, FALSE), perc_85, perc_75 + (perc_90 - perc_75) * (2/3), converted_stat, '2K_Ratings'!J886, IF(bbgm_stat &gt;= perc_95, converted_stat * 3, IF(bbgm_stat &gt;= perc_90, converted_stat * 2, IF(bbgm_stat &gt;= perc_85, converted_stat * 1.5, converted_stat)))))</f>
        <v/>
      </c>
      <c r="K886" s="30" t="str">
        <f t="array" ref="K886">IF($A886="", "", LET(bbgm_stat, INDEX(Players!$A885:$P885, MATCH(K$2, Players!$A$1:$P$1, 0)), perc_75, VLOOKUP(K$2, Percentiles!$A$45:$I$59, 6, FALSE), perc_90, VLOOKUP(K$2, Percentiles!$A$45:$I$59, 7, FALSE), perc_95, VLOOKUP(K$2, Percentiles!$A$45:$I$59, 8, FALSE), perc_85, perc_75 + (perc_90 - perc_75) * (2/3), converted_stat, '2K_Ratings'!K886, IF(bbgm_stat &gt;= perc_95, converted_stat * 3, IF(bbgm_stat &gt;= perc_90, converted_stat * 2, IF(bbgm_stat &gt;= perc_85, converted_stat * 1.5, converted_stat)))))</f>
        <v/>
      </c>
      <c r="L886" s="30" t="str">
        <f t="array" ref="L886">IF($A886="", "", LET(bbgm_stat, INDEX(Players!$A885:$P885, MATCH(L$2, Players!$A$1:$P$1, 0)), perc_75, VLOOKUP(L$2, Percentiles!$A$45:$I$59, 6, FALSE), perc_90, VLOOKUP(L$2, Percentiles!$A$45:$I$59, 7, FALSE), perc_95, VLOOKUP(L$2, Percentiles!$A$45:$I$59, 8, FALSE), perc_85, perc_75 + (perc_90 - perc_75) * (2/3), converted_stat, '2K_Ratings'!L886, IF(bbgm_stat &gt;= perc_95, converted_stat * 3, IF(bbgm_stat &gt;= perc_90, converted_stat * 2, IF(bbgm_stat &gt;= perc_85, converted_stat * 1.5, converted_stat)))))</f>
        <v/>
      </c>
      <c r="M886" s="30" t="str">
        <f t="array" ref="M886">IF($A886="", "", LET(bbgm_stat, INDEX(Players!$A885:$P885, MATCH(M$2, Players!$A$1:$P$1, 0)), perc_75, VLOOKUP(M$2, Percentiles!$A$45:$I$59, 6, FALSE), perc_90, VLOOKUP(M$2, Percentiles!$A$45:$I$59, 7, FALSE), perc_95, VLOOKUP(M$2, Percentiles!$A$45:$I$59, 8, FALSE), perc_85, perc_75 + (perc_90 - perc_75) * (2/3), converted_stat, '2K_Ratings'!M886, IF(bbgm_stat &gt;= perc_95, converted_stat * 3, IF(bbgm_stat &gt;= perc_90, converted_stat * 2, IF(bbgm_stat &gt;= perc_85, converted_stat * 1.5, converted_stat)))))</f>
        <v/>
      </c>
      <c r="N886" s="30" t="str">
        <f t="array" ref="N886">IF($A886="", "", LET(bbgm_stat, INDEX(Players!$A885:$P885, MATCH(N$2, Players!$A$1:$P$1, 0)), perc_75, VLOOKUP(N$2, Percentiles!$A$45:$I$59, 6, FALSE), perc_90, VLOOKUP(N$2, Percentiles!$A$45:$I$59, 7, FALSE), perc_95, VLOOKUP(N$2, Percentiles!$A$45:$I$59, 8, FALSE), perc_85, perc_75 + (perc_90 - perc_75) * (2/3), converted_stat, '2K_Ratings'!N886, IF(bbgm_stat &gt;= perc_95, converted_stat * 3, IF(bbgm_stat &gt;= perc_90, converted_stat * 2, IF(bbgm_stat &gt;= perc_85, converted_stat * 1.5, converted_stat)))))</f>
        <v/>
      </c>
      <c r="O886" s="30" t="str">
        <f t="array" ref="O886">IF($A886="", "", LET(bbgm_stat, INDEX(Players!$A885:$P885, MATCH(O$2, Players!$A$1:$P$1, 0)), perc_75, VLOOKUP(O$2, Percentiles!$A$45:$I$59, 6, FALSE), perc_90, VLOOKUP(O$2, Percentiles!$A$45:$I$59, 7, FALSE), perc_95, VLOOKUP(O$2, Percentiles!$A$45:$I$59, 8, FALSE), perc_85, perc_75 + (perc_90 - perc_75) * (2/3), converted_stat, '2K_Ratings'!O886, IF(bbgm_stat &gt;= perc_95, converted_stat * 3, IF(bbgm_stat &gt;= perc_90, converted_stat * 2, IF(bbgm_stat &gt;= perc_85, converted_stat * 1.5, converted_stat)))))</f>
        <v/>
      </c>
      <c r="P886" s="30" t="str">
        <f t="array" ref="P886">IF($A886="", "", LET(bbgm_stat, INDEX(Players!$A885:$P885, MATCH(P$2, Players!$A$1:$P$1, 0)), perc_75, VLOOKUP(P$2, Percentiles!$A$45:$I$59, 6, FALSE), perc_90, VLOOKUP(P$2, Percentiles!$A$45:$I$59, 7, FALSE), perc_95, VLOOKUP(P$2, Percentiles!$A$45:$I$59, 8, FALSE), perc_85, perc_75 + (perc_90 - perc_75) * (2/3), converted_stat, '2K_Ratings'!P886, IF(bbgm_stat &gt;= perc_95, converted_stat * 3, IF(bbgm_stat &gt;= perc_90, converted_stat * 2, IF(bbgm_stat &gt;= perc_85, converted_stat * 1.5, converted_stat)))))</f>
        <v/>
      </c>
      <c r="Q886" s="30" t="str">
        <f t="array" ref="Q886">IF($A886="", "", LET(bbgm_stat, INDEX(Players!$A885:$P885, MATCH(Q$2, Players!$A$1:$P$1, 0)), perc_75, VLOOKUP(Q$2, Percentiles!$A$45:$I$59, 6, FALSE), perc_90, VLOOKUP(Q$2, Percentiles!$A$45:$I$59, 7, FALSE), perc_95, VLOOKUP(Q$2, Percentiles!$A$45:$I$59, 8, FALSE), perc_85, perc_75 + (perc_90 - perc_75) * (2/3), converted_stat, '2K_Ratings'!Q886, IF(bbgm_stat &gt;= perc_95, converted_stat * 3, IF(bbgm_stat &gt;= perc_90, converted_stat * 2, IF(bbgm_stat &gt;= perc_85, converted_stat * 1.5, converted_stat)))))</f>
        <v/>
      </c>
      <c r="R886" s="30" t="str">
        <f t="array" ref="R886">IF($A886="", "", LET(bbgm_stat, INDEX(Players!$A885:$P885, MATCH(R$2, Players!$A$1:$P$1, 0)), perc_75, VLOOKUP(R$2, Percentiles!$A$45:$I$59, 6, FALSE), perc_90, VLOOKUP(R$2, Percentiles!$A$45:$I$59, 7, FALSE), perc_95, VLOOKUP(R$2, Percentiles!$A$45:$I$59, 8, FALSE), perc_85, perc_75 + (perc_90 - perc_75) * (2/3), converted_stat, '2K_Ratings'!R886, IF(bbgm_stat &gt;= perc_95, converted_stat * 3, IF(bbgm_stat &gt;= perc_90, converted_stat * 2, IF(bbgm_stat &gt;= perc_85, converted_stat * 1.5, converted_stat)))))</f>
        <v/>
      </c>
      <c r="S886" s="30" t="str">
        <f t="array" ref="S886">IF($A886="", "", LET(bbgm_stat, INDEX(Players!$A885:$P885, MATCH(S$2, Players!$A$1:$P$1, 0)), perc_75, VLOOKUP(S$2, Percentiles!$A$45:$I$59, 6, FALSE), perc_90, VLOOKUP(S$2, Percentiles!$A$45:$I$59, 7, FALSE), perc_95, VLOOKUP(S$2, Percentiles!$A$45:$I$59, 8, FALSE), perc_85, perc_75 + (perc_90 - perc_75) * (2/3), converted_stat, '2K_Ratings'!S886, IF(bbgm_stat &gt;= perc_95, converted_stat * 3, IF(bbgm_stat &gt;= perc_90, converted_stat * 2, IF(bbgm_stat &gt;= perc_85, converted_stat * 1.5, converted_stat)))))</f>
        <v/>
      </c>
      <c r="T886" s="30" t="str">
        <f t="array" ref="T886">IF($A886="", "", LET(bbgm_stat, INDEX(Players!$A885:$P885, MATCH(T$2, Players!$A$1:$P$1, 0)), perc_75, VLOOKUP(T$2, Percentiles!$A$45:$I$59, 6, FALSE), perc_90, VLOOKUP(T$2, Percentiles!$A$45:$I$59, 7, FALSE), perc_95, VLOOKUP(T$2, Percentiles!$A$45:$I$59, 8, FALSE), perc_85, perc_75 + (perc_90 - perc_75) * (2/3), converted_stat, '2K_Ratings'!T886, IF(bbgm_stat &gt;= perc_95, converted_stat * 3, IF(bbgm_stat &gt;= perc_90, converted_stat * 2, IF(bbgm_stat &gt;= perc_85, converted_stat * 1.5, converted_stat)))))</f>
        <v/>
      </c>
      <c r="U886" s="30" t="str">
        <f t="array" ref="U886">IF($A886="", "", LET(bbgm_stat, INDEX(Players!$A885:$P885, MATCH(U$2, Players!$A$1:$P$1, 0)), perc_75, VLOOKUP(U$2, Percentiles!$A$45:$I$59, 6, FALSE), perc_90, VLOOKUP(U$2, Percentiles!$A$45:$I$59, 7, FALSE), perc_95, VLOOKUP(U$2, Percentiles!$A$45:$I$59, 8, FALSE), perc_85, perc_75 + (perc_90 - perc_75) * (2/3), converted_stat, '2K_Ratings'!U886, IF(bbgm_stat &gt;= perc_95, converted_stat * 3, IF(bbgm_stat &gt;= perc_90, converted_stat * 2, IF(bbgm_stat &gt;= perc_85, converted_stat * 1.5, converted_stat)))))</f>
        <v/>
      </c>
      <c r="V886" s="30" t="str">
        <f t="array" ref="V886">IF($A886="", "", LET(bbgm_stat, INDEX(Players!$A885:$P885, MATCH(V$2, Players!$A$1:$P$1, 0)), perc_75, VLOOKUP(V$2, Percentiles!$A$45:$I$59, 6, FALSE), perc_90, VLOOKUP(V$2, Percentiles!$A$45:$I$59, 7, FALSE), perc_95, VLOOKUP(V$2, Percentiles!$A$45:$I$59, 8, FALSE), perc_85, perc_75 + (perc_90 - perc_75) * (2/3), converted_stat, '2K_Ratings'!V886, IF(bbgm_stat &gt;= perc_95, converted_stat * 3, IF(bbgm_stat &gt;= perc_90, converted_stat * 2, IF(bbgm_stat &gt;= perc_85, converted_stat * 1.5, converted_stat)))))</f>
        <v/>
      </c>
      <c r="W886" s="30" t="str">
        <f t="array" ref="W886">IF($A886="", "", LET(bbgm_stat, INDEX(Players!$A885:$P885, MATCH(W$2, Players!$A$1:$P$1, 0)), perc_75, VLOOKUP(W$2, Percentiles!$A$45:$I$59, 6, FALSE), perc_90, VLOOKUP(W$2, Percentiles!$A$45:$I$59, 7, FALSE), perc_95, VLOOKUP(W$2, Percentiles!$A$45:$I$59, 8, FALSE), perc_85, perc_75 + (perc_90 - perc_75) * (2/3), converted_stat, '2K_Ratings'!W886, IF(bbgm_stat &gt;= perc_95, converted_stat * 3, IF(bbgm_stat &gt;= perc_90, converted_stat * 2, IF(bbgm_stat &gt;= perc_85, converted_stat * 1.5, converted_stat)))))</f>
        <v/>
      </c>
    </row>
    <row r="887">
      <c r="A887" s="30"/>
      <c r="B887" s="30" t="str">
        <f t="array" ref="B887">IF($A887="", "", LET(bbgm_stat, INDEX(Players!$A886:$P886, MATCH(B$2, Players!$A$1:$P$1, 0)), perc_75, VLOOKUP(B$2, Percentiles!$A$45:$I$59, 6, FALSE), perc_90, VLOOKUP(B$2, Percentiles!$A$45:$I$59, 7, FALSE), perc_95, VLOOKUP(B$2, Percentiles!$A$45:$I$59, 8, FALSE), perc_85, perc_75 + (perc_90 - perc_75) * (2/3), converted_stat, '2K_Ratings'!B887, IF(bbgm_stat &gt;= perc_95, converted_stat * 3, IF(bbgm_stat &gt;= perc_90, converted_stat * 2, IF(bbgm_stat &gt;= perc_85, converted_stat * 1.5, converted_stat)))))</f>
        <v/>
      </c>
      <c r="C887" s="30" t="str">
        <f t="array" ref="C887">IF($A887="", "", LET(bbgm_stat, INDEX(Players!$A886:$P886, MATCH(C$2, Players!$A$1:$P$1, 0)), perc_75, VLOOKUP(C$2, Percentiles!$A$45:$I$59, 6, FALSE), perc_90, VLOOKUP(C$2, Percentiles!$A$45:$I$59, 7, FALSE), perc_95, VLOOKUP(C$2, Percentiles!$A$45:$I$59, 8, FALSE), perc_85, perc_75 + (perc_90 - perc_75) * (2/3), converted_stat, '2K_Ratings'!C887, IF(bbgm_stat &gt;= perc_95, converted_stat * 3, IF(bbgm_stat &gt;= perc_90, converted_stat * 2, IF(bbgm_stat &gt;= perc_85, converted_stat * 1.5, converted_stat)))))</f>
        <v/>
      </c>
      <c r="D887" s="30" t="str">
        <f t="array" ref="D887">IF($A887="", "", LET(bbgm_stat, INDEX(Players!$A886:$P886, MATCH(D$2, Players!$A$1:$P$1, 0)), perc_75, VLOOKUP(D$2, Percentiles!$A$45:$I$59, 6, FALSE), perc_90, VLOOKUP(D$2, Percentiles!$A$45:$I$59, 7, FALSE), perc_95, VLOOKUP(D$2, Percentiles!$A$45:$I$59, 8, FALSE), perc_85, perc_75 + (perc_90 - perc_75) * (2/3), converted_stat, '2K_Ratings'!D887, IF(bbgm_stat &gt;= perc_95, converted_stat * 3, IF(bbgm_stat &gt;= perc_90, converted_stat * 2, IF(bbgm_stat &gt;= perc_85, converted_stat * 1.5, converted_stat)))))</f>
        <v/>
      </c>
      <c r="E887" s="30" t="str">
        <f t="array" ref="E887">IF($A887="", "", LET(bbgm_stat, INDEX(Players!$A886:$P886, MATCH(E$2, Players!$A$1:$P$1, 0)), perc_75, VLOOKUP(E$2, Percentiles!$A$45:$I$59, 6, FALSE), perc_90, VLOOKUP(E$2, Percentiles!$A$45:$I$59, 7, FALSE), perc_95, VLOOKUP(E$2, Percentiles!$A$45:$I$59, 8, FALSE), perc_85, perc_75 + (perc_90 - perc_75) * (2/3), converted_stat, '2K_Ratings'!E887, IF(bbgm_stat &gt;= perc_95, converted_stat * 3, IF(bbgm_stat &gt;= perc_90, converted_stat * 2, IF(bbgm_stat &gt;= perc_85, converted_stat * 1.5, converted_stat)))))</f>
        <v/>
      </c>
      <c r="F887" s="30" t="str">
        <f t="array" ref="F887">IF($A887="", "", LET(bbgm_stat, INDEX(Players!$A886:$P886, MATCH(F$2, Players!$A$1:$P$1, 0)), perc_75, VLOOKUP(F$2, Percentiles!$A$45:$I$59, 6, FALSE), perc_90, VLOOKUP(F$2, Percentiles!$A$45:$I$59, 7, FALSE), perc_95, VLOOKUP(F$2, Percentiles!$A$45:$I$59, 8, FALSE), perc_85, perc_75 + (perc_90 - perc_75) * (2/3), converted_stat, '2K_Ratings'!F887, IF(bbgm_stat &gt;= perc_95, converted_stat * 3, IF(bbgm_stat &gt;= perc_90, converted_stat * 2, IF(bbgm_stat &gt;= perc_85, converted_stat * 1.5, converted_stat)))))</f>
        <v/>
      </c>
      <c r="G887" s="30" t="str">
        <f t="array" ref="G887">IF($A887="", "", LET(bbgm_stat, INDEX(Players!$A886:$P886, MATCH(G$2, Players!$A$1:$P$1, 0)), perc_75, VLOOKUP(G$2, Percentiles!$A$45:$I$59, 6, FALSE), perc_90, VLOOKUP(G$2, Percentiles!$A$45:$I$59, 7, FALSE), perc_95, VLOOKUP(G$2, Percentiles!$A$45:$I$59, 8, FALSE), perc_85, perc_75 + (perc_90 - perc_75) * (2/3), converted_stat, '2K_Ratings'!G887, IF(bbgm_stat &gt;= perc_95, converted_stat * 3, IF(bbgm_stat &gt;= perc_90, converted_stat * 2, IF(bbgm_stat &gt;= perc_85, converted_stat * 1.5, converted_stat)))))</f>
        <v/>
      </c>
      <c r="H887" s="30" t="str">
        <f t="array" ref="H887">IF($A887="", "", LET(bbgm_stat, INDEX(Players!$A886:$P886, MATCH(H$2, Players!$A$1:$P$1, 0)), perc_75, VLOOKUP(H$2, Percentiles!$A$45:$I$59, 6, FALSE), perc_90, VLOOKUP(H$2, Percentiles!$A$45:$I$59, 7, FALSE), perc_95, VLOOKUP(H$2, Percentiles!$A$45:$I$59, 8, FALSE), perc_85, perc_75 + (perc_90 - perc_75) * (2/3), converted_stat, '2K_Ratings'!H887, IF(bbgm_stat &gt;= perc_95, converted_stat * 3, IF(bbgm_stat &gt;= perc_90, converted_stat * 2, IF(bbgm_stat &gt;= perc_85, converted_stat * 1.5, converted_stat)))))</f>
        <v/>
      </c>
      <c r="I887" s="30" t="str">
        <f t="array" ref="I887">IF($A887="", "", LET(bbgm_stat, INDEX(Players!$A886:$P886, MATCH(I$2, Players!$A$1:$P$1, 0)), perc_75, VLOOKUP(I$2, Percentiles!$A$45:$I$59, 6, FALSE), perc_90, VLOOKUP(I$2, Percentiles!$A$45:$I$59, 7, FALSE), perc_95, VLOOKUP(I$2, Percentiles!$A$45:$I$59, 8, FALSE), perc_85, perc_75 + (perc_90 - perc_75) * (2/3), converted_stat, '2K_Ratings'!I887, IF(bbgm_stat &gt;= perc_95, converted_stat * 3, IF(bbgm_stat &gt;= perc_90, converted_stat * 2, IF(bbgm_stat &gt;= perc_85, converted_stat * 1.5, converted_stat)))))</f>
        <v/>
      </c>
      <c r="J887" s="30" t="str">
        <f t="array" ref="J887">IF($A887="", "", LET(bbgm_stat, INDEX(Players!$A886:$P886, MATCH(J$2, Players!$A$1:$P$1, 0)), perc_75, VLOOKUP(J$2, Percentiles!$A$45:$I$59, 6, FALSE), perc_90, VLOOKUP(J$2, Percentiles!$A$45:$I$59, 7, FALSE), perc_95, VLOOKUP(J$2, Percentiles!$A$45:$I$59, 8, FALSE), perc_85, perc_75 + (perc_90 - perc_75) * (2/3), converted_stat, '2K_Ratings'!J887, IF(bbgm_stat &gt;= perc_95, converted_stat * 3, IF(bbgm_stat &gt;= perc_90, converted_stat * 2, IF(bbgm_stat &gt;= perc_85, converted_stat * 1.5, converted_stat)))))</f>
        <v/>
      </c>
      <c r="K887" s="30" t="str">
        <f t="array" ref="K887">IF($A887="", "", LET(bbgm_stat, INDEX(Players!$A886:$P886, MATCH(K$2, Players!$A$1:$P$1, 0)), perc_75, VLOOKUP(K$2, Percentiles!$A$45:$I$59, 6, FALSE), perc_90, VLOOKUP(K$2, Percentiles!$A$45:$I$59, 7, FALSE), perc_95, VLOOKUP(K$2, Percentiles!$A$45:$I$59, 8, FALSE), perc_85, perc_75 + (perc_90 - perc_75) * (2/3), converted_stat, '2K_Ratings'!K887, IF(bbgm_stat &gt;= perc_95, converted_stat * 3, IF(bbgm_stat &gt;= perc_90, converted_stat * 2, IF(bbgm_stat &gt;= perc_85, converted_stat * 1.5, converted_stat)))))</f>
        <v/>
      </c>
      <c r="L887" s="30" t="str">
        <f t="array" ref="L887">IF($A887="", "", LET(bbgm_stat, INDEX(Players!$A886:$P886, MATCH(L$2, Players!$A$1:$P$1, 0)), perc_75, VLOOKUP(L$2, Percentiles!$A$45:$I$59, 6, FALSE), perc_90, VLOOKUP(L$2, Percentiles!$A$45:$I$59, 7, FALSE), perc_95, VLOOKUP(L$2, Percentiles!$A$45:$I$59, 8, FALSE), perc_85, perc_75 + (perc_90 - perc_75) * (2/3), converted_stat, '2K_Ratings'!L887, IF(bbgm_stat &gt;= perc_95, converted_stat * 3, IF(bbgm_stat &gt;= perc_90, converted_stat * 2, IF(bbgm_stat &gt;= perc_85, converted_stat * 1.5, converted_stat)))))</f>
        <v/>
      </c>
      <c r="M887" s="30" t="str">
        <f t="array" ref="M887">IF($A887="", "", LET(bbgm_stat, INDEX(Players!$A886:$P886, MATCH(M$2, Players!$A$1:$P$1, 0)), perc_75, VLOOKUP(M$2, Percentiles!$A$45:$I$59, 6, FALSE), perc_90, VLOOKUP(M$2, Percentiles!$A$45:$I$59, 7, FALSE), perc_95, VLOOKUP(M$2, Percentiles!$A$45:$I$59, 8, FALSE), perc_85, perc_75 + (perc_90 - perc_75) * (2/3), converted_stat, '2K_Ratings'!M887, IF(bbgm_stat &gt;= perc_95, converted_stat * 3, IF(bbgm_stat &gt;= perc_90, converted_stat * 2, IF(bbgm_stat &gt;= perc_85, converted_stat * 1.5, converted_stat)))))</f>
        <v/>
      </c>
      <c r="N887" s="30" t="str">
        <f t="array" ref="N887">IF($A887="", "", LET(bbgm_stat, INDEX(Players!$A886:$P886, MATCH(N$2, Players!$A$1:$P$1, 0)), perc_75, VLOOKUP(N$2, Percentiles!$A$45:$I$59, 6, FALSE), perc_90, VLOOKUP(N$2, Percentiles!$A$45:$I$59, 7, FALSE), perc_95, VLOOKUP(N$2, Percentiles!$A$45:$I$59, 8, FALSE), perc_85, perc_75 + (perc_90 - perc_75) * (2/3), converted_stat, '2K_Ratings'!N887, IF(bbgm_stat &gt;= perc_95, converted_stat * 3, IF(bbgm_stat &gt;= perc_90, converted_stat * 2, IF(bbgm_stat &gt;= perc_85, converted_stat * 1.5, converted_stat)))))</f>
        <v/>
      </c>
      <c r="O887" s="30" t="str">
        <f t="array" ref="O887">IF($A887="", "", LET(bbgm_stat, INDEX(Players!$A886:$P886, MATCH(O$2, Players!$A$1:$P$1, 0)), perc_75, VLOOKUP(O$2, Percentiles!$A$45:$I$59, 6, FALSE), perc_90, VLOOKUP(O$2, Percentiles!$A$45:$I$59, 7, FALSE), perc_95, VLOOKUP(O$2, Percentiles!$A$45:$I$59, 8, FALSE), perc_85, perc_75 + (perc_90 - perc_75) * (2/3), converted_stat, '2K_Ratings'!O887, IF(bbgm_stat &gt;= perc_95, converted_stat * 3, IF(bbgm_stat &gt;= perc_90, converted_stat * 2, IF(bbgm_stat &gt;= perc_85, converted_stat * 1.5, converted_stat)))))</f>
        <v/>
      </c>
      <c r="P887" s="30" t="str">
        <f t="array" ref="P887">IF($A887="", "", LET(bbgm_stat, INDEX(Players!$A886:$P886, MATCH(P$2, Players!$A$1:$P$1, 0)), perc_75, VLOOKUP(P$2, Percentiles!$A$45:$I$59, 6, FALSE), perc_90, VLOOKUP(P$2, Percentiles!$A$45:$I$59, 7, FALSE), perc_95, VLOOKUP(P$2, Percentiles!$A$45:$I$59, 8, FALSE), perc_85, perc_75 + (perc_90 - perc_75) * (2/3), converted_stat, '2K_Ratings'!P887, IF(bbgm_stat &gt;= perc_95, converted_stat * 3, IF(bbgm_stat &gt;= perc_90, converted_stat * 2, IF(bbgm_stat &gt;= perc_85, converted_stat * 1.5, converted_stat)))))</f>
        <v/>
      </c>
      <c r="Q887" s="30" t="str">
        <f t="array" ref="Q887">IF($A887="", "", LET(bbgm_stat, INDEX(Players!$A886:$P886, MATCH(Q$2, Players!$A$1:$P$1, 0)), perc_75, VLOOKUP(Q$2, Percentiles!$A$45:$I$59, 6, FALSE), perc_90, VLOOKUP(Q$2, Percentiles!$A$45:$I$59, 7, FALSE), perc_95, VLOOKUP(Q$2, Percentiles!$A$45:$I$59, 8, FALSE), perc_85, perc_75 + (perc_90 - perc_75) * (2/3), converted_stat, '2K_Ratings'!Q887, IF(bbgm_stat &gt;= perc_95, converted_stat * 3, IF(bbgm_stat &gt;= perc_90, converted_stat * 2, IF(bbgm_stat &gt;= perc_85, converted_stat * 1.5, converted_stat)))))</f>
        <v/>
      </c>
      <c r="R887" s="30" t="str">
        <f t="array" ref="R887">IF($A887="", "", LET(bbgm_stat, INDEX(Players!$A886:$P886, MATCH(R$2, Players!$A$1:$P$1, 0)), perc_75, VLOOKUP(R$2, Percentiles!$A$45:$I$59, 6, FALSE), perc_90, VLOOKUP(R$2, Percentiles!$A$45:$I$59, 7, FALSE), perc_95, VLOOKUP(R$2, Percentiles!$A$45:$I$59, 8, FALSE), perc_85, perc_75 + (perc_90 - perc_75) * (2/3), converted_stat, '2K_Ratings'!R887, IF(bbgm_stat &gt;= perc_95, converted_stat * 3, IF(bbgm_stat &gt;= perc_90, converted_stat * 2, IF(bbgm_stat &gt;= perc_85, converted_stat * 1.5, converted_stat)))))</f>
        <v/>
      </c>
      <c r="S887" s="30" t="str">
        <f t="array" ref="S887">IF($A887="", "", LET(bbgm_stat, INDEX(Players!$A886:$P886, MATCH(S$2, Players!$A$1:$P$1, 0)), perc_75, VLOOKUP(S$2, Percentiles!$A$45:$I$59, 6, FALSE), perc_90, VLOOKUP(S$2, Percentiles!$A$45:$I$59, 7, FALSE), perc_95, VLOOKUP(S$2, Percentiles!$A$45:$I$59, 8, FALSE), perc_85, perc_75 + (perc_90 - perc_75) * (2/3), converted_stat, '2K_Ratings'!S887, IF(bbgm_stat &gt;= perc_95, converted_stat * 3, IF(bbgm_stat &gt;= perc_90, converted_stat * 2, IF(bbgm_stat &gt;= perc_85, converted_stat * 1.5, converted_stat)))))</f>
        <v/>
      </c>
      <c r="T887" s="30" t="str">
        <f t="array" ref="T887">IF($A887="", "", LET(bbgm_stat, INDEX(Players!$A886:$P886, MATCH(T$2, Players!$A$1:$P$1, 0)), perc_75, VLOOKUP(T$2, Percentiles!$A$45:$I$59, 6, FALSE), perc_90, VLOOKUP(T$2, Percentiles!$A$45:$I$59, 7, FALSE), perc_95, VLOOKUP(T$2, Percentiles!$A$45:$I$59, 8, FALSE), perc_85, perc_75 + (perc_90 - perc_75) * (2/3), converted_stat, '2K_Ratings'!T887, IF(bbgm_stat &gt;= perc_95, converted_stat * 3, IF(bbgm_stat &gt;= perc_90, converted_stat * 2, IF(bbgm_stat &gt;= perc_85, converted_stat * 1.5, converted_stat)))))</f>
        <v/>
      </c>
      <c r="U887" s="30" t="str">
        <f t="array" ref="U887">IF($A887="", "", LET(bbgm_stat, INDEX(Players!$A886:$P886, MATCH(U$2, Players!$A$1:$P$1, 0)), perc_75, VLOOKUP(U$2, Percentiles!$A$45:$I$59, 6, FALSE), perc_90, VLOOKUP(U$2, Percentiles!$A$45:$I$59, 7, FALSE), perc_95, VLOOKUP(U$2, Percentiles!$A$45:$I$59, 8, FALSE), perc_85, perc_75 + (perc_90 - perc_75) * (2/3), converted_stat, '2K_Ratings'!U887, IF(bbgm_stat &gt;= perc_95, converted_stat * 3, IF(bbgm_stat &gt;= perc_90, converted_stat * 2, IF(bbgm_stat &gt;= perc_85, converted_stat * 1.5, converted_stat)))))</f>
        <v/>
      </c>
      <c r="V887" s="30" t="str">
        <f t="array" ref="V887">IF($A887="", "", LET(bbgm_stat, INDEX(Players!$A886:$P886, MATCH(V$2, Players!$A$1:$P$1, 0)), perc_75, VLOOKUP(V$2, Percentiles!$A$45:$I$59, 6, FALSE), perc_90, VLOOKUP(V$2, Percentiles!$A$45:$I$59, 7, FALSE), perc_95, VLOOKUP(V$2, Percentiles!$A$45:$I$59, 8, FALSE), perc_85, perc_75 + (perc_90 - perc_75) * (2/3), converted_stat, '2K_Ratings'!V887, IF(bbgm_stat &gt;= perc_95, converted_stat * 3, IF(bbgm_stat &gt;= perc_90, converted_stat * 2, IF(bbgm_stat &gt;= perc_85, converted_stat * 1.5, converted_stat)))))</f>
        <v/>
      </c>
      <c r="W887" s="30" t="str">
        <f t="array" ref="W887">IF($A887="", "", LET(bbgm_stat, INDEX(Players!$A886:$P886, MATCH(W$2, Players!$A$1:$P$1, 0)), perc_75, VLOOKUP(W$2, Percentiles!$A$45:$I$59, 6, FALSE), perc_90, VLOOKUP(W$2, Percentiles!$A$45:$I$59, 7, FALSE), perc_95, VLOOKUP(W$2, Percentiles!$A$45:$I$59, 8, FALSE), perc_85, perc_75 + (perc_90 - perc_75) * (2/3), converted_stat, '2K_Ratings'!W887, IF(bbgm_stat &gt;= perc_95, converted_stat * 3, IF(bbgm_stat &gt;= perc_90, converted_stat * 2, IF(bbgm_stat &gt;= perc_85, converted_stat * 1.5, converted_stat)))))</f>
        <v/>
      </c>
    </row>
    <row r="888">
      <c r="A888" s="30"/>
      <c r="B888" s="30" t="str">
        <f t="array" ref="B888">IF($A888="", "", LET(bbgm_stat, INDEX(Players!$A887:$P887, MATCH(B$2, Players!$A$1:$P$1, 0)), perc_75, VLOOKUP(B$2, Percentiles!$A$45:$I$59, 6, FALSE), perc_90, VLOOKUP(B$2, Percentiles!$A$45:$I$59, 7, FALSE), perc_95, VLOOKUP(B$2, Percentiles!$A$45:$I$59, 8, FALSE), perc_85, perc_75 + (perc_90 - perc_75) * (2/3), converted_stat, '2K_Ratings'!B888, IF(bbgm_stat &gt;= perc_95, converted_stat * 3, IF(bbgm_stat &gt;= perc_90, converted_stat * 2, IF(bbgm_stat &gt;= perc_85, converted_stat * 1.5, converted_stat)))))</f>
        <v/>
      </c>
      <c r="C888" s="30" t="str">
        <f t="array" ref="C888">IF($A888="", "", LET(bbgm_stat, INDEX(Players!$A887:$P887, MATCH(C$2, Players!$A$1:$P$1, 0)), perc_75, VLOOKUP(C$2, Percentiles!$A$45:$I$59, 6, FALSE), perc_90, VLOOKUP(C$2, Percentiles!$A$45:$I$59, 7, FALSE), perc_95, VLOOKUP(C$2, Percentiles!$A$45:$I$59, 8, FALSE), perc_85, perc_75 + (perc_90 - perc_75) * (2/3), converted_stat, '2K_Ratings'!C888, IF(bbgm_stat &gt;= perc_95, converted_stat * 3, IF(bbgm_stat &gt;= perc_90, converted_stat * 2, IF(bbgm_stat &gt;= perc_85, converted_stat * 1.5, converted_stat)))))</f>
        <v/>
      </c>
      <c r="D888" s="30" t="str">
        <f t="array" ref="D888">IF($A888="", "", LET(bbgm_stat, INDEX(Players!$A887:$P887, MATCH(D$2, Players!$A$1:$P$1, 0)), perc_75, VLOOKUP(D$2, Percentiles!$A$45:$I$59, 6, FALSE), perc_90, VLOOKUP(D$2, Percentiles!$A$45:$I$59, 7, FALSE), perc_95, VLOOKUP(D$2, Percentiles!$A$45:$I$59, 8, FALSE), perc_85, perc_75 + (perc_90 - perc_75) * (2/3), converted_stat, '2K_Ratings'!D888, IF(bbgm_stat &gt;= perc_95, converted_stat * 3, IF(bbgm_stat &gt;= perc_90, converted_stat * 2, IF(bbgm_stat &gt;= perc_85, converted_stat * 1.5, converted_stat)))))</f>
        <v/>
      </c>
      <c r="E888" s="30" t="str">
        <f t="array" ref="E888">IF($A888="", "", LET(bbgm_stat, INDEX(Players!$A887:$P887, MATCH(E$2, Players!$A$1:$P$1, 0)), perc_75, VLOOKUP(E$2, Percentiles!$A$45:$I$59, 6, FALSE), perc_90, VLOOKUP(E$2, Percentiles!$A$45:$I$59, 7, FALSE), perc_95, VLOOKUP(E$2, Percentiles!$A$45:$I$59, 8, FALSE), perc_85, perc_75 + (perc_90 - perc_75) * (2/3), converted_stat, '2K_Ratings'!E888, IF(bbgm_stat &gt;= perc_95, converted_stat * 3, IF(bbgm_stat &gt;= perc_90, converted_stat * 2, IF(bbgm_stat &gt;= perc_85, converted_stat * 1.5, converted_stat)))))</f>
        <v/>
      </c>
      <c r="F888" s="30" t="str">
        <f t="array" ref="F888">IF($A888="", "", LET(bbgm_stat, INDEX(Players!$A887:$P887, MATCH(F$2, Players!$A$1:$P$1, 0)), perc_75, VLOOKUP(F$2, Percentiles!$A$45:$I$59, 6, FALSE), perc_90, VLOOKUP(F$2, Percentiles!$A$45:$I$59, 7, FALSE), perc_95, VLOOKUP(F$2, Percentiles!$A$45:$I$59, 8, FALSE), perc_85, perc_75 + (perc_90 - perc_75) * (2/3), converted_stat, '2K_Ratings'!F888, IF(bbgm_stat &gt;= perc_95, converted_stat * 3, IF(bbgm_stat &gt;= perc_90, converted_stat * 2, IF(bbgm_stat &gt;= perc_85, converted_stat * 1.5, converted_stat)))))</f>
        <v/>
      </c>
      <c r="G888" s="30" t="str">
        <f t="array" ref="G888">IF($A888="", "", LET(bbgm_stat, INDEX(Players!$A887:$P887, MATCH(G$2, Players!$A$1:$P$1, 0)), perc_75, VLOOKUP(G$2, Percentiles!$A$45:$I$59, 6, FALSE), perc_90, VLOOKUP(G$2, Percentiles!$A$45:$I$59, 7, FALSE), perc_95, VLOOKUP(G$2, Percentiles!$A$45:$I$59, 8, FALSE), perc_85, perc_75 + (perc_90 - perc_75) * (2/3), converted_stat, '2K_Ratings'!G888, IF(bbgm_stat &gt;= perc_95, converted_stat * 3, IF(bbgm_stat &gt;= perc_90, converted_stat * 2, IF(bbgm_stat &gt;= perc_85, converted_stat * 1.5, converted_stat)))))</f>
        <v/>
      </c>
      <c r="H888" s="30" t="str">
        <f t="array" ref="H888">IF($A888="", "", LET(bbgm_stat, INDEX(Players!$A887:$P887, MATCH(H$2, Players!$A$1:$P$1, 0)), perc_75, VLOOKUP(H$2, Percentiles!$A$45:$I$59, 6, FALSE), perc_90, VLOOKUP(H$2, Percentiles!$A$45:$I$59, 7, FALSE), perc_95, VLOOKUP(H$2, Percentiles!$A$45:$I$59, 8, FALSE), perc_85, perc_75 + (perc_90 - perc_75) * (2/3), converted_stat, '2K_Ratings'!H888, IF(bbgm_stat &gt;= perc_95, converted_stat * 3, IF(bbgm_stat &gt;= perc_90, converted_stat * 2, IF(bbgm_stat &gt;= perc_85, converted_stat * 1.5, converted_stat)))))</f>
        <v/>
      </c>
      <c r="I888" s="30" t="str">
        <f t="array" ref="I888">IF($A888="", "", LET(bbgm_stat, INDEX(Players!$A887:$P887, MATCH(I$2, Players!$A$1:$P$1, 0)), perc_75, VLOOKUP(I$2, Percentiles!$A$45:$I$59, 6, FALSE), perc_90, VLOOKUP(I$2, Percentiles!$A$45:$I$59, 7, FALSE), perc_95, VLOOKUP(I$2, Percentiles!$A$45:$I$59, 8, FALSE), perc_85, perc_75 + (perc_90 - perc_75) * (2/3), converted_stat, '2K_Ratings'!I888, IF(bbgm_stat &gt;= perc_95, converted_stat * 3, IF(bbgm_stat &gt;= perc_90, converted_stat * 2, IF(bbgm_stat &gt;= perc_85, converted_stat * 1.5, converted_stat)))))</f>
        <v/>
      </c>
      <c r="J888" s="30" t="str">
        <f t="array" ref="J888">IF($A888="", "", LET(bbgm_stat, INDEX(Players!$A887:$P887, MATCH(J$2, Players!$A$1:$P$1, 0)), perc_75, VLOOKUP(J$2, Percentiles!$A$45:$I$59, 6, FALSE), perc_90, VLOOKUP(J$2, Percentiles!$A$45:$I$59, 7, FALSE), perc_95, VLOOKUP(J$2, Percentiles!$A$45:$I$59, 8, FALSE), perc_85, perc_75 + (perc_90 - perc_75) * (2/3), converted_stat, '2K_Ratings'!J888, IF(bbgm_stat &gt;= perc_95, converted_stat * 3, IF(bbgm_stat &gt;= perc_90, converted_stat * 2, IF(bbgm_stat &gt;= perc_85, converted_stat * 1.5, converted_stat)))))</f>
        <v/>
      </c>
      <c r="K888" s="30" t="str">
        <f t="array" ref="K888">IF($A888="", "", LET(bbgm_stat, INDEX(Players!$A887:$P887, MATCH(K$2, Players!$A$1:$P$1, 0)), perc_75, VLOOKUP(K$2, Percentiles!$A$45:$I$59, 6, FALSE), perc_90, VLOOKUP(K$2, Percentiles!$A$45:$I$59, 7, FALSE), perc_95, VLOOKUP(K$2, Percentiles!$A$45:$I$59, 8, FALSE), perc_85, perc_75 + (perc_90 - perc_75) * (2/3), converted_stat, '2K_Ratings'!K888, IF(bbgm_stat &gt;= perc_95, converted_stat * 3, IF(bbgm_stat &gt;= perc_90, converted_stat * 2, IF(bbgm_stat &gt;= perc_85, converted_stat * 1.5, converted_stat)))))</f>
        <v/>
      </c>
      <c r="L888" s="30" t="str">
        <f t="array" ref="L888">IF($A888="", "", LET(bbgm_stat, INDEX(Players!$A887:$P887, MATCH(L$2, Players!$A$1:$P$1, 0)), perc_75, VLOOKUP(L$2, Percentiles!$A$45:$I$59, 6, FALSE), perc_90, VLOOKUP(L$2, Percentiles!$A$45:$I$59, 7, FALSE), perc_95, VLOOKUP(L$2, Percentiles!$A$45:$I$59, 8, FALSE), perc_85, perc_75 + (perc_90 - perc_75) * (2/3), converted_stat, '2K_Ratings'!L888, IF(bbgm_stat &gt;= perc_95, converted_stat * 3, IF(bbgm_stat &gt;= perc_90, converted_stat * 2, IF(bbgm_stat &gt;= perc_85, converted_stat * 1.5, converted_stat)))))</f>
        <v/>
      </c>
      <c r="M888" s="30" t="str">
        <f t="array" ref="M888">IF($A888="", "", LET(bbgm_stat, INDEX(Players!$A887:$P887, MATCH(M$2, Players!$A$1:$P$1, 0)), perc_75, VLOOKUP(M$2, Percentiles!$A$45:$I$59, 6, FALSE), perc_90, VLOOKUP(M$2, Percentiles!$A$45:$I$59, 7, FALSE), perc_95, VLOOKUP(M$2, Percentiles!$A$45:$I$59, 8, FALSE), perc_85, perc_75 + (perc_90 - perc_75) * (2/3), converted_stat, '2K_Ratings'!M888, IF(bbgm_stat &gt;= perc_95, converted_stat * 3, IF(bbgm_stat &gt;= perc_90, converted_stat * 2, IF(bbgm_stat &gt;= perc_85, converted_stat * 1.5, converted_stat)))))</f>
        <v/>
      </c>
      <c r="N888" s="30" t="str">
        <f t="array" ref="N888">IF($A888="", "", LET(bbgm_stat, INDEX(Players!$A887:$P887, MATCH(N$2, Players!$A$1:$P$1, 0)), perc_75, VLOOKUP(N$2, Percentiles!$A$45:$I$59, 6, FALSE), perc_90, VLOOKUP(N$2, Percentiles!$A$45:$I$59, 7, FALSE), perc_95, VLOOKUP(N$2, Percentiles!$A$45:$I$59, 8, FALSE), perc_85, perc_75 + (perc_90 - perc_75) * (2/3), converted_stat, '2K_Ratings'!N888, IF(bbgm_stat &gt;= perc_95, converted_stat * 3, IF(bbgm_stat &gt;= perc_90, converted_stat * 2, IF(bbgm_stat &gt;= perc_85, converted_stat * 1.5, converted_stat)))))</f>
        <v/>
      </c>
      <c r="O888" s="30" t="str">
        <f t="array" ref="O888">IF($A888="", "", LET(bbgm_stat, INDEX(Players!$A887:$P887, MATCH(O$2, Players!$A$1:$P$1, 0)), perc_75, VLOOKUP(O$2, Percentiles!$A$45:$I$59, 6, FALSE), perc_90, VLOOKUP(O$2, Percentiles!$A$45:$I$59, 7, FALSE), perc_95, VLOOKUP(O$2, Percentiles!$A$45:$I$59, 8, FALSE), perc_85, perc_75 + (perc_90 - perc_75) * (2/3), converted_stat, '2K_Ratings'!O888, IF(bbgm_stat &gt;= perc_95, converted_stat * 3, IF(bbgm_stat &gt;= perc_90, converted_stat * 2, IF(bbgm_stat &gt;= perc_85, converted_stat * 1.5, converted_stat)))))</f>
        <v/>
      </c>
      <c r="P888" s="30" t="str">
        <f t="array" ref="P888">IF($A888="", "", LET(bbgm_stat, INDEX(Players!$A887:$P887, MATCH(P$2, Players!$A$1:$P$1, 0)), perc_75, VLOOKUP(P$2, Percentiles!$A$45:$I$59, 6, FALSE), perc_90, VLOOKUP(P$2, Percentiles!$A$45:$I$59, 7, FALSE), perc_95, VLOOKUP(P$2, Percentiles!$A$45:$I$59, 8, FALSE), perc_85, perc_75 + (perc_90 - perc_75) * (2/3), converted_stat, '2K_Ratings'!P888, IF(bbgm_stat &gt;= perc_95, converted_stat * 3, IF(bbgm_stat &gt;= perc_90, converted_stat * 2, IF(bbgm_stat &gt;= perc_85, converted_stat * 1.5, converted_stat)))))</f>
        <v/>
      </c>
      <c r="Q888" s="30" t="str">
        <f t="array" ref="Q888">IF($A888="", "", LET(bbgm_stat, INDEX(Players!$A887:$P887, MATCH(Q$2, Players!$A$1:$P$1, 0)), perc_75, VLOOKUP(Q$2, Percentiles!$A$45:$I$59, 6, FALSE), perc_90, VLOOKUP(Q$2, Percentiles!$A$45:$I$59, 7, FALSE), perc_95, VLOOKUP(Q$2, Percentiles!$A$45:$I$59, 8, FALSE), perc_85, perc_75 + (perc_90 - perc_75) * (2/3), converted_stat, '2K_Ratings'!Q888, IF(bbgm_stat &gt;= perc_95, converted_stat * 3, IF(bbgm_stat &gt;= perc_90, converted_stat * 2, IF(bbgm_stat &gt;= perc_85, converted_stat * 1.5, converted_stat)))))</f>
        <v/>
      </c>
      <c r="R888" s="30" t="str">
        <f t="array" ref="R888">IF($A888="", "", LET(bbgm_stat, INDEX(Players!$A887:$P887, MATCH(R$2, Players!$A$1:$P$1, 0)), perc_75, VLOOKUP(R$2, Percentiles!$A$45:$I$59, 6, FALSE), perc_90, VLOOKUP(R$2, Percentiles!$A$45:$I$59, 7, FALSE), perc_95, VLOOKUP(R$2, Percentiles!$A$45:$I$59, 8, FALSE), perc_85, perc_75 + (perc_90 - perc_75) * (2/3), converted_stat, '2K_Ratings'!R888, IF(bbgm_stat &gt;= perc_95, converted_stat * 3, IF(bbgm_stat &gt;= perc_90, converted_stat * 2, IF(bbgm_stat &gt;= perc_85, converted_stat * 1.5, converted_stat)))))</f>
        <v/>
      </c>
      <c r="S888" s="30" t="str">
        <f t="array" ref="S888">IF($A888="", "", LET(bbgm_stat, INDEX(Players!$A887:$P887, MATCH(S$2, Players!$A$1:$P$1, 0)), perc_75, VLOOKUP(S$2, Percentiles!$A$45:$I$59, 6, FALSE), perc_90, VLOOKUP(S$2, Percentiles!$A$45:$I$59, 7, FALSE), perc_95, VLOOKUP(S$2, Percentiles!$A$45:$I$59, 8, FALSE), perc_85, perc_75 + (perc_90 - perc_75) * (2/3), converted_stat, '2K_Ratings'!S888, IF(bbgm_stat &gt;= perc_95, converted_stat * 3, IF(bbgm_stat &gt;= perc_90, converted_stat * 2, IF(bbgm_stat &gt;= perc_85, converted_stat * 1.5, converted_stat)))))</f>
        <v/>
      </c>
      <c r="T888" s="30" t="str">
        <f t="array" ref="T888">IF($A888="", "", LET(bbgm_stat, INDEX(Players!$A887:$P887, MATCH(T$2, Players!$A$1:$P$1, 0)), perc_75, VLOOKUP(T$2, Percentiles!$A$45:$I$59, 6, FALSE), perc_90, VLOOKUP(T$2, Percentiles!$A$45:$I$59, 7, FALSE), perc_95, VLOOKUP(T$2, Percentiles!$A$45:$I$59, 8, FALSE), perc_85, perc_75 + (perc_90 - perc_75) * (2/3), converted_stat, '2K_Ratings'!T888, IF(bbgm_stat &gt;= perc_95, converted_stat * 3, IF(bbgm_stat &gt;= perc_90, converted_stat * 2, IF(bbgm_stat &gt;= perc_85, converted_stat * 1.5, converted_stat)))))</f>
        <v/>
      </c>
      <c r="U888" s="30" t="str">
        <f t="array" ref="U888">IF($A888="", "", LET(bbgm_stat, INDEX(Players!$A887:$P887, MATCH(U$2, Players!$A$1:$P$1, 0)), perc_75, VLOOKUP(U$2, Percentiles!$A$45:$I$59, 6, FALSE), perc_90, VLOOKUP(U$2, Percentiles!$A$45:$I$59, 7, FALSE), perc_95, VLOOKUP(U$2, Percentiles!$A$45:$I$59, 8, FALSE), perc_85, perc_75 + (perc_90 - perc_75) * (2/3), converted_stat, '2K_Ratings'!U888, IF(bbgm_stat &gt;= perc_95, converted_stat * 3, IF(bbgm_stat &gt;= perc_90, converted_stat * 2, IF(bbgm_stat &gt;= perc_85, converted_stat * 1.5, converted_stat)))))</f>
        <v/>
      </c>
      <c r="V888" s="30" t="str">
        <f t="array" ref="V888">IF($A888="", "", LET(bbgm_stat, INDEX(Players!$A887:$P887, MATCH(V$2, Players!$A$1:$P$1, 0)), perc_75, VLOOKUP(V$2, Percentiles!$A$45:$I$59, 6, FALSE), perc_90, VLOOKUP(V$2, Percentiles!$A$45:$I$59, 7, FALSE), perc_95, VLOOKUP(V$2, Percentiles!$A$45:$I$59, 8, FALSE), perc_85, perc_75 + (perc_90 - perc_75) * (2/3), converted_stat, '2K_Ratings'!V888, IF(bbgm_stat &gt;= perc_95, converted_stat * 3, IF(bbgm_stat &gt;= perc_90, converted_stat * 2, IF(bbgm_stat &gt;= perc_85, converted_stat * 1.5, converted_stat)))))</f>
        <v/>
      </c>
      <c r="W888" s="30" t="str">
        <f t="array" ref="W888">IF($A888="", "", LET(bbgm_stat, INDEX(Players!$A887:$P887, MATCH(W$2, Players!$A$1:$P$1, 0)), perc_75, VLOOKUP(W$2, Percentiles!$A$45:$I$59, 6, FALSE), perc_90, VLOOKUP(W$2, Percentiles!$A$45:$I$59, 7, FALSE), perc_95, VLOOKUP(W$2, Percentiles!$A$45:$I$59, 8, FALSE), perc_85, perc_75 + (perc_90 - perc_75) * (2/3), converted_stat, '2K_Ratings'!W888, IF(bbgm_stat &gt;= perc_95, converted_stat * 3, IF(bbgm_stat &gt;= perc_90, converted_stat * 2, IF(bbgm_stat &gt;= perc_85, converted_stat * 1.5, converted_stat)))))</f>
        <v/>
      </c>
    </row>
    <row r="889">
      <c r="A889" s="30"/>
      <c r="B889" s="30" t="str">
        <f t="array" ref="B889">IF($A889="", "", LET(bbgm_stat, INDEX(Players!$A888:$P888, MATCH(B$2, Players!$A$1:$P$1, 0)), perc_75, VLOOKUP(B$2, Percentiles!$A$45:$I$59, 6, FALSE), perc_90, VLOOKUP(B$2, Percentiles!$A$45:$I$59, 7, FALSE), perc_95, VLOOKUP(B$2, Percentiles!$A$45:$I$59, 8, FALSE), perc_85, perc_75 + (perc_90 - perc_75) * (2/3), converted_stat, '2K_Ratings'!B889, IF(bbgm_stat &gt;= perc_95, converted_stat * 3, IF(bbgm_stat &gt;= perc_90, converted_stat * 2, IF(bbgm_stat &gt;= perc_85, converted_stat * 1.5, converted_stat)))))</f>
        <v/>
      </c>
      <c r="C889" s="30" t="str">
        <f t="array" ref="C889">IF($A889="", "", LET(bbgm_stat, INDEX(Players!$A888:$P888, MATCH(C$2, Players!$A$1:$P$1, 0)), perc_75, VLOOKUP(C$2, Percentiles!$A$45:$I$59, 6, FALSE), perc_90, VLOOKUP(C$2, Percentiles!$A$45:$I$59, 7, FALSE), perc_95, VLOOKUP(C$2, Percentiles!$A$45:$I$59, 8, FALSE), perc_85, perc_75 + (perc_90 - perc_75) * (2/3), converted_stat, '2K_Ratings'!C889, IF(bbgm_stat &gt;= perc_95, converted_stat * 3, IF(bbgm_stat &gt;= perc_90, converted_stat * 2, IF(bbgm_stat &gt;= perc_85, converted_stat * 1.5, converted_stat)))))</f>
        <v/>
      </c>
      <c r="D889" s="30" t="str">
        <f t="array" ref="D889">IF($A889="", "", LET(bbgm_stat, INDEX(Players!$A888:$P888, MATCH(D$2, Players!$A$1:$P$1, 0)), perc_75, VLOOKUP(D$2, Percentiles!$A$45:$I$59, 6, FALSE), perc_90, VLOOKUP(D$2, Percentiles!$A$45:$I$59, 7, FALSE), perc_95, VLOOKUP(D$2, Percentiles!$A$45:$I$59, 8, FALSE), perc_85, perc_75 + (perc_90 - perc_75) * (2/3), converted_stat, '2K_Ratings'!D889, IF(bbgm_stat &gt;= perc_95, converted_stat * 3, IF(bbgm_stat &gt;= perc_90, converted_stat * 2, IF(bbgm_stat &gt;= perc_85, converted_stat * 1.5, converted_stat)))))</f>
        <v/>
      </c>
      <c r="E889" s="30" t="str">
        <f t="array" ref="E889">IF($A889="", "", LET(bbgm_stat, INDEX(Players!$A888:$P888, MATCH(E$2, Players!$A$1:$P$1, 0)), perc_75, VLOOKUP(E$2, Percentiles!$A$45:$I$59, 6, FALSE), perc_90, VLOOKUP(E$2, Percentiles!$A$45:$I$59, 7, FALSE), perc_95, VLOOKUP(E$2, Percentiles!$A$45:$I$59, 8, FALSE), perc_85, perc_75 + (perc_90 - perc_75) * (2/3), converted_stat, '2K_Ratings'!E889, IF(bbgm_stat &gt;= perc_95, converted_stat * 3, IF(bbgm_stat &gt;= perc_90, converted_stat * 2, IF(bbgm_stat &gt;= perc_85, converted_stat * 1.5, converted_stat)))))</f>
        <v/>
      </c>
      <c r="F889" s="30" t="str">
        <f t="array" ref="F889">IF($A889="", "", LET(bbgm_stat, INDEX(Players!$A888:$P888, MATCH(F$2, Players!$A$1:$P$1, 0)), perc_75, VLOOKUP(F$2, Percentiles!$A$45:$I$59, 6, FALSE), perc_90, VLOOKUP(F$2, Percentiles!$A$45:$I$59, 7, FALSE), perc_95, VLOOKUP(F$2, Percentiles!$A$45:$I$59, 8, FALSE), perc_85, perc_75 + (perc_90 - perc_75) * (2/3), converted_stat, '2K_Ratings'!F889, IF(bbgm_stat &gt;= perc_95, converted_stat * 3, IF(bbgm_stat &gt;= perc_90, converted_stat * 2, IF(bbgm_stat &gt;= perc_85, converted_stat * 1.5, converted_stat)))))</f>
        <v/>
      </c>
      <c r="G889" s="30" t="str">
        <f t="array" ref="G889">IF($A889="", "", LET(bbgm_stat, INDEX(Players!$A888:$P888, MATCH(G$2, Players!$A$1:$P$1, 0)), perc_75, VLOOKUP(G$2, Percentiles!$A$45:$I$59, 6, FALSE), perc_90, VLOOKUP(G$2, Percentiles!$A$45:$I$59, 7, FALSE), perc_95, VLOOKUP(G$2, Percentiles!$A$45:$I$59, 8, FALSE), perc_85, perc_75 + (perc_90 - perc_75) * (2/3), converted_stat, '2K_Ratings'!G889, IF(bbgm_stat &gt;= perc_95, converted_stat * 3, IF(bbgm_stat &gt;= perc_90, converted_stat * 2, IF(bbgm_stat &gt;= perc_85, converted_stat * 1.5, converted_stat)))))</f>
        <v/>
      </c>
      <c r="H889" s="30" t="str">
        <f t="array" ref="H889">IF($A889="", "", LET(bbgm_stat, INDEX(Players!$A888:$P888, MATCH(H$2, Players!$A$1:$P$1, 0)), perc_75, VLOOKUP(H$2, Percentiles!$A$45:$I$59, 6, FALSE), perc_90, VLOOKUP(H$2, Percentiles!$A$45:$I$59, 7, FALSE), perc_95, VLOOKUP(H$2, Percentiles!$A$45:$I$59, 8, FALSE), perc_85, perc_75 + (perc_90 - perc_75) * (2/3), converted_stat, '2K_Ratings'!H889, IF(bbgm_stat &gt;= perc_95, converted_stat * 3, IF(bbgm_stat &gt;= perc_90, converted_stat * 2, IF(bbgm_stat &gt;= perc_85, converted_stat * 1.5, converted_stat)))))</f>
        <v/>
      </c>
      <c r="I889" s="30" t="str">
        <f t="array" ref="I889">IF($A889="", "", LET(bbgm_stat, INDEX(Players!$A888:$P888, MATCH(I$2, Players!$A$1:$P$1, 0)), perc_75, VLOOKUP(I$2, Percentiles!$A$45:$I$59, 6, FALSE), perc_90, VLOOKUP(I$2, Percentiles!$A$45:$I$59, 7, FALSE), perc_95, VLOOKUP(I$2, Percentiles!$A$45:$I$59, 8, FALSE), perc_85, perc_75 + (perc_90 - perc_75) * (2/3), converted_stat, '2K_Ratings'!I889, IF(bbgm_stat &gt;= perc_95, converted_stat * 3, IF(bbgm_stat &gt;= perc_90, converted_stat * 2, IF(bbgm_stat &gt;= perc_85, converted_stat * 1.5, converted_stat)))))</f>
        <v/>
      </c>
      <c r="J889" s="30" t="str">
        <f t="array" ref="J889">IF($A889="", "", LET(bbgm_stat, INDEX(Players!$A888:$P888, MATCH(J$2, Players!$A$1:$P$1, 0)), perc_75, VLOOKUP(J$2, Percentiles!$A$45:$I$59, 6, FALSE), perc_90, VLOOKUP(J$2, Percentiles!$A$45:$I$59, 7, FALSE), perc_95, VLOOKUP(J$2, Percentiles!$A$45:$I$59, 8, FALSE), perc_85, perc_75 + (perc_90 - perc_75) * (2/3), converted_stat, '2K_Ratings'!J889, IF(bbgm_stat &gt;= perc_95, converted_stat * 3, IF(bbgm_stat &gt;= perc_90, converted_stat * 2, IF(bbgm_stat &gt;= perc_85, converted_stat * 1.5, converted_stat)))))</f>
        <v/>
      </c>
      <c r="K889" s="30" t="str">
        <f t="array" ref="K889">IF($A889="", "", LET(bbgm_stat, INDEX(Players!$A888:$P888, MATCH(K$2, Players!$A$1:$P$1, 0)), perc_75, VLOOKUP(K$2, Percentiles!$A$45:$I$59, 6, FALSE), perc_90, VLOOKUP(K$2, Percentiles!$A$45:$I$59, 7, FALSE), perc_95, VLOOKUP(K$2, Percentiles!$A$45:$I$59, 8, FALSE), perc_85, perc_75 + (perc_90 - perc_75) * (2/3), converted_stat, '2K_Ratings'!K889, IF(bbgm_stat &gt;= perc_95, converted_stat * 3, IF(bbgm_stat &gt;= perc_90, converted_stat * 2, IF(bbgm_stat &gt;= perc_85, converted_stat * 1.5, converted_stat)))))</f>
        <v/>
      </c>
      <c r="L889" s="30" t="str">
        <f t="array" ref="L889">IF($A889="", "", LET(bbgm_stat, INDEX(Players!$A888:$P888, MATCH(L$2, Players!$A$1:$P$1, 0)), perc_75, VLOOKUP(L$2, Percentiles!$A$45:$I$59, 6, FALSE), perc_90, VLOOKUP(L$2, Percentiles!$A$45:$I$59, 7, FALSE), perc_95, VLOOKUP(L$2, Percentiles!$A$45:$I$59, 8, FALSE), perc_85, perc_75 + (perc_90 - perc_75) * (2/3), converted_stat, '2K_Ratings'!L889, IF(bbgm_stat &gt;= perc_95, converted_stat * 3, IF(bbgm_stat &gt;= perc_90, converted_stat * 2, IF(bbgm_stat &gt;= perc_85, converted_stat * 1.5, converted_stat)))))</f>
        <v/>
      </c>
      <c r="M889" s="30" t="str">
        <f t="array" ref="M889">IF($A889="", "", LET(bbgm_stat, INDEX(Players!$A888:$P888, MATCH(M$2, Players!$A$1:$P$1, 0)), perc_75, VLOOKUP(M$2, Percentiles!$A$45:$I$59, 6, FALSE), perc_90, VLOOKUP(M$2, Percentiles!$A$45:$I$59, 7, FALSE), perc_95, VLOOKUP(M$2, Percentiles!$A$45:$I$59, 8, FALSE), perc_85, perc_75 + (perc_90 - perc_75) * (2/3), converted_stat, '2K_Ratings'!M889, IF(bbgm_stat &gt;= perc_95, converted_stat * 3, IF(bbgm_stat &gt;= perc_90, converted_stat * 2, IF(bbgm_stat &gt;= perc_85, converted_stat * 1.5, converted_stat)))))</f>
        <v/>
      </c>
      <c r="N889" s="30" t="str">
        <f t="array" ref="N889">IF($A889="", "", LET(bbgm_stat, INDEX(Players!$A888:$P888, MATCH(N$2, Players!$A$1:$P$1, 0)), perc_75, VLOOKUP(N$2, Percentiles!$A$45:$I$59, 6, FALSE), perc_90, VLOOKUP(N$2, Percentiles!$A$45:$I$59, 7, FALSE), perc_95, VLOOKUP(N$2, Percentiles!$A$45:$I$59, 8, FALSE), perc_85, perc_75 + (perc_90 - perc_75) * (2/3), converted_stat, '2K_Ratings'!N889, IF(bbgm_stat &gt;= perc_95, converted_stat * 3, IF(bbgm_stat &gt;= perc_90, converted_stat * 2, IF(bbgm_stat &gt;= perc_85, converted_stat * 1.5, converted_stat)))))</f>
        <v/>
      </c>
      <c r="O889" s="30" t="str">
        <f t="array" ref="O889">IF($A889="", "", LET(bbgm_stat, INDEX(Players!$A888:$P888, MATCH(O$2, Players!$A$1:$P$1, 0)), perc_75, VLOOKUP(O$2, Percentiles!$A$45:$I$59, 6, FALSE), perc_90, VLOOKUP(O$2, Percentiles!$A$45:$I$59, 7, FALSE), perc_95, VLOOKUP(O$2, Percentiles!$A$45:$I$59, 8, FALSE), perc_85, perc_75 + (perc_90 - perc_75) * (2/3), converted_stat, '2K_Ratings'!O889, IF(bbgm_stat &gt;= perc_95, converted_stat * 3, IF(bbgm_stat &gt;= perc_90, converted_stat * 2, IF(bbgm_stat &gt;= perc_85, converted_stat * 1.5, converted_stat)))))</f>
        <v/>
      </c>
      <c r="P889" s="30" t="str">
        <f t="array" ref="P889">IF($A889="", "", LET(bbgm_stat, INDEX(Players!$A888:$P888, MATCH(P$2, Players!$A$1:$P$1, 0)), perc_75, VLOOKUP(P$2, Percentiles!$A$45:$I$59, 6, FALSE), perc_90, VLOOKUP(P$2, Percentiles!$A$45:$I$59, 7, FALSE), perc_95, VLOOKUP(P$2, Percentiles!$A$45:$I$59, 8, FALSE), perc_85, perc_75 + (perc_90 - perc_75) * (2/3), converted_stat, '2K_Ratings'!P889, IF(bbgm_stat &gt;= perc_95, converted_stat * 3, IF(bbgm_stat &gt;= perc_90, converted_stat * 2, IF(bbgm_stat &gt;= perc_85, converted_stat * 1.5, converted_stat)))))</f>
        <v/>
      </c>
      <c r="Q889" s="30" t="str">
        <f t="array" ref="Q889">IF($A889="", "", LET(bbgm_stat, INDEX(Players!$A888:$P888, MATCH(Q$2, Players!$A$1:$P$1, 0)), perc_75, VLOOKUP(Q$2, Percentiles!$A$45:$I$59, 6, FALSE), perc_90, VLOOKUP(Q$2, Percentiles!$A$45:$I$59, 7, FALSE), perc_95, VLOOKUP(Q$2, Percentiles!$A$45:$I$59, 8, FALSE), perc_85, perc_75 + (perc_90 - perc_75) * (2/3), converted_stat, '2K_Ratings'!Q889, IF(bbgm_stat &gt;= perc_95, converted_stat * 3, IF(bbgm_stat &gt;= perc_90, converted_stat * 2, IF(bbgm_stat &gt;= perc_85, converted_stat * 1.5, converted_stat)))))</f>
        <v/>
      </c>
      <c r="R889" s="30" t="str">
        <f t="array" ref="R889">IF($A889="", "", LET(bbgm_stat, INDEX(Players!$A888:$P888, MATCH(R$2, Players!$A$1:$P$1, 0)), perc_75, VLOOKUP(R$2, Percentiles!$A$45:$I$59, 6, FALSE), perc_90, VLOOKUP(R$2, Percentiles!$A$45:$I$59, 7, FALSE), perc_95, VLOOKUP(R$2, Percentiles!$A$45:$I$59, 8, FALSE), perc_85, perc_75 + (perc_90 - perc_75) * (2/3), converted_stat, '2K_Ratings'!R889, IF(bbgm_stat &gt;= perc_95, converted_stat * 3, IF(bbgm_stat &gt;= perc_90, converted_stat * 2, IF(bbgm_stat &gt;= perc_85, converted_stat * 1.5, converted_stat)))))</f>
        <v/>
      </c>
      <c r="S889" s="30" t="str">
        <f t="array" ref="S889">IF($A889="", "", LET(bbgm_stat, INDEX(Players!$A888:$P888, MATCH(S$2, Players!$A$1:$P$1, 0)), perc_75, VLOOKUP(S$2, Percentiles!$A$45:$I$59, 6, FALSE), perc_90, VLOOKUP(S$2, Percentiles!$A$45:$I$59, 7, FALSE), perc_95, VLOOKUP(S$2, Percentiles!$A$45:$I$59, 8, FALSE), perc_85, perc_75 + (perc_90 - perc_75) * (2/3), converted_stat, '2K_Ratings'!S889, IF(bbgm_stat &gt;= perc_95, converted_stat * 3, IF(bbgm_stat &gt;= perc_90, converted_stat * 2, IF(bbgm_stat &gt;= perc_85, converted_stat * 1.5, converted_stat)))))</f>
        <v/>
      </c>
      <c r="T889" s="30" t="str">
        <f t="array" ref="T889">IF($A889="", "", LET(bbgm_stat, INDEX(Players!$A888:$P888, MATCH(T$2, Players!$A$1:$P$1, 0)), perc_75, VLOOKUP(T$2, Percentiles!$A$45:$I$59, 6, FALSE), perc_90, VLOOKUP(T$2, Percentiles!$A$45:$I$59, 7, FALSE), perc_95, VLOOKUP(T$2, Percentiles!$A$45:$I$59, 8, FALSE), perc_85, perc_75 + (perc_90 - perc_75) * (2/3), converted_stat, '2K_Ratings'!T889, IF(bbgm_stat &gt;= perc_95, converted_stat * 3, IF(bbgm_stat &gt;= perc_90, converted_stat * 2, IF(bbgm_stat &gt;= perc_85, converted_stat * 1.5, converted_stat)))))</f>
        <v/>
      </c>
      <c r="U889" s="30" t="str">
        <f t="array" ref="U889">IF($A889="", "", LET(bbgm_stat, INDEX(Players!$A888:$P888, MATCH(U$2, Players!$A$1:$P$1, 0)), perc_75, VLOOKUP(U$2, Percentiles!$A$45:$I$59, 6, FALSE), perc_90, VLOOKUP(U$2, Percentiles!$A$45:$I$59, 7, FALSE), perc_95, VLOOKUP(U$2, Percentiles!$A$45:$I$59, 8, FALSE), perc_85, perc_75 + (perc_90 - perc_75) * (2/3), converted_stat, '2K_Ratings'!U889, IF(bbgm_stat &gt;= perc_95, converted_stat * 3, IF(bbgm_stat &gt;= perc_90, converted_stat * 2, IF(bbgm_stat &gt;= perc_85, converted_stat * 1.5, converted_stat)))))</f>
        <v/>
      </c>
      <c r="V889" s="30" t="str">
        <f t="array" ref="V889">IF($A889="", "", LET(bbgm_stat, INDEX(Players!$A888:$P888, MATCH(V$2, Players!$A$1:$P$1, 0)), perc_75, VLOOKUP(V$2, Percentiles!$A$45:$I$59, 6, FALSE), perc_90, VLOOKUP(V$2, Percentiles!$A$45:$I$59, 7, FALSE), perc_95, VLOOKUP(V$2, Percentiles!$A$45:$I$59, 8, FALSE), perc_85, perc_75 + (perc_90 - perc_75) * (2/3), converted_stat, '2K_Ratings'!V889, IF(bbgm_stat &gt;= perc_95, converted_stat * 3, IF(bbgm_stat &gt;= perc_90, converted_stat * 2, IF(bbgm_stat &gt;= perc_85, converted_stat * 1.5, converted_stat)))))</f>
        <v/>
      </c>
      <c r="W889" s="30" t="str">
        <f t="array" ref="W889">IF($A889="", "", LET(bbgm_stat, INDEX(Players!$A888:$P888, MATCH(W$2, Players!$A$1:$P$1, 0)), perc_75, VLOOKUP(W$2, Percentiles!$A$45:$I$59, 6, FALSE), perc_90, VLOOKUP(W$2, Percentiles!$A$45:$I$59, 7, FALSE), perc_95, VLOOKUP(W$2, Percentiles!$A$45:$I$59, 8, FALSE), perc_85, perc_75 + (perc_90 - perc_75) * (2/3), converted_stat, '2K_Ratings'!W889, IF(bbgm_stat &gt;= perc_95, converted_stat * 3, IF(bbgm_stat &gt;= perc_90, converted_stat * 2, IF(bbgm_stat &gt;= perc_85, converted_stat * 1.5, converted_stat)))))</f>
        <v/>
      </c>
    </row>
    <row r="890">
      <c r="A890" s="30"/>
      <c r="B890" s="30" t="str">
        <f t="array" ref="B890">IF($A890="", "", LET(bbgm_stat, INDEX(Players!$A889:$P889, MATCH(B$2, Players!$A$1:$P$1, 0)), perc_75, VLOOKUP(B$2, Percentiles!$A$45:$I$59, 6, FALSE), perc_90, VLOOKUP(B$2, Percentiles!$A$45:$I$59, 7, FALSE), perc_95, VLOOKUP(B$2, Percentiles!$A$45:$I$59, 8, FALSE), perc_85, perc_75 + (perc_90 - perc_75) * (2/3), converted_stat, '2K_Ratings'!B890, IF(bbgm_stat &gt;= perc_95, converted_stat * 3, IF(bbgm_stat &gt;= perc_90, converted_stat * 2, IF(bbgm_stat &gt;= perc_85, converted_stat * 1.5, converted_stat)))))</f>
        <v/>
      </c>
      <c r="C890" s="30" t="str">
        <f t="array" ref="C890">IF($A890="", "", LET(bbgm_stat, INDEX(Players!$A889:$P889, MATCH(C$2, Players!$A$1:$P$1, 0)), perc_75, VLOOKUP(C$2, Percentiles!$A$45:$I$59, 6, FALSE), perc_90, VLOOKUP(C$2, Percentiles!$A$45:$I$59, 7, FALSE), perc_95, VLOOKUP(C$2, Percentiles!$A$45:$I$59, 8, FALSE), perc_85, perc_75 + (perc_90 - perc_75) * (2/3), converted_stat, '2K_Ratings'!C890, IF(bbgm_stat &gt;= perc_95, converted_stat * 3, IF(bbgm_stat &gt;= perc_90, converted_stat * 2, IF(bbgm_stat &gt;= perc_85, converted_stat * 1.5, converted_stat)))))</f>
        <v/>
      </c>
      <c r="D890" s="30" t="str">
        <f t="array" ref="D890">IF($A890="", "", LET(bbgm_stat, INDEX(Players!$A889:$P889, MATCH(D$2, Players!$A$1:$P$1, 0)), perc_75, VLOOKUP(D$2, Percentiles!$A$45:$I$59, 6, FALSE), perc_90, VLOOKUP(D$2, Percentiles!$A$45:$I$59, 7, FALSE), perc_95, VLOOKUP(D$2, Percentiles!$A$45:$I$59, 8, FALSE), perc_85, perc_75 + (perc_90 - perc_75) * (2/3), converted_stat, '2K_Ratings'!D890, IF(bbgm_stat &gt;= perc_95, converted_stat * 3, IF(bbgm_stat &gt;= perc_90, converted_stat * 2, IF(bbgm_stat &gt;= perc_85, converted_stat * 1.5, converted_stat)))))</f>
        <v/>
      </c>
      <c r="E890" s="30" t="str">
        <f t="array" ref="E890">IF($A890="", "", LET(bbgm_stat, INDEX(Players!$A889:$P889, MATCH(E$2, Players!$A$1:$P$1, 0)), perc_75, VLOOKUP(E$2, Percentiles!$A$45:$I$59, 6, FALSE), perc_90, VLOOKUP(E$2, Percentiles!$A$45:$I$59, 7, FALSE), perc_95, VLOOKUP(E$2, Percentiles!$A$45:$I$59, 8, FALSE), perc_85, perc_75 + (perc_90 - perc_75) * (2/3), converted_stat, '2K_Ratings'!E890, IF(bbgm_stat &gt;= perc_95, converted_stat * 3, IF(bbgm_stat &gt;= perc_90, converted_stat * 2, IF(bbgm_stat &gt;= perc_85, converted_stat * 1.5, converted_stat)))))</f>
        <v/>
      </c>
      <c r="F890" s="30" t="str">
        <f t="array" ref="F890">IF($A890="", "", LET(bbgm_stat, INDEX(Players!$A889:$P889, MATCH(F$2, Players!$A$1:$P$1, 0)), perc_75, VLOOKUP(F$2, Percentiles!$A$45:$I$59, 6, FALSE), perc_90, VLOOKUP(F$2, Percentiles!$A$45:$I$59, 7, FALSE), perc_95, VLOOKUP(F$2, Percentiles!$A$45:$I$59, 8, FALSE), perc_85, perc_75 + (perc_90 - perc_75) * (2/3), converted_stat, '2K_Ratings'!F890, IF(bbgm_stat &gt;= perc_95, converted_stat * 3, IF(bbgm_stat &gt;= perc_90, converted_stat * 2, IF(bbgm_stat &gt;= perc_85, converted_stat * 1.5, converted_stat)))))</f>
        <v/>
      </c>
      <c r="G890" s="30" t="str">
        <f t="array" ref="G890">IF($A890="", "", LET(bbgm_stat, INDEX(Players!$A889:$P889, MATCH(G$2, Players!$A$1:$P$1, 0)), perc_75, VLOOKUP(G$2, Percentiles!$A$45:$I$59, 6, FALSE), perc_90, VLOOKUP(G$2, Percentiles!$A$45:$I$59, 7, FALSE), perc_95, VLOOKUP(G$2, Percentiles!$A$45:$I$59, 8, FALSE), perc_85, perc_75 + (perc_90 - perc_75) * (2/3), converted_stat, '2K_Ratings'!G890, IF(bbgm_stat &gt;= perc_95, converted_stat * 3, IF(bbgm_stat &gt;= perc_90, converted_stat * 2, IF(bbgm_stat &gt;= perc_85, converted_stat * 1.5, converted_stat)))))</f>
        <v/>
      </c>
      <c r="H890" s="30" t="str">
        <f t="array" ref="H890">IF($A890="", "", LET(bbgm_stat, INDEX(Players!$A889:$P889, MATCH(H$2, Players!$A$1:$P$1, 0)), perc_75, VLOOKUP(H$2, Percentiles!$A$45:$I$59, 6, FALSE), perc_90, VLOOKUP(H$2, Percentiles!$A$45:$I$59, 7, FALSE), perc_95, VLOOKUP(H$2, Percentiles!$A$45:$I$59, 8, FALSE), perc_85, perc_75 + (perc_90 - perc_75) * (2/3), converted_stat, '2K_Ratings'!H890, IF(bbgm_stat &gt;= perc_95, converted_stat * 3, IF(bbgm_stat &gt;= perc_90, converted_stat * 2, IF(bbgm_stat &gt;= perc_85, converted_stat * 1.5, converted_stat)))))</f>
        <v/>
      </c>
      <c r="I890" s="30" t="str">
        <f t="array" ref="I890">IF($A890="", "", LET(bbgm_stat, INDEX(Players!$A889:$P889, MATCH(I$2, Players!$A$1:$P$1, 0)), perc_75, VLOOKUP(I$2, Percentiles!$A$45:$I$59, 6, FALSE), perc_90, VLOOKUP(I$2, Percentiles!$A$45:$I$59, 7, FALSE), perc_95, VLOOKUP(I$2, Percentiles!$A$45:$I$59, 8, FALSE), perc_85, perc_75 + (perc_90 - perc_75) * (2/3), converted_stat, '2K_Ratings'!I890, IF(bbgm_stat &gt;= perc_95, converted_stat * 3, IF(bbgm_stat &gt;= perc_90, converted_stat * 2, IF(bbgm_stat &gt;= perc_85, converted_stat * 1.5, converted_stat)))))</f>
        <v/>
      </c>
      <c r="J890" s="30" t="str">
        <f t="array" ref="J890">IF($A890="", "", LET(bbgm_stat, INDEX(Players!$A889:$P889, MATCH(J$2, Players!$A$1:$P$1, 0)), perc_75, VLOOKUP(J$2, Percentiles!$A$45:$I$59, 6, FALSE), perc_90, VLOOKUP(J$2, Percentiles!$A$45:$I$59, 7, FALSE), perc_95, VLOOKUP(J$2, Percentiles!$A$45:$I$59, 8, FALSE), perc_85, perc_75 + (perc_90 - perc_75) * (2/3), converted_stat, '2K_Ratings'!J890, IF(bbgm_stat &gt;= perc_95, converted_stat * 3, IF(bbgm_stat &gt;= perc_90, converted_stat * 2, IF(bbgm_stat &gt;= perc_85, converted_stat * 1.5, converted_stat)))))</f>
        <v/>
      </c>
      <c r="K890" s="30" t="str">
        <f t="array" ref="K890">IF($A890="", "", LET(bbgm_stat, INDEX(Players!$A889:$P889, MATCH(K$2, Players!$A$1:$P$1, 0)), perc_75, VLOOKUP(K$2, Percentiles!$A$45:$I$59, 6, FALSE), perc_90, VLOOKUP(K$2, Percentiles!$A$45:$I$59, 7, FALSE), perc_95, VLOOKUP(K$2, Percentiles!$A$45:$I$59, 8, FALSE), perc_85, perc_75 + (perc_90 - perc_75) * (2/3), converted_stat, '2K_Ratings'!K890, IF(bbgm_stat &gt;= perc_95, converted_stat * 3, IF(bbgm_stat &gt;= perc_90, converted_stat * 2, IF(bbgm_stat &gt;= perc_85, converted_stat * 1.5, converted_stat)))))</f>
        <v/>
      </c>
      <c r="L890" s="30" t="str">
        <f t="array" ref="L890">IF($A890="", "", LET(bbgm_stat, INDEX(Players!$A889:$P889, MATCH(L$2, Players!$A$1:$P$1, 0)), perc_75, VLOOKUP(L$2, Percentiles!$A$45:$I$59, 6, FALSE), perc_90, VLOOKUP(L$2, Percentiles!$A$45:$I$59, 7, FALSE), perc_95, VLOOKUP(L$2, Percentiles!$A$45:$I$59, 8, FALSE), perc_85, perc_75 + (perc_90 - perc_75) * (2/3), converted_stat, '2K_Ratings'!L890, IF(bbgm_stat &gt;= perc_95, converted_stat * 3, IF(bbgm_stat &gt;= perc_90, converted_stat * 2, IF(bbgm_stat &gt;= perc_85, converted_stat * 1.5, converted_stat)))))</f>
        <v/>
      </c>
      <c r="M890" s="30" t="str">
        <f t="array" ref="M890">IF($A890="", "", LET(bbgm_stat, INDEX(Players!$A889:$P889, MATCH(M$2, Players!$A$1:$P$1, 0)), perc_75, VLOOKUP(M$2, Percentiles!$A$45:$I$59, 6, FALSE), perc_90, VLOOKUP(M$2, Percentiles!$A$45:$I$59, 7, FALSE), perc_95, VLOOKUP(M$2, Percentiles!$A$45:$I$59, 8, FALSE), perc_85, perc_75 + (perc_90 - perc_75) * (2/3), converted_stat, '2K_Ratings'!M890, IF(bbgm_stat &gt;= perc_95, converted_stat * 3, IF(bbgm_stat &gt;= perc_90, converted_stat * 2, IF(bbgm_stat &gt;= perc_85, converted_stat * 1.5, converted_stat)))))</f>
        <v/>
      </c>
      <c r="N890" s="30" t="str">
        <f t="array" ref="N890">IF($A890="", "", LET(bbgm_stat, INDEX(Players!$A889:$P889, MATCH(N$2, Players!$A$1:$P$1, 0)), perc_75, VLOOKUP(N$2, Percentiles!$A$45:$I$59, 6, FALSE), perc_90, VLOOKUP(N$2, Percentiles!$A$45:$I$59, 7, FALSE), perc_95, VLOOKUP(N$2, Percentiles!$A$45:$I$59, 8, FALSE), perc_85, perc_75 + (perc_90 - perc_75) * (2/3), converted_stat, '2K_Ratings'!N890, IF(bbgm_stat &gt;= perc_95, converted_stat * 3, IF(bbgm_stat &gt;= perc_90, converted_stat * 2, IF(bbgm_stat &gt;= perc_85, converted_stat * 1.5, converted_stat)))))</f>
        <v/>
      </c>
      <c r="O890" s="30" t="str">
        <f t="array" ref="O890">IF($A890="", "", LET(bbgm_stat, INDEX(Players!$A889:$P889, MATCH(O$2, Players!$A$1:$P$1, 0)), perc_75, VLOOKUP(O$2, Percentiles!$A$45:$I$59, 6, FALSE), perc_90, VLOOKUP(O$2, Percentiles!$A$45:$I$59, 7, FALSE), perc_95, VLOOKUP(O$2, Percentiles!$A$45:$I$59, 8, FALSE), perc_85, perc_75 + (perc_90 - perc_75) * (2/3), converted_stat, '2K_Ratings'!O890, IF(bbgm_stat &gt;= perc_95, converted_stat * 3, IF(bbgm_stat &gt;= perc_90, converted_stat * 2, IF(bbgm_stat &gt;= perc_85, converted_stat * 1.5, converted_stat)))))</f>
        <v/>
      </c>
      <c r="P890" s="30" t="str">
        <f t="array" ref="P890">IF($A890="", "", LET(bbgm_stat, INDEX(Players!$A889:$P889, MATCH(P$2, Players!$A$1:$P$1, 0)), perc_75, VLOOKUP(P$2, Percentiles!$A$45:$I$59, 6, FALSE), perc_90, VLOOKUP(P$2, Percentiles!$A$45:$I$59, 7, FALSE), perc_95, VLOOKUP(P$2, Percentiles!$A$45:$I$59, 8, FALSE), perc_85, perc_75 + (perc_90 - perc_75) * (2/3), converted_stat, '2K_Ratings'!P890, IF(bbgm_stat &gt;= perc_95, converted_stat * 3, IF(bbgm_stat &gt;= perc_90, converted_stat * 2, IF(bbgm_stat &gt;= perc_85, converted_stat * 1.5, converted_stat)))))</f>
        <v/>
      </c>
      <c r="Q890" s="30" t="str">
        <f t="array" ref="Q890">IF($A890="", "", LET(bbgm_stat, INDEX(Players!$A889:$P889, MATCH(Q$2, Players!$A$1:$P$1, 0)), perc_75, VLOOKUP(Q$2, Percentiles!$A$45:$I$59, 6, FALSE), perc_90, VLOOKUP(Q$2, Percentiles!$A$45:$I$59, 7, FALSE), perc_95, VLOOKUP(Q$2, Percentiles!$A$45:$I$59, 8, FALSE), perc_85, perc_75 + (perc_90 - perc_75) * (2/3), converted_stat, '2K_Ratings'!Q890, IF(bbgm_stat &gt;= perc_95, converted_stat * 3, IF(bbgm_stat &gt;= perc_90, converted_stat * 2, IF(bbgm_stat &gt;= perc_85, converted_stat * 1.5, converted_stat)))))</f>
        <v/>
      </c>
      <c r="R890" s="30" t="str">
        <f t="array" ref="R890">IF($A890="", "", LET(bbgm_stat, INDEX(Players!$A889:$P889, MATCH(R$2, Players!$A$1:$P$1, 0)), perc_75, VLOOKUP(R$2, Percentiles!$A$45:$I$59, 6, FALSE), perc_90, VLOOKUP(R$2, Percentiles!$A$45:$I$59, 7, FALSE), perc_95, VLOOKUP(R$2, Percentiles!$A$45:$I$59, 8, FALSE), perc_85, perc_75 + (perc_90 - perc_75) * (2/3), converted_stat, '2K_Ratings'!R890, IF(bbgm_stat &gt;= perc_95, converted_stat * 3, IF(bbgm_stat &gt;= perc_90, converted_stat * 2, IF(bbgm_stat &gt;= perc_85, converted_stat * 1.5, converted_stat)))))</f>
        <v/>
      </c>
      <c r="S890" s="30" t="str">
        <f t="array" ref="S890">IF($A890="", "", LET(bbgm_stat, INDEX(Players!$A889:$P889, MATCH(S$2, Players!$A$1:$P$1, 0)), perc_75, VLOOKUP(S$2, Percentiles!$A$45:$I$59, 6, FALSE), perc_90, VLOOKUP(S$2, Percentiles!$A$45:$I$59, 7, FALSE), perc_95, VLOOKUP(S$2, Percentiles!$A$45:$I$59, 8, FALSE), perc_85, perc_75 + (perc_90 - perc_75) * (2/3), converted_stat, '2K_Ratings'!S890, IF(bbgm_stat &gt;= perc_95, converted_stat * 3, IF(bbgm_stat &gt;= perc_90, converted_stat * 2, IF(bbgm_stat &gt;= perc_85, converted_stat * 1.5, converted_stat)))))</f>
        <v/>
      </c>
      <c r="T890" s="30" t="str">
        <f t="array" ref="T890">IF($A890="", "", LET(bbgm_stat, INDEX(Players!$A889:$P889, MATCH(T$2, Players!$A$1:$P$1, 0)), perc_75, VLOOKUP(T$2, Percentiles!$A$45:$I$59, 6, FALSE), perc_90, VLOOKUP(T$2, Percentiles!$A$45:$I$59, 7, FALSE), perc_95, VLOOKUP(T$2, Percentiles!$A$45:$I$59, 8, FALSE), perc_85, perc_75 + (perc_90 - perc_75) * (2/3), converted_stat, '2K_Ratings'!T890, IF(bbgm_stat &gt;= perc_95, converted_stat * 3, IF(bbgm_stat &gt;= perc_90, converted_stat * 2, IF(bbgm_stat &gt;= perc_85, converted_stat * 1.5, converted_stat)))))</f>
        <v/>
      </c>
      <c r="U890" s="30" t="str">
        <f t="array" ref="U890">IF($A890="", "", LET(bbgm_stat, INDEX(Players!$A889:$P889, MATCH(U$2, Players!$A$1:$P$1, 0)), perc_75, VLOOKUP(U$2, Percentiles!$A$45:$I$59, 6, FALSE), perc_90, VLOOKUP(U$2, Percentiles!$A$45:$I$59, 7, FALSE), perc_95, VLOOKUP(U$2, Percentiles!$A$45:$I$59, 8, FALSE), perc_85, perc_75 + (perc_90 - perc_75) * (2/3), converted_stat, '2K_Ratings'!U890, IF(bbgm_stat &gt;= perc_95, converted_stat * 3, IF(bbgm_stat &gt;= perc_90, converted_stat * 2, IF(bbgm_stat &gt;= perc_85, converted_stat * 1.5, converted_stat)))))</f>
        <v/>
      </c>
      <c r="V890" s="30" t="str">
        <f t="array" ref="V890">IF($A890="", "", LET(bbgm_stat, INDEX(Players!$A889:$P889, MATCH(V$2, Players!$A$1:$P$1, 0)), perc_75, VLOOKUP(V$2, Percentiles!$A$45:$I$59, 6, FALSE), perc_90, VLOOKUP(V$2, Percentiles!$A$45:$I$59, 7, FALSE), perc_95, VLOOKUP(V$2, Percentiles!$A$45:$I$59, 8, FALSE), perc_85, perc_75 + (perc_90 - perc_75) * (2/3), converted_stat, '2K_Ratings'!V890, IF(bbgm_stat &gt;= perc_95, converted_stat * 3, IF(bbgm_stat &gt;= perc_90, converted_stat * 2, IF(bbgm_stat &gt;= perc_85, converted_stat * 1.5, converted_stat)))))</f>
        <v/>
      </c>
      <c r="W890" s="30" t="str">
        <f t="array" ref="W890">IF($A890="", "", LET(bbgm_stat, INDEX(Players!$A889:$P889, MATCH(W$2, Players!$A$1:$P$1, 0)), perc_75, VLOOKUP(W$2, Percentiles!$A$45:$I$59, 6, FALSE), perc_90, VLOOKUP(W$2, Percentiles!$A$45:$I$59, 7, FALSE), perc_95, VLOOKUP(W$2, Percentiles!$A$45:$I$59, 8, FALSE), perc_85, perc_75 + (perc_90 - perc_75) * (2/3), converted_stat, '2K_Ratings'!W890, IF(bbgm_stat &gt;= perc_95, converted_stat * 3, IF(bbgm_stat &gt;= perc_90, converted_stat * 2, IF(bbgm_stat &gt;= perc_85, converted_stat * 1.5, converted_stat)))))</f>
        <v/>
      </c>
    </row>
    <row r="891">
      <c r="A891" s="30"/>
      <c r="B891" s="30" t="str">
        <f t="array" ref="B891">IF($A891="", "", LET(bbgm_stat, INDEX(Players!$A890:$P890, MATCH(B$2, Players!$A$1:$P$1, 0)), perc_75, VLOOKUP(B$2, Percentiles!$A$45:$I$59, 6, FALSE), perc_90, VLOOKUP(B$2, Percentiles!$A$45:$I$59, 7, FALSE), perc_95, VLOOKUP(B$2, Percentiles!$A$45:$I$59, 8, FALSE), perc_85, perc_75 + (perc_90 - perc_75) * (2/3), converted_stat, '2K_Ratings'!B891, IF(bbgm_stat &gt;= perc_95, converted_stat * 3, IF(bbgm_stat &gt;= perc_90, converted_stat * 2, IF(bbgm_stat &gt;= perc_85, converted_stat * 1.5, converted_stat)))))</f>
        <v/>
      </c>
      <c r="C891" s="30" t="str">
        <f t="array" ref="C891">IF($A891="", "", LET(bbgm_stat, INDEX(Players!$A890:$P890, MATCH(C$2, Players!$A$1:$P$1, 0)), perc_75, VLOOKUP(C$2, Percentiles!$A$45:$I$59, 6, FALSE), perc_90, VLOOKUP(C$2, Percentiles!$A$45:$I$59, 7, FALSE), perc_95, VLOOKUP(C$2, Percentiles!$A$45:$I$59, 8, FALSE), perc_85, perc_75 + (perc_90 - perc_75) * (2/3), converted_stat, '2K_Ratings'!C891, IF(bbgm_stat &gt;= perc_95, converted_stat * 3, IF(bbgm_stat &gt;= perc_90, converted_stat * 2, IF(bbgm_stat &gt;= perc_85, converted_stat * 1.5, converted_stat)))))</f>
        <v/>
      </c>
      <c r="D891" s="30" t="str">
        <f t="array" ref="D891">IF($A891="", "", LET(bbgm_stat, INDEX(Players!$A890:$P890, MATCH(D$2, Players!$A$1:$P$1, 0)), perc_75, VLOOKUP(D$2, Percentiles!$A$45:$I$59, 6, FALSE), perc_90, VLOOKUP(D$2, Percentiles!$A$45:$I$59, 7, FALSE), perc_95, VLOOKUP(D$2, Percentiles!$A$45:$I$59, 8, FALSE), perc_85, perc_75 + (perc_90 - perc_75) * (2/3), converted_stat, '2K_Ratings'!D891, IF(bbgm_stat &gt;= perc_95, converted_stat * 3, IF(bbgm_stat &gt;= perc_90, converted_stat * 2, IF(bbgm_stat &gt;= perc_85, converted_stat * 1.5, converted_stat)))))</f>
        <v/>
      </c>
      <c r="E891" s="30" t="str">
        <f t="array" ref="E891">IF($A891="", "", LET(bbgm_stat, INDEX(Players!$A890:$P890, MATCH(E$2, Players!$A$1:$P$1, 0)), perc_75, VLOOKUP(E$2, Percentiles!$A$45:$I$59, 6, FALSE), perc_90, VLOOKUP(E$2, Percentiles!$A$45:$I$59, 7, FALSE), perc_95, VLOOKUP(E$2, Percentiles!$A$45:$I$59, 8, FALSE), perc_85, perc_75 + (perc_90 - perc_75) * (2/3), converted_stat, '2K_Ratings'!E891, IF(bbgm_stat &gt;= perc_95, converted_stat * 3, IF(bbgm_stat &gt;= perc_90, converted_stat * 2, IF(bbgm_stat &gt;= perc_85, converted_stat * 1.5, converted_stat)))))</f>
        <v/>
      </c>
      <c r="F891" s="30" t="str">
        <f t="array" ref="F891">IF($A891="", "", LET(bbgm_stat, INDEX(Players!$A890:$P890, MATCH(F$2, Players!$A$1:$P$1, 0)), perc_75, VLOOKUP(F$2, Percentiles!$A$45:$I$59, 6, FALSE), perc_90, VLOOKUP(F$2, Percentiles!$A$45:$I$59, 7, FALSE), perc_95, VLOOKUP(F$2, Percentiles!$A$45:$I$59, 8, FALSE), perc_85, perc_75 + (perc_90 - perc_75) * (2/3), converted_stat, '2K_Ratings'!F891, IF(bbgm_stat &gt;= perc_95, converted_stat * 3, IF(bbgm_stat &gt;= perc_90, converted_stat * 2, IF(bbgm_stat &gt;= perc_85, converted_stat * 1.5, converted_stat)))))</f>
        <v/>
      </c>
      <c r="G891" s="30" t="str">
        <f t="array" ref="G891">IF($A891="", "", LET(bbgm_stat, INDEX(Players!$A890:$P890, MATCH(G$2, Players!$A$1:$P$1, 0)), perc_75, VLOOKUP(G$2, Percentiles!$A$45:$I$59, 6, FALSE), perc_90, VLOOKUP(G$2, Percentiles!$A$45:$I$59, 7, FALSE), perc_95, VLOOKUP(G$2, Percentiles!$A$45:$I$59, 8, FALSE), perc_85, perc_75 + (perc_90 - perc_75) * (2/3), converted_stat, '2K_Ratings'!G891, IF(bbgm_stat &gt;= perc_95, converted_stat * 3, IF(bbgm_stat &gt;= perc_90, converted_stat * 2, IF(bbgm_stat &gt;= perc_85, converted_stat * 1.5, converted_stat)))))</f>
        <v/>
      </c>
      <c r="H891" s="30" t="str">
        <f t="array" ref="H891">IF($A891="", "", LET(bbgm_stat, INDEX(Players!$A890:$P890, MATCH(H$2, Players!$A$1:$P$1, 0)), perc_75, VLOOKUP(H$2, Percentiles!$A$45:$I$59, 6, FALSE), perc_90, VLOOKUP(H$2, Percentiles!$A$45:$I$59, 7, FALSE), perc_95, VLOOKUP(H$2, Percentiles!$A$45:$I$59, 8, FALSE), perc_85, perc_75 + (perc_90 - perc_75) * (2/3), converted_stat, '2K_Ratings'!H891, IF(bbgm_stat &gt;= perc_95, converted_stat * 3, IF(bbgm_stat &gt;= perc_90, converted_stat * 2, IF(bbgm_stat &gt;= perc_85, converted_stat * 1.5, converted_stat)))))</f>
        <v/>
      </c>
      <c r="I891" s="30" t="str">
        <f t="array" ref="I891">IF($A891="", "", LET(bbgm_stat, INDEX(Players!$A890:$P890, MATCH(I$2, Players!$A$1:$P$1, 0)), perc_75, VLOOKUP(I$2, Percentiles!$A$45:$I$59, 6, FALSE), perc_90, VLOOKUP(I$2, Percentiles!$A$45:$I$59, 7, FALSE), perc_95, VLOOKUP(I$2, Percentiles!$A$45:$I$59, 8, FALSE), perc_85, perc_75 + (perc_90 - perc_75) * (2/3), converted_stat, '2K_Ratings'!I891, IF(bbgm_stat &gt;= perc_95, converted_stat * 3, IF(bbgm_stat &gt;= perc_90, converted_stat * 2, IF(bbgm_stat &gt;= perc_85, converted_stat * 1.5, converted_stat)))))</f>
        <v/>
      </c>
      <c r="J891" s="30" t="str">
        <f t="array" ref="J891">IF($A891="", "", LET(bbgm_stat, INDEX(Players!$A890:$P890, MATCH(J$2, Players!$A$1:$P$1, 0)), perc_75, VLOOKUP(J$2, Percentiles!$A$45:$I$59, 6, FALSE), perc_90, VLOOKUP(J$2, Percentiles!$A$45:$I$59, 7, FALSE), perc_95, VLOOKUP(J$2, Percentiles!$A$45:$I$59, 8, FALSE), perc_85, perc_75 + (perc_90 - perc_75) * (2/3), converted_stat, '2K_Ratings'!J891, IF(bbgm_stat &gt;= perc_95, converted_stat * 3, IF(bbgm_stat &gt;= perc_90, converted_stat * 2, IF(bbgm_stat &gt;= perc_85, converted_stat * 1.5, converted_stat)))))</f>
        <v/>
      </c>
      <c r="K891" s="30" t="str">
        <f t="array" ref="K891">IF($A891="", "", LET(bbgm_stat, INDEX(Players!$A890:$P890, MATCH(K$2, Players!$A$1:$P$1, 0)), perc_75, VLOOKUP(K$2, Percentiles!$A$45:$I$59, 6, FALSE), perc_90, VLOOKUP(K$2, Percentiles!$A$45:$I$59, 7, FALSE), perc_95, VLOOKUP(K$2, Percentiles!$A$45:$I$59, 8, FALSE), perc_85, perc_75 + (perc_90 - perc_75) * (2/3), converted_stat, '2K_Ratings'!K891, IF(bbgm_stat &gt;= perc_95, converted_stat * 3, IF(bbgm_stat &gt;= perc_90, converted_stat * 2, IF(bbgm_stat &gt;= perc_85, converted_stat * 1.5, converted_stat)))))</f>
        <v/>
      </c>
      <c r="L891" s="30" t="str">
        <f t="array" ref="L891">IF($A891="", "", LET(bbgm_stat, INDEX(Players!$A890:$P890, MATCH(L$2, Players!$A$1:$P$1, 0)), perc_75, VLOOKUP(L$2, Percentiles!$A$45:$I$59, 6, FALSE), perc_90, VLOOKUP(L$2, Percentiles!$A$45:$I$59, 7, FALSE), perc_95, VLOOKUP(L$2, Percentiles!$A$45:$I$59, 8, FALSE), perc_85, perc_75 + (perc_90 - perc_75) * (2/3), converted_stat, '2K_Ratings'!L891, IF(bbgm_stat &gt;= perc_95, converted_stat * 3, IF(bbgm_stat &gt;= perc_90, converted_stat * 2, IF(bbgm_stat &gt;= perc_85, converted_stat * 1.5, converted_stat)))))</f>
        <v/>
      </c>
      <c r="M891" s="30" t="str">
        <f t="array" ref="M891">IF($A891="", "", LET(bbgm_stat, INDEX(Players!$A890:$P890, MATCH(M$2, Players!$A$1:$P$1, 0)), perc_75, VLOOKUP(M$2, Percentiles!$A$45:$I$59, 6, FALSE), perc_90, VLOOKUP(M$2, Percentiles!$A$45:$I$59, 7, FALSE), perc_95, VLOOKUP(M$2, Percentiles!$A$45:$I$59, 8, FALSE), perc_85, perc_75 + (perc_90 - perc_75) * (2/3), converted_stat, '2K_Ratings'!M891, IF(bbgm_stat &gt;= perc_95, converted_stat * 3, IF(bbgm_stat &gt;= perc_90, converted_stat * 2, IF(bbgm_stat &gt;= perc_85, converted_stat * 1.5, converted_stat)))))</f>
        <v/>
      </c>
      <c r="N891" s="30" t="str">
        <f t="array" ref="N891">IF($A891="", "", LET(bbgm_stat, INDEX(Players!$A890:$P890, MATCH(N$2, Players!$A$1:$P$1, 0)), perc_75, VLOOKUP(N$2, Percentiles!$A$45:$I$59, 6, FALSE), perc_90, VLOOKUP(N$2, Percentiles!$A$45:$I$59, 7, FALSE), perc_95, VLOOKUP(N$2, Percentiles!$A$45:$I$59, 8, FALSE), perc_85, perc_75 + (perc_90 - perc_75) * (2/3), converted_stat, '2K_Ratings'!N891, IF(bbgm_stat &gt;= perc_95, converted_stat * 3, IF(bbgm_stat &gt;= perc_90, converted_stat * 2, IF(bbgm_stat &gt;= perc_85, converted_stat * 1.5, converted_stat)))))</f>
        <v/>
      </c>
      <c r="O891" s="30" t="str">
        <f t="array" ref="O891">IF($A891="", "", LET(bbgm_stat, INDEX(Players!$A890:$P890, MATCH(O$2, Players!$A$1:$P$1, 0)), perc_75, VLOOKUP(O$2, Percentiles!$A$45:$I$59, 6, FALSE), perc_90, VLOOKUP(O$2, Percentiles!$A$45:$I$59, 7, FALSE), perc_95, VLOOKUP(O$2, Percentiles!$A$45:$I$59, 8, FALSE), perc_85, perc_75 + (perc_90 - perc_75) * (2/3), converted_stat, '2K_Ratings'!O891, IF(bbgm_stat &gt;= perc_95, converted_stat * 3, IF(bbgm_stat &gt;= perc_90, converted_stat * 2, IF(bbgm_stat &gt;= perc_85, converted_stat * 1.5, converted_stat)))))</f>
        <v/>
      </c>
      <c r="P891" s="30" t="str">
        <f t="array" ref="P891">IF($A891="", "", LET(bbgm_stat, INDEX(Players!$A890:$P890, MATCH(P$2, Players!$A$1:$P$1, 0)), perc_75, VLOOKUP(P$2, Percentiles!$A$45:$I$59, 6, FALSE), perc_90, VLOOKUP(P$2, Percentiles!$A$45:$I$59, 7, FALSE), perc_95, VLOOKUP(P$2, Percentiles!$A$45:$I$59, 8, FALSE), perc_85, perc_75 + (perc_90 - perc_75) * (2/3), converted_stat, '2K_Ratings'!P891, IF(bbgm_stat &gt;= perc_95, converted_stat * 3, IF(bbgm_stat &gt;= perc_90, converted_stat * 2, IF(bbgm_stat &gt;= perc_85, converted_stat * 1.5, converted_stat)))))</f>
        <v/>
      </c>
      <c r="Q891" s="30" t="str">
        <f t="array" ref="Q891">IF($A891="", "", LET(bbgm_stat, INDEX(Players!$A890:$P890, MATCH(Q$2, Players!$A$1:$P$1, 0)), perc_75, VLOOKUP(Q$2, Percentiles!$A$45:$I$59, 6, FALSE), perc_90, VLOOKUP(Q$2, Percentiles!$A$45:$I$59, 7, FALSE), perc_95, VLOOKUP(Q$2, Percentiles!$A$45:$I$59, 8, FALSE), perc_85, perc_75 + (perc_90 - perc_75) * (2/3), converted_stat, '2K_Ratings'!Q891, IF(bbgm_stat &gt;= perc_95, converted_stat * 3, IF(bbgm_stat &gt;= perc_90, converted_stat * 2, IF(bbgm_stat &gt;= perc_85, converted_stat * 1.5, converted_stat)))))</f>
        <v/>
      </c>
      <c r="R891" s="30" t="str">
        <f t="array" ref="R891">IF($A891="", "", LET(bbgm_stat, INDEX(Players!$A890:$P890, MATCH(R$2, Players!$A$1:$P$1, 0)), perc_75, VLOOKUP(R$2, Percentiles!$A$45:$I$59, 6, FALSE), perc_90, VLOOKUP(R$2, Percentiles!$A$45:$I$59, 7, FALSE), perc_95, VLOOKUP(R$2, Percentiles!$A$45:$I$59, 8, FALSE), perc_85, perc_75 + (perc_90 - perc_75) * (2/3), converted_stat, '2K_Ratings'!R891, IF(bbgm_stat &gt;= perc_95, converted_stat * 3, IF(bbgm_stat &gt;= perc_90, converted_stat * 2, IF(bbgm_stat &gt;= perc_85, converted_stat * 1.5, converted_stat)))))</f>
        <v/>
      </c>
      <c r="S891" s="30" t="str">
        <f t="array" ref="S891">IF($A891="", "", LET(bbgm_stat, INDEX(Players!$A890:$P890, MATCH(S$2, Players!$A$1:$P$1, 0)), perc_75, VLOOKUP(S$2, Percentiles!$A$45:$I$59, 6, FALSE), perc_90, VLOOKUP(S$2, Percentiles!$A$45:$I$59, 7, FALSE), perc_95, VLOOKUP(S$2, Percentiles!$A$45:$I$59, 8, FALSE), perc_85, perc_75 + (perc_90 - perc_75) * (2/3), converted_stat, '2K_Ratings'!S891, IF(bbgm_stat &gt;= perc_95, converted_stat * 3, IF(bbgm_stat &gt;= perc_90, converted_stat * 2, IF(bbgm_stat &gt;= perc_85, converted_stat * 1.5, converted_stat)))))</f>
        <v/>
      </c>
      <c r="T891" s="30" t="str">
        <f t="array" ref="T891">IF($A891="", "", LET(bbgm_stat, INDEX(Players!$A890:$P890, MATCH(T$2, Players!$A$1:$P$1, 0)), perc_75, VLOOKUP(T$2, Percentiles!$A$45:$I$59, 6, FALSE), perc_90, VLOOKUP(T$2, Percentiles!$A$45:$I$59, 7, FALSE), perc_95, VLOOKUP(T$2, Percentiles!$A$45:$I$59, 8, FALSE), perc_85, perc_75 + (perc_90 - perc_75) * (2/3), converted_stat, '2K_Ratings'!T891, IF(bbgm_stat &gt;= perc_95, converted_stat * 3, IF(bbgm_stat &gt;= perc_90, converted_stat * 2, IF(bbgm_stat &gt;= perc_85, converted_stat * 1.5, converted_stat)))))</f>
        <v/>
      </c>
      <c r="U891" s="30" t="str">
        <f t="array" ref="U891">IF($A891="", "", LET(bbgm_stat, INDEX(Players!$A890:$P890, MATCH(U$2, Players!$A$1:$P$1, 0)), perc_75, VLOOKUP(U$2, Percentiles!$A$45:$I$59, 6, FALSE), perc_90, VLOOKUP(U$2, Percentiles!$A$45:$I$59, 7, FALSE), perc_95, VLOOKUP(U$2, Percentiles!$A$45:$I$59, 8, FALSE), perc_85, perc_75 + (perc_90 - perc_75) * (2/3), converted_stat, '2K_Ratings'!U891, IF(bbgm_stat &gt;= perc_95, converted_stat * 3, IF(bbgm_stat &gt;= perc_90, converted_stat * 2, IF(bbgm_stat &gt;= perc_85, converted_stat * 1.5, converted_stat)))))</f>
        <v/>
      </c>
      <c r="V891" s="30" t="str">
        <f t="array" ref="V891">IF($A891="", "", LET(bbgm_stat, INDEX(Players!$A890:$P890, MATCH(V$2, Players!$A$1:$P$1, 0)), perc_75, VLOOKUP(V$2, Percentiles!$A$45:$I$59, 6, FALSE), perc_90, VLOOKUP(V$2, Percentiles!$A$45:$I$59, 7, FALSE), perc_95, VLOOKUP(V$2, Percentiles!$A$45:$I$59, 8, FALSE), perc_85, perc_75 + (perc_90 - perc_75) * (2/3), converted_stat, '2K_Ratings'!V891, IF(bbgm_stat &gt;= perc_95, converted_stat * 3, IF(bbgm_stat &gt;= perc_90, converted_stat * 2, IF(bbgm_stat &gt;= perc_85, converted_stat * 1.5, converted_stat)))))</f>
        <v/>
      </c>
      <c r="W891" s="30" t="str">
        <f t="array" ref="W891">IF($A891="", "", LET(bbgm_stat, INDEX(Players!$A890:$P890, MATCH(W$2, Players!$A$1:$P$1, 0)), perc_75, VLOOKUP(W$2, Percentiles!$A$45:$I$59, 6, FALSE), perc_90, VLOOKUP(W$2, Percentiles!$A$45:$I$59, 7, FALSE), perc_95, VLOOKUP(W$2, Percentiles!$A$45:$I$59, 8, FALSE), perc_85, perc_75 + (perc_90 - perc_75) * (2/3), converted_stat, '2K_Ratings'!W891, IF(bbgm_stat &gt;= perc_95, converted_stat * 3, IF(bbgm_stat &gt;= perc_90, converted_stat * 2, IF(bbgm_stat &gt;= perc_85, converted_stat * 1.5, converted_stat)))))</f>
        <v/>
      </c>
    </row>
    <row r="892">
      <c r="A892" s="30"/>
      <c r="B892" s="30" t="str">
        <f t="array" ref="B892">IF($A892="", "", LET(bbgm_stat, INDEX(Players!$A891:$P891, MATCH(B$2, Players!$A$1:$P$1, 0)), perc_75, VLOOKUP(B$2, Percentiles!$A$45:$I$59, 6, FALSE), perc_90, VLOOKUP(B$2, Percentiles!$A$45:$I$59, 7, FALSE), perc_95, VLOOKUP(B$2, Percentiles!$A$45:$I$59, 8, FALSE), perc_85, perc_75 + (perc_90 - perc_75) * (2/3), converted_stat, '2K_Ratings'!B892, IF(bbgm_stat &gt;= perc_95, converted_stat * 3, IF(bbgm_stat &gt;= perc_90, converted_stat * 2, IF(bbgm_stat &gt;= perc_85, converted_stat * 1.5, converted_stat)))))</f>
        <v/>
      </c>
      <c r="C892" s="30" t="str">
        <f t="array" ref="C892">IF($A892="", "", LET(bbgm_stat, INDEX(Players!$A891:$P891, MATCH(C$2, Players!$A$1:$P$1, 0)), perc_75, VLOOKUP(C$2, Percentiles!$A$45:$I$59, 6, FALSE), perc_90, VLOOKUP(C$2, Percentiles!$A$45:$I$59, 7, FALSE), perc_95, VLOOKUP(C$2, Percentiles!$A$45:$I$59, 8, FALSE), perc_85, perc_75 + (perc_90 - perc_75) * (2/3), converted_stat, '2K_Ratings'!C892, IF(bbgm_stat &gt;= perc_95, converted_stat * 3, IF(bbgm_stat &gt;= perc_90, converted_stat * 2, IF(bbgm_stat &gt;= perc_85, converted_stat * 1.5, converted_stat)))))</f>
        <v/>
      </c>
      <c r="D892" s="30" t="str">
        <f t="array" ref="D892">IF($A892="", "", LET(bbgm_stat, INDEX(Players!$A891:$P891, MATCH(D$2, Players!$A$1:$P$1, 0)), perc_75, VLOOKUP(D$2, Percentiles!$A$45:$I$59, 6, FALSE), perc_90, VLOOKUP(D$2, Percentiles!$A$45:$I$59, 7, FALSE), perc_95, VLOOKUP(D$2, Percentiles!$A$45:$I$59, 8, FALSE), perc_85, perc_75 + (perc_90 - perc_75) * (2/3), converted_stat, '2K_Ratings'!D892, IF(bbgm_stat &gt;= perc_95, converted_stat * 3, IF(bbgm_stat &gt;= perc_90, converted_stat * 2, IF(bbgm_stat &gt;= perc_85, converted_stat * 1.5, converted_stat)))))</f>
        <v/>
      </c>
      <c r="E892" s="30" t="str">
        <f t="array" ref="E892">IF($A892="", "", LET(bbgm_stat, INDEX(Players!$A891:$P891, MATCH(E$2, Players!$A$1:$P$1, 0)), perc_75, VLOOKUP(E$2, Percentiles!$A$45:$I$59, 6, FALSE), perc_90, VLOOKUP(E$2, Percentiles!$A$45:$I$59, 7, FALSE), perc_95, VLOOKUP(E$2, Percentiles!$A$45:$I$59, 8, FALSE), perc_85, perc_75 + (perc_90 - perc_75) * (2/3), converted_stat, '2K_Ratings'!E892, IF(bbgm_stat &gt;= perc_95, converted_stat * 3, IF(bbgm_stat &gt;= perc_90, converted_stat * 2, IF(bbgm_stat &gt;= perc_85, converted_stat * 1.5, converted_stat)))))</f>
        <v/>
      </c>
      <c r="F892" s="30" t="str">
        <f t="array" ref="F892">IF($A892="", "", LET(bbgm_stat, INDEX(Players!$A891:$P891, MATCH(F$2, Players!$A$1:$P$1, 0)), perc_75, VLOOKUP(F$2, Percentiles!$A$45:$I$59, 6, FALSE), perc_90, VLOOKUP(F$2, Percentiles!$A$45:$I$59, 7, FALSE), perc_95, VLOOKUP(F$2, Percentiles!$A$45:$I$59, 8, FALSE), perc_85, perc_75 + (perc_90 - perc_75) * (2/3), converted_stat, '2K_Ratings'!F892, IF(bbgm_stat &gt;= perc_95, converted_stat * 3, IF(bbgm_stat &gt;= perc_90, converted_stat * 2, IF(bbgm_stat &gt;= perc_85, converted_stat * 1.5, converted_stat)))))</f>
        <v/>
      </c>
      <c r="G892" s="30" t="str">
        <f t="array" ref="G892">IF($A892="", "", LET(bbgm_stat, INDEX(Players!$A891:$P891, MATCH(G$2, Players!$A$1:$P$1, 0)), perc_75, VLOOKUP(G$2, Percentiles!$A$45:$I$59, 6, FALSE), perc_90, VLOOKUP(G$2, Percentiles!$A$45:$I$59, 7, FALSE), perc_95, VLOOKUP(G$2, Percentiles!$A$45:$I$59, 8, FALSE), perc_85, perc_75 + (perc_90 - perc_75) * (2/3), converted_stat, '2K_Ratings'!G892, IF(bbgm_stat &gt;= perc_95, converted_stat * 3, IF(bbgm_stat &gt;= perc_90, converted_stat * 2, IF(bbgm_stat &gt;= perc_85, converted_stat * 1.5, converted_stat)))))</f>
        <v/>
      </c>
      <c r="H892" s="30" t="str">
        <f t="array" ref="H892">IF($A892="", "", LET(bbgm_stat, INDEX(Players!$A891:$P891, MATCH(H$2, Players!$A$1:$P$1, 0)), perc_75, VLOOKUP(H$2, Percentiles!$A$45:$I$59, 6, FALSE), perc_90, VLOOKUP(H$2, Percentiles!$A$45:$I$59, 7, FALSE), perc_95, VLOOKUP(H$2, Percentiles!$A$45:$I$59, 8, FALSE), perc_85, perc_75 + (perc_90 - perc_75) * (2/3), converted_stat, '2K_Ratings'!H892, IF(bbgm_stat &gt;= perc_95, converted_stat * 3, IF(bbgm_stat &gt;= perc_90, converted_stat * 2, IF(bbgm_stat &gt;= perc_85, converted_stat * 1.5, converted_stat)))))</f>
        <v/>
      </c>
      <c r="I892" s="30" t="str">
        <f t="array" ref="I892">IF($A892="", "", LET(bbgm_stat, INDEX(Players!$A891:$P891, MATCH(I$2, Players!$A$1:$P$1, 0)), perc_75, VLOOKUP(I$2, Percentiles!$A$45:$I$59, 6, FALSE), perc_90, VLOOKUP(I$2, Percentiles!$A$45:$I$59, 7, FALSE), perc_95, VLOOKUP(I$2, Percentiles!$A$45:$I$59, 8, FALSE), perc_85, perc_75 + (perc_90 - perc_75) * (2/3), converted_stat, '2K_Ratings'!I892, IF(bbgm_stat &gt;= perc_95, converted_stat * 3, IF(bbgm_stat &gt;= perc_90, converted_stat * 2, IF(bbgm_stat &gt;= perc_85, converted_stat * 1.5, converted_stat)))))</f>
        <v/>
      </c>
      <c r="J892" s="30" t="str">
        <f t="array" ref="J892">IF($A892="", "", LET(bbgm_stat, INDEX(Players!$A891:$P891, MATCH(J$2, Players!$A$1:$P$1, 0)), perc_75, VLOOKUP(J$2, Percentiles!$A$45:$I$59, 6, FALSE), perc_90, VLOOKUP(J$2, Percentiles!$A$45:$I$59, 7, FALSE), perc_95, VLOOKUP(J$2, Percentiles!$A$45:$I$59, 8, FALSE), perc_85, perc_75 + (perc_90 - perc_75) * (2/3), converted_stat, '2K_Ratings'!J892, IF(bbgm_stat &gt;= perc_95, converted_stat * 3, IF(bbgm_stat &gt;= perc_90, converted_stat * 2, IF(bbgm_stat &gt;= perc_85, converted_stat * 1.5, converted_stat)))))</f>
        <v/>
      </c>
      <c r="K892" s="30" t="str">
        <f t="array" ref="K892">IF($A892="", "", LET(bbgm_stat, INDEX(Players!$A891:$P891, MATCH(K$2, Players!$A$1:$P$1, 0)), perc_75, VLOOKUP(K$2, Percentiles!$A$45:$I$59, 6, FALSE), perc_90, VLOOKUP(K$2, Percentiles!$A$45:$I$59, 7, FALSE), perc_95, VLOOKUP(K$2, Percentiles!$A$45:$I$59, 8, FALSE), perc_85, perc_75 + (perc_90 - perc_75) * (2/3), converted_stat, '2K_Ratings'!K892, IF(bbgm_stat &gt;= perc_95, converted_stat * 3, IF(bbgm_stat &gt;= perc_90, converted_stat * 2, IF(bbgm_stat &gt;= perc_85, converted_stat * 1.5, converted_stat)))))</f>
        <v/>
      </c>
      <c r="L892" s="30" t="str">
        <f t="array" ref="L892">IF($A892="", "", LET(bbgm_stat, INDEX(Players!$A891:$P891, MATCH(L$2, Players!$A$1:$P$1, 0)), perc_75, VLOOKUP(L$2, Percentiles!$A$45:$I$59, 6, FALSE), perc_90, VLOOKUP(L$2, Percentiles!$A$45:$I$59, 7, FALSE), perc_95, VLOOKUP(L$2, Percentiles!$A$45:$I$59, 8, FALSE), perc_85, perc_75 + (perc_90 - perc_75) * (2/3), converted_stat, '2K_Ratings'!L892, IF(bbgm_stat &gt;= perc_95, converted_stat * 3, IF(bbgm_stat &gt;= perc_90, converted_stat * 2, IF(bbgm_stat &gt;= perc_85, converted_stat * 1.5, converted_stat)))))</f>
        <v/>
      </c>
      <c r="M892" s="30" t="str">
        <f t="array" ref="M892">IF($A892="", "", LET(bbgm_stat, INDEX(Players!$A891:$P891, MATCH(M$2, Players!$A$1:$P$1, 0)), perc_75, VLOOKUP(M$2, Percentiles!$A$45:$I$59, 6, FALSE), perc_90, VLOOKUP(M$2, Percentiles!$A$45:$I$59, 7, FALSE), perc_95, VLOOKUP(M$2, Percentiles!$A$45:$I$59, 8, FALSE), perc_85, perc_75 + (perc_90 - perc_75) * (2/3), converted_stat, '2K_Ratings'!M892, IF(bbgm_stat &gt;= perc_95, converted_stat * 3, IF(bbgm_stat &gt;= perc_90, converted_stat * 2, IF(bbgm_stat &gt;= perc_85, converted_stat * 1.5, converted_stat)))))</f>
        <v/>
      </c>
      <c r="N892" s="30" t="str">
        <f t="array" ref="N892">IF($A892="", "", LET(bbgm_stat, INDEX(Players!$A891:$P891, MATCH(N$2, Players!$A$1:$P$1, 0)), perc_75, VLOOKUP(N$2, Percentiles!$A$45:$I$59, 6, FALSE), perc_90, VLOOKUP(N$2, Percentiles!$A$45:$I$59, 7, FALSE), perc_95, VLOOKUP(N$2, Percentiles!$A$45:$I$59, 8, FALSE), perc_85, perc_75 + (perc_90 - perc_75) * (2/3), converted_stat, '2K_Ratings'!N892, IF(bbgm_stat &gt;= perc_95, converted_stat * 3, IF(bbgm_stat &gt;= perc_90, converted_stat * 2, IF(bbgm_stat &gt;= perc_85, converted_stat * 1.5, converted_stat)))))</f>
        <v/>
      </c>
      <c r="O892" s="30" t="str">
        <f t="array" ref="O892">IF($A892="", "", LET(bbgm_stat, INDEX(Players!$A891:$P891, MATCH(O$2, Players!$A$1:$P$1, 0)), perc_75, VLOOKUP(O$2, Percentiles!$A$45:$I$59, 6, FALSE), perc_90, VLOOKUP(O$2, Percentiles!$A$45:$I$59, 7, FALSE), perc_95, VLOOKUP(O$2, Percentiles!$A$45:$I$59, 8, FALSE), perc_85, perc_75 + (perc_90 - perc_75) * (2/3), converted_stat, '2K_Ratings'!O892, IF(bbgm_stat &gt;= perc_95, converted_stat * 3, IF(bbgm_stat &gt;= perc_90, converted_stat * 2, IF(bbgm_stat &gt;= perc_85, converted_stat * 1.5, converted_stat)))))</f>
        <v/>
      </c>
      <c r="P892" s="30" t="str">
        <f t="array" ref="P892">IF($A892="", "", LET(bbgm_stat, INDEX(Players!$A891:$P891, MATCH(P$2, Players!$A$1:$P$1, 0)), perc_75, VLOOKUP(P$2, Percentiles!$A$45:$I$59, 6, FALSE), perc_90, VLOOKUP(P$2, Percentiles!$A$45:$I$59, 7, FALSE), perc_95, VLOOKUP(P$2, Percentiles!$A$45:$I$59, 8, FALSE), perc_85, perc_75 + (perc_90 - perc_75) * (2/3), converted_stat, '2K_Ratings'!P892, IF(bbgm_stat &gt;= perc_95, converted_stat * 3, IF(bbgm_stat &gt;= perc_90, converted_stat * 2, IF(bbgm_stat &gt;= perc_85, converted_stat * 1.5, converted_stat)))))</f>
        <v/>
      </c>
      <c r="Q892" s="30" t="str">
        <f t="array" ref="Q892">IF($A892="", "", LET(bbgm_stat, INDEX(Players!$A891:$P891, MATCH(Q$2, Players!$A$1:$P$1, 0)), perc_75, VLOOKUP(Q$2, Percentiles!$A$45:$I$59, 6, FALSE), perc_90, VLOOKUP(Q$2, Percentiles!$A$45:$I$59, 7, FALSE), perc_95, VLOOKUP(Q$2, Percentiles!$A$45:$I$59, 8, FALSE), perc_85, perc_75 + (perc_90 - perc_75) * (2/3), converted_stat, '2K_Ratings'!Q892, IF(bbgm_stat &gt;= perc_95, converted_stat * 3, IF(bbgm_stat &gt;= perc_90, converted_stat * 2, IF(bbgm_stat &gt;= perc_85, converted_stat * 1.5, converted_stat)))))</f>
        <v/>
      </c>
      <c r="R892" s="30" t="str">
        <f t="array" ref="R892">IF($A892="", "", LET(bbgm_stat, INDEX(Players!$A891:$P891, MATCH(R$2, Players!$A$1:$P$1, 0)), perc_75, VLOOKUP(R$2, Percentiles!$A$45:$I$59, 6, FALSE), perc_90, VLOOKUP(R$2, Percentiles!$A$45:$I$59, 7, FALSE), perc_95, VLOOKUP(R$2, Percentiles!$A$45:$I$59, 8, FALSE), perc_85, perc_75 + (perc_90 - perc_75) * (2/3), converted_stat, '2K_Ratings'!R892, IF(bbgm_stat &gt;= perc_95, converted_stat * 3, IF(bbgm_stat &gt;= perc_90, converted_stat * 2, IF(bbgm_stat &gt;= perc_85, converted_stat * 1.5, converted_stat)))))</f>
        <v/>
      </c>
      <c r="S892" s="30" t="str">
        <f t="array" ref="S892">IF($A892="", "", LET(bbgm_stat, INDEX(Players!$A891:$P891, MATCH(S$2, Players!$A$1:$P$1, 0)), perc_75, VLOOKUP(S$2, Percentiles!$A$45:$I$59, 6, FALSE), perc_90, VLOOKUP(S$2, Percentiles!$A$45:$I$59, 7, FALSE), perc_95, VLOOKUP(S$2, Percentiles!$A$45:$I$59, 8, FALSE), perc_85, perc_75 + (perc_90 - perc_75) * (2/3), converted_stat, '2K_Ratings'!S892, IF(bbgm_stat &gt;= perc_95, converted_stat * 3, IF(bbgm_stat &gt;= perc_90, converted_stat * 2, IF(bbgm_stat &gt;= perc_85, converted_stat * 1.5, converted_stat)))))</f>
        <v/>
      </c>
      <c r="T892" s="30" t="str">
        <f t="array" ref="T892">IF($A892="", "", LET(bbgm_stat, INDEX(Players!$A891:$P891, MATCH(T$2, Players!$A$1:$P$1, 0)), perc_75, VLOOKUP(T$2, Percentiles!$A$45:$I$59, 6, FALSE), perc_90, VLOOKUP(T$2, Percentiles!$A$45:$I$59, 7, FALSE), perc_95, VLOOKUP(T$2, Percentiles!$A$45:$I$59, 8, FALSE), perc_85, perc_75 + (perc_90 - perc_75) * (2/3), converted_stat, '2K_Ratings'!T892, IF(bbgm_stat &gt;= perc_95, converted_stat * 3, IF(bbgm_stat &gt;= perc_90, converted_stat * 2, IF(bbgm_stat &gt;= perc_85, converted_stat * 1.5, converted_stat)))))</f>
        <v/>
      </c>
      <c r="U892" s="30" t="str">
        <f t="array" ref="U892">IF($A892="", "", LET(bbgm_stat, INDEX(Players!$A891:$P891, MATCH(U$2, Players!$A$1:$P$1, 0)), perc_75, VLOOKUP(U$2, Percentiles!$A$45:$I$59, 6, FALSE), perc_90, VLOOKUP(U$2, Percentiles!$A$45:$I$59, 7, FALSE), perc_95, VLOOKUP(U$2, Percentiles!$A$45:$I$59, 8, FALSE), perc_85, perc_75 + (perc_90 - perc_75) * (2/3), converted_stat, '2K_Ratings'!U892, IF(bbgm_stat &gt;= perc_95, converted_stat * 3, IF(bbgm_stat &gt;= perc_90, converted_stat * 2, IF(bbgm_stat &gt;= perc_85, converted_stat * 1.5, converted_stat)))))</f>
        <v/>
      </c>
      <c r="V892" s="30" t="str">
        <f t="array" ref="V892">IF($A892="", "", LET(bbgm_stat, INDEX(Players!$A891:$P891, MATCH(V$2, Players!$A$1:$P$1, 0)), perc_75, VLOOKUP(V$2, Percentiles!$A$45:$I$59, 6, FALSE), perc_90, VLOOKUP(V$2, Percentiles!$A$45:$I$59, 7, FALSE), perc_95, VLOOKUP(V$2, Percentiles!$A$45:$I$59, 8, FALSE), perc_85, perc_75 + (perc_90 - perc_75) * (2/3), converted_stat, '2K_Ratings'!V892, IF(bbgm_stat &gt;= perc_95, converted_stat * 3, IF(bbgm_stat &gt;= perc_90, converted_stat * 2, IF(bbgm_stat &gt;= perc_85, converted_stat * 1.5, converted_stat)))))</f>
        <v/>
      </c>
      <c r="W892" s="30" t="str">
        <f t="array" ref="W892">IF($A892="", "", LET(bbgm_stat, INDEX(Players!$A891:$P891, MATCH(W$2, Players!$A$1:$P$1, 0)), perc_75, VLOOKUP(W$2, Percentiles!$A$45:$I$59, 6, FALSE), perc_90, VLOOKUP(W$2, Percentiles!$A$45:$I$59, 7, FALSE), perc_95, VLOOKUP(W$2, Percentiles!$A$45:$I$59, 8, FALSE), perc_85, perc_75 + (perc_90 - perc_75) * (2/3), converted_stat, '2K_Ratings'!W892, IF(bbgm_stat &gt;= perc_95, converted_stat * 3, IF(bbgm_stat &gt;= perc_90, converted_stat * 2, IF(bbgm_stat &gt;= perc_85, converted_stat * 1.5, converted_stat)))))</f>
        <v/>
      </c>
    </row>
    <row r="893">
      <c r="A893" s="30"/>
      <c r="B893" s="30" t="str">
        <f t="array" ref="B893">IF($A893="", "", LET(bbgm_stat, INDEX(Players!$A892:$P892, MATCH(B$2, Players!$A$1:$P$1, 0)), perc_75, VLOOKUP(B$2, Percentiles!$A$45:$I$59, 6, FALSE), perc_90, VLOOKUP(B$2, Percentiles!$A$45:$I$59, 7, FALSE), perc_95, VLOOKUP(B$2, Percentiles!$A$45:$I$59, 8, FALSE), perc_85, perc_75 + (perc_90 - perc_75) * (2/3), converted_stat, '2K_Ratings'!B893, IF(bbgm_stat &gt;= perc_95, converted_stat * 3, IF(bbgm_stat &gt;= perc_90, converted_stat * 2, IF(bbgm_stat &gt;= perc_85, converted_stat * 1.5, converted_stat)))))</f>
        <v/>
      </c>
      <c r="C893" s="30" t="str">
        <f t="array" ref="C893">IF($A893="", "", LET(bbgm_stat, INDEX(Players!$A892:$P892, MATCH(C$2, Players!$A$1:$P$1, 0)), perc_75, VLOOKUP(C$2, Percentiles!$A$45:$I$59, 6, FALSE), perc_90, VLOOKUP(C$2, Percentiles!$A$45:$I$59, 7, FALSE), perc_95, VLOOKUP(C$2, Percentiles!$A$45:$I$59, 8, FALSE), perc_85, perc_75 + (perc_90 - perc_75) * (2/3), converted_stat, '2K_Ratings'!C893, IF(bbgm_stat &gt;= perc_95, converted_stat * 3, IF(bbgm_stat &gt;= perc_90, converted_stat * 2, IF(bbgm_stat &gt;= perc_85, converted_stat * 1.5, converted_stat)))))</f>
        <v/>
      </c>
      <c r="D893" s="30" t="str">
        <f t="array" ref="D893">IF($A893="", "", LET(bbgm_stat, INDEX(Players!$A892:$P892, MATCH(D$2, Players!$A$1:$P$1, 0)), perc_75, VLOOKUP(D$2, Percentiles!$A$45:$I$59, 6, FALSE), perc_90, VLOOKUP(D$2, Percentiles!$A$45:$I$59, 7, FALSE), perc_95, VLOOKUP(D$2, Percentiles!$A$45:$I$59, 8, FALSE), perc_85, perc_75 + (perc_90 - perc_75) * (2/3), converted_stat, '2K_Ratings'!D893, IF(bbgm_stat &gt;= perc_95, converted_stat * 3, IF(bbgm_stat &gt;= perc_90, converted_stat * 2, IF(bbgm_stat &gt;= perc_85, converted_stat * 1.5, converted_stat)))))</f>
        <v/>
      </c>
      <c r="E893" s="30" t="str">
        <f t="array" ref="E893">IF($A893="", "", LET(bbgm_stat, INDEX(Players!$A892:$P892, MATCH(E$2, Players!$A$1:$P$1, 0)), perc_75, VLOOKUP(E$2, Percentiles!$A$45:$I$59, 6, FALSE), perc_90, VLOOKUP(E$2, Percentiles!$A$45:$I$59, 7, FALSE), perc_95, VLOOKUP(E$2, Percentiles!$A$45:$I$59, 8, FALSE), perc_85, perc_75 + (perc_90 - perc_75) * (2/3), converted_stat, '2K_Ratings'!E893, IF(bbgm_stat &gt;= perc_95, converted_stat * 3, IF(bbgm_stat &gt;= perc_90, converted_stat * 2, IF(bbgm_stat &gt;= perc_85, converted_stat * 1.5, converted_stat)))))</f>
        <v/>
      </c>
      <c r="F893" s="30" t="str">
        <f t="array" ref="F893">IF($A893="", "", LET(bbgm_stat, INDEX(Players!$A892:$P892, MATCH(F$2, Players!$A$1:$P$1, 0)), perc_75, VLOOKUP(F$2, Percentiles!$A$45:$I$59, 6, FALSE), perc_90, VLOOKUP(F$2, Percentiles!$A$45:$I$59, 7, FALSE), perc_95, VLOOKUP(F$2, Percentiles!$A$45:$I$59, 8, FALSE), perc_85, perc_75 + (perc_90 - perc_75) * (2/3), converted_stat, '2K_Ratings'!F893, IF(bbgm_stat &gt;= perc_95, converted_stat * 3, IF(bbgm_stat &gt;= perc_90, converted_stat * 2, IF(bbgm_stat &gt;= perc_85, converted_stat * 1.5, converted_stat)))))</f>
        <v/>
      </c>
      <c r="G893" s="30" t="str">
        <f t="array" ref="G893">IF($A893="", "", LET(bbgm_stat, INDEX(Players!$A892:$P892, MATCH(G$2, Players!$A$1:$P$1, 0)), perc_75, VLOOKUP(G$2, Percentiles!$A$45:$I$59, 6, FALSE), perc_90, VLOOKUP(G$2, Percentiles!$A$45:$I$59, 7, FALSE), perc_95, VLOOKUP(G$2, Percentiles!$A$45:$I$59, 8, FALSE), perc_85, perc_75 + (perc_90 - perc_75) * (2/3), converted_stat, '2K_Ratings'!G893, IF(bbgm_stat &gt;= perc_95, converted_stat * 3, IF(bbgm_stat &gt;= perc_90, converted_stat * 2, IF(bbgm_stat &gt;= perc_85, converted_stat * 1.5, converted_stat)))))</f>
        <v/>
      </c>
      <c r="H893" s="30" t="str">
        <f t="array" ref="H893">IF($A893="", "", LET(bbgm_stat, INDEX(Players!$A892:$P892, MATCH(H$2, Players!$A$1:$P$1, 0)), perc_75, VLOOKUP(H$2, Percentiles!$A$45:$I$59, 6, FALSE), perc_90, VLOOKUP(H$2, Percentiles!$A$45:$I$59, 7, FALSE), perc_95, VLOOKUP(H$2, Percentiles!$A$45:$I$59, 8, FALSE), perc_85, perc_75 + (perc_90 - perc_75) * (2/3), converted_stat, '2K_Ratings'!H893, IF(bbgm_stat &gt;= perc_95, converted_stat * 3, IF(bbgm_stat &gt;= perc_90, converted_stat * 2, IF(bbgm_stat &gt;= perc_85, converted_stat * 1.5, converted_stat)))))</f>
        <v/>
      </c>
      <c r="I893" s="30" t="str">
        <f t="array" ref="I893">IF($A893="", "", LET(bbgm_stat, INDEX(Players!$A892:$P892, MATCH(I$2, Players!$A$1:$P$1, 0)), perc_75, VLOOKUP(I$2, Percentiles!$A$45:$I$59, 6, FALSE), perc_90, VLOOKUP(I$2, Percentiles!$A$45:$I$59, 7, FALSE), perc_95, VLOOKUP(I$2, Percentiles!$A$45:$I$59, 8, FALSE), perc_85, perc_75 + (perc_90 - perc_75) * (2/3), converted_stat, '2K_Ratings'!I893, IF(bbgm_stat &gt;= perc_95, converted_stat * 3, IF(bbgm_stat &gt;= perc_90, converted_stat * 2, IF(bbgm_stat &gt;= perc_85, converted_stat * 1.5, converted_stat)))))</f>
        <v/>
      </c>
      <c r="J893" s="30" t="str">
        <f t="array" ref="J893">IF($A893="", "", LET(bbgm_stat, INDEX(Players!$A892:$P892, MATCH(J$2, Players!$A$1:$P$1, 0)), perc_75, VLOOKUP(J$2, Percentiles!$A$45:$I$59, 6, FALSE), perc_90, VLOOKUP(J$2, Percentiles!$A$45:$I$59, 7, FALSE), perc_95, VLOOKUP(J$2, Percentiles!$A$45:$I$59, 8, FALSE), perc_85, perc_75 + (perc_90 - perc_75) * (2/3), converted_stat, '2K_Ratings'!J893, IF(bbgm_stat &gt;= perc_95, converted_stat * 3, IF(bbgm_stat &gt;= perc_90, converted_stat * 2, IF(bbgm_stat &gt;= perc_85, converted_stat * 1.5, converted_stat)))))</f>
        <v/>
      </c>
      <c r="K893" s="30" t="str">
        <f t="array" ref="K893">IF($A893="", "", LET(bbgm_stat, INDEX(Players!$A892:$P892, MATCH(K$2, Players!$A$1:$P$1, 0)), perc_75, VLOOKUP(K$2, Percentiles!$A$45:$I$59, 6, FALSE), perc_90, VLOOKUP(K$2, Percentiles!$A$45:$I$59, 7, FALSE), perc_95, VLOOKUP(K$2, Percentiles!$A$45:$I$59, 8, FALSE), perc_85, perc_75 + (perc_90 - perc_75) * (2/3), converted_stat, '2K_Ratings'!K893, IF(bbgm_stat &gt;= perc_95, converted_stat * 3, IF(bbgm_stat &gt;= perc_90, converted_stat * 2, IF(bbgm_stat &gt;= perc_85, converted_stat * 1.5, converted_stat)))))</f>
        <v/>
      </c>
      <c r="L893" s="30" t="str">
        <f t="array" ref="L893">IF($A893="", "", LET(bbgm_stat, INDEX(Players!$A892:$P892, MATCH(L$2, Players!$A$1:$P$1, 0)), perc_75, VLOOKUP(L$2, Percentiles!$A$45:$I$59, 6, FALSE), perc_90, VLOOKUP(L$2, Percentiles!$A$45:$I$59, 7, FALSE), perc_95, VLOOKUP(L$2, Percentiles!$A$45:$I$59, 8, FALSE), perc_85, perc_75 + (perc_90 - perc_75) * (2/3), converted_stat, '2K_Ratings'!L893, IF(bbgm_stat &gt;= perc_95, converted_stat * 3, IF(bbgm_stat &gt;= perc_90, converted_stat * 2, IF(bbgm_stat &gt;= perc_85, converted_stat * 1.5, converted_stat)))))</f>
        <v/>
      </c>
      <c r="M893" s="30" t="str">
        <f t="array" ref="M893">IF($A893="", "", LET(bbgm_stat, INDEX(Players!$A892:$P892, MATCH(M$2, Players!$A$1:$P$1, 0)), perc_75, VLOOKUP(M$2, Percentiles!$A$45:$I$59, 6, FALSE), perc_90, VLOOKUP(M$2, Percentiles!$A$45:$I$59, 7, FALSE), perc_95, VLOOKUP(M$2, Percentiles!$A$45:$I$59, 8, FALSE), perc_85, perc_75 + (perc_90 - perc_75) * (2/3), converted_stat, '2K_Ratings'!M893, IF(bbgm_stat &gt;= perc_95, converted_stat * 3, IF(bbgm_stat &gt;= perc_90, converted_stat * 2, IF(bbgm_stat &gt;= perc_85, converted_stat * 1.5, converted_stat)))))</f>
        <v/>
      </c>
      <c r="N893" s="30" t="str">
        <f t="array" ref="N893">IF($A893="", "", LET(bbgm_stat, INDEX(Players!$A892:$P892, MATCH(N$2, Players!$A$1:$P$1, 0)), perc_75, VLOOKUP(N$2, Percentiles!$A$45:$I$59, 6, FALSE), perc_90, VLOOKUP(N$2, Percentiles!$A$45:$I$59, 7, FALSE), perc_95, VLOOKUP(N$2, Percentiles!$A$45:$I$59, 8, FALSE), perc_85, perc_75 + (perc_90 - perc_75) * (2/3), converted_stat, '2K_Ratings'!N893, IF(bbgm_stat &gt;= perc_95, converted_stat * 3, IF(bbgm_stat &gt;= perc_90, converted_stat * 2, IF(bbgm_stat &gt;= perc_85, converted_stat * 1.5, converted_stat)))))</f>
        <v/>
      </c>
      <c r="O893" s="30" t="str">
        <f t="array" ref="O893">IF($A893="", "", LET(bbgm_stat, INDEX(Players!$A892:$P892, MATCH(O$2, Players!$A$1:$P$1, 0)), perc_75, VLOOKUP(O$2, Percentiles!$A$45:$I$59, 6, FALSE), perc_90, VLOOKUP(O$2, Percentiles!$A$45:$I$59, 7, FALSE), perc_95, VLOOKUP(O$2, Percentiles!$A$45:$I$59, 8, FALSE), perc_85, perc_75 + (perc_90 - perc_75) * (2/3), converted_stat, '2K_Ratings'!O893, IF(bbgm_stat &gt;= perc_95, converted_stat * 3, IF(bbgm_stat &gt;= perc_90, converted_stat * 2, IF(bbgm_stat &gt;= perc_85, converted_stat * 1.5, converted_stat)))))</f>
        <v/>
      </c>
      <c r="P893" s="30" t="str">
        <f t="array" ref="P893">IF($A893="", "", LET(bbgm_stat, INDEX(Players!$A892:$P892, MATCH(P$2, Players!$A$1:$P$1, 0)), perc_75, VLOOKUP(P$2, Percentiles!$A$45:$I$59, 6, FALSE), perc_90, VLOOKUP(P$2, Percentiles!$A$45:$I$59, 7, FALSE), perc_95, VLOOKUP(P$2, Percentiles!$A$45:$I$59, 8, FALSE), perc_85, perc_75 + (perc_90 - perc_75) * (2/3), converted_stat, '2K_Ratings'!P893, IF(bbgm_stat &gt;= perc_95, converted_stat * 3, IF(bbgm_stat &gt;= perc_90, converted_stat * 2, IF(bbgm_stat &gt;= perc_85, converted_stat * 1.5, converted_stat)))))</f>
        <v/>
      </c>
      <c r="Q893" s="30" t="str">
        <f t="array" ref="Q893">IF($A893="", "", LET(bbgm_stat, INDEX(Players!$A892:$P892, MATCH(Q$2, Players!$A$1:$P$1, 0)), perc_75, VLOOKUP(Q$2, Percentiles!$A$45:$I$59, 6, FALSE), perc_90, VLOOKUP(Q$2, Percentiles!$A$45:$I$59, 7, FALSE), perc_95, VLOOKUP(Q$2, Percentiles!$A$45:$I$59, 8, FALSE), perc_85, perc_75 + (perc_90 - perc_75) * (2/3), converted_stat, '2K_Ratings'!Q893, IF(bbgm_stat &gt;= perc_95, converted_stat * 3, IF(bbgm_stat &gt;= perc_90, converted_stat * 2, IF(bbgm_stat &gt;= perc_85, converted_stat * 1.5, converted_stat)))))</f>
        <v/>
      </c>
      <c r="R893" s="30" t="str">
        <f t="array" ref="R893">IF($A893="", "", LET(bbgm_stat, INDEX(Players!$A892:$P892, MATCH(R$2, Players!$A$1:$P$1, 0)), perc_75, VLOOKUP(R$2, Percentiles!$A$45:$I$59, 6, FALSE), perc_90, VLOOKUP(R$2, Percentiles!$A$45:$I$59, 7, FALSE), perc_95, VLOOKUP(R$2, Percentiles!$A$45:$I$59, 8, FALSE), perc_85, perc_75 + (perc_90 - perc_75) * (2/3), converted_stat, '2K_Ratings'!R893, IF(bbgm_stat &gt;= perc_95, converted_stat * 3, IF(bbgm_stat &gt;= perc_90, converted_stat * 2, IF(bbgm_stat &gt;= perc_85, converted_stat * 1.5, converted_stat)))))</f>
        <v/>
      </c>
      <c r="S893" s="30" t="str">
        <f t="array" ref="S893">IF($A893="", "", LET(bbgm_stat, INDEX(Players!$A892:$P892, MATCH(S$2, Players!$A$1:$P$1, 0)), perc_75, VLOOKUP(S$2, Percentiles!$A$45:$I$59, 6, FALSE), perc_90, VLOOKUP(S$2, Percentiles!$A$45:$I$59, 7, FALSE), perc_95, VLOOKUP(S$2, Percentiles!$A$45:$I$59, 8, FALSE), perc_85, perc_75 + (perc_90 - perc_75) * (2/3), converted_stat, '2K_Ratings'!S893, IF(bbgm_stat &gt;= perc_95, converted_stat * 3, IF(bbgm_stat &gt;= perc_90, converted_stat * 2, IF(bbgm_stat &gt;= perc_85, converted_stat * 1.5, converted_stat)))))</f>
        <v/>
      </c>
      <c r="T893" s="30" t="str">
        <f t="array" ref="T893">IF($A893="", "", LET(bbgm_stat, INDEX(Players!$A892:$P892, MATCH(T$2, Players!$A$1:$P$1, 0)), perc_75, VLOOKUP(T$2, Percentiles!$A$45:$I$59, 6, FALSE), perc_90, VLOOKUP(T$2, Percentiles!$A$45:$I$59, 7, FALSE), perc_95, VLOOKUP(T$2, Percentiles!$A$45:$I$59, 8, FALSE), perc_85, perc_75 + (perc_90 - perc_75) * (2/3), converted_stat, '2K_Ratings'!T893, IF(bbgm_stat &gt;= perc_95, converted_stat * 3, IF(bbgm_stat &gt;= perc_90, converted_stat * 2, IF(bbgm_stat &gt;= perc_85, converted_stat * 1.5, converted_stat)))))</f>
        <v/>
      </c>
      <c r="U893" s="30" t="str">
        <f t="array" ref="U893">IF($A893="", "", LET(bbgm_stat, INDEX(Players!$A892:$P892, MATCH(U$2, Players!$A$1:$P$1, 0)), perc_75, VLOOKUP(U$2, Percentiles!$A$45:$I$59, 6, FALSE), perc_90, VLOOKUP(U$2, Percentiles!$A$45:$I$59, 7, FALSE), perc_95, VLOOKUP(U$2, Percentiles!$A$45:$I$59, 8, FALSE), perc_85, perc_75 + (perc_90 - perc_75) * (2/3), converted_stat, '2K_Ratings'!U893, IF(bbgm_stat &gt;= perc_95, converted_stat * 3, IF(bbgm_stat &gt;= perc_90, converted_stat * 2, IF(bbgm_stat &gt;= perc_85, converted_stat * 1.5, converted_stat)))))</f>
        <v/>
      </c>
      <c r="V893" s="30" t="str">
        <f t="array" ref="V893">IF($A893="", "", LET(bbgm_stat, INDEX(Players!$A892:$P892, MATCH(V$2, Players!$A$1:$P$1, 0)), perc_75, VLOOKUP(V$2, Percentiles!$A$45:$I$59, 6, FALSE), perc_90, VLOOKUP(V$2, Percentiles!$A$45:$I$59, 7, FALSE), perc_95, VLOOKUP(V$2, Percentiles!$A$45:$I$59, 8, FALSE), perc_85, perc_75 + (perc_90 - perc_75) * (2/3), converted_stat, '2K_Ratings'!V893, IF(bbgm_stat &gt;= perc_95, converted_stat * 3, IF(bbgm_stat &gt;= perc_90, converted_stat * 2, IF(bbgm_stat &gt;= perc_85, converted_stat * 1.5, converted_stat)))))</f>
        <v/>
      </c>
      <c r="W893" s="30" t="str">
        <f t="array" ref="W893">IF($A893="", "", LET(bbgm_stat, INDEX(Players!$A892:$P892, MATCH(W$2, Players!$A$1:$P$1, 0)), perc_75, VLOOKUP(W$2, Percentiles!$A$45:$I$59, 6, FALSE), perc_90, VLOOKUP(W$2, Percentiles!$A$45:$I$59, 7, FALSE), perc_95, VLOOKUP(W$2, Percentiles!$A$45:$I$59, 8, FALSE), perc_85, perc_75 + (perc_90 - perc_75) * (2/3), converted_stat, '2K_Ratings'!W893, IF(bbgm_stat &gt;= perc_95, converted_stat * 3, IF(bbgm_stat &gt;= perc_90, converted_stat * 2, IF(bbgm_stat &gt;= perc_85, converted_stat * 1.5, converted_stat)))))</f>
        <v/>
      </c>
    </row>
    <row r="894">
      <c r="A894" s="30"/>
      <c r="B894" s="30" t="str">
        <f t="array" ref="B894">IF($A894="", "", LET(bbgm_stat, INDEX(Players!$A893:$P893, MATCH(B$2, Players!$A$1:$P$1, 0)), perc_75, VLOOKUP(B$2, Percentiles!$A$45:$I$59, 6, FALSE), perc_90, VLOOKUP(B$2, Percentiles!$A$45:$I$59, 7, FALSE), perc_95, VLOOKUP(B$2, Percentiles!$A$45:$I$59, 8, FALSE), perc_85, perc_75 + (perc_90 - perc_75) * (2/3), converted_stat, '2K_Ratings'!B894, IF(bbgm_stat &gt;= perc_95, converted_stat * 3, IF(bbgm_stat &gt;= perc_90, converted_stat * 2, IF(bbgm_stat &gt;= perc_85, converted_stat * 1.5, converted_stat)))))</f>
        <v/>
      </c>
      <c r="C894" s="30" t="str">
        <f t="array" ref="C894">IF($A894="", "", LET(bbgm_stat, INDEX(Players!$A893:$P893, MATCH(C$2, Players!$A$1:$P$1, 0)), perc_75, VLOOKUP(C$2, Percentiles!$A$45:$I$59, 6, FALSE), perc_90, VLOOKUP(C$2, Percentiles!$A$45:$I$59, 7, FALSE), perc_95, VLOOKUP(C$2, Percentiles!$A$45:$I$59, 8, FALSE), perc_85, perc_75 + (perc_90 - perc_75) * (2/3), converted_stat, '2K_Ratings'!C894, IF(bbgm_stat &gt;= perc_95, converted_stat * 3, IF(bbgm_stat &gt;= perc_90, converted_stat * 2, IF(bbgm_stat &gt;= perc_85, converted_stat * 1.5, converted_stat)))))</f>
        <v/>
      </c>
      <c r="D894" s="30" t="str">
        <f t="array" ref="D894">IF($A894="", "", LET(bbgm_stat, INDEX(Players!$A893:$P893, MATCH(D$2, Players!$A$1:$P$1, 0)), perc_75, VLOOKUP(D$2, Percentiles!$A$45:$I$59, 6, FALSE), perc_90, VLOOKUP(D$2, Percentiles!$A$45:$I$59, 7, FALSE), perc_95, VLOOKUP(D$2, Percentiles!$A$45:$I$59, 8, FALSE), perc_85, perc_75 + (perc_90 - perc_75) * (2/3), converted_stat, '2K_Ratings'!D894, IF(bbgm_stat &gt;= perc_95, converted_stat * 3, IF(bbgm_stat &gt;= perc_90, converted_stat * 2, IF(bbgm_stat &gt;= perc_85, converted_stat * 1.5, converted_stat)))))</f>
        <v/>
      </c>
      <c r="E894" s="30" t="str">
        <f t="array" ref="E894">IF($A894="", "", LET(bbgm_stat, INDEX(Players!$A893:$P893, MATCH(E$2, Players!$A$1:$P$1, 0)), perc_75, VLOOKUP(E$2, Percentiles!$A$45:$I$59, 6, FALSE), perc_90, VLOOKUP(E$2, Percentiles!$A$45:$I$59, 7, FALSE), perc_95, VLOOKUP(E$2, Percentiles!$A$45:$I$59, 8, FALSE), perc_85, perc_75 + (perc_90 - perc_75) * (2/3), converted_stat, '2K_Ratings'!E894, IF(bbgm_stat &gt;= perc_95, converted_stat * 3, IF(bbgm_stat &gt;= perc_90, converted_stat * 2, IF(bbgm_stat &gt;= perc_85, converted_stat * 1.5, converted_stat)))))</f>
        <v/>
      </c>
      <c r="F894" s="30" t="str">
        <f t="array" ref="F894">IF($A894="", "", LET(bbgm_stat, INDEX(Players!$A893:$P893, MATCH(F$2, Players!$A$1:$P$1, 0)), perc_75, VLOOKUP(F$2, Percentiles!$A$45:$I$59, 6, FALSE), perc_90, VLOOKUP(F$2, Percentiles!$A$45:$I$59, 7, FALSE), perc_95, VLOOKUP(F$2, Percentiles!$A$45:$I$59, 8, FALSE), perc_85, perc_75 + (perc_90 - perc_75) * (2/3), converted_stat, '2K_Ratings'!F894, IF(bbgm_stat &gt;= perc_95, converted_stat * 3, IF(bbgm_stat &gt;= perc_90, converted_stat * 2, IF(bbgm_stat &gt;= perc_85, converted_stat * 1.5, converted_stat)))))</f>
        <v/>
      </c>
      <c r="G894" s="30" t="str">
        <f t="array" ref="G894">IF($A894="", "", LET(bbgm_stat, INDEX(Players!$A893:$P893, MATCH(G$2, Players!$A$1:$P$1, 0)), perc_75, VLOOKUP(G$2, Percentiles!$A$45:$I$59, 6, FALSE), perc_90, VLOOKUP(G$2, Percentiles!$A$45:$I$59, 7, FALSE), perc_95, VLOOKUP(G$2, Percentiles!$A$45:$I$59, 8, FALSE), perc_85, perc_75 + (perc_90 - perc_75) * (2/3), converted_stat, '2K_Ratings'!G894, IF(bbgm_stat &gt;= perc_95, converted_stat * 3, IF(bbgm_stat &gt;= perc_90, converted_stat * 2, IF(bbgm_stat &gt;= perc_85, converted_stat * 1.5, converted_stat)))))</f>
        <v/>
      </c>
      <c r="H894" s="30" t="str">
        <f t="array" ref="H894">IF($A894="", "", LET(bbgm_stat, INDEX(Players!$A893:$P893, MATCH(H$2, Players!$A$1:$P$1, 0)), perc_75, VLOOKUP(H$2, Percentiles!$A$45:$I$59, 6, FALSE), perc_90, VLOOKUP(H$2, Percentiles!$A$45:$I$59, 7, FALSE), perc_95, VLOOKUP(H$2, Percentiles!$A$45:$I$59, 8, FALSE), perc_85, perc_75 + (perc_90 - perc_75) * (2/3), converted_stat, '2K_Ratings'!H894, IF(bbgm_stat &gt;= perc_95, converted_stat * 3, IF(bbgm_stat &gt;= perc_90, converted_stat * 2, IF(bbgm_stat &gt;= perc_85, converted_stat * 1.5, converted_stat)))))</f>
        <v/>
      </c>
      <c r="I894" s="30" t="str">
        <f t="array" ref="I894">IF($A894="", "", LET(bbgm_stat, INDEX(Players!$A893:$P893, MATCH(I$2, Players!$A$1:$P$1, 0)), perc_75, VLOOKUP(I$2, Percentiles!$A$45:$I$59, 6, FALSE), perc_90, VLOOKUP(I$2, Percentiles!$A$45:$I$59, 7, FALSE), perc_95, VLOOKUP(I$2, Percentiles!$A$45:$I$59, 8, FALSE), perc_85, perc_75 + (perc_90 - perc_75) * (2/3), converted_stat, '2K_Ratings'!I894, IF(bbgm_stat &gt;= perc_95, converted_stat * 3, IF(bbgm_stat &gt;= perc_90, converted_stat * 2, IF(bbgm_stat &gt;= perc_85, converted_stat * 1.5, converted_stat)))))</f>
        <v/>
      </c>
      <c r="J894" s="30" t="str">
        <f t="array" ref="J894">IF($A894="", "", LET(bbgm_stat, INDEX(Players!$A893:$P893, MATCH(J$2, Players!$A$1:$P$1, 0)), perc_75, VLOOKUP(J$2, Percentiles!$A$45:$I$59, 6, FALSE), perc_90, VLOOKUP(J$2, Percentiles!$A$45:$I$59, 7, FALSE), perc_95, VLOOKUP(J$2, Percentiles!$A$45:$I$59, 8, FALSE), perc_85, perc_75 + (perc_90 - perc_75) * (2/3), converted_stat, '2K_Ratings'!J894, IF(bbgm_stat &gt;= perc_95, converted_stat * 3, IF(bbgm_stat &gt;= perc_90, converted_stat * 2, IF(bbgm_stat &gt;= perc_85, converted_stat * 1.5, converted_stat)))))</f>
        <v/>
      </c>
      <c r="K894" s="30" t="str">
        <f t="array" ref="K894">IF($A894="", "", LET(bbgm_stat, INDEX(Players!$A893:$P893, MATCH(K$2, Players!$A$1:$P$1, 0)), perc_75, VLOOKUP(K$2, Percentiles!$A$45:$I$59, 6, FALSE), perc_90, VLOOKUP(K$2, Percentiles!$A$45:$I$59, 7, FALSE), perc_95, VLOOKUP(K$2, Percentiles!$A$45:$I$59, 8, FALSE), perc_85, perc_75 + (perc_90 - perc_75) * (2/3), converted_stat, '2K_Ratings'!K894, IF(bbgm_stat &gt;= perc_95, converted_stat * 3, IF(bbgm_stat &gt;= perc_90, converted_stat * 2, IF(bbgm_stat &gt;= perc_85, converted_stat * 1.5, converted_stat)))))</f>
        <v/>
      </c>
      <c r="L894" s="30" t="str">
        <f t="array" ref="L894">IF($A894="", "", LET(bbgm_stat, INDEX(Players!$A893:$P893, MATCH(L$2, Players!$A$1:$P$1, 0)), perc_75, VLOOKUP(L$2, Percentiles!$A$45:$I$59, 6, FALSE), perc_90, VLOOKUP(L$2, Percentiles!$A$45:$I$59, 7, FALSE), perc_95, VLOOKUP(L$2, Percentiles!$A$45:$I$59, 8, FALSE), perc_85, perc_75 + (perc_90 - perc_75) * (2/3), converted_stat, '2K_Ratings'!L894, IF(bbgm_stat &gt;= perc_95, converted_stat * 3, IF(bbgm_stat &gt;= perc_90, converted_stat * 2, IF(bbgm_stat &gt;= perc_85, converted_stat * 1.5, converted_stat)))))</f>
        <v/>
      </c>
      <c r="M894" s="30" t="str">
        <f t="array" ref="M894">IF($A894="", "", LET(bbgm_stat, INDEX(Players!$A893:$P893, MATCH(M$2, Players!$A$1:$P$1, 0)), perc_75, VLOOKUP(M$2, Percentiles!$A$45:$I$59, 6, FALSE), perc_90, VLOOKUP(M$2, Percentiles!$A$45:$I$59, 7, FALSE), perc_95, VLOOKUP(M$2, Percentiles!$A$45:$I$59, 8, FALSE), perc_85, perc_75 + (perc_90 - perc_75) * (2/3), converted_stat, '2K_Ratings'!M894, IF(bbgm_stat &gt;= perc_95, converted_stat * 3, IF(bbgm_stat &gt;= perc_90, converted_stat * 2, IF(bbgm_stat &gt;= perc_85, converted_stat * 1.5, converted_stat)))))</f>
        <v/>
      </c>
      <c r="N894" s="30" t="str">
        <f t="array" ref="N894">IF($A894="", "", LET(bbgm_stat, INDEX(Players!$A893:$P893, MATCH(N$2, Players!$A$1:$P$1, 0)), perc_75, VLOOKUP(N$2, Percentiles!$A$45:$I$59, 6, FALSE), perc_90, VLOOKUP(N$2, Percentiles!$A$45:$I$59, 7, FALSE), perc_95, VLOOKUP(N$2, Percentiles!$A$45:$I$59, 8, FALSE), perc_85, perc_75 + (perc_90 - perc_75) * (2/3), converted_stat, '2K_Ratings'!N894, IF(bbgm_stat &gt;= perc_95, converted_stat * 3, IF(bbgm_stat &gt;= perc_90, converted_stat * 2, IF(bbgm_stat &gt;= perc_85, converted_stat * 1.5, converted_stat)))))</f>
        <v/>
      </c>
      <c r="O894" s="30" t="str">
        <f t="array" ref="O894">IF($A894="", "", LET(bbgm_stat, INDEX(Players!$A893:$P893, MATCH(O$2, Players!$A$1:$P$1, 0)), perc_75, VLOOKUP(O$2, Percentiles!$A$45:$I$59, 6, FALSE), perc_90, VLOOKUP(O$2, Percentiles!$A$45:$I$59, 7, FALSE), perc_95, VLOOKUP(O$2, Percentiles!$A$45:$I$59, 8, FALSE), perc_85, perc_75 + (perc_90 - perc_75) * (2/3), converted_stat, '2K_Ratings'!O894, IF(bbgm_stat &gt;= perc_95, converted_stat * 3, IF(bbgm_stat &gt;= perc_90, converted_stat * 2, IF(bbgm_stat &gt;= perc_85, converted_stat * 1.5, converted_stat)))))</f>
        <v/>
      </c>
      <c r="P894" s="30" t="str">
        <f t="array" ref="P894">IF($A894="", "", LET(bbgm_stat, INDEX(Players!$A893:$P893, MATCH(P$2, Players!$A$1:$P$1, 0)), perc_75, VLOOKUP(P$2, Percentiles!$A$45:$I$59, 6, FALSE), perc_90, VLOOKUP(P$2, Percentiles!$A$45:$I$59, 7, FALSE), perc_95, VLOOKUP(P$2, Percentiles!$A$45:$I$59, 8, FALSE), perc_85, perc_75 + (perc_90 - perc_75) * (2/3), converted_stat, '2K_Ratings'!P894, IF(bbgm_stat &gt;= perc_95, converted_stat * 3, IF(bbgm_stat &gt;= perc_90, converted_stat * 2, IF(bbgm_stat &gt;= perc_85, converted_stat * 1.5, converted_stat)))))</f>
        <v/>
      </c>
      <c r="Q894" s="30" t="str">
        <f t="array" ref="Q894">IF($A894="", "", LET(bbgm_stat, INDEX(Players!$A893:$P893, MATCH(Q$2, Players!$A$1:$P$1, 0)), perc_75, VLOOKUP(Q$2, Percentiles!$A$45:$I$59, 6, FALSE), perc_90, VLOOKUP(Q$2, Percentiles!$A$45:$I$59, 7, FALSE), perc_95, VLOOKUP(Q$2, Percentiles!$A$45:$I$59, 8, FALSE), perc_85, perc_75 + (perc_90 - perc_75) * (2/3), converted_stat, '2K_Ratings'!Q894, IF(bbgm_stat &gt;= perc_95, converted_stat * 3, IF(bbgm_stat &gt;= perc_90, converted_stat * 2, IF(bbgm_stat &gt;= perc_85, converted_stat * 1.5, converted_stat)))))</f>
        <v/>
      </c>
      <c r="R894" s="30" t="str">
        <f t="array" ref="R894">IF($A894="", "", LET(bbgm_stat, INDEX(Players!$A893:$P893, MATCH(R$2, Players!$A$1:$P$1, 0)), perc_75, VLOOKUP(R$2, Percentiles!$A$45:$I$59, 6, FALSE), perc_90, VLOOKUP(R$2, Percentiles!$A$45:$I$59, 7, FALSE), perc_95, VLOOKUP(R$2, Percentiles!$A$45:$I$59, 8, FALSE), perc_85, perc_75 + (perc_90 - perc_75) * (2/3), converted_stat, '2K_Ratings'!R894, IF(bbgm_stat &gt;= perc_95, converted_stat * 3, IF(bbgm_stat &gt;= perc_90, converted_stat * 2, IF(bbgm_stat &gt;= perc_85, converted_stat * 1.5, converted_stat)))))</f>
        <v/>
      </c>
      <c r="S894" s="30" t="str">
        <f t="array" ref="S894">IF($A894="", "", LET(bbgm_stat, INDEX(Players!$A893:$P893, MATCH(S$2, Players!$A$1:$P$1, 0)), perc_75, VLOOKUP(S$2, Percentiles!$A$45:$I$59, 6, FALSE), perc_90, VLOOKUP(S$2, Percentiles!$A$45:$I$59, 7, FALSE), perc_95, VLOOKUP(S$2, Percentiles!$A$45:$I$59, 8, FALSE), perc_85, perc_75 + (perc_90 - perc_75) * (2/3), converted_stat, '2K_Ratings'!S894, IF(bbgm_stat &gt;= perc_95, converted_stat * 3, IF(bbgm_stat &gt;= perc_90, converted_stat * 2, IF(bbgm_stat &gt;= perc_85, converted_stat * 1.5, converted_stat)))))</f>
        <v/>
      </c>
      <c r="T894" s="30" t="str">
        <f t="array" ref="T894">IF($A894="", "", LET(bbgm_stat, INDEX(Players!$A893:$P893, MATCH(T$2, Players!$A$1:$P$1, 0)), perc_75, VLOOKUP(T$2, Percentiles!$A$45:$I$59, 6, FALSE), perc_90, VLOOKUP(T$2, Percentiles!$A$45:$I$59, 7, FALSE), perc_95, VLOOKUP(T$2, Percentiles!$A$45:$I$59, 8, FALSE), perc_85, perc_75 + (perc_90 - perc_75) * (2/3), converted_stat, '2K_Ratings'!T894, IF(bbgm_stat &gt;= perc_95, converted_stat * 3, IF(bbgm_stat &gt;= perc_90, converted_stat * 2, IF(bbgm_stat &gt;= perc_85, converted_stat * 1.5, converted_stat)))))</f>
        <v/>
      </c>
      <c r="U894" s="30" t="str">
        <f t="array" ref="U894">IF($A894="", "", LET(bbgm_stat, INDEX(Players!$A893:$P893, MATCH(U$2, Players!$A$1:$P$1, 0)), perc_75, VLOOKUP(U$2, Percentiles!$A$45:$I$59, 6, FALSE), perc_90, VLOOKUP(U$2, Percentiles!$A$45:$I$59, 7, FALSE), perc_95, VLOOKUP(U$2, Percentiles!$A$45:$I$59, 8, FALSE), perc_85, perc_75 + (perc_90 - perc_75) * (2/3), converted_stat, '2K_Ratings'!U894, IF(bbgm_stat &gt;= perc_95, converted_stat * 3, IF(bbgm_stat &gt;= perc_90, converted_stat * 2, IF(bbgm_stat &gt;= perc_85, converted_stat * 1.5, converted_stat)))))</f>
        <v/>
      </c>
      <c r="V894" s="30" t="str">
        <f t="array" ref="V894">IF($A894="", "", LET(bbgm_stat, INDEX(Players!$A893:$P893, MATCH(V$2, Players!$A$1:$P$1, 0)), perc_75, VLOOKUP(V$2, Percentiles!$A$45:$I$59, 6, FALSE), perc_90, VLOOKUP(V$2, Percentiles!$A$45:$I$59, 7, FALSE), perc_95, VLOOKUP(V$2, Percentiles!$A$45:$I$59, 8, FALSE), perc_85, perc_75 + (perc_90 - perc_75) * (2/3), converted_stat, '2K_Ratings'!V894, IF(bbgm_stat &gt;= perc_95, converted_stat * 3, IF(bbgm_stat &gt;= perc_90, converted_stat * 2, IF(bbgm_stat &gt;= perc_85, converted_stat * 1.5, converted_stat)))))</f>
        <v/>
      </c>
      <c r="W894" s="30" t="str">
        <f t="array" ref="W894">IF($A894="", "", LET(bbgm_stat, INDEX(Players!$A893:$P893, MATCH(W$2, Players!$A$1:$P$1, 0)), perc_75, VLOOKUP(W$2, Percentiles!$A$45:$I$59, 6, FALSE), perc_90, VLOOKUP(W$2, Percentiles!$A$45:$I$59, 7, FALSE), perc_95, VLOOKUP(W$2, Percentiles!$A$45:$I$59, 8, FALSE), perc_85, perc_75 + (perc_90 - perc_75) * (2/3), converted_stat, '2K_Ratings'!W894, IF(bbgm_stat &gt;= perc_95, converted_stat * 3, IF(bbgm_stat &gt;= perc_90, converted_stat * 2, IF(bbgm_stat &gt;= perc_85, converted_stat * 1.5, converted_stat)))))</f>
        <v/>
      </c>
    </row>
    <row r="895">
      <c r="A895" s="30"/>
      <c r="B895" s="30" t="str">
        <f t="array" ref="B895">IF($A895="", "", LET(bbgm_stat, INDEX(Players!$A894:$P894, MATCH(B$2, Players!$A$1:$P$1, 0)), perc_75, VLOOKUP(B$2, Percentiles!$A$45:$I$59, 6, FALSE), perc_90, VLOOKUP(B$2, Percentiles!$A$45:$I$59, 7, FALSE), perc_95, VLOOKUP(B$2, Percentiles!$A$45:$I$59, 8, FALSE), perc_85, perc_75 + (perc_90 - perc_75) * (2/3), converted_stat, '2K_Ratings'!B895, IF(bbgm_stat &gt;= perc_95, converted_stat * 3, IF(bbgm_stat &gt;= perc_90, converted_stat * 2, IF(bbgm_stat &gt;= perc_85, converted_stat * 1.5, converted_stat)))))</f>
        <v/>
      </c>
      <c r="C895" s="30" t="str">
        <f t="array" ref="C895">IF($A895="", "", LET(bbgm_stat, INDEX(Players!$A894:$P894, MATCH(C$2, Players!$A$1:$P$1, 0)), perc_75, VLOOKUP(C$2, Percentiles!$A$45:$I$59, 6, FALSE), perc_90, VLOOKUP(C$2, Percentiles!$A$45:$I$59, 7, FALSE), perc_95, VLOOKUP(C$2, Percentiles!$A$45:$I$59, 8, FALSE), perc_85, perc_75 + (perc_90 - perc_75) * (2/3), converted_stat, '2K_Ratings'!C895, IF(bbgm_stat &gt;= perc_95, converted_stat * 3, IF(bbgm_stat &gt;= perc_90, converted_stat * 2, IF(bbgm_stat &gt;= perc_85, converted_stat * 1.5, converted_stat)))))</f>
        <v/>
      </c>
      <c r="D895" s="30" t="str">
        <f t="array" ref="D895">IF($A895="", "", LET(bbgm_stat, INDEX(Players!$A894:$P894, MATCH(D$2, Players!$A$1:$P$1, 0)), perc_75, VLOOKUP(D$2, Percentiles!$A$45:$I$59, 6, FALSE), perc_90, VLOOKUP(D$2, Percentiles!$A$45:$I$59, 7, FALSE), perc_95, VLOOKUP(D$2, Percentiles!$A$45:$I$59, 8, FALSE), perc_85, perc_75 + (perc_90 - perc_75) * (2/3), converted_stat, '2K_Ratings'!D895, IF(bbgm_stat &gt;= perc_95, converted_stat * 3, IF(bbgm_stat &gt;= perc_90, converted_stat * 2, IF(bbgm_stat &gt;= perc_85, converted_stat * 1.5, converted_stat)))))</f>
        <v/>
      </c>
      <c r="E895" s="30" t="str">
        <f t="array" ref="E895">IF($A895="", "", LET(bbgm_stat, INDEX(Players!$A894:$P894, MATCH(E$2, Players!$A$1:$P$1, 0)), perc_75, VLOOKUP(E$2, Percentiles!$A$45:$I$59, 6, FALSE), perc_90, VLOOKUP(E$2, Percentiles!$A$45:$I$59, 7, FALSE), perc_95, VLOOKUP(E$2, Percentiles!$A$45:$I$59, 8, FALSE), perc_85, perc_75 + (perc_90 - perc_75) * (2/3), converted_stat, '2K_Ratings'!E895, IF(bbgm_stat &gt;= perc_95, converted_stat * 3, IF(bbgm_stat &gt;= perc_90, converted_stat * 2, IF(bbgm_stat &gt;= perc_85, converted_stat * 1.5, converted_stat)))))</f>
        <v/>
      </c>
      <c r="F895" s="30" t="str">
        <f t="array" ref="F895">IF($A895="", "", LET(bbgm_stat, INDEX(Players!$A894:$P894, MATCH(F$2, Players!$A$1:$P$1, 0)), perc_75, VLOOKUP(F$2, Percentiles!$A$45:$I$59, 6, FALSE), perc_90, VLOOKUP(F$2, Percentiles!$A$45:$I$59, 7, FALSE), perc_95, VLOOKUP(F$2, Percentiles!$A$45:$I$59, 8, FALSE), perc_85, perc_75 + (perc_90 - perc_75) * (2/3), converted_stat, '2K_Ratings'!F895, IF(bbgm_stat &gt;= perc_95, converted_stat * 3, IF(bbgm_stat &gt;= perc_90, converted_stat * 2, IF(bbgm_stat &gt;= perc_85, converted_stat * 1.5, converted_stat)))))</f>
        <v/>
      </c>
      <c r="G895" s="30" t="str">
        <f t="array" ref="G895">IF($A895="", "", LET(bbgm_stat, INDEX(Players!$A894:$P894, MATCH(G$2, Players!$A$1:$P$1, 0)), perc_75, VLOOKUP(G$2, Percentiles!$A$45:$I$59, 6, FALSE), perc_90, VLOOKUP(G$2, Percentiles!$A$45:$I$59, 7, FALSE), perc_95, VLOOKUP(G$2, Percentiles!$A$45:$I$59, 8, FALSE), perc_85, perc_75 + (perc_90 - perc_75) * (2/3), converted_stat, '2K_Ratings'!G895, IF(bbgm_stat &gt;= perc_95, converted_stat * 3, IF(bbgm_stat &gt;= perc_90, converted_stat * 2, IF(bbgm_stat &gt;= perc_85, converted_stat * 1.5, converted_stat)))))</f>
        <v/>
      </c>
      <c r="H895" s="30" t="str">
        <f t="array" ref="H895">IF($A895="", "", LET(bbgm_stat, INDEX(Players!$A894:$P894, MATCH(H$2, Players!$A$1:$P$1, 0)), perc_75, VLOOKUP(H$2, Percentiles!$A$45:$I$59, 6, FALSE), perc_90, VLOOKUP(H$2, Percentiles!$A$45:$I$59, 7, FALSE), perc_95, VLOOKUP(H$2, Percentiles!$A$45:$I$59, 8, FALSE), perc_85, perc_75 + (perc_90 - perc_75) * (2/3), converted_stat, '2K_Ratings'!H895, IF(bbgm_stat &gt;= perc_95, converted_stat * 3, IF(bbgm_stat &gt;= perc_90, converted_stat * 2, IF(bbgm_stat &gt;= perc_85, converted_stat * 1.5, converted_stat)))))</f>
        <v/>
      </c>
      <c r="I895" s="30" t="str">
        <f t="array" ref="I895">IF($A895="", "", LET(bbgm_stat, INDEX(Players!$A894:$P894, MATCH(I$2, Players!$A$1:$P$1, 0)), perc_75, VLOOKUP(I$2, Percentiles!$A$45:$I$59, 6, FALSE), perc_90, VLOOKUP(I$2, Percentiles!$A$45:$I$59, 7, FALSE), perc_95, VLOOKUP(I$2, Percentiles!$A$45:$I$59, 8, FALSE), perc_85, perc_75 + (perc_90 - perc_75) * (2/3), converted_stat, '2K_Ratings'!I895, IF(bbgm_stat &gt;= perc_95, converted_stat * 3, IF(bbgm_stat &gt;= perc_90, converted_stat * 2, IF(bbgm_stat &gt;= perc_85, converted_stat * 1.5, converted_stat)))))</f>
        <v/>
      </c>
      <c r="J895" s="30" t="str">
        <f t="array" ref="J895">IF($A895="", "", LET(bbgm_stat, INDEX(Players!$A894:$P894, MATCH(J$2, Players!$A$1:$P$1, 0)), perc_75, VLOOKUP(J$2, Percentiles!$A$45:$I$59, 6, FALSE), perc_90, VLOOKUP(J$2, Percentiles!$A$45:$I$59, 7, FALSE), perc_95, VLOOKUP(J$2, Percentiles!$A$45:$I$59, 8, FALSE), perc_85, perc_75 + (perc_90 - perc_75) * (2/3), converted_stat, '2K_Ratings'!J895, IF(bbgm_stat &gt;= perc_95, converted_stat * 3, IF(bbgm_stat &gt;= perc_90, converted_stat * 2, IF(bbgm_stat &gt;= perc_85, converted_stat * 1.5, converted_stat)))))</f>
        <v/>
      </c>
      <c r="K895" s="30" t="str">
        <f t="array" ref="K895">IF($A895="", "", LET(bbgm_stat, INDEX(Players!$A894:$P894, MATCH(K$2, Players!$A$1:$P$1, 0)), perc_75, VLOOKUP(K$2, Percentiles!$A$45:$I$59, 6, FALSE), perc_90, VLOOKUP(K$2, Percentiles!$A$45:$I$59, 7, FALSE), perc_95, VLOOKUP(K$2, Percentiles!$A$45:$I$59, 8, FALSE), perc_85, perc_75 + (perc_90 - perc_75) * (2/3), converted_stat, '2K_Ratings'!K895, IF(bbgm_stat &gt;= perc_95, converted_stat * 3, IF(bbgm_stat &gt;= perc_90, converted_stat * 2, IF(bbgm_stat &gt;= perc_85, converted_stat * 1.5, converted_stat)))))</f>
        <v/>
      </c>
      <c r="L895" s="30" t="str">
        <f t="array" ref="L895">IF($A895="", "", LET(bbgm_stat, INDEX(Players!$A894:$P894, MATCH(L$2, Players!$A$1:$P$1, 0)), perc_75, VLOOKUP(L$2, Percentiles!$A$45:$I$59, 6, FALSE), perc_90, VLOOKUP(L$2, Percentiles!$A$45:$I$59, 7, FALSE), perc_95, VLOOKUP(L$2, Percentiles!$A$45:$I$59, 8, FALSE), perc_85, perc_75 + (perc_90 - perc_75) * (2/3), converted_stat, '2K_Ratings'!L895, IF(bbgm_stat &gt;= perc_95, converted_stat * 3, IF(bbgm_stat &gt;= perc_90, converted_stat * 2, IF(bbgm_stat &gt;= perc_85, converted_stat * 1.5, converted_stat)))))</f>
        <v/>
      </c>
      <c r="M895" s="30" t="str">
        <f t="array" ref="M895">IF($A895="", "", LET(bbgm_stat, INDEX(Players!$A894:$P894, MATCH(M$2, Players!$A$1:$P$1, 0)), perc_75, VLOOKUP(M$2, Percentiles!$A$45:$I$59, 6, FALSE), perc_90, VLOOKUP(M$2, Percentiles!$A$45:$I$59, 7, FALSE), perc_95, VLOOKUP(M$2, Percentiles!$A$45:$I$59, 8, FALSE), perc_85, perc_75 + (perc_90 - perc_75) * (2/3), converted_stat, '2K_Ratings'!M895, IF(bbgm_stat &gt;= perc_95, converted_stat * 3, IF(bbgm_stat &gt;= perc_90, converted_stat * 2, IF(bbgm_stat &gt;= perc_85, converted_stat * 1.5, converted_stat)))))</f>
        <v/>
      </c>
      <c r="N895" s="30" t="str">
        <f t="array" ref="N895">IF($A895="", "", LET(bbgm_stat, INDEX(Players!$A894:$P894, MATCH(N$2, Players!$A$1:$P$1, 0)), perc_75, VLOOKUP(N$2, Percentiles!$A$45:$I$59, 6, FALSE), perc_90, VLOOKUP(N$2, Percentiles!$A$45:$I$59, 7, FALSE), perc_95, VLOOKUP(N$2, Percentiles!$A$45:$I$59, 8, FALSE), perc_85, perc_75 + (perc_90 - perc_75) * (2/3), converted_stat, '2K_Ratings'!N895, IF(bbgm_stat &gt;= perc_95, converted_stat * 3, IF(bbgm_stat &gt;= perc_90, converted_stat * 2, IF(bbgm_stat &gt;= perc_85, converted_stat * 1.5, converted_stat)))))</f>
        <v/>
      </c>
      <c r="O895" s="30" t="str">
        <f t="array" ref="O895">IF($A895="", "", LET(bbgm_stat, INDEX(Players!$A894:$P894, MATCH(O$2, Players!$A$1:$P$1, 0)), perc_75, VLOOKUP(O$2, Percentiles!$A$45:$I$59, 6, FALSE), perc_90, VLOOKUP(O$2, Percentiles!$A$45:$I$59, 7, FALSE), perc_95, VLOOKUP(O$2, Percentiles!$A$45:$I$59, 8, FALSE), perc_85, perc_75 + (perc_90 - perc_75) * (2/3), converted_stat, '2K_Ratings'!O895, IF(bbgm_stat &gt;= perc_95, converted_stat * 3, IF(bbgm_stat &gt;= perc_90, converted_stat * 2, IF(bbgm_stat &gt;= perc_85, converted_stat * 1.5, converted_stat)))))</f>
        <v/>
      </c>
      <c r="P895" s="30" t="str">
        <f t="array" ref="P895">IF($A895="", "", LET(bbgm_stat, INDEX(Players!$A894:$P894, MATCH(P$2, Players!$A$1:$P$1, 0)), perc_75, VLOOKUP(P$2, Percentiles!$A$45:$I$59, 6, FALSE), perc_90, VLOOKUP(P$2, Percentiles!$A$45:$I$59, 7, FALSE), perc_95, VLOOKUP(P$2, Percentiles!$A$45:$I$59, 8, FALSE), perc_85, perc_75 + (perc_90 - perc_75) * (2/3), converted_stat, '2K_Ratings'!P895, IF(bbgm_stat &gt;= perc_95, converted_stat * 3, IF(bbgm_stat &gt;= perc_90, converted_stat * 2, IF(bbgm_stat &gt;= perc_85, converted_stat * 1.5, converted_stat)))))</f>
        <v/>
      </c>
      <c r="Q895" s="30" t="str">
        <f t="array" ref="Q895">IF($A895="", "", LET(bbgm_stat, INDEX(Players!$A894:$P894, MATCH(Q$2, Players!$A$1:$P$1, 0)), perc_75, VLOOKUP(Q$2, Percentiles!$A$45:$I$59, 6, FALSE), perc_90, VLOOKUP(Q$2, Percentiles!$A$45:$I$59, 7, FALSE), perc_95, VLOOKUP(Q$2, Percentiles!$A$45:$I$59, 8, FALSE), perc_85, perc_75 + (perc_90 - perc_75) * (2/3), converted_stat, '2K_Ratings'!Q895, IF(bbgm_stat &gt;= perc_95, converted_stat * 3, IF(bbgm_stat &gt;= perc_90, converted_stat * 2, IF(bbgm_stat &gt;= perc_85, converted_stat * 1.5, converted_stat)))))</f>
        <v/>
      </c>
      <c r="R895" s="30" t="str">
        <f t="array" ref="R895">IF($A895="", "", LET(bbgm_stat, INDEX(Players!$A894:$P894, MATCH(R$2, Players!$A$1:$P$1, 0)), perc_75, VLOOKUP(R$2, Percentiles!$A$45:$I$59, 6, FALSE), perc_90, VLOOKUP(R$2, Percentiles!$A$45:$I$59, 7, FALSE), perc_95, VLOOKUP(R$2, Percentiles!$A$45:$I$59, 8, FALSE), perc_85, perc_75 + (perc_90 - perc_75) * (2/3), converted_stat, '2K_Ratings'!R895, IF(bbgm_stat &gt;= perc_95, converted_stat * 3, IF(bbgm_stat &gt;= perc_90, converted_stat * 2, IF(bbgm_stat &gt;= perc_85, converted_stat * 1.5, converted_stat)))))</f>
        <v/>
      </c>
      <c r="S895" s="30" t="str">
        <f t="array" ref="S895">IF($A895="", "", LET(bbgm_stat, INDEX(Players!$A894:$P894, MATCH(S$2, Players!$A$1:$P$1, 0)), perc_75, VLOOKUP(S$2, Percentiles!$A$45:$I$59, 6, FALSE), perc_90, VLOOKUP(S$2, Percentiles!$A$45:$I$59, 7, FALSE), perc_95, VLOOKUP(S$2, Percentiles!$A$45:$I$59, 8, FALSE), perc_85, perc_75 + (perc_90 - perc_75) * (2/3), converted_stat, '2K_Ratings'!S895, IF(bbgm_stat &gt;= perc_95, converted_stat * 3, IF(bbgm_stat &gt;= perc_90, converted_stat * 2, IF(bbgm_stat &gt;= perc_85, converted_stat * 1.5, converted_stat)))))</f>
        <v/>
      </c>
      <c r="T895" s="30" t="str">
        <f t="array" ref="T895">IF($A895="", "", LET(bbgm_stat, INDEX(Players!$A894:$P894, MATCH(T$2, Players!$A$1:$P$1, 0)), perc_75, VLOOKUP(T$2, Percentiles!$A$45:$I$59, 6, FALSE), perc_90, VLOOKUP(T$2, Percentiles!$A$45:$I$59, 7, FALSE), perc_95, VLOOKUP(T$2, Percentiles!$A$45:$I$59, 8, FALSE), perc_85, perc_75 + (perc_90 - perc_75) * (2/3), converted_stat, '2K_Ratings'!T895, IF(bbgm_stat &gt;= perc_95, converted_stat * 3, IF(bbgm_stat &gt;= perc_90, converted_stat * 2, IF(bbgm_stat &gt;= perc_85, converted_stat * 1.5, converted_stat)))))</f>
        <v/>
      </c>
      <c r="U895" s="30" t="str">
        <f t="array" ref="U895">IF($A895="", "", LET(bbgm_stat, INDEX(Players!$A894:$P894, MATCH(U$2, Players!$A$1:$P$1, 0)), perc_75, VLOOKUP(U$2, Percentiles!$A$45:$I$59, 6, FALSE), perc_90, VLOOKUP(U$2, Percentiles!$A$45:$I$59, 7, FALSE), perc_95, VLOOKUP(U$2, Percentiles!$A$45:$I$59, 8, FALSE), perc_85, perc_75 + (perc_90 - perc_75) * (2/3), converted_stat, '2K_Ratings'!U895, IF(bbgm_stat &gt;= perc_95, converted_stat * 3, IF(bbgm_stat &gt;= perc_90, converted_stat * 2, IF(bbgm_stat &gt;= perc_85, converted_stat * 1.5, converted_stat)))))</f>
        <v/>
      </c>
      <c r="V895" s="30" t="str">
        <f t="array" ref="V895">IF($A895="", "", LET(bbgm_stat, INDEX(Players!$A894:$P894, MATCH(V$2, Players!$A$1:$P$1, 0)), perc_75, VLOOKUP(V$2, Percentiles!$A$45:$I$59, 6, FALSE), perc_90, VLOOKUP(V$2, Percentiles!$A$45:$I$59, 7, FALSE), perc_95, VLOOKUP(V$2, Percentiles!$A$45:$I$59, 8, FALSE), perc_85, perc_75 + (perc_90 - perc_75) * (2/3), converted_stat, '2K_Ratings'!V895, IF(bbgm_stat &gt;= perc_95, converted_stat * 3, IF(bbgm_stat &gt;= perc_90, converted_stat * 2, IF(bbgm_stat &gt;= perc_85, converted_stat * 1.5, converted_stat)))))</f>
        <v/>
      </c>
      <c r="W895" s="30" t="str">
        <f t="array" ref="W895">IF($A895="", "", LET(bbgm_stat, INDEX(Players!$A894:$P894, MATCH(W$2, Players!$A$1:$P$1, 0)), perc_75, VLOOKUP(W$2, Percentiles!$A$45:$I$59, 6, FALSE), perc_90, VLOOKUP(W$2, Percentiles!$A$45:$I$59, 7, FALSE), perc_95, VLOOKUP(W$2, Percentiles!$A$45:$I$59, 8, FALSE), perc_85, perc_75 + (perc_90 - perc_75) * (2/3), converted_stat, '2K_Ratings'!W895, IF(bbgm_stat &gt;= perc_95, converted_stat * 3, IF(bbgm_stat &gt;= perc_90, converted_stat * 2, IF(bbgm_stat &gt;= perc_85, converted_stat * 1.5, converted_stat)))))</f>
        <v/>
      </c>
    </row>
    <row r="896">
      <c r="A896" s="30"/>
      <c r="B896" s="30" t="str">
        <f t="array" ref="B896">IF($A896="", "", LET(bbgm_stat, INDEX(Players!$A895:$P895, MATCH(B$2, Players!$A$1:$P$1, 0)), perc_75, VLOOKUP(B$2, Percentiles!$A$45:$I$59, 6, FALSE), perc_90, VLOOKUP(B$2, Percentiles!$A$45:$I$59, 7, FALSE), perc_95, VLOOKUP(B$2, Percentiles!$A$45:$I$59, 8, FALSE), perc_85, perc_75 + (perc_90 - perc_75) * (2/3), converted_stat, '2K_Ratings'!B896, IF(bbgm_stat &gt;= perc_95, converted_stat * 3, IF(bbgm_stat &gt;= perc_90, converted_stat * 2, IF(bbgm_stat &gt;= perc_85, converted_stat * 1.5, converted_stat)))))</f>
        <v/>
      </c>
      <c r="C896" s="30" t="str">
        <f t="array" ref="C896">IF($A896="", "", LET(bbgm_stat, INDEX(Players!$A895:$P895, MATCH(C$2, Players!$A$1:$P$1, 0)), perc_75, VLOOKUP(C$2, Percentiles!$A$45:$I$59, 6, FALSE), perc_90, VLOOKUP(C$2, Percentiles!$A$45:$I$59, 7, FALSE), perc_95, VLOOKUP(C$2, Percentiles!$A$45:$I$59, 8, FALSE), perc_85, perc_75 + (perc_90 - perc_75) * (2/3), converted_stat, '2K_Ratings'!C896, IF(bbgm_stat &gt;= perc_95, converted_stat * 3, IF(bbgm_stat &gt;= perc_90, converted_stat * 2, IF(bbgm_stat &gt;= perc_85, converted_stat * 1.5, converted_stat)))))</f>
        <v/>
      </c>
      <c r="D896" s="30" t="str">
        <f t="array" ref="D896">IF($A896="", "", LET(bbgm_stat, INDEX(Players!$A895:$P895, MATCH(D$2, Players!$A$1:$P$1, 0)), perc_75, VLOOKUP(D$2, Percentiles!$A$45:$I$59, 6, FALSE), perc_90, VLOOKUP(D$2, Percentiles!$A$45:$I$59, 7, FALSE), perc_95, VLOOKUP(D$2, Percentiles!$A$45:$I$59, 8, FALSE), perc_85, perc_75 + (perc_90 - perc_75) * (2/3), converted_stat, '2K_Ratings'!D896, IF(bbgm_stat &gt;= perc_95, converted_stat * 3, IF(bbgm_stat &gt;= perc_90, converted_stat * 2, IF(bbgm_stat &gt;= perc_85, converted_stat * 1.5, converted_stat)))))</f>
        <v/>
      </c>
      <c r="E896" s="30" t="str">
        <f t="array" ref="E896">IF($A896="", "", LET(bbgm_stat, INDEX(Players!$A895:$P895, MATCH(E$2, Players!$A$1:$P$1, 0)), perc_75, VLOOKUP(E$2, Percentiles!$A$45:$I$59, 6, FALSE), perc_90, VLOOKUP(E$2, Percentiles!$A$45:$I$59, 7, FALSE), perc_95, VLOOKUP(E$2, Percentiles!$A$45:$I$59, 8, FALSE), perc_85, perc_75 + (perc_90 - perc_75) * (2/3), converted_stat, '2K_Ratings'!E896, IF(bbgm_stat &gt;= perc_95, converted_stat * 3, IF(bbgm_stat &gt;= perc_90, converted_stat * 2, IF(bbgm_stat &gt;= perc_85, converted_stat * 1.5, converted_stat)))))</f>
        <v/>
      </c>
      <c r="F896" s="30" t="str">
        <f t="array" ref="F896">IF($A896="", "", LET(bbgm_stat, INDEX(Players!$A895:$P895, MATCH(F$2, Players!$A$1:$P$1, 0)), perc_75, VLOOKUP(F$2, Percentiles!$A$45:$I$59, 6, FALSE), perc_90, VLOOKUP(F$2, Percentiles!$A$45:$I$59, 7, FALSE), perc_95, VLOOKUP(F$2, Percentiles!$A$45:$I$59, 8, FALSE), perc_85, perc_75 + (perc_90 - perc_75) * (2/3), converted_stat, '2K_Ratings'!F896, IF(bbgm_stat &gt;= perc_95, converted_stat * 3, IF(bbgm_stat &gt;= perc_90, converted_stat * 2, IF(bbgm_stat &gt;= perc_85, converted_stat * 1.5, converted_stat)))))</f>
        <v/>
      </c>
      <c r="G896" s="30" t="str">
        <f t="array" ref="G896">IF($A896="", "", LET(bbgm_stat, INDEX(Players!$A895:$P895, MATCH(G$2, Players!$A$1:$P$1, 0)), perc_75, VLOOKUP(G$2, Percentiles!$A$45:$I$59, 6, FALSE), perc_90, VLOOKUP(G$2, Percentiles!$A$45:$I$59, 7, FALSE), perc_95, VLOOKUP(G$2, Percentiles!$A$45:$I$59, 8, FALSE), perc_85, perc_75 + (perc_90 - perc_75) * (2/3), converted_stat, '2K_Ratings'!G896, IF(bbgm_stat &gt;= perc_95, converted_stat * 3, IF(bbgm_stat &gt;= perc_90, converted_stat * 2, IF(bbgm_stat &gt;= perc_85, converted_stat * 1.5, converted_stat)))))</f>
        <v/>
      </c>
      <c r="H896" s="30" t="str">
        <f t="array" ref="H896">IF($A896="", "", LET(bbgm_stat, INDEX(Players!$A895:$P895, MATCH(H$2, Players!$A$1:$P$1, 0)), perc_75, VLOOKUP(H$2, Percentiles!$A$45:$I$59, 6, FALSE), perc_90, VLOOKUP(H$2, Percentiles!$A$45:$I$59, 7, FALSE), perc_95, VLOOKUP(H$2, Percentiles!$A$45:$I$59, 8, FALSE), perc_85, perc_75 + (perc_90 - perc_75) * (2/3), converted_stat, '2K_Ratings'!H896, IF(bbgm_stat &gt;= perc_95, converted_stat * 3, IF(bbgm_stat &gt;= perc_90, converted_stat * 2, IF(bbgm_stat &gt;= perc_85, converted_stat * 1.5, converted_stat)))))</f>
        <v/>
      </c>
      <c r="I896" s="30" t="str">
        <f t="array" ref="I896">IF($A896="", "", LET(bbgm_stat, INDEX(Players!$A895:$P895, MATCH(I$2, Players!$A$1:$P$1, 0)), perc_75, VLOOKUP(I$2, Percentiles!$A$45:$I$59, 6, FALSE), perc_90, VLOOKUP(I$2, Percentiles!$A$45:$I$59, 7, FALSE), perc_95, VLOOKUP(I$2, Percentiles!$A$45:$I$59, 8, FALSE), perc_85, perc_75 + (perc_90 - perc_75) * (2/3), converted_stat, '2K_Ratings'!I896, IF(bbgm_stat &gt;= perc_95, converted_stat * 3, IF(bbgm_stat &gt;= perc_90, converted_stat * 2, IF(bbgm_stat &gt;= perc_85, converted_stat * 1.5, converted_stat)))))</f>
        <v/>
      </c>
      <c r="J896" s="30" t="str">
        <f t="array" ref="J896">IF($A896="", "", LET(bbgm_stat, INDEX(Players!$A895:$P895, MATCH(J$2, Players!$A$1:$P$1, 0)), perc_75, VLOOKUP(J$2, Percentiles!$A$45:$I$59, 6, FALSE), perc_90, VLOOKUP(J$2, Percentiles!$A$45:$I$59, 7, FALSE), perc_95, VLOOKUP(J$2, Percentiles!$A$45:$I$59, 8, FALSE), perc_85, perc_75 + (perc_90 - perc_75) * (2/3), converted_stat, '2K_Ratings'!J896, IF(bbgm_stat &gt;= perc_95, converted_stat * 3, IF(bbgm_stat &gt;= perc_90, converted_stat * 2, IF(bbgm_stat &gt;= perc_85, converted_stat * 1.5, converted_stat)))))</f>
        <v/>
      </c>
      <c r="K896" s="30" t="str">
        <f t="array" ref="K896">IF($A896="", "", LET(bbgm_stat, INDEX(Players!$A895:$P895, MATCH(K$2, Players!$A$1:$P$1, 0)), perc_75, VLOOKUP(K$2, Percentiles!$A$45:$I$59, 6, FALSE), perc_90, VLOOKUP(K$2, Percentiles!$A$45:$I$59, 7, FALSE), perc_95, VLOOKUP(K$2, Percentiles!$A$45:$I$59, 8, FALSE), perc_85, perc_75 + (perc_90 - perc_75) * (2/3), converted_stat, '2K_Ratings'!K896, IF(bbgm_stat &gt;= perc_95, converted_stat * 3, IF(bbgm_stat &gt;= perc_90, converted_stat * 2, IF(bbgm_stat &gt;= perc_85, converted_stat * 1.5, converted_stat)))))</f>
        <v/>
      </c>
      <c r="L896" s="30" t="str">
        <f t="array" ref="L896">IF($A896="", "", LET(bbgm_stat, INDEX(Players!$A895:$P895, MATCH(L$2, Players!$A$1:$P$1, 0)), perc_75, VLOOKUP(L$2, Percentiles!$A$45:$I$59, 6, FALSE), perc_90, VLOOKUP(L$2, Percentiles!$A$45:$I$59, 7, FALSE), perc_95, VLOOKUP(L$2, Percentiles!$A$45:$I$59, 8, FALSE), perc_85, perc_75 + (perc_90 - perc_75) * (2/3), converted_stat, '2K_Ratings'!L896, IF(bbgm_stat &gt;= perc_95, converted_stat * 3, IF(bbgm_stat &gt;= perc_90, converted_stat * 2, IF(bbgm_stat &gt;= perc_85, converted_stat * 1.5, converted_stat)))))</f>
        <v/>
      </c>
      <c r="M896" s="30" t="str">
        <f t="array" ref="M896">IF($A896="", "", LET(bbgm_stat, INDEX(Players!$A895:$P895, MATCH(M$2, Players!$A$1:$P$1, 0)), perc_75, VLOOKUP(M$2, Percentiles!$A$45:$I$59, 6, FALSE), perc_90, VLOOKUP(M$2, Percentiles!$A$45:$I$59, 7, FALSE), perc_95, VLOOKUP(M$2, Percentiles!$A$45:$I$59, 8, FALSE), perc_85, perc_75 + (perc_90 - perc_75) * (2/3), converted_stat, '2K_Ratings'!M896, IF(bbgm_stat &gt;= perc_95, converted_stat * 3, IF(bbgm_stat &gt;= perc_90, converted_stat * 2, IF(bbgm_stat &gt;= perc_85, converted_stat * 1.5, converted_stat)))))</f>
        <v/>
      </c>
      <c r="N896" s="30" t="str">
        <f t="array" ref="N896">IF($A896="", "", LET(bbgm_stat, INDEX(Players!$A895:$P895, MATCH(N$2, Players!$A$1:$P$1, 0)), perc_75, VLOOKUP(N$2, Percentiles!$A$45:$I$59, 6, FALSE), perc_90, VLOOKUP(N$2, Percentiles!$A$45:$I$59, 7, FALSE), perc_95, VLOOKUP(N$2, Percentiles!$A$45:$I$59, 8, FALSE), perc_85, perc_75 + (perc_90 - perc_75) * (2/3), converted_stat, '2K_Ratings'!N896, IF(bbgm_stat &gt;= perc_95, converted_stat * 3, IF(bbgm_stat &gt;= perc_90, converted_stat * 2, IF(bbgm_stat &gt;= perc_85, converted_stat * 1.5, converted_stat)))))</f>
        <v/>
      </c>
      <c r="O896" s="30" t="str">
        <f t="array" ref="O896">IF($A896="", "", LET(bbgm_stat, INDEX(Players!$A895:$P895, MATCH(O$2, Players!$A$1:$P$1, 0)), perc_75, VLOOKUP(O$2, Percentiles!$A$45:$I$59, 6, FALSE), perc_90, VLOOKUP(O$2, Percentiles!$A$45:$I$59, 7, FALSE), perc_95, VLOOKUP(O$2, Percentiles!$A$45:$I$59, 8, FALSE), perc_85, perc_75 + (perc_90 - perc_75) * (2/3), converted_stat, '2K_Ratings'!O896, IF(bbgm_stat &gt;= perc_95, converted_stat * 3, IF(bbgm_stat &gt;= perc_90, converted_stat * 2, IF(bbgm_stat &gt;= perc_85, converted_stat * 1.5, converted_stat)))))</f>
        <v/>
      </c>
      <c r="P896" s="30" t="str">
        <f t="array" ref="P896">IF($A896="", "", LET(bbgm_stat, INDEX(Players!$A895:$P895, MATCH(P$2, Players!$A$1:$P$1, 0)), perc_75, VLOOKUP(P$2, Percentiles!$A$45:$I$59, 6, FALSE), perc_90, VLOOKUP(P$2, Percentiles!$A$45:$I$59, 7, FALSE), perc_95, VLOOKUP(P$2, Percentiles!$A$45:$I$59, 8, FALSE), perc_85, perc_75 + (perc_90 - perc_75) * (2/3), converted_stat, '2K_Ratings'!P896, IF(bbgm_stat &gt;= perc_95, converted_stat * 3, IF(bbgm_stat &gt;= perc_90, converted_stat * 2, IF(bbgm_stat &gt;= perc_85, converted_stat * 1.5, converted_stat)))))</f>
        <v/>
      </c>
      <c r="Q896" s="30" t="str">
        <f t="array" ref="Q896">IF($A896="", "", LET(bbgm_stat, INDEX(Players!$A895:$P895, MATCH(Q$2, Players!$A$1:$P$1, 0)), perc_75, VLOOKUP(Q$2, Percentiles!$A$45:$I$59, 6, FALSE), perc_90, VLOOKUP(Q$2, Percentiles!$A$45:$I$59, 7, FALSE), perc_95, VLOOKUP(Q$2, Percentiles!$A$45:$I$59, 8, FALSE), perc_85, perc_75 + (perc_90 - perc_75) * (2/3), converted_stat, '2K_Ratings'!Q896, IF(bbgm_stat &gt;= perc_95, converted_stat * 3, IF(bbgm_stat &gt;= perc_90, converted_stat * 2, IF(bbgm_stat &gt;= perc_85, converted_stat * 1.5, converted_stat)))))</f>
        <v/>
      </c>
      <c r="R896" s="30" t="str">
        <f t="array" ref="R896">IF($A896="", "", LET(bbgm_stat, INDEX(Players!$A895:$P895, MATCH(R$2, Players!$A$1:$P$1, 0)), perc_75, VLOOKUP(R$2, Percentiles!$A$45:$I$59, 6, FALSE), perc_90, VLOOKUP(R$2, Percentiles!$A$45:$I$59, 7, FALSE), perc_95, VLOOKUP(R$2, Percentiles!$A$45:$I$59, 8, FALSE), perc_85, perc_75 + (perc_90 - perc_75) * (2/3), converted_stat, '2K_Ratings'!R896, IF(bbgm_stat &gt;= perc_95, converted_stat * 3, IF(bbgm_stat &gt;= perc_90, converted_stat * 2, IF(bbgm_stat &gt;= perc_85, converted_stat * 1.5, converted_stat)))))</f>
        <v/>
      </c>
      <c r="S896" s="30" t="str">
        <f t="array" ref="S896">IF($A896="", "", LET(bbgm_stat, INDEX(Players!$A895:$P895, MATCH(S$2, Players!$A$1:$P$1, 0)), perc_75, VLOOKUP(S$2, Percentiles!$A$45:$I$59, 6, FALSE), perc_90, VLOOKUP(S$2, Percentiles!$A$45:$I$59, 7, FALSE), perc_95, VLOOKUP(S$2, Percentiles!$A$45:$I$59, 8, FALSE), perc_85, perc_75 + (perc_90 - perc_75) * (2/3), converted_stat, '2K_Ratings'!S896, IF(bbgm_stat &gt;= perc_95, converted_stat * 3, IF(bbgm_stat &gt;= perc_90, converted_stat * 2, IF(bbgm_stat &gt;= perc_85, converted_stat * 1.5, converted_stat)))))</f>
        <v/>
      </c>
      <c r="T896" s="30" t="str">
        <f t="array" ref="T896">IF($A896="", "", LET(bbgm_stat, INDEX(Players!$A895:$P895, MATCH(T$2, Players!$A$1:$P$1, 0)), perc_75, VLOOKUP(T$2, Percentiles!$A$45:$I$59, 6, FALSE), perc_90, VLOOKUP(T$2, Percentiles!$A$45:$I$59, 7, FALSE), perc_95, VLOOKUP(T$2, Percentiles!$A$45:$I$59, 8, FALSE), perc_85, perc_75 + (perc_90 - perc_75) * (2/3), converted_stat, '2K_Ratings'!T896, IF(bbgm_stat &gt;= perc_95, converted_stat * 3, IF(bbgm_stat &gt;= perc_90, converted_stat * 2, IF(bbgm_stat &gt;= perc_85, converted_stat * 1.5, converted_stat)))))</f>
        <v/>
      </c>
      <c r="U896" s="30" t="str">
        <f t="array" ref="U896">IF($A896="", "", LET(bbgm_stat, INDEX(Players!$A895:$P895, MATCH(U$2, Players!$A$1:$P$1, 0)), perc_75, VLOOKUP(U$2, Percentiles!$A$45:$I$59, 6, FALSE), perc_90, VLOOKUP(U$2, Percentiles!$A$45:$I$59, 7, FALSE), perc_95, VLOOKUP(U$2, Percentiles!$A$45:$I$59, 8, FALSE), perc_85, perc_75 + (perc_90 - perc_75) * (2/3), converted_stat, '2K_Ratings'!U896, IF(bbgm_stat &gt;= perc_95, converted_stat * 3, IF(bbgm_stat &gt;= perc_90, converted_stat * 2, IF(bbgm_stat &gt;= perc_85, converted_stat * 1.5, converted_stat)))))</f>
        <v/>
      </c>
      <c r="V896" s="30" t="str">
        <f t="array" ref="V896">IF($A896="", "", LET(bbgm_stat, INDEX(Players!$A895:$P895, MATCH(V$2, Players!$A$1:$P$1, 0)), perc_75, VLOOKUP(V$2, Percentiles!$A$45:$I$59, 6, FALSE), perc_90, VLOOKUP(V$2, Percentiles!$A$45:$I$59, 7, FALSE), perc_95, VLOOKUP(V$2, Percentiles!$A$45:$I$59, 8, FALSE), perc_85, perc_75 + (perc_90 - perc_75) * (2/3), converted_stat, '2K_Ratings'!V896, IF(bbgm_stat &gt;= perc_95, converted_stat * 3, IF(bbgm_stat &gt;= perc_90, converted_stat * 2, IF(bbgm_stat &gt;= perc_85, converted_stat * 1.5, converted_stat)))))</f>
        <v/>
      </c>
      <c r="W896" s="30" t="str">
        <f t="array" ref="W896">IF($A896="", "", LET(bbgm_stat, INDEX(Players!$A895:$P895, MATCH(W$2, Players!$A$1:$P$1, 0)), perc_75, VLOOKUP(W$2, Percentiles!$A$45:$I$59, 6, FALSE), perc_90, VLOOKUP(W$2, Percentiles!$A$45:$I$59, 7, FALSE), perc_95, VLOOKUP(W$2, Percentiles!$A$45:$I$59, 8, FALSE), perc_85, perc_75 + (perc_90 - perc_75) * (2/3), converted_stat, '2K_Ratings'!W896, IF(bbgm_stat &gt;= perc_95, converted_stat * 3, IF(bbgm_stat &gt;= perc_90, converted_stat * 2, IF(bbgm_stat &gt;= perc_85, converted_stat * 1.5, converted_stat)))))</f>
        <v/>
      </c>
    </row>
    <row r="897">
      <c r="A897" s="30"/>
      <c r="B897" s="30" t="str">
        <f t="array" ref="B897">IF($A897="", "", LET(bbgm_stat, INDEX(Players!$A896:$P896, MATCH(B$2, Players!$A$1:$P$1, 0)), perc_75, VLOOKUP(B$2, Percentiles!$A$45:$I$59, 6, FALSE), perc_90, VLOOKUP(B$2, Percentiles!$A$45:$I$59, 7, FALSE), perc_95, VLOOKUP(B$2, Percentiles!$A$45:$I$59, 8, FALSE), perc_85, perc_75 + (perc_90 - perc_75) * (2/3), converted_stat, '2K_Ratings'!B897, IF(bbgm_stat &gt;= perc_95, converted_stat * 3, IF(bbgm_stat &gt;= perc_90, converted_stat * 2, IF(bbgm_stat &gt;= perc_85, converted_stat * 1.5, converted_stat)))))</f>
        <v/>
      </c>
      <c r="C897" s="30" t="str">
        <f t="array" ref="C897">IF($A897="", "", LET(bbgm_stat, INDEX(Players!$A896:$P896, MATCH(C$2, Players!$A$1:$P$1, 0)), perc_75, VLOOKUP(C$2, Percentiles!$A$45:$I$59, 6, FALSE), perc_90, VLOOKUP(C$2, Percentiles!$A$45:$I$59, 7, FALSE), perc_95, VLOOKUP(C$2, Percentiles!$A$45:$I$59, 8, FALSE), perc_85, perc_75 + (perc_90 - perc_75) * (2/3), converted_stat, '2K_Ratings'!C897, IF(bbgm_stat &gt;= perc_95, converted_stat * 3, IF(bbgm_stat &gt;= perc_90, converted_stat * 2, IF(bbgm_stat &gt;= perc_85, converted_stat * 1.5, converted_stat)))))</f>
        <v/>
      </c>
      <c r="D897" s="30" t="str">
        <f t="array" ref="D897">IF($A897="", "", LET(bbgm_stat, INDEX(Players!$A896:$P896, MATCH(D$2, Players!$A$1:$P$1, 0)), perc_75, VLOOKUP(D$2, Percentiles!$A$45:$I$59, 6, FALSE), perc_90, VLOOKUP(D$2, Percentiles!$A$45:$I$59, 7, FALSE), perc_95, VLOOKUP(D$2, Percentiles!$A$45:$I$59, 8, FALSE), perc_85, perc_75 + (perc_90 - perc_75) * (2/3), converted_stat, '2K_Ratings'!D897, IF(bbgm_stat &gt;= perc_95, converted_stat * 3, IF(bbgm_stat &gt;= perc_90, converted_stat * 2, IF(bbgm_stat &gt;= perc_85, converted_stat * 1.5, converted_stat)))))</f>
        <v/>
      </c>
      <c r="E897" s="30" t="str">
        <f t="array" ref="E897">IF($A897="", "", LET(bbgm_stat, INDEX(Players!$A896:$P896, MATCH(E$2, Players!$A$1:$P$1, 0)), perc_75, VLOOKUP(E$2, Percentiles!$A$45:$I$59, 6, FALSE), perc_90, VLOOKUP(E$2, Percentiles!$A$45:$I$59, 7, FALSE), perc_95, VLOOKUP(E$2, Percentiles!$A$45:$I$59, 8, FALSE), perc_85, perc_75 + (perc_90 - perc_75) * (2/3), converted_stat, '2K_Ratings'!E897, IF(bbgm_stat &gt;= perc_95, converted_stat * 3, IF(bbgm_stat &gt;= perc_90, converted_stat * 2, IF(bbgm_stat &gt;= perc_85, converted_stat * 1.5, converted_stat)))))</f>
        <v/>
      </c>
      <c r="F897" s="30" t="str">
        <f t="array" ref="F897">IF($A897="", "", LET(bbgm_stat, INDEX(Players!$A896:$P896, MATCH(F$2, Players!$A$1:$P$1, 0)), perc_75, VLOOKUP(F$2, Percentiles!$A$45:$I$59, 6, FALSE), perc_90, VLOOKUP(F$2, Percentiles!$A$45:$I$59, 7, FALSE), perc_95, VLOOKUP(F$2, Percentiles!$A$45:$I$59, 8, FALSE), perc_85, perc_75 + (perc_90 - perc_75) * (2/3), converted_stat, '2K_Ratings'!F897, IF(bbgm_stat &gt;= perc_95, converted_stat * 3, IF(bbgm_stat &gt;= perc_90, converted_stat * 2, IF(bbgm_stat &gt;= perc_85, converted_stat * 1.5, converted_stat)))))</f>
        <v/>
      </c>
      <c r="G897" s="30" t="str">
        <f t="array" ref="G897">IF($A897="", "", LET(bbgm_stat, INDEX(Players!$A896:$P896, MATCH(G$2, Players!$A$1:$P$1, 0)), perc_75, VLOOKUP(G$2, Percentiles!$A$45:$I$59, 6, FALSE), perc_90, VLOOKUP(G$2, Percentiles!$A$45:$I$59, 7, FALSE), perc_95, VLOOKUP(G$2, Percentiles!$A$45:$I$59, 8, FALSE), perc_85, perc_75 + (perc_90 - perc_75) * (2/3), converted_stat, '2K_Ratings'!G897, IF(bbgm_stat &gt;= perc_95, converted_stat * 3, IF(bbgm_stat &gt;= perc_90, converted_stat * 2, IF(bbgm_stat &gt;= perc_85, converted_stat * 1.5, converted_stat)))))</f>
        <v/>
      </c>
      <c r="H897" s="30" t="str">
        <f t="array" ref="H897">IF($A897="", "", LET(bbgm_stat, INDEX(Players!$A896:$P896, MATCH(H$2, Players!$A$1:$P$1, 0)), perc_75, VLOOKUP(H$2, Percentiles!$A$45:$I$59, 6, FALSE), perc_90, VLOOKUP(H$2, Percentiles!$A$45:$I$59, 7, FALSE), perc_95, VLOOKUP(H$2, Percentiles!$A$45:$I$59, 8, FALSE), perc_85, perc_75 + (perc_90 - perc_75) * (2/3), converted_stat, '2K_Ratings'!H897, IF(bbgm_stat &gt;= perc_95, converted_stat * 3, IF(bbgm_stat &gt;= perc_90, converted_stat * 2, IF(bbgm_stat &gt;= perc_85, converted_stat * 1.5, converted_stat)))))</f>
        <v/>
      </c>
      <c r="I897" s="30" t="str">
        <f t="array" ref="I897">IF($A897="", "", LET(bbgm_stat, INDEX(Players!$A896:$P896, MATCH(I$2, Players!$A$1:$P$1, 0)), perc_75, VLOOKUP(I$2, Percentiles!$A$45:$I$59, 6, FALSE), perc_90, VLOOKUP(I$2, Percentiles!$A$45:$I$59, 7, FALSE), perc_95, VLOOKUP(I$2, Percentiles!$A$45:$I$59, 8, FALSE), perc_85, perc_75 + (perc_90 - perc_75) * (2/3), converted_stat, '2K_Ratings'!I897, IF(bbgm_stat &gt;= perc_95, converted_stat * 3, IF(bbgm_stat &gt;= perc_90, converted_stat * 2, IF(bbgm_stat &gt;= perc_85, converted_stat * 1.5, converted_stat)))))</f>
        <v/>
      </c>
      <c r="J897" s="30" t="str">
        <f t="array" ref="J897">IF($A897="", "", LET(bbgm_stat, INDEX(Players!$A896:$P896, MATCH(J$2, Players!$A$1:$P$1, 0)), perc_75, VLOOKUP(J$2, Percentiles!$A$45:$I$59, 6, FALSE), perc_90, VLOOKUP(J$2, Percentiles!$A$45:$I$59, 7, FALSE), perc_95, VLOOKUP(J$2, Percentiles!$A$45:$I$59, 8, FALSE), perc_85, perc_75 + (perc_90 - perc_75) * (2/3), converted_stat, '2K_Ratings'!J897, IF(bbgm_stat &gt;= perc_95, converted_stat * 3, IF(bbgm_stat &gt;= perc_90, converted_stat * 2, IF(bbgm_stat &gt;= perc_85, converted_stat * 1.5, converted_stat)))))</f>
        <v/>
      </c>
      <c r="K897" s="30" t="str">
        <f t="array" ref="K897">IF($A897="", "", LET(bbgm_stat, INDEX(Players!$A896:$P896, MATCH(K$2, Players!$A$1:$P$1, 0)), perc_75, VLOOKUP(K$2, Percentiles!$A$45:$I$59, 6, FALSE), perc_90, VLOOKUP(K$2, Percentiles!$A$45:$I$59, 7, FALSE), perc_95, VLOOKUP(K$2, Percentiles!$A$45:$I$59, 8, FALSE), perc_85, perc_75 + (perc_90 - perc_75) * (2/3), converted_stat, '2K_Ratings'!K897, IF(bbgm_stat &gt;= perc_95, converted_stat * 3, IF(bbgm_stat &gt;= perc_90, converted_stat * 2, IF(bbgm_stat &gt;= perc_85, converted_stat * 1.5, converted_stat)))))</f>
        <v/>
      </c>
      <c r="L897" s="30" t="str">
        <f t="array" ref="L897">IF($A897="", "", LET(bbgm_stat, INDEX(Players!$A896:$P896, MATCH(L$2, Players!$A$1:$P$1, 0)), perc_75, VLOOKUP(L$2, Percentiles!$A$45:$I$59, 6, FALSE), perc_90, VLOOKUP(L$2, Percentiles!$A$45:$I$59, 7, FALSE), perc_95, VLOOKUP(L$2, Percentiles!$A$45:$I$59, 8, FALSE), perc_85, perc_75 + (perc_90 - perc_75) * (2/3), converted_stat, '2K_Ratings'!L897, IF(bbgm_stat &gt;= perc_95, converted_stat * 3, IF(bbgm_stat &gt;= perc_90, converted_stat * 2, IF(bbgm_stat &gt;= perc_85, converted_stat * 1.5, converted_stat)))))</f>
        <v/>
      </c>
      <c r="M897" s="30" t="str">
        <f t="array" ref="M897">IF($A897="", "", LET(bbgm_stat, INDEX(Players!$A896:$P896, MATCH(M$2, Players!$A$1:$P$1, 0)), perc_75, VLOOKUP(M$2, Percentiles!$A$45:$I$59, 6, FALSE), perc_90, VLOOKUP(M$2, Percentiles!$A$45:$I$59, 7, FALSE), perc_95, VLOOKUP(M$2, Percentiles!$A$45:$I$59, 8, FALSE), perc_85, perc_75 + (perc_90 - perc_75) * (2/3), converted_stat, '2K_Ratings'!M897, IF(bbgm_stat &gt;= perc_95, converted_stat * 3, IF(bbgm_stat &gt;= perc_90, converted_stat * 2, IF(bbgm_stat &gt;= perc_85, converted_stat * 1.5, converted_stat)))))</f>
        <v/>
      </c>
      <c r="N897" s="30" t="str">
        <f t="array" ref="N897">IF($A897="", "", LET(bbgm_stat, INDEX(Players!$A896:$P896, MATCH(N$2, Players!$A$1:$P$1, 0)), perc_75, VLOOKUP(N$2, Percentiles!$A$45:$I$59, 6, FALSE), perc_90, VLOOKUP(N$2, Percentiles!$A$45:$I$59, 7, FALSE), perc_95, VLOOKUP(N$2, Percentiles!$A$45:$I$59, 8, FALSE), perc_85, perc_75 + (perc_90 - perc_75) * (2/3), converted_stat, '2K_Ratings'!N897, IF(bbgm_stat &gt;= perc_95, converted_stat * 3, IF(bbgm_stat &gt;= perc_90, converted_stat * 2, IF(bbgm_stat &gt;= perc_85, converted_stat * 1.5, converted_stat)))))</f>
        <v/>
      </c>
      <c r="O897" s="30" t="str">
        <f t="array" ref="O897">IF($A897="", "", LET(bbgm_stat, INDEX(Players!$A896:$P896, MATCH(O$2, Players!$A$1:$P$1, 0)), perc_75, VLOOKUP(O$2, Percentiles!$A$45:$I$59, 6, FALSE), perc_90, VLOOKUP(O$2, Percentiles!$A$45:$I$59, 7, FALSE), perc_95, VLOOKUP(O$2, Percentiles!$A$45:$I$59, 8, FALSE), perc_85, perc_75 + (perc_90 - perc_75) * (2/3), converted_stat, '2K_Ratings'!O897, IF(bbgm_stat &gt;= perc_95, converted_stat * 3, IF(bbgm_stat &gt;= perc_90, converted_stat * 2, IF(bbgm_stat &gt;= perc_85, converted_stat * 1.5, converted_stat)))))</f>
        <v/>
      </c>
      <c r="P897" s="30" t="str">
        <f t="array" ref="P897">IF($A897="", "", LET(bbgm_stat, INDEX(Players!$A896:$P896, MATCH(P$2, Players!$A$1:$P$1, 0)), perc_75, VLOOKUP(P$2, Percentiles!$A$45:$I$59, 6, FALSE), perc_90, VLOOKUP(P$2, Percentiles!$A$45:$I$59, 7, FALSE), perc_95, VLOOKUP(P$2, Percentiles!$A$45:$I$59, 8, FALSE), perc_85, perc_75 + (perc_90 - perc_75) * (2/3), converted_stat, '2K_Ratings'!P897, IF(bbgm_stat &gt;= perc_95, converted_stat * 3, IF(bbgm_stat &gt;= perc_90, converted_stat * 2, IF(bbgm_stat &gt;= perc_85, converted_stat * 1.5, converted_stat)))))</f>
        <v/>
      </c>
      <c r="Q897" s="30" t="str">
        <f t="array" ref="Q897">IF($A897="", "", LET(bbgm_stat, INDEX(Players!$A896:$P896, MATCH(Q$2, Players!$A$1:$P$1, 0)), perc_75, VLOOKUP(Q$2, Percentiles!$A$45:$I$59, 6, FALSE), perc_90, VLOOKUP(Q$2, Percentiles!$A$45:$I$59, 7, FALSE), perc_95, VLOOKUP(Q$2, Percentiles!$A$45:$I$59, 8, FALSE), perc_85, perc_75 + (perc_90 - perc_75) * (2/3), converted_stat, '2K_Ratings'!Q897, IF(bbgm_stat &gt;= perc_95, converted_stat * 3, IF(bbgm_stat &gt;= perc_90, converted_stat * 2, IF(bbgm_stat &gt;= perc_85, converted_stat * 1.5, converted_stat)))))</f>
        <v/>
      </c>
      <c r="R897" s="30" t="str">
        <f t="array" ref="R897">IF($A897="", "", LET(bbgm_stat, INDEX(Players!$A896:$P896, MATCH(R$2, Players!$A$1:$P$1, 0)), perc_75, VLOOKUP(R$2, Percentiles!$A$45:$I$59, 6, FALSE), perc_90, VLOOKUP(R$2, Percentiles!$A$45:$I$59, 7, FALSE), perc_95, VLOOKUP(R$2, Percentiles!$A$45:$I$59, 8, FALSE), perc_85, perc_75 + (perc_90 - perc_75) * (2/3), converted_stat, '2K_Ratings'!R897, IF(bbgm_stat &gt;= perc_95, converted_stat * 3, IF(bbgm_stat &gt;= perc_90, converted_stat * 2, IF(bbgm_stat &gt;= perc_85, converted_stat * 1.5, converted_stat)))))</f>
        <v/>
      </c>
      <c r="S897" s="30" t="str">
        <f t="array" ref="S897">IF($A897="", "", LET(bbgm_stat, INDEX(Players!$A896:$P896, MATCH(S$2, Players!$A$1:$P$1, 0)), perc_75, VLOOKUP(S$2, Percentiles!$A$45:$I$59, 6, FALSE), perc_90, VLOOKUP(S$2, Percentiles!$A$45:$I$59, 7, FALSE), perc_95, VLOOKUP(S$2, Percentiles!$A$45:$I$59, 8, FALSE), perc_85, perc_75 + (perc_90 - perc_75) * (2/3), converted_stat, '2K_Ratings'!S897, IF(bbgm_stat &gt;= perc_95, converted_stat * 3, IF(bbgm_stat &gt;= perc_90, converted_stat * 2, IF(bbgm_stat &gt;= perc_85, converted_stat * 1.5, converted_stat)))))</f>
        <v/>
      </c>
      <c r="T897" s="30" t="str">
        <f t="array" ref="T897">IF($A897="", "", LET(bbgm_stat, INDEX(Players!$A896:$P896, MATCH(T$2, Players!$A$1:$P$1, 0)), perc_75, VLOOKUP(T$2, Percentiles!$A$45:$I$59, 6, FALSE), perc_90, VLOOKUP(T$2, Percentiles!$A$45:$I$59, 7, FALSE), perc_95, VLOOKUP(T$2, Percentiles!$A$45:$I$59, 8, FALSE), perc_85, perc_75 + (perc_90 - perc_75) * (2/3), converted_stat, '2K_Ratings'!T897, IF(bbgm_stat &gt;= perc_95, converted_stat * 3, IF(bbgm_stat &gt;= perc_90, converted_stat * 2, IF(bbgm_stat &gt;= perc_85, converted_stat * 1.5, converted_stat)))))</f>
        <v/>
      </c>
      <c r="U897" s="30" t="str">
        <f t="array" ref="U897">IF($A897="", "", LET(bbgm_stat, INDEX(Players!$A896:$P896, MATCH(U$2, Players!$A$1:$P$1, 0)), perc_75, VLOOKUP(U$2, Percentiles!$A$45:$I$59, 6, FALSE), perc_90, VLOOKUP(U$2, Percentiles!$A$45:$I$59, 7, FALSE), perc_95, VLOOKUP(U$2, Percentiles!$A$45:$I$59, 8, FALSE), perc_85, perc_75 + (perc_90 - perc_75) * (2/3), converted_stat, '2K_Ratings'!U897, IF(bbgm_stat &gt;= perc_95, converted_stat * 3, IF(bbgm_stat &gt;= perc_90, converted_stat * 2, IF(bbgm_stat &gt;= perc_85, converted_stat * 1.5, converted_stat)))))</f>
        <v/>
      </c>
      <c r="V897" s="30" t="str">
        <f t="array" ref="V897">IF($A897="", "", LET(bbgm_stat, INDEX(Players!$A896:$P896, MATCH(V$2, Players!$A$1:$P$1, 0)), perc_75, VLOOKUP(V$2, Percentiles!$A$45:$I$59, 6, FALSE), perc_90, VLOOKUP(V$2, Percentiles!$A$45:$I$59, 7, FALSE), perc_95, VLOOKUP(V$2, Percentiles!$A$45:$I$59, 8, FALSE), perc_85, perc_75 + (perc_90 - perc_75) * (2/3), converted_stat, '2K_Ratings'!V897, IF(bbgm_stat &gt;= perc_95, converted_stat * 3, IF(bbgm_stat &gt;= perc_90, converted_stat * 2, IF(bbgm_stat &gt;= perc_85, converted_stat * 1.5, converted_stat)))))</f>
        <v/>
      </c>
      <c r="W897" s="30" t="str">
        <f t="array" ref="W897">IF($A897="", "", LET(bbgm_stat, INDEX(Players!$A896:$P896, MATCH(W$2, Players!$A$1:$P$1, 0)), perc_75, VLOOKUP(W$2, Percentiles!$A$45:$I$59, 6, FALSE), perc_90, VLOOKUP(W$2, Percentiles!$A$45:$I$59, 7, FALSE), perc_95, VLOOKUP(W$2, Percentiles!$A$45:$I$59, 8, FALSE), perc_85, perc_75 + (perc_90 - perc_75) * (2/3), converted_stat, '2K_Ratings'!W897, IF(bbgm_stat &gt;= perc_95, converted_stat * 3, IF(bbgm_stat &gt;= perc_90, converted_stat * 2, IF(bbgm_stat &gt;= perc_85, converted_stat * 1.5, converted_stat)))))</f>
        <v/>
      </c>
    </row>
    <row r="898">
      <c r="A898" s="30"/>
      <c r="B898" s="30" t="str">
        <f t="array" ref="B898">IF($A898="", "", LET(bbgm_stat, INDEX(Players!$A897:$P897, MATCH(B$2, Players!$A$1:$P$1, 0)), perc_75, VLOOKUP(B$2, Percentiles!$A$45:$I$59, 6, FALSE), perc_90, VLOOKUP(B$2, Percentiles!$A$45:$I$59, 7, FALSE), perc_95, VLOOKUP(B$2, Percentiles!$A$45:$I$59, 8, FALSE), perc_85, perc_75 + (perc_90 - perc_75) * (2/3), converted_stat, '2K_Ratings'!B898, IF(bbgm_stat &gt;= perc_95, converted_stat * 3, IF(bbgm_stat &gt;= perc_90, converted_stat * 2, IF(bbgm_stat &gt;= perc_85, converted_stat * 1.5, converted_stat)))))</f>
        <v/>
      </c>
      <c r="C898" s="30" t="str">
        <f t="array" ref="C898">IF($A898="", "", LET(bbgm_stat, INDEX(Players!$A897:$P897, MATCH(C$2, Players!$A$1:$P$1, 0)), perc_75, VLOOKUP(C$2, Percentiles!$A$45:$I$59, 6, FALSE), perc_90, VLOOKUP(C$2, Percentiles!$A$45:$I$59, 7, FALSE), perc_95, VLOOKUP(C$2, Percentiles!$A$45:$I$59, 8, FALSE), perc_85, perc_75 + (perc_90 - perc_75) * (2/3), converted_stat, '2K_Ratings'!C898, IF(bbgm_stat &gt;= perc_95, converted_stat * 3, IF(bbgm_stat &gt;= perc_90, converted_stat * 2, IF(bbgm_stat &gt;= perc_85, converted_stat * 1.5, converted_stat)))))</f>
        <v/>
      </c>
      <c r="D898" s="30" t="str">
        <f t="array" ref="D898">IF($A898="", "", LET(bbgm_stat, INDEX(Players!$A897:$P897, MATCH(D$2, Players!$A$1:$P$1, 0)), perc_75, VLOOKUP(D$2, Percentiles!$A$45:$I$59, 6, FALSE), perc_90, VLOOKUP(D$2, Percentiles!$A$45:$I$59, 7, FALSE), perc_95, VLOOKUP(D$2, Percentiles!$A$45:$I$59, 8, FALSE), perc_85, perc_75 + (perc_90 - perc_75) * (2/3), converted_stat, '2K_Ratings'!D898, IF(bbgm_stat &gt;= perc_95, converted_stat * 3, IF(bbgm_stat &gt;= perc_90, converted_stat * 2, IF(bbgm_stat &gt;= perc_85, converted_stat * 1.5, converted_stat)))))</f>
        <v/>
      </c>
      <c r="E898" s="30" t="str">
        <f t="array" ref="E898">IF($A898="", "", LET(bbgm_stat, INDEX(Players!$A897:$P897, MATCH(E$2, Players!$A$1:$P$1, 0)), perc_75, VLOOKUP(E$2, Percentiles!$A$45:$I$59, 6, FALSE), perc_90, VLOOKUP(E$2, Percentiles!$A$45:$I$59, 7, FALSE), perc_95, VLOOKUP(E$2, Percentiles!$A$45:$I$59, 8, FALSE), perc_85, perc_75 + (perc_90 - perc_75) * (2/3), converted_stat, '2K_Ratings'!E898, IF(bbgm_stat &gt;= perc_95, converted_stat * 3, IF(bbgm_stat &gt;= perc_90, converted_stat * 2, IF(bbgm_stat &gt;= perc_85, converted_stat * 1.5, converted_stat)))))</f>
        <v/>
      </c>
      <c r="F898" s="30" t="str">
        <f t="array" ref="F898">IF($A898="", "", LET(bbgm_stat, INDEX(Players!$A897:$P897, MATCH(F$2, Players!$A$1:$P$1, 0)), perc_75, VLOOKUP(F$2, Percentiles!$A$45:$I$59, 6, FALSE), perc_90, VLOOKUP(F$2, Percentiles!$A$45:$I$59, 7, FALSE), perc_95, VLOOKUP(F$2, Percentiles!$A$45:$I$59, 8, FALSE), perc_85, perc_75 + (perc_90 - perc_75) * (2/3), converted_stat, '2K_Ratings'!F898, IF(bbgm_stat &gt;= perc_95, converted_stat * 3, IF(bbgm_stat &gt;= perc_90, converted_stat * 2, IF(bbgm_stat &gt;= perc_85, converted_stat * 1.5, converted_stat)))))</f>
        <v/>
      </c>
      <c r="G898" s="30" t="str">
        <f t="array" ref="G898">IF($A898="", "", LET(bbgm_stat, INDEX(Players!$A897:$P897, MATCH(G$2, Players!$A$1:$P$1, 0)), perc_75, VLOOKUP(G$2, Percentiles!$A$45:$I$59, 6, FALSE), perc_90, VLOOKUP(G$2, Percentiles!$A$45:$I$59, 7, FALSE), perc_95, VLOOKUP(G$2, Percentiles!$A$45:$I$59, 8, FALSE), perc_85, perc_75 + (perc_90 - perc_75) * (2/3), converted_stat, '2K_Ratings'!G898, IF(bbgm_stat &gt;= perc_95, converted_stat * 3, IF(bbgm_stat &gt;= perc_90, converted_stat * 2, IF(bbgm_stat &gt;= perc_85, converted_stat * 1.5, converted_stat)))))</f>
        <v/>
      </c>
      <c r="H898" s="30" t="str">
        <f t="array" ref="H898">IF($A898="", "", LET(bbgm_stat, INDEX(Players!$A897:$P897, MATCH(H$2, Players!$A$1:$P$1, 0)), perc_75, VLOOKUP(H$2, Percentiles!$A$45:$I$59, 6, FALSE), perc_90, VLOOKUP(H$2, Percentiles!$A$45:$I$59, 7, FALSE), perc_95, VLOOKUP(H$2, Percentiles!$A$45:$I$59, 8, FALSE), perc_85, perc_75 + (perc_90 - perc_75) * (2/3), converted_stat, '2K_Ratings'!H898, IF(bbgm_stat &gt;= perc_95, converted_stat * 3, IF(bbgm_stat &gt;= perc_90, converted_stat * 2, IF(bbgm_stat &gt;= perc_85, converted_stat * 1.5, converted_stat)))))</f>
        <v/>
      </c>
      <c r="I898" s="30" t="str">
        <f t="array" ref="I898">IF($A898="", "", LET(bbgm_stat, INDEX(Players!$A897:$P897, MATCH(I$2, Players!$A$1:$P$1, 0)), perc_75, VLOOKUP(I$2, Percentiles!$A$45:$I$59, 6, FALSE), perc_90, VLOOKUP(I$2, Percentiles!$A$45:$I$59, 7, FALSE), perc_95, VLOOKUP(I$2, Percentiles!$A$45:$I$59, 8, FALSE), perc_85, perc_75 + (perc_90 - perc_75) * (2/3), converted_stat, '2K_Ratings'!I898, IF(bbgm_stat &gt;= perc_95, converted_stat * 3, IF(bbgm_stat &gt;= perc_90, converted_stat * 2, IF(bbgm_stat &gt;= perc_85, converted_stat * 1.5, converted_stat)))))</f>
        <v/>
      </c>
      <c r="J898" s="30" t="str">
        <f t="array" ref="J898">IF($A898="", "", LET(bbgm_stat, INDEX(Players!$A897:$P897, MATCH(J$2, Players!$A$1:$P$1, 0)), perc_75, VLOOKUP(J$2, Percentiles!$A$45:$I$59, 6, FALSE), perc_90, VLOOKUP(J$2, Percentiles!$A$45:$I$59, 7, FALSE), perc_95, VLOOKUP(J$2, Percentiles!$A$45:$I$59, 8, FALSE), perc_85, perc_75 + (perc_90 - perc_75) * (2/3), converted_stat, '2K_Ratings'!J898, IF(bbgm_stat &gt;= perc_95, converted_stat * 3, IF(bbgm_stat &gt;= perc_90, converted_stat * 2, IF(bbgm_stat &gt;= perc_85, converted_stat * 1.5, converted_stat)))))</f>
        <v/>
      </c>
      <c r="K898" s="30" t="str">
        <f t="array" ref="K898">IF($A898="", "", LET(bbgm_stat, INDEX(Players!$A897:$P897, MATCH(K$2, Players!$A$1:$P$1, 0)), perc_75, VLOOKUP(K$2, Percentiles!$A$45:$I$59, 6, FALSE), perc_90, VLOOKUP(K$2, Percentiles!$A$45:$I$59, 7, FALSE), perc_95, VLOOKUP(K$2, Percentiles!$A$45:$I$59, 8, FALSE), perc_85, perc_75 + (perc_90 - perc_75) * (2/3), converted_stat, '2K_Ratings'!K898, IF(bbgm_stat &gt;= perc_95, converted_stat * 3, IF(bbgm_stat &gt;= perc_90, converted_stat * 2, IF(bbgm_stat &gt;= perc_85, converted_stat * 1.5, converted_stat)))))</f>
        <v/>
      </c>
      <c r="L898" s="30" t="str">
        <f t="array" ref="L898">IF($A898="", "", LET(bbgm_stat, INDEX(Players!$A897:$P897, MATCH(L$2, Players!$A$1:$P$1, 0)), perc_75, VLOOKUP(L$2, Percentiles!$A$45:$I$59, 6, FALSE), perc_90, VLOOKUP(L$2, Percentiles!$A$45:$I$59, 7, FALSE), perc_95, VLOOKUP(L$2, Percentiles!$A$45:$I$59, 8, FALSE), perc_85, perc_75 + (perc_90 - perc_75) * (2/3), converted_stat, '2K_Ratings'!L898, IF(bbgm_stat &gt;= perc_95, converted_stat * 3, IF(bbgm_stat &gt;= perc_90, converted_stat * 2, IF(bbgm_stat &gt;= perc_85, converted_stat * 1.5, converted_stat)))))</f>
        <v/>
      </c>
      <c r="M898" s="30" t="str">
        <f t="array" ref="M898">IF($A898="", "", LET(bbgm_stat, INDEX(Players!$A897:$P897, MATCH(M$2, Players!$A$1:$P$1, 0)), perc_75, VLOOKUP(M$2, Percentiles!$A$45:$I$59, 6, FALSE), perc_90, VLOOKUP(M$2, Percentiles!$A$45:$I$59, 7, FALSE), perc_95, VLOOKUP(M$2, Percentiles!$A$45:$I$59, 8, FALSE), perc_85, perc_75 + (perc_90 - perc_75) * (2/3), converted_stat, '2K_Ratings'!M898, IF(bbgm_stat &gt;= perc_95, converted_stat * 3, IF(bbgm_stat &gt;= perc_90, converted_stat * 2, IF(bbgm_stat &gt;= perc_85, converted_stat * 1.5, converted_stat)))))</f>
        <v/>
      </c>
      <c r="N898" s="30" t="str">
        <f t="array" ref="N898">IF($A898="", "", LET(bbgm_stat, INDEX(Players!$A897:$P897, MATCH(N$2, Players!$A$1:$P$1, 0)), perc_75, VLOOKUP(N$2, Percentiles!$A$45:$I$59, 6, FALSE), perc_90, VLOOKUP(N$2, Percentiles!$A$45:$I$59, 7, FALSE), perc_95, VLOOKUP(N$2, Percentiles!$A$45:$I$59, 8, FALSE), perc_85, perc_75 + (perc_90 - perc_75) * (2/3), converted_stat, '2K_Ratings'!N898, IF(bbgm_stat &gt;= perc_95, converted_stat * 3, IF(bbgm_stat &gt;= perc_90, converted_stat * 2, IF(bbgm_stat &gt;= perc_85, converted_stat * 1.5, converted_stat)))))</f>
        <v/>
      </c>
      <c r="O898" s="30" t="str">
        <f t="array" ref="O898">IF($A898="", "", LET(bbgm_stat, INDEX(Players!$A897:$P897, MATCH(O$2, Players!$A$1:$P$1, 0)), perc_75, VLOOKUP(O$2, Percentiles!$A$45:$I$59, 6, FALSE), perc_90, VLOOKUP(O$2, Percentiles!$A$45:$I$59, 7, FALSE), perc_95, VLOOKUP(O$2, Percentiles!$A$45:$I$59, 8, FALSE), perc_85, perc_75 + (perc_90 - perc_75) * (2/3), converted_stat, '2K_Ratings'!O898, IF(bbgm_stat &gt;= perc_95, converted_stat * 3, IF(bbgm_stat &gt;= perc_90, converted_stat * 2, IF(bbgm_stat &gt;= perc_85, converted_stat * 1.5, converted_stat)))))</f>
        <v/>
      </c>
      <c r="P898" s="30" t="str">
        <f t="array" ref="P898">IF($A898="", "", LET(bbgm_stat, INDEX(Players!$A897:$P897, MATCH(P$2, Players!$A$1:$P$1, 0)), perc_75, VLOOKUP(P$2, Percentiles!$A$45:$I$59, 6, FALSE), perc_90, VLOOKUP(P$2, Percentiles!$A$45:$I$59, 7, FALSE), perc_95, VLOOKUP(P$2, Percentiles!$A$45:$I$59, 8, FALSE), perc_85, perc_75 + (perc_90 - perc_75) * (2/3), converted_stat, '2K_Ratings'!P898, IF(bbgm_stat &gt;= perc_95, converted_stat * 3, IF(bbgm_stat &gt;= perc_90, converted_stat * 2, IF(bbgm_stat &gt;= perc_85, converted_stat * 1.5, converted_stat)))))</f>
        <v/>
      </c>
      <c r="Q898" s="30" t="str">
        <f t="array" ref="Q898">IF($A898="", "", LET(bbgm_stat, INDEX(Players!$A897:$P897, MATCH(Q$2, Players!$A$1:$P$1, 0)), perc_75, VLOOKUP(Q$2, Percentiles!$A$45:$I$59, 6, FALSE), perc_90, VLOOKUP(Q$2, Percentiles!$A$45:$I$59, 7, FALSE), perc_95, VLOOKUP(Q$2, Percentiles!$A$45:$I$59, 8, FALSE), perc_85, perc_75 + (perc_90 - perc_75) * (2/3), converted_stat, '2K_Ratings'!Q898, IF(bbgm_stat &gt;= perc_95, converted_stat * 3, IF(bbgm_stat &gt;= perc_90, converted_stat * 2, IF(bbgm_stat &gt;= perc_85, converted_stat * 1.5, converted_stat)))))</f>
        <v/>
      </c>
      <c r="R898" s="30" t="str">
        <f t="array" ref="R898">IF($A898="", "", LET(bbgm_stat, INDEX(Players!$A897:$P897, MATCH(R$2, Players!$A$1:$P$1, 0)), perc_75, VLOOKUP(R$2, Percentiles!$A$45:$I$59, 6, FALSE), perc_90, VLOOKUP(R$2, Percentiles!$A$45:$I$59, 7, FALSE), perc_95, VLOOKUP(R$2, Percentiles!$A$45:$I$59, 8, FALSE), perc_85, perc_75 + (perc_90 - perc_75) * (2/3), converted_stat, '2K_Ratings'!R898, IF(bbgm_stat &gt;= perc_95, converted_stat * 3, IF(bbgm_stat &gt;= perc_90, converted_stat * 2, IF(bbgm_stat &gt;= perc_85, converted_stat * 1.5, converted_stat)))))</f>
        <v/>
      </c>
      <c r="S898" s="30" t="str">
        <f t="array" ref="S898">IF($A898="", "", LET(bbgm_stat, INDEX(Players!$A897:$P897, MATCH(S$2, Players!$A$1:$P$1, 0)), perc_75, VLOOKUP(S$2, Percentiles!$A$45:$I$59, 6, FALSE), perc_90, VLOOKUP(S$2, Percentiles!$A$45:$I$59, 7, FALSE), perc_95, VLOOKUP(S$2, Percentiles!$A$45:$I$59, 8, FALSE), perc_85, perc_75 + (perc_90 - perc_75) * (2/3), converted_stat, '2K_Ratings'!S898, IF(bbgm_stat &gt;= perc_95, converted_stat * 3, IF(bbgm_stat &gt;= perc_90, converted_stat * 2, IF(bbgm_stat &gt;= perc_85, converted_stat * 1.5, converted_stat)))))</f>
        <v/>
      </c>
      <c r="T898" s="30" t="str">
        <f t="array" ref="T898">IF($A898="", "", LET(bbgm_stat, INDEX(Players!$A897:$P897, MATCH(T$2, Players!$A$1:$P$1, 0)), perc_75, VLOOKUP(T$2, Percentiles!$A$45:$I$59, 6, FALSE), perc_90, VLOOKUP(T$2, Percentiles!$A$45:$I$59, 7, FALSE), perc_95, VLOOKUP(T$2, Percentiles!$A$45:$I$59, 8, FALSE), perc_85, perc_75 + (perc_90 - perc_75) * (2/3), converted_stat, '2K_Ratings'!T898, IF(bbgm_stat &gt;= perc_95, converted_stat * 3, IF(bbgm_stat &gt;= perc_90, converted_stat * 2, IF(bbgm_stat &gt;= perc_85, converted_stat * 1.5, converted_stat)))))</f>
        <v/>
      </c>
      <c r="U898" s="30" t="str">
        <f t="array" ref="U898">IF($A898="", "", LET(bbgm_stat, INDEX(Players!$A897:$P897, MATCH(U$2, Players!$A$1:$P$1, 0)), perc_75, VLOOKUP(U$2, Percentiles!$A$45:$I$59, 6, FALSE), perc_90, VLOOKUP(U$2, Percentiles!$A$45:$I$59, 7, FALSE), perc_95, VLOOKUP(U$2, Percentiles!$A$45:$I$59, 8, FALSE), perc_85, perc_75 + (perc_90 - perc_75) * (2/3), converted_stat, '2K_Ratings'!U898, IF(bbgm_stat &gt;= perc_95, converted_stat * 3, IF(bbgm_stat &gt;= perc_90, converted_stat * 2, IF(bbgm_stat &gt;= perc_85, converted_stat * 1.5, converted_stat)))))</f>
        <v/>
      </c>
      <c r="V898" s="30" t="str">
        <f t="array" ref="V898">IF($A898="", "", LET(bbgm_stat, INDEX(Players!$A897:$P897, MATCH(V$2, Players!$A$1:$P$1, 0)), perc_75, VLOOKUP(V$2, Percentiles!$A$45:$I$59, 6, FALSE), perc_90, VLOOKUP(V$2, Percentiles!$A$45:$I$59, 7, FALSE), perc_95, VLOOKUP(V$2, Percentiles!$A$45:$I$59, 8, FALSE), perc_85, perc_75 + (perc_90 - perc_75) * (2/3), converted_stat, '2K_Ratings'!V898, IF(bbgm_stat &gt;= perc_95, converted_stat * 3, IF(bbgm_stat &gt;= perc_90, converted_stat * 2, IF(bbgm_stat &gt;= perc_85, converted_stat * 1.5, converted_stat)))))</f>
        <v/>
      </c>
      <c r="W898" s="30" t="str">
        <f t="array" ref="W898">IF($A898="", "", LET(bbgm_stat, INDEX(Players!$A897:$P897, MATCH(W$2, Players!$A$1:$P$1, 0)), perc_75, VLOOKUP(W$2, Percentiles!$A$45:$I$59, 6, FALSE), perc_90, VLOOKUP(W$2, Percentiles!$A$45:$I$59, 7, FALSE), perc_95, VLOOKUP(W$2, Percentiles!$A$45:$I$59, 8, FALSE), perc_85, perc_75 + (perc_90 - perc_75) * (2/3), converted_stat, '2K_Ratings'!W898, IF(bbgm_stat &gt;= perc_95, converted_stat * 3, IF(bbgm_stat &gt;= perc_90, converted_stat * 2, IF(bbgm_stat &gt;= perc_85, converted_stat * 1.5, converted_stat)))))</f>
        <v/>
      </c>
    </row>
    <row r="899">
      <c r="A899" s="30"/>
      <c r="B899" s="30" t="str">
        <f t="array" ref="B899">IF($A899="", "", LET(bbgm_stat, INDEX(Players!$A898:$P898, MATCH(B$2, Players!$A$1:$P$1, 0)), perc_75, VLOOKUP(B$2, Percentiles!$A$45:$I$59, 6, FALSE), perc_90, VLOOKUP(B$2, Percentiles!$A$45:$I$59, 7, FALSE), perc_95, VLOOKUP(B$2, Percentiles!$A$45:$I$59, 8, FALSE), perc_85, perc_75 + (perc_90 - perc_75) * (2/3), converted_stat, '2K_Ratings'!B899, IF(bbgm_stat &gt;= perc_95, converted_stat * 3, IF(bbgm_stat &gt;= perc_90, converted_stat * 2, IF(bbgm_stat &gt;= perc_85, converted_stat * 1.5, converted_stat)))))</f>
        <v/>
      </c>
      <c r="C899" s="30" t="str">
        <f t="array" ref="C899">IF($A899="", "", LET(bbgm_stat, INDEX(Players!$A898:$P898, MATCH(C$2, Players!$A$1:$P$1, 0)), perc_75, VLOOKUP(C$2, Percentiles!$A$45:$I$59, 6, FALSE), perc_90, VLOOKUP(C$2, Percentiles!$A$45:$I$59, 7, FALSE), perc_95, VLOOKUP(C$2, Percentiles!$A$45:$I$59, 8, FALSE), perc_85, perc_75 + (perc_90 - perc_75) * (2/3), converted_stat, '2K_Ratings'!C899, IF(bbgm_stat &gt;= perc_95, converted_stat * 3, IF(bbgm_stat &gt;= perc_90, converted_stat * 2, IF(bbgm_stat &gt;= perc_85, converted_stat * 1.5, converted_stat)))))</f>
        <v/>
      </c>
      <c r="D899" s="30" t="str">
        <f t="array" ref="D899">IF($A899="", "", LET(bbgm_stat, INDEX(Players!$A898:$P898, MATCH(D$2, Players!$A$1:$P$1, 0)), perc_75, VLOOKUP(D$2, Percentiles!$A$45:$I$59, 6, FALSE), perc_90, VLOOKUP(D$2, Percentiles!$A$45:$I$59, 7, FALSE), perc_95, VLOOKUP(D$2, Percentiles!$A$45:$I$59, 8, FALSE), perc_85, perc_75 + (perc_90 - perc_75) * (2/3), converted_stat, '2K_Ratings'!D899, IF(bbgm_stat &gt;= perc_95, converted_stat * 3, IF(bbgm_stat &gt;= perc_90, converted_stat * 2, IF(bbgm_stat &gt;= perc_85, converted_stat * 1.5, converted_stat)))))</f>
        <v/>
      </c>
      <c r="E899" s="30" t="str">
        <f t="array" ref="E899">IF($A899="", "", LET(bbgm_stat, INDEX(Players!$A898:$P898, MATCH(E$2, Players!$A$1:$P$1, 0)), perc_75, VLOOKUP(E$2, Percentiles!$A$45:$I$59, 6, FALSE), perc_90, VLOOKUP(E$2, Percentiles!$A$45:$I$59, 7, FALSE), perc_95, VLOOKUP(E$2, Percentiles!$A$45:$I$59, 8, FALSE), perc_85, perc_75 + (perc_90 - perc_75) * (2/3), converted_stat, '2K_Ratings'!E899, IF(bbgm_stat &gt;= perc_95, converted_stat * 3, IF(bbgm_stat &gt;= perc_90, converted_stat * 2, IF(bbgm_stat &gt;= perc_85, converted_stat * 1.5, converted_stat)))))</f>
        <v/>
      </c>
      <c r="F899" s="30" t="str">
        <f t="array" ref="F899">IF($A899="", "", LET(bbgm_stat, INDEX(Players!$A898:$P898, MATCH(F$2, Players!$A$1:$P$1, 0)), perc_75, VLOOKUP(F$2, Percentiles!$A$45:$I$59, 6, FALSE), perc_90, VLOOKUP(F$2, Percentiles!$A$45:$I$59, 7, FALSE), perc_95, VLOOKUP(F$2, Percentiles!$A$45:$I$59, 8, FALSE), perc_85, perc_75 + (perc_90 - perc_75) * (2/3), converted_stat, '2K_Ratings'!F899, IF(bbgm_stat &gt;= perc_95, converted_stat * 3, IF(bbgm_stat &gt;= perc_90, converted_stat * 2, IF(bbgm_stat &gt;= perc_85, converted_stat * 1.5, converted_stat)))))</f>
        <v/>
      </c>
      <c r="G899" s="30" t="str">
        <f t="array" ref="G899">IF($A899="", "", LET(bbgm_stat, INDEX(Players!$A898:$P898, MATCH(G$2, Players!$A$1:$P$1, 0)), perc_75, VLOOKUP(G$2, Percentiles!$A$45:$I$59, 6, FALSE), perc_90, VLOOKUP(G$2, Percentiles!$A$45:$I$59, 7, FALSE), perc_95, VLOOKUP(G$2, Percentiles!$A$45:$I$59, 8, FALSE), perc_85, perc_75 + (perc_90 - perc_75) * (2/3), converted_stat, '2K_Ratings'!G899, IF(bbgm_stat &gt;= perc_95, converted_stat * 3, IF(bbgm_stat &gt;= perc_90, converted_stat * 2, IF(bbgm_stat &gt;= perc_85, converted_stat * 1.5, converted_stat)))))</f>
        <v/>
      </c>
      <c r="H899" s="30" t="str">
        <f t="array" ref="H899">IF($A899="", "", LET(bbgm_stat, INDEX(Players!$A898:$P898, MATCH(H$2, Players!$A$1:$P$1, 0)), perc_75, VLOOKUP(H$2, Percentiles!$A$45:$I$59, 6, FALSE), perc_90, VLOOKUP(H$2, Percentiles!$A$45:$I$59, 7, FALSE), perc_95, VLOOKUP(H$2, Percentiles!$A$45:$I$59, 8, FALSE), perc_85, perc_75 + (perc_90 - perc_75) * (2/3), converted_stat, '2K_Ratings'!H899, IF(bbgm_stat &gt;= perc_95, converted_stat * 3, IF(bbgm_stat &gt;= perc_90, converted_stat * 2, IF(bbgm_stat &gt;= perc_85, converted_stat * 1.5, converted_stat)))))</f>
        <v/>
      </c>
      <c r="I899" s="30" t="str">
        <f t="array" ref="I899">IF($A899="", "", LET(bbgm_stat, INDEX(Players!$A898:$P898, MATCH(I$2, Players!$A$1:$P$1, 0)), perc_75, VLOOKUP(I$2, Percentiles!$A$45:$I$59, 6, FALSE), perc_90, VLOOKUP(I$2, Percentiles!$A$45:$I$59, 7, FALSE), perc_95, VLOOKUP(I$2, Percentiles!$A$45:$I$59, 8, FALSE), perc_85, perc_75 + (perc_90 - perc_75) * (2/3), converted_stat, '2K_Ratings'!I899, IF(bbgm_stat &gt;= perc_95, converted_stat * 3, IF(bbgm_stat &gt;= perc_90, converted_stat * 2, IF(bbgm_stat &gt;= perc_85, converted_stat * 1.5, converted_stat)))))</f>
        <v/>
      </c>
      <c r="J899" s="30" t="str">
        <f t="array" ref="J899">IF($A899="", "", LET(bbgm_stat, INDEX(Players!$A898:$P898, MATCH(J$2, Players!$A$1:$P$1, 0)), perc_75, VLOOKUP(J$2, Percentiles!$A$45:$I$59, 6, FALSE), perc_90, VLOOKUP(J$2, Percentiles!$A$45:$I$59, 7, FALSE), perc_95, VLOOKUP(J$2, Percentiles!$A$45:$I$59, 8, FALSE), perc_85, perc_75 + (perc_90 - perc_75) * (2/3), converted_stat, '2K_Ratings'!J899, IF(bbgm_stat &gt;= perc_95, converted_stat * 3, IF(bbgm_stat &gt;= perc_90, converted_stat * 2, IF(bbgm_stat &gt;= perc_85, converted_stat * 1.5, converted_stat)))))</f>
        <v/>
      </c>
      <c r="K899" s="30" t="str">
        <f t="array" ref="K899">IF($A899="", "", LET(bbgm_stat, INDEX(Players!$A898:$P898, MATCH(K$2, Players!$A$1:$P$1, 0)), perc_75, VLOOKUP(K$2, Percentiles!$A$45:$I$59, 6, FALSE), perc_90, VLOOKUP(K$2, Percentiles!$A$45:$I$59, 7, FALSE), perc_95, VLOOKUP(K$2, Percentiles!$A$45:$I$59, 8, FALSE), perc_85, perc_75 + (perc_90 - perc_75) * (2/3), converted_stat, '2K_Ratings'!K899, IF(bbgm_stat &gt;= perc_95, converted_stat * 3, IF(bbgm_stat &gt;= perc_90, converted_stat * 2, IF(bbgm_stat &gt;= perc_85, converted_stat * 1.5, converted_stat)))))</f>
        <v/>
      </c>
      <c r="L899" s="30" t="str">
        <f t="array" ref="L899">IF($A899="", "", LET(bbgm_stat, INDEX(Players!$A898:$P898, MATCH(L$2, Players!$A$1:$P$1, 0)), perc_75, VLOOKUP(L$2, Percentiles!$A$45:$I$59, 6, FALSE), perc_90, VLOOKUP(L$2, Percentiles!$A$45:$I$59, 7, FALSE), perc_95, VLOOKUP(L$2, Percentiles!$A$45:$I$59, 8, FALSE), perc_85, perc_75 + (perc_90 - perc_75) * (2/3), converted_stat, '2K_Ratings'!L899, IF(bbgm_stat &gt;= perc_95, converted_stat * 3, IF(bbgm_stat &gt;= perc_90, converted_stat * 2, IF(bbgm_stat &gt;= perc_85, converted_stat * 1.5, converted_stat)))))</f>
        <v/>
      </c>
      <c r="M899" s="30" t="str">
        <f t="array" ref="M899">IF($A899="", "", LET(bbgm_stat, INDEX(Players!$A898:$P898, MATCH(M$2, Players!$A$1:$P$1, 0)), perc_75, VLOOKUP(M$2, Percentiles!$A$45:$I$59, 6, FALSE), perc_90, VLOOKUP(M$2, Percentiles!$A$45:$I$59, 7, FALSE), perc_95, VLOOKUP(M$2, Percentiles!$A$45:$I$59, 8, FALSE), perc_85, perc_75 + (perc_90 - perc_75) * (2/3), converted_stat, '2K_Ratings'!M899, IF(bbgm_stat &gt;= perc_95, converted_stat * 3, IF(bbgm_stat &gt;= perc_90, converted_stat * 2, IF(bbgm_stat &gt;= perc_85, converted_stat * 1.5, converted_stat)))))</f>
        <v/>
      </c>
      <c r="N899" s="30" t="str">
        <f t="array" ref="N899">IF($A899="", "", LET(bbgm_stat, INDEX(Players!$A898:$P898, MATCH(N$2, Players!$A$1:$P$1, 0)), perc_75, VLOOKUP(N$2, Percentiles!$A$45:$I$59, 6, FALSE), perc_90, VLOOKUP(N$2, Percentiles!$A$45:$I$59, 7, FALSE), perc_95, VLOOKUP(N$2, Percentiles!$A$45:$I$59, 8, FALSE), perc_85, perc_75 + (perc_90 - perc_75) * (2/3), converted_stat, '2K_Ratings'!N899, IF(bbgm_stat &gt;= perc_95, converted_stat * 3, IF(bbgm_stat &gt;= perc_90, converted_stat * 2, IF(bbgm_stat &gt;= perc_85, converted_stat * 1.5, converted_stat)))))</f>
        <v/>
      </c>
      <c r="O899" s="30" t="str">
        <f t="array" ref="O899">IF($A899="", "", LET(bbgm_stat, INDEX(Players!$A898:$P898, MATCH(O$2, Players!$A$1:$P$1, 0)), perc_75, VLOOKUP(O$2, Percentiles!$A$45:$I$59, 6, FALSE), perc_90, VLOOKUP(O$2, Percentiles!$A$45:$I$59, 7, FALSE), perc_95, VLOOKUP(O$2, Percentiles!$A$45:$I$59, 8, FALSE), perc_85, perc_75 + (perc_90 - perc_75) * (2/3), converted_stat, '2K_Ratings'!O899, IF(bbgm_stat &gt;= perc_95, converted_stat * 3, IF(bbgm_stat &gt;= perc_90, converted_stat * 2, IF(bbgm_stat &gt;= perc_85, converted_stat * 1.5, converted_stat)))))</f>
        <v/>
      </c>
      <c r="P899" s="30" t="str">
        <f t="array" ref="P899">IF($A899="", "", LET(bbgm_stat, INDEX(Players!$A898:$P898, MATCH(P$2, Players!$A$1:$P$1, 0)), perc_75, VLOOKUP(P$2, Percentiles!$A$45:$I$59, 6, FALSE), perc_90, VLOOKUP(P$2, Percentiles!$A$45:$I$59, 7, FALSE), perc_95, VLOOKUP(P$2, Percentiles!$A$45:$I$59, 8, FALSE), perc_85, perc_75 + (perc_90 - perc_75) * (2/3), converted_stat, '2K_Ratings'!P899, IF(bbgm_stat &gt;= perc_95, converted_stat * 3, IF(bbgm_stat &gt;= perc_90, converted_stat * 2, IF(bbgm_stat &gt;= perc_85, converted_stat * 1.5, converted_stat)))))</f>
        <v/>
      </c>
      <c r="Q899" s="30" t="str">
        <f t="array" ref="Q899">IF($A899="", "", LET(bbgm_stat, INDEX(Players!$A898:$P898, MATCH(Q$2, Players!$A$1:$P$1, 0)), perc_75, VLOOKUP(Q$2, Percentiles!$A$45:$I$59, 6, FALSE), perc_90, VLOOKUP(Q$2, Percentiles!$A$45:$I$59, 7, FALSE), perc_95, VLOOKUP(Q$2, Percentiles!$A$45:$I$59, 8, FALSE), perc_85, perc_75 + (perc_90 - perc_75) * (2/3), converted_stat, '2K_Ratings'!Q899, IF(bbgm_stat &gt;= perc_95, converted_stat * 3, IF(bbgm_stat &gt;= perc_90, converted_stat * 2, IF(bbgm_stat &gt;= perc_85, converted_stat * 1.5, converted_stat)))))</f>
        <v/>
      </c>
      <c r="R899" s="30" t="str">
        <f t="array" ref="R899">IF($A899="", "", LET(bbgm_stat, INDEX(Players!$A898:$P898, MATCH(R$2, Players!$A$1:$P$1, 0)), perc_75, VLOOKUP(R$2, Percentiles!$A$45:$I$59, 6, FALSE), perc_90, VLOOKUP(R$2, Percentiles!$A$45:$I$59, 7, FALSE), perc_95, VLOOKUP(R$2, Percentiles!$A$45:$I$59, 8, FALSE), perc_85, perc_75 + (perc_90 - perc_75) * (2/3), converted_stat, '2K_Ratings'!R899, IF(bbgm_stat &gt;= perc_95, converted_stat * 3, IF(bbgm_stat &gt;= perc_90, converted_stat * 2, IF(bbgm_stat &gt;= perc_85, converted_stat * 1.5, converted_stat)))))</f>
        <v/>
      </c>
      <c r="S899" s="30" t="str">
        <f t="array" ref="S899">IF($A899="", "", LET(bbgm_stat, INDEX(Players!$A898:$P898, MATCH(S$2, Players!$A$1:$P$1, 0)), perc_75, VLOOKUP(S$2, Percentiles!$A$45:$I$59, 6, FALSE), perc_90, VLOOKUP(S$2, Percentiles!$A$45:$I$59, 7, FALSE), perc_95, VLOOKUP(S$2, Percentiles!$A$45:$I$59, 8, FALSE), perc_85, perc_75 + (perc_90 - perc_75) * (2/3), converted_stat, '2K_Ratings'!S899, IF(bbgm_stat &gt;= perc_95, converted_stat * 3, IF(bbgm_stat &gt;= perc_90, converted_stat * 2, IF(bbgm_stat &gt;= perc_85, converted_stat * 1.5, converted_stat)))))</f>
        <v/>
      </c>
      <c r="T899" s="30" t="str">
        <f t="array" ref="T899">IF($A899="", "", LET(bbgm_stat, INDEX(Players!$A898:$P898, MATCH(T$2, Players!$A$1:$P$1, 0)), perc_75, VLOOKUP(T$2, Percentiles!$A$45:$I$59, 6, FALSE), perc_90, VLOOKUP(T$2, Percentiles!$A$45:$I$59, 7, FALSE), perc_95, VLOOKUP(T$2, Percentiles!$A$45:$I$59, 8, FALSE), perc_85, perc_75 + (perc_90 - perc_75) * (2/3), converted_stat, '2K_Ratings'!T899, IF(bbgm_stat &gt;= perc_95, converted_stat * 3, IF(bbgm_stat &gt;= perc_90, converted_stat * 2, IF(bbgm_stat &gt;= perc_85, converted_stat * 1.5, converted_stat)))))</f>
        <v/>
      </c>
      <c r="U899" s="30" t="str">
        <f t="array" ref="U899">IF($A899="", "", LET(bbgm_stat, INDEX(Players!$A898:$P898, MATCH(U$2, Players!$A$1:$P$1, 0)), perc_75, VLOOKUP(U$2, Percentiles!$A$45:$I$59, 6, FALSE), perc_90, VLOOKUP(U$2, Percentiles!$A$45:$I$59, 7, FALSE), perc_95, VLOOKUP(U$2, Percentiles!$A$45:$I$59, 8, FALSE), perc_85, perc_75 + (perc_90 - perc_75) * (2/3), converted_stat, '2K_Ratings'!U899, IF(bbgm_stat &gt;= perc_95, converted_stat * 3, IF(bbgm_stat &gt;= perc_90, converted_stat * 2, IF(bbgm_stat &gt;= perc_85, converted_stat * 1.5, converted_stat)))))</f>
        <v/>
      </c>
      <c r="V899" s="30" t="str">
        <f t="array" ref="V899">IF($A899="", "", LET(bbgm_stat, INDEX(Players!$A898:$P898, MATCH(V$2, Players!$A$1:$P$1, 0)), perc_75, VLOOKUP(V$2, Percentiles!$A$45:$I$59, 6, FALSE), perc_90, VLOOKUP(V$2, Percentiles!$A$45:$I$59, 7, FALSE), perc_95, VLOOKUP(V$2, Percentiles!$A$45:$I$59, 8, FALSE), perc_85, perc_75 + (perc_90 - perc_75) * (2/3), converted_stat, '2K_Ratings'!V899, IF(bbgm_stat &gt;= perc_95, converted_stat * 3, IF(bbgm_stat &gt;= perc_90, converted_stat * 2, IF(bbgm_stat &gt;= perc_85, converted_stat * 1.5, converted_stat)))))</f>
        <v/>
      </c>
      <c r="W899" s="30" t="str">
        <f t="array" ref="W899">IF($A899="", "", LET(bbgm_stat, INDEX(Players!$A898:$P898, MATCH(W$2, Players!$A$1:$P$1, 0)), perc_75, VLOOKUP(W$2, Percentiles!$A$45:$I$59, 6, FALSE), perc_90, VLOOKUP(W$2, Percentiles!$A$45:$I$59, 7, FALSE), perc_95, VLOOKUP(W$2, Percentiles!$A$45:$I$59, 8, FALSE), perc_85, perc_75 + (perc_90 - perc_75) * (2/3), converted_stat, '2K_Ratings'!W899, IF(bbgm_stat &gt;= perc_95, converted_stat * 3, IF(bbgm_stat &gt;= perc_90, converted_stat * 2, IF(bbgm_stat &gt;= perc_85, converted_stat * 1.5, converted_stat)))))</f>
        <v/>
      </c>
    </row>
    <row r="900">
      <c r="A900" s="30"/>
      <c r="B900" s="30" t="str">
        <f t="array" ref="B900">IF($A900="", "", LET(bbgm_stat, INDEX(Players!$A899:$P899, MATCH(B$2, Players!$A$1:$P$1, 0)), perc_75, VLOOKUP(B$2, Percentiles!$A$45:$I$59, 6, FALSE), perc_90, VLOOKUP(B$2, Percentiles!$A$45:$I$59, 7, FALSE), perc_95, VLOOKUP(B$2, Percentiles!$A$45:$I$59, 8, FALSE), perc_85, perc_75 + (perc_90 - perc_75) * (2/3), converted_stat, '2K_Ratings'!B900, IF(bbgm_stat &gt;= perc_95, converted_stat * 3, IF(bbgm_stat &gt;= perc_90, converted_stat * 2, IF(bbgm_stat &gt;= perc_85, converted_stat * 1.5, converted_stat)))))</f>
        <v/>
      </c>
      <c r="C900" s="30" t="str">
        <f t="array" ref="C900">IF($A900="", "", LET(bbgm_stat, INDEX(Players!$A899:$P899, MATCH(C$2, Players!$A$1:$P$1, 0)), perc_75, VLOOKUP(C$2, Percentiles!$A$45:$I$59, 6, FALSE), perc_90, VLOOKUP(C$2, Percentiles!$A$45:$I$59, 7, FALSE), perc_95, VLOOKUP(C$2, Percentiles!$A$45:$I$59, 8, FALSE), perc_85, perc_75 + (perc_90 - perc_75) * (2/3), converted_stat, '2K_Ratings'!C900, IF(bbgm_stat &gt;= perc_95, converted_stat * 3, IF(bbgm_stat &gt;= perc_90, converted_stat * 2, IF(bbgm_stat &gt;= perc_85, converted_stat * 1.5, converted_stat)))))</f>
        <v/>
      </c>
      <c r="D900" s="30" t="str">
        <f t="array" ref="D900">IF($A900="", "", LET(bbgm_stat, INDEX(Players!$A899:$P899, MATCH(D$2, Players!$A$1:$P$1, 0)), perc_75, VLOOKUP(D$2, Percentiles!$A$45:$I$59, 6, FALSE), perc_90, VLOOKUP(D$2, Percentiles!$A$45:$I$59, 7, FALSE), perc_95, VLOOKUP(D$2, Percentiles!$A$45:$I$59, 8, FALSE), perc_85, perc_75 + (perc_90 - perc_75) * (2/3), converted_stat, '2K_Ratings'!D900, IF(bbgm_stat &gt;= perc_95, converted_stat * 3, IF(bbgm_stat &gt;= perc_90, converted_stat * 2, IF(bbgm_stat &gt;= perc_85, converted_stat * 1.5, converted_stat)))))</f>
        <v/>
      </c>
      <c r="E900" s="30" t="str">
        <f t="array" ref="E900">IF($A900="", "", LET(bbgm_stat, INDEX(Players!$A899:$P899, MATCH(E$2, Players!$A$1:$P$1, 0)), perc_75, VLOOKUP(E$2, Percentiles!$A$45:$I$59, 6, FALSE), perc_90, VLOOKUP(E$2, Percentiles!$A$45:$I$59, 7, FALSE), perc_95, VLOOKUP(E$2, Percentiles!$A$45:$I$59, 8, FALSE), perc_85, perc_75 + (perc_90 - perc_75) * (2/3), converted_stat, '2K_Ratings'!E900, IF(bbgm_stat &gt;= perc_95, converted_stat * 3, IF(bbgm_stat &gt;= perc_90, converted_stat * 2, IF(bbgm_stat &gt;= perc_85, converted_stat * 1.5, converted_stat)))))</f>
        <v/>
      </c>
      <c r="F900" s="30" t="str">
        <f t="array" ref="F900">IF($A900="", "", LET(bbgm_stat, INDEX(Players!$A899:$P899, MATCH(F$2, Players!$A$1:$P$1, 0)), perc_75, VLOOKUP(F$2, Percentiles!$A$45:$I$59, 6, FALSE), perc_90, VLOOKUP(F$2, Percentiles!$A$45:$I$59, 7, FALSE), perc_95, VLOOKUP(F$2, Percentiles!$A$45:$I$59, 8, FALSE), perc_85, perc_75 + (perc_90 - perc_75) * (2/3), converted_stat, '2K_Ratings'!F900, IF(bbgm_stat &gt;= perc_95, converted_stat * 3, IF(bbgm_stat &gt;= perc_90, converted_stat * 2, IF(bbgm_stat &gt;= perc_85, converted_stat * 1.5, converted_stat)))))</f>
        <v/>
      </c>
      <c r="G900" s="30" t="str">
        <f t="array" ref="G900">IF($A900="", "", LET(bbgm_stat, INDEX(Players!$A899:$P899, MATCH(G$2, Players!$A$1:$P$1, 0)), perc_75, VLOOKUP(G$2, Percentiles!$A$45:$I$59, 6, FALSE), perc_90, VLOOKUP(G$2, Percentiles!$A$45:$I$59, 7, FALSE), perc_95, VLOOKUP(G$2, Percentiles!$A$45:$I$59, 8, FALSE), perc_85, perc_75 + (perc_90 - perc_75) * (2/3), converted_stat, '2K_Ratings'!G900, IF(bbgm_stat &gt;= perc_95, converted_stat * 3, IF(bbgm_stat &gt;= perc_90, converted_stat * 2, IF(bbgm_stat &gt;= perc_85, converted_stat * 1.5, converted_stat)))))</f>
        <v/>
      </c>
      <c r="H900" s="30" t="str">
        <f t="array" ref="H900">IF($A900="", "", LET(bbgm_stat, INDEX(Players!$A899:$P899, MATCH(H$2, Players!$A$1:$P$1, 0)), perc_75, VLOOKUP(H$2, Percentiles!$A$45:$I$59, 6, FALSE), perc_90, VLOOKUP(H$2, Percentiles!$A$45:$I$59, 7, FALSE), perc_95, VLOOKUP(H$2, Percentiles!$A$45:$I$59, 8, FALSE), perc_85, perc_75 + (perc_90 - perc_75) * (2/3), converted_stat, '2K_Ratings'!H900, IF(bbgm_stat &gt;= perc_95, converted_stat * 3, IF(bbgm_stat &gt;= perc_90, converted_stat * 2, IF(bbgm_stat &gt;= perc_85, converted_stat * 1.5, converted_stat)))))</f>
        <v/>
      </c>
      <c r="I900" s="30" t="str">
        <f t="array" ref="I900">IF($A900="", "", LET(bbgm_stat, INDEX(Players!$A899:$P899, MATCH(I$2, Players!$A$1:$P$1, 0)), perc_75, VLOOKUP(I$2, Percentiles!$A$45:$I$59, 6, FALSE), perc_90, VLOOKUP(I$2, Percentiles!$A$45:$I$59, 7, FALSE), perc_95, VLOOKUP(I$2, Percentiles!$A$45:$I$59, 8, FALSE), perc_85, perc_75 + (perc_90 - perc_75) * (2/3), converted_stat, '2K_Ratings'!I900, IF(bbgm_stat &gt;= perc_95, converted_stat * 3, IF(bbgm_stat &gt;= perc_90, converted_stat * 2, IF(bbgm_stat &gt;= perc_85, converted_stat * 1.5, converted_stat)))))</f>
        <v/>
      </c>
      <c r="J900" s="30" t="str">
        <f t="array" ref="J900">IF($A900="", "", LET(bbgm_stat, INDEX(Players!$A899:$P899, MATCH(J$2, Players!$A$1:$P$1, 0)), perc_75, VLOOKUP(J$2, Percentiles!$A$45:$I$59, 6, FALSE), perc_90, VLOOKUP(J$2, Percentiles!$A$45:$I$59, 7, FALSE), perc_95, VLOOKUP(J$2, Percentiles!$A$45:$I$59, 8, FALSE), perc_85, perc_75 + (perc_90 - perc_75) * (2/3), converted_stat, '2K_Ratings'!J900, IF(bbgm_stat &gt;= perc_95, converted_stat * 3, IF(bbgm_stat &gt;= perc_90, converted_stat * 2, IF(bbgm_stat &gt;= perc_85, converted_stat * 1.5, converted_stat)))))</f>
        <v/>
      </c>
      <c r="K900" s="30" t="str">
        <f t="array" ref="K900">IF($A900="", "", LET(bbgm_stat, INDEX(Players!$A899:$P899, MATCH(K$2, Players!$A$1:$P$1, 0)), perc_75, VLOOKUP(K$2, Percentiles!$A$45:$I$59, 6, FALSE), perc_90, VLOOKUP(K$2, Percentiles!$A$45:$I$59, 7, FALSE), perc_95, VLOOKUP(K$2, Percentiles!$A$45:$I$59, 8, FALSE), perc_85, perc_75 + (perc_90 - perc_75) * (2/3), converted_stat, '2K_Ratings'!K900, IF(bbgm_stat &gt;= perc_95, converted_stat * 3, IF(bbgm_stat &gt;= perc_90, converted_stat * 2, IF(bbgm_stat &gt;= perc_85, converted_stat * 1.5, converted_stat)))))</f>
        <v/>
      </c>
      <c r="L900" s="30" t="str">
        <f t="array" ref="L900">IF($A900="", "", LET(bbgm_stat, INDEX(Players!$A899:$P899, MATCH(L$2, Players!$A$1:$P$1, 0)), perc_75, VLOOKUP(L$2, Percentiles!$A$45:$I$59, 6, FALSE), perc_90, VLOOKUP(L$2, Percentiles!$A$45:$I$59, 7, FALSE), perc_95, VLOOKUP(L$2, Percentiles!$A$45:$I$59, 8, FALSE), perc_85, perc_75 + (perc_90 - perc_75) * (2/3), converted_stat, '2K_Ratings'!L900, IF(bbgm_stat &gt;= perc_95, converted_stat * 3, IF(bbgm_stat &gt;= perc_90, converted_stat * 2, IF(bbgm_stat &gt;= perc_85, converted_stat * 1.5, converted_stat)))))</f>
        <v/>
      </c>
      <c r="M900" s="30" t="str">
        <f t="array" ref="M900">IF($A900="", "", LET(bbgm_stat, INDEX(Players!$A899:$P899, MATCH(M$2, Players!$A$1:$P$1, 0)), perc_75, VLOOKUP(M$2, Percentiles!$A$45:$I$59, 6, FALSE), perc_90, VLOOKUP(M$2, Percentiles!$A$45:$I$59, 7, FALSE), perc_95, VLOOKUP(M$2, Percentiles!$A$45:$I$59, 8, FALSE), perc_85, perc_75 + (perc_90 - perc_75) * (2/3), converted_stat, '2K_Ratings'!M900, IF(bbgm_stat &gt;= perc_95, converted_stat * 3, IF(bbgm_stat &gt;= perc_90, converted_stat * 2, IF(bbgm_stat &gt;= perc_85, converted_stat * 1.5, converted_stat)))))</f>
        <v/>
      </c>
      <c r="N900" s="30" t="str">
        <f t="array" ref="N900">IF($A900="", "", LET(bbgm_stat, INDEX(Players!$A899:$P899, MATCH(N$2, Players!$A$1:$P$1, 0)), perc_75, VLOOKUP(N$2, Percentiles!$A$45:$I$59, 6, FALSE), perc_90, VLOOKUP(N$2, Percentiles!$A$45:$I$59, 7, FALSE), perc_95, VLOOKUP(N$2, Percentiles!$A$45:$I$59, 8, FALSE), perc_85, perc_75 + (perc_90 - perc_75) * (2/3), converted_stat, '2K_Ratings'!N900, IF(bbgm_stat &gt;= perc_95, converted_stat * 3, IF(bbgm_stat &gt;= perc_90, converted_stat * 2, IF(bbgm_stat &gt;= perc_85, converted_stat * 1.5, converted_stat)))))</f>
        <v/>
      </c>
      <c r="O900" s="30" t="str">
        <f t="array" ref="O900">IF($A900="", "", LET(bbgm_stat, INDEX(Players!$A899:$P899, MATCH(O$2, Players!$A$1:$P$1, 0)), perc_75, VLOOKUP(O$2, Percentiles!$A$45:$I$59, 6, FALSE), perc_90, VLOOKUP(O$2, Percentiles!$A$45:$I$59, 7, FALSE), perc_95, VLOOKUP(O$2, Percentiles!$A$45:$I$59, 8, FALSE), perc_85, perc_75 + (perc_90 - perc_75) * (2/3), converted_stat, '2K_Ratings'!O900, IF(bbgm_stat &gt;= perc_95, converted_stat * 3, IF(bbgm_stat &gt;= perc_90, converted_stat * 2, IF(bbgm_stat &gt;= perc_85, converted_stat * 1.5, converted_stat)))))</f>
        <v/>
      </c>
      <c r="P900" s="30" t="str">
        <f t="array" ref="P900">IF($A900="", "", LET(bbgm_stat, INDEX(Players!$A899:$P899, MATCH(P$2, Players!$A$1:$P$1, 0)), perc_75, VLOOKUP(P$2, Percentiles!$A$45:$I$59, 6, FALSE), perc_90, VLOOKUP(P$2, Percentiles!$A$45:$I$59, 7, FALSE), perc_95, VLOOKUP(P$2, Percentiles!$A$45:$I$59, 8, FALSE), perc_85, perc_75 + (perc_90 - perc_75) * (2/3), converted_stat, '2K_Ratings'!P900, IF(bbgm_stat &gt;= perc_95, converted_stat * 3, IF(bbgm_stat &gt;= perc_90, converted_stat * 2, IF(bbgm_stat &gt;= perc_85, converted_stat * 1.5, converted_stat)))))</f>
        <v/>
      </c>
      <c r="Q900" s="30" t="str">
        <f t="array" ref="Q900">IF($A900="", "", LET(bbgm_stat, INDEX(Players!$A899:$P899, MATCH(Q$2, Players!$A$1:$P$1, 0)), perc_75, VLOOKUP(Q$2, Percentiles!$A$45:$I$59, 6, FALSE), perc_90, VLOOKUP(Q$2, Percentiles!$A$45:$I$59, 7, FALSE), perc_95, VLOOKUP(Q$2, Percentiles!$A$45:$I$59, 8, FALSE), perc_85, perc_75 + (perc_90 - perc_75) * (2/3), converted_stat, '2K_Ratings'!Q900, IF(bbgm_stat &gt;= perc_95, converted_stat * 3, IF(bbgm_stat &gt;= perc_90, converted_stat * 2, IF(bbgm_stat &gt;= perc_85, converted_stat * 1.5, converted_stat)))))</f>
        <v/>
      </c>
      <c r="R900" s="30" t="str">
        <f t="array" ref="R900">IF($A900="", "", LET(bbgm_stat, INDEX(Players!$A899:$P899, MATCH(R$2, Players!$A$1:$P$1, 0)), perc_75, VLOOKUP(R$2, Percentiles!$A$45:$I$59, 6, FALSE), perc_90, VLOOKUP(R$2, Percentiles!$A$45:$I$59, 7, FALSE), perc_95, VLOOKUP(R$2, Percentiles!$A$45:$I$59, 8, FALSE), perc_85, perc_75 + (perc_90 - perc_75) * (2/3), converted_stat, '2K_Ratings'!R900, IF(bbgm_stat &gt;= perc_95, converted_stat * 3, IF(bbgm_stat &gt;= perc_90, converted_stat * 2, IF(bbgm_stat &gt;= perc_85, converted_stat * 1.5, converted_stat)))))</f>
        <v/>
      </c>
      <c r="S900" s="30" t="str">
        <f t="array" ref="S900">IF($A900="", "", LET(bbgm_stat, INDEX(Players!$A899:$P899, MATCH(S$2, Players!$A$1:$P$1, 0)), perc_75, VLOOKUP(S$2, Percentiles!$A$45:$I$59, 6, FALSE), perc_90, VLOOKUP(S$2, Percentiles!$A$45:$I$59, 7, FALSE), perc_95, VLOOKUP(S$2, Percentiles!$A$45:$I$59, 8, FALSE), perc_85, perc_75 + (perc_90 - perc_75) * (2/3), converted_stat, '2K_Ratings'!S900, IF(bbgm_stat &gt;= perc_95, converted_stat * 3, IF(bbgm_stat &gt;= perc_90, converted_stat * 2, IF(bbgm_stat &gt;= perc_85, converted_stat * 1.5, converted_stat)))))</f>
        <v/>
      </c>
      <c r="T900" s="30" t="str">
        <f t="array" ref="T900">IF($A900="", "", LET(bbgm_stat, INDEX(Players!$A899:$P899, MATCH(T$2, Players!$A$1:$P$1, 0)), perc_75, VLOOKUP(T$2, Percentiles!$A$45:$I$59, 6, FALSE), perc_90, VLOOKUP(T$2, Percentiles!$A$45:$I$59, 7, FALSE), perc_95, VLOOKUP(T$2, Percentiles!$A$45:$I$59, 8, FALSE), perc_85, perc_75 + (perc_90 - perc_75) * (2/3), converted_stat, '2K_Ratings'!T900, IF(bbgm_stat &gt;= perc_95, converted_stat * 3, IF(bbgm_stat &gt;= perc_90, converted_stat * 2, IF(bbgm_stat &gt;= perc_85, converted_stat * 1.5, converted_stat)))))</f>
        <v/>
      </c>
      <c r="U900" s="30" t="str">
        <f t="array" ref="U900">IF($A900="", "", LET(bbgm_stat, INDEX(Players!$A899:$P899, MATCH(U$2, Players!$A$1:$P$1, 0)), perc_75, VLOOKUP(U$2, Percentiles!$A$45:$I$59, 6, FALSE), perc_90, VLOOKUP(U$2, Percentiles!$A$45:$I$59, 7, FALSE), perc_95, VLOOKUP(U$2, Percentiles!$A$45:$I$59, 8, FALSE), perc_85, perc_75 + (perc_90 - perc_75) * (2/3), converted_stat, '2K_Ratings'!U900, IF(bbgm_stat &gt;= perc_95, converted_stat * 3, IF(bbgm_stat &gt;= perc_90, converted_stat * 2, IF(bbgm_stat &gt;= perc_85, converted_stat * 1.5, converted_stat)))))</f>
        <v/>
      </c>
      <c r="V900" s="30" t="str">
        <f t="array" ref="V900">IF($A900="", "", LET(bbgm_stat, INDEX(Players!$A899:$P899, MATCH(V$2, Players!$A$1:$P$1, 0)), perc_75, VLOOKUP(V$2, Percentiles!$A$45:$I$59, 6, FALSE), perc_90, VLOOKUP(V$2, Percentiles!$A$45:$I$59, 7, FALSE), perc_95, VLOOKUP(V$2, Percentiles!$A$45:$I$59, 8, FALSE), perc_85, perc_75 + (perc_90 - perc_75) * (2/3), converted_stat, '2K_Ratings'!V900, IF(bbgm_stat &gt;= perc_95, converted_stat * 3, IF(bbgm_stat &gt;= perc_90, converted_stat * 2, IF(bbgm_stat &gt;= perc_85, converted_stat * 1.5, converted_stat)))))</f>
        <v/>
      </c>
      <c r="W900" s="30" t="str">
        <f t="array" ref="W900">IF($A900="", "", LET(bbgm_stat, INDEX(Players!$A899:$P899, MATCH(W$2, Players!$A$1:$P$1, 0)), perc_75, VLOOKUP(W$2, Percentiles!$A$45:$I$59, 6, FALSE), perc_90, VLOOKUP(W$2, Percentiles!$A$45:$I$59, 7, FALSE), perc_95, VLOOKUP(W$2, Percentiles!$A$45:$I$59, 8, FALSE), perc_85, perc_75 + (perc_90 - perc_75) * (2/3), converted_stat, '2K_Ratings'!W900, IF(bbgm_stat &gt;= perc_95, converted_stat * 3, IF(bbgm_stat &gt;= perc_90, converted_stat * 2, IF(bbgm_stat &gt;= perc_85, converted_stat * 1.5, converted_stat)))))</f>
        <v/>
      </c>
    </row>
    <row r="901">
      <c r="A901" s="30"/>
      <c r="B901" s="30" t="str">
        <f t="array" ref="B901">IF($A901="", "", LET(bbgm_stat, INDEX(Players!$A900:$P900, MATCH(B$2, Players!$A$1:$P$1, 0)), perc_75, VLOOKUP(B$2, Percentiles!$A$45:$I$59, 6, FALSE), perc_90, VLOOKUP(B$2, Percentiles!$A$45:$I$59, 7, FALSE), perc_95, VLOOKUP(B$2, Percentiles!$A$45:$I$59, 8, FALSE), perc_85, perc_75 + (perc_90 - perc_75) * (2/3), converted_stat, '2K_Ratings'!B901, IF(bbgm_stat &gt;= perc_95, converted_stat * 3, IF(bbgm_stat &gt;= perc_90, converted_stat * 2, IF(bbgm_stat &gt;= perc_85, converted_stat * 1.5, converted_stat)))))</f>
        <v/>
      </c>
      <c r="C901" s="30" t="str">
        <f t="array" ref="C901">IF($A901="", "", LET(bbgm_stat, INDEX(Players!$A900:$P900, MATCH(C$2, Players!$A$1:$P$1, 0)), perc_75, VLOOKUP(C$2, Percentiles!$A$45:$I$59, 6, FALSE), perc_90, VLOOKUP(C$2, Percentiles!$A$45:$I$59, 7, FALSE), perc_95, VLOOKUP(C$2, Percentiles!$A$45:$I$59, 8, FALSE), perc_85, perc_75 + (perc_90 - perc_75) * (2/3), converted_stat, '2K_Ratings'!C901, IF(bbgm_stat &gt;= perc_95, converted_stat * 3, IF(bbgm_stat &gt;= perc_90, converted_stat * 2, IF(bbgm_stat &gt;= perc_85, converted_stat * 1.5, converted_stat)))))</f>
        <v/>
      </c>
      <c r="D901" s="30" t="str">
        <f t="array" ref="D901">IF($A901="", "", LET(bbgm_stat, INDEX(Players!$A900:$P900, MATCH(D$2, Players!$A$1:$P$1, 0)), perc_75, VLOOKUP(D$2, Percentiles!$A$45:$I$59, 6, FALSE), perc_90, VLOOKUP(D$2, Percentiles!$A$45:$I$59, 7, FALSE), perc_95, VLOOKUP(D$2, Percentiles!$A$45:$I$59, 8, FALSE), perc_85, perc_75 + (perc_90 - perc_75) * (2/3), converted_stat, '2K_Ratings'!D901, IF(bbgm_stat &gt;= perc_95, converted_stat * 3, IF(bbgm_stat &gt;= perc_90, converted_stat * 2, IF(bbgm_stat &gt;= perc_85, converted_stat * 1.5, converted_stat)))))</f>
        <v/>
      </c>
      <c r="E901" s="30" t="str">
        <f t="array" ref="E901">IF($A901="", "", LET(bbgm_stat, INDEX(Players!$A900:$P900, MATCH(E$2, Players!$A$1:$P$1, 0)), perc_75, VLOOKUP(E$2, Percentiles!$A$45:$I$59, 6, FALSE), perc_90, VLOOKUP(E$2, Percentiles!$A$45:$I$59, 7, FALSE), perc_95, VLOOKUP(E$2, Percentiles!$A$45:$I$59, 8, FALSE), perc_85, perc_75 + (perc_90 - perc_75) * (2/3), converted_stat, '2K_Ratings'!E901, IF(bbgm_stat &gt;= perc_95, converted_stat * 3, IF(bbgm_stat &gt;= perc_90, converted_stat * 2, IF(bbgm_stat &gt;= perc_85, converted_stat * 1.5, converted_stat)))))</f>
        <v/>
      </c>
      <c r="F901" s="30" t="str">
        <f t="array" ref="F901">IF($A901="", "", LET(bbgm_stat, INDEX(Players!$A900:$P900, MATCH(F$2, Players!$A$1:$P$1, 0)), perc_75, VLOOKUP(F$2, Percentiles!$A$45:$I$59, 6, FALSE), perc_90, VLOOKUP(F$2, Percentiles!$A$45:$I$59, 7, FALSE), perc_95, VLOOKUP(F$2, Percentiles!$A$45:$I$59, 8, FALSE), perc_85, perc_75 + (perc_90 - perc_75) * (2/3), converted_stat, '2K_Ratings'!F901, IF(bbgm_stat &gt;= perc_95, converted_stat * 3, IF(bbgm_stat &gt;= perc_90, converted_stat * 2, IF(bbgm_stat &gt;= perc_85, converted_stat * 1.5, converted_stat)))))</f>
        <v/>
      </c>
      <c r="G901" s="30" t="str">
        <f t="array" ref="G901">IF($A901="", "", LET(bbgm_stat, INDEX(Players!$A900:$P900, MATCH(G$2, Players!$A$1:$P$1, 0)), perc_75, VLOOKUP(G$2, Percentiles!$A$45:$I$59, 6, FALSE), perc_90, VLOOKUP(G$2, Percentiles!$A$45:$I$59, 7, FALSE), perc_95, VLOOKUP(G$2, Percentiles!$A$45:$I$59, 8, FALSE), perc_85, perc_75 + (perc_90 - perc_75) * (2/3), converted_stat, '2K_Ratings'!G901, IF(bbgm_stat &gt;= perc_95, converted_stat * 3, IF(bbgm_stat &gt;= perc_90, converted_stat * 2, IF(bbgm_stat &gt;= perc_85, converted_stat * 1.5, converted_stat)))))</f>
        <v/>
      </c>
      <c r="H901" s="30" t="str">
        <f t="array" ref="H901">IF($A901="", "", LET(bbgm_stat, INDEX(Players!$A900:$P900, MATCH(H$2, Players!$A$1:$P$1, 0)), perc_75, VLOOKUP(H$2, Percentiles!$A$45:$I$59, 6, FALSE), perc_90, VLOOKUP(H$2, Percentiles!$A$45:$I$59, 7, FALSE), perc_95, VLOOKUP(H$2, Percentiles!$A$45:$I$59, 8, FALSE), perc_85, perc_75 + (perc_90 - perc_75) * (2/3), converted_stat, '2K_Ratings'!H901, IF(bbgm_stat &gt;= perc_95, converted_stat * 3, IF(bbgm_stat &gt;= perc_90, converted_stat * 2, IF(bbgm_stat &gt;= perc_85, converted_stat * 1.5, converted_stat)))))</f>
        <v/>
      </c>
      <c r="I901" s="30" t="str">
        <f t="array" ref="I901">IF($A901="", "", LET(bbgm_stat, INDEX(Players!$A900:$P900, MATCH(I$2, Players!$A$1:$P$1, 0)), perc_75, VLOOKUP(I$2, Percentiles!$A$45:$I$59, 6, FALSE), perc_90, VLOOKUP(I$2, Percentiles!$A$45:$I$59, 7, FALSE), perc_95, VLOOKUP(I$2, Percentiles!$A$45:$I$59, 8, FALSE), perc_85, perc_75 + (perc_90 - perc_75) * (2/3), converted_stat, '2K_Ratings'!I901, IF(bbgm_stat &gt;= perc_95, converted_stat * 3, IF(bbgm_stat &gt;= perc_90, converted_stat * 2, IF(bbgm_stat &gt;= perc_85, converted_stat * 1.5, converted_stat)))))</f>
        <v/>
      </c>
      <c r="J901" s="30" t="str">
        <f t="array" ref="J901">IF($A901="", "", LET(bbgm_stat, INDEX(Players!$A900:$P900, MATCH(J$2, Players!$A$1:$P$1, 0)), perc_75, VLOOKUP(J$2, Percentiles!$A$45:$I$59, 6, FALSE), perc_90, VLOOKUP(J$2, Percentiles!$A$45:$I$59, 7, FALSE), perc_95, VLOOKUP(J$2, Percentiles!$A$45:$I$59, 8, FALSE), perc_85, perc_75 + (perc_90 - perc_75) * (2/3), converted_stat, '2K_Ratings'!J901, IF(bbgm_stat &gt;= perc_95, converted_stat * 3, IF(bbgm_stat &gt;= perc_90, converted_stat * 2, IF(bbgm_stat &gt;= perc_85, converted_stat * 1.5, converted_stat)))))</f>
        <v/>
      </c>
      <c r="K901" s="30" t="str">
        <f t="array" ref="K901">IF($A901="", "", LET(bbgm_stat, INDEX(Players!$A900:$P900, MATCH(K$2, Players!$A$1:$P$1, 0)), perc_75, VLOOKUP(K$2, Percentiles!$A$45:$I$59, 6, FALSE), perc_90, VLOOKUP(K$2, Percentiles!$A$45:$I$59, 7, FALSE), perc_95, VLOOKUP(K$2, Percentiles!$A$45:$I$59, 8, FALSE), perc_85, perc_75 + (perc_90 - perc_75) * (2/3), converted_stat, '2K_Ratings'!K901, IF(bbgm_stat &gt;= perc_95, converted_stat * 3, IF(bbgm_stat &gt;= perc_90, converted_stat * 2, IF(bbgm_stat &gt;= perc_85, converted_stat * 1.5, converted_stat)))))</f>
        <v/>
      </c>
      <c r="L901" s="30" t="str">
        <f t="array" ref="L901">IF($A901="", "", LET(bbgm_stat, INDEX(Players!$A900:$P900, MATCH(L$2, Players!$A$1:$P$1, 0)), perc_75, VLOOKUP(L$2, Percentiles!$A$45:$I$59, 6, FALSE), perc_90, VLOOKUP(L$2, Percentiles!$A$45:$I$59, 7, FALSE), perc_95, VLOOKUP(L$2, Percentiles!$A$45:$I$59, 8, FALSE), perc_85, perc_75 + (perc_90 - perc_75) * (2/3), converted_stat, '2K_Ratings'!L901, IF(bbgm_stat &gt;= perc_95, converted_stat * 3, IF(bbgm_stat &gt;= perc_90, converted_stat * 2, IF(bbgm_stat &gt;= perc_85, converted_stat * 1.5, converted_stat)))))</f>
        <v/>
      </c>
      <c r="M901" s="30" t="str">
        <f t="array" ref="M901">IF($A901="", "", LET(bbgm_stat, INDEX(Players!$A900:$P900, MATCH(M$2, Players!$A$1:$P$1, 0)), perc_75, VLOOKUP(M$2, Percentiles!$A$45:$I$59, 6, FALSE), perc_90, VLOOKUP(M$2, Percentiles!$A$45:$I$59, 7, FALSE), perc_95, VLOOKUP(M$2, Percentiles!$A$45:$I$59, 8, FALSE), perc_85, perc_75 + (perc_90 - perc_75) * (2/3), converted_stat, '2K_Ratings'!M901, IF(bbgm_stat &gt;= perc_95, converted_stat * 3, IF(bbgm_stat &gt;= perc_90, converted_stat * 2, IF(bbgm_stat &gt;= perc_85, converted_stat * 1.5, converted_stat)))))</f>
        <v/>
      </c>
      <c r="N901" s="30" t="str">
        <f t="array" ref="N901">IF($A901="", "", LET(bbgm_stat, INDEX(Players!$A900:$P900, MATCH(N$2, Players!$A$1:$P$1, 0)), perc_75, VLOOKUP(N$2, Percentiles!$A$45:$I$59, 6, FALSE), perc_90, VLOOKUP(N$2, Percentiles!$A$45:$I$59, 7, FALSE), perc_95, VLOOKUP(N$2, Percentiles!$A$45:$I$59, 8, FALSE), perc_85, perc_75 + (perc_90 - perc_75) * (2/3), converted_stat, '2K_Ratings'!N901, IF(bbgm_stat &gt;= perc_95, converted_stat * 3, IF(bbgm_stat &gt;= perc_90, converted_stat * 2, IF(bbgm_stat &gt;= perc_85, converted_stat * 1.5, converted_stat)))))</f>
        <v/>
      </c>
      <c r="O901" s="30" t="str">
        <f t="array" ref="O901">IF($A901="", "", LET(bbgm_stat, INDEX(Players!$A900:$P900, MATCH(O$2, Players!$A$1:$P$1, 0)), perc_75, VLOOKUP(O$2, Percentiles!$A$45:$I$59, 6, FALSE), perc_90, VLOOKUP(O$2, Percentiles!$A$45:$I$59, 7, FALSE), perc_95, VLOOKUP(O$2, Percentiles!$A$45:$I$59, 8, FALSE), perc_85, perc_75 + (perc_90 - perc_75) * (2/3), converted_stat, '2K_Ratings'!O901, IF(bbgm_stat &gt;= perc_95, converted_stat * 3, IF(bbgm_stat &gt;= perc_90, converted_stat * 2, IF(bbgm_stat &gt;= perc_85, converted_stat * 1.5, converted_stat)))))</f>
        <v/>
      </c>
      <c r="P901" s="30" t="str">
        <f t="array" ref="P901">IF($A901="", "", LET(bbgm_stat, INDEX(Players!$A900:$P900, MATCH(P$2, Players!$A$1:$P$1, 0)), perc_75, VLOOKUP(P$2, Percentiles!$A$45:$I$59, 6, FALSE), perc_90, VLOOKUP(P$2, Percentiles!$A$45:$I$59, 7, FALSE), perc_95, VLOOKUP(P$2, Percentiles!$A$45:$I$59, 8, FALSE), perc_85, perc_75 + (perc_90 - perc_75) * (2/3), converted_stat, '2K_Ratings'!P901, IF(bbgm_stat &gt;= perc_95, converted_stat * 3, IF(bbgm_stat &gt;= perc_90, converted_stat * 2, IF(bbgm_stat &gt;= perc_85, converted_stat * 1.5, converted_stat)))))</f>
        <v/>
      </c>
      <c r="Q901" s="30" t="str">
        <f t="array" ref="Q901">IF($A901="", "", LET(bbgm_stat, INDEX(Players!$A900:$P900, MATCH(Q$2, Players!$A$1:$P$1, 0)), perc_75, VLOOKUP(Q$2, Percentiles!$A$45:$I$59, 6, FALSE), perc_90, VLOOKUP(Q$2, Percentiles!$A$45:$I$59, 7, FALSE), perc_95, VLOOKUP(Q$2, Percentiles!$A$45:$I$59, 8, FALSE), perc_85, perc_75 + (perc_90 - perc_75) * (2/3), converted_stat, '2K_Ratings'!Q901, IF(bbgm_stat &gt;= perc_95, converted_stat * 3, IF(bbgm_stat &gt;= perc_90, converted_stat * 2, IF(bbgm_stat &gt;= perc_85, converted_stat * 1.5, converted_stat)))))</f>
        <v/>
      </c>
      <c r="R901" s="30" t="str">
        <f t="array" ref="R901">IF($A901="", "", LET(bbgm_stat, INDEX(Players!$A900:$P900, MATCH(R$2, Players!$A$1:$P$1, 0)), perc_75, VLOOKUP(R$2, Percentiles!$A$45:$I$59, 6, FALSE), perc_90, VLOOKUP(R$2, Percentiles!$A$45:$I$59, 7, FALSE), perc_95, VLOOKUP(R$2, Percentiles!$A$45:$I$59, 8, FALSE), perc_85, perc_75 + (perc_90 - perc_75) * (2/3), converted_stat, '2K_Ratings'!R901, IF(bbgm_stat &gt;= perc_95, converted_stat * 3, IF(bbgm_stat &gt;= perc_90, converted_stat * 2, IF(bbgm_stat &gt;= perc_85, converted_stat * 1.5, converted_stat)))))</f>
        <v/>
      </c>
      <c r="S901" s="30" t="str">
        <f t="array" ref="S901">IF($A901="", "", LET(bbgm_stat, INDEX(Players!$A900:$P900, MATCH(S$2, Players!$A$1:$P$1, 0)), perc_75, VLOOKUP(S$2, Percentiles!$A$45:$I$59, 6, FALSE), perc_90, VLOOKUP(S$2, Percentiles!$A$45:$I$59, 7, FALSE), perc_95, VLOOKUP(S$2, Percentiles!$A$45:$I$59, 8, FALSE), perc_85, perc_75 + (perc_90 - perc_75) * (2/3), converted_stat, '2K_Ratings'!S901, IF(bbgm_stat &gt;= perc_95, converted_stat * 3, IF(bbgm_stat &gt;= perc_90, converted_stat * 2, IF(bbgm_stat &gt;= perc_85, converted_stat * 1.5, converted_stat)))))</f>
        <v/>
      </c>
      <c r="T901" s="30" t="str">
        <f t="array" ref="T901">IF($A901="", "", LET(bbgm_stat, INDEX(Players!$A900:$P900, MATCH(T$2, Players!$A$1:$P$1, 0)), perc_75, VLOOKUP(T$2, Percentiles!$A$45:$I$59, 6, FALSE), perc_90, VLOOKUP(T$2, Percentiles!$A$45:$I$59, 7, FALSE), perc_95, VLOOKUP(T$2, Percentiles!$A$45:$I$59, 8, FALSE), perc_85, perc_75 + (perc_90 - perc_75) * (2/3), converted_stat, '2K_Ratings'!T901, IF(bbgm_stat &gt;= perc_95, converted_stat * 3, IF(bbgm_stat &gt;= perc_90, converted_stat * 2, IF(bbgm_stat &gt;= perc_85, converted_stat * 1.5, converted_stat)))))</f>
        <v/>
      </c>
      <c r="U901" s="30" t="str">
        <f t="array" ref="U901">IF($A901="", "", LET(bbgm_stat, INDEX(Players!$A900:$P900, MATCH(U$2, Players!$A$1:$P$1, 0)), perc_75, VLOOKUP(U$2, Percentiles!$A$45:$I$59, 6, FALSE), perc_90, VLOOKUP(U$2, Percentiles!$A$45:$I$59, 7, FALSE), perc_95, VLOOKUP(U$2, Percentiles!$A$45:$I$59, 8, FALSE), perc_85, perc_75 + (perc_90 - perc_75) * (2/3), converted_stat, '2K_Ratings'!U901, IF(bbgm_stat &gt;= perc_95, converted_stat * 3, IF(bbgm_stat &gt;= perc_90, converted_stat * 2, IF(bbgm_stat &gt;= perc_85, converted_stat * 1.5, converted_stat)))))</f>
        <v/>
      </c>
      <c r="V901" s="30" t="str">
        <f t="array" ref="V901">IF($A901="", "", LET(bbgm_stat, INDEX(Players!$A900:$P900, MATCH(V$2, Players!$A$1:$P$1, 0)), perc_75, VLOOKUP(V$2, Percentiles!$A$45:$I$59, 6, FALSE), perc_90, VLOOKUP(V$2, Percentiles!$A$45:$I$59, 7, FALSE), perc_95, VLOOKUP(V$2, Percentiles!$A$45:$I$59, 8, FALSE), perc_85, perc_75 + (perc_90 - perc_75) * (2/3), converted_stat, '2K_Ratings'!V901, IF(bbgm_stat &gt;= perc_95, converted_stat * 3, IF(bbgm_stat &gt;= perc_90, converted_stat * 2, IF(bbgm_stat &gt;= perc_85, converted_stat * 1.5, converted_stat)))))</f>
        <v/>
      </c>
      <c r="W901" s="30" t="str">
        <f t="array" ref="W901">IF($A901="", "", LET(bbgm_stat, INDEX(Players!$A900:$P900, MATCH(W$2, Players!$A$1:$P$1, 0)), perc_75, VLOOKUP(W$2, Percentiles!$A$45:$I$59, 6, FALSE), perc_90, VLOOKUP(W$2, Percentiles!$A$45:$I$59, 7, FALSE), perc_95, VLOOKUP(W$2, Percentiles!$A$45:$I$59, 8, FALSE), perc_85, perc_75 + (perc_90 - perc_75) * (2/3), converted_stat, '2K_Ratings'!W901, IF(bbgm_stat &gt;= perc_95, converted_stat * 3, IF(bbgm_stat &gt;= perc_90, converted_stat * 2, IF(bbgm_stat &gt;= perc_85, converted_stat * 1.5, converted_stat)))))</f>
        <v/>
      </c>
    </row>
    <row r="902">
      <c r="A902" s="30"/>
      <c r="B902" s="30" t="str">
        <f t="array" ref="B902">IF($A902="", "", LET(bbgm_stat, INDEX(Players!$A901:$P901, MATCH(B$2, Players!$A$1:$P$1, 0)), perc_75, VLOOKUP(B$2, Percentiles!$A$45:$I$59, 6, FALSE), perc_90, VLOOKUP(B$2, Percentiles!$A$45:$I$59, 7, FALSE), perc_95, VLOOKUP(B$2, Percentiles!$A$45:$I$59, 8, FALSE), perc_85, perc_75 + (perc_90 - perc_75) * (2/3), converted_stat, '2K_Ratings'!B902, IF(bbgm_stat &gt;= perc_95, converted_stat * 3, IF(bbgm_stat &gt;= perc_90, converted_stat * 2, IF(bbgm_stat &gt;= perc_85, converted_stat * 1.5, converted_stat)))))</f>
        <v/>
      </c>
      <c r="C902" s="30" t="str">
        <f t="array" ref="C902">IF($A902="", "", LET(bbgm_stat, INDEX(Players!$A901:$P901, MATCH(C$2, Players!$A$1:$P$1, 0)), perc_75, VLOOKUP(C$2, Percentiles!$A$45:$I$59, 6, FALSE), perc_90, VLOOKUP(C$2, Percentiles!$A$45:$I$59, 7, FALSE), perc_95, VLOOKUP(C$2, Percentiles!$A$45:$I$59, 8, FALSE), perc_85, perc_75 + (perc_90 - perc_75) * (2/3), converted_stat, '2K_Ratings'!C902, IF(bbgm_stat &gt;= perc_95, converted_stat * 3, IF(bbgm_stat &gt;= perc_90, converted_stat * 2, IF(bbgm_stat &gt;= perc_85, converted_stat * 1.5, converted_stat)))))</f>
        <v/>
      </c>
      <c r="D902" s="30" t="str">
        <f t="array" ref="D902">IF($A902="", "", LET(bbgm_stat, INDEX(Players!$A901:$P901, MATCH(D$2, Players!$A$1:$P$1, 0)), perc_75, VLOOKUP(D$2, Percentiles!$A$45:$I$59, 6, FALSE), perc_90, VLOOKUP(D$2, Percentiles!$A$45:$I$59, 7, FALSE), perc_95, VLOOKUP(D$2, Percentiles!$A$45:$I$59, 8, FALSE), perc_85, perc_75 + (perc_90 - perc_75) * (2/3), converted_stat, '2K_Ratings'!D902, IF(bbgm_stat &gt;= perc_95, converted_stat * 3, IF(bbgm_stat &gt;= perc_90, converted_stat * 2, IF(bbgm_stat &gt;= perc_85, converted_stat * 1.5, converted_stat)))))</f>
        <v/>
      </c>
      <c r="E902" s="30" t="str">
        <f t="array" ref="E902">IF($A902="", "", LET(bbgm_stat, INDEX(Players!$A901:$P901, MATCH(E$2, Players!$A$1:$P$1, 0)), perc_75, VLOOKUP(E$2, Percentiles!$A$45:$I$59, 6, FALSE), perc_90, VLOOKUP(E$2, Percentiles!$A$45:$I$59, 7, FALSE), perc_95, VLOOKUP(E$2, Percentiles!$A$45:$I$59, 8, FALSE), perc_85, perc_75 + (perc_90 - perc_75) * (2/3), converted_stat, '2K_Ratings'!E902, IF(bbgm_stat &gt;= perc_95, converted_stat * 3, IF(bbgm_stat &gt;= perc_90, converted_stat * 2, IF(bbgm_stat &gt;= perc_85, converted_stat * 1.5, converted_stat)))))</f>
        <v/>
      </c>
      <c r="F902" s="30" t="str">
        <f t="array" ref="F902">IF($A902="", "", LET(bbgm_stat, INDEX(Players!$A901:$P901, MATCH(F$2, Players!$A$1:$P$1, 0)), perc_75, VLOOKUP(F$2, Percentiles!$A$45:$I$59, 6, FALSE), perc_90, VLOOKUP(F$2, Percentiles!$A$45:$I$59, 7, FALSE), perc_95, VLOOKUP(F$2, Percentiles!$A$45:$I$59, 8, FALSE), perc_85, perc_75 + (perc_90 - perc_75) * (2/3), converted_stat, '2K_Ratings'!F902, IF(bbgm_stat &gt;= perc_95, converted_stat * 3, IF(bbgm_stat &gt;= perc_90, converted_stat * 2, IF(bbgm_stat &gt;= perc_85, converted_stat * 1.5, converted_stat)))))</f>
        <v/>
      </c>
      <c r="G902" s="30" t="str">
        <f t="array" ref="G902">IF($A902="", "", LET(bbgm_stat, INDEX(Players!$A901:$P901, MATCH(G$2, Players!$A$1:$P$1, 0)), perc_75, VLOOKUP(G$2, Percentiles!$A$45:$I$59, 6, FALSE), perc_90, VLOOKUP(G$2, Percentiles!$A$45:$I$59, 7, FALSE), perc_95, VLOOKUP(G$2, Percentiles!$A$45:$I$59, 8, FALSE), perc_85, perc_75 + (perc_90 - perc_75) * (2/3), converted_stat, '2K_Ratings'!G902, IF(bbgm_stat &gt;= perc_95, converted_stat * 3, IF(bbgm_stat &gt;= perc_90, converted_stat * 2, IF(bbgm_stat &gt;= perc_85, converted_stat * 1.5, converted_stat)))))</f>
        <v/>
      </c>
      <c r="H902" s="30" t="str">
        <f t="array" ref="H902">IF($A902="", "", LET(bbgm_stat, INDEX(Players!$A901:$P901, MATCH(H$2, Players!$A$1:$P$1, 0)), perc_75, VLOOKUP(H$2, Percentiles!$A$45:$I$59, 6, FALSE), perc_90, VLOOKUP(H$2, Percentiles!$A$45:$I$59, 7, FALSE), perc_95, VLOOKUP(H$2, Percentiles!$A$45:$I$59, 8, FALSE), perc_85, perc_75 + (perc_90 - perc_75) * (2/3), converted_stat, '2K_Ratings'!H902, IF(bbgm_stat &gt;= perc_95, converted_stat * 3, IF(bbgm_stat &gt;= perc_90, converted_stat * 2, IF(bbgm_stat &gt;= perc_85, converted_stat * 1.5, converted_stat)))))</f>
        <v/>
      </c>
      <c r="I902" s="30" t="str">
        <f t="array" ref="I902">IF($A902="", "", LET(bbgm_stat, INDEX(Players!$A901:$P901, MATCH(I$2, Players!$A$1:$P$1, 0)), perc_75, VLOOKUP(I$2, Percentiles!$A$45:$I$59, 6, FALSE), perc_90, VLOOKUP(I$2, Percentiles!$A$45:$I$59, 7, FALSE), perc_95, VLOOKUP(I$2, Percentiles!$A$45:$I$59, 8, FALSE), perc_85, perc_75 + (perc_90 - perc_75) * (2/3), converted_stat, '2K_Ratings'!I902, IF(bbgm_stat &gt;= perc_95, converted_stat * 3, IF(bbgm_stat &gt;= perc_90, converted_stat * 2, IF(bbgm_stat &gt;= perc_85, converted_stat * 1.5, converted_stat)))))</f>
        <v/>
      </c>
      <c r="J902" s="30" t="str">
        <f t="array" ref="J902">IF($A902="", "", LET(bbgm_stat, INDEX(Players!$A901:$P901, MATCH(J$2, Players!$A$1:$P$1, 0)), perc_75, VLOOKUP(J$2, Percentiles!$A$45:$I$59, 6, FALSE), perc_90, VLOOKUP(J$2, Percentiles!$A$45:$I$59, 7, FALSE), perc_95, VLOOKUP(J$2, Percentiles!$A$45:$I$59, 8, FALSE), perc_85, perc_75 + (perc_90 - perc_75) * (2/3), converted_stat, '2K_Ratings'!J902, IF(bbgm_stat &gt;= perc_95, converted_stat * 3, IF(bbgm_stat &gt;= perc_90, converted_stat * 2, IF(bbgm_stat &gt;= perc_85, converted_stat * 1.5, converted_stat)))))</f>
        <v/>
      </c>
      <c r="K902" s="30" t="str">
        <f t="array" ref="K902">IF($A902="", "", LET(bbgm_stat, INDEX(Players!$A901:$P901, MATCH(K$2, Players!$A$1:$P$1, 0)), perc_75, VLOOKUP(K$2, Percentiles!$A$45:$I$59, 6, FALSE), perc_90, VLOOKUP(K$2, Percentiles!$A$45:$I$59, 7, FALSE), perc_95, VLOOKUP(K$2, Percentiles!$A$45:$I$59, 8, FALSE), perc_85, perc_75 + (perc_90 - perc_75) * (2/3), converted_stat, '2K_Ratings'!K902, IF(bbgm_stat &gt;= perc_95, converted_stat * 3, IF(bbgm_stat &gt;= perc_90, converted_stat * 2, IF(bbgm_stat &gt;= perc_85, converted_stat * 1.5, converted_stat)))))</f>
        <v/>
      </c>
      <c r="L902" s="30" t="str">
        <f t="array" ref="L902">IF($A902="", "", LET(bbgm_stat, INDEX(Players!$A901:$P901, MATCH(L$2, Players!$A$1:$P$1, 0)), perc_75, VLOOKUP(L$2, Percentiles!$A$45:$I$59, 6, FALSE), perc_90, VLOOKUP(L$2, Percentiles!$A$45:$I$59, 7, FALSE), perc_95, VLOOKUP(L$2, Percentiles!$A$45:$I$59, 8, FALSE), perc_85, perc_75 + (perc_90 - perc_75) * (2/3), converted_stat, '2K_Ratings'!L902, IF(bbgm_stat &gt;= perc_95, converted_stat * 3, IF(bbgm_stat &gt;= perc_90, converted_stat * 2, IF(bbgm_stat &gt;= perc_85, converted_stat * 1.5, converted_stat)))))</f>
        <v/>
      </c>
      <c r="M902" s="30" t="str">
        <f t="array" ref="M902">IF($A902="", "", LET(bbgm_stat, INDEX(Players!$A901:$P901, MATCH(M$2, Players!$A$1:$P$1, 0)), perc_75, VLOOKUP(M$2, Percentiles!$A$45:$I$59, 6, FALSE), perc_90, VLOOKUP(M$2, Percentiles!$A$45:$I$59, 7, FALSE), perc_95, VLOOKUP(M$2, Percentiles!$A$45:$I$59, 8, FALSE), perc_85, perc_75 + (perc_90 - perc_75) * (2/3), converted_stat, '2K_Ratings'!M902, IF(bbgm_stat &gt;= perc_95, converted_stat * 3, IF(bbgm_stat &gt;= perc_90, converted_stat * 2, IF(bbgm_stat &gt;= perc_85, converted_stat * 1.5, converted_stat)))))</f>
        <v/>
      </c>
      <c r="N902" s="30" t="str">
        <f t="array" ref="N902">IF($A902="", "", LET(bbgm_stat, INDEX(Players!$A901:$P901, MATCH(N$2, Players!$A$1:$P$1, 0)), perc_75, VLOOKUP(N$2, Percentiles!$A$45:$I$59, 6, FALSE), perc_90, VLOOKUP(N$2, Percentiles!$A$45:$I$59, 7, FALSE), perc_95, VLOOKUP(N$2, Percentiles!$A$45:$I$59, 8, FALSE), perc_85, perc_75 + (perc_90 - perc_75) * (2/3), converted_stat, '2K_Ratings'!N902, IF(bbgm_stat &gt;= perc_95, converted_stat * 3, IF(bbgm_stat &gt;= perc_90, converted_stat * 2, IF(bbgm_stat &gt;= perc_85, converted_stat * 1.5, converted_stat)))))</f>
        <v/>
      </c>
      <c r="O902" s="30" t="str">
        <f t="array" ref="O902">IF($A902="", "", LET(bbgm_stat, INDEX(Players!$A901:$P901, MATCH(O$2, Players!$A$1:$P$1, 0)), perc_75, VLOOKUP(O$2, Percentiles!$A$45:$I$59, 6, FALSE), perc_90, VLOOKUP(O$2, Percentiles!$A$45:$I$59, 7, FALSE), perc_95, VLOOKUP(O$2, Percentiles!$A$45:$I$59, 8, FALSE), perc_85, perc_75 + (perc_90 - perc_75) * (2/3), converted_stat, '2K_Ratings'!O902, IF(bbgm_stat &gt;= perc_95, converted_stat * 3, IF(bbgm_stat &gt;= perc_90, converted_stat * 2, IF(bbgm_stat &gt;= perc_85, converted_stat * 1.5, converted_stat)))))</f>
        <v/>
      </c>
      <c r="P902" s="30" t="str">
        <f t="array" ref="P902">IF($A902="", "", LET(bbgm_stat, INDEX(Players!$A901:$P901, MATCH(P$2, Players!$A$1:$P$1, 0)), perc_75, VLOOKUP(P$2, Percentiles!$A$45:$I$59, 6, FALSE), perc_90, VLOOKUP(P$2, Percentiles!$A$45:$I$59, 7, FALSE), perc_95, VLOOKUP(P$2, Percentiles!$A$45:$I$59, 8, FALSE), perc_85, perc_75 + (perc_90 - perc_75) * (2/3), converted_stat, '2K_Ratings'!P902, IF(bbgm_stat &gt;= perc_95, converted_stat * 3, IF(bbgm_stat &gt;= perc_90, converted_stat * 2, IF(bbgm_stat &gt;= perc_85, converted_stat * 1.5, converted_stat)))))</f>
        <v/>
      </c>
      <c r="Q902" s="30" t="str">
        <f t="array" ref="Q902">IF($A902="", "", LET(bbgm_stat, INDEX(Players!$A901:$P901, MATCH(Q$2, Players!$A$1:$P$1, 0)), perc_75, VLOOKUP(Q$2, Percentiles!$A$45:$I$59, 6, FALSE), perc_90, VLOOKUP(Q$2, Percentiles!$A$45:$I$59, 7, FALSE), perc_95, VLOOKUP(Q$2, Percentiles!$A$45:$I$59, 8, FALSE), perc_85, perc_75 + (perc_90 - perc_75) * (2/3), converted_stat, '2K_Ratings'!Q902, IF(bbgm_stat &gt;= perc_95, converted_stat * 3, IF(bbgm_stat &gt;= perc_90, converted_stat * 2, IF(bbgm_stat &gt;= perc_85, converted_stat * 1.5, converted_stat)))))</f>
        <v/>
      </c>
      <c r="R902" s="30" t="str">
        <f t="array" ref="R902">IF($A902="", "", LET(bbgm_stat, INDEX(Players!$A901:$P901, MATCH(R$2, Players!$A$1:$P$1, 0)), perc_75, VLOOKUP(R$2, Percentiles!$A$45:$I$59, 6, FALSE), perc_90, VLOOKUP(R$2, Percentiles!$A$45:$I$59, 7, FALSE), perc_95, VLOOKUP(R$2, Percentiles!$A$45:$I$59, 8, FALSE), perc_85, perc_75 + (perc_90 - perc_75) * (2/3), converted_stat, '2K_Ratings'!R902, IF(bbgm_stat &gt;= perc_95, converted_stat * 3, IF(bbgm_stat &gt;= perc_90, converted_stat * 2, IF(bbgm_stat &gt;= perc_85, converted_stat * 1.5, converted_stat)))))</f>
        <v/>
      </c>
      <c r="S902" s="30" t="str">
        <f t="array" ref="S902">IF($A902="", "", LET(bbgm_stat, INDEX(Players!$A901:$P901, MATCH(S$2, Players!$A$1:$P$1, 0)), perc_75, VLOOKUP(S$2, Percentiles!$A$45:$I$59, 6, FALSE), perc_90, VLOOKUP(S$2, Percentiles!$A$45:$I$59, 7, FALSE), perc_95, VLOOKUP(S$2, Percentiles!$A$45:$I$59, 8, FALSE), perc_85, perc_75 + (perc_90 - perc_75) * (2/3), converted_stat, '2K_Ratings'!S902, IF(bbgm_stat &gt;= perc_95, converted_stat * 3, IF(bbgm_stat &gt;= perc_90, converted_stat * 2, IF(bbgm_stat &gt;= perc_85, converted_stat * 1.5, converted_stat)))))</f>
        <v/>
      </c>
      <c r="T902" s="30" t="str">
        <f t="array" ref="T902">IF($A902="", "", LET(bbgm_stat, INDEX(Players!$A901:$P901, MATCH(T$2, Players!$A$1:$P$1, 0)), perc_75, VLOOKUP(T$2, Percentiles!$A$45:$I$59, 6, FALSE), perc_90, VLOOKUP(T$2, Percentiles!$A$45:$I$59, 7, FALSE), perc_95, VLOOKUP(T$2, Percentiles!$A$45:$I$59, 8, FALSE), perc_85, perc_75 + (perc_90 - perc_75) * (2/3), converted_stat, '2K_Ratings'!T902, IF(bbgm_stat &gt;= perc_95, converted_stat * 3, IF(bbgm_stat &gt;= perc_90, converted_stat * 2, IF(bbgm_stat &gt;= perc_85, converted_stat * 1.5, converted_stat)))))</f>
        <v/>
      </c>
      <c r="U902" s="30" t="str">
        <f t="array" ref="U902">IF($A902="", "", LET(bbgm_stat, INDEX(Players!$A901:$P901, MATCH(U$2, Players!$A$1:$P$1, 0)), perc_75, VLOOKUP(U$2, Percentiles!$A$45:$I$59, 6, FALSE), perc_90, VLOOKUP(U$2, Percentiles!$A$45:$I$59, 7, FALSE), perc_95, VLOOKUP(U$2, Percentiles!$A$45:$I$59, 8, FALSE), perc_85, perc_75 + (perc_90 - perc_75) * (2/3), converted_stat, '2K_Ratings'!U902, IF(bbgm_stat &gt;= perc_95, converted_stat * 3, IF(bbgm_stat &gt;= perc_90, converted_stat * 2, IF(bbgm_stat &gt;= perc_85, converted_stat * 1.5, converted_stat)))))</f>
        <v/>
      </c>
      <c r="V902" s="30" t="str">
        <f t="array" ref="V902">IF($A902="", "", LET(bbgm_stat, INDEX(Players!$A901:$P901, MATCH(V$2, Players!$A$1:$P$1, 0)), perc_75, VLOOKUP(V$2, Percentiles!$A$45:$I$59, 6, FALSE), perc_90, VLOOKUP(V$2, Percentiles!$A$45:$I$59, 7, FALSE), perc_95, VLOOKUP(V$2, Percentiles!$A$45:$I$59, 8, FALSE), perc_85, perc_75 + (perc_90 - perc_75) * (2/3), converted_stat, '2K_Ratings'!V902, IF(bbgm_stat &gt;= perc_95, converted_stat * 3, IF(bbgm_stat &gt;= perc_90, converted_stat * 2, IF(bbgm_stat &gt;= perc_85, converted_stat * 1.5, converted_stat)))))</f>
        <v/>
      </c>
      <c r="W902" s="30" t="str">
        <f t="array" ref="W902">IF($A902="", "", LET(bbgm_stat, INDEX(Players!$A901:$P901, MATCH(W$2, Players!$A$1:$P$1, 0)), perc_75, VLOOKUP(W$2, Percentiles!$A$45:$I$59, 6, FALSE), perc_90, VLOOKUP(W$2, Percentiles!$A$45:$I$59, 7, FALSE), perc_95, VLOOKUP(W$2, Percentiles!$A$45:$I$59, 8, FALSE), perc_85, perc_75 + (perc_90 - perc_75) * (2/3), converted_stat, '2K_Ratings'!W902, IF(bbgm_stat &gt;= perc_95, converted_stat * 3, IF(bbgm_stat &gt;= perc_90, converted_stat * 2, IF(bbgm_stat &gt;= perc_85, converted_stat * 1.5, converted_stat)))))</f>
        <v/>
      </c>
    </row>
    <row r="903">
      <c r="A903" s="30"/>
      <c r="B903" s="30" t="str">
        <f t="array" ref="B903">IF($A903="", "", LET(bbgm_stat, INDEX(Players!$A902:$P902, MATCH(B$2, Players!$A$1:$P$1, 0)), perc_75, VLOOKUP(B$2, Percentiles!$A$45:$I$59, 6, FALSE), perc_90, VLOOKUP(B$2, Percentiles!$A$45:$I$59, 7, FALSE), perc_95, VLOOKUP(B$2, Percentiles!$A$45:$I$59, 8, FALSE), perc_85, perc_75 + (perc_90 - perc_75) * (2/3), converted_stat, '2K_Ratings'!B903, IF(bbgm_stat &gt;= perc_95, converted_stat * 3, IF(bbgm_stat &gt;= perc_90, converted_stat * 2, IF(bbgm_stat &gt;= perc_85, converted_stat * 1.5, converted_stat)))))</f>
        <v/>
      </c>
      <c r="C903" s="30" t="str">
        <f t="array" ref="C903">IF($A903="", "", LET(bbgm_stat, INDEX(Players!$A902:$P902, MATCH(C$2, Players!$A$1:$P$1, 0)), perc_75, VLOOKUP(C$2, Percentiles!$A$45:$I$59, 6, FALSE), perc_90, VLOOKUP(C$2, Percentiles!$A$45:$I$59, 7, FALSE), perc_95, VLOOKUP(C$2, Percentiles!$A$45:$I$59, 8, FALSE), perc_85, perc_75 + (perc_90 - perc_75) * (2/3), converted_stat, '2K_Ratings'!C903, IF(bbgm_stat &gt;= perc_95, converted_stat * 3, IF(bbgm_stat &gt;= perc_90, converted_stat * 2, IF(bbgm_stat &gt;= perc_85, converted_stat * 1.5, converted_stat)))))</f>
        <v/>
      </c>
      <c r="D903" s="30" t="str">
        <f t="array" ref="D903">IF($A903="", "", LET(bbgm_stat, INDEX(Players!$A902:$P902, MATCH(D$2, Players!$A$1:$P$1, 0)), perc_75, VLOOKUP(D$2, Percentiles!$A$45:$I$59, 6, FALSE), perc_90, VLOOKUP(D$2, Percentiles!$A$45:$I$59, 7, FALSE), perc_95, VLOOKUP(D$2, Percentiles!$A$45:$I$59, 8, FALSE), perc_85, perc_75 + (perc_90 - perc_75) * (2/3), converted_stat, '2K_Ratings'!D903, IF(bbgm_stat &gt;= perc_95, converted_stat * 3, IF(bbgm_stat &gt;= perc_90, converted_stat * 2, IF(bbgm_stat &gt;= perc_85, converted_stat * 1.5, converted_stat)))))</f>
        <v/>
      </c>
      <c r="E903" s="30" t="str">
        <f t="array" ref="E903">IF($A903="", "", LET(bbgm_stat, INDEX(Players!$A902:$P902, MATCH(E$2, Players!$A$1:$P$1, 0)), perc_75, VLOOKUP(E$2, Percentiles!$A$45:$I$59, 6, FALSE), perc_90, VLOOKUP(E$2, Percentiles!$A$45:$I$59, 7, FALSE), perc_95, VLOOKUP(E$2, Percentiles!$A$45:$I$59, 8, FALSE), perc_85, perc_75 + (perc_90 - perc_75) * (2/3), converted_stat, '2K_Ratings'!E903, IF(bbgm_stat &gt;= perc_95, converted_stat * 3, IF(bbgm_stat &gt;= perc_90, converted_stat * 2, IF(bbgm_stat &gt;= perc_85, converted_stat * 1.5, converted_stat)))))</f>
        <v/>
      </c>
      <c r="F903" s="30" t="str">
        <f t="array" ref="F903">IF($A903="", "", LET(bbgm_stat, INDEX(Players!$A902:$P902, MATCH(F$2, Players!$A$1:$P$1, 0)), perc_75, VLOOKUP(F$2, Percentiles!$A$45:$I$59, 6, FALSE), perc_90, VLOOKUP(F$2, Percentiles!$A$45:$I$59, 7, FALSE), perc_95, VLOOKUP(F$2, Percentiles!$A$45:$I$59, 8, FALSE), perc_85, perc_75 + (perc_90 - perc_75) * (2/3), converted_stat, '2K_Ratings'!F903, IF(bbgm_stat &gt;= perc_95, converted_stat * 3, IF(bbgm_stat &gt;= perc_90, converted_stat * 2, IF(bbgm_stat &gt;= perc_85, converted_stat * 1.5, converted_stat)))))</f>
        <v/>
      </c>
      <c r="G903" s="30" t="str">
        <f t="array" ref="G903">IF($A903="", "", LET(bbgm_stat, INDEX(Players!$A902:$P902, MATCH(G$2, Players!$A$1:$P$1, 0)), perc_75, VLOOKUP(G$2, Percentiles!$A$45:$I$59, 6, FALSE), perc_90, VLOOKUP(G$2, Percentiles!$A$45:$I$59, 7, FALSE), perc_95, VLOOKUP(G$2, Percentiles!$A$45:$I$59, 8, FALSE), perc_85, perc_75 + (perc_90 - perc_75) * (2/3), converted_stat, '2K_Ratings'!G903, IF(bbgm_stat &gt;= perc_95, converted_stat * 3, IF(bbgm_stat &gt;= perc_90, converted_stat * 2, IF(bbgm_stat &gt;= perc_85, converted_stat * 1.5, converted_stat)))))</f>
        <v/>
      </c>
      <c r="H903" s="30" t="str">
        <f t="array" ref="H903">IF($A903="", "", LET(bbgm_stat, INDEX(Players!$A902:$P902, MATCH(H$2, Players!$A$1:$P$1, 0)), perc_75, VLOOKUP(H$2, Percentiles!$A$45:$I$59, 6, FALSE), perc_90, VLOOKUP(H$2, Percentiles!$A$45:$I$59, 7, FALSE), perc_95, VLOOKUP(H$2, Percentiles!$A$45:$I$59, 8, FALSE), perc_85, perc_75 + (perc_90 - perc_75) * (2/3), converted_stat, '2K_Ratings'!H903, IF(bbgm_stat &gt;= perc_95, converted_stat * 3, IF(bbgm_stat &gt;= perc_90, converted_stat * 2, IF(bbgm_stat &gt;= perc_85, converted_stat * 1.5, converted_stat)))))</f>
        <v/>
      </c>
      <c r="I903" s="30" t="str">
        <f t="array" ref="I903">IF($A903="", "", LET(bbgm_stat, INDEX(Players!$A902:$P902, MATCH(I$2, Players!$A$1:$P$1, 0)), perc_75, VLOOKUP(I$2, Percentiles!$A$45:$I$59, 6, FALSE), perc_90, VLOOKUP(I$2, Percentiles!$A$45:$I$59, 7, FALSE), perc_95, VLOOKUP(I$2, Percentiles!$A$45:$I$59, 8, FALSE), perc_85, perc_75 + (perc_90 - perc_75) * (2/3), converted_stat, '2K_Ratings'!I903, IF(bbgm_stat &gt;= perc_95, converted_stat * 3, IF(bbgm_stat &gt;= perc_90, converted_stat * 2, IF(bbgm_stat &gt;= perc_85, converted_stat * 1.5, converted_stat)))))</f>
        <v/>
      </c>
      <c r="J903" s="30" t="str">
        <f t="array" ref="J903">IF($A903="", "", LET(bbgm_stat, INDEX(Players!$A902:$P902, MATCH(J$2, Players!$A$1:$P$1, 0)), perc_75, VLOOKUP(J$2, Percentiles!$A$45:$I$59, 6, FALSE), perc_90, VLOOKUP(J$2, Percentiles!$A$45:$I$59, 7, FALSE), perc_95, VLOOKUP(J$2, Percentiles!$A$45:$I$59, 8, FALSE), perc_85, perc_75 + (perc_90 - perc_75) * (2/3), converted_stat, '2K_Ratings'!J903, IF(bbgm_stat &gt;= perc_95, converted_stat * 3, IF(bbgm_stat &gt;= perc_90, converted_stat * 2, IF(bbgm_stat &gt;= perc_85, converted_stat * 1.5, converted_stat)))))</f>
        <v/>
      </c>
      <c r="K903" s="30" t="str">
        <f t="array" ref="K903">IF($A903="", "", LET(bbgm_stat, INDEX(Players!$A902:$P902, MATCH(K$2, Players!$A$1:$P$1, 0)), perc_75, VLOOKUP(K$2, Percentiles!$A$45:$I$59, 6, FALSE), perc_90, VLOOKUP(K$2, Percentiles!$A$45:$I$59, 7, FALSE), perc_95, VLOOKUP(K$2, Percentiles!$A$45:$I$59, 8, FALSE), perc_85, perc_75 + (perc_90 - perc_75) * (2/3), converted_stat, '2K_Ratings'!K903, IF(bbgm_stat &gt;= perc_95, converted_stat * 3, IF(bbgm_stat &gt;= perc_90, converted_stat * 2, IF(bbgm_stat &gt;= perc_85, converted_stat * 1.5, converted_stat)))))</f>
        <v/>
      </c>
      <c r="L903" s="30" t="str">
        <f t="array" ref="L903">IF($A903="", "", LET(bbgm_stat, INDEX(Players!$A902:$P902, MATCH(L$2, Players!$A$1:$P$1, 0)), perc_75, VLOOKUP(L$2, Percentiles!$A$45:$I$59, 6, FALSE), perc_90, VLOOKUP(L$2, Percentiles!$A$45:$I$59, 7, FALSE), perc_95, VLOOKUP(L$2, Percentiles!$A$45:$I$59, 8, FALSE), perc_85, perc_75 + (perc_90 - perc_75) * (2/3), converted_stat, '2K_Ratings'!L903, IF(bbgm_stat &gt;= perc_95, converted_stat * 3, IF(bbgm_stat &gt;= perc_90, converted_stat * 2, IF(bbgm_stat &gt;= perc_85, converted_stat * 1.5, converted_stat)))))</f>
        <v/>
      </c>
      <c r="M903" s="30" t="str">
        <f t="array" ref="M903">IF($A903="", "", LET(bbgm_stat, INDEX(Players!$A902:$P902, MATCH(M$2, Players!$A$1:$P$1, 0)), perc_75, VLOOKUP(M$2, Percentiles!$A$45:$I$59, 6, FALSE), perc_90, VLOOKUP(M$2, Percentiles!$A$45:$I$59, 7, FALSE), perc_95, VLOOKUP(M$2, Percentiles!$A$45:$I$59, 8, FALSE), perc_85, perc_75 + (perc_90 - perc_75) * (2/3), converted_stat, '2K_Ratings'!M903, IF(bbgm_stat &gt;= perc_95, converted_stat * 3, IF(bbgm_stat &gt;= perc_90, converted_stat * 2, IF(bbgm_stat &gt;= perc_85, converted_stat * 1.5, converted_stat)))))</f>
        <v/>
      </c>
      <c r="N903" s="30" t="str">
        <f t="array" ref="N903">IF($A903="", "", LET(bbgm_stat, INDEX(Players!$A902:$P902, MATCH(N$2, Players!$A$1:$P$1, 0)), perc_75, VLOOKUP(N$2, Percentiles!$A$45:$I$59, 6, FALSE), perc_90, VLOOKUP(N$2, Percentiles!$A$45:$I$59, 7, FALSE), perc_95, VLOOKUP(N$2, Percentiles!$A$45:$I$59, 8, FALSE), perc_85, perc_75 + (perc_90 - perc_75) * (2/3), converted_stat, '2K_Ratings'!N903, IF(bbgm_stat &gt;= perc_95, converted_stat * 3, IF(bbgm_stat &gt;= perc_90, converted_stat * 2, IF(bbgm_stat &gt;= perc_85, converted_stat * 1.5, converted_stat)))))</f>
        <v/>
      </c>
      <c r="O903" s="30" t="str">
        <f t="array" ref="O903">IF($A903="", "", LET(bbgm_stat, INDEX(Players!$A902:$P902, MATCH(O$2, Players!$A$1:$P$1, 0)), perc_75, VLOOKUP(O$2, Percentiles!$A$45:$I$59, 6, FALSE), perc_90, VLOOKUP(O$2, Percentiles!$A$45:$I$59, 7, FALSE), perc_95, VLOOKUP(O$2, Percentiles!$A$45:$I$59, 8, FALSE), perc_85, perc_75 + (perc_90 - perc_75) * (2/3), converted_stat, '2K_Ratings'!O903, IF(bbgm_stat &gt;= perc_95, converted_stat * 3, IF(bbgm_stat &gt;= perc_90, converted_stat * 2, IF(bbgm_stat &gt;= perc_85, converted_stat * 1.5, converted_stat)))))</f>
        <v/>
      </c>
      <c r="P903" s="30" t="str">
        <f t="array" ref="P903">IF($A903="", "", LET(bbgm_stat, INDEX(Players!$A902:$P902, MATCH(P$2, Players!$A$1:$P$1, 0)), perc_75, VLOOKUP(P$2, Percentiles!$A$45:$I$59, 6, FALSE), perc_90, VLOOKUP(P$2, Percentiles!$A$45:$I$59, 7, FALSE), perc_95, VLOOKUP(P$2, Percentiles!$A$45:$I$59, 8, FALSE), perc_85, perc_75 + (perc_90 - perc_75) * (2/3), converted_stat, '2K_Ratings'!P903, IF(bbgm_stat &gt;= perc_95, converted_stat * 3, IF(bbgm_stat &gt;= perc_90, converted_stat * 2, IF(bbgm_stat &gt;= perc_85, converted_stat * 1.5, converted_stat)))))</f>
        <v/>
      </c>
      <c r="Q903" s="30" t="str">
        <f t="array" ref="Q903">IF($A903="", "", LET(bbgm_stat, INDEX(Players!$A902:$P902, MATCH(Q$2, Players!$A$1:$P$1, 0)), perc_75, VLOOKUP(Q$2, Percentiles!$A$45:$I$59, 6, FALSE), perc_90, VLOOKUP(Q$2, Percentiles!$A$45:$I$59, 7, FALSE), perc_95, VLOOKUP(Q$2, Percentiles!$A$45:$I$59, 8, FALSE), perc_85, perc_75 + (perc_90 - perc_75) * (2/3), converted_stat, '2K_Ratings'!Q903, IF(bbgm_stat &gt;= perc_95, converted_stat * 3, IF(bbgm_stat &gt;= perc_90, converted_stat * 2, IF(bbgm_stat &gt;= perc_85, converted_stat * 1.5, converted_stat)))))</f>
        <v/>
      </c>
      <c r="R903" s="30" t="str">
        <f t="array" ref="R903">IF($A903="", "", LET(bbgm_stat, INDEX(Players!$A902:$P902, MATCH(R$2, Players!$A$1:$P$1, 0)), perc_75, VLOOKUP(R$2, Percentiles!$A$45:$I$59, 6, FALSE), perc_90, VLOOKUP(R$2, Percentiles!$A$45:$I$59, 7, FALSE), perc_95, VLOOKUP(R$2, Percentiles!$A$45:$I$59, 8, FALSE), perc_85, perc_75 + (perc_90 - perc_75) * (2/3), converted_stat, '2K_Ratings'!R903, IF(bbgm_stat &gt;= perc_95, converted_stat * 3, IF(bbgm_stat &gt;= perc_90, converted_stat * 2, IF(bbgm_stat &gt;= perc_85, converted_stat * 1.5, converted_stat)))))</f>
        <v/>
      </c>
      <c r="S903" s="30" t="str">
        <f t="array" ref="S903">IF($A903="", "", LET(bbgm_stat, INDEX(Players!$A902:$P902, MATCH(S$2, Players!$A$1:$P$1, 0)), perc_75, VLOOKUP(S$2, Percentiles!$A$45:$I$59, 6, FALSE), perc_90, VLOOKUP(S$2, Percentiles!$A$45:$I$59, 7, FALSE), perc_95, VLOOKUP(S$2, Percentiles!$A$45:$I$59, 8, FALSE), perc_85, perc_75 + (perc_90 - perc_75) * (2/3), converted_stat, '2K_Ratings'!S903, IF(bbgm_stat &gt;= perc_95, converted_stat * 3, IF(bbgm_stat &gt;= perc_90, converted_stat * 2, IF(bbgm_stat &gt;= perc_85, converted_stat * 1.5, converted_stat)))))</f>
        <v/>
      </c>
      <c r="T903" s="30" t="str">
        <f t="array" ref="T903">IF($A903="", "", LET(bbgm_stat, INDEX(Players!$A902:$P902, MATCH(T$2, Players!$A$1:$P$1, 0)), perc_75, VLOOKUP(T$2, Percentiles!$A$45:$I$59, 6, FALSE), perc_90, VLOOKUP(T$2, Percentiles!$A$45:$I$59, 7, FALSE), perc_95, VLOOKUP(T$2, Percentiles!$A$45:$I$59, 8, FALSE), perc_85, perc_75 + (perc_90 - perc_75) * (2/3), converted_stat, '2K_Ratings'!T903, IF(bbgm_stat &gt;= perc_95, converted_stat * 3, IF(bbgm_stat &gt;= perc_90, converted_stat * 2, IF(bbgm_stat &gt;= perc_85, converted_stat * 1.5, converted_stat)))))</f>
        <v/>
      </c>
      <c r="U903" s="30" t="str">
        <f t="array" ref="U903">IF($A903="", "", LET(bbgm_stat, INDEX(Players!$A902:$P902, MATCH(U$2, Players!$A$1:$P$1, 0)), perc_75, VLOOKUP(U$2, Percentiles!$A$45:$I$59, 6, FALSE), perc_90, VLOOKUP(U$2, Percentiles!$A$45:$I$59, 7, FALSE), perc_95, VLOOKUP(U$2, Percentiles!$A$45:$I$59, 8, FALSE), perc_85, perc_75 + (perc_90 - perc_75) * (2/3), converted_stat, '2K_Ratings'!U903, IF(bbgm_stat &gt;= perc_95, converted_stat * 3, IF(bbgm_stat &gt;= perc_90, converted_stat * 2, IF(bbgm_stat &gt;= perc_85, converted_stat * 1.5, converted_stat)))))</f>
        <v/>
      </c>
      <c r="V903" s="30" t="str">
        <f t="array" ref="V903">IF($A903="", "", LET(bbgm_stat, INDEX(Players!$A902:$P902, MATCH(V$2, Players!$A$1:$P$1, 0)), perc_75, VLOOKUP(V$2, Percentiles!$A$45:$I$59, 6, FALSE), perc_90, VLOOKUP(V$2, Percentiles!$A$45:$I$59, 7, FALSE), perc_95, VLOOKUP(V$2, Percentiles!$A$45:$I$59, 8, FALSE), perc_85, perc_75 + (perc_90 - perc_75) * (2/3), converted_stat, '2K_Ratings'!V903, IF(bbgm_stat &gt;= perc_95, converted_stat * 3, IF(bbgm_stat &gt;= perc_90, converted_stat * 2, IF(bbgm_stat &gt;= perc_85, converted_stat * 1.5, converted_stat)))))</f>
        <v/>
      </c>
      <c r="W903" s="30" t="str">
        <f t="array" ref="W903">IF($A903="", "", LET(bbgm_stat, INDEX(Players!$A902:$P902, MATCH(W$2, Players!$A$1:$P$1, 0)), perc_75, VLOOKUP(W$2, Percentiles!$A$45:$I$59, 6, FALSE), perc_90, VLOOKUP(W$2, Percentiles!$A$45:$I$59, 7, FALSE), perc_95, VLOOKUP(W$2, Percentiles!$A$45:$I$59, 8, FALSE), perc_85, perc_75 + (perc_90 - perc_75) * (2/3), converted_stat, '2K_Ratings'!W903, IF(bbgm_stat &gt;= perc_95, converted_stat * 3, IF(bbgm_stat &gt;= perc_90, converted_stat * 2, IF(bbgm_stat &gt;= perc_85, converted_stat * 1.5, converted_stat)))))</f>
        <v/>
      </c>
    </row>
    <row r="904">
      <c r="A904" s="30"/>
      <c r="B904" s="30" t="str">
        <f t="array" ref="B904">IF($A904="", "", LET(bbgm_stat, INDEX(Players!$A903:$P903, MATCH(B$2, Players!$A$1:$P$1, 0)), perc_75, VLOOKUP(B$2, Percentiles!$A$45:$I$59, 6, FALSE), perc_90, VLOOKUP(B$2, Percentiles!$A$45:$I$59, 7, FALSE), perc_95, VLOOKUP(B$2, Percentiles!$A$45:$I$59, 8, FALSE), perc_85, perc_75 + (perc_90 - perc_75) * (2/3), converted_stat, '2K_Ratings'!B904, IF(bbgm_stat &gt;= perc_95, converted_stat * 3, IF(bbgm_stat &gt;= perc_90, converted_stat * 2, IF(bbgm_stat &gt;= perc_85, converted_stat * 1.5, converted_stat)))))</f>
        <v/>
      </c>
      <c r="C904" s="30" t="str">
        <f t="array" ref="C904">IF($A904="", "", LET(bbgm_stat, INDEX(Players!$A903:$P903, MATCH(C$2, Players!$A$1:$P$1, 0)), perc_75, VLOOKUP(C$2, Percentiles!$A$45:$I$59, 6, FALSE), perc_90, VLOOKUP(C$2, Percentiles!$A$45:$I$59, 7, FALSE), perc_95, VLOOKUP(C$2, Percentiles!$A$45:$I$59, 8, FALSE), perc_85, perc_75 + (perc_90 - perc_75) * (2/3), converted_stat, '2K_Ratings'!C904, IF(bbgm_stat &gt;= perc_95, converted_stat * 3, IF(bbgm_stat &gt;= perc_90, converted_stat * 2, IF(bbgm_stat &gt;= perc_85, converted_stat * 1.5, converted_stat)))))</f>
        <v/>
      </c>
      <c r="D904" s="30" t="str">
        <f t="array" ref="D904">IF($A904="", "", LET(bbgm_stat, INDEX(Players!$A903:$P903, MATCH(D$2, Players!$A$1:$P$1, 0)), perc_75, VLOOKUP(D$2, Percentiles!$A$45:$I$59, 6, FALSE), perc_90, VLOOKUP(D$2, Percentiles!$A$45:$I$59, 7, FALSE), perc_95, VLOOKUP(D$2, Percentiles!$A$45:$I$59, 8, FALSE), perc_85, perc_75 + (perc_90 - perc_75) * (2/3), converted_stat, '2K_Ratings'!D904, IF(bbgm_stat &gt;= perc_95, converted_stat * 3, IF(bbgm_stat &gt;= perc_90, converted_stat * 2, IF(bbgm_stat &gt;= perc_85, converted_stat * 1.5, converted_stat)))))</f>
        <v/>
      </c>
      <c r="E904" s="30" t="str">
        <f t="array" ref="E904">IF($A904="", "", LET(bbgm_stat, INDEX(Players!$A903:$P903, MATCH(E$2, Players!$A$1:$P$1, 0)), perc_75, VLOOKUP(E$2, Percentiles!$A$45:$I$59, 6, FALSE), perc_90, VLOOKUP(E$2, Percentiles!$A$45:$I$59, 7, FALSE), perc_95, VLOOKUP(E$2, Percentiles!$A$45:$I$59, 8, FALSE), perc_85, perc_75 + (perc_90 - perc_75) * (2/3), converted_stat, '2K_Ratings'!E904, IF(bbgm_stat &gt;= perc_95, converted_stat * 3, IF(bbgm_stat &gt;= perc_90, converted_stat * 2, IF(bbgm_stat &gt;= perc_85, converted_stat * 1.5, converted_stat)))))</f>
        <v/>
      </c>
      <c r="F904" s="30" t="str">
        <f t="array" ref="F904">IF($A904="", "", LET(bbgm_stat, INDEX(Players!$A903:$P903, MATCH(F$2, Players!$A$1:$P$1, 0)), perc_75, VLOOKUP(F$2, Percentiles!$A$45:$I$59, 6, FALSE), perc_90, VLOOKUP(F$2, Percentiles!$A$45:$I$59, 7, FALSE), perc_95, VLOOKUP(F$2, Percentiles!$A$45:$I$59, 8, FALSE), perc_85, perc_75 + (perc_90 - perc_75) * (2/3), converted_stat, '2K_Ratings'!F904, IF(bbgm_stat &gt;= perc_95, converted_stat * 3, IF(bbgm_stat &gt;= perc_90, converted_stat * 2, IF(bbgm_stat &gt;= perc_85, converted_stat * 1.5, converted_stat)))))</f>
        <v/>
      </c>
      <c r="G904" s="30" t="str">
        <f t="array" ref="G904">IF($A904="", "", LET(bbgm_stat, INDEX(Players!$A903:$P903, MATCH(G$2, Players!$A$1:$P$1, 0)), perc_75, VLOOKUP(G$2, Percentiles!$A$45:$I$59, 6, FALSE), perc_90, VLOOKUP(G$2, Percentiles!$A$45:$I$59, 7, FALSE), perc_95, VLOOKUP(G$2, Percentiles!$A$45:$I$59, 8, FALSE), perc_85, perc_75 + (perc_90 - perc_75) * (2/3), converted_stat, '2K_Ratings'!G904, IF(bbgm_stat &gt;= perc_95, converted_stat * 3, IF(bbgm_stat &gt;= perc_90, converted_stat * 2, IF(bbgm_stat &gt;= perc_85, converted_stat * 1.5, converted_stat)))))</f>
        <v/>
      </c>
      <c r="H904" s="30" t="str">
        <f t="array" ref="H904">IF($A904="", "", LET(bbgm_stat, INDEX(Players!$A903:$P903, MATCH(H$2, Players!$A$1:$P$1, 0)), perc_75, VLOOKUP(H$2, Percentiles!$A$45:$I$59, 6, FALSE), perc_90, VLOOKUP(H$2, Percentiles!$A$45:$I$59, 7, FALSE), perc_95, VLOOKUP(H$2, Percentiles!$A$45:$I$59, 8, FALSE), perc_85, perc_75 + (perc_90 - perc_75) * (2/3), converted_stat, '2K_Ratings'!H904, IF(bbgm_stat &gt;= perc_95, converted_stat * 3, IF(bbgm_stat &gt;= perc_90, converted_stat * 2, IF(bbgm_stat &gt;= perc_85, converted_stat * 1.5, converted_stat)))))</f>
        <v/>
      </c>
      <c r="I904" s="30" t="str">
        <f t="array" ref="I904">IF($A904="", "", LET(bbgm_stat, INDEX(Players!$A903:$P903, MATCH(I$2, Players!$A$1:$P$1, 0)), perc_75, VLOOKUP(I$2, Percentiles!$A$45:$I$59, 6, FALSE), perc_90, VLOOKUP(I$2, Percentiles!$A$45:$I$59, 7, FALSE), perc_95, VLOOKUP(I$2, Percentiles!$A$45:$I$59, 8, FALSE), perc_85, perc_75 + (perc_90 - perc_75) * (2/3), converted_stat, '2K_Ratings'!I904, IF(bbgm_stat &gt;= perc_95, converted_stat * 3, IF(bbgm_stat &gt;= perc_90, converted_stat * 2, IF(bbgm_stat &gt;= perc_85, converted_stat * 1.5, converted_stat)))))</f>
        <v/>
      </c>
      <c r="J904" s="30" t="str">
        <f t="array" ref="J904">IF($A904="", "", LET(bbgm_stat, INDEX(Players!$A903:$P903, MATCH(J$2, Players!$A$1:$P$1, 0)), perc_75, VLOOKUP(J$2, Percentiles!$A$45:$I$59, 6, FALSE), perc_90, VLOOKUP(J$2, Percentiles!$A$45:$I$59, 7, FALSE), perc_95, VLOOKUP(J$2, Percentiles!$A$45:$I$59, 8, FALSE), perc_85, perc_75 + (perc_90 - perc_75) * (2/3), converted_stat, '2K_Ratings'!J904, IF(bbgm_stat &gt;= perc_95, converted_stat * 3, IF(bbgm_stat &gt;= perc_90, converted_stat * 2, IF(bbgm_stat &gt;= perc_85, converted_stat * 1.5, converted_stat)))))</f>
        <v/>
      </c>
      <c r="K904" s="30" t="str">
        <f t="array" ref="K904">IF($A904="", "", LET(bbgm_stat, INDEX(Players!$A903:$P903, MATCH(K$2, Players!$A$1:$P$1, 0)), perc_75, VLOOKUP(K$2, Percentiles!$A$45:$I$59, 6, FALSE), perc_90, VLOOKUP(K$2, Percentiles!$A$45:$I$59, 7, FALSE), perc_95, VLOOKUP(K$2, Percentiles!$A$45:$I$59, 8, FALSE), perc_85, perc_75 + (perc_90 - perc_75) * (2/3), converted_stat, '2K_Ratings'!K904, IF(bbgm_stat &gt;= perc_95, converted_stat * 3, IF(bbgm_stat &gt;= perc_90, converted_stat * 2, IF(bbgm_stat &gt;= perc_85, converted_stat * 1.5, converted_stat)))))</f>
        <v/>
      </c>
      <c r="L904" s="30" t="str">
        <f t="array" ref="L904">IF($A904="", "", LET(bbgm_stat, INDEX(Players!$A903:$P903, MATCH(L$2, Players!$A$1:$P$1, 0)), perc_75, VLOOKUP(L$2, Percentiles!$A$45:$I$59, 6, FALSE), perc_90, VLOOKUP(L$2, Percentiles!$A$45:$I$59, 7, FALSE), perc_95, VLOOKUP(L$2, Percentiles!$A$45:$I$59, 8, FALSE), perc_85, perc_75 + (perc_90 - perc_75) * (2/3), converted_stat, '2K_Ratings'!L904, IF(bbgm_stat &gt;= perc_95, converted_stat * 3, IF(bbgm_stat &gt;= perc_90, converted_stat * 2, IF(bbgm_stat &gt;= perc_85, converted_stat * 1.5, converted_stat)))))</f>
        <v/>
      </c>
      <c r="M904" s="30" t="str">
        <f t="array" ref="M904">IF($A904="", "", LET(bbgm_stat, INDEX(Players!$A903:$P903, MATCH(M$2, Players!$A$1:$P$1, 0)), perc_75, VLOOKUP(M$2, Percentiles!$A$45:$I$59, 6, FALSE), perc_90, VLOOKUP(M$2, Percentiles!$A$45:$I$59, 7, FALSE), perc_95, VLOOKUP(M$2, Percentiles!$A$45:$I$59, 8, FALSE), perc_85, perc_75 + (perc_90 - perc_75) * (2/3), converted_stat, '2K_Ratings'!M904, IF(bbgm_stat &gt;= perc_95, converted_stat * 3, IF(bbgm_stat &gt;= perc_90, converted_stat * 2, IF(bbgm_stat &gt;= perc_85, converted_stat * 1.5, converted_stat)))))</f>
        <v/>
      </c>
      <c r="N904" s="30" t="str">
        <f t="array" ref="N904">IF($A904="", "", LET(bbgm_stat, INDEX(Players!$A903:$P903, MATCH(N$2, Players!$A$1:$P$1, 0)), perc_75, VLOOKUP(N$2, Percentiles!$A$45:$I$59, 6, FALSE), perc_90, VLOOKUP(N$2, Percentiles!$A$45:$I$59, 7, FALSE), perc_95, VLOOKUP(N$2, Percentiles!$A$45:$I$59, 8, FALSE), perc_85, perc_75 + (perc_90 - perc_75) * (2/3), converted_stat, '2K_Ratings'!N904, IF(bbgm_stat &gt;= perc_95, converted_stat * 3, IF(bbgm_stat &gt;= perc_90, converted_stat * 2, IF(bbgm_stat &gt;= perc_85, converted_stat * 1.5, converted_stat)))))</f>
        <v/>
      </c>
      <c r="O904" s="30" t="str">
        <f t="array" ref="O904">IF($A904="", "", LET(bbgm_stat, INDEX(Players!$A903:$P903, MATCH(O$2, Players!$A$1:$P$1, 0)), perc_75, VLOOKUP(O$2, Percentiles!$A$45:$I$59, 6, FALSE), perc_90, VLOOKUP(O$2, Percentiles!$A$45:$I$59, 7, FALSE), perc_95, VLOOKUP(O$2, Percentiles!$A$45:$I$59, 8, FALSE), perc_85, perc_75 + (perc_90 - perc_75) * (2/3), converted_stat, '2K_Ratings'!O904, IF(bbgm_stat &gt;= perc_95, converted_stat * 3, IF(bbgm_stat &gt;= perc_90, converted_stat * 2, IF(bbgm_stat &gt;= perc_85, converted_stat * 1.5, converted_stat)))))</f>
        <v/>
      </c>
      <c r="P904" s="30" t="str">
        <f t="array" ref="P904">IF($A904="", "", LET(bbgm_stat, INDEX(Players!$A903:$P903, MATCH(P$2, Players!$A$1:$P$1, 0)), perc_75, VLOOKUP(P$2, Percentiles!$A$45:$I$59, 6, FALSE), perc_90, VLOOKUP(P$2, Percentiles!$A$45:$I$59, 7, FALSE), perc_95, VLOOKUP(P$2, Percentiles!$A$45:$I$59, 8, FALSE), perc_85, perc_75 + (perc_90 - perc_75) * (2/3), converted_stat, '2K_Ratings'!P904, IF(bbgm_stat &gt;= perc_95, converted_stat * 3, IF(bbgm_stat &gt;= perc_90, converted_stat * 2, IF(bbgm_stat &gt;= perc_85, converted_stat * 1.5, converted_stat)))))</f>
        <v/>
      </c>
      <c r="Q904" s="30" t="str">
        <f t="array" ref="Q904">IF($A904="", "", LET(bbgm_stat, INDEX(Players!$A903:$P903, MATCH(Q$2, Players!$A$1:$P$1, 0)), perc_75, VLOOKUP(Q$2, Percentiles!$A$45:$I$59, 6, FALSE), perc_90, VLOOKUP(Q$2, Percentiles!$A$45:$I$59, 7, FALSE), perc_95, VLOOKUP(Q$2, Percentiles!$A$45:$I$59, 8, FALSE), perc_85, perc_75 + (perc_90 - perc_75) * (2/3), converted_stat, '2K_Ratings'!Q904, IF(bbgm_stat &gt;= perc_95, converted_stat * 3, IF(bbgm_stat &gt;= perc_90, converted_stat * 2, IF(bbgm_stat &gt;= perc_85, converted_stat * 1.5, converted_stat)))))</f>
        <v/>
      </c>
      <c r="R904" s="30" t="str">
        <f t="array" ref="R904">IF($A904="", "", LET(bbgm_stat, INDEX(Players!$A903:$P903, MATCH(R$2, Players!$A$1:$P$1, 0)), perc_75, VLOOKUP(R$2, Percentiles!$A$45:$I$59, 6, FALSE), perc_90, VLOOKUP(R$2, Percentiles!$A$45:$I$59, 7, FALSE), perc_95, VLOOKUP(R$2, Percentiles!$A$45:$I$59, 8, FALSE), perc_85, perc_75 + (perc_90 - perc_75) * (2/3), converted_stat, '2K_Ratings'!R904, IF(bbgm_stat &gt;= perc_95, converted_stat * 3, IF(bbgm_stat &gt;= perc_90, converted_stat * 2, IF(bbgm_stat &gt;= perc_85, converted_stat * 1.5, converted_stat)))))</f>
        <v/>
      </c>
      <c r="S904" s="30" t="str">
        <f t="array" ref="S904">IF($A904="", "", LET(bbgm_stat, INDEX(Players!$A903:$P903, MATCH(S$2, Players!$A$1:$P$1, 0)), perc_75, VLOOKUP(S$2, Percentiles!$A$45:$I$59, 6, FALSE), perc_90, VLOOKUP(S$2, Percentiles!$A$45:$I$59, 7, FALSE), perc_95, VLOOKUP(S$2, Percentiles!$A$45:$I$59, 8, FALSE), perc_85, perc_75 + (perc_90 - perc_75) * (2/3), converted_stat, '2K_Ratings'!S904, IF(bbgm_stat &gt;= perc_95, converted_stat * 3, IF(bbgm_stat &gt;= perc_90, converted_stat * 2, IF(bbgm_stat &gt;= perc_85, converted_stat * 1.5, converted_stat)))))</f>
        <v/>
      </c>
      <c r="T904" s="30" t="str">
        <f t="array" ref="T904">IF($A904="", "", LET(bbgm_stat, INDEX(Players!$A903:$P903, MATCH(T$2, Players!$A$1:$P$1, 0)), perc_75, VLOOKUP(T$2, Percentiles!$A$45:$I$59, 6, FALSE), perc_90, VLOOKUP(T$2, Percentiles!$A$45:$I$59, 7, FALSE), perc_95, VLOOKUP(T$2, Percentiles!$A$45:$I$59, 8, FALSE), perc_85, perc_75 + (perc_90 - perc_75) * (2/3), converted_stat, '2K_Ratings'!T904, IF(bbgm_stat &gt;= perc_95, converted_stat * 3, IF(bbgm_stat &gt;= perc_90, converted_stat * 2, IF(bbgm_stat &gt;= perc_85, converted_stat * 1.5, converted_stat)))))</f>
        <v/>
      </c>
      <c r="U904" s="30" t="str">
        <f t="array" ref="U904">IF($A904="", "", LET(bbgm_stat, INDEX(Players!$A903:$P903, MATCH(U$2, Players!$A$1:$P$1, 0)), perc_75, VLOOKUP(U$2, Percentiles!$A$45:$I$59, 6, FALSE), perc_90, VLOOKUP(U$2, Percentiles!$A$45:$I$59, 7, FALSE), perc_95, VLOOKUP(U$2, Percentiles!$A$45:$I$59, 8, FALSE), perc_85, perc_75 + (perc_90 - perc_75) * (2/3), converted_stat, '2K_Ratings'!U904, IF(bbgm_stat &gt;= perc_95, converted_stat * 3, IF(bbgm_stat &gt;= perc_90, converted_stat * 2, IF(bbgm_stat &gt;= perc_85, converted_stat * 1.5, converted_stat)))))</f>
        <v/>
      </c>
      <c r="V904" s="30" t="str">
        <f t="array" ref="V904">IF($A904="", "", LET(bbgm_stat, INDEX(Players!$A903:$P903, MATCH(V$2, Players!$A$1:$P$1, 0)), perc_75, VLOOKUP(V$2, Percentiles!$A$45:$I$59, 6, FALSE), perc_90, VLOOKUP(V$2, Percentiles!$A$45:$I$59, 7, FALSE), perc_95, VLOOKUP(V$2, Percentiles!$A$45:$I$59, 8, FALSE), perc_85, perc_75 + (perc_90 - perc_75) * (2/3), converted_stat, '2K_Ratings'!V904, IF(bbgm_stat &gt;= perc_95, converted_stat * 3, IF(bbgm_stat &gt;= perc_90, converted_stat * 2, IF(bbgm_stat &gt;= perc_85, converted_stat * 1.5, converted_stat)))))</f>
        <v/>
      </c>
      <c r="W904" s="30" t="str">
        <f t="array" ref="W904">IF($A904="", "", LET(bbgm_stat, INDEX(Players!$A903:$P903, MATCH(W$2, Players!$A$1:$P$1, 0)), perc_75, VLOOKUP(W$2, Percentiles!$A$45:$I$59, 6, FALSE), perc_90, VLOOKUP(W$2, Percentiles!$A$45:$I$59, 7, FALSE), perc_95, VLOOKUP(W$2, Percentiles!$A$45:$I$59, 8, FALSE), perc_85, perc_75 + (perc_90 - perc_75) * (2/3), converted_stat, '2K_Ratings'!W904, IF(bbgm_stat &gt;= perc_95, converted_stat * 3, IF(bbgm_stat &gt;= perc_90, converted_stat * 2, IF(bbgm_stat &gt;= perc_85, converted_stat * 1.5, converted_stat)))))</f>
        <v/>
      </c>
    </row>
    <row r="905">
      <c r="A905" s="30"/>
      <c r="B905" s="30" t="str">
        <f t="array" ref="B905">IF($A905="", "", LET(bbgm_stat, INDEX(Players!$A904:$P904, MATCH(B$2, Players!$A$1:$P$1, 0)), perc_75, VLOOKUP(B$2, Percentiles!$A$45:$I$59, 6, FALSE), perc_90, VLOOKUP(B$2, Percentiles!$A$45:$I$59, 7, FALSE), perc_95, VLOOKUP(B$2, Percentiles!$A$45:$I$59, 8, FALSE), perc_85, perc_75 + (perc_90 - perc_75) * (2/3), converted_stat, '2K_Ratings'!B905, IF(bbgm_stat &gt;= perc_95, converted_stat * 3, IF(bbgm_stat &gt;= perc_90, converted_stat * 2, IF(bbgm_stat &gt;= perc_85, converted_stat * 1.5, converted_stat)))))</f>
        <v/>
      </c>
      <c r="C905" s="30" t="str">
        <f t="array" ref="C905">IF($A905="", "", LET(bbgm_stat, INDEX(Players!$A904:$P904, MATCH(C$2, Players!$A$1:$P$1, 0)), perc_75, VLOOKUP(C$2, Percentiles!$A$45:$I$59, 6, FALSE), perc_90, VLOOKUP(C$2, Percentiles!$A$45:$I$59, 7, FALSE), perc_95, VLOOKUP(C$2, Percentiles!$A$45:$I$59, 8, FALSE), perc_85, perc_75 + (perc_90 - perc_75) * (2/3), converted_stat, '2K_Ratings'!C905, IF(bbgm_stat &gt;= perc_95, converted_stat * 3, IF(bbgm_stat &gt;= perc_90, converted_stat * 2, IF(bbgm_stat &gt;= perc_85, converted_stat * 1.5, converted_stat)))))</f>
        <v/>
      </c>
      <c r="D905" s="30" t="str">
        <f t="array" ref="D905">IF($A905="", "", LET(bbgm_stat, INDEX(Players!$A904:$P904, MATCH(D$2, Players!$A$1:$P$1, 0)), perc_75, VLOOKUP(D$2, Percentiles!$A$45:$I$59, 6, FALSE), perc_90, VLOOKUP(D$2, Percentiles!$A$45:$I$59, 7, FALSE), perc_95, VLOOKUP(D$2, Percentiles!$A$45:$I$59, 8, FALSE), perc_85, perc_75 + (perc_90 - perc_75) * (2/3), converted_stat, '2K_Ratings'!D905, IF(bbgm_stat &gt;= perc_95, converted_stat * 3, IF(bbgm_stat &gt;= perc_90, converted_stat * 2, IF(bbgm_stat &gt;= perc_85, converted_stat * 1.5, converted_stat)))))</f>
        <v/>
      </c>
      <c r="E905" s="30" t="str">
        <f t="array" ref="E905">IF($A905="", "", LET(bbgm_stat, INDEX(Players!$A904:$P904, MATCH(E$2, Players!$A$1:$P$1, 0)), perc_75, VLOOKUP(E$2, Percentiles!$A$45:$I$59, 6, FALSE), perc_90, VLOOKUP(E$2, Percentiles!$A$45:$I$59, 7, FALSE), perc_95, VLOOKUP(E$2, Percentiles!$A$45:$I$59, 8, FALSE), perc_85, perc_75 + (perc_90 - perc_75) * (2/3), converted_stat, '2K_Ratings'!E905, IF(bbgm_stat &gt;= perc_95, converted_stat * 3, IF(bbgm_stat &gt;= perc_90, converted_stat * 2, IF(bbgm_stat &gt;= perc_85, converted_stat * 1.5, converted_stat)))))</f>
        <v/>
      </c>
      <c r="F905" s="30" t="str">
        <f t="array" ref="F905">IF($A905="", "", LET(bbgm_stat, INDEX(Players!$A904:$P904, MATCH(F$2, Players!$A$1:$P$1, 0)), perc_75, VLOOKUP(F$2, Percentiles!$A$45:$I$59, 6, FALSE), perc_90, VLOOKUP(F$2, Percentiles!$A$45:$I$59, 7, FALSE), perc_95, VLOOKUP(F$2, Percentiles!$A$45:$I$59, 8, FALSE), perc_85, perc_75 + (perc_90 - perc_75) * (2/3), converted_stat, '2K_Ratings'!F905, IF(bbgm_stat &gt;= perc_95, converted_stat * 3, IF(bbgm_stat &gt;= perc_90, converted_stat * 2, IF(bbgm_stat &gt;= perc_85, converted_stat * 1.5, converted_stat)))))</f>
        <v/>
      </c>
      <c r="G905" s="30" t="str">
        <f t="array" ref="G905">IF($A905="", "", LET(bbgm_stat, INDEX(Players!$A904:$P904, MATCH(G$2, Players!$A$1:$P$1, 0)), perc_75, VLOOKUP(G$2, Percentiles!$A$45:$I$59, 6, FALSE), perc_90, VLOOKUP(G$2, Percentiles!$A$45:$I$59, 7, FALSE), perc_95, VLOOKUP(G$2, Percentiles!$A$45:$I$59, 8, FALSE), perc_85, perc_75 + (perc_90 - perc_75) * (2/3), converted_stat, '2K_Ratings'!G905, IF(bbgm_stat &gt;= perc_95, converted_stat * 3, IF(bbgm_stat &gt;= perc_90, converted_stat * 2, IF(bbgm_stat &gt;= perc_85, converted_stat * 1.5, converted_stat)))))</f>
        <v/>
      </c>
      <c r="H905" s="30" t="str">
        <f t="array" ref="H905">IF($A905="", "", LET(bbgm_stat, INDEX(Players!$A904:$P904, MATCH(H$2, Players!$A$1:$P$1, 0)), perc_75, VLOOKUP(H$2, Percentiles!$A$45:$I$59, 6, FALSE), perc_90, VLOOKUP(H$2, Percentiles!$A$45:$I$59, 7, FALSE), perc_95, VLOOKUP(H$2, Percentiles!$A$45:$I$59, 8, FALSE), perc_85, perc_75 + (perc_90 - perc_75) * (2/3), converted_stat, '2K_Ratings'!H905, IF(bbgm_stat &gt;= perc_95, converted_stat * 3, IF(bbgm_stat &gt;= perc_90, converted_stat * 2, IF(bbgm_stat &gt;= perc_85, converted_stat * 1.5, converted_stat)))))</f>
        <v/>
      </c>
      <c r="I905" s="30" t="str">
        <f t="array" ref="I905">IF($A905="", "", LET(bbgm_stat, INDEX(Players!$A904:$P904, MATCH(I$2, Players!$A$1:$P$1, 0)), perc_75, VLOOKUP(I$2, Percentiles!$A$45:$I$59, 6, FALSE), perc_90, VLOOKUP(I$2, Percentiles!$A$45:$I$59, 7, FALSE), perc_95, VLOOKUP(I$2, Percentiles!$A$45:$I$59, 8, FALSE), perc_85, perc_75 + (perc_90 - perc_75) * (2/3), converted_stat, '2K_Ratings'!I905, IF(bbgm_stat &gt;= perc_95, converted_stat * 3, IF(bbgm_stat &gt;= perc_90, converted_stat * 2, IF(bbgm_stat &gt;= perc_85, converted_stat * 1.5, converted_stat)))))</f>
        <v/>
      </c>
      <c r="J905" s="30" t="str">
        <f t="array" ref="J905">IF($A905="", "", LET(bbgm_stat, INDEX(Players!$A904:$P904, MATCH(J$2, Players!$A$1:$P$1, 0)), perc_75, VLOOKUP(J$2, Percentiles!$A$45:$I$59, 6, FALSE), perc_90, VLOOKUP(J$2, Percentiles!$A$45:$I$59, 7, FALSE), perc_95, VLOOKUP(J$2, Percentiles!$A$45:$I$59, 8, FALSE), perc_85, perc_75 + (perc_90 - perc_75) * (2/3), converted_stat, '2K_Ratings'!J905, IF(bbgm_stat &gt;= perc_95, converted_stat * 3, IF(bbgm_stat &gt;= perc_90, converted_stat * 2, IF(bbgm_stat &gt;= perc_85, converted_stat * 1.5, converted_stat)))))</f>
        <v/>
      </c>
      <c r="K905" s="30" t="str">
        <f t="array" ref="K905">IF($A905="", "", LET(bbgm_stat, INDEX(Players!$A904:$P904, MATCH(K$2, Players!$A$1:$P$1, 0)), perc_75, VLOOKUP(K$2, Percentiles!$A$45:$I$59, 6, FALSE), perc_90, VLOOKUP(K$2, Percentiles!$A$45:$I$59, 7, FALSE), perc_95, VLOOKUP(K$2, Percentiles!$A$45:$I$59, 8, FALSE), perc_85, perc_75 + (perc_90 - perc_75) * (2/3), converted_stat, '2K_Ratings'!K905, IF(bbgm_stat &gt;= perc_95, converted_stat * 3, IF(bbgm_stat &gt;= perc_90, converted_stat * 2, IF(bbgm_stat &gt;= perc_85, converted_stat * 1.5, converted_stat)))))</f>
        <v/>
      </c>
      <c r="L905" s="30" t="str">
        <f t="array" ref="L905">IF($A905="", "", LET(bbgm_stat, INDEX(Players!$A904:$P904, MATCH(L$2, Players!$A$1:$P$1, 0)), perc_75, VLOOKUP(L$2, Percentiles!$A$45:$I$59, 6, FALSE), perc_90, VLOOKUP(L$2, Percentiles!$A$45:$I$59, 7, FALSE), perc_95, VLOOKUP(L$2, Percentiles!$A$45:$I$59, 8, FALSE), perc_85, perc_75 + (perc_90 - perc_75) * (2/3), converted_stat, '2K_Ratings'!L905, IF(bbgm_stat &gt;= perc_95, converted_stat * 3, IF(bbgm_stat &gt;= perc_90, converted_stat * 2, IF(bbgm_stat &gt;= perc_85, converted_stat * 1.5, converted_stat)))))</f>
        <v/>
      </c>
      <c r="M905" s="30" t="str">
        <f t="array" ref="M905">IF($A905="", "", LET(bbgm_stat, INDEX(Players!$A904:$P904, MATCH(M$2, Players!$A$1:$P$1, 0)), perc_75, VLOOKUP(M$2, Percentiles!$A$45:$I$59, 6, FALSE), perc_90, VLOOKUP(M$2, Percentiles!$A$45:$I$59, 7, FALSE), perc_95, VLOOKUP(M$2, Percentiles!$A$45:$I$59, 8, FALSE), perc_85, perc_75 + (perc_90 - perc_75) * (2/3), converted_stat, '2K_Ratings'!M905, IF(bbgm_stat &gt;= perc_95, converted_stat * 3, IF(bbgm_stat &gt;= perc_90, converted_stat * 2, IF(bbgm_stat &gt;= perc_85, converted_stat * 1.5, converted_stat)))))</f>
        <v/>
      </c>
      <c r="N905" s="30" t="str">
        <f t="array" ref="N905">IF($A905="", "", LET(bbgm_stat, INDEX(Players!$A904:$P904, MATCH(N$2, Players!$A$1:$P$1, 0)), perc_75, VLOOKUP(N$2, Percentiles!$A$45:$I$59, 6, FALSE), perc_90, VLOOKUP(N$2, Percentiles!$A$45:$I$59, 7, FALSE), perc_95, VLOOKUP(N$2, Percentiles!$A$45:$I$59, 8, FALSE), perc_85, perc_75 + (perc_90 - perc_75) * (2/3), converted_stat, '2K_Ratings'!N905, IF(bbgm_stat &gt;= perc_95, converted_stat * 3, IF(bbgm_stat &gt;= perc_90, converted_stat * 2, IF(bbgm_stat &gt;= perc_85, converted_stat * 1.5, converted_stat)))))</f>
        <v/>
      </c>
      <c r="O905" s="30" t="str">
        <f t="array" ref="O905">IF($A905="", "", LET(bbgm_stat, INDEX(Players!$A904:$P904, MATCH(O$2, Players!$A$1:$P$1, 0)), perc_75, VLOOKUP(O$2, Percentiles!$A$45:$I$59, 6, FALSE), perc_90, VLOOKUP(O$2, Percentiles!$A$45:$I$59, 7, FALSE), perc_95, VLOOKUP(O$2, Percentiles!$A$45:$I$59, 8, FALSE), perc_85, perc_75 + (perc_90 - perc_75) * (2/3), converted_stat, '2K_Ratings'!O905, IF(bbgm_stat &gt;= perc_95, converted_stat * 3, IF(bbgm_stat &gt;= perc_90, converted_stat * 2, IF(bbgm_stat &gt;= perc_85, converted_stat * 1.5, converted_stat)))))</f>
        <v/>
      </c>
      <c r="P905" s="30" t="str">
        <f t="array" ref="P905">IF($A905="", "", LET(bbgm_stat, INDEX(Players!$A904:$P904, MATCH(P$2, Players!$A$1:$P$1, 0)), perc_75, VLOOKUP(P$2, Percentiles!$A$45:$I$59, 6, FALSE), perc_90, VLOOKUP(P$2, Percentiles!$A$45:$I$59, 7, FALSE), perc_95, VLOOKUP(P$2, Percentiles!$A$45:$I$59, 8, FALSE), perc_85, perc_75 + (perc_90 - perc_75) * (2/3), converted_stat, '2K_Ratings'!P905, IF(bbgm_stat &gt;= perc_95, converted_stat * 3, IF(bbgm_stat &gt;= perc_90, converted_stat * 2, IF(bbgm_stat &gt;= perc_85, converted_stat * 1.5, converted_stat)))))</f>
        <v/>
      </c>
      <c r="Q905" s="30" t="str">
        <f t="array" ref="Q905">IF($A905="", "", LET(bbgm_stat, INDEX(Players!$A904:$P904, MATCH(Q$2, Players!$A$1:$P$1, 0)), perc_75, VLOOKUP(Q$2, Percentiles!$A$45:$I$59, 6, FALSE), perc_90, VLOOKUP(Q$2, Percentiles!$A$45:$I$59, 7, FALSE), perc_95, VLOOKUP(Q$2, Percentiles!$A$45:$I$59, 8, FALSE), perc_85, perc_75 + (perc_90 - perc_75) * (2/3), converted_stat, '2K_Ratings'!Q905, IF(bbgm_stat &gt;= perc_95, converted_stat * 3, IF(bbgm_stat &gt;= perc_90, converted_stat * 2, IF(bbgm_stat &gt;= perc_85, converted_stat * 1.5, converted_stat)))))</f>
        <v/>
      </c>
      <c r="R905" s="30" t="str">
        <f t="array" ref="R905">IF($A905="", "", LET(bbgm_stat, INDEX(Players!$A904:$P904, MATCH(R$2, Players!$A$1:$P$1, 0)), perc_75, VLOOKUP(R$2, Percentiles!$A$45:$I$59, 6, FALSE), perc_90, VLOOKUP(R$2, Percentiles!$A$45:$I$59, 7, FALSE), perc_95, VLOOKUP(R$2, Percentiles!$A$45:$I$59, 8, FALSE), perc_85, perc_75 + (perc_90 - perc_75) * (2/3), converted_stat, '2K_Ratings'!R905, IF(bbgm_stat &gt;= perc_95, converted_stat * 3, IF(bbgm_stat &gt;= perc_90, converted_stat * 2, IF(bbgm_stat &gt;= perc_85, converted_stat * 1.5, converted_stat)))))</f>
        <v/>
      </c>
      <c r="S905" s="30" t="str">
        <f t="array" ref="S905">IF($A905="", "", LET(bbgm_stat, INDEX(Players!$A904:$P904, MATCH(S$2, Players!$A$1:$P$1, 0)), perc_75, VLOOKUP(S$2, Percentiles!$A$45:$I$59, 6, FALSE), perc_90, VLOOKUP(S$2, Percentiles!$A$45:$I$59, 7, FALSE), perc_95, VLOOKUP(S$2, Percentiles!$A$45:$I$59, 8, FALSE), perc_85, perc_75 + (perc_90 - perc_75) * (2/3), converted_stat, '2K_Ratings'!S905, IF(bbgm_stat &gt;= perc_95, converted_stat * 3, IF(bbgm_stat &gt;= perc_90, converted_stat * 2, IF(bbgm_stat &gt;= perc_85, converted_stat * 1.5, converted_stat)))))</f>
        <v/>
      </c>
      <c r="T905" s="30" t="str">
        <f t="array" ref="T905">IF($A905="", "", LET(bbgm_stat, INDEX(Players!$A904:$P904, MATCH(T$2, Players!$A$1:$P$1, 0)), perc_75, VLOOKUP(T$2, Percentiles!$A$45:$I$59, 6, FALSE), perc_90, VLOOKUP(T$2, Percentiles!$A$45:$I$59, 7, FALSE), perc_95, VLOOKUP(T$2, Percentiles!$A$45:$I$59, 8, FALSE), perc_85, perc_75 + (perc_90 - perc_75) * (2/3), converted_stat, '2K_Ratings'!T905, IF(bbgm_stat &gt;= perc_95, converted_stat * 3, IF(bbgm_stat &gt;= perc_90, converted_stat * 2, IF(bbgm_stat &gt;= perc_85, converted_stat * 1.5, converted_stat)))))</f>
        <v/>
      </c>
      <c r="U905" s="30" t="str">
        <f t="array" ref="U905">IF($A905="", "", LET(bbgm_stat, INDEX(Players!$A904:$P904, MATCH(U$2, Players!$A$1:$P$1, 0)), perc_75, VLOOKUP(U$2, Percentiles!$A$45:$I$59, 6, FALSE), perc_90, VLOOKUP(U$2, Percentiles!$A$45:$I$59, 7, FALSE), perc_95, VLOOKUP(U$2, Percentiles!$A$45:$I$59, 8, FALSE), perc_85, perc_75 + (perc_90 - perc_75) * (2/3), converted_stat, '2K_Ratings'!U905, IF(bbgm_stat &gt;= perc_95, converted_stat * 3, IF(bbgm_stat &gt;= perc_90, converted_stat * 2, IF(bbgm_stat &gt;= perc_85, converted_stat * 1.5, converted_stat)))))</f>
        <v/>
      </c>
      <c r="V905" s="30" t="str">
        <f t="array" ref="V905">IF($A905="", "", LET(bbgm_stat, INDEX(Players!$A904:$P904, MATCH(V$2, Players!$A$1:$P$1, 0)), perc_75, VLOOKUP(V$2, Percentiles!$A$45:$I$59, 6, FALSE), perc_90, VLOOKUP(V$2, Percentiles!$A$45:$I$59, 7, FALSE), perc_95, VLOOKUP(V$2, Percentiles!$A$45:$I$59, 8, FALSE), perc_85, perc_75 + (perc_90 - perc_75) * (2/3), converted_stat, '2K_Ratings'!V905, IF(bbgm_stat &gt;= perc_95, converted_stat * 3, IF(bbgm_stat &gt;= perc_90, converted_stat * 2, IF(bbgm_stat &gt;= perc_85, converted_stat * 1.5, converted_stat)))))</f>
        <v/>
      </c>
      <c r="W905" s="30" t="str">
        <f t="array" ref="W905">IF($A905="", "", LET(bbgm_stat, INDEX(Players!$A904:$P904, MATCH(W$2, Players!$A$1:$P$1, 0)), perc_75, VLOOKUP(W$2, Percentiles!$A$45:$I$59, 6, FALSE), perc_90, VLOOKUP(W$2, Percentiles!$A$45:$I$59, 7, FALSE), perc_95, VLOOKUP(W$2, Percentiles!$A$45:$I$59, 8, FALSE), perc_85, perc_75 + (perc_90 - perc_75) * (2/3), converted_stat, '2K_Ratings'!W905, IF(bbgm_stat &gt;= perc_95, converted_stat * 3, IF(bbgm_stat &gt;= perc_90, converted_stat * 2, IF(bbgm_stat &gt;= perc_85, converted_stat * 1.5, converted_stat)))))</f>
        <v/>
      </c>
    </row>
    <row r="906">
      <c r="A906" s="30"/>
      <c r="B906" s="30" t="str">
        <f t="array" ref="B906">IF($A906="", "", LET(bbgm_stat, INDEX(Players!$A905:$P905, MATCH(B$2, Players!$A$1:$P$1, 0)), perc_75, VLOOKUP(B$2, Percentiles!$A$45:$I$59, 6, FALSE), perc_90, VLOOKUP(B$2, Percentiles!$A$45:$I$59, 7, FALSE), perc_95, VLOOKUP(B$2, Percentiles!$A$45:$I$59, 8, FALSE), perc_85, perc_75 + (perc_90 - perc_75) * (2/3), converted_stat, '2K_Ratings'!B906, IF(bbgm_stat &gt;= perc_95, converted_stat * 3, IF(bbgm_stat &gt;= perc_90, converted_stat * 2, IF(bbgm_stat &gt;= perc_85, converted_stat * 1.5, converted_stat)))))</f>
        <v/>
      </c>
      <c r="C906" s="30" t="str">
        <f t="array" ref="C906">IF($A906="", "", LET(bbgm_stat, INDEX(Players!$A905:$P905, MATCH(C$2, Players!$A$1:$P$1, 0)), perc_75, VLOOKUP(C$2, Percentiles!$A$45:$I$59, 6, FALSE), perc_90, VLOOKUP(C$2, Percentiles!$A$45:$I$59, 7, FALSE), perc_95, VLOOKUP(C$2, Percentiles!$A$45:$I$59, 8, FALSE), perc_85, perc_75 + (perc_90 - perc_75) * (2/3), converted_stat, '2K_Ratings'!C906, IF(bbgm_stat &gt;= perc_95, converted_stat * 3, IF(bbgm_stat &gt;= perc_90, converted_stat * 2, IF(bbgm_stat &gt;= perc_85, converted_stat * 1.5, converted_stat)))))</f>
        <v/>
      </c>
      <c r="D906" s="30" t="str">
        <f t="array" ref="D906">IF($A906="", "", LET(bbgm_stat, INDEX(Players!$A905:$P905, MATCH(D$2, Players!$A$1:$P$1, 0)), perc_75, VLOOKUP(D$2, Percentiles!$A$45:$I$59, 6, FALSE), perc_90, VLOOKUP(D$2, Percentiles!$A$45:$I$59, 7, FALSE), perc_95, VLOOKUP(D$2, Percentiles!$A$45:$I$59, 8, FALSE), perc_85, perc_75 + (perc_90 - perc_75) * (2/3), converted_stat, '2K_Ratings'!D906, IF(bbgm_stat &gt;= perc_95, converted_stat * 3, IF(bbgm_stat &gt;= perc_90, converted_stat * 2, IF(bbgm_stat &gt;= perc_85, converted_stat * 1.5, converted_stat)))))</f>
        <v/>
      </c>
      <c r="E906" s="30" t="str">
        <f t="array" ref="E906">IF($A906="", "", LET(bbgm_stat, INDEX(Players!$A905:$P905, MATCH(E$2, Players!$A$1:$P$1, 0)), perc_75, VLOOKUP(E$2, Percentiles!$A$45:$I$59, 6, FALSE), perc_90, VLOOKUP(E$2, Percentiles!$A$45:$I$59, 7, FALSE), perc_95, VLOOKUP(E$2, Percentiles!$A$45:$I$59, 8, FALSE), perc_85, perc_75 + (perc_90 - perc_75) * (2/3), converted_stat, '2K_Ratings'!E906, IF(bbgm_stat &gt;= perc_95, converted_stat * 3, IF(bbgm_stat &gt;= perc_90, converted_stat * 2, IF(bbgm_stat &gt;= perc_85, converted_stat * 1.5, converted_stat)))))</f>
        <v/>
      </c>
      <c r="F906" s="30" t="str">
        <f t="array" ref="F906">IF($A906="", "", LET(bbgm_stat, INDEX(Players!$A905:$P905, MATCH(F$2, Players!$A$1:$P$1, 0)), perc_75, VLOOKUP(F$2, Percentiles!$A$45:$I$59, 6, FALSE), perc_90, VLOOKUP(F$2, Percentiles!$A$45:$I$59, 7, FALSE), perc_95, VLOOKUP(F$2, Percentiles!$A$45:$I$59, 8, FALSE), perc_85, perc_75 + (perc_90 - perc_75) * (2/3), converted_stat, '2K_Ratings'!F906, IF(bbgm_stat &gt;= perc_95, converted_stat * 3, IF(bbgm_stat &gt;= perc_90, converted_stat * 2, IF(bbgm_stat &gt;= perc_85, converted_stat * 1.5, converted_stat)))))</f>
        <v/>
      </c>
      <c r="G906" s="30" t="str">
        <f t="array" ref="G906">IF($A906="", "", LET(bbgm_stat, INDEX(Players!$A905:$P905, MATCH(G$2, Players!$A$1:$P$1, 0)), perc_75, VLOOKUP(G$2, Percentiles!$A$45:$I$59, 6, FALSE), perc_90, VLOOKUP(G$2, Percentiles!$A$45:$I$59, 7, FALSE), perc_95, VLOOKUP(G$2, Percentiles!$A$45:$I$59, 8, FALSE), perc_85, perc_75 + (perc_90 - perc_75) * (2/3), converted_stat, '2K_Ratings'!G906, IF(bbgm_stat &gt;= perc_95, converted_stat * 3, IF(bbgm_stat &gt;= perc_90, converted_stat * 2, IF(bbgm_stat &gt;= perc_85, converted_stat * 1.5, converted_stat)))))</f>
        <v/>
      </c>
      <c r="H906" s="30" t="str">
        <f t="array" ref="H906">IF($A906="", "", LET(bbgm_stat, INDEX(Players!$A905:$P905, MATCH(H$2, Players!$A$1:$P$1, 0)), perc_75, VLOOKUP(H$2, Percentiles!$A$45:$I$59, 6, FALSE), perc_90, VLOOKUP(H$2, Percentiles!$A$45:$I$59, 7, FALSE), perc_95, VLOOKUP(H$2, Percentiles!$A$45:$I$59, 8, FALSE), perc_85, perc_75 + (perc_90 - perc_75) * (2/3), converted_stat, '2K_Ratings'!H906, IF(bbgm_stat &gt;= perc_95, converted_stat * 3, IF(bbgm_stat &gt;= perc_90, converted_stat * 2, IF(bbgm_stat &gt;= perc_85, converted_stat * 1.5, converted_stat)))))</f>
        <v/>
      </c>
      <c r="I906" s="30" t="str">
        <f t="array" ref="I906">IF($A906="", "", LET(bbgm_stat, INDEX(Players!$A905:$P905, MATCH(I$2, Players!$A$1:$P$1, 0)), perc_75, VLOOKUP(I$2, Percentiles!$A$45:$I$59, 6, FALSE), perc_90, VLOOKUP(I$2, Percentiles!$A$45:$I$59, 7, FALSE), perc_95, VLOOKUP(I$2, Percentiles!$A$45:$I$59, 8, FALSE), perc_85, perc_75 + (perc_90 - perc_75) * (2/3), converted_stat, '2K_Ratings'!I906, IF(bbgm_stat &gt;= perc_95, converted_stat * 3, IF(bbgm_stat &gt;= perc_90, converted_stat * 2, IF(bbgm_stat &gt;= perc_85, converted_stat * 1.5, converted_stat)))))</f>
        <v/>
      </c>
      <c r="J906" s="30" t="str">
        <f t="array" ref="J906">IF($A906="", "", LET(bbgm_stat, INDEX(Players!$A905:$P905, MATCH(J$2, Players!$A$1:$P$1, 0)), perc_75, VLOOKUP(J$2, Percentiles!$A$45:$I$59, 6, FALSE), perc_90, VLOOKUP(J$2, Percentiles!$A$45:$I$59, 7, FALSE), perc_95, VLOOKUP(J$2, Percentiles!$A$45:$I$59, 8, FALSE), perc_85, perc_75 + (perc_90 - perc_75) * (2/3), converted_stat, '2K_Ratings'!J906, IF(bbgm_stat &gt;= perc_95, converted_stat * 3, IF(bbgm_stat &gt;= perc_90, converted_stat * 2, IF(bbgm_stat &gt;= perc_85, converted_stat * 1.5, converted_stat)))))</f>
        <v/>
      </c>
      <c r="K906" s="30" t="str">
        <f t="array" ref="K906">IF($A906="", "", LET(bbgm_stat, INDEX(Players!$A905:$P905, MATCH(K$2, Players!$A$1:$P$1, 0)), perc_75, VLOOKUP(K$2, Percentiles!$A$45:$I$59, 6, FALSE), perc_90, VLOOKUP(K$2, Percentiles!$A$45:$I$59, 7, FALSE), perc_95, VLOOKUP(K$2, Percentiles!$A$45:$I$59, 8, FALSE), perc_85, perc_75 + (perc_90 - perc_75) * (2/3), converted_stat, '2K_Ratings'!K906, IF(bbgm_stat &gt;= perc_95, converted_stat * 3, IF(bbgm_stat &gt;= perc_90, converted_stat * 2, IF(bbgm_stat &gt;= perc_85, converted_stat * 1.5, converted_stat)))))</f>
        <v/>
      </c>
      <c r="L906" s="30" t="str">
        <f t="array" ref="L906">IF($A906="", "", LET(bbgm_stat, INDEX(Players!$A905:$P905, MATCH(L$2, Players!$A$1:$P$1, 0)), perc_75, VLOOKUP(L$2, Percentiles!$A$45:$I$59, 6, FALSE), perc_90, VLOOKUP(L$2, Percentiles!$A$45:$I$59, 7, FALSE), perc_95, VLOOKUP(L$2, Percentiles!$A$45:$I$59, 8, FALSE), perc_85, perc_75 + (perc_90 - perc_75) * (2/3), converted_stat, '2K_Ratings'!L906, IF(bbgm_stat &gt;= perc_95, converted_stat * 3, IF(bbgm_stat &gt;= perc_90, converted_stat * 2, IF(bbgm_stat &gt;= perc_85, converted_stat * 1.5, converted_stat)))))</f>
        <v/>
      </c>
      <c r="M906" s="30" t="str">
        <f t="array" ref="M906">IF($A906="", "", LET(bbgm_stat, INDEX(Players!$A905:$P905, MATCH(M$2, Players!$A$1:$P$1, 0)), perc_75, VLOOKUP(M$2, Percentiles!$A$45:$I$59, 6, FALSE), perc_90, VLOOKUP(M$2, Percentiles!$A$45:$I$59, 7, FALSE), perc_95, VLOOKUP(M$2, Percentiles!$A$45:$I$59, 8, FALSE), perc_85, perc_75 + (perc_90 - perc_75) * (2/3), converted_stat, '2K_Ratings'!M906, IF(bbgm_stat &gt;= perc_95, converted_stat * 3, IF(bbgm_stat &gt;= perc_90, converted_stat * 2, IF(bbgm_stat &gt;= perc_85, converted_stat * 1.5, converted_stat)))))</f>
        <v/>
      </c>
      <c r="N906" s="30" t="str">
        <f t="array" ref="N906">IF($A906="", "", LET(bbgm_stat, INDEX(Players!$A905:$P905, MATCH(N$2, Players!$A$1:$P$1, 0)), perc_75, VLOOKUP(N$2, Percentiles!$A$45:$I$59, 6, FALSE), perc_90, VLOOKUP(N$2, Percentiles!$A$45:$I$59, 7, FALSE), perc_95, VLOOKUP(N$2, Percentiles!$A$45:$I$59, 8, FALSE), perc_85, perc_75 + (perc_90 - perc_75) * (2/3), converted_stat, '2K_Ratings'!N906, IF(bbgm_stat &gt;= perc_95, converted_stat * 3, IF(bbgm_stat &gt;= perc_90, converted_stat * 2, IF(bbgm_stat &gt;= perc_85, converted_stat * 1.5, converted_stat)))))</f>
        <v/>
      </c>
      <c r="O906" s="30" t="str">
        <f t="array" ref="O906">IF($A906="", "", LET(bbgm_stat, INDEX(Players!$A905:$P905, MATCH(O$2, Players!$A$1:$P$1, 0)), perc_75, VLOOKUP(O$2, Percentiles!$A$45:$I$59, 6, FALSE), perc_90, VLOOKUP(O$2, Percentiles!$A$45:$I$59, 7, FALSE), perc_95, VLOOKUP(O$2, Percentiles!$A$45:$I$59, 8, FALSE), perc_85, perc_75 + (perc_90 - perc_75) * (2/3), converted_stat, '2K_Ratings'!O906, IF(bbgm_stat &gt;= perc_95, converted_stat * 3, IF(bbgm_stat &gt;= perc_90, converted_stat * 2, IF(bbgm_stat &gt;= perc_85, converted_stat * 1.5, converted_stat)))))</f>
        <v/>
      </c>
      <c r="P906" s="30" t="str">
        <f t="array" ref="P906">IF($A906="", "", LET(bbgm_stat, INDEX(Players!$A905:$P905, MATCH(P$2, Players!$A$1:$P$1, 0)), perc_75, VLOOKUP(P$2, Percentiles!$A$45:$I$59, 6, FALSE), perc_90, VLOOKUP(P$2, Percentiles!$A$45:$I$59, 7, FALSE), perc_95, VLOOKUP(P$2, Percentiles!$A$45:$I$59, 8, FALSE), perc_85, perc_75 + (perc_90 - perc_75) * (2/3), converted_stat, '2K_Ratings'!P906, IF(bbgm_stat &gt;= perc_95, converted_stat * 3, IF(bbgm_stat &gt;= perc_90, converted_stat * 2, IF(bbgm_stat &gt;= perc_85, converted_stat * 1.5, converted_stat)))))</f>
        <v/>
      </c>
      <c r="Q906" s="30" t="str">
        <f t="array" ref="Q906">IF($A906="", "", LET(bbgm_stat, INDEX(Players!$A905:$P905, MATCH(Q$2, Players!$A$1:$P$1, 0)), perc_75, VLOOKUP(Q$2, Percentiles!$A$45:$I$59, 6, FALSE), perc_90, VLOOKUP(Q$2, Percentiles!$A$45:$I$59, 7, FALSE), perc_95, VLOOKUP(Q$2, Percentiles!$A$45:$I$59, 8, FALSE), perc_85, perc_75 + (perc_90 - perc_75) * (2/3), converted_stat, '2K_Ratings'!Q906, IF(bbgm_stat &gt;= perc_95, converted_stat * 3, IF(bbgm_stat &gt;= perc_90, converted_stat * 2, IF(bbgm_stat &gt;= perc_85, converted_stat * 1.5, converted_stat)))))</f>
        <v/>
      </c>
      <c r="R906" s="30" t="str">
        <f t="array" ref="R906">IF($A906="", "", LET(bbgm_stat, INDEX(Players!$A905:$P905, MATCH(R$2, Players!$A$1:$P$1, 0)), perc_75, VLOOKUP(R$2, Percentiles!$A$45:$I$59, 6, FALSE), perc_90, VLOOKUP(R$2, Percentiles!$A$45:$I$59, 7, FALSE), perc_95, VLOOKUP(R$2, Percentiles!$A$45:$I$59, 8, FALSE), perc_85, perc_75 + (perc_90 - perc_75) * (2/3), converted_stat, '2K_Ratings'!R906, IF(bbgm_stat &gt;= perc_95, converted_stat * 3, IF(bbgm_stat &gt;= perc_90, converted_stat * 2, IF(bbgm_stat &gt;= perc_85, converted_stat * 1.5, converted_stat)))))</f>
        <v/>
      </c>
      <c r="S906" s="30" t="str">
        <f t="array" ref="S906">IF($A906="", "", LET(bbgm_stat, INDEX(Players!$A905:$P905, MATCH(S$2, Players!$A$1:$P$1, 0)), perc_75, VLOOKUP(S$2, Percentiles!$A$45:$I$59, 6, FALSE), perc_90, VLOOKUP(S$2, Percentiles!$A$45:$I$59, 7, FALSE), perc_95, VLOOKUP(S$2, Percentiles!$A$45:$I$59, 8, FALSE), perc_85, perc_75 + (perc_90 - perc_75) * (2/3), converted_stat, '2K_Ratings'!S906, IF(bbgm_stat &gt;= perc_95, converted_stat * 3, IF(bbgm_stat &gt;= perc_90, converted_stat * 2, IF(bbgm_stat &gt;= perc_85, converted_stat * 1.5, converted_stat)))))</f>
        <v/>
      </c>
      <c r="T906" s="30" t="str">
        <f t="array" ref="T906">IF($A906="", "", LET(bbgm_stat, INDEX(Players!$A905:$P905, MATCH(T$2, Players!$A$1:$P$1, 0)), perc_75, VLOOKUP(T$2, Percentiles!$A$45:$I$59, 6, FALSE), perc_90, VLOOKUP(T$2, Percentiles!$A$45:$I$59, 7, FALSE), perc_95, VLOOKUP(T$2, Percentiles!$A$45:$I$59, 8, FALSE), perc_85, perc_75 + (perc_90 - perc_75) * (2/3), converted_stat, '2K_Ratings'!T906, IF(bbgm_stat &gt;= perc_95, converted_stat * 3, IF(bbgm_stat &gt;= perc_90, converted_stat * 2, IF(bbgm_stat &gt;= perc_85, converted_stat * 1.5, converted_stat)))))</f>
        <v/>
      </c>
      <c r="U906" s="30" t="str">
        <f t="array" ref="U906">IF($A906="", "", LET(bbgm_stat, INDEX(Players!$A905:$P905, MATCH(U$2, Players!$A$1:$P$1, 0)), perc_75, VLOOKUP(U$2, Percentiles!$A$45:$I$59, 6, FALSE), perc_90, VLOOKUP(U$2, Percentiles!$A$45:$I$59, 7, FALSE), perc_95, VLOOKUP(U$2, Percentiles!$A$45:$I$59, 8, FALSE), perc_85, perc_75 + (perc_90 - perc_75) * (2/3), converted_stat, '2K_Ratings'!U906, IF(bbgm_stat &gt;= perc_95, converted_stat * 3, IF(bbgm_stat &gt;= perc_90, converted_stat * 2, IF(bbgm_stat &gt;= perc_85, converted_stat * 1.5, converted_stat)))))</f>
        <v/>
      </c>
      <c r="V906" s="30" t="str">
        <f t="array" ref="V906">IF($A906="", "", LET(bbgm_stat, INDEX(Players!$A905:$P905, MATCH(V$2, Players!$A$1:$P$1, 0)), perc_75, VLOOKUP(V$2, Percentiles!$A$45:$I$59, 6, FALSE), perc_90, VLOOKUP(V$2, Percentiles!$A$45:$I$59, 7, FALSE), perc_95, VLOOKUP(V$2, Percentiles!$A$45:$I$59, 8, FALSE), perc_85, perc_75 + (perc_90 - perc_75) * (2/3), converted_stat, '2K_Ratings'!V906, IF(bbgm_stat &gt;= perc_95, converted_stat * 3, IF(bbgm_stat &gt;= perc_90, converted_stat * 2, IF(bbgm_stat &gt;= perc_85, converted_stat * 1.5, converted_stat)))))</f>
        <v/>
      </c>
      <c r="W906" s="30" t="str">
        <f t="array" ref="W906">IF($A906="", "", LET(bbgm_stat, INDEX(Players!$A905:$P905, MATCH(W$2, Players!$A$1:$P$1, 0)), perc_75, VLOOKUP(W$2, Percentiles!$A$45:$I$59, 6, FALSE), perc_90, VLOOKUP(W$2, Percentiles!$A$45:$I$59, 7, FALSE), perc_95, VLOOKUP(W$2, Percentiles!$A$45:$I$59, 8, FALSE), perc_85, perc_75 + (perc_90 - perc_75) * (2/3), converted_stat, '2K_Ratings'!W906, IF(bbgm_stat &gt;= perc_95, converted_stat * 3, IF(bbgm_stat &gt;= perc_90, converted_stat * 2, IF(bbgm_stat &gt;= perc_85, converted_stat * 1.5, converted_stat)))))</f>
        <v/>
      </c>
    </row>
    <row r="907">
      <c r="A907" s="30"/>
      <c r="B907" s="30" t="str">
        <f t="array" ref="B907">IF($A907="", "", LET(bbgm_stat, INDEX(Players!$A906:$P906, MATCH(B$2, Players!$A$1:$P$1, 0)), perc_75, VLOOKUP(B$2, Percentiles!$A$45:$I$59, 6, FALSE), perc_90, VLOOKUP(B$2, Percentiles!$A$45:$I$59, 7, FALSE), perc_95, VLOOKUP(B$2, Percentiles!$A$45:$I$59, 8, FALSE), perc_85, perc_75 + (perc_90 - perc_75) * (2/3), converted_stat, '2K_Ratings'!B907, IF(bbgm_stat &gt;= perc_95, converted_stat * 3, IF(bbgm_stat &gt;= perc_90, converted_stat * 2, IF(bbgm_stat &gt;= perc_85, converted_stat * 1.5, converted_stat)))))</f>
        <v/>
      </c>
      <c r="C907" s="30" t="str">
        <f t="array" ref="C907">IF($A907="", "", LET(bbgm_stat, INDEX(Players!$A906:$P906, MATCH(C$2, Players!$A$1:$P$1, 0)), perc_75, VLOOKUP(C$2, Percentiles!$A$45:$I$59, 6, FALSE), perc_90, VLOOKUP(C$2, Percentiles!$A$45:$I$59, 7, FALSE), perc_95, VLOOKUP(C$2, Percentiles!$A$45:$I$59, 8, FALSE), perc_85, perc_75 + (perc_90 - perc_75) * (2/3), converted_stat, '2K_Ratings'!C907, IF(bbgm_stat &gt;= perc_95, converted_stat * 3, IF(bbgm_stat &gt;= perc_90, converted_stat * 2, IF(bbgm_stat &gt;= perc_85, converted_stat * 1.5, converted_stat)))))</f>
        <v/>
      </c>
      <c r="D907" s="30" t="str">
        <f t="array" ref="D907">IF($A907="", "", LET(bbgm_stat, INDEX(Players!$A906:$P906, MATCH(D$2, Players!$A$1:$P$1, 0)), perc_75, VLOOKUP(D$2, Percentiles!$A$45:$I$59, 6, FALSE), perc_90, VLOOKUP(D$2, Percentiles!$A$45:$I$59, 7, FALSE), perc_95, VLOOKUP(D$2, Percentiles!$A$45:$I$59, 8, FALSE), perc_85, perc_75 + (perc_90 - perc_75) * (2/3), converted_stat, '2K_Ratings'!D907, IF(bbgm_stat &gt;= perc_95, converted_stat * 3, IF(bbgm_stat &gt;= perc_90, converted_stat * 2, IF(bbgm_stat &gt;= perc_85, converted_stat * 1.5, converted_stat)))))</f>
        <v/>
      </c>
      <c r="E907" s="30" t="str">
        <f t="array" ref="E907">IF($A907="", "", LET(bbgm_stat, INDEX(Players!$A906:$P906, MATCH(E$2, Players!$A$1:$P$1, 0)), perc_75, VLOOKUP(E$2, Percentiles!$A$45:$I$59, 6, FALSE), perc_90, VLOOKUP(E$2, Percentiles!$A$45:$I$59, 7, FALSE), perc_95, VLOOKUP(E$2, Percentiles!$A$45:$I$59, 8, FALSE), perc_85, perc_75 + (perc_90 - perc_75) * (2/3), converted_stat, '2K_Ratings'!E907, IF(bbgm_stat &gt;= perc_95, converted_stat * 3, IF(bbgm_stat &gt;= perc_90, converted_stat * 2, IF(bbgm_stat &gt;= perc_85, converted_stat * 1.5, converted_stat)))))</f>
        <v/>
      </c>
      <c r="F907" s="30" t="str">
        <f t="array" ref="F907">IF($A907="", "", LET(bbgm_stat, INDEX(Players!$A906:$P906, MATCH(F$2, Players!$A$1:$P$1, 0)), perc_75, VLOOKUP(F$2, Percentiles!$A$45:$I$59, 6, FALSE), perc_90, VLOOKUP(F$2, Percentiles!$A$45:$I$59, 7, FALSE), perc_95, VLOOKUP(F$2, Percentiles!$A$45:$I$59, 8, FALSE), perc_85, perc_75 + (perc_90 - perc_75) * (2/3), converted_stat, '2K_Ratings'!F907, IF(bbgm_stat &gt;= perc_95, converted_stat * 3, IF(bbgm_stat &gt;= perc_90, converted_stat * 2, IF(bbgm_stat &gt;= perc_85, converted_stat * 1.5, converted_stat)))))</f>
        <v/>
      </c>
      <c r="G907" s="30" t="str">
        <f t="array" ref="G907">IF($A907="", "", LET(bbgm_stat, INDEX(Players!$A906:$P906, MATCH(G$2, Players!$A$1:$P$1, 0)), perc_75, VLOOKUP(G$2, Percentiles!$A$45:$I$59, 6, FALSE), perc_90, VLOOKUP(G$2, Percentiles!$A$45:$I$59, 7, FALSE), perc_95, VLOOKUP(G$2, Percentiles!$A$45:$I$59, 8, FALSE), perc_85, perc_75 + (perc_90 - perc_75) * (2/3), converted_stat, '2K_Ratings'!G907, IF(bbgm_stat &gt;= perc_95, converted_stat * 3, IF(bbgm_stat &gt;= perc_90, converted_stat * 2, IF(bbgm_stat &gt;= perc_85, converted_stat * 1.5, converted_stat)))))</f>
        <v/>
      </c>
      <c r="H907" s="30" t="str">
        <f t="array" ref="H907">IF($A907="", "", LET(bbgm_stat, INDEX(Players!$A906:$P906, MATCH(H$2, Players!$A$1:$P$1, 0)), perc_75, VLOOKUP(H$2, Percentiles!$A$45:$I$59, 6, FALSE), perc_90, VLOOKUP(H$2, Percentiles!$A$45:$I$59, 7, FALSE), perc_95, VLOOKUP(H$2, Percentiles!$A$45:$I$59, 8, FALSE), perc_85, perc_75 + (perc_90 - perc_75) * (2/3), converted_stat, '2K_Ratings'!H907, IF(bbgm_stat &gt;= perc_95, converted_stat * 3, IF(bbgm_stat &gt;= perc_90, converted_stat * 2, IF(bbgm_stat &gt;= perc_85, converted_stat * 1.5, converted_stat)))))</f>
        <v/>
      </c>
      <c r="I907" s="30" t="str">
        <f t="array" ref="I907">IF($A907="", "", LET(bbgm_stat, INDEX(Players!$A906:$P906, MATCH(I$2, Players!$A$1:$P$1, 0)), perc_75, VLOOKUP(I$2, Percentiles!$A$45:$I$59, 6, FALSE), perc_90, VLOOKUP(I$2, Percentiles!$A$45:$I$59, 7, FALSE), perc_95, VLOOKUP(I$2, Percentiles!$A$45:$I$59, 8, FALSE), perc_85, perc_75 + (perc_90 - perc_75) * (2/3), converted_stat, '2K_Ratings'!I907, IF(bbgm_stat &gt;= perc_95, converted_stat * 3, IF(bbgm_stat &gt;= perc_90, converted_stat * 2, IF(bbgm_stat &gt;= perc_85, converted_stat * 1.5, converted_stat)))))</f>
        <v/>
      </c>
      <c r="J907" s="30" t="str">
        <f t="array" ref="J907">IF($A907="", "", LET(bbgm_stat, INDEX(Players!$A906:$P906, MATCH(J$2, Players!$A$1:$P$1, 0)), perc_75, VLOOKUP(J$2, Percentiles!$A$45:$I$59, 6, FALSE), perc_90, VLOOKUP(J$2, Percentiles!$A$45:$I$59, 7, FALSE), perc_95, VLOOKUP(J$2, Percentiles!$A$45:$I$59, 8, FALSE), perc_85, perc_75 + (perc_90 - perc_75) * (2/3), converted_stat, '2K_Ratings'!J907, IF(bbgm_stat &gt;= perc_95, converted_stat * 3, IF(bbgm_stat &gt;= perc_90, converted_stat * 2, IF(bbgm_stat &gt;= perc_85, converted_stat * 1.5, converted_stat)))))</f>
        <v/>
      </c>
      <c r="K907" s="30" t="str">
        <f t="array" ref="K907">IF($A907="", "", LET(bbgm_stat, INDEX(Players!$A906:$P906, MATCH(K$2, Players!$A$1:$P$1, 0)), perc_75, VLOOKUP(K$2, Percentiles!$A$45:$I$59, 6, FALSE), perc_90, VLOOKUP(K$2, Percentiles!$A$45:$I$59, 7, FALSE), perc_95, VLOOKUP(K$2, Percentiles!$A$45:$I$59, 8, FALSE), perc_85, perc_75 + (perc_90 - perc_75) * (2/3), converted_stat, '2K_Ratings'!K907, IF(bbgm_stat &gt;= perc_95, converted_stat * 3, IF(bbgm_stat &gt;= perc_90, converted_stat * 2, IF(bbgm_stat &gt;= perc_85, converted_stat * 1.5, converted_stat)))))</f>
        <v/>
      </c>
      <c r="L907" s="30" t="str">
        <f t="array" ref="L907">IF($A907="", "", LET(bbgm_stat, INDEX(Players!$A906:$P906, MATCH(L$2, Players!$A$1:$P$1, 0)), perc_75, VLOOKUP(L$2, Percentiles!$A$45:$I$59, 6, FALSE), perc_90, VLOOKUP(L$2, Percentiles!$A$45:$I$59, 7, FALSE), perc_95, VLOOKUP(L$2, Percentiles!$A$45:$I$59, 8, FALSE), perc_85, perc_75 + (perc_90 - perc_75) * (2/3), converted_stat, '2K_Ratings'!L907, IF(bbgm_stat &gt;= perc_95, converted_stat * 3, IF(bbgm_stat &gt;= perc_90, converted_stat * 2, IF(bbgm_stat &gt;= perc_85, converted_stat * 1.5, converted_stat)))))</f>
        <v/>
      </c>
      <c r="M907" s="30" t="str">
        <f t="array" ref="M907">IF($A907="", "", LET(bbgm_stat, INDEX(Players!$A906:$P906, MATCH(M$2, Players!$A$1:$P$1, 0)), perc_75, VLOOKUP(M$2, Percentiles!$A$45:$I$59, 6, FALSE), perc_90, VLOOKUP(M$2, Percentiles!$A$45:$I$59, 7, FALSE), perc_95, VLOOKUP(M$2, Percentiles!$A$45:$I$59, 8, FALSE), perc_85, perc_75 + (perc_90 - perc_75) * (2/3), converted_stat, '2K_Ratings'!M907, IF(bbgm_stat &gt;= perc_95, converted_stat * 3, IF(bbgm_stat &gt;= perc_90, converted_stat * 2, IF(bbgm_stat &gt;= perc_85, converted_stat * 1.5, converted_stat)))))</f>
        <v/>
      </c>
      <c r="N907" s="30" t="str">
        <f t="array" ref="N907">IF($A907="", "", LET(bbgm_stat, INDEX(Players!$A906:$P906, MATCH(N$2, Players!$A$1:$P$1, 0)), perc_75, VLOOKUP(N$2, Percentiles!$A$45:$I$59, 6, FALSE), perc_90, VLOOKUP(N$2, Percentiles!$A$45:$I$59, 7, FALSE), perc_95, VLOOKUP(N$2, Percentiles!$A$45:$I$59, 8, FALSE), perc_85, perc_75 + (perc_90 - perc_75) * (2/3), converted_stat, '2K_Ratings'!N907, IF(bbgm_stat &gt;= perc_95, converted_stat * 3, IF(bbgm_stat &gt;= perc_90, converted_stat * 2, IF(bbgm_stat &gt;= perc_85, converted_stat * 1.5, converted_stat)))))</f>
        <v/>
      </c>
      <c r="O907" s="30" t="str">
        <f t="array" ref="O907">IF($A907="", "", LET(bbgm_stat, INDEX(Players!$A906:$P906, MATCH(O$2, Players!$A$1:$P$1, 0)), perc_75, VLOOKUP(O$2, Percentiles!$A$45:$I$59, 6, FALSE), perc_90, VLOOKUP(O$2, Percentiles!$A$45:$I$59, 7, FALSE), perc_95, VLOOKUP(O$2, Percentiles!$A$45:$I$59, 8, FALSE), perc_85, perc_75 + (perc_90 - perc_75) * (2/3), converted_stat, '2K_Ratings'!O907, IF(bbgm_stat &gt;= perc_95, converted_stat * 3, IF(bbgm_stat &gt;= perc_90, converted_stat * 2, IF(bbgm_stat &gt;= perc_85, converted_stat * 1.5, converted_stat)))))</f>
        <v/>
      </c>
      <c r="P907" s="30" t="str">
        <f t="array" ref="P907">IF($A907="", "", LET(bbgm_stat, INDEX(Players!$A906:$P906, MATCH(P$2, Players!$A$1:$P$1, 0)), perc_75, VLOOKUP(P$2, Percentiles!$A$45:$I$59, 6, FALSE), perc_90, VLOOKUP(P$2, Percentiles!$A$45:$I$59, 7, FALSE), perc_95, VLOOKUP(P$2, Percentiles!$A$45:$I$59, 8, FALSE), perc_85, perc_75 + (perc_90 - perc_75) * (2/3), converted_stat, '2K_Ratings'!P907, IF(bbgm_stat &gt;= perc_95, converted_stat * 3, IF(bbgm_stat &gt;= perc_90, converted_stat * 2, IF(bbgm_stat &gt;= perc_85, converted_stat * 1.5, converted_stat)))))</f>
        <v/>
      </c>
      <c r="Q907" s="30" t="str">
        <f t="array" ref="Q907">IF($A907="", "", LET(bbgm_stat, INDEX(Players!$A906:$P906, MATCH(Q$2, Players!$A$1:$P$1, 0)), perc_75, VLOOKUP(Q$2, Percentiles!$A$45:$I$59, 6, FALSE), perc_90, VLOOKUP(Q$2, Percentiles!$A$45:$I$59, 7, FALSE), perc_95, VLOOKUP(Q$2, Percentiles!$A$45:$I$59, 8, FALSE), perc_85, perc_75 + (perc_90 - perc_75) * (2/3), converted_stat, '2K_Ratings'!Q907, IF(bbgm_stat &gt;= perc_95, converted_stat * 3, IF(bbgm_stat &gt;= perc_90, converted_stat * 2, IF(bbgm_stat &gt;= perc_85, converted_stat * 1.5, converted_stat)))))</f>
        <v/>
      </c>
      <c r="R907" s="30" t="str">
        <f t="array" ref="R907">IF($A907="", "", LET(bbgm_stat, INDEX(Players!$A906:$P906, MATCH(R$2, Players!$A$1:$P$1, 0)), perc_75, VLOOKUP(R$2, Percentiles!$A$45:$I$59, 6, FALSE), perc_90, VLOOKUP(R$2, Percentiles!$A$45:$I$59, 7, FALSE), perc_95, VLOOKUP(R$2, Percentiles!$A$45:$I$59, 8, FALSE), perc_85, perc_75 + (perc_90 - perc_75) * (2/3), converted_stat, '2K_Ratings'!R907, IF(bbgm_stat &gt;= perc_95, converted_stat * 3, IF(bbgm_stat &gt;= perc_90, converted_stat * 2, IF(bbgm_stat &gt;= perc_85, converted_stat * 1.5, converted_stat)))))</f>
        <v/>
      </c>
      <c r="S907" s="30" t="str">
        <f t="array" ref="S907">IF($A907="", "", LET(bbgm_stat, INDEX(Players!$A906:$P906, MATCH(S$2, Players!$A$1:$P$1, 0)), perc_75, VLOOKUP(S$2, Percentiles!$A$45:$I$59, 6, FALSE), perc_90, VLOOKUP(S$2, Percentiles!$A$45:$I$59, 7, FALSE), perc_95, VLOOKUP(S$2, Percentiles!$A$45:$I$59, 8, FALSE), perc_85, perc_75 + (perc_90 - perc_75) * (2/3), converted_stat, '2K_Ratings'!S907, IF(bbgm_stat &gt;= perc_95, converted_stat * 3, IF(bbgm_stat &gt;= perc_90, converted_stat * 2, IF(bbgm_stat &gt;= perc_85, converted_stat * 1.5, converted_stat)))))</f>
        <v/>
      </c>
      <c r="T907" s="30" t="str">
        <f t="array" ref="T907">IF($A907="", "", LET(bbgm_stat, INDEX(Players!$A906:$P906, MATCH(T$2, Players!$A$1:$P$1, 0)), perc_75, VLOOKUP(T$2, Percentiles!$A$45:$I$59, 6, FALSE), perc_90, VLOOKUP(T$2, Percentiles!$A$45:$I$59, 7, FALSE), perc_95, VLOOKUP(T$2, Percentiles!$A$45:$I$59, 8, FALSE), perc_85, perc_75 + (perc_90 - perc_75) * (2/3), converted_stat, '2K_Ratings'!T907, IF(bbgm_stat &gt;= perc_95, converted_stat * 3, IF(bbgm_stat &gt;= perc_90, converted_stat * 2, IF(bbgm_stat &gt;= perc_85, converted_stat * 1.5, converted_stat)))))</f>
        <v/>
      </c>
      <c r="U907" s="30" t="str">
        <f t="array" ref="U907">IF($A907="", "", LET(bbgm_stat, INDEX(Players!$A906:$P906, MATCH(U$2, Players!$A$1:$P$1, 0)), perc_75, VLOOKUP(U$2, Percentiles!$A$45:$I$59, 6, FALSE), perc_90, VLOOKUP(U$2, Percentiles!$A$45:$I$59, 7, FALSE), perc_95, VLOOKUP(U$2, Percentiles!$A$45:$I$59, 8, FALSE), perc_85, perc_75 + (perc_90 - perc_75) * (2/3), converted_stat, '2K_Ratings'!U907, IF(bbgm_stat &gt;= perc_95, converted_stat * 3, IF(bbgm_stat &gt;= perc_90, converted_stat * 2, IF(bbgm_stat &gt;= perc_85, converted_stat * 1.5, converted_stat)))))</f>
        <v/>
      </c>
      <c r="V907" s="30" t="str">
        <f t="array" ref="V907">IF($A907="", "", LET(bbgm_stat, INDEX(Players!$A906:$P906, MATCH(V$2, Players!$A$1:$P$1, 0)), perc_75, VLOOKUP(V$2, Percentiles!$A$45:$I$59, 6, FALSE), perc_90, VLOOKUP(V$2, Percentiles!$A$45:$I$59, 7, FALSE), perc_95, VLOOKUP(V$2, Percentiles!$A$45:$I$59, 8, FALSE), perc_85, perc_75 + (perc_90 - perc_75) * (2/3), converted_stat, '2K_Ratings'!V907, IF(bbgm_stat &gt;= perc_95, converted_stat * 3, IF(bbgm_stat &gt;= perc_90, converted_stat * 2, IF(bbgm_stat &gt;= perc_85, converted_stat * 1.5, converted_stat)))))</f>
        <v/>
      </c>
      <c r="W907" s="30" t="str">
        <f t="array" ref="W907">IF($A907="", "", LET(bbgm_stat, INDEX(Players!$A906:$P906, MATCH(W$2, Players!$A$1:$P$1, 0)), perc_75, VLOOKUP(W$2, Percentiles!$A$45:$I$59, 6, FALSE), perc_90, VLOOKUP(W$2, Percentiles!$A$45:$I$59, 7, FALSE), perc_95, VLOOKUP(W$2, Percentiles!$A$45:$I$59, 8, FALSE), perc_85, perc_75 + (perc_90 - perc_75) * (2/3), converted_stat, '2K_Ratings'!W907, IF(bbgm_stat &gt;= perc_95, converted_stat * 3, IF(bbgm_stat &gt;= perc_90, converted_stat * 2, IF(bbgm_stat &gt;= perc_85, converted_stat * 1.5, converted_stat)))))</f>
        <v/>
      </c>
    </row>
    <row r="908">
      <c r="A908" s="30"/>
      <c r="B908" s="30" t="str">
        <f t="array" ref="B908">IF($A908="", "", LET(bbgm_stat, INDEX(Players!$A907:$P907, MATCH(B$2, Players!$A$1:$P$1, 0)), perc_75, VLOOKUP(B$2, Percentiles!$A$45:$I$59, 6, FALSE), perc_90, VLOOKUP(B$2, Percentiles!$A$45:$I$59, 7, FALSE), perc_95, VLOOKUP(B$2, Percentiles!$A$45:$I$59, 8, FALSE), perc_85, perc_75 + (perc_90 - perc_75) * (2/3), converted_stat, '2K_Ratings'!B908, IF(bbgm_stat &gt;= perc_95, converted_stat * 3, IF(bbgm_stat &gt;= perc_90, converted_stat * 2, IF(bbgm_stat &gt;= perc_85, converted_stat * 1.5, converted_stat)))))</f>
        <v/>
      </c>
      <c r="C908" s="30" t="str">
        <f t="array" ref="C908">IF($A908="", "", LET(bbgm_stat, INDEX(Players!$A907:$P907, MATCH(C$2, Players!$A$1:$P$1, 0)), perc_75, VLOOKUP(C$2, Percentiles!$A$45:$I$59, 6, FALSE), perc_90, VLOOKUP(C$2, Percentiles!$A$45:$I$59, 7, FALSE), perc_95, VLOOKUP(C$2, Percentiles!$A$45:$I$59, 8, FALSE), perc_85, perc_75 + (perc_90 - perc_75) * (2/3), converted_stat, '2K_Ratings'!C908, IF(bbgm_stat &gt;= perc_95, converted_stat * 3, IF(bbgm_stat &gt;= perc_90, converted_stat * 2, IF(bbgm_stat &gt;= perc_85, converted_stat * 1.5, converted_stat)))))</f>
        <v/>
      </c>
      <c r="D908" s="30" t="str">
        <f t="array" ref="D908">IF($A908="", "", LET(bbgm_stat, INDEX(Players!$A907:$P907, MATCH(D$2, Players!$A$1:$P$1, 0)), perc_75, VLOOKUP(D$2, Percentiles!$A$45:$I$59, 6, FALSE), perc_90, VLOOKUP(D$2, Percentiles!$A$45:$I$59, 7, FALSE), perc_95, VLOOKUP(D$2, Percentiles!$A$45:$I$59, 8, FALSE), perc_85, perc_75 + (perc_90 - perc_75) * (2/3), converted_stat, '2K_Ratings'!D908, IF(bbgm_stat &gt;= perc_95, converted_stat * 3, IF(bbgm_stat &gt;= perc_90, converted_stat * 2, IF(bbgm_stat &gt;= perc_85, converted_stat * 1.5, converted_stat)))))</f>
        <v/>
      </c>
      <c r="E908" s="30" t="str">
        <f t="array" ref="E908">IF($A908="", "", LET(bbgm_stat, INDEX(Players!$A907:$P907, MATCH(E$2, Players!$A$1:$P$1, 0)), perc_75, VLOOKUP(E$2, Percentiles!$A$45:$I$59, 6, FALSE), perc_90, VLOOKUP(E$2, Percentiles!$A$45:$I$59, 7, FALSE), perc_95, VLOOKUP(E$2, Percentiles!$A$45:$I$59, 8, FALSE), perc_85, perc_75 + (perc_90 - perc_75) * (2/3), converted_stat, '2K_Ratings'!E908, IF(bbgm_stat &gt;= perc_95, converted_stat * 3, IF(bbgm_stat &gt;= perc_90, converted_stat * 2, IF(bbgm_stat &gt;= perc_85, converted_stat * 1.5, converted_stat)))))</f>
        <v/>
      </c>
      <c r="F908" s="30" t="str">
        <f t="array" ref="F908">IF($A908="", "", LET(bbgm_stat, INDEX(Players!$A907:$P907, MATCH(F$2, Players!$A$1:$P$1, 0)), perc_75, VLOOKUP(F$2, Percentiles!$A$45:$I$59, 6, FALSE), perc_90, VLOOKUP(F$2, Percentiles!$A$45:$I$59, 7, FALSE), perc_95, VLOOKUP(F$2, Percentiles!$A$45:$I$59, 8, FALSE), perc_85, perc_75 + (perc_90 - perc_75) * (2/3), converted_stat, '2K_Ratings'!F908, IF(bbgm_stat &gt;= perc_95, converted_stat * 3, IF(bbgm_stat &gt;= perc_90, converted_stat * 2, IF(bbgm_stat &gt;= perc_85, converted_stat * 1.5, converted_stat)))))</f>
        <v/>
      </c>
      <c r="G908" s="30" t="str">
        <f t="array" ref="G908">IF($A908="", "", LET(bbgm_stat, INDEX(Players!$A907:$P907, MATCH(G$2, Players!$A$1:$P$1, 0)), perc_75, VLOOKUP(G$2, Percentiles!$A$45:$I$59, 6, FALSE), perc_90, VLOOKUP(G$2, Percentiles!$A$45:$I$59, 7, FALSE), perc_95, VLOOKUP(G$2, Percentiles!$A$45:$I$59, 8, FALSE), perc_85, perc_75 + (perc_90 - perc_75) * (2/3), converted_stat, '2K_Ratings'!G908, IF(bbgm_stat &gt;= perc_95, converted_stat * 3, IF(bbgm_stat &gt;= perc_90, converted_stat * 2, IF(bbgm_stat &gt;= perc_85, converted_stat * 1.5, converted_stat)))))</f>
        <v/>
      </c>
      <c r="H908" s="30" t="str">
        <f t="array" ref="H908">IF($A908="", "", LET(bbgm_stat, INDEX(Players!$A907:$P907, MATCH(H$2, Players!$A$1:$P$1, 0)), perc_75, VLOOKUP(H$2, Percentiles!$A$45:$I$59, 6, FALSE), perc_90, VLOOKUP(H$2, Percentiles!$A$45:$I$59, 7, FALSE), perc_95, VLOOKUP(H$2, Percentiles!$A$45:$I$59, 8, FALSE), perc_85, perc_75 + (perc_90 - perc_75) * (2/3), converted_stat, '2K_Ratings'!H908, IF(bbgm_stat &gt;= perc_95, converted_stat * 3, IF(bbgm_stat &gt;= perc_90, converted_stat * 2, IF(bbgm_stat &gt;= perc_85, converted_stat * 1.5, converted_stat)))))</f>
        <v/>
      </c>
      <c r="I908" s="30" t="str">
        <f t="array" ref="I908">IF($A908="", "", LET(bbgm_stat, INDEX(Players!$A907:$P907, MATCH(I$2, Players!$A$1:$P$1, 0)), perc_75, VLOOKUP(I$2, Percentiles!$A$45:$I$59, 6, FALSE), perc_90, VLOOKUP(I$2, Percentiles!$A$45:$I$59, 7, FALSE), perc_95, VLOOKUP(I$2, Percentiles!$A$45:$I$59, 8, FALSE), perc_85, perc_75 + (perc_90 - perc_75) * (2/3), converted_stat, '2K_Ratings'!I908, IF(bbgm_stat &gt;= perc_95, converted_stat * 3, IF(bbgm_stat &gt;= perc_90, converted_stat * 2, IF(bbgm_stat &gt;= perc_85, converted_stat * 1.5, converted_stat)))))</f>
        <v/>
      </c>
      <c r="J908" s="30" t="str">
        <f t="array" ref="J908">IF($A908="", "", LET(bbgm_stat, INDEX(Players!$A907:$P907, MATCH(J$2, Players!$A$1:$P$1, 0)), perc_75, VLOOKUP(J$2, Percentiles!$A$45:$I$59, 6, FALSE), perc_90, VLOOKUP(J$2, Percentiles!$A$45:$I$59, 7, FALSE), perc_95, VLOOKUP(J$2, Percentiles!$A$45:$I$59, 8, FALSE), perc_85, perc_75 + (perc_90 - perc_75) * (2/3), converted_stat, '2K_Ratings'!J908, IF(bbgm_stat &gt;= perc_95, converted_stat * 3, IF(bbgm_stat &gt;= perc_90, converted_stat * 2, IF(bbgm_stat &gt;= perc_85, converted_stat * 1.5, converted_stat)))))</f>
        <v/>
      </c>
      <c r="K908" s="30" t="str">
        <f t="array" ref="K908">IF($A908="", "", LET(bbgm_stat, INDEX(Players!$A907:$P907, MATCH(K$2, Players!$A$1:$P$1, 0)), perc_75, VLOOKUP(K$2, Percentiles!$A$45:$I$59, 6, FALSE), perc_90, VLOOKUP(K$2, Percentiles!$A$45:$I$59, 7, FALSE), perc_95, VLOOKUP(K$2, Percentiles!$A$45:$I$59, 8, FALSE), perc_85, perc_75 + (perc_90 - perc_75) * (2/3), converted_stat, '2K_Ratings'!K908, IF(bbgm_stat &gt;= perc_95, converted_stat * 3, IF(bbgm_stat &gt;= perc_90, converted_stat * 2, IF(bbgm_stat &gt;= perc_85, converted_stat * 1.5, converted_stat)))))</f>
        <v/>
      </c>
      <c r="L908" s="30" t="str">
        <f t="array" ref="L908">IF($A908="", "", LET(bbgm_stat, INDEX(Players!$A907:$P907, MATCH(L$2, Players!$A$1:$P$1, 0)), perc_75, VLOOKUP(L$2, Percentiles!$A$45:$I$59, 6, FALSE), perc_90, VLOOKUP(L$2, Percentiles!$A$45:$I$59, 7, FALSE), perc_95, VLOOKUP(L$2, Percentiles!$A$45:$I$59, 8, FALSE), perc_85, perc_75 + (perc_90 - perc_75) * (2/3), converted_stat, '2K_Ratings'!L908, IF(bbgm_stat &gt;= perc_95, converted_stat * 3, IF(bbgm_stat &gt;= perc_90, converted_stat * 2, IF(bbgm_stat &gt;= perc_85, converted_stat * 1.5, converted_stat)))))</f>
        <v/>
      </c>
      <c r="M908" s="30" t="str">
        <f t="array" ref="M908">IF($A908="", "", LET(bbgm_stat, INDEX(Players!$A907:$P907, MATCH(M$2, Players!$A$1:$P$1, 0)), perc_75, VLOOKUP(M$2, Percentiles!$A$45:$I$59, 6, FALSE), perc_90, VLOOKUP(M$2, Percentiles!$A$45:$I$59, 7, FALSE), perc_95, VLOOKUP(M$2, Percentiles!$A$45:$I$59, 8, FALSE), perc_85, perc_75 + (perc_90 - perc_75) * (2/3), converted_stat, '2K_Ratings'!M908, IF(bbgm_stat &gt;= perc_95, converted_stat * 3, IF(bbgm_stat &gt;= perc_90, converted_stat * 2, IF(bbgm_stat &gt;= perc_85, converted_stat * 1.5, converted_stat)))))</f>
        <v/>
      </c>
      <c r="N908" s="30" t="str">
        <f t="array" ref="N908">IF($A908="", "", LET(bbgm_stat, INDEX(Players!$A907:$P907, MATCH(N$2, Players!$A$1:$P$1, 0)), perc_75, VLOOKUP(N$2, Percentiles!$A$45:$I$59, 6, FALSE), perc_90, VLOOKUP(N$2, Percentiles!$A$45:$I$59, 7, FALSE), perc_95, VLOOKUP(N$2, Percentiles!$A$45:$I$59, 8, FALSE), perc_85, perc_75 + (perc_90 - perc_75) * (2/3), converted_stat, '2K_Ratings'!N908, IF(bbgm_stat &gt;= perc_95, converted_stat * 3, IF(bbgm_stat &gt;= perc_90, converted_stat * 2, IF(bbgm_stat &gt;= perc_85, converted_stat * 1.5, converted_stat)))))</f>
        <v/>
      </c>
      <c r="O908" s="30" t="str">
        <f t="array" ref="O908">IF($A908="", "", LET(bbgm_stat, INDEX(Players!$A907:$P907, MATCH(O$2, Players!$A$1:$P$1, 0)), perc_75, VLOOKUP(O$2, Percentiles!$A$45:$I$59, 6, FALSE), perc_90, VLOOKUP(O$2, Percentiles!$A$45:$I$59, 7, FALSE), perc_95, VLOOKUP(O$2, Percentiles!$A$45:$I$59, 8, FALSE), perc_85, perc_75 + (perc_90 - perc_75) * (2/3), converted_stat, '2K_Ratings'!O908, IF(bbgm_stat &gt;= perc_95, converted_stat * 3, IF(bbgm_stat &gt;= perc_90, converted_stat * 2, IF(bbgm_stat &gt;= perc_85, converted_stat * 1.5, converted_stat)))))</f>
        <v/>
      </c>
      <c r="P908" s="30" t="str">
        <f t="array" ref="P908">IF($A908="", "", LET(bbgm_stat, INDEX(Players!$A907:$P907, MATCH(P$2, Players!$A$1:$P$1, 0)), perc_75, VLOOKUP(P$2, Percentiles!$A$45:$I$59, 6, FALSE), perc_90, VLOOKUP(P$2, Percentiles!$A$45:$I$59, 7, FALSE), perc_95, VLOOKUP(P$2, Percentiles!$A$45:$I$59, 8, FALSE), perc_85, perc_75 + (perc_90 - perc_75) * (2/3), converted_stat, '2K_Ratings'!P908, IF(bbgm_stat &gt;= perc_95, converted_stat * 3, IF(bbgm_stat &gt;= perc_90, converted_stat * 2, IF(bbgm_stat &gt;= perc_85, converted_stat * 1.5, converted_stat)))))</f>
        <v/>
      </c>
      <c r="Q908" s="30" t="str">
        <f t="array" ref="Q908">IF($A908="", "", LET(bbgm_stat, INDEX(Players!$A907:$P907, MATCH(Q$2, Players!$A$1:$P$1, 0)), perc_75, VLOOKUP(Q$2, Percentiles!$A$45:$I$59, 6, FALSE), perc_90, VLOOKUP(Q$2, Percentiles!$A$45:$I$59, 7, FALSE), perc_95, VLOOKUP(Q$2, Percentiles!$A$45:$I$59, 8, FALSE), perc_85, perc_75 + (perc_90 - perc_75) * (2/3), converted_stat, '2K_Ratings'!Q908, IF(bbgm_stat &gt;= perc_95, converted_stat * 3, IF(bbgm_stat &gt;= perc_90, converted_stat * 2, IF(bbgm_stat &gt;= perc_85, converted_stat * 1.5, converted_stat)))))</f>
        <v/>
      </c>
      <c r="R908" s="30" t="str">
        <f t="array" ref="R908">IF($A908="", "", LET(bbgm_stat, INDEX(Players!$A907:$P907, MATCH(R$2, Players!$A$1:$P$1, 0)), perc_75, VLOOKUP(R$2, Percentiles!$A$45:$I$59, 6, FALSE), perc_90, VLOOKUP(R$2, Percentiles!$A$45:$I$59, 7, FALSE), perc_95, VLOOKUP(R$2, Percentiles!$A$45:$I$59, 8, FALSE), perc_85, perc_75 + (perc_90 - perc_75) * (2/3), converted_stat, '2K_Ratings'!R908, IF(bbgm_stat &gt;= perc_95, converted_stat * 3, IF(bbgm_stat &gt;= perc_90, converted_stat * 2, IF(bbgm_stat &gt;= perc_85, converted_stat * 1.5, converted_stat)))))</f>
        <v/>
      </c>
      <c r="S908" s="30" t="str">
        <f t="array" ref="S908">IF($A908="", "", LET(bbgm_stat, INDEX(Players!$A907:$P907, MATCH(S$2, Players!$A$1:$P$1, 0)), perc_75, VLOOKUP(S$2, Percentiles!$A$45:$I$59, 6, FALSE), perc_90, VLOOKUP(S$2, Percentiles!$A$45:$I$59, 7, FALSE), perc_95, VLOOKUP(S$2, Percentiles!$A$45:$I$59, 8, FALSE), perc_85, perc_75 + (perc_90 - perc_75) * (2/3), converted_stat, '2K_Ratings'!S908, IF(bbgm_stat &gt;= perc_95, converted_stat * 3, IF(bbgm_stat &gt;= perc_90, converted_stat * 2, IF(bbgm_stat &gt;= perc_85, converted_stat * 1.5, converted_stat)))))</f>
        <v/>
      </c>
      <c r="T908" s="30" t="str">
        <f t="array" ref="T908">IF($A908="", "", LET(bbgm_stat, INDEX(Players!$A907:$P907, MATCH(T$2, Players!$A$1:$P$1, 0)), perc_75, VLOOKUP(T$2, Percentiles!$A$45:$I$59, 6, FALSE), perc_90, VLOOKUP(T$2, Percentiles!$A$45:$I$59, 7, FALSE), perc_95, VLOOKUP(T$2, Percentiles!$A$45:$I$59, 8, FALSE), perc_85, perc_75 + (perc_90 - perc_75) * (2/3), converted_stat, '2K_Ratings'!T908, IF(bbgm_stat &gt;= perc_95, converted_stat * 3, IF(bbgm_stat &gt;= perc_90, converted_stat * 2, IF(bbgm_stat &gt;= perc_85, converted_stat * 1.5, converted_stat)))))</f>
        <v/>
      </c>
      <c r="U908" s="30" t="str">
        <f t="array" ref="U908">IF($A908="", "", LET(bbgm_stat, INDEX(Players!$A907:$P907, MATCH(U$2, Players!$A$1:$P$1, 0)), perc_75, VLOOKUP(U$2, Percentiles!$A$45:$I$59, 6, FALSE), perc_90, VLOOKUP(U$2, Percentiles!$A$45:$I$59, 7, FALSE), perc_95, VLOOKUP(U$2, Percentiles!$A$45:$I$59, 8, FALSE), perc_85, perc_75 + (perc_90 - perc_75) * (2/3), converted_stat, '2K_Ratings'!U908, IF(bbgm_stat &gt;= perc_95, converted_stat * 3, IF(bbgm_stat &gt;= perc_90, converted_stat * 2, IF(bbgm_stat &gt;= perc_85, converted_stat * 1.5, converted_stat)))))</f>
        <v/>
      </c>
      <c r="V908" s="30" t="str">
        <f t="array" ref="V908">IF($A908="", "", LET(bbgm_stat, INDEX(Players!$A907:$P907, MATCH(V$2, Players!$A$1:$P$1, 0)), perc_75, VLOOKUP(V$2, Percentiles!$A$45:$I$59, 6, FALSE), perc_90, VLOOKUP(V$2, Percentiles!$A$45:$I$59, 7, FALSE), perc_95, VLOOKUP(V$2, Percentiles!$A$45:$I$59, 8, FALSE), perc_85, perc_75 + (perc_90 - perc_75) * (2/3), converted_stat, '2K_Ratings'!V908, IF(bbgm_stat &gt;= perc_95, converted_stat * 3, IF(bbgm_stat &gt;= perc_90, converted_stat * 2, IF(bbgm_stat &gt;= perc_85, converted_stat * 1.5, converted_stat)))))</f>
        <v/>
      </c>
      <c r="W908" s="30" t="str">
        <f t="array" ref="W908">IF($A908="", "", LET(bbgm_stat, INDEX(Players!$A907:$P907, MATCH(W$2, Players!$A$1:$P$1, 0)), perc_75, VLOOKUP(W$2, Percentiles!$A$45:$I$59, 6, FALSE), perc_90, VLOOKUP(W$2, Percentiles!$A$45:$I$59, 7, FALSE), perc_95, VLOOKUP(W$2, Percentiles!$A$45:$I$59, 8, FALSE), perc_85, perc_75 + (perc_90 - perc_75) * (2/3), converted_stat, '2K_Ratings'!W908, IF(bbgm_stat &gt;= perc_95, converted_stat * 3, IF(bbgm_stat &gt;= perc_90, converted_stat * 2, IF(bbgm_stat &gt;= perc_85, converted_stat * 1.5, converted_stat)))))</f>
        <v/>
      </c>
    </row>
    <row r="909">
      <c r="A909" s="30"/>
      <c r="B909" s="30" t="str">
        <f t="array" ref="B909">IF($A909="", "", LET(bbgm_stat, INDEX(Players!$A908:$P908, MATCH(B$2, Players!$A$1:$P$1, 0)), perc_75, VLOOKUP(B$2, Percentiles!$A$45:$I$59, 6, FALSE), perc_90, VLOOKUP(B$2, Percentiles!$A$45:$I$59, 7, FALSE), perc_95, VLOOKUP(B$2, Percentiles!$A$45:$I$59, 8, FALSE), perc_85, perc_75 + (perc_90 - perc_75) * (2/3), converted_stat, '2K_Ratings'!B909, IF(bbgm_stat &gt;= perc_95, converted_stat * 3, IF(bbgm_stat &gt;= perc_90, converted_stat * 2, IF(bbgm_stat &gt;= perc_85, converted_stat * 1.5, converted_stat)))))</f>
        <v/>
      </c>
      <c r="C909" s="30" t="str">
        <f t="array" ref="C909">IF($A909="", "", LET(bbgm_stat, INDEX(Players!$A908:$P908, MATCH(C$2, Players!$A$1:$P$1, 0)), perc_75, VLOOKUP(C$2, Percentiles!$A$45:$I$59, 6, FALSE), perc_90, VLOOKUP(C$2, Percentiles!$A$45:$I$59, 7, FALSE), perc_95, VLOOKUP(C$2, Percentiles!$A$45:$I$59, 8, FALSE), perc_85, perc_75 + (perc_90 - perc_75) * (2/3), converted_stat, '2K_Ratings'!C909, IF(bbgm_stat &gt;= perc_95, converted_stat * 3, IF(bbgm_stat &gt;= perc_90, converted_stat * 2, IF(bbgm_stat &gt;= perc_85, converted_stat * 1.5, converted_stat)))))</f>
        <v/>
      </c>
      <c r="D909" s="30" t="str">
        <f t="array" ref="D909">IF($A909="", "", LET(bbgm_stat, INDEX(Players!$A908:$P908, MATCH(D$2, Players!$A$1:$P$1, 0)), perc_75, VLOOKUP(D$2, Percentiles!$A$45:$I$59, 6, FALSE), perc_90, VLOOKUP(D$2, Percentiles!$A$45:$I$59, 7, FALSE), perc_95, VLOOKUP(D$2, Percentiles!$A$45:$I$59, 8, FALSE), perc_85, perc_75 + (perc_90 - perc_75) * (2/3), converted_stat, '2K_Ratings'!D909, IF(bbgm_stat &gt;= perc_95, converted_stat * 3, IF(bbgm_stat &gt;= perc_90, converted_stat * 2, IF(bbgm_stat &gt;= perc_85, converted_stat * 1.5, converted_stat)))))</f>
        <v/>
      </c>
      <c r="E909" s="30" t="str">
        <f t="array" ref="E909">IF($A909="", "", LET(bbgm_stat, INDEX(Players!$A908:$P908, MATCH(E$2, Players!$A$1:$P$1, 0)), perc_75, VLOOKUP(E$2, Percentiles!$A$45:$I$59, 6, FALSE), perc_90, VLOOKUP(E$2, Percentiles!$A$45:$I$59, 7, FALSE), perc_95, VLOOKUP(E$2, Percentiles!$A$45:$I$59, 8, FALSE), perc_85, perc_75 + (perc_90 - perc_75) * (2/3), converted_stat, '2K_Ratings'!E909, IF(bbgm_stat &gt;= perc_95, converted_stat * 3, IF(bbgm_stat &gt;= perc_90, converted_stat * 2, IF(bbgm_stat &gt;= perc_85, converted_stat * 1.5, converted_stat)))))</f>
        <v/>
      </c>
      <c r="F909" s="30" t="str">
        <f t="array" ref="F909">IF($A909="", "", LET(bbgm_stat, INDEX(Players!$A908:$P908, MATCH(F$2, Players!$A$1:$P$1, 0)), perc_75, VLOOKUP(F$2, Percentiles!$A$45:$I$59, 6, FALSE), perc_90, VLOOKUP(F$2, Percentiles!$A$45:$I$59, 7, FALSE), perc_95, VLOOKUP(F$2, Percentiles!$A$45:$I$59, 8, FALSE), perc_85, perc_75 + (perc_90 - perc_75) * (2/3), converted_stat, '2K_Ratings'!F909, IF(bbgm_stat &gt;= perc_95, converted_stat * 3, IF(bbgm_stat &gt;= perc_90, converted_stat * 2, IF(bbgm_stat &gt;= perc_85, converted_stat * 1.5, converted_stat)))))</f>
        <v/>
      </c>
      <c r="G909" s="30" t="str">
        <f t="array" ref="G909">IF($A909="", "", LET(bbgm_stat, INDEX(Players!$A908:$P908, MATCH(G$2, Players!$A$1:$P$1, 0)), perc_75, VLOOKUP(G$2, Percentiles!$A$45:$I$59, 6, FALSE), perc_90, VLOOKUP(G$2, Percentiles!$A$45:$I$59, 7, FALSE), perc_95, VLOOKUP(G$2, Percentiles!$A$45:$I$59, 8, FALSE), perc_85, perc_75 + (perc_90 - perc_75) * (2/3), converted_stat, '2K_Ratings'!G909, IF(bbgm_stat &gt;= perc_95, converted_stat * 3, IF(bbgm_stat &gt;= perc_90, converted_stat * 2, IF(bbgm_stat &gt;= perc_85, converted_stat * 1.5, converted_stat)))))</f>
        <v/>
      </c>
      <c r="H909" s="30" t="str">
        <f t="array" ref="H909">IF($A909="", "", LET(bbgm_stat, INDEX(Players!$A908:$P908, MATCH(H$2, Players!$A$1:$P$1, 0)), perc_75, VLOOKUP(H$2, Percentiles!$A$45:$I$59, 6, FALSE), perc_90, VLOOKUP(H$2, Percentiles!$A$45:$I$59, 7, FALSE), perc_95, VLOOKUP(H$2, Percentiles!$A$45:$I$59, 8, FALSE), perc_85, perc_75 + (perc_90 - perc_75) * (2/3), converted_stat, '2K_Ratings'!H909, IF(bbgm_stat &gt;= perc_95, converted_stat * 3, IF(bbgm_stat &gt;= perc_90, converted_stat * 2, IF(bbgm_stat &gt;= perc_85, converted_stat * 1.5, converted_stat)))))</f>
        <v/>
      </c>
      <c r="I909" s="30" t="str">
        <f t="array" ref="I909">IF($A909="", "", LET(bbgm_stat, INDEX(Players!$A908:$P908, MATCH(I$2, Players!$A$1:$P$1, 0)), perc_75, VLOOKUP(I$2, Percentiles!$A$45:$I$59, 6, FALSE), perc_90, VLOOKUP(I$2, Percentiles!$A$45:$I$59, 7, FALSE), perc_95, VLOOKUP(I$2, Percentiles!$A$45:$I$59, 8, FALSE), perc_85, perc_75 + (perc_90 - perc_75) * (2/3), converted_stat, '2K_Ratings'!I909, IF(bbgm_stat &gt;= perc_95, converted_stat * 3, IF(bbgm_stat &gt;= perc_90, converted_stat * 2, IF(bbgm_stat &gt;= perc_85, converted_stat * 1.5, converted_stat)))))</f>
        <v/>
      </c>
      <c r="J909" s="30" t="str">
        <f t="array" ref="J909">IF($A909="", "", LET(bbgm_stat, INDEX(Players!$A908:$P908, MATCH(J$2, Players!$A$1:$P$1, 0)), perc_75, VLOOKUP(J$2, Percentiles!$A$45:$I$59, 6, FALSE), perc_90, VLOOKUP(J$2, Percentiles!$A$45:$I$59, 7, FALSE), perc_95, VLOOKUP(J$2, Percentiles!$A$45:$I$59, 8, FALSE), perc_85, perc_75 + (perc_90 - perc_75) * (2/3), converted_stat, '2K_Ratings'!J909, IF(bbgm_stat &gt;= perc_95, converted_stat * 3, IF(bbgm_stat &gt;= perc_90, converted_stat * 2, IF(bbgm_stat &gt;= perc_85, converted_stat * 1.5, converted_stat)))))</f>
        <v/>
      </c>
      <c r="K909" s="30" t="str">
        <f t="array" ref="K909">IF($A909="", "", LET(bbgm_stat, INDEX(Players!$A908:$P908, MATCH(K$2, Players!$A$1:$P$1, 0)), perc_75, VLOOKUP(K$2, Percentiles!$A$45:$I$59, 6, FALSE), perc_90, VLOOKUP(K$2, Percentiles!$A$45:$I$59, 7, FALSE), perc_95, VLOOKUP(K$2, Percentiles!$A$45:$I$59, 8, FALSE), perc_85, perc_75 + (perc_90 - perc_75) * (2/3), converted_stat, '2K_Ratings'!K909, IF(bbgm_stat &gt;= perc_95, converted_stat * 3, IF(bbgm_stat &gt;= perc_90, converted_stat * 2, IF(bbgm_stat &gt;= perc_85, converted_stat * 1.5, converted_stat)))))</f>
        <v/>
      </c>
      <c r="L909" s="30" t="str">
        <f t="array" ref="L909">IF($A909="", "", LET(bbgm_stat, INDEX(Players!$A908:$P908, MATCH(L$2, Players!$A$1:$P$1, 0)), perc_75, VLOOKUP(L$2, Percentiles!$A$45:$I$59, 6, FALSE), perc_90, VLOOKUP(L$2, Percentiles!$A$45:$I$59, 7, FALSE), perc_95, VLOOKUP(L$2, Percentiles!$A$45:$I$59, 8, FALSE), perc_85, perc_75 + (perc_90 - perc_75) * (2/3), converted_stat, '2K_Ratings'!L909, IF(bbgm_stat &gt;= perc_95, converted_stat * 3, IF(bbgm_stat &gt;= perc_90, converted_stat * 2, IF(bbgm_stat &gt;= perc_85, converted_stat * 1.5, converted_stat)))))</f>
        <v/>
      </c>
      <c r="M909" s="30" t="str">
        <f t="array" ref="M909">IF($A909="", "", LET(bbgm_stat, INDEX(Players!$A908:$P908, MATCH(M$2, Players!$A$1:$P$1, 0)), perc_75, VLOOKUP(M$2, Percentiles!$A$45:$I$59, 6, FALSE), perc_90, VLOOKUP(M$2, Percentiles!$A$45:$I$59, 7, FALSE), perc_95, VLOOKUP(M$2, Percentiles!$A$45:$I$59, 8, FALSE), perc_85, perc_75 + (perc_90 - perc_75) * (2/3), converted_stat, '2K_Ratings'!M909, IF(bbgm_stat &gt;= perc_95, converted_stat * 3, IF(bbgm_stat &gt;= perc_90, converted_stat * 2, IF(bbgm_stat &gt;= perc_85, converted_stat * 1.5, converted_stat)))))</f>
        <v/>
      </c>
      <c r="N909" s="30" t="str">
        <f t="array" ref="N909">IF($A909="", "", LET(bbgm_stat, INDEX(Players!$A908:$P908, MATCH(N$2, Players!$A$1:$P$1, 0)), perc_75, VLOOKUP(N$2, Percentiles!$A$45:$I$59, 6, FALSE), perc_90, VLOOKUP(N$2, Percentiles!$A$45:$I$59, 7, FALSE), perc_95, VLOOKUP(N$2, Percentiles!$A$45:$I$59, 8, FALSE), perc_85, perc_75 + (perc_90 - perc_75) * (2/3), converted_stat, '2K_Ratings'!N909, IF(bbgm_stat &gt;= perc_95, converted_stat * 3, IF(bbgm_stat &gt;= perc_90, converted_stat * 2, IF(bbgm_stat &gt;= perc_85, converted_stat * 1.5, converted_stat)))))</f>
        <v/>
      </c>
      <c r="O909" s="30" t="str">
        <f t="array" ref="O909">IF($A909="", "", LET(bbgm_stat, INDEX(Players!$A908:$P908, MATCH(O$2, Players!$A$1:$P$1, 0)), perc_75, VLOOKUP(O$2, Percentiles!$A$45:$I$59, 6, FALSE), perc_90, VLOOKUP(O$2, Percentiles!$A$45:$I$59, 7, FALSE), perc_95, VLOOKUP(O$2, Percentiles!$A$45:$I$59, 8, FALSE), perc_85, perc_75 + (perc_90 - perc_75) * (2/3), converted_stat, '2K_Ratings'!O909, IF(bbgm_stat &gt;= perc_95, converted_stat * 3, IF(bbgm_stat &gt;= perc_90, converted_stat * 2, IF(bbgm_stat &gt;= perc_85, converted_stat * 1.5, converted_stat)))))</f>
        <v/>
      </c>
      <c r="P909" s="30" t="str">
        <f t="array" ref="P909">IF($A909="", "", LET(bbgm_stat, INDEX(Players!$A908:$P908, MATCH(P$2, Players!$A$1:$P$1, 0)), perc_75, VLOOKUP(P$2, Percentiles!$A$45:$I$59, 6, FALSE), perc_90, VLOOKUP(P$2, Percentiles!$A$45:$I$59, 7, FALSE), perc_95, VLOOKUP(P$2, Percentiles!$A$45:$I$59, 8, FALSE), perc_85, perc_75 + (perc_90 - perc_75) * (2/3), converted_stat, '2K_Ratings'!P909, IF(bbgm_stat &gt;= perc_95, converted_stat * 3, IF(bbgm_stat &gt;= perc_90, converted_stat * 2, IF(bbgm_stat &gt;= perc_85, converted_stat * 1.5, converted_stat)))))</f>
        <v/>
      </c>
      <c r="Q909" s="30" t="str">
        <f t="array" ref="Q909">IF($A909="", "", LET(bbgm_stat, INDEX(Players!$A908:$P908, MATCH(Q$2, Players!$A$1:$P$1, 0)), perc_75, VLOOKUP(Q$2, Percentiles!$A$45:$I$59, 6, FALSE), perc_90, VLOOKUP(Q$2, Percentiles!$A$45:$I$59, 7, FALSE), perc_95, VLOOKUP(Q$2, Percentiles!$A$45:$I$59, 8, FALSE), perc_85, perc_75 + (perc_90 - perc_75) * (2/3), converted_stat, '2K_Ratings'!Q909, IF(bbgm_stat &gt;= perc_95, converted_stat * 3, IF(bbgm_stat &gt;= perc_90, converted_stat * 2, IF(bbgm_stat &gt;= perc_85, converted_stat * 1.5, converted_stat)))))</f>
        <v/>
      </c>
      <c r="R909" s="30" t="str">
        <f t="array" ref="R909">IF($A909="", "", LET(bbgm_stat, INDEX(Players!$A908:$P908, MATCH(R$2, Players!$A$1:$P$1, 0)), perc_75, VLOOKUP(R$2, Percentiles!$A$45:$I$59, 6, FALSE), perc_90, VLOOKUP(R$2, Percentiles!$A$45:$I$59, 7, FALSE), perc_95, VLOOKUP(R$2, Percentiles!$A$45:$I$59, 8, FALSE), perc_85, perc_75 + (perc_90 - perc_75) * (2/3), converted_stat, '2K_Ratings'!R909, IF(bbgm_stat &gt;= perc_95, converted_stat * 3, IF(bbgm_stat &gt;= perc_90, converted_stat * 2, IF(bbgm_stat &gt;= perc_85, converted_stat * 1.5, converted_stat)))))</f>
        <v/>
      </c>
      <c r="S909" s="30" t="str">
        <f t="array" ref="S909">IF($A909="", "", LET(bbgm_stat, INDEX(Players!$A908:$P908, MATCH(S$2, Players!$A$1:$P$1, 0)), perc_75, VLOOKUP(S$2, Percentiles!$A$45:$I$59, 6, FALSE), perc_90, VLOOKUP(S$2, Percentiles!$A$45:$I$59, 7, FALSE), perc_95, VLOOKUP(S$2, Percentiles!$A$45:$I$59, 8, FALSE), perc_85, perc_75 + (perc_90 - perc_75) * (2/3), converted_stat, '2K_Ratings'!S909, IF(bbgm_stat &gt;= perc_95, converted_stat * 3, IF(bbgm_stat &gt;= perc_90, converted_stat * 2, IF(bbgm_stat &gt;= perc_85, converted_stat * 1.5, converted_stat)))))</f>
        <v/>
      </c>
      <c r="T909" s="30" t="str">
        <f t="array" ref="T909">IF($A909="", "", LET(bbgm_stat, INDEX(Players!$A908:$P908, MATCH(T$2, Players!$A$1:$P$1, 0)), perc_75, VLOOKUP(T$2, Percentiles!$A$45:$I$59, 6, FALSE), perc_90, VLOOKUP(T$2, Percentiles!$A$45:$I$59, 7, FALSE), perc_95, VLOOKUP(T$2, Percentiles!$A$45:$I$59, 8, FALSE), perc_85, perc_75 + (perc_90 - perc_75) * (2/3), converted_stat, '2K_Ratings'!T909, IF(bbgm_stat &gt;= perc_95, converted_stat * 3, IF(bbgm_stat &gt;= perc_90, converted_stat * 2, IF(bbgm_stat &gt;= perc_85, converted_stat * 1.5, converted_stat)))))</f>
        <v/>
      </c>
      <c r="U909" s="30" t="str">
        <f t="array" ref="U909">IF($A909="", "", LET(bbgm_stat, INDEX(Players!$A908:$P908, MATCH(U$2, Players!$A$1:$P$1, 0)), perc_75, VLOOKUP(U$2, Percentiles!$A$45:$I$59, 6, FALSE), perc_90, VLOOKUP(U$2, Percentiles!$A$45:$I$59, 7, FALSE), perc_95, VLOOKUP(U$2, Percentiles!$A$45:$I$59, 8, FALSE), perc_85, perc_75 + (perc_90 - perc_75) * (2/3), converted_stat, '2K_Ratings'!U909, IF(bbgm_stat &gt;= perc_95, converted_stat * 3, IF(bbgm_stat &gt;= perc_90, converted_stat * 2, IF(bbgm_stat &gt;= perc_85, converted_stat * 1.5, converted_stat)))))</f>
        <v/>
      </c>
      <c r="V909" s="30" t="str">
        <f t="array" ref="V909">IF($A909="", "", LET(bbgm_stat, INDEX(Players!$A908:$P908, MATCH(V$2, Players!$A$1:$P$1, 0)), perc_75, VLOOKUP(V$2, Percentiles!$A$45:$I$59, 6, FALSE), perc_90, VLOOKUP(V$2, Percentiles!$A$45:$I$59, 7, FALSE), perc_95, VLOOKUP(V$2, Percentiles!$A$45:$I$59, 8, FALSE), perc_85, perc_75 + (perc_90 - perc_75) * (2/3), converted_stat, '2K_Ratings'!V909, IF(bbgm_stat &gt;= perc_95, converted_stat * 3, IF(bbgm_stat &gt;= perc_90, converted_stat * 2, IF(bbgm_stat &gt;= perc_85, converted_stat * 1.5, converted_stat)))))</f>
        <v/>
      </c>
      <c r="W909" s="30" t="str">
        <f t="array" ref="W909">IF($A909="", "", LET(bbgm_stat, INDEX(Players!$A908:$P908, MATCH(W$2, Players!$A$1:$P$1, 0)), perc_75, VLOOKUP(W$2, Percentiles!$A$45:$I$59, 6, FALSE), perc_90, VLOOKUP(W$2, Percentiles!$A$45:$I$59, 7, FALSE), perc_95, VLOOKUP(W$2, Percentiles!$A$45:$I$59, 8, FALSE), perc_85, perc_75 + (perc_90 - perc_75) * (2/3), converted_stat, '2K_Ratings'!W909, IF(bbgm_stat &gt;= perc_95, converted_stat * 3, IF(bbgm_stat &gt;= perc_90, converted_stat * 2, IF(bbgm_stat &gt;= perc_85, converted_stat * 1.5, converted_stat)))))</f>
        <v/>
      </c>
    </row>
    <row r="910">
      <c r="A910" s="30"/>
      <c r="B910" s="30" t="str">
        <f t="array" ref="B910">IF($A910="", "", LET(bbgm_stat, INDEX(Players!$A909:$P909, MATCH(B$2, Players!$A$1:$P$1, 0)), perc_75, VLOOKUP(B$2, Percentiles!$A$45:$I$59, 6, FALSE), perc_90, VLOOKUP(B$2, Percentiles!$A$45:$I$59, 7, FALSE), perc_95, VLOOKUP(B$2, Percentiles!$A$45:$I$59, 8, FALSE), perc_85, perc_75 + (perc_90 - perc_75) * (2/3), converted_stat, '2K_Ratings'!B910, IF(bbgm_stat &gt;= perc_95, converted_stat * 3, IF(bbgm_stat &gt;= perc_90, converted_stat * 2, IF(bbgm_stat &gt;= perc_85, converted_stat * 1.5, converted_stat)))))</f>
        <v/>
      </c>
      <c r="C910" s="30" t="str">
        <f t="array" ref="C910">IF($A910="", "", LET(bbgm_stat, INDEX(Players!$A909:$P909, MATCH(C$2, Players!$A$1:$P$1, 0)), perc_75, VLOOKUP(C$2, Percentiles!$A$45:$I$59, 6, FALSE), perc_90, VLOOKUP(C$2, Percentiles!$A$45:$I$59, 7, FALSE), perc_95, VLOOKUP(C$2, Percentiles!$A$45:$I$59, 8, FALSE), perc_85, perc_75 + (perc_90 - perc_75) * (2/3), converted_stat, '2K_Ratings'!C910, IF(bbgm_stat &gt;= perc_95, converted_stat * 3, IF(bbgm_stat &gt;= perc_90, converted_stat * 2, IF(bbgm_stat &gt;= perc_85, converted_stat * 1.5, converted_stat)))))</f>
        <v/>
      </c>
      <c r="D910" s="30" t="str">
        <f t="array" ref="D910">IF($A910="", "", LET(bbgm_stat, INDEX(Players!$A909:$P909, MATCH(D$2, Players!$A$1:$P$1, 0)), perc_75, VLOOKUP(D$2, Percentiles!$A$45:$I$59, 6, FALSE), perc_90, VLOOKUP(D$2, Percentiles!$A$45:$I$59, 7, FALSE), perc_95, VLOOKUP(D$2, Percentiles!$A$45:$I$59, 8, FALSE), perc_85, perc_75 + (perc_90 - perc_75) * (2/3), converted_stat, '2K_Ratings'!D910, IF(bbgm_stat &gt;= perc_95, converted_stat * 3, IF(bbgm_stat &gt;= perc_90, converted_stat * 2, IF(bbgm_stat &gt;= perc_85, converted_stat * 1.5, converted_stat)))))</f>
        <v/>
      </c>
      <c r="E910" s="30" t="str">
        <f t="array" ref="E910">IF($A910="", "", LET(bbgm_stat, INDEX(Players!$A909:$P909, MATCH(E$2, Players!$A$1:$P$1, 0)), perc_75, VLOOKUP(E$2, Percentiles!$A$45:$I$59, 6, FALSE), perc_90, VLOOKUP(E$2, Percentiles!$A$45:$I$59, 7, FALSE), perc_95, VLOOKUP(E$2, Percentiles!$A$45:$I$59, 8, FALSE), perc_85, perc_75 + (perc_90 - perc_75) * (2/3), converted_stat, '2K_Ratings'!E910, IF(bbgm_stat &gt;= perc_95, converted_stat * 3, IF(bbgm_stat &gt;= perc_90, converted_stat * 2, IF(bbgm_stat &gt;= perc_85, converted_stat * 1.5, converted_stat)))))</f>
        <v/>
      </c>
      <c r="F910" s="30" t="str">
        <f t="array" ref="F910">IF($A910="", "", LET(bbgm_stat, INDEX(Players!$A909:$P909, MATCH(F$2, Players!$A$1:$P$1, 0)), perc_75, VLOOKUP(F$2, Percentiles!$A$45:$I$59, 6, FALSE), perc_90, VLOOKUP(F$2, Percentiles!$A$45:$I$59, 7, FALSE), perc_95, VLOOKUP(F$2, Percentiles!$A$45:$I$59, 8, FALSE), perc_85, perc_75 + (perc_90 - perc_75) * (2/3), converted_stat, '2K_Ratings'!F910, IF(bbgm_stat &gt;= perc_95, converted_stat * 3, IF(bbgm_stat &gt;= perc_90, converted_stat * 2, IF(bbgm_stat &gt;= perc_85, converted_stat * 1.5, converted_stat)))))</f>
        <v/>
      </c>
      <c r="G910" s="30" t="str">
        <f t="array" ref="G910">IF($A910="", "", LET(bbgm_stat, INDEX(Players!$A909:$P909, MATCH(G$2, Players!$A$1:$P$1, 0)), perc_75, VLOOKUP(G$2, Percentiles!$A$45:$I$59, 6, FALSE), perc_90, VLOOKUP(G$2, Percentiles!$A$45:$I$59, 7, FALSE), perc_95, VLOOKUP(G$2, Percentiles!$A$45:$I$59, 8, FALSE), perc_85, perc_75 + (perc_90 - perc_75) * (2/3), converted_stat, '2K_Ratings'!G910, IF(bbgm_stat &gt;= perc_95, converted_stat * 3, IF(bbgm_stat &gt;= perc_90, converted_stat * 2, IF(bbgm_stat &gt;= perc_85, converted_stat * 1.5, converted_stat)))))</f>
        <v/>
      </c>
      <c r="H910" s="30" t="str">
        <f t="array" ref="H910">IF($A910="", "", LET(bbgm_stat, INDEX(Players!$A909:$P909, MATCH(H$2, Players!$A$1:$P$1, 0)), perc_75, VLOOKUP(H$2, Percentiles!$A$45:$I$59, 6, FALSE), perc_90, VLOOKUP(H$2, Percentiles!$A$45:$I$59, 7, FALSE), perc_95, VLOOKUP(H$2, Percentiles!$A$45:$I$59, 8, FALSE), perc_85, perc_75 + (perc_90 - perc_75) * (2/3), converted_stat, '2K_Ratings'!H910, IF(bbgm_stat &gt;= perc_95, converted_stat * 3, IF(bbgm_stat &gt;= perc_90, converted_stat * 2, IF(bbgm_stat &gt;= perc_85, converted_stat * 1.5, converted_stat)))))</f>
        <v/>
      </c>
      <c r="I910" s="30" t="str">
        <f t="array" ref="I910">IF($A910="", "", LET(bbgm_stat, INDEX(Players!$A909:$P909, MATCH(I$2, Players!$A$1:$P$1, 0)), perc_75, VLOOKUP(I$2, Percentiles!$A$45:$I$59, 6, FALSE), perc_90, VLOOKUP(I$2, Percentiles!$A$45:$I$59, 7, FALSE), perc_95, VLOOKUP(I$2, Percentiles!$A$45:$I$59, 8, FALSE), perc_85, perc_75 + (perc_90 - perc_75) * (2/3), converted_stat, '2K_Ratings'!I910, IF(bbgm_stat &gt;= perc_95, converted_stat * 3, IF(bbgm_stat &gt;= perc_90, converted_stat * 2, IF(bbgm_stat &gt;= perc_85, converted_stat * 1.5, converted_stat)))))</f>
        <v/>
      </c>
      <c r="J910" s="30" t="str">
        <f t="array" ref="J910">IF($A910="", "", LET(bbgm_stat, INDEX(Players!$A909:$P909, MATCH(J$2, Players!$A$1:$P$1, 0)), perc_75, VLOOKUP(J$2, Percentiles!$A$45:$I$59, 6, FALSE), perc_90, VLOOKUP(J$2, Percentiles!$A$45:$I$59, 7, FALSE), perc_95, VLOOKUP(J$2, Percentiles!$A$45:$I$59, 8, FALSE), perc_85, perc_75 + (perc_90 - perc_75) * (2/3), converted_stat, '2K_Ratings'!J910, IF(bbgm_stat &gt;= perc_95, converted_stat * 3, IF(bbgm_stat &gt;= perc_90, converted_stat * 2, IF(bbgm_stat &gt;= perc_85, converted_stat * 1.5, converted_stat)))))</f>
        <v/>
      </c>
      <c r="K910" s="30" t="str">
        <f t="array" ref="K910">IF($A910="", "", LET(bbgm_stat, INDEX(Players!$A909:$P909, MATCH(K$2, Players!$A$1:$P$1, 0)), perc_75, VLOOKUP(K$2, Percentiles!$A$45:$I$59, 6, FALSE), perc_90, VLOOKUP(K$2, Percentiles!$A$45:$I$59, 7, FALSE), perc_95, VLOOKUP(K$2, Percentiles!$A$45:$I$59, 8, FALSE), perc_85, perc_75 + (perc_90 - perc_75) * (2/3), converted_stat, '2K_Ratings'!K910, IF(bbgm_stat &gt;= perc_95, converted_stat * 3, IF(bbgm_stat &gt;= perc_90, converted_stat * 2, IF(bbgm_stat &gt;= perc_85, converted_stat * 1.5, converted_stat)))))</f>
        <v/>
      </c>
      <c r="L910" s="30" t="str">
        <f t="array" ref="L910">IF($A910="", "", LET(bbgm_stat, INDEX(Players!$A909:$P909, MATCH(L$2, Players!$A$1:$P$1, 0)), perc_75, VLOOKUP(L$2, Percentiles!$A$45:$I$59, 6, FALSE), perc_90, VLOOKUP(L$2, Percentiles!$A$45:$I$59, 7, FALSE), perc_95, VLOOKUP(L$2, Percentiles!$A$45:$I$59, 8, FALSE), perc_85, perc_75 + (perc_90 - perc_75) * (2/3), converted_stat, '2K_Ratings'!L910, IF(bbgm_stat &gt;= perc_95, converted_stat * 3, IF(bbgm_stat &gt;= perc_90, converted_stat * 2, IF(bbgm_stat &gt;= perc_85, converted_stat * 1.5, converted_stat)))))</f>
        <v/>
      </c>
      <c r="M910" s="30" t="str">
        <f t="array" ref="M910">IF($A910="", "", LET(bbgm_stat, INDEX(Players!$A909:$P909, MATCH(M$2, Players!$A$1:$P$1, 0)), perc_75, VLOOKUP(M$2, Percentiles!$A$45:$I$59, 6, FALSE), perc_90, VLOOKUP(M$2, Percentiles!$A$45:$I$59, 7, FALSE), perc_95, VLOOKUP(M$2, Percentiles!$A$45:$I$59, 8, FALSE), perc_85, perc_75 + (perc_90 - perc_75) * (2/3), converted_stat, '2K_Ratings'!M910, IF(bbgm_stat &gt;= perc_95, converted_stat * 3, IF(bbgm_stat &gt;= perc_90, converted_stat * 2, IF(bbgm_stat &gt;= perc_85, converted_stat * 1.5, converted_stat)))))</f>
        <v/>
      </c>
      <c r="N910" s="30" t="str">
        <f t="array" ref="N910">IF($A910="", "", LET(bbgm_stat, INDEX(Players!$A909:$P909, MATCH(N$2, Players!$A$1:$P$1, 0)), perc_75, VLOOKUP(N$2, Percentiles!$A$45:$I$59, 6, FALSE), perc_90, VLOOKUP(N$2, Percentiles!$A$45:$I$59, 7, FALSE), perc_95, VLOOKUP(N$2, Percentiles!$A$45:$I$59, 8, FALSE), perc_85, perc_75 + (perc_90 - perc_75) * (2/3), converted_stat, '2K_Ratings'!N910, IF(bbgm_stat &gt;= perc_95, converted_stat * 3, IF(bbgm_stat &gt;= perc_90, converted_stat * 2, IF(bbgm_stat &gt;= perc_85, converted_stat * 1.5, converted_stat)))))</f>
        <v/>
      </c>
      <c r="O910" s="30" t="str">
        <f t="array" ref="O910">IF($A910="", "", LET(bbgm_stat, INDEX(Players!$A909:$P909, MATCH(O$2, Players!$A$1:$P$1, 0)), perc_75, VLOOKUP(O$2, Percentiles!$A$45:$I$59, 6, FALSE), perc_90, VLOOKUP(O$2, Percentiles!$A$45:$I$59, 7, FALSE), perc_95, VLOOKUP(O$2, Percentiles!$A$45:$I$59, 8, FALSE), perc_85, perc_75 + (perc_90 - perc_75) * (2/3), converted_stat, '2K_Ratings'!O910, IF(bbgm_stat &gt;= perc_95, converted_stat * 3, IF(bbgm_stat &gt;= perc_90, converted_stat * 2, IF(bbgm_stat &gt;= perc_85, converted_stat * 1.5, converted_stat)))))</f>
        <v/>
      </c>
      <c r="P910" s="30" t="str">
        <f t="array" ref="P910">IF($A910="", "", LET(bbgm_stat, INDEX(Players!$A909:$P909, MATCH(P$2, Players!$A$1:$P$1, 0)), perc_75, VLOOKUP(P$2, Percentiles!$A$45:$I$59, 6, FALSE), perc_90, VLOOKUP(P$2, Percentiles!$A$45:$I$59, 7, FALSE), perc_95, VLOOKUP(P$2, Percentiles!$A$45:$I$59, 8, FALSE), perc_85, perc_75 + (perc_90 - perc_75) * (2/3), converted_stat, '2K_Ratings'!P910, IF(bbgm_stat &gt;= perc_95, converted_stat * 3, IF(bbgm_stat &gt;= perc_90, converted_stat * 2, IF(bbgm_stat &gt;= perc_85, converted_stat * 1.5, converted_stat)))))</f>
        <v/>
      </c>
      <c r="Q910" s="30" t="str">
        <f t="array" ref="Q910">IF($A910="", "", LET(bbgm_stat, INDEX(Players!$A909:$P909, MATCH(Q$2, Players!$A$1:$P$1, 0)), perc_75, VLOOKUP(Q$2, Percentiles!$A$45:$I$59, 6, FALSE), perc_90, VLOOKUP(Q$2, Percentiles!$A$45:$I$59, 7, FALSE), perc_95, VLOOKUP(Q$2, Percentiles!$A$45:$I$59, 8, FALSE), perc_85, perc_75 + (perc_90 - perc_75) * (2/3), converted_stat, '2K_Ratings'!Q910, IF(bbgm_stat &gt;= perc_95, converted_stat * 3, IF(bbgm_stat &gt;= perc_90, converted_stat * 2, IF(bbgm_stat &gt;= perc_85, converted_stat * 1.5, converted_stat)))))</f>
        <v/>
      </c>
      <c r="R910" s="30" t="str">
        <f t="array" ref="R910">IF($A910="", "", LET(bbgm_stat, INDEX(Players!$A909:$P909, MATCH(R$2, Players!$A$1:$P$1, 0)), perc_75, VLOOKUP(R$2, Percentiles!$A$45:$I$59, 6, FALSE), perc_90, VLOOKUP(R$2, Percentiles!$A$45:$I$59, 7, FALSE), perc_95, VLOOKUP(R$2, Percentiles!$A$45:$I$59, 8, FALSE), perc_85, perc_75 + (perc_90 - perc_75) * (2/3), converted_stat, '2K_Ratings'!R910, IF(bbgm_stat &gt;= perc_95, converted_stat * 3, IF(bbgm_stat &gt;= perc_90, converted_stat * 2, IF(bbgm_stat &gt;= perc_85, converted_stat * 1.5, converted_stat)))))</f>
        <v/>
      </c>
      <c r="S910" s="30" t="str">
        <f t="array" ref="S910">IF($A910="", "", LET(bbgm_stat, INDEX(Players!$A909:$P909, MATCH(S$2, Players!$A$1:$P$1, 0)), perc_75, VLOOKUP(S$2, Percentiles!$A$45:$I$59, 6, FALSE), perc_90, VLOOKUP(S$2, Percentiles!$A$45:$I$59, 7, FALSE), perc_95, VLOOKUP(S$2, Percentiles!$A$45:$I$59, 8, FALSE), perc_85, perc_75 + (perc_90 - perc_75) * (2/3), converted_stat, '2K_Ratings'!S910, IF(bbgm_stat &gt;= perc_95, converted_stat * 3, IF(bbgm_stat &gt;= perc_90, converted_stat * 2, IF(bbgm_stat &gt;= perc_85, converted_stat * 1.5, converted_stat)))))</f>
        <v/>
      </c>
      <c r="T910" s="30" t="str">
        <f t="array" ref="T910">IF($A910="", "", LET(bbgm_stat, INDEX(Players!$A909:$P909, MATCH(T$2, Players!$A$1:$P$1, 0)), perc_75, VLOOKUP(T$2, Percentiles!$A$45:$I$59, 6, FALSE), perc_90, VLOOKUP(T$2, Percentiles!$A$45:$I$59, 7, FALSE), perc_95, VLOOKUP(T$2, Percentiles!$A$45:$I$59, 8, FALSE), perc_85, perc_75 + (perc_90 - perc_75) * (2/3), converted_stat, '2K_Ratings'!T910, IF(bbgm_stat &gt;= perc_95, converted_stat * 3, IF(bbgm_stat &gt;= perc_90, converted_stat * 2, IF(bbgm_stat &gt;= perc_85, converted_stat * 1.5, converted_stat)))))</f>
        <v/>
      </c>
      <c r="U910" s="30" t="str">
        <f t="array" ref="U910">IF($A910="", "", LET(bbgm_stat, INDEX(Players!$A909:$P909, MATCH(U$2, Players!$A$1:$P$1, 0)), perc_75, VLOOKUP(U$2, Percentiles!$A$45:$I$59, 6, FALSE), perc_90, VLOOKUP(U$2, Percentiles!$A$45:$I$59, 7, FALSE), perc_95, VLOOKUP(U$2, Percentiles!$A$45:$I$59, 8, FALSE), perc_85, perc_75 + (perc_90 - perc_75) * (2/3), converted_stat, '2K_Ratings'!U910, IF(bbgm_stat &gt;= perc_95, converted_stat * 3, IF(bbgm_stat &gt;= perc_90, converted_stat * 2, IF(bbgm_stat &gt;= perc_85, converted_stat * 1.5, converted_stat)))))</f>
        <v/>
      </c>
      <c r="V910" s="30" t="str">
        <f t="array" ref="V910">IF($A910="", "", LET(bbgm_stat, INDEX(Players!$A909:$P909, MATCH(V$2, Players!$A$1:$P$1, 0)), perc_75, VLOOKUP(V$2, Percentiles!$A$45:$I$59, 6, FALSE), perc_90, VLOOKUP(V$2, Percentiles!$A$45:$I$59, 7, FALSE), perc_95, VLOOKUP(V$2, Percentiles!$A$45:$I$59, 8, FALSE), perc_85, perc_75 + (perc_90 - perc_75) * (2/3), converted_stat, '2K_Ratings'!V910, IF(bbgm_stat &gt;= perc_95, converted_stat * 3, IF(bbgm_stat &gt;= perc_90, converted_stat * 2, IF(bbgm_stat &gt;= perc_85, converted_stat * 1.5, converted_stat)))))</f>
        <v/>
      </c>
      <c r="W910" s="30" t="str">
        <f t="array" ref="W910">IF($A910="", "", LET(bbgm_stat, INDEX(Players!$A909:$P909, MATCH(W$2, Players!$A$1:$P$1, 0)), perc_75, VLOOKUP(W$2, Percentiles!$A$45:$I$59, 6, FALSE), perc_90, VLOOKUP(W$2, Percentiles!$A$45:$I$59, 7, FALSE), perc_95, VLOOKUP(W$2, Percentiles!$A$45:$I$59, 8, FALSE), perc_85, perc_75 + (perc_90 - perc_75) * (2/3), converted_stat, '2K_Ratings'!W910, IF(bbgm_stat &gt;= perc_95, converted_stat * 3, IF(bbgm_stat &gt;= perc_90, converted_stat * 2, IF(bbgm_stat &gt;= perc_85, converted_stat * 1.5, converted_stat)))))</f>
        <v/>
      </c>
    </row>
    <row r="911">
      <c r="A911" s="30"/>
      <c r="B911" s="30" t="str">
        <f t="array" ref="B911">IF($A911="", "", LET(bbgm_stat, INDEX(Players!$A910:$P910, MATCH(B$2, Players!$A$1:$P$1, 0)), perc_75, VLOOKUP(B$2, Percentiles!$A$45:$I$59, 6, FALSE), perc_90, VLOOKUP(B$2, Percentiles!$A$45:$I$59, 7, FALSE), perc_95, VLOOKUP(B$2, Percentiles!$A$45:$I$59, 8, FALSE), perc_85, perc_75 + (perc_90 - perc_75) * (2/3), converted_stat, '2K_Ratings'!B911, IF(bbgm_stat &gt;= perc_95, converted_stat * 3, IF(bbgm_stat &gt;= perc_90, converted_stat * 2, IF(bbgm_stat &gt;= perc_85, converted_stat * 1.5, converted_stat)))))</f>
        <v/>
      </c>
      <c r="C911" s="30" t="str">
        <f t="array" ref="C911">IF($A911="", "", LET(bbgm_stat, INDEX(Players!$A910:$P910, MATCH(C$2, Players!$A$1:$P$1, 0)), perc_75, VLOOKUP(C$2, Percentiles!$A$45:$I$59, 6, FALSE), perc_90, VLOOKUP(C$2, Percentiles!$A$45:$I$59, 7, FALSE), perc_95, VLOOKUP(C$2, Percentiles!$A$45:$I$59, 8, FALSE), perc_85, perc_75 + (perc_90 - perc_75) * (2/3), converted_stat, '2K_Ratings'!C911, IF(bbgm_stat &gt;= perc_95, converted_stat * 3, IF(bbgm_stat &gt;= perc_90, converted_stat * 2, IF(bbgm_stat &gt;= perc_85, converted_stat * 1.5, converted_stat)))))</f>
        <v/>
      </c>
      <c r="D911" s="30" t="str">
        <f t="array" ref="D911">IF($A911="", "", LET(bbgm_stat, INDEX(Players!$A910:$P910, MATCH(D$2, Players!$A$1:$P$1, 0)), perc_75, VLOOKUP(D$2, Percentiles!$A$45:$I$59, 6, FALSE), perc_90, VLOOKUP(D$2, Percentiles!$A$45:$I$59, 7, FALSE), perc_95, VLOOKUP(D$2, Percentiles!$A$45:$I$59, 8, FALSE), perc_85, perc_75 + (perc_90 - perc_75) * (2/3), converted_stat, '2K_Ratings'!D911, IF(bbgm_stat &gt;= perc_95, converted_stat * 3, IF(bbgm_stat &gt;= perc_90, converted_stat * 2, IF(bbgm_stat &gt;= perc_85, converted_stat * 1.5, converted_stat)))))</f>
        <v/>
      </c>
      <c r="E911" s="30" t="str">
        <f t="array" ref="E911">IF($A911="", "", LET(bbgm_stat, INDEX(Players!$A910:$P910, MATCH(E$2, Players!$A$1:$P$1, 0)), perc_75, VLOOKUP(E$2, Percentiles!$A$45:$I$59, 6, FALSE), perc_90, VLOOKUP(E$2, Percentiles!$A$45:$I$59, 7, FALSE), perc_95, VLOOKUP(E$2, Percentiles!$A$45:$I$59, 8, FALSE), perc_85, perc_75 + (perc_90 - perc_75) * (2/3), converted_stat, '2K_Ratings'!E911, IF(bbgm_stat &gt;= perc_95, converted_stat * 3, IF(bbgm_stat &gt;= perc_90, converted_stat * 2, IF(bbgm_stat &gt;= perc_85, converted_stat * 1.5, converted_stat)))))</f>
        <v/>
      </c>
      <c r="F911" s="30" t="str">
        <f t="array" ref="F911">IF($A911="", "", LET(bbgm_stat, INDEX(Players!$A910:$P910, MATCH(F$2, Players!$A$1:$P$1, 0)), perc_75, VLOOKUP(F$2, Percentiles!$A$45:$I$59, 6, FALSE), perc_90, VLOOKUP(F$2, Percentiles!$A$45:$I$59, 7, FALSE), perc_95, VLOOKUP(F$2, Percentiles!$A$45:$I$59, 8, FALSE), perc_85, perc_75 + (perc_90 - perc_75) * (2/3), converted_stat, '2K_Ratings'!F911, IF(bbgm_stat &gt;= perc_95, converted_stat * 3, IF(bbgm_stat &gt;= perc_90, converted_stat * 2, IF(bbgm_stat &gt;= perc_85, converted_stat * 1.5, converted_stat)))))</f>
        <v/>
      </c>
      <c r="G911" s="30" t="str">
        <f t="array" ref="G911">IF($A911="", "", LET(bbgm_stat, INDEX(Players!$A910:$P910, MATCH(G$2, Players!$A$1:$P$1, 0)), perc_75, VLOOKUP(G$2, Percentiles!$A$45:$I$59, 6, FALSE), perc_90, VLOOKUP(G$2, Percentiles!$A$45:$I$59, 7, FALSE), perc_95, VLOOKUP(G$2, Percentiles!$A$45:$I$59, 8, FALSE), perc_85, perc_75 + (perc_90 - perc_75) * (2/3), converted_stat, '2K_Ratings'!G911, IF(bbgm_stat &gt;= perc_95, converted_stat * 3, IF(bbgm_stat &gt;= perc_90, converted_stat * 2, IF(bbgm_stat &gt;= perc_85, converted_stat * 1.5, converted_stat)))))</f>
        <v/>
      </c>
      <c r="H911" s="30" t="str">
        <f t="array" ref="H911">IF($A911="", "", LET(bbgm_stat, INDEX(Players!$A910:$P910, MATCH(H$2, Players!$A$1:$P$1, 0)), perc_75, VLOOKUP(H$2, Percentiles!$A$45:$I$59, 6, FALSE), perc_90, VLOOKUP(H$2, Percentiles!$A$45:$I$59, 7, FALSE), perc_95, VLOOKUP(H$2, Percentiles!$A$45:$I$59, 8, FALSE), perc_85, perc_75 + (perc_90 - perc_75) * (2/3), converted_stat, '2K_Ratings'!H911, IF(bbgm_stat &gt;= perc_95, converted_stat * 3, IF(bbgm_stat &gt;= perc_90, converted_stat * 2, IF(bbgm_stat &gt;= perc_85, converted_stat * 1.5, converted_stat)))))</f>
        <v/>
      </c>
      <c r="I911" s="30" t="str">
        <f t="array" ref="I911">IF($A911="", "", LET(bbgm_stat, INDEX(Players!$A910:$P910, MATCH(I$2, Players!$A$1:$P$1, 0)), perc_75, VLOOKUP(I$2, Percentiles!$A$45:$I$59, 6, FALSE), perc_90, VLOOKUP(I$2, Percentiles!$A$45:$I$59, 7, FALSE), perc_95, VLOOKUP(I$2, Percentiles!$A$45:$I$59, 8, FALSE), perc_85, perc_75 + (perc_90 - perc_75) * (2/3), converted_stat, '2K_Ratings'!I911, IF(bbgm_stat &gt;= perc_95, converted_stat * 3, IF(bbgm_stat &gt;= perc_90, converted_stat * 2, IF(bbgm_stat &gt;= perc_85, converted_stat * 1.5, converted_stat)))))</f>
        <v/>
      </c>
      <c r="J911" s="30" t="str">
        <f t="array" ref="J911">IF($A911="", "", LET(bbgm_stat, INDEX(Players!$A910:$P910, MATCH(J$2, Players!$A$1:$P$1, 0)), perc_75, VLOOKUP(J$2, Percentiles!$A$45:$I$59, 6, FALSE), perc_90, VLOOKUP(J$2, Percentiles!$A$45:$I$59, 7, FALSE), perc_95, VLOOKUP(J$2, Percentiles!$A$45:$I$59, 8, FALSE), perc_85, perc_75 + (perc_90 - perc_75) * (2/3), converted_stat, '2K_Ratings'!J911, IF(bbgm_stat &gt;= perc_95, converted_stat * 3, IF(bbgm_stat &gt;= perc_90, converted_stat * 2, IF(bbgm_stat &gt;= perc_85, converted_stat * 1.5, converted_stat)))))</f>
        <v/>
      </c>
      <c r="K911" s="30" t="str">
        <f t="array" ref="K911">IF($A911="", "", LET(bbgm_stat, INDEX(Players!$A910:$P910, MATCH(K$2, Players!$A$1:$P$1, 0)), perc_75, VLOOKUP(K$2, Percentiles!$A$45:$I$59, 6, FALSE), perc_90, VLOOKUP(K$2, Percentiles!$A$45:$I$59, 7, FALSE), perc_95, VLOOKUP(K$2, Percentiles!$A$45:$I$59, 8, FALSE), perc_85, perc_75 + (perc_90 - perc_75) * (2/3), converted_stat, '2K_Ratings'!K911, IF(bbgm_stat &gt;= perc_95, converted_stat * 3, IF(bbgm_stat &gt;= perc_90, converted_stat * 2, IF(bbgm_stat &gt;= perc_85, converted_stat * 1.5, converted_stat)))))</f>
        <v/>
      </c>
      <c r="L911" s="30" t="str">
        <f t="array" ref="L911">IF($A911="", "", LET(bbgm_stat, INDEX(Players!$A910:$P910, MATCH(L$2, Players!$A$1:$P$1, 0)), perc_75, VLOOKUP(L$2, Percentiles!$A$45:$I$59, 6, FALSE), perc_90, VLOOKUP(L$2, Percentiles!$A$45:$I$59, 7, FALSE), perc_95, VLOOKUP(L$2, Percentiles!$A$45:$I$59, 8, FALSE), perc_85, perc_75 + (perc_90 - perc_75) * (2/3), converted_stat, '2K_Ratings'!L911, IF(bbgm_stat &gt;= perc_95, converted_stat * 3, IF(bbgm_stat &gt;= perc_90, converted_stat * 2, IF(bbgm_stat &gt;= perc_85, converted_stat * 1.5, converted_stat)))))</f>
        <v/>
      </c>
      <c r="M911" s="30" t="str">
        <f t="array" ref="M911">IF($A911="", "", LET(bbgm_stat, INDEX(Players!$A910:$P910, MATCH(M$2, Players!$A$1:$P$1, 0)), perc_75, VLOOKUP(M$2, Percentiles!$A$45:$I$59, 6, FALSE), perc_90, VLOOKUP(M$2, Percentiles!$A$45:$I$59, 7, FALSE), perc_95, VLOOKUP(M$2, Percentiles!$A$45:$I$59, 8, FALSE), perc_85, perc_75 + (perc_90 - perc_75) * (2/3), converted_stat, '2K_Ratings'!M911, IF(bbgm_stat &gt;= perc_95, converted_stat * 3, IF(bbgm_stat &gt;= perc_90, converted_stat * 2, IF(bbgm_stat &gt;= perc_85, converted_stat * 1.5, converted_stat)))))</f>
        <v/>
      </c>
      <c r="N911" s="30" t="str">
        <f t="array" ref="N911">IF($A911="", "", LET(bbgm_stat, INDEX(Players!$A910:$P910, MATCH(N$2, Players!$A$1:$P$1, 0)), perc_75, VLOOKUP(N$2, Percentiles!$A$45:$I$59, 6, FALSE), perc_90, VLOOKUP(N$2, Percentiles!$A$45:$I$59, 7, FALSE), perc_95, VLOOKUP(N$2, Percentiles!$A$45:$I$59, 8, FALSE), perc_85, perc_75 + (perc_90 - perc_75) * (2/3), converted_stat, '2K_Ratings'!N911, IF(bbgm_stat &gt;= perc_95, converted_stat * 3, IF(bbgm_stat &gt;= perc_90, converted_stat * 2, IF(bbgm_stat &gt;= perc_85, converted_stat * 1.5, converted_stat)))))</f>
        <v/>
      </c>
      <c r="O911" s="30" t="str">
        <f t="array" ref="O911">IF($A911="", "", LET(bbgm_stat, INDEX(Players!$A910:$P910, MATCH(O$2, Players!$A$1:$P$1, 0)), perc_75, VLOOKUP(O$2, Percentiles!$A$45:$I$59, 6, FALSE), perc_90, VLOOKUP(O$2, Percentiles!$A$45:$I$59, 7, FALSE), perc_95, VLOOKUP(O$2, Percentiles!$A$45:$I$59, 8, FALSE), perc_85, perc_75 + (perc_90 - perc_75) * (2/3), converted_stat, '2K_Ratings'!O911, IF(bbgm_stat &gt;= perc_95, converted_stat * 3, IF(bbgm_stat &gt;= perc_90, converted_stat * 2, IF(bbgm_stat &gt;= perc_85, converted_stat * 1.5, converted_stat)))))</f>
        <v/>
      </c>
      <c r="P911" s="30" t="str">
        <f t="array" ref="P911">IF($A911="", "", LET(bbgm_stat, INDEX(Players!$A910:$P910, MATCH(P$2, Players!$A$1:$P$1, 0)), perc_75, VLOOKUP(P$2, Percentiles!$A$45:$I$59, 6, FALSE), perc_90, VLOOKUP(P$2, Percentiles!$A$45:$I$59, 7, FALSE), perc_95, VLOOKUP(P$2, Percentiles!$A$45:$I$59, 8, FALSE), perc_85, perc_75 + (perc_90 - perc_75) * (2/3), converted_stat, '2K_Ratings'!P911, IF(bbgm_stat &gt;= perc_95, converted_stat * 3, IF(bbgm_stat &gt;= perc_90, converted_stat * 2, IF(bbgm_stat &gt;= perc_85, converted_stat * 1.5, converted_stat)))))</f>
        <v/>
      </c>
      <c r="Q911" s="30" t="str">
        <f t="array" ref="Q911">IF($A911="", "", LET(bbgm_stat, INDEX(Players!$A910:$P910, MATCH(Q$2, Players!$A$1:$P$1, 0)), perc_75, VLOOKUP(Q$2, Percentiles!$A$45:$I$59, 6, FALSE), perc_90, VLOOKUP(Q$2, Percentiles!$A$45:$I$59, 7, FALSE), perc_95, VLOOKUP(Q$2, Percentiles!$A$45:$I$59, 8, FALSE), perc_85, perc_75 + (perc_90 - perc_75) * (2/3), converted_stat, '2K_Ratings'!Q911, IF(bbgm_stat &gt;= perc_95, converted_stat * 3, IF(bbgm_stat &gt;= perc_90, converted_stat * 2, IF(bbgm_stat &gt;= perc_85, converted_stat * 1.5, converted_stat)))))</f>
        <v/>
      </c>
      <c r="R911" s="30" t="str">
        <f t="array" ref="R911">IF($A911="", "", LET(bbgm_stat, INDEX(Players!$A910:$P910, MATCH(R$2, Players!$A$1:$P$1, 0)), perc_75, VLOOKUP(R$2, Percentiles!$A$45:$I$59, 6, FALSE), perc_90, VLOOKUP(R$2, Percentiles!$A$45:$I$59, 7, FALSE), perc_95, VLOOKUP(R$2, Percentiles!$A$45:$I$59, 8, FALSE), perc_85, perc_75 + (perc_90 - perc_75) * (2/3), converted_stat, '2K_Ratings'!R911, IF(bbgm_stat &gt;= perc_95, converted_stat * 3, IF(bbgm_stat &gt;= perc_90, converted_stat * 2, IF(bbgm_stat &gt;= perc_85, converted_stat * 1.5, converted_stat)))))</f>
        <v/>
      </c>
      <c r="S911" s="30" t="str">
        <f t="array" ref="S911">IF($A911="", "", LET(bbgm_stat, INDEX(Players!$A910:$P910, MATCH(S$2, Players!$A$1:$P$1, 0)), perc_75, VLOOKUP(S$2, Percentiles!$A$45:$I$59, 6, FALSE), perc_90, VLOOKUP(S$2, Percentiles!$A$45:$I$59, 7, FALSE), perc_95, VLOOKUP(S$2, Percentiles!$A$45:$I$59, 8, FALSE), perc_85, perc_75 + (perc_90 - perc_75) * (2/3), converted_stat, '2K_Ratings'!S911, IF(bbgm_stat &gt;= perc_95, converted_stat * 3, IF(bbgm_stat &gt;= perc_90, converted_stat * 2, IF(bbgm_stat &gt;= perc_85, converted_stat * 1.5, converted_stat)))))</f>
        <v/>
      </c>
      <c r="T911" s="30" t="str">
        <f t="array" ref="T911">IF($A911="", "", LET(bbgm_stat, INDEX(Players!$A910:$P910, MATCH(T$2, Players!$A$1:$P$1, 0)), perc_75, VLOOKUP(T$2, Percentiles!$A$45:$I$59, 6, FALSE), perc_90, VLOOKUP(T$2, Percentiles!$A$45:$I$59, 7, FALSE), perc_95, VLOOKUP(T$2, Percentiles!$A$45:$I$59, 8, FALSE), perc_85, perc_75 + (perc_90 - perc_75) * (2/3), converted_stat, '2K_Ratings'!T911, IF(bbgm_stat &gt;= perc_95, converted_stat * 3, IF(bbgm_stat &gt;= perc_90, converted_stat * 2, IF(bbgm_stat &gt;= perc_85, converted_stat * 1.5, converted_stat)))))</f>
        <v/>
      </c>
      <c r="U911" s="30" t="str">
        <f t="array" ref="U911">IF($A911="", "", LET(bbgm_stat, INDEX(Players!$A910:$P910, MATCH(U$2, Players!$A$1:$P$1, 0)), perc_75, VLOOKUP(U$2, Percentiles!$A$45:$I$59, 6, FALSE), perc_90, VLOOKUP(U$2, Percentiles!$A$45:$I$59, 7, FALSE), perc_95, VLOOKUP(U$2, Percentiles!$A$45:$I$59, 8, FALSE), perc_85, perc_75 + (perc_90 - perc_75) * (2/3), converted_stat, '2K_Ratings'!U911, IF(bbgm_stat &gt;= perc_95, converted_stat * 3, IF(bbgm_stat &gt;= perc_90, converted_stat * 2, IF(bbgm_stat &gt;= perc_85, converted_stat * 1.5, converted_stat)))))</f>
        <v/>
      </c>
      <c r="V911" s="30" t="str">
        <f t="array" ref="V911">IF($A911="", "", LET(bbgm_stat, INDEX(Players!$A910:$P910, MATCH(V$2, Players!$A$1:$P$1, 0)), perc_75, VLOOKUP(V$2, Percentiles!$A$45:$I$59, 6, FALSE), perc_90, VLOOKUP(V$2, Percentiles!$A$45:$I$59, 7, FALSE), perc_95, VLOOKUP(V$2, Percentiles!$A$45:$I$59, 8, FALSE), perc_85, perc_75 + (perc_90 - perc_75) * (2/3), converted_stat, '2K_Ratings'!V911, IF(bbgm_stat &gt;= perc_95, converted_stat * 3, IF(bbgm_stat &gt;= perc_90, converted_stat * 2, IF(bbgm_stat &gt;= perc_85, converted_stat * 1.5, converted_stat)))))</f>
        <v/>
      </c>
      <c r="W911" s="30" t="str">
        <f t="array" ref="W911">IF($A911="", "", LET(bbgm_stat, INDEX(Players!$A910:$P910, MATCH(W$2, Players!$A$1:$P$1, 0)), perc_75, VLOOKUP(W$2, Percentiles!$A$45:$I$59, 6, FALSE), perc_90, VLOOKUP(W$2, Percentiles!$A$45:$I$59, 7, FALSE), perc_95, VLOOKUP(W$2, Percentiles!$A$45:$I$59, 8, FALSE), perc_85, perc_75 + (perc_90 - perc_75) * (2/3), converted_stat, '2K_Ratings'!W911, IF(bbgm_stat &gt;= perc_95, converted_stat * 3, IF(bbgm_stat &gt;= perc_90, converted_stat * 2, IF(bbgm_stat &gt;= perc_85, converted_stat * 1.5, converted_stat)))))</f>
        <v/>
      </c>
    </row>
    <row r="912">
      <c r="A912" s="30"/>
      <c r="B912" s="30" t="str">
        <f t="array" ref="B912">IF($A912="", "", LET(bbgm_stat, INDEX(Players!$A911:$P911, MATCH(B$2, Players!$A$1:$P$1, 0)), perc_75, VLOOKUP(B$2, Percentiles!$A$45:$I$59, 6, FALSE), perc_90, VLOOKUP(B$2, Percentiles!$A$45:$I$59, 7, FALSE), perc_95, VLOOKUP(B$2, Percentiles!$A$45:$I$59, 8, FALSE), perc_85, perc_75 + (perc_90 - perc_75) * (2/3), converted_stat, '2K_Ratings'!B912, IF(bbgm_stat &gt;= perc_95, converted_stat * 3, IF(bbgm_stat &gt;= perc_90, converted_stat * 2, IF(bbgm_stat &gt;= perc_85, converted_stat * 1.5, converted_stat)))))</f>
        <v/>
      </c>
      <c r="C912" s="30" t="str">
        <f t="array" ref="C912">IF($A912="", "", LET(bbgm_stat, INDEX(Players!$A911:$P911, MATCH(C$2, Players!$A$1:$P$1, 0)), perc_75, VLOOKUP(C$2, Percentiles!$A$45:$I$59, 6, FALSE), perc_90, VLOOKUP(C$2, Percentiles!$A$45:$I$59, 7, FALSE), perc_95, VLOOKUP(C$2, Percentiles!$A$45:$I$59, 8, FALSE), perc_85, perc_75 + (perc_90 - perc_75) * (2/3), converted_stat, '2K_Ratings'!C912, IF(bbgm_stat &gt;= perc_95, converted_stat * 3, IF(bbgm_stat &gt;= perc_90, converted_stat * 2, IF(bbgm_stat &gt;= perc_85, converted_stat * 1.5, converted_stat)))))</f>
        <v/>
      </c>
      <c r="D912" s="30" t="str">
        <f t="array" ref="D912">IF($A912="", "", LET(bbgm_stat, INDEX(Players!$A911:$P911, MATCH(D$2, Players!$A$1:$P$1, 0)), perc_75, VLOOKUP(D$2, Percentiles!$A$45:$I$59, 6, FALSE), perc_90, VLOOKUP(D$2, Percentiles!$A$45:$I$59, 7, FALSE), perc_95, VLOOKUP(D$2, Percentiles!$A$45:$I$59, 8, FALSE), perc_85, perc_75 + (perc_90 - perc_75) * (2/3), converted_stat, '2K_Ratings'!D912, IF(bbgm_stat &gt;= perc_95, converted_stat * 3, IF(bbgm_stat &gt;= perc_90, converted_stat * 2, IF(bbgm_stat &gt;= perc_85, converted_stat * 1.5, converted_stat)))))</f>
        <v/>
      </c>
      <c r="E912" s="30" t="str">
        <f t="array" ref="E912">IF($A912="", "", LET(bbgm_stat, INDEX(Players!$A911:$P911, MATCH(E$2, Players!$A$1:$P$1, 0)), perc_75, VLOOKUP(E$2, Percentiles!$A$45:$I$59, 6, FALSE), perc_90, VLOOKUP(E$2, Percentiles!$A$45:$I$59, 7, FALSE), perc_95, VLOOKUP(E$2, Percentiles!$A$45:$I$59, 8, FALSE), perc_85, perc_75 + (perc_90 - perc_75) * (2/3), converted_stat, '2K_Ratings'!E912, IF(bbgm_stat &gt;= perc_95, converted_stat * 3, IF(bbgm_stat &gt;= perc_90, converted_stat * 2, IF(bbgm_stat &gt;= perc_85, converted_stat * 1.5, converted_stat)))))</f>
        <v/>
      </c>
      <c r="F912" s="30" t="str">
        <f t="array" ref="F912">IF($A912="", "", LET(bbgm_stat, INDEX(Players!$A911:$P911, MATCH(F$2, Players!$A$1:$P$1, 0)), perc_75, VLOOKUP(F$2, Percentiles!$A$45:$I$59, 6, FALSE), perc_90, VLOOKUP(F$2, Percentiles!$A$45:$I$59, 7, FALSE), perc_95, VLOOKUP(F$2, Percentiles!$A$45:$I$59, 8, FALSE), perc_85, perc_75 + (perc_90 - perc_75) * (2/3), converted_stat, '2K_Ratings'!F912, IF(bbgm_stat &gt;= perc_95, converted_stat * 3, IF(bbgm_stat &gt;= perc_90, converted_stat * 2, IF(bbgm_stat &gt;= perc_85, converted_stat * 1.5, converted_stat)))))</f>
        <v/>
      </c>
      <c r="G912" s="30" t="str">
        <f t="array" ref="G912">IF($A912="", "", LET(bbgm_stat, INDEX(Players!$A911:$P911, MATCH(G$2, Players!$A$1:$P$1, 0)), perc_75, VLOOKUP(G$2, Percentiles!$A$45:$I$59, 6, FALSE), perc_90, VLOOKUP(G$2, Percentiles!$A$45:$I$59, 7, FALSE), perc_95, VLOOKUP(G$2, Percentiles!$A$45:$I$59, 8, FALSE), perc_85, perc_75 + (perc_90 - perc_75) * (2/3), converted_stat, '2K_Ratings'!G912, IF(bbgm_stat &gt;= perc_95, converted_stat * 3, IF(bbgm_stat &gt;= perc_90, converted_stat * 2, IF(bbgm_stat &gt;= perc_85, converted_stat * 1.5, converted_stat)))))</f>
        <v/>
      </c>
      <c r="H912" s="30" t="str">
        <f t="array" ref="H912">IF($A912="", "", LET(bbgm_stat, INDEX(Players!$A911:$P911, MATCH(H$2, Players!$A$1:$P$1, 0)), perc_75, VLOOKUP(H$2, Percentiles!$A$45:$I$59, 6, FALSE), perc_90, VLOOKUP(H$2, Percentiles!$A$45:$I$59, 7, FALSE), perc_95, VLOOKUP(H$2, Percentiles!$A$45:$I$59, 8, FALSE), perc_85, perc_75 + (perc_90 - perc_75) * (2/3), converted_stat, '2K_Ratings'!H912, IF(bbgm_stat &gt;= perc_95, converted_stat * 3, IF(bbgm_stat &gt;= perc_90, converted_stat * 2, IF(bbgm_stat &gt;= perc_85, converted_stat * 1.5, converted_stat)))))</f>
        <v/>
      </c>
      <c r="I912" s="30" t="str">
        <f t="array" ref="I912">IF($A912="", "", LET(bbgm_stat, INDEX(Players!$A911:$P911, MATCH(I$2, Players!$A$1:$P$1, 0)), perc_75, VLOOKUP(I$2, Percentiles!$A$45:$I$59, 6, FALSE), perc_90, VLOOKUP(I$2, Percentiles!$A$45:$I$59, 7, FALSE), perc_95, VLOOKUP(I$2, Percentiles!$A$45:$I$59, 8, FALSE), perc_85, perc_75 + (perc_90 - perc_75) * (2/3), converted_stat, '2K_Ratings'!I912, IF(bbgm_stat &gt;= perc_95, converted_stat * 3, IF(bbgm_stat &gt;= perc_90, converted_stat * 2, IF(bbgm_stat &gt;= perc_85, converted_stat * 1.5, converted_stat)))))</f>
        <v/>
      </c>
      <c r="J912" s="30" t="str">
        <f t="array" ref="J912">IF($A912="", "", LET(bbgm_stat, INDEX(Players!$A911:$P911, MATCH(J$2, Players!$A$1:$P$1, 0)), perc_75, VLOOKUP(J$2, Percentiles!$A$45:$I$59, 6, FALSE), perc_90, VLOOKUP(J$2, Percentiles!$A$45:$I$59, 7, FALSE), perc_95, VLOOKUP(J$2, Percentiles!$A$45:$I$59, 8, FALSE), perc_85, perc_75 + (perc_90 - perc_75) * (2/3), converted_stat, '2K_Ratings'!J912, IF(bbgm_stat &gt;= perc_95, converted_stat * 3, IF(bbgm_stat &gt;= perc_90, converted_stat * 2, IF(bbgm_stat &gt;= perc_85, converted_stat * 1.5, converted_stat)))))</f>
        <v/>
      </c>
      <c r="K912" s="30" t="str">
        <f t="array" ref="K912">IF($A912="", "", LET(bbgm_stat, INDEX(Players!$A911:$P911, MATCH(K$2, Players!$A$1:$P$1, 0)), perc_75, VLOOKUP(K$2, Percentiles!$A$45:$I$59, 6, FALSE), perc_90, VLOOKUP(K$2, Percentiles!$A$45:$I$59, 7, FALSE), perc_95, VLOOKUP(K$2, Percentiles!$A$45:$I$59, 8, FALSE), perc_85, perc_75 + (perc_90 - perc_75) * (2/3), converted_stat, '2K_Ratings'!K912, IF(bbgm_stat &gt;= perc_95, converted_stat * 3, IF(bbgm_stat &gt;= perc_90, converted_stat * 2, IF(bbgm_stat &gt;= perc_85, converted_stat * 1.5, converted_stat)))))</f>
        <v/>
      </c>
      <c r="L912" s="30" t="str">
        <f t="array" ref="L912">IF($A912="", "", LET(bbgm_stat, INDEX(Players!$A911:$P911, MATCH(L$2, Players!$A$1:$P$1, 0)), perc_75, VLOOKUP(L$2, Percentiles!$A$45:$I$59, 6, FALSE), perc_90, VLOOKUP(L$2, Percentiles!$A$45:$I$59, 7, FALSE), perc_95, VLOOKUP(L$2, Percentiles!$A$45:$I$59, 8, FALSE), perc_85, perc_75 + (perc_90 - perc_75) * (2/3), converted_stat, '2K_Ratings'!L912, IF(bbgm_stat &gt;= perc_95, converted_stat * 3, IF(bbgm_stat &gt;= perc_90, converted_stat * 2, IF(bbgm_stat &gt;= perc_85, converted_stat * 1.5, converted_stat)))))</f>
        <v/>
      </c>
      <c r="M912" s="30" t="str">
        <f t="array" ref="M912">IF($A912="", "", LET(bbgm_stat, INDEX(Players!$A911:$P911, MATCH(M$2, Players!$A$1:$P$1, 0)), perc_75, VLOOKUP(M$2, Percentiles!$A$45:$I$59, 6, FALSE), perc_90, VLOOKUP(M$2, Percentiles!$A$45:$I$59, 7, FALSE), perc_95, VLOOKUP(M$2, Percentiles!$A$45:$I$59, 8, FALSE), perc_85, perc_75 + (perc_90 - perc_75) * (2/3), converted_stat, '2K_Ratings'!M912, IF(bbgm_stat &gt;= perc_95, converted_stat * 3, IF(bbgm_stat &gt;= perc_90, converted_stat * 2, IF(bbgm_stat &gt;= perc_85, converted_stat * 1.5, converted_stat)))))</f>
        <v/>
      </c>
      <c r="N912" s="30" t="str">
        <f t="array" ref="N912">IF($A912="", "", LET(bbgm_stat, INDEX(Players!$A911:$P911, MATCH(N$2, Players!$A$1:$P$1, 0)), perc_75, VLOOKUP(N$2, Percentiles!$A$45:$I$59, 6, FALSE), perc_90, VLOOKUP(N$2, Percentiles!$A$45:$I$59, 7, FALSE), perc_95, VLOOKUP(N$2, Percentiles!$A$45:$I$59, 8, FALSE), perc_85, perc_75 + (perc_90 - perc_75) * (2/3), converted_stat, '2K_Ratings'!N912, IF(bbgm_stat &gt;= perc_95, converted_stat * 3, IF(bbgm_stat &gt;= perc_90, converted_stat * 2, IF(bbgm_stat &gt;= perc_85, converted_stat * 1.5, converted_stat)))))</f>
        <v/>
      </c>
      <c r="O912" s="30" t="str">
        <f t="array" ref="O912">IF($A912="", "", LET(bbgm_stat, INDEX(Players!$A911:$P911, MATCH(O$2, Players!$A$1:$P$1, 0)), perc_75, VLOOKUP(O$2, Percentiles!$A$45:$I$59, 6, FALSE), perc_90, VLOOKUP(O$2, Percentiles!$A$45:$I$59, 7, FALSE), perc_95, VLOOKUP(O$2, Percentiles!$A$45:$I$59, 8, FALSE), perc_85, perc_75 + (perc_90 - perc_75) * (2/3), converted_stat, '2K_Ratings'!O912, IF(bbgm_stat &gt;= perc_95, converted_stat * 3, IF(bbgm_stat &gt;= perc_90, converted_stat * 2, IF(bbgm_stat &gt;= perc_85, converted_stat * 1.5, converted_stat)))))</f>
        <v/>
      </c>
      <c r="P912" s="30" t="str">
        <f t="array" ref="P912">IF($A912="", "", LET(bbgm_stat, INDEX(Players!$A911:$P911, MATCH(P$2, Players!$A$1:$P$1, 0)), perc_75, VLOOKUP(P$2, Percentiles!$A$45:$I$59, 6, FALSE), perc_90, VLOOKUP(P$2, Percentiles!$A$45:$I$59, 7, FALSE), perc_95, VLOOKUP(P$2, Percentiles!$A$45:$I$59, 8, FALSE), perc_85, perc_75 + (perc_90 - perc_75) * (2/3), converted_stat, '2K_Ratings'!P912, IF(bbgm_stat &gt;= perc_95, converted_stat * 3, IF(bbgm_stat &gt;= perc_90, converted_stat * 2, IF(bbgm_stat &gt;= perc_85, converted_stat * 1.5, converted_stat)))))</f>
        <v/>
      </c>
      <c r="Q912" s="30" t="str">
        <f t="array" ref="Q912">IF($A912="", "", LET(bbgm_stat, INDEX(Players!$A911:$P911, MATCH(Q$2, Players!$A$1:$P$1, 0)), perc_75, VLOOKUP(Q$2, Percentiles!$A$45:$I$59, 6, FALSE), perc_90, VLOOKUP(Q$2, Percentiles!$A$45:$I$59, 7, FALSE), perc_95, VLOOKUP(Q$2, Percentiles!$A$45:$I$59, 8, FALSE), perc_85, perc_75 + (perc_90 - perc_75) * (2/3), converted_stat, '2K_Ratings'!Q912, IF(bbgm_stat &gt;= perc_95, converted_stat * 3, IF(bbgm_stat &gt;= perc_90, converted_stat * 2, IF(bbgm_stat &gt;= perc_85, converted_stat * 1.5, converted_stat)))))</f>
        <v/>
      </c>
      <c r="R912" s="30" t="str">
        <f t="array" ref="R912">IF($A912="", "", LET(bbgm_stat, INDEX(Players!$A911:$P911, MATCH(R$2, Players!$A$1:$P$1, 0)), perc_75, VLOOKUP(R$2, Percentiles!$A$45:$I$59, 6, FALSE), perc_90, VLOOKUP(R$2, Percentiles!$A$45:$I$59, 7, FALSE), perc_95, VLOOKUP(R$2, Percentiles!$A$45:$I$59, 8, FALSE), perc_85, perc_75 + (perc_90 - perc_75) * (2/3), converted_stat, '2K_Ratings'!R912, IF(bbgm_stat &gt;= perc_95, converted_stat * 3, IF(bbgm_stat &gt;= perc_90, converted_stat * 2, IF(bbgm_stat &gt;= perc_85, converted_stat * 1.5, converted_stat)))))</f>
        <v/>
      </c>
      <c r="S912" s="30" t="str">
        <f t="array" ref="S912">IF($A912="", "", LET(bbgm_stat, INDEX(Players!$A911:$P911, MATCH(S$2, Players!$A$1:$P$1, 0)), perc_75, VLOOKUP(S$2, Percentiles!$A$45:$I$59, 6, FALSE), perc_90, VLOOKUP(S$2, Percentiles!$A$45:$I$59, 7, FALSE), perc_95, VLOOKUP(S$2, Percentiles!$A$45:$I$59, 8, FALSE), perc_85, perc_75 + (perc_90 - perc_75) * (2/3), converted_stat, '2K_Ratings'!S912, IF(bbgm_stat &gt;= perc_95, converted_stat * 3, IF(bbgm_stat &gt;= perc_90, converted_stat * 2, IF(bbgm_stat &gt;= perc_85, converted_stat * 1.5, converted_stat)))))</f>
        <v/>
      </c>
      <c r="T912" s="30" t="str">
        <f t="array" ref="T912">IF($A912="", "", LET(bbgm_stat, INDEX(Players!$A911:$P911, MATCH(T$2, Players!$A$1:$P$1, 0)), perc_75, VLOOKUP(T$2, Percentiles!$A$45:$I$59, 6, FALSE), perc_90, VLOOKUP(T$2, Percentiles!$A$45:$I$59, 7, FALSE), perc_95, VLOOKUP(T$2, Percentiles!$A$45:$I$59, 8, FALSE), perc_85, perc_75 + (perc_90 - perc_75) * (2/3), converted_stat, '2K_Ratings'!T912, IF(bbgm_stat &gt;= perc_95, converted_stat * 3, IF(bbgm_stat &gt;= perc_90, converted_stat * 2, IF(bbgm_stat &gt;= perc_85, converted_stat * 1.5, converted_stat)))))</f>
        <v/>
      </c>
      <c r="U912" s="30" t="str">
        <f t="array" ref="U912">IF($A912="", "", LET(bbgm_stat, INDEX(Players!$A911:$P911, MATCH(U$2, Players!$A$1:$P$1, 0)), perc_75, VLOOKUP(U$2, Percentiles!$A$45:$I$59, 6, FALSE), perc_90, VLOOKUP(U$2, Percentiles!$A$45:$I$59, 7, FALSE), perc_95, VLOOKUP(U$2, Percentiles!$A$45:$I$59, 8, FALSE), perc_85, perc_75 + (perc_90 - perc_75) * (2/3), converted_stat, '2K_Ratings'!U912, IF(bbgm_stat &gt;= perc_95, converted_stat * 3, IF(bbgm_stat &gt;= perc_90, converted_stat * 2, IF(bbgm_stat &gt;= perc_85, converted_stat * 1.5, converted_stat)))))</f>
        <v/>
      </c>
      <c r="V912" s="30" t="str">
        <f t="array" ref="V912">IF($A912="", "", LET(bbgm_stat, INDEX(Players!$A911:$P911, MATCH(V$2, Players!$A$1:$P$1, 0)), perc_75, VLOOKUP(V$2, Percentiles!$A$45:$I$59, 6, FALSE), perc_90, VLOOKUP(V$2, Percentiles!$A$45:$I$59, 7, FALSE), perc_95, VLOOKUP(V$2, Percentiles!$A$45:$I$59, 8, FALSE), perc_85, perc_75 + (perc_90 - perc_75) * (2/3), converted_stat, '2K_Ratings'!V912, IF(bbgm_stat &gt;= perc_95, converted_stat * 3, IF(bbgm_stat &gt;= perc_90, converted_stat * 2, IF(bbgm_stat &gt;= perc_85, converted_stat * 1.5, converted_stat)))))</f>
        <v/>
      </c>
      <c r="W912" s="30" t="str">
        <f t="array" ref="W912">IF($A912="", "", LET(bbgm_stat, INDEX(Players!$A911:$P911, MATCH(W$2, Players!$A$1:$P$1, 0)), perc_75, VLOOKUP(W$2, Percentiles!$A$45:$I$59, 6, FALSE), perc_90, VLOOKUP(W$2, Percentiles!$A$45:$I$59, 7, FALSE), perc_95, VLOOKUP(W$2, Percentiles!$A$45:$I$59, 8, FALSE), perc_85, perc_75 + (perc_90 - perc_75) * (2/3), converted_stat, '2K_Ratings'!W912, IF(bbgm_stat &gt;= perc_95, converted_stat * 3, IF(bbgm_stat &gt;= perc_90, converted_stat * 2, IF(bbgm_stat &gt;= perc_85, converted_stat * 1.5, converted_stat)))))</f>
        <v/>
      </c>
    </row>
    <row r="913">
      <c r="A913" s="30"/>
      <c r="B913" s="30" t="str">
        <f t="array" ref="B913">IF($A913="", "", LET(bbgm_stat, INDEX(Players!$A912:$P912, MATCH(B$2, Players!$A$1:$P$1, 0)), perc_75, VLOOKUP(B$2, Percentiles!$A$45:$I$59, 6, FALSE), perc_90, VLOOKUP(B$2, Percentiles!$A$45:$I$59, 7, FALSE), perc_95, VLOOKUP(B$2, Percentiles!$A$45:$I$59, 8, FALSE), perc_85, perc_75 + (perc_90 - perc_75) * (2/3), converted_stat, '2K_Ratings'!B913, IF(bbgm_stat &gt;= perc_95, converted_stat * 3, IF(bbgm_stat &gt;= perc_90, converted_stat * 2, IF(bbgm_stat &gt;= perc_85, converted_stat * 1.5, converted_stat)))))</f>
        <v/>
      </c>
      <c r="C913" s="30" t="str">
        <f t="array" ref="C913">IF($A913="", "", LET(bbgm_stat, INDEX(Players!$A912:$P912, MATCH(C$2, Players!$A$1:$P$1, 0)), perc_75, VLOOKUP(C$2, Percentiles!$A$45:$I$59, 6, FALSE), perc_90, VLOOKUP(C$2, Percentiles!$A$45:$I$59, 7, FALSE), perc_95, VLOOKUP(C$2, Percentiles!$A$45:$I$59, 8, FALSE), perc_85, perc_75 + (perc_90 - perc_75) * (2/3), converted_stat, '2K_Ratings'!C913, IF(bbgm_stat &gt;= perc_95, converted_stat * 3, IF(bbgm_stat &gt;= perc_90, converted_stat * 2, IF(bbgm_stat &gt;= perc_85, converted_stat * 1.5, converted_stat)))))</f>
        <v/>
      </c>
      <c r="D913" s="30" t="str">
        <f t="array" ref="D913">IF($A913="", "", LET(bbgm_stat, INDEX(Players!$A912:$P912, MATCH(D$2, Players!$A$1:$P$1, 0)), perc_75, VLOOKUP(D$2, Percentiles!$A$45:$I$59, 6, FALSE), perc_90, VLOOKUP(D$2, Percentiles!$A$45:$I$59, 7, FALSE), perc_95, VLOOKUP(D$2, Percentiles!$A$45:$I$59, 8, FALSE), perc_85, perc_75 + (perc_90 - perc_75) * (2/3), converted_stat, '2K_Ratings'!D913, IF(bbgm_stat &gt;= perc_95, converted_stat * 3, IF(bbgm_stat &gt;= perc_90, converted_stat * 2, IF(bbgm_stat &gt;= perc_85, converted_stat * 1.5, converted_stat)))))</f>
        <v/>
      </c>
      <c r="E913" s="30" t="str">
        <f t="array" ref="E913">IF($A913="", "", LET(bbgm_stat, INDEX(Players!$A912:$P912, MATCH(E$2, Players!$A$1:$P$1, 0)), perc_75, VLOOKUP(E$2, Percentiles!$A$45:$I$59, 6, FALSE), perc_90, VLOOKUP(E$2, Percentiles!$A$45:$I$59, 7, FALSE), perc_95, VLOOKUP(E$2, Percentiles!$A$45:$I$59, 8, FALSE), perc_85, perc_75 + (perc_90 - perc_75) * (2/3), converted_stat, '2K_Ratings'!E913, IF(bbgm_stat &gt;= perc_95, converted_stat * 3, IF(bbgm_stat &gt;= perc_90, converted_stat * 2, IF(bbgm_stat &gt;= perc_85, converted_stat * 1.5, converted_stat)))))</f>
        <v/>
      </c>
      <c r="F913" s="30" t="str">
        <f t="array" ref="F913">IF($A913="", "", LET(bbgm_stat, INDEX(Players!$A912:$P912, MATCH(F$2, Players!$A$1:$P$1, 0)), perc_75, VLOOKUP(F$2, Percentiles!$A$45:$I$59, 6, FALSE), perc_90, VLOOKUP(F$2, Percentiles!$A$45:$I$59, 7, FALSE), perc_95, VLOOKUP(F$2, Percentiles!$A$45:$I$59, 8, FALSE), perc_85, perc_75 + (perc_90 - perc_75) * (2/3), converted_stat, '2K_Ratings'!F913, IF(bbgm_stat &gt;= perc_95, converted_stat * 3, IF(bbgm_stat &gt;= perc_90, converted_stat * 2, IF(bbgm_stat &gt;= perc_85, converted_stat * 1.5, converted_stat)))))</f>
        <v/>
      </c>
      <c r="G913" s="30" t="str">
        <f t="array" ref="G913">IF($A913="", "", LET(bbgm_stat, INDEX(Players!$A912:$P912, MATCH(G$2, Players!$A$1:$P$1, 0)), perc_75, VLOOKUP(G$2, Percentiles!$A$45:$I$59, 6, FALSE), perc_90, VLOOKUP(G$2, Percentiles!$A$45:$I$59, 7, FALSE), perc_95, VLOOKUP(G$2, Percentiles!$A$45:$I$59, 8, FALSE), perc_85, perc_75 + (perc_90 - perc_75) * (2/3), converted_stat, '2K_Ratings'!G913, IF(bbgm_stat &gt;= perc_95, converted_stat * 3, IF(bbgm_stat &gt;= perc_90, converted_stat * 2, IF(bbgm_stat &gt;= perc_85, converted_stat * 1.5, converted_stat)))))</f>
        <v/>
      </c>
      <c r="H913" s="30" t="str">
        <f t="array" ref="H913">IF($A913="", "", LET(bbgm_stat, INDEX(Players!$A912:$P912, MATCH(H$2, Players!$A$1:$P$1, 0)), perc_75, VLOOKUP(H$2, Percentiles!$A$45:$I$59, 6, FALSE), perc_90, VLOOKUP(H$2, Percentiles!$A$45:$I$59, 7, FALSE), perc_95, VLOOKUP(H$2, Percentiles!$A$45:$I$59, 8, FALSE), perc_85, perc_75 + (perc_90 - perc_75) * (2/3), converted_stat, '2K_Ratings'!H913, IF(bbgm_stat &gt;= perc_95, converted_stat * 3, IF(bbgm_stat &gt;= perc_90, converted_stat * 2, IF(bbgm_stat &gt;= perc_85, converted_stat * 1.5, converted_stat)))))</f>
        <v/>
      </c>
      <c r="I913" s="30" t="str">
        <f t="array" ref="I913">IF($A913="", "", LET(bbgm_stat, INDEX(Players!$A912:$P912, MATCH(I$2, Players!$A$1:$P$1, 0)), perc_75, VLOOKUP(I$2, Percentiles!$A$45:$I$59, 6, FALSE), perc_90, VLOOKUP(I$2, Percentiles!$A$45:$I$59, 7, FALSE), perc_95, VLOOKUP(I$2, Percentiles!$A$45:$I$59, 8, FALSE), perc_85, perc_75 + (perc_90 - perc_75) * (2/3), converted_stat, '2K_Ratings'!I913, IF(bbgm_stat &gt;= perc_95, converted_stat * 3, IF(bbgm_stat &gt;= perc_90, converted_stat * 2, IF(bbgm_stat &gt;= perc_85, converted_stat * 1.5, converted_stat)))))</f>
        <v/>
      </c>
      <c r="J913" s="30" t="str">
        <f t="array" ref="J913">IF($A913="", "", LET(bbgm_stat, INDEX(Players!$A912:$P912, MATCH(J$2, Players!$A$1:$P$1, 0)), perc_75, VLOOKUP(J$2, Percentiles!$A$45:$I$59, 6, FALSE), perc_90, VLOOKUP(J$2, Percentiles!$A$45:$I$59, 7, FALSE), perc_95, VLOOKUP(J$2, Percentiles!$A$45:$I$59, 8, FALSE), perc_85, perc_75 + (perc_90 - perc_75) * (2/3), converted_stat, '2K_Ratings'!J913, IF(bbgm_stat &gt;= perc_95, converted_stat * 3, IF(bbgm_stat &gt;= perc_90, converted_stat * 2, IF(bbgm_stat &gt;= perc_85, converted_stat * 1.5, converted_stat)))))</f>
        <v/>
      </c>
      <c r="K913" s="30" t="str">
        <f t="array" ref="K913">IF($A913="", "", LET(bbgm_stat, INDEX(Players!$A912:$P912, MATCH(K$2, Players!$A$1:$P$1, 0)), perc_75, VLOOKUP(K$2, Percentiles!$A$45:$I$59, 6, FALSE), perc_90, VLOOKUP(K$2, Percentiles!$A$45:$I$59, 7, FALSE), perc_95, VLOOKUP(K$2, Percentiles!$A$45:$I$59, 8, FALSE), perc_85, perc_75 + (perc_90 - perc_75) * (2/3), converted_stat, '2K_Ratings'!K913, IF(bbgm_stat &gt;= perc_95, converted_stat * 3, IF(bbgm_stat &gt;= perc_90, converted_stat * 2, IF(bbgm_stat &gt;= perc_85, converted_stat * 1.5, converted_stat)))))</f>
        <v/>
      </c>
      <c r="L913" s="30" t="str">
        <f t="array" ref="L913">IF($A913="", "", LET(bbgm_stat, INDEX(Players!$A912:$P912, MATCH(L$2, Players!$A$1:$P$1, 0)), perc_75, VLOOKUP(L$2, Percentiles!$A$45:$I$59, 6, FALSE), perc_90, VLOOKUP(L$2, Percentiles!$A$45:$I$59, 7, FALSE), perc_95, VLOOKUP(L$2, Percentiles!$A$45:$I$59, 8, FALSE), perc_85, perc_75 + (perc_90 - perc_75) * (2/3), converted_stat, '2K_Ratings'!L913, IF(bbgm_stat &gt;= perc_95, converted_stat * 3, IF(bbgm_stat &gt;= perc_90, converted_stat * 2, IF(bbgm_stat &gt;= perc_85, converted_stat * 1.5, converted_stat)))))</f>
        <v/>
      </c>
      <c r="M913" s="30" t="str">
        <f t="array" ref="M913">IF($A913="", "", LET(bbgm_stat, INDEX(Players!$A912:$P912, MATCH(M$2, Players!$A$1:$P$1, 0)), perc_75, VLOOKUP(M$2, Percentiles!$A$45:$I$59, 6, FALSE), perc_90, VLOOKUP(M$2, Percentiles!$A$45:$I$59, 7, FALSE), perc_95, VLOOKUP(M$2, Percentiles!$A$45:$I$59, 8, FALSE), perc_85, perc_75 + (perc_90 - perc_75) * (2/3), converted_stat, '2K_Ratings'!M913, IF(bbgm_stat &gt;= perc_95, converted_stat * 3, IF(bbgm_stat &gt;= perc_90, converted_stat * 2, IF(bbgm_stat &gt;= perc_85, converted_stat * 1.5, converted_stat)))))</f>
        <v/>
      </c>
      <c r="N913" s="30" t="str">
        <f t="array" ref="N913">IF($A913="", "", LET(bbgm_stat, INDEX(Players!$A912:$P912, MATCH(N$2, Players!$A$1:$P$1, 0)), perc_75, VLOOKUP(N$2, Percentiles!$A$45:$I$59, 6, FALSE), perc_90, VLOOKUP(N$2, Percentiles!$A$45:$I$59, 7, FALSE), perc_95, VLOOKUP(N$2, Percentiles!$A$45:$I$59, 8, FALSE), perc_85, perc_75 + (perc_90 - perc_75) * (2/3), converted_stat, '2K_Ratings'!N913, IF(bbgm_stat &gt;= perc_95, converted_stat * 3, IF(bbgm_stat &gt;= perc_90, converted_stat * 2, IF(bbgm_stat &gt;= perc_85, converted_stat * 1.5, converted_stat)))))</f>
        <v/>
      </c>
      <c r="O913" s="30" t="str">
        <f t="array" ref="O913">IF($A913="", "", LET(bbgm_stat, INDEX(Players!$A912:$P912, MATCH(O$2, Players!$A$1:$P$1, 0)), perc_75, VLOOKUP(O$2, Percentiles!$A$45:$I$59, 6, FALSE), perc_90, VLOOKUP(O$2, Percentiles!$A$45:$I$59, 7, FALSE), perc_95, VLOOKUP(O$2, Percentiles!$A$45:$I$59, 8, FALSE), perc_85, perc_75 + (perc_90 - perc_75) * (2/3), converted_stat, '2K_Ratings'!O913, IF(bbgm_stat &gt;= perc_95, converted_stat * 3, IF(bbgm_stat &gt;= perc_90, converted_stat * 2, IF(bbgm_stat &gt;= perc_85, converted_stat * 1.5, converted_stat)))))</f>
        <v/>
      </c>
      <c r="P913" s="30" t="str">
        <f t="array" ref="P913">IF($A913="", "", LET(bbgm_stat, INDEX(Players!$A912:$P912, MATCH(P$2, Players!$A$1:$P$1, 0)), perc_75, VLOOKUP(P$2, Percentiles!$A$45:$I$59, 6, FALSE), perc_90, VLOOKUP(P$2, Percentiles!$A$45:$I$59, 7, FALSE), perc_95, VLOOKUP(P$2, Percentiles!$A$45:$I$59, 8, FALSE), perc_85, perc_75 + (perc_90 - perc_75) * (2/3), converted_stat, '2K_Ratings'!P913, IF(bbgm_stat &gt;= perc_95, converted_stat * 3, IF(bbgm_stat &gt;= perc_90, converted_stat * 2, IF(bbgm_stat &gt;= perc_85, converted_stat * 1.5, converted_stat)))))</f>
        <v/>
      </c>
      <c r="Q913" s="30" t="str">
        <f t="array" ref="Q913">IF($A913="", "", LET(bbgm_stat, INDEX(Players!$A912:$P912, MATCH(Q$2, Players!$A$1:$P$1, 0)), perc_75, VLOOKUP(Q$2, Percentiles!$A$45:$I$59, 6, FALSE), perc_90, VLOOKUP(Q$2, Percentiles!$A$45:$I$59, 7, FALSE), perc_95, VLOOKUP(Q$2, Percentiles!$A$45:$I$59, 8, FALSE), perc_85, perc_75 + (perc_90 - perc_75) * (2/3), converted_stat, '2K_Ratings'!Q913, IF(bbgm_stat &gt;= perc_95, converted_stat * 3, IF(bbgm_stat &gt;= perc_90, converted_stat * 2, IF(bbgm_stat &gt;= perc_85, converted_stat * 1.5, converted_stat)))))</f>
        <v/>
      </c>
      <c r="R913" s="30" t="str">
        <f t="array" ref="R913">IF($A913="", "", LET(bbgm_stat, INDEX(Players!$A912:$P912, MATCH(R$2, Players!$A$1:$P$1, 0)), perc_75, VLOOKUP(R$2, Percentiles!$A$45:$I$59, 6, FALSE), perc_90, VLOOKUP(R$2, Percentiles!$A$45:$I$59, 7, FALSE), perc_95, VLOOKUP(R$2, Percentiles!$A$45:$I$59, 8, FALSE), perc_85, perc_75 + (perc_90 - perc_75) * (2/3), converted_stat, '2K_Ratings'!R913, IF(bbgm_stat &gt;= perc_95, converted_stat * 3, IF(bbgm_stat &gt;= perc_90, converted_stat * 2, IF(bbgm_stat &gt;= perc_85, converted_stat * 1.5, converted_stat)))))</f>
        <v/>
      </c>
      <c r="S913" s="30" t="str">
        <f t="array" ref="S913">IF($A913="", "", LET(bbgm_stat, INDEX(Players!$A912:$P912, MATCH(S$2, Players!$A$1:$P$1, 0)), perc_75, VLOOKUP(S$2, Percentiles!$A$45:$I$59, 6, FALSE), perc_90, VLOOKUP(S$2, Percentiles!$A$45:$I$59, 7, FALSE), perc_95, VLOOKUP(S$2, Percentiles!$A$45:$I$59, 8, FALSE), perc_85, perc_75 + (perc_90 - perc_75) * (2/3), converted_stat, '2K_Ratings'!S913, IF(bbgm_stat &gt;= perc_95, converted_stat * 3, IF(bbgm_stat &gt;= perc_90, converted_stat * 2, IF(bbgm_stat &gt;= perc_85, converted_stat * 1.5, converted_stat)))))</f>
        <v/>
      </c>
      <c r="T913" s="30" t="str">
        <f t="array" ref="T913">IF($A913="", "", LET(bbgm_stat, INDEX(Players!$A912:$P912, MATCH(T$2, Players!$A$1:$P$1, 0)), perc_75, VLOOKUP(T$2, Percentiles!$A$45:$I$59, 6, FALSE), perc_90, VLOOKUP(T$2, Percentiles!$A$45:$I$59, 7, FALSE), perc_95, VLOOKUP(T$2, Percentiles!$A$45:$I$59, 8, FALSE), perc_85, perc_75 + (perc_90 - perc_75) * (2/3), converted_stat, '2K_Ratings'!T913, IF(bbgm_stat &gt;= perc_95, converted_stat * 3, IF(bbgm_stat &gt;= perc_90, converted_stat * 2, IF(bbgm_stat &gt;= perc_85, converted_stat * 1.5, converted_stat)))))</f>
        <v/>
      </c>
      <c r="U913" s="30" t="str">
        <f t="array" ref="U913">IF($A913="", "", LET(bbgm_stat, INDEX(Players!$A912:$P912, MATCH(U$2, Players!$A$1:$P$1, 0)), perc_75, VLOOKUP(U$2, Percentiles!$A$45:$I$59, 6, FALSE), perc_90, VLOOKUP(U$2, Percentiles!$A$45:$I$59, 7, FALSE), perc_95, VLOOKUP(U$2, Percentiles!$A$45:$I$59, 8, FALSE), perc_85, perc_75 + (perc_90 - perc_75) * (2/3), converted_stat, '2K_Ratings'!U913, IF(bbgm_stat &gt;= perc_95, converted_stat * 3, IF(bbgm_stat &gt;= perc_90, converted_stat * 2, IF(bbgm_stat &gt;= perc_85, converted_stat * 1.5, converted_stat)))))</f>
        <v/>
      </c>
      <c r="V913" s="30" t="str">
        <f t="array" ref="V913">IF($A913="", "", LET(bbgm_stat, INDEX(Players!$A912:$P912, MATCH(V$2, Players!$A$1:$P$1, 0)), perc_75, VLOOKUP(V$2, Percentiles!$A$45:$I$59, 6, FALSE), perc_90, VLOOKUP(V$2, Percentiles!$A$45:$I$59, 7, FALSE), perc_95, VLOOKUP(V$2, Percentiles!$A$45:$I$59, 8, FALSE), perc_85, perc_75 + (perc_90 - perc_75) * (2/3), converted_stat, '2K_Ratings'!V913, IF(bbgm_stat &gt;= perc_95, converted_stat * 3, IF(bbgm_stat &gt;= perc_90, converted_stat * 2, IF(bbgm_stat &gt;= perc_85, converted_stat * 1.5, converted_stat)))))</f>
        <v/>
      </c>
      <c r="W913" s="30" t="str">
        <f t="array" ref="W913">IF($A913="", "", LET(bbgm_stat, INDEX(Players!$A912:$P912, MATCH(W$2, Players!$A$1:$P$1, 0)), perc_75, VLOOKUP(W$2, Percentiles!$A$45:$I$59, 6, FALSE), perc_90, VLOOKUP(W$2, Percentiles!$A$45:$I$59, 7, FALSE), perc_95, VLOOKUP(W$2, Percentiles!$A$45:$I$59, 8, FALSE), perc_85, perc_75 + (perc_90 - perc_75) * (2/3), converted_stat, '2K_Ratings'!W913, IF(bbgm_stat &gt;= perc_95, converted_stat * 3, IF(bbgm_stat &gt;= perc_90, converted_stat * 2, IF(bbgm_stat &gt;= perc_85, converted_stat * 1.5, converted_stat)))))</f>
        <v/>
      </c>
    </row>
    <row r="914">
      <c r="A914" s="30"/>
      <c r="B914" s="30" t="str">
        <f t="array" ref="B914">IF($A914="", "", LET(bbgm_stat, INDEX(Players!$A913:$P913, MATCH(B$2, Players!$A$1:$P$1, 0)), perc_75, VLOOKUP(B$2, Percentiles!$A$45:$I$59, 6, FALSE), perc_90, VLOOKUP(B$2, Percentiles!$A$45:$I$59, 7, FALSE), perc_95, VLOOKUP(B$2, Percentiles!$A$45:$I$59, 8, FALSE), perc_85, perc_75 + (perc_90 - perc_75) * (2/3), converted_stat, '2K_Ratings'!B914, IF(bbgm_stat &gt;= perc_95, converted_stat * 3, IF(bbgm_stat &gt;= perc_90, converted_stat * 2, IF(bbgm_stat &gt;= perc_85, converted_stat * 1.5, converted_stat)))))</f>
        <v/>
      </c>
      <c r="C914" s="30" t="str">
        <f t="array" ref="C914">IF($A914="", "", LET(bbgm_stat, INDEX(Players!$A913:$P913, MATCH(C$2, Players!$A$1:$P$1, 0)), perc_75, VLOOKUP(C$2, Percentiles!$A$45:$I$59, 6, FALSE), perc_90, VLOOKUP(C$2, Percentiles!$A$45:$I$59, 7, FALSE), perc_95, VLOOKUP(C$2, Percentiles!$A$45:$I$59, 8, FALSE), perc_85, perc_75 + (perc_90 - perc_75) * (2/3), converted_stat, '2K_Ratings'!C914, IF(bbgm_stat &gt;= perc_95, converted_stat * 3, IF(bbgm_stat &gt;= perc_90, converted_stat * 2, IF(bbgm_stat &gt;= perc_85, converted_stat * 1.5, converted_stat)))))</f>
        <v/>
      </c>
      <c r="D914" s="30" t="str">
        <f t="array" ref="D914">IF($A914="", "", LET(bbgm_stat, INDEX(Players!$A913:$P913, MATCH(D$2, Players!$A$1:$P$1, 0)), perc_75, VLOOKUP(D$2, Percentiles!$A$45:$I$59, 6, FALSE), perc_90, VLOOKUP(D$2, Percentiles!$A$45:$I$59, 7, FALSE), perc_95, VLOOKUP(D$2, Percentiles!$A$45:$I$59, 8, FALSE), perc_85, perc_75 + (perc_90 - perc_75) * (2/3), converted_stat, '2K_Ratings'!D914, IF(bbgm_stat &gt;= perc_95, converted_stat * 3, IF(bbgm_stat &gt;= perc_90, converted_stat * 2, IF(bbgm_stat &gt;= perc_85, converted_stat * 1.5, converted_stat)))))</f>
        <v/>
      </c>
      <c r="E914" s="30" t="str">
        <f t="array" ref="E914">IF($A914="", "", LET(bbgm_stat, INDEX(Players!$A913:$P913, MATCH(E$2, Players!$A$1:$P$1, 0)), perc_75, VLOOKUP(E$2, Percentiles!$A$45:$I$59, 6, FALSE), perc_90, VLOOKUP(E$2, Percentiles!$A$45:$I$59, 7, FALSE), perc_95, VLOOKUP(E$2, Percentiles!$A$45:$I$59, 8, FALSE), perc_85, perc_75 + (perc_90 - perc_75) * (2/3), converted_stat, '2K_Ratings'!E914, IF(bbgm_stat &gt;= perc_95, converted_stat * 3, IF(bbgm_stat &gt;= perc_90, converted_stat * 2, IF(bbgm_stat &gt;= perc_85, converted_stat * 1.5, converted_stat)))))</f>
        <v/>
      </c>
      <c r="F914" s="30" t="str">
        <f t="array" ref="F914">IF($A914="", "", LET(bbgm_stat, INDEX(Players!$A913:$P913, MATCH(F$2, Players!$A$1:$P$1, 0)), perc_75, VLOOKUP(F$2, Percentiles!$A$45:$I$59, 6, FALSE), perc_90, VLOOKUP(F$2, Percentiles!$A$45:$I$59, 7, FALSE), perc_95, VLOOKUP(F$2, Percentiles!$A$45:$I$59, 8, FALSE), perc_85, perc_75 + (perc_90 - perc_75) * (2/3), converted_stat, '2K_Ratings'!F914, IF(bbgm_stat &gt;= perc_95, converted_stat * 3, IF(bbgm_stat &gt;= perc_90, converted_stat * 2, IF(bbgm_stat &gt;= perc_85, converted_stat * 1.5, converted_stat)))))</f>
        <v/>
      </c>
      <c r="G914" s="30" t="str">
        <f t="array" ref="G914">IF($A914="", "", LET(bbgm_stat, INDEX(Players!$A913:$P913, MATCH(G$2, Players!$A$1:$P$1, 0)), perc_75, VLOOKUP(G$2, Percentiles!$A$45:$I$59, 6, FALSE), perc_90, VLOOKUP(G$2, Percentiles!$A$45:$I$59, 7, FALSE), perc_95, VLOOKUP(G$2, Percentiles!$A$45:$I$59, 8, FALSE), perc_85, perc_75 + (perc_90 - perc_75) * (2/3), converted_stat, '2K_Ratings'!G914, IF(bbgm_stat &gt;= perc_95, converted_stat * 3, IF(bbgm_stat &gt;= perc_90, converted_stat * 2, IF(bbgm_stat &gt;= perc_85, converted_stat * 1.5, converted_stat)))))</f>
        <v/>
      </c>
      <c r="H914" s="30" t="str">
        <f t="array" ref="H914">IF($A914="", "", LET(bbgm_stat, INDEX(Players!$A913:$P913, MATCH(H$2, Players!$A$1:$P$1, 0)), perc_75, VLOOKUP(H$2, Percentiles!$A$45:$I$59, 6, FALSE), perc_90, VLOOKUP(H$2, Percentiles!$A$45:$I$59, 7, FALSE), perc_95, VLOOKUP(H$2, Percentiles!$A$45:$I$59, 8, FALSE), perc_85, perc_75 + (perc_90 - perc_75) * (2/3), converted_stat, '2K_Ratings'!H914, IF(bbgm_stat &gt;= perc_95, converted_stat * 3, IF(bbgm_stat &gt;= perc_90, converted_stat * 2, IF(bbgm_stat &gt;= perc_85, converted_stat * 1.5, converted_stat)))))</f>
        <v/>
      </c>
      <c r="I914" s="30" t="str">
        <f t="array" ref="I914">IF($A914="", "", LET(bbgm_stat, INDEX(Players!$A913:$P913, MATCH(I$2, Players!$A$1:$P$1, 0)), perc_75, VLOOKUP(I$2, Percentiles!$A$45:$I$59, 6, FALSE), perc_90, VLOOKUP(I$2, Percentiles!$A$45:$I$59, 7, FALSE), perc_95, VLOOKUP(I$2, Percentiles!$A$45:$I$59, 8, FALSE), perc_85, perc_75 + (perc_90 - perc_75) * (2/3), converted_stat, '2K_Ratings'!I914, IF(bbgm_stat &gt;= perc_95, converted_stat * 3, IF(bbgm_stat &gt;= perc_90, converted_stat * 2, IF(bbgm_stat &gt;= perc_85, converted_stat * 1.5, converted_stat)))))</f>
        <v/>
      </c>
      <c r="J914" s="30" t="str">
        <f t="array" ref="J914">IF($A914="", "", LET(bbgm_stat, INDEX(Players!$A913:$P913, MATCH(J$2, Players!$A$1:$P$1, 0)), perc_75, VLOOKUP(J$2, Percentiles!$A$45:$I$59, 6, FALSE), perc_90, VLOOKUP(J$2, Percentiles!$A$45:$I$59, 7, FALSE), perc_95, VLOOKUP(J$2, Percentiles!$A$45:$I$59, 8, FALSE), perc_85, perc_75 + (perc_90 - perc_75) * (2/3), converted_stat, '2K_Ratings'!J914, IF(bbgm_stat &gt;= perc_95, converted_stat * 3, IF(bbgm_stat &gt;= perc_90, converted_stat * 2, IF(bbgm_stat &gt;= perc_85, converted_stat * 1.5, converted_stat)))))</f>
        <v/>
      </c>
      <c r="K914" s="30" t="str">
        <f t="array" ref="K914">IF($A914="", "", LET(bbgm_stat, INDEX(Players!$A913:$P913, MATCH(K$2, Players!$A$1:$P$1, 0)), perc_75, VLOOKUP(K$2, Percentiles!$A$45:$I$59, 6, FALSE), perc_90, VLOOKUP(K$2, Percentiles!$A$45:$I$59, 7, FALSE), perc_95, VLOOKUP(K$2, Percentiles!$A$45:$I$59, 8, FALSE), perc_85, perc_75 + (perc_90 - perc_75) * (2/3), converted_stat, '2K_Ratings'!K914, IF(bbgm_stat &gt;= perc_95, converted_stat * 3, IF(bbgm_stat &gt;= perc_90, converted_stat * 2, IF(bbgm_stat &gt;= perc_85, converted_stat * 1.5, converted_stat)))))</f>
        <v/>
      </c>
      <c r="L914" s="30" t="str">
        <f t="array" ref="L914">IF($A914="", "", LET(bbgm_stat, INDEX(Players!$A913:$P913, MATCH(L$2, Players!$A$1:$P$1, 0)), perc_75, VLOOKUP(L$2, Percentiles!$A$45:$I$59, 6, FALSE), perc_90, VLOOKUP(L$2, Percentiles!$A$45:$I$59, 7, FALSE), perc_95, VLOOKUP(L$2, Percentiles!$A$45:$I$59, 8, FALSE), perc_85, perc_75 + (perc_90 - perc_75) * (2/3), converted_stat, '2K_Ratings'!L914, IF(bbgm_stat &gt;= perc_95, converted_stat * 3, IF(bbgm_stat &gt;= perc_90, converted_stat * 2, IF(bbgm_stat &gt;= perc_85, converted_stat * 1.5, converted_stat)))))</f>
        <v/>
      </c>
      <c r="M914" s="30" t="str">
        <f t="array" ref="M914">IF($A914="", "", LET(bbgm_stat, INDEX(Players!$A913:$P913, MATCH(M$2, Players!$A$1:$P$1, 0)), perc_75, VLOOKUP(M$2, Percentiles!$A$45:$I$59, 6, FALSE), perc_90, VLOOKUP(M$2, Percentiles!$A$45:$I$59, 7, FALSE), perc_95, VLOOKUP(M$2, Percentiles!$A$45:$I$59, 8, FALSE), perc_85, perc_75 + (perc_90 - perc_75) * (2/3), converted_stat, '2K_Ratings'!M914, IF(bbgm_stat &gt;= perc_95, converted_stat * 3, IF(bbgm_stat &gt;= perc_90, converted_stat * 2, IF(bbgm_stat &gt;= perc_85, converted_stat * 1.5, converted_stat)))))</f>
        <v/>
      </c>
      <c r="N914" s="30" t="str">
        <f t="array" ref="N914">IF($A914="", "", LET(bbgm_stat, INDEX(Players!$A913:$P913, MATCH(N$2, Players!$A$1:$P$1, 0)), perc_75, VLOOKUP(N$2, Percentiles!$A$45:$I$59, 6, FALSE), perc_90, VLOOKUP(N$2, Percentiles!$A$45:$I$59, 7, FALSE), perc_95, VLOOKUP(N$2, Percentiles!$A$45:$I$59, 8, FALSE), perc_85, perc_75 + (perc_90 - perc_75) * (2/3), converted_stat, '2K_Ratings'!N914, IF(bbgm_stat &gt;= perc_95, converted_stat * 3, IF(bbgm_stat &gt;= perc_90, converted_stat * 2, IF(bbgm_stat &gt;= perc_85, converted_stat * 1.5, converted_stat)))))</f>
        <v/>
      </c>
      <c r="O914" s="30" t="str">
        <f t="array" ref="O914">IF($A914="", "", LET(bbgm_stat, INDEX(Players!$A913:$P913, MATCH(O$2, Players!$A$1:$P$1, 0)), perc_75, VLOOKUP(O$2, Percentiles!$A$45:$I$59, 6, FALSE), perc_90, VLOOKUP(O$2, Percentiles!$A$45:$I$59, 7, FALSE), perc_95, VLOOKUP(O$2, Percentiles!$A$45:$I$59, 8, FALSE), perc_85, perc_75 + (perc_90 - perc_75) * (2/3), converted_stat, '2K_Ratings'!O914, IF(bbgm_stat &gt;= perc_95, converted_stat * 3, IF(bbgm_stat &gt;= perc_90, converted_stat * 2, IF(bbgm_stat &gt;= perc_85, converted_stat * 1.5, converted_stat)))))</f>
        <v/>
      </c>
      <c r="P914" s="30" t="str">
        <f t="array" ref="P914">IF($A914="", "", LET(bbgm_stat, INDEX(Players!$A913:$P913, MATCH(P$2, Players!$A$1:$P$1, 0)), perc_75, VLOOKUP(P$2, Percentiles!$A$45:$I$59, 6, FALSE), perc_90, VLOOKUP(P$2, Percentiles!$A$45:$I$59, 7, FALSE), perc_95, VLOOKUP(P$2, Percentiles!$A$45:$I$59, 8, FALSE), perc_85, perc_75 + (perc_90 - perc_75) * (2/3), converted_stat, '2K_Ratings'!P914, IF(bbgm_stat &gt;= perc_95, converted_stat * 3, IF(bbgm_stat &gt;= perc_90, converted_stat * 2, IF(bbgm_stat &gt;= perc_85, converted_stat * 1.5, converted_stat)))))</f>
        <v/>
      </c>
      <c r="Q914" s="30" t="str">
        <f t="array" ref="Q914">IF($A914="", "", LET(bbgm_stat, INDEX(Players!$A913:$P913, MATCH(Q$2, Players!$A$1:$P$1, 0)), perc_75, VLOOKUP(Q$2, Percentiles!$A$45:$I$59, 6, FALSE), perc_90, VLOOKUP(Q$2, Percentiles!$A$45:$I$59, 7, FALSE), perc_95, VLOOKUP(Q$2, Percentiles!$A$45:$I$59, 8, FALSE), perc_85, perc_75 + (perc_90 - perc_75) * (2/3), converted_stat, '2K_Ratings'!Q914, IF(bbgm_stat &gt;= perc_95, converted_stat * 3, IF(bbgm_stat &gt;= perc_90, converted_stat * 2, IF(bbgm_stat &gt;= perc_85, converted_stat * 1.5, converted_stat)))))</f>
        <v/>
      </c>
      <c r="R914" s="30" t="str">
        <f t="array" ref="R914">IF($A914="", "", LET(bbgm_stat, INDEX(Players!$A913:$P913, MATCH(R$2, Players!$A$1:$P$1, 0)), perc_75, VLOOKUP(R$2, Percentiles!$A$45:$I$59, 6, FALSE), perc_90, VLOOKUP(R$2, Percentiles!$A$45:$I$59, 7, FALSE), perc_95, VLOOKUP(R$2, Percentiles!$A$45:$I$59, 8, FALSE), perc_85, perc_75 + (perc_90 - perc_75) * (2/3), converted_stat, '2K_Ratings'!R914, IF(bbgm_stat &gt;= perc_95, converted_stat * 3, IF(bbgm_stat &gt;= perc_90, converted_stat * 2, IF(bbgm_stat &gt;= perc_85, converted_stat * 1.5, converted_stat)))))</f>
        <v/>
      </c>
      <c r="S914" s="30" t="str">
        <f t="array" ref="S914">IF($A914="", "", LET(bbgm_stat, INDEX(Players!$A913:$P913, MATCH(S$2, Players!$A$1:$P$1, 0)), perc_75, VLOOKUP(S$2, Percentiles!$A$45:$I$59, 6, FALSE), perc_90, VLOOKUP(S$2, Percentiles!$A$45:$I$59, 7, FALSE), perc_95, VLOOKUP(S$2, Percentiles!$A$45:$I$59, 8, FALSE), perc_85, perc_75 + (perc_90 - perc_75) * (2/3), converted_stat, '2K_Ratings'!S914, IF(bbgm_stat &gt;= perc_95, converted_stat * 3, IF(bbgm_stat &gt;= perc_90, converted_stat * 2, IF(bbgm_stat &gt;= perc_85, converted_stat * 1.5, converted_stat)))))</f>
        <v/>
      </c>
      <c r="T914" s="30" t="str">
        <f t="array" ref="T914">IF($A914="", "", LET(bbgm_stat, INDEX(Players!$A913:$P913, MATCH(T$2, Players!$A$1:$P$1, 0)), perc_75, VLOOKUP(T$2, Percentiles!$A$45:$I$59, 6, FALSE), perc_90, VLOOKUP(T$2, Percentiles!$A$45:$I$59, 7, FALSE), perc_95, VLOOKUP(T$2, Percentiles!$A$45:$I$59, 8, FALSE), perc_85, perc_75 + (perc_90 - perc_75) * (2/3), converted_stat, '2K_Ratings'!T914, IF(bbgm_stat &gt;= perc_95, converted_stat * 3, IF(bbgm_stat &gt;= perc_90, converted_stat * 2, IF(bbgm_stat &gt;= perc_85, converted_stat * 1.5, converted_stat)))))</f>
        <v/>
      </c>
      <c r="U914" s="30" t="str">
        <f t="array" ref="U914">IF($A914="", "", LET(bbgm_stat, INDEX(Players!$A913:$P913, MATCH(U$2, Players!$A$1:$P$1, 0)), perc_75, VLOOKUP(U$2, Percentiles!$A$45:$I$59, 6, FALSE), perc_90, VLOOKUP(U$2, Percentiles!$A$45:$I$59, 7, FALSE), perc_95, VLOOKUP(U$2, Percentiles!$A$45:$I$59, 8, FALSE), perc_85, perc_75 + (perc_90 - perc_75) * (2/3), converted_stat, '2K_Ratings'!U914, IF(bbgm_stat &gt;= perc_95, converted_stat * 3, IF(bbgm_stat &gt;= perc_90, converted_stat * 2, IF(bbgm_stat &gt;= perc_85, converted_stat * 1.5, converted_stat)))))</f>
        <v/>
      </c>
      <c r="V914" s="30" t="str">
        <f t="array" ref="V914">IF($A914="", "", LET(bbgm_stat, INDEX(Players!$A913:$P913, MATCH(V$2, Players!$A$1:$P$1, 0)), perc_75, VLOOKUP(V$2, Percentiles!$A$45:$I$59, 6, FALSE), perc_90, VLOOKUP(V$2, Percentiles!$A$45:$I$59, 7, FALSE), perc_95, VLOOKUP(V$2, Percentiles!$A$45:$I$59, 8, FALSE), perc_85, perc_75 + (perc_90 - perc_75) * (2/3), converted_stat, '2K_Ratings'!V914, IF(bbgm_stat &gt;= perc_95, converted_stat * 3, IF(bbgm_stat &gt;= perc_90, converted_stat * 2, IF(bbgm_stat &gt;= perc_85, converted_stat * 1.5, converted_stat)))))</f>
        <v/>
      </c>
      <c r="W914" s="30" t="str">
        <f t="array" ref="W914">IF($A914="", "", LET(bbgm_stat, INDEX(Players!$A913:$P913, MATCH(W$2, Players!$A$1:$P$1, 0)), perc_75, VLOOKUP(W$2, Percentiles!$A$45:$I$59, 6, FALSE), perc_90, VLOOKUP(W$2, Percentiles!$A$45:$I$59, 7, FALSE), perc_95, VLOOKUP(W$2, Percentiles!$A$45:$I$59, 8, FALSE), perc_85, perc_75 + (perc_90 - perc_75) * (2/3), converted_stat, '2K_Ratings'!W914, IF(bbgm_stat &gt;= perc_95, converted_stat * 3, IF(bbgm_stat &gt;= perc_90, converted_stat * 2, IF(bbgm_stat &gt;= perc_85, converted_stat * 1.5, converted_stat)))))</f>
        <v/>
      </c>
    </row>
    <row r="915">
      <c r="A915" s="30"/>
      <c r="B915" s="30" t="str">
        <f t="array" ref="B915">IF($A915="", "", LET(bbgm_stat, INDEX(Players!$A914:$P914, MATCH(B$2, Players!$A$1:$P$1, 0)), perc_75, VLOOKUP(B$2, Percentiles!$A$45:$I$59, 6, FALSE), perc_90, VLOOKUP(B$2, Percentiles!$A$45:$I$59, 7, FALSE), perc_95, VLOOKUP(B$2, Percentiles!$A$45:$I$59, 8, FALSE), perc_85, perc_75 + (perc_90 - perc_75) * (2/3), converted_stat, '2K_Ratings'!B915, IF(bbgm_stat &gt;= perc_95, converted_stat * 3, IF(bbgm_stat &gt;= perc_90, converted_stat * 2, IF(bbgm_stat &gt;= perc_85, converted_stat * 1.5, converted_stat)))))</f>
        <v/>
      </c>
      <c r="C915" s="30" t="str">
        <f t="array" ref="C915">IF($A915="", "", LET(bbgm_stat, INDEX(Players!$A914:$P914, MATCH(C$2, Players!$A$1:$P$1, 0)), perc_75, VLOOKUP(C$2, Percentiles!$A$45:$I$59, 6, FALSE), perc_90, VLOOKUP(C$2, Percentiles!$A$45:$I$59, 7, FALSE), perc_95, VLOOKUP(C$2, Percentiles!$A$45:$I$59, 8, FALSE), perc_85, perc_75 + (perc_90 - perc_75) * (2/3), converted_stat, '2K_Ratings'!C915, IF(bbgm_stat &gt;= perc_95, converted_stat * 3, IF(bbgm_stat &gt;= perc_90, converted_stat * 2, IF(bbgm_stat &gt;= perc_85, converted_stat * 1.5, converted_stat)))))</f>
        <v/>
      </c>
      <c r="D915" s="30" t="str">
        <f t="array" ref="D915">IF($A915="", "", LET(bbgm_stat, INDEX(Players!$A914:$P914, MATCH(D$2, Players!$A$1:$P$1, 0)), perc_75, VLOOKUP(D$2, Percentiles!$A$45:$I$59, 6, FALSE), perc_90, VLOOKUP(D$2, Percentiles!$A$45:$I$59, 7, FALSE), perc_95, VLOOKUP(D$2, Percentiles!$A$45:$I$59, 8, FALSE), perc_85, perc_75 + (perc_90 - perc_75) * (2/3), converted_stat, '2K_Ratings'!D915, IF(bbgm_stat &gt;= perc_95, converted_stat * 3, IF(bbgm_stat &gt;= perc_90, converted_stat * 2, IF(bbgm_stat &gt;= perc_85, converted_stat * 1.5, converted_stat)))))</f>
        <v/>
      </c>
      <c r="E915" s="30" t="str">
        <f t="array" ref="E915">IF($A915="", "", LET(bbgm_stat, INDEX(Players!$A914:$P914, MATCH(E$2, Players!$A$1:$P$1, 0)), perc_75, VLOOKUP(E$2, Percentiles!$A$45:$I$59, 6, FALSE), perc_90, VLOOKUP(E$2, Percentiles!$A$45:$I$59, 7, FALSE), perc_95, VLOOKUP(E$2, Percentiles!$A$45:$I$59, 8, FALSE), perc_85, perc_75 + (perc_90 - perc_75) * (2/3), converted_stat, '2K_Ratings'!E915, IF(bbgm_stat &gt;= perc_95, converted_stat * 3, IF(bbgm_stat &gt;= perc_90, converted_stat * 2, IF(bbgm_stat &gt;= perc_85, converted_stat * 1.5, converted_stat)))))</f>
        <v/>
      </c>
      <c r="F915" s="30" t="str">
        <f t="array" ref="F915">IF($A915="", "", LET(bbgm_stat, INDEX(Players!$A914:$P914, MATCH(F$2, Players!$A$1:$P$1, 0)), perc_75, VLOOKUP(F$2, Percentiles!$A$45:$I$59, 6, FALSE), perc_90, VLOOKUP(F$2, Percentiles!$A$45:$I$59, 7, FALSE), perc_95, VLOOKUP(F$2, Percentiles!$A$45:$I$59, 8, FALSE), perc_85, perc_75 + (perc_90 - perc_75) * (2/3), converted_stat, '2K_Ratings'!F915, IF(bbgm_stat &gt;= perc_95, converted_stat * 3, IF(bbgm_stat &gt;= perc_90, converted_stat * 2, IF(bbgm_stat &gt;= perc_85, converted_stat * 1.5, converted_stat)))))</f>
        <v/>
      </c>
      <c r="G915" s="30" t="str">
        <f t="array" ref="G915">IF($A915="", "", LET(bbgm_stat, INDEX(Players!$A914:$P914, MATCH(G$2, Players!$A$1:$P$1, 0)), perc_75, VLOOKUP(G$2, Percentiles!$A$45:$I$59, 6, FALSE), perc_90, VLOOKUP(G$2, Percentiles!$A$45:$I$59, 7, FALSE), perc_95, VLOOKUP(G$2, Percentiles!$A$45:$I$59, 8, FALSE), perc_85, perc_75 + (perc_90 - perc_75) * (2/3), converted_stat, '2K_Ratings'!G915, IF(bbgm_stat &gt;= perc_95, converted_stat * 3, IF(bbgm_stat &gt;= perc_90, converted_stat * 2, IF(bbgm_stat &gt;= perc_85, converted_stat * 1.5, converted_stat)))))</f>
        <v/>
      </c>
      <c r="H915" s="30" t="str">
        <f t="array" ref="H915">IF($A915="", "", LET(bbgm_stat, INDEX(Players!$A914:$P914, MATCH(H$2, Players!$A$1:$P$1, 0)), perc_75, VLOOKUP(H$2, Percentiles!$A$45:$I$59, 6, FALSE), perc_90, VLOOKUP(H$2, Percentiles!$A$45:$I$59, 7, FALSE), perc_95, VLOOKUP(H$2, Percentiles!$A$45:$I$59, 8, FALSE), perc_85, perc_75 + (perc_90 - perc_75) * (2/3), converted_stat, '2K_Ratings'!H915, IF(bbgm_stat &gt;= perc_95, converted_stat * 3, IF(bbgm_stat &gt;= perc_90, converted_stat * 2, IF(bbgm_stat &gt;= perc_85, converted_stat * 1.5, converted_stat)))))</f>
        <v/>
      </c>
      <c r="I915" s="30" t="str">
        <f t="array" ref="I915">IF($A915="", "", LET(bbgm_stat, INDEX(Players!$A914:$P914, MATCH(I$2, Players!$A$1:$P$1, 0)), perc_75, VLOOKUP(I$2, Percentiles!$A$45:$I$59, 6, FALSE), perc_90, VLOOKUP(I$2, Percentiles!$A$45:$I$59, 7, FALSE), perc_95, VLOOKUP(I$2, Percentiles!$A$45:$I$59, 8, FALSE), perc_85, perc_75 + (perc_90 - perc_75) * (2/3), converted_stat, '2K_Ratings'!I915, IF(bbgm_stat &gt;= perc_95, converted_stat * 3, IF(bbgm_stat &gt;= perc_90, converted_stat * 2, IF(bbgm_stat &gt;= perc_85, converted_stat * 1.5, converted_stat)))))</f>
        <v/>
      </c>
      <c r="J915" s="30" t="str">
        <f t="array" ref="J915">IF($A915="", "", LET(bbgm_stat, INDEX(Players!$A914:$P914, MATCH(J$2, Players!$A$1:$P$1, 0)), perc_75, VLOOKUP(J$2, Percentiles!$A$45:$I$59, 6, FALSE), perc_90, VLOOKUP(J$2, Percentiles!$A$45:$I$59, 7, FALSE), perc_95, VLOOKUP(J$2, Percentiles!$A$45:$I$59, 8, FALSE), perc_85, perc_75 + (perc_90 - perc_75) * (2/3), converted_stat, '2K_Ratings'!J915, IF(bbgm_stat &gt;= perc_95, converted_stat * 3, IF(bbgm_stat &gt;= perc_90, converted_stat * 2, IF(bbgm_stat &gt;= perc_85, converted_stat * 1.5, converted_stat)))))</f>
        <v/>
      </c>
      <c r="K915" s="30" t="str">
        <f t="array" ref="K915">IF($A915="", "", LET(bbgm_stat, INDEX(Players!$A914:$P914, MATCH(K$2, Players!$A$1:$P$1, 0)), perc_75, VLOOKUP(K$2, Percentiles!$A$45:$I$59, 6, FALSE), perc_90, VLOOKUP(K$2, Percentiles!$A$45:$I$59, 7, FALSE), perc_95, VLOOKUP(K$2, Percentiles!$A$45:$I$59, 8, FALSE), perc_85, perc_75 + (perc_90 - perc_75) * (2/3), converted_stat, '2K_Ratings'!K915, IF(bbgm_stat &gt;= perc_95, converted_stat * 3, IF(bbgm_stat &gt;= perc_90, converted_stat * 2, IF(bbgm_stat &gt;= perc_85, converted_stat * 1.5, converted_stat)))))</f>
        <v/>
      </c>
      <c r="L915" s="30" t="str">
        <f t="array" ref="L915">IF($A915="", "", LET(bbgm_stat, INDEX(Players!$A914:$P914, MATCH(L$2, Players!$A$1:$P$1, 0)), perc_75, VLOOKUP(L$2, Percentiles!$A$45:$I$59, 6, FALSE), perc_90, VLOOKUP(L$2, Percentiles!$A$45:$I$59, 7, FALSE), perc_95, VLOOKUP(L$2, Percentiles!$A$45:$I$59, 8, FALSE), perc_85, perc_75 + (perc_90 - perc_75) * (2/3), converted_stat, '2K_Ratings'!L915, IF(bbgm_stat &gt;= perc_95, converted_stat * 3, IF(bbgm_stat &gt;= perc_90, converted_stat * 2, IF(bbgm_stat &gt;= perc_85, converted_stat * 1.5, converted_stat)))))</f>
        <v/>
      </c>
      <c r="M915" s="30" t="str">
        <f t="array" ref="M915">IF($A915="", "", LET(bbgm_stat, INDEX(Players!$A914:$P914, MATCH(M$2, Players!$A$1:$P$1, 0)), perc_75, VLOOKUP(M$2, Percentiles!$A$45:$I$59, 6, FALSE), perc_90, VLOOKUP(M$2, Percentiles!$A$45:$I$59, 7, FALSE), perc_95, VLOOKUP(M$2, Percentiles!$A$45:$I$59, 8, FALSE), perc_85, perc_75 + (perc_90 - perc_75) * (2/3), converted_stat, '2K_Ratings'!M915, IF(bbgm_stat &gt;= perc_95, converted_stat * 3, IF(bbgm_stat &gt;= perc_90, converted_stat * 2, IF(bbgm_stat &gt;= perc_85, converted_stat * 1.5, converted_stat)))))</f>
        <v/>
      </c>
      <c r="N915" s="30" t="str">
        <f t="array" ref="N915">IF($A915="", "", LET(bbgm_stat, INDEX(Players!$A914:$P914, MATCH(N$2, Players!$A$1:$P$1, 0)), perc_75, VLOOKUP(N$2, Percentiles!$A$45:$I$59, 6, FALSE), perc_90, VLOOKUP(N$2, Percentiles!$A$45:$I$59, 7, FALSE), perc_95, VLOOKUP(N$2, Percentiles!$A$45:$I$59, 8, FALSE), perc_85, perc_75 + (perc_90 - perc_75) * (2/3), converted_stat, '2K_Ratings'!N915, IF(bbgm_stat &gt;= perc_95, converted_stat * 3, IF(bbgm_stat &gt;= perc_90, converted_stat * 2, IF(bbgm_stat &gt;= perc_85, converted_stat * 1.5, converted_stat)))))</f>
        <v/>
      </c>
      <c r="O915" s="30" t="str">
        <f t="array" ref="O915">IF($A915="", "", LET(bbgm_stat, INDEX(Players!$A914:$P914, MATCH(O$2, Players!$A$1:$P$1, 0)), perc_75, VLOOKUP(O$2, Percentiles!$A$45:$I$59, 6, FALSE), perc_90, VLOOKUP(O$2, Percentiles!$A$45:$I$59, 7, FALSE), perc_95, VLOOKUP(O$2, Percentiles!$A$45:$I$59, 8, FALSE), perc_85, perc_75 + (perc_90 - perc_75) * (2/3), converted_stat, '2K_Ratings'!O915, IF(bbgm_stat &gt;= perc_95, converted_stat * 3, IF(bbgm_stat &gt;= perc_90, converted_stat * 2, IF(bbgm_stat &gt;= perc_85, converted_stat * 1.5, converted_stat)))))</f>
        <v/>
      </c>
      <c r="P915" s="30" t="str">
        <f t="array" ref="P915">IF($A915="", "", LET(bbgm_stat, INDEX(Players!$A914:$P914, MATCH(P$2, Players!$A$1:$P$1, 0)), perc_75, VLOOKUP(P$2, Percentiles!$A$45:$I$59, 6, FALSE), perc_90, VLOOKUP(P$2, Percentiles!$A$45:$I$59, 7, FALSE), perc_95, VLOOKUP(P$2, Percentiles!$A$45:$I$59, 8, FALSE), perc_85, perc_75 + (perc_90 - perc_75) * (2/3), converted_stat, '2K_Ratings'!P915, IF(bbgm_stat &gt;= perc_95, converted_stat * 3, IF(bbgm_stat &gt;= perc_90, converted_stat * 2, IF(bbgm_stat &gt;= perc_85, converted_stat * 1.5, converted_stat)))))</f>
        <v/>
      </c>
      <c r="Q915" s="30" t="str">
        <f t="array" ref="Q915">IF($A915="", "", LET(bbgm_stat, INDEX(Players!$A914:$P914, MATCH(Q$2, Players!$A$1:$P$1, 0)), perc_75, VLOOKUP(Q$2, Percentiles!$A$45:$I$59, 6, FALSE), perc_90, VLOOKUP(Q$2, Percentiles!$A$45:$I$59, 7, FALSE), perc_95, VLOOKUP(Q$2, Percentiles!$A$45:$I$59, 8, FALSE), perc_85, perc_75 + (perc_90 - perc_75) * (2/3), converted_stat, '2K_Ratings'!Q915, IF(bbgm_stat &gt;= perc_95, converted_stat * 3, IF(bbgm_stat &gt;= perc_90, converted_stat * 2, IF(bbgm_stat &gt;= perc_85, converted_stat * 1.5, converted_stat)))))</f>
        <v/>
      </c>
      <c r="R915" s="30" t="str">
        <f t="array" ref="R915">IF($A915="", "", LET(bbgm_stat, INDEX(Players!$A914:$P914, MATCH(R$2, Players!$A$1:$P$1, 0)), perc_75, VLOOKUP(R$2, Percentiles!$A$45:$I$59, 6, FALSE), perc_90, VLOOKUP(R$2, Percentiles!$A$45:$I$59, 7, FALSE), perc_95, VLOOKUP(R$2, Percentiles!$A$45:$I$59, 8, FALSE), perc_85, perc_75 + (perc_90 - perc_75) * (2/3), converted_stat, '2K_Ratings'!R915, IF(bbgm_stat &gt;= perc_95, converted_stat * 3, IF(bbgm_stat &gt;= perc_90, converted_stat * 2, IF(bbgm_stat &gt;= perc_85, converted_stat * 1.5, converted_stat)))))</f>
        <v/>
      </c>
      <c r="S915" s="30" t="str">
        <f t="array" ref="S915">IF($A915="", "", LET(bbgm_stat, INDEX(Players!$A914:$P914, MATCH(S$2, Players!$A$1:$P$1, 0)), perc_75, VLOOKUP(S$2, Percentiles!$A$45:$I$59, 6, FALSE), perc_90, VLOOKUP(S$2, Percentiles!$A$45:$I$59, 7, FALSE), perc_95, VLOOKUP(S$2, Percentiles!$A$45:$I$59, 8, FALSE), perc_85, perc_75 + (perc_90 - perc_75) * (2/3), converted_stat, '2K_Ratings'!S915, IF(bbgm_stat &gt;= perc_95, converted_stat * 3, IF(bbgm_stat &gt;= perc_90, converted_stat * 2, IF(bbgm_stat &gt;= perc_85, converted_stat * 1.5, converted_stat)))))</f>
        <v/>
      </c>
      <c r="T915" s="30" t="str">
        <f t="array" ref="T915">IF($A915="", "", LET(bbgm_stat, INDEX(Players!$A914:$P914, MATCH(T$2, Players!$A$1:$P$1, 0)), perc_75, VLOOKUP(T$2, Percentiles!$A$45:$I$59, 6, FALSE), perc_90, VLOOKUP(T$2, Percentiles!$A$45:$I$59, 7, FALSE), perc_95, VLOOKUP(T$2, Percentiles!$A$45:$I$59, 8, FALSE), perc_85, perc_75 + (perc_90 - perc_75) * (2/3), converted_stat, '2K_Ratings'!T915, IF(bbgm_stat &gt;= perc_95, converted_stat * 3, IF(bbgm_stat &gt;= perc_90, converted_stat * 2, IF(bbgm_stat &gt;= perc_85, converted_stat * 1.5, converted_stat)))))</f>
        <v/>
      </c>
      <c r="U915" s="30" t="str">
        <f t="array" ref="U915">IF($A915="", "", LET(bbgm_stat, INDEX(Players!$A914:$P914, MATCH(U$2, Players!$A$1:$P$1, 0)), perc_75, VLOOKUP(U$2, Percentiles!$A$45:$I$59, 6, FALSE), perc_90, VLOOKUP(U$2, Percentiles!$A$45:$I$59, 7, FALSE), perc_95, VLOOKUP(U$2, Percentiles!$A$45:$I$59, 8, FALSE), perc_85, perc_75 + (perc_90 - perc_75) * (2/3), converted_stat, '2K_Ratings'!U915, IF(bbgm_stat &gt;= perc_95, converted_stat * 3, IF(bbgm_stat &gt;= perc_90, converted_stat * 2, IF(bbgm_stat &gt;= perc_85, converted_stat * 1.5, converted_stat)))))</f>
        <v/>
      </c>
      <c r="V915" s="30" t="str">
        <f t="array" ref="V915">IF($A915="", "", LET(bbgm_stat, INDEX(Players!$A914:$P914, MATCH(V$2, Players!$A$1:$P$1, 0)), perc_75, VLOOKUP(V$2, Percentiles!$A$45:$I$59, 6, FALSE), perc_90, VLOOKUP(V$2, Percentiles!$A$45:$I$59, 7, FALSE), perc_95, VLOOKUP(V$2, Percentiles!$A$45:$I$59, 8, FALSE), perc_85, perc_75 + (perc_90 - perc_75) * (2/3), converted_stat, '2K_Ratings'!V915, IF(bbgm_stat &gt;= perc_95, converted_stat * 3, IF(bbgm_stat &gt;= perc_90, converted_stat * 2, IF(bbgm_stat &gt;= perc_85, converted_stat * 1.5, converted_stat)))))</f>
        <v/>
      </c>
      <c r="W915" s="30" t="str">
        <f t="array" ref="W915">IF($A915="", "", LET(bbgm_stat, INDEX(Players!$A914:$P914, MATCH(W$2, Players!$A$1:$P$1, 0)), perc_75, VLOOKUP(W$2, Percentiles!$A$45:$I$59, 6, FALSE), perc_90, VLOOKUP(W$2, Percentiles!$A$45:$I$59, 7, FALSE), perc_95, VLOOKUP(W$2, Percentiles!$A$45:$I$59, 8, FALSE), perc_85, perc_75 + (perc_90 - perc_75) * (2/3), converted_stat, '2K_Ratings'!W915, IF(bbgm_stat &gt;= perc_95, converted_stat * 3, IF(bbgm_stat &gt;= perc_90, converted_stat * 2, IF(bbgm_stat &gt;= perc_85, converted_stat * 1.5, converted_stat)))))</f>
        <v/>
      </c>
    </row>
    <row r="916">
      <c r="A916" s="30"/>
      <c r="B916" s="30" t="str">
        <f t="array" ref="B916">IF($A916="", "", LET(bbgm_stat, INDEX(Players!$A915:$P915, MATCH(B$2, Players!$A$1:$P$1, 0)), perc_75, VLOOKUP(B$2, Percentiles!$A$45:$I$59, 6, FALSE), perc_90, VLOOKUP(B$2, Percentiles!$A$45:$I$59, 7, FALSE), perc_95, VLOOKUP(B$2, Percentiles!$A$45:$I$59, 8, FALSE), perc_85, perc_75 + (perc_90 - perc_75) * (2/3), converted_stat, '2K_Ratings'!B916, IF(bbgm_stat &gt;= perc_95, converted_stat * 3, IF(bbgm_stat &gt;= perc_90, converted_stat * 2, IF(bbgm_stat &gt;= perc_85, converted_stat * 1.5, converted_stat)))))</f>
        <v/>
      </c>
      <c r="C916" s="30" t="str">
        <f t="array" ref="C916">IF($A916="", "", LET(bbgm_stat, INDEX(Players!$A915:$P915, MATCH(C$2, Players!$A$1:$P$1, 0)), perc_75, VLOOKUP(C$2, Percentiles!$A$45:$I$59, 6, FALSE), perc_90, VLOOKUP(C$2, Percentiles!$A$45:$I$59, 7, FALSE), perc_95, VLOOKUP(C$2, Percentiles!$A$45:$I$59, 8, FALSE), perc_85, perc_75 + (perc_90 - perc_75) * (2/3), converted_stat, '2K_Ratings'!C916, IF(bbgm_stat &gt;= perc_95, converted_stat * 3, IF(bbgm_stat &gt;= perc_90, converted_stat * 2, IF(bbgm_stat &gt;= perc_85, converted_stat * 1.5, converted_stat)))))</f>
        <v/>
      </c>
      <c r="D916" s="30" t="str">
        <f t="array" ref="D916">IF($A916="", "", LET(bbgm_stat, INDEX(Players!$A915:$P915, MATCH(D$2, Players!$A$1:$P$1, 0)), perc_75, VLOOKUP(D$2, Percentiles!$A$45:$I$59, 6, FALSE), perc_90, VLOOKUP(D$2, Percentiles!$A$45:$I$59, 7, FALSE), perc_95, VLOOKUP(D$2, Percentiles!$A$45:$I$59, 8, FALSE), perc_85, perc_75 + (perc_90 - perc_75) * (2/3), converted_stat, '2K_Ratings'!D916, IF(bbgm_stat &gt;= perc_95, converted_stat * 3, IF(bbgm_stat &gt;= perc_90, converted_stat * 2, IF(bbgm_stat &gt;= perc_85, converted_stat * 1.5, converted_stat)))))</f>
        <v/>
      </c>
      <c r="E916" s="30" t="str">
        <f t="array" ref="E916">IF($A916="", "", LET(bbgm_stat, INDEX(Players!$A915:$P915, MATCH(E$2, Players!$A$1:$P$1, 0)), perc_75, VLOOKUP(E$2, Percentiles!$A$45:$I$59, 6, FALSE), perc_90, VLOOKUP(E$2, Percentiles!$A$45:$I$59, 7, FALSE), perc_95, VLOOKUP(E$2, Percentiles!$A$45:$I$59, 8, FALSE), perc_85, perc_75 + (perc_90 - perc_75) * (2/3), converted_stat, '2K_Ratings'!E916, IF(bbgm_stat &gt;= perc_95, converted_stat * 3, IF(bbgm_stat &gt;= perc_90, converted_stat * 2, IF(bbgm_stat &gt;= perc_85, converted_stat * 1.5, converted_stat)))))</f>
        <v/>
      </c>
      <c r="F916" s="30" t="str">
        <f t="array" ref="F916">IF($A916="", "", LET(bbgm_stat, INDEX(Players!$A915:$P915, MATCH(F$2, Players!$A$1:$P$1, 0)), perc_75, VLOOKUP(F$2, Percentiles!$A$45:$I$59, 6, FALSE), perc_90, VLOOKUP(F$2, Percentiles!$A$45:$I$59, 7, FALSE), perc_95, VLOOKUP(F$2, Percentiles!$A$45:$I$59, 8, FALSE), perc_85, perc_75 + (perc_90 - perc_75) * (2/3), converted_stat, '2K_Ratings'!F916, IF(bbgm_stat &gt;= perc_95, converted_stat * 3, IF(bbgm_stat &gt;= perc_90, converted_stat * 2, IF(bbgm_stat &gt;= perc_85, converted_stat * 1.5, converted_stat)))))</f>
        <v/>
      </c>
      <c r="G916" s="30" t="str">
        <f t="array" ref="G916">IF($A916="", "", LET(bbgm_stat, INDEX(Players!$A915:$P915, MATCH(G$2, Players!$A$1:$P$1, 0)), perc_75, VLOOKUP(G$2, Percentiles!$A$45:$I$59, 6, FALSE), perc_90, VLOOKUP(G$2, Percentiles!$A$45:$I$59, 7, FALSE), perc_95, VLOOKUP(G$2, Percentiles!$A$45:$I$59, 8, FALSE), perc_85, perc_75 + (perc_90 - perc_75) * (2/3), converted_stat, '2K_Ratings'!G916, IF(bbgm_stat &gt;= perc_95, converted_stat * 3, IF(bbgm_stat &gt;= perc_90, converted_stat * 2, IF(bbgm_stat &gt;= perc_85, converted_stat * 1.5, converted_stat)))))</f>
        <v/>
      </c>
      <c r="H916" s="30" t="str">
        <f t="array" ref="H916">IF($A916="", "", LET(bbgm_stat, INDEX(Players!$A915:$P915, MATCH(H$2, Players!$A$1:$P$1, 0)), perc_75, VLOOKUP(H$2, Percentiles!$A$45:$I$59, 6, FALSE), perc_90, VLOOKUP(H$2, Percentiles!$A$45:$I$59, 7, FALSE), perc_95, VLOOKUP(H$2, Percentiles!$A$45:$I$59, 8, FALSE), perc_85, perc_75 + (perc_90 - perc_75) * (2/3), converted_stat, '2K_Ratings'!H916, IF(bbgm_stat &gt;= perc_95, converted_stat * 3, IF(bbgm_stat &gt;= perc_90, converted_stat * 2, IF(bbgm_stat &gt;= perc_85, converted_stat * 1.5, converted_stat)))))</f>
        <v/>
      </c>
      <c r="I916" s="30" t="str">
        <f t="array" ref="I916">IF($A916="", "", LET(bbgm_stat, INDEX(Players!$A915:$P915, MATCH(I$2, Players!$A$1:$P$1, 0)), perc_75, VLOOKUP(I$2, Percentiles!$A$45:$I$59, 6, FALSE), perc_90, VLOOKUP(I$2, Percentiles!$A$45:$I$59, 7, FALSE), perc_95, VLOOKUP(I$2, Percentiles!$A$45:$I$59, 8, FALSE), perc_85, perc_75 + (perc_90 - perc_75) * (2/3), converted_stat, '2K_Ratings'!I916, IF(bbgm_stat &gt;= perc_95, converted_stat * 3, IF(bbgm_stat &gt;= perc_90, converted_stat * 2, IF(bbgm_stat &gt;= perc_85, converted_stat * 1.5, converted_stat)))))</f>
        <v/>
      </c>
      <c r="J916" s="30" t="str">
        <f t="array" ref="J916">IF($A916="", "", LET(bbgm_stat, INDEX(Players!$A915:$P915, MATCH(J$2, Players!$A$1:$P$1, 0)), perc_75, VLOOKUP(J$2, Percentiles!$A$45:$I$59, 6, FALSE), perc_90, VLOOKUP(J$2, Percentiles!$A$45:$I$59, 7, FALSE), perc_95, VLOOKUP(J$2, Percentiles!$A$45:$I$59, 8, FALSE), perc_85, perc_75 + (perc_90 - perc_75) * (2/3), converted_stat, '2K_Ratings'!J916, IF(bbgm_stat &gt;= perc_95, converted_stat * 3, IF(bbgm_stat &gt;= perc_90, converted_stat * 2, IF(bbgm_stat &gt;= perc_85, converted_stat * 1.5, converted_stat)))))</f>
        <v/>
      </c>
      <c r="K916" s="30" t="str">
        <f t="array" ref="K916">IF($A916="", "", LET(bbgm_stat, INDEX(Players!$A915:$P915, MATCH(K$2, Players!$A$1:$P$1, 0)), perc_75, VLOOKUP(K$2, Percentiles!$A$45:$I$59, 6, FALSE), perc_90, VLOOKUP(K$2, Percentiles!$A$45:$I$59, 7, FALSE), perc_95, VLOOKUP(K$2, Percentiles!$A$45:$I$59, 8, FALSE), perc_85, perc_75 + (perc_90 - perc_75) * (2/3), converted_stat, '2K_Ratings'!K916, IF(bbgm_stat &gt;= perc_95, converted_stat * 3, IF(bbgm_stat &gt;= perc_90, converted_stat * 2, IF(bbgm_stat &gt;= perc_85, converted_stat * 1.5, converted_stat)))))</f>
        <v/>
      </c>
      <c r="L916" s="30" t="str">
        <f t="array" ref="L916">IF($A916="", "", LET(bbgm_stat, INDEX(Players!$A915:$P915, MATCH(L$2, Players!$A$1:$P$1, 0)), perc_75, VLOOKUP(L$2, Percentiles!$A$45:$I$59, 6, FALSE), perc_90, VLOOKUP(L$2, Percentiles!$A$45:$I$59, 7, FALSE), perc_95, VLOOKUP(L$2, Percentiles!$A$45:$I$59, 8, FALSE), perc_85, perc_75 + (perc_90 - perc_75) * (2/3), converted_stat, '2K_Ratings'!L916, IF(bbgm_stat &gt;= perc_95, converted_stat * 3, IF(bbgm_stat &gt;= perc_90, converted_stat * 2, IF(bbgm_stat &gt;= perc_85, converted_stat * 1.5, converted_stat)))))</f>
        <v/>
      </c>
      <c r="M916" s="30" t="str">
        <f t="array" ref="M916">IF($A916="", "", LET(bbgm_stat, INDEX(Players!$A915:$P915, MATCH(M$2, Players!$A$1:$P$1, 0)), perc_75, VLOOKUP(M$2, Percentiles!$A$45:$I$59, 6, FALSE), perc_90, VLOOKUP(M$2, Percentiles!$A$45:$I$59, 7, FALSE), perc_95, VLOOKUP(M$2, Percentiles!$A$45:$I$59, 8, FALSE), perc_85, perc_75 + (perc_90 - perc_75) * (2/3), converted_stat, '2K_Ratings'!M916, IF(bbgm_stat &gt;= perc_95, converted_stat * 3, IF(bbgm_stat &gt;= perc_90, converted_stat * 2, IF(bbgm_stat &gt;= perc_85, converted_stat * 1.5, converted_stat)))))</f>
        <v/>
      </c>
      <c r="N916" s="30" t="str">
        <f t="array" ref="N916">IF($A916="", "", LET(bbgm_stat, INDEX(Players!$A915:$P915, MATCH(N$2, Players!$A$1:$P$1, 0)), perc_75, VLOOKUP(N$2, Percentiles!$A$45:$I$59, 6, FALSE), perc_90, VLOOKUP(N$2, Percentiles!$A$45:$I$59, 7, FALSE), perc_95, VLOOKUP(N$2, Percentiles!$A$45:$I$59, 8, FALSE), perc_85, perc_75 + (perc_90 - perc_75) * (2/3), converted_stat, '2K_Ratings'!N916, IF(bbgm_stat &gt;= perc_95, converted_stat * 3, IF(bbgm_stat &gt;= perc_90, converted_stat * 2, IF(bbgm_stat &gt;= perc_85, converted_stat * 1.5, converted_stat)))))</f>
        <v/>
      </c>
      <c r="O916" s="30" t="str">
        <f t="array" ref="O916">IF($A916="", "", LET(bbgm_stat, INDEX(Players!$A915:$P915, MATCH(O$2, Players!$A$1:$P$1, 0)), perc_75, VLOOKUP(O$2, Percentiles!$A$45:$I$59, 6, FALSE), perc_90, VLOOKUP(O$2, Percentiles!$A$45:$I$59, 7, FALSE), perc_95, VLOOKUP(O$2, Percentiles!$A$45:$I$59, 8, FALSE), perc_85, perc_75 + (perc_90 - perc_75) * (2/3), converted_stat, '2K_Ratings'!O916, IF(bbgm_stat &gt;= perc_95, converted_stat * 3, IF(bbgm_stat &gt;= perc_90, converted_stat * 2, IF(bbgm_stat &gt;= perc_85, converted_stat * 1.5, converted_stat)))))</f>
        <v/>
      </c>
      <c r="P916" s="30" t="str">
        <f t="array" ref="P916">IF($A916="", "", LET(bbgm_stat, INDEX(Players!$A915:$P915, MATCH(P$2, Players!$A$1:$P$1, 0)), perc_75, VLOOKUP(P$2, Percentiles!$A$45:$I$59, 6, FALSE), perc_90, VLOOKUP(P$2, Percentiles!$A$45:$I$59, 7, FALSE), perc_95, VLOOKUP(P$2, Percentiles!$A$45:$I$59, 8, FALSE), perc_85, perc_75 + (perc_90 - perc_75) * (2/3), converted_stat, '2K_Ratings'!P916, IF(bbgm_stat &gt;= perc_95, converted_stat * 3, IF(bbgm_stat &gt;= perc_90, converted_stat * 2, IF(bbgm_stat &gt;= perc_85, converted_stat * 1.5, converted_stat)))))</f>
        <v/>
      </c>
      <c r="Q916" s="30" t="str">
        <f t="array" ref="Q916">IF($A916="", "", LET(bbgm_stat, INDEX(Players!$A915:$P915, MATCH(Q$2, Players!$A$1:$P$1, 0)), perc_75, VLOOKUP(Q$2, Percentiles!$A$45:$I$59, 6, FALSE), perc_90, VLOOKUP(Q$2, Percentiles!$A$45:$I$59, 7, FALSE), perc_95, VLOOKUP(Q$2, Percentiles!$A$45:$I$59, 8, FALSE), perc_85, perc_75 + (perc_90 - perc_75) * (2/3), converted_stat, '2K_Ratings'!Q916, IF(bbgm_stat &gt;= perc_95, converted_stat * 3, IF(bbgm_stat &gt;= perc_90, converted_stat * 2, IF(bbgm_stat &gt;= perc_85, converted_stat * 1.5, converted_stat)))))</f>
        <v/>
      </c>
      <c r="R916" s="30" t="str">
        <f t="array" ref="R916">IF($A916="", "", LET(bbgm_stat, INDEX(Players!$A915:$P915, MATCH(R$2, Players!$A$1:$P$1, 0)), perc_75, VLOOKUP(R$2, Percentiles!$A$45:$I$59, 6, FALSE), perc_90, VLOOKUP(R$2, Percentiles!$A$45:$I$59, 7, FALSE), perc_95, VLOOKUP(R$2, Percentiles!$A$45:$I$59, 8, FALSE), perc_85, perc_75 + (perc_90 - perc_75) * (2/3), converted_stat, '2K_Ratings'!R916, IF(bbgm_stat &gt;= perc_95, converted_stat * 3, IF(bbgm_stat &gt;= perc_90, converted_stat * 2, IF(bbgm_stat &gt;= perc_85, converted_stat * 1.5, converted_stat)))))</f>
        <v/>
      </c>
      <c r="S916" s="30" t="str">
        <f t="array" ref="S916">IF($A916="", "", LET(bbgm_stat, INDEX(Players!$A915:$P915, MATCH(S$2, Players!$A$1:$P$1, 0)), perc_75, VLOOKUP(S$2, Percentiles!$A$45:$I$59, 6, FALSE), perc_90, VLOOKUP(S$2, Percentiles!$A$45:$I$59, 7, FALSE), perc_95, VLOOKUP(S$2, Percentiles!$A$45:$I$59, 8, FALSE), perc_85, perc_75 + (perc_90 - perc_75) * (2/3), converted_stat, '2K_Ratings'!S916, IF(bbgm_stat &gt;= perc_95, converted_stat * 3, IF(bbgm_stat &gt;= perc_90, converted_stat * 2, IF(bbgm_stat &gt;= perc_85, converted_stat * 1.5, converted_stat)))))</f>
        <v/>
      </c>
      <c r="T916" s="30" t="str">
        <f t="array" ref="T916">IF($A916="", "", LET(bbgm_stat, INDEX(Players!$A915:$P915, MATCH(T$2, Players!$A$1:$P$1, 0)), perc_75, VLOOKUP(T$2, Percentiles!$A$45:$I$59, 6, FALSE), perc_90, VLOOKUP(T$2, Percentiles!$A$45:$I$59, 7, FALSE), perc_95, VLOOKUP(T$2, Percentiles!$A$45:$I$59, 8, FALSE), perc_85, perc_75 + (perc_90 - perc_75) * (2/3), converted_stat, '2K_Ratings'!T916, IF(bbgm_stat &gt;= perc_95, converted_stat * 3, IF(bbgm_stat &gt;= perc_90, converted_stat * 2, IF(bbgm_stat &gt;= perc_85, converted_stat * 1.5, converted_stat)))))</f>
        <v/>
      </c>
      <c r="U916" s="30" t="str">
        <f t="array" ref="U916">IF($A916="", "", LET(bbgm_stat, INDEX(Players!$A915:$P915, MATCH(U$2, Players!$A$1:$P$1, 0)), perc_75, VLOOKUP(U$2, Percentiles!$A$45:$I$59, 6, FALSE), perc_90, VLOOKUP(U$2, Percentiles!$A$45:$I$59, 7, FALSE), perc_95, VLOOKUP(U$2, Percentiles!$A$45:$I$59, 8, FALSE), perc_85, perc_75 + (perc_90 - perc_75) * (2/3), converted_stat, '2K_Ratings'!U916, IF(bbgm_stat &gt;= perc_95, converted_stat * 3, IF(bbgm_stat &gt;= perc_90, converted_stat * 2, IF(bbgm_stat &gt;= perc_85, converted_stat * 1.5, converted_stat)))))</f>
        <v/>
      </c>
      <c r="V916" s="30" t="str">
        <f t="array" ref="V916">IF($A916="", "", LET(bbgm_stat, INDEX(Players!$A915:$P915, MATCH(V$2, Players!$A$1:$P$1, 0)), perc_75, VLOOKUP(V$2, Percentiles!$A$45:$I$59, 6, FALSE), perc_90, VLOOKUP(V$2, Percentiles!$A$45:$I$59, 7, FALSE), perc_95, VLOOKUP(V$2, Percentiles!$A$45:$I$59, 8, FALSE), perc_85, perc_75 + (perc_90 - perc_75) * (2/3), converted_stat, '2K_Ratings'!V916, IF(bbgm_stat &gt;= perc_95, converted_stat * 3, IF(bbgm_stat &gt;= perc_90, converted_stat * 2, IF(bbgm_stat &gt;= perc_85, converted_stat * 1.5, converted_stat)))))</f>
        <v/>
      </c>
      <c r="W916" s="30" t="str">
        <f t="array" ref="W916">IF($A916="", "", LET(bbgm_stat, INDEX(Players!$A915:$P915, MATCH(W$2, Players!$A$1:$P$1, 0)), perc_75, VLOOKUP(W$2, Percentiles!$A$45:$I$59, 6, FALSE), perc_90, VLOOKUP(W$2, Percentiles!$A$45:$I$59, 7, FALSE), perc_95, VLOOKUP(W$2, Percentiles!$A$45:$I$59, 8, FALSE), perc_85, perc_75 + (perc_90 - perc_75) * (2/3), converted_stat, '2K_Ratings'!W916, IF(bbgm_stat &gt;= perc_95, converted_stat * 3, IF(bbgm_stat &gt;= perc_90, converted_stat * 2, IF(bbgm_stat &gt;= perc_85, converted_stat * 1.5, converted_stat)))))</f>
        <v/>
      </c>
    </row>
    <row r="917">
      <c r="A917" s="30"/>
      <c r="B917" s="30" t="str">
        <f t="array" ref="B917">IF($A917="", "", LET(bbgm_stat, INDEX(Players!$A916:$P916, MATCH(B$2, Players!$A$1:$P$1, 0)), perc_75, VLOOKUP(B$2, Percentiles!$A$45:$I$59, 6, FALSE), perc_90, VLOOKUP(B$2, Percentiles!$A$45:$I$59, 7, FALSE), perc_95, VLOOKUP(B$2, Percentiles!$A$45:$I$59, 8, FALSE), perc_85, perc_75 + (perc_90 - perc_75) * (2/3), converted_stat, '2K_Ratings'!B917, IF(bbgm_stat &gt;= perc_95, converted_stat * 3, IF(bbgm_stat &gt;= perc_90, converted_stat * 2, IF(bbgm_stat &gt;= perc_85, converted_stat * 1.5, converted_stat)))))</f>
        <v/>
      </c>
      <c r="C917" s="30" t="str">
        <f t="array" ref="C917">IF($A917="", "", LET(bbgm_stat, INDEX(Players!$A916:$P916, MATCH(C$2, Players!$A$1:$P$1, 0)), perc_75, VLOOKUP(C$2, Percentiles!$A$45:$I$59, 6, FALSE), perc_90, VLOOKUP(C$2, Percentiles!$A$45:$I$59, 7, FALSE), perc_95, VLOOKUP(C$2, Percentiles!$A$45:$I$59, 8, FALSE), perc_85, perc_75 + (perc_90 - perc_75) * (2/3), converted_stat, '2K_Ratings'!C917, IF(bbgm_stat &gt;= perc_95, converted_stat * 3, IF(bbgm_stat &gt;= perc_90, converted_stat * 2, IF(bbgm_stat &gt;= perc_85, converted_stat * 1.5, converted_stat)))))</f>
        <v/>
      </c>
      <c r="D917" s="30" t="str">
        <f t="array" ref="D917">IF($A917="", "", LET(bbgm_stat, INDEX(Players!$A916:$P916, MATCH(D$2, Players!$A$1:$P$1, 0)), perc_75, VLOOKUP(D$2, Percentiles!$A$45:$I$59, 6, FALSE), perc_90, VLOOKUP(D$2, Percentiles!$A$45:$I$59, 7, FALSE), perc_95, VLOOKUP(D$2, Percentiles!$A$45:$I$59, 8, FALSE), perc_85, perc_75 + (perc_90 - perc_75) * (2/3), converted_stat, '2K_Ratings'!D917, IF(bbgm_stat &gt;= perc_95, converted_stat * 3, IF(bbgm_stat &gt;= perc_90, converted_stat * 2, IF(bbgm_stat &gt;= perc_85, converted_stat * 1.5, converted_stat)))))</f>
        <v/>
      </c>
      <c r="E917" s="30" t="str">
        <f t="array" ref="E917">IF($A917="", "", LET(bbgm_stat, INDEX(Players!$A916:$P916, MATCH(E$2, Players!$A$1:$P$1, 0)), perc_75, VLOOKUP(E$2, Percentiles!$A$45:$I$59, 6, FALSE), perc_90, VLOOKUP(E$2, Percentiles!$A$45:$I$59, 7, FALSE), perc_95, VLOOKUP(E$2, Percentiles!$A$45:$I$59, 8, FALSE), perc_85, perc_75 + (perc_90 - perc_75) * (2/3), converted_stat, '2K_Ratings'!E917, IF(bbgm_stat &gt;= perc_95, converted_stat * 3, IF(bbgm_stat &gt;= perc_90, converted_stat * 2, IF(bbgm_stat &gt;= perc_85, converted_stat * 1.5, converted_stat)))))</f>
        <v/>
      </c>
      <c r="F917" s="30" t="str">
        <f t="array" ref="F917">IF($A917="", "", LET(bbgm_stat, INDEX(Players!$A916:$P916, MATCH(F$2, Players!$A$1:$P$1, 0)), perc_75, VLOOKUP(F$2, Percentiles!$A$45:$I$59, 6, FALSE), perc_90, VLOOKUP(F$2, Percentiles!$A$45:$I$59, 7, FALSE), perc_95, VLOOKUP(F$2, Percentiles!$A$45:$I$59, 8, FALSE), perc_85, perc_75 + (perc_90 - perc_75) * (2/3), converted_stat, '2K_Ratings'!F917, IF(bbgm_stat &gt;= perc_95, converted_stat * 3, IF(bbgm_stat &gt;= perc_90, converted_stat * 2, IF(bbgm_stat &gt;= perc_85, converted_stat * 1.5, converted_stat)))))</f>
        <v/>
      </c>
      <c r="G917" s="30" t="str">
        <f t="array" ref="G917">IF($A917="", "", LET(bbgm_stat, INDEX(Players!$A916:$P916, MATCH(G$2, Players!$A$1:$P$1, 0)), perc_75, VLOOKUP(G$2, Percentiles!$A$45:$I$59, 6, FALSE), perc_90, VLOOKUP(G$2, Percentiles!$A$45:$I$59, 7, FALSE), perc_95, VLOOKUP(G$2, Percentiles!$A$45:$I$59, 8, FALSE), perc_85, perc_75 + (perc_90 - perc_75) * (2/3), converted_stat, '2K_Ratings'!G917, IF(bbgm_stat &gt;= perc_95, converted_stat * 3, IF(bbgm_stat &gt;= perc_90, converted_stat * 2, IF(bbgm_stat &gt;= perc_85, converted_stat * 1.5, converted_stat)))))</f>
        <v/>
      </c>
      <c r="H917" s="30" t="str">
        <f t="array" ref="H917">IF($A917="", "", LET(bbgm_stat, INDEX(Players!$A916:$P916, MATCH(H$2, Players!$A$1:$P$1, 0)), perc_75, VLOOKUP(H$2, Percentiles!$A$45:$I$59, 6, FALSE), perc_90, VLOOKUP(H$2, Percentiles!$A$45:$I$59, 7, FALSE), perc_95, VLOOKUP(H$2, Percentiles!$A$45:$I$59, 8, FALSE), perc_85, perc_75 + (perc_90 - perc_75) * (2/3), converted_stat, '2K_Ratings'!H917, IF(bbgm_stat &gt;= perc_95, converted_stat * 3, IF(bbgm_stat &gt;= perc_90, converted_stat * 2, IF(bbgm_stat &gt;= perc_85, converted_stat * 1.5, converted_stat)))))</f>
        <v/>
      </c>
      <c r="I917" s="30" t="str">
        <f t="array" ref="I917">IF($A917="", "", LET(bbgm_stat, INDEX(Players!$A916:$P916, MATCH(I$2, Players!$A$1:$P$1, 0)), perc_75, VLOOKUP(I$2, Percentiles!$A$45:$I$59, 6, FALSE), perc_90, VLOOKUP(I$2, Percentiles!$A$45:$I$59, 7, FALSE), perc_95, VLOOKUP(I$2, Percentiles!$A$45:$I$59, 8, FALSE), perc_85, perc_75 + (perc_90 - perc_75) * (2/3), converted_stat, '2K_Ratings'!I917, IF(bbgm_stat &gt;= perc_95, converted_stat * 3, IF(bbgm_stat &gt;= perc_90, converted_stat * 2, IF(bbgm_stat &gt;= perc_85, converted_stat * 1.5, converted_stat)))))</f>
        <v/>
      </c>
      <c r="J917" s="30" t="str">
        <f t="array" ref="J917">IF($A917="", "", LET(bbgm_stat, INDEX(Players!$A916:$P916, MATCH(J$2, Players!$A$1:$P$1, 0)), perc_75, VLOOKUP(J$2, Percentiles!$A$45:$I$59, 6, FALSE), perc_90, VLOOKUP(J$2, Percentiles!$A$45:$I$59, 7, FALSE), perc_95, VLOOKUP(J$2, Percentiles!$A$45:$I$59, 8, FALSE), perc_85, perc_75 + (perc_90 - perc_75) * (2/3), converted_stat, '2K_Ratings'!J917, IF(bbgm_stat &gt;= perc_95, converted_stat * 3, IF(bbgm_stat &gt;= perc_90, converted_stat * 2, IF(bbgm_stat &gt;= perc_85, converted_stat * 1.5, converted_stat)))))</f>
        <v/>
      </c>
      <c r="K917" s="30" t="str">
        <f t="array" ref="K917">IF($A917="", "", LET(bbgm_stat, INDEX(Players!$A916:$P916, MATCH(K$2, Players!$A$1:$P$1, 0)), perc_75, VLOOKUP(K$2, Percentiles!$A$45:$I$59, 6, FALSE), perc_90, VLOOKUP(K$2, Percentiles!$A$45:$I$59, 7, FALSE), perc_95, VLOOKUP(K$2, Percentiles!$A$45:$I$59, 8, FALSE), perc_85, perc_75 + (perc_90 - perc_75) * (2/3), converted_stat, '2K_Ratings'!K917, IF(bbgm_stat &gt;= perc_95, converted_stat * 3, IF(bbgm_stat &gt;= perc_90, converted_stat * 2, IF(bbgm_stat &gt;= perc_85, converted_stat * 1.5, converted_stat)))))</f>
        <v/>
      </c>
      <c r="L917" s="30" t="str">
        <f t="array" ref="L917">IF($A917="", "", LET(bbgm_stat, INDEX(Players!$A916:$P916, MATCH(L$2, Players!$A$1:$P$1, 0)), perc_75, VLOOKUP(L$2, Percentiles!$A$45:$I$59, 6, FALSE), perc_90, VLOOKUP(L$2, Percentiles!$A$45:$I$59, 7, FALSE), perc_95, VLOOKUP(L$2, Percentiles!$A$45:$I$59, 8, FALSE), perc_85, perc_75 + (perc_90 - perc_75) * (2/3), converted_stat, '2K_Ratings'!L917, IF(bbgm_stat &gt;= perc_95, converted_stat * 3, IF(bbgm_stat &gt;= perc_90, converted_stat * 2, IF(bbgm_stat &gt;= perc_85, converted_stat * 1.5, converted_stat)))))</f>
        <v/>
      </c>
      <c r="M917" s="30" t="str">
        <f t="array" ref="M917">IF($A917="", "", LET(bbgm_stat, INDEX(Players!$A916:$P916, MATCH(M$2, Players!$A$1:$P$1, 0)), perc_75, VLOOKUP(M$2, Percentiles!$A$45:$I$59, 6, FALSE), perc_90, VLOOKUP(M$2, Percentiles!$A$45:$I$59, 7, FALSE), perc_95, VLOOKUP(M$2, Percentiles!$A$45:$I$59, 8, FALSE), perc_85, perc_75 + (perc_90 - perc_75) * (2/3), converted_stat, '2K_Ratings'!M917, IF(bbgm_stat &gt;= perc_95, converted_stat * 3, IF(bbgm_stat &gt;= perc_90, converted_stat * 2, IF(bbgm_stat &gt;= perc_85, converted_stat * 1.5, converted_stat)))))</f>
        <v/>
      </c>
      <c r="N917" s="30" t="str">
        <f t="array" ref="N917">IF($A917="", "", LET(bbgm_stat, INDEX(Players!$A916:$P916, MATCH(N$2, Players!$A$1:$P$1, 0)), perc_75, VLOOKUP(N$2, Percentiles!$A$45:$I$59, 6, FALSE), perc_90, VLOOKUP(N$2, Percentiles!$A$45:$I$59, 7, FALSE), perc_95, VLOOKUP(N$2, Percentiles!$A$45:$I$59, 8, FALSE), perc_85, perc_75 + (perc_90 - perc_75) * (2/3), converted_stat, '2K_Ratings'!N917, IF(bbgm_stat &gt;= perc_95, converted_stat * 3, IF(bbgm_stat &gt;= perc_90, converted_stat * 2, IF(bbgm_stat &gt;= perc_85, converted_stat * 1.5, converted_stat)))))</f>
        <v/>
      </c>
      <c r="O917" s="30" t="str">
        <f t="array" ref="O917">IF($A917="", "", LET(bbgm_stat, INDEX(Players!$A916:$P916, MATCH(O$2, Players!$A$1:$P$1, 0)), perc_75, VLOOKUP(O$2, Percentiles!$A$45:$I$59, 6, FALSE), perc_90, VLOOKUP(O$2, Percentiles!$A$45:$I$59, 7, FALSE), perc_95, VLOOKUP(O$2, Percentiles!$A$45:$I$59, 8, FALSE), perc_85, perc_75 + (perc_90 - perc_75) * (2/3), converted_stat, '2K_Ratings'!O917, IF(bbgm_stat &gt;= perc_95, converted_stat * 3, IF(bbgm_stat &gt;= perc_90, converted_stat * 2, IF(bbgm_stat &gt;= perc_85, converted_stat * 1.5, converted_stat)))))</f>
        <v/>
      </c>
      <c r="P917" s="30" t="str">
        <f t="array" ref="P917">IF($A917="", "", LET(bbgm_stat, INDEX(Players!$A916:$P916, MATCH(P$2, Players!$A$1:$P$1, 0)), perc_75, VLOOKUP(P$2, Percentiles!$A$45:$I$59, 6, FALSE), perc_90, VLOOKUP(P$2, Percentiles!$A$45:$I$59, 7, FALSE), perc_95, VLOOKUP(P$2, Percentiles!$A$45:$I$59, 8, FALSE), perc_85, perc_75 + (perc_90 - perc_75) * (2/3), converted_stat, '2K_Ratings'!P917, IF(bbgm_stat &gt;= perc_95, converted_stat * 3, IF(bbgm_stat &gt;= perc_90, converted_stat * 2, IF(bbgm_stat &gt;= perc_85, converted_stat * 1.5, converted_stat)))))</f>
        <v/>
      </c>
      <c r="Q917" s="30" t="str">
        <f t="array" ref="Q917">IF($A917="", "", LET(bbgm_stat, INDEX(Players!$A916:$P916, MATCH(Q$2, Players!$A$1:$P$1, 0)), perc_75, VLOOKUP(Q$2, Percentiles!$A$45:$I$59, 6, FALSE), perc_90, VLOOKUP(Q$2, Percentiles!$A$45:$I$59, 7, FALSE), perc_95, VLOOKUP(Q$2, Percentiles!$A$45:$I$59, 8, FALSE), perc_85, perc_75 + (perc_90 - perc_75) * (2/3), converted_stat, '2K_Ratings'!Q917, IF(bbgm_stat &gt;= perc_95, converted_stat * 3, IF(bbgm_stat &gt;= perc_90, converted_stat * 2, IF(bbgm_stat &gt;= perc_85, converted_stat * 1.5, converted_stat)))))</f>
        <v/>
      </c>
      <c r="R917" s="30" t="str">
        <f t="array" ref="R917">IF($A917="", "", LET(bbgm_stat, INDEX(Players!$A916:$P916, MATCH(R$2, Players!$A$1:$P$1, 0)), perc_75, VLOOKUP(R$2, Percentiles!$A$45:$I$59, 6, FALSE), perc_90, VLOOKUP(R$2, Percentiles!$A$45:$I$59, 7, FALSE), perc_95, VLOOKUP(R$2, Percentiles!$A$45:$I$59, 8, FALSE), perc_85, perc_75 + (perc_90 - perc_75) * (2/3), converted_stat, '2K_Ratings'!R917, IF(bbgm_stat &gt;= perc_95, converted_stat * 3, IF(bbgm_stat &gt;= perc_90, converted_stat * 2, IF(bbgm_stat &gt;= perc_85, converted_stat * 1.5, converted_stat)))))</f>
        <v/>
      </c>
      <c r="S917" s="30" t="str">
        <f t="array" ref="S917">IF($A917="", "", LET(bbgm_stat, INDEX(Players!$A916:$P916, MATCH(S$2, Players!$A$1:$P$1, 0)), perc_75, VLOOKUP(S$2, Percentiles!$A$45:$I$59, 6, FALSE), perc_90, VLOOKUP(S$2, Percentiles!$A$45:$I$59, 7, FALSE), perc_95, VLOOKUP(S$2, Percentiles!$A$45:$I$59, 8, FALSE), perc_85, perc_75 + (perc_90 - perc_75) * (2/3), converted_stat, '2K_Ratings'!S917, IF(bbgm_stat &gt;= perc_95, converted_stat * 3, IF(bbgm_stat &gt;= perc_90, converted_stat * 2, IF(bbgm_stat &gt;= perc_85, converted_stat * 1.5, converted_stat)))))</f>
        <v/>
      </c>
      <c r="T917" s="30" t="str">
        <f t="array" ref="T917">IF($A917="", "", LET(bbgm_stat, INDEX(Players!$A916:$P916, MATCH(T$2, Players!$A$1:$P$1, 0)), perc_75, VLOOKUP(T$2, Percentiles!$A$45:$I$59, 6, FALSE), perc_90, VLOOKUP(T$2, Percentiles!$A$45:$I$59, 7, FALSE), perc_95, VLOOKUP(T$2, Percentiles!$A$45:$I$59, 8, FALSE), perc_85, perc_75 + (perc_90 - perc_75) * (2/3), converted_stat, '2K_Ratings'!T917, IF(bbgm_stat &gt;= perc_95, converted_stat * 3, IF(bbgm_stat &gt;= perc_90, converted_stat * 2, IF(bbgm_stat &gt;= perc_85, converted_stat * 1.5, converted_stat)))))</f>
        <v/>
      </c>
      <c r="U917" s="30" t="str">
        <f t="array" ref="U917">IF($A917="", "", LET(bbgm_stat, INDEX(Players!$A916:$P916, MATCH(U$2, Players!$A$1:$P$1, 0)), perc_75, VLOOKUP(U$2, Percentiles!$A$45:$I$59, 6, FALSE), perc_90, VLOOKUP(U$2, Percentiles!$A$45:$I$59, 7, FALSE), perc_95, VLOOKUP(U$2, Percentiles!$A$45:$I$59, 8, FALSE), perc_85, perc_75 + (perc_90 - perc_75) * (2/3), converted_stat, '2K_Ratings'!U917, IF(bbgm_stat &gt;= perc_95, converted_stat * 3, IF(bbgm_stat &gt;= perc_90, converted_stat * 2, IF(bbgm_stat &gt;= perc_85, converted_stat * 1.5, converted_stat)))))</f>
        <v/>
      </c>
      <c r="V917" s="30" t="str">
        <f t="array" ref="V917">IF($A917="", "", LET(bbgm_stat, INDEX(Players!$A916:$P916, MATCH(V$2, Players!$A$1:$P$1, 0)), perc_75, VLOOKUP(V$2, Percentiles!$A$45:$I$59, 6, FALSE), perc_90, VLOOKUP(V$2, Percentiles!$A$45:$I$59, 7, FALSE), perc_95, VLOOKUP(V$2, Percentiles!$A$45:$I$59, 8, FALSE), perc_85, perc_75 + (perc_90 - perc_75) * (2/3), converted_stat, '2K_Ratings'!V917, IF(bbgm_stat &gt;= perc_95, converted_stat * 3, IF(bbgm_stat &gt;= perc_90, converted_stat * 2, IF(bbgm_stat &gt;= perc_85, converted_stat * 1.5, converted_stat)))))</f>
        <v/>
      </c>
      <c r="W917" s="30" t="str">
        <f t="array" ref="W917">IF($A917="", "", LET(bbgm_stat, INDEX(Players!$A916:$P916, MATCH(W$2, Players!$A$1:$P$1, 0)), perc_75, VLOOKUP(W$2, Percentiles!$A$45:$I$59, 6, FALSE), perc_90, VLOOKUP(W$2, Percentiles!$A$45:$I$59, 7, FALSE), perc_95, VLOOKUP(W$2, Percentiles!$A$45:$I$59, 8, FALSE), perc_85, perc_75 + (perc_90 - perc_75) * (2/3), converted_stat, '2K_Ratings'!W917, IF(bbgm_stat &gt;= perc_95, converted_stat * 3, IF(bbgm_stat &gt;= perc_90, converted_stat * 2, IF(bbgm_stat &gt;= perc_85, converted_stat * 1.5, converted_stat)))))</f>
        <v/>
      </c>
    </row>
    <row r="918">
      <c r="A918" s="30"/>
      <c r="B918" s="30" t="str">
        <f t="array" ref="B918">IF($A918="", "", LET(bbgm_stat, INDEX(Players!$A917:$P917, MATCH(B$2, Players!$A$1:$P$1, 0)), perc_75, VLOOKUP(B$2, Percentiles!$A$45:$I$59, 6, FALSE), perc_90, VLOOKUP(B$2, Percentiles!$A$45:$I$59, 7, FALSE), perc_95, VLOOKUP(B$2, Percentiles!$A$45:$I$59, 8, FALSE), perc_85, perc_75 + (perc_90 - perc_75) * (2/3), converted_stat, '2K_Ratings'!B918, IF(bbgm_stat &gt;= perc_95, converted_stat * 3, IF(bbgm_stat &gt;= perc_90, converted_stat * 2, IF(bbgm_stat &gt;= perc_85, converted_stat * 1.5, converted_stat)))))</f>
        <v/>
      </c>
      <c r="C918" s="30" t="str">
        <f t="array" ref="C918">IF($A918="", "", LET(bbgm_stat, INDEX(Players!$A917:$P917, MATCH(C$2, Players!$A$1:$P$1, 0)), perc_75, VLOOKUP(C$2, Percentiles!$A$45:$I$59, 6, FALSE), perc_90, VLOOKUP(C$2, Percentiles!$A$45:$I$59, 7, FALSE), perc_95, VLOOKUP(C$2, Percentiles!$A$45:$I$59, 8, FALSE), perc_85, perc_75 + (perc_90 - perc_75) * (2/3), converted_stat, '2K_Ratings'!C918, IF(bbgm_stat &gt;= perc_95, converted_stat * 3, IF(bbgm_stat &gt;= perc_90, converted_stat * 2, IF(bbgm_stat &gt;= perc_85, converted_stat * 1.5, converted_stat)))))</f>
        <v/>
      </c>
      <c r="D918" s="30" t="str">
        <f t="array" ref="D918">IF($A918="", "", LET(bbgm_stat, INDEX(Players!$A917:$P917, MATCH(D$2, Players!$A$1:$P$1, 0)), perc_75, VLOOKUP(D$2, Percentiles!$A$45:$I$59, 6, FALSE), perc_90, VLOOKUP(D$2, Percentiles!$A$45:$I$59, 7, FALSE), perc_95, VLOOKUP(D$2, Percentiles!$A$45:$I$59, 8, FALSE), perc_85, perc_75 + (perc_90 - perc_75) * (2/3), converted_stat, '2K_Ratings'!D918, IF(bbgm_stat &gt;= perc_95, converted_stat * 3, IF(bbgm_stat &gt;= perc_90, converted_stat * 2, IF(bbgm_stat &gt;= perc_85, converted_stat * 1.5, converted_stat)))))</f>
        <v/>
      </c>
      <c r="E918" s="30" t="str">
        <f t="array" ref="E918">IF($A918="", "", LET(bbgm_stat, INDEX(Players!$A917:$P917, MATCH(E$2, Players!$A$1:$P$1, 0)), perc_75, VLOOKUP(E$2, Percentiles!$A$45:$I$59, 6, FALSE), perc_90, VLOOKUP(E$2, Percentiles!$A$45:$I$59, 7, FALSE), perc_95, VLOOKUP(E$2, Percentiles!$A$45:$I$59, 8, FALSE), perc_85, perc_75 + (perc_90 - perc_75) * (2/3), converted_stat, '2K_Ratings'!E918, IF(bbgm_stat &gt;= perc_95, converted_stat * 3, IF(bbgm_stat &gt;= perc_90, converted_stat * 2, IF(bbgm_stat &gt;= perc_85, converted_stat * 1.5, converted_stat)))))</f>
        <v/>
      </c>
      <c r="F918" s="30" t="str">
        <f t="array" ref="F918">IF($A918="", "", LET(bbgm_stat, INDEX(Players!$A917:$P917, MATCH(F$2, Players!$A$1:$P$1, 0)), perc_75, VLOOKUP(F$2, Percentiles!$A$45:$I$59, 6, FALSE), perc_90, VLOOKUP(F$2, Percentiles!$A$45:$I$59, 7, FALSE), perc_95, VLOOKUP(F$2, Percentiles!$A$45:$I$59, 8, FALSE), perc_85, perc_75 + (perc_90 - perc_75) * (2/3), converted_stat, '2K_Ratings'!F918, IF(bbgm_stat &gt;= perc_95, converted_stat * 3, IF(bbgm_stat &gt;= perc_90, converted_stat * 2, IF(bbgm_stat &gt;= perc_85, converted_stat * 1.5, converted_stat)))))</f>
        <v/>
      </c>
      <c r="G918" s="30" t="str">
        <f t="array" ref="G918">IF($A918="", "", LET(bbgm_stat, INDEX(Players!$A917:$P917, MATCH(G$2, Players!$A$1:$P$1, 0)), perc_75, VLOOKUP(G$2, Percentiles!$A$45:$I$59, 6, FALSE), perc_90, VLOOKUP(G$2, Percentiles!$A$45:$I$59, 7, FALSE), perc_95, VLOOKUP(G$2, Percentiles!$A$45:$I$59, 8, FALSE), perc_85, perc_75 + (perc_90 - perc_75) * (2/3), converted_stat, '2K_Ratings'!G918, IF(bbgm_stat &gt;= perc_95, converted_stat * 3, IF(bbgm_stat &gt;= perc_90, converted_stat * 2, IF(bbgm_stat &gt;= perc_85, converted_stat * 1.5, converted_stat)))))</f>
        <v/>
      </c>
      <c r="H918" s="30" t="str">
        <f t="array" ref="H918">IF($A918="", "", LET(bbgm_stat, INDEX(Players!$A917:$P917, MATCH(H$2, Players!$A$1:$P$1, 0)), perc_75, VLOOKUP(H$2, Percentiles!$A$45:$I$59, 6, FALSE), perc_90, VLOOKUP(H$2, Percentiles!$A$45:$I$59, 7, FALSE), perc_95, VLOOKUP(H$2, Percentiles!$A$45:$I$59, 8, FALSE), perc_85, perc_75 + (perc_90 - perc_75) * (2/3), converted_stat, '2K_Ratings'!H918, IF(bbgm_stat &gt;= perc_95, converted_stat * 3, IF(bbgm_stat &gt;= perc_90, converted_stat * 2, IF(bbgm_stat &gt;= perc_85, converted_stat * 1.5, converted_stat)))))</f>
        <v/>
      </c>
      <c r="I918" s="30" t="str">
        <f t="array" ref="I918">IF($A918="", "", LET(bbgm_stat, INDEX(Players!$A917:$P917, MATCH(I$2, Players!$A$1:$P$1, 0)), perc_75, VLOOKUP(I$2, Percentiles!$A$45:$I$59, 6, FALSE), perc_90, VLOOKUP(I$2, Percentiles!$A$45:$I$59, 7, FALSE), perc_95, VLOOKUP(I$2, Percentiles!$A$45:$I$59, 8, FALSE), perc_85, perc_75 + (perc_90 - perc_75) * (2/3), converted_stat, '2K_Ratings'!I918, IF(bbgm_stat &gt;= perc_95, converted_stat * 3, IF(bbgm_stat &gt;= perc_90, converted_stat * 2, IF(bbgm_stat &gt;= perc_85, converted_stat * 1.5, converted_stat)))))</f>
        <v/>
      </c>
      <c r="J918" s="30" t="str">
        <f t="array" ref="J918">IF($A918="", "", LET(bbgm_stat, INDEX(Players!$A917:$P917, MATCH(J$2, Players!$A$1:$P$1, 0)), perc_75, VLOOKUP(J$2, Percentiles!$A$45:$I$59, 6, FALSE), perc_90, VLOOKUP(J$2, Percentiles!$A$45:$I$59, 7, FALSE), perc_95, VLOOKUP(J$2, Percentiles!$A$45:$I$59, 8, FALSE), perc_85, perc_75 + (perc_90 - perc_75) * (2/3), converted_stat, '2K_Ratings'!J918, IF(bbgm_stat &gt;= perc_95, converted_stat * 3, IF(bbgm_stat &gt;= perc_90, converted_stat * 2, IF(bbgm_stat &gt;= perc_85, converted_stat * 1.5, converted_stat)))))</f>
        <v/>
      </c>
      <c r="K918" s="30" t="str">
        <f t="array" ref="K918">IF($A918="", "", LET(bbgm_stat, INDEX(Players!$A917:$P917, MATCH(K$2, Players!$A$1:$P$1, 0)), perc_75, VLOOKUP(K$2, Percentiles!$A$45:$I$59, 6, FALSE), perc_90, VLOOKUP(K$2, Percentiles!$A$45:$I$59, 7, FALSE), perc_95, VLOOKUP(K$2, Percentiles!$A$45:$I$59, 8, FALSE), perc_85, perc_75 + (perc_90 - perc_75) * (2/3), converted_stat, '2K_Ratings'!K918, IF(bbgm_stat &gt;= perc_95, converted_stat * 3, IF(bbgm_stat &gt;= perc_90, converted_stat * 2, IF(bbgm_stat &gt;= perc_85, converted_stat * 1.5, converted_stat)))))</f>
        <v/>
      </c>
      <c r="L918" s="30" t="str">
        <f t="array" ref="L918">IF($A918="", "", LET(bbgm_stat, INDEX(Players!$A917:$P917, MATCH(L$2, Players!$A$1:$P$1, 0)), perc_75, VLOOKUP(L$2, Percentiles!$A$45:$I$59, 6, FALSE), perc_90, VLOOKUP(L$2, Percentiles!$A$45:$I$59, 7, FALSE), perc_95, VLOOKUP(L$2, Percentiles!$A$45:$I$59, 8, FALSE), perc_85, perc_75 + (perc_90 - perc_75) * (2/3), converted_stat, '2K_Ratings'!L918, IF(bbgm_stat &gt;= perc_95, converted_stat * 3, IF(bbgm_stat &gt;= perc_90, converted_stat * 2, IF(bbgm_stat &gt;= perc_85, converted_stat * 1.5, converted_stat)))))</f>
        <v/>
      </c>
      <c r="M918" s="30" t="str">
        <f t="array" ref="M918">IF($A918="", "", LET(bbgm_stat, INDEX(Players!$A917:$P917, MATCH(M$2, Players!$A$1:$P$1, 0)), perc_75, VLOOKUP(M$2, Percentiles!$A$45:$I$59, 6, FALSE), perc_90, VLOOKUP(M$2, Percentiles!$A$45:$I$59, 7, FALSE), perc_95, VLOOKUP(M$2, Percentiles!$A$45:$I$59, 8, FALSE), perc_85, perc_75 + (perc_90 - perc_75) * (2/3), converted_stat, '2K_Ratings'!M918, IF(bbgm_stat &gt;= perc_95, converted_stat * 3, IF(bbgm_stat &gt;= perc_90, converted_stat * 2, IF(bbgm_stat &gt;= perc_85, converted_stat * 1.5, converted_stat)))))</f>
        <v/>
      </c>
      <c r="N918" s="30" t="str">
        <f t="array" ref="N918">IF($A918="", "", LET(bbgm_stat, INDEX(Players!$A917:$P917, MATCH(N$2, Players!$A$1:$P$1, 0)), perc_75, VLOOKUP(N$2, Percentiles!$A$45:$I$59, 6, FALSE), perc_90, VLOOKUP(N$2, Percentiles!$A$45:$I$59, 7, FALSE), perc_95, VLOOKUP(N$2, Percentiles!$A$45:$I$59, 8, FALSE), perc_85, perc_75 + (perc_90 - perc_75) * (2/3), converted_stat, '2K_Ratings'!N918, IF(bbgm_stat &gt;= perc_95, converted_stat * 3, IF(bbgm_stat &gt;= perc_90, converted_stat * 2, IF(bbgm_stat &gt;= perc_85, converted_stat * 1.5, converted_stat)))))</f>
        <v/>
      </c>
      <c r="O918" s="30" t="str">
        <f t="array" ref="O918">IF($A918="", "", LET(bbgm_stat, INDEX(Players!$A917:$P917, MATCH(O$2, Players!$A$1:$P$1, 0)), perc_75, VLOOKUP(O$2, Percentiles!$A$45:$I$59, 6, FALSE), perc_90, VLOOKUP(O$2, Percentiles!$A$45:$I$59, 7, FALSE), perc_95, VLOOKUP(O$2, Percentiles!$A$45:$I$59, 8, FALSE), perc_85, perc_75 + (perc_90 - perc_75) * (2/3), converted_stat, '2K_Ratings'!O918, IF(bbgm_stat &gt;= perc_95, converted_stat * 3, IF(bbgm_stat &gt;= perc_90, converted_stat * 2, IF(bbgm_stat &gt;= perc_85, converted_stat * 1.5, converted_stat)))))</f>
        <v/>
      </c>
      <c r="P918" s="30" t="str">
        <f t="array" ref="P918">IF($A918="", "", LET(bbgm_stat, INDEX(Players!$A917:$P917, MATCH(P$2, Players!$A$1:$P$1, 0)), perc_75, VLOOKUP(P$2, Percentiles!$A$45:$I$59, 6, FALSE), perc_90, VLOOKUP(P$2, Percentiles!$A$45:$I$59, 7, FALSE), perc_95, VLOOKUP(P$2, Percentiles!$A$45:$I$59, 8, FALSE), perc_85, perc_75 + (perc_90 - perc_75) * (2/3), converted_stat, '2K_Ratings'!P918, IF(bbgm_stat &gt;= perc_95, converted_stat * 3, IF(bbgm_stat &gt;= perc_90, converted_stat * 2, IF(bbgm_stat &gt;= perc_85, converted_stat * 1.5, converted_stat)))))</f>
        <v/>
      </c>
      <c r="Q918" s="30" t="str">
        <f t="array" ref="Q918">IF($A918="", "", LET(bbgm_stat, INDEX(Players!$A917:$P917, MATCH(Q$2, Players!$A$1:$P$1, 0)), perc_75, VLOOKUP(Q$2, Percentiles!$A$45:$I$59, 6, FALSE), perc_90, VLOOKUP(Q$2, Percentiles!$A$45:$I$59, 7, FALSE), perc_95, VLOOKUP(Q$2, Percentiles!$A$45:$I$59, 8, FALSE), perc_85, perc_75 + (perc_90 - perc_75) * (2/3), converted_stat, '2K_Ratings'!Q918, IF(bbgm_stat &gt;= perc_95, converted_stat * 3, IF(bbgm_stat &gt;= perc_90, converted_stat * 2, IF(bbgm_stat &gt;= perc_85, converted_stat * 1.5, converted_stat)))))</f>
        <v/>
      </c>
      <c r="R918" s="30" t="str">
        <f t="array" ref="R918">IF($A918="", "", LET(bbgm_stat, INDEX(Players!$A917:$P917, MATCH(R$2, Players!$A$1:$P$1, 0)), perc_75, VLOOKUP(R$2, Percentiles!$A$45:$I$59, 6, FALSE), perc_90, VLOOKUP(R$2, Percentiles!$A$45:$I$59, 7, FALSE), perc_95, VLOOKUP(R$2, Percentiles!$A$45:$I$59, 8, FALSE), perc_85, perc_75 + (perc_90 - perc_75) * (2/3), converted_stat, '2K_Ratings'!R918, IF(bbgm_stat &gt;= perc_95, converted_stat * 3, IF(bbgm_stat &gt;= perc_90, converted_stat * 2, IF(bbgm_stat &gt;= perc_85, converted_stat * 1.5, converted_stat)))))</f>
        <v/>
      </c>
      <c r="S918" s="30" t="str">
        <f t="array" ref="S918">IF($A918="", "", LET(bbgm_stat, INDEX(Players!$A917:$P917, MATCH(S$2, Players!$A$1:$P$1, 0)), perc_75, VLOOKUP(S$2, Percentiles!$A$45:$I$59, 6, FALSE), perc_90, VLOOKUP(S$2, Percentiles!$A$45:$I$59, 7, FALSE), perc_95, VLOOKUP(S$2, Percentiles!$A$45:$I$59, 8, FALSE), perc_85, perc_75 + (perc_90 - perc_75) * (2/3), converted_stat, '2K_Ratings'!S918, IF(bbgm_stat &gt;= perc_95, converted_stat * 3, IF(bbgm_stat &gt;= perc_90, converted_stat * 2, IF(bbgm_stat &gt;= perc_85, converted_stat * 1.5, converted_stat)))))</f>
        <v/>
      </c>
      <c r="T918" s="30" t="str">
        <f t="array" ref="T918">IF($A918="", "", LET(bbgm_stat, INDEX(Players!$A917:$P917, MATCH(T$2, Players!$A$1:$P$1, 0)), perc_75, VLOOKUP(T$2, Percentiles!$A$45:$I$59, 6, FALSE), perc_90, VLOOKUP(T$2, Percentiles!$A$45:$I$59, 7, FALSE), perc_95, VLOOKUP(T$2, Percentiles!$A$45:$I$59, 8, FALSE), perc_85, perc_75 + (perc_90 - perc_75) * (2/3), converted_stat, '2K_Ratings'!T918, IF(bbgm_stat &gt;= perc_95, converted_stat * 3, IF(bbgm_stat &gt;= perc_90, converted_stat * 2, IF(bbgm_stat &gt;= perc_85, converted_stat * 1.5, converted_stat)))))</f>
        <v/>
      </c>
      <c r="U918" s="30" t="str">
        <f t="array" ref="U918">IF($A918="", "", LET(bbgm_stat, INDEX(Players!$A917:$P917, MATCH(U$2, Players!$A$1:$P$1, 0)), perc_75, VLOOKUP(U$2, Percentiles!$A$45:$I$59, 6, FALSE), perc_90, VLOOKUP(U$2, Percentiles!$A$45:$I$59, 7, FALSE), perc_95, VLOOKUP(U$2, Percentiles!$A$45:$I$59, 8, FALSE), perc_85, perc_75 + (perc_90 - perc_75) * (2/3), converted_stat, '2K_Ratings'!U918, IF(bbgm_stat &gt;= perc_95, converted_stat * 3, IF(bbgm_stat &gt;= perc_90, converted_stat * 2, IF(bbgm_stat &gt;= perc_85, converted_stat * 1.5, converted_stat)))))</f>
        <v/>
      </c>
      <c r="V918" s="30" t="str">
        <f t="array" ref="V918">IF($A918="", "", LET(bbgm_stat, INDEX(Players!$A917:$P917, MATCH(V$2, Players!$A$1:$P$1, 0)), perc_75, VLOOKUP(V$2, Percentiles!$A$45:$I$59, 6, FALSE), perc_90, VLOOKUP(V$2, Percentiles!$A$45:$I$59, 7, FALSE), perc_95, VLOOKUP(V$2, Percentiles!$A$45:$I$59, 8, FALSE), perc_85, perc_75 + (perc_90 - perc_75) * (2/3), converted_stat, '2K_Ratings'!V918, IF(bbgm_stat &gt;= perc_95, converted_stat * 3, IF(bbgm_stat &gt;= perc_90, converted_stat * 2, IF(bbgm_stat &gt;= perc_85, converted_stat * 1.5, converted_stat)))))</f>
        <v/>
      </c>
      <c r="W918" s="30" t="str">
        <f t="array" ref="W918">IF($A918="", "", LET(bbgm_stat, INDEX(Players!$A917:$P917, MATCH(W$2, Players!$A$1:$P$1, 0)), perc_75, VLOOKUP(W$2, Percentiles!$A$45:$I$59, 6, FALSE), perc_90, VLOOKUP(W$2, Percentiles!$A$45:$I$59, 7, FALSE), perc_95, VLOOKUP(W$2, Percentiles!$A$45:$I$59, 8, FALSE), perc_85, perc_75 + (perc_90 - perc_75) * (2/3), converted_stat, '2K_Ratings'!W918, IF(bbgm_stat &gt;= perc_95, converted_stat * 3, IF(bbgm_stat &gt;= perc_90, converted_stat * 2, IF(bbgm_stat &gt;= perc_85, converted_stat * 1.5, converted_stat)))))</f>
        <v/>
      </c>
    </row>
    <row r="919">
      <c r="A919" s="30"/>
      <c r="B919" s="30" t="str">
        <f t="array" ref="B919">IF($A919="", "", LET(bbgm_stat, INDEX(Players!$A918:$P918, MATCH(B$2, Players!$A$1:$P$1, 0)), perc_75, VLOOKUP(B$2, Percentiles!$A$45:$I$59, 6, FALSE), perc_90, VLOOKUP(B$2, Percentiles!$A$45:$I$59, 7, FALSE), perc_95, VLOOKUP(B$2, Percentiles!$A$45:$I$59, 8, FALSE), perc_85, perc_75 + (perc_90 - perc_75) * (2/3), converted_stat, '2K_Ratings'!B919, IF(bbgm_stat &gt;= perc_95, converted_stat * 3, IF(bbgm_stat &gt;= perc_90, converted_stat * 2, IF(bbgm_stat &gt;= perc_85, converted_stat * 1.5, converted_stat)))))</f>
        <v/>
      </c>
      <c r="C919" s="30" t="str">
        <f t="array" ref="C919">IF($A919="", "", LET(bbgm_stat, INDEX(Players!$A918:$P918, MATCH(C$2, Players!$A$1:$P$1, 0)), perc_75, VLOOKUP(C$2, Percentiles!$A$45:$I$59, 6, FALSE), perc_90, VLOOKUP(C$2, Percentiles!$A$45:$I$59, 7, FALSE), perc_95, VLOOKUP(C$2, Percentiles!$A$45:$I$59, 8, FALSE), perc_85, perc_75 + (perc_90 - perc_75) * (2/3), converted_stat, '2K_Ratings'!C919, IF(bbgm_stat &gt;= perc_95, converted_stat * 3, IF(bbgm_stat &gt;= perc_90, converted_stat * 2, IF(bbgm_stat &gt;= perc_85, converted_stat * 1.5, converted_stat)))))</f>
        <v/>
      </c>
      <c r="D919" s="30" t="str">
        <f t="array" ref="D919">IF($A919="", "", LET(bbgm_stat, INDEX(Players!$A918:$P918, MATCH(D$2, Players!$A$1:$P$1, 0)), perc_75, VLOOKUP(D$2, Percentiles!$A$45:$I$59, 6, FALSE), perc_90, VLOOKUP(D$2, Percentiles!$A$45:$I$59, 7, FALSE), perc_95, VLOOKUP(D$2, Percentiles!$A$45:$I$59, 8, FALSE), perc_85, perc_75 + (perc_90 - perc_75) * (2/3), converted_stat, '2K_Ratings'!D919, IF(bbgm_stat &gt;= perc_95, converted_stat * 3, IF(bbgm_stat &gt;= perc_90, converted_stat * 2, IF(bbgm_stat &gt;= perc_85, converted_stat * 1.5, converted_stat)))))</f>
        <v/>
      </c>
      <c r="E919" s="30" t="str">
        <f t="array" ref="E919">IF($A919="", "", LET(bbgm_stat, INDEX(Players!$A918:$P918, MATCH(E$2, Players!$A$1:$P$1, 0)), perc_75, VLOOKUP(E$2, Percentiles!$A$45:$I$59, 6, FALSE), perc_90, VLOOKUP(E$2, Percentiles!$A$45:$I$59, 7, FALSE), perc_95, VLOOKUP(E$2, Percentiles!$A$45:$I$59, 8, FALSE), perc_85, perc_75 + (perc_90 - perc_75) * (2/3), converted_stat, '2K_Ratings'!E919, IF(bbgm_stat &gt;= perc_95, converted_stat * 3, IF(bbgm_stat &gt;= perc_90, converted_stat * 2, IF(bbgm_stat &gt;= perc_85, converted_stat * 1.5, converted_stat)))))</f>
        <v/>
      </c>
      <c r="F919" s="30" t="str">
        <f t="array" ref="F919">IF($A919="", "", LET(bbgm_stat, INDEX(Players!$A918:$P918, MATCH(F$2, Players!$A$1:$P$1, 0)), perc_75, VLOOKUP(F$2, Percentiles!$A$45:$I$59, 6, FALSE), perc_90, VLOOKUP(F$2, Percentiles!$A$45:$I$59, 7, FALSE), perc_95, VLOOKUP(F$2, Percentiles!$A$45:$I$59, 8, FALSE), perc_85, perc_75 + (perc_90 - perc_75) * (2/3), converted_stat, '2K_Ratings'!F919, IF(bbgm_stat &gt;= perc_95, converted_stat * 3, IF(bbgm_stat &gt;= perc_90, converted_stat * 2, IF(bbgm_stat &gt;= perc_85, converted_stat * 1.5, converted_stat)))))</f>
        <v/>
      </c>
      <c r="G919" s="30" t="str">
        <f t="array" ref="G919">IF($A919="", "", LET(bbgm_stat, INDEX(Players!$A918:$P918, MATCH(G$2, Players!$A$1:$P$1, 0)), perc_75, VLOOKUP(G$2, Percentiles!$A$45:$I$59, 6, FALSE), perc_90, VLOOKUP(G$2, Percentiles!$A$45:$I$59, 7, FALSE), perc_95, VLOOKUP(G$2, Percentiles!$A$45:$I$59, 8, FALSE), perc_85, perc_75 + (perc_90 - perc_75) * (2/3), converted_stat, '2K_Ratings'!G919, IF(bbgm_stat &gt;= perc_95, converted_stat * 3, IF(bbgm_stat &gt;= perc_90, converted_stat * 2, IF(bbgm_stat &gt;= perc_85, converted_stat * 1.5, converted_stat)))))</f>
        <v/>
      </c>
      <c r="H919" s="30" t="str">
        <f t="array" ref="H919">IF($A919="", "", LET(bbgm_stat, INDEX(Players!$A918:$P918, MATCH(H$2, Players!$A$1:$P$1, 0)), perc_75, VLOOKUP(H$2, Percentiles!$A$45:$I$59, 6, FALSE), perc_90, VLOOKUP(H$2, Percentiles!$A$45:$I$59, 7, FALSE), perc_95, VLOOKUP(H$2, Percentiles!$A$45:$I$59, 8, FALSE), perc_85, perc_75 + (perc_90 - perc_75) * (2/3), converted_stat, '2K_Ratings'!H919, IF(bbgm_stat &gt;= perc_95, converted_stat * 3, IF(bbgm_stat &gt;= perc_90, converted_stat * 2, IF(bbgm_stat &gt;= perc_85, converted_stat * 1.5, converted_stat)))))</f>
        <v/>
      </c>
      <c r="I919" s="30" t="str">
        <f t="array" ref="I919">IF($A919="", "", LET(bbgm_stat, INDEX(Players!$A918:$P918, MATCH(I$2, Players!$A$1:$P$1, 0)), perc_75, VLOOKUP(I$2, Percentiles!$A$45:$I$59, 6, FALSE), perc_90, VLOOKUP(I$2, Percentiles!$A$45:$I$59, 7, FALSE), perc_95, VLOOKUP(I$2, Percentiles!$A$45:$I$59, 8, FALSE), perc_85, perc_75 + (perc_90 - perc_75) * (2/3), converted_stat, '2K_Ratings'!I919, IF(bbgm_stat &gt;= perc_95, converted_stat * 3, IF(bbgm_stat &gt;= perc_90, converted_stat * 2, IF(bbgm_stat &gt;= perc_85, converted_stat * 1.5, converted_stat)))))</f>
        <v/>
      </c>
      <c r="J919" s="30" t="str">
        <f t="array" ref="J919">IF($A919="", "", LET(bbgm_stat, INDEX(Players!$A918:$P918, MATCH(J$2, Players!$A$1:$P$1, 0)), perc_75, VLOOKUP(J$2, Percentiles!$A$45:$I$59, 6, FALSE), perc_90, VLOOKUP(J$2, Percentiles!$A$45:$I$59, 7, FALSE), perc_95, VLOOKUP(J$2, Percentiles!$A$45:$I$59, 8, FALSE), perc_85, perc_75 + (perc_90 - perc_75) * (2/3), converted_stat, '2K_Ratings'!J919, IF(bbgm_stat &gt;= perc_95, converted_stat * 3, IF(bbgm_stat &gt;= perc_90, converted_stat * 2, IF(bbgm_stat &gt;= perc_85, converted_stat * 1.5, converted_stat)))))</f>
        <v/>
      </c>
      <c r="K919" s="30" t="str">
        <f t="array" ref="K919">IF($A919="", "", LET(bbgm_stat, INDEX(Players!$A918:$P918, MATCH(K$2, Players!$A$1:$P$1, 0)), perc_75, VLOOKUP(K$2, Percentiles!$A$45:$I$59, 6, FALSE), perc_90, VLOOKUP(K$2, Percentiles!$A$45:$I$59, 7, FALSE), perc_95, VLOOKUP(K$2, Percentiles!$A$45:$I$59, 8, FALSE), perc_85, perc_75 + (perc_90 - perc_75) * (2/3), converted_stat, '2K_Ratings'!K919, IF(bbgm_stat &gt;= perc_95, converted_stat * 3, IF(bbgm_stat &gt;= perc_90, converted_stat * 2, IF(bbgm_stat &gt;= perc_85, converted_stat * 1.5, converted_stat)))))</f>
        <v/>
      </c>
      <c r="L919" s="30" t="str">
        <f t="array" ref="L919">IF($A919="", "", LET(bbgm_stat, INDEX(Players!$A918:$P918, MATCH(L$2, Players!$A$1:$P$1, 0)), perc_75, VLOOKUP(L$2, Percentiles!$A$45:$I$59, 6, FALSE), perc_90, VLOOKUP(L$2, Percentiles!$A$45:$I$59, 7, FALSE), perc_95, VLOOKUP(L$2, Percentiles!$A$45:$I$59, 8, FALSE), perc_85, perc_75 + (perc_90 - perc_75) * (2/3), converted_stat, '2K_Ratings'!L919, IF(bbgm_stat &gt;= perc_95, converted_stat * 3, IF(bbgm_stat &gt;= perc_90, converted_stat * 2, IF(bbgm_stat &gt;= perc_85, converted_stat * 1.5, converted_stat)))))</f>
        <v/>
      </c>
      <c r="M919" s="30" t="str">
        <f t="array" ref="M919">IF($A919="", "", LET(bbgm_stat, INDEX(Players!$A918:$P918, MATCH(M$2, Players!$A$1:$P$1, 0)), perc_75, VLOOKUP(M$2, Percentiles!$A$45:$I$59, 6, FALSE), perc_90, VLOOKUP(M$2, Percentiles!$A$45:$I$59, 7, FALSE), perc_95, VLOOKUP(M$2, Percentiles!$A$45:$I$59, 8, FALSE), perc_85, perc_75 + (perc_90 - perc_75) * (2/3), converted_stat, '2K_Ratings'!M919, IF(bbgm_stat &gt;= perc_95, converted_stat * 3, IF(bbgm_stat &gt;= perc_90, converted_stat * 2, IF(bbgm_stat &gt;= perc_85, converted_stat * 1.5, converted_stat)))))</f>
        <v/>
      </c>
      <c r="N919" s="30" t="str">
        <f t="array" ref="N919">IF($A919="", "", LET(bbgm_stat, INDEX(Players!$A918:$P918, MATCH(N$2, Players!$A$1:$P$1, 0)), perc_75, VLOOKUP(N$2, Percentiles!$A$45:$I$59, 6, FALSE), perc_90, VLOOKUP(N$2, Percentiles!$A$45:$I$59, 7, FALSE), perc_95, VLOOKUP(N$2, Percentiles!$A$45:$I$59, 8, FALSE), perc_85, perc_75 + (perc_90 - perc_75) * (2/3), converted_stat, '2K_Ratings'!N919, IF(bbgm_stat &gt;= perc_95, converted_stat * 3, IF(bbgm_stat &gt;= perc_90, converted_stat * 2, IF(bbgm_stat &gt;= perc_85, converted_stat * 1.5, converted_stat)))))</f>
        <v/>
      </c>
      <c r="O919" s="30" t="str">
        <f t="array" ref="O919">IF($A919="", "", LET(bbgm_stat, INDEX(Players!$A918:$P918, MATCH(O$2, Players!$A$1:$P$1, 0)), perc_75, VLOOKUP(O$2, Percentiles!$A$45:$I$59, 6, FALSE), perc_90, VLOOKUP(O$2, Percentiles!$A$45:$I$59, 7, FALSE), perc_95, VLOOKUP(O$2, Percentiles!$A$45:$I$59, 8, FALSE), perc_85, perc_75 + (perc_90 - perc_75) * (2/3), converted_stat, '2K_Ratings'!O919, IF(bbgm_stat &gt;= perc_95, converted_stat * 3, IF(bbgm_stat &gt;= perc_90, converted_stat * 2, IF(bbgm_stat &gt;= perc_85, converted_stat * 1.5, converted_stat)))))</f>
        <v/>
      </c>
      <c r="P919" s="30" t="str">
        <f t="array" ref="P919">IF($A919="", "", LET(bbgm_stat, INDEX(Players!$A918:$P918, MATCH(P$2, Players!$A$1:$P$1, 0)), perc_75, VLOOKUP(P$2, Percentiles!$A$45:$I$59, 6, FALSE), perc_90, VLOOKUP(P$2, Percentiles!$A$45:$I$59, 7, FALSE), perc_95, VLOOKUP(P$2, Percentiles!$A$45:$I$59, 8, FALSE), perc_85, perc_75 + (perc_90 - perc_75) * (2/3), converted_stat, '2K_Ratings'!P919, IF(bbgm_stat &gt;= perc_95, converted_stat * 3, IF(bbgm_stat &gt;= perc_90, converted_stat * 2, IF(bbgm_stat &gt;= perc_85, converted_stat * 1.5, converted_stat)))))</f>
        <v/>
      </c>
      <c r="Q919" s="30" t="str">
        <f t="array" ref="Q919">IF($A919="", "", LET(bbgm_stat, INDEX(Players!$A918:$P918, MATCH(Q$2, Players!$A$1:$P$1, 0)), perc_75, VLOOKUP(Q$2, Percentiles!$A$45:$I$59, 6, FALSE), perc_90, VLOOKUP(Q$2, Percentiles!$A$45:$I$59, 7, FALSE), perc_95, VLOOKUP(Q$2, Percentiles!$A$45:$I$59, 8, FALSE), perc_85, perc_75 + (perc_90 - perc_75) * (2/3), converted_stat, '2K_Ratings'!Q919, IF(bbgm_stat &gt;= perc_95, converted_stat * 3, IF(bbgm_stat &gt;= perc_90, converted_stat * 2, IF(bbgm_stat &gt;= perc_85, converted_stat * 1.5, converted_stat)))))</f>
        <v/>
      </c>
      <c r="R919" s="30" t="str">
        <f t="array" ref="R919">IF($A919="", "", LET(bbgm_stat, INDEX(Players!$A918:$P918, MATCH(R$2, Players!$A$1:$P$1, 0)), perc_75, VLOOKUP(R$2, Percentiles!$A$45:$I$59, 6, FALSE), perc_90, VLOOKUP(R$2, Percentiles!$A$45:$I$59, 7, FALSE), perc_95, VLOOKUP(R$2, Percentiles!$A$45:$I$59, 8, FALSE), perc_85, perc_75 + (perc_90 - perc_75) * (2/3), converted_stat, '2K_Ratings'!R919, IF(bbgm_stat &gt;= perc_95, converted_stat * 3, IF(bbgm_stat &gt;= perc_90, converted_stat * 2, IF(bbgm_stat &gt;= perc_85, converted_stat * 1.5, converted_stat)))))</f>
        <v/>
      </c>
      <c r="S919" s="30" t="str">
        <f t="array" ref="S919">IF($A919="", "", LET(bbgm_stat, INDEX(Players!$A918:$P918, MATCH(S$2, Players!$A$1:$P$1, 0)), perc_75, VLOOKUP(S$2, Percentiles!$A$45:$I$59, 6, FALSE), perc_90, VLOOKUP(S$2, Percentiles!$A$45:$I$59, 7, FALSE), perc_95, VLOOKUP(S$2, Percentiles!$A$45:$I$59, 8, FALSE), perc_85, perc_75 + (perc_90 - perc_75) * (2/3), converted_stat, '2K_Ratings'!S919, IF(bbgm_stat &gt;= perc_95, converted_stat * 3, IF(bbgm_stat &gt;= perc_90, converted_stat * 2, IF(bbgm_stat &gt;= perc_85, converted_stat * 1.5, converted_stat)))))</f>
        <v/>
      </c>
      <c r="T919" s="30" t="str">
        <f t="array" ref="T919">IF($A919="", "", LET(bbgm_stat, INDEX(Players!$A918:$P918, MATCH(T$2, Players!$A$1:$P$1, 0)), perc_75, VLOOKUP(T$2, Percentiles!$A$45:$I$59, 6, FALSE), perc_90, VLOOKUP(T$2, Percentiles!$A$45:$I$59, 7, FALSE), perc_95, VLOOKUP(T$2, Percentiles!$A$45:$I$59, 8, FALSE), perc_85, perc_75 + (perc_90 - perc_75) * (2/3), converted_stat, '2K_Ratings'!T919, IF(bbgm_stat &gt;= perc_95, converted_stat * 3, IF(bbgm_stat &gt;= perc_90, converted_stat * 2, IF(bbgm_stat &gt;= perc_85, converted_stat * 1.5, converted_stat)))))</f>
        <v/>
      </c>
      <c r="U919" s="30" t="str">
        <f t="array" ref="U919">IF($A919="", "", LET(bbgm_stat, INDEX(Players!$A918:$P918, MATCH(U$2, Players!$A$1:$P$1, 0)), perc_75, VLOOKUP(U$2, Percentiles!$A$45:$I$59, 6, FALSE), perc_90, VLOOKUP(U$2, Percentiles!$A$45:$I$59, 7, FALSE), perc_95, VLOOKUP(U$2, Percentiles!$A$45:$I$59, 8, FALSE), perc_85, perc_75 + (perc_90 - perc_75) * (2/3), converted_stat, '2K_Ratings'!U919, IF(bbgm_stat &gt;= perc_95, converted_stat * 3, IF(bbgm_stat &gt;= perc_90, converted_stat * 2, IF(bbgm_stat &gt;= perc_85, converted_stat * 1.5, converted_stat)))))</f>
        <v/>
      </c>
      <c r="V919" s="30" t="str">
        <f t="array" ref="V919">IF($A919="", "", LET(bbgm_stat, INDEX(Players!$A918:$P918, MATCH(V$2, Players!$A$1:$P$1, 0)), perc_75, VLOOKUP(V$2, Percentiles!$A$45:$I$59, 6, FALSE), perc_90, VLOOKUP(V$2, Percentiles!$A$45:$I$59, 7, FALSE), perc_95, VLOOKUP(V$2, Percentiles!$A$45:$I$59, 8, FALSE), perc_85, perc_75 + (perc_90 - perc_75) * (2/3), converted_stat, '2K_Ratings'!V919, IF(bbgm_stat &gt;= perc_95, converted_stat * 3, IF(bbgm_stat &gt;= perc_90, converted_stat * 2, IF(bbgm_stat &gt;= perc_85, converted_stat * 1.5, converted_stat)))))</f>
        <v/>
      </c>
      <c r="W919" s="30" t="str">
        <f t="array" ref="W919">IF($A919="", "", LET(bbgm_stat, INDEX(Players!$A918:$P918, MATCH(W$2, Players!$A$1:$P$1, 0)), perc_75, VLOOKUP(W$2, Percentiles!$A$45:$I$59, 6, FALSE), perc_90, VLOOKUP(W$2, Percentiles!$A$45:$I$59, 7, FALSE), perc_95, VLOOKUP(W$2, Percentiles!$A$45:$I$59, 8, FALSE), perc_85, perc_75 + (perc_90 - perc_75) * (2/3), converted_stat, '2K_Ratings'!W919, IF(bbgm_stat &gt;= perc_95, converted_stat * 3, IF(bbgm_stat &gt;= perc_90, converted_stat * 2, IF(bbgm_stat &gt;= perc_85, converted_stat * 1.5, converted_stat)))))</f>
        <v/>
      </c>
    </row>
    <row r="920">
      <c r="A920" s="30"/>
      <c r="B920" s="30" t="str">
        <f t="array" ref="B920">IF($A920="", "", LET(bbgm_stat, INDEX(Players!$A919:$P919, MATCH(B$2, Players!$A$1:$P$1, 0)), perc_75, VLOOKUP(B$2, Percentiles!$A$45:$I$59, 6, FALSE), perc_90, VLOOKUP(B$2, Percentiles!$A$45:$I$59, 7, FALSE), perc_95, VLOOKUP(B$2, Percentiles!$A$45:$I$59, 8, FALSE), perc_85, perc_75 + (perc_90 - perc_75) * (2/3), converted_stat, '2K_Ratings'!B920, IF(bbgm_stat &gt;= perc_95, converted_stat * 3, IF(bbgm_stat &gt;= perc_90, converted_stat * 2, IF(bbgm_stat &gt;= perc_85, converted_stat * 1.5, converted_stat)))))</f>
        <v/>
      </c>
      <c r="C920" s="30" t="str">
        <f t="array" ref="C920">IF($A920="", "", LET(bbgm_stat, INDEX(Players!$A919:$P919, MATCH(C$2, Players!$A$1:$P$1, 0)), perc_75, VLOOKUP(C$2, Percentiles!$A$45:$I$59, 6, FALSE), perc_90, VLOOKUP(C$2, Percentiles!$A$45:$I$59, 7, FALSE), perc_95, VLOOKUP(C$2, Percentiles!$A$45:$I$59, 8, FALSE), perc_85, perc_75 + (perc_90 - perc_75) * (2/3), converted_stat, '2K_Ratings'!C920, IF(bbgm_stat &gt;= perc_95, converted_stat * 3, IF(bbgm_stat &gt;= perc_90, converted_stat * 2, IF(bbgm_stat &gt;= perc_85, converted_stat * 1.5, converted_stat)))))</f>
        <v/>
      </c>
      <c r="D920" s="30" t="str">
        <f t="array" ref="D920">IF($A920="", "", LET(bbgm_stat, INDEX(Players!$A919:$P919, MATCH(D$2, Players!$A$1:$P$1, 0)), perc_75, VLOOKUP(D$2, Percentiles!$A$45:$I$59, 6, FALSE), perc_90, VLOOKUP(D$2, Percentiles!$A$45:$I$59, 7, FALSE), perc_95, VLOOKUP(D$2, Percentiles!$A$45:$I$59, 8, FALSE), perc_85, perc_75 + (perc_90 - perc_75) * (2/3), converted_stat, '2K_Ratings'!D920, IF(bbgm_stat &gt;= perc_95, converted_stat * 3, IF(bbgm_stat &gt;= perc_90, converted_stat * 2, IF(bbgm_stat &gt;= perc_85, converted_stat * 1.5, converted_stat)))))</f>
        <v/>
      </c>
      <c r="E920" s="30" t="str">
        <f t="array" ref="E920">IF($A920="", "", LET(bbgm_stat, INDEX(Players!$A919:$P919, MATCH(E$2, Players!$A$1:$P$1, 0)), perc_75, VLOOKUP(E$2, Percentiles!$A$45:$I$59, 6, FALSE), perc_90, VLOOKUP(E$2, Percentiles!$A$45:$I$59, 7, FALSE), perc_95, VLOOKUP(E$2, Percentiles!$A$45:$I$59, 8, FALSE), perc_85, perc_75 + (perc_90 - perc_75) * (2/3), converted_stat, '2K_Ratings'!E920, IF(bbgm_stat &gt;= perc_95, converted_stat * 3, IF(bbgm_stat &gt;= perc_90, converted_stat * 2, IF(bbgm_stat &gt;= perc_85, converted_stat * 1.5, converted_stat)))))</f>
        <v/>
      </c>
      <c r="F920" s="30" t="str">
        <f t="array" ref="F920">IF($A920="", "", LET(bbgm_stat, INDEX(Players!$A919:$P919, MATCH(F$2, Players!$A$1:$P$1, 0)), perc_75, VLOOKUP(F$2, Percentiles!$A$45:$I$59, 6, FALSE), perc_90, VLOOKUP(F$2, Percentiles!$A$45:$I$59, 7, FALSE), perc_95, VLOOKUP(F$2, Percentiles!$A$45:$I$59, 8, FALSE), perc_85, perc_75 + (perc_90 - perc_75) * (2/3), converted_stat, '2K_Ratings'!F920, IF(bbgm_stat &gt;= perc_95, converted_stat * 3, IF(bbgm_stat &gt;= perc_90, converted_stat * 2, IF(bbgm_stat &gt;= perc_85, converted_stat * 1.5, converted_stat)))))</f>
        <v/>
      </c>
      <c r="G920" s="30" t="str">
        <f t="array" ref="G920">IF($A920="", "", LET(bbgm_stat, INDEX(Players!$A919:$P919, MATCH(G$2, Players!$A$1:$P$1, 0)), perc_75, VLOOKUP(G$2, Percentiles!$A$45:$I$59, 6, FALSE), perc_90, VLOOKUP(G$2, Percentiles!$A$45:$I$59, 7, FALSE), perc_95, VLOOKUP(G$2, Percentiles!$A$45:$I$59, 8, FALSE), perc_85, perc_75 + (perc_90 - perc_75) * (2/3), converted_stat, '2K_Ratings'!G920, IF(bbgm_stat &gt;= perc_95, converted_stat * 3, IF(bbgm_stat &gt;= perc_90, converted_stat * 2, IF(bbgm_stat &gt;= perc_85, converted_stat * 1.5, converted_stat)))))</f>
        <v/>
      </c>
      <c r="H920" s="30" t="str">
        <f t="array" ref="H920">IF($A920="", "", LET(bbgm_stat, INDEX(Players!$A919:$P919, MATCH(H$2, Players!$A$1:$P$1, 0)), perc_75, VLOOKUP(H$2, Percentiles!$A$45:$I$59, 6, FALSE), perc_90, VLOOKUP(H$2, Percentiles!$A$45:$I$59, 7, FALSE), perc_95, VLOOKUP(H$2, Percentiles!$A$45:$I$59, 8, FALSE), perc_85, perc_75 + (perc_90 - perc_75) * (2/3), converted_stat, '2K_Ratings'!H920, IF(bbgm_stat &gt;= perc_95, converted_stat * 3, IF(bbgm_stat &gt;= perc_90, converted_stat * 2, IF(bbgm_stat &gt;= perc_85, converted_stat * 1.5, converted_stat)))))</f>
        <v/>
      </c>
      <c r="I920" s="30" t="str">
        <f t="array" ref="I920">IF($A920="", "", LET(bbgm_stat, INDEX(Players!$A919:$P919, MATCH(I$2, Players!$A$1:$P$1, 0)), perc_75, VLOOKUP(I$2, Percentiles!$A$45:$I$59, 6, FALSE), perc_90, VLOOKUP(I$2, Percentiles!$A$45:$I$59, 7, FALSE), perc_95, VLOOKUP(I$2, Percentiles!$A$45:$I$59, 8, FALSE), perc_85, perc_75 + (perc_90 - perc_75) * (2/3), converted_stat, '2K_Ratings'!I920, IF(bbgm_stat &gt;= perc_95, converted_stat * 3, IF(bbgm_stat &gt;= perc_90, converted_stat * 2, IF(bbgm_stat &gt;= perc_85, converted_stat * 1.5, converted_stat)))))</f>
        <v/>
      </c>
      <c r="J920" s="30" t="str">
        <f t="array" ref="J920">IF($A920="", "", LET(bbgm_stat, INDEX(Players!$A919:$P919, MATCH(J$2, Players!$A$1:$P$1, 0)), perc_75, VLOOKUP(J$2, Percentiles!$A$45:$I$59, 6, FALSE), perc_90, VLOOKUP(J$2, Percentiles!$A$45:$I$59, 7, FALSE), perc_95, VLOOKUP(J$2, Percentiles!$A$45:$I$59, 8, FALSE), perc_85, perc_75 + (perc_90 - perc_75) * (2/3), converted_stat, '2K_Ratings'!J920, IF(bbgm_stat &gt;= perc_95, converted_stat * 3, IF(bbgm_stat &gt;= perc_90, converted_stat * 2, IF(bbgm_stat &gt;= perc_85, converted_stat * 1.5, converted_stat)))))</f>
        <v/>
      </c>
      <c r="K920" s="30" t="str">
        <f t="array" ref="K920">IF($A920="", "", LET(bbgm_stat, INDEX(Players!$A919:$P919, MATCH(K$2, Players!$A$1:$P$1, 0)), perc_75, VLOOKUP(K$2, Percentiles!$A$45:$I$59, 6, FALSE), perc_90, VLOOKUP(K$2, Percentiles!$A$45:$I$59, 7, FALSE), perc_95, VLOOKUP(K$2, Percentiles!$A$45:$I$59, 8, FALSE), perc_85, perc_75 + (perc_90 - perc_75) * (2/3), converted_stat, '2K_Ratings'!K920, IF(bbgm_stat &gt;= perc_95, converted_stat * 3, IF(bbgm_stat &gt;= perc_90, converted_stat * 2, IF(bbgm_stat &gt;= perc_85, converted_stat * 1.5, converted_stat)))))</f>
        <v/>
      </c>
      <c r="L920" s="30" t="str">
        <f t="array" ref="L920">IF($A920="", "", LET(bbgm_stat, INDEX(Players!$A919:$P919, MATCH(L$2, Players!$A$1:$P$1, 0)), perc_75, VLOOKUP(L$2, Percentiles!$A$45:$I$59, 6, FALSE), perc_90, VLOOKUP(L$2, Percentiles!$A$45:$I$59, 7, FALSE), perc_95, VLOOKUP(L$2, Percentiles!$A$45:$I$59, 8, FALSE), perc_85, perc_75 + (perc_90 - perc_75) * (2/3), converted_stat, '2K_Ratings'!L920, IF(bbgm_stat &gt;= perc_95, converted_stat * 3, IF(bbgm_stat &gt;= perc_90, converted_stat * 2, IF(bbgm_stat &gt;= perc_85, converted_stat * 1.5, converted_stat)))))</f>
        <v/>
      </c>
      <c r="M920" s="30" t="str">
        <f t="array" ref="M920">IF($A920="", "", LET(bbgm_stat, INDEX(Players!$A919:$P919, MATCH(M$2, Players!$A$1:$P$1, 0)), perc_75, VLOOKUP(M$2, Percentiles!$A$45:$I$59, 6, FALSE), perc_90, VLOOKUP(M$2, Percentiles!$A$45:$I$59, 7, FALSE), perc_95, VLOOKUP(M$2, Percentiles!$A$45:$I$59, 8, FALSE), perc_85, perc_75 + (perc_90 - perc_75) * (2/3), converted_stat, '2K_Ratings'!M920, IF(bbgm_stat &gt;= perc_95, converted_stat * 3, IF(bbgm_stat &gt;= perc_90, converted_stat * 2, IF(bbgm_stat &gt;= perc_85, converted_stat * 1.5, converted_stat)))))</f>
        <v/>
      </c>
      <c r="N920" s="30" t="str">
        <f t="array" ref="N920">IF($A920="", "", LET(bbgm_stat, INDEX(Players!$A919:$P919, MATCH(N$2, Players!$A$1:$P$1, 0)), perc_75, VLOOKUP(N$2, Percentiles!$A$45:$I$59, 6, FALSE), perc_90, VLOOKUP(N$2, Percentiles!$A$45:$I$59, 7, FALSE), perc_95, VLOOKUP(N$2, Percentiles!$A$45:$I$59, 8, FALSE), perc_85, perc_75 + (perc_90 - perc_75) * (2/3), converted_stat, '2K_Ratings'!N920, IF(bbgm_stat &gt;= perc_95, converted_stat * 3, IF(bbgm_stat &gt;= perc_90, converted_stat * 2, IF(bbgm_stat &gt;= perc_85, converted_stat * 1.5, converted_stat)))))</f>
        <v/>
      </c>
      <c r="O920" s="30" t="str">
        <f t="array" ref="O920">IF($A920="", "", LET(bbgm_stat, INDEX(Players!$A919:$P919, MATCH(O$2, Players!$A$1:$P$1, 0)), perc_75, VLOOKUP(O$2, Percentiles!$A$45:$I$59, 6, FALSE), perc_90, VLOOKUP(O$2, Percentiles!$A$45:$I$59, 7, FALSE), perc_95, VLOOKUP(O$2, Percentiles!$A$45:$I$59, 8, FALSE), perc_85, perc_75 + (perc_90 - perc_75) * (2/3), converted_stat, '2K_Ratings'!O920, IF(bbgm_stat &gt;= perc_95, converted_stat * 3, IF(bbgm_stat &gt;= perc_90, converted_stat * 2, IF(bbgm_stat &gt;= perc_85, converted_stat * 1.5, converted_stat)))))</f>
        <v/>
      </c>
      <c r="P920" s="30" t="str">
        <f t="array" ref="P920">IF($A920="", "", LET(bbgm_stat, INDEX(Players!$A919:$P919, MATCH(P$2, Players!$A$1:$P$1, 0)), perc_75, VLOOKUP(P$2, Percentiles!$A$45:$I$59, 6, FALSE), perc_90, VLOOKUP(P$2, Percentiles!$A$45:$I$59, 7, FALSE), perc_95, VLOOKUP(P$2, Percentiles!$A$45:$I$59, 8, FALSE), perc_85, perc_75 + (perc_90 - perc_75) * (2/3), converted_stat, '2K_Ratings'!P920, IF(bbgm_stat &gt;= perc_95, converted_stat * 3, IF(bbgm_stat &gt;= perc_90, converted_stat * 2, IF(bbgm_stat &gt;= perc_85, converted_stat * 1.5, converted_stat)))))</f>
        <v/>
      </c>
      <c r="Q920" s="30" t="str">
        <f t="array" ref="Q920">IF($A920="", "", LET(bbgm_stat, INDEX(Players!$A919:$P919, MATCH(Q$2, Players!$A$1:$P$1, 0)), perc_75, VLOOKUP(Q$2, Percentiles!$A$45:$I$59, 6, FALSE), perc_90, VLOOKUP(Q$2, Percentiles!$A$45:$I$59, 7, FALSE), perc_95, VLOOKUP(Q$2, Percentiles!$A$45:$I$59, 8, FALSE), perc_85, perc_75 + (perc_90 - perc_75) * (2/3), converted_stat, '2K_Ratings'!Q920, IF(bbgm_stat &gt;= perc_95, converted_stat * 3, IF(bbgm_stat &gt;= perc_90, converted_stat * 2, IF(bbgm_stat &gt;= perc_85, converted_stat * 1.5, converted_stat)))))</f>
        <v/>
      </c>
      <c r="R920" s="30" t="str">
        <f t="array" ref="R920">IF($A920="", "", LET(bbgm_stat, INDEX(Players!$A919:$P919, MATCH(R$2, Players!$A$1:$P$1, 0)), perc_75, VLOOKUP(R$2, Percentiles!$A$45:$I$59, 6, FALSE), perc_90, VLOOKUP(R$2, Percentiles!$A$45:$I$59, 7, FALSE), perc_95, VLOOKUP(R$2, Percentiles!$A$45:$I$59, 8, FALSE), perc_85, perc_75 + (perc_90 - perc_75) * (2/3), converted_stat, '2K_Ratings'!R920, IF(bbgm_stat &gt;= perc_95, converted_stat * 3, IF(bbgm_stat &gt;= perc_90, converted_stat * 2, IF(bbgm_stat &gt;= perc_85, converted_stat * 1.5, converted_stat)))))</f>
        <v/>
      </c>
      <c r="S920" s="30" t="str">
        <f t="array" ref="S920">IF($A920="", "", LET(bbgm_stat, INDEX(Players!$A919:$P919, MATCH(S$2, Players!$A$1:$P$1, 0)), perc_75, VLOOKUP(S$2, Percentiles!$A$45:$I$59, 6, FALSE), perc_90, VLOOKUP(S$2, Percentiles!$A$45:$I$59, 7, FALSE), perc_95, VLOOKUP(S$2, Percentiles!$A$45:$I$59, 8, FALSE), perc_85, perc_75 + (perc_90 - perc_75) * (2/3), converted_stat, '2K_Ratings'!S920, IF(bbgm_stat &gt;= perc_95, converted_stat * 3, IF(bbgm_stat &gt;= perc_90, converted_stat * 2, IF(bbgm_stat &gt;= perc_85, converted_stat * 1.5, converted_stat)))))</f>
        <v/>
      </c>
      <c r="T920" s="30" t="str">
        <f t="array" ref="T920">IF($A920="", "", LET(bbgm_stat, INDEX(Players!$A919:$P919, MATCH(T$2, Players!$A$1:$P$1, 0)), perc_75, VLOOKUP(T$2, Percentiles!$A$45:$I$59, 6, FALSE), perc_90, VLOOKUP(T$2, Percentiles!$A$45:$I$59, 7, FALSE), perc_95, VLOOKUP(T$2, Percentiles!$A$45:$I$59, 8, FALSE), perc_85, perc_75 + (perc_90 - perc_75) * (2/3), converted_stat, '2K_Ratings'!T920, IF(bbgm_stat &gt;= perc_95, converted_stat * 3, IF(bbgm_stat &gt;= perc_90, converted_stat * 2, IF(bbgm_stat &gt;= perc_85, converted_stat * 1.5, converted_stat)))))</f>
        <v/>
      </c>
      <c r="U920" s="30" t="str">
        <f t="array" ref="U920">IF($A920="", "", LET(bbgm_stat, INDEX(Players!$A919:$P919, MATCH(U$2, Players!$A$1:$P$1, 0)), perc_75, VLOOKUP(U$2, Percentiles!$A$45:$I$59, 6, FALSE), perc_90, VLOOKUP(U$2, Percentiles!$A$45:$I$59, 7, FALSE), perc_95, VLOOKUP(U$2, Percentiles!$A$45:$I$59, 8, FALSE), perc_85, perc_75 + (perc_90 - perc_75) * (2/3), converted_stat, '2K_Ratings'!U920, IF(bbgm_stat &gt;= perc_95, converted_stat * 3, IF(bbgm_stat &gt;= perc_90, converted_stat * 2, IF(bbgm_stat &gt;= perc_85, converted_stat * 1.5, converted_stat)))))</f>
        <v/>
      </c>
      <c r="V920" s="30" t="str">
        <f t="array" ref="V920">IF($A920="", "", LET(bbgm_stat, INDEX(Players!$A919:$P919, MATCH(V$2, Players!$A$1:$P$1, 0)), perc_75, VLOOKUP(V$2, Percentiles!$A$45:$I$59, 6, FALSE), perc_90, VLOOKUP(V$2, Percentiles!$A$45:$I$59, 7, FALSE), perc_95, VLOOKUP(V$2, Percentiles!$A$45:$I$59, 8, FALSE), perc_85, perc_75 + (perc_90 - perc_75) * (2/3), converted_stat, '2K_Ratings'!V920, IF(bbgm_stat &gt;= perc_95, converted_stat * 3, IF(bbgm_stat &gt;= perc_90, converted_stat * 2, IF(bbgm_stat &gt;= perc_85, converted_stat * 1.5, converted_stat)))))</f>
        <v/>
      </c>
      <c r="W920" s="30" t="str">
        <f t="array" ref="W920">IF($A920="", "", LET(bbgm_stat, INDEX(Players!$A919:$P919, MATCH(W$2, Players!$A$1:$P$1, 0)), perc_75, VLOOKUP(W$2, Percentiles!$A$45:$I$59, 6, FALSE), perc_90, VLOOKUP(W$2, Percentiles!$A$45:$I$59, 7, FALSE), perc_95, VLOOKUP(W$2, Percentiles!$A$45:$I$59, 8, FALSE), perc_85, perc_75 + (perc_90 - perc_75) * (2/3), converted_stat, '2K_Ratings'!W920, IF(bbgm_stat &gt;= perc_95, converted_stat * 3, IF(bbgm_stat &gt;= perc_90, converted_stat * 2, IF(bbgm_stat &gt;= perc_85, converted_stat * 1.5, converted_stat)))))</f>
        <v/>
      </c>
    </row>
    <row r="921">
      <c r="A921" s="30"/>
      <c r="B921" s="30" t="str">
        <f t="array" ref="B921">IF($A921="", "", LET(bbgm_stat, INDEX(Players!$A920:$P920, MATCH(B$2, Players!$A$1:$P$1, 0)), perc_75, VLOOKUP(B$2, Percentiles!$A$45:$I$59, 6, FALSE), perc_90, VLOOKUP(B$2, Percentiles!$A$45:$I$59, 7, FALSE), perc_95, VLOOKUP(B$2, Percentiles!$A$45:$I$59, 8, FALSE), perc_85, perc_75 + (perc_90 - perc_75) * (2/3), converted_stat, '2K_Ratings'!B921, IF(bbgm_stat &gt;= perc_95, converted_stat * 3, IF(bbgm_stat &gt;= perc_90, converted_stat * 2, IF(bbgm_stat &gt;= perc_85, converted_stat * 1.5, converted_stat)))))</f>
        <v/>
      </c>
      <c r="C921" s="30" t="str">
        <f t="array" ref="C921">IF($A921="", "", LET(bbgm_stat, INDEX(Players!$A920:$P920, MATCH(C$2, Players!$A$1:$P$1, 0)), perc_75, VLOOKUP(C$2, Percentiles!$A$45:$I$59, 6, FALSE), perc_90, VLOOKUP(C$2, Percentiles!$A$45:$I$59, 7, FALSE), perc_95, VLOOKUP(C$2, Percentiles!$A$45:$I$59, 8, FALSE), perc_85, perc_75 + (perc_90 - perc_75) * (2/3), converted_stat, '2K_Ratings'!C921, IF(bbgm_stat &gt;= perc_95, converted_stat * 3, IF(bbgm_stat &gt;= perc_90, converted_stat * 2, IF(bbgm_stat &gt;= perc_85, converted_stat * 1.5, converted_stat)))))</f>
        <v/>
      </c>
      <c r="D921" s="30" t="str">
        <f t="array" ref="D921">IF($A921="", "", LET(bbgm_stat, INDEX(Players!$A920:$P920, MATCH(D$2, Players!$A$1:$P$1, 0)), perc_75, VLOOKUP(D$2, Percentiles!$A$45:$I$59, 6, FALSE), perc_90, VLOOKUP(D$2, Percentiles!$A$45:$I$59, 7, FALSE), perc_95, VLOOKUP(D$2, Percentiles!$A$45:$I$59, 8, FALSE), perc_85, perc_75 + (perc_90 - perc_75) * (2/3), converted_stat, '2K_Ratings'!D921, IF(bbgm_stat &gt;= perc_95, converted_stat * 3, IF(bbgm_stat &gt;= perc_90, converted_stat * 2, IF(bbgm_stat &gt;= perc_85, converted_stat * 1.5, converted_stat)))))</f>
        <v/>
      </c>
      <c r="E921" s="30" t="str">
        <f t="array" ref="E921">IF($A921="", "", LET(bbgm_stat, INDEX(Players!$A920:$P920, MATCH(E$2, Players!$A$1:$P$1, 0)), perc_75, VLOOKUP(E$2, Percentiles!$A$45:$I$59, 6, FALSE), perc_90, VLOOKUP(E$2, Percentiles!$A$45:$I$59, 7, FALSE), perc_95, VLOOKUP(E$2, Percentiles!$A$45:$I$59, 8, FALSE), perc_85, perc_75 + (perc_90 - perc_75) * (2/3), converted_stat, '2K_Ratings'!E921, IF(bbgm_stat &gt;= perc_95, converted_stat * 3, IF(bbgm_stat &gt;= perc_90, converted_stat * 2, IF(bbgm_stat &gt;= perc_85, converted_stat * 1.5, converted_stat)))))</f>
        <v/>
      </c>
      <c r="F921" s="30" t="str">
        <f t="array" ref="F921">IF($A921="", "", LET(bbgm_stat, INDEX(Players!$A920:$P920, MATCH(F$2, Players!$A$1:$P$1, 0)), perc_75, VLOOKUP(F$2, Percentiles!$A$45:$I$59, 6, FALSE), perc_90, VLOOKUP(F$2, Percentiles!$A$45:$I$59, 7, FALSE), perc_95, VLOOKUP(F$2, Percentiles!$A$45:$I$59, 8, FALSE), perc_85, perc_75 + (perc_90 - perc_75) * (2/3), converted_stat, '2K_Ratings'!F921, IF(bbgm_stat &gt;= perc_95, converted_stat * 3, IF(bbgm_stat &gt;= perc_90, converted_stat * 2, IF(bbgm_stat &gt;= perc_85, converted_stat * 1.5, converted_stat)))))</f>
        <v/>
      </c>
      <c r="G921" s="30" t="str">
        <f t="array" ref="G921">IF($A921="", "", LET(bbgm_stat, INDEX(Players!$A920:$P920, MATCH(G$2, Players!$A$1:$P$1, 0)), perc_75, VLOOKUP(G$2, Percentiles!$A$45:$I$59, 6, FALSE), perc_90, VLOOKUP(G$2, Percentiles!$A$45:$I$59, 7, FALSE), perc_95, VLOOKUP(G$2, Percentiles!$A$45:$I$59, 8, FALSE), perc_85, perc_75 + (perc_90 - perc_75) * (2/3), converted_stat, '2K_Ratings'!G921, IF(bbgm_stat &gt;= perc_95, converted_stat * 3, IF(bbgm_stat &gt;= perc_90, converted_stat * 2, IF(bbgm_stat &gt;= perc_85, converted_stat * 1.5, converted_stat)))))</f>
        <v/>
      </c>
      <c r="H921" s="30" t="str">
        <f t="array" ref="H921">IF($A921="", "", LET(bbgm_stat, INDEX(Players!$A920:$P920, MATCH(H$2, Players!$A$1:$P$1, 0)), perc_75, VLOOKUP(H$2, Percentiles!$A$45:$I$59, 6, FALSE), perc_90, VLOOKUP(H$2, Percentiles!$A$45:$I$59, 7, FALSE), perc_95, VLOOKUP(H$2, Percentiles!$A$45:$I$59, 8, FALSE), perc_85, perc_75 + (perc_90 - perc_75) * (2/3), converted_stat, '2K_Ratings'!H921, IF(bbgm_stat &gt;= perc_95, converted_stat * 3, IF(bbgm_stat &gt;= perc_90, converted_stat * 2, IF(bbgm_stat &gt;= perc_85, converted_stat * 1.5, converted_stat)))))</f>
        <v/>
      </c>
      <c r="I921" s="30" t="str">
        <f t="array" ref="I921">IF($A921="", "", LET(bbgm_stat, INDEX(Players!$A920:$P920, MATCH(I$2, Players!$A$1:$P$1, 0)), perc_75, VLOOKUP(I$2, Percentiles!$A$45:$I$59, 6, FALSE), perc_90, VLOOKUP(I$2, Percentiles!$A$45:$I$59, 7, FALSE), perc_95, VLOOKUP(I$2, Percentiles!$A$45:$I$59, 8, FALSE), perc_85, perc_75 + (perc_90 - perc_75) * (2/3), converted_stat, '2K_Ratings'!I921, IF(bbgm_stat &gt;= perc_95, converted_stat * 3, IF(bbgm_stat &gt;= perc_90, converted_stat * 2, IF(bbgm_stat &gt;= perc_85, converted_stat * 1.5, converted_stat)))))</f>
        <v/>
      </c>
      <c r="J921" s="30" t="str">
        <f t="array" ref="J921">IF($A921="", "", LET(bbgm_stat, INDEX(Players!$A920:$P920, MATCH(J$2, Players!$A$1:$P$1, 0)), perc_75, VLOOKUP(J$2, Percentiles!$A$45:$I$59, 6, FALSE), perc_90, VLOOKUP(J$2, Percentiles!$A$45:$I$59, 7, FALSE), perc_95, VLOOKUP(J$2, Percentiles!$A$45:$I$59, 8, FALSE), perc_85, perc_75 + (perc_90 - perc_75) * (2/3), converted_stat, '2K_Ratings'!J921, IF(bbgm_stat &gt;= perc_95, converted_stat * 3, IF(bbgm_stat &gt;= perc_90, converted_stat * 2, IF(bbgm_stat &gt;= perc_85, converted_stat * 1.5, converted_stat)))))</f>
        <v/>
      </c>
      <c r="K921" s="30" t="str">
        <f t="array" ref="K921">IF($A921="", "", LET(bbgm_stat, INDEX(Players!$A920:$P920, MATCH(K$2, Players!$A$1:$P$1, 0)), perc_75, VLOOKUP(K$2, Percentiles!$A$45:$I$59, 6, FALSE), perc_90, VLOOKUP(K$2, Percentiles!$A$45:$I$59, 7, FALSE), perc_95, VLOOKUP(K$2, Percentiles!$A$45:$I$59, 8, FALSE), perc_85, perc_75 + (perc_90 - perc_75) * (2/3), converted_stat, '2K_Ratings'!K921, IF(bbgm_stat &gt;= perc_95, converted_stat * 3, IF(bbgm_stat &gt;= perc_90, converted_stat * 2, IF(bbgm_stat &gt;= perc_85, converted_stat * 1.5, converted_stat)))))</f>
        <v/>
      </c>
      <c r="L921" s="30" t="str">
        <f t="array" ref="L921">IF($A921="", "", LET(bbgm_stat, INDEX(Players!$A920:$P920, MATCH(L$2, Players!$A$1:$P$1, 0)), perc_75, VLOOKUP(L$2, Percentiles!$A$45:$I$59, 6, FALSE), perc_90, VLOOKUP(L$2, Percentiles!$A$45:$I$59, 7, FALSE), perc_95, VLOOKUP(L$2, Percentiles!$A$45:$I$59, 8, FALSE), perc_85, perc_75 + (perc_90 - perc_75) * (2/3), converted_stat, '2K_Ratings'!L921, IF(bbgm_stat &gt;= perc_95, converted_stat * 3, IF(bbgm_stat &gt;= perc_90, converted_stat * 2, IF(bbgm_stat &gt;= perc_85, converted_stat * 1.5, converted_stat)))))</f>
        <v/>
      </c>
      <c r="M921" s="30" t="str">
        <f t="array" ref="M921">IF($A921="", "", LET(bbgm_stat, INDEX(Players!$A920:$P920, MATCH(M$2, Players!$A$1:$P$1, 0)), perc_75, VLOOKUP(M$2, Percentiles!$A$45:$I$59, 6, FALSE), perc_90, VLOOKUP(M$2, Percentiles!$A$45:$I$59, 7, FALSE), perc_95, VLOOKUP(M$2, Percentiles!$A$45:$I$59, 8, FALSE), perc_85, perc_75 + (perc_90 - perc_75) * (2/3), converted_stat, '2K_Ratings'!M921, IF(bbgm_stat &gt;= perc_95, converted_stat * 3, IF(bbgm_stat &gt;= perc_90, converted_stat * 2, IF(bbgm_stat &gt;= perc_85, converted_stat * 1.5, converted_stat)))))</f>
        <v/>
      </c>
      <c r="N921" s="30" t="str">
        <f t="array" ref="N921">IF($A921="", "", LET(bbgm_stat, INDEX(Players!$A920:$P920, MATCH(N$2, Players!$A$1:$P$1, 0)), perc_75, VLOOKUP(N$2, Percentiles!$A$45:$I$59, 6, FALSE), perc_90, VLOOKUP(N$2, Percentiles!$A$45:$I$59, 7, FALSE), perc_95, VLOOKUP(N$2, Percentiles!$A$45:$I$59, 8, FALSE), perc_85, perc_75 + (perc_90 - perc_75) * (2/3), converted_stat, '2K_Ratings'!N921, IF(bbgm_stat &gt;= perc_95, converted_stat * 3, IF(bbgm_stat &gt;= perc_90, converted_stat * 2, IF(bbgm_stat &gt;= perc_85, converted_stat * 1.5, converted_stat)))))</f>
        <v/>
      </c>
      <c r="O921" s="30" t="str">
        <f t="array" ref="O921">IF($A921="", "", LET(bbgm_stat, INDEX(Players!$A920:$P920, MATCH(O$2, Players!$A$1:$P$1, 0)), perc_75, VLOOKUP(O$2, Percentiles!$A$45:$I$59, 6, FALSE), perc_90, VLOOKUP(O$2, Percentiles!$A$45:$I$59, 7, FALSE), perc_95, VLOOKUP(O$2, Percentiles!$A$45:$I$59, 8, FALSE), perc_85, perc_75 + (perc_90 - perc_75) * (2/3), converted_stat, '2K_Ratings'!O921, IF(bbgm_stat &gt;= perc_95, converted_stat * 3, IF(bbgm_stat &gt;= perc_90, converted_stat * 2, IF(bbgm_stat &gt;= perc_85, converted_stat * 1.5, converted_stat)))))</f>
        <v/>
      </c>
      <c r="P921" s="30" t="str">
        <f t="array" ref="P921">IF($A921="", "", LET(bbgm_stat, INDEX(Players!$A920:$P920, MATCH(P$2, Players!$A$1:$P$1, 0)), perc_75, VLOOKUP(P$2, Percentiles!$A$45:$I$59, 6, FALSE), perc_90, VLOOKUP(P$2, Percentiles!$A$45:$I$59, 7, FALSE), perc_95, VLOOKUP(P$2, Percentiles!$A$45:$I$59, 8, FALSE), perc_85, perc_75 + (perc_90 - perc_75) * (2/3), converted_stat, '2K_Ratings'!P921, IF(bbgm_stat &gt;= perc_95, converted_stat * 3, IF(bbgm_stat &gt;= perc_90, converted_stat * 2, IF(bbgm_stat &gt;= perc_85, converted_stat * 1.5, converted_stat)))))</f>
        <v/>
      </c>
      <c r="Q921" s="30" t="str">
        <f t="array" ref="Q921">IF($A921="", "", LET(bbgm_stat, INDEX(Players!$A920:$P920, MATCH(Q$2, Players!$A$1:$P$1, 0)), perc_75, VLOOKUP(Q$2, Percentiles!$A$45:$I$59, 6, FALSE), perc_90, VLOOKUP(Q$2, Percentiles!$A$45:$I$59, 7, FALSE), perc_95, VLOOKUP(Q$2, Percentiles!$A$45:$I$59, 8, FALSE), perc_85, perc_75 + (perc_90 - perc_75) * (2/3), converted_stat, '2K_Ratings'!Q921, IF(bbgm_stat &gt;= perc_95, converted_stat * 3, IF(bbgm_stat &gt;= perc_90, converted_stat * 2, IF(bbgm_stat &gt;= perc_85, converted_stat * 1.5, converted_stat)))))</f>
        <v/>
      </c>
      <c r="R921" s="30" t="str">
        <f t="array" ref="R921">IF($A921="", "", LET(bbgm_stat, INDEX(Players!$A920:$P920, MATCH(R$2, Players!$A$1:$P$1, 0)), perc_75, VLOOKUP(R$2, Percentiles!$A$45:$I$59, 6, FALSE), perc_90, VLOOKUP(R$2, Percentiles!$A$45:$I$59, 7, FALSE), perc_95, VLOOKUP(R$2, Percentiles!$A$45:$I$59, 8, FALSE), perc_85, perc_75 + (perc_90 - perc_75) * (2/3), converted_stat, '2K_Ratings'!R921, IF(bbgm_stat &gt;= perc_95, converted_stat * 3, IF(bbgm_stat &gt;= perc_90, converted_stat * 2, IF(bbgm_stat &gt;= perc_85, converted_stat * 1.5, converted_stat)))))</f>
        <v/>
      </c>
      <c r="S921" s="30" t="str">
        <f t="array" ref="S921">IF($A921="", "", LET(bbgm_stat, INDEX(Players!$A920:$P920, MATCH(S$2, Players!$A$1:$P$1, 0)), perc_75, VLOOKUP(S$2, Percentiles!$A$45:$I$59, 6, FALSE), perc_90, VLOOKUP(S$2, Percentiles!$A$45:$I$59, 7, FALSE), perc_95, VLOOKUP(S$2, Percentiles!$A$45:$I$59, 8, FALSE), perc_85, perc_75 + (perc_90 - perc_75) * (2/3), converted_stat, '2K_Ratings'!S921, IF(bbgm_stat &gt;= perc_95, converted_stat * 3, IF(bbgm_stat &gt;= perc_90, converted_stat * 2, IF(bbgm_stat &gt;= perc_85, converted_stat * 1.5, converted_stat)))))</f>
        <v/>
      </c>
      <c r="T921" s="30" t="str">
        <f t="array" ref="T921">IF($A921="", "", LET(bbgm_stat, INDEX(Players!$A920:$P920, MATCH(T$2, Players!$A$1:$P$1, 0)), perc_75, VLOOKUP(T$2, Percentiles!$A$45:$I$59, 6, FALSE), perc_90, VLOOKUP(T$2, Percentiles!$A$45:$I$59, 7, FALSE), perc_95, VLOOKUP(T$2, Percentiles!$A$45:$I$59, 8, FALSE), perc_85, perc_75 + (perc_90 - perc_75) * (2/3), converted_stat, '2K_Ratings'!T921, IF(bbgm_stat &gt;= perc_95, converted_stat * 3, IF(bbgm_stat &gt;= perc_90, converted_stat * 2, IF(bbgm_stat &gt;= perc_85, converted_stat * 1.5, converted_stat)))))</f>
        <v/>
      </c>
      <c r="U921" s="30" t="str">
        <f t="array" ref="U921">IF($A921="", "", LET(bbgm_stat, INDEX(Players!$A920:$P920, MATCH(U$2, Players!$A$1:$P$1, 0)), perc_75, VLOOKUP(U$2, Percentiles!$A$45:$I$59, 6, FALSE), perc_90, VLOOKUP(U$2, Percentiles!$A$45:$I$59, 7, FALSE), perc_95, VLOOKUP(U$2, Percentiles!$A$45:$I$59, 8, FALSE), perc_85, perc_75 + (perc_90 - perc_75) * (2/3), converted_stat, '2K_Ratings'!U921, IF(bbgm_stat &gt;= perc_95, converted_stat * 3, IF(bbgm_stat &gt;= perc_90, converted_stat * 2, IF(bbgm_stat &gt;= perc_85, converted_stat * 1.5, converted_stat)))))</f>
        <v/>
      </c>
      <c r="V921" s="30" t="str">
        <f t="array" ref="V921">IF($A921="", "", LET(bbgm_stat, INDEX(Players!$A920:$P920, MATCH(V$2, Players!$A$1:$P$1, 0)), perc_75, VLOOKUP(V$2, Percentiles!$A$45:$I$59, 6, FALSE), perc_90, VLOOKUP(V$2, Percentiles!$A$45:$I$59, 7, FALSE), perc_95, VLOOKUP(V$2, Percentiles!$A$45:$I$59, 8, FALSE), perc_85, perc_75 + (perc_90 - perc_75) * (2/3), converted_stat, '2K_Ratings'!V921, IF(bbgm_stat &gt;= perc_95, converted_stat * 3, IF(bbgm_stat &gt;= perc_90, converted_stat * 2, IF(bbgm_stat &gt;= perc_85, converted_stat * 1.5, converted_stat)))))</f>
        <v/>
      </c>
      <c r="W921" s="30" t="str">
        <f t="array" ref="W921">IF($A921="", "", LET(bbgm_stat, INDEX(Players!$A920:$P920, MATCH(W$2, Players!$A$1:$P$1, 0)), perc_75, VLOOKUP(W$2, Percentiles!$A$45:$I$59, 6, FALSE), perc_90, VLOOKUP(W$2, Percentiles!$A$45:$I$59, 7, FALSE), perc_95, VLOOKUP(W$2, Percentiles!$A$45:$I$59, 8, FALSE), perc_85, perc_75 + (perc_90 - perc_75) * (2/3), converted_stat, '2K_Ratings'!W921, IF(bbgm_stat &gt;= perc_95, converted_stat * 3, IF(bbgm_stat &gt;= perc_90, converted_stat * 2, IF(bbgm_stat &gt;= perc_85, converted_stat * 1.5, converted_stat)))))</f>
        <v/>
      </c>
    </row>
    <row r="922">
      <c r="A922" s="30"/>
      <c r="B922" s="30" t="str">
        <f t="array" ref="B922">IF($A922="", "", LET(bbgm_stat, INDEX(Players!$A921:$P921, MATCH(B$2, Players!$A$1:$P$1, 0)), perc_75, VLOOKUP(B$2, Percentiles!$A$45:$I$59, 6, FALSE), perc_90, VLOOKUP(B$2, Percentiles!$A$45:$I$59, 7, FALSE), perc_95, VLOOKUP(B$2, Percentiles!$A$45:$I$59, 8, FALSE), perc_85, perc_75 + (perc_90 - perc_75) * (2/3), converted_stat, '2K_Ratings'!B922, IF(bbgm_stat &gt;= perc_95, converted_stat * 3, IF(bbgm_stat &gt;= perc_90, converted_stat * 2, IF(bbgm_stat &gt;= perc_85, converted_stat * 1.5, converted_stat)))))</f>
        <v/>
      </c>
      <c r="C922" s="30" t="str">
        <f t="array" ref="C922">IF($A922="", "", LET(bbgm_stat, INDEX(Players!$A921:$P921, MATCH(C$2, Players!$A$1:$P$1, 0)), perc_75, VLOOKUP(C$2, Percentiles!$A$45:$I$59, 6, FALSE), perc_90, VLOOKUP(C$2, Percentiles!$A$45:$I$59, 7, FALSE), perc_95, VLOOKUP(C$2, Percentiles!$A$45:$I$59, 8, FALSE), perc_85, perc_75 + (perc_90 - perc_75) * (2/3), converted_stat, '2K_Ratings'!C922, IF(bbgm_stat &gt;= perc_95, converted_stat * 3, IF(bbgm_stat &gt;= perc_90, converted_stat * 2, IF(bbgm_stat &gt;= perc_85, converted_stat * 1.5, converted_stat)))))</f>
        <v/>
      </c>
      <c r="D922" s="30" t="str">
        <f t="array" ref="D922">IF($A922="", "", LET(bbgm_stat, INDEX(Players!$A921:$P921, MATCH(D$2, Players!$A$1:$P$1, 0)), perc_75, VLOOKUP(D$2, Percentiles!$A$45:$I$59, 6, FALSE), perc_90, VLOOKUP(D$2, Percentiles!$A$45:$I$59, 7, FALSE), perc_95, VLOOKUP(D$2, Percentiles!$A$45:$I$59, 8, FALSE), perc_85, perc_75 + (perc_90 - perc_75) * (2/3), converted_stat, '2K_Ratings'!D922, IF(bbgm_stat &gt;= perc_95, converted_stat * 3, IF(bbgm_stat &gt;= perc_90, converted_stat * 2, IF(bbgm_stat &gt;= perc_85, converted_stat * 1.5, converted_stat)))))</f>
        <v/>
      </c>
      <c r="E922" s="30" t="str">
        <f t="array" ref="E922">IF($A922="", "", LET(bbgm_stat, INDEX(Players!$A921:$P921, MATCH(E$2, Players!$A$1:$P$1, 0)), perc_75, VLOOKUP(E$2, Percentiles!$A$45:$I$59, 6, FALSE), perc_90, VLOOKUP(E$2, Percentiles!$A$45:$I$59, 7, FALSE), perc_95, VLOOKUP(E$2, Percentiles!$A$45:$I$59, 8, FALSE), perc_85, perc_75 + (perc_90 - perc_75) * (2/3), converted_stat, '2K_Ratings'!E922, IF(bbgm_stat &gt;= perc_95, converted_stat * 3, IF(bbgm_stat &gt;= perc_90, converted_stat * 2, IF(bbgm_stat &gt;= perc_85, converted_stat * 1.5, converted_stat)))))</f>
        <v/>
      </c>
      <c r="F922" s="30" t="str">
        <f t="array" ref="F922">IF($A922="", "", LET(bbgm_stat, INDEX(Players!$A921:$P921, MATCH(F$2, Players!$A$1:$P$1, 0)), perc_75, VLOOKUP(F$2, Percentiles!$A$45:$I$59, 6, FALSE), perc_90, VLOOKUP(F$2, Percentiles!$A$45:$I$59, 7, FALSE), perc_95, VLOOKUP(F$2, Percentiles!$A$45:$I$59, 8, FALSE), perc_85, perc_75 + (perc_90 - perc_75) * (2/3), converted_stat, '2K_Ratings'!F922, IF(bbgm_stat &gt;= perc_95, converted_stat * 3, IF(bbgm_stat &gt;= perc_90, converted_stat * 2, IF(bbgm_stat &gt;= perc_85, converted_stat * 1.5, converted_stat)))))</f>
        <v/>
      </c>
      <c r="G922" s="30" t="str">
        <f t="array" ref="G922">IF($A922="", "", LET(bbgm_stat, INDEX(Players!$A921:$P921, MATCH(G$2, Players!$A$1:$P$1, 0)), perc_75, VLOOKUP(G$2, Percentiles!$A$45:$I$59, 6, FALSE), perc_90, VLOOKUP(G$2, Percentiles!$A$45:$I$59, 7, FALSE), perc_95, VLOOKUP(G$2, Percentiles!$A$45:$I$59, 8, FALSE), perc_85, perc_75 + (perc_90 - perc_75) * (2/3), converted_stat, '2K_Ratings'!G922, IF(bbgm_stat &gt;= perc_95, converted_stat * 3, IF(bbgm_stat &gt;= perc_90, converted_stat * 2, IF(bbgm_stat &gt;= perc_85, converted_stat * 1.5, converted_stat)))))</f>
        <v/>
      </c>
      <c r="H922" s="30" t="str">
        <f t="array" ref="H922">IF($A922="", "", LET(bbgm_stat, INDEX(Players!$A921:$P921, MATCH(H$2, Players!$A$1:$P$1, 0)), perc_75, VLOOKUP(H$2, Percentiles!$A$45:$I$59, 6, FALSE), perc_90, VLOOKUP(H$2, Percentiles!$A$45:$I$59, 7, FALSE), perc_95, VLOOKUP(H$2, Percentiles!$A$45:$I$59, 8, FALSE), perc_85, perc_75 + (perc_90 - perc_75) * (2/3), converted_stat, '2K_Ratings'!H922, IF(bbgm_stat &gt;= perc_95, converted_stat * 3, IF(bbgm_stat &gt;= perc_90, converted_stat * 2, IF(bbgm_stat &gt;= perc_85, converted_stat * 1.5, converted_stat)))))</f>
        <v/>
      </c>
      <c r="I922" s="30" t="str">
        <f t="array" ref="I922">IF($A922="", "", LET(bbgm_stat, INDEX(Players!$A921:$P921, MATCH(I$2, Players!$A$1:$P$1, 0)), perc_75, VLOOKUP(I$2, Percentiles!$A$45:$I$59, 6, FALSE), perc_90, VLOOKUP(I$2, Percentiles!$A$45:$I$59, 7, FALSE), perc_95, VLOOKUP(I$2, Percentiles!$A$45:$I$59, 8, FALSE), perc_85, perc_75 + (perc_90 - perc_75) * (2/3), converted_stat, '2K_Ratings'!I922, IF(bbgm_stat &gt;= perc_95, converted_stat * 3, IF(bbgm_stat &gt;= perc_90, converted_stat * 2, IF(bbgm_stat &gt;= perc_85, converted_stat * 1.5, converted_stat)))))</f>
        <v/>
      </c>
      <c r="J922" s="30" t="str">
        <f t="array" ref="J922">IF($A922="", "", LET(bbgm_stat, INDEX(Players!$A921:$P921, MATCH(J$2, Players!$A$1:$P$1, 0)), perc_75, VLOOKUP(J$2, Percentiles!$A$45:$I$59, 6, FALSE), perc_90, VLOOKUP(J$2, Percentiles!$A$45:$I$59, 7, FALSE), perc_95, VLOOKUP(J$2, Percentiles!$A$45:$I$59, 8, FALSE), perc_85, perc_75 + (perc_90 - perc_75) * (2/3), converted_stat, '2K_Ratings'!J922, IF(bbgm_stat &gt;= perc_95, converted_stat * 3, IF(bbgm_stat &gt;= perc_90, converted_stat * 2, IF(bbgm_stat &gt;= perc_85, converted_stat * 1.5, converted_stat)))))</f>
        <v/>
      </c>
      <c r="K922" s="30" t="str">
        <f t="array" ref="K922">IF($A922="", "", LET(bbgm_stat, INDEX(Players!$A921:$P921, MATCH(K$2, Players!$A$1:$P$1, 0)), perc_75, VLOOKUP(K$2, Percentiles!$A$45:$I$59, 6, FALSE), perc_90, VLOOKUP(K$2, Percentiles!$A$45:$I$59, 7, FALSE), perc_95, VLOOKUP(K$2, Percentiles!$A$45:$I$59, 8, FALSE), perc_85, perc_75 + (perc_90 - perc_75) * (2/3), converted_stat, '2K_Ratings'!K922, IF(bbgm_stat &gt;= perc_95, converted_stat * 3, IF(bbgm_stat &gt;= perc_90, converted_stat * 2, IF(bbgm_stat &gt;= perc_85, converted_stat * 1.5, converted_stat)))))</f>
        <v/>
      </c>
      <c r="L922" s="30" t="str">
        <f t="array" ref="L922">IF($A922="", "", LET(bbgm_stat, INDEX(Players!$A921:$P921, MATCH(L$2, Players!$A$1:$P$1, 0)), perc_75, VLOOKUP(L$2, Percentiles!$A$45:$I$59, 6, FALSE), perc_90, VLOOKUP(L$2, Percentiles!$A$45:$I$59, 7, FALSE), perc_95, VLOOKUP(L$2, Percentiles!$A$45:$I$59, 8, FALSE), perc_85, perc_75 + (perc_90 - perc_75) * (2/3), converted_stat, '2K_Ratings'!L922, IF(bbgm_stat &gt;= perc_95, converted_stat * 3, IF(bbgm_stat &gt;= perc_90, converted_stat * 2, IF(bbgm_stat &gt;= perc_85, converted_stat * 1.5, converted_stat)))))</f>
        <v/>
      </c>
      <c r="M922" s="30" t="str">
        <f t="array" ref="M922">IF($A922="", "", LET(bbgm_stat, INDEX(Players!$A921:$P921, MATCH(M$2, Players!$A$1:$P$1, 0)), perc_75, VLOOKUP(M$2, Percentiles!$A$45:$I$59, 6, FALSE), perc_90, VLOOKUP(M$2, Percentiles!$A$45:$I$59, 7, FALSE), perc_95, VLOOKUP(M$2, Percentiles!$A$45:$I$59, 8, FALSE), perc_85, perc_75 + (perc_90 - perc_75) * (2/3), converted_stat, '2K_Ratings'!M922, IF(bbgm_stat &gt;= perc_95, converted_stat * 3, IF(bbgm_stat &gt;= perc_90, converted_stat * 2, IF(bbgm_stat &gt;= perc_85, converted_stat * 1.5, converted_stat)))))</f>
        <v/>
      </c>
      <c r="N922" s="30" t="str">
        <f t="array" ref="N922">IF($A922="", "", LET(bbgm_stat, INDEX(Players!$A921:$P921, MATCH(N$2, Players!$A$1:$P$1, 0)), perc_75, VLOOKUP(N$2, Percentiles!$A$45:$I$59, 6, FALSE), perc_90, VLOOKUP(N$2, Percentiles!$A$45:$I$59, 7, FALSE), perc_95, VLOOKUP(N$2, Percentiles!$A$45:$I$59, 8, FALSE), perc_85, perc_75 + (perc_90 - perc_75) * (2/3), converted_stat, '2K_Ratings'!N922, IF(bbgm_stat &gt;= perc_95, converted_stat * 3, IF(bbgm_stat &gt;= perc_90, converted_stat * 2, IF(bbgm_stat &gt;= perc_85, converted_stat * 1.5, converted_stat)))))</f>
        <v/>
      </c>
      <c r="O922" s="30" t="str">
        <f t="array" ref="O922">IF($A922="", "", LET(bbgm_stat, INDEX(Players!$A921:$P921, MATCH(O$2, Players!$A$1:$P$1, 0)), perc_75, VLOOKUP(O$2, Percentiles!$A$45:$I$59, 6, FALSE), perc_90, VLOOKUP(O$2, Percentiles!$A$45:$I$59, 7, FALSE), perc_95, VLOOKUP(O$2, Percentiles!$A$45:$I$59, 8, FALSE), perc_85, perc_75 + (perc_90 - perc_75) * (2/3), converted_stat, '2K_Ratings'!O922, IF(bbgm_stat &gt;= perc_95, converted_stat * 3, IF(bbgm_stat &gt;= perc_90, converted_stat * 2, IF(bbgm_stat &gt;= perc_85, converted_stat * 1.5, converted_stat)))))</f>
        <v/>
      </c>
      <c r="P922" s="30" t="str">
        <f t="array" ref="P922">IF($A922="", "", LET(bbgm_stat, INDEX(Players!$A921:$P921, MATCH(P$2, Players!$A$1:$P$1, 0)), perc_75, VLOOKUP(P$2, Percentiles!$A$45:$I$59, 6, FALSE), perc_90, VLOOKUP(P$2, Percentiles!$A$45:$I$59, 7, FALSE), perc_95, VLOOKUP(P$2, Percentiles!$A$45:$I$59, 8, FALSE), perc_85, perc_75 + (perc_90 - perc_75) * (2/3), converted_stat, '2K_Ratings'!P922, IF(bbgm_stat &gt;= perc_95, converted_stat * 3, IF(bbgm_stat &gt;= perc_90, converted_stat * 2, IF(bbgm_stat &gt;= perc_85, converted_stat * 1.5, converted_stat)))))</f>
        <v/>
      </c>
      <c r="Q922" s="30" t="str">
        <f t="array" ref="Q922">IF($A922="", "", LET(bbgm_stat, INDEX(Players!$A921:$P921, MATCH(Q$2, Players!$A$1:$P$1, 0)), perc_75, VLOOKUP(Q$2, Percentiles!$A$45:$I$59, 6, FALSE), perc_90, VLOOKUP(Q$2, Percentiles!$A$45:$I$59, 7, FALSE), perc_95, VLOOKUP(Q$2, Percentiles!$A$45:$I$59, 8, FALSE), perc_85, perc_75 + (perc_90 - perc_75) * (2/3), converted_stat, '2K_Ratings'!Q922, IF(bbgm_stat &gt;= perc_95, converted_stat * 3, IF(bbgm_stat &gt;= perc_90, converted_stat * 2, IF(bbgm_stat &gt;= perc_85, converted_stat * 1.5, converted_stat)))))</f>
        <v/>
      </c>
      <c r="R922" s="30" t="str">
        <f t="array" ref="R922">IF($A922="", "", LET(bbgm_stat, INDEX(Players!$A921:$P921, MATCH(R$2, Players!$A$1:$P$1, 0)), perc_75, VLOOKUP(R$2, Percentiles!$A$45:$I$59, 6, FALSE), perc_90, VLOOKUP(R$2, Percentiles!$A$45:$I$59, 7, FALSE), perc_95, VLOOKUP(R$2, Percentiles!$A$45:$I$59, 8, FALSE), perc_85, perc_75 + (perc_90 - perc_75) * (2/3), converted_stat, '2K_Ratings'!R922, IF(bbgm_stat &gt;= perc_95, converted_stat * 3, IF(bbgm_stat &gt;= perc_90, converted_stat * 2, IF(bbgm_stat &gt;= perc_85, converted_stat * 1.5, converted_stat)))))</f>
        <v/>
      </c>
      <c r="S922" s="30" t="str">
        <f t="array" ref="S922">IF($A922="", "", LET(bbgm_stat, INDEX(Players!$A921:$P921, MATCH(S$2, Players!$A$1:$P$1, 0)), perc_75, VLOOKUP(S$2, Percentiles!$A$45:$I$59, 6, FALSE), perc_90, VLOOKUP(S$2, Percentiles!$A$45:$I$59, 7, FALSE), perc_95, VLOOKUP(S$2, Percentiles!$A$45:$I$59, 8, FALSE), perc_85, perc_75 + (perc_90 - perc_75) * (2/3), converted_stat, '2K_Ratings'!S922, IF(bbgm_stat &gt;= perc_95, converted_stat * 3, IF(bbgm_stat &gt;= perc_90, converted_stat * 2, IF(bbgm_stat &gt;= perc_85, converted_stat * 1.5, converted_stat)))))</f>
        <v/>
      </c>
      <c r="T922" s="30" t="str">
        <f t="array" ref="T922">IF($A922="", "", LET(bbgm_stat, INDEX(Players!$A921:$P921, MATCH(T$2, Players!$A$1:$P$1, 0)), perc_75, VLOOKUP(T$2, Percentiles!$A$45:$I$59, 6, FALSE), perc_90, VLOOKUP(T$2, Percentiles!$A$45:$I$59, 7, FALSE), perc_95, VLOOKUP(T$2, Percentiles!$A$45:$I$59, 8, FALSE), perc_85, perc_75 + (perc_90 - perc_75) * (2/3), converted_stat, '2K_Ratings'!T922, IF(bbgm_stat &gt;= perc_95, converted_stat * 3, IF(bbgm_stat &gt;= perc_90, converted_stat * 2, IF(bbgm_stat &gt;= perc_85, converted_stat * 1.5, converted_stat)))))</f>
        <v/>
      </c>
      <c r="U922" s="30" t="str">
        <f t="array" ref="U922">IF($A922="", "", LET(bbgm_stat, INDEX(Players!$A921:$P921, MATCH(U$2, Players!$A$1:$P$1, 0)), perc_75, VLOOKUP(U$2, Percentiles!$A$45:$I$59, 6, FALSE), perc_90, VLOOKUP(U$2, Percentiles!$A$45:$I$59, 7, FALSE), perc_95, VLOOKUP(U$2, Percentiles!$A$45:$I$59, 8, FALSE), perc_85, perc_75 + (perc_90 - perc_75) * (2/3), converted_stat, '2K_Ratings'!U922, IF(bbgm_stat &gt;= perc_95, converted_stat * 3, IF(bbgm_stat &gt;= perc_90, converted_stat * 2, IF(bbgm_stat &gt;= perc_85, converted_stat * 1.5, converted_stat)))))</f>
        <v/>
      </c>
      <c r="V922" s="30" t="str">
        <f t="array" ref="V922">IF($A922="", "", LET(bbgm_stat, INDEX(Players!$A921:$P921, MATCH(V$2, Players!$A$1:$P$1, 0)), perc_75, VLOOKUP(V$2, Percentiles!$A$45:$I$59, 6, FALSE), perc_90, VLOOKUP(V$2, Percentiles!$A$45:$I$59, 7, FALSE), perc_95, VLOOKUP(V$2, Percentiles!$A$45:$I$59, 8, FALSE), perc_85, perc_75 + (perc_90 - perc_75) * (2/3), converted_stat, '2K_Ratings'!V922, IF(bbgm_stat &gt;= perc_95, converted_stat * 3, IF(bbgm_stat &gt;= perc_90, converted_stat * 2, IF(bbgm_stat &gt;= perc_85, converted_stat * 1.5, converted_stat)))))</f>
        <v/>
      </c>
      <c r="W922" s="30" t="str">
        <f t="array" ref="W922">IF($A922="", "", LET(bbgm_stat, INDEX(Players!$A921:$P921, MATCH(W$2, Players!$A$1:$P$1, 0)), perc_75, VLOOKUP(W$2, Percentiles!$A$45:$I$59, 6, FALSE), perc_90, VLOOKUP(W$2, Percentiles!$A$45:$I$59, 7, FALSE), perc_95, VLOOKUP(W$2, Percentiles!$A$45:$I$59, 8, FALSE), perc_85, perc_75 + (perc_90 - perc_75) * (2/3), converted_stat, '2K_Ratings'!W922, IF(bbgm_stat &gt;= perc_95, converted_stat * 3, IF(bbgm_stat &gt;= perc_90, converted_stat * 2, IF(bbgm_stat &gt;= perc_85, converted_stat * 1.5, converted_stat)))))</f>
        <v/>
      </c>
    </row>
    <row r="923">
      <c r="A923" s="30"/>
      <c r="B923" s="30" t="str">
        <f t="array" ref="B923">IF($A923="", "", LET(bbgm_stat, INDEX(Players!$A922:$P922, MATCH(B$2, Players!$A$1:$P$1, 0)), perc_75, VLOOKUP(B$2, Percentiles!$A$45:$I$59, 6, FALSE), perc_90, VLOOKUP(B$2, Percentiles!$A$45:$I$59, 7, FALSE), perc_95, VLOOKUP(B$2, Percentiles!$A$45:$I$59, 8, FALSE), perc_85, perc_75 + (perc_90 - perc_75) * (2/3), converted_stat, '2K_Ratings'!B923, IF(bbgm_stat &gt;= perc_95, converted_stat * 3, IF(bbgm_stat &gt;= perc_90, converted_stat * 2, IF(bbgm_stat &gt;= perc_85, converted_stat * 1.5, converted_stat)))))</f>
        <v/>
      </c>
      <c r="C923" s="30" t="str">
        <f t="array" ref="C923">IF($A923="", "", LET(bbgm_stat, INDEX(Players!$A922:$P922, MATCH(C$2, Players!$A$1:$P$1, 0)), perc_75, VLOOKUP(C$2, Percentiles!$A$45:$I$59, 6, FALSE), perc_90, VLOOKUP(C$2, Percentiles!$A$45:$I$59, 7, FALSE), perc_95, VLOOKUP(C$2, Percentiles!$A$45:$I$59, 8, FALSE), perc_85, perc_75 + (perc_90 - perc_75) * (2/3), converted_stat, '2K_Ratings'!C923, IF(bbgm_stat &gt;= perc_95, converted_stat * 3, IF(bbgm_stat &gt;= perc_90, converted_stat * 2, IF(bbgm_stat &gt;= perc_85, converted_stat * 1.5, converted_stat)))))</f>
        <v/>
      </c>
      <c r="D923" s="30" t="str">
        <f t="array" ref="D923">IF($A923="", "", LET(bbgm_stat, INDEX(Players!$A922:$P922, MATCH(D$2, Players!$A$1:$P$1, 0)), perc_75, VLOOKUP(D$2, Percentiles!$A$45:$I$59, 6, FALSE), perc_90, VLOOKUP(D$2, Percentiles!$A$45:$I$59, 7, FALSE), perc_95, VLOOKUP(D$2, Percentiles!$A$45:$I$59, 8, FALSE), perc_85, perc_75 + (perc_90 - perc_75) * (2/3), converted_stat, '2K_Ratings'!D923, IF(bbgm_stat &gt;= perc_95, converted_stat * 3, IF(bbgm_stat &gt;= perc_90, converted_stat * 2, IF(bbgm_stat &gt;= perc_85, converted_stat * 1.5, converted_stat)))))</f>
        <v/>
      </c>
      <c r="E923" s="30" t="str">
        <f t="array" ref="E923">IF($A923="", "", LET(bbgm_stat, INDEX(Players!$A922:$P922, MATCH(E$2, Players!$A$1:$P$1, 0)), perc_75, VLOOKUP(E$2, Percentiles!$A$45:$I$59, 6, FALSE), perc_90, VLOOKUP(E$2, Percentiles!$A$45:$I$59, 7, FALSE), perc_95, VLOOKUP(E$2, Percentiles!$A$45:$I$59, 8, FALSE), perc_85, perc_75 + (perc_90 - perc_75) * (2/3), converted_stat, '2K_Ratings'!E923, IF(bbgm_stat &gt;= perc_95, converted_stat * 3, IF(bbgm_stat &gt;= perc_90, converted_stat * 2, IF(bbgm_stat &gt;= perc_85, converted_stat * 1.5, converted_stat)))))</f>
        <v/>
      </c>
      <c r="F923" s="30" t="str">
        <f t="array" ref="F923">IF($A923="", "", LET(bbgm_stat, INDEX(Players!$A922:$P922, MATCH(F$2, Players!$A$1:$P$1, 0)), perc_75, VLOOKUP(F$2, Percentiles!$A$45:$I$59, 6, FALSE), perc_90, VLOOKUP(F$2, Percentiles!$A$45:$I$59, 7, FALSE), perc_95, VLOOKUP(F$2, Percentiles!$A$45:$I$59, 8, FALSE), perc_85, perc_75 + (perc_90 - perc_75) * (2/3), converted_stat, '2K_Ratings'!F923, IF(bbgm_stat &gt;= perc_95, converted_stat * 3, IF(bbgm_stat &gt;= perc_90, converted_stat * 2, IF(bbgm_stat &gt;= perc_85, converted_stat * 1.5, converted_stat)))))</f>
        <v/>
      </c>
      <c r="G923" s="30" t="str">
        <f t="array" ref="G923">IF($A923="", "", LET(bbgm_stat, INDEX(Players!$A922:$P922, MATCH(G$2, Players!$A$1:$P$1, 0)), perc_75, VLOOKUP(G$2, Percentiles!$A$45:$I$59, 6, FALSE), perc_90, VLOOKUP(G$2, Percentiles!$A$45:$I$59, 7, FALSE), perc_95, VLOOKUP(G$2, Percentiles!$A$45:$I$59, 8, FALSE), perc_85, perc_75 + (perc_90 - perc_75) * (2/3), converted_stat, '2K_Ratings'!G923, IF(bbgm_stat &gt;= perc_95, converted_stat * 3, IF(bbgm_stat &gt;= perc_90, converted_stat * 2, IF(bbgm_stat &gt;= perc_85, converted_stat * 1.5, converted_stat)))))</f>
        <v/>
      </c>
      <c r="H923" s="30" t="str">
        <f t="array" ref="H923">IF($A923="", "", LET(bbgm_stat, INDEX(Players!$A922:$P922, MATCH(H$2, Players!$A$1:$P$1, 0)), perc_75, VLOOKUP(H$2, Percentiles!$A$45:$I$59, 6, FALSE), perc_90, VLOOKUP(H$2, Percentiles!$A$45:$I$59, 7, FALSE), perc_95, VLOOKUP(H$2, Percentiles!$A$45:$I$59, 8, FALSE), perc_85, perc_75 + (perc_90 - perc_75) * (2/3), converted_stat, '2K_Ratings'!H923, IF(bbgm_stat &gt;= perc_95, converted_stat * 3, IF(bbgm_stat &gt;= perc_90, converted_stat * 2, IF(bbgm_stat &gt;= perc_85, converted_stat * 1.5, converted_stat)))))</f>
        <v/>
      </c>
      <c r="I923" s="30" t="str">
        <f t="array" ref="I923">IF($A923="", "", LET(bbgm_stat, INDEX(Players!$A922:$P922, MATCH(I$2, Players!$A$1:$P$1, 0)), perc_75, VLOOKUP(I$2, Percentiles!$A$45:$I$59, 6, FALSE), perc_90, VLOOKUP(I$2, Percentiles!$A$45:$I$59, 7, FALSE), perc_95, VLOOKUP(I$2, Percentiles!$A$45:$I$59, 8, FALSE), perc_85, perc_75 + (perc_90 - perc_75) * (2/3), converted_stat, '2K_Ratings'!I923, IF(bbgm_stat &gt;= perc_95, converted_stat * 3, IF(bbgm_stat &gt;= perc_90, converted_stat * 2, IF(bbgm_stat &gt;= perc_85, converted_stat * 1.5, converted_stat)))))</f>
        <v/>
      </c>
      <c r="J923" s="30" t="str">
        <f t="array" ref="J923">IF($A923="", "", LET(bbgm_stat, INDEX(Players!$A922:$P922, MATCH(J$2, Players!$A$1:$P$1, 0)), perc_75, VLOOKUP(J$2, Percentiles!$A$45:$I$59, 6, FALSE), perc_90, VLOOKUP(J$2, Percentiles!$A$45:$I$59, 7, FALSE), perc_95, VLOOKUP(J$2, Percentiles!$A$45:$I$59, 8, FALSE), perc_85, perc_75 + (perc_90 - perc_75) * (2/3), converted_stat, '2K_Ratings'!J923, IF(bbgm_stat &gt;= perc_95, converted_stat * 3, IF(bbgm_stat &gt;= perc_90, converted_stat * 2, IF(bbgm_stat &gt;= perc_85, converted_stat * 1.5, converted_stat)))))</f>
        <v/>
      </c>
      <c r="K923" s="30" t="str">
        <f t="array" ref="K923">IF($A923="", "", LET(bbgm_stat, INDEX(Players!$A922:$P922, MATCH(K$2, Players!$A$1:$P$1, 0)), perc_75, VLOOKUP(K$2, Percentiles!$A$45:$I$59, 6, FALSE), perc_90, VLOOKUP(K$2, Percentiles!$A$45:$I$59, 7, FALSE), perc_95, VLOOKUP(K$2, Percentiles!$A$45:$I$59, 8, FALSE), perc_85, perc_75 + (perc_90 - perc_75) * (2/3), converted_stat, '2K_Ratings'!K923, IF(bbgm_stat &gt;= perc_95, converted_stat * 3, IF(bbgm_stat &gt;= perc_90, converted_stat * 2, IF(bbgm_stat &gt;= perc_85, converted_stat * 1.5, converted_stat)))))</f>
        <v/>
      </c>
      <c r="L923" s="30" t="str">
        <f t="array" ref="L923">IF($A923="", "", LET(bbgm_stat, INDEX(Players!$A922:$P922, MATCH(L$2, Players!$A$1:$P$1, 0)), perc_75, VLOOKUP(L$2, Percentiles!$A$45:$I$59, 6, FALSE), perc_90, VLOOKUP(L$2, Percentiles!$A$45:$I$59, 7, FALSE), perc_95, VLOOKUP(L$2, Percentiles!$A$45:$I$59, 8, FALSE), perc_85, perc_75 + (perc_90 - perc_75) * (2/3), converted_stat, '2K_Ratings'!L923, IF(bbgm_stat &gt;= perc_95, converted_stat * 3, IF(bbgm_stat &gt;= perc_90, converted_stat * 2, IF(bbgm_stat &gt;= perc_85, converted_stat * 1.5, converted_stat)))))</f>
        <v/>
      </c>
      <c r="M923" s="30" t="str">
        <f t="array" ref="M923">IF($A923="", "", LET(bbgm_stat, INDEX(Players!$A922:$P922, MATCH(M$2, Players!$A$1:$P$1, 0)), perc_75, VLOOKUP(M$2, Percentiles!$A$45:$I$59, 6, FALSE), perc_90, VLOOKUP(M$2, Percentiles!$A$45:$I$59, 7, FALSE), perc_95, VLOOKUP(M$2, Percentiles!$A$45:$I$59, 8, FALSE), perc_85, perc_75 + (perc_90 - perc_75) * (2/3), converted_stat, '2K_Ratings'!M923, IF(bbgm_stat &gt;= perc_95, converted_stat * 3, IF(bbgm_stat &gt;= perc_90, converted_stat * 2, IF(bbgm_stat &gt;= perc_85, converted_stat * 1.5, converted_stat)))))</f>
        <v/>
      </c>
      <c r="N923" s="30" t="str">
        <f t="array" ref="N923">IF($A923="", "", LET(bbgm_stat, INDEX(Players!$A922:$P922, MATCH(N$2, Players!$A$1:$P$1, 0)), perc_75, VLOOKUP(N$2, Percentiles!$A$45:$I$59, 6, FALSE), perc_90, VLOOKUP(N$2, Percentiles!$A$45:$I$59, 7, FALSE), perc_95, VLOOKUP(N$2, Percentiles!$A$45:$I$59, 8, FALSE), perc_85, perc_75 + (perc_90 - perc_75) * (2/3), converted_stat, '2K_Ratings'!N923, IF(bbgm_stat &gt;= perc_95, converted_stat * 3, IF(bbgm_stat &gt;= perc_90, converted_stat * 2, IF(bbgm_stat &gt;= perc_85, converted_stat * 1.5, converted_stat)))))</f>
        <v/>
      </c>
      <c r="O923" s="30" t="str">
        <f t="array" ref="O923">IF($A923="", "", LET(bbgm_stat, INDEX(Players!$A922:$P922, MATCH(O$2, Players!$A$1:$P$1, 0)), perc_75, VLOOKUP(O$2, Percentiles!$A$45:$I$59, 6, FALSE), perc_90, VLOOKUP(O$2, Percentiles!$A$45:$I$59, 7, FALSE), perc_95, VLOOKUP(O$2, Percentiles!$A$45:$I$59, 8, FALSE), perc_85, perc_75 + (perc_90 - perc_75) * (2/3), converted_stat, '2K_Ratings'!O923, IF(bbgm_stat &gt;= perc_95, converted_stat * 3, IF(bbgm_stat &gt;= perc_90, converted_stat * 2, IF(bbgm_stat &gt;= perc_85, converted_stat * 1.5, converted_stat)))))</f>
        <v/>
      </c>
      <c r="P923" s="30" t="str">
        <f t="array" ref="P923">IF($A923="", "", LET(bbgm_stat, INDEX(Players!$A922:$P922, MATCH(P$2, Players!$A$1:$P$1, 0)), perc_75, VLOOKUP(P$2, Percentiles!$A$45:$I$59, 6, FALSE), perc_90, VLOOKUP(P$2, Percentiles!$A$45:$I$59, 7, FALSE), perc_95, VLOOKUP(P$2, Percentiles!$A$45:$I$59, 8, FALSE), perc_85, perc_75 + (perc_90 - perc_75) * (2/3), converted_stat, '2K_Ratings'!P923, IF(bbgm_stat &gt;= perc_95, converted_stat * 3, IF(bbgm_stat &gt;= perc_90, converted_stat * 2, IF(bbgm_stat &gt;= perc_85, converted_stat * 1.5, converted_stat)))))</f>
        <v/>
      </c>
      <c r="Q923" s="30" t="str">
        <f t="array" ref="Q923">IF($A923="", "", LET(bbgm_stat, INDEX(Players!$A922:$P922, MATCH(Q$2, Players!$A$1:$P$1, 0)), perc_75, VLOOKUP(Q$2, Percentiles!$A$45:$I$59, 6, FALSE), perc_90, VLOOKUP(Q$2, Percentiles!$A$45:$I$59, 7, FALSE), perc_95, VLOOKUP(Q$2, Percentiles!$A$45:$I$59, 8, FALSE), perc_85, perc_75 + (perc_90 - perc_75) * (2/3), converted_stat, '2K_Ratings'!Q923, IF(bbgm_stat &gt;= perc_95, converted_stat * 3, IF(bbgm_stat &gt;= perc_90, converted_stat * 2, IF(bbgm_stat &gt;= perc_85, converted_stat * 1.5, converted_stat)))))</f>
        <v/>
      </c>
      <c r="R923" s="30" t="str">
        <f t="array" ref="R923">IF($A923="", "", LET(bbgm_stat, INDEX(Players!$A922:$P922, MATCH(R$2, Players!$A$1:$P$1, 0)), perc_75, VLOOKUP(R$2, Percentiles!$A$45:$I$59, 6, FALSE), perc_90, VLOOKUP(R$2, Percentiles!$A$45:$I$59, 7, FALSE), perc_95, VLOOKUP(R$2, Percentiles!$A$45:$I$59, 8, FALSE), perc_85, perc_75 + (perc_90 - perc_75) * (2/3), converted_stat, '2K_Ratings'!R923, IF(bbgm_stat &gt;= perc_95, converted_stat * 3, IF(bbgm_stat &gt;= perc_90, converted_stat * 2, IF(bbgm_stat &gt;= perc_85, converted_stat * 1.5, converted_stat)))))</f>
        <v/>
      </c>
      <c r="S923" s="30" t="str">
        <f t="array" ref="S923">IF($A923="", "", LET(bbgm_stat, INDEX(Players!$A922:$P922, MATCH(S$2, Players!$A$1:$P$1, 0)), perc_75, VLOOKUP(S$2, Percentiles!$A$45:$I$59, 6, FALSE), perc_90, VLOOKUP(S$2, Percentiles!$A$45:$I$59, 7, FALSE), perc_95, VLOOKUP(S$2, Percentiles!$A$45:$I$59, 8, FALSE), perc_85, perc_75 + (perc_90 - perc_75) * (2/3), converted_stat, '2K_Ratings'!S923, IF(bbgm_stat &gt;= perc_95, converted_stat * 3, IF(bbgm_stat &gt;= perc_90, converted_stat * 2, IF(bbgm_stat &gt;= perc_85, converted_stat * 1.5, converted_stat)))))</f>
        <v/>
      </c>
      <c r="T923" s="30" t="str">
        <f t="array" ref="T923">IF($A923="", "", LET(bbgm_stat, INDEX(Players!$A922:$P922, MATCH(T$2, Players!$A$1:$P$1, 0)), perc_75, VLOOKUP(T$2, Percentiles!$A$45:$I$59, 6, FALSE), perc_90, VLOOKUP(T$2, Percentiles!$A$45:$I$59, 7, FALSE), perc_95, VLOOKUP(T$2, Percentiles!$A$45:$I$59, 8, FALSE), perc_85, perc_75 + (perc_90 - perc_75) * (2/3), converted_stat, '2K_Ratings'!T923, IF(bbgm_stat &gt;= perc_95, converted_stat * 3, IF(bbgm_stat &gt;= perc_90, converted_stat * 2, IF(bbgm_stat &gt;= perc_85, converted_stat * 1.5, converted_stat)))))</f>
        <v/>
      </c>
      <c r="U923" s="30" t="str">
        <f t="array" ref="U923">IF($A923="", "", LET(bbgm_stat, INDEX(Players!$A922:$P922, MATCH(U$2, Players!$A$1:$P$1, 0)), perc_75, VLOOKUP(U$2, Percentiles!$A$45:$I$59, 6, FALSE), perc_90, VLOOKUP(U$2, Percentiles!$A$45:$I$59, 7, FALSE), perc_95, VLOOKUP(U$2, Percentiles!$A$45:$I$59, 8, FALSE), perc_85, perc_75 + (perc_90 - perc_75) * (2/3), converted_stat, '2K_Ratings'!U923, IF(bbgm_stat &gt;= perc_95, converted_stat * 3, IF(bbgm_stat &gt;= perc_90, converted_stat * 2, IF(bbgm_stat &gt;= perc_85, converted_stat * 1.5, converted_stat)))))</f>
        <v/>
      </c>
      <c r="V923" s="30" t="str">
        <f t="array" ref="V923">IF($A923="", "", LET(bbgm_stat, INDEX(Players!$A922:$P922, MATCH(V$2, Players!$A$1:$P$1, 0)), perc_75, VLOOKUP(V$2, Percentiles!$A$45:$I$59, 6, FALSE), perc_90, VLOOKUP(V$2, Percentiles!$A$45:$I$59, 7, FALSE), perc_95, VLOOKUP(V$2, Percentiles!$A$45:$I$59, 8, FALSE), perc_85, perc_75 + (perc_90 - perc_75) * (2/3), converted_stat, '2K_Ratings'!V923, IF(bbgm_stat &gt;= perc_95, converted_stat * 3, IF(bbgm_stat &gt;= perc_90, converted_stat * 2, IF(bbgm_stat &gt;= perc_85, converted_stat * 1.5, converted_stat)))))</f>
        <v/>
      </c>
      <c r="W923" s="30" t="str">
        <f t="array" ref="W923">IF($A923="", "", LET(bbgm_stat, INDEX(Players!$A922:$P922, MATCH(W$2, Players!$A$1:$P$1, 0)), perc_75, VLOOKUP(W$2, Percentiles!$A$45:$I$59, 6, FALSE), perc_90, VLOOKUP(W$2, Percentiles!$A$45:$I$59, 7, FALSE), perc_95, VLOOKUP(W$2, Percentiles!$A$45:$I$59, 8, FALSE), perc_85, perc_75 + (perc_90 - perc_75) * (2/3), converted_stat, '2K_Ratings'!W923, IF(bbgm_stat &gt;= perc_95, converted_stat * 3, IF(bbgm_stat &gt;= perc_90, converted_stat * 2, IF(bbgm_stat &gt;= perc_85, converted_stat * 1.5, converted_stat)))))</f>
        <v/>
      </c>
    </row>
    <row r="924">
      <c r="A924" s="30"/>
      <c r="B924" s="30" t="str">
        <f t="array" ref="B924">IF($A924="", "", LET(bbgm_stat, INDEX(Players!$A923:$P923, MATCH(B$2, Players!$A$1:$P$1, 0)), perc_75, VLOOKUP(B$2, Percentiles!$A$45:$I$59, 6, FALSE), perc_90, VLOOKUP(B$2, Percentiles!$A$45:$I$59, 7, FALSE), perc_95, VLOOKUP(B$2, Percentiles!$A$45:$I$59, 8, FALSE), perc_85, perc_75 + (perc_90 - perc_75) * (2/3), converted_stat, '2K_Ratings'!B924, IF(bbgm_stat &gt;= perc_95, converted_stat * 3, IF(bbgm_stat &gt;= perc_90, converted_stat * 2, IF(bbgm_stat &gt;= perc_85, converted_stat * 1.5, converted_stat)))))</f>
        <v/>
      </c>
      <c r="C924" s="30" t="str">
        <f t="array" ref="C924">IF($A924="", "", LET(bbgm_stat, INDEX(Players!$A923:$P923, MATCH(C$2, Players!$A$1:$P$1, 0)), perc_75, VLOOKUP(C$2, Percentiles!$A$45:$I$59, 6, FALSE), perc_90, VLOOKUP(C$2, Percentiles!$A$45:$I$59, 7, FALSE), perc_95, VLOOKUP(C$2, Percentiles!$A$45:$I$59, 8, FALSE), perc_85, perc_75 + (perc_90 - perc_75) * (2/3), converted_stat, '2K_Ratings'!C924, IF(bbgm_stat &gt;= perc_95, converted_stat * 3, IF(bbgm_stat &gt;= perc_90, converted_stat * 2, IF(bbgm_stat &gt;= perc_85, converted_stat * 1.5, converted_stat)))))</f>
        <v/>
      </c>
      <c r="D924" s="30" t="str">
        <f t="array" ref="D924">IF($A924="", "", LET(bbgm_stat, INDEX(Players!$A923:$P923, MATCH(D$2, Players!$A$1:$P$1, 0)), perc_75, VLOOKUP(D$2, Percentiles!$A$45:$I$59, 6, FALSE), perc_90, VLOOKUP(D$2, Percentiles!$A$45:$I$59, 7, FALSE), perc_95, VLOOKUP(D$2, Percentiles!$A$45:$I$59, 8, FALSE), perc_85, perc_75 + (perc_90 - perc_75) * (2/3), converted_stat, '2K_Ratings'!D924, IF(bbgm_stat &gt;= perc_95, converted_stat * 3, IF(bbgm_stat &gt;= perc_90, converted_stat * 2, IF(bbgm_stat &gt;= perc_85, converted_stat * 1.5, converted_stat)))))</f>
        <v/>
      </c>
      <c r="E924" s="30" t="str">
        <f t="array" ref="E924">IF($A924="", "", LET(bbgm_stat, INDEX(Players!$A923:$P923, MATCH(E$2, Players!$A$1:$P$1, 0)), perc_75, VLOOKUP(E$2, Percentiles!$A$45:$I$59, 6, FALSE), perc_90, VLOOKUP(E$2, Percentiles!$A$45:$I$59, 7, FALSE), perc_95, VLOOKUP(E$2, Percentiles!$A$45:$I$59, 8, FALSE), perc_85, perc_75 + (perc_90 - perc_75) * (2/3), converted_stat, '2K_Ratings'!E924, IF(bbgm_stat &gt;= perc_95, converted_stat * 3, IF(bbgm_stat &gt;= perc_90, converted_stat * 2, IF(bbgm_stat &gt;= perc_85, converted_stat * 1.5, converted_stat)))))</f>
        <v/>
      </c>
      <c r="F924" s="30" t="str">
        <f t="array" ref="F924">IF($A924="", "", LET(bbgm_stat, INDEX(Players!$A923:$P923, MATCH(F$2, Players!$A$1:$P$1, 0)), perc_75, VLOOKUP(F$2, Percentiles!$A$45:$I$59, 6, FALSE), perc_90, VLOOKUP(F$2, Percentiles!$A$45:$I$59, 7, FALSE), perc_95, VLOOKUP(F$2, Percentiles!$A$45:$I$59, 8, FALSE), perc_85, perc_75 + (perc_90 - perc_75) * (2/3), converted_stat, '2K_Ratings'!F924, IF(bbgm_stat &gt;= perc_95, converted_stat * 3, IF(bbgm_stat &gt;= perc_90, converted_stat * 2, IF(bbgm_stat &gt;= perc_85, converted_stat * 1.5, converted_stat)))))</f>
        <v/>
      </c>
      <c r="G924" s="30" t="str">
        <f t="array" ref="G924">IF($A924="", "", LET(bbgm_stat, INDEX(Players!$A923:$P923, MATCH(G$2, Players!$A$1:$P$1, 0)), perc_75, VLOOKUP(G$2, Percentiles!$A$45:$I$59, 6, FALSE), perc_90, VLOOKUP(G$2, Percentiles!$A$45:$I$59, 7, FALSE), perc_95, VLOOKUP(G$2, Percentiles!$A$45:$I$59, 8, FALSE), perc_85, perc_75 + (perc_90 - perc_75) * (2/3), converted_stat, '2K_Ratings'!G924, IF(bbgm_stat &gt;= perc_95, converted_stat * 3, IF(bbgm_stat &gt;= perc_90, converted_stat * 2, IF(bbgm_stat &gt;= perc_85, converted_stat * 1.5, converted_stat)))))</f>
        <v/>
      </c>
      <c r="H924" s="30" t="str">
        <f t="array" ref="H924">IF($A924="", "", LET(bbgm_stat, INDEX(Players!$A923:$P923, MATCH(H$2, Players!$A$1:$P$1, 0)), perc_75, VLOOKUP(H$2, Percentiles!$A$45:$I$59, 6, FALSE), perc_90, VLOOKUP(H$2, Percentiles!$A$45:$I$59, 7, FALSE), perc_95, VLOOKUP(H$2, Percentiles!$A$45:$I$59, 8, FALSE), perc_85, perc_75 + (perc_90 - perc_75) * (2/3), converted_stat, '2K_Ratings'!H924, IF(bbgm_stat &gt;= perc_95, converted_stat * 3, IF(bbgm_stat &gt;= perc_90, converted_stat * 2, IF(bbgm_stat &gt;= perc_85, converted_stat * 1.5, converted_stat)))))</f>
        <v/>
      </c>
      <c r="I924" s="30" t="str">
        <f t="array" ref="I924">IF($A924="", "", LET(bbgm_stat, INDEX(Players!$A923:$P923, MATCH(I$2, Players!$A$1:$P$1, 0)), perc_75, VLOOKUP(I$2, Percentiles!$A$45:$I$59, 6, FALSE), perc_90, VLOOKUP(I$2, Percentiles!$A$45:$I$59, 7, FALSE), perc_95, VLOOKUP(I$2, Percentiles!$A$45:$I$59, 8, FALSE), perc_85, perc_75 + (perc_90 - perc_75) * (2/3), converted_stat, '2K_Ratings'!I924, IF(bbgm_stat &gt;= perc_95, converted_stat * 3, IF(bbgm_stat &gt;= perc_90, converted_stat * 2, IF(bbgm_stat &gt;= perc_85, converted_stat * 1.5, converted_stat)))))</f>
        <v/>
      </c>
      <c r="J924" s="30" t="str">
        <f t="array" ref="J924">IF($A924="", "", LET(bbgm_stat, INDEX(Players!$A923:$P923, MATCH(J$2, Players!$A$1:$P$1, 0)), perc_75, VLOOKUP(J$2, Percentiles!$A$45:$I$59, 6, FALSE), perc_90, VLOOKUP(J$2, Percentiles!$A$45:$I$59, 7, FALSE), perc_95, VLOOKUP(J$2, Percentiles!$A$45:$I$59, 8, FALSE), perc_85, perc_75 + (perc_90 - perc_75) * (2/3), converted_stat, '2K_Ratings'!J924, IF(bbgm_stat &gt;= perc_95, converted_stat * 3, IF(bbgm_stat &gt;= perc_90, converted_stat * 2, IF(bbgm_stat &gt;= perc_85, converted_stat * 1.5, converted_stat)))))</f>
        <v/>
      </c>
      <c r="K924" s="30" t="str">
        <f t="array" ref="K924">IF($A924="", "", LET(bbgm_stat, INDEX(Players!$A923:$P923, MATCH(K$2, Players!$A$1:$P$1, 0)), perc_75, VLOOKUP(K$2, Percentiles!$A$45:$I$59, 6, FALSE), perc_90, VLOOKUP(K$2, Percentiles!$A$45:$I$59, 7, FALSE), perc_95, VLOOKUP(K$2, Percentiles!$A$45:$I$59, 8, FALSE), perc_85, perc_75 + (perc_90 - perc_75) * (2/3), converted_stat, '2K_Ratings'!K924, IF(bbgm_stat &gt;= perc_95, converted_stat * 3, IF(bbgm_stat &gt;= perc_90, converted_stat * 2, IF(bbgm_stat &gt;= perc_85, converted_stat * 1.5, converted_stat)))))</f>
        <v/>
      </c>
      <c r="L924" s="30" t="str">
        <f t="array" ref="L924">IF($A924="", "", LET(bbgm_stat, INDEX(Players!$A923:$P923, MATCH(L$2, Players!$A$1:$P$1, 0)), perc_75, VLOOKUP(L$2, Percentiles!$A$45:$I$59, 6, FALSE), perc_90, VLOOKUP(L$2, Percentiles!$A$45:$I$59, 7, FALSE), perc_95, VLOOKUP(L$2, Percentiles!$A$45:$I$59, 8, FALSE), perc_85, perc_75 + (perc_90 - perc_75) * (2/3), converted_stat, '2K_Ratings'!L924, IF(bbgm_stat &gt;= perc_95, converted_stat * 3, IF(bbgm_stat &gt;= perc_90, converted_stat * 2, IF(bbgm_stat &gt;= perc_85, converted_stat * 1.5, converted_stat)))))</f>
        <v/>
      </c>
      <c r="M924" s="30" t="str">
        <f t="array" ref="M924">IF($A924="", "", LET(bbgm_stat, INDEX(Players!$A923:$P923, MATCH(M$2, Players!$A$1:$P$1, 0)), perc_75, VLOOKUP(M$2, Percentiles!$A$45:$I$59, 6, FALSE), perc_90, VLOOKUP(M$2, Percentiles!$A$45:$I$59, 7, FALSE), perc_95, VLOOKUP(M$2, Percentiles!$A$45:$I$59, 8, FALSE), perc_85, perc_75 + (perc_90 - perc_75) * (2/3), converted_stat, '2K_Ratings'!M924, IF(bbgm_stat &gt;= perc_95, converted_stat * 3, IF(bbgm_stat &gt;= perc_90, converted_stat * 2, IF(bbgm_stat &gt;= perc_85, converted_stat * 1.5, converted_stat)))))</f>
        <v/>
      </c>
      <c r="N924" s="30" t="str">
        <f t="array" ref="N924">IF($A924="", "", LET(bbgm_stat, INDEX(Players!$A923:$P923, MATCH(N$2, Players!$A$1:$P$1, 0)), perc_75, VLOOKUP(N$2, Percentiles!$A$45:$I$59, 6, FALSE), perc_90, VLOOKUP(N$2, Percentiles!$A$45:$I$59, 7, FALSE), perc_95, VLOOKUP(N$2, Percentiles!$A$45:$I$59, 8, FALSE), perc_85, perc_75 + (perc_90 - perc_75) * (2/3), converted_stat, '2K_Ratings'!N924, IF(bbgm_stat &gt;= perc_95, converted_stat * 3, IF(bbgm_stat &gt;= perc_90, converted_stat * 2, IF(bbgm_stat &gt;= perc_85, converted_stat * 1.5, converted_stat)))))</f>
        <v/>
      </c>
      <c r="O924" s="30" t="str">
        <f t="array" ref="O924">IF($A924="", "", LET(bbgm_stat, INDEX(Players!$A923:$P923, MATCH(O$2, Players!$A$1:$P$1, 0)), perc_75, VLOOKUP(O$2, Percentiles!$A$45:$I$59, 6, FALSE), perc_90, VLOOKUP(O$2, Percentiles!$A$45:$I$59, 7, FALSE), perc_95, VLOOKUP(O$2, Percentiles!$A$45:$I$59, 8, FALSE), perc_85, perc_75 + (perc_90 - perc_75) * (2/3), converted_stat, '2K_Ratings'!O924, IF(bbgm_stat &gt;= perc_95, converted_stat * 3, IF(bbgm_stat &gt;= perc_90, converted_stat * 2, IF(bbgm_stat &gt;= perc_85, converted_stat * 1.5, converted_stat)))))</f>
        <v/>
      </c>
      <c r="P924" s="30" t="str">
        <f t="array" ref="P924">IF($A924="", "", LET(bbgm_stat, INDEX(Players!$A923:$P923, MATCH(P$2, Players!$A$1:$P$1, 0)), perc_75, VLOOKUP(P$2, Percentiles!$A$45:$I$59, 6, FALSE), perc_90, VLOOKUP(P$2, Percentiles!$A$45:$I$59, 7, FALSE), perc_95, VLOOKUP(P$2, Percentiles!$A$45:$I$59, 8, FALSE), perc_85, perc_75 + (perc_90 - perc_75) * (2/3), converted_stat, '2K_Ratings'!P924, IF(bbgm_stat &gt;= perc_95, converted_stat * 3, IF(bbgm_stat &gt;= perc_90, converted_stat * 2, IF(bbgm_stat &gt;= perc_85, converted_stat * 1.5, converted_stat)))))</f>
        <v/>
      </c>
      <c r="Q924" s="30" t="str">
        <f t="array" ref="Q924">IF($A924="", "", LET(bbgm_stat, INDEX(Players!$A923:$P923, MATCH(Q$2, Players!$A$1:$P$1, 0)), perc_75, VLOOKUP(Q$2, Percentiles!$A$45:$I$59, 6, FALSE), perc_90, VLOOKUP(Q$2, Percentiles!$A$45:$I$59, 7, FALSE), perc_95, VLOOKUP(Q$2, Percentiles!$A$45:$I$59, 8, FALSE), perc_85, perc_75 + (perc_90 - perc_75) * (2/3), converted_stat, '2K_Ratings'!Q924, IF(bbgm_stat &gt;= perc_95, converted_stat * 3, IF(bbgm_stat &gt;= perc_90, converted_stat * 2, IF(bbgm_stat &gt;= perc_85, converted_stat * 1.5, converted_stat)))))</f>
        <v/>
      </c>
      <c r="R924" s="30" t="str">
        <f t="array" ref="R924">IF($A924="", "", LET(bbgm_stat, INDEX(Players!$A923:$P923, MATCH(R$2, Players!$A$1:$P$1, 0)), perc_75, VLOOKUP(R$2, Percentiles!$A$45:$I$59, 6, FALSE), perc_90, VLOOKUP(R$2, Percentiles!$A$45:$I$59, 7, FALSE), perc_95, VLOOKUP(R$2, Percentiles!$A$45:$I$59, 8, FALSE), perc_85, perc_75 + (perc_90 - perc_75) * (2/3), converted_stat, '2K_Ratings'!R924, IF(bbgm_stat &gt;= perc_95, converted_stat * 3, IF(bbgm_stat &gt;= perc_90, converted_stat * 2, IF(bbgm_stat &gt;= perc_85, converted_stat * 1.5, converted_stat)))))</f>
        <v/>
      </c>
      <c r="S924" s="30" t="str">
        <f t="array" ref="S924">IF($A924="", "", LET(bbgm_stat, INDEX(Players!$A923:$P923, MATCH(S$2, Players!$A$1:$P$1, 0)), perc_75, VLOOKUP(S$2, Percentiles!$A$45:$I$59, 6, FALSE), perc_90, VLOOKUP(S$2, Percentiles!$A$45:$I$59, 7, FALSE), perc_95, VLOOKUP(S$2, Percentiles!$A$45:$I$59, 8, FALSE), perc_85, perc_75 + (perc_90 - perc_75) * (2/3), converted_stat, '2K_Ratings'!S924, IF(bbgm_stat &gt;= perc_95, converted_stat * 3, IF(bbgm_stat &gt;= perc_90, converted_stat * 2, IF(bbgm_stat &gt;= perc_85, converted_stat * 1.5, converted_stat)))))</f>
        <v/>
      </c>
      <c r="T924" s="30" t="str">
        <f t="array" ref="T924">IF($A924="", "", LET(bbgm_stat, INDEX(Players!$A923:$P923, MATCH(T$2, Players!$A$1:$P$1, 0)), perc_75, VLOOKUP(T$2, Percentiles!$A$45:$I$59, 6, FALSE), perc_90, VLOOKUP(T$2, Percentiles!$A$45:$I$59, 7, FALSE), perc_95, VLOOKUP(T$2, Percentiles!$A$45:$I$59, 8, FALSE), perc_85, perc_75 + (perc_90 - perc_75) * (2/3), converted_stat, '2K_Ratings'!T924, IF(bbgm_stat &gt;= perc_95, converted_stat * 3, IF(bbgm_stat &gt;= perc_90, converted_stat * 2, IF(bbgm_stat &gt;= perc_85, converted_stat * 1.5, converted_stat)))))</f>
        <v/>
      </c>
      <c r="U924" s="30" t="str">
        <f t="array" ref="U924">IF($A924="", "", LET(bbgm_stat, INDEX(Players!$A923:$P923, MATCH(U$2, Players!$A$1:$P$1, 0)), perc_75, VLOOKUP(U$2, Percentiles!$A$45:$I$59, 6, FALSE), perc_90, VLOOKUP(U$2, Percentiles!$A$45:$I$59, 7, FALSE), perc_95, VLOOKUP(U$2, Percentiles!$A$45:$I$59, 8, FALSE), perc_85, perc_75 + (perc_90 - perc_75) * (2/3), converted_stat, '2K_Ratings'!U924, IF(bbgm_stat &gt;= perc_95, converted_stat * 3, IF(bbgm_stat &gt;= perc_90, converted_stat * 2, IF(bbgm_stat &gt;= perc_85, converted_stat * 1.5, converted_stat)))))</f>
        <v/>
      </c>
      <c r="V924" s="30" t="str">
        <f t="array" ref="V924">IF($A924="", "", LET(bbgm_stat, INDEX(Players!$A923:$P923, MATCH(V$2, Players!$A$1:$P$1, 0)), perc_75, VLOOKUP(V$2, Percentiles!$A$45:$I$59, 6, FALSE), perc_90, VLOOKUP(V$2, Percentiles!$A$45:$I$59, 7, FALSE), perc_95, VLOOKUP(V$2, Percentiles!$A$45:$I$59, 8, FALSE), perc_85, perc_75 + (perc_90 - perc_75) * (2/3), converted_stat, '2K_Ratings'!V924, IF(bbgm_stat &gt;= perc_95, converted_stat * 3, IF(bbgm_stat &gt;= perc_90, converted_stat * 2, IF(bbgm_stat &gt;= perc_85, converted_stat * 1.5, converted_stat)))))</f>
        <v/>
      </c>
      <c r="W924" s="30" t="str">
        <f t="array" ref="W924">IF($A924="", "", LET(bbgm_stat, INDEX(Players!$A923:$P923, MATCH(W$2, Players!$A$1:$P$1, 0)), perc_75, VLOOKUP(W$2, Percentiles!$A$45:$I$59, 6, FALSE), perc_90, VLOOKUP(W$2, Percentiles!$A$45:$I$59, 7, FALSE), perc_95, VLOOKUP(W$2, Percentiles!$A$45:$I$59, 8, FALSE), perc_85, perc_75 + (perc_90 - perc_75) * (2/3), converted_stat, '2K_Ratings'!W924, IF(bbgm_stat &gt;= perc_95, converted_stat * 3, IF(bbgm_stat &gt;= perc_90, converted_stat * 2, IF(bbgm_stat &gt;= perc_85, converted_stat * 1.5, converted_stat)))))</f>
        <v/>
      </c>
    </row>
    <row r="925">
      <c r="A925" s="30"/>
      <c r="B925" s="30" t="str">
        <f t="array" ref="B925">IF($A925="", "", LET(bbgm_stat, INDEX(Players!$A924:$P924, MATCH(B$2, Players!$A$1:$P$1, 0)), perc_75, VLOOKUP(B$2, Percentiles!$A$45:$I$59, 6, FALSE), perc_90, VLOOKUP(B$2, Percentiles!$A$45:$I$59, 7, FALSE), perc_95, VLOOKUP(B$2, Percentiles!$A$45:$I$59, 8, FALSE), perc_85, perc_75 + (perc_90 - perc_75) * (2/3), converted_stat, '2K_Ratings'!B925, IF(bbgm_stat &gt;= perc_95, converted_stat * 3, IF(bbgm_stat &gt;= perc_90, converted_stat * 2, IF(bbgm_stat &gt;= perc_85, converted_stat * 1.5, converted_stat)))))</f>
        <v/>
      </c>
      <c r="C925" s="30" t="str">
        <f t="array" ref="C925">IF($A925="", "", LET(bbgm_stat, INDEX(Players!$A924:$P924, MATCH(C$2, Players!$A$1:$P$1, 0)), perc_75, VLOOKUP(C$2, Percentiles!$A$45:$I$59, 6, FALSE), perc_90, VLOOKUP(C$2, Percentiles!$A$45:$I$59, 7, FALSE), perc_95, VLOOKUP(C$2, Percentiles!$A$45:$I$59, 8, FALSE), perc_85, perc_75 + (perc_90 - perc_75) * (2/3), converted_stat, '2K_Ratings'!C925, IF(bbgm_stat &gt;= perc_95, converted_stat * 3, IF(bbgm_stat &gt;= perc_90, converted_stat * 2, IF(bbgm_stat &gt;= perc_85, converted_stat * 1.5, converted_stat)))))</f>
        <v/>
      </c>
      <c r="D925" s="30" t="str">
        <f t="array" ref="D925">IF($A925="", "", LET(bbgm_stat, INDEX(Players!$A924:$P924, MATCH(D$2, Players!$A$1:$P$1, 0)), perc_75, VLOOKUP(D$2, Percentiles!$A$45:$I$59, 6, FALSE), perc_90, VLOOKUP(D$2, Percentiles!$A$45:$I$59, 7, FALSE), perc_95, VLOOKUP(D$2, Percentiles!$A$45:$I$59, 8, FALSE), perc_85, perc_75 + (perc_90 - perc_75) * (2/3), converted_stat, '2K_Ratings'!D925, IF(bbgm_stat &gt;= perc_95, converted_stat * 3, IF(bbgm_stat &gt;= perc_90, converted_stat * 2, IF(bbgm_stat &gt;= perc_85, converted_stat * 1.5, converted_stat)))))</f>
        <v/>
      </c>
      <c r="E925" s="30" t="str">
        <f t="array" ref="E925">IF($A925="", "", LET(bbgm_stat, INDEX(Players!$A924:$P924, MATCH(E$2, Players!$A$1:$P$1, 0)), perc_75, VLOOKUP(E$2, Percentiles!$A$45:$I$59, 6, FALSE), perc_90, VLOOKUP(E$2, Percentiles!$A$45:$I$59, 7, FALSE), perc_95, VLOOKUP(E$2, Percentiles!$A$45:$I$59, 8, FALSE), perc_85, perc_75 + (perc_90 - perc_75) * (2/3), converted_stat, '2K_Ratings'!E925, IF(bbgm_stat &gt;= perc_95, converted_stat * 3, IF(bbgm_stat &gt;= perc_90, converted_stat * 2, IF(bbgm_stat &gt;= perc_85, converted_stat * 1.5, converted_stat)))))</f>
        <v/>
      </c>
      <c r="F925" s="30" t="str">
        <f t="array" ref="F925">IF($A925="", "", LET(bbgm_stat, INDEX(Players!$A924:$P924, MATCH(F$2, Players!$A$1:$P$1, 0)), perc_75, VLOOKUP(F$2, Percentiles!$A$45:$I$59, 6, FALSE), perc_90, VLOOKUP(F$2, Percentiles!$A$45:$I$59, 7, FALSE), perc_95, VLOOKUP(F$2, Percentiles!$A$45:$I$59, 8, FALSE), perc_85, perc_75 + (perc_90 - perc_75) * (2/3), converted_stat, '2K_Ratings'!F925, IF(bbgm_stat &gt;= perc_95, converted_stat * 3, IF(bbgm_stat &gt;= perc_90, converted_stat * 2, IF(bbgm_stat &gt;= perc_85, converted_stat * 1.5, converted_stat)))))</f>
        <v/>
      </c>
      <c r="G925" s="30" t="str">
        <f t="array" ref="G925">IF($A925="", "", LET(bbgm_stat, INDEX(Players!$A924:$P924, MATCH(G$2, Players!$A$1:$P$1, 0)), perc_75, VLOOKUP(G$2, Percentiles!$A$45:$I$59, 6, FALSE), perc_90, VLOOKUP(G$2, Percentiles!$A$45:$I$59, 7, FALSE), perc_95, VLOOKUP(G$2, Percentiles!$A$45:$I$59, 8, FALSE), perc_85, perc_75 + (perc_90 - perc_75) * (2/3), converted_stat, '2K_Ratings'!G925, IF(bbgm_stat &gt;= perc_95, converted_stat * 3, IF(bbgm_stat &gt;= perc_90, converted_stat * 2, IF(bbgm_stat &gt;= perc_85, converted_stat * 1.5, converted_stat)))))</f>
        <v/>
      </c>
      <c r="H925" s="30" t="str">
        <f t="array" ref="H925">IF($A925="", "", LET(bbgm_stat, INDEX(Players!$A924:$P924, MATCH(H$2, Players!$A$1:$P$1, 0)), perc_75, VLOOKUP(H$2, Percentiles!$A$45:$I$59, 6, FALSE), perc_90, VLOOKUP(H$2, Percentiles!$A$45:$I$59, 7, FALSE), perc_95, VLOOKUP(H$2, Percentiles!$A$45:$I$59, 8, FALSE), perc_85, perc_75 + (perc_90 - perc_75) * (2/3), converted_stat, '2K_Ratings'!H925, IF(bbgm_stat &gt;= perc_95, converted_stat * 3, IF(bbgm_stat &gt;= perc_90, converted_stat * 2, IF(bbgm_stat &gt;= perc_85, converted_stat * 1.5, converted_stat)))))</f>
        <v/>
      </c>
      <c r="I925" s="30" t="str">
        <f t="array" ref="I925">IF($A925="", "", LET(bbgm_stat, INDEX(Players!$A924:$P924, MATCH(I$2, Players!$A$1:$P$1, 0)), perc_75, VLOOKUP(I$2, Percentiles!$A$45:$I$59, 6, FALSE), perc_90, VLOOKUP(I$2, Percentiles!$A$45:$I$59, 7, FALSE), perc_95, VLOOKUP(I$2, Percentiles!$A$45:$I$59, 8, FALSE), perc_85, perc_75 + (perc_90 - perc_75) * (2/3), converted_stat, '2K_Ratings'!I925, IF(bbgm_stat &gt;= perc_95, converted_stat * 3, IF(bbgm_stat &gt;= perc_90, converted_stat * 2, IF(bbgm_stat &gt;= perc_85, converted_stat * 1.5, converted_stat)))))</f>
        <v/>
      </c>
      <c r="J925" s="30" t="str">
        <f t="array" ref="J925">IF($A925="", "", LET(bbgm_stat, INDEX(Players!$A924:$P924, MATCH(J$2, Players!$A$1:$P$1, 0)), perc_75, VLOOKUP(J$2, Percentiles!$A$45:$I$59, 6, FALSE), perc_90, VLOOKUP(J$2, Percentiles!$A$45:$I$59, 7, FALSE), perc_95, VLOOKUP(J$2, Percentiles!$A$45:$I$59, 8, FALSE), perc_85, perc_75 + (perc_90 - perc_75) * (2/3), converted_stat, '2K_Ratings'!J925, IF(bbgm_stat &gt;= perc_95, converted_stat * 3, IF(bbgm_stat &gt;= perc_90, converted_stat * 2, IF(bbgm_stat &gt;= perc_85, converted_stat * 1.5, converted_stat)))))</f>
        <v/>
      </c>
      <c r="K925" s="30" t="str">
        <f t="array" ref="K925">IF($A925="", "", LET(bbgm_stat, INDEX(Players!$A924:$P924, MATCH(K$2, Players!$A$1:$P$1, 0)), perc_75, VLOOKUP(K$2, Percentiles!$A$45:$I$59, 6, FALSE), perc_90, VLOOKUP(K$2, Percentiles!$A$45:$I$59, 7, FALSE), perc_95, VLOOKUP(K$2, Percentiles!$A$45:$I$59, 8, FALSE), perc_85, perc_75 + (perc_90 - perc_75) * (2/3), converted_stat, '2K_Ratings'!K925, IF(bbgm_stat &gt;= perc_95, converted_stat * 3, IF(bbgm_stat &gt;= perc_90, converted_stat * 2, IF(bbgm_stat &gt;= perc_85, converted_stat * 1.5, converted_stat)))))</f>
        <v/>
      </c>
      <c r="L925" s="30" t="str">
        <f t="array" ref="L925">IF($A925="", "", LET(bbgm_stat, INDEX(Players!$A924:$P924, MATCH(L$2, Players!$A$1:$P$1, 0)), perc_75, VLOOKUP(L$2, Percentiles!$A$45:$I$59, 6, FALSE), perc_90, VLOOKUP(L$2, Percentiles!$A$45:$I$59, 7, FALSE), perc_95, VLOOKUP(L$2, Percentiles!$A$45:$I$59, 8, FALSE), perc_85, perc_75 + (perc_90 - perc_75) * (2/3), converted_stat, '2K_Ratings'!L925, IF(bbgm_stat &gt;= perc_95, converted_stat * 3, IF(bbgm_stat &gt;= perc_90, converted_stat * 2, IF(bbgm_stat &gt;= perc_85, converted_stat * 1.5, converted_stat)))))</f>
        <v/>
      </c>
      <c r="M925" s="30" t="str">
        <f t="array" ref="M925">IF($A925="", "", LET(bbgm_stat, INDEX(Players!$A924:$P924, MATCH(M$2, Players!$A$1:$P$1, 0)), perc_75, VLOOKUP(M$2, Percentiles!$A$45:$I$59, 6, FALSE), perc_90, VLOOKUP(M$2, Percentiles!$A$45:$I$59, 7, FALSE), perc_95, VLOOKUP(M$2, Percentiles!$A$45:$I$59, 8, FALSE), perc_85, perc_75 + (perc_90 - perc_75) * (2/3), converted_stat, '2K_Ratings'!M925, IF(bbgm_stat &gt;= perc_95, converted_stat * 3, IF(bbgm_stat &gt;= perc_90, converted_stat * 2, IF(bbgm_stat &gt;= perc_85, converted_stat * 1.5, converted_stat)))))</f>
        <v/>
      </c>
      <c r="N925" s="30" t="str">
        <f t="array" ref="N925">IF($A925="", "", LET(bbgm_stat, INDEX(Players!$A924:$P924, MATCH(N$2, Players!$A$1:$P$1, 0)), perc_75, VLOOKUP(N$2, Percentiles!$A$45:$I$59, 6, FALSE), perc_90, VLOOKUP(N$2, Percentiles!$A$45:$I$59, 7, FALSE), perc_95, VLOOKUP(N$2, Percentiles!$A$45:$I$59, 8, FALSE), perc_85, perc_75 + (perc_90 - perc_75) * (2/3), converted_stat, '2K_Ratings'!N925, IF(bbgm_stat &gt;= perc_95, converted_stat * 3, IF(bbgm_stat &gt;= perc_90, converted_stat * 2, IF(bbgm_stat &gt;= perc_85, converted_stat * 1.5, converted_stat)))))</f>
        <v/>
      </c>
      <c r="O925" s="30" t="str">
        <f t="array" ref="O925">IF($A925="", "", LET(bbgm_stat, INDEX(Players!$A924:$P924, MATCH(O$2, Players!$A$1:$P$1, 0)), perc_75, VLOOKUP(O$2, Percentiles!$A$45:$I$59, 6, FALSE), perc_90, VLOOKUP(O$2, Percentiles!$A$45:$I$59, 7, FALSE), perc_95, VLOOKUP(O$2, Percentiles!$A$45:$I$59, 8, FALSE), perc_85, perc_75 + (perc_90 - perc_75) * (2/3), converted_stat, '2K_Ratings'!O925, IF(bbgm_stat &gt;= perc_95, converted_stat * 3, IF(bbgm_stat &gt;= perc_90, converted_stat * 2, IF(bbgm_stat &gt;= perc_85, converted_stat * 1.5, converted_stat)))))</f>
        <v/>
      </c>
      <c r="P925" s="30" t="str">
        <f t="array" ref="P925">IF($A925="", "", LET(bbgm_stat, INDEX(Players!$A924:$P924, MATCH(P$2, Players!$A$1:$P$1, 0)), perc_75, VLOOKUP(P$2, Percentiles!$A$45:$I$59, 6, FALSE), perc_90, VLOOKUP(P$2, Percentiles!$A$45:$I$59, 7, FALSE), perc_95, VLOOKUP(P$2, Percentiles!$A$45:$I$59, 8, FALSE), perc_85, perc_75 + (perc_90 - perc_75) * (2/3), converted_stat, '2K_Ratings'!P925, IF(bbgm_stat &gt;= perc_95, converted_stat * 3, IF(bbgm_stat &gt;= perc_90, converted_stat * 2, IF(bbgm_stat &gt;= perc_85, converted_stat * 1.5, converted_stat)))))</f>
        <v/>
      </c>
      <c r="Q925" s="30" t="str">
        <f t="array" ref="Q925">IF($A925="", "", LET(bbgm_stat, INDEX(Players!$A924:$P924, MATCH(Q$2, Players!$A$1:$P$1, 0)), perc_75, VLOOKUP(Q$2, Percentiles!$A$45:$I$59, 6, FALSE), perc_90, VLOOKUP(Q$2, Percentiles!$A$45:$I$59, 7, FALSE), perc_95, VLOOKUP(Q$2, Percentiles!$A$45:$I$59, 8, FALSE), perc_85, perc_75 + (perc_90 - perc_75) * (2/3), converted_stat, '2K_Ratings'!Q925, IF(bbgm_stat &gt;= perc_95, converted_stat * 3, IF(bbgm_stat &gt;= perc_90, converted_stat * 2, IF(bbgm_stat &gt;= perc_85, converted_stat * 1.5, converted_stat)))))</f>
        <v/>
      </c>
      <c r="R925" s="30" t="str">
        <f t="array" ref="R925">IF($A925="", "", LET(bbgm_stat, INDEX(Players!$A924:$P924, MATCH(R$2, Players!$A$1:$P$1, 0)), perc_75, VLOOKUP(R$2, Percentiles!$A$45:$I$59, 6, FALSE), perc_90, VLOOKUP(R$2, Percentiles!$A$45:$I$59, 7, FALSE), perc_95, VLOOKUP(R$2, Percentiles!$A$45:$I$59, 8, FALSE), perc_85, perc_75 + (perc_90 - perc_75) * (2/3), converted_stat, '2K_Ratings'!R925, IF(bbgm_stat &gt;= perc_95, converted_stat * 3, IF(bbgm_stat &gt;= perc_90, converted_stat * 2, IF(bbgm_stat &gt;= perc_85, converted_stat * 1.5, converted_stat)))))</f>
        <v/>
      </c>
      <c r="S925" s="30" t="str">
        <f t="array" ref="S925">IF($A925="", "", LET(bbgm_stat, INDEX(Players!$A924:$P924, MATCH(S$2, Players!$A$1:$P$1, 0)), perc_75, VLOOKUP(S$2, Percentiles!$A$45:$I$59, 6, FALSE), perc_90, VLOOKUP(S$2, Percentiles!$A$45:$I$59, 7, FALSE), perc_95, VLOOKUP(S$2, Percentiles!$A$45:$I$59, 8, FALSE), perc_85, perc_75 + (perc_90 - perc_75) * (2/3), converted_stat, '2K_Ratings'!S925, IF(bbgm_stat &gt;= perc_95, converted_stat * 3, IF(bbgm_stat &gt;= perc_90, converted_stat * 2, IF(bbgm_stat &gt;= perc_85, converted_stat * 1.5, converted_stat)))))</f>
        <v/>
      </c>
      <c r="T925" s="30" t="str">
        <f t="array" ref="T925">IF($A925="", "", LET(bbgm_stat, INDEX(Players!$A924:$P924, MATCH(T$2, Players!$A$1:$P$1, 0)), perc_75, VLOOKUP(T$2, Percentiles!$A$45:$I$59, 6, FALSE), perc_90, VLOOKUP(T$2, Percentiles!$A$45:$I$59, 7, FALSE), perc_95, VLOOKUP(T$2, Percentiles!$A$45:$I$59, 8, FALSE), perc_85, perc_75 + (perc_90 - perc_75) * (2/3), converted_stat, '2K_Ratings'!T925, IF(bbgm_stat &gt;= perc_95, converted_stat * 3, IF(bbgm_stat &gt;= perc_90, converted_stat * 2, IF(bbgm_stat &gt;= perc_85, converted_stat * 1.5, converted_stat)))))</f>
        <v/>
      </c>
      <c r="U925" s="30" t="str">
        <f t="array" ref="U925">IF($A925="", "", LET(bbgm_stat, INDEX(Players!$A924:$P924, MATCH(U$2, Players!$A$1:$P$1, 0)), perc_75, VLOOKUP(U$2, Percentiles!$A$45:$I$59, 6, FALSE), perc_90, VLOOKUP(U$2, Percentiles!$A$45:$I$59, 7, FALSE), perc_95, VLOOKUP(U$2, Percentiles!$A$45:$I$59, 8, FALSE), perc_85, perc_75 + (perc_90 - perc_75) * (2/3), converted_stat, '2K_Ratings'!U925, IF(bbgm_stat &gt;= perc_95, converted_stat * 3, IF(bbgm_stat &gt;= perc_90, converted_stat * 2, IF(bbgm_stat &gt;= perc_85, converted_stat * 1.5, converted_stat)))))</f>
        <v/>
      </c>
      <c r="V925" s="30" t="str">
        <f t="array" ref="V925">IF($A925="", "", LET(bbgm_stat, INDEX(Players!$A924:$P924, MATCH(V$2, Players!$A$1:$P$1, 0)), perc_75, VLOOKUP(V$2, Percentiles!$A$45:$I$59, 6, FALSE), perc_90, VLOOKUP(V$2, Percentiles!$A$45:$I$59, 7, FALSE), perc_95, VLOOKUP(V$2, Percentiles!$A$45:$I$59, 8, FALSE), perc_85, perc_75 + (perc_90 - perc_75) * (2/3), converted_stat, '2K_Ratings'!V925, IF(bbgm_stat &gt;= perc_95, converted_stat * 3, IF(bbgm_stat &gt;= perc_90, converted_stat * 2, IF(bbgm_stat &gt;= perc_85, converted_stat * 1.5, converted_stat)))))</f>
        <v/>
      </c>
      <c r="W925" s="30" t="str">
        <f t="array" ref="W925">IF($A925="", "", LET(bbgm_stat, INDEX(Players!$A924:$P924, MATCH(W$2, Players!$A$1:$P$1, 0)), perc_75, VLOOKUP(W$2, Percentiles!$A$45:$I$59, 6, FALSE), perc_90, VLOOKUP(W$2, Percentiles!$A$45:$I$59, 7, FALSE), perc_95, VLOOKUP(W$2, Percentiles!$A$45:$I$59, 8, FALSE), perc_85, perc_75 + (perc_90 - perc_75) * (2/3), converted_stat, '2K_Ratings'!W925, IF(bbgm_stat &gt;= perc_95, converted_stat * 3, IF(bbgm_stat &gt;= perc_90, converted_stat * 2, IF(bbgm_stat &gt;= perc_85, converted_stat * 1.5, converted_stat)))))</f>
        <v/>
      </c>
    </row>
    <row r="926">
      <c r="A926" s="30"/>
      <c r="B926" s="30" t="str">
        <f t="array" ref="B926">IF($A926="", "", LET(bbgm_stat, INDEX(Players!$A925:$P925, MATCH(B$2, Players!$A$1:$P$1, 0)), perc_75, VLOOKUP(B$2, Percentiles!$A$45:$I$59, 6, FALSE), perc_90, VLOOKUP(B$2, Percentiles!$A$45:$I$59, 7, FALSE), perc_95, VLOOKUP(B$2, Percentiles!$A$45:$I$59, 8, FALSE), perc_85, perc_75 + (perc_90 - perc_75) * (2/3), converted_stat, '2K_Ratings'!B926, IF(bbgm_stat &gt;= perc_95, converted_stat * 3, IF(bbgm_stat &gt;= perc_90, converted_stat * 2, IF(bbgm_stat &gt;= perc_85, converted_stat * 1.5, converted_stat)))))</f>
        <v/>
      </c>
      <c r="C926" s="30" t="str">
        <f t="array" ref="C926">IF($A926="", "", LET(bbgm_stat, INDEX(Players!$A925:$P925, MATCH(C$2, Players!$A$1:$P$1, 0)), perc_75, VLOOKUP(C$2, Percentiles!$A$45:$I$59, 6, FALSE), perc_90, VLOOKUP(C$2, Percentiles!$A$45:$I$59, 7, FALSE), perc_95, VLOOKUP(C$2, Percentiles!$A$45:$I$59, 8, FALSE), perc_85, perc_75 + (perc_90 - perc_75) * (2/3), converted_stat, '2K_Ratings'!C926, IF(bbgm_stat &gt;= perc_95, converted_stat * 3, IF(bbgm_stat &gt;= perc_90, converted_stat * 2, IF(bbgm_stat &gt;= perc_85, converted_stat * 1.5, converted_stat)))))</f>
        <v/>
      </c>
      <c r="D926" s="30" t="str">
        <f t="array" ref="D926">IF($A926="", "", LET(bbgm_stat, INDEX(Players!$A925:$P925, MATCH(D$2, Players!$A$1:$P$1, 0)), perc_75, VLOOKUP(D$2, Percentiles!$A$45:$I$59, 6, FALSE), perc_90, VLOOKUP(D$2, Percentiles!$A$45:$I$59, 7, FALSE), perc_95, VLOOKUP(D$2, Percentiles!$A$45:$I$59, 8, FALSE), perc_85, perc_75 + (perc_90 - perc_75) * (2/3), converted_stat, '2K_Ratings'!D926, IF(bbgm_stat &gt;= perc_95, converted_stat * 3, IF(bbgm_stat &gt;= perc_90, converted_stat * 2, IF(bbgm_stat &gt;= perc_85, converted_stat * 1.5, converted_stat)))))</f>
        <v/>
      </c>
      <c r="E926" s="30" t="str">
        <f t="array" ref="E926">IF($A926="", "", LET(bbgm_stat, INDEX(Players!$A925:$P925, MATCH(E$2, Players!$A$1:$P$1, 0)), perc_75, VLOOKUP(E$2, Percentiles!$A$45:$I$59, 6, FALSE), perc_90, VLOOKUP(E$2, Percentiles!$A$45:$I$59, 7, FALSE), perc_95, VLOOKUP(E$2, Percentiles!$A$45:$I$59, 8, FALSE), perc_85, perc_75 + (perc_90 - perc_75) * (2/3), converted_stat, '2K_Ratings'!E926, IF(bbgm_stat &gt;= perc_95, converted_stat * 3, IF(bbgm_stat &gt;= perc_90, converted_stat * 2, IF(bbgm_stat &gt;= perc_85, converted_stat * 1.5, converted_stat)))))</f>
        <v/>
      </c>
      <c r="F926" s="30" t="str">
        <f t="array" ref="F926">IF($A926="", "", LET(bbgm_stat, INDEX(Players!$A925:$P925, MATCH(F$2, Players!$A$1:$P$1, 0)), perc_75, VLOOKUP(F$2, Percentiles!$A$45:$I$59, 6, FALSE), perc_90, VLOOKUP(F$2, Percentiles!$A$45:$I$59, 7, FALSE), perc_95, VLOOKUP(F$2, Percentiles!$A$45:$I$59, 8, FALSE), perc_85, perc_75 + (perc_90 - perc_75) * (2/3), converted_stat, '2K_Ratings'!F926, IF(bbgm_stat &gt;= perc_95, converted_stat * 3, IF(bbgm_stat &gt;= perc_90, converted_stat * 2, IF(bbgm_stat &gt;= perc_85, converted_stat * 1.5, converted_stat)))))</f>
        <v/>
      </c>
      <c r="G926" s="30" t="str">
        <f t="array" ref="G926">IF($A926="", "", LET(bbgm_stat, INDEX(Players!$A925:$P925, MATCH(G$2, Players!$A$1:$P$1, 0)), perc_75, VLOOKUP(G$2, Percentiles!$A$45:$I$59, 6, FALSE), perc_90, VLOOKUP(G$2, Percentiles!$A$45:$I$59, 7, FALSE), perc_95, VLOOKUP(G$2, Percentiles!$A$45:$I$59, 8, FALSE), perc_85, perc_75 + (perc_90 - perc_75) * (2/3), converted_stat, '2K_Ratings'!G926, IF(bbgm_stat &gt;= perc_95, converted_stat * 3, IF(bbgm_stat &gt;= perc_90, converted_stat * 2, IF(bbgm_stat &gt;= perc_85, converted_stat * 1.5, converted_stat)))))</f>
        <v/>
      </c>
      <c r="H926" s="30" t="str">
        <f t="array" ref="H926">IF($A926="", "", LET(bbgm_stat, INDEX(Players!$A925:$P925, MATCH(H$2, Players!$A$1:$P$1, 0)), perc_75, VLOOKUP(H$2, Percentiles!$A$45:$I$59, 6, FALSE), perc_90, VLOOKUP(H$2, Percentiles!$A$45:$I$59, 7, FALSE), perc_95, VLOOKUP(H$2, Percentiles!$A$45:$I$59, 8, FALSE), perc_85, perc_75 + (perc_90 - perc_75) * (2/3), converted_stat, '2K_Ratings'!H926, IF(bbgm_stat &gt;= perc_95, converted_stat * 3, IF(bbgm_stat &gt;= perc_90, converted_stat * 2, IF(bbgm_stat &gt;= perc_85, converted_stat * 1.5, converted_stat)))))</f>
        <v/>
      </c>
      <c r="I926" s="30" t="str">
        <f t="array" ref="I926">IF($A926="", "", LET(bbgm_stat, INDEX(Players!$A925:$P925, MATCH(I$2, Players!$A$1:$P$1, 0)), perc_75, VLOOKUP(I$2, Percentiles!$A$45:$I$59, 6, FALSE), perc_90, VLOOKUP(I$2, Percentiles!$A$45:$I$59, 7, FALSE), perc_95, VLOOKUP(I$2, Percentiles!$A$45:$I$59, 8, FALSE), perc_85, perc_75 + (perc_90 - perc_75) * (2/3), converted_stat, '2K_Ratings'!I926, IF(bbgm_stat &gt;= perc_95, converted_stat * 3, IF(bbgm_stat &gt;= perc_90, converted_stat * 2, IF(bbgm_stat &gt;= perc_85, converted_stat * 1.5, converted_stat)))))</f>
        <v/>
      </c>
      <c r="J926" s="30" t="str">
        <f t="array" ref="J926">IF($A926="", "", LET(bbgm_stat, INDEX(Players!$A925:$P925, MATCH(J$2, Players!$A$1:$P$1, 0)), perc_75, VLOOKUP(J$2, Percentiles!$A$45:$I$59, 6, FALSE), perc_90, VLOOKUP(J$2, Percentiles!$A$45:$I$59, 7, FALSE), perc_95, VLOOKUP(J$2, Percentiles!$A$45:$I$59, 8, FALSE), perc_85, perc_75 + (perc_90 - perc_75) * (2/3), converted_stat, '2K_Ratings'!J926, IF(bbgm_stat &gt;= perc_95, converted_stat * 3, IF(bbgm_stat &gt;= perc_90, converted_stat * 2, IF(bbgm_stat &gt;= perc_85, converted_stat * 1.5, converted_stat)))))</f>
        <v/>
      </c>
      <c r="K926" s="30" t="str">
        <f t="array" ref="K926">IF($A926="", "", LET(bbgm_stat, INDEX(Players!$A925:$P925, MATCH(K$2, Players!$A$1:$P$1, 0)), perc_75, VLOOKUP(K$2, Percentiles!$A$45:$I$59, 6, FALSE), perc_90, VLOOKUP(K$2, Percentiles!$A$45:$I$59, 7, FALSE), perc_95, VLOOKUP(K$2, Percentiles!$A$45:$I$59, 8, FALSE), perc_85, perc_75 + (perc_90 - perc_75) * (2/3), converted_stat, '2K_Ratings'!K926, IF(bbgm_stat &gt;= perc_95, converted_stat * 3, IF(bbgm_stat &gt;= perc_90, converted_stat * 2, IF(bbgm_stat &gt;= perc_85, converted_stat * 1.5, converted_stat)))))</f>
        <v/>
      </c>
      <c r="L926" s="30" t="str">
        <f t="array" ref="L926">IF($A926="", "", LET(bbgm_stat, INDEX(Players!$A925:$P925, MATCH(L$2, Players!$A$1:$P$1, 0)), perc_75, VLOOKUP(L$2, Percentiles!$A$45:$I$59, 6, FALSE), perc_90, VLOOKUP(L$2, Percentiles!$A$45:$I$59, 7, FALSE), perc_95, VLOOKUP(L$2, Percentiles!$A$45:$I$59, 8, FALSE), perc_85, perc_75 + (perc_90 - perc_75) * (2/3), converted_stat, '2K_Ratings'!L926, IF(bbgm_stat &gt;= perc_95, converted_stat * 3, IF(bbgm_stat &gt;= perc_90, converted_stat * 2, IF(bbgm_stat &gt;= perc_85, converted_stat * 1.5, converted_stat)))))</f>
        <v/>
      </c>
      <c r="M926" s="30" t="str">
        <f t="array" ref="M926">IF($A926="", "", LET(bbgm_stat, INDEX(Players!$A925:$P925, MATCH(M$2, Players!$A$1:$P$1, 0)), perc_75, VLOOKUP(M$2, Percentiles!$A$45:$I$59, 6, FALSE), perc_90, VLOOKUP(M$2, Percentiles!$A$45:$I$59, 7, FALSE), perc_95, VLOOKUP(M$2, Percentiles!$A$45:$I$59, 8, FALSE), perc_85, perc_75 + (perc_90 - perc_75) * (2/3), converted_stat, '2K_Ratings'!M926, IF(bbgm_stat &gt;= perc_95, converted_stat * 3, IF(bbgm_stat &gt;= perc_90, converted_stat * 2, IF(bbgm_stat &gt;= perc_85, converted_stat * 1.5, converted_stat)))))</f>
        <v/>
      </c>
      <c r="N926" s="30" t="str">
        <f t="array" ref="N926">IF($A926="", "", LET(bbgm_stat, INDEX(Players!$A925:$P925, MATCH(N$2, Players!$A$1:$P$1, 0)), perc_75, VLOOKUP(N$2, Percentiles!$A$45:$I$59, 6, FALSE), perc_90, VLOOKUP(N$2, Percentiles!$A$45:$I$59, 7, FALSE), perc_95, VLOOKUP(N$2, Percentiles!$A$45:$I$59, 8, FALSE), perc_85, perc_75 + (perc_90 - perc_75) * (2/3), converted_stat, '2K_Ratings'!N926, IF(bbgm_stat &gt;= perc_95, converted_stat * 3, IF(bbgm_stat &gt;= perc_90, converted_stat * 2, IF(bbgm_stat &gt;= perc_85, converted_stat * 1.5, converted_stat)))))</f>
        <v/>
      </c>
      <c r="O926" s="30" t="str">
        <f t="array" ref="O926">IF($A926="", "", LET(bbgm_stat, INDEX(Players!$A925:$P925, MATCH(O$2, Players!$A$1:$P$1, 0)), perc_75, VLOOKUP(O$2, Percentiles!$A$45:$I$59, 6, FALSE), perc_90, VLOOKUP(O$2, Percentiles!$A$45:$I$59, 7, FALSE), perc_95, VLOOKUP(O$2, Percentiles!$A$45:$I$59, 8, FALSE), perc_85, perc_75 + (perc_90 - perc_75) * (2/3), converted_stat, '2K_Ratings'!O926, IF(bbgm_stat &gt;= perc_95, converted_stat * 3, IF(bbgm_stat &gt;= perc_90, converted_stat * 2, IF(bbgm_stat &gt;= perc_85, converted_stat * 1.5, converted_stat)))))</f>
        <v/>
      </c>
      <c r="P926" s="30" t="str">
        <f t="array" ref="P926">IF($A926="", "", LET(bbgm_stat, INDEX(Players!$A925:$P925, MATCH(P$2, Players!$A$1:$P$1, 0)), perc_75, VLOOKUP(P$2, Percentiles!$A$45:$I$59, 6, FALSE), perc_90, VLOOKUP(P$2, Percentiles!$A$45:$I$59, 7, FALSE), perc_95, VLOOKUP(P$2, Percentiles!$A$45:$I$59, 8, FALSE), perc_85, perc_75 + (perc_90 - perc_75) * (2/3), converted_stat, '2K_Ratings'!P926, IF(bbgm_stat &gt;= perc_95, converted_stat * 3, IF(bbgm_stat &gt;= perc_90, converted_stat * 2, IF(bbgm_stat &gt;= perc_85, converted_stat * 1.5, converted_stat)))))</f>
        <v/>
      </c>
      <c r="Q926" s="30" t="str">
        <f t="array" ref="Q926">IF($A926="", "", LET(bbgm_stat, INDEX(Players!$A925:$P925, MATCH(Q$2, Players!$A$1:$P$1, 0)), perc_75, VLOOKUP(Q$2, Percentiles!$A$45:$I$59, 6, FALSE), perc_90, VLOOKUP(Q$2, Percentiles!$A$45:$I$59, 7, FALSE), perc_95, VLOOKUP(Q$2, Percentiles!$A$45:$I$59, 8, FALSE), perc_85, perc_75 + (perc_90 - perc_75) * (2/3), converted_stat, '2K_Ratings'!Q926, IF(bbgm_stat &gt;= perc_95, converted_stat * 3, IF(bbgm_stat &gt;= perc_90, converted_stat * 2, IF(bbgm_stat &gt;= perc_85, converted_stat * 1.5, converted_stat)))))</f>
        <v/>
      </c>
      <c r="R926" s="30" t="str">
        <f t="array" ref="R926">IF($A926="", "", LET(bbgm_stat, INDEX(Players!$A925:$P925, MATCH(R$2, Players!$A$1:$P$1, 0)), perc_75, VLOOKUP(R$2, Percentiles!$A$45:$I$59, 6, FALSE), perc_90, VLOOKUP(R$2, Percentiles!$A$45:$I$59, 7, FALSE), perc_95, VLOOKUP(R$2, Percentiles!$A$45:$I$59, 8, FALSE), perc_85, perc_75 + (perc_90 - perc_75) * (2/3), converted_stat, '2K_Ratings'!R926, IF(bbgm_stat &gt;= perc_95, converted_stat * 3, IF(bbgm_stat &gt;= perc_90, converted_stat * 2, IF(bbgm_stat &gt;= perc_85, converted_stat * 1.5, converted_stat)))))</f>
        <v/>
      </c>
      <c r="S926" s="30" t="str">
        <f t="array" ref="S926">IF($A926="", "", LET(bbgm_stat, INDEX(Players!$A925:$P925, MATCH(S$2, Players!$A$1:$P$1, 0)), perc_75, VLOOKUP(S$2, Percentiles!$A$45:$I$59, 6, FALSE), perc_90, VLOOKUP(S$2, Percentiles!$A$45:$I$59, 7, FALSE), perc_95, VLOOKUP(S$2, Percentiles!$A$45:$I$59, 8, FALSE), perc_85, perc_75 + (perc_90 - perc_75) * (2/3), converted_stat, '2K_Ratings'!S926, IF(bbgm_stat &gt;= perc_95, converted_stat * 3, IF(bbgm_stat &gt;= perc_90, converted_stat * 2, IF(bbgm_stat &gt;= perc_85, converted_stat * 1.5, converted_stat)))))</f>
        <v/>
      </c>
      <c r="T926" s="30" t="str">
        <f t="array" ref="T926">IF($A926="", "", LET(bbgm_stat, INDEX(Players!$A925:$P925, MATCH(T$2, Players!$A$1:$P$1, 0)), perc_75, VLOOKUP(T$2, Percentiles!$A$45:$I$59, 6, FALSE), perc_90, VLOOKUP(T$2, Percentiles!$A$45:$I$59, 7, FALSE), perc_95, VLOOKUP(T$2, Percentiles!$A$45:$I$59, 8, FALSE), perc_85, perc_75 + (perc_90 - perc_75) * (2/3), converted_stat, '2K_Ratings'!T926, IF(bbgm_stat &gt;= perc_95, converted_stat * 3, IF(bbgm_stat &gt;= perc_90, converted_stat * 2, IF(bbgm_stat &gt;= perc_85, converted_stat * 1.5, converted_stat)))))</f>
        <v/>
      </c>
      <c r="U926" s="30" t="str">
        <f t="array" ref="U926">IF($A926="", "", LET(bbgm_stat, INDEX(Players!$A925:$P925, MATCH(U$2, Players!$A$1:$P$1, 0)), perc_75, VLOOKUP(U$2, Percentiles!$A$45:$I$59, 6, FALSE), perc_90, VLOOKUP(U$2, Percentiles!$A$45:$I$59, 7, FALSE), perc_95, VLOOKUP(U$2, Percentiles!$A$45:$I$59, 8, FALSE), perc_85, perc_75 + (perc_90 - perc_75) * (2/3), converted_stat, '2K_Ratings'!U926, IF(bbgm_stat &gt;= perc_95, converted_stat * 3, IF(bbgm_stat &gt;= perc_90, converted_stat * 2, IF(bbgm_stat &gt;= perc_85, converted_stat * 1.5, converted_stat)))))</f>
        <v/>
      </c>
      <c r="V926" s="30" t="str">
        <f t="array" ref="V926">IF($A926="", "", LET(bbgm_stat, INDEX(Players!$A925:$P925, MATCH(V$2, Players!$A$1:$P$1, 0)), perc_75, VLOOKUP(V$2, Percentiles!$A$45:$I$59, 6, FALSE), perc_90, VLOOKUP(V$2, Percentiles!$A$45:$I$59, 7, FALSE), perc_95, VLOOKUP(V$2, Percentiles!$A$45:$I$59, 8, FALSE), perc_85, perc_75 + (perc_90 - perc_75) * (2/3), converted_stat, '2K_Ratings'!V926, IF(bbgm_stat &gt;= perc_95, converted_stat * 3, IF(bbgm_stat &gt;= perc_90, converted_stat * 2, IF(bbgm_stat &gt;= perc_85, converted_stat * 1.5, converted_stat)))))</f>
        <v/>
      </c>
      <c r="W926" s="30" t="str">
        <f t="array" ref="W926">IF($A926="", "", LET(bbgm_stat, INDEX(Players!$A925:$P925, MATCH(W$2, Players!$A$1:$P$1, 0)), perc_75, VLOOKUP(W$2, Percentiles!$A$45:$I$59, 6, FALSE), perc_90, VLOOKUP(W$2, Percentiles!$A$45:$I$59, 7, FALSE), perc_95, VLOOKUP(W$2, Percentiles!$A$45:$I$59, 8, FALSE), perc_85, perc_75 + (perc_90 - perc_75) * (2/3), converted_stat, '2K_Ratings'!W926, IF(bbgm_stat &gt;= perc_95, converted_stat * 3, IF(bbgm_stat &gt;= perc_90, converted_stat * 2, IF(bbgm_stat &gt;= perc_85, converted_stat * 1.5, converted_stat)))))</f>
        <v/>
      </c>
    </row>
    <row r="927">
      <c r="A927" s="30"/>
      <c r="B927" s="30" t="str">
        <f t="array" ref="B927">IF($A927="", "", LET(bbgm_stat, INDEX(Players!$A926:$P926, MATCH(B$2, Players!$A$1:$P$1, 0)), perc_75, VLOOKUP(B$2, Percentiles!$A$45:$I$59, 6, FALSE), perc_90, VLOOKUP(B$2, Percentiles!$A$45:$I$59, 7, FALSE), perc_95, VLOOKUP(B$2, Percentiles!$A$45:$I$59, 8, FALSE), perc_85, perc_75 + (perc_90 - perc_75) * (2/3), converted_stat, '2K_Ratings'!B927, IF(bbgm_stat &gt;= perc_95, converted_stat * 3, IF(bbgm_stat &gt;= perc_90, converted_stat * 2, IF(bbgm_stat &gt;= perc_85, converted_stat * 1.5, converted_stat)))))</f>
        <v/>
      </c>
      <c r="C927" s="30" t="str">
        <f t="array" ref="C927">IF($A927="", "", LET(bbgm_stat, INDEX(Players!$A926:$P926, MATCH(C$2, Players!$A$1:$P$1, 0)), perc_75, VLOOKUP(C$2, Percentiles!$A$45:$I$59, 6, FALSE), perc_90, VLOOKUP(C$2, Percentiles!$A$45:$I$59, 7, FALSE), perc_95, VLOOKUP(C$2, Percentiles!$A$45:$I$59, 8, FALSE), perc_85, perc_75 + (perc_90 - perc_75) * (2/3), converted_stat, '2K_Ratings'!C927, IF(bbgm_stat &gt;= perc_95, converted_stat * 3, IF(bbgm_stat &gt;= perc_90, converted_stat * 2, IF(bbgm_stat &gt;= perc_85, converted_stat * 1.5, converted_stat)))))</f>
        <v/>
      </c>
      <c r="D927" s="30" t="str">
        <f t="array" ref="D927">IF($A927="", "", LET(bbgm_stat, INDEX(Players!$A926:$P926, MATCH(D$2, Players!$A$1:$P$1, 0)), perc_75, VLOOKUP(D$2, Percentiles!$A$45:$I$59, 6, FALSE), perc_90, VLOOKUP(D$2, Percentiles!$A$45:$I$59, 7, FALSE), perc_95, VLOOKUP(D$2, Percentiles!$A$45:$I$59, 8, FALSE), perc_85, perc_75 + (perc_90 - perc_75) * (2/3), converted_stat, '2K_Ratings'!D927, IF(bbgm_stat &gt;= perc_95, converted_stat * 3, IF(bbgm_stat &gt;= perc_90, converted_stat * 2, IF(bbgm_stat &gt;= perc_85, converted_stat * 1.5, converted_stat)))))</f>
        <v/>
      </c>
      <c r="E927" s="30" t="str">
        <f t="array" ref="E927">IF($A927="", "", LET(bbgm_stat, INDEX(Players!$A926:$P926, MATCH(E$2, Players!$A$1:$P$1, 0)), perc_75, VLOOKUP(E$2, Percentiles!$A$45:$I$59, 6, FALSE), perc_90, VLOOKUP(E$2, Percentiles!$A$45:$I$59, 7, FALSE), perc_95, VLOOKUP(E$2, Percentiles!$A$45:$I$59, 8, FALSE), perc_85, perc_75 + (perc_90 - perc_75) * (2/3), converted_stat, '2K_Ratings'!E927, IF(bbgm_stat &gt;= perc_95, converted_stat * 3, IF(bbgm_stat &gt;= perc_90, converted_stat * 2, IF(bbgm_stat &gt;= perc_85, converted_stat * 1.5, converted_stat)))))</f>
        <v/>
      </c>
      <c r="F927" s="30" t="str">
        <f t="array" ref="F927">IF($A927="", "", LET(bbgm_stat, INDEX(Players!$A926:$P926, MATCH(F$2, Players!$A$1:$P$1, 0)), perc_75, VLOOKUP(F$2, Percentiles!$A$45:$I$59, 6, FALSE), perc_90, VLOOKUP(F$2, Percentiles!$A$45:$I$59, 7, FALSE), perc_95, VLOOKUP(F$2, Percentiles!$A$45:$I$59, 8, FALSE), perc_85, perc_75 + (perc_90 - perc_75) * (2/3), converted_stat, '2K_Ratings'!F927, IF(bbgm_stat &gt;= perc_95, converted_stat * 3, IF(bbgm_stat &gt;= perc_90, converted_stat * 2, IF(bbgm_stat &gt;= perc_85, converted_stat * 1.5, converted_stat)))))</f>
        <v/>
      </c>
      <c r="G927" s="30" t="str">
        <f t="array" ref="G927">IF($A927="", "", LET(bbgm_stat, INDEX(Players!$A926:$P926, MATCH(G$2, Players!$A$1:$P$1, 0)), perc_75, VLOOKUP(G$2, Percentiles!$A$45:$I$59, 6, FALSE), perc_90, VLOOKUP(G$2, Percentiles!$A$45:$I$59, 7, FALSE), perc_95, VLOOKUP(G$2, Percentiles!$A$45:$I$59, 8, FALSE), perc_85, perc_75 + (perc_90 - perc_75) * (2/3), converted_stat, '2K_Ratings'!G927, IF(bbgm_stat &gt;= perc_95, converted_stat * 3, IF(bbgm_stat &gt;= perc_90, converted_stat * 2, IF(bbgm_stat &gt;= perc_85, converted_stat * 1.5, converted_stat)))))</f>
        <v/>
      </c>
      <c r="H927" s="30" t="str">
        <f t="array" ref="H927">IF($A927="", "", LET(bbgm_stat, INDEX(Players!$A926:$P926, MATCH(H$2, Players!$A$1:$P$1, 0)), perc_75, VLOOKUP(H$2, Percentiles!$A$45:$I$59, 6, FALSE), perc_90, VLOOKUP(H$2, Percentiles!$A$45:$I$59, 7, FALSE), perc_95, VLOOKUP(H$2, Percentiles!$A$45:$I$59, 8, FALSE), perc_85, perc_75 + (perc_90 - perc_75) * (2/3), converted_stat, '2K_Ratings'!H927, IF(bbgm_stat &gt;= perc_95, converted_stat * 3, IF(bbgm_stat &gt;= perc_90, converted_stat * 2, IF(bbgm_stat &gt;= perc_85, converted_stat * 1.5, converted_stat)))))</f>
        <v/>
      </c>
      <c r="I927" s="30" t="str">
        <f t="array" ref="I927">IF($A927="", "", LET(bbgm_stat, INDEX(Players!$A926:$P926, MATCH(I$2, Players!$A$1:$P$1, 0)), perc_75, VLOOKUP(I$2, Percentiles!$A$45:$I$59, 6, FALSE), perc_90, VLOOKUP(I$2, Percentiles!$A$45:$I$59, 7, FALSE), perc_95, VLOOKUP(I$2, Percentiles!$A$45:$I$59, 8, FALSE), perc_85, perc_75 + (perc_90 - perc_75) * (2/3), converted_stat, '2K_Ratings'!I927, IF(bbgm_stat &gt;= perc_95, converted_stat * 3, IF(bbgm_stat &gt;= perc_90, converted_stat * 2, IF(bbgm_stat &gt;= perc_85, converted_stat * 1.5, converted_stat)))))</f>
        <v/>
      </c>
      <c r="J927" s="30" t="str">
        <f t="array" ref="J927">IF($A927="", "", LET(bbgm_stat, INDEX(Players!$A926:$P926, MATCH(J$2, Players!$A$1:$P$1, 0)), perc_75, VLOOKUP(J$2, Percentiles!$A$45:$I$59, 6, FALSE), perc_90, VLOOKUP(J$2, Percentiles!$A$45:$I$59, 7, FALSE), perc_95, VLOOKUP(J$2, Percentiles!$A$45:$I$59, 8, FALSE), perc_85, perc_75 + (perc_90 - perc_75) * (2/3), converted_stat, '2K_Ratings'!J927, IF(bbgm_stat &gt;= perc_95, converted_stat * 3, IF(bbgm_stat &gt;= perc_90, converted_stat * 2, IF(bbgm_stat &gt;= perc_85, converted_stat * 1.5, converted_stat)))))</f>
        <v/>
      </c>
      <c r="K927" s="30" t="str">
        <f t="array" ref="K927">IF($A927="", "", LET(bbgm_stat, INDEX(Players!$A926:$P926, MATCH(K$2, Players!$A$1:$P$1, 0)), perc_75, VLOOKUP(K$2, Percentiles!$A$45:$I$59, 6, FALSE), perc_90, VLOOKUP(K$2, Percentiles!$A$45:$I$59, 7, FALSE), perc_95, VLOOKUP(K$2, Percentiles!$A$45:$I$59, 8, FALSE), perc_85, perc_75 + (perc_90 - perc_75) * (2/3), converted_stat, '2K_Ratings'!K927, IF(bbgm_stat &gt;= perc_95, converted_stat * 3, IF(bbgm_stat &gt;= perc_90, converted_stat * 2, IF(bbgm_stat &gt;= perc_85, converted_stat * 1.5, converted_stat)))))</f>
        <v/>
      </c>
      <c r="L927" s="30" t="str">
        <f t="array" ref="L927">IF($A927="", "", LET(bbgm_stat, INDEX(Players!$A926:$P926, MATCH(L$2, Players!$A$1:$P$1, 0)), perc_75, VLOOKUP(L$2, Percentiles!$A$45:$I$59, 6, FALSE), perc_90, VLOOKUP(L$2, Percentiles!$A$45:$I$59, 7, FALSE), perc_95, VLOOKUP(L$2, Percentiles!$A$45:$I$59, 8, FALSE), perc_85, perc_75 + (perc_90 - perc_75) * (2/3), converted_stat, '2K_Ratings'!L927, IF(bbgm_stat &gt;= perc_95, converted_stat * 3, IF(bbgm_stat &gt;= perc_90, converted_stat * 2, IF(bbgm_stat &gt;= perc_85, converted_stat * 1.5, converted_stat)))))</f>
        <v/>
      </c>
      <c r="M927" s="30" t="str">
        <f t="array" ref="M927">IF($A927="", "", LET(bbgm_stat, INDEX(Players!$A926:$P926, MATCH(M$2, Players!$A$1:$P$1, 0)), perc_75, VLOOKUP(M$2, Percentiles!$A$45:$I$59, 6, FALSE), perc_90, VLOOKUP(M$2, Percentiles!$A$45:$I$59, 7, FALSE), perc_95, VLOOKUP(M$2, Percentiles!$A$45:$I$59, 8, FALSE), perc_85, perc_75 + (perc_90 - perc_75) * (2/3), converted_stat, '2K_Ratings'!M927, IF(bbgm_stat &gt;= perc_95, converted_stat * 3, IF(bbgm_stat &gt;= perc_90, converted_stat * 2, IF(bbgm_stat &gt;= perc_85, converted_stat * 1.5, converted_stat)))))</f>
        <v/>
      </c>
      <c r="N927" s="30" t="str">
        <f t="array" ref="N927">IF($A927="", "", LET(bbgm_stat, INDEX(Players!$A926:$P926, MATCH(N$2, Players!$A$1:$P$1, 0)), perc_75, VLOOKUP(N$2, Percentiles!$A$45:$I$59, 6, FALSE), perc_90, VLOOKUP(N$2, Percentiles!$A$45:$I$59, 7, FALSE), perc_95, VLOOKUP(N$2, Percentiles!$A$45:$I$59, 8, FALSE), perc_85, perc_75 + (perc_90 - perc_75) * (2/3), converted_stat, '2K_Ratings'!N927, IF(bbgm_stat &gt;= perc_95, converted_stat * 3, IF(bbgm_stat &gt;= perc_90, converted_stat * 2, IF(bbgm_stat &gt;= perc_85, converted_stat * 1.5, converted_stat)))))</f>
        <v/>
      </c>
      <c r="O927" s="30" t="str">
        <f t="array" ref="O927">IF($A927="", "", LET(bbgm_stat, INDEX(Players!$A926:$P926, MATCH(O$2, Players!$A$1:$P$1, 0)), perc_75, VLOOKUP(O$2, Percentiles!$A$45:$I$59, 6, FALSE), perc_90, VLOOKUP(O$2, Percentiles!$A$45:$I$59, 7, FALSE), perc_95, VLOOKUP(O$2, Percentiles!$A$45:$I$59, 8, FALSE), perc_85, perc_75 + (perc_90 - perc_75) * (2/3), converted_stat, '2K_Ratings'!O927, IF(bbgm_stat &gt;= perc_95, converted_stat * 3, IF(bbgm_stat &gt;= perc_90, converted_stat * 2, IF(bbgm_stat &gt;= perc_85, converted_stat * 1.5, converted_stat)))))</f>
        <v/>
      </c>
      <c r="P927" s="30" t="str">
        <f t="array" ref="P927">IF($A927="", "", LET(bbgm_stat, INDEX(Players!$A926:$P926, MATCH(P$2, Players!$A$1:$P$1, 0)), perc_75, VLOOKUP(P$2, Percentiles!$A$45:$I$59, 6, FALSE), perc_90, VLOOKUP(P$2, Percentiles!$A$45:$I$59, 7, FALSE), perc_95, VLOOKUP(P$2, Percentiles!$A$45:$I$59, 8, FALSE), perc_85, perc_75 + (perc_90 - perc_75) * (2/3), converted_stat, '2K_Ratings'!P927, IF(bbgm_stat &gt;= perc_95, converted_stat * 3, IF(bbgm_stat &gt;= perc_90, converted_stat * 2, IF(bbgm_stat &gt;= perc_85, converted_stat * 1.5, converted_stat)))))</f>
        <v/>
      </c>
      <c r="Q927" s="30" t="str">
        <f t="array" ref="Q927">IF($A927="", "", LET(bbgm_stat, INDEX(Players!$A926:$P926, MATCH(Q$2, Players!$A$1:$P$1, 0)), perc_75, VLOOKUP(Q$2, Percentiles!$A$45:$I$59, 6, FALSE), perc_90, VLOOKUP(Q$2, Percentiles!$A$45:$I$59, 7, FALSE), perc_95, VLOOKUP(Q$2, Percentiles!$A$45:$I$59, 8, FALSE), perc_85, perc_75 + (perc_90 - perc_75) * (2/3), converted_stat, '2K_Ratings'!Q927, IF(bbgm_stat &gt;= perc_95, converted_stat * 3, IF(bbgm_stat &gt;= perc_90, converted_stat * 2, IF(bbgm_stat &gt;= perc_85, converted_stat * 1.5, converted_stat)))))</f>
        <v/>
      </c>
      <c r="R927" s="30" t="str">
        <f t="array" ref="R927">IF($A927="", "", LET(bbgm_stat, INDEX(Players!$A926:$P926, MATCH(R$2, Players!$A$1:$P$1, 0)), perc_75, VLOOKUP(R$2, Percentiles!$A$45:$I$59, 6, FALSE), perc_90, VLOOKUP(R$2, Percentiles!$A$45:$I$59, 7, FALSE), perc_95, VLOOKUP(R$2, Percentiles!$A$45:$I$59, 8, FALSE), perc_85, perc_75 + (perc_90 - perc_75) * (2/3), converted_stat, '2K_Ratings'!R927, IF(bbgm_stat &gt;= perc_95, converted_stat * 3, IF(bbgm_stat &gt;= perc_90, converted_stat * 2, IF(bbgm_stat &gt;= perc_85, converted_stat * 1.5, converted_stat)))))</f>
        <v/>
      </c>
      <c r="S927" s="30" t="str">
        <f t="array" ref="S927">IF($A927="", "", LET(bbgm_stat, INDEX(Players!$A926:$P926, MATCH(S$2, Players!$A$1:$P$1, 0)), perc_75, VLOOKUP(S$2, Percentiles!$A$45:$I$59, 6, FALSE), perc_90, VLOOKUP(S$2, Percentiles!$A$45:$I$59, 7, FALSE), perc_95, VLOOKUP(S$2, Percentiles!$A$45:$I$59, 8, FALSE), perc_85, perc_75 + (perc_90 - perc_75) * (2/3), converted_stat, '2K_Ratings'!S927, IF(bbgm_stat &gt;= perc_95, converted_stat * 3, IF(bbgm_stat &gt;= perc_90, converted_stat * 2, IF(bbgm_stat &gt;= perc_85, converted_stat * 1.5, converted_stat)))))</f>
        <v/>
      </c>
      <c r="T927" s="30" t="str">
        <f t="array" ref="T927">IF($A927="", "", LET(bbgm_stat, INDEX(Players!$A926:$P926, MATCH(T$2, Players!$A$1:$P$1, 0)), perc_75, VLOOKUP(T$2, Percentiles!$A$45:$I$59, 6, FALSE), perc_90, VLOOKUP(T$2, Percentiles!$A$45:$I$59, 7, FALSE), perc_95, VLOOKUP(T$2, Percentiles!$A$45:$I$59, 8, FALSE), perc_85, perc_75 + (perc_90 - perc_75) * (2/3), converted_stat, '2K_Ratings'!T927, IF(bbgm_stat &gt;= perc_95, converted_stat * 3, IF(bbgm_stat &gt;= perc_90, converted_stat * 2, IF(bbgm_stat &gt;= perc_85, converted_stat * 1.5, converted_stat)))))</f>
        <v/>
      </c>
      <c r="U927" s="30" t="str">
        <f t="array" ref="U927">IF($A927="", "", LET(bbgm_stat, INDEX(Players!$A926:$P926, MATCH(U$2, Players!$A$1:$P$1, 0)), perc_75, VLOOKUP(U$2, Percentiles!$A$45:$I$59, 6, FALSE), perc_90, VLOOKUP(U$2, Percentiles!$A$45:$I$59, 7, FALSE), perc_95, VLOOKUP(U$2, Percentiles!$A$45:$I$59, 8, FALSE), perc_85, perc_75 + (perc_90 - perc_75) * (2/3), converted_stat, '2K_Ratings'!U927, IF(bbgm_stat &gt;= perc_95, converted_stat * 3, IF(bbgm_stat &gt;= perc_90, converted_stat * 2, IF(bbgm_stat &gt;= perc_85, converted_stat * 1.5, converted_stat)))))</f>
        <v/>
      </c>
      <c r="V927" s="30" t="str">
        <f t="array" ref="V927">IF($A927="", "", LET(bbgm_stat, INDEX(Players!$A926:$P926, MATCH(V$2, Players!$A$1:$P$1, 0)), perc_75, VLOOKUP(V$2, Percentiles!$A$45:$I$59, 6, FALSE), perc_90, VLOOKUP(V$2, Percentiles!$A$45:$I$59, 7, FALSE), perc_95, VLOOKUP(V$2, Percentiles!$A$45:$I$59, 8, FALSE), perc_85, perc_75 + (perc_90 - perc_75) * (2/3), converted_stat, '2K_Ratings'!V927, IF(bbgm_stat &gt;= perc_95, converted_stat * 3, IF(bbgm_stat &gt;= perc_90, converted_stat * 2, IF(bbgm_stat &gt;= perc_85, converted_stat * 1.5, converted_stat)))))</f>
        <v/>
      </c>
      <c r="W927" s="30" t="str">
        <f t="array" ref="W927">IF($A927="", "", LET(bbgm_stat, INDEX(Players!$A926:$P926, MATCH(W$2, Players!$A$1:$P$1, 0)), perc_75, VLOOKUP(W$2, Percentiles!$A$45:$I$59, 6, FALSE), perc_90, VLOOKUP(W$2, Percentiles!$A$45:$I$59, 7, FALSE), perc_95, VLOOKUP(W$2, Percentiles!$A$45:$I$59, 8, FALSE), perc_85, perc_75 + (perc_90 - perc_75) * (2/3), converted_stat, '2K_Ratings'!W927, IF(bbgm_stat &gt;= perc_95, converted_stat * 3, IF(bbgm_stat &gt;= perc_90, converted_stat * 2, IF(bbgm_stat &gt;= perc_85, converted_stat * 1.5, converted_stat)))))</f>
        <v/>
      </c>
    </row>
    <row r="928">
      <c r="A928" s="30"/>
      <c r="B928" s="30" t="str">
        <f t="array" ref="B928">IF($A928="", "", LET(bbgm_stat, INDEX(Players!$A927:$P927, MATCH(B$2, Players!$A$1:$P$1, 0)), perc_75, VLOOKUP(B$2, Percentiles!$A$45:$I$59, 6, FALSE), perc_90, VLOOKUP(B$2, Percentiles!$A$45:$I$59, 7, FALSE), perc_95, VLOOKUP(B$2, Percentiles!$A$45:$I$59, 8, FALSE), perc_85, perc_75 + (perc_90 - perc_75) * (2/3), converted_stat, '2K_Ratings'!B928, IF(bbgm_stat &gt;= perc_95, converted_stat * 3, IF(bbgm_stat &gt;= perc_90, converted_stat * 2, IF(bbgm_stat &gt;= perc_85, converted_stat * 1.5, converted_stat)))))</f>
        <v/>
      </c>
      <c r="C928" s="30" t="str">
        <f t="array" ref="C928">IF($A928="", "", LET(bbgm_stat, INDEX(Players!$A927:$P927, MATCH(C$2, Players!$A$1:$P$1, 0)), perc_75, VLOOKUP(C$2, Percentiles!$A$45:$I$59, 6, FALSE), perc_90, VLOOKUP(C$2, Percentiles!$A$45:$I$59, 7, FALSE), perc_95, VLOOKUP(C$2, Percentiles!$A$45:$I$59, 8, FALSE), perc_85, perc_75 + (perc_90 - perc_75) * (2/3), converted_stat, '2K_Ratings'!C928, IF(bbgm_stat &gt;= perc_95, converted_stat * 3, IF(bbgm_stat &gt;= perc_90, converted_stat * 2, IF(bbgm_stat &gt;= perc_85, converted_stat * 1.5, converted_stat)))))</f>
        <v/>
      </c>
      <c r="D928" s="30" t="str">
        <f t="array" ref="D928">IF($A928="", "", LET(bbgm_stat, INDEX(Players!$A927:$P927, MATCH(D$2, Players!$A$1:$P$1, 0)), perc_75, VLOOKUP(D$2, Percentiles!$A$45:$I$59, 6, FALSE), perc_90, VLOOKUP(D$2, Percentiles!$A$45:$I$59, 7, FALSE), perc_95, VLOOKUP(D$2, Percentiles!$A$45:$I$59, 8, FALSE), perc_85, perc_75 + (perc_90 - perc_75) * (2/3), converted_stat, '2K_Ratings'!D928, IF(bbgm_stat &gt;= perc_95, converted_stat * 3, IF(bbgm_stat &gt;= perc_90, converted_stat * 2, IF(bbgm_stat &gt;= perc_85, converted_stat * 1.5, converted_stat)))))</f>
        <v/>
      </c>
      <c r="E928" s="30" t="str">
        <f t="array" ref="E928">IF($A928="", "", LET(bbgm_stat, INDEX(Players!$A927:$P927, MATCH(E$2, Players!$A$1:$P$1, 0)), perc_75, VLOOKUP(E$2, Percentiles!$A$45:$I$59, 6, FALSE), perc_90, VLOOKUP(E$2, Percentiles!$A$45:$I$59, 7, FALSE), perc_95, VLOOKUP(E$2, Percentiles!$A$45:$I$59, 8, FALSE), perc_85, perc_75 + (perc_90 - perc_75) * (2/3), converted_stat, '2K_Ratings'!E928, IF(bbgm_stat &gt;= perc_95, converted_stat * 3, IF(bbgm_stat &gt;= perc_90, converted_stat * 2, IF(bbgm_stat &gt;= perc_85, converted_stat * 1.5, converted_stat)))))</f>
        <v/>
      </c>
      <c r="F928" s="30" t="str">
        <f t="array" ref="F928">IF($A928="", "", LET(bbgm_stat, INDEX(Players!$A927:$P927, MATCH(F$2, Players!$A$1:$P$1, 0)), perc_75, VLOOKUP(F$2, Percentiles!$A$45:$I$59, 6, FALSE), perc_90, VLOOKUP(F$2, Percentiles!$A$45:$I$59, 7, FALSE), perc_95, VLOOKUP(F$2, Percentiles!$A$45:$I$59, 8, FALSE), perc_85, perc_75 + (perc_90 - perc_75) * (2/3), converted_stat, '2K_Ratings'!F928, IF(bbgm_stat &gt;= perc_95, converted_stat * 3, IF(bbgm_stat &gt;= perc_90, converted_stat * 2, IF(bbgm_stat &gt;= perc_85, converted_stat * 1.5, converted_stat)))))</f>
        <v/>
      </c>
      <c r="G928" s="30" t="str">
        <f t="array" ref="G928">IF($A928="", "", LET(bbgm_stat, INDEX(Players!$A927:$P927, MATCH(G$2, Players!$A$1:$P$1, 0)), perc_75, VLOOKUP(G$2, Percentiles!$A$45:$I$59, 6, FALSE), perc_90, VLOOKUP(G$2, Percentiles!$A$45:$I$59, 7, FALSE), perc_95, VLOOKUP(G$2, Percentiles!$A$45:$I$59, 8, FALSE), perc_85, perc_75 + (perc_90 - perc_75) * (2/3), converted_stat, '2K_Ratings'!G928, IF(bbgm_stat &gt;= perc_95, converted_stat * 3, IF(bbgm_stat &gt;= perc_90, converted_stat * 2, IF(bbgm_stat &gt;= perc_85, converted_stat * 1.5, converted_stat)))))</f>
        <v/>
      </c>
      <c r="H928" s="30" t="str">
        <f t="array" ref="H928">IF($A928="", "", LET(bbgm_stat, INDEX(Players!$A927:$P927, MATCH(H$2, Players!$A$1:$P$1, 0)), perc_75, VLOOKUP(H$2, Percentiles!$A$45:$I$59, 6, FALSE), perc_90, VLOOKUP(H$2, Percentiles!$A$45:$I$59, 7, FALSE), perc_95, VLOOKUP(H$2, Percentiles!$A$45:$I$59, 8, FALSE), perc_85, perc_75 + (perc_90 - perc_75) * (2/3), converted_stat, '2K_Ratings'!H928, IF(bbgm_stat &gt;= perc_95, converted_stat * 3, IF(bbgm_stat &gt;= perc_90, converted_stat * 2, IF(bbgm_stat &gt;= perc_85, converted_stat * 1.5, converted_stat)))))</f>
        <v/>
      </c>
      <c r="I928" s="30" t="str">
        <f t="array" ref="I928">IF($A928="", "", LET(bbgm_stat, INDEX(Players!$A927:$P927, MATCH(I$2, Players!$A$1:$P$1, 0)), perc_75, VLOOKUP(I$2, Percentiles!$A$45:$I$59, 6, FALSE), perc_90, VLOOKUP(I$2, Percentiles!$A$45:$I$59, 7, FALSE), perc_95, VLOOKUP(I$2, Percentiles!$A$45:$I$59, 8, FALSE), perc_85, perc_75 + (perc_90 - perc_75) * (2/3), converted_stat, '2K_Ratings'!I928, IF(bbgm_stat &gt;= perc_95, converted_stat * 3, IF(bbgm_stat &gt;= perc_90, converted_stat * 2, IF(bbgm_stat &gt;= perc_85, converted_stat * 1.5, converted_stat)))))</f>
        <v/>
      </c>
      <c r="J928" s="30" t="str">
        <f t="array" ref="J928">IF($A928="", "", LET(bbgm_stat, INDEX(Players!$A927:$P927, MATCH(J$2, Players!$A$1:$P$1, 0)), perc_75, VLOOKUP(J$2, Percentiles!$A$45:$I$59, 6, FALSE), perc_90, VLOOKUP(J$2, Percentiles!$A$45:$I$59, 7, FALSE), perc_95, VLOOKUP(J$2, Percentiles!$A$45:$I$59, 8, FALSE), perc_85, perc_75 + (perc_90 - perc_75) * (2/3), converted_stat, '2K_Ratings'!J928, IF(bbgm_stat &gt;= perc_95, converted_stat * 3, IF(bbgm_stat &gt;= perc_90, converted_stat * 2, IF(bbgm_stat &gt;= perc_85, converted_stat * 1.5, converted_stat)))))</f>
        <v/>
      </c>
      <c r="K928" s="30" t="str">
        <f t="array" ref="K928">IF($A928="", "", LET(bbgm_stat, INDEX(Players!$A927:$P927, MATCH(K$2, Players!$A$1:$P$1, 0)), perc_75, VLOOKUP(K$2, Percentiles!$A$45:$I$59, 6, FALSE), perc_90, VLOOKUP(K$2, Percentiles!$A$45:$I$59, 7, FALSE), perc_95, VLOOKUP(K$2, Percentiles!$A$45:$I$59, 8, FALSE), perc_85, perc_75 + (perc_90 - perc_75) * (2/3), converted_stat, '2K_Ratings'!K928, IF(bbgm_stat &gt;= perc_95, converted_stat * 3, IF(bbgm_stat &gt;= perc_90, converted_stat * 2, IF(bbgm_stat &gt;= perc_85, converted_stat * 1.5, converted_stat)))))</f>
        <v/>
      </c>
      <c r="L928" s="30" t="str">
        <f t="array" ref="L928">IF($A928="", "", LET(bbgm_stat, INDEX(Players!$A927:$P927, MATCH(L$2, Players!$A$1:$P$1, 0)), perc_75, VLOOKUP(L$2, Percentiles!$A$45:$I$59, 6, FALSE), perc_90, VLOOKUP(L$2, Percentiles!$A$45:$I$59, 7, FALSE), perc_95, VLOOKUP(L$2, Percentiles!$A$45:$I$59, 8, FALSE), perc_85, perc_75 + (perc_90 - perc_75) * (2/3), converted_stat, '2K_Ratings'!L928, IF(bbgm_stat &gt;= perc_95, converted_stat * 3, IF(bbgm_stat &gt;= perc_90, converted_stat * 2, IF(bbgm_stat &gt;= perc_85, converted_stat * 1.5, converted_stat)))))</f>
        <v/>
      </c>
      <c r="M928" s="30" t="str">
        <f t="array" ref="M928">IF($A928="", "", LET(bbgm_stat, INDEX(Players!$A927:$P927, MATCH(M$2, Players!$A$1:$P$1, 0)), perc_75, VLOOKUP(M$2, Percentiles!$A$45:$I$59, 6, FALSE), perc_90, VLOOKUP(M$2, Percentiles!$A$45:$I$59, 7, FALSE), perc_95, VLOOKUP(M$2, Percentiles!$A$45:$I$59, 8, FALSE), perc_85, perc_75 + (perc_90 - perc_75) * (2/3), converted_stat, '2K_Ratings'!M928, IF(bbgm_stat &gt;= perc_95, converted_stat * 3, IF(bbgm_stat &gt;= perc_90, converted_stat * 2, IF(bbgm_stat &gt;= perc_85, converted_stat * 1.5, converted_stat)))))</f>
        <v/>
      </c>
      <c r="N928" s="30" t="str">
        <f t="array" ref="N928">IF($A928="", "", LET(bbgm_stat, INDEX(Players!$A927:$P927, MATCH(N$2, Players!$A$1:$P$1, 0)), perc_75, VLOOKUP(N$2, Percentiles!$A$45:$I$59, 6, FALSE), perc_90, VLOOKUP(N$2, Percentiles!$A$45:$I$59, 7, FALSE), perc_95, VLOOKUP(N$2, Percentiles!$A$45:$I$59, 8, FALSE), perc_85, perc_75 + (perc_90 - perc_75) * (2/3), converted_stat, '2K_Ratings'!N928, IF(bbgm_stat &gt;= perc_95, converted_stat * 3, IF(bbgm_stat &gt;= perc_90, converted_stat * 2, IF(bbgm_stat &gt;= perc_85, converted_stat * 1.5, converted_stat)))))</f>
        <v/>
      </c>
      <c r="O928" s="30" t="str">
        <f t="array" ref="O928">IF($A928="", "", LET(bbgm_stat, INDEX(Players!$A927:$P927, MATCH(O$2, Players!$A$1:$P$1, 0)), perc_75, VLOOKUP(O$2, Percentiles!$A$45:$I$59, 6, FALSE), perc_90, VLOOKUP(O$2, Percentiles!$A$45:$I$59, 7, FALSE), perc_95, VLOOKUP(O$2, Percentiles!$A$45:$I$59, 8, FALSE), perc_85, perc_75 + (perc_90 - perc_75) * (2/3), converted_stat, '2K_Ratings'!O928, IF(bbgm_stat &gt;= perc_95, converted_stat * 3, IF(bbgm_stat &gt;= perc_90, converted_stat * 2, IF(bbgm_stat &gt;= perc_85, converted_stat * 1.5, converted_stat)))))</f>
        <v/>
      </c>
      <c r="P928" s="30" t="str">
        <f t="array" ref="P928">IF($A928="", "", LET(bbgm_stat, INDEX(Players!$A927:$P927, MATCH(P$2, Players!$A$1:$P$1, 0)), perc_75, VLOOKUP(P$2, Percentiles!$A$45:$I$59, 6, FALSE), perc_90, VLOOKUP(P$2, Percentiles!$A$45:$I$59, 7, FALSE), perc_95, VLOOKUP(P$2, Percentiles!$A$45:$I$59, 8, FALSE), perc_85, perc_75 + (perc_90 - perc_75) * (2/3), converted_stat, '2K_Ratings'!P928, IF(bbgm_stat &gt;= perc_95, converted_stat * 3, IF(bbgm_stat &gt;= perc_90, converted_stat * 2, IF(bbgm_stat &gt;= perc_85, converted_stat * 1.5, converted_stat)))))</f>
        <v/>
      </c>
      <c r="Q928" s="30" t="str">
        <f t="array" ref="Q928">IF($A928="", "", LET(bbgm_stat, INDEX(Players!$A927:$P927, MATCH(Q$2, Players!$A$1:$P$1, 0)), perc_75, VLOOKUP(Q$2, Percentiles!$A$45:$I$59, 6, FALSE), perc_90, VLOOKUP(Q$2, Percentiles!$A$45:$I$59, 7, FALSE), perc_95, VLOOKUP(Q$2, Percentiles!$A$45:$I$59, 8, FALSE), perc_85, perc_75 + (perc_90 - perc_75) * (2/3), converted_stat, '2K_Ratings'!Q928, IF(bbgm_stat &gt;= perc_95, converted_stat * 3, IF(bbgm_stat &gt;= perc_90, converted_stat * 2, IF(bbgm_stat &gt;= perc_85, converted_stat * 1.5, converted_stat)))))</f>
        <v/>
      </c>
      <c r="R928" s="30" t="str">
        <f t="array" ref="R928">IF($A928="", "", LET(bbgm_stat, INDEX(Players!$A927:$P927, MATCH(R$2, Players!$A$1:$P$1, 0)), perc_75, VLOOKUP(R$2, Percentiles!$A$45:$I$59, 6, FALSE), perc_90, VLOOKUP(R$2, Percentiles!$A$45:$I$59, 7, FALSE), perc_95, VLOOKUP(R$2, Percentiles!$A$45:$I$59, 8, FALSE), perc_85, perc_75 + (perc_90 - perc_75) * (2/3), converted_stat, '2K_Ratings'!R928, IF(bbgm_stat &gt;= perc_95, converted_stat * 3, IF(bbgm_stat &gt;= perc_90, converted_stat * 2, IF(bbgm_stat &gt;= perc_85, converted_stat * 1.5, converted_stat)))))</f>
        <v/>
      </c>
      <c r="S928" s="30" t="str">
        <f t="array" ref="S928">IF($A928="", "", LET(bbgm_stat, INDEX(Players!$A927:$P927, MATCH(S$2, Players!$A$1:$P$1, 0)), perc_75, VLOOKUP(S$2, Percentiles!$A$45:$I$59, 6, FALSE), perc_90, VLOOKUP(S$2, Percentiles!$A$45:$I$59, 7, FALSE), perc_95, VLOOKUP(S$2, Percentiles!$A$45:$I$59, 8, FALSE), perc_85, perc_75 + (perc_90 - perc_75) * (2/3), converted_stat, '2K_Ratings'!S928, IF(bbgm_stat &gt;= perc_95, converted_stat * 3, IF(bbgm_stat &gt;= perc_90, converted_stat * 2, IF(bbgm_stat &gt;= perc_85, converted_stat * 1.5, converted_stat)))))</f>
        <v/>
      </c>
      <c r="T928" s="30" t="str">
        <f t="array" ref="T928">IF($A928="", "", LET(bbgm_stat, INDEX(Players!$A927:$P927, MATCH(T$2, Players!$A$1:$P$1, 0)), perc_75, VLOOKUP(T$2, Percentiles!$A$45:$I$59, 6, FALSE), perc_90, VLOOKUP(T$2, Percentiles!$A$45:$I$59, 7, FALSE), perc_95, VLOOKUP(T$2, Percentiles!$A$45:$I$59, 8, FALSE), perc_85, perc_75 + (perc_90 - perc_75) * (2/3), converted_stat, '2K_Ratings'!T928, IF(bbgm_stat &gt;= perc_95, converted_stat * 3, IF(bbgm_stat &gt;= perc_90, converted_stat * 2, IF(bbgm_stat &gt;= perc_85, converted_stat * 1.5, converted_stat)))))</f>
        <v/>
      </c>
      <c r="U928" s="30" t="str">
        <f t="array" ref="U928">IF($A928="", "", LET(bbgm_stat, INDEX(Players!$A927:$P927, MATCH(U$2, Players!$A$1:$P$1, 0)), perc_75, VLOOKUP(U$2, Percentiles!$A$45:$I$59, 6, FALSE), perc_90, VLOOKUP(U$2, Percentiles!$A$45:$I$59, 7, FALSE), perc_95, VLOOKUP(U$2, Percentiles!$A$45:$I$59, 8, FALSE), perc_85, perc_75 + (perc_90 - perc_75) * (2/3), converted_stat, '2K_Ratings'!U928, IF(bbgm_stat &gt;= perc_95, converted_stat * 3, IF(bbgm_stat &gt;= perc_90, converted_stat * 2, IF(bbgm_stat &gt;= perc_85, converted_stat * 1.5, converted_stat)))))</f>
        <v/>
      </c>
      <c r="V928" s="30" t="str">
        <f t="array" ref="V928">IF($A928="", "", LET(bbgm_stat, INDEX(Players!$A927:$P927, MATCH(V$2, Players!$A$1:$P$1, 0)), perc_75, VLOOKUP(V$2, Percentiles!$A$45:$I$59, 6, FALSE), perc_90, VLOOKUP(V$2, Percentiles!$A$45:$I$59, 7, FALSE), perc_95, VLOOKUP(V$2, Percentiles!$A$45:$I$59, 8, FALSE), perc_85, perc_75 + (perc_90 - perc_75) * (2/3), converted_stat, '2K_Ratings'!V928, IF(bbgm_stat &gt;= perc_95, converted_stat * 3, IF(bbgm_stat &gt;= perc_90, converted_stat * 2, IF(bbgm_stat &gt;= perc_85, converted_stat * 1.5, converted_stat)))))</f>
        <v/>
      </c>
      <c r="W928" s="30" t="str">
        <f t="array" ref="W928">IF($A928="", "", LET(bbgm_stat, INDEX(Players!$A927:$P927, MATCH(W$2, Players!$A$1:$P$1, 0)), perc_75, VLOOKUP(W$2, Percentiles!$A$45:$I$59, 6, FALSE), perc_90, VLOOKUP(W$2, Percentiles!$A$45:$I$59, 7, FALSE), perc_95, VLOOKUP(W$2, Percentiles!$A$45:$I$59, 8, FALSE), perc_85, perc_75 + (perc_90 - perc_75) * (2/3), converted_stat, '2K_Ratings'!W928, IF(bbgm_stat &gt;= perc_95, converted_stat * 3, IF(bbgm_stat &gt;= perc_90, converted_stat * 2, IF(bbgm_stat &gt;= perc_85, converted_stat * 1.5, converted_stat)))))</f>
        <v/>
      </c>
    </row>
    <row r="929">
      <c r="A929" s="30"/>
      <c r="B929" s="30" t="str">
        <f t="array" ref="B929">IF($A929="", "", LET(bbgm_stat, INDEX(Players!$A928:$P928, MATCH(B$2, Players!$A$1:$P$1, 0)), perc_75, VLOOKUP(B$2, Percentiles!$A$45:$I$59, 6, FALSE), perc_90, VLOOKUP(B$2, Percentiles!$A$45:$I$59, 7, FALSE), perc_95, VLOOKUP(B$2, Percentiles!$A$45:$I$59, 8, FALSE), perc_85, perc_75 + (perc_90 - perc_75) * (2/3), converted_stat, '2K_Ratings'!B929, IF(bbgm_stat &gt;= perc_95, converted_stat * 3, IF(bbgm_stat &gt;= perc_90, converted_stat * 2, IF(bbgm_stat &gt;= perc_85, converted_stat * 1.5, converted_stat)))))</f>
        <v/>
      </c>
      <c r="C929" s="30" t="str">
        <f t="array" ref="C929">IF($A929="", "", LET(bbgm_stat, INDEX(Players!$A928:$P928, MATCH(C$2, Players!$A$1:$P$1, 0)), perc_75, VLOOKUP(C$2, Percentiles!$A$45:$I$59, 6, FALSE), perc_90, VLOOKUP(C$2, Percentiles!$A$45:$I$59, 7, FALSE), perc_95, VLOOKUP(C$2, Percentiles!$A$45:$I$59, 8, FALSE), perc_85, perc_75 + (perc_90 - perc_75) * (2/3), converted_stat, '2K_Ratings'!C929, IF(bbgm_stat &gt;= perc_95, converted_stat * 3, IF(bbgm_stat &gt;= perc_90, converted_stat * 2, IF(bbgm_stat &gt;= perc_85, converted_stat * 1.5, converted_stat)))))</f>
        <v/>
      </c>
      <c r="D929" s="30" t="str">
        <f t="array" ref="D929">IF($A929="", "", LET(bbgm_stat, INDEX(Players!$A928:$P928, MATCH(D$2, Players!$A$1:$P$1, 0)), perc_75, VLOOKUP(D$2, Percentiles!$A$45:$I$59, 6, FALSE), perc_90, VLOOKUP(D$2, Percentiles!$A$45:$I$59, 7, FALSE), perc_95, VLOOKUP(D$2, Percentiles!$A$45:$I$59, 8, FALSE), perc_85, perc_75 + (perc_90 - perc_75) * (2/3), converted_stat, '2K_Ratings'!D929, IF(bbgm_stat &gt;= perc_95, converted_stat * 3, IF(bbgm_stat &gt;= perc_90, converted_stat * 2, IF(bbgm_stat &gt;= perc_85, converted_stat * 1.5, converted_stat)))))</f>
        <v/>
      </c>
      <c r="E929" s="30" t="str">
        <f t="array" ref="E929">IF($A929="", "", LET(bbgm_stat, INDEX(Players!$A928:$P928, MATCH(E$2, Players!$A$1:$P$1, 0)), perc_75, VLOOKUP(E$2, Percentiles!$A$45:$I$59, 6, FALSE), perc_90, VLOOKUP(E$2, Percentiles!$A$45:$I$59, 7, FALSE), perc_95, VLOOKUP(E$2, Percentiles!$A$45:$I$59, 8, FALSE), perc_85, perc_75 + (perc_90 - perc_75) * (2/3), converted_stat, '2K_Ratings'!E929, IF(bbgm_stat &gt;= perc_95, converted_stat * 3, IF(bbgm_stat &gt;= perc_90, converted_stat * 2, IF(bbgm_stat &gt;= perc_85, converted_stat * 1.5, converted_stat)))))</f>
        <v/>
      </c>
      <c r="F929" s="30" t="str">
        <f t="array" ref="F929">IF($A929="", "", LET(bbgm_stat, INDEX(Players!$A928:$P928, MATCH(F$2, Players!$A$1:$P$1, 0)), perc_75, VLOOKUP(F$2, Percentiles!$A$45:$I$59, 6, FALSE), perc_90, VLOOKUP(F$2, Percentiles!$A$45:$I$59, 7, FALSE), perc_95, VLOOKUP(F$2, Percentiles!$A$45:$I$59, 8, FALSE), perc_85, perc_75 + (perc_90 - perc_75) * (2/3), converted_stat, '2K_Ratings'!F929, IF(bbgm_stat &gt;= perc_95, converted_stat * 3, IF(bbgm_stat &gt;= perc_90, converted_stat * 2, IF(bbgm_stat &gt;= perc_85, converted_stat * 1.5, converted_stat)))))</f>
        <v/>
      </c>
      <c r="G929" s="30" t="str">
        <f t="array" ref="G929">IF($A929="", "", LET(bbgm_stat, INDEX(Players!$A928:$P928, MATCH(G$2, Players!$A$1:$P$1, 0)), perc_75, VLOOKUP(G$2, Percentiles!$A$45:$I$59, 6, FALSE), perc_90, VLOOKUP(G$2, Percentiles!$A$45:$I$59, 7, FALSE), perc_95, VLOOKUP(G$2, Percentiles!$A$45:$I$59, 8, FALSE), perc_85, perc_75 + (perc_90 - perc_75) * (2/3), converted_stat, '2K_Ratings'!G929, IF(bbgm_stat &gt;= perc_95, converted_stat * 3, IF(bbgm_stat &gt;= perc_90, converted_stat * 2, IF(bbgm_stat &gt;= perc_85, converted_stat * 1.5, converted_stat)))))</f>
        <v/>
      </c>
      <c r="H929" s="30" t="str">
        <f t="array" ref="H929">IF($A929="", "", LET(bbgm_stat, INDEX(Players!$A928:$P928, MATCH(H$2, Players!$A$1:$P$1, 0)), perc_75, VLOOKUP(H$2, Percentiles!$A$45:$I$59, 6, FALSE), perc_90, VLOOKUP(H$2, Percentiles!$A$45:$I$59, 7, FALSE), perc_95, VLOOKUP(H$2, Percentiles!$A$45:$I$59, 8, FALSE), perc_85, perc_75 + (perc_90 - perc_75) * (2/3), converted_stat, '2K_Ratings'!H929, IF(bbgm_stat &gt;= perc_95, converted_stat * 3, IF(bbgm_stat &gt;= perc_90, converted_stat * 2, IF(bbgm_stat &gt;= perc_85, converted_stat * 1.5, converted_stat)))))</f>
        <v/>
      </c>
      <c r="I929" s="30" t="str">
        <f t="array" ref="I929">IF($A929="", "", LET(bbgm_stat, INDEX(Players!$A928:$P928, MATCH(I$2, Players!$A$1:$P$1, 0)), perc_75, VLOOKUP(I$2, Percentiles!$A$45:$I$59, 6, FALSE), perc_90, VLOOKUP(I$2, Percentiles!$A$45:$I$59, 7, FALSE), perc_95, VLOOKUP(I$2, Percentiles!$A$45:$I$59, 8, FALSE), perc_85, perc_75 + (perc_90 - perc_75) * (2/3), converted_stat, '2K_Ratings'!I929, IF(bbgm_stat &gt;= perc_95, converted_stat * 3, IF(bbgm_stat &gt;= perc_90, converted_stat * 2, IF(bbgm_stat &gt;= perc_85, converted_stat * 1.5, converted_stat)))))</f>
        <v/>
      </c>
      <c r="J929" s="30" t="str">
        <f t="array" ref="J929">IF($A929="", "", LET(bbgm_stat, INDEX(Players!$A928:$P928, MATCH(J$2, Players!$A$1:$P$1, 0)), perc_75, VLOOKUP(J$2, Percentiles!$A$45:$I$59, 6, FALSE), perc_90, VLOOKUP(J$2, Percentiles!$A$45:$I$59, 7, FALSE), perc_95, VLOOKUP(J$2, Percentiles!$A$45:$I$59, 8, FALSE), perc_85, perc_75 + (perc_90 - perc_75) * (2/3), converted_stat, '2K_Ratings'!J929, IF(bbgm_stat &gt;= perc_95, converted_stat * 3, IF(bbgm_stat &gt;= perc_90, converted_stat * 2, IF(bbgm_stat &gt;= perc_85, converted_stat * 1.5, converted_stat)))))</f>
        <v/>
      </c>
      <c r="K929" s="30" t="str">
        <f t="array" ref="K929">IF($A929="", "", LET(bbgm_stat, INDEX(Players!$A928:$P928, MATCH(K$2, Players!$A$1:$P$1, 0)), perc_75, VLOOKUP(K$2, Percentiles!$A$45:$I$59, 6, FALSE), perc_90, VLOOKUP(K$2, Percentiles!$A$45:$I$59, 7, FALSE), perc_95, VLOOKUP(K$2, Percentiles!$A$45:$I$59, 8, FALSE), perc_85, perc_75 + (perc_90 - perc_75) * (2/3), converted_stat, '2K_Ratings'!K929, IF(bbgm_stat &gt;= perc_95, converted_stat * 3, IF(bbgm_stat &gt;= perc_90, converted_stat * 2, IF(bbgm_stat &gt;= perc_85, converted_stat * 1.5, converted_stat)))))</f>
        <v/>
      </c>
      <c r="L929" s="30" t="str">
        <f t="array" ref="L929">IF($A929="", "", LET(bbgm_stat, INDEX(Players!$A928:$P928, MATCH(L$2, Players!$A$1:$P$1, 0)), perc_75, VLOOKUP(L$2, Percentiles!$A$45:$I$59, 6, FALSE), perc_90, VLOOKUP(L$2, Percentiles!$A$45:$I$59, 7, FALSE), perc_95, VLOOKUP(L$2, Percentiles!$A$45:$I$59, 8, FALSE), perc_85, perc_75 + (perc_90 - perc_75) * (2/3), converted_stat, '2K_Ratings'!L929, IF(bbgm_stat &gt;= perc_95, converted_stat * 3, IF(bbgm_stat &gt;= perc_90, converted_stat * 2, IF(bbgm_stat &gt;= perc_85, converted_stat * 1.5, converted_stat)))))</f>
        <v/>
      </c>
      <c r="M929" s="30" t="str">
        <f t="array" ref="M929">IF($A929="", "", LET(bbgm_stat, INDEX(Players!$A928:$P928, MATCH(M$2, Players!$A$1:$P$1, 0)), perc_75, VLOOKUP(M$2, Percentiles!$A$45:$I$59, 6, FALSE), perc_90, VLOOKUP(M$2, Percentiles!$A$45:$I$59, 7, FALSE), perc_95, VLOOKUP(M$2, Percentiles!$A$45:$I$59, 8, FALSE), perc_85, perc_75 + (perc_90 - perc_75) * (2/3), converted_stat, '2K_Ratings'!M929, IF(bbgm_stat &gt;= perc_95, converted_stat * 3, IF(bbgm_stat &gt;= perc_90, converted_stat * 2, IF(bbgm_stat &gt;= perc_85, converted_stat * 1.5, converted_stat)))))</f>
        <v/>
      </c>
      <c r="N929" s="30" t="str">
        <f t="array" ref="N929">IF($A929="", "", LET(bbgm_stat, INDEX(Players!$A928:$P928, MATCH(N$2, Players!$A$1:$P$1, 0)), perc_75, VLOOKUP(N$2, Percentiles!$A$45:$I$59, 6, FALSE), perc_90, VLOOKUP(N$2, Percentiles!$A$45:$I$59, 7, FALSE), perc_95, VLOOKUP(N$2, Percentiles!$A$45:$I$59, 8, FALSE), perc_85, perc_75 + (perc_90 - perc_75) * (2/3), converted_stat, '2K_Ratings'!N929, IF(bbgm_stat &gt;= perc_95, converted_stat * 3, IF(bbgm_stat &gt;= perc_90, converted_stat * 2, IF(bbgm_stat &gt;= perc_85, converted_stat * 1.5, converted_stat)))))</f>
        <v/>
      </c>
      <c r="O929" s="30" t="str">
        <f t="array" ref="O929">IF($A929="", "", LET(bbgm_stat, INDEX(Players!$A928:$P928, MATCH(O$2, Players!$A$1:$P$1, 0)), perc_75, VLOOKUP(O$2, Percentiles!$A$45:$I$59, 6, FALSE), perc_90, VLOOKUP(O$2, Percentiles!$A$45:$I$59, 7, FALSE), perc_95, VLOOKUP(O$2, Percentiles!$A$45:$I$59, 8, FALSE), perc_85, perc_75 + (perc_90 - perc_75) * (2/3), converted_stat, '2K_Ratings'!O929, IF(bbgm_stat &gt;= perc_95, converted_stat * 3, IF(bbgm_stat &gt;= perc_90, converted_stat * 2, IF(bbgm_stat &gt;= perc_85, converted_stat * 1.5, converted_stat)))))</f>
        <v/>
      </c>
      <c r="P929" s="30" t="str">
        <f t="array" ref="P929">IF($A929="", "", LET(bbgm_stat, INDEX(Players!$A928:$P928, MATCH(P$2, Players!$A$1:$P$1, 0)), perc_75, VLOOKUP(P$2, Percentiles!$A$45:$I$59, 6, FALSE), perc_90, VLOOKUP(P$2, Percentiles!$A$45:$I$59, 7, FALSE), perc_95, VLOOKUP(P$2, Percentiles!$A$45:$I$59, 8, FALSE), perc_85, perc_75 + (perc_90 - perc_75) * (2/3), converted_stat, '2K_Ratings'!P929, IF(bbgm_stat &gt;= perc_95, converted_stat * 3, IF(bbgm_stat &gt;= perc_90, converted_stat * 2, IF(bbgm_stat &gt;= perc_85, converted_stat * 1.5, converted_stat)))))</f>
        <v/>
      </c>
      <c r="Q929" s="30" t="str">
        <f t="array" ref="Q929">IF($A929="", "", LET(bbgm_stat, INDEX(Players!$A928:$P928, MATCH(Q$2, Players!$A$1:$P$1, 0)), perc_75, VLOOKUP(Q$2, Percentiles!$A$45:$I$59, 6, FALSE), perc_90, VLOOKUP(Q$2, Percentiles!$A$45:$I$59, 7, FALSE), perc_95, VLOOKUP(Q$2, Percentiles!$A$45:$I$59, 8, FALSE), perc_85, perc_75 + (perc_90 - perc_75) * (2/3), converted_stat, '2K_Ratings'!Q929, IF(bbgm_stat &gt;= perc_95, converted_stat * 3, IF(bbgm_stat &gt;= perc_90, converted_stat * 2, IF(bbgm_stat &gt;= perc_85, converted_stat * 1.5, converted_stat)))))</f>
        <v/>
      </c>
      <c r="R929" s="30" t="str">
        <f t="array" ref="R929">IF($A929="", "", LET(bbgm_stat, INDEX(Players!$A928:$P928, MATCH(R$2, Players!$A$1:$P$1, 0)), perc_75, VLOOKUP(R$2, Percentiles!$A$45:$I$59, 6, FALSE), perc_90, VLOOKUP(R$2, Percentiles!$A$45:$I$59, 7, FALSE), perc_95, VLOOKUP(R$2, Percentiles!$A$45:$I$59, 8, FALSE), perc_85, perc_75 + (perc_90 - perc_75) * (2/3), converted_stat, '2K_Ratings'!R929, IF(bbgm_stat &gt;= perc_95, converted_stat * 3, IF(bbgm_stat &gt;= perc_90, converted_stat * 2, IF(bbgm_stat &gt;= perc_85, converted_stat * 1.5, converted_stat)))))</f>
        <v/>
      </c>
      <c r="S929" s="30" t="str">
        <f t="array" ref="S929">IF($A929="", "", LET(bbgm_stat, INDEX(Players!$A928:$P928, MATCH(S$2, Players!$A$1:$P$1, 0)), perc_75, VLOOKUP(S$2, Percentiles!$A$45:$I$59, 6, FALSE), perc_90, VLOOKUP(S$2, Percentiles!$A$45:$I$59, 7, FALSE), perc_95, VLOOKUP(S$2, Percentiles!$A$45:$I$59, 8, FALSE), perc_85, perc_75 + (perc_90 - perc_75) * (2/3), converted_stat, '2K_Ratings'!S929, IF(bbgm_stat &gt;= perc_95, converted_stat * 3, IF(bbgm_stat &gt;= perc_90, converted_stat * 2, IF(bbgm_stat &gt;= perc_85, converted_stat * 1.5, converted_stat)))))</f>
        <v/>
      </c>
      <c r="T929" s="30" t="str">
        <f t="array" ref="T929">IF($A929="", "", LET(bbgm_stat, INDEX(Players!$A928:$P928, MATCH(T$2, Players!$A$1:$P$1, 0)), perc_75, VLOOKUP(T$2, Percentiles!$A$45:$I$59, 6, FALSE), perc_90, VLOOKUP(T$2, Percentiles!$A$45:$I$59, 7, FALSE), perc_95, VLOOKUP(T$2, Percentiles!$A$45:$I$59, 8, FALSE), perc_85, perc_75 + (perc_90 - perc_75) * (2/3), converted_stat, '2K_Ratings'!T929, IF(bbgm_stat &gt;= perc_95, converted_stat * 3, IF(bbgm_stat &gt;= perc_90, converted_stat * 2, IF(bbgm_stat &gt;= perc_85, converted_stat * 1.5, converted_stat)))))</f>
        <v/>
      </c>
      <c r="U929" s="30" t="str">
        <f t="array" ref="U929">IF($A929="", "", LET(bbgm_stat, INDEX(Players!$A928:$P928, MATCH(U$2, Players!$A$1:$P$1, 0)), perc_75, VLOOKUP(U$2, Percentiles!$A$45:$I$59, 6, FALSE), perc_90, VLOOKUP(U$2, Percentiles!$A$45:$I$59, 7, FALSE), perc_95, VLOOKUP(U$2, Percentiles!$A$45:$I$59, 8, FALSE), perc_85, perc_75 + (perc_90 - perc_75) * (2/3), converted_stat, '2K_Ratings'!U929, IF(bbgm_stat &gt;= perc_95, converted_stat * 3, IF(bbgm_stat &gt;= perc_90, converted_stat * 2, IF(bbgm_stat &gt;= perc_85, converted_stat * 1.5, converted_stat)))))</f>
        <v/>
      </c>
      <c r="V929" s="30" t="str">
        <f t="array" ref="V929">IF($A929="", "", LET(bbgm_stat, INDEX(Players!$A928:$P928, MATCH(V$2, Players!$A$1:$P$1, 0)), perc_75, VLOOKUP(V$2, Percentiles!$A$45:$I$59, 6, FALSE), perc_90, VLOOKUP(V$2, Percentiles!$A$45:$I$59, 7, FALSE), perc_95, VLOOKUP(V$2, Percentiles!$A$45:$I$59, 8, FALSE), perc_85, perc_75 + (perc_90 - perc_75) * (2/3), converted_stat, '2K_Ratings'!V929, IF(bbgm_stat &gt;= perc_95, converted_stat * 3, IF(bbgm_stat &gt;= perc_90, converted_stat * 2, IF(bbgm_stat &gt;= perc_85, converted_stat * 1.5, converted_stat)))))</f>
        <v/>
      </c>
      <c r="W929" s="30" t="str">
        <f t="array" ref="W929">IF($A929="", "", LET(bbgm_stat, INDEX(Players!$A928:$P928, MATCH(W$2, Players!$A$1:$P$1, 0)), perc_75, VLOOKUP(W$2, Percentiles!$A$45:$I$59, 6, FALSE), perc_90, VLOOKUP(W$2, Percentiles!$A$45:$I$59, 7, FALSE), perc_95, VLOOKUP(W$2, Percentiles!$A$45:$I$59, 8, FALSE), perc_85, perc_75 + (perc_90 - perc_75) * (2/3), converted_stat, '2K_Ratings'!W929, IF(bbgm_stat &gt;= perc_95, converted_stat * 3, IF(bbgm_stat &gt;= perc_90, converted_stat * 2, IF(bbgm_stat &gt;= perc_85, converted_stat * 1.5, converted_stat)))))</f>
        <v/>
      </c>
    </row>
    <row r="930">
      <c r="A930" s="30"/>
      <c r="B930" s="30" t="str">
        <f t="array" ref="B930">IF($A930="", "", LET(bbgm_stat, INDEX(Players!$A929:$P929, MATCH(B$2, Players!$A$1:$P$1, 0)), perc_75, VLOOKUP(B$2, Percentiles!$A$45:$I$59, 6, FALSE), perc_90, VLOOKUP(B$2, Percentiles!$A$45:$I$59, 7, FALSE), perc_95, VLOOKUP(B$2, Percentiles!$A$45:$I$59, 8, FALSE), perc_85, perc_75 + (perc_90 - perc_75) * (2/3), converted_stat, '2K_Ratings'!B930, IF(bbgm_stat &gt;= perc_95, converted_stat * 3, IF(bbgm_stat &gt;= perc_90, converted_stat * 2, IF(bbgm_stat &gt;= perc_85, converted_stat * 1.5, converted_stat)))))</f>
        <v/>
      </c>
      <c r="C930" s="30" t="str">
        <f t="array" ref="C930">IF($A930="", "", LET(bbgm_stat, INDEX(Players!$A929:$P929, MATCH(C$2, Players!$A$1:$P$1, 0)), perc_75, VLOOKUP(C$2, Percentiles!$A$45:$I$59, 6, FALSE), perc_90, VLOOKUP(C$2, Percentiles!$A$45:$I$59, 7, FALSE), perc_95, VLOOKUP(C$2, Percentiles!$A$45:$I$59, 8, FALSE), perc_85, perc_75 + (perc_90 - perc_75) * (2/3), converted_stat, '2K_Ratings'!C930, IF(bbgm_stat &gt;= perc_95, converted_stat * 3, IF(bbgm_stat &gt;= perc_90, converted_stat * 2, IF(bbgm_stat &gt;= perc_85, converted_stat * 1.5, converted_stat)))))</f>
        <v/>
      </c>
      <c r="D930" s="30" t="str">
        <f t="array" ref="D930">IF($A930="", "", LET(bbgm_stat, INDEX(Players!$A929:$P929, MATCH(D$2, Players!$A$1:$P$1, 0)), perc_75, VLOOKUP(D$2, Percentiles!$A$45:$I$59, 6, FALSE), perc_90, VLOOKUP(D$2, Percentiles!$A$45:$I$59, 7, FALSE), perc_95, VLOOKUP(D$2, Percentiles!$A$45:$I$59, 8, FALSE), perc_85, perc_75 + (perc_90 - perc_75) * (2/3), converted_stat, '2K_Ratings'!D930, IF(bbgm_stat &gt;= perc_95, converted_stat * 3, IF(bbgm_stat &gt;= perc_90, converted_stat * 2, IF(bbgm_stat &gt;= perc_85, converted_stat * 1.5, converted_stat)))))</f>
        <v/>
      </c>
      <c r="E930" s="30" t="str">
        <f t="array" ref="E930">IF($A930="", "", LET(bbgm_stat, INDEX(Players!$A929:$P929, MATCH(E$2, Players!$A$1:$P$1, 0)), perc_75, VLOOKUP(E$2, Percentiles!$A$45:$I$59, 6, FALSE), perc_90, VLOOKUP(E$2, Percentiles!$A$45:$I$59, 7, FALSE), perc_95, VLOOKUP(E$2, Percentiles!$A$45:$I$59, 8, FALSE), perc_85, perc_75 + (perc_90 - perc_75) * (2/3), converted_stat, '2K_Ratings'!E930, IF(bbgm_stat &gt;= perc_95, converted_stat * 3, IF(bbgm_stat &gt;= perc_90, converted_stat * 2, IF(bbgm_stat &gt;= perc_85, converted_stat * 1.5, converted_stat)))))</f>
        <v/>
      </c>
      <c r="F930" s="30" t="str">
        <f t="array" ref="F930">IF($A930="", "", LET(bbgm_stat, INDEX(Players!$A929:$P929, MATCH(F$2, Players!$A$1:$P$1, 0)), perc_75, VLOOKUP(F$2, Percentiles!$A$45:$I$59, 6, FALSE), perc_90, VLOOKUP(F$2, Percentiles!$A$45:$I$59, 7, FALSE), perc_95, VLOOKUP(F$2, Percentiles!$A$45:$I$59, 8, FALSE), perc_85, perc_75 + (perc_90 - perc_75) * (2/3), converted_stat, '2K_Ratings'!F930, IF(bbgm_stat &gt;= perc_95, converted_stat * 3, IF(bbgm_stat &gt;= perc_90, converted_stat * 2, IF(bbgm_stat &gt;= perc_85, converted_stat * 1.5, converted_stat)))))</f>
        <v/>
      </c>
      <c r="G930" s="30" t="str">
        <f t="array" ref="G930">IF($A930="", "", LET(bbgm_stat, INDEX(Players!$A929:$P929, MATCH(G$2, Players!$A$1:$P$1, 0)), perc_75, VLOOKUP(G$2, Percentiles!$A$45:$I$59, 6, FALSE), perc_90, VLOOKUP(G$2, Percentiles!$A$45:$I$59, 7, FALSE), perc_95, VLOOKUP(G$2, Percentiles!$A$45:$I$59, 8, FALSE), perc_85, perc_75 + (perc_90 - perc_75) * (2/3), converted_stat, '2K_Ratings'!G930, IF(bbgm_stat &gt;= perc_95, converted_stat * 3, IF(bbgm_stat &gt;= perc_90, converted_stat * 2, IF(bbgm_stat &gt;= perc_85, converted_stat * 1.5, converted_stat)))))</f>
        <v/>
      </c>
      <c r="H930" s="30" t="str">
        <f t="array" ref="H930">IF($A930="", "", LET(bbgm_stat, INDEX(Players!$A929:$P929, MATCH(H$2, Players!$A$1:$P$1, 0)), perc_75, VLOOKUP(H$2, Percentiles!$A$45:$I$59, 6, FALSE), perc_90, VLOOKUP(H$2, Percentiles!$A$45:$I$59, 7, FALSE), perc_95, VLOOKUP(H$2, Percentiles!$A$45:$I$59, 8, FALSE), perc_85, perc_75 + (perc_90 - perc_75) * (2/3), converted_stat, '2K_Ratings'!H930, IF(bbgm_stat &gt;= perc_95, converted_stat * 3, IF(bbgm_stat &gt;= perc_90, converted_stat * 2, IF(bbgm_stat &gt;= perc_85, converted_stat * 1.5, converted_stat)))))</f>
        <v/>
      </c>
      <c r="I930" s="30" t="str">
        <f t="array" ref="I930">IF($A930="", "", LET(bbgm_stat, INDEX(Players!$A929:$P929, MATCH(I$2, Players!$A$1:$P$1, 0)), perc_75, VLOOKUP(I$2, Percentiles!$A$45:$I$59, 6, FALSE), perc_90, VLOOKUP(I$2, Percentiles!$A$45:$I$59, 7, FALSE), perc_95, VLOOKUP(I$2, Percentiles!$A$45:$I$59, 8, FALSE), perc_85, perc_75 + (perc_90 - perc_75) * (2/3), converted_stat, '2K_Ratings'!I930, IF(bbgm_stat &gt;= perc_95, converted_stat * 3, IF(bbgm_stat &gt;= perc_90, converted_stat * 2, IF(bbgm_stat &gt;= perc_85, converted_stat * 1.5, converted_stat)))))</f>
        <v/>
      </c>
      <c r="J930" s="30" t="str">
        <f t="array" ref="J930">IF($A930="", "", LET(bbgm_stat, INDEX(Players!$A929:$P929, MATCH(J$2, Players!$A$1:$P$1, 0)), perc_75, VLOOKUP(J$2, Percentiles!$A$45:$I$59, 6, FALSE), perc_90, VLOOKUP(J$2, Percentiles!$A$45:$I$59, 7, FALSE), perc_95, VLOOKUP(J$2, Percentiles!$A$45:$I$59, 8, FALSE), perc_85, perc_75 + (perc_90 - perc_75) * (2/3), converted_stat, '2K_Ratings'!J930, IF(bbgm_stat &gt;= perc_95, converted_stat * 3, IF(bbgm_stat &gt;= perc_90, converted_stat * 2, IF(bbgm_stat &gt;= perc_85, converted_stat * 1.5, converted_stat)))))</f>
        <v/>
      </c>
      <c r="K930" s="30" t="str">
        <f t="array" ref="K930">IF($A930="", "", LET(bbgm_stat, INDEX(Players!$A929:$P929, MATCH(K$2, Players!$A$1:$P$1, 0)), perc_75, VLOOKUP(K$2, Percentiles!$A$45:$I$59, 6, FALSE), perc_90, VLOOKUP(K$2, Percentiles!$A$45:$I$59, 7, FALSE), perc_95, VLOOKUP(K$2, Percentiles!$A$45:$I$59, 8, FALSE), perc_85, perc_75 + (perc_90 - perc_75) * (2/3), converted_stat, '2K_Ratings'!K930, IF(bbgm_stat &gt;= perc_95, converted_stat * 3, IF(bbgm_stat &gt;= perc_90, converted_stat * 2, IF(bbgm_stat &gt;= perc_85, converted_stat * 1.5, converted_stat)))))</f>
        <v/>
      </c>
      <c r="L930" s="30" t="str">
        <f t="array" ref="L930">IF($A930="", "", LET(bbgm_stat, INDEX(Players!$A929:$P929, MATCH(L$2, Players!$A$1:$P$1, 0)), perc_75, VLOOKUP(L$2, Percentiles!$A$45:$I$59, 6, FALSE), perc_90, VLOOKUP(L$2, Percentiles!$A$45:$I$59, 7, FALSE), perc_95, VLOOKUP(L$2, Percentiles!$A$45:$I$59, 8, FALSE), perc_85, perc_75 + (perc_90 - perc_75) * (2/3), converted_stat, '2K_Ratings'!L930, IF(bbgm_stat &gt;= perc_95, converted_stat * 3, IF(bbgm_stat &gt;= perc_90, converted_stat * 2, IF(bbgm_stat &gt;= perc_85, converted_stat * 1.5, converted_stat)))))</f>
        <v/>
      </c>
      <c r="M930" s="30" t="str">
        <f t="array" ref="M930">IF($A930="", "", LET(bbgm_stat, INDEX(Players!$A929:$P929, MATCH(M$2, Players!$A$1:$P$1, 0)), perc_75, VLOOKUP(M$2, Percentiles!$A$45:$I$59, 6, FALSE), perc_90, VLOOKUP(M$2, Percentiles!$A$45:$I$59, 7, FALSE), perc_95, VLOOKUP(M$2, Percentiles!$A$45:$I$59, 8, FALSE), perc_85, perc_75 + (perc_90 - perc_75) * (2/3), converted_stat, '2K_Ratings'!M930, IF(bbgm_stat &gt;= perc_95, converted_stat * 3, IF(bbgm_stat &gt;= perc_90, converted_stat * 2, IF(bbgm_stat &gt;= perc_85, converted_stat * 1.5, converted_stat)))))</f>
        <v/>
      </c>
      <c r="N930" s="30" t="str">
        <f t="array" ref="N930">IF($A930="", "", LET(bbgm_stat, INDEX(Players!$A929:$P929, MATCH(N$2, Players!$A$1:$P$1, 0)), perc_75, VLOOKUP(N$2, Percentiles!$A$45:$I$59, 6, FALSE), perc_90, VLOOKUP(N$2, Percentiles!$A$45:$I$59, 7, FALSE), perc_95, VLOOKUP(N$2, Percentiles!$A$45:$I$59, 8, FALSE), perc_85, perc_75 + (perc_90 - perc_75) * (2/3), converted_stat, '2K_Ratings'!N930, IF(bbgm_stat &gt;= perc_95, converted_stat * 3, IF(bbgm_stat &gt;= perc_90, converted_stat * 2, IF(bbgm_stat &gt;= perc_85, converted_stat * 1.5, converted_stat)))))</f>
        <v/>
      </c>
      <c r="O930" s="30" t="str">
        <f t="array" ref="O930">IF($A930="", "", LET(bbgm_stat, INDEX(Players!$A929:$P929, MATCH(O$2, Players!$A$1:$P$1, 0)), perc_75, VLOOKUP(O$2, Percentiles!$A$45:$I$59, 6, FALSE), perc_90, VLOOKUP(O$2, Percentiles!$A$45:$I$59, 7, FALSE), perc_95, VLOOKUP(O$2, Percentiles!$A$45:$I$59, 8, FALSE), perc_85, perc_75 + (perc_90 - perc_75) * (2/3), converted_stat, '2K_Ratings'!O930, IF(bbgm_stat &gt;= perc_95, converted_stat * 3, IF(bbgm_stat &gt;= perc_90, converted_stat * 2, IF(bbgm_stat &gt;= perc_85, converted_stat * 1.5, converted_stat)))))</f>
        <v/>
      </c>
      <c r="P930" s="30" t="str">
        <f t="array" ref="P930">IF($A930="", "", LET(bbgm_stat, INDEX(Players!$A929:$P929, MATCH(P$2, Players!$A$1:$P$1, 0)), perc_75, VLOOKUP(P$2, Percentiles!$A$45:$I$59, 6, FALSE), perc_90, VLOOKUP(P$2, Percentiles!$A$45:$I$59, 7, FALSE), perc_95, VLOOKUP(P$2, Percentiles!$A$45:$I$59, 8, FALSE), perc_85, perc_75 + (perc_90 - perc_75) * (2/3), converted_stat, '2K_Ratings'!P930, IF(bbgm_stat &gt;= perc_95, converted_stat * 3, IF(bbgm_stat &gt;= perc_90, converted_stat * 2, IF(bbgm_stat &gt;= perc_85, converted_stat * 1.5, converted_stat)))))</f>
        <v/>
      </c>
      <c r="Q930" s="30" t="str">
        <f t="array" ref="Q930">IF($A930="", "", LET(bbgm_stat, INDEX(Players!$A929:$P929, MATCH(Q$2, Players!$A$1:$P$1, 0)), perc_75, VLOOKUP(Q$2, Percentiles!$A$45:$I$59, 6, FALSE), perc_90, VLOOKUP(Q$2, Percentiles!$A$45:$I$59, 7, FALSE), perc_95, VLOOKUP(Q$2, Percentiles!$A$45:$I$59, 8, FALSE), perc_85, perc_75 + (perc_90 - perc_75) * (2/3), converted_stat, '2K_Ratings'!Q930, IF(bbgm_stat &gt;= perc_95, converted_stat * 3, IF(bbgm_stat &gt;= perc_90, converted_stat * 2, IF(bbgm_stat &gt;= perc_85, converted_stat * 1.5, converted_stat)))))</f>
        <v/>
      </c>
      <c r="R930" s="30" t="str">
        <f t="array" ref="R930">IF($A930="", "", LET(bbgm_stat, INDEX(Players!$A929:$P929, MATCH(R$2, Players!$A$1:$P$1, 0)), perc_75, VLOOKUP(R$2, Percentiles!$A$45:$I$59, 6, FALSE), perc_90, VLOOKUP(R$2, Percentiles!$A$45:$I$59, 7, FALSE), perc_95, VLOOKUP(R$2, Percentiles!$A$45:$I$59, 8, FALSE), perc_85, perc_75 + (perc_90 - perc_75) * (2/3), converted_stat, '2K_Ratings'!R930, IF(bbgm_stat &gt;= perc_95, converted_stat * 3, IF(bbgm_stat &gt;= perc_90, converted_stat * 2, IF(bbgm_stat &gt;= perc_85, converted_stat * 1.5, converted_stat)))))</f>
        <v/>
      </c>
      <c r="S930" s="30" t="str">
        <f t="array" ref="S930">IF($A930="", "", LET(bbgm_stat, INDEX(Players!$A929:$P929, MATCH(S$2, Players!$A$1:$P$1, 0)), perc_75, VLOOKUP(S$2, Percentiles!$A$45:$I$59, 6, FALSE), perc_90, VLOOKUP(S$2, Percentiles!$A$45:$I$59, 7, FALSE), perc_95, VLOOKUP(S$2, Percentiles!$A$45:$I$59, 8, FALSE), perc_85, perc_75 + (perc_90 - perc_75) * (2/3), converted_stat, '2K_Ratings'!S930, IF(bbgm_stat &gt;= perc_95, converted_stat * 3, IF(bbgm_stat &gt;= perc_90, converted_stat * 2, IF(bbgm_stat &gt;= perc_85, converted_stat * 1.5, converted_stat)))))</f>
        <v/>
      </c>
      <c r="T930" s="30" t="str">
        <f t="array" ref="T930">IF($A930="", "", LET(bbgm_stat, INDEX(Players!$A929:$P929, MATCH(T$2, Players!$A$1:$P$1, 0)), perc_75, VLOOKUP(T$2, Percentiles!$A$45:$I$59, 6, FALSE), perc_90, VLOOKUP(T$2, Percentiles!$A$45:$I$59, 7, FALSE), perc_95, VLOOKUP(T$2, Percentiles!$A$45:$I$59, 8, FALSE), perc_85, perc_75 + (perc_90 - perc_75) * (2/3), converted_stat, '2K_Ratings'!T930, IF(bbgm_stat &gt;= perc_95, converted_stat * 3, IF(bbgm_stat &gt;= perc_90, converted_stat * 2, IF(bbgm_stat &gt;= perc_85, converted_stat * 1.5, converted_stat)))))</f>
        <v/>
      </c>
      <c r="U930" s="30" t="str">
        <f t="array" ref="U930">IF($A930="", "", LET(bbgm_stat, INDEX(Players!$A929:$P929, MATCH(U$2, Players!$A$1:$P$1, 0)), perc_75, VLOOKUP(U$2, Percentiles!$A$45:$I$59, 6, FALSE), perc_90, VLOOKUP(U$2, Percentiles!$A$45:$I$59, 7, FALSE), perc_95, VLOOKUP(U$2, Percentiles!$A$45:$I$59, 8, FALSE), perc_85, perc_75 + (perc_90 - perc_75) * (2/3), converted_stat, '2K_Ratings'!U930, IF(bbgm_stat &gt;= perc_95, converted_stat * 3, IF(bbgm_stat &gt;= perc_90, converted_stat * 2, IF(bbgm_stat &gt;= perc_85, converted_stat * 1.5, converted_stat)))))</f>
        <v/>
      </c>
      <c r="V930" s="30" t="str">
        <f t="array" ref="V930">IF($A930="", "", LET(bbgm_stat, INDEX(Players!$A929:$P929, MATCH(V$2, Players!$A$1:$P$1, 0)), perc_75, VLOOKUP(V$2, Percentiles!$A$45:$I$59, 6, FALSE), perc_90, VLOOKUP(V$2, Percentiles!$A$45:$I$59, 7, FALSE), perc_95, VLOOKUP(V$2, Percentiles!$A$45:$I$59, 8, FALSE), perc_85, perc_75 + (perc_90 - perc_75) * (2/3), converted_stat, '2K_Ratings'!V930, IF(bbgm_stat &gt;= perc_95, converted_stat * 3, IF(bbgm_stat &gt;= perc_90, converted_stat * 2, IF(bbgm_stat &gt;= perc_85, converted_stat * 1.5, converted_stat)))))</f>
        <v/>
      </c>
      <c r="W930" s="30" t="str">
        <f t="array" ref="W930">IF($A930="", "", LET(bbgm_stat, INDEX(Players!$A929:$P929, MATCH(W$2, Players!$A$1:$P$1, 0)), perc_75, VLOOKUP(W$2, Percentiles!$A$45:$I$59, 6, FALSE), perc_90, VLOOKUP(W$2, Percentiles!$A$45:$I$59, 7, FALSE), perc_95, VLOOKUP(W$2, Percentiles!$A$45:$I$59, 8, FALSE), perc_85, perc_75 + (perc_90 - perc_75) * (2/3), converted_stat, '2K_Ratings'!W930, IF(bbgm_stat &gt;= perc_95, converted_stat * 3, IF(bbgm_stat &gt;= perc_90, converted_stat * 2, IF(bbgm_stat &gt;= perc_85, converted_stat * 1.5, converted_stat)))))</f>
        <v/>
      </c>
    </row>
    <row r="931">
      <c r="A931" s="30"/>
      <c r="B931" s="30" t="str">
        <f t="array" ref="B931">IF($A931="", "", LET(bbgm_stat, INDEX(Players!$A930:$P930, MATCH(B$2, Players!$A$1:$P$1, 0)), perc_75, VLOOKUP(B$2, Percentiles!$A$45:$I$59, 6, FALSE), perc_90, VLOOKUP(B$2, Percentiles!$A$45:$I$59, 7, FALSE), perc_95, VLOOKUP(B$2, Percentiles!$A$45:$I$59, 8, FALSE), perc_85, perc_75 + (perc_90 - perc_75) * (2/3), converted_stat, '2K_Ratings'!B931, IF(bbgm_stat &gt;= perc_95, converted_stat * 3, IF(bbgm_stat &gt;= perc_90, converted_stat * 2, IF(bbgm_stat &gt;= perc_85, converted_stat * 1.5, converted_stat)))))</f>
        <v/>
      </c>
      <c r="C931" s="30" t="str">
        <f t="array" ref="C931">IF($A931="", "", LET(bbgm_stat, INDEX(Players!$A930:$P930, MATCH(C$2, Players!$A$1:$P$1, 0)), perc_75, VLOOKUP(C$2, Percentiles!$A$45:$I$59, 6, FALSE), perc_90, VLOOKUP(C$2, Percentiles!$A$45:$I$59, 7, FALSE), perc_95, VLOOKUP(C$2, Percentiles!$A$45:$I$59, 8, FALSE), perc_85, perc_75 + (perc_90 - perc_75) * (2/3), converted_stat, '2K_Ratings'!C931, IF(bbgm_stat &gt;= perc_95, converted_stat * 3, IF(bbgm_stat &gt;= perc_90, converted_stat * 2, IF(bbgm_stat &gt;= perc_85, converted_stat * 1.5, converted_stat)))))</f>
        <v/>
      </c>
      <c r="D931" s="30" t="str">
        <f t="array" ref="D931">IF($A931="", "", LET(bbgm_stat, INDEX(Players!$A930:$P930, MATCH(D$2, Players!$A$1:$P$1, 0)), perc_75, VLOOKUP(D$2, Percentiles!$A$45:$I$59, 6, FALSE), perc_90, VLOOKUP(D$2, Percentiles!$A$45:$I$59, 7, FALSE), perc_95, VLOOKUP(D$2, Percentiles!$A$45:$I$59, 8, FALSE), perc_85, perc_75 + (perc_90 - perc_75) * (2/3), converted_stat, '2K_Ratings'!D931, IF(bbgm_stat &gt;= perc_95, converted_stat * 3, IF(bbgm_stat &gt;= perc_90, converted_stat * 2, IF(bbgm_stat &gt;= perc_85, converted_stat * 1.5, converted_stat)))))</f>
        <v/>
      </c>
      <c r="E931" s="30" t="str">
        <f t="array" ref="E931">IF($A931="", "", LET(bbgm_stat, INDEX(Players!$A930:$P930, MATCH(E$2, Players!$A$1:$P$1, 0)), perc_75, VLOOKUP(E$2, Percentiles!$A$45:$I$59, 6, FALSE), perc_90, VLOOKUP(E$2, Percentiles!$A$45:$I$59, 7, FALSE), perc_95, VLOOKUP(E$2, Percentiles!$A$45:$I$59, 8, FALSE), perc_85, perc_75 + (perc_90 - perc_75) * (2/3), converted_stat, '2K_Ratings'!E931, IF(bbgm_stat &gt;= perc_95, converted_stat * 3, IF(bbgm_stat &gt;= perc_90, converted_stat * 2, IF(bbgm_stat &gt;= perc_85, converted_stat * 1.5, converted_stat)))))</f>
        <v/>
      </c>
      <c r="F931" s="30" t="str">
        <f t="array" ref="F931">IF($A931="", "", LET(bbgm_stat, INDEX(Players!$A930:$P930, MATCH(F$2, Players!$A$1:$P$1, 0)), perc_75, VLOOKUP(F$2, Percentiles!$A$45:$I$59, 6, FALSE), perc_90, VLOOKUP(F$2, Percentiles!$A$45:$I$59, 7, FALSE), perc_95, VLOOKUP(F$2, Percentiles!$A$45:$I$59, 8, FALSE), perc_85, perc_75 + (perc_90 - perc_75) * (2/3), converted_stat, '2K_Ratings'!F931, IF(bbgm_stat &gt;= perc_95, converted_stat * 3, IF(bbgm_stat &gt;= perc_90, converted_stat * 2, IF(bbgm_stat &gt;= perc_85, converted_stat * 1.5, converted_stat)))))</f>
        <v/>
      </c>
      <c r="G931" s="30" t="str">
        <f t="array" ref="G931">IF($A931="", "", LET(bbgm_stat, INDEX(Players!$A930:$P930, MATCH(G$2, Players!$A$1:$P$1, 0)), perc_75, VLOOKUP(G$2, Percentiles!$A$45:$I$59, 6, FALSE), perc_90, VLOOKUP(G$2, Percentiles!$A$45:$I$59, 7, FALSE), perc_95, VLOOKUP(G$2, Percentiles!$A$45:$I$59, 8, FALSE), perc_85, perc_75 + (perc_90 - perc_75) * (2/3), converted_stat, '2K_Ratings'!G931, IF(bbgm_stat &gt;= perc_95, converted_stat * 3, IF(bbgm_stat &gt;= perc_90, converted_stat * 2, IF(bbgm_stat &gt;= perc_85, converted_stat * 1.5, converted_stat)))))</f>
        <v/>
      </c>
      <c r="H931" s="30" t="str">
        <f t="array" ref="H931">IF($A931="", "", LET(bbgm_stat, INDEX(Players!$A930:$P930, MATCH(H$2, Players!$A$1:$P$1, 0)), perc_75, VLOOKUP(H$2, Percentiles!$A$45:$I$59, 6, FALSE), perc_90, VLOOKUP(H$2, Percentiles!$A$45:$I$59, 7, FALSE), perc_95, VLOOKUP(H$2, Percentiles!$A$45:$I$59, 8, FALSE), perc_85, perc_75 + (perc_90 - perc_75) * (2/3), converted_stat, '2K_Ratings'!H931, IF(bbgm_stat &gt;= perc_95, converted_stat * 3, IF(bbgm_stat &gt;= perc_90, converted_stat * 2, IF(bbgm_stat &gt;= perc_85, converted_stat * 1.5, converted_stat)))))</f>
        <v/>
      </c>
      <c r="I931" s="30" t="str">
        <f t="array" ref="I931">IF($A931="", "", LET(bbgm_stat, INDEX(Players!$A930:$P930, MATCH(I$2, Players!$A$1:$P$1, 0)), perc_75, VLOOKUP(I$2, Percentiles!$A$45:$I$59, 6, FALSE), perc_90, VLOOKUP(I$2, Percentiles!$A$45:$I$59, 7, FALSE), perc_95, VLOOKUP(I$2, Percentiles!$A$45:$I$59, 8, FALSE), perc_85, perc_75 + (perc_90 - perc_75) * (2/3), converted_stat, '2K_Ratings'!I931, IF(bbgm_stat &gt;= perc_95, converted_stat * 3, IF(bbgm_stat &gt;= perc_90, converted_stat * 2, IF(bbgm_stat &gt;= perc_85, converted_stat * 1.5, converted_stat)))))</f>
        <v/>
      </c>
      <c r="J931" s="30" t="str">
        <f t="array" ref="J931">IF($A931="", "", LET(bbgm_stat, INDEX(Players!$A930:$P930, MATCH(J$2, Players!$A$1:$P$1, 0)), perc_75, VLOOKUP(J$2, Percentiles!$A$45:$I$59, 6, FALSE), perc_90, VLOOKUP(J$2, Percentiles!$A$45:$I$59, 7, FALSE), perc_95, VLOOKUP(J$2, Percentiles!$A$45:$I$59, 8, FALSE), perc_85, perc_75 + (perc_90 - perc_75) * (2/3), converted_stat, '2K_Ratings'!J931, IF(bbgm_stat &gt;= perc_95, converted_stat * 3, IF(bbgm_stat &gt;= perc_90, converted_stat * 2, IF(bbgm_stat &gt;= perc_85, converted_stat * 1.5, converted_stat)))))</f>
        <v/>
      </c>
      <c r="K931" s="30" t="str">
        <f t="array" ref="K931">IF($A931="", "", LET(bbgm_stat, INDEX(Players!$A930:$P930, MATCH(K$2, Players!$A$1:$P$1, 0)), perc_75, VLOOKUP(K$2, Percentiles!$A$45:$I$59, 6, FALSE), perc_90, VLOOKUP(K$2, Percentiles!$A$45:$I$59, 7, FALSE), perc_95, VLOOKUP(K$2, Percentiles!$A$45:$I$59, 8, FALSE), perc_85, perc_75 + (perc_90 - perc_75) * (2/3), converted_stat, '2K_Ratings'!K931, IF(bbgm_stat &gt;= perc_95, converted_stat * 3, IF(bbgm_stat &gt;= perc_90, converted_stat * 2, IF(bbgm_stat &gt;= perc_85, converted_stat * 1.5, converted_stat)))))</f>
        <v/>
      </c>
      <c r="L931" s="30" t="str">
        <f t="array" ref="L931">IF($A931="", "", LET(bbgm_stat, INDEX(Players!$A930:$P930, MATCH(L$2, Players!$A$1:$P$1, 0)), perc_75, VLOOKUP(L$2, Percentiles!$A$45:$I$59, 6, FALSE), perc_90, VLOOKUP(L$2, Percentiles!$A$45:$I$59, 7, FALSE), perc_95, VLOOKUP(L$2, Percentiles!$A$45:$I$59, 8, FALSE), perc_85, perc_75 + (perc_90 - perc_75) * (2/3), converted_stat, '2K_Ratings'!L931, IF(bbgm_stat &gt;= perc_95, converted_stat * 3, IF(bbgm_stat &gt;= perc_90, converted_stat * 2, IF(bbgm_stat &gt;= perc_85, converted_stat * 1.5, converted_stat)))))</f>
        <v/>
      </c>
      <c r="M931" s="30" t="str">
        <f t="array" ref="M931">IF($A931="", "", LET(bbgm_stat, INDEX(Players!$A930:$P930, MATCH(M$2, Players!$A$1:$P$1, 0)), perc_75, VLOOKUP(M$2, Percentiles!$A$45:$I$59, 6, FALSE), perc_90, VLOOKUP(M$2, Percentiles!$A$45:$I$59, 7, FALSE), perc_95, VLOOKUP(M$2, Percentiles!$A$45:$I$59, 8, FALSE), perc_85, perc_75 + (perc_90 - perc_75) * (2/3), converted_stat, '2K_Ratings'!M931, IF(bbgm_stat &gt;= perc_95, converted_stat * 3, IF(bbgm_stat &gt;= perc_90, converted_stat * 2, IF(bbgm_stat &gt;= perc_85, converted_stat * 1.5, converted_stat)))))</f>
        <v/>
      </c>
      <c r="N931" s="30" t="str">
        <f t="array" ref="N931">IF($A931="", "", LET(bbgm_stat, INDEX(Players!$A930:$P930, MATCH(N$2, Players!$A$1:$P$1, 0)), perc_75, VLOOKUP(N$2, Percentiles!$A$45:$I$59, 6, FALSE), perc_90, VLOOKUP(N$2, Percentiles!$A$45:$I$59, 7, FALSE), perc_95, VLOOKUP(N$2, Percentiles!$A$45:$I$59, 8, FALSE), perc_85, perc_75 + (perc_90 - perc_75) * (2/3), converted_stat, '2K_Ratings'!N931, IF(bbgm_stat &gt;= perc_95, converted_stat * 3, IF(bbgm_stat &gt;= perc_90, converted_stat * 2, IF(bbgm_stat &gt;= perc_85, converted_stat * 1.5, converted_stat)))))</f>
        <v/>
      </c>
      <c r="O931" s="30" t="str">
        <f t="array" ref="O931">IF($A931="", "", LET(bbgm_stat, INDEX(Players!$A930:$P930, MATCH(O$2, Players!$A$1:$P$1, 0)), perc_75, VLOOKUP(O$2, Percentiles!$A$45:$I$59, 6, FALSE), perc_90, VLOOKUP(O$2, Percentiles!$A$45:$I$59, 7, FALSE), perc_95, VLOOKUP(O$2, Percentiles!$A$45:$I$59, 8, FALSE), perc_85, perc_75 + (perc_90 - perc_75) * (2/3), converted_stat, '2K_Ratings'!O931, IF(bbgm_stat &gt;= perc_95, converted_stat * 3, IF(bbgm_stat &gt;= perc_90, converted_stat * 2, IF(bbgm_stat &gt;= perc_85, converted_stat * 1.5, converted_stat)))))</f>
        <v/>
      </c>
      <c r="P931" s="30" t="str">
        <f t="array" ref="P931">IF($A931="", "", LET(bbgm_stat, INDEX(Players!$A930:$P930, MATCH(P$2, Players!$A$1:$P$1, 0)), perc_75, VLOOKUP(P$2, Percentiles!$A$45:$I$59, 6, FALSE), perc_90, VLOOKUP(P$2, Percentiles!$A$45:$I$59, 7, FALSE), perc_95, VLOOKUP(P$2, Percentiles!$A$45:$I$59, 8, FALSE), perc_85, perc_75 + (perc_90 - perc_75) * (2/3), converted_stat, '2K_Ratings'!P931, IF(bbgm_stat &gt;= perc_95, converted_stat * 3, IF(bbgm_stat &gt;= perc_90, converted_stat * 2, IF(bbgm_stat &gt;= perc_85, converted_stat * 1.5, converted_stat)))))</f>
        <v/>
      </c>
      <c r="Q931" s="30" t="str">
        <f t="array" ref="Q931">IF($A931="", "", LET(bbgm_stat, INDEX(Players!$A930:$P930, MATCH(Q$2, Players!$A$1:$P$1, 0)), perc_75, VLOOKUP(Q$2, Percentiles!$A$45:$I$59, 6, FALSE), perc_90, VLOOKUP(Q$2, Percentiles!$A$45:$I$59, 7, FALSE), perc_95, VLOOKUP(Q$2, Percentiles!$A$45:$I$59, 8, FALSE), perc_85, perc_75 + (perc_90 - perc_75) * (2/3), converted_stat, '2K_Ratings'!Q931, IF(bbgm_stat &gt;= perc_95, converted_stat * 3, IF(bbgm_stat &gt;= perc_90, converted_stat * 2, IF(bbgm_stat &gt;= perc_85, converted_stat * 1.5, converted_stat)))))</f>
        <v/>
      </c>
      <c r="R931" s="30" t="str">
        <f t="array" ref="R931">IF($A931="", "", LET(bbgm_stat, INDEX(Players!$A930:$P930, MATCH(R$2, Players!$A$1:$P$1, 0)), perc_75, VLOOKUP(R$2, Percentiles!$A$45:$I$59, 6, FALSE), perc_90, VLOOKUP(R$2, Percentiles!$A$45:$I$59, 7, FALSE), perc_95, VLOOKUP(R$2, Percentiles!$A$45:$I$59, 8, FALSE), perc_85, perc_75 + (perc_90 - perc_75) * (2/3), converted_stat, '2K_Ratings'!R931, IF(bbgm_stat &gt;= perc_95, converted_stat * 3, IF(bbgm_stat &gt;= perc_90, converted_stat * 2, IF(bbgm_stat &gt;= perc_85, converted_stat * 1.5, converted_stat)))))</f>
        <v/>
      </c>
      <c r="S931" s="30" t="str">
        <f t="array" ref="S931">IF($A931="", "", LET(bbgm_stat, INDEX(Players!$A930:$P930, MATCH(S$2, Players!$A$1:$P$1, 0)), perc_75, VLOOKUP(S$2, Percentiles!$A$45:$I$59, 6, FALSE), perc_90, VLOOKUP(S$2, Percentiles!$A$45:$I$59, 7, FALSE), perc_95, VLOOKUP(S$2, Percentiles!$A$45:$I$59, 8, FALSE), perc_85, perc_75 + (perc_90 - perc_75) * (2/3), converted_stat, '2K_Ratings'!S931, IF(bbgm_stat &gt;= perc_95, converted_stat * 3, IF(bbgm_stat &gt;= perc_90, converted_stat * 2, IF(bbgm_stat &gt;= perc_85, converted_stat * 1.5, converted_stat)))))</f>
        <v/>
      </c>
      <c r="T931" s="30" t="str">
        <f t="array" ref="T931">IF($A931="", "", LET(bbgm_stat, INDEX(Players!$A930:$P930, MATCH(T$2, Players!$A$1:$P$1, 0)), perc_75, VLOOKUP(T$2, Percentiles!$A$45:$I$59, 6, FALSE), perc_90, VLOOKUP(T$2, Percentiles!$A$45:$I$59, 7, FALSE), perc_95, VLOOKUP(T$2, Percentiles!$A$45:$I$59, 8, FALSE), perc_85, perc_75 + (perc_90 - perc_75) * (2/3), converted_stat, '2K_Ratings'!T931, IF(bbgm_stat &gt;= perc_95, converted_stat * 3, IF(bbgm_stat &gt;= perc_90, converted_stat * 2, IF(bbgm_stat &gt;= perc_85, converted_stat * 1.5, converted_stat)))))</f>
        <v/>
      </c>
      <c r="U931" s="30" t="str">
        <f t="array" ref="U931">IF($A931="", "", LET(bbgm_stat, INDEX(Players!$A930:$P930, MATCH(U$2, Players!$A$1:$P$1, 0)), perc_75, VLOOKUP(U$2, Percentiles!$A$45:$I$59, 6, FALSE), perc_90, VLOOKUP(U$2, Percentiles!$A$45:$I$59, 7, FALSE), perc_95, VLOOKUP(U$2, Percentiles!$A$45:$I$59, 8, FALSE), perc_85, perc_75 + (perc_90 - perc_75) * (2/3), converted_stat, '2K_Ratings'!U931, IF(bbgm_stat &gt;= perc_95, converted_stat * 3, IF(bbgm_stat &gt;= perc_90, converted_stat * 2, IF(bbgm_stat &gt;= perc_85, converted_stat * 1.5, converted_stat)))))</f>
        <v/>
      </c>
      <c r="V931" s="30" t="str">
        <f t="array" ref="V931">IF($A931="", "", LET(bbgm_stat, INDEX(Players!$A930:$P930, MATCH(V$2, Players!$A$1:$P$1, 0)), perc_75, VLOOKUP(V$2, Percentiles!$A$45:$I$59, 6, FALSE), perc_90, VLOOKUP(V$2, Percentiles!$A$45:$I$59, 7, FALSE), perc_95, VLOOKUP(V$2, Percentiles!$A$45:$I$59, 8, FALSE), perc_85, perc_75 + (perc_90 - perc_75) * (2/3), converted_stat, '2K_Ratings'!V931, IF(bbgm_stat &gt;= perc_95, converted_stat * 3, IF(bbgm_stat &gt;= perc_90, converted_stat * 2, IF(bbgm_stat &gt;= perc_85, converted_stat * 1.5, converted_stat)))))</f>
        <v/>
      </c>
      <c r="W931" s="30" t="str">
        <f t="array" ref="W931">IF($A931="", "", LET(bbgm_stat, INDEX(Players!$A930:$P930, MATCH(W$2, Players!$A$1:$P$1, 0)), perc_75, VLOOKUP(W$2, Percentiles!$A$45:$I$59, 6, FALSE), perc_90, VLOOKUP(W$2, Percentiles!$A$45:$I$59, 7, FALSE), perc_95, VLOOKUP(W$2, Percentiles!$A$45:$I$59, 8, FALSE), perc_85, perc_75 + (perc_90 - perc_75) * (2/3), converted_stat, '2K_Ratings'!W931, IF(bbgm_stat &gt;= perc_95, converted_stat * 3, IF(bbgm_stat &gt;= perc_90, converted_stat * 2, IF(bbgm_stat &gt;= perc_85, converted_stat * 1.5, converted_stat)))))</f>
        <v/>
      </c>
    </row>
    <row r="932">
      <c r="A932" s="30"/>
      <c r="B932" s="30" t="str">
        <f t="array" ref="B932">IF($A932="", "", LET(bbgm_stat, INDEX(Players!$A931:$P931, MATCH(B$2, Players!$A$1:$P$1, 0)), perc_75, VLOOKUP(B$2, Percentiles!$A$45:$I$59, 6, FALSE), perc_90, VLOOKUP(B$2, Percentiles!$A$45:$I$59, 7, FALSE), perc_95, VLOOKUP(B$2, Percentiles!$A$45:$I$59, 8, FALSE), perc_85, perc_75 + (perc_90 - perc_75) * (2/3), converted_stat, '2K_Ratings'!B932, IF(bbgm_stat &gt;= perc_95, converted_stat * 3, IF(bbgm_stat &gt;= perc_90, converted_stat * 2, IF(bbgm_stat &gt;= perc_85, converted_stat * 1.5, converted_stat)))))</f>
        <v/>
      </c>
      <c r="C932" s="30" t="str">
        <f t="array" ref="C932">IF($A932="", "", LET(bbgm_stat, INDEX(Players!$A931:$P931, MATCH(C$2, Players!$A$1:$P$1, 0)), perc_75, VLOOKUP(C$2, Percentiles!$A$45:$I$59, 6, FALSE), perc_90, VLOOKUP(C$2, Percentiles!$A$45:$I$59, 7, FALSE), perc_95, VLOOKUP(C$2, Percentiles!$A$45:$I$59, 8, FALSE), perc_85, perc_75 + (perc_90 - perc_75) * (2/3), converted_stat, '2K_Ratings'!C932, IF(bbgm_stat &gt;= perc_95, converted_stat * 3, IF(bbgm_stat &gt;= perc_90, converted_stat * 2, IF(bbgm_stat &gt;= perc_85, converted_stat * 1.5, converted_stat)))))</f>
        <v/>
      </c>
      <c r="D932" s="30" t="str">
        <f t="array" ref="D932">IF($A932="", "", LET(bbgm_stat, INDEX(Players!$A931:$P931, MATCH(D$2, Players!$A$1:$P$1, 0)), perc_75, VLOOKUP(D$2, Percentiles!$A$45:$I$59, 6, FALSE), perc_90, VLOOKUP(D$2, Percentiles!$A$45:$I$59, 7, FALSE), perc_95, VLOOKUP(D$2, Percentiles!$A$45:$I$59, 8, FALSE), perc_85, perc_75 + (perc_90 - perc_75) * (2/3), converted_stat, '2K_Ratings'!D932, IF(bbgm_stat &gt;= perc_95, converted_stat * 3, IF(bbgm_stat &gt;= perc_90, converted_stat * 2, IF(bbgm_stat &gt;= perc_85, converted_stat * 1.5, converted_stat)))))</f>
        <v/>
      </c>
      <c r="E932" s="30" t="str">
        <f t="array" ref="E932">IF($A932="", "", LET(bbgm_stat, INDEX(Players!$A931:$P931, MATCH(E$2, Players!$A$1:$P$1, 0)), perc_75, VLOOKUP(E$2, Percentiles!$A$45:$I$59, 6, FALSE), perc_90, VLOOKUP(E$2, Percentiles!$A$45:$I$59, 7, FALSE), perc_95, VLOOKUP(E$2, Percentiles!$A$45:$I$59, 8, FALSE), perc_85, perc_75 + (perc_90 - perc_75) * (2/3), converted_stat, '2K_Ratings'!E932, IF(bbgm_stat &gt;= perc_95, converted_stat * 3, IF(bbgm_stat &gt;= perc_90, converted_stat * 2, IF(bbgm_stat &gt;= perc_85, converted_stat * 1.5, converted_stat)))))</f>
        <v/>
      </c>
      <c r="F932" s="30" t="str">
        <f t="array" ref="F932">IF($A932="", "", LET(bbgm_stat, INDEX(Players!$A931:$P931, MATCH(F$2, Players!$A$1:$P$1, 0)), perc_75, VLOOKUP(F$2, Percentiles!$A$45:$I$59, 6, FALSE), perc_90, VLOOKUP(F$2, Percentiles!$A$45:$I$59, 7, FALSE), perc_95, VLOOKUP(F$2, Percentiles!$A$45:$I$59, 8, FALSE), perc_85, perc_75 + (perc_90 - perc_75) * (2/3), converted_stat, '2K_Ratings'!F932, IF(bbgm_stat &gt;= perc_95, converted_stat * 3, IF(bbgm_stat &gt;= perc_90, converted_stat * 2, IF(bbgm_stat &gt;= perc_85, converted_stat * 1.5, converted_stat)))))</f>
        <v/>
      </c>
      <c r="G932" s="30" t="str">
        <f t="array" ref="G932">IF($A932="", "", LET(bbgm_stat, INDEX(Players!$A931:$P931, MATCH(G$2, Players!$A$1:$P$1, 0)), perc_75, VLOOKUP(G$2, Percentiles!$A$45:$I$59, 6, FALSE), perc_90, VLOOKUP(G$2, Percentiles!$A$45:$I$59, 7, FALSE), perc_95, VLOOKUP(G$2, Percentiles!$A$45:$I$59, 8, FALSE), perc_85, perc_75 + (perc_90 - perc_75) * (2/3), converted_stat, '2K_Ratings'!G932, IF(bbgm_stat &gt;= perc_95, converted_stat * 3, IF(bbgm_stat &gt;= perc_90, converted_stat * 2, IF(bbgm_stat &gt;= perc_85, converted_stat * 1.5, converted_stat)))))</f>
        <v/>
      </c>
      <c r="H932" s="30" t="str">
        <f t="array" ref="H932">IF($A932="", "", LET(bbgm_stat, INDEX(Players!$A931:$P931, MATCH(H$2, Players!$A$1:$P$1, 0)), perc_75, VLOOKUP(H$2, Percentiles!$A$45:$I$59, 6, FALSE), perc_90, VLOOKUP(H$2, Percentiles!$A$45:$I$59, 7, FALSE), perc_95, VLOOKUP(H$2, Percentiles!$A$45:$I$59, 8, FALSE), perc_85, perc_75 + (perc_90 - perc_75) * (2/3), converted_stat, '2K_Ratings'!H932, IF(bbgm_stat &gt;= perc_95, converted_stat * 3, IF(bbgm_stat &gt;= perc_90, converted_stat * 2, IF(bbgm_stat &gt;= perc_85, converted_stat * 1.5, converted_stat)))))</f>
        <v/>
      </c>
      <c r="I932" s="30" t="str">
        <f t="array" ref="I932">IF($A932="", "", LET(bbgm_stat, INDEX(Players!$A931:$P931, MATCH(I$2, Players!$A$1:$P$1, 0)), perc_75, VLOOKUP(I$2, Percentiles!$A$45:$I$59, 6, FALSE), perc_90, VLOOKUP(I$2, Percentiles!$A$45:$I$59, 7, FALSE), perc_95, VLOOKUP(I$2, Percentiles!$A$45:$I$59, 8, FALSE), perc_85, perc_75 + (perc_90 - perc_75) * (2/3), converted_stat, '2K_Ratings'!I932, IF(bbgm_stat &gt;= perc_95, converted_stat * 3, IF(bbgm_stat &gt;= perc_90, converted_stat * 2, IF(bbgm_stat &gt;= perc_85, converted_stat * 1.5, converted_stat)))))</f>
        <v/>
      </c>
      <c r="J932" s="30" t="str">
        <f t="array" ref="J932">IF($A932="", "", LET(bbgm_stat, INDEX(Players!$A931:$P931, MATCH(J$2, Players!$A$1:$P$1, 0)), perc_75, VLOOKUP(J$2, Percentiles!$A$45:$I$59, 6, FALSE), perc_90, VLOOKUP(J$2, Percentiles!$A$45:$I$59, 7, FALSE), perc_95, VLOOKUP(J$2, Percentiles!$A$45:$I$59, 8, FALSE), perc_85, perc_75 + (perc_90 - perc_75) * (2/3), converted_stat, '2K_Ratings'!J932, IF(bbgm_stat &gt;= perc_95, converted_stat * 3, IF(bbgm_stat &gt;= perc_90, converted_stat * 2, IF(bbgm_stat &gt;= perc_85, converted_stat * 1.5, converted_stat)))))</f>
        <v/>
      </c>
      <c r="K932" s="30" t="str">
        <f t="array" ref="K932">IF($A932="", "", LET(bbgm_stat, INDEX(Players!$A931:$P931, MATCH(K$2, Players!$A$1:$P$1, 0)), perc_75, VLOOKUP(K$2, Percentiles!$A$45:$I$59, 6, FALSE), perc_90, VLOOKUP(K$2, Percentiles!$A$45:$I$59, 7, FALSE), perc_95, VLOOKUP(K$2, Percentiles!$A$45:$I$59, 8, FALSE), perc_85, perc_75 + (perc_90 - perc_75) * (2/3), converted_stat, '2K_Ratings'!K932, IF(bbgm_stat &gt;= perc_95, converted_stat * 3, IF(bbgm_stat &gt;= perc_90, converted_stat * 2, IF(bbgm_stat &gt;= perc_85, converted_stat * 1.5, converted_stat)))))</f>
        <v/>
      </c>
      <c r="L932" s="30" t="str">
        <f t="array" ref="L932">IF($A932="", "", LET(bbgm_stat, INDEX(Players!$A931:$P931, MATCH(L$2, Players!$A$1:$P$1, 0)), perc_75, VLOOKUP(L$2, Percentiles!$A$45:$I$59, 6, FALSE), perc_90, VLOOKUP(L$2, Percentiles!$A$45:$I$59, 7, FALSE), perc_95, VLOOKUP(L$2, Percentiles!$A$45:$I$59, 8, FALSE), perc_85, perc_75 + (perc_90 - perc_75) * (2/3), converted_stat, '2K_Ratings'!L932, IF(bbgm_stat &gt;= perc_95, converted_stat * 3, IF(bbgm_stat &gt;= perc_90, converted_stat * 2, IF(bbgm_stat &gt;= perc_85, converted_stat * 1.5, converted_stat)))))</f>
        <v/>
      </c>
      <c r="M932" s="30" t="str">
        <f t="array" ref="M932">IF($A932="", "", LET(bbgm_stat, INDEX(Players!$A931:$P931, MATCH(M$2, Players!$A$1:$P$1, 0)), perc_75, VLOOKUP(M$2, Percentiles!$A$45:$I$59, 6, FALSE), perc_90, VLOOKUP(M$2, Percentiles!$A$45:$I$59, 7, FALSE), perc_95, VLOOKUP(M$2, Percentiles!$A$45:$I$59, 8, FALSE), perc_85, perc_75 + (perc_90 - perc_75) * (2/3), converted_stat, '2K_Ratings'!M932, IF(bbgm_stat &gt;= perc_95, converted_stat * 3, IF(bbgm_stat &gt;= perc_90, converted_stat * 2, IF(bbgm_stat &gt;= perc_85, converted_stat * 1.5, converted_stat)))))</f>
        <v/>
      </c>
      <c r="N932" s="30" t="str">
        <f t="array" ref="N932">IF($A932="", "", LET(bbgm_stat, INDEX(Players!$A931:$P931, MATCH(N$2, Players!$A$1:$P$1, 0)), perc_75, VLOOKUP(N$2, Percentiles!$A$45:$I$59, 6, FALSE), perc_90, VLOOKUP(N$2, Percentiles!$A$45:$I$59, 7, FALSE), perc_95, VLOOKUP(N$2, Percentiles!$A$45:$I$59, 8, FALSE), perc_85, perc_75 + (perc_90 - perc_75) * (2/3), converted_stat, '2K_Ratings'!N932, IF(bbgm_stat &gt;= perc_95, converted_stat * 3, IF(bbgm_stat &gt;= perc_90, converted_stat * 2, IF(bbgm_stat &gt;= perc_85, converted_stat * 1.5, converted_stat)))))</f>
        <v/>
      </c>
      <c r="O932" s="30" t="str">
        <f t="array" ref="O932">IF($A932="", "", LET(bbgm_stat, INDEX(Players!$A931:$P931, MATCH(O$2, Players!$A$1:$P$1, 0)), perc_75, VLOOKUP(O$2, Percentiles!$A$45:$I$59, 6, FALSE), perc_90, VLOOKUP(O$2, Percentiles!$A$45:$I$59, 7, FALSE), perc_95, VLOOKUP(O$2, Percentiles!$A$45:$I$59, 8, FALSE), perc_85, perc_75 + (perc_90 - perc_75) * (2/3), converted_stat, '2K_Ratings'!O932, IF(bbgm_stat &gt;= perc_95, converted_stat * 3, IF(bbgm_stat &gt;= perc_90, converted_stat * 2, IF(bbgm_stat &gt;= perc_85, converted_stat * 1.5, converted_stat)))))</f>
        <v/>
      </c>
      <c r="P932" s="30" t="str">
        <f t="array" ref="P932">IF($A932="", "", LET(bbgm_stat, INDEX(Players!$A931:$P931, MATCH(P$2, Players!$A$1:$P$1, 0)), perc_75, VLOOKUP(P$2, Percentiles!$A$45:$I$59, 6, FALSE), perc_90, VLOOKUP(P$2, Percentiles!$A$45:$I$59, 7, FALSE), perc_95, VLOOKUP(P$2, Percentiles!$A$45:$I$59, 8, FALSE), perc_85, perc_75 + (perc_90 - perc_75) * (2/3), converted_stat, '2K_Ratings'!P932, IF(bbgm_stat &gt;= perc_95, converted_stat * 3, IF(bbgm_stat &gt;= perc_90, converted_stat * 2, IF(bbgm_stat &gt;= perc_85, converted_stat * 1.5, converted_stat)))))</f>
        <v/>
      </c>
      <c r="Q932" s="30" t="str">
        <f t="array" ref="Q932">IF($A932="", "", LET(bbgm_stat, INDEX(Players!$A931:$P931, MATCH(Q$2, Players!$A$1:$P$1, 0)), perc_75, VLOOKUP(Q$2, Percentiles!$A$45:$I$59, 6, FALSE), perc_90, VLOOKUP(Q$2, Percentiles!$A$45:$I$59, 7, FALSE), perc_95, VLOOKUP(Q$2, Percentiles!$A$45:$I$59, 8, FALSE), perc_85, perc_75 + (perc_90 - perc_75) * (2/3), converted_stat, '2K_Ratings'!Q932, IF(bbgm_stat &gt;= perc_95, converted_stat * 3, IF(bbgm_stat &gt;= perc_90, converted_stat * 2, IF(bbgm_stat &gt;= perc_85, converted_stat * 1.5, converted_stat)))))</f>
        <v/>
      </c>
      <c r="R932" s="30" t="str">
        <f t="array" ref="R932">IF($A932="", "", LET(bbgm_stat, INDEX(Players!$A931:$P931, MATCH(R$2, Players!$A$1:$P$1, 0)), perc_75, VLOOKUP(R$2, Percentiles!$A$45:$I$59, 6, FALSE), perc_90, VLOOKUP(R$2, Percentiles!$A$45:$I$59, 7, FALSE), perc_95, VLOOKUP(R$2, Percentiles!$A$45:$I$59, 8, FALSE), perc_85, perc_75 + (perc_90 - perc_75) * (2/3), converted_stat, '2K_Ratings'!R932, IF(bbgm_stat &gt;= perc_95, converted_stat * 3, IF(bbgm_stat &gt;= perc_90, converted_stat * 2, IF(bbgm_stat &gt;= perc_85, converted_stat * 1.5, converted_stat)))))</f>
        <v/>
      </c>
      <c r="S932" s="30" t="str">
        <f t="array" ref="S932">IF($A932="", "", LET(bbgm_stat, INDEX(Players!$A931:$P931, MATCH(S$2, Players!$A$1:$P$1, 0)), perc_75, VLOOKUP(S$2, Percentiles!$A$45:$I$59, 6, FALSE), perc_90, VLOOKUP(S$2, Percentiles!$A$45:$I$59, 7, FALSE), perc_95, VLOOKUP(S$2, Percentiles!$A$45:$I$59, 8, FALSE), perc_85, perc_75 + (perc_90 - perc_75) * (2/3), converted_stat, '2K_Ratings'!S932, IF(bbgm_stat &gt;= perc_95, converted_stat * 3, IF(bbgm_stat &gt;= perc_90, converted_stat * 2, IF(bbgm_stat &gt;= perc_85, converted_stat * 1.5, converted_stat)))))</f>
        <v/>
      </c>
      <c r="T932" s="30" t="str">
        <f t="array" ref="T932">IF($A932="", "", LET(bbgm_stat, INDEX(Players!$A931:$P931, MATCH(T$2, Players!$A$1:$P$1, 0)), perc_75, VLOOKUP(T$2, Percentiles!$A$45:$I$59, 6, FALSE), perc_90, VLOOKUP(T$2, Percentiles!$A$45:$I$59, 7, FALSE), perc_95, VLOOKUP(T$2, Percentiles!$A$45:$I$59, 8, FALSE), perc_85, perc_75 + (perc_90 - perc_75) * (2/3), converted_stat, '2K_Ratings'!T932, IF(bbgm_stat &gt;= perc_95, converted_stat * 3, IF(bbgm_stat &gt;= perc_90, converted_stat * 2, IF(bbgm_stat &gt;= perc_85, converted_stat * 1.5, converted_stat)))))</f>
        <v/>
      </c>
      <c r="U932" s="30" t="str">
        <f t="array" ref="U932">IF($A932="", "", LET(bbgm_stat, INDEX(Players!$A931:$P931, MATCH(U$2, Players!$A$1:$P$1, 0)), perc_75, VLOOKUP(U$2, Percentiles!$A$45:$I$59, 6, FALSE), perc_90, VLOOKUP(U$2, Percentiles!$A$45:$I$59, 7, FALSE), perc_95, VLOOKUP(U$2, Percentiles!$A$45:$I$59, 8, FALSE), perc_85, perc_75 + (perc_90 - perc_75) * (2/3), converted_stat, '2K_Ratings'!U932, IF(bbgm_stat &gt;= perc_95, converted_stat * 3, IF(bbgm_stat &gt;= perc_90, converted_stat * 2, IF(bbgm_stat &gt;= perc_85, converted_stat * 1.5, converted_stat)))))</f>
        <v/>
      </c>
      <c r="V932" s="30" t="str">
        <f t="array" ref="V932">IF($A932="", "", LET(bbgm_stat, INDEX(Players!$A931:$P931, MATCH(V$2, Players!$A$1:$P$1, 0)), perc_75, VLOOKUP(V$2, Percentiles!$A$45:$I$59, 6, FALSE), perc_90, VLOOKUP(V$2, Percentiles!$A$45:$I$59, 7, FALSE), perc_95, VLOOKUP(V$2, Percentiles!$A$45:$I$59, 8, FALSE), perc_85, perc_75 + (perc_90 - perc_75) * (2/3), converted_stat, '2K_Ratings'!V932, IF(bbgm_stat &gt;= perc_95, converted_stat * 3, IF(bbgm_stat &gt;= perc_90, converted_stat * 2, IF(bbgm_stat &gt;= perc_85, converted_stat * 1.5, converted_stat)))))</f>
        <v/>
      </c>
      <c r="W932" s="30" t="str">
        <f t="array" ref="W932">IF($A932="", "", LET(bbgm_stat, INDEX(Players!$A931:$P931, MATCH(W$2, Players!$A$1:$P$1, 0)), perc_75, VLOOKUP(W$2, Percentiles!$A$45:$I$59, 6, FALSE), perc_90, VLOOKUP(W$2, Percentiles!$A$45:$I$59, 7, FALSE), perc_95, VLOOKUP(W$2, Percentiles!$A$45:$I$59, 8, FALSE), perc_85, perc_75 + (perc_90 - perc_75) * (2/3), converted_stat, '2K_Ratings'!W932, IF(bbgm_stat &gt;= perc_95, converted_stat * 3, IF(bbgm_stat &gt;= perc_90, converted_stat * 2, IF(bbgm_stat &gt;= perc_85, converted_stat * 1.5, converted_stat)))))</f>
        <v/>
      </c>
    </row>
    <row r="933">
      <c r="A933" s="30"/>
      <c r="B933" s="30" t="str">
        <f t="array" ref="B933">IF($A933="", "", LET(bbgm_stat, INDEX(Players!$A932:$P932, MATCH(B$2, Players!$A$1:$P$1, 0)), perc_75, VLOOKUP(B$2, Percentiles!$A$45:$I$59, 6, FALSE), perc_90, VLOOKUP(B$2, Percentiles!$A$45:$I$59, 7, FALSE), perc_95, VLOOKUP(B$2, Percentiles!$A$45:$I$59, 8, FALSE), perc_85, perc_75 + (perc_90 - perc_75) * (2/3), converted_stat, '2K_Ratings'!B933, IF(bbgm_stat &gt;= perc_95, converted_stat * 3, IF(bbgm_stat &gt;= perc_90, converted_stat * 2, IF(bbgm_stat &gt;= perc_85, converted_stat * 1.5, converted_stat)))))</f>
        <v/>
      </c>
      <c r="C933" s="30" t="str">
        <f t="array" ref="C933">IF($A933="", "", LET(bbgm_stat, INDEX(Players!$A932:$P932, MATCH(C$2, Players!$A$1:$P$1, 0)), perc_75, VLOOKUP(C$2, Percentiles!$A$45:$I$59, 6, FALSE), perc_90, VLOOKUP(C$2, Percentiles!$A$45:$I$59, 7, FALSE), perc_95, VLOOKUP(C$2, Percentiles!$A$45:$I$59, 8, FALSE), perc_85, perc_75 + (perc_90 - perc_75) * (2/3), converted_stat, '2K_Ratings'!C933, IF(bbgm_stat &gt;= perc_95, converted_stat * 3, IF(bbgm_stat &gt;= perc_90, converted_stat * 2, IF(bbgm_stat &gt;= perc_85, converted_stat * 1.5, converted_stat)))))</f>
        <v/>
      </c>
      <c r="D933" s="30" t="str">
        <f t="array" ref="D933">IF($A933="", "", LET(bbgm_stat, INDEX(Players!$A932:$P932, MATCH(D$2, Players!$A$1:$P$1, 0)), perc_75, VLOOKUP(D$2, Percentiles!$A$45:$I$59, 6, FALSE), perc_90, VLOOKUP(D$2, Percentiles!$A$45:$I$59, 7, FALSE), perc_95, VLOOKUP(D$2, Percentiles!$A$45:$I$59, 8, FALSE), perc_85, perc_75 + (perc_90 - perc_75) * (2/3), converted_stat, '2K_Ratings'!D933, IF(bbgm_stat &gt;= perc_95, converted_stat * 3, IF(bbgm_stat &gt;= perc_90, converted_stat * 2, IF(bbgm_stat &gt;= perc_85, converted_stat * 1.5, converted_stat)))))</f>
        <v/>
      </c>
      <c r="E933" s="30" t="str">
        <f t="array" ref="E933">IF($A933="", "", LET(bbgm_stat, INDEX(Players!$A932:$P932, MATCH(E$2, Players!$A$1:$P$1, 0)), perc_75, VLOOKUP(E$2, Percentiles!$A$45:$I$59, 6, FALSE), perc_90, VLOOKUP(E$2, Percentiles!$A$45:$I$59, 7, FALSE), perc_95, VLOOKUP(E$2, Percentiles!$A$45:$I$59, 8, FALSE), perc_85, perc_75 + (perc_90 - perc_75) * (2/3), converted_stat, '2K_Ratings'!E933, IF(bbgm_stat &gt;= perc_95, converted_stat * 3, IF(bbgm_stat &gt;= perc_90, converted_stat * 2, IF(bbgm_stat &gt;= perc_85, converted_stat * 1.5, converted_stat)))))</f>
        <v/>
      </c>
      <c r="F933" s="30" t="str">
        <f t="array" ref="F933">IF($A933="", "", LET(bbgm_stat, INDEX(Players!$A932:$P932, MATCH(F$2, Players!$A$1:$P$1, 0)), perc_75, VLOOKUP(F$2, Percentiles!$A$45:$I$59, 6, FALSE), perc_90, VLOOKUP(F$2, Percentiles!$A$45:$I$59, 7, FALSE), perc_95, VLOOKUP(F$2, Percentiles!$A$45:$I$59, 8, FALSE), perc_85, perc_75 + (perc_90 - perc_75) * (2/3), converted_stat, '2K_Ratings'!F933, IF(bbgm_stat &gt;= perc_95, converted_stat * 3, IF(bbgm_stat &gt;= perc_90, converted_stat * 2, IF(bbgm_stat &gt;= perc_85, converted_stat * 1.5, converted_stat)))))</f>
        <v/>
      </c>
      <c r="G933" s="30" t="str">
        <f t="array" ref="G933">IF($A933="", "", LET(bbgm_stat, INDEX(Players!$A932:$P932, MATCH(G$2, Players!$A$1:$P$1, 0)), perc_75, VLOOKUP(G$2, Percentiles!$A$45:$I$59, 6, FALSE), perc_90, VLOOKUP(G$2, Percentiles!$A$45:$I$59, 7, FALSE), perc_95, VLOOKUP(G$2, Percentiles!$A$45:$I$59, 8, FALSE), perc_85, perc_75 + (perc_90 - perc_75) * (2/3), converted_stat, '2K_Ratings'!G933, IF(bbgm_stat &gt;= perc_95, converted_stat * 3, IF(bbgm_stat &gt;= perc_90, converted_stat * 2, IF(bbgm_stat &gt;= perc_85, converted_stat * 1.5, converted_stat)))))</f>
        <v/>
      </c>
      <c r="H933" s="30" t="str">
        <f t="array" ref="H933">IF($A933="", "", LET(bbgm_stat, INDEX(Players!$A932:$P932, MATCH(H$2, Players!$A$1:$P$1, 0)), perc_75, VLOOKUP(H$2, Percentiles!$A$45:$I$59, 6, FALSE), perc_90, VLOOKUP(H$2, Percentiles!$A$45:$I$59, 7, FALSE), perc_95, VLOOKUP(H$2, Percentiles!$A$45:$I$59, 8, FALSE), perc_85, perc_75 + (perc_90 - perc_75) * (2/3), converted_stat, '2K_Ratings'!H933, IF(bbgm_stat &gt;= perc_95, converted_stat * 3, IF(bbgm_stat &gt;= perc_90, converted_stat * 2, IF(bbgm_stat &gt;= perc_85, converted_stat * 1.5, converted_stat)))))</f>
        <v/>
      </c>
      <c r="I933" s="30" t="str">
        <f t="array" ref="I933">IF($A933="", "", LET(bbgm_stat, INDEX(Players!$A932:$P932, MATCH(I$2, Players!$A$1:$P$1, 0)), perc_75, VLOOKUP(I$2, Percentiles!$A$45:$I$59, 6, FALSE), perc_90, VLOOKUP(I$2, Percentiles!$A$45:$I$59, 7, FALSE), perc_95, VLOOKUP(I$2, Percentiles!$A$45:$I$59, 8, FALSE), perc_85, perc_75 + (perc_90 - perc_75) * (2/3), converted_stat, '2K_Ratings'!I933, IF(bbgm_stat &gt;= perc_95, converted_stat * 3, IF(bbgm_stat &gt;= perc_90, converted_stat * 2, IF(bbgm_stat &gt;= perc_85, converted_stat * 1.5, converted_stat)))))</f>
        <v/>
      </c>
      <c r="J933" s="30" t="str">
        <f t="array" ref="J933">IF($A933="", "", LET(bbgm_stat, INDEX(Players!$A932:$P932, MATCH(J$2, Players!$A$1:$P$1, 0)), perc_75, VLOOKUP(J$2, Percentiles!$A$45:$I$59, 6, FALSE), perc_90, VLOOKUP(J$2, Percentiles!$A$45:$I$59, 7, FALSE), perc_95, VLOOKUP(J$2, Percentiles!$A$45:$I$59, 8, FALSE), perc_85, perc_75 + (perc_90 - perc_75) * (2/3), converted_stat, '2K_Ratings'!J933, IF(bbgm_stat &gt;= perc_95, converted_stat * 3, IF(bbgm_stat &gt;= perc_90, converted_stat * 2, IF(bbgm_stat &gt;= perc_85, converted_stat * 1.5, converted_stat)))))</f>
        <v/>
      </c>
      <c r="K933" s="30" t="str">
        <f t="array" ref="K933">IF($A933="", "", LET(bbgm_stat, INDEX(Players!$A932:$P932, MATCH(K$2, Players!$A$1:$P$1, 0)), perc_75, VLOOKUP(K$2, Percentiles!$A$45:$I$59, 6, FALSE), perc_90, VLOOKUP(K$2, Percentiles!$A$45:$I$59, 7, FALSE), perc_95, VLOOKUP(K$2, Percentiles!$A$45:$I$59, 8, FALSE), perc_85, perc_75 + (perc_90 - perc_75) * (2/3), converted_stat, '2K_Ratings'!K933, IF(bbgm_stat &gt;= perc_95, converted_stat * 3, IF(bbgm_stat &gt;= perc_90, converted_stat * 2, IF(bbgm_stat &gt;= perc_85, converted_stat * 1.5, converted_stat)))))</f>
        <v/>
      </c>
      <c r="L933" s="30" t="str">
        <f t="array" ref="L933">IF($A933="", "", LET(bbgm_stat, INDEX(Players!$A932:$P932, MATCH(L$2, Players!$A$1:$P$1, 0)), perc_75, VLOOKUP(L$2, Percentiles!$A$45:$I$59, 6, FALSE), perc_90, VLOOKUP(L$2, Percentiles!$A$45:$I$59, 7, FALSE), perc_95, VLOOKUP(L$2, Percentiles!$A$45:$I$59, 8, FALSE), perc_85, perc_75 + (perc_90 - perc_75) * (2/3), converted_stat, '2K_Ratings'!L933, IF(bbgm_stat &gt;= perc_95, converted_stat * 3, IF(bbgm_stat &gt;= perc_90, converted_stat * 2, IF(bbgm_stat &gt;= perc_85, converted_stat * 1.5, converted_stat)))))</f>
        <v/>
      </c>
      <c r="M933" s="30" t="str">
        <f t="array" ref="M933">IF($A933="", "", LET(bbgm_stat, INDEX(Players!$A932:$P932, MATCH(M$2, Players!$A$1:$P$1, 0)), perc_75, VLOOKUP(M$2, Percentiles!$A$45:$I$59, 6, FALSE), perc_90, VLOOKUP(M$2, Percentiles!$A$45:$I$59, 7, FALSE), perc_95, VLOOKUP(M$2, Percentiles!$A$45:$I$59, 8, FALSE), perc_85, perc_75 + (perc_90 - perc_75) * (2/3), converted_stat, '2K_Ratings'!M933, IF(bbgm_stat &gt;= perc_95, converted_stat * 3, IF(bbgm_stat &gt;= perc_90, converted_stat * 2, IF(bbgm_stat &gt;= perc_85, converted_stat * 1.5, converted_stat)))))</f>
        <v/>
      </c>
      <c r="N933" s="30" t="str">
        <f t="array" ref="N933">IF($A933="", "", LET(bbgm_stat, INDEX(Players!$A932:$P932, MATCH(N$2, Players!$A$1:$P$1, 0)), perc_75, VLOOKUP(N$2, Percentiles!$A$45:$I$59, 6, FALSE), perc_90, VLOOKUP(N$2, Percentiles!$A$45:$I$59, 7, FALSE), perc_95, VLOOKUP(N$2, Percentiles!$A$45:$I$59, 8, FALSE), perc_85, perc_75 + (perc_90 - perc_75) * (2/3), converted_stat, '2K_Ratings'!N933, IF(bbgm_stat &gt;= perc_95, converted_stat * 3, IF(bbgm_stat &gt;= perc_90, converted_stat * 2, IF(bbgm_stat &gt;= perc_85, converted_stat * 1.5, converted_stat)))))</f>
        <v/>
      </c>
      <c r="O933" s="30" t="str">
        <f t="array" ref="O933">IF($A933="", "", LET(bbgm_stat, INDEX(Players!$A932:$P932, MATCH(O$2, Players!$A$1:$P$1, 0)), perc_75, VLOOKUP(O$2, Percentiles!$A$45:$I$59, 6, FALSE), perc_90, VLOOKUP(O$2, Percentiles!$A$45:$I$59, 7, FALSE), perc_95, VLOOKUP(O$2, Percentiles!$A$45:$I$59, 8, FALSE), perc_85, perc_75 + (perc_90 - perc_75) * (2/3), converted_stat, '2K_Ratings'!O933, IF(bbgm_stat &gt;= perc_95, converted_stat * 3, IF(bbgm_stat &gt;= perc_90, converted_stat * 2, IF(bbgm_stat &gt;= perc_85, converted_stat * 1.5, converted_stat)))))</f>
        <v/>
      </c>
      <c r="P933" s="30" t="str">
        <f t="array" ref="P933">IF($A933="", "", LET(bbgm_stat, INDEX(Players!$A932:$P932, MATCH(P$2, Players!$A$1:$P$1, 0)), perc_75, VLOOKUP(P$2, Percentiles!$A$45:$I$59, 6, FALSE), perc_90, VLOOKUP(P$2, Percentiles!$A$45:$I$59, 7, FALSE), perc_95, VLOOKUP(P$2, Percentiles!$A$45:$I$59, 8, FALSE), perc_85, perc_75 + (perc_90 - perc_75) * (2/3), converted_stat, '2K_Ratings'!P933, IF(bbgm_stat &gt;= perc_95, converted_stat * 3, IF(bbgm_stat &gt;= perc_90, converted_stat * 2, IF(bbgm_stat &gt;= perc_85, converted_stat * 1.5, converted_stat)))))</f>
        <v/>
      </c>
      <c r="Q933" s="30" t="str">
        <f t="array" ref="Q933">IF($A933="", "", LET(bbgm_stat, INDEX(Players!$A932:$P932, MATCH(Q$2, Players!$A$1:$P$1, 0)), perc_75, VLOOKUP(Q$2, Percentiles!$A$45:$I$59, 6, FALSE), perc_90, VLOOKUP(Q$2, Percentiles!$A$45:$I$59, 7, FALSE), perc_95, VLOOKUP(Q$2, Percentiles!$A$45:$I$59, 8, FALSE), perc_85, perc_75 + (perc_90 - perc_75) * (2/3), converted_stat, '2K_Ratings'!Q933, IF(bbgm_stat &gt;= perc_95, converted_stat * 3, IF(bbgm_stat &gt;= perc_90, converted_stat * 2, IF(bbgm_stat &gt;= perc_85, converted_stat * 1.5, converted_stat)))))</f>
        <v/>
      </c>
      <c r="R933" s="30" t="str">
        <f t="array" ref="R933">IF($A933="", "", LET(bbgm_stat, INDEX(Players!$A932:$P932, MATCH(R$2, Players!$A$1:$P$1, 0)), perc_75, VLOOKUP(R$2, Percentiles!$A$45:$I$59, 6, FALSE), perc_90, VLOOKUP(R$2, Percentiles!$A$45:$I$59, 7, FALSE), perc_95, VLOOKUP(R$2, Percentiles!$A$45:$I$59, 8, FALSE), perc_85, perc_75 + (perc_90 - perc_75) * (2/3), converted_stat, '2K_Ratings'!R933, IF(bbgm_stat &gt;= perc_95, converted_stat * 3, IF(bbgm_stat &gt;= perc_90, converted_stat * 2, IF(bbgm_stat &gt;= perc_85, converted_stat * 1.5, converted_stat)))))</f>
        <v/>
      </c>
      <c r="S933" s="30" t="str">
        <f t="array" ref="S933">IF($A933="", "", LET(bbgm_stat, INDEX(Players!$A932:$P932, MATCH(S$2, Players!$A$1:$P$1, 0)), perc_75, VLOOKUP(S$2, Percentiles!$A$45:$I$59, 6, FALSE), perc_90, VLOOKUP(S$2, Percentiles!$A$45:$I$59, 7, FALSE), perc_95, VLOOKUP(S$2, Percentiles!$A$45:$I$59, 8, FALSE), perc_85, perc_75 + (perc_90 - perc_75) * (2/3), converted_stat, '2K_Ratings'!S933, IF(bbgm_stat &gt;= perc_95, converted_stat * 3, IF(bbgm_stat &gt;= perc_90, converted_stat * 2, IF(bbgm_stat &gt;= perc_85, converted_stat * 1.5, converted_stat)))))</f>
        <v/>
      </c>
      <c r="T933" s="30" t="str">
        <f t="array" ref="T933">IF($A933="", "", LET(bbgm_stat, INDEX(Players!$A932:$P932, MATCH(T$2, Players!$A$1:$P$1, 0)), perc_75, VLOOKUP(T$2, Percentiles!$A$45:$I$59, 6, FALSE), perc_90, VLOOKUP(T$2, Percentiles!$A$45:$I$59, 7, FALSE), perc_95, VLOOKUP(T$2, Percentiles!$A$45:$I$59, 8, FALSE), perc_85, perc_75 + (perc_90 - perc_75) * (2/3), converted_stat, '2K_Ratings'!T933, IF(bbgm_stat &gt;= perc_95, converted_stat * 3, IF(bbgm_stat &gt;= perc_90, converted_stat * 2, IF(bbgm_stat &gt;= perc_85, converted_stat * 1.5, converted_stat)))))</f>
        <v/>
      </c>
      <c r="U933" s="30" t="str">
        <f t="array" ref="U933">IF($A933="", "", LET(bbgm_stat, INDEX(Players!$A932:$P932, MATCH(U$2, Players!$A$1:$P$1, 0)), perc_75, VLOOKUP(U$2, Percentiles!$A$45:$I$59, 6, FALSE), perc_90, VLOOKUP(U$2, Percentiles!$A$45:$I$59, 7, FALSE), perc_95, VLOOKUP(U$2, Percentiles!$A$45:$I$59, 8, FALSE), perc_85, perc_75 + (perc_90 - perc_75) * (2/3), converted_stat, '2K_Ratings'!U933, IF(bbgm_stat &gt;= perc_95, converted_stat * 3, IF(bbgm_stat &gt;= perc_90, converted_stat * 2, IF(bbgm_stat &gt;= perc_85, converted_stat * 1.5, converted_stat)))))</f>
        <v/>
      </c>
      <c r="V933" s="30" t="str">
        <f t="array" ref="V933">IF($A933="", "", LET(bbgm_stat, INDEX(Players!$A932:$P932, MATCH(V$2, Players!$A$1:$P$1, 0)), perc_75, VLOOKUP(V$2, Percentiles!$A$45:$I$59, 6, FALSE), perc_90, VLOOKUP(V$2, Percentiles!$A$45:$I$59, 7, FALSE), perc_95, VLOOKUP(V$2, Percentiles!$A$45:$I$59, 8, FALSE), perc_85, perc_75 + (perc_90 - perc_75) * (2/3), converted_stat, '2K_Ratings'!V933, IF(bbgm_stat &gt;= perc_95, converted_stat * 3, IF(bbgm_stat &gt;= perc_90, converted_stat * 2, IF(bbgm_stat &gt;= perc_85, converted_stat * 1.5, converted_stat)))))</f>
        <v/>
      </c>
      <c r="W933" s="30" t="str">
        <f t="array" ref="W933">IF($A933="", "", LET(bbgm_stat, INDEX(Players!$A932:$P932, MATCH(W$2, Players!$A$1:$P$1, 0)), perc_75, VLOOKUP(W$2, Percentiles!$A$45:$I$59, 6, FALSE), perc_90, VLOOKUP(W$2, Percentiles!$A$45:$I$59, 7, FALSE), perc_95, VLOOKUP(W$2, Percentiles!$A$45:$I$59, 8, FALSE), perc_85, perc_75 + (perc_90 - perc_75) * (2/3), converted_stat, '2K_Ratings'!W933, IF(bbgm_stat &gt;= perc_95, converted_stat * 3, IF(bbgm_stat &gt;= perc_90, converted_stat * 2, IF(bbgm_stat &gt;= perc_85, converted_stat * 1.5, converted_stat)))))</f>
        <v/>
      </c>
    </row>
    <row r="934">
      <c r="A934" s="30"/>
      <c r="B934" s="30" t="str">
        <f t="array" ref="B934">IF($A934="", "", LET(bbgm_stat, INDEX(Players!$A933:$P933, MATCH(B$2, Players!$A$1:$P$1, 0)), perc_75, VLOOKUP(B$2, Percentiles!$A$45:$I$59, 6, FALSE), perc_90, VLOOKUP(B$2, Percentiles!$A$45:$I$59, 7, FALSE), perc_95, VLOOKUP(B$2, Percentiles!$A$45:$I$59, 8, FALSE), perc_85, perc_75 + (perc_90 - perc_75) * (2/3), converted_stat, '2K_Ratings'!B934, IF(bbgm_stat &gt;= perc_95, converted_stat * 3, IF(bbgm_stat &gt;= perc_90, converted_stat * 2, IF(bbgm_stat &gt;= perc_85, converted_stat * 1.5, converted_stat)))))</f>
        <v/>
      </c>
      <c r="C934" s="30" t="str">
        <f t="array" ref="C934">IF($A934="", "", LET(bbgm_stat, INDEX(Players!$A933:$P933, MATCH(C$2, Players!$A$1:$P$1, 0)), perc_75, VLOOKUP(C$2, Percentiles!$A$45:$I$59, 6, FALSE), perc_90, VLOOKUP(C$2, Percentiles!$A$45:$I$59, 7, FALSE), perc_95, VLOOKUP(C$2, Percentiles!$A$45:$I$59, 8, FALSE), perc_85, perc_75 + (perc_90 - perc_75) * (2/3), converted_stat, '2K_Ratings'!C934, IF(bbgm_stat &gt;= perc_95, converted_stat * 3, IF(bbgm_stat &gt;= perc_90, converted_stat * 2, IF(bbgm_stat &gt;= perc_85, converted_stat * 1.5, converted_stat)))))</f>
        <v/>
      </c>
      <c r="D934" s="30" t="str">
        <f t="array" ref="D934">IF($A934="", "", LET(bbgm_stat, INDEX(Players!$A933:$P933, MATCH(D$2, Players!$A$1:$P$1, 0)), perc_75, VLOOKUP(D$2, Percentiles!$A$45:$I$59, 6, FALSE), perc_90, VLOOKUP(D$2, Percentiles!$A$45:$I$59, 7, FALSE), perc_95, VLOOKUP(D$2, Percentiles!$A$45:$I$59, 8, FALSE), perc_85, perc_75 + (perc_90 - perc_75) * (2/3), converted_stat, '2K_Ratings'!D934, IF(bbgm_stat &gt;= perc_95, converted_stat * 3, IF(bbgm_stat &gt;= perc_90, converted_stat * 2, IF(bbgm_stat &gt;= perc_85, converted_stat * 1.5, converted_stat)))))</f>
        <v/>
      </c>
      <c r="E934" s="30" t="str">
        <f t="array" ref="E934">IF($A934="", "", LET(bbgm_stat, INDEX(Players!$A933:$P933, MATCH(E$2, Players!$A$1:$P$1, 0)), perc_75, VLOOKUP(E$2, Percentiles!$A$45:$I$59, 6, FALSE), perc_90, VLOOKUP(E$2, Percentiles!$A$45:$I$59, 7, FALSE), perc_95, VLOOKUP(E$2, Percentiles!$A$45:$I$59, 8, FALSE), perc_85, perc_75 + (perc_90 - perc_75) * (2/3), converted_stat, '2K_Ratings'!E934, IF(bbgm_stat &gt;= perc_95, converted_stat * 3, IF(bbgm_stat &gt;= perc_90, converted_stat * 2, IF(bbgm_stat &gt;= perc_85, converted_stat * 1.5, converted_stat)))))</f>
        <v/>
      </c>
      <c r="F934" s="30" t="str">
        <f t="array" ref="F934">IF($A934="", "", LET(bbgm_stat, INDEX(Players!$A933:$P933, MATCH(F$2, Players!$A$1:$P$1, 0)), perc_75, VLOOKUP(F$2, Percentiles!$A$45:$I$59, 6, FALSE), perc_90, VLOOKUP(F$2, Percentiles!$A$45:$I$59, 7, FALSE), perc_95, VLOOKUP(F$2, Percentiles!$A$45:$I$59, 8, FALSE), perc_85, perc_75 + (perc_90 - perc_75) * (2/3), converted_stat, '2K_Ratings'!F934, IF(bbgm_stat &gt;= perc_95, converted_stat * 3, IF(bbgm_stat &gt;= perc_90, converted_stat * 2, IF(bbgm_stat &gt;= perc_85, converted_stat * 1.5, converted_stat)))))</f>
        <v/>
      </c>
      <c r="G934" s="30" t="str">
        <f t="array" ref="G934">IF($A934="", "", LET(bbgm_stat, INDEX(Players!$A933:$P933, MATCH(G$2, Players!$A$1:$P$1, 0)), perc_75, VLOOKUP(G$2, Percentiles!$A$45:$I$59, 6, FALSE), perc_90, VLOOKUP(G$2, Percentiles!$A$45:$I$59, 7, FALSE), perc_95, VLOOKUP(G$2, Percentiles!$A$45:$I$59, 8, FALSE), perc_85, perc_75 + (perc_90 - perc_75) * (2/3), converted_stat, '2K_Ratings'!G934, IF(bbgm_stat &gt;= perc_95, converted_stat * 3, IF(bbgm_stat &gt;= perc_90, converted_stat * 2, IF(bbgm_stat &gt;= perc_85, converted_stat * 1.5, converted_stat)))))</f>
        <v/>
      </c>
      <c r="H934" s="30" t="str">
        <f t="array" ref="H934">IF($A934="", "", LET(bbgm_stat, INDEX(Players!$A933:$P933, MATCH(H$2, Players!$A$1:$P$1, 0)), perc_75, VLOOKUP(H$2, Percentiles!$A$45:$I$59, 6, FALSE), perc_90, VLOOKUP(H$2, Percentiles!$A$45:$I$59, 7, FALSE), perc_95, VLOOKUP(H$2, Percentiles!$A$45:$I$59, 8, FALSE), perc_85, perc_75 + (perc_90 - perc_75) * (2/3), converted_stat, '2K_Ratings'!H934, IF(bbgm_stat &gt;= perc_95, converted_stat * 3, IF(bbgm_stat &gt;= perc_90, converted_stat * 2, IF(bbgm_stat &gt;= perc_85, converted_stat * 1.5, converted_stat)))))</f>
        <v/>
      </c>
      <c r="I934" s="30" t="str">
        <f t="array" ref="I934">IF($A934="", "", LET(bbgm_stat, INDEX(Players!$A933:$P933, MATCH(I$2, Players!$A$1:$P$1, 0)), perc_75, VLOOKUP(I$2, Percentiles!$A$45:$I$59, 6, FALSE), perc_90, VLOOKUP(I$2, Percentiles!$A$45:$I$59, 7, FALSE), perc_95, VLOOKUP(I$2, Percentiles!$A$45:$I$59, 8, FALSE), perc_85, perc_75 + (perc_90 - perc_75) * (2/3), converted_stat, '2K_Ratings'!I934, IF(bbgm_stat &gt;= perc_95, converted_stat * 3, IF(bbgm_stat &gt;= perc_90, converted_stat * 2, IF(bbgm_stat &gt;= perc_85, converted_stat * 1.5, converted_stat)))))</f>
        <v/>
      </c>
      <c r="J934" s="30" t="str">
        <f t="array" ref="J934">IF($A934="", "", LET(bbgm_stat, INDEX(Players!$A933:$P933, MATCH(J$2, Players!$A$1:$P$1, 0)), perc_75, VLOOKUP(J$2, Percentiles!$A$45:$I$59, 6, FALSE), perc_90, VLOOKUP(J$2, Percentiles!$A$45:$I$59, 7, FALSE), perc_95, VLOOKUP(J$2, Percentiles!$A$45:$I$59, 8, FALSE), perc_85, perc_75 + (perc_90 - perc_75) * (2/3), converted_stat, '2K_Ratings'!J934, IF(bbgm_stat &gt;= perc_95, converted_stat * 3, IF(bbgm_stat &gt;= perc_90, converted_stat * 2, IF(bbgm_stat &gt;= perc_85, converted_stat * 1.5, converted_stat)))))</f>
        <v/>
      </c>
      <c r="K934" s="30" t="str">
        <f t="array" ref="K934">IF($A934="", "", LET(bbgm_stat, INDEX(Players!$A933:$P933, MATCH(K$2, Players!$A$1:$P$1, 0)), perc_75, VLOOKUP(K$2, Percentiles!$A$45:$I$59, 6, FALSE), perc_90, VLOOKUP(K$2, Percentiles!$A$45:$I$59, 7, FALSE), perc_95, VLOOKUP(K$2, Percentiles!$A$45:$I$59, 8, FALSE), perc_85, perc_75 + (perc_90 - perc_75) * (2/3), converted_stat, '2K_Ratings'!K934, IF(bbgm_stat &gt;= perc_95, converted_stat * 3, IF(bbgm_stat &gt;= perc_90, converted_stat * 2, IF(bbgm_stat &gt;= perc_85, converted_stat * 1.5, converted_stat)))))</f>
        <v/>
      </c>
      <c r="L934" s="30" t="str">
        <f t="array" ref="L934">IF($A934="", "", LET(bbgm_stat, INDEX(Players!$A933:$P933, MATCH(L$2, Players!$A$1:$P$1, 0)), perc_75, VLOOKUP(L$2, Percentiles!$A$45:$I$59, 6, FALSE), perc_90, VLOOKUP(L$2, Percentiles!$A$45:$I$59, 7, FALSE), perc_95, VLOOKUP(L$2, Percentiles!$A$45:$I$59, 8, FALSE), perc_85, perc_75 + (perc_90 - perc_75) * (2/3), converted_stat, '2K_Ratings'!L934, IF(bbgm_stat &gt;= perc_95, converted_stat * 3, IF(bbgm_stat &gt;= perc_90, converted_stat * 2, IF(bbgm_stat &gt;= perc_85, converted_stat * 1.5, converted_stat)))))</f>
        <v/>
      </c>
      <c r="M934" s="30" t="str">
        <f t="array" ref="M934">IF($A934="", "", LET(bbgm_stat, INDEX(Players!$A933:$P933, MATCH(M$2, Players!$A$1:$P$1, 0)), perc_75, VLOOKUP(M$2, Percentiles!$A$45:$I$59, 6, FALSE), perc_90, VLOOKUP(M$2, Percentiles!$A$45:$I$59, 7, FALSE), perc_95, VLOOKUP(M$2, Percentiles!$A$45:$I$59, 8, FALSE), perc_85, perc_75 + (perc_90 - perc_75) * (2/3), converted_stat, '2K_Ratings'!M934, IF(bbgm_stat &gt;= perc_95, converted_stat * 3, IF(bbgm_stat &gt;= perc_90, converted_stat * 2, IF(bbgm_stat &gt;= perc_85, converted_stat * 1.5, converted_stat)))))</f>
        <v/>
      </c>
      <c r="N934" s="30" t="str">
        <f t="array" ref="N934">IF($A934="", "", LET(bbgm_stat, INDEX(Players!$A933:$P933, MATCH(N$2, Players!$A$1:$P$1, 0)), perc_75, VLOOKUP(N$2, Percentiles!$A$45:$I$59, 6, FALSE), perc_90, VLOOKUP(N$2, Percentiles!$A$45:$I$59, 7, FALSE), perc_95, VLOOKUP(N$2, Percentiles!$A$45:$I$59, 8, FALSE), perc_85, perc_75 + (perc_90 - perc_75) * (2/3), converted_stat, '2K_Ratings'!N934, IF(bbgm_stat &gt;= perc_95, converted_stat * 3, IF(bbgm_stat &gt;= perc_90, converted_stat * 2, IF(bbgm_stat &gt;= perc_85, converted_stat * 1.5, converted_stat)))))</f>
        <v/>
      </c>
      <c r="O934" s="30" t="str">
        <f t="array" ref="O934">IF($A934="", "", LET(bbgm_stat, INDEX(Players!$A933:$P933, MATCH(O$2, Players!$A$1:$P$1, 0)), perc_75, VLOOKUP(O$2, Percentiles!$A$45:$I$59, 6, FALSE), perc_90, VLOOKUP(O$2, Percentiles!$A$45:$I$59, 7, FALSE), perc_95, VLOOKUP(O$2, Percentiles!$A$45:$I$59, 8, FALSE), perc_85, perc_75 + (perc_90 - perc_75) * (2/3), converted_stat, '2K_Ratings'!O934, IF(bbgm_stat &gt;= perc_95, converted_stat * 3, IF(bbgm_stat &gt;= perc_90, converted_stat * 2, IF(bbgm_stat &gt;= perc_85, converted_stat * 1.5, converted_stat)))))</f>
        <v/>
      </c>
      <c r="P934" s="30" t="str">
        <f t="array" ref="P934">IF($A934="", "", LET(bbgm_stat, INDEX(Players!$A933:$P933, MATCH(P$2, Players!$A$1:$P$1, 0)), perc_75, VLOOKUP(P$2, Percentiles!$A$45:$I$59, 6, FALSE), perc_90, VLOOKUP(P$2, Percentiles!$A$45:$I$59, 7, FALSE), perc_95, VLOOKUP(P$2, Percentiles!$A$45:$I$59, 8, FALSE), perc_85, perc_75 + (perc_90 - perc_75) * (2/3), converted_stat, '2K_Ratings'!P934, IF(bbgm_stat &gt;= perc_95, converted_stat * 3, IF(bbgm_stat &gt;= perc_90, converted_stat * 2, IF(bbgm_stat &gt;= perc_85, converted_stat * 1.5, converted_stat)))))</f>
        <v/>
      </c>
      <c r="Q934" s="30" t="str">
        <f t="array" ref="Q934">IF($A934="", "", LET(bbgm_stat, INDEX(Players!$A933:$P933, MATCH(Q$2, Players!$A$1:$P$1, 0)), perc_75, VLOOKUP(Q$2, Percentiles!$A$45:$I$59, 6, FALSE), perc_90, VLOOKUP(Q$2, Percentiles!$A$45:$I$59, 7, FALSE), perc_95, VLOOKUP(Q$2, Percentiles!$A$45:$I$59, 8, FALSE), perc_85, perc_75 + (perc_90 - perc_75) * (2/3), converted_stat, '2K_Ratings'!Q934, IF(bbgm_stat &gt;= perc_95, converted_stat * 3, IF(bbgm_stat &gt;= perc_90, converted_stat * 2, IF(bbgm_stat &gt;= perc_85, converted_stat * 1.5, converted_stat)))))</f>
        <v/>
      </c>
      <c r="R934" s="30" t="str">
        <f t="array" ref="R934">IF($A934="", "", LET(bbgm_stat, INDEX(Players!$A933:$P933, MATCH(R$2, Players!$A$1:$P$1, 0)), perc_75, VLOOKUP(R$2, Percentiles!$A$45:$I$59, 6, FALSE), perc_90, VLOOKUP(R$2, Percentiles!$A$45:$I$59, 7, FALSE), perc_95, VLOOKUP(R$2, Percentiles!$A$45:$I$59, 8, FALSE), perc_85, perc_75 + (perc_90 - perc_75) * (2/3), converted_stat, '2K_Ratings'!R934, IF(bbgm_stat &gt;= perc_95, converted_stat * 3, IF(bbgm_stat &gt;= perc_90, converted_stat * 2, IF(bbgm_stat &gt;= perc_85, converted_stat * 1.5, converted_stat)))))</f>
        <v/>
      </c>
      <c r="S934" s="30" t="str">
        <f t="array" ref="S934">IF($A934="", "", LET(bbgm_stat, INDEX(Players!$A933:$P933, MATCH(S$2, Players!$A$1:$P$1, 0)), perc_75, VLOOKUP(S$2, Percentiles!$A$45:$I$59, 6, FALSE), perc_90, VLOOKUP(S$2, Percentiles!$A$45:$I$59, 7, FALSE), perc_95, VLOOKUP(S$2, Percentiles!$A$45:$I$59, 8, FALSE), perc_85, perc_75 + (perc_90 - perc_75) * (2/3), converted_stat, '2K_Ratings'!S934, IF(bbgm_stat &gt;= perc_95, converted_stat * 3, IF(bbgm_stat &gt;= perc_90, converted_stat * 2, IF(bbgm_stat &gt;= perc_85, converted_stat * 1.5, converted_stat)))))</f>
        <v/>
      </c>
      <c r="T934" s="30" t="str">
        <f t="array" ref="T934">IF($A934="", "", LET(bbgm_stat, INDEX(Players!$A933:$P933, MATCH(T$2, Players!$A$1:$P$1, 0)), perc_75, VLOOKUP(T$2, Percentiles!$A$45:$I$59, 6, FALSE), perc_90, VLOOKUP(T$2, Percentiles!$A$45:$I$59, 7, FALSE), perc_95, VLOOKUP(T$2, Percentiles!$A$45:$I$59, 8, FALSE), perc_85, perc_75 + (perc_90 - perc_75) * (2/3), converted_stat, '2K_Ratings'!T934, IF(bbgm_stat &gt;= perc_95, converted_stat * 3, IF(bbgm_stat &gt;= perc_90, converted_stat * 2, IF(bbgm_stat &gt;= perc_85, converted_stat * 1.5, converted_stat)))))</f>
        <v/>
      </c>
      <c r="U934" s="30" t="str">
        <f t="array" ref="U934">IF($A934="", "", LET(bbgm_stat, INDEX(Players!$A933:$P933, MATCH(U$2, Players!$A$1:$P$1, 0)), perc_75, VLOOKUP(U$2, Percentiles!$A$45:$I$59, 6, FALSE), perc_90, VLOOKUP(U$2, Percentiles!$A$45:$I$59, 7, FALSE), perc_95, VLOOKUP(U$2, Percentiles!$A$45:$I$59, 8, FALSE), perc_85, perc_75 + (perc_90 - perc_75) * (2/3), converted_stat, '2K_Ratings'!U934, IF(bbgm_stat &gt;= perc_95, converted_stat * 3, IF(bbgm_stat &gt;= perc_90, converted_stat * 2, IF(bbgm_stat &gt;= perc_85, converted_stat * 1.5, converted_stat)))))</f>
        <v/>
      </c>
      <c r="V934" s="30" t="str">
        <f t="array" ref="V934">IF($A934="", "", LET(bbgm_stat, INDEX(Players!$A933:$P933, MATCH(V$2, Players!$A$1:$P$1, 0)), perc_75, VLOOKUP(V$2, Percentiles!$A$45:$I$59, 6, FALSE), perc_90, VLOOKUP(V$2, Percentiles!$A$45:$I$59, 7, FALSE), perc_95, VLOOKUP(V$2, Percentiles!$A$45:$I$59, 8, FALSE), perc_85, perc_75 + (perc_90 - perc_75) * (2/3), converted_stat, '2K_Ratings'!V934, IF(bbgm_stat &gt;= perc_95, converted_stat * 3, IF(bbgm_stat &gt;= perc_90, converted_stat * 2, IF(bbgm_stat &gt;= perc_85, converted_stat * 1.5, converted_stat)))))</f>
        <v/>
      </c>
      <c r="W934" s="30" t="str">
        <f t="array" ref="W934">IF($A934="", "", LET(bbgm_stat, INDEX(Players!$A933:$P933, MATCH(W$2, Players!$A$1:$P$1, 0)), perc_75, VLOOKUP(W$2, Percentiles!$A$45:$I$59, 6, FALSE), perc_90, VLOOKUP(W$2, Percentiles!$A$45:$I$59, 7, FALSE), perc_95, VLOOKUP(W$2, Percentiles!$A$45:$I$59, 8, FALSE), perc_85, perc_75 + (perc_90 - perc_75) * (2/3), converted_stat, '2K_Ratings'!W934, IF(bbgm_stat &gt;= perc_95, converted_stat * 3, IF(bbgm_stat &gt;= perc_90, converted_stat * 2, IF(bbgm_stat &gt;= perc_85, converted_stat * 1.5, converted_stat)))))</f>
        <v/>
      </c>
    </row>
    <row r="935">
      <c r="A935" s="30"/>
      <c r="B935" s="30" t="str">
        <f t="array" ref="B935">IF($A935="", "", LET(bbgm_stat, INDEX(Players!$A934:$P934, MATCH(B$2, Players!$A$1:$P$1, 0)), perc_75, VLOOKUP(B$2, Percentiles!$A$45:$I$59, 6, FALSE), perc_90, VLOOKUP(B$2, Percentiles!$A$45:$I$59, 7, FALSE), perc_95, VLOOKUP(B$2, Percentiles!$A$45:$I$59, 8, FALSE), perc_85, perc_75 + (perc_90 - perc_75) * (2/3), converted_stat, '2K_Ratings'!B935, IF(bbgm_stat &gt;= perc_95, converted_stat * 3, IF(bbgm_stat &gt;= perc_90, converted_stat * 2, IF(bbgm_stat &gt;= perc_85, converted_stat * 1.5, converted_stat)))))</f>
        <v/>
      </c>
      <c r="C935" s="30" t="str">
        <f t="array" ref="C935">IF($A935="", "", LET(bbgm_stat, INDEX(Players!$A934:$P934, MATCH(C$2, Players!$A$1:$P$1, 0)), perc_75, VLOOKUP(C$2, Percentiles!$A$45:$I$59, 6, FALSE), perc_90, VLOOKUP(C$2, Percentiles!$A$45:$I$59, 7, FALSE), perc_95, VLOOKUP(C$2, Percentiles!$A$45:$I$59, 8, FALSE), perc_85, perc_75 + (perc_90 - perc_75) * (2/3), converted_stat, '2K_Ratings'!C935, IF(bbgm_stat &gt;= perc_95, converted_stat * 3, IF(bbgm_stat &gt;= perc_90, converted_stat * 2, IF(bbgm_stat &gt;= perc_85, converted_stat * 1.5, converted_stat)))))</f>
        <v/>
      </c>
      <c r="D935" s="30" t="str">
        <f t="array" ref="D935">IF($A935="", "", LET(bbgm_stat, INDEX(Players!$A934:$P934, MATCH(D$2, Players!$A$1:$P$1, 0)), perc_75, VLOOKUP(D$2, Percentiles!$A$45:$I$59, 6, FALSE), perc_90, VLOOKUP(D$2, Percentiles!$A$45:$I$59, 7, FALSE), perc_95, VLOOKUP(D$2, Percentiles!$A$45:$I$59, 8, FALSE), perc_85, perc_75 + (perc_90 - perc_75) * (2/3), converted_stat, '2K_Ratings'!D935, IF(bbgm_stat &gt;= perc_95, converted_stat * 3, IF(bbgm_stat &gt;= perc_90, converted_stat * 2, IF(bbgm_stat &gt;= perc_85, converted_stat * 1.5, converted_stat)))))</f>
        <v/>
      </c>
      <c r="E935" s="30" t="str">
        <f t="array" ref="E935">IF($A935="", "", LET(bbgm_stat, INDEX(Players!$A934:$P934, MATCH(E$2, Players!$A$1:$P$1, 0)), perc_75, VLOOKUP(E$2, Percentiles!$A$45:$I$59, 6, FALSE), perc_90, VLOOKUP(E$2, Percentiles!$A$45:$I$59, 7, FALSE), perc_95, VLOOKUP(E$2, Percentiles!$A$45:$I$59, 8, FALSE), perc_85, perc_75 + (perc_90 - perc_75) * (2/3), converted_stat, '2K_Ratings'!E935, IF(bbgm_stat &gt;= perc_95, converted_stat * 3, IF(bbgm_stat &gt;= perc_90, converted_stat * 2, IF(bbgm_stat &gt;= perc_85, converted_stat * 1.5, converted_stat)))))</f>
        <v/>
      </c>
      <c r="F935" s="30" t="str">
        <f t="array" ref="F935">IF($A935="", "", LET(bbgm_stat, INDEX(Players!$A934:$P934, MATCH(F$2, Players!$A$1:$P$1, 0)), perc_75, VLOOKUP(F$2, Percentiles!$A$45:$I$59, 6, FALSE), perc_90, VLOOKUP(F$2, Percentiles!$A$45:$I$59, 7, FALSE), perc_95, VLOOKUP(F$2, Percentiles!$A$45:$I$59, 8, FALSE), perc_85, perc_75 + (perc_90 - perc_75) * (2/3), converted_stat, '2K_Ratings'!F935, IF(bbgm_stat &gt;= perc_95, converted_stat * 3, IF(bbgm_stat &gt;= perc_90, converted_stat * 2, IF(bbgm_stat &gt;= perc_85, converted_stat * 1.5, converted_stat)))))</f>
        <v/>
      </c>
      <c r="G935" s="30" t="str">
        <f t="array" ref="G935">IF($A935="", "", LET(bbgm_stat, INDEX(Players!$A934:$P934, MATCH(G$2, Players!$A$1:$P$1, 0)), perc_75, VLOOKUP(G$2, Percentiles!$A$45:$I$59, 6, FALSE), perc_90, VLOOKUP(G$2, Percentiles!$A$45:$I$59, 7, FALSE), perc_95, VLOOKUP(G$2, Percentiles!$A$45:$I$59, 8, FALSE), perc_85, perc_75 + (perc_90 - perc_75) * (2/3), converted_stat, '2K_Ratings'!G935, IF(bbgm_stat &gt;= perc_95, converted_stat * 3, IF(bbgm_stat &gt;= perc_90, converted_stat * 2, IF(bbgm_stat &gt;= perc_85, converted_stat * 1.5, converted_stat)))))</f>
        <v/>
      </c>
      <c r="H935" s="30" t="str">
        <f t="array" ref="H935">IF($A935="", "", LET(bbgm_stat, INDEX(Players!$A934:$P934, MATCH(H$2, Players!$A$1:$P$1, 0)), perc_75, VLOOKUP(H$2, Percentiles!$A$45:$I$59, 6, FALSE), perc_90, VLOOKUP(H$2, Percentiles!$A$45:$I$59, 7, FALSE), perc_95, VLOOKUP(H$2, Percentiles!$A$45:$I$59, 8, FALSE), perc_85, perc_75 + (perc_90 - perc_75) * (2/3), converted_stat, '2K_Ratings'!H935, IF(bbgm_stat &gt;= perc_95, converted_stat * 3, IF(bbgm_stat &gt;= perc_90, converted_stat * 2, IF(bbgm_stat &gt;= perc_85, converted_stat * 1.5, converted_stat)))))</f>
        <v/>
      </c>
      <c r="I935" s="30" t="str">
        <f t="array" ref="I935">IF($A935="", "", LET(bbgm_stat, INDEX(Players!$A934:$P934, MATCH(I$2, Players!$A$1:$P$1, 0)), perc_75, VLOOKUP(I$2, Percentiles!$A$45:$I$59, 6, FALSE), perc_90, VLOOKUP(I$2, Percentiles!$A$45:$I$59, 7, FALSE), perc_95, VLOOKUP(I$2, Percentiles!$A$45:$I$59, 8, FALSE), perc_85, perc_75 + (perc_90 - perc_75) * (2/3), converted_stat, '2K_Ratings'!I935, IF(bbgm_stat &gt;= perc_95, converted_stat * 3, IF(bbgm_stat &gt;= perc_90, converted_stat * 2, IF(bbgm_stat &gt;= perc_85, converted_stat * 1.5, converted_stat)))))</f>
        <v/>
      </c>
      <c r="J935" s="30" t="str">
        <f t="array" ref="J935">IF($A935="", "", LET(bbgm_stat, INDEX(Players!$A934:$P934, MATCH(J$2, Players!$A$1:$P$1, 0)), perc_75, VLOOKUP(J$2, Percentiles!$A$45:$I$59, 6, FALSE), perc_90, VLOOKUP(J$2, Percentiles!$A$45:$I$59, 7, FALSE), perc_95, VLOOKUP(J$2, Percentiles!$A$45:$I$59, 8, FALSE), perc_85, perc_75 + (perc_90 - perc_75) * (2/3), converted_stat, '2K_Ratings'!J935, IF(bbgm_stat &gt;= perc_95, converted_stat * 3, IF(bbgm_stat &gt;= perc_90, converted_stat * 2, IF(bbgm_stat &gt;= perc_85, converted_stat * 1.5, converted_stat)))))</f>
        <v/>
      </c>
      <c r="K935" s="30" t="str">
        <f t="array" ref="K935">IF($A935="", "", LET(bbgm_stat, INDEX(Players!$A934:$P934, MATCH(K$2, Players!$A$1:$P$1, 0)), perc_75, VLOOKUP(K$2, Percentiles!$A$45:$I$59, 6, FALSE), perc_90, VLOOKUP(K$2, Percentiles!$A$45:$I$59, 7, FALSE), perc_95, VLOOKUP(K$2, Percentiles!$A$45:$I$59, 8, FALSE), perc_85, perc_75 + (perc_90 - perc_75) * (2/3), converted_stat, '2K_Ratings'!K935, IF(bbgm_stat &gt;= perc_95, converted_stat * 3, IF(bbgm_stat &gt;= perc_90, converted_stat * 2, IF(bbgm_stat &gt;= perc_85, converted_stat * 1.5, converted_stat)))))</f>
        <v/>
      </c>
      <c r="L935" s="30" t="str">
        <f t="array" ref="L935">IF($A935="", "", LET(bbgm_stat, INDEX(Players!$A934:$P934, MATCH(L$2, Players!$A$1:$P$1, 0)), perc_75, VLOOKUP(L$2, Percentiles!$A$45:$I$59, 6, FALSE), perc_90, VLOOKUP(L$2, Percentiles!$A$45:$I$59, 7, FALSE), perc_95, VLOOKUP(L$2, Percentiles!$A$45:$I$59, 8, FALSE), perc_85, perc_75 + (perc_90 - perc_75) * (2/3), converted_stat, '2K_Ratings'!L935, IF(bbgm_stat &gt;= perc_95, converted_stat * 3, IF(bbgm_stat &gt;= perc_90, converted_stat * 2, IF(bbgm_stat &gt;= perc_85, converted_stat * 1.5, converted_stat)))))</f>
        <v/>
      </c>
      <c r="M935" s="30" t="str">
        <f t="array" ref="M935">IF($A935="", "", LET(bbgm_stat, INDEX(Players!$A934:$P934, MATCH(M$2, Players!$A$1:$P$1, 0)), perc_75, VLOOKUP(M$2, Percentiles!$A$45:$I$59, 6, FALSE), perc_90, VLOOKUP(M$2, Percentiles!$A$45:$I$59, 7, FALSE), perc_95, VLOOKUP(M$2, Percentiles!$A$45:$I$59, 8, FALSE), perc_85, perc_75 + (perc_90 - perc_75) * (2/3), converted_stat, '2K_Ratings'!M935, IF(bbgm_stat &gt;= perc_95, converted_stat * 3, IF(bbgm_stat &gt;= perc_90, converted_stat * 2, IF(bbgm_stat &gt;= perc_85, converted_stat * 1.5, converted_stat)))))</f>
        <v/>
      </c>
      <c r="N935" s="30" t="str">
        <f t="array" ref="N935">IF($A935="", "", LET(bbgm_stat, INDEX(Players!$A934:$P934, MATCH(N$2, Players!$A$1:$P$1, 0)), perc_75, VLOOKUP(N$2, Percentiles!$A$45:$I$59, 6, FALSE), perc_90, VLOOKUP(N$2, Percentiles!$A$45:$I$59, 7, FALSE), perc_95, VLOOKUP(N$2, Percentiles!$A$45:$I$59, 8, FALSE), perc_85, perc_75 + (perc_90 - perc_75) * (2/3), converted_stat, '2K_Ratings'!N935, IF(bbgm_stat &gt;= perc_95, converted_stat * 3, IF(bbgm_stat &gt;= perc_90, converted_stat * 2, IF(bbgm_stat &gt;= perc_85, converted_stat * 1.5, converted_stat)))))</f>
        <v/>
      </c>
      <c r="O935" s="30" t="str">
        <f t="array" ref="O935">IF($A935="", "", LET(bbgm_stat, INDEX(Players!$A934:$P934, MATCH(O$2, Players!$A$1:$P$1, 0)), perc_75, VLOOKUP(O$2, Percentiles!$A$45:$I$59, 6, FALSE), perc_90, VLOOKUP(O$2, Percentiles!$A$45:$I$59, 7, FALSE), perc_95, VLOOKUP(O$2, Percentiles!$A$45:$I$59, 8, FALSE), perc_85, perc_75 + (perc_90 - perc_75) * (2/3), converted_stat, '2K_Ratings'!O935, IF(bbgm_stat &gt;= perc_95, converted_stat * 3, IF(bbgm_stat &gt;= perc_90, converted_stat * 2, IF(bbgm_stat &gt;= perc_85, converted_stat * 1.5, converted_stat)))))</f>
        <v/>
      </c>
      <c r="P935" s="30" t="str">
        <f t="array" ref="P935">IF($A935="", "", LET(bbgm_stat, INDEX(Players!$A934:$P934, MATCH(P$2, Players!$A$1:$P$1, 0)), perc_75, VLOOKUP(P$2, Percentiles!$A$45:$I$59, 6, FALSE), perc_90, VLOOKUP(P$2, Percentiles!$A$45:$I$59, 7, FALSE), perc_95, VLOOKUP(P$2, Percentiles!$A$45:$I$59, 8, FALSE), perc_85, perc_75 + (perc_90 - perc_75) * (2/3), converted_stat, '2K_Ratings'!P935, IF(bbgm_stat &gt;= perc_95, converted_stat * 3, IF(bbgm_stat &gt;= perc_90, converted_stat * 2, IF(bbgm_stat &gt;= perc_85, converted_stat * 1.5, converted_stat)))))</f>
        <v/>
      </c>
      <c r="Q935" s="30" t="str">
        <f t="array" ref="Q935">IF($A935="", "", LET(bbgm_stat, INDEX(Players!$A934:$P934, MATCH(Q$2, Players!$A$1:$P$1, 0)), perc_75, VLOOKUP(Q$2, Percentiles!$A$45:$I$59, 6, FALSE), perc_90, VLOOKUP(Q$2, Percentiles!$A$45:$I$59, 7, FALSE), perc_95, VLOOKUP(Q$2, Percentiles!$A$45:$I$59, 8, FALSE), perc_85, perc_75 + (perc_90 - perc_75) * (2/3), converted_stat, '2K_Ratings'!Q935, IF(bbgm_stat &gt;= perc_95, converted_stat * 3, IF(bbgm_stat &gt;= perc_90, converted_stat * 2, IF(bbgm_stat &gt;= perc_85, converted_stat * 1.5, converted_stat)))))</f>
        <v/>
      </c>
      <c r="R935" s="30" t="str">
        <f t="array" ref="R935">IF($A935="", "", LET(bbgm_stat, INDEX(Players!$A934:$P934, MATCH(R$2, Players!$A$1:$P$1, 0)), perc_75, VLOOKUP(R$2, Percentiles!$A$45:$I$59, 6, FALSE), perc_90, VLOOKUP(R$2, Percentiles!$A$45:$I$59, 7, FALSE), perc_95, VLOOKUP(R$2, Percentiles!$A$45:$I$59, 8, FALSE), perc_85, perc_75 + (perc_90 - perc_75) * (2/3), converted_stat, '2K_Ratings'!R935, IF(bbgm_stat &gt;= perc_95, converted_stat * 3, IF(bbgm_stat &gt;= perc_90, converted_stat * 2, IF(bbgm_stat &gt;= perc_85, converted_stat * 1.5, converted_stat)))))</f>
        <v/>
      </c>
      <c r="S935" s="30" t="str">
        <f t="array" ref="S935">IF($A935="", "", LET(bbgm_stat, INDEX(Players!$A934:$P934, MATCH(S$2, Players!$A$1:$P$1, 0)), perc_75, VLOOKUP(S$2, Percentiles!$A$45:$I$59, 6, FALSE), perc_90, VLOOKUP(S$2, Percentiles!$A$45:$I$59, 7, FALSE), perc_95, VLOOKUP(S$2, Percentiles!$A$45:$I$59, 8, FALSE), perc_85, perc_75 + (perc_90 - perc_75) * (2/3), converted_stat, '2K_Ratings'!S935, IF(bbgm_stat &gt;= perc_95, converted_stat * 3, IF(bbgm_stat &gt;= perc_90, converted_stat * 2, IF(bbgm_stat &gt;= perc_85, converted_stat * 1.5, converted_stat)))))</f>
        <v/>
      </c>
      <c r="T935" s="30" t="str">
        <f t="array" ref="T935">IF($A935="", "", LET(bbgm_stat, INDEX(Players!$A934:$P934, MATCH(T$2, Players!$A$1:$P$1, 0)), perc_75, VLOOKUP(T$2, Percentiles!$A$45:$I$59, 6, FALSE), perc_90, VLOOKUP(T$2, Percentiles!$A$45:$I$59, 7, FALSE), perc_95, VLOOKUP(T$2, Percentiles!$A$45:$I$59, 8, FALSE), perc_85, perc_75 + (perc_90 - perc_75) * (2/3), converted_stat, '2K_Ratings'!T935, IF(bbgm_stat &gt;= perc_95, converted_stat * 3, IF(bbgm_stat &gt;= perc_90, converted_stat * 2, IF(bbgm_stat &gt;= perc_85, converted_stat * 1.5, converted_stat)))))</f>
        <v/>
      </c>
      <c r="U935" s="30" t="str">
        <f t="array" ref="U935">IF($A935="", "", LET(bbgm_stat, INDEX(Players!$A934:$P934, MATCH(U$2, Players!$A$1:$P$1, 0)), perc_75, VLOOKUP(U$2, Percentiles!$A$45:$I$59, 6, FALSE), perc_90, VLOOKUP(U$2, Percentiles!$A$45:$I$59, 7, FALSE), perc_95, VLOOKUP(U$2, Percentiles!$A$45:$I$59, 8, FALSE), perc_85, perc_75 + (perc_90 - perc_75) * (2/3), converted_stat, '2K_Ratings'!U935, IF(bbgm_stat &gt;= perc_95, converted_stat * 3, IF(bbgm_stat &gt;= perc_90, converted_stat * 2, IF(bbgm_stat &gt;= perc_85, converted_stat * 1.5, converted_stat)))))</f>
        <v/>
      </c>
      <c r="V935" s="30" t="str">
        <f t="array" ref="V935">IF($A935="", "", LET(bbgm_stat, INDEX(Players!$A934:$P934, MATCH(V$2, Players!$A$1:$P$1, 0)), perc_75, VLOOKUP(V$2, Percentiles!$A$45:$I$59, 6, FALSE), perc_90, VLOOKUP(V$2, Percentiles!$A$45:$I$59, 7, FALSE), perc_95, VLOOKUP(V$2, Percentiles!$A$45:$I$59, 8, FALSE), perc_85, perc_75 + (perc_90 - perc_75) * (2/3), converted_stat, '2K_Ratings'!V935, IF(bbgm_stat &gt;= perc_95, converted_stat * 3, IF(bbgm_stat &gt;= perc_90, converted_stat * 2, IF(bbgm_stat &gt;= perc_85, converted_stat * 1.5, converted_stat)))))</f>
        <v/>
      </c>
      <c r="W935" s="30" t="str">
        <f t="array" ref="W935">IF($A935="", "", LET(bbgm_stat, INDEX(Players!$A934:$P934, MATCH(W$2, Players!$A$1:$P$1, 0)), perc_75, VLOOKUP(W$2, Percentiles!$A$45:$I$59, 6, FALSE), perc_90, VLOOKUP(W$2, Percentiles!$A$45:$I$59, 7, FALSE), perc_95, VLOOKUP(W$2, Percentiles!$A$45:$I$59, 8, FALSE), perc_85, perc_75 + (perc_90 - perc_75) * (2/3), converted_stat, '2K_Ratings'!W935, IF(bbgm_stat &gt;= perc_95, converted_stat * 3, IF(bbgm_stat &gt;= perc_90, converted_stat * 2, IF(bbgm_stat &gt;= perc_85, converted_stat * 1.5, converted_stat)))))</f>
        <v/>
      </c>
    </row>
    <row r="936">
      <c r="A936" s="30"/>
      <c r="B936" s="30" t="str">
        <f t="array" ref="B936">IF($A936="", "", LET(bbgm_stat, INDEX(Players!$A935:$P935, MATCH(B$2, Players!$A$1:$P$1, 0)), perc_75, VLOOKUP(B$2, Percentiles!$A$45:$I$59, 6, FALSE), perc_90, VLOOKUP(B$2, Percentiles!$A$45:$I$59, 7, FALSE), perc_95, VLOOKUP(B$2, Percentiles!$A$45:$I$59, 8, FALSE), perc_85, perc_75 + (perc_90 - perc_75) * (2/3), converted_stat, '2K_Ratings'!B936, IF(bbgm_stat &gt;= perc_95, converted_stat * 3, IF(bbgm_stat &gt;= perc_90, converted_stat * 2, IF(bbgm_stat &gt;= perc_85, converted_stat * 1.5, converted_stat)))))</f>
        <v/>
      </c>
      <c r="C936" s="30" t="str">
        <f t="array" ref="C936">IF($A936="", "", LET(bbgm_stat, INDEX(Players!$A935:$P935, MATCH(C$2, Players!$A$1:$P$1, 0)), perc_75, VLOOKUP(C$2, Percentiles!$A$45:$I$59, 6, FALSE), perc_90, VLOOKUP(C$2, Percentiles!$A$45:$I$59, 7, FALSE), perc_95, VLOOKUP(C$2, Percentiles!$A$45:$I$59, 8, FALSE), perc_85, perc_75 + (perc_90 - perc_75) * (2/3), converted_stat, '2K_Ratings'!C936, IF(bbgm_stat &gt;= perc_95, converted_stat * 3, IF(bbgm_stat &gt;= perc_90, converted_stat * 2, IF(bbgm_stat &gt;= perc_85, converted_stat * 1.5, converted_stat)))))</f>
        <v/>
      </c>
      <c r="D936" s="30" t="str">
        <f t="array" ref="D936">IF($A936="", "", LET(bbgm_stat, INDEX(Players!$A935:$P935, MATCH(D$2, Players!$A$1:$P$1, 0)), perc_75, VLOOKUP(D$2, Percentiles!$A$45:$I$59, 6, FALSE), perc_90, VLOOKUP(D$2, Percentiles!$A$45:$I$59, 7, FALSE), perc_95, VLOOKUP(D$2, Percentiles!$A$45:$I$59, 8, FALSE), perc_85, perc_75 + (perc_90 - perc_75) * (2/3), converted_stat, '2K_Ratings'!D936, IF(bbgm_stat &gt;= perc_95, converted_stat * 3, IF(bbgm_stat &gt;= perc_90, converted_stat * 2, IF(bbgm_stat &gt;= perc_85, converted_stat * 1.5, converted_stat)))))</f>
        <v/>
      </c>
      <c r="E936" s="30" t="str">
        <f t="array" ref="E936">IF($A936="", "", LET(bbgm_stat, INDEX(Players!$A935:$P935, MATCH(E$2, Players!$A$1:$P$1, 0)), perc_75, VLOOKUP(E$2, Percentiles!$A$45:$I$59, 6, FALSE), perc_90, VLOOKUP(E$2, Percentiles!$A$45:$I$59, 7, FALSE), perc_95, VLOOKUP(E$2, Percentiles!$A$45:$I$59, 8, FALSE), perc_85, perc_75 + (perc_90 - perc_75) * (2/3), converted_stat, '2K_Ratings'!E936, IF(bbgm_stat &gt;= perc_95, converted_stat * 3, IF(bbgm_stat &gt;= perc_90, converted_stat * 2, IF(bbgm_stat &gt;= perc_85, converted_stat * 1.5, converted_stat)))))</f>
        <v/>
      </c>
      <c r="F936" s="30" t="str">
        <f t="array" ref="F936">IF($A936="", "", LET(bbgm_stat, INDEX(Players!$A935:$P935, MATCH(F$2, Players!$A$1:$P$1, 0)), perc_75, VLOOKUP(F$2, Percentiles!$A$45:$I$59, 6, FALSE), perc_90, VLOOKUP(F$2, Percentiles!$A$45:$I$59, 7, FALSE), perc_95, VLOOKUP(F$2, Percentiles!$A$45:$I$59, 8, FALSE), perc_85, perc_75 + (perc_90 - perc_75) * (2/3), converted_stat, '2K_Ratings'!F936, IF(bbgm_stat &gt;= perc_95, converted_stat * 3, IF(bbgm_stat &gt;= perc_90, converted_stat * 2, IF(bbgm_stat &gt;= perc_85, converted_stat * 1.5, converted_stat)))))</f>
        <v/>
      </c>
      <c r="G936" s="30" t="str">
        <f t="array" ref="G936">IF($A936="", "", LET(bbgm_stat, INDEX(Players!$A935:$P935, MATCH(G$2, Players!$A$1:$P$1, 0)), perc_75, VLOOKUP(G$2, Percentiles!$A$45:$I$59, 6, FALSE), perc_90, VLOOKUP(G$2, Percentiles!$A$45:$I$59, 7, FALSE), perc_95, VLOOKUP(G$2, Percentiles!$A$45:$I$59, 8, FALSE), perc_85, perc_75 + (perc_90 - perc_75) * (2/3), converted_stat, '2K_Ratings'!G936, IF(bbgm_stat &gt;= perc_95, converted_stat * 3, IF(bbgm_stat &gt;= perc_90, converted_stat * 2, IF(bbgm_stat &gt;= perc_85, converted_stat * 1.5, converted_stat)))))</f>
        <v/>
      </c>
      <c r="H936" s="30" t="str">
        <f t="array" ref="H936">IF($A936="", "", LET(bbgm_stat, INDEX(Players!$A935:$P935, MATCH(H$2, Players!$A$1:$P$1, 0)), perc_75, VLOOKUP(H$2, Percentiles!$A$45:$I$59, 6, FALSE), perc_90, VLOOKUP(H$2, Percentiles!$A$45:$I$59, 7, FALSE), perc_95, VLOOKUP(H$2, Percentiles!$A$45:$I$59, 8, FALSE), perc_85, perc_75 + (perc_90 - perc_75) * (2/3), converted_stat, '2K_Ratings'!H936, IF(bbgm_stat &gt;= perc_95, converted_stat * 3, IF(bbgm_stat &gt;= perc_90, converted_stat * 2, IF(bbgm_stat &gt;= perc_85, converted_stat * 1.5, converted_stat)))))</f>
        <v/>
      </c>
      <c r="I936" s="30" t="str">
        <f t="array" ref="I936">IF($A936="", "", LET(bbgm_stat, INDEX(Players!$A935:$P935, MATCH(I$2, Players!$A$1:$P$1, 0)), perc_75, VLOOKUP(I$2, Percentiles!$A$45:$I$59, 6, FALSE), perc_90, VLOOKUP(I$2, Percentiles!$A$45:$I$59, 7, FALSE), perc_95, VLOOKUP(I$2, Percentiles!$A$45:$I$59, 8, FALSE), perc_85, perc_75 + (perc_90 - perc_75) * (2/3), converted_stat, '2K_Ratings'!I936, IF(bbgm_stat &gt;= perc_95, converted_stat * 3, IF(bbgm_stat &gt;= perc_90, converted_stat * 2, IF(bbgm_stat &gt;= perc_85, converted_stat * 1.5, converted_stat)))))</f>
        <v/>
      </c>
      <c r="J936" s="30" t="str">
        <f t="array" ref="J936">IF($A936="", "", LET(bbgm_stat, INDEX(Players!$A935:$P935, MATCH(J$2, Players!$A$1:$P$1, 0)), perc_75, VLOOKUP(J$2, Percentiles!$A$45:$I$59, 6, FALSE), perc_90, VLOOKUP(J$2, Percentiles!$A$45:$I$59, 7, FALSE), perc_95, VLOOKUP(J$2, Percentiles!$A$45:$I$59, 8, FALSE), perc_85, perc_75 + (perc_90 - perc_75) * (2/3), converted_stat, '2K_Ratings'!J936, IF(bbgm_stat &gt;= perc_95, converted_stat * 3, IF(bbgm_stat &gt;= perc_90, converted_stat * 2, IF(bbgm_stat &gt;= perc_85, converted_stat * 1.5, converted_stat)))))</f>
        <v/>
      </c>
      <c r="K936" s="30" t="str">
        <f t="array" ref="K936">IF($A936="", "", LET(bbgm_stat, INDEX(Players!$A935:$P935, MATCH(K$2, Players!$A$1:$P$1, 0)), perc_75, VLOOKUP(K$2, Percentiles!$A$45:$I$59, 6, FALSE), perc_90, VLOOKUP(K$2, Percentiles!$A$45:$I$59, 7, FALSE), perc_95, VLOOKUP(K$2, Percentiles!$A$45:$I$59, 8, FALSE), perc_85, perc_75 + (perc_90 - perc_75) * (2/3), converted_stat, '2K_Ratings'!K936, IF(bbgm_stat &gt;= perc_95, converted_stat * 3, IF(bbgm_stat &gt;= perc_90, converted_stat * 2, IF(bbgm_stat &gt;= perc_85, converted_stat * 1.5, converted_stat)))))</f>
        <v/>
      </c>
      <c r="L936" s="30" t="str">
        <f t="array" ref="L936">IF($A936="", "", LET(bbgm_stat, INDEX(Players!$A935:$P935, MATCH(L$2, Players!$A$1:$P$1, 0)), perc_75, VLOOKUP(L$2, Percentiles!$A$45:$I$59, 6, FALSE), perc_90, VLOOKUP(L$2, Percentiles!$A$45:$I$59, 7, FALSE), perc_95, VLOOKUP(L$2, Percentiles!$A$45:$I$59, 8, FALSE), perc_85, perc_75 + (perc_90 - perc_75) * (2/3), converted_stat, '2K_Ratings'!L936, IF(bbgm_stat &gt;= perc_95, converted_stat * 3, IF(bbgm_stat &gt;= perc_90, converted_stat * 2, IF(bbgm_stat &gt;= perc_85, converted_stat * 1.5, converted_stat)))))</f>
        <v/>
      </c>
      <c r="M936" s="30" t="str">
        <f t="array" ref="M936">IF($A936="", "", LET(bbgm_stat, INDEX(Players!$A935:$P935, MATCH(M$2, Players!$A$1:$P$1, 0)), perc_75, VLOOKUP(M$2, Percentiles!$A$45:$I$59, 6, FALSE), perc_90, VLOOKUP(M$2, Percentiles!$A$45:$I$59, 7, FALSE), perc_95, VLOOKUP(M$2, Percentiles!$A$45:$I$59, 8, FALSE), perc_85, perc_75 + (perc_90 - perc_75) * (2/3), converted_stat, '2K_Ratings'!M936, IF(bbgm_stat &gt;= perc_95, converted_stat * 3, IF(bbgm_stat &gt;= perc_90, converted_stat * 2, IF(bbgm_stat &gt;= perc_85, converted_stat * 1.5, converted_stat)))))</f>
        <v/>
      </c>
      <c r="N936" s="30" t="str">
        <f t="array" ref="N936">IF($A936="", "", LET(bbgm_stat, INDEX(Players!$A935:$P935, MATCH(N$2, Players!$A$1:$P$1, 0)), perc_75, VLOOKUP(N$2, Percentiles!$A$45:$I$59, 6, FALSE), perc_90, VLOOKUP(N$2, Percentiles!$A$45:$I$59, 7, FALSE), perc_95, VLOOKUP(N$2, Percentiles!$A$45:$I$59, 8, FALSE), perc_85, perc_75 + (perc_90 - perc_75) * (2/3), converted_stat, '2K_Ratings'!N936, IF(bbgm_stat &gt;= perc_95, converted_stat * 3, IF(bbgm_stat &gt;= perc_90, converted_stat * 2, IF(bbgm_stat &gt;= perc_85, converted_stat * 1.5, converted_stat)))))</f>
        <v/>
      </c>
      <c r="O936" s="30" t="str">
        <f t="array" ref="O936">IF($A936="", "", LET(bbgm_stat, INDEX(Players!$A935:$P935, MATCH(O$2, Players!$A$1:$P$1, 0)), perc_75, VLOOKUP(O$2, Percentiles!$A$45:$I$59, 6, FALSE), perc_90, VLOOKUP(O$2, Percentiles!$A$45:$I$59, 7, FALSE), perc_95, VLOOKUP(O$2, Percentiles!$A$45:$I$59, 8, FALSE), perc_85, perc_75 + (perc_90 - perc_75) * (2/3), converted_stat, '2K_Ratings'!O936, IF(bbgm_stat &gt;= perc_95, converted_stat * 3, IF(bbgm_stat &gt;= perc_90, converted_stat * 2, IF(bbgm_stat &gt;= perc_85, converted_stat * 1.5, converted_stat)))))</f>
        <v/>
      </c>
      <c r="P936" s="30" t="str">
        <f t="array" ref="P936">IF($A936="", "", LET(bbgm_stat, INDEX(Players!$A935:$P935, MATCH(P$2, Players!$A$1:$P$1, 0)), perc_75, VLOOKUP(P$2, Percentiles!$A$45:$I$59, 6, FALSE), perc_90, VLOOKUP(P$2, Percentiles!$A$45:$I$59, 7, FALSE), perc_95, VLOOKUP(P$2, Percentiles!$A$45:$I$59, 8, FALSE), perc_85, perc_75 + (perc_90 - perc_75) * (2/3), converted_stat, '2K_Ratings'!P936, IF(bbgm_stat &gt;= perc_95, converted_stat * 3, IF(bbgm_stat &gt;= perc_90, converted_stat * 2, IF(bbgm_stat &gt;= perc_85, converted_stat * 1.5, converted_stat)))))</f>
        <v/>
      </c>
      <c r="Q936" s="30" t="str">
        <f t="array" ref="Q936">IF($A936="", "", LET(bbgm_stat, INDEX(Players!$A935:$P935, MATCH(Q$2, Players!$A$1:$P$1, 0)), perc_75, VLOOKUP(Q$2, Percentiles!$A$45:$I$59, 6, FALSE), perc_90, VLOOKUP(Q$2, Percentiles!$A$45:$I$59, 7, FALSE), perc_95, VLOOKUP(Q$2, Percentiles!$A$45:$I$59, 8, FALSE), perc_85, perc_75 + (perc_90 - perc_75) * (2/3), converted_stat, '2K_Ratings'!Q936, IF(bbgm_stat &gt;= perc_95, converted_stat * 3, IF(bbgm_stat &gt;= perc_90, converted_stat * 2, IF(bbgm_stat &gt;= perc_85, converted_stat * 1.5, converted_stat)))))</f>
        <v/>
      </c>
      <c r="R936" s="30" t="str">
        <f t="array" ref="R936">IF($A936="", "", LET(bbgm_stat, INDEX(Players!$A935:$P935, MATCH(R$2, Players!$A$1:$P$1, 0)), perc_75, VLOOKUP(R$2, Percentiles!$A$45:$I$59, 6, FALSE), perc_90, VLOOKUP(R$2, Percentiles!$A$45:$I$59, 7, FALSE), perc_95, VLOOKUP(R$2, Percentiles!$A$45:$I$59, 8, FALSE), perc_85, perc_75 + (perc_90 - perc_75) * (2/3), converted_stat, '2K_Ratings'!R936, IF(bbgm_stat &gt;= perc_95, converted_stat * 3, IF(bbgm_stat &gt;= perc_90, converted_stat * 2, IF(bbgm_stat &gt;= perc_85, converted_stat * 1.5, converted_stat)))))</f>
        <v/>
      </c>
      <c r="S936" s="30" t="str">
        <f t="array" ref="S936">IF($A936="", "", LET(bbgm_stat, INDEX(Players!$A935:$P935, MATCH(S$2, Players!$A$1:$P$1, 0)), perc_75, VLOOKUP(S$2, Percentiles!$A$45:$I$59, 6, FALSE), perc_90, VLOOKUP(S$2, Percentiles!$A$45:$I$59, 7, FALSE), perc_95, VLOOKUP(S$2, Percentiles!$A$45:$I$59, 8, FALSE), perc_85, perc_75 + (perc_90 - perc_75) * (2/3), converted_stat, '2K_Ratings'!S936, IF(bbgm_stat &gt;= perc_95, converted_stat * 3, IF(bbgm_stat &gt;= perc_90, converted_stat * 2, IF(bbgm_stat &gt;= perc_85, converted_stat * 1.5, converted_stat)))))</f>
        <v/>
      </c>
      <c r="T936" s="30" t="str">
        <f t="array" ref="T936">IF($A936="", "", LET(bbgm_stat, INDEX(Players!$A935:$P935, MATCH(T$2, Players!$A$1:$P$1, 0)), perc_75, VLOOKUP(T$2, Percentiles!$A$45:$I$59, 6, FALSE), perc_90, VLOOKUP(T$2, Percentiles!$A$45:$I$59, 7, FALSE), perc_95, VLOOKUP(T$2, Percentiles!$A$45:$I$59, 8, FALSE), perc_85, perc_75 + (perc_90 - perc_75) * (2/3), converted_stat, '2K_Ratings'!T936, IF(bbgm_stat &gt;= perc_95, converted_stat * 3, IF(bbgm_stat &gt;= perc_90, converted_stat * 2, IF(bbgm_stat &gt;= perc_85, converted_stat * 1.5, converted_stat)))))</f>
        <v/>
      </c>
      <c r="U936" s="30" t="str">
        <f t="array" ref="U936">IF($A936="", "", LET(bbgm_stat, INDEX(Players!$A935:$P935, MATCH(U$2, Players!$A$1:$P$1, 0)), perc_75, VLOOKUP(U$2, Percentiles!$A$45:$I$59, 6, FALSE), perc_90, VLOOKUP(U$2, Percentiles!$A$45:$I$59, 7, FALSE), perc_95, VLOOKUP(U$2, Percentiles!$A$45:$I$59, 8, FALSE), perc_85, perc_75 + (perc_90 - perc_75) * (2/3), converted_stat, '2K_Ratings'!U936, IF(bbgm_stat &gt;= perc_95, converted_stat * 3, IF(bbgm_stat &gt;= perc_90, converted_stat * 2, IF(bbgm_stat &gt;= perc_85, converted_stat * 1.5, converted_stat)))))</f>
        <v/>
      </c>
      <c r="V936" s="30" t="str">
        <f t="array" ref="V936">IF($A936="", "", LET(bbgm_stat, INDEX(Players!$A935:$P935, MATCH(V$2, Players!$A$1:$P$1, 0)), perc_75, VLOOKUP(V$2, Percentiles!$A$45:$I$59, 6, FALSE), perc_90, VLOOKUP(V$2, Percentiles!$A$45:$I$59, 7, FALSE), perc_95, VLOOKUP(V$2, Percentiles!$A$45:$I$59, 8, FALSE), perc_85, perc_75 + (perc_90 - perc_75) * (2/3), converted_stat, '2K_Ratings'!V936, IF(bbgm_stat &gt;= perc_95, converted_stat * 3, IF(bbgm_stat &gt;= perc_90, converted_stat * 2, IF(bbgm_stat &gt;= perc_85, converted_stat * 1.5, converted_stat)))))</f>
        <v/>
      </c>
      <c r="W936" s="30" t="str">
        <f t="array" ref="W936">IF($A936="", "", LET(bbgm_stat, INDEX(Players!$A935:$P935, MATCH(W$2, Players!$A$1:$P$1, 0)), perc_75, VLOOKUP(W$2, Percentiles!$A$45:$I$59, 6, FALSE), perc_90, VLOOKUP(W$2, Percentiles!$A$45:$I$59, 7, FALSE), perc_95, VLOOKUP(W$2, Percentiles!$A$45:$I$59, 8, FALSE), perc_85, perc_75 + (perc_90 - perc_75) * (2/3), converted_stat, '2K_Ratings'!W936, IF(bbgm_stat &gt;= perc_95, converted_stat * 3, IF(bbgm_stat &gt;= perc_90, converted_stat * 2, IF(bbgm_stat &gt;= perc_85, converted_stat * 1.5, converted_stat)))))</f>
        <v/>
      </c>
    </row>
    <row r="937">
      <c r="A937" s="30"/>
      <c r="B937" s="30" t="str">
        <f t="array" ref="B937">IF($A937="", "", LET(bbgm_stat, INDEX(Players!$A936:$P936, MATCH(B$2, Players!$A$1:$P$1, 0)), perc_75, VLOOKUP(B$2, Percentiles!$A$45:$I$59, 6, FALSE), perc_90, VLOOKUP(B$2, Percentiles!$A$45:$I$59, 7, FALSE), perc_95, VLOOKUP(B$2, Percentiles!$A$45:$I$59, 8, FALSE), perc_85, perc_75 + (perc_90 - perc_75) * (2/3), converted_stat, '2K_Ratings'!B937, IF(bbgm_stat &gt;= perc_95, converted_stat * 3, IF(bbgm_stat &gt;= perc_90, converted_stat * 2, IF(bbgm_stat &gt;= perc_85, converted_stat * 1.5, converted_stat)))))</f>
        <v/>
      </c>
      <c r="C937" s="30" t="str">
        <f t="array" ref="C937">IF($A937="", "", LET(bbgm_stat, INDEX(Players!$A936:$P936, MATCH(C$2, Players!$A$1:$P$1, 0)), perc_75, VLOOKUP(C$2, Percentiles!$A$45:$I$59, 6, FALSE), perc_90, VLOOKUP(C$2, Percentiles!$A$45:$I$59, 7, FALSE), perc_95, VLOOKUP(C$2, Percentiles!$A$45:$I$59, 8, FALSE), perc_85, perc_75 + (perc_90 - perc_75) * (2/3), converted_stat, '2K_Ratings'!C937, IF(bbgm_stat &gt;= perc_95, converted_stat * 3, IF(bbgm_stat &gt;= perc_90, converted_stat * 2, IF(bbgm_stat &gt;= perc_85, converted_stat * 1.5, converted_stat)))))</f>
        <v/>
      </c>
      <c r="D937" s="30" t="str">
        <f t="array" ref="D937">IF($A937="", "", LET(bbgm_stat, INDEX(Players!$A936:$P936, MATCH(D$2, Players!$A$1:$P$1, 0)), perc_75, VLOOKUP(D$2, Percentiles!$A$45:$I$59, 6, FALSE), perc_90, VLOOKUP(D$2, Percentiles!$A$45:$I$59, 7, FALSE), perc_95, VLOOKUP(D$2, Percentiles!$A$45:$I$59, 8, FALSE), perc_85, perc_75 + (perc_90 - perc_75) * (2/3), converted_stat, '2K_Ratings'!D937, IF(bbgm_stat &gt;= perc_95, converted_stat * 3, IF(bbgm_stat &gt;= perc_90, converted_stat * 2, IF(bbgm_stat &gt;= perc_85, converted_stat * 1.5, converted_stat)))))</f>
        <v/>
      </c>
      <c r="E937" s="30" t="str">
        <f t="array" ref="E937">IF($A937="", "", LET(bbgm_stat, INDEX(Players!$A936:$P936, MATCH(E$2, Players!$A$1:$P$1, 0)), perc_75, VLOOKUP(E$2, Percentiles!$A$45:$I$59, 6, FALSE), perc_90, VLOOKUP(E$2, Percentiles!$A$45:$I$59, 7, FALSE), perc_95, VLOOKUP(E$2, Percentiles!$A$45:$I$59, 8, FALSE), perc_85, perc_75 + (perc_90 - perc_75) * (2/3), converted_stat, '2K_Ratings'!E937, IF(bbgm_stat &gt;= perc_95, converted_stat * 3, IF(bbgm_stat &gt;= perc_90, converted_stat * 2, IF(bbgm_stat &gt;= perc_85, converted_stat * 1.5, converted_stat)))))</f>
        <v/>
      </c>
      <c r="F937" s="30" t="str">
        <f t="array" ref="F937">IF($A937="", "", LET(bbgm_stat, INDEX(Players!$A936:$P936, MATCH(F$2, Players!$A$1:$P$1, 0)), perc_75, VLOOKUP(F$2, Percentiles!$A$45:$I$59, 6, FALSE), perc_90, VLOOKUP(F$2, Percentiles!$A$45:$I$59, 7, FALSE), perc_95, VLOOKUP(F$2, Percentiles!$A$45:$I$59, 8, FALSE), perc_85, perc_75 + (perc_90 - perc_75) * (2/3), converted_stat, '2K_Ratings'!F937, IF(bbgm_stat &gt;= perc_95, converted_stat * 3, IF(bbgm_stat &gt;= perc_90, converted_stat * 2, IF(bbgm_stat &gt;= perc_85, converted_stat * 1.5, converted_stat)))))</f>
        <v/>
      </c>
      <c r="G937" s="30" t="str">
        <f t="array" ref="G937">IF($A937="", "", LET(bbgm_stat, INDEX(Players!$A936:$P936, MATCH(G$2, Players!$A$1:$P$1, 0)), perc_75, VLOOKUP(G$2, Percentiles!$A$45:$I$59, 6, FALSE), perc_90, VLOOKUP(G$2, Percentiles!$A$45:$I$59, 7, FALSE), perc_95, VLOOKUP(G$2, Percentiles!$A$45:$I$59, 8, FALSE), perc_85, perc_75 + (perc_90 - perc_75) * (2/3), converted_stat, '2K_Ratings'!G937, IF(bbgm_stat &gt;= perc_95, converted_stat * 3, IF(bbgm_stat &gt;= perc_90, converted_stat * 2, IF(bbgm_stat &gt;= perc_85, converted_stat * 1.5, converted_stat)))))</f>
        <v/>
      </c>
      <c r="H937" s="30" t="str">
        <f t="array" ref="H937">IF($A937="", "", LET(bbgm_stat, INDEX(Players!$A936:$P936, MATCH(H$2, Players!$A$1:$P$1, 0)), perc_75, VLOOKUP(H$2, Percentiles!$A$45:$I$59, 6, FALSE), perc_90, VLOOKUP(H$2, Percentiles!$A$45:$I$59, 7, FALSE), perc_95, VLOOKUP(H$2, Percentiles!$A$45:$I$59, 8, FALSE), perc_85, perc_75 + (perc_90 - perc_75) * (2/3), converted_stat, '2K_Ratings'!H937, IF(bbgm_stat &gt;= perc_95, converted_stat * 3, IF(bbgm_stat &gt;= perc_90, converted_stat * 2, IF(bbgm_stat &gt;= perc_85, converted_stat * 1.5, converted_stat)))))</f>
        <v/>
      </c>
      <c r="I937" s="30" t="str">
        <f t="array" ref="I937">IF($A937="", "", LET(bbgm_stat, INDEX(Players!$A936:$P936, MATCH(I$2, Players!$A$1:$P$1, 0)), perc_75, VLOOKUP(I$2, Percentiles!$A$45:$I$59, 6, FALSE), perc_90, VLOOKUP(I$2, Percentiles!$A$45:$I$59, 7, FALSE), perc_95, VLOOKUP(I$2, Percentiles!$A$45:$I$59, 8, FALSE), perc_85, perc_75 + (perc_90 - perc_75) * (2/3), converted_stat, '2K_Ratings'!I937, IF(bbgm_stat &gt;= perc_95, converted_stat * 3, IF(bbgm_stat &gt;= perc_90, converted_stat * 2, IF(bbgm_stat &gt;= perc_85, converted_stat * 1.5, converted_stat)))))</f>
        <v/>
      </c>
      <c r="J937" s="30" t="str">
        <f t="array" ref="J937">IF($A937="", "", LET(bbgm_stat, INDEX(Players!$A936:$P936, MATCH(J$2, Players!$A$1:$P$1, 0)), perc_75, VLOOKUP(J$2, Percentiles!$A$45:$I$59, 6, FALSE), perc_90, VLOOKUP(J$2, Percentiles!$A$45:$I$59, 7, FALSE), perc_95, VLOOKUP(J$2, Percentiles!$A$45:$I$59, 8, FALSE), perc_85, perc_75 + (perc_90 - perc_75) * (2/3), converted_stat, '2K_Ratings'!J937, IF(bbgm_stat &gt;= perc_95, converted_stat * 3, IF(bbgm_stat &gt;= perc_90, converted_stat * 2, IF(bbgm_stat &gt;= perc_85, converted_stat * 1.5, converted_stat)))))</f>
        <v/>
      </c>
      <c r="K937" s="30" t="str">
        <f t="array" ref="K937">IF($A937="", "", LET(bbgm_stat, INDEX(Players!$A936:$P936, MATCH(K$2, Players!$A$1:$P$1, 0)), perc_75, VLOOKUP(K$2, Percentiles!$A$45:$I$59, 6, FALSE), perc_90, VLOOKUP(K$2, Percentiles!$A$45:$I$59, 7, FALSE), perc_95, VLOOKUP(K$2, Percentiles!$A$45:$I$59, 8, FALSE), perc_85, perc_75 + (perc_90 - perc_75) * (2/3), converted_stat, '2K_Ratings'!K937, IF(bbgm_stat &gt;= perc_95, converted_stat * 3, IF(bbgm_stat &gt;= perc_90, converted_stat * 2, IF(bbgm_stat &gt;= perc_85, converted_stat * 1.5, converted_stat)))))</f>
        <v/>
      </c>
      <c r="L937" s="30" t="str">
        <f t="array" ref="L937">IF($A937="", "", LET(bbgm_stat, INDEX(Players!$A936:$P936, MATCH(L$2, Players!$A$1:$P$1, 0)), perc_75, VLOOKUP(L$2, Percentiles!$A$45:$I$59, 6, FALSE), perc_90, VLOOKUP(L$2, Percentiles!$A$45:$I$59, 7, FALSE), perc_95, VLOOKUP(L$2, Percentiles!$A$45:$I$59, 8, FALSE), perc_85, perc_75 + (perc_90 - perc_75) * (2/3), converted_stat, '2K_Ratings'!L937, IF(bbgm_stat &gt;= perc_95, converted_stat * 3, IF(bbgm_stat &gt;= perc_90, converted_stat * 2, IF(bbgm_stat &gt;= perc_85, converted_stat * 1.5, converted_stat)))))</f>
        <v/>
      </c>
      <c r="M937" s="30" t="str">
        <f t="array" ref="M937">IF($A937="", "", LET(bbgm_stat, INDEX(Players!$A936:$P936, MATCH(M$2, Players!$A$1:$P$1, 0)), perc_75, VLOOKUP(M$2, Percentiles!$A$45:$I$59, 6, FALSE), perc_90, VLOOKUP(M$2, Percentiles!$A$45:$I$59, 7, FALSE), perc_95, VLOOKUP(M$2, Percentiles!$A$45:$I$59, 8, FALSE), perc_85, perc_75 + (perc_90 - perc_75) * (2/3), converted_stat, '2K_Ratings'!M937, IF(bbgm_stat &gt;= perc_95, converted_stat * 3, IF(bbgm_stat &gt;= perc_90, converted_stat * 2, IF(bbgm_stat &gt;= perc_85, converted_stat * 1.5, converted_stat)))))</f>
        <v/>
      </c>
      <c r="N937" s="30" t="str">
        <f t="array" ref="N937">IF($A937="", "", LET(bbgm_stat, INDEX(Players!$A936:$P936, MATCH(N$2, Players!$A$1:$P$1, 0)), perc_75, VLOOKUP(N$2, Percentiles!$A$45:$I$59, 6, FALSE), perc_90, VLOOKUP(N$2, Percentiles!$A$45:$I$59, 7, FALSE), perc_95, VLOOKUP(N$2, Percentiles!$A$45:$I$59, 8, FALSE), perc_85, perc_75 + (perc_90 - perc_75) * (2/3), converted_stat, '2K_Ratings'!N937, IF(bbgm_stat &gt;= perc_95, converted_stat * 3, IF(bbgm_stat &gt;= perc_90, converted_stat * 2, IF(bbgm_stat &gt;= perc_85, converted_stat * 1.5, converted_stat)))))</f>
        <v/>
      </c>
      <c r="O937" s="30" t="str">
        <f t="array" ref="O937">IF($A937="", "", LET(bbgm_stat, INDEX(Players!$A936:$P936, MATCH(O$2, Players!$A$1:$P$1, 0)), perc_75, VLOOKUP(O$2, Percentiles!$A$45:$I$59, 6, FALSE), perc_90, VLOOKUP(O$2, Percentiles!$A$45:$I$59, 7, FALSE), perc_95, VLOOKUP(O$2, Percentiles!$A$45:$I$59, 8, FALSE), perc_85, perc_75 + (perc_90 - perc_75) * (2/3), converted_stat, '2K_Ratings'!O937, IF(bbgm_stat &gt;= perc_95, converted_stat * 3, IF(bbgm_stat &gt;= perc_90, converted_stat * 2, IF(bbgm_stat &gt;= perc_85, converted_stat * 1.5, converted_stat)))))</f>
        <v/>
      </c>
      <c r="P937" s="30" t="str">
        <f t="array" ref="P937">IF($A937="", "", LET(bbgm_stat, INDEX(Players!$A936:$P936, MATCH(P$2, Players!$A$1:$P$1, 0)), perc_75, VLOOKUP(P$2, Percentiles!$A$45:$I$59, 6, FALSE), perc_90, VLOOKUP(P$2, Percentiles!$A$45:$I$59, 7, FALSE), perc_95, VLOOKUP(P$2, Percentiles!$A$45:$I$59, 8, FALSE), perc_85, perc_75 + (perc_90 - perc_75) * (2/3), converted_stat, '2K_Ratings'!P937, IF(bbgm_stat &gt;= perc_95, converted_stat * 3, IF(bbgm_stat &gt;= perc_90, converted_stat * 2, IF(bbgm_stat &gt;= perc_85, converted_stat * 1.5, converted_stat)))))</f>
        <v/>
      </c>
      <c r="Q937" s="30" t="str">
        <f t="array" ref="Q937">IF($A937="", "", LET(bbgm_stat, INDEX(Players!$A936:$P936, MATCH(Q$2, Players!$A$1:$P$1, 0)), perc_75, VLOOKUP(Q$2, Percentiles!$A$45:$I$59, 6, FALSE), perc_90, VLOOKUP(Q$2, Percentiles!$A$45:$I$59, 7, FALSE), perc_95, VLOOKUP(Q$2, Percentiles!$A$45:$I$59, 8, FALSE), perc_85, perc_75 + (perc_90 - perc_75) * (2/3), converted_stat, '2K_Ratings'!Q937, IF(bbgm_stat &gt;= perc_95, converted_stat * 3, IF(bbgm_stat &gt;= perc_90, converted_stat * 2, IF(bbgm_stat &gt;= perc_85, converted_stat * 1.5, converted_stat)))))</f>
        <v/>
      </c>
      <c r="R937" s="30" t="str">
        <f t="array" ref="R937">IF($A937="", "", LET(bbgm_stat, INDEX(Players!$A936:$P936, MATCH(R$2, Players!$A$1:$P$1, 0)), perc_75, VLOOKUP(R$2, Percentiles!$A$45:$I$59, 6, FALSE), perc_90, VLOOKUP(R$2, Percentiles!$A$45:$I$59, 7, FALSE), perc_95, VLOOKUP(R$2, Percentiles!$A$45:$I$59, 8, FALSE), perc_85, perc_75 + (perc_90 - perc_75) * (2/3), converted_stat, '2K_Ratings'!R937, IF(bbgm_stat &gt;= perc_95, converted_stat * 3, IF(bbgm_stat &gt;= perc_90, converted_stat * 2, IF(bbgm_stat &gt;= perc_85, converted_stat * 1.5, converted_stat)))))</f>
        <v/>
      </c>
      <c r="S937" s="30" t="str">
        <f t="array" ref="S937">IF($A937="", "", LET(bbgm_stat, INDEX(Players!$A936:$P936, MATCH(S$2, Players!$A$1:$P$1, 0)), perc_75, VLOOKUP(S$2, Percentiles!$A$45:$I$59, 6, FALSE), perc_90, VLOOKUP(S$2, Percentiles!$A$45:$I$59, 7, FALSE), perc_95, VLOOKUP(S$2, Percentiles!$A$45:$I$59, 8, FALSE), perc_85, perc_75 + (perc_90 - perc_75) * (2/3), converted_stat, '2K_Ratings'!S937, IF(bbgm_stat &gt;= perc_95, converted_stat * 3, IF(bbgm_stat &gt;= perc_90, converted_stat * 2, IF(bbgm_stat &gt;= perc_85, converted_stat * 1.5, converted_stat)))))</f>
        <v/>
      </c>
      <c r="T937" s="30" t="str">
        <f t="array" ref="T937">IF($A937="", "", LET(bbgm_stat, INDEX(Players!$A936:$P936, MATCH(T$2, Players!$A$1:$P$1, 0)), perc_75, VLOOKUP(T$2, Percentiles!$A$45:$I$59, 6, FALSE), perc_90, VLOOKUP(T$2, Percentiles!$A$45:$I$59, 7, FALSE), perc_95, VLOOKUP(T$2, Percentiles!$A$45:$I$59, 8, FALSE), perc_85, perc_75 + (perc_90 - perc_75) * (2/3), converted_stat, '2K_Ratings'!T937, IF(bbgm_stat &gt;= perc_95, converted_stat * 3, IF(bbgm_stat &gt;= perc_90, converted_stat * 2, IF(bbgm_stat &gt;= perc_85, converted_stat * 1.5, converted_stat)))))</f>
        <v/>
      </c>
      <c r="U937" s="30" t="str">
        <f t="array" ref="U937">IF($A937="", "", LET(bbgm_stat, INDEX(Players!$A936:$P936, MATCH(U$2, Players!$A$1:$P$1, 0)), perc_75, VLOOKUP(U$2, Percentiles!$A$45:$I$59, 6, FALSE), perc_90, VLOOKUP(U$2, Percentiles!$A$45:$I$59, 7, FALSE), perc_95, VLOOKUP(U$2, Percentiles!$A$45:$I$59, 8, FALSE), perc_85, perc_75 + (perc_90 - perc_75) * (2/3), converted_stat, '2K_Ratings'!U937, IF(bbgm_stat &gt;= perc_95, converted_stat * 3, IF(bbgm_stat &gt;= perc_90, converted_stat * 2, IF(bbgm_stat &gt;= perc_85, converted_stat * 1.5, converted_stat)))))</f>
        <v/>
      </c>
      <c r="V937" s="30" t="str">
        <f t="array" ref="V937">IF($A937="", "", LET(bbgm_stat, INDEX(Players!$A936:$P936, MATCH(V$2, Players!$A$1:$P$1, 0)), perc_75, VLOOKUP(V$2, Percentiles!$A$45:$I$59, 6, FALSE), perc_90, VLOOKUP(V$2, Percentiles!$A$45:$I$59, 7, FALSE), perc_95, VLOOKUP(V$2, Percentiles!$A$45:$I$59, 8, FALSE), perc_85, perc_75 + (perc_90 - perc_75) * (2/3), converted_stat, '2K_Ratings'!V937, IF(bbgm_stat &gt;= perc_95, converted_stat * 3, IF(bbgm_stat &gt;= perc_90, converted_stat * 2, IF(bbgm_stat &gt;= perc_85, converted_stat * 1.5, converted_stat)))))</f>
        <v/>
      </c>
      <c r="W937" s="30" t="str">
        <f t="array" ref="W937">IF($A937="", "", LET(bbgm_stat, INDEX(Players!$A936:$P936, MATCH(W$2, Players!$A$1:$P$1, 0)), perc_75, VLOOKUP(W$2, Percentiles!$A$45:$I$59, 6, FALSE), perc_90, VLOOKUP(W$2, Percentiles!$A$45:$I$59, 7, FALSE), perc_95, VLOOKUP(W$2, Percentiles!$A$45:$I$59, 8, FALSE), perc_85, perc_75 + (perc_90 - perc_75) * (2/3), converted_stat, '2K_Ratings'!W937, IF(bbgm_stat &gt;= perc_95, converted_stat * 3, IF(bbgm_stat &gt;= perc_90, converted_stat * 2, IF(bbgm_stat &gt;= perc_85, converted_stat * 1.5, converted_stat)))))</f>
        <v/>
      </c>
    </row>
    <row r="938">
      <c r="A938" s="30"/>
      <c r="B938" s="30" t="str">
        <f t="array" ref="B938">IF($A938="", "", LET(bbgm_stat, INDEX(Players!$A937:$P937, MATCH(B$2, Players!$A$1:$P$1, 0)), perc_75, VLOOKUP(B$2, Percentiles!$A$45:$I$59, 6, FALSE), perc_90, VLOOKUP(B$2, Percentiles!$A$45:$I$59, 7, FALSE), perc_95, VLOOKUP(B$2, Percentiles!$A$45:$I$59, 8, FALSE), perc_85, perc_75 + (perc_90 - perc_75) * (2/3), converted_stat, '2K_Ratings'!B938, IF(bbgm_stat &gt;= perc_95, converted_stat * 3, IF(bbgm_stat &gt;= perc_90, converted_stat * 2, IF(bbgm_stat &gt;= perc_85, converted_stat * 1.5, converted_stat)))))</f>
        <v/>
      </c>
      <c r="C938" s="30" t="str">
        <f t="array" ref="C938">IF($A938="", "", LET(bbgm_stat, INDEX(Players!$A937:$P937, MATCH(C$2, Players!$A$1:$P$1, 0)), perc_75, VLOOKUP(C$2, Percentiles!$A$45:$I$59, 6, FALSE), perc_90, VLOOKUP(C$2, Percentiles!$A$45:$I$59, 7, FALSE), perc_95, VLOOKUP(C$2, Percentiles!$A$45:$I$59, 8, FALSE), perc_85, perc_75 + (perc_90 - perc_75) * (2/3), converted_stat, '2K_Ratings'!C938, IF(bbgm_stat &gt;= perc_95, converted_stat * 3, IF(bbgm_stat &gt;= perc_90, converted_stat * 2, IF(bbgm_stat &gt;= perc_85, converted_stat * 1.5, converted_stat)))))</f>
        <v/>
      </c>
      <c r="D938" s="30" t="str">
        <f t="array" ref="D938">IF($A938="", "", LET(bbgm_stat, INDEX(Players!$A937:$P937, MATCH(D$2, Players!$A$1:$P$1, 0)), perc_75, VLOOKUP(D$2, Percentiles!$A$45:$I$59, 6, FALSE), perc_90, VLOOKUP(D$2, Percentiles!$A$45:$I$59, 7, FALSE), perc_95, VLOOKUP(D$2, Percentiles!$A$45:$I$59, 8, FALSE), perc_85, perc_75 + (perc_90 - perc_75) * (2/3), converted_stat, '2K_Ratings'!D938, IF(bbgm_stat &gt;= perc_95, converted_stat * 3, IF(bbgm_stat &gt;= perc_90, converted_stat * 2, IF(bbgm_stat &gt;= perc_85, converted_stat * 1.5, converted_stat)))))</f>
        <v/>
      </c>
      <c r="E938" s="30" t="str">
        <f t="array" ref="E938">IF($A938="", "", LET(bbgm_stat, INDEX(Players!$A937:$P937, MATCH(E$2, Players!$A$1:$P$1, 0)), perc_75, VLOOKUP(E$2, Percentiles!$A$45:$I$59, 6, FALSE), perc_90, VLOOKUP(E$2, Percentiles!$A$45:$I$59, 7, FALSE), perc_95, VLOOKUP(E$2, Percentiles!$A$45:$I$59, 8, FALSE), perc_85, perc_75 + (perc_90 - perc_75) * (2/3), converted_stat, '2K_Ratings'!E938, IF(bbgm_stat &gt;= perc_95, converted_stat * 3, IF(bbgm_stat &gt;= perc_90, converted_stat * 2, IF(bbgm_stat &gt;= perc_85, converted_stat * 1.5, converted_stat)))))</f>
        <v/>
      </c>
      <c r="F938" s="30" t="str">
        <f t="array" ref="F938">IF($A938="", "", LET(bbgm_stat, INDEX(Players!$A937:$P937, MATCH(F$2, Players!$A$1:$P$1, 0)), perc_75, VLOOKUP(F$2, Percentiles!$A$45:$I$59, 6, FALSE), perc_90, VLOOKUP(F$2, Percentiles!$A$45:$I$59, 7, FALSE), perc_95, VLOOKUP(F$2, Percentiles!$A$45:$I$59, 8, FALSE), perc_85, perc_75 + (perc_90 - perc_75) * (2/3), converted_stat, '2K_Ratings'!F938, IF(bbgm_stat &gt;= perc_95, converted_stat * 3, IF(bbgm_stat &gt;= perc_90, converted_stat * 2, IF(bbgm_stat &gt;= perc_85, converted_stat * 1.5, converted_stat)))))</f>
        <v/>
      </c>
      <c r="G938" s="30" t="str">
        <f t="array" ref="G938">IF($A938="", "", LET(bbgm_stat, INDEX(Players!$A937:$P937, MATCH(G$2, Players!$A$1:$P$1, 0)), perc_75, VLOOKUP(G$2, Percentiles!$A$45:$I$59, 6, FALSE), perc_90, VLOOKUP(G$2, Percentiles!$A$45:$I$59, 7, FALSE), perc_95, VLOOKUP(G$2, Percentiles!$A$45:$I$59, 8, FALSE), perc_85, perc_75 + (perc_90 - perc_75) * (2/3), converted_stat, '2K_Ratings'!G938, IF(bbgm_stat &gt;= perc_95, converted_stat * 3, IF(bbgm_stat &gt;= perc_90, converted_stat * 2, IF(bbgm_stat &gt;= perc_85, converted_stat * 1.5, converted_stat)))))</f>
        <v/>
      </c>
      <c r="H938" s="30" t="str">
        <f t="array" ref="H938">IF($A938="", "", LET(bbgm_stat, INDEX(Players!$A937:$P937, MATCH(H$2, Players!$A$1:$P$1, 0)), perc_75, VLOOKUP(H$2, Percentiles!$A$45:$I$59, 6, FALSE), perc_90, VLOOKUP(H$2, Percentiles!$A$45:$I$59, 7, FALSE), perc_95, VLOOKUP(H$2, Percentiles!$A$45:$I$59, 8, FALSE), perc_85, perc_75 + (perc_90 - perc_75) * (2/3), converted_stat, '2K_Ratings'!H938, IF(bbgm_stat &gt;= perc_95, converted_stat * 3, IF(bbgm_stat &gt;= perc_90, converted_stat * 2, IF(bbgm_stat &gt;= perc_85, converted_stat * 1.5, converted_stat)))))</f>
        <v/>
      </c>
      <c r="I938" s="30" t="str">
        <f t="array" ref="I938">IF($A938="", "", LET(bbgm_stat, INDEX(Players!$A937:$P937, MATCH(I$2, Players!$A$1:$P$1, 0)), perc_75, VLOOKUP(I$2, Percentiles!$A$45:$I$59, 6, FALSE), perc_90, VLOOKUP(I$2, Percentiles!$A$45:$I$59, 7, FALSE), perc_95, VLOOKUP(I$2, Percentiles!$A$45:$I$59, 8, FALSE), perc_85, perc_75 + (perc_90 - perc_75) * (2/3), converted_stat, '2K_Ratings'!I938, IF(bbgm_stat &gt;= perc_95, converted_stat * 3, IF(bbgm_stat &gt;= perc_90, converted_stat * 2, IF(bbgm_stat &gt;= perc_85, converted_stat * 1.5, converted_stat)))))</f>
        <v/>
      </c>
      <c r="J938" s="30" t="str">
        <f t="array" ref="J938">IF($A938="", "", LET(bbgm_stat, INDEX(Players!$A937:$P937, MATCH(J$2, Players!$A$1:$P$1, 0)), perc_75, VLOOKUP(J$2, Percentiles!$A$45:$I$59, 6, FALSE), perc_90, VLOOKUP(J$2, Percentiles!$A$45:$I$59, 7, FALSE), perc_95, VLOOKUP(J$2, Percentiles!$A$45:$I$59, 8, FALSE), perc_85, perc_75 + (perc_90 - perc_75) * (2/3), converted_stat, '2K_Ratings'!J938, IF(bbgm_stat &gt;= perc_95, converted_stat * 3, IF(bbgm_stat &gt;= perc_90, converted_stat * 2, IF(bbgm_stat &gt;= perc_85, converted_stat * 1.5, converted_stat)))))</f>
        <v/>
      </c>
      <c r="K938" s="30" t="str">
        <f t="array" ref="K938">IF($A938="", "", LET(bbgm_stat, INDEX(Players!$A937:$P937, MATCH(K$2, Players!$A$1:$P$1, 0)), perc_75, VLOOKUP(K$2, Percentiles!$A$45:$I$59, 6, FALSE), perc_90, VLOOKUP(K$2, Percentiles!$A$45:$I$59, 7, FALSE), perc_95, VLOOKUP(K$2, Percentiles!$A$45:$I$59, 8, FALSE), perc_85, perc_75 + (perc_90 - perc_75) * (2/3), converted_stat, '2K_Ratings'!K938, IF(bbgm_stat &gt;= perc_95, converted_stat * 3, IF(bbgm_stat &gt;= perc_90, converted_stat * 2, IF(bbgm_stat &gt;= perc_85, converted_stat * 1.5, converted_stat)))))</f>
        <v/>
      </c>
      <c r="L938" s="30" t="str">
        <f t="array" ref="L938">IF($A938="", "", LET(bbgm_stat, INDEX(Players!$A937:$P937, MATCH(L$2, Players!$A$1:$P$1, 0)), perc_75, VLOOKUP(L$2, Percentiles!$A$45:$I$59, 6, FALSE), perc_90, VLOOKUP(L$2, Percentiles!$A$45:$I$59, 7, FALSE), perc_95, VLOOKUP(L$2, Percentiles!$A$45:$I$59, 8, FALSE), perc_85, perc_75 + (perc_90 - perc_75) * (2/3), converted_stat, '2K_Ratings'!L938, IF(bbgm_stat &gt;= perc_95, converted_stat * 3, IF(bbgm_stat &gt;= perc_90, converted_stat * 2, IF(bbgm_stat &gt;= perc_85, converted_stat * 1.5, converted_stat)))))</f>
        <v/>
      </c>
      <c r="M938" s="30" t="str">
        <f t="array" ref="M938">IF($A938="", "", LET(bbgm_stat, INDEX(Players!$A937:$P937, MATCH(M$2, Players!$A$1:$P$1, 0)), perc_75, VLOOKUP(M$2, Percentiles!$A$45:$I$59, 6, FALSE), perc_90, VLOOKUP(M$2, Percentiles!$A$45:$I$59, 7, FALSE), perc_95, VLOOKUP(M$2, Percentiles!$A$45:$I$59, 8, FALSE), perc_85, perc_75 + (perc_90 - perc_75) * (2/3), converted_stat, '2K_Ratings'!M938, IF(bbgm_stat &gt;= perc_95, converted_stat * 3, IF(bbgm_stat &gt;= perc_90, converted_stat * 2, IF(bbgm_stat &gt;= perc_85, converted_stat * 1.5, converted_stat)))))</f>
        <v/>
      </c>
      <c r="N938" s="30" t="str">
        <f t="array" ref="N938">IF($A938="", "", LET(bbgm_stat, INDEX(Players!$A937:$P937, MATCH(N$2, Players!$A$1:$P$1, 0)), perc_75, VLOOKUP(N$2, Percentiles!$A$45:$I$59, 6, FALSE), perc_90, VLOOKUP(N$2, Percentiles!$A$45:$I$59, 7, FALSE), perc_95, VLOOKUP(N$2, Percentiles!$A$45:$I$59, 8, FALSE), perc_85, perc_75 + (perc_90 - perc_75) * (2/3), converted_stat, '2K_Ratings'!N938, IF(bbgm_stat &gt;= perc_95, converted_stat * 3, IF(bbgm_stat &gt;= perc_90, converted_stat * 2, IF(bbgm_stat &gt;= perc_85, converted_stat * 1.5, converted_stat)))))</f>
        <v/>
      </c>
      <c r="O938" s="30" t="str">
        <f t="array" ref="O938">IF($A938="", "", LET(bbgm_stat, INDEX(Players!$A937:$P937, MATCH(O$2, Players!$A$1:$P$1, 0)), perc_75, VLOOKUP(O$2, Percentiles!$A$45:$I$59, 6, FALSE), perc_90, VLOOKUP(O$2, Percentiles!$A$45:$I$59, 7, FALSE), perc_95, VLOOKUP(O$2, Percentiles!$A$45:$I$59, 8, FALSE), perc_85, perc_75 + (perc_90 - perc_75) * (2/3), converted_stat, '2K_Ratings'!O938, IF(bbgm_stat &gt;= perc_95, converted_stat * 3, IF(bbgm_stat &gt;= perc_90, converted_stat * 2, IF(bbgm_stat &gt;= perc_85, converted_stat * 1.5, converted_stat)))))</f>
        <v/>
      </c>
      <c r="P938" s="30" t="str">
        <f t="array" ref="P938">IF($A938="", "", LET(bbgm_stat, INDEX(Players!$A937:$P937, MATCH(P$2, Players!$A$1:$P$1, 0)), perc_75, VLOOKUP(P$2, Percentiles!$A$45:$I$59, 6, FALSE), perc_90, VLOOKUP(P$2, Percentiles!$A$45:$I$59, 7, FALSE), perc_95, VLOOKUP(P$2, Percentiles!$A$45:$I$59, 8, FALSE), perc_85, perc_75 + (perc_90 - perc_75) * (2/3), converted_stat, '2K_Ratings'!P938, IF(bbgm_stat &gt;= perc_95, converted_stat * 3, IF(bbgm_stat &gt;= perc_90, converted_stat * 2, IF(bbgm_stat &gt;= perc_85, converted_stat * 1.5, converted_stat)))))</f>
        <v/>
      </c>
      <c r="Q938" s="30" t="str">
        <f t="array" ref="Q938">IF($A938="", "", LET(bbgm_stat, INDEX(Players!$A937:$P937, MATCH(Q$2, Players!$A$1:$P$1, 0)), perc_75, VLOOKUP(Q$2, Percentiles!$A$45:$I$59, 6, FALSE), perc_90, VLOOKUP(Q$2, Percentiles!$A$45:$I$59, 7, FALSE), perc_95, VLOOKUP(Q$2, Percentiles!$A$45:$I$59, 8, FALSE), perc_85, perc_75 + (perc_90 - perc_75) * (2/3), converted_stat, '2K_Ratings'!Q938, IF(bbgm_stat &gt;= perc_95, converted_stat * 3, IF(bbgm_stat &gt;= perc_90, converted_stat * 2, IF(bbgm_stat &gt;= perc_85, converted_stat * 1.5, converted_stat)))))</f>
        <v/>
      </c>
      <c r="R938" s="30" t="str">
        <f t="array" ref="R938">IF($A938="", "", LET(bbgm_stat, INDEX(Players!$A937:$P937, MATCH(R$2, Players!$A$1:$P$1, 0)), perc_75, VLOOKUP(R$2, Percentiles!$A$45:$I$59, 6, FALSE), perc_90, VLOOKUP(R$2, Percentiles!$A$45:$I$59, 7, FALSE), perc_95, VLOOKUP(R$2, Percentiles!$A$45:$I$59, 8, FALSE), perc_85, perc_75 + (perc_90 - perc_75) * (2/3), converted_stat, '2K_Ratings'!R938, IF(bbgm_stat &gt;= perc_95, converted_stat * 3, IF(bbgm_stat &gt;= perc_90, converted_stat * 2, IF(bbgm_stat &gt;= perc_85, converted_stat * 1.5, converted_stat)))))</f>
        <v/>
      </c>
      <c r="S938" s="30" t="str">
        <f t="array" ref="S938">IF($A938="", "", LET(bbgm_stat, INDEX(Players!$A937:$P937, MATCH(S$2, Players!$A$1:$P$1, 0)), perc_75, VLOOKUP(S$2, Percentiles!$A$45:$I$59, 6, FALSE), perc_90, VLOOKUP(S$2, Percentiles!$A$45:$I$59, 7, FALSE), perc_95, VLOOKUP(S$2, Percentiles!$A$45:$I$59, 8, FALSE), perc_85, perc_75 + (perc_90 - perc_75) * (2/3), converted_stat, '2K_Ratings'!S938, IF(bbgm_stat &gt;= perc_95, converted_stat * 3, IF(bbgm_stat &gt;= perc_90, converted_stat * 2, IF(bbgm_stat &gt;= perc_85, converted_stat * 1.5, converted_stat)))))</f>
        <v/>
      </c>
      <c r="T938" s="30" t="str">
        <f t="array" ref="T938">IF($A938="", "", LET(bbgm_stat, INDEX(Players!$A937:$P937, MATCH(T$2, Players!$A$1:$P$1, 0)), perc_75, VLOOKUP(T$2, Percentiles!$A$45:$I$59, 6, FALSE), perc_90, VLOOKUP(T$2, Percentiles!$A$45:$I$59, 7, FALSE), perc_95, VLOOKUP(T$2, Percentiles!$A$45:$I$59, 8, FALSE), perc_85, perc_75 + (perc_90 - perc_75) * (2/3), converted_stat, '2K_Ratings'!T938, IF(bbgm_stat &gt;= perc_95, converted_stat * 3, IF(bbgm_stat &gt;= perc_90, converted_stat * 2, IF(bbgm_stat &gt;= perc_85, converted_stat * 1.5, converted_stat)))))</f>
        <v/>
      </c>
      <c r="U938" s="30" t="str">
        <f t="array" ref="U938">IF($A938="", "", LET(bbgm_stat, INDEX(Players!$A937:$P937, MATCH(U$2, Players!$A$1:$P$1, 0)), perc_75, VLOOKUP(U$2, Percentiles!$A$45:$I$59, 6, FALSE), perc_90, VLOOKUP(U$2, Percentiles!$A$45:$I$59, 7, FALSE), perc_95, VLOOKUP(U$2, Percentiles!$A$45:$I$59, 8, FALSE), perc_85, perc_75 + (perc_90 - perc_75) * (2/3), converted_stat, '2K_Ratings'!U938, IF(bbgm_stat &gt;= perc_95, converted_stat * 3, IF(bbgm_stat &gt;= perc_90, converted_stat * 2, IF(bbgm_stat &gt;= perc_85, converted_stat * 1.5, converted_stat)))))</f>
        <v/>
      </c>
      <c r="V938" s="30" t="str">
        <f t="array" ref="V938">IF($A938="", "", LET(bbgm_stat, INDEX(Players!$A937:$P937, MATCH(V$2, Players!$A$1:$P$1, 0)), perc_75, VLOOKUP(V$2, Percentiles!$A$45:$I$59, 6, FALSE), perc_90, VLOOKUP(V$2, Percentiles!$A$45:$I$59, 7, FALSE), perc_95, VLOOKUP(V$2, Percentiles!$A$45:$I$59, 8, FALSE), perc_85, perc_75 + (perc_90 - perc_75) * (2/3), converted_stat, '2K_Ratings'!V938, IF(bbgm_stat &gt;= perc_95, converted_stat * 3, IF(bbgm_stat &gt;= perc_90, converted_stat * 2, IF(bbgm_stat &gt;= perc_85, converted_stat * 1.5, converted_stat)))))</f>
        <v/>
      </c>
      <c r="W938" s="30" t="str">
        <f t="array" ref="W938">IF($A938="", "", LET(bbgm_stat, INDEX(Players!$A937:$P937, MATCH(W$2, Players!$A$1:$P$1, 0)), perc_75, VLOOKUP(W$2, Percentiles!$A$45:$I$59, 6, FALSE), perc_90, VLOOKUP(W$2, Percentiles!$A$45:$I$59, 7, FALSE), perc_95, VLOOKUP(W$2, Percentiles!$A$45:$I$59, 8, FALSE), perc_85, perc_75 + (perc_90 - perc_75) * (2/3), converted_stat, '2K_Ratings'!W938, IF(bbgm_stat &gt;= perc_95, converted_stat * 3, IF(bbgm_stat &gt;= perc_90, converted_stat * 2, IF(bbgm_stat &gt;= perc_85, converted_stat * 1.5, converted_stat)))))</f>
        <v/>
      </c>
    </row>
    <row r="939">
      <c r="A939" s="30"/>
      <c r="B939" s="30" t="str">
        <f t="array" ref="B939">IF($A939="", "", LET(bbgm_stat, INDEX(Players!$A938:$P938, MATCH(B$2, Players!$A$1:$P$1, 0)), perc_75, VLOOKUP(B$2, Percentiles!$A$45:$I$59, 6, FALSE), perc_90, VLOOKUP(B$2, Percentiles!$A$45:$I$59, 7, FALSE), perc_95, VLOOKUP(B$2, Percentiles!$A$45:$I$59, 8, FALSE), perc_85, perc_75 + (perc_90 - perc_75) * (2/3), converted_stat, '2K_Ratings'!B939, IF(bbgm_stat &gt;= perc_95, converted_stat * 3, IF(bbgm_stat &gt;= perc_90, converted_stat * 2, IF(bbgm_stat &gt;= perc_85, converted_stat * 1.5, converted_stat)))))</f>
        <v/>
      </c>
      <c r="C939" s="30" t="str">
        <f t="array" ref="C939">IF($A939="", "", LET(bbgm_stat, INDEX(Players!$A938:$P938, MATCH(C$2, Players!$A$1:$P$1, 0)), perc_75, VLOOKUP(C$2, Percentiles!$A$45:$I$59, 6, FALSE), perc_90, VLOOKUP(C$2, Percentiles!$A$45:$I$59, 7, FALSE), perc_95, VLOOKUP(C$2, Percentiles!$A$45:$I$59, 8, FALSE), perc_85, perc_75 + (perc_90 - perc_75) * (2/3), converted_stat, '2K_Ratings'!C939, IF(bbgm_stat &gt;= perc_95, converted_stat * 3, IF(bbgm_stat &gt;= perc_90, converted_stat * 2, IF(bbgm_stat &gt;= perc_85, converted_stat * 1.5, converted_stat)))))</f>
        <v/>
      </c>
      <c r="D939" s="30" t="str">
        <f t="array" ref="D939">IF($A939="", "", LET(bbgm_stat, INDEX(Players!$A938:$P938, MATCH(D$2, Players!$A$1:$P$1, 0)), perc_75, VLOOKUP(D$2, Percentiles!$A$45:$I$59, 6, FALSE), perc_90, VLOOKUP(D$2, Percentiles!$A$45:$I$59, 7, FALSE), perc_95, VLOOKUP(D$2, Percentiles!$A$45:$I$59, 8, FALSE), perc_85, perc_75 + (perc_90 - perc_75) * (2/3), converted_stat, '2K_Ratings'!D939, IF(bbgm_stat &gt;= perc_95, converted_stat * 3, IF(bbgm_stat &gt;= perc_90, converted_stat * 2, IF(bbgm_stat &gt;= perc_85, converted_stat * 1.5, converted_stat)))))</f>
        <v/>
      </c>
      <c r="E939" s="30" t="str">
        <f t="array" ref="E939">IF($A939="", "", LET(bbgm_stat, INDEX(Players!$A938:$P938, MATCH(E$2, Players!$A$1:$P$1, 0)), perc_75, VLOOKUP(E$2, Percentiles!$A$45:$I$59, 6, FALSE), perc_90, VLOOKUP(E$2, Percentiles!$A$45:$I$59, 7, FALSE), perc_95, VLOOKUP(E$2, Percentiles!$A$45:$I$59, 8, FALSE), perc_85, perc_75 + (perc_90 - perc_75) * (2/3), converted_stat, '2K_Ratings'!E939, IF(bbgm_stat &gt;= perc_95, converted_stat * 3, IF(bbgm_stat &gt;= perc_90, converted_stat * 2, IF(bbgm_stat &gt;= perc_85, converted_stat * 1.5, converted_stat)))))</f>
        <v/>
      </c>
      <c r="F939" s="30" t="str">
        <f t="array" ref="F939">IF($A939="", "", LET(bbgm_stat, INDEX(Players!$A938:$P938, MATCH(F$2, Players!$A$1:$P$1, 0)), perc_75, VLOOKUP(F$2, Percentiles!$A$45:$I$59, 6, FALSE), perc_90, VLOOKUP(F$2, Percentiles!$A$45:$I$59, 7, FALSE), perc_95, VLOOKUP(F$2, Percentiles!$A$45:$I$59, 8, FALSE), perc_85, perc_75 + (perc_90 - perc_75) * (2/3), converted_stat, '2K_Ratings'!F939, IF(bbgm_stat &gt;= perc_95, converted_stat * 3, IF(bbgm_stat &gt;= perc_90, converted_stat * 2, IF(bbgm_stat &gt;= perc_85, converted_stat * 1.5, converted_stat)))))</f>
        <v/>
      </c>
      <c r="G939" s="30" t="str">
        <f t="array" ref="G939">IF($A939="", "", LET(bbgm_stat, INDEX(Players!$A938:$P938, MATCH(G$2, Players!$A$1:$P$1, 0)), perc_75, VLOOKUP(G$2, Percentiles!$A$45:$I$59, 6, FALSE), perc_90, VLOOKUP(G$2, Percentiles!$A$45:$I$59, 7, FALSE), perc_95, VLOOKUP(G$2, Percentiles!$A$45:$I$59, 8, FALSE), perc_85, perc_75 + (perc_90 - perc_75) * (2/3), converted_stat, '2K_Ratings'!G939, IF(bbgm_stat &gt;= perc_95, converted_stat * 3, IF(bbgm_stat &gt;= perc_90, converted_stat * 2, IF(bbgm_stat &gt;= perc_85, converted_stat * 1.5, converted_stat)))))</f>
        <v/>
      </c>
      <c r="H939" s="30" t="str">
        <f t="array" ref="H939">IF($A939="", "", LET(bbgm_stat, INDEX(Players!$A938:$P938, MATCH(H$2, Players!$A$1:$P$1, 0)), perc_75, VLOOKUP(H$2, Percentiles!$A$45:$I$59, 6, FALSE), perc_90, VLOOKUP(H$2, Percentiles!$A$45:$I$59, 7, FALSE), perc_95, VLOOKUP(H$2, Percentiles!$A$45:$I$59, 8, FALSE), perc_85, perc_75 + (perc_90 - perc_75) * (2/3), converted_stat, '2K_Ratings'!H939, IF(bbgm_stat &gt;= perc_95, converted_stat * 3, IF(bbgm_stat &gt;= perc_90, converted_stat * 2, IF(bbgm_stat &gt;= perc_85, converted_stat * 1.5, converted_stat)))))</f>
        <v/>
      </c>
      <c r="I939" s="30" t="str">
        <f t="array" ref="I939">IF($A939="", "", LET(bbgm_stat, INDEX(Players!$A938:$P938, MATCH(I$2, Players!$A$1:$P$1, 0)), perc_75, VLOOKUP(I$2, Percentiles!$A$45:$I$59, 6, FALSE), perc_90, VLOOKUP(I$2, Percentiles!$A$45:$I$59, 7, FALSE), perc_95, VLOOKUP(I$2, Percentiles!$A$45:$I$59, 8, FALSE), perc_85, perc_75 + (perc_90 - perc_75) * (2/3), converted_stat, '2K_Ratings'!I939, IF(bbgm_stat &gt;= perc_95, converted_stat * 3, IF(bbgm_stat &gt;= perc_90, converted_stat * 2, IF(bbgm_stat &gt;= perc_85, converted_stat * 1.5, converted_stat)))))</f>
        <v/>
      </c>
      <c r="J939" s="30" t="str">
        <f t="array" ref="J939">IF($A939="", "", LET(bbgm_stat, INDEX(Players!$A938:$P938, MATCH(J$2, Players!$A$1:$P$1, 0)), perc_75, VLOOKUP(J$2, Percentiles!$A$45:$I$59, 6, FALSE), perc_90, VLOOKUP(J$2, Percentiles!$A$45:$I$59, 7, FALSE), perc_95, VLOOKUP(J$2, Percentiles!$A$45:$I$59, 8, FALSE), perc_85, perc_75 + (perc_90 - perc_75) * (2/3), converted_stat, '2K_Ratings'!J939, IF(bbgm_stat &gt;= perc_95, converted_stat * 3, IF(bbgm_stat &gt;= perc_90, converted_stat * 2, IF(bbgm_stat &gt;= perc_85, converted_stat * 1.5, converted_stat)))))</f>
        <v/>
      </c>
      <c r="K939" s="30" t="str">
        <f t="array" ref="K939">IF($A939="", "", LET(bbgm_stat, INDEX(Players!$A938:$P938, MATCH(K$2, Players!$A$1:$P$1, 0)), perc_75, VLOOKUP(K$2, Percentiles!$A$45:$I$59, 6, FALSE), perc_90, VLOOKUP(K$2, Percentiles!$A$45:$I$59, 7, FALSE), perc_95, VLOOKUP(K$2, Percentiles!$A$45:$I$59, 8, FALSE), perc_85, perc_75 + (perc_90 - perc_75) * (2/3), converted_stat, '2K_Ratings'!K939, IF(bbgm_stat &gt;= perc_95, converted_stat * 3, IF(bbgm_stat &gt;= perc_90, converted_stat * 2, IF(bbgm_stat &gt;= perc_85, converted_stat * 1.5, converted_stat)))))</f>
        <v/>
      </c>
      <c r="L939" s="30" t="str">
        <f t="array" ref="L939">IF($A939="", "", LET(bbgm_stat, INDEX(Players!$A938:$P938, MATCH(L$2, Players!$A$1:$P$1, 0)), perc_75, VLOOKUP(L$2, Percentiles!$A$45:$I$59, 6, FALSE), perc_90, VLOOKUP(L$2, Percentiles!$A$45:$I$59, 7, FALSE), perc_95, VLOOKUP(L$2, Percentiles!$A$45:$I$59, 8, FALSE), perc_85, perc_75 + (perc_90 - perc_75) * (2/3), converted_stat, '2K_Ratings'!L939, IF(bbgm_stat &gt;= perc_95, converted_stat * 3, IF(bbgm_stat &gt;= perc_90, converted_stat * 2, IF(bbgm_stat &gt;= perc_85, converted_stat * 1.5, converted_stat)))))</f>
        <v/>
      </c>
      <c r="M939" s="30" t="str">
        <f t="array" ref="M939">IF($A939="", "", LET(bbgm_stat, INDEX(Players!$A938:$P938, MATCH(M$2, Players!$A$1:$P$1, 0)), perc_75, VLOOKUP(M$2, Percentiles!$A$45:$I$59, 6, FALSE), perc_90, VLOOKUP(M$2, Percentiles!$A$45:$I$59, 7, FALSE), perc_95, VLOOKUP(M$2, Percentiles!$A$45:$I$59, 8, FALSE), perc_85, perc_75 + (perc_90 - perc_75) * (2/3), converted_stat, '2K_Ratings'!M939, IF(bbgm_stat &gt;= perc_95, converted_stat * 3, IF(bbgm_stat &gt;= perc_90, converted_stat * 2, IF(bbgm_stat &gt;= perc_85, converted_stat * 1.5, converted_stat)))))</f>
        <v/>
      </c>
      <c r="N939" s="30" t="str">
        <f t="array" ref="N939">IF($A939="", "", LET(bbgm_stat, INDEX(Players!$A938:$P938, MATCH(N$2, Players!$A$1:$P$1, 0)), perc_75, VLOOKUP(N$2, Percentiles!$A$45:$I$59, 6, FALSE), perc_90, VLOOKUP(N$2, Percentiles!$A$45:$I$59, 7, FALSE), perc_95, VLOOKUP(N$2, Percentiles!$A$45:$I$59, 8, FALSE), perc_85, perc_75 + (perc_90 - perc_75) * (2/3), converted_stat, '2K_Ratings'!N939, IF(bbgm_stat &gt;= perc_95, converted_stat * 3, IF(bbgm_stat &gt;= perc_90, converted_stat * 2, IF(bbgm_stat &gt;= perc_85, converted_stat * 1.5, converted_stat)))))</f>
        <v/>
      </c>
      <c r="O939" s="30" t="str">
        <f t="array" ref="O939">IF($A939="", "", LET(bbgm_stat, INDEX(Players!$A938:$P938, MATCH(O$2, Players!$A$1:$P$1, 0)), perc_75, VLOOKUP(O$2, Percentiles!$A$45:$I$59, 6, FALSE), perc_90, VLOOKUP(O$2, Percentiles!$A$45:$I$59, 7, FALSE), perc_95, VLOOKUP(O$2, Percentiles!$A$45:$I$59, 8, FALSE), perc_85, perc_75 + (perc_90 - perc_75) * (2/3), converted_stat, '2K_Ratings'!O939, IF(bbgm_stat &gt;= perc_95, converted_stat * 3, IF(bbgm_stat &gt;= perc_90, converted_stat * 2, IF(bbgm_stat &gt;= perc_85, converted_stat * 1.5, converted_stat)))))</f>
        <v/>
      </c>
      <c r="P939" s="30" t="str">
        <f t="array" ref="P939">IF($A939="", "", LET(bbgm_stat, INDEX(Players!$A938:$P938, MATCH(P$2, Players!$A$1:$P$1, 0)), perc_75, VLOOKUP(P$2, Percentiles!$A$45:$I$59, 6, FALSE), perc_90, VLOOKUP(P$2, Percentiles!$A$45:$I$59, 7, FALSE), perc_95, VLOOKUP(P$2, Percentiles!$A$45:$I$59, 8, FALSE), perc_85, perc_75 + (perc_90 - perc_75) * (2/3), converted_stat, '2K_Ratings'!P939, IF(bbgm_stat &gt;= perc_95, converted_stat * 3, IF(bbgm_stat &gt;= perc_90, converted_stat * 2, IF(bbgm_stat &gt;= perc_85, converted_stat * 1.5, converted_stat)))))</f>
        <v/>
      </c>
      <c r="Q939" s="30" t="str">
        <f t="array" ref="Q939">IF($A939="", "", LET(bbgm_stat, INDEX(Players!$A938:$P938, MATCH(Q$2, Players!$A$1:$P$1, 0)), perc_75, VLOOKUP(Q$2, Percentiles!$A$45:$I$59, 6, FALSE), perc_90, VLOOKUP(Q$2, Percentiles!$A$45:$I$59, 7, FALSE), perc_95, VLOOKUP(Q$2, Percentiles!$A$45:$I$59, 8, FALSE), perc_85, perc_75 + (perc_90 - perc_75) * (2/3), converted_stat, '2K_Ratings'!Q939, IF(bbgm_stat &gt;= perc_95, converted_stat * 3, IF(bbgm_stat &gt;= perc_90, converted_stat * 2, IF(bbgm_stat &gt;= perc_85, converted_stat * 1.5, converted_stat)))))</f>
        <v/>
      </c>
      <c r="R939" s="30" t="str">
        <f t="array" ref="R939">IF($A939="", "", LET(bbgm_stat, INDEX(Players!$A938:$P938, MATCH(R$2, Players!$A$1:$P$1, 0)), perc_75, VLOOKUP(R$2, Percentiles!$A$45:$I$59, 6, FALSE), perc_90, VLOOKUP(R$2, Percentiles!$A$45:$I$59, 7, FALSE), perc_95, VLOOKUP(R$2, Percentiles!$A$45:$I$59, 8, FALSE), perc_85, perc_75 + (perc_90 - perc_75) * (2/3), converted_stat, '2K_Ratings'!R939, IF(bbgm_stat &gt;= perc_95, converted_stat * 3, IF(bbgm_stat &gt;= perc_90, converted_stat * 2, IF(bbgm_stat &gt;= perc_85, converted_stat * 1.5, converted_stat)))))</f>
        <v/>
      </c>
      <c r="S939" s="30" t="str">
        <f t="array" ref="S939">IF($A939="", "", LET(bbgm_stat, INDEX(Players!$A938:$P938, MATCH(S$2, Players!$A$1:$P$1, 0)), perc_75, VLOOKUP(S$2, Percentiles!$A$45:$I$59, 6, FALSE), perc_90, VLOOKUP(S$2, Percentiles!$A$45:$I$59, 7, FALSE), perc_95, VLOOKUP(S$2, Percentiles!$A$45:$I$59, 8, FALSE), perc_85, perc_75 + (perc_90 - perc_75) * (2/3), converted_stat, '2K_Ratings'!S939, IF(bbgm_stat &gt;= perc_95, converted_stat * 3, IF(bbgm_stat &gt;= perc_90, converted_stat * 2, IF(bbgm_stat &gt;= perc_85, converted_stat * 1.5, converted_stat)))))</f>
        <v/>
      </c>
      <c r="T939" s="30" t="str">
        <f t="array" ref="T939">IF($A939="", "", LET(bbgm_stat, INDEX(Players!$A938:$P938, MATCH(T$2, Players!$A$1:$P$1, 0)), perc_75, VLOOKUP(T$2, Percentiles!$A$45:$I$59, 6, FALSE), perc_90, VLOOKUP(T$2, Percentiles!$A$45:$I$59, 7, FALSE), perc_95, VLOOKUP(T$2, Percentiles!$A$45:$I$59, 8, FALSE), perc_85, perc_75 + (perc_90 - perc_75) * (2/3), converted_stat, '2K_Ratings'!T939, IF(bbgm_stat &gt;= perc_95, converted_stat * 3, IF(bbgm_stat &gt;= perc_90, converted_stat * 2, IF(bbgm_stat &gt;= perc_85, converted_stat * 1.5, converted_stat)))))</f>
        <v/>
      </c>
      <c r="U939" s="30" t="str">
        <f t="array" ref="U939">IF($A939="", "", LET(bbgm_stat, INDEX(Players!$A938:$P938, MATCH(U$2, Players!$A$1:$P$1, 0)), perc_75, VLOOKUP(U$2, Percentiles!$A$45:$I$59, 6, FALSE), perc_90, VLOOKUP(U$2, Percentiles!$A$45:$I$59, 7, FALSE), perc_95, VLOOKUP(U$2, Percentiles!$A$45:$I$59, 8, FALSE), perc_85, perc_75 + (perc_90 - perc_75) * (2/3), converted_stat, '2K_Ratings'!U939, IF(bbgm_stat &gt;= perc_95, converted_stat * 3, IF(bbgm_stat &gt;= perc_90, converted_stat * 2, IF(bbgm_stat &gt;= perc_85, converted_stat * 1.5, converted_stat)))))</f>
        <v/>
      </c>
      <c r="V939" s="30" t="str">
        <f t="array" ref="V939">IF($A939="", "", LET(bbgm_stat, INDEX(Players!$A938:$P938, MATCH(V$2, Players!$A$1:$P$1, 0)), perc_75, VLOOKUP(V$2, Percentiles!$A$45:$I$59, 6, FALSE), perc_90, VLOOKUP(V$2, Percentiles!$A$45:$I$59, 7, FALSE), perc_95, VLOOKUP(V$2, Percentiles!$A$45:$I$59, 8, FALSE), perc_85, perc_75 + (perc_90 - perc_75) * (2/3), converted_stat, '2K_Ratings'!V939, IF(bbgm_stat &gt;= perc_95, converted_stat * 3, IF(bbgm_stat &gt;= perc_90, converted_stat * 2, IF(bbgm_stat &gt;= perc_85, converted_stat * 1.5, converted_stat)))))</f>
        <v/>
      </c>
      <c r="W939" s="30" t="str">
        <f t="array" ref="W939">IF($A939="", "", LET(bbgm_stat, INDEX(Players!$A938:$P938, MATCH(W$2, Players!$A$1:$P$1, 0)), perc_75, VLOOKUP(W$2, Percentiles!$A$45:$I$59, 6, FALSE), perc_90, VLOOKUP(W$2, Percentiles!$A$45:$I$59, 7, FALSE), perc_95, VLOOKUP(W$2, Percentiles!$A$45:$I$59, 8, FALSE), perc_85, perc_75 + (perc_90 - perc_75) * (2/3), converted_stat, '2K_Ratings'!W939, IF(bbgm_stat &gt;= perc_95, converted_stat * 3, IF(bbgm_stat &gt;= perc_90, converted_stat * 2, IF(bbgm_stat &gt;= perc_85, converted_stat * 1.5, converted_stat)))))</f>
        <v/>
      </c>
    </row>
    <row r="940">
      <c r="A940" s="30"/>
      <c r="B940" s="30" t="str">
        <f t="array" ref="B940">IF($A940="", "", LET(bbgm_stat, INDEX(Players!$A939:$P939, MATCH(B$2, Players!$A$1:$P$1, 0)), perc_75, VLOOKUP(B$2, Percentiles!$A$45:$I$59, 6, FALSE), perc_90, VLOOKUP(B$2, Percentiles!$A$45:$I$59, 7, FALSE), perc_95, VLOOKUP(B$2, Percentiles!$A$45:$I$59, 8, FALSE), perc_85, perc_75 + (perc_90 - perc_75) * (2/3), converted_stat, '2K_Ratings'!B940, IF(bbgm_stat &gt;= perc_95, converted_stat * 3, IF(bbgm_stat &gt;= perc_90, converted_stat * 2, IF(bbgm_stat &gt;= perc_85, converted_stat * 1.5, converted_stat)))))</f>
        <v/>
      </c>
      <c r="C940" s="30" t="str">
        <f t="array" ref="C940">IF($A940="", "", LET(bbgm_stat, INDEX(Players!$A939:$P939, MATCH(C$2, Players!$A$1:$P$1, 0)), perc_75, VLOOKUP(C$2, Percentiles!$A$45:$I$59, 6, FALSE), perc_90, VLOOKUP(C$2, Percentiles!$A$45:$I$59, 7, FALSE), perc_95, VLOOKUP(C$2, Percentiles!$A$45:$I$59, 8, FALSE), perc_85, perc_75 + (perc_90 - perc_75) * (2/3), converted_stat, '2K_Ratings'!C940, IF(bbgm_stat &gt;= perc_95, converted_stat * 3, IF(bbgm_stat &gt;= perc_90, converted_stat * 2, IF(bbgm_stat &gt;= perc_85, converted_stat * 1.5, converted_stat)))))</f>
        <v/>
      </c>
      <c r="D940" s="30" t="str">
        <f t="array" ref="D940">IF($A940="", "", LET(bbgm_stat, INDEX(Players!$A939:$P939, MATCH(D$2, Players!$A$1:$P$1, 0)), perc_75, VLOOKUP(D$2, Percentiles!$A$45:$I$59, 6, FALSE), perc_90, VLOOKUP(D$2, Percentiles!$A$45:$I$59, 7, FALSE), perc_95, VLOOKUP(D$2, Percentiles!$A$45:$I$59, 8, FALSE), perc_85, perc_75 + (perc_90 - perc_75) * (2/3), converted_stat, '2K_Ratings'!D940, IF(bbgm_stat &gt;= perc_95, converted_stat * 3, IF(bbgm_stat &gt;= perc_90, converted_stat * 2, IF(bbgm_stat &gt;= perc_85, converted_stat * 1.5, converted_stat)))))</f>
        <v/>
      </c>
      <c r="E940" s="30" t="str">
        <f t="array" ref="E940">IF($A940="", "", LET(bbgm_stat, INDEX(Players!$A939:$P939, MATCH(E$2, Players!$A$1:$P$1, 0)), perc_75, VLOOKUP(E$2, Percentiles!$A$45:$I$59, 6, FALSE), perc_90, VLOOKUP(E$2, Percentiles!$A$45:$I$59, 7, FALSE), perc_95, VLOOKUP(E$2, Percentiles!$A$45:$I$59, 8, FALSE), perc_85, perc_75 + (perc_90 - perc_75) * (2/3), converted_stat, '2K_Ratings'!E940, IF(bbgm_stat &gt;= perc_95, converted_stat * 3, IF(bbgm_stat &gt;= perc_90, converted_stat * 2, IF(bbgm_stat &gt;= perc_85, converted_stat * 1.5, converted_stat)))))</f>
        <v/>
      </c>
      <c r="F940" s="30" t="str">
        <f t="array" ref="F940">IF($A940="", "", LET(bbgm_stat, INDEX(Players!$A939:$P939, MATCH(F$2, Players!$A$1:$P$1, 0)), perc_75, VLOOKUP(F$2, Percentiles!$A$45:$I$59, 6, FALSE), perc_90, VLOOKUP(F$2, Percentiles!$A$45:$I$59, 7, FALSE), perc_95, VLOOKUP(F$2, Percentiles!$A$45:$I$59, 8, FALSE), perc_85, perc_75 + (perc_90 - perc_75) * (2/3), converted_stat, '2K_Ratings'!F940, IF(bbgm_stat &gt;= perc_95, converted_stat * 3, IF(bbgm_stat &gt;= perc_90, converted_stat * 2, IF(bbgm_stat &gt;= perc_85, converted_stat * 1.5, converted_stat)))))</f>
        <v/>
      </c>
      <c r="G940" s="30" t="str">
        <f t="array" ref="G940">IF($A940="", "", LET(bbgm_stat, INDEX(Players!$A939:$P939, MATCH(G$2, Players!$A$1:$P$1, 0)), perc_75, VLOOKUP(G$2, Percentiles!$A$45:$I$59, 6, FALSE), perc_90, VLOOKUP(G$2, Percentiles!$A$45:$I$59, 7, FALSE), perc_95, VLOOKUP(G$2, Percentiles!$A$45:$I$59, 8, FALSE), perc_85, perc_75 + (perc_90 - perc_75) * (2/3), converted_stat, '2K_Ratings'!G940, IF(bbgm_stat &gt;= perc_95, converted_stat * 3, IF(bbgm_stat &gt;= perc_90, converted_stat * 2, IF(bbgm_stat &gt;= perc_85, converted_stat * 1.5, converted_stat)))))</f>
        <v/>
      </c>
      <c r="H940" s="30" t="str">
        <f t="array" ref="H940">IF($A940="", "", LET(bbgm_stat, INDEX(Players!$A939:$P939, MATCH(H$2, Players!$A$1:$P$1, 0)), perc_75, VLOOKUP(H$2, Percentiles!$A$45:$I$59, 6, FALSE), perc_90, VLOOKUP(H$2, Percentiles!$A$45:$I$59, 7, FALSE), perc_95, VLOOKUP(H$2, Percentiles!$A$45:$I$59, 8, FALSE), perc_85, perc_75 + (perc_90 - perc_75) * (2/3), converted_stat, '2K_Ratings'!H940, IF(bbgm_stat &gt;= perc_95, converted_stat * 3, IF(bbgm_stat &gt;= perc_90, converted_stat * 2, IF(bbgm_stat &gt;= perc_85, converted_stat * 1.5, converted_stat)))))</f>
        <v/>
      </c>
      <c r="I940" s="30" t="str">
        <f t="array" ref="I940">IF($A940="", "", LET(bbgm_stat, INDEX(Players!$A939:$P939, MATCH(I$2, Players!$A$1:$P$1, 0)), perc_75, VLOOKUP(I$2, Percentiles!$A$45:$I$59, 6, FALSE), perc_90, VLOOKUP(I$2, Percentiles!$A$45:$I$59, 7, FALSE), perc_95, VLOOKUP(I$2, Percentiles!$A$45:$I$59, 8, FALSE), perc_85, perc_75 + (perc_90 - perc_75) * (2/3), converted_stat, '2K_Ratings'!I940, IF(bbgm_stat &gt;= perc_95, converted_stat * 3, IF(bbgm_stat &gt;= perc_90, converted_stat * 2, IF(bbgm_stat &gt;= perc_85, converted_stat * 1.5, converted_stat)))))</f>
        <v/>
      </c>
      <c r="J940" s="30" t="str">
        <f t="array" ref="J940">IF($A940="", "", LET(bbgm_stat, INDEX(Players!$A939:$P939, MATCH(J$2, Players!$A$1:$P$1, 0)), perc_75, VLOOKUP(J$2, Percentiles!$A$45:$I$59, 6, FALSE), perc_90, VLOOKUP(J$2, Percentiles!$A$45:$I$59, 7, FALSE), perc_95, VLOOKUP(J$2, Percentiles!$A$45:$I$59, 8, FALSE), perc_85, perc_75 + (perc_90 - perc_75) * (2/3), converted_stat, '2K_Ratings'!J940, IF(bbgm_stat &gt;= perc_95, converted_stat * 3, IF(bbgm_stat &gt;= perc_90, converted_stat * 2, IF(bbgm_stat &gt;= perc_85, converted_stat * 1.5, converted_stat)))))</f>
        <v/>
      </c>
      <c r="K940" s="30" t="str">
        <f t="array" ref="K940">IF($A940="", "", LET(bbgm_stat, INDEX(Players!$A939:$P939, MATCH(K$2, Players!$A$1:$P$1, 0)), perc_75, VLOOKUP(K$2, Percentiles!$A$45:$I$59, 6, FALSE), perc_90, VLOOKUP(K$2, Percentiles!$A$45:$I$59, 7, FALSE), perc_95, VLOOKUP(K$2, Percentiles!$A$45:$I$59, 8, FALSE), perc_85, perc_75 + (perc_90 - perc_75) * (2/3), converted_stat, '2K_Ratings'!K940, IF(bbgm_stat &gt;= perc_95, converted_stat * 3, IF(bbgm_stat &gt;= perc_90, converted_stat * 2, IF(bbgm_stat &gt;= perc_85, converted_stat * 1.5, converted_stat)))))</f>
        <v/>
      </c>
      <c r="L940" s="30" t="str">
        <f t="array" ref="L940">IF($A940="", "", LET(bbgm_stat, INDEX(Players!$A939:$P939, MATCH(L$2, Players!$A$1:$P$1, 0)), perc_75, VLOOKUP(L$2, Percentiles!$A$45:$I$59, 6, FALSE), perc_90, VLOOKUP(L$2, Percentiles!$A$45:$I$59, 7, FALSE), perc_95, VLOOKUP(L$2, Percentiles!$A$45:$I$59, 8, FALSE), perc_85, perc_75 + (perc_90 - perc_75) * (2/3), converted_stat, '2K_Ratings'!L940, IF(bbgm_stat &gt;= perc_95, converted_stat * 3, IF(bbgm_stat &gt;= perc_90, converted_stat * 2, IF(bbgm_stat &gt;= perc_85, converted_stat * 1.5, converted_stat)))))</f>
        <v/>
      </c>
      <c r="M940" s="30" t="str">
        <f t="array" ref="M940">IF($A940="", "", LET(bbgm_stat, INDEX(Players!$A939:$P939, MATCH(M$2, Players!$A$1:$P$1, 0)), perc_75, VLOOKUP(M$2, Percentiles!$A$45:$I$59, 6, FALSE), perc_90, VLOOKUP(M$2, Percentiles!$A$45:$I$59, 7, FALSE), perc_95, VLOOKUP(M$2, Percentiles!$A$45:$I$59, 8, FALSE), perc_85, perc_75 + (perc_90 - perc_75) * (2/3), converted_stat, '2K_Ratings'!M940, IF(bbgm_stat &gt;= perc_95, converted_stat * 3, IF(bbgm_stat &gt;= perc_90, converted_stat * 2, IF(bbgm_stat &gt;= perc_85, converted_stat * 1.5, converted_stat)))))</f>
        <v/>
      </c>
      <c r="N940" s="30" t="str">
        <f t="array" ref="N940">IF($A940="", "", LET(bbgm_stat, INDEX(Players!$A939:$P939, MATCH(N$2, Players!$A$1:$P$1, 0)), perc_75, VLOOKUP(N$2, Percentiles!$A$45:$I$59, 6, FALSE), perc_90, VLOOKUP(N$2, Percentiles!$A$45:$I$59, 7, FALSE), perc_95, VLOOKUP(N$2, Percentiles!$A$45:$I$59, 8, FALSE), perc_85, perc_75 + (perc_90 - perc_75) * (2/3), converted_stat, '2K_Ratings'!N940, IF(bbgm_stat &gt;= perc_95, converted_stat * 3, IF(bbgm_stat &gt;= perc_90, converted_stat * 2, IF(bbgm_stat &gt;= perc_85, converted_stat * 1.5, converted_stat)))))</f>
        <v/>
      </c>
      <c r="O940" s="30" t="str">
        <f t="array" ref="O940">IF($A940="", "", LET(bbgm_stat, INDEX(Players!$A939:$P939, MATCH(O$2, Players!$A$1:$P$1, 0)), perc_75, VLOOKUP(O$2, Percentiles!$A$45:$I$59, 6, FALSE), perc_90, VLOOKUP(O$2, Percentiles!$A$45:$I$59, 7, FALSE), perc_95, VLOOKUP(O$2, Percentiles!$A$45:$I$59, 8, FALSE), perc_85, perc_75 + (perc_90 - perc_75) * (2/3), converted_stat, '2K_Ratings'!O940, IF(bbgm_stat &gt;= perc_95, converted_stat * 3, IF(bbgm_stat &gt;= perc_90, converted_stat * 2, IF(bbgm_stat &gt;= perc_85, converted_stat * 1.5, converted_stat)))))</f>
        <v/>
      </c>
      <c r="P940" s="30" t="str">
        <f t="array" ref="P940">IF($A940="", "", LET(bbgm_stat, INDEX(Players!$A939:$P939, MATCH(P$2, Players!$A$1:$P$1, 0)), perc_75, VLOOKUP(P$2, Percentiles!$A$45:$I$59, 6, FALSE), perc_90, VLOOKUP(P$2, Percentiles!$A$45:$I$59, 7, FALSE), perc_95, VLOOKUP(P$2, Percentiles!$A$45:$I$59, 8, FALSE), perc_85, perc_75 + (perc_90 - perc_75) * (2/3), converted_stat, '2K_Ratings'!P940, IF(bbgm_stat &gt;= perc_95, converted_stat * 3, IF(bbgm_stat &gt;= perc_90, converted_stat * 2, IF(bbgm_stat &gt;= perc_85, converted_stat * 1.5, converted_stat)))))</f>
        <v/>
      </c>
      <c r="Q940" s="30" t="str">
        <f t="array" ref="Q940">IF($A940="", "", LET(bbgm_stat, INDEX(Players!$A939:$P939, MATCH(Q$2, Players!$A$1:$P$1, 0)), perc_75, VLOOKUP(Q$2, Percentiles!$A$45:$I$59, 6, FALSE), perc_90, VLOOKUP(Q$2, Percentiles!$A$45:$I$59, 7, FALSE), perc_95, VLOOKUP(Q$2, Percentiles!$A$45:$I$59, 8, FALSE), perc_85, perc_75 + (perc_90 - perc_75) * (2/3), converted_stat, '2K_Ratings'!Q940, IF(bbgm_stat &gt;= perc_95, converted_stat * 3, IF(bbgm_stat &gt;= perc_90, converted_stat * 2, IF(bbgm_stat &gt;= perc_85, converted_stat * 1.5, converted_stat)))))</f>
        <v/>
      </c>
      <c r="R940" s="30" t="str">
        <f t="array" ref="R940">IF($A940="", "", LET(bbgm_stat, INDEX(Players!$A939:$P939, MATCH(R$2, Players!$A$1:$P$1, 0)), perc_75, VLOOKUP(R$2, Percentiles!$A$45:$I$59, 6, FALSE), perc_90, VLOOKUP(R$2, Percentiles!$A$45:$I$59, 7, FALSE), perc_95, VLOOKUP(R$2, Percentiles!$A$45:$I$59, 8, FALSE), perc_85, perc_75 + (perc_90 - perc_75) * (2/3), converted_stat, '2K_Ratings'!R940, IF(bbgm_stat &gt;= perc_95, converted_stat * 3, IF(bbgm_stat &gt;= perc_90, converted_stat * 2, IF(bbgm_stat &gt;= perc_85, converted_stat * 1.5, converted_stat)))))</f>
        <v/>
      </c>
      <c r="S940" s="30" t="str">
        <f t="array" ref="S940">IF($A940="", "", LET(bbgm_stat, INDEX(Players!$A939:$P939, MATCH(S$2, Players!$A$1:$P$1, 0)), perc_75, VLOOKUP(S$2, Percentiles!$A$45:$I$59, 6, FALSE), perc_90, VLOOKUP(S$2, Percentiles!$A$45:$I$59, 7, FALSE), perc_95, VLOOKUP(S$2, Percentiles!$A$45:$I$59, 8, FALSE), perc_85, perc_75 + (perc_90 - perc_75) * (2/3), converted_stat, '2K_Ratings'!S940, IF(bbgm_stat &gt;= perc_95, converted_stat * 3, IF(bbgm_stat &gt;= perc_90, converted_stat * 2, IF(bbgm_stat &gt;= perc_85, converted_stat * 1.5, converted_stat)))))</f>
        <v/>
      </c>
      <c r="T940" s="30" t="str">
        <f t="array" ref="T940">IF($A940="", "", LET(bbgm_stat, INDEX(Players!$A939:$P939, MATCH(T$2, Players!$A$1:$P$1, 0)), perc_75, VLOOKUP(T$2, Percentiles!$A$45:$I$59, 6, FALSE), perc_90, VLOOKUP(T$2, Percentiles!$A$45:$I$59, 7, FALSE), perc_95, VLOOKUP(T$2, Percentiles!$A$45:$I$59, 8, FALSE), perc_85, perc_75 + (perc_90 - perc_75) * (2/3), converted_stat, '2K_Ratings'!T940, IF(bbgm_stat &gt;= perc_95, converted_stat * 3, IF(bbgm_stat &gt;= perc_90, converted_stat * 2, IF(bbgm_stat &gt;= perc_85, converted_stat * 1.5, converted_stat)))))</f>
        <v/>
      </c>
      <c r="U940" s="30" t="str">
        <f t="array" ref="U940">IF($A940="", "", LET(bbgm_stat, INDEX(Players!$A939:$P939, MATCH(U$2, Players!$A$1:$P$1, 0)), perc_75, VLOOKUP(U$2, Percentiles!$A$45:$I$59, 6, FALSE), perc_90, VLOOKUP(U$2, Percentiles!$A$45:$I$59, 7, FALSE), perc_95, VLOOKUP(U$2, Percentiles!$A$45:$I$59, 8, FALSE), perc_85, perc_75 + (perc_90 - perc_75) * (2/3), converted_stat, '2K_Ratings'!U940, IF(bbgm_stat &gt;= perc_95, converted_stat * 3, IF(bbgm_stat &gt;= perc_90, converted_stat * 2, IF(bbgm_stat &gt;= perc_85, converted_stat * 1.5, converted_stat)))))</f>
        <v/>
      </c>
      <c r="V940" s="30" t="str">
        <f t="array" ref="V940">IF($A940="", "", LET(bbgm_stat, INDEX(Players!$A939:$P939, MATCH(V$2, Players!$A$1:$P$1, 0)), perc_75, VLOOKUP(V$2, Percentiles!$A$45:$I$59, 6, FALSE), perc_90, VLOOKUP(V$2, Percentiles!$A$45:$I$59, 7, FALSE), perc_95, VLOOKUP(V$2, Percentiles!$A$45:$I$59, 8, FALSE), perc_85, perc_75 + (perc_90 - perc_75) * (2/3), converted_stat, '2K_Ratings'!V940, IF(bbgm_stat &gt;= perc_95, converted_stat * 3, IF(bbgm_stat &gt;= perc_90, converted_stat * 2, IF(bbgm_stat &gt;= perc_85, converted_stat * 1.5, converted_stat)))))</f>
        <v/>
      </c>
      <c r="W940" s="30" t="str">
        <f t="array" ref="W940">IF($A940="", "", LET(bbgm_stat, INDEX(Players!$A939:$P939, MATCH(W$2, Players!$A$1:$P$1, 0)), perc_75, VLOOKUP(W$2, Percentiles!$A$45:$I$59, 6, FALSE), perc_90, VLOOKUP(W$2, Percentiles!$A$45:$I$59, 7, FALSE), perc_95, VLOOKUP(W$2, Percentiles!$A$45:$I$59, 8, FALSE), perc_85, perc_75 + (perc_90 - perc_75) * (2/3), converted_stat, '2K_Ratings'!W940, IF(bbgm_stat &gt;= perc_95, converted_stat * 3, IF(bbgm_stat &gt;= perc_90, converted_stat * 2, IF(bbgm_stat &gt;= perc_85, converted_stat * 1.5, converted_stat)))))</f>
        <v/>
      </c>
    </row>
    <row r="941">
      <c r="A941" s="30"/>
      <c r="B941" s="30" t="str">
        <f t="array" ref="B941">IF($A941="", "", LET(bbgm_stat, INDEX(Players!$A940:$P940, MATCH(B$2, Players!$A$1:$P$1, 0)), perc_75, VLOOKUP(B$2, Percentiles!$A$45:$I$59, 6, FALSE), perc_90, VLOOKUP(B$2, Percentiles!$A$45:$I$59, 7, FALSE), perc_95, VLOOKUP(B$2, Percentiles!$A$45:$I$59, 8, FALSE), perc_85, perc_75 + (perc_90 - perc_75) * (2/3), converted_stat, '2K_Ratings'!B941, IF(bbgm_stat &gt;= perc_95, converted_stat * 3, IF(bbgm_stat &gt;= perc_90, converted_stat * 2, IF(bbgm_stat &gt;= perc_85, converted_stat * 1.5, converted_stat)))))</f>
        <v/>
      </c>
      <c r="C941" s="30" t="str">
        <f t="array" ref="C941">IF($A941="", "", LET(bbgm_stat, INDEX(Players!$A940:$P940, MATCH(C$2, Players!$A$1:$P$1, 0)), perc_75, VLOOKUP(C$2, Percentiles!$A$45:$I$59, 6, FALSE), perc_90, VLOOKUP(C$2, Percentiles!$A$45:$I$59, 7, FALSE), perc_95, VLOOKUP(C$2, Percentiles!$A$45:$I$59, 8, FALSE), perc_85, perc_75 + (perc_90 - perc_75) * (2/3), converted_stat, '2K_Ratings'!C941, IF(bbgm_stat &gt;= perc_95, converted_stat * 3, IF(bbgm_stat &gt;= perc_90, converted_stat * 2, IF(bbgm_stat &gt;= perc_85, converted_stat * 1.5, converted_stat)))))</f>
        <v/>
      </c>
      <c r="D941" s="30" t="str">
        <f t="array" ref="D941">IF($A941="", "", LET(bbgm_stat, INDEX(Players!$A940:$P940, MATCH(D$2, Players!$A$1:$P$1, 0)), perc_75, VLOOKUP(D$2, Percentiles!$A$45:$I$59, 6, FALSE), perc_90, VLOOKUP(D$2, Percentiles!$A$45:$I$59, 7, FALSE), perc_95, VLOOKUP(D$2, Percentiles!$A$45:$I$59, 8, FALSE), perc_85, perc_75 + (perc_90 - perc_75) * (2/3), converted_stat, '2K_Ratings'!D941, IF(bbgm_stat &gt;= perc_95, converted_stat * 3, IF(bbgm_stat &gt;= perc_90, converted_stat * 2, IF(bbgm_stat &gt;= perc_85, converted_stat * 1.5, converted_stat)))))</f>
        <v/>
      </c>
      <c r="E941" s="30" t="str">
        <f t="array" ref="E941">IF($A941="", "", LET(bbgm_stat, INDEX(Players!$A940:$P940, MATCH(E$2, Players!$A$1:$P$1, 0)), perc_75, VLOOKUP(E$2, Percentiles!$A$45:$I$59, 6, FALSE), perc_90, VLOOKUP(E$2, Percentiles!$A$45:$I$59, 7, FALSE), perc_95, VLOOKUP(E$2, Percentiles!$A$45:$I$59, 8, FALSE), perc_85, perc_75 + (perc_90 - perc_75) * (2/3), converted_stat, '2K_Ratings'!E941, IF(bbgm_stat &gt;= perc_95, converted_stat * 3, IF(bbgm_stat &gt;= perc_90, converted_stat * 2, IF(bbgm_stat &gt;= perc_85, converted_stat * 1.5, converted_stat)))))</f>
        <v/>
      </c>
      <c r="F941" s="30" t="str">
        <f t="array" ref="F941">IF($A941="", "", LET(bbgm_stat, INDEX(Players!$A940:$P940, MATCH(F$2, Players!$A$1:$P$1, 0)), perc_75, VLOOKUP(F$2, Percentiles!$A$45:$I$59, 6, FALSE), perc_90, VLOOKUP(F$2, Percentiles!$A$45:$I$59, 7, FALSE), perc_95, VLOOKUP(F$2, Percentiles!$A$45:$I$59, 8, FALSE), perc_85, perc_75 + (perc_90 - perc_75) * (2/3), converted_stat, '2K_Ratings'!F941, IF(bbgm_stat &gt;= perc_95, converted_stat * 3, IF(bbgm_stat &gt;= perc_90, converted_stat * 2, IF(bbgm_stat &gt;= perc_85, converted_stat * 1.5, converted_stat)))))</f>
        <v/>
      </c>
      <c r="G941" s="30" t="str">
        <f t="array" ref="G941">IF($A941="", "", LET(bbgm_stat, INDEX(Players!$A940:$P940, MATCH(G$2, Players!$A$1:$P$1, 0)), perc_75, VLOOKUP(G$2, Percentiles!$A$45:$I$59, 6, FALSE), perc_90, VLOOKUP(G$2, Percentiles!$A$45:$I$59, 7, FALSE), perc_95, VLOOKUP(G$2, Percentiles!$A$45:$I$59, 8, FALSE), perc_85, perc_75 + (perc_90 - perc_75) * (2/3), converted_stat, '2K_Ratings'!G941, IF(bbgm_stat &gt;= perc_95, converted_stat * 3, IF(bbgm_stat &gt;= perc_90, converted_stat * 2, IF(bbgm_stat &gt;= perc_85, converted_stat * 1.5, converted_stat)))))</f>
        <v/>
      </c>
      <c r="H941" s="30" t="str">
        <f t="array" ref="H941">IF($A941="", "", LET(bbgm_stat, INDEX(Players!$A940:$P940, MATCH(H$2, Players!$A$1:$P$1, 0)), perc_75, VLOOKUP(H$2, Percentiles!$A$45:$I$59, 6, FALSE), perc_90, VLOOKUP(H$2, Percentiles!$A$45:$I$59, 7, FALSE), perc_95, VLOOKUP(H$2, Percentiles!$A$45:$I$59, 8, FALSE), perc_85, perc_75 + (perc_90 - perc_75) * (2/3), converted_stat, '2K_Ratings'!H941, IF(bbgm_stat &gt;= perc_95, converted_stat * 3, IF(bbgm_stat &gt;= perc_90, converted_stat * 2, IF(bbgm_stat &gt;= perc_85, converted_stat * 1.5, converted_stat)))))</f>
        <v/>
      </c>
      <c r="I941" s="30" t="str">
        <f t="array" ref="I941">IF($A941="", "", LET(bbgm_stat, INDEX(Players!$A940:$P940, MATCH(I$2, Players!$A$1:$P$1, 0)), perc_75, VLOOKUP(I$2, Percentiles!$A$45:$I$59, 6, FALSE), perc_90, VLOOKUP(I$2, Percentiles!$A$45:$I$59, 7, FALSE), perc_95, VLOOKUP(I$2, Percentiles!$A$45:$I$59, 8, FALSE), perc_85, perc_75 + (perc_90 - perc_75) * (2/3), converted_stat, '2K_Ratings'!I941, IF(bbgm_stat &gt;= perc_95, converted_stat * 3, IF(bbgm_stat &gt;= perc_90, converted_stat * 2, IF(bbgm_stat &gt;= perc_85, converted_stat * 1.5, converted_stat)))))</f>
        <v/>
      </c>
      <c r="J941" s="30" t="str">
        <f t="array" ref="J941">IF($A941="", "", LET(bbgm_stat, INDEX(Players!$A940:$P940, MATCH(J$2, Players!$A$1:$P$1, 0)), perc_75, VLOOKUP(J$2, Percentiles!$A$45:$I$59, 6, FALSE), perc_90, VLOOKUP(J$2, Percentiles!$A$45:$I$59, 7, FALSE), perc_95, VLOOKUP(J$2, Percentiles!$A$45:$I$59, 8, FALSE), perc_85, perc_75 + (perc_90 - perc_75) * (2/3), converted_stat, '2K_Ratings'!J941, IF(bbgm_stat &gt;= perc_95, converted_stat * 3, IF(bbgm_stat &gt;= perc_90, converted_stat * 2, IF(bbgm_stat &gt;= perc_85, converted_stat * 1.5, converted_stat)))))</f>
        <v/>
      </c>
      <c r="K941" s="30" t="str">
        <f t="array" ref="K941">IF($A941="", "", LET(bbgm_stat, INDEX(Players!$A940:$P940, MATCH(K$2, Players!$A$1:$P$1, 0)), perc_75, VLOOKUP(K$2, Percentiles!$A$45:$I$59, 6, FALSE), perc_90, VLOOKUP(K$2, Percentiles!$A$45:$I$59, 7, FALSE), perc_95, VLOOKUP(K$2, Percentiles!$A$45:$I$59, 8, FALSE), perc_85, perc_75 + (perc_90 - perc_75) * (2/3), converted_stat, '2K_Ratings'!K941, IF(bbgm_stat &gt;= perc_95, converted_stat * 3, IF(bbgm_stat &gt;= perc_90, converted_stat * 2, IF(bbgm_stat &gt;= perc_85, converted_stat * 1.5, converted_stat)))))</f>
        <v/>
      </c>
      <c r="L941" s="30" t="str">
        <f t="array" ref="L941">IF($A941="", "", LET(bbgm_stat, INDEX(Players!$A940:$P940, MATCH(L$2, Players!$A$1:$P$1, 0)), perc_75, VLOOKUP(L$2, Percentiles!$A$45:$I$59, 6, FALSE), perc_90, VLOOKUP(L$2, Percentiles!$A$45:$I$59, 7, FALSE), perc_95, VLOOKUP(L$2, Percentiles!$A$45:$I$59, 8, FALSE), perc_85, perc_75 + (perc_90 - perc_75) * (2/3), converted_stat, '2K_Ratings'!L941, IF(bbgm_stat &gt;= perc_95, converted_stat * 3, IF(bbgm_stat &gt;= perc_90, converted_stat * 2, IF(bbgm_stat &gt;= perc_85, converted_stat * 1.5, converted_stat)))))</f>
        <v/>
      </c>
      <c r="M941" s="30" t="str">
        <f t="array" ref="M941">IF($A941="", "", LET(bbgm_stat, INDEX(Players!$A940:$P940, MATCH(M$2, Players!$A$1:$P$1, 0)), perc_75, VLOOKUP(M$2, Percentiles!$A$45:$I$59, 6, FALSE), perc_90, VLOOKUP(M$2, Percentiles!$A$45:$I$59, 7, FALSE), perc_95, VLOOKUP(M$2, Percentiles!$A$45:$I$59, 8, FALSE), perc_85, perc_75 + (perc_90 - perc_75) * (2/3), converted_stat, '2K_Ratings'!M941, IF(bbgm_stat &gt;= perc_95, converted_stat * 3, IF(bbgm_stat &gt;= perc_90, converted_stat * 2, IF(bbgm_stat &gt;= perc_85, converted_stat * 1.5, converted_stat)))))</f>
        <v/>
      </c>
      <c r="N941" s="30" t="str">
        <f t="array" ref="N941">IF($A941="", "", LET(bbgm_stat, INDEX(Players!$A940:$P940, MATCH(N$2, Players!$A$1:$P$1, 0)), perc_75, VLOOKUP(N$2, Percentiles!$A$45:$I$59, 6, FALSE), perc_90, VLOOKUP(N$2, Percentiles!$A$45:$I$59, 7, FALSE), perc_95, VLOOKUP(N$2, Percentiles!$A$45:$I$59, 8, FALSE), perc_85, perc_75 + (perc_90 - perc_75) * (2/3), converted_stat, '2K_Ratings'!N941, IF(bbgm_stat &gt;= perc_95, converted_stat * 3, IF(bbgm_stat &gt;= perc_90, converted_stat * 2, IF(bbgm_stat &gt;= perc_85, converted_stat * 1.5, converted_stat)))))</f>
        <v/>
      </c>
      <c r="O941" s="30" t="str">
        <f t="array" ref="O941">IF($A941="", "", LET(bbgm_stat, INDEX(Players!$A940:$P940, MATCH(O$2, Players!$A$1:$P$1, 0)), perc_75, VLOOKUP(O$2, Percentiles!$A$45:$I$59, 6, FALSE), perc_90, VLOOKUP(O$2, Percentiles!$A$45:$I$59, 7, FALSE), perc_95, VLOOKUP(O$2, Percentiles!$A$45:$I$59, 8, FALSE), perc_85, perc_75 + (perc_90 - perc_75) * (2/3), converted_stat, '2K_Ratings'!O941, IF(bbgm_stat &gt;= perc_95, converted_stat * 3, IF(bbgm_stat &gt;= perc_90, converted_stat * 2, IF(bbgm_stat &gt;= perc_85, converted_stat * 1.5, converted_stat)))))</f>
        <v/>
      </c>
      <c r="P941" s="30" t="str">
        <f t="array" ref="P941">IF($A941="", "", LET(bbgm_stat, INDEX(Players!$A940:$P940, MATCH(P$2, Players!$A$1:$P$1, 0)), perc_75, VLOOKUP(P$2, Percentiles!$A$45:$I$59, 6, FALSE), perc_90, VLOOKUP(P$2, Percentiles!$A$45:$I$59, 7, FALSE), perc_95, VLOOKUP(P$2, Percentiles!$A$45:$I$59, 8, FALSE), perc_85, perc_75 + (perc_90 - perc_75) * (2/3), converted_stat, '2K_Ratings'!P941, IF(bbgm_stat &gt;= perc_95, converted_stat * 3, IF(bbgm_stat &gt;= perc_90, converted_stat * 2, IF(bbgm_stat &gt;= perc_85, converted_stat * 1.5, converted_stat)))))</f>
        <v/>
      </c>
      <c r="Q941" s="30" t="str">
        <f t="array" ref="Q941">IF($A941="", "", LET(bbgm_stat, INDEX(Players!$A940:$P940, MATCH(Q$2, Players!$A$1:$P$1, 0)), perc_75, VLOOKUP(Q$2, Percentiles!$A$45:$I$59, 6, FALSE), perc_90, VLOOKUP(Q$2, Percentiles!$A$45:$I$59, 7, FALSE), perc_95, VLOOKUP(Q$2, Percentiles!$A$45:$I$59, 8, FALSE), perc_85, perc_75 + (perc_90 - perc_75) * (2/3), converted_stat, '2K_Ratings'!Q941, IF(bbgm_stat &gt;= perc_95, converted_stat * 3, IF(bbgm_stat &gt;= perc_90, converted_stat * 2, IF(bbgm_stat &gt;= perc_85, converted_stat * 1.5, converted_stat)))))</f>
        <v/>
      </c>
      <c r="R941" s="30" t="str">
        <f t="array" ref="R941">IF($A941="", "", LET(bbgm_stat, INDEX(Players!$A940:$P940, MATCH(R$2, Players!$A$1:$P$1, 0)), perc_75, VLOOKUP(R$2, Percentiles!$A$45:$I$59, 6, FALSE), perc_90, VLOOKUP(R$2, Percentiles!$A$45:$I$59, 7, FALSE), perc_95, VLOOKUP(R$2, Percentiles!$A$45:$I$59, 8, FALSE), perc_85, perc_75 + (perc_90 - perc_75) * (2/3), converted_stat, '2K_Ratings'!R941, IF(bbgm_stat &gt;= perc_95, converted_stat * 3, IF(bbgm_stat &gt;= perc_90, converted_stat * 2, IF(bbgm_stat &gt;= perc_85, converted_stat * 1.5, converted_stat)))))</f>
        <v/>
      </c>
      <c r="S941" s="30" t="str">
        <f t="array" ref="S941">IF($A941="", "", LET(bbgm_stat, INDEX(Players!$A940:$P940, MATCH(S$2, Players!$A$1:$P$1, 0)), perc_75, VLOOKUP(S$2, Percentiles!$A$45:$I$59, 6, FALSE), perc_90, VLOOKUP(S$2, Percentiles!$A$45:$I$59, 7, FALSE), perc_95, VLOOKUP(S$2, Percentiles!$A$45:$I$59, 8, FALSE), perc_85, perc_75 + (perc_90 - perc_75) * (2/3), converted_stat, '2K_Ratings'!S941, IF(bbgm_stat &gt;= perc_95, converted_stat * 3, IF(bbgm_stat &gt;= perc_90, converted_stat * 2, IF(bbgm_stat &gt;= perc_85, converted_stat * 1.5, converted_stat)))))</f>
        <v/>
      </c>
      <c r="T941" s="30" t="str">
        <f t="array" ref="T941">IF($A941="", "", LET(bbgm_stat, INDEX(Players!$A940:$P940, MATCH(T$2, Players!$A$1:$P$1, 0)), perc_75, VLOOKUP(T$2, Percentiles!$A$45:$I$59, 6, FALSE), perc_90, VLOOKUP(T$2, Percentiles!$A$45:$I$59, 7, FALSE), perc_95, VLOOKUP(T$2, Percentiles!$A$45:$I$59, 8, FALSE), perc_85, perc_75 + (perc_90 - perc_75) * (2/3), converted_stat, '2K_Ratings'!T941, IF(bbgm_stat &gt;= perc_95, converted_stat * 3, IF(bbgm_stat &gt;= perc_90, converted_stat * 2, IF(bbgm_stat &gt;= perc_85, converted_stat * 1.5, converted_stat)))))</f>
        <v/>
      </c>
      <c r="U941" s="30" t="str">
        <f t="array" ref="U941">IF($A941="", "", LET(bbgm_stat, INDEX(Players!$A940:$P940, MATCH(U$2, Players!$A$1:$P$1, 0)), perc_75, VLOOKUP(U$2, Percentiles!$A$45:$I$59, 6, FALSE), perc_90, VLOOKUP(U$2, Percentiles!$A$45:$I$59, 7, FALSE), perc_95, VLOOKUP(U$2, Percentiles!$A$45:$I$59, 8, FALSE), perc_85, perc_75 + (perc_90 - perc_75) * (2/3), converted_stat, '2K_Ratings'!U941, IF(bbgm_stat &gt;= perc_95, converted_stat * 3, IF(bbgm_stat &gt;= perc_90, converted_stat * 2, IF(bbgm_stat &gt;= perc_85, converted_stat * 1.5, converted_stat)))))</f>
        <v/>
      </c>
      <c r="V941" s="30" t="str">
        <f t="array" ref="V941">IF($A941="", "", LET(bbgm_stat, INDEX(Players!$A940:$P940, MATCH(V$2, Players!$A$1:$P$1, 0)), perc_75, VLOOKUP(V$2, Percentiles!$A$45:$I$59, 6, FALSE), perc_90, VLOOKUP(V$2, Percentiles!$A$45:$I$59, 7, FALSE), perc_95, VLOOKUP(V$2, Percentiles!$A$45:$I$59, 8, FALSE), perc_85, perc_75 + (perc_90 - perc_75) * (2/3), converted_stat, '2K_Ratings'!V941, IF(bbgm_stat &gt;= perc_95, converted_stat * 3, IF(bbgm_stat &gt;= perc_90, converted_stat * 2, IF(bbgm_stat &gt;= perc_85, converted_stat * 1.5, converted_stat)))))</f>
        <v/>
      </c>
      <c r="W941" s="30" t="str">
        <f t="array" ref="W941">IF($A941="", "", LET(bbgm_stat, INDEX(Players!$A940:$P940, MATCH(W$2, Players!$A$1:$P$1, 0)), perc_75, VLOOKUP(W$2, Percentiles!$A$45:$I$59, 6, FALSE), perc_90, VLOOKUP(W$2, Percentiles!$A$45:$I$59, 7, FALSE), perc_95, VLOOKUP(W$2, Percentiles!$A$45:$I$59, 8, FALSE), perc_85, perc_75 + (perc_90 - perc_75) * (2/3), converted_stat, '2K_Ratings'!W941, IF(bbgm_stat &gt;= perc_95, converted_stat * 3, IF(bbgm_stat &gt;= perc_90, converted_stat * 2, IF(bbgm_stat &gt;= perc_85, converted_stat * 1.5, converted_stat)))))</f>
        <v/>
      </c>
    </row>
    <row r="942">
      <c r="A942" s="30"/>
      <c r="B942" s="30" t="str">
        <f t="array" ref="B942">IF($A942="", "", LET(bbgm_stat, INDEX(Players!$A941:$P941, MATCH(B$2, Players!$A$1:$P$1, 0)), perc_75, VLOOKUP(B$2, Percentiles!$A$45:$I$59, 6, FALSE), perc_90, VLOOKUP(B$2, Percentiles!$A$45:$I$59, 7, FALSE), perc_95, VLOOKUP(B$2, Percentiles!$A$45:$I$59, 8, FALSE), perc_85, perc_75 + (perc_90 - perc_75) * (2/3), converted_stat, '2K_Ratings'!B942, IF(bbgm_stat &gt;= perc_95, converted_stat * 3, IF(bbgm_stat &gt;= perc_90, converted_stat * 2, IF(bbgm_stat &gt;= perc_85, converted_stat * 1.5, converted_stat)))))</f>
        <v/>
      </c>
      <c r="C942" s="30" t="str">
        <f t="array" ref="C942">IF($A942="", "", LET(bbgm_stat, INDEX(Players!$A941:$P941, MATCH(C$2, Players!$A$1:$P$1, 0)), perc_75, VLOOKUP(C$2, Percentiles!$A$45:$I$59, 6, FALSE), perc_90, VLOOKUP(C$2, Percentiles!$A$45:$I$59, 7, FALSE), perc_95, VLOOKUP(C$2, Percentiles!$A$45:$I$59, 8, FALSE), perc_85, perc_75 + (perc_90 - perc_75) * (2/3), converted_stat, '2K_Ratings'!C942, IF(bbgm_stat &gt;= perc_95, converted_stat * 3, IF(bbgm_stat &gt;= perc_90, converted_stat * 2, IF(bbgm_stat &gt;= perc_85, converted_stat * 1.5, converted_stat)))))</f>
        <v/>
      </c>
      <c r="D942" s="30" t="str">
        <f t="array" ref="D942">IF($A942="", "", LET(bbgm_stat, INDEX(Players!$A941:$P941, MATCH(D$2, Players!$A$1:$P$1, 0)), perc_75, VLOOKUP(D$2, Percentiles!$A$45:$I$59, 6, FALSE), perc_90, VLOOKUP(D$2, Percentiles!$A$45:$I$59, 7, FALSE), perc_95, VLOOKUP(D$2, Percentiles!$A$45:$I$59, 8, FALSE), perc_85, perc_75 + (perc_90 - perc_75) * (2/3), converted_stat, '2K_Ratings'!D942, IF(bbgm_stat &gt;= perc_95, converted_stat * 3, IF(bbgm_stat &gt;= perc_90, converted_stat * 2, IF(bbgm_stat &gt;= perc_85, converted_stat * 1.5, converted_stat)))))</f>
        <v/>
      </c>
      <c r="E942" s="30" t="str">
        <f t="array" ref="E942">IF($A942="", "", LET(bbgm_stat, INDEX(Players!$A941:$P941, MATCH(E$2, Players!$A$1:$P$1, 0)), perc_75, VLOOKUP(E$2, Percentiles!$A$45:$I$59, 6, FALSE), perc_90, VLOOKUP(E$2, Percentiles!$A$45:$I$59, 7, FALSE), perc_95, VLOOKUP(E$2, Percentiles!$A$45:$I$59, 8, FALSE), perc_85, perc_75 + (perc_90 - perc_75) * (2/3), converted_stat, '2K_Ratings'!E942, IF(bbgm_stat &gt;= perc_95, converted_stat * 3, IF(bbgm_stat &gt;= perc_90, converted_stat * 2, IF(bbgm_stat &gt;= perc_85, converted_stat * 1.5, converted_stat)))))</f>
        <v/>
      </c>
      <c r="F942" s="30" t="str">
        <f t="array" ref="F942">IF($A942="", "", LET(bbgm_stat, INDEX(Players!$A941:$P941, MATCH(F$2, Players!$A$1:$P$1, 0)), perc_75, VLOOKUP(F$2, Percentiles!$A$45:$I$59, 6, FALSE), perc_90, VLOOKUP(F$2, Percentiles!$A$45:$I$59, 7, FALSE), perc_95, VLOOKUP(F$2, Percentiles!$A$45:$I$59, 8, FALSE), perc_85, perc_75 + (perc_90 - perc_75) * (2/3), converted_stat, '2K_Ratings'!F942, IF(bbgm_stat &gt;= perc_95, converted_stat * 3, IF(bbgm_stat &gt;= perc_90, converted_stat * 2, IF(bbgm_stat &gt;= perc_85, converted_stat * 1.5, converted_stat)))))</f>
        <v/>
      </c>
      <c r="G942" s="30" t="str">
        <f t="array" ref="G942">IF($A942="", "", LET(bbgm_stat, INDEX(Players!$A941:$P941, MATCH(G$2, Players!$A$1:$P$1, 0)), perc_75, VLOOKUP(G$2, Percentiles!$A$45:$I$59, 6, FALSE), perc_90, VLOOKUP(G$2, Percentiles!$A$45:$I$59, 7, FALSE), perc_95, VLOOKUP(G$2, Percentiles!$A$45:$I$59, 8, FALSE), perc_85, perc_75 + (perc_90 - perc_75) * (2/3), converted_stat, '2K_Ratings'!G942, IF(bbgm_stat &gt;= perc_95, converted_stat * 3, IF(bbgm_stat &gt;= perc_90, converted_stat * 2, IF(bbgm_stat &gt;= perc_85, converted_stat * 1.5, converted_stat)))))</f>
        <v/>
      </c>
      <c r="H942" s="30" t="str">
        <f t="array" ref="H942">IF($A942="", "", LET(bbgm_stat, INDEX(Players!$A941:$P941, MATCH(H$2, Players!$A$1:$P$1, 0)), perc_75, VLOOKUP(H$2, Percentiles!$A$45:$I$59, 6, FALSE), perc_90, VLOOKUP(H$2, Percentiles!$A$45:$I$59, 7, FALSE), perc_95, VLOOKUP(H$2, Percentiles!$A$45:$I$59, 8, FALSE), perc_85, perc_75 + (perc_90 - perc_75) * (2/3), converted_stat, '2K_Ratings'!H942, IF(bbgm_stat &gt;= perc_95, converted_stat * 3, IF(bbgm_stat &gt;= perc_90, converted_stat * 2, IF(bbgm_stat &gt;= perc_85, converted_stat * 1.5, converted_stat)))))</f>
        <v/>
      </c>
      <c r="I942" s="30" t="str">
        <f t="array" ref="I942">IF($A942="", "", LET(bbgm_stat, INDEX(Players!$A941:$P941, MATCH(I$2, Players!$A$1:$P$1, 0)), perc_75, VLOOKUP(I$2, Percentiles!$A$45:$I$59, 6, FALSE), perc_90, VLOOKUP(I$2, Percentiles!$A$45:$I$59, 7, FALSE), perc_95, VLOOKUP(I$2, Percentiles!$A$45:$I$59, 8, FALSE), perc_85, perc_75 + (perc_90 - perc_75) * (2/3), converted_stat, '2K_Ratings'!I942, IF(bbgm_stat &gt;= perc_95, converted_stat * 3, IF(bbgm_stat &gt;= perc_90, converted_stat * 2, IF(bbgm_stat &gt;= perc_85, converted_stat * 1.5, converted_stat)))))</f>
        <v/>
      </c>
      <c r="J942" s="30" t="str">
        <f t="array" ref="J942">IF($A942="", "", LET(bbgm_stat, INDEX(Players!$A941:$P941, MATCH(J$2, Players!$A$1:$P$1, 0)), perc_75, VLOOKUP(J$2, Percentiles!$A$45:$I$59, 6, FALSE), perc_90, VLOOKUP(J$2, Percentiles!$A$45:$I$59, 7, FALSE), perc_95, VLOOKUP(J$2, Percentiles!$A$45:$I$59, 8, FALSE), perc_85, perc_75 + (perc_90 - perc_75) * (2/3), converted_stat, '2K_Ratings'!J942, IF(bbgm_stat &gt;= perc_95, converted_stat * 3, IF(bbgm_stat &gt;= perc_90, converted_stat * 2, IF(bbgm_stat &gt;= perc_85, converted_stat * 1.5, converted_stat)))))</f>
        <v/>
      </c>
      <c r="K942" s="30" t="str">
        <f t="array" ref="K942">IF($A942="", "", LET(bbgm_stat, INDEX(Players!$A941:$P941, MATCH(K$2, Players!$A$1:$P$1, 0)), perc_75, VLOOKUP(K$2, Percentiles!$A$45:$I$59, 6, FALSE), perc_90, VLOOKUP(K$2, Percentiles!$A$45:$I$59, 7, FALSE), perc_95, VLOOKUP(K$2, Percentiles!$A$45:$I$59, 8, FALSE), perc_85, perc_75 + (perc_90 - perc_75) * (2/3), converted_stat, '2K_Ratings'!K942, IF(bbgm_stat &gt;= perc_95, converted_stat * 3, IF(bbgm_stat &gt;= perc_90, converted_stat * 2, IF(bbgm_stat &gt;= perc_85, converted_stat * 1.5, converted_stat)))))</f>
        <v/>
      </c>
      <c r="L942" s="30" t="str">
        <f t="array" ref="L942">IF($A942="", "", LET(bbgm_stat, INDEX(Players!$A941:$P941, MATCH(L$2, Players!$A$1:$P$1, 0)), perc_75, VLOOKUP(L$2, Percentiles!$A$45:$I$59, 6, FALSE), perc_90, VLOOKUP(L$2, Percentiles!$A$45:$I$59, 7, FALSE), perc_95, VLOOKUP(L$2, Percentiles!$A$45:$I$59, 8, FALSE), perc_85, perc_75 + (perc_90 - perc_75) * (2/3), converted_stat, '2K_Ratings'!L942, IF(bbgm_stat &gt;= perc_95, converted_stat * 3, IF(bbgm_stat &gt;= perc_90, converted_stat * 2, IF(bbgm_stat &gt;= perc_85, converted_stat * 1.5, converted_stat)))))</f>
        <v/>
      </c>
      <c r="M942" s="30" t="str">
        <f t="array" ref="M942">IF($A942="", "", LET(bbgm_stat, INDEX(Players!$A941:$P941, MATCH(M$2, Players!$A$1:$P$1, 0)), perc_75, VLOOKUP(M$2, Percentiles!$A$45:$I$59, 6, FALSE), perc_90, VLOOKUP(M$2, Percentiles!$A$45:$I$59, 7, FALSE), perc_95, VLOOKUP(M$2, Percentiles!$A$45:$I$59, 8, FALSE), perc_85, perc_75 + (perc_90 - perc_75) * (2/3), converted_stat, '2K_Ratings'!M942, IF(bbgm_stat &gt;= perc_95, converted_stat * 3, IF(bbgm_stat &gt;= perc_90, converted_stat * 2, IF(bbgm_stat &gt;= perc_85, converted_stat * 1.5, converted_stat)))))</f>
        <v/>
      </c>
      <c r="N942" s="30" t="str">
        <f t="array" ref="N942">IF($A942="", "", LET(bbgm_stat, INDEX(Players!$A941:$P941, MATCH(N$2, Players!$A$1:$P$1, 0)), perc_75, VLOOKUP(N$2, Percentiles!$A$45:$I$59, 6, FALSE), perc_90, VLOOKUP(N$2, Percentiles!$A$45:$I$59, 7, FALSE), perc_95, VLOOKUP(N$2, Percentiles!$A$45:$I$59, 8, FALSE), perc_85, perc_75 + (perc_90 - perc_75) * (2/3), converted_stat, '2K_Ratings'!N942, IF(bbgm_stat &gt;= perc_95, converted_stat * 3, IF(bbgm_stat &gt;= perc_90, converted_stat * 2, IF(bbgm_stat &gt;= perc_85, converted_stat * 1.5, converted_stat)))))</f>
        <v/>
      </c>
      <c r="O942" s="30" t="str">
        <f t="array" ref="O942">IF($A942="", "", LET(bbgm_stat, INDEX(Players!$A941:$P941, MATCH(O$2, Players!$A$1:$P$1, 0)), perc_75, VLOOKUP(O$2, Percentiles!$A$45:$I$59, 6, FALSE), perc_90, VLOOKUP(O$2, Percentiles!$A$45:$I$59, 7, FALSE), perc_95, VLOOKUP(O$2, Percentiles!$A$45:$I$59, 8, FALSE), perc_85, perc_75 + (perc_90 - perc_75) * (2/3), converted_stat, '2K_Ratings'!O942, IF(bbgm_stat &gt;= perc_95, converted_stat * 3, IF(bbgm_stat &gt;= perc_90, converted_stat * 2, IF(bbgm_stat &gt;= perc_85, converted_stat * 1.5, converted_stat)))))</f>
        <v/>
      </c>
      <c r="P942" s="30" t="str">
        <f t="array" ref="P942">IF($A942="", "", LET(bbgm_stat, INDEX(Players!$A941:$P941, MATCH(P$2, Players!$A$1:$P$1, 0)), perc_75, VLOOKUP(P$2, Percentiles!$A$45:$I$59, 6, FALSE), perc_90, VLOOKUP(P$2, Percentiles!$A$45:$I$59, 7, FALSE), perc_95, VLOOKUP(P$2, Percentiles!$A$45:$I$59, 8, FALSE), perc_85, perc_75 + (perc_90 - perc_75) * (2/3), converted_stat, '2K_Ratings'!P942, IF(bbgm_stat &gt;= perc_95, converted_stat * 3, IF(bbgm_stat &gt;= perc_90, converted_stat * 2, IF(bbgm_stat &gt;= perc_85, converted_stat * 1.5, converted_stat)))))</f>
        <v/>
      </c>
      <c r="Q942" s="30" t="str">
        <f t="array" ref="Q942">IF($A942="", "", LET(bbgm_stat, INDEX(Players!$A941:$P941, MATCH(Q$2, Players!$A$1:$P$1, 0)), perc_75, VLOOKUP(Q$2, Percentiles!$A$45:$I$59, 6, FALSE), perc_90, VLOOKUP(Q$2, Percentiles!$A$45:$I$59, 7, FALSE), perc_95, VLOOKUP(Q$2, Percentiles!$A$45:$I$59, 8, FALSE), perc_85, perc_75 + (perc_90 - perc_75) * (2/3), converted_stat, '2K_Ratings'!Q942, IF(bbgm_stat &gt;= perc_95, converted_stat * 3, IF(bbgm_stat &gt;= perc_90, converted_stat * 2, IF(bbgm_stat &gt;= perc_85, converted_stat * 1.5, converted_stat)))))</f>
        <v/>
      </c>
      <c r="R942" s="30" t="str">
        <f t="array" ref="R942">IF($A942="", "", LET(bbgm_stat, INDEX(Players!$A941:$P941, MATCH(R$2, Players!$A$1:$P$1, 0)), perc_75, VLOOKUP(R$2, Percentiles!$A$45:$I$59, 6, FALSE), perc_90, VLOOKUP(R$2, Percentiles!$A$45:$I$59, 7, FALSE), perc_95, VLOOKUP(R$2, Percentiles!$A$45:$I$59, 8, FALSE), perc_85, perc_75 + (perc_90 - perc_75) * (2/3), converted_stat, '2K_Ratings'!R942, IF(bbgm_stat &gt;= perc_95, converted_stat * 3, IF(bbgm_stat &gt;= perc_90, converted_stat * 2, IF(bbgm_stat &gt;= perc_85, converted_stat * 1.5, converted_stat)))))</f>
        <v/>
      </c>
      <c r="S942" s="30" t="str">
        <f t="array" ref="S942">IF($A942="", "", LET(bbgm_stat, INDEX(Players!$A941:$P941, MATCH(S$2, Players!$A$1:$P$1, 0)), perc_75, VLOOKUP(S$2, Percentiles!$A$45:$I$59, 6, FALSE), perc_90, VLOOKUP(S$2, Percentiles!$A$45:$I$59, 7, FALSE), perc_95, VLOOKUP(S$2, Percentiles!$A$45:$I$59, 8, FALSE), perc_85, perc_75 + (perc_90 - perc_75) * (2/3), converted_stat, '2K_Ratings'!S942, IF(bbgm_stat &gt;= perc_95, converted_stat * 3, IF(bbgm_stat &gt;= perc_90, converted_stat * 2, IF(bbgm_stat &gt;= perc_85, converted_stat * 1.5, converted_stat)))))</f>
        <v/>
      </c>
      <c r="T942" s="30" t="str">
        <f t="array" ref="T942">IF($A942="", "", LET(bbgm_stat, INDEX(Players!$A941:$P941, MATCH(T$2, Players!$A$1:$P$1, 0)), perc_75, VLOOKUP(T$2, Percentiles!$A$45:$I$59, 6, FALSE), perc_90, VLOOKUP(T$2, Percentiles!$A$45:$I$59, 7, FALSE), perc_95, VLOOKUP(T$2, Percentiles!$A$45:$I$59, 8, FALSE), perc_85, perc_75 + (perc_90 - perc_75) * (2/3), converted_stat, '2K_Ratings'!T942, IF(bbgm_stat &gt;= perc_95, converted_stat * 3, IF(bbgm_stat &gt;= perc_90, converted_stat * 2, IF(bbgm_stat &gt;= perc_85, converted_stat * 1.5, converted_stat)))))</f>
        <v/>
      </c>
      <c r="U942" s="30" t="str">
        <f t="array" ref="U942">IF($A942="", "", LET(bbgm_stat, INDEX(Players!$A941:$P941, MATCH(U$2, Players!$A$1:$P$1, 0)), perc_75, VLOOKUP(U$2, Percentiles!$A$45:$I$59, 6, FALSE), perc_90, VLOOKUP(U$2, Percentiles!$A$45:$I$59, 7, FALSE), perc_95, VLOOKUP(U$2, Percentiles!$A$45:$I$59, 8, FALSE), perc_85, perc_75 + (perc_90 - perc_75) * (2/3), converted_stat, '2K_Ratings'!U942, IF(bbgm_stat &gt;= perc_95, converted_stat * 3, IF(bbgm_stat &gt;= perc_90, converted_stat * 2, IF(bbgm_stat &gt;= perc_85, converted_stat * 1.5, converted_stat)))))</f>
        <v/>
      </c>
      <c r="V942" s="30" t="str">
        <f t="array" ref="V942">IF($A942="", "", LET(bbgm_stat, INDEX(Players!$A941:$P941, MATCH(V$2, Players!$A$1:$P$1, 0)), perc_75, VLOOKUP(V$2, Percentiles!$A$45:$I$59, 6, FALSE), perc_90, VLOOKUP(V$2, Percentiles!$A$45:$I$59, 7, FALSE), perc_95, VLOOKUP(V$2, Percentiles!$A$45:$I$59, 8, FALSE), perc_85, perc_75 + (perc_90 - perc_75) * (2/3), converted_stat, '2K_Ratings'!V942, IF(bbgm_stat &gt;= perc_95, converted_stat * 3, IF(bbgm_stat &gt;= perc_90, converted_stat * 2, IF(bbgm_stat &gt;= perc_85, converted_stat * 1.5, converted_stat)))))</f>
        <v/>
      </c>
      <c r="W942" s="30" t="str">
        <f t="array" ref="W942">IF($A942="", "", LET(bbgm_stat, INDEX(Players!$A941:$P941, MATCH(W$2, Players!$A$1:$P$1, 0)), perc_75, VLOOKUP(W$2, Percentiles!$A$45:$I$59, 6, FALSE), perc_90, VLOOKUP(W$2, Percentiles!$A$45:$I$59, 7, FALSE), perc_95, VLOOKUP(W$2, Percentiles!$A$45:$I$59, 8, FALSE), perc_85, perc_75 + (perc_90 - perc_75) * (2/3), converted_stat, '2K_Ratings'!W942, IF(bbgm_stat &gt;= perc_95, converted_stat * 3, IF(bbgm_stat &gt;= perc_90, converted_stat * 2, IF(bbgm_stat &gt;= perc_85, converted_stat * 1.5, converted_stat)))))</f>
        <v/>
      </c>
    </row>
    <row r="943">
      <c r="A943" s="30"/>
      <c r="B943" s="30" t="str">
        <f t="array" ref="B943">IF($A943="", "", LET(bbgm_stat, INDEX(Players!$A942:$P942, MATCH(B$2, Players!$A$1:$P$1, 0)), perc_75, VLOOKUP(B$2, Percentiles!$A$45:$I$59, 6, FALSE), perc_90, VLOOKUP(B$2, Percentiles!$A$45:$I$59, 7, FALSE), perc_95, VLOOKUP(B$2, Percentiles!$A$45:$I$59, 8, FALSE), perc_85, perc_75 + (perc_90 - perc_75) * (2/3), converted_stat, '2K_Ratings'!B943, IF(bbgm_stat &gt;= perc_95, converted_stat * 3, IF(bbgm_stat &gt;= perc_90, converted_stat * 2, IF(bbgm_stat &gt;= perc_85, converted_stat * 1.5, converted_stat)))))</f>
        <v/>
      </c>
      <c r="C943" s="30" t="str">
        <f t="array" ref="C943">IF($A943="", "", LET(bbgm_stat, INDEX(Players!$A942:$P942, MATCH(C$2, Players!$A$1:$P$1, 0)), perc_75, VLOOKUP(C$2, Percentiles!$A$45:$I$59, 6, FALSE), perc_90, VLOOKUP(C$2, Percentiles!$A$45:$I$59, 7, FALSE), perc_95, VLOOKUP(C$2, Percentiles!$A$45:$I$59, 8, FALSE), perc_85, perc_75 + (perc_90 - perc_75) * (2/3), converted_stat, '2K_Ratings'!C943, IF(bbgm_stat &gt;= perc_95, converted_stat * 3, IF(bbgm_stat &gt;= perc_90, converted_stat * 2, IF(bbgm_stat &gt;= perc_85, converted_stat * 1.5, converted_stat)))))</f>
        <v/>
      </c>
      <c r="D943" s="30" t="str">
        <f t="array" ref="D943">IF($A943="", "", LET(bbgm_stat, INDEX(Players!$A942:$P942, MATCH(D$2, Players!$A$1:$P$1, 0)), perc_75, VLOOKUP(D$2, Percentiles!$A$45:$I$59, 6, FALSE), perc_90, VLOOKUP(D$2, Percentiles!$A$45:$I$59, 7, FALSE), perc_95, VLOOKUP(D$2, Percentiles!$A$45:$I$59, 8, FALSE), perc_85, perc_75 + (perc_90 - perc_75) * (2/3), converted_stat, '2K_Ratings'!D943, IF(bbgm_stat &gt;= perc_95, converted_stat * 3, IF(bbgm_stat &gt;= perc_90, converted_stat * 2, IF(bbgm_stat &gt;= perc_85, converted_stat * 1.5, converted_stat)))))</f>
        <v/>
      </c>
      <c r="E943" s="30" t="str">
        <f t="array" ref="E943">IF($A943="", "", LET(bbgm_stat, INDEX(Players!$A942:$P942, MATCH(E$2, Players!$A$1:$P$1, 0)), perc_75, VLOOKUP(E$2, Percentiles!$A$45:$I$59, 6, FALSE), perc_90, VLOOKUP(E$2, Percentiles!$A$45:$I$59, 7, FALSE), perc_95, VLOOKUP(E$2, Percentiles!$A$45:$I$59, 8, FALSE), perc_85, perc_75 + (perc_90 - perc_75) * (2/3), converted_stat, '2K_Ratings'!E943, IF(bbgm_stat &gt;= perc_95, converted_stat * 3, IF(bbgm_stat &gt;= perc_90, converted_stat * 2, IF(bbgm_stat &gt;= perc_85, converted_stat * 1.5, converted_stat)))))</f>
        <v/>
      </c>
      <c r="F943" s="30" t="str">
        <f t="array" ref="F943">IF($A943="", "", LET(bbgm_stat, INDEX(Players!$A942:$P942, MATCH(F$2, Players!$A$1:$P$1, 0)), perc_75, VLOOKUP(F$2, Percentiles!$A$45:$I$59, 6, FALSE), perc_90, VLOOKUP(F$2, Percentiles!$A$45:$I$59, 7, FALSE), perc_95, VLOOKUP(F$2, Percentiles!$A$45:$I$59, 8, FALSE), perc_85, perc_75 + (perc_90 - perc_75) * (2/3), converted_stat, '2K_Ratings'!F943, IF(bbgm_stat &gt;= perc_95, converted_stat * 3, IF(bbgm_stat &gt;= perc_90, converted_stat * 2, IF(bbgm_stat &gt;= perc_85, converted_stat * 1.5, converted_stat)))))</f>
        <v/>
      </c>
      <c r="G943" s="30" t="str">
        <f t="array" ref="G943">IF($A943="", "", LET(bbgm_stat, INDEX(Players!$A942:$P942, MATCH(G$2, Players!$A$1:$P$1, 0)), perc_75, VLOOKUP(G$2, Percentiles!$A$45:$I$59, 6, FALSE), perc_90, VLOOKUP(G$2, Percentiles!$A$45:$I$59, 7, FALSE), perc_95, VLOOKUP(G$2, Percentiles!$A$45:$I$59, 8, FALSE), perc_85, perc_75 + (perc_90 - perc_75) * (2/3), converted_stat, '2K_Ratings'!G943, IF(bbgm_stat &gt;= perc_95, converted_stat * 3, IF(bbgm_stat &gt;= perc_90, converted_stat * 2, IF(bbgm_stat &gt;= perc_85, converted_stat * 1.5, converted_stat)))))</f>
        <v/>
      </c>
      <c r="H943" s="30" t="str">
        <f t="array" ref="H943">IF($A943="", "", LET(bbgm_stat, INDEX(Players!$A942:$P942, MATCH(H$2, Players!$A$1:$P$1, 0)), perc_75, VLOOKUP(H$2, Percentiles!$A$45:$I$59, 6, FALSE), perc_90, VLOOKUP(H$2, Percentiles!$A$45:$I$59, 7, FALSE), perc_95, VLOOKUP(H$2, Percentiles!$A$45:$I$59, 8, FALSE), perc_85, perc_75 + (perc_90 - perc_75) * (2/3), converted_stat, '2K_Ratings'!H943, IF(bbgm_stat &gt;= perc_95, converted_stat * 3, IF(bbgm_stat &gt;= perc_90, converted_stat * 2, IF(bbgm_stat &gt;= perc_85, converted_stat * 1.5, converted_stat)))))</f>
        <v/>
      </c>
      <c r="I943" s="30" t="str">
        <f t="array" ref="I943">IF($A943="", "", LET(bbgm_stat, INDEX(Players!$A942:$P942, MATCH(I$2, Players!$A$1:$P$1, 0)), perc_75, VLOOKUP(I$2, Percentiles!$A$45:$I$59, 6, FALSE), perc_90, VLOOKUP(I$2, Percentiles!$A$45:$I$59, 7, FALSE), perc_95, VLOOKUP(I$2, Percentiles!$A$45:$I$59, 8, FALSE), perc_85, perc_75 + (perc_90 - perc_75) * (2/3), converted_stat, '2K_Ratings'!I943, IF(bbgm_stat &gt;= perc_95, converted_stat * 3, IF(bbgm_stat &gt;= perc_90, converted_stat * 2, IF(bbgm_stat &gt;= perc_85, converted_stat * 1.5, converted_stat)))))</f>
        <v/>
      </c>
      <c r="J943" s="30" t="str">
        <f t="array" ref="J943">IF($A943="", "", LET(bbgm_stat, INDEX(Players!$A942:$P942, MATCH(J$2, Players!$A$1:$P$1, 0)), perc_75, VLOOKUP(J$2, Percentiles!$A$45:$I$59, 6, FALSE), perc_90, VLOOKUP(J$2, Percentiles!$A$45:$I$59, 7, FALSE), perc_95, VLOOKUP(J$2, Percentiles!$A$45:$I$59, 8, FALSE), perc_85, perc_75 + (perc_90 - perc_75) * (2/3), converted_stat, '2K_Ratings'!J943, IF(bbgm_stat &gt;= perc_95, converted_stat * 3, IF(bbgm_stat &gt;= perc_90, converted_stat * 2, IF(bbgm_stat &gt;= perc_85, converted_stat * 1.5, converted_stat)))))</f>
        <v/>
      </c>
      <c r="K943" s="30" t="str">
        <f t="array" ref="K943">IF($A943="", "", LET(bbgm_stat, INDEX(Players!$A942:$P942, MATCH(K$2, Players!$A$1:$P$1, 0)), perc_75, VLOOKUP(K$2, Percentiles!$A$45:$I$59, 6, FALSE), perc_90, VLOOKUP(K$2, Percentiles!$A$45:$I$59, 7, FALSE), perc_95, VLOOKUP(K$2, Percentiles!$A$45:$I$59, 8, FALSE), perc_85, perc_75 + (perc_90 - perc_75) * (2/3), converted_stat, '2K_Ratings'!K943, IF(bbgm_stat &gt;= perc_95, converted_stat * 3, IF(bbgm_stat &gt;= perc_90, converted_stat * 2, IF(bbgm_stat &gt;= perc_85, converted_stat * 1.5, converted_stat)))))</f>
        <v/>
      </c>
      <c r="L943" s="30" t="str">
        <f t="array" ref="L943">IF($A943="", "", LET(bbgm_stat, INDEX(Players!$A942:$P942, MATCH(L$2, Players!$A$1:$P$1, 0)), perc_75, VLOOKUP(L$2, Percentiles!$A$45:$I$59, 6, FALSE), perc_90, VLOOKUP(L$2, Percentiles!$A$45:$I$59, 7, FALSE), perc_95, VLOOKUP(L$2, Percentiles!$A$45:$I$59, 8, FALSE), perc_85, perc_75 + (perc_90 - perc_75) * (2/3), converted_stat, '2K_Ratings'!L943, IF(bbgm_stat &gt;= perc_95, converted_stat * 3, IF(bbgm_stat &gt;= perc_90, converted_stat * 2, IF(bbgm_stat &gt;= perc_85, converted_stat * 1.5, converted_stat)))))</f>
        <v/>
      </c>
      <c r="M943" s="30" t="str">
        <f t="array" ref="M943">IF($A943="", "", LET(bbgm_stat, INDEX(Players!$A942:$P942, MATCH(M$2, Players!$A$1:$P$1, 0)), perc_75, VLOOKUP(M$2, Percentiles!$A$45:$I$59, 6, FALSE), perc_90, VLOOKUP(M$2, Percentiles!$A$45:$I$59, 7, FALSE), perc_95, VLOOKUP(M$2, Percentiles!$A$45:$I$59, 8, FALSE), perc_85, perc_75 + (perc_90 - perc_75) * (2/3), converted_stat, '2K_Ratings'!M943, IF(bbgm_stat &gt;= perc_95, converted_stat * 3, IF(bbgm_stat &gt;= perc_90, converted_stat * 2, IF(bbgm_stat &gt;= perc_85, converted_stat * 1.5, converted_stat)))))</f>
        <v/>
      </c>
      <c r="N943" s="30" t="str">
        <f t="array" ref="N943">IF($A943="", "", LET(bbgm_stat, INDEX(Players!$A942:$P942, MATCH(N$2, Players!$A$1:$P$1, 0)), perc_75, VLOOKUP(N$2, Percentiles!$A$45:$I$59, 6, FALSE), perc_90, VLOOKUP(N$2, Percentiles!$A$45:$I$59, 7, FALSE), perc_95, VLOOKUP(N$2, Percentiles!$A$45:$I$59, 8, FALSE), perc_85, perc_75 + (perc_90 - perc_75) * (2/3), converted_stat, '2K_Ratings'!N943, IF(bbgm_stat &gt;= perc_95, converted_stat * 3, IF(bbgm_stat &gt;= perc_90, converted_stat * 2, IF(bbgm_stat &gt;= perc_85, converted_stat * 1.5, converted_stat)))))</f>
        <v/>
      </c>
      <c r="O943" s="30" t="str">
        <f t="array" ref="O943">IF($A943="", "", LET(bbgm_stat, INDEX(Players!$A942:$P942, MATCH(O$2, Players!$A$1:$P$1, 0)), perc_75, VLOOKUP(O$2, Percentiles!$A$45:$I$59, 6, FALSE), perc_90, VLOOKUP(O$2, Percentiles!$A$45:$I$59, 7, FALSE), perc_95, VLOOKUP(O$2, Percentiles!$A$45:$I$59, 8, FALSE), perc_85, perc_75 + (perc_90 - perc_75) * (2/3), converted_stat, '2K_Ratings'!O943, IF(bbgm_stat &gt;= perc_95, converted_stat * 3, IF(bbgm_stat &gt;= perc_90, converted_stat * 2, IF(bbgm_stat &gt;= perc_85, converted_stat * 1.5, converted_stat)))))</f>
        <v/>
      </c>
      <c r="P943" s="30" t="str">
        <f t="array" ref="P943">IF($A943="", "", LET(bbgm_stat, INDEX(Players!$A942:$P942, MATCH(P$2, Players!$A$1:$P$1, 0)), perc_75, VLOOKUP(P$2, Percentiles!$A$45:$I$59, 6, FALSE), perc_90, VLOOKUP(P$2, Percentiles!$A$45:$I$59, 7, FALSE), perc_95, VLOOKUP(P$2, Percentiles!$A$45:$I$59, 8, FALSE), perc_85, perc_75 + (perc_90 - perc_75) * (2/3), converted_stat, '2K_Ratings'!P943, IF(bbgm_stat &gt;= perc_95, converted_stat * 3, IF(bbgm_stat &gt;= perc_90, converted_stat * 2, IF(bbgm_stat &gt;= perc_85, converted_stat * 1.5, converted_stat)))))</f>
        <v/>
      </c>
      <c r="Q943" s="30" t="str">
        <f t="array" ref="Q943">IF($A943="", "", LET(bbgm_stat, INDEX(Players!$A942:$P942, MATCH(Q$2, Players!$A$1:$P$1, 0)), perc_75, VLOOKUP(Q$2, Percentiles!$A$45:$I$59, 6, FALSE), perc_90, VLOOKUP(Q$2, Percentiles!$A$45:$I$59, 7, FALSE), perc_95, VLOOKUP(Q$2, Percentiles!$A$45:$I$59, 8, FALSE), perc_85, perc_75 + (perc_90 - perc_75) * (2/3), converted_stat, '2K_Ratings'!Q943, IF(bbgm_stat &gt;= perc_95, converted_stat * 3, IF(bbgm_stat &gt;= perc_90, converted_stat * 2, IF(bbgm_stat &gt;= perc_85, converted_stat * 1.5, converted_stat)))))</f>
        <v/>
      </c>
      <c r="R943" s="30" t="str">
        <f t="array" ref="R943">IF($A943="", "", LET(bbgm_stat, INDEX(Players!$A942:$P942, MATCH(R$2, Players!$A$1:$P$1, 0)), perc_75, VLOOKUP(R$2, Percentiles!$A$45:$I$59, 6, FALSE), perc_90, VLOOKUP(R$2, Percentiles!$A$45:$I$59, 7, FALSE), perc_95, VLOOKUP(R$2, Percentiles!$A$45:$I$59, 8, FALSE), perc_85, perc_75 + (perc_90 - perc_75) * (2/3), converted_stat, '2K_Ratings'!R943, IF(bbgm_stat &gt;= perc_95, converted_stat * 3, IF(bbgm_stat &gt;= perc_90, converted_stat * 2, IF(bbgm_stat &gt;= perc_85, converted_stat * 1.5, converted_stat)))))</f>
        <v/>
      </c>
      <c r="S943" s="30" t="str">
        <f t="array" ref="S943">IF($A943="", "", LET(bbgm_stat, INDEX(Players!$A942:$P942, MATCH(S$2, Players!$A$1:$P$1, 0)), perc_75, VLOOKUP(S$2, Percentiles!$A$45:$I$59, 6, FALSE), perc_90, VLOOKUP(S$2, Percentiles!$A$45:$I$59, 7, FALSE), perc_95, VLOOKUP(S$2, Percentiles!$A$45:$I$59, 8, FALSE), perc_85, perc_75 + (perc_90 - perc_75) * (2/3), converted_stat, '2K_Ratings'!S943, IF(bbgm_stat &gt;= perc_95, converted_stat * 3, IF(bbgm_stat &gt;= perc_90, converted_stat * 2, IF(bbgm_stat &gt;= perc_85, converted_stat * 1.5, converted_stat)))))</f>
        <v/>
      </c>
      <c r="T943" s="30" t="str">
        <f t="array" ref="T943">IF($A943="", "", LET(bbgm_stat, INDEX(Players!$A942:$P942, MATCH(T$2, Players!$A$1:$P$1, 0)), perc_75, VLOOKUP(T$2, Percentiles!$A$45:$I$59, 6, FALSE), perc_90, VLOOKUP(T$2, Percentiles!$A$45:$I$59, 7, FALSE), perc_95, VLOOKUP(T$2, Percentiles!$A$45:$I$59, 8, FALSE), perc_85, perc_75 + (perc_90 - perc_75) * (2/3), converted_stat, '2K_Ratings'!T943, IF(bbgm_stat &gt;= perc_95, converted_stat * 3, IF(bbgm_stat &gt;= perc_90, converted_stat * 2, IF(bbgm_stat &gt;= perc_85, converted_stat * 1.5, converted_stat)))))</f>
        <v/>
      </c>
      <c r="U943" s="30" t="str">
        <f t="array" ref="U943">IF($A943="", "", LET(bbgm_stat, INDEX(Players!$A942:$P942, MATCH(U$2, Players!$A$1:$P$1, 0)), perc_75, VLOOKUP(U$2, Percentiles!$A$45:$I$59, 6, FALSE), perc_90, VLOOKUP(U$2, Percentiles!$A$45:$I$59, 7, FALSE), perc_95, VLOOKUP(U$2, Percentiles!$A$45:$I$59, 8, FALSE), perc_85, perc_75 + (perc_90 - perc_75) * (2/3), converted_stat, '2K_Ratings'!U943, IF(bbgm_stat &gt;= perc_95, converted_stat * 3, IF(bbgm_stat &gt;= perc_90, converted_stat * 2, IF(bbgm_stat &gt;= perc_85, converted_stat * 1.5, converted_stat)))))</f>
        <v/>
      </c>
      <c r="V943" s="30" t="str">
        <f t="array" ref="V943">IF($A943="", "", LET(bbgm_stat, INDEX(Players!$A942:$P942, MATCH(V$2, Players!$A$1:$P$1, 0)), perc_75, VLOOKUP(V$2, Percentiles!$A$45:$I$59, 6, FALSE), perc_90, VLOOKUP(V$2, Percentiles!$A$45:$I$59, 7, FALSE), perc_95, VLOOKUP(V$2, Percentiles!$A$45:$I$59, 8, FALSE), perc_85, perc_75 + (perc_90 - perc_75) * (2/3), converted_stat, '2K_Ratings'!V943, IF(bbgm_stat &gt;= perc_95, converted_stat * 3, IF(bbgm_stat &gt;= perc_90, converted_stat * 2, IF(bbgm_stat &gt;= perc_85, converted_stat * 1.5, converted_stat)))))</f>
        <v/>
      </c>
      <c r="W943" s="30" t="str">
        <f t="array" ref="W943">IF($A943="", "", LET(bbgm_stat, INDEX(Players!$A942:$P942, MATCH(W$2, Players!$A$1:$P$1, 0)), perc_75, VLOOKUP(W$2, Percentiles!$A$45:$I$59, 6, FALSE), perc_90, VLOOKUP(W$2, Percentiles!$A$45:$I$59, 7, FALSE), perc_95, VLOOKUP(W$2, Percentiles!$A$45:$I$59, 8, FALSE), perc_85, perc_75 + (perc_90 - perc_75) * (2/3), converted_stat, '2K_Ratings'!W943, IF(bbgm_stat &gt;= perc_95, converted_stat * 3, IF(bbgm_stat &gt;= perc_90, converted_stat * 2, IF(bbgm_stat &gt;= perc_85, converted_stat * 1.5, converted_stat)))))</f>
        <v/>
      </c>
    </row>
    <row r="944">
      <c r="A944" s="30"/>
      <c r="B944" s="30" t="str">
        <f t="array" ref="B944">IF($A944="", "", LET(bbgm_stat, INDEX(Players!$A943:$P943, MATCH(B$2, Players!$A$1:$P$1, 0)), perc_75, VLOOKUP(B$2, Percentiles!$A$45:$I$59, 6, FALSE), perc_90, VLOOKUP(B$2, Percentiles!$A$45:$I$59, 7, FALSE), perc_95, VLOOKUP(B$2, Percentiles!$A$45:$I$59, 8, FALSE), perc_85, perc_75 + (perc_90 - perc_75) * (2/3), converted_stat, '2K_Ratings'!B944, IF(bbgm_stat &gt;= perc_95, converted_stat * 3, IF(bbgm_stat &gt;= perc_90, converted_stat * 2, IF(bbgm_stat &gt;= perc_85, converted_stat * 1.5, converted_stat)))))</f>
        <v/>
      </c>
      <c r="C944" s="30" t="str">
        <f t="array" ref="C944">IF($A944="", "", LET(bbgm_stat, INDEX(Players!$A943:$P943, MATCH(C$2, Players!$A$1:$P$1, 0)), perc_75, VLOOKUP(C$2, Percentiles!$A$45:$I$59, 6, FALSE), perc_90, VLOOKUP(C$2, Percentiles!$A$45:$I$59, 7, FALSE), perc_95, VLOOKUP(C$2, Percentiles!$A$45:$I$59, 8, FALSE), perc_85, perc_75 + (perc_90 - perc_75) * (2/3), converted_stat, '2K_Ratings'!C944, IF(bbgm_stat &gt;= perc_95, converted_stat * 3, IF(bbgm_stat &gt;= perc_90, converted_stat * 2, IF(bbgm_stat &gt;= perc_85, converted_stat * 1.5, converted_stat)))))</f>
        <v/>
      </c>
      <c r="D944" s="30" t="str">
        <f t="array" ref="D944">IF($A944="", "", LET(bbgm_stat, INDEX(Players!$A943:$P943, MATCH(D$2, Players!$A$1:$P$1, 0)), perc_75, VLOOKUP(D$2, Percentiles!$A$45:$I$59, 6, FALSE), perc_90, VLOOKUP(D$2, Percentiles!$A$45:$I$59, 7, FALSE), perc_95, VLOOKUP(D$2, Percentiles!$A$45:$I$59, 8, FALSE), perc_85, perc_75 + (perc_90 - perc_75) * (2/3), converted_stat, '2K_Ratings'!D944, IF(bbgm_stat &gt;= perc_95, converted_stat * 3, IF(bbgm_stat &gt;= perc_90, converted_stat * 2, IF(bbgm_stat &gt;= perc_85, converted_stat * 1.5, converted_stat)))))</f>
        <v/>
      </c>
      <c r="E944" s="30" t="str">
        <f t="array" ref="E944">IF($A944="", "", LET(bbgm_stat, INDEX(Players!$A943:$P943, MATCH(E$2, Players!$A$1:$P$1, 0)), perc_75, VLOOKUP(E$2, Percentiles!$A$45:$I$59, 6, FALSE), perc_90, VLOOKUP(E$2, Percentiles!$A$45:$I$59, 7, FALSE), perc_95, VLOOKUP(E$2, Percentiles!$A$45:$I$59, 8, FALSE), perc_85, perc_75 + (perc_90 - perc_75) * (2/3), converted_stat, '2K_Ratings'!E944, IF(bbgm_stat &gt;= perc_95, converted_stat * 3, IF(bbgm_stat &gt;= perc_90, converted_stat * 2, IF(bbgm_stat &gt;= perc_85, converted_stat * 1.5, converted_stat)))))</f>
        <v/>
      </c>
      <c r="F944" s="30" t="str">
        <f t="array" ref="F944">IF($A944="", "", LET(bbgm_stat, INDEX(Players!$A943:$P943, MATCH(F$2, Players!$A$1:$P$1, 0)), perc_75, VLOOKUP(F$2, Percentiles!$A$45:$I$59, 6, FALSE), perc_90, VLOOKUP(F$2, Percentiles!$A$45:$I$59, 7, FALSE), perc_95, VLOOKUP(F$2, Percentiles!$A$45:$I$59, 8, FALSE), perc_85, perc_75 + (perc_90 - perc_75) * (2/3), converted_stat, '2K_Ratings'!F944, IF(bbgm_stat &gt;= perc_95, converted_stat * 3, IF(bbgm_stat &gt;= perc_90, converted_stat * 2, IF(bbgm_stat &gt;= perc_85, converted_stat * 1.5, converted_stat)))))</f>
        <v/>
      </c>
      <c r="G944" s="30" t="str">
        <f t="array" ref="G944">IF($A944="", "", LET(bbgm_stat, INDEX(Players!$A943:$P943, MATCH(G$2, Players!$A$1:$P$1, 0)), perc_75, VLOOKUP(G$2, Percentiles!$A$45:$I$59, 6, FALSE), perc_90, VLOOKUP(G$2, Percentiles!$A$45:$I$59, 7, FALSE), perc_95, VLOOKUP(G$2, Percentiles!$A$45:$I$59, 8, FALSE), perc_85, perc_75 + (perc_90 - perc_75) * (2/3), converted_stat, '2K_Ratings'!G944, IF(bbgm_stat &gt;= perc_95, converted_stat * 3, IF(bbgm_stat &gt;= perc_90, converted_stat * 2, IF(bbgm_stat &gt;= perc_85, converted_stat * 1.5, converted_stat)))))</f>
        <v/>
      </c>
      <c r="H944" s="30" t="str">
        <f t="array" ref="H944">IF($A944="", "", LET(bbgm_stat, INDEX(Players!$A943:$P943, MATCH(H$2, Players!$A$1:$P$1, 0)), perc_75, VLOOKUP(H$2, Percentiles!$A$45:$I$59, 6, FALSE), perc_90, VLOOKUP(H$2, Percentiles!$A$45:$I$59, 7, FALSE), perc_95, VLOOKUP(H$2, Percentiles!$A$45:$I$59, 8, FALSE), perc_85, perc_75 + (perc_90 - perc_75) * (2/3), converted_stat, '2K_Ratings'!H944, IF(bbgm_stat &gt;= perc_95, converted_stat * 3, IF(bbgm_stat &gt;= perc_90, converted_stat * 2, IF(bbgm_stat &gt;= perc_85, converted_stat * 1.5, converted_stat)))))</f>
        <v/>
      </c>
      <c r="I944" s="30" t="str">
        <f t="array" ref="I944">IF($A944="", "", LET(bbgm_stat, INDEX(Players!$A943:$P943, MATCH(I$2, Players!$A$1:$P$1, 0)), perc_75, VLOOKUP(I$2, Percentiles!$A$45:$I$59, 6, FALSE), perc_90, VLOOKUP(I$2, Percentiles!$A$45:$I$59, 7, FALSE), perc_95, VLOOKUP(I$2, Percentiles!$A$45:$I$59, 8, FALSE), perc_85, perc_75 + (perc_90 - perc_75) * (2/3), converted_stat, '2K_Ratings'!I944, IF(bbgm_stat &gt;= perc_95, converted_stat * 3, IF(bbgm_stat &gt;= perc_90, converted_stat * 2, IF(bbgm_stat &gt;= perc_85, converted_stat * 1.5, converted_stat)))))</f>
        <v/>
      </c>
      <c r="J944" s="30" t="str">
        <f t="array" ref="J944">IF($A944="", "", LET(bbgm_stat, INDEX(Players!$A943:$P943, MATCH(J$2, Players!$A$1:$P$1, 0)), perc_75, VLOOKUP(J$2, Percentiles!$A$45:$I$59, 6, FALSE), perc_90, VLOOKUP(J$2, Percentiles!$A$45:$I$59, 7, FALSE), perc_95, VLOOKUP(J$2, Percentiles!$A$45:$I$59, 8, FALSE), perc_85, perc_75 + (perc_90 - perc_75) * (2/3), converted_stat, '2K_Ratings'!J944, IF(bbgm_stat &gt;= perc_95, converted_stat * 3, IF(bbgm_stat &gt;= perc_90, converted_stat * 2, IF(bbgm_stat &gt;= perc_85, converted_stat * 1.5, converted_stat)))))</f>
        <v/>
      </c>
      <c r="K944" s="30" t="str">
        <f t="array" ref="K944">IF($A944="", "", LET(bbgm_stat, INDEX(Players!$A943:$P943, MATCH(K$2, Players!$A$1:$P$1, 0)), perc_75, VLOOKUP(K$2, Percentiles!$A$45:$I$59, 6, FALSE), perc_90, VLOOKUP(K$2, Percentiles!$A$45:$I$59, 7, FALSE), perc_95, VLOOKUP(K$2, Percentiles!$A$45:$I$59, 8, FALSE), perc_85, perc_75 + (perc_90 - perc_75) * (2/3), converted_stat, '2K_Ratings'!K944, IF(bbgm_stat &gt;= perc_95, converted_stat * 3, IF(bbgm_stat &gt;= perc_90, converted_stat * 2, IF(bbgm_stat &gt;= perc_85, converted_stat * 1.5, converted_stat)))))</f>
        <v/>
      </c>
      <c r="L944" s="30" t="str">
        <f t="array" ref="L944">IF($A944="", "", LET(bbgm_stat, INDEX(Players!$A943:$P943, MATCH(L$2, Players!$A$1:$P$1, 0)), perc_75, VLOOKUP(L$2, Percentiles!$A$45:$I$59, 6, FALSE), perc_90, VLOOKUP(L$2, Percentiles!$A$45:$I$59, 7, FALSE), perc_95, VLOOKUP(L$2, Percentiles!$A$45:$I$59, 8, FALSE), perc_85, perc_75 + (perc_90 - perc_75) * (2/3), converted_stat, '2K_Ratings'!L944, IF(bbgm_stat &gt;= perc_95, converted_stat * 3, IF(bbgm_stat &gt;= perc_90, converted_stat * 2, IF(bbgm_stat &gt;= perc_85, converted_stat * 1.5, converted_stat)))))</f>
        <v/>
      </c>
      <c r="M944" s="30" t="str">
        <f t="array" ref="M944">IF($A944="", "", LET(bbgm_stat, INDEX(Players!$A943:$P943, MATCH(M$2, Players!$A$1:$P$1, 0)), perc_75, VLOOKUP(M$2, Percentiles!$A$45:$I$59, 6, FALSE), perc_90, VLOOKUP(M$2, Percentiles!$A$45:$I$59, 7, FALSE), perc_95, VLOOKUP(M$2, Percentiles!$A$45:$I$59, 8, FALSE), perc_85, perc_75 + (perc_90 - perc_75) * (2/3), converted_stat, '2K_Ratings'!M944, IF(bbgm_stat &gt;= perc_95, converted_stat * 3, IF(bbgm_stat &gt;= perc_90, converted_stat * 2, IF(bbgm_stat &gt;= perc_85, converted_stat * 1.5, converted_stat)))))</f>
        <v/>
      </c>
      <c r="N944" s="30" t="str">
        <f t="array" ref="N944">IF($A944="", "", LET(bbgm_stat, INDEX(Players!$A943:$P943, MATCH(N$2, Players!$A$1:$P$1, 0)), perc_75, VLOOKUP(N$2, Percentiles!$A$45:$I$59, 6, FALSE), perc_90, VLOOKUP(N$2, Percentiles!$A$45:$I$59, 7, FALSE), perc_95, VLOOKUP(N$2, Percentiles!$A$45:$I$59, 8, FALSE), perc_85, perc_75 + (perc_90 - perc_75) * (2/3), converted_stat, '2K_Ratings'!N944, IF(bbgm_stat &gt;= perc_95, converted_stat * 3, IF(bbgm_stat &gt;= perc_90, converted_stat * 2, IF(bbgm_stat &gt;= perc_85, converted_stat * 1.5, converted_stat)))))</f>
        <v/>
      </c>
      <c r="O944" s="30" t="str">
        <f t="array" ref="O944">IF($A944="", "", LET(bbgm_stat, INDEX(Players!$A943:$P943, MATCH(O$2, Players!$A$1:$P$1, 0)), perc_75, VLOOKUP(O$2, Percentiles!$A$45:$I$59, 6, FALSE), perc_90, VLOOKUP(O$2, Percentiles!$A$45:$I$59, 7, FALSE), perc_95, VLOOKUP(O$2, Percentiles!$A$45:$I$59, 8, FALSE), perc_85, perc_75 + (perc_90 - perc_75) * (2/3), converted_stat, '2K_Ratings'!O944, IF(bbgm_stat &gt;= perc_95, converted_stat * 3, IF(bbgm_stat &gt;= perc_90, converted_stat * 2, IF(bbgm_stat &gt;= perc_85, converted_stat * 1.5, converted_stat)))))</f>
        <v/>
      </c>
      <c r="P944" s="30" t="str">
        <f t="array" ref="P944">IF($A944="", "", LET(bbgm_stat, INDEX(Players!$A943:$P943, MATCH(P$2, Players!$A$1:$P$1, 0)), perc_75, VLOOKUP(P$2, Percentiles!$A$45:$I$59, 6, FALSE), perc_90, VLOOKUP(P$2, Percentiles!$A$45:$I$59, 7, FALSE), perc_95, VLOOKUP(P$2, Percentiles!$A$45:$I$59, 8, FALSE), perc_85, perc_75 + (perc_90 - perc_75) * (2/3), converted_stat, '2K_Ratings'!P944, IF(bbgm_stat &gt;= perc_95, converted_stat * 3, IF(bbgm_stat &gt;= perc_90, converted_stat * 2, IF(bbgm_stat &gt;= perc_85, converted_stat * 1.5, converted_stat)))))</f>
        <v/>
      </c>
      <c r="Q944" s="30" t="str">
        <f t="array" ref="Q944">IF($A944="", "", LET(bbgm_stat, INDEX(Players!$A943:$P943, MATCH(Q$2, Players!$A$1:$P$1, 0)), perc_75, VLOOKUP(Q$2, Percentiles!$A$45:$I$59, 6, FALSE), perc_90, VLOOKUP(Q$2, Percentiles!$A$45:$I$59, 7, FALSE), perc_95, VLOOKUP(Q$2, Percentiles!$A$45:$I$59, 8, FALSE), perc_85, perc_75 + (perc_90 - perc_75) * (2/3), converted_stat, '2K_Ratings'!Q944, IF(bbgm_stat &gt;= perc_95, converted_stat * 3, IF(bbgm_stat &gt;= perc_90, converted_stat * 2, IF(bbgm_stat &gt;= perc_85, converted_stat * 1.5, converted_stat)))))</f>
        <v/>
      </c>
      <c r="R944" s="30" t="str">
        <f t="array" ref="R944">IF($A944="", "", LET(bbgm_stat, INDEX(Players!$A943:$P943, MATCH(R$2, Players!$A$1:$P$1, 0)), perc_75, VLOOKUP(R$2, Percentiles!$A$45:$I$59, 6, FALSE), perc_90, VLOOKUP(R$2, Percentiles!$A$45:$I$59, 7, FALSE), perc_95, VLOOKUP(R$2, Percentiles!$A$45:$I$59, 8, FALSE), perc_85, perc_75 + (perc_90 - perc_75) * (2/3), converted_stat, '2K_Ratings'!R944, IF(bbgm_stat &gt;= perc_95, converted_stat * 3, IF(bbgm_stat &gt;= perc_90, converted_stat * 2, IF(bbgm_stat &gt;= perc_85, converted_stat * 1.5, converted_stat)))))</f>
        <v/>
      </c>
      <c r="S944" s="30" t="str">
        <f t="array" ref="S944">IF($A944="", "", LET(bbgm_stat, INDEX(Players!$A943:$P943, MATCH(S$2, Players!$A$1:$P$1, 0)), perc_75, VLOOKUP(S$2, Percentiles!$A$45:$I$59, 6, FALSE), perc_90, VLOOKUP(S$2, Percentiles!$A$45:$I$59, 7, FALSE), perc_95, VLOOKUP(S$2, Percentiles!$A$45:$I$59, 8, FALSE), perc_85, perc_75 + (perc_90 - perc_75) * (2/3), converted_stat, '2K_Ratings'!S944, IF(bbgm_stat &gt;= perc_95, converted_stat * 3, IF(bbgm_stat &gt;= perc_90, converted_stat * 2, IF(bbgm_stat &gt;= perc_85, converted_stat * 1.5, converted_stat)))))</f>
        <v/>
      </c>
      <c r="T944" s="30" t="str">
        <f t="array" ref="T944">IF($A944="", "", LET(bbgm_stat, INDEX(Players!$A943:$P943, MATCH(T$2, Players!$A$1:$P$1, 0)), perc_75, VLOOKUP(T$2, Percentiles!$A$45:$I$59, 6, FALSE), perc_90, VLOOKUP(T$2, Percentiles!$A$45:$I$59, 7, FALSE), perc_95, VLOOKUP(T$2, Percentiles!$A$45:$I$59, 8, FALSE), perc_85, perc_75 + (perc_90 - perc_75) * (2/3), converted_stat, '2K_Ratings'!T944, IF(bbgm_stat &gt;= perc_95, converted_stat * 3, IF(bbgm_stat &gt;= perc_90, converted_stat * 2, IF(bbgm_stat &gt;= perc_85, converted_stat * 1.5, converted_stat)))))</f>
        <v/>
      </c>
      <c r="U944" s="30" t="str">
        <f t="array" ref="U944">IF($A944="", "", LET(bbgm_stat, INDEX(Players!$A943:$P943, MATCH(U$2, Players!$A$1:$P$1, 0)), perc_75, VLOOKUP(U$2, Percentiles!$A$45:$I$59, 6, FALSE), perc_90, VLOOKUP(U$2, Percentiles!$A$45:$I$59, 7, FALSE), perc_95, VLOOKUP(U$2, Percentiles!$A$45:$I$59, 8, FALSE), perc_85, perc_75 + (perc_90 - perc_75) * (2/3), converted_stat, '2K_Ratings'!U944, IF(bbgm_stat &gt;= perc_95, converted_stat * 3, IF(bbgm_stat &gt;= perc_90, converted_stat * 2, IF(bbgm_stat &gt;= perc_85, converted_stat * 1.5, converted_stat)))))</f>
        <v/>
      </c>
      <c r="V944" s="30" t="str">
        <f t="array" ref="V944">IF($A944="", "", LET(bbgm_stat, INDEX(Players!$A943:$P943, MATCH(V$2, Players!$A$1:$P$1, 0)), perc_75, VLOOKUP(V$2, Percentiles!$A$45:$I$59, 6, FALSE), perc_90, VLOOKUP(V$2, Percentiles!$A$45:$I$59, 7, FALSE), perc_95, VLOOKUP(V$2, Percentiles!$A$45:$I$59, 8, FALSE), perc_85, perc_75 + (perc_90 - perc_75) * (2/3), converted_stat, '2K_Ratings'!V944, IF(bbgm_stat &gt;= perc_95, converted_stat * 3, IF(bbgm_stat &gt;= perc_90, converted_stat * 2, IF(bbgm_stat &gt;= perc_85, converted_stat * 1.5, converted_stat)))))</f>
        <v/>
      </c>
      <c r="W944" s="30" t="str">
        <f t="array" ref="W944">IF($A944="", "", LET(bbgm_stat, INDEX(Players!$A943:$P943, MATCH(W$2, Players!$A$1:$P$1, 0)), perc_75, VLOOKUP(W$2, Percentiles!$A$45:$I$59, 6, FALSE), perc_90, VLOOKUP(W$2, Percentiles!$A$45:$I$59, 7, FALSE), perc_95, VLOOKUP(W$2, Percentiles!$A$45:$I$59, 8, FALSE), perc_85, perc_75 + (perc_90 - perc_75) * (2/3), converted_stat, '2K_Ratings'!W944, IF(bbgm_stat &gt;= perc_95, converted_stat * 3, IF(bbgm_stat &gt;= perc_90, converted_stat * 2, IF(bbgm_stat &gt;= perc_85, converted_stat * 1.5, converted_stat)))))</f>
        <v/>
      </c>
    </row>
    <row r="945">
      <c r="A945" s="30"/>
      <c r="B945" s="30" t="str">
        <f t="array" ref="B945">IF($A945="", "", LET(bbgm_stat, INDEX(Players!$A944:$P944, MATCH(B$2, Players!$A$1:$P$1, 0)), perc_75, VLOOKUP(B$2, Percentiles!$A$45:$I$59, 6, FALSE), perc_90, VLOOKUP(B$2, Percentiles!$A$45:$I$59, 7, FALSE), perc_95, VLOOKUP(B$2, Percentiles!$A$45:$I$59, 8, FALSE), perc_85, perc_75 + (perc_90 - perc_75) * (2/3), converted_stat, '2K_Ratings'!B945, IF(bbgm_stat &gt;= perc_95, converted_stat * 3, IF(bbgm_stat &gt;= perc_90, converted_stat * 2, IF(bbgm_stat &gt;= perc_85, converted_stat * 1.5, converted_stat)))))</f>
        <v/>
      </c>
      <c r="C945" s="30" t="str">
        <f t="array" ref="C945">IF($A945="", "", LET(bbgm_stat, INDEX(Players!$A944:$P944, MATCH(C$2, Players!$A$1:$P$1, 0)), perc_75, VLOOKUP(C$2, Percentiles!$A$45:$I$59, 6, FALSE), perc_90, VLOOKUP(C$2, Percentiles!$A$45:$I$59, 7, FALSE), perc_95, VLOOKUP(C$2, Percentiles!$A$45:$I$59, 8, FALSE), perc_85, perc_75 + (perc_90 - perc_75) * (2/3), converted_stat, '2K_Ratings'!C945, IF(bbgm_stat &gt;= perc_95, converted_stat * 3, IF(bbgm_stat &gt;= perc_90, converted_stat * 2, IF(bbgm_stat &gt;= perc_85, converted_stat * 1.5, converted_stat)))))</f>
        <v/>
      </c>
      <c r="D945" s="30" t="str">
        <f t="array" ref="D945">IF($A945="", "", LET(bbgm_stat, INDEX(Players!$A944:$P944, MATCH(D$2, Players!$A$1:$P$1, 0)), perc_75, VLOOKUP(D$2, Percentiles!$A$45:$I$59, 6, FALSE), perc_90, VLOOKUP(D$2, Percentiles!$A$45:$I$59, 7, FALSE), perc_95, VLOOKUP(D$2, Percentiles!$A$45:$I$59, 8, FALSE), perc_85, perc_75 + (perc_90 - perc_75) * (2/3), converted_stat, '2K_Ratings'!D945, IF(bbgm_stat &gt;= perc_95, converted_stat * 3, IF(bbgm_stat &gt;= perc_90, converted_stat * 2, IF(bbgm_stat &gt;= perc_85, converted_stat * 1.5, converted_stat)))))</f>
        <v/>
      </c>
      <c r="E945" s="30" t="str">
        <f t="array" ref="E945">IF($A945="", "", LET(bbgm_stat, INDEX(Players!$A944:$P944, MATCH(E$2, Players!$A$1:$P$1, 0)), perc_75, VLOOKUP(E$2, Percentiles!$A$45:$I$59, 6, FALSE), perc_90, VLOOKUP(E$2, Percentiles!$A$45:$I$59, 7, FALSE), perc_95, VLOOKUP(E$2, Percentiles!$A$45:$I$59, 8, FALSE), perc_85, perc_75 + (perc_90 - perc_75) * (2/3), converted_stat, '2K_Ratings'!E945, IF(bbgm_stat &gt;= perc_95, converted_stat * 3, IF(bbgm_stat &gt;= perc_90, converted_stat * 2, IF(bbgm_stat &gt;= perc_85, converted_stat * 1.5, converted_stat)))))</f>
        <v/>
      </c>
      <c r="F945" s="30" t="str">
        <f t="array" ref="F945">IF($A945="", "", LET(bbgm_stat, INDEX(Players!$A944:$P944, MATCH(F$2, Players!$A$1:$P$1, 0)), perc_75, VLOOKUP(F$2, Percentiles!$A$45:$I$59, 6, FALSE), perc_90, VLOOKUP(F$2, Percentiles!$A$45:$I$59, 7, FALSE), perc_95, VLOOKUP(F$2, Percentiles!$A$45:$I$59, 8, FALSE), perc_85, perc_75 + (perc_90 - perc_75) * (2/3), converted_stat, '2K_Ratings'!F945, IF(bbgm_stat &gt;= perc_95, converted_stat * 3, IF(bbgm_stat &gt;= perc_90, converted_stat * 2, IF(bbgm_stat &gt;= perc_85, converted_stat * 1.5, converted_stat)))))</f>
        <v/>
      </c>
      <c r="G945" s="30" t="str">
        <f t="array" ref="G945">IF($A945="", "", LET(bbgm_stat, INDEX(Players!$A944:$P944, MATCH(G$2, Players!$A$1:$P$1, 0)), perc_75, VLOOKUP(G$2, Percentiles!$A$45:$I$59, 6, FALSE), perc_90, VLOOKUP(G$2, Percentiles!$A$45:$I$59, 7, FALSE), perc_95, VLOOKUP(G$2, Percentiles!$A$45:$I$59, 8, FALSE), perc_85, perc_75 + (perc_90 - perc_75) * (2/3), converted_stat, '2K_Ratings'!G945, IF(bbgm_stat &gt;= perc_95, converted_stat * 3, IF(bbgm_stat &gt;= perc_90, converted_stat * 2, IF(bbgm_stat &gt;= perc_85, converted_stat * 1.5, converted_stat)))))</f>
        <v/>
      </c>
      <c r="H945" s="30" t="str">
        <f t="array" ref="H945">IF($A945="", "", LET(bbgm_stat, INDEX(Players!$A944:$P944, MATCH(H$2, Players!$A$1:$P$1, 0)), perc_75, VLOOKUP(H$2, Percentiles!$A$45:$I$59, 6, FALSE), perc_90, VLOOKUP(H$2, Percentiles!$A$45:$I$59, 7, FALSE), perc_95, VLOOKUP(H$2, Percentiles!$A$45:$I$59, 8, FALSE), perc_85, perc_75 + (perc_90 - perc_75) * (2/3), converted_stat, '2K_Ratings'!H945, IF(bbgm_stat &gt;= perc_95, converted_stat * 3, IF(bbgm_stat &gt;= perc_90, converted_stat * 2, IF(bbgm_stat &gt;= perc_85, converted_stat * 1.5, converted_stat)))))</f>
        <v/>
      </c>
      <c r="I945" s="30" t="str">
        <f t="array" ref="I945">IF($A945="", "", LET(bbgm_stat, INDEX(Players!$A944:$P944, MATCH(I$2, Players!$A$1:$P$1, 0)), perc_75, VLOOKUP(I$2, Percentiles!$A$45:$I$59, 6, FALSE), perc_90, VLOOKUP(I$2, Percentiles!$A$45:$I$59, 7, FALSE), perc_95, VLOOKUP(I$2, Percentiles!$A$45:$I$59, 8, FALSE), perc_85, perc_75 + (perc_90 - perc_75) * (2/3), converted_stat, '2K_Ratings'!I945, IF(bbgm_stat &gt;= perc_95, converted_stat * 3, IF(bbgm_stat &gt;= perc_90, converted_stat * 2, IF(bbgm_stat &gt;= perc_85, converted_stat * 1.5, converted_stat)))))</f>
        <v/>
      </c>
      <c r="J945" s="30" t="str">
        <f t="array" ref="J945">IF($A945="", "", LET(bbgm_stat, INDEX(Players!$A944:$P944, MATCH(J$2, Players!$A$1:$P$1, 0)), perc_75, VLOOKUP(J$2, Percentiles!$A$45:$I$59, 6, FALSE), perc_90, VLOOKUP(J$2, Percentiles!$A$45:$I$59, 7, FALSE), perc_95, VLOOKUP(J$2, Percentiles!$A$45:$I$59, 8, FALSE), perc_85, perc_75 + (perc_90 - perc_75) * (2/3), converted_stat, '2K_Ratings'!J945, IF(bbgm_stat &gt;= perc_95, converted_stat * 3, IF(bbgm_stat &gt;= perc_90, converted_stat * 2, IF(bbgm_stat &gt;= perc_85, converted_stat * 1.5, converted_stat)))))</f>
        <v/>
      </c>
      <c r="K945" s="30" t="str">
        <f t="array" ref="K945">IF($A945="", "", LET(bbgm_stat, INDEX(Players!$A944:$P944, MATCH(K$2, Players!$A$1:$P$1, 0)), perc_75, VLOOKUP(K$2, Percentiles!$A$45:$I$59, 6, FALSE), perc_90, VLOOKUP(K$2, Percentiles!$A$45:$I$59, 7, FALSE), perc_95, VLOOKUP(K$2, Percentiles!$A$45:$I$59, 8, FALSE), perc_85, perc_75 + (perc_90 - perc_75) * (2/3), converted_stat, '2K_Ratings'!K945, IF(bbgm_stat &gt;= perc_95, converted_stat * 3, IF(bbgm_stat &gt;= perc_90, converted_stat * 2, IF(bbgm_stat &gt;= perc_85, converted_stat * 1.5, converted_stat)))))</f>
        <v/>
      </c>
      <c r="L945" s="30" t="str">
        <f t="array" ref="L945">IF($A945="", "", LET(bbgm_stat, INDEX(Players!$A944:$P944, MATCH(L$2, Players!$A$1:$P$1, 0)), perc_75, VLOOKUP(L$2, Percentiles!$A$45:$I$59, 6, FALSE), perc_90, VLOOKUP(L$2, Percentiles!$A$45:$I$59, 7, FALSE), perc_95, VLOOKUP(L$2, Percentiles!$A$45:$I$59, 8, FALSE), perc_85, perc_75 + (perc_90 - perc_75) * (2/3), converted_stat, '2K_Ratings'!L945, IF(bbgm_stat &gt;= perc_95, converted_stat * 3, IF(bbgm_stat &gt;= perc_90, converted_stat * 2, IF(bbgm_stat &gt;= perc_85, converted_stat * 1.5, converted_stat)))))</f>
        <v/>
      </c>
      <c r="M945" s="30" t="str">
        <f t="array" ref="M945">IF($A945="", "", LET(bbgm_stat, INDEX(Players!$A944:$P944, MATCH(M$2, Players!$A$1:$P$1, 0)), perc_75, VLOOKUP(M$2, Percentiles!$A$45:$I$59, 6, FALSE), perc_90, VLOOKUP(M$2, Percentiles!$A$45:$I$59, 7, FALSE), perc_95, VLOOKUP(M$2, Percentiles!$A$45:$I$59, 8, FALSE), perc_85, perc_75 + (perc_90 - perc_75) * (2/3), converted_stat, '2K_Ratings'!M945, IF(bbgm_stat &gt;= perc_95, converted_stat * 3, IF(bbgm_stat &gt;= perc_90, converted_stat * 2, IF(bbgm_stat &gt;= perc_85, converted_stat * 1.5, converted_stat)))))</f>
        <v/>
      </c>
      <c r="N945" s="30" t="str">
        <f t="array" ref="N945">IF($A945="", "", LET(bbgm_stat, INDEX(Players!$A944:$P944, MATCH(N$2, Players!$A$1:$P$1, 0)), perc_75, VLOOKUP(N$2, Percentiles!$A$45:$I$59, 6, FALSE), perc_90, VLOOKUP(N$2, Percentiles!$A$45:$I$59, 7, FALSE), perc_95, VLOOKUP(N$2, Percentiles!$A$45:$I$59, 8, FALSE), perc_85, perc_75 + (perc_90 - perc_75) * (2/3), converted_stat, '2K_Ratings'!N945, IF(bbgm_stat &gt;= perc_95, converted_stat * 3, IF(bbgm_stat &gt;= perc_90, converted_stat * 2, IF(bbgm_stat &gt;= perc_85, converted_stat * 1.5, converted_stat)))))</f>
        <v/>
      </c>
      <c r="O945" s="30" t="str">
        <f t="array" ref="O945">IF($A945="", "", LET(bbgm_stat, INDEX(Players!$A944:$P944, MATCH(O$2, Players!$A$1:$P$1, 0)), perc_75, VLOOKUP(O$2, Percentiles!$A$45:$I$59, 6, FALSE), perc_90, VLOOKUP(O$2, Percentiles!$A$45:$I$59, 7, FALSE), perc_95, VLOOKUP(O$2, Percentiles!$A$45:$I$59, 8, FALSE), perc_85, perc_75 + (perc_90 - perc_75) * (2/3), converted_stat, '2K_Ratings'!O945, IF(bbgm_stat &gt;= perc_95, converted_stat * 3, IF(bbgm_stat &gt;= perc_90, converted_stat * 2, IF(bbgm_stat &gt;= perc_85, converted_stat * 1.5, converted_stat)))))</f>
        <v/>
      </c>
      <c r="P945" s="30" t="str">
        <f t="array" ref="P945">IF($A945="", "", LET(bbgm_stat, INDEX(Players!$A944:$P944, MATCH(P$2, Players!$A$1:$P$1, 0)), perc_75, VLOOKUP(P$2, Percentiles!$A$45:$I$59, 6, FALSE), perc_90, VLOOKUP(P$2, Percentiles!$A$45:$I$59, 7, FALSE), perc_95, VLOOKUP(P$2, Percentiles!$A$45:$I$59, 8, FALSE), perc_85, perc_75 + (perc_90 - perc_75) * (2/3), converted_stat, '2K_Ratings'!P945, IF(bbgm_stat &gt;= perc_95, converted_stat * 3, IF(bbgm_stat &gt;= perc_90, converted_stat * 2, IF(bbgm_stat &gt;= perc_85, converted_stat * 1.5, converted_stat)))))</f>
        <v/>
      </c>
      <c r="Q945" s="30" t="str">
        <f t="array" ref="Q945">IF($A945="", "", LET(bbgm_stat, INDEX(Players!$A944:$P944, MATCH(Q$2, Players!$A$1:$P$1, 0)), perc_75, VLOOKUP(Q$2, Percentiles!$A$45:$I$59, 6, FALSE), perc_90, VLOOKUP(Q$2, Percentiles!$A$45:$I$59, 7, FALSE), perc_95, VLOOKUP(Q$2, Percentiles!$A$45:$I$59, 8, FALSE), perc_85, perc_75 + (perc_90 - perc_75) * (2/3), converted_stat, '2K_Ratings'!Q945, IF(bbgm_stat &gt;= perc_95, converted_stat * 3, IF(bbgm_stat &gt;= perc_90, converted_stat * 2, IF(bbgm_stat &gt;= perc_85, converted_stat * 1.5, converted_stat)))))</f>
        <v/>
      </c>
      <c r="R945" s="30" t="str">
        <f t="array" ref="R945">IF($A945="", "", LET(bbgm_stat, INDEX(Players!$A944:$P944, MATCH(R$2, Players!$A$1:$P$1, 0)), perc_75, VLOOKUP(R$2, Percentiles!$A$45:$I$59, 6, FALSE), perc_90, VLOOKUP(R$2, Percentiles!$A$45:$I$59, 7, FALSE), perc_95, VLOOKUP(R$2, Percentiles!$A$45:$I$59, 8, FALSE), perc_85, perc_75 + (perc_90 - perc_75) * (2/3), converted_stat, '2K_Ratings'!R945, IF(bbgm_stat &gt;= perc_95, converted_stat * 3, IF(bbgm_stat &gt;= perc_90, converted_stat * 2, IF(bbgm_stat &gt;= perc_85, converted_stat * 1.5, converted_stat)))))</f>
        <v/>
      </c>
      <c r="S945" s="30" t="str">
        <f t="array" ref="S945">IF($A945="", "", LET(bbgm_stat, INDEX(Players!$A944:$P944, MATCH(S$2, Players!$A$1:$P$1, 0)), perc_75, VLOOKUP(S$2, Percentiles!$A$45:$I$59, 6, FALSE), perc_90, VLOOKUP(S$2, Percentiles!$A$45:$I$59, 7, FALSE), perc_95, VLOOKUP(S$2, Percentiles!$A$45:$I$59, 8, FALSE), perc_85, perc_75 + (perc_90 - perc_75) * (2/3), converted_stat, '2K_Ratings'!S945, IF(bbgm_stat &gt;= perc_95, converted_stat * 3, IF(bbgm_stat &gt;= perc_90, converted_stat * 2, IF(bbgm_stat &gt;= perc_85, converted_stat * 1.5, converted_stat)))))</f>
        <v/>
      </c>
      <c r="T945" s="30" t="str">
        <f t="array" ref="T945">IF($A945="", "", LET(bbgm_stat, INDEX(Players!$A944:$P944, MATCH(T$2, Players!$A$1:$P$1, 0)), perc_75, VLOOKUP(T$2, Percentiles!$A$45:$I$59, 6, FALSE), perc_90, VLOOKUP(T$2, Percentiles!$A$45:$I$59, 7, FALSE), perc_95, VLOOKUP(T$2, Percentiles!$A$45:$I$59, 8, FALSE), perc_85, perc_75 + (perc_90 - perc_75) * (2/3), converted_stat, '2K_Ratings'!T945, IF(bbgm_stat &gt;= perc_95, converted_stat * 3, IF(bbgm_stat &gt;= perc_90, converted_stat * 2, IF(bbgm_stat &gt;= perc_85, converted_stat * 1.5, converted_stat)))))</f>
        <v/>
      </c>
      <c r="U945" s="30" t="str">
        <f t="array" ref="U945">IF($A945="", "", LET(bbgm_stat, INDEX(Players!$A944:$P944, MATCH(U$2, Players!$A$1:$P$1, 0)), perc_75, VLOOKUP(U$2, Percentiles!$A$45:$I$59, 6, FALSE), perc_90, VLOOKUP(U$2, Percentiles!$A$45:$I$59, 7, FALSE), perc_95, VLOOKUP(U$2, Percentiles!$A$45:$I$59, 8, FALSE), perc_85, perc_75 + (perc_90 - perc_75) * (2/3), converted_stat, '2K_Ratings'!U945, IF(bbgm_stat &gt;= perc_95, converted_stat * 3, IF(bbgm_stat &gt;= perc_90, converted_stat * 2, IF(bbgm_stat &gt;= perc_85, converted_stat * 1.5, converted_stat)))))</f>
        <v/>
      </c>
      <c r="V945" s="30" t="str">
        <f t="array" ref="V945">IF($A945="", "", LET(bbgm_stat, INDEX(Players!$A944:$P944, MATCH(V$2, Players!$A$1:$P$1, 0)), perc_75, VLOOKUP(V$2, Percentiles!$A$45:$I$59, 6, FALSE), perc_90, VLOOKUP(V$2, Percentiles!$A$45:$I$59, 7, FALSE), perc_95, VLOOKUP(V$2, Percentiles!$A$45:$I$59, 8, FALSE), perc_85, perc_75 + (perc_90 - perc_75) * (2/3), converted_stat, '2K_Ratings'!V945, IF(bbgm_stat &gt;= perc_95, converted_stat * 3, IF(bbgm_stat &gt;= perc_90, converted_stat * 2, IF(bbgm_stat &gt;= perc_85, converted_stat * 1.5, converted_stat)))))</f>
        <v/>
      </c>
      <c r="W945" s="30" t="str">
        <f t="array" ref="W945">IF($A945="", "", LET(bbgm_stat, INDEX(Players!$A944:$P944, MATCH(W$2, Players!$A$1:$P$1, 0)), perc_75, VLOOKUP(W$2, Percentiles!$A$45:$I$59, 6, FALSE), perc_90, VLOOKUP(W$2, Percentiles!$A$45:$I$59, 7, FALSE), perc_95, VLOOKUP(W$2, Percentiles!$A$45:$I$59, 8, FALSE), perc_85, perc_75 + (perc_90 - perc_75) * (2/3), converted_stat, '2K_Ratings'!W945, IF(bbgm_stat &gt;= perc_95, converted_stat * 3, IF(bbgm_stat &gt;= perc_90, converted_stat * 2, IF(bbgm_stat &gt;= perc_85, converted_stat * 1.5, converted_stat)))))</f>
        <v/>
      </c>
    </row>
    <row r="946">
      <c r="A946" s="30"/>
      <c r="B946" s="30" t="str">
        <f t="array" ref="B946">IF($A946="", "", LET(bbgm_stat, INDEX(Players!$A945:$P945, MATCH(B$2, Players!$A$1:$P$1, 0)), perc_75, VLOOKUP(B$2, Percentiles!$A$45:$I$59, 6, FALSE), perc_90, VLOOKUP(B$2, Percentiles!$A$45:$I$59, 7, FALSE), perc_95, VLOOKUP(B$2, Percentiles!$A$45:$I$59, 8, FALSE), perc_85, perc_75 + (perc_90 - perc_75) * (2/3), converted_stat, '2K_Ratings'!B946, IF(bbgm_stat &gt;= perc_95, converted_stat * 3, IF(bbgm_stat &gt;= perc_90, converted_stat * 2, IF(bbgm_stat &gt;= perc_85, converted_stat * 1.5, converted_stat)))))</f>
        <v/>
      </c>
      <c r="C946" s="30" t="str">
        <f t="array" ref="C946">IF($A946="", "", LET(bbgm_stat, INDEX(Players!$A945:$P945, MATCH(C$2, Players!$A$1:$P$1, 0)), perc_75, VLOOKUP(C$2, Percentiles!$A$45:$I$59, 6, FALSE), perc_90, VLOOKUP(C$2, Percentiles!$A$45:$I$59, 7, FALSE), perc_95, VLOOKUP(C$2, Percentiles!$A$45:$I$59, 8, FALSE), perc_85, perc_75 + (perc_90 - perc_75) * (2/3), converted_stat, '2K_Ratings'!C946, IF(bbgm_stat &gt;= perc_95, converted_stat * 3, IF(bbgm_stat &gt;= perc_90, converted_stat * 2, IF(bbgm_stat &gt;= perc_85, converted_stat * 1.5, converted_stat)))))</f>
        <v/>
      </c>
      <c r="D946" s="30" t="str">
        <f t="array" ref="D946">IF($A946="", "", LET(bbgm_stat, INDEX(Players!$A945:$P945, MATCH(D$2, Players!$A$1:$P$1, 0)), perc_75, VLOOKUP(D$2, Percentiles!$A$45:$I$59, 6, FALSE), perc_90, VLOOKUP(D$2, Percentiles!$A$45:$I$59, 7, FALSE), perc_95, VLOOKUP(D$2, Percentiles!$A$45:$I$59, 8, FALSE), perc_85, perc_75 + (perc_90 - perc_75) * (2/3), converted_stat, '2K_Ratings'!D946, IF(bbgm_stat &gt;= perc_95, converted_stat * 3, IF(bbgm_stat &gt;= perc_90, converted_stat * 2, IF(bbgm_stat &gt;= perc_85, converted_stat * 1.5, converted_stat)))))</f>
        <v/>
      </c>
      <c r="E946" s="30" t="str">
        <f t="array" ref="E946">IF($A946="", "", LET(bbgm_stat, INDEX(Players!$A945:$P945, MATCH(E$2, Players!$A$1:$P$1, 0)), perc_75, VLOOKUP(E$2, Percentiles!$A$45:$I$59, 6, FALSE), perc_90, VLOOKUP(E$2, Percentiles!$A$45:$I$59, 7, FALSE), perc_95, VLOOKUP(E$2, Percentiles!$A$45:$I$59, 8, FALSE), perc_85, perc_75 + (perc_90 - perc_75) * (2/3), converted_stat, '2K_Ratings'!E946, IF(bbgm_stat &gt;= perc_95, converted_stat * 3, IF(bbgm_stat &gt;= perc_90, converted_stat * 2, IF(bbgm_stat &gt;= perc_85, converted_stat * 1.5, converted_stat)))))</f>
        <v/>
      </c>
      <c r="F946" s="30" t="str">
        <f t="array" ref="F946">IF($A946="", "", LET(bbgm_stat, INDEX(Players!$A945:$P945, MATCH(F$2, Players!$A$1:$P$1, 0)), perc_75, VLOOKUP(F$2, Percentiles!$A$45:$I$59, 6, FALSE), perc_90, VLOOKUP(F$2, Percentiles!$A$45:$I$59, 7, FALSE), perc_95, VLOOKUP(F$2, Percentiles!$A$45:$I$59, 8, FALSE), perc_85, perc_75 + (perc_90 - perc_75) * (2/3), converted_stat, '2K_Ratings'!F946, IF(bbgm_stat &gt;= perc_95, converted_stat * 3, IF(bbgm_stat &gt;= perc_90, converted_stat * 2, IF(bbgm_stat &gt;= perc_85, converted_stat * 1.5, converted_stat)))))</f>
        <v/>
      </c>
      <c r="G946" s="30" t="str">
        <f t="array" ref="G946">IF($A946="", "", LET(bbgm_stat, INDEX(Players!$A945:$P945, MATCH(G$2, Players!$A$1:$P$1, 0)), perc_75, VLOOKUP(G$2, Percentiles!$A$45:$I$59, 6, FALSE), perc_90, VLOOKUP(G$2, Percentiles!$A$45:$I$59, 7, FALSE), perc_95, VLOOKUP(G$2, Percentiles!$A$45:$I$59, 8, FALSE), perc_85, perc_75 + (perc_90 - perc_75) * (2/3), converted_stat, '2K_Ratings'!G946, IF(bbgm_stat &gt;= perc_95, converted_stat * 3, IF(bbgm_stat &gt;= perc_90, converted_stat * 2, IF(bbgm_stat &gt;= perc_85, converted_stat * 1.5, converted_stat)))))</f>
        <v/>
      </c>
      <c r="H946" s="30" t="str">
        <f t="array" ref="H946">IF($A946="", "", LET(bbgm_stat, INDEX(Players!$A945:$P945, MATCH(H$2, Players!$A$1:$P$1, 0)), perc_75, VLOOKUP(H$2, Percentiles!$A$45:$I$59, 6, FALSE), perc_90, VLOOKUP(H$2, Percentiles!$A$45:$I$59, 7, FALSE), perc_95, VLOOKUP(H$2, Percentiles!$A$45:$I$59, 8, FALSE), perc_85, perc_75 + (perc_90 - perc_75) * (2/3), converted_stat, '2K_Ratings'!H946, IF(bbgm_stat &gt;= perc_95, converted_stat * 3, IF(bbgm_stat &gt;= perc_90, converted_stat * 2, IF(bbgm_stat &gt;= perc_85, converted_stat * 1.5, converted_stat)))))</f>
        <v/>
      </c>
      <c r="I946" s="30" t="str">
        <f t="array" ref="I946">IF($A946="", "", LET(bbgm_stat, INDEX(Players!$A945:$P945, MATCH(I$2, Players!$A$1:$P$1, 0)), perc_75, VLOOKUP(I$2, Percentiles!$A$45:$I$59, 6, FALSE), perc_90, VLOOKUP(I$2, Percentiles!$A$45:$I$59, 7, FALSE), perc_95, VLOOKUP(I$2, Percentiles!$A$45:$I$59, 8, FALSE), perc_85, perc_75 + (perc_90 - perc_75) * (2/3), converted_stat, '2K_Ratings'!I946, IF(bbgm_stat &gt;= perc_95, converted_stat * 3, IF(bbgm_stat &gt;= perc_90, converted_stat * 2, IF(bbgm_stat &gt;= perc_85, converted_stat * 1.5, converted_stat)))))</f>
        <v/>
      </c>
      <c r="J946" s="30" t="str">
        <f t="array" ref="J946">IF($A946="", "", LET(bbgm_stat, INDEX(Players!$A945:$P945, MATCH(J$2, Players!$A$1:$P$1, 0)), perc_75, VLOOKUP(J$2, Percentiles!$A$45:$I$59, 6, FALSE), perc_90, VLOOKUP(J$2, Percentiles!$A$45:$I$59, 7, FALSE), perc_95, VLOOKUP(J$2, Percentiles!$A$45:$I$59, 8, FALSE), perc_85, perc_75 + (perc_90 - perc_75) * (2/3), converted_stat, '2K_Ratings'!J946, IF(bbgm_stat &gt;= perc_95, converted_stat * 3, IF(bbgm_stat &gt;= perc_90, converted_stat * 2, IF(bbgm_stat &gt;= perc_85, converted_stat * 1.5, converted_stat)))))</f>
        <v/>
      </c>
      <c r="K946" s="30" t="str">
        <f t="array" ref="K946">IF($A946="", "", LET(bbgm_stat, INDEX(Players!$A945:$P945, MATCH(K$2, Players!$A$1:$P$1, 0)), perc_75, VLOOKUP(K$2, Percentiles!$A$45:$I$59, 6, FALSE), perc_90, VLOOKUP(K$2, Percentiles!$A$45:$I$59, 7, FALSE), perc_95, VLOOKUP(K$2, Percentiles!$A$45:$I$59, 8, FALSE), perc_85, perc_75 + (perc_90 - perc_75) * (2/3), converted_stat, '2K_Ratings'!K946, IF(bbgm_stat &gt;= perc_95, converted_stat * 3, IF(bbgm_stat &gt;= perc_90, converted_stat * 2, IF(bbgm_stat &gt;= perc_85, converted_stat * 1.5, converted_stat)))))</f>
        <v/>
      </c>
      <c r="L946" s="30" t="str">
        <f t="array" ref="L946">IF($A946="", "", LET(bbgm_stat, INDEX(Players!$A945:$P945, MATCH(L$2, Players!$A$1:$P$1, 0)), perc_75, VLOOKUP(L$2, Percentiles!$A$45:$I$59, 6, FALSE), perc_90, VLOOKUP(L$2, Percentiles!$A$45:$I$59, 7, FALSE), perc_95, VLOOKUP(L$2, Percentiles!$A$45:$I$59, 8, FALSE), perc_85, perc_75 + (perc_90 - perc_75) * (2/3), converted_stat, '2K_Ratings'!L946, IF(bbgm_stat &gt;= perc_95, converted_stat * 3, IF(bbgm_stat &gt;= perc_90, converted_stat * 2, IF(bbgm_stat &gt;= perc_85, converted_stat * 1.5, converted_stat)))))</f>
        <v/>
      </c>
      <c r="M946" s="30" t="str">
        <f t="array" ref="M946">IF($A946="", "", LET(bbgm_stat, INDEX(Players!$A945:$P945, MATCH(M$2, Players!$A$1:$P$1, 0)), perc_75, VLOOKUP(M$2, Percentiles!$A$45:$I$59, 6, FALSE), perc_90, VLOOKUP(M$2, Percentiles!$A$45:$I$59, 7, FALSE), perc_95, VLOOKUP(M$2, Percentiles!$A$45:$I$59, 8, FALSE), perc_85, perc_75 + (perc_90 - perc_75) * (2/3), converted_stat, '2K_Ratings'!M946, IF(bbgm_stat &gt;= perc_95, converted_stat * 3, IF(bbgm_stat &gt;= perc_90, converted_stat * 2, IF(bbgm_stat &gt;= perc_85, converted_stat * 1.5, converted_stat)))))</f>
        <v/>
      </c>
      <c r="N946" s="30" t="str">
        <f t="array" ref="N946">IF($A946="", "", LET(bbgm_stat, INDEX(Players!$A945:$P945, MATCH(N$2, Players!$A$1:$P$1, 0)), perc_75, VLOOKUP(N$2, Percentiles!$A$45:$I$59, 6, FALSE), perc_90, VLOOKUP(N$2, Percentiles!$A$45:$I$59, 7, FALSE), perc_95, VLOOKUP(N$2, Percentiles!$A$45:$I$59, 8, FALSE), perc_85, perc_75 + (perc_90 - perc_75) * (2/3), converted_stat, '2K_Ratings'!N946, IF(bbgm_stat &gt;= perc_95, converted_stat * 3, IF(bbgm_stat &gt;= perc_90, converted_stat * 2, IF(bbgm_stat &gt;= perc_85, converted_stat * 1.5, converted_stat)))))</f>
        <v/>
      </c>
      <c r="O946" s="30" t="str">
        <f t="array" ref="O946">IF($A946="", "", LET(bbgm_stat, INDEX(Players!$A945:$P945, MATCH(O$2, Players!$A$1:$P$1, 0)), perc_75, VLOOKUP(O$2, Percentiles!$A$45:$I$59, 6, FALSE), perc_90, VLOOKUP(O$2, Percentiles!$A$45:$I$59, 7, FALSE), perc_95, VLOOKUP(O$2, Percentiles!$A$45:$I$59, 8, FALSE), perc_85, perc_75 + (perc_90 - perc_75) * (2/3), converted_stat, '2K_Ratings'!O946, IF(bbgm_stat &gt;= perc_95, converted_stat * 3, IF(bbgm_stat &gt;= perc_90, converted_stat * 2, IF(bbgm_stat &gt;= perc_85, converted_stat * 1.5, converted_stat)))))</f>
        <v/>
      </c>
      <c r="P946" s="30" t="str">
        <f t="array" ref="P946">IF($A946="", "", LET(bbgm_stat, INDEX(Players!$A945:$P945, MATCH(P$2, Players!$A$1:$P$1, 0)), perc_75, VLOOKUP(P$2, Percentiles!$A$45:$I$59, 6, FALSE), perc_90, VLOOKUP(P$2, Percentiles!$A$45:$I$59, 7, FALSE), perc_95, VLOOKUP(P$2, Percentiles!$A$45:$I$59, 8, FALSE), perc_85, perc_75 + (perc_90 - perc_75) * (2/3), converted_stat, '2K_Ratings'!P946, IF(bbgm_stat &gt;= perc_95, converted_stat * 3, IF(bbgm_stat &gt;= perc_90, converted_stat * 2, IF(bbgm_stat &gt;= perc_85, converted_stat * 1.5, converted_stat)))))</f>
        <v/>
      </c>
      <c r="Q946" s="30" t="str">
        <f t="array" ref="Q946">IF($A946="", "", LET(bbgm_stat, INDEX(Players!$A945:$P945, MATCH(Q$2, Players!$A$1:$P$1, 0)), perc_75, VLOOKUP(Q$2, Percentiles!$A$45:$I$59, 6, FALSE), perc_90, VLOOKUP(Q$2, Percentiles!$A$45:$I$59, 7, FALSE), perc_95, VLOOKUP(Q$2, Percentiles!$A$45:$I$59, 8, FALSE), perc_85, perc_75 + (perc_90 - perc_75) * (2/3), converted_stat, '2K_Ratings'!Q946, IF(bbgm_stat &gt;= perc_95, converted_stat * 3, IF(bbgm_stat &gt;= perc_90, converted_stat * 2, IF(bbgm_stat &gt;= perc_85, converted_stat * 1.5, converted_stat)))))</f>
        <v/>
      </c>
      <c r="R946" s="30" t="str">
        <f t="array" ref="R946">IF($A946="", "", LET(bbgm_stat, INDEX(Players!$A945:$P945, MATCH(R$2, Players!$A$1:$P$1, 0)), perc_75, VLOOKUP(R$2, Percentiles!$A$45:$I$59, 6, FALSE), perc_90, VLOOKUP(R$2, Percentiles!$A$45:$I$59, 7, FALSE), perc_95, VLOOKUP(R$2, Percentiles!$A$45:$I$59, 8, FALSE), perc_85, perc_75 + (perc_90 - perc_75) * (2/3), converted_stat, '2K_Ratings'!R946, IF(bbgm_stat &gt;= perc_95, converted_stat * 3, IF(bbgm_stat &gt;= perc_90, converted_stat * 2, IF(bbgm_stat &gt;= perc_85, converted_stat * 1.5, converted_stat)))))</f>
        <v/>
      </c>
      <c r="S946" s="30" t="str">
        <f t="array" ref="S946">IF($A946="", "", LET(bbgm_stat, INDEX(Players!$A945:$P945, MATCH(S$2, Players!$A$1:$P$1, 0)), perc_75, VLOOKUP(S$2, Percentiles!$A$45:$I$59, 6, FALSE), perc_90, VLOOKUP(S$2, Percentiles!$A$45:$I$59, 7, FALSE), perc_95, VLOOKUP(S$2, Percentiles!$A$45:$I$59, 8, FALSE), perc_85, perc_75 + (perc_90 - perc_75) * (2/3), converted_stat, '2K_Ratings'!S946, IF(bbgm_stat &gt;= perc_95, converted_stat * 3, IF(bbgm_stat &gt;= perc_90, converted_stat * 2, IF(bbgm_stat &gt;= perc_85, converted_stat * 1.5, converted_stat)))))</f>
        <v/>
      </c>
      <c r="T946" s="30" t="str">
        <f t="array" ref="T946">IF($A946="", "", LET(bbgm_stat, INDEX(Players!$A945:$P945, MATCH(T$2, Players!$A$1:$P$1, 0)), perc_75, VLOOKUP(T$2, Percentiles!$A$45:$I$59, 6, FALSE), perc_90, VLOOKUP(T$2, Percentiles!$A$45:$I$59, 7, FALSE), perc_95, VLOOKUP(T$2, Percentiles!$A$45:$I$59, 8, FALSE), perc_85, perc_75 + (perc_90 - perc_75) * (2/3), converted_stat, '2K_Ratings'!T946, IF(bbgm_stat &gt;= perc_95, converted_stat * 3, IF(bbgm_stat &gt;= perc_90, converted_stat * 2, IF(bbgm_stat &gt;= perc_85, converted_stat * 1.5, converted_stat)))))</f>
        <v/>
      </c>
      <c r="U946" s="30" t="str">
        <f t="array" ref="U946">IF($A946="", "", LET(bbgm_stat, INDEX(Players!$A945:$P945, MATCH(U$2, Players!$A$1:$P$1, 0)), perc_75, VLOOKUP(U$2, Percentiles!$A$45:$I$59, 6, FALSE), perc_90, VLOOKUP(U$2, Percentiles!$A$45:$I$59, 7, FALSE), perc_95, VLOOKUP(U$2, Percentiles!$A$45:$I$59, 8, FALSE), perc_85, perc_75 + (perc_90 - perc_75) * (2/3), converted_stat, '2K_Ratings'!U946, IF(bbgm_stat &gt;= perc_95, converted_stat * 3, IF(bbgm_stat &gt;= perc_90, converted_stat * 2, IF(bbgm_stat &gt;= perc_85, converted_stat * 1.5, converted_stat)))))</f>
        <v/>
      </c>
      <c r="V946" s="30" t="str">
        <f t="array" ref="V946">IF($A946="", "", LET(bbgm_stat, INDEX(Players!$A945:$P945, MATCH(V$2, Players!$A$1:$P$1, 0)), perc_75, VLOOKUP(V$2, Percentiles!$A$45:$I$59, 6, FALSE), perc_90, VLOOKUP(V$2, Percentiles!$A$45:$I$59, 7, FALSE), perc_95, VLOOKUP(V$2, Percentiles!$A$45:$I$59, 8, FALSE), perc_85, perc_75 + (perc_90 - perc_75) * (2/3), converted_stat, '2K_Ratings'!V946, IF(bbgm_stat &gt;= perc_95, converted_stat * 3, IF(bbgm_stat &gt;= perc_90, converted_stat * 2, IF(bbgm_stat &gt;= perc_85, converted_stat * 1.5, converted_stat)))))</f>
        <v/>
      </c>
      <c r="W946" s="30" t="str">
        <f t="array" ref="W946">IF($A946="", "", LET(bbgm_stat, INDEX(Players!$A945:$P945, MATCH(W$2, Players!$A$1:$P$1, 0)), perc_75, VLOOKUP(W$2, Percentiles!$A$45:$I$59, 6, FALSE), perc_90, VLOOKUP(W$2, Percentiles!$A$45:$I$59, 7, FALSE), perc_95, VLOOKUP(W$2, Percentiles!$A$45:$I$59, 8, FALSE), perc_85, perc_75 + (perc_90 - perc_75) * (2/3), converted_stat, '2K_Ratings'!W946, IF(bbgm_stat &gt;= perc_95, converted_stat * 3, IF(bbgm_stat &gt;= perc_90, converted_stat * 2, IF(bbgm_stat &gt;= perc_85, converted_stat * 1.5, converted_stat)))))</f>
        <v/>
      </c>
    </row>
    <row r="947">
      <c r="A947" s="30"/>
      <c r="B947" s="30" t="str">
        <f t="array" ref="B947">IF($A947="", "", LET(bbgm_stat, INDEX(Players!$A946:$P946, MATCH(B$2, Players!$A$1:$P$1, 0)), perc_75, VLOOKUP(B$2, Percentiles!$A$45:$I$59, 6, FALSE), perc_90, VLOOKUP(B$2, Percentiles!$A$45:$I$59, 7, FALSE), perc_95, VLOOKUP(B$2, Percentiles!$A$45:$I$59, 8, FALSE), perc_85, perc_75 + (perc_90 - perc_75) * (2/3), converted_stat, '2K_Ratings'!B947, IF(bbgm_stat &gt;= perc_95, converted_stat * 3, IF(bbgm_stat &gt;= perc_90, converted_stat * 2, IF(bbgm_stat &gt;= perc_85, converted_stat * 1.5, converted_stat)))))</f>
        <v/>
      </c>
      <c r="C947" s="30" t="str">
        <f t="array" ref="C947">IF($A947="", "", LET(bbgm_stat, INDEX(Players!$A946:$P946, MATCH(C$2, Players!$A$1:$P$1, 0)), perc_75, VLOOKUP(C$2, Percentiles!$A$45:$I$59, 6, FALSE), perc_90, VLOOKUP(C$2, Percentiles!$A$45:$I$59, 7, FALSE), perc_95, VLOOKUP(C$2, Percentiles!$A$45:$I$59, 8, FALSE), perc_85, perc_75 + (perc_90 - perc_75) * (2/3), converted_stat, '2K_Ratings'!C947, IF(bbgm_stat &gt;= perc_95, converted_stat * 3, IF(bbgm_stat &gt;= perc_90, converted_stat * 2, IF(bbgm_stat &gt;= perc_85, converted_stat * 1.5, converted_stat)))))</f>
        <v/>
      </c>
      <c r="D947" s="30" t="str">
        <f t="array" ref="D947">IF($A947="", "", LET(bbgm_stat, INDEX(Players!$A946:$P946, MATCH(D$2, Players!$A$1:$P$1, 0)), perc_75, VLOOKUP(D$2, Percentiles!$A$45:$I$59, 6, FALSE), perc_90, VLOOKUP(D$2, Percentiles!$A$45:$I$59, 7, FALSE), perc_95, VLOOKUP(D$2, Percentiles!$A$45:$I$59, 8, FALSE), perc_85, perc_75 + (perc_90 - perc_75) * (2/3), converted_stat, '2K_Ratings'!D947, IF(bbgm_stat &gt;= perc_95, converted_stat * 3, IF(bbgm_stat &gt;= perc_90, converted_stat * 2, IF(bbgm_stat &gt;= perc_85, converted_stat * 1.5, converted_stat)))))</f>
        <v/>
      </c>
      <c r="E947" s="30" t="str">
        <f t="array" ref="E947">IF($A947="", "", LET(bbgm_stat, INDEX(Players!$A946:$P946, MATCH(E$2, Players!$A$1:$P$1, 0)), perc_75, VLOOKUP(E$2, Percentiles!$A$45:$I$59, 6, FALSE), perc_90, VLOOKUP(E$2, Percentiles!$A$45:$I$59, 7, FALSE), perc_95, VLOOKUP(E$2, Percentiles!$A$45:$I$59, 8, FALSE), perc_85, perc_75 + (perc_90 - perc_75) * (2/3), converted_stat, '2K_Ratings'!E947, IF(bbgm_stat &gt;= perc_95, converted_stat * 3, IF(bbgm_stat &gt;= perc_90, converted_stat * 2, IF(bbgm_stat &gt;= perc_85, converted_stat * 1.5, converted_stat)))))</f>
        <v/>
      </c>
      <c r="F947" s="30" t="str">
        <f t="array" ref="F947">IF($A947="", "", LET(bbgm_stat, INDEX(Players!$A946:$P946, MATCH(F$2, Players!$A$1:$P$1, 0)), perc_75, VLOOKUP(F$2, Percentiles!$A$45:$I$59, 6, FALSE), perc_90, VLOOKUP(F$2, Percentiles!$A$45:$I$59, 7, FALSE), perc_95, VLOOKUP(F$2, Percentiles!$A$45:$I$59, 8, FALSE), perc_85, perc_75 + (perc_90 - perc_75) * (2/3), converted_stat, '2K_Ratings'!F947, IF(bbgm_stat &gt;= perc_95, converted_stat * 3, IF(bbgm_stat &gt;= perc_90, converted_stat * 2, IF(bbgm_stat &gt;= perc_85, converted_stat * 1.5, converted_stat)))))</f>
        <v/>
      </c>
      <c r="G947" s="30" t="str">
        <f t="array" ref="G947">IF($A947="", "", LET(bbgm_stat, INDEX(Players!$A946:$P946, MATCH(G$2, Players!$A$1:$P$1, 0)), perc_75, VLOOKUP(G$2, Percentiles!$A$45:$I$59, 6, FALSE), perc_90, VLOOKUP(G$2, Percentiles!$A$45:$I$59, 7, FALSE), perc_95, VLOOKUP(G$2, Percentiles!$A$45:$I$59, 8, FALSE), perc_85, perc_75 + (perc_90 - perc_75) * (2/3), converted_stat, '2K_Ratings'!G947, IF(bbgm_stat &gt;= perc_95, converted_stat * 3, IF(bbgm_stat &gt;= perc_90, converted_stat * 2, IF(bbgm_stat &gt;= perc_85, converted_stat * 1.5, converted_stat)))))</f>
        <v/>
      </c>
      <c r="H947" s="30" t="str">
        <f t="array" ref="H947">IF($A947="", "", LET(bbgm_stat, INDEX(Players!$A946:$P946, MATCH(H$2, Players!$A$1:$P$1, 0)), perc_75, VLOOKUP(H$2, Percentiles!$A$45:$I$59, 6, FALSE), perc_90, VLOOKUP(H$2, Percentiles!$A$45:$I$59, 7, FALSE), perc_95, VLOOKUP(H$2, Percentiles!$A$45:$I$59, 8, FALSE), perc_85, perc_75 + (perc_90 - perc_75) * (2/3), converted_stat, '2K_Ratings'!H947, IF(bbgm_stat &gt;= perc_95, converted_stat * 3, IF(bbgm_stat &gt;= perc_90, converted_stat * 2, IF(bbgm_stat &gt;= perc_85, converted_stat * 1.5, converted_stat)))))</f>
        <v/>
      </c>
      <c r="I947" s="30" t="str">
        <f t="array" ref="I947">IF($A947="", "", LET(bbgm_stat, INDEX(Players!$A946:$P946, MATCH(I$2, Players!$A$1:$P$1, 0)), perc_75, VLOOKUP(I$2, Percentiles!$A$45:$I$59, 6, FALSE), perc_90, VLOOKUP(I$2, Percentiles!$A$45:$I$59, 7, FALSE), perc_95, VLOOKUP(I$2, Percentiles!$A$45:$I$59, 8, FALSE), perc_85, perc_75 + (perc_90 - perc_75) * (2/3), converted_stat, '2K_Ratings'!I947, IF(bbgm_stat &gt;= perc_95, converted_stat * 3, IF(bbgm_stat &gt;= perc_90, converted_stat * 2, IF(bbgm_stat &gt;= perc_85, converted_stat * 1.5, converted_stat)))))</f>
        <v/>
      </c>
      <c r="J947" s="30" t="str">
        <f t="array" ref="J947">IF($A947="", "", LET(bbgm_stat, INDEX(Players!$A946:$P946, MATCH(J$2, Players!$A$1:$P$1, 0)), perc_75, VLOOKUP(J$2, Percentiles!$A$45:$I$59, 6, FALSE), perc_90, VLOOKUP(J$2, Percentiles!$A$45:$I$59, 7, FALSE), perc_95, VLOOKUP(J$2, Percentiles!$A$45:$I$59, 8, FALSE), perc_85, perc_75 + (perc_90 - perc_75) * (2/3), converted_stat, '2K_Ratings'!J947, IF(bbgm_stat &gt;= perc_95, converted_stat * 3, IF(bbgm_stat &gt;= perc_90, converted_stat * 2, IF(bbgm_stat &gt;= perc_85, converted_stat * 1.5, converted_stat)))))</f>
        <v/>
      </c>
      <c r="K947" s="30" t="str">
        <f t="array" ref="K947">IF($A947="", "", LET(bbgm_stat, INDEX(Players!$A946:$P946, MATCH(K$2, Players!$A$1:$P$1, 0)), perc_75, VLOOKUP(K$2, Percentiles!$A$45:$I$59, 6, FALSE), perc_90, VLOOKUP(K$2, Percentiles!$A$45:$I$59, 7, FALSE), perc_95, VLOOKUP(K$2, Percentiles!$A$45:$I$59, 8, FALSE), perc_85, perc_75 + (perc_90 - perc_75) * (2/3), converted_stat, '2K_Ratings'!K947, IF(bbgm_stat &gt;= perc_95, converted_stat * 3, IF(bbgm_stat &gt;= perc_90, converted_stat * 2, IF(bbgm_stat &gt;= perc_85, converted_stat * 1.5, converted_stat)))))</f>
        <v/>
      </c>
      <c r="L947" s="30" t="str">
        <f t="array" ref="L947">IF($A947="", "", LET(bbgm_stat, INDEX(Players!$A946:$P946, MATCH(L$2, Players!$A$1:$P$1, 0)), perc_75, VLOOKUP(L$2, Percentiles!$A$45:$I$59, 6, FALSE), perc_90, VLOOKUP(L$2, Percentiles!$A$45:$I$59, 7, FALSE), perc_95, VLOOKUP(L$2, Percentiles!$A$45:$I$59, 8, FALSE), perc_85, perc_75 + (perc_90 - perc_75) * (2/3), converted_stat, '2K_Ratings'!L947, IF(bbgm_stat &gt;= perc_95, converted_stat * 3, IF(bbgm_stat &gt;= perc_90, converted_stat * 2, IF(bbgm_stat &gt;= perc_85, converted_stat * 1.5, converted_stat)))))</f>
        <v/>
      </c>
      <c r="M947" s="30" t="str">
        <f t="array" ref="M947">IF($A947="", "", LET(bbgm_stat, INDEX(Players!$A946:$P946, MATCH(M$2, Players!$A$1:$P$1, 0)), perc_75, VLOOKUP(M$2, Percentiles!$A$45:$I$59, 6, FALSE), perc_90, VLOOKUP(M$2, Percentiles!$A$45:$I$59, 7, FALSE), perc_95, VLOOKUP(M$2, Percentiles!$A$45:$I$59, 8, FALSE), perc_85, perc_75 + (perc_90 - perc_75) * (2/3), converted_stat, '2K_Ratings'!M947, IF(bbgm_stat &gt;= perc_95, converted_stat * 3, IF(bbgm_stat &gt;= perc_90, converted_stat * 2, IF(bbgm_stat &gt;= perc_85, converted_stat * 1.5, converted_stat)))))</f>
        <v/>
      </c>
      <c r="N947" s="30" t="str">
        <f t="array" ref="N947">IF($A947="", "", LET(bbgm_stat, INDEX(Players!$A946:$P946, MATCH(N$2, Players!$A$1:$P$1, 0)), perc_75, VLOOKUP(N$2, Percentiles!$A$45:$I$59, 6, FALSE), perc_90, VLOOKUP(N$2, Percentiles!$A$45:$I$59, 7, FALSE), perc_95, VLOOKUP(N$2, Percentiles!$A$45:$I$59, 8, FALSE), perc_85, perc_75 + (perc_90 - perc_75) * (2/3), converted_stat, '2K_Ratings'!N947, IF(bbgm_stat &gt;= perc_95, converted_stat * 3, IF(bbgm_stat &gt;= perc_90, converted_stat * 2, IF(bbgm_stat &gt;= perc_85, converted_stat * 1.5, converted_stat)))))</f>
        <v/>
      </c>
      <c r="O947" s="30" t="str">
        <f t="array" ref="O947">IF($A947="", "", LET(bbgm_stat, INDEX(Players!$A946:$P946, MATCH(O$2, Players!$A$1:$P$1, 0)), perc_75, VLOOKUP(O$2, Percentiles!$A$45:$I$59, 6, FALSE), perc_90, VLOOKUP(O$2, Percentiles!$A$45:$I$59, 7, FALSE), perc_95, VLOOKUP(O$2, Percentiles!$A$45:$I$59, 8, FALSE), perc_85, perc_75 + (perc_90 - perc_75) * (2/3), converted_stat, '2K_Ratings'!O947, IF(bbgm_stat &gt;= perc_95, converted_stat * 3, IF(bbgm_stat &gt;= perc_90, converted_stat * 2, IF(bbgm_stat &gt;= perc_85, converted_stat * 1.5, converted_stat)))))</f>
        <v/>
      </c>
      <c r="P947" s="30" t="str">
        <f t="array" ref="P947">IF($A947="", "", LET(bbgm_stat, INDEX(Players!$A946:$P946, MATCH(P$2, Players!$A$1:$P$1, 0)), perc_75, VLOOKUP(P$2, Percentiles!$A$45:$I$59, 6, FALSE), perc_90, VLOOKUP(P$2, Percentiles!$A$45:$I$59, 7, FALSE), perc_95, VLOOKUP(P$2, Percentiles!$A$45:$I$59, 8, FALSE), perc_85, perc_75 + (perc_90 - perc_75) * (2/3), converted_stat, '2K_Ratings'!P947, IF(bbgm_stat &gt;= perc_95, converted_stat * 3, IF(bbgm_stat &gt;= perc_90, converted_stat * 2, IF(bbgm_stat &gt;= perc_85, converted_stat * 1.5, converted_stat)))))</f>
        <v/>
      </c>
      <c r="Q947" s="30" t="str">
        <f t="array" ref="Q947">IF($A947="", "", LET(bbgm_stat, INDEX(Players!$A946:$P946, MATCH(Q$2, Players!$A$1:$P$1, 0)), perc_75, VLOOKUP(Q$2, Percentiles!$A$45:$I$59, 6, FALSE), perc_90, VLOOKUP(Q$2, Percentiles!$A$45:$I$59, 7, FALSE), perc_95, VLOOKUP(Q$2, Percentiles!$A$45:$I$59, 8, FALSE), perc_85, perc_75 + (perc_90 - perc_75) * (2/3), converted_stat, '2K_Ratings'!Q947, IF(bbgm_stat &gt;= perc_95, converted_stat * 3, IF(bbgm_stat &gt;= perc_90, converted_stat * 2, IF(bbgm_stat &gt;= perc_85, converted_stat * 1.5, converted_stat)))))</f>
        <v/>
      </c>
      <c r="R947" s="30" t="str">
        <f t="array" ref="R947">IF($A947="", "", LET(bbgm_stat, INDEX(Players!$A946:$P946, MATCH(R$2, Players!$A$1:$P$1, 0)), perc_75, VLOOKUP(R$2, Percentiles!$A$45:$I$59, 6, FALSE), perc_90, VLOOKUP(R$2, Percentiles!$A$45:$I$59, 7, FALSE), perc_95, VLOOKUP(R$2, Percentiles!$A$45:$I$59, 8, FALSE), perc_85, perc_75 + (perc_90 - perc_75) * (2/3), converted_stat, '2K_Ratings'!R947, IF(bbgm_stat &gt;= perc_95, converted_stat * 3, IF(bbgm_stat &gt;= perc_90, converted_stat * 2, IF(bbgm_stat &gt;= perc_85, converted_stat * 1.5, converted_stat)))))</f>
        <v/>
      </c>
      <c r="S947" s="30" t="str">
        <f t="array" ref="S947">IF($A947="", "", LET(bbgm_stat, INDEX(Players!$A946:$P946, MATCH(S$2, Players!$A$1:$P$1, 0)), perc_75, VLOOKUP(S$2, Percentiles!$A$45:$I$59, 6, FALSE), perc_90, VLOOKUP(S$2, Percentiles!$A$45:$I$59, 7, FALSE), perc_95, VLOOKUP(S$2, Percentiles!$A$45:$I$59, 8, FALSE), perc_85, perc_75 + (perc_90 - perc_75) * (2/3), converted_stat, '2K_Ratings'!S947, IF(bbgm_stat &gt;= perc_95, converted_stat * 3, IF(bbgm_stat &gt;= perc_90, converted_stat * 2, IF(bbgm_stat &gt;= perc_85, converted_stat * 1.5, converted_stat)))))</f>
        <v/>
      </c>
      <c r="T947" s="30" t="str">
        <f t="array" ref="T947">IF($A947="", "", LET(bbgm_stat, INDEX(Players!$A946:$P946, MATCH(T$2, Players!$A$1:$P$1, 0)), perc_75, VLOOKUP(T$2, Percentiles!$A$45:$I$59, 6, FALSE), perc_90, VLOOKUP(T$2, Percentiles!$A$45:$I$59, 7, FALSE), perc_95, VLOOKUP(T$2, Percentiles!$A$45:$I$59, 8, FALSE), perc_85, perc_75 + (perc_90 - perc_75) * (2/3), converted_stat, '2K_Ratings'!T947, IF(bbgm_stat &gt;= perc_95, converted_stat * 3, IF(bbgm_stat &gt;= perc_90, converted_stat * 2, IF(bbgm_stat &gt;= perc_85, converted_stat * 1.5, converted_stat)))))</f>
        <v/>
      </c>
      <c r="U947" s="30" t="str">
        <f t="array" ref="U947">IF($A947="", "", LET(bbgm_stat, INDEX(Players!$A946:$P946, MATCH(U$2, Players!$A$1:$P$1, 0)), perc_75, VLOOKUP(U$2, Percentiles!$A$45:$I$59, 6, FALSE), perc_90, VLOOKUP(U$2, Percentiles!$A$45:$I$59, 7, FALSE), perc_95, VLOOKUP(U$2, Percentiles!$A$45:$I$59, 8, FALSE), perc_85, perc_75 + (perc_90 - perc_75) * (2/3), converted_stat, '2K_Ratings'!U947, IF(bbgm_stat &gt;= perc_95, converted_stat * 3, IF(bbgm_stat &gt;= perc_90, converted_stat * 2, IF(bbgm_stat &gt;= perc_85, converted_stat * 1.5, converted_stat)))))</f>
        <v/>
      </c>
      <c r="V947" s="30" t="str">
        <f t="array" ref="V947">IF($A947="", "", LET(bbgm_stat, INDEX(Players!$A946:$P946, MATCH(V$2, Players!$A$1:$P$1, 0)), perc_75, VLOOKUP(V$2, Percentiles!$A$45:$I$59, 6, FALSE), perc_90, VLOOKUP(V$2, Percentiles!$A$45:$I$59, 7, FALSE), perc_95, VLOOKUP(V$2, Percentiles!$A$45:$I$59, 8, FALSE), perc_85, perc_75 + (perc_90 - perc_75) * (2/3), converted_stat, '2K_Ratings'!V947, IF(bbgm_stat &gt;= perc_95, converted_stat * 3, IF(bbgm_stat &gt;= perc_90, converted_stat * 2, IF(bbgm_stat &gt;= perc_85, converted_stat * 1.5, converted_stat)))))</f>
        <v/>
      </c>
      <c r="W947" s="30" t="str">
        <f t="array" ref="W947">IF($A947="", "", LET(bbgm_stat, INDEX(Players!$A946:$P946, MATCH(W$2, Players!$A$1:$P$1, 0)), perc_75, VLOOKUP(W$2, Percentiles!$A$45:$I$59, 6, FALSE), perc_90, VLOOKUP(W$2, Percentiles!$A$45:$I$59, 7, FALSE), perc_95, VLOOKUP(W$2, Percentiles!$A$45:$I$59, 8, FALSE), perc_85, perc_75 + (perc_90 - perc_75) * (2/3), converted_stat, '2K_Ratings'!W947, IF(bbgm_stat &gt;= perc_95, converted_stat * 3, IF(bbgm_stat &gt;= perc_90, converted_stat * 2, IF(bbgm_stat &gt;= perc_85, converted_stat * 1.5, converted_stat)))))</f>
        <v/>
      </c>
    </row>
    <row r="948">
      <c r="A948" s="30"/>
      <c r="B948" s="30" t="str">
        <f t="array" ref="B948">IF($A948="", "", LET(bbgm_stat, INDEX(Players!$A947:$P947, MATCH(B$2, Players!$A$1:$P$1, 0)), perc_75, VLOOKUP(B$2, Percentiles!$A$45:$I$59, 6, FALSE), perc_90, VLOOKUP(B$2, Percentiles!$A$45:$I$59, 7, FALSE), perc_95, VLOOKUP(B$2, Percentiles!$A$45:$I$59, 8, FALSE), perc_85, perc_75 + (perc_90 - perc_75) * (2/3), converted_stat, '2K_Ratings'!B948, IF(bbgm_stat &gt;= perc_95, converted_stat * 3, IF(bbgm_stat &gt;= perc_90, converted_stat * 2, IF(bbgm_stat &gt;= perc_85, converted_stat * 1.5, converted_stat)))))</f>
        <v/>
      </c>
      <c r="C948" s="30" t="str">
        <f t="array" ref="C948">IF($A948="", "", LET(bbgm_stat, INDEX(Players!$A947:$P947, MATCH(C$2, Players!$A$1:$P$1, 0)), perc_75, VLOOKUP(C$2, Percentiles!$A$45:$I$59, 6, FALSE), perc_90, VLOOKUP(C$2, Percentiles!$A$45:$I$59, 7, FALSE), perc_95, VLOOKUP(C$2, Percentiles!$A$45:$I$59, 8, FALSE), perc_85, perc_75 + (perc_90 - perc_75) * (2/3), converted_stat, '2K_Ratings'!C948, IF(bbgm_stat &gt;= perc_95, converted_stat * 3, IF(bbgm_stat &gt;= perc_90, converted_stat * 2, IF(bbgm_stat &gt;= perc_85, converted_stat * 1.5, converted_stat)))))</f>
        <v/>
      </c>
      <c r="D948" s="30" t="str">
        <f t="array" ref="D948">IF($A948="", "", LET(bbgm_stat, INDEX(Players!$A947:$P947, MATCH(D$2, Players!$A$1:$P$1, 0)), perc_75, VLOOKUP(D$2, Percentiles!$A$45:$I$59, 6, FALSE), perc_90, VLOOKUP(D$2, Percentiles!$A$45:$I$59, 7, FALSE), perc_95, VLOOKUP(D$2, Percentiles!$A$45:$I$59, 8, FALSE), perc_85, perc_75 + (perc_90 - perc_75) * (2/3), converted_stat, '2K_Ratings'!D948, IF(bbgm_stat &gt;= perc_95, converted_stat * 3, IF(bbgm_stat &gt;= perc_90, converted_stat * 2, IF(bbgm_stat &gt;= perc_85, converted_stat * 1.5, converted_stat)))))</f>
        <v/>
      </c>
      <c r="E948" s="30" t="str">
        <f t="array" ref="E948">IF($A948="", "", LET(bbgm_stat, INDEX(Players!$A947:$P947, MATCH(E$2, Players!$A$1:$P$1, 0)), perc_75, VLOOKUP(E$2, Percentiles!$A$45:$I$59, 6, FALSE), perc_90, VLOOKUP(E$2, Percentiles!$A$45:$I$59, 7, FALSE), perc_95, VLOOKUP(E$2, Percentiles!$A$45:$I$59, 8, FALSE), perc_85, perc_75 + (perc_90 - perc_75) * (2/3), converted_stat, '2K_Ratings'!E948, IF(bbgm_stat &gt;= perc_95, converted_stat * 3, IF(bbgm_stat &gt;= perc_90, converted_stat * 2, IF(bbgm_stat &gt;= perc_85, converted_stat * 1.5, converted_stat)))))</f>
        <v/>
      </c>
      <c r="F948" s="30" t="str">
        <f t="array" ref="F948">IF($A948="", "", LET(bbgm_stat, INDEX(Players!$A947:$P947, MATCH(F$2, Players!$A$1:$P$1, 0)), perc_75, VLOOKUP(F$2, Percentiles!$A$45:$I$59, 6, FALSE), perc_90, VLOOKUP(F$2, Percentiles!$A$45:$I$59, 7, FALSE), perc_95, VLOOKUP(F$2, Percentiles!$A$45:$I$59, 8, FALSE), perc_85, perc_75 + (perc_90 - perc_75) * (2/3), converted_stat, '2K_Ratings'!F948, IF(bbgm_stat &gt;= perc_95, converted_stat * 3, IF(bbgm_stat &gt;= perc_90, converted_stat * 2, IF(bbgm_stat &gt;= perc_85, converted_stat * 1.5, converted_stat)))))</f>
        <v/>
      </c>
      <c r="G948" s="30" t="str">
        <f t="array" ref="G948">IF($A948="", "", LET(bbgm_stat, INDEX(Players!$A947:$P947, MATCH(G$2, Players!$A$1:$P$1, 0)), perc_75, VLOOKUP(G$2, Percentiles!$A$45:$I$59, 6, FALSE), perc_90, VLOOKUP(G$2, Percentiles!$A$45:$I$59, 7, FALSE), perc_95, VLOOKUP(G$2, Percentiles!$A$45:$I$59, 8, FALSE), perc_85, perc_75 + (perc_90 - perc_75) * (2/3), converted_stat, '2K_Ratings'!G948, IF(bbgm_stat &gt;= perc_95, converted_stat * 3, IF(bbgm_stat &gt;= perc_90, converted_stat * 2, IF(bbgm_stat &gt;= perc_85, converted_stat * 1.5, converted_stat)))))</f>
        <v/>
      </c>
      <c r="H948" s="30" t="str">
        <f t="array" ref="H948">IF($A948="", "", LET(bbgm_stat, INDEX(Players!$A947:$P947, MATCH(H$2, Players!$A$1:$P$1, 0)), perc_75, VLOOKUP(H$2, Percentiles!$A$45:$I$59, 6, FALSE), perc_90, VLOOKUP(H$2, Percentiles!$A$45:$I$59, 7, FALSE), perc_95, VLOOKUP(H$2, Percentiles!$A$45:$I$59, 8, FALSE), perc_85, perc_75 + (perc_90 - perc_75) * (2/3), converted_stat, '2K_Ratings'!H948, IF(bbgm_stat &gt;= perc_95, converted_stat * 3, IF(bbgm_stat &gt;= perc_90, converted_stat * 2, IF(bbgm_stat &gt;= perc_85, converted_stat * 1.5, converted_stat)))))</f>
        <v/>
      </c>
      <c r="I948" s="30" t="str">
        <f t="array" ref="I948">IF($A948="", "", LET(bbgm_stat, INDEX(Players!$A947:$P947, MATCH(I$2, Players!$A$1:$P$1, 0)), perc_75, VLOOKUP(I$2, Percentiles!$A$45:$I$59, 6, FALSE), perc_90, VLOOKUP(I$2, Percentiles!$A$45:$I$59, 7, FALSE), perc_95, VLOOKUP(I$2, Percentiles!$A$45:$I$59, 8, FALSE), perc_85, perc_75 + (perc_90 - perc_75) * (2/3), converted_stat, '2K_Ratings'!I948, IF(bbgm_stat &gt;= perc_95, converted_stat * 3, IF(bbgm_stat &gt;= perc_90, converted_stat * 2, IF(bbgm_stat &gt;= perc_85, converted_stat * 1.5, converted_stat)))))</f>
        <v/>
      </c>
      <c r="J948" s="30" t="str">
        <f t="array" ref="J948">IF($A948="", "", LET(bbgm_stat, INDEX(Players!$A947:$P947, MATCH(J$2, Players!$A$1:$P$1, 0)), perc_75, VLOOKUP(J$2, Percentiles!$A$45:$I$59, 6, FALSE), perc_90, VLOOKUP(J$2, Percentiles!$A$45:$I$59, 7, FALSE), perc_95, VLOOKUP(J$2, Percentiles!$A$45:$I$59, 8, FALSE), perc_85, perc_75 + (perc_90 - perc_75) * (2/3), converted_stat, '2K_Ratings'!J948, IF(bbgm_stat &gt;= perc_95, converted_stat * 3, IF(bbgm_stat &gt;= perc_90, converted_stat * 2, IF(bbgm_stat &gt;= perc_85, converted_stat * 1.5, converted_stat)))))</f>
        <v/>
      </c>
      <c r="K948" s="30" t="str">
        <f t="array" ref="K948">IF($A948="", "", LET(bbgm_stat, INDEX(Players!$A947:$P947, MATCH(K$2, Players!$A$1:$P$1, 0)), perc_75, VLOOKUP(K$2, Percentiles!$A$45:$I$59, 6, FALSE), perc_90, VLOOKUP(K$2, Percentiles!$A$45:$I$59, 7, FALSE), perc_95, VLOOKUP(K$2, Percentiles!$A$45:$I$59, 8, FALSE), perc_85, perc_75 + (perc_90 - perc_75) * (2/3), converted_stat, '2K_Ratings'!K948, IF(bbgm_stat &gt;= perc_95, converted_stat * 3, IF(bbgm_stat &gt;= perc_90, converted_stat * 2, IF(bbgm_stat &gt;= perc_85, converted_stat * 1.5, converted_stat)))))</f>
        <v/>
      </c>
      <c r="L948" s="30" t="str">
        <f t="array" ref="L948">IF($A948="", "", LET(bbgm_stat, INDEX(Players!$A947:$P947, MATCH(L$2, Players!$A$1:$P$1, 0)), perc_75, VLOOKUP(L$2, Percentiles!$A$45:$I$59, 6, FALSE), perc_90, VLOOKUP(L$2, Percentiles!$A$45:$I$59, 7, FALSE), perc_95, VLOOKUP(L$2, Percentiles!$A$45:$I$59, 8, FALSE), perc_85, perc_75 + (perc_90 - perc_75) * (2/3), converted_stat, '2K_Ratings'!L948, IF(bbgm_stat &gt;= perc_95, converted_stat * 3, IF(bbgm_stat &gt;= perc_90, converted_stat * 2, IF(bbgm_stat &gt;= perc_85, converted_stat * 1.5, converted_stat)))))</f>
        <v/>
      </c>
      <c r="M948" s="30" t="str">
        <f t="array" ref="M948">IF($A948="", "", LET(bbgm_stat, INDEX(Players!$A947:$P947, MATCH(M$2, Players!$A$1:$P$1, 0)), perc_75, VLOOKUP(M$2, Percentiles!$A$45:$I$59, 6, FALSE), perc_90, VLOOKUP(M$2, Percentiles!$A$45:$I$59, 7, FALSE), perc_95, VLOOKUP(M$2, Percentiles!$A$45:$I$59, 8, FALSE), perc_85, perc_75 + (perc_90 - perc_75) * (2/3), converted_stat, '2K_Ratings'!M948, IF(bbgm_stat &gt;= perc_95, converted_stat * 3, IF(bbgm_stat &gt;= perc_90, converted_stat * 2, IF(bbgm_stat &gt;= perc_85, converted_stat * 1.5, converted_stat)))))</f>
        <v/>
      </c>
      <c r="N948" s="30" t="str">
        <f t="array" ref="N948">IF($A948="", "", LET(bbgm_stat, INDEX(Players!$A947:$P947, MATCH(N$2, Players!$A$1:$P$1, 0)), perc_75, VLOOKUP(N$2, Percentiles!$A$45:$I$59, 6, FALSE), perc_90, VLOOKUP(N$2, Percentiles!$A$45:$I$59, 7, FALSE), perc_95, VLOOKUP(N$2, Percentiles!$A$45:$I$59, 8, FALSE), perc_85, perc_75 + (perc_90 - perc_75) * (2/3), converted_stat, '2K_Ratings'!N948, IF(bbgm_stat &gt;= perc_95, converted_stat * 3, IF(bbgm_stat &gt;= perc_90, converted_stat * 2, IF(bbgm_stat &gt;= perc_85, converted_stat * 1.5, converted_stat)))))</f>
        <v/>
      </c>
      <c r="O948" s="30" t="str">
        <f t="array" ref="O948">IF($A948="", "", LET(bbgm_stat, INDEX(Players!$A947:$P947, MATCH(O$2, Players!$A$1:$P$1, 0)), perc_75, VLOOKUP(O$2, Percentiles!$A$45:$I$59, 6, FALSE), perc_90, VLOOKUP(O$2, Percentiles!$A$45:$I$59, 7, FALSE), perc_95, VLOOKUP(O$2, Percentiles!$A$45:$I$59, 8, FALSE), perc_85, perc_75 + (perc_90 - perc_75) * (2/3), converted_stat, '2K_Ratings'!O948, IF(bbgm_stat &gt;= perc_95, converted_stat * 3, IF(bbgm_stat &gt;= perc_90, converted_stat * 2, IF(bbgm_stat &gt;= perc_85, converted_stat * 1.5, converted_stat)))))</f>
        <v/>
      </c>
      <c r="P948" s="30" t="str">
        <f t="array" ref="P948">IF($A948="", "", LET(bbgm_stat, INDEX(Players!$A947:$P947, MATCH(P$2, Players!$A$1:$P$1, 0)), perc_75, VLOOKUP(P$2, Percentiles!$A$45:$I$59, 6, FALSE), perc_90, VLOOKUP(P$2, Percentiles!$A$45:$I$59, 7, FALSE), perc_95, VLOOKUP(P$2, Percentiles!$A$45:$I$59, 8, FALSE), perc_85, perc_75 + (perc_90 - perc_75) * (2/3), converted_stat, '2K_Ratings'!P948, IF(bbgm_stat &gt;= perc_95, converted_stat * 3, IF(bbgm_stat &gt;= perc_90, converted_stat * 2, IF(bbgm_stat &gt;= perc_85, converted_stat * 1.5, converted_stat)))))</f>
        <v/>
      </c>
      <c r="Q948" s="30" t="str">
        <f t="array" ref="Q948">IF($A948="", "", LET(bbgm_stat, INDEX(Players!$A947:$P947, MATCH(Q$2, Players!$A$1:$P$1, 0)), perc_75, VLOOKUP(Q$2, Percentiles!$A$45:$I$59, 6, FALSE), perc_90, VLOOKUP(Q$2, Percentiles!$A$45:$I$59, 7, FALSE), perc_95, VLOOKUP(Q$2, Percentiles!$A$45:$I$59, 8, FALSE), perc_85, perc_75 + (perc_90 - perc_75) * (2/3), converted_stat, '2K_Ratings'!Q948, IF(bbgm_stat &gt;= perc_95, converted_stat * 3, IF(bbgm_stat &gt;= perc_90, converted_stat * 2, IF(bbgm_stat &gt;= perc_85, converted_stat * 1.5, converted_stat)))))</f>
        <v/>
      </c>
      <c r="R948" s="30" t="str">
        <f t="array" ref="R948">IF($A948="", "", LET(bbgm_stat, INDEX(Players!$A947:$P947, MATCH(R$2, Players!$A$1:$P$1, 0)), perc_75, VLOOKUP(R$2, Percentiles!$A$45:$I$59, 6, FALSE), perc_90, VLOOKUP(R$2, Percentiles!$A$45:$I$59, 7, FALSE), perc_95, VLOOKUP(R$2, Percentiles!$A$45:$I$59, 8, FALSE), perc_85, perc_75 + (perc_90 - perc_75) * (2/3), converted_stat, '2K_Ratings'!R948, IF(bbgm_stat &gt;= perc_95, converted_stat * 3, IF(bbgm_stat &gt;= perc_90, converted_stat * 2, IF(bbgm_stat &gt;= perc_85, converted_stat * 1.5, converted_stat)))))</f>
        <v/>
      </c>
      <c r="S948" s="30" t="str">
        <f t="array" ref="S948">IF($A948="", "", LET(bbgm_stat, INDEX(Players!$A947:$P947, MATCH(S$2, Players!$A$1:$P$1, 0)), perc_75, VLOOKUP(S$2, Percentiles!$A$45:$I$59, 6, FALSE), perc_90, VLOOKUP(S$2, Percentiles!$A$45:$I$59, 7, FALSE), perc_95, VLOOKUP(S$2, Percentiles!$A$45:$I$59, 8, FALSE), perc_85, perc_75 + (perc_90 - perc_75) * (2/3), converted_stat, '2K_Ratings'!S948, IF(bbgm_stat &gt;= perc_95, converted_stat * 3, IF(bbgm_stat &gt;= perc_90, converted_stat * 2, IF(bbgm_stat &gt;= perc_85, converted_stat * 1.5, converted_stat)))))</f>
        <v/>
      </c>
      <c r="T948" s="30" t="str">
        <f t="array" ref="T948">IF($A948="", "", LET(bbgm_stat, INDEX(Players!$A947:$P947, MATCH(T$2, Players!$A$1:$P$1, 0)), perc_75, VLOOKUP(T$2, Percentiles!$A$45:$I$59, 6, FALSE), perc_90, VLOOKUP(T$2, Percentiles!$A$45:$I$59, 7, FALSE), perc_95, VLOOKUP(T$2, Percentiles!$A$45:$I$59, 8, FALSE), perc_85, perc_75 + (perc_90 - perc_75) * (2/3), converted_stat, '2K_Ratings'!T948, IF(bbgm_stat &gt;= perc_95, converted_stat * 3, IF(bbgm_stat &gt;= perc_90, converted_stat * 2, IF(bbgm_stat &gt;= perc_85, converted_stat * 1.5, converted_stat)))))</f>
        <v/>
      </c>
      <c r="U948" s="30" t="str">
        <f t="array" ref="U948">IF($A948="", "", LET(bbgm_stat, INDEX(Players!$A947:$P947, MATCH(U$2, Players!$A$1:$P$1, 0)), perc_75, VLOOKUP(U$2, Percentiles!$A$45:$I$59, 6, FALSE), perc_90, VLOOKUP(U$2, Percentiles!$A$45:$I$59, 7, FALSE), perc_95, VLOOKUP(U$2, Percentiles!$A$45:$I$59, 8, FALSE), perc_85, perc_75 + (perc_90 - perc_75) * (2/3), converted_stat, '2K_Ratings'!U948, IF(bbgm_stat &gt;= perc_95, converted_stat * 3, IF(bbgm_stat &gt;= perc_90, converted_stat * 2, IF(bbgm_stat &gt;= perc_85, converted_stat * 1.5, converted_stat)))))</f>
        <v/>
      </c>
      <c r="V948" s="30" t="str">
        <f t="array" ref="V948">IF($A948="", "", LET(bbgm_stat, INDEX(Players!$A947:$P947, MATCH(V$2, Players!$A$1:$P$1, 0)), perc_75, VLOOKUP(V$2, Percentiles!$A$45:$I$59, 6, FALSE), perc_90, VLOOKUP(V$2, Percentiles!$A$45:$I$59, 7, FALSE), perc_95, VLOOKUP(V$2, Percentiles!$A$45:$I$59, 8, FALSE), perc_85, perc_75 + (perc_90 - perc_75) * (2/3), converted_stat, '2K_Ratings'!V948, IF(bbgm_stat &gt;= perc_95, converted_stat * 3, IF(bbgm_stat &gt;= perc_90, converted_stat * 2, IF(bbgm_stat &gt;= perc_85, converted_stat * 1.5, converted_stat)))))</f>
        <v/>
      </c>
      <c r="W948" s="30" t="str">
        <f t="array" ref="W948">IF($A948="", "", LET(bbgm_stat, INDEX(Players!$A947:$P947, MATCH(W$2, Players!$A$1:$P$1, 0)), perc_75, VLOOKUP(W$2, Percentiles!$A$45:$I$59, 6, FALSE), perc_90, VLOOKUP(W$2, Percentiles!$A$45:$I$59, 7, FALSE), perc_95, VLOOKUP(W$2, Percentiles!$A$45:$I$59, 8, FALSE), perc_85, perc_75 + (perc_90 - perc_75) * (2/3), converted_stat, '2K_Ratings'!W948, IF(bbgm_stat &gt;= perc_95, converted_stat * 3, IF(bbgm_stat &gt;= perc_90, converted_stat * 2, IF(bbgm_stat &gt;= perc_85, converted_stat * 1.5, converted_stat)))))</f>
        <v/>
      </c>
    </row>
    <row r="949">
      <c r="A949" s="30"/>
      <c r="B949" s="30" t="str">
        <f t="array" ref="B949">IF($A949="", "", LET(bbgm_stat, INDEX(Players!$A948:$P948, MATCH(B$2, Players!$A$1:$P$1, 0)), perc_75, VLOOKUP(B$2, Percentiles!$A$45:$I$59, 6, FALSE), perc_90, VLOOKUP(B$2, Percentiles!$A$45:$I$59, 7, FALSE), perc_95, VLOOKUP(B$2, Percentiles!$A$45:$I$59, 8, FALSE), perc_85, perc_75 + (perc_90 - perc_75) * (2/3), converted_stat, '2K_Ratings'!B949, IF(bbgm_stat &gt;= perc_95, converted_stat * 3, IF(bbgm_stat &gt;= perc_90, converted_stat * 2, IF(bbgm_stat &gt;= perc_85, converted_stat * 1.5, converted_stat)))))</f>
        <v/>
      </c>
      <c r="C949" s="30" t="str">
        <f t="array" ref="C949">IF($A949="", "", LET(bbgm_stat, INDEX(Players!$A948:$P948, MATCH(C$2, Players!$A$1:$P$1, 0)), perc_75, VLOOKUP(C$2, Percentiles!$A$45:$I$59, 6, FALSE), perc_90, VLOOKUP(C$2, Percentiles!$A$45:$I$59, 7, FALSE), perc_95, VLOOKUP(C$2, Percentiles!$A$45:$I$59, 8, FALSE), perc_85, perc_75 + (perc_90 - perc_75) * (2/3), converted_stat, '2K_Ratings'!C949, IF(bbgm_stat &gt;= perc_95, converted_stat * 3, IF(bbgm_stat &gt;= perc_90, converted_stat * 2, IF(bbgm_stat &gt;= perc_85, converted_stat * 1.5, converted_stat)))))</f>
        <v/>
      </c>
      <c r="D949" s="30" t="str">
        <f t="array" ref="D949">IF($A949="", "", LET(bbgm_stat, INDEX(Players!$A948:$P948, MATCH(D$2, Players!$A$1:$P$1, 0)), perc_75, VLOOKUP(D$2, Percentiles!$A$45:$I$59, 6, FALSE), perc_90, VLOOKUP(D$2, Percentiles!$A$45:$I$59, 7, FALSE), perc_95, VLOOKUP(D$2, Percentiles!$A$45:$I$59, 8, FALSE), perc_85, perc_75 + (perc_90 - perc_75) * (2/3), converted_stat, '2K_Ratings'!D949, IF(bbgm_stat &gt;= perc_95, converted_stat * 3, IF(bbgm_stat &gt;= perc_90, converted_stat * 2, IF(bbgm_stat &gt;= perc_85, converted_stat * 1.5, converted_stat)))))</f>
        <v/>
      </c>
      <c r="E949" s="30" t="str">
        <f t="array" ref="E949">IF($A949="", "", LET(bbgm_stat, INDEX(Players!$A948:$P948, MATCH(E$2, Players!$A$1:$P$1, 0)), perc_75, VLOOKUP(E$2, Percentiles!$A$45:$I$59, 6, FALSE), perc_90, VLOOKUP(E$2, Percentiles!$A$45:$I$59, 7, FALSE), perc_95, VLOOKUP(E$2, Percentiles!$A$45:$I$59, 8, FALSE), perc_85, perc_75 + (perc_90 - perc_75) * (2/3), converted_stat, '2K_Ratings'!E949, IF(bbgm_stat &gt;= perc_95, converted_stat * 3, IF(bbgm_stat &gt;= perc_90, converted_stat * 2, IF(bbgm_stat &gt;= perc_85, converted_stat * 1.5, converted_stat)))))</f>
        <v/>
      </c>
      <c r="F949" s="30" t="str">
        <f t="array" ref="F949">IF($A949="", "", LET(bbgm_stat, INDEX(Players!$A948:$P948, MATCH(F$2, Players!$A$1:$P$1, 0)), perc_75, VLOOKUP(F$2, Percentiles!$A$45:$I$59, 6, FALSE), perc_90, VLOOKUP(F$2, Percentiles!$A$45:$I$59, 7, FALSE), perc_95, VLOOKUP(F$2, Percentiles!$A$45:$I$59, 8, FALSE), perc_85, perc_75 + (perc_90 - perc_75) * (2/3), converted_stat, '2K_Ratings'!F949, IF(bbgm_stat &gt;= perc_95, converted_stat * 3, IF(bbgm_stat &gt;= perc_90, converted_stat * 2, IF(bbgm_stat &gt;= perc_85, converted_stat * 1.5, converted_stat)))))</f>
        <v/>
      </c>
      <c r="G949" s="30" t="str">
        <f t="array" ref="G949">IF($A949="", "", LET(bbgm_stat, INDEX(Players!$A948:$P948, MATCH(G$2, Players!$A$1:$P$1, 0)), perc_75, VLOOKUP(G$2, Percentiles!$A$45:$I$59, 6, FALSE), perc_90, VLOOKUP(G$2, Percentiles!$A$45:$I$59, 7, FALSE), perc_95, VLOOKUP(G$2, Percentiles!$A$45:$I$59, 8, FALSE), perc_85, perc_75 + (perc_90 - perc_75) * (2/3), converted_stat, '2K_Ratings'!G949, IF(bbgm_stat &gt;= perc_95, converted_stat * 3, IF(bbgm_stat &gt;= perc_90, converted_stat * 2, IF(bbgm_stat &gt;= perc_85, converted_stat * 1.5, converted_stat)))))</f>
        <v/>
      </c>
      <c r="H949" s="30" t="str">
        <f t="array" ref="H949">IF($A949="", "", LET(bbgm_stat, INDEX(Players!$A948:$P948, MATCH(H$2, Players!$A$1:$P$1, 0)), perc_75, VLOOKUP(H$2, Percentiles!$A$45:$I$59, 6, FALSE), perc_90, VLOOKUP(H$2, Percentiles!$A$45:$I$59, 7, FALSE), perc_95, VLOOKUP(H$2, Percentiles!$A$45:$I$59, 8, FALSE), perc_85, perc_75 + (perc_90 - perc_75) * (2/3), converted_stat, '2K_Ratings'!H949, IF(bbgm_stat &gt;= perc_95, converted_stat * 3, IF(bbgm_stat &gt;= perc_90, converted_stat * 2, IF(bbgm_stat &gt;= perc_85, converted_stat * 1.5, converted_stat)))))</f>
        <v/>
      </c>
      <c r="I949" s="30" t="str">
        <f t="array" ref="I949">IF($A949="", "", LET(bbgm_stat, INDEX(Players!$A948:$P948, MATCH(I$2, Players!$A$1:$P$1, 0)), perc_75, VLOOKUP(I$2, Percentiles!$A$45:$I$59, 6, FALSE), perc_90, VLOOKUP(I$2, Percentiles!$A$45:$I$59, 7, FALSE), perc_95, VLOOKUP(I$2, Percentiles!$A$45:$I$59, 8, FALSE), perc_85, perc_75 + (perc_90 - perc_75) * (2/3), converted_stat, '2K_Ratings'!I949, IF(bbgm_stat &gt;= perc_95, converted_stat * 3, IF(bbgm_stat &gt;= perc_90, converted_stat * 2, IF(bbgm_stat &gt;= perc_85, converted_stat * 1.5, converted_stat)))))</f>
        <v/>
      </c>
      <c r="J949" s="30" t="str">
        <f t="array" ref="J949">IF($A949="", "", LET(bbgm_stat, INDEX(Players!$A948:$P948, MATCH(J$2, Players!$A$1:$P$1, 0)), perc_75, VLOOKUP(J$2, Percentiles!$A$45:$I$59, 6, FALSE), perc_90, VLOOKUP(J$2, Percentiles!$A$45:$I$59, 7, FALSE), perc_95, VLOOKUP(J$2, Percentiles!$A$45:$I$59, 8, FALSE), perc_85, perc_75 + (perc_90 - perc_75) * (2/3), converted_stat, '2K_Ratings'!J949, IF(bbgm_stat &gt;= perc_95, converted_stat * 3, IF(bbgm_stat &gt;= perc_90, converted_stat * 2, IF(bbgm_stat &gt;= perc_85, converted_stat * 1.5, converted_stat)))))</f>
        <v/>
      </c>
      <c r="K949" s="30" t="str">
        <f t="array" ref="K949">IF($A949="", "", LET(bbgm_stat, INDEX(Players!$A948:$P948, MATCH(K$2, Players!$A$1:$P$1, 0)), perc_75, VLOOKUP(K$2, Percentiles!$A$45:$I$59, 6, FALSE), perc_90, VLOOKUP(K$2, Percentiles!$A$45:$I$59, 7, FALSE), perc_95, VLOOKUP(K$2, Percentiles!$A$45:$I$59, 8, FALSE), perc_85, perc_75 + (perc_90 - perc_75) * (2/3), converted_stat, '2K_Ratings'!K949, IF(bbgm_stat &gt;= perc_95, converted_stat * 3, IF(bbgm_stat &gt;= perc_90, converted_stat * 2, IF(bbgm_stat &gt;= perc_85, converted_stat * 1.5, converted_stat)))))</f>
        <v/>
      </c>
      <c r="L949" s="30" t="str">
        <f t="array" ref="L949">IF($A949="", "", LET(bbgm_stat, INDEX(Players!$A948:$P948, MATCH(L$2, Players!$A$1:$P$1, 0)), perc_75, VLOOKUP(L$2, Percentiles!$A$45:$I$59, 6, FALSE), perc_90, VLOOKUP(L$2, Percentiles!$A$45:$I$59, 7, FALSE), perc_95, VLOOKUP(L$2, Percentiles!$A$45:$I$59, 8, FALSE), perc_85, perc_75 + (perc_90 - perc_75) * (2/3), converted_stat, '2K_Ratings'!L949, IF(bbgm_stat &gt;= perc_95, converted_stat * 3, IF(bbgm_stat &gt;= perc_90, converted_stat * 2, IF(bbgm_stat &gt;= perc_85, converted_stat * 1.5, converted_stat)))))</f>
        <v/>
      </c>
      <c r="M949" s="30" t="str">
        <f t="array" ref="M949">IF($A949="", "", LET(bbgm_stat, INDEX(Players!$A948:$P948, MATCH(M$2, Players!$A$1:$P$1, 0)), perc_75, VLOOKUP(M$2, Percentiles!$A$45:$I$59, 6, FALSE), perc_90, VLOOKUP(M$2, Percentiles!$A$45:$I$59, 7, FALSE), perc_95, VLOOKUP(M$2, Percentiles!$A$45:$I$59, 8, FALSE), perc_85, perc_75 + (perc_90 - perc_75) * (2/3), converted_stat, '2K_Ratings'!M949, IF(bbgm_stat &gt;= perc_95, converted_stat * 3, IF(bbgm_stat &gt;= perc_90, converted_stat * 2, IF(bbgm_stat &gt;= perc_85, converted_stat * 1.5, converted_stat)))))</f>
        <v/>
      </c>
      <c r="N949" s="30" t="str">
        <f t="array" ref="N949">IF($A949="", "", LET(bbgm_stat, INDEX(Players!$A948:$P948, MATCH(N$2, Players!$A$1:$P$1, 0)), perc_75, VLOOKUP(N$2, Percentiles!$A$45:$I$59, 6, FALSE), perc_90, VLOOKUP(N$2, Percentiles!$A$45:$I$59, 7, FALSE), perc_95, VLOOKUP(N$2, Percentiles!$A$45:$I$59, 8, FALSE), perc_85, perc_75 + (perc_90 - perc_75) * (2/3), converted_stat, '2K_Ratings'!N949, IF(bbgm_stat &gt;= perc_95, converted_stat * 3, IF(bbgm_stat &gt;= perc_90, converted_stat * 2, IF(bbgm_stat &gt;= perc_85, converted_stat * 1.5, converted_stat)))))</f>
        <v/>
      </c>
      <c r="O949" s="30" t="str">
        <f t="array" ref="O949">IF($A949="", "", LET(bbgm_stat, INDEX(Players!$A948:$P948, MATCH(O$2, Players!$A$1:$P$1, 0)), perc_75, VLOOKUP(O$2, Percentiles!$A$45:$I$59, 6, FALSE), perc_90, VLOOKUP(O$2, Percentiles!$A$45:$I$59, 7, FALSE), perc_95, VLOOKUP(O$2, Percentiles!$A$45:$I$59, 8, FALSE), perc_85, perc_75 + (perc_90 - perc_75) * (2/3), converted_stat, '2K_Ratings'!O949, IF(bbgm_stat &gt;= perc_95, converted_stat * 3, IF(bbgm_stat &gt;= perc_90, converted_stat * 2, IF(bbgm_stat &gt;= perc_85, converted_stat * 1.5, converted_stat)))))</f>
        <v/>
      </c>
      <c r="P949" s="30" t="str">
        <f t="array" ref="P949">IF($A949="", "", LET(bbgm_stat, INDEX(Players!$A948:$P948, MATCH(P$2, Players!$A$1:$P$1, 0)), perc_75, VLOOKUP(P$2, Percentiles!$A$45:$I$59, 6, FALSE), perc_90, VLOOKUP(P$2, Percentiles!$A$45:$I$59, 7, FALSE), perc_95, VLOOKUP(P$2, Percentiles!$A$45:$I$59, 8, FALSE), perc_85, perc_75 + (perc_90 - perc_75) * (2/3), converted_stat, '2K_Ratings'!P949, IF(bbgm_stat &gt;= perc_95, converted_stat * 3, IF(bbgm_stat &gt;= perc_90, converted_stat * 2, IF(bbgm_stat &gt;= perc_85, converted_stat * 1.5, converted_stat)))))</f>
        <v/>
      </c>
      <c r="Q949" s="30" t="str">
        <f t="array" ref="Q949">IF($A949="", "", LET(bbgm_stat, INDEX(Players!$A948:$P948, MATCH(Q$2, Players!$A$1:$P$1, 0)), perc_75, VLOOKUP(Q$2, Percentiles!$A$45:$I$59, 6, FALSE), perc_90, VLOOKUP(Q$2, Percentiles!$A$45:$I$59, 7, FALSE), perc_95, VLOOKUP(Q$2, Percentiles!$A$45:$I$59, 8, FALSE), perc_85, perc_75 + (perc_90 - perc_75) * (2/3), converted_stat, '2K_Ratings'!Q949, IF(bbgm_stat &gt;= perc_95, converted_stat * 3, IF(bbgm_stat &gt;= perc_90, converted_stat * 2, IF(bbgm_stat &gt;= perc_85, converted_stat * 1.5, converted_stat)))))</f>
        <v/>
      </c>
      <c r="R949" s="30" t="str">
        <f t="array" ref="R949">IF($A949="", "", LET(bbgm_stat, INDEX(Players!$A948:$P948, MATCH(R$2, Players!$A$1:$P$1, 0)), perc_75, VLOOKUP(R$2, Percentiles!$A$45:$I$59, 6, FALSE), perc_90, VLOOKUP(R$2, Percentiles!$A$45:$I$59, 7, FALSE), perc_95, VLOOKUP(R$2, Percentiles!$A$45:$I$59, 8, FALSE), perc_85, perc_75 + (perc_90 - perc_75) * (2/3), converted_stat, '2K_Ratings'!R949, IF(bbgm_stat &gt;= perc_95, converted_stat * 3, IF(bbgm_stat &gt;= perc_90, converted_stat * 2, IF(bbgm_stat &gt;= perc_85, converted_stat * 1.5, converted_stat)))))</f>
        <v/>
      </c>
      <c r="S949" s="30" t="str">
        <f t="array" ref="S949">IF($A949="", "", LET(bbgm_stat, INDEX(Players!$A948:$P948, MATCH(S$2, Players!$A$1:$P$1, 0)), perc_75, VLOOKUP(S$2, Percentiles!$A$45:$I$59, 6, FALSE), perc_90, VLOOKUP(S$2, Percentiles!$A$45:$I$59, 7, FALSE), perc_95, VLOOKUP(S$2, Percentiles!$A$45:$I$59, 8, FALSE), perc_85, perc_75 + (perc_90 - perc_75) * (2/3), converted_stat, '2K_Ratings'!S949, IF(bbgm_stat &gt;= perc_95, converted_stat * 3, IF(bbgm_stat &gt;= perc_90, converted_stat * 2, IF(bbgm_stat &gt;= perc_85, converted_stat * 1.5, converted_stat)))))</f>
        <v/>
      </c>
      <c r="T949" s="30" t="str">
        <f t="array" ref="T949">IF($A949="", "", LET(bbgm_stat, INDEX(Players!$A948:$P948, MATCH(T$2, Players!$A$1:$P$1, 0)), perc_75, VLOOKUP(T$2, Percentiles!$A$45:$I$59, 6, FALSE), perc_90, VLOOKUP(T$2, Percentiles!$A$45:$I$59, 7, FALSE), perc_95, VLOOKUP(T$2, Percentiles!$A$45:$I$59, 8, FALSE), perc_85, perc_75 + (perc_90 - perc_75) * (2/3), converted_stat, '2K_Ratings'!T949, IF(bbgm_stat &gt;= perc_95, converted_stat * 3, IF(bbgm_stat &gt;= perc_90, converted_stat * 2, IF(bbgm_stat &gt;= perc_85, converted_stat * 1.5, converted_stat)))))</f>
        <v/>
      </c>
      <c r="U949" s="30" t="str">
        <f t="array" ref="U949">IF($A949="", "", LET(bbgm_stat, INDEX(Players!$A948:$P948, MATCH(U$2, Players!$A$1:$P$1, 0)), perc_75, VLOOKUP(U$2, Percentiles!$A$45:$I$59, 6, FALSE), perc_90, VLOOKUP(U$2, Percentiles!$A$45:$I$59, 7, FALSE), perc_95, VLOOKUP(U$2, Percentiles!$A$45:$I$59, 8, FALSE), perc_85, perc_75 + (perc_90 - perc_75) * (2/3), converted_stat, '2K_Ratings'!U949, IF(bbgm_stat &gt;= perc_95, converted_stat * 3, IF(bbgm_stat &gt;= perc_90, converted_stat * 2, IF(bbgm_stat &gt;= perc_85, converted_stat * 1.5, converted_stat)))))</f>
        <v/>
      </c>
      <c r="V949" s="30" t="str">
        <f t="array" ref="V949">IF($A949="", "", LET(bbgm_stat, INDEX(Players!$A948:$P948, MATCH(V$2, Players!$A$1:$P$1, 0)), perc_75, VLOOKUP(V$2, Percentiles!$A$45:$I$59, 6, FALSE), perc_90, VLOOKUP(V$2, Percentiles!$A$45:$I$59, 7, FALSE), perc_95, VLOOKUP(V$2, Percentiles!$A$45:$I$59, 8, FALSE), perc_85, perc_75 + (perc_90 - perc_75) * (2/3), converted_stat, '2K_Ratings'!V949, IF(bbgm_stat &gt;= perc_95, converted_stat * 3, IF(bbgm_stat &gt;= perc_90, converted_stat * 2, IF(bbgm_stat &gt;= perc_85, converted_stat * 1.5, converted_stat)))))</f>
        <v/>
      </c>
      <c r="W949" s="30" t="str">
        <f t="array" ref="W949">IF($A949="", "", LET(bbgm_stat, INDEX(Players!$A948:$P948, MATCH(W$2, Players!$A$1:$P$1, 0)), perc_75, VLOOKUP(W$2, Percentiles!$A$45:$I$59, 6, FALSE), perc_90, VLOOKUP(W$2, Percentiles!$A$45:$I$59, 7, FALSE), perc_95, VLOOKUP(W$2, Percentiles!$A$45:$I$59, 8, FALSE), perc_85, perc_75 + (perc_90 - perc_75) * (2/3), converted_stat, '2K_Ratings'!W949, IF(bbgm_stat &gt;= perc_95, converted_stat * 3, IF(bbgm_stat &gt;= perc_90, converted_stat * 2, IF(bbgm_stat &gt;= perc_85, converted_stat * 1.5, converted_stat)))))</f>
        <v/>
      </c>
    </row>
    <row r="950">
      <c r="A950" s="30"/>
      <c r="B950" s="30" t="str">
        <f t="array" ref="B950">IF($A950="", "", LET(bbgm_stat, INDEX(Players!$A949:$P949, MATCH(B$2, Players!$A$1:$P$1, 0)), perc_75, VLOOKUP(B$2, Percentiles!$A$45:$I$59, 6, FALSE), perc_90, VLOOKUP(B$2, Percentiles!$A$45:$I$59, 7, FALSE), perc_95, VLOOKUP(B$2, Percentiles!$A$45:$I$59, 8, FALSE), perc_85, perc_75 + (perc_90 - perc_75) * (2/3), converted_stat, '2K_Ratings'!B950, IF(bbgm_stat &gt;= perc_95, converted_stat * 3, IF(bbgm_stat &gt;= perc_90, converted_stat * 2, IF(bbgm_stat &gt;= perc_85, converted_stat * 1.5, converted_stat)))))</f>
        <v/>
      </c>
      <c r="C950" s="30" t="str">
        <f t="array" ref="C950">IF($A950="", "", LET(bbgm_stat, INDEX(Players!$A949:$P949, MATCH(C$2, Players!$A$1:$P$1, 0)), perc_75, VLOOKUP(C$2, Percentiles!$A$45:$I$59, 6, FALSE), perc_90, VLOOKUP(C$2, Percentiles!$A$45:$I$59, 7, FALSE), perc_95, VLOOKUP(C$2, Percentiles!$A$45:$I$59, 8, FALSE), perc_85, perc_75 + (perc_90 - perc_75) * (2/3), converted_stat, '2K_Ratings'!C950, IF(bbgm_stat &gt;= perc_95, converted_stat * 3, IF(bbgm_stat &gt;= perc_90, converted_stat * 2, IF(bbgm_stat &gt;= perc_85, converted_stat * 1.5, converted_stat)))))</f>
        <v/>
      </c>
      <c r="D950" s="30" t="str">
        <f t="array" ref="D950">IF($A950="", "", LET(bbgm_stat, INDEX(Players!$A949:$P949, MATCH(D$2, Players!$A$1:$P$1, 0)), perc_75, VLOOKUP(D$2, Percentiles!$A$45:$I$59, 6, FALSE), perc_90, VLOOKUP(D$2, Percentiles!$A$45:$I$59, 7, FALSE), perc_95, VLOOKUP(D$2, Percentiles!$A$45:$I$59, 8, FALSE), perc_85, perc_75 + (perc_90 - perc_75) * (2/3), converted_stat, '2K_Ratings'!D950, IF(bbgm_stat &gt;= perc_95, converted_stat * 3, IF(bbgm_stat &gt;= perc_90, converted_stat * 2, IF(bbgm_stat &gt;= perc_85, converted_stat * 1.5, converted_stat)))))</f>
        <v/>
      </c>
      <c r="E950" s="30" t="str">
        <f t="array" ref="E950">IF($A950="", "", LET(bbgm_stat, INDEX(Players!$A949:$P949, MATCH(E$2, Players!$A$1:$P$1, 0)), perc_75, VLOOKUP(E$2, Percentiles!$A$45:$I$59, 6, FALSE), perc_90, VLOOKUP(E$2, Percentiles!$A$45:$I$59, 7, FALSE), perc_95, VLOOKUP(E$2, Percentiles!$A$45:$I$59, 8, FALSE), perc_85, perc_75 + (perc_90 - perc_75) * (2/3), converted_stat, '2K_Ratings'!E950, IF(bbgm_stat &gt;= perc_95, converted_stat * 3, IF(bbgm_stat &gt;= perc_90, converted_stat * 2, IF(bbgm_stat &gt;= perc_85, converted_stat * 1.5, converted_stat)))))</f>
        <v/>
      </c>
      <c r="F950" s="30" t="str">
        <f t="array" ref="F950">IF($A950="", "", LET(bbgm_stat, INDEX(Players!$A949:$P949, MATCH(F$2, Players!$A$1:$P$1, 0)), perc_75, VLOOKUP(F$2, Percentiles!$A$45:$I$59, 6, FALSE), perc_90, VLOOKUP(F$2, Percentiles!$A$45:$I$59, 7, FALSE), perc_95, VLOOKUP(F$2, Percentiles!$A$45:$I$59, 8, FALSE), perc_85, perc_75 + (perc_90 - perc_75) * (2/3), converted_stat, '2K_Ratings'!F950, IF(bbgm_stat &gt;= perc_95, converted_stat * 3, IF(bbgm_stat &gt;= perc_90, converted_stat * 2, IF(bbgm_stat &gt;= perc_85, converted_stat * 1.5, converted_stat)))))</f>
        <v/>
      </c>
      <c r="G950" s="30" t="str">
        <f t="array" ref="G950">IF($A950="", "", LET(bbgm_stat, INDEX(Players!$A949:$P949, MATCH(G$2, Players!$A$1:$P$1, 0)), perc_75, VLOOKUP(G$2, Percentiles!$A$45:$I$59, 6, FALSE), perc_90, VLOOKUP(G$2, Percentiles!$A$45:$I$59, 7, FALSE), perc_95, VLOOKUP(G$2, Percentiles!$A$45:$I$59, 8, FALSE), perc_85, perc_75 + (perc_90 - perc_75) * (2/3), converted_stat, '2K_Ratings'!G950, IF(bbgm_stat &gt;= perc_95, converted_stat * 3, IF(bbgm_stat &gt;= perc_90, converted_stat * 2, IF(bbgm_stat &gt;= perc_85, converted_stat * 1.5, converted_stat)))))</f>
        <v/>
      </c>
      <c r="H950" s="30" t="str">
        <f t="array" ref="H950">IF($A950="", "", LET(bbgm_stat, INDEX(Players!$A949:$P949, MATCH(H$2, Players!$A$1:$P$1, 0)), perc_75, VLOOKUP(H$2, Percentiles!$A$45:$I$59, 6, FALSE), perc_90, VLOOKUP(H$2, Percentiles!$A$45:$I$59, 7, FALSE), perc_95, VLOOKUP(H$2, Percentiles!$A$45:$I$59, 8, FALSE), perc_85, perc_75 + (perc_90 - perc_75) * (2/3), converted_stat, '2K_Ratings'!H950, IF(bbgm_stat &gt;= perc_95, converted_stat * 3, IF(bbgm_stat &gt;= perc_90, converted_stat * 2, IF(bbgm_stat &gt;= perc_85, converted_stat * 1.5, converted_stat)))))</f>
        <v/>
      </c>
      <c r="I950" s="30" t="str">
        <f t="array" ref="I950">IF($A950="", "", LET(bbgm_stat, INDEX(Players!$A949:$P949, MATCH(I$2, Players!$A$1:$P$1, 0)), perc_75, VLOOKUP(I$2, Percentiles!$A$45:$I$59, 6, FALSE), perc_90, VLOOKUP(I$2, Percentiles!$A$45:$I$59, 7, FALSE), perc_95, VLOOKUP(I$2, Percentiles!$A$45:$I$59, 8, FALSE), perc_85, perc_75 + (perc_90 - perc_75) * (2/3), converted_stat, '2K_Ratings'!I950, IF(bbgm_stat &gt;= perc_95, converted_stat * 3, IF(bbgm_stat &gt;= perc_90, converted_stat * 2, IF(bbgm_stat &gt;= perc_85, converted_stat * 1.5, converted_stat)))))</f>
        <v/>
      </c>
      <c r="J950" s="30" t="str">
        <f t="array" ref="J950">IF($A950="", "", LET(bbgm_stat, INDEX(Players!$A949:$P949, MATCH(J$2, Players!$A$1:$P$1, 0)), perc_75, VLOOKUP(J$2, Percentiles!$A$45:$I$59, 6, FALSE), perc_90, VLOOKUP(J$2, Percentiles!$A$45:$I$59, 7, FALSE), perc_95, VLOOKUP(J$2, Percentiles!$A$45:$I$59, 8, FALSE), perc_85, perc_75 + (perc_90 - perc_75) * (2/3), converted_stat, '2K_Ratings'!J950, IF(bbgm_stat &gt;= perc_95, converted_stat * 3, IF(bbgm_stat &gt;= perc_90, converted_stat * 2, IF(bbgm_stat &gt;= perc_85, converted_stat * 1.5, converted_stat)))))</f>
        <v/>
      </c>
      <c r="K950" s="30" t="str">
        <f t="array" ref="K950">IF($A950="", "", LET(bbgm_stat, INDEX(Players!$A949:$P949, MATCH(K$2, Players!$A$1:$P$1, 0)), perc_75, VLOOKUP(K$2, Percentiles!$A$45:$I$59, 6, FALSE), perc_90, VLOOKUP(K$2, Percentiles!$A$45:$I$59, 7, FALSE), perc_95, VLOOKUP(K$2, Percentiles!$A$45:$I$59, 8, FALSE), perc_85, perc_75 + (perc_90 - perc_75) * (2/3), converted_stat, '2K_Ratings'!K950, IF(bbgm_stat &gt;= perc_95, converted_stat * 3, IF(bbgm_stat &gt;= perc_90, converted_stat * 2, IF(bbgm_stat &gt;= perc_85, converted_stat * 1.5, converted_stat)))))</f>
        <v/>
      </c>
      <c r="L950" s="30" t="str">
        <f t="array" ref="L950">IF($A950="", "", LET(bbgm_stat, INDEX(Players!$A949:$P949, MATCH(L$2, Players!$A$1:$P$1, 0)), perc_75, VLOOKUP(L$2, Percentiles!$A$45:$I$59, 6, FALSE), perc_90, VLOOKUP(L$2, Percentiles!$A$45:$I$59, 7, FALSE), perc_95, VLOOKUP(L$2, Percentiles!$A$45:$I$59, 8, FALSE), perc_85, perc_75 + (perc_90 - perc_75) * (2/3), converted_stat, '2K_Ratings'!L950, IF(bbgm_stat &gt;= perc_95, converted_stat * 3, IF(bbgm_stat &gt;= perc_90, converted_stat * 2, IF(bbgm_stat &gt;= perc_85, converted_stat * 1.5, converted_stat)))))</f>
        <v/>
      </c>
      <c r="M950" s="30" t="str">
        <f t="array" ref="M950">IF($A950="", "", LET(bbgm_stat, INDEX(Players!$A949:$P949, MATCH(M$2, Players!$A$1:$P$1, 0)), perc_75, VLOOKUP(M$2, Percentiles!$A$45:$I$59, 6, FALSE), perc_90, VLOOKUP(M$2, Percentiles!$A$45:$I$59, 7, FALSE), perc_95, VLOOKUP(M$2, Percentiles!$A$45:$I$59, 8, FALSE), perc_85, perc_75 + (perc_90 - perc_75) * (2/3), converted_stat, '2K_Ratings'!M950, IF(bbgm_stat &gt;= perc_95, converted_stat * 3, IF(bbgm_stat &gt;= perc_90, converted_stat * 2, IF(bbgm_stat &gt;= perc_85, converted_stat * 1.5, converted_stat)))))</f>
        <v/>
      </c>
      <c r="N950" s="30" t="str">
        <f t="array" ref="N950">IF($A950="", "", LET(bbgm_stat, INDEX(Players!$A949:$P949, MATCH(N$2, Players!$A$1:$P$1, 0)), perc_75, VLOOKUP(N$2, Percentiles!$A$45:$I$59, 6, FALSE), perc_90, VLOOKUP(N$2, Percentiles!$A$45:$I$59, 7, FALSE), perc_95, VLOOKUP(N$2, Percentiles!$A$45:$I$59, 8, FALSE), perc_85, perc_75 + (perc_90 - perc_75) * (2/3), converted_stat, '2K_Ratings'!N950, IF(bbgm_stat &gt;= perc_95, converted_stat * 3, IF(bbgm_stat &gt;= perc_90, converted_stat * 2, IF(bbgm_stat &gt;= perc_85, converted_stat * 1.5, converted_stat)))))</f>
        <v/>
      </c>
      <c r="O950" s="30" t="str">
        <f t="array" ref="O950">IF($A950="", "", LET(bbgm_stat, INDEX(Players!$A949:$P949, MATCH(O$2, Players!$A$1:$P$1, 0)), perc_75, VLOOKUP(O$2, Percentiles!$A$45:$I$59, 6, FALSE), perc_90, VLOOKUP(O$2, Percentiles!$A$45:$I$59, 7, FALSE), perc_95, VLOOKUP(O$2, Percentiles!$A$45:$I$59, 8, FALSE), perc_85, perc_75 + (perc_90 - perc_75) * (2/3), converted_stat, '2K_Ratings'!O950, IF(bbgm_stat &gt;= perc_95, converted_stat * 3, IF(bbgm_stat &gt;= perc_90, converted_stat * 2, IF(bbgm_stat &gt;= perc_85, converted_stat * 1.5, converted_stat)))))</f>
        <v/>
      </c>
      <c r="P950" s="30" t="str">
        <f t="array" ref="P950">IF($A950="", "", LET(bbgm_stat, INDEX(Players!$A949:$P949, MATCH(P$2, Players!$A$1:$P$1, 0)), perc_75, VLOOKUP(P$2, Percentiles!$A$45:$I$59, 6, FALSE), perc_90, VLOOKUP(P$2, Percentiles!$A$45:$I$59, 7, FALSE), perc_95, VLOOKUP(P$2, Percentiles!$A$45:$I$59, 8, FALSE), perc_85, perc_75 + (perc_90 - perc_75) * (2/3), converted_stat, '2K_Ratings'!P950, IF(bbgm_stat &gt;= perc_95, converted_stat * 3, IF(bbgm_stat &gt;= perc_90, converted_stat * 2, IF(bbgm_stat &gt;= perc_85, converted_stat * 1.5, converted_stat)))))</f>
        <v/>
      </c>
      <c r="Q950" s="30" t="str">
        <f t="array" ref="Q950">IF($A950="", "", LET(bbgm_stat, INDEX(Players!$A949:$P949, MATCH(Q$2, Players!$A$1:$P$1, 0)), perc_75, VLOOKUP(Q$2, Percentiles!$A$45:$I$59, 6, FALSE), perc_90, VLOOKUP(Q$2, Percentiles!$A$45:$I$59, 7, FALSE), perc_95, VLOOKUP(Q$2, Percentiles!$A$45:$I$59, 8, FALSE), perc_85, perc_75 + (perc_90 - perc_75) * (2/3), converted_stat, '2K_Ratings'!Q950, IF(bbgm_stat &gt;= perc_95, converted_stat * 3, IF(bbgm_stat &gt;= perc_90, converted_stat * 2, IF(bbgm_stat &gt;= perc_85, converted_stat * 1.5, converted_stat)))))</f>
        <v/>
      </c>
      <c r="R950" s="30" t="str">
        <f t="array" ref="R950">IF($A950="", "", LET(bbgm_stat, INDEX(Players!$A949:$P949, MATCH(R$2, Players!$A$1:$P$1, 0)), perc_75, VLOOKUP(R$2, Percentiles!$A$45:$I$59, 6, FALSE), perc_90, VLOOKUP(R$2, Percentiles!$A$45:$I$59, 7, FALSE), perc_95, VLOOKUP(R$2, Percentiles!$A$45:$I$59, 8, FALSE), perc_85, perc_75 + (perc_90 - perc_75) * (2/3), converted_stat, '2K_Ratings'!R950, IF(bbgm_stat &gt;= perc_95, converted_stat * 3, IF(bbgm_stat &gt;= perc_90, converted_stat * 2, IF(bbgm_stat &gt;= perc_85, converted_stat * 1.5, converted_stat)))))</f>
        <v/>
      </c>
      <c r="S950" s="30" t="str">
        <f t="array" ref="S950">IF($A950="", "", LET(bbgm_stat, INDEX(Players!$A949:$P949, MATCH(S$2, Players!$A$1:$P$1, 0)), perc_75, VLOOKUP(S$2, Percentiles!$A$45:$I$59, 6, FALSE), perc_90, VLOOKUP(S$2, Percentiles!$A$45:$I$59, 7, FALSE), perc_95, VLOOKUP(S$2, Percentiles!$A$45:$I$59, 8, FALSE), perc_85, perc_75 + (perc_90 - perc_75) * (2/3), converted_stat, '2K_Ratings'!S950, IF(bbgm_stat &gt;= perc_95, converted_stat * 3, IF(bbgm_stat &gt;= perc_90, converted_stat * 2, IF(bbgm_stat &gt;= perc_85, converted_stat * 1.5, converted_stat)))))</f>
        <v/>
      </c>
      <c r="T950" s="30" t="str">
        <f t="array" ref="T950">IF($A950="", "", LET(bbgm_stat, INDEX(Players!$A949:$P949, MATCH(T$2, Players!$A$1:$P$1, 0)), perc_75, VLOOKUP(T$2, Percentiles!$A$45:$I$59, 6, FALSE), perc_90, VLOOKUP(T$2, Percentiles!$A$45:$I$59, 7, FALSE), perc_95, VLOOKUP(T$2, Percentiles!$A$45:$I$59, 8, FALSE), perc_85, perc_75 + (perc_90 - perc_75) * (2/3), converted_stat, '2K_Ratings'!T950, IF(bbgm_stat &gt;= perc_95, converted_stat * 3, IF(bbgm_stat &gt;= perc_90, converted_stat * 2, IF(bbgm_stat &gt;= perc_85, converted_stat * 1.5, converted_stat)))))</f>
        <v/>
      </c>
      <c r="U950" s="30" t="str">
        <f t="array" ref="U950">IF($A950="", "", LET(bbgm_stat, INDEX(Players!$A949:$P949, MATCH(U$2, Players!$A$1:$P$1, 0)), perc_75, VLOOKUP(U$2, Percentiles!$A$45:$I$59, 6, FALSE), perc_90, VLOOKUP(U$2, Percentiles!$A$45:$I$59, 7, FALSE), perc_95, VLOOKUP(U$2, Percentiles!$A$45:$I$59, 8, FALSE), perc_85, perc_75 + (perc_90 - perc_75) * (2/3), converted_stat, '2K_Ratings'!U950, IF(bbgm_stat &gt;= perc_95, converted_stat * 3, IF(bbgm_stat &gt;= perc_90, converted_stat * 2, IF(bbgm_stat &gt;= perc_85, converted_stat * 1.5, converted_stat)))))</f>
        <v/>
      </c>
      <c r="V950" s="30" t="str">
        <f t="array" ref="V950">IF($A950="", "", LET(bbgm_stat, INDEX(Players!$A949:$P949, MATCH(V$2, Players!$A$1:$P$1, 0)), perc_75, VLOOKUP(V$2, Percentiles!$A$45:$I$59, 6, FALSE), perc_90, VLOOKUP(V$2, Percentiles!$A$45:$I$59, 7, FALSE), perc_95, VLOOKUP(V$2, Percentiles!$A$45:$I$59, 8, FALSE), perc_85, perc_75 + (perc_90 - perc_75) * (2/3), converted_stat, '2K_Ratings'!V950, IF(bbgm_stat &gt;= perc_95, converted_stat * 3, IF(bbgm_stat &gt;= perc_90, converted_stat * 2, IF(bbgm_stat &gt;= perc_85, converted_stat * 1.5, converted_stat)))))</f>
        <v/>
      </c>
      <c r="W950" s="30" t="str">
        <f t="array" ref="W950">IF($A950="", "", LET(bbgm_stat, INDEX(Players!$A949:$P949, MATCH(W$2, Players!$A$1:$P$1, 0)), perc_75, VLOOKUP(W$2, Percentiles!$A$45:$I$59, 6, FALSE), perc_90, VLOOKUP(W$2, Percentiles!$A$45:$I$59, 7, FALSE), perc_95, VLOOKUP(W$2, Percentiles!$A$45:$I$59, 8, FALSE), perc_85, perc_75 + (perc_90 - perc_75) * (2/3), converted_stat, '2K_Ratings'!W950, IF(bbgm_stat &gt;= perc_95, converted_stat * 3, IF(bbgm_stat &gt;= perc_90, converted_stat * 2, IF(bbgm_stat &gt;= perc_85, converted_stat * 1.5, converted_stat)))))</f>
        <v/>
      </c>
    </row>
    <row r="951">
      <c r="A951" s="30"/>
      <c r="B951" s="30" t="str">
        <f t="array" ref="B951">IF($A951="", "", LET(bbgm_stat, INDEX(Players!$A950:$P950, MATCH(B$2, Players!$A$1:$P$1, 0)), perc_75, VLOOKUP(B$2, Percentiles!$A$45:$I$59, 6, FALSE), perc_90, VLOOKUP(B$2, Percentiles!$A$45:$I$59, 7, FALSE), perc_95, VLOOKUP(B$2, Percentiles!$A$45:$I$59, 8, FALSE), perc_85, perc_75 + (perc_90 - perc_75) * (2/3), converted_stat, '2K_Ratings'!B951, IF(bbgm_stat &gt;= perc_95, converted_stat * 3, IF(bbgm_stat &gt;= perc_90, converted_stat * 2, IF(bbgm_stat &gt;= perc_85, converted_stat * 1.5, converted_stat)))))</f>
        <v/>
      </c>
      <c r="C951" s="30" t="str">
        <f t="array" ref="C951">IF($A951="", "", LET(bbgm_stat, INDEX(Players!$A950:$P950, MATCH(C$2, Players!$A$1:$P$1, 0)), perc_75, VLOOKUP(C$2, Percentiles!$A$45:$I$59, 6, FALSE), perc_90, VLOOKUP(C$2, Percentiles!$A$45:$I$59, 7, FALSE), perc_95, VLOOKUP(C$2, Percentiles!$A$45:$I$59, 8, FALSE), perc_85, perc_75 + (perc_90 - perc_75) * (2/3), converted_stat, '2K_Ratings'!C951, IF(bbgm_stat &gt;= perc_95, converted_stat * 3, IF(bbgm_stat &gt;= perc_90, converted_stat * 2, IF(bbgm_stat &gt;= perc_85, converted_stat * 1.5, converted_stat)))))</f>
        <v/>
      </c>
      <c r="D951" s="30" t="str">
        <f t="array" ref="D951">IF($A951="", "", LET(bbgm_stat, INDEX(Players!$A950:$P950, MATCH(D$2, Players!$A$1:$P$1, 0)), perc_75, VLOOKUP(D$2, Percentiles!$A$45:$I$59, 6, FALSE), perc_90, VLOOKUP(D$2, Percentiles!$A$45:$I$59, 7, FALSE), perc_95, VLOOKUP(D$2, Percentiles!$A$45:$I$59, 8, FALSE), perc_85, perc_75 + (perc_90 - perc_75) * (2/3), converted_stat, '2K_Ratings'!D951, IF(bbgm_stat &gt;= perc_95, converted_stat * 3, IF(bbgm_stat &gt;= perc_90, converted_stat * 2, IF(bbgm_stat &gt;= perc_85, converted_stat * 1.5, converted_stat)))))</f>
        <v/>
      </c>
      <c r="E951" s="30" t="str">
        <f t="array" ref="E951">IF($A951="", "", LET(bbgm_stat, INDEX(Players!$A950:$P950, MATCH(E$2, Players!$A$1:$P$1, 0)), perc_75, VLOOKUP(E$2, Percentiles!$A$45:$I$59, 6, FALSE), perc_90, VLOOKUP(E$2, Percentiles!$A$45:$I$59, 7, FALSE), perc_95, VLOOKUP(E$2, Percentiles!$A$45:$I$59, 8, FALSE), perc_85, perc_75 + (perc_90 - perc_75) * (2/3), converted_stat, '2K_Ratings'!E951, IF(bbgm_stat &gt;= perc_95, converted_stat * 3, IF(bbgm_stat &gt;= perc_90, converted_stat * 2, IF(bbgm_stat &gt;= perc_85, converted_stat * 1.5, converted_stat)))))</f>
        <v/>
      </c>
      <c r="F951" s="30" t="str">
        <f t="array" ref="F951">IF($A951="", "", LET(bbgm_stat, INDEX(Players!$A950:$P950, MATCH(F$2, Players!$A$1:$P$1, 0)), perc_75, VLOOKUP(F$2, Percentiles!$A$45:$I$59, 6, FALSE), perc_90, VLOOKUP(F$2, Percentiles!$A$45:$I$59, 7, FALSE), perc_95, VLOOKUP(F$2, Percentiles!$A$45:$I$59, 8, FALSE), perc_85, perc_75 + (perc_90 - perc_75) * (2/3), converted_stat, '2K_Ratings'!F951, IF(bbgm_stat &gt;= perc_95, converted_stat * 3, IF(bbgm_stat &gt;= perc_90, converted_stat * 2, IF(bbgm_stat &gt;= perc_85, converted_stat * 1.5, converted_stat)))))</f>
        <v/>
      </c>
      <c r="G951" s="30" t="str">
        <f t="array" ref="G951">IF($A951="", "", LET(bbgm_stat, INDEX(Players!$A950:$P950, MATCH(G$2, Players!$A$1:$P$1, 0)), perc_75, VLOOKUP(G$2, Percentiles!$A$45:$I$59, 6, FALSE), perc_90, VLOOKUP(G$2, Percentiles!$A$45:$I$59, 7, FALSE), perc_95, VLOOKUP(G$2, Percentiles!$A$45:$I$59, 8, FALSE), perc_85, perc_75 + (perc_90 - perc_75) * (2/3), converted_stat, '2K_Ratings'!G951, IF(bbgm_stat &gt;= perc_95, converted_stat * 3, IF(bbgm_stat &gt;= perc_90, converted_stat * 2, IF(bbgm_stat &gt;= perc_85, converted_stat * 1.5, converted_stat)))))</f>
        <v/>
      </c>
      <c r="H951" s="30" t="str">
        <f t="array" ref="H951">IF($A951="", "", LET(bbgm_stat, INDEX(Players!$A950:$P950, MATCH(H$2, Players!$A$1:$P$1, 0)), perc_75, VLOOKUP(H$2, Percentiles!$A$45:$I$59, 6, FALSE), perc_90, VLOOKUP(H$2, Percentiles!$A$45:$I$59, 7, FALSE), perc_95, VLOOKUP(H$2, Percentiles!$A$45:$I$59, 8, FALSE), perc_85, perc_75 + (perc_90 - perc_75) * (2/3), converted_stat, '2K_Ratings'!H951, IF(bbgm_stat &gt;= perc_95, converted_stat * 3, IF(bbgm_stat &gt;= perc_90, converted_stat * 2, IF(bbgm_stat &gt;= perc_85, converted_stat * 1.5, converted_stat)))))</f>
        <v/>
      </c>
      <c r="I951" s="30" t="str">
        <f t="array" ref="I951">IF($A951="", "", LET(bbgm_stat, INDEX(Players!$A950:$P950, MATCH(I$2, Players!$A$1:$P$1, 0)), perc_75, VLOOKUP(I$2, Percentiles!$A$45:$I$59, 6, FALSE), perc_90, VLOOKUP(I$2, Percentiles!$A$45:$I$59, 7, FALSE), perc_95, VLOOKUP(I$2, Percentiles!$A$45:$I$59, 8, FALSE), perc_85, perc_75 + (perc_90 - perc_75) * (2/3), converted_stat, '2K_Ratings'!I951, IF(bbgm_stat &gt;= perc_95, converted_stat * 3, IF(bbgm_stat &gt;= perc_90, converted_stat * 2, IF(bbgm_stat &gt;= perc_85, converted_stat * 1.5, converted_stat)))))</f>
        <v/>
      </c>
      <c r="J951" s="30" t="str">
        <f t="array" ref="J951">IF($A951="", "", LET(bbgm_stat, INDEX(Players!$A950:$P950, MATCH(J$2, Players!$A$1:$P$1, 0)), perc_75, VLOOKUP(J$2, Percentiles!$A$45:$I$59, 6, FALSE), perc_90, VLOOKUP(J$2, Percentiles!$A$45:$I$59, 7, FALSE), perc_95, VLOOKUP(J$2, Percentiles!$A$45:$I$59, 8, FALSE), perc_85, perc_75 + (perc_90 - perc_75) * (2/3), converted_stat, '2K_Ratings'!J951, IF(bbgm_stat &gt;= perc_95, converted_stat * 3, IF(bbgm_stat &gt;= perc_90, converted_stat * 2, IF(bbgm_stat &gt;= perc_85, converted_stat * 1.5, converted_stat)))))</f>
        <v/>
      </c>
      <c r="K951" s="30" t="str">
        <f t="array" ref="K951">IF($A951="", "", LET(bbgm_stat, INDEX(Players!$A950:$P950, MATCH(K$2, Players!$A$1:$P$1, 0)), perc_75, VLOOKUP(K$2, Percentiles!$A$45:$I$59, 6, FALSE), perc_90, VLOOKUP(K$2, Percentiles!$A$45:$I$59, 7, FALSE), perc_95, VLOOKUP(K$2, Percentiles!$A$45:$I$59, 8, FALSE), perc_85, perc_75 + (perc_90 - perc_75) * (2/3), converted_stat, '2K_Ratings'!K951, IF(bbgm_stat &gt;= perc_95, converted_stat * 3, IF(bbgm_stat &gt;= perc_90, converted_stat * 2, IF(bbgm_stat &gt;= perc_85, converted_stat * 1.5, converted_stat)))))</f>
        <v/>
      </c>
      <c r="L951" s="30" t="str">
        <f t="array" ref="L951">IF($A951="", "", LET(bbgm_stat, INDEX(Players!$A950:$P950, MATCH(L$2, Players!$A$1:$P$1, 0)), perc_75, VLOOKUP(L$2, Percentiles!$A$45:$I$59, 6, FALSE), perc_90, VLOOKUP(L$2, Percentiles!$A$45:$I$59, 7, FALSE), perc_95, VLOOKUP(L$2, Percentiles!$A$45:$I$59, 8, FALSE), perc_85, perc_75 + (perc_90 - perc_75) * (2/3), converted_stat, '2K_Ratings'!L951, IF(bbgm_stat &gt;= perc_95, converted_stat * 3, IF(bbgm_stat &gt;= perc_90, converted_stat * 2, IF(bbgm_stat &gt;= perc_85, converted_stat * 1.5, converted_stat)))))</f>
        <v/>
      </c>
      <c r="M951" s="30" t="str">
        <f t="array" ref="M951">IF($A951="", "", LET(bbgm_stat, INDEX(Players!$A950:$P950, MATCH(M$2, Players!$A$1:$P$1, 0)), perc_75, VLOOKUP(M$2, Percentiles!$A$45:$I$59, 6, FALSE), perc_90, VLOOKUP(M$2, Percentiles!$A$45:$I$59, 7, FALSE), perc_95, VLOOKUP(M$2, Percentiles!$A$45:$I$59, 8, FALSE), perc_85, perc_75 + (perc_90 - perc_75) * (2/3), converted_stat, '2K_Ratings'!M951, IF(bbgm_stat &gt;= perc_95, converted_stat * 3, IF(bbgm_stat &gt;= perc_90, converted_stat * 2, IF(bbgm_stat &gt;= perc_85, converted_stat * 1.5, converted_stat)))))</f>
        <v/>
      </c>
      <c r="N951" s="30" t="str">
        <f t="array" ref="N951">IF($A951="", "", LET(bbgm_stat, INDEX(Players!$A950:$P950, MATCH(N$2, Players!$A$1:$P$1, 0)), perc_75, VLOOKUP(N$2, Percentiles!$A$45:$I$59, 6, FALSE), perc_90, VLOOKUP(N$2, Percentiles!$A$45:$I$59, 7, FALSE), perc_95, VLOOKUP(N$2, Percentiles!$A$45:$I$59, 8, FALSE), perc_85, perc_75 + (perc_90 - perc_75) * (2/3), converted_stat, '2K_Ratings'!N951, IF(bbgm_stat &gt;= perc_95, converted_stat * 3, IF(bbgm_stat &gt;= perc_90, converted_stat * 2, IF(bbgm_stat &gt;= perc_85, converted_stat * 1.5, converted_stat)))))</f>
        <v/>
      </c>
      <c r="O951" s="30" t="str">
        <f t="array" ref="O951">IF($A951="", "", LET(bbgm_stat, INDEX(Players!$A950:$P950, MATCH(O$2, Players!$A$1:$P$1, 0)), perc_75, VLOOKUP(O$2, Percentiles!$A$45:$I$59, 6, FALSE), perc_90, VLOOKUP(O$2, Percentiles!$A$45:$I$59, 7, FALSE), perc_95, VLOOKUP(O$2, Percentiles!$A$45:$I$59, 8, FALSE), perc_85, perc_75 + (perc_90 - perc_75) * (2/3), converted_stat, '2K_Ratings'!O951, IF(bbgm_stat &gt;= perc_95, converted_stat * 3, IF(bbgm_stat &gt;= perc_90, converted_stat * 2, IF(bbgm_stat &gt;= perc_85, converted_stat * 1.5, converted_stat)))))</f>
        <v/>
      </c>
      <c r="P951" s="30" t="str">
        <f t="array" ref="P951">IF($A951="", "", LET(bbgm_stat, INDEX(Players!$A950:$P950, MATCH(P$2, Players!$A$1:$P$1, 0)), perc_75, VLOOKUP(P$2, Percentiles!$A$45:$I$59, 6, FALSE), perc_90, VLOOKUP(P$2, Percentiles!$A$45:$I$59, 7, FALSE), perc_95, VLOOKUP(P$2, Percentiles!$A$45:$I$59, 8, FALSE), perc_85, perc_75 + (perc_90 - perc_75) * (2/3), converted_stat, '2K_Ratings'!P951, IF(bbgm_stat &gt;= perc_95, converted_stat * 3, IF(bbgm_stat &gt;= perc_90, converted_stat * 2, IF(bbgm_stat &gt;= perc_85, converted_stat * 1.5, converted_stat)))))</f>
        <v/>
      </c>
      <c r="Q951" s="30" t="str">
        <f t="array" ref="Q951">IF($A951="", "", LET(bbgm_stat, INDEX(Players!$A950:$P950, MATCH(Q$2, Players!$A$1:$P$1, 0)), perc_75, VLOOKUP(Q$2, Percentiles!$A$45:$I$59, 6, FALSE), perc_90, VLOOKUP(Q$2, Percentiles!$A$45:$I$59, 7, FALSE), perc_95, VLOOKUP(Q$2, Percentiles!$A$45:$I$59, 8, FALSE), perc_85, perc_75 + (perc_90 - perc_75) * (2/3), converted_stat, '2K_Ratings'!Q951, IF(bbgm_stat &gt;= perc_95, converted_stat * 3, IF(bbgm_stat &gt;= perc_90, converted_stat * 2, IF(bbgm_stat &gt;= perc_85, converted_stat * 1.5, converted_stat)))))</f>
        <v/>
      </c>
      <c r="R951" s="30" t="str">
        <f t="array" ref="R951">IF($A951="", "", LET(bbgm_stat, INDEX(Players!$A950:$P950, MATCH(R$2, Players!$A$1:$P$1, 0)), perc_75, VLOOKUP(R$2, Percentiles!$A$45:$I$59, 6, FALSE), perc_90, VLOOKUP(R$2, Percentiles!$A$45:$I$59, 7, FALSE), perc_95, VLOOKUP(R$2, Percentiles!$A$45:$I$59, 8, FALSE), perc_85, perc_75 + (perc_90 - perc_75) * (2/3), converted_stat, '2K_Ratings'!R951, IF(bbgm_stat &gt;= perc_95, converted_stat * 3, IF(bbgm_stat &gt;= perc_90, converted_stat * 2, IF(bbgm_stat &gt;= perc_85, converted_stat * 1.5, converted_stat)))))</f>
        <v/>
      </c>
      <c r="S951" s="30" t="str">
        <f t="array" ref="S951">IF($A951="", "", LET(bbgm_stat, INDEX(Players!$A950:$P950, MATCH(S$2, Players!$A$1:$P$1, 0)), perc_75, VLOOKUP(S$2, Percentiles!$A$45:$I$59, 6, FALSE), perc_90, VLOOKUP(S$2, Percentiles!$A$45:$I$59, 7, FALSE), perc_95, VLOOKUP(S$2, Percentiles!$A$45:$I$59, 8, FALSE), perc_85, perc_75 + (perc_90 - perc_75) * (2/3), converted_stat, '2K_Ratings'!S951, IF(bbgm_stat &gt;= perc_95, converted_stat * 3, IF(bbgm_stat &gt;= perc_90, converted_stat * 2, IF(bbgm_stat &gt;= perc_85, converted_stat * 1.5, converted_stat)))))</f>
        <v/>
      </c>
      <c r="T951" s="30" t="str">
        <f t="array" ref="T951">IF($A951="", "", LET(bbgm_stat, INDEX(Players!$A950:$P950, MATCH(T$2, Players!$A$1:$P$1, 0)), perc_75, VLOOKUP(T$2, Percentiles!$A$45:$I$59, 6, FALSE), perc_90, VLOOKUP(T$2, Percentiles!$A$45:$I$59, 7, FALSE), perc_95, VLOOKUP(T$2, Percentiles!$A$45:$I$59, 8, FALSE), perc_85, perc_75 + (perc_90 - perc_75) * (2/3), converted_stat, '2K_Ratings'!T951, IF(bbgm_stat &gt;= perc_95, converted_stat * 3, IF(bbgm_stat &gt;= perc_90, converted_stat * 2, IF(bbgm_stat &gt;= perc_85, converted_stat * 1.5, converted_stat)))))</f>
        <v/>
      </c>
      <c r="U951" s="30" t="str">
        <f t="array" ref="U951">IF($A951="", "", LET(bbgm_stat, INDEX(Players!$A950:$P950, MATCH(U$2, Players!$A$1:$P$1, 0)), perc_75, VLOOKUP(U$2, Percentiles!$A$45:$I$59, 6, FALSE), perc_90, VLOOKUP(U$2, Percentiles!$A$45:$I$59, 7, FALSE), perc_95, VLOOKUP(U$2, Percentiles!$A$45:$I$59, 8, FALSE), perc_85, perc_75 + (perc_90 - perc_75) * (2/3), converted_stat, '2K_Ratings'!U951, IF(bbgm_stat &gt;= perc_95, converted_stat * 3, IF(bbgm_stat &gt;= perc_90, converted_stat * 2, IF(bbgm_stat &gt;= perc_85, converted_stat * 1.5, converted_stat)))))</f>
        <v/>
      </c>
      <c r="V951" s="30" t="str">
        <f t="array" ref="V951">IF($A951="", "", LET(bbgm_stat, INDEX(Players!$A950:$P950, MATCH(V$2, Players!$A$1:$P$1, 0)), perc_75, VLOOKUP(V$2, Percentiles!$A$45:$I$59, 6, FALSE), perc_90, VLOOKUP(V$2, Percentiles!$A$45:$I$59, 7, FALSE), perc_95, VLOOKUP(V$2, Percentiles!$A$45:$I$59, 8, FALSE), perc_85, perc_75 + (perc_90 - perc_75) * (2/3), converted_stat, '2K_Ratings'!V951, IF(bbgm_stat &gt;= perc_95, converted_stat * 3, IF(bbgm_stat &gt;= perc_90, converted_stat * 2, IF(bbgm_stat &gt;= perc_85, converted_stat * 1.5, converted_stat)))))</f>
        <v/>
      </c>
      <c r="W951" s="30" t="str">
        <f t="array" ref="W951">IF($A951="", "", LET(bbgm_stat, INDEX(Players!$A950:$P950, MATCH(W$2, Players!$A$1:$P$1, 0)), perc_75, VLOOKUP(W$2, Percentiles!$A$45:$I$59, 6, FALSE), perc_90, VLOOKUP(W$2, Percentiles!$A$45:$I$59, 7, FALSE), perc_95, VLOOKUP(W$2, Percentiles!$A$45:$I$59, 8, FALSE), perc_85, perc_75 + (perc_90 - perc_75) * (2/3), converted_stat, '2K_Ratings'!W951, IF(bbgm_stat &gt;= perc_95, converted_stat * 3, IF(bbgm_stat &gt;= perc_90, converted_stat * 2, IF(bbgm_stat &gt;= perc_85, converted_stat * 1.5, converted_stat)))))</f>
        <v/>
      </c>
    </row>
    <row r="952">
      <c r="A952" s="30"/>
      <c r="B952" s="30" t="str">
        <f t="array" ref="B952">IF($A952="", "", LET(bbgm_stat, INDEX(Players!$A951:$P951, MATCH(B$2, Players!$A$1:$P$1, 0)), perc_75, VLOOKUP(B$2, Percentiles!$A$45:$I$59, 6, FALSE), perc_90, VLOOKUP(B$2, Percentiles!$A$45:$I$59, 7, FALSE), perc_95, VLOOKUP(B$2, Percentiles!$A$45:$I$59, 8, FALSE), perc_85, perc_75 + (perc_90 - perc_75) * (2/3), converted_stat, '2K_Ratings'!B952, IF(bbgm_stat &gt;= perc_95, converted_stat * 3, IF(bbgm_stat &gt;= perc_90, converted_stat * 2, IF(bbgm_stat &gt;= perc_85, converted_stat * 1.5, converted_stat)))))</f>
        <v/>
      </c>
      <c r="C952" s="30" t="str">
        <f t="array" ref="C952">IF($A952="", "", LET(bbgm_stat, INDEX(Players!$A951:$P951, MATCH(C$2, Players!$A$1:$P$1, 0)), perc_75, VLOOKUP(C$2, Percentiles!$A$45:$I$59, 6, FALSE), perc_90, VLOOKUP(C$2, Percentiles!$A$45:$I$59, 7, FALSE), perc_95, VLOOKUP(C$2, Percentiles!$A$45:$I$59, 8, FALSE), perc_85, perc_75 + (perc_90 - perc_75) * (2/3), converted_stat, '2K_Ratings'!C952, IF(bbgm_stat &gt;= perc_95, converted_stat * 3, IF(bbgm_stat &gt;= perc_90, converted_stat * 2, IF(bbgm_stat &gt;= perc_85, converted_stat * 1.5, converted_stat)))))</f>
        <v/>
      </c>
      <c r="D952" s="30" t="str">
        <f t="array" ref="D952">IF($A952="", "", LET(bbgm_stat, INDEX(Players!$A951:$P951, MATCH(D$2, Players!$A$1:$P$1, 0)), perc_75, VLOOKUP(D$2, Percentiles!$A$45:$I$59, 6, FALSE), perc_90, VLOOKUP(D$2, Percentiles!$A$45:$I$59, 7, FALSE), perc_95, VLOOKUP(D$2, Percentiles!$A$45:$I$59, 8, FALSE), perc_85, perc_75 + (perc_90 - perc_75) * (2/3), converted_stat, '2K_Ratings'!D952, IF(bbgm_stat &gt;= perc_95, converted_stat * 3, IF(bbgm_stat &gt;= perc_90, converted_stat * 2, IF(bbgm_stat &gt;= perc_85, converted_stat * 1.5, converted_stat)))))</f>
        <v/>
      </c>
      <c r="E952" s="30" t="str">
        <f t="array" ref="E952">IF($A952="", "", LET(bbgm_stat, INDEX(Players!$A951:$P951, MATCH(E$2, Players!$A$1:$P$1, 0)), perc_75, VLOOKUP(E$2, Percentiles!$A$45:$I$59, 6, FALSE), perc_90, VLOOKUP(E$2, Percentiles!$A$45:$I$59, 7, FALSE), perc_95, VLOOKUP(E$2, Percentiles!$A$45:$I$59, 8, FALSE), perc_85, perc_75 + (perc_90 - perc_75) * (2/3), converted_stat, '2K_Ratings'!E952, IF(bbgm_stat &gt;= perc_95, converted_stat * 3, IF(bbgm_stat &gt;= perc_90, converted_stat * 2, IF(bbgm_stat &gt;= perc_85, converted_stat * 1.5, converted_stat)))))</f>
        <v/>
      </c>
      <c r="F952" s="30" t="str">
        <f t="array" ref="F952">IF($A952="", "", LET(bbgm_stat, INDEX(Players!$A951:$P951, MATCH(F$2, Players!$A$1:$P$1, 0)), perc_75, VLOOKUP(F$2, Percentiles!$A$45:$I$59, 6, FALSE), perc_90, VLOOKUP(F$2, Percentiles!$A$45:$I$59, 7, FALSE), perc_95, VLOOKUP(F$2, Percentiles!$A$45:$I$59, 8, FALSE), perc_85, perc_75 + (perc_90 - perc_75) * (2/3), converted_stat, '2K_Ratings'!F952, IF(bbgm_stat &gt;= perc_95, converted_stat * 3, IF(bbgm_stat &gt;= perc_90, converted_stat * 2, IF(bbgm_stat &gt;= perc_85, converted_stat * 1.5, converted_stat)))))</f>
        <v/>
      </c>
      <c r="G952" s="30" t="str">
        <f t="array" ref="G952">IF($A952="", "", LET(bbgm_stat, INDEX(Players!$A951:$P951, MATCH(G$2, Players!$A$1:$P$1, 0)), perc_75, VLOOKUP(G$2, Percentiles!$A$45:$I$59, 6, FALSE), perc_90, VLOOKUP(G$2, Percentiles!$A$45:$I$59, 7, FALSE), perc_95, VLOOKUP(G$2, Percentiles!$A$45:$I$59, 8, FALSE), perc_85, perc_75 + (perc_90 - perc_75) * (2/3), converted_stat, '2K_Ratings'!G952, IF(bbgm_stat &gt;= perc_95, converted_stat * 3, IF(bbgm_stat &gt;= perc_90, converted_stat * 2, IF(bbgm_stat &gt;= perc_85, converted_stat * 1.5, converted_stat)))))</f>
        <v/>
      </c>
      <c r="H952" s="30" t="str">
        <f t="array" ref="H952">IF($A952="", "", LET(bbgm_stat, INDEX(Players!$A951:$P951, MATCH(H$2, Players!$A$1:$P$1, 0)), perc_75, VLOOKUP(H$2, Percentiles!$A$45:$I$59, 6, FALSE), perc_90, VLOOKUP(H$2, Percentiles!$A$45:$I$59, 7, FALSE), perc_95, VLOOKUP(H$2, Percentiles!$A$45:$I$59, 8, FALSE), perc_85, perc_75 + (perc_90 - perc_75) * (2/3), converted_stat, '2K_Ratings'!H952, IF(bbgm_stat &gt;= perc_95, converted_stat * 3, IF(bbgm_stat &gt;= perc_90, converted_stat * 2, IF(bbgm_stat &gt;= perc_85, converted_stat * 1.5, converted_stat)))))</f>
        <v/>
      </c>
      <c r="I952" s="30" t="str">
        <f t="array" ref="I952">IF($A952="", "", LET(bbgm_stat, INDEX(Players!$A951:$P951, MATCH(I$2, Players!$A$1:$P$1, 0)), perc_75, VLOOKUP(I$2, Percentiles!$A$45:$I$59, 6, FALSE), perc_90, VLOOKUP(I$2, Percentiles!$A$45:$I$59, 7, FALSE), perc_95, VLOOKUP(I$2, Percentiles!$A$45:$I$59, 8, FALSE), perc_85, perc_75 + (perc_90 - perc_75) * (2/3), converted_stat, '2K_Ratings'!I952, IF(bbgm_stat &gt;= perc_95, converted_stat * 3, IF(bbgm_stat &gt;= perc_90, converted_stat * 2, IF(bbgm_stat &gt;= perc_85, converted_stat * 1.5, converted_stat)))))</f>
        <v/>
      </c>
      <c r="J952" s="30" t="str">
        <f t="array" ref="J952">IF($A952="", "", LET(bbgm_stat, INDEX(Players!$A951:$P951, MATCH(J$2, Players!$A$1:$P$1, 0)), perc_75, VLOOKUP(J$2, Percentiles!$A$45:$I$59, 6, FALSE), perc_90, VLOOKUP(J$2, Percentiles!$A$45:$I$59, 7, FALSE), perc_95, VLOOKUP(J$2, Percentiles!$A$45:$I$59, 8, FALSE), perc_85, perc_75 + (perc_90 - perc_75) * (2/3), converted_stat, '2K_Ratings'!J952, IF(bbgm_stat &gt;= perc_95, converted_stat * 3, IF(bbgm_stat &gt;= perc_90, converted_stat * 2, IF(bbgm_stat &gt;= perc_85, converted_stat * 1.5, converted_stat)))))</f>
        <v/>
      </c>
      <c r="K952" s="30" t="str">
        <f t="array" ref="K952">IF($A952="", "", LET(bbgm_stat, INDEX(Players!$A951:$P951, MATCH(K$2, Players!$A$1:$P$1, 0)), perc_75, VLOOKUP(K$2, Percentiles!$A$45:$I$59, 6, FALSE), perc_90, VLOOKUP(K$2, Percentiles!$A$45:$I$59, 7, FALSE), perc_95, VLOOKUP(K$2, Percentiles!$A$45:$I$59, 8, FALSE), perc_85, perc_75 + (perc_90 - perc_75) * (2/3), converted_stat, '2K_Ratings'!K952, IF(bbgm_stat &gt;= perc_95, converted_stat * 3, IF(bbgm_stat &gt;= perc_90, converted_stat * 2, IF(bbgm_stat &gt;= perc_85, converted_stat * 1.5, converted_stat)))))</f>
        <v/>
      </c>
      <c r="L952" s="30" t="str">
        <f t="array" ref="L952">IF($A952="", "", LET(bbgm_stat, INDEX(Players!$A951:$P951, MATCH(L$2, Players!$A$1:$P$1, 0)), perc_75, VLOOKUP(L$2, Percentiles!$A$45:$I$59, 6, FALSE), perc_90, VLOOKUP(L$2, Percentiles!$A$45:$I$59, 7, FALSE), perc_95, VLOOKUP(L$2, Percentiles!$A$45:$I$59, 8, FALSE), perc_85, perc_75 + (perc_90 - perc_75) * (2/3), converted_stat, '2K_Ratings'!L952, IF(bbgm_stat &gt;= perc_95, converted_stat * 3, IF(bbgm_stat &gt;= perc_90, converted_stat * 2, IF(bbgm_stat &gt;= perc_85, converted_stat * 1.5, converted_stat)))))</f>
        <v/>
      </c>
      <c r="M952" s="30" t="str">
        <f t="array" ref="M952">IF($A952="", "", LET(bbgm_stat, INDEX(Players!$A951:$P951, MATCH(M$2, Players!$A$1:$P$1, 0)), perc_75, VLOOKUP(M$2, Percentiles!$A$45:$I$59, 6, FALSE), perc_90, VLOOKUP(M$2, Percentiles!$A$45:$I$59, 7, FALSE), perc_95, VLOOKUP(M$2, Percentiles!$A$45:$I$59, 8, FALSE), perc_85, perc_75 + (perc_90 - perc_75) * (2/3), converted_stat, '2K_Ratings'!M952, IF(bbgm_stat &gt;= perc_95, converted_stat * 3, IF(bbgm_stat &gt;= perc_90, converted_stat * 2, IF(bbgm_stat &gt;= perc_85, converted_stat * 1.5, converted_stat)))))</f>
        <v/>
      </c>
      <c r="N952" s="30" t="str">
        <f t="array" ref="N952">IF($A952="", "", LET(bbgm_stat, INDEX(Players!$A951:$P951, MATCH(N$2, Players!$A$1:$P$1, 0)), perc_75, VLOOKUP(N$2, Percentiles!$A$45:$I$59, 6, FALSE), perc_90, VLOOKUP(N$2, Percentiles!$A$45:$I$59, 7, FALSE), perc_95, VLOOKUP(N$2, Percentiles!$A$45:$I$59, 8, FALSE), perc_85, perc_75 + (perc_90 - perc_75) * (2/3), converted_stat, '2K_Ratings'!N952, IF(bbgm_stat &gt;= perc_95, converted_stat * 3, IF(bbgm_stat &gt;= perc_90, converted_stat * 2, IF(bbgm_stat &gt;= perc_85, converted_stat * 1.5, converted_stat)))))</f>
        <v/>
      </c>
      <c r="O952" s="30" t="str">
        <f t="array" ref="O952">IF($A952="", "", LET(bbgm_stat, INDEX(Players!$A951:$P951, MATCH(O$2, Players!$A$1:$P$1, 0)), perc_75, VLOOKUP(O$2, Percentiles!$A$45:$I$59, 6, FALSE), perc_90, VLOOKUP(O$2, Percentiles!$A$45:$I$59, 7, FALSE), perc_95, VLOOKUP(O$2, Percentiles!$A$45:$I$59, 8, FALSE), perc_85, perc_75 + (perc_90 - perc_75) * (2/3), converted_stat, '2K_Ratings'!O952, IF(bbgm_stat &gt;= perc_95, converted_stat * 3, IF(bbgm_stat &gt;= perc_90, converted_stat * 2, IF(bbgm_stat &gt;= perc_85, converted_stat * 1.5, converted_stat)))))</f>
        <v/>
      </c>
      <c r="P952" s="30" t="str">
        <f t="array" ref="P952">IF($A952="", "", LET(bbgm_stat, INDEX(Players!$A951:$P951, MATCH(P$2, Players!$A$1:$P$1, 0)), perc_75, VLOOKUP(P$2, Percentiles!$A$45:$I$59, 6, FALSE), perc_90, VLOOKUP(P$2, Percentiles!$A$45:$I$59, 7, FALSE), perc_95, VLOOKUP(P$2, Percentiles!$A$45:$I$59, 8, FALSE), perc_85, perc_75 + (perc_90 - perc_75) * (2/3), converted_stat, '2K_Ratings'!P952, IF(bbgm_stat &gt;= perc_95, converted_stat * 3, IF(bbgm_stat &gt;= perc_90, converted_stat * 2, IF(bbgm_stat &gt;= perc_85, converted_stat * 1.5, converted_stat)))))</f>
        <v/>
      </c>
      <c r="Q952" s="30" t="str">
        <f t="array" ref="Q952">IF($A952="", "", LET(bbgm_stat, INDEX(Players!$A951:$P951, MATCH(Q$2, Players!$A$1:$P$1, 0)), perc_75, VLOOKUP(Q$2, Percentiles!$A$45:$I$59, 6, FALSE), perc_90, VLOOKUP(Q$2, Percentiles!$A$45:$I$59, 7, FALSE), perc_95, VLOOKUP(Q$2, Percentiles!$A$45:$I$59, 8, FALSE), perc_85, perc_75 + (perc_90 - perc_75) * (2/3), converted_stat, '2K_Ratings'!Q952, IF(bbgm_stat &gt;= perc_95, converted_stat * 3, IF(bbgm_stat &gt;= perc_90, converted_stat * 2, IF(bbgm_stat &gt;= perc_85, converted_stat * 1.5, converted_stat)))))</f>
        <v/>
      </c>
      <c r="R952" s="30" t="str">
        <f t="array" ref="R952">IF($A952="", "", LET(bbgm_stat, INDEX(Players!$A951:$P951, MATCH(R$2, Players!$A$1:$P$1, 0)), perc_75, VLOOKUP(R$2, Percentiles!$A$45:$I$59, 6, FALSE), perc_90, VLOOKUP(R$2, Percentiles!$A$45:$I$59, 7, FALSE), perc_95, VLOOKUP(R$2, Percentiles!$A$45:$I$59, 8, FALSE), perc_85, perc_75 + (perc_90 - perc_75) * (2/3), converted_stat, '2K_Ratings'!R952, IF(bbgm_stat &gt;= perc_95, converted_stat * 3, IF(bbgm_stat &gt;= perc_90, converted_stat * 2, IF(bbgm_stat &gt;= perc_85, converted_stat * 1.5, converted_stat)))))</f>
        <v/>
      </c>
      <c r="S952" s="30" t="str">
        <f t="array" ref="S952">IF($A952="", "", LET(bbgm_stat, INDEX(Players!$A951:$P951, MATCH(S$2, Players!$A$1:$P$1, 0)), perc_75, VLOOKUP(S$2, Percentiles!$A$45:$I$59, 6, FALSE), perc_90, VLOOKUP(S$2, Percentiles!$A$45:$I$59, 7, FALSE), perc_95, VLOOKUP(S$2, Percentiles!$A$45:$I$59, 8, FALSE), perc_85, perc_75 + (perc_90 - perc_75) * (2/3), converted_stat, '2K_Ratings'!S952, IF(bbgm_stat &gt;= perc_95, converted_stat * 3, IF(bbgm_stat &gt;= perc_90, converted_stat * 2, IF(bbgm_stat &gt;= perc_85, converted_stat * 1.5, converted_stat)))))</f>
        <v/>
      </c>
      <c r="T952" s="30" t="str">
        <f t="array" ref="T952">IF($A952="", "", LET(bbgm_stat, INDEX(Players!$A951:$P951, MATCH(T$2, Players!$A$1:$P$1, 0)), perc_75, VLOOKUP(T$2, Percentiles!$A$45:$I$59, 6, FALSE), perc_90, VLOOKUP(T$2, Percentiles!$A$45:$I$59, 7, FALSE), perc_95, VLOOKUP(T$2, Percentiles!$A$45:$I$59, 8, FALSE), perc_85, perc_75 + (perc_90 - perc_75) * (2/3), converted_stat, '2K_Ratings'!T952, IF(bbgm_stat &gt;= perc_95, converted_stat * 3, IF(bbgm_stat &gt;= perc_90, converted_stat * 2, IF(bbgm_stat &gt;= perc_85, converted_stat * 1.5, converted_stat)))))</f>
        <v/>
      </c>
      <c r="U952" s="30" t="str">
        <f t="array" ref="U952">IF($A952="", "", LET(bbgm_stat, INDEX(Players!$A951:$P951, MATCH(U$2, Players!$A$1:$P$1, 0)), perc_75, VLOOKUP(U$2, Percentiles!$A$45:$I$59, 6, FALSE), perc_90, VLOOKUP(U$2, Percentiles!$A$45:$I$59, 7, FALSE), perc_95, VLOOKUP(U$2, Percentiles!$A$45:$I$59, 8, FALSE), perc_85, perc_75 + (perc_90 - perc_75) * (2/3), converted_stat, '2K_Ratings'!U952, IF(bbgm_stat &gt;= perc_95, converted_stat * 3, IF(bbgm_stat &gt;= perc_90, converted_stat * 2, IF(bbgm_stat &gt;= perc_85, converted_stat * 1.5, converted_stat)))))</f>
        <v/>
      </c>
      <c r="V952" s="30" t="str">
        <f t="array" ref="V952">IF($A952="", "", LET(bbgm_stat, INDEX(Players!$A951:$P951, MATCH(V$2, Players!$A$1:$P$1, 0)), perc_75, VLOOKUP(V$2, Percentiles!$A$45:$I$59, 6, FALSE), perc_90, VLOOKUP(V$2, Percentiles!$A$45:$I$59, 7, FALSE), perc_95, VLOOKUP(V$2, Percentiles!$A$45:$I$59, 8, FALSE), perc_85, perc_75 + (perc_90 - perc_75) * (2/3), converted_stat, '2K_Ratings'!V952, IF(bbgm_stat &gt;= perc_95, converted_stat * 3, IF(bbgm_stat &gt;= perc_90, converted_stat * 2, IF(bbgm_stat &gt;= perc_85, converted_stat * 1.5, converted_stat)))))</f>
        <v/>
      </c>
      <c r="W952" s="30" t="str">
        <f t="array" ref="W952">IF($A952="", "", LET(bbgm_stat, INDEX(Players!$A951:$P951, MATCH(W$2, Players!$A$1:$P$1, 0)), perc_75, VLOOKUP(W$2, Percentiles!$A$45:$I$59, 6, FALSE), perc_90, VLOOKUP(W$2, Percentiles!$A$45:$I$59, 7, FALSE), perc_95, VLOOKUP(W$2, Percentiles!$A$45:$I$59, 8, FALSE), perc_85, perc_75 + (perc_90 - perc_75) * (2/3), converted_stat, '2K_Ratings'!W952, IF(bbgm_stat &gt;= perc_95, converted_stat * 3, IF(bbgm_stat &gt;= perc_90, converted_stat * 2, IF(bbgm_stat &gt;= perc_85, converted_stat * 1.5, converted_stat)))))</f>
        <v/>
      </c>
    </row>
    <row r="953">
      <c r="A953" s="30"/>
      <c r="B953" s="30" t="str">
        <f t="array" ref="B953">IF($A953="", "", LET(bbgm_stat, INDEX(Players!$A952:$P952, MATCH(B$2, Players!$A$1:$P$1, 0)), perc_75, VLOOKUP(B$2, Percentiles!$A$45:$I$59, 6, FALSE), perc_90, VLOOKUP(B$2, Percentiles!$A$45:$I$59, 7, FALSE), perc_95, VLOOKUP(B$2, Percentiles!$A$45:$I$59, 8, FALSE), perc_85, perc_75 + (perc_90 - perc_75) * (2/3), converted_stat, '2K_Ratings'!B953, IF(bbgm_stat &gt;= perc_95, converted_stat * 3, IF(bbgm_stat &gt;= perc_90, converted_stat * 2, IF(bbgm_stat &gt;= perc_85, converted_stat * 1.5, converted_stat)))))</f>
        <v/>
      </c>
      <c r="C953" s="30" t="str">
        <f t="array" ref="C953">IF($A953="", "", LET(bbgm_stat, INDEX(Players!$A952:$P952, MATCH(C$2, Players!$A$1:$P$1, 0)), perc_75, VLOOKUP(C$2, Percentiles!$A$45:$I$59, 6, FALSE), perc_90, VLOOKUP(C$2, Percentiles!$A$45:$I$59, 7, FALSE), perc_95, VLOOKUP(C$2, Percentiles!$A$45:$I$59, 8, FALSE), perc_85, perc_75 + (perc_90 - perc_75) * (2/3), converted_stat, '2K_Ratings'!C953, IF(bbgm_stat &gt;= perc_95, converted_stat * 3, IF(bbgm_stat &gt;= perc_90, converted_stat * 2, IF(bbgm_stat &gt;= perc_85, converted_stat * 1.5, converted_stat)))))</f>
        <v/>
      </c>
      <c r="D953" s="30" t="str">
        <f t="array" ref="D953">IF($A953="", "", LET(bbgm_stat, INDEX(Players!$A952:$P952, MATCH(D$2, Players!$A$1:$P$1, 0)), perc_75, VLOOKUP(D$2, Percentiles!$A$45:$I$59, 6, FALSE), perc_90, VLOOKUP(D$2, Percentiles!$A$45:$I$59, 7, FALSE), perc_95, VLOOKUP(D$2, Percentiles!$A$45:$I$59, 8, FALSE), perc_85, perc_75 + (perc_90 - perc_75) * (2/3), converted_stat, '2K_Ratings'!D953, IF(bbgm_stat &gt;= perc_95, converted_stat * 3, IF(bbgm_stat &gt;= perc_90, converted_stat * 2, IF(bbgm_stat &gt;= perc_85, converted_stat * 1.5, converted_stat)))))</f>
        <v/>
      </c>
      <c r="E953" s="30" t="str">
        <f t="array" ref="E953">IF($A953="", "", LET(bbgm_stat, INDEX(Players!$A952:$P952, MATCH(E$2, Players!$A$1:$P$1, 0)), perc_75, VLOOKUP(E$2, Percentiles!$A$45:$I$59, 6, FALSE), perc_90, VLOOKUP(E$2, Percentiles!$A$45:$I$59, 7, FALSE), perc_95, VLOOKUP(E$2, Percentiles!$A$45:$I$59, 8, FALSE), perc_85, perc_75 + (perc_90 - perc_75) * (2/3), converted_stat, '2K_Ratings'!E953, IF(bbgm_stat &gt;= perc_95, converted_stat * 3, IF(bbgm_stat &gt;= perc_90, converted_stat * 2, IF(bbgm_stat &gt;= perc_85, converted_stat * 1.5, converted_stat)))))</f>
        <v/>
      </c>
      <c r="F953" s="30" t="str">
        <f t="array" ref="F953">IF($A953="", "", LET(bbgm_stat, INDEX(Players!$A952:$P952, MATCH(F$2, Players!$A$1:$P$1, 0)), perc_75, VLOOKUP(F$2, Percentiles!$A$45:$I$59, 6, FALSE), perc_90, VLOOKUP(F$2, Percentiles!$A$45:$I$59, 7, FALSE), perc_95, VLOOKUP(F$2, Percentiles!$A$45:$I$59, 8, FALSE), perc_85, perc_75 + (perc_90 - perc_75) * (2/3), converted_stat, '2K_Ratings'!F953, IF(bbgm_stat &gt;= perc_95, converted_stat * 3, IF(bbgm_stat &gt;= perc_90, converted_stat * 2, IF(bbgm_stat &gt;= perc_85, converted_stat * 1.5, converted_stat)))))</f>
        <v/>
      </c>
      <c r="G953" s="30" t="str">
        <f t="array" ref="G953">IF($A953="", "", LET(bbgm_stat, INDEX(Players!$A952:$P952, MATCH(G$2, Players!$A$1:$P$1, 0)), perc_75, VLOOKUP(G$2, Percentiles!$A$45:$I$59, 6, FALSE), perc_90, VLOOKUP(G$2, Percentiles!$A$45:$I$59, 7, FALSE), perc_95, VLOOKUP(G$2, Percentiles!$A$45:$I$59, 8, FALSE), perc_85, perc_75 + (perc_90 - perc_75) * (2/3), converted_stat, '2K_Ratings'!G953, IF(bbgm_stat &gt;= perc_95, converted_stat * 3, IF(bbgm_stat &gt;= perc_90, converted_stat * 2, IF(bbgm_stat &gt;= perc_85, converted_stat * 1.5, converted_stat)))))</f>
        <v/>
      </c>
      <c r="H953" s="30" t="str">
        <f t="array" ref="H953">IF($A953="", "", LET(bbgm_stat, INDEX(Players!$A952:$P952, MATCH(H$2, Players!$A$1:$P$1, 0)), perc_75, VLOOKUP(H$2, Percentiles!$A$45:$I$59, 6, FALSE), perc_90, VLOOKUP(H$2, Percentiles!$A$45:$I$59, 7, FALSE), perc_95, VLOOKUP(H$2, Percentiles!$A$45:$I$59, 8, FALSE), perc_85, perc_75 + (perc_90 - perc_75) * (2/3), converted_stat, '2K_Ratings'!H953, IF(bbgm_stat &gt;= perc_95, converted_stat * 3, IF(bbgm_stat &gt;= perc_90, converted_stat * 2, IF(bbgm_stat &gt;= perc_85, converted_stat * 1.5, converted_stat)))))</f>
        <v/>
      </c>
      <c r="I953" s="30" t="str">
        <f t="array" ref="I953">IF($A953="", "", LET(bbgm_stat, INDEX(Players!$A952:$P952, MATCH(I$2, Players!$A$1:$P$1, 0)), perc_75, VLOOKUP(I$2, Percentiles!$A$45:$I$59, 6, FALSE), perc_90, VLOOKUP(I$2, Percentiles!$A$45:$I$59, 7, FALSE), perc_95, VLOOKUP(I$2, Percentiles!$A$45:$I$59, 8, FALSE), perc_85, perc_75 + (perc_90 - perc_75) * (2/3), converted_stat, '2K_Ratings'!I953, IF(bbgm_stat &gt;= perc_95, converted_stat * 3, IF(bbgm_stat &gt;= perc_90, converted_stat * 2, IF(bbgm_stat &gt;= perc_85, converted_stat * 1.5, converted_stat)))))</f>
        <v/>
      </c>
      <c r="J953" s="30" t="str">
        <f t="array" ref="J953">IF($A953="", "", LET(bbgm_stat, INDEX(Players!$A952:$P952, MATCH(J$2, Players!$A$1:$P$1, 0)), perc_75, VLOOKUP(J$2, Percentiles!$A$45:$I$59, 6, FALSE), perc_90, VLOOKUP(J$2, Percentiles!$A$45:$I$59, 7, FALSE), perc_95, VLOOKUP(J$2, Percentiles!$A$45:$I$59, 8, FALSE), perc_85, perc_75 + (perc_90 - perc_75) * (2/3), converted_stat, '2K_Ratings'!J953, IF(bbgm_stat &gt;= perc_95, converted_stat * 3, IF(bbgm_stat &gt;= perc_90, converted_stat * 2, IF(bbgm_stat &gt;= perc_85, converted_stat * 1.5, converted_stat)))))</f>
        <v/>
      </c>
      <c r="K953" s="30" t="str">
        <f t="array" ref="K953">IF($A953="", "", LET(bbgm_stat, INDEX(Players!$A952:$P952, MATCH(K$2, Players!$A$1:$P$1, 0)), perc_75, VLOOKUP(K$2, Percentiles!$A$45:$I$59, 6, FALSE), perc_90, VLOOKUP(K$2, Percentiles!$A$45:$I$59, 7, FALSE), perc_95, VLOOKUP(K$2, Percentiles!$A$45:$I$59, 8, FALSE), perc_85, perc_75 + (perc_90 - perc_75) * (2/3), converted_stat, '2K_Ratings'!K953, IF(bbgm_stat &gt;= perc_95, converted_stat * 3, IF(bbgm_stat &gt;= perc_90, converted_stat * 2, IF(bbgm_stat &gt;= perc_85, converted_stat * 1.5, converted_stat)))))</f>
        <v/>
      </c>
      <c r="L953" s="30" t="str">
        <f t="array" ref="L953">IF($A953="", "", LET(bbgm_stat, INDEX(Players!$A952:$P952, MATCH(L$2, Players!$A$1:$P$1, 0)), perc_75, VLOOKUP(L$2, Percentiles!$A$45:$I$59, 6, FALSE), perc_90, VLOOKUP(L$2, Percentiles!$A$45:$I$59, 7, FALSE), perc_95, VLOOKUP(L$2, Percentiles!$A$45:$I$59, 8, FALSE), perc_85, perc_75 + (perc_90 - perc_75) * (2/3), converted_stat, '2K_Ratings'!L953, IF(bbgm_stat &gt;= perc_95, converted_stat * 3, IF(bbgm_stat &gt;= perc_90, converted_stat * 2, IF(bbgm_stat &gt;= perc_85, converted_stat * 1.5, converted_stat)))))</f>
        <v/>
      </c>
      <c r="M953" s="30" t="str">
        <f t="array" ref="M953">IF($A953="", "", LET(bbgm_stat, INDEX(Players!$A952:$P952, MATCH(M$2, Players!$A$1:$P$1, 0)), perc_75, VLOOKUP(M$2, Percentiles!$A$45:$I$59, 6, FALSE), perc_90, VLOOKUP(M$2, Percentiles!$A$45:$I$59, 7, FALSE), perc_95, VLOOKUP(M$2, Percentiles!$A$45:$I$59, 8, FALSE), perc_85, perc_75 + (perc_90 - perc_75) * (2/3), converted_stat, '2K_Ratings'!M953, IF(bbgm_stat &gt;= perc_95, converted_stat * 3, IF(bbgm_stat &gt;= perc_90, converted_stat * 2, IF(bbgm_stat &gt;= perc_85, converted_stat * 1.5, converted_stat)))))</f>
        <v/>
      </c>
      <c r="N953" s="30" t="str">
        <f t="array" ref="N953">IF($A953="", "", LET(bbgm_stat, INDEX(Players!$A952:$P952, MATCH(N$2, Players!$A$1:$P$1, 0)), perc_75, VLOOKUP(N$2, Percentiles!$A$45:$I$59, 6, FALSE), perc_90, VLOOKUP(N$2, Percentiles!$A$45:$I$59, 7, FALSE), perc_95, VLOOKUP(N$2, Percentiles!$A$45:$I$59, 8, FALSE), perc_85, perc_75 + (perc_90 - perc_75) * (2/3), converted_stat, '2K_Ratings'!N953, IF(bbgm_stat &gt;= perc_95, converted_stat * 3, IF(bbgm_stat &gt;= perc_90, converted_stat * 2, IF(bbgm_stat &gt;= perc_85, converted_stat * 1.5, converted_stat)))))</f>
        <v/>
      </c>
      <c r="O953" s="30" t="str">
        <f t="array" ref="O953">IF($A953="", "", LET(bbgm_stat, INDEX(Players!$A952:$P952, MATCH(O$2, Players!$A$1:$P$1, 0)), perc_75, VLOOKUP(O$2, Percentiles!$A$45:$I$59, 6, FALSE), perc_90, VLOOKUP(O$2, Percentiles!$A$45:$I$59, 7, FALSE), perc_95, VLOOKUP(O$2, Percentiles!$A$45:$I$59, 8, FALSE), perc_85, perc_75 + (perc_90 - perc_75) * (2/3), converted_stat, '2K_Ratings'!O953, IF(bbgm_stat &gt;= perc_95, converted_stat * 3, IF(bbgm_stat &gt;= perc_90, converted_stat * 2, IF(bbgm_stat &gt;= perc_85, converted_stat * 1.5, converted_stat)))))</f>
        <v/>
      </c>
      <c r="P953" s="30" t="str">
        <f t="array" ref="P953">IF($A953="", "", LET(bbgm_stat, INDEX(Players!$A952:$P952, MATCH(P$2, Players!$A$1:$P$1, 0)), perc_75, VLOOKUP(P$2, Percentiles!$A$45:$I$59, 6, FALSE), perc_90, VLOOKUP(P$2, Percentiles!$A$45:$I$59, 7, FALSE), perc_95, VLOOKUP(P$2, Percentiles!$A$45:$I$59, 8, FALSE), perc_85, perc_75 + (perc_90 - perc_75) * (2/3), converted_stat, '2K_Ratings'!P953, IF(bbgm_stat &gt;= perc_95, converted_stat * 3, IF(bbgm_stat &gt;= perc_90, converted_stat * 2, IF(bbgm_stat &gt;= perc_85, converted_stat * 1.5, converted_stat)))))</f>
        <v/>
      </c>
      <c r="Q953" s="30" t="str">
        <f t="array" ref="Q953">IF($A953="", "", LET(bbgm_stat, INDEX(Players!$A952:$P952, MATCH(Q$2, Players!$A$1:$P$1, 0)), perc_75, VLOOKUP(Q$2, Percentiles!$A$45:$I$59, 6, FALSE), perc_90, VLOOKUP(Q$2, Percentiles!$A$45:$I$59, 7, FALSE), perc_95, VLOOKUP(Q$2, Percentiles!$A$45:$I$59, 8, FALSE), perc_85, perc_75 + (perc_90 - perc_75) * (2/3), converted_stat, '2K_Ratings'!Q953, IF(bbgm_stat &gt;= perc_95, converted_stat * 3, IF(bbgm_stat &gt;= perc_90, converted_stat * 2, IF(bbgm_stat &gt;= perc_85, converted_stat * 1.5, converted_stat)))))</f>
        <v/>
      </c>
      <c r="R953" s="30" t="str">
        <f t="array" ref="R953">IF($A953="", "", LET(bbgm_stat, INDEX(Players!$A952:$P952, MATCH(R$2, Players!$A$1:$P$1, 0)), perc_75, VLOOKUP(R$2, Percentiles!$A$45:$I$59, 6, FALSE), perc_90, VLOOKUP(R$2, Percentiles!$A$45:$I$59, 7, FALSE), perc_95, VLOOKUP(R$2, Percentiles!$A$45:$I$59, 8, FALSE), perc_85, perc_75 + (perc_90 - perc_75) * (2/3), converted_stat, '2K_Ratings'!R953, IF(bbgm_stat &gt;= perc_95, converted_stat * 3, IF(bbgm_stat &gt;= perc_90, converted_stat * 2, IF(bbgm_stat &gt;= perc_85, converted_stat * 1.5, converted_stat)))))</f>
        <v/>
      </c>
      <c r="S953" s="30" t="str">
        <f t="array" ref="S953">IF($A953="", "", LET(bbgm_stat, INDEX(Players!$A952:$P952, MATCH(S$2, Players!$A$1:$P$1, 0)), perc_75, VLOOKUP(S$2, Percentiles!$A$45:$I$59, 6, FALSE), perc_90, VLOOKUP(S$2, Percentiles!$A$45:$I$59, 7, FALSE), perc_95, VLOOKUP(S$2, Percentiles!$A$45:$I$59, 8, FALSE), perc_85, perc_75 + (perc_90 - perc_75) * (2/3), converted_stat, '2K_Ratings'!S953, IF(bbgm_stat &gt;= perc_95, converted_stat * 3, IF(bbgm_stat &gt;= perc_90, converted_stat * 2, IF(bbgm_stat &gt;= perc_85, converted_stat * 1.5, converted_stat)))))</f>
        <v/>
      </c>
      <c r="T953" s="30" t="str">
        <f t="array" ref="T953">IF($A953="", "", LET(bbgm_stat, INDEX(Players!$A952:$P952, MATCH(T$2, Players!$A$1:$P$1, 0)), perc_75, VLOOKUP(T$2, Percentiles!$A$45:$I$59, 6, FALSE), perc_90, VLOOKUP(T$2, Percentiles!$A$45:$I$59, 7, FALSE), perc_95, VLOOKUP(T$2, Percentiles!$A$45:$I$59, 8, FALSE), perc_85, perc_75 + (perc_90 - perc_75) * (2/3), converted_stat, '2K_Ratings'!T953, IF(bbgm_stat &gt;= perc_95, converted_stat * 3, IF(bbgm_stat &gt;= perc_90, converted_stat * 2, IF(bbgm_stat &gt;= perc_85, converted_stat * 1.5, converted_stat)))))</f>
        <v/>
      </c>
      <c r="U953" s="30" t="str">
        <f t="array" ref="U953">IF($A953="", "", LET(bbgm_stat, INDEX(Players!$A952:$P952, MATCH(U$2, Players!$A$1:$P$1, 0)), perc_75, VLOOKUP(U$2, Percentiles!$A$45:$I$59, 6, FALSE), perc_90, VLOOKUP(U$2, Percentiles!$A$45:$I$59, 7, FALSE), perc_95, VLOOKUP(U$2, Percentiles!$A$45:$I$59, 8, FALSE), perc_85, perc_75 + (perc_90 - perc_75) * (2/3), converted_stat, '2K_Ratings'!U953, IF(bbgm_stat &gt;= perc_95, converted_stat * 3, IF(bbgm_stat &gt;= perc_90, converted_stat * 2, IF(bbgm_stat &gt;= perc_85, converted_stat * 1.5, converted_stat)))))</f>
        <v/>
      </c>
      <c r="V953" s="30" t="str">
        <f t="array" ref="V953">IF($A953="", "", LET(bbgm_stat, INDEX(Players!$A952:$P952, MATCH(V$2, Players!$A$1:$P$1, 0)), perc_75, VLOOKUP(V$2, Percentiles!$A$45:$I$59, 6, FALSE), perc_90, VLOOKUP(V$2, Percentiles!$A$45:$I$59, 7, FALSE), perc_95, VLOOKUP(V$2, Percentiles!$A$45:$I$59, 8, FALSE), perc_85, perc_75 + (perc_90 - perc_75) * (2/3), converted_stat, '2K_Ratings'!V953, IF(bbgm_stat &gt;= perc_95, converted_stat * 3, IF(bbgm_stat &gt;= perc_90, converted_stat * 2, IF(bbgm_stat &gt;= perc_85, converted_stat * 1.5, converted_stat)))))</f>
        <v/>
      </c>
      <c r="W953" s="30" t="str">
        <f t="array" ref="W953">IF($A953="", "", LET(bbgm_stat, INDEX(Players!$A952:$P952, MATCH(W$2, Players!$A$1:$P$1, 0)), perc_75, VLOOKUP(W$2, Percentiles!$A$45:$I$59, 6, FALSE), perc_90, VLOOKUP(W$2, Percentiles!$A$45:$I$59, 7, FALSE), perc_95, VLOOKUP(W$2, Percentiles!$A$45:$I$59, 8, FALSE), perc_85, perc_75 + (perc_90 - perc_75) * (2/3), converted_stat, '2K_Ratings'!W953, IF(bbgm_stat &gt;= perc_95, converted_stat * 3, IF(bbgm_stat &gt;= perc_90, converted_stat * 2, IF(bbgm_stat &gt;= perc_85, converted_stat * 1.5, converted_stat)))))</f>
        <v/>
      </c>
    </row>
    <row r="954">
      <c r="A954" s="30"/>
      <c r="B954" s="30" t="str">
        <f t="array" ref="B954">IF($A954="", "", LET(bbgm_stat, INDEX(Players!$A953:$P953, MATCH(B$2, Players!$A$1:$P$1, 0)), perc_75, VLOOKUP(B$2, Percentiles!$A$45:$I$59, 6, FALSE), perc_90, VLOOKUP(B$2, Percentiles!$A$45:$I$59, 7, FALSE), perc_95, VLOOKUP(B$2, Percentiles!$A$45:$I$59, 8, FALSE), perc_85, perc_75 + (perc_90 - perc_75) * (2/3), converted_stat, '2K_Ratings'!B954, IF(bbgm_stat &gt;= perc_95, converted_stat * 3, IF(bbgm_stat &gt;= perc_90, converted_stat * 2, IF(bbgm_stat &gt;= perc_85, converted_stat * 1.5, converted_stat)))))</f>
        <v/>
      </c>
      <c r="C954" s="30" t="str">
        <f t="array" ref="C954">IF($A954="", "", LET(bbgm_stat, INDEX(Players!$A953:$P953, MATCH(C$2, Players!$A$1:$P$1, 0)), perc_75, VLOOKUP(C$2, Percentiles!$A$45:$I$59, 6, FALSE), perc_90, VLOOKUP(C$2, Percentiles!$A$45:$I$59, 7, FALSE), perc_95, VLOOKUP(C$2, Percentiles!$A$45:$I$59, 8, FALSE), perc_85, perc_75 + (perc_90 - perc_75) * (2/3), converted_stat, '2K_Ratings'!C954, IF(bbgm_stat &gt;= perc_95, converted_stat * 3, IF(bbgm_stat &gt;= perc_90, converted_stat * 2, IF(bbgm_stat &gt;= perc_85, converted_stat * 1.5, converted_stat)))))</f>
        <v/>
      </c>
      <c r="D954" s="30" t="str">
        <f t="array" ref="D954">IF($A954="", "", LET(bbgm_stat, INDEX(Players!$A953:$P953, MATCH(D$2, Players!$A$1:$P$1, 0)), perc_75, VLOOKUP(D$2, Percentiles!$A$45:$I$59, 6, FALSE), perc_90, VLOOKUP(D$2, Percentiles!$A$45:$I$59, 7, FALSE), perc_95, VLOOKUP(D$2, Percentiles!$A$45:$I$59, 8, FALSE), perc_85, perc_75 + (perc_90 - perc_75) * (2/3), converted_stat, '2K_Ratings'!D954, IF(bbgm_stat &gt;= perc_95, converted_stat * 3, IF(bbgm_stat &gt;= perc_90, converted_stat * 2, IF(bbgm_stat &gt;= perc_85, converted_stat * 1.5, converted_stat)))))</f>
        <v/>
      </c>
      <c r="E954" s="30" t="str">
        <f t="array" ref="E954">IF($A954="", "", LET(bbgm_stat, INDEX(Players!$A953:$P953, MATCH(E$2, Players!$A$1:$P$1, 0)), perc_75, VLOOKUP(E$2, Percentiles!$A$45:$I$59, 6, FALSE), perc_90, VLOOKUP(E$2, Percentiles!$A$45:$I$59, 7, FALSE), perc_95, VLOOKUP(E$2, Percentiles!$A$45:$I$59, 8, FALSE), perc_85, perc_75 + (perc_90 - perc_75) * (2/3), converted_stat, '2K_Ratings'!E954, IF(bbgm_stat &gt;= perc_95, converted_stat * 3, IF(bbgm_stat &gt;= perc_90, converted_stat * 2, IF(bbgm_stat &gt;= perc_85, converted_stat * 1.5, converted_stat)))))</f>
        <v/>
      </c>
      <c r="F954" s="30" t="str">
        <f t="array" ref="F954">IF($A954="", "", LET(bbgm_stat, INDEX(Players!$A953:$P953, MATCH(F$2, Players!$A$1:$P$1, 0)), perc_75, VLOOKUP(F$2, Percentiles!$A$45:$I$59, 6, FALSE), perc_90, VLOOKUP(F$2, Percentiles!$A$45:$I$59, 7, FALSE), perc_95, VLOOKUP(F$2, Percentiles!$A$45:$I$59, 8, FALSE), perc_85, perc_75 + (perc_90 - perc_75) * (2/3), converted_stat, '2K_Ratings'!F954, IF(bbgm_stat &gt;= perc_95, converted_stat * 3, IF(bbgm_stat &gt;= perc_90, converted_stat * 2, IF(bbgm_stat &gt;= perc_85, converted_stat * 1.5, converted_stat)))))</f>
        <v/>
      </c>
      <c r="G954" s="30" t="str">
        <f t="array" ref="G954">IF($A954="", "", LET(bbgm_stat, INDEX(Players!$A953:$P953, MATCH(G$2, Players!$A$1:$P$1, 0)), perc_75, VLOOKUP(G$2, Percentiles!$A$45:$I$59, 6, FALSE), perc_90, VLOOKUP(G$2, Percentiles!$A$45:$I$59, 7, FALSE), perc_95, VLOOKUP(G$2, Percentiles!$A$45:$I$59, 8, FALSE), perc_85, perc_75 + (perc_90 - perc_75) * (2/3), converted_stat, '2K_Ratings'!G954, IF(bbgm_stat &gt;= perc_95, converted_stat * 3, IF(bbgm_stat &gt;= perc_90, converted_stat * 2, IF(bbgm_stat &gt;= perc_85, converted_stat * 1.5, converted_stat)))))</f>
        <v/>
      </c>
      <c r="H954" s="30" t="str">
        <f t="array" ref="H954">IF($A954="", "", LET(bbgm_stat, INDEX(Players!$A953:$P953, MATCH(H$2, Players!$A$1:$P$1, 0)), perc_75, VLOOKUP(H$2, Percentiles!$A$45:$I$59, 6, FALSE), perc_90, VLOOKUP(H$2, Percentiles!$A$45:$I$59, 7, FALSE), perc_95, VLOOKUP(H$2, Percentiles!$A$45:$I$59, 8, FALSE), perc_85, perc_75 + (perc_90 - perc_75) * (2/3), converted_stat, '2K_Ratings'!H954, IF(bbgm_stat &gt;= perc_95, converted_stat * 3, IF(bbgm_stat &gt;= perc_90, converted_stat * 2, IF(bbgm_stat &gt;= perc_85, converted_stat * 1.5, converted_stat)))))</f>
        <v/>
      </c>
      <c r="I954" s="30" t="str">
        <f t="array" ref="I954">IF($A954="", "", LET(bbgm_stat, INDEX(Players!$A953:$P953, MATCH(I$2, Players!$A$1:$P$1, 0)), perc_75, VLOOKUP(I$2, Percentiles!$A$45:$I$59, 6, FALSE), perc_90, VLOOKUP(I$2, Percentiles!$A$45:$I$59, 7, FALSE), perc_95, VLOOKUP(I$2, Percentiles!$A$45:$I$59, 8, FALSE), perc_85, perc_75 + (perc_90 - perc_75) * (2/3), converted_stat, '2K_Ratings'!I954, IF(bbgm_stat &gt;= perc_95, converted_stat * 3, IF(bbgm_stat &gt;= perc_90, converted_stat * 2, IF(bbgm_stat &gt;= perc_85, converted_stat * 1.5, converted_stat)))))</f>
        <v/>
      </c>
      <c r="J954" s="30" t="str">
        <f t="array" ref="J954">IF($A954="", "", LET(bbgm_stat, INDEX(Players!$A953:$P953, MATCH(J$2, Players!$A$1:$P$1, 0)), perc_75, VLOOKUP(J$2, Percentiles!$A$45:$I$59, 6, FALSE), perc_90, VLOOKUP(J$2, Percentiles!$A$45:$I$59, 7, FALSE), perc_95, VLOOKUP(J$2, Percentiles!$A$45:$I$59, 8, FALSE), perc_85, perc_75 + (perc_90 - perc_75) * (2/3), converted_stat, '2K_Ratings'!J954, IF(bbgm_stat &gt;= perc_95, converted_stat * 3, IF(bbgm_stat &gt;= perc_90, converted_stat * 2, IF(bbgm_stat &gt;= perc_85, converted_stat * 1.5, converted_stat)))))</f>
        <v/>
      </c>
      <c r="K954" s="30" t="str">
        <f t="array" ref="K954">IF($A954="", "", LET(bbgm_stat, INDEX(Players!$A953:$P953, MATCH(K$2, Players!$A$1:$P$1, 0)), perc_75, VLOOKUP(K$2, Percentiles!$A$45:$I$59, 6, FALSE), perc_90, VLOOKUP(K$2, Percentiles!$A$45:$I$59, 7, FALSE), perc_95, VLOOKUP(K$2, Percentiles!$A$45:$I$59, 8, FALSE), perc_85, perc_75 + (perc_90 - perc_75) * (2/3), converted_stat, '2K_Ratings'!K954, IF(bbgm_stat &gt;= perc_95, converted_stat * 3, IF(bbgm_stat &gt;= perc_90, converted_stat * 2, IF(bbgm_stat &gt;= perc_85, converted_stat * 1.5, converted_stat)))))</f>
        <v/>
      </c>
      <c r="L954" s="30" t="str">
        <f t="array" ref="L954">IF($A954="", "", LET(bbgm_stat, INDEX(Players!$A953:$P953, MATCH(L$2, Players!$A$1:$P$1, 0)), perc_75, VLOOKUP(L$2, Percentiles!$A$45:$I$59, 6, FALSE), perc_90, VLOOKUP(L$2, Percentiles!$A$45:$I$59, 7, FALSE), perc_95, VLOOKUP(L$2, Percentiles!$A$45:$I$59, 8, FALSE), perc_85, perc_75 + (perc_90 - perc_75) * (2/3), converted_stat, '2K_Ratings'!L954, IF(bbgm_stat &gt;= perc_95, converted_stat * 3, IF(bbgm_stat &gt;= perc_90, converted_stat * 2, IF(bbgm_stat &gt;= perc_85, converted_stat * 1.5, converted_stat)))))</f>
        <v/>
      </c>
      <c r="M954" s="30" t="str">
        <f t="array" ref="M954">IF($A954="", "", LET(bbgm_stat, INDEX(Players!$A953:$P953, MATCH(M$2, Players!$A$1:$P$1, 0)), perc_75, VLOOKUP(M$2, Percentiles!$A$45:$I$59, 6, FALSE), perc_90, VLOOKUP(M$2, Percentiles!$A$45:$I$59, 7, FALSE), perc_95, VLOOKUP(M$2, Percentiles!$A$45:$I$59, 8, FALSE), perc_85, perc_75 + (perc_90 - perc_75) * (2/3), converted_stat, '2K_Ratings'!M954, IF(bbgm_stat &gt;= perc_95, converted_stat * 3, IF(bbgm_stat &gt;= perc_90, converted_stat * 2, IF(bbgm_stat &gt;= perc_85, converted_stat * 1.5, converted_stat)))))</f>
        <v/>
      </c>
      <c r="N954" s="30" t="str">
        <f t="array" ref="N954">IF($A954="", "", LET(bbgm_stat, INDEX(Players!$A953:$P953, MATCH(N$2, Players!$A$1:$P$1, 0)), perc_75, VLOOKUP(N$2, Percentiles!$A$45:$I$59, 6, FALSE), perc_90, VLOOKUP(N$2, Percentiles!$A$45:$I$59, 7, FALSE), perc_95, VLOOKUP(N$2, Percentiles!$A$45:$I$59, 8, FALSE), perc_85, perc_75 + (perc_90 - perc_75) * (2/3), converted_stat, '2K_Ratings'!N954, IF(bbgm_stat &gt;= perc_95, converted_stat * 3, IF(bbgm_stat &gt;= perc_90, converted_stat * 2, IF(bbgm_stat &gt;= perc_85, converted_stat * 1.5, converted_stat)))))</f>
        <v/>
      </c>
      <c r="O954" s="30" t="str">
        <f t="array" ref="O954">IF($A954="", "", LET(bbgm_stat, INDEX(Players!$A953:$P953, MATCH(O$2, Players!$A$1:$P$1, 0)), perc_75, VLOOKUP(O$2, Percentiles!$A$45:$I$59, 6, FALSE), perc_90, VLOOKUP(O$2, Percentiles!$A$45:$I$59, 7, FALSE), perc_95, VLOOKUP(O$2, Percentiles!$A$45:$I$59, 8, FALSE), perc_85, perc_75 + (perc_90 - perc_75) * (2/3), converted_stat, '2K_Ratings'!O954, IF(bbgm_stat &gt;= perc_95, converted_stat * 3, IF(bbgm_stat &gt;= perc_90, converted_stat * 2, IF(bbgm_stat &gt;= perc_85, converted_stat * 1.5, converted_stat)))))</f>
        <v/>
      </c>
      <c r="P954" s="30" t="str">
        <f t="array" ref="P954">IF($A954="", "", LET(bbgm_stat, INDEX(Players!$A953:$P953, MATCH(P$2, Players!$A$1:$P$1, 0)), perc_75, VLOOKUP(P$2, Percentiles!$A$45:$I$59, 6, FALSE), perc_90, VLOOKUP(P$2, Percentiles!$A$45:$I$59, 7, FALSE), perc_95, VLOOKUP(P$2, Percentiles!$A$45:$I$59, 8, FALSE), perc_85, perc_75 + (perc_90 - perc_75) * (2/3), converted_stat, '2K_Ratings'!P954, IF(bbgm_stat &gt;= perc_95, converted_stat * 3, IF(bbgm_stat &gt;= perc_90, converted_stat * 2, IF(bbgm_stat &gt;= perc_85, converted_stat * 1.5, converted_stat)))))</f>
        <v/>
      </c>
      <c r="Q954" s="30" t="str">
        <f t="array" ref="Q954">IF($A954="", "", LET(bbgm_stat, INDEX(Players!$A953:$P953, MATCH(Q$2, Players!$A$1:$P$1, 0)), perc_75, VLOOKUP(Q$2, Percentiles!$A$45:$I$59, 6, FALSE), perc_90, VLOOKUP(Q$2, Percentiles!$A$45:$I$59, 7, FALSE), perc_95, VLOOKUP(Q$2, Percentiles!$A$45:$I$59, 8, FALSE), perc_85, perc_75 + (perc_90 - perc_75) * (2/3), converted_stat, '2K_Ratings'!Q954, IF(bbgm_stat &gt;= perc_95, converted_stat * 3, IF(bbgm_stat &gt;= perc_90, converted_stat * 2, IF(bbgm_stat &gt;= perc_85, converted_stat * 1.5, converted_stat)))))</f>
        <v/>
      </c>
      <c r="R954" s="30" t="str">
        <f t="array" ref="R954">IF($A954="", "", LET(bbgm_stat, INDEX(Players!$A953:$P953, MATCH(R$2, Players!$A$1:$P$1, 0)), perc_75, VLOOKUP(R$2, Percentiles!$A$45:$I$59, 6, FALSE), perc_90, VLOOKUP(R$2, Percentiles!$A$45:$I$59, 7, FALSE), perc_95, VLOOKUP(R$2, Percentiles!$A$45:$I$59, 8, FALSE), perc_85, perc_75 + (perc_90 - perc_75) * (2/3), converted_stat, '2K_Ratings'!R954, IF(bbgm_stat &gt;= perc_95, converted_stat * 3, IF(bbgm_stat &gt;= perc_90, converted_stat * 2, IF(bbgm_stat &gt;= perc_85, converted_stat * 1.5, converted_stat)))))</f>
        <v/>
      </c>
      <c r="S954" s="30" t="str">
        <f t="array" ref="S954">IF($A954="", "", LET(bbgm_stat, INDEX(Players!$A953:$P953, MATCH(S$2, Players!$A$1:$P$1, 0)), perc_75, VLOOKUP(S$2, Percentiles!$A$45:$I$59, 6, FALSE), perc_90, VLOOKUP(S$2, Percentiles!$A$45:$I$59, 7, FALSE), perc_95, VLOOKUP(S$2, Percentiles!$A$45:$I$59, 8, FALSE), perc_85, perc_75 + (perc_90 - perc_75) * (2/3), converted_stat, '2K_Ratings'!S954, IF(bbgm_stat &gt;= perc_95, converted_stat * 3, IF(bbgm_stat &gt;= perc_90, converted_stat * 2, IF(bbgm_stat &gt;= perc_85, converted_stat * 1.5, converted_stat)))))</f>
        <v/>
      </c>
      <c r="T954" s="30" t="str">
        <f t="array" ref="T954">IF($A954="", "", LET(bbgm_stat, INDEX(Players!$A953:$P953, MATCH(T$2, Players!$A$1:$P$1, 0)), perc_75, VLOOKUP(T$2, Percentiles!$A$45:$I$59, 6, FALSE), perc_90, VLOOKUP(T$2, Percentiles!$A$45:$I$59, 7, FALSE), perc_95, VLOOKUP(T$2, Percentiles!$A$45:$I$59, 8, FALSE), perc_85, perc_75 + (perc_90 - perc_75) * (2/3), converted_stat, '2K_Ratings'!T954, IF(bbgm_stat &gt;= perc_95, converted_stat * 3, IF(bbgm_stat &gt;= perc_90, converted_stat * 2, IF(bbgm_stat &gt;= perc_85, converted_stat * 1.5, converted_stat)))))</f>
        <v/>
      </c>
      <c r="U954" s="30" t="str">
        <f t="array" ref="U954">IF($A954="", "", LET(bbgm_stat, INDEX(Players!$A953:$P953, MATCH(U$2, Players!$A$1:$P$1, 0)), perc_75, VLOOKUP(U$2, Percentiles!$A$45:$I$59, 6, FALSE), perc_90, VLOOKUP(U$2, Percentiles!$A$45:$I$59, 7, FALSE), perc_95, VLOOKUP(U$2, Percentiles!$A$45:$I$59, 8, FALSE), perc_85, perc_75 + (perc_90 - perc_75) * (2/3), converted_stat, '2K_Ratings'!U954, IF(bbgm_stat &gt;= perc_95, converted_stat * 3, IF(bbgm_stat &gt;= perc_90, converted_stat * 2, IF(bbgm_stat &gt;= perc_85, converted_stat * 1.5, converted_stat)))))</f>
        <v/>
      </c>
      <c r="V954" s="30" t="str">
        <f t="array" ref="V954">IF($A954="", "", LET(bbgm_stat, INDEX(Players!$A953:$P953, MATCH(V$2, Players!$A$1:$P$1, 0)), perc_75, VLOOKUP(V$2, Percentiles!$A$45:$I$59, 6, FALSE), perc_90, VLOOKUP(V$2, Percentiles!$A$45:$I$59, 7, FALSE), perc_95, VLOOKUP(V$2, Percentiles!$A$45:$I$59, 8, FALSE), perc_85, perc_75 + (perc_90 - perc_75) * (2/3), converted_stat, '2K_Ratings'!V954, IF(bbgm_stat &gt;= perc_95, converted_stat * 3, IF(bbgm_stat &gt;= perc_90, converted_stat * 2, IF(bbgm_stat &gt;= perc_85, converted_stat * 1.5, converted_stat)))))</f>
        <v/>
      </c>
      <c r="W954" s="30" t="str">
        <f t="array" ref="W954">IF($A954="", "", LET(bbgm_stat, INDEX(Players!$A953:$P953, MATCH(W$2, Players!$A$1:$P$1, 0)), perc_75, VLOOKUP(W$2, Percentiles!$A$45:$I$59, 6, FALSE), perc_90, VLOOKUP(W$2, Percentiles!$A$45:$I$59, 7, FALSE), perc_95, VLOOKUP(W$2, Percentiles!$A$45:$I$59, 8, FALSE), perc_85, perc_75 + (perc_90 - perc_75) * (2/3), converted_stat, '2K_Ratings'!W954, IF(bbgm_stat &gt;= perc_95, converted_stat * 3, IF(bbgm_stat &gt;= perc_90, converted_stat * 2, IF(bbgm_stat &gt;= perc_85, converted_stat * 1.5, converted_stat)))))</f>
        <v/>
      </c>
    </row>
    <row r="955">
      <c r="A955" s="30"/>
      <c r="B955" s="30" t="str">
        <f t="array" ref="B955">IF($A955="", "", LET(bbgm_stat, INDEX(Players!$A954:$P954, MATCH(B$2, Players!$A$1:$P$1, 0)), perc_75, VLOOKUP(B$2, Percentiles!$A$45:$I$59, 6, FALSE), perc_90, VLOOKUP(B$2, Percentiles!$A$45:$I$59, 7, FALSE), perc_95, VLOOKUP(B$2, Percentiles!$A$45:$I$59, 8, FALSE), perc_85, perc_75 + (perc_90 - perc_75) * (2/3), converted_stat, '2K_Ratings'!B955, IF(bbgm_stat &gt;= perc_95, converted_stat * 3, IF(bbgm_stat &gt;= perc_90, converted_stat * 2, IF(bbgm_stat &gt;= perc_85, converted_stat * 1.5, converted_stat)))))</f>
        <v/>
      </c>
      <c r="C955" s="30" t="str">
        <f t="array" ref="C955">IF($A955="", "", LET(bbgm_stat, INDEX(Players!$A954:$P954, MATCH(C$2, Players!$A$1:$P$1, 0)), perc_75, VLOOKUP(C$2, Percentiles!$A$45:$I$59, 6, FALSE), perc_90, VLOOKUP(C$2, Percentiles!$A$45:$I$59, 7, FALSE), perc_95, VLOOKUP(C$2, Percentiles!$A$45:$I$59, 8, FALSE), perc_85, perc_75 + (perc_90 - perc_75) * (2/3), converted_stat, '2K_Ratings'!C955, IF(bbgm_stat &gt;= perc_95, converted_stat * 3, IF(bbgm_stat &gt;= perc_90, converted_stat * 2, IF(bbgm_stat &gt;= perc_85, converted_stat * 1.5, converted_stat)))))</f>
        <v/>
      </c>
      <c r="D955" s="30" t="str">
        <f t="array" ref="D955">IF($A955="", "", LET(bbgm_stat, INDEX(Players!$A954:$P954, MATCH(D$2, Players!$A$1:$P$1, 0)), perc_75, VLOOKUP(D$2, Percentiles!$A$45:$I$59, 6, FALSE), perc_90, VLOOKUP(D$2, Percentiles!$A$45:$I$59, 7, FALSE), perc_95, VLOOKUP(D$2, Percentiles!$A$45:$I$59, 8, FALSE), perc_85, perc_75 + (perc_90 - perc_75) * (2/3), converted_stat, '2K_Ratings'!D955, IF(bbgm_stat &gt;= perc_95, converted_stat * 3, IF(bbgm_stat &gt;= perc_90, converted_stat * 2, IF(bbgm_stat &gt;= perc_85, converted_stat * 1.5, converted_stat)))))</f>
        <v/>
      </c>
      <c r="E955" s="30" t="str">
        <f t="array" ref="E955">IF($A955="", "", LET(bbgm_stat, INDEX(Players!$A954:$P954, MATCH(E$2, Players!$A$1:$P$1, 0)), perc_75, VLOOKUP(E$2, Percentiles!$A$45:$I$59, 6, FALSE), perc_90, VLOOKUP(E$2, Percentiles!$A$45:$I$59, 7, FALSE), perc_95, VLOOKUP(E$2, Percentiles!$A$45:$I$59, 8, FALSE), perc_85, perc_75 + (perc_90 - perc_75) * (2/3), converted_stat, '2K_Ratings'!E955, IF(bbgm_stat &gt;= perc_95, converted_stat * 3, IF(bbgm_stat &gt;= perc_90, converted_stat * 2, IF(bbgm_stat &gt;= perc_85, converted_stat * 1.5, converted_stat)))))</f>
        <v/>
      </c>
      <c r="F955" s="30" t="str">
        <f t="array" ref="F955">IF($A955="", "", LET(bbgm_stat, INDEX(Players!$A954:$P954, MATCH(F$2, Players!$A$1:$P$1, 0)), perc_75, VLOOKUP(F$2, Percentiles!$A$45:$I$59, 6, FALSE), perc_90, VLOOKUP(F$2, Percentiles!$A$45:$I$59, 7, FALSE), perc_95, VLOOKUP(F$2, Percentiles!$A$45:$I$59, 8, FALSE), perc_85, perc_75 + (perc_90 - perc_75) * (2/3), converted_stat, '2K_Ratings'!F955, IF(bbgm_stat &gt;= perc_95, converted_stat * 3, IF(bbgm_stat &gt;= perc_90, converted_stat * 2, IF(bbgm_stat &gt;= perc_85, converted_stat * 1.5, converted_stat)))))</f>
        <v/>
      </c>
      <c r="G955" s="30" t="str">
        <f t="array" ref="G955">IF($A955="", "", LET(bbgm_stat, INDEX(Players!$A954:$P954, MATCH(G$2, Players!$A$1:$P$1, 0)), perc_75, VLOOKUP(G$2, Percentiles!$A$45:$I$59, 6, FALSE), perc_90, VLOOKUP(G$2, Percentiles!$A$45:$I$59, 7, FALSE), perc_95, VLOOKUP(G$2, Percentiles!$A$45:$I$59, 8, FALSE), perc_85, perc_75 + (perc_90 - perc_75) * (2/3), converted_stat, '2K_Ratings'!G955, IF(bbgm_stat &gt;= perc_95, converted_stat * 3, IF(bbgm_stat &gt;= perc_90, converted_stat * 2, IF(bbgm_stat &gt;= perc_85, converted_stat * 1.5, converted_stat)))))</f>
        <v/>
      </c>
      <c r="H955" s="30" t="str">
        <f t="array" ref="H955">IF($A955="", "", LET(bbgm_stat, INDEX(Players!$A954:$P954, MATCH(H$2, Players!$A$1:$P$1, 0)), perc_75, VLOOKUP(H$2, Percentiles!$A$45:$I$59, 6, FALSE), perc_90, VLOOKUP(H$2, Percentiles!$A$45:$I$59, 7, FALSE), perc_95, VLOOKUP(H$2, Percentiles!$A$45:$I$59, 8, FALSE), perc_85, perc_75 + (perc_90 - perc_75) * (2/3), converted_stat, '2K_Ratings'!H955, IF(bbgm_stat &gt;= perc_95, converted_stat * 3, IF(bbgm_stat &gt;= perc_90, converted_stat * 2, IF(bbgm_stat &gt;= perc_85, converted_stat * 1.5, converted_stat)))))</f>
        <v/>
      </c>
      <c r="I955" s="30" t="str">
        <f t="array" ref="I955">IF($A955="", "", LET(bbgm_stat, INDEX(Players!$A954:$P954, MATCH(I$2, Players!$A$1:$P$1, 0)), perc_75, VLOOKUP(I$2, Percentiles!$A$45:$I$59, 6, FALSE), perc_90, VLOOKUP(I$2, Percentiles!$A$45:$I$59, 7, FALSE), perc_95, VLOOKUP(I$2, Percentiles!$A$45:$I$59, 8, FALSE), perc_85, perc_75 + (perc_90 - perc_75) * (2/3), converted_stat, '2K_Ratings'!I955, IF(bbgm_stat &gt;= perc_95, converted_stat * 3, IF(bbgm_stat &gt;= perc_90, converted_stat * 2, IF(bbgm_stat &gt;= perc_85, converted_stat * 1.5, converted_stat)))))</f>
        <v/>
      </c>
      <c r="J955" s="30" t="str">
        <f t="array" ref="J955">IF($A955="", "", LET(bbgm_stat, INDEX(Players!$A954:$P954, MATCH(J$2, Players!$A$1:$P$1, 0)), perc_75, VLOOKUP(J$2, Percentiles!$A$45:$I$59, 6, FALSE), perc_90, VLOOKUP(J$2, Percentiles!$A$45:$I$59, 7, FALSE), perc_95, VLOOKUP(J$2, Percentiles!$A$45:$I$59, 8, FALSE), perc_85, perc_75 + (perc_90 - perc_75) * (2/3), converted_stat, '2K_Ratings'!J955, IF(bbgm_stat &gt;= perc_95, converted_stat * 3, IF(bbgm_stat &gt;= perc_90, converted_stat * 2, IF(bbgm_stat &gt;= perc_85, converted_stat * 1.5, converted_stat)))))</f>
        <v/>
      </c>
      <c r="K955" s="30" t="str">
        <f t="array" ref="K955">IF($A955="", "", LET(bbgm_stat, INDEX(Players!$A954:$P954, MATCH(K$2, Players!$A$1:$P$1, 0)), perc_75, VLOOKUP(K$2, Percentiles!$A$45:$I$59, 6, FALSE), perc_90, VLOOKUP(K$2, Percentiles!$A$45:$I$59, 7, FALSE), perc_95, VLOOKUP(K$2, Percentiles!$A$45:$I$59, 8, FALSE), perc_85, perc_75 + (perc_90 - perc_75) * (2/3), converted_stat, '2K_Ratings'!K955, IF(bbgm_stat &gt;= perc_95, converted_stat * 3, IF(bbgm_stat &gt;= perc_90, converted_stat * 2, IF(bbgm_stat &gt;= perc_85, converted_stat * 1.5, converted_stat)))))</f>
        <v/>
      </c>
      <c r="L955" s="30" t="str">
        <f t="array" ref="L955">IF($A955="", "", LET(bbgm_stat, INDEX(Players!$A954:$P954, MATCH(L$2, Players!$A$1:$P$1, 0)), perc_75, VLOOKUP(L$2, Percentiles!$A$45:$I$59, 6, FALSE), perc_90, VLOOKUP(L$2, Percentiles!$A$45:$I$59, 7, FALSE), perc_95, VLOOKUP(L$2, Percentiles!$A$45:$I$59, 8, FALSE), perc_85, perc_75 + (perc_90 - perc_75) * (2/3), converted_stat, '2K_Ratings'!L955, IF(bbgm_stat &gt;= perc_95, converted_stat * 3, IF(bbgm_stat &gt;= perc_90, converted_stat * 2, IF(bbgm_stat &gt;= perc_85, converted_stat * 1.5, converted_stat)))))</f>
        <v/>
      </c>
      <c r="M955" s="30" t="str">
        <f t="array" ref="M955">IF($A955="", "", LET(bbgm_stat, INDEX(Players!$A954:$P954, MATCH(M$2, Players!$A$1:$P$1, 0)), perc_75, VLOOKUP(M$2, Percentiles!$A$45:$I$59, 6, FALSE), perc_90, VLOOKUP(M$2, Percentiles!$A$45:$I$59, 7, FALSE), perc_95, VLOOKUP(M$2, Percentiles!$A$45:$I$59, 8, FALSE), perc_85, perc_75 + (perc_90 - perc_75) * (2/3), converted_stat, '2K_Ratings'!M955, IF(bbgm_stat &gt;= perc_95, converted_stat * 3, IF(bbgm_stat &gt;= perc_90, converted_stat * 2, IF(bbgm_stat &gt;= perc_85, converted_stat * 1.5, converted_stat)))))</f>
        <v/>
      </c>
      <c r="N955" s="30" t="str">
        <f t="array" ref="N955">IF($A955="", "", LET(bbgm_stat, INDEX(Players!$A954:$P954, MATCH(N$2, Players!$A$1:$P$1, 0)), perc_75, VLOOKUP(N$2, Percentiles!$A$45:$I$59, 6, FALSE), perc_90, VLOOKUP(N$2, Percentiles!$A$45:$I$59, 7, FALSE), perc_95, VLOOKUP(N$2, Percentiles!$A$45:$I$59, 8, FALSE), perc_85, perc_75 + (perc_90 - perc_75) * (2/3), converted_stat, '2K_Ratings'!N955, IF(bbgm_stat &gt;= perc_95, converted_stat * 3, IF(bbgm_stat &gt;= perc_90, converted_stat * 2, IF(bbgm_stat &gt;= perc_85, converted_stat * 1.5, converted_stat)))))</f>
        <v/>
      </c>
      <c r="O955" s="30" t="str">
        <f t="array" ref="O955">IF($A955="", "", LET(bbgm_stat, INDEX(Players!$A954:$P954, MATCH(O$2, Players!$A$1:$P$1, 0)), perc_75, VLOOKUP(O$2, Percentiles!$A$45:$I$59, 6, FALSE), perc_90, VLOOKUP(O$2, Percentiles!$A$45:$I$59, 7, FALSE), perc_95, VLOOKUP(O$2, Percentiles!$A$45:$I$59, 8, FALSE), perc_85, perc_75 + (perc_90 - perc_75) * (2/3), converted_stat, '2K_Ratings'!O955, IF(bbgm_stat &gt;= perc_95, converted_stat * 3, IF(bbgm_stat &gt;= perc_90, converted_stat * 2, IF(bbgm_stat &gt;= perc_85, converted_stat * 1.5, converted_stat)))))</f>
        <v/>
      </c>
      <c r="P955" s="30" t="str">
        <f t="array" ref="P955">IF($A955="", "", LET(bbgm_stat, INDEX(Players!$A954:$P954, MATCH(P$2, Players!$A$1:$P$1, 0)), perc_75, VLOOKUP(P$2, Percentiles!$A$45:$I$59, 6, FALSE), perc_90, VLOOKUP(P$2, Percentiles!$A$45:$I$59, 7, FALSE), perc_95, VLOOKUP(P$2, Percentiles!$A$45:$I$59, 8, FALSE), perc_85, perc_75 + (perc_90 - perc_75) * (2/3), converted_stat, '2K_Ratings'!P955, IF(bbgm_stat &gt;= perc_95, converted_stat * 3, IF(bbgm_stat &gt;= perc_90, converted_stat * 2, IF(bbgm_stat &gt;= perc_85, converted_stat * 1.5, converted_stat)))))</f>
        <v/>
      </c>
      <c r="Q955" s="30" t="str">
        <f t="array" ref="Q955">IF($A955="", "", LET(bbgm_stat, INDEX(Players!$A954:$P954, MATCH(Q$2, Players!$A$1:$P$1, 0)), perc_75, VLOOKUP(Q$2, Percentiles!$A$45:$I$59, 6, FALSE), perc_90, VLOOKUP(Q$2, Percentiles!$A$45:$I$59, 7, FALSE), perc_95, VLOOKUP(Q$2, Percentiles!$A$45:$I$59, 8, FALSE), perc_85, perc_75 + (perc_90 - perc_75) * (2/3), converted_stat, '2K_Ratings'!Q955, IF(bbgm_stat &gt;= perc_95, converted_stat * 3, IF(bbgm_stat &gt;= perc_90, converted_stat * 2, IF(bbgm_stat &gt;= perc_85, converted_stat * 1.5, converted_stat)))))</f>
        <v/>
      </c>
      <c r="R955" s="30" t="str">
        <f t="array" ref="R955">IF($A955="", "", LET(bbgm_stat, INDEX(Players!$A954:$P954, MATCH(R$2, Players!$A$1:$P$1, 0)), perc_75, VLOOKUP(R$2, Percentiles!$A$45:$I$59, 6, FALSE), perc_90, VLOOKUP(R$2, Percentiles!$A$45:$I$59, 7, FALSE), perc_95, VLOOKUP(R$2, Percentiles!$A$45:$I$59, 8, FALSE), perc_85, perc_75 + (perc_90 - perc_75) * (2/3), converted_stat, '2K_Ratings'!R955, IF(bbgm_stat &gt;= perc_95, converted_stat * 3, IF(bbgm_stat &gt;= perc_90, converted_stat * 2, IF(bbgm_stat &gt;= perc_85, converted_stat * 1.5, converted_stat)))))</f>
        <v/>
      </c>
      <c r="S955" s="30" t="str">
        <f t="array" ref="S955">IF($A955="", "", LET(bbgm_stat, INDEX(Players!$A954:$P954, MATCH(S$2, Players!$A$1:$P$1, 0)), perc_75, VLOOKUP(S$2, Percentiles!$A$45:$I$59, 6, FALSE), perc_90, VLOOKUP(S$2, Percentiles!$A$45:$I$59, 7, FALSE), perc_95, VLOOKUP(S$2, Percentiles!$A$45:$I$59, 8, FALSE), perc_85, perc_75 + (perc_90 - perc_75) * (2/3), converted_stat, '2K_Ratings'!S955, IF(bbgm_stat &gt;= perc_95, converted_stat * 3, IF(bbgm_stat &gt;= perc_90, converted_stat * 2, IF(bbgm_stat &gt;= perc_85, converted_stat * 1.5, converted_stat)))))</f>
        <v/>
      </c>
      <c r="T955" s="30" t="str">
        <f t="array" ref="T955">IF($A955="", "", LET(bbgm_stat, INDEX(Players!$A954:$P954, MATCH(T$2, Players!$A$1:$P$1, 0)), perc_75, VLOOKUP(T$2, Percentiles!$A$45:$I$59, 6, FALSE), perc_90, VLOOKUP(T$2, Percentiles!$A$45:$I$59, 7, FALSE), perc_95, VLOOKUP(T$2, Percentiles!$A$45:$I$59, 8, FALSE), perc_85, perc_75 + (perc_90 - perc_75) * (2/3), converted_stat, '2K_Ratings'!T955, IF(bbgm_stat &gt;= perc_95, converted_stat * 3, IF(bbgm_stat &gt;= perc_90, converted_stat * 2, IF(bbgm_stat &gt;= perc_85, converted_stat * 1.5, converted_stat)))))</f>
        <v/>
      </c>
      <c r="U955" s="30" t="str">
        <f t="array" ref="U955">IF($A955="", "", LET(bbgm_stat, INDEX(Players!$A954:$P954, MATCH(U$2, Players!$A$1:$P$1, 0)), perc_75, VLOOKUP(U$2, Percentiles!$A$45:$I$59, 6, FALSE), perc_90, VLOOKUP(U$2, Percentiles!$A$45:$I$59, 7, FALSE), perc_95, VLOOKUP(U$2, Percentiles!$A$45:$I$59, 8, FALSE), perc_85, perc_75 + (perc_90 - perc_75) * (2/3), converted_stat, '2K_Ratings'!U955, IF(bbgm_stat &gt;= perc_95, converted_stat * 3, IF(bbgm_stat &gt;= perc_90, converted_stat * 2, IF(bbgm_stat &gt;= perc_85, converted_stat * 1.5, converted_stat)))))</f>
        <v/>
      </c>
      <c r="V955" s="30" t="str">
        <f t="array" ref="V955">IF($A955="", "", LET(bbgm_stat, INDEX(Players!$A954:$P954, MATCH(V$2, Players!$A$1:$P$1, 0)), perc_75, VLOOKUP(V$2, Percentiles!$A$45:$I$59, 6, FALSE), perc_90, VLOOKUP(V$2, Percentiles!$A$45:$I$59, 7, FALSE), perc_95, VLOOKUP(V$2, Percentiles!$A$45:$I$59, 8, FALSE), perc_85, perc_75 + (perc_90 - perc_75) * (2/3), converted_stat, '2K_Ratings'!V955, IF(bbgm_stat &gt;= perc_95, converted_stat * 3, IF(bbgm_stat &gt;= perc_90, converted_stat * 2, IF(bbgm_stat &gt;= perc_85, converted_stat * 1.5, converted_stat)))))</f>
        <v/>
      </c>
      <c r="W955" s="30" t="str">
        <f t="array" ref="W955">IF($A955="", "", LET(bbgm_stat, INDEX(Players!$A954:$P954, MATCH(W$2, Players!$A$1:$P$1, 0)), perc_75, VLOOKUP(W$2, Percentiles!$A$45:$I$59, 6, FALSE), perc_90, VLOOKUP(W$2, Percentiles!$A$45:$I$59, 7, FALSE), perc_95, VLOOKUP(W$2, Percentiles!$A$45:$I$59, 8, FALSE), perc_85, perc_75 + (perc_90 - perc_75) * (2/3), converted_stat, '2K_Ratings'!W955, IF(bbgm_stat &gt;= perc_95, converted_stat * 3, IF(bbgm_stat &gt;= perc_90, converted_stat * 2, IF(bbgm_stat &gt;= perc_85, converted_stat * 1.5, converted_stat)))))</f>
        <v/>
      </c>
    </row>
    <row r="956">
      <c r="A956" s="30"/>
      <c r="B956" s="30" t="str">
        <f t="array" ref="B956">IF($A956="", "", LET(bbgm_stat, INDEX(Players!$A955:$P955, MATCH(B$2, Players!$A$1:$P$1, 0)), perc_75, VLOOKUP(B$2, Percentiles!$A$45:$I$59, 6, FALSE), perc_90, VLOOKUP(B$2, Percentiles!$A$45:$I$59, 7, FALSE), perc_95, VLOOKUP(B$2, Percentiles!$A$45:$I$59, 8, FALSE), perc_85, perc_75 + (perc_90 - perc_75) * (2/3), converted_stat, '2K_Ratings'!B956, IF(bbgm_stat &gt;= perc_95, converted_stat * 3, IF(bbgm_stat &gt;= perc_90, converted_stat * 2, IF(bbgm_stat &gt;= perc_85, converted_stat * 1.5, converted_stat)))))</f>
        <v/>
      </c>
      <c r="C956" s="30" t="str">
        <f t="array" ref="C956">IF($A956="", "", LET(bbgm_stat, INDEX(Players!$A955:$P955, MATCH(C$2, Players!$A$1:$P$1, 0)), perc_75, VLOOKUP(C$2, Percentiles!$A$45:$I$59, 6, FALSE), perc_90, VLOOKUP(C$2, Percentiles!$A$45:$I$59, 7, FALSE), perc_95, VLOOKUP(C$2, Percentiles!$A$45:$I$59, 8, FALSE), perc_85, perc_75 + (perc_90 - perc_75) * (2/3), converted_stat, '2K_Ratings'!C956, IF(bbgm_stat &gt;= perc_95, converted_stat * 3, IF(bbgm_stat &gt;= perc_90, converted_stat * 2, IF(bbgm_stat &gt;= perc_85, converted_stat * 1.5, converted_stat)))))</f>
        <v/>
      </c>
      <c r="D956" s="30" t="str">
        <f t="array" ref="D956">IF($A956="", "", LET(bbgm_stat, INDEX(Players!$A955:$P955, MATCH(D$2, Players!$A$1:$P$1, 0)), perc_75, VLOOKUP(D$2, Percentiles!$A$45:$I$59, 6, FALSE), perc_90, VLOOKUP(D$2, Percentiles!$A$45:$I$59, 7, FALSE), perc_95, VLOOKUP(D$2, Percentiles!$A$45:$I$59, 8, FALSE), perc_85, perc_75 + (perc_90 - perc_75) * (2/3), converted_stat, '2K_Ratings'!D956, IF(bbgm_stat &gt;= perc_95, converted_stat * 3, IF(bbgm_stat &gt;= perc_90, converted_stat * 2, IF(bbgm_stat &gt;= perc_85, converted_stat * 1.5, converted_stat)))))</f>
        <v/>
      </c>
      <c r="E956" s="30" t="str">
        <f t="array" ref="E956">IF($A956="", "", LET(bbgm_stat, INDEX(Players!$A955:$P955, MATCH(E$2, Players!$A$1:$P$1, 0)), perc_75, VLOOKUP(E$2, Percentiles!$A$45:$I$59, 6, FALSE), perc_90, VLOOKUP(E$2, Percentiles!$A$45:$I$59, 7, FALSE), perc_95, VLOOKUP(E$2, Percentiles!$A$45:$I$59, 8, FALSE), perc_85, perc_75 + (perc_90 - perc_75) * (2/3), converted_stat, '2K_Ratings'!E956, IF(bbgm_stat &gt;= perc_95, converted_stat * 3, IF(bbgm_stat &gt;= perc_90, converted_stat * 2, IF(bbgm_stat &gt;= perc_85, converted_stat * 1.5, converted_stat)))))</f>
        <v/>
      </c>
      <c r="F956" s="30" t="str">
        <f t="array" ref="F956">IF($A956="", "", LET(bbgm_stat, INDEX(Players!$A955:$P955, MATCH(F$2, Players!$A$1:$P$1, 0)), perc_75, VLOOKUP(F$2, Percentiles!$A$45:$I$59, 6, FALSE), perc_90, VLOOKUP(F$2, Percentiles!$A$45:$I$59, 7, FALSE), perc_95, VLOOKUP(F$2, Percentiles!$A$45:$I$59, 8, FALSE), perc_85, perc_75 + (perc_90 - perc_75) * (2/3), converted_stat, '2K_Ratings'!F956, IF(bbgm_stat &gt;= perc_95, converted_stat * 3, IF(bbgm_stat &gt;= perc_90, converted_stat * 2, IF(bbgm_stat &gt;= perc_85, converted_stat * 1.5, converted_stat)))))</f>
        <v/>
      </c>
      <c r="G956" s="30" t="str">
        <f t="array" ref="G956">IF($A956="", "", LET(bbgm_stat, INDEX(Players!$A955:$P955, MATCH(G$2, Players!$A$1:$P$1, 0)), perc_75, VLOOKUP(G$2, Percentiles!$A$45:$I$59, 6, FALSE), perc_90, VLOOKUP(G$2, Percentiles!$A$45:$I$59, 7, FALSE), perc_95, VLOOKUP(G$2, Percentiles!$A$45:$I$59, 8, FALSE), perc_85, perc_75 + (perc_90 - perc_75) * (2/3), converted_stat, '2K_Ratings'!G956, IF(bbgm_stat &gt;= perc_95, converted_stat * 3, IF(bbgm_stat &gt;= perc_90, converted_stat * 2, IF(bbgm_stat &gt;= perc_85, converted_stat * 1.5, converted_stat)))))</f>
        <v/>
      </c>
      <c r="H956" s="30" t="str">
        <f t="array" ref="H956">IF($A956="", "", LET(bbgm_stat, INDEX(Players!$A955:$P955, MATCH(H$2, Players!$A$1:$P$1, 0)), perc_75, VLOOKUP(H$2, Percentiles!$A$45:$I$59, 6, FALSE), perc_90, VLOOKUP(H$2, Percentiles!$A$45:$I$59, 7, FALSE), perc_95, VLOOKUP(H$2, Percentiles!$A$45:$I$59, 8, FALSE), perc_85, perc_75 + (perc_90 - perc_75) * (2/3), converted_stat, '2K_Ratings'!H956, IF(bbgm_stat &gt;= perc_95, converted_stat * 3, IF(bbgm_stat &gt;= perc_90, converted_stat * 2, IF(bbgm_stat &gt;= perc_85, converted_stat * 1.5, converted_stat)))))</f>
        <v/>
      </c>
      <c r="I956" s="30" t="str">
        <f t="array" ref="I956">IF($A956="", "", LET(bbgm_stat, INDEX(Players!$A955:$P955, MATCH(I$2, Players!$A$1:$P$1, 0)), perc_75, VLOOKUP(I$2, Percentiles!$A$45:$I$59, 6, FALSE), perc_90, VLOOKUP(I$2, Percentiles!$A$45:$I$59, 7, FALSE), perc_95, VLOOKUP(I$2, Percentiles!$A$45:$I$59, 8, FALSE), perc_85, perc_75 + (perc_90 - perc_75) * (2/3), converted_stat, '2K_Ratings'!I956, IF(bbgm_stat &gt;= perc_95, converted_stat * 3, IF(bbgm_stat &gt;= perc_90, converted_stat * 2, IF(bbgm_stat &gt;= perc_85, converted_stat * 1.5, converted_stat)))))</f>
        <v/>
      </c>
      <c r="J956" s="30" t="str">
        <f t="array" ref="J956">IF($A956="", "", LET(bbgm_stat, INDEX(Players!$A955:$P955, MATCH(J$2, Players!$A$1:$P$1, 0)), perc_75, VLOOKUP(J$2, Percentiles!$A$45:$I$59, 6, FALSE), perc_90, VLOOKUP(J$2, Percentiles!$A$45:$I$59, 7, FALSE), perc_95, VLOOKUP(J$2, Percentiles!$A$45:$I$59, 8, FALSE), perc_85, perc_75 + (perc_90 - perc_75) * (2/3), converted_stat, '2K_Ratings'!J956, IF(bbgm_stat &gt;= perc_95, converted_stat * 3, IF(bbgm_stat &gt;= perc_90, converted_stat * 2, IF(bbgm_stat &gt;= perc_85, converted_stat * 1.5, converted_stat)))))</f>
        <v/>
      </c>
      <c r="K956" s="30" t="str">
        <f t="array" ref="K956">IF($A956="", "", LET(bbgm_stat, INDEX(Players!$A955:$P955, MATCH(K$2, Players!$A$1:$P$1, 0)), perc_75, VLOOKUP(K$2, Percentiles!$A$45:$I$59, 6, FALSE), perc_90, VLOOKUP(K$2, Percentiles!$A$45:$I$59, 7, FALSE), perc_95, VLOOKUP(K$2, Percentiles!$A$45:$I$59, 8, FALSE), perc_85, perc_75 + (perc_90 - perc_75) * (2/3), converted_stat, '2K_Ratings'!K956, IF(bbgm_stat &gt;= perc_95, converted_stat * 3, IF(bbgm_stat &gt;= perc_90, converted_stat * 2, IF(bbgm_stat &gt;= perc_85, converted_stat * 1.5, converted_stat)))))</f>
        <v/>
      </c>
      <c r="L956" s="30" t="str">
        <f t="array" ref="L956">IF($A956="", "", LET(bbgm_stat, INDEX(Players!$A955:$P955, MATCH(L$2, Players!$A$1:$P$1, 0)), perc_75, VLOOKUP(L$2, Percentiles!$A$45:$I$59, 6, FALSE), perc_90, VLOOKUP(L$2, Percentiles!$A$45:$I$59, 7, FALSE), perc_95, VLOOKUP(L$2, Percentiles!$A$45:$I$59, 8, FALSE), perc_85, perc_75 + (perc_90 - perc_75) * (2/3), converted_stat, '2K_Ratings'!L956, IF(bbgm_stat &gt;= perc_95, converted_stat * 3, IF(bbgm_stat &gt;= perc_90, converted_stat * 2, IF(bbgm_stat &gt;= perc_85, converted_stat * 1.5, converted_stat)))))</f>
        <v/>
      </c>
      <c r="M956" s="30" t="str">
        <f t="array" ref="M956">IF($A956="", "", LET(bbgm_stat, INDEX(Players!$A955:$P955, MATCH(M$2, Players!$A$1:$P$1, 0)), perc_75, VLOOKUP(M$2, Percentiles!$A$45:$I$59, 6, FALSE), perc_90, VLOOKUP(M$2, Percentiles!$A$45:$I$59, 7, FALSE), perc_95, VLOOKUP(M$2, Percentiles!$A$45:$I$59, 8, FALSE), perc_85, perc_75 + (perc_90 - perc_75) * (2/3), converted_stat, '2K_Ratings'!M956, IF(bbgm_stat &gt;= perc_95, converted_stat * 3, IF(bbgm_stat &gt;= perc_90, converted_stat * 2, IF(bbgm_stat &gt;= perc_85, converted_stat * 1.5, converted_stat)))))</f>
        <v/>
      </c>
      <c r="N956" s="30" t="str">
        <f t="array" ref="N956">IF($A956="", "", LET(bbgm_stat, INDEX(Players!$A955:$P955, MATCH(N$2, Players!$A$1:$P$1, 0)), perc_75, VLOOKUP(N$2, Percentiles!$A$45:$I$59, 6, FALSE), perc_90, VLOOKUP(N$2, Percentiles!$A$45:$I$59, 7, FALSE), perc_95, VLOOKUP(N$2, Percentiles!$A$45:$I$59, 8, FALSE), perc_85, perc_75 + (perc_90 - perc_75) * (2/3), converted_stat, '2K_Ratings'!N956, IF(bbgm_stat &gt;= perc_95, converted_stat * 3, IF(bbgm_stat &gt;= perc_90, converted_stat * 2, IF(bbgm_stat &gt;= perc_85, converted_stat * 1.5, converted_stat)))))</f>
        <v/>
      </c>
      <c r="O956" s="30" t="str">
        <f t="array" ref="O956">IF($A956="", "", LET(bbgm_stat, INDEX(Players!$A955:$P955, MATCH(O$2, Players!$A$1:$P$1, 0)), perc_75, VLOOKUP(O$2, Percentiles!$A$45:$I$59, 6, FALSE), perc_90, VLOOKUP(O$2, Percentiles!$A$45:$I$59, 7, FALSE), perc_95, VLOOKUP(O$2, Percentiles!$A$45:$I$59, 8, FALSE), perc_85, perc_75 + (perc_90 - perc_75) * (2/3), converted_stat, '2K_Ratings'!O956, IF(bbgm_stat &gt;= perc_95, converted_stat * 3, IF(bbgm_stat &gt;= perc_90, converted_stat * 2, IF(bbgm_stat &gt;= perc_85, converted_stat * 1.5, converted_stat)))))</f>
        <v/>
      </c>
      <c r="P956" s="30" t="str">
        <f t="array" ref="P956">IF($A956="", "", LET(bbgm_stat, INDEX(Players!$A955:$P955, MATCH(P$2, Players!$A$1:$P$1, 0)), perc_75, VLOOKUP(P$2, Percentiles!$A$45:$I$59, 6, FALSE), perc_90, VLOOKUP(P$2, Percentiles!$A$45:$I$59, 7, FALSE), perc_95, VLOOKUP(P$2, Percentiles!$A$45:$I$59, 8, FALSE), perc_85, perc_75 + (perc_90 - perc_75) * (2/3), converted_stat, '2K_Ratings'!P956, IF(bbgm_stat &gt;= perc_95, converted_stat * 3, IF(bbgm_stat &gt;= perc_90, converted_stat * 2, IF(bbgm_stat &gt;= perc_85, converted_stat * 1.5, converted_stat)))))</f>
        <v/>
      </c>
      <c r="Q956" s="30" t="str">
        <f t="array" ref="Q956">IF($A956="", "", LET(bbgm_stat, INDEX(Players!$A955:$P955, MATCH(Q$2, Players!$A$1:$P$1, 0)), perc_75, VLOOKUP(Q$2, Percentiles!$A$45:$I$59, 6, FALSE), perc_90, VLOOKUP(Q$2, Percentiles!$A$45:$I$59, 7, FALSE), perc_95, VLOOKUP(Q$2, Percentiles!$A$45:$I$59, 8, FALSE), perc_85, perc_75 + (perc_90 - perc_75) * (2/3), converted_stat, '2K_Ratings'!Q956, IF(bbgm_stat &gt;= perc_95, converted_stat * 3, IF(bbgm_stat &gt;= perc_90, converted_stat * 2, IF(bbgm_stat &gt;= perc_85, converted_stat * 1.5, converted_stat)))))</f>
        <v/>
      </c>
      <c r="R956" s="30" t="str">
        <f t="array" ref="R956">IF($A956="", "", LET(bbgm_stat, INDEX(Players!$A955:$P955, MATCH(R$2, Players!$A$1:$P$1, 0)), perc_75, VLOOKUP(R$2, Percentiles!$A$45:$I$59, 6, FALSE), perc_90, VLOOKUP(R$2, Percentiles!$A$45:$I$59, 7, FALSE), perc_95, VLOOKUP(R$2, Percentiles!$A$45:$I$59, 8, FALSE), perc_85, perc_75 + (perc_90 - perc_75) * (2/3), converted_stat, '2K_Ratings'!R956, IF(bbgm_stat &gt;= perc_95, converted_stat * 3, IF(bbgm_stat &gt;= perc_90, converted_stat * 2, IF(bbgm_stat &gt;= perc_85, converted_stat * 1.5, converted_stat)))))</f>
        <v/>
      </c>
      <c r="S956" s="30" t="str">
        <f t="array" ref="S956">IF($A956="", "", LET(bbgm_stat, INDEX(Players!$A955:$P955, MATCH(S$2, Players!$A$1:$P$1, 0)), perc_75, VLOOKUP(S$2, Percentiles!$A$45:$I$59, 6, FALSE), perc_90, VLOOKUP(S$2, Percentiles!$A$45:$I$59, 7, FALSE), perc_95, VLOOKUP(S$2, Percentiles!$A$45:$I$59, 8, FALSE), perc_85, perc_75 + (perc_90 - perc_75) * (2/3), converted_stat, '2K_Ratings'!S956, IF(bbgm_stat &gt;= perc_95, converted_stat * 3, IF(bbgm_stat &gt;= perc_90, converted_stat * 2, IF(bbgm_stat &gt;= perc_85, converted_stat * 1.5, converted_stat)))))</f>
        <v/>
      </c>
      <c r="T956" s="30" t="str">
        <f t="array" ref="T956">IF($A956="", "", LET(bbgm_stat, INDEX(Players!$A955:$P955, MATCH(T$2, Players!$A$1:$P$1, 0)), perc_75, VLOOKUP(T$2, Percentiles!$A$45:$I$59, 6, FALSE), perc_90, VLOOKUP(T$2, Percentiles!$A$45:$I$59, 7, FALSE), perc_95, VLOOKUP(T$2, Percentiles!$A$45:$I$59, 8, FALSE), perc_85, perc_75 + (perc_90 - perc_75) * (2/3), converted_stat, '2K_Ratings'!T956, IF(bbgm_stat &gt;= perc_95, converted_stat * 3, IF(bbgm_stat &gt;= perc_90, converted_stat * 2, IF(bbgm_stat &gt;= perc_85, converted_stat * 1.5, converted_stat)))))</f>
        <v/>
      </c>
      <c r="U956" s="30" t="str">
        <f t="array" ref="U956">IF($A956="", "", LET(bbgm_stat, INDEX(Players!$A955:$P955, MATCH(U$2, Players!$A$1:$P$1, 0)), perc_75, VLOOKUP(U$2, Percentiles!$A$45:$I$59, 6, FALSE), perc_90, VLOOKUP(U$2, Percentiles!$A$45:$I$59, 7, FALSE), perc_95, VLOOKUP(U$2, Percentiles!$A$45:$I$59, 8, FALSE), perc_85, perc_75 + (perc_90 - perc_75) * (2/3), converted_stat, '2K_Ratings'!U956, IF(bbgm_stat &gt;= perc_95, converted_stat * 3, IF(bbgm_stat &gt;= perc_90, converted_stat * 2, IF(bbgm_stat &gt;= perc_85, converted_stat * 1.5, converted_stat)))))</f>
        <v/>
      </c>
      <c r="V956" s="30" t="str">
        <f t="array" ref="V956">IF($A956="", "", LET(bbgm_stat, INDEX(Players!$A955:$P955, MATCH(V$2, Players!$A$1:$P$1, 0)), perc_75, VLOOKUP(V$2, Percentiles!$A$45:$I$59, 6, FALSE), perc_90, VLOOKUP(V$2, Percentiles!$A$45:$I$59, 7, FALSE), perc_95, VLOOKUP(V$2, Percentiles!$A$45:$I$59, 8, FALSE), perc_85, perc_75 + (perc_90 - perc_75) * (2/3), converted_stat, '2K_Ratings'!V956, IF(bbgm_stat &gt;= perc_95, converted_stat * 3, IF(bbgm_stat &gt;= perc_90, converted_stat * 2, IF(bbgm_stat &gt;= perc_85, converted_stat * 1.5, converted_stat)))))</f>
        <v/>
      </c>
      <c r="W956" s="30" t="str">
        <f t="array" ref="W956">IF($A956="", "", LET(bbgm_stat, INDEX(Players!$A955:$P955, MATCH(W$2, Players!$A$1:$P$1, 0)), perc_75, VLOOKUP(W$2, Percentiles!$A$45:$I$59, 6, FALSE), perc_90, VLOOKUP(W$2, Percentiles!$A$45:$I$59, 7, FALSE), perc_95, VLOOKUP(W$2, Percentiles!$A$45:$I$59, 8, FALSE), perc_85, perc_75 + (perc_90 - perc_75) * (2/3), converted_stat, '2K_Ratings'!W956, IF(bbgm_stat &gt;= perc_95, converted_stat * 3, IF(bbgm_stat &gt;= perc_90, converted_stat * 2, IF(bbgm_stat &gt;= perc_85, converted_stat * 1.5, converted_stat)))))</f>
        <v/>
      </c>
    </row>
    <row r="957">
      <c r="A957" s="30"/>
      <c r="B957" s="30" t="str">
        <f t="array" ref="B957">IF($A957="", "", LET(bbgm_stat, INDEX(Players!$A956:$P956, MATCH(B$2, Players!$A$1:$P$1, 0)), perc_75, VLOOKUP(B$2, Percentiles!$A$45:$I$59, 6, FALSE), perc_90, VLOOKUP(B$2, Percentiles!$A$45:$I$59, 7, FALSE), perc_95, VLOOKUP(B$2, Percentiles!$A$45:$I$59, 8, FALSE), perc_85, perc_75 + (perc_90 - perc_75) * (2/3), converted_stat, '2K_Ratings'!B957, IF(bbgm_stat &gt;= perc_95, converted_stat * 3, IF(bbgm_stat &gt;= perc_90, converted_stat * 2, IF(bbgm_stat &gt;= perc_85, converted_stat * 1.5, converted_stat)))))</f>
        <v/>
      </c>
      <c r="C957" s="30" t="str">
        <f t="array" ref="C957">IF($A957="", "", LET(bbgm_stat, INDEX(Players!$A956:$P956, MATCH(C$2, Players!$A$1:$P$1, 0)), perc_75, VLOOKUP(C$2, Percentiles!$A$45:$I$59, 6, FALSE), perc_90, VLOOKUP(C$2, Percentiles!$A$45:$I$59, 7, FALSE), perc_95, VLOOKUP(C$2, Percentiles!$A$45:$I$59, 8, FALSE), perc_85, perc_75 + (perc_90 - perc_75) * (2/3), converted_stat, '2K_Ratings'!C957, IF(bbgm_stat &gt;= perc_95, converted_stat * 3, IF(bbgm_stat &gt;= perc_90, converted_stat * 2, IF(bbgm_stat &gt;= perc_85, converted_stat * 1.5, converted_stat)))))</f>
        <v/>
      </c>
      <c r="D957" s="30" t="str">
        <f t="array" ref="D957">IF($A957="", "", LET(bbgm_stat, INDEX(Players!$A956:$P956, MATCH(D$2, Players!$A$1:$P$1, 0)), perc_75, VLOOKUP(D$2, Percentiles!$A$45:$I$59, 6, FALSE), perc_90, VLOOKUP(D$2, Percentiles!$A$45:$I$59, 7, FALSE), perc_95, VLOOKUP(D$2, Percentiles!$A$45:$I$59, 8, FALSE), perc_85, perc_75 + (perc_90 - perc_75) * (2/3), converted_stat, '2K_Ratings'!D957, IF(bbgm_stat &gt;= perc_95, converted_stat * 3, IF(bbgm_stat &gt;= perc_90, converted_stat * 2, IF(bbgm_stat &gt;= perc_85, converted_stat * 1.5, converted_stat)))))</f>
        <v/>
      </c>
      <c r="E957" s="30" t="str">
        <f t="array" ref="E957">IF($A957="", "", LET(bbgm_stat, INDEX(Players!$A956:$P956, MATCH(E$2, Players!$A$1:$P$1, 0)), perc_75, VLOOKUP(E$2, Percentiles!$A$45:$I$59, 6, FALSE), perc_90, VLOOKUP(E$2, Percentiles!$A$45:$I$59, 7, FALSE), perc_95, VLOOKUP(E$2, Percentiles!$A$45:$I$59, 8, FALSE), perc_85, perc_75 + (perc_90 - perc_75) * (2/3), converted_stat, '2K_Ratings'!E957, IF(bbgm_stat &gt;= perc_95, converted_stat * 3, IF(bbgm_stat &gt;= perc_90, converted_stat * 2, IF(bbgm_stat &gt;= perc_85, converted_stat * 1.5, converted_stat)))))</f>
        <v/>
      </c>
      <c r="F957" s="30" t="str">
        <f t="array" ref="F957">IF($A957="", "", LET(bbgm_stat, INDEX(Players!$A956:$P956, MATCH(F$2, Players!$A$1:$P$1, 0)), perc_75, VLOOKUP(F$2, Percentiles!$A$45:$I$59, 6, FALSE), perc_90, VLOOKUP(F$2, Percentiles!$A$45:$I$59, 7, FALSE), perc_95, VLOOKUP(F$2, Percentiles!$A$45:$I$59, 8, FALSE), perc_85, perc_75 + (perc_90 - perc_75) * (2/3), converted_stat, '2K_Ratings'!F957, IF(bbgm_stat &gt;= perc_95, converted_stat * 3, IF(bbgm_stat &gt;= perc_90, converted_stat * 2, IF(bbgm_stat &gt;= perc_85, converted_stat * 1.5, converted_stat)))))</f>
        <v/>
      </c>
      <c r="G957" s="30" t="str">
        <f t="array" ref="G957">IF($A957="", "", LET(bbgm_stat, INDEX(Players!$A956:$P956, MATCH(G$2, Players!$A$1:$P$1, 0)), perc_75, VLOOKUP(G$2, Percentiles!$A$45:$I$59, 6, FALSE), perc_90, VLOOKUP(G$2, Percentiles!$A$45:$I$59, 7, FALSE), perc_95, VLOOKUP(G$2, Percentiles!$A$45:$I$59, 8, FALSE), perc_85, perc_75 + (perc_90 - perc_75) * (2/3), converted_stat, '2K_Ratings'!G957, IF(bbgm_stat &gt;= perc_95, converted_stat * 3, IF(bbgm_stat &gt;= perc_90, converted_stat * 2, IF(bbgm_stat &gt;= perc_85, converted_stat * 1.5, converted_stat)))))</f>
        <v/>
      </c>
      <c r="H957" s="30" t="str">
        <f t="array" ref="H957">IF($A957="", "", LET(bbgm_stat, INDEX(Players!$A956:$P956, MATCH(H$2, Players!$A$1:$P$1, 0)), perc_75, VLOOKUP(H$2, Percentiles!$A$45:$I$59, 6, FALSE), perc_90, VLOOKUP(H$2, Percentiles!$A$45:$I$59, 7, FALSE), perc_95, VLOOKUP(H$2, Percentiles!$A$45:$I$59, 8, FALSE), perc_85, perc_75 + (perc_90 - perc_75) * (2/3), converted_stat, '2K_Ratings'!H957, IF(bbgm_stat &gt;= perc_95, converted_stat * 3, IF(bbgm_stat &gt;= perc_90, converted_stat * 2, IF(bbgm_stat &gt;= perc_85, converted_stat * 1.5, converted_stat)))))</f>
        <v/>
      </c>
      <c r="I957" s="30" t="str">
        <f t="array" ref="I957">IF($A957="", "", LET(bbgm_stat, INDEX(Players!$A956:$P956, MATCH(I$2, Players!$A$1:$P$1, 0)), perc_75, VLOOKUP(I$2, Percentiles!$A$45:$I$59, 6, FALSE), perc_90, VLOOKUP(I$2, Percentiles!$A$45:$I$59, 7, FALSE), perc_95, VLOOKUP(I$2, Percentiles!$A$45:$I$59, 8, FALSE), perc_85, perc_75 + (perc_90 - perc_75) * (2/3), converted_stat, '2K_Ratings'!I957, IF(bbgm_stat &gt;= perc_95, converted_stat * 3, IF(bbgm_stat &gt;= perc_90, converted_stat * 2, IF(bbgm_stat &gt;= perc_85, converted_stat * 1.5, converted_stat)))))</f>
        <v/>
      </c>
      <c r="J957" s="30" t="str">
        <f t="array" ref="J957">IF($A957="", "", LET(bbgm_stat, INDEX(Players!$A956:$P956, MATCH(J$2, Players!$A$1:$P$1, 0)), perc_75, VLOOKUP(J$2, Percentiles!$A$45:$I$59, 6, FALSE), perc_90, VLOOKUP(J$2, Percentiles!$A$45:$I$59, 7, FALSE), perc_95, VLOOKUP(J$2, Percentiles!$A$45:$I$59, 8, FALSE), perc_85, perc_75 + (perc_90 - perc_75) * (2/3), converted_stat, '2K_Ratings'!J957, IF(bbgm_stat &gt;= perc_95, converted_stat * 3, IF(bbgm_stat &gt;= perc_90, converted_stat * 2, IF(bbgm_stat &gt;= perc_85, converted_stat * 1.5, converted_stat)))))</f>
        <v/>
      </c>
      <c r="K957" s="30" t="str">
        <f t="array" ref="K957">IF($A957="", "", LET(bbgm_stat, INDEX(Players!$A956:$P956, MATCH(K$2, Players!$A$1:$P$1, 0)), perc_75, VLOOKUP(K$2, Percentiles!$A$45:$I$59, 6, FALSE), perc_90, VLOOKUP(K$2, Percentiles!$A$45:$I$59, 7, FALSE), perc_95, VLOOKUP(K$2, Percentiles!$A$45:$I$59, 8, FALSE), perc_85, perc_75 + (perc_90 - perc_75) * (2/3), converted_stat, '2K_Ratings'!K957, IF(bbgm_stat &gt;= perc_95, converted_stat * 3, IF(bbgm_stat &gt;= perc_90, converted_stat * 2, IF(bbgm_stat &gt;= perc_85, converted_stat * 1.5, converted_stat)))))</f>
        <v/>
      </c>
      <c r="L957" s="30" t="str">
        <f t="array" ref="L957">IF($A957="", "", LET(bbgm_stat, INDEX(Players!$A956:$P956, MATCH(L$2, Players!$A$1:$P$1, 0)), perc_75, VLOOKUP(L$2, Percentiles!$A$45:$I$59, 6, FALSE), perc_90, VLOOKUP(L$2, Percentiles!$A$45:$I$59, 7, FALSE), perc_95, VLOOKUP(L$2, Percentiles!$A$45:$I$59, 8, FALSE), perc_85, perc_75 + (perc_90 - perc_75) * (2/3), converted_stat, '2K_Ratings'!L957, IF(bbgm_stat &gt;= perc_95, converted_stat * 3, IF(bbgm_stat &gt;= perc_90, converted_stat * 2, IF(bbgm_stat &gt;= perc_85, converted_stat * 1.5, converted_stat)))))</f>
        <v/>
      </c>
      <c r="M957" s="30" t="str">
        <f t="array" ref="M957">IF($A957="", "", LET(bbgm_stat, INDEX(Players!$A956:$P956, MATCH(M$2, Players!$A$1:$P$1, 0)), perc_75, VLOOKUP(M$2, Percentiles!$A$45:$I$59, 6, FALSE), perc_90, VLOOKUP(M$2, Percentiles!$A$45:$I$59, 7, FALSE), perc_95, VLOOKUP(M$2, Percentiles!$A$45:$I$59, 8, FALSE), perc_85, perc_75 + (perc_90 - perc_75) * (2/3), converted_stat, '2K_Ratings'!M957, IF(bbgm_stat &gt;= perc_95, converted_stat * 3, IF(bbgm_stat &gt;= perc_90, converted_stat * 2, IF(bbgm_stat &gt;= perc_85, converted_stat * 1.5, converted_stat)))))</f>
        <v/>
      </c>
      <c r="N957" s="30" t="str">
        <f t="array" ref="N957">IF($A957="", "", LET(bbgm_stat, INDEX(Players!$A956:$P956, MATCH(N$2, Players!$A$1:$P$1, 0)), perc_75, VLOOKUP(N$2, Percentiles!$A$45:$I$59, 6, FALSE), perc_90, VLOOKUP(N$2, Percentiles!$A$45:$I$59, 7, FALSE), perc_95, VLOOKUP(N$2, Percentiles!$A$45:$I$59, 8, FALSE), perc_85, perc_75 + (perc_90 - perc_75) * (2/3), converted_stat, '2K_Ratings'!N957, IF(bbgm_stat &gt;= perc_95, converted_stat * 3, IF(bbgm_stat &gt;= perc_90, converted_stat * 2, IF(bbgm_stat &gt;= perc_85, converted_stat * 1.5, converted_stat)))))</f>
        <v/>
      </c>
      <c r="O957" s="30" t="str">
        <f t="array" ref="O957">IF($A957="", "", LET(bbgm_stat, INDEX(Players!$A956:$P956, MATCH(O$2, Players!$A$1:$P$1, 0)), perc_75, VLOOKUP(O$2, Percentiles!$A$45:$I$59, 6, FALSE), perc_90, VLOOKUP(O$2, Percentiles!$A$45:$I$59, 7, FALSE), perc_95, VLOOKUP(O$2, Percentiles!$A$45:$I$59, 8, FALSE), perc_85, perc_75 + (perc_90 - perc_75) * (2/3), converted_stat, '2K_Ratings'!O957, IF(bbgm_stat &gt;= perc_95, converted_stat * 3, IF(bbgm_stat &gt;= perc_90, converted_stat * 2, IF(bbgm_stat &gt;= perc_85, converted_stat * 1.5, converted_stat)))))</f>
        <v/>
      </c>
      <c r="P957" s="30" t="str">
        <f t="array" ref="P957">IF($A957="", "", LET(bbgm_stat, INDEX(Players!$A956:$P956, MATCH(P$2, Players!$A$1:$P$1, 0)), perc_75, VLOOKUP(P$2, Percentiles!$A$45:$I$59, 6, FALSE), perc_90, VLOOKUP(P$2, Percentiles!$A$45:$I$59, 7, FALSE), perc_95, VLOOKUP(P$2, Percentiles!$A$45:$I$59, 8, FALSE), perc_85, perc_75 + (perc_90 - perc_75) * (2/3), converted_stat, '2K_Ratings'!P957, IF(bbgm_stat &gt;= perc_95, converted_stat * 3, IF(bbgm_stat &gt;= perc_90, converted_stat * 2, IF(bbgm_stat &gt;= perc_85, converted_stat * 1.5, converted_stat)))))</f>
        <v/>
      </c>
      <c r="Q957" s="30" t="str">
        <f t="array" ref="Q957">IF($A957="", "", LET(bbgm_stat, INDEX(Players!$A956:$P956, MATCH(Q$2, Players!$A$1:$P$1, 0)), perc_75, VLOOKUP(Q$2, Percentiles!$A$45:$I$59, 6, FALSE), perc_90, VLOOKUP(Q$2, Percentiles!$A$45:$I$59, 7, FALSE), perc_95, VLOOKUP(Q$2, Percentiles!$A$45:$I$59, 8, FALSE), perc_85, perc_75 + (perc_90 - perc_75) * (2/3), converted_stat, '2K_Ratings'!Q957, IF(bbgm_stat &gt;= perc_95, converted_stat * 3, IF(bbgm_stat &gt;= perc_90, converted_stat * 2, IF(bbgm_stat &gt;= perc_85, converted_stat * 1.5, converted_stat)))))</f>
        <v/>
      </c>
      <c r="R957" s="30" t="str">
        <f t="array" ref="R957">IF($A957="", "", LET(bbgm_stat, INDEX(Players!$A956:$P956, MATCH(R$2, Players!$A$1:$P$1, 0)), perc_75, VLOOKUP(R$2, Percentiles!$A$45:$I$59, 6, FALSE), perc_90, VLOOKUP(R$2, Percentiles!$A$45:$I$59, 7, FALSE), perc_95, VLOOKUP(R$2, Percentiles!$A$45:$I$59, 8, FALSE), perc_85, perc_75 + (perc_90 - perc_75) * (2/3), converted_stat, '2K_Ratings'!R957, IF(bbgm_stat &gt;= perc_95, converted_stat * 3, IF(bbgm_stat &gt;= perc_90, converted_stat * 2, IF(bbgm_stat &gt;= perc_85, converted_stat * 1.5, converted_stat)))))</f>
        <v/>
      </c>
      <c r="S957" s="30" t="str">
        <f t="array" ref="S957">IF($A957="", "", LET(bbgm_stat, INDEX(Players!$A956:$P956, MATCH(S$2, Players!$A$1:$P$1, 0)), perc_75, VLOOKUP(S$2, Percentiles!$A$45:$I$59, 6, FALSE), perc_90, VLOOKUP(S$2, Percentiles!$A$45:$I$59, 7, FALSE), perc_95, VLOOKUP(S$2, Percentiles!$A$45:$I$59, 8, FALSE), perc_85, perc_75 + (perc_90 - perc_75) * (2/3), converted_stat, '2K_Ratings'!S957, IF(bbgm_stat &gt;= perc_95, converted_stat * 3, IF(bbgm_stat &gt;= perc_90, converted_stat * 2, IF(bbgm_stat &gt;= perc_85, converted_stat * 1.5, converted_stat)))))</f>
        <v/>
      </c>
      <c r="T957" s="30" t="str">
        <f t="array" ref="T957">IF($A957="", "", LET(bbgm_stat, INDEX(Players!$A956:$P956, MATCH(T$2, Players!$A$1:$P$1, 0)), perc_75, VLOOKUP(T$2, Percentiles!$A$45:$I$59, 6, FALSE), perc_90, VLOOKUP(T$2, Percentiles!$A$45:$I$59, 7, FALSE), perc_95, VLOOKUP(T$2, Percentiles!$A$45:$I$59, 8, FALSE), perc_85, perc_75 + (perc_90 - perc_75) * (2/3), converted_stat, '2K_Ratings'!T957, IF(bbgm_stat &gt;= perc_95, converted_stat * 3, IF(bbgm_stat &gt;= perc_90, converted_stat * 2, IF(bbgm_stat &gt;= perc_85, converted_stat * 1.5, converted_stat)))))</f>
        <v/>
      </c>
      <c r="U957" s="30" t="str">
        <f t="array" ref="U957">IF($A957="", "", LET(bbgm_stat, INDEX(Players!$A956:$P956, MATCH(U$2, Players!$A$1:$P$1, 0)), perc_75, VLOOKUP(U$2, Percentiles!$A$45:$I$59, 6, FALSE), perc_90, VLOOKUP(U$2, Percentiles!$A$45:$I$59, 7, FALSE), perc_95, VLOOKUP(U$2, Percentiles!$A$45:$I$59, 8, FALSE), perc_85, perc_75 + (perc_90 - perc_75) * (2/3), converted_stat, '2K_Ratings'!U957, IF(bbgm_stat &gt;= perc_95, converted_stat * 3, IF(bbgm_stat &gt;= perc_90, converted_stat * 2, IF(bbgm_stat &gt;= perc_85, converted_stat * 1.5, converted_stat)))))</f>
        <v/>
      </c>
      <c r="V957" s="30" t="str">
        <f t="array" ref="V957">IF($A957="", "", LET(bbgm_stat, INDEX(Players!$A956:$P956, MATCH(V$2, Players!$A$1:$P$1, 0)), perc_75, VLOOKUP(V$2, Percentiles!$A$45:$I$59, 6, FALSE), perc_90, VLOOKUP(V$2, Percentiles!$A$45:$I$59, 7, FALSE), perc_95, VLOOKUP(V$2, Percentiles!$A$45:$I$59, 8, FALSE), perc_85, perc_75 + (perc_90 - perc_75) * (2/3), converted_stat, '2K_Ratings'!V957, IF(bbgm_stat &gt;= perc_95, converted_stat * 3, IF(bbgm_stat &gt;= perc_90, converted_stat * 2, IF(bbgm_stat &gt;= perc_85, converted_stat * 1.5, converted_stat)))))</f>
        <v/>
      </c>
      <c r="W957" s="30" t="str">
        <f t="array" ref="W957">IF($A957="", "", LET(bbgm_stat, INDEX(Players!$A956:$P956, MATCH(W$2, Players!$A$1:$P$1, 0)), perc_75, VLOOKUP(W$2, Percentiles!$A$45:$I$59, 6, FALSE), perc_90, VLOOKUP(W$2, Percentiles!$A$45:$I$59, 7, FALSE), perc_95, VLOOKUP(W$2, Percentiles!$A$45:$I$59, 8, FALSE), perc_85, perc_75 + (perc_90 - perc_75) * (2/3), converted_stat, '2K_Ratings'!W957, IF(bbgm_stat &gt;= perc_95, converted_stat * 3, IF(bbgm_stat &gt;= perc_90, converted_stat * 2, IF(bbgm_stat &gt;= perc_85, converted_stat * 1.5, converted_stat)))))</f>
        <v/>
      </c>
    </row>
    <row r="958">
      <c r="A958" s="30"/>
      <c r="B958" s="30" t="str">
        <f t="array" ref="B958">IF($A958="", "", LET(bbgm_stat, INDEX(Players!$A957:$P957, MATCH(B$2, Players!$A$1:$P$1, 0)), perc_75, VLOOKUP(B$2, Percentiles!$A$45:$I$59, 6, FALSE), perc_90, VLOOKUP(B$2, Percentiles!$A$45:$I$59, 7, FALSE), perc_95, VLOOKUP(B$2, Percentiles!$A$45:$I$59, 8, FALSE), perc_85, perc_75 + (perc_90 - perc_75) * (2/3), converted_stat, '2K_Ratings'!B958, IF(bbgm_stat &gt;= perc_95, converted_stat * 3, IF(bbgm_stat &gt;= perc_90, converted_stat * 2, IF(bbgm_stat &gt;= perc_85, converted_stat * 1.5, converted_stat)))))</f>
        <v/>
      </c>
      <c r="C958" s="30" t="str">
        <f t="array" ref="C958">IF($A958="", "", LET(bbgm_stat, INDEX(Players!$A957:$P957, MATCH(C$2, Players!$A$1:$P$1, 0)), perc_75, VLOOKUP(C$2, Percentiles!$A$45:$I$59, 6, FALSE), perc_90, VLOOKUP(C$2, Percentiles!$A$45:$I$59, 7, FALSE), perc_95, VLOOKUP(C$2, Percentiles!$A$45:$I$59, 8, FALSE), perc_85, perc_75 + (perc_90 - perc_75) * (2/3), converted_stat, '2K_Ratings'!C958, IF(bbgm_stat &gt;= perc_95, converted_stat * 3, IF(bbgm_stat &gt;= perc_90, converted_stat * 2, IF(bbgm_stat &gt;= perc_85, converted_stat * 1.5, converted_stat)))))</f>
        <v/>
      </c>
      <c r="D958" s="30" t="str">
        <f t="array" ref="D958">IF($A958="", "", LET(bbgm_stat, INDEX(Players!$A957:$P957, MATCH(D$2, Players!$A$1:$P$1, 0)), perc_75, VLOOKUP(D$2, Percentiles!$A$45:$I$59, 6, FALSE), perc_90, VLOOKUP(D$2, Percentiles!$A$45:$I$59, 7, FALSE), perc_95, VLOOKUP(D$2, Percentiles!$A$45:$I$59, 8, FALSE), perc_85, perc_75 + (perc_90 - perc_75) * (2/3), converted_stat, '2K_Ratings'!D958, IF(bbgm_stat &gt;= perc_95, converted_stat * 3, IF(bbgm_stat &gt;= perc_90, converted_stat * 2, IF(bbgm_stat &gt;= perc_85, converted_stat * 1.5, converted_stat)))))</f>
        <v/>
      </c>
      <c r="E958" s="30" t="str">
        <f t="array" ref="E958">IF($A958="", "", LET(bbgm_stat, INDEX(Players!$A957:$P957, MATCH(E$2, Players!$A$1:$P$1, 0)), perc_75, VLOOKUP(E$2, Percentiles!$A$45:$I$59, 6, FALSE), perc_90, VLOOKUP(E$2, Percentiles!$A$45:$I$59, 7, FALSE), perc_95, VLOOKUP(E$2, Percentiles!$A$45:$I$59, 8, FALSE), perc_85, perc_75 + (perc_90 - perc_75) * (2/3), converted_stat, '2K_Ratings'!E958, IF(bbgm_stat &gt;= perc_95, converted_stat * 3, IF(bbgm_stat &gt;= perc_90, converted_stat * 2, IF(bbgm_stat &gt;= perc_85, converted_stat * 1.5, converted_stat)))))</f>
        <v/>
      </c>
      <c r="F958" s="30" t="str">
        <f t="array" ref="F958">IF($A958="", "", LET(bbgm_stat, INDEX(Players!$A957:$P957, MATCH(F$2, Players!$A$1:$P$1, 0)), perc_75, VLOOKUP(F$2, Percentiles!$A$45:$I$59, 6, FALSE), perc_90, VLOOKUP(F$2, Percentiles!$A$45:$I$59, 7, FALSE), perc_95, VLOOKUP(F$2, Percentiles!$A$45:$I$59, 8, FALSE), perc_85, perc_75 + (perc_90 - perc_75) * (2/3), converted_stat, '2K_Ratings'!F958, IF(bbgm_stat &gt;= perc_95, converted_stat * 3, IF(bbgm_stat &gt;= perc_90, converted_stat * 2, IF(bbgm_stat &gt;= perc_85, converted_stat * 1.5, converted_stat)))))</f>
        <v/>
      </c>
      <c r="G958" s="30" t="str">
        <f t="array" ref="G958">IF($A958="", "", LET(bbgm_stat, INDEX(Players!$A957:$P957, MATCH(G$2, Players!$A$1:$P$1, 0)), perc_75, VLOOKUP(G$2, Percentiles!$A$45:$I$59, 6, FALSE), perc_90, VLOOKUP(G$2, Percentiles!$A$45:$I$59, 7, FALSE), perc_95, VLOOKUP(G$2, Percentiles!$A$45:$I$59, 8, FALSE), perc_85, perc_75 + (perc_90 - perc_75) * (2/3), converted_stat, '2K_Ratings'!G958, IF(bbgm_stat &gt;= perc_95, converted_stat * 3, IF(bbgm_stat &gt;= perc_90, converted_stat * 2, IF(bbgm_stat &gt;= perc_85, converted_stat * 1.5, converted_stat)))))</f>
        <v/>
      </c>
      <c r="H958" s="30" t="str">
        <f t="array" ref="H958">IF($A958="", "", LET(bbgm_stat, INDEX(Players!$A957:$P957, MATCH(H$2, Players!$A$1:$P$1, 0)), perc_75, VLOOKUP(H$2, Percentiles!$A$45:$I$59, 6, FALSE), perc_90, VLOOKUP(H$2, Percentiles!$A$45:$I$59, 7, FALSE), perc_95, VLOOKUP(H$2, Percentiles!$A$45:$I$59, 8, FALSE), perc_85, perc_75 + (perc_90 - perc_75) * (2/3), converted_stat, '2K_Ratings'!H958, IF(bbgm_stat &gt;= perc_95, converted_stat * 3, IF(bbgm_stat &gt;= perc_90, converted_stat * 2, IF(bbgm_stat &gt;= perc_85, converted_stat * 1.5, converted_stat)))))</f>
        <v/>
      </c>
      <c r="I958" s="30" t="str">
        <f t="array" ref="I958">IF($A958="", "", LET(bbgm_stat, INDEX(Players!$A957:$P957, MATCH(I$2, Players!$A$1:$P$1, 0)), perc_75, VLOOKUP(I$2, Percentiles!$A$45:$I$59, 6, FALSE), perc_90, VLOOKUP(I$2, Percentiles!$A$45:$I$59, 7, FALSE), perc_95, VLOOKUP(I$2, Percentiles!$A$45:$I$59, 8, FALSE), perc_85, perc_75 + (perc_90 - perc_75) * (2/3), converted_stat, '2K_Ratings'!I958, IF(bbgm_stat &gt;= perc_95, converted_stat * 3, IF(bbgm_stat &gt;= perc_90, converted_stat * 2, IF(bbgm_stat &gt;= perc_85, converted_stat * 1.5, converted_stat)))))</f>
        <v/>
      </c>
      <c r="J958" s="30" t="str">
        <f t="array" ref="J958">IF($A958="", "", LET(bbgm_stat, INDEX(Players!$A957:$P957, MATCH(J$2, Players!$A$1:$P$1, 0)), perc_75, VLOOKUP(J$2, Percentiles!$A$45:$I$59, 6, FALSE), perc_90, VLOOKUP(J$2, Percentiles!$A$45:$I$59, 7, FALSE), perc_95, VLOOKUP(J$2, Percentiles!$A$45:$I$59, 8, FALSE), perc_85, perc_75 + (perc_90 - perc_75) * (2/3), converted_stat, '2K_Ratings'!J958, IF(bbgm_stat &gt;= perc_95, converted_stat * 3, IF(bbgm_stat &gt;= perc_90, converted_stat * 2, IF(bbgm_stat &gt;= perc_85, converted_stat * 1.5, converted_stat)))))</f>
        <v/>
      </c>
      <c r="K958" s="30" t="str">
        <f t="array" ref="K958">IF($A958="", "", LET(bbgm_stat, INDEX(Players!$A957:$P957, MATCH(K$2, Players!$A$1:$P$1, 0)), perc_75, VLOOKUP(K$2, Percentiles!$A$45:$I$59, 6, FALSE), perc_90, VLOOKUP(K$2, Percentiles!$A$45:$I$59, 7, FALSE), perc_95, VLOOKUP(K$2, Percentiles!$A$45:$I$59, 8, FALSE), perc_85, perc_75 + (perc_90 - perc_75) * (2/3), converted_stat, '2K_Ratings'!K958, IF(bbgm_stat &gt;= perc_95, converted_stat * 3, IF(bbgm_stat &gt;= perc_90, converted_stat * 2, IF(bbgm_stat &gt;= perc_85, converted_stat * 1.5, converted_stat)))))</f>
        <v/>
      </c>
      <c r="L958" s="30" t="str">
        <f t="array" ref="L958">IF($A958="", "", LET(bbgm_stat, INDEX(Players!$A957:$P957, MATCH(L$2, Players!$A$1:$P$1, 0)), perc_75, VLOOKUP(L$2, Percentiles!$A$45:$I$59, 6, FALSE), perc_90, VLOOKUP(L$2, Percentiles!$A$45:$I$59, 7, FALSE), perc_95, VLOOKUP(L$2, Percentiles!$A$45:$I$59, 8, FALSE), perc_85, perc_75 + (perc_90 - perc_75) * (2/3), converted_stat, '2K_Ratings'!L958, IF(bbgm_stat &gt;= perc_95, converted_stat * 3, IF(bbgm_stat &gt;= perc_90, converted_stat * 2, IF(bbgm_stat &gt;= perc_85, converted_stat * 1.5, converted_stat)))))</f>
        <v/>
      </c>
      <c r="M958" s="30" t="str">
        <f t="array" ref="M958">IF($A958="", "", LET(bbgm_stat, INDEX(Players!$A957:$P957, MATCH(M$2, Players!$A$1:$P$1, 0)), perc_75, VLOOKUP(M$2, Percentiles!$A$45:$I$59, 6, FALSE), perc_90, VLOOKUP(M$2, Percentiles!$A$45:$I$59, 7, FALSE), perc_95, VLOOKUP(M$2, Percentiles!$A$45:$I$59, 8, FALSE), perc_85, perc_75 + (perc_90 - perc_75) * (2/3), converted_stat, '2K_Ratings'!M958, IF(bbgm_stat &gt;= perc_95, converted_stat * 3, IF(bbgm_stat &gt;= perc_90, converted_stat * 2, IF(bbgm_stat &gt;= perc_85, converted_stat * 1.5, converted_stat)))))</f>
        <v/>
      </c>
      <c r="N958" s="30" t="str">
        <f t="array" ref="N958">IF($A958="", "", LET(bbgm_stat, INDEX(Players!$A957:$P957, MATCH(N$2, Players!$A$1:$P$1, 0)), perc_75, VLOOKUP(N$2, Percentiles!$A$45:$I$59, 6, FALSE), perc_90, VLOOKUP(N$2, Percentiles!$A$45:$I$59, 7, FALSE), perc_95, VLOOKUP(N$2, Percentiles!$A$45:$I$59, 8, FALSE), perc_85, perc_75 + (perc_90 - perc_75) * (2/3), converted_stat, '2K_Ratings'!N958, IF(bbgm_stat &gt;= perc_95, converted_stat * 3, IF(bbgm_stat &gt;= perc_90, converted_stat * 2, IF(bbgm_stat &gt;= perc_85, converted_stat * 1.5, converted_stat)))))</f>
        <v/>
      </c>
      <c r="O958" s="30" t="str">
        <f t="array" ref="O958">IF($A958="", "", LET(bbgm_stat, INDEX(Players!$A957:$P957, MATCH(O$2, Players!$A$1:$P$1, 0)), perc_75, VLOOKUP(O$2, Percentiles!$A$45:$I$59, 6, FALSE), perc_90, VLOOKUP(O$2, Percentiles!$A$45:$I$59, 7, FALSE), perc_95, VLOOKUP(O$2, Percentiles!$A$45:$I$59, 8, FALSE), perc_85, perc_75 + (perc_90 - perc_75) * (2/3), converted_stat, '2K_Ratings'!O958, IF(bbgm_stat &gt;= perc_95, converted_stat * 3, IF(bbgm_stat &gt;= perc_90, converted_stat * 2, IF(bbgm_stat &gt;= perc_85, converted_stat * 1.5, converted_stat)))))</f>
        <v/>
      </c>
      <c r="P958" s="30" t="str">
        <f t="array" ref="P958">IF($A958="", "", LET(bbgm_stat, INDEX(Players!$A957:$P957, MATCH(P$2, Players!$A$1:$P$1, 0)), perc_75, VLOOKUP(P$2, Percentiles!$A$45:$I$59, 6, FALSE), perc_90, VLOOKUP(P$2, Percentiles!$A$45:$I$59, 7, FALSE), perc_95, VLOOKUP(P$2, Percentiles!$A$45:$I$59, 8, FALSE), perc_85, perc_75 + (perc_90 - perc_75) * (2/3), converted_stat, '2K_Ratings'!P958, IF(bbgm_stat &gt;= perc_95, converted_stat * 3, IF(bbgm_stat &gt;= perc_90, converted_stat * 2, IF(bbgm_stat &gt;= perc_85, converted_stat * 1.5, converted_stat)))))</f>
        <v/>
      </c>
      <c r="Q958" s="30" t="str">
        <f t="array" ref="Q958">IF($A958="", "", LET(bbgm_stat, INDEX(Players!$A957:$P957, MATCH(Q$2, Players!$A$1:$P$1, 0)), perc_75, VLOOKUP(Q$2, Percentiles!$A$45:$I$59, 6, FALSE), perc_90, VLOOKUP(Q$2, Percentiles!$A$45:$I$59, 7, FALSE), perc_95, VLOOKUP(Q$2, Percentiles!$A$45:$I$59, 8, FALSE), perc_85, perc_75 + (perc_90 - perc_75) * (2/3), converted_stat, '2K_Ratings'!Q958, IF(bbgm_stat &gt;= perc_95, converted_stat * 3, IF(bbgm_stat &gt;= perc_90, converted_stat * 2, IF(bbgm_stat &gt;= perc_85, converted_stat * 1.5, converted_stat)))))</f>
        <v/>
      </c>
      <c r="R958" s="30" t="str">
        <f t="array" ref="R958">IF($A958="", "", LET(bbgm_stat, INDEX(Players!$A957:$P957, MATCH(R$2, Players!$A$1:$P$1, 0)), perc_75, VLOOKUP(R$2, Percentiles!$A$45:$I$59, 6, FALSE), perc_90, VLOOKUP(R$2, Percentiles!$A$45:$I$59, 7, FALSE), perc_95, VLOOKUP(R$2, Percentiles!$A$45:$I$59, 8, FALSE), perc_85, perc_75 + (perc_90 - perc_75) * (2/3), converted_stat, '2K_Ratings'!R958, IF(bbgm_stat &gt;= perc_95, converted_stat * 3, IF(bbgm_stat &gt;= perc_90, converted_stat * 2, IF(bbgm_stat &gt;= perc_85, converted_stat * 1.5, converted_stat)))))</f>
        <v/>
      </c>
      <c r="S958" s="30" t="str">
        <f t="array" ref="S958">IF($A958="", "", LET(bbgm_stat, INDEX(Players!$A957:$P957, MATCH(S$2, Players!$A$1:$P$1, 0)), perc_75, VLOOKUP(S$2, Percentiles!$A$45:$I$59, 6, FALSE), perc_90, VLOOKUP(S$2, Percentiles!$A$45:$I$59, 7, FALSE), perc_95, VLOOKUP(S$2, Percentiles!$A$45:$I$59, 8, FALSE), perc_85, perc_75 + (perc_90 - perc_75) * (2/3), converted_stat, '2K_Ratings'!S958, IF(bbgm_stat &gt;= perc_95, converted_stat * 3, IF(bbgm_stat &gt;= perc_90, converted_stat * 2, IF(bbgm_stat &gt;= perc_85, converted_stat * 1.5, converted_stat)))))</f>
        <v/>
      </c>
      <c r="T958" s="30" t="str">
        <f t="array" ref="T958">IF($A958="", "", LET(bbgm_stat, INDEX(Players!$A957:$P957, MATCH(T$2, Players!$A$1:$P$1, 0)), perc_75, VLOOKUP(T$2, Percentiles!$A$45:$I$59, 6, FALSE), perc_90, VLOOKUP(T$2, Percentiles!$A$45:$I$59, 7, FALSE), perc_95, VLOOKUP(T$2, Percentiles!$A$45:$I$59, 8, FALSE), perc_85, perc_75 + (perc_90 - perc_75) * (2/3), converted_stat, '2K_Ratings'!T958, IF(bbgm_stat &gt;= perc_95, converted_stat * 3, IF(bbgm_stat &gt;= perc_90, converted_stat * 2, IF(bbgm_stat &gt;= perc_85, converted_stat * 1.5, converted_stat)))))</f>
        <v/>
      </c>
      <c r="U958" s="30" t="str">
        <f t="array" ref="U958">IF($A958="", "", LET(bbgm_stat, INDEX(Players!$A957:$P957, MATCH(U$2, Players!$A$1:$P$1, 0)), perc_75, VLOOKUP(U$2, Percentiles!$A$45:$I$59, 6, FALSE), perc_90, VLOOKUP(U$2, Percentiles!$A$45:$I$59, 7, FALSE), perc_95, VLOOKUP(U$2, Percentiles!$A$45:$I$59, 8, FALSE), perc_85, perc_75 + (perc_90 - perc_75) * (2/3), converted_stat, '2K_Ratings'!U958, IF(bbgm_stat &gt;= perc_95, converted_stat * 3, IF(bbgm_stat &gt;= perc_90, converted_stat * 2, IF(bbgm_stat &gt;= perc_85, converted_stat * 1.5, converted_stat)))))</f>
        <v/>
      </c>
      <c r="V958" s="30" t="str">
        <f t="array" ref="V958">IF($A958="", "", LET(bbgm_stat, INDEX(Players!$A957:$P957, MATCH(V$2, Players!$A$1:$P$1, 0)), perc_75, VLOOKUP(V$2, Percentiles!$A$45:$I$59, 6, FALSE), perc_90, VLOOKUP(V$2, Percentiles!$A$45:$I$59, 7, FALSE), perc_95, VLOOKUP(V$2, Percentiles!$A$45:$I$59, 8, FALSE), perc_85, perc_75 + (perc_90 - perc_75) * (2/3), converted_stat, '2K_Ratings'!V958, IF(bbgm_stat &gt;= perc_95, converted_stat * 3, IF(bbgm_stat &gt;= perc_90, converted_stat * 2, IF(bbgm_stat &gt;= perc_85, converted_stat * 1.5, converted_stat)))))</f>
        <v/>
      </c>
      <c r="W958" s="30" t="str">
        <f t="array" ref="W958">IF($A958="", "", LET(bbgm_stat, INDEX(Players!$A957:$P957, MATCH(W$2, Players!$A$1:$P$1, 0)), perc_75, VLOOKUP(W$2, Percentiles!$A$45:$I$59, 6, FALSE), perc_90, VLOOKUP(W$2, Percentiles!$A$45:$I$59, 7, FALSE), perc_95, VLOOKUP(W$2, Percentiles!$A$45:$I$59, 8, FALSE), perc_85, perc_75 + (perc_90 - perc_75) * (2/3), converted_stat, '2K_Ratings'!W958, IF(bbgm_stat &gt;= perc_95, converted_stat * 3, IF(bbgm_stat &gt;= perc_90, converted_stat * 2, IF(bbgm_stat &gt;= perc_85, converted_stat * 1.5, converted_stat)))))</f>
        <v/>
      </c>
    </row>
    <row r="959">
      <c r="A959" s="30"/>
      <c r="B959" s="30" t="str">
        <f t="array" ref="B959">IF($A959="", "", LET(bbgm_stat, INDEX(Players!$A958:$P958, MATCH(B$2, Players!$A$1:$P$1, 0)), perc_75, VLOOKUP(B$2, Percentiles!$A$45:$I$59, 6, FALSE), perc_90, VLOOKUP(B$2, Percentiles!$A$45:$I$59, 7, FALSE), perc_95, VLOOKUP(B$2, Percentiles!$A$45:$I$59, 8, FALSE), perc_85, perc_75 + (perc_90 - perc_75) * (2/3), converted_stat, '2K_Ratings'!B959, IF(bbgm_stat &gt;= perc_95, converted_stat * 3, IF(bbgm_stat &gt;= perc_90, converted_stat * 2, IF(bbgm_stat &gt;= perc_85, converted_stat * 1.5, converted_stat)))))</f>
        <v/>
      </c>
      <c r="C959" s="30" t="str">
        <f t="array" ref="C959">IF($A959="", "", LET(bbgm_stat, INDEX(Players!$A958:$P958, MATCH(C$2, Players!$A$1:$P$1, 0)), perc_75, VLOOKUP(C$2, Percentiles!$A$45:$I$59, 6, FALSE), perc_90, VLOOKUP(C$2, Percentiles!$A$45:$I$59, 7, FALSE), perc_95, VLOOKUP(C$2, Percentiles!$A$45:$I$59, 8, FALSE), perc_85, perc_75 + (perc_90 - perc_75) * (2/3), converted_stat, '2K_Ratings'!C959, IF(bbgm_stat &gt;= perc_95, converted_stat * 3, IF(bbgm_stat &gt;= perc_90, converted_stat * 2, IF(bbgm_stat &gt;= perc_85, converted_stat * 1.5, converted_stat)))))</f>
        <v/>
      </c>
      <c r="D959" s="30" t="str">
        <f t="array" ref="D959">IF($A959="", "", LET(bbgm_stat, INDEX(Players!$A958:$P958, MATCH(D$2, Players!$A$1:$P$1, 0)), perc_75, VLOOKUP(D$2, Percentiles!$A$45:$I$59, 6, FALSE), perc_90, VLOOKUP(D$2, Percentiles!$A$45:$I$59, 7, FALSE), perc_95, VLOOKUP(D$2, Percentiles!$A$45:$I$59, 8, FALSE), perc_85, perc_75 + (perc_90 - perc_75) * (2/3), converted_stat, '2K_Ratings'!D959, IF(bbgm_stat &gt;= perc_95, converted_stat * 3, IF(bbgm_stat &gt;= perc_90, converted_stat * 2, IF(bbgm_stat &gt;= perc_85, converted_stat * 1.5, converted_stat)))))</f>
        <v/>
      </c>
      <c r="E959" s="30" t="str">
        <f t="array" ref="E959">IF($A959="", "", LET(bbgm_stat, INDEX(Players!$A958:$P958, MATCH(E$2, Players!$A$1:$P$1, 0)), perc_75, VLOOKUP(E$2, Percentiles!$A$45:$I$59, 6, FALSE), perc_90, VLOOKUP(E$2, Percentiles!$A$45:$I$59, 7, FALSE), perc_95, VLOOKUP(E$2, Percentiles!$A$45:$I$59, 8, FALSE), perc_85, perc_75 + (perc_90 - perc_75) * (2/3), converted_stat, '2K_Ratings'!E959, IF(bbgm_stat &gt;= perc_95, converted_stat * 3, IF(bbgm_stat &gt;= perc_90, converted_stat * 2, IF(bbgm_stat &gt;= perc_85, converted_stat * 1.5, converted_stat)))))</f>
        <v/>
      </c>
      <c r="F959" s="30" t="str">
        <f t="array" ref="F959">IF($A959="", "", LET(bbgm_stat, INDEX(Players!$A958:$P958, MATCH(F$2, Players!$A$1:$P$1, 0)), perc_75, VLOOKUP(F$2, Percentiles!$A$45:$I$59, 6, FALSE), perc_90, VLOOKUP(F$2, Percentiles!$A$45:$I$59, 7, FALSE), perc_95, VLOOKUP(F$2, Percentiles!$A$45:$I$59, 8, FALSE), perc_85, perc_75 + (perc_90 - perc_75) * (2/3), converted_stat, '2K_Ratings'!F959, IF(bbgm_stat &gt;= perc_95, converted_stat * 3, IF(bbgm_stat &gt;= perc_90, converted_stat * 2, IF(bbgm_stat &gt;= perc_85, converted_stat * 1.5, converted_stat)))))</f>
        <v/>
      </c>
      <c r="G959" s="30" t="str">
        <f t="array" ref="G959">IF($A959="", "", LET(bbgm_stat, INDEX(Players!$A958:$P958, MATCH(G$2, Players!$A$1:$P$1, 0)), perc_75, VLOOKUP(G$2, Percentiles!$A$45:$I$59, 6, FALSE), perc_90, VLOOKUP(G$2, Percentiles!$A$45:$I$59, 7, FALSE), perc_95, VLOOKUP(G$2, Percentiles!$A$45:$I$59, 8, FALSE), perc_85, perc_75 + (perc_90 - perc_75) * (2/3), converted_stat, '2K_Ratings'!G959, IF(bbgm_stat &gt;= perc_95, converted_stat * 3, IF(bbgm_stat &gt;= perc_90, converted_stat * 2, IF(bbgm_stat &gt;= perc_85, converted_stat * 1.5, converted_stat)))))</f>
        <v/>
      </c>
      <c r="H959" s="30" t="str">
        <f t="array" ref="H959">IF($A959="", "", LET(bbgm_stat, INDEX(Players!$A958:$P958, MATCH(H$2, Players!$A$1:$P$1, 0)), perc_75, VLOOKUP(H$2, Percentiles!$A$45:$I$59, 6, FALSE), perc_90, VLOOKUP(H$2, Percentiles!$A$45:$I$59, 7, FALSE), perc_95, VLOOKUP(H$2, Percentiles!$A$45:$I$59, 8, FALSE), perc_85, perc_75 + (perc_90 - perc_75) * (2/3), converted_stat, '2K_Ratings'!H959, IF(bbgm_stat &gt;= perc_95, converted_stat * 3, IF(bbgm_stat &gt;= perc_90, converted_stat * 2, IF(bbgm_stat &gt;= perc_85, converted_stat * 1.5, converted_stat)))))</f>
        <v/>
      </c>
      <c r="I959" s="30" t="str">
        <f t="array" ref="I959">IF($A959="", "", LET(bbgm_stat, INDEX(Players!$A958:$P958, MATCH(I$2, Players!$A$1:$P$1, 0)), perc_75, VLOOKUP(I$2, Percentiles!$A$45:$I$59, 6, FALSE), perc_90, VLOOKUP(I$2, Percentiles!$A$45:$I$59, 7, FALSE), perc_95, VLOOKUP(I$2, Percentiles!$A$45:$I$59, 8, FALSE), perc_85, perc_75 + (perc_90 - perc_75) * (2/3), converted_stat, '2K_Ratings'!I959, IF(bbgm_stat &gt;= perc_95, converted_stat * 3, IF(bbgm_stat &gt;= perc_90, converted_stat * 2, IF(bbgm_stat &gt;= perc_85, converted_stat * 1.5, converted_stat)))))</f>
        <v/>
      </c>
      <c r="J959" s="30" t="str">
        <f t="array" ref="J959">IF($A959="", "", LET(bbgm_stat, INDEX(Players!$A958:$P958, MATCH(J$2, Players!$A$1:$P$1, 0)), perc_75, VLOOKUP(J$2, Percentiles!$A$45:$I$59, 6, FALSE), perc_90, VLOOKUP(J$2, Percentiles!$A$45:$I$59, 7, FALSE), perc_95, VLOOKUP(J$2, Percentiles!$A$45:$I$59, 8, FALSE), perc_85, perc_75 + (perc_90 - perc_75) * (2/3), converted_stat, '2K_Ratings'!J959, IF(bbgm_stat &gt;= perc_95, converted_stat * 3, IF(bbgm_stat &gt;= perc_90, converted_stat * 2, IF(bbgm_stat &gt;= perc_85, converted_stat * 1.5, converted_stat)))))</f>
        <v/>
      </c>
      <c r="K959" s="30" t="str">
        <f t="array" ref="K959">IF($A959="", "", LET(bbgm_stat, INDEX(Players!$A958:$P958, MATCH(K$2, Players!$A$1:$P$1, 0)), perc_75, VLOOKUP(K$2, Percentiles!$A$45:$I$59, 6, FALSE), perc_90, VLOOKUP(K$2, Percentiles!$A$45:$I$59, 7, FALSE), perc_95, VLOOKUP(K$2, Percentiles!$A$45:$I$59, 8, FALSE), perc_85, perc_75 + (perc_90 - perc_75) * (2/3), converted_stat, '2K_Ratings'!K959, IF(bbgm_stat &gt;= perc_95, converted_stat * 3, IF(bbgm_stat &gt;= perc_90, converted_stat * 2, IF(bbgm_stat &gt;= perc_85, converted_stat * 1.5, converted_stat)))))</f>
        <v/>
      </c>
      <c r="L959" s="30" t="str">
        <f t="array" ref="L959">IF($A959="", "", LET(bbgm_stat, INDEX(Players!$A958:$P958, MATCH(L$2, Players!$A$1:$P$1, 0)), perc_75, VLOOKUP(L$2, Percentiles!$A$45:$I$59, 6, FALSE), perc_90, VLOOKUP(L$2, Percentiles!$A$45:$I$59, 7, FALSE), perc_95, VLOOKUP(L$2, Percentiles!$A$45:$I$59, 8, FALSE), perc_85, perc_75 + (perc_90 - perc_75) * (2/3), converted_stat, '2K_Ratings'!L959, IF(bbgm_stat &gt;= perc_95, converted_stat * 3, IF(bbgm_stat &gt;= perc_90, converted_stat * 2, IF(bbgm_stat &gt;= perc_85, converted_stat * 1.5, converted_stat)))))</f>
        <v/>
      </c>
      <c r="M959" s="30" t="str">
        <f t="array" ref="M959">IF($A959="", "", LET(bbgm_stat, INDEX(Players!$A958:$P958, MATCH(M$2, Players!$A$1:$P$1, 0)), perc_75, VLOOKUP(M$2, Percentiles!$A$45:$I$59, 6, FALSE), perc_90, VLOOKUP(M$2, Percentiles!$A$45:$I$59, 7, FALSE), perc_95, VLOOKUP(M$2, Percentiles!$A$45:$I$59, 8, FALSE), perc_85, perc_75 + (perc_90 - perc_75) * (2/3), converted_stat, '2K_Ratings'!M959, IF(bbgm_stat &gt;= perc_95, converted_stat * 3, IF(bbgm_stat &gt;= perc_90, converted_stat * 2, IF(bbgm_stat &gt;= perc_85, converted_stat * 1.5, converted_stat)))))</f>
        <v/>
      </c>
      <c r="N959" s="30" t="str">
        <f t="array" ref="N959">IF($A959="", "", LET(bbgm_stat, INDEX(Players!$A958:$P958, MATCH(N$2, Players!$A$1:$P$1, 0)), perc_75, VLOOKUP(N$2, Percentiles!$A$45:$I$59, 6, FALSE), perc_90, VLOOKUP(N$2, Percentiles!$A$45:$I$59, 7, FALSE), perc_95, VLOOKUP(N$2, Percentiles!$A$45:$I$59, 8, FALSE), perc_85, perc_75 + (perc_90 - perc_75) * (2/3), converted_stat, '2K_Ratings'!N959, IF(bbgm_stat &gt;= perc_95, converted_stat * 3, IF(bbgm_stat &gt;= perc_90, converted_stat * 2, IF(bbgm_stat &gt;= perc_85, converted_stat * 1.5, converted_stat)))))</f>
        <v/>
      </c>
      <c r="O959" s="30" t="str">
        <f t="array" ref="O959">IF($A959="", "", LET(bbgm_stat, INDEX(Players!$A958:$P958, MATCH(O$2, Players!$A$1:$P$1, 0)), perc_75, VLOOKUP(O$2, Percentiles!$A$45:$I$59, 6, FALSE), perc_90, VLOOKUP(O$2, Percentiles!$A$45:$I$59, 7, FALSE), perc_95, VLOOKUP(O$2, Percentiles!$A$45:$I$59, 8, FALSE), perc_85, perc_75 + (perc_90 - perc_75) * (2/3), converted_stat, '2K_Ratings'!O959, IF(bbgm_stat &gt;= perc_95, converted_stat * 3, IF(bbgm_stat &gt;= perc_90, converted_stat * 2, IF(bbgm_stat &gt;= perc_85, converted_stat * 1.5, converted_stat)))))</f>
        <v/>
      </c>
      <c r="P959" s="30" t="str">
        <f t="array" ref="P959">IF($A959="", "", LET(bbgm_stat, INDEX(Players!$A958:$P958, MATCH(P$2, Players!$A$1:$P$1, 0)), perc_75, VLOOKUP(P$2, Percentiles!$A$45:$I$59, 6, FALSE), perc_90, VLOOKUP(P$2, Percentiles!$A$45:$I$59, 7, FALSE), perc_95, VLOOKUP(P$2, Percentiles!$A$45:$I$59, 8, FALSE), perc_85, perc_75 + (perc_90 - perc_75) * (2/3), converted_stat, '2K_Ratings'!P959, IF(bbgm_stat &gt;= perc_95, converted_stat * 3, IF(bbgm_stat &gt;= perc_90, converted_stat * 2, IF(bbgm_stat &gt;= perc_85, converted_stat * 1.5, converted_stat)))))</f>
        <v/>
      </c>
      <c r="Q959" s="30" t="str">
        <f t="array" ref="Q959">IF($A959="", "", LET(bbgm_stat, INDEX(Players!$A958:$P958, MATCH(Q$2, Players!$A$1:$P$1, 0)), perc_75, VLOOKUP(Q$2, Percentiles!$A$45:$I$59, 6, FALSE), perc_90, VLOOKUP(Q$2, Percentiles!$A$45:$I$59, 7, FALSE), perc_95, VLOOKUP(Q$2, Percentiles!$A$45:$I$59, 8, FALSE), perc_85, perc_75 + (perc_90 - perc_75) * (2/3), converted_stat, '2K_Ratings'!Q959, IF(bbgm_stat &gt;= perc_95, converted_stat * 3, IF(bbgm_stat &gt;= perc_90, converted_stat * 2, IF(bbgm_stat &gt;= perc_85, converted_stat * 1.5, converted_stat)))))</f>
        <v/>
      </c>
      <c r="R959" s="30" t="str">
        <f t="array" ref="R959">IF($A959="", "", LET(bbgm_stat, INDEX(Players!$A958:$P958, MATCH(R$2, Players!$A$1:$P$1, 0)), perc_75, VLOOKUP(R$2, Percentiles!$A$45:$I$59, 6, FALSE), perc_90, VLOOKUP(R$2, Percentiles!$A$45:$I$59, 7, FALSE), perc_95, VLOOKUP(R$2, Percentiles!$A$45:$I$59, 8, FALSE), perc_85, perc_75 + (perc_90 - perc_75) * (2/3), converted_stat, '2K_Ratings'!R959, IF(bbgm_stat &gt;= perc_95, converted_stat * 3, IF(bbgm_stat &gt;= perc_90, converted_stat * 2, IF(bbgm_stat &gt;= perc_85, converted_stat * 1.5, converted_stat)))))</f>
        <v/>
      </c>
      <c r="S959" s="30" t="str">
        <f t="array" ref="S959">IF($A959="", "", LET(bbgm_stat, INDEX(Players!$A958:$P958, MATCH(S$2, Players!$A$1:$P$1, 0)), perc_75, VLOOKUP(S$2, Percentiles!$A$45:$I$59, 6, FALSE), perc_90, VLOOKUP(S$2, Percentiles!$A$45:$I$59, 7, FALSE), perc_95, VLOOKUP(S$2, Percentiles!$A$45:$I$59, 8, FALSE), perc_85, perc_75 + (perc_90 - perc_75) * (2/3), converted_stat, '2K_Ratings'!S959, IF(bbgm_stat &gt;= perc_95, converted_stat * 3, IF(bbgm_stat &gt;= perc_90, converted_stat * 2, IF(bbgm_stat &gt;= perc_85, converted_stat * 1.5, converted_stat)))))</f>
        <v/>
      </c>
      <c r="T959" s="30" t="str">
        <f t="array" ref="T959">IF($A959="", "", LET(bbgm_stat, INDEX(Players!$A958:$P958, MATCH(T$2, Players!$A$1:$P$1, 0)), perc_75, VLOOKUP(T$2, Percentiles!$A$45:$I$59, 6, FALSE), perc_90, VLOOKUP(T$2, Percentiles!$A$45:$I$59, 7, FALSE), perc_95, VLOOKUP(T$2, Percentiles!$A$45:$I$59, 8, FALSE), perc_85, perc_75 + (perc_90 - perc_75) * (2/3), converted_stat, '2K_Ratings'!T959, IF(bbgm_stat &gt;= perc_95, converted_stat * 3, IF(bbgm_stat &gt;= perc_90, converted_stat * 2, IF(bbgm_stat &gt;= perc_85, converted_stat * 1.5, converted_stat)))))</f>
        <v/>
      </c>
      <c r="U959" s="30" t="str">
        <f t="array" ref="U959">IF($A959="", "", LET(bbgm_stat, INDEX(Players!$A958:$P958, MATCH(U$2, Players!$A$1:$P$1, 0)), perc_75, VLOOKUP(U$2, Percentiles!$A$45:$I$59, 6, FALSE), perc_90, VLOOKUP(U$2, Percentiles!$A$45:$I$59, 7, FALSE), perc_95, VLOOKUP(U$2, Percentiles!$A$45:$I$59, 8, FALSE), perc_85, perc_75 + (perc_90 - perc_75) * (2/3), converted_stat, '2K_Ratings'!U959, IF(bbgm_stat &gt;= perc_95, converted_stat * 3, IF(bbgm_stat &gt;= perc_90, converted_stat * 2, IF(bbgm_stat &gt;= perc_85, converted_stat * 1.5, converted_stat)))))</f>
        <v/>
      </c>
      <c r="V959" s="30" t="str">
        <f t="array" ref="V959">IF($A959="", "", LET(bbgm_stat, INDEX(Players!$A958:$P958, MATCH(V$2, Players!$A$1:$P$1, 0)), perc_75, VLOOKUP(V$2, Percentiles!$A$45:$I$59, 6, FALSE), perc_90, VLOOKUP(V$2, Percentiles!$A$45:$I$59, 7, FALSE), perc_95, VLOOKUP(V$2, Percentiles!$A$45:$I$59, 8, FALSE), perc_85, perc_75 + (perc_90 - perc_75) * (2/3), converted_stat, '2K_Ratings'!V959, IF(bbgm_stat &gt;= perc_95, converted_stat * 3, IF(bbgm_stat &gt;= perc_90, converted_stat * 2, IF(bbgm_stat &gt;= perc_85, converted_stat * 1.5, converted_stat)))))</f>
        <v/>
      </c>
      <c r="W959" s="30" t="str">
        <f t="array" ref="W959">IF($A959="", "", LET(bbgm_stat, INDEX(Players!$A958:$P958, MATCH(W$2, Players!$A$1:$P$1, 0)), perc_75, VLOOKUP(W$2, Percentiles!$A$45:$I$59, 6, FALSE), perc_90, VLOOKUP(W$2, Percentiles!$A$45:$I$59, 7, FALSE), perc_95, VLOOKUP(W$2, Percentiles!$A$45:$I$59, 8, FALSE), perc_85, perc_75 + (perc_90 - perc_75) * (2/3), converted_stat, '2K_Ratings'!W959, IF(bbgm_stat &gt;= perc_95, converted_stat * 3, IF(bbgm_stat &gt;= perc_90, converted_stat * 2, IF(bbgm_stat &gt;= perc_85, converted_stat * 1.5, converted_stat)))))</f>
        <v/>
      </c>
    </row>
    <row r="960">
      <c r="A960" s="30"/>
      <c r="B960" s="30" t="str">
        <f t="array" ref="B960">IF($A960="", "", LET(bbgm_stat, INDEX(Players!$A959:$P959, MATCH(B$2, Players!$A$1:$P$1, 0)), perc_75, VLOOKUP(B$2, Percentiles!$A$45:$I$59, 6, FALSE), perc_90, VLOOKUP(B$2, Percentiles!$A$45:$I$59, 7, FALSE), perc_95, VLOOKUP(B$2, Percentiles!$A$45:$I$59, 8, FALSE), perc_85, perc_75 + (perc_90 - perc_75) * (2/3), converted_stat, '2K_Ratings'!B960, IF(bbgm_stat &gt;= perc_95, converted_stat * 3, IF(bbgm_stat &gt;= perc_90, converted_stat * 2, IF(bbgm_stat &gt;= perc_85, converted_stat * 1.5, converted_stat)))))</f>
        <v/>
      </c>
      <c r="C960" s="30" t="str">
        <f t="array" ref="C960">IF($A960="", "", LET(bbgm_stat, INDEX(Players!$A959:$P959, MATCH(C$2, Players!$A$1:$P$1, 0)), perc_75, VLOOKUP(C$2, Percentiles!$A$45:$I$59, 6, FALSE), perc_90, VLOOKUP(C$2, Percentiles!$A$45:$I$59, 7, FALSE), perc_95, VLOOKUP(C$2, Percentiles!$A$45:$I$59, 8, FALSE), perc_85, perc_75 + (perc_90 - perc_75) * (2/3), converted_stat, '2K_Ratings'!C960, IF(bbgm_stat &gt;= perc_95, converted_stat * 3, IF(bbgm_stat &gt;= perc_90, converted_stat * 2, IF(bbgm_stat &gt;= perc_85, converted_stat * 1.5, converted_stat)))))</f>
        <v/>
      </c>
      <c r="D960" s="30" t="str">
        <f t="array" ref="D960">IF($A960="", "", LET(bbgm_stat, INDEX(Players!$A959:$P959, MATCH(D$2, Players!$A$1:$P$1, 0)), perc_75, VLOOKUP(D$2, Percentiles!$A$45:$I$59, 6, FALSE), perc_90, VLOOKUP(D$2, Percentiles!$A$45:$I$59, 7, FALSE), perc_95, VLOOKUP(D$2, Percentiles!$A$45:$I$59, 8, FALSE), perc_85, perc_75 + (perc_90 - perc_75) * (2/3), converted_stat, '2K_Ratings'!D960, IF(bbgm_stat &gt;= perc_95, converted_stat * 3, IF(bbgm_stat &gt;= perc_90, converted_stat * 2, IF(bbgm_stat &gt;= perc_85, converted_stat * 1.5, converted_stat)))))</f>
        <v/>
      </c>
      <c r="E960" s="30" t="str">
        <f t="array" ref="E960">IF($A960="", "", LET(bbgm_stat, INDEX(Players!$A959:$P959, MATCH(E$2, Players!$A$1:$P$1, 0)), perc_75, VLOOKUP(E$2, Percentiles!$A$45:$I$59, 6, FALSE), perc_90, VLOOKUP(E$2, Percentiles!$A$45:$I$59, 7, FALSE), perc_95, VLOOKUP(E$2, Percentiles!$A$45:$I$59, 8, FALSE), perc_85, perc_75 + (perc_90 - perc_75) * (2/3), converted_stat, '2K_Ratings'!E960, IF(bbgm_stat &gt;= perc_95, converted_stat * 3, IF(bbgm_stat &gt;= perc_90, converted_stat * 2, IF(bbgm_stat &gt;= perc_85, converted_stat * 1.5, converted_stat)))))</f>
        <v/>
      </c>
      <c r="F960" s="30" t="str">
        <f t="array" ref="F960">IF($A960="", "", LET(bbgm_stat, INDEX(Players!$A959:$P959, MATCH(F$2, Players!$A$1:$P$1, 0)), perc_75, VLOOKUP(F$2, Percentiles!$A$45:$I$59, 6, FALSE), perc_90, VLOOKUP(F$2, Percentiles!$A$45:$I$59, 7, FALSE), perc_95, VLOOKUP(F$2, Percentiles!$A$45:$I$59, 8, FALSE), perc_85, perc_75 + (perc_90 - perc_75) * (2/3), converted_stat, '2K_Ratings'!F960, IF(bbgm_stat &gt;= perc_95, converted_stat * 3, IF(bbgm_stat &gt;= perc_90, converted_stat * 2, IF(bbgm_stat &gt;= perc_85, converted_stat * 1.5, converted_stat)))))</f>
        <v/>
      </c>
      <c r="G960" s="30" t="str">
        <f t="array" ref="G960">IF($A960="", "", LET(bbgm_stat, INDEX(Players!$A959:$P959, MATCH(G$2, Players!$A$1:$P$1, 0)), perc_75, VLOOKUP(G$2, Percentiles!$A$45:$I$59, 6, FALSE), perc_90, VLOOKUP(G$2, Percentiles!$A$45:$I$59, 7, FALSE), perc_95, VLOOKUP(G$2, Percentiles!$A$45:$I$59, 8, FALSE), perc_85, perc_75 + (perc_90 - perc_75) * (2/3), converted_stat, '2K_Ratings'!G960, IF(bbgm_stat &gt;= perc_95, converted_stat * 3, IF(bbgm_stat &gt;= perc_90, converted_stat * 2, IF(bbgm_stat &gt;= perc_85, converted_stat * 1.5, converted_stat)))))</f>
        <v/>
      </c>
      <c r="H960" s="30" t="str">
        <f t="array" ref="H960">IF($A960="", "", LET(bbgm_stat, INDEX(Players!$A959:$P959, MATCH(H$2, Players!$A$1:$P$1, 0)), perc_75, VLOOKUP(H$2, Percentiles!$A$45:$I$59, 6, FALSE), perc_90, VLOOKUP(H$2, Percentiles!$A$45:$I$59, 7, FALSE), perc_95, VLOOKUP(H$2, Percentiles!$A$45:$I$59, 8, FALSE), perc_85, perc_75 + (perc_90 - perc_75) * (2/3), converted_stat, '2K_Ratings'!H960, IF(bbgm_stat &gt;= perc_95, converted_stat * 3, IF(bbgm_stat &gt;= perc_90, converted_stat * 2, IF(bbgm_stat &gt;= perc_85, converted_stat * 1.5, converted_stat)))))</f>
        <v/>
      </c>
      <c r="I960" s="30" t="str">
        <f t="array" ref="I960">IF($A960="", "", LET(bbgm_stat, INDEX(Players!$A959:$P959, MATCH(I$2, Players!$A$1:$P$1, 0)), perc_75, VLOOKUP(I$2, Percentiles!$A$45:$I$59, 6, FALSE), perc_90, VLOOKUP(I$2, Percentiles!$A$45:$I$59, 7, FALSE), perc_95, VLOOKUP(I$2, Percentiles!$A$45:$I$59, 8, FALSE), perc_85, perc_75 + (perc_90 - perc_75) * (2/3), converted_stat, '2K_Ratings'!I960, IF(bbgm_stat &gt;= perc_95, converted_stat * 3, IF(bbgm_stat &gt;= perc_90, converted_stat * 2, IF(bbgm_stat &gt;= perc_85, converted_stat * 1.5, converted_stat)))))</f>
        <v/>
      </c>
      <c r="J960" s="30" t="str">
        <f t="array" ref="J960">IF($A960="", "", LET(bbgm_stat, INDEX(Players!$A959:$P959, MATCH(J$2, Players!$A$1:$P$1, 0)), perc_75, VLOOKUP(J$2, Percentiles!$A$45:$I$59, 6, FALSE), perc_90, VLOOKUP(J$2, Percentiles!$A$45:$I$59, 7, FALSE), perc_95, VLOOKUP(J$2, Percentiles!$A$45:$I$59, 8, FALSE), perc_85, perc_75 + (perc_90 - perc_75) * (2/3), converted_stat, '2K_Ratings'!J960, IF(bbgm_stat &gt;= perc_95, converted_stat * 3, IF(bbgm_stat &gt;= perc_90, converted_stat * 2, IF(bbgm_stat &gt;= perc_85, converted_stat * 1.5, converted_stat)))))</f>
        <v/>
      </c>
      <c r="K960" s="30" t="str">
        <f t="array" ref="K960">IF($A960="", "", LET(bbgm_stat, INDEX(Players!$A959:$P959, MATCH(K$2, Players!$A$1:$P$1, 0)), perc_75, VLOOKUP(K$2, Percentiles!$A$45:$I$59, 6, FALSE), perc_90, VLOOKUP(K$2, Percentiles!$A$45:$I$59, 7, FALSE), perc_95, VLOOKUP(K$2, Percentiles!$A$45:$I$59, 8, FALSE), perc_85, perc_75 + (perc_90 - perc_75) * (2/3), converted_stat, '2K_Ratings'!K960, IF(bbgm_stat &gt;= perc_95, converted_stat * 3, IF(bbgm_stat &gt;= perc_90, converted_stat * 2, IF(bbgm_stat &gt;= perc_85, converted_stat * 1.5, converted_stat)))))</f>
        <v/>
      </c>
      <c r="L960" s="30" t="str">
        <f t="array" ref="L960">IF($A960="", "", LET(bbgm_stat, INDEX(Players!$A959:$P959, MATCH(L$2, Players!$A$1:$P$1, 0)), perc_75, VLOOKUP(L$2, Percentiles!$A$45:$I$59, 6, FALSE), perc_90, VLOOKUP(L$2, Percentiles!$A$45:$I$59, 7, FALSE), perc_95, VLOOKUP(L$2, Percentiles!$A$45:$I$59, 8, FALSE), perc_85, perc_75 + (perc_90 - perc_75) * (2/3), converted_stat, '2K_Ratings'!L960, IF(bbgm_stat &gt;= perc_95, converted_stat * 3, IF(bbgm_stat &gt;= perc_90, converted_stat * 2, IF(bbgm_stat &gt;= perc_85, converted_stat * 1.5, converted_stat)))))</f>
        <v/>
      </c>
      <c r="M960" s="30" t="str">
        <f t="array" ref="M960">IF($A960="", "", LET(bbgm_stat, INDEX(Players!$A959:$P959, MATCH(M$2, Players!$A$1:$P$1, 0)), perc_75, VLOOKUP(M$2, Percentiles!$A$45:$I$59, 6, FALSE), perc_90, VLOOKUP(M$2, Percentiles!$A$45:$I$59, 7, FALSE), perc_95, VLOOKUP(M$2, Percentiles!$A$45:$I$59, 8, FALSE), perc_85, perc_75 + (perc_90 - perc_75) * (2/3), converted_stat, '2K_Ratings'!M960, IF(bbgm_stat &gt;= perc_95, converted_stat * 3, IF(bbgm_stat &gt;= perc_90, converted_stat * 2, IF(bbgm_stat &gt;= perc_85, converted_stat * 1.5, converted_stat)))))</f>
        <v/>
      </c>
      <c r="N960" s="30" t="str">
        <f t="array" ref="N960">IF($A960="", "", LET(bbgm_stat, INDEX(Players!$A959:$P959, MATCH(N$2, Players!$A$1:$P$1, 0)), perc_75, VLOOKUP(N$2, Percentiles!$A$45:$I$59, 6, FALSE), perc_90, VLOOKUP(N$2, Percentiles!$A$45:$I$59, 7, FALSE), perc_95, VLOOKUP(N$2, Percentiles!$A$45:$I$59, 8, FALSE), perc_85, perc_75 + (perc_90 - perc_75) * (2/3), converted_stat, '2K_Ratings'!N960, IF(bbgm_stat &gt;= perc_95, converted_stat * 3, IF(bbgm_stat &gt;= perc_90, converted_stat * 2, IF(bbgm_stat &gt;= perc_85, converted_stat * 1.5, converted_stat)))))</f>
        <v/>
      </c>
      <c r="O960" s="30" t="str">
        <f t="array" ref="O960">IF($A960="", "", LET(bbgm_stat, INDEX(Players!$A959:$P959, MATCH(O$2, Players!$A$1:$P$1, 0)), perc_75, VLOOKUP(O$2, Percentiles!$A$45:$I$59, 6, FALSE), perc_90, VLOOKUP(O$2, Percentiles!$A$45:$I$59, 7, FALSE), perc_95, VLOOKUP(O$2, Percentiles!$A$45:$I$59, 8, FALSE), perc_85, perc_75 + (perc_90 - perc_75) * (2/3), converted_stat, '2K_Ratings'!O960, IF(bbgm_stat &gt;= perc_95, converted_stat * 3, IF(bbgm_stat &gt;= perc_90, converted_stat * 2, IF(bbgm_stat &gt;= perc_85, converted_stat * 1.5, converted_stat)))))</f>
        <v/>
      </c>
      <c r="P960" s="30" t="str">
        <f t="array" ref="P960">IF($A960="", "", LET(bbgm_stat, INDEX(Players!$A959:$P959, MATCH(P$2, Players!$A$1:$P$1, 0)), perc_75, VLOOKUP(P$2, Percentiles!$A$45:$I$59, 6, FALSE), perc_90, VLOOKUP(P$2, Percentiles!$A$45:$I$59, 7, FALSE), perc_95, VLOOKUP(P$2, Percentiles!$A$45:$I$59, 8, FALSE), perc_85, perc_75 + (perc_90 - perc_75) * (2/3), converted_stat, '2K_Ratings'!P960, IF(bbgm_stat &gt;= perc_95, converted_stat * 3, IF(bbgm_stat &gt;= perc_90, converted_stat * 2, IF(bbgm_stat &gt;= perc_85, converted_stat * 1.5, converted_stat)))))</f>
        <v/>
      </c>
      <c r="Q960" s="30" t="str">
        <f t="array" ref="Q960">IF($A960="", "", LET(bbgm_stat, INDEX(Players!$A959:$P959, MATCH(Q$2, Players!$A$1:$P$1, 0)), perc_75, VLOOKUP(Q$2, Percentiles!$A$45:$I$59, 6, FALSE), perc_90, VLOOKUP(Q$2, Percentiles!$A$45:$I$59, 7, FALSE), perc_95, VLOOKUP(Q$2, Percentiles!$A$45:$I$59, 8, FALSE), perc_85, perc_75 + (perc_90 - perc_75) * (2/3), converted_stat, '2K_Ratings'!Q960, IF(bbgm_stat &gt;= perc_95, converted_stat * 3, IF(bbgm_stat &gt;= perc_90, converted_stat * 2, IF(bbgm_stat &gt;= perc_85, converted_stat * 1.5, converted_stat)))))</f>
        <v/>
      </c>
      <c r="R960" s="30" t="str">
        <f t="array" ref="R960">IF($A960="", "", LET(bbgm_stat, INDEX(Players!$A959:$P959, MATCH(R$2, Players!$A$1:$P$1, 0)), perc_75, VLOOKUP(R$2, Percentiles!$A$45:$I$59, 6, FALSE), perc_90, VLOOKUP(R$2, Percentiles!$A$45:$I$59, 7, FALSE), perc_95, VLOOKUP(R$2, Percentiles!$A$45:$I$59, 8, FALSE), perc_85, perc_75 + (perc_90 - perc_75) * (2/3), converted_stat, '2K_Ratings'!R960, IF(bbgm_stat &gt;= perc_95, converted_stat * 3, IF(bbgm_stat &gt;= perc_90, converted_stat * 2, IF(bbgm_stat &gt;= perc_85, converted_stat * 1.5, converted_stat)))))</f>
        <v/>
      </c>
      <c r="S960" s="30" t="str">
        <f t="array" ref="S960">IF($A960="", "", LET(bbgm_stat, INDEX(Players!$A959:$P959, MATCH(S$2, Players!$A$1:$P$1, 0)), perc_75, VLOOKUP(S$2, Percentiles!$A$45:$I$59, 6, FALSE), perc_90, VLOOKUP(S$2, Percentiles!$A$45:$I$59, 7, FALSE), perc_95, VLOOKUP(S$2, Percentiles!$A$45:$I$59, 8, FALSE), perc_85, perc_75 + (perc_90 - perc_75) * (2/3), converted_stat, '2K_Ratings'!S960, IF(bbgm_stat &gt;= perc_95, converted_stat * 3, IF(bbgm_stat &gt;= perc_90, converted_stat * 2, IF(bbgm_stat &gt;= perc_85, converted_stat * 1.5, converted_stat)))))</f>
        <v/>
      </c>
      <c r="T960" s="30" t="str">
        <f t="array" ref="T960">IF($A960="", "", LET(bbgm_stat, INDEX(Players!$A959:$P959, MATCH(T$2, Players!$A$1:$P$1, 0)), perc_75, VLOOKUP(T$2, Percentiles!$A$45:$I$59, 6, FALSE), perc_90, VLOOKUP(T$2, Percentiles!$A$45:$I$59, 7, FALSE), perc_95, VLOOKUP(T$2, Percentiles!$A$45:$I$59, 8, FALSE), perc_85, perc_75 + (perc_90 - perc_75) * (2/3), converted_stat, '2K_Ratings'!T960, IF(bbgm_stat &gt;= perc_95, converted_stat * 3, IF(bbgm_stat &gt;= perc_90, converted_stat * 2, IF(bbgm_stat &gt;= perc_85, converted_stat * 1.5, converted_stat)))))</f>
        <v/>
      </c>
      <c r="U960" s="30" t="str">
        <f t="array" ref="U960">IF($A960="", "", LET(bbgm_stat, INDEX(Players!$A959:$P959, MATCH(U$2, Players!$A$1:$P$1, 0)), perc_75, VLOOKUP(U$2, Percentiles!$A$45:$I$59, 6, FALSE), perc_90, VLOOKUP(U$2, Percentiles!$A$45:$I$59, 7, FALSE), perc_95, VLOOKUP(U$2, Percentiles!$A$45:$I$59, 8, FALSE), perc_85, perc_75 + (perc_90 - perc_75) * (2/3), converted_stat, '2K_Ratings'!U960, IF(bbgm_stat &gt;= perc_95, converted_stat * 3, IF(bbgm_stat &gt;= perc_90, converted_stat * 2, IF(bbgm_stat &gt;= perc_85, converted_stat * 1.5, converted_stat)))))</f>
        <v/>
      </c>
      <c r="V960" s="30" t="str">
        <f t="array" ref="V960">IF($A960="", "", LET(bbgm_stat, INDEX(Players!$A959:$P959, MATCH(V$2, Players!$A$1:$P$1, 0)), perc_75, VLOOKUP(V$2, Percentiles!$A$45:$I$59, 6, FALSE), perc_90, VLOOKUP(V$2, Percentiles!$A$45:$I$59, 7, FALSE), perc_95, VLOOKUP(V$2, Percentiles!$A$45:$I$59, 8, FALSE), perc_85, perc_75 + (perc_90 - perc_75) * (2/3), converted_stat, '2K_Ratings'!V960, IF(bbgm_stat &gt;= perc_95, converted_stat * 3, IF(bbgm_stat &gt;= perc_90, converted_stat * 2, IF(bbgm_stat &gt;= perc_85, converted_stat * 1.5, converted_stat)))))</f>
        <v/>
      </c>
      <c r="W960" s="30" t="str">
        <f t="array" ref="W960">IF($A960="", "", LET(bbgm_stat, INDEX(Players!$A959:$P959, MATCH(W$2, Players!$A$1:$P$1, 0)), perc_75, VLOOKUP(W$2, Percentiles!$A$45:$I$59, 6, FALSE), perc_90, VLOOKUP(W$2, Percentiles!$A$45:$I$59, 7, FALSE), perc_95, VLOOKUP(W$2, Percentiles!$A$45:$I$59, 8, FALSE), perc_85, perc_75 + (perc_90 - perc_75) * (2/3), converted_stat, '2K_Ratings'!W960, IF(bbgm_stat &gt;= perc_95, converted_stat * 3, IF(bbgm_stat &gt;= perc_90, converted_stat * 2, IF(bbgm_stat &gt;= perc_85, converted_stat * 1.5, converted_stat)))))</f>
        <v/>
      </c>
    </row>
    <row r="961">
      <c r="A961" s="30"/>
      <c r="B961" s="30" t="str">
        <f t="array" ref="B961">IF($A961="", "", LET(bbgm_stat, INDEX(Players!$A960:$P960, MATCH(B$2, Players!$A$1:$P$1, 0)), perc_75, VLOOKUP(B$2, Percentiles!$A$45:$I$59, 6, FALSE), perc_90, VLOOKUP(B$2, Percentiles!$A$45:$I$59, 7, FALSE), perc_95, VLOOKUP(B$2, Percentiles!$A$45:$I$59, 8, FALSE), perc_85, perc_75 + (perc_90 - perc_75) * (2/3), converted_stat, '2K_Ratings'!B961, IF(bbgm_stat &gt;= perc_95, converted_stat * 3, IF(bbgm_stat &gt;= perc_90, converted_stat * 2, IF(bbgm_stat &gt;= perc_85, converted_stat * 1.5, converted_stat)))))</f>
        <v/>
      </c>
      <c r="C961" s="30" t="str">
        <f t="array" ref="C961">IF($A961="", "", LET(bbgm_stat, INDEX(Players!$A960:$P960, MATCH(C$2, Players!$A$1:$P$1, 0)), perc_75, VLOOKUP(C$2, Percentiles!$A$45:$I$59, 6, FALSE), perc_90, VLOOKUP(C$2, Percentiles!$A$45:$I$59, 7, FALSE), perc_95, VLOOKUP(C$2, Percentiles!$A$45:$I$59, 8, FALSE), perc_85, perc_75 + (perc_90 - perc_75) * (2/3), converted_stat, '2K_Ratings'!C961, IF(bbgm_stat &gt;= perc_95, converted_stat * 3, IF(bbgm_stat &gt;= perc_90, converted_stat * 2, IF(bbgm_stat &gt;= perc_85, converted_stat * 1.5, converted_stat)))))</f>
        <v/>
      </c>
      <c r="D961" s="30" t="str">
        <f t="array" ref="D961">IF($A961="", "", LET(bbgm_stat, INDEX(Players!$A960:$P960, MATCH(D$2, Players!$A$1:$P$1, 0)), perc_75, VLOOKUP(D$2, Percentiles!$A$45:$I$59, 6, FALSE), perc_90, VLOOKUP(D$2, Percentiles!$A$45:$I$59, 7, FALSE), perc_95, VLOOKUP(D$2, Percentiles!$A$45:$I$59, 8, FALSE), perc_85, perc_75 + (perc_90 - perc_75) * (2/3), converted_stat, '2K_Ratings'!D961, IF(bbgm_stat &gt;= perc_95, converted_stat * 3, IF(bbgm_stat &gt;= perc_90, converted_stat * 2, IF(bbgm_stat &gt;= perc_85, converted_stat * 1.5, converted_stat)))))</f>
        <v/>
      </c>
      <c r="E961" s="30" t="str">
        <f t="array" ref="E961">IF($A961="", "", LET(bbgm_stat, INDEX(Players!$A960:$P960, MATCH(E$2, Players!$A$1:$P$1, 0)), perc_75, VLOOKUP(E$2, Percentiles!$A$45:$I$59, 6, FALSE), perc_90, VLOOKUP(E$2, Percentiles!$A$45:$I$59, 7, FALSE), perc_95, VLOOKUP(E$2, Percentiles!$A$45:$I$59, 8, FALSE), perc_85, perc_75 + (perc_90 - perc_75) * (2/3), converted_stat, '2K_Ratings'!E961, IF(bbgm_stat &gt;= perc_95, converted_stat * 3, IF(bbgm_stat &gt;= perc_90, converted_stat * 2, IF(bbgm_stat &gt;= perc_85, converted_stat * 1.5, converted_stat)))))</f>
        <v/>
      </c>
      <c r="F961" s="30" t="str">
        <f t="array" ref="F961">IF($A961="", "", LET(bbgm_stat, INDEX(Players!$A960:$P960, MATCH(F$2, Players!$A$1:$P$1, 0)), perc_75, VLOOKUP(F$2, Percentiles!$A$45:$I$59, 6, FALSE), perc_90, VLOOKUP(F$2, Percentiles!$A$45:$I$59, 7, FALSE), perc_95, VLOOKUP(F$2, Percentiles!$A$45:$I$59, 8, FALSE), perc_85, perc_75 + (perc_90 - perc_75) * (2/3), converted_stat, '2K_Ratings'!F961, IF(bbgm_stat &gt;= perc_95, converted_stat * 3, IF(bbgm_stat &gt;= perc_90, converted_stat * 2, IF(bbgm_stat &gt;= perc_85, converted_stat * 1.5, converted_stat)))))</f>
        <v/>
      </c>
      <c r="G961" s="30" t="str">
        <f t="array" ref="G961">IF($A961="", "", LET(bbgm_stat, INDEX(Players!$A960:$P960, MATCH(G$2, Players!$A$1:$P$1, 0)), perc_75, VLOOKUP(G$2, Percentiles!$A$45:$I$59, 6, FALSE), perc_90, VLOOKUP(G$2, Percentiles!$A$45:$I$59, 7, FALSE), perc_95, VLOOKUP(G$2, Percentiles!$A$45:$I$59, 8, FALSE), perc_85, perc_75 + (perc_90 - perc_75) * (2/3), converted_stat, '2K_Ratings'!G961, IF(bbgm_stat &gt;= perc_95, converted_stat * 3, IF(bbgm_stat &gt;= perc_90, converted_stat * 2, IF(bbgm_stat &gt;= perc_85, converted_stat * 1.5, converted_stat)))))</f>
        <v/>
      </c>
      <c r="H961" s="30" t="str">
        <f t="array" ref="H961">IF($A961="", "", LET(bbgm_stat, INDEX(Players!$A960:$P960, MATCH(H$2, Players!$A$1:$P$1, 0)), perc_75, VLOOKUP(H$2, Percentiles!$A$45:$I$59, 6, FALSE), perc_90, VLOOKUP(H$2, Percentiles!$A$45:$I$59, 7, FALSE), perc_95, VLOOKUP(H$2, Percentiles!$A$45:$I$59, 8, FALSE), perc_85, perc_75 + (perc_90 - perc_75) * (2/3), converted_stat, '2K_Ratings'!H961, IF(bbgm_stat &gt;= perc_95, converted_stat * 3, IF(bbgm_stat &gt;= perc_90, converted_stat * 2, IF(bbgm_stat &gt;= perc_85, converted_stat * 1.5, converted_stat)))))</f>
        <v/>
      </c>
      <c r="I961" s="30" t="str">
        <f t="array" ref="I961">IF($A961="", "", LET(bbgm_stat, INDEX(Players!$A960:$P960, MATCH(I$2, Players!$A$1:$P$1, 0)), perc_75, VLOOKUP(I$2, Percentiles!$A$45:$I$59, 6, FALSE), perc_90, VLOOKUP(I$2, Percentiles!$A$45:$I$59, 7, FALSE), perc_95, VLOOKUP(I$2, Percentiles!$A$45:$I$59, 8, FALSE), perc_85, perc_75 + (perc_90 - perc_75) * (2/3), converted_stat, '2K_Ratings'!I961, IF(bbgm_stat &gt;= perc_95, converted_stat * 3, IF(bbgm_stat &gt;= perc_90, converted_stat * 2, IF(bbgm_stat &gt;= perc_85, converted_stat * 1.5, converted_stat)))))</f>
        <v/>
      </c>
      <c r="J961" s="30" t="str">
        <f t="array" ref="J961">IF($A961="", "", LET(bbgm_stat, INDEX(Players!$A960:$P960, MATCH(J$2, Players!$A$1:$P$1, 0)), perc_75, VLOOKUP(J$2, Percentiles!$A$45:$I$59, 6, FALSE), perc_90, VLOOKUP(J$2, Percentiles!$A$45:$I$59, 7, FALSE), perc_95, VLOOKUP(J$2, Percentiles!$A$45:$I$59, 8, FALSE), perc_85, perc_75 + (perc_90 - perc_75) * (2/3), converted_stat, '2K_Ratings'!J961, IF(bbgm_stat &gt;= perc_95, converted_stat * 3, IF(bbgm_stat &gt;= perc_90, converted_stat * 2, IF(bbgm_stat &gt;= perc_85, converted_stat * 1.5, converted_stat)))))</f>
        <v/>
      </c>
      <c r="K961" s="30" t="str">
        <f t="array" ref="K961">IF($A961="", "", LET(bbgm_stat, INDEX(Players!$A960:$P960, MATCH(K$2, Players!$A$1:$P$1, 0)), perc_75, VLOOKUP(K$2, Percentiles!$A$45:$I$59, 6, FALSE), perc_90, VLOOKUP(K$2, Percentiles!$A$45:$I$59, 7, FALSE), perc_95, VLOOKUP(K$2, Percentiles!$A$45:$I$59, 8, FALSE), perc_85, perc_75 + (perc_90 - perc_75) * (2/3), converted_stat, '2K_Ratings'!K961, IF(bbgm_stat &gt;= perc_95, converted_stat * 3, IF(bbgm_stat &gt;= perc_90, converted_stat * 2, IF(bbgm_stat &gt;= perc_85, converted_stat * 1.5, converted_stat)))))</f>
        <v/>
      </c>
      <c r="L961" s="30" t="str">
        <f t="array" ref="L961">IF($A961="", "", LET(bbgm_stat, INDEX(Players!$A960:$P960, MATCH(L$2, Players!$A$1:$P$1, 0)), perc_75, VLOOKUP(L$2, Percentiles!$A$45:$I$59, 6, FALSE), perc_90, VLOOKUP(L$2, Percentiles!$A$45:$I$59, 7, FALSE), perc_95, VLOOKUP(L$2, Percentiles!$A$45:$I$59, 8, FALSE), perc_85, perc_75 + (perc_90 - perc_75) * (2/3), converted_stat, '2K_Ratings'!L961, IF(bbgm_stat &gt;= perc_95, converted_stat * 3, IF(bbgm_stat &gt;= perc_90, converted_stat * 2, IF(bbgm_stat &gt;= perc_85, converted_stat * 1.5, converted_stat)))))</f>
        <v/>
      </c>
      <c r="M961" s="30" t="str">
        <f t="array" ref="M961">IF($A961="", "", LET(bbgm_stat, INDEX(Players!$A960:$P960, MATCH(M$2, Players!$A$1:$P$1, 0)), perc_75, VLOOKUP(M$2, Percentiles!$A$45:$I$59, 6, FALSE), perc_90, VLOOKUP(M$2, Percentiles!$A$45:$I$59, 7, FALSE), perc_95, VLOOKUP(M$2, Percentiles!$A$45:$I$59, 8, FALSE), perc_85, perc_75 + (perc_90 - perc_75) * (2/3), converted_stat, '2K_Ratings'!M961, IF(bbgm_stat &gt;= perc_95, converted_stat * 3, IF(bbgm_stat &gt;= perc_90, converted_stat * 2, IF(bbgm_stat &gt;= perc_85, converted_stat * 1.5, converted_stat)))))</f>
        <v/>
      </c>
      <c r="N961" s="30" t="str">
        <f t="array" ref="N961">IF($A961="", "", LET(bbgm_stat, INDEX(Players!$A960:$P960, MATCH(N$2, Players!$A$1:$P$1, 0)), perc_75, VLOOKUP(N$2, Percentiles!$A$45:$I$59, 6, FALSE), perc_90, VLOOKUP(N$2, Percentiles!$A$45:$I$59, 7, FALSE), perc_95, VLOOKUP(N$2, Percentiles!$A$45:$I$59, 8, FALSE), perc_85, perc_75 + (perc_90 - perc_75) * (2/3), converted_stat, '2K_Ratings'!N961, IF(bbgm_stat &gt;= perc_95, converted_stat * 3, IF(bbgm_stat &gt;= perc_90, converted_stat * 2, IF(bbgm_stat &gt;= perc_85, converted_stat * 1.5, converted_stat)))))</f>
        <v/>
      </c>
      <c r="O961" s="30" t="str">
        <f t="array" ref="O961">IF($A961="", "", LET(bbgm_stat, INDEX(Players!$A960:$P960, MATCH(O$2, Players!$A$1:$P$1, 0)), perc_75, VLOOKUP(O$2, Percentiles!$A$45:$I$59, 6, FALSE), perc_90, VLOOKUP(O$2, Percentiles!$A$45:$I$59, 7, FALSE), perc_95, VLOOKUP(O$2, Percentiles!$A$45:$I$59, 8, FALSE), perc_85, perc_75 + (perc_90 - perc_75) * (2/3), converted_stat, '2K_Ratings'!O961, IF(bbgm_stat &gt;= perc_95, converted_stat * 3, IF(bbgm_stat &gt;= perc_90, converted_stat * 2, IF(bbgm_stat &gt;= perc_85, converted_stat * 1.5, converted_stat)))))</f>
        <v/>
      </c>
      <c r="P961" s="30" t="str">
        <f t="array" ref="P961">IF($A961="", "", LET(bbgm_stat, INDEX(Players!$A960:$P960, MATCH(P$2, Players!$A$1:$P$1, 0)), perc_75, VLOOKUP(P$2, Percentiles!$A$45:$I$59, 6, FALSE), perc_90, VLOOKUP(P$2, Percentiles!$A$45:$I$59, 7, FALSE), perc_95, VLOOKUP(P$2, Percentiles!$A$45:$I$59, 8, FALSE), perc_85, perc_75 + (perc_90 - perc_75) * (2/3), converted_stat, '2K_Ratings'!P961, IF(bbgm_stat &gt;= perc_95, converted_stat * 3, IF(bbgm_stat &gt;= perc_90, converted_stat * 2, IF(bbgm_stat &gt;= perc_85, converted_stat * 1.5, converted_stat)))))</f>
        <v/>
      </c>
      <c r="Q961" s="30" t="str">
        <f t="array" ref="Q961">IF($A961="", "", LET(bbgm_stat, INDEX(Players!$A960:$P960, MATCH(Q$2, Players!$A$1:$P$1, 0)), perc_75, VLOOKUP(Q$2, Percentiles!$A$45:$I$59, 6, FALSE), perc_90, VLOOKUP(Q$2, Percentiles!$A$45:$I$59, 7, FALSE), perc_95, VLOOKUP(Q$2, Percentiles!$A$45:$I$59, 8, FALSE), perc_85, perc_75 + (perc_90 - perc_75) * (2/3), converted_stat, '2K_Ratings'!Q961, IF(bbgm_stat &gt;= perc_95, converted_stat * 3, IF(bbgm_stat &gt;= perc_90, converted_stat * 2, IF(bbgm_stat &gt;= perc_85, converted_stat * 1.5, converted_stat)))))</f>
        <v/>
      </c>
      <c r="R961" s="30" t="str">
        <f t="array" ref="R961">IF($A961="", "", LET(bbgm_stat, INDEX(Players!$A960:$P960, MATCH(R$2, Players!$A$1:$P$1, 0)), perc_75, VLOOKUP(R$2, Percentiles!$A$45:$I$59, 6, FALSE), perc_90, VLOOKUP(R$2, Percentiles!$A$45:$I$59, 7, FALSE), perc_95, VLOOKUP(R$2, Percentiles!$A$45:$I$59, 8, FALSE), perc_85, perc_75 + (perc_90 - perc_75) * (2/3), converted_stat, '2K_Ratings'!R961, IF(bbgm_stat &gt;= perc_95, converted_stat * 3, IF(bbgm_stat &gt;= perc_90, converted_stat * 2, IF(bbgm_stat &gt;= perc_85, converted_stat * 1.5, converted_stat)))))</f>
        <v/>
      </c>
      <c r="S961" s="30" t="str">
        <f t="array" ref="S961">IF($A961="", "", LET(bbgm_stat, INDEX(Players!$A960:$P960, MATCH(S$2, Players!$A$1:$P$1, 0)), perc_75, VLOOKUP(S$2, Percentiles!$A$45:$I$59, 6, FALSE), perc_90, VLOOKUP(S$2, Percentiles!$A$45:$I$59, 7, FALSE), perc_95, VLOOKUP(S$2, Percentiles!$A$45:$I$59, 8, FALSE), perc_85, perc_75 + (perc_90 - perc_75) * (2/3), converted_stat, '2K_Ratings'!S961, IF(bbgm_stat &gt;= perc_95, converted_stat * 3, IF(bbgm_stat &gt;= perc_90, converted_stat * 2, IF(bbgm_stat &gt;= perc_85, converted_stat * 1.5, converted_stat)))))</f>
        <v/>
      </c>
      <c r="T961" s="30" t="str">
        <f t="array" ref="T961">IF($A961="", "", LET(bbgm_stat, INDEX(Players!$A960:$P960, MATCH(T$2, Players!$A$1:$P$1, 0)), perc_75, VLOOKUP(T$2, Percentiles!$A$45:$I$59, 6, FALSE), perc_90, VLOOKUP(T$2, Percentiles!$A$45:$I$59, 7, FALSE), perc_95, VLOOKUP(T$2, Percentiles!$A$45:$I$59, 8, FALSE), perc_85, perc_75 + (perc_90 - perc_75) * (2/3), converted_stat, '2K_Ratings'!T961, IF(bbgm_stat &gt;= perc_95, converted_stat * 3, IF(bbgm_stat &gt;= perc_90, converted_stat * 2, IF(bbgm_stat &gt;= perc_85, converted_stat * 1.5, converted_stat)))))</f>
        <v/>
      </c>
      <c r="U961" s="30" t="str">
        <f t="array" ref="U961">IF($A961="", "", LET(bbgm_stat, INDEX(Players!$A960:$P960, MATCH(U$2, Players!$A$1:$P$1, 0)), perc_75, VLOOKUP(U$2, Percentiles!$A$45:$I$59, 6, FALSE), perc_90, VLOOKUP(U$2, Percentiles!$A$45:$I$59, 7, FALSE), perc_95, VLOOKUP(U$2, Percentiles!$A$45:$I$59, 8, FALSE), perc_85, perc_75 + (perc_90 - perc_75) * (2/3), converted_stat, '2K_Ratings'!U961, IF(bbgm_stat &gt;= perc_95, converted_stat * 3, IF(bbgm_stat &gt;= perc_90, converted_stat * 2, IF(bbgm_stat &gt;= perc_85, converted_stat * 1.5, converted_stat)))))</f>
        <v/>
      </c>
      <c r="V961" s="30" t="str">
        <f t="array" ref="V961">IF($A961="", "", LET(bbgm_stat, INDEX(Players!$A960:$P960, MATCH(V$2, Players!$A$1:$P$1, 0)), perc_75, VLOOKUP(V$2, Percentiles!$A$45:$I$59, 6, FALSE), perc_90, VLOOKUP(V$2, Percentiles!$A$45:$I$59, 7, FALSE), perc_95, VLOOKUP(V$2, Percentiles!$A$45:$I$59, 8, FALSE), perc_85, perc_75 + (perc_90 - perc_75) * (2/3), converted_stat, '2K_Ratings'!V961, IF(bbgm_stat &gt;= perc_95, converted_stat * 3, IF(bbgm_stat &gt;= perc_90, converted_stat * 2, IF(bbgm_stat &gt;= perc_85, converted_stat * 1.5, converted_stat)))))</f>
        <v/>
      </c>
      <c r="W961" s="30" t="str">
        <f t="array" ref="W961">IF($A961="", "", LET(bbgm_stat, INDEX(Players!$A960:$P960, MATCH(W$2, Players!$A$1:$P$1, 0)), perc_75, VLOOKUP(W$2, Percentiles!$A$45:$I$59, 6, FALSE), perc_90, VLOOKUP(W$2, Percentiles!$A$45:$I$59, 7, FALSE), perc_95, VLOOKUP(W$2, Percentiles!$A$45:$I$59, 8, FALSE), perc_85, perc_75 + (perc_90 - perc_75) * (2/3), converted_stat, '2K_Ratings'!W961, IF(bbgm_stat &gt;= perc_95, converted_stat * 3, IF(bbgm_stat &gt;= perc_90, converted_stat * 2, IF(bbgm_stat &gt;= perc_85, converted_stat * 1.5, converted_stat)))))</f>
        <v/>
      </c>
    </row>
    <row r="962">
      <c r="A962" s="30"/>
      <c r="B962" s="30" t="str">
        <f t="array" ref="B962">IF($A962="", "", LET(bbgm_stat, INDEX(Players!$A961:$P961, MATCH(B$2, Players!$A$1:$P$1, 0)), perc_75, VLOOKUP(B$2, Percentiles!$A$45:$I$59, 6, FALSE), perc_90, VLOOKUP(B$2, Percentiles!$A$45:$I$59, 7, FALSE), perc_95, VLOOKUP(B$2, Percentiles!$A$45:$I$59, 8, FALSE), perc_85, perc_75 + (perc_90 - perc_75) * (2/3), converted_stat, '2K_Ratings'!B962, IF(bbgm_stat &gt;= perc_95, converted_stat * 3, IF(bbgm_stat &gt;= perc_90, converted_stat * 2, IF(bbgm_stat &gt;= perc_85, converted_stat * 1.5, converted_stat)))))</f>
        <v/>
      </c>
      <c r="C962" s="30" t="str">
        <f t="array" ref="C962">IF($A962="", "", LET(bbgm_stat, INDEX(Players!$A961:$P961, MATCH(C$2, Players!$A$1:$P$1, 0)), perc_75, VLOOKUP(C$2, Percentiles!$A$45:$I$59, 6, FALSE), perc_90, VLOOKUP(C$2, Percentiles!$A$45:$I$59, 7, FALSE), perc_95, VLOOKUP(C$2, Percentiles!$A$45:$I$59, 8, FALSE), perc_85, perc_75 + (perc_90 - perc_75) * (2/3), converted_stat, '2K_Ratings'!C962, IF(bbgm_stat &gt;= perc_95, converted_stat * 3, IF(bbgm_stat &gt;= perc_90, converted_stat * 2, IF(bbgm_stat &gt;= perc_85, converted_stat * 1.5, converted_stat)))))</f>
        <v/>
      </c>
      <c r="D962" s="30" t="str">
        <f t="array" ref="D962">IF($A962="", "", LET(bbgm_stat, INDEX(Players!$A961:$P961, MATCH(D$2, Players!$A$1:$P$1, 0)), perc_75, VLOOKUP(D$2, Percentiles!$A$45:$I$59, 6, FALSE), perc_90, VLOOKUP(D$2, Percentiles!$A$45:$I$59, 7, FALSE), perc_95, VLOOKUP(D$2, Percentiles!$A$45:$I$59, 8, FALSE), perc_85, perc_75 + (perc_90 - perc_75) * (2/3), converted_stat, '2K_Ratings'!D962, IF(bbgm_stat &gt;= perc_95, converted_stat * 3, IF(bbgm_stat &gt;= perc_90, converted_stat * 2, IF(bbgm_stat &gt;= perc_85, converted_stat * 1.5, converted_stat)))))</f>
        <v/>
      </c>
      <c r="E962" s="30" t="str">
        <f t="array" ref="E962">IF($A962="", "", LET(bbgm_stat, INDEX(Players!$A961:$P961, MATCH(E$2, Players!$A$1:$P$1, 0)), perc_75, VLOOKUP(E$2, Percentiles!$A$45:$I$59, 6, FALSE), perc_90, VLOOKUP(E$2, Percentiles!$A$45:$I$59, 7, FALSE), perc_95, VLOOKUP(E$2, Percentiles!$A$45:$I$59, 8, FALSE), perc_85, perc_75 + (perc_90 - perc_75) * (2/3), converted_stat, '2K_Ratings'!E962, IF(bbgm_stat &gt;= perc_95, converted_stat * 3, IF(bbgm_stat &gt;= perc_90, converted_stat * 2, IF(bbgm_stat &gt;= perc_85, converted_stat * 1.5, converted_stat)))))</f>
        <v/>
      </c>
      <c r="F962" s="30" t="str">
        <f t="array" ref="F962">IF($A962="", "", LET(bbgm_stat, INDEX(Players!$A961:$P961, MATCH(F$2, Players!$A$1:$P$1, 0)), perc_75, VLOOKUP(F$2, Percentiles!$A$45:$I$59, 6, FALSE), perc_90, VLOOKUP(F$2, Percentiles!$A$45:$I$59, 7, FALSE), perc_95, VLOOKUP(F$2, Percentiles!$A$45:$I$59, 8, FALSE), perc_85, perc_75 + (perc_90 - perc_75) * (2/3), converted_stat, '2K_Ratings'!F962, IF(bbgm_stat &gt;= perc_95, converted_stat * 3, IF(bbgm_stat &gt;= perc_90, converted_stat * 2, IF(bbgm_stat &gt;= perc_85, converted_stat * 1.5, converted_stat)))))</f>
        <v/>
      </c>
      <c r="G962" s="30" t="str">
        <f t="array" ref="G962">IF($A962="", "", LET(bbgm_stat, INDEX(Players!$A961:$P961, MATCH(G$2, Players!$A$1:$P$1, 0)), perc_75, VLOOKUP(G$2, Percentiles!$A$45:$I$59, 6, FALSE), perc_90, VLOOKUP(G$2, Percentiles!$A$45:$I$59, 7, FALSE), perc_95, VLOOKUP(G$2, Percentiles!$A$45:$I$59, 8, FALSE), perc_85, perc_75 + (perc_90 - perc_75) * (2/3), converted_stat, '2K_Ratings'!G962, IF(bbgm_stat &gt;= perc_95, converted_stat * 3, IF(bbgm_stat &gt;= perc_90, converted_stat * 2, IF(bbgm_stat &gt;= perc_85, converted_stat * 1.5, converted_stat)))))</f>
        <v/>
      </c>
      <c r="H962" s="30" t="str">
        <f t="array" ref="H962">IF($A962="", "", LET(bbgm_stat, INDEX(Players!$A961:$P961, MATCH(H$2, Players!$A$1:$P$1, 0)), perc_75, VLOOKUP(H$2, Percentiles!$A$45:$I$59, 6, FALSE), perc_90, VLOOKUP(H$2, Percentiles!$A$45:$I$59, 7, FALSE), perc_95, VLOOKUP(H$2, Percentiles!$A$45:$I$59, 8, FALSE), perc_85, perc_75 + (perc_90 - perc_75) * (2/3), converted_stat, '2K_Ratings'!H962, IF(bbgm_stat &gt;= perc_95, converted_stat * 3, IF(bbgm_stat &gt;= perc_90, converted_stat * 2, IF(bbgm_stat &gt;= perc_85, converted_stat * 1.5, converted_stat)))))</f>
        <v/>
      </c>
      <c r="I962" s="30" t="str">
        <f t="array" ref="I962">IF($A962="", "", LET(bbgm_stat, INDEX(Players!$A961:$P961, MATCH(I$2, Players!$A$1:$P$1, 0)), perc_75, VLOOKUP(I$2, Percentiles!$A$45:$I$59, 6, FALSE), perc_90, VLOOKUP(I$2, Percentiles!$A$45:$I$59, 7, FALSE), perc_95, VLOOKUP(I$2, Percentiles!$A$45:$I$59, 8, FALSE), perc_85, perc_75 + (perc_90 - perc_75) * (2/3), converted_stat, '2K_Ratings'!I962, IF(bbgm_stat &gt;= perc_95, converted_stat * 3, IF(bbgm_stat &gt;= perc_90, converted_stat * 2, IF(bbgm_stat &gt;= perc_85, converted_stat * 1.5, converted_stat)))))</f>
        <v/>
      </c>
      <c r="J962" s="30" t="str">
        <f t="array" ref="J962">IF($A962="", "", LET(bbgm_stat, INDEX(Players!$A961:$P961, MATCH(J$2, Players!$A$1:$P$1, 0)), perc_75, VLOOKUP(J$2, Percentiles!$A$45:$I$59, 6, FALSE), perc_90, VLOOKUP(J$2, Percentiles!$A$45:$I$59, 7, FALSE), perc_95, VLOOKUP(J$2, Percentiles!$A$45:$I$59, 8, FALSE), perc_85, perc_75 + (perc_90 - perc_75) * (2/3), converted_stat, '2K_Ratings'!J962, IF(bbgm_stat &gt;= perc_95, converted_stat * 3, IF(bbgm_stat &gt;= perc_90, converted_stat * 2, IF(bbgm_stat &gt;= perc_85, converted_stat * 1.5, converted_stat)))))</f>
        <v/>
      </c>
      <c r="K962" s="30" t="str">
        <f t="array" ref="K962">IF($A962="", "", LET(bbgm_stat, INDEX(Players!$A961:$P961, MATCH(K$2, Players!$A$1:$P$1, 0)), perc_75, VLOOKUP(K$2, Percentiles!$A$45:$I$59, 6, FALSE), perc_90, VLOOKUP(K$2, Percentiles!$A$45:$I$59, 7, FALSE), perc_95, VLOOKUP(K$2, Percentiles!$A$45:$I$59, 8, FALSE), perc_85, perc_75 + (perc_90 - perc_75) * (2/3), converted_stat, '2K_Ratings'!K962, IF(bbgm_stat &gt;= perc_95, converted_stat * 3, IF(bbgm_stat &gt;= perc_90, converted_stat * 2, IF(bbgm_stat &gt;= perc_85, converted_stat * 1.5, converted_stat)))))</f>
        <v/>
      </c>
      <c r="L962" s="30" t="str">
        <f t="array" ref="L962">IF($A962="", "", LET(bbgm_stat, INDEX(Players!$A961:$P961, MATCH(L$2, Players!$A$1:$P$1, 0)), perc_75, VLOOKUP(L$2, Percentiles!$A$45:$I$59, 6, FALSE), perc_90, VLOOKUP(L$2, Percentiles!$A$45:$I$59, 7, FALSE), perc_95, VLOOKUP(L$2, Percentiles!$A$45:$I$59, 8, FALSE), perc_85, perc_75 + (perc_90 - perc_75) * (2/3), converted_stat, '2K_Ratings'!L962, IF(bbgm_stat &gt;= perc_95, converted_stat * 3, IF(bbgm_stat &gt;= perc_90, converted_stat * 2, IF(bbgm_stat &gt;= perc_85, converted_stat * 1.5, converted_stat)))))</f>
        <v/>
      </c>
      <c r="M962" s="30" t="str">
        <f t="array" ref="M962">IF($A962="", "", LET(bbgm_stat, INDEX(Players!$A961:$P961, MATCH(M$2, Players!$A$1:$P$1, 0)), perc_75, VLOOKUP(M$2, Percentiles!$A$45:$I$59, 6, FALSE), perc_90, VLOOKUP(M$2, Percentiles!$A$45:$I$59, 7, FALSE), perc_95, VLOOKUP(M$2, Percentiles!$A$45:$I$59, 8, FALSE), perc_85, perc_75 + (perc_90 - perc_75) * (2/3), converted_stat, '2K_Ratings'!M962, IF(bbgm_stat &gt;= perc_95, converted_stat * 3, IF(bbgm_stat &gt;= perc_90, converted_stat * 2, IF(bbgm_stat &gt;= perc_85, converted_stat * 1.5, converted_stat)))))</f>
        <v/>
      </c>
      <c r="N962" s="30" t="str">
        <f t="array" ref="N962">IF($A962="", "", LET(bbgm_stat, INDEX(Players!$A961:$P961, MATCH(N$2, Players!$A$1:$P$1, 0)), perc_75, VLOOKUP(N$2, Percentiles!$A$45:$I$59, 6, FALSE), perc_90, VLOOKUP(N$2, Percentiles!$A$45:$I$59, 7, FALSE), perc_95, VLOOKUP(N$2, Percentiles!$A$45:$I$59, 8, FALSE), perc_85, perc_75 + (perc_90 - perc_75) * (2/3), converted_stat, '2K_Ratings'!N962, IF(bbgm_stat &gt;= perc_95, converted_stat * 3, IF(bbgm_stat &gt;= perc_90, converted_stat * 2, IF(bbgm_stat &gt;= perc_85, converted_stat * 1.5, converted_stat)))))</f>
        <v/>
      </c>
      <c r="O962" s="30" t="str">
        <f t="array" ref="O962">IF($A962="", "", LET(bbgm_stat, INDEX(Players!$A961:$P961, MATCH(O$2, Players!$A$1:$P$1, 0)), perc_75, VLOOKUP(O$2, Percentiles!$A$45:$I$59, 6, FALSE), perc_90, VLOOKUP(O$2, Percentiles!$A$45:$I$59, 7, FALSE), perc_95, VLOOKUP(O$2, Percentiles!$A$45:$I$59, 8, FALSE), perc_85, perc_75 + (perc_90 - perc_75) * (2/3), converted_stat, '2K_Ratings'!O962, IF(bbgm_stat &gt;= perc_95, converted_stat * 3, IF(bbgm_stat &gt;= perc_90, converted_stat * 2, IF(bbgm_stat &gt;= perc_85, converted_stat * 1.5, converted_stat)))))</f>
        <v/>
      </c>
      <c r="P962" s="30" t="str">
        <f t="array" ref="P962">IF($A962="", "", LET(bbgm_stat, INDEX(Players!$A961:$P961, MATCH(P$2, Players!$A$1:$P$1, 0)), perc_75, VLOOKUP(P$2, Percentiles!$A$45:$I$59, 6, FALSE), perc_90, VLOOKUP(P$2, Percentiles!$A$45:$I$59, 7, FALSE), perc_95, VLOOKUP(P$2, Percentiles!$A$45:$I$59, 8, FALSE), perc_85, perc_75 + (perc_90 - perc_75) * (2/3), converted_stat, '2K_Ratings'!P962, IF(bbgm_stat &gt;= perc_95, converted_stat * 3, IF(bbgm_stat &gt;= perc_90, converted_stat * 2, IF(bbgm_stat &gt;= perc_85, converted_stat * 1.5, converted_stat)))))</f>
        <v/>
      </c>
      <c r="Q962" s="30" t="str">
        <f t="array" ref="Q962">IF($A962="", "", LET(bbgm_stat, INDEX(Players!$A961:$P961, MATCH(Q$2, Players!$A$1:$P$1, 0)), perc_75, VLOOKUP(Q$2, Percentiles!$A$45:$I$59, 6, FALSE), perc_90, VLOOKUP(Q$2, Percentiles!$A$45:$I$59, 7, FALSE), perc_95, VLOOKUP(Q$2, Percentiles!$A$45:$I$59, 8, FALSE), perc_85, perc_75 + (perc_90 - perc_75) * (2/3), converted_stat, '2K_Ratings'!Q962, IF(bbgm_stat &gt;= perc_95, converted_stat * 3, IF(bbgm_stat &gt;= perc_90, converted_stat * 2, IF(bbgm_stat &gt;= perc_85, converted_stat * 1.5, converted_stat)))))</f>
        <v/>
      </c>
      <c r="R962" s="30" t="str">
        <f t="array" ref="R962">IF($A962="", "", LET(bbgm_stat, INDEX(Players!$A961:$P961, MATCH(R$2, Players!$A$1:$P$1, 0)), perc_75, VLOOKUP(R$2, Percentiles!$A$45:$I$59, 6, FALSE), perc_90, VLOOKUP(R$2, Percentiles!$A$45:$I$59, 7, FALSE), perc_95, VLOOKUP(R$2, Percentiles!$A$45:$I$59, 8, FALSE), perc_85, perc_75 + (perc_90 - perc_75) * (2/3), converted_stat, '2K_Ratings'!R962, IF(bbgm_stat &gt;= perc_95, converted_stat * 3, IF(bbgm_stat &gt;= perc_90, converted_stat * 2, IF(bbgm_stat &gt;= perc_85, converted_stat * 1.5, converted_stat)))))</f>
        <v/>
      </c>
      <c r="S962" s="30" t="str">
        <f t="array" ref="S962">IF($A962="", "", LET(bbgm_stat, INDEX(Players!$A961:$P961, MATCH(S$2, Players!$A$1:$P$1, 0)), perc_75, VLOOKUP(S$2, Percentiles!$A$45:$I$59, 6, FALSE), perc_90, VLOOKUP(S$2, Percentiles!$A$45:$I$59, 7, FALSE), perc_95, VLOOKUP(S$2, Percentiles!$A$45:$I$59, 8, FALSE), perc_85, perc_75 + (perc_90 - perc_75) * (2/3), converted_stat, '2K_Ratings'!S962, IF(bbgm_stat &gt;= perc_95, converted_stat * 3, IF(bbgm_stat &gt;= perc_90, converted_stat * 2, IF(bbgm_stat &gt;= perc_85, converted_stat * 1.5, converted_stat)))))</f>
        <v/>
      </c>
      <c r="T962" s="30" t="str">
        <f t="array" ref="T962">IF($A962="", "", LET(bbgm_stat, INDEX(Players!$A961:$P961, MATCH(T$2, Players!$A$1:$P$1, 0)), perc_75, VLOOKUP(T$2, Percentiles!$A$45:$I$59, 6, FALSE), perc_90, VLOOKUP(T$2, Percentiles!$A$45:$I$59, 7, FALSE), perc_95, VLOOKUP(T$2, Percentiles!$A$45:$I$59, 8, FALSE), perc_85, perc_75 + (perc_90 - perc_75) * (2/3), converted_stat, '2K_Ratings'!T962, IF(bbgm_stat &gt;= perc_95, converted_stat * 3, IF(bbgm_stat &gt;= perc_90, converted_stat * 2, IF(bbgm_stat &gt;= perc_85, converted_stat * 1.5, converted_stat)))))</f>
        <v/>
      </c>
      <c r="U962" s="30" t="str">
        <f t="array" ref="U962">IF($A962="", "", LET(bbgm_stat, INDEX(Players!$A961:$P961, MATCH(U$2, Players!$A$1:$P$1, 0)), perc_75, VLOOKUP(U$2, Percentiles!$A$45:$I$59, 6, FALSE), perc_90, VLOOKUP(U$2, Percentiles!$A$45:$I$59, 7, FALSE), perc_95, VLOOKUP(U$2, Percentiles!$A$45:$I$59, 8, FALSE), perc_85, perc_75 + (perc_90 - perc_75) * (2/3), converted_stat, '2K_Ratings'!U962, IF(bbgm_stat &gt;= perc_95, converted_stat * 3, IF(bbgm_stat &gt;= perc_90, converted_stat * 2, IF(bbgm_stat &gt;= perc_85, converted_stat * 1.5, converted_stat)))))</f>
        <v/>
      </c>
      <c r="V962" s="30" t="str">
        <f t="array" ref="V962">IF($A962="", "", LET(bbgm_stat, INDEX(Players!$A961:$P961, MATCH(V$2, Players!$A$1:$P$1, 0)), perc_75, VLOOKUP(V$2, Percentiles!$A$45:$I$59, 6, FALSE), perc_90, VLOOKUP(V$2, Percentiles!$A$45:$I$59, 7, FALSE), perc_95, VLOOKUP(V$2, Percentiles!$A$45:$I$59, 8, FALSE), perc_85, perc_75 + (perc_90 - perc_75) * (2/3), converted_stat, '2K_Ratings'!V962, IF(bbgm_stat &gt;= perc_95, converted_stat * 3, IF(bbgm_stat &gt;= perc_90, converted_stat * 2, IF(bbgm_stat &gt;= perc_85, converted_stat * 1.5, converted_stat)))))</f>
        <v/>
      </c>
      <c r="W962" s="30" t="str">
        <f t="array" ref="W962">IF($A962="", "", LET(bbgm_stat, INDEX(Players!$A961:$P961, MATCH(W$2, Players!$A$1:$P$1, 0)), perc_75, VLOOKUP(W$2, Percentiles!$A$45:$I$59, 6, FALSE), perc_90, VLOOKUP(W$2, Percentiles!$A$45:$I$59, 7, FALSE), perc_95, VLOOKUP(W$2, Percentiles!$A$45:$I$59, 8, FALSE), perc_85, perc_75 + (perc_90 - perc_75) * (2/3), converted_stat, '2K_Ratings'!W962, IF(bbgm_stat &gt;= perc_95, converted_stat * 3, IF(bbgm_stat &gt;= perc_90, converted_stat * 2, IF(bbgm_stat &gt;= perc_85, converted_stat * 1.5, converted_stat)))))</f>
        <v/>
      </c>
    </row>
    <row r="963">
      <c r="A963" s="30"/>
      <c r="B963" s="30" t="str">
        <f t="array" ref="B963">IF($A963="", "", LET(bbgm_stat, INDEX(Players!$A962:$P962, MATCH(B$2, Players!$A$1:$P$1, 0)), perc_75, VLOOKUP(B$2, Percentiles!$A$45:$I$59, 6, FALSE), perc_90, VLOOKUP(B$2, Percentiles!$A$45:$I$59, 7, FALSE), perc_95, VLOOKUP(B$2, Percentiles!$A$45:$I$59, 8, FALSE), perc_85, perc_75 + (perc_90 - perc_75) * (2/3), converted_stat, '2K_Ratings'!B963, IF(bbgm_stat &gt;= perc_95, converted_stat * 3, IF(bbgm_stat &gt;= perc_90, converted_stat * 2, IF(bbgm_stat &gt;= perc_85, converted_stat * 1.5, converted_stat)))))</f>
        <v/>
      </c>
      <c r="C963" s="30" t="str">
        <f t="array" ref="C963">IF($A963="", "", LET(bbgm_stat, INDEX(Players!$A962:$P962, MATCH(C$2, Players!$A$1:$P$1, 0)), perc_75, VLOOKUP(C$2, Percentiles!$A$45:$I$59, 6, FALSE), perc_90, VLOOKUP(C$2, Percentiles!$A$45:$I$59, 7, FALSE), perc_95, VLOOKUP(C$2, Percentiles!$A$45:$I$59, 8, FALSE), perc_85, perc_75 + (perc_90 - perc_75) * (2/3), converted_stat, '2K_Ratings'!C963, IF(bbgm_stat &gt;= perc_95, converted_stat * 3, IF(bbgm_stat &gt;= perc_90, converted_stat * 2, IF(bbgm_stat &gt;= perc_85, converted_stat * 1.5, converted_stat)))))</f>
        <v/>
      </c>
      <c r="D963" s="30" t="str">
        <f t="array" ref="D963">IF($A963="", "", LET(bbgm_stat, INDEX(Players!$A962:$P962, MATCH(D$2, Players!$A$1:$P$1, 0)), perc_75, VLOOKUP(D$2, Percentiles!$A$45:$I$59, 6, FALSE), perc_90, VLOOKUP(D$2, Percentiles!$A$45:$I$59, 7, FALSE), perc_95, VLOOKUP(D$2, Percentiles!$A$45:$I$59, 8, FALSE), perc_85, perc_75 + (perc_90 - perc_75) * (2/3), converted_stat, '2K_Ratings'!D963, IF(bbgm_stat &gt;= perc_95, converted_stat * 3, IF(bbgm_stat &gt;= perc_90, converted_stat * 2, IF(bbgm_stat &gt;= perc_85, converted_stat * 1.5, converted_stat)))))</f>
        <v/>
      </c>
      <c r="E963" s="30" t="str">
        <f t="array" ref="E963">IF($A963="", "", LET(bbgm_stat, INDEX(Players!$A962:$P962, MATCH(E$2, Players!$A$1:$P$1, 0)), perc_75, VLOOKUP(E$2, Percentiles!$A$45:$I$59, 6, FALSE), perc_90, VLOOKUP(E$2, Percentiles!$A$45:$I$59, 7, FALSE), perc_95, VLOOKUP(E$2, Percentiles!$A$45:$I$59, 8, FALSE), perc_85, perc_75 + (perc_90 - perc_75) * (2/3), converted_stat, '2K_Ratings'!E963, IF(bbgm_stat &gt;= perc_95, converted_stat * 3, IF(bbgm_stat &gt;= perc_90, converted_stat * 2, IF(bbgm_stat &gt;= perc_85, converted_stat * 1.5, converted_stat)))))</f>
        <v/>
      </c>
      <c r="F963" s="30" t="str">
        <f t="array" ref="F963">IF($A963="", "", LET(bbgm_stat, INDEX(Players!$A962:$P962, MATCH(F$2, Players!$A$1:$P$1, 0)), perc_75, VLOOKUP(F$2, Percentiles!$A$45:$I$59, 6, FALSE), perc_90, VLOOKUP(F$2, Percentiles!$A$45:$I$59, 7, FALSE), perc_95, VLOOKUP(F$2, Percentiles!$A$45:$I$59, 8, FALSE), perc_85, perc_75 + (perc_90 - perc_75) * (2/3), converted_stat, '2K_Ratings'!F963, IF(bbgm_stat &gt;= perc_95, converted_stat * 3, IF(bbgm_stat &gt;= perc_90, converted_stat * 2, IF(bbgm_stat &gt;= perc_85, converted_stat * 1.5, converted_stat)))))</f>
        <v/>
      </c>
      <c r="G963" s="30" t="str">
        <f t="array" ref="G963">IF($A963="", "", LET(bbgm_stat, INDEX(Players!$A962:$P962, MATCH(G$2, Players!$A$1:$P$1, 0)), perc_75, VLOOKUP(G$2, Percentiles!$A$45:$I$59, 6, FALSE), perc_90, VLOOKUP(G$2, Percentiles!$A$45:$I$59, 7, FALSE), perc_95, VLOOKUP(G$2, Percentiles!$A$45:$I$59, 8, FALSE), perc_85, perc_75 + (perc_90 - perc_75) * (2/3), converted_stat, '2K_Ratings'!G963, IF(bbgm_stat &gt;= perc_95, converted_stat * 3, IF(bbgm_stat &gt;= perc_90, converted_stat * 2, IF(bbgm_stat &gt;= perc_85, converted_stat * 1.5, converted_stat)))))</f>
        <v/>
      </c>
      <c r="H963" s="30" t="str">
        <f t="array" ref="H963">IF($A963="", "", LET(bbgm_stat, INDEX(Players!$A962:$P962, MATCH(H$2, Players!$A$1:$P$1, 0)), perc_75, VLOOKUP(H$2, Percentiles!$A$45:$I$59, 6, FALSE), perc_90, VLOOKUP(H$2, Percentiles!$A$45:$I$59, 7, FALSE), perc_95, VLOOKUP(H$2, Percentiles!$A$45:$I$59, 8, FALSE), perc_85, perc_75 + (perc_90 - perc_75) * (2/3), converted_stat, '2K_Ratings'!H963, IF(bbgm_stat &gt;= perc_95, converted_stat * 3, IF(bbgm_stat &gt;= perc_90, converted_stat * 2, IF(bbgm_stat &gt;= perc_85, converted_stat * 1.5, converted_stat)))))</f>
        <v/>
      </c>
      <c r="I963" s="30" t="str">
        <f t="array" ref="I963">IF($A963="", "", LET(bbgm_stat, INDEX(Players!$A962:$P962, MATCH(I$2, Players!$A$1:$P$1, 0)), perc_75, VLOOKUP(I$2, Percentiles!$A$45:$I$59, 6, FALSE), perc_90, VLOOKUP(I$2, Percentiles!$A$45:$I$59, 7, FALSE), perc_95, VLOOKUP(I$2, Percentiles!$A$45:$I$59, 8, FALSE), perc_85, perc_75 + (perc_90 - perc_75) * (2/3), converted_stat, '2K_Ratings'!I963, IF(bbgm_stat &gt;= perc_95, converted_stat * 3, IF(bbgm_stat &gt;= perc_90, converted_stat * 2, IF(bbgm_stat &gt;= perc_85, converted_stat * 1.5, converted_stat)))))</f>
        <v/>
      </c>
      <c r="J963" s="30" t="str">
        <f t="array" ref="J963">IF($A963="", "", LET(bbgm_stat, INDEX(Players!$A962:$P962, MATCH(J$2, Players!$A$1:$P$1, 0)), perc_75, VLOOKUP(J$2, Percentiles!$A$45:$I$59, 6, FALSE), perc_90, VLOOKUP(J$2, Percentiles!$A$45:$I$59, 7, FALSE), perc_95, VLOOKUP(J$2, Percentiles!$A$45:$I$59, 8, FALSE), perc_85, perc_75 + (perc_90 - perc_75) * (2/3), converted_stat, '2K_Ratings'!J963, IF(bbgm_stat &gt;= perc_95, converted_stat * 3, IF(bbgm_stat &gt;= perc_90, converted_stat * 2, IF(bbgm_stat &gt;= perc_85, converted_stat * 1.5, converted_stat)))))</f>
        <v/>
      </c>
      <c r="K963" s="30" t="str">
        <f t="array" ref="K963">IF($A963="", "", LET(bbgm_stat, INDEX(Players!$A962:$P962, MATCH(K$2, Players!$A$1:$P$1, 0)), perc_75, VLOOKUP(K$2, Percentiles!$A$45:$I$59, 6, FALSE), perc_90, VLOOKUP(K$2, Percentiles!$A$45:$I$59, 7, FALSE), perc_95, VLOOKUP(K$2, Percentiles!$A$45:$I$59, 8, FALSE), perc_85, perc_75 + (perc_90 - perc_75) * (2/3), converted_stat, '2K_Ratings'!K963, IF(bbgm_stat &gt;= perc_95, converted_stat * 3, IF(bbgm_stat &gt;= perc_90, converted_stat * 2, IF(bbgm_stat &gt;= perc_85, converted_stat * 1.5, converted_stat)))))</f>
        <v/>
      </c>
      <c r="L963" s="30" t="str">
        <f t="array" ref="L963">IF($A963="", "", LET(bbgm_stat, INDEX(Players!$A962:$P962, MATCH(L$2, Players!$A$1:$P$1, 0)), perc_75, VLOOKUP(L$2, Percentiles!$A$45:$I$59, 6, FALSE), perc_90, VLOOKUP(L$2, Percentiles!$A$45:$I$59, 7, FALSE), perc_95, VLOOKUP(L$2, Percentiles!$A$45:$I$59, 8, FALSE), perc_85, perc_75 + (perc_90 - perc_75) * (2/3), converted_stat, '2K_Ratings'!L963, IF(bbgm_stat &gt;= perc_95, converted_stat * 3, IF(bbgm_stat &gt;= perc_90, converted_stat * 2, IF(bbgm_stat &gt;= perc_85, converted_stat * 1.5, converted_stat)))))</f>
        <v/>
      </c>
      <c r="M963" s="30" t="str">
        <f t="array" ref="M963">IF($A963="", "", LET(bbgm_stat, INDEX(Players!$A962:$P962, MATCH(M$2, Players!$A$1:$P$1, 0)), perc_75, VLOOKUP(M$2, Percentiles!$A$45:$I$59, 6, FALSE), perc_90, VLOOKUP(M$2, Percentiles!$A$45:$I$59, 7, FALSE), perc_95, VLOOKUP(M$2, Percentiles!$A$45:$I$59, 8, FALSE), perc_85, perc_75 + (perc_90 - perc_75) * (2/3), converted_stat, '2K_Ratings'!M963, IF(bbgm_stat &gt;= perc_95, converted_stat * 3, IF(bbgm_stat &gt;= perc_90, converted_stat * 2, IF(bbgm_stat &gt;= perc_85, converted_stat * 1.5, converted_stat)))))</f>
        <v/>
      </c>
      <c r="N963" s="30" t="str">
        <f t="array" ref="N963">IF($A963="", "", LET(bbgm_stat, INDEX(Players!$A962:$P962, MATCH(N$2, Players!$A$1:$P$1, 0)), perc_75, VLOOKUP(N$2, Percentiles!$A$45:$I$59, 6, FALSE), perc_90, VLOOKUP(N$2, Percentiles!$A$45:$I$59, 7, FALSE), perc_95, VLOOKUP(N$2, Percentiles!$A$45:$I$59, 8, FALSE), perc_85, perc_75 + (perc_90 - perc_75) * (2/3), converted_stat, '2K_Ratings'!N963, IF(bbgm_stat &gt;= perc_95, converted_stat * 3, IF(bbgm_stat &gt;= perc_90, converted_stat * 2, IF(bbgm_stat &gt;= perc_85, converted_stat * 1.5, converted_stat)))))</f>
        <v/>
      </c>
      <c r="O963" s="30" t="str">
        <f t="array" ref="O963">IF($A963="", "", LET(bbgm_stat, INDEX(Players!$A962:$P962, MATCH(O$2, Players!$A$1:$P$1, 0)), perc_75, VLOOKUP(O$2, Percentiles!$A$45:$I$59, 6, FALSE), perc_90, VLOOKUP(O$2, Percentiles!$A$45:$I$59, 7, FALSE), perc_95, VLOOKUP(O$2, Percentiles!$A$45:$I$59, 8, FALSE), perc_85, perc_75 + (perc_90 - perc_75) * (2/3), converted_stat, '2K_Ratings'!O963, IF(bbgm_stat &gt;= perc_95, converted_stat * 3, IF(bbgm_stat &gt;= perc_90, converted_stat * 2, IF(bbgm_stat &gt;= perc_85, converted_stat * 1.5, converted_stat)))))</f>
        <v/>
      </c>
      <c r="P963" s="30" t="str">
        <f t="array" ref="P963">IF($A963="", "", LET(bbgm_stat, INDEX(Players!$A962:$P962, MATCH(P$2, Players!$A$1:$P$1, 0)), perc_75, VLOOKUP(P$2, Percentiles!$A$45:$I$59, 6, FALSE), perc_90, VLOOKUP(P$2, Percentiles!$A$45:$I$59, 7, FALSE), perc_95, VLOOKUP(P$2, Percentiles!$A$45:$I$59, 8, FALSE), perc_85, perc_75 + (perc_90 - perc_75) * (2/3), converted_stat, '2K_Ratings'!P963, IF(bbgm_stat &gt;= perc_95, converted_stat * 3, IF(bbgm_stat &gt;= perc_90, converted_stat * 2, IF(bbgm_stat &gt;= perc_85, converted_stat * 1.5, converted_stat)))))</f>
        <v/>
      </c>
      <c r="Q963" s="30" t="str">
        <f t="array" ref="Q963">IF($A963="", "", LET(bbgm_stat, INDEX(Players!$A962:$P962, MATCH(Q$2, Players!$A$1:$P$1, 0)), perc_75, VLOOKUP(Q$2, Percentiles!$A$45:$I$59, 6, FALSE), perc_90, VLOOKUP(Q$2, Percentiles!$A$45:$I$59, 7, FALSE), perc_95, VLOOKUP(Q$2, Percentiles!$A$45:$I$59, 8, FALSE), perc_85, perc_75 + (perc_90 - perc_75) * (2/3), converted_stat, '2K_Ratings'!Q963, IF(bbgm_stat &gt;= perc_95, converted_stat * 3, IF(bbgm_stat &gt;= perc_90, converted_stat * 2, IF(bbgm_stat &gt;= perc_85, converted_stat * 1.5, converted_stat)))))</f>
        <v/>
      </c>
      <c r="R963" s="30" t="str">
        <f t="array" ref="R963">IF($A963="", "", LET(bbgm_stat, INDEX(Players!$A962:$P962, MATCH(R$2, Players!$A$1:$P$1, 0)), perc_75, VLOOKUP(R$2, Percentiles!$A$45:$I$59, 6, FALSE), perc_90, VLOOKUP(R$2, Percentiles!$A$45:$I$59, 7, FALSE), perc_95, VLOOKUP(R$2, Percentiles!$A$45:$I$59, 8, FALSE), perc_85, perc_75 + (perc_90 - perc_75) * (2/3), converted_stat, '2K_Ratings'!R963, IF(bbgm_stat &gt;= perc_95, converted_stat * 3, IF(bbgm_stat &gt;= perc_90, converted_stat * 2, IF(bbgm_stat &gt;= perc_85, converted_stat * 1.5, converted_stat)))))</f>
        <v/>
      </c>
      <c r="S963" s="30" t="str">
        <f t="array" ref="S963">IF($A963="", "", LET(bbgm_stat, INDEX(Players!$A962:$P962, MATCH(S$2, Players!$A$1:$P$1, 0)), perc_75, VLOOKUP(S$2, Percentiles!$A$45:$I$59, 6, FALSE), perc_90, VLOOKUP(S$2, Percentiles!$A$45:$I$59, 7, FALSE), perc_95, VLOOKUP(S$2, Percentiles!$A$45:$I$59, 8, FALSE), perc_85, perc_75 + (perc_90 - perc_75) * (2/3), converted_stat, '2K_Ratings'!S963, IF(bbgm_stat &gt;= perc_95, converted_stat * 3, IF(bbgm_stat &gt;= perc_90, converted_stat * 2, IF(bbgm_stat &gt;= perc_85, converted_stat * 1.5, converted_stat)))))</f>
        <v/>
      </c>
      <c r="T963" s="30" t="str">
        <f t="array" ref="T963">IF($A963="", "", LET(bbgm_stat, INDEX(Players!$A962:$P962, MATCH(T$2, Players!$A$1:$P$1, 0)), perc_75, VLOOKUP(T$2, Percentiles!$A$45:$I$59, 6, FALSE), perc_90, VLOOKUP(T$2, Percentiles!$A$45:$I$59, 7, FALSE), perc_95, VLOOKUP(T$2, Percentiles!$A$45:$I$59, 8, FALSE), perc_85, perc_75 + (perc_90 - perc_75) * (2/3), converted_stat, '2K_Ratings'!T963, IF(bbgm_stat &gt;= perc_95, converted_stat * 3, IF(bbgm_stat &gt;= perc_90, converted_stat * 2, IF(bbgm_stat &gt;= perc_85, converted_stat * 1.5, converted_stat)))))</f>
        <v/>
      </c>
      <c r="U963" s="30" t="str">
        <f t="array" ref="U963">IF($A963="", "", LET(bbgm_stat, INDEX(Players!$A962:$P962, MATCH(U$2, Players!$A$1:$P$1, 0)), perc_75, VLOOKUP(U$2, Percentiles!$A$45:$I$59, 6, FALSE), perc_90, VLOOKUP(U$2, Percentiles!$A$45:$I$59, 7, FALSE), perc_95, VLOOKUP(U$2, Percentiles!$A$45:$I$59, 8, FALSE), perc_85, perc_75 + (perc_90 - perc_75) * (2/3), converted_stat, '2K_Ratings'!U963, IF(bbgm_stat &gt;= perc_95, converted_stat * 3, IF(bbgm_stat &gt;= perc_90, converted_stat * 2, IF(bbgm_stat &gt;= perc_85, converted_stat * 1.5, converted_stat)))))</f>
        <v/>
      </c>
      <c r="V963" s="30" t="str">
        <f t="array" ref="V963">IF($A963="", "", LET(bbgm_stat, INDEX(Players!$A962:$P962, MATCH(V$2, Players!$A$1:$P$1, 0)), perc_75, VLOOKUP(V$2, Percentiles!$A$45:$I$59, 6, FALSE), perc_90, VLOOKUP(V$2, Percentiles!$A$45:$I$59, 7, FALSE), perc_95, VLOOKUP(V$2, Percentiles!$A$45:$I$59, 8, FALSE), perc_85, perc_75 + (perc_90 - perc_75) * (2/3), converted_stat, '2K_Ratings'!V963, IF(bbgm_stat &gt;= perc_95, converted_stat * 3, IF(bbgm_stat &gt;= perc_90, converted_stat * 2, IF(bbgm_stat &gt;= perc_85, converted_stat * 1.5, converted_stat)))))</f>
        <v/>
      </c>
      <c r="W963" s="30" t="str">
        <f t="array" ref="W963">IF($A963="", "", LET(bbgm_stat, INDEX(Players!$A962:$P962, MATCH(W$2, Players!$A$1:$P$1, 0)), perc_75, VLOOKUP(W$2, Percentiles!$A$45:$I$59, 6, FALSE), perc_90, VLOOKUP(W$2, Percentiles!$A$45:$I$59, 7, FALSE), perc_95, VLOOKUP(W$2, Percentiles!$A$45:$I$59, 8, FALSE), perc_85, perc_75 + (perc_90 - perc_75) * (2/3), converted_stat, '2K_Ratings'!W963, IF(bbgm_stat &gt;= perc_95, converted_stat * 3, IF(bbgm_stat &gt;= perc_90, converted_stat * 2, IF(bbgm_stat &gt;= perc_85, converted_stat * 1.5, converted_stat)))))</f>
        <v/>
      </c>
    </row>
    <row r="964">
      <c r="A964" s="30"/>
      <c r="B964" s="30" t="str">
        <f t="array" ref="B964">IF($A964="", "", LET(bbgm_stat, INDEX(Players!$A963:$P963, MATCH(B$2, Players!$A$1:$P$1, 0)), perc_75, VLOOKUP(B$2, Percentiles!$A$45:$I$59, 6, FALSE), perc_90, VLOOKUP(B$2, Percentiles!$A$45:$I$59, 7, FALSE), perc_95, VLOOKUP(B$2, Percentiles!$A$45:$I$59, 8, FALSE), perc_85, perc_75 + (perc_90 - perc_75) * (2/3), converted_stat, '2K_Ratings'!B964, IF(bbgm_stat &gt;= perc_95, converted_stat * 3, IF(bbgm_stat &gt;= perc_90, converted_stat * 2, IF(bbgm_stat &gt;= perc_85, converted_stat * 1.5, converted_stat)))))</f>
        <v/>
      </c>
      <c r="C964" s="30" t="str">
        <f t="array" ref="C964">IF($A964="", "", LET(bbgm_stat, INDEX(Players!$A963:$P963, MATCH(C$2, Players!$A$1:$P$1, 0)), perc_75, VLOOKUP(C$2, Percentiles!$A$45:$I$59, 6, FALSE), perc_90, VLOOKUP(C$2, Percentiles!$A$45:$I$59, 7, FALSE), perc_95, VLOOKUP(C$2, Percentiles!$A$45:$I$59, 8, FALSE), perc_85, perc_75 + (perc_90 - perc_75) * (2/3), converted_stat, '2K_Ratings'!C964, IF(bbgm_stat &gt;= perc_95, converted_stat * 3, IF(bbgm_stat &gt;= perc_90, converted_stat * 2, IF(bbgm_stat &gt;= perc_85, converted_stat * 1.5, converted_stat)))))</f>
        <v/>
      </c>
      <c r="D964" s="30" t="str">
        <f t="array" ref="D964">IF($A964="", "", LET(bbgm_stat, INDEX(Players!$A963:$P963, MATCH(D$2, Players!$A$1:$P$1, 0)), perc_75, VLOOKUP(D$2, Percentiles!$A$45:$I$59, 6, FALSE), perc_90, VLOOKUP(D$2, Percentiles!$A$45:$I$59, 7, FALSE), perc_95, VLOOKUP(D$2, Percentiles!$A$45:$I$59, 8, FALSE), perc_85, perc_75 + (perc_90 - perc_75) * (2/3), converted_stat, '2K_Ratings'!D964, IF(bbgm_stat &gt;= perc_95, converted_stat * 3, IF(bbgm_stat &gt;= perc_90, converted_stat * 2, IF(bbgm_stat &gt;= perc_85, converted_stat * 1.5, converted_stat)))))</f>
        <v/>
      </c>
      <c r="E964" s="30" t="str">
        <f t="array" ref="E964">IF($A964="", "", LET(bbgm_stat, INDEX(Players!$A963:$P963, MATCH(E$2, Players!$A$1:$P$1, 0)), perc_75, VLOOKUP(E$2, Percentiles!$A$45:$I$59, 6, FALSE), perc_90, VLOOKUP(E$2, Percentiles!$A$45:$I$59, 7, FALSE), perc_95, VLOOKUP(E$2, Percentiles!$A$45:$I$59, 8, FALSE), perc_85, perc_75 + (perc_90 - perc_75) * (2/3), converted_stat, '2K_Ratings'!E964, IF(bbgm_stat &gt;= perc_95, converted_stat * 3, IF(bbgm_stat &gt;= perc_90, converted_stat * 2, IF(bbgm_stat &gt;= perc_85, converted_stat * 1.5, converted_stat)))))</f>
        <v/>
      </c>
      <c r="F964" s="30" t="str">
        <f t="array" ref="F964">IF($A964="", "", LET(bbgm_stat, INDEX(Players!$A963:$P963, MATCH(F$2, Players!$A$1:$P$1, 0)), perc_75, VLOOKUP(F$2, Percentiles!$A$45:$I$59, 6, FALSE), perc_90, VLOOKUP(F$2, Percentiles!$A$45:$I$59, 7, FALSE), perc_95, VLOOKUP(F$2, Percentiles!$A$45:$I$59, 8, FALSE), perc_85, perc_75 + (perc_90 - perc_75) * (2/3), converted_stat, '2K_Ratings'!F964, IF(bbgm_stat &gt;= perc_95, converted_stat * 3, IF(bbgm_stat &gt;= perc_90, converted_stat * 2, IF(bbgm_stat &gt;= perc_85, converted_stat * 1.5, converted_stat)))))</f>
        <v/>
      </c>
      <c r="G964" s="30" t="str">
        <f t="array" ref="G964">IF($A964="", "", LET(bbgm_stat, INDEX(Players!$A963:$P963, MATCH(G$2, Players!$A$1:$P$1, 0)), perc_75, VLOOKUP(G$2, Percentiles!$A$45:$I$59, 6, FALSE), perc_90, VLOOKUP(G$2, Percentiles!$A$45:$I$59, 7, FALSE), perc_95, VLOOKUP(G$2, Percentiles!$A$45:$I$59, 8, FALSE), perc_85, perc_75 + (perc_90 - perc_75) * (2/3), converted_stat, '2K_Ratings'!G964, IF(bbgm_stat &gt;= perc_95, converted_stat * 3, IF(bbgm_stat &gt;= perc_90, converted_stat * 2, IF(bbgm_stat &gt;= perc_85, converted_stat * 1.5, converted_stat)))))</f>
        <v/>
      </c>
      <c r="H964" s="30" t="str">
        <f t="array" ref="H964">IF($A964="", "", LET(bbgm_stat, INDEX(Players!$A963:$P963, MATCH(H$2, Players!$A$1:$P$1, 0)), perc_75, VLOOKUP(H$2, Percentiles!$A$45:$I$59, 6, FALSE), perc_90, VLOOKUP(H$2, Percentiles!$A$45:$I$59, 7, FALSE), perc_95, VLOOKUP(H$2, Percentiles!$A$45:$I$59, 8, FALSE), perc_85, perc_75 + (perc_90 - perc_75) * (2/3), converted_stat, '2K_Ratings'!H964, IF(bbgm_stat &gt;= perc_95, converted_stat * 3, IF(bbgm_stat &gt;= perc_90, converted_stat * 2, IF(bbgm_stat &gt;= perc_85, converted_stat * 1.5, converted_stat)))))</f>
        <v/>
      </c>
      <c r="I964" s="30" t="str">
        <f t="array" ref="I964">IF($A964="", "", LET(bbgm_stat, INDEX(Players!$A963:$P963, MATCH(I$2, Players!$A$1:$P$1, 0)), perc_75, VLOOKUP(I$2, Percentiles!$A$45:$I$59, 6, FALSE), perc_90, VLOOKUP(I$2, Percentiles!$A$45:$I$59, 7, FALSE), perc_95, VLOOKUP(I$2, Percentiles!$A$45:$I$59, 8, FALSE), perc_85, perc_75 + (perc_90 - perc_75) * (2/3), converted_stat, '2K_Ratings'!I964, IF(bbgm_stat &gt;= perc_95, converted_stat * 3, IF(bbgm_stat &gt;= perc_90, converted_stat * 2, IF(bbgm_stat &gt;= perc_85, converted_stat * 1.5, converted_stat)))))</f>
        <v/>
      </c>
      <c r="J964" s="30" t="str">
        <f t="array" ref="J964">IF($A964="", "", LET(bbgm_stat, INDEX(Players!$A963:$P963, MATCH(J$2, Players!$A$1:$P$1, 0)), perc_75, VLOOKUP(J$2, Percentiles!$A$45:$I$59, 6, FALSE), perc_90, VLOOKUP(J$2, Percentiles!$A$45:$I$59, 7, FALSE), perc_95, VLOOKUP(J$2, Percentiles!$A$45:$I$59, 8, FALSE), perc_85, perc_75 + (perc_90 - perc_75) * (2/3), converted_stat, '2K_Ratings'!J964, IF(bbgm_stat &gt;= perc_95, converted_stat * 3, IF(bbgm_stat &gt;= perc_90, converted_stat * 2, IF(bbgm_stat &gt;= perc_85, converted_stat * 1.5, converted_stat)))))</f>
        <v/>
      </c>
      <c r="K964" s="30" t="str">
        <f t="array" ref="K964">IF($A964="", "", LET(bbgm_stat, INDEX(Players!$A963:$P963, MATCH(K$2, Players!$A$1:$P$1, 0)), perc_75, VLOOKUP(K$2, Percentiles!$A$45:$I$59, 6, FALSE), perc_90, VLOOKUP(K$2, Percentiles!$A$45:$I$59, 7, FALSE), perc_95, VLOOKUP(K$2, Percentiles!$A$45:$I$59, 8, FALSE), perc_85, perc_75 + (perc_90 - perc_75) * (2/3), converted_stat, '2K_Ratings'!K964, IF(bbgm_stat &gt;= perc_95, converted_stat * 3, IF(bbgm_stat &gt;= perc_90, converted_stat * 2, IF(bbgm_stat &gt;= perc_85, converted_stat * 1.5, converted_stat)))))</f>
        <v/>
      </c>
      <c r="L964" s="30" t="str">
        <f t="array" ref="L964">IF($A964="", "", LET(bbgm_stat, INDEX(Players!$A963:$P963, MATCH(L$2, Players!$A$1:$P$1, 0)), perc_75, VLOOKUP(L$2, Percentiles!$A$45:$I$59, 6, FALSE), perc_90, VLOOKUP(L$2, Percentiles!$A$45:$I$59, 7, FALSE), perc_95, VLOOKUP(L$2, Percentiles!$A$45:$I$59, 8, FALSE), perc_85, perc_75 + (perc_90 - perc_75) * (2/3), converted_stat, '2K_Ratings'!L964, IF(bbgm_stat &gt;= perc_95, converted_stat * 3, IF(bbgm_stat &gt;= perc_90, converted_stat * 2, IF(bbgm_stat &gt;= perc_85, converted_stat * 1.5, converted_stat)))))</f>
        <v/>
      </c>
      <c r="M964" s="30" t="str">
        <f t="array" ref="M964">IF($A964="", "", LET(bbgm_stat, INDEX(Players!$A963:$P963, MATCH(M$2, Players!$A$1:$P$1, 0)), perc_75, VLOOKUP(M$2, Percentiles!$A$45:$I$59, 6, FALSE), perc_90, VLOOKUP(M$2, Percentiles!$A$45:$I$59, 7, FALSE), perc_95, VLOOKUP(M$2, Percentiles!$A$45:$I$59, 8, FALSE), perc_85, perc_75 + (perc_90 - perc_75) * (2/3), converted_stat, '2K_Ratings'!M964, IF(bbgm_stat &gt;= perc_95, converted_stat * 3, IF(bbgm_stat &gt;= perc_90, converted_stat * 2, IF(bbgm_stat &gt;= perc_85, converted_stat * 1.5, converted_stat)))))</f>
        <v/>
      </c>
      <c r="N964" s="30" t="str">
        <f t="array" ref="N964">IF($A964="", "", LET(bbgm_stat, INDEX(Players!$A963:$P963, MATCH(N$2, Players!$A$1:$P$1, 0)), perc_75, VLOOKUP(N$2, Percentiles!$A$45:$I$59, 6, FALSE), perc_90, VLOOKUP(N$2, Percentiles!$A$45:$I$59, 7, FALSE), perc_95, VLOOKUP(N$2, Percentiles!$A$45:$I$59, 8, FALSE), perc_85, perc_75 + (perc_90 - perc_75) * (2/3), converted_stat, '2K_Ratings'!N964, IF(bbgm_stat &gt;= perc_95, converted_stat * 3, IF(bbgm_stat &gt;= perc_90, converted_stat * 2, IF(bbgm_stat &gt;= perc_85, converted_stat * 1.5, converted_stat)))))</f>
        <v/>
      </c>
      <c r="O964" s="30" t="str">
        <f t="array" ref="O964">IF($A964="", "", LET(bbgm_stat, INDEX(Players!$A963:$P963, MATCH(O$2, Players!$A$1:$P$1, 0)), perc_75, VLOOKUP(O$2, Percentiles!$A$45:$I$59, 6, FALSE), perc_90, VLOOKUP(O$2, Percentiles!$A$45:$I$59, 7, FALSE), perc_95, VLOOKUP(O$2, Percentiles!$A$45:$I$59, 8, FALSE), perc_85, perc_75 + (perc_90 - perc_75) * (2/3), converted_stat, '2K_Ratings'!O964, IF(bbgm_stat &gt;= perc_95, converted_stat * 3, IF(bbgm_stat &gt;= perc_90, converted_stat * 2, IF(bbgm_stat &gt;= perc_85, converted_stat * 1.5, converted_stat)))))</f>
        <v/>
      </c>
      <c r="P964" s="30" t="str">
        <f t="array" ref="P964">IF($A964="", "", LET(bbgm_stat, INDEX(Players!$A963:$P963, MATCH(P$2, Players!$A$1:$P$1, 0)), perc_75, VLOOKUP(P$2, Percentiles!$A$45:$I$59, 6, FALSE), perc_90, VLOOKUP(P$2, Percentiles!$A$45:$I$59, 7, FALSE), perc_95, VLOOKUP(P$2, Percentiles!$A$45:$I$59, 8, FALSE), perc_85, perc_75 + (perc_90 - perc_75) * (2/3), converted_stat, '2K_Ratings'!P964, IF(bbgm_stat &gt;= perc_95, converted_stat * 3, IF(bbgm_stat &gt;= perc_90, converted_stat * 2, IF(bbgm_stat &gt;= perc_85, converted_stat * 1.5, converted_stat)))))</f>
        <v/>
      </c>
      <c r="Q964" s="30" t="str">
        <f t="array" ref="Q964">IF($A964="", "", LET(bbgm_stat, INDEX(Players!$A963:$P963, MATCH(Q$2, Players!$A$1:$P$1, 0)), perc_75, VLOOKUP(Q$2, Percentiles!$A$45:$I$59, 6, FALSE), perc_90, VLOOKUP(Q$2, Percentiles!$A$45:$I$59, 7, FALSE), perc_95, VLOOKUP(Q$2, Percentiles!$A$45:$I$59, 8, FALSE), perc_85, perc_75 + (perc_90 - perc_75) * (2/3), converted_stat, '2K_Ratings'!Q964, IF(bbgm_stat &gt;= perc_95, converted_stat * 3, IF(bbgm_stat &gt;= perc_90, converted_stat * 2, IF(bbgm_stat &gt;= perc_85, converted_stat * 1.5, converted_stat)))))</f>
        <v/>
      </c>
      <c r="R964" s="30" t="str">
        <f t="array" ref="R964">IF($A964="", "", LET(bbgm_stat, INDEX(Players!$A963:$P963, MATCH(R$2, Players!$A$1:$P$1, 0)), perc_75, VLOOKUP(R$2, Percentiles!$A$45:$I$59, 6, FALSE), perc_90, VLOOKUP(R$2, Percentiles!$A$45:$I$59, 7, FALSE), perc_95, VLOOKUP(R$2, Percentiles!$A$45:$I$59, 8, FALSE), perc_85, perc_75 + (perc_90 - perc_75) * (2/3), converted_stat, '2K_Ratings'!R964, IF(bbgm_stat &gt;= perc_95, converted_stat * 3, IF(bbgm_stat &gt;= perc_90, converted_stat * 2, IF(bbgm_stat &gt;= perc_85, converted_stat * 1.5, converted_stat)))))</f>
        <v/>
      </c>
      <c r="S964" s="30" t="str">
        <f t="array" ref="S964">IF($A964="", "", LET(bbgm_stat, INDEX(Players!$A963:$P963, MATCH(S$2, Players!$A$1:$P$1, 0)), perc_75, VLOOKUP(S$2, Percentiles!$A$45:$I$59, 6, FALSE), perc_90, VLOOKUP(S$2, Percentiles!$A$45:$I$59, 7, FALSE), perc_95, VLOOKUP(S$2, Percentiles!$A$45:$I$59, 8, FALSE), perc_85, perc_75 + (perc_90 - perc_75) * (2/3), converted_stat, '2K_Ratings'!S964, IF(bbgm_stat &gt;= perc_95, converted_stat * 3, IF(bbgm_stat &gt;= perc_90, converted_stat * 2, IF(bbgm_stat &gt;= perc_85, converted_stat * 1.5, converted_stat)))))</f>
        <v/>
      </c>
      <c r="T964" s="30" t="str">
        <f t="array" ref="T964">IF($A964="", "", LET(bbgm_stat, INDEX(Players!$A963:$P963, MATCH(T$2, Players!$A$1:$P$1, 0)), perc_75, VLOOKUP(T$2, Percentiles!$A$45:$I$59, 6, FALSE), perc_90, VLOOKUP(T$2, Percentiles!$A$45:$I$59, 7, FALSE), perc_95, VLOOKUP(T$2, Percentiles!$A$45:$I$59, 8, FALSE), perc_85, perc_75 + (perc_90 - perc_75) * (2/3), converted_stat, '2K_Ratings'!T964, IF(bbgm_stat &gt;= perc_95, converted_stat * 3, IF(bbgm_stat &gt;= perc_90, converted_stat * 2, IF(bbgm_stat &gt;= perc_85, converted_stat * 1.5, converted_stat)))))</f>
        <v/>
      </c>
      <c r="U964" s="30" t="str">
        <f t="array" ref="U964">IF($A964="", "", LET(bbgm_stat, INDEX(Players!$A963:$P963, MATCH(U$2, Players!$A$1:$P$1, 0)), perc_75, VLOOKUP(U$2, Percentiles!$A$45:$I$59, 6, FALSE), perc_90, VLOOKUP(U$2, Percentiles!$A$45:$I$59, 7, FALSE), perc_95, VLOOKUP(U$2, Percentiles!$A$45:$I$59, 8, FALSE), perc_85, perc_75 + (perc_90 - perc_75) * (2/3), converted_stat, '2K_Ratings'!U964, IF(bbgm_stat &gt;= perc_95, converted_stat * 3, IF(bbgm_stat &gt;= perc_90, converted_stat * 2, IF(bbgm_stat &gt;= perc_85, converted_stat * 1.5, converted_stat)))))</f>
        <v/>
      </c>
      <c r="V964" s="30" t="str">
        <f t="array" ref="V964">IF($A964="", "", LET(bbgm_stat, INDEX(Players!$A963:$P963, MATCH(V$2, Players!$A$1:$P$1, 0)), perc_75, VLOOKUP(V$2, Percentiles!$A$45:$I$59, 6, FALSE), perc_90, VLOOKUP(V$2, Percentiles!$A$45:$I$59, 7, FALSE), perc_95, VLOOKUP(V$2, Percentiles!$A$45:$I$59, 8, FALSE), perc_85, perc_75 + (perc_90 - perc_75) * (2/3), converted_stat, '2K_Ratings'!V964, IF(bbgm_stat &gt;= perc_95, converted_stat * 3, IF(bbgm_stat &gt;= perc_90, converted_stat * 2, IF(bbgm_stat &gt;= perc_85, converted_stat * 1.5, converted_stat)))))</f>
        <v/>
      </c>
      <c r="W964" s="30" t="str">
        <f t="array" ref="W964">IF($A964="", "", LET(bbgm_stat, INDEX(Players!$A963:$P963, MATCH(W$2, Players!$A$1:$P$1, 0)), perc_75, VLOOKUP(W$2, Percentiles!$A$45:$I$59, 6, FALSE), perc_90, VLOOKUP(W$2, Percentiles!$A$45:$I$59, 7, FALSE), perc_95, VLOOKUP(W$2, Percentiles!$A$45:$I$59, 8, FALSE), perc_85, perc_75 + (perc_90 - perc_75) * (2/3), converted_stat, '2K_Ratings'!W964, IF(bbgm_stat &gt;= perc_95, converted_stat * 3, IF(bbgm_stat &gt;= perc_90, converted_stat * 2, IF(bbgm_stat &gt;= perc_85, converted_stat * 1.5, converted_stat)))))</f>
        <v/>
      </c>
    </row>
    <row r="965">
      <c r="A965" s="30"/>
      <c r="B965" s="30" t="str">
        <f t="array" ref="B965">IF($A965="", "", LET(bbgm_stat, INDEX(Players!$A964:$P964, MATCH(B$2, Players!$A$1:$P$1, 0)), perc_75, VLOOKUP(B$2, Percentiles!$A$45:$I$59, 6, FALSE), perc_90, VLOOKUP(B$2, Percentiles!$A$45:$I$59, 7, FALSE), perc_95, VLOOKUP(B$2, Percentiles!$A$45:$I$59, 8, FALSE), perc_85, perc_75 + (perc_90 - perc_75) * (2/3), converted_stat, '2K_Ratings'!B965, IF(bbgm_stat &gt;= perc_95, converted_stat * 3, IF(bbgm_stat &gt;= perc_90, converted_stat * 2, IF(bbgm_stat &gt;= perc_85, converted_stat * 1.5, converted_stat)))))</f>
        <v/>
      </c>
      <c r="C965" s="30" t="str">
        <f t="array" ref="C965">IF($A965="", "", LET(bbgm_stat, INDEX(Players!$A964:$P964, MATCH(C$2, Players!$A$1:$P$1, 0)), perc_75, VLOOKUP(C$2, Percentiles!$A$45:$I$59, 6, FALSE), perc_90, VLOOKUP(C$2, Percentiles!$A$45:$I$59, 7, FALSE), perc_95, VLOOKUP(C$2, Percentiles!$A$45:$I$59, 8, FALSE), perc_85, perc_75 + (perc_90 - perc_75) * (2/3), converted_stat, '2K_Ratings'!C965, IF(bbgm_stat &gt;= perc_95, converted_stat * 3, IF(bbgm_stat &gt;= perc_90, converted_stat * 2, IF(bbgm_stat &gt;= perc_85, converted_stat * 1.5, converted_stat)))))</f>
        <v/>
      </c>
      <c r="D965" s="30" t="str">
        <f t="array" ref="D965">IF($A965="", "", LET(bbgm_stat, INDEX(Players!$A964:$P964, MATCH(D$2, Players!$A$1:$P$1, 0)), perc_75, VLOOKUP(D$2, Percentiles!$A$45:$I$59, 6, FALSE), perc_90, VLOOKUP(D$2, Percentiles!$A$45:$I$59, 7, FALSE), perc_95, VLOOKUP(D$2, Percentiles!$A$45:$I$59, 8, FALSE), perc_85, perc_75 + (perc_90 - perc_75) * (2/3), converted_stat, '2K_Ratings'!D965, IF(bbgm_stat &gt;= perc_95, converted_stat * 3, IF(bbgm_stat &gt;= perc_90, converted_stat * 2, IF(bbgm_stat &gt;= perc_85, converted_stat * 1.5, converted_stat)))))</f>
        <v/>
      </c>
      <c r="E965" s="30" t="str">
        <f t="array" ref="E965">IF($A965="", "", LET(bbgm_stat, INDEX(Players!$A964:$P964, MATCH(E$2, Players!$A$1:$P$1, 0)), perc_75, VLOOKUP(E$2, Percentiles!$A$45:$I$59, 6, FALSE), perc_90, VLOOKUP(E$2, Percentiles!$A$45:$I$59, 7, FALSE), perc_95, VLOOKUP(E$2, Percentiles!$A$45:$I$59, 8, FALSE), perc_85, perc_75 + (perc_90 - perc_75) * (2/3), converted_stat, '2K_Ratings'!E965, IF(bbgm_stat &gt;= perc_95, converted_stat * 3, IF(bbgm_stat &gt;= perc_90, converted_stat * 2, IF(bbgm_stat &gt;= perc_85, converted_stat * 1.5, converted_stat)))))</f>
        <v/>
      </c>
      <c r="F965" s="30" t="str">
        <f t="array" ref="F965">IF($A965="", "", LET(bbgm_stat, INDEX(Players!$A964:$P964, MATCH(F$2, Players!$A$1:$P$1, 0)), perc_75, VLOOKUP(F$2, Percentiles!$A$45:$I$59, 6, FALSE), perc_90, VLOOKUP(F$2, Percentiles!$A$45:$I$59, 7, FALSE), perc_95, VLOOKUP(F$2, Percentiles!$A$45:$I$59, 8, FALSE), perc_85, perc_75 + (perc_90 - perc_75) * (2/3), converted_stat, '2K_Ratings'!F965, IF(bbgm_stat &gt;= perc_95, converted_stat * 3, IF(bbgm_stat &gt;= perc_90, converted_stat * 2, IF(bbgm_stat &gt;= perc_85, converted_stat * 1.5, converted_stat)))))</f>
        <v/>
      </c>
      <c r="G965" s="30" t="str">
        <f t="array" ref="G965">IF($A965="", "", LET(bbgm_stat, INDEX(Players!$A964:$P964, MATCH(G$2, Players!$A$1:$P$1, 0)), perc_75, VLOOKUP(G$2, Percentiles!$A$45:$I$59, 6, FALSE), perc_90, VLOOKUP(G$2, Percentiles!$A$45:$I$59, 7, FALSE), perc_95, VLOOKUP(G$2, Percentiles!$A$45:$I$59, 8, FALSE), perc_85, perc_75 + (perc_90 - perc_75) * (2/3), converted_stat, '2K_Ratings'!G965, IF(bbgm_stat &gt;= perc_95, converted_stat * 3, IF(bbgm_stat &gt;= perc_90, converted_stat * 2, IF(bbgm_stat &gt;= perc_85, converted_stat * 1.5, converted_stat)))))</f>
        <v/>
      </c>
      <c r="H965" s="30" t="str">
        <f t="array" ref="H965">IF($A965="", "", LET(bbgm_stat, INDEX(Players!$A964:$P964, MATCH(H$2, Players!$A$1:$P$1, 0)), perc_75, VLOOKUP(H$2, Percentiles!$A$45:$I$59, 6, FALSE), perc_90, VLOOKUP(H$2, Percentiles!$A$45:$I$59, 7, FALSE), perc_95, VLOOKUP(H$2, Percentiles!$A$45:$I$59, 8, FALSE), perc_85, perc_75 + (perc_90 - perc_75) * (2/3), converted_stat, '2K_Ratings'!H965, IF(bbgm_stat &gt;= perc_95, converted_stat * 3, IF(bbgm_stat &gt;= perc_90, converted_stat * 2, IF(bbgm_stat &gt;= perc_85, converted_stat * 1.5, converted_stat)))))</f>
        <v/>
      </c>
      <c r="I965" s="30" t="str">
        <f t="array" ref="I965">IF($A965="", "", LET(bbgm_stat, INDEX(Players!$A964:$P964, MATCH(I$2, Players!$A$1:$P$1, 0)), perc_75, VLOOKUP(I$2, Percentiles!$A$45:$I$59, 6, FALSE), perc_90, VLOOKUP(I$2, Percentiles!$A$45:$I$59, 7, FALSE), perc_95, VLOOKUP(I$2, Percentiles!$A$45:$I$59, 8, FALSE), perc_85, perc_75 + (perc_90 - perc_75) * (2/3), converted_stat, '2K_Ratings'!I965, IF(bbgm_stat &gt;= perc_95, converted_stat * 3, IF(bbgm_stat &gt;= perc_90, converted_stat * 2, IF(bbgm_stat &gt;= perc_85, converted_stat * 1.5, converted_stat)))))</f>
        <v/>
      </c>
      <c r="J965" s="30" t="str">
        <f t="array" ref="J965">IF($A965="", "", LET(bbgm_stat, INDEX(Players!$A964:$P964, MATCH(J$2, Players!$A$1:$P$1, 0)), perc_75, VLOOKUP(J$2, Percentiles!$A$45:$I$59, 6, FALSE), perc_90, VLOOKUP(J$2, Percentiles!$A$45:$I$59, 7, FALSE), perc_95, VLOOKUP(J$2, Percentiles!$A$45:$I$59, 8, FALSE), perc_85, perc_75 + (perc_90 - perc_75) * (2/3), converted_stat, '2K_Ratings'!J965, IF(bbgm_stat &gt;= perc_95, converted_stat * 3, IF(bbgm_stat &gt;= perc_90, converted_stat * 2, IF(bbgm_stat &gt;= perc_85, converted_stat * 1.5, converted_stat)))))</f>
        <v/>
      </c>
      <c r="K965" s="30" t="str">
        <f t="array" ref="K965">IF($A965="", "", LET(bbgm_stat, INDEX(Players!$A964:$P964, MATCH(K$2, Players!$A$1:$P$1, 0)), perc_75, VLOOKUP(K$2, Percentiles!$A$45:$I$59, 6, FALSE), perc_90, VLOOKUP(K$2, Percentiles!$A$45:$I$59, 7, FALSE), perc_95, VLOOKUP(K$2, Percentiles!$A$45:$I$59, 8, FALSE), perc_85, perc_75 + (perc_90 - perc_75) * (2/3), converted_stat, '2K_Ratings'!K965, IF(bbgm_stat &gt;= perc_95, converted_stat * 3, IF(bbgm_stat &gt;= perc_90, converted_stat * 2, IF(bbgm_stat &gt;= perc_85, converted_stat * 1.5, converted_stat)))))</f>
        <v/>
      </c>
      <c r="L965" s="30" t="str">
        <f t="array" ref="L965">IF($A965="", "", LET(bbgm_stat, INDEX(Players!$A964:$P964, MATCH(L$2, Players!$A$1:$P$1, 0)), perc_75, VLOOKUP(L$2, Percentiles!$A$45:$I$59, 6, FALSE), perc_90, VLOOKUP(L$2, Percentiles!$A$45:$I$59, 7, FALSE), perc_95, VLOOKUP(L$2, Percentiles!$A$45:$I$59, 8, FALSE), perc_85, perc_75 + (perc_90 - perc_75) * (2/3), converted_stat, '2K_Ratings'!L965, IF(bbgm_stat &gt;= perc_95, converted_stat * 3, IF(bbgm_stat &gt;= perc_90, converted_stat * 2, IF(bbgm_stat &gt;= perc_85, converted_stat * 1.5, converted_stat)))))</f>
        <v/>
      </c>
      <c r="M965" s="30" t="str">
        <f t="array" ref="M965">IF($A965="", "", LET(bbgm_stat, INDEX(Players!$A964:$P964, MATCH(M$2, Players!$A$1:$P$1, 0)), perc_75, VLOOKUP(M$2, Percentiles!$A$45:$I$59, 6, FALSE), perc_90, VLOOKUP(M$2, Percentiles!$A$45:$I$59, 7, FALSE), perc_95, VLOOKUP(M$2, Percentiles!$A$45:$I$59, 8, FALSE), perc_85, perc_75 + (perc_90 - perc_75) * (2/3), converted_stat, '2K_Ratings'!M965, IF(bbgm_stat &gt;= perc_95, converted_stat * 3, IF(bbgm_stat &gt;= perc_90, converted_stat * 2, IF(bbgm_stat &gt;= perc_85, converted_stat * 1.5, converted_stat)))))</f>
        <v/>
      </c>
      <c r="N965" s="30" t="str">
        <f t="array" ref="N965">IF($A965="", "", LET(bbgm_stat, INDEX(Players!$A964:$P964, MATCH(N$2, Players!$A$1:$P$1, 0)), perc_75, VLOOKUP(N$2, Percentiles!$A$45:$I$59, 6, FALSE), perc_90, VLOOKUP(N$2, Percentiles!$A$45:$I$59, 7, FALSE), perc_95, VLOOKUP(N$2, Percentiles!$A$45:$I$59, 8, FALSE), perc_85, perc_75 + (perc_90 - perc_75) * (2/3), converted_stat, '2K_Ratings'!N965, IF(bbgm_stat &gt;= perc_95, converted_stat * 3, IF(bbgm_stat &gt;= perc_90, converted_stat * 2, IF(bbgm_stat &gt;= perc_85, converted_stat * 1.5, converted_stat)))))</f>
        <v/>
      </c>
      <c r="O965" s="30" t="str">
        <f t="array" ref="O965">IF($A965="", "", LET(bbgm_stat, INDEX(Players!$A964:$P964, MATCH(O$2, Players!$A$1:$P$1, 0)), perc_75, VLOOKUP(O$2, Percentiles!$A$45:$I$59, 6, FALSE), perc_90, VLOOKUP(O$2, Percentiles!$A$45:$I$59, 7, FALSE), perc_95, VLOOKUP(O$2, Percentiles!$A$45:$I$59, 8, FALSE), perc_85, perc_75 + (perc_90 - perc_75) * (2/3), converted_stat, '2K_Ratings'!O965, IF(bbgm_stat &gt;= perc_95, converted_stat * 3, IF(bbgm_stat &gt;= perc_90, converted_stat * 2, IF(bbgm_stat &gt;= perc_85, converted_stat * 1.5, converted_stat)))))</f>
        <v/>
      </c>
      <c r="P965" s="30" t="str">
        <f t="array" ref="P965">IF($A965="", "", LET(bbgm_stat, INDEX(Players!$A964:$P964, MATCH(P$2, Players!$A$1:$P$1, 0)), perc_75, VLOOKUP(P$2, Percentiles!$A$45:$I$59, 6, FALSE), perc_90, VLOOKUP(P$2, Percentiles!$A$45:$I$59, 7, FALSE), perc_95, VLOOKUP(P$2, Percentiles!$A$45:$I$59, 8, FALSE), perc_85, perc_75 + (perc_90 - perc_75) * (2/3), converted_stat, '2K_Ratings'!P965, IF(bbgm_stat &gt;= perc_95, converted_stat * 3, IF(bbgm_stat &gt;= perc_90, converted_stat * 2, IF(bbgm_stat &gt;= perc_85, converted_stat * 1.5, converted_stat)))))</f>
        <v/>
      </c>
      <c r="Q965" s="30" t="str">
        <f t="array" ref="Q965">IF($A965="", "", LET(bbgm_stat, INDEX(Players!$A964:$P964, MATCH(Q$2, Players!$A$1:$P$1, 0)), perc_75, VLOOKUP(Q$2, Percentiles!$A$45:$I$59, 6, FALSE), perc_90, VLOOKUP(Q$2, Percentiles!$A$45:$I$59, 7, FALSE), perc_95, VLOOKUP(Q$2, Percentiles!$A$45:$I$59, 8, FALSE), perc_85, perc_75 + (perc_90 - perc_75) * (2/3), converted_stat, '2K_Ratings'!Q965, IF(bbgm_stat &gt;= perc_95, converted_stat * 3, IF(bbgm_stat &gt;= perc_90, converted_stat * 2, IF(bbgm_stat &gt;= perc_85, converted_stat * 1.5, converted_stat)))))</f>
        <v/>
      </c>
      <c r="R965" s="30" t="str">
        <f t="array" ref="R965">IF($A965="", "", LET(bbgm_stat, INDEX(Players!$A964:$P964, MATCH(R$2, Players!$A$1:$P$1, 0)), perc_75, VLOOKUP(R$2, Percentiles!$A$45:$I$59, 6, FALSE), perc_90, VLOOKUP(R$2, Percentiles!$A$45:$I$59, 7, FALSE), perc_95, VLOOKUP(R$2, Percentiles!$A$45:$I$59, 8, FALSE), perc_85, perc_75 + (perc_90 - perc_75) * (2/3), converted_stat, '2K_Ratings'!R965, IF(bbgm_stat &gt;= perc_95, converted_stat * 3, IF(bbgm_stat &gt;= perc_90, converted_stat * 2, IF(bbgm_stat &gt;= perc_85, converted_stat * 1.5, converted_stat)))))</f>
        <v/>
      </c>
      <c r="S965" s="30" t="str">
        <f t="array" ref="S965">IF($A965="", "", LET(bbgm_stat, INDEX(Players!$A964:$P964, MATCH(S$2, Players!$A$1:$P$1, 0)), perc_75, VLOOKUP(S$2, Percentiles!$A$45:$I$59, 6, FALSE), perc_90, VLOOKUP(S$2, Percentiles!$A$45:$I$59, 7, FALSE), perc_95, VLOOKUP(S$2, Percentiles!$A$45:$I$59, 8, FALSE), perc_85, perc_75 + (perc_90 - perc_75) * (2/3), converted_stat, '2K_Ratings'!S965, IF(bbgm_stat &gt;= perc_95, converted_stat * 3, IF(bbgm_stat &gt;= perc_90, converted_stat * 2, IF(bbgm_stat &gt;= perc_85, converted_stat * 1.5, converted_stat)))))</f>
        <v/>
      </c>
      <c r="T965" s="30" t="str">
        <f t="array" ref="T965">IF($A965="", "", LET(bbgm_stat, INDEX(Players!$A964:$P964, MATCH(T$2, Players!$A$1:$P$1, 0)), perc_75, VLOOKUP(T$2, Percentiles!$A$45:$I$59, 6, FALSE), perc_90, VLOOKUP(T$2, Percentiles!$A$45:$I$59, 7, FALSE), perc_95, VLOOKUP(T$2, Percentiles!$A$45:$I$59, 8, FALSE), perc_85, perc_75 + (perc_90 - perc_75) * (2/3), converted_stat, '2K_Ratings'!T965, IF(bbgm_stat &gt;= perc_95, converted_stat * 3, IF(bbgm_stat &gt;= perc_90, converted_stat * 2, IF(bbgm_stat &gt;= perc_85, converted_stat * 1.5, converted_stat)))))</f>
        <v/>
      </c>
      <c r="U965" s="30" t="str">
        <f t="array" ref="U965">IF($A965="", "", LET(bbgm_stat, INDEX(Players!$A964:$P964, MATCH(U$2, Players!$A$1:$P$1, 0)), perc_75, VLOOKUP(U$2, Percentiles!$A$45:$I$59, 6, FALSE), perc_90, VLOOKUP(U$2, Percentiles!$A$45:$I$59, 7, FALSE), perc_95, VLOOKUP(U$2, Percentiles!$A$45:$I$59, 8, FALSE), perc_85, perc_75 + (perc_90 - perc_75) * (2/3), converted_stat, '2K_Ratings'!U965, IF(bbgm_stat &gt;= perc_95, converted_stat * 3, IF(bbgm_stat &gt;= perc_90, converted_stat * 2, IF(bbgm_stat &gt;= perc_85, converted_stat * 1.5, converted_stat)))))</f>
        <v/>
      </c>
      <c r="V965" s="30" t="str">
        <f t="array" ref="V965">IF($A965="", "", LET(bbgm_stat, INDEX(Players!$A964:$P964, MATCH(V$2, Players!$A$1:$P$1, 0)), perc_75, VLOOKUP(V$2, Percentiles!$A$45:$I$59, 6, FALSE), perc_90, VLOOKUP(V$2, Percentiles!$A$45:$I$59, 7, FALSE), perc_95, VLOOKUP(V$2, Percentiles!$A$45:$I$59, 8, FALSE), perc_85, perc_75 + (perc_90 - perc_75) * (2/3), converted_stat, '2K_Ratings'!V965, IF(bbgm_stat &gt;= perc_95, converted_stat * 3, IF(bbgm_stat &gt;= perc_90, converted_stat * 2, IF(bbgm_stat &gt;= perc_85, converted_stat * 1.5, converted_stat)))))</f>
        <v/>
      </c>
      <c r="W965" s="30" t="str">
        <f t="array" ref="W965">IF($A965="", "", LET(bbgm_stat, INDEX(Players!$A964:$P964, MATCH(W$2, Players!$A$1:$P$1, 0)), perc_75, VLOOKUP(W$2, Percentiles!$A$45:$I$59, 6, FALSE), perc_90, VLOOKUP(W$2, Percentiles!$A$45:$I$59, 7, FALSE), perc_95, VLOOKUP(W$2, Percentiles!$A$45:$I$59, 8, FALSE), perc_85, perc_75 + (perc_90 - perc_75) * (2/3), converted_stat, '2K_Ratings'!W965, IF(bbgm_stat &gt;= perc_95, converted_stat * 3, IF(bbgm_stat &gt;= perc_90, converted_stat * 2, IF(bbgm_stat &gt;= perc_85, converted_stat * 1.5, converted_stat)))))</f>
        <v/>
      </c>
    </row>
    <row r="966">
      <c r="A966" s="30"/>
      <c r="B966" s="30" t="str">
        <f t="array" ref="B966">IF($A966="", "", LET(bbgm_stat, INDEX(Players!$A965:$P965, MATCH(B$2, Players!$A$1:$P$1, 0)), perc_75, VLOOKUP(B$2, Percentiles!$A$45:$I$59, 6, FALSE), perc_90, VLOOKUP(B$2, Percentiles!$A$45:$I$59, 7, FALSE), perc_95, VLOOKUP(B$2, Percentiles!$A$45:$I$59, 8, FALSE), perc_85, perc_75 + (perc_90 - perc_75) * (2/3), converted_stat, '2K_Ratings'!B966, IF(bbgm_stat &gt;= perc_95, converted_stat * 3, IF(bbgm_stat &gt;= perc_90, converted_stat * 2, IF(bbgm_stat &gt;= perc_85, converted_stat * 1.5, converted_stat)))))</f>
        <v/>
      </c>
      <c r="C966" s="30" t="str">
        <f t="array" ref="C966">IF($A966="", "", LET(bbgm_stat, INDEX(Players!$A965:$P965, MATCH(C$2, Players!$A$1:$P$1, 0)), perc_75, VLOOKUP(C$2, Percentiles!$A$45:$I$59, 6, FALSE), perc_90, VLOOKUP(C$2, Percentiles!$A$45:$I$59, 7, FALSE), perc_95, VLOOKUP(C$2, Percentiles!$A$45:$I$59, 8, FALSE), perc_85, perc_75 + (perc_90 - perc_75) * (2/3), converted_stat, '2K_Ratings'!C966, IF(bbgm_stat &gt;= perc_95, converted_stat * 3, IF(bbgm_stat &gt;= perc_90, converted_stat * 2, IF(bbgm_stat &gt;= perc_85, converted_stat * 1.5, converted_stat)))))</f>
        <v/>
      </c>
      <c r="D966" s="30" t="str">
        <f t="array" ref="D966">IF($A966="", "", LET(bbgm_stat, INDEX(Players!$A965:$P965, MATCH(D$2, Players!$A$1:$P$1, 0)), perc_75, VLOOKUP(D$2, Percentiles!$A$45:$I$59, 6, FALSE), perc_90, VLOOKUP(D$2, Percentiles!$A$45:$I$59, 7, FALSE), perc_95, VLOOKUP(D$2, Percentiles!$A$45:$I$59, 8, FALSE), perc_85, perc_75 + (perc_90 - perc_75) * (2/3), converted_stat, '2K_Ratings'!D966, IF(bbgm_stat &gt;= perc_95, converted_stat * 3, IF(bbgm_stat &gt;= perc_90, converted_stat * 2, IF(bbgm_stat &gt;= perc_85, converted_stat * 1.5, converted_stat)))))</f>
        <v/>
      </c>
      <c r="E966" s="30" t="str">
        <f t="array" ref="E966">IF($A966="", "", LET(bbgm_stat, INDEX(Players!$A965:$P965, MATCH(E$2, Players!$A$1:$P$1, 0)), perc_75, VLOOKUP(E$2, Percentiles!$A$45:$I$59, 6, FALSE), perc_90, VLOOKUP(E$2, Percentiles!$A$45:$I$59, 7, FALSE), perc_95, VLOOKUP(E$2, Percentiles!$A$45:$I$59, 8, FALSE), perc_85, perc_75 + (perc_90 - perc_75) * (2/3), converted_stat, '2K_Ratings'!E966, IF(bbgm_stat &gt;= perc_95, converted_stat * 3, IF(bbgm_stat &gt;= perc_90, converted_stat * 2, IF(bbgm_stat &gt;= perc_85, converted_stat * 1.5, converted_stat)))))</f>
        <v/>
      </c>
      <c r="F966" s="30" t="str">
        <f t="array" ref="F966">IF($A966="", "", LET(bbgm_stat, INDEX(Players!$A965:$P965, MATCH(F$2, Players!$A$1:$P$1, 0)), perc_75, VLOOKUP(F$2, Percentiles!$A$45:$I$59, 6, FALSE), perc_90, VLOOKUP(F$2, Percentiles!$A$45:$I$59, 7, FALSE), perc_95, VLOOKUP(F$2, Percentiles!$A$45:$I$59, 8, FALSE), perc_85, perc_75 + (perc_90 - perc_75) * (2/3), converted_stat, '2K_Ratings'!F966, IF(bbgm_stat &gt;= perc_95, converted_stat * 3, IF(bbgm_stat &gt;= perc_90, converted_stat * 2, IF(bbgm_stat &gt;= perc_85, converted_stat * 1.5, converted_stat)))))</f>
        <v/>
      </c>
      <c r="G966" s="30" t="str">
        <f t="array" ref="G966">IF($A966="", "", LET(bbgm_stat, INDEX(Players!$A965:$P965, MATCH(G$2, Players!$A$1:$P$1, 0)), perc_75, VLOOKUP(G$2, Percentiles!$A$45:$I$59, 6, FALSE), perc_90, VLOOKUP(G$2, Percentiles!$A$45:$I$59, 7, FALSE), perc_95, VLOOKUP(G$2, Percentiles!$A$45:$I$59, 8, FALSE), perc_85, perc_75 + (perc_90 - perc_75) * (2/3), converted_stat, '2K_Ratings'!G966, IF(bbgm_stat &gt;= perc_95, converted_stat * 3, IF(bbgm_stat &gt;= perc_90, converted_stat * 2, IF(bbgm_stat &gt;= perc_85, converted_stat * 1.5, converted_stat)))))</f>
        <v/>
      </c>
      <c r="H966" s="30" t="str">
        <f t="array" ref="H966">IF($A966="", "", LET(bbgm_stat, INDEX(Players!$A965:$P965, MATCH(H$2, Players!$A$1:$P$1, 0)), perc_75, VLOOKUP(H$2, Percentiles!$A$45:$I$59, 6, FALSE), perc_90, VLOOKUP(H$2, Percentiles!$A$45:$I$59, 7, FALSE), perc_95, VLOOKUP(H$2, Percentiles!$A$45:$I$59, 8, FALSE), perc_85, perc_75 + (perc_90 - perc_75) * (2/3), converted_stat, '2K_Ratings'!H966, IF(bbgm_stat &gt;= perc_95, converted_stat * 3, IF(bbgm_stat &gt;= perc_90, converted_stat * 2, IF(bbgm_stat &gt;= perc_85, converted_stat * 1.5, converted_stat)))))</f>
        <v/>
      </c>
      <c r="I966" s="30" t="str">
        <f t="array" ref="I966">IF($A966="", "", LET(bbgm_stat, INDEX(Players!$A965:$P965, MATCH(I$2, Players!$A$1:$P$1, 0)), perc_75, VLOOKUP(I$2, Percentiles!$A$45:$I$59, 6, FALSE), perc_90, VLOOKUP(I$2, Percentiles!$A$45:$I$59, 7, FALSE), perc_95, VLOOKUP(I$2, Percentiles!$A$45:$I$59, 8, FALSE), perc_85, perc_75 + (perc_90 - perc_75) * (2/3), converted_stat, '2K_Ratings'!I966, IF(bbgm_stat &gt;= perc_95, converted_stat * 3, IF(bbgm_stat &gt;= perc_90, converted_stat * 2, IF(bbgm_stat &gt;= perc_85, converted_stat * 1.5, converted_stat)))))</f>
        <v/>
      </c>
      <c r="J966" s="30" t="str">
        <f t="array" ref="J966">IF($A966="", "", LET(bbgm_stat, INDEX(Players!$A965:$P965, MATCH(J$2, Players!$A$1:$P$1, 0)), perc_75, VLOOKUP(J$2, Percentiles!$A$45:$I$59, 6, FALSE), perc_90, VLOOKUP(J$2, Percentiles!$A$45:$I$59, 7, FALSE), perc_95, VLOOKUP(J$2, Percentiles!$A$45:$I$59, 8, FALSE), perc_85, perc_75 + (perc_90 - perc_75) * (2/3), converted_stat, '2K_Ratings'!J966, IF(bbgm_stat &gt;= perc_95, converted_stat * 3, IF(bbgm_stat &gt;= perc_90, converted_stat * 2, IF(bbgm_stat &gt;= perc_85, converted_stat * 1.5, converted_stat)))))</f>
        <v/>
      </c>
      <c r="K966" s="30" t="str">
        <f t="array" ref="K966">IF($A966="", "", LET(bbgm_stat, INDEX(Players!$A965:$P965, MATCH(K$2, Players!$A$1:$P$1, 0)), perc_75, VLOOKUP(K$2, Percentiles!$A$45:$I$59, 6, FALSE), perc_90, VLOOKUP(K$2, Percentiles!$A$45:$I$59, 7, FALSE), perc_95, VLOOKUP(K$2, Percentiles!$A$45:$I$59, 8, FALSE), perc_85, perc_75 + (perc_90 - perc_75) * (2/3), converted_stat, '2K_Ratings'!K966, IF(bbgm_stat &gt;= perc_95, converted_stat * 3, IF(bbgm_stat &gt;= perc_90, converted_stat * 2, IF(bbgm_stat &gt;= perc_85, converted_stat * 1.5, converted_stat)))))</f>
        <v/>
      </c>
      <c r="L966" s="30" t="str">
        <f t="array" ref="L966">IF($A966="", "", LET(bbgm_stat, INDEX(Players!$A965:$P965, MATCH(L$2, Players!$A$1:$P$1, 0)), perc_75, VLOOKUP(L$2, Percentiles!$A$45:$I$59, 6, FALSE), perc_90, VLOOKUP(L$2, Percentiles!$A$45:$I$59, 7, FALSE), perc_95, VLOOKUP(L$2, Percentiles!$A$45:$I$59, 8, FALSE), perc_85, perc_75 + (perc_90 - perc_75) * (2/3), converted_stat, '2K_Ratings'!L966, IF(bbgm_stat &gt;= perc_95, converted_stat * 3, IF(bbgm_stat &gt;= perc_90, converted_stat * 2, IF(bbgm_stat &gt;= perc_85, converted_stat * 1.5, converted_stat)))))</f>
        <v/>
      </c>
      <c r="M966" s="30" t="str">
        <f t="array" ref="M966">IF($A966="", "", LET(bbgm_stat, INDEX(Players!$A965:$P965, MATCH(M$2, Players!$A$1:$P$1, 0)), perc_75, VLOOKUP(M$2, Percentiles!$A$45:$I$59, 6, FALSE), perc_90, VLOOKUP(M$2, Percentiles!$A$45:$I$59, 7, FALSE), perc_95, VLOOKUP(M$2, Percentiles!$A$45:$I$59, 8, FALSE), perc_85, perc_75 + (perc_90 - perc_75) * (2/3), converted_stat, '2K_Ratings'!M966, IF(bbgm_stat &gt;= perc_95, converted_stat * 3, IF(bbgm_stat &gt;= perc_90, converted_stat * 2, IF(bbgm_stat &gt;= perc_85, converted_stat * 1.5, converted_stat)))))</f>
        <v/>
      </c>
      <c r="N966" s="30" t="str">
        <f t="array" ref="N966">IF($A966="", "", LET(bbgm_stat, INDEX(Players!$A965:$P965, MATCH(N$2, Players!$A$1:$P$1, 0)), perc_75, VLOOKUP(N$2, Percentiles!$A$45:$I$59, 6, FALSE), perc_90, VLOOKUP(N$2, Percentiles!$A$45:$I$59, 7, FALSE), perc_95, VLOOKUP(N$2, Percentiles!$A$45:$I$59, 8, FALSE), perc_85, perc_75 + (perc_90 - perc_75) * (2/3), converted_stat, '2K_Ratings'!N966, IF(bbgm_stat &gt;= perc_95, converted_stat * 3, IF(bbgm_stat &gt;= perc_90, converted_stat * 2, IF(bbgm_stat &gt;= perc_85, converted_stat * 1.5, converted_stat)))))</f>
        <v/>
      </c>
      <c r="O966" s="30" t="str">
        <f t="array" ref="O966">IF($A966="", "", LET(bbgm_stat, INDEX(Players!$A965:$P965, MATCH(O$2, Players!$A$1:$P$1, 0)), perc_75, VLOOKUP(O$2, Percentiles!$A$45:$I$59, 6, FALSE), perc_90, VLOOKUP(O$2, Percentiles!$A$45:$I$59, 7, FALSE), perc_95, VLOOKUP(O$2, Percentiles!$A$45:$I$59, 8, FALSE), perc_85, perc_75 + (perc_90 - perc_75) * (2/3), converted_stat, '2K_Ratings'!O966, IF(bbgm_stat &gt;= perc_95, converted_stat * 3, IF(bbgm_stat &gt;= perc_90, converted_stat * 2, IF(bbgm_stat &gt;= perc_85, converted_stat * 1.5, converted_stat)))))</f>
        <v/>
      </c>
      <c r="P966" s="30" t="str">
        <f t="array" ref="P966">IF($A966="", "", LET(bbgm_stat, INDEX(Players!$A965:$P965, MATCH(P$2, Players!$A$1:$P$1, 0)), perc_75, VLOOKUP(P$2, Percentiles!$A$45:$I$59, 6, FALSE), perc_90, VLOOKUP(P$2, Percentiles!$A$45:$I$59, 7, FALSE), perc_95, VLOOKUP(P$2, Percentiles!$A$45:$I$59, 8, FALSE), perc_85, perc_75 + (perc_90 - perc_75) * (2/3), converted_stat, '2K_Ratings'!P966, IF(bbgm_stat &gt;= perc_95, converted_stat * 3, IF(bbgm_stat &gt;= perc_90, converted_stat * 2, IF(bbgm_stat &gt;= perc_85, converted_stat * 1.5, converted_stat)))))</f>
        <v/>
      </c>
      <c r="Q966" s="30" t="str">
        <f t="array" ref="Q966">IF($A966="", "", LET(bbgm_stat, INDEX(Players!$A965:$P965, MATCH(Q$2, Players!$A$1:$P$1, 0)), perc_75, VLOOKUP(Q$2, Percentiles!$A$45:$I$59, 6, FALSE), perc_90, VLOOKUP(Q$2, Percentiles!$A$45:$I$59, 7, FALSE), perc_95, VLOOKUP(Q$2, Percentiles!$A$45:$I$59, 8, FALSE), perc_85, perc_75 + (perc_90 - perc_75) * (2/3), converted_stat, '2K_Ratings'!Q966, IF(bbgm_stat &gt;= perc_95, converted_stat * 3, IF(bbgm_stat &gt;= perc_90, converted_stat * 2, IF(bbgm_stat &gt;= perc_85, converted_stat * 1.5, converted_stat)))))</f>
        <v/>
      </c>
      <c r="R966" s="30" t="str">
        <f t="array" ref="R966">IF($A966="", "", LET(bbgm_stat, INDEX(Players!$A965:$P965, MATCH(R$2, Players!$A$1:$P$1, 0)), perc_75, VLOOKUP(R$2, Percentiles!$A$45:$I$59, 6, FALSE), perc_90, VLOOKUP(R$2, Percentiles!$A$45:$I$59, 7, FALSE), perc_95, VLOOKUP(R$2, Percentiles!$A$45:$I$59, 8, FALSE), perc_85, perc_75 + (perc_90 - perc_75) * (2/3), converted_stat, '2K_Ratings'!R966, IF(bbgm_stat &gt;= perc_95, converted_stat * 3, IF(bbgm_stat &gt;= perc_90, converted_stat * 2, IF(bbgm_stat &gt;= perc_85, converted_stat * 1.5, converted_stat)))))</f>
        <v/>
      </c>
      <c r="S966" s="30" t="str">
        <f t="array" ref="S966">IF($A966="", "", LET(bbgm_stat, INDEX(Players!$A965:$P965, MATCH(S$2, Players!$A$1:$P$1, 0)), perc_75, VLOOKUP(S$2, Percentiles!$A$45:$I$59, 6, FALSE), perc_90, VLOOKUP(S$2, Percentiles!$A$45:$I$59, 7, FALSE), perc_95, VLOOKUP(S$2, Percentiles!$A$45:$I$59, 8, FALSE), perc_85, perc_75 + (perc_90 - perc_75) * (2/3), converted_stat, '2K_Ratings'!S966, IF(bbgm_stat &gt;= perc_95, converted_stat * 3, IF(bbgm_stat &gt;= perc_90, converted_stat * 2, IF(bbgm_stat &gt;= perc_85, converted_stat * 1.5, converted_stat)))))</f>
        <v/>
      </c>
      <c r="T966" s="30" t="str">
        <f t="array" ref="T966">IF($A966="", "", LET(bbgm_stat, INDEX(Players!$A965:$P965, MATCH(T$2, Players!$A$1:$P$1, 0)), perc_75, VLOOKUP(T$2, Percentiles!$A$45:$I$59, 6, FALSE), perc_90, VLOOKUP(T$2, Percentiles!$A$45:$I$59, 7, FALSE), perc_95, VLOOKUP(T$2, Percentiles!$A$45:$I$59, 8, FALSE), perc_85, perc_75 + (perc_90 - perc_75) * (2/3), converted_stat, '2K_Ratings'!T966, IF(bbgm_stat &gt;= perc_95, converted_stat * 3, IF(bbgm_stat &gt;= perc_90, converted_stat * 2, IF(bbgm_stat &gt;= perc_85, converted_stat * 1.5, converted_stat)))))</f>
        <v/>
      </c>
      <c r="U966" s="30" t="str">
        <f t="array" ref="U966">IF($A966="", "", LET(bbgm_stat, INDEX(Players!$A965:$P965, MATCH(U$2, Players!$A$1:$P$1, 0)), perc_75, VLOOKUP(U$2, Percentiles!$A$45:$I$59, 6, FALSE), perc_90, VLOOKUP(U$2, Percentiles!$A$45:$I$59, 7, FALSE), perc_95, VLOOKUP(U$2, Percentiles!$A$45:$I$59, 8, FALSE), perc_85, perc_75 + (perc_90 - perc_75) * (2/3), converted_stat, '2K_Ratings'!U966, IF(bbgm_stat &gt;= perc_95, converted_stat * 3, IF(bbgm_stat &gt;= perc_90, converted_stat * 2, IF(bbgm_stat &gt;= perc_85, converted_stat * 1.5, converted_stat)))))</f>
        <v/>
      </c>
      <c r="V966" s="30" t="str">
        <f t="array" ref="V966">IF($A966="", "", LET(bbgm_stat, INDEX(Players!$A965:$P965, MATCH(V$2, Players!$A$1:$P$1, 0)), perc_75, VLOOKUP(V$2, Percentiles!$A$45:$I$59, 6, FALSE), perc_90, VLOOKUP(V$2, Percentiles!$A$45:$I$59, 7, FALSE), perc_95, VLOOKUP(V$2, Percentiles!$A$45:$I$59, 8, FALSE), perc_85, perc_75 + (perc_90 - perc_75) * (2/3), converted_stat, '2K_Ratings'!V966, IF(bbgm_stat &gt;= perc_95, converted_stat * 3, IF(bbgm_stat &gt;= perc_90, converted_stat * 2, IF(bbgm_stat &gt;= perc_85, converted_stat * 1.5, converted_stat)))))</f>
        <v/>
      </c>
      <c r="W966" s="30" t="str">
        <f t="array" ref="W966">IF($A966="", "", LET(bbgm_stat, INDEX(Players!$A965:$P965, MATCH(W$2, Players!$A$1:$P$1, 0)), perc_75, VLOOKUP(W$2, Percentiles!$A$45:$I$59, 6, FALSE), perc_90, VLOOKUP(W$2, Percentiles!$A$45:$I$59, 7, FALSE), perc_95, VLOOKUP(W$2, Percentiles!$A$45:$I$59, 8, FALSE), perc_85, perc_75 + (perc_90 - perc_75) * (2/3), converted_stat, '2K_Ratings'!W966, IF(bbgm_stat &gt;= perc_95, converted_stat * 3, IF(bbgm_stat &gt;= perc_90, converted_stat * 2, IF(bbgm_stat &gt;= perc_85, converted_stat * 1.5, converted_stat)))))</f>
        <v/>
      </c>
    </row>
    <row r="967">
      <c r="A967" s="30"/>
      <c r="B967" s="30" t="str">
        <f t="array" ref="B967">IF($A967="", "", LET(bbgm_stat, INDEX(Players!$A966:$P966, MATCH(B$2, Players!$A$1:$P$1, 0)), perc_75, VLOOKUP(B$2, Percentiles!$A$45:$I$59, 6, FALSE), perc_90, VLOOKUP(B$2, Percentiles!$A$45:$I$59, 7, FALSE), perc_95, VLOOKUP(B$2, Percentiles!$A$45:$I$59, 8, FALSE), perc_85, perc_75 + (perc_90 - perc_75) * (2/3), converted_stat, '2K_Ratings'!B967, IF(bbgm_stat &gt;= perc_95, converted_stat * 3, IF(bbgm_stat &gt;= perc_90, converted_stat * 2, IF(bbgm_stat &gt;= perc_85, converted_stat * 1.5, converted_stat)))))</f>
        <v/>
      </c>
      <c r="C967" s="30" t="str">
        <f t="array" ref="C967">IF($A967="", "", LET(bbgm_stat, INDEX(Players!$A966:$P966, MATCH(C$2, Players!$A$1:$P$1, 0)), perc_75, VLOOKUP(C$2, Percentiles!$A$45:$I$59, 6, FALSE), perc_90, VLOOKUP(C$2, Percentiles!$A$45:$I$59, 7, FALSE), perc_95, VLOOKUP(C$2, Percentiles!$A$45:$I$59, 8, FALSE), perc_85, perc_75 + (perc_90 - perc_75) * (2/3), converted_stat, '2K_Ratings'!C967, IF(bbgm_stat &gt;= perc_95, converted_stat * 3, IF(bbgm_stat &gt;= perc_90, converted_stat * 2, IF(bbgm_stat &gt;= perc_85, converted_stat * 1.5, converted_stat)))))</f>
        <v/>
      </c>
      <c r="D967" s="30" t="str">
        <f t="array" ref="D967">IF($A967="", "", LET(bbgm_stat, INDEX(Players!$A966:$P966, MATCH(D$2, Players!$A$1:$P$1, 0)), perc_75, VLOOKUP(D$2, Percentiles!$A$45:$I$59, 6, FALSE), perc_90, VLOOKUP(D$2, Percentiles!$A$45:$I$59, 7, FALSE), perc_95, VLOOKUP(D$2, Percentiles!$A$45:$I$59, 8, FALSE), perc_85, perc_75 + (perc_90 - perc_75) * (2/3), converted_stat, '2K_Ratings'!D967, IF(bbgm_stat &gt;= perc_95, converted_stat * 3, IF(bbgm_stat &gt;= perc_90, converted_stat * 2, IF(bbgm_stat &gt;= perc_85, converted_stat * 1.5, converted_stat)))))</f>
        <v/>
      </c>
      <c r="E967" s="30" t="str">
        <f t="array" ref="E967">IF($A967="", "", LET(bbgm_stat, INDEX(Players!$A966:$P966, MATCH(E$2, Players!$A$1:$P$1, 0)), perc_75, VLOOKUP(E$2, Percentiles!$A$45:$I$59, 6, FALSE), perc_90, VLOOKUP(E$2, Percentiles!$A$45:$I$59, 7, FALSE), perc_95, VLOOKUP(E$2, Percentiles!$A$45:$I$59, 8, FALSE), perc_85, perc_75 + (perc_90 - perc_75) * (2/3), converted_stat, '2K_Ratings'!E967, IF(bbgm_stat &gt;= perc_95, converted_stat * 3, IF(bbgm_stat &gt;= perc_90, converted_stat * 2, IF(bbgm_stat &gt;= perc_85, converted_stat * 1.5, converted_stat)))))</f>
        <v/>
      </c>
      <c r="F967" s="30" t="str">
        <f t="array" ref="F967">IF($A967="", "", LET(bbgm_stat, INDEX(Players!$A966:$P966, MATCH(F$2, Players!$A$1:$P$1, 0)), perc_75, VLOOKUP(F$2, Percentiles!$A$45:$I$59, 6, FALSE), perc_90, VLOOKUP(F$2, Percentiles!$A$45:$I$59, 7, FALSE), perc_95, VLOOKUP(F$2, Percentiles!$A$45:$I$59, 8, FALSE), perc_85, perc_75 + (perc_90 - perc_75) * (2/3), converted_stat, '2K_Ratings'!F967, IF(bbgm_stat &gt;= perc_95, converted_stat * 3, IF(bbgm_stat &gt;= perc_90, converted_stat * 2, IF(bbgm_stat &gt;= perc_85, converted_stat * 1.5, converted_stat)))))</f>
        <v/>
      </c>
      <c r="G967" s="30" t="str">
        <f t="array" ref="G967">IF($A967="", "", LET(bbgm_stat, INDEX(Players!$A966:$P966, MATCH(G$2, Players!$A$1:$P$1, 0)), perc_75, VLOOKUP(G$2, Percentiles!$A$45:$I$59, 6, FALSE), perc_90, VLOOKUP(G$2, Percentiles!$A$45:$I$59, 7, FALSE), perc_95, VLOOKUP(G$2, Percentiles!$A$45:$I$59, 8, FALSE), perc_85, perc_75 + (perc_90 - perc_75) * (2/3), converted_stat, '2K_Ratings'!G967, IF(bbgm_stat &gt;= perc_95, converted_stat * 3, IF(bbgm_stat &gt;= perc_90, converted_stat * 2, IF(bbgm_stat &gt;= perc_85, converted_stat * 1.5, converted_stat)))))</f>
        <v/>
      </c>
      <c r="H967" s="30" t="str">
        <f t="array" ref="H967">IF($A967="", "", LET(bbgm_stat, INDEX(Players!$A966:$P966, MATCH(H$2, Players!$A$1:$P$1, 0)), perc_75, VLOOKUP(H$2, Percentiles!$A$45:$I$59, 6, FALSE), perc_90, VLOOKUP(H$2, Percentiles!$A$45:$I$59, 7, FALSE), perc_95, VLOOKUP(H$2, Percentiles!$A$45:$I$59, 8, FALSE), perc_85, perc_75 + (perc_90 - perc_75) * (2/3), converted_stat, '2K_Ratings'!H967, IF(bbgm_stat &gt;= perc_95, converted_stat * 3, IF(bbgm_stat &gt;= perc_90, converted_stat * 2, IF(bbgm_stat &gt;= perc_85, converted_stat * 1.5, converted_stat)))))</f>
        <v/>
      </c>
      <c r="I967" s="30" t="str">
        <f t="array" ref="I967">IF($A967="", "", LET(bbgm_stat, INDEX(Players!$A966:$P966, MATCH(I$2, Players!$A$1:$P$1, 0)), perc_75, VLOOKUP(I$2, Percentiles!$A$45:$I$59, 6, FALSE), perc_90, VLOOKUP(I$2, Percentiles!$A$45:$I$59, 7, FALSE), perc_95, VLOOKUP(I$2, Percentiles!$A$45:$I$59, 8, FALSE), perc_85, perc_75 + (perc_90 - perc_75) * (2/3), converted_stat, '2K_Ratings'!I967, IF(bbgm_stat &gt;= perc_95, converted_stat * 3, IF(bbgm_stat &gt;= perc_90, converted_stat * 2, IF(bbgm_stat &gt;= perc_85, converted_stat * 1.5, converted_stat)))))</f>
        <v/>
      </c>
      <c r="J967" s="30" t="str">
        <f t="array" ref="J967">IF($A967="", "", LET(bbgm_stat, INDEX(Players!$A966:$P966, MATCH(J$2, Players!$A$1:$P$1, 0)), perc_75, VLOOKUP(J$2, Percentiles!$A$45:$I$59, 6, FALSE), perc_90, VLOOKUP(J$2, Percentiles!$A$45:$I$59, 7, FALSE), perc_95, VLOOKUP(J$2, Percentiles!$A$45:$I$59, 8, FALSE), perc_85, perc_75 + (perc_90 - perc_75) * (2/3), converted_stat, '2K_Ratings'!J967, IF(bbgm_stat &gt;= perc_95, converted_stat * 3, IF(bbgm_stat &gt;= perc_90, converted_stat * 2, IF(bbgm_stat &gt;= perc_85, converted_stat * 1.5, converted_stat)))))</f>
        <v/>
      </c>
      <c r="K967" s="30" t="str">
        <f t="array" ref="K967">IF($A967="", "", LET(bbgm_stat, INDEX(Players!$A966:$P966, MATCH(K$2, Players!$A$1:$P$1, 0)), perc_75, VLOOKUP(K$2, Percentiles!$A$45:$I$59, 6, FALSE), perc_90, VLOOKUP(K$2, Percentiles!$A$45:$I$59, 7, FALSE), perc_95, VLOOKUP(K$2, Percentiles!$A$45:$I$59, 8, FALSE), perc_85, perc_75 + (perc_90 - perc_75) * (2/3), converted_stat, '2K_Ratings'!K967, IF(bbgm_stat &gt;= perc_95, converted_stat * 3, IF(bbgm_stat &gt;= perc_90, converted_stat * 2, IF(bbgm_stat &gt;= perc_85, converted_stat * 1.5, converted_stat)))))</f>
        <v/>
      </c>
      <c r="L967" s="30" t="str">
        <f t="array" ref="L967">IF($A967="", "", LET(bbgm_stat, INDEX(Players!$A966:$P966, MATCH(L$2, Players!$A$1:$P$1, 0)), perc_75, VLOOKUP(L$2, Percentiles!$A$45:$I$59, 6, FALSE), perc_90, VLOOKUP(L$2, Percentiles!$A$45:$I$59, 7, FALSE), perc_95, VLOOKUP(L$2, Percentiles!$A$45:$I$59, 8, FALSE), perc_85, perc_75 + (perc_90 - perc_75) * (2/3), converted_stat, '2K_Ratings'!L967, IF(bbgm_stat &gt;= perc_95, converted_stat * 3, IF(bbgm_stat &gt;= perc_90, converted_stat * 2, IF(bbgm_stat &gt;= perc_85, converted_stat * 1.5, converted_stat)))))</f>
        <v/>
      </c>
      <c r="M967" s="30" t="str">
        <f t="array" ref="M967">IF($A967="", "", LET(bbgm_stat, INDEX(Players!$A966:$P966, MATCH(M$2, Players!$A$1:$P$1, 0)), perc_75, VLOOKUP(M$2, Percentiles!$A$45:$I$59, 6, FALSE), perc_90, VLOOKUP(M$2, Percentiles!$A$45:$I$59, 7, FALSE), perc_95, VLOOKUP(M$2, Percentiles!$A$45:$I$59, 8, FALSE), perc_85, perc_75 + (perc_90 - perc_75) * (2/3), converted_stat, '2K_Ratings'!M967, IF(bbgm_stat &gt;= perc_95, converted_stat * 3, IF(bbgm_stat &gt;= perc_90, converted_stat * 2, IF(bbgm_stat &gt;= perc_85, converted_stat * 1.5, converted_stat)))))</f>
        <v/>
      </c>
      <c r="N967" s="30" t="str">
        <f t="array" ref="N967">IF($A967="", "", LET(bbgm_stat, INDEX(Players!$A966:$P966, MATCH(N$2, Players!$A$1:$P$1, 0)), perc_75, VLOOKUP(N$2, Percentiles!$A$45:$I$59, 6, FALSE), perc_90, VLOOKUP(N$2, Percentiles!$A$45:$I$59, 7, FALSE), perc_95, VLOOKUP(N$2, Percentiles!$A$45:$I$59, 8, FALSE), perc_85, perc_75 + (perc_90 - perc_75) * (2/3), converted_stat, '2K_Ratings'!N967, IF(bbgm_stat &gt;= perc_95, converted_stat * 3, IF(bbgm_stat &gt;= perc_90, converted_stat * 2, IF(bbgm_stat &gt;= perc_85, converted_stat * 1.5, converted_stat)))))</f>
        <v/>
      </c>
      <c r="O967" s="30" t="str">
        <f t="array" ref="O967">IF($A967="", "", LET(bbgm_stat, INDEX(Players!$A966:$P966, MATCH(O$2, Players!$A$1:$P$1, 0)), perc_75, VLOOKUP(O$2, Percentiles!$A$45:$I$59, 6, FALSE), perc_90, VLOOKUP(O$2, Percentiles!$A$45:$I$59, 7, FALSE), perc_95, VLOOKUP(O$2, Percentiles!$A$45:$I$59, 8, FALSE), perc_85, perc_75 + (perc_90 - perc_75) * (2/3), converted_stat, '2K_Ratings'!O967, IF(bbgm_stat &gt;= perc_95, converted_stat * 3, IF(bbgm_stat &gt;= perc_90, converted_stat * 2, IF(bbgm_stat &gt;= perc_85, converted_stat * 1.5, converted_stat)))))</f>
        <v/>
      </c>
      <c r="P967" s="30" t="str">
        <f t="array" ref="P967">IF($A967="", "", LET(bbgm_stat, INDEX(Players!$A966:$P966, MATCH(P$2, Players!$A$1:$P$1, 0)), perc_75, VLOOKUP(P$2, Percentiles!$A$45:$I$59, 6, FALSE), perc_90, VLOOKUP(P$2, Percentiles!$A$45:$I$59, 7, FALSE), perc_95, VLOOKUP(P$2, Percentiles!$A$45:$I$59, 8, FALSE), perc_85, perc_75 + (perc_90 - perc_75) * (2/3), converted_stat, '2K_Ratings'!P967, IF(bbgm_stat &gt;= perc_95, converted_stat * 3, IF(bbgm_stat &gt;= perc_90, converted_stat * 2, IF(bbgm_stat &gt;= perc_85, converted_stat * 1.5, converted_stat)))))</f>
        <v/>
      </c>
      <c r="Q967" s="30" t="str">
        <f t="array" ref="Q967">IF($A967="", "", LET(bbgm_stat, INDEX(Players!$A966:$P966, MATCH(Q$2, Players!$A$1:$P$1, 0)), perc_75, VLOOKUP(Q$2, Percentiles!$A$45:$I$59, 6, FALSE), perc_90, VLOOKUP(Q$2, Percentiles!$A$45:$I$59, 7, FALSE), perc_95, VLOOKUP(Q$2, Percentiles!$A$45:$I$59, 8, FALSE), perc_85, perc_75 + (perc_90 - perc_75) * (2/3), converted_stat, '2K_Ratings'!Q967, IF(bbgm_stat &gt;= perc_95, converted_stat * 3, IF(bbgm_stat &gt;= perc_90, converted_stat * 2, IF(bbgm_stat &gt;= perc_85, converted_stat * 1.5, converted_stat)))))</f>
        <v/>
      </c>
      <c r="R967" s="30" t="str">
        <f t="array" ref="R967">IF($A967="", "", LET(bbgm_stat, INDEX(Players!$A966:$P966, MATCH(R$2, Players!$A$1:$P$1, 0)), perc_75, VLOOKUP(R$2, Percentiles!$A$45:$I$59, 6, FALSE), perc_90, VLOOKUP(R$2, Percentiles!$A$45:$I$59, 7, FALSE), perc_95, VLOOKUP(R$2, Percentiles!$A$45:$I$59, 8, FALSE), perc_85, perc_75 + (perc_90 - perc_75) * (2/3), converted_stat, '2K_Ratings'!R967, IF(bbgm_stat &gt;= perc_95, converted_stat * 3, IF(bbgm_stat &gt;= perc_90, converted_stat * 2, IF(bbgm_stat &gt;= perc_85, converted_stat * 1.5, converted_stat)))))</f>
        <v/>
      </c>
      <c r="S967" s="30" t="str">
        <f t="array" ref="S967">IF($A967="", "", LET(bbgm_stat, INDEX(Players!$A966:$P966, MATCH(S$2, Players!$A$1:$P$1, 0)), perc_75, VLOOKUP(S$2, Percentiles!$A$45:$I$59, 6, FALSE), perc_90, VLOOKUP(S$2, Percentiles!$A$45:$I$59, 7, FALSE), perc_95, VLOOKUP(S$2, Percentiles!$A$45:$I$59, 8, FALSE), perc_85, perc_75 + (perc_90 - perc_75) * (2/3), converted_stat, '2K_Ratings'!S967, IF(bbgm_stat &gt;= perc_95, converted_stat * 3, IF(bbgm_stat &gt;= perc_90, converted_stat * 2, IF(bbgm_stat &gt;= perc_85, converted_stat * 1.5, converted_stat)))))</f>
        <v/>
      </c>
      <c r="T967" s="30" t="str">
        <f t="array" ref="T967">IF($A967="", "", LET(bbgm_stat, INDEX(Players!$A966:$P966, MATCH(T$2, Players!$A$1:$P$1, 0)), perc_75, VLOOKUP(T$2, Percentiles!$A$45:$I$59, 6, FALSE), perc_90, VLOOKUP(T$2, Percentiles!$A$45:$I$59, 7, FALSE), perc_95, VLOOKUP(T$2, Percentiles!$A$45:$I$59, 8, FALSE), perc_85, perc_75 + (perc_90 - perc_75) * (2/3), converted_stat, '2K_Ratings'!T967, IF(bbgm_stat &gt;= perc_95, converted_stat * 3, IF(bbgm_stat &gt;= perc_90, converted_stat * 2, IF(bbgm_stat &gt;= perc_85, converted_stat * 1.5, converted_stat)))))</f>
        <v/>
      </c>
      <c r="U967" s="30" t="str">
        <f t="array" ref="U967">IF($A967="", "", LET(bbgm_stat, INDEX(Players!$A966:$P966, MATCH(U$2, Players!$A$1:$P$1, 0)), perc_75, VLOOKUP(U$2, Percentiles!$A$45:$I$59, 6, FALSE), perc_90, VLOOKUP(U$2, Percentiles!$A$45:$I$59, 7, FALSE), perc_95, VLOOKUP(U$2, Percentiles!$A$45:$I$59, 8, FALSE), perc_85, perc_75 + (perc_90 - perc_75) * (2/3), converted_stat, '2K_Ratings'!U967, IF(bbgm_stat &gt;= perc_95, converted_stat * 3, IF(bbgm_stat &gt;= perc_90, converted_stat * 2, IF(bbgm_stat &gt;= perc_85, converted_stat * 1.5, converted_stat)))))</f>
        <v/>
      </c>
      <c r="V967" s="30" t="str">
        <f t="array" ref="V967">IF($A967="", "", LET(bbgm_stat, INDEX(Players!$A966:$P966, MATCH(V$2, Players!$A$1:$P$1, 0)), perc_75, VLOOKUP(V$2, Percentiles!$A$45:$I$59, 6, FALSE), perc_90, VLOOKUP(V$2, Percentiles!$A$45:$I$59, 7, FALSE), perc_95, VLOOKUP(V$2, Percentiles!$A$45:$I$59, 8, FALSE), perc_85, perc_75 + (perc_90 - perc_75) * (2/3), converted_stat, '2K_Ratings'!V967, IF(bbgm_stat &gt;= perc_95, converted_stat * 3, IF(bbgm_stat &gt;= perc_90, converted_stat * 2, IF(bbgm_stat &gt;= perc_85, converted_stat * 1.5, converted_stat)))))</f>
        <v/>
      </c>
      <c r="W967" s="30" t="str">
        <f t="array" ref="W967">IF($A967="", "", LET(bbgm_stat, INDEX(Players!$A966:$P966, MATCH(W$2, Players!$A$1:$P$1, 0)), perc_75, VLOOKUP(W$2, Percentiles!$A$45:$I$59, 6, FALSE), perc_90, VLOOKUP(W$2, Percentiles!$A$45:$I$59, 7, FALSE), perc_95, VLOOKUP(W$2, Percentiles!$A$45:$I$59, 8, FALSE), perc_85, perc_75 + (perc_90 - perc_75) * (2/3), converted_stat, '2K_Ratings'!W967, IF(bbgm_stat &gt;= perc_95, converted_stat * 3, IF(bbgm_stat &gt;= perc_90, converted_stat * 2, IF(bbgm_stat &gt;= perc_85, converted_stat * 1.5, converted_stat)))))</f>
        <v/>
      </c>
    </row>
    <row r="968">
      <c r="A968" s="30"/>
      <c r="B968" s="30" t="str">
        <f t="array" ref="B968">IF($A968="", "", LET(bbgm_stat, INDEX(Players!$A967:$P967, MATCH(B$2, Players!$A$1:$P$1, 0)), perc_75, VLOOKUP(B$2, Percentiles!$A$45:$I$59, 6, FALSE), perc_90, VLOOKUP(B$2, Percentiles!$A$45:$I$59, 7, FALSE), perc_95, VLOOKUP(B$2, Percentiles!$A$45:$I$59, 8, FALSE), perc_85, perc_75 + (perc_90 - perc_75) * (2/3), converted_stat, '2K_Ratings'!B968, IF(bbgm_stat &gt;= perc_95, converted_stat * 3, IF(bbgm_stat &gt;= perc_90, converted_stat * 2, IF(bbgm_stat &gt;= perc_85, converted_stat * 1.5, converted_stat)))))</f>
        <v/>
      </c>
      <c r="C968" s="30" t="str">
        <f t="array" ref="C968">IF($A968="", "", LET(bbgm_stat, INDEX(Players!$A967:$P967, MATCH(C$2, Players!$A$1:$P$1, 0)), perc_75, VLOOKUP(C$2, Percentiles!$A$45:$I$59, 6, FALSE), perc_90, VLOOKUP(C$2, Percentiles!$A$45:$I$59, 7, FALSE), perc_95, VLOOKUP(C$2, Percentiles!$A$45:$I$59, 8, FALSE), perc_85, perc_75 + (perc_90 - perc_75) * (2/3), converted_stat, '2K_Ratings'!C968, IF(bbgm_stat &gt;= perc_95, converted_stat * 3, IF(bbgm_stat &gt;= perc_90, converted_stat * 2, IF(bbgm_stat &gt;= perc_85, converted_stat * 1.5, converted_stat)))))</f>
        <v/>
      </c>
      <c r="D968" s="30" t="str">
        <f t="array" ref="D968">IF($A968="", "", LET(bbgm_stat, INDEX(Players!$A967:$P967, MATCH(D$2, Players!$A$1:$P$1, 0)), perc_75, VLOOKUP(D$2, Percentiles!$A$45:$I$59, 6, FALSE), perc_90, VLOOKUP(D$2, Percentiles!$A$45:$I$59, 7, FALSE), perc_95, VLOOKUP(D$2, Percentiles!$A$45:$I$59, 8, FALSE), perc_85, perc_75 + (perc_90 - perc_75) * (2/3), converted_stat, '2K_Ratings'!D968, IF(bbgm_stat &gt;= perc_95, converted_stat * 3, IF(bbgm_stat &gt;= perc_90, converted_stat * 2, IF(bbgm_stat &gt;= perc_85, converted_stat * 1.5, converted_stat)))))</f>
        <v/>
      </c>
      <c r="E968" s="30" t="str">
        <f t="array" ref="E968">IF($A968="", "", LET(bbgm_stat, INDEX(Players!$A967:$P967, MATCH(E$2, Players!$A$1:$P$1, 0)), perc_75, VLOOKUP(E$2, Percentiles!$A$45:$I$59, 6, FALSE), perc_90, VLOOKUP(E$2, Percentiles!$A$45:$I$59, 7, FALSE), perc_95, VLOOKUP(E$2, Percentiles!$A$45:$I$59, 8, FALSE), perc_85, perc_75 + (perc_90 - perc_75) * (2/3), converted_stat, '2K_Ratings'!E968, IF(bbgm_stat &gt;= perc_95, converted_stat * 3, IF(bbgm_stat &gt;= perc_90, converted_stat * 2, IF(bbgm_stat &gt;= perc_85, converted_stat * 1.5, converted_stat)))))</f>
        <v/>
      </c>
      <c r="F968" s="30" t="str">
        <f t="array" ref="F968">IF($A968="", "", LET(bbgm_stat, INDEX(Players!$A967:$P967, MATCH(F$2, Players!$A$1:$P$1, 0)), perc_75, VLOOKUP(F$2, Percentiles!$A$45:$I$59, 6, FALSE), perc_90, VLOOKUP(F$2, Percentiles!$A$45:$I$59, 7, FALSE), perc_95, VLOOKUP(F$2, Percentiles!$A$45:$I$59, 8, FALSE), perc_85, perc_75 + (perc_90 - perc_75) * (2/3), converted_stat, '2K_Ratings'!F968, IF(bbgm_stat &gt;= perc_95, converted_stat * 3, IF(bbgm_stat &gt;= perc_90, converted_stat * 2, IF(bbgm_stat &gt;= perc_85, converted_stat * 1.5, converted_stat)))))</f>
        <v/>
      </c>
      <c r="G968" s="30" t="str">
        <f t="array" ref="G968">IF($A968="", "", LET(bbgm_stat, INDEX(Players!$A967:$P967, MATCH(G$2, Players!$A$1:$P$1, 0)), perc_75, VLOOKUP(G$2, Percentiles!$A$45:$I$59, 6, FALSE), perc_90, VLOOKUP(G$2, Percentiles!$A$45:$I$59, 7, FALSE), perc_95, VLOOKUP(G$2, Percentiles!$A$45:$I$59, 8, FALSE), perc_85, perc_75 + (perc_90 - perc_75) * (2/3), converted_stat, '2K_Ratings'!G968, IF(bbgm_stat &gt;= perc_95, converted_stat * 3, IF(bbgm_stat &gt;= perc_90, converted_stat * 2, IF(bbgm_stat &gt;= perc_85, converted_stat * 1.5, converted_stat)))))</f>
        <v/>
      </c>
      <c r="H968" s="30" t="str">
        <f t="array" ref="H968">IF($A968="", "", LET(bbgm_stat, INDEX(Players!$A967:$P967, MATCH(H$2, Players!$A$1:$P$1, 0)), perc_75, VLOOKUP(H$2, Percentiles!$A$45:$I$59, 6, FALSE), perc_90, VLOOKUP(H$2, Percentiles!$A$45:$I$59, 7, FALSE), perc_95, VLOOKUP(H$2, Percentiles!$A$45:$I$59, 8, FALSE), perc_85, perc_75 + (perc_90 - perc_75) * (2/3), converted_stat, '2K_Ratings'!H968, IF(bbgm_stat &gt;= perc_95, converted_stat * 3, IF(bbgm_stat &gt;= perc_90, converted_stat * 2, IF(bbgm_stat &gt;= perc_85, converted_stat * 1.5, converted_stat)))))</f>
        <v/>
      </c>
      <c r="I968" s="30" t="str">
        <f t="array" ref="I968">IF($A968="", "", LET(bbgm_stat, INDEX(Players!$A967:$P967, MATCH(I$2, Players!$A$1:$P$1, 0)), perc_75, VLOOKUP(I$2, Percentiles!$A$45:$I$59, 6, FALSE), perc_90, VLOOKUP(I$2, Percentiles!$A$45:$I$59, 7, FALSE), perc_95, VLOOKUP(I$2, Percentiles!$A$45:$I$59, 8, FALSE), perc_85, perc_75 + (perc_90 - perc_75) * (2/3), converted_stat, '2K_Ratings'!I968, IF(bbgm_stat &gt;= perc_95, converted_stat * 3, IF(bbgm_stat &gt;= perc_90, converted_stat * 2, IF(bbgm_stat &gt;= perc_85, converted_stat * 1.5, converted_stat)))))</f>
        <v/>
      </c>
      <c r="J968" s="30" t="str">
        <f t="array" ref="J968">IF($A968="", "", LET(bbgm_stat, INDEX(Players!$A967:$P967, MATCH(J$2, Players!$A$1:$P$1, 0)), perc_75, VLOOKUP(J$2, Percentiles!$A$45:$I$59, 6, FALSE), perc_90, VLOOKUP(J$2, Percentiles!$A$45:$I$59, 7, FALSE), perc_95, VLOOKUP(J$2, Percentiles!$A$45:$I$59, 8, FALSE), perc_85, perc_75 + (perc_90 - perc_75) * (2/3), converted_stat, '2K_Ratings'!J968, IF(bbgm_stat &gt;= perc_95, converted_stat * 3, IF(bbgm_stat &gt;= perc_90, converted_stat * 2, IF(bbgm_stat &gt;= perc_85, converted_stat * 1.5, converted_stat)))))</f>
        <v/>
      </c>
      <c r="K968" s="30" t="str">
        <f t="array" ref="K968">IF($A968="", "", LET(bbgm_stat, INDEX(Players!$A967:$P967, MATCH(K$2, Players!$A$1:$P$1, 0)), perc_75, VLOOKUP(K$2, Percentiles!$A$45:$I$59, 6, FALSE), perc_90, VLOOKUP(K$2, Percentiles!$A$45:$I$59, 7, FALSE), perc_95, VLOOKUP(K$2, Percentiles!$A$45:$I$59, 8, FALSE), perc_85, perc_75 + (perc_90 - perc_75) * (2/3), converted_stat, '2K_Ratings'!K968, IF(bbgm_stat &gt;= perc_95, converted_stat * 3, IF(bbgm_stat &gt;= perc_90, converted_stat * 2, IF(bbgm_stat &gt;= perc_85, converted_stat * 1.5, converted_stat)))))</f>
        <v/>
      </c>
      <c r="L968" s="30" t="str">
        <f t="array" ref="L968">IF($A968="", "", LET(bbgm_stat, INDEX(Players!$A967:$P967, MATCH(L$2, Players!$A$1:$P$1, 0)), perc_75, VLOOKUP(L$2, Percentiles!$A$45:$I$59, 6, FALSE), perc_90, VLOOKUP(L$2, Percentiles!$A$45:$I$59, 7, FALSE), perc_95, VLOOKUP(L$2, Percentiles!$A$45:$I$59, 8, FALSE), perc_85, perc_75 + (perc_90 - perc_75) * (2/3), converted_stat, '2K_Ratings'!L968, IF(bbgm_stat &gt;= perc_95, converted_stat * 3, IF(bbgm_stat &gt;= perc_90, converted_stat * 2, IF(bbgm_stat &gt;= perc_85, converted_stat * 1.5, converted_stat)))))</f>
        <v/>
      </c>
      <c r="M968" s="30" t="str">
        <f t="array" ref="M968">IF($A968="", "", LET(bbgm_stat, INDEX(Players!$A967:$P967, MATCH(M$2, Players!$A$1:$P$1, 0)), perc_75, VLOOKUP(M$2, Percentiles!$A$45:$I$59, 6, FALSE), perc_90, VLOOKUP(M$2, Percentiles!$A$45:$I$59, 7, FALSE), perc_95, VLOOKUP(M$2, Percentiles!$A$45:$I$59, 8, FALSE), perc_85, perc_75 + (perc_90 - perc_75) * (2/3), converted_stat, '2K_Ratings'!M968, IF(bbgm_stat &gt;= perc_95, converted_stat * 3, IF(bbgm_stat &gt;= perc_90, converted_stat * 2, IF(bbgm_stat &gt;= perc_85, converted_stat * 1.5, converted_stat)))))</f>
        <v/>
      </c>
      <c r="N968" s="30" t="str">
        <f t="array" ref="N968">IF($A968="", "", LET(bbgm_stat, INDEX(Players!$A967:$P967, MATCH(N$2, Players!$A$1:$P$1, 0)), perc_75, VLOOKUP(N$2, Percentiles!$A$45:$I$59, 6, FALSE), perc_90, VLOOKUP(N$2, Percentiles!$A$45:$I$59, 7, FALSE), perc_95, VLOOKUP(N$2, Percentiles!$A$45:$I$59, 8, FALSE), perc_85, perc_75 + (perc_90 - perc_75) * (2/3), converted_stat, '2K_Ratings'!N968, IF(bbgm_stat &gt;= perc_95, converted_stat * 3, IF(bbgm_stat &gt;= perc_90, converted_stat * 2, IF(bbgm_stat &gt;= perc_85, converted_stat * 1.5, converted_stat)))))</f>
        <v/>
      </c>
      <c r="O968" s="30" t="str">
        <f t="array" ref="O968">IF($A968="", "", LET(bbgm_stat, INDEX(Players!$A967:$P967, MATCH(O$2, Players!$A$1:$P$1, 0)), perc_75, VLOOKUP(O$2, Percentiles!$A$45:$I$59, 6, FALSE), perc_90, VLOOKUP(O$2, Percentiles!$A$45:$I$59, 7, FALSE), perc_95, VLOOKUP(O$2, Percentiles!$A$45:$I$59, 8, FALSE), perc_85, perc_75 + (perc_90 - perc_75) * (2/3), converted_stat, '2K_Ratings'!O968, IF(bbgm_stat &gt;= perc_95, converted_stat * 3, IF(bbgm_stat &gt;= perc_90, converted_stat * 2, IF(bbgm_stat &gt;= perc_85, converted_stat * 1.5, converted_stat)))))</f>
        <v/>
      </c>
      <c r="P968" s="30" t="str">
        <f t="array" ref="P968">IF($A968="", "", LET(bbgm_stat, INDEX(Players!$A967:$P967, MATCH(P$2, Players!$A$1:$P$1, 0)), perc_75, VLOOKUP(P$2, Percentiles!$A$45:$I$59, 6, FALSE), perc_90, VLOOKUP(P$2, Percentiles!$A$45:$I$59, 7, FALSE), perc_95, VLOOKUP(P$2, Percentiles!$A$45:$I$59, 8, FALSE), perc_85, perc_75 + (perc_90 - perc_75) * (2/3), converted_stat, '2K_Ratings'!P968, IF(bbgm_stat &gt;= perc_95, converted_stat * 3, IF(bbgm_stat &gt;= perc_90, converted_stat * 2, IF(bbgm_stat &gt;= perc_85, converted_stat * 1.5, converted_stat)))))</f>
        <v/>
      </c>
      <c r="Q968" s="30" t="str">
        <f t="array" ref="Q968">IF($A968="", "", LET(bbgm_stat, INDEX(Players!$A967:$P967, MATCH(Q$2, Players!$A$1:$P$1, 0)), perc_75, VLOOKUP(Q$2, Percentiles!$A$45:$I$59, 6, FALSE), perc_90, VLOOKUP(Q$2, Percentiles!$A$45:$I$59, 7, FALSE), perc_95, VLOOKUP(Q$2, Percentiles!$A$45:$I$59, 8, FALSE), perc_85, perc_75 + (perc_90 - perc_75) * (2/3), converted_stat, '2K_Ratings'!Q968, IF(bbgm_stat &gt;= perc_95, converted_stat * 3, IF(bbgm_stat &gt;= perc_90, converted_stat * 2, IF(bbgm_stat &gt;= perc_85, converted_stat * 1.5, converted_stat)))))</f>
        <v/>
      </c>
      <c r="R968" s="30" t="str">
        <f t="array" ref="R968">IF($A968="", "", LET(bbgm_stat, INDEX(Players!$A967:$P967, MATCH(R$2, Players!$A$1:$P$1, 0)), perc_75, VLOOKUP(R$2, Percentiles!$A$45:$I$59, 6, FALSE), perc_90, VLOOKUP(R$2, Percentiles!$A$45:$I$59, 7, FALSE), perc_95, VLOOKUP(R$2, Percentiles!$A$45:$I$59, 8, FALSE), perc_85, perc_75 + (perc_90 - perc_75) * (2/3), converted_stat, '2K_Ratings'!R968, IF(bbgm_stat &gt;= perc_95, converted_stat * 3, IF(bbgm_stat &gt;= perc_90, converted_stat * 2, IF(bbgm_stat &gt;= perc_85, converted_stat * 1.5, converted_stat)))))</f>
        <v/>
      </c>
      <c r="S968" s="30" t="str">
        <f t="array" ref="S968">IF($A968="", "", LET(bbgm_stat, INDEX(Players!$A967:$P967, MATCH(S$2, Players!$A$1:$P$1, 0)), perc_75, VLOOKUP(S$2, Percentiles!$A$45:$I$59, 6, FALSE), perc_90, VLOOKUP(S$2, Percentiles!$A$45:$I$59, 7, FALSE), perc_95, VLOOKUP(S$2, Percentiles!$A$45:$I$59, 8, FALSE), perc_85, perc_75 + (perc_90 - perc_75) * (2/3), converted_stat, '2K_Ratings'!S968, IF(bbgm_stat &gt;= perc_95, converted_stat * 3, IF(bbgm_stat &gt;= perc_90, converted_stat * 2, IF(bbgm_stat &gt;= perc_85, converted_stat * 1.5, converted_stat)))))</f>
        <v/>
      </c>
      <c r="T968" s="30" t="str">
        <f t="array" ref="T968">IF($A968="", "", LET(bbgm_stat, INDEX(Players!$A967:$P967, MATCH(T$2, Players!$A$1:$P$1, 0)), perc_75, VLOOKUP(T$2, Percentiles!$A$45:$I$59, 6, FALSE), perc_90, VLOOKUP(T$2, Percentiles!$A$45:$I$59, 7, FALSE), perc_95, VLOOKUP(T$2, Percentiles!$A$45:$I$59, 8, FALSE), perc_85, perc_75 + (perc_90 - perc_75) * (2/3), converted_stat, '2K_Ratings'!T968, IF(bbgm_stat &gt;= perc_95, converted_stat * 3, IF(bbgm_stat &gt;= perc_90, converted_stat * 2, IF(bbgm_stat &gt;= perc_85, converted_stat * 1.5, converted_stat)))))</f>
        <v/>
      </c>
      <c r="U968" s="30" t="str">
        <f t="array" ref="U968">IF($A968="", "", LET(bbgm_stat, INDEX(Players!$A967:$P967, MATCH(U$2, Players!$A$1:$P$1, 0)), perc_75, VLOOKUP(U$2, Percentiles!$A$45:$I$59, 6, FALSE), perc_90, VLOOKUP(U$2, Percentiles!$A$45:$I$59, 7, FALSE), perc_95, VLOOKUP(U$2, Percentiles!$A$45:$I$59, 8, FALSE), perc_85, perc_75 + (perc_90 - perc_75) * (2/3), converted_stat, '2K_Ratings'!U968, IF(bbgm_stat &gt;= perc_95, converted_stat * 3, IF(bbgm_stat &gt;= perc_90, converted_stat * 2, IF(bbgm_stat &gt;= perc_85, converted_stat * 1.5, converted_stat)))))</f>
        <v/>
      </c>
      <c r="V968" s="30" t="str">
        <f t="array" ref="V968">IF($A968="", "", LET(bbgm_stat, INDEX(Players!$A967:$P967, MATCH(V$2, Players!$A$1:$P$1, 0)), perc_75, VLOOKUP(V$2, Percentiles!$A$45:$I$59, 6, FALSE), perc_90, VLOOKUP(V$2, Percentiles!$A$45:$I$59, 7, FALSE), perc_95, VLOOKUP(V$2, Percentiles!$A$45:$I$59, 8, FALSE), perc_85, perc_75 + (perc_90 - perc_75) * (2/3), converted_stat, '2K_Ratings'!V968, IF(bbgm_stat &gt;= perc_95, converted_stat * 3, IF(bbgm_stat &gt;= perc_90, converted_stat * 2, IF(bbgm_stat &gt;= perc_85, converted_stat * 1.5, converted_stat)))))</f>
        <v/>
      </c>
      <c r="W968" s="30" t="str">
        <f t="array" ref="W968">IF($A968="", "", LET(bbgm_stat, INDEX(Players!$A967:$P967, MATCH(W$2, Players!$A$1:$P$1, 0)), perc_75, VLOOKUP(W$2, Percentiles!$A$45:$I$59, 6, FALSE), perc_90, VLOOKUP(W$2, Percentiles!$A$45:$I$59, 7, FALSE), perc_95, VLOOKUP(W$2, Percentiles!$A$45:$I$59, 8, FALSE), perc_85, perc_75 + (perc_90 - perc_75) * (2/3), converted_stat, '2K_Ratings'!W968, IF(bbgm_stat &gt;= perc_95, converted_stat * 3, IF(bbgm_stat &gt;= perc_90, converted_stat * 2, IF(bbgm_stat &gt;= perc_85, converted_stat * 1.5, converted_stat)))))</f>
        <v/>
      </c>
    </row>
    <row r="969">
      <c r="A969" s="30"/>
      <c r="B969" s="30" t="str">
        <f t="array" ref="B969">IF($A969="", "", LET(bbgm_stat, INDEX(Players!$A968:$P968, MATCH(B$2, Players!$A$1:$P$1, 0)), perc_75, VLOOKUP(B$2, Percentiles!$A$45:$I$59, 6, FALSE), perc_90, VLOOKUP(B$2, Percentiles!$A$45:$I$59, 7, FALSE), perc_95, VLOOKUP(B$2, Percentiles!$A$45:$I$59, 8, FALSE), perc_85, perc_75 + (perc_90 - perc_75) * (2/3), converted_stat, '2K_Ratings'!B969, IF(bbgm_stat &gt;= perc_95, converted_stat * 3, IF(bbgm_stat &gt;= perc_90, converted_stat * 2, IF(bbgm_stat &gt;= perc_85, converted_stat * 1.5, converted_stat)))))</f>
        <v/>
      </c>
      <c r="C969" s="30" t="str">
        <f t="array" ref="C969">IF($A969="", "", LET(bbgm_stat, INDEX(Players!$A968:$P968, MATCH(C$2, Players!$A$1:$P$1, 0)), perc_75, VLOOKUP(C$2, Percentiles!$A$45:$I$59, 6, FALSE), perc_90, VLOOKUP(C$2, Percentiles!$A$45:$I$59, 7, FALSE), perc_95, VLOOKUP(C$2, Percentiles!$A$45:$I$59, 8, FALSE), perc_85, perc_75 + (perc_90 - perc_75) * (2/3), converted_stat, '2K_Ratings'!C969, IF(bbgm_stat &gt;= perc_95, converted_stat * 3, IF(bbgm_stat &gt;= perc_90, converted_stat * 2, IF(bbgm_stat &gt;= perc_85, converted_stat * 1.5, converted_stat)))))</f>
        <v/>
      </c>
      <c r="D969" s="30" t="str">
        <f t="array" ref="D969">IF($A969="", "", LET(bbgm_stat, INDEX(Players!$A968:$P968, MATCH(D$2, Players!$A$1:$P$1, 0)), perc_75, VLOOKUP(D$2, Percentiles!$A$45:$I$59, 6, FALSE), perc_90, VLOOKUP(D$2, Percentiles!$A$45:$I$59, 7, FALSE), perc_95, VLOOKUP(D$2, Percentiles!$A$45:$I$59, 8, FALSE), perc_85, perc_75 + (perc_90 - perc_75) * (2/3), converted_stat, '2K_Ratings'!D969, IF(bbgm_stat &gt;= perc_95, converted_stat * 3, IF(bbgm_stat &gt;= perc_90, converted_stat * 2, IF(bbgm_stat &gt;= perc_85, converted_stat * 1.5, converted_stat)))))</f>
        <v/>
      </c>
      <c r="E969" s="30" t="str">
        <f t="array" ref="E969">IF($A969="", "", LET(bbgm_stat, INDEX(Players!$A968:$P968, MATCH(E$2, Players!$A$1:$P$1, 0)), perc_75, VLOOKUP(E$2, Percentiles!$A$45:$I$59, 6, FALSE), perc_90, VLOOKUP(E$2, Percentiles!$A$45:$I$59, 7, FALSE), perc_95, VLOOKUP(E$2, Percentiles!$A$45:$I$59, 8, FALSE), perc_85, perc_75 + (perc_90 - perc_75) * (2/3), converted_stat, '2K_Ratings'!E969, IF(bbgm_stat &gt;= perc_95, converted_stat * 3, IF(bbgm_stat &gt;= perc_90, converted_stat * 2, IF(bbgm_stat &gt;= perc_85, converted_stat * 1.5, converted_stat)))))</f>
        <v/>
      </c>
      <c r="F969" s="30" t="str">
        <f t="array" ref="F969">IF($A969="", "", LET(bbgm_stat, INDEX(Players!$A968:$P968, MATCH(F$2, Players!$A$1:$P$1, 0)), perc_75, VLOOKUP(F$2, Percentiles!$A$45:$I$59, 6, FALSE), perc_90, VLOOKUP(F$2, Percentiles!$A$45:$I$59, 7, FALSE), perc_95, VLOOKUP(F$2, Percentiles!$A$45:$I$59, 8, FALSE), perc_85, perc_75 + (perc_90 - perc_75) * (2/3), converted_stat, '2K_Ratings'!F969, IF(bbgm_stat &gt;= perc_95, converted_stat * 3, IF(bbgm_stat &gt;= perc_90, converted_stat * 2, IF(bbgm_stat &gt;= perc_85, converted_stat * 1.5, converted_stat)))))</f>
        <v/>
      </c>
      <c r="G969" s="30" t="str">
        <f t="array" ref="G969">IF($A969="", "", LET(bbgm_stat, INDEX(Players!$A968:$P968, MATCH(G$2, Players!$A$1:$P$1, 0)), perc_75, VLOOKUP(G$2, Percentiles!$A$45:$I$59, 6, FALSE), perc_90, VLOOKUP(G$2, Percentiles!$A$45:$I$59, 7, FALSE), perc_95, VLOOKUP(G$2, Percentiles!$A$45:$I$59, 8, FALSE), perc_85, perc_75 + (perc_90 - perc_75) * (2/3), converted_stat, '2K_Ratings'!G969, IF(bbgm_stat &gt;= perc_95, converted_stat * 3, IF(bbgm_stat &gt;= perc_90, converted_stat * 2, IF(bbgm_stat &gt;= perc_85, converted_stat * 1.5, converted_stat)))))</f>
        <v/>
      </c>
      <c r="H969" s="30" t="str">
        <f t="array" ref="H969">IF($A969="", "", LET(bbgm_stat, INDEX(Players!$A968:$P968, MATCH(H$2, Players!$A$1:$P$1, 0)), perc_75, VLOOKUP(H$2, Percentiles!$A$45:$I$59, 6, FALSE), perc_90, VLOOKUP(H$2, Percentiles!$A$45:$I$59, 7, FALSE), perc_95, VLOOKUP(H$2, Percentiles!$A$45:$I$59, 8, FALSE), perc_85, perc_75 + (perc_90 - perc_75) * (2/3), converted_stat, '2K_Ratings'!H969, IF(bbgm_stat &gt;= perc_95, converted_stat * 3, IF(bbgm_stat &gt;= perc_90, converted_stat * 2, IF(bbgm_stat &gt;= perc_85, converted_stat * 1.5, converted_stat)))))</f>
        <v/>
      </c>
      <c r="I969" s="30" t="str">
        <f t="array" ref="I969">IF($A969="", "", LET(bbgm_stat, INDEX(Players!$A968:$P968, MATCH(I$2, Players!$A$1:$P$1, 0)), perc_75, VLOOKUP(I$2, Percentiles!$A$45:$I$59, 6, FALSE), perc_90, VLOOKUP(I$2, Percentiles!$A$45:$I$59, 7, FALSE), perc_95, VLOOKUP(I$2, Percentiles!$A$45:$I$59, 8, FALSE), perc_85, perc_75 + (perc_90 - perc_75) * (2/3), converted_stat, '2K_Ratings'!I969, IF(bbgm_stat &gt;= perc_95, converted_stat * 3, IF(bbgm_stat &gt;= perc_90, converted_stat * 2, IF(bbgm_stat &gt;= perc_85, converted_stat * 1.5, converted_stat)))))</f>
        <v/>
      </c>
      <c r="J969" s="30" t="str">
        <f t="array" ref="J969">IF($A969="", "", LET(bbgm_stat, INDEX(Players!$A968:$P968, MATCH(J$2, Players!$A$1:$P$1, 0)), perc_75, VLOOKUP(J$2, Percentiles!$A$45:$I$59, 6, FALSE), perc_90, VLOOKUP(J$2, Percentiles!$A$45:$I$59, 7, FALSE), perc_95, VLOOKUP(J$2, Percentiles!$A$45:$I$59, 8, FALSE), perc_85, perc_75 + (perc_90 - perc_75) * (2/3), converted_stat, '2K_Ratings'!J969, IF(bbgm_stat &gt;= perc_95, converted_stat * 3, IF(bbgm_stat &gt;= perc_90, converted_stat * 2, IF(bbgm_stat &gt;= perc_85, converted_stat * 1.5, converted_stat)))))</f>
        <v/>
      </c>
      <c r="K969" s="30" t="str">
        <f t="array" ref="K969">IF($A969="", "", LET(bbgm_stat, INDEX(Players!$A968:$P968, MATCH(K$2, Players!$A$1:$P$1, 0)), perc_75, VLOOKUP(K$2, Percentiles!$A$45:$I$59, 6, FALSE), perc_90, VLOOKUP(K$2, Percentiles!$A$45:$I$59, 7, FALSE), perc_95, VLOOKUP(K$2, Percentiles!$A$45:$I$59, 8, FALSE), perc_85, perc_75 + (perc_90 - perc_75) * (2/3), converted_stat, '2K_Ratings'!K969, IF(bbgm_stat &gt;= perc_95, converted_stat * 3, IF(bbgm_stat &gt;= perc_90, converted_stat * 2, IF(bbgm_stat &gt;= perc_85, converted_stat * 1.5, converted_stat)))))</f>
        <v/>
      </c>
      <c r="L969" s="30" t="str">
        <f t="array" ref="L969">IF($A969="", "", LET(bbgm_stat, INDEX(Players!$A968:$P968, MATCH(L$2, Players!$A$1:$P$1, 0)), perc_75, VLOOKUP(L$2, Percentiles!$A$45:$I$59, 6, FALSE), perc_90, VLOOKUP(L$2, Percentiles!$A$45:$I$59, 7, FALSE), perc_95, VLOOKUP(L$2, Percentiles!$A$45:$I$59, 8, FALSE), perc_85, perc_75 + (perc_90 - perc_75) * (2/3), converted_stat, '2K_Ratings'!L969, IF(bbgm_stat &gt;= perc_95, converted_stat * 3, IF(bbgm_stat &gt;= perc_90, converted_stat * 2, IF(bbgm_stat &gt;= perc_85, converted_stat * 1.5, converted_stat)))))</f>
        <v/>
      </c>
      <c r="M969" s="30" t="str">
        <f t="array" ref="M969">IF($A969="", "", LET(bbgm_stat, INDEX(Players!$A968:$P968, MATCH(M$2, Players!$A$1:$P$1, 0)), perc_75, VLOOKUP(M$2, Percentiles!$A$45:$I$59, 6, FALSE), perc_90, VLOOKUP(M$2, Percentiles!$A$45:$I$59, 7, FALSE), perc_95, VLOOKUP(M$2, Percentiles!$A$45:$I$59, 8, FALSE), perc_85, perc_75 + (perc_90 - perc_75) * (2/3), converted_stat, '2K_Ratings'!M969, IF(bbgm_stat &gt;= perc_95, converted_stat * 3, IF(bbgm_stat &gt;= perc_90, converted_stat * 2, IF(bbgm_stat &gt;= perc_85, converted_stat * 1.5, converted_stat)))))</f>
        <v/>
      </c>
      <c r="N969" s="30" t="str">
        <f t="array" ref="N969">IF($A969="", "", LET(bbgm_stat, INDEX(Players!$A968:$P968, MATCH(N$2, Players!$A$1:$P$1, 0)), perc_75, VLOOKUP(N$2, Percentiles!$A$45:$I$59, 6, FALSE), perc_90, VLOOKUP(N$2, Percentiles!$A$45:$I$59, 7, FALSE), perc_95, VLOOKUP(N$2, Percentiles!$A$45:$I$59, 8, FALSE), perc_85, perc_75 + (perc_90 - perc_75) * (2/3), converted_stat, '2K_Ratings'!N969, IF(bbgm_stat &gt;= perc_95, converted_stat * 3, IF(bbgm_stat &gt;= perc_90, converted_stat * 2, IF(bbgm_stat &gt;= perc_85, converted_stat * 1.5, converted_stat)))))</f>
        <v/>
      </c>
      <c r="O969" s="30" t="str">
        <f t="array" ref="O969">IF($A969="", "", LET(bbgm_stat, INDEX(Players!$A968:$P968, MATCH(O$2, Players!$A$1:$P$1, 0)), perc_75, VLOOKUP(O$2, Percentiles!$A$45:$I$59, 6, FALSE), perc_90, VLOOKUP(O$2, Percentiles!$A$45:$I$59, 7, FALSE), perc_95, VLOOKUP(O$2, Percentiles!$A$45:$I$59, 8, FALSE), perc_85, perc_75 + (perc_90 - perc_75) * (2/3), converted_stat, '2K_Ratings'!O969, IF(bbgm_stat &gt;= perc_95, converted_stat * 3, IF(bbgm_stat &gt;= perc_90, converted_stat * 2, IF(bbgm_stat &gt;= perc_85, converted_stat * 1.5, converted_stat)))))</f>
        <v/>
      </c>
      <c r="P969" s="30" t="str">
        <f t="array" ref="P969">IF($A969="", "", LET(bbgm_stat, INDEX(Players!$A968:$P968, MATCH(P$2, Players!$A$1:$P$1, 0)), perc_75, VLOOKUP(P$2, Percentiles!$A$45:$I$59, 6, FALSE), perc_90, VLOOKUP(P$2, Percentiles!$A$45:$I$59, 7, FALSE), perc_95, VLOOKUP(P$2, Percentiles!$A$45:$I$59, 8, FALSE), perc_85, perc_75 + (perc_90 - perc_75) * (2/3), converted_stat, '2K_Ratings'!P969, IF(bbgm_stat &gt;= perc_95, converted_stat * 3, IF(bbgm_stat &gt;= perc_90, converted_stat * 2, IF(bbgm_stat &gt;= perc_85, converted_stat * 1.5, converted_stat)))))</f>
        <v/>
      </c>
      <c r="Q969" s="30" t="str">
        <f t="array" ref="Q969">IF($A969="", "", LET(bbgm_stat, INDEX(Players!$A968:$P968, MATCH(Q$2, Players!$A$1:$P$1, 0)), perc_75, VLOOKUP(Q$2, Percentiles!$A$45:$I$59, 6, FALSE), perc_90, VLOOKUP(Q$2, Percentiles!$A$45:$I$59, 7, FALSE), perc_95, VLOOKUP(Q$2, Percentiles!$A$45:$I$59, 8, FALSE), perc_85, perc_75 + (perc_90 - perc_75) * (2/3), converted_stat, '2K_Ratings'!Q969, IF(bbgm_stat &gt;= perc_95, converted_stat * 3, IF(bbgm_stat &gt;= perc_90, converted_stat * 2, IF(bbgm_stat &gt;= perc_85, converted_stat * 1.5, converted_stat)))))</f>
        <v/>
      </c>
      <c r="R969" s="30" t="str">
        <f t="array" ref="R969">IF($A969="", "", LET(bbgm_stat, INDEX(Players!$A968:$P968, MATCH(R$2, Players!$A$1:$P$1, 0)), perc_75, VLOOKUP(R$2, Percentiles!$A$45:$I$59, 6, FALSE), perc_90, VLOOKUP(R$2, Percentiles!$A$45:$I$59, 7, FALSE), perc_95, VLOOKUP(R$2, Percentiles!$A$45:$I$59, 8, FALSE), perc_85, perc_75 + (perc_90 - perc_75) * (2/3), converted_stat, '2K_Ratings'!R969, IF(bbgm_stat &gt;= perc_95, converted_stat * 3, IF(bbgm_stat &gt;= perc_90, converted_stat * 2, IF(bbgm_stat &gt;= perc_85, converted_stat * 1.5, converted_stat)))))</f>
        <v/>
      </c>
      <c r="S969" s="30" t="str">
        <f t="array" ref="S969">IF($A969="", "", LET(bbgm_stat, INDEX(Players!$A968:$P968, MATCH(S$2, Players!$A$1:$P$1, 0)), perc_75, VLOOKUP(S$2, Percentiles!$A$45:$I$59, 6, FALSE), perc_90, VLOOKUP(S$2, Percentiles!$A$45:$I$59, 7, FALSE), perc_95, VLOOKUP(S$2, Percentiles!$A$45:$I$59, 8, FALSE), perc_85, perc_75 + (perc_90 - perc_75) * (2/3), converted_stat, '2K_Ratings'!S969, IF(bbgm_stat &gt;= perc_95, converted_stat * 3, IF(bbgm_stat &gt;= perc_90, converted_stat * 2, IF(bbgm_stat &gt;= perc_85, converted_stat * 1.5, converted_stat)))))</f>
        <v/>
      </c>
      <c r="T969" s="30" t="str">
        <f t="array" ref="T969">IF($A969="", "", LET(bbgm_stat, INDEX(Players!$A968:$P968, MATCH(T$2, Players!$A$1:$P$1, 0)), perc_75, VLOOKUP(T$2, Percentiles!$A$45:$I$59, 6, FALSE), perc_90, VLOOKUP(T$2, Percentiles!$A$45:$I$59, 7, FALSE), perc_95, VLOOKUP(T$2, Percentiles!$A$45:$I$59, 8, FALSE), perc_85, perc_75 + (perc_90 - perc_75) * (2/3), converted_stat, '2K_Ratings'!T969, IF(bbgm_stat &gt;= perc_95, converted_stat * 3, IF(bbgm_stat &gt;= perc_90, converted_stat * 2, IF(bbgm_stat &gt;= perc_85, converted_stat * 1.5, converted_stat)))))</f>
        <v/>
      </c>
      <c r="U969" s="30" t="str">
        <f t="array" ref="U969">IF($A969="", "", LET(bbgm_stat, INDEX(Players!$A968:$P968, MATCH(U$2, Players!$A$1:$P$1, 0)), perc_75, VLOOKUP(U$2, Percentiles!$A$45:$I$59, 6, FALSE), perc_90, VLOOKUP(U$2, Percentiles!$A$45:$I$59, 7, FALSE), perc_95, VLOOKUP(U$2, Percentiles!$A$45:$I$59, 8, FALSE), perc_85, perc_75 + (perc_90 - perc_75) * (2/3), converted_stat, '2K_Ratings'!U969, IF(bbgm_stat &gt;= perc_95, converted_stat * 3, IF(bbgm_stat &gt;= perc_90, converted_stat * 2, IF(bbgm_stat &gt;= perc_85, converted_stat * 1.5, converted_stat)))))</f>
        <v/>
      </c>
      <c r="V969" s="30" t="str">
        <f t="array" ref="V969">IF($A969="", "", LET(bbgm_stat, INDEX(Players!$A968:$P968, MATCH(V$2, Players!$A$1:$P$1, 0)), perc_75, VLOOKUP(V$2, Percentiles!$A$45:$I$59, 6, FALSE), perc_90, VLOOKUP(V$2, Percentiles!$A$45:$I$59, 7, FALSE), perc_95, VLOOKUP(V$2, Percentiles!$A$45:$I$59, 8, FALSE), perc_85, perc_75 + (perc_90 - perc_75) * (2/3), converted_stat, '2K_Ratings'!V969, IF(bbgm_stat &gt;= perc_95, converted_stat * 3, IF(bbgm_stat &gt;= perc_90, converted_stat * 2, IF(bbgm_stat &gt;= perc_85, converted_stat * 1.5, converted_stat)))))</f>
        <v/>
      </c>
      <c r="W969" s="30" t="str">
        <f t="array" ref="W969">IF($A969="", "", LET(bbgm_stat, INDEX(Players!$A968:$P968, MATCH(W$2, Players!$A$1:$P$1, 0)), perc_75, VLOOKUP(W$2, Percentiles!$A$45:$I$59, 6, FALSE), perc_90, VLOOKUP(W$2, Percentiles!$A$45:$I$59, 7, FALSE), perc_95, VLOOKUP(W$2, Percentiles!$A$45:$I$59, 8, FALSE), perc_85, perc_75 + (perc_90 - perc_75) * (2/3), converted_stat, '2K_Ratings'!W969, IF(bbgm_stat &gt;= perc_95, converted_stat * 3, IF(bbgm_stat &gt;= perc_90, converted_stat * 2, IF(bbgm_stat &gt;= perc_85, converted_stat * 1.5, converted_stat)))))</f>
        <v/>
      </c>
    </row>
    <row r="970">
      <c r="A970" s="30"/>
      <c r="B970" s="30" t="str">
        <f t="array" ref="B970">IF($A970="", "", LET(bbgm_stat, INDEX(Players!$A969:$P969, MATCH(B$2, Players!$A$1:$P$1, 0)), perc_75, VLOOKUP(B$2, Percentiles!$A$45:$I$59, 6, FALSE), perc_90, VLOOKUP(B$2, Percentiles!$A$45:$I$59, 7, FALSE), perc_95, VLOOKUP(B$2, Percentiles!$A$45:$I$59, 8, FALSE), perc_85, perc_75 + (perc_90 - perc_75) * (2/3), converted_stat, '2K_Ratings'!B970, IF(bbgm_stat &gt;= perc_95, converted_stat * 3, IF(bbgm_stat &gt;= perc_90, converted_stat * 2, IF(bbgm_stat &gt;= perc_85, converted_stat * 1.5, converted_stat)))))</f>
        <v/>
      </c>
      <c r="C970" s="30" t="str">
        <f t="array" ref="C970">IF($A970="", "", LET(bbgm_stat, INDEX(Players!$A969:$P969, MATCH(C$2, Players!$A$1:$P$1, 0)), perc_75, VLOOKUP(C$2, Percentiles!$A$45:$I$59, 6, FALSE), perc_90, VLOOKUP(C$2, Percentiles!$A$45:$I$59, 7, FALSE), perc_95, VLOOKUP(C$2, Percentiles!$A$45:$I$59, 8, FALSE), perc_85, perc_75 + (perc_90 - perc_75) * (2/3), converted_stat, '2K_Ratings'!C970, IF(bbgm_stat &gt;= perc_95, converted_stat * 3, IF(bbgm_stat &gt;= perc_90, converted_stat * 2, IF(bbgm_stat &gt;= perc_85, converted_stat * 1.5, converted_stat)))))</f>
        <v/>
      </c>
      <c r="D970" s="30" t="str">
        <f t="array" ref="D970">IF($A970="", "", LET(bbgm_stat, INDEX(Players!$A969:$P969, MATCH(D$2, Players!$A$1:$P$1, 0)), perc_75, VLOOKUP(D$2, Percentiles!$A$45:$I$59, 6, FALSE), perc_90, VLOOKUP(D$2, Percentiles!$A$45:$I$59, 7, FALSE), perc_95, VLOOKUP(D$2, Percentiles!$A$45:$I$59, 8, FALSE), perc_85, perc_75 + (perc_90 - perc_75) * (2/3), converted_stat, '2K_Ratings'!D970, IF(bbgm_stat &gt;= perc_95, converted_stat * 3, IF(bbgm_stat &gt;= perc_90, converted_stat * 2, IF(bbgm_stat &gt;= perc_85, converted_stat * 1.5, converted_stat)))))</f>
        <v/>
      </c>
      <c r="E970" s="30" t="str">
        <f t="array" ref="E970">IF($A970="", "", LET(bbgm_stat, INDEX(Players!$A969:$P969, MATCH(E$2, Players!$A$1:$P$1, 0)), perc_75, VLOOKUP(E$2, Percentiles!$A$45:$I$59, 6, FALSE), perc_90, VLOOKUP(E$2, Percentiles!$A$45:$I$59, 7, FALSE), perc_95, VLOOKUP(E$2, Percentiles!$A$45:$I$59, 8, FALSE), perc_85, perc_75 + (perc_90 - perc_75) * (2/3), converted_stat, '2K_Ratings'!E970, IF(bbgm_stat &gt;= perc_95, converted_stat * 3, IF(bbgm_stat &gt;= perc_90, converted_stat * 2, IF(bbgm_stat &gt;= perc_85, converted_stat * 1.5, converted_stat)))))</f>
        <v/>
      </c>
      <c r="F970" s="30" t="str">
        <f t="array" ref="F970">IF($A970="", "", LET(bbgm_stat, INDEX(Players!$A969:$P969, MATCH(F$2, Players!$A$1:$P$1, 0)), perc_75, VLOOKUP(F$2, Percentiles!$A$45:$I$59, 6, FALSE), perc_90, VLOOKUP(F$2, Percentiles!$A$45:$I$59, 7, FALSE), perc_95, VLOOKUP(F$2, Percentiles!$A$45:$I$59, 8, FALSE), perc_85, perc_75 + (perc_90 - perc_75) * (2/3), converted_stat, '2K_Ratings'!F970, IF(bbgm_stat &gt;= perc_95, converted_stat * 3, IF(bbgm_stat &gt;= perc_90, converted_stat * 2, IF(bbgm_stat &gt;= perc_85, converted_stat * 1.5, converted_stat)))))</f>
        <v/>
      </c>
      <c r="G970" s="30" t="str">
        <f t="array" ref="G970">IF($A970="", "", LET(bbgm_stat, INDEX(Players!$A969:$P969, MATCH(G$2, Players!$A$1:$P$1, 0)), perc_75, VLOOKUP(G$2, Percentiles!$A$45:$I$59, 6, FALSE), perc_90, VLOOKUP(G$2, Percentiles!$A$45:$I$59, 7, FALSE), perc_95, VLOOKUP(G$2, Percentiles!$A$45:$I$59, 8, FALSE), perc_85, perc_75 + (perc_90 - perc_75) * (2/3), converted_stat, '2K_Ratings'!G970, IF(bbgm_stat &gt;= perc_95, converted_stat * 3, IF(bbgm_stat &gt;= perc_90, converted_stat * 2, IF(bbgm_stat &gt;= perc_85, converted_stat * 1.5, converted_stat)))))</f>
        <v/>
      </c>
      <c r="H970" s="30" t="str">
        <f t="array" ref="H970">IF($A970="", "", LET(bbgm_stat, INDEX(Players!$A969:$P969, MATCH(H$2, Players!$A$1:$P$1, 0)), perc_75, VLOOKUP(H$2, Percentiles!$A$45:$I$59, 6, FALSE), perc_90, VLOOKUP(H$2, Percentiles!$A$45:$I$59, 7, FALSE), perc_95, VLOOKUP(H$2, Percentiles!$A$45:$I$59, 8, FALSE), perc_85, perc_75 + (perc_90 - perc_75) * (2/3), converted_stat, '2K_Ratings'!H970, IF(bbgm_stat &gt;= perc_95, converted_stat * 3, IF(bbgm_stat &gt;= perc_90, converted_stat * 2, IF(bbgm_stat &gt;= perc_85, converted_stat * 1.5, converted_stat)))))</f>
        <v/>
      </c>
      <c r="I970" s="30" t="str">
        <f t="array" ref="I970">IF($A970="", "", LET(bbgm_stat, INDEX(Players!$A969:$P969, MATCH(I$2, Players!$A$1:$P$1, 0)), perc_75, VLOOKUP(I$2, Percentiles!$A$45:$I$59, 6, FALSE), perc_90, VLOOKUP(I$2, Percentiles!$A$45:$I$59, 7, FALSE), perc_95, VLOOKUP(I$2, Percentiles!$A$45:$I$59, 8, FALSE), perc_85, perc_75 + (perc_90 - perc_75) * (2/3), converted_stat, '2K_Ratings'!I970, IF(bbgm_stat &gt;= perc_95, converted_stat * 3, IF(bbgm_stat &gt;= perc_90, converted_stat * 2, IF(bbgm_stat &gt;= perc_85, converted_stat * 1.5, converted_stat)))))</f>
        <v/>
      </c>
      <c r="J970" s="30" t="str">
        <f t="array" ref="J970">IF($A970="", "", LET(bbgm_stat, INDEX(Players!$A969:$P969, MATCH(J$2, Players!$A$1:$P$1, 0)), perc_75, VLOOKUP(J$2, Percentiles!$A$45:$I$59, 6, FALSE), perc_90, VLOOKUP(J$2, Percentiles!$A$45:$I$59, 7, FALSE), perc_95, VLOOKUP(J$2, Percentiles!$A$45:$I$59, 8, FALSE), perc_85, perc_75 + (perc_90 - perc_75) * (2/3), converted_stat, '2K_Ratings'!J970, IF(bbgm_stat &gt;= perc_95, converted_stat * 3, IF(bbgm_stat &gt;= perc_90, converted_stat * 2, IF(bbgm_stat &gt;= perc_85, converted_stat * 1.5, converted_stat)))))</f>
        <v/>
      </c>
      <c r="K970" s="30" t="str">
        <f t="array" ref="K970">IF($A970="", "", LET(bbgm_stat, INDEX(Players!$A969:$P969, MATCH(K$2, Players!$A$1:$P$1, 0)), perc_75, VLOOKUP(K$2, Percentiles!$A$45:$I$59, 6, FALSE), perc_90, VLOOKUP(K$2, Percentiles!$A$45:$I$59, 7, FALSE), perc_95, VLOOKUP(K$2, Percentiles!$A$45:$I$59, 8, FALSE), perc_85, perc_75 + (perc_90 - perc_75) * (2/3), converted_stat, '2K_Ratings'!K970, IF(bbgm_stat &gt;= perc_95, converted_stat * 3, IF(bbgm_stat &gt;= perc_90, converted_stat * 2, IF(bbgm_stat &gt;= perc_85, converted_stat * 1.5, converted_stat)))))</f>
        <v/>
      </c>
      <c r="L970" s="30" t="str">
        <f t="array" ref="L970">IF($A970="", "", LET(bbgm_stat, INDEX(Players!$A969:$P969, MATCH(L$2, Players!$A$1:$P$1, 0)), perc_75, VLOOKUP(L$2, Percentiles!$A$45:$I$59, 6, FALSE), perc_90, VLOOKUP(L$2, Percentiles!$A$45:$I$59, 7, FALSE), perc_95, VLOOKUP(L$2, Percentiles!$A$45:$I$59, 8, FALSE), perc_85, perc_75 + (perc_90 - perc_75) * (2/3), converted_stat, '2K_Ratings'!L970, IF(bbgm_stat &gt;= perc_95, converted_stat * 3, IF(bbgm_stat &gt;= perc_90, converted_stat * 2, IF(bbgm_stat &gt;= perc_85, converted_stat * 1.5, converted_stat)))))</f>
        <v/>
      </c>
      <c r="M970" s="30" t="str">
        <f t="array" ref="M970">IF($A970="", "", LET(bbgm_stat, INDEX(Players!$A969:$P969, MATCH(M$2, Players!$A$1:$P$1, 0)), perc_75, VLOOKUP(M$2, Percentiles!$A$45:$I$59, 6, FALSE), perc_90, VLOOKUP(M$2, Percentiles!$A$45:$I$59, 7, FALSE), perc_95, VLOOKUP(M$2, Percentiles!$A$45:$I$59, 8, FALSE), perc_85, perc_75 + (perc_90 - perc_75) * (2/3), converted_stat, '2K_Ratings'!M970, IF(bbgm_stat &gt;= perc_95, converted_stat * 3, IF(bbgm_stat &gt;= perc_90, converted_stat * 2, IF(bbgm_stat &gt;= perc_85, converted_stat * 1.5, converted_stat)))))</f>
        <v/>
      </c>
      <c r="N970" s="30" t="str">
        <f t="array" ref="N970">IF($A970="", "", LET(bbgm_stat, INDEX(Players!$A969:$P969, MATCH(N$2, Players!$A$1:$P$1, 0)), perc_75, VLOOKUP(N$2, Percentiles!$A$45:$I$59, 6, FALSE), perc_90, VLOOKUP(N$2, Percentiles!$A$45:$I$59, 7, FALSE), perc_95, VLOOKUP(N$2, Percentiles!$A$45:$I$59, 8, FALSE), perc_85, perc_75 + (perc_90 - perc_75) * (2/3), converted_stat, '2K_Ratings'!N970, IF(bbgm_stat &gt;= perc_95, converted_stat * 3, IF(bbgm_stat &gt;= perc_90, converted_stat * 2, IF(bbgm_stat &gt;= perc_85, converted_stat * 1.5, converted_stat)))))</f>
        <v/>
      </c>
      <c r="O970" s="30" t="str">
        <f t="array" ref="O970">IF($A970="", "", LET(bbgm_stat, INDEX(Players!$A969:$P969, MATCH(O$2, Players!$A$1:$P$1, 0)), perc_75, VLOOKUP(O$2, Percentiles!$A$45:$I$59, 6, FALSE), perc_90, VLOOKUP(O$2, Percentiles!$A$45:$I$59, 7, FALSE), perc_95, VLOOKUP(O$2, Percentiles!$A$45:$I$59, 8, FALSE), perc_85, perc_75 + (perc_90 - perc_75) * (2/3), converted_stat, '2K_Ratings'!O970, IF(bbgm_stat &gt;= perc_95, converted_stat * 3, IF(bbgm_stat &gt;= perc_90, converted_stat * 2, IF(bbgm_stat &gt;= perc_85, converted_stat * 1.5, converted_stat)))))</f>
        <v/>
      </c>
      <c r="P970" s="30" t="str">
        <f t="array" ref="P970">IF($A970="", "", LET(bbgm_stat, INDEX(Players!$A969:$P969, MATCH(P$2, Players!$A$1:$P$1, 0)), perc_75, VLOOKUP(P$2, Percentiles!$A$45:$I$59, 6, FALSE), perc_90, VLOOKUP(P$2, Percentiles!$A$45:$I$59, 7, FALSE), perc_95, VLOOKUP(P$2, Percentiles!$A$45:$I$59, 8, FALSE), perc_85, perc_75 + (perc_90 - perc_75) * (2/3), converted_stat, '2K_Ratings'!P970, IF(bbgm_stat &gt;= perc_95, converted_stat * 3, IF(bbgm_stat &gt;= perc_90, converted_stat * 2, IF(bbgm_stat &gt;= perc_85, converted_stat * 1.5, converted_stat)))))</f>
        <v/>
      </c>
      <c r="Q970" s="30" t="str">
        <f t="array" ref="Q970">IF($A970="", "", LET(bbgm_stat, INDEX(Players!$A969:$P969, MATCH(Q$2, Players!$A$1:$P$1, 0)), perc_75, VLOOKUP(Q$2, Percentiles!$A$45:$I$59, 6, FALSE), perc_90, VLOOKUP(Q$2, Percentiles!$A$45:$I$59, 7, FALSE), perc_95, VLOOKUP(Q$2, Percentiles!$A$45:$I$59, 8, FALSE), perc_85, perc_75 + (perc_90 - perc_75) * (2/3), converted_stat, '2K_Ratings'!Q970, IF(bbgm_stat &gt;= perc_95, converted_stat * 3, IF(bbgm_stat &gt;= perc_90, converted_stat * 2, IF(bbgm_stat &gt;= perc_85, converted_stat * 1.5, converted_stat)))))</f>
        <v/>
      </c>
      <c r="R970" s="30" t="str">
        <f t="array" ref="R970">IF($A970="", "", LET(bbgm_stat, INDEX(Players!$A969:$P969, MATCH(R$2, Players!$A$1:$P$1, 0)), perc_75, VLOOKUP(R$2, Percentiles!$A$45:$I$59, 6, FALSE), perc_90, VLOOKUP(R$2, Percentiles!$A$45:$I$59, 7, FALSE), perc_95, VLOOKUP(R$2, Percentiles!$A$45:$I$59, 8, FALSE), perc_85, perc_75 + (perc_90 - perc_75) * (2/3), converted_stat, '2K_Ratings'!R970, IF(bbgm_stat &gt;= perc_95, converted_stat * 3, IF(bbgm_stat &gt;= perc_90, converted_stat * 2, IF(bbgm_stat &gt;= perc_85, converted_stat * 1.5, converted_stat)))))</f>
        <v/>
      </c>
      <c r="S970" s="30" t="str">
        <f t="array" ref="S970">IF($A970="", "", LET(bbgm_stat, INDEX(Players!$A969:$P969, MATCH(S$2, Players!$A$1:$P$1, 0)), perc_75, VLOOKUP(S$2, Percentiles!$A$45:$I$59, 6, FALSE), perc_90, VLOOKUP(S$2, Percentiles!$A$45:$I$59, 7, FALSE), perc_95, VLOOKUP(S$2, Percentiles!$A$45:$I$59, 8, FALSE), perc_85, perc_75 + (perc_90 - perc_75) * (2/3), converted_stat, '2K_Ratings'!S970, IF(bbgm_stat &gt;= perc_95, converted_stat * 3, IF(bbgm_stat &gt;= perc_90, converted_stat * 2, IF(bbgm_stat &gt;= perc_85, converted_stat * 1.5, converted_stat)))))</f>
        <v/>
      </c>
      <c r="T970" s="30" t="str">
        <f t="array" ref="T970">IF($A970="", "", LET(bbgm_stat, INDEX(Players!$A969:$P969, MATCH(T$2, Players!$A$1:$P$1, 0)), perc_75, VLOOKUP(T$2, Percentiles!$A$45:$I$59, 6, FALSE), perc_90, VLOOKUP(T$2, Percentiles!$A$45:$I$59, 7, FALSE), perc_95, VLOOKUP(T$2, Percentiles!$A$45:$I$59, 8, FALSE), perc_85, perc_75 + (perc_90 - perc_75) * (2/3), converted_stat, '2K_Ratings'!T970, IF(bbgm_stat &gt;= perc_95, converted_stat * 3, IF(bbgm_stat &gt;= perc_90, converted_stat * 2, IF(bbgm_stat &gt;= perc_85, converted_stat * 1.5, converted_stat)))))</f>
        <v/>
      </c>
      <c r="U970" s="30" t="str">
        <f t="array" ref="U970">IF($A970="", "", LET(bbgm_stat, INDEX(Players!$A969:$P969, MATCH(U$2, Players!$A$1:$P$1, 0)), perc_75, VLOOKUP(U$2, Percentiles!$A$45:$I$59, 6, FALSE), perc_90, VLOOKUP(U$2, Percentiles!$A$45:$I$59, 7, FALSE), perc_95, VLOOKUP(U$2, Percentiles!$A$45:$I$59, 8, FALSE), perc_85, perc_75 + (perc_90 - perc_75) * (2/3), converted_stat, '2K_Ratings'!U970, IF(bbgm_stat &gt;= perc_95, converted_stat * 3, IF(bbgm_stat &gt;= perc_90, converted_stat * 2, IF(bbgm_stat &gt;= perc_85, converted_stat * 1.5, converted_stat)))))</f>
        <v/>
      </c>
      <c r="V970" s="30" t="str">
        <f t="array" ref="V970">IF($A970="", "", LET(bbgm_stat, INDEX(Players!$A969:$P969, MATCH(V$2, Players!$A$1:$P$1, 0)), perc_75, VLOOKUP(V$2, Percentiles!$A$45:$I$59, 6, FALSE), perc_90, VLOOKUP(V$2, Percentiles!$A$45:$I$59, 7, FALSE), perc_95, VLOOKUP(V$2, Percentiles!$A$45:$I$59, 8, FALSE), perc_85, perc_75 + (perc_90 - perc_75) * (2/3), converted_stat, '2K_Ratings'!V970, IF(bbgm_stat &gt;= perc_95, converted_stat * 3, IF(bbgm_stat &gt;= perc_90, converted_stat * 2, IF(bbgm_stat &gt;= perc_85, converted_stat * 1.5, converted_stat)))))</f>
        <v/>
      </c>
      <c r="W970" s="30" t="str">
        <f t="array" ref="W970">IF($A970="", "", LET(bbgm_stat, INDEX(Players!$A969:$P969, MATCH(W$2, Players!$A$1:$P$1, 0)), perc_75, VLOOKUP(W$2, Percentiles!$A$45:$I$59, 6, FALSE), perc_90, VLOOKUP(W$2, Percentiles!$A$45:$I$59, 7, FALSE), perc_95, VLOOKUP(W$2, Percentiles!$A$45:$I$59, 8, FALSE), perc_85, perc_75 + (perc_90 - perc_75) * (2/3), converted_stat, '2K_Ratings'!W970, IF(bbgm_stat &gt;= perc_95, converted_stat * 3, IF(bbgm_stat &gt;= perc_90, converted_stat * 2, IF(bbgm_stat &gt;= perc_85, converted_stat * 1.5, converted_stat)))))</f>
        <v/>
      </c>
    </row>
    <row r="971">
      <c r="A971" s="30"/>
      <c r="B971" s="30" t="str">
        <f t="array" ref="B971">IF($A971="", "", LET(bbgm_stat, INDEX(Players!$A970:$P970, MATCH(B$2, Players!$A$1:$P$1, 0)), perc_75, VLOOKUP(B$2, Percentiles!$A$45:$I$59, 6, FALSE), perc_90, VLOOKUP(B$2, Percentiles!$A$45:$I$59, 7, FALSE), perc_95, VLOOKUP(B$2, Percentiles!$A$45:$I$59, 8, FALSE), perc_85, perc_75 + (perc_90 - perc_75) * (2/3), converted_stat, '2K_Ratings'!B971, IF(bbgm_stat &gt;= perc_95, converted_stat * 3, IF(bbgm_stat &gt;= perc_90, converted_stat * 2, IF(bbgm_stat &gt;= perc_85, converted_stat * 1.5, converted_stat)))))</f>
        <v/>
      </c>
      <c r="C971" s="30" t="str">
        <f t="array" ref="C971">IF($A971="", "", LET(bbgm_stat, INDEX(Players!$A970:$P970, MATCH(C$2, Players!$A$1:$P$1, 0)), perc_75, VLOOKUP(C$2, Percentiles!$A$45:$I$59, 6, FALSE), perc_90, VLOOKUP(C$2, Percentiles!$A$45:$I$59, 7, FALSE), perc_95, VLOOKUP(C$2, Percentiles!$A$45:$I$59, 8, FALSE), perc_85, perc_75 + (perc_90 - perc_75) * (2/3), converted_stat, '2K_Ratings'!C971, IF(bbgm_stat &gt;= perc_95, converted_stat * 3, IF(bbgm_stat &gt;= perc_90, converted_stat * 2, IF(bbgm_stat &gt;= perc_85, converted_stat * 1.5, converted_stat)))))</f>
        <v/>
      </c>
      <c r="D971" s="30" t="str">
        <f t="array" ref="D971">IF($A971="", "", LET(bbgm_stat, INDEX(Players!$A970:$P970, MATCH(D$2, Players!$A$1:$P$1, 0)), perc_75, VLOOKUP(D$2, Percentiles!$A$45:$I$59, 6, FALSE), perc_90, VLOOKUP(D$2, Percentiles!$A$45:$I$59, 7, FALSE), perc_95, VLOOKUP(D$2, Percentiles!$A$45:$I$59, 8, FALSE), perc_85, perc_75 + (perc_90 - perc_75) * (2/3), converted_stat, '2K_Ratings'!D971, IF(bbgm_stat &gt;= perc_95, converted_stat * 3, IF(bbgm_stat &gt;= perc_90, converted_stat * 2, IF(bbgm_stat &gt;= perc_85, converted_stat * 1.5, converted_stat)))))</f>
        <v/>
      </c>
      <c r="E971" s="30" t="str">
        <f t="array" ref="E971">IF($A971="", "", LET(bbgm_stat, INDEX(Players!$A970:$P970, MATCH(E$2, Players!$A$1:$P$1, 0)), perc_75, VLOOKUP(E$2, Percentiles!$A$45:$I$59, 6, FALSE), perc_90, VLOOKUP(E$2, Percentiles!$A$45:$I$59, 7, FALSE), perc_95, VLOOKUP(E$2, Percentiles!$A$45:$I$59, 8, FALSE), perc_85, perc_75 + (perc_90 - perc_75) * (2/3), converted_stat, '2K_Ratings'!E971, IF(bbgm_stat &gt;= perc_95, converted_stat * 3, IF(bbgm_stat &gt;= perc_90, converted_stat * 2, IF(bbgm_stat &gt;= perc_85, converted_stat * 1.5, converted_stat)))))</f>
        <v/>
      </c>
      <c r="F971" s="30" t="str">
        <f t="array" ref="F971">IF($A971="", "", LET(bbgm_stat, INDEX(Players!$A970:$P970, MATCH(F$2, Players!$A$1:$P$1, 0)), perc_75, VLOOKUP(F$2, Percentiles!$A$45:$I$59, 6, FALSE), perc_90, VLOOKUP(F$2, Percentiles!$A$45:$I$59, 7, FALSE), perc_95, VLOOKUP(F$2, Percentiles!$A$45:$I$59, 8, FALSE), perc_85, perc_75 + (perc_90 - perc_75) * (2/3), converted_stat, '2K_Ratings'!F971, IF(bbgm_stat &gt;= perc_95, converted_stat * 3, IF(bbgm_stat &gt;= perc_90, converted_stat * 2, IF(bbgm_stat &gt;= perc_85, converted_stat * 1.5, converted_stat)))))</f>
        <v/>
      </c>
      <c r="G971" s="30" t="str">
        <f t="array" ref="G971">IF($A971="", "", LET(bbgm_stat, INDEX(Players!$A970:$P970, MATCH(G$2, Players!$A$1:$P$1, 0)), perc_75, VLOOKUP(G$2, Percentiles!$A$45:$I$59, 6, FALSE), perc_90, VLOOKUP(G$2, Percentiles!$A$45:$I$59, 7, FALSE), perc_95, VLOOKUP(G$2, Percentiles!$A$45:$I$59, 8, FALSE), perc_85, perc_75 + (perc_90 - perc_75) * (2/3), converted_stat, '2K_Ratings'!G971, IF(bbgm_stat &gt;= perc_95, converted_stat * 3, IF(bbgm_stat &gt;= perc_90, converted_stat * 2, IF(bbgm_stat &gt;= perc_85, converted_stat * 1.5, converted_stat)))))</f>
        <v/>
      </c>
      <c r="H971" s="30" t="str">
        <f t="array" ref="H971">IF($A971="", "", LET(bbgm_stat, INDEX(Players!$A970:$P970, MATCH(H$2, Players!$A$1:$P$1, 0)), perc_75, VLOOKUP(H$2, Percentiles!$A$45:$I$59, 6, FALSE), perc_90, VLOOKUP(H$2, Percentiles!$A$45:$I$59, 7, FALSE), perc_95, VLOOKUP(H$2, Percentiles!$A$45:$I$59, 8, FALSE), perc_85, perc_75 + (perc_90 - perc_75) * (2/3), converted_stat, '2K_Ratings'!H971, IF(bbgm_stat &gt;= perc_95, converted_stat * 3, IF(bbgm_stat &gt;= perc_90, converted_stat * 2, IF(bbgm_stat &gt;= perc_85, converted_stat * 1.5, converted_stat)))))</f>
        <v/>
      </c>
      <c r="I971" s="30" t="str">
        <f t="array" ref="I971">IF($A971="", "", LET(bbgm_stat, INDEX(Players!$A970:$P970, MATCH(I$2, Players!$A$1:$P$1, 0)), perc_75, VLOOKUP(I$2, Percentiles!$A$45:$I$59, 6, FALSE), perc_90, VLOOKUP(I$2, Percentiles!$A$45:$I$59, 7, FALSE), perc_95, VLOOKUP(I$2, Percentiles!$A$45:$I$59, 8, FALSE), perc_85, perc_75 + (perc_90 - perc_75) * (2/3), converted_stat, '2K_Ratings'!I971, IF(bbgm_stat &gt;= perc_95, converted_stat * 3, IF(bbgm_stat &gt;= perc_90, converted_stat * 2, IF(bbgm_stat &gt;= perc_85, converted_stat * 1.5, converted_stat)))))</f>
        <v/>
      </c>
      <c r="J971" s="30" t="str">
        <f t="array" ref="J971">IF($A971="", "", LET(bbgm_stat, INDEX(Players!$A970:$P970, MATCH(J$2, Players!$A$1:$P$1, 0)), perc_75, VLOOKUP(J$2, Percentiles!$A$45:$I$59, 6, FALSE), perc_90, VLOOKUP(J$2, Percentiles!$A$45:$I$59, 7, FALSE), perc_95, VLOOKUP(J$2, Percentiles!$A$45:$I$59, 8, FALSE), perc_85, perc_75 + (perc_90 - perc_75) * (2/3), converted_stat, '2K_Ratings'!J971, IF(bbgm_stat &gt;= perc_95, converted_stat * 3, IF(bbgm_stat &gt;= perc_90, converted_stat * 2, IF(bbgm_stat &gt;= perc_85, converted_stat * 1.5, converted_stat)))))</f>
        <v/>
      </c>
      <c r="K971" s="30" t="str">
        <f t="array" ref="K971">IF($A971="", "", LET(bbgm_stat, INDEX(Players!$A970:$P970, MATCH(K$2, Players!$A$1:$P$1, 0)), perc_75, VLOOKUP(K$2, Percentiles!$A$45:$I$59, 6, FALSE), perc_90, VLOOKUP(K$2, Percentiles!$A$45:$I$59, 7, FALSE), perc_95, VLOOKUP(K$2, Percentiles!$A$45:$I$59, 8, FALSE), perc_85, perc_75 + (perc_90 - perc_75) * (2/3), converted_stat, '2K_Ratings'!K971, IF(bbgm_stat &gt;= perc_95, converted_stat * 3, IF(bbgm_stat &gt;= perc_90, converted_stat * 2, IF(bbgm_stat &gt;= perc_85, converted_stat * 1.5, converted_stat)))))</f>
        <v/>
      </c>
      <c r="L971" s="30" t="str">
        <f t="array" ref="L971">IF($A971="", "", LET(bbgm_stat, INDEX(Players!$A970:$P970, MATCH(L$2, Players!$A$1:$P$1, 0)), perc_75, VLOOKUP(L$2, Percentiles!$A$45:$I$59, 6, FALSE), perc_90, VLOOKUP(L$2, Percentiles!$A$45:$I$59, 7, FALSE), perc_95, VLOOKUP(L$2, Percentiles!$A$45:$I$59, 8, FALSE), perc_85, perc_75 + (perc_90 - perc_75) * (2/3), converted_stat, '2K_Ratings'!L971, IF(bbgm_stat &gt;= perc_95, converted_stat * 3, IF(bbgm_stat &gt;= perc_90, converted_stat * 2, IF(bbgm_stat &gt;= perc_85, converted_stat * 1.5, converted_stat)))))</f>
        <v/>
      </c>
      <c r="M971" s="30" t="str">
        <f t="array" ref="M971">IF($A971="", "", LET(bbgm_stat, INDEX(Players!$A970:$P970, MATCH(M$2, Players!$A$1:$P$1, 0)), perc_75, VLOOKUP(M$2, Percentiles!$A$45:$I$59, 6, FALSE), perc_90, VLOOKUP(M$2, Percentiles!$A$45:$I$59, 7, FALSE), perc_95, VLOOKUP(M$2, Percentiles!$A$45:$I$59, 8, FALSE), perc_85, perc_75 + (perc_90 - perc_75) * (2/3), converted_stat, '2K_Ratings'!M971, IF(bbgm_stat &gt;= perc_95, converted_stat * 3, IF(bbgm_stat &gt;= perc_90, converted_stat * 2, IF(bbgm_stat &gt;= perc_85, converted_stat * 1.5, converted_stat)))))</f>
        <v/>
      </c>
      <c r="N971" s="30" t="str">
        <f t="array" ref="N971">IF($A971="", "", LET(bbgm_stat, INDEX(Players!$A970:$P970, MATCH(N$2, Players!$A$1:$P$1, 0)), perc_75, VLOOKUP(N$2, Percentiles!$A$45:$I$59, 6, FALSE), perc_90, VLOOKUP(N$2, Percentiles!$A$45:$I$59, 7, FALSE), perc_95, VLOOKUP(N$2, Percentiles!$A$45:$I$59, 8, FALSE), perc_85, perc_75 + (perc_90 - perc_75) * (2/3), converted_stat, '2K_Ratings'!N971, IF(bbgm_stat &gt;= perc_95, converted_stat * 3, IF(bbgm_stat &gt;= perc_90, converted_stat * 2, IF(bbgm_stat &gt;= perc_85, converted_stat * 1.5, converted_stat)))))</f>
        <v/>
      </c>
      <c r="O971" s="30" t="str">
        <f t="array" ref="O971">IF($A971="", "", LET(bbgm_stat, INDEX(Players!$A970:$P970, MATCH(O$2, Players!$A$1:$P$1, 0)), perc_75, VLOOKUP(O$2, Percentiles!$A$45:$I$59, 6, FALSE), perc_90, VLOOKUP(O$2, Percentiles!$A$45:$I$59, 7, FALSE), perc_95, VLOOKUP(O$2, Percentiles!$A$45:$I$59, 8, FALSE), perc_85, perc_75 + (perc_90 - perc_75) * (2/3), converted_stat, '2K_Ratings'!O971, IF(bbgm_stat &gt;= perc_95, converted_stat * 3, IF(bbgm_stat &gt;= perc_90, converted_stat * 2, IF(bbgm_stat &gt;= perc_85, converted_stat * 1.5, converted_stat)))))</f>
        <v/>
      </c>
      <c r="P971" s="30" t="str">
        <f t="array" ref="P971">IF($A971="", "", LET(bbgm_stat, INDEX(Players!$A970:$P970, MATCH(P$2, Players!$A$1:$P$1, 0)), perc_75, VLOOKUP(P$2, Percentiles!$A$45:$I$59, 6, FALSE), perc_90, VLOOKUP(P$2, Percentiles!$A$45:$I$59, 7, FALSE), perc_95, VLOOKUP(P$2, Percentiles!$A$45:$I$59, 8, FALSE), perc_85, perc_75 + (perc_90 - perc_75) * (2/3), converted_stat, '2K_Ratings'!P971, IF(bbgm_stat &gt;= perc_95, converted_stat * 3, IF(bbgm_stat &gt;= perc_90, converted_stat * 2, IF(bbgm_stat &gt;= perc_85, converted_stat * 1.5, converted_stat)))))</f>
        <v/>
      </c>
      <c r="Q971" s="30" t="str">
        <f t="array" ref="Q971">IF($A971="", "", LET(bbgm_stat, INDEX(Players!$A970:$P970, MATCH(Q$2, Players!$A$1:$P$1, 0)), perc_75, VLOOKUP(Q$2, Percentiles!$A$45:$I$59, 6, FALSE), perc_90, VLOOKUP(Q$2, Percentiles!$A$45:$I$59, 7, FALSE), perc_95, VLOOKUP(Q$2, Percentiles!$A$45:$I$59, 8, FALSE), perc_85, perc_75 + (perc_90 - perc_75) * (2/3), converted_stat, '2K_Ratings'!Q971, IF(bbgm_stat &gt;= perc_95, converted_stat * 3, IF(bbgm_stat &gt;= perc_90, converted_stat * 2, IF(bbgm_stat &gt;= perc_85, converted_stat * 1.5, converted_stat)))))</f>
        <v/>
      </c>
      <c r="R971" s="30" t="str">
        <f t="array" ref="R971">IF($A971="", "", LET(bbgm_stat, INDEX(Players!$A970:$P970, MATCH(R$2, Players!$A$1:$P$1, 0)), perc_75, VLOOKUP(R$2, Percentiles!$A$45:$I$59, 6, FALSE), perc_90, VLOOKUP(R$2, Percentiles!$A$45:$I$59, 7, FALSE), perc_95, VLOOKUP(R$2, Percentiles!$A$45:$I$59, 8, FALSE), perc_85, perc_75 + (perc_90 - perc_75) * (2/3), converted_stat, '2K_Ratings'!R971, IF(bbgm_stat &gt;= perc_95, converted_stat * 3, IF(bbgm_stat &gt;= perc_90, converted_stat * 2, IF(bbgm_stat &gt;= perc_85, converted_stat * 1.5, converted_stat)))))</f>
        <v/>
      </c>
      <c r="S971" s="30" t="str">
        <f t="array" ref="S971">IF($A971="", "", LET(bbgm_stat, INDEX(Players!$A970:$P970, MATCH(S$2, Players!$A$1:$P$1, 0)), perc_75, VLOOKUP(S$2, Percentiles!$A$45:$I$59, 6, FALSE), perc_90, VLOOKUP(S$2, Percentiles!$A$45:$I$59, 7, FALSE), perc_95, VLOOKUP(S$2, Percentiles!$A$45:$I$59, 8, FALSE), perc_85, perc_75 + (perc_90 - perc_75) * (2/3), converted_stat, '2K_Ratings'!S971, IF(bbgm_stat &gt;= perc_95, converted_stat * 3, IF(bbgm_stat &gt;= perc_90, converted_stat * 2, IF(bbgm_stat &gt;= perc_85, converted_stat * 1.5, converted_stat)))))</f>
        <v/>
      </c>
      <c r="T971" s="30" t="str">
        <f t="array" ref="T971">IF($A971="", "", LET(bbgm_stat, INDEX(Players!$A970:$P970, MATCH(T$2, Players!$A$1:$P$1, 0)), perc_75, VLOOKUP(T$2, Percentiles!$A$45:$I$59, 6, FALSE), perc_90, VLOOKUP(T$2, Percentiles!$A$45:$I$59, 7, FALSE), perc_95, VLOOKUP(T$2, Percentiles!$A$45:$I$59, 8, FALSE), perc_85, perc_75 + (perc_90 - perc_75) * (2/3), converted_stat, '2K_Ratings'!T971, IF(bbgm_stat &gt;= perc_95, converted_stat * 3, IF(bbgm_stat &gt;= perc_90, converted_stat * 2, IF(bbgm_stat &gt;= perc_85, converted_stat * 1.5, converted_stat)))))</f>
        <v/>
      </c>
      <c r="U971" s="30" t="str">
        <f t="array" ref="U971">IF($A971="", "", LET(bbgm_stat, INDEX(Players!$A970:$P970, MATCH(U$2, Players!$A$1:$P$1, 0)), perc_75, VLOOKUP(U$2, Percentiles!$A$45:$I$59, 6, FALSE), perc_90, VLOOKUP(U$2, Percentiles!$A$45:$I$59, 7, FALSE), perc_95, VLOOKUP(U$2, Percentiles!$A$45:$I$59, 8, FALSE), perc_85, perc_75 + (perc_90 - perc_75) * (2/3), converted_stat, '2K_Ratings'!U971, IF(bbgm_stat &gt;= perc_95, converted_stat * 3, IF(bbgm_stat &gt;= perc_90, converted_stat * 2, IF(bbgm_stat &gt;= perc_85, converted_stat * 1.5, converted_stat)))))</f>
        <v/>
      </c>
      <c r="V971" s="30" t="str">
        <f t="array" ref="V971">IF($A971="", "", LET(bbgm_stat, INDEX(Players!$A970:$P970, MATCH(V$2, Players!$A$1:$P$1, 0)), perc_75, VLOOKUP(V$2, Percentiles!$A$45:$I$59, 6, FALSE), perc_90, VLOOKUP(V$2, Percentiles!$A$45:$I$59, 7, FALSE), perc_95, VLOOKUP(V$2, Percentiles!$A$45:$I$59, 8, FALSE), perc_85, perc_75 + (perc_90 - perc_75) * (2/3), converted_stat, '2K_Ratings'!V971, IF(bbgm_stat &gt;= perc_95, converted_stat * 3, IF(bbgm_stat &gt;= perc_90, converted_stat * 2, IF(bbgm_stat &gt;= perc_85, converted_stat * 1.5, converted_stat)))))</f>
        <v/>
      </c>
      <c r="W971" s="30" t="str">
        <f t="array" ref="W971">IF($A971="", "", LET(bbgm_stat, INDEX(Players!$A970:$P970, MATCH(W$2, Players!$A$1:$P$1, 0)), perc_75, VLOOKUP(W$2, Percentiles!$A$45:$I$59, 6, FALSE), perc_90, VLOOKUP(W$2, Percentiles!$A$45:$I$59, 7, FALSE), perc_95, VLOOKUP(W$2, Percentiles!$A$45:$I$59, 8, FALSE), perc_85, perc_75 + (perc_90 - perc_75) * (2/3), converted_stat, '2K_Ratings'!W971, IF(bbgm_stat &gt;= perc_95, converted_stat * 3, IF(bbgm_stat &gt;= perc_90, converted_stat * 2, IF(bbgm_stat &gt;= perc_85, converted_stat * 1.5, converted_stat)))))</f>
        <v/>
      </c>
    </row>
    <row r="972">
      <c r="A972" s="30"/>
      <c r="B972" s="30" t="str">
        <f t="array" ref="B972">IF($A972="", "", LET(bbgm_stat, INDEX(Players!$A971:$P971, MATCH(B$2, Players!$A$1:$P$1, 0)), perc_75, VLOOKUP(B$2, Percentiles!$A$45:$I$59, 6, FALSE), perc_90, VLOOKUP(B$2, Percentiles!$A$45:$I$59, 7, FALSE), perc_95, VLOOKUP(B$2, Percentiles!$A$45:$I$59, 8, FALSE), perc_85, perc_75 + (perc_90 - perc_75) * (2/3), converted_stat, '2K_Ratings'!B972, IF(bbgm_stat &gt;= perc_95, converted_stat * 3, IF(bbgm_stat &gt;= perc_90, converted_stat * 2, IF(bbgm_stat &gt;= perc_85, converted_stat * 1.5, converted_stat)))))</f>
        <v/>
      </c>
      <c r="C972" s="30" t="str">
        <f t="array" ref="C972">IF($A972="", "", LET(bbgm_stat, INDEX(Players!$A971:$P971, MATCH(C$2, Players!$A$1:$P$1, 0)), perc_75, VLOOKUP(C$2, Percentiles!$A$45:$I$59, 6, FALSE), perc_90, VLOOKUP(C$2, Percentiles!$A$45:$I$59, 7, FALSE), perc_95, VLOOKUP(C$2, Percentiles!$A$45:$I$59, 8, FALSE), perc_85, perc_75 + (perc_90 - perc_75) * (2/3), converted_stat, '2K_Ratings'!C972, IF(bbgm_stat &gt;= perc_95, converted_stat * 3, IF(bbgm_stat &gt;= perc_90, converted_stat * 2, IF(bbgm_stat &gt;= perc_85, converted_stat * 1.5, converted_stat)))))</f>
        <v/>
      </c>
      <c r="D972" s="30" t="str">
        <f t="array" ref="D972">IF($A972="", "", LET(bbgm_stat, INDEX(Players!$A971:$P971, MATCH(D$2, Players!$A$1:$P$1, 0)), perc_75, VLOOKUP(D$2, Percentiles!$A$45:$I$59, 6, FALSE), perc_90, VLOOKUP(D$2, Percentiles!$A$45:$I$59, 7, FALSE), perc_95, VLOOKUP(D$2, Percentiles!$A$45:$I$59, 8, FALSE), perc_85, perc_75 + (perc_90 - perc_75) * (2/3), converted_stat, '2K_Ratings'!D972, IF(bbgm_stat &gt;= perc_95, converted_stat * 3, IF(bbgm_stat &gt;= perc_90, converted_stat * 2, IF(bbgm_stat &gt;= perc_85, converted_stat * 1.5, converted_stat)))))</f>
        <v/>
      </c>
      <c r="E972" s="30" t="str">
        <f t="array" ref="E972">IF($A972="", "", LET(bbgm_stat, INDEX(Players!$A971:$P971, MATCH(E$2, Players!$A$1:$P$1, 0)), perc_75, VLOOKUP(E$2, Percentiles!$A$45:$I$59, 6, FALSE), perc_90, VLOOKUP(E$2, Percentiles!$A$45:$I$59, 7, FALSE), perc_95, VLOOKUP(E$2, Percentiles!$A$45:$I$59, 8, FALSE), perc_85, perc_75 + (perc_90 - perc_75) * (2/3), converted_stat, '2K_Ratings'!E972, IF(bbgm_stat &gt;= perc_95, converted_stat * 3, IF(bbgm_stat &gt;= perc_90, converted_stat * 2, IF(bbgm_stat &gt;= perc_85, converted_stat * 1.5, converted_stat)))))</f>
        <v/>
      </c>
      <c r="F972" s="30" t="str">
        <f t="array" ref="F972">IF($A972="", "", LET(bbgm_stat, INDEX(Players!$A971:$P971, MATCH(F$2, Players!$A$1:$P$1, 0)), perc_75, VLOOKUP(F$2, Percentiles!$A$45:$I$59, 6, FALSE), perc_90, VLOOKUP(F$2, Percentiles!$A$45:$I$59, 7, FALSE), perc_95, VLOOKUP(F$2, Percentiles!$A$45:$I$59, 8, FALSE), perc_85, perc_75 + (perc_90 - perc_75) * (2/3), converted_stat, '2K_Ratings'!F972, IF(bbgm_stat &gt;= perc_95, converted_stat * 3, IF(bbgm_stat &gt;= perc_90, converted_stat * 2, IF(bbgm_stat &gt;= perc_85, converted_stat * 1.5, converted_stat)))))</f>
        <v/>
      </c>
      <c r="G972" s="30" t="str">
        <f t="array" ref="G972">IF($A972="", "", LET(bbgm_stat, INDEX(Players!$A971:$P971, MATCH(G$2, Players!$A$1:$P$1, 0)), perc_75, VLOOKUP(G$2, Percentiles!$A$45:$I$59, 6, FALSE), perc_90, VLOOKUP(G$2, Percentiles!$A$45:$I$59, 7, FALSE), perc_95, VLOOKUP(G$2, Percentiles!$A$45:$I$59, 8, FALSE), perc_85, perc_75 + (perc_90 - perc_75) * (2/3), converted_stat, '2K_Ratings'!G972, IF(bbgm_stat &gt;= perc_95, converted_stat * 3, IF(bbgm_stat &gt;= perc_90, converted_stat * 2, IF(bbgm_stat &gt;= perc_85, converted_stat * 1.5, converted_stat)))))</f>
        <v/>
      </c>
      <c r="H972" s="30" t="str">
        <f t="array" ref="H972">IF($A972="", "", LET(bbgm_stat, INDEX(Players!$A971:$P971, MATCH(H$2, Players!$A$1:$P$1, 0)), perc_75, VLOOKUP(H$2, Percentiles!$A$45:$I$59, 6, FALSE), perc_90, VLOOKUP(H$2, Percentiles!$A$45:$I$59, 7, FALSE), perc_95, VLOOKUP(H$2, Percentiles!$A$45:$I$59, 8, FALSE), perc_85, perc_75 + (perc_90 - perc_75) * (2/3), converted_stat, '2K_Ratings'!H972, IF(bbgm_stat &gt;= perc_95, converted_stat * 3, IF(bbgm_stat &gt;= perc_90, converted_stat * 2, IF(bbgm_stat &gt;= perc_85, converted_stat * 1.5, converted_stat)))))</f>
        <v/>
      </c>
      <c r="I972" s="30" t="str">
        <f t="array" ref="I972">IF($A972="", "", LET(bbgm_stat, INDEX(Players!$A971:$P971, MATCH(I$2, Players!$A$1:$P$1, 0)), perc_75, VLOOKUP(I$2, Percentiles!$A$45:$I$59, 6, FALSE), perc_90, VLOOKUP(I$2, Percentiles!$A$45:$I$59, 7, FALSE), perc_95, VLOOKUP(I$2, Percentiles!$A$45:$I$59, 8, FALSE), perc_85, perc_75 + (perc_90 - perc_75) * (2/3), converted_stat, '2K_Ratings'!I972, IF(bbgm_stat &gt;= perc_95, converted_stat * 3, IF(bbgm_stat &gt;= perc_90, converted_stat * 2, IF(bbgm_stat &gt;= perc_85, converted_stat * 1.5, converted_stat)))))</f>
        <v/>
      </c>
      <c r="J972" s="30" t="str">
        <f t="array" ref="J972">IF($A972="", "", LET(bbgm_stat, INDEX(Players!$A971:$P971, MATCH(J$2, Players!$A$1:$P$1, 0)), perc_75, VLOOKUP(J$2, Percentiles!$A$45:$I$59, 6, FALSE), perc_90, VLOOKUP(J$2, Percentiles!$A$45:$I$59, 7, FALSE), perc_95, VLOOKUP(J$2, Percentiles!$A$45:$I$59, 8, FALSE), perc_85, perc_75 + (perc_90 - perc_75) * (2/3), converted_stat, '2K_Ratings'!J972, IF(bbgm_stat &gt;= perc_95, converted_stat * 3, IF(bbgm_stat &gt;= perc_90, converted_stat * 2, IF(bbgm_stat &gt;= perc_85, converted_stat * 1.5, converted_stat)))))</f>
        <v/>
      </c>
      <c r="K972" s="30" t="str">
        <f t="array" ref="K972">IF($A972="", "", LET(bbgm_stat, INDEX(Players!$A971:$P971, MATCH(K$2, Players!$A$1:$P$1, 0)), perc_75, VLOOKUP(K$2, Percentiles!$A$45:$I$59, 6, FALSE), perc_90, VLOOKUP(K$2, Percentiles!$A$45:$I$59, 7, FALSE), perc_95, VLOOKUP(K$2, Percentiles!$A$45:$I$59, 8, FALSE), perc_85, perc_75 + (perc_90 - perc_75) * (2/3), converted_stat, '2K_Ratings'!K972, IF(bbgm_stat &gt;= perc_95, converted_stat * 3, IF(bbgm_stat &gt;= perc_90, converted_stat * 2, IF(bbgm_stat &gt;= perc_85, converted_stat * 1.5, converted_stat)))))</f>
        <v/>
      </c>
      <c r="L972" s="30" t="str">
        <f t="array" ref="L972">IF($A972="", "", LET(bbgm_stat, INDEX(Players!$A971:$P971, MATCH(L$2, Players!$A$1:$P$1, 0)), perc_75, VLOOKUP(L$2, Percentiles!$A$45:$I$59, 6, FALSE), perc_90, VLOOKUP(L$2, Percentiles!$A$45:$I$59, 7, FALSE), perc_95, VLOOKUP(L$2, Percentiles!$A$45:$I$59, 8, FALSE), perc_85, perc_75 + (perc_90 - perc_75) * (2/3), converted_stat, '2K_Ratings'!L972, IF(bbgm_stat &gt;= perc_95, converted_stat * 3, IF(bbgm_stat &gt;= perc_90, converted_stat * 2, IF(bbgm_stat &gt;= perc_85, converted_stat * 1.5, converted_stat)))))</f>
        <v/>
      </c>
      <c r="M972" s="30" t="str">
        <f t="array" ref="M972">IF($A972="", "", LET(bbgm_stat, INDEX(Players!$A971:$P971, MATCH(M$2, Players!$A$1:$P$1, 0)), perc_75, VLOOKUP(M$2, Percentiles!$A$45:$I$59, 6, FALSE), perc_90, VLOOKUP(M$2, Percentiles!$A$45:$I$59, 7, FALSE), perc_95, VLOOKUP(M$2, Percentiles!$A$45:$I$59, 8, FALSE), perc_85, perc_75 + (perc_90 - perc_75) * (2/3), converted_stat, '2K_Ratings'!M972, IF(bbgm_stat &gt;= perc_95, converted_stat * 3, IF(bbgm_stat &gt;= perc_90, converted_stat * 2, IF(bbgm_stat &gt;= perc_85, converted_stat * 1.5, converted_stat)))))</f>
        <v/>
      </c>
      <c r="N972" s="30" t="str">
        <f t="array" ref="N972">IF($A972="", "", LET(bbgm_stat, INDEX(Players!$A971:$P971, MATCH(N$2, Players!$A$1:$P$1, 0)), perc_75, VLOOKUP(N$2, Percentiles!$A$45:$I$59, 6, FALSE), perc_90, VLOOKUP(N$2, Percentiles!$A$45:$I$59, 7, FALSE), perc_95, VLOOKUP(N$2, Percentiles!$A$45:$I$59, 8, FALSE), perc_85, perc_75 + (perc_90 - perc_75) * (2/3), converted_stat, '2K_Ratings'!N972, IF(bbgm_stat &gt;= perc_95, converted_stat * 3, IF(bbgm_stat &gt;= perc_90, converted_stat * 2, IF(bbgm_stat &gt;= perc_85, converted_stat * 1.5, converted_stat)))))</f>
        <v/>
      </c>
      <c r="O972" s="30" t="str">
        <f t="array" ref="O972">IF($A972="", "", LET(bbgm_stat, INDEX(Players!$A971:$P971, MATCH(O$2, Players!$A$1:$P$1, 0)), perc_75, VLOOKUP(O$2, Percentiles!$A$45:$I$59, 6, FALSE), perc_90, VLOOKUP(O$2, Percentiles!$A$45:$I$59, 7, FALSE), perc_95, VLOOKUP(O$2, Percentiles!$A$45:$I$59, 8, FALSE), perc_85, perc_75 + (perc_90 - perc_75) * (2/3), converted_stat, '2K_Ratings'!O972, IF(bbgm_stat &gt;= perc_95, converted_stat * 3, IF(bbgm_stat &gt;= perc_90, converted_stat * 2, IF(bbgm_stat &gt;= perc_85, converted_stat * 1.5, converted_stat)))))</f>
        <v/>
      </c>
      <c r="P972" s="30" t="str">
        <f t="array" ref="P972">IF($A972="", "", LET(bbgm_stat, INDEX(Players!$A971:$P971, MATCH(P$2, Players!$A$1:$P$1, 0)), perc_75, VLOOKUP(P$2, Percentiles!$A$45:$I$59, 6, FALSE), perc_90, VLOOKUP(P$2, Percentiles!$A$45:$I$59, 7, FALSE), perc_95, VLOOKUP(P$2, Percentiles!$A$45:$I$59, 8, FALSE), perc_85, perc_75 + (perc_90 - perc_75) * (2/3), converted_stat, '2K_Ratings'!P972, IF(bbgm_stat &gt;= perc_95, converted_stat * 3, IF(bbgm_stat &gt;= perc_90, converted_stat * 2, IF(bbgm_stat &gt;= perc_85, converted_stat * 1.5, converted_stat)))))</f>
        <v/>
      </c>
      <c r="Q972" s="30" t="str">
        <f t="array" ref="Q972">IF($A972="", "", LET(bbgm_stat, INDEX(Players!$A971:$P971, MATCH(Q$2, Players!$A$1:$P$1, 0)), perc_75, VLOOKUP(Q$2, Percentiles!$A$45:$I$59, 6, FALSE), perc_90, VLOOKUP(Q$2, Percentiles!$A$45:$I$59, 7, FALSE), perc_95, VLOOKUP(Q$2, Percentiles!$A$45:$I$59, 8, FALSE), perc_85, perc_75 + (perc_90 - perc_75) * (2/3), converted_stat, '2K_Ratings'!Q972, IF(bbgm_stat &gt;= perc_95, converted_stat * 3, IF(bbgm_stat &gt;= perc_90, converted_stat * 2, IF(bbgm_stat &gt;= perc_85, converted_stat * 1.5, converted_stat)))))</f>
        <v/>
      </c>
      <c r="R972" s="30" t="str">
        <f t="array" ref="R972">IF($A972="", "", LET(bbgm_stat, INDEX(Players!$A971:$P971, MATCH(R$2, Players!$A$1:$P$1, 0)), perc_75, VLOOKUP(R$2, Percentiles!$A$45:$I$59, 6, FALSE), perc_90, VLOOKUP(R$2, Percentiles!$A$45:$I$59, 7, FALSE), perc_95, VLOOKUP(R$2, Percentiles!$A$45:$I$59, 8, FALSE), perc_85, perc_75 + (perc_90 - perc_75) * (2/3), converted_stat, '2K_Ratings'!R972, IF(bbgm_stat &gt;= perc_95, converted_stat * 3, IF(bbgm_stat &gt;= perc_90, converted_stat * 2, IF(bbgm_stat &gt;= perc_85, converted_stat * 1.5, converted_stat)))))</f>
        <v/>
      </c>
      <c r="S972" s="30" t="str">
        <f t="array" ref="S972">IF($A972="", "", LET(bbgm_stat, INDEX(Players!$A971:$P971, MATCH(S$2, Players!$A$1:$P$1, 0)), perc_75, VLOOKUP(S$2, Percentiles!$A$45:$I$59, 6, FALSE), perc_90, VLOOKUP(S$2, Percentiles!$A$45:$I$59, 7, FALSE), perc_95, VLOOKUP(S$2, Percentiles!$A$45:$I$59, 8, FALSE), perc_85, perc_75 + (perc_90 - perc_75) * (2/3), converted_stat, '2K_Ratings'!S972, IF(bbgm_stat &gt;= perc_95, converted_stat * 3, IF(bbgm_stat &gt;= perc_90, converted_stat * 2, IF(bbgm_stat &gt;= perc_85, converted_stat * 1.5, converted_stat)))))</f>
        <v/>
      </c>
      <c r="T972" s="30" t="str">
        <f t="array" ref="T972">IF($A972="", "", LET(bbgm_stat, INDEX(Players!$A971:$P971, MATCH(T$2, Players!$A$1:$P$1, 0)), perc_75, VLOOKUP(T$2, Percentiles!$A$45:$I$59, 6, FALSE), perc_90, VLOOKUP(T$2, Percentiles!$A$45:$I$59, 7, FALSE), perc_95, VLOOKUP(T$2, Percentiles!$A$45:$I$59, 8, FALSE), perc_85, perc_75 + (perc_90 - perc_75) * (2/3), converted_stat, '2K_Ratings'!T972, IF(bbgm_stat &gt;= perc_95, converted_stat * 3, IF(bbgm_stat &gt;= perc_90, converted_stat * 2, IF(bbgm_stat &gt;= perc_85, converted_stat * 1.5, converted_stat)))))</f>
        <v/>
      </c>
      <c r="U972" s="30" t="str">
        <f t="array" ref="U972">IF($A972="", "", LET(bbgm_stat, INDEX(Players!$A971:$P971, MATCH(U$2, Players!$A$1:$P$1, 0)), perc_75, VLOOKUP(U$2, Percentiles!$A$45:$I$59, 6, FALSE), perc_90, VLOOKUP(U$2, Percentiles!$A$45:$I$59, 7, FALSE), perc_95, VLOOKUP(U$2, Percentiles!$A$45:$I$59, 8, FALSE), perc_85, perc_75 + (perc_90 - perc_75) * (2/3), converted_stat, '2K_Ratings'!U972, IF(bbgm_stat &gt;= perc_95, converted_stat * 3, IF(bbgm_stat &gt;= perc_90, converted_stat * 2, IF(bbgm_stat &gt;= perc_85, converted_stat * 1.5, converted_stat)))))</f>
        <v/>
      </c>
      <c r="V972" s="30" t="str">
        <f t="array" ref="V972">IF($A972="", "", LET(bbgm_stat, INDEX(Players!$A971:$P971, MATCH(V$2, Players!$A$1:$P$1, 0)), perc_75, VLOOKUP(V$2, Percentiles!$A$45:$I$59, 6, FALSE), perc_90, VLOOKUP(V$2, Percentiles!$A$45:$I$59, 7, FALSE), perc_95, VLOOKUP(V$2, Percentiles!$A$45:$I$59, 8, FALSE), perc_85, perc_75 + (perc_90 - perc_75) * (2/3), converted_stat, '2K_Ratings'!V972, IF(bbgm_stat &gt;= perc_95, converted_stat * 3, IF(bbgm_stat &gt;= perc_90, converted_stat * 2, IF(bbgm_stat &gt;= perc_85, converted_stat * 1.5, converted_stat)))))</f>
        <v/>
      </c>
      <c r="W972" s="30" t="str">
        <f t="array" ref="W972">IF($A972="", "", LET(bbgm_stat, INDEX(Players!$A971:$P971, MATCH(W$2, Players!$A$1:$P$1, 0)), perc_75, VLOOKUP(W$2, Percentiles!$A$45:$I$59, 6, FALSE), perc_90, VLOOKUP(W$2, Percentiles!$A$45:$I$59, 7, FALSE), perc_95, VLOOKUP(W$2, Percentiles!$A$45:$I$59, 8, FALSE), perc_85, perc_75 + (perc_90 - perc_75) * (2/3), converted_stat, '2K_Ratings'!W972, IF(bbgm_stat &gt;= perc_95, converted_stat * 3, IF(bbgm_stat &gt;= perc_90, converted_stat * 2, IF(bbgm_stat &gt;= perc_85, converted_stat * 1.5, converted_stat)))))</f>
        <v/>
      </c>
    </row>
    <row r="973">
      <c r="A973" s="30"/>
      <c r="B973" s="30" t="str">
        <f t="array" ref="B973">IF($A973="", "", LET(bbgm_stat, INDEX(Players!$A972:$P972, MATCH(B$2, Players!$A$1:$P$1, 0)), perc_75, VLOOKUP(B$2, Percentiles!$A$45:$I$59, 6, FALSE), perc_90, VLOOKUP(B$2, Percentiles!$A$45:$I$59, 7, FALSE), perc_95, VLOOKUP(B$2, Percentiles!$A$45:$I$59, 8, FALSE), perc_85, perc_75 + (perc_90 - perc_75) * (2/3), converted_stat, '2K_Ratings'!B973, IF(bbgm_stat &gt;= perc_95, converted_stat * 3, IF(bbgm_stat &gt;= perc_90, converted_stat * 2, IF(bbgm_stat &gt;= perc_85, converted_stat * 1.5, converted_stat)))))</f>
        <v/>
      </c>
      <c r="C973" s="30" t="str">
        <f t="array" ref="C973">IF($A973="", "", LET(bbgm_stat, INDEX(Players!$A972:$P972, MATCH(C$2, Players!$A$1:$P$1, 0)), perc_75, VLOOKUP(C$2, Percentiles!$A$45:$I$59, 6, FALSE), perc_90, VLOOKUP(C$2, Percentiles!$A$45:$I$59, 7, FALSE), perc_95, VLOOKUP(C$2, Percentiles!$A$45:$I$59, 8, FALSE), perc_85, perc_75 + (perc_90 - perc_75) * (2/3), converted_stat, '2K_Ratings'!C973, IF(bbgm_stat &gt;= perc_95, converted_stat * 3, IF(bbgm_stat &gt;= perc_90, converted_stat * 2, IF(bbgm_stat &gt;= perc_85, converted_stat * 1.5, converted_stat)))))</f>
        <v/>
      </c>
      <c r="D973" s="30" t="str">
        <f t="array" ref="D973">IF($A973="", "", LET(bbgm_stat, INDEX(Players!$A972:$P972, MATCH(D$2, Players!$A$1:$P$1, 0)), perc_75, VLOOKUP(D$2, Percentiles!$A$45:$I$59, 6, FALSE), perc_90, VLOOKUP(D$2, Percentiles!$A$45:$I$59, 7, FALSE), perc_95, VLOOKUP(D$2, Percentiles!$A$45:$I$59, 8, FALSE), perc_85, perc_75 + (perc_90 - perc_75) * (2/3), converted_stat, '2K_Ratings'!D973, IF(bbgm_stat &gt;= perc_95, converted_stat * 3, IF(bbgm_stat &gt;= perc_90, converted_stat * 2, IF(bbgm_stat &gt;= perc_85, converted_stat * 1.5, converted_stat)))))</f>
        <v/>
      </c>
      <c r="E973" s="30" t="str">
        <f t="array" ref="E973">IF($A973="", "", LET(bbgm_stat, INDEX(Players!$A972:$P972, MATCH(E$2, Players!$A$1:$P$1, 0)), perc_75, VLOOKUP(E$2, Percentiles!$A$45:$I$59, 6, FALSE), perc_90, VLOOKUP(E$2, Percentiles!$A$45:$I$59, 7, FALSE), perc_95, VLOOKUP(E$2, Percentiles!$A$45:$I$59, 8, FALSE), perc_85, perc_75 + (perc_90 - perc_75) * (2/3), converted_stat, '2K_Ratings'!E973, IF(bbgm_stat &gt;= perc_95, converted_stat * 3, IF(bbgm_stat &gt;= perc_90, converted_stat * 2, IF(bbgm_stat &gt;= perc_85, converted_stat * 1.5, converted_stat)))))</f>
        <v/>
      </c>
      <c r="F973" s="30" t="str">
        <f t="array" ref="F973">IF($A973="", "", LET(bbgm_stat, INDEX(Players!$A972:$P972, MATCH(F$2, Players!$A$1:$P$1, 0)), perc_75, VLOOKUP(F$2, Percentiles!$A$45:$I$59, 6, FALSE), perc_90, VLOOKUP(F$2, Percentiles!$A$45:$I$59, 7, FALSE), perc_95, VLOOKUP(F$2, Percentiles!$A$45:$I$59, 8, FALSE), perc_85, perc_75 + (perc_90 - perc_75) * (2/3), converted_stat, '2K_Ratings'!F973, IF(bbgm_stat &gt;= perc_95, converted_stat * 3, IF(bbgm_stat &gt;= perc_90, converted_stat * 2, IF(bbgm_stat &gt;= perc_85, converted_stat * 1.5, converted_stat)))))</f>
        <v/>
      </c>
      <c r="G973" s="30" t="str">
        <f t="array" ref="G973">IF($A973="", "", LET(bbgm_stat, INDEX(Players!$A972:$P972, MATCH(G$2, Players!$A$1:$P$1, 0)), perc_75, VLOOKUP(G$2, Percentiles!$A$45:$I$59, 6, FALSE), perc_90, VLOOKUP(G$2, Percentiles!$A$45:$I$59, 7, FALSE), perc_95, VLOOKUP(G$2, Percentiles!$A$45:$I$59, 8, FALSE), perc_85, perc_75 + (perc_90 - perc_75) * (2/3), converted_stat, '2K_Ratings'!G973, IF(bbgm_stat &gt;= perc_95, converted_stat * 3, IF(bbgm_stat &gt;= perc_90, converted_stat * 2, IF(bbgm_stat &gt;= perc_85, converted_stat * 1.5, converted_stat)))))</f>
        <v/>
      </c>
      <c r="H973" s="30" t="str">
        <f t="array" ref="H973">IF($A973="", "", LET(bbgm_stat, INDEX(Players!$A972:$P972, MATCH(H$2, Players!$A$1:$P$1, 0)), perc_75, VLOOKUP(H$2, Percentiles!$A$45:$I$59, 6, FALSE), perc_90, VLOOKUP(H$2, Percentiles!$A$45:$I$59, 7, FALSE), perc_95, VLOOKUP(H$2, Percentiles!$A$45:$I$59, 8, FALSE), perc_85, perc_75 + (perc_90 - perc_75) * (2/3), converted_stat, '2K_Ratings'!H973, IF(bbgm_stat &gt;= perc_95, converted_stat * 3, IF(bbgm_stat &gt;= perc_90, converted_stat * 2, IF(bbgm_stat &gt;= perc_85, converted_stat * 1.5, converted_stat)))))</f>
        <v/>
      </c>
      <c r="I973" s="30" t="str">
        <f t="array" ref="I973">IF($A973="", "", LET(bbgm_stat, INDEX(Players!$A972:$P972, MATCH(I$2, Players!$A$1:$P$1, 0)), perc_75, VLOOKUP(I$2, Percentiles!$A$45:$I$59, 6, FALSE), perc_90, VLOOKUP(I$2, Percentiles!$A$45:$I$59, 7, FALSE), perc_95, VLOOKUP(I$2, Percentiles!$A$45:$I$59, 8, FALSE), perc_85, perc_75 + (perc_90 - perc_75) * (2/3), converted_stat, '2K_Ratings'!I973, IF(bbgm_stat &gt;= perc_95, converted_stat * 3, IF(bbgm_stat &gt;= perc_90, converted_stat * 2, IF(bbgm_stat &gt;= perc_85, converted_stat * 1.5, converted_stat)))))</f>
        <v/>
      </c>
      <c r="J973" s="30" t="str">
        <f t="array" ref="J973">IF($A973="", "", LET(bbgm_stat, INDEX(Players!$A972:$P972, MATCH(J$2, Players!$A$1:$P$1, 0)), perc_75, VLOOKUP(J$2, Percentiles!$A$45:$I$59, 6, FALSE), perc_90, VLOOKUP(J$2, Percentiles!$A$45:$I$59, 7, FALSE), perc_95, VLOOKUP(J$2, Percentiles!$A$45:$I$59, 8, FALSE), perc_85, perc_75 + (perc_90 - perc_75) * (2/3), converted_stat, '2K_Ratings'!J973, IF(bbgm_stat &gt;= perc_95, converted_stat * 3, IF(bbgm_stat &gt;= perc_90, converted_stat * 2, IF(bbgm_stat &gt;= perc_85, converted_stat * 1.5, converted_stat)))))</f>
        <v/>
      </c>
      <c r="K973" s="30" t="str">
        <f t="array" ref="K973">IF($A973="", "", LET(bbgm_stat, INDEX(Players!$A972:$P972, MATCH(K$2, Players!$A$1:$P$1, 0)), perc_75, VLOOKUP(K$2, Percentiles!$A$45:$I$59, 6, FALSE), perc_90, VLOOKUP(K$2, Percentiles!$A$45:$I$59, 7, FALSE), perc_95, VLOOKUP(K$2, Percentiles!$A$45:$I$59, 8, FALSE), perc_85, perc_75 + (perc_90 - perc_75) * (2/3), converted_stat, '2K_Ratings'!K973, IF(bbgm_stat &gt;= perc_95, converted_stat * 3, IF(bbgm_stat &gt;= perc_90, converted_stat * 2, IF(bbgm_stat &gt;= perc_85, converted_stat * 1.5, converted_stat)))))</f>
        <v/>
      </c>
      <c r="L973" s="30" t="str">
        <f t="array" ref="L973">IF($A973="", "", LET(bbgm_stat, INDEX(Players!$A972:$P972, MATCH(L$2, Players!$A$1:$P$1, 0)), perc_75, VLOOKUP(L$2, Percentiles!$A$45:$I$59, 6, FALSE), perc_90, VLOOKUP(L$2, Percentiles!$A$45:$I$59, 7, FALSE), perc_95, VLOOKUP(L$2, Percentiles!$A$45:$I$59, 8, FALSE), perc_85, perc_75 + (perc_90 - perc_75) * (2/3), converted_stat, '2K_Ratings'!L973, IF(bbgm_stat &gt;= perc_95, converted_stat * 3, IF(bbgm_stat &gt;= perc_90, converted_stat * 2, IF(bbgm_stat &gt;= perc_85, converted_stat * 1.5, converted_stat)))))</f>
        <v/>
      </c>
      <c r="M973" s="30" t="str">
        <f t="array" ref="M973">IF($A973="", "", LET(bbgm_stat, INDEX(Players!$A972:$P972, MATCH(M$2, Players!$A$1:$P$1, 0)), perc_75, VLOOKUP(M$2, Percentiles!$A$45:$I$59, 6, FALSE), perc_90, VLOOKUP(M$2, Percentiles!$A$45:$I$59, 7, FALSE), perc_95, VLOOKUP(M$2, Percentiles!$A$45:$I$59, 8, FALSE), perc_85, perc_75 + (perc_90 - perc_75) * (2/3), converted_stat, '2K_Ratings'!M973, IF(bbgm_stat &gt;= perc_95, converted_stat * 3, IF(bbgm_stat &gt;= perc_90, converted_stat * 2, IF(bbgm_stat &gt;= perc_85, converted_stat * 1.5, converted_stat)))))</f>
        <v/>
      </c>
      <c r="N973" s="30" t="str">
        <f t="array" ref="N973">IF($A973="", "", LET(bbgm_stat, INDEX(Players!$A972:$P972, MATCH(N$2, Players!$A$1:$P$1, 0)), perc_75, VLOOKUP(N$2, Percentiles!$A$45:$I$59, 6, FALSE), perc_90, VLOOKUP(N$2, Percentiles!$A$45:$I$59, 7, FALSE), perc_95, VLOOKUP(N$2, Percentiles!$A$45:$I$59, 8, FALSE), perc_85, perc_75 + (perc_90 - perc_75) * (2/3), converted_stat, '2K_Ratings'!N973, IF(bbgm_stat &gt;= perc_95, converted_stat * 3, IF(bbgm_stat &gt;= perc_90, converted_stat * 2, IF(bbgm_stat &gt;= perc_85, converted_stat * 1.5, converted_stat)))))</f>
        <v/>
      </c>
      <c r="O973" s="30" t="str">
        <f t="array" ref="O973">IF($A973="", "", LET(bbgm_stat, INDEX(Players!$A972:$P972, MATCH(O$2, Players!$A$1:$P$1, 0)), perc_75, VLOOKUP(O$2, Percentiles!$A$45:$I$59, 6, FALSE), perc_90, VLOOKUP(O$2, Percentiles!$A$45:$I$59, 7, FALSE), perc_95, VLOOKUP(O$2, Percentiles!$A$45:$I$59, 8, FALSE), perc_85, perc_75 + (perc_90 - perc_75) * (2/3), converted_stat, '2K_Ratings'!O973, IF(bbgm_stat &gt;= perc_95, converted_stat * 3, IF(bbgm_stat &gt;= perc_90, converted_stat * 2, IF(bbgm_stat &gt;= perc_85, converted_stat * 1.5, converted_stat)))))</f>
        <v/>
      </c>
      <c r="P973" s="30" t="str">
        <f t="array" ref="P973">IF($A973="", "", LET(bbgm_stat, INDEX(Players!$A972:$P972, MATCH(P$2, Players!$A$1:$P$1, 0)), perc_75, VLOOKUP(P$2, Percentiles!$A$45:$I$59, 6, FALSE), perc_90, VLOOKUP(P$2, Percentiles!$A$45:$I$59, 7, FALSE), perc_95, VLOOKUP(P$2, Percentiles!$A$45:$I$59, 8, FALSE), perc_85, perc_75 + (perc_90 - perc_75) * (2/3), converted_stat, '2K_Ratings'!P973, IF(bbgm_stat &gt;= perc_95, converted_stat * 3, IF(bbgm_stat &gt;= perc_90, converted_stat * 2, IF(bbgm_stat &gt;= perc_85, converted_stat * 1.5, converted_stat)))))</f>
        <v/>
      </c>
      <c r="Q973" s="30" t="str">
        <f t="array" ref="Q973">IF($A973="", "", LET(bbgm_stat, INDEX(Players!$A972:$P972, MATCH(Q$2, Players!$A$1:$P$1, 0)), perc_75, VLOOKUP(Q$2, Percentiles!$A$45:$I$59, 6, FALSE), perc_90, VLOOKUP(Q$2, Percentiles!$A$45:$I$59, 7, FALSE), perc_95, VLOOKUP(Q$2, Percentiles!$A$45:$I$59, 8, FALSE), perc_85, perc_75 + (perc_90 - perc_75) * (2/3), converted_stat, '2K_Ratings'!Q973, IF(bbgm_stat &gt;= perc_95, converted_stat * 3, IF(bbgm_stat &gt;= perc_90, converted_stat * 2, IF(bbgm_stat &gt;= perc_85, converted_stat * 1.5, converted_stat)))))</f>
        <v/>
      </c>
      <c r="R973" s="30" t="str">
        <f t="array" ref="R973">IF($A973="", "", LET(bbgm_stat, INDEX(Players!$A972:$P972, MATCH(R$2, Players!$A$1:$P$1, 0)), perc_75, VLOOKUP(R$2, Percentiles!$A$45:$I$59, 6, FALSE), perc_90, VLOOKUP(R$2, Percentiles!$A$45:$I$59, 7, FALSE), perc_95, VLOOKUP(R$2, Percentiles!$A$45:$I$59, 8, FALSE), perc_85, perc_75 + (perc_90 - perc_75) * (2/3), converted_stat, '2K_Ratings'!R973, IF(bbgm_stat &gt;= perc_95, converted_stat * 3, IF(bbgm_stat &gt;= perc_90, converted_stat * 2, IF(bbgm_stat &gt;= perc_85, converted_stat * 1.5, converted_stat)))))</f>
        <v/>
      </c>
      <c r="S973" s="30" t="str">
        <f t="array" ref="S973">IF($A973="", "", LET(bbgm_stat, INDEX(Players!$A972:$P972, MATCH(S$2, Players!$A$1:$P$1, 0)), perc_75, VLOOKUP(S$2, Percentiles!$A$45:$I$59, 6, FALSE), perc_90, VLOOKUP(S$2, Percentiles!$A$45:$I$59, 7, FALSE), perc_95, VLOOKUP(S$2, Percentiles!$A$45:$I$59, 8, FALSE), perc_85, perc_75 + (perc_90 - perc_75) * (2/3), converted_stat, '2K_Ratings'!S973, IF(bbgm_stat &gt;= perc_95, converted_stat * 3, IF(bbgm_stat &gt;= perc_90, converted_stat * 2, IF(bbgm_stat &gt;= perc_85, converted_stat * 1.5, converted_stat)))))</f>
        <v/>
      </c>
      <c r="T973" s="30" t="str">
        <f t="array" ref="T973">IF($A973="", "", LET(bbgm_stat, INDEX(Players!$A972:$P972, MATCH(T$2, Players!$A$1:$P$1, 0)), perc_75, VLOOKUP(T$2, Percentiles!$A$45:$I$59, 6, FALSE), perc_90, VLOOKUP(T$2, Percentiles!$A$45:$I$59, 7, FALSE), perc_95, VLOOKUP(T$2, Percentiles!$A$45:$I$59, 8, FALSE), perc_85, perc_75 + (perc_90 - perc_75) * (2/3), converted_stat, '2K_Ratings'!T973, IF(bbgm_stat &gt;= perc_95, converted_stat * 3, IF(bbgm_stat &gt;= perc_90, converted_stat * 2, IF(bbgm_stat &gt;= perc_85, converted_stat * 1.5, converted_stat)))))</f>
        <v/>
      </c>
      <c r="U973" s="30" t="str">
        <f t="array" ref="U973">IF($A973="", "", LET(bbgm_stat, INDEX(Players!$A972:$P972, MATCH(U$2, Players!$A$1:$P$1, 0)), perc_75, VLOOKUP(U$2, Percentiles!$A$45:$I$59, 6, FALSE), perc_90, VLOOKUP(U$2, Percentiles!$A$45:$I$59, 7, FALSE), perc_95, VLOOKUP(U$2, Percentiles!$A$45:$I$59, 8, FALSE), perc_85, perc_75 + (perc_90 - perc_75) * (2/3), converted_stat, '2K_Ratings'!U973, IF(bbgm_stat &gt;= perc_95, converted_stat * 3, IF(bbgm_stat &gt;= perc_90, converted_stat * 2, IF(bbgm_stat &gt;= perc_85, converted_stat * 1.5, converted_stat)))))</f>
        <v/>
      </c>
      <c r="V973" s="30" t="str">
        <f t="array" ref="V973">IF($A973="", "", LET(bbgm_stat, INDEX(Players!$A972:$P972, MATCH(V$2, Players!$A$1:$P$1, 0)), perc_75, VLOOKUP(V$2, Percentiles!$A$45:$I$59, 6, FALSE), perc_90, VLOOKUP(V$2, Percentiles!$A$45:$I$59, 7, FALSE), perc_95, VLOOKUP(V$2, Percentiles!$A$45:$I$59, 8, FALSE), perc_85, perc_75 + (perc_90 - perc_75) * (2/3), converted_stat, '2K_Ratings'!V973, IF(bbgm_stat &gt;= perc_95, converted_stat * 3, IF(bbgm_stat &gt;= perc_90, converted_stat * 2, IF(bbgm_stat &gt;= perc_85, converted_stat * 1.5, converted_stat)))))</f>
        <v/>
      </c>
      <c r="W973" s="30" t="str">
        <f t="array" ref="W973">IF($A973="", "", LET(bbgm_stat, INDEX(Players!$A972:$P972, MATCH(W$2, Players!$A$1:$P$1, 0)), perc_75, VLOOKUP(W$2, Percentiles!$A$45:$I$59, 6, FALSE), perc_90, VLOOKUP(W$2, Percentiles!$A$45:$I$59, 7, FALSE), perc_95, VLOOKUP(W$2, Percentiles!$A$45:$I$59, 8, FALSE), perc_85, perc_75 + (perc_90 - perc_75) * (2/3), converted_stat, '2K_Ratings'!W973, IF(bbgm_stat &gt;= perc_95, converted_stat * 3, IF(bbgm_stat &gt;= perc_90, converted_stat * 2, IF(bbgm_stat &gt;= perc_85, converted_stat * 1.5, converted_stat)))))</f>
        <v/>
      </c>
    </row>
    <row r="974">
      <c r="A974" s="30"/>
      <c r="B974" s="30" t="str">
        <f t="array" ref="B974">IF($A974="", "", LET(bbgm_stat, INDEX(Players!$A973:$P973, MATCH(B$2, Players!$A$1:$P$1, 0)), perc_75, VLOOKUP(B$2, Percentiles!$A$45:$I$59, 6, FALSE), perc_90, VLOOKUP(B$2, Percentiles!$A$45:$I$59, 7, FALSE), perc_95, VLOOKUP(B$2, Percentiles!$A$45:$I$59, 8, FALSE), perc_85, perc_75 + (perc_90 - perc_75) * (2/3), converted_stat, '2K_Ratings'!B974, IF(bbgm_stat &gt;= perc_95, converted_stat * 3, IF(bbgm_stat &gt;= perc_90, converted_stat * 2, IF(bbgm_stat &gt;= perc_85, converted_stat * 1.5, converted_stat)))))</f>
        <v/>
      </c>
      <c r="C974" s="30" t="str">
        <f t="array" ref="C974">IF($A974="", "", LET(bbgm_stat, INDEX(Players!$A973:$P973, MATCH(C$2, Players!$A$1:$P$1, 0)), perc_75, VLOOKUP(C$2, Percentiles!$A$45:$I$59, 6, FALSE), perc_90, VLOOKUP(C$2, Percentiles!$A$45:$I$59, 7, FALSE), perc_95, VLOOKUP(C$2, Percentiles!$A$45:$I$59, 8, FALSE), perc_85, perc_75 + (perc_90 - perc_75) * (2/3), converted_stat, '2K_Ratings'!C974, IF(bbgm_stat &gt;= perc_95, converted_stat * 3, IF(bbgm_stat &gt;= perc_90, converted_stat * 2, IF(bbgm_stat &gt;= perc_85, converted_stat * 1.5, converted_stat)))))</f>
        <v/>
      </c>
      <c r="D974" s="30" t="str">
        <f t="array" ref="D974">IF($A974="", "", LET(bbgm_stat, INDEX(Players!$A973:$P973, MATCH(D$2, Players!$A$1:$P$1, 0)), perc_75, VLOOKUP(D$2, Percentiles!$A$45:$I$59, 6, FALSE), perc_90, VLOOKUP(D$2, Percentiles!$A$45:$I$59, 7, FALSE), perc_95, VLOOKUP(D$2, Percentiles!$A$45:$I$59, 8, FALSE), perc_85, perc_75 + (perc_90 - perc_75) * (2/3), converted_stat, '2K_Ratings'!D974, IF(bbgm_stat &gt;= perc_95, converted_stat * 3, IF(bbgm_stat &gt;= perc_90, converted_stat * 2, IF(bbgm_stat &gt;= perc_85, converted_stat * 1.5, converted_stat)))))</f>
        <v/>
      </c>
      <c r="E974" s="30" t="str">
        <f t="array" ref="E974">IF($A974="", "", LET(bbgm_stat, INDEX(Players!$A973:$P973, MATCH(E$2, Players!$A$1:$P$1, 0)), perc_75, VLOOKUP(E$2, Percentiles!$A$45:$I$59, 6, FALSE), perc_90, VLOOKUP(E$2, Percentiles!$A$45:$I$59, 7, FALSE), perc_95, VLOOKUP(E$2, Percentiles!$A$45:$I$59, 8, FALSE), perc_85, perc_75 + (perc_90 - perc_75) * (2/3), converted_stat, '2K_Ratings'!E974, IF(bbgm_stat &gt;= perc_95, converted_stat * 3, IF(bbgm_stat &gt;= perc_90, converted_stat * 2, IF(bbgm_stat &gt;= perc_85, converted_stat * 1.5, converted_stat)))))</f>
        <v/>
      </c>
      <c r="F974" s="30" t="str">
        <f t="array" ref="F974">IF($A974="", "", LET(bbgm_stat, INDEX(Players!$A973:$P973, MATCH(F$2, Players!$A$1:$P$1, 0)), perc_75, VLOOKUP(F$2, Percentiles!$A$45:$I$59, 6, FALSE), perc_90, VLOOKUP(F$2, Percentiles!$A$45:$I$59, 7, FALSE), perc_95, VLOOKUP(F$2, Percentiles!$A$45:$I$59, 8, FALSE), perc_85, perc_75 + (perc_90 - perc_75) * (2/3), converted_stat, '2K_Ratings'!F974, IF(bbgm_stat &gt;= perc_95, converted_stat * 3, IF(bbgm_stat &gt;= perc_90, converted_stat * 2, IF(bbgm_stat &gt;= perc_85, converted_stat * 1.5, converted_stat)))))</f>
        <v/>
      </c>
      <c r="G974" s="30" t="str">
        <f t="array" ref="G974">IF($A974="", "", LET(bbgm_stat, INDEX(Players!$A973:$P973, MATCH(G$2, Players!$A$1:$P$1, 0)), perc_75, VLOOKUP(G$2, Percentiles!$A$45:$I$59, 6, FALSE), perc_90, VLOOKUP(G$2, Percentiles!$A$45:$I$59, 7, FALSE), perc_95, VLOOKUP(G$2, Percentiles!$A$45:$I$59, 8, FALSE), perc_85, perc_75 + (perc_90 - perc_75) * (2/3), converted_stat, '2K_Ratings'!G974, IF(bbgm_stat &gt;= perc_95, converted_stat * 3, IF(bbgm_stat &gt;= perc_90, converted_stat * 2, IF(bbgm_stat &gt;= perc_85, converted_stat * 1.5, converted_stat)))))</f>
        <v/>
      </c>
      <c r="H974" s="30" t="str">
        <f t="array" ref="H974">IF($A974="", "", LET(bbgm_stat, INDEX(Players!$A973:$P973, MATCH(H$2, Players!$A$1:$P$1, 0)), perc_75, VLOOKUP(H$2, Percentiles!$A$45:$I$59, 6, FALSE), perc_90, VLOOKUP(H$2, Percentiles!$A$45:$I$59, 7, FALSE), perc_95, VLOOKUP(H$2, Percentiles!$A$45:$I$59, 8, FALSE), perc_85, perc_75 + (perc_90 - perc_75) * (2/3), converted_stat, '2K_Ratings'!H974, IF(bbgm_stat &gt;= perc_95, converted_stat * 3, IF(bbgm_stat &gt;= perc_90, converted_stat * 2, IF(bbgm_stat &gt;= perc_85, converted_stat * 1.5, converted_stat)))))</f>
        <v/>
      </c>
      <c r="I974" s="30" t="str">
        <f t="array" ref="I974">IF($A974="", "", LET(bbgm_stat, INDEX(Players!$A973:$P973, MATCH(I$2, Players!$A$1:$P$1, 0)), perc_75, VLOOKUP(I$2, Percentiles!$A$45:$I$59, 6, FALSE), perc_90, VLOOKUP(I$2, Percentiles!$A$45:$I$59, 7, FALSE), perc_95, VLOOKUP(I$2, Percentiles!$A$45:$I$59, 8, FALSE), perc_85, perc_75 + (perc_90 - perc_75) * (2/3), converted_stat, '2K_Ratings'!I974, IF(bbgm_stat &gt;= perc_95, converted_stat * 3, IF(bbgm_stat &gt;= perc_90, converted_stat * 2, IF(bbgm_stat &gt;= perc_85, converted_stat * 1.5, converted_stat)))))</f>
        <v/>
      </c>
      <c r="J974" s="30" t="str">
        <f t="array" ref="J974">IF($A974="", "", LET(bbgm_stat, INDEX(Players!$A973:$P973, MATCH(J$2, Players!$A$1:$P$1, 0)), perc_75, VLOOKUP(J$2, Percentiles!$A$45:$I$59, 6, FALSE), perc_90, VLOOKUP(J$2, Percentiles!$A$45:$I$59, 7, FALSE), perc_95, VLOOKUP(J$2, Percentiles!$A$45:$I$59, 8, FALSE), perc_85, perc_75 + (perc_90 - perc_75) * (2/3), converted_stat, '2K_Ratings'!J974, IF(bbgm_stat &gt;= perc_95, converted_stat * 3, IF(bbgm_stat &gt;= perc_90, converted_stat * 2, IF(bbgm_stat &gt;= perc_85, converted_stat * 1.5, converted_stat)))))</f>
        <v/>
      </c>
      <c r="K974" s="30" t="str">
        <f t="array" ref="K974">IF($A974="", "", LET(bbgm_stat, INDEX(Players!$A973:$P973, MATCH(K$2, Players!$A$1:$P$1, 0)), perc_75, VLOOKUP(K$2, Percentiles!$A$45:$I$59, 6, FALSE), perc_90, VLOOKUP(K$2, Percentiles!$A$45:$I$59, 7, FALSE), perc_95, VLOOKUP(K$2, Percentiles!$A$45:$I$59, 8, FALSE), perc_85, perc_75 + (perc_90 - perc_75) * (2/3), converted_stat, '2K_Ratings'!K974, IF(bbgm_stat &gt;= perc_95, converted_stat * 3, IF(bbgm_stat &gt;= perc_90, converted_stat * 2, IF(bbgm_stat &gt;= perc_85, converted_stat * 1.5, converted_stat)))))</f>
        <v/>
      </c>
      <c r="L974" s="30" t="str">
        <f t="array" ref="L974">IF($A974="", "", LET(bbgm_stat, INDEX(Players!$A973:$P973, MATCH(L$2, Players!$A$1:$P$1, 0)), perc_75, VLOOKUP(L$2, Percentiles!$A$45:$I$59, 6, FALSE), perc_90, VLOOKUP(L$2, Percentiles!$A$45:$I$59, 7, FALSE), perc_95, VLOOKUP(L$2, Percentiles!$A$45:$I$59, 8, FALSE), perc_85, perc_75 + (perc_90 - perc_75) * (2/3), converted_stat, '2K_Ratings'!L974, IF(bbgm_stat &gt;= perc_95, converted_stat * 3, IF(bbgm_stat &gt;= perc_90, converted_stat * 2, IF(bbgm_stat &gt;= perc_85, converted_stat * 1.5, converted_stat)))))</f>
        <v/>
      </c>
      <c r="M974" s="30" t="str">
        <f t="array" ref="M974">IF($A974="", "", LET(bbgm_stat, INDEX(Players!$A973:$P973, MATCH(M$2, Players!$A$1:$P$1, 0)), perc_75, VLOOKUP(M$2, Percentiles!$A$45:$I$59, 6, FALSE), perc_90, VLOOKUP(M$2, Percentiles!$A$45:$I$59, 7, FALSE), perc_95, VLOOKUP(M$2, Percentiles!$A$45:$I$59, 8, FALSE), perc_85, perc_75 + (perc_90 - perc_75) * (2/3), converted_stat, '2K_Ratings'!M974, IF(bbgm_stat &gt;= perc_95, converted_stat * 3, IF(bbgm_stat &gt;= perc_90, converted_stat * 2, IF(bbgm_stat &gt;= perc_85, converted_stat * 1.5, converted_stat)))))</f>
        <v/>
      </c>
      <c r="N974" s="30" t="str">
        <f t="array" ref="N974">IF($A974="", "", LET(bbgm_stat, INDEX(Players!$A973:$P973, MATCH(N$2, Players!$A$1:$P$1, 0)), perc_75, VLOOKUP(N$2, Percentiles!$A$45:$I$59, 6, FALSE), perc_90, VLOOKUP(N$2, Percentiles!$A$45:$I$59, 7, FALSE), perc_95, VLOOKUP(N$2, Percentiles!$A$45:$I$59, 8, FALSE), perc_85, perc_75 + (perc_90 - perc_75) * (2/3), converted_stat, '2K_Ratings'!N974, IF(bbgm_stat &gt;= perc_95, converted_stat * 3, IF(bbgm_stat &gt;= perc_90, converted_stat * 2, IF(bbgm_stat &gt;= perc_85, converted_stat * 1.5, converted_stat)))))</f>
        <v/>
      </c>
      <c r="O974" s="30" t="str">
        <f t="array" ref="O974">IF($A974="", "", LET(bbgm_stat, INDEX(Players!$A973:$P973, MATCH(O$2, Players!$A$1:$P$1, 0)), perc_75, VLOOKUP(O$2, Percentiles!$A$45:$I$59, 6, FALSE), perc_90, VLOOKUP(O$2, Percentiles!$A$45:$I$59, 7, FALSE), perc_95, VLOOKUP(O$2, Percentiles!$A$45:$I$59, 8, FALSE), perc_85, perc_75 + (perc_90 - perc_75) * (2/3), converted_stat, '2K_Ratings'!O974, IF(bbgm_stat &gt;= perc_95, converted_stat * 3, IF(bbgm_stat &gt;= perc_90, converted_stat * 2, IF(bbgm_stat &gt;= perc_85, converted_stat * 1.5, converted_stat)))))</f>
        <v/>
      </c>
      <c r="P974" s="30" t="str">
        <f t="array" ref="P974">IF($A974="", "", LET(bbgm_stat, INDEX(Players!$A973:$P973, MATCH(P$2, Players!$A$1:$P$1, 0)), perc_75, VLOOKUP(P$2, Percentiles!$A$45:$I$59, 6, FALSE), perc_90, VLOOKUP(P$2, Percentiles!$A$45:$I$59, 7, FALSE), perc_95, VLOOKUP(P$2, Percentiles!$A$45:$I$59, 8, FALSE), perc_85, perc_75 + (perc_90 - perc_75) * (2/3), converted_stat, '2K_Ratings'!P974, IF(bbgm_stat &gt;= perc_95, converted_stat * 3, IF(bbgm_stat &gt;= perc_90, converted_stat * 2, IF(bbgm_stat &gt;= perc_85, converted_stat * 1.5, converted_stat)))))</f>
        <v/>
      </c>
      <c r="Q974" s="30" t="str">
        <f t="array" ref="Q974">IF($A974="", "", LET(bbgm_stat, INDEX(Players!$A973:$P973, MATCH(Q$2, Players!$A$1:$P$1, 0)), perc_75, VLOOKUP(Q$2, Percentiles!$A$45:$I$59, 6, FALSE), perc_90, VLOOKUP(Q$2, Percentiles!$A$45:$I$59, 7, FALSE), perc_95, VLOOKUP(Q$2, Percentiles!$A$45:$I$59, 8, FALSE), perc_85, perc_75 + (perc_90 - perc_75) * (2/3), converted_stat, '2K_Ratings'!Q974, IF(bbgm_stat &gt;= perc_95, converted_stat * 3, IF(bbgm_stat &gt;= perc_90, converted_stat * 2, IF(bbgm_stat &gt;= perc_85, converted_stat * 1.5, converted_stat)))))</f>
        <v/>
      </c>
      <c r="R974" s="30" t="str">
        <f t="array" ref="R974">IF($A974="", "", LET(bbgm_stat, INDEX(Players!$A973:$P973, MATCH(R$2, Players!$A$1:$P$1, 0)), perc_75, VLOOKUP(R$2, Percentiles!$A$45:$I$59, 6, FALSE), perc_90, VLOOKUP(R$2, Percentiles!$A$45:$I$59, 7, FALSE), perc_95, VLOOKUP(R$2, Percentiles!$A$45:$I$59, 8, FALSE), perc_85, perc_75 + (perc_90 - perc_75) * (2/3), converted_stat, '2K_Ratings'!R974, IF(bbgm_stat &gt;= perc_95, converted_stat * 3, IF(bbgm_stat &gt;= perc_90, converted_stat * 2, IF(bbgm_stat &gt;= perc_85, converted_stat * 1.5, converted_stat)))))</f>
        <v/>
      </c>
      <c r="S974" s="30" t="str">
        <f t="array" ref="S974">IF($A974="", "", LET(bbgm_stat, INDEX(Players!$A973:$P973, MATCH(S$2, Players!$A$1:$P$1, 0)), perc_75, VLOOKUP(S$2, Percentiles!$A$45:$I$59, 6, FALSE), perc_90, VLOOKUP(S$2, Percentiles!$A$45:$I$59, 7, FALSE), perc_95, VLOOKUP(S$2, Percentiles!$A$45:$I$59, 8, FALSE), perc_85, perc_75 + (perc_90 - perc_75) * (2/3), converted_stat, '2K_Ratings'!S974, IF(bbgm_stat &gt;= perc_95, converted_stat * 3, IF(bbgm_stat &gt;= perc_90, converted_stat * 2, IF(bbgm_stat &gt;= perc_85, converted_stat * 1.5, converted_stat)))))</f>
        <v/>
      </c>
      <c r="T974" s="30" t="str">
        <f t="array" ref="T974">IF($A974="", "", LET(bbgm_stat, INDEX(Players!$A973:$P973, MATCH(T$2, Players!$A$1:$P$1, 0)), perc_75, VLOOKUP(T$2, Percentiles!$A$45:$I$59, 6, FALSE), perc_90, VLOOKUP(T$2, Percentiles!$A$45:$I$59, 7, FALSE), perc_95, VLOOKUP(T$2, Percentiles!$A$45:$I$59, 8, FALSE), perc_85, perc_75 + (perc_90 - perc_75) * (2/3), converted_stat, '2K_Ratings'!T974, IF(bbgm_stat &gt;= perc_95, converted_stat * 3, IF(bbgm_stat &gt;= perc_90, converted_stat * 2, IF(bbgm_stat &gt;= perc_85, converted_stat * 1.5, converted_stat)))))</f>
        <v/>
      </c>
      <c r="U974" s="30" t="str">
        <f t="array" ref="U974">IF($A974="", "", LET(bbgm_stat, INDEX(Players!$A973:$P973, MATCH(U$2, Players!$A$1:$P$1, 0)), perc_75, VLOOKUP(U$2, Percentiles!$A$45:$I$59, 6, FALSE), perc_90, VLOOKUP(U$2, Percentiles!$A$45:$I$59, 7, FALSE), perc_95, VLOOKUP(U$2, Percentiles!$A$45:$I$59, 8, FALSE), perc_85, perc_75 + (perc_90 - perc_75) * (2/3), converted_stat, '2K_Ratings'!U974, IF(bbgm_stat &gt;= perc_95, converted_stat * 3, IF(bbgm_stat &gt;= perc_90, converted_stat * 2, IF(bbgm_stat &gt;= perc_85, converted_stat * 1.5, converted_stat)))))</f>
        <v/>
      </c>
      <c r="V974" s="30" t="str">
        <f t="array" ref="V974">IF($A974="", "", LET(bbgm_stat, INDEX(Players!$A973:$P973, MATCH(V$2, Players!$A$1:$P$1, 0)), perc_75, VLOOKUP(V$2, Percentiles!$A$45:$I$59, 6, FALSE), perc_90, VLOOKUP(V$2, Percentiles!$A$45:$I$59, 7, FALSE), perc_95, VLOOKUP(V$2, Percentiles!$A$45:$I$59, 8, FALSE), perc_85, perc_75 + (perc_90 - perc_75) * (2/3), converted_stat, '2K_Ratings'!V974, IF(bbgm_stat &gt;= perc_95, converted_stat * 3, IF(bbgm_stat &gt;= perc_90, converted_stat * 2, IF(bbgm_stat &gt;= perc_85, converted_stat * 1.5, converted_stat)))))</f>
        <v/>
      </c>
      <c r="W974" s="30" t="str">
        <f t="array" ref="W974">IF($A974="", "", LET(bbgm_stat, INDEX(Players!$A973:$P973, MATCH(W$2, Players!$A$1:$P$1, 0)), perc_75, VLOOKUP(W$2, Percentiles!$A$45:$I$59, 6, FALSE), perc_90, VLOOKUP(W$2, Percentiles!$A$45:$I$59, 7, FALSE), perc_95, VLOOKUP(W$2, Percentiles!$A$45:$I$59, 8, FALSE), perc_85, perc_75 + (perc_90 - perc_75) * (2/3), converted_stat, '2K_Ratings'!W974, IF(bbgm_stat &gt;= perc_95, converted_stat * 3, IF(bbgm_stat &gt;= perc_90, converted_stat * 2, IF(bbgm_stat &gt;= perc_85, converted_stat * 1.5, converted_stat)))))</f>
        <v/>
      </c>
    </row>
    <row r="975">
      <c r="A975" s="30"/>
      <c r="B975" s="30" t="str">
        <f t="array" ref="B975">IF($A975="", "", LET(bbgm_stat, INDEX(Players!$A974:$P974, MATCH(B$2, Players!$A$1:$P$1, 0)), perc_75, VLOOKUP(B$2, Percentiles!$A$45:$I$59, 6, FALSE), perc_90, VLOOKUP(B$2, Percentiles!$A$45:$I$59, 7, FALSE), perc_95, VLOOKUP(B$2, Percentiles!$A$45:$I$59, 8, FALSE), perc_85, perc_75 + (perc_90 - perc_75) * (2/3), converted_stat, '2K_Ratings'!B975, IF(bbgm_stat &gt;= perc_95, converted_stat * 3, IF(bbgm_stat &gt;= perc_90, converted_stat * 2, IF(bbgm_stat &gt;= perc_85, converted_stat * 1.5, converted_stat)))))</f>
        <v/>
      </c>
      <c r="C975" s="30" t="str">
        <f t="array" ref="C975">IF($A975="", "", LET(bbgm_stat, INDEX(Players!$A974:$P974, MATCH(C$2, Players!$A$1:$P$1, 0)), perc_75, VLOOKUP(C$2, Percentiles!$A$45:$I$59, 6, FALSE), perc_90, VLOOKUP(C$2, Percentiles!$A$45:$I$59, 7, FALSE), perc_95, VLOOKUP(C$2, Percentiles!$A$45:$I$59, 8, FALSE), perc_85, perc_75 + (perc_90 - perc_75) * (2/3), converted_stat, '2K_Ratings'!C975, IF(bbgm_stat &gt;= perc_95, converted_stat * 3, IF(bbgm_stat &gt;= perc_90, converted_stat * 2, IF(bbgm_stat &gt;= perc_85, converted_stat * 1.5, converted_stat)))))</f>
        <v/>
      </c>
      <c r="D975" s="30" t="str">
        <f t="array" ref="D975">IF($A975="", "", LET(bbgm_stat, INDEX(Players!$A974:$P974, MATCH(D$2, Players!$A$1:$P$1, 0)), perc_75, VLOOKUP(D$2, Percentiles!$A$45:$I$59, 6, FALSE), perc_90, VLOOKUP(D$2, Percentiles!$A$45:$I$59, 7, FALSE), perc_95, VLOOKUP(D$2, Percentiles!$A$45:$I$59, 8, FALSE), perc_85, perc_75 + (perc_90 - perc_75) * (2/3), converted_stat, '2K_Ratings'!D975, IF(bbgm_stat &gt;= perc_95, converted_stat * 3, IF(bbgm_stat &gt;= perc_90, converted_stat * 2, IF(bbgm_stat &gt;= perc_85, converted_stat * 1.5, converted_stat)))))</f>
        <v/>
      </c>
      <c r="E975" s="30" t="str">
        <f t="array" ref="E975">IF($A975="", "", LET(bbgm_stat, INDEX(Players!$A974:$P974, MATCH(E$2, Players!$A$1:$P$1, 0)), perc_75, VLOOKUP(E$2, Percentiles!$A$45:$I$59, 6, FALSE), perc_90, VLOOKUP(E$2, Percentiles!$A$45:$I$59, 7, FALSE), perc_95, VLOOKUP(E$2, Percentiles!$A$45:$I$59, 8, FALSE), perc_85, perc_75 + (perc_90 - perc_75) * (2/3), converted_stat, '2K_Ratings'!E975, IF(bbgm_stat &gt;= perc_95, converted_stat * 3, IF(bbgm_stat &gt;= perc_90, converted_stat * 2, IF(bbgm_stat &gt;= perc_85, converted_stat * 1.5, converted_stat)))))</f>
        <v/>
      </c>
      <c r="F975" s="30" t="str">
        <f t="array" ref="F975">IF($A975="", "", LET(bbgm_stat, INDEX(Players!$A974:$P974, MATCH(F$2, Players!$A$1:$P$1, 0)), perc_75, VLOOKUP(F$2, Percentiles!$A$45:$I$59, 6, FALSE), perc_90, VLOOKUP(F$2, Percentiles!$A$45:$I$59, 7, FALSE), perc_95, VLOOKUP(F$2, Percentiles!$A$45:$I$59, 8, FALSE), perc_85, perc_75 + (perc_90 - perc_75) * (2/3), converted_stat, '2K_Ratings'!F975, IF(bbgm_stat &gt;= perc_95, converted_stat * 3, IF(bbgm_stat &gt;= perc_90, converted_stat * 2, IF(bbgm_stat &gt;= perc_85, converted_stat * 1.5, converted_stat)))))</f>
        <v/>
      </c>
      <c r="G975" s="30" t="str">
        <f t="array" ref="G975">IF($A975="", "", LET(bbgm_stat, INDEX(Players!$A974:$P974, MATCH(G$2, Players!$A$1:$P$1, 0)), perc_75, VLOOKUP(G$2, Percentiles!$A$45:$I$59, 6, FALSE), perc_90, VLOOKUP(G$2, Percentiles!$A$45:$I$59, 7, FALSE), perc_95, VLOOKUP(G$2, Percentiles!$A$45:$I$59, 8, FALSE), perc_85, perc_75 + (perc_90 - perc_75) * (2/3), converted_stat, '2K_Ratings'!G975, IF(bbgm_stat &gt;= perc_95, converted_stat * 3, IF(bbgm_stat &gt;= perc_90, converted_stat * 2, IF(bbgm_stat &gt;= perc_85, converted_stat * 1.5, converted_stat)))))</f>
        <v/>
      </c>
      <c r="H975" s="30" t="str">
        <f t="array" ref="H975">IF($A975="", "", LET(bbgm_stat, INDEX(Players!$A974:$P974, MATCH(H$2, Players!$A$1:$P$1, 0)), perc_75, VLOOKUP(H$2, Percentiles!$A$45:$I$59, 6, FALSE), perc_90, VLOOKUP(H$2, Percentiles!$A$45:$I$59, 7, FALSE), perc_95, VLOOKUP(H$2, Percentiles!$A$45:$I$59, 8, FALSE), perc_85, perc_75 + (perc_90 - perc_75) * (2/3), converted_stat, '2K_Ratings'!H975, IF(bbgm_stat &gt;= perc_95, converted_stat * 3, IF(bbgm_stat &gt;= perc_90, converted_stat * 2, IF(bbgm_stat &gt;= perc_85, converted_stat * 1.5, converted_stat)))))</f>
        <v/>
      </c>
      <c r="I975" s="30" t="str">
        <f t="array" ref="I975">IF($A975="", "", LET(bbgm_stat, INDEX(Players!$A974:$P974, MATCH(I$2, Players!$A$1:$P$1, 0)), perc_75, VLOOKUP(I$2, Percentiles!$A$45:$I$59, 6, FALSE), perc_90, VLOOKUP(I$2, Percentiles!$A$45:$I$59, 7, FALSE), perc_95, VLOOKUP(I$2, Percentiles!$A$45:$I$59, 8, FALSE), perc_85, perc_75 + (perc_90 - perc_75) * (2/3), converted_stat, '2K_Ratings'!I975, IF(bbgm_stat &gt;= perc_95, converted_stat * 3, IF(bbgm_stat &gt;= perc_90, converted_stat * 2, IF(bbgm_stat &gt;= perc_85, converted_stat * 1.5, converted_stat)))))</f>
        <v/>
      </c>
      <c r="J975" s="30" t="str">
        <f t="array" ref="J975">IF($A975="", "", LET(bbgm_stat, INDEX(Players!$A974:$P974, MATCH(J$2, Players!$A$1:$P$1, 0)), perc_75, VLOOKUP(J$2, Percentiles!$A$45:$I$59, 6, FALSE), perc_90, VLOOKUP(J$2, Percentiles!$A$45:$I$59, 7, FALSE), perc_95, VLOOKUP(J$2, Percentiles!$A$45:$I$59, 8, FALSE), perc_85, perc_75 + (perc_90 - perc_75) * (2/3), converted_stat, '2K_Ratings'!J975, IF(bbgm_stat &gt;= perc_95, converted_stat * 3, IF(bbgm_stat &gt;= perc_90, converted_stat * 2, IF(bbgm_stat &gt;= perc_85, converted_stat * 1.5, converted_stat)))))</f>
        <v/>
      </c>
      <c r="K975" s="30" t="str">
        <f t="array" ref="K975">IF($A975="", "", LET(bbgm_stat, INDEX(Players!$A974:$P974, MATCH(K$2, Players!$A$1:$P$1, 0)), perc_75, VLOOKUP(K$2, Percentiles!$A$45:$I$59, 6, FALSE), perc_90, VLOOKUP(K$2, Percentiles!$A$45:$I$59, 7, FALSE), perc_95, VLOOKUP(K$2, Percentiles!$A$45:$I$59, 8, FALSE), perc_85, perc_75 + (perc_90 - perc_75) * (2/3), converted_stat, '2K_Ratings'!K975, IF(bbgm_stat &gt;= perc_95, converted_stat * 3, IF(bbgm_stat &gt;= perc_90, converted_stat * 2, IF(bbgm_stat &gt;= perc_85, converted_stat * 1.5, converted_stat)))))</f>
        <v/>
      </c>
      <c r="L975" s="30" t="str">
        <f t="array" ref="L975">IF($A975="", "", LET(bbgm_stat, INDEX(Players!$A974:$P974, MATCH(L$2, Players!$A$1:$P$1, 0)), perc_75, VLOOKUP(L$2, Percentiles!$A$45:$I$59, 6, FALSE), perc_90, VLOOKUP(L$2, Percentiles!$A$45:$I$59, 7, FALSE), perc_95, VLOOKUP(L$2, Percentiles!$A$45:$I$59, 8, FALSE), perc_85, perc_75 + (perc_90 - perc_75) * (2/3), converted_stat, '2K_Ratings'!L975, IF(bbgm_stat &gt;= perc_95, converted_stat * 3, IF(bbgm_stat &gt;= perc_90, converted_stat * 2, IF(bbgm_stat &gt;= perc_85, converted_stat * 1.5, converted_stat)))))</f>
        <v/>
      </c>
      <c r="M975" s="30" t="str">
        <f t="array" ref="M975">IF($A975="", "", LET(bbgm_stat, INDEX(Players!$A974:$P974, MATCH(M$2, Players!$A$1:$P$1, 0)), perc_75, VLOOKUP(M$2, Percentiles!$A$45:$I$59, 6, FALSE), perc_90, VLOOKUP(M$2, Percentiles!$A$45:$I$59, 7, FALSE), perc_95, VLOOKUP(M$2, Percentiles!$A$45:$I$59, 8, FALSE), perc_85, perc_75 + (perc_90 - perc_75) * (2/3), converted_stat, '2K_Ratings'!M975, IF(bbgm_stat &gt;= perc_95, converted_stat * 3, IF(bbgm_stat &gt;= perc_90, converted_stat * 2, IF(bbgm_stat &gt;= perc_85, converted_stat * 1.5, converted_stat)))))</f>
        <v/>
      </c>
      <c r="N975" s="30" t="str">
        <f t="array" ref="N975">IF($A975="", "", LET(bbgm_stat, INDEX(Players!$A974:$P974, MATCH(N$2, Players!$A$1:$P$1, 0)), perc_75, VLOOKUP(N$2, Percentiles!$A$45:$I$59, 6, FALSE), perc_90, VLOOKUP(N$2, Percentiles!$A$45:$I$59, 7, FALSE), perc_95, VLOOKUP(N$2, Percentiles!$A$45:$I$59, 8, FALSE), perc_85, perc_75 + (perc_90 - perc_75) * (2/3), converted_stat, '2K_Ratings'!N975, IF(bbgm_stat &gt;= perc_95, converted_stat * 3, IF(bbgm_stat &gt;= perc_90, converted_stat * 2, IF(bbgm_stat &gt;= perc_85, converted_stat * 1.5, converted_stat)))))</f>
        <v/>
      </c>
      <c r="O975" s="30" t="str">
        <f t="array" ref="O975">IF($A975="", "", LET(bbgm_stat, INDEX(Players!$A974:$P974, MATCH(O$2, Players!$A$1:$P$1, 0)), perc_75, VLOOKUP(O$2, Percentiles!$A$45:$I$59, 6, FALSE), perc_90, VLOOKUP(O$2, Percentiles!$A$45:$I$59, 7, FALSE), perc_95, VLOOKUP(O$2, Percentiles!$A$45:$I$59, 8, FALSE), perc_85, perc_75 + (perc_90 - perc_75) * (2/3), converted_stat, '2K_Ratings'!O975, IF(bbgm_stat &gt;= perc_95, converted_stat * 3, IF(bbgm_stat &gt;= perc_90, converted_stat * 2, IF(bbgm_stat &gt;= perc_85, converted_stat * 1.5, converted_stat)))))</f>
        <v/>
      </c>
      <c r="P975" s="30" t="str">
        <f t="array" ref="P975">IF($A975="", "", LET(bbgm_stat, INDEX(Players!$A974:$P974, MATCH(P$2, Players!$A$1:$P$1, 0)), perc_75, VLOOKUP(P$2, Percentiles!$A$45:$I$59, 6, FALSE), perc_90, VLOOKUP(P$2, Percentiles!$A$45:$I$59, 7, FALSE), perc_95, VLOOKUP(P$2, Percentiles!$A$45:$I$59, 8, FALSE), perc_85, perc_75 + (perc_90 - perc_75) * (2/3), converted_stat, '2K_Ratings'!P975, IF(bbgm_stat &gt;= perc_95, converted_stat * 3, IF(bbgm_stat &gt;= perc_90, converted_stat * 2, IF(bbgm_stat &gt;= perc_85, converted_stat * 1.5, converted_stat)))))</f>
        <v/>
      </c>
      <c r="Q975" s="30" t="str">
        <f t="array" ref="Q975">IF($A975="", "", LET(bbgm_stat, INDEX(Players!$A974:$P974, MATCH(Q$2, Players!$A$1:$P$1, 0)), perc_75, VLOOKUP(Q$2, Percentiles!$A$45:$I$59, 6, FALSE), perc_90, VLOOKUP(Q$2, Percentiles!$A$45:$I$59, 7, FALSE), perc_95, VLOOKUP(Q$2, Percentiles!$A$45:$I$59, 8, FALSE), perc_85, perc_75 + (perc_90 - perc_75) * (2/3), converted_stat, '2K_Ratings'!Q975, IF(bbgm_stat &gt;= perc_95, converted_stat * 3, IF(bbgm_stat &gt;= perc_90, converted_stat * 2, IF(bbgm_stat &gt;= perc_85, converted_stat * 1.5, converted_stat)))))</f>
        <v/>
      </c>
      <c r="R975" s="30" t="str">
        <f t="array" ref="R975">IF($A975="", "", LET(bbgm_stat, INDEX(Players!$A974:$P974, MATCH(R$2, Players!$A$1:$P$1, 0)), perc_75, VLOOKUP(R$2, Percentiles!$A$45:$I$59, 6, FALSE), perc_90, VLOOKUP(R$2, Percentiles!$A$45:$I$59, 7, FALSE), perc_95, VLOOKUP(R$2, Percentiles!$A$45:$I$59, 8, FALSE), perc_85, perc_75 + (perc_90 - perc_75) * (2/3), converted_stat, '2K_Ratings'!R975, IF(bbgm_stat &gt;= perc_95, converted_stat * 3, IF(bbgm_stat &gt;= perc_90, converted_stat * 2, IF(bbgm_stat &gt;= perc_85, converted_stat * 1.5, converted_stat)))))</f>
        <v/>
      </c>
      <c r="S975" s="30" t="str">
        <f t="array" ref="S975">IF($A975="", "", LET(bbgm_stat, INDEX(Players!$A974:$P974, MATCH(S$2, Players!$A$1:$P$1, 0)), perc_75, VLOOKUP(S$2, Percentiles!$A$45:$I$59, 6, FALSE), perc_90, VLOOKUP(S$2, Percentiles!$A$45:$I$59, 7, FALSE), perc_95, VLOOKUP(S$2, Percentiles!$A$45:$I$59, 8, FALSE), perc_85, perc_75 + (perc_90 - perc_75) * (2/3), converted_stat, '2K_Ratings'!S975, IF(bbgm_stat &gt;= perc_95, converted_stat * 3, IF(bbgm_stat &gt;= perc_90, converted_stat * 2, IF(bbgm_stat &gt;= perc_85, converted_stat * 1.5, converted_stat)))))</f>
        <v/>
      </c>
      <c r="T975" s="30" t="str">
        <f t="array" ref="T975">IF($A975="", "", LET(bbgm_stat, INDEX(Players!$A974:$P974, MATCH(T$2, Players!$A$1:$P$1, 0)), perc_75, VLOOKUP(T$2, Percentiles!$A$45:$I$59, 6, FALSE), perc_90, VLOOKUP(T$2, Percentiles!$A$45:$I$59, 7, FALSE), perc_95, VLOOKUP(T$2, Percentiles!$A$45:$I$59, 8, FALSE), perc_85, perc_75 + (perc_90 - perc_75) * (2/3), converted_stat, '2K_Ratings'!T975, IF(bbgm_stat &gt;= perc_95, converted_stat * 3, IF(bbgm_stat &gt;= perc_90, converted_stat * 2, IF(bbgm_stat &gt;= perc_85, converted_stat * 1.5, converted_stat)))))</f>
        <v/>
      </c>
      <c r="U975" s="30" t="str">
        <f t="array" ref="U975">IF($A975="", "", LET(bbgm_stat, INDEX(Players!$A974:$P974, MATCH(U$2, Players!$A$1:$P$1, 0)), perc_75, VLOOKUP(U$2, Percentiles!$A$45:$I$59, 6, FALSE), perc_90, VLOOKUP(U$2, Percentiles!$A$45:$I$59, 7, FALSE), perc_95, VLOOKUP(U$2, Percentiles!$A$45:$I$59, 8, FALSE), perc_85, perc_75 + (perc_90 - perc_75) * (2/3), converted_stat, '2K_Ratings'!U975, IF(bbgm_stat &gt;= perc_95, converted_stat * 3, IF(bbgm_stat &gt;= perc_90, converted_stat * 2, IF(bbgm_stat &gt;= perc_85, converted_stat * 1.5, converted_stat)))))</f>
        <v/>
      </c>
      <c r="V975" s="30" t="str">
        <f t="array" ref="V975">IF($A975="", "", LET(bbgm_stat, INDEX(Players!$A974:$P974, MATCH(V$2, Players!$A$1:$P$1, 0)), perc_75, VLOOKUP(V$2, Percentiles!$A$45:$I$59, 6, FALSE), perc_90, VLOOKUP(V$2, Percentiles!$A$45:$I$59, 7, FALSE), perc_95, VLOOKUP(V$2, Percentiles!$A$45:$I$59, 8, FALSE), perc_85, perc_75 + (perc_90 - perc_75) * (2/3), converted_stat, '2K_Ratings'!V975, IF(bbgm_stat &gt;= perc_95, converted_stat * 3, IF(bbgm_stat &gt;= perc_90, converted_stat * 2, IF(bbgm_stat &gt;= perc_85, converted_stat * 1.5, converted_stat)))))</f>
        <v/>
      </c>
      <c r="W975" s="30" t="str">
        <f t="array" ref="W975">IF($A975="", "", LET(bbgm_stat, INDEX(Players!$A974:$P974, MATCH(W$2, Players!$A$1:$P$1, 0)), perc_75, VLOOKUP(W$2, Percentiles!$A$45:$I$59, 6, FALSE), perc_90, VLOOKUP(W$2, Percentiles!$A$45:$I$59, 7, FALSE), perc_95, VLOOKUP(W$2, Percentiles!$A$45:$I$59, 8, FALSE), perc_85, perc_75 + (perc_90 - perc_75) * (2/3), converted_stat, '2K_Ratings'!W975, IF(bbgm_stat &gt;= perc_95, converted_stat * 3, IF(bbgm_stat &gt;= perc_90, converted_stat * 2, IF(bbgm_stat &gt;= perc_85, converted_stat * 1.5, converted_stat)))))</f>
        <v/>
      </c>
    </row>
    <row r="976">
      <c r="A976" s="30"/>
      <c r="B976" s="30" t="str">
        <f t="array" ref="B976">IF($A976="", "", LET(bbgm_stat, INDEX(Players!$A975:$P975, MATCH(B$2, Players!$A$1:$P$1, 0)), perc_75, VLOOKUP(B$2, Percentiles!$A$45:$I$59, 6, FALSE), perc_90, VLOOKUP(B$2, Percentiles!$A$45:$I$59, 7, FALSE), perc_95, VLOOKUP(B$2, Percentiles!$A$45:$I$59, 8, FALSE), perc_85, perc_75 + (perc_90 - perc_75) * (2/3), converted_stat, '2K_Ratings'!B976, IF(bbgm_stat &gt;= perc_95, converted_stat * 3, IF(bbgm_stat &gt;= perc_90, converted_stat * 2, IF(bbgm_stat &gt;= perc_85, converted_stat * 1.5, converted_stat)))))</f>
        <v/>
      </c>
      <c r="C976" s="30" t="str">
        <f t="array" ref="C976">IF($A976="", "", LET(bbgm_stat, INDEX(Players!$A975:$P975, MATCH(C$2, Players!$A$1:$P$1, 0)), perc_75, VLOOKUP(C$2, Percentiles!$A$45:$I$59, 6, FALSE), perc_90, VLOOKUP(C$2, Percentiles!$A$45:$I$59, 7, FALSE), perc_95, VLOOKUP(C$2, Percentiles!$A$45:$I$59, 8, FALSE), perc_85, perc_75 + (perc_90 - perc_75) * (2/3), converted_stat, '2K_Ratings'!C976, IF(bbgm_stat &gt;= perc_95, converted_stat * 3, IF(bbgm_stat &gt;= perc_90, converted_stat * 2, IF(bbgm_stat &gt;= perc_85, converted_stat * 1.5, converted_stat)))))</f>
        <v/>
      </c>
      <c r="D976" s="30" t="str">
        <f t="array" ref="D976">IF($A976="", "", LET(bbgm_stat, INDEX(Players!$A975:$P975, MATCH(D$2, Players!$A$1:$P$1, 0)), perc_75, VLOOKUP(D$2, Percentiles!$A$45:$I$59, 6, FALSE), perc_90, VLOOKUP(D$2, Percentiles!$A$45:$I$59, 7, FALSE), perc_95, VLOOKUP(D$2, Percentiles!$A$45:$I$59, 8, FALSE), perc_85, perc_75 + (perc_90 - perc_75) * (2/3), converted_stat, '2K_Ratings'!D976, IF(bbgm_stat &gt;= perc_95, converted_stat * 3, IF(bbgm_stat &gt;= perc_90, converted_stat * 2, IF(bbgm_stat &gt;= perc_85, converted_stat * 1.5, converted_stat)))))</f>
        <v/>
      </c>
      <c r="E976" s="30" t="str">
        <f t="array" ref="E976">IF($A976="", "", LET(bbgm_stat, INDEX(Players!$A975:$P975, MATCH(E$2, Players!$A$1:$P$1, 0)), perc_75, VLOOKUP(E$2, Percentiles!$A$45:$I$59, 6, FALSE), perc_90, VLOOKUP(E$2, Percentiles!$A$45:$I$59, 7, FALSE), perc_95, VLOOKUP(E$2, Percentiles!$A$45:$I$59, 8, FALSE), perc_85, perc_75 + (perc_90 - perc_75) * (2/3), converted_stat, '2K_Ratings'!E976, IF(bbgm_stat &gt;= perc_95, converted_stat * 3, IF(bbgm_stat &gt;= perc_90, converted_stat * 2, IF(bbgm_stat &gt;= perc_85, converted_stat * 1.5, converted_stat)))))</f>
        <v/>
      </c>
      <c r="F976" s="30" t="str">
        <f t="array" ref="F976">IF($A976="", "", LET(bbgm_stat, INDEX(Players!$A975:$P975, MATCH(F$2, Players!$A$1:$P$1, 0)), perc_75, VLOOKUP(F$2, Percentiles!$A$45:$I$59, 6, FALSE), perc_90, VLOOKUP(F$2, Percentiles!$A$45:$I$59, 7, FALSE), perc_95, VLOOKUP(F$2, Percentiles!$A$45:$I$59, 8, FALSE), perc_85, perc_75 + (perc_90 - perc_75) * (2/3), converted_stat, '2K_Ratings'!F976, IF(bbgm_stat &gt;= perc_95, converted_stat * 3, IF(bbgm_stat &gt;= perc_90, converted_stat * 2, IF(bbgm_stat &gt;= perc_85, converted_stat * 1.5, converted_stat)))))</f>
        <v/>
      </c>
      <c r="G976" s="30" t="str">
        <f t="array" ref="G976">IF($A976="", "", LET(bbgm_stat, INDEX(Players!$A975:$P975, MATCH(G$2, Players!$A$1:$P$1, 0)), perc_75, VLOOKUP(G$2, Percentiles!$A$45:$I$59, 6, FALSE), perc_90, VLOOKUP(G$2, Percentiles!$A$45:$I$59, 7, FALSE), perc_95, VLOOKUP(G$2, Percentiles!$A$45:$I$59, 8, FALSE), perc_85, perc_75 + (perc_90 - perc_75) * (2/3), converted_stat, '2K_Ratings'!G976, IF(bbgm_stat &gt;= perc_95, converted_stat * 3, IF(bbgm_stat &gt;= perc_90, converted_stat * 2, IF(bbgm_stat &gt;= perc_85, converted_stat * 1.5, converted_stat)))))</f>
        <v/>
      </c>
      <c r="H976" s="30" t="str">
        <f t="array" ref="H976">IF($A976="", "", LET(bbgm_stat, INDEX(Players!$A975:$P975, MATCH(H$2, Players!$A$1:$P$1, 0)), perc_75, VLOOKUP(H$2, Percentiles!$A$45:$I$59, 6, FALSE), perc_90, VLOOKUP(H$2, Percentiles!$A$45:$I$59, 7, FALSE), perc_95, VLOOKUP(H$2, Percentiles!$A$45:$I$59, 8, FALSE), perc_85, perc_75 + (perc_90 - perc_75) * (2/3), converted_stat, '2K_Ratings'!H976, IF(bbgm_stat &gt;= perc_95, converted_stat * 3, IF(bbgm_stat &gt;= perc_90, converted_stat * 2, IF(bbgm_stat &gt;= perc_85, converted_stat * 1.5, converted_stat)))))</f>
        <v/>
      </c>
      <c r="I976" s="30" t="str">
        <f t="array" ref="I976">IF($A976="", "", LET(bbgm_stat, INDEX(Players!$A975:$P975, MATCH(I$2, Players!$A$1:$P$1, 0)), perc_75, VLOOKUP(I$2, Percentiles!$A$45:$I$59, 6, FALSE), perc_90, VLOOKUP(I$2, Percentiles!$A$45:$I$59, 7, FALSE), perc_95, VLOOKUP(I$2, Percentiles!$A$45:$I$59, 8, FALSE), perc_85, perc_75 + (perc_90 - perc_75) * (2/3), converted_stat, '2K_Ratings'!I976, IF(bbgm_stat &gt;= perc_95, converted_stat * 3, IF(bbgm_stat &gt;= perc_90, converted_stat * 2, IF(bbgm_stat &gt;= perc_85, converted_stat * 1.5, converted_stat)))))</f>
        <v/>
      </c>
      <c r="J976" s="30" t="str">
        <f t="array" ref="J976">IF($A976="", "", LET(bbgm_stat, INDEX(Players!$A975:$P975, MATCH(J$2, Players!$A$1:$P$1, 0)), perc_75, VLOOKUP(J$2, Percentiles!$A$45:$I$59, 6, FALSE), perc_90, VLOOKUP(J$2, Percentiles!$A$45:$I$59, 7, FALSE), perc_95, VLOOKUP(J$2, Percentiles!$A$45:$I$59, 8, FALSE), perc_85, perc_75 + (perc_90 - perc_75) * (2/3), converted_stat, '2K_Ratings'!J976, IF(bbgm_stat &gt;= perc_95, converted_stat * 3, IF(bbgm_stat &gt;= perc_90, converted_stat * 2, IF(bbgm_stat &gt;= perc_85, converted_stat * 1.5, converted_stat)))))</f>
        <v/>
      </c>
      <c r="K976" s="30" t="str">
        <f t="array" ref="K976">IF($A976="", "", LET(bbgm_stat, INDEX(Players!$A975:$P975, MATCH(K$2, Players!$A$1:$P$1, 0)), perc_75, VLOOKUP(K$2, Percentiles!$A$45:$I$59, 6, FALSE), perc_90, VLOOKUP(K$2, Percentiles!$A$45:$I$59, 7, FALSE), perc_95, VLOOKUP(K$2, Percentiles!$A$45:$I$59, 8, FALSE), perc_85, perc_75 + (perc_90 - perc_75) * (2/3), converted_stat, '2K_Ratings'!K976, IF(bbgm_stat &gt;= perc_95, converted_stat * 3, IF(bbgm_stat &gt;= perc_90, converted_stat * 2, IF(bbgm_stat &gt;= perc_85, converted_stat * 1.5, converted_stat)))))</f>
        <v/>
      </c>
      <c r="L976" s="30" t="str">
        <f t="array" ref="L976">IF($A976="", "", LET(bbgm_stat, INDEX(Players!$A975:$P975, MATCH(L$2, Players!$A$1:$P$1, 0)), perc_75, VLOOKUP(L$2, Percentiles!$A$45:$I$59, 6, FALSE), perc_90, VLOOKUP(L$2, Percentiles!$A$45:$I$59, 7, FALSE), perc_95, VLOOKUP(L$2, Percentiles!$A$45:$I$59, 8, FALSE), perc_85, perc_75 + (perc_90 - perc_75) * (2/3), converted_stat, '2K_Ratings'!L976, IF(bbgm_stat &gt;= perc_95, converted_stat * 3, IF(bbgm_stat &gt;= perc_90, converted_stat * 2, IF(bbgm_stat &gt;= perc_85, converted_stat * 1.5, converted_stat)))))</f>
        <v/>
      </c>
      <c r="M976" s="30" t="str">
        <f t="array" ref="M976">IF($A976="", "", LET(bbgm_stat, INDEX(Players!$A975:$P975, MATCH(M$2, Players!$A$1:$P$1, 0)), perc_75, VLOOKUP(M$2, Percentiles!$A$45:$I$59, 6, FALSE), perc_90, VLOOKUP(M$2, Percentiles!$A$45:$I$59, 7, FALSE), perc_95, VLOOKUP(M$2, Percentiles!$A$45:$I$59, 8, FALSE), perc_85, perc_75 + (perc_90 - perc_75) * (2/3), converted_stat, '2K_Ratings'!M976, IF(bbgm_stat &gt;= perc_95, converted_stat * 3, IF(bbgm_stat &gt;= perc_90, converted_stat * 2, IF(bbgm_stat &gt;= perc_85, converted_stat * 1.5, converted_stat)))))</f>
        <v/>
      </c>
      <c r="N976" s="30" t="str">
        <f t="array" ref="N976">IF($A976="", "", LET(bbgm_stat, INDEX(Players!$A975:$P975, MATCH(N$2, Players!$A$1:$P$1, 0)), perc_75, VLOOKUP(N$2, Percentiles!$A$45:$I$59, 6, FALSE), perc_90, VLOOKUP(N$2, Percentiles!$A$45:$I$59, 7, FALSE), perc_95, VLOOKUP(N$2, Percentiles!$A$45:$I$59, 8, FALSE), perc_85, perc_75 + (perc_90 - perc_75) * (2/3), converted_stat, '2K_Ratings'!N976, IF(bbgm_stat &gt;= perc_95, converted_stat * 3, IF(bbgm_stat &gt;= perc_90, converted_stat * 2, IF(bbgm_stat &gt;= perc_85, converted_stat * 1.5, converted_stat)))))</f>
        <v/>
      </c>
      <c r="O976" s="30" t="str">
        <f t="array" ref="O976">IF($A976="", "", LET(bbgm_stat, INDEX(Players!$A975:$P975, MATCH(O$2, Players!$A$1:$P$1, 0)), perc_75, VLOOKUP(O$2, Percentiles!$A$45:$I$59, 6, FALSE), perc_90, VLOOKUP(O$2, Percentiles!$A$45:$I$59, 7, FALSE), perc_95, VLOOKUP(O$2, Percentiles!$A$45:$I$59, 8, FALSE), perc_85, perc_75 + (perc_90 - perc_75) * (2/3), converted_stat, '2K_Ratings'!O976, IF(bbgm_stat &gt;= perc_95, converted_stat * 3, IF(bbgm_stat &gt;= perc_90, converted_stat * 2, IF(bbgm_stat &gt;= perc_85, converted_stat * 1.5, converted_stat)))))</f>
        <v/>
      </c>
      <c r="P976" s="30" t="str">
        <f t="array" ref="P976">IF($A976="", "", LET(bbgm_stat, INDEX(Players!$A975:$P975, MATCH(P$2, Players!$A$1:$P$1, 0)), perc_75, VLOOKUP(P$2, Percentiles!$A$45:$I$59, 6, FALSE), perc_90, VLOOKUP(P$2, Percentiles!$A$45:$I$59, 7, FALSE), perc_95, VLOOKUP(P$2, Percentiles!$A$45:$I$59, 8, FALSE), perc_85, perc_75 + (perc_90 - perc_75) * (2/3), converted_stat, '2K_Ratings'!P976, IF(bbgm_stat &gt;= perc_95, converted_stat * 3, IF(bbgm_stat &gt;= perc_90, converted_stat * 2, IF(bbgm_stat &gt;= perc_85, converted_stat * 1.5, converted_stat)))))</f>
        <v/>
      </c>
      <c r="Q976" s="30" t="str">
        <f t="array" ref="Q976">IF($A976="", "", LET(bbgm_stat, INDEX(Players!$A975:$P975, MATCH(Q$2, Players!$A$1:$P$1, 0)), perc_75, VLOOKUP(Q$2, Percentiles!$A$45:$I$59, 6, FALSE), perc_90, VLOOKUP(Q$2, Percentiles!$A$45:$I$59, 7, FALSE), perc_95, VLOOKUP(Q$2, Percentiles!$A$45:$I$59, 8, FALSE), perc_85, perc_75 + (perc_90 - perc_75) * (2/3), converted_stat, '2K_Ratings'!Q976, IF(bbgm_stat &gt;= perc_95, converted_stat * 3, IF(bbgm_stat &gt;= perc_90, converted_stat * 2, IF(bbgm_stat &gt;= perc_85, converted_stat * 1.5, converted_stat)))))</f>
        <v/>
      </c>
      <c r="R976" s="30" t="str">
        <f t="array" ref="R976">IF($A976="", "", LET(bbgm_stat, INDEX(Players!$A975:$P975, MATCH(R$2, Players!$A$1:$P$1, 0)), perc_75, VLOOKUP(R$2, Percentiles!$A$45:$I$59, 6, FALSE), perc_90, VLOOKUP(R$2, Percentiles!$A$45:$I$59, 7, FALSE), perc_95, VLOOKUP(R$2, Percentiles!$A$45:$I$59, 8, FALSE), perc_85, perc_75 + (perc_90 - perc_75) * (2/3), converted_stat, '2K_Ratings'!R976, IF(bbgm_stat &gt;= perc_95, converted_stat * 3, IF(bbgm_stat &gt;= perc_90, converted_stat * 2, IF(bbgm_stat &gt;= perc_85, converted_stat * 1.5, converted_stat)))))</f>
        <v/>
      </c>
      <c r="S976" s="30" t="str">
        <f t="array" ref="S976">IF($A976="", "", LET(bbgm_stat, INDEX(Players!$A975:$P975, MATCH(S$2, Players!$A$1:$P$1, 0)), perc_75, VLOOKUP(S$2, Percentiles!$A$45:$I$59, 6, FALSE), perc_90, VLOOKUP(S$2, Percentiles!$A$45:$I$59, 7, FALSE), perc_95, VLOOKUP(S$2, Percentiles!$A$45:$I$59, 8, FALSE), perc_85, perc_75 + (perc_90 - perc_75) * (2/3), converted_stat, '2K_Ratings'!S976, IF(bbgm_stat &gt;= perc_95, converted_stat * 3, IF(bbgm_stat &gt;= perc_90, converted_stat * 2, IF(bbgm_stat &gt;= perc_85, converted_stat * 1.5, converted_stat)))))</f>
        <v/>
      </c>
      <c r="T976" s="30" t="str">
        <f t="array" ref="T976">IF($A976="", "", LET(bbgm_stat, INDEX(Players!$A975:$P975, MATCH(T$2, Players!$A$1:$P$1, 0)), perc_75, VLOOKUP(T$2, Percentiles!$A$45:$I$59, 6, FALSE), perc_90, VLOOKUP(T$2, Percentiles!$A$45:$I$59, 7, FALSE), perc_95, VLOOKUP(T$2, Percentiles!$A$45:$I$59, 8, FALSE), perc_85, perc_75 + (perc_90 - perc_75) * (2/3), converted_stat, '2K_Ratings'!T976, IF(bbgm_stat &gt;= perc_95, converted_stat * 3, IF(bbgm_stat &gt;= perc_90, converted_stat * 2, IF(bbgm_stat &gt;= perc_85, converted_stat * 1.5, converted_stat)))))</f>
        <v/>
      </c>
      <c r="U976" s="30" t="str">
        <f t="array" ref="U976">IF($A976="", "", LET(bbgm_stat, INDEX(Players!$A975:$P975, MATCH(U$2, Players!$A$1:$P$1, 0)), perc_75, VLOOKUP(U$2, Percentiles!$A$45:$I$59, 6, FALSE), perc_90, VLOOKUP(U$2, Percentiles!$A$45:$I$59, 7, FALSE), perc_95, VLOOKUP(U$2, Percentiles!$A$45:$I$59, 8, FALSE), perc_85, perc_75 + (perc_90 - perc_75) * (2/3), converted_stat, '2K_Ratings'!U976, IF(bbgm_stat &gt;= perc_95, converted_stat * 3, IF(bbgm_stat &gt;= perc_90, converted_stat * 2, IF(bbgm_stat &gt;= perc_85, converted_stat * 1.5, converted_stat)))))</f>
        <v/>
      </c>
      <c r="V976" s="30" t="str">
        <f t="array" ref="V976">IF($A976="", "", LET(bbgm_stat, INDEX(Players!$A975:$P975, MATCH(V$2, Players!$A$1:$P$1, 0)), perc_75, VLOOKUP(V$2, Percentiles!$A$45:$I$59, 6, FALSE), perc_90, VLOOKUP(V$2, Percentiles!$A$45:$I$59, 7, FALSE), perc_95, VLOOKUP(V$2, Percentiles!$A$45:$I$59, 8, FALSE), perc_85, perc_75 + (perc_90 - perc_75) * (2/3), converted_stat, '2K_Ratings'!V976, IF(bbgm_stat &gt;= perc_95, converted_stat * 3, IF(bbgm_stat &gt;= perc_90, converted_stat * 2, IF(bbgm_stat &gt;= perc_85, converted_stat * 1.5, converted_stat)))))</f>
        <v/>
      </c>
      <c r="W976" s="30" t="str">
        <f t="array" ref="W976">IF($A976="", "", LET(bbgm_stat, INDEX(Players!$A975:$P975, MATCH(W$2, Players!$A$1:$P$1, 0)), perc_75, VLOOKUP(W$2, Percentiles!$A$45:$I$59, 6, FALSE), perc_90, VLOOKUP(W$2, Percentiles!$A$45:$I$59, 7, FALSE), perc_95, VLOOKUP(W$2, Percentiles!$A$45:$I$59, 8, FALSE), perc_85, perc_75 + (perc_90 - perc_75) * (2/3), converted_stat, '2K_Ratings'!W976, IF(bbgm_stat &gt;= perc_95, converted_stat * 3, IF(bbgm_stat &gt;= perc_90, converted_stat * 2, IF(bbgm_stat &gt;= perc_85, converted_stat * 1.5, converted_stat)))))</f>
        <v/>
      </c>
    </row>
    <row r="977">
      <c r="A977" s="30"/>
      <c r="B977" s="30" t="str">
        <f t="array" ref="B977">IF($A977="", "", LET(bbgm_stat, INDEX(Players!$A976:$P976, MATCH(B$2, Players!$A$1:$P$1, 0)), perc_75, VLOOKUP(B$2, Percentiles!$A$45:$I$59, 6, FALSE), perc_90, VLOOKUP(B$2, Percentiles!$A$45:$I$59, 7, FALSE), perc_95, VLOOKUP(B$2, Percentiles!$A$45:$I$59, 8, FALSE), perc_85, perc_75 + (perc_90 - perc_75) * (2/3), converted_stat, '2K_Ratings'!B977, IF(bbgm_stat &gt;= perc_95, converted_stat * 3, IF(bbgm_stat &gt;= perc_90, converted_stat * 2, IF(bbgm_stat &gt;= perc_85, converted_stat * 1.5, converted_stat)))))</f>
        <v/>
      </c>
      <c r="C977" s="30" t="str">
        <f t="array" ref="C977">IF($A977="", "", LET(bbgm_stat, INDEX(Players!$A976:$P976, MATCH(C$2, Players!$A$1:$P$1, 0)), perc_75, VLOOKUP(C$2, Percentiles!$A$45:$I$59, 6, FALSE), perc_90, VLOOKUP(C$2, Percentiles!$A$45:$I$59, 7, FALSE), perc_95, VLOOKUP(C$2, Percentiles!$A$45:$I$59, 8, FALSE), perc_85, perc_75 + (perc_90 - perc_75) * (2/3), converted_stat, '2K_Ratings'!C977, IF(bbgm_stat &gt;= perc_95, converted_stat * 3, IF(bbgm_stat &gt;= perc_90, converted_stat * 2, IF(bbgm_stat &gt;= perc_85, converted_stat * 1.5, converted_stat)))))</f>
        <v/>
      </c>
      <c r="D977" s="30" t="str">
        <f t="array" ref="D977">IF($A977="", "", LET(bbgm_stat, INDEX(Players!$A976:$P976, MATCH(D$2, Players!$A$1:$P$1, 0)), perc_75, VLOOKUP(D$2, Percentiles!$A$45:$I$59, 6, FALSE), perc_90, VLOOKUP(D$2, Percentiles!$A$45:$I$59, 7, FALSE), perc_95, VLOOKUP(D$2, Percentiles!$A$45:$I$59, 8, FALSE), perc_85, perc_75 + (perc_90 - perc_75) * (2/3), converted_stat, '2K_Ratings'!D977, IF(bbgm_stat &gt;= perc_95, converted_stat * 3, IF(bbgm_stat &gt;= perc_90, converted_stat * 2, IF(bbgm_stat &gt;= perc_85, converted_stat * 1.5, converted_stat)))))</f>
        <v/>
      </c>
      <c r="E977" s="30" t="str">
        <f t="array" ref="E977">IF($A977="", "", LET(bbgm_stat, INDEX(Players!$A976:$P976, MATCH(E$2, Players!$A$1:$P$1, 0)), perc_75, VLOOKUP(E$2, Percentiles!$A$45:$I$59, 6, FALSE), perc_90, VLOOKUP(E$2, Percentiles!$A$45:$I$59, 7, FALSE), perc_95, VLOOKUP(E$2, Percentiles!$A$45:$I$59, 8, FALSE), perc_85, perc_75 + (perc_90 - perc_75) * (2/3), converted_stat, '2K_Ratings'!E977, IF(bbgm_stat &gt;= perc_95, converted_stat * 3, IF(bbgm_stat &gt;= perc_90, converted_stat * 2, IF(bbgm_stat &gt;= perc_85, converted_stat * 1.5, converted_stat)))))</f>
        <v/>
      </c>
      <c r="F977" s="30" t="str">
        <f t="array" ref="F977">IF($A977="", "", LET(bbgm_stat, INDEX(Players!$A976:$P976, MATCH(F$2, Players!$A$1:$P$1, 0)), perc_75, VLOOKUP(F$2, Percentiles!$A$45:$I$59, 6, FALSE), perc_90, VLOOKUP(F$2, Percentiles!$A$45:$I$59, 7, FALSE), perc_95, VLOOKUP(F$2, Percentiles!$A$45:$I$59, 8, FALSE), perc_85, perc_75 + (perc_90 - perc_75) * (2/3), converted_stat, '2K_Ratings'!F977, IF(bbgm_stat &gt;= perc_95, converted_stat * 3, IF(bbgm_stat &gt;= perc_90, converted_stat * 2, IF(bbgm_stat &gt;= perc_85, converted_stat * 1.5, converted_stat)))))</f>
        <v/>
      </c>
      <c r="G977" s="30" t="str">
        <f t="array" ref="G977">IF($A977="", "", LET(bbgm_stat, INDEX(Players!$A976:$P976, MATCH(G$2, Players!$A$1:$P$1, 0)), perc_75, VLOOKUP(G$2, Percentiles!$A$45:$I$59, 6, FALSE), perc_90, VLOOKUP(G$2, Percentiles!$A$45:$I$59, 7, FALSE), perc_95, VLOOKUP(G$2, Percentiles!$A$45:$I$59, 8, FALSE), perc_85, perc_75 + (perc_90 - perc_75) * (2/3), converted_stat, '2K_Ratings'!G977, IF(bbgm_stat &gt;= perc_95, converted_stat * 3, IF(bbgm_stat &gt;= perc_90, converted_stat * 2, IF(bbgm_stat &gt;= perc_85, converted_stat * 1.5, converted_stat)))))</f>
        <v/>
      </c>
      <c r="H977" s="30" t="str">
        <f t="array" ref="H977">IF($A977="", "", LET(bbgm_stat, INDEX(Players!$A976:$P976, MATCH(H$2, Players!$A$1:$P$1, 0)), perc_75, VLOOKUP(H$2, Percentiles!$A$45:$I$59, 6, FALSE), perc_90, VLOOKUP(H$2, Percentiles!$A$45:$I$59, 7, FALSE), perc_95, VLOOKUP(H$2, Percentiles!$A$45:$I$59, 8, FALSE), perc_85, perc_75 + (perc_90 - perc_75) * (2/3), converted_stat, '2K_Ratings'!H977, IF(bbgm_stat &gt;= perc_95, converted_stat * 3, IF(bbgm_stat &gt;= perc_90, converted_stat * 2, IF(bbgm_stat &gt;= perc_85, converted_stat * 1.5, converted_stat)))))</f>
        <v/>
      </c>
      <c r="I977" s="30" t="str">
        <f t="array" ref="I977">IF($A977="", "", LET(bbgm_stat, INDEX(Players!$A976:$P976, MATCH(I$2, Players!$A$1:$P$1, 0)), perc_75, VLOOKUP(I$2, Percentiles!$A$45:$I$59, 6, FALSE), perc_90, VLOOKUP(I$2, Percentiles!$A$45:$I$59, 7, FALSE), perc_95, VLOOKUP(I$2, Percentiles!$A$45:$I$59, 8, FALSE), perc_85, perc_75 + (perc_90 - perc_75) * (2/3), converted_stat, '2K_Ratings'!I977, IF(bbgm_stat &gt;= perc_95, converted_stat * 3, IF(bbgm_stat &gt;= perc_90, converted_stat * 2, IF(bbgm_stat &gt;= perc_85, converted_stat * 1.5, converted_stat)))))</f>
        <v/>
      </c>
      <c r="J977" s="30" t="str">
        <f t="array" ref="J977">IF($A977="", "", LET(bbgm_stat, INDEX(Players!$A976:$P976, MATCH(J$2, Players!$A$1:$P$1, 0)), perc_75, VLOOKUP(J$2, Percentiles!$A$45:$I$59, 6, FALSE), perc_90, VLOOKUP(J$2, Percentiles!$A$45:$I$59, 7, FALSE), perc_95, VLOOKUP(J$2, Percentiles!$A$45:$I$59, 8, FALSE), perc_85, perc_75 + (perc_90 - perc_75) * (2/3), converted_stat, '2K_Ratings'!J977, IF(bbgm_stat &gt;= perc_95, converted_stat * 3, IF(bbgm_stat &gt;= perc_90, converted_stat * 2, IF(bbgm_stat &gt;= perc_85, converted_stat * 1.5, converted_stat)))))</f>
        <v/>
      </c>
      <c r="K977" s="30" t="str">
        <f t="array" ref="K977">IF($A977="", "", LET(bbgm_stat, INDEX(Players!$A976:$P976, MATCH(K$2, Players!$A$1:$P$1, 0)), perc_75, VLOOKUP(K$2, Percentiles!$A$45:$I$59, 6, FALSE), perc_90, VLOOKUP(K$2, Percentiles!$A$45:$I$59, 7, FALSE), perc_95, VLOOKUP(K$2, Percentiles!$A$45:$I$59, 8, FALSE), perc_85, perc_75 + (perc_90 - perc_75) * (2/3), converted_stat, '2K_Ratings'!K977, IF(bbgm_stat &gt;= perc_95, converted_stat * 3, IF(bbgm_stat &gt;= perc_90, converted_stat * 2, IF(bbgm_stat &gt;= perc_85, converted_stat * 1.5, converted_stat)))))</f>
        <v/>
      </c>
      <c r="L977" s="30" t="str">
        <f t="array" ref="L977">IF($A977="", "", LET(bbgm_stat, INDEX(Players!$A976:$P976, MATCH(L$2, Players!$A$1:$P$1, 0)), perc_75, VLOOKUP(L$2, Percentiles!$A$45:$I$59, 6, FALSE), perc_90, VLOOKUP(L$2, Percentiles!$A$45:$I$59, 7, FALSE), perc_95, VLOOKUP(L$2, Percentiles!$A$45:$I$59, 8, FALSE), perc_85, perc_75 + (perc_90 - perc_75) * (2/3), converted_stat, '2K_Ratings'!L977, IF(bbgm_stat &gt;= perc_95, converted_stat * 3, IF(bbgm_stat &gt;= perc_90, converted_stat * 2, IF(bbgm_stat &gt;= perc_85, converted_stat * 1.5, converted_stat)))))</f>
        <v/>
      </c>
      <c r="M977" s="30" t="str">
        <f t="array" ref="M977">IF($A977="", "", LET(bbgm_stat, INDEX(Players!$A976:$P976, MATCH(M$2, Players!$A$1:$P$1, 0)), perc_75, VLOOKUP(M$2, Percentiles!$A$45:$I$59, 6, FALSE), perc_90, VLOOKUP(M$2, Percentiles!$A$45:$I$59, 7, FALSE), perc_95, VLOOKUP(M$2, Percentiles!$A$45:$I$59, 8, FALSE), perc_85, perc_75 + (perc_90 - perc_75) * (2/3), converted_stat, '2K_Ratings'!M977, IF(bbgm_stat &gt;= perc_95, converted_stat * 3, IF(bbgm_stat &gt;= perc_90, converted_stat * 2, IF(bbgm_stat &gt;= perc_85, converted_stat * 1.5, converted_stat)))))</f>
        <v/>
      </c>
      <c r="N977" s="30" t="str">
        <f t="array" ref="N977">IF($A977="", "", LET(bbgm_stat, INDEX(Players!$A976:$P976, MATCH(N$2, Players!$A$1:$P$1, 0)), perc_75, VLOOKUP(N$2, Percentiles!$A$45:$I$59, 6, FALSE), perc_90, VLOOKUP(N$2, Percentiles!$A$45:$I$59, 7, FALSE), perc_95, VLOOKUP(N$2, Percentiles!$A$45:$I$59, 8, FALSE), perc_85, perc_75 + (perc_90 - perc_75) * (2/3), converted_stat, '2K_Ratings'!N977, IF(bbgm_stat &gt;= perc_95, converted_stat * 3, IF(bbgm_stat &gt;= perc_90, converted_stat * 2, IF(bbgm_stat &gt;= perc_85, converted_stat * 1.5, converted_stat)))))</f>
        <v/>
      </c>
      <c r="O977" s="30" t="str">
        <f t="array" ref="O977">IF($A977="", "", LET(bbgm_stat, INDEX(Players!$A976:$P976, MATCH(O$2, Players!$A$1:$P$1, 0)), perc_75, VLOOKUP(O$2, Percentiles!$A$45:$I$59, 6, FALSE), perc_90, VLOOKUP(O$2, Percentiles!$A$45:$I$59, 7, FALSE), perc_95, VLOOKUP(O$2, Percentiles!$A$45:$I$59, 8, FALSE), perc_85, perc_75 + (perc_90 - perc_75) * (2/3), converted_stat, '2K_Ratings'!O977, IF(bbgm_stat &gt;= perc_95, converted_stat * 3, IF(bbgm_stat &gt;= perc_90, converted_stat * 2, IF(bbgm_stat &gt;= perc_85, converted_stat * 1.5, converted_stat)))))</f>
        <v/>
      </c>
      <c r="P977" s="30" t="str">
        <f t="array" ref="P977">IF($A977="", "", LET(bbgm_stat, INDEX(Players!$A976:$P976, MATCH(P$2, Players!$A$1:$P$1, 0)), perc_75, VLOOKUP(P$2, Percentiles!$A$45:$I$59, 6, FALSE), perc_90, VLOOKUP(P$2, Percentiles!$A$45:$I$59, 7, FALSE), perc_95, VLOOKUP(P$2, Percentiles!$A$45:$I$59, 8, FALSE), perc_85, perc_75 + (perc_90 - perc_75) * (2/3), converted_stat, '2K_Ratings'!P977, IF(bbgm_stat &gt;= perc_95, converted_stat * 3, IF(bbgm_stat &gt;= perc_90, converted_stat * 2, IF(bbgm_stat &gt;= perc_85, converted_stat * 1.5, converted_stat)))))</f>
        <v/>
      </c>
      <c r="Q977" s="30" t="str">
        <f t="array" ref="Q977">IF($A977="", "", LET(bbgm_stat, INDEX(Players!$A976:$P976, MATCH(Q$2, Players!$A$1:$P$1, 0)), perc_75, VLOOKUP(Q$2, Percentiles!$A$45:$I$59, 6, FALSE), perc_90, VLOOKUP(Q$2, Percentiles!$A$45:$I$59, 7, FALSE), perc_95, VLOOKUP(Q$2, Percentiles!$A$45:$I$59, 8, FALSE), perc_85, perc_75 + (perc_90 - perc_75) * (2/3), converted_stat, '2K_Ratings'!Q977, IF(bbgm_stat &gt;= perc_95, converted_stat * 3, IF(bbgm_stat &gt;= perc_90, converted_stat * 2, IF(bbgm_stat &gt;= perc_85, converted_stat * 1.5, converted_stat)))))</f>
        <v/>
      </c>
      <c r="R977" s="30" t="str">
        <f t="array" ref="R977">IF($A977="", "", LET(bbgm_stat, INDEX(Players!$A976:$P976, MATCH(R$2, Players!$A$1:$P$1, 0)), perc_75, VLOOKUP(R$2, Percentiles!$A$45:$I$59, 6, FALSE), perc_90, VLOOKUP(R$2, Percentiles!$A$45:$I$59, 7, FALSE), perc_95, VLOOKUP(R$2, Percentiles!$A$45:$I$59, 8, FALSE), perc_85, perc_75 + (perc_90 - perc_75) * (2/3), converted_stat, '2K_Ratings'!R977, IF(bbgm_stat &gt;= perc_95, converted_stat * 3, IF(bbgm_stat &gt;= perc_90, converted_stat * 2, IF(bbgm_stat &gt;= perc_85, converted_stat * 1.5, converted_stat)))))</f>
        <v/>
      </c>
      <c r="S977" s="30" t="str">
        <f t="array" ref="S977">IF($A977="", "", LET(bbgm_stat, INDEX(Players!$A976:$P976, MATCH(S$2, Players!$A$1:$P$1, 0)), perc_75, VLOOKUP(S$2, Percentiles!$A$45:$I$59, 6, FALSE), perc_90, VLOOKUP(S$2, Percentiles!$A$45:$I$59, 7, FALSE), perc_95, VLOOKUP(S$2, Percentiles!$A$45:$I$59, 8, FALSE), perc_85, perc_75 + (perc_90 - perc_75) * (2/3), converted_stat, '2K_Ratings'!S977, IF(bbgm_stat &gt;= perc_95, converted_stat * 3, IF(bbgm_stat &gt;= perc_90, converted_stat * 2, IF(bbgm_stat &gt;= perc_85, converted_stat * 1.5, converted_stat)))))</f>
        <v/>
      </c>
      <c r="T977" s="30" t="str">
        <f t="array" ref="T977">IF($A977="", "", LET(bbgm_stat, INDEX(Players!$A976:$P976, MATCH(T$2, Players!$A$1:$P$1, 0)), perc_75, VLOOKUP(T$2, Percentiles!$A$45:$I$59, 6, FALSE), perc_90, VLOOKUP(T$2, Percentiles!$A$45:$I$59, 7, FALSE), perc_95, VLOOKUP(T$2, Percentiles!$A$45:$I$59, 8, FALSE), perc_85, perc_75 + (perc_90 - perc_75) * (2/3), converted_stat, '2K_Ratings'!T977, IF(bbgm_stat &gt;= perc_95, converted_stat * 3, IF(bbgm_stat &gt;= perc_90, converted_stat * 2, IF(bbgm_stat &gt;= perc_85, converted_stat * 1.5, converted_stat)))))</f>
        <v/>
      </c>
      <c r="U977" s="30" t="str">
        <f t="array" ref="U977">IF($A977="", "", LET(bbgm_stat, INDEX(Players!$A976:$P976, MATCH(U$2, Players!$A$1:$P$1, 0)), perc_75, VLOOKUP(U$2, Percentiles!$A$45:$I$59, 6, FALSE), perc_90, VLOOKUP(U$2, Percentiles!$A$45:$I$59, 7, FALSE), perc_95, VLOOKUP(U$2, Percentiles!$A$45:$I$59, 8, FALSE), perc_85, perc_75 + (perc_90 - perc_75) * (2/3), converted_stat, '2K_Ratings'!U977, IF(bbgm_stat &gt;= perc_95, converted_stat * 3, IF(bbgm_stat &gt;= perc_90, converted_stat * 2, IF(bbgm_stat &gt;= perc_85, converted_stat * 1.5, converted_stat)))))</f>
        <v/>
      </c>
      <c r="V977" s="30" t="str">
        <f t="array" ref="V977">IF($A977="", "", LET(bbgm_stat, INDEX(Players!$A976:$P976, MATCH(V$2, Players!$A$1:$P$1, 0)), perc_75, VLOOKUP(V$2, Percentiles!$A$45:$I$59, 6, FALSE), perc_90, VLOOKUP(V$2, Percentiles!$A$45:$I$59, 7, FALSE), perc_95, VLOOKUP(V$2, Percentiles!$A$45:$I$59, 8, FALSE), perc_85, perc_75 + (perc_90 - perc_75) * (2/3), converted_stat, '2K_Ratings'!V977, IF(bbgm_stat &gt;= perc_95, converted_stat * 3, IF(bbgm_stat &gt;= perc_90, converted_stat * 2, IF(bbgm_stat &gt;= perc_85, converted_stat * 1.5, converted_stat)))))</f>
        <v/>
      </c>
      <c r="W977" s="30" t="str">
        <f t="array" ref="W977">IF($A977="", "", LET(bbgm_stat, INDEX(Players!$A976:$P976, MATCH(W$2, Players!$A$1:$P$1, 0)), perc_75, VLOOKUP(W$2, Percentiles!$A$45:$I$59, 6, FALSE), perc_90, VLOOKUP(W$2, Percentiles!$A$45:$I$59, 7, FALSE), perc_95, VLOOKUP(W$2, Percentiles!$A$45:$I$59, 8, FALSE), perc_85, perc_75 + (perc_90 - perc_75) * (2/3), converted_stat, '2K_Ratings'!W977, IF(bbgm_stat &gt;= perc_95, converted_stat * 3, IF(bbgm_stat &gt;= perc_90, converted_stat * 2, IF(bbgm_stat &gt;= perc_85, converted_stat * 1.5, converted_stat)))))</f>
        <v/>
      </c>
    </row>
    <row r="978">
      <c r="A978" s="30"/>
      <c r="B978" s="30" t="str">
        <f t="array" ref="B978">IF($A978="", "", LET(bbgm_stat, INDEX(Players!$A977:$P977, MATCH(B$2, Players!$A$1:$P$1, 0)), perc_75, VLOOKUP(B$2, Percentiles!$A$45:$I$59, 6, FALSE), perc_90, VLOOKUP(B$2, Percentiles!$A$45:$I$59, 7, FALSE), perc_95, VLOOKUP(B$2, Percentiles!$A$45:$I$59, 8, FALSE), perc_85, perc_75 + (perc_90 - perc_75) * (2/3), converted_stat, '2K_Ratings'!B978, IF(bbgm_stat &gt;= perc_95, converted_stat * 3, IF(bbgm_stat &gt;= perc_90, converted_stat * 2, IF(bbgm_stat &gt;= perc_85, converted_stat * 1.5, converted_stat)))))</f>
        <v/>
      </c>
      <c r="C978" s="30" t="str">
        <f t="array" ref="C978">IF($A978="", "", LET(bbgm_stat, INDEX(Players!$A977:$P977, MATCH(C$2, Players!$A$1:$P$1, 0)), perc_75, VLOOKUP(C$2, Percentiles!$A$45:$I$59, 6, FALSE), perc_90, VLOOKUP(C$2, Percentiles!$A$45:$I$59, 7, FALSE), perc_95, VLOOKUP(C$2, Percentiles!$A$45:$I$59, 8, FALSE), perc_85, perc_75 + (perc_90 - perc_75) * (2/3), converted_stat, '2K_Ratings'!C978, IF(bbgm_stat &gt;= perc_95, converted_stat * 3, IF(bbgm_stat &gt;= perc_90, converted_stat * 2, IF(bbgm_stat &gt;= perc_85, converted_stat * 1.5, converted_stat)))))</f>
        <v/>
      </c>
      <c r="D978" s="30" t="str">
        <f t="array" ref="D978">IF($A978="", "", LET(bbgm_stat, INDEX(Players!$A977:$P977, MATCH(D$2, Players!$A$1:$P$1, 0)), perc_75, VLOOKUP(D$2, Percentiles!$A$45:$I$59, 6, FALSE), perc_90, VLOOKUP(D$2, Percentiles!$A$45:$I$59, 7, FALSE), perc_95, VLOOKUP(D$2, Percentiles!$A$45:$I$59, 8, FALSE), perc_85, perc_75 + (perc_90 - perc_75) * (2/3), converted_stat, '2K_Ratings'!D978, IF(bbgm_stat &gt;= perc_95, converted_stat * 3, IF(bbgm_stat &gt;= perc_90, converted_stat * 2, IF(bbgm_stat &gt;= perc_85, converted_stat * 1.5, converted_stat)))))</f>
        <v/>
      </c>
      <c r="E978" s="30" t="str">
        <f t="array" ref="E978">IF($A978="", "", LET(bbgm_stat, INDEX(Players!$A977:$P977, MATCH(E$2, Players!$A$1:$P$1, 0)), perc_75, VLOOKUP(E$2, Percentiles!$A$45:$I$59, 6, FALSE), perc_90, VLOOKUP(E$2, Percentiles!$A$45:$I$59, 7, FALSE), perc_95, VLOOKUP(E$2, Percentiles!$A$45:$I$59, 8, FALSE), perc_85, perc_75 + (perc_90 - perc_75) * (2/3), converted_stat, '2K_Ratings'!E978, IF(bbgm_stat &gt;= perc_95, converted_stat * 3, IF(bbgm_stat &gt;= perc_90, converted_stat * 2, IF(bbgm_stat &gt;= perc_85, converted_stat * 1.5, converted_stat)))))</f>
        <v/>
      </c>
      <c r="F978" s="30" t="str">
        <f t="array" ref="F978">IF($A978="", "", LET(bbgm_stat, INDEX(Players!$A977:$P977, MATCH(F$2, Players!$A$1:$P$1, 0)), perc_75, VLOOKUP(F$2, Percentiles!$A$45:$I$59, 6, FALSE), perc_90, VLOOKUP(F$2, Percentiles!$A$45:$I$59, 7, FALSE), perc_95, VLOOKUP(F$2, Percentiles!$A$45:$I$59, 8, FALSE), perc_85, perc_75 + (perc_90 - perc_75) * (2/3), converted_stat, '2K_Ratings'!F978, IF(bbgm_stat &gt;= perc_95, converted_stat * 3, IF(bbgm_stat &gt;= perc_90, converted_stat * 2, IF(bbgm_stat &gt;= perc_85, converted_stat * 1.5, converted_stat)))))</f>
        <v/>
      </c>
      <c r="G978" s="30" t="str">
        <f t="array" ref="G978">IF($A978="", "", LET(bbgm_stat, INDEX(Players!$A977:$P977, MATCH(G$2, Players!$A$1:$P$1, 0)), perc_75, VLOOKUP(G$2, Percentiles!$A$45:$I$59, 6, FALSE), perc_90, VLOOKUP(G$2, Percentiles!$A$45:$I$59, 7, FALSE), perc_95, VLOOKUP(G$2, Percentiles!$A$45:$I$59, 8, FALSE), perc_85, perc_75 + (perc_90 - perc_75) * (2/3), converted_stat, '2K_Ratings'!G978, IF(bbgm_stat &gt;= perc_95, converted_stat * 3, IF(bbgm_stat &gt;= perc_90, converted_stat * 2, IF(bbgm_stat &gt;= perc_85, converted_stat * 1.5, converted_stat)))))</f>
        <v/>
      </c>
      <c r="H978" s="30" t="str">
        <f t="array" ref="H978">IF($A978="", "", LET(bbgm_stat, INDEX(Players!$A977:$P977, MATCH(H$2, Players!$A$1:$P$1, 0)), perc_75, VLOOKUP(H$2, Percentiles!$A$45:$I$59, 6, FALSE), perc_90, VLOOKUP(H$2, Percentiles!$A$45:$I$59, 7, FALSE), perc_95, VLOOKUP(H$2, Percentiles!$A$45:$I$59, 8, FALSE), perc_85, perc_75 + (perc_90 - perc_75) * (2/3), converted_stat, '2K_Ratings'!H978, IF(bbgm_stat &gt;= perc_95, converted_stat * 3, IF(bbgm_stat &gt;= perc_90, converted_stat * 2, IF(bbgm_stat &gt;= perc_85, converted_stat * 1.5, converted_stat)))))</f>
        <v/>
      </c>
      <c r="I978" s="30" t="str">
        <f t="array" ref="I978">IF($A978="", "", LET(bbgm_stat, INDEX(Players!$A977:$P977, MATCH(I$2, Players!$A$1:$P$1, 0)), perc_75, VLOOKUP(I$2, Percentiles!$A$45:$I$59, 6, FALSE), perc_90, VLOOKUP(I$2, Percentiles!$A$45:$I$59, 7, FALSE), perc_95, VLOOKUP(I$2, Percentiles!$A$45:$I$59, 8, FALSE), perc_85, perc_75 + (perc_90 - perc_75) * (2/3), converted_stat, '2K_Ratings'!I978, IF(bbgm_stat &gt;= perc_95, converted_stat * 3, IF(bbgm_stat &gt;= perc_90, converted_stat * 2, IF(bbgm_stat &gt;= perc_85, converted_stat * 1.5, converted_stat)))))</f>
        <v/>
      </c>
      <c r="J978" s="30" t="str">
        <f t="array" ref="J978">IF($A978="", "", LET(bbgm_stat, INDEX(Players!$A977:$P977, MATCH(J$2, Players!$A$1:$P$1, 0)), perc_75, VLOOKUP(J$2, Percentiles!$A$45:$I$59, 6, FALSE), perc_90, VLOOKUP(J$2, Percentiles!$A$45:$I$59, 7, FALSE), perc_95, VLOOKUP(J$2, Percentiles!$A$45:$I$59, 8, FALSE), perc_85, perc_75 + (perc_90 - perc_75) * (2/3), converted_stat, '2K_Ratings'!J978, IF(bbgm_stat &gt;= perc_95, converted_stat * 3, IF(bbgm_stat &gt;= perc_90, converted_stat * 2, IF(bbgm_stat &gt;= perc_85, converted_stat * 1.5, converted_stat)))))</f>
        <v/>
      </c>
      <c r="K978" s="30" t="str">
        <f t="array" ref="K978">IF($A978="", "", LET(bbgm_stat, INDEX(Players!$A977:$P977, MATCH(K$2, Players!$A$1:$P$1, 0)), perc_75, VLOOKUP(K$2, Percentiles!$A$45:$I$59, 6, FALSE), perc_90, VLOOKUP(K$2, Percentiles!$A$45:$I$59, 7, FALSE), perc_95, VLOOKUP(K$2, Percentiles!$A$45:$I$59, 8, FALSE), perc_85, perc_75 + (perc_90 - perc_75) * (2/3), converted_stat, '2K_Ratings'!K978, IF(bbgm_stat &gt;= perc_95, converted_stat * 3, IF(bbgm_stat &gt;= perc_90, converted_stat * 2, IF(bbgm_stat &gt;= perc_85, converted_stat * 1.5, converted_stat)))))</f>
        <v/>
      </c>
      <c r="L978" s="30" t="str">
        <f t="array" ref="L978">IF($A978="", "", LET(bbgm_stat, INDEX(Players!$A977:$P977, MATCH(L$2, Players!$A$1:$P$1, 0)), perc_75, VLOOKUP(L$2, Percentiles!$A$45:$I$59, 6, FALSE), perc_90, VLOOKUP(L$2, Percentiles!$A$45:$I$59, 7, FALSE), perc_95, VLOOKUP(L$2, Percentiles!$A$45:$I$59, 8, FALSE), perc_85, perc_75 + (perc_90 - perc_75) * (2/3), converted_stat, '2K_Ratings'!L978, IF(bbgm_stat &gt;= perc_95, converted_stat * 3, IF(bbgm_stat &gt;= perc_90, converted_stat * 2, IF(bbgm_stat &gt;= perc_85, converted_stat * 1.5, converted_stat)))))</f>
        <v/>
      </c>
      <c r="M978" s="30" t="str">
        <f t="array" ref="M978">IF($A978="", "", LET(bbgm_stat, INDEX(Players!$A977:$P977, MATCH(M$2, Players!$A$1:$P$1, 0)), perc_75, VLOOKUP(M$2, Percentiles!$A$45:$I$59, 6, FALSE), perc_90, VLOOKUP(M$2, Percentiles!$A$45:$I$59, 7, FALSE), perc_95, VLOOKUP(M$2, Percentiles!$A$45:$I$59, 8, FALSE), perc_85, perc_75 + (perc_90 - perc_75) * (2/3), converted_stat, '2K_Ratings'!M978, IF(bbgm_stat &gt;= perc_95, converted_stat * 3, IF(bbgm_stat &gt;= perc_90, converted_stat * 2, IF(bbgm_stat &gt;= perc_85, converted_stat * 1.5, converted_stat)))))</f>
        <v/>
      </c>
      <c r="N978" s="30" t="str">
        <f t="array" ref="N978">IF($A978="", "", LET(bbgm_stat, INDEX(Players!$A977:$P977, MATCH(N$2, Players!$A$1:$P$1, 0)), perc_75, VLOOKUP(N$2, Percentiles!$A$45:$I$59, 6, FALSE), perc_90, VLOOKUP(N$2, Percentiles!$A$45:$I$59, 7, FALSE), perc_95, VLOOKUP(N$2, Percentiles!$A$45:$I$59, 8, FALSE), perc_85, perc_75 + (perc_90 - perc_75) * (2/3), converted_stat, '2K_Ratings'!N978, IF(bbgm_stat &gt;= perc_95, converted_stat * 3, IF(bbgm_stat &gt;= perc_90, converted_stat * 2, IF(bbgm_stat &gt;= perc_85, converted_stat * 1.5, converted_stat)))))</f>
        <v/>
      </c>
      <c r="O978" s="30" t="str">
        <f t="array" ref="O978">IF($A978="", "", LET(bbgm_stat, INDEX(Players!$A977:$P977, MATCH(O$2, Players!$A$1:$P$1, 0)), perc_75, VLOOKUP(O$2, Percentiles!$A$45:$I$59, 6, FALSE), perc_90, VLOOKUP(O$2, Percentiles!$A$45:$I$59, 7, FALSE), perc_95, VLOOKUP(O$2, Percentiles!$A$45:$I$59, 8, FALSE), perc_85, perc_75 + (perc_90 - perc_75) * (2/3), converted_stat, '2K_Ratings'!O978, IF(bbgm_stat &gt;= perc_95, converted_stat * 3, IF(bbgm_stat &gt;= perc_90, converted_stat * 2, IF(bbgm_stat &gt;= perc_85, converted_stat * 1.5, converted_stat)))))</f>
        <v/>
      </c>
      <c r="P978" s="30" t="str">
        <f t="array" ref="P978">IF($A978="", "", LET(bbgm_stat, INDEX(Players!$A977:$P977, MATCH(P$2, Players!$A$1:$P$1, 0)), perc_75, VLOOKUP(P$2, Percentiles!$A$45:$I$59, 6, FALSE), perc_90, VLOOKUP(P$2, Percentiles!$A$45:$I$59, 7, FALSE), perc_95, VLOOKUP(P$2, Percentiles!$A$45:$I$59, 8, FALSE), perc_85, perc_75 + (perc_90 - perc_75) * (2/3), converted_stat, '2K_Ratings'!P978, IF(bbgm_stat &gt;= perc_95, converted_stat * 3, IF(bbgm_stat &gt;= perc_90, converted_stat * 2, IF(bbgm_stat &gt;= perc_85, converted_stat * 1.5, converted_stat)))))</f>
        <v/>
      </c>
      <c r="Q978" s="30" t="str">
        <f t="array" ref="Q978">IF($A978="", "", LET(bbgm_stat, INDEX(Players!$A977:$P977, MATCH(Q$2, Players!$A$1:$P$1, 0)), perc_75, VLOOKUP(Q$2, Percentiles!$A$45:$I$59, 6, FALSE), perc_90, VLOOKUP(Q$2, Percentiles!$A$45:$I$59, 7, FALSE), perc_95, VLOOKUP(Q$2, Percentiles!$A$45:$I$59, 8, FALSE), perc_85, perc_75 + (perc_90 - perc_75) * (2/3), converted_stat, '2K_Ratings'!Q978, IF(bbgm_stat &gt;= perc_95, converted_stat * 3, IF(bbgm_stat &gt;= perc_90, converted_stat * 2, IF(bbgm_stat &gt;= perc_85, converted_stat * 1.5, converted_stat)))))</f>
        <v/>
      </c>
      <c r="R978" s="30" t="str">
        <f t="array" ref="R978">IF($A978="", "", LET(bbgm_stat, INDEX(Players!$A977:$P977, MATCH(R$2, Players!$A$1:$P$1, 0)), perc_75, VLOOKUP(R$2, Percentiles!$A$45:$I$59, 6, FALSE), perc_90, VLOOKUP(R$2, Percentiles!$A$45:$I$59, 7, FALSE), perc_95, VLOOKUP(R$2, Percentiles!$A$45:$I$59, 8, FALSE), perc_85, perc_75 + (perc_90 - perc_75) * (2/3), converted_stat, '2K_Ratings'!R978, IF(bbgm_stat &gt;= perc_95, converted_stat * 3, IF(bbgm_stat &gt;= perc_90, converted_stat * 2, IF(bbgm_stat &gt;= perc_85, converted_stat * 1.5, converted_stat)))))</f>
        <v/>
      </c>
      <c r="S978" s="30" t="str">
        <f t="array" ref="S978">IF($A978="", "", LET(bbgm_stat, INDEX(Players!$A977:$P977, MATCH(S$2, Players!$A$1:$P$1, 0)), perc_75, VLOOKUP(S$2, Percentiles!$A$45:$I$59, 6, FALSE), perc_90, VLOOKUP(S$2, Percentiles!$A$45:$I$59, 7, FALSE), perc_95, VLOOKUP(S$2, Percentiles!$A$45:$I$59, 8, FALSE), perc_85, perc_75 + (perc_90 - perc_75) * (2/3), converted_stat, '2K_Ratings'!S978, IF(bbgm_stat &gt;= perc_95, converted_stat * 3, IF(bbgm_stat &gt;= perc_90, converted_stat * 2, IF(bbgm_stat &gt;= perc_85, converted_stat * 1.5, converted_stat)))))</f>
        <v/>
      </c>
      <c r="T978" s="30" t="str">
        <f t="array" ref="T978">IF($A978="", "", LET(bbgm_stat, INDEX(Players!$A977:$P977, MATCH(T$2, Players!$A$1:$P$1, 0)), perc_75, VLOOKUP(T$2, Percentiles!$A$45:$I$59, 6, FALSE), perc_90, VLOOKUP(T$2, Percentiles!$A$45:$I$59, 7, FALSE), perc_95, VLOOKUP(T$2, Percentiles!$A$45:$I$59, 8, FALSE), perc_85, perc_75 + (perc_90 - perc_75) * (2/3), converted_stat, '2K_Ratings'!T978, IF(bbgm_stat &gt;= perc_95, converted_stat * 3, IF(bbgm_stat &gt;= perc_90, converted_stat * 2, IF(bbgm_stat &gt;= perc_85, converted_stat * 1.5, converted_stat)))))</f>
        <v/>
      </c>
      <c r="U978" s="30" t="str">
        <f t="array" ref="U978">IF($A978="", "", LET(bbgm_stat, INDEX(Players!$A977:$P977, MATCH(U$2, Players!$A$1:$P$1, 0)), perc_75, VLOOKUP(U$2, Percentiles!$A$45:$I$59, 6, FALSE), perc_90, VLOOKUP(U$2, Percentiles!$A$45:$I$59, 7, FALSE), perc_95, VLOOKUP(U$2, Percentiles!$A$45:$I$59, 8, FALSE), perc_85, perc_75 + (perc_90 - perc_75) * (2/3), converted_stat, '2K_Ratings'!U978, IF(bbgm_stat &gt;= perc_95, converted_stat * 3, IF(bbgm_stat &gt;= perc_90, converted_stat * 2, IF(bbgm_stat &gt;= perc_85, converted_stat * 1.5, converted_stat)))))</f>
        <v/>
      </c>
      <c r="V978" s="30" t="str">
        <f t="array" ref="V978">IF($A978="", "", LET(bbgm_stat, INDEX(Players!$A977:$P977, MATCH(V$2, Players!$A$1:$P$1, 0)), perc_75, VLOOKUP(V$2, Percentiles!$A$45:$I$59, 6, FALSE), perc_90, VLOOKUP(V$2, Percentiles!$A$45:$I$59, 7, FALSE), perc_95, VLOOKUP(V$2, Percentiles!$A$45:$I$59, 8, FALSE), perc_85, perc_75 + (perc_90 - perc_75) * (2/3), converted_stat, '2K_Ratings'!V978, IF(bbgm_stat &gt;= perc_95, converted_stat * 3, IF(bbgm_stat &gt;= perc_90, converted_stat * 2, IF(bbgm_stat &gt;= perc_85, converted_stat * 1.5, converted_stat)))))</f>
        <v/>
      </c>
      <c r="W978" s="30" t="str">
        <f t="array" ref="W978">IF($A978="", "", LET(bbgm_stat, INDEX(Players!$A977:$P977, MATCH(W$2, Players!$A$1:$P$1, 0)), perc_75, VLOOKUP(W$2, Percentiles!$A$45:$I$59, 6, FALSE), perc_90, VLOOKUP(W$2, Percentiles!$A$45:$I$59, 7, FALSE), perc_95, VLOOKUP(W$2, Percentiles!$A$45:$I$59, 8, FALSE), perc_85, perc_75 + (perc_90 - perc_75) * (2/3), converted_stat, '2K_Ratings'!W978, IF(bbgm_stat &gt;= perc_95, converted_stat * 3, IF(bbgm_stat &gt;= perc_90, converted_stat * 2, IF(bbgm_stat &gt;= perc_85, converted_stat * 1.5, converted_stat)))))</f>
        <v/>
      </c>
    </row>
    <row r="979">
      <c r="A979" s="30"/>
      <c r="B979" s="30" t="str">
        <f t="array" ref="B979">IF($A979="", "", LET(bbgm_stat, INDEX(Players!$A978:$P978, MATCH(B$2, Players!$A$1:$P$1, 0)), perc_75, VLOOKUP(B$2, Percentiles!$A$45:$I$59, 6, FALSE), perc_90, VLOOKUP(B$2, Percentiles!$A$45:$I$59, 7, FALSE), perc_95, VLOOKUP(B$2, Percentiles!$A$45:$I$59, 8, FALSE), perc_85, perc_75 + (perc_90 - perc_75) * (2/3), converted_stat, '2K_Ratings'!B979, IF(bbgm_stat &gt;= perc_95, converted_stat * 3, IF(bbgm_stat &gt;= perc_90, converted_stat * 2, IF(bbgm_stat &gt;= perc_85, converted_stat * 1.5, converted_stat)))))</f>
        <v/>
      </c>
      <c r="C979" s="30" t="str">
        <f t="array" ref="C979">IF($A979="", "", LET(bbgm_stat, INDEX(Players!$A978:$P978, MATCH(C$2, Players!$A$1:$P$1, 0)), perc_75, VLOOKUP(C$2, Percentiles!$A$45:$I$59, 6, FALSE), perc_90, VLOOKUP(C$2, Percentiles!$A$45:$I$59, 7, FALSE), perc_95, VLOOKUP(C$2, Percentiles!$A$45:$I$59, 8, FALSE), perc_85, perc_75 + (perc_90 - perc_75) * (2/3), converted_stat, '2K_Ratings'!C979, IF(bbgm_stat &gt;= perc_95, converted_stat * 3, IF(bbgm_stat &gt;= perc_90, converted_stat * 2, IF(bbgm_stat &gt;= perc_85, converted_stat * 1.5, converted_stat)))))</f>
        <v/>
      </c>
      <c r="D979" s="30" t="str">
        <f t="array" ref="D979">IF($A979="", "", LET(bbgm_stat, INDEX(Players!$A978:$P978, MATCH(D$2, Players!$A$1:$P$1, 0)), perc_75, VLOOKUP(D$2, Percentiles!$A$45:$I$59, 6, FALSE), perc_90, VLOOKUP(D$2, Percentiles!$A$45:$I$59, 7, FALSE), perc_95, VLOOKUP(D$2, Percentiles!$A$45:$I$59, 8, FALSE), perc_85, perc_75 + (perc_90 - perc_75) * (2/3), converted_stat, '2K_Ratings'!D979, IF(bbgm_stat &gt;= perc_95, converted_stat * 3, IF(bbgm_stat &gt;= perc_90, converted_stat * 2, IF(bbgm_stat &gt;= perc_85, converted_stat * 1.5, converted_stat)))))</f>
        <v/>
      </c>
      <c r="E979" s="30" t="str">
        <f t="array" ref="E979">IF($A979="", "", LET(bbgm_stat, INDEX(Players!$A978:$P978, MATCH(E$2, Players!$A$1:$P$1, 0)), perc_75, VLOOKUP(E$2, Percentiles!$A$45:$I$59, 6, FALSE), perc_90, VLOOKUP(E$2, Percentiles!$A$45:$I$59, 7, FALSE), perc_95, VLOOKUP(E$2, Percentiles!$A$45:$I$59, 8, FALSE), perc_85, perc_75 + (perc_90 - perc_75) * (2/3), converted_stat, '2K_Ratings'!E979, IF(bbgm_stat &gt;= perc_95, converted_stat * 3, IF(bbgm_stat &gt;= perc_90, converted_stat * 2, IF(bbgm_stat &gt;= perc_85, converted_stat * 1.5, converted_stat)))))</f>
        <v/>
      </c>
      <c r="F979" s="30" t="str">
        <f t="array" ref="F979">IF($A979="", "", LET(bbgm_stat, INDEX(Players!$A978:$P978, MATCH(F$2, Players!$A$1:$P$1, 0)), perc_75, VLOOKUP(F$2, Percentiles!$A$45:$I$59, 6, FALSE), perc_90, VLOOKUP(F$2, Percentiles!$A$45:$I$59, 7, FALSE), perc_95, VLOOKUP(F$2, Percentiles!$A$45:$I$59, 8, FALSE), perc_85, perc_75 + (perc_90 - perc_75) * (2/3), converted_stat, '2K_Ratings'!F979, IF(bbgm_stat &gt;= perc_95, converted_stat * 3, IF(bbgm_stat &gt;= perc_90, converted_stat * 2, IF(bbgm_stat &gt;= perc_85, converted_stat * 1.5, converted_stat)))))</f>
        <v/>
      </c>
      <c r="G979" s="30" t="str">
        <f t="array" ref="G979">IF($A979="", "", LET(bbgm_stat, INDEX(Players!$A978:$P978, MATCH(G$2, Players!$A$1:$P$1, 0)), perc_75, VLOOKUP(G$2, Percentiles!$A$45:$I$59, 6, FALSE), perc_90, VLOOKUP(G$2, Percentiles!$A$45:$I$59, 7, FALSE), perc_95, VLOOKUP(G$2, Percentiles!$A$45:$I$59, 8, FALSE), perc_85, perc_75 + (perc_90 - perc_75) * (2/3), converted_stat, '2K_Ratings'!G979, IF(bbgm_stat &gt;= perc_95, converted_stat * 3, IF(bbgm_stat &gt;= perc_90, converted_stat * 2, IF(bbgm_stat &gt;= perc_85, converted_stat * 1.5, converted_stat)))))</f>
        <v/>
      </c>
      <c r="H979" s="30" t="str">
        <f t="array" ref="H979">IF($A979="", "", LET(bbgm_stat, INDEX(Players!$A978:$P978, MATCH(H$2, Players!$A$1:$P$1, 0)), perc_75, VLOOKUP(H$2, Percentiles!$A$45:$I$59, 6, FALSE), perc_90, VLOOKUP(H$2, Percentiles!$A$45:$I$59, 7, FALSE), perc_95, VLOOKUP(H$2, Percentiles!$A$45:$I$59, 8, FALSE), perc_85, perc_75 + (perc_90 - perc_75) * (2/3), converted_stat, '2K_Ratings'!H979, IF(bbgm_stat &gt;= perc_95, converted_stat * 3, IF(bbgm_stat &gt;= perc_90, converted_stat * 2, IF(bbgm_stat &gt;= perc_85, converted_stat * 1.5, converted_stat)))))</f>
        <v/>
      </c>
      <c r="I979" s="30" t="str">
        <f t="array" ref="I979">IF($A979="", "", LET(bbgm_stat, INDEX(Players!$A978:$P978, MATCH(I$2, Players!$A$1:$P$1, 0)), perc_75, VLOOKUP(I$2, Percentiles!$A$45:$I$59, 6, FALSE), perc_90, VLOOKUP(I$2, Percentiles!$A$45:$I$59, 7, FALSE), perc_95, VLOOKUP(I$2, Percentiles!$A$45:$I$59, 8, FALSE), perc_85, perc_75 + (perc_90 - perc_75) * (2/3), converted_stat, '2K_Ratings'!I979, IF(bbgm_stat &gt;= perc_95, converted_stat * 3, IF(bbgm_stat &gt;= perc_90, converted_stat * 2, IF(bbgm_stat &gt;= perc_85, converted_stat * 1.5, converted_stat)))))</f>
        <v/>
      </c>
      <c r="J979" s="30" t="str">
        <f t="array" ref="J979">IF($A979="", "", LET(bbgm_stat, INDEX(Players!$A978:$P978, MATCH(J$2, Players!$A$1:$P$1, 0)), perc_75, VLOOKUP(J$2, Percentiles!$A$45:$I$59, 6, FALSE), perc_90, VLOOKUP(J$2, Percentiles!$A$45:$I$59, 7, FALSE), perc_95, VLOOKUP(J$2, Percentiles!$A$45:$I$59, 8, FALSE), perc_85, perc_75 + (perc_90 - perc_75) * (2/3), converted_stat, '2K_Ratings'!J979, IF(bbgm_stat &gt;= perc_95, converted_stat * 3, IF(bbgm_stat &gt;= perc_90, converted_stat * 2, IF(bbgm_stat &gt;= perc_85, converted_stat * 1.5, converted_stat)))))</f>
        <v/>
      </c>
      <c r="K979" s="30" t="str">
        <f t="array" ref="K979">IF($A979="", "", LET(bbgm_stat, INDEX(Players!$A978:$P978, MATCH(K$2, Players!$A$1:$P$1, 0)), perc_75, VLOOKUP(K$2, Percentiles!$A$45:$I$59, 6, FALSE), perc_90, VLOOKUP(K$2, Percentiles!$A$45:$I$59, 7, FALSE), perc_95, VLOOKUP(K$2, Percentiles!$A$45:$I$59, 8, FALSE), perc_85, perc_75 + (perc_90 - perc_75) * (2/3), converted_stat, '2K_Ratings'!K979, IF(bbgm_stat &gt;= perc_95, converted_stat * 3, IF(bbgm_stat &gt;= perc_90, converted_stat * 2, IF(bbgm_stat &gt;= perc_85, converted_stat * 1.5, converted_stat)))))</f>
        <v/>
      </c>
      <c r="L979" s="30" t="str">
        <f t="array" ref="L979">IF($A979="", "", LET(bbgm_stat, INDEX(Players!$A978:$P978, MATCH(L$2, Players!$A$1:$P$1, 0)), perc_75, VLOOKUP(L$2, Percentiles!$A$45:$I$59, 6, FALSE), perc_90, VLOOKUP(L$2, Percentiles!$A$45:$I$59, 7, FALSE), perc_95, VLOOKUP(L$2, Percentiles!$A$45:$I$59, 8, FALSE), perc_85, perc_75 + (perc_90 - perc_75) * (2/3), converted_stat, '2K_Ratings'!L979, IF(bbgm_stat &gt;= perc_95, converted_stat * 3, IF(bbgm_stat &gt;= perc_90, converted_stat * 2, IF(bbgm_stat &gt;= perc_85, converted_stat * 1.5, converted_stat)))))</f>
        <v/>
      </c>
      <c r="M979" s="30" t="str">
        <f t="array" ref="M979">IF($A979="", "", LET(bbgm_stat, INDEX(Players!$A978:$P978, MATCH(M$2, Players!$A$1:$P$1, 0)), perc_75, VLOOKUP(M$2, Percentiles!$A$45:$I$59, 6, FALSE), perc_90, VLOOKUP(M$2, Percentiles!$A$45:$I$59, 7, FALSE), perc_95, VLOOKUP(M$2, Percentiles!$A$45:$I$59, 8, FALSE), perc_85, perc_75 + (perc_90 - perc_75) * (2/3), converted_stat, '2K_Ratings'!M979, IF(bbgm_stat &gt;= perc_95, converted_stat * 3, IF(bbgm_stat &gt;= perc_90, converted_stat * 2, IF(bbgm_stat &gt;= perc_85, converted_stat * 1.5, converted_stat)))))</f>
        <v/>
      </c>
      <c r="N979" s="30" t="str">
        <f t="array" ref="N979">IF($A979="", "", LET(bbgm_stat, INDEX(Players!$A978:$P978, MATCH(N$2, Players!$A$1:$P$1, 0)), perc_75, VLOOKUP(N$2, Percentiles!$A$45:$I$59, 6, FALSE), perc_90, VLOOKUP(N$2, Percentiles!$A$45:$I$59, 7, FALSE), perc_95, VLOOKUP(N$2, Percentiles!$A$45:$I$59, 8, FALSE), perc_85, perc_75 + (perc_90 - perc_75) * (2/3), converted_stat, '2K_Ratings'!N979, IF(bbgm_stat &gt;= perc_95, converted_stat * 3, IF(bbgm_stat &gt;= perc_90, converted_stat * 2, IF(bbgm_stat &gt;= perc_85, converted_stat * 1.5, converted_stat)))))</f>
        <v/>
      </c>
      <c r="O979" s="30" t="str">
        <f t="array" ref="O979">IF($A979="", "", LET(bbgm_stat, INDEX(Players!$A978:$P978, MATCH(O$2, Players!$A$1:$P$1, 0)), perc_75, VLOOKUP(O$2, Percentiles!$A$45:$I$59, 6, FALSE), perc_90, VLOOKUP(O$2, Percentiles!$A$45:$I$59, 7, FALSE), perc_95, VLOOKUP(O$2, Percentiles!$A$45:$I$59, 8, FALSE), perc_85, perc_75 + (perc_90 - perc_75) * (2/3), converted_stat, '2K_Ratings'!O979, IF(bbgm_stat &gt;= perc_95, converted_stat * 3, IF(bbgm_stat &gt;= perc_90, converted_stat * 2, IF(bbgm_stat &gt;= perc_85, converted_stat * 1.5, converted_stat)))))</f>
        <v/>
      </c>
      <c r="P979" s="30" t="str">
        <f t="array" ref="P979">IF($A979="", "", LET(bbgm_stat, INDEX(Players!$A978:$P978, MATCH(P$2, Players!$A$1:$P$1, 0)), perc_75, VLOOKUP(P$2, Percentiles!$A$45:$I$59, 6, FALSE), perc_90, VLOOKUP(P$2, Percentiles!$A$45:$I$59, 7, FALSE), perc_95, VLOOKUP(P$2, Percentiles!$A$45:$I$59, 8, FALSE), perc_85, perc_75 + (perc_90 - perc_75) * (2/3), converted_stat, '2K_Ratings'!P979, IF(bbgm_stat &gt;= perc_95, converted_stat * 3, IF(bbgm_stat &gt;= perc_90, converted_stat * 2, IF(bbgm_stat &gt;= perc_85, converted_stat * 1.5, converted_stat)))))</f>
        <v/>
      </c>
      <c r="Q979" s="30" t="str">
        <f t="array" ref="Q979">IF($A979="", "", LET(bbgm_stat, INDEX(Players!$A978:$P978, MATCH(Q$2, Players!$A$1:$P$1, 0)), perc_75, VLOOKUP(Q$2, Percentiles!$A$45:$I$59, 6, FALSE), perc_90, VLOOKUP(Q$2, Percentiles!$A$45:$I$59, 7, FALSE), perc_95, VLOOKUP(Q$2, Percentiles!$A$45:$I$59, 8, FALSE), perc_85, perc_75 + (perc_90 - perc_75) * (2/3), converted_stat, '2K_Ratings'!Q979, IF(bbgm_stat &gt;= perc_95, converted_stat * 3, IF(bbgm_stat &gt;= perc_90, converted_stat * 2, IF(bbgm_stat &gt;= perc_85, converted_stat * 1.5, converted_stat)))))</f>
        <v/>
      </c>
      <c r="R979" s="30" t="str">
        <f t="array" ref="R979">IF($A979="", "", LET(bbgm_stat, INDEX(Players!$A978:$P978, MATCH(R$2, Players!$A$1:$P$1, 0)), perc_75, VLOOKUP(R$2, Percentiles!$A$45:$I$59, 6, FALSE), perc_90, VLOOKUP(R$2, Percentiles!$A$45:$I$59, 7, FALSE), perc_95, VLOOKUP(R$2, Percentiles!$A$45:$I$59, 8, FALSE), perc_85, perc_75 + (perc_90 - perc_75) * (2/3), converted_stat, '2K_Ratings'!R979, IF(bbgm_stat &gt;= perc_95, converted_stat * 3, IF(bbgm_stat &gt;= perc_90, converted_stat * 2, IF(bbgm_stat &gt;= perc_85, converted_stat * 1.5, converted_stat)))))</f>
        <v/>
      </c>
      <c r="S979" s="30" t="str">
        <f t="array" ref="S979">IF($A979="", "", LET(bbgm_stat, INDEX(Players!$A978:$P978, MATCH(S$2, Players!$A$1:$P$1, 0)), perc_75, VLOOKUP(S$2, Percentiles!$A$45:$I$59, 6, FALSE), perc_90, VLOOKUP(S$2, Percentiles!$A$45:$I$59, 7, FALSE), perc_95, VLOOKUP(S$2, Percentiles!$A$45:$I$59, 8, FALSE), perc_85, perc_75 + (perc_90 - perc_75) * (2/3), converted_stat, '2K_Ratings'!S979, IF(bbgm_stat &gt;= perc_95, converted_stat * 3, IF(bbgm_stat &gt;= perc_90, converted_stat * 2, IF(bbgm_stat &gt;= perc_85, converted_stat * 1.5, converted_stat)))))</f>
        <v/>
      </c>
      <c r="T979" s="30" t="str">
        <f t="array" ref="T979">IF($A979="", "", LET(bbgm_stat, INDEX(Players!$A978:$P978, MATCH(T$2, Players!$A$1:$P$1, 0)), perc_75, VLOOKUP(T$2, Percentiles!$A$45:$I$59, 6, FALSE), perc_90, VLOOKUP(T$2, Percentiles!$A$45:$I$59, 7, FALSE), perc_95, VLOOKUP(T$2, Percentiles!$A$45:$I$59, 8, FALSE), perc_85, perc_75 + (perc_90 - perc_75) * (2/3), converted_stat, '2K_Ratings'!T979, IF(bbgm_stat &gt;= perc_95, converted_stat * 3, IF(bbgm_stat &gt;= perc_90, converted_stat * 2, IF(bbgm_stat &gt;= perc_85, converted_stat * 1.5, converted_stat)))))</f>
        <v/>
      </c>
      <c r="U979" s="30" t="str">
        <f t="array" ref="U979">IF($A979="", "", LET(bbgm_stat, INDEX(Players!$A978:$P978, MATCH(U$2, Players!$A$1:$P$1, 0)), perc_75, VLOOKUP(U$2, Percentiles!$A$45:$I$59, 6, FALSE), perc_90, VLOOKUP(U$2, Percentiles!$A$45:$I$59, 7, FALSE), perc_95, VLOOKUP(U$2, Percentiles!$A$45:$I$59, 8, FALSE), perc_85, perc_75 + (perc_90 - perc_75) * (2/3), converted_stat, '2K_Ratings'!U979, IF(bbgm_stat &gt;= perc_95, converted_stat * 3, IF(bbgm_stat &gt;= perc_90, converted_stat * 2, IF(bbgm_stat &gt;= perc_85, converted_stat * 1.5, converted_stat)))))</f>
        <v/>
      </c>
      <c r="V979" s="30" t="str">
        <f t="array" ref="V979">IF($A979="", "", LET(bbgm_stat, INDEX(Players!$A978:$P978, MATCH(V$2, Players!$A$1:$P$1, 0)), perc_75, VLOOKUP(V$2, Percentiles!$A$45:$I$59, 6, FALSE), perc_90, VLOOKUP(V$2, Percentiles!$A$45:$I$59, 7, FALSE), perc_95, VLOOKUP(V$2, Percentiles!$A$45:$I$59, 8, FALSE), perc_85, perc_75 + (perc_90 - perc_75) * (2/3), converted_stat, '2K_Ratings'!V979, IF(bbgm_stat &gt;= perc_95, converted_stat * 3, IF(bbgm_stat &gt;= perc_90, converted_stat * 2, IF(bbgm_stat &gt;= perc_85, converted_stat * 1.5, converted_stat)))))</f>
        <v/>
      </c>
      <c r="W979" s="30" t="str">
        <f t="array" ref="W979">IF($A979="", "", LET(bbgm_stat, INDEX(Players!$A978:$P978, MATCH(W$2, Players!$A$1:$P$1, 0)), perc_75, VLOOKUP(W$2, Percentiles!$A$45:$I$59, 6, FALSE), perc_90, VLOOKUP(W$2, Percentiles!$A$45:$I$59, 7, FALSE), perc_95, VLOOKUP(W$2, Percentiles!$A$45:$I$59, 8, FALSE), perc_85, perc_75 + (perc_90 - perc_75) * (2/3), converted_stat, '2K_Ratings'!W979, IF(bbgm_stat &gt;= perc_95, converted_stat * 3, IF(bbgm_stat &gt;= perc_90, converted_stat * 2, IF(bbgm_stat &gt;= perc_85, converted_stat * 1.5, converted_stat)))))</f>
        <v/>
      </c>
    </row>
    <row r="980">
      <c r="A980" s="30"/>
      <c r="B980" s="30" t="str">
        <f t="array" ref="B980">IF($A980="", "", LET(bbgm_stat, INDEX(Players!$A979:$P979, MATCH(B$2, Players!$A$1:$P$1, 0)), perc_75, VLOOKUP(B$2, Percentiles!$A$45:$I$59, 6, FALSE), perc_90, VLOOKUP(B$2, Percentiles!$A$45:$I$59, 7, FALSE), perc_95, VLOOKUP(B$2, Percentiles!$A$45:$I$59, 8, FALSE), perc_85, perc_75 + (perc_90 - perc_75) * (2/3), converted_stat, '2K_Ratings'!B980, IF(bbgm_stat &gt;= perc_95, converted_stat * 3, IF(bbgm_stat &gt;= perc_90, converted_stat * 2, IF(bbgm_stat &gt;= perc_85, converted_stat * 1.5, converted_stat)))))</f>
        <v/>
      </c>
      <c r="C980" s="30" t="str">
        <f t="array" ref="C980">IF($A980="", "", LET(bbgm_stat, INDEX(Players!$A979:$P979, MATCH(C$2, Players!$A$1:$P$1, 0)), perc_75, VLOOKUP(C$2, Percentiles!$A$45:$I$59, 6, FALSE), perc_90, VLOOKUP(C$2, Percentiles!$A$45:$I$59, 7, FALSE), perc_95, VLOOKUP(C$2, Percentiles!$A$45:$I$59, 8, FALSE), perc_85, perc_75 + (perc_90 - perc_75) * (2/3), converted_stat, '2K_Ratings'!C980, IF(bbgm_stat &gt;= perc_95, converted_stat * 3, IF(bbgm_stat &gt;= perc_90, converted_stat * 2, IF(bbgm_stat &gt;= perc_85, converted_stat * 1.5, converted_stat)))))</f>
        <v/>
      </c>
      <c r="D980" s="30" t="str">
        <f t="array" ref="D980">IF($A980="", "", LET(bbgm_stat, INDEX(Players!$A979:$P979, MATCH(D$2, Players!$A$1:$P$1, 0)), perc_75, VLOOKUP(D$2, Percentiles!$A$45:$I$59, 6, FALSE), perc_90, VLOOKUP(D$2, Percentiles!$A$45:$I$59, 7, FALSE), perc_95, VLOOKUP(D$2, Percentiles!$A$45:$I$59, 8, FALSE), perc_85, perc_75 + (perc_90 - perc_75) * (2/3), converted_stat, '2K_Ratings'!D980, IF(bbgm_stat &gt;= perc_95, converted_stat * 3, IF(bbgm_stat &gt;= perc_90, converted_stat * 2, IF(bbgm_stat &gt;= perc_85, converted_stat * 1.5, converted_stat)))))</f>
        <v/>
      </c>
      <c r="E980" s="30" t="str">
        <f t="array" ref="E980">IF($A980="", "", LET(bbgm_stat, INDEX(Players!$A979:$P979, MATCH(E$2, Players!$A$1:$P$1, 0)), perc_75, VLOOKUP(E$2, Percentiles!$A$45:$I$59, 6, FALSE), perc_90, VLOOKUP(E$2, Percentiles!$A$45:$I$59, 7, FALSE), perc_95, VLOOKUP(E$2, Percentiles!$A$45:$I$59, 8, FALSE), perc_85, perc_75 + (perc_90 - perc_75) * (2/3), converted_stat, '2K_Ratings'!E980, IF(bbgm_stat &gt;= perc_95, converted_stat * 3, IF(bbgm_stat &gt;= perc_90, converted_stat * 2, IF(bbgm_stat &gt;= perc_85, converted_stat * 1.5, converted_stat)))))</f>
        <v/>
      </c>
      <c r="F980" s="30" t="str">
        <f t="array" ref="F980">IF($A980="", "", LET(bbgm_stat, INDEX(Players!$A979:$P979, MATCH(F$2, Players!$A$1:$P$1, 0)), perc_75, VLOOKUP(F$2, Percentiles!$A$45:$I$59, 6, FALSE), perc_90, VLOOKUP(F$2, Percentiles!$A$45:$I$59, 7, FALSE), perc_95, VLOOKUP(F$2, Percentiles!$A$45:$I$59, 8, FALSE), perc_85, perc_75 + (perc_90 - perc_75) * (2/3), converted_stat, '2K_Ratings'!F980, IF(bbgm_stat &gt;= perc_95, converted_stat * 3, IF(bbgm_stat &gt;= perc_90, converted_stat * 2, IF(bbgm_stat &gt;= perc_85, converted_stat * 1.5, converted_stat)))))</f>
        <v/>
      </c>
      <c r="G980" s="30" t="str">
        <f t="array" ref="G980">IF($A980="", "", LET(bbgm_stat, INDEX(Players!$A979:$P979, MATCH(G$2, Players!$A$1:$P$1, 0)), perc_75, VLOOKUP(G$2, Percentiles!$A$45:$I$59, 6, FALSE), perc_90, VLOOKUP(G$2, Percentiles!$A$45:$I$59, 7, FALSE), perc_95, VLOOKUP(G$2, Percentiles!$A$45:$I$59, 8, FALSE), perc_85, perc_75 + (perc_90 - perc_75) * (2/3), converted_stat, '2K_Ratings'!G980, IF(bbgm_stat &gt;= perc_95, converted_stat * 3, IF(bbgm_stat &gt;= perc_90, converted_stat * 2, IF(bbgm_stat &gt;= perc_85, converted_stat * 1.5, converted_stat)))))</f>
        <v/>
      </c>
      <c r="H980" s="30" t="str">
        <f t="array" ref="H980">IF($A980="", "", LET(bbgm_stat, INDEX(Players!$A979:$P979, MATCH(H$2, Players!$A$1:$P$1, 0)), perc_75, VLOOKUP(H$2, Percentiles!$A$45:$I$59, 6, FALSE), perc_90, VLOOKUP(H$2, Percentiles!$A$45:$I$59, 7, FALSE), perc_95, VLOOKUP(H$2, Percentiles!$A$45:$I$59, 8, FALSE), perc_85, perc_75 + (perc_90 - perc_75) * (2/3), converted_stat, '2K_Ratings'!H980, IF(bbgm_stat &gt;= perc_95, converted_stat * 3, IF(bbgm_stat &gt;= perc_90, converted_stat * 2, IF(bbgm_stat &gt;= perc_85, converted_stat * 1.5, converted_stat)))))</f>
        <v/>
      </c>
      <c r="I980" s="30" t="str">
        <f t="array" ref="I980">IF($A980="", "", LET(bbgm_stat, INDEX(Players!$A979:$P979, MATCH(I$2, Players!$A$1:$P$1, 0)), perc_75, VLOOKUP(I$2, Percentiles!$A$45:$I$59, 6, FALSE), perc_90, VLOOKUP(I$2, Percentiles!$A$45:$I$59, 7, FALSE), perc_95, VLOOKUP(I$2, Percentiles!$A$45:$I$59, 8, FALSE), perc_85, perc_75 + (perc_90 - perc_75) * (2/3), converted_stat, '2K_Ratings'!I980, IF(bbgm_stat &gt;= perc_95, converted_stat * 3, IF(bbgm_stat &gt;= perc_90, converted_stat * 2, IF(bbgm_stat &gt;= perc_85, converted_stat * 1.5, converted_stat)))))</f>
        <v/>
      </c>
      <c r="J980" s="30" t="str">
        <f t="array" ref="J980">IF($A980="", "", LET(bbgm_stat, INDEX(Players!$A979:$P979, MATCH(J$2, Players!$A$1:$P$1, 0)), perc_75, VLOOKUP(J$2, Percentiles!$A$45:$I$59, 6, FALSE), perc_90, VLOOKUP(J$2, Percentiles!$A$45:$I$59, 7, FALSE), perc_95, VLOOKUP(J$2, Percentiles!$A$45:$I$59, 8, FALSE), perc_85, perc_75 + (perc_90 - perc_75) * (2/3), converted_stat, '2K_Ratings'!J980, IF(bbgm_stat &gt;= perc_95, converted_stat * 3, IF(bbgm_stat &gt;= perc_90, converted_stat * 2, IF(bbgm_stat &gt;= perc_85, converted_stat * 1.5, converted_stat)))))</f>
        <v/>
      </c>
      <c r="K980" s="30" t="str">
        <f t="array" ref="K980">IF($A980="", "", LET(bbgm_stat, INDEX(Players!$A979:$P979, MATCH(K$2, Players!$A$1:$P$1, 0)), perc_75, VLOOKUP(K$2, Percentiles!$A$45:$I$59, 6, FALSE), perc_90, VLOOKUP(K$2, Percentiles!$A$45:$I$59, 7, FALSE), perc_95, VLOOKUP(K$2, Percentiles!$A$45:$I$59, 8, FALSE), perc_85, perc_75 + (perc_90 - perc_75) * (2/3), converted_stat, '2K_Ratings'!K980, IF(bbgm_stat &gt;= perc_95, converted_stat * 3, IF(bbgm_stat &gt;= perc_90, converted_stat * 2, IF(bbgm_stat &gt;= perc_85, converted_stat * 1.5, converted_stat)))))</f>
        <v/>
      </c>
      <c r="L980" s="30" t="str">
        <f t="array" ref="L980">IF($A980="", "", LET(bbgm_stat, INDEX(Players!$A979:$P979, MATCH(L$2, Players!$A$1:$P$1, 0)), perc_75, VLOOKUP(L$2, Percentiles!$A$45:$I$59, 6, FALSE), perc_90, VLOOKUP(L$2, Percentiles!$A$45:$I$59, 7, FALSE), perc_95, VLOOKUP(L$2, Percentiles!$A$45:$I$59, 8, FALSE), perc_85, perc_75 + (perc_90 - perc_75) * (2/3), converted_stat, '2K_Ratings'!L980, IF(bbgm_stat &gt;= perc_95, converted_stat * 3, IF(bbgm_stat &gt;= perc_90, converted_stat * 2, IF(bbgm_stat &gt;= perc_85, converted_stat * 1.5, converted_stat)))))</f>
        <v/>
      </c>
      <c r="M980" s="30" t="str">
        <f t="array" ref="M980">IF($A980="", "", LET(bbgm_stat, INDEX(Players!$A979:$P979, MATCH(M$2, Players!$A$1:$P$1, 0)), perc_75, VLOOKUP(M$2, Percentiles!$A$45:$I$59, 6, FALSE), perc_90, VLOOKUP(M$2, Percentiles!$A$45:$I$59, 7, FALSE), perc_95, VLOOKUP(M$2, Percentiles!$A$45:$I$59, 8, FALSE), perc_85, perc_75 + (perc_90 - perc_75) * (2/3), converted_stat, '2K_Ratings'!M980, IF(bbgm_stat &gt;= perc_95, converted_stat * 3, IF(bbgm_stat &gt;= perc_90, converted_stat * 2, IF(bbgm_stat &gt;= perc_85, converted_stat * 1.5, converted_stat)))))</f>
        <v/>
      </c>
      <c r="N980" s="30" t="str">
        <f t="array" ref="N980">IF($A980="", "", LET(bbgm_stat, INDEX(Players!$A979:$P979, MATCH(N$2, Players!$A$1:$P$1, 0)), perc_75, VLOOKUP(N$2, Percentiles!$A$45:$I$59, 6, FALSE), perc_90, VLOOKUP(N$2, Percentiles!$A$45:$I$59, 7, FALSE), perc_95, VLOOKUP(N$2, Percentiles!$A$45:$I$59, 8, FALSE), perc_85, perc_75 + (perc_90 - perc_75) * (2/3), converted_stat, '2K_Ratings'!N980, IF(bbgm_stat &gt;= perc_95, converted_stat * 3, IF(bbgm_stat &gt;= perc_90, converted_stat * 2, IF(bbgm_stat &gt;= perc_85, converted_stat * 1.5, converted_stat)))))</f>
        <v/>
      </c>
      <c r="O980" s="30" t="str">
        <f t="array" ref="O980">IF($A980="", "", LET(bbgm_stat, INDEX(Players!$A979:$P979, MATCH(O$2, Players!$A$1:$P$1, 0)), perc_75, VLOOKUP(O$2, Percentiles!$A$45:$I$59, 6, FALSE), perc_90, VLOOKUP(O$2, Percentiles!$A$45:$I$59, 7, FALSE), perc_95, VLOOKUP(O$2, Percentiles!$A$45:$I$59, 8, FALSE), perc_85, perc_75 + (perc_90 - perc_75) * (2/3), converted_stat, '2K_Ratings'!O980, IF(bbgm_stat &gt;= perc_95, converted_stat * 3, IF(bbgm_stat &gt;= perc_90, converted_stat * 2, IF(bbgm_stat &gt;= perc_85, converted_stat * 1.5, converted_stat)))))</f>
        <v/>
      </c>
      <c r="P980" s="30" t="str">
        <f t="array" ref="P980">IF($A980="", "", LET(bbgm_stat, INDEX(Players!$A979:$P979, MATCH(P$2, Players!$A$1:$P$1, 0)), perc_75, VLOOKUP(P$2, Percentiles!$A$45:$I$59, 6, FALSE), perc_90, VLOOKUP(P$2, Percentiles!$A$45:$I$59, 7, FALSE), perc_95, VLOOKUP(P$2, Percentiles!$A$45:$I$59, 8, FALSE), perc_85, perc_75 + (perc_90 - perc_75) * (2/3), converted_stat, '2K_Ratings'!P980, IF(bbgm_stat &gt;= perc_95, converted_stat * 3, IF(bbgm_stat &gt;= perc_90, converted_stat * 2, IF(bbgm_stat &gt;= perc_85, converted_stat * 1.5, converted_stat)))))</f>
        <v/>
      </c>
      <c r="Q980" s="30" t="str">
        <f t="array" ref="Q980">IF($A980="", "", LET(bbgm_stat, INDEX(Players!$A979:$P979, MATCH(Q$2, Players!$A$1:$P$1, 0)), perc_75, VLOOKUP(Q$2, Percentiles!$A$45:$I$59, 6, FALSE), perc_90, VLOOKUP(Q$2, Percentiles!$A$45:$I$59, 7, FALSE), perc_95, VLOOKUP(Q$2, Percentiles!$A$45:$I$59, 8, FALSE), perc_85, perc_75 + (perc_90 - perc_75) * (2/3), converted_stat, '2K_Ratings'!Q980, IF(bbgm_stat &gt;= perc_95, converted_stat * 3, IF(bbgm_stat &gt;= perc_90, converted_stat * 2, IF(bbgm_stat &gt;= perc_85, converted_stat * 1.5, converted_stat)))))</f>
        <v/>
      </c>
      <c r="R980" s="30" t="str">
        <f t="array" ref="R980">IF($A980="", "", LET(bbgm_stat, INDEX(Players!$A979:$P979, MATCH(R$2, Players!$A$1:$P$1, 0)), perc_75, VLOOKUP(R$2, Percentiles!$A$45:$I$59, 6, FALSE), perc_90, VLOOKUP(R$2, Percentiles!$A$45:$I$59, 7, FALSE), perc_95, VLOOKUP(R$2, Percentiles!$A$45:$I$59, 8, FALSE), perc_85, perc_75 + (perc_90 - perc_75) * (2/3), converted_stat, '2K_Ratings'!R980, IF(bbgm_stat &gt;= perc_95, converted_stat * 3, IF(bbgm_stat &gt;= perc_90, converted_stat * 2, IF(bbgm_stat &gt;= perc_85, converted_stat * 1.5, converted_stat)))))</f>
        <v/>
      </c>
      <c r="S980" s="30" t="str">
        <f t="array" ref="S980">IF($A980="", "", LET(bbgm_stat, INDEX(Players!$A979:$P979, MATCH(S$2, Players!$A$1:$P$1, 0)), perc_75, VLOOKUP(S$2, Percentiles!$A$45:$I$59, 6, FALSE), perc_90, VLOOKUP(S$2, Percentiles!$A$45:$I$59, 7, FALSE), perc_95, VLOOKUP(S$2, Percentiles!$A$45:$I$59, 8, FALSE), perc_85, perc_75 + (perc_90 - perc_75) * (2/3), converted_stat, '2K_Ratings'!S980, IF(bbgm_stat &gt;= perc_95, converted_stat * 3, IF(bbgm_stat &gt;= perc_90, converted_stat * 2, IF(bbgm_stat &gt;= perc_85, converted_stat * 1.5, converted_stat)))))</f>
        <v/>
      </c>
      <c r="T980" s="30" t="str">
        <f t="array" ref="T980">IF($A980="", "", LET(bbgm_stat, INDEX(Players!$A979:$P979, MATCH(T$2, Players!$A$1:$P$1, 0)), perc_75, VLOOKUP(T$2, Percentiles!$A$45:$I$59, 6, FALSE), perc_90, VLOOKUP(T$2, Percentiles!$A$45:$I$59, 7, FALSE), perc_95, VLOOKUP(T$2, Percentiles!$A$45:$I$59, 8, FALSE), perc_85, perc_75 + (perc_90 - perc_75) * (2/3), converted_stat, '2K_Ratings'!T980, IF(bbgm_stat &gt;= perc_95, converted_stat * 3, IF(bbgm_stat &gt;= perc_90, converted_stat * 2, IF(bbgm_stat &gt;= perc_85, converted_stat * 1.5, converted_stat)))))</f>
        <v/>
      </c>
      <c r="U980" s="30" t="str">
        <f t="array" ref="U980">IF($A980="", "", LET(bbgm_stat, INDEX(Players!$A979:$P979, MATCH(U$2, Players!$A$1:$P$1, 0)), perc_75, VLOOKUP(U$2, Percentiles!$A$45:$I$59, 6, FALSE), perc_90, VLOOKUP(U$2, Percentiles!$A$45:$I$59, 7, FALSE), perc_95, VLOOKUP(U$2, Percentiles!$A$45:$I$59, 8, FALSE), perc_85, perc_75 + (perc_90 - perc_75) * (2/3), converted_stat, '2K_Ratings'!U980, IF(bbgm_stat &gt;= perc_95, converted_stat * 3, IF(bbgm_stat &gt;= perc_90, converted_stat * 2, IF(bbgm_stat &gt;= perc_85, converted_stat * 1.5, converted_stat)))))</f>
        <v/>
      </c>
      <c r="V980" s="30" t="str">
        <f t="array" ref="V980">IF($A980="", "", LET(bbgm_stat, INDEX(Players!$A979:$P979, MATCH(V$2, Players!$A$1:$P$1, 0)), perc_75, VLOOKUP(V$2, Percentiles!$A$45:$I$59, 6, FALSE), perc_90, VLOOKUP(V$2, Percentiles!$A$45:$I$59, 7, FALSE), perc_95, VLOOKUP(V$2, Percentiles!$A$45:$I$59, 8, FALSE), perc_85, perc_75 + (perc_90 - perc_75) * (2/3), converted_stat, '2K_Ratings'!V980, IF(bbgm_stat &gt;= perc_95, converted_stat * 3, IF(bbgm_stat &gt;= perc_90, converted_stat * 2, IF(bbgm_stat &gt;= perc_85, converted_stat * 1.5, converted_stat)))))</f>
        <v/>
      </c>
      <c r="W980" s="30" t="str">
        <f t="array" ref="W980">IF($A980="", "", LET(bbgm_stat, INDEX(Players!$A979:$P979, MATCH(W$2, Players!$A$1:$P$1, 0)), perc_75, VLOOKUP(W$2, Percentiles!$A$45:$I$59, 6, FALSE), perc_90, VLOOKUP(W$2, Percentiles!$A$45:$I$59, 7, FALSE), perc_95, VLOOKUP(W$2, Percentiles!$A$45:$I$59, 8, FALSE), perc_85, perc_75 + (perc_90 - perc_75) * (2/3), converted_stat, '2K_Ratings'!W980, IF(bbgm_stat &gt;= perc_95, converted_stat * 3, IF(bbgm_stat &gt;= perc_90, converted_stat * 2, IF(bbgm_stat &gt;= perc_85, converted_stat * 1.5, converted_stat)))))</f>
        <v/>
      </c>
    </row>
    <row r="981">
      <c r="A981" s="30"/>
      <c r="B981" s="30" t="str">
        <f t="array" ref="B981">IF($A981="", "", LET(bbgm_stat, INDEX(Players!$A980:$P980, MATCH(B$2, Players!$A$1:$P$1, 0)), perc_75, VLOOKUP(B$2, Percentiles!$A$45:$I$59, 6, FALSE), perc_90, VLOOKUP(B$2, Percentiles!$A$45:$I$59, 7, FALSE), perc_95, VLOOKUP(B$2, Percentiles!$A$45:$I$59, 8, FALSE), perc_85, perc_75 + (perc_90 - perc_75) * (2/3), converted_stat, '2K_Ratings'!B981, IF(bbgm_stat &gt;= perc_95, converted_stat * 3, IF(bbgm_stat &gt;= perc_90, converted_stat * 2, IF(bbgm_stat &gt;= perc_85, converted_stat * 1.5, converted_stat)))))</f>
        <v/>
      </c>
      <c r="C981" s="30" t="str">
        <f t="array" ref="C981">IF($A981="", "", LET(bbgm_stat, INDEX(Players!$A980:$P980, MATCH(C$2, Players!$A$1:$P$1, 0)), perc_75, VLOOKUP(C$2, Percentiles!$A$45:$I$59, 6, FALSE), perc_90, VLOOKUP(C$2, Percentiles!$A$45:$I$59, 7, FALSE), perc_95, VLOOKUP(C$2, Percentiles!$A$45:$I$59, 8, FALSE), perc_85, perc_75 + (perc_90 - perc_75) * (2/3), converted_stat, '2K_Ratings'!C981, IF(bbgm_stat &gt;= perc_95, converted_stat * 3, IF(bbgm_stat &gt;= perc_90, converted_stat * 2, IF(bbgm_stat &gt;= perc_85, converted_stat * 1.5, converted_stat)))))</f>
        <v/>
      </c>
      <c r="D981" s="30" t="str">
        <f t="array" ref="D981">IF($A981="", "", LET(bbgm_stat, INDEX(Players!$A980:$P980, MATCH(D$2, Players!$A$1:$P$1, 0)), perc_75, VLOOKUP(D$2, Percentiles!$A$45:$I$59, 6, FALSE), perc_90, VLOOKUP(D$2, Percentiles!$A$45:$I$59, 7, FALSE), perc_95, VLOOKUP(D$2, Percentiles!$A$45:$I$59, 8, FALSE), perc_85, perc_75 + (perc_90 - perc_75) * (2/3), converted_stat, '2K_Ratings'!D981, IF(bbgm_stat &gt;= perc_95, converted_stat * 3, IF(bbgm_stat &gt;= perc_90, converted_stat * 2, IF(bbgm_stat &gt;= perc_85, converted_stat * 1.5, converted_stat)))))</f>
        <v/>
      </c>
      <c r="E981" s="30" t="str">
        <f t="array" ref="E981">IF($A981="", "", LET(bbgm_stat, INDEX(Players!$A980:$P980, MATCH(E$2, Players!$A$1:$P$1, 0)), perc_75, VLOOKUP(E$2, Percentiles!$A$45:$I$59, 6, FALSE), perc_90, VLOOKUP(E$2, Percentiles!$A$45:$I$59, 7, FALSE), perc_95, VLOOKUP(E$2, Percentiles!$A$45:$I$59, 8, FALSE), perc_85, perc_75 + (perc_90 - perc_75) * (2/3), converted_stat, '2K_Ratings'!E981, IF(bbgm_stat &gt;= perc_95, converted_stat * 3, IF(bbgm_stat &gt;= perc_90, converted_stat * 2, IF(bbgm_stat &gt;= perc_85, converted_stat * 1.5, converted_stat)))))</f>
        <v/>
      </c>
      <c r="F981" s="30" t="str">
        <f t="array" ref="F981">IF($A981="", "", LET(bbgm_stat, INDEX(Players!$A980:$P980, MATCH(F$2, Players!$A$1:$P$1, 0)), perc_75, VLOOKUP(F$2, Percentiles!$A$45:$I$59, 6, FALSE), perc_90, VLOOKUP(F$2, Percentiles!$A$45:$I$59, 7, FALSE), perc_95, VLOOKUP(F$2, Percentiles!$A$45:$I$59, 8, FALSE), perc_85, perc_75 + (perc_90 - perc_75) * (2/3), converted_stat, '2K_Ratings'!F981, IF(bbgm_stat &gt;= perc_95, converted_stat * 3, IF(bbgm_stat &gt;= perc_90, converted_stat * 2, IF(bbgm_stat &gt;= perc_85, converted_stat * 1.5, converted_stat)))))</f>
        <v/>
      </c>
      <c r="G981" s="30" t="str">
        <f t="array" ref="G981">IF($A981="", "", LET(bbgm_stat, INDEX(Players!$A980:$P980, MATCH(G$2, Players!$A$1:$P$1, 0)), perc_75, VLOOKUP(G$2, Percentiles!$A$45:$I$59, 6, FALSE), perc_90, VLOOKUP(G$2, Percentiles!$A$45:$I$59, 7, FALSE), perc_95, VLOOKUP(G$2, Percentiles!$A$45:$I$59, 8, FALSE), perc_85, perc_75 + (perc_90 - perc_75) * (2/3), converted_stat, '2K_Ratings'!G981, IF(bbgm_stat &gt;= perc_95, converted_stat * 3, IF(bbgm_stat &gt;= perc_90, converted_stat * 2, IF(bbgm_stat &gt;= perc_85, converted_stat * 1.5, converted_stat)))))</f>
        <v/>
      </c>
      <c r="H981" s="30" t="str">
        <f t="array" ref="H981">IF($A981="", "", LET(bbgm_stat, INDEX(Players!$A980:$P980, MATCH(H$2, Players!$A$1:$P$1, 0)), perc_75, VLOOKUP(H$2, Percentiles!$A$45:$I$59, 6, FALSE), perc_90, VLOOKUP(H$2, Percentiles!$A$45:$I$59, 7, FALSE), perc_95, VLOOKUP(H$2, Percentiles!$A$45:$I$59, 8, FALSE), perc_85, perc_75 + (perc_90 - perc_75) * (2/3), converted_stat, '2K_Ratings'!H981, IF(bbgm_stat &gt;= perc_95, converted_stat * 3, IF(bbgm_stat &gt;= perc_90, converted_stat * 2, IF(bbgm_stat &gt;= perc_85, converted_stat * 1.5, converted_stat)))))</f>
        <v/>
      </c>
      <c r="I981" s="30" t="str">
        <f t="array" ref="I981">IF($A981="", "", LET(bbgm_stat, INDEX(Players!$A980:$P980, MATCH(I$2, Players!$A$1:$P$1, 0)), perc_75, VLOOKUP(I$2, Percentiles!$A$45:$I$59, 6, FALSE), perc_90, VLOOKUP(I$2, Percentiles!$A$45:$I$59, 7, FALSE), perc_95, VLOOKUP(I$2, Percentiles!$A$45:$I$59, 8, FALSE), perc_85, perc_75 + (perc_90 - perc_75) * (2/3), converted_stat, '2K_Ratings'!I981, IF(bbgm_stat &gt;= perc_95, converted_stat * 3, IF(bbgm_stat &gt;= perc_90, converted_stat * 2, IF(bbgm_stat &gt;= perc_85, converted_stat * 1.5, converted_stat)))))</f>
        <v/>
      </c>
      <c r="J981" s="30" t="str">
        <f t="array" ref="J981">IF($A981="", "", LET(bbgm_stat, INDEX(Players!$A980:$P980, MATCH(J$2, Players!$A$1:$P$1, 0)), perc_75, VLOOKUP(J$2, Percentiles!$A$45:$I$59, 6, FALSE), perc_90, VLOOKUP(J$2, Percentiles!$A$45:$I$59, 7, FALSE), perc_95, VLOOKUP(J$2, Percentiles!$A$45:$I$59, 8, FALSE), perc_85, perc_75 + (perc_90 - perc_75) * (2/3), converted_stat, '2K_Ratings'!J981, IF(bbgm_stat &gt;= perc_95, converted_stat * 3, IF(bbgm_stat &gt;= perc_90, converted_stat * 2, IF(bbgm_stat &gt;= perc_85, converted_stat * 1.5, converted_stat)))))</f>
        <v/>
      </c>
      <c r="K981" s="30" t="str">
        <f t="array" ref="K981">IF($A981="", "", LET(bbgm_stat, INDEX(Players!$A980:$P980, MATCH(K$2, Players!$A$1:$P$1, 0)), perc_75, VLOOKUP(K$2, Percentiles!$A$45:$I$59, 6, FALSE), perc_90, VLOOKUP(K$2, Percentiles!$A$45:$I$59, 7, FALSE), perc_95, VLOOKUP(K$2, Percentiles!$A$45:$I$59, 8, FALSE), perc_85, perc_75 + (perc_90 - perc_75) * (2/3), converted_stat, '2K_Ratings'!K981, IF(bbgm_stat &gt;= perc_95, converted_stat * 3, IF(bbgm_stat &gt;= perc_90, converted_stat * 2, IF(bbgm_stat &gt;= perc_85, converted_stat * 1.5, converted_stat)))))</f>
        <v/>
      </c>
      <c r="L981" s="30" t="str">
        <f t="array" ref="L981">IF($A981="", "", LET(bbgm_stat, INDEX(Players!$A980:$P980, MATCH(L$2, Players!$A$1:$P$1, 0)), perc_75, VLOOKUP(L$2, Percentiles!$A$45:$I$59, 6, FALSE), perc_90, VLOOKUP(L$2, Percentiles!$A$45:$I$59, 7, FALSE), perc_95, VLOOKUP(L$2, Percentiles!$A$45:$I$59, 8, FALSE), perc_85, perc_75 + (perc_90 - perc_75) * (2/3), converted_stat, '2K_Ratings'!L981, IF(bbgm_stat &gt;= perc_95, converted_stat * 3, IF(bbgm_stat &gt;= perc_90, converted_stat * 2, IF(bbgm_stat &gt;= perc_85, converted_stat * 1.5, converted_stat)))))</f>
        <v/>
      </c>
      <c r="M981" s="30" t="str">
        <f t="array" ref="M981">IF($A981="", "", LET(bbgm_stat, INDEX(Players!$A980:$P980, MATCH(M$2, Players!$A$1:$P$1, 0)), perc_75, VLOOKUP(M$2, Percentiles!$A$45:$I$59, 6, FALSE), perc_90, VLOOKUP(M$2, Percentiles!$A$45:$I$59, 7, FALSE), perc_95, VLOOKUP(M$2, Percentiles!$A$45:$I$59, 8, FALSE), perc_85, perc_75 + (perc_90 - perc_75) * (2/3), converted_stat, '2K_Ratings'!M981, IF(bbgm_stat &gt;= perc_95, converted_stat * 3, IF(bbgm_stat &gt;= perc_90, converted_stat * 2, IF(bbgm_stat &gt;= perc_85, converted_stat * 1.5, converted_stat)))))</f>
        <v/>
      </c>
      <c r="N981" s="30" t="str">
        <f t="array" ref="N981">IF($A981="", "", LET(bbgm_stat, INDEX(Players!$A980:$P980, MATCH(N$2, Players!$A$1:$P$1, 0)), perc_75, VLOOKUP(N$2, Percentiles!$A$45:$I$59, 6, FALSE), perc_90, VLOOKUP(N$2, Percentiles!$A$45:$I$59, 7, FALSE), perc_95, VLOOKUP(N$2, Percentiles!$A$45:$I$59, 8, FALSE), perc_85, perc_75 + (perc_90 - perc_75) * (2/3), converted_stat, '2K_Ratings'!N981, IF(bbgm_stat &gt;= perc_95, converted_stat * 3, IF(bbgm_stat &gt;= perc_90, converted_stat * 2, IF(bbgm_stat &gt;= perc_85, converted_stat * 1.5, converted_stat)))))</f>
        <v/>
      </c>
      <c r="O981" s="30" t="str">
        <f t="array" ref="O981">IF($A981="", "", LET(bbgm_stat, INDEX(Players!$A980:$P980, MATCH(O$2, Players!$A$1:$P$1, 0)), perc_75, VLOOKUP(O$2, Percentiles!$A$45:$I$59, 6, FALSE), perc_90, VLOOKUP(O$2, Percentiles!$A$45:$I$59, 7, FALSE), perc_95, VLOOKUP(O$2, Percentiles!$A$45:$I$59, 8, FALSE), perc_85, perc_75 + (perc_90 - perc_75) * (2/3), converted_stat, '2K_Ratings'!O981, IF(bbgm_stat &gt;= perc_95, converted_stat * 3, IF(bbgm_stat &gt;= perc_90, converted_stat * 2, IF(bbgm_stat &gt;= perc_85, converted_stat * 1.5, converted_stat)))))</f>
        <v/>
      </c>
      <c r="P981" s="30" t="str">
        <f t="array" ref="P981">IF($A981="", "", LET(bbgm_stat, INDEX(Players!$A980:$P980, MATCH(P$2, Players!$A$1:$P$1, 0)), perc_75, VLOOKUP(P$2, Percentiles!$A$45:$I$59, 6, FALSE), perc_90, VLOOKUP(P$2, Percentiles!$A$45:$I$59, 7, FALSE), perc_95, VLOOKUP(P$2, Percentiles!$A$45:$I$59, 8, FALSE), perc_85, perc_75 + (perc_90 - perc_75) * (2/3), converted_stat, '2K_Ratings'!P981, IF(bbgm_stat &gt;= perc_95, converted_stat * 3, IF(bbgm_stat &gt;= perc_90, converted_stat * 2, IF(bbgm_stat &gt;= perc_85, converted_stat * 1.5, converted_stat)))))</f>
        <v/>
      </c>
      <c r="Q981" s="30" t="str">
        <f t="array" ref="Q981">IF($A981="", "", LET(bbgm_stat, INDEX(Players!$A980:$P980, MATCH(Q$2, Players!$A$1:$P$1, 0)), perc_75, VLOOKUP(Q$2, Percentiles!$A$45:$I$59, 6, FALSE), perc_90, VLOOKUP(Q$2, Percentiles!$A$45:$I$59, 7, FALSE), perc_95, VLOOKUP(Q$2, Percentiles!$A$45:$I$59, 8, FALSE), perc_85, perc_75 + (perc_90 - perc_75) * (2/3), converted_stat, '2K_Ratings'!Q981, IF(bbgm_stat &gt;= perc_95, converted_stat * 3, IF(bbgm_stat &gt;= perc_90, converted_stat * 2, IF(bbgm_stat &gt;= perc_85, converted_stat * 1.5, converted_stat)))))</f>
        <v/>
      </c>
      <c r="R981" s="30" t="str">
        <f t="array" ref="R981">IF($A981="", "", LET(bbgm_stat, INDEX(Players!$A980:$P980, MATCH(R$2, Players!$A$1:$P$1, 0)), perc_75, VLOOKUP(R$2, Percentiles!$A$45:$I$59, 6, FALSE), perc_90, VLOOKUP(R$2, Percentiles!$A$45:$I$59, 7, FALSE), perc_95, VLOOKUP(R$2, Percentiles!$A$45:$I$59, 8, FALSE), perc_85, perc_75 + (perc_90 - perc_75) * (2/3), converted_stat, '2K_Ratings'!R981, IF(bbgm_stat &gt;= perc_95, converted_stat * 3, IF(bbgm_stat &gt;= perc_90, converted_stat * 2, IF(bbgm_stat &gt;= perc_85, converted_stat * 1.5, converted_stat)))))</f>
        <v/>
      </c>
      <c r="S981" s="30" t="str">
        <f t="array" ref="S981">IF($A981="", "", LET(bbgm_stat, INDEX(Players!$A980:$P980, MATCH(S$2, Players!$A$1:$P$1, 0)), perc_75, VLOOKUP(S$2, Percentiles!$A$45:$I$59, 6, FALSE), perc_90, VLOOKUP(S$2, Percentiles!$A$45:$I$59, 7, FALSE), perc_95, VLOOKUP(S$2, Percentiles!$A$45:$I$59, 8, FALSE), perc_85, perc_75 + (perc_90 - perc_75) * (2/3), converted_stat, '2K_Ratings'!S981, IF(bbgm_stat &gt;= perc_95, converted_stat * 3, IF(bbgm_stat &gt;= perc_90, converted_stat * 2, IF(bbgm_stat &gt;= perc_85, converted_stat * 1.5, converted_stat)))))</f>
        <v/>
      </c>
      <c r="T981" s="30" t="str">
        <f t="array" ref="T981">IF($A981="", "", LET(bbgm_stat, INDEX(Players!$A980:$P980, MATCH(T$2, Players!$A$1:$P$1, 0)), perc_75, VLOOKUP(T$2, Percentiles!$A$45:$I$59, 6, FALSE), perc_90, VLOOKUP(T$2, Percentiles!$A$45:$I$59, 7, FALSE), perc_95, VLOOKUP(T$2, Percentiles!$A$45:$I$59, 8, FALSE), perc_85, perc_75 + (perc_90 - perc_75) * (2/3), converted_stat, '2K_Ratings'!T981, IF(bbgm_stat &gt;= perc_95, converted_stat * 3, IF(bbgm_stat &gt;= perc_90, converted_stat * 2, IF(bbgm_stat &gt;= perc_85, converted_stat * 1.5, converted_stat)))))</f>
        <v/>
      </c>
      <c r="U981" s="30" t="str">
        <f t="array" ref="U981">IF($A981="", "", LET(bbgm_stat, INDEX(Players!$A980:$P980, MATCH(U$2, Players!$A$1:$P$1, 0)), perc_75, VLOOKUP(U$2, Percentiles!$A$45:$I$59, 6, FALSE), perc_90, VLOOKUP(U$2, Percentiles!$A$45:$I$59, 7, FALSE), perc_95, VLOOKUP(U$2, Percentiles!$A$45:$I$59, 8, FALSE), perc_85, perc_75 + (perc_90 - perc_75) * (2/3), converted_stat, '2K_Ratings'!U981, IF(bbgm_stat &gt;= perc_95, converted_stat * 3, IF(bbgm_stat &gt;= perc_90, converted_stat * 2, IF(bbgm_stat &gt;= perc_85, converted_stat * 1.5, converted_stat)))))</f>
        <v/>
      </c>
      <c r="V981" s="30" t="str">
        <f t="array" ref="V981">IF($A981="", "", LET(bbgm_stat, INDEX(Players!$A980:$P980, MATCH(V$2, Players!$A$1:$P$1, 0)), perc_75, VLOOKUP(V$2, Percentiles!$A$45:$I$59, 6, FALSE), perc_90, VLOOKUP(V$2, Percentiles!$A$45:$I$59, 7, FALSE), perc_95, VLOOKUP(V$2, Percentiles!$A$45:$I$59, 8, FALSE), perc_85, perc_75 + (perc_90 - perc_75) * (2/3), converted_stat, '2K_Ratings'!V981, IF(bbgm_stat &gt;= perc_95, converted_stat * 3, IF(bbgm_stat &gt;= perc_90, converted_stat * 2, IF(bbgm_stat &gt;= perc_85, converted_stat * 1.5, converted_stat)))))</f>
        <v/>
      </c>
      <c r="W981" s="30" t="str">
        <f t="array" ref="W981">IF($A981="", "", LET(bbgm_stat, INDEX(Players!$A980:$P980, MATCH(W$2, Players!$A$1:$P$1, 0)), perc_75, VLOOKUP(W$2, Percentiles!$A$45:$I$59, 6, FALSE), perc_90, VLOOKUP(W$2, Percentiles!$A$45:$I$59, 7, FALSE), perc_95, VLOOKUP(W$2, Percentiles!$A$45:$I$59, 8, FALSE), perc_85, perc_75 + (perc_90 - perc_75) * (2/3), converted_stat, '2K_Ratings'!W981, IF(bbgm_stat &gt;= perc_95, converted_stat * 3, IF(bbgm_stat &gt;= perc_90, converted_stat * 2, IF(bbgm_stat &gt;= perc_85, converted_stat * 1.5, converted_stat)))))</f>
        <v/>
      </c>
    </row>
    <row r="982">
      <c r="A982" s="30"/>
      <c r="B982" s="30" t="str">
        <f t="array" ref="B982">IF($A982="", "", LET(bbgm_stat, INDEX(Players!$A981:$P981, MATCH(B$2, Players!$A$1:$P$1, 0)), perc_75, VLOOKUP(B$2, Percentiles!$A$45:$I$59, 6, FALSE), perc_90, VLOOKUP(B$2, Percentiles!$A$45:$I$59, 7, FALSE), perc_95, VLOOKUP(B$2, Percentiles!$A$45:$I$59, 8, FALSE), perc_85, perc_75 + (perc_90 - perc_75) * (2/3), converted_stat, '2K_Ratings'!B982, IF(bbgm_stat &gt;= perc_95, converted_stat * 3, IF(bbgm_stat &gt;= perc_90, converted_stat * 2, IF(bbgm_stat &gt;= perc_85, converted_stat * 1.5, converted_stat)))))</f>
        <v/>
      </c>
      <c r="C982" s="30" t="str">
        <f t="array" ref="C982">IF($A982="", "", LET(bbgm_stat, INDEX(Players!$A981:$P981, MATCH(C$2, Players!$A$1:$P$1, 0)), perc_75, VLOOKUP(C$2, Percentiles!$A$45:$I$59, 6, FALSE), perc_90, VLOOKUP(C$2, Percentiles!$A$45:$I$59, 7, FALSE), perc_95, VLOOKUP(C$2, Percentiles!$A$45:$I$59, 8, FALSE), perc_85, perc_75 + (perc_90 - perc_75) * (2/3), converted_stat, '2K_Ratings'!C982, IF(bbgm_stat &gt;= perc_95, converted_stat * 3, IF(bbgm_stat &gt;= perc_90, converted_stat * 2, IF(bbgm_stat &gt;= perc_85, converted_stat * 1.5, converted_stat)))))</f>
        <v/>
      </c>
      <c r="D982" s="30" t="str">
        <f t="array" ref="D982">IF($A982="", "", LET(bbgm_stat, INDEX(Players!$A981:$P981, MATCH(D$2, Players!$A$1:$P$1, 0)), perc_75, VLOOKUP(D$2, Percentiles!$A$45:$I$59, 6, FALSE), perc_90, VLOOKUP(D$2, Percentiles!$A$45:$I$59, 7, FALSE), perc_95, VLOOKUP(D$2, Percentiles!$A$45:$I$59, 8, FALSE), perc_85, perc_75 + (perc_90 - perc_75) * (2/3), converted_stat, '2K_Ratings'!D982, IF(bbgm_stat &gt;= perc_95, converted_stat * 3, IF(bbgm_stat &gt;= perc_90, converted_stat * 2, IF(bbgm_stat &gt;= perc_85, converted_stat * 1.5, converted_stat)))))</f>
        <v/>
      </c>
      <c r="E982" s="30" t="str">
        <f t="array" ref="E982">IF($A982="", "", LET(bbgm_stat, INDEX(Players!$A981:$P981, MATCH(E$2, Players!$A$1:$P$1, 0)), perc_75, VLOOKUP(E$2, Percentiles!$A$45:$I$59, 6, FALSE), perc_90, VLOOKUP(E$2, Percentiles!$A$45:$I$59, 7, FALSE), perc_95, VLOOKUP(E$2, Percentiles!$A$45:$I$59, 8, FALSE), perc_85, perc_75 + (perc_90 - perc_75) * (2/3), converted_stat, '2K_Ratings'!E982, IF(bbgm_stat &gt;= perc_95, converted_stat * 3, IF(bbgm_stat &gt;= perc_90, converted_stat * 2, IF(bbgm_stat &gt;= perc_85, converted_stat * 1.5, converted_stat)))))</f>
        <v/>
      </c>
      <c r="F982" s="30" t="str">
        <f t="array" ref="F982">IF($A982="", "", LET(bbgm_stat, INDEX(Players!$A981:$P981, MATCH(F$2, Players!$A$1:$P$1, 0)), perc_75, VLOOKUP(F$2, Percentiles!$A$45:$I$59, 6, FALSE), perc_90, VLOOKUP(F$2, Percentiles!$A$45:$I$59, 7, FALSE), perc_95, VLOOKUP(F$2, Percentiles!$A$45:$I$59, 8, FALSE), perc_85, perc_75 + (perc_90 - perc_75) * (2/3), converted_stat, '2K_Ratings'!F982, IF(bbgm_stat &gt;= perc_95, converted_stat * 3, IF(bbgm_stat &gt;= perc_90, converted_stat * 2, IF(bbgm_stat &gt;= perc_85, converted_stat * 1.5, converted_stat)))))</f>
        <v/>
      </c>
      <c r="G982" s="30" t="str">
        <f t="array" ref="G982">IF($A982="", "", LET(bbgm_stat, INDEX(Players!$A981:$P981, MATCH(G$2, Players!$A$1:$P$1, 0)), perc_75, VLOOKUP(G$2, Percentiles!$A$45:$I$59, 6, FALSE), perc_90, VLOOKUP(G$2, Percentiles!$A$45:$I$59, 7, FALSE), perc_95, VLOOKUP(G$2, Percentiles!$A$45:$I$59, 8, FALSE), perc_85, perc_75 + (perc_90 - perc_75) * (2/3), converted_stat, '2K_Ratings'!G982, IF(bbgm_stat &gt;= perc_95, converted_stat * 3, IF(bbgm_stat &gt;= perc_90, converted_stat * 2, IF(bbgm_stat &gt;= perc_85, converted_stat * 1.5, converted_stat)))))</f>
        <v/>
      </c>
      <c r="H982" s="30" t="str">
        <f t="array" ref="H982">IF($A982="", "", LET(bbgm_stat, INDEX(Players!$A981:$P981, MATCH(H$2, Players!$A$1:$P$1, 0)), perc_75, VLOOKUP(H$2, Percentiles!$A$45:$I$59, 6, FALSE), perc_90, VLOOKUP(H$2, Percentiles!$A$45:$I$59, 7, FALSE), perc_95, VLOOKUP(H$2, Percentiles!$A$45:$I$59, 8, FALSE), perc_85, perc_75 + (perc_90 - perc_75) * (2/3), converted_stat, '2K_Ratings'!H982, IF(bbgm_stat &gt;= perc_95, converted_stat * 3, IF(bbgm_stat &gt;= perc_90, converted_stat * 2, IF(bbgm_stat &gt;= perc_85, converted_stat * 1.5, converted_stat)))))</f>
        <v/>
      </c>
      <c r="I982" s="30" t="str">
        <f t="array" ref="I982">IF($A982="", "", LET(bbgm_stat, INDEX(Players!$A981:$P981, MATCH(I$2, Players!$A$1:$P$1, 0)), perc_75, VLOOKUP(I$2, Percentiles!$A$45:$I$59, 6, FALSE), perc_90, VLOOKUP(I$2, Percentiles!$A$45:$I$59, 7, FALSE), perc_95, VLOOKUP(I$2, Percentiles!$A$45:$I$59, 8, FALSE), perc_85, perc_75 + (perc_90 - perc_75) * (2/3), converted_stat, '2K_Ratings'!I982, IF(bbgm_stat &gt;= perc_95, converted_stat * 3, IF(bbgm_stat &gt;= perc_90, converted_stat * 2, IF(bbgm_stat &gt;= perc_85, converted_stat * 1.5, converted_stat)))))</f>
        <v/>
      </c>
      <c r="J982" s="30" t="str">
        <f t="array" ref="J982">IF($A982="", "", LET(bbgm_stat, INDEX(Players!$A981:$P981, MATCH(J$2, Players!$A$1:$P$1, 0)), perc_75, VLOOKUP(J$2, Percentiles!$A$45:$I$59, 6, FALSE), perc_90, VLOOKUP(J$2, Percentiles!$A$45:$I$59, 7, FALSE), perc_95, VLOOKUP(J$2, Percentiles!$A$45:$I$59, 8, FALSE), perc_85, perc_75 + (perc_90 - perc_75) * (2/3), converted_stat, '2K_Ratings'!J982, IF(bbgm_stat &gt;= perc_95, converted_stat * 3, IF(bbgm_stat &gt;= perc_90, converted_stat * 2, IF(bbgm_stat &gt;= perc_85, converted_stat * 1.5, converted_stat)))))</f>
        <v/>
      </c>
      <c r="K982" s="30" t="str">
        <f t="array" ref="K982">IF($A982="", "", LET(bbgm_stat, INDEX(Players!$A981:$P981, MATCH(K$2, Players!$A$1:$P$1, 0)), perc_75, VLOOKUP(K$2, Percentiles!$A$45:$I$59, 6, FALSE), perc_90, VLOOKUP(K$2, Percentiles!$A$45:$I$59, 7, FALSE), perc_95, VLOOKUP(K$2, Percentiles!$A$45:$I$59, 8, FALSE), perc_85, perc_75 + (perc_90 - perc_75) * (2/3), converted_stat, '2K_Ratings'!K982, IF(bbgm_stat &gt;= perc_95, converted_stat * 3, IF(bbgm_stat &gt;= perc_90, converted_stat * 2, IF(bbgm_stat &gt;= perc_85, converted_stat * 1.5, converted_stat)))))</f>
        <v/>
      </c>
      <c r="L982" s="30" t="str">
        <f t="array" ref="L982">IF($A982="", "", LET(bbgm_stat, INDEX(Players!$A981:$P981, MATCH(L$2, Players!$A$1:$P$1, 0)), perc_75, VLOOKUP(L$2, Percentiles!$A$45:$I$59, 6, FALSE), perc_90, VLOOKUP(L$2, Percentiles!$A$45:$I$59, 7, FALSE), perc_95, VLOOKUP(L$2, Percentiles!$A$45:$I$59, 8, FALSE), perc_85, perc_75 + (perc_90 - perc_75) * (2/3), converted_stat, '2K_Ratings'!L982, IF(bbgm_stat &gt;= perc_95, converted_stat * 3, IF(bbgm_stat &gt;= perc_90, converted_stat * 2, IF(bbgm_stat &gt;= perc_85, converted_stat * 1.5, converted_stat)))))</f>
        <v/>
      </c>
      <c r="M982" s="30" t="str">
        <f t="array" ref="M982">IF($A982="", "", LET(bbgm_stat, INDEX(Players!$A981:$P981, MATCH(M$2, Players!$A$1:$P$1, 0)), perc_75, VLOOKUP(M$2, Percentiles!$A$45:$I$59, 6, FALSE), perc_90, VLOOKUP(M$2, Percentiles!$A$45:$I$59, 7, FALSE), perc_95, VLOOKUP(M$2, Percentiles!$A$45:$I$59, 8, FALSE), perc_85, perc_75 + (perc_90 - perc_75) * (2/3), converted_stat, '2K_Ratings'!M982, IF(bbgm_stat &gt;= perc_95, converted_stat * 3, IF(bbgm_stat &gt;= perc_90, converted_stat * 2, IF(bbgm_stat &gt;= perc_85, converted_stat * 1.5, converted_stat)))))</f>
        <v/>
      </c>
      <c r="N982" s="30" t="str">
        <f t="array" ref="N982">IF($A982="", "", LET(bbgm_stat, INDEX(Players!$A981:$P981, MATCH(N$2, Players!$A$1:$P$1, 0)), perc_75, VLOOKUP(N$2, Percentiles!$A$45:$I$59, 6, FALSE), perc_90, VLOOKUP(N$2, Percentiles!$A$45:$I$59, 7, FALSE), perc_95, VLOOKUP(N$2, Percentiles!$A$45:$I$59, 8, FALSE), perc_85, perc_75 + (perc_90 - perc_75) * (2/3), converted_stat, '2K_Ratings'!N982, IF(bbgm_stat &gt;= perc_95, converted_stat * 3, IF(bbgm_stat &gt;= perc_90, converted_stat * 2, IF(bbgm_stat &gt;= perc_85, converted_stat * 1.5, converted_stat)))))</f>
        <v/>
      </c>
      <c r="O982" s="30" t="str">
        <f t="array" ref="O982">IF($A982="", "", LET(bbgm_stat, INDEX(Players!$A981:$P981, MATCH(O$2, Players!$A$1:$P$1, 0)), perc_75, VLOOKUP(O$2, Percentiles!$A$45:$I$59, 6, FALSE), perc_90, VLOOKUP(O$2, Percentiles!$A$45:$I$59, 7, FALSE), perc_95, VLOOKUP(O$2, Percentiles!$A$45:$I$59, 8, FALSE), perc_85, perc_75 + (perc_90 - perc_75) * (2/3), converted_stat, '2K_Ratings'!O982, IF(bbgm_stat &gt;= perc_95, converted_stat * 3, IF(bbgm_stat &gt;= perc_90, converted_stat * 2, IF(bbgm_stat &gt;= perc_85, converted_stat * 1.5, converted_stat)))))</f>
        <v/>
      </c>
      <c r="P982" s="30" t="str">
        <f t="array" ref="P982">IF($A982="", "", LET(bbgm_stat, INDEX(Players!$A981:$P981, MATCH(P$2, Players!$A$1:$P$1, 0)), perc_75, VLOOKUP(P$2, Percentiles!$A$45:$I$59, 6, FALSE), perc_90, VLOOKUP(P$2, Percentiles!$A$45:$I$59, 7, FALSE), perc_95, VLOOKUP(P$2, Percentiles!$A$45:$I$59, 8, FALSE), perc_85, perc_75 + (perc_90 - perc_75) * (2/3), converted_stat, '2K_Ratings'!P982, IF(bbgm_stat &gt;= perc_95, converted_stat * 3, IF(bbgm_stat &gt;= perc_90, converted_stat * 2, IF(bbgm_stat &gt;= perc_85, converted_stat * 1.5, converted_stat)))))</f>
        <v/>
      </c>
      <c r="Q982" s="30" t="str">
        <f t="array" ref="Q982">IF($A982="", "", LET(bbgm_stat, INDEX(Players!$A981:$P981, MATCH(Q$2, Players!$A$1:$P$1, 0)), perc_75, VLOOKUP(Q$2, Percentiles!$A$45:$I$59, 6, FALSE), perc_90, VLOOKUP(Q$2, Percentiles!$A$45:$I$59, 7, FALSE), perc_95, VLOOKUP(Q$2, Percentiles!$A$45:$I$59, 8, FALSE), perc_85, perc_75 + (perc_90 - perc_75) * (2/3), converted_stat, '2K_Ratings'!Q982, IF(bbgm_stat &gt;= perc_95, converted_stat * 3, IF(bbgm_stat &gt;= perc_90, converted_stat * 2, IF(bbgm_stat &gt;= perc_85, converted_stat * 1.5, converted_stat)))))</f>
        <v/>
      </c>
      <c r="R982" s="30" t="str">
        <f t="array" ref="R982">IF($A982="", "", LET(bbgm_stat, INDEX(Players!$A981:$P981, MATCH(R$2, Players!$A$1:$P$1, 0)), perc_75, VLOOKUP(R$2, Percentiles!$A$45:$I$59, 6, FALSE), perc_90, VLOOKUP(R$2, Percentiles!$A$45:$I$59, 7, FALSE), perc_95, VLOOKUP(R$2, Percentiles!$A$45:$I$59, 8, FALSE), perc_85, perc_75 + (perc_90 - perc_75) * (2/3), converted_stat, '2K_Ratings'!R982, IF(bbgm_stat &gt;= perc_95, converted_stat * 3, IF(bbgm_stat &gt;= perc_90, converted_stat * 2, IF(bbgm_stat &gt;= perc_85, converted_stat * 1.5, converted_stat)))))</f>
        <v/>
      </c>
      <c r="S982" s="30" t="str">
        <f t="array" ref="S982">IF($A982="", "", LET(bbgm_stat, INDEX(Players!$A981:$P981, MATCH(S$2, Players!$A$1:$P$1, 0)), perc_75, VLOOKUP(S$2, Percentiles!$A$45:$I$59, 6, FALSE), perc_90, VLOOKUP(S$2, Percentiles!$A$45:$I$59, 7, FALSE), perc_95, VLOOKUP(S$2, Percentiles!$A$45:$I$59, 8, FALSE), perc_85, perc_75 + (perc_90 - perc_75) * (2/3), converted_stat, '2K_Ratings'!S982, IF(bbgm_stat &gt;= perc_95, converted_stat * 3, IF(bbgm_stat &gt;= perc_90, converted_stat * 2, IF(bbgm_stat &gt;= perc_85, converted_stat * 1.5, converted_stat)))))</f>
        <v/>
      </c>
      <c r="T982" s="30" t="str">
        <f t="array" ref="T982">IF($A982="", "", LET(bbgm_stat, INDEX(Players!$A981:$P981, MATCH(T$2, Players!$A$1:$P$1, 0)), perc_75, VLOOKUP(T$2, Percentiles!$A$45:$I$59, 6, FALSE), perc_90, VLOOKUP(T$2, Percentiles!$A$45:$I$59, 7, FALSE), perc_95, VLOOKUP(T$2, Percentiles!$A$45:$I$59, 8, FALSE), perc_85, perc_75 + (perc_90 - perc_75) * (2/3), converted_stat, '2K_Ratings'!T982, IF(bbgm_stat &gt;= perc_95, converted_stat * 3, IF(bbgm_stat &gt;= perc_90, converted_stat * 2, IF(bbgm_stat &gt;= perc_85, converted_stat * 1.5, converted_stat)))))</f>
        <v/>
      </c>
      <c r="U982" s="30" t="str">
        <f t="array" ref="U982">IF($A982="", "", LET(bbgm_stat, INDEX(Players!$A981:$P981, MATCH(U$2, Players!$A$1:$P$1, 0)), perc_75, VLOOKUP(U$2, Percentiles!$A$45:$I$59, 6, FALSE), perc_90, VLOOKUP(U$2, Percentiles!$A$45:$I$59, 7, FALSE), perc_95, VLOOKUP(U$2, Percentiles!$A$45:$I$59, 8, FALSE), perc_85, perc_75 + (perc_90 - perc_75) * (2/3), converted_stat, '2K_Ratings'!U982, IF(bbgm_stat &gt;= perc_95, converted_stat * 3, IF(bbgm_stat &gt;= perc_90, converted_stat * 2, IF(bbgm_stat &gt;= perc_85, converted_stat * 1.5, converted_stat)))))</f>
        <v/>
      </c>
      <c r="V982" s="30" t="str">
        <f t="array" ref="V982">IF($A982="", "", LET(bbgm_stat, INDEX(Players!$A981:$P981, MATCH(V$2, Players!$A$1:$P$1, 0)), perc_75, VLOOKUP(V$2, Percentiles!$A$45:$I$59, 6, FALSE), perc_90, VLOOKUP(V$2, Percentiles!$A$45:$I$59, 7, FALSE), perc_95, VLOOKUP(V$2, Percentiles!$A$45:$I$59, 8, FALSE), perc_85, perc_75 + (perc_90 - perc_75) * (2/3), converted_stat, '2K_Ratings'!V982, IF(bbgm_stat &gt;= perc_95, converted_stat * 3, IF(bbgm_stat &gt;= perc_90, converted_stat * 2, IF(bbgm_stat &gt;= perc_85, converted_stat * 1.5, converted_stat)))))</f>
        <v/>
      </c>
      <c r="W982" s="30" t="str">
        <f t="array" ref="W982">IF($A982="", "", LET(bbgm_stat, INDEX(Players!$A981:$P981, MATCH(W$2, Players!$A$1:$P$1, 0)), perc_75, VLOOKUP(W$2, Percentiles!$A$45:$I$59, 6, FALSE), perc_90, VLOOKUP(W$2, Percentiles!$A$45:$I$59, 7, FALSE), perc_95, VLOOKUP(W$2, Percentiles!$A$45:$I$59, 8, FALSE), perc_85, perc_75 + (perc_90 - perc_75) * (2/3), converted_stat, '2K_Ratings'!W982, IF(bbgm_stat &gt;= perc_95, converted_stat * 3, IF(bbgm_stat &gt;= perc_90, converted_stat * 2, IF(bbgm_stat &gt;= perc_85, converted_stat * 1.5, converted_stat)))))</f>
        <v/>
      </c>
    </row>
    <row r="983">
      <c r="A983" s="30"/>
      <c r="B983" s="30" t="str">
        <f t="array" ref="B983">IF($A983="", "", LET(bbgm_stat, INDEX(Players!$A982:$P982, MATCH(B$2, Players!$A$1:$P$1, 0)), perc_75, VLOOKUP(B$2, Percentiles!$A$45:$I$59, 6, FALSE), perc_90, VLOOKUP(B$2, Percentiles!$A$45:$I$59, 7, FALSE), perc_95, VLOOKUP(B$2, Percentiles!$A$45:$I$59, 8, FALSE), perc_85, perc_75 + (perc_90 - perc_75) * (2/3), converted_stat, '2K_Ratings'!B983, IF(bbgm_stat &gt;= perc_95, converted_stat * 3, IF(bbgm_stat &gt;= perc_90, converted_stat * 2, IF(bbgm_stat &gt;= perc_85, converted_stat * 1.5, converted_stat)))))</f>
        <v/>
      </c>
      <c r="C983" s="30" t="str">
        <f t="array" ref="C983">IF($A983="", "", LET(bbgm_stat, INDEX(Players!$A982:$P982, MATCH(C$2, Players!$A$1:$P$1, 0)), perc_75, VLOOKUP(C$2, Percentiles!$A$45:$I$59, 6, FALSE), perc_90, VLOOKUP(C$2, Percentiles!$A$45:$I$59, 7, FALSE), perc_95, VLOOKUP(C$2, Percentiles!$A$45:$I$59, 8, FALSE), perc_85, perc_75 + (perc_90 - perc_75) * (2/3), converted_stat, '2K_Ratings'!C983, IF(bbgm_stat &gt;= perc_95, converted_stat * 3, IF(bbgm_stat &gt;= perc_90, converted_stat * 2, IF(bbgm_stat &gt;= perc_85, converted_stat * 1.5, converted_stat)))))</f>
        <v/>
      </c>
      <c r="D983" s="30" t="str">
        <f t="array" ref="D983">IF($A983="", "", LET(bbgm_stat, INDEX(Players!$A982:$P982, MATCH(D$2, Players!$A$1:$P$1, 0)), perc_75, VLOOKUP(D$2, Percentiles!$A$45:$I$59, 6, FALSE), perc_90, VLOOKUP(D$2, Percentiles!$A$45:$I$59, 7, FALSE), perc_95, VLOOKUP(D$2, Percentiles!$A$45:$I$59, 8, FALSE), perc_85, perc_75 + (perc_90 - perc_75) * (2/3), converted_stat, '2K_Ratings'!D983, IF(bbgm_stat &gt;= perc_95, converted_stat * 3, IF(bbgm_stat &gt;= perc_90, converted_stat * 2, IF(bbgm_stat &gt;= perc_85, converted_stat * 1.5, converted_stat)))))</f>
        <v/>
      </c>
      <c r="E983" s="30" t="str">
        <f t="array" ref="E983">IF($A983="", "", LET(bbgm_stat, INDEX(Players!$A982:$P982, MATCH(E$2, Players!$A$1:$P$1, 0)), perc_75, VLOOKUP(E$2, Percentiles!$A$45:$I$59, 6, FALSE), perc_90, VLOOKUP(E$2, Percentiles!$A$45:$I$59, 7, FALSE), perc_95, VLOOKUP(E$2, Percentiles!$A$45:$I$59, 8, FALSE), perc_85, perc_75 + (perc_90 - perc_75) * (2/3), converted_stat, '2K_Ratings'!E983, IF(bbgm_stat &gt;= perc_95, converted_stat * 3, IF(bbgm_stat &gt;= perc_90, converted_stat * 2, IF(bbgm_stat &gt;= perc_85, converted_stat * 1.5, converted_stat)))))</f>
        <v/>
      </c>
      <c r="F983" s="30" t="str">
        <f t="array" ref="F983">IF($A983="", "", LET(bbgm_stat, INDEX(Players!$A982:$P982, MATCH(F$2, Players!$A$1:$P$1, 0)), perc_75, VLOOKUP(F$2, Percentiles!$A$45:$I$59, 6, FALSE), perc_90, VLOOKUP(F$2, Percentiles!$A$45:$I$59, 7, FALSE), perc_95, VLOOKUP(F$2, Percentiles!$A$45:$I$59, 8, FALSE), perc_85, perc_75 + (perc_90 - perc_75) * (2/3), converted_stat, '2K_Ratings'!F983, IF(bbgm_stat &gt;= perc_95, converted_stat * 3, IF(bbgm_stat &gt;= perc_90, converted_stat * 2, IF(bbgm_stat &gt;= perc_85, converted_stat * 1.5, converted_stat)))))</f>
        <v/>
      </c>
      <c r="G983" s="30" t="str">
        <f t="array" ref="G983">IF($A983="", "", LET(bbgm_stat, INDEX(Players!$A982:$P982, MATCH(G$2, Players!$A$1:$P$1, 0)), perc_75, VLOOKUP(G$2, Percentiles!$A$45:$I$59, 6, FALSE), perc_90, VLOOKUP(G$2, Percentiles!$A$45:$I$59, 7, FALSE), perc_95, VLOOKUP(G$2, Percentiles!$A$45:$I$59, 8, FALSE), perc_85, perc_75 + (perc_90 - perc_75) * (2/3), converted_stat, '2K_Ratings'!G983, IF(bbgm_stat &gt;= perc_95, converted_stat * 3, IF(bbgm_stat &gt;= perc_90, converted_stat * 2, IF(bbgm_stat &gt;= perc_85, converted_stat * 1.5, converted_stat)))))</f>
        <v/>
      </c>
      <c r="H983" s="30" t="str">
        <f t="array" ref="H983">IF($A983="", "", LET(bbgm_stat, INDEX(Players!$A982:$P982, MATCH(H$2, Players!$A$1:$P$1, 0)), perc_75, VLOOKUP(H$2, Percentiles!$A$45:$I$59, 6, FALSE), perc_90, VLOOKUP(H$2, Percentiles!$A$45:$I$59, 7, FALSE), perc_95, VLOOKUP(H$2, Percentiles!$A$45:$I$59, 8, FALSE), perc_85, perc_75 + (perc_90 - perc_75) * (2/3), converted_stat, '2K_Ratings'!H983, IF(bbgm_stat &gt;= perc_95, converted_stat * 3, IF(bbgm_stat &gt;= perc_90, converted_stat * 2, IF(bbgm_stat &gt;= perc_85, converted_stat * 1.5, converted_stat)))))</f>
        <v/>
      </c>
      <c r="I983" s="30" t="str">
        <f t="array" ref="I983">IF($A983="", "", LET(bbgm_stat, INDEX(Players!$A982:$P982, MATCH(I$2, Players!$A$1:$P$1, 0)), perc_75, VLOOKUP(I$2, Percentiles!$A$45:$I$59, 6, FALSE), perc_90, VLOOKUP(I$2, Percentiles!$A$45:$I$59, 7, FALSE), perc_95, VLOOKUP(I$2, Percentiles!$A$45:$I$59, 8, FALSE), perc_85, perc_75 + (perc_90 - perc_75) * (2/3), converted_stat, '2K_Ratings'!I983, IF(bbgm_stat &gt;= perc_95, converted_stat * 3, IF(bbgm_stat &gt;= perc_90, converted_stat * 2, IF(bbgm_stat &gt;= perc_85, converted_stat * 1.5, converted_stat)))))</f>
        <v/>
      </c>
      <c r="J983" s="30" t="str">
        <f t="array" ref="J983">IF($A983="", "", LET(bbgm_stat, INDEX(Players!$A982:$P982, MATCH(J$2, Players!$A$1:$P$1, 0)), perc_75, VLOOKUP(J$2, Percentiles!$A$45:$I$59, 6, FALSE), perc_90, VLOOKUP(J$2, Percentiles!$A$45:$I$59, 7, FALSE), perc_95, VLOOKUP(J$2, Percentiles!$A$45:$I$59, 8, FALSE), perc_85, perc_75 + (perc_90 - perc_75) * (2/3), converted_stat, '2K_Ratings'!J983, IF(bbgm_stat &gt;= perc_95, converted_stat * 3, IF(bbgm_stat &gt;= perc_90, converted_stat * 2, IF(bbgm_stat &gt;= perc_85, converted_stat * 1.5, converted_stat)))))</f>
        <v/>
      </c>
      <c r="K983" s="30" t="str">
        <f t="array" ref="K983">IF($A983="", "", LET(bbgm_stat, INDEX(Players!$A982:$P982, MATCH(K$2, Players!$A$1:$P$1, 0)), perc_75, VLOOKUP(K$2, Percentiles!$A$45:$I$59, 6, FALSE), perc_90, VLOOKUP(K$2, Percentiles!$A$45:$I$59, 7, FALSE), perc_95, VLOOKUP(K$2, Percentiles!$A$45:$I$59, 8, FALSE), perc_85, perc_75 + (perc_90 - perc_75) * (2/3), converted_stat, '2K_Ratings'!K983, IF(bbgm_stat &gt;= perc_95, converted_stat * 3, IF(bbgm_stat &gt;= perc_90, converted_stat * 2, IF(bbgm_stat &gt;= perc_85, converted_stat * 1.5, converted_stat)))))</f>
        <v/>
      </c>
      <c r="L983" s="30" t="str">
        <f t="array" ref="L983">IF($A983="", "", LET(bbgm_stat, INDEX(Players!$A982:$P982, MATCH(L$2, Players!$A$1:$P$1, 0)), perc_75, VLOOKUP(L$2, Percentiles!$A$45:$I$59, 6, FALSE), perc_90, VLOOKUP(L$2, Percentiles!$A$45:$I$59, 7, FALSE), perc_95, VLOOKUP(L$2, Percentiles!$A$45:$I$59, 8, FALSE), perc_85, perc_75 + (perc_90 - perc_75) * (2/3), converted_stat, '2K_Ratings'!L983, IF(bbgm_stat &gt;= perc_95, converted_stat * 3, IF(bbgm_stat &gt;= perc_90, converted_stat * 2, IF(bbgm_stat &gt;= perc_85, converted_stat * 1.5, converted_stat)))))</f>
        <v/>
      </c>
      <c r="M983" s="30" t="str">
        <f t="array" ref="M983">IF($A983="", "", LET(bbgm_stat, INDEX(Players!$A982:$P982, MATCH(M$2, Players!$A$1:$P$1, 0)), perc_75, VLOOKUP(M$2, Percentiles!$A$45:$I$59, 6, FALSE), perc_90, VLOOKUP(M$2, Percentiles!$A$45:$I$59, 7, FALSE), perc_95, VLOOKUP(M$2, Percentiles!$A$45:$I$59, 8, FALSE), perc_85, perc_75 + (perc_90 - perc_75) * (2/3), converted_stat, '2K_Ratings'!M983, IF(bbgm_stat &gt;= perc_95, converted_stat * 3, IF(bbgm_stat &gt;= perc_90, converted_stat * 2, IF(bbgm_stat &gt;= perc_85, converted_stat * 1.5, converted_stat)))))</f>
        <v/>
      </c>
      <c r="N983" s="30" t="str">
        <f t="array" ref="N983">IF($A983="", "", LET(bbgm_stat, INDEX(Players!$A982:$P982, MATCH(N$2, Players!$A$1:$P$1, 0)), perc_75, VLOOKUP(N$2, Percentiles!$A$45:$I$59, 6, FALSE), perc_90, VLOOKUP(N$2, Percentiles!$A$45:$I$59, 7, FALSE), perc_95, VLOOKUP(N$2, Percentiles!$A$45:$I$59, 8, FALSE), perc_85, perc_75 + (perc_90 - perc_75) * (2/3), converted_stat, '2K_Ratings'!N983, IF(bbgm_stat &gt;= perc_95, converted_stat * 3, IF(bbgm_stat &gt;= perc_90, converted_stat * 2, IF(bbgm_stat &gt;= perc_85, converted_stat * 1.5, converted_stat)))))</f>
        <v/>
      </c>
      <c r="O983" s="30" t="str">
        <f t="array" ref="O983">IF($A983="", "", LET(bbgm_stat, INDEX(Players!$A982:$P982, MATCH(O$2, Players!$A$1:$P$1, 0)), perc_75, VLOOKUP(O$2, Percentiles!$A$45:$I$59, 6, FALSE), perc_90, VLOOKUP(O$2, Percentiles!$A$45:$I$59, 7, FALSE), perc_95, VLOOKUP(O$2, Percentiles!$A$45:$I$59, 8, FALSE), perc_85, perc_75 + (perc_90 - perc_75) * (2/3), converted_stat, '2K_Ratings'!O983, IF(bbgm_stat &gt;= perc_95, converted_stat * 3, IF(bbgm_stat &gt;= perc_90, converted_stat * 2, IF(bbgm_stat &gt;= perc_85, converted_stat * 1.5, converted_stat)))))</f>
        <v/>
      </c>
      <c r="P983" s="30" t="str">
        <f t="array" ref="P983">IF($A983="", "", LET(bbgm_stat, INDEX(Players!$A982:$P982, MATCH(P$2, Players!$A$1:$P$1, 0)), perc_75, VLOOKUP(P$2, Percentiles!$A$45:$I$59, 6, FALSE), perc_90, VLOOKUP(P$2, Percentiles!$A$45:$I$59, 7, FALSE), perc_95, VLOOKUP(P$2, Percentiles!$A$45:$I$59, 8, FALSE), perc_85, perc_75 + (perc_90 - perc_75) * (2/3), converted_stat, '2K_Ratings'!P983, IF(bbgm_stat &gt;= perc_95, converted_stat * 3, IF(bbgm_stat &gt;= perc_90, converted_stat * 2, IF(bbgm_stat &gt;= perc_85, converted_stat * 1.5, converted_stat)))))</f>
        <v/>
      </c>
      <c r="Q983" s="30" t="str">
        <f t="array" ref="Q983">IF($A983="", "", LET(bbgm_stat, INDEX(Players!$A982:$P982, MATCH(Q$2, Players!$A$1:$P$1, 0)), perc_75, VLOOKUP(Q$2, Percentiles!$A$45:$I$59, 6, FALSE), perc_90, VLOOKUP(Q$2, Percentiles!$A$45:$I$59, 7, FALSE), perc_95, VLOOKUP(Q$2, Percentiles!$A$45:$I$59, 8, FALSE), perc_85, perc_75 + (perc_90 - perc_75) * (2/3), converted_stat, '2K_Ratings'!Q983, IF(bbgm_stat &gt;= perc_95, converted_stat * 3, IF(bbgm_stat &gt;= perc_90, converted_stat * 2, IF(bbgm_stat &gt;= perc_85, converted_stat * 1.5, converted_stat)))))</f>
        <v/>
      </c>
      <c r="R983" s="30" t="str">
        <f t="array" ref="R983">IF($A983="", "", LET(bbgm_stat, INDEX(Players!$A982:$P982, MATCH(R$2, Players!$A$1:$P$1, 0)), perc_75, VLOOKUP(R$2, Percentiles!$A$45:$I$59, 6, FALSE), perc_90, VLOOKUP(R$2, Percentiles!$A$45:$I$59, 7, FALSE), perc_95, VLOOKUP(R$2, Percentiles!$A$45:$I$59, 8, FALSE), perc_85, perc_75 + (perc_90 - perc_75) * (2/3), converted_stat, '2K_Ratings'!R983, IF(bbgm_stat &gt;= perc_95, converted_stat * 3, IF(bbgm_stat &gt;= perc_90, converted_stat * 2, IF(bbgm_stat &gt;= perc_85, converted_stat * 1.5, converted_stat)))))</f>
        <v/>
      </c>
      <c r="S983" s="30" t="str">
        <f t="array" ref="S983">IF($A983="", "", LET(bbgm_stat, INDEX(Players!$A982:$P982, MATCH(S$2, Players!$A$1:$P$1, 0)), perc_75, VLOOKUP(S$2, Percentiles!$A$45:$I$59, 6, FALSE), perc_90, VLOOKUP(S$2, Percentiles!$A$45:$I$59, 7, FALSE), perc_95, VLOOKUP(S$2, Percentiles!$A$45:$I$59, 8, FALSE), perc_85, perc_75 + (perc_90 - perc_75) * (2/3), converted_stat, '2K_Ratings'!S983, IF(bbgm_stat &gt;= perc_95, converted_stat * 3, IF(bbgm_stat &gt;= perc_90, converted_stat * 2, IF(bbgm_stat &gt;= perc_85, converted_stat * 1.5, converted_stat)))))</f>
        <v/>
      </c>
      <c r="T983" s="30" t="str">
        <f t="array" ref="T983">IF($A983="", "", LET(bbgm_stat, INDEX(Players!$A982:$P982, MATCH(T$2, Players!$A$1:$P$1, 0)), perc_75, VLOOKUP(T$2, Percentiles!$A$45:$I$59, 6, FALSE), perc_90, VLOOKUP(T$2, Percentiles!$A$45:$I$59, 7, FALSE), perc_95, VLOOKUP(T$2, Percentiles!$A$45:$I$59, 8, FALSE), perc_85, perc_75 + (perc_90 - perc_75) * (2/3), converted_stat, '2K_Ratings'!T983, IF(bbgm_stat &gt;= perc_95, converted_stat * 3, IF(bbgm_stat &gt;= perc_90, converted_stat * 2, IF(bbgm_stat &gt;= perc_85, converted_stat * 1.5, converted_stat)))))</f>
        <v/>
      </c>
      <c r="U983" s="30" t="str">
        <f t="array" ref="U983">IF($A983="", "", LET(bbgm_stat, INDEX(Players!$A982:$P982, MATCH(U$2, Players!$A$1:$P$1, 0)), perc_75, VLOOKUP(U$2, Percentiles!$A$45:$I$59, 6, FALSE), perc_90, VLOOKUP(U$2, Percentiles!$A$45:$I$59, 7, FALSE), perc_95, VLOOKUP(U$2, Percentiles!$A$45:$I$59, 8, FALSE), perc_85, perc_75 + (perc_90 - perc_75) * (2/3), converted_stat, '2K_Ratings'!U983, IF(bbgm_stat &gt;= perc_95, converted_stat * 3, IF(bbgm_stat &gt;= perc_90, converted_stat * 2, IF(bbgm_stat &gt;= perc_85, converted_stat * 1.5, converted_stat)))))</f>
        <v/>
      </c>
      <c r="V983" s="30" t="str">
        <f t="array" ref="V983">IF($A983="", "", LET(bbgm_stat, INDEX(Players!$A982:$P982, MATCH(V$2, Players!$A$1:$P$1, 0)), perc_75, VLOOKUP(V$2, Percentiles!$A$45:$I$59, 6, FALSE), perc_90, VLOOKUP(V$2, Percentiles!$A$45:$I$59, 7, FALSE), perc_95, VLOOKUP(V$2, Percentiles!$A$45:$I$59, 8, FALSE), perc_85, perc_75 + (perc_90 - perc_75) * (2/3), converted_stat, '2K_Ratings'!V983, IF(bbgm_stat &gt;= perc_95, converted_stat * 3, IF(bbgm_stat &gt;= perc_90, converted_stat * 2, IF(bbgm_stat &gt;= perc_85, converted_stat * 1.5, converted_stat)))))</f>
        <v/>
      </c>
      <c r="W983" s="30" t="str">
        <f t="array" ref="W983">IF($A983="", "", LET(bbgm_stat, INDEX(Players!$A982:$P982, MATCH(W$2, Players!$A$1:$P$1, 0)), perc_75, VLOOKUP(W$2, Percentiles!$A$45:$I$59, 6, FALSE), perc_90, VLOOKUP(W$2, Percentiles!$A$45:$I$59, 7, FALSE), perc_95, VLOOKUP(W$2, Percentiles!$A$45:$I$59, 8, FALSE), perc_85, perc_75 + (perc_90 - perc_75) * (2/3), converted_stat, '2K_Ratings'!W983, IF(bbgm_stat &gt;= perc_95, converted_stat * 3, IF(bbgm_stat &gt;= perc_90, converted_stat * 2, IF(bbgm_stat &gt;= perc_85, converted_stat * 1.5, converted_stat)))))</f>
        <v/>
      </c>
    </row>
    <row r="984">
      <c r="A984" s="30"/>
      <c r="B984" s="30" t="str">
        <f t="array" ref="B984">IF($A984="", "", LET(bbgm_stat, INDEX(Players!$A983:$P983, MATCH(B$2, Players!$A$1:$P$1, 0)), perc_75, VLOOKUP(B$2, Percentiles!$A$45:$I$59, 6, FALSE), perc_90, VLOOKUP(B$2, Percentiles!$A$45:$I$59, 7, FALSE), perc_95, VLOOKUP(B$2, Percentiles!$A$45:$I$59, 8, FALSE), perc_85, perc_75 + (perc_90 - perc_75) * (2/3), converted_stat, '2K_Ratings'!B984, IF(bbgm_stat &gt;= perc_95, converted_stat * 3, IF(bbgm_stat &gt;= perc_90, converted_stat * 2, IF(bbgm_stat &gt;= perc_85, converted_stat * 1.5, converted_stat)))))</f>
        <v/>
      </c>
      <c r="C984" s="30" t="str">
        <f t="array" ref="C984">IF($A984="", "", LET(bbgm_stat, INDEX(Players!$A983:$P983, MATCH(C$2, Players!$A$1:$P$1, 0)), perc_75, VLOOKUP(C$2, Percentiles!$A$45:$I$59, 6, FALSE), perc_90, VLOOKUP(C$2, Percentiles!$A$45:$I$59, 7, FALSE), perc_95, VLOOKUP(C$2, Percentiles!$A$45:$I$59, 8, FALSE), perc_85, perc_75 + (perc_90 - perc_75) * (2/3), converted_stat, '2K_Ratings'!C984, IF(bbgm_stat &gt;= perc_95, converted_stat * 3, IF(bbgm_stat &gt;= perc_90, converted_stat * 2, IF(bbgm_stat &gt;= perc_85, converted_stat * 1.5, converted_stat)))))</f>
        <v/>
      </c>
      <c r="D984" s="30" t="str">
        <f t="array" ref="D984">IF($A984="", "", LET(bbgm_stat, INDEX(Players!$A983:$P983, MATCH(D$2, Players!$A$1:$P$1, 0)), perc_75, VLOOKUP(D$2, Percentiles!$A$45:$I$59, 6, FALSE), perc_90, VLOOKUP(D$2, Percentiles!$A$45:$I$59, 7, FALSE), perc_95, VLOOKUP(D$2, Percentiles!$A$45:$I$59, 8, FALSE), perc_85, perc_75 + (perc_90 - perc_75) * (2/3), converted_stat, '2K_Ratings'!D984, IF(bbgm_stat &gt;= perc_95, converted_stat * 3, IF(bbgm_stat &gt;= perc_90, converted_stat * 2, IF(bbgm_stat &gt;= perc_85, converted_stat * 1.5, converted_stat)))))</f>
        <v/>
      </c>
      <c r="E984" s="30" t="str">
        <f t="array" ref="E984">IF($A984="", "", LET(bbgm_stat, INDEX(Players!$A983:$P983, MATCH(E$2, Players!$A$1:$P$1, 0)), perc_75, VLOOKUP(E$2, Percentiles!$A$45:$I$59, 6, FALSE), perc_90, VLOOKUP(E$2, Percentiles!$A$45:$I$59, 7, FALSE), perc_95, VLOOKUP(E$2, Percentiles!$A$45:$I$59, 8, FALSE), perc_85, perc_75 + (perc_90 - perc_75) * (2/3), converted_stat, '2K_Ratings'!E984, IF(bbgm_stat &gt;= perc_95, converted_stat * 3, IF(bbgm_stat &gt;= perc_90, converted_stat * 2, IF(bbgm_stat &gt;= perc_85, converted_stat * 1.5, converted_stat)))))</f>
        <v/>
      </c>
      <c r="F984" s="30" t="str">
        <f t="array" ref="F984">IF($A984="", "", LET(bbgm_stat, INDEX(Players!$A983:$P983, MATCH(F$2, Players!$A$1:$P$1, 0)), perc_75, VLOOKUP(F$2, Percentiles!$A$45:$I$59, 6, FALSE), perc_90, VLOOKUP(F$2, Percentiles!$A$45:$I$59, 7, FALSE), perc_95, VLOOKUP(F$2, Percentiles!$A$45:$I$59, 8, FALSE), perc_85, perc_75 + (perc_90 - perc_75) * (2/3), converted_stat, '2K_Ratings'!F984, IF(bbgm_stat &gt;= perc_95, converted_stat * 3, IF(bbgm_stat &gt;= perc_90, converted_stat * 2, IF(bbgm_stat &gt;= perc_85, converted_stat * 1.5, converted_stat)))))</f>
        <v/>
      </c>
      <c r="G984" s="30" t="str">
        <f t="array" ref="G984">IF($A984="", "", LET(bbgm_stat, INDEX(Players!$A983:$P983, MATCH(G$2, Players!$A$1:$P$1, 0)), perc_75, VLOOKUP(G$2, Percentiles!$A$45:$I$59, 6, FALSE), perc_90, VLOOKUP(G$2, Percentiles!$A$45:$I$59, 7, FALSE), perc_95, VLOOKUP(G$2, Percentiles!$A$45:$I$59, 8, FALSE), perc_85, perc_75 + (perc_90 - perc_75) * (2/3), converted_stat, '2K_Ratings'!G984, IF(bbgm_stat &gt;= perc_95, converted_stat * 3, IF(bbgm_stat &gt;= perc_90, converted_stat * 2, IF(bbgm_stat &gt;= perc_85, converted_stat * 1.5, converted_stat)))))</f>
        <v/>
      </c>
      <c r="H984" s="30" t="str">
        <f t="array" ref="H984">IF($A984="", "", LET(bbgm_stat, INDEX(Players!$A983:$P983, MATCH(H$2, Players!$A$1:$P$1, 0)), perc_75, VLOOKUP(H$2, Percentiles!$A$45:$I$59, 6, FALSE), perc_90, VLOOKUP(H$2, Percentiles!$A$45:$I$59, 7, FALSE), perc_95, VLOOKUP(H$2, Percentiles!$A$45:$I$59, 8, FALSE), perc_85, perc_75 + (perc_90 - perc_75) * (2/3), converted_stat, '2K_Ratings'!H984, IF(bbgm_stat &gt;= perc_95, converted_stat * 3, IF(bbgm_stat &gt;= perc_90, converted_stat * 2, IF(bbgm_stat &gt;= perc_85, converted_stat * 1.5, converted_stat)))))</f>
        <v/>
      </c>
      <c r="I984" s="30" t="str">
        <f t="array" ref="I984">IF($A984="", "", LET(bbgm_stat, INDEX(Players!$A983:$P983, MATCH(I$2, Players!$A$1:$P$1, 0)), perc_75, VLOOKUP(I$2, Percentiles!$A$45:$I$59, 6, FALSE), perc_90, VLOOKUP(I$2, Percentiles!$A$45:$I$59, 7, FALSE), perc_95, VLOOKUP(I$2, Percentiles!$A$45:$I$59, 8, FALSE), perc_85, perc_75 + (perc_90 - perc_75) * (2/3), converted_stat, '2K_Ratings'!I984, IF(bbgm_stat &gt;= perc_95, converted_stat * 3, IF(bbgm_stat &gt;= perc_90, converted_stat * 2, IF(bbgm_stat &gt;= perc_85, converted_stat * 1.5, converted_stat)))))</f>
        <v/>
      </c>
      <c r="J984" s="30" t="str">
        <f t="array" ref="J984">IF($A984="", "", LET(bbgm_stat, INDEX(Players!$A983:$P983, MATCH(J$2, Players!$A$1:$P$1, 0)), perc_75, VLOOKUP(J$2, Percentiles!$A$45:$I$59, 6, FALSE), perc_90, VLOOKUP(J$2, Percentiles!$A$45:$I$59, 7, FALSE), perc_95, VLOOKUP(J$2, Percentiles!$A$45:$I$59, 8, FALSE), perc_85, perc_75 + (perc_90 - perc_75) * (2/3), converted_stat, '2K_Ratings'!J984, IF(bbgm_stat &gt;= perc_95, converted_stat * 3, IF(bbgm_stat &gt;= perc_90, converted_stat * 2, IF(bbgm_stat &gt;= perc_85, converted_stat * 1.5, converted_stat)))))</f>
        <v/>
      </c>
      <c r="K984" s="30" t="str">
        <f t="array" ref="K984">IF($A984="", "", LET(bbgm_stat, INDEX(Players!$A983:$P983, MATCH(K$2, Players!$A$1:$P$1, 0)), perc_75, VLOOKUP(K$2, Percentiles!$A$45:$I$59, 6, FALSE), perc_90, VLOOKUP(K$2, Percentiles!$A$45:$I$59, 7, FALSE), perc_95, VLOOKUP(K$2, Percentiles!$A$45:$I$59, 8, FALSE), perc_85, perc_75 + (perc_90 - perc_75) * (2/3), converted_stat, '2K_Ratings'!K984, IF(bbgm_stat &gt;= perc_95, converted_stat * 3, IF(bbgm_stat &gt;= perc_90, converted_stat * 2, IF(bbgm_stat &gt;= perc_85, converted_stat * 1.5, converted_stat)))))</f>
        <v/>
      </c>
      <c r="L984" s="30" t="str">
        <f t="array" ref="L984">IF($A984="", "", LET(bbgm_stat, INDEX(Players!$A983:$P983, MATCH(L$2, Players!$A$1:$P$1, 0)), perc_75, VLOOKUP(L$2, Percentiles!$A$45:$I$59, 6, FALSE), perc_90, VLOOKUP(L$2, Percentiles!$A$45:$I$59, 7, FALSE), perc_95, VLOOKUP(L$2, Percentiles!$A$45:$I$59, 8, FALSE), perc_85, perc_75 + (perc_90 - perc_75) * (2/3), converted_stat, '2K_Ratings'!L984, IF(bbgm_stat &gt;= perc_95, converted_stat * 3, IF(bbgm_stat &gt;= perc_90, converted_stat * 2, IF(bbgm_stat &gt;= perc_85, converted_stat * 1.5, converted_stat)))))</f>
        <v/>
      </c>
      <c r="M984" s="30" t="str">
        <f t="array" ref="M984">IF($A984="", "", LET(bbgm_stat, INDEX(Players!$A983:$P983, MATCH(M$2, Players!$A$1:$P$1, 0)), perc_75, VLOOKUP(M$2, Percentiles!$A$45:$I$59, 6, FALSE), perc_90, VLOOKUP(M$2, Percentiles!$A$45:$I$59, 7, FALSE), perc_95, VLOOKUP(M$2, Percentiles!$A$45:$I$59, 8, FALSE), perc_85, perc_75 + (perc_90 - perc_75) * (2/3), converted_stat, '2K_Ratings'!M984, IF(bbgm_stat &gt;= perc_95, converted_stat * 3, IF(bbgm_stat &gt;= perc_90, converted_stat * 2, IF(bbgm_stat &gt;= perc_85, converted_stat * 1.5, converted_stat)))))</f>
        <v/>
      </c>
      <c r="N984" s="30" t="str">
        <f t="array" ref="N984">IF($A984="", "", LET(bbgm_stat, INDEX(Players!$A983:$P983, MATCH(N$2, Players!$A$1:$P$1, 0)), perc_75, VLOOKUP(N$2, Percentiles!$A$45:$I$59, 6, FALSE), perc_90, VLOOKUP(N$2, Percentiles!$A$45:$I$59, 7, FALSE), perc_95, VLOOKUP(N$2, Percentiles!$A$45:$I$59, 8, FALSE), perc_85, perc_75 + (perc_90 - perc_75) * (2/3), converted_stat, '2K_Ratings'!N984, IF(bbgm_stat &gt;= perc_95, converted_stat * 3, IF(bbgm_stat &gt;= perc_90, converted_stat * 2, IF(bbgm_stat &gt;= perc_85, converted_stat * 1.5, converted_stat)))))</f>
        <v/>
      </c>
      <c r="O984" s="30" t="str">
        <f t="array" ref="O984">IF($A984="", "", LET(bbgm_stat, INDEX(Players!$A983:$P983, MATCH(O$2, Players!$A$1:$P$1, 0)), perc_75, VLOOKUP(O$2, Percentiles!$A$45:$I$59, 6, FALSE), perc_90, VLOOKUP(O$2, Percentiles!$A$45:$I$59, 7, FALSE), perc_95, VLOOKUP(O$2, Percentiles!$A$45:$I$59, 8, FALSE), perc_85, perc_75 + (perc_90 - perc_75) * (2/3), converted_stat, '2K_Ratings'!O984, IF(bbgm_stat &gt;= perc_95, converted_stat * 3, IF(bbgm_stat &gt;= perc_90, converted_stat * 2, IF(bbgm_stat &gt;= perc_85, converted_stat * 1.5, converted_stat)))))</f>
        <v/>
      </c>
      <c r="P984" s="30" t="str">
        <f t="array" ref="P984">IF($A984="", "", LET(bbgm_stat, INDEX(Players!$A983:$P983, MATCH(P$2, Players!$A$1:$P$1, 0)), perc_75, VLOOKUP(P$2, Percentiles!$A$45:$I$59, 6, FALSE), perc_90, VLOOKUP(P$2, Percentiles!$A$45:$I$59, 7, FALSE), perc_95, VLOOKUP(P$2, Percentiles!$A$45:$I$59, 8, FALSE), perc_85, perc_75 + (perc_90 - perc_75) * (2/3), converted_stat, '2K_Ratings'!P984, IF(bbgm_stat &gt;= perc_95, converted_stat * 3, IF(bbgm_stat &gt;= perc_90, converted_stat * 2, IF(bbgm_stat &gt;= perc_85, converted_stat * 1.5, converted_stat)))))</f>
        <v/>
      </c>
      <c r="Q984" s="30" t="str">
        <f t="array" ref="Q984">IF($A984="", "", LET(bbgm_stat, INDEX(Players!$A983:$P983, MATCH(Q$2, Players!$A$1:$P$1, 0)), perc_75, VLOOKUP(Q$2, Percentiles!$A$45:$I$59, 6, FALSE), perc_90, VLOOKUP(Q$2, Percentiles!$A$45:$I$59, 7, FALSE), perc_95, VLOOKUP(Q$2, Percentiles!$A$45:$I$59, 8, FALSE), perc_85, perc_75 + (perc_90 - perc_75) * (2/3), converted_stat, '2K_Ratings'!Q984, IF(bbgm_stat &gt;= perc_95, converted_stat * 3, IF(bbgm_stat &gt;= perc_90, converted_stat * 2, IF(bbgm_stat &gt;= perc_85, converted_stat * 1.5, converted_stat)))))</f>
        <v/>
      </c>
      <c r="R984" s="30" t="str">
        <f t="array" ref="R984">IF($A984="", "", LET(bbgm_stat, INDEX(Players!$A983:$P983, MATCH(R$2, Players!$A$1:$P$1, 0)), perc_75, VLOOKUP(R$2, Percentiles!$A$45:$I$59, 6, FALSE), perc_90, VLOOKUP(R$2, Percentiles!$A$45:$I$59, 7, FALSE), perc_95, VLOOKUP(R$2, Percentiles!$A$45:$I$59, 8, FALSE), perc_85, perc_75 + (perc_90 - perc_75) * (2/3), converted_stat, '2K_Ratings'!R984, IF(bbgm_stat &gt;= perc_95, converted_stat * 3, IF(bbgm_stat &gt;= perc_90, converted_stat * 2, IF(bbgm_stat &gt;= perc_85, converted_stat * 1.5, converted_stat)))))</f>
        <v/>
      </c>
      <c r="S984" s="30" t="str">
        <f t="array" ref="S984">IF($A984="", "", LET(bbgm_stat, INDEX(Players!$A983:$P983, MATCH(S$2, Players!$A$1:$P$1, 0)), perc_75, VLOOKUP(S$2, Percentiles!$A$45:$I$59, 6, FALSE), perc_90, VLOOKUP(S$2, Percentiles!$A$45:$I$59, 7, FALSE), perc_95, VLOOKUP(S$2, Percentiles!$A$45:$I$59, 8, FALSE), perc_85, perc_75 + (perc_90 - perc_75) * (2/3), converted_stat, '2K_Ratings'!S984, IF(bbgm_stat &gt;= perc_95, converted_stat * 3, IF(bbgm_stat &gt;= perc_90, converted_stat * 2, IF(bbgm_stat &gt;= perc_85, converted_stat * 1.5, converted_stat)))))</f>
        <v/>
      </c>
      <c r="T984" s="30" t="str">
        <f t="array" ref="T984">IF($A984="", "", LET(bbgm_stat, INDEX(Players!$A983:$P983, MATCH(T$2, Players!$A$1:$P$1, 0)), perc_75, VLOOKUP(T$2, Percentiles!$A$45:$I$59, 6, FALSE), perc_90, VLOOKUP(T$2, Percentiles!$A$45:$I$59, 7, FALSE), perc_95, VLOOKUP(T$2, Percentiles!$A$45:$I$59, 8, FALSE), perc_85, perc_75 + (perc_90 - perc_75) * (2/3), converted_stat, '2K_Ratings'!T984, IF(bbgm_stat &gt;= perc_95, converted_stat * 3, IF(bbgm_stat &gt;= perc_90, converted_stat * 2, IF(bbgm_stat &gt;= perc_85, converted_stat * 1.5, converted_stat)))))</f>
        <v/>
      </c>
      <c r="U984" s="30" t="str">
        <f t="array" ref="U984">IF($A984="", "", LET(bbgm_stat, INDEX(Players!$A983:$P983, MATCH(U$2, Players!$A$1:$P$1, 0)), perc_75, VLOOKUP(U$2, Percentiles!$A$45:$I$59, 6, FALSE), perc_90, VLOOKUP(U$2, Percentiles!$A$45:$I$59, 7, FALSE), perc_95, VLOOKUP(U$2, Percentiles!$A$45:$I$59, 8, FALSE), perc_85, perc_75 + (perc_90 - perc_75) * (2/3), converted_stat, '2K_Ratings'!U984, IF(bbgm_stat &gt;= perc_95, converted_stat * 3, IF(bbgm_stat &gt;= perc_90, converted_stat * 2, IF(bbgm_stat &gt;= perc_85, converted_stat * 1.5, converted_stat)))))</f>
        <v/>
      </c>
      <c r="V984" s="30" t="str">
        <f t="array" ref="V984">IF($A984="", "", LET(bbgm_stat, INDEX(Players!$A983:$P983, MATCH(V$2, Players!$A$1:$P$1, 0)), perc_75, VLOOKUP(V$2, Percentiles!$A$45:$I$59, 6, FALSE), perc_90, VLOOKUP(V$2, Percentiles!$A$45:$I$59, 7, FALSE), perc_95, VLOOKUP(V$2, Percentiles!$A$45:$I$59, 8, FALSE), perc_85, perc_75 + (perc_90 - perc_75) * (2/3), converted_stat, '2K_Ratings'!V984, IF(bbgm_stat &gt;= perc_95, converted_stat * 3, IF(bbgm_stat &gt;= perc_90, converted_stat * 2, IF(bbgm_stat &gt;= perc_85, converted_stat * 1.5, converted_stat)))))</f>
        <v/>
      </c>
      <c r="W984" s="30" t="str">
        <f t="array" ref="W984">IF($A984="", "", LET(bbgm_stat, INDEX(Players!$A983:$P983, MATCH(W$2, Players!$A$1:$P$1, 0)), perc_75, VLOOKUP(W$2, Percentiles!$A$45:$I$59, 6, FALSE), perc_90, VLOOKUP(W$2, Percentiles!$A$45:$I$59, 7, FALSE), perc_95, VLOOKUP(W$2, Percentiles!$A$45:$I$59, 8, FALSE), perc_85, perc_75 + (perc_90 - perc_75) * (2/3), converted_stat, '2K_Ratings'!W984, IF(bbgm_stat &gt;= perc_95, converted_stat * 3, IF(bbgm_stat &gt;= perc_90, converted_stat * 2, IF(bbgm_stat &gt;= perc_85, converted_stat * 1.5, converted_stat)))))</f>
        <v/>
      </c>
    </row>
    <row r="985">
      <c r="A985" s="30"/>
      <c r="B985" s="30" t="str">
        <f t="array" ref="B985">IF($A985="", "", LET(bbgm_stat, INDEX(Players!$A984:$P984, MATCH(B$2, Players!$A$1:$P$1, 0)), perc_75, VLOOKUP(B$2, Percentiles!$A$45:$I$59, 6, FALSE), perc_90, VLOOKUP(B$2, Percentiles!$A$45:$I$59, 7, FALSE), perc_95, VLOOKUP(B$2, Percentiles!$A$45:$I$59, 8, FALSE), perc_85, perc_75 + (perc_90 - perc_75) * (2/3), converted_stat, '2K_Ratings'!B985, IF(bbgm_stat &gt;= perc_95, converted_stat * 3, IF(bbgm_stat &gt;= perc_90, converted_stat * 2, IF(bbgm_stat &gt;= perc_85, converted_stat * 1.5, converted_stat)))))</f>
        <v/>
      </c>
      <c r="C985" s="30" t="str">
        <f t="array" ref="C985">IF($A985="", "", LET(bbgm_stat, INDEX(Players!$A984:$P984, MATCH(C$2, Players!$A$1:$P$1, 0)), perc_75, VLOOKUP(C$2, Percentiles!$A$45:$I$59, 6, FALSE), perc_90, VLOOKUP(C$2, Percentiles!$A$45:$I$59, 7, FALSE), perc_95, VLOOKUP(C$2, Percentiles!$A$45:$I$59, 8, FALSE), perc_85, perc_75 + (perc_90 - perc_75) * (2/3), converted_stat, '2K_Ratings'!C985, IF(bbgm_stat &gt;= perc_95, converted_stat * 3, IF(bbgm_stat &gt;= perc_90, converted_stat * 2, IF(bbgm_stat &gt;= perc_85, converted_stat * 1.5, converted_stat)))))</f>
        <v/>
      </c>
      <c r="D985" s="30" t="str">
        <f t="array" ref="D985">IF($A985="", "", LET(bbgm_stat, INDEX(Players!$A984:$P984, MATCH(D$2, Players!$A$1:$P$1, 0)), perc_75, VLOOKUP(D$2, Percentiles!$A$45:$I$59, 6, FALSE), perc_90, VLOOKUP(D$2, Percentiles!$A$45:$I$59, 7, FALSE), perc_95, VLOOKUP(D$2, Percentiles!$A$45:$I$59, 8, FALSE), perc_85, perc_75 + (perc_90 - perc_75) * (2/3), converted_stat, '2K_Ratings'!D985, IF(bbgm_stat &gt;= perc_95, converted_stat * 3, IF(bbgm_stat &gt;= perc_90, converted_stat * 2, IF(bbgm_stat &gt;= perc_85, converted_stat * 1.5, converted_stat)))))</f>
        <v/>
      </c>
      <c r="E985" s="30" t="str">
        <f t="array" ref="E985">IF($A985="", "", LET(bbgm_stat, INDEX(Players!$A984:$P984, MATCH(E$2, Players!$A$1:$P$1, 0)), perc_75, VLOOKUP(E$2, Percentiles!$A$45:$I$59, 6, FALSE), perc_90, VLOOKUP(E$2, Percentiles!$A$45:$I$59, 7, FALSE), perc_95, VLOOKUP(E$2, Percentiles!$A$45:$I$59, 8, FALSE), perc_85, perc_75 + (perc_90 - perc_75) * (2/3), converted_stat, '2K_Ratings'!E985, IF(bbgm_stat &gt;= perc_95, converted_stat * 3, IF(bbgm_stat &gt;= perc_90, converted_stat * 2, IF(bbgm_stat &gt;= perc_85, converted_stat * 1.5, converted_stat)))))</f>
        <v/>
      </c>
      <c r="F985" s="30" t="str">
        <f t="array" ref="F985">IF($A985="", "", LET(bbgm_stat, INDEX(Players!$A984:$P984, MATCH(F$2, Players!$A$1:$P$1, 0)), perc_75, VLOOKUP(F$2, Percentiles!$A$45:$I$59, 6, FALSE), perc_90, VLOOKUP(F$2, Percentiles!$A$45:$I$59, 7, FALSE), perc_95, VLOOKUP(F$2, Percentiles!$A$45:$I$59, 8, FALSE), perc_85, perc_75 + (perc_90 - perc_75) * (2/3), converted_stat, '2K_Ratings'!F985, IF(bbgm_stat &gt;= perc_95, converted_stat * 3, IF(bbgm_stat &gt;= perc_90, converted_stat * 2, IF(bbgm_stat &gt;= perc_85, converted_stat * 1.5, converted_stat)))))</f>
        <v/>
      </c>
      <c r="G985" s="30" t="str">
        <f t="array" ref="G985">IF($A985="", "", LET(bbgm_stat, INDEX(Players!$A984:$P984, MATCH(G$2, Players!$A$1:$P$1, 0)), perc_75, VLOOKUP(G$2, Percentiles!$A$45:$I$59, 6, FALSE), perc_90, VLOOKUP(G$2, Percentiles!$A$45:$I$59, 7, FALSE), perc_95, VLOOKUP(G$2, Percentiles!$A$45:$I$59, 8, FALSE), perc_85, perc_75 + (perc_90 - perc_75) * (2/3), converted_stat, '2K_Ratings'!G985, IF(bbgm_stat &gt;= perc_95, converted_stat * 3, IF(bbgm_stat &gt;= perc_90, converted_stat * 2, IF(bbgm_stat &gt;= perc_85, converted_stat * 1.5, converted_stat)))))</f>
        <v/>
      </c>
      <c r="H985" s="30" t="str">
        <f t="array" ref="H985">IF($A985="", "", LET(bbgm_stat, INDEX(Players!$A984:$P984, MATCH(H$2, Players!$A$1:$P$1, 0)), perc_75, VLOOKUP(H$2, Percentiles!$A$45:$I$59, 6, FALSE), perc_90, VLOOKUP(H$2, Percentiles!$A$45:$I$59, 7, FALSE), perc_95, VLOOKUP(H$2, Percentiles!$A$45:$I$59, 8, FALSE), perc_85, perc_75 + (perc_90 - perc_75) * (2/3), converted_stat, '2K_Ratings'!H985, IF(bbgm_stat &gt;= perc_95, converted_stat * 3, IF(bbgm_stat &gt;= perc_90, converted_stat * 2, IF(bbgm_stat &gt;= perc_85, converted_stat * 1.5, converted_stat)))))</f>
        <v/>
      </c>
      <c r="I985" s="30" t="str">
        <f t="array" ref="I985">IF($A985="", "", LET(bbgm_stat, INDEX(Players!$A984:$P984, MATCH(I$2, Players!$A$1:$P$1, 0)), perc_75, VLOOKUP(I$2, Percentiles!$A$45:$I$59, 6, FALSE), perc_90, VLOOKUP(I$2, Percentiles!$A$45:$I$59, 7, FALSE), perc_95, VLOOKUP(I$2, Percentiles!$A$45:$I$59, 8, FALSE), perc_85, perc_75 + (perc_90 - perc_75) * (2/3), converted_stat, '2K_Ratings'!I985, IF(bbgm_stat &gt;= perc_95, converted_stat * 3, IF(bbgm_stat &gt;= perc_90, converted_stat * 2, IF(bbgm_stat &gt;= perc_85, converted_stat * 1.5, converted_stat)))))</f>
        <v/>
      </c>
      <c r="J985" s="30" t="str">
        <f t="array" ref="J985">IF($A985="", "", LET(bbgm_stat, INDEX(Players!$A984:$P984, MATCH(J$2, Players!$A$1:$P$1, 0)), perc_75, VLOOKUP(J$2, Percentiles!$A$45:$I$59, 6, FALSE), perc_90, VLOOKUP(J$2, Percentiles!$A$45:$I$59, 7, FALSE), perc_95, VLOOKUP(J$2, Percentiles!$A$45:$I$59, 8, FALSE), perc_85, perc_75 + (perc_90 - perc_75) * (2/3), converted_stat, '2K_Ratings'!J985, IF(bbgm_stat &gt;= perc_95, converted_stat * 3, IF(bbgm_stat &gt;= perc_90, converted_stat * 2, IF(bbgm_stat &gt;= perc_85, converted_stat * 1.5, converted_stat)))))</f>
        <v/>
      </c>
      <c r="K985" s="30" t="str">
        <f t="array" ref="K985">IF($A985="", "", LET(bbgm_stat, INDEX(Players!$A984:$P984, MATCH(K$2, Players!$A$1:$P$1, 0)), perc_75, VLOOKUP(K$2, Percentiles!$A$45:$I$59, 6, FALSE), perc_90, VLOOKUP(K$2, Percentiles!$A$45:$I$59, 7, FALSE), perc_95, VLOOKUP(K$2, Percentiles!$A$45:$I$59, 8, FALSE), perc_85, perc_75 + (perc_90 - perc_75) * (2/3), converted_stat, '2K_Ratings'!K985, IF(bbgm_stat &gt;= perc_95, converted_stat * 3, IF(bbgm_stat &gt;= perc_90, converted_stat * 2, IF(bbgm_stat &gt;= perc_85, converted_stat * 1.5, converted_stat)))))</f>
        <v/>
      </c>
      <c r="L985" s="30" t="str">
        <f t="array" ref="L985">IF($A985="", "", LET(bbgm_stat, INDEX(Players!$A984:$P984, MATCH(L$2, Players!$A$1:$P$1, 0)), perc_75, VLOOKUP(L$2, Percentiles!$A$45:$I$59, 6, FALSE), perc_90, VLOOKUP(L$2, Percentiles!$A$45:$I$59, 7, FALSE), perc_95, VLOOKUP(L$2, Percentiles!$A$45:$I$59, 8, FALSE), perc_85, perc_75 + (perc_90 - perc_75) * (2/3), converted_stat, '2K_Ratings'!L985, IF(bbgm_stat &gt;= perc_95, converted_stat * 3, IF(bbgm_stat &gt;= perc_90, converted_stat * 2, IF(bbgm_stat &gt;= perc_85, converted_stat * 1.5, converted_stat)))))</f>
        <v/>
      </c>
      <c r="M985" s="30" t="str">
        <f t="array" ref="M985">IF($A985="", "", LET(bbgm_stat, INDEX(Players!$A984:$P984, MATCH(M$2, Players!$A$1:$P$1, 0)), perc_75, VLOOKUP(M$2, Percentiles!$A$45:$I$59, 6, FALSE), perc_90, VLOOKUP(M$2, Percentiles!$A$45:$I$59, 7, FALSE), perc_95, VLOOKUP(M$2, Percentiles!$A$45:$I$59, 8, FALSE), perc_85, perc_75 + (perc_90 - perc_75) * (2/3), converted_stat, '2K_Ratings'!M985, IF(bbgm_stat &gt;= perc_95, converted_stat * 3, IF(bbgm_stat &gt;= perc_90, converted_stat * 2, IF(bbgm_stat &gt;= perc_85, converted_stat * 1.5, converted_stat)))))</f>
        <v/>
      </c>
      <c r="N985" s="30" t="str">
        <f t="array" ref="N985">IF($A985="", "", LET(bbgm_stat, INDEX(Players!$A984:$P984, MATCH(N$2, Players!$A$1:$P$1, 0)), perc_75, VLOOKUP(N$2, Percentiles!$A$45:$I$59, 6, FALSE), perc_90, VLOOKUP(N$2, Percentiles!$A$45:$I$59, 7, FALSE), perc_95, VLOOKUP(N$2, Percentiles!$A$45:$I$59, 8, FALSE), perc_85, perc_75 + (perc_90 - perc_75) * (2/3), converted_stat, '2K_Ratings'!N985, IF(bbgm_stat &gt;= perc_95, converted_stat * 3, IF(bbgm_stat &gt;= perc_90, converted_stat * 2, IF(bbgm_stat &gt;= perc_85, converted_stat * 1.5, converted_stat)))))</f>
        <v/>
      </c>
      <c r="O985" s="30" t="str">
        <f t="array" ref="O985">IF($A985="", "", LET(bbgm_stat, INDEX(Players!$A984:$P984, MATCH(O$2, Players!$A$1:$P$1, 0)), perc_75, VLOOKUP(O$2, Percentiles!$A$45:$I$59, 6, FALSE), perc_90, VLOOKUP(O$2, Percentiles!$A$45:$I$59, 7, FALSE), perc_95, VLOOKUP(O$2, Percentiles!$A$45:$I$59, 8, FALSE), perc_85, perc_75 + (perc_90 - perc_75) * (2/3), converted_stat, '2K_Ratings'!O985, IF(bbgm_stat &gt;= perc_95, converted_stat * 3, IF(bbgm_stat &gt;= perc_90, converted_stat * 2, IF(bbgm_stat &gt;= perc_85, converted_stat * 1.5, converted_stat)))))</f>
        <v/>
      </c>
      <c r="P985" s="30" t="str">
        <f t="array" ref="P985">IF($A985="", "", LET(bbgm_stat, INDEX(Players!$A984:$P984, MATCH(P$2, Players!$A$1:$P$1, 0)), perc_75, VLOOKUP(P$2, Percentiles!$A$45:$I$59, 6, FALSE), perc_90, VLOOKUP(P$2, Percentiles!$A$45:$I$59, 7, FALSE), perc_95, VLOOKUP(P$2, Percentiles!$A$45:$I$59, 8, FALSE), perc_85, perc_75 + (perc_90 - perc_75) * (2/3), converted_stat, '2K_Ratings'!P985, IF(bbgm_stat &gt;= perc_95, converted_stat * 3, IF(bbgm_stat &gt;= perc_90, converted_stat * 2, IF(bbgm_stat &gt;= perc_85, converted_stat * 1.5, converted_stat)))))</f>
        <v/>
      </c>
      <c r="Q985" s="30" t="str">
        <f t="array" ref="Q985">IF($A985="", "", LET(bbgm_stat, INDEX(Players!$A984:$P984, MATCH(Q$2, Players!$A$1:$P$1, 0)), perc_75, VLOOKUP(Q$2, Percentiles!$A$45:$I$59, 6, FALSE), perc_90, VLOOKUP(Q$2, Percentiles!$A$45:$I$59, 7, FALSE), perc_95, VLOOKUP(Q$2, Percentiles!$A$45:$I$59, 8, FALSE), perc_85, perc_75 + (perc_90 - perc_75) * (2/3), converted_stat, '2K_Ratings'!Q985, IF(bbgm_stat &gt;= perc_95, converted_stat * 3, IF(bbgm_stat &gt;= perc_90, converted_stat * 2, IF(bbgm_stat &gt;= perc_85, converted_stat * 1.5, converted_stat)))))</f>
        <v/>
      </c>
      <c r="R985" s="30" t="str">
        <f t="array" ref="R985">IF($A985="", "", LET(bbgm_stat, INDEX(Players!$A984:$P984, MATCH(R$2, Players!$A$1:$P$1, 0)), perc_75, VLOOKUP(R$2, Percentiles!$A$45:$I$59, 6, FALSE), perc_90, VLOOKUP(R$2, Percentiles!$A$45:$I$59, 7, FALSE), perc_95, VLOOKUP(R$2, Percentiles!$A$45:$I$59, 8, FALSE), perc_85, perc_75 + (perc_90 - perc_75) * (2/3), converted_stat, '2K_Ratings'!R985, IF(bbgm_stat &gt;= perc_95, converted_stat * 3, IF(bbgm_stat &gt;= perc_90, converted_stat * 2, IF(bbgm_stat &gt;= perc_85, converted_stat * 1.5, converted_stat)))))</f>
        <v/>
      </c>
      <c r="S985" s="30" t="str">
        <f t="array" ref="S985">IF($A985="", "", LET(bbgm_stat, INDEX(Players!$A984:$P984, MATCH(S$2, Players!$A$1:$P$1, 0)), perc_75, VLOOKUP(S$2, Percentiles!$A$45:$I$59, 6, FALSE), perc_90, VLOOKUP(S$2, Percentiles!$A$45:$I$59, 7, FALSE), perc_95, VLOOKUP(S$2, Percentiles!$A$45:$I$59, 8, FALSE), perc_85, perc_75 + (perc_90 - perc_75) * (2/3), converted_stat, '2K_Ratings'!S985, IF(bbgm_stat &gt;= perc_95, converted_stat * 3, IF(bbgm_stat &gt;= perc_90, converted_stat * 2, IF(bbgm_stat &gt;= perc_85, converted_stat * 1.5, converted_stat)))))</f>
        <v/>
      </c>
      <c r="T985" s="30" t="str">
        <f t="array" ref="T985">IF($A985="", "", LET(bbgm_stat, INDEX(Players!$A984:$P984, MATCH(T$2, Players!$A$1:$P$1, 0)), perc_75, VLOOKUP(T$2, Percentiles!$A$45:$I$59, 6, FALSE), perc_90, VLOOKUP(T$2, Percentiles!$A$45:$I$59, 7, FALSE), perc_95, VLOOKUP(T$2, Percentiles!$A$45:$I$59, 8, FALSE), perc_85, perc_75 + (perc_90 - perc_75) * (2/3), converted_stat, '2K_Ratings'!T985, IF(bbgm_stat &gt;= perc_95, converted_stat * 3, IF(bbgm_stat &gt;= perc_90, converted_stat * 2, IF(bbgm_stat &gt;= perc_85, converted_stat * 1.5, converted_stat)))))</f>
        <v/>
      </c>
      <c r="U985" s="30" t="str">
        <f t="array" ref="U985">IF($A985="", "", LET(bbgm_stat, INDEX(Players!$A984:$P984, MATCH(U$2, Players!$A$1:$P$1, 0)), perc_75, VLOOKUP(U$2, Percentiles!$A$45:$I$59, 6, FALSE), perc_90, VLOOKUP(U$2, Percentiles!$A$45:$I$59, 7, FALSE), perc_95, VLOOKUP(U$2, Percentiles!$A$45:$I$59, 8, FALSE), perc_85, perc_75 + (perc_90 - perc_75) * (2/3), converted_stat, '2K_Ratings'!U985, IF(bbgm_stat &gt;= perc_95, converted_stat * 3, IF(bbgm_stat &gt;= perc_90, converted_stat * 2, IF(bbgm_stat &gt;= perc_85, converted_stat * 1.5, converted_stat)))))</f>
        <v/>
      </c>
      <c r="V985" s="30" t="str">
        <f t="array" ref="V985">IF($A985="", "", LET(bbgm_stat, INDEX(Players!$A984:$P984, MATCH(V$2, Players!$A$1:$P$1, 0)), perc_75, VLOOKUP(V$2, Percentiles!$A$45:$I$59, 6, FALSE), perc_90, VLOOKUP(V$2, Percentiles!$A$45:$I$59, 7, FALSE), perc_95, VLOOKUP(V$2, Percentiles!$A$45:$I$59, 8, FALSE), perc_85, perc_75 + (perc_90 - perc_75) * (2/3), converted_stat, '2K_Ratings'!V985, IF(bbgm_stat &gt;= perc_95, converted_stat * 3, IF(bbgm_stat &gt;= perc_90, converted_stat * 2, IF(bbgm_stat &gt;= perc_85, converted_stat * 1.5, converted_stat)))))</f>
        <v/>
      </c>
      <c r="W985" s="30" t="str">
        <f t="array" ref="W985">IF($A985="", "", LET(bbgm_stat, INDEX(Players!$A984:$P984, MATCH(W$2, Players!$A$1:$P$1, 0)), perc_75, VLOOKUP(W$2, Percentiles!$A$45:$I$59, 6, FALSE), perc_90, VLOOKUP(W$2, Percentiles!$A$45:$I$59, 7, FALSE), perc_95, VLOOKUP(W$2, Percentiles!$A$45:$I$59, 8, FALSE), perc_85, perc_75 + (perc_90 - perc_75) * (2/3), converted_stat, '2K_Ratings'!W985, IF(bbgm_stat &gt;= perc_95, converted_stat * 3, IF(bbgm_stat &gt;= perc_90, converted_stat * 2, IF(bbgm_stat &gt;= perc_85, converted_stat * 1.5, converted_stat)))))</f>
        <v/>
      </c>
    </row>
    <row r="986">
      <c r="A986" s="30"/>
      <c r="B986" s="30" t="str">
        <f t="array" ref="B986">IF($A986="", "", LET(bbgm_stat, INDEX(Players!$A985:$P985, MATCH(B$2, Players!$A$1:$P$1, 0)), perc_75, VLOOKUP(B$2, Percentiles!$A$45:$I$59, 6, FALSE), perc_90, VLOOKUP(B$2, Percentiles!$A$45:$I$59, 7, FALSE), perc_95, VLOOKUP(B$2, Percentiles!$A$45:$I$59, 8, FALSE), perc_85, perc_75 + (perc_90 - perc_75) * (2/3), converted_stat, '2K_Ratings'!B986, IF(bbgm_stat &gt;= perc_95, converted_stat * 3, IF(bbgm_stat &gt;= perc_90, converted_stat * 2, IF(bbgm_stat &gt;= perc_85, converted_stat * 1.5, converted_stat)))))</f>
        <v/>
      </c>
      <c r="C986" s="30" t="str">
        <f t="array" ref="C986">IF($A986="", "", LET(bbgm_stat, INDEX(Players!$A985:$P985, MATCH(C$2, Players!$A$1:$P$1, 0)), perc_75, VLOOKUP(C$2, Percentiles!$A$45:$I$59, 6, FALSE), perc_90, VLOOKUP(C$2, Percentiles!$A$45:$I$59, 7, FALSE), perc_95, VLOOKUP(C$2, Percentiles!$A$45:$I$59, 8, FALSE), perc_85, perc_75 + (perc_90 - perc_75) * (2/3), converted_stat, '2K_Ratings'!C986, IF(bbgm_stat &gt;= perc_95, converted_stat * 3, IF(bbgm_stat &gt;= perc_90, converted_stat * 2, IF(bbgm_stat &gt;= perc_85, converted_stat * 1.5, converted_stat)))))</f>
        <v/>
      </c>
      <c r="D986" s="30" t="str">
        <f t="array" ref="D986">IF($A986="", "", LET(bbgm_stat, INDEX(Players!$A985:$P985, MATCH(D$2, Players!$A$1:$P$1, 0)), perc_75, VLOOKUP(D$2, Percentiles!$A$45:$I$59, 6, FALSE), perc_90, VLOOKUP(D$2, Percentiles!$A$45:$I$59, 7, FALSE), perc_95, VLOOKUP(D$2, Percentiles!$A$45:$I$59, 8, FALSE), perc_85, perc_75 + (perc_90 - perc_75) * (2/3), converted_stat, '2K_Ratings'!D986, IF(bbgm_stat &gt;= perc_95, converted_stat * 3, IF(bbgm_stat &gt;= perc_90, converted_stat * 2, IF(bbgm_stat &gt;= perc_85, converted_stat * 1.5, converted_stat)))))</f>
        <v/>
      </c>
      <c r="E986" s="30" t="str">
        <f t="array" ref="E986">IF($A986="", "", LET(bbgm_stat, INDEX(Players!$A985:$P985, MATCH(E$2, Players!$A$1:$P$1, 0)), perc_75, VLOOKUP(E$2, Percentiles!$A$45:$I$59, 6, FALSE), perc_90, VLOOKUP(E$2, Percentiles!$A$45:$I$59, 7, FALSE), perc_95, VLOOKUP(E$2, Percentiles!$A$45:$I$59, 8, FALSE), perc_85, perc_75 + (perc_90 - perc_75) * (2/3), converted_stat, '2K_Ratings'!E986, IF(bbgm_stat &gt;= perc_95, converted_stat * 3, IF(bbgm_stat &gt;= perc_90, converted_stat * 2, IF(bbgm_stat &gt;= perc_85, converted_stat * 1.5, converted_stat)))))</f>
        <v/>
      </c>
      <c r="F986" s="30" t="str">
        <f t="array" ref="F986">IF($A986="", "", LET(bbgm_stat, INDEX(Players!$A985:$P985, MATCH(F$2, Players!$A$1:$P$1, 0)), perc_75, VLOOKUP(F$2, Percentiles!$A$45:$I$59, 6, FALSE), perc_90, VLOOKUP(F$2, Percentiles!$A$45:$I$59, 7, FALSE), perc_95, VLOOKUP(F$2, Percentiles!$A$45:$I$59, 8, FALSE), perc_85, perc_75 + (perc_90 - perc_75) * (2/3), converted_stat, '2K_Ratings'!F986, IF(bbgm_stat &gt;= perc_95, converted_stat * 3, IF(bbgm_stat &gt;= perc_90, converted_stat * 2, IF(bbgm_stat &gt;= perc_85, converted_stat * 1.5, converted_stat)))))</f>
        <v/>
      </c>
      <c r="G986" s="30" t="str">
        <f t="array" ref="G986">IF($A986="", "", LET(bbgm_stat, INDEX(Players!$A985:$P985, MATCH(G$2, Players!$A$1:$P$1, 0)), perc_75, VLOOKUP(G$2, Percentiles!$A$45:$I$59, 6, FALSE), perc_90, VLOOKUP(G$2, Percentiles!$A$45:$I$59, 7, FALSE), perc_95, VLOOKUP(G$2, Percentiles!$A$45:$I$59, 8, FALSE), perc_85, perc_75 + (perc_90 - perc_75) * (2/3), converted_stat, '2K_Ratings'!G986, IF(bbgm_stat &gt;= perc_95, converted_stat * 3, IF(bbgm_stat &gt;= perc_90, converted_stat * 2, IF(bbgm_stat &gt;= perc_85, converted_stat * 1.5, converted_stat)))))</f>
        <v/>
      </c>
      <c r="H986" s="30" t="str">
        <f t="array" ref="H986">IF($A986="", "", LET(bbgm_stat, INDEX(Players!$A985:$P985, MATCH(H$2, Players!$A$1:$P$1, 0)), perc_75, VLOOKUP(H$2, Percentiles!$A$45:$I$59, 6, FALSE), perc_90, VLOOKUP(H$2, Percentiles!$A$45:$I$59, 7, FALSE), perc_95, VLOOKUP(H$2, Percentiles!$A$45:$I$59, 8, FALSE), perc_85, perc_75 + (perc_90 - perc_75) * (2/3), converted_stat, '2K_Ratings'!H986, IF(bbgm_stat &gt;= perc_95, converted_stat * 3, IF(bbgm_stat &gt;= perc_90, converted_stat * 2, IF(bbgm_stat &gt;= perc_85, converted_stat * 1.5, converted_stat)))))</f>
        <v/>
      </c>
      <c r="I986" s="30" t="str">
        <f t="array" ref="I986">IF($A986="", "", LET(bbgm_stat, INDEX(Players!$A985:$P985, MATCH(I$2, Players!$A$1:$P$1, 0)), perc_75, VLOOKUP(I$2, Percentiles!$A$45:$I$59, 6, FALSE), perc_90, VLOOKUP(I$2, Percentiles!$A$45:$I$59, 7, FALSE), perc_95, VLOOKUP(I$2, Percentiles!$A$45:$I$59, 8, FALSE), perc_85, perc_75 + (perc_90 - perc_75) * (2/3), converted_stat, '2K_Ratings'!I986, IF(bbgm_stat &gt;= perc_95, converted_stat * 3, IF(bbgm_stat &gt;= perc_90, converted_stat * 2, IF(bbgm_stat &gt;= perc_85, converted_stat * 1.5, converted_stat)))))</f>
        <v/>
      </c>
      <c r="J986" s="30" t="str">
        <f t="array" ref="J986">IF($A986="", "", LET(bbgm_stat, INDEX(Players!$A985:$P985, MATCH(J$2, Players!$A$1:$P$1, 0)), perc_75, VLOOKUP(J$2, Percentiles!$A$45:$I$59, 6, FALSE), perc_90, VLOOKUP(J$2, Percentiles!$A$45:$I$59, 7, FALSE), perc_95, VLOOKUP(J$2, Percentiles!$A$45:$I$59, 8, FALSE), perc_85, perc_75 + (perc_90 - perc_75) * (2/3), converted_stat, '2K_Ratings'!J986, IF(bbgm_stat &gt;= perc_95, converted_stat * 3, IF(bbgm_stat &gt;= perc_90, converted_stat * 2, IF(bbgm_stat &gt;= perc_85, converted_stat * 1.5, converted_stat)))))</f>
        <v/>
      </c>
      <c r="K986" s="30" t="str">
        <f t="array" ref="K986">IF($A986="", "", LET(bbgm_stat, INDEX(Players!$A985:$P985, MATCH(K$2, Players!$A$1:$P$1, 0)), perc_75, VLOOKUP(K$2, Percentiles!$A$45:$I$59, 6, FALSE), perc_90, VLOOKUP(K$2, Percentiles!$A$45:$I$59, 7, FALSE), perc_95, VLOOKUP(K$2, Percentiles!$A$45:$I$59, 8, FALSE), perc_85, perc_75 + (perc_90 - perc_75) * (2/3), converted_stat, '2K_Ratings'!K986, IF(bbgm_stat &gt;= perc_95, converted_stat * 3, IF(bbgm_stat &gt;= perc_90, converted_stat * 2, IF(bbgm_stat &gt;= perc_85, converted_stat * 1.5, converted_stat)))))</f>
        <v/>
      </c>
      <c r="L986" s="30" t="str">
        <f t="array" ref="L986">IF($A986="", "", LET(bbgm_stat, INDEX(Players!$A985:$P985, MATCH(L$2, Players!$A$1:$P$1, 0)), perc_75, VLOOKUP(L$2, Percentiles!$A$45:$I$59, 6, FALSE), perc_90, VLOOKUP(L$2, Percentiles!$A$45:$I$59, 7, FALSE), perc_95, VLOOKUP(L$2, Percentiles!$A$45:$I$59, 8, FALSE), perc_85, perc_75 + (perc_90 - perc_75) * (2/3), converted_stat, '2K_Ratings'!L986, IF(bbgm_stat &gt;= perc_95, converted_stat * 3, IF(bbgm_stat &gt;= perc_90, converted_stat * 2, IF(bbgm_stat &gt;= perc_85, converted_stat * 1.5, converted_stat)))))</f>
        <v/>
      </c>
      <c r="M986" s="30" t="str">
        <f t="array" ref="M986">IF($A986="", "", LET(bbgm_stat, INDEX(Players!$A985:$P985, MATCH(M$2, Players!$A$1:$P$1, 0)), perc_75, VLOOKUP(M$2, Percentiles!$A$45:$I$59, 6, FALSE), perc_90, VLOOKUP(M$2, Percentiles!$A$45:$I$59, 7, FALSE), perc_95, VLOOKUP(M$2, Percentiles!$A$45:$I$59, 8, FALSE), perc_85, perc_75 + (perc_90 - perc_75) * (2/3), converted_stat, '2K_Ratings'!M986, IF(bbgm_stat &gt;= perc_95, converted_stat * 3, IF(bbgm_stat &gt;= perc_90, converted_stat * 2, IF(bbgm_stat &gt;= perc_85, converted_stat * 1.5, converted_stat)))))</f>
        <v/>
      </c>
      <c r="N986" s="30" t="str">
        <f t="array" ref="N986">IF($A986="", "", LET(bbgm_stat, INDEX(Players!$A985:$P985, MATCH(N$2, Players!$A$1:$P$1, 0)), perc_75, VLOOKUP(N$2, Percentiles!$A$45:$I$59, 6, FALSE), perc_90, VLOOKUP(N$2, Percentiles!$A$45:$I$59, 7, FALSE), perc_95, VLOOKUP(N$2, Percentiles!$A$45:$I$59, 8, FALSE), perc_85, perc_75 + (perc_90 - perc_75) * (2/3), converted_stat, '2K_Ratings'!N986, IF(bbgm_stat &gt;= perc_95, converted_stat * 3, IF(bbgm_stat &gt;= perc_90, converted_stat * 2, IF(bbgm_stat &gt;= perc_85, converted_stat * 1.5, converted_stat)))))</f>
        <v/>
      </c>
      <c r="O986" s="30" t="str">
        <f t="array" ref="O986">IF($A986="", "", LET(bbgm_stat, INDEX(Players!$A985:$P985, MATCH(O$2, Players!$A$1:$P$1, 0)), perc_75, VLOOKUP(O$2, Percentiles!$A$45:$I$59, 6, FALSE), perc_90, VLOOKUP(O$2, Percentiles!$A$45:$I$59, 7, FALSE), perc_95, VLOOKUP(O$2, Percentiles!$A$45:$I$59, 8, FALSE), perc_85, perc_75 + (perc_90 - perc_75) * (2/3), converted_stat, '2K_Ratings'!O986, IF(bbgm_stat &gt;= perc_95, converted_stat * 3, IF(bbgm_stat &gt;= perc_90, converted_stat * 2, IF(bbgm_stat &gt;= perc_85, converted_stat * 1.5, converted_stat)))))</f>
        <v/>
      </c>
      <c r="P986" s="30" t="str">
        <f t="array" ref="P986">IF($A986="", "", LET(bbgm_stat, INDEX(Players!$A985:$P985, MATCH(P$2, Players!$A$1:$P$1, 0)), perc_75, VLOOKUP(P$2, Percentiles!$A$45:$I$59, 6, FALSE), perc_90, VLOOKUP(P$2, Percentiles!$A$45:$I$59, 7, FALSE), perc_95, VLOOKUP(P$2, Percentiles!$A$45:$I$59, 8, FALSE), perc_85, perc_75 + (perc_90 - perc_75) * (2/3), converted_stat, '2K_Ratings'!P986, IF(bbgm_stat &gt;= perc_95, converted_stat * 3, IF(bbgm_stat &gt;= perc_90, converted_stat * 2, IF(bbgm_stat &gt;= perc_85, converted_stat * 1.5, converted_stat)))))</f>
        <v/>
      </c>
      <c r="Q986" s="30" t="str">
        <f t="array" ref="Q986">IF($A986="", "", LET(bbgm_stat, INDEX(Players!$A985:$P985, MATCH(Q$2, Players!$A$1:$P$1, 0)), perc_75, VLOOKUP(Q$2, Percentiles!$A$45:$I$59, 6, FALSE), perc_90, VLOOKUP(Q$2, Percentiles!$A$45:$I$59, 7, FALSE), perc_95, VLOOKUP(Q$2, Percentiles!$A$45:$I$59, 8, FALSE), perc_85, perc_75 + (perc_90 - perc_75) * (2/3), converted_stat, '2K_Ratings'!Q986, IF(bbgm_stat &gt;= perc_95, converted_stat * 3, IF(bbgm_stat &gt;= perc_90, converted_stat * 2, IF(bbgm_stat &gt;= perc_85, converted_stat * 1.5, converted_stat)))))</f>
        <v/>
      </c>
      <c r="R986" s="30" t="str">
        <f t="array" ref="R986">IF($A986="", "", LET(bbgm_stat, INDEX(Players!$A985:$P985, MATCH(R$2, Players!$A$1:$P$1, 0)), perc_75, VLOOKUP(R$2, Percentiles!$A$45:$I$59, 6, FALSE), perc_90, VLOOKUP(R$2, Percentiles!$A$45:$I$59, 7, FALSE), perc_95, VLOOKUP(R$2, Percentiles!$A$45:$I$59, 8, FALSE), perc_85, perc_75 + (perc_90 - perc_75) * (2/3), converted_stat, '2K_Ratings'!R986, IF(bbgm_stat &gt;= perc_95, converted_stat * 3, IF(bbgm_stat &gt;= perc_90, converted_stat * 2, IF(bbgm_stat &gt;= perc_85, converted_stat * 1.5, converted_stat)))))</f>
        <v/>
      </c>
      <c r="S986" s="30" t="str">
        <f t="array" ref="S986">IF($A986="", "", LET(bbgm_stat, INDEX(Players!$A985:$P985, MATCH(S$2, Players!$A$1:$P$1, 0)), perc_75, VLOOKUP(S$2, Percentiles!$A$45:$I$59, 6, FALSE), perc_90, VLOOKUP(S$2, Percentiles!$A$45:$I$59, 7, FALSE), perc_95, VLOOKUP(S$2, Percentiles!$A$45:$I$59, 8, FALSE), perc_85, perc_75 + (perc_90 - perc_75) * (2/3), converted_stat, '2K_Ratings'!S986, IF(bbgm_stat &gt;= perc_95, converted_stat * 3, IF(bbgm_stat &gt;= perc_90, converted_stat * 2, IF(bbgm_stat &gt;= perc_85, converted_stat * 1.5, converted_stat)))))</f>
        <v/>
      </c>
      <c r="T986" s="30" t="str">
        <f t="array" ref="T986">IF($A986="", "", LET(bbgm_stat, INDEX(Players!$A985:$P985, MATCH(T$2, Players!$A$1:$P$1, 0)), perc_75, VLOOKUP(T$2, Percentiles!$A$45:$I$59, 6, FALSE), perc_90, VLOOKUP(T$2, Percentiles!$A$45:$I$59, 7, FALSE), perc_95, VLOOKUP(T$2, Percentiles!$A$45:$I$59, 8, FALSE), perc_85, perc_75 + (perc_90 - perc_75) * (2/3), converted_stat, '2K_Ratings'!T986, IF(bbgm_stat &gt;= perc_95, converted_stat * 3, IF(bbgm_stat &gt;= perc_90, converted_stat * 2, IF(bbgm_stat &gt;= perc_85, converted_stat * 1.5, converted_stat)))))</f>
        <v/>
      </c>
      <c r="U986" s="30" t="str">
        <f t="array" ref="U986">IF($A986="", "", LET(bbgm_stat, INDEX(Players!$A985:$P985, MATCH(U$2, Players!$A$1:$P$1, 0)), perc_75, VLOOKUP(U$2, Percentiles!$A$45:$I$59, 6, FALSE), perc_90, VLOOKUP(U$2, Percentiles!$A$45:$I$59, 7, FALSE), perc_95, VLOOKUP(U$2, Percentiles!$A$45:$I$59, 8, FALSE), perc_85, perc_75 + (perc_90 - perc_75) * (2/3), converted_stat, '2K_Ratings'!U986, IF(bbgm_stat &gt;= perc_95, converted_stat * 3, IF(bbgm_stat &gt;= perc_90, converted_stat * 2, IF(bbgm_stat &gt;= perc_85, converted_stat * 1.5, converted_stat)))))</f>
        <v/>
      </c>
      <c r="V986" s="30" t="str">
        <f t="array" ref="V986">IF($A986="", "", LET(bbgm_stat, INDEX(Players!$A985:$P985, MATCH(V$2, Players!$A$1:$P$1, 0)), perc_75, VLOOKUP(V$2, Percentiles!$A$45:$I$59, 6, FALSE), perc_90, VLOOKUP(V$2, Percentiles!$A$45:$I$59, 7, FALSE), perc_95, VLOOKUP(V$2, Percentiles!$A$45:$I$59, 8, FALSE), perc_85, perc_75 + (perc_90 - perc_75) * (2/3), converted_stat, '2K_Ratings'!V986, IF(bbgm_stat &gt;= perc_95, converted_stat * 3, IF(bbgm_stat &gt;= perc_90, converted_stat * 2, IF(bbgm_stat &gt;= perc_85, converted_stat * 1.5, converted_stat)))))</f>
        <v/>
      </c>
      <c r="W986" s="30" t="str">
        <f t="array" ref="W986">IF($A986="", "", LET(bbgm_stat, INDEX(Players!$A985:$P985, MATCH(W$2, Players!$A$1:$P$1, 0)), perc_75, VLOOKUP(W$2, Percentiles!$A$45:$I$59, 6, FALSE), perc_90, VLOOKUP(W$2, Percentiles!$A$45:$I$59, 7, FALSE), perc_95, VLOOKUP(W$2, Percentiles!$A$45:$I$59, 8, FALSE), perc_85, perc_75 + (perc_90 - perc_75) * (2/3), converted_stat, '2K_Ratings'!W986, IF(bbgm_stat &gt;= perc_95, converted_stat * 3, IF(bbgm_stat &gt;= perc_90, converted_stat * 2, IF(bbgm_stat &gt;= perc_85, converted_stat * 1.5, converted_stat)))))</f>
        <v/>
      </c>
    </row>
    <row r="987">
      <c r="A987" s="30"/>
      <c r="B987" s="30" t="str">
        <f t="array" ref="B987">IF($A987="", "", LET(bbgm_stat, INDEX(Players!$A986:$P986, MATCH(B$2, Players!$A$1:$P$1, 0)), perc_75, VLOOKUP(B$2, Percentiles!$A$45:$I$59, 6, FALSE), perc_90, VLOOKUP(B$2, Percentiles!$A$45:$I$59, 7, FALSE), perc_95, VLOOKUP(B$2, Percentiles!$A$45:$I$59, 8, FALSE), perc_85, perc_75 + (perc_90 - perc_75) * (2/3), converted_stat, '2K_Ratings'!B987, IF(bbgm_stat &gt;= perc_95, converted_stat * 3, IF(bbgm_stat &gt;= perc_90, converted_stat * 2, IF(bbgm_stat &gt;= perc_85, converted_stat * 1.5, converted_stat)))))</f>
        <v/>
      </c>
      <c r="C987" s="30" t="str">
        <f t="array" ref="C987">IF($A987="", "", LET(bbgm_stat, INDEX(Players!$A986:$P986, MATCH(C$2, Players!$A$1:$P$1, 0)), perc_75, VLOOKUP(C$2, Percentiles!$A$45:$I$59, 6, FALSE), perc_90, VLOOKUP(C$2, Percentiles!$A$45:$I$59, 7, FALSE), perc_95, VLOOKUP(C$2, Percentiles!$A$45:$I$59, 8, FALSE), perc_85, perc_75 + (perc_90 - perc_75) * (2/3), converted_stat, '2K_Ratings'!C987, IF(bbgm_stat &gt;= perc_95, converted_stat * 3, IF(bbgm_stat &gt;= perc_90, converted_stat * 2, IF(bbgm_stat &gt;= perc_85, converted_stat * 1.5, converted_stat)))))</f>
        <v/>
      </c>
      <c r="D987" s="30" t="str">
        <f t="array" ref="D987">IF($A987="", "", LET(bbgm_stat, INDEX(Players!$A986:$P986, MATCH(D$2, Players!$A$1:$P$1, 0)), perc_75, VLOOKUP(D$2, Percentiles!$A$45:$I$59, 6, FALSE), perc_90, VLOOKUP(D$2, Percentiles!$A$45:$I$59, 7, FALSE), perc_95, VLOOKUP(D$2, Percentiles!$A$45:$I$59, 8, FALSE), perc_85, perc_75 + (perc_90 - perc_75) * (2/3), converted_stat, '2K_Ratings'!D987, IF(bbgm_stat &gt;= perc_95, converted_stat * 3, IF(bbgm_stat &gt;= perc_90, converted_stat * 2, IF(bbgm_stat &gt;= perc_85, converted_stat * 1.5, converted_stat)))))</f>
        <v/>
      </c>
      <c r="E987" s="30" t="str">
        <f t="array" ref="E987">IF($A987="", "", LET(bbgm_stat, INDEX(Players!$A986:$P986, MATCH(E$2, Players!$A$1:$P$1, 0)), perc_75, VLOOKUP(E$2, Percentiles!$A$45:$I$59, 6, FALSE), perc_90, VLOOKUP(E$2, Percentiles!$A$45:$I$59, 7, FALSE), perc_95, VLOOKUP(E$2, Percentiles!$A$45:$I$59, 8, FALSE), perc_85, perc_75 + (perc_90 - perc_75) * (2/3), converted_stat, '2K_Ratings'!E987, IF(bbgm_stat &gt;= perc_95, converted_stat * 3, IF(bbgm_stat &gt;= perc_90, converted_stat * 2, IF(bbgm_stat &gt;= perc_85, converted_stat * 1.5, converted_stat)))))</f>
        <v/>
      </c>
      <c r="F987" s="30" t="str">
        <f t="array" ref="F987">IF($A987="", "", LET(bbgm_stat, INDEX(Players!$A986:$P986, MATCH(F$2, Players!$A$1:$P$1, 0)), perc_75, VLOOKUP(F$2, Percentiles!$A$45:$I$59, 6, FALSE), perc_90, VLOOKUP(F$2, Percentiles!$A$45:$I$59, 7, FALSE), perc_95, VLOOKUP(F$2, Percentiles!$A$45:$I$59, 8, FALSE), perc_85, perc_75 + (perc_90 - perc_75) * (2/3), converted_stat, '2K_Ratings'!F987, IF(bbgm_stat &gt;= perc_95, converted_stat * 3, IF(bbgm_stat &gt;= perc_90, converted_stat * 2, IF(bbgm_stat &gt;= perc_85, converted_stat * 1.5, converted_stat)))))</f>
        <v/>
      </c>
      <c r="G987" s="30" t="str">
        <f t="array" ref="G987">IF($A987="", "", LET(bbgm_stat, INDEX(Players!$A986:$P986, MATCH(G$2, Players!$A$1:$P$1, 0)), perc_75, VLOOKUP(G$2, Percentiles!$A$45:$I$59, 6, FALSE), perc_90, VLOOKUP(G$2, Percentiles!$A$45:$I$59, 7, FALSE), perc_95, VLOOKUP(G$2, Percentiles!$A$45:$I$59, 8, FALSE), perc_85, perc_75 + (perc_90 - perc_75) * (2/3), converted_stat, '2K_Ratings'!G987, IF(bbgm_stat &gt;= perc_95, converted_stat * 3, IF(bbgm_stat &gt;= perc_90, converted_stat * 2, IF(bbgm_stat &gt;= perc_85, converted_stat * 1.5, converted_stat)))))</f>
        <v/>
      </c>
      <c r="H987" s="30" t="str">
        <f t="array" ref="H987">IF($A987="", "", LET(bbgm_stat, INDEX(Players!$A986:$P986, MATCH(H$2, Players!$A$1:$P$1, 0)), perc_75, VLOOKUP(H$2, Percentiles!$A$45:$I$59, 6, FALSE), perc_90, VLOOKUP(H$2, Percentiles!$A$45:$I$59, 7, FALSE), perc_95, VLOOKUP(H$2, Percentiles!$A$45:$I$59, 8, FALSE), perc_85, perc_75 + (perc_90 - perc_75) * (2/3), converted_stat, '2K_Ratings'!H987, IF(bbgm_stat &gt;= perc_95, converted_stat * 3, IF(bbgm_stat &gt;= perc_90, converted_stat * 2, IF(bbgm_stat &gt;= perc_85, converted_stat * 1.5, converted_stat)))))</f>
        <v/>
      </c>
      <c r="I987" s="30" t="str">
        <f t="array" ref="I987">IF($A987="", "", LET(bbgm_stat, INDEX(Players!$A986:$P986, MATCH(I$2, Players!$A$1:$P$1, 0)), perc_75, VLOOKUP(I$2, Percentiles!$A$45:$I$59, 6, FALSE), perc_90, VLOOKUP(I$2, Percentiles!$A$45:$I$59, 7, FALSE), perc_95, VLOOKUP(I$2, Percentiles!$A$45:$I$59, 8, FALSE), perc_85, perc_75 + (perc_90 - perc_75) * (2/3), converted_stat, '2K_Ratings'!I987, IF(bbgm_stat &gt;= perc_95, converted_stat * 3, IF(bbgm_stat &gt;= perc_90, converted_stat * 2, IF(bbgm_stat &gt;= perc_85, converted_stat * 1.5, converted_stat)))))</f>
        <v/>
      </c>
      <c r="J987" s="30" t="str">
        <f t="array" ref="J987">IF($A987="", "", LET(bbgm_stat, INDEX(Players!$A986:$P986, MATCH(J$2, Players!$A$1:$P$1, 0)), perc_75, VLOOKUP(J$2, Percentiles!$A$45:$I$59, 6, FALSE), perc_90, VLOOKUP(J$2, Percentiles!$A$45:$I$59, 7, FALSE), perc_95, VLOOKUP(J$2, Percentiles!$A$45:$I$59, 8, FALSE), perc_85, perc_75 + (perc_90 - perc_75) * (2/3), converted_stat, '2K_Ratings'!J987, IF(bbgm_stat &gt;= perc_95, converted_stat * 3, IF(bbgm_stat &gt;= perc_90, converted_stat * 2, IF(bbgm_stat &gt;= perc_85, converted_stat * 1.5, converted_stat)))))</f>
        <v/>
      </c>
      <c r="K987" s="30" t="str">
        <f t="array" ref="K987">IF($A987="", "", LET(bbgm_stat, INDEX(Players!$A986:$P986, MATCH(K$2, Players!$A$1:$P$1, 0)), perc_75, VLOOKUP(K$2, Percentiles!$A$45:$I$59, 6, FALSE), perc_90, VLOOKUP(K$2, Percentiles!$A$45:$I$59, 7, FALSE), perc_95, VLOOKUP(K$2, Percentiles!$A$45:$I$59, 8, FALSE), perc_85, perc_75 + (perc_90 - perc_75) * (2/3), converted_stat, '2K_Ratings'!K987, IF(bbgm_stat &gt;= perc_95, converted_stat * 3, IF(bbgm_stat &gt;= perc_90, converted_stat * 2, IF(bbgm_stat &gt;= perc_85, converted_stat * 1.5, converted_stat)))))</f>
        <v/>
      </c>
      <c r="L987" s="30" t="str">
        <f t="array" ref="L987">IF($A987="", "", LET(bbgm_stat, INDEX(Players!$A986:$P986, MATCH(L$2, Players!$A$1:$P$1, 0)), perc_75, VLOOKUP(L$2, Percentiles!$A$45:$I$59, 6, FALSE), perc_90, VLOOKUP(L$2, Percentiles!$A$45:$I$59, 7, FALSE), perc_95, VLOOKUP(L$2, Percentiles!$A$45:$I$59, 8, FALSE), perc_85, perc_75 + (perc_90 - perc_75) * (2/3), converted_stat, '2K_Ratings'!L987, IF(bbgm_stat &gt;= perc_95, converted_stat * 3, IF(bbgm_stat &gt;= perc_90, converted_stat * 2, IF(bbgm_stat &gt;= perc_85, converted_stat * 1.5, converted_stat)))))</f>
        <v/>
      </c>
      <c r="M987" s="30" t="str">
        <f t="array" ref="M987">IF($A987="", "", LET(bbgm_stat, INDEX(Players!$A986:$P986, MATCH(M$2, Players!$A$1:$P$1, 0)), perc_75, VLOOKUP(M$2, Percentiles!$A$45:$I$59, 6, FALSE), perc_90, VLOOKUP(M$2, Percentiles!$A$45:$I$59, 7, FALSE), perc_95, VLOOKUP(M$2, Percentiles!$A$45:$I$59, 8, FALSE), perc_85, perc_75 + (perc_90 - perc_75) * (2/3), converted_stat, '2K_Ratings'!M987, IF(bbgm_stat &gt;= perc_95, converted_stat * 3, IF(bbgm_stat &gt;= perc_90, converted_stat * 2, IF(bbgm_stat &gt;= perc_85, converted_stat * 1.5, converted_stat)))))</f>
        <v/>
      </c>
      <c r="N987" s="30" t="str">
        <f t="array" ref="N987">IF($A987="", "", LET(bbgm_stat, INDEX(Players!$A986:$P986, MATCH(N$2, Players!$A$1:$P$1, 0)), perc_75, VLOOKUP(N$2, Percentiles!$A$45:$I$59, 6, FALSE), perc_90, VLOOKUP(N$2, Percentiles!$A$45:$I$59, 7, FALSE), perc_95, VLOOKUP(N$2, Percentiles!$A$45:$I$59, 8, FALSE), perc_85, perc_75 + (perc_90 - perc_75) * (2/3), converted_stat, '2K_Ratings'!N987, IF(bbgm_stat &gt;= perc_95, converted_stat * 3, IF(bbgm_stat &gt;= perc_90, converted_stat * 2, IF(bbgm_stat &gt;= perc_85, converted_stat * 1.5, converted_stat)))))</f>
        <v/>
      </c>
      <c r="O987" s="30" t="str">
        <f t="array" ref="O987">IF($A987="", "", LET(bbgm_stat, INDEX(Players!$A986:$P986, MATCH(O$2, Players!$A$1:$P$1, 0)), perc_75, VLOOKUP(O$2, Percentiles!$A$45:$I$59, 6, FALSE), perc_90, VLOOKUP(O$2, Percentiles!$A$45:$I$59, 7, FALSE), perc_95, VLOOKUP(O$2, Percentiles!$A$45:$I$59, 8, FALSE), perc_85, perc_75 + (perc_90 - perc_75) * (2/3), converted_stat, '2K_Ratings'!O987, IF(bbgm_stat &gt;= perc_95, converted_stat * 3, IF(bbgm_stat &gt;= perc_90, converted_stat * 2, IF(bbgm_stat &gt;= perc_85, converted_stat * 1.5, converted_stat)))))</f>
        <v/>
      </c>
      <c r="P987" s="30" t="str">
        <f t="array" ref="P987">IF($A987="", "", LET(bbgm_stat, INDEX(Players!$A986:$P986, MATCH(P$2, Players!$A$1:$P$1, 0)), perc_75, VLOOKUP(P$2, Percentiles!$A$45:$I$59, 6, FALSE), perc_90, VLOOKUP(P$2, Percentiles!$A$45:$I$59, 7, FALSE), perc_95, VLOOKUP(P$2, Percentiles!$A$45:$I$59, 8, FALSE), perc_85, perc_75 + (perc_90 - perc_75) * (2/3), converted_stat, '2K_Ratings'!P987, IF(bbgm_stat &gt;= perc_95, converted_stat * 3, IF(bbgm_stat &gt;= perc_90, converted_stat * 2, IF(bbgm_stat &gt;= perc_85, converted_stat * 1.5, converted_stat)))))</f>
        <v/>
      </c>
      <c r="Q987" s="30" t="str">
        <f t="array" ref="Q987">IF($A987="", "", LET(bbgm_stat, INDEX(Players!$A986:$P986, MATCH(Q$2, Players!$A$1:$P$1, 0)), perc_75, VLOOKUP(Q$2, Percentiles!$A$45:$I$59, 6, FALSE), perc_90, VLOOKUP(Q$2, Percentiles!$A$45:$I$59, 7, FALSE), perc_95, VLOOKUP(Q$2, Percentiles!$A$45:$I$59, 8, FALSE), perc_85, perc_75 + (perc_90 - perc_75) * (2/3), converted_stat, '2K_Ratings'!Q987, IF(bbgm_stat &gt;= perc_95, converted_stat * 3, IF(bbgm_stat &gt;= perc_90, converted_stat * 2, IF(bbgm_stat &gt;= perc_85, converted_stat * 1.5, converted_stat)))))</f>
        <v/>
      </c>
      <c r="R987" s="30" t="str">
        <f t="array" ref="R987">IF($A987="", "", LET(bbgm_stat, INDEX(Players!$A986:$P986, MATCH(R$2, Players!$A$1:$P$1, 0)), perc_75, VLOOKUP(R$2, Percentiles!$A$45:$I$59, 6, FALSE), perc_90, VLOOKUP(R$2, Percentiles!$A$45:$I$59, 7, FALSE), perc_95, VLOOKUP(R$2, Percentiles!$A$45:$I$59, 8, FALSE), perc_85, perc_75 + (perc_90 - perc_75) * (2/3), converted_stat, '2K_Ratings'!R987, IF(bbgm_stat &gt;= perc_95, converted_stat * 3, IF(bbgm_stat &gt;= perc_90, converted_stat * 2, IF(bbgm_stat &gt;= perc_85, converted_stat * 1.5, converted_stat)))))</f>
        <v/>
      </c>
      <c r="S987" s="30" t="str">
        <f t="array" ref="S987">IF($A987="", "", LET(bbgm_stat, INDEX(Players!$A986:$P986, MATCH(S$2, Players!$A$1:$P$1, 0)), perc_75, VLOOKUP(S$2, Percentiles!$A$45:$I$59, 6, FALSE), perc_90, VLOOKUP(S$2, Percentiles!$A$45:$I$59, 7, FALSE), perc_95, VLOOKUP(S$2, Percentiles!$A$45:$I$59, 8, FALSE), perc_85, perc_75 + (perc_90 - perc_75) * (2/3), converted_stat, '2K_Ratings'!S987, IF(bbgm_stat &gt;= perc_95, converted_stat * 3, IF(bbgm_stat &gt;= perc_90, converted_stat * 2, IF(bbgm_stat &gt;= perc_85, converted_stat * 1.5, converted_stat)))))</f>
        <v/>
      </c>
      <c r="T987" s="30" t="str">
        <f t="array" ref="T987">IF($A987="", "", LET(bbgm_stat, INDEX(Players!$A986:$P986, MATCH(T$2, Players!$A$1:$P$1, 0)), perc_75, VLOOKUP(T$2, Percentiles!$A$45:$I$59, 6, FALSE), perc_90, VLOOKUP(T$2, Percentiles!$A$45:$I$59, 7, FALSE), perc_95, VLOOKUP(T$2, Percentiles!$A$45:$I$59, 8, FALSE), perc_85, perc_75 + (perc_90 - perc_75) * (2/3), converted_stat, '2K_Ratings'!T987, IF(bbgm_stat &gt;= perc_95, converted_stat * 3, IF(bbgm_stat &gt;= perc_90, converted_stat * 2, IF(bbgm_stat &gt;= perc_85, converted_stat * 1.5, converted_stat)))))</f>
        <v/>
      </c>
      <c r="U987" s="30" t="str">
        <f t="array" ref="U987">IF($A987="", "", LET(bbgm_stat, INDEX(Players!$A986:$P986, MATCH(U$2, Players!$A$1:$P$1, 0)), perc_75, VLOOKUP(U$2, Percentiles!$A$45:$I$59, 6, FALSE), perc_90, VLOOKUP(U$2, Percentiles!$A$45:$I$59, 7, FALSE), perc_95, VLOOKUP(U$2, Percentiles!$A$45:$I$59, 8, FALSE), perc_85, perc_75 + (perc_90 - perc_75) * (2/3), converted_stat, '2K_Ratings'!U987, IF(bbgm_stat &gt;= perc_95, converted_stat * 3, IF(bbgm_stat &gt;= perc_90, converted_stat * 2, IF(bbgm_stat &gt;= perc_85, converted_stat * 1.5, converted_stat)))))</f>
        <v/>
      </c>
      <c r="V987" s="30" t="str">
        <f t="array" ref="V987">IF($A987="", "", LET(bbgm_stat, INDEX(Players!$A986:$P986, MATCH(V$2, Players!$A$1:$P$1, 0)), perc_75, VLOOKUP(V$2, Percentiles!$A$45:$I$59, 6, FALSE), perc_90, VLOOKUP(V$2, Percentiles!$A$45:$I$59, 7, FALSE), perc_95, VLOOKUP(V$2, Percentiles!$A$45:$I$59, 8, FALSE), perc_85, perc_75 + (perc_90 - perc_75) * (2/3), converted_stat, '2K_Ratings'!V987, IF(bbgm_stat &gt;= perc_95, converted_stat * 3, IF(bbgm_stat &gt;= perc_90, converted_stat * 2, IF(bbgm_stat &gt;= perc_85, converted_stat * 1.5, converted_stat)))))</f>
        <v/>
      </c>
      <c r="W987" s="30" t="str">
        <f t="array" ref="W987">IF($A987="", "", LET(bbgm_stat, INDEX(Players!$A986:$P986, MATCH(W$2, Players!$A$1:$P$1, 0)), perc_75, VLOOKUP(W$2, Percentiles!$A$45:$I$59, 6, FALSE), perc_90, VLOOKUP(W$2, Percentiles!$A$45:$I$59, 7, FALSE), perc_95, VLOOKUP(W$2, Percentiles!$A$45:$I$59, 8, FALSE), perc_85, perc_75 + (perc_90 - perc_75) * (2/3), converted_stat, '2K_Ratings'!W987, IF(bbgm_stat &gt;= perc_95, converted_stat * 3, IF(bbgm_stat &gt;= perc_90, converted_stat * 2, IF(bbgm_stat &gt;= perc_85, converted_stat * 1.5, converted_stat)))))</f>
        <v/>
      </c>
    </row>
    <row r="988">
      <c r="A988" s="30"/>
      <c r="B988" s="30" t="str">
        <f t="array" ref="B988">IF($A988="", "", LET(bbgm_stat, INDEX(Players!$A987:$P987, MATCH(B$2, Players!$A$1:$P$1, 0)), perc_75, VLOOKUP(B$2, Percentiles!$A$45:$I$59, 6, FALSE), perc_90, VLOOKUP(B$2, Percentiles!$A$45:$I$59, 7, FALSE), perc_95, VLOOKUP(B$2, Percentiles!$A$45:$I$59, 8, FALSE), perc_85, perc_75 + (perc_90 - perc_75) * (2/3), converted_stat, '2K_Ratings'!B988, IF(bbgm_stat &gt;= perc_95, converted_stat * 3, IF(bbgm_stat &gt;= perc_90, converted_stat * 2, IF(bbgm_stat &gt;= perc_85, converted_stat * 1.5, converted_stat)))))</f>
        <v/>
      </c>
      <c r="C988" s="30" t="str">
        <f t="array" ref="C988">IF($A988="", "", LET(bbgm_stat, INDEX(Players!$A987:$P987, MATCH(C$2, Players!$A$1:$P$1, 0)), perc_75, VLOOKUP(C$2, Percentiles!$A$45:$I$59, 6, FALSE), perc_90, VLOOKUP(C$2, Percentiles!$A$45:$I$59, 7, FALSE), perc_95, VLOOKUP(C$2, Percentiles!$A$45:$I$59, 8, FALSE), perc_85, perc_75 + (perc_90 - perc_75) * (2/3), converted_stat, '2K_Ratings'!C988, IF(bbgm_stat &gt;= perc_95, converted_stat * 3, IF(bbgm_stat &gt;= perc_90, converted_stat * 2, IF(bbgm_stat &gt;= perc_85, converted_stat * 1.5, converted_stat)))))</f>
        <v/>
      </c>
      <c r="D988" s="30" t="str">
        <f t="array" ref="D988">IF($A988="", "", LET(bbgm_stat, INDEX(Players!$A987:$P987, MATCH(D$2, Players!$A$1:$P$1, 0)), perc_75, VLOOKUP(D$2, Percentiles!$A$45:$I$59, 6, FALSE), perc_90, VLOOKUP(D$2, Percentiles!$A$45:$I$59, 7, FALSE), perc_95, VLOOKUP(D$2, Percentiles!$A$45:$I$59, 8, FALSE), perc_85, perc_75 + (perc_90 - perc_75) * (2/3), converted_stat, '2K_Ratings'!D988, IF(bbgm_stat &gt;= perc_95, converted_stat * 3, IF(bbgm_stat &gt;= perc_90, converted_stat * 2, IF(bbgm_stat &gt;= perc_85, converted_stat * 1.5, converted_stat)))))</f>
        <v/>
      </c>
      <c r="E988" s="30" t="str">
        <f t="array" ref="E988">IF($A988="", "", LET(bbgm_stat, INDEX(Players!$A987:$P987, MATCH(E$2, Players!$A$1:$P$1, 0)), perc_75, VLOOKUP(E$2, Percentiles!$A$45:$I$59, 6, FALSE), perc_90, VLOOKUP(E$2, Percentiles!$A$45:$I$59, 7, FALSE), perc_95, VLOOKUP(E$2, Percentiles!$A$45:$I$59, 8, FALSE), perc_85, perc_75 + (perc_90 - perc_75) * (2/3), converted_stat, '2K_Ratings'!E988, IF(bbgm_stat &gt;= perc_95, converted_stat * 3, IF(bbgm_stat &gt;= perc_90, converted_stat * 2, IF(bbgm_stat &gt;= perc_85, converted_stat * 1.5, converted_stat)))))</f>
        <v/>
      </c>
      <c r="F988" s="30" t="str">
        <f t="array" ref="F988">IF($A988="", "", LET(bbgm_stat, INDEX(Players!$A987:$P987, MATCH(F$2, Players!$A$1:$P$1, 0)), perc_75, VLOOKUP(F$2, Percentiles!$A$45:$I$59, 6, FALSE), perc_90, VLOOKUP(F$2, Percentiles!$A$45:$I$59, 7, FALSE), perc_95, VLOOKUP(F$2, Percentiles!$A$45:$I$59, 8, FALSE), perc_85, perc_75 + (perc_90 - perc_75) * (2/3), converted_stat, '2K_Ratings'!F988, IF(bbgm_stat &gt;= perc_95, converted_stat * 3, IF(bbgm_stat &gt;= perc_90, converted_stat * 2, IF(bbgm_stat &gt;= perc_85, converted_stat * 1.5, converted_stat)))))</f>
        <v/>
      </c>
      <c r="G988" s="30" t="str">
        <f t="array" ref="G988">IF($A988="", "", LET(bbgm_stat, INDEX(Players!$A987:$P987, MATCH(G$2, Players!$A$1:$P$1, 0)), perc_75, VLOOKUP(G$2, Percentiles!$A$45:$I$59, 6, FALSE), perc_90, VLOOKUP(G$2, Percentiles!$A$45:$I$59, 7, FALSE), perc_95, VLOOKUP(G$2, Percentiles!$A$45:$I$59, 8, FALSE), perc_85, perc_75 + (perc_90 - perc_75) * (2/3), converted_stat, '2K_Ratings'!G988, IF(bbgm_stat &gt;= perc_95, converted_stat * 3, IF(bbgm_stat &gt;= perc_90, converted_stat * 2, IF(bbgm_stat &gt;= perc_85, converted_stat * 1.5, converted_stat)))))</f>
        <v/>
      </c>
      <c r="H988" s="30" t="str">
        <f t="array" ref="H988">IF($A988="", "", LET(bbgm_stat, INDEX(Players!$A987:$P987, MATCH(H$2, Players!$A$1:$P$1, 0)), perc_75, VLOOKUP(H$2, Percentiles!$A$45:$I$59, 6, FALSE), perc_90, VLOOKUP(H$2, Percentiles!$A$45:$I$59, 7, FALSE), perc_95, VLOOKUP(H$2, Percentiles!$A$45:$I$59, 8, FALSE), perc_85, perc_75 + (perc_90 - perc_75) * (2/3), converted_stat, '2K_Ratings'!H988, IF(bbgm_stat &gt;= perc_95, converted_stat * 3, IF(bbgm_stat &gt;= perc_90, converted_stat * 2, IF(bbgm_stat &gt;= perc_85, converted_stat * 1.5, converted_stat)))))</f>
        <v/>
      </c>
      <c r="I988" s="30" t="str">
        <f t="array" ref="I988">IF($A988="", "", LET(bbgm_stat, INDEX(Players!$A987:$P987, MATCH(I$2, Players!$A$1:$P$1, 0)), perc_75, VLOOKUP(I$2, Percentiles!$A$45:$I$59, 6, FALSE), perc_90, VLOOKUP(I$2, Percentiles!$A$45:$I$59, 7, FALSE), perc_95, VLOOKUP(I$2, Percentiles!$A$45:$I$59, 8, FALSE), perc_85, perc_75 + (perc_90 - perc_75) * (2/3), converted_stat, '2K_Ratings'!I988, IF(bbgm_stat &gt;= perc_95, converted_stat * 3, IF(bbgm_stat &gt;= perc_90, converted_stat * 2, IF(bbgm_stat &gt;= perc_85, converted_stat * 1.5, converted_stat)))))</f>
        <v/>
      </c>
      <c r="J988" s="30" t="str">
        <f t="array" ref="J988">IF($A988="", "", LET(bbgm_stat, INDEX(Players!$A987:$P987, MATCH(J$2, Players!$A$1:$P$1, 0)), perc_75, VLOOKUP(J$2, Percentiles!$A$45:$I$59, 6, FALSE), perc_90, VLOOKUP(J$2, Percentiles!$A$45:$I$59, 7, FALSE), perc_95, VLOOKUP(J$2, Percentiles!$A$45:$I$59, 8, FALSE), perc_85, perc_75 + (perc_90 - perc_75) * (2/3), converted_stat, '2K_Ratings'!J988, IF(bbgm_stat &gt;= perc_95, converted_stat * 3, IF(bbgm_stat &gt;= perc_90, converted_stat * 2, IF(bbgm_stat &gt;= perc_85, converted_stat * 1.5, converted_stat)))))</f>
        <v/>
      </c>
      <c r="K988" s="30" t="str">
        <f t="array" ref="K988">IF($A988="", "", LET(bbgm_stat, INDEX(Players!$A987:$P987, MATCH(K$2, Players!$A$1:$P$1, 0)), perc_75, VLOOKUP(K$2, Percentiles!$A$45:$I$59, 6, FALSE), perc_90, VLOOKUP(K$2, Percentiles!$A$45:$I$59, 7, FALSE), perc_95, VLOOKUP(K$2, Percentiles!$A$45:$I$59, 8, FALSE), perc_85, perc_75 + (perc_90 - perc_75) * (2/3), converted_stat, '2K_Ratings'!K988, IF(bbgm_stat &gt;= perc_95, converted_stat * 3, IF(bbgm_stat &gt;= perc_90, converted_stat * 2, IF(bbgm_stat &gt;= perc_85, converted_stat * 1.5, converted_stat)))))</f>
        <v/>
      </c>
      <c r="L988" s="30" t="str">
        <f t="array" ref="L988">IF($A988="", "", LET(bbgm_stat, INDEX(Players!$A987:$P987, MATCH(L$2, Players!$A$1:$P$1, 0)), perc_75, VLOOKUP(L$2, Percentiles!$A$45:$I$59, 6, FALSE), perc_90, VLOOKUP(L$2, Percentiles!$A$45:$I$59, 7, FALSE), perc_95, VLOOKUP(L$2, Percentiles!$A$45:$I$59, 8, FALSE), perc_85, perc_75 + (perc_90 - perc_75) * (2/3), converted_stat, '2K_Ratings'!L988, IF(bbgm_stat &gt;= perc_95, converted_stat * 3, IF(bbgm_stat &gt;= perc_90, converted_stat * 2, IF(bbgm_stat &gt;= perc_85, converted_stat * 1.5, converted_stat)))))</f>
        <v/>
      </c>
      <c r="M988" s="30" t="str">
        <f t="array" ref="M988">IF($A988="", "", LET(bbgm_stat, INDEX(Players!$A987:$P987, MATCH(M$2, Players!$A$1:$P$1, 0)), perc_75, VLOOKUP(M$2, Percentiles!$A$45:$I$59, 6, FALSE), perc_90, VLOOKUP(M$2, Percentiles!$A$45:$I$59, 7, FALSE), perc_95, VLOOKUP(M$2, Percentiles!$A$45:$I$59, 8, FALSE), perc_85, perc_75 + (perc_90 - perc_75) * (2/3), converted_stat, '2K_Ratings'!M988, IF(bbgm_stat &gt;= perc_95, converted_stat * 3, IF(bbgm_stat &gt;= perc_90, converted_stat * 2, IF(bbgm_stat &gt;= perc_85, converted_stat * 1.5, converted_stat)))))</f>
        <v/>
      </c>
      <c r="N988" s="30" t="str">
        <f t="array" ref="N988">IF($A988="", "", LET(bbgm_stat, INDEX(Players!$A987:$P987, MATCH(N$2, Players!$A$1:$P$1, 0)), perc_75, VLOOKUP(N$2, Percentiles!$A$45:$I$59, 6, FALSE), perc_90, VLOOKUP(N$2, Percentiles!$A$45:$I$59, 7, FALSE), perc_95, VLOOKUP(N$2, Percentiles!$A$45:$I$59, 8, FALSE), perc_85, perc_75 + (perc_90 - perc_75) * (2/3), converted_stat, '2K_Ratings'!N988, IF(bbgm_stat &gt;= perc_95, converted_stat * 3, IF(bbgm_stat &gt;= perc_90, converted_stat * 2, IF(bbgm_stat &gt;= perc_85, converted_stat * 1.5, converted_stat)))))</f>
        <v/>
      </c>
      <c r="O988" s="30" t="str">
        <f t="array" ref="O988">IF($A988="", "", LET(bbgm_stat, INDEX(Players!$A987:$P987, MATCH(O$2, Players!$A$1:$P$1, 0)), perc_75, VLOOKUP(O$2, Percentiles!$A$45:$I$59, 6, FALSE), perc_90, VLOOKUP(O$2, Percentiles!$A$45:$I$59, 7, FALSE), perc_95, VLOOKUP(O$2, Percentiles!$A$45:$I$59, 8, FALSE), perc_85, perc_75 + (perc_90 - perc_75) * (2/3), converted_stat, '2K_Ratings'!O988, IF(bbgm_stat &gt;= perc_95, converted_stat * 3, IF(bbgm_stat &gt;= perc_90, converted_stat * 2, IF(bbgm_stat &gt;= perc_85, converted_stat * 1.5, converted_stat)))))</f>
        <v/>
      </c>
      <c r="P988" s="30" t="str">
        <f t="array" ref="P988">IF($A988="", "", LET(bbgm_stat, INDEX(Players!$A987:$P987, MATCH(P$2, Players!$A$1:$P$1, 0)), perc_75, VLOOKUP(P$2, Percentiles!$A$45:$I$59, 6, FALSE), perc_90, VLOOKUP(P$2, Percentiles!$A$45:$I$59, 7, FALSE), perc_95, VLOOKUP(P$2, Percentiles!$A$45:$I$59, 8, FALSE), perc_85, perc_75 + (perc_90 - perc_75) * (2/3), converted_stat, '2K_Ratings'!P988, IF(bbgm_stat &gt;= perc_95, converted_stat * 3, IF(bbgm_stat &gt;= perc_90, converted_stat * 2, IF(bbgm_stat &gt;= perc_85, converted_stat * 1.5, converted_stat)))))</f>
        <v/>
      </c>
      <c r="Q988" s="30" t="str">
        <f t="array" ref="Q988">IF($A988="", "", LET(bbgm_stat, INDEX(Players!$A987:$P987, MATCH(Q$2, Players!$A$1:$P$1, 0)), perc_75, VLOOKUP(Q$2, Percentiles!$A$45:$I$59, 6, FALSE), perc_90, VLOOKUP(Q$2, Percentiles!$A$45:$I$59, 7, FALSE), perc_95, VLOOKUP(Q$2, Percentiles!$A$45:$I$59, 8, FALSE), perc_85, perc_75 + (perc_90 - perc_75) * (2/3), converted_stat, '2K_Ratings'!Q988, IF(bbgm_stat &gt;= perc_95, converted_stat * 3, IF(bbgm_stat &gt;= perc_90, converted_stat * 2, IF(bbgm_stat &gt;= perc_85, converted_stat * 1.5, converted_stat)))))</f>
        <v/>
      </c>
      <c r="R988" s="30" t="str">
        <f t="array" ref="R988">IF($A988="", "", LET(bbgm_stat, INDEX(Players!$A987:$P987, MATCH(R$2, Players!$A$1:$P$1, 0)), perc_75, VLOOKUP(R$2, Percentiles!$A$45:$I$59, 6, FALSE), perc_90, VLOOKUP(R$2, Percentiles!$A$45:$I$59, 7, FALSE), perc_95, VLOOKUP(R$2, Percentiles!$A$45:$I$59, 8, FALSE), perc_85, perc_75 + (perc_90 - perc_75) * (2/3), converted_stat, '2K_Ratings'!R988, IF(bbgm_stat &gt;= perc_95, converted_stat * 3, IF(bbgm_stat &gt;= perc_90, converted_stat * 2, IF(bbgm_stat &gt;= perc_85, converted_stat * 1.5, converted_stat)))))</f>
        <v/>
      </c>
      <c r="S988" s="30" t="str">
        <f t="array" ref="S988">IF($A988="", "", LET(bbgm_stat, INDEX(Players!$A987:$P987, MATCH(S$2, Players!$A$1:$P$1, 0)), perc_75, VLOOKUP(S$2, Percentiles!$A$45:$I$59, 6, FALSE), perc_90, VLOOKUP(S$2, Percentiles!$A$45:$I$59, 7, FALSE), perc_95, VLOOKUP(S$2, Percentiles!$A$45:$I$59, 8, FALSE), perc_85, perc_75 + (perc_90 - perc_75) * (2/3), converted_stat, '2K_Ratings'!S988, IF(bbgm_stat &gt;= perc_95, converted_stat * 3, IF(bbgm_stat &gt;= perc_90, converted_stat * 2, IF(bbgm_stat &gt;= perc_85, converted_stat * 1.5, converted_stat)))))</f>
        <v/>
      </c>
      <c r="T988" s="30" t="str">
        <f t="array" ref="T988">IF($A988="", "", LET(bbgm_stat, INDEX(Players!$A987:$P987, MATCH(T$2, Players!$A$1:$P$1, 0)), perc_75, VLOOKUP(T$2, Percentiles!$A$45:$I$59, 6, FALSE), perc_90, VLOOKUP(T$2, Percentiles!$A$45:$I$59, 7, FALSE), perc_95, VLOOKUP(T$2, Percentiles!$A$45:$I$59, 8, FALSE), perc_85, perc_75 + (perc_90 - perc_75) * (2/3), converted_stat, '2K_Ratings'!T988, IF(bbgm_stat &gt;= perc_95, converted_stat * 3, IF(bbgm_stat &gt;= perc_90, converted_stat * 2, IF(bbgm_stat &gt;= perc_85, converted_stat * 1.5, converted_stat)))))</f>
        <v/>
      </c>
      <c r="U988" s="30" t="str">
        <f t="array" ref="U988">IF($A988="", "", LET(bbgm_stat, INDEX(Players!$A987:$P987, MATCH(U$2, Players!$A$1:$P$1, 0)), perc_75, VLOOKUP(U$2, Percentiles!$A$45:$I$59, 6, FALSE), perc_90, VLOOKUP(U$2, Percentiles!$A$45:$I$59, 7, FALSE), perc_95, VLOOKUP(U$2, Percentiles!$A$45:$I$59, 8, FALSE), perc_85, perc_75 + (perc_90 - perc_75) * (2/3), converted_stat, '2K_Ratings'!U988, IF(bbgm_stat &gt;= perc_95, converted_stat * 3, IF(bbgm_stat &gt;= perc_90, converted_stat * 2, IF(bbgm_stat &gt;= perc_85, converted_stat * 1.5, converted_stat)))))</f>
        <v/>
      </c>
      <c r="V988" s="30" t="str">
        <f t="array" ref="V988">IF($A988="", "", LET(bbgm_stat, INDEX(Players!$A987:$P987, MATCH(V$2, Players!$A$1:$P$1, 0)), perc_75, VLOOKUP(V$2, Percentiles!$A$45:$I$59, 6, FALSE), perc_90, VLOOKUP(V$2, Percentiles!$A$45:$I$59, 7, FALSE), perc_95, VLOOKUP(V$2, Percentiles!$A$45:$I$59, 8, FALSE), perc_85, perc_75 + (perc_90 - perc_75) * (2/3), converted_stat, '2K_Ratings'!V988, IF(bbgm_stat &gt;= perc_95, converted_stat * 3, IF(bbgm_stat &gt;= perc_90, converted_stat * 2, IF(bbgm_stat &gt;= perc_85, converted_stat * 1.5, converted_stat)))))</f>
        <v/>
      </c>
      <c r="W988" s="30" t="str">
        <f t="array" ref="W988">IF($A988="", "", LET(bbgm_stat, INDEX(Players!$A987:$P987, MATCH(W$2, Players!$A$1:$P$1, 0)), perc_75, VLOOKUP(W$2, Percentiles!$A$45:$I$59, 6, FALSE), perc_90, VLOOKUP(W$2, Percentiles!$A$45:$I$59, 7, FALSE), perc_95, VLOOKUP(W$2, Percentiles!$A$45:$I$59, 8, FALSE), perc_85, perc_75 + (perc_90 - perc_75) * (2/3), converted_stat, '2K_Ratings'!W988, IF(bbgm_stat &gt;= perc_95, converted_stat * 3, IF(bbgm_stat &gt;= perc_90, converted_stat * 2, IF(bbgm_stat &gt;= perc_85, converted_stat * 1.5, converted_stat)))))</f>
        <v/>
      </c>
    </row>
    <row r="989">
      <c r="A989" s="30"/>
      <c r="B989" s="30" t="str">
        <f t="array" ref="B989">IF($A989="", "", LET(bbgm_stat, INDEX(Players!$A988:$P988, MATCH(B$2, Players!$A$1:$P$1, 0)), perc_75, VLOOKUP(B$2, Percentiles!$A$45:$I$59, 6, FALSE), perc_90, VLOOKUP(B$2, Percentiles!$A$45:$I$59, 7, FALSE), perc_95, VLOOKUP(B$2, Percentiles!$A$45:$I$59, 8, FALSE), perc_85, perc_75 + (perc_90 - perc_75) * (2/3), converted_stat, '2K_Ratings'!B989, IF(bbgm_stat &gt;= perc_95, converted_stat * 3, IF(bbgm_stat &gt;= perc_90, converted_stat * 2, IF(bbgm_stat &gt;= perc_85, converted_stat * 1.5, converted_stat)))))</f>
        <v/>
      </c>
      <c r="C989" s="30" t="str">
        <f t="array" ref="C989">IF($A989="", "", LET(bbgm_stat, INDEX(Players!$A988:$P988, MATCH(C$2, Players!$A$1:$P$1, 0)), perc_75, VLOOKUP(C$2, Percentiles!$A$45:$I$59, 6, FALSE), perc_90, VLOOKUP(C$2, Percentiles!$A$45:$I$59, 7, FALSE), perc_95, VLOOKUP(C$2, Percentiles!$A$45:$I$59, 8, FALSE), perc_85, perc_75 + (perc_90 - perc_75) * (2/3), converted_stat, '2K_Ratings'!C989, IF(bbgm_stat &gt;= perc_95, converted_stat * 3, IF(bbgm_stat &gt;= perc_90, converted_stat * 2, IF(bbgm_stat &gt;= perc_85, converted_stat * 1.5, converted_stat)))))</f>
        <v/>
      </c>
      <c r="D989" s="30" t="str">
        <f t="array" ref="D989">IF($A989="", "", LET(bbgm_stat, INDEX(Players!$A988:$P988, MATCH(D$2, Players!$A$1:$P$1, 0)), perc_75, VLOOKUP(D$2, Percentiles!$A$45:$I$59, 6, FALSE), perc_90, VLOOKUP(D$2, Percentiles!$A$45:$I$59, 7, FALSE), perc_95, VLOOKUP(D$2, Percentiles!$A$45:$I$59, 8, FALSE), perc_85, perc_75 + (perc_90 - perc_75) * (2/3), converted_stat, '2K_Ratings'!D989, IF(bbgm_stat &gt;= perc_95, converted_stat * 3, IF(bbgm_stat &gt;= perc_90, converted_stat * 2, IF(bbgm_stat &gt;= perc_85, converted_stat * 1.5, converted_stat)))))</f>
        <v/>
      </c>
      <c r="E989" s="30" t="str">
        <f t="array" ref="E989">IF($A989="", "", LET(bbgm_stat, INDEX(Players!$A988:$P988, MATCH(E$2, Players!$A$1:$P$1, 0)), perc_75, VLOOKUP(E$2, Percentiles!$A$45:$I$59, 6, FALSE), perc_90, VLOOKUP(E$2, Percentiles!$A$45:$I$59, 7, FALSE), perc_95, VLOOKUP(E$2, Percentiles!$A$45:$I$59, 8, FALSE), perc_85, perc_75 + (perc_90 - perc_75) * (2/3), converted_stat, '2K_Ratings'!E989, IF(bbgm_stat &gt;= perc_95, converted_stat * 3, IF(bbgm_stat &gt;= perc_90, converted_stat * 2, IF(bbgm_stat &gt;= perc_85, converted_stat * 1.5, converted_stat)))))</f>
        <v/>
      </c>
      <c r="F989" s="30" t="str">
        <f t="array" ref="F989">IF($A989="", "", LET(bbgm_stat, INDEX(Players!$A988:$P988, MATCH(F$2, Players!$A$1:$P$1, 0)), perc_75, VLOOKUP(F$2, Percentiles!$A$45:$I$59, 6, FALSE), perc_90, VLOOKUP(F$2, Percentiles!$A$45:$I$59, 7, FALSE), perc_95, VLOOKUP(F$2, Percentiles!$A$45:$I$59, 8, FALSE), perc_85, perc_75 + (perc_90 - perc_75) * (2/3), converted_stat, '2K_Ratings'!F989, IF(bbgm_stat &gt;= perc_95, converted_stat * 3, IF(bbgm_stat &gt;= perc_90, converted_stat * 2, IF(bbgm_stat &gt;= perc_85, converted_stat * 1.5, converted_stat)))))</f>
        <v/>
      </c>
      <c r="G989" s="30" t="str">
        <f t="array" ref="G989">IF($A989="", "", LET(bbgm_stat, INDEX(Players!$A988:$P988, MATCH(G$2, Players!$A$1:$P$1, 0)), perc_75, VLOOKUP(G$2, Percentiles!$A$45:$I$59, 6, FALSE), perc_90, VLOOKUP(G$2, Percentiles!$A$45:$I$59, 7, FALSE), perc_95, VLOOKUP(G$2, Percentiles!$A$45:$I$59, 8, FALSE), perc_85, perc_75 + (perc_90 - perc_75) * (2/3), converted_stat, '2K_Ratings'!G989, IF(bbgm_stat &gt;= perc_95, converted_stat * 3, IF(bbgm_stat &gt;= perc_90, converted_stat * 2, IF(bbgm_stat &gt;= perc_85, converted_stat * 1.5, converted_stat)))))</f>
        <v/>
      </c>
      <c r="H989" s="30" t="str">
        <f t="array" ref="H989">IF($A989="", "", LET(bbgm_stat, INDEX(Players!$A988:$P988, MATCH(H$2, Players!$A$1:$P$1, 0)), perc_75, VLOOKUP(H$2, Percentiles!$A$45:$I$59, 6, FALSE), perc_90, VLOOKUP(H$2, Percentiles!$A$45:$I$59, 7, FALSE), perc_95, VLOOKUP(H$2, Percentiles!$A$45:$I$59, 8, FALSE), perc_85, perc_75 + (perc_90 - perc_75) * (2/3), converted_stat, '2K_Ratings'!H989, IF(bbgm_stat &gt;= perc_95, converted_stat * 3, IF(bbgm_stat &gt;= perc_90, converted_stat * 2, IF(bbgm_stat &gt;= perc_85, converted_stat * 1.5, converted_stat)))))</f>
        <v/>
      </c>
      <c r="I989" s="30" t="str">
        <f t="array" ref="I989">IF($A989="", "", LET(bbgm_stat, INDEX(Players!$A988:$P988, MATCH(I$2, Players!$A$1:$P$1, 0)), perc_75, VLOOKUP(I$2, Percentiles!$A$45:$I$59, 6, FALSE), perc_90, VLOOKUP(I$2, Percentiles!$A$45:$I$59, 7, FALSE), perc_95, VLOOKUP(I$2, Percentiles!$A$45:$I$59, 8, FALSE), perc_85, perc_75 + (perc_90 - perc_75) * (2/3), converted_stat, '2K_Ratings'!I989, IF(bbgm_stat &gt;= perc_95, converted_stat * 3, IF(bbgm_stat &gt;= perc_90, converted_stat * 2, IF(bbgm_stat &gt;= perc_85, converted_stat * 1.5, converted_stat)))))</f>
        <v/>
      </c>
      <c r="J989" s="30" t="str">
        <f t="array" ref="J989">IF($A989="", "", LET(bbgm_stat, INDEX(Players!$A988:$P988, MATCH(J$2, Players!$A$1:$P$1, 0)), perc_75, VLOOKUP(J$2, Percentiles!$A$45:$I$59, 6, FALSE), perc_90, VLOOKUP(J$2, Percentiles!$A$45:$I$59, 7, FALSE), perc_95, VLOOKUP(J$2, Percentiles!$A$45:$I$59, 8, FALSE), perc_85, perc_75 + (perc_90 - perc_75) * (2/3), converted_stat, '2K_Ratings'!J989, IF(bbgm_stat &gt;= perc_95, converted_stat * 3, IF(bbgm_stat &gt;= perc_90, converted_stat * 2, IF(bbgm_stat &gt;= perc_85, converted_stat * 1.5, converted_stat)))))</f>
        <v/>
      </c>
      <c r="K989" s="30" t="str">
        <f t="array" ref="K989">IF($A989="", "", LET(bbgm_stat, INDEX(Players!$A988:$P988, MATCH(K$2, Players!$A$1:$P$1, 0)), perc_75, VLOOKUP(K$2, Percentiles!$A$45:$I$59, 6, FALSE), perc_90, VLOOKUP(K$2, Percentiles!$A$45:$I$59, 7, FALSE), perc_95, VLOOKUP(K$2, Percentiles!$A$45:$I$59, 8, FALSE), perc_85, perc_75 + (perc_90 - perc_75) * (2/3), converted_stat, '2K_Ratings'!K989, IF(bbgm_stat &gt;= perc_95, converted_stat * 3, IF(bbgm_stat &gt;= perc_90, converted_stat * 2, IF(bbgm_stat &gt;= perc_85, converted_stat * 1.5, converted_stat)))))</f>
        <v/>
      </c>
      <c r="L989" s="30" t="str">
        <f t="array" ref="L989">IF($A989="", "", LET(bbgm_stat, INDEX(Players!$A988:$P988, MATCH(L$2, Players!$A$1:$P$1, 0)), perc_75, VLOOKUP(L$2, Percentiles!$A$45:$I$59, 6, FALSE), perc_90, VLOOKUP(L$2, Percentiles!$A$45:$I$59, 7, FALSE), perc_95, VLOOKUP(L$2, Percentiles!$A$45:$I$59, 8, FALSE), perc_85, perc_75 + (perc_90 - perc_75) * (2/3), converted_stat, '2K_Ratings'!L989, IF(bbgm_stat &gt;= perc_95, converted_stat * 3, IF(bbgm_stat &gt;= perc_90, converted_stat * 2, IF(bbgm_stat &gt;= perc_85, converted_stat * 1.5, converted_stat)))))</f>
        <v/>
      </c>
      <c r="M989" s="30" t="str">
        <f t="array" ref="M989">IF($A989="", "", LET(bbgm_stat, INDEX(Players!$A988:$P988, MATCH(M$2, Players!$A$1:$P$1, 0)), perc_75, VLOOKUP(M$2, Percentiles!$A$45:$I$59, 6, FALSE), perc_90, VLOOKUP(M$2, Percentiles!$A$45:$I$59, 7, FALSE), perc_95, VLOOKUP(M$2, Percentiles!$A$45:$I$59, 8, FALSE), perc_85, perc_75 + (perc_90 - perc_75) * (2/3), converted_stat, '2K_Ratings'!M989, IF(bbgm_stat &gt;= perc_95, converted_stat * 3, IF(bbgm_stat &gt;= perc_90, converted_stat * 2, IF(bbgm_stat &gt;= perc_85, converted_stat * 1.5, converted_stat)))))</f>
        <v/>
      </c>
      <c r="N989" s="30" t="str">
        <f t="array" ref="N989">IF($A989="", "", LET(bbgm_stat, INDEX(Players!$A988:$P988, MATCH(N$2, Players!$A$1:$P$1, 0)), perc_75, VLOOKUP(N$2, Percentiles!$A$45:$I$59, 6, FALSE), perc_90, VLOOKUP(N$2, Percentiles!$A$45:$I$59, 7, FALSE), perc_95, VLOOKUP(N$2, Percentiles!$A$45:$I$59, 8, FALSE), perc_85, perc_75 + (perc_90 - perc_75) * (2/3), converted_stat, '2K_Ratings'!N989, IF(bbgm_stat &gt;= perc_95, converted_stat * 3, IF(bbgm_stat &gt;= perc_90, converted_stat * 2, IF(bbgm_stat &gt;= perc_85, converted_stat * 1.5, converted_stat)))))</f>
        <v/>
      </c>
      <c r="O989" s="30" t="str">
        <f t="array" ref="O989">IF($A989="", "", LET(bbgm_stat, INDEX(Players!$A988:$P988, MATCH(O$2, Players!$A$1:$P$1, 0)), perc_75, VLOOKUP(O$2, Percentiles!$A$45:$I$59, 6, FALSE), perc_90, VLOOKUP(O$2, Percentiles!$A$45:$I$59, 7, FALSE), perc_95, VLOOKUP(O$2, Percentiles!$A$45:$I$59, 8, FALSE), perc_85, perc_75 + (perc_90 - perc_75) * (2/3), converted_stat, '2K_Ratings'!O989, IF(bbgm_stat &gt;= perc_95, converted_stat * 3, IF(bbgm_stat &gt;= perc_90, converted_stat * 2, IF(bbgm_stat &gt;= perc_85, converted_stat * 1.5, converted_stat)))))</f>
        <v/>
      </c>
      <c r="P989" s="30" t="str">
        <f t="array" ref="P989">IF($A989="", "", LET(bbgm_stat, INDEX(Players!$A988:$P988, MATCH(P$2, Players!$A$1:$P$1, 0)), perc_75, VLOOKUP(P$2, Percentiles!$A$45:$I$59, 6, FALSE), perc_90, VLOOKUP(P$2, Percentiles!$A$45:$I$59, 7, FALSE), perc_95, VLOOKUP(P$2, Percentiles!$A$45:$I$59, 8, FALSE), perc_85, perc_75 + (perc_90 - perc_75) * (2/3), converted_stat, '2K_Ratings'!P989, IF(bbgm_stat &gt;= perc_95, converted_stat * 3, IF(bbgm_stat &gt;= perc_90, converted_stat * 2, IF(bbgm_stat &gt;= perc_85, converted_stat * 1.5, converted_stat)))))</f>
        <v/>
      </c>
      <c r="Q989" s="30" t="str">
        <f t="array" ref="Q989">IF($A989="", "", LET(bbgm_stat, INDEX(Players!$A988:$P988, MATCH(Q$2, Players!$A$1:$P$1, 0)), perc_75, VLOOKUP(Q$2, Percentiles!$A$45:$I$59, 6, FALSE), perc_90, VLOOKUP(Q$2, Percentiles!$A$45:$I$59, 7, FALSE), perc_95, VLOOKUP(Q$2, Percentiles!$A$45:$I$59, 8, FALSE), perc_85, perc_75 + (perc_90 - perc_75) * (2/3), converted_stat, '2K_Ratings'!Q989, IF(bbgm_stat &gt;= perc_95, converted_stat * 3, IF(bbgm_stat &gt;= perc_90, converted_stat * 2, IF(bbgm_stat &gt;= perc_85, converted_stat * 1.5, converted_stat)))))</f>
        <v/>
      </c>
      <c r="R989" s="30" t="str">
        <f t="array" ref="R989">IF($A989="", "", LET(bbgm_stat, INDEX(Players!$A988:$P988, MATCH(R$2, Players!$A$1:$P$1, 0)), perc_75, VLOOKUP(R$2, Percentiles!$A$45:$I$59, 6, FALSE), perc_90, VLOOKUP(R$2, Percentiles!$A$45:$I$59, 7, FALSE), perc_95, VLOOKUP(R$2, Percentiles!$A$45:$I$59, 8, FALSE), perc_85, perc_75 + (perc_90 - perc_75) * (2/3), converted_stat, '2K_Ratings'!R989, IF(bbgm_stat &gt;= perc_95, converted_stat * 3, IF(bbgm_stat &gt;= perc_90, converted_stat * 2, IF(bbgm_stat &gt;= perc_85, converted_stat * 1.5, converted_stat)))))</f>
        <v/>
      </c>
      <c r="S989" s="30" t="str">
        <f t="array" ref="S989">IF($A989="", "", LET(bbgm_stat, INDEX(Players!$A988:$P988, MATCH(S$2, Players!$A$1:$P$1, 0)), perc_75, VLOOKUP(S$2, Percentiles!$A$45:$I$59, 6, FALSE), perc_90, VLOOKUP(S$2, Percentiles!$A$45:$I$59, 7, FALSE), perc_95, VLOOKUP(S$2, Percentiles!$A$45:$I$59, 8, FALSE), perc_85, perc_75 + (perc_90 - perc_75) * (2/3), converted_stat, '2K_Ratings'!S989, IF(bbgm_stat &gt;= perc_95, converted_stat * 3, IF(bbgm_stat &gt;= perc_90, converted_stat * 2, IF(bbgm_stat &gt;= perc_85, converted_stat * 1.5, converted_stat)))))</f>
        <v/>
      </c>
      <c r="T989" s="30" t="str">
        <f t="array" ref="T989">IF($A989="", "", LET(bbgm_stat, INDEX(Players!$A988:$P988, MATCH(T$2, Players!$A$1:$P$1, 0)), perc_75, VLOOKUP(T$2, Percentiles!$A$45:$I$59, 6, FALSE), perc_90, VLOOKUP(T$2, Percentiles!$A$45:$I$59, 7, FALSE), perc_95, VLOOKUP(T$2, Percentiles!$A$45:$I$59, 8, FALSE), perc_85, perc_75 + (perc_90 - perc_75) * (2/3), converted_stat, '2K_Ratings'!T989, IF(bbgm_stat &gt;= perc_95, converted_stat * 3, IF(bbgm_stat &gt;= perc_90, converted_stat * 2, IF(bbgm_stat &gt;= perc_85, converted_stat * 1.5, converted_stat)))))</f>
        <v/>
      </c>
      <c r="U989" s="30" t="str">
        <f t="array" ref="U989">IF($A989="", "", LET(bbgm_stat, INDEX(Players!$A988:$P988, MATCH(U$2, Players!$A$1:$P$1, 0)), perc_75, VLOOKUP(U$2, Percentiles!$A$45:$I$59, 6, FALSE), perc_90, VLOOKUP(U$2, Percentiles!$A$45:$I$59, 7, FALSE), perc_95, VLOOKUP(U$2, Percentiles!$A$45:$I$59, 8, FALSE), perc_85, perc_75 + (perc_90 - perc_75) * (2/3), converted_stat, '2K_Ratings'!U989, IF(bbgm_stat &gt;= perc_95, converted_stat * 3, IF(bbgm_stat &gt;= perc_90, converted_stat * 2, IF(bbgm_stat &gt;= perc_85, converted_stat * 1.5, converted_stat)))))</f>
        <v/>
      </c>
      <c r="V989" s="30" t="str">
        <f t="array" ref="V989">IF($A989="", "", LET(bbgm_stat, INDEX(Players!$A988:$P988, MATCH(V$2, Players!$A$1:$P$1, 0)), perc_75, VLOOKUP(V$2, Percentiles!$A$45:$I$59, 6, FALSE), perc_90, VLOOKUP(V$2, Percentiles!$A$45:$I$59, 7, FALSE), perc_95, VLOOKUP(V$2, Percentiles!$A$45:$I$59, 8, FALSE), perc_85, perc_75 + (perc_90 - perc_75) * (2/3), converted_stat, '2K_Ratings'!V989, IF(bbgm_stat &gt;= perc_95, converted_stat * 3, IF(bbgm_stat &gt;= perc_90, converted_stat * 2, IF(bbgm_stat &gt;= perc_85, converted_stat * 1.5, converted_stat)))))</f>
        <v/>
      </c>
      <c r="W989" s="30" t="str">
        <f t="array" ref="W989">IF($A989="", "", LET(bbgm_stat, INDEX(Players!$A988:$P988, MATCH(W$2, Players!$A$1:$P$1, 0)), perc_75, VLOOKUP(W$2, Percentiles!$A$45:$I$59, 6, FALSE), perc_90, VLOOKUP(W$2, Percentiles!$A$45:$I$59, 7, FALSE), perc_95, VLOOKUP(W$2, Percentiles!$A$45:$I$59, 8, FALSE), perc_85, perc_75 + (perc_90 - perc_75) * (2/3), converted_stat, '2K_Ratings'!W989, IF(bbgm_stat &gt;= perc_95, converted_stat * 3, IF(bbgm_stat &gt;= perc_90, converted_stat * 2, IF(bbgm_stat &gt;= perc_85, converted_stat * 1.5, converted_stat)))))</f>
        <v/>
      </c>
    </row>
    <row r="990">
      <c r="A990" s="30"/>
      <c r="B990" s="30" t="str">
        <f t="array" ref="B990">IF($A990="", "", LET(bbgm_stat, INDEX(Players!$A989:$P989, MATCH(B$2, Players!$A$1:$P$1, 0)), perc_75, VLOOKUP(B$2, Percentiles!$A$45:$I$59, 6, FALSE), perc_90, VLOOKUP(B$2, Percentiles!$A$45:$I$59, 7, FALSE), perc_95, VLOOKUP(B$2, Percentiles!$A$45:$I$59, 8, FALSE), perc_85, perc_75 + (perc_90 - perc_75) * (2/3), converted_stat, '2K_Ratings'!B990, IF(bbgm_stat &gt;= perc_95, converted_stat * 3, IF(bbgm_stat &gt;= perc_90, converted_stat * 2, IF(bbgm_stat &gt;= perc_85, converted_stat * 1.5, converted_stat)))))</f>
        <v/>
      </c>
      <c r="C990" s="30" t="str">
        <f t="array" ref="C990">IF($A990="", "", LET(bbgm_stat, INDEX(Players!$A989:$P989, MATCH(C$2, Players!$A$1:$P$1, 0)), perc_75, VLOOKUP(C$2, Percentiles!$A$45:$I$59, 6, FALSE), perc_90, VLOOKUP(C$2, Percentiles!$A$45:$I$59, 7, FALSE), perc_95, VLOOKUP(C$2, Percentiles!$A$45:$I$59, 8, FALSE), perc_85, perc_75 + (perc_90 - perc_75) * (2/3), converted_stat, '2K_Ratings'!C990, IF(bbgm_stat &gt;= perc_95, converted_stat * 3, IF(bbgm_stat &gt;= perc_90, converted_stat * 2, IF(bbgm_stat &gt;= perc_85, converted_stat * 1.5, converted_stat)))))</f>
        <v/>
      </c>
      <c r="D990" s="30" t="str">
        <f t="array" ref="D990">IF($A990="", "", LET(bbgm_stat, INDEX(Players!$A989:$P989, MATCH(D$2, Players!$A$1:$P$1, 0)), perc_75, VLOOKUP(D$2, Percentiles!$A$45:$I$59, 6, FALSE), perc_90, VLOOKUP(D$2, Percentiles!$A$45:$I$59, 7, FALSE), perc_95, VLOOKUP(D$2, Percentiles!$A$45:$I$59, 8, FALSE), perc_85, perc_75 + (perc_90 - perc_75) * (2/3), converted_stat, '2K_Ratings'!D990, IF(bbgm_stat &gt;= perc_95, converted_stat * 3, IF(bbgm_stat &gt;= perc_90, converted_stat * 2, IF(bbgm_stat &gt;= perc_85, converted_stat * 1.5, converted_stat)))))</f>
        <v/>
      </c>
      <c r="E990" s="30" t="str">
        <f t="array" ref="E990">IF($A990="", "", LET(bbgm_stat, INDEX(Players!$A989:$P989, MATCH(E$2, Players!$A$1:$P$1, 0)), perc_75, VLOOKUP(E$2, Percentiles!$A$45:$I$59, 6, FALSE), perc_90, VLOOKUP(E$2, Percentiles!$A$45:$I$59, 7, FALSE), perc_95, VLOOKUP(E$2, Percentiles!$A$45:$I$59, 8, FALSE), perc_85, perc_75 + (perc_90 - perc_75) * (2/3), converted_stat, '2K_Ratings'!E990, IF(bbgm_stat &gt;= perc_95, converted_stat * 3, IF(bbgm_stat &gt;= perc_90, converted_stat * 2, IF(bbgm_stat &gt;= perc_85, converted_stat * 1.5, converted_stat)))))</f>
        <v/>
      </c>
      <c r="F990" s="30" t="str">
        <f t="array" ref="F990">IF($A990="", "", LET(bbgm_stat, INDEX(Players!$A989:$P989, MATCH(F$2, Players!$A$1:$P$1, 0)), perc_75, VLOOKUP(F$2, Percentiles!$A$45:$I$59, 6, FALSE), perc_90, VLOOKUP(F$2, Percentiles!$A$45:$I$59, 7, FALSE), perc_95, VLOOKUP(F$2, Percentiles!$A$45:$I$59, 8, FALSE), perc_85, perc_75 + (perc_90 - perc_75) * (2/3), converted_stat, '2K_Ratings'!F990, IF(bbgm_stat &gt;= perc_95, converted_stat * 3, IF(bbgm_stat &gt;= perc_90, converted_stat * 2, IF(bbgm_stat &gt;= perc_85, converted_stat * 1.5, converted_stat)))))</f>
        <v/>
      </c>
      <c r="G990" s="30" t="str">
        <f t="array" ref="G990">IF($A990="", "", LET(bbgm_stat, INDEX(Players!$A989:$P989, MATCH(G$2, Players!$A$1:$P$1, 0)), perc_75, VLOOKUP(G$2, Percentiles!$A$45:$I$59, 6, FALSE), perc_90, VLOOKUP(G$2, Percentiles!$A$45:$I$59, 7, FALSE), perc_95, VLOOKUP(G$2, Percentiles!$A$45:$I$59, 8, FALSE), perc_85, perc_75 + (perc_90 - perc_75) * (2/3), converted_stat, '2K_Ratings'!G990, IF(bbgm_stat &gt;= perc_95, converted_stat * 3, IF(bbgm_stat &gt;= perc_90, converted_stat * 2, IF(bbgm_stat &gt;= perc_85, converted_stat * 1.5, converted_stat)))))</f>
        <v/>
      </c>
      <c r="H990" s="30" t="str">
        <f t="array" ref="H990">IF($A990="", "", LET(bbgm_stat, INDEX(Players!$A989:$P989, MATCH(H$2, Players!$A$1:$P$1, 0)), perc_75, VLOOKUP(H$2, Percentiles!$A$45:$I$59, 6, FALSE), perc_90, VLOOKUP(H$2, Percentiles!$A$45:$I$59, 7, FALSE), perc_95, VLOOKUP(H$2, Percentiles!$A$45:$I$59, 8, FALSE), perc_85, perc_75 + (perc_90 - perc_75) * (2/3), converted_stat, '2K_Ratings'!H990, IF(bbgm_stat &gt;= perc_95, converted_stat * 3, IF(bbgm_stat &gt;= perc_90, converted_stat * 2, IF(bbgm_stat &gt;= perc_85, converted_stat * 1.5, converted_stat)))))</f>
        <v/>
      </c>
      <c r="I990" s="30" t="str">
        <f t="array" ref="I990">IF($A990="", "", LET(bbgm_stat, INDEX(Players!$A989:$P989, MATCH(I$2, Players!$A$1:$P$1, 0)), perc_75, VLOOKUP(I$2, Percentiles!$A$45:$I$59, 6, FALSE), perc_90, VLOOKUP(I$2, Percentiles!$A$45:$I$59, 7, FALSE), perc_95, VLOOKUP(I$2, Percentiles!$A$45:$I$59, 8, FALSE), perc_85, perc_75 + (perc_90 - perc_75) * (2/3), converted_stat, '2K_Ratings'!I990, IF(bbgm_stat &gt;= perc_95, converted_stat * 3, IF(bbgm_stat &gt;= perc_90, converted_stat * 2, IF(bbgm_stat &gt;= perc_85, converted_stat * 1.5, converted_stat)))))</f>
        <v/>
      </c>
      <c r="J990" s="30" t="str">
        <f t="array" ref="J990">IF($A990="", "", LET(bbgm_stat, INDEX(Players!$A989:$P989, MATCH(J$2, Players!$A$1:$P$1, 0)), perc_75, VLOOKUP(J$2, Percentiles!$A$45:$I$59, 6, FALSE), perc_90, VLOOKUP(J$2, Percentiles!$A$45:$I$59, 7, FALSE), perc_95, VLOOKUP(J$2, Percentiles!$A$45:$I$59, 8, FALSE), perc_85, perc_75 + (perc_90 - perc_75) * (2/3), converted_stat, '2K_Ratings'!J990, IF(bbgm_stat &gt;= perc_95, converted_stat * 3, IF(bbgm_stat &gt;= perc_90, converted_stat * 2, IF(bbgm_stat &gt;= perc_85, converted_stat * 1.5, converted_stat)))))</f>
        <v/>
      </c>
      <c r="K990" s="30" t="str">
        <f t="array" ref="K990">IF($A990="", "", LET(bbgm_stat, INDEX(Players!$A989:$P989, MATCH(K$2, Players!$A$1:$P$1, 0)), perc_75, VLOOKUP(K$2, Percentiles!$A$45:$I$59, 6, FALSE), perc_90, VLOOKUP(K$2, Percentiles!$A$45:$I$59, 7, FALSE), perc_95, VLOOKUP(K$2, Percentiles!$A$45:$I$59, 8, FALSE), perc_85, perc_75 + (perc_90 - perc_75) * (2/3), converted_stat, '2K_Ratings'!K990, IF(bbgm_stat &gt;= perc_95, converted_stat * 3, IF(bbgm_stat &gt;= perc_90, converted_stat * 2, IF(bbgm_stat &gt;= perc_85, converted_stat * 1.5, converted_stat)))))</f>
        <v/>
      </c>
      <c r="L990" s="30" t="str">
        <f t="array" ref="L990">IF($A990="", "", LET(bbgm_stat, INDEX(Players!$A989:$P989, MATCH(L$2, Players!$A$1:$P$1, 0)), perc_75, VLOOKUP(L$2, Percentiles!$A$45:$I$59, 6, FALSE), perc_90, VLOOKUP(L$2, Percentiles!$A$45:$I$59, 7, FALSE), perc_95, VLOOKUP(L$2, Percentiles!$A$45:$I$59, 8, FALSE), perc_85, perc_75 + (perc_90 - perc_75) * (2/3), converted_stat, '2K_Ratings'!L990, IF(bbgm_stat &gt;= perc_95, converted_stat * 3, IF(bbgm_stat &gt;= perc_90, converted_stat * 2, IF(bbgm_stat &gt;= perc_85, converted_stat * 1.5, converted_stat)))))</f>
        <v/>
      </c>
      <c r="M990" s="30" t="str">
        <f t="array" ref="M990">IF($A990="", "", LET(bbgm_stat, INDEX(Players!$A989:$P989, MATCH(M$2, Players!$A$1:$P$1, 0)), perc_75, VLOOKUP(M$2, Percentiles!$A$45:$I$59, 6, FALSE), perc_90, VLOOKUP(M$2, Percentiles!$A$45:$I$59, 7, FALSE), perc_95, VLOOKUP(M$2, Percentiles!$A$45:$I$59, 8, FALSE), perc_85, perc_75 + (perc_90 - perc_75) * (2/3), converted_stat, '2K_Ratings'!M990, IF(bbgm_stat &gt;= perc_95, converted_stat * 3, IF(bbgm_stat &gt;= perc_90, converted_stat * 2, IF(bbgm_stat &gt;= perc_85, converted_stat * 1.5, converted_stat)))))</f>
        <v/>
      </c>
      <c r="N990" s="30" t="str">
        <f t="array" ref="N990">IF($A990="", "", LET(bbgm_stat, INDEX(Players!$A989:$P989, MATCH(N$2, Players!$A$1:$P$1, 0)), perc_75, VLOOKUP(N$2, Percentiles!$A$45:$I$59, 6, FALSE), perc_90, VLOOKUP(N$2, Percentiles!$A$45:$I$59, 7, FALSE), perc_95, VLOOKUP(N$2, Percentiles!$A$45:$I$59, 8, FALSE), perc_85, perc_75 + (perc_90 - perc_75) * (2/3), converted_stat, '2K_Ratings'!N990, IF(bbgm_stat &gt;= perc_95, converted_stat * 3, IF(bbgm_stat &gt;= perc_90, converted_stat * 2, IF(bbgm_stat &gt;= perc_85, converted_stat * 1.5, converted_stat)))))</f>
        <v/>
      </c>
      <c r="O990" s="30" t="str">
        <f t="array" ref="O990">IF($A990="", "", LET(bbgm_stat, INDEX(Players!$A989:$P989, MATCH(O$2, Players!$A$1:$P$1, 0)), perc_75, VLOOKUP(O$2, Percentiles!$A$45:$I$59, 6, FALSE), perc_90, VLOOKUP(O$2, Percentiles!$A$45:$I$59, 7, FALSE), perc_95, VLOOKUP(O$2, Percentiles!$A$45:$I$59, 8, FALSE), perc_85, perc_75 + (perc_90 - perc_75) * (2/3), converted_stat, '2K_Ratings'!O990, IF(bbgm_stat &gt;= perc_95, converted_stat * 3, IF(bbgm_stat &gt;= perc_90, converted_stat * 2, IF(bbgm_stat &gt;= perc_85, converted_stat * 1.5, converted_stat)))))</f>
        <v/>
      </c>
      <c r="P990" s="30" t="str">
        <f t="array" ref="P990">IF($A990="", "", LET(bbgm_stat, INDEX(Players!$A989:$P989, MATCH(P$2, Players!$A$1:$P$1, 0)), perc_75, VLOOKUP(P$2, Percentiles!$A$45:$I$59, 6, FALSE), perc_90, VLOOKUP(P$2, Percentiles!$A$45:$I$59, 7, FALSE), perc_95, VLOOKUP(P$2, Percentiles!$A$45:$I$59, 8, FALSE), perc_85, perc_75 + (perc_90 - perc_75) * (2/3), converted_stat, '2K_Ratings'!P990, IF(bbgm_stat &gt;= perc_95, converted_stat * 3, IF(bbgm_stat &gt;= perc_90, converted_stat * 2, IF(bbgm_stat &gt;= perc_85, converted_stat * 1.5, converted_stat)))))</f>
        <v/>
      </c>
      <c r="Q990" s="30" t="str">
        <f t="array" ref="Q990">IF($A990="", "", LET(bbgm_stat, INDEX(Players!$A989:$P989, MATCH(Q$2, Players!$A$1:$P$1, 0)), perc_75, VLOOKUP(Q$2, Percentiles!$A$45:$I$59, 6, FALSE), perc_90, VLOOKUP(Q$2, Percentiles!$A$45:$I$59, 7, FALSE), perc_95, VLOOKUP(Q$2, Percentiles!$A$45:$I$59, 8, FALSE), perc_85, perc_75 + (perc_90 - perc_75) * (2/3), converted_stat, '2K_Ratings'!Q990, IF(bbgm_stat &gt;= perc_95, converted_stat * 3, IF(bbgm_stat &gt;= perc_90, converted_stat * 2, IF(bbgm_stat &gt;= perc_85, converted_stat * 1.5, converted_stat)))))</f>
        <v/>
      </c>
      <c r="R990" s="30" t="str">
        <f t="array" ref="R990">IF($A990="", "", LET(bbgm_stat, INDEX(Players!$A989:$P989, MATCH(R$2, Players!$A$1:$P$1, 0)), perc_75, VLOOKUP(R$2, Percentiles!$A$45:$I$59, 6, FALSE), perc_90, VLOOKUP(R$2, Percentiles!$A$45:$I$59, 7, FALSE), perc_95, VLOOKUP(R$2, Percentiles!$A$45:$I$59, 8, FALSE), perc_85, perc_75 + (perc_90 - perc_75) * (2/3), converted_stat, '2K_Ratings'!R990, IF(bbgm_stat &gt;= perc_95, converted_stat * 3, IF(bbgm_stat &gt;= perc_90, converted_stat * 2, IF(bbgm_stat &gt;= perc_85, converted_stat * 1.5, converted_stat)))))</f>
        <v/>
      </c>
      <c r="S990" s="30" t="str">
        <f t="array" ref="S990">IF($A990="", "", LET(bbgm_stat, INDEX(Players!$A989:$P989, MATCH(S$2, Players!$A$1:$P$1, 0)), perc_75, VLOOKUP(S$2, Percentiles!$A$45:$I$59, 6, FALSE), perc_90, VLOOKUP(S$2, Percentiles!$A$45:$I$59, 7, FALSE), perc_95, VLOOKUP(S$2, Percentiles!$A$45:$I$59, 8, FALSE), perc_85, perc_75 + (perc_90 - perc_75) * (2/3), converted_stat, '2K_Ratings'!S990, IF(bbgm_stat &gt;= perc_95, converted_stat * 3, IF(bbgm_stat &gt;= perc_90, converted_stat * 2, IF(bbgm_stat &gt;= perc_85, converted_stat * 1.5, converted_stat)))))</f>
        <v/>
      </c>
      <c r="T990" s="30" t="str">
        <f t="array" ref="T990">IF($A990="", "", LET(bbgm_stat, INDEX(Players!$A989:$P989, MATCH(T$2, Players!$A$1:$P$1, 0)), perc_75, VLOOKUP(T$2, Percentiles!$A$45:$I$59, 6, FALSE), perc_90, VLOOKUP(T$2, Percentiles!$A$45:$I$59, 7, FALSE), perc_95, VLOOKUP(T$2, Percentiles!$A$45:$I$59, 8, FALSE), perc_85, perc_75 + (perc_90 - perc_75) * (2/3), converted_stat, '2K_Ratings'!T990, IF(bbgm_stat &gt;= perc_95, converted_stat * 3, IF(bbgm_stat &gt;= perc_90, converted_stat * 2, IF(bbgm_stat &gt;= perc_85, converted_stat * 1.5, converted_stat)))))</f>
        <v/>
      </c>
      <c r="U990" s="30" t="str">
        <f t="array" ref="U990">IF($A990="", "", LET(bbgm_stat, INDEX(Players!$A989:$P989, MATCH(U$2, Players!$A$1:$P$1, 0)), perc_75, VLOOKUP(U$2, Percentiles!$A$45:$I$59, 6, FALSE), perc_90, VLOOKUP(U$2, Percentiles!$A$45:$I$59, 7, FALSE), perc_95, VLOOKUP(U$2, Percentiles!$A$45:$I$59, 8, FALSE), perc_85, perc_75 + (perc_90 - perc_75) * (2/3), converted_stat, '2K_Ratings'!U990, IF(bbgm_stat &gt;= perc_95, converted_stat * 3, IF(bbgm_stat &gt;= perc_90, converted_stat * 2, IF(bbgm_stat &gt;= perc_85, converted_stat * 1.5, converted_stat)))))</f>
        <v/>
      </c>
      <c r="V990" s="30" t="str">
        <f t="array" ref="V990">IF($A990="", "", LET(bbgm_stat, INDEX(Players!$A989:$P989, MATCH(V$2, Players!$A$1:$P$1, 0)), perc_75, VLOOKUP(V$2, Percentiles!$A$45:$I$59, 6, FALSE), perc_90, VLOOKUP(V$2, Percentiles!$A$45:$I$59, 7, FALSE), perc_95, VLOOKUP(V$2, Percentiles!$A$45:$I$59, 8, FALSE), perc_85, perc_75 + (perc_90 - perc_75) * (2/3), converted_stat, '2K_Ratings'!V990, IF(bbgm_stat &gt;= perc_95, converted_stat * 3, IF(bbgm_stat &gt;= perc_90, converted_stat * 2, IF(bbgm_stat &gt;= perc_85, converted_stat * 1.5, converted_stat)))))</f>
        <v/>
      </c>
      <c r="W990" s="30" t="str">
        <f t="array" ref="W990">IF($A990="", "", LET(bbgm_stat, INDEX(Players!$A989:$P989, MATCH(W$2, Players!$A$1:$P$1, 0)), perc_75, VLOOKUP(W$2, Percentiles!$A$45:$I$59, 6, FALSE), perc_90, VLOOKUP(W$2, Percentiles!$A$45:$I$59, 7, FALSE), perc_95, VLOOKUP(W$2, Percentiles!$A$45:$I$59, 8, FALSE), perc_85, perc_75 + (perc_90 - perc_75) * (2/3), converted_stat, '2K_Ratings'!W990, IF(bbgm_stat &gt;= perc_95, converted_stat * 3, IF(bbgm_stat &gt;= perc_90, converted_stat * 2, IF(bbgm_stat &gt;= perc_85, converted_stat * 1.5, converted_stat)))))</f>
        <v/>
      </c>
    </row>
    <row r="991">
      <c r="A991" s="30"/>
      <c r="B991" s="30" t="str">
        <f t="array" ref="B991">IF($A991="", "", LET(bbgm_stat, INDEX(Players!$A990:$P990, MATCH(B$2, Players!$A$1:$P$1, 0)), perc_75, VLOOKUP(B$2, Percentiles!$A$45:$I$59, 6, FALSE), perc_90, VLOOKUP(B$2, Percentiles!$A$45:$I$59, 7, FALSE), perc_95, VLOOKUP(B$2, Percentiles!$A$45:$I$59, 8, FALSE), perc_85, perc_75 + (perc_90 - perc_75) * (2/3), converted_stat, '2K_Ratings'!B991, IF(bbgm_stat &gt;= perc_95, converted_stat * 3, IF(bbgm_stat &gt;= perc_90, converted_stat * 2, IF(bbgm_stat &gt;= perc_85, converted_stat * 1.5, converted_stat)))))</f>
        <v/>
      </c>
      <c r="C991" s="30" t="str">
        <f t="array" ref="C991">IF($A991="", "", LET(bbgm_stat, INDEX(Players!$A990:$P990, MATCH(C$2, Players!$A$1:$P$1, 0)), perc_75, VLOOKUP(C$2, Percentiles!$A$45:$I$59, 6, FALSE), perc_90, VLOOKUP(C$2, Percentiles!$A$45:$I$59, 7, FALSE), perc_95, VLOOKUP(C$2, Percentiles!$A$45:$I$59, 8, FALSE), perc_85, perc_75 + (perc_90 - perc_75) * (2/3), converted_stat, '2K_Ratings'!C991, IF(bbgm_stat &gt;= perc_95, converted_stat * 3, IF(bbgm_stat &gt;= perc_90, converted_stat * 2, IF(bbgm_stat &gt;= perc_85, converted_stat * 1.5, converted_stat)))))</f>
        <v/>
      </c>
      <c r="D991" s="30" t="str">
        <f t="array" ref="D991">IF($A991="", "", LET(bbgm_stat, INDEX(Players!$A990:$P990, MATCH(D$2, Players!$A$1:$P$1, 0)), perc_75, VLOOKUP(D$2, Percentiles!$A$45:$I$59, 6, FALSE), perc_90, VLOOKUP(D$2, Percentiles!$A$45:$I$59, 7, FALSE), perc_95, VLOOKUP(D$2, Percentiles!$A$45:$I$59, 8, FALSE), perc_85, perc_75 + (perc_90 - perc_75) * (2/3), converted_stat, '2K_Ratings'!D991, IF(bbgm_stat &gt;= perc_95, converted_stat * 3, IF(bbgm_stat &gt;= perc_90, converted_stat * 2, IF(bbgm_stat &gt;= perc_85, converted_stat * 1.5, converted_stat)))))</f>
        <v/>
      </c>
      <c r="E991" s="30" t="str">
        <f t="array" ref="E991">IF($A991="", "", LET(bbgm_stat, INDEX(Players!$A990:$P990, MATCH(E$2, Players!$A$1:$P$1, 0)), perc_75, VLOOKUP(E$2, Percentiles!$A$45:$I$59, 6, FALSE), perc_90, VLOOKUP(E$2, Percentiles!$A$45:$I$59, 7, FALSE), perc_95, VLOOKUP(E$2, Percentiles!$A$45:$I$59, 8, FALSE), perc_85, perc_75 + (perc_90 - perc_75) * (2/3), converted_stat, '2K_Ratings'!E991, IF(bbgm_stat &gt;= perc_95, converted_stat * 3, IF(bbgm_stat &gt;= perc_90, converted_stat * 2, IF(bbgm_stat &gt;= perc_85, converted_stat * 1.5, converted_stat)))))</f>
        <v/>
      </c>
      <c r="F991" s="30" t="str">
        <f t="array" ref="F991">IF($A991="", "", LET(bbgm_stat, INDEX(Players!$A990:$P990, MATCH(F$2, Players!$A$1:$P$1, 0)), perc_75, VLOOKUP(F$2, Percentiles!$A$45:$I$59, 6, FALSE), perc_90, VLOOKUP(F$2, Percentiles!$A$45:$I$59, 7, FALSE), perc_95, VLOOKUP(F$2, Percentiles!$A$45:$I$59, 8, FALSE), perc_85, perc_75 + (perc_90 - perc_75) * (2/3), converted_stat, '2K_Ratings'!F991, IF(bbgm_stat &gt;= perc_95, converted_stat * 3, IF(bbgm_stat &gt;= perc_90, converted_stat * 2, IF(bbgm_stat &gt;= perc_85, converted_stat * 1.5, converted_stat)))))</f>
        <v/>
      </c>
      <c r="G991" s="30" t="str">
        <f t="array" ref="G991">IF($A991="", "", LET(bbgm_stat, INDEX(Players!$A990:$P990, MATCH(G$2, Players!$A$1:$P$1, 0)), perc_75, VLOOKUP(G$2, Percentiles!$A$45:$I$59, 6, FALSE), perc_90, VLOOKUP(G$2, Percentiles!$A$45:$I$59, 7, FALSE), perc_95, VLOOKUP(G$2, Percentiles!$A$45:$I$59, 8, FALSE), perc_85, perc_75 + (perc_90 - perc_75) * (2/3), converted_stat, '2K_Ratings'!G991, IF(bbgm_stat &gt;= perc_95, converted_stat * 3, IF(bbgm_stat &gt;= perc_90, converted_stat * 2, IF(bbgm_stat &gt;= perc_85, converted_stat * 1.5, converted_stat)))))</f>
        <v/>
      </c>
      <c r="H991" s="30" t="str">
        <f t="array" ref="H991">IF($A991="", "", LET(bbgm_stat, INDEX(Players!$A990:$P990, MATCH(H$2, Players!$A$1:$P$1, 0)), perc_75, VLOOKUP(H$2, Percentiles!$A$45:$I$59, 6, FALSE), perc_90, VLOOKUP(H$2, Percentiles!$A$45:$I$59, 7, FALSE), perc_95, VLOOKUP(H$2, Percentiles!$A$45:$I$59, 8, FALSE), perc_85, perc_75 + (perc_90 - perc_75) * (2/3), converted_stat, '2K_Ratings'!H991, IF(bbgm_stat &gt;= perc_95, converted_stat * 3, IF(bbgm_stat &gt;= perc_90, converted_stat * 2, IF(bbgm_stat &gt;= perc_85, converted_stat * 1.5, converted_stat)))))</f>
        <v/>
      </c>
      <c r="I991" s="30" t="str">
        <f t="array" ref="I991">IF($A991="", "", LET(bbgm_stat, INDEX(Players!$A990:$P990, MATCH(I$2, Players!$A$1:$P$1, 0)), perc_75, VLOOKUP(I$2, Percentiles!$A$45:$I$59, 6, FALSE), perc_90, VLOOKUP(I$2, Percentiles!$A$45:$I$59, 7, FALSE), perc_95, VLOOKUP(I$2, Percentiles!$A$45:$I$59, 8, FALSE), perc_85, perc_75 + (perc_90 - perc_75) * (2/3), converted_stat, '2K_Ratings'!I991, IF(bbgm_stat &gt;= perc_95, converted_stat * 3, IF(bbgm_stat &gt;= perc_90, converted_stat * 2, IF(bbgm_stat &gt;= perc_85, converted_stat * 1.5, converted_stat)))))</f>
        <v/>
      </c>
      <c r="J991" s="30" t="str">
        <f t="array" ref="J991">IF($A991="", "", LET(bbgm_stat, INDEX(Players!$A990:$P990, MATCH(J$2, Players!$A$1:$P$1, 0)), perc_75, VLOOKUP(J$2, Percentiles!$A$45:$I$59, 6, FALSE), perc_90, VLOOKUP(J$2, Percentiles!$A$45:$I$59, 7, FALSE), perc_95, VLOOKUP(J$2, Percentiles!$A$45:$I$59, 8, FALSE), perc_85, perc_75 + (perc_90 - perc_75) * (2/3), converted_stat, '2K_Ratings'!J991, IF(bbgm_stat &gt;= perc_95, converted_stat * 3, IF(bbgm_stat &gt;= perc_90, converted_stat * 2, IF(bbgm_stat &gt;= perc_85, converted_stat * 1.5, converted_stat)))))</f>
        <v/>
      </c>
      <c r="K991" s="30" t="str">
        <f t="array" ref="K991">IF($A991="", "", LET(bbgm_stat, INDEX(Players!$A990:$P990, MATCH(K$2, Players!$A$1:$P$1, 0)), perc_75, VLOOKUP(K$2, Percentiles!$A$45:$I$59, 6, FALSE), perc_90, VLOOKUP(K$2, Percentiles!$A$45:$I$59, 7, FALSE), perc_95, VLOOKUP(K$2, Percentiles!$A$45:$I$59, 8, FALSE), perc_85, perc_75 + (perc_90 - perc_75) * (2/3), converted_stat, '2K_Ratings'!K991, IF(bbgm_stat &gt;= perc_95, converted_stat * 3, IF(bbgm_stat &gt;= perc_90, converted_stat * 2, IF(bbgm_stat &gt;= perc_85, converted_stat * 1.5, converted_stat)))))</f>
        <v/>
      </c>
      <c r="L991" s="30" t="str">
        <f t="array" ref="L991">IF($A991="", "", LET(bbgm_stat, INDEX(Players!$A990:$P990, MATCH(L$2, Players!$A$1:$P$1, 0)), perc_75, VLOOKUP(L$2, Percentiles!$A$45:$I$59, 6, FALSE), perc_90, VLOOKUP(L$2, Percentiles!$A$45:$I$59, 7, FALSE), perc_95, VLOOKUP(L$2, Percentiles!$A$45:$I$59, 8, FALSE), perc_85, perc_75 + (perc_90 - perc_75) * (2/3), converted_stat, '2K_Ratings'!L991, IF(bbgm_stat &gt;= perc_95, converted_stat * 3, IF(bbgm_stat &gt;= perc_90, converted_stat * 2, IF(bbgm_stat &gt;= perc_85, converted_stat * 1.5, converted_stat)))))</f>
        <v/>
      </c>
      <c r="M991" s="30" t="str">
        <f t="array" ref="M991">IF($A991="", "", LET(bbgm_stat, INDEX(Players!$A990:$P990, MATCH(M$2, Players!$A$1:$P$1, 0)), perc_75, VLOOKUP(M$2, Percentiles!$A$45:$I$59, 6, FALSE), perc_90, VLOOKUP(M$2, Percentiles!$A$45:$I$59, 7, FALSE), perc_95, VLOOKUP(M$2, Percentiles!$A$45:$I$59, 8, FALSE), perc_85, perc_75 + (perc_90 - perc_75) * (2/3), converted_stat, '2K_Ratings'!M991, IF(bbgm_stat &gt;= perc_95, converted_stat * 3, IF(bbgm_stat &gt;= perc_90, converted_stat * 2, IF(bbgm_stat &gt;= perc_85, converted_stat * 1.5, converted_stat)))))</f>
        <v/>
      </c>
      <c r="N991" s="30" t="str">
        <f t="array" ref="N991">IF($A991="", "", LET(bbgm_stat, INDEX(Players!$A990:$P990, MATCH(N$2, Players!$A$1:$P$1, 0)), perc_75, VLOOKUP(N$2, Percentiles!$A$45:$I$59, 6, FALSE), perc_90, VLOOKUP(N$2, Percentiles!$A$45:$I$59, 7, FALSE), perc_95, VLOOKUP(N$2, Percentiles!$A$45:$I$59, 8, FALSE), perc_85, perc_75 + (perc_90 - perc_75) * (2/3), converted_stat, '2K_Ratings'!N991, IF(bbgm_stat &gt;= perc_95, converted_stat * 3, IF(bbgm_stat &gt;= perc_90, converted_stat * 2, IF(bbgm_stat &gt;= perc_85, converted_stat * 1.5, converted_stat)))))</f>
        <v/>
      </c>
      <c r="O991" s="30" t="str">
        <f t="array" ref="O991">IF($A991="", "", LET(bbgm_stat, INDEX(Players!$A990:$P990, MATCH(O$2, Players!$A$1:$P$1, 0)), perc_75, VLOOKUP(O$2, Percentiles!$A$45:$I$59, 6, FALSE), perc_90, VLOOKUP(O$2, Percentiles!$A$45:$I$59, 7, FALSE), perc_95, VLOOKUP(O$2, Percentiles!$A$45:$I$59, 8, FALSE), perc_85, perc_75 + (perc_90 - perc_75) * (2/3), converted_stat, '2K_Ratings'!O991, IF(bbgm_stat &gt;= perc_95, converted_stat * 3, IF(bbgm_stat &gt;= perc_90, converted_stat * 2, IF(bbgm_stat &gt;= perc_85, converted_stat * 1.5, converted_stat)))))</f>
        <v/>
      </c>
      <c r="P991" s="30" t="str">
        <f t="array" ref="P991">IF($A991="", "", LET(bbgm_stat, INDEX(Players!$A990:$P990, MATCH(P$2, Players!$A$1:$P$1, 0)), perc_75, VLOOKUP(P$2, Percentiles!$A$45:$I$59, 6, FALSE), perc_90, VLOOKUP(P$2, Percentiles!$A$45:$I$59, 7, FALSE), perc_95, VLOOKUP(P$2, Percentiles!$A$45:$I$59, 8, FALSE), perc_85, perc_75 + (perc_90 - perc_75) * (2/3), converted_stat, '2K_Ratings'!P991, IF(bbgm_stat &gt;= perc_95, converted_stat * 3, IF(bbgm_stat &gt;= perc_90, converted_stat * 2, IF(bbgm_stat &gt;= perc_85, converted_stat * 1.5, converted_stat)))))</f>
        <v/>
      </c>
      <c r="Q991" s="30" t="str">
        <f t="array" ref="Q991">IF($A991="", "", LET(bbgm_stat, INDEX(Players!$A990:$P990, MATCH(Q$2, Players!$A$1:$P$1, 0)), perc_75, VLOOKUP(Q$2, Percentiles!$A$45:$I$59, 6, FALSE), perc_90, VLOOKUP(Q$2, Percentiles!$A$45:$I$59, 7, FALSE), perc_95, VLOOKUP(Q$2, Percentiles!$A$45:$I$59, 8, FALSE), perc_85, perc_75 + (perc_90 - perc_75) * (2/3), converted_stat, '2K_Ratings'!Q991, IF(bbgm_stat &gt;= perc_95, converted_stat * 3, IF(bbgm_stat &gt;= perc_90, converted_stat * 2, IF(bbgm_stat &gt;= perc_85, converted_stat * 1.5, converted_stat)))))</f>
        <v/>
      </c>
      <c r="R991" s="30" t="str">
        <f t="array" ref="R991">IF($A991="", "", LET(bbgm_stat, INDEX(Players!$A990:$P990, MATCH(R$2, Players!$A$1:$P$1, 0)), perc_75, VLOOKUP(R$2, Percentiles!$A$45:$I$59, 6, FALSE), perc_90, VLOOKUP(R$2, Percentiles!$A$45:$I$59, 7, FALSE), perc_95, VLOOKUP(R$2, Percentiles!$A$45:$I$59, 8, FALSE), perc_85, perc_75 + (perc_90 - perc_75) * (2/3), converted_stat, '2K_Ratings'!R991, IF(bbgm_stat &gt;= perc_95, converted_stat * 3, IF(bbgm_stat &gt;= perc_90, converted_stat * 2, IF(bbgm_stat &gt;= perc_85, converted_stat * 1.5, converted_stat)))))</f>
        <v/>
      </c>
      <c r="S991" s="30" t="str">
        <f t="array" ref="S991">IF($A991="", "", LET(bbgm_stat, INDEX(Players!$A990:$P990, MATCH(S$2, Players!$A$1:$P$1, 0)), perc_75, VLOOKUP(S$2, Percentiles!$A$45:$I$59, 6, FALSE), perc_90, VLOOKUP(S$2, Percentiles!$A$45:$I$59, 7, FALSE), perc_95, VLOOKUP(S$2, Percentiles!$A$45:$I$59, 8, FALSE), perc_85, perc_75 + (perc_90 - perc_75) * (2/3), converted_stat, '2K_Ratings'!S991, IF(bbgm_stat &gt;= perc_95, converted_stat * 3, IF(bbgm_stat &gt;= perc_90, converted_stat * 2, IF(bbgm_stat &gt;= perc_85, converted_stat * 1.5, converted_stat)))))</f>
        <v/>
      </c>
      <c r="T991" s="30" t="str">
        <f t="array" ref="T991">IF($A991="", "", LET(bbgm_stat, INDEX(Players!$A990:$P990, MATCH(T$2, Players!$A$1:$P$1, 0)), perc_75, VLOOKUP(T$2, Percentiles!$A$45:$I$59, 6, FALSE), perc_90, VLOOKUP(T$2, Percentiles!$A$45:$I$59, 7, FALSE), perc_95, VLOOKUP(T$2, Percentiles!$A$45:$I$59, 8, FALSE), perc_85, perc_75 + (perc_90 - perc_75) * (2/3), converted_stat, '2K_Ratings'!T991, IF(bbgm_stat &gt;= perc_95, converted_stat * 3, IF(bbgm_stat &gt;= perc_90, converted_stat * 2, IF(bbgm_stat &gt;= perc_85, converted_stat * 1.5, converted_stat)))))</f>
        <v/>
      </c>
      <c r="U991" s="30" t="str">
        <f t="array" ref="U991">IF($A991="", "", LET(bbgm_stat, INDEX(Players!$A990:$P990, MATCH(U$2, Players!$A$1:$P$1, 0)), perc_75, VLOOKUP(U$2, Percentiles!$A$45:$I$59, 6, FALSE), perc_90, VLOOKUP(U$2, Percentiles!$A$45:$I$59, 7, FALSE), perc_95, VLOOKUP(U$2, Percentiles!$A$45:$I$59, 8, FALSE), perc_85, perc_75 + (perc_90 - perc_75) * (2/3), converted_stat, '2K_Ratings'!U991, IF(bbgm_stat &gt;= perc_95, converted_stat * 3, IF(bbgm_stat &gt;= perc_90, converted_stat * 2, IF(bbgm_stat &gt;= perc_85, converted_stat * 1.5, converted_stat)))))</f>
        <v/>
      </c>
      <c r="V991" s="30" t="str">
        <f t="array" ref="V991">IF($A991="", "", LET(bbgm_stat, INDEX(Players!$A990:$P990, MATCH(V$2, Players!$A$1:$P$1, 0)), perc_75, VLOOKUP(V$2, Percentiles!$A$45:$I$59, 6, FALSE), perc_90, VLOOKUP(V$2, Percentiles!$A$45:$I$59, 7, FALSE), perc_95, VLOOKUP(V$2, Percentiles!$A$45:$I$59, 8, FALSE), perc_85, perc_75 + (perc_90 - perc_75) * (2/3), converted_stat, '2K_Ratings'!V991, IF(bbgm_stat &gt;= perc_95, converted_stat * 3, IF(bbgm_stat &gt;= perc_90, converted_stat * 2, IF(bbgm_stat &gt;= perc_85, converted_stat * 1.5, converted_stat)))))</f>
        <v/>
      </c>
      <c r="W991" s="30" t="str">
        <f t="array" ref="W991">IF($A991="", "", LET(bbgm_stat, INDEX(Players!$A990:$P990, MATCH(W$2, Players!$A$1:$P$1, 0)), perc_75, VLOOKUP(W$2, Percentiles!$A$45:$I$59, 6, FALSE), perc_90, VLOOKUP(W$2, Percentiles!$A$45:$I$59, 7, FALSE), perc_95, VLOOKUP(W$2, Percentiles!$A$45:$I$59, 8, FALSE), perc_85, perc_75 + (perc_90 - perc_75) * (2/3), converted_stat, '2K_Ratings'!W991, IF(bbgm_stat &gt;= perc_95, converted_stat * 3, IF(bbgm_stat &gt;= perc_90, converted_stat * 2, IF(bbgm_stat &gt;= perc_85, converted_stat * 1.5, converted_stat)))))</f>
        <v/>
      </c>
    </row>
    <row r="992">
      <c r="A992" s="30"/>
      <c r="B992" s="30" t="str">
        <f t="array" ref="B992">IF($A992="", "", LET(bbgm_stat, INDEX(Players!$A991:$P991, MATCH(B$2, Players!$A$1:$P$1, 0)), perc_75, VLOOKUP(B$2, Percentiles!$A$45:$I$59, 6, FALSE), perc_90, VLOOKUP(B$2, Percentiles!$A$45:$I$59, 7, FALSE), perc_95, VLOOKUP(B$2, Percentiles!$A$45:$I$59, 8, FALSE), perc_85, perc_75 + (perc_90 - perc_75) * (2/3), converted_stat, '2K_Ratings'!B992, IF(bbgm_stat &gt;= perc_95, converted_stat * 3, IF(bbgm_stat &gt;= perc_90, converted_stat * 2, IF(bbgm_stat &gt;= perc_85, converted_stat * 1.5, converted_stat)))))</f>
        <v/>
      </c>
      <c r="C992" s="30" t="str">
        <f t="array" ref="C992">IF($A992="", "", LET(bbgm_stat, INDEX(Players!$A991:$P991, MATCH(C$2, Players!$A$1:$P$1, 0)), perc_75, VLOOKUP(C$2, Percentiles!$A$45:$I$59, 6, FALSE), perc_90, VLOOKUP(C$2, Percentiles!$A$45:$I$59, 7, FALSE), perc_95, VLOOKUP(C$2, Percentiles!$A$45:$I$59, 8, FALSE), perc_85, perc_75 + (perc_90 - perc_75) * (2/3), converted_stat, '2K_Ratings'!C992, IF(bbgm_stat &gt;= perc_95, converted_stat * 3, IF(bbgm_stat &gt;= perc_90, converted_stat * 2, IF(bbgm_stat &gt;= perc_85, converted_stat * 1.5, converted_stat)))))</f>
        <v/>
      </c>
      <c r="D992" s="30" t="str">
        <f t="array" ref="D992">IF($A992="", "", LET(bbgm_stat, INDEX(Players!$A991:$P991, MATCH(D$2, Players!$A$1:$P$1, 0)), perc_75, VLOOKUP(D$2, Percentiles!$A$45:$I$59, 6, FALSE), perc_90, VLOOKUP(D$2, Percentiles!$A$45:$I$59, 7, FALSE), perc_95, VLOOKUP(D$2, Percentiles!$A$45:$I$59, 8, FALSE), perc_85, perc_75 + (perc_90 - perc_75) * (2/3), converted_stat, '2K_Ratings'!D992, IF(bbgm_stat &gt;= perc_95, converted_stat * 3, IF(bbgm_stat &gt;= perc_90, converted_stat * 2, IF(bbgm_stat &gt;= perc_85, converted_stat * 1.5, converted_stat)))))</f>
        <v/>
      </c>
      <c r="E992" s="30" t="str">
        <f t="array" ref="E992">IF($A992="", "", LET(bbgm_stat, INDEX(Players!$A991:$P991, MATCH(E$2, Players!$A$1:$P$1, 0)), perc_75, VLOOKUP(E$2, Percentiles!$A$45:$I$59, 6, FALSE), perc_90, VLOOKUP(E$2, Percentiles!$A$45:$I$59, 7, FALSE), perc_95, VLOOKUP(E$2, Percentiles!$A$45:$I$59, 8, FALSE), perc_85, perc_75 + (perc_90 - perc_75) * (2/3), converted_stat, '2K_Ratings'!E992, IF(bbgm_stat &gt;= perc_95, converted_stat * 3, IF(bbgm_stat &gt;= perc_90, converted_stat * 2, IF(bbgm_stat &gt;= perc_85, converted_stat * 1.5, converted_stat)))))</f>
        <v/>
      </c>
      <c r="F992" s="30" t="str">
        <f t="array" ref="F992">IF($A992="", "", LET(bbgm_stat, INDEX(Players!$A991:$P991, MATCH(F$2, Players!$A$1:$P$1, 0)), perc_75, VLOOKUP(F$2, Percentiles!$A$45:$I$59, 6, FALSE), perc_90, VLOOKUP(F$2, Percentiles!$A$45:$I$59, 7, FALSE), perc_95, VLOOKUP(F$2, Percentiles!$A$45:$I$59, 8, FALSE), perc_85, perc_75 + (perc_90 - perc_75) * (2/3), converted_stat, '2K_Ratings'!F992, IF(bbgm_stat &gt;= perc_95, converted_stat * 3, IF(bbgm_stat &gt;= perc_90, converted_stat * 2, IF(bbgm_stat &gt;= perc_85, converted_stat * 1.5, converted_stat)))))</f>
        <v/>
      </c>
      <c r="G992" s="30" t="str">
        <f t="array" ref="G992">IF($A992="", "", LET(bbgm_stat, INDEX(Players!$A991:$P991, MATCH(G$2, Players!$A$1:$P$1, 0)), perc_75, VLOOKUP(G$2, Percentiles!$A$45:$I$59, 6, FALSE), perc_90, VLOOKUP(G$2, Percentiles!$A$45:$I$59, 7, FALSE), perc_95, VLOOKUP(G$2, Percentiles!$A$45:$I$59, 8, FALSE), perc_85, perc_75 + (perc_90 - perc_75) * (2/3), converted_stat, '2K_Ratings'!G992, IF(bbgm_stat &gt;= perc_95, converted_stat * 3, IF(bbgm_stat &gt;= perc_90, converted_stat * 2, IF(bbgm_stat &gt;= perc_85, converted_stat * 1.5, converted_stat)))))</f>
        <v/>
      </c>
      <c r="H992" s="30" t="str">
        <f t="array" ref="H992">IF($A992="", "", LET(bbgm_stat, INDEX(Players!$A991:$P991, MATCH(H$2, Players!$A$1:$P$1, 0)), perc_75, VLOOKUP(H$2, Percentiles!$A$45:$I$59, 6, FALSE), perc_90, VLOOKUP(H$2, Percentiles!$A$45:$I$59, 7, FALSE), perc_95, VLOOKUP(H$2, Percentiles!$A$45:$I$59, 8, FALSE), perc_85, perc_75 + (perc_90 - perc_75) * (2/3), converted_stat, '2K_Ratings'!H992, IF(bbgm_stat &gt;= perc_95, converted_stat * 3, IF(bbgm_stat &gt;= perc_90, converted_stat * 2, IF(bbgm_stat &gt;= perc_85, converted_stat * 1.5, converted_stat)))))</f>
        <v/>
      </c>
      <c r="I992" s="30" t="str">
        <f t="array" ref="I992">IF($A992="", "", LET(bbgm_stat, INDEX(Players!$A991:$P991, MATCH(I$2, Players!$A$1:$P$1, 0)), perc_75, VLOOKUP(I$2, Percentiles!$A$45:$I$59, 6, FALSE), perc_90, VLOOKUP(I$2, Percentiles!$A$45:$I$59, 7, FALSE), perc_95, VLOOKUP(I$2, Percentiles!$A$45:$I$59, 8, FALSE), perc_85, perc_75 + (perc_90 - perc_75) * (2/3), converted_stat, '2K_Ratings'!I992, IF(bbgm_stat &gt;= perc_95, converted_stat * 3, IF(bbgm_stat &gt;= perc_90, converted_stat * 2, IF(bbgm_stat &gt;= perc_85, converted_stat * 1.5, converted_stat)))))</f>
        <v/>
      </c>
      <c r="J992" s="30" t="str">
        <f t="array" ref="J992">IF($A992="", "", LET(bbgm_stat, INDEX(Players!$A991:$P991, MATCH(J$2, Players!$A$1:$P$1, 0)), perc_75, VLOOKUP(J$2, Percentiles!$A$45:$I$59, 6, FALSE), perc_90, VLOOKUP(J$2, Percentiles!$A$45:$I$59, 7, FALSE), perc_95, VLOOKUP(J$2, Percentiles!$A$45:$I$59, 8, FALSE), perc_85, perc_75 + (perc_90 - perc_75) * (2/3), converted_stat, '2K_Ratings'!J992, IF(bbgm_stat &gt;= perc_95, converted_stat * 3, IF(bbgm_stat &gt;= perc_90, converted_stat * 2, IF(bbgm_stat &gt;= perc_85, converted_stat * 1.5, converted_stat)))))</f>
        <v/>
      </c>
      <c r="K992" s="30" t="str">
        <f t="array" ref="K992">IF($A992="", "", LET(bbgm_stat, INDEX(Players!$A991:$P991, MATCH(K$2, Players!$A$1:$P$1, 0)), perc_75, VLOOKUP(K$2, Percentiles!$A$45:$I$59, 6, FALSE), perc_90, VLOOKUP(K$2, Percentiles!$A$45:$I$59, 7, FALSE), perc_95, VLOOKUP(K$2, Percentiles!$A$45:$I$59, 8, FALSE), perc_85, perc_75 + (perc_90 - perc_75) * (2/3), converted_stat, '2K_Ratings'!K992, IF(bbgm_stat &gt;= perc_95, converted_stat * 3, IF(bbgm_stat &gt;= perc_90, converted_stat * 2, IF(bbgm_stat &gt;= perc_85, converted_stat * 1.5, converted_stat)))))</f>
        <v/>
      </c>
      <c r="L992" s="30" t="str">
        <f t="array" ref="L992">IF($A992="", "", LET(bbgm_stat, INDEX(Players!$A991:$P991, MATCH(L$2, Players!$A$1:$P$1, 0)), perc_75, VLOOKUP(L$2, Percentiles!$A$45:$I$59, 6, FALSE), perc_90, VLOOKUP(L$2, Percentiles!$A$45:$I$59, 7, FALSE), perc_95, VLOOKUP(L$2, Percentiles!$A$45:$I$59, 8, FALSE), perc_85, perc_75 + (perc_90 - perc_75) * (2/3), converted_stat, '2K_Ratings'!L992, IF(bbgm_stat &gt;= perc_95, converted_stat * 3, IF(bbgm_stat &gt;= perc_90, converted_stat * 2, IF(bbgm_stat &gt;= perc_85, converted_stat * 1.5, converted_stat)))))</f>
        <v/>
      </c>
      <c r="M992" s="30" t="str">
        <f t="array" ref="M992">IF($A992="", "", LET(bbgm_stat, INDEX(Players!$A991:$P991, MATCH(M$2, Players!$A$1:$P$1, 0)), perc_75, VLOOKUP(M$2, Percentiles!$A$45:$I$59, 6, FALSE), perc_90, VLOOKUP(M$2, Percentiles!$A$45:$I$59, 7, FALSE), perc_95, VLOOKUP(M$2, Percentiles!$A$45:$I$59, 8, FALSE), perc_85, perc_75 + (perc_90 - perc_75) * (2/3), converted_stat, '2K_Ratings'!M992, IF(bbgm_stat &gt;= perc_95, converted_stat * 3, IF(bbgm_stat &gt;= perc_90, converted_stat * 2, IF(bbgm_stat &gt;= perc_85, converted_stat * 1.5, converted_stat)))))</f>
        <v/>
      </c>
      <c r="N992" s="30" t="str">
        <f t="array" ref="N992">IF($A992="", "", LET(bbgm_stat, INDEX(Players!$A991:$P991, MATCH(N$2, Players!$A$1:$P$1, 0)), perc_75, VLOOKUP(N$2, Percentiles!$A$45:$I$59, 6, FALSE), perc_90, VLOOKUP(N$2, Percentiles!$A$45:$I$59, 7, FALSE), perc_95, VLOOKUP(N$2, Percentiles!$A$45:$I$59, 8, FALSE), perc_85, perc_75 + (perc_90 - perc_75) * (2/3), converted_stat, '2K_Ratings'!N992, IF(bbgm_stat &gt;= perc_95, converted_stat * 3, IF(bbgm_stat &gt;= perc_90, converted_stat * 2, IF(bbgm_stat &gt;= perc_85, converted_stat * 1.5, converted_stat)))))</f>
        <v/>
      </c>
      <c r="O992" s="30" t="str">
        <f t="array" ref="O992">IF($A992="", "", LET(bbgm_stat, INDEX(Players!$A991:$P991, MATCH(O$2, Players!$A$1:$P$1, 0)), perc_75, VLOOKUP(O$2, Percentiles!$A$45:$I$59, 6, FALSE), perc_90, VLOOKUP(O$2, Percentiles!$A$45:$I$59, 7, FALSE), perc_95, VLOOKUP(O$2, Percentiles!$A$45:$I$59, 8, FALSE), perc_85, perc_75 + (perc_90 - perc_75) * (2/3), converted_stat, '2K_Ratings'!O992, IF(bbgm_stat &gt;= perc_95, converted_stat * 3, IF(bbgm_stat &gt;= perc_90, converted_stat * 2, IF(bbgm_stat &gt;= perc_85, converted_stat * 1.5, converted_stat)))))</f>
        <v/>
      </c>
      <c r="P992" s="30" t="str">
        <f t="array" ref="P992">IF($A992="", "", LET(bbgm_stat, INDEX(Players!$A991:$P991, MATCH(P$2, Players!$A$1:$P$1, 0)), perc_75, VLOOKUP(P$2, Percentiles!$A$45:$I$59, 6, FALSE), perc_90, VLOOKUP(P$2, Percentiles!$A$45:$I$59, 7, FALSE), perc_95, VLOOKUP(P$2, Percentiles!$A$45:$I$59, 8, FALSE), perc_85, perc_75 + (perc_90 - perc_75) * (2/3), converted_stat, '2K_Ratings'!P992, IF(bbgm_stat &gt;= perc_95, converted_stat * 3, IF(bbgm_stat &gt;= perc_90, converted_stat * 2, IF(bbgm_stat &gt;= perc_85, converted_stat * 1.5, converted_stat)))))</f>
        <v/>
      </c>
      <c r="Q992" s="30" t="str">
        <f t="array" ref="Q992">IF($A992="", "", LET(bbgm_stat, INDEX(Players!$A991:$P991, MATCH(Q$2, Players!$A$1:$P$1, 0)), perc_75, VLOOKUP(Q$2, Percentiles!$A$45:$I$59, 6, FALSE), perc_90, VLOOKUP(Q$2, Percentiles!$A$45:$I$59, 7, FALSE), perc_95, VLOOKUP(Q$2, Percentiles!$A$45:$I$59, 8, FALSE), perc_85, perc_75 + (perc_90 - perc_75) * (2/3), converted_stat, '2K_Ratings'!Q992, IF(bbgm_stat &gt;= perc_95, converted_stat * 3, IF(bbgm_stat &gt;= perc_90, converted_stat * 2, IF(bbgm_stat &gt;= perc_85, converted_stat * 1.5, converted_stat)))))</f>
        <v/>
      </c>
      <c r="R992" s="30" t="str">
        <f t="array" ref="R992">IF($A992="", "", LET(bbgm_stat, INDEX(Players!$A991:$P991, MATCH(R$2, Players!$A$1:$P$1, 0)), perc_75, VLOOKUP(R$2, Percentiles!$A$45:$I$59, 6, FALSE), perc_90, VLOOKUP(R$2, Percentiles!$A$45:$I$59, 7, FALSE), perc_95, VLOOKUP(R$2, Percentiles!$A$45:$I$59, 8, FALSE), perc_85, perc_75 + (perc_90 - perc_75) * (2/3), converted_stat, '2K_Ratings'!R992, IF(bbgm_stat &gt;= perc_95, converted_stat * 3, IF(bbgm_stat &gt;= perc_90, converted_stat * 2, IF(bbgm_stat &gt;= perc_85, converted_stat * 1.5, converted_stat)))))</f>
        <v/>
      </c>
      <c r="S992" s="30" t="str">
        <f t="array" ref="S992">IF($A992="", "", LET(bbgm_stat, INDEX(Players!$A991:$P991, MATCH(S$2, Players!$A$1:$P$1, 0)), perc_75, VLOOKUP(S$2, Percentiles!$A$45:$I$59, 6, FALSE), perc_90, VLOOKUP(S$2, Percentiles!$A$45:$I$59, 7, FALSE), perc_95, VLOOKUP(S$2, Percentiles!$A$45:$I$59, 8, FALSE), perc_85, perc_75 + (perc_90 - perc_75) * (2/3), converted_stat, '2K_Ratings'!S992, IF(bbgm_stat &gt;= perc_95, converted_stat * 3, IF(bbgm_stat &gt;= perc_90, converted_stat * 2, IF(bbgm_stat &gt;= perc_85, converted_stat * 1.5, converted_stat)))))</f>
        <v/>
      </c>
      <c r="T992" s="30" t="str">
        <f t="array" ref="T992">IF($A992="", "", LET(bbgm_stat, INDEX(Players!$A991:$P991, MATCH(T$2, Players!$A$1:$P$1, 0)), perc_75, VLOOKUP(T$2, Percentiles!$A$45:$I$59, 6, FALSE), perc_90, VLOOKUP(T$2, Percentiles!$A$45:$I$59, 7, FALSE), perc_95, VLOOKUP(T$2, Percentiles!$A$45:$I$59, 8, FALSE), perc_85, perc_75 + (perc_90 - perc_75) * (2/3), converted_stat, '2K_Ratings'!T992, IF(bbgm_stat &gt;= perc_95, converted_stat * 3, IF(bbgm_stat &gt;= perc_90, converted_stat * 2, IF(bbgm_stat &gt;= perc_85, converted_stat * 1.5, converted_stat)))))</f>
        <v/>
      </c>
      <c r="U992" s="30" t="str">
        <f t="array" ref="U992">IF($A992="", "", LET(bbgm_stat, INDEX(Players!$A991:$P991, MATCH(U$2, Players!$A$1:$P$1, 0)), perc_75, VLOOKUP(U$2, Percentiles!$A$45:$I$59, 6, FALSE), perc_90, VLOOKUP(U$2, Percentiles!$A$45:$I$59, 7, FALSE), perc_95, VLOOKUP(U$2, Percentiles!$A$45:$I$59, 8, FALSE), perc_85, perc_75 + (perc_90 - perc_75) * (2/3), converted_stat, '2K_Ratings'!U992, IF(bbgm_stat &gt;= perc_95, converted_stat * 3, IF(bbgm_stat &gt;= perc_90, converted_stat * 2, IF(bbgm_stat &gt;= perc_85, converted_stat * 1.5, converted_stat)))))</f>
        <v/>
      </c>
      <c r="V992" s="30" t="str">
        <f t="array" ref="V992">IF($A992="", "", LET(bbgm_stat, INDEX(Players!$A991:$P991, MATCH(V$2, Players!$A$1:$P$1, 0)), perc_75, VLOOKUP(V$2, Percentiles!$A$45:$I$59, 6, FALSE), perc_90, VLOOKUP(V$2, Percentiles!$A$45:$I$59, 7, FALSE), perc_95, VLOOKUP(V$2, Percentiles!$A$45:$I$59, 8, FALSE), perc_85, perc_75 + (perc_90 - perc_75) * (2/3), converted_stat, '2K_Ratings'!V992, IF(bbgm_stat &gt;= perc_95, converted_stat * 3, IF(bbgm_stat &gt;= perc_90, converted_stat * 2, IF(bbgm_stat &gt;= perc_85, converted_stat * 1.5, converted_stat)))))</f>
        <v/>
      </c>
      <c r="W992" s="30" t="str">
        <f t="array" ref="W992">IF($A992="", "", LET(bbgm_stat, INDEX(Players!$A991:$P991, MATCH(W$2, Players!$A$1:$P$1, 0)), perc_75, VLOOKUP(W$2, Percentiles!$A$45:$I$59, 6, FALSE), perc_90, VLOOKUP(W$2, Percentiles!$A$45:$I$59, 7, FALSE), perc_95, VLOOKUP(W$2, Percentiles!$A$45:$I$59, 8, FALSE), perc_85, perc_75 + (perc_90 - perc_75) * (2/3), converted_stat, '2K_Ratings'!W992, IF(bbgm_stat &gt;= perc_95, converted_stat * 3, IF(bbgm_stat &gt;= perc_90, converted_stat * 2, IF(bbgm_stat &gt;= perc_85, converted_stat * 1.5, converted_stat)))))</f>
        <v/>
      </c>
    </row>
    <row r="993">
      <c r="A993" s="30"/>
      <c r="B993" s="30" t="str">
        <f t="array" ref="B993">IF($A993="", "", LET(bbgm_stat, INDEX(Players!$A992:$P992, MATCH(B$2, Players!$A$1:$P$1, 0)), perc_75, VLOOKUP(B$2, Percentiles!$A$45:$I$59, 6, FALSE), perc_90, VLOOKUP(B$2, Percentiles!$A$45:$I$59, 7, FALSE), perc_95, VLOOKUP(B$2, Percentiles!$A$45:$I$59, 8, FALSE), perc_85, perc_75 + (perc_90 - perc_75) * (2/3), converted_stat, '2K_Ratings'!B993, IF(bbgm_stat &gt;= perc_95, converted_stat * 3, IF(bbgm_stat &gt;= perc_90, converted_stat * 2, IF(bbgm_stat &gt;= perc_85, converted_stat * 1.5, converted_stat)))))</f>
        <v/>
      </c>
      <c r="C993" s="30" t="str">
        <f t="array" ref="C993">IF($A993="", "", LET(bbgm_stat, INDEX(Players!$A992:$P992, MATCH(C$2, Players!$A$1:$P$1, 0)), perc_75, VLOOKUP(C$2, Percentiles!$A$45:$I$59, 6, FALSE), perc_90, VLOOKUP(C$2, Percentiles!$A$45:$I$59, 7, FALSE), perc_95, VLOOKUP(C$2, Percentiles!$A$45:$I$59, 8, FALSE), perc_85, perc_75 + (perc_90 - perc_75) * (2/3), converted_stat, '2K_Ratings'!C993, IF(bbgm_stat &gt;= perc_95, converted_stat * 3, IF(bbgm_stat &gt;= perc_90, converted_stat * 2, IF(bbgm_stat &gt;= perc_85, converted_stat * 1.5, converted_stat)))))</f>
        <v/>
      </c>
      <c r="D993" s="30" t="str">
        <f t="array" ref="D993">IF($A993="", "", LET(bbgm_stat, INDEX(Players!$A992:$P992, MATCH(D$2, Players!$A$1:$P$1, 0)), perc_75, VLOOKUP(D$2, Percentiles!$A$45:$I$59, 6, FALSE), perc_90, VLOOKUP(D$2, Percentiles!$A$45:$I$59, 7, FALSE), perc_95, VLOOKUP(D$2, Percentiles!$A$45:$I$59, 8, FALSE), perc_85, perc_75 + (perc_90 - perc_75) * (2/3), converted_stat, '2K_Ratings'!D993, IF(bbgm_stat &gt;= perc_95, converted_stat * 3, IF(bbgm_stat &gt;= perc_90, converted_stat * 2, IF(bbgm_stat &gt;= perc_85, converted_stat * 1.5, converted_stat)))))</f>
        <v/>
      </c>
      <c r="E993" s="30" t="str">
        <f t="array" ref="E993">IF($A993="", "", LET(bbgm_stat, INDEX(Players!$A992:$P992, MATCH(E$2, Players!$A$1:$P$1, 0)), perc_75, VLOOKUP(E$2, Percentiles!$A$45:$I$59, 6, FALSE), perc_90, VLOOKUP(E$2, Percentiles!$A$45:$I$59, 7, FALSE), perc_95, VLOOKUP(E$2, Percentiles!$A$45:$I$59, 8, FALSE), perc_85, perc_75 + (perc_90 - perc_75) * (2/3), converted_stat, '2K_Ratings'!E993, IF(bbgm_stat &gt;= perc_95, converted_stat * 3, IF(bbgm_stat &gt;= perc_90, converted_stat * 2, IF(bbgm_stat &gt;= perc_85, converted_stat * 1.5, converted_stat)))))</f>
        <v/>
      </c>
      <c r="F993" s="30" t="str">
        <f t="array" ref="F993">IF($A993="", "", LET(bbgm_stat, INDEX(Players!$A992:$P992, MATCH(F$2, Players!$A$1:$P$1, 0)), perc_75, VLOOKUP(F$2, Percentiles!$A$45:$I$59, 6, FALSE), perc_90, VLOOKUP(F$2, Percentiles!$A$45:$I$59, 7, FALSE), perc_95, VLOOKUP(F$2, Percentiles!$A$45:$I$59, 8, FALSE), perc_85, perc_75 + (perc_90 - perc_75) * (2/3), converted_stat, '2K_Ratings'!F993, IF(bbgm_stat &gt;= perc_95, converted_stat * 3, IF(bbgm_stat &gt;= perc_90, converted_stat * 2, IF(bbgm_stat &gt;= perc_85, converted_stat * 1.5, converted_stat)))))</f>
        <v/>
      </c>
      <c r="G993" s="30" t="str">
        <f t="array" ref="G993">IF($A993="", "", LET(bbgm_stat, INDEX(Players!$A992:$P992, MATCH(G$2, Players!$A$1:$P$1, 0)), perc_75, VLOOKUP(G$2, Percentiles!$A$45:$I$59, 6, FALSE), perc_90, VLOOKUP(G$2, Percentiles!$A$45:$I$59, 7, FALSE), perc_95, VLOOKUP(G$2, Percentiles!$A$45:$I$59, 8, FALSE), perc_85, perc_75 + (perc_90 - perc_75) * (2/3), converted_stat, '2K_Ratings'!G993, IF(bbgm_stat &gt;= perc_95, converted_stat * 3, IF(bbgm_stat &gt;= perc_90, converted_stat * 2, IF(bbgm_stat &gt;= perc_85, converted_stat * 1.5, converted_stat)))))</f>
        <v/>
      </c>
      <c r="H993" s="30" t="str">
        <f t="array" ref="H993">IF($A993="", "", LET(bbgm_stat, INDEX(Players!$A992:$P992, MATCH(H$2, Players!$A$1:$P$1, 0)), perc_75, VLOOKUP(H$2, Percentiles!$A$45:$I$59, 6, FALSE), perc_90, VLOOKUP(H$2, Percentiles!$A$45:$I$59, 7, FALSE), perc_95, VLOOKUP(H$2, Percentiles!$A$45:$I$59, 8, FALSE), perc_85, perc_75 + (perc_90 - perc_75) * (2/3), converted_stat, '2K_Ratings'!H993, IF(bbgm_stat &gt;= perc_95, converted_stat * 3, IF(bbgm_stat &gt;= perc_90, converted_stat * 2, IF(bbgm_stat &gt;= perc_85, converted_stat * 1.5, converted_stat)))))</f>
        <v/>
      </c>
      <c r="I993" s="30" t="str">
        <f t="array" ref="I993">IF($A993="", "", LET(bbgm_stat, INDEX(Players!$A992:$P992, MATCH(I$2, Players!$A$1:$P$1, 0)), perc_75, VLOOKUP(I$2, Percentiles!$A$45:$I$59, 6, FALSE), perc_90, VLOOKUP(I$2, Percentiles!$A$45:$I$59, 7, FALSE), perc_95, VLOOKUP(I$2, Percentiles!$A$45:$I$59, 8, FALSE), perc_85, perc_75 + (perc_90 - perc_75) * (2/3), converted_stat, '2K_Ratings'!I993, IF(bbgm_stat &gt;= perc_95, converted_stat * 3, IF(bbgm_stat &gt;= perc_90, converted_stat * 2, IF(bbgm_stat &gt;= perc_85, converted_stat * 1.5, converted_stat)))))</f>
        <v/>
      </c>
      <c r="J993" s="30" t="str">
        <f t="array" ref="J993">IF($A993="", "", LET(bbgm_stat, INDEX(Players!$A992:$P992, MATCH(J$2, Players!$A$1:$P$1, 0)), perc_75, VLOOKUP(J$2, Percentiles!$A$45:$I$59, 6, FALSE), perc_90, VLOOKUP(J$2, Percentiles!$A$45:$I$59, 7, FALSE), perc_95, VLOOKUP(J$2, Percentiles!$A$45:$I$59, 8, FALSE), perc_85, perc_75 + (perc_90 - perc_75) * (2/3), converted_stat, '2K_Ratings'!J993, IF(bbgm_stat &gt;= perc_95, converted_stat * 3, IF(bbgm_stat &gt;= perc_90, converted_stat * 2, IF(bbgm_stat &gt;= perc_85, converted_stat * 1.5, converted_stat)))))</f>
        <v/>
      </c>
      <c r="K993" s="30" t="str">
        <f t="array" ref="K993">IF($A993="", "", LET(bbgm_stat, INDEX(Players!$A992:$P992, MATCH(K$2, Players!$A$1:$P$1, 0)), perc_75, VLOOKUP(K$2, Percentiles!$A$45:$I$59, 6, FALSE), perc_90, VLOOKUP(K$2, Percentiles!$A$45:$I$59, 7, FALSE), perc_95, VLOOKUP(K$2, Percentiles!$A$45:$I$59, 8, FALSE), perc_85, perc_75 + (perc_90 - perc_75) * (2/3), converted_stat, '2K_Ratings'!K993, IF(bbgm_stat &gt;= perc_95, converted_stat * 3, IF(bbgm_stat &gt;= perc_90, converted_stat * 2, IF(bbgm_stat &gt;= perc_85, converted_stat * 1.5, converted_stat)))))</f>
        <v/>
      </c>
      <c r="L993" s="30" t="str">
        <f t="array" ref="L993">IF($A993="", "", LET(bbgm_stat, INDEX(Players!$A992:$P992, MATCH(L$2, Players!$A$1:$P$1, 0)), perc_75, VLOOKUP(L$2, Percentiles!$A$45:$I$59, 6, FALSE), perc_90, VLOOKUP(L$2, Percentiles!$A$45:$I$59, 7, FALSE), perc_95, VLOOKUP(L$2, Percentiles!$A$45:$I$59, 8, FALSE), perc_85, perc_75 + (perc_90 - perc_75) * (2/3), converted_stat, '2K_Ratings'!L993, IF(bbgm_stat &gt;= perc_95, converted_stat * 3, IF(bbgm_stat &gt;= perc_90, converted_stat * 2, IF(bbgm_stat &gt;= perc_85, converted_stat * 1.5, converted_stat)))))</f>
        <v/>
      </c>
      <c r="M993" s="30" t="str">
        <f t="array" ref="M993">IF($A993="", "", LET(bbgm_stat, INDEX(Players!$A992:$P992, MATCH(M$2, Players!$A$1:$P$1, 0)), perc_75, VLOOKUP(M$2, Percentiles!$A$45:$I$59, 6, FALSE), perc_90, VLOOKUP(M$2, Percentiles!$A$45:$I$59, 7, FALSE), perc_95, VLOOKUP(M$2, Percentiles!$A$45:$I$59, 8, FALSE), perc_85, perc_75 + (perc_90 - perc_75) * (2/3), converted_stat, '2K_Ratings'!M993, IF(bbgm_stat &gt;= perc_95, converted_stat * 3, IF(bbgm_stat &gt;= perc_90, converted_stat * 2, IF(bbgm_stat &gt;= perc_85, converted_stat * 1.5, converted_stat)))))</f>
        <v/>
      </c>
      <c r="N993" s="30" t="str">
        <f t="array" ref="N993">IF($A993="", "", LET(bbgm_stat, INDEX(Players!$A992:$P992, MATCH(N$2, Players!$A$1:$P$1, 0)), perc_75, VLOOKUP(N$2, Percentiles!$A$45:$I$59, 6, FALSE), perc_90, VLOOKUP(N$2, Percentiles!$A$45:$I$59, 7, FALSE), perc_95, VLOOKUP(N$2, Percentiles!$A$45:$I$59, 8, FALSE), perc_85, perc_75 + (perc_90 - perc_75) * (2/3), converted_stat, '2K_Ratings'!N993, IF(bbgm_stat &gt;= perc_95, converted_stat * 3, IF(bbgm_stat &gt;= perc_90, converted_stat * 2, IF(bbgm_stat &gt;= perc_85, converted_stat * 1.5, converted_stat)))))</f>
        <v/>
      </c>
      <c r="O993" s="30" t="str">
        <f t="array" ref="O993">IF($A993="", "", LET(bbgm_stat, INDEX(Players!$A992:$P992, MATCH(O$2, Players!$A$1:$P$1, 0)), perc_75, VLOOKUP(O$2, Percentiles!$A$45:$I$59, 6, FALSE), perc_90, VLOOKUP(O$2, Percentiles!$A$45:$I$59, 7, FALSE), perc_95, VLOOKUP(O$2, Percentiles!$A$45:$I$59, 8, FALSE), perc_85, perc_75 + (perc_90 - perc_75) * (2/3), converted_stat, '2K_Ratings'!O993, IF(bbgm_stat &gt;= perc_95, converted_stat * 3, IF(bbgm_stat &gt;= perc_90, converted_stat * 2, IF(bbgm_stat &gt;= perc_85, converted_stat * 1.5, converted_stat)))))</f>
        <v/>
      </c>
      <c r="P993" s="30" t="str">
        <f t="array" ref="P993">IF($A993="", "", LET(bbgm_stat, INDEX(Players!$A992:$P992, MATCH(P$2, Players!$A$1:$P$1, 0)), perc_75, VLOOKUP(P$2, Percentiles!$A$45:$I$59, 6, FALSE), perc_90, VLOOKUP(P$2, Percentiles!$A$45:$I$59, 7, FALSE), perc_95, VLOOKUP(P$2, Percentiles!$A$45:$I$59, 8, FALSE), perc_85, perc_75 + (perc_90 - perc_75) * (2/3), converted_stat, '2K_Ratings'!P993, IF(bbgm_stat &gt;= perc_95, converted_stat * 3, IF(bbgm_stat &gt;= perc_90, converted_stat * 2, IF(bbgm_stat &gt;= perc_85, converted_stat * 1.5, converted_stat)))))</f>
        <v/>
      </c>
      <c r="Q993" s="30" t="str">
        <f t="array" ref="Q993">IF($A993="", "", LET(bbgm_stat, INDEX(Players!$A992:$P992, MATCH(Q$2, Players!$A$1:$P$1, 0)), perc_75, VLOOKUP(Q$2, Percentiles!$A$45:$I$59, 6, FALSE), perc_90, VLOOKUP(Q$2, Percentiles!$A$45:$I$59, 7, FALSE), perc_95, VLOOKUP(Q$2, Percentiles!$A$45:$I$59, 8, FALSE), perc_85, perc_75 + (perc_90 - perc_75) * (2/3), converted_stat, '2K_Ratings'!Q993, IF(bbgm_stat &gt;= perc_95, converted_stat * 3, IF(bbgm_stat &gt;= perc_90, converted_stat * 2, IF(bbgm_stat &gt;= perc_85, converted_stat * 1.5, converted_stat)))))</f>
        <v/>
      </c>
      <c r="R993" s="30" t="str">
        <f t="array" ref="R993">IF($A993="", "", LET(bbgm_stat, INDEX(Players!$A992:$P992, MATCH(R$2, Players!$A$1:$P$1, 0)), perc_75, VLOOKUP(R$2, Percentiles!$A$45:$I$59, 6, FALSE), perc_90, VLOOKUP(R$2, Percentiles!$A$45:$I$59, 7, FALSE), perc_95, VLOOKUP(R$2, Percentiles!$A$45:$I$59, 8, FALSE), perc_85, perc_75 + (perc_90 - perc_75) * (2/3), converted_stat, '2K_Ratings'!R993, IF(bbgm_stat &gt;= perc_95, converted_stat * 3, IF(bbgm_stat &gt;= perc_90, converted_stat * 2, IF(bbgm_stat &gt;= perc_85, converted_stat * 1.5, converted_stat)))))</f>
        <v/>
      </c>
      <c r="S993" s="30" t="str">
        <f t="array" ref="S993">IF($A993="", "", LET(bbgm_stat, INDEX(Players!$A992:$P992, MATCH(S$2, Players!$A$1:$P$1, 0)), perc_75, VLOOKUP(S$2, Percentiles!$A$45:$I$59, 6, FALSE), perc_90, VLOOKUP(S$2, Percentiles!$A$45:$I$59, 7, FALSE), perc_95, VLOOKUP(S$2, Percentiles!$A$45:$I$59, 8, FALSE), perc_85, perc_75 + (perc_90 - perc_75) * (2/3), converted_stat, '2K_Ratings'!S993, IF(bbgm_stat &gt;= perc_95, converted_stat * 3, IF(bbgm_stat &gt;= perc_90, converted_stat * 2, IF(bbgm_stat &gt;= perc_85, converted_stat * 1.5, converted_stat)))))</f>
        <v/>
      </c>
      <c r="T993" s="30" t="str">
        <f t="array" ref="T993">IF($A993="", "", LET(bbgm_stat, INDEX(Players!$A992:$P992, MATCH(T$2, Players!$A$1:$P$1, 0)), perc_75, VLOOKUP(T$2, Percentiles!$A$45:$I$59, 6, FALSE), perc_90, VLOOKUP(T$2, Percentiles!$A$45:$I$59, 7, FALSE), perc_95, VLOOKUP(T$2, Percentiles!$A$45:$I$59, 8, FALSE), perc_85, perc_75 + (perc_90 - perc_75) * (2/3), converted_stat, '2K_Ratings'!T993, IF(bbgm_stat &gt;= perc_95, converted_stat * 3, IF(bbgm_stat &gt;= perc_90, converted_stat * 2, IF(bbgm_stat &gt;= perc_85, converted_stat * 1.5, converted_stat)))))</f>
        <v/>
      </c>
      <c r="U993" s="30" t="str">
        <f t="array" ref="U993">IF($A993="", "", LET(bbgm_stat, INDEX(Players!$A992:$P992, MATCH(U$2, Players!$A$1:$P$1, 0)), perc_75, VLOOKUP(U$2, Percentiles!$A$45:$I$59, 6, FALSE), perc_90, VLOOKUP(U$2, Percentiles!$A$45:$I$59, 7, FALSE), perc_95, VLOOKUP(U$2, Percentiles!$A$45:$I$59, 8, FALSE), perc_85, perc_75 + (perc_90 - perc_75) * (2/3), converted_stat, '2K_Ratings'!U993, IF(bbgm_stat &gt;= perc_95, converted_stat * 3, IF(bbgm_stat &gt;= perc_90, converted_stat * 2, IF(bbgm_stat &gt;= perc_85, converted_stat * 1.5, converted_stat)))))</f>
        <v/>
      </c>
      <c r="V993" s="30" t="str">
        <f t="array" ref="V993">IF($A993="", "", LET(bbgm_stat, INDEX(Players!$A992:$P992, MATCH(V$2, Players!$A$1:$P$1, 0)), perc_75, VLOOKUP(V$2, Percentiles!$A$45:$I$59, 6, FALSE), perc_90, VLOOKUP(V$2, Percentiles!$A$45:$I$59, 7, FALSE), perc_95, VLOOKUP(V$2, Percentiles!$A$45:$I$59, 8, FALSE), perc_85, perc_75 + (perc_90 - perc_75) * (2/3), converted_stat, '2K_Ratings'!V993, IF(bbgm_stat &gt;= perc_95, converted_stat * 3, IF(bbgm_stat &gt;= perc_90, converted_stat * 2, IF(bbgm_stat &gt;= perc_85, converted_stat * 1.5, converted_stat)))))</f>
        <v/>
      </c>
      <c r="W993" s="30" t="str">
        <f t="array" ref="W993">IF($A993="", "", LET(bbgm_stat, INDEX(Players!$A992:$P992, MATCH(W$2, Players!$A$1:$P$1, 0)), perc_75, VLOOKUP(W$2, Percentiles!$A$45:$I$59, 6, FALSE), perc_90, VLOOKUP(W$2, Percentiles!$A$45:$I$59, 7, FALSE), perc_95, VLOOKUP(W$2, Percentiles!$A$45:$I$59, 8, FALSE), perc_85, perc_75 + (perc_90 - perc_75) * (2/3), converted_stat, '2K_Ratings'!W993, IF(bbgm_stat &gt;= perc_95, converted_stat * 3, IF(bbgm_stat &gt;= perc_90, converted_stat * 2, IF(bbgm_stat &gt;= perc_85, converted_stat * 1.5, converted_stat)))))</f>
        <v/>
      </c>
    </row>
    <row r="994">
      <c r="A994" s="30"/>
      <c r="B994" s="30" t="str">
        <f t="array" ref="B994">IF($A994="", "", LET(bbgm_stat, INDEX(Players!$A993:$P993, MATCH(B$2, Players!$A$1:$P$1, 0)), perc_75, VLOOKUP(B$2, Percentiles!$A$45:$I$59, 6, FALSE), perc_90, VLOOKUP(B$2, Percentiles!$A$45:$I$59, 7, FALSE), perc_95, VLOOKUP(B$2, Percentiles!$A$45:$I$59, 8, FALSE), perc_85, perc_75 + (perc_90 - perc_75) * (2/3), converted_stat, '2K_Ratings'!B994, IF(bbgm_stat &gt;= perc_95, converted_stat * 3, IF(bbgm_stat &gt;= perc_90, converted_stat * 2, IF(bbgm_stat &gt;= perc_85, converted_stat * 1.5, converted_stat)))))</f>
        <v/>
      </c>
      <c r="C994" s="30" t="str">
        <f t="array" ref="C994">IF($A994="", "", LET(bbgm_stat, INDEX(Players!$A993:$P993, MATCH(C$2, Players!$A$1:$P$1, 0)), perc_75, VLOOKUP(C$2, Percentiles!$A$45:$I$59, 6, FALSE), perc_90, VLOOKUP(C$2, Percentiles!$A$45:$I$59, 7, FALSE), perc_95, VLOOKUP(C$2, Percentiles!$A$45:$I$59, 8, FALSE), perc_85, perc_75 + (perc_90 - perc_75) * (2/3), converted_stat, '2K_Ratings'!C994, IF(bbgm_stat &gt;= perc_95, converted_stat * 3, IF(bbgm_stat &gt;= perc_90, converted_stat * 2, IF(bbgm_stat &gt;= perc_85, converted_stat * 1.5, converted_stat)))))</f>
        <v/>
      </c>
      <c r="D994" s="30" t="str">
        <f t="array" ref="D994">IF($A994="", "", LET(bbgm_stat, INDEX(Players!$A993:$P993, MATCH(D$2, Players!$A$1:$P$1, 0)), perc_75, VLOOKUP(D$2, Percentiles!$A$45:$I$59, 6, FALSE), perc_90, VLOOKUP(D$2, Percentiles!$A$45:$I$59, 7, FALSE), perc_95, VLOOKUP(D$2, Percentiles!$A$45:$I$59, 8, FALSE), perc_85, perc_75 + (perc_90 - perc_75) * (2/3), converted_stat, '2K_Ratings'!D994, IF(bbgm_stat &gt;= perc_95, converted_stat * 3, IF(bbgm_stat &gt;= perc_90, converted_stat * 2, IF(bbgm_stat &gt;= perc_85, converted_stat * 1.5, converted_stat)))))</f>
        <v/>
      </c>
      <c r="E994" s="30" t="str">
        <f t="array" ref="E994">IF($A994="", "", LET(bbgm_stat, INDEX(Players!$A993:$P993, MATCH(E$2, Players!$A$1:$P$1, 0)), perc_75, VLOOKUP(E$2, Percentiles!$A$45:$I$59, 6, FALSE), perc_90, VLOOKUP(E$2, Percentiles!$A$45:$I$59, 7, FALSE), perc_95, VLOOKUP(E$2, Percentiles!$A$45:$I$59, 8, FALSE), perc_85, perc_75 + (perc_90 - perc_75) * (2/3), converted_stat, '2K_Ratings'!E994, IF(bbgm_stat &gt;= perc_95, converted_stat * 3, IF(bbgm_stat &gt;= perc_90, converted_stat * 2, IF(bbgm_stat &gt;= perc_85, converted_stat * 1.5, converted_stat)))))</f>
        <v/>
      </c>
      <c r="F994" s="30" t="str">
        <f t="array" ref="F994">IF($A994="", "", LET(bbgm_stat, INDEX(Players!$A993:$P993, MATCH(F$2, Players!$A$1:$P$1, 0)), perc_75, VLOOKUP(F$2, Percentiles!$A$45:$I$59, 6, FALSE), perc_90, VLOOKUP(F$2, Percentiles!$A$45:$I$59, 7, FALSE), perc_95, VLOOKUP(F$2, Percentiles!$A$45:$I$59, 8, FALSE), perc_85, perc_75 + (perc_90 - perc_75) * (2/3), converted_stat, '2K_Ratings'!F994, IF(bbgm_stat &gt;= perc_95, converted_stat * 3, IF(bbgm_stat &gt;= perc_90, converted_stat * 2, IF(bbgm_stat &gt;= perc_85, converted_stat * 1.5, converted_stat)))))</f>
        <v/>
      </c>
      <c r="G994" s="30" t="str">
        <f t="array" ref="G994">IF($A994="", "", LET(bbgm_stat, INDEX(Players!$A993:$P993, MATCH(G$2, Players!$A$1:$P$1, 0)), perc_75, VLOOKUP(G$2, Percentiles!$A$45:$I$59, 6, FALSE), perc_90, VLOOKUP(G$2, Percentiles!$A$45:$I$59, 7, FALSE), perc_95, VLOOKUP(G$2, Percentiles!$A$45:$I$59, 8, FALSE), perc_85, perc_75 + (perc_90 - perc_75) * (2/3), converted_stat, '2K_Ratings'!G994, IF(bbgm_stat &gt;= perc_95, converted_stat * 3, IF(bbgm_stat &gt;= perc_90, converted_stat * 2, IF(bbgm_stat &gt;= perc_85, converted_stat * 1.5, converted_stat)))))</f>
        <v/>
      </c>
      <c r="H994" s="30" t="str">
        <f t="array" ref="H994">IF($A994="", "", LET(bbgm_stat, INDEX(Players!$A993:$P993, MATCH(H$2, Players!$A$1:$P$1, 0)), perc_75, VLOOKUP(H$2, Percentiles!$A$45:$I$59, 6, FALSE), perc_90, VLOOKUP(H$2, Percentiles!$A$45:$I$59, 7, FALSE), perc_95, VLOOKUP(H$2, Percentiles!$A$45:$I$59, 8, FALSE), perc_85, perc_75 + (perc_90 - perc_75) * (2/3), converted_stat, '2K_Ratings'!H994, IF(bbgm_stat &gt;= perc_95, converted_stat * 3, IF(bbgm_stat &gt;= perc_90, converted_stat * 2, IF(bbgm_stat &gt;= perc_85, converted_stat * 1.5, converted_stat)))))</f>
        <v/>
      </c>
      <c r="I994" s="30" t="str">
        <f t="array" ref="I994">IF($A994="", "", LET(bbgm_stat, INDEX(Players!$A993:$P993, MATCH(I$2, Players!$A$1:$P$1, 0)), perc_75, VLOOKUP(I$2, Percentiles!$A$45:$I$59, 6, FALSE), perc_90, VLOOKUP(I$2, Percentiles!$A$45:$I$59, 7, FALSE), perc_95, VLOOKUP(I$2, Percentiles!$A$45:$I$59, 8, FALSE), perc_85, perc_75 + (perc_90 - perc_75) * (2/3), converted_stat, '2K_Ratings'!I994, IF(bbgm_stat &gt;= perc_95, converted_stat * 3, IF(bbgm_stat &gt;= perc_90, converted_stat * 2, IF(bbgm_stat &gt;= perc_85, converted_stat * 1.5, converted_stat)))))</f>
        <v/>
      </c>
      <c r="J994" s="30" t="str">
        <f t="array" ref="J994">IF($A994="", "", LET(bbgm_stat, INDEX(Players!$A993:$P993, MATCH(J$2, Players!$A$1:$P$1, 0)), perc_75, VLOOKUP(J$2, Percentiles!$A$45:$I$59, 6, FALSE), perc_90, VLOOKUP(J$2, Percentiles!$A$45:$I$59, 7, FALSE), perc_95, VLOOKUP(J$2, Percentiles!$A$45:$I$59, 8, FALSE), perc_85, perc_75 + (perc_90 - perc_75) * (2/3), converted_stat, '2K_Ratings'!J994, IF(bbgm_stat &gt;= perc_95, converted_stat * 3, IF(bbgm_stat &gt;= perc_90, converted_stat * 2, IF(bbgm_stat &gt;= perc_85, converted_stat * 1.5, converted_stat)))))</f>
        <v/>
      </c>
      <c r="K994" s="30" t="str">
        <f t="array" ref="K994">IF($A994="", "", LET(bbgm_stat, INDEX(Players!$A993:$P993, MATCH(K$2, Players!$A$1:$P$1, 0)), perc_75, VLOOKUP(K$2, Percentiles!$A$45:$I$59, 6, FALSE), perc_90, VLOOKUP(K$2, Percentiles!$A$45:$I$59, 7, FALSE), perc_95, VLOOKUP(K$2, Percentiles!$A$45:$I$59, 8, FALSE), perc_85, perc_75 + (perc_90 - perc_75) * (2/3), converted_stat, '2K_Ratings'!K994, IF(bbgm_stat &gt;= perc_95, converted_stat * 3, IF(bbgm_stat &gt;= perc_90, converted_stat * 2, IF(bbgm_stat &gt;= perc_85, converted_stat * 1.5, converted_stat)))))</f>
        <v/>
      </c>
      <c r="L994" s="30" t="str">
        <f t="array" ref="L994">IF($A994="", "", LET(bbgm_stat, INDEX(Players!$A993:$P993, MATCH(L$2, Players!$A$1:$P$1, 0)), perc_75, VLOOKUP(L$2, Percentiles!$A$45:$I$59, 6, FALSE), perc_90, VLOOKUP(L$2, Percentiles!$A$45:$I$59, 7, FALSE), perc_95, VLOOKUP(L$2, Percentiles!$A$45:$I$59, 8, FALSE), perc_85, perc_75 + (perc_90 - perc_75) * (2/3), converted_stat, '2K_Ratings'!L994, IF(bbgm_stat &gt;= perc_95, converted_stat * 3, IF(bbgm_stat &gt;= perc_90, converted_stat * 2, IF(bbgm_stat &gt;= perc_85, converted_stat * 1.5, converted_stat)))))</f>
        <v/>
      </c>
      <c r="M994" s="30" t="str">
        <f t="array" ref="M994">IF($A994="", "", LET(bbgm_stat, INDEX(Players!$A993:$P993, MATCH(M$2, Players!$A$1:$P$1, 0)), perc_75, VLOOKUP(M$2, Percentiles!$A$45:$I$59, 6, FALSE), perc_90, VLOOKUP(M$2, Percentiles!$A$45:$I$59, 7, FALSE), perc_95, VLOOKUP(M$2, Percentiles!$A$45:$I$59, 8, FALSE), perc_85, perc_75 + (perc_90 - perc_75) * (2/3), converted_stat, '2K_Ratings'!M994, IF(bbgm_stat &gt;= perc_95, converted_stat * 3, IF(bbgm_stat &gt;= perc_90, converted_stat * 2, IF(bbgm_stat &gt;= perc_85, converted_stat * 1.5, converted_stat)))))</f>
        <v/>
      </c>
      <c r="N994" s="30" t="str">
        <f t="array" ref="N994">IF($A994="", "", LET(bbgm_stat, INDEX(Players!$A993:$P993, MATCH(N$2, Players!$A$1:$P$1, 0)), perc_75, VLOOKUP(N$2, Percentiles!$A$45:$I$59, 6, FALSE), perc_90, VLOOKUP(N$2, Percentiles!$A$45:$I$59, 7, FALSE), perc_95, VLOOKUP(N$2, Percentiles!$A$45:$I$59, 8, FALSE), perc_85, perc_75 + (perc_90 - perc_75) * (2/3), converted_stat, '2K_Ratings'!N994, IF(bbgm_stat &gt;= perc_95, converted_stat * 3, IF(bbgm_stat &gt;= perc_90, converted_stat * 2, IF(bbgm_stat &gt;= perc_85, converted_stat * 1.5, converted_stat)))))</f>
        <v/>
      </c>
      <c r="O994" s="30" t="str">
        <f t="array" ref="O994">IF($A994="", "", LET(bbgm_stat, INDEX(Players!$A993:$P993, MATCH(O$2, Players!$A$1:$P$1, 0)), perc_75, VLOOKUP(O$2, Percentiles!$A$45:$I$59, 6, FALSE), perc_90, VLOOKUP(O$2, Percentiles!$A$45:$I$59, 7, FALSE), perc_95, VLOOKUP(O$2, Percentiles!$A$45:$I$59, 8, FALSE), perc_85, perc_75 + (perc_90 - perc_75) * (2/3), converted_stat, '2K_Ratings'!O994, IF(bbgm_stat &gt;= perc_95, converted_stat * 3, IF(bbgm_stat &gt;= perc_90, converted_stat * 2, IF(bbgm_stat &gt;= perc_85, converted_stat * 1.5, converted_stat)))))</f>
        <v/>
      </c>
      <c r="P994" s="30" t="str">
        <f t="array" ref="P994">IF($A994="", "", LET(bbgm_stat, INDEX(Players!$A993:$P993, MATCH(P$2, Players!$A$1:$P$1, 0)), perc_75, VLOOKUP(P$2, Percentiles!$A$45:$I$59, 6, FALSE), perc_90, VLOOKUP(P$2, Percentiles!$A$45:$I$59, 7, FALSE), perc_95, VLOOKUP(P$2, Percentiles!$A$45:$I$59, 8, FALSE), perc_85, perc_75 + (perc_90 - perc_75) * (2/3), converted_stat, '2K_Ratings'!P994, IF(bbgm_stat &gt;= perc_95, converted_stat * 3, IF(bbgm_stat &gt;= perc_90, converted_stat * 2, IF(bbgm_stat &gt;= perc_85, converted_stat * 1.5, converted_stat)))))</f>
        <v/>
      </c>
      <c r="Q994" s="30" t="str">
        <f t="array" ref="Q994">IF($A994="", "", LET(bbgm_stat, INDEX(Players!$A993:$P993, MATCH(Q$2, Players!$A$1:$P$1, 0)), perc_75, VLOOKUP(Q$2, Percentiles!$A$45:$I$59, 6, FALSE), perc_90, VLOOKUP(Q$2, Percentiles!$A$45:$I$59, 7, FALSE), perc_95, VLOOKUP(Q$2, Percentiles!$A$45:$I$59, 8, FALSE), perc_85, perc_75 + (perc_90 - perc_75) * (2/3), converted_stat, '2K_Ratings'!Q994, IF(bbgm_stat &gt;= perc_95, converted_stat * 3, IF(bbgm_stat &gt;= perc_90, converted_stat * 2, IF(bbgm_stat &gt;= perc_85, converted_stat * 1.5, converted_stat)))))</f>
        <v/>
      </c>
      <c r="R994" s="30" t="str">
        <f t="array" ref="R994">IF($A994="", "", LET(bbgm_stat, INDEX(Players!$A993:$P993, MATCH(R$2, Players!$A$1:$P$1, 0)), perc_75, VLOOKUP(R$2, Percentiles!$A$45:$I$59, 6, FALSE), perc_90, VLOOKUP(R$2, Percentiles!$A$45:$I$59, 7, FALSE), perc_95, VLOOKUP(R$2, Percentiles!$A$45:$I$59, 8, FALSE), perc_85, perc_75 + (perc_90 - perc_75) * (2/3), converted_stat, '2K_Ratings'!R994, IF(bbgm_stat &gt;= perc_95, converted_stat * 3, IF(bbgm_stat &gt;= perc_90, converted_stat * 2, IF(bbgm_stat &gt;= perc_85, converted_stat * 1.5, converted_stat)))))</f>
        <v/>
      </c>
      <c r="S994" s="30" t="str">
        <f t="array" ref="S994">IF($A994="", "", LET(bbgm_stat, INDEX(Players!$A993:$P993, MATCH(S$2, Players!$A$1:$P$1, 0)), perc_75, VLOOKUP(S$2, Percentiles!$A$45:$I$59, 6, FALSE), perc_90, VLOOKUP(S$2, Percentiles!$A$45:$I$59, 7, FALSE), perc_95, VLOOKUP(S$2, Percentiles!$A$45:$I$59, 8, FALSE), perc_85, perc_75 + (perc_90 - perc_75) * (2/3), converted_stat, '2K_Ratings'!S994, IF(bbgm_stat &gt;= perc_95, converted_stat * 3, IF(bbgm_stat &gt;= perc_90, converted_stat * 2, IF(bbgm_stat &gt;= perc_85, converted_stat * 1.5, converted_stat)))))</f>
        <v/>
      </c>
      <c r="T994" s="30" t="str">
        <f t="array" ref="T994">IF($A994="", "", LET(bbgm_stat, INDEX(Players!$A993:$P993, MATCH(T$2, Players!$A$1:$P$1, 0)), perc_75, VLOOKUP(T$2, Percentiles!$A$45:$I$59, 6, FALSE), perc_90, VLOOKUP(T$2, Percentiles!$A$45:$I$59, 7, FALSE), perc_95, VLOOKUP(T$2, Percentiles!$A$45:$I$59, 8, FALSE), perc_85, perc_75 + (perc_90 - perc_75) * (2/3), converted_stat, '2K_Ratings'!T994, IF(bbgm_stat &gt;= perc_95, converted_stat * 3, IF(bbgm_stat &gt;= perc_90, converted_stat * 2, IF(bbgm_stat &gt;= perc_85, converted_stat * 1.5, converted_stat)))))</f>
        <v/>
      </c>
      <c r="U994" s="30" t="str">
        <f t="array" ref="U994">IF($A994="", "", LET(bbgm_stat, INDEX(Players!$A993:$P993, MATCH(U$2, Players!$A$1:$P$1, 0)), perc_75, VLOOKUP(U$2, Percentiles!$A$45:$I$59, 6, FALSE), perc_90, VLOOKUP(U$2, Percentiles!$A$45:$I$59, 7, FALSE), perc_95, VLOOKUP(U$2, Percentiles!$A$45:$I$59, 8, FALSE), perc_85, perc_75 + (perc_90 - perc_75) * (2/3), converted_stat, '2K_Ratings'!U994, IF(bbgm_stat &gt;= perc_95, converted_stat * 3, IF(bbgm_stat &gt;= perc_90, converted_stat * 2, IF(bbgm_stat &gt;= perc_85, converted_stat * 1.5, converted_stat)))))</f>
        <v/>
      </c>
      <c r="V994" s="30" t="str">
        <f t="array" ref="V994">IF($A994="", "", LET(bbgm_stat, INDEX(Players!$A993:$P993, MATCH(V$2, Players!$A$1:$P$1, 0)), perc_75, VLOOKUP(V$2, Percentiles!$A$45:$I$59, 6, FALSE), perc_90, VLOOKUP(V$2, Percentiles!$A$45:$I$59, 7, FALSE), perc_95, VLOOKUP(V$2, Percentiles!$A$45:$I$59, 8, FALSE), perc_85, perc_75 + (perc_90 - perc_75) * (2/3), converted_stat, '2K_Ratings'!V994, IF(bbgm_stat &gt;= perc_95, converted_stat * 3, IF(bbgm_stat &gt;= perc_90, converted_stat * 2, IF(bbgm_stat &gt;= perc_85, converted_stat * 1.5, converted_stat)))))</f>
        <v/>
      </c>
      <c r="W994" s="30" t="str">
        <f t="array" ref="W994">IF($A994="", "", LET(bbgm_stat, INDEX(Players!$A993:$P993, MATCH(W$2, Players!$A$1:$P$1, 0)), perc_75, VLOOKUP(W$2, Percentiles!$A$45:$I$59, 6, FALSE), perc_90, VLOOKUP(W$2, Percentiles!$A$45:$I$59, 7, FALSE), perc_95, VLOOKUP(W$2, Percentiles!$A$45:$I$59, 8, FALSE), perc_85, perc_75 + (perc_90 - perc_75) * (2/3), converted_stat, '2K_Ratings'!W994, IF(bbgm_stat &gt;= perc_95, converted_stat * 3, IF(bbgm_stat &gt;= perc_90, converted_stat * 2, IF(bbgm_stat &gt;= perc_85, converted_stat * 1.5, converted_stat)))))</f>
        <v/>
      </c>
    </row>
    <row r="995">
      <c r="A995" s="30"/>
      <c r="B995" s="30" t="str">
        <f t="array" ref="B995">IF($A995="", "", LET(bbgm_stat, INDEX(Players!$A994:$P994, MATCH(B$2, Players!$A$1:$P$1, 0)), perc_75, VLOOKUP(B$2, Percentiles!$A$45:$I$59, 6, FALSE), perc_90, VLOOKUP(B$2, Percentiles!$A$45:$I$59, 7, FALSE), perc_95, VLOOKUP(B$2, Percentiles!$A$45:$I$59, 8, FALSE), perc_85, perc_75 + (perc_90 - perc_75) * (2/3), converted_stat, '2K_Ratings'!B995, IF(bbgm_stat &gt;= perc_95, converted_stat * 3, IF(bbgm_stat &gt;= perc_90, converted_stat * 2, IF(bbgm_stat &gt;= perc_85, converted_stat * 1.5, converted_stat)))))</f>
        <v/>
      </c>
      <c r="C995" s="30" t="str">
        <f t="array" ref="C995">IF($A995="", "", LET(bbgm_stat, INDEX(Players!$A994:$P994, MATCH(C$2, Players!$A$1:$P$1, 0)), perc_75, VLOOKUP(C$2, Percentiles!$A$45:$I$59, 6, FALSE), perc_90, VLOOKUP(C$2, Percentiles!$A$45:$I$59, 7, FALSE), perc_95, VLOOKUP(C$2, Percentiles!$A$45:$I$59, 8, FALSE), perc_85, perc_75 + (perc_90 - perc_75) * (2/3), converted_stat, '2K_Ratings'!C995, IF(bbgm_stat &gt;= perc_95, converted_stat * 3, IF(bbgm_stat &gt;= perc_90, converted_stat * 2, IF(bbgm_stat &gt;= perc_85, converted_stat * 1.5, converted_stat)))))</f>
        <v/>
      </c>
      <c r="D995" s="30" t="str">
        <f t="array" ref="D995">IF($A995="", "", LET(bbgm_stat, INDEX(Players!$A994:$P994, MATCH(D$2, Players!$A$1:$P$1, 0)), perc_75, VLOOKUP(D$2, Percentiles!$A$45:$I$59, 6, FALSE), perc_90, VLOOKUP(D$2, Percentiles!$A$45:$I$59, 7, FALSE), perc_95, VLOOKUP(D$2, Percentiles!$A$45:$I$59, 8, FALSE), perc_85, perc_75 + (perc_90 - perc_75) * (2/3), converted_stat, '2K_Ratings'!D995, IF(bbgm_stat &gt;= perc_95, converted_stat * 3, IF(bbgm_stat &gt;= perc_90, converted_stat * 2, IF(bbgm_stat &gt;= perc_85, converted_stat * 1.5, converted_stat)))))</f>
        <v/>
      </c>
      <c r="E995" s="30" t="str">
        <f t="array" ref="E995">IF($A995="", "", LET(bbgm_stat, INDEX(Players!$A994:$P994, MATCH(E$2, Players!$A$1:$P$1, 0)), perc_75, VLOOKUP(E$2, Percentiles!$A$45:$I$59, 6, FALSE), perc_90, VLOOKUP(E$2, Percentiles!$A$45:$I$59, 7, FALSE), perc_95, VLOOKUP(E$2, Percentiles!$A$45:$I$59, 8, FALSE), perc_85, perc_75 + (perc_90 - perc_75) * (2/3), converted_stat, '2K_Ratings'!E995, IF(bbgm_stat &gt;= perc_95, converted_stat * 3, IF(bbgm_stat &gt;= perc_90, converted_stat * 2, IF(bbgm_stat &gt;= perc_85, converted_stat * 1.5, converted_stat)))))</f>
        <v/>
      </c>
      <c r="F995" s="30" t="str">
        <f t="array" ref="F995">IF($A995="", "", LET(bbgm_stat, INDEX(Players!$A994:$P994, MATCH(F$2, Players!$A$1:$P$1, 0)), perc_75, VLOOKUP(F$2, Percentiles!$A$45:$I$59, 6, FALSE), perc_90, VLOOKUP(F$2, Percentiles!$A$45:$I$59, 7, FALSE), perc_95, VLOOKUP(F$2, Percentiles!$A$45:$I$59, 8, FALSE), perc_85, perc_75 + (perc_90 - perc_75) * (2/3), converted_stat, '2K_Ratings'!F995, IF(bbgm_stat &gt;= perc_95, converted_stat * 3, IF(bbgm_stat &gt;= perc_90, converted_stat * 2, IF(bbgm_stat &gt;= perc_85, converted_stat * 1.5, converted_stat)))))</f>
        <v/>
      </c>
      <c r="G995" s="30" t="str">
        <f t="array" ref="G995">IF($A995="", "", LET(bbgm_stat, INDEX(Players!$A994:$P994, MATCH(G$2, Players!$A$1:$P$1, 0)), perc_75, VLOOKUP(G$2, Percentiles!$A$45:$I$59, 6, FALSE), perc_90, VLOOKUP(G$2, Percentiles!$A$45:$I$59, 7, FALSE), perc_95, VLOOKUP(G$2, Percentiles!$A$45:$I$59, 8, FALSE), perc_85, perc_75 + (perc_90 - perc_75) * (2/3), converted_stat, '2K_Ratings'!G995, IF(bbgm_stat &gt;= perc_95, converted_stat * 3, IF(bbgm_stat &gt;= perc_90, converted_stat * 2, IF(bbgm_stat &gt;= perc_85, converted_stat * 1.5, converted_stat)))))</f>
        <v/>
      </c>
      <c r="H995" s="30" t="str">
        <f t="array" ref="H995">IF($A995="", "", LET(bbgm_stat, INDEX(Players!$A994:$P994, MATCH(H$2, Players!$A$1:$P$1, 0)), perc_75, VLOOKUP(H$2, Percentiles!$A$45:$I$59, 6, FALSE), perc_90, VLOOKUP(H$2, Percentiles!$A$45:$I$59, 7, FALSE), perc_95, VLOOKUP(H$2, Percentiles!$A$45:$I$59, 8, FALSE), perc_85, perc_75 + (perc_90 - perc_75) * (2/3), converted_stat, '2K_Ratings'!H995, IF(bbgm_stat &gt;= perc_95, converted_stat * 3, IF(bbgm_stat &gt;= perc_90, converted_stat * 2, IF(bbgm_stat &gt;= perc_85, converted_stat * 1.5, converted_stat)))))</f>
        <v/>
      </c>
      <c r="I995" s="30" t="str">
        <f t="array" ref="I995">IF($A995="", "", LET(bbgm_stat, INDEX(Players!$A994:$P994, MATCH(I$2, Players!$A$1:$P$1, 0)), perc_75, VLOOKUP(I$2, Percentiles!$A$45:$I$59, 6, FALSE), perc_90, VLOOKUP(I$2, Percentiles!$A$45:$I$59, 7, FALSE), perc_95, VLOOKUP(I$2, Percentiles!$A$45:$I$59, 8, FALSE), perc_85, perc_75 + (perc_90 - perc_75) * (2/3), converted_stat, '2K_Ratings'!I995, IF(bbgm_stat &gt;= perc_95, converted_stat * 3, IF(bbgm_stat &gt;= perc_90, converted_stat * 2, IF(bbgm_stat &gt;= perc_85, converted_stat * 1.5, converted_stat)))))</f>
        <v/>
      </c>
      <c r="J995" s="30" t="str">
        <f t="array" ref="J995">IF($A995="", "", LET(bbgm_stat, INDEX(Players!$A994:$P994, MATCH(J$2, Players!$A$1:$P$1, 0)), perc_75, VLOOKUP(J$2, Percentiles!$A$45:$I$59, 6, FALSE), perc_90, VLOOKUP(J$2, Percentiles!$A$45:$I$59, 7, FALSE), perc_95, VLOOKUP(J$2, Percentiles!$A$45:$I$59, 8, FALSE), perc_85, perc_75 + (perc_90 - perc_75) * (2/3), converted_stat, '2K_Ratings'!J995, IF(bbgm_stat &gt;= perc_95, converted_stat * 3, IF(bbgm_stat &gt;= perc_90, converted_stat * 2, IF(bbgm_stat &gt;= perc_85, converted_stat * 1.5, converted_stat)))))</f>
        <v/>
      </c>
      <c r="K995" s="30" t="str">
        <f t="array" ref="K995">IF($A995="", "", LET(bbgm_stat, INDEX(Players!$A994:$P994, MATCH(K$2, Players!$A$1:$P$1, 0)), perc_75, VLOOKUP(K$2, Percentiles!$A$45:$I$59, 6, FALSE), perc_90, VLOOKUP(K$2, Percentiles!$A$45:$I$59, 7, FALSE), perc_95, VLOOKUP(K$2, Percentiles!$A$45:$I$59, 8, FALSE), perc_85, perc_75 + (perc_90 - perc_75) * (2/3), converted_stat, '2K_Ratings'!K995, IF(bbgm_stat &gt;= perc_95, converted_stat * 3, IF(bbgm_stat &gt;= perc_90, converted_stat * 2, IF(bbgm_stat &gt;= perc_85, converted_stat * 1.5, converted_stat)))))</f>
        <v/>
      </c>
      <c r="L995" s="30" t="str">
        <f t="array" ref="L995">IF($A995="", "", LET(bbgm_stat, INDEX(Players!$A994:$P994, MATCH(L$2, Players!$A$1:$P$1, 0)), perc_75, VLOOKUP(L$2, Percentiles!$A$45:$I$59, 6, FALSE), perc_90, VLOOKUP(L$2, Percentiles!$A$45:$I$59, 7, FALSE), perc_95, VLOOKUP(L$2, Percentiles!$A$45:$I$59, 8, FALSE), perc_85, perc_75 + (perc_90 - perc_75) * (2/3), converted_stat, '2K_Ratings'!L995, IF(bbgm_stat &gt;= perc_95, converted_stat * 3, IF(bbgm_stat &gt;= perc_90, converted_stat * 2, IF(bbgm_stat &gt;= perc_85, converted_stat * 1.5, converted_stat)))))</f>
        <v/>
      </c>
      <c r="M995" s="30" t="str">
        <f t="array" ref="M995">IF($A995="", "", LET(bbgm_stat, INDEX(Players!$A994:$P994, MATCH(M$2, Players!$A$1:$P$1, 0)), perc_75, VLOOKUP(M$2, Percentiles!$A$45:$I$59, 6, FALSE), perc_90, VLOOKUP(M$2, Percentiles!$A$45:$I$59, 7, FALSE), perc_95, VLOOKUP(M$2, Percentiles!$A$45:$I$59, 8, FALSE), perc_85, perc_75 + (perc_90 - perc_75) * (2/3), converted_stat, '2K_Ratings'!M995, IF(bbgm_stat &gt;= perc_95, converted_stat * 3, IF(bbgm_stat &gt;= perc_90, converted_stat * 2, IF(bbgm_stat &gt;= perc_85, converted_stat * 1.5, converted_stat)))))</f>
        <v/>
      </c>
      <c r="N995" s="30" t="str">
        <f t="array" ref="N995">IF($A995="", "", LET(bbgm_stat, INDEX(Players!$A994:$P994, MATCH(N$2, Players!$A$1:$P$1, 0)), perc_75, VLOOKUP(N$2, Percentiles!$A$45:$I$59, 6, FALSE), perc_90, VLOOKUP(N$2, Percentiles!$A$45:$I$59, 7, FALSE), perc_95, VLOOKUP(N$2, Percentiles!$A$45:$I$59, 8, FALSE), perc_85, perc_75 + (perc_90 - perc_75) * (2/3), converted_stat, '2K_Ratings'!N995, IF(bbgm_stat &gt;= perc_95, converted_stat * 3, IF(bbgm_stat &gt;= perc_90, converted_stat * 2, IF(bbgm_stat &gt;= perc_85, converted_stat * 1.5, converted_stat)))))</f>
        <v/>
      </c>
      <c r="O995" s="30" t="str">
        <f t="array" ref="O995">IF($A995="", "", LET(bbgm_stat, INDEX(Players!$A994:$P994, MATCH(O$2, Players!$A$1:$P$1, 0)), perc_75, VLOOKUP(O$2, Percentiles!$A$45:$I$59, 6, FALSE), perc_90, VLOOKUP(O$2, Percentiles!$A$45:$I$59, 7, FALSE), perc_95, VLOOKUP(O$2, Percentiles!$A$45:$I$59, 8, FALSE), perc_85, perc_75 + (perc_90 - perc_75) * (2/3), converted_stat, '2K_Ratings'!O995, IF(bbgm_stat &gt;= perc_95, converted_stat * 3, IF(bbgm_stat &gt;= perc_90, converted_stat * 2, IF(bbgm_stat &gt;= perc_85, converted_stat * 1.5, converted_stat)))))</f>
        <v/>
      </c>
      <c r="P995" s="30" t="str">
        <f t="array" ref="P995">IF($A995="", "", LET(bbgm_stat, INDEX(Players!$A994:$P994, MATCH(P$2, Players!$A$1:$P$1, 0)), perc_75, VLOOKUP(P$2, Percentiles!$A$45:$I$59, 6, FALSE), perc_90, VLOOKUP(P$2, Percentiles!$A$45:$I$59, 7, FALSE), perc_95, VLOOKUP(P$2, Percentiles!$A$45:$I$59, 8, FALSE), perc_85, perc_75 + (perc_90 - perc_75) * (2/3), converted_stat, '2K_Ratings'!P995, IF(bbgm_stat &gt;= perc_95, converted_stat * 3, IF(bbgm_stat &gt;= perc_90, converted_stat * 2, IF(bbgm_stat &gt;= perc_85, converted_stat * 1.5, converted_stat)))))</f>
        <v/>
      </c>
      <c r="Q995" s="30" t="str">
        <f t="array" ref="Q995">IF($A995="", "", LET(bbgm_stat, INDEX(Players!$A994:$P994, MATCH(Q$2, Players!$A$1:$P$1, 0)), perc_75, VLOOKUP(Q$2, Percentiles!$A$45:$I$59, 6, FALSE), perc_90, VLOOKUP(Q$2, Percentiles!$A$45:$I$59, 7, FALSE), perc_95, VLOOKUP(Q$2, Percentiles!$A$45:$I$59, 8, FALSE), perc_85, perc_75 + (perc_90 - perc_75) * (2/3), converted_stat, '2K_Ratings'!Q995, IF(bbgm_stat &gt;= perc_95, converted_stat * 3, IF(bbgm_stat &gt;= perc_90, converted_stat * 2, IF(bbgm_stat &gt;= perc_85, converted_stat * 1.5, converted_stat)))))</f>
        <v/>
      </c>
      <c r="R995" s="30" t="str">
        <f t="array" ref="R995">IF($A995="", "", LET(bbgm_stat, INDEX(Players!$A994:$P994, MATCH(R$2, Players!$A$1:$P$1, 0)), perc_75, VLOOKUP(R$2, Percentiles!$A$45:$I$59, 6, FALSE), perc_90, VLOOKUP(R$2, Percentiles!$A$45:$I$59, 7, FALSE), perc_95, VLOOKUP(R$2, Percentiles!$A$45:$I$59, 8, FALSE), perc_85, perc_75 + (perc_90 - perc_75) * (2/3), converted_stat, '2K_Ratings'!R995, IF(bbgm_stat &gt;= perc_95, converted_stat * 3, IF(bbgm_stat &gt;= perc_90, converted_stat * 2, IF(bbgm_stat &gt;= perc_85, converted_stat * 1.5, converted_stat)))))</f>
        <v/>
      </c>
      <c r="S995" s="30" t="str">
        <f t="array" ref="S995">IF($A995="", "", LET(bbgm_stat, INDEX(Players!$A994:$P994, MATCH(S$2, Players!$A$1:$P$1, 0)), perc_75, VLOOKUP(S$2, Percentiles!$A$45:$I$59, 6, FALSE), perc_90, VLOOKUP(S$2, Percentiles!$A$45:$I$59, 7, FALSE), perc_95, VLOOKUP(S$2, Percentiles!$A$45:$I$59, 8, FALSE), perc_85, perc_75 + (perc_90 - perc_75) * (2/3), converted_stat, '2K_Ratings'!S995, IF(bbgm_stat &gt;= perc_95, converted_stat * 3, IF(bbgm_stat &gt;= perc_90, converted_stat * 2, IF(bbgm_stat &gt;= perc_85, converted_stat * 1.5, converted_stat)))))</f>
        <v/>
      </c>
      <c r="T995" s="30" t="str">
        <f t="array" ref="T995">IF($A995="", "", LET(bbgm_stat, INDEX(Players!$A994:$P994, MATCH(T$2, Players!$A$1:$P$1, 0)), perc_75, VLOOKUP(T$2, Percentiles!$A$45:$I$59, 6, FALSE), perc_90, VLOOKUP(T$2, Percentiles!$A$45:$I$59, 7, FALSE), perc_95, VLOOKUP(T$2, Percentiles!$A$45:$I$59, 8, FALSE), perc_85, perc_75 + (perc_90 - perc_75) * (2/3), converted_stat, '2K_Ratings'!T995, IF(bbgm_stat &gt;= perc_95, converted_stat * 3, IF(bbgm_stat &gt;= perc_90, converted_stat * 2, IF(bbgm_stat &gt;= perc_85, converted_stat * 1.5, converted_stat)))))</f>
        <v/>
      </c>
      <c r="U995" s="30" t="str">
        <f t="array" ref="U995">IF($A995="", "", LET(bbgm_stat, INDEX(Players!$A994:$P994, MATCH(U$2, Players!$A$1:$P$1, 0)), perc_75, VLOOKUP(U$2, Percentiles!$A$45:$I$59, 6, FALSE), perc_90, VLOOKUP(U$2, Percentiles!$A$45:$I$59, 7, FALSE), perc_95, VLOOKUP(U$2, Percentiles!$A$45:$I$59, 8, FALSE), perc_85, perc_75 + (perc_90 - perc_75) * (2/3), converted_stat, '2K_Ratings'!U995, IF(bbgm_stat &gt;= perc_95, converted_stat * 3, IF(bbgm_stat &gt;= perc_90, converted_stat * 2, IF(bbgm_stat &gt;= perc_85, converted_stat * 1.5, converted_stat)))))</f>
        <v/>
      </c>
      <c r="V995" s="30" t="str">
        <f t="array" ref="V995">IF($A995="", "", LET(bbgm_stat, INDEX(Players!$A994:$P994, MATCH(V$2, Players!$A$1:$P$1, 0)), perc_75, VLOOKUP(V$2, Percentiles!$A$45:$I$59, 6, FALSE), perc_90, VLOOKUP(V$2, Percentiles!$A$45:$I$59, 7, FALSE), perc_95, VLOOKUP(V$2, Percentiles!$A$45:$I$59, 8, FALSE), perc_85, perc_75 + (perc_90 - perc_75) * (2/3), converted_stat, '2K_Ratings'!V995, IF(bbgm_stat &gt;= perc_95, converted_stat * 3, IF(bbgm_stat &gt;= perc_90, converted_stat * 2, IF(bbgm_stat &gt;= perc_85, converted_stat * 1.5, converted_stat)))))</f>
        <v/>
      </c>
      <c r="W995" s="30" t="str">
        <f t="array" ref="W995">IF($A995="", "", LET(bbgm_stat, INDEX(Players!$A994:$P994, MATCH(W$2, Players!$A$1:$P$1, 0)), perc_75, VLOOKUP(W$2, Percentiles!$A$45:$I$59, 6, FALSE), perc_90, VLOOKUP(W$2, Percentiles!$A$45:$I$59, 7, FALSE), perc_95, VLOOKUP(W$2, Percentiles!$A$45:$I$59, 8, FALSE), perc_85, perc_75 + (perc_90 - perc_75) * (2/3), converted_stat, '2K_Ratings'!W995, IF(bbgm_stat &gt;= perc_95, converted_stat * 3, IF(bbgm_stat &gt;= perc_90, converted_stat * 2, IF(bbgm_stat &gt;= perc_85, converted_stat * 1.5, converted_stat)))))</f>
        <v/>
      </c>
    </row>
    <row r="996">
      <c r="A996" s="30"/>
      <c r="B996" s="30" t="str">
        <f t="array" ref="B996">IF($A996="", "", LET(bbgm_stat, INDEX(Players!$A995:$P995, MATCH(B$2, Players!$A$1:$P$1, 0)), perc_75, VLOOKUP(B$2, Percentiles!$A$45:$I$59, 6, FALSE), perc_90, VLOOKUP(B$2, Percentiles!$A$45:$I$59, 7, FALSE), perc_95, VLOOKUP(B$2, Percentiles!$A$45:$I$59, 8, FALSE), perc_85, perc_75 + (perc_90 - perc_75) * (2/3), converted_stat, '2K_Ratings'!B996, IF(bbgm_stat &gt;= perc_95, converted_stat * 3, IF(bbgm_stat &gt;= perc_90, converted_stat * 2, IF(bbgm_stat &gt;= perc_85, converted_stat * 1.5, converted_stat)))))</f>
        <v/>
      </c>
      <c r="C996" s="30" t="str">
        <f t="array" ref="C996">IF($A996="", "", LET(bbgm_stat, INDEX(Players!$A995:$P995, MATCH(C$2, Players!$A$1:$P$1, 0)), perc_75, VLOOKUP(C$2, Percentiles!$A$45:$I$59, 6, FALSE), perc_90, VLOOKUP(C$2, Percentiles!$A$45:$I$59, 7, FALSE), perc_95, VLOOKUP(C$2, Percentiles!$A$45:$I$59, 8, FALSE), perc_85, perc_75 + (perc_90 - perc_75) * (2/3), converted_stat, '2K_Ratings'!C996, IF(bbgm_stat &gt;= perc_95, converted_stat * 3, IF(bbgm_stat &gt;= perc_90, converted_stat * 2, IF(bbgm_stat &gt;= perc_85, converted_stat * 1.5, converted_stat)))))</f>
        <v/>
      </c>
      <c r="D996" s="30" t="str">
        <f t="array" ref="D996">IF($A996="", "", LET(bbgm_stat, INDEX(Players!$A995:$P995, MATCH(D$2, Players!$A$1:$P$1, 0)), perc_75, VLOOKUP(D$2, Percentiles!$A$45:$I$59, 6, FALSE), perc_90, VLOOKUP(D$2, Percentiles!$A$45:$I$59, 7, FALSE), perc_95, VLOOKUP(D$2, Percentiles!$A$45:$I$59, 8, FALSE), perc_85, perc_75 + (perc_90 - perc_75) * (2/3), converted_stat, '2K_Ratings'!D996, IF(bbgm_stat &gt;= perc_95, converted_stat * 3, IF(bbgm_stat &gt;= perc_90, converted_stat * 2, IF(bbgm_stat &gt;= perc_85, converted_stat * 1.5, converted_stat)))))</f>
        <v/>
      </c>
      <c r="E996" s="30" t="str">
        <f t="array" ref="E996">IF($A996="", "", LET(bbgm_stat, INDEX(Players!$A995:$P995, MATCH(E$2, Players!$A$1:$P$1, 0)), perc_75, VLOOKUP(E$2, Percentiles!$A$45:$I$59, 6, FALSE), perc_90, VLOOKUP(E$2, Percentiles!$A$45:$I$59, 7, FALSE), perc_95, VLOOKUP(E$2, Percentiles!$A$45:$I$59, 8, FALSE), perc_85, perc_75 + (perc_90 - perc_75) * (2/3), converted_stat, '2K_Ratings'!E996, IF(bbgm_stat &gt;= perc_95, converted_stat * 3, IF(bbgm_stat &gt;= perc_90, converted_stat * 2, IF(bbgm_stat &gt;= perc_85, converted_stat * 1.5, converted_stat)))))</f>
        <v/>
      </c>
      <c r="F996" s="30" t="str">
        <f t="array" ref="F996">IF($A996="", "", LET(bbgm_stat, INDEX(Players!$A995:$P995, MATCH(F$2, Players!$A$1:$P$1, 0)), perc_75, VLOOKUP(F$2, Percentiles!$A$45:$I$59, 6, FALSE), perc_90, VLOOKUP(F$2, Percentiles!$A$45:$I$59, 7, FALSE), perc_95, VLOOKUP(F$2, Percentiles!$A$45:$I$59, 8, FALSE), perc_85, perc_75 + (perc_90 - perc_75) * (2/3), converted_stat, '2K_Ratings'!F996, IF(bbgm_stat &gt;= perc_95, converted_stat * 3, IF(bbgm_stat &gt;= perc_90, converted_stat * 2, IF(bbgm_stat &gt;= perc_85, converted_stat * 1.5, converted_stat)))))</f>
        <v/>
      </c>
      <c r="G996" s="30" t="str">
        <f t="array" ref="G996">IF($A996="", "", LET(bbgm_stat, INDEX(Players!$A995:$P995, MATCH(G$2, Players!$A$1:$P$1, 0)), perc_75, VLOOKUP(G$2, Percentiles!$A$45:$I$59, 6, FALSE), perc_90, VLOOKUP(G$2, Percentiles!$A$45:$I$59, 7, FALSE), perc_95, VLOOKUP(G$2, Percentiles!$A$45:$I$59, 8, FALSE), perc_85, perc_75 + (perc_90 - perc_75) * (2/3), converted_stat, '2K_Ratings'!G996, IF(bbgm_stat &gt;= perc_95, converted_stat * 3, IF(bbgm_stat &gt;= perc_90, converted_stat * 2, IF(bbgm_stat &gt;= perc_85, converted_stat * 1.5, converted_stat)))))</f>
        <v/>
      </c>
      <c r="H996" s="30" t="str">
        <f t="array" ref="H996">IF($A996="", "", LET(bbgm_stat, INDEX(Players!$A995:$P995, MATCH(H$2, Players!$A$1:$P$1, 0)), perc_75, VLOOKUP(H$2, Percentiles!$A$45:$I$59, 6, FALSE), perc_90, VLOOKUP(H$2, Percentiles!$A$45:$I$59, 7, FALSE), perc_95, VLOOKUP(H$2, Percentiles!$A$45:$I$59, 8, FALSE), perc_85, perc_75 + (perc_90 - perc_75) * (2/3), converted_stat, '2K_Ratings'!H996, IF(bbgm_stat &gt;= perc_95, converted_stat * 3, IF(bbgm_stat &gt;= perc_90, converted_stat * 2, IF(bbgm_stat &gt;= perc_85, converted_stat * 1.5, converted_stat)))))</f>
        <v/>
      </c>
      <c r="I996" s="30" t="str">
        <f t="array" ref="I996">IF($A996="", "", LET(bbgm_stat, INDEX(Players!$A995:$P995, MATCH(I$2, Players!$A$1:$P$1, 0)), perc_75, VLOOKUP(I$2, Percentiles!$A$45:$I$59, 6, FALSE), perc_90, VLOOKUP(I$2, Percentiles!$A$45:$I$59, 7, FALSE), perc_95, VLOOKUP(I$2, Percentiles!$A$45:$I$59, 8, FALSE), perc_85, perc_75 + (perc_90 - perc_75) * (2/3), converted_stat, '2K_Ratings'!I996, IF(bbgm_stat &gt;= perc_95, converted_stat * 3, IF(bbgm_stat &gt;= perc_90, converted_stat * 2, IF(bbgm_stat &gt;= perc_85, converted_stat * 1.5, converted_stat)))))</f>
        <v/>
      </c>
      <c r="J996" s="30" t="str">
        <f t="array" ref="J996">IF($A996="", "", LET(bbgm_stat, INDEX(Players!$A995:$P995, MATCH(J$2, Players!$A$1:$P$1, 0)), perc_75, VLOOKUP(J$2, Percentiles!$A$45:$I$59, 6, FALSE), perc_90, VLOOKUP(J$2, Percentiles!$A$45:$I$59, 7, FALSE), perc_95, VLOOKUP(J$2, Percentiles!$A$45:$I$59, 8, FALSE), perc_85, perc_75 + (perc_90 - perc_75) * (2/3), converted_stat, '2K_Ratings'!J996, IF(bbgm_stat &gt;= perc_95, converted_stat * 3, IF(bbgm_stat &gt;= perc_90, converted_stat * 2, IF(bbgm_stat &gt;= perc_85, converted_stat * 1.5, converted_stat)))))</f>
        <v/>
      </c>
      <c r="K996" s="30" t="str">
        <f t="array" ref="K996">IF($A996="", "", LET(bbgm_stat, INDEX(Players!$A995:$P995, MATCH(K$2, Players!$A$1:$P$1, 0)), perc_75, VLOOKUP(K$2, Percentiles!$A$45:$I$59, 6, FALSE), perc_90, VLOOKUP(K$2, Percentiles!$A$45:$I$59, 7, FALSE), perc_95, VLOOKUP(K$2, Percentiles!$A$45:$I$59, 8, FALSE), perc_85, perc_75 + (perc_90 - perc_75) * (2/3), converted_stat, '2K_Ratings'!K996, IF(bbgm_stat &gt;= perc_95, converted_stat * 3, IF(bbgm_stat &gt;= perc_90, converted_stat * 2, IF(bbgm_stat &gt;= perc_85, converted_stat * 1.5, converted_stat)))))</f>
        <v/>
      </c>
      <c r="L996" s="30" t="str">
        <f t="array" ref="L996">IF($A996="", "", LET(bbgm_stat, INDEX(Players!$A995:$P995, MATCH(L$2, Players!$A$1:$P$1, 0)), perc_75, VLOOKUP(L$2, Percentiles!$A$45:$I$59, 6, FALSE), perc_90, VLOOKUP(L$2, Percentiles!$A$45:$I$59, 7, FALSE), perc_95, VLOOKUP(L$2, Percentiles!$A$45:$I$59, 8, FALSE), perc_85, perc_75 + (perc_90 - perc_75) * (2/3), converted_stat, '2K_Ratings'!L996, IF(bbgm_stat &gt;= perc_95, converted_stat * 3, IF(bbgm_stat &gt;= perc_90, converted_stat * 2, IF(bbgm_stat &gt;= perc_85, converted_stat * 1.5, converted_stat)))))</f>
        <v/>
      </c>
      <c r="M996" s="30" t="str">
        <f t="array" ref="M996">IF($A996="", "", LET(bbgm_stat, INDEX(Players!$A995:$P995, MATCH(M$2, Players!$A$1:$P$1, 0)), perc_75, VLOOKUP(M$2, Percentiles!$A$45:$I$59, 6, FALSE), perc_90, VLOOKUP(M$2, Percentiles!$A$45:$I$59, 7, FALSE), perc_95, VLOOKUP(M$2, Percentiles!$A$45:$I$59, 8, FALSE), perc_85, perc_75 + (perc_90 - perc_75) * (2/3), converted_stat, '2K_Ratings'!M996, IF(bbgm_stat &gt;= perc_95, converted_stat * 3, IF(bbgm_stat &gt;= perc_90, converted_stat * 2, IF(bbgm_stat &gt;= perc_85, converted_stat * 1.5, converted_stat)))))</f>
        <v/>
      </c>
      <c r="N996" s="30" t="str">
        <f t="array" ref="N996">IF($A996="", "", LET(bbgm_stat, INDEX(Players!$A995:$P995, MATCH(N$2, Players!$A$1:$P$1, 0)), perc_75, VLOOKUP(N$2, Percentiles!$A$45:$I$59, 6, FALSE), perc_90, VLOOKUP(N$2, Percentiles!$A$45:$I$59, 7, FALSE), perc_95, VLOOKUP(N$2, Percentiles!$A$45:$I$59, 8, FALSE), perc_85, perc_75 + (perc_90 - perc_75) * (2/3), converted_stat, '2K_Ratings'!N996, IF(bbgm_stat &gt;= perc_95, converted_stat * 3, IF(bbgm_stat &gt;= perc_90, converted_stat * 2, IF(bbgm_stat &gt;= perc_85, converted_stat * 1.5, converted_stat)))))</f>
        <v/>
      </c>
      <c r="O996" s="30" t="str">
        <f t="array" ref="O996">IF($A996="", "", LET(bbgm_stat, INDEX(Players!$A995:$P995, MATCH(O$2, Players!$A$1:$P$1, 0)), perc_75, VLOOKUP(O$2, Percentiles!$A$45:$I$59, 6, FALSE), perc_90, VLOOKUP(O$2, Percentiles!$A$45:$I$59, 7, FALSE), perc_95, VLOOKUP(O$2, Percentiles!$A$45:$I$59, 8, FALSE), perc_85, perc_75 + (perc_90 - perc_75) * (2/3), converted_stat, '2K_Ratings'!O996, IF(bbgm_stat &gt;= perc_95, converted_stat * 3, IF(bbgm_stat &gt;= perc_90, converted_stat * 2, IF(bbgm_stat &gt;= perc_85, converted_stat * 1.5, converted_stat)))))</f>
        <v/>
      </c>
      <c r="P996" s="30" t="str">
        <f t="array" ref="P996">IF($A996="", "", LET(bbgm_stat, INDEX(Players!$A995:$P995, MATCH(P$2, Players!$A$1:$P$1, 0)), perc_75, VLOOKUP(P$2, Percentiles!$A$45:$I$59, 6, FALSE), perc_90, VLOOKUP(P$2, Percentiles!$A$45:$I$59, 7, FALSE), perc_95, VLOOKUP(P$2, Percentiles!$A$45:$I$59, 8, FALSE), perc_85, perc_75 + (perc_90 - perc_75) * (2/3), converted_stat, '2K_Ratings'!P996, IF(bbgm_stat &gt;= perc_95, converted_stat * 3, IF(bbgm_stat &gt;= perc_90, converted_stat * 2, IF(bbgm_stat &gt;= perc_85, converted_stat * 1.5, converted_stat)))))</f>
        <v/>
      </c>
      <c r="Q996" s="30" t="str">
        <f t="array" ref="Q996">IF($A996="", "", LET(bbgm_stat, INDEX(Players!$A995:$P995, MATCH(Q$2, Players!$A$1:$P$1, 0)), perc_75, VLOOKUP(Q$2, Percentiles!$A$45:$I$59, 6, FALSE), perc_90, VLOOKUP(Q$2, Percentiles!$A$45:$I$59, 7, FALSE), perc_95, VLOOKUP(Q$2, Percentiles!$A$45:$I$59, 8, FALSE), perc_85, perc_75 + (perc_90 - perc_75) * (2/3), converted_stat, '2K_Ratings'!Q996, IF(bbgm_stat &gt;= perc_95, converted_stat * 3, IF(bbgm_stat &gt;= perc_90, converted_stat * 2, IF(bbgm_stat &gt;= perc_85, converted_stat * 1.5, converted_stat)))))</f>
        <v/>
      </c>
      <c r="R996" s="30" t="str">
        <f t="array" ref="R996">IF($A996="", "", LET(bbgm_stat, INDEX(Players!$A995:$P995, MATCH(R$2, Players!$A$1:$P$1, 0)), perc_75, VLOOKUP(R$2, Percentiles!$A$45:$I$59, 6, FALSE), perc_90, VLOOKUP(R$2, Percentiles!$A$45:$I$59, 7, FALSE), perc_95, VLOOKUP(R$2, Percentiles!$A$45:$I$59, 8, FALSE), perc_85, perc_75 + (perc_90 - perc_75) * (2/3), converted_stat, '2K_Ratings'!R996, IF(bbgm_stat &gt;= perc_95, converted_stat * 3, IF(bbgm_stat &gt;= perc_90, converted_stat * 2, IF(bbgm_stat &gt;= perc_85, converted_stat * 1.5, converted_stat)))))</f>
        <v/>
      </c>
      <c r="S996" s="30" t="str">
        <f t="array" ref="S996">IF($A996="", "", LET(bbgm_stat, INDEX(Players!$A995:$P995, MATCH(S$2, Players!$A$1:$P$1, 0)), perc_75, VLOOKUP(S$2, Percentiles!$A$45:$I$59, 6, FALSE), perc_90, VLOOKUP(S$2, Percentiles!$A$45:$I$59, 7, FALSE), perc_95, VLOOKUP(S$2, Percentiles!$A$45:$I$59, 8, FALSE), perc_85, perc_75 + (perc_90 - perc_75) * (2/3), converted_stat, '2K_Ratings'!S996, IF(bbgm_stat &gt;= perc_95, converted_stat * 3, IF(bbgm_stat &gt;= perc_90, converted_stat * 2, IF(bbgm_stat &gt;= perc_85, converted_stat * 1.5, converted_stat)))))</f>
        <v/>
      </c>
      <c r="T996" s="30" t="str">
        <f t="array" ref="T996">IF($A996="", "", LET(bbgm_stat, INDEX(Players!$A995:$P995, MATCH(T$2, Players!$A$1:$P$1, 0)), perc_75, VLOOKUP(T$2, Percentiles!$A$45:$I$59, 6, FALSE), perc_90, VLOOKUP(T$2, Percentiles!$A$45:$I$59, 7, FALSE), perc_95, VLOOKUP(T$2, Percentiles!$A$45:$I$59, 8, FALSE), perc_85, perc_75 + (perc_90 - perc_75) * (2/3), converted_stat, '2K_Ratings'!T996, IF(bbgm_stat &gt;= perc_95, converted_stat * 3, IF(bbgm_stat &gt;= perc_90, converted_stat * 2, IF(bbgm_stat &gt;= perc_85, converted_stat * 1.5, converted_stat)))))</f>
        <v/>
      </c>
      <c r="U996" s="30" t="str">
        <f t="array" ref="U996">IF($A996="", "", LET(bbgm_stat, INDEX(Players!$A995:$P995, MATCH(U$2, Players!$A$1:$P$1, 0)), perc_75, VLOOKUP(U$2, Percentiles!$A$45:$I$59, 6, FALSE), perc_90, VLOOKUP(U$2, Percentiles!$A$45:$I$59, 7, FALSE), perc_95, VLOOKUP(U$2, Percentiles!$A$45:$I$59, 8, FALSE), perc_85, perc_75 + (perc_90 - perc_75) * (2/3), converted_stat, '2K_Ratings'!U996, IF(bbgm_stat &gt;= perc_95, converted_stat * 3, IF(bbgm_stat &gt;= perc_90, converted_stat * 2, IF(bbgm_stat &gt;= perc_85, converted_stat * 1.5, converted_stat)))))</f>
        <v/>
      </c>
      <c r="V996" s="30" t="str">
        <f t="array" ref="V996">IF($A996="", "", LET(bbgm_stat, INDEX(Players!$A995:$P995, MATCH(V$2, Players!$A$1:$P$1, 0)), perc_75, VLOOKUP(V$2, Percentiles!$A$45:$I$59, 6, FALSE), perc_90, VLOOKUP(V$2, Percentiles!$A$45:$I$59, 7, FALSE), perc_95, VLOOKUP(V$2, Percentiles!$A$45:$I$59, 8, FALSE), perc_85, perc_75 + (perc_90 - perc_75) * (2/3), converted_stat, '2K_Ratings'!V996, IF(bbgm_stat &gt;= perc_95, converted_stat * 3, IF(bbgm_stat &gt;= perc_90, converted_stat * 2, IF(bbgm_stat &gt;= perc_85, converted_stat * 1.5, converted_stat)))))</f>
        <v/>
      </c>
      <c r="W996" s="30" t="str">
        <f t="array" ref="W996">IF($A996="", "", LET(bbgm_stat, INDEX(Players!$A995:$P995, MATCH(W$2, Players!$A$1:$P$1, 0)), perc_75, VLOOKUP(W$2, Percentiles!$A$45:$I$59, 6, FALSE), perc_90, VLOOKUP(W$2, Percentiles!$A$45:$I$59, 7, FALSE), perc_95, VLOOKUP(W$2, Percentiles!$A$45:$I$59, 8, FALSE), perc_85, perc_75 + (perc_90 - perc_75) * (2/3), converted_stat, '2K_Ratings'!W996, IF(bbgm_stat &gt;= perc_95, converted_stat * 3, IF(bbgm_stat &gt;= perc_90, converted_stat * 2, IF(bbgm_stat &gt;= perc_85, converted_stat * 1.5, converted_stat)))))</f>
        <v/>
      </c>
    </row>
    <row r="997">
      <c r="A997" s="30"/>
      <c r="B997" s="30" t="str">
        <f t="array" ref="B997">IF($A997="", "", LET(bbgm_stat, INDEX(Players!$A996:$P996, MATCH(B$2, Players!$A$1:$P$1, 0)), perc_75, VLOOKUP(B$2, Percentiles!$A$45:$I$59, 6, FALSE), perc_90, VLOOKUP(B$2, Percentiles!$A$45:$I$59, 7, FALSE), perc_95, VLOOKUP(B$2, Percentiles!$A$45:$I$59, 8, FALSE), perc_85, perc_75 + (perc_90 - perc_75) * (2/3), converted_stat, '2K_Ratings'!B997, IF(bbgm_stat &gt;= perc_95, converted_stat * 3, IF(bbgm_stat &gt;= perc_90, converted_stat * 2, IF(bbgm_stat &gt;= perc_85, converted_stat * 1.5, converted_stat)))))</f>
        <v/>
      </c>
      <c r="C997" s="30" t="str">
        <f t="array" ref="C997">IF($A997="", "", LET(bbgm_stat, INDEX(Players!$A996:$P996, MATCH(C$2, Players!$A$1:$P$1, 0)), perc_75, VLOOKUP(C$2, Percentiles!$A$45:$I$59, 6, FALSE), perc_90, VLOOKUP(C$2, Percentiles!$A$45:$I$59, 7, FALSE), perc_95, VLOOKUP(C$2, Percentiles!$A$45:$I$59, 8, FALSE), perc_85, perc_75 + (perc_90 - perc_75) * (2/3), converted_stat, '2K_Ratings'!C997, IF(bbgm_stat &gt;= perc_95, converted_stat * 3, IF(bbgm_stat &gt;= perc_90, converted_stat * 2, IF(bbgm_stat &gt;= perc_85, converted_stat * 1.5, converted_stat)))))</f>
        <v/>
      </c>
      <c r="D997" s="30" t="str">
        <f t="array" ref="D997">IF($A997="", "", LET(bbgm_stat, INDEX(Players!$A996:$P996, MATCH(D$2, Players!$A$1:$P$1, 0)), perc_75, VLOOKUP(D$2, Percentiles!$A$45:$I$59, 6, FALSE), perc_90, VLOOKUP(D$2, Percentiles!$A$45:$I$59, 7, FALSE), perc_95, VLOOKUP(D$2, Percentiles!$A$45:$I$59, 8, FALSE), perc_85, perc_75 + (perc_90 - perc_75) * (2/3), converted_stat, '2K_Ratings'!D997, IF(bbgm_stat &gt;= perc_95, converted_stat * 3, IF(bbgm_stat &gt;= perc_90, converted_stat * 2, IF(bbgm_stat &gt;= perc_85, converted_stat * 1.5, converted_stat)))))</f>
        <v/>
      </c>
      <c r="E997" s="30" t="str">
        <f t="array" ref="E997">IF($A997="", "", LET(bbgm_stat, INDEX(Players!$A996:$P996, MATCH(E$2, Players!$A$1:$P$1, 0)), perc_75, VLOOKUP(E$2, Percentiles!$A$45:$I$59, 6, FALSE), perc_90, VLOOKUP(E$2, Percentiles!$A$45:$I$59, 7, FALSE), perc_95, VLOOKUP(E$2, Percentiles!$A$45:$I$59, 8, FALSE), perc_85, perc_75 + (perc_90 - perc_75) * (2/3), converted_stat, '2K_Ratings'!E997, IF(bbgm_stat &gt;= perc_95, converted_stat * 3, IF(bbgm_stat &gt;= perc_90, converted_stat * 2, IF(bbgm_stat &gt;= perc_85, converted_stat * 1.5, converted_stat)))))</f>
        <v/>
      </c>
      <c r="F997" s="30" t="str">
        <f t="array" ref="F997">IF($A997="", "", LET(bbgm_stat, INDEX(Players!$A996:$P996, MATCH(F$2, Players!$A$1:$P$1, 0)), perc_75, VLOOKUP(F$2, Percentiles!$A$45:$I$59, 6, FALSE), perc_90, VLOOKUP(F$2, Percentiles!$A$45:$I$59, 7, FALSE), perc_95, VLOOKUP(F$2, Percentiles!$A$45:$I$59, 8, FALSE), perc_85, perc_75 + (perc_90 - perc_75) * (2/3), converted_stat, '2K_Ratings'!F997, IF(bbgm_stat &gt;= perc_95, converted_stat * 3, IF(bbgm_stat &gt;= perc_90, converted_stat * 2, IF(bbgm_stat &gt;= perc_85, converted_stat * 1.5, converted_stat)))))</f>
        <v/>
      </c>
      <c r="G997" s="30" t="str">
        <f t="array" ref="G997">IF($A997="", "", LET(bbgm_stat, INDEX(Players!$A996:$P996, MATCH(G$2, Players!$A$1:$P$1, 0)), perc_75, VLOOKUP(G$2, Percentiles!$A$45:$I$59, 6, FALSE), perc_90, VLOOKUP(G$2, Percentiles!$A$45:$I$59, 7, FALSE), perc_95, VLOOKUP(G$2, Percentiles!$A$45:$I$59, 8, FALSE), perc_85, perc_75 + (perc_90 - perc_75) * (2/3), converted_stat, '2K_Ratings'!G997, IF(bbgm_stat &gt;= perc_95, converted_stat * 3, IF(bbgm_stat &gt;= perc_90, converted_stat * 2, IF(bbgm_stat &gt;= perc_85, converted_stat * 1.5, converted_stat)))))</f>
        <v/>
      </c>
      <c r="H997" s="30" t="str">
        <f t="array" ref="H997">IF($A997="", "", LET(bbgm_stat, INDEX(Players!$A996:$P996, MATCH(H$2, Players!$A$1:$P$1, 0)), perc_75, VLOOKUP(H$2, Percentiles!$A$45:$I$59, 6, FALSE), perc_90, VLOOKUP(H$2, Percentiles!$A$45:$I$59, 7, FALSE), perc_95, VLOOKUP(H$2, Percentiles!$A$45:$I$59, 8, FALSE), perc_85, perc_75 + (perc_90 - perc_75) * (2/3), converted_stat, '2K_Ratings'!H997, IF(bbgm_stat &gt;= perc_95, converted_stat * 3, IF(bbgm_stat &gt;= perc_90, converted_stat * 2, IF(bbgm_stat &gt;= perc_85, converted_stat * 1.5, converted_stat)))))</f>
        <v/>
      </c>
      <c r="I997" s="30" t="str">
        <f t="array" ref="I997">IF($A997="", "", LET(bbgm_stat, INDEX(Players!$A996:$P996, MATCH(I$2, Players!$A$1:$P$1, 0)), perc_75, VLOOKUP(I$2, Percentiles!$A$45:$I$59, 6, FALSE), perc_90, VLOOKUP(I$2, Percentiles!$A$45:$I$59, 7, FALSE), perc_95, VLOOKUP(I$2, Percentiles!$A$45:$I$59, 8, FALSE), perc_85, perc_75 + (perc_90 - perc_75) * (2/3), converted_stat, '2K_Ratings'!I997, IF(bbgm_stat &gt;= perc_95, converted_stat * 3, IF(bbgm_stat &gt;= perc_90, converted_stat * 2, IF(bbgm_stat &gt;= perc_85, converted_stat * 1.5, converted_stat)))))</f>
        <v/>
      </c>
      <c r="J997" s="30" t="str">
        <f t="array" ref="J997">IF($A997="", "", LET(bbgm_stat, INDEX(Players!$A996:$P996, MATCH(J$2, Players!$A$1:$P$1, 0)), perc_75, VLOOKUP(J$2, Percentiles!$A$45:$I$59, 6, FALSE), perc_90, VLOOKUP(J$2, Percentiles!$A$45:$I$59, 7, FALSE), perc_95, VLOOKUP(J$2, Percentiles!$A$45:$I$59, 8, FALSE), perc_85, perc_75 + (perc_90 - perc_75) * (2/3), converted_stat, '2K_Ratings'!J997, IF(bbgm_stat &gt;= perc_95, converted_stat * 3, IF(bbgm_stat &gt;= perc_90, converted_stat * 2, IF(bbgm_stat &gt;= perc_85, converted_stat * 1.5, converted_stat)))))</f>
        <v/>
      </c>
      <c r="K997" s="30" t="str">
        <f t="array" ref="K997">IF($A997="", "", LET(bbgm_stat, INDEX(Players!$A996:$P996, MATCH(K$2, Players!$A$1:$P$1, 0)), perc_75, VLOOKUP(K$2, Percentiles!$A$45:$I$59, 6, FALSE), perc_90, VLOOKUP(K$2, Percentiles!$A$45:$I$59, 7, FALSE), perc_95, VLOOKUP(K$2, Percentiles!$A$45:$I$59, 8, FALSE), perc_85, perc_75 + (perc_90 - perc_75) * (2/3), converted_stat, '2K_Ratings'!K997, IF(bbgm_stat &gt;= perc_95, converted_stat * 3, IF(bbgm_stat &gt;= perc_90, converted_stat * 2, IF(bbgm_stat &gt;= perc_85, converted_stat * 1.5, converted_stat)))))</f>
        <v/>
      </c>
      <c r="L997" s="30" t="str">
        <f t="array" ref="L997">IF($A997="", "", LET(bbgm_stat, INDEX(Players!$A996:$P996, MATCH(L$2, Players!$A$1:$P$1, 0)), perc_75, VLOOKUP(L$2, Percentiles!$A$45:$I$59, 6, FALSE), perc_90, VLOOKUP(L$2, Percentiles!$A$45:$I$59, 7, FALSE), perc_95, VLOOKUP(L$2, Percentiles!$A$45:$I$59, 8, FALSE), perc_85, perc_75 + (perc_90 - perc_75) * (2/3), converted_stat, '2K_Ratings'!L997, IF(bbgm_stat &gt;= perc_95, converted_stat * 3, IF(bbgm_stat &gt;= perc_90, converted_stat * 2, IF(bbgm_stat &gt;= perc_85, converted_stat * 1.5, converted_stat)))))</f>
        <v/>
      </c>
      <c r="M997" s="30" t="str">
        <f t="array" ref="M997">IF($A997="", "", LET(bbgm_stat, INDEX(Players!$A996:$P996, MATCH(M$2, Players!$A$1:$P$1, 0)), perc_75, VLOOKUP(M$2, Percentiles!$A$45:$I$59, 6, FALSE), perc_90, VLOOKUP(M$2, Percentiles!$A$45:$I$59, 7, FALSE), perc_95, VLOOKUP(M$2, Percentiles!$A$45:$I$59, 8, FALSE), perc_85, perc_75 + (perc_90 - perc_75) * (2/3), converted_stat, '2K_Ratings'!M997, IF(bbgm_stat &gt;= perc_95, converted_stat * 3, IF(bbgm_stat &gt;= perc_90, converted_stat * 2, IF(bbgm_stat &gt;= perc_85, converted_stat * 1.5, converted_stat)))))</f>
        <v/>
      </c>
      <c r="N997" s="30" t="str">
        <f t="array" ref="N997">IF($A997="", "", LET(bbgm_stat, INDEX(Players!$A996:$P996, MATCH(N$2, Players!$A$1:$P$1, 0)), perc_75, VLOOKUP(N$2, Percentiles!$A$45:$I$59, 6, FALSE), perc_90, VLOOKUP(N$2, Percentiles!$A$45:$I$59, 7, FALSE), perc_95, VLOOKUP(N$2, Percentiles!$A$45:$I$59, 8, FALSE), perc_85, perc_75 + (perc_90 - perc_75) * (2/3), converted_stat, '2K_Ratings'!N997, IF(bbgm_stat &gt;= perc_95, converted_stat * 3, IF(bbgm_stat &gt;= perc_90, converted_stat * 2, IF(bbgm_stat &gt;= perc_85, converted_stat * 1.5, converted_stat)))))</f>
        <v/>
      </c>
      <c r="O997" s="30" t="str">
        <f t="array" ref="O997">IF($A997="", "", LET(bbgm_stat, INDEX(Players!$A996:$P996, MATCH(O$2, Players!$A$1:$P$1, 0)), perc_75, VLOOKUP(O$2, Percentiles!$A$45:$I$59, 6, FALSE), perc_90, VLOOKUP(O$2, Percentiles!$A$45:$I$59, 7, FALSE), perc_95, VLOOKUP(O$2, Percentiles!$A$45:$I$59, 8, FALSE), perc_85, perc_75 + (perc_90 - perc_75) * (2/3), converted_stat, '2K_Ratings'!O997, IF(bbgm_stat &gt;= perc_95, converted_stat * 3, IF(bbgm_stat &gt;= perc_90, converted_stat * 2, IF(bbgm_stat &gt;= perc_85, converted_stat * 1.5, converted_stat)))))</f>
        <v/>
      </c>
      <c r="P997" s="30" t="str">
        <f t="array" ref="P997">IF($A997="", "", LET(bbgm_stat, INDEX(Players!$A996:$P996, MATCH(P$2, Players!$A$1:$P$1, 0)), perc_75, VLOOKUP(P$2, Percentiles!$A$45:$I$59, 6, FALSE), perc_90, VLOOKUP(P$2, Percentiles!$A$45:$I$59, 7, FALSE), perc_95, VLOOKUP(P$2, Percentiles!$A$45:$I$59, 8, FALSE), perc_85, perc_75 + (perc_90 - perc_75) * (2/3), converted_stat, '2K_Ratings'!P997, IF(bbgm_stat &gt;= perc_95, converted_stat * 3, IF(bbgm_stat &gt;= perc_90, converted_stat * 2, IF(bbgm_stat &gt;= perc_85, converted_stat * 1.5, converted_stat)))))</f>
        <v/>
      </c>
      <c r="Q997" s="30" t="str">
        <f t="array" ref="Q997">IF($A997="", "", LET(bbgm_stat, INDEX(Players!$A996:$P996, MATCH(Q$2, Players!$A$1:$P$1, 0)), perc_75, VLOOKUP(Q$2, Percentiles!$A$45:$I$59, 6, FALSE), perc_90, VLOOKUP(Q$2, Percentiles!$A$45:$I$59, 7, FALSE), perc_95, VLOOKUP(Q$2, Percentiles!$A$45:$I$59, 8, FALSE), perc_85, perc_75 + (perc_90 - perc_75) * (2/3), converted_stat, '2K_Ratings'!Q997, IF(bbgm_stat &gt;= perc_95, converted_stat * 3, IF(bbgm_stat &gt;= perc_90, converted_stat * 2, IF(bbgm_stat &gt;= perc_85, converted_stat * 1.5, converted_stat)))))</f>
        <v/>
      </c>
      <c r="R997" s="30" t="str">
        <f t="array" ref="R997">IF($A997="", "", LET(bbgm_stat, INDEX(Players!$A996:$P996, MATCH(R$2, Players!$A$1:$P$1, 0)), perc_75, VLOOKUP(R$2, Percentiles!$A$45:$I$59, 6, FALSE), perc_90, VLOOKUP(R$2, Percentiles!$A$45:$I$59, 7, FALSE), perc_95, VLOOKUP(R$2, Percentiles!$A$45:$I$59, 8, FALSE), perc_85, perc_75 + (perc_90 - perc_75) * (2/3), converted_stat, '2K_Ratings'!R997, IF(bbgm_stat &gt;= perc_95, converted_stat * 3, IF(bbgm_stat &gt;= perc_90, converted_stat * 2, IF(bbgm_stat &gt;= perc_85, converted_stat * 1.5, converted_stat)))))</f>
        <v/>
      </c>
      <c r="S997" s="30" t="str">
        <f t="array" ref="S997">IF($A997="", "", LET(bbgm_stat, INDEX(Players!$A996:$P996, MATCH(S$2, Players!$A$1:$P$1, 0)), perc_75, VLOOKUP(S$2, Percentiles!$A$45:$I$59, 6, FALSE), perc_90, VLOOKUP(S$2, Percentiles!$A$45:$I$59, 7, FALSE), perc_95, VLOOKUP(S$2, Percentiles!$A$45:$I$59, 8, FALSE), perc_85, perc_75 + (perc_90 - perc_75) * (2/3), converted_stat, '2K_Ratings'!S997, IF(bbgm_stat &gt;= perc_95, converted_stat * 3, IF(bbgm_stat &gt;= perc_90, converted_stat * 2, IF(bbgm_stat &gt;= perc_85, converted_stat * 1.5, converted_stat)))))</f>
        <v/>
      </c>
      <c r="T997" s="30" t="str">
        <f t="array" ref="T997">IF($A997="", "", LET(bbgm_stat, INDEX(Players!$A996:$P996, MATCH(T$2, Players!$A$1:$P$1, 0)), perc_75, VLOOKUP(T$2, Percentiles!$A$45:$I$59, 6, FALSE), perc_90, VLOOKUP(T$2, Percentiles!$A$45:$I$59, 7, FALSE), perc_95, VLOOKUP(T$2, Percentiles!$A$45:$I$59, 8, FALSE), perc_85, perc_75 + (perc_90 - perc_75) * (2/3), converted_stat, '2K_Ratings'!T997, IF(bbgm_stat &gt;= perc_95, converted_stat * 3, IF(bbgm_stat &gt;= perc_90, converted_stat * 2, IF(bbgm_stat &gt;= perc_85, converted_stat * 1.5, converted_stat)))))</f>
        <v/>
      </c>
      <c r="U997" s="30" t="str">
        <f t="array" ref="U997">IF($A997="", "", LET(bbgm_stat, INDEX(Players!$A996:$P996, MATCH(U$2, Players!$A$1:$P$1, 0)), perc_75, VLOOKUP(U$2, Percentiles!$A$45:$I$59, 6, FALSE), perc_90, VLOOKUP(U$2, Percentiles!$A$45:$I$59, 7, FALSE), perc_95, VLOOKUP(U$2, Percentiles!$A$45:$I$59, 8, FALSE), perc_85, perc_75 + (perc_90 - perc_75) * (2/3), converted_stat, '2K_Ratings'!U997, IF(bbgm_stat &gt;= perc_95, converted_stat * 3, IF(bbgm_stat &gt;= perc_90, converted_stat * 2, IF(bbgm_stat &gt;= perc_85, converted_stat * 1.5, converted_stat)))))</f>
        <v/>
      </c>
      <c r="V997" s="30" t="str">
        <f t="array" ref="V997">IF($A997="", "", LET(bbgm_stat, INDEX(Players!$A996:$P996, MATCH(V$2, Players!$A$1:$P$1, 0)), perc_75, VLOOKUP(V$2, Percentiles!$A$45:$I$59, 6, FALSE), perc_90, VLOOKUP(V$2, Percentiles!$A$45:$I$59, 7, FALSE), perc_95, VLOOKUP(V$2, Percentiles!$A$45:$I$59, 8, FALSE), perc_85, perc_75 + (perc_90 - perc_75) * (2/3), converted_stat, '2K_Ratings'!V997, IF(bbgm_stat &gt;= perc_95, converted_stat * 3, IF(bbgm_stat &gt;= perc_90, converted_stat * 2, IF(bbgm_stat &gt;= perc_85, converted_stat * 1.5, converted_stat)))))</f>
        <v/>
      </c>
      <c r="W997" s="30" t="str">
        <f t="array" ref="W997">IF($A997="", "", LET(bbgm_stat, INDEX(Players!$A996:$P996, MATCH(W$2, Players!$A$1:$P$1, 0)), perc_75, VLOOKUP(W$2, Percentiles!$A$45:$I$59, 6, FALSE), perc_90, VLOOKUP(W$2, Percentiles!$A$45:$I$59, 7, FALSE), perc_95, VLOOKUP(W$2, Percentiles!$A$45:$I$59, 8, FALSE), perc_85, perc_75 + (perc_90 - perc_75) * (2/3), converted_stat, '2K_Ratings'!W997, IF(bbgm_stat &gt;= perc_95, converted_stat * 3, IF(bbgm_stat &gt;= perc_90, converted_stat * 2, IF(bbgm_stat &gt;= perc_85, converted_stat * 1.5, converted_stat)))))</f>
        <v/>
      </c>
    </row>
    <row r="998">
      <c r="A998" s="30"/>
      <c r="B998" s="30" t="str">
        <f t="array" ref="B998">IF($A998="", "", LET(bbgm_stat, INDEX(Players!$A997:$P997, MATCH(B$2, Players!$A$1:$P$1, 0)), perc_75, VLOOKUP(B$2, Percentiles!$A$45:$I$59, 6, FALSE), perc_90, VLOOKUP(B$2, Percentiles!$A$45:$I$59, 7, FALSE), perc_95, VLOOKUP(B$2, Percentiles!$A$45:$I$59, 8, FALSE), perc_85, perc_75 + (perc_90 - perc_75) * (2/3), converted_stat, '2K_Ratings'!B998, IF(bbgm_stat &gt;= perc_95, converted_stat * 3, IF(bbgm_stat &gt;= perc_90, converted_stat * 2, IF(bbgm_stat &gt;= perc_85, converted_stat * 1.5, converted_stat)))))</f>
        <v/>
      </c>
      <c r="C998" s="30" t="str">
        <f t="array" ref="C998">IF($A998="", "", LET(bbgm_stat, INDEX(Players!$A997:$P997, MATCH(C$2, Players!$A$1:$P$1, 0)), perc_75, VLOOKUP(C$2, Percentiles!$A$45:$I$59, 6, FALSE), perc_90, VLOOKUP(C$2, Percentiles!$A$45:$I$59, 7, FALSE), perc_95, VLOOKUP(C$2, Percentiles!$A$45:$I$59, 8, FALSE), perc_85, perc_75 + (perc_90 - perc_75) * (2/3), converted_stat, '2K_Ratings'!C998, IF(bbgm_stat &gt;= perc_95, converted_stat * 3, IF(bbgm_stat &gt;= perc_90, converted_stat * 2, IF(bbgm_stat &gt;= perc_85, converted_stat * 1.5, converted_stat)))))</f>
        <v/>
      </c>
      <c r="D998" s="30" t="str">
        <f t="array" ref="D998">IF($A998="", "", LET(bbgm_stat, INDEX(Players!$A997:$P997, MATCH(D$2, Players!$A$1:$P$1, 0)), perc_75, VLOOKUP(D$2, Percentiles!$A$45:$I$59, 6, FALSE), perc_90, VLOOKUP(D$2, Percentiles!$A$45:$I$59, 7, FALSE), perc_95, VLOOKUP(D$2, Percentiles!$A$45:$I$59, 8, FALSE), perc_85, perc_75 + (perc_90 - perc_75) * (2/3), converted_stat, '2K_Ratings'!D998, IF(bbgm_stat &gt;= perc_95, converted_stat * 3, IF(bbgm_stat &gt;= perc_90, converted_stat * 2, IF(bbgm_stat &gt;= perc_85, converted_stat * 1.5, converted_stat)))))</f>
        <v/>
      </c>
      <c r="E998" s="30" t="str">
        <f t="array" ref="E998">IF($A998="", "", LET(bbgm_stat, INDEX(Players!$A997:$P997, MATCH(E$2, Players!$A$1:$P$1, 0)), perc_75, VLOOKUP(E$2, Percentiles!$A$45:$I$59, 6, FALSE), perc_90, VLOOKUP(E$2, Percentiles!$A$45:$I$59, 7, FALSE), perc_95, VLOOKUP(E$2, Percentiles!$A$45:$I$59, 8, FALSE), perc_85, perc_75 + (perc_90 - perc_75) * (2/3), converted_stat, '2K_Ratings'!E998, IF(bbgm_stat &gt;= perc_95, converted_stat * 3, IF(bbgm_stat &gt;= perc_90, converted_stat * 2, IF(bbgm_stat &gt;= perc_85, converted_stat * 1.5, converted_stat)))))</f>
        <v/>
      </c>
      <c r="F998" s="30" t="str">
        <f t="array" ref="F998">IF($A998="", "", LET(bbgm_stat, INDEX(Players!$A997:$P997, MATCH(F$2, Players!$A$1:$P$1, 0)), perc_75, VLOOKUP(F$2, Percentiles!$A$45:$I$59, 6, FALSE), perc_90, VLOOKUP(F$2, Percentiles!$A$45:$I$59, 7, FALSE), perc_95, VLOOKUP(F$2, Percentiles!$A$45:$I$59, 8, FALSE), perc_85, perc_75 + (perc_90 - perc_75) * (2/3), converted_stat, '2K_Ratings'!F998, IF(bbgm_stat &gt;= perc_95, converted_stat * 3, IF(bbgm_stat &gt;= perc_90, converted_stat * 2, IF(bbgm_stat &gt;= perc_85, converted_stat * 1.5, converted_stat)))))</f>
        <v/>
      </c>
      <c r="G998" s="30" t="str">
        <f t="array" ref="G998">IF($A998="", "", LET(bbgm_stat, INDEX(Players!$A997:$P997, MATCH(G$2, Players!$A$1:$P$1, 0)), perc_75, VLOOKUP(G$2, Percentiles!$A$45:$I$59, 6, FALSE), perc_90, VLOOKUP(G$2, Percentiles!$A$45:$I$59, 7, FALSE), perc_95, VLOOKUP(G$2, Percentiles!$A$45:$I$59, 8, FALSE), perc_85, perc_75 + (perc_90 - perc_75) * (2/3), converted_stat, '2K_Ratings'!G998, IF(bbgm_stat &gt;= perc_95, converted_stat * 3, IF(bbgm_stat &gt;= perc_90, converted_stat * 2, IF(bbgm_stat &gt;= perc_85, converted_stat * 1.5, converted_stat)))))</f>
        <v/>
      </c>
      <c r="H998" s="30" t="str">
        <f t="array" ref="H998">IF($A998="", "", LET(bbgm_stat, INDEX(Players!$A997:$P997, MATCH(H$2, Players!$A$1:$P$1, 0)), perc_75, VLOOKUP(H$2, Percentiles!$A$45:$I$59, 6, FALSE), perc_90, VLOOKUP(H$2, Percentiles!$A$45:$I$59, 7, FALSE), perc_95, VLOOKUP(H$2, Percentiles!$A$45:$I$59, 8, FALSE), perc_85, perc_75 + (perc_90 - perc_75) * (2/3), converted_stat, '2K_Ratings'!H998, IF(bbgm_stat &gt;= perc_95, converted_stat * 3, IF(bbgm_stat &gt;= perc_90, converted_stat * 2, IF(bbgm_stat &gt;= perc_85, converted_stat * 1.5, converted_stat)))))</f>
        <v/>
      </c>
      <c r="I998" s="30" t="str">
        <f t="array" ref="I998">IF($A998="", "", LET(bbgm_stat, INDEX(Players!$A997:$P997, MATCH(I$2, Players!$A$1:$P$1, 0)), perc_75, VLOOKUP(I$2, Percentiles!$A$45:$I$59, 6, FALSE), perc_90, VLOOKUP(I$2, Percentiles!$A$45:$I$59, 7, FALSE), perc_95, VLOOKUP(I$2, Percentiles!$A$45:$I$59, 8, FALSE), perc_85, perc_75 + (perc_90 - perc_75) * (2/3), converted_stat, '2K_Ratings'!I998, IF(bbgm_stat &gt;= perc_95, converted_stat * 3, IF(bbgm_stat &gt;= perc_90, converted_stat * 2, IF(bbgm_stat &gt;= perc_85, converted_stat * 1.5, converted_stat)))))</f>
        <v/>
      </c>
      <c r="J998" s="30" t="str">
        <f t="array" ref="J998">IF($A998="", "", LET(bbgm_stat, INDEX(Players!$A997:$P997, MATCH(J$2, Players!$A$1:$P$1, 0)), perc_75, VLOOKUP(J$2, Percentiles!$A$45:$I$59, 6, FALSE), perc_90, VLOOKUP(J$2, Percentiles!$A$45:$I$59, 7, FALSE), perc_95, VLOOKUP(J$2, Percentiles!$A$45:$I$59, 8, FALSE), perc_85, perc_75 + (perc_90 - perc_75) * (2/3), converted_stat, '2K_Ratings'!J998, IF(bbgm_stat &gt;= perc_95, converted_stat * 3, IF(bbgm_stat &gt;= perc_90, converted_stat * 2, IF(bbgm_stat &gt;= perc_85, converted_stat * 1.5, converted_stat)))))</f>
        <v/>
      </c>
      <c r="K998" s="30" t="str">
        <f t="array" ref="K998">IF($A998="", "", LET(bbgm_stat, INDEX(Players!$A997:$P997, MATCH(K$2, Players!$A$1:$P$1, 0)), perc_75, VLOOKUP(K$2, Percentiles!$A$45:$I$59, 6, FALSE), perc_90, VLOOKUP(K$2, Percentiles!$A$45:$I$59, 7, FALSE), perc_95, VLOOKUP(K$2, Percentiles!$A$45:$I$59, 8, FALSE), perc_85, perc_75 + (perc_90 - perc_75) * (2/3), converted_stat, '2K_Ratings'!K998, IF(bbgm_stat &gt;= perc_95, converted_stat * 3, IF(bbgm_stat &gt;= perc_90, converted_stat * 2, IF(bbgm_stat &gt;= perc_85, converted_stat * 1.5, converted_stat)))))</f>
        <v/>
      </c>
      <c r="L998" s="30" t="str">
        <f t="array" ref="L998">IF($A998="", "", LET(bbgm_stat, INDEX(Players!$A997:$P997, MATCH(L$2, Players!$A$1:$P$1, 0)), perc_75, VLOOKUP(L$2, Percentiles!$A$45:$I$59, 6, FALSE), perc_90, VLOOKUP(L$2, Percentiles!$A$45:$I$59, 7, FALSE), perc_95, VLOOKUP(L$2, Percentiles!$A$45:$I$59, 8, FALSE), perc_85, perc_75 + (perc_90 - perc_75) * (2/3), converted_stat, '2K_Ratings'!L998, IF(bbgm_stat &gt;= perc_95, converted_stat * 3, IF(bbgm_stat &gt;= perc_90, converted_stat * 2, IF(bbgm_stat &gt;= perc_85, converted_stat * 1.5, converted_stat)))))</f>
        <v/>
      </c>
      <c r="M998" s="30" t="str">
        <f t="array" ref="M998">IF($A998="", "", LET(bbgm_stat, INDEX(Players!$A997:$P997, MATCH(M$2, Players!$A$1:$P$1, 0)), perc_75, VLOOKUP(M$2, Percentiles!$A$45:$I$59, 6, FALSE), perc_90, VLOOKUP(M$2, Percentiles!$A$45:$I$59, 7, FALSE), perc_95, VLOOKUP(M$2, Percentiles!$A$45:$I$59, 8, FALSE), perc_85, perc_75 + (perc_90 - perc_75) * (2/3), converted_stat, '2K_Ratings'!M998, IF(bbgm_stat &gt;= perc_95, converted_stat * 3, IF(bbgm_stat &gt;= perc_90, converted_stat * 2, IF(bbgm_stat &gt;= perc_85, converted_stat * 1.5, converted_stat)))))</f>
        <v/>
      </c>
      <c r="N998" s="30" t="str">
        <f t="array" ref="N998">IF($A998="", "", LET(bbgm_stat, INDEX(Players!$A997:$P997, MATCH(N$2, Players!$A$1:$P$1, 0)), perc_75, VLOOKUP(N$2, Percentiles!$A$45:$I$59, 6, FALSE), perc_90, VLOOKUP(N$2, Percentiles!$A$45:$I$59, 7, FALSE), perc_95, VLOOKUP(N$2, Percentiles!$A$45:$I$59, 8, FALSE), perc_85, perc_75 + (perc_90 - perc_75) * (2/3), converted_stat, '2K_Ratings'!N998, IF(bbgm_stat &gt;= perc_95, converted_stat * 3, IF(bbgm_stat &gt;= perc_90, converted_stat * 2, IF(bbgm_stat &gt;= perc_85, converted_stat * 1.5, converted_stat)))))</f>
        <v/>
      </c>
      <c r="O998" s="30" t="str">
        <f t="array" ref="O998">IF($A998="", "", LET(bbgm_stat, INDEX(Players!$A997:$P997, MATCH(O$2, Players!$A$1:$P$1, 0)), perc_75, VLOOKUP(O$2, Percentiles!$A$45:$I$59, 6, FALSE), perc_90, VLOOKUP(O$2, Percentiles!$A$45:$I$59, 7, FALSE), perc_95, VLOOKUP(O$2, Percentiles!$A$45:$I$59, 8, FALSE), perc_85, perc_75 + (perc_90 - perc_75) * (2/3), converted_stat, '2K_Ratings'!O998, IF(bbgm_stat &gt;= perc_95, converted_stat * 3, IF(bbgm_stat &gt;= perc_90, converted_stat * 2, IF(bbgm_stat &gt;= perc_85, converted_stat * 1.5, converted_stat)))))</f>
        <v/>
      </c>
      <c r="P998" s="30" t="str">
        <f t="array" ref="P998">IF($A998="", "", LET(bbgm_stat, INDEX(Players!$A997:$P997, MATCH(P$2, Players!$A$1:$P$1, 0)), perc_75, VLOOKUP(P$2, Percentiles!$A$45:$I$59, 6, FALSE), perc_90, VLOOKUP(P$2, Percentiles!$A$45:$I$59, 7, FALSE), perc_95, VLOOKUP(P$2, Percentiles!$A$45:$I$59, 8, FALSE), perc_85, perc_75 + (perc_90 - perc_75) * (2/3), converted_stat, '2K_Ratings'!P998, IF(bbgm_stat &gt;= perc_95, converted_stat * 3, IF(bbgm_stat &gt;= perc_90, converted_stat * 2, IF(bbgm_stat &gt;= perc_85, converted_stat * 1.5, converted_stat)))))</f>
        <v/>
      </c>
      <c r="Q998" s="30" t="str">
        <f t="array" ref="Q998">IF($A998="", "", LET(bbgm_stat, INDEX(Players!$A997:$P997, MATCH(Q$2, Players!$A$1:$P$1, 0)), perc_75, VLOOKUP(Q$2, Percentiles!$A$45:$I$59, 6, FALSE), perc_90, VLOOKUP(Q$2, Percentiles!$A$45:$I$59, 7, FALSE), perc_95, VLOOKUP(Q$2, Percentiles!$A$45:$I$59, 8, FALSE), perc_85, perc_75 + (perc_90 - perc_75) * (2/3), converted_stat, '2K_Ratings'!Q998, IF(bbgm_stat &gt;= perc_95, converted_stat * 3, IF(bbgm_stat &gt;= perc_90, converted_stat * 2, IF(bbgm_stat &gt;= perc_85, converted_stat * 1.5, converted_stat)))))</f>
        <v/>
      </c>
      <c r="R998" s="30" t="str">
        <f t="array" ref="R998">IF($A998="", "", LET(bbgm_stat, INDEX(Players!$A997:$P997, MATCH(R$2, Players!$A$1:$P$1, 0)), perc_75, VLOOKUP(R$2, Percentiles!$A$45:$I$59, 6, FALSE), perc_90, VLOOKUP(R$2, Percentiles!$A$45:$I$59, 7, FALSE), perc_95, VLOOKUP(R$2, Percentiles!$A$45:$I$59, 8, FALSE), perc_85, perc_75 + (perc_90 - perc_75) * (2/3), converted_stat, '2K_Ratings'!R998, IF(bbgm_stat &gt;= perc_95, converted_stat * 3, IF(bbgm_stat &gt;= perc_90, converted_stat * 2, IF(bbgm_stat &gt;= perc_85, converted_stat * 1.5, converted_stat)))))</f>
        <v/>
      </c>
      <c r="S998" s="30" t="str">
        <f t="array" ref="S998">IF($A998="", "", LET(bbgm_stat, INDEX(Players!$A997:$P997, MATCH(S$2, Players!$A$1:$P$1, 0)), perc_75, VLOOKUP(S$2, Percentiles!$A$45:$I$59, 6, FALSE), perc_90, VLOOKUP(S$2, Percentiles!$A$45:$I$59, 7, FALSE), perc_95, VLOOKUP(S$2, Percentiles!$A$45:$I$59, 8, FALSE), perc_85, perc_75 + (perc_90 - perc_75) * (2/3), converted_stat, '2K_Ratings'!S998, IF(bbgm_stat &gt;= perc_95, converted_stat * 3, IF(bbgm_stat &gt;= perc_90, converted_stat * 2, IF(bbgm_stat &gt;= perc_85, converted_stat * 1.5, converted_stat)))))</f>
        <v/>
      </c>
      <c r="T998" s="30" t="str">
        <f t="array" ref="T998">IF($A998="", "", LET(bbgm_stat, INDEX(Players!$A997:$P997, MATCH(T$2, Players!$A$1:$P$1, 0)), perc_75, VLOOKUP(T$2, Percentiles!$A$45:$I$59, 6, FALSE), perc_90, VLOOKUP(T$2, Percentiles!$A$45:$I$59, 7, FALSE), perc_95, VLOOKUP(T$2, Percentiles!$A$45:$I$59, 8, FALSE), perc_85, perc_75 + (perc_90 - perc_75) * (2/3), converted_stat, '2K_Ratings'!T998, IF(bbgm_stat &gt;= perc_95, converted_stat * 3, IF(bbgm_stat &gt;= perc_90, converted_stat * 2, IF(bbgm_stat &gt;= perc_85, converted_stat * 1.5, converted_stat)))))</f>
        <v/>
      </c>
      <c r="U998" s="30" t="str">
        <f t="array" ref="U998">IF($A998="", "", LET(bbgm_stat, INDEX(Players!$A997:$P997, MATCH(U$2, Players!$A$1:$P$1, 0)), perc_75, VLOOKUP(U$2, Percentiles!$A$45:$I$59, 6, FALSE), perc_90, VLOOKUP(U$2, Percentiles!$A$45:$I$59, 7, FALSE), perc_95, VLOOKUP(U$2, Percentiles!$A$45:$I$59, 8, FALSE), perc_85, perc_75 + (perc_90 - perc_75) * (2/3), converted_stat, '2K_Ratings'!U998, IF(bbgm_stat &gt;= perc_95, converted_stat * 3, IF(bbgm_stat &gt;= perc_90, converted_stat * 2, IF(bbgm_stat &gt;= perc_85, converted_stat * 1.5, converted_stat)))))</f>
        <v/>
      </c>
      <c r="V998" s="30" t="str">
        <f t="array" ref="V998">IF($A998="", "", LET(bbgm_stat, INDEX(Players!$A997:$P997, MATCH(V$2, Players!$A$1:$P$1, 0)), perc_75, VLOOKUP(V$2, Percentiles!$A$45:$I$59, 6, FALSE), perc_90, VLOOKUP(V$2, Percentiles!$A$45:$I$59, 7, FALSE), perc_95, VLOOKUP(V$2, Percentiles!$A$45:$I$59, 8, FALSE), perc_85, perc_75 + (perc_90 - perc_75) * (2/3), converted_stat, '2K_Ratings'!V998, IF(bbgm_stat &gt;= perc_95, converted_stat * 3, IF(bbgm_stat &gt;= perc_90, converted_stat * 2, IF(bbgm_stat &gt;= perc_85, converted_stat * 1.5, converted_stat)))))</f>
        <v/>
      </c>
      <c r="W998" s="30" t="str">
        <f t="array" ref="W998">IF($A998="", "", LET(bbgm_stat, INDEX(Players!$A997:$P997, MATCH(W$2, Players!$A$1:$P$1, 0)), perc_75, VLOOKUP(W$2, Percentiles!$A$45:$I$59, 6, FALSE), perc_90, VLOOKUP(W$2, Percentiles!$A$45:$I$59, 7, FALSE), perc_95, VLOOKUP(W$2, Percentiles!$A$45:$I$59, 8, FALSE), perc_85, perc_75 + (perc_90 - perc_75) * (2/3), converted_stat, '2K_Ratings'!W998, IF(bbgm_stat &gt;= perc_95, converted_stat * 3, IF(bbgm_stat &gt;= perc_90, converted_stat * 2, IF(bbgm_stat &gt;= perc_85, converted_stat * 1.5, converted_stat)))))</f>
        <v/>
      </c>
    </row>
    <row r="999">
      <c r="A999" s="30"/>
      <c r="B999" s="30" t="str">
        <f t="array" ref="B999">IF($A999="", "", LET(bbgm_stat, INDEX(Players!$A998:$P998, MATCH(B$2, Players!$A$1:$P$1, 0)), perc_75, VLOOKUP(B$2, Percentiles!$A$45:$I$59, 6, FALSE), perc_90, VLOOKUP(B$2, Percentiles!$A$45:$I$59, 7, FALSE), perc_95, VLOOKUP(B$2, Percentiles!$A$45:$I$59, 8, FALSE), perc_85, perc_75 + (perc_90 - perc_75) * (2/3), converted_stat, '2K_Ratings'!B999, IF(bbgm_stat &gt;= perc_95, converted_stat * 3, IF(bbgm_stat &gt;= perc_90, converted_stat * 2, IF(bbgm_stat &gt;= perc_85, converted_stat * 1.5, converted_stat)))))</f>
        <v/>
      </c>
      <c r="C999" s="30" t="str">
        <f t="array" ref="C999">IF($A999="", "", LET(bbgm_stat, INDEX(Players!$A998:$P998, MATCH(C$2, Players!$A$1:$P$1, 0)), perc_75, VLOOKUP(C$2, Percentiles!$A$45:$I$59, 6, FALSE), perc_90, VLOOKUP(C$2, Percentiles!$A$45:$I$59, 7, FALSE), perc_95, VLOOKUP(C$2, Percentiles!$A$45:$I$59, 8, FALSE), perc_85, perc_75 + (perc_90 - perc_75) * (2/3), converted_stat, '2K_Ratings'!C999, IF(bbgm_stat &gt;= perc_95, converted_stat * 3, IF(bbgm_stat &gt;= perc_90, converted_stat * 2, IF(bbgm_stat &gt;= perc_85, converted_stat * 1.5, converted_stat)))))</f>
        <v/>
      </c>
      <c r="D999" s="30" t="str">
        <f t="array" ref="D999">IF($A999="", "", LET(bbgm_stat, INDEX(Players!$A998:$P998, MATCH(D$2, Players!$A$1:$P$1, 0)), perc_75, VLOOKUP(D$2, Percentiles!$A$45:$I$59, 6, FALSE), perc_90, VLOOKUP(D$2, Percentiles!$A$45:$I$59, 7, FALSE), perc_95, VLOOKUP(D$2, Percentiles!$A$45:$I$59, 8, FALSE), perc_85, perc_75 + (perc_90 - perc_75) * (2/3), converted_stat, '2K_Ratings'!D999, IF(bbgm_stat &gt;= perc_95, converted_stat * 3, IF(bbgm_stat &gt;= perc_90, converted_stat * 2, IF(bbgm_stat &gt;= perc_85, converted_stat * 1.5, converted_stat)))))</f>
        <v/>
      </c>
      <c r="E999" s="30" t="str">
        <f t="array" ref="E999">IF($A999="", "", LET(bbgm_stat, INDEX(Players!$A998:$P998, MATCH(E$2, Players!$A$1:$P$1, 0)), perc_75, VLOOKUP(E$2, Percentiles!$A$45:$I$59, 6, FALSE), perc_90, VLOOKUP(E$2, Percentiles!$A$45:$I$59, 7, FALSE), perc_95, VLOOKUP(E$2, Percentiles!$A$45:$I$59, 8, FALSE), perc_85, perc_75 + (perc_90 - perc_75) * (2/3), converted_stat, '2K_Ratings'!E999, IF(bbgm_stat &gt;= perc_95, converted_stat * 3, IF(bbgm_stat &gt;= perc_90, converted_stat * 2, IF(bbgm_stat &gt;= perc_85, converted_stat * 1.5, converted_stat)))))</f>
        <v/>
      </c>
      <c r="F999" s="30" t="str">
        <f t="array" ref="F999">IF($A999="", "", LET(bbgm_stat, INDEX(Players!$A998:$P998, MATCH(F$2, Players!$A$1:$P$1, 0)), perc_75, VLOOKUP(F$2, Percentiles!$A$45:$I$59, 6, FALSE), perc_90, VLOOKUP(F$2, Percentiles!$A$45:$I$59, 7, FALSE), perc_95, VLOOKUP(F$2, Percentiles!$A$45:$I$59, 8, FALSE), perc_85, perc_75 + (perc_90 - perc_75) * (2/3), converted_stat, '2K_Ratings'!F999, IF(bbgm_stat &gt;= perc_95, converted_stat * 3, IF(bbgm_stat &gt;= perc_90, converted_stat * 2, IF(bbgm_stat &gt;= perc_85, converted_stat * 1.5, converted_stat)))))</f>
        <v/>
      </c>
      <c r="G999" s="30" t="str">
        <f t="array" ref="G999">IF($A999="", "", LET(bbgm_stat, INDEX(Players!$A998:$P998, MATCH(G$2, Players!$A$1:$P$1, 0)), perc_75, VLOOKUP(G$2, Percentiles!$A$45:$I$59, 6, FALSE), perc_90, VLOOKUP(G$2, Percentiles!$A$45:$I$59, 7, FALSE), perc_95, VLOOKUP(G$2, Percentiles!$A$45:$I$59, 8, FALSE), perc_85, perc_75 + (perc_90 - perc_75) * (2/3), converted_stat, '2K_Ratings'!G999, IF(bbgm_stat &gt;= perc_95, converted_stat * 3, IF(bbgm_stat &gt;= perc_90, converted_stat * 2, IF(bbgm_stat &gt;= perc_85, converted_stat * 1.5, converted_stat)))))</f>
        <v/>
      </c>
      <c r="H999" s="30" t="str">
        <f t="array" ref="H999">IF($A999="", "", LET(bbgm_stat, INDEX(Players!$A998:$P998, MATCH(H$2, Players!$A$1:$P$1, 0)), perc_75, VLOOKUP(H$2, Percentiles!$A$45:$I$59, 6, FALSE), perc_90, VLOOKUP(H$2, Percentiles!$A$45:$I$59, 7, FALSE), perc_95, VLOOKUP(H$2, Percentiles!$A$45:$I$59, 8, FALSE), perc_85, perc_75 + (perc_90 - perc_75) * (2/3), converted_stat, '2K_Ratings'!H999, IF(bbgm_stat &gt;= perc_95, converted_stat * 3, IF(bbgm_stat &gt;= perc_90, converted_stat * 2, IF(bbgm_stat &gt;= perc_85, converted_stat * 1.5, converted_stat)))))</f>
        <v/>
      </c>
      <c r="I999" s="30" t="str">
        <f t="array" ref="I999">IF($A999="", "", LET(bbgm_stat, INDEX(Players!$A998:$P998, MATCH(I$2, Players!$A$1:$P$1, 0)), perc_75, VLOOKUP(I$2, Percentiles!$A$45:$I$59, 6, FALSE), perc_90, VLOOKUP(I$2, Percentiles!$A$45:$I$59, 7, FALSE), perc_95, VLOOKUP(I$2, Percentiles!$A$45:$I$59, 8, FALSE), perc_85, perc_75 + (perc_90 - perc_75) * (2/3), converted_stat, '2K_Ratings'!I999, IF(bbgm_stat &gt;= perc_95, converted_stat * 3, IF(bbgm_stat &gt;= perc_90, converted_stat * 2, IF(bbgm_stat &gt;= perc_85, converted_stat * 1.5, converted_stat)))))</f>
        <v/>
      </c>
      <c r="J999" s="30" t="str">
        <f t="array" ref="J999">IF($A999="", "", LET(bbgm_stat, INDEX(Players!$A998:$P998, MATCH(J$2, Players!$A$1:$P$1, 0)), perc_75, VLOOKUP(J$2, Percentiles!$A$45:$I$59, 6, FALSE), perc_90, VLOOKUP(J$2, Percentiles!$A$45:$I$59, 7, FALSE), perc_95, VLOOKUP(J$2, Percentiles!$A$45:$I$59, 8, FALSE), perc_85, perc_75 + (perc_90 - perc_75) * (2/3), converted_stat, '2K_Ratings'!J999, IF(bbgm_stat &gt;= perc_95, converted_stat * 3, IF(bbgm_stat &gt;= perc_90, converted_stat * 2, IF(bbgm_stat &gt;= perc_85, converted_stat * 1.5, converted_stat)))))</f>
        <v/>
      </c>
      <c r="K999" s="30" t="str">
        <f t="array" ref="K999">IF($A999="", "", LET(bbgm_stat, INDEX(Players!$A998:$P998, MATCH(K$2, Players!$A$1:$P$1, 0)), perc_75, VLOOKUP(K$2, Percentiles!$A$45:$I$59, 6, FALSE), perc_90, VLOOKUP(K$2, Percentiles!$A$45:$I$59, 7, FALSE), perc_95, VLOOKUP(K$2, Percentiles!$A$45:$I$59, 8, FALSE), perc_85, perc_75 + (perc_90 - perc_75) * (2/3), converted_stat, '2K_Ratings'!K999, IF(bbgm_stat &gt;= perc_95, converted_stat * 3, IF(bbgm_stat &gt;= perc_90, converted_stat * 2, IF(bbgm_stat &gt;= perc_85, converted_stat * 1.5, converted_stat)))))</f>
        <v/>
      </c>
      <c r="L999" s="30" t="str">
        <f t="array" ref="L999">IF($A999="", "", LET(bbgm_stat, INDEX(Players!$A998:$P998, MATCH(L$2, Players!$A$1:$P$1, 0)), perc_75, VLOOKUP(L$2, Percentiles!$A$45:$I$59, 6, FALSE), perc_90, VLOOKUP(L$2, Percentiles!$A$45:$I$59, 7, FALSE), perc_95, VLOOKUP(L$2, Percentiles!$A$45:$I$59, 8, FALSE), perc_85, perc_75 + (perc_90 - perc_75) * (2/3), converted_stat, '2K_Ratings'!L999, IF(bbgm_stat &gt;= perc_95, converted_stat * 3, IF(bbgm_stat &gt;= perc_90, converted_stat * 2, IF(bbgm_stat &gt;= perc_85, converted_stat * 1.5, converted_stat)))))</f>
        <v/>
      </c>
      <c r="M999" s="30" t="str">
        <f t="array" ref="M999">IF($A999="", "", LET(bbgm_stat, INDEX(Players!$A998:$P998, MATCH(M$2, Players!$A$1:$P$1, 0)), perc_75, VLOOKUP(M$2, Percentiles!$A$45:$I$59, 6, FALSE), perc_90, VLOOKUP(M$2, Percentiles!$A$45:$I$59, 7, FALSE), perc_95, VLOOKUP(M$2, Percentiles!$A$45:$I$59, 8, FALSE), perc_85, perc_75 + (perc_90 - perc_75) * (2/3), converted_stat, '2K_Ratings'!M999, IF(bbgm_stat &gt;= perc_95, converted_stat * 3, IF(bbgm_stat &gt;= perc_90, converted_stat * 2, IF(bbgm_stat &gt;= perc_85, converted_stat * 1.5, converted_stat)))))</f>
        <v/>
      </c>
      <c r="N999" s="30" t="str">
        <f t="array" ref="N999">IF($A999="", "", LET(bbgm_stat, INDEX(Players!$A998:$P998, MATCH(N$2, Players!$A$1:$P$1, 0)), perc_75, VLOOKUP(N$2, Percentiles!$A$45:$I$59, 6, FALSE), perc_90, VLOOKUP(N$2, Percentiles!$A$45:$I$59, 7, FALSE), perc_95, VLOOKUP(N$2, Percentiles!$A$45:$I$59, 8, FALSE), perc_85, perc_75 + (perc_90 - perc_75) * (2/3), converted_stat, '2K_Ratings'!N999, IF(bbgm_stat &gt;= perc_95, converted_stat * 3, IF(bbgm_stat &gt;= perc_90, converted_stat * 2, IF(bbgm_stat &gt;= perc_85, converted_stat * 1.5, converted_stat)))))</f>
        <v/>
      </c>
      <c r="O999" s="30" t="str">
        <f t="array" ref="O999">IF($A999="", "", LET(bbgm_stat, INDEX(Players!$A998:$P998, MATCH(O$2, Players!$A$1:$P$1, 0)), perc_75, VLOOKUP(O$2, Percentiles!$A$45:$I$59, 6, FALSE), perc_90, VLOOKUP(O$2, Percentiles!$A$45:$I$59, 7, FALSE), perc_95, VLOOKUP(O$2, Percentiles!$A$45:$I$59, 8, FALSE), perc_85, perc_75 + (perc_90 - perc_75) * (2/3), converted_stat, '2K_Ratings'!O999, IF(bbgm_stat &gt;= perc_95, converted_stat * 3, IF(bbgm_stat &gt;= perc_90, converted_stat * 2, IF(bbgm_stat &gt;= perc_85, converted_stat * 1.5, converted_stat)))))</f>
        <v/>
      </c>
      <c r="P999" s="30" t="str">
        <f t="array" ref="P999">IF($A999="", "", LET(bbgm_stat, INDEX(Players!$A998:$P998, MATCH(P$2, Players!$A$1:$P$1, 0)), perc_75, VLOOKUP(P$2, Percentiles!$A$45:$I$59, 6, FALSE), perc_90, VLOOKUP(P$2, Percentiles!$A$45:$I$59, 7, FALSE), perc_95, VLOOKUP(P$2, Percentiles!$A$45:$I$59, 8, FALSE), perc_85, perc_75 + (perc_90 - perc_75) * (2/3), converted_stat, '2K_Ratings'!P999, IF(bbgm_stat &gt;= perc_95, converted_stat * 3, IF(bbgm_stat &gt;= perc_90, converted_stat * 2, IF(bbgm_stat &gt;= perc_85, converted_stat * 1.5, converted_stat)))))</f>
        <v/>
      </c>
      <c r="Q999" s="30" t="str">
        <f t="array" ref="Q999">IF($A999="", "", LET(bbgm_stat, INDEX(Players!$A998:$P998, MATCH(Q$2, Players!$A$1:$P$1, 0)), perc_75, VLOOKUP(Q$2, Percentiles!$A$45:$I$59, 6, FALSE), perc_90, VLOOKUP(Q$2, Percentiles!$A$45:$I$59, 7, FALSE), perc_95, VLOOKUP(Q$2, Percentiles!$A$45:$I$59, 8, FALSE), perc_85, perc_75 + (perc_90 - perc_75) * (2/3), converted_stat, '2K_Ratings'!Q999, IF(bbgm_stat &gt;= perc_95, converted_stat * 3, IF(bbgm_stat &gt;= perc_90, converted_stat * 2, IF(bbgm_stat &gt;= perc_85, converted_stat * 1.5, converted_stat)))))</f>
        <v/>
      </c>
      <c r="R999" s="30" t="str">
        <f t="array" ref="R999">IF($A999="", "", LET(bbgm_stat, INDEX(Players!$A998:$P998, MATCH(R$2, Players!$A$1:$P$1, 0)), perc_75, VLOOKUP(R$2, Percentiles!$A$45:$I$59, 6, FALSE), perc_90, VLOOKUP(R$2, Percentiles!$A$45:$I$59, 7, FALSE), perc_95, VLOOKUP(R$2, Percentiles!$A$45:$I$59, 8, FALSE), perc_85, perc_75 + (perc_90 - perc_75) * (2/3), converted_stat, '2K_Ratings'!R999, IF(bbgm_stat &gt;= perc_95, converted_stat * 3, IF(bbgm_stat &gt;= perc_90, converted_stat * 2, IF(bbgm_stat &gt;= perc_85, converted_stat * 1.5, converted_stat)))))</f>
        <v/>
      </c>
      <c r="S999" s="30" t="str">
        <f t="array" ref="S999">IF($A999="", "", LET(bbgm_stat, INDEX(Players!$A998:$P998, MATCH(S$2, Players!$A$1:$P$1, 0)), perc_75, VLOOKUP(S$2, Percentiles!$A$45:$I$59, 6, FALSE), perc_90, VLOOKUP(S$2, Percentiles!$A$45:$I$59, 7, FALSE), perc_95, VLOOKUP(S$2, Percentiles!$A$45:$I$59, 8, FALSE), perc_85, perc_75 + (perc_90 - perc_75) * (2/3), converted_stat, '2K_Ratings'!S999, IF(bbgm_stat &gt;= perc_95, converted_stat * 3, IF(bbgm_stat &gt;= perc_90, converted_stat * 2, IF(bbgm_stat &gt;= perc_85, converted_stat * 1.5, converted_stat)))))</f>
        <v/>
      </c>
      <c r="T999" s="30" t="str">
        <f t="array" ref="T999">IF($A999="", "", LET(bbgm_stat, INDEX(Players!$A998:$P998, MATCH(T$2, Players!$A$1:$P$1, 0)), perc_75, VLOOKUP(T$2, Percentiles!$A$45:$I$59, 6, FALSE), perc_90, VLOOKUP(T$2, Percentiles!$A$45:$I$59, 7, FALSE), perc_95, VLOOKUP(T$2, Percentiles!$A$45:$I$59, 8, FALSE), perc_85, perc_75 + (perc_90 - perc_75) * (2/3), converted_stat, '2K_Ratings'!T999, IF(bbgm_stat &gt;= perc_95, converted_stat * 3, IF(bbgm_stat &gt;= perc_90, converted_stat * 2, IF(bbgm_stat &gt;= perc_85, converted_stat * 1.5, converted_stat)))))</f>
        <v/>
      </c>
      <c r="U999" s="30" t="str">
        <f t="array" ref="U999">IF($A999="", "", LET(bbgm_stat, INDEX(Players!$A998:$P998, MATCH(U$2, Players!$A$1:$P$1, 0)), perc_75, VLOOKUP(U$2, Percentiles!$A$45:$I$59, 6, FALSE), perc_90, VLOOKUP(U$2, Percentiles!$A$45:$I$59, 7, FALSE), perc_95, VLOOKUP(U$2, Percentiles!$A$45:$I$59, 8, FALSE), perc_85, perc_75 + (perc_90 - perc_75) * (2/3), converted_stat, '2K_Ratings'!U999, IF(bbgm_stat &gt;= perc_95, converted_stat * 3, IF(bbgm_stat &gt;= perc_90, converted_stat * 2, IF(bbgm_stat &gt;= perc_85, converted_stat * 1.5, converted_stat)))))</f>
        <v/>
      </c>
      <c r="V999" s="30" t="str">
        <f t="array" ref="V999">IF($A999="", "", LET(bbgm_stat, INDEX(Players!$A998:$P998, MATCH(V$2, Players!$A$1:$P$1, 0)), perc_75, VLOOKUP(V$2, Percentiles!$A$45:$I$59, 6, FALSE), perc_90, VLOOKUP(V$2, Percentiles!$A$45:$I$59, 7, FALSE), perc_95, VLOOKUP(V$2, Percentiles!$A$45:$I$59, 8, FALSE), perc_85, perc_75 + (perc_90 - perc_75) * (2/3), converted_stat, '2K_Ratings'!V999, IF(bbgm_stat &gt;= perc_95, converted_stat * 3, IF(bbgm_stat &gt;= perc_90, converted_stat * 2, IF(bbgm_stat &gt;= perc_85, converted_stat * 1.5, converted_stat)))))</f>
        <v/>
      </c>
      <c r="W999" s="30" t="str">
        <f t="array" ref="W999">IF($A999="", "", LET(bbgm_stat, INDEX(Players!$A998:$P998, MATCH(W$2, Players!$A$1:$P$1, 0)), perc_75, VLOOKUP(W$2, Percentiles!$A$45:$I$59, 6, FALSE), perc_90, VLOOKUP(W$2, Percentiles!$A$45:$I$59, 7, FALSE), perc_95, VLOOKUP(W$2, Percentiles!$A$45:$I$59, 8, FALSE), perc_85, perc_75 + (perc_90 - perc_75) * (2/3), converted_stat, '2K_Ratings'!W999, IF(bbgm_stat &gt;= perc_95, converted_stat * 3, IF(bbgm_stat &gt;= perc_90, converted_stat * 2, IF(bbgm_stat &gt;= perc_85, converted_stat * 1.5, converted_stat)))))</f>
        <v/>
      </c>
    </row>
    <row r="1000">
      <c r="A1000" s="30"/>
      <c r="B1000" s="30" t="str">
        <f t="array" ref="B1000">IF($A1000="", "", LET(bbgm_stat, INDEX(Players!$A999:$P999, MATCH(B$2, Players!$A$1:$P$1, 0)), perc_75, VLOOKUP(B$2, Percentiles!$A$45:$I$59, 6, FALSE), perc_90, VLOOKUP(B$2, Percentiles!$A$45:$I$59, 7, FALSE), perc_95, VLOOKUP(B$2, Percentiles!$A$45:$I$59, 8, FALSE), perc_85, perc_75 + (perc_90 - perc_75) * (2/3), converted_stat, '2K_Ratings'!B1000, IF(bbgm_stat &gt;= perc_95, converted_stat * 3, IF(bbgm_stat &gt;= perc_90, converted_stat * 2, IF(bbgm_stat &gt;= perc_85, converted_stat * 1.5, converted_stat)))))</f>
        <v/>
      </c>
      <c r="C1000" s="30" t="str">
        <f t="array" ref="C1000">IF($A1000="", "", LET(bbgm_stat, INDEX(Players!$A999:$P999, MATCH(C$2, Players!$A$1:$P$1, 0)), perc_75, VLOOKUP(C$2, Percentiles!$A$45:$I$59, 6, FALSE), perc_90, VLOOKUP(C$2, Percentiles!$A$45:$I$59, 7, FALSE), perc_95, VLOOKUP(C$2, Percentiles!$A$45:$I$59, 8, FALSE), perc_85, perc_75 + (perc_90 - perc_75) * (2/3), converted_stat, '2K_Ratings'!C1000, IF(bbgm_stat &gt;= perc_95, converted_stat * 3, IF(bbgm_stat &gt;= perc_90, converted_stat * 2, IF(bbgm_stat &gt;= perc_85, converted_stat * 1.5, converted_stat)))))</f>
        <v/>
      </c>
      <c r="D1000" s="30" t="str">
        <f t="array" ref="D1000">IF($A1000="", "", LET(bbgm_stat, INDEX(Players!$A999:$P999, MATCH(D$2, Players!$A$1:$P$1, 0)), perc_75, VLOOKUP(D$2, Percentiles!$A$45:$I$59, 6, FALSE), perc_90, VLOOKUP(D$2, Percentiles!$A$45:$I$59, 7, FALSE), perc_95, VLOOKUP(D$2, Percentiles!$A$45:$I$59, 8, FALSE), perc_85, perc_75 + (perc_90 - perc_75) * (2/3), converted_stat, '2K_Ratings'!D1000, IF(bbgm_stat &gt;= perc_95, converted_stat * 3, IF(bbgm_stat &gt;= perc_90, converted_stat * 2, IF(bbgm_stat &gt;= perc_85, converted_stat * 1.5, converted_stat)))))</f>
        <v/>
      </c>
      <c r="E1000" s="30" t="str">
        <f t="array" ref="E1000">IF($A1000="", "", LET(bbgm_stat, INDEX(Players!$A999:$P999, MATCH(E$2, Players!$A$1:$P$1, 0)), perc_75, VLOOKUP(E$2, Percentiles!$A$45:$I$59, 6, FALSE), perc_90, VLOOKUP(E$2, Percentiles!$A$45:$I$59, 7, FALSE), perc_95, VLOOKUP(E$2, Percentiles!$A$45:$I$59, 8, FALSE), perc_85, perc_75 + (perc_90 - perc_75) * (2/3), converted_stat, '2K_Ratings'!E1000, IF(bbgm_stat &gt;= perc_95, converted_stat * 3, IF(bbgm_stat &gt;= perc_90, converted_stat * 2, IF(bbgm_stat &gt;= perc_85, converted_stat * 1.5, converted_stat)))))</f>
        <v/>
      </c>
      <c r="F1000" s="30" t="str">
        <f t="array" ref="F1000">IF($A1000="", "", LET(bbgm_stat, INDEX(Players!$A999:$P999, MATCH(F$2, Players!$A$1:$P$1, 0)), perc_75, VLOOKUP(F$2, Percentiles!$A$45:$I$59, 6, FALSE), perc_90, VLOOKUP(F$2, Percentiles!$A$45:$I$59, 7, FALSE), perc_95, VLOOKUP(F$2, Percentiles!$A$45:$I$59, 8, FALSE), perc_85, perc_75 + (perc_90 - perc_75) * (2/3), converted_stat, '2K_Ratings'!F1000, IF(bbgm_stat &gt;= perc_95, converted_stat * 3, IF(bbgm_stat &gt;= perc_90, converted_stat * 2, IF(bbgm_stat &gt;= perc_85, converted_stat * 1.5, converted_stat)))))</f>
        <v/>
      </c>
      <c r="G1000" s="30" t="str">
        <f t="array" ref="G1000">IF($A1000="", "", LET(bbgm_stat, INDEX(Players!$A999:$P999, MATCH(G$2, Players!$A$1:$P$1, 0)), perc_75, VLOOKUP(G$2, Percentiles!$A$45:$I$59, 6, FALSE), perc_90, VLOOKUP(G$2, Percentiles!$A$45:$I$59, 7, FALSE), perc_95, VLOOKUP(G$2, Percentiles!$A$45:$I$59, 8, FALSE), perc_85, perc_75 + (perc_90 - perc_75) * (2/3), converted_stat, '2K_Ratings'!G1000, IF(bbgm_stat &gt;= perc_95, converted_stat * 3, IF(bbgm_stat &gt;= perc_90, converted_stat * 2, IF(bbgm_stat &gt;= perc_85, converted_stat * 1.5, converted_stat)))))</f>
        <v/>
      </c>
      <c r="H1000" s="30" t="str">
        <f t="array" ref="H1000">IF($A1000="", "", LET(bbgm_stat, INDEX(Players!$A999:$P999, MATCH(H$2, Players!$A$1:$P$1, 0)), perc_75, VLOOKUP(H$2, Percentiles!$A$45:$I$59, 6, FALSE), perc_90, VLOOKUP(H$2, Percentiles!$A$45:$I$59, 7, FALSE), perc_95, VLOOKUP(H$2, Percentiles!$A$45:$I$59, 8, FALSE), perc_85, perc_75 + (perc_90 - perc_75) * (2/3), converted_stat, '2K_Ratings'!H1000, IF(bbgm_stat &gt;= perc_95, converted_stat * 3, IF(bbgm_stat &gt;= perc_90, converted_stat * 2, IF(bbgm_stat &gt;= perc_85, converted_stat * 1.5, converted_stat)))))</f>
        <v/>
      </c>
      <c r="I1000" s="30" t="str">
        <f t="array" ref="I1000">IF($A1000="", "", LET(bbgm_stat, INDEX(Players!$A999:$P999, MATCH(I$2, Players!$A$1:$P$1, 0)), perc_75, VLOOKUP(I$2, Percentiles!$A$45:$I$59, 6, FALSE), perc_90, VLOOKUP(I$2, Percentiles!$A$45:$I$59, 7, FALSE), perc_95, VLOOKUP(I$2, Percentiles!$A$45:$I$59, 8, FALSE), perc_85, perc_75 + (perc_90 - perc_75) * (2/3), converted_stat, '2K_Ratings'!I1000, IF(bbgm_stat &gt;= perc_95, converted_stat * 3, IF(bbgm_stat &gt;= perc_90, converted_stat * 2, IF(bbgm_stat &gt;= perc_85, converted_stat * 1.5, converted_stat)))))</f>
        <v/>
      </c>
      <c r="J1000" s="30" t="str">
        <f t="array" ref="J1000">IF($A1000="", "", LET(bbgm_stat, INDEX(Players!$A999:$P999, MATCH(J$2, Players!$A$1:$P$1, 0)), perc_75, VLOOKUP(J$2, Percentiles!$A$45:$I$59, 6, FALSE), perc_90, VLOOKUP(J$2, Percentiles!$A$45:$I$59, 7, FALSE), perc_95, VLOOKUP(J$2, Percentiles!$A$45:$I$59, 8, FALSE), perc_85, perc_75 + (perc_90 - perc_75) * (2/3), converted_stat, '2K_Ratings'!J1000, IF(bbgm_stat &gt;= perc_95, converted_stat * 3, IF(bbgm_stat &gt;= perc_90, converted_stat * 2, IF(bbgm_stat &gt;= perc_85, converted_stat * 1.5, converted_stat)))))</f>
        <v/>
      </c>
      <c r="K1000" s="30" t="str">
        <f t="array" ref="K1000">IF($A1000="", "", LET(bbgm_stat, INDEX(Players!$A999:$P999, MATCH(K$2, Players!$A$1:$P$1, 0)), perc_75, VLOOKUP(K$2, Percentiles!$A$45:$I$59, 6, FALSE), perc_90, VLOOKUP(K$2, Percentiles!$A$45:$I$59, 7, FALSE), perc_95, VLOOKUP(K$2, Percentiles!$A$45:$I$59, 8, FALSE), perc_85, perc_75 + (perc_90 - perc_75) * (2/3), converted_stat, '2K_Ratings'!K1000, IF(bbgm_stat &gt;= perc_95, converted_stat * 3, IF(bbgm_stat &gt;= perc_90, converted_stat * 2, IF(bbgm_stat &gt;= perc_85, converted_stat * 1.5, converted_stat)))))</f>
        <v/>
      </c>
      <c r="L1000" s="30" t="str">
        <f t="array" ref="L1000">IF($A1000="", "", LET(bbgm_stat, INDEX(Players!$A999:$P999, MATCH(L$2, Players!$A$1:$P$1, 0)), perc_75, VLOOKUP(L$2, Percentiles!$A$45:$I$59, 6, FALSE), perc_90, VLOOKUP(L$2, Percentiles!$A$45:$I$59, 7, FALSE), perc_95, VLOOKUP(L$2, Percentiles!$A$45:$I$59, 8, FALSE), perc_85, perc_75 + (perc_90 - perc_75) * (2/3), converted_stat, '2K_Ratings'!L1000, IF(bbgm_stat &gt;= perc_95, converted_stat * 3, IF(bbgm_stat &gt;= perc_90, converted_stat * 2, IF(bbgm_stat &gt;= perc_85, converted_stat * 1.5, converted_stat)))))</f>
        <v/>
      </c>
      <c r="M1000" s="30" t="str">
        <f t="array" ref="M1000">IF($A1000="", "", LET(bbgm_stat, INDEX(Players!$A999:$P999, MATCH(M$2, Players!$A$1:$P$1, 0)), perc_75, VLOOKUP(M$2, Percentiles!$A$45:$I$59, 6, FALSE), perc_90, VLOOKUP(M$2, Percentiles!$A$45:$I$59, 7, FALSE), perc_95, VLOOKUP(M$2, Percentiles!$A$45:$I$59, 8, FALSE), perc_85, perc_75 + (perc_90 - perc_75) * (2/3), converted_stat, '2K_Ratings'!M1000, IF(bbgm_stat &gt;= perc_95, converted_stat * 3, IF(bbgm_stat &gt;= perc_90, converted_stat * 2, IF(bbgm_stat &gt;= perc_85, converted_stat * 1.5, converted_stat)))))</f>
        <v/>
      </c>
      <c r="N1000" s="30" t="str">
        <f t="array" ref="N1000">IF($A1000="", "", LET(bbgm_stat, INDEX(Players!$A999:$P999, MATCH(N$2, Players!$A$1:$P$1, 0)), perc_75, VLOOKUP(N$2, Percentiles!$A$45:$I$59, 6, FALSE), perc_90, VLOOKUP(N$2, Percentiles!$A$45:$I$59, 7, FALSE), perc_95, VLOOKUP(N$2, Percentiles!$A$45:$I$59, 8, FALSE), perc_85, perc_75 + (perc_90 - perc_75) * (2/3), converted_stat, '2K_Ratings'!N1000, IF(bbgm_stat &gt;= perc_95, converted_stat * 3, IF(bbgm_stat &gt;= perc_90, converted_stat * 2, IF(bbgm_stat &gt;= perc_85, converted_stat * 1.5, converted_stat)))))</f>
        <v/>
      </c>
      <c r="O1000" s="30" t="str">
        <f t="array" ref="O1000">IF($A1000="", "", LET(bbgm_stat, INDEX(Players!$A999:$P999, MATCH(O$2, Players!$A$1:$P$1, 0)), perc_75, VLOOKUP(O$2, Percentiles!$A$45:$I$59, 6, FALSE), perc_90, VLOOKUP(O$2, Percentiles!$A$45:$I$59, 7, FALSE), perc_95, VLOOKUP(O$2, Percentiles!$A$45:$I$59, 8, FALSE), perc_85, perc_75 + (perc_90 - perc_75) * (2/3), converted_stat, '2K_Ratings'!O1000, IF(bbgm_stat &gt;= perc_95, converted_stat * 3, IF(bbgm_stat &gt;= perc_90, converted_stat * 2, IF(bbgm_stat &gt;= perc_85, converted_stat * 1.5, converted_stat)))))</f>
        <v/>
      </c>
      <c r="P1000" s="30" t="str">
        <f t="array" ref="P1000">IF($A1000="", "", LET(bbgm_stat, INDEX(Players!$A999:$P999, MATCH(P$2, Players!$A$1:$P$1, 0)), perc_75, VLOOKUP(P$2, Percentiles!$A$45:$I$59, 6, FALSE), perc_90, VLOOKUP(P$2, Percentiles!$A$45:$I$59, 7, FALSE), perc_95, VLOOKUP(P$2, Percentiles!$A$45:$I$59, 8, FALSE), perc_85, perc_75 + (perc_90 - perc_75) * (2/3), converted_stat, '2K_Ratings'!P1000, IF(bbgm_stat &gt;= perc_95, converted_stat * 3, IF(bbgm_stat &gt;= perc_90, converted_stat * 2, IF(bbgm_stat &gt;= perc_85, converted_stat * 1.5, converted_stat)))))</f>
        <v/>
      </c>
      <c r="Q1000" s="30" t="str">
        <f t="array" ref="Q1000">IF($A1000="", "", LET(bbgm_stat, INDEX(Players!$A999:$P999, MATCH(Q$2, Players!$A$1:$P$1, 0)), perc_75, VLOOKUP(Q$2, Percentiles!$A$45:$I$59, 6, FALSE), perc_90, VLOOKUP(Q$2, Percentiles!$A$45:$I$59, 7, FALSE), perc_95, VLOOKUP(Q$2, Percentiles!$A$45:$I$59, 8, FALSE), perc_85, perc_75 + (perc_90 - perc_75) * (2/3), converted_stat, '2K_Ratings'!Q1000, IF(bbgm_stat &gt;= perc_95, converted_stat * 3, IF(bbgm_stat &gt;= perc_90, converted_stat * 2, IF(bbgm_stat &gt;= perc_85, converted_stat * 1.5, converted_stat)))))</f>
        <v/>
      </c>
      <c r="R1000" s="30" t="str">
        <f t="array" ref="R1000">IF($A1000="", "", LET(bbgm_stat, INDEX(Players!$A999:$P999, MATCH(R$2, Players!$A$1:$P$1, 0)), perc_75, VLOOKUP(R$2, Percentiles!$A$45:$I$59, 6, FALSE), perc_90, VLOOKUP(R$2, Percentiles!$A$45:$I$59, 7, FALSE), perc_95, VLOOKUP(R$2, Percentiles!$A$45:$I$59, 8, FALSE), perc_85, perc_75 + (perc_90 - perc_75) * (2/3), converted_stat, '2K_Ratings'!R1000, IF(bbgm_stat &gt;= perc_95, converted_stat * 3, IF(bbgm_stat &gt;= perc_90, converted_stat * 2, IF(bbgm_stat &gt;= perc_85, converted_stat * 1.5, converted_stat)))))</f>
        <v/>
      </c>
      <c r="S1000" s="30" t="str">
        <f t="array" ref="S1000">IF($A1000="", "", LET(bbgm_stat, INDEX(Players!$A999:$P999, MATCH(S$2, Players!$A$1:$P$1, 0)), perc_75, VLOOKUP(S$2, Percentiles!$A$45:$I$59, 6, FALSE), perc_90, VLOOKUP(S$2, Percentiles!$A$45:$I$59, 7, FALSE), perc_95, VLOOKUP(S$2, Percentiles!$A$45:$I$59, 8, FALSE), perc_85, perc_75 + (perc_90 - perc_75) * (2/3), converted_stat, '2K_Ratings'!S1000, IF(bbgm_stat &gt;= perc_95, converted_stat * 3, IF(bbgm_stat &gt;= perc_90, converted_stat * 2, IF(bbgm_stat &gt;= perc_85, converted_stat * 1.5, converted_stat)))))</f>
        <v/>
      </c>
      <c r="T1000" s="30" t="str">
        <f t="array" ref="T1000">IF($A1000="", "", LET(bbgm_stat, INDEX(Players!$A999:$P999, MATCH(T$2, Players!$A$1:$P$1, 0)), perc_75, VLOOKUP(T$2, Percentiles!$A$45:$I$59, 6, FALSE), perc_90, VLOOKUP(T$2, Percentiles!$A$45:$I$59, 7, FALSE), perc_95, VLOOKUP(T$2, Percentiles!$A$45:$I$59, 8, FALSE), perc_85, perc_75 + (perc_90 - perc_75) * (2/3), converted_stat, '2K_Ratings'!T1000, IF(bbgm_stat &gt;= perc_95, converted_stat * 3, IF(bbgm_stat &gt;= perc_90, converted_stat * 2, IF(bbgm_stat &gt;= perc_85, converted_stat * 1.5, converted_stat)))))</f>
        <v/>
      </c>
      <c r="U1000" s="30" t="str">
        <f t="array" ref="U1000">IF($A1000="", "", LET(bbgm_stat, INDEX(Players!$A999:$P999, MATCH(U$2, Players!$A$1:$P$1, 0)), perc_75, VLOOKUP(U$2, Percentiles!$A$45:$I$59, 6, FALSE), perc_90, VLOOKUP(U$2, Percentiles!$A$45:$I$59, 7, FALSE), perc_95, VLOOKUP(U$2, Percentiles!$A$45:$I$59, 8, FALSE), perc_85, perc_75 + (perc_90 - perc_75) * (2/3), converted_stat, '2K_Ratings'!U1000, IF(bbgm_stat &gt;= perc_95, converted_stat * 3, IF(bbgm_stat &gt;= perc_90, converted_stat * 2, IF(bbgm_stat &gt;= perc_85, converted_stat * 1.5, converted_stat)))))</f>
        <v/>
      </c>
      <c r="V1000" s="30" t="str">
        <f t="array" ref="V1000">IF($A1000="", "", LET(bbgm_stat, INDEX(Players!$A999:$P999, MATCH(V$2, Players!$A$1:$P$1, 0)), perc_75, VLOOKUP(V$2, Percentiles!$A$45:$I$59, 6, FALSE), perc_90, VLOOKUP(V$2, Percentiles!$A$45:$I$59, 7, FALSE), perc_95, VLOOKUP(V$2, Percentiles!$A$45:$I$59, 8, FALSE), perc_85, perc_75 + (perc_90 - perc_75) * (2/3), converted_stat, '2K_Ratings'!V1000, IF(bbgm_stat &gt;= perc_95, converted_stat * 3, IF(bbgm_stat &gt;= perc_90, converted_stat * 2, IF(bbgm_stat &gt;= perc_85, converted_stat * 1.5, converted_stat)))))</f>
        <v/>
      </c>
      <c r="W1000" s="30" t="str">
        <f t="array" ref="W1000">IF($A1000="", "", LET(bbgm_stat, INDEX(Players!$A999:$P999, MATCH(W$2, Players!$A$1:$P$1, 0)), perc_75, VLOOKUP(W$2, Percentiles!$A$45:$I$59, 6, FALSE), perc_90, VLOOKUP(W$2, Percentiles!$A$45:$I$59, 7, FALSE), perc_95, VLOOKUP(W$2, Percentiles!$A$45:$I$59, 8, FALSE), perc_85, perc_75 + (perc_90 - perc_75) * (2/3), converted_stat, '2K_Ratings'!W1000, IF(bbgm_stat &gt;= perc_95, converted_stat * 3, IF(bbgm_stat &gt;= perc_90, converted_stat * 2, IF(bbgm_stat &gt;= perc_85, converted_stat * 1.5, converted_stat)))))</f>
        <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
        <v>3340</v>
      </c>
      <c r="B1" s="31" t="s">
        <v>2</v>
      </c>
      <c r="C1" s="31" t="s">
        <v>23</v>
      </c>
      <c r="D1" s="31" t="s">
        <v>21</v>
      </c>
      <c r="E1" s="31" t="s">
        <v>22</v>
      </c>
      <c r="F1" s="31" t="s">
        <v>24</v>
      </c>
      <c r="G1" s="31" t="s">
        <v>4</v>
      </c>
      <c r="H1" s="31" t="s">
        <v>5</v>
      </c>
      <c r="I1" s="31" t="s">
        <v>8</v>
      </c>
      <c r="J1" s="31" t="s">
        <v>6</v>
      </c>
      <c r="K1" s="31"/>
      <c r="L1" s="31" t="s">
        <v>11</v>
      </c>
      <c r="M1" s="31" t="s">
        <v>9</v>
      </c>
      <c r="N1" s="31" t="s">
        <v>10</v>
      </c>
      <c r="O1" s="31" t="s">
        <v>15</v>
      </c>
      <c r="P1" s="31" t="s">
        <v>16</v>
      </c>
      <c r="Q1" s="31"/>
      <c r="R1" s="31"/>
      <c r="S1" s="31" t="s">
        <v>13</v>
      </c>
      <c r="T1" s="31" t="s">
        <v>14</v>
      </c>
      <c r="U1" s="32" t="s">
        <v>3321</v>
      </c>
      <c r="V1" s="31" t="s">
        <v>12</v>
      </c>
      <c r="W1" s="31" t="s">
        <v>19</v>
      </c>
      <c r="X1" s="31" t="s">
        <v>20</v>
      </c>
      <c r="Y1" s="1" t="s">
        <v>3356</v>
      </c>
      <c r="Z1" s="1" t="s">
        <v>3357</v>
      </c>
    </row>
    <row r="2">
      <c r="A2" s="30" t="str">
        <f t="array" ref="A2:A1258">IF(Archetype_DB!A2:A1758="",, Archetype_DB!A2:A1758)</f>
        <v/>
      </c>
      <c r="B2" s="30" t="str">
        <f>IFERROR(__xludf.DUMMYFUNCTION("ARRAYFORMULA(IF(Archetype_DB!A2:A1758="""",, IFERROR(((VALUE(REGEXEXTRACT(Archetype_DB!C2:C1758, ""(\d+)'"")) * 12 + VALUE(REGEXEXTRACT(Archetype_DB!C2:C1758, ""'(\d+)""))) + (VALUE(IFERROR(REGEXEXTRACT(Archetype_DB!C2:C1758, ""to (\d+)'""), REGEXEXTRACT("&amp;"Archetype_DB!C2:C1758, ""(\d+)'""))) * 12 + VALUE(IFERROR(REGEXEXTRACT(Archetype_DB!C2:C1758, ""to \d+'(\d+)""), REGEXEXTRACT(Archetype_DB!C2:C1758, ""'(\d+)""))))) / 2, )))"),"")</f>
        <v/>
      </c>
      <c r="C2" s="30" t="str">
        <f>IFERROR(__xludf.DUMMYFUNCTION("LET(res, MAP(Archetype_DB!A2:A1758, Archetype_DB!X2:X1758, LAMBDA(a, x, IF(a="""",, LET(raw, IFERROR((VALUE(REGEXEXTRACT(TRIM(TO_TEXT(x)), ""^(\\d+)"")) + VALUE(REGEXEXTRACT(TRIM(TO_TEXT(x)), ""(\\d+)$""))) / 2, ), IF(ISNUMBER(raw), FORECAST(raw, XLOOKUP("&amp;"""Stre"", Percentiles!$A$45:$A$59, Percentiles!$B$45:$I$59), XLOOKUP(""Strength"", Percentiles!$A$21:$A$41, Percentiles!$B$21:$I$41)), ))))), ARRAYFORMULA(IF(ISNUMBER(res), IF(res&gt;99, 99, res), res)))"),"")</f>
        <v/>
      </c>
      <c r="D2" s="30" t="str">
        <f>IFERROR(__xludf.DUMMYFUNCTION("LET(res, MAP(Archetype_DB!A2:A1758, Archetype_DB!V2:V1758, LAMBDA(a, x, IF(a="""",, LET(raw, IFERROR((VALUE(REGEXEXTRACT(TRIM(TO_TEXT(x)), ""^(\\d+)"")) + VALUE(REGEXEXTRACT(TRIM(TO_TEXT(x)), ""(\\d+)$""))) / 2, ), IF(ISNUMBER(raw), FORECAST(raw, XLOOKUP("&amp;"""Spd"", Percentiles!$A$45:$A$59, Percentiles!$B$45:$I$59), XLOOKUP(""Speed"", Percentiles!$A$21:$A$41, Percentiles!$B$21:$I$41)), ))))), ARRAYFORMULA(IF(ISNUMBER(res), IF(res&gt;99, 99, res), res)))"),"")</f>
        <v/>
      </c>
      <c r="E2" s="30" t="str">
        <f>IFERROR(__xludf.DUMMYFUNCTION("LET(res, MAP(Archetype_DB!A2:A1758, Archetype_DB!W2:W1758, LAMBDA(a, x, IF(a="""",, LET(raw, IFERROR((VALUE(REGEXEXTRACT(TRIM(TO_TEXT(x)), ""^(\\d+)"")) + VALUE(REGEXEXTRACT(TRIM(TO_TEXT(x)), ""(\\d+)$""))) / 2, ), IF(ISNUMBER(raw), FORECAST(raw, XLOOKUP("&amp;"""Spd"", Percentiles!$A$45:$A$59, Percentiles!$B$45:$I$59), XLOOKUP(""Agility"", Percentiles!$A$21:$A$41, Percentiles!$B$21:$I$41)), ))))), ARRAYFORMULA(IF(ISNUMBER(res), IF(res&gt;99, 99, res), res)))"),"")</f>
        <v/>
      </c>
      <c r="F2" s="30" t="str">
        <f>IFERROR(__xludf.DUMMYFUNCTION("LET(res, MAP(Archetype_DB!A2:A1758, Archetype_DB!Y2:Y1758, LAMBDA(a, x, IF(a="""",, LET(raw, IFERROR((VALUE(REGEXEXTRACT(TRIM(TO_TEXT(x)), ""^(\\d+)"")) + VALUE(REGEXEXTRACT(TRIM(TO_TEXT(x)), ""(\\d+)$""))) / 2, ), IF(ISNUMBER(raw), FORECAST(raw, XLOOKUP("&amp;"""Jmp"", Percentiles!$A$45:$A$59, Percentiles!$B$45:$I$59), XLOOKUP(""Vertical"", Percentiles!$A$21:$A$41, Percentiles!$B$21:$I$41)), ))))), ARRAYFORMULA(IF(ISNUMBER(res), IF(res&gt;99, 99, res), res)))"),"")</f>
        <v/>
      </c>
      <c r="G2" s="30" t="str">
        <f>IFERROR(__xludf.DUMMYFUNCTION("LET(res, MAP(Archetype_DB!A2:A1758, Archetype_DB!E2:E1758, LAMBDA(a, x, IF(a="""",, LET(raw, IFERROR((VALUE(REGEXEXTRACT(TRIM(TO_TEXT(x)), ""^(\\d+)"")) + VALUE(REGEXEXTRACT(TRIM(TO_TEXT(x)), ""(\\d+)$""))) / 2, ), IF(ISNUMBER(raw), FORECAST(raw, XLOOKUP("&amp;"""Ins"", Percentiles!$A$45:$A$59, Percentiles!$B$45:$I$59), XLOOKUP(""Close Shot"", Percentiles!$A$21:$A$41, Percentiles!$B$21:$I$41)), ))))), ARRAYFORMULA(IF(ISNUMBER(res), IF(res&gt;99, 99, res), res)))"),"")</f>
        <v/>
      </c>
      <c r="H2" s="30" t="str">
        <f>IFERROR(__xludf.DUMMYFUNCTION("LET(res, MAP(Archetype_DB!A2:A1758, Archetype_DB!F2:F1758, LAMBDA(a, x, IF(a="""",, LET(raw, IFERROR((VALUE(REGEXEXTRACT(TRIM(TO_TEXT(x)), ""^(\\d+)"")) + VALUE(REGEXEXTRACT(TRIM(TO_TEXT(x)), ""(\\d+)$""))) / 2, ), IF(ISNUMBER(raw), FORECAST(raw, XLOOKUP("&amp;"""Ins"", Percentiles!$A$45:$A$59, Percentiles!$B$45:$I$59), XLOOKUP(""Driving Layup"", Percentiles!$A$21:$A$41, Percentiles!$B$21:$I$41)), ))))), ARRAYFORMULA(IF(ISNUMBER(res), IF(res&gt;99, 99, res), res)))"),"")</f>
        <v/>
      </c>
      <c r="I2" s="30" t="str">
        <f>IFERROR(__xludf.DUMMYFUNCTION("LET(res, MAP(Archetype_DB!A2:A1758, Archetype_DB!I2:I1758, LAMBDA(a, x, IF(a="""",, LET(raw, IFERROR((VALUE(REGEXEXTRACT(TRIM(TO_TEXT(x)), ""^(\\d+)"")) + VALUE(REGEXEXTRACT(TRIM(TO_TEXT(x)), ""(\\d+)$""))) / 2, ), IF(ISNUMBER(raw), FORECAST(raw, XLOOKUP("&amp;"""Ins"", Percentiles!$A$45:$A$59, Percentiles!$B$45:$I$59), XLOOKUP(""Post Control"", Percentiles!$A$21:$A$41, Percentiles!$B$21:$I$41)), ))))), ARRAYFORMULA(IF(ISNUMBER(res), IF(res&gt;99, 99, res), res)))"),"")</f>
        <v/>
      </c>
      <c r="J2" s="30" t="str">
        <f>IFERROR(__xludf.DUMMYFUNCTION("LET(res, MAP(Archetype_DB!A2:A1758, Archetype_DB!B2:B1758, Archetype_DB!G2:G1758, Archetype_DB!H2:H1758, LAMBDA(a, b, g, h, IF(a="""",, LET(driving, IFERROR((VALUE(REGEXEXTRACT(TRIM(TO_TEXT(g)), ""^(\\d+)"")) + VALUE(REGEXEXTRACT(TRIM(TO_TEXT(g)), ""(\\d+"&amp;")$""))) / 2, 0), standing, IFERROR((VALUE(REGEXEXTRACT(TRIM(TO_TEXT(h)), ""^(\\d+)"")) + VALUE(REGEXEXTRACT(TRIM(TO_TEXT(h)), ""(\\d+)$""))) / 2, 0), raw, IF(REGEXMATCH(b, ""Power Forward|Center""), (driving + standing) / 2, driving), IF(ISNUMBER(raw), FO"&amp;"RECAST(raw, XLOOKUP(""Dnk"", Percentiles!$A$45:$A$59, Percentiles!$B$45:$I$59), XLOOKUP(""Driving Dunk"", Percentiles!$A$21:$A$41, Percentiles!$B$21:$I$41)), ))))), ARRAYFORMULA(IF(ISNUMBER(res), IF(res&gt;99, 99, res), res)))"),"")</f>
        <v/>
      </c>
      <c r="K2" s="30"/>
      <c r="L2" s="30" t="str">
        <f>IFERROR(__xludf.DUMMYFUNCTION("LET(res, MAP(Archetype_DB!A2:A1758, Archetype_DB!L2:L1758, LAMBDA(a, x, IF(a="""",, LET(raw, IFERROR((VALUE(REGEXEXTRACT(TRIM(TO_TEXT(x)), ""^(\\d+)"")) + VALUE(REGEXEXTRACT(TRIM(TO_TEXT(x)), ""(\\d+)$""))) / 2, ), IF(ISNUMBER(raw), FORECAST(raw, XLOOKUP("&amp;"""FT"", Percentiles!$A$45:$A$59, Percentiles!$B$45:$I$59), XLOOKUP(""Free Throw"", Percentiles!$A$21:$A$41, Percentiles!$B$21:$I$41)), ))))), ARRAYFORMULA(IF(ISNUMBER(res), IF(res&gt;99, 99, res), res)))"),"")</f>
        <v/>
      </c>
      <c r="M2" s="30" t="str">
        <f>IFERROR(__xludf.DUMMYFUNCTION("LET(res, MAP(Archetype_DB!A2:A1758, Archetype_DB!J2:J1758, LAMBDA(a, x, IF(a="""",, LET(raw, IFERROR((VALUE(REGEXEXTRACT(TRIM(TO_TEXT(x)), ""^(\\d+)"")) + VALUE(REGEXEXTRACT(TRIM(TO_TEXT(x)), ""(\\d+)$""))) / 2, ), IF(ISNUMBER(raw), FORECAST(raw, XLOOKUP("&amp;"""Mid"", Percentiles!$A$45:$A$59, Percentiles!$B$45:$I$59), XLOOKUP(""Midrange Shot"", Percentiles!$A$21:$A$41, Percentiles!$B$21:$I$41)), ))))), ARRAYFORMULA(IF(ISNUMBER(res), IF(res&gt;99, 99, res), res)))"),"")</f>
        <v/>
      </c>
      <c r="N2" s="30" t="str">
        <f>IFERROR(__xludf.DUMMYFUNCTION("LET(res, MAP(Archetype_DB!A2:A1758, Archetype_DB!K2:K1758, LAMBDA(a, x, IF(a="""",, LET(raw, IFERROR((VALUE(REGEXEXTRACT(TRIM(TO_TEXT(x)), ""^(\\d+)"")) + VALUE(REGEXEXTRACT(TRIM(TO_TEXT(x)), ""(\\d+)$""))) / 2, ), IF(ISNUMBER(raw), FORECAST(raw, XLOOKUP("&amp;"""TP"", Percentiles!$A$45:$A$59, Percentiles!$B$45:$I$59), XLOOKUP(""Threepoint Shot"", Percentiles!$A$21:$A$41, Percentiles!$B$21:$I$41)), ))))), ARRAYFORMULA(IF(ISNUMBER(res), IF(res&gt;99, 99, res), res)))"),"")</f>
        <v/>
      </c>
      <c r="O2" s="30" t="str">
        <f>IFERROR(__xludf.DUMMYFUNCTION("LET(res, MAP(Archetype_DB!A2:A1758, Archetype_DB!P2:P1758, Archetype_DB!S2:S1758, LAMBDA(a, p, s, IF(a="""",, LET(raw, (IFERROR((VALUE(REGEXEXTRACT(TRIM(TO_TEXT(p)), ""^(\\d+)"")) + VALUE(REGEXEXTRACT(TRIM(TO_TEXT(p)), ""(\\d+)$""))) / 2, 0) + IFERROR((VA"&amp;"LUE(REGEXEXTRACT(TRIM(TO_TEXT(s)), ""^(\\d+)"")) + VALUE(REGEXEXTRACT(TRIM(TO_TEXT(s)), ""(\\d+)$""))) / 2, 0)) / 2, IF(ISNUMBER(raw), FORECAST(raw, XLOOKUP(""DIQ"", Percentiles!$A$45:$A$59, Percentiles!$B$45:$I$59), XLOOKUP(""Interior Defense"", Percenti"&amp;"les!$A$21:$A$41, Percentiles!$B$21:$I$41)), ))))), ARRAYFORMULA(IF(ISNUMBER(res), IF(res&gt;99, 99, res), res)))"),"")</f>
        <v/>
      </c>
      <c r="P2" s="30" t="str">
        <f>IFERROR(__xludf.DUMMYFUNCTION("LET(res, MAP(Archetype_DB!A2:A1758, Archetype_DB!Q2:Q1758, Archetype_DB!R2:R1758, LAMBDA(a, q, r, IF(a="""",, LET(raw, (IFERROR((VALUE(REGEXEXTRACT(TRIM(TO_TEXT(q)), ""^(\\d+)"")) + VALUE(REGEXEXTRACT(TRIM(TO_TEXT(q)), ""(\\d+)$""))) / 2, 0) + IFERROR((VA"&amp;"LUE(REGEXEXTRACT(TRIM(TO_TEXT(r)), ""^(\\d+)"")) + VALUE(REGEXEXTRACT(TRIM(TO_TEXT(r)), ""(\\d+)$""))) / 2, 0)) / 2, IF(ISNUMBER(raw), FORECAST(raw, XLOOKUP(""DIQ"", Percentiles!$A$45:$A$59, Percentiles!$B$45:$I$59), XLOOKUP(""Perimeter Defense"", Percent"&amp;"iles!$A$21:$A$41, Percentiles!$B$21:$I$41)), ))))), ARRAYFORMULA(IF(ISNUMBER(res), IF(res&gt;99, 99, res), res)))"),"")</f>
        <v/>
      </c>
      <c r="Q2" s="30"/>
      <c r="R2" s="30"/>
      <c r="S2" s="30" t="str">
        <f>IFERROR(__xludf.DUMMYFUNCTION("LET(res, MAP(Archetype_DB!A2:A1758, Archetype_DB!N2:N1758, LAMBDA(a, x, IF(a="""",, LET(raw, IFERROR((VALUE(REGEXEXTRACT(TRIM(TO_TEXT(x)), ""^(\\d+)"")) + VALUE(REGEXEXTRACT(TRIM(TO_TEXT(x)), ""(\\d+)$""))) / 2, ), IF(ISNUMBER(raw), FORECAST(raw, XLOOKUP("&amp;"""Drb"", Percentiles!$A$45:$A$59, Percentiles!$B$45:$I$59), XLOOKUP(""Ball Handle"", Percentiles!$A$21:$A$41, Percentiles!$B$21:$I$41)), ))))), ARRAYFORMULA(IF(ISNUMBER(res), IF(res&gt;99, 99, res), res)))"),"")</f>
        <v/>
      </c>
      <c r="T2" s="30" t="str">
        <f>IFERROR(__xludf.DUMMYFUNCTION("LET(res, MAP(Archetype_DB!A2:A1758, Archetype_DB!O2:O1758, LAMBDA(a, x, IF(a="""",, LET(raw, IFERROR((VALUE(REGEXEXTRACT(TRIM(TO_TEXT(x)), ""^(\\d+)"")) + VALUE(REGEXEXTRACT(TRIM(TO_TEXT(x)), ""(\\d+)$""))) / 2, ), IF(ISNUMBER(raw), FORECAST(raw, XLOOKUP("&amp;"""Drb"", Percentiles!$A$45:$A$59, Percentiles!$B$45:$I$59), XLOOKUP(""Speed With Ball"", Percentiles!$A$21:$A$41, Percentiles!$B$21:$I$41)), ))))), ARRAYFORMULA(IF(ISNUMBER(res), IF(res&gt;99, 99, res), res)))"),"")</f>
        <v/>
      </c>
      <c r="U2" s="30" t="str">
        <f t="array" ref="U2:U1258">LET(res, MAP(Archetype_DB!A2:A1758, Archetype_DB!N2:N1758, Archetype_DB!O2:O1758, Archetype_DB!M2:M1758, LAMBDA(a, n, o, m, IF(a="",, 0.5*INDEX(Clean_Archetype_DB!V:V, ROW(a)) + 0.3*INDEX(Clean_Archetype_DB!S:S, ROW(a)) + 0.2*INDEX(Clean_Archetype_DB!T:T, ROW(a))))), IF(ISNUMBER(res), IF(res&gt;99, 99, res), res))</f>
        <v/>
      </c>
      <c r="V2" s="30" t="str">
        <f>IFERROR(__xludf.DUMMYFUNCTION("LET(res, MAP(Archetype_DB!A2:A1758, Archetype_DB!M2:M1758, LAMBDA(a, x, IF(a="""",, LET(raw, IFERROR((VALUE(REGEXEXTRACT(TRIM(TO_TEXT(x)), ""^(\\d+)"")) + VALUE(REGEXEXTRACT(TRIM(TO_TEXT(x)), ""(\\d+)$""))) / 2, ), IF(ISNUMBER(raw), FORECAST(raw, XLOOKUP("&amp;"""Pss"", Percentiles!$A$45:$A$59, Percentiles!$B$45:$I$59), XLOOKUP(""Pass Accuracy"", Percentiles!$A$21:$A$41, Percentiles!$B$21:$I$41)), ))))), ARRAYFORMULA(IF(ISNUMBER(res), IF(res&gt;99, 99, res), res)))"),"")</f>
        <v/>
      </c>
      <c r="W2" s="30" t="str">
        <f>IFERROR(__xludf.DUMMYFUNCTION("LET(res, MAP(Archetype_DB!A2:A1758, Archetype_DB!T2:T1758, LAMBDA(a, x, IF(a="""",, LET(raw, IFERROR((VALUE(REGEXEXTRACT(TRIM(TO_TEXT(x)), ""^(\\d+)"")) + VALUE(REGEXEXTRACT(TRIM(TO_TEXT(x)), ""(\\d+)$""))) / 2, ), IF(ISNUMBER(raw), FORECAST(raw, XLOOKUP("&amp;"""Reb"", Percentiles!$A$45:$A$59, Percentiles!$B$45:$I$59), XLOOKUP(""Offensive Rebound"", Percentiles!$A$21:$A$41, Percentiles!$B$21:$I$41)), ))))), ARRAYFORMULA(IF(ISNUMBER(res), IF(res&gt;99, 99, res), res)))"),"")</f>
        <v/>
      </c>
      <c r="X2" s="30" t="str">
        <f>IFERROR(__xludf.DUMMYFUNCTION("LET(res, MAP(Archetype_DB!A2:A1758, Archetype_DB!U2:U1758, LAMBDA(a, x, IF(a="""",, LET(raw, IFERROR((VALUE(REGEXEXTRACT(TRIM(TO_TEXT(x)), ""^(\\d+)"")) + VALUE(REGEXEXTRACT(TRIM(TO_TEXT(x)), ""(\\d+)$""))) / 2, ), IF(ISNUMBER(raw), FORECAST(raw, XLOOKUP("&amp;"""Reb"", Percentiles!$A$45:$A$59, Percentiles!$B$45:$I$59), XLOOKUP(""Defensive Rebound"", Percentiles!$A$21:$A$41, Percentiles!$B$21:$I$41)), ))))), ARRAYFORMULA(IF(ISNUMBER(res), IF(res&gt;99, 99, res), res)))"),"")</f>
        <v/>
      </c>
      <c r="Y2" s="5" t="str">
        <f>IFERROR(__xludf.DUMMYFUNCTION("ARRAYFORMULA(IF(Archetype_DB!A2:A1758="""",, IFERROR(VALUE(REGEXEXTRACT(Archetype_DB!C2:C1758, ""(\d+)'"")) * 12 + VALUE(REGEXEXTRACT(Archetype_DB!C2:C1758, ""'(\d+)"")), )))"),"")</f>
        <v/>
      </c>
      <c r="Z2" s="5" t="str">
        <f>IFERROR(__xludf.DUMMYFUNCTION("ARRAYFORMULA(IF(Archetype_DB!A2:A1758="""",, IFERROR(VALUE(IFERROR(REGEXEXTRACT(Archetype_DB!C2:C1758, ""to (\d+)'""), REGEXEXTRACT(Archetype_DB!C2:C1758, ""(\d+)'""))) * 12 + VALUE(IFERROR(REGEXEXTRACT(Archetype_DB!C2:C1758, ""to \d+'(\d+)""), REGEXEXTRA"&amp;"CT(Archetype_DB!C2:C1758, ""'(\d+)""))), )))"),"")</f>
        <v/>
      </c>
    </row>
    <row r="3">
      <c r="A3" s="30" t="s">
        <v>26</v>
      </c>
      <c r="B3" s="30">
        <f>IFERROR(__xludf.DUMMYFUNCTION("""COMPUTED_VALUE"""),77.0)</f>
        <v>77</v>
      </c>
      <c r="C3" s="30"/>
      <c r="D3" s="30"/>
      <c r="E3" s="30"/>
      <c r="F3" s="30"/>
      <c r="G3" s="30"/>
      <c r="H3" s="30"/>
      <c r="I3" s="30"/>
      <c r="J3" s="30">
        <f>IFERROR(__xludf.DUMMYFUNCTION("""COMPUTED_VALUE"""),-11.059343513011441)</f>
        <v>-11.05934351</v>
      </c>
      <c r="K3" s="30"/>
      <c r="L3" s="30"/>
      <c r="M3" s="30"/>
      <c r="N3" s="30"/>
      <c r="O3" s="30">
        <f>IFERROR(__xludf.DUMMYFUNCTION("""COMPUTED_VALUE"""),-2.630874715592867)</f>
        <v>-2.630874716</v>
      </c>
      <c r="P3" s="30">
        <f>IFERROR(__xludf.DUMMYFUNCTION("""COMPUTED_VALUE"""),4.463999088063446)</f>
        <v>4.463999088</v>
      </c>
      <c r="Q3" s="30"/>
      <c r="R3" s="30"/>
      <c r="S3" s="30"/>
      <c r="T3" s="30"/>
      <c r="U3" s="30">
        <v>0.0</v>
      </c>
      <c r="V3" s="30"/>
      <c r="W3" s="30"/>
      <c r="X3" s="30"/>
      <c r="Y3" s="5">
        <f>IFERROR(__xludf.DUMMYFUNCTION("""COMPUTED_VALUE"""),76.0)</f>
        <v>76</v>
      </c>
      <c r="Z3" s="5">
        <f>IFERROR(__xludf.DUMMYFUNCTION("""COMPUTED_VALUE"""),78.0)</f>
        <v>78</v>
      </c>
    </row>
    <row r="4">
      <c r="A4" s="30" t="s">
        <v>49</v>
      </c>
      <c r="B4" s="30">
        <f>IFERROR(__xludf.DUMMYFUNCTION("""COMPUTED_VALUE"""),76.5)</f>
        <v>76.5</v>
      </c>
      <c r="C4" s="30"/>
      <c r="D4" s="30"/>
      <c r="E4" s="30"/>
      <c r="F4" s="30"/>
      <c r="G4" s="30"/>
      <c r="H4" s="30"/>
      <c r="I4" s="30"/>
      <c r="J4" s="30">
        <f>IFERROR(__xludf.DUMMYFUNCTION("""COMPUTED_VALUE"""),-11.059343513011441)</f>
        <v>-11.05934351</v>
      </c>
      <c r="K4" s="30"/>
      <c r="L4" s="30"/>
      <c r="M4" s="30"/>
      <c r="N4" s="30"/>
      <c r="O4" s="30">
        <f>IFERROR(__xludf.DUMMYFUNCTION("""COMPUTED_VALUE"""),-2.630874715592867)</f>
        <v>-2.630874716</v>
      </c>
      <c r="P4" s="30">
        <f>IFERROR(__xludf.DUMMYFUNCTION("""COMPUTED_VALUE"""),4.463999088063446)</f>
        <v>4.463999088</v>
      </c>
      <c r="Q4" s="30"/>
      <c r="R4" s="30"/>
      <c r="S4" s="30"/>
      <c r="T4" s="30"/>
      <c r="U4" s="30">
        <v>0.0</v>
      </c>
      <c r="V4" s="30"/>
      <c r="W4" s="30"/>
      <c r="X4" s="30"/>
      <c r="Y4" s="5">
        <f>IFERROR(__xludf.DUMMYFUNCTION("""COMPUTED_VALUE"""),74.0)</f>
        <v>74</v>
      </c>
      <c r="Z4" s="5">
        <f>IFERROR(__xludf.DUMMYFUNCTION("""COMPUTED_VALUE"""),79.0)</f>
        <v>79</v>
      </c>
    </row>
    <row r="5">
      <c r="A5" s="30" t="s">
        <v>70</v>
      </c>
      <c r="B5" s="30">
        <f>IFERROR(__xludf.DUMMYFUNCTION("""COMPUTED_VALUE"""),76.5)</f>
        <v>76.5</v>
      </c>
      <c r="C5" s="30"/>
      <c r="D5" s="30"/>
      <c r="E5" s="30"/>
      <c r="F5" s="30"/>
      <c r="G5" s="30"/>
      <c r="H5" s="30"/>
      <c r="I5" s="30"/>
      <c r="J5" s="30">
        <f>IFERROR(__xludf.DUMMYFUNCTION("""COMPUTED_VALUE"""),-11.059343513011441)</f>
        <v>-11.05934351</v>
      </c>
      <c r="K5" s="30"/>
      <c r="L5" s="30"/>
      <c r="M5" s="30"/>
      <c r="N5" s="30"/>
      <c r="O5" s="30">
        <f>IFERROR(__xludf.DUMMYFUNCTION("""COMPUTED_VALUE"""),-2.630874715592867)</f>
        <v>-2.630874716</v>
      </c>
      <c r="P5" s="30">
        <f>IFERROR(__xludf.DUMMYFUNCTION("""COMPUTED_VALUE"""),4.463999088063446)</f>
        <v>4.463999088</v>
      </c>
      <c r="Q5" s="30"/>
      <c r="R5" s="30"/>
      <c r="S5" s="30"/>
      <c r="T5" s="30"/>
      <c r="U5" s="30">
        <v>0.0</v>
      </c>
      <c r="V5" s="30"/>
      <c r="W5" s="30"/>
      <c r="X5" s="30"/>
      <c r="Y5" s="5">
        <f>IFERROR(__xludf.DUMMYFUNCTION("""COMPUTED_VALUE"""),74.0)</f>
        <v>74</v>
      </c>
      <c r="Z5" s="5">
        <f>IFERROR(__xludf.DUMMYFUNCTION("""COMPUTED_VALUE"""),79.0)</f>
        <v>79</v>
      </c>
    </row>
    <row r="6">
      <c r="A6" s="30" t="s">
        <v>89</v>
      </c>
      <c r="B6" s="30">
        <f>IFERROR(__xludf.DUMMYFUNCTION("""COMPUTED_VALUE"""),76.5)</f>
        <v>76.5</v>
      </c>
      <c r="C6" s="30"/>
      <c r="D6" s="30"/>
      <c r="E6" s="30"/>
      <c r="F6" s="30"/>
      <c r="G6" s="30"/>
      <c r="H6" s="30"/>
      <c r="I6" s="30"/>
      <c r="J6" s="30">
        <f>IFERROR(__xludf.DUMMYFUNCTION("""COMPUTED_VALUE"""),-11.059343513011441)</f>
        <v>-11.05934351</v>
      </c>
      <c r="K6" s="30"/>
      <c r="L6" s="30"/>
      <c r="M6" s="30"/>
      <c r="N6" s="30"/>
      <c r="O6" s="30">
        <f>IFERROR(__xludf.DUMMYFUNCTION("""COMPUTED_VALUE"""),-2.630874715592867)</f>
        <v>-2.630874716</v>
      </c>
      <c r="P6" s="30">
        <f>IFERROR(__xludf.DUMMYFUNCTION("""COMPUTED_VALUE"""),4.463999088063446)</f>
        <v>4.463999088</v>
      </c>
      <c r="Q6" s="30"/>
      <c r="R6" s="30"/>
      <c r="S6" s="30"/>
      <c r="T6" s="30"/>
      <c r="U6" s="30">
        <v>0.0</v>
      </c>
      <c r="V6" s="30"/>
      <c r="W6" s="30"/>
      <c r="X6" s="30"/>
      <c r="Y6" s="5">
        <f>IFERROR(__xludf.DUMMYFUNCTION("""COMPUTED_VALUE"""),74.0)</f>
        <v>74</v>
      </c>
      <c r="Z6" s="5">
        <f>IFERROR(__xludf.DUMMYFUNCTION("""COMPUTED_VALUE"""),79.0)</f>
        <v>79</v>
      </c>
    </row>
    <row r="7">
      <c r="A7" s="30" t="s">
        <v>106</v>
      </c>
      <c r="B7" s="30">
        <f>IFERROR(__xludf.DUMMYFUNCTION("""COMPUTED_VALUE"""),76.0)</f>
        <v>76</v>
      </c>
      <c r="C7" s="30"/>
      <c r="D7" s="30"/>
      <c r="E7" s="30"/>
      <c r="F7" s="30"/>
      <c r="G7" s="30"/>
      <c r="H7" s="30"/>
      <c r="I7" s="30"/>
      <c r="J7" s="30">
        <f>IFERROR(__xludf.DUMMYFUNCTION("""COMPUTED_VALUE"""),-11.059343513011441)</f>
        <v>-11.05934351</v>
      </c>
      <c r="K7" s="30"/>
      <c r="L7" s="30"/>
      <c r="M7" s="30"/>
      <c r="N7" s="30"/>
      <c r="O7" s="30">
        <f>IFERROR(__xludf.DUMMYFUNCTION("""COMPUTED_VALUE"""),-2.630874715592867)</f>
        <v>-2.630874716</v>
      </c>
      <c r="P7" s="30">
        <f>IFERROR(__xludf.DUMMYFUNCTION("""COMPUTED_VALUE"""),4.463999088063446)</f>
        <v>4.463999088</v>
      </c>
      <c r="Q7" s="30"/>
      <c r="R7" s="30"/>
      <c r="S7" s="30"/>
      <c r="T7" s="30"/>
      <c r="U7" s="30">
        <v>0.0</v>
      </c>
      <c r="V7" s="30"/>
      <c r="W7" s="30"/>
      <c r="X7" s="30"/>
      <c r="Y7" s="5">
        <f>IFERROR(__xludf.DUMMYFUNCTION("""COMPUTED_VALUE"""),73.0)</f>
        <v>73</v>
      </c>
      <c r="Z7" s="5">
        <f>IFERROR(__xludf.DUMMYFUNCTION("""COMPUTED_VALUE"""),79.0)</f>
        <v>79</v>
      </c>
    </row>
    <row r="8">
      <c r="A8" s="30" t="s">
        <v>124</v>
      </c>
      <c r="B8" s="30">
        <f>IFERROR(__xludf.DUMMYFUNCTION("""COMPUTED_VALUE"""),75.5)</f>
        <v>75.5</v>
      </c>
      <c r="C8" s="30"/>
      <c r="D8" s="30"/>
      <c r="E8" s="30"/>
      <c r="F8" s="30"/>
      <c r="G8" s="30"/>
      <c r="H8" s="30"/>
      <c r="I8" s="30"/>
      <c r="J8" s="30">
        <f>IFERROR(__xludf.DUMMYFUNCTION("""COMPUTED_VALUE"""),-11.059343513011441)</f>
        <v>-11.05934351</v>
      </c>
      <c r="K8" s="30"/>
      <c r="L8" s="30"/>
      <c r="M8" s="30"/>
      <c r="N8" s="30"/>
      <c r="O8" s="30">
        <f>IFERROR(__xludf.DUMMYFUNCTION("""COMPUTED_VALUE"""),-2.630874715592867)</f>
        <v>-2.630874716</v>
      </c>
      <c r="P8" s="30">
        <f>IFERROR(__xludf.DUMMYFUNCTION("""COMPUTED_VALUE"""),4.463999088063446)</f>
        <v>4.463999088</v>
      </c>
      <c r="Q8" s="30"/>
      <c r="R8" s="30"/>
      <c r="S8" s="30"/>
      <c r="T8" s="30"/>
      <c r="U8" s="30">
        <v>0.0</v>
      </c>
      <c r="V8" s="30"/>
      <c r="W8" s="30"/>
      <c r="X8" s="30"/>
      <c r="Y8" s="5">
        <f>IFERROR(__xludf.DUMMYFUNCTION("""COMPUTED_VALUE"""),73.0)</f>
        <v>73</v>
      </c>
      <c r="Z8" s="5">
        <f>IFERROR(__xludf.DUMMYFUNCTION("""COMPUTED_VALUE"""),78.0)</f>
        <v>78</v>
      </c>
    </row>
    <row r="9">
      <c r="A9" s="30" t="s">
        <v>144</v>
      </c>
      <c r="B9" s="30">
        <f>IFERROR(__xludf.DUMMYFUNCTION("""COMPUTED_VALUE"""),78.0)</f>
        <v>78</v>
      </c>
      <c r="C9" s="30"/>
      <c r="D9" s="30"/>
      <c r="E9" s="30"/>
      <c r="F9" s="30"/>
      <c r="G9" s="30"/>
      <c r="H9" s="30"/>
      <c r="I9" s="30"/>
      <c r="J9" s="30">
        <f>IFERROR(__xludf.DUMMYFUNCTION("""COMPUTED_VALUE"""),-11.059343513011441)</f>
        <v>-11.05934351</v>
      </c>
      <c r="K9" s="30"/>
      <c r="L9" s="30"/>
      <c r="M9" s="30"/>
      <c r="N9" s="30"/>
      <c r="O9" s="30">
        <f>IFERROR(__xludf.DUMMYFUNCTION("""COMPUTED_VALUE"""),-2.630874715592867)</f>
        <v>-2.630874716</v>
      </c>
      <c r="P9" s="30">
        <f>IFERROR(__xludf.DUMMYFUNCTION("""COMPUTED_VALUE"""),4.463999088063446)</f>
        <v>4.463999088</v>
      </c>
      <c r="Q9" s="30"/>
      <c r="R9" s="30"/>
      <c r="S9" s="30"/>
      <c r="T9" s="30"/>
      <c r="U9" s="30">
        <v>0.0</v>
      </c>
      <c r="V9" s="30"/>
      <c r="W9" s="30"/>
      <c r="X9" s="30"/>
      <c r="Y9" s="5">
        <f>IFERROR(__xludf.DUMMYFUNCTION("""COMPUTED_VALUE"""),78.0)</f>
        <v>78</v>
      </c>
      <c r="Z9" s="5">
        <f>IFERROR(__xludf.DUMMYFUNCTION("""COMPUTED_VALUE"""),78.0)</f>
        <v>78</v>
      </c>
    </row>
    <row r="10">
      <c r="A10" s="30" t="s">
        <v>146</v>
      </c>
      <c r="B10" s="30">
        <f>IFERROR(__xludf.DUMMYFUNCTION("""COMPUTED_VALUE"""),77.5)</f>
        <v>77.5</v>
      </c>
      <c r="C10" s="30"/>
      <c r="D10" s="30"/>
      <c r="E10" s="30"/>
      <c r="F10" s="30"/>
      <c r="G10" s="30"/>
      <c r="H10" s="30"/>
      <c r="I10" s="30"/>
      <c r="J10" s="30">
        <f>IFERROR(__xludf.DUMMYFUNCTION("""COMPUTED_VALUE"""),-11.059343513011441)</f>
        <v>-11.05934351</v>
      </c>
      <c r="K10" s="30"/>
      <c r="L10" s="30"/>
      <c r="M10" s="30"/>
      <c r="N10" s="30"/>
      <c r="O10" s="30">
        <f>IFERROR(__xludf.DUMMYFUNCTION("""COMPUTED_VALUE"""),-2.630874715592867)</f>
        <v>-2.630874716</v>
      </c>
      <c r="P10" s="30">
        <f>IFERROR(__xludf.DUMMYFUNCTION("""COMPUTED_VALUE"""),4.463999088063446)</f>
        <v>4.463999088</v>
      </c>
      <c r="Q10" s="30"/>
      <c r="R10" s="30"/>
      <c r="S10" s="30"/>
      <c r="T10" s="30"/>
      <c r="U10" s="30">
        <v>0.0</v>
      </c>
      <c r="V10" s="30"/>
      <c r="W10" s="30"/>
      <c r="X10" s="30"/>
      <c r="Y10" s="5">
        <f>IFERROR(__xludf.DUMMYFUNCTION("""COMPUTED_VALUE"""),76.0)</f>
        <v>76</v>
      </c>
      <c r="Z10" s="5">
        <f>IFERROR(__xludf.DUMMYFUNCTION("""COMPUTED_VALUE"""),79.0)</f>
        <v>79</v>
      </c>
    </row>
    <row r="11">
      <c r="A11" s="30" t="s">
        <v>167</v>
      </c>
      <c r="B11" s="30">
        <f>IFERROR(__xludf.DUMMYFUNCTION("""COMPUTED_VALUE"""),76.0)</f>
        <v>76</v>
      </c>
      <c r="C11" s="30"/>
      <c r="D11" s="30"/>
      <c r="E11" s="30"/>
      <c r="F11" s="30"/>
      <c r="G11" s="30"/>
      <c r="H11" s="30"/>
      <c r="I11" s="30"/>
      <c r="J11" s="30">
        <f>IFERROR(__xludf.DUMMYFUNCTION("""COMPUTED_VALUE"""),-11.059343513011441)</f>
        <v>-11.05934351</v>
      </c>
      <c r="K11" s="30"/>
      <c r="L11" s="30"/>
      <c r="M11" s="30"/>
      <c r="N11" s="30"/>
      <c r="O11" s="30">
        <f>IFERROR(__xludf.DUMMYFUNCTION("""COMPUTED_VALUE"""),-2.630874715592867)</f>
        <v>-2.630874716</v>
      </c>
      <c r="P11" s="30">
        <f>IFERROR(__xludf.DUMMYFUNCTION("""COMPUTED_VALUE"""),4.463999088063446)</f>
        <v>4.463999088</v>
      </c>
      <c r="Q11" s="30"/>
      <c r="R11" s="30"/>
      <c r="S11" s="30"/>
      <c r="T11" s="30"/>
      <c r="U11" s="30">
        <v>0.0</v>
      </c>
      <c r="V11" s="30"/>
      <c r="W11" s="30"/>
      <c r="X11" s="30"/>
      <c r="Y11" s="5">
        <f>IFERROR(__xludf.DUMMYFUNCTION("""COMPUTED_VALUE"""),76.0)</f>
        <v>76</v>
      </c>
      <c r="Z11" s="5">
        <f>IFERROR(__xludf.DUMMYFUNCTION("""COMPUTED_VALUE"""),76.0)</f>
        <v>76</v>
      </c>
    </row>
    <row r="12">
      <c r="A12" s="30" t="s">
        <v>169</v>
      </c>
      <c r="B12" s="30">
        <f>IFERROR(__xludf.DUMMYFUNCTION("""COMPUTED_VALUE"""),75.0)</f>
        <v>75</v>
      </c>
      <c r="C12" s="30"/>
      <c r="D12" s="30"/>
      <c r="E12" s="30"/>
      <c r="F12" s="30"/>
      <c r="G12" s="30"/>
      <c r="H12" s="30"/>
      <c r="I12" s="30"/>
      <c r="J12" s="30">
        <f>IFERROR(__xludf.DUMMYFUNCTION("""COMPUTED_VALUE"""),-11.059343513011441)</f>
        <v>-11.05934351</v>
      </c>
      <c r="K12" s="30"/>
      <c r="L12" s="30"/>
      <c r="M12" s="30"/>
      <c r="N12" s="30"/>
      <c r="O12" s="30">
        <f>IFERROR(__xludf.DUMMYFUNCTION("""COMPUTED_VALUE"""),-2.630874715592867)</f>
        <v>-2.630874716</v>
      </c>
      <c r="P12" s="30">
        <f>IFERROR(__xludf.DUMMYFUNCTION("""COMPUTED_VALUE"""),4.463999088063446)</f>
        <v>4.463999088</v>
      </c>
      <c r="Q12" s="30"/>
      <c r="R12" s="30"/>
      <c r="S12" s="30"/>
      <c r="T12" s="30"/>
      <c r="U12" s="30">
        <v>0.0</v>
      </c>
      <c r="V12" s="30"/>
      <c r="W12" s="30"/>
      <c r="X12" s="30"/>
      <c r="Y12" s="5">
        <f>IFERROR(__xludf.DUMMYFUNCTION("""COMPUTED_VALUE"""),75.0)</f>
        <v>75</v>
      </c>
      <c r="Z12" s="5">
        <f>IFERROR(__xludf.DUMMYFUNCTION("""COMPUTED_VALUE"""),75.0)</f>
        <v>75</v>
      </c>
    </row>
    <row r="13">
      <c r="A13" s="30" t="s">
        <v>171</v>
      </c>
      <c r="B13" s="30">
        <f>IFERROR(__xludf.DUMMYFUNCTION("""COMPUTED_VALUE"""),77.0)</f>
        <v>77</v>
      </c>
      <c r="C13" s="30"/>
      <c r="D13" s="30"/>
      <c r="E13" s="30"/>
      <c r="F13" s="30"/>
      <c r="G13" s="30"/>
      <c r="H13" s="30"/>
      <c r="I13" s="30"/>
      <c r="J13" s="30">
        <f>IFERROR(__xludf.DUMMYFUNCTION("""COMPUTED_VALUE"""),-11.059343513011441)</f>
        <v>-11.05934351</v>
      </c>
      <c r="K13" s="30"/>
      <c r="L13" s="30"/>
      <c r="M13" s="30"/>
      <c r="N13" s="30"/>
      <c r="O13" s="30">
        <f>IFERROR(__xludf.DUMMYFUNCTION("""COMPUTED_VALUE"""),-2.630874715592867)</f>
        <v>-2.630874716</v>
      </c>
      <c r="P13" s="30">
        <f>IFERROR(__xludf.DUMMYFUNCTION("""COMPUTED_VALUE"""),4.463999088063446)</f>
        <v>4.463999088</v>
      </c>
      <c r="Q13" s="30"/>
      <c r="R13" s="30"/>
      <c r="S13" s="30"/>
      <c r="T13" s="30"/>
      <c r="U13" s="30">
        <v>0.0</v>
      </c>
      <c r="V13" s="30"/>
      <c r="W13" s="30"/>
      <c r="X13" s="30"/>
      <c r="Y13" s="5">
        <f>IFERROR(__xludf.DUMMYFUNCTION("""COMPUTED_VALUE"""),76.0)</f>
        <v>76</v>
      </c>
      <c r="Z13" s="5">
        <f>IFERROR(__xludf.DUMMYFUNCTION("""COMPUTED_VALUE"""),78.0)</f>
        <v>78</v>
      </c>
    </row>
    <row r="14">
      <c r="A14" s="30" t="s">
        <v>191</v>
      </c>
      <c r="B14" s="30">
        <f>IFERROR(__xludf.DUMMYFUNCTION("""COMPUTED_VALUE"""),79.0)</f>
        <v>79</v>
      </c>
      <c r="C14" s="30"/>
      <c r="D14" s="30"/>
      <c r="E14" s="30"/>
      <c r="F14" s="30"/>
      <c r="G14" s="30"/>
      <c r="H14" s="30"/>
      <c r="I14" s="30"/>
      <c r="J14" s="30">
        <f>IFERROR(__xludf.DUMMYFUNCTION("""COMPUTED_VALUE"""),-11.059343513011441)</f>
        <v>-11.05934351</v>
      </c>
      <c r="K14" s="30"/>
      <c r="L14" s="30"/>
      <c r="M14" s="30"/>
      <c r="N14" s="30"/>
      <c r="O14" s="30">
        <f>IFERROR(__xludf.DUMMYFUNCTION("""COMPUTED_VALUE"""),-2.630874715592867)</f>
        <v>-2.630874716</v>
      </c>
      <c r="P14" s="30">
        <f>IFERROR(__xludf.DUMMYFUNCTION("""COMPUTED_VALUE"""),4.463999088063446)</f>
        <v>4.463999088</v>
      </c>
      <c r="Q14" s="30"/>
      <c r="R14" s="30"/>
      <c r="S14" s="30"/>
      <c r="T14" s="30"/>
      <c r="U14" s="30">
        <v>0.0</v>
      </c>
      <c r="V14" s="30"/>
      <c r="W14" s="30"/>
      <c r="X14" s="30"/>
      <c r="Y14" s="5">
        <f>IFERROR(__xludf.DUMMYFUNCTION("""COMPUTED_VALUE"""),79.0)</f>
        <v>79</v>
      </c>
      <c r="Z14" s="5">
        <f>IFERROR(__xludf.DUMMYFUNCTION("""COMPUTED_VALUE"""),79.0)</f>
        <v>79</v>
      </c>
    </row>
    <row r="15">
      <c r="A15" s="30" t="s">
        <v>193</v>
      </c>
      <c r="B15" s="30">
        <f>IFERROR(__xludf.DUMMYFUNCTION("""COMPUTED_VALUE"""),79.0)</f>
        <v>79</v>
      </c>
      <c r="C15" s="30"/>
      <c r="D15" s="30"/>
      <c r="E15" s="30"/>
      <c r="F15" s="30"/>
      <c r="G15" s="30"/>
      <c r="H15" s="30"/>
      <c r="I15" s="30"/>
      <c r="J15" s="30">
        <f>IFERROR(__xludf.DUMMYFUNCTION("""COMPUTED_VALUE"""),-11.059343513011441)</f>
        <v>-11.05934351</v>
      </c>
      <c r="K15" s="30"/>
      <c r="L15" s="30"/>
      <c r="M15" s="30"/>
      <c r="N15" s="30"/>
      <c r="O15" s="30">
        <f>IFERROR(__xludf.DUMMYFUNCTION("""COMPUTED_VALUE"""),-2.630874715592867)</f>
        <v>-2.630874716</v>
      </c>
      <c r="P15" s="30">
        <f>IFERROR(__xludf.DUMMYFUNCTION("""COMPUTED_VALUE"""),4.463999088063446)</f>
        <v>4.463999088</v>
      </c>
      <c r="Q15" s="30"/>
      <c r="R15" s="30"/>
      <c r="S15" s="30"/>
      <c r="T15" s="30"/>
      <c r="U15" s="30">
        <v>0.0</v>
      </c>
      <c r="V15" s="30"/>
      <c r="W15" s="30"/>
      <c r="X15" s="30"/>
      <c r="Y15" s="5">
        <f>IFERROR(__xludf.DUMMYFUNCTION("""COMPUTED_VALUE"""),79.0)</f>
        <v>79</v>
      </c>
      <c r="Z15" s="5">
        <f>IFERROR(__xludf.DUMMYFUNCTION("""COMPUTED_VALUE"""),79.0)</f>
        <v>79</v>
      </c>
    </row>
    <row r="16">
      <c r="A16" s="30" t="s">
        <v>194</v>
      </c>
      <c r="B16" s="30">
        <f>IFERROR(__xludf.DUMMYFUNCTION("""COMPUTED_VALUE"""),78.0)</f>
        <v>78</v>
      </c>
      <c r="C16" s="30"/>
      <c r="D16" s="30"/>
      <c r="E16" s="30"/>
      <c r="F16" s="30"/>
      <c r="G16" s="30"/>
      <c r="H16" s="30"/>
      <c r="I16" s="30"/>
      <c r="J16" s="30">
        <f>IFERROR(__xludf.DUMMYFUNCTION("""COMPUTED_VALUE"""),-11.059343513011441)</f>
        <v>-11.05934351</v>
      </c>
      <c r="K16" s="30"/>
      <c r="L16" s="30"/>
      <c r="M16" s="30"/>
      <c r="N16" s="30"/>
      <c r="O16" s="30">
        <f>IFERROR(__xludf.DUMMYFUNCTION("""COMPUTED_VALUE"""),-2.630874715592867)</f>
        <v>-2.630874716</v>
      </c>
      <c r="P16" s="30">
        <f>IFERROR(__xludf.DUMMYFUNCTION("""COMPUTED_VALUE"""),4.463999088063446)</f>
        <v>4.463999088</v>
      </c>
      <c r="Q16" s="30"/>
      <c r="R16" s="30"/>
      <c r="S16" s="30"/>
      <c r="T16" s="30"/>
      <c r="U16" s="30">
        <v>0.0</v>
      </c>
      <c r="V16" s="30"/>
      <c r="W16" s="30"/>
      <c r="X16" s="30"/>
      <c r="Y16" s="5">
        <f>IFERROR(__xludf.DUMMYFUNCTION("""COMPUTED_VALUE"""),78.0)</f>
        <v>78</v>
      </c>
      <c r="Z16" s="5">
        <f>IFERROR(__xludf.DUMMYFUNCTION("""COMPUTED_VALUE"""),78.0)</f>
        <v>78</v>
      </c>
    </row>
    <row r="17">
      <c r="A17" s="30" t="s">
        <v>195</v>
      </c>
      <c r="B17" s="30">
        <f>IFERROR(__xludf.DUMMYFUNCTION("""COMPUTED_VALUE"""),79.0)</f>
        <v>79</v>
      </c>
      <c r="C17" s="30"/>
      <c r="D17" s="30"/>
      <c r="E17" s="30"/>
      <c r="F17" s="30"/>
      <c r="G17" s="30"/>
      <c r="H17" s="30"/>
      <c r="I17" s="30"/>
      <c r="J17" s="30">
        <f>IFERROR(__xludf.DUMMYFUNCTION("""COMPUTED_VALUE"""),-11.059343513011441)</f>
        <v>-11.05934351</v>
      </c>
      <c r="K17" s="30"/>
      <c r="L17" s="30"/>
      <c r="M17" s="30"/>
      <c r="N17" s="30"/>
      <c r="O17" s="30">
        <f>IFERROR(__xludf.DUMMYFUNCTION("""COMPUTED_VALUE"""),-2.630874715592867)</f>
        <v>-2.630874716</v>
      </c>
      <c r="P17" s="30">
        <f>IFERROR(__xludf.DUMMYFUNCTION("""COMPUTED_VALUE"""),4.463999088063446)</f>
        <v>4.463999088</v>
      </c>
      <c r="Q17" s="30"/>
      <c r="R17" s="30"/>
      <c r="S17" s="30"/>
      <c r="T17" s="30"/>
      <c r="U17" s="30">
        <v>0.0</v>
      </c>
      <c r="V17" s="30"/>
      <c r="W17" s="30"/>
      <c r="X17" s="30"/>
      <c r="Y17" s="5">
        <f>IFERROR(__xludf.DUMMYFUNCTION("""COMPUTED_VALUE"""),79.0)</f>
        <v>79</v>
      </c>
      <c r="Z17" s="5">
        <f>IFERROR(__xludf.DUMMYFUNCTION("""COMPUTED_VALUE"""),79.0)</f>
        <v>79</v>
      </c>
    </row>
    <row r="18">
      <c r="A18" s="30" t="s">
        <v>196</v>
      </c>
      <c r="B18" s="30">
        <f>IFERROR(__xludf.DUMMYFUNCTION("""COMPUTED_VALUE"""),79.0)</f>
        <v>79</v>
      </c>
      <c r="C18" s="30"/>
      <c r="D18" s="30"/>
      <c r="E18" s="30"/>
      <c r="F18" s="30"/>
      <c r="G18" s="30"/>
      <c r="H18" s="30"/>
      <c r="I18" s="30"/>
      <c r="J18" s="30">
        <f>IFERROR(__xludf.DUMMYFUNCTION("""COMPUTED_VALUE"""),-11.059343513011441)</f>
        <v>-11.05934351</v>
      </c>
      <c r="K18" s="30"/>
      <c r="L18" s="30"/>
      <c r="M18" s="30"/>
      <c r="N18" s="30"/>
      <c r="O18" s="30">
        <f>IFERROR(__xludf.DUMMYFUNCTION("""COMPUTED_VALUE"""),-2.630874715592867)</f>
        <v>-2.630874716</v>
      </c>
      <c r="P18" s="30">
        <f>IFERROR(__xludf.DUMMYFUNCTION("""COMPUTED_VALUE"""),4.463999088063446)</f>
        <v>4.463999088</v>
      </c>
      <c r="Q18" s="30"/>
      <c r="R18" s="30"/>
      <c r="S18" s="30"/>
      <c r="T18" s="30"/>
      <c r="U18" s="30">
        <v>0.0</v>
      </c>
      <c r="V18" s="30"/>
      <c r="W18" s="30"/>
      <c r="X18" s="30"/>
      <c r="Y18" s="5">
        <f>IFERROR(__xludf.DUMMYFUNCTION("""COMPUTED_VALUE"""),79.0)</f>
        <v>79</v>
      </c>
      <c r="Z18" s="5">
        <f>IFERROR(__xludf.DUMMYFUNCTION("""COMPUTED_VALUE"""),79.0)</f>
        <v>79</v>
      </c>
    </row>
    <row r="19">
      <c r="A19" s="30" t="s">
        <v>197</v>
      </c>
      <c r="B19" s="30">
        <f>IFERROR(__xludf.DUMMYFUNCTION("""COMPUTED_VALUE"""),78.0)</f>
        <v>78</v>
      </c>
      <c r="C19" s="30"/>
      <c r="D19" s="30"/>
      <c r="E19" s="30"/>
      <c r="F19" s="30"/>
      <c r="G19" s="30"/>
      <c r="H19" s="30"/>
      <c r="I19" s="30"/>
      <c r="J19" s="30">
        <f>IFERROR(__xludf.DUMMYFUNCTION("""COMPUTED_VALUE"""),-11.059343513011441)</f>
        <v>-11.05934351</v>
      </c>
      <c r="K19" s="30"/>
      <c r="L19" s="30"/>
      <c r="M19" s="30"/>
      <c r="N19" s="30"/>
      <c r="O19" s="30">
        <f>IFERROR(__xludf.DUMMYFUNCTION("""COMPUTED_VALUE"""),-2.630874715592867)</f>
        <v>-2.630874716</v>
      </c>
      <c r="P19" s="30">
        <f>IFERROR(__xludf.DUMMYFUNCTION("""COMPUTED_VALUE"""),4.463999088063446)</f>
        <v>4.463999088</v>
      </c>
      <c r="Q19" s="30"/>
      <c r="R19" s="30"/>
      <c r="S19" s="30"/>
      <c r="T19" s="30"/>
      <c r="U19" s="30">
        <v>0.0</v>
      </c>
      <c r="V19" s="30"/>
      <c r="W19" s="30"/>
      <c r="X19" s="30"/>
      <c r="Y19" s="5">
        <f>IFERROR(__xludf.DUMMYFUNCTION("""COMPUTED_VALUE"""),78.0)</f>
        <v>78</v>
      </c>
      <c r="Z19" s="5">
        <f>IFERROR(__xludf.DUMMYFUNCTION("""COMPUTED_VALUE"""),78.0)</f>
        <v>78</v>
      </c>
    </row>
    <row r="20">
      <c r="A20" s="30" t="s">
        <v>215</v>
      </c>
      <c r="B20" s="30">
        <f>IFERROR(__xludf.DUMMYFUNCTION("""COMPUTED_VALUE"""),77.0)</f>
        <v>77</v>
      </c>
      <c r="C20" s="30"/>
      <c r="D20" s="30"/>
      <c r="E20" s="30"/>
      <c r="F20" s="30"/>
      <c r="G20" s="30"/>
      <c r="H20" s="30"/>
      <c r="I20" s="30"/>
      <c r="J20" s="30">
        <f>IFERROR(__xludf.DUMMYFUNCTION("""COMPUTED_VALUE"""),-11.059343513011441)</f>
        <v>-11.05934351</v>
      </c>
      <c r="K20" s="30"/>
      <c r="L20" s="30"/>
      <c r="M20" s="30"/>
      <c r="N20" s="30"/>
      <c r="O20" s="30">
        <f>IFERROR(__xludf.DUMMYFUNCTION("""COMPUTED_VALUE"""),-2.630874715592867)</f>
        <v>-2.630874716</v>
      </c>
      <c r="P20" s="30">
        <f>IFERROR(__xludf.DUMMYFUNCTION("""COMPUTED_VALUE"""),4.463999088063446)</f>
        <v>4.463999088</v>
      </c>
      <c r="Q20" s="30"/>
      <c r="R20" s="30"/>
      <c r="S20" s="30"/>
      <c r="T20" s="30"/>
      <c r="U20" s="30">
        <v>0.0</v>
      </c>
      <c r="V20" s="30"/>
      <c r="W20" s="30"/>
      <c r="X20" s="30"/>
      <c r="Y20" s="5">
        <f>IFERROR(__xludf.DUMMYFUNCTION("""COMPUTED_VALUE"""),77.0)</f>
        <v>77</v>
      </c>
      <c r="Z20" s="5">
        <f>IFERROR(__xludf.DUMMYFUNCTION("""COMPUTED_VALUE"""),77.0)</f>
        <v>77</v>
      </c>
    </row>
    <row r="21">
      <c r="A21" s="30" t="s">
        <v>217</v>
      </c>
      <c r="B21" s="30">
        <f>IFERROR(__xludf.DUMMYFUNCTION("""COMPUTED_VALUE"""),74.5)</f>
        <v>74.5</v>
      </c>
      <c r="C21" s="30"/>
      <c r="D21" s="30"/>
      <c r="E21" s="30"/>
      <c r="F21" s="30"/>
      <c r="G21" s="30"/>
      <c r="H21" s="30"/>
      <c r="I21" s="30"/>
      <c r="J21" s="30">
        <f>IFERROR(__xludf.DUMMYFUNCTION("""COMPUTED_VALUE"""),-11.059343513011441)</f>
        <v>-11.05934351</v>
      </c>
      <c r="K21" s="30"/>
      <c r="L21" s="30"/>
      <c r="M21" s="30"/>
      <c r="N21" s="30"/>
      <c r="O21" s="30">
        <f>IFERROR(__xludf.DUMMYFUNCTION("""COMPUTED_VALUE"""),-2.630874715592867)</f>
        <v>-2.630874716</v>
      </c>
      <c r="P21" s="30">
        <f>IFERROR(__xludf.DUMMYFUNCTION("""COMPUTED_VALUE"""),4.463999088063446)</f>
        <v>4.463999088</v>
      </c>
      <c r="Q21" s="30"/>
      <c r="R21" s="30"/>
      <c r="S21" s="30"/>
      <c r="T21" s="30"/>
      <c r="U21" s="30">
        <v>0.0</v>
      </c>
      <c r="V21" s="30"/>
      <c r="W21" s="30"/>
      <c r="X21" s="30"/>
      <c r="Y21" s="5">
        <f>IFERROR(__xludf.DUMMYFUNCTION("""COMPUTED_VALUE"""),72.0)</f>
        <v>72</v>
      </c>
      <c r="Z21" s="5">
        <f>IFERROR(__xludf.DUMMYFUNCTION("""COMPUTED_VALUE"""),77.0)</f>
        <v>77</v>
      </c>
    </row>
    <row r="22">
      <c r="A22" s="30" t="s">
        <v>238</v>
      </c>
      <c r="B22" s="30">
        <f>IFERROR(__xludf.DUMMYFUNCTION("""COMPUTED_VALUE"""),78.0)</f>
        <v>78</v>
      </c>
      <c r="C22" s="30"/>
      <c r="D22" s="30"/>
      <c r="E22" s="30"/>
      <c r="F22" s="30"/>
      <c r="G22" s="30"/>
      <c r="H22" s="30"/>
      <c r="I22" s="30"/>
      <c r="J22" s="30">
        <f>IFERROR(__xludf.DUMMYFUNCTION("""COMPUTED_VALUE"""),-11.059343513011441)</f>
        <v>-11.05934351</v>
      </c>
      <c r="K22" s="30"/>
      <c r="L22" s="30"/>
      <c r="M22" s="30"/>
      <c r="N22" s="30"/>
      <c r="O22" s="30">
        <f>IFERROR(__xludf.DUMMYFUNCTION("""COMPUTED_VALUE"""),-2.630874715592867)</f>
        <v>-2.630874716</v>
      </c>
      <c r="P22" s="30">
        <f>IFERROR(__xludf.DUMMYFUNCTION("""COMPUTED_VALUE"""),4.463999088063446)</f>
        <v>4.463999088</v>
      </c>
      <c r="Q22" s="30"/>
      <c r="R22" s="30"/>
      <c r="S22" s="30"/>
      <c r="T22" s="30"/>
      <c r="U22" s="30">
        <v>0.0</v>
      </c>
      <c r="V22" s="30"/>
      <c r="W22" s="30"/>
      <c r="X22" s="30"/>
      <c r="Y22" s="5">
        <f>IFERROR(__xludf.DUMMYFUNCTION("""COMPUTED_VALUE"""),78.0)</f>
        <v>78</v>
      </c>
      <c r="Z22" s="5">
        <f>IFERROR(__xludf.DUMMYFUNCTION("""COMPUTED_VALUE"""),78.0)</f>
        <v>78</v>
      </c>
    </row>
    <row r="23">
      <c r="A23" s="30" t="s">
        <v>239</v>
      </c>
      <c r="B23" s="30">
        <f>IFERROR(__xludf.DUMMYFUNCTION("""COMPUTED_VALUE"""),76.0)</f>
        <v>76</v>
      </c>
      <c r="C23" s="30"/>
      <c r="D23" s="30"/>
      <c r="E23" s="30"/>
      <c r="F23" s="30"/>
      <c r="G23" s="30"/>
      <c r="H23" s="30"/>
      <c r="I23" s="30"/>
      <c r="J23" s="30">
        <f>IFERROR(__xludf.DUMMYFUNCTION("""COMPUTED_VALUE"""),-11.059343513011441)</f>
        <v>-11.05934351</v>
      </c>
      <c r="K23" s="30"/>
      <c r="L23" s="30"/>
      <c r="M23" s="30"/>
      <c r="N23" s="30"/>
      <c r="O23" s="30">
        <f>IFERROR(__xludf.DUMMYFUNCTION("""COMPUTED_VALUE"""),-2.630874715592867)</f>
        <v>-2.630874716</v>
      </c>
      <c r="P23" s="30">
        <f>IFERROR(__xludf.DUMMYFUNCTION("""COMPUTED_VALUE"""),4.463999088063446)</f>
        <v>4.463999088</v>
      </c>
      <c r="Q23" s="30"/>
      <c r="R23" s="30"/>
      <c r="S23" s="30"/>
      <c r="T23" s="30"/>
      <c r="U23" s="30">
        <v>0.0</v>
      </c>
      <c r="V23" s="30"/>
      <c r="W23" s="30"/>
      <c r="X23" s="30"/>
      <c r="Y23" s="5">
        <f>IFERROR(__xludf.DUMMYFUNCTION("""COMPUTED_VALUE"""),74.0)</f>
        <v>74</v>
      </c>
      <c r="Z23" s="5">
        <f>IFERROR(__xludf.DUMMYFUNCTION("""COMPUTED_VALUE"""),78.0)</f>
        <v>78</v>
      </c>
    </row>
    <row r="24">
      <c r="A24" s="30" t="s">
        <v>256</v>
      </c>
      <c r="B24" s="30">
        <f>IFERROR(__xludf.DUMMYFUNCTION("""COMPUTED_VALUE"""),79.0)</f>
        <v>79</v>
      </c>
      <c r="C24" s="30"/>
      <c r="D24" s="30"/>
      <c r="E24" s="30"/>
      <c r="F24" s="30"/>
      <c r="G24" s="30"/>
      <c r="H24" s="30"/>
      <c r="I24" s="30"/>
      <c r="J24" s="30">
        <f>IFERROR(__xludf.DUMMYFUNCTION("""COMPUTED_VALUE"""),-11.059343513011441)</f>
        <v>-11.05934351</v>
      </c>
      <c r="K24" s="30"/>
      <c r="L24" s="30"/>
      <c r="M24" s="30"/>
      <c r="N24" s="30"/>
      <c r="O24" s="30">
        <f>IFERROR(__xludf.DUMMYFUNCTION("""COMPUTED_VALUE"""),-2.630874715592867)</f>
        <v>-2.630874716</v>
      </c>
      <c r="P24" s="30">
        <f>IFERROR(__xludf.DUMMYFUNCTION("""COMPUTED_VALUE"""),4.463999088063446)</f>
        <v>4.463999088</v>
      </c>
      <c r="Q24" s="30"/>
      <c r="R24" s="30"/>
      <c r="S24" s="30"/>
      <c r="T24" s="30"/>
      <c r="U24" s="30">
        <v>0.0</v>
      </c>
      <c r="V24" s="30"/>
      <c r="W24" s="30"/>
      <c r="X24" s="30"/>
      <c r="Y24" s="5">
        <f>IFERROR(__xludf.DUMMYFUNCTION("""COMPUTED_VALUE"""),79.0)</f>
        <v>79</v>
      </c>
      <c r="Z24" s="5">
        <f>IFERROR(__xludf.DUMMYFUNCTION("""COMPUTED_VALUE"""),79.0)</f>
        <v>79</v>
      </c>
    </row>
    <row r="25">
      <c r="A25" s="30" t="s">
        <v>257</v>
      </c>
      <c r="B25" s="30">
        <f>IFERROR(__xludf.DUMMYFUNCTION("""COMPUTED_VALUE"""),76.5)</f>
        <v>76.5</v>
      </c>
      <c r="C25" s="30"/>
      <c r="D25" s="30"/>
      <c r="E25" s="30"/>
      <c r="F25" s="30"/>
      <c r="G25" s="30"/>
      <c r="H25" s="30"/>
      <c r="I25" s="30"/>
      <c r="J25" s="30">
        <f>IFERROR(__xludf.DUMMYFUNCTION("""COMPUTED_VALUE"""),-11.059343513011441)</f>
        <v>-11.05934351</v>
      </c>
      <c r="K25" s="30"/>
      <c r="L25" s="30"/>
      <c r="M25" s="30"/>
      <c r="N25" s="30"/>
      <c r="O25" s="30">
        <f>IFERROR(__xludf.DUMMYFUNCTION("""COMPUTED_VALUE"""),-2.630874715592867)</f>
        <v>-2.630874716</v>
      </c>
      <c r="P25" s="30">
        <f>IFERROR(__xludf.DUMMYFUNCTION("""COMPUTED_VALUE"""),4.463999088063446)</f>
        <v>4.463999088</v>
      </c>
      <c r="Q25" s="30"/>
      <c r="R25" s="30"/>
      <c r="S25" s="30"/>
      <c r="T25" s="30"/>
      <c r="U25" s="30">
        <v>0.0</v>
      </c>
      <c r="V25" s="30"/>
      <c r="W25" s="30"/>
      <c r="X25" s="30"/>
      <c r="Y25" s="5">
        <f>IFERROR(__xludf.DUMMYFUNCTION("""COMPUTED_VALUE"""),76.0)</f>
        <v>76</v>
      </c>
      <c r="Z25" s="5">
        <f>IFERROR(__xludf.DUMMYFUNCTION("""COMPUTED_VALUE"""),77.0)</f>
        <v>77</v>
      </c>
    </row>
    <row r="26">
      <c r="A26" s="30" t="s">
        <v>273</v>
      </c>
      <c r="B26" s="30">
        <f>IFERROR(__xludf.DUMMYFUNCTION("""COMPUTED_VALUE"""),76.0)</f>
        <v>76</v>
      </c>
      <c r="C26" s="30"/>
      <c r="D26" s="30"/>
      <c r="E26" s="30"/>
      <c r="F26" s="30"/>
      <c r="G26" s="30"/>
      <c r="H26" s="30"/>
      <c r="I26" s="30"/>
      <c r="J26" s="30">
        <f>IFERROR(__xludf.DUMMYFUNCTION("""COMPUTED_VALUE"""),-11.059343513011441)</f>
        <v>-11.05934351</v>
      </c>
      <c r="K26" s="30"/>
      <c r="L26" s="30"/>
      <c r="M26" s="30"/>
      <c r="N26" s="30"/>
      <c r="O26" s="30">
        <f>IFERROR(__xludf.DUMMYFUNCTION("""COMPUTED_VALUE"""),-2.630874715592867)</f>
        <v>-2.630874716</v>
      </c>
      <c r="P26" s="30">
        <f>IFERROR(__xludf.DUMMYFUNCTION("""COMPUTED_VALUE"""),4.463999088063446)</f>
        <v>4.463999088</v>
      </c>
      <c r="Q26" s="30"/>
      <c r="R26" s="30"/>
      <c r="S26" s="30"/>
      <c r="T26" s="30"/>
      <c r="U26" s="30">
        <v>0.0</v>
      </c>
      <c r="V26" s="30"/>
      <c r="W26" s="30"/>
      <c r="X26" s="30"/>
      <c r="Y26" s="5">
        <f>IFERROR(__xludf.DUMMYFUNCTION("""COMPUTED_VALUE"""),73.0)</f>
        <v>73</v>
      </c>
      <c r="Z26" s="5">
        <f>IFERROR(__xludf.DUMMYFUNCTION("""COMPUTED_VALUE"""),79.0)</f>
        <v>79</v>
      </c>
    </row>
    <row r="27">
      <c r="A27" s="30" t="s">
        <v>286</v>
      </c>
      <c r="B27" s="30">
        <f>IFERROR(__xludf.DUMMYFUNCTION("""COMPUTED_VALUE"""),79.0)</f>
        <v>79</v>
      </c>
      <c r="C27" s="30"/>
      <c r="D27" s="30"/>
      <c r="E27" s="30"/>
      <c r="F27" s="30"/>
      <c r="G27" s="30"/>
      <c r="H27" s="30"/>
      <c r="I27" s="30"/>
      <c r="J27" s="30">
        <f>IFERROR(__xludf.DUMMYFUNCTION("""COMPUTED_VALUE"""),-11.059343513011441)</f>
        <v>-11.05934351</v>
      </c>
      <c r="K27" s="30"/>
      <c r="L27" s="30"/>
      <c r="M27" s="30"/>
      <c r="N27" s="30"/>
      <c r="O27" s="30">
        <f>IFERROR(__xludf.DUMMYFUNCTION("""COMPUTED_VALUE"""),-2.630874715592867)</f>
        <v>-2.630874716</v>
      </c>
      <c r="P27" s="30">
        <f>IFERROR(__xludf.DUMMYFUNCTION("""COMPUTED_VALUE"""),4.463999088063446)</f>
        <v>4.463999088</v>
      </c>
      <c r="Q27" s="30"/>
      <c r="R27" s="30"/>
      <c r="S27" s="30"/>
      <c r="T27" s="30"/>
      <c r="U27" s="30">
        <v>0.0</v>
      </c>
      <c r="V27" s="30"/>
      <c r="W27" s="30"/>
      <c r="X27" s="30"/>
      <c r="Y27" s="5">
        <f>IFERROR(__xludf.DUMMYFUNCTION("""COMPUTED_VALUE"""),79.0)</f>
        <v>79</v>
      </c>
      <c r="Z27" s="5">
        <f>IFERROR(__xludf.DUMMYFUNCTION("""COMPUTED_VALUE"""),79.0)</f>
        <v>79</v>
      </c>
    </row>
    <row r="28">
      <c r="A28" s="30" t="s">
        <v>287</v>
      </c>
      <c r="B28" s="30">
        <f>IFERROR(__xludf.DUMMYFUNCTION("""COMPUTED_VALUE"""),79.0)</f>
        <v>79</v>
      </c>
      <c r="C28" s="30"/>
      <c r="D28" s="30"/>
      <c r="E28" s="30"/>
      <c r="F28" s="30"/>
      <c r="G28" s="30"/>
      <c r="H28" s="30"/>
      <c r="I28" s="30"/>
      <c r="J28" s="30">
        <f>IFERROR(__xludf.DUMMYFUNCTION("""COMPUTED_VALUE"""),-11.059343513011441)</f>
        <v>-11.05934351</v>
      </c>
      <c r="K28" s="30"/>
      <c r="L28" s="30"/>
      <c r="M28" s="30"/>
      <c r="N28" s="30"/>
      <c r="O28" s="30">
        <f>IFERROR(__xludf.DUMMYFUNCTION("""COMPUTED_VALUE"""),-2.630874715592867)</f>
        <v>-2.630874716</v>
      </c>
      <c r="P28" s="30">
        <f>IFERROR(__xludf.DUMMYFUNCTION("""COMPUTED_VALUE"""),4.463999088063446)</f>
        <v>4.463999088</v>
      </c>
      <c r="Q28" s="30"/>
      <c r="R28" s="30"/>
      <c r="S28" s="30"/>
      <c r="T28" s="30"/>
      <c r="U28" s="30">
        <v>0.0</v>
      </c>
      <c r="V28" s="30"/>
      <c r="W28" s="30"/>
      <c r="X28" s="30"/>
      <c r="Y28" s="5">
        <f>IFERROR(__xludf.DUMMYFUNCTION("""COMPUTED_VALUE"""),79.0)</f>
        <v>79</v>
      </c>
      <c r="Z28" s="5">
        <f>IFERROR(__xludf.DUMMYFUNCTION("""COMPUTED_VALUE"""),79.0)</f>
        <v>79</v>
      </c>
    </row>
    <row r="29">
      <c r="A29" s="30" t="s">
        <v>288</v>
      </c>
      <c r="B29" s="30">
        <f>IFERROR(__xludf.DUMMYFUNCTION("""COMPUTED_VALUE"""),76.0)</f>
        <v>76</v>
      </c>
      <c r="C29" s="30"/>
      <c r="D29" s="30"/>
      <c r="E29" s="30"/>
      <c r="F29" s="30"/>
      <c r="G29" s="30"/>
      <c r="H29" s="30"/>
      <c r="I29" s="30"/>
      <c r="J29" s="30">
        <f>IFERROR(__xludf.DUMMYFUNCTION("""COMPUTED_VALUE"""),-11.059343513011441)</f>
        <v>-11.05934351</v>
      </c>
      <c r="K29" s="30"/>
      <c r="L29" s="30"/>
      <c r="M29" s="30"/>
      <c r="N29" s="30"/>
      <c r="O29" s="30">
        <f>IFERROR(__xludf.DUMMYFUNCTION("""COMPUTED_VALUE"""),-2.630874715592867)</f>
        <v>-2.630874716</v>
      </c>
      <c r="P29" s="30">
        <f>IFERROR(__xludf.DUMMYFUNCTION("""COMPUTED_VALUE"""),4.463999088063446)</f>
        <v>4.463999088</v>
      </c>
      <c r="Q29" s="30"/>
      <c r="R29" s="30"/>
      <c r="S29" s="30"/>
      <c r="T29" s="30"/>
      <c r="U29" s="30">
        <v>0.0</v>
      </c>
      <c r="V29" s="30"/>
      <c r="W29" s="30"/>
      <c r="X29" s="30"/>
      <c r="Y29" s="5">
        <f>IFERROR(__xludf.DUMMYFUNCTION("""COMPUTED_VALUE"""),76.0)</f>
        <v>76</v>
      </c>
      <c r="Z29" s="5">
        <f>IFERROR(__xludf.DUMMYFUNCTION("""COMPUTED_VALUE"""),76.0)</f>
        <v>76</v>
      </c>
    </row>
    <row r="30">
      <c r="A30" s="30" t="s">
        <v>289</v>
      </c>
      <c r="B30" s="30">
        <f>IFERROR(__xludf.DUMMYFUNCTION("""COMPUTED_VALUE"""),76.0)</f>
        <v>76</v>
      </c>
      <c r="C30" s="30"/>
      <c r="D30" s="30"/>
      <c r="E30" s="30"/>
      <c r="F30" s="30"/>
      <c r="G30" s="30"/>
      <c r="H30" s="30"/>
      <c r="I30" s="30"/>
      <c r="J30" s="30">
        <f>IFERROR(__xludf.DUMMYFUNCTION("""COMPUTED_VALUE"""),-11.059343513011441)</f>
        <v>-11.05934351</v>
      </c>
      <c r="K30" s="30"/>
      <c r="L30" s="30"/>
      <c r="M30" s="30"/>
      <c r="N30" s="30"/>
      <c r="O30" s="30">
        <f>IFERROR(__xludf.DUMMYFUNCTION("""COMPUTED_VALUE"""),-2.630874715592867)</f>
        <v>-2.630874716</v>
      </c>
      <c r="P30" s="30">
        <f>IFERROR(__xludf.DUMMYFUNCTION("""COMPUTED_VALUE"""),4.463999088063446)</f>
        <v>4.463999088</v>
      </c>
      <c r="Q30" s="30"/>
      <c r="R30" s="30"/>
      <c r="S30" s="30"/>
      <c r="T30" s="30"/>
      <c r="U30" s="30">
        <v>0.0</v>
      </c>
      <c r="V30" s="30"/>
      <c r="W30" s="30"/>
      <c r="X30" s="30"/>
      <c r="Y30" s="5">
        <f>IFERROR(__xludf.DUMMYFUNCTION("""COMPUTED_VALUE"""),76.0)</f>
        <v>76</v>
      </c>
      <c r="Z30" s="5">
        <f>IFERROR(__xludf.DUMMYFUNCTION("""COMPUTED_VALUE"""),76.0)</f>
        <v>76</v>
      </c>
    </row>
    <row r="31">
      <c r="A31" s="30" t="s">
        <v>290</v>
      </c>
      <c r="B31" s="30">
        <f>IFERROR(__xludf.DUMMYFUNCTION("""COMPUTED_VALUE"""),78.0)</f>
        <v>78</v>
      </c>
      <c r="C31" s="30"/>
      <c r="D31" s="30"/>
      <c r="E31" s="30"/>
      <c r="F31" s="30"/>
      <c r="G31" s="30"/>
      <c r="H31" s="30"/>
      <c r="I31" s="30"/>
      <c r="J31" s="30">
        <f>IFERROR(__xludf.DUMMYFUNCTION("""COMPUTED_VALUE"""),-11.059343513011441)</f>
        <v>-11.05934351</v>
      </c>
      <c r="K31" s="30"/>
      <c r="L31" s="30"/>
      <c r="M31" s="30"/>
      <c r="N31" s="30"/>
      <c r="O31" s="30">
        <f>IFERROR(__xludf.DUMMYFUNCTION("""COMPUTED_VALUE"""),-2.630874715592867)</f>
        <v>-2.630874716</v>
      </c>
      <c r="P31" s="30">
        <f>IFERROR(__xludf.DUMMYFUNCTION("""COMPUTED_VALUE"""),4.463999088063446)</f>
        <v>4.463999088</v>
      </c>
      <c r="Q31" s="30"/>
      <c r="R31" s="30"/>
      <c r="S31" s="30"/>
      <c r="T31" s="30"/>
      <c r="U31" s="30">
        <v>0.0</v>
      </c>
      <c r="V31" s="30"/>
      <c r="W31" s="30"/>
      <c r="X31" s="30"/>
      <c r="Y31" s="5">
        <f>IFERROR(__xludf.DUMMYFUNCTION("""COMPUTED_VALUE"""),78.0)</f>
        <v>78</v>
      </c>
      <c r="Z31" s="5">
        <f>IFERROR(__xludf.DUMMYFUNCTION("""COMPUTED_VALUE"""),78.0)</f>
        <v>78</v>
      </c>
    </row>
    <row r="32">
      <c r="A32" s="30" t="s">
        <v>291</v>
      </c>
      <c r="B32" s="30">
        <f>IFERROR(__xludf.DUMMYFUNCTION("""COMPUTED_VALUE"""),79.0)</f>
        <v>79</v>
      </c>
      <c r="C32" s="30"/>
      <c r="D32" s="30"/>
      <c r="E32" s="30"/>
      <c r="F32" s="30"/>
      <c r="G32" s="30"/>
      <c r="H32" s="30"/>
      <c r="I32" s="30"/>
      <c r="J32" s="30">
        <f>IFERROR(__xludf.DUMMYFUNCTION("""COMPUTED_VALUE"""),-11.059343513011441)</f>
        <v>-11.05934351</v>
      </c>
      <c r="K32" s="30"/>
      <c r="L32" s="30"/>
      <c r="M32" s="30"/>
      <c r="N32" s="30"/>
      <c r="O32" s="30">
        <f>IFERROR(__xludf.DUMMYFUNCTION("""COMPUTED_VALUE"""),-2.630874715592867)</f>
        <v>-2.630874716</v>
      </c>
      <c r="P32" s="30">
        <f>IFERROR(__xludf.DUMMYFUNCTION("""COMPUTED_VALUE"""),4.463999088063446)</f>
        <v>4.463999088</v>
      </c>
      <c r="Q32" s="30"/>
      <c r="R32" s="30"/>
      <c r="S32" s="30"/>
      <c r="T32" s="30"/>
      <c r="U32" s="30">
        <v>0.0</v>
      </c>
      <c r="V32" s="30"/>
      <c r="W32" s="30"/>
      <c r="X32" s="30"/>
      <c r="Y32" s="5">
        <f>IFERROR(__xludf.DUMMYFUNCTION("""COMPUTED_VALUE"""),79.0)</f>
        <v>79</v>
      </c>
      <c r="Z32" s="5">
        <f>IFERROR(__xludf.DUMMYFUNCTION("""COMPUTED_VALUE"""),79.0)</f>
        <v>79</v>
      </c>
    </row>
    <row r="33">
      <c r="A33" s="30" t="s">
        <v>292</v>
      </c>
      <c r="B33" s="30">
        <f>IFERROR(__xludf.DUMMYFUNCTION("""COMPUTED_VALUE"""),79.0)</f>
        <v>79</v>
      </c>
      <c r="C33" s="30"/>
      <c r="D33" s="30"/>
      <c r="E33" s="30"/>
      <c r="F33" s="30"/>
      <c r="G33" s="30"/>
      <c r="H33" s="30"/>
      <c r="I33" s="30"/>
      <c r="J33" s="30">
        <f>IFERROR(__xludf.DUMMYFUNCTION("""COMPUTED_VALUE"""),-11.059343513011441)</f>
        <v>-11.05934351</v>
      </c>
      <c r="K33" s="30"/>
      <c r="L33" s="30"/>
      <c r="M33" s="30"/>
      <c r="N33" s="30"/>
      <c r="O33" s="30">
        <f>IFERROR(__xludf.DUMMYFUNCTION("""COMPUTED_VALUE"""),-2.630874715592867)</f>
        <v>-2.630874716</v>
      </c>
      <c r="P33" s="30">
        <f>IFERROR(__xludf.DUMMYFUNCTION("""COMPUTED_VALUE"""),4.463999088063446)</f>
        <v>4.463999088</v>
      </c>
      <c r="Q33" s="30"/>
      <c r="R33" s="30"/>
      <c r="S33" s="30"/>
      <c r="T33" s="30"/>
      <c r="U33" s="30">
        <v>0.0</v>
      </c>
      <c r="V33" s="30"/>
      <c r="W33" s="30"/>
      <c r="X33" s="30"/>
      <c r="Y33" s="5">
        <f>IFERROR(__xludf.DUMMYFUNCTION("""COMPUTED_VALUE"""),79.0)</f>
        <v>79</v>
      </c>
      <c r="Z33" s="5">
        <f>IFERROR(__xludf.DUMMYFUNCTION("""COMPUTED_VALUE"""),79.0)</f>
        <v>79</v>
      </c>
    </row>
    <row r="34">
      <c r="A34" s="30" t="s">
        <v>293</v>
      </c>
      <c r="B34" s="30">
        <f>IFERROR(__xludf.DUMMYFUNCTION("""COMPUTED_VALUE"""),76.5)</f>
        <v>76.5</v>
      </c>
      <c r="C34" s="30"/>
      <c r="D34" s="30"/>
      <c r="E34" s="30"/>
      <c r="F34" s="30"/>
      <c r="G34" s="30"/>
      <c r="H34" s="30"/>
      <c r="I34" s="30"/>
      <c r="J34" s="30">
        <f>IFERROR(__xludf.DUMMYFUNCTION("""COMPUTED_VALUE"""),-11.059343513011441)</f>
        <v>-11.05934351</v>
      </c>
      <c r="K34" s="30"/>
      <c r="L34" s="30"/>
      <c r="M34" s="30"/>
      <c r="N34" s="30"/>
      <c r="O34" s="30">
        <f>IFERROR(__xludf.DUMMYFUNCTION("""COMPUTED_VALUE"""),-2.630874715592867)</f>
        <v>-2.630874716</v>
      </c>
      <c r="P34" s="30">
        <f>IFERROR(__xludf.DUMMYFUNCTION("""COMPUTED_VALUE"""),4.463999088063446)</f>
        <v>4.463999088</v>
      </c>
      <c r="Q34" s="30"/>
      <c r="R34" s="30"/>
      <c r="S34" s="30"/>
      <c r="T34" s="30"/>
      <c r="U34" s="30">
        <v>0.0</v>
      </c>
      <c r="V34" s="30"/>
      <c r="W34" s="30"/>
      <c r="X34" s="30"/>
      <c r="Y34" s="5">
        <f>IFERROR(__xludf.DUMMYFUNCTION("""COMPUTED_VALUE"""),75.0)</f>
        <v>75</v>
      </c>
      <c r="Z34" s="5">
        <f>IFERROR(__xludf.DUMMYFUNCTION("""COMPUTED_VALUE"""),78.0)</f>
        <v>78</v>
      </c>
    </row>
    <row r="35">
      <c r="A35" s="30" t="s">
        <v>307</v>
      </c>
      <c r="B35" s="30">
        <f>IFERROR(__xludf.DUMMYFUNCTION("""COMPUTED_VALUE"""),77.0)</f>
        <v>77</v>
      </c>
      <c r="C35" s="30"/>
      <c r="D35" s="30"/>
      <c r="E35" s="30"/>
      <c r="F35" s="30"/>
      <c r="G35" s="30"/>
      <c r="H35" s="30"/>
      <c r="I35" s="30"/>
      <c r="J35" s="30">
        <f>IFERROR(__xludf.DUMMYFUNCTION("""COMPUTED_VALUE"""),-11.059343513011441)</f>
        <v>-11.05934351</v>
      </c>
      <c r="K35" s="30"/>
      <c r="L35" s="30"/>
      <c r="M35" s="30"/>
      <c r="N35" s="30"/>
      <c r="O35" s="30">
        <f>IFERROR(__xludf.DUMMYFUNCTION("""COMPUTED_VALUE"""),-2.630874715592867)</f>
        <v>-2.630874716</v>
      </c>
      <c r="P35" s="30">
        <f>IFERROR(__xludf.DUMMYFUNCTION("""COMPUTED_VALUE"""),4.463999088063446)</f>
        <v>4.463999088</v>
      </c>
      <c r="Q35" s="30"/>
      <c r="R35" s="30"/>
      <c r="S35" s="30"/>
      <c r="T35" s="30"/>
      <c r="U35" s="30">
        <v>0.0</v>
      </c>
      <c r="V35" s="30"/>
      <c r="W35" s="30"/>
      <c r="X35" s="30"/>
      <c r="Y35" s="5">
        <f>IFERROR(__xludf.DUMMYFUNCTION("""COMPUTED_VALUE"""),75.0)</f>
        <v>75</v>
      </c>
      <c r="Z35" s="5">
        <f>IFERROR(__xludf.DUMMYFUNCTION("""COMPUTED_VALUE"""),79.0)</f>
        <v>79</v>
      </c>
    </row>
    <row r="36">
      <c r="A36" s="30" t="s">
        <v>326</v>
      </c>
      <c r="B36" s="30">
        <f>IFERROR(__xludf.DUMMYFUNCTION("""COMPUTED_VALUE"""),76.5)</f>
        <v>76.5</v>
      </c>
      <c r="C36" s="30"/>
      <c r="D36" s="30"/>
      <c r="E36" s="30"/>
      <c r="F36" s="30"/>
      <c r="G36" s="30"/>
      <c r="H36" s="30"/>
      <c r="I36" s="30"/>
      <c r="J36" s="30">
        <f>IFERROR(__xludf.DUMMYFUNCTION("""COMPUTED_VALUE"""),-11.059343513011441)</f>
        <v>-11.05934351</v>
      </c>
      <c r="K36" s="30"/>
      <c r="L36" s="30"/>
      <c r="M36" s="30"/>
      <c r="N36" s="30"/>
      <c r="O36" s="30">
        <f>IFERROR(__xludf.DUMMYFUNCTION("""COMPUTED_VALUE"""),-2.630874715592867)</f>
        <v>-2.630874716</v>
      </c>
      <c r="P36" s="30">
        <f>IFERROR(__xludf.DUMMYFUNCTION("""COMPUTED_VALUE"""),4.463999088063446)</f>
        <v>4.463999088</v>
      </c>
      <c r="Q36" s="30"/>
      <c r="R36" s="30"/>
      <c r="S36" s="30"/>
      <c r="T36" s="30"/>
      <c r="U36" s="30">
        <v>0.0</v>
      </c>
      <c r="V36" s="30"/>
      <c r="W36" s="30"/>
      <c r="X36" s="30"/>
      <c r="Y36" s="5">
        <f>IFERROR(__xludf.DUMMYFUNCTION("""COMPUTED_VALUE"""),74.0)</f>
        <v>74</v>
      </c>
      <c r="Z36" s="5">
        <f>IFERROR(__xludf.DUMMYFUNCTION("""COMPUTED_VALUE"""),79.0)</f>
        <v>79</v>
      </c>
    </row>
    <row r="37">
      <c r="A37" s="30" t="s">
        <v>338</v>
      </c>
      <c r="B37" s="30">
        <f>IFERROR(__xludf.DUMMYFUNCTION("""COMPUTED_VALUE"""),79.0)</f>
        <v>79</v>
      </c>
      <c r="C37" s="30"/>
      <c r="D37" s="30"/>
      <c r="E37" s="30"/>
      <c r="F37" s="30"/>
      <c r="G37" s="30"/>
      <c r="H37" s="30"/>
      <c r="I37" s="30"/>
      <c r="J37" s="30">
        <f>IFERROR(__xludf.DUMMYFUNCTION("""COMPUTED_VALUE"""),-11.059343513011441)</f>
        <v>-11.05934351</v>
      </c>
      <c r="K37" s="30"/>
      <c r="L37" s="30"/>
      <c r="M37" s="30"/>
      <c r="N37" s="30"/>
      <c r="O37" s="30">
        <f>IFERROR(__xludf.DUMMYFUNCTION("""COMPUTED_VALUE"""),-2.630874715592867)</f>
        <v>-2.630874716</v>
      </c>
      <c r="P37" s="30">
        <f>IFERROR(__xludf.DUMMYFUNCTION("""COMPUTED_VALUE"""),4.463999088063446)</f>
        <v>4.463999088</v>
      </c>
      <c r="Q37" s="30"/>
      <c r="R37" s="30"/>
      <c r="S37" s="30"/>
      <c r="T37" s="30"/>
      <c r="U37" s="30">
        <v>0.0</v>
      </c>
      <c r="V37" s="30"/>
      <c r="W37" s="30"/>
      <c r="X37" s="30"/>
      <c r="Y37" s="5">
        <f>IFERROR(__xludf.DUMMYFUNCTION("""COMPUTED_VALUE"""),79.0)</f>
        <v>79</v>
      </c>
      <c r="Z37" s="5">
        <f>IFERROR(__xludf.DUMMYFUNCTION("""COMPUTED_VALUE"""),79.0)</f>
        <v>79</v>
      </c>
    </row>
    <row r="38">
      <c r="A38" s="30" t="s">
        <v>339</v>
      </c>
      <c r="B38" s="30">
        <f>IFERROR(__xludf.DUMMYFUNCTION("""COMPUTED_VALUE"""),74.5)</f>
        <v>74.5</v>
      </c>
      <c r="C38" s="30"/>
      <c r="D38" s="30"/>
      <c r="E38" s="30"/>
      <c r="F38" s="30"/>
      <c r="G38" s="30"/>
      <c r="H38" s="30"/>
      <c r="I38" s="30"/>
      <c r="J38" s="30">
        <f>IFERROR(__xludf.DUMMYFUNCTION("""COMPUTED_VALUE"""),-11.059343513011441)</f>
        <v>-11.05934351</v>
      </c>
      <c r="K38" s="30"/>
      <c r="L38" s="30"/>
      <c r="M38" s="30"/>
      <c r="N38" s="30"/>
      <c r="O38" s="30">
        <f>IFERROR(__xludf.DUMMYFUNCTION("""COMPUTED_VALUE"""),-2.630874715592867)</f>
        <v>-2.630874716</v>
      </c>
      <c r="P38" s="30">
        <f>IFERROR(__xludf.DUMMYFUNCTION("""COMPUTED_VALUE"""),4.463999088063446)</f>
        <v>4.463999088</v>
      </c>
      <c r="Q38" s="30"/>
      <c r="R38" s="30"/>
      <c r="S38" s="30"/>
      <c r="T38" s="30"/>
      <c r="U38" s="30">
        <v>0.0</v>
      </c>
      <c r="V38" s="30"/>
      <c r="W38" s="30"/>
      <c r="X38" s="30"/>
      <c r="Y38" s="5">
        <f>IFERROR(__xludf.DUMMYFUNCTION("""COMPUTED_VALUE"""),70.0)</f>
        <v>70</v>
      </c>
      <c r="Z38" s="5">
        <f>IFERROR(__xludf.DUMMYFUNCTION("""COMPUTED_VALUE"""),79.0)</f>
        <v>79</v>
      </c>
    </row>
    <row r="39">
      <c r="A39" s="30" t="s">
        <v>356</v>
      </c>
      <c r="B39" s="30">
        <f>IFERROR(__xludf.DUMMYFUNCTION("""COMPUTED_VALUE"""),79.0)</f>
        <v>79</v>
      </c>
      <c r="C39" s="30"/>
      <c r="D39" s="30"/>
      <c r="E39" s="30"/>
      <c r="F39" s="30"/>
      <c r="G39" s="30"/>
      <c r="H39" s="30"/>
      <c r="I39" s="30"/>
      <c r="J39" s="30">
        <f>IFERROR(__xludf.DUMMYFUNCTION("""COMPUTED_VALUE"""),-11.059343513011441)</f>
        <v>-11.05934351</v>
      </c>
      <c r="K39" s="30"/>
      <c r="L39" s="30"/>
      <c r="M39" s="30"/>
      <c r="N39" s="30"/>
      <c r="O39" s="30">
        <f>IFERROR(__xludf.DUMMYFUNCTION("""COMPUTED_VALUE"""),-2.630874715592867)</f>
        <v>-2.630874716</v>
      </c>
      <c r="P39" s="30">
        <f>IFERROR(__xludf.DUMMYFUNCTION("""COMPUTED_VALUE"""),4.463999088063446)</f>
        <v>4.463999088</v>
      </c>
      <c r="Q39" s="30"/>
      <c r="R39" s="30"/>
      <c r="S39" s="30"/>
      <c r="T39" s="30"/>
      <c r="U39" s="30">
        <v>0.0</v>
      </c>
      <c r="V39" s="30"/>
      <c r="W39" s="30"/>
      <c r="X39" s="30"/>
      <c r="Y39" s="5">
        <f>IFERROR(__xludf.DUMMYFUNCTION("""COMPUTED_VALUE"""),79.0)</f>
        <v>79</v>
      </c>
      <c r="Z39" s="5">
        <f>IFERROR(__xludf.DUMMYFUNCTION("""COMPUTED_VALUE"""),79.0)</f>
        <v>79</v>
      </c>
    </row>
    <row r="40">
      <c r="A40" s="30" t="s">
        <v>357</v>
      </c>
      <c r="B40" s="30">
        <f>IFERROR(__xludf.DUMMYFUNCTION("""COMPUTED_VALUE"""),75.0)</f>
        <v>75</v>
      </c>
      <c r="C40" s="30"/>
      <c r="D40" s="30"/>
      <c r="E40" s="30"/>
      <c r="F40" s="30"/>
      <c r="G40" s="30"/>
      <c r="H40" s="30"/>
      <c r="I40" s="30"/>
      <c r="J40" s="30">
        <f>IFERROR(__xludf.DUMMYFUNCTION("""COMPUTED_VALUE"""),-11.059343513011441)</f>
        <v>-11.05934351</v>
      </c>
      <c r="K40" s="30"/>
      <c r="L40" s="30"/>
      <c r="M40" s="30"/>
      <c r="N40" s="30"/>
      <c r="O40" s="30">
        <f>IFERROR(__xludf.DUMMYFUNCTION("""COMPUTED_VALUE"""),-2.630874715592867)</f>
        <v>-2.630874716</v>
      </c>
      <c r="P40" s="30">
        <f>IFERROR(__xludf.DUMMYFUNCTION("""COMPUTED_VALUE"""),4.463999088063446)</f>
        <v>4.463999088</v>
      </c>
      <c r="Q40" s="30"/>
      <c r="R40" s="30"/>
      <c r="S40" s="30"/>
      <c r="T40" s="30"/>
      <c r="U40" s="30">
        <v>0.0</v>
      </c>
      <c r="V40" s="30"/>
      <c r="W40" s="30"/>
      <c r="X40" s="30"/>
      <c r="Y40" s="5">
        <f>IFERROR(__xludf.DUMMYFUNCTION("""COMPUTED_VALUE"""),75.0)</f>
        <v>75</v>
      </c>
      <c r="Z40" s="5">
        <f>IFERROR(__xludf.DUMMYFUNCTION("""COMPUTED_VALUE"""),75.0)</f>
        <v>75</v>
      </c>
    </row>
    <row r="41">
      <c r="A41" s="30" t="s">
        <v>358</v>
      </c>
      <c r="B41" s="30">
        <f>IFERROR(__xludf.DUMMYFUNCTION("""COMPUTED_VALUE"""),76.5)</f>
        <v>76.5</v>
      </c>
      <c r="C41" s="30"/>
      <c r="D41" s="30"/>
      <c r="E41" s="30"/>
      <c r="F41" s="30"/>
      <c r="G41" s="30"/>
      <c r="H41" s="30"/>
      <c r="I41" s="30"/>
      <c r="J41" s="30">
        <f>IFERROR(__xludf.DUMMYFUNCTION("""COMPUTED_VALUE"""),-11.059343513011441)</f>
        <v>-11.05934351</v>
      </c>
      <c r="K41" s="30"/>
      <c r="L41" s="30"/>
      <c r="M41" s="30"/>
      <c r="N41" s="30"/>
      <c r="O41" s="30">
        <f>IFERROR(__xludf.DUMMYFUNCTION("""COMPUTED_VALUE"""),-2.630874715592867)</f>
        <v>-2.630874716</v>
      </c>
      <c r="P41" s="30">
        <f>IFERROR(__xludf.DUMMYFUNCTION("""COMPUTED_VALUE"""),4.463999088063446)</f>
        <v>4.463999088</v>
      </c>
      <c r="Q41" s="30"/>
      <c r="R41" s="30"/>
      <c r="S41" s="30"/>
      <c r="T41" s="30"/>
      <c r="U41" s="30">
        <v>0.0</v>
      </c>
      <c r="V41" s="30"/>
      <c r="W41" s="30"/>
      <c r="X41" s="30"/>
      <c r="Y41" s="5">
        <f>IFERROR(__xludf.DUMMYFUNCTION("""COMPUTED_VALUE"""),74.0)</f>
        <v>74</v>
      </c>
      <c r="Z41" s="5">
        <f>IFERROR(__xludf.DUMMYFUNCTION("""COMPUTED_VALUE"""),79.0)</f>
        <v>79</v>
      </c>
    </row>
    <row r="42">
      <c r="A42" s="30" t="s">
        <v>370</v>
      </c>
      <c r="B42" s="30">
        <f>IFERROR(__xludf.DUMMYFUNCTION("""COMPUTED_VALUE"""),78.0)</f>
        <v>78</v>
      </c>
      <c r="C42" s="30"/>
      <c r="D42" s="30"/>
      <c r="E42" s="30"/>
      <c r="F42" s="30"/>
      <c r="G42" s="30"/>
      <c r="H42" s="30"/>
      <c r="I42" s="30"/>
      <c r="J42" s="30">
        <f>IFERROR(__xludf.DUMMYFUNCTION("""COMPUTED_VALUE"""),-11.059343513011441)</f>
        <v>-11.05934351</v>
      </c>
      <c r="K42" s="30"/>
      <c r="L42" s="30"/>
      <c r="M42" s="30"/>
      <c r="N42" s="30"/>
      <c r="O42" s="30">
        <f>IFERROR(__xludf.DUMMYFUNCTION("""COMPUTED_VALUE"""),-2.630874715592867)</f>
        <v>-2.630874716</v>
      </c>
      <c r="P42" s="30">
        <f>IFERROR(__xludf.DUMMYFUNCTION("""COMPUTED_VALUE"""),4.463999088063446)</f>
        <v>4.463999088</v>
      </c>
      <c r="Q42" s="30"/>
      <c r="R42" s="30"/>
      <c r="S42" s="30"/>
      <c r="T42" s="30"/>
      <c r="U42" s="30">
        <v>0.0</v>
      </c>
      <c r="V42" s="30"/>
      <c r="W42" s="30"/>
      <c r="X42" s="30"/>
      <c r="Y42" s="5">
        <f>IFERROR(__xludf.DUMMYFUNCTION("""COMPUTED_VALUE"""),78.0)</f>
        <v>78</v>
      </c>
      <c r="Z42" s="5">
        <f>IFERROR(__xludf.DUMMYFUNCTION("""COMPUTED_VALUE"""),78.0)</f>
        <v>78</v>
      </c>
    </row>
    <row r="43">
      <c r="A43" s="30" t="s">
        <v>371</v>
      </c>
      <c r="B43" s="30">
        <f>IFERROR(__xludf.DUMMYFUNCTION("""COMPUTED_VALUE"""),76.0)</f>
        <v>76</v>
      </c>
      <c r="C43" s="30"/>
      <c r="D43" s="30"/>
      <c r="E43" s="30"/>
      <c r="F43" s="30"/>
      <c r="G43" s="30"/>
      <c r="H43" s="30"/>
      <c r="I43" s="30"/>
      <c r="J43" s="30">
        <f>IFERROR(__xludf.DUMMYFUNCTION("""COMPUTED_VALUE"""),-11.059343513011441)</f>
        <v>-11.05934351</v>
      </c>
      <c r="K43" s="30"/>
      <c r="L43" s="30"/>
      <c r="M43" s="30"/>
      <c r="N43" s="30"/>
      <c r="O43" s="30">
        <f>IFERROR(__xludf.DUMMYFUNCTION("""COMPUTED_VALUE"""),-2.630874715592867)</f>
        <v>-2.630874716</v>
      </c>
      <c r="P43" s="30">
        <f>IFERROR(__xludf.DUMMYFUNCTION("""COMPUTED_VALUE"""),4.463999088063446)</f>
        <v>4.463999088</v>
      </c>
      <c r="Q43" s="30"/>
      <c r="R43" s="30"/>
      <c r="S43" s="30"/>
      <c r="T43" s="30"/>
      <c r="U43" s="30">
        <v>0.0</v>
      </c>
      <c r="V43" s="30"/>
      <c r="W43" s="30"/>
      <c r="X43" s="30"/>
      <c r="Y43" s="5">
        <f>IFERROR(__xludf.DUMMYFUNCTION("""COMPUTED_VALUE"""),76.0)</f>
        <v>76</v>
      </c>
      <c r="Z43" s="5">
        <f>IFERROR(__xludf.DUMMYFUNCTION("""COMPUTED_VALUE"""),76.0)</f>
        <v>76</v>
      </c>
    </row>
    <row r="44">
      <c r="A44" s="30" t="s">
        <v>372</v>
      </c>
      <c r="B44" s="30">
        <f>IFERROR(__xludf.DUMMYFUNCTION("""COMPUTED_VALUE"""),79.0)</f>
        <v>79</v>
      </c>
      <c r="C44" s="30"/>
      <c r="D44" s="30"/>
      <c r="E44" s="30"/>
      <c r="F44" s="30"/>
      <c r="G44" s="30"/>
      <c r="H44" s="30"/>
      <c r="I44" s="30"/>
      <c r="J44" s="30">
        <f>IFERROR(__xludf.DUMMYFUNCTION("""COMPUTED_VALUE"""),-11.059343513011441)</f>
        <v>-11.05934351</v>
      </c>
      <c r="K44" s="30"/>
      <c r="L44" s="30"/>
      <c r="M44" s="30"/>
      <c r="N44" s="30"/>
      <c r="O44" s="30">
        <f>IFERROR(__xludf.DUMMYFUNCTION("""COMPUTED_VALUE"""),-2.630874715592867)</f>
        <v>-2.630874716</v>
      </c>
      <c r="P44" s="30">
        <f>IFERROR(__xludf.DUMMYFUNCTION("""COMPUTED_VALUE"""),4.463999088063446)</f>
        <v>4.463999088</v>
      </c>
      <c r="Q44" s="30"/>
      <c r="R44" s="30"/>
      <c r="S44" s="30"/>
      <c r="T44" s="30"/>
      <c r="U44" s="30">
        <v>0.0</v>
      </c>
      <c r="V44" s="30"/>
      <c r="W44" s="30"/>
      <c r="X44" s="30"/>
      <c r="Y44" s="5">
        <f>IFERROR(__xludf.DUMMYFUNCTION("""COMPUTED_VALUE"""),79.0)</f>
        <v>79</v>
      </c>
      <c r="Z44" s="5">
        <f>IFERROR(__xludf.DUMMYFUNCTION("""COMPUTED_VALUE"""),79.0)</f>
        <v>79</v>
      </c>
    </row>
    <row r="45">
      <c r="A45" s="30" t="s">
        <v>376</v>
      </c>
      <c r="B45" s="30">
        <f>IFERROR(__xludf.DUMMYFUNCTION("""COMPUTED_VALUE"""),79.0)</f>
        <v>79</v>
      </c>
      <c r="C45" s="30"/>
      <c r="D45" s="30"/>
      <c r="E45" s="30"/>
      <c r="F45" s="30"/>
      <c r="G45" s="30"/>
      <c r="H45" s="30"/>
      <c r="I45" s="30"/>
      <c r="J45" s="30">
        <f>IFERROR(__xludf.DUMMYFUNCTION("""COMPUTED_VALUE"""),-11.059343513011441)</f>
        <v>-11.05934351</v>
      </c>
      <c r="K45" s="30"/>
      <c r="L45" s="30"/>
      <c r="M45" s="30"/>
      <c r="N45" s="30"/>
      <c r="O45" s="30">
        <f>IFERROR(__xludf.DUMMYFUNCTION("""COMPUTED_VALUE"""),-2.630874715592867)</f>
        <v>-2.630874716</v>
      </c>
      <c r="P45" s="30">
        <f>IFERROR(__xludf.DUMMYFUNCTION("""COMPUTED_VALUE"""),4.463999088063446)</f>
        <v>4.463999088</v>
      </c>
      <c r="Q45" s="30"/>
      <c r="R45" s="30"/>
      <c r="S45" s="30"/>
      <c r="T45" s="30"/>
      <c r="U45" s="30">
        <v>0.0</v>
      </c>
      <c r="V45" s="30"/>
      <c r="W45" s="30"/>
      <c r="X45" s="30"/>
      <c r="Y45" s="5">
        <f>IFERROR(__xludf.DUMMYFUNCTION("""COMPUTED_VALUE"""),79.0)</f>
        <v>79</v>
      </c>
      <c r="Z45" s="5">
        <f>IFERROR(__xludf.DUMMYFUNCTION("""COMPUTED_VALUE"""),79.0)</f>
        <v>79</v>
      </c>
    </row>
    <row r="46">
      <c r="A46" s="30" t="s">
        <v>377</v>
      </c>
      <c r="B46" s="30">
        <f>IFERROR(__xludf.DUMMYFUNCTION("""COMPUTED_VALUE"""),76.0)</f>
        <v>76</v>
      </c>
      <c r="C46" s="30"/>
      <c r="D46" s="30"/>
      <c r="E46" s="30"/>
      <c r="F46" s="30"/>
      <c r="G46" s="30"/>
      <c r="H46" s="30"/>
      <c r="I46" s="30"/>
      <c r="J46" s="30">
        <f>IFERROR(__xludf.DUMMYFUNCTION("""COMPUTED_VALUE"""),-11.059343513011441)</f>
        <v>-11.05934351</v>
      </c>
      <c r="K46" s="30"/>
      <c r="L46" s="30"/>
      <c r="M46" s="30"/>
      <c r="N46" s="30"/>
      <c r="O46" s="30">
        <f>IFERROR(__xludf.DUMMYFUNCTION("""COMPUTED_VALUE"""),-2.630874715592867)</f>
        <v>-2.630874716</v>
      </c>
      <c r="P46" s="30">
        <f>IFERROR(__xludf.DUMMYFUNCTION("""COMPUTED_VALUE"""),4.463999088063446)</f>
        <v>4.463999088</v>
      </c>
      <c r="Q46" s="30"/>
      <c r="R46" s="30"/>
      <c r="S46" s="30"/>
      <c r="T46" s="30"/>
      <c r="U46" s="30">
        <v>0.0</v>
      </c>
      <c r="V46" s="30"/>
      <c r="W46" s="30"/>
      <c r="X46" s="30"/>
      <c r="Y46" s="5">
        <f>IFERROR(__xludf.DUMMYFUNCTION("""COMPUTED_VALUE"""),76.0)</f>
        <v>76</v>
      </c>
      <c r="Z46" s="5">
        <f>IFERROR(__xludf.DUMMYFUNCTION("""COMPUTED_VALUE"""),76.0)</f>
        <v>76</v>
      </c>
    </row>
    <row r="47">
      <c r="A47" s="30" t="s">
        <v>378</v>
      </c>
      <c r="B47" s="30">
        <f>IFERROR(__xludf.DUMMYFUNCTION("""COMPUTED_VALUE"""),77.5)</f>
        <v>77.5</v>
      </c>
      <c r="C47" s="30"/>
      <c r="D47" s="30"/>
      <c r="E47" s="30"/>
      <c r="F47" s="30"/>
      <c r="G47" s="30"/>
      <c r="H47" s="30"/>
      <c r="I47" s="30"/>
      <c r="J47" s="30">
        <f>IFERROR(__xludf.DUMMYFUNCTION("""COMPUTED_VALUE"""),-11.059343513011441)</f>
        <v>-11.05934351</v>
      </c>
      <c r="K47" s="30"/>
      <c r="L47" s="30"/>
      <c r="M47" s="30"/>
      <c r="N47" s="30"/>
      <c r="O47" s="30">
        <f>IFERROR(__xludf.DUMMYFUNCTION("""COMPUTED_VALUE"""),-2.630874715592867)</f>
        <v>-2.630874716</v>
      </c>
      <c r="P47" s="30">
        <f>IFERROR(__xludf.DUMMYFUNCTION("""COMPUTED_VALUE"""),4.463999088063446)</f>
        <v>4.463999088</v>
      </c>
      <c r="Q47" s="30"/>
      <c r="R47" s="30"/>
      <c r="S47" s="30"/>
      <c r="T47" s="30"/>
      <c r="U47" s="30">
        <v>0.0</v>
      </c>
      <c r="V47" s="30"/>
      <c r="W47" s="30"/>
      <c r="X47" s="30"/>
      <c r="Y47" s="5">
        <f>IFERROR(__xludf.DUMMYFUNCTION("""COMPUTED_VALUE"""),76.0)</f>
        <v>76</v>
      </c>
      <c r="Z47" s="5">
        <f>IFERROR(__xludf.DUMMYFUNCTION("""COMPUTED_VALUE"""),79.0)</f>
        <v>79</v>
      </c>
    </row>
    <row r="48">
      <c r="A48" s="30" t="s">
        <v>392</v>
      </c>
      <c r="B48" s="30">
        <f>IFERROR(__xludf.DUMMYFUNCTION("""COMPUTED_VALUE"""),76.5)</f>
        <v>76.5</v>
      </c>
      <c r="C48" s="30"/>
      <c r="D48" s="30"/>
      <c r="E48" s="30"/>
      <c r="F48" s="30"/>
      <c r="G48" s="30"/>
      <c r="H48" s="30"/>
      <c r="I48" s="30"/>
      <c r="J48" s="30">
        <f>IFERROR(__xludf.DUMMYFUNCTION("""COMPUTED_VALUE"""),-11.059343513011441)</f>
        <v>-11.05934351</v>
      </c>
      <c r="K48" s="30"/>
      <c r="L48" s="30"/>
      <c r="M48" s="30"/>
      <c r="N48" s="30"/>
      <c r="O48" s="30">
        <f>IFERROR(__xludf.DUMMYFUNCTION("""COMPUTED_VALUE"""),-2.630874715592867)</f>
        <v>-2.630874716</v>
      </c>
      <c r="P48" s="30">
        <f>IFERROR(__xludf.DUMMYFUNCTION("""COMPUTED_VALUE"""),4.463999088063446)</f>
        <v>4.463999088</v>
      </c>
      <c r="Q48" s="30"/>
      <c r="R48" s="30"/>
      <c r="S48" s="30"/>
      <c r="T48" s="30"/>
      <c r="U48" s="30">
        <v>0.0</v>
      </c>
      <c r="V48" s="30"/>
      <c r="W48" s="30"/>
      <c r="X48" s="30"/>
      <c r="Y48" s="5">
        <f>IFERROR(__xludf.DUMMYFUNCTION("""COMPUTED_VALUE"""),75.0)</f>
        <v>75</v>
      </c>
      <c r="Z48" s="5">
        <f>IFERROR(__xludf.DUMMYFUNCTION("""COMPUTED_VALUE"""),78.0)</f>
        <v>78</v>
      </c>
    </row>
    <row r="49">
      <c r="A49" s="30" t="s">
        <v>407</v>
      </c>
      <c r="B49" s="30">
        <f>IFERROR(__xludf.DUMMYFUNCTION("""COMPUTED_VALUE"""),75.0)</f>
        <v>75</v>
      </c>
      <c r="C49" s="30"/>
      <c r="D49" s="30"/>
      <c r="E49" s="30"/>
      <c r="F49" s="30"/>
      <c r="G49" s="30"/>
      <c r="H49" s="30"/>
      <c r="I49" s="30"/>
      <c r="J49" s="30">
        <f>IFERROR(__xludf.DUMMYFUNCTION("""COMPUTED_VALUE"""),-11.059343513011441)</f>
        <v>-11.05934351</v>
      </c>
      <c r="K49" s="30"/>
      <c r="L49" s="30"/>
      <c r="M49" s="30"/>
      <c r="N49" s="30"/>
      <c r="O49" s="30">
        <f>IFERROR(__xludf.DUMMYFUNCTION("""COMPUTED_VALUE"""),-2.630874715592867)</f>
        <v>-2.630874716</v>
      </c>
      <c r="P49" s="30">
        <f>IFERROR(__xludf.DUMMYFUNCTION("""COMPUTED_VALUE"""),4.463999088063446)</f>
        <v>4.463999088</v>
      </c>
      <c r="Q49" s="30"/>
      <c r="R49" s="30"/>
      <c r="S49" s="30"/>
      <c r="T49" s="30"/>
      <c r="U49" s="30">
        <v>0.0</v>
      </c>
      <c r="V49" s="30"/>
      <c r="W49" s="30"/>
      <c r="X49" s="30"/>
      <c r="Y49" s="5">
        <f>IFERROR(__xludf.DUMMYFUNCTION("""COMPUTED_VALUE"""),74.0)</f>
        <v>74</v>
      </c>
      <c r="Z49" s="5">
        <f>IFERROR(__xludf.DUMMYFUNCTION("""COMPUTED_VALUE"""),76.0)</f>
        <v>76</v>
      </c>
    </row>
    <row r="50">
      <c r="A50" s="30" t="s">
        <v>421</v>
      </c>
      <c r="B50" s="30">
        <f>IFERROR(__xludf.DUMMYFUNCTION("""COMPUTED_VALUE"""),75.0)</f>
        <v>75</v>
      </c>
      <c r="C50" s="30"/>
      <c r="D50" s="30"/>
      <c r="E50" s="30"/>
      <c r="F50" s="30"/>
      <c r="G50" s="30"/>
      <c r="H50" s="30"/>
      <c r="I50" s="30"/>
      <c r="J50" s="30">
        <f>IFERROR(__xludf.DUMMYFUNCTION("""COMPUTED_VALUE"""),-11.059343513011441)</f>
        <v>-11.05934351</v>
      </c>
      <c r="K50" s="30"/>
      <c r="L50" s="30"/>
      <c r="M50" s="30"/>
      <c r="N50" s="30"/>
      <c r="O50" s="30">
        <f>IFERROR(__xludf.DUMMYFUNCTION("""COMPUTED_VALUE"""),-2.630874715592867)</f>
        <v>-2.630874716</v>
      </c>
      <c r="P50" s="30">
        <f>IFERROR(__xludf.DUMMYFUNCTION("""COMPUTED_VALUE"""),4.463999088063446)</f>
        <v>4.463999088</v>
      </c>
      <c r="Q50" s="30"/>
      <c r="R50" s="30"/>
      <c r="S50" s="30"/>
      <c r="T50" s="30"/>
      <c r="U50" s="30">
        <v>0.0</v>
      </c>
      <c r="V50" s="30"/>
      <c r="W50" s="30"/>
      <c r="X50" s="30"/>
      <c r="Y50" s="5">
        <f>IFERROR(__xludf.DUMMYFUNCTION("""COMPUTED_VALUE"""),73.0)</f>
        <v>73</v>
      </c>
      <c r="Z50" s="5">
        <f>IFERROR(__xludf.DUMMYFUNCTION("""COMPUTED_VALUE"""),77.0)</f>
        <v>77</v>
      </c>
    </row>
    <row r="51">
      <c r="A51" s="30" t="s">
        <v>438</v>
      </c>
      <c r="B51" s="30">
        <f>IFERROR(__xludf.DUMMYFUNCTION("""COMPUTED_VALUE"""),75.0)</f>
        <v>75</v>
      </c>
      <c r="C51" s="30"/>
      <c r="D51" s="30"/>
      <c r="E51" s="30"/>
      <c r="F51" s="30"/>
      <c r="G51" s="30"/>
      <c r="H51" s="30"/>
      <c r="I51" s="30"/>
      <c r="J51" s="30">
        <f>IFERROR(__xludf.DUMMYFUNCTION("""COMPUTED_VALUE"""),-11.059343513011441)</f>
        <v>-11.05934351</v>
      </c>
      <c r="K51" s="30"/>
      <c r="L51" s="30"/>
      <c r="M51" s="30"/>
      <c r="N51" s="30"/>
      <c r="O51" s="30">
        <f>IFERROR(__xludf.DUMMYFUNCTION("""COMPUTED_VALUE"""),-2.630874715592867)</f>
        <v>-2.630874716</v>
      </c>
      <c r="P51" s="30">
        <f>IFERROR(__xludf.DUMMYFUNCTION("""COMPUTED_VALUE"""),4.463999088063446)</f>
        <v>4.463999088</v>
      </c>
      <c r="Q51" s="30"/>
      <c r="R51" s="30"/>
      <c r="S51" s="30"/>
      <c r="T51" s="30"/>
      <c r="U51" s="30">
        <v>0.0</v>
      </c>
      <c r="V51" s="30"/>
      <c r="W51" s="30"/>
      <c r="X51" s="30"/>
      <c r="Y51" s="5">
        <f>IFERROR(__xludf.DUMMYFUNCTION("""COMPUTED_VALUE"""),75.0)</f>
        <v>75</v>
      </c>
      <c r="Z51" s="5">
        <f>IFERROR(__xludf.DUMMYFUNCTION("""COMPUTED_VALUE"""),75.0)</f>
        <v>75</v>
      </c>
    </row>
    <row r="52">
      <c r="A52" s="30" t="s">
        <v>439</v>
      </c>
      <c r="B52" s="30">
        <f>IFERROR(__xludf.DUMMYFUNCTION("""COMPUTED_VALUE"""),75.0)</f>
        <v>75</v>
      </c>
      <c r="C52" s="30"/>
      <c r="D52" s="30"/>
      <c r="E52" s="30"/>
      <c r="F52" s="30"/>
      <c r="G52" s="30"/>
      <c r="H52" s="30"/>
      <c r="I52" s="30"/>
      <c r="J52" s="30">
        <f>IFERROR(__xludf.DUMMYFUNCTION("""COMPUTED_VALUE"""),-11.059343513011441)</f>
        <v>-11.05934351</v>
      </c>
      <c r="K52" s="30"/>
      <c r="L52" s="30"/>
      <c r="M52" s="30"/>
      <c r="N52" s="30"/>
      <c r="O52" s="30">
        <f>IFERROR(__xludf.DUMMYFUNCTION("""COMPUTED_VALUE"""),-2.630874715592867)</f>
        <v>-2.630874716</v>
      </c>
      <c r="P52" s="30">
        <f>IFERROR(__xludf.DUMMYFUNCTION("""COMPUTED_VALUE"""),4.463999088063446)</f>
        <v>4.463999088</v>
      </c>
      <c r="Q52" s="30"/>
      <c r="R52" s="30"/>
      <c r="S52" s="30"/>
      <c r="T52" s="30"/>
      <c r="U52" s="30">
        <v>0.0</v>
      </c>
      <c r="V52" s="30"/>
      <c r="W52" s="30"/>
      <c r="X52" s="30"/>
      <c r="Y52" s="5">
        <f>IFERROR(__xludf.DUMMYFUNCTION("""COMPUTED_VALUE"""),75.0)</f>
        <v>75</v>
      </c>
      <c r="Z52" s="5">
        <f>IFERROR(__xludf.DUMMYFUNCTION("""COMPUTED_VALUE"""),75.0)</f>
        <v>75</v>
      </c>
    </row>
    <row r="53">
      <c r="A53" s="30" t="s">
        <v>440</v>
      </c>
      <c r="B53" s="30">
        <f>IFERROR(__xludf.DUMMYFUNCTION("""COMPUTED_VALUE"""),74.0)</f>
        <v>74</v>
      </c>
      <c r="C53" s="30"/>
      <c r="D53" s="30"/>
      <c r="E53" s="30"/>
      <c r="F53" s="30"/>
      <c r="G53" s="30"/>
      <c r="H53" s="30"/>
      <c r="I53" s="30"/>
      <c r="J53" s="30">
        <f>IFERROR(__xludf.DUMMYFUNCTION("""COMPUTED_VALUE"""),-11.059343513011441)</f>
        <v>-11.05934351</v>
      </c>
      <c r="K53" s="30"/>
      <c r="L53" s="30"/>
      <c r="M53" s="30"/>
      <c r="N53" s="30"/>
      <c r="O53" s="30">
        <f>IFERROR(__xludf.DUMMYFUNCTION("""COMPUTED_VALUE"""),-2.630874715592867)</f>
        <v>-2.630874716</v>
      </c>
      <c r="P53" s="30">
        <f>IFERROR(__xludf.DUMMYFUNCTION("""COMPUTED_VALUE"""),4.463999088063446)</f>
        <v>4.463999088</v>
      </c>
      <c r="Q53" s="30"/>
      <c r="R53" s="30"/>
      <c r="S53" s="30"/>
      <c r="T53" s="30"/>
      <c r="U53" s="30">
        <v>0.0</v>
      </c>
      <c r="V53" s="30"/>
      <c r="W53" s="30"/>
      <c r="X53" s="30"/>
      <c r="Y53" s="5">
        <f>IFERROR(__xludf.DUMMYFUNCTION("""COMPUTED_VALUE"""),69.0)</f>
        <v>69</v>
      </c>
      <c r="Z53" s="5">
        <f>IFERROR(__xludf.DUMMYFUNCTION("""COMPUTED_VALUE"""),79.0)</f>
        <v>79</v>
      </c>
    </row>
    <row r="54">
      <c r="A54" s="30" t="s">
        <v>454</v>
      </c>
      <c r="B54" s="30">
        <f>IFERROR(__xludf.DUMMYFUNCTION("""COMPUTED_VALUE"""),77.0)</f>
        <v>77</v>
      </c>
      <c r="C54" s="30"/>
      <c r="D54" s="30"/>
      <c r="E54" s="30"/>
      <c r="F54" s="30"/>
      <c r="G54" s="30"/>
      <c r="H54" s="30"/>
      <c r="I54" s="30"/>
      <c r="J54" s="30">
        <f>IFERROR(__xludf.DUMMYFUNCTION("""COMPUTED_VALUE"""),-11.059343513011441)</f>
        <v>-11.05934351</v>
      </c>
      <c r="K54" s="30"/>
      <c r="L54" s="30"/>
      <c r="M54" s="30"/>
      <c r="N54" s="30"/>
      <c r="O54" s="30">
        <f>IFERROR(__xludf.DUMMYFUNCTION("""COMPUTED_VALUE"""),-2.630874715592867)</f>
        <v>-2.630874716</v>
      </c>
      <c r="P54" s="30">
        <f>IFERROR(__xludf.DUMMYFUNCTION("""COMPUTED_VALUE"""),4.463999088063446)</f>
        <v>4.463999088</v>
      </c>
      <c r="Q54" s="30"/>
      <c r="R54" s="30"/>
      <c r="S54" s="30"/>
      <c r="T54" s="30"/>
      <c r="U54" s="30">
        <v>0.0</v>
      </c>
      <c r="V54" s="30"/>
      <c r="W54" s="30"/>
      <c r="X54" s="30"/>
      <c r="Y54" s="5">
        <f>IFERROR(__xludf.DUMMYFUNCTION("""COMPUTED_VALUE"""),77.0)</f>
        <v>77</v>
      </c>
      <c r="Z54" s="5">
        <f>IFERROR(__xludf.DUMMYFUNCTION("""COMPUTED_VALUE"""),77.0)</f>
        <v>77</v>
      </c>
    </row>
    <row r="55">
      <c r="A55" s="30" t="s">
        <v>455</v>
      </c>
      <c r="B55" s="30">
        <f>IFERROR(__xludf.DUMMYFUNCTION("""COMPUTED_VALUE"""),78.0)</f>
        <v>78</v>
      </c>
      <c r="C55" s="30"/>
      <c r="D55" s="30"/>
      <c r="E55" s="30"/>
      <c r="F55" s="30"/>
      <c r="G55" s="30"/>
      <c r="H55" s="30"/>
      <c r="I55" s="30"/>
      <c r="J55" s="30">
        <f>IFERROR(__xludf.DUMMYFUNCTION("""COMPUTED_VALUE"""),-11.059343513011441)</f>
        <v>-11.05934351</v>
      </c>
      <c r="K55" s="30"/>
      <c r="L55" s="30"/>
      <c r="M55" s="30"/>
      <c r="N55" s="30"/>
      <c r="O55" s="30">
        <f>IFERROR(__xludf.DUMMYFUNCTION("""COMPUTED_VALUE"""),-2.630874715592867)</f>
        <v>-2.630874716</v>
      </c>
      <c r="P55" s="30">
        <f>IFERROR(__xludf.DUMMYFUNCTION("""COMPUTED_VALUE"""),4.463999088063446)</f>
        <v>4.463999088</v>
      </c>
      <c r="Q55" s="30"/>
      <c r="R55" s="30"/>
      <c r="S55" s="30"/>
      <c r="T55" s="30"/>
      <c r="U55" s="30">
        <v>0.0</v>
      </c>
      <c r="V55" s="30"/>
      <c r="W55" s="30"/>
      <c r="X55" s="30"/>
      <c r="Y55" s="5">
        <f>IFERROR(__xludf.DUMMYFUNCTION("""COMPUTED_VALUE"""),78.0)</f>
        <v>78</v>
      </c>
      <c r="Z55" s="5">
        <f>IFERROR(__xludf.DUMMYFUNCTION("""COMPUTED_VALUE"""),78.0)</f>
        <v>78</v>
      </c>
    </row>
    <row r="56">
      <c r="A56" s="30" t="s">
        <v>456</v>
      </c>
      <c r="B56" s="30">
        <f>IFERROR(__xludf.DUMMYFUNCTION("""COMPUTED_VALUE"""),76.5)</f>
        <v>76.5</v>
      </c>
      <c r="C56" s="30"/>
      <c r="D56" s="30"/>
      <c r="E56" s="30"/>
      <c r="F56" s="30"/>
      <c r="G56" s="30"/>
      <c r="H56" s="30"/>
      <c r="I56" s="30"/>
      <c r="J56" s="30">
        <f>IFERROR(__xludf.DUMMYFUNCTION("""COMPUTED_VALUE"""),-11.059343513011441)</f>
        <v>-11.05934351</v>
      </c>
      <c r="K56" s="30"/>
      <c r="L56" s="30"/>
      <c r="M56" s="30"/>
      <c r="N56" s="30"/>
      <c r="O56" s="30">
        <f>IFERROR(__xludf.DUMMYFUNCTION("""COMPUTED_VALUE"""),-2.630874715592867)</f>
        <v>-2.630874716</v>
      </c>
      <c r="P56" s="30">
        <f>IFERROR(__xludf.DUMMYFUNCTION("""COMPUTED_VALUE"""),4.463999088063446)</f>
        <v>4.463999088</v>
      </c>
      <c r="Q56" s="30"/>
      <c r="R56" s="30"/>
      <c r="S56" s="30"/>
      <c r="T56" s="30"/>
      <c r="U56" s="30">
        <v>0.0</v>
      </c>
      <c r="V56" s="30"/>
      <c r="W56" s="30"/>
      <c r="X56" s="30"/>
      <c r="Y56" s="5">
        <f>IFERROR(__xludf.DUMMYFUNCTION("""COMPUTED_VALUE"""),74.0)</f>
        <v>74</v>
      </c>
      <c r="Z56" s="5">
        <f>IFERROR(__xludf.DUMMYFUNCTION("""COMPUTED_VALUE"""),79.0)</f>
        <v>79</v>
      </c>
    </row>
    <row r="57">
      <c r="A57" s="30" t="s">
        <v>469</v>
      </c>
      <c r="B57" s="30">
        <f>IFERROR(__xludf.DUMMYFUNCTION("""COMPUTED_VALUE"""),74.0)</f>
        <v>74</v>
      </c>
      <c r="C57" s="30"/>
      <c r="D57" s="30"/>
      <c r="E57" s="30"/>
      <c r="F57" s="30"/>
      <c r="G57" s="30"/>
      <c r="H57" s="30"/>
      <c r="I57" s="30"/>
      <c r="J57" s="30">
        <f>IFERROR(__xludf.DUMMYFUNCTION("""COMPUTED_VALUE"""),-11.059343513011441)</f>
        <v>-11.05934351</v>
      </c>
      <c r="K57" s="30"/>
      <c r="L57" s="30"/>
      <c r="M57" s="30"/>
      <c r="N57" s="30"/>
      <c r="O57" s="30">
        <f>IFERROR(__xludf.DUMMYFUNCTION("""COMPUTED_VALUE"""),-2.630874715592867)</f>
        <v>-2.630874716</v>
      </c>
      <c r="P57" s="30">
        <f>IFERROR(__xludf.DUMMYFUNCTION("""COMPUTED_VALUE"""),4.463999088063446)</f>
        <v>4.463999088</v>
      </c>
      <c r="Q57" s="30"/>
      <c r="R57" s="30"/>
      <c r="S57" s="30"/>
      <c r="T57" s="30"/>
      <c r="U57" s="30">
        <v>0.0</v>
      </c>
      <c r="V57" s="30"/>
      <c r="W57" s="30"/>
      <c r="X57" s="30"/>
      <c r="Y57" s="5">
        <f>IFERROR(__xludf.DUMMYFUNCTION("""COMPUTED_VALUE"""),74.0)</f>
        <v>74</v>
      </c>
      <c r="Z57" s="5">
        <f>IFERROR(__xludf.DUMMYFUNCTION("""COMPUTED_VALUE"""),74.0)</f>
        <v>74</v>
      </c>
    </row>
    <row r="58">
      <c r="A58" s="30" t="s">
        <v>471</v>
      </c>
      <c r="B58" s="30">
        <f>IFERROR(__xludf.DUMMYFUNCTION("""COMPUTED_VALUE"""),75.0)</f>
        <v>75</v>
      </c>
      <c r="C58" s="30"/>
      <c r="D58" s="30"/>
      <c r="E58" s="30"/>
      <c r="F58" s="30"/>
      <c r="G58" s="30"/>
      <c r="H58" s="30"/>
      <c r="I58" s="30"/>
      <c r="J58" s="30">
        <f>IFERROR(__xludf.DUMMYFUNCTION("""COMPUTED_VALUE"""),-11.059343513011441)</f>
        <v>-11.05934351</v>
      </c>
      <c r="K58" s="30"/>
      <c r="L58" s="30"/>
      <c r="M58" s="30"/>
      <c r="N58" s="30"/>
      <c r="O58" s="30">
        <f>IFERROR(__xludf.DUMMYFUNCTION("""COMPUTED_VALUE"""),-2.630874715592867)</f>
        <v>-2.630874716</v>
      </c>
      <c r="P58" s="30">
        <f>IFERROR(__xludf.DUMMYFUNCTION("""COMPUTED_VALUE"""),4.463999088063446)</f>
        <v>4.463999088</v>
      </c>
      <c r="Q58" s="30"/>
      <c r="R58" s="30"/>
      <c r="S58" s="30"/>
      <c r="T58" s="30"/>
      <c r="U58" s="30">
        <v>0.0</v>
      </c>
      <c r="V58" s="30"/>
      <c r="W58" s="30"/>
      <c r="X58" s="30"/>
      <c r="Y58" s="5">
        <f>IFERROR(__xludf.DUMMYFUNCTION("""COMPUTED_VALUE"""),73.0)</f>
        <v>73</v>
      </c>
      <c r="Z58" s="5">
        <f>IFERROR(__xludf.DUMMYFUNCTION("""COMPUTED_VALUE"""),77.0)</f>
        <v>77</v>
      </c>
    </row>
    <row r="59">
      <c r="A59" s="30" t="s">
        <v>488</v>
      </c>
      <c r="B59" s="30">
        <f>IFERROR(__xludf.DUMMYFUNCTION("""COMPUTED_VALUE"""),76.5)</f>
        <v>76.5</v>
      </c>
      <c r="C59" s="30"/>
      <c r="D59" s="30"/>
      <c r="E59" s="30"/>
      <c r="F59" s="30"/>
      <c r="G59" s="30"/>
      <c r="H59" s="30"/>
      <c r="I59" s="30"/>
      <c r="J59" s="30">
        <f>IFERROR(__xludf.DUMMYFUNCTION("""COMPUTED_VALUE"""),-11.059343513011441)</f>
        <v>-11.05934351</v>
      </c>
      <c r="K59" s="30"/>
      <c r="L59" s="30"/>
      <c r="M59" s="30"/>
      <c r="N59" s="30"/>
      <c r="O59" s="30">
        <f>IFERROR(__xludf.DUMMYFUNCTION("""COMPUTED_VALUE"""),-2.630874715592867)</f>
        <v>-2.630874716</v>
      </c>
      <c r="P59" s="30">
        <f>IFERROR(__xludf.DUMMYFUNCTION("""COMPUTED_VALUE"""),4.463999088063446)</f>
        <v>4.463999088</v>
      </c>
      <c r="Q59" s="30"/>
      <c r="R59" s="30"/>
      <c r="S59" s="30"/>
      <c r="T59" s="30"/>
      <c r="U59" s="30">
        <v>0.0</v>
      </c>
      <c r="V59" s="30"/>
      <c r="W59" s="30"/>
      <c r="X59" s="30"/>
      <c r="Y59" s="5">
        <f>IFERROR(__xludf.DUMMYFUNCTION("""COMPUTED_VALUE"""),74.0)</f>
        <v>74</v>
      </c>
      <c r="Z59" s="5">
        <f>IFERROR(__xludf.DUMMYFUNCTION("""COMPUTED_VALUE"""),79.0)</f>
        <v>79</v>
      </c>
    </row>
    <row r="60">
      <c r="A60" s="30" t="s">
        <v>499</v>
      </c>
      <c r="B60" s="30">
        <f>IFERROR(__xludf.DUMMYFUNCTION("""COMPUTED_VALUE"""),76.0)</f>
        <v>76</v>
      </c>
      <c r="C60" s="30"/>
      <c r="D60" s="30"/>
      <c r="E60" s="30"/>
      <c r="F60" s="30"/>
      <c r="G60" s="30"/>
      <c r="H60" s="30"/>
      <c r="I60" s="30"/>
      <c r="J60" s="30">
        <f>IFERROR(__xludf.DUMMYFUNCTION("""COMPUTED_VALUE"""),-11.059343513011441)</f>
        <v>-11.05934351</v>
      </c>
      <c r="K60" s="30"/>
      <c r="L60" s="30"/>
      <c r="M60" s="30"/>
      <c r="N60" s="30"/>
      <c r="O60" s="30">
        <f>IFERROR(__xludf.DUMMYFUNCTION("""COMPUTED_VALUE"""),-2.630874715592867)</f>
        <v>-2.630874716</v>
      </c>
      <c r="P60" s="30">
        <f>IFERROR(__xludf.DUMMYFUNCTION("""COMPUTED_VALUE"""),4.463999088063446)</f>
        <v>4.463999088</v>
      </c>
      <c r="Q60" s="30"/>
      <c r="R60" s="30"/>
      <c r="S60" s="30"/>
      <c r="T60" s="30"/>
      <c r="U60" s="30">
        <v>0.0</v>
      </c>
      <c r="V60" s="30"/>
      <c r="W60" s="30"/>
      <c r="X60" s="30"/>
      <c r="Y60" s="5">
        <f>IFERROR(__xludf.DUMMYFUNCTION("""COMPUTED_VALUE"""),76.0)</f>
        <v>76</v>
      </c>
      <c r="Z60" s="5">
        <f>IFERROR(__xludf.DUMMYFUNCTION("""COMPUTED_VALUE"""),76.0)</f>
        <v>76</v>
      </c>
    </row>
    <row r="61">
      <c r="A61" s="30" t="s">
        <v>500</v>
      </c>
      <c r="B61" s="30">
        <f>IFERROR(__xludf.DUMMYFUNCTION("""COMPUTED_VALUE"""),75.5)</f>
        <v>75.5</v>
      </c>
      <c r="C61" s="30"/>
      <c r="D61" s="30"/>
      <c r="E61" s="30"/>
      <c r="F61" s="30"/>
      <c r="G61" s="30"/>
      <c r="H61" s="30"/>
      <c r="I61" s="30"/>
      <c r="J61" s="30">
        <f>IFERROR(__xludf.DUMMYFUNCTION("""COMPUTED_VALUE"""),-11.059343513011441)</f>
        <v>-11.05934351</v>
      </c>
      <c r="K61" s="30"/>
      <c r="L61" s="30"/>
      <c r="M61" s="30"/>
      <c r="N61" s="30"/>
      <c r="O61" s="30">
        <f>IFERROR(__xludf.DUMMYFUNCTION("""COMPUTED_VALUE"""),-2.630874715592867)</f>
        <v>-2.630874716</v>
      </c>
      <c r="P61" s="30">
        <f>IFERROR(__xludf.DUMMYFUNCTION("""COMPUTED_VALUE"""),4.463999088063446)</f>
        <v>4.463999088</v>
      </c>
      <c r="Q61" s="30"/>
      <c r="R61" s="30"/>
      <c r="S61" s="30"/>
      <c r="T61" s="30"/>
      <c r="U61" s="30">
        <v>0.0</v>
      </c>
      <c r="V61" s="30"/>
      <c r="W61" s="30"/>
      <c r="X61" s="30"/>
      <c r="Y61" s="5">
        <f>IFERROR(__xludf.DUMMYFUNCTION("""COMPUTED_VALUE"""),73.0)</f>
        <v>73</v>
      </c>
      <c r="Z61" s="5">
        <f>IFERROR(__xludf.DUMMYFUNCTION("""COMPUTED_VALUE"""),78.0)</f>
        <v>78</v>
      </c>
    </row>
    <row r="62">
      <c r="A62" s="30" t="s">
        <v>510</v>
      </c>
      <c r="B62" s="30">
        <f>IFERROR(__xludf.DUMMYFUNCTION("""COMPUTED_VALUE"""),78.0)</f>
        <v>78</v>
      </c>
      <c r="C62" s="30"/>
      <c r="D62" s="30"/>
      <c r="E62" s="30"/>
      <c r="F62" s="30"/>
      <c r="G62" s="30"/>
      <c r="H62" s="30"/>
      <c r="I62" s="30"/>
      <c r="J62" s="30">
        <f>IFERROR(__xludf.DUMMYFUNCTION("""COMPUTED_VALUE"""),-11.059343513011441)</f>
        <v>-11.05934351</v>
      </c>
      <c r="K62" s="30"/>
      <c r="L62" s="30"/>
      <c r="M62" s="30"/>
      <c r="N62" s="30"/>
      <c r="O62" s="30">
        <f>IFERROR(__xludf.DUMMYFUNCTION("""COMPUTED_VALUE"""),-2.630874715592867)</f>
        <v>-2.630874716</v>
      </c>
      <c r="P62" s="30">
        <f>IFERROR(__xludf.DUMMYFUNCTION("""COMPUTED_VALUE"""),4.463999088063446)</f>
        <v>4.463999088</v>
      </c>
      <c r="Q62" s="30"/>
      <c r="R62" s="30"/>
      <c r="S62" s="30"/>
      <c r="T62" s="30"/>
      <c r="U62" s="30">
        <v>0.0</v>
      </c>
      <c r="V62" s="30"/>
      <c r="W62" s="30"/>
      <c r="X62" s="30"/>
      <c r="Y62" s="5">
        <f>IFERROR(__xludf.DUMMYFUNCTION("""COMPUTED_VALUE"""),78.0)</f>
        <v>78</v>
      </c>
      <c r="Z62" s="5">
        <f>IFERROR(__xludf.DUMMYFUNCTION("""COMPUTED_VALUE"""),78.0)</f>
        <v>78</v>
      </c>
    </row>
    <row r="63">
      <c r="A63" s="30" t="s">
        <v>511</v>
      </c>
      <c r="B63" s="30">
        <f>IFERROR(__xludf.DUMMYFUNCTION("""COMPUTED_VALUE"""),77.5)</f>
        <v>77.5</v>
      </c>
      <c r="C63" s="30"/>
      <c r="D63" s="30"/>
      <c r="E63" s="30"/>
      <c r="F63" s="30"/>
      <c r="G63" s="30"/>
      <c r="H63" s="30"/>
      <c r="I63" s="30"/>
      <c r="J63" s="30">
        <f>IFERROR(__xludf.DUMMYFUNCTION("""COMPUTED_VALUE"""),-11.059343513011441)</f>
        <v>-11.05934351</v>
      </c>
      <c r="K63" s="30"/>
      <c r="L63" s="30"/>
      <c r="M63" s="30"/>
      <c r="N63" s="30"/>
      <c r="O63" s="30">
        <f>IFERROR(__xludf.DUMMYFUNCTION("""COMPUTED_VALUE"""),-2.630874715592867)</f>
        <v>-2.630874716</v>
      </c>
      <c r="P63" s="30">
        <f>IFERROR(__xludf.DUMMYFUNCTION("""COMPUTED_VALUE"""),4.463999088063446)</f>
        <v>4.463999088</v>
      </c>
      <c r="Q63" s="30"/>
      <c r="R63" s="30"/>
      <c r="S63" s="30"/>
      <c r="T63" s="30"/>
      <c r="U63" s="30">
        <v>0.0</v>
      </c>
      <c r="V63" s="30"/>
      <c r="W63" s="30"/>
      <c r="X63" s="30"/>
      <c r="Y63" s="5">
        <f>IFERROR(__xludf.DUMMYFUNCTION("""COMPUTED_VALUE"""),77.0)</f>
        <v>77</v>
      </c>
      <c r="Z63" s="5">
        <f>IFERROR(__xludf.DUMMYFUNCTION("""COMPUTED_VALUE"""),78.0)</f>
        <v>78</v>
      </c>
    </row>
    <row r="64">
      <c r="A64" s="30" t="s">
        <v>527</v>
      </c>
      <c r="B64" s="30">
        <f>IFERROR(__xludf.DUMMYFUNCTION("""COMPUTED_VALUE"""),79.0)</f>
        <v>79</v>
      </c>
      <c r="C64" s="30"/>
      <c r="D64" s="30"/>
      <c r="E64" s="30"/>
      <c r="F64" s="30"/>
      <c r="G64" s="30"/>
      <c r="H64" s="30"/>
      <c r="I64" s="30"/>
      <c r="J64" s="30">
        <f>IFERROR(__xludf.DUMMYFUNCTION("""COMPUTED_VALUE"""),-11.059343513011441)</f>
        <v>-11.05934351</v>
      </c>
      <c r="K64" s="30"/>
      <c r="L64" s="30"/>
      <c r="M64" s="30"/>
      <c r="N64" s="30"/>
      <c r="O64" s="30">
        <f>IFERROR(__xludf.DUMMYFUNCTION("""COMPUTED_VALUE"""),-2.630874715592867)</f>
        <v>-2.630874716</v>
      </c>
      <c r="P64" s="30">
        <f>IFERROR(__xludf.DUMMYFUNCTION("""COMPUTED_VALUE"""),4.463999088063446)</f>
        <v>4.463999088</v>
      </c>
      <c r="Q64" s="30"/>
      <c r="R64" s="30"/>
      <c r="S64" s="30"/>
      <c r="T64" s="30"/>
      <c r="U64" s="30">
        <v>0.0</v>
      </c>
      <c r="V64" s="30"/>
      <c r="W64" s="30"/>
      <c r="X64" s="30"/>
      <c r="Y64" s="5">
        <f>IFERROR(__xludf.DUMMYFUNCTION("""COMPUTED_VALUE"""),79.0)</f>
        <v>79</v>
      </c>
      <c r="Z64" s="5">
        <f>IFERROR(__xludf.DUMMYFUNCTION("""COMPUTED_VALUE"""),79.0)</f>
        <v>79</v>
      </c>
    </row>
    <row r="65">
      <c r="A65" s="30" t="s">
        <v>528</v>
      </c>
      <c r="B65" s="30">
        <f>IFERROR(__xludf.DUMMYFUNCTION("""COMPUTED_VALUE"""),75.0)</f>
        <v>75</v>
      </c>
      <c r="C65" s="30"/>
      <c r="D65" s="30"/>
      <c r="E65" s="30"/>
      <c r="F65" s="30"/>
      <c r="G65" s="30"/>
      <c r="H65" s="30"/>
      <c r="I65" s="30"/>
      <c r="J65" s="30">
        <f>IFERROR(__xludf.DUMMYFUNCTION("""COMPUTED_VALUE"""),-11.059343513011441)</f>
        <v>-11.05934351</v>
      </c>
      <c r="K65" s="30"/>
      <c r="L65" s="30"/>
      <c r="M65" s="30"/>
      <c r="N65" s="30"/>
      <c r="O65" s="30">
        <f>IFERROR(__xludf.DUMMYFUNCTION("""COMPUTED_VALUE"""),-2.630874715592867)</f>
        <v>-2.630874716</v>
      </c>
      <c r="P65" s="30">
        <f>IFERROR(__xludf.DUMMYFUNCTION("""COMPUTED_VALUE"""),4.463999088063446)</f>
        <v>4.463999088</v>
      </c>
      <c r="Q65" s="30"/>
      <c r="R65" s="30"/>
      <c r="S65" s="30"/>
      <c r="T65" s="30"/>
      <c r="U65" s="30">
        <v>0.0</v>
      </c>
      <c r="V65" s="30"/>
      <c r="W65" s="30"/>
      <c r="X65" s="30"/>
      <c r="Y65" s="5">
        <f>IFERROR(__xludf.DUMMYFUNCTION("""COMPUTED_VALUE"""),74.0)</f>
        <v>74</v>
      </c>
      <c r="Z65" s="5">
        <f>IFERROR(__xludf.DUMMYFUNCTION("""COMPUTED_VALUE"""),76.0)</f>
        <v>76</v>
      </c>
    </row>
    <row r="66">
      <c r="A66" s="30" t="s">
        <v>541</v>
      </c>
      <c r="B66" s="30">
        <f>IFERROR(__xludf.DUMMYFUNCTION("""COMPUTED_VALUE"""),78.0)</f>
        <v>78</v>
      </c>
      <c r="C66" s="30"/>
      <c r="D66" s="30"/>
      <c r="E66" s="30"/>
      <c r="F66" s="30"/>
      <c r="G66" s="30"/>
      <c r="H66" s="30"/>
      <c r="I66" s="30"/>
      <c r="J66" s="30">
        <f>IFERROR(__xludf.DUMMYFUNCTION("""COMPUTED_VALUE"""),-11.059343513011441)</f>
        <v>-11.05934351</v>
      </c>
      <c r="K66" s="30"/>
      <c r="L66" s="30"/>
      <c r="M66" s="30"/>
      <c r="N66" s="30"/>
      <c r="O66" s="30">
        <f>IFERROR(__xludf.DUMMYFUNCTION("""COMPUTED_VALUE"""),-2.630874715592867)</f>
        <v>-2.630874716</v>
      </c>
      <c r="P66" s="30">
        <f>IFERROR(__xludf.DUMMYFUNCTION("""COMPUTED_VALUE"""),4.463999088063446)</f>
        <v>4.463999088</v>
      </c>
      <c r="Q66" s="30"/>
      <c r="R66" s="30"/>
      <c r="S66" s="30"/>
      <c r="T66" s="30"/>
      <c r="U66" s="30">
        <v>0.0</v>
      </c>
      <c r="V66" s="30"/>
      <c r="W66" s="30"/>
      <c r="X66" s="30"/>
      <c r="Y66" s="5">
        <f>IFERROR(__xludf.DUMMYFUNCTION("""COMPUTED_VALUE"""),78.0)</f>
        <v>78</v>
      </c>
      <c r="Z66" s="5">
        <f>IFERROR(__xludf.DUMMYFUNCTION("""COMPUTED_VALUE"""),78.0)</f>
        <v>78</v>
      </c>
    </row>
    <row r="67">
      <c r="A67" s="30" t="s">
        <v>542</v>
      </c>
      <c r="B67" s="30">
        <f>IFERROR(__xludf.DUMMYFUNCTION("""COMPUTED_VALUE"""),74.0)</f>
        <v>74</v>
      </c>
      <c r="C67" s="30"/>
      <c r="D67" s="30"/>
      <c r="E67" s="30"/>
      <c r="F67" s="30"/>
      <c r="G67" s="30"/>
      <c r="H67" s="30"/>
      <c r="I67" s="30"/>
      <c r="J67" s="30">
        <f>IFERROR(__xludf.DUMMYFUNCTION("""COMPUTED_VALUE"""),-11.059343513011441)</f>
        <v>-11.05934351</v>
      </c>
      <c r="K67" s="30"/>
      <c r="L67" s="30"/>
      <c r="M67" s="30"/>
      <c r="N67" s="30"/>
      <c r="O67" s="30">
        <f>IFERROR(__xludf.DUMMYFUNCTION("""COMPUTED_VALUE"""),-2.630874715592867)</f>
        <v>-2.630874716</v>
      </c>
      <c r="P67" s="30">
        <f>IFERROR(__xludf.DUMMYFUNCTION("""COMPUTED_VALUE"""),4.463999088063446)</f>
        <v>4.463999088</v>
      </c>
      <c r="Q67" s="30"/>
      <c r="R67" s="30"/>
      <c r="S67" s="30"/>
      <c r="T67" s="30"/>
      <c r="U67" s="30">
        <v>0.0</v>
      </c>
      <c r="V67" s="30"/>
      <c r="W67" s="30"/>
      <c r="X67" s="30"/>
      <c r="Y67" s="5">
        <f>IFERROR(__xludf.DUMMYFUNCTION("""COMPUTED_VALUE"""),74.0)</f>
        <v>74</v>
      </c>
      <c r="Z67" s="5">
        <f>IFERROR(__xludf.DUMMYFUNCTION("""COMPUTED_VALUE"""),74.0)</f>
        <v>74</v>
      </c>
    </row>
    <row r="68">
      <c r="A68" s="30" t="s">
        <v>543</v>
      </c>
      <c r="B68" s="30">
        <f>IFERROR(__xludf.DUMMYFUNCTION("""COMPUTED_VALUE"""),79.0)</f>
        <v>79</v>
      </c>
      <c r="C68" s="30"/>
      <c r="D68" s="30"/>
      <c r="E68" s="30"/>
      <c r="F68" s="30"/>
      <c r="G68" s="30"/>
      <c r="H68" s="30"/>
      <c r="I68" s="30"/>
      <c r="J68" s="30">
        <f>IFERROR(__xludf.DUMMYFUNCTION("""COMPUTED_VALUE"""),-11.059343513011441)</f>
        <v>-11.05934351</v>
      </c>
      <c r="K68" s="30"/>
      <c r="L68" s="30"/>
      <c r="M68" s="30"/>
      <c r="N68" s="30"/>
      <c r="O68" s="30">
        <f>IFERROR(__xludf.DUMMYFUNCTION("""COMPUTED_VALUE"""),-2.630874715592867)</f>
        <v>-2.630874716</v>
      </c>
      <c r="P68" s="30">
        <f>IFERROR(__xludf.DUMMYFUNCTION("""COMPUTED_VALUE"""),4.463999088063446)</f>
        <v>4.463999088</v>
      </c>
      <c r="Q68" s="30"/>
      <c r="R68" s="30"/>
      <c r="S68" s="30"/>
      <c r="T68" s="30"/>
      <c r="U68" s="30">
        <v>0.0</v>
      </c>
      <c r="V68" s="30"/>
      <c r="W68" s="30"/>
      <c r="X68" s="30"/>
      <c r="Y68" s="5">
        <f>IFERROR(__xludf.DUMMYFUNCTION("""COMPUTED_VALUE"""),79.0)</f>
        <v>79</v>
      </c>
      <c r="Z68" s="5">
        <f>IFERROR(__xludf.DUMMYFUNCTION("""COMPUTED_VALUE"""),79.0)</f>
        <v>79</v>
      </c>
    </row>
    <row r="69">
      <c r="A69" s="30" t="s">
        <v>544</v>
      </c>
      <c r="B69" s="30">
        <f>IFERROR(__xludf.DUMMYFUNCTION("""COMPUTED_VALUE"""),79.0)</f>
        <v>79</v>
      </c>
      <c r="C69" s="30"/>
      <c r="D69" s="30"/>
      <c r="E69" s="30"/>
      <c r="F69" s="30"/>
      <c r="G69" s="30"/>
      <c r="H69" s="30"/>
      <c r="I69" s="30"/>
      <c r="J69" s="30">
        <f>IFERROR(__xludf.DUMMYFUNCTION("""COMPUTED_VALUE"""),-11.059343513011441)</f>
        <v>-11.05934351</v>
      </c>
      <c r="K69" s="30"/>
      <c r="L69" s="30"/>
      <c r="M69" s="30"/>
      <c r="N69" s="30"/>
      <c r="O69" s="30">
        <f>IFERROR(__xludf.DUMMYFUNCTION("""COMPUTED_VALUE"""),-2.630874715592867)</f>
        <v>-2.630874716</v>
      </c>
      <c r="P69" s="30">
        <f>IFERROR(__xludf.DUMMYFUNCTION("""COMPUTED_VALUE"""),4.463999088063446)</f>
        <v>4.463999088</v>
      </c>
      <c r="Q69" s="30"/>
      <c r="R69" s="30"/>
      <c r="S69" s="30"/>
      <c r="T69" s="30"/>
      <c r="U69" s="30">
        <v>0.0</v>
      </c>
      <c r="V69" s="30"/>
      <c r="W69" s="30"/>
      <c r="X69" s="30"/>
      <c r="Y69" s="5">
        <f>IFERROR(__xludf.DUMMYFUNCTION("""COMPUTED_VALUE"""),79.0)</f>
        <v>79</v>
      </c>
      <c r="Z69" s="5">
        <f>IFERROR(__xludf.DUMMYFUNCTION("""COMPUTED_VALUE"""),79.0)</f>
        <v>79</v>
      </c>
    </row>
    <row r="70">
      <c r="A70" s="30" t="s">
        <v>545</v>
      </c>
      <c r="B70" s="30">
        <f>IFERROR(__xludf.DUMMYFUNCTION("""COMPUTED_VALUE"""),76.0)</f>
        <v>76</v>
      </c>
      <c r="C70" s="30"/>
      <c r="D70" s="30"/>
      <c r="E70" s="30"/>
      <c r="F70" s="30"/>
      <c r="G70" s="30"/>
      <c r="H70" s="30"/>
      <c r="I70" s="30"/>
      <c r="J70" s="30">
        <f>IFERROR(__xludf.DUMMYFUNCTION("""COMPUTED_VALUE"""),-11.059343513011441)</f>
        <v>-11.05934351</v>
      </c>
      <c r="K70" s="30"/>
      <c r="L70" s="30"/>
      <c r="M70" s="30"/>
      <c r="N70" s="30"/>
      <c r="O70" s="30">
        <f>IFERROR(__xludf.DUMMYFUNCTION("""COMPUTED_VALUE"""),-2.630874715592867)</f>
        <v>-2.630874716</v>
      </c>
      <c r="P70" s="30">
        <f>IFERROR(__xludf.DUMMYFUNCTION("""COMPUTED_VALUE"""),4.463999088063446)</f>
        <v>4.463999088</v>
      </c>
      <c r="Q70" s="30"/>
      <c r="R70" s="30"/>
      <c r="S70" s="30"/>
      <c r="T70" s="30"/>
      <c r="U70" s="30">
        <v>0.0</v>
      </c>
      <c r="V70" s="30"/>
      <c r="W70" s="30"/>
      <c r="X70" s="30"/>
      <c r="Y70" s="5">
        <f>IFERROR(__xludf.DUMMYFUNCTION("""COMPUTED_VALUE"""),76.0)</f>
        <v>76</v>
      </c>
      <c r="Z70" s="5">
        <f>IFERROR(__xludf.DUMMYFUNCTION("""COMPUTED_VALUE"""),76.0)</f>
        <v>76</v>
      </c>
    </row>
    <row r="71">
      <c r="A71" s="30" t="s">
        <v>546</v>
      </c>
      <c r="B71" s="30">
        <f>IFERROR(__xludf.DUMMYFUNCTION("""COMPUTED_VALUE"""),77.0)</f>
        <v>77</v>
      </c>
      <c r="C71" s="30"/>
      <c r="D71" s="30"/>
      <c r="E71" s="30"/>
      <c r="F71" s="30"/>
      <c r="G71" s="30"/>
      <c r="H71" s="30"/>
      <c r="I71" s="30"/>
      <c r="J71" s="30">
        <f>IFERROR(__xludf.DUMMYFUNCTION("""COMPUTED_VALUE"""),-11.059343513011441)</f>
        <v>-11.05934351</v>
      </c>
      <c r="K71" s="30"/>
      <c r="L71" s="30"/>
      <c r="M71" s="30"/>
      <c r="N71" s="30"/>
      <c r="O71" s="30">
        <f>IFERROR(__xludf.DUMMYFUNCTION("""COMPUTED_VALUE"""),-2.630874715592867)</f>
        <v>-2.630874716</v>
      </c>
      <c r="P71" s="30">
        <f>IFERROR(__xludf.DUMMYFUNCTION("""COMPUTED_VALUE"""),4.463999088063446)</f>
        <v>4.463999088</v>
      </c>
      <c r="Q71" s="30"/>
      <c r="R71" s="30"/>
      <c r="S71" s="30"/>
      <c r="T71" s="30"/>
      <c r="U71" s="30">
        <v>0.0</v>
      </c>
      <c r="V71" s="30"/>
      <c r="W71" s="30"/>
      <c r="X71" s="30"/>
      <c r="Y71" s="5">
        <f>IFERROR(__xludf.DUMMYFUNCTION("""COMPUTED_VALUE"""),76.0)</f>
        <v>76</v>
      </c>
      <c r="Z71" s="5">
        <f>IFERROR(__xludf.DUMMYFUNCTION("""COMPUTED_VALUE"""),78.0)</f>
        <v>78</v>
      </c>
    </row>
    <row r="72">
      <c r="A72" s="30" t="s">
        <v>557</v>
      </c>
      <c r="B72" s="30">
        <f>IFERROR(__xludf.DUMMYFUNCTION("""COMPUTED_VALUE"""),74.0)</f>
        <v>74</v>
      </c>
      <c r="C72" s="30"/>
      <c r="D72" s="30"/>
      <c r="E72" s="30"/>
      <c r="F72" s="30"/>
      <c r="G72" s="30"/>
      <c r="H72" s="30"/>
      <c r="I72" s="30"/>
      <c r="J72" s="30">
        <f>IFERROR(__xludf.DUMMYFUNCTION("""COMPUTED_VALUE"""),-11.059343513011441)</f>
        <v>-11.05934351</v>
      </c>
      <c r="K72" s="30"/>
      <c r="L72" s="30"/>
      <c r="M72" s="30"/>
      <c r="N72" s="30"/>
      <c r="O72" s="30">
        <f>IFERROR(__xludf.DUMMYFUNCTION("""COMPUTED_VALUE"""),-2.630874715592867)</f>
        <v>-2.630874716</v>
      </c>
      <c r="P72" s="30">
        <f>IFERROR(__xludf.DUMMYFUNCTION("""COMPUTED_VALUE"""),4.463999088063446)</f>
        <v>4.463999088</v>
      </c>
      <c r="Q72" s="30"/>
      <c r="R72" s="30"/>
      <c r="S72" s="30"/>
      <c r="T72" s="30"/>
      <c r="U72" s="30">
        <v>0.0</v>
      </c>
      <c r="V72" s="30"/>
      <c r="W72" s="30"/>
      <c r="X72" s="30"/>
      <c r="Y72" s="5">
        <f>IFERROR(__xludf.DUMMYFUNCTION("""COMPUTED_VALUE"""),74.0)</f>
        <v>74</v>
      </c>
      <c r="Z72" s="5">
        <f>IFERROR(__xludf.DUMMYFUNCTION("""COMPUTED_VALUE"""),74.0)</f>
        <v>74</v>
      </c>
    </row>
    <row r="73">
      <c r="A73" s="30" t="s">
        <v>558</v>
      </c>
      <c r="B73" s="30">
        <f>IFERROR(__xludf.DUMMYFUNCTION("""COMPUTED_VALUE"""),77.0)</f>
        <v>77</v>
      </c>
      <c r="C73" s="30"/>
      <c r="D73" s="30"/>
      <c r="E73" s="30"/>
      <c r="F73" s="30"/>
      <c r="G73" s="30"/>
      <c r="H73" s="30"/>
      <c r="I73" s="30"/>
      <c r="J73" s="30">
        <f>IFERROR(__xludf.DUMMYFUNCTION("""COMPUTED_VALUE"""),-11.059343513011441)</f>
        <v>-11.05934351</v>
      </c>
      <c r="K73" s="30"/>
      <c r="L73" s="30"/>
      <c r="M73" s="30"/>
      <c r="N73" s="30"/>
      <c r="O73" s="30">
        <f>IFERROR(__xludf.DUMMYFUNCTION("""COMPUTED_VALUE"""),-2.630874715592867)</f>
        <v>-2.630874716</v>
      </c>
      <c r="P73" s="30">
        <f>IFERROR(__xludf.DUMMYFUNCTION("""COMPUTED_VALUE"""),4.463999088063446)</f>
        <v>4.463999088</v>
      </c>
      <c r="Q73" s="30"/>
      <c r="R73" s="30"/>
      <c r="S73" s="30"/>
      <c r="T73" s="30"/>
      <c r="U73" s="30">
        <v>0.0</v>
      </c>
      <c r="V73" s="30"/>
      <c r="W73" s="30"/>
      <c r="X73" s="30"/>
      <c r="Y73" s="5">
        <f>IFERROR(__xludf.DUMMYFUNCTION("""COMPUTED_VALUE"""),77.0)</f>
        <v>77</v>
      </c>
      <c r="Z73" s="5">
        <f>IFERROR(__xludf.DUMMYFUNCTION("""COMPUTED_VALUE"""),77.0)</f>
        <v>77</v>
      </c>
    </row>
    <row r="74">
      <c r="A74" s="30" t="s">
        <v>559</v>
      </c>
      <c r="B74" s="30">
        <f>IFERROR(__xludf.DUMMYFUNCTION("""COMPUTED_VALUE"""),78.0)</f>
        <v>78</v>
      </c>
      <c r="C74" s="30"/>
      <c r="D74" s="30"/>
      <c r="E74" s="30"/>
      <c r="F74" s="30"/>
      <c r="G74" s="30"/>
      <c r="H74" s="30"/>
      <c r="I74" s="30"/>
      <c r="J74" s="30">
        <f>IFERROR(__xludf.DUMMYFUNCTION("""COMPUTED_VALUE"""),-11.059343513011441)</f>
        <v>-11.05934351</v>
      </c>
      <c r="K74" s="30"/>
      <c r="L74" s="30"/>
      <c r="M74" s="30"/>
      <c r="N74" s="30"/>
      <c r="O74" s="30">
        <f>IFERROR(__xludf.DUMMYFUNCTION("""COMPUTED_VALUE"""),-2.630874715592867)</f>
        <v>-2.630874716</v>
      </c>
      <c r="P74" s="30">
        <f>IFERROR(__xludf.DUMMYFUNCTION("""COMPUTED_VALUE"""),4.463999088063446)</f>
        <v>4.463999088</v>
      </c>
      <c r="Q74" s="30"/>
      <c r="R74" s="30"/>
      <c r="S74" s="30"/>
      <c r="T74" s="30"/>
      <c r="U74" s="30">
        <v>0.0</v>
      </c>
      <c r="V74" s="30"/>
      <c r="W74" s="30"/>
      <c r="X74" s="30"/>
      <c r="Y74" s="5">
        <f>IFERROR(__xludf.DUMMYFUNCTION("""COMPUTED_VALUE"""),78.0)</f>
        <v>78</v>
      </c>
      <c r="Z74" s="5">
        <f>IFERROR(__xludf.DUMMYFUNCTION("""COMPUTED_VALUE"""),78.0)</f>
        <v>78</v>
      </c>
    </row>
    <row r="75">
      <c r="A75" s="30" t="s">
        <v>560</v>
      </c>
      <c r="B75" s="30">
        <f>IFERROR(__xludf.DUMMYFUNCTION("""COMPUTED_VALUE"""),76.0)</f>
        <v>76</v>
      </c>
      <c r="C75" s="30"/>
      <c r="D75" s="30"/>
      <c r="E75" s="30"/>
      <c r="F75" s="30"/>
      <c r="G75" s="30"/>
      <c r="H75" s="30"/>
      <c r="I75" s="30"/>
      <c r="J75" s="30">
        <f>IFERROR(__xludf.DUMMYFUNCTION("""COMPUTED_VALUE"""),-11.059343513011441)</f>
        <v>-11.05934351</v>
      </c>
      <c r="K75" s="30"/>
      <c r="L75" s="30"/>
      <c r="M75" s="30"/>
      <c r="N75" s="30"/>
      <c r="O75" s="30">
        <f>IFERROR(__xludf.DUMMYFUNCTION("""COMPUTED_VALUE"""),-2.630874715592867)</f>
        <v>-2.630874716</v>
      </c>
      <c r="P75" s="30">
        <f>IFERROR(__xludf.DUMMYFUNCTION("""COMPUTED_VALUE"""),4.463999088063446)</f>
        <v>4.463999088</v>
      </c>
      <c r="Q75" s="30"/>
      <c r="R75" s="30"/>
      <c r="S75" s="30"/>
      <c r="T75" s="30"/>
      <c r="U75" s="30">
        <v>0.0</v>
      </c>
      <c r="V75" s="30"/>
      <c r="W75" s="30"/>
      <c r="X75" s="30"/>
      <c r="Y75" s="5">
        <f>IFERROR(__xludf.DUMMYFUNCTION("""COMPUTED_VALUE"""),76.0)</f>
        <v>76</v>
      </c>
      <c r="Z75" s="5">
        <f>IFERROR(__xludf.DUMMYFUNCTION("""COMPUTED_VALUE"""),76.0)</f>
        <v>76</v>
      </c>
    </row>
    <row r="76">
      <c r="A76" s="30" t="s">
        <v>561</v>
      </c>
      <c r="B76" s="30">
        <f>IFERROR(__xludf.DUMMYFUNCTION("""COMPUTED_VALUE"""),79.0)</f>
        <v>79</v>
      </c>
      <c r="C76" s="30"/>
      <c r="D76" s="30"/>
      <c r="E76" s="30"/>
      <c r="F76" s="30"/>
      <c r="G76" s="30"/>
      <c r="H76" s="30"/>
      <c r="I76" s="30"/>
      <c r="J76" s="30">
        <f>IFERROR(__xludf.DUMMYFUNCTION("""COMPUTED_VALUE"""),-11.059343513011441)</f>
        <v>-11.05934351</v>
      </c>
      <c r="K76" s="30"/>
      <c r="L76" s="30"/>
      <c r="M76" s="30"/>
      <c r="N76" s="30"/>
      <c r="O76" s="30">
        <f>IFERROR(__xludf.DUMMYFUNCTION("""COMPUTED_VALUE"""),-2.630874715592867)</f>
        <v>-2.630874716</v>
      </c>
      <c r="P76" s="30">
        <f>IFERROR(__xludf.DUMMYFUNCTION("""COMPUTED_VALUE"""),4.463999088063446)</f>
        <v>4.463999088</v>
      </c>
      <c r="Q76" s="30"/>
      <c r="R76" s="30"/>
      <c r="S76" s="30"/>
      <c r="T76" s="30"/>
      <c r="U76" s="30">
        <v>0.0</v>
      </c>
      <c r="V76" s="30"/>
      <c r="W76" s="30"/>
      <c r="X76" s="30"/>
      <c r="Y76" s="5">
        <f>IFERROR(__xludf.DUMMYFUNCTION("""COMPUTED_VALUE"""),79.0)</f>
        <v>79</v>
      </c>
      <c r="Z76" s="5">
        <f>IFERROR(__xludf.DUMMYFUNCTION("""COMPUTED_VALUE"""),79.0)</f>
        <v>79</v>
      </c>
    </row>
    <row r="77">
      <c r="A77" s="30" t="s">
        <v>562</v>
      </c>
      <c r="B77" s="30">
        <f>IFERROR(__xludf.DUMMYFUNCTION("""COMPUTED_VALUE"""),69.0)</f>
        <v>69</v>
      </c>
      <c r="C77" s="30"/>
      <c r="D77" s="30"/>
      <c r="E77" s="30"/>
      <c r="F77" s="30"/>
      <c r="G77" s="30"/>
      <c r="H77" s="30"/>
      <c r="I77" s="30"/>
      <c r="J77" s="30">
        <f>IFERROR(__xludf.DUMMYFUNCTION("""COMPUTED_VALUE"""),-11.059343513011441)</f>
        <v>-11.05934351</v>
      </c>
      <c r="K77" s="30"/>
      <c r="L77" s="30"/>
      <c r="M77" s="30"/>
      <c r="N77" s="30"/>
      <c r="O77" s="30">
        <f>IFERROR(__xludf.DUMMYFUNCTION("""COMPUTED_VALUE"""),-2.630874715592867)</f>
        <v>-2.630874716</v>
      </c>
      <c r="P77" s="30">
        <f>IFERROR(__xludf.DUMMYFUNCTION("""COMPUTED_VALUE"""),4.463999088063446)</f>
        <v>4.463999088</v>
      </c>
      <c r="Q77" s="30"/>
      <c r="R77" s="30"/>
      <c r="S77" s="30"/>
      <c r="T77" s="30"/>
      <c r="U77" s="30">
        <v>0.0</v>
      </c>
      <c r="V77" s="30"/>
      <c r="W77" s="30"/>
      <c r="X77" s="30"/>
      <c r="Y77" s="5">
        <f>IFERROR(__xludf.DUMMYFUNCTION("""COMPUTED_VALUE"""),69.0)</f>
        <v>69</v>
      </c>
      <c r="Z77" s="5">
        <f>IFERROR(__xludf.DUMMYFUNCTION("""COMPUTED_VALUE"""),69.0)</f>
        <v>69</v>
      </c>
    </row>
    <row r="78">
      <c r="A78" s="30" t="s">
        <v>564</v>
      </c>
      <c r="B78" s="30">
        <f>IFERROR(__xludf.DUMMYFUNCTION("""COMPUTED_VALUE"""),75.0)</f>
        <v>75</v>
      </c>
      <c r="C78" s="30"/>
      <c r="D78" s="30"/>
      <c r="E78" s="30"/>
      <c r="F78" s="30"/>
      <c r="G78" s="30"/>
      <c r="H78" s="30"/>
      <c r="I78" s="30"/>
      <c r="J78" s="30">
        <f>IFERROR(__xludf.DUMMYFUNCTION("""COMPUTED_VALUE"""),-11.059343513011441)</f>
        <v>-11.05934351</v>
      </c>
      <c r="K78" s="30"/>
      <c r="L78" s="30"/>
      <c r="M78" s="30"/>
      <c r="N78" s="30"/>
      <c r="O78" s="30">
        <f>IFERROR(__xludf.DUMMYFUNCTION("""COMPUTED_VALUE"""),-2.630874715592867)</f>
        <v>-2.630874716</v>
      </c>
      <c r="P78" s="30">
        <f>IFERROR(__xludf.DUMMYFUNCTION("""COMPUTED_VALUE"""),4.463999088063446)</f>
        <v>4.463999088</v>
      </c>
      <c r="Q78" s="30"/>
      <c r="R78" s="30"/>
      <c r="S78" s="30"/>
      <c r="T78" s="30"/>
      <c r="U78" s="30">
        <v>0.0</v>
      </c>
      <c r="V78" s="30"/>
      <c r="W78" s="30"/>
      <c r="X78" s="30"/>
      <c r="Y78" s="5">
        <f>IFERROR(__xludf.DUMMYFUNCTION("""COMPUTED_VALUE"""),75.0)</f>
        <v>75</v>
      </c>
      <c r="Z78" s="5">
        <f>IFERROR(__xludf.DUMMYFUNCTION("""COMPUTED_VALUE"""),75.0)</f>
        <v>75</v>
      </c>
    </row>
    <row r="79">
      <c r="A79" s="30" t="s">
        <v>565</v>
      </c>
      <c r="B79" s="30">
        <f>IFERROR(__xludf.DUMMYFUNCTION("""COMPUTED_VALUE"""),77.0)</f>
        <v>77</v>
      </c>
      <c r="C79" s="30"/>
      <c r="D79" s="30"/>
      <c r="E79" s="30"/>
      <c r="F79" s="30"/>
      <c r="G79" s="30"/>
      <c r="H79" s="30"/>
      <c r="I79" s="30"/>
      <c r="J79" s="30">
        <f>IFERROR(__xludf.DUMMYFUNCTION("""COMPUTED_VALUE"""),-11.059343513011441)</f>
        <v>-11.05934351</v>
      </c>
      <c r="K79" s="30"/>
      <c r="L79" s="30"/>
      <c r="M79" s="30"/>
      <c r="N79" s="30"/>
      <c r="O79" s="30">
        <f>IFERROR(__xludf.DUMMYFUNCTION("""COMPUTED_VALUE"""),-2.630874715592867)</f>
        <v>-2.630874716</v>
      </c>
      <c r="P79" s="30">
        <f>IFERROR(__xludf.DUMMYFUNCTION("""COMPUTED_VALUE"""),4.463999088063446)</f>
        <v>4.463999088</v>
      </c>
      <c r="Q79" s="30"/>
      <c r="R79" s="30"/>
      <c r="S79" s="30"/>
      <c r="T79" s="30"/>
      <c r="U79" s="30">
        <v>0.0</v>
      </c>
      <c r="V79" s="30"/>
      <c r="W79" s="30"/>
      <c r="X79" s="30"/>
      <c r="Y79" s="5">
        <f>IFERROR(__xludf.DUMMYFUNCTION("""COMPUTED_VALUE"""),75.0)</f>
        <v>75</v>
      </c>
      <c r="Z79" s="5">
        <f>IFERROR(__xludf.DUMMYFUNCTION("""COMPUTED_VALUE"""),79.0)</f>
        <v>79</v>
      </c>
    </row>
    <row r="80">
      <c r="A80" s="30" t="s">
        <v>579</v>
      </c>
      <c r="B80" s="30">
        <f>IFERROR(__xludf.DUMMYFUNCTION("""COMPUTED_VALUE"""),79.0)</f>
        <v>79</v>
      </c>
      <c r="C80" s="30"/>
      <c r="D80" s="30"/>
      <c r="E80" s="30"/>
      <c r="F80" s="30"/>
      <c r="G80" s="30"/>
      <c r="H80" s="30"/>
      <c r="I80" s="30"/>
      <c r="J80" s="30">
        <f>IFERROR(__xludf.DUMMYFUNCTION("""COMPUTED_VALUE"""),-11.059343513011441)</f>
        <v>-11.05934351</v>
      </c>
      <c r="K80" s="30"/>
      <c r="L80" s="30"/>
      <c r="M80" s="30"/>
      <c r="N80" s="30"/>
      <c r="O80" s="30">
        <f>IFERROR(__xludf.DUMMYFUNCTION("""COMPUTED_VALUE"""),-2.630874715592867)</f>
        <v>-2.630874716</v>
      </c>
      <c r="P80" s="30">
        <f>IFERROR(__xludf.DUMMYFUNCTION("""COMPUTED_VALUE"""),4.463999088063446)</f>
        <v>4.463999088</v>
      </c>
      <c r="Q80" s="30"/>
      <c r="R80" s="30"/>
      <c r="S80" s="30"/>
      <c r="T80" s="30"/>
      <c r="U80" s="30">
        <v>0.0</v>
      </c>
      <c r="V80" s="30"/>
      <c r="W80" s="30"/>
      <c r="X80" s="30"/>
      <c r="Y80" s="5">
        <f>IFERROR(__xludf.DUMMYFUNCTION("""COMPUTED_VALUE"""),79.0)</f>
        <v>79</v>
      </c>
      <c r="Z80" s="5">
        <f>IFERROR(__xludf.DUMMYFUNCTION("""COMPUTED_VALUE"""),79.0)</f>
        <v>79</v>
      </c>
    </row>
    <row r="81">
      <c r="A81" s="30" t="s">
        <v>580</v>
      </c>
      <c r="B81" s="30">
        <f>IFERROR(__xludf.DUMMYFUNCTION("""COMPUTED_VALUE"""),79.0)</f>
        <v>79</v>
      </c>
      <c r="C81" s="30"/>
      <c r="D81" s="30"/>
      <c r="E81" s="30"/>
      <c r="F81" s="30"/>
      <c r="G81" s="30"/>
      <c r="H81" s="30"/>
      <c r="I81" s="30"/>
      <c r="J81" s="30">
        <f>IFERROR(__xludf.DUMMYFUNCTION("""COMPUTED_VALUE"""),-11.059343513011441)</f>
        <v>-11.05934351</v>
      </c>
      <c r="K81" s="30"/>
      <c r="L81" s="30"/>
      <c r="M81" s="30"/>
      <c r="N81" s="30"/>
      <c r="O81" s="30">
        <f>IFERROR(__xludf.DUMMYFUNCTION("""COMPUTED_VALUE"""),-2.630874715592867)</f>
        <v>-2.630874716</v>
      </c>
      <c r="P81" s="30">
        <f>IFERROR(__xludf.DUMMYFUNCTION("""COMPUTED_VALUE"""),4.463999088063446)</f>
        <v>4.463999088</v>
      </c>
      <c r="Q81" s="30"/>
      <c r="R81" s="30"/>
      <c r="S81" s="30"/>
      <c r="T81" s="30"/>
      <c r="U81" s="30">
        <v>0.0</v>
      </c>
      <c r="V81" s="30"/>
      <c r="W81" s="30"/>
      <c r="X81" s="30"/>
      <c r="Y81" s="5">
        <f>IFERROR(__xludf.DUMMYFUNCTION("""COMPUTED_VALUE"""),79.0)</f>
        <v>79</v>
      </c>
      <c r="Z81" s="5">
        <f>IFERROR(__xludf.DUMMYFUNCTION("""COMPUTED_VALUE"""),79.0)</f>
        <v>79</v>
      </c>
    </row>
    <row r="82">
      <c r="A82" s="30" t="s">
        <v>585</v>
      </c>
      <c r="B82" s="30">
        <f>IFERROR(__xludf.DUMMYFUNCTION("""COMPUTED_VALUE"""),73.0)</f>
        <v>73</v>
      </c>
      <c r="C82" s="30"/>
      <c r="D82" s="30"/>
      <c r="E82" s="30"/>
      <c r="F82" s="30"/>
      <c r="G82" s="30"/>
      <c r="H82" s="30"/>
      <c r="I82" s="30"/>
      <c r="J82" s="30">
        <f>IFERROR(__xludf.DUMMYFUNCTION("""COMPUTED_VALUE"""),-11.059343513011441)</f>
        <v>-11.05934351</v>
      </c>
      <c r="K82" s="30"/>
      <c r="L82" s="30"/>
      <c r="M82" s="30"/>
      <c r="N82" s="30"/>
      <c r="O82" s="30">
        <f>IFERROR(__xludf.DUMMYFUNCTION("""COMPUTED_VALUE"""),-2.630874715592867)</f>
        <v>-2.630874716</v>
      </c>
      <c r="P82" s="30">
        <f>IFERROR(__xludf.DUMMYFUNCTION("""COMPUTED_VALUE"""),4.463999088063446)</f>
        <v>4.463999088</v>
      </c>
      <c r="Q82" s="30"/>
      <c r="R82" s="30"/>
      <c r="S82" s="30"/>
      <c r="T82" s="30"/>
      <c r="U82" s="30">
        <v>0.0</v>
      </c>
      <c r="V82" s="30"/>
      <c r="W82" s="30"/>
      <c r="X82" s="30"/>
      <c r="Y82" s="5">
        <f>IFERROR(__xludf.DUMMYFUNCTION("""COMPUTED_VALUE"""),73.0)</f>
        <v>73</v>
      </c>
      <c r="Z82" s="5">
        <f>IFERROR(__xludf.DUMMYFUNCTION("""COMPUTED_VALUE"""),73.0)</f>
        <v>73</v>
      </c>
    </row>
    <row r="83">
      <c r="A83" s="30" t="s">
        <v>587</v>
      </c>
      <c r="B83" s="30">
        <f>IFERROR(__xludf.DUMMYFUNCTION("""COMPUTED_VALUE"""),74.0)</f>
        <v>74</v>
      </c>
      <c r="C83" s="30"/>
      <c r="D83" s="30"/>
      <c r="E83" s="30"/>
      <c r="F83" s="30"/>
      <c r="G83" s="30"/>
      <c r="H83" s="30"/>
      <c r="I83" s="30"/>
      <c r="J83" s="30">
        <f>IFERROR(__xludf.DUMMYFUNCTION("""COMPUTED_VALUE"""),-11.059343513011441)</f>
        <v>-11.05934351</v>
      </c>
      <c r="K83" s="30"/>
      <c r="L83" s="30"/>
      <c r="M83" s="30"/>
      <c r="N83" s="30"/>
      <c r="O83" s="30">
        <f>IFERROR(__xludf.DUMMYFUNCTION("""COMPUTED_VALUE"""),-2.630874715592867)</f>
        <v>-2.630874716</v>
      </c>
      <c r="P83" s="30">
        <f>IFERROR(__xludf.DUMMYFUNCTION("""COMPUTED_VALUE"""),4.463999088063446)</f>
        <v>4.463999088</v>
      </c>
      <c r="Q83" s="30"/>
      <c r="R83" s="30"/>
      <c r="S83" s="30"/>
      <c r="T83" s="30"/>
      <c r="U83" s="30">
        <v>0.0</v>
      </c>
      <c r="V83" s="30"/>
      <c r="W83" s="30"/>
      <c r="X83" s="30"/>
      <c r="Y83" s="5">
        <f>IFERROR(__xludf.DUMMYFUNCTION("""COMPUTED_VALUE"""),73.0)</f>
        <v>73</v>
      </c>
      <c r="Z83" s="5">
        <f>IFERROR(__xludf.DUMMYFUNCTION("""COMPUTED_VALUE"""),75.0)</f>
        <v>75</v>
      </c>
    </row>
    <row r="84">
      <c r="A84" s="30" t="s">
        <v>602</v>
      </c>
      <c r="B84" s="30">
        <f>IFERROR(__xludf.DUMMYFUNCTION("""COMPUTED_VALUE"""),78.0)</f>
        <v>78</v>
      </c>
      <c r="C84" s="30"/>
      <c r="D84" s="30"/>
      <c r="E84" s="30"/>
      <c r="F84" s="30"/>
      <c r="G84" s="30"/>
      <c r="H84" s="30"/>
      <c r="I84" s="30"/>
      <c r="J84" s="30">
        <f>IFERROR(__xludf.DUMMYFUNCTION("""COMPUTED_VALUE"""),-11.059343513011441)</f>
        <v>-11.05934351</v>
      </c>
      <c r="K84" s="30"/>
      <c r="L84" s="30"/>
      <c r="M84" s="30"/>
      <c r="N84" s="30"/>
      <c r="O84" s="30">
        <f>IFERROR(__xludf.DUMMYFUNCTION("""COMPUTED_VALUE"""),-2.630874715592867)</f>
        <v>-2.630874716</v>
      </c>
      <c r="P84" s="30">
        <f>IFERROR(__xludf.DUMMYFUNCTION("""COMPUTED_VALUE"""),4.463999088063446)</f>
        <v>4.463999088</v>
      </c>
      <c r="Q84" s="30"/>
      <c r="R84" s="30"/>
      <c r="S84" s="30"/>
      <c r="T84" s="30"/>
      <c r="U84" s="30">
        <v>0.0</v>
      </c>
      <c r="V84" s="30"/>
      <c r="W84" s="30"/>
      <c r="X84" s="30"/>
      <c r="Y84" s="5">
        <f>IFERROR(__xludf.DUMMYFUNCTION("""COMPUTED_VALUE"""),78.0)</f>
        <v>78</v>
      </c>
      <c r="Z84" s="5">
        <f>IFERROR(__xludf.DUMMYFUNCTION("""COMPUTED_VALUE"""),78.0)</f>
        <v>78</v>
      </c>
    </row>
    <row r="85">
      <c r="A85" s="30" t="s">
        <v>603</v>
      </c>
      <c r="B85" s="30">
        <f>IFERROR(__xludf.DUMMYFUNCTION("""COMPUTED_VALUE"""),75.0)</f>
        <v>75</v>
      </c>
      <c r="C85" s="30"/>
      <c r="D85" s="30"/>
      <c r="E85" s="30"/>
      <c r="F85" s="30"/>
      <c r="G85" s="30"/>
      <c r="H85" s="30"/>
      <c r="I85" s="30"/>
      <c r="J85" s="30">
        <f>IFERROR(__xludf.DUMMYFUNCTION("""COMPUTED_VALUE"""),-11.059343513011441)</f>
        <v>-11.05934351</v>
      </c>
      <c r="K85" s="30"/>
      <c r="L85" s="30"/>
      <c r="M85" s="30"/>
      <c r="N85" s="30"/>
      <c r="O85" s="30">
        <f>IFERROR(__xludf.DUMMYFUNCTION("""COMPUTED_VALUE"""),-2.630874715592867)</f>
        <v>-2.630874716</v>
      </c>
      <c r="P85" s="30">
        <f>IFERROR(__xludf.DUMMYFUNCTION("""COMPUTED_VALUE"""),4.463999088063446)</f>
        <v>4.463999088</v>
      </c>
      <c r="Q85" s="30"/>
      <c r="R85" s="30"/>
      <c r="S85" s="30"/>
      <c r="T85" s="30"/>
      <c r="U85" s="30">
        <v>0.0</v>
      </c>
      <c r="V85" s="30"/>
      <c r="W85" s="30"/>
      <c r="X85" s="30"/>
      <c r="Y85" s="5">
        <f>IFERROR(__xludf.DUMMYFUNCTION("""COMPUTED_VALUE"""),75.0)</f>
        <v>75</v>
      </c>
      <c r="Z85" s="5">
        <f>IFERROR(__xludf.DUMMYFUNCTION("""COMPUTED_VALUE"""),75.0)</f>
        <v>75</v>
      </c>
    </row>
    <row r="86">
      <c r="A86" s="30" t="s">
        <v>604</v>
      </c>
      <c r="B86" s="30">
        <f>IFERROR(__xludf.DUMMYFUNCTION("""COMPUTED_VALUE"""),75.0)</f>
        <v>75</v>
      </c>
      <c r="C86" s="30"/>
      <c r="D86" s="30"/>
      <c r="E86" s="30"/>
      <c r="F86" s="30"/>
      <c r="G86" s="30"/>
      <c r="H86" s="30"/>
      <c r="I86" s="30"/>
      <c r="J86" s="30">
        <f>IFERROR(__xludf.DUMMYFUNCTION("""COMPUTED_VALUE"""),-11.059343513011441)</f>
        <v>-11.05934351</v>
      </c>
      <c r="K86" s="30"/>
      <c r="L86" s="30"/>
      <c r="M86" s="30"/>
      <c r="N86" s="30"/>
      <c r="O86" s="30">
        <f>IFERROR(__xludf.DUMMYFUNCTION("""COMPUTED_VALUE"""),-2.630874715592867)</f>
        <v>-2.630874716</v>
      </c>
      <c r="P86" s="30">
        <f>IFERROR(__xludf.DUMMYFUNCTION("""COMPUTED_VALUE"""),4.463999088063446)</f>
        <v>4.463999088</v>
      </c>
      <c r="Q86" s="30"/>
      <c r="R86" s="30"/>
      <c r="S86" s="30"/>
      <c r="T86" s="30"/>
      <c r="U86" s="30">
        <v>0.0</v>
      </c>
      <c r="V86" s="30"/>
      <c r="W86" s="30"/>
      <c r="X86" s="30"/>
      <c r="Y86" s="5">
        <f>IFERROR(__xludf.DUMMYFUNCTION("""COMPUTED_VALUE"""),75.0)</f>
        <v>75</v>
      </c>
      <c r="Z86" s="5">
        <f>IFERROR(__xludf.DUMMYFUNCTION("""COMPUTED_VALUE"""),75.0)</f>
        <v>75</v>
      </c>
    </row>
    <row r="87">
      <c r="A87" s="30" t="s">
        <v>605</v>
      </c>
      <c r="B87" s="30">
        <f>IFERROR(__xludf.DUMMYFUNCTION("""COMPUTED_VALUE"""),79.0)</f>
        <v>79</v>
      </c>
      <c r="C87" s="30"/>
      <c r="D87" s="30"/>
      <c r="E87" s="30"/>
      <c r="F87" s="30"/>
      <c r="G87" s="30"/>
      <c r="H87" s="30"/>
      <c r="I87" s="30"/>
      <c r="J87" s="30">
        <f>IFERROR(__xludf.DUMMYFUNCTION("""COMPUTED_VALUE"""),-11.059343513011441)</f>
        <v>-11.05934351</v>
      </c>
      <c r="K87" s="30"/>
      <c r="L87" s="30"/>
      <c r="M87" s="30"/>
      <c r="N87" s="30"/>
      <c r="O87" s="30">
        <f>IFERROR(__xludf.DUMMYFUNCTION("""COMPUTED_VALUE"""),-2.630874715592867)</f>
        <v>-2.630874716</v>
      </c>
      <c r="P87" s="30">
        <f>IFERROR(__xludf.DUMMYFUNCTION("""COMPUTED_VALUE"""),4.463999088063446)</f>
        <v>4.463999088</v>
      </c>
      <c r="Q87" s="30"/>
      <c r="R87" s="30"/>
      <c r="S87" s="30"/>
      <c r="T87" s="30"/>
      <c r="U87" s="30">
        <v>0.0</v>
      </c>
      <c r="V87" s="30"/>
      <c r="W87" s="30"/>
      <c r="X87" s="30"/>
      <c r="Y87" s="5">
        <f>IFERROR(__xludf.DUMMYFUNCTION("""COMPUTED_VALUE"""),79.0)</f>
        <v>79</v>
      </c>
      <c r="Z87" s="5">
        <f>IFERROR(__xludf.DUMMYFUNCTION("""COMPUTED_VALUE"""),79.0)</f>
        <v>79</v>
      </c>
    </row>
    <row r="88">
      <c r="A88" s="30" t="s">
        <v>606</v>
      </c>
      <c r="B88" s="30">
        <f>IFERROR(__xludf.DUMMYFUNCTION("""COMPUTED_VALUE"""),79.0)</f>
        <v>79</v>
      </c>
      <c r="C88" s="30"/>
      <c r="D88" s="30"/>
      <c r="E88" s="30"/>
      <c r="F88" s="30"/>
      <c r="G88" s="30"/>
      <c r="H88" s="30"/>
      <c r="I88" s="30"/>
      <c r="J88" s="30">
        <f>IFERROR(__xludf.DUMMYFUNCTION("""COMPUTED_VALUE"""),-11.059343513011441)</f>
        <v>-11.05934351</v>
      </c>
      <c r="K88" s="30"/>
      <c r="L88" s="30"/>
      <c r="M88" s="30"/>
      <c r="N88" s="30"/>
      <c r="O88" s="30">
        <f>IFERROR(__xludf.DUMMYFUNCTION("""COMPUTED_VALUE"""),-2.630874715592867)</f>
        <v>-2.630874716</v>
      </c>
      <c r="P88" s="30">
        <f>IFERROR(__xludf.DUMMYFUNCTION("""COMPUTED_VALUE"""),4.463999088063446)</f>
        <v>4.463999088</v>
      </c>
      <c r="Q88" s="30"/>
      <c r="R88" s="30"/>
      <c r="S88" s="30"/>
      <c r="T88" s="30"/>
      <c r="U88" s="30">
        <v>0.0</v>
      </c>
      <c r="V88" s="30"/>
      <c r="W88" s="30"/>
      <c r="X88" s="30"/>
      <c r="Y88" s="5">
        <f>IFERROR(__xludf.DUMMYFUNCTION("""COMPUTED_VALUE"""),79.0)</f>
        <v>79</v>
      </c>
      <c r="Z88" s="5">
        <f>IFERROR(__xludf.DUMMYFUNCTION("""COMPUTED_VALUE"""),79.0)</f>
        <v>79</v>
      </c>
    </row>
    <row r="89">
      <c r="A89" s="30" t="s">
        <v>607</v>
      </c>
      <c r="B89" s="30">
        <f>IFERROR(__xludf.DUMMYFUNCTION("""COMPUTED_VALUE"""),74.0)</f>
        <v>74</v>
      </c>
      <c r="C89" s="30"/>
      <c r="D89" s="30"/>
      <c r="E89" s="30"/>
      <c r="F89" s="30"/>
      <c r="G89" s="30"/>
      <c r="H89" s="30"/>
      <c r="I89" s="30"/>
      <c r="J89" s="30">
        <f>IFERROR(__xludf.DUMMYFUNCTION("""COMPUTED_VALUE"""),-11.059343513011441)</f>
        <v>-11.05934351</v>
      </c>
      <c r="K89" s="30"/>
      <c r="L89" s="30"/>
      <c r="M89" s="30"/>
      <c r="N89" s="30"/>
      <c r="O89" s="30">
        <f>IFERROR(__xludf.DUMMYFUNCTION("""COMPUTED_VALUE"""),-2.630874715592867)</f>
        <v>-2.630874716</v>
      </c>
      <c r="P89" s="30">
        <f>IFERROR(__xludf.DUMMYFUNCTION("""COMPUTED_VALUE"""),4.463999088063446)</f>
        <v>4.463999088</v>
      </c>
      <c r="Q89" s="30"/>
      <c r="R89" s="30"/>
      <c r="S89" s="30"/>
      <c r="T89" s="30"/>
      <c r="U89" s="30">
        <v>0.0</v>
      </c>
      <c r="V89" s="30"/>
      <c r="W89" s="30"/>
      <c r="X89" s="30"/>
      <c r="Y89" s="5">
        <f>IFERROR(__xludf.DUMMYFUNCTION("""COMPUTED_VALUE"""),74.0)</f>
        <v>74</v>
      </c>
      <c r="Z89" s="5">
        <f>IFERROR(__xludf.DUMMYFUNCTION("""COMPUTED_VALUE"""),74.0)</f>
        <v>74</v>
      </c>
    </row>
    <row r="90">
      <c r="A90" s="30" t="s">
        <v>608</v>
      </c>
      <c r="B90" s="30">
        <f>IFERROR(__xludf.DUMMYFUNCTION("""COMPUTED_VALUE"""),78.0)</f>
        <v>78</v>
      </c>
      <c r="C90" s="30"/>
      <c r="D90" s="30"/>
      <c r="E90" s="30"/>
      <c r="F90" s="30"/>
      <c r="G90" s="30"/>
      <c r="H90" s="30"/>
      <c r="I90" s="30"/>
      <c r="J90" s="30">
        <f>IFERROR(__xludf.DUMMYFUNCTION("""COMPUTED_VALUE"""),-11.059343513011441)</f>
        <v>-11.05934351</v>
      </c>
      <c r="K90" s="30"/>
      <c r="L90" s="30"/>
      <c r="M90" s="30"/>
      <c r="N90" s="30"/>
      <c r="O90" s="30">
        <f>IFERROR(__xludf.DUMMYFUNCTION("""COMPUTED_VALUE"""),-2.630874715592867)</f>
        <v>-2.630874716</v>
      </c>
      <c r="P90" s="30">
        <f>IFERROR(__xludf.DUMMYFUNCTION("""COMPUTED_VALUE"""),4.463999088063446)</f>
        <v>4.463999088</v>
      </c>
      <c r="Q90" s="30"/>
      <c r="R90" s="30"/>
      <c r="S90" s="30"/>
      <c r="T90" s="30"/>
      <c r="U90" s="30">
        <v>0.0</v>
      </c>
      <c r="V90" s="30"/>
      <c r="W90" s="30"/>
      <c r="X90" s="30"/>
      <c r="Y90" s="5">
        <f>IFERROR(__xludf.DUMMYFUNCTION("""COMPUTED_VALUE"""),78.0)</f>
        <v>78</v>
      </c>
      <c r="Z90" s="5">
        <f>IFERROR(__xludf.DUMMYFUNCTION("""COMPUTED_VALUE"""),78.0)</f>
        <v>78</v>
      </c>
    </row>
    <row r="91">
      <c r="A91" s="30" t="s">
        <v>609</v>
      </c>
      <c r="B91" s="30">
        <f>IFERROR(__xludf.DUMMYFUNCTION("""COMPUTED_VALUE"""),78.0)</f>
        <v>78</v>
      </c>
      <c r="C91" s="30"/>
      <c r="D91" s="30"/>
      <c r="E91" s="30"/>
      <c r="F91" s="30"/>
      <c r="G91" s="30"/>
      <c r="H91" s="30"/>
      <c r="I91" s="30"/>
      <c r="J91" s="30">
        <f>IFERROR(__xludf.DUMMYFUNCTION("""COMPUTED_VALUE"""),-11.059343513011441)</f>
        <v>-11.05934351</v>
      </c>
      <c r="K91" s="30"/>
      <c r="L91" s="30"/>
      <c r="M91" s="30"/>
      <c r="N91" s="30"/>
      <c r="O91" s="30">
        <f>IFERROR(__xludf.DUMMYFUNCTION("""COMPUTED_VALUE"""),-2.630874715592867)</f>
        <v>-2.630874716</v>
      </c>
      <c r="P91" s="30">
        <f>IFERROR(__xludf.DUMMYFUNCTION("""COMPUTED_VALUE"""),4.463999088063446)</f>
        <v>4.463999088</v>
      </c>
      <c r="Q91" s="30"/>
      <c r="R91" s="30"/>
      <c r="S91" s="30"/>
      <c r="T91" s="30"/>
      <c r="U91" s="30">
        <v>0.0</v>
      </c>
      <c r="V91" s="30"/>
      <c r="W91" s="30"/>
      <c r="X91" s="30"/>
      <c r="Y91" s="5">
        <f>IFERROR(__xludf.DUMMYFUNCTION("""COMPUTED_VALUE"""),78.0)</f>
        <v>78</v>
      </c>
      <c r="Z91" s="5">
        <f>IFERROR(__xludf.DUMMYFUNCTION("""COMPUTED_VALUE"""),78.0)</f>
        <v>78</v>
      </c>
    </row>
    <row r="92">
      <c r="A92" s="30" t="s">
        <v>610</v>
      </c>
      <c r="B92" s="30">
        <f>IFERROR(__xludf.DUMMYFUNCTION("""COMPUTED_VALUE"""),79.0)</f>
        <v>79</v>
      </c>
      <c r="C92" s="30"/>
      <c r="D92" s="30"/>
      <c r="E92" s="30"/>
      <c r="F92" s="30"/>
      <c r="G92" s="30"/>
      <c r="H92" s="30"/>
      <c r="I92" s="30"/>
      <c r="J92" s="30">
        <f>IFERROR(__xludf.DUMMYFUNCTION("""COMPUTED_VALUE"""),-11.059343513011441)</f>
        <v>-11.05934351</v>
      </c>
      <c r="K92" s="30"/>
      <c r="L92" s="30"/>
      <c r="M92" s="30"/>
      <c r="N92" s="30"/>
      <c r="O92" s="30">
        <f>IFERROR(__xludf.DUMMYFUNCTION("""COMPUTED_VALUE"""),-2.630874715592867)</f>
        <v>-2.630874716</v>
      </c>
      <c r="P92" s="30">
        <f>IFERROR(__xludf.DUMMYFUNCTION("""COMPUTED_VALUE"""),4.463999088063446)</f>
        <v>4.463999088</v>
      </c>
      <c r="Q92" s="30"/>
      <c r="R92" s="30"/>
      <c r="S92" s="30"/>
      <c r="T92" s="30"/>
      <c r="U92" s="30">
        <v>0.0</v>
      </c>
      <c r="V92" s="30"/>
      <c r="W92" s="30"/>
      <c r="X92" s="30"/>
      <c r="Y92" s="5">
        <f>IFERROR(__xludf.DUMMYFUNCTION("""COMPUTED_VALUE"""),79.0)</f>
        <v>79</v>
      </c>
      <c r="Z92" s="5">
        <f>IFERROR(__xludf.DUMMYFUNCTION("""COMPUTED_VALUE"""),79.0)</f>
        <v>79</v>
      </c>
    </row>
    <row r="93">
      <c r="A93" s="30" t="s">
        <v>611</v>
      </c>
      <c r="B93" s="30">
        <f>IFERROR(__xludf.DUMMYFUNCTION("""COMPUTED_VALUE"""),75.5)</f>
        <v>75.5</v>
      </c>
      <c r="C93" s="30"/>
      <c r="D93" s="30"/>
      <c r="E93" s="30"/>
      <c r="F93" s="30"/>
      <c r="G93" s="30"/>
      <c r="H93" s="30"/>
      <c r="I93" s="30"/>
      <c r="J93" s="30">
        <f>IFERROR(__xludf.DUMMYFUNCTION("""COMPUTED_VALUE"""),-11.059343513011441)</f>
        <v>-11.05934351</v>
      </c>
      <c r="K93" s="30"/>
      <c r="L93" s="30"/>
      <c r="M93" s="30"/>
      <c r="N93" s="30"/>
      <c r="O93" s="30">
        <f>IFERROR(__xludf.DUMMYFUNCTION("""COMPUTED_VALUE"""),-2.630874715592867)</f>
        <v>-2.630874716</v>
      </c>
      <c r="P93" s="30">
        <f>IFERROR(__xludf.DUMMYFUNCTION("""COMPUTED_VALUE"""),4.463999088063446)</f>
        <v>4.463999088</v>
      </c>
      <c r="Q93" s="30"/>
      <c r="R93" s="30"/>
      <c r="S93" s="30"/>
      <c r="T93" s="30"/>
      <c r="U93" s="30">
        <v>0.0</v>
      </c>
      <c r="V93" s="30"/>
      <c r="W93" s="30"/>
      <c r="X93" s="30"/>
      <c r="Y93" s="5">
        <f>IFERROR(__xludf.DUMMYFUNCTION("""COMPUTED_VALUE"""),74.0)</f>
        <v>74</v>
      </c>
      <c r="Z93" s="5">
        <f>IFERROR(__xludf.DUMMYFUNCTION("""COMPUTED_VALUE"""),77.0)</f>
        <v>77</v>
      </c>
    </row>
    <row r="94">
      <c r="A94" s="30" t="s">
        <v>626</v>
      </c>
      <c r="B94" s="30">
        <f>IFERROR(__xludf.DUMMYFUNCTION("""COMPUTED_VALUE"""),76.0)</f>
        <v>76</v>
      </c>
      <c r="C94" s="30"/>
      <c r="D94" s="30"/>
      <c r="E94" s="30"/>
      <c r="F94" s="30"/>
      <c r="G94" s="30"/>
      <c r="H94" s="30"/>
      <c r="I94" s="30"/>
      <c r="J94" s="30">
        <f>IFERROR(__xludf.DUMMYFUNCTION("""COMPUTED_VALUE"""),-11.059343513011441)</f>
        <v>-11.05934351</v>
      </c>
      <c r="K94" s="30"/>
      <c r="L94" s="30"/>
      <c r="M94" s="30"/>
      <c r="N94" s="30"/>
      <c r="O94" s="30">
        <f>IFERROR(__xludf.DUMMYFUNCTION("""COMPUTED_VALUE"""),-2.630874715592867)</f>
        <v>-2.630874716</v>
      </c>
      <c r="P94" s="30">
        <f>IFERROR(__xludf.DUMMYFUNCTION("""COMPUTED_VALUE"""),4.463999088063446)</f>
        <v>4.463999088</v>
      </c>
      <c r="Q94" s="30"/>
      <c r="R94" s="30"/>
      <c r="S94" s="30"/>
      <c r="T94" s="30"/>
      <c r="U94" s="30">
        <v>0.0</v>
      </c>
      <c r="V94" s="30"/>
      <c r="W94" s="30"/>
      <c r="X94" s="30"/>
      <c r="Y94" s="5">
        <f>IFERROR(__xludf.DUMMYFUNCTION("""COMPUTED_VALUE"""),76.0)</f>
        <v>76</v>
      </c>
      <c r="Z94" s="5">
        <f>IFERROR(__xludf.DUMMYFUNCTION("""COMPUTED_VALUE"""),76.0)</f>
        <v>76</v>
      </c>
    </row>
    <row r="95">
      <c r="A95" s="30" t="s">
        <v>627</v>
      </c>
      <c r="B95" s="30">
        <f>IFERROR(__xludf.DUMMYFUNCTION("""COMPUTED_VALUE"""),78.0)</f>
        <v>78</v>
      </c>
      <c r="C95" s="30"/>
      <c r="D95" s="30"/>
      <c r="E95" s="30"/>
      <c r="F95" s="30"/>
      <c r="G95" s="30"/>
      <c r="H95" s="30"/>
      <c r="I95" s="30"/>
      <c r="J95" s="30">
        <f>IFERROR(__xludf.DUMMYFUNCTION("""COMPUTED_VALUE"""),-11.059343513011441)</f>
        <v>-11.05934351</v>
      </c>
      <c r="K95" s="30"/>
      <c r="L95" s="30"/>
      <c r="M95" s="30"/>
      <c r="N95" s="30"/>
      <c r="O95" s="30">
        <f>IFERROR(__xludf.DUMMYFUNCTION("""COMPUTED_VALUE"""),-2.630874715592867)</f>
        <v>-2.630874716</v>
      </c>
      <c r="P95" s="30">
        <f>IFERROR(__xludf.DUMMYFUNCTION("""COMPUTED_VALUE"""),4.463999088063446)</f>
        <v>4.463999088</v>
      </c>
      <c r="Q95" s="30"/>
      <c r="R95" s="30"/>
      <c r="S95" s="30"/>
      <c r="T95" s="30"/>
      <c r="U95" s="30">
        <v>0.0</v>
      </c>
      <c r="V95" s="30"/>
      <c r="W95" s="30"/>
      <c r="X95" s="30"/>
      <c r="Y95" s="5">
        <f>IFERROR(__xludf.DUMMYFUNCTION("""COMPUTED_VALUE"""),78.0)</f>
        <v>78</v>
      </c>
      <c r="Z95" s="5">
        <f>IFERROR(__xludf.DUMMYFUNCTION("""COMPUTED_VALUE"""),78.0)</f>
        <v>78</v>
      </c>
    </row>
    <row r="96">
      <c r="A96" s="30" t="s">
        <v>628</v>
      </c>
      <c r="B96" s="30">
        <f>IFERROR(__xludf.DUMMYFUNCTION("""COMPUTED_VALUE"""),78.5)</f>
        <v>78.5</v>
      </c>
      <c r="C96" s="30"/>
      <c r="D96" s="30"/>
      <c r="E96" s="30"/>
      <c r="F96" s="30"/>
      <c r="G96" s="30"/>
      <c r="H96" s="30"/>
      <c r="I96" s="30"/>
      <c r="J96" s="30">
        <f>IFERROR(__xludf.DUMMYFUNCTION("""COMPUTED_VALUE"""),-11.059343513011441)</f>
        <v>-11.05934351</v>
      </c>
      <c r="K96" s="30"/>
      <c r="L96" s="30"/>
      <c r="M96" s="30"/>
      <c r="N96" s="30"/>
      <c r="O96" s="30">
        <f>IFERROR(__xludf.DUMMYFUNCTION("""COMPUTED_VALUE"""),-2.630874715592867)</f>
        <v>-2.630874716</v>
      </c>
      <c r="P96" s="30">
        <f>IFERROR(__xludf.DUMMYFUNCTION("""COMPUTED_VALUE"""),4.463999088063446)</f>
        <v>4.463999088</v>
      </c>
      <c r="Q96" s="30"/>
      <c r="R96" s="30"/>
      <c r="S96" s="30"/>
      <c r="T96" s="30"/>
      <c r="U96" s="30">
        <v>0.0</v>
      </c>
      <c r="V96" s="30"/>
      <c r="W96" s="30"/>
      <c r="X96" s="30"/>
      <c r="Y96" s="5">
        <f>IFERROR(__xludf.DUMMYFUNCTION("""COMPUTED_VALUE"""),78.0)</f>
        <v>78</v>
      </c>
      <c r="Z96" s="5">
        <f>IFERROR(__xludf.DUMMYFUNCTION("""COMPUTED_VALUE"""),79.0)</f>
        <v>79</v>
      </c>
    </row>
    <row r="97">
      <c r="A97" s="30" t="s">
        <v>640</v>
      </c>
      <c r="B97" s="30">
        <f>IFERROR(__xludf.DUMMYFUNCTION("""COMPUTED_VALUE"""),76.0)</f>
        <v>76</v>
      </c>
      <c r="C97" s="30"/>
      <c r="D97" s="30"/>
      <c r="E97" s="30"/>
      <c r="F97" s="30"/>
      <c r="G97" s="30"/>
      <c r="H97" s="30"/>
      <c r="I97" s="30"/>
      <c r="J97" s="30">
        <f>IFERROR(__xludf.DUMMYFUNCTION("""COMPUTED_VALUE"""),-11.059343513011441)</f>
        <v>-11.05934351</v>
      </c>
      <c r="K97" s="30"/>
      <c r="L97" s="30"/>
      <c r="M97" s="30"/>
      <c r="N97" s="30"/>
      <c r="O97" s="30">
        <f>IFERROR(__xludf.DUMMYFUNCTION("""COMPUTED_VALUE"""),-2.630874715592867)</f>
        <v>-2.630874716</v>
      </c>
      <c r="P97" s="30">
        <f>IFERROR(__xludf.DUMMYFUNCTION("""COMPUTED_VALUE"""),4.463999088063446)</f>
        <v>4.463999088</v>
      </c>
      <c r="Q97" s="30"/>
      <c r="R97" s="30"/>
      <c r="S97" s="30"/>
      <c r="T97" s="30"/>
      <c r="U97" s="30">
        <v>0.0</v>
      </c>
      <c r="V97" s="30"/>
      <c r="W97" s="30"/>
      <c r="X97" s="30"/>
      <c r="Y97" s="5">
        <f>IFERROR(__xludf.DUMMYFUNCTION("""COMPUTED_VALUE"""),73.0)</f>
        <v>73</v>
      </c>
      <c r="Z97" s="5">
        <f>IFERROR(__xludf.DUMMYFUNCTION("""COMPUTED_VALUE"""),79.0)</f>
        <v>79</v>
      </c>
    </row>
    <row r="98">
      <c r="A98" s="30" t="s">
        <v>655</v>
      </c>
      <c r="B98" s="30">
        <f>IFERROR(__xludf.DUMMYFUNCTION("""COMPUTED_VALUE"""),74.5)</f>
        <v>74.5</v>
      </c>
      <c r="C98" s="30"/>
      <c r="D98" s="30"/>
      <c r="E98" s="30"/>
      <c r="F98" s="30"/>
      <c r="G98" s="30"/>
      <c r="H98" s="30"/>
      <c r="I98" s="30"/>
      <c r="J98" s="30">
        <f>IFERROR(__xludf.DUMMYFUNCTION("""COMPUTED_VALUE"""),-11.059343513011441)</f>
        <v>-11.05934351</v>
      </c>
      <c r="K98" s="30"/>
      <c r="L98" s="30"/>
      <c r="M98" s="30"/>
      <c r="N98" s="30"/>
      <c r="O98" s="30">
        <f>IFERROR(__xludf.DUMMYFUNCTION("""COMPUTED_VALUE"""),-2.630874715592867)</f>
        <v>-2.630874716</v>
      </c>
      <c r="P98" s="30">
        <f>IFERROR(__xludf.DUMMYFUNCTION("""COMPUTED_VALUE"""),4.463999088063446)</f>
        <v>4.463999088</v>
      </c>
      <c r="Q98" s="30"/>
      <c r="R98" s="30"/>
      <c r="S98" s="30"/>
      <c r="T98" s="30"/>
      <c r="U98" s="30">
        <v>0.0</v>
      </c>
      <c r="V98" s="30"/>
      <c r="W98" s="30"/>
      <c r="X98" s="30"/>
      <c r="Y98" s="5">
        <f>IFERROR(__xludf.DUMMYFUNCTION("""COMPUTED_VALUE"""),73.0)</f>
        <v>73</v>
      </c>
      <c r="Z98" s="5">
        <f>IFERROR(__xludf.DUMMYFUNCTION("""COMPUTED_VALUE"""),76.0)</f>
        <v>76</v>
      </c>
    </row>
    <row r="99">
      <c r="A99" s="30" t="s">
        <v>665</v>
      </c>
      <c r="B99" s="30">
        <f>IFERROR(__xludf.DUMMYFUNCTION("""COMPUTED_VALUE"""),77.0)</f>
        <v>77</v>
      </c>
      <c r="C99" s="30"/>
      <c r="D99" s="30"/>
      <c r="E99" s="30"/>
      <c r="F99" s="30"/>
      <c r="G99" s="30"/>
      <c r="H99" s="30"/>
      <c r="I99" s="30"/>
      <c r="J99" s="30">
        <f>IFERROR(__xludf.DUMMYFUNCTION("""COMPUTED_VALUE"""),-11.059343513011441)</f>
        <v>-11.05934351</v>
      </c>
      <c r="K99" s="30"/>
      <c r="L99" s="30"/>
      <c r="M99" s="30"/>
      <c r="N99" s="30"/>
      <c r="O99" s="30">
        <f>IFERROR(__xludf.DUMMYFUNCTION("""COMPUTED_VALUE"""),-2.630874715592867)</f>
        <v>-2.630874716</v>
      </c>
      <c r="P99" s="30">
        <f>IFERROR(__xludf.DUMMYFUNCTION("""COMPUTED_VALUE"""),4.463999088063446)</f>
        <v>4.463999088</v>
      </c>
      <c r="Q99" s="30"/>
      <c r="R99" s="30"/>
      <c r="S99" s="30"/>
      <c r="T99" s="30"/>
      <c r="U99" s="30">
        <v>0.0</v>
      </c>
      <c r="V99" s="30"/>
      <c r="W99" s="30"/>
      <c r="X99" s="30"/>
      <c r="Y99" s="5">
        <f>IFERROR(__xludf.DUMMYFUNCTION("""COMPUTED_VALUE"""),75.0)</f>
        <v>75</v>
      </c>
      <c r="Z99" s="5">
        <f>IFERROR(__xludf.DUMMYFUNCTION("""COMPUTED_VALUE"""),79.0)</f>
        <v>79</v>
      </c>
    </row>
    <row r="100">
      <c r="A100" s="30" t="s">
        <v>677</v>
      </c>
      <c r="B100" s="30">
        <f>IFERROR(__xludf.DUMMYFUNCTION("""COMPUTED_VALUE"""),79.0)</f>
        <v>79</v>
      </c>
      <c r="C100" s="30"/>
      <c r="D100" s="30"/>
      <c r="E100" s="30"/>
      <c r="F100" s="30"/>
      <c r="G100" s="30"/>
      <c r="H100" s="30"/>
      <c r="I100" s="30"/>
      <c r="J100" s="30">
        <f>IFERROR(__xludf.DUMMYFUNCTION("""COMPUTED_VALUE"""),-11.059343513011441)</f>
        <v>-11.05934351</v>
      </c>
      <c r="K100" s="30"/>
      <c r="L100" s="30"/>
      <c r="M100" s="30"/>
      <c r="N100" s="30"/>
      <c r="O100" s="30">
        <f>IFERROR(__xludf.DUMMYFUNCTION("""COMPUTED_VALUE"""),-2.630874715592867)</f>
        <v>-2.630874716</v>
      </c>
      <c r="P100" s="30">
        <f>IFERROR(__xludf.DUMMYFUNCTION("""COMPUTED_VALUE"""),4.463999088063446)</f>
        <v>4.463999088</v>
      </c>
      <c r="Q100" s="30"/>
      <c r="R100" s="30"/>
      <c r="S100" s="30"/>
      <c r="T100" s="30"/>
      <c r="U100" s="30">
        <v>0.0</v>
      </c>
      <c r="V100" s="30"/>
      <c r="W100" s="30"/>
      <c r="X100" s="30"/>
      <c r="Y100" s="5">
        <f>IFERROR(__xludf.DUMMYFUNCTION("""COMPUTED_VALUE"""),79.0)</f>
        <v>79</v>
      </c>
      <c r="Z100" s="5">
        <f>IFERROR(__xludf.DUMMYFUNCTION("""COMPUTED_VALUE"""),79.0)</f>
        <v>79</v>
      </c>
    </row>
    <row r="101">
      <c r="A101" s="30" t="s">
        <v>678</v>
      </c>
      <c r="B101" s="30">
        <f>IFERROR(__xludf.DUMMYFUNCTION("""COMPUTED_VALUE"""),76.0)</f>
        <v>76</v>
      </c>
      <c r="C101" s="30"/>
      <c r="D101" s="30"/>
      <c r="E101" s="30"/>
      <c r="F101" s="30"/>
      <c r="G101" s="30"/>
      <c r="H101" s="30"/>
      <c r="I101" s="30"/>
      <c r="J101" s="30">
        <f>IFERROR(__xludf.DUMMYFUNCTION("""COMPUTED_VALUE"""),-11.059343513011441)</f>
        <v>-11.05934351</v>
      </c>
      <c r="K101" s="30"/>
      <c r="L101" s="30"/>
      <c r="M101" s="30"/>
      <c r="N101" s="30"/>
      <c r="O101" s="30">
        <f>IFERROR(__xludf.DUMMYFUNCTION("""COMPUTED_VALUE"""),-2.630874715592867)</f>
        <v>-2.630874716</v>
      </c>
      <c r="P101" s="30">
        <f>IFERROR(__xludf.DUMMYFUNCTION("""COMPUTED_VALUE"""),4.463999088063446)</f>
        <v>4.463999088</v>
      </c>
      <c r="Q101" s="30"/>
      <c r="R101" s="30"/>
      <c r="S101" s="30"/>
      <c r="T101" s="30"/>
      <c r="U101" s="30">
        <v>0.0</v>
      </c>
      <c r="V101" s="30"/>
      <c r="W101" s="30"/>
      <c r="X101" s="30"/>
      <c r="Y101" s="5">
        <f>IFERROR(__xludf.DUMMYFUNCTION("""COMPUTED_VALUE"""),73.0)</f>
        <v>73</v>
      </c>
      <c r="Z101" s="5">
        <f>IFERROR(__xludf.DUMMYFUNCTION("""COMPUTED_VALUE"""),79.0)</f>
        <v>79</v>
      </c>
    </row>
    <row r="102">
      <c r="A102" s="30" t="s">
        <v>692</v>
      </c>
      <c r="B102" s="30">
        <f>IFERROR(__xludf.DUMMYFUNCTION("""COMPUTED_VALUE"""),76.0)</f>
        <v>76</v>
      </c>
      <c r="C102" s="30"/>
      <c r="D102" s="30"/>
      <c r="E102" s="30"/>
      <c r="F102" s="30"/>
      <c r="G102" s="30"/>
      <c r="H102" s="30"/>
      <c r="I102" s="30"/>
      <c r="J102" s="30">
        <f>IFERROR(__xludf.DUMMYFUNCTION("""COMPUTED_VALUE"""),-11.059343513011441)</f>
        <v>-11.05934351</v>
      </c>
      <c r="K102" s="30"/>
      <c r="L102" s="30"/>
      <c r="M102" s="30"/>
      <c r="N102" s="30"/>
      <c r="O102" s="30">
        <f>IFERROR(__xludf.DUMMYFUNCTION("""COMPUTED_VALUE"""),-2.630874715592867)</f>
        <v>-2.630874716</v>
      </c>
      <c r="P102" s="30">
        <f>IFERROR(__xludf.DUMMYFUNCTION("""COMPUTED_VALUE"""),4.463999088063446)</f>
        <v>4.463999088</v>
      </c>
      <c r="Q102" s="30"/>
      <c r="R102" s="30"/>
      <c r="S102" s="30"/>
      <c r="T102" s="30"/>
      <c r="U102" s="30">
        <v>0.0</v>
      </c>
      <c r="V102" s="30"/>
      <c r="W102" s="30"/>
      <c r="X102" s="30"/>
      <c r="Y102" s="5">
        <f>IFERROR(__xludf.DUMMYFUNCTION("""COMPUTED_VALUE"""),73.0)</f>
        <v>73</v>
      </c>
      <c r="Z102" s="5">
        <f>IFERROR(__xludf.DUMMYFUNCTION("""COMPUTED_VALUE"""),79.0)</f>
        <v>79</v>
      </c>
    </row>
    <row r="103">
      <c r="A103" s="30" t="s">
        <v>703</v>
      </c>
      <c r="B103" s="30">
        <f>IFERROR(__xludf.DUMMYFUNCTION("""COMPUTED_VALUE"""),78.5)</f>
        <v>78.5</v>
      </c>
      <c r="C103" s="30"/>
      <c r="D103" s="30"/>
      <c r="E103" s="30"/>
      <c r="F103" s="30"/>
      <c r="G103" s="30"/>
      <c r="H103" s="30"/>
      <c r="I103" s="30"/>
      <c r="J103" s="30">
        <f>IFERROR(__xludf.DUMMYFUNCTION("""COMPUTED_VALUE"""),-11.059343513011441)</f>
        <v>-11.05934351</v>
      </c>
      <c r="K103" s="30"/>
      <c r="L103" s="30"/>
      <c r="M103" s="30"/>
      <c r="N103" s="30"/>
      <c r="O103" s="30">
        <f>IFERROR(__xludf.DUMMYFUNCTION("""COMPUTED_VALUE"""),-2.630874715592867)</f>
        <v>-2.630874716</v>
      </c>
      <c r="P103" s="30">
        <f>IFERROR(__xludf.DUMMYFUNCTION("""COMPUTED_VALUE"""),4.463999088063446)</f>
        <v>4.463999088</v>
      </c>
      <c r="Q103" s="30"/>
      <c r="R103" s="30"/>
      <c r="S103" s="30"/>
      <c r="T103" s="30"/>
      <c r="U103" s="30">
        <v>0.0</v>
      </c>
      <c r="V103" s="30"/>
      <c r="W103" s="30"/>
      <c r="X103" s="30"/>
      <c r="Y103" s="5">
        <f>IFERROR(__xludf.DUMMYFUNCTION("""COMPUTED_VALUE"""),78.0)</f>
        <v>78</v>
      </c>
      <c r="Z103" s="5">
        <f>IFERROR(__xludf.DUMMYFUNCTION("""COMPUTED_VALUE"""),79.0)</f>
        <v>79</v>
      </c>
    </row>
    <row r="104">
      <c r="A104" s="30" t="s">
        <v>717</v>
      </c>
      <c r="B104" s="30">
        <f>IFERROR(__xludf.DUMMYFUNCTION("""COMPUTED_VALUE"""),76.0)</f>
        <v>76</v>
      </c>
      <c r="C104" s="30"/>
      <c r="D104" s="30"/>
      <c r="E104" s="30"/>
      <c r="F104" s="30"/>
      <c r="G104" s="30"/>
      <c r="H104" s="30"/>
      <c r="I104" s="30"/>
      <c r="J104" s="30">
        <f>IFERROR(__xludf.DUMMYFUNCTION("""COMPUTED_VALUE"""),-11.059343513011441)</f>
        <v>-11.05934351</v>
      </c>
      <c r="K104" s="30"/>
      <c r="L104" s="30"/>
      <c r="M104" s="30"/>
      <c r="N104" s="30"/>
      <c r="O104" s="30">
        <f>IFERROR(__xludf.DUMMYFUNCTION("""COMPUTED_VALUE"""),-2.630874715592867)</f>
        <v>-2.630874716</v>
      </c>
      <c r="P104" s="30">
        <f>IFERROR(__xludf.DUMMYFUNCTION("""COMPUTED_VALUE"""),4.463999088063446)</f>
        <v>4.463999088</v>
      </c>
      <c r="Q104" s="30"/>
      <c r="R104" s="30"/>
      <c r="S104" s="30"/>
      <c r="T104" s="30"/>
      <c r="U104" s="30">
        <v>0.0</v>
      </c>
      <c r="V104" s="30"/>
      <c r="W104" s="30"/>
      <c r="X104" s="30"/>
      <c r="Y104" s="5">
        <f>IFERROR(__xludf.DUMMYFUNCTION("""COMPUTED_VALUE"""),74.0)</f>
        <v>74</v>
      </c>
      <c r="Z104" s="5">
        <f>IFERROR(__xludf.DUMMYFUNCTION("""COMPUTED_VALUE"""),78.0)</f>
        <v>78</v>
      </c>
    </row>
    <row r="105">
      <c r="A105" s="30" t="s">
        <v>725</v>
      </c>
      <c r="B105" s="30">
        <f>IFERROR(__xludf.DUMMYFUNCTION("""COMPUTED_VALUE"""),76.0)</f>
        <v>76</v>
      </c>
      <c r="C105" s="30"/>
      <c r="D105" s="30"/>
      <c r="E105" s="30"/>
      <c r="F105" s="30"/>
      <c r="G105" s="30"/>
      <c r="H105" s="30"/>
      <c r="I105" s="30"/>
      <c r="J105" s="30">
        <f>IFERROR(__xludf.DUMMYFUNCTION("""COMPUTED_VALUE"""),-11.059343513011441)</f>
        <v>-11.05934351</v>
      </c>
      <c r="K105" s="30"/>
      <c r="L105" s="30"/>
      <c r="M105" s="30"/>
      <c r="N105" s="30"/>
      <c r="O105" s="30">
        <f>IFERROR(__xludf.DUMMYFUNCTION("""COMPUTED_VALUE"""),-2.630874715592867)</f>
        <v>-2.630874716</v>
      </c>
      <c r="P105" s="30">
        <f>IFERROR(__xludf.DUMMYFUNCTION("""COMPUTED_VALUE"""),4.463999088063446)</f>
        <v>4.463999088</v>
      </c>
      <c r="Q105" s="30"/>
      <c r="R105" s="30"/>
      <c r="S105" s="30"/>
      <c r="T105" s="30"/>
      <c r="U105" s="30">
        <v>0.0</v>
      </c>
      <c r="V105" s="30"/>
      <c r="W105" s="30"/>
      <c r="X105" s="30"/>
      <c r="Y105" s="5">
        <f>IFERROR(__xludf.DUMMYFUNCTION("""COMPUTED_VALUE"""),74.0)</f>
        <v>74</v>
      </c>
      <c r="Z105" s="5">
        <f>IFERROR(__xludf.DUMMYFUNCTION("""COMPUTED_VALUE"""),78.0)</f>
        <v>78</v>
      </c>
    </row>
    <row r="106">
      <c r="A106" s="30" t="s">
        <v>736</v>
      </c>
      <c r="B106" s="30">
        <f>IFERROR(__xludf.DUMMYFUNCTION("""COMPUTED_VALUE"""),76.0)</f>
        <v>76</v>
      </c>
      <c r="C106" s="30"/>
      <c r="D106" s="30"/>
      <c r="E106" s="30"/>
      <c r="F106" s="30"/>
      <c r="G106" s="30"/>
      <c r="H106" s="30"/>
      <c r="I106" s="30"/>
      <c r="J106" s="30">
        <f>IFERROR(__xludf.DUMMYFUNCTION("""COMPUTED_VALUE"""),-11.059343513011441)</f>
        <v>-11.05934351</v>
      </c>
      <c r="K106" s="30"/>
      <c r="L106" s="30"/>
      <c r="M106" s="30"/>
      <c r="N106" s="30"/>
      <c r="O106" s="30">
        <f>IFERROR(__xludf.DUMMYFUNCTION("""COMPUTED_VALUE"""),-2.630874715592867)</f>
        <v>-2.630874716</v>
      </c>
      <c r="P106" s="30">
        <f>IFERROR(__xludf.DUMMYFUNCTION("""COMPUTED_VALUE"""),4.463999088063446)</f>
        <v>4.463999088</v>
      </c>
      <c r="Q106" s="30"/>
      <c r="R106" s="30"/>
      <c r="S106" s="30"/>
      <c r="T106" s="30"/>
      <c r="U106" s="30">
        <v>0.0</v>
      </c>
      <c r="V106" s="30"/>
      <c r="W106" s="30"/>
      <c r="X106" s="30"/>
      <c r="Y106" s="5">
        <f>IFERROR(__xludf.DUMMYFUNCTION("""COMPUTED_VALUE"""),76.0)</f>
        <v>76</v>
      </c>
      <c r="Z106" s="5">
        <f>IFERROR(__xludf.DUMMYFUNCTION("""COMPUTED_VALUE"""),76.0)</f>
        <v>76</v>
      </c>
    </row>
    <row r="107">
      <c r="A107" s="30" t="s">
        <v>737</v>
      </c>
      <c r="B107" s="30">
        <f>IFERROR(__xludf.DUMMYFUNCTION("""COMPUTED_VALUE"""),74.0)</f>
        <v>74</v>
      </c>
      <c r="C107" s="30"/>
      <c r="D107" s="30"/>
      <c r="E107" s="30"/>
      <c r="F107" s="30"/>
      <c r="G107" s="30"/>
      <c r="H107" s="30"/>
      <c r="I107" s="30"/>
      <c r="J107" s="30">
        <f>IFERROR(__xludf.DUMMYFUNCTION("""COMPUTED_VALUE"""),-11.059343513011441)</f>
        <v>-11.05934351</v>
      </c>
      <c r="K107" s="30"/>
      <c r="L107" s="30"/>
      <c r="M107" s="30"/>
      <c r="N107" s="30"/>
      <c r="O107" s="30">
        <f>IFERROR(__xludf.DUMMYFUNCTION("""COMPUTED_VALUE"""),-2.630874715592867)</f>
        <v>-2.630874716</v>
      </c>
      <c r="P107" s="30">
        <f>IFERROR(__xludf.DUMMYFUNCTION("""COMPUTED_VALUE"""),4.463999088063446)</f>
        <v>4.463999088</v>
      </c>
      <c r="Q107" s="30"/>
      <c r="R107" s="30"/>
      <c r="S107" s="30"/>
      <c r="T107" s="30"/>
      <c r="U107" s="30">
        <v>0.0</v>
      </c>
      <c r="V107" s="30"/>
      <c r="W107" s="30"/>
      <c r="X107" s="30"/>
      <c r="Y107" s="5">
        <f>IFERROR(__xludf.DUMMYFUNCTION("""COMPUTED_VALUE"""),74.0)</f>
        <v>74</v>
      </c>
      <c r="Z107" s="5">
        <f>IFERROR(__xludf.DUMMYFUNCTION("""COMPUTED_VALUE"""),74.0)</f>
        <v>74</v>
      </c>
    </row>
    <row r="108">
      <c r="A108" s="30" t="s">
        <v>738</v>
      </c>
      <c r="B108" s="30">
        <f>IFERROR(__xludf.DUMMYFUNCTION("""COMPUTED_VALUE"""),79.0)</f>
        <v>79</v>
      </c>
      <c r="C108" s="30"/>
      <c r="D108" s="30"/>
      <c r="E108" s="30"/>
      <c r="F108" s="30"/>
      <c r="G108" s="30"/>
      <c r="H108" s="30"/>
      <c r="I108" s="30"/>
      <c r="J108" s="30">
        <f>IFERROR(__xludf.DUMMYFUNCTION("""COMPUTED_VALUE"""),-11.059343513011441)</f>
        <v>-11.05934351</v>
      </c>
      <c r="K108" s="30"/>
      <c r="L108" s="30"/>
      <c r="M108" s="30"/>
      <c r="N108" s="30"/>
      <c r="O108" s="30">
        <f>IFERROR(__xludf.DUMMYFUNCTION("""COMPUTED_VALUE"""),-2.630874715592867)</f>
        <v>-2.630874716</v>
      </c>
      <c r="P108" s="30">
        <f>IFERROR(__xludf.DUMMYFUNCTION("""COMPUTED_VALUE"""),4.463999088063446)</f>
        <v>4.463999088</v>
      </c>
      <c r="Q108" s="30"/>
      <c r="R108" s="30"/>
      <c r="S108" s="30"/>
      <c r="T108" s="30"/>
      <c r="U108" s="30">
        <v>0.0</v>
      </c>
      <c r="V108" s="30"/>
      <c r="W108" s="30"/>
      <c r="X108" s="30"/>
      <c r="Y108" s="5">
        <f>IFERROR(__xludf.DUMMYFUNCTION("""COMPUTED_VALUE"""),79.0)</f>
        <v>79</v>
      </c>
      <c r="Z108" s="5">
        <f>IFERROR(__xludf.DUMMYFUNCTION("""COMPUTED_VALUE"""),79.0)</f>
        <v>79</v>
      </c>
    </row>
    <row r="109">
      <c r="A109" s="30" t="s">
        <v>739</v>
      </c>
      <c r="B109" s="30">
        <f>IFERROR(__xludf.DUMMYFUNCTION("""COMPUTED_VALUE"""),75.5)</f>
        <v>75.5</v>
      </c>
      <c r="C109" s="30"/>
      <c r="D109" s="30"/>
      <c r="E109" s="30"/>
      <c r="F109" s="30"/>
      <c r="G109" s="30"/>
      <c r="H109" s="30"/>
      <c r="I109" s="30"/>
      <c r="J109" s="30">
        <f>IFERROR(__xludf.DUMMYFUNCTION("""COMPUTED_VALUE"""),-11.059343513011441)</f>
        <v>-11.05934351</v>
      </c>
      <c r="K109" s="30"/>
      <c r="L109" s="30"/>
      <c r="M109" s="30"/>
      <c r="N109" s="30"/>
      <c r="O109" s="30">
        <f>IFERROR(__xludf.DUMMYFUNCTION("""COMPUTED_VALUE"""),-2.630874715592867)</f>
        <v>-2.630874716</v>
      </c>
      <c r="P109" s="30">
        <f>IFERROR(__xludf.DUMMYFUNCTION("""COMPUTED_VALUE"""),4.463999088063446)</f>
        <v>4.463999088</v>
      </c>
      <c r="Q109" s="30"/>
      <c r="R109" s="30"/>
      <c r="S109" s="30"/>
      <c r="T109" s="30"/>
      <c r="U109" s="30">
        <v>0.0</v>
      </c>
      <c r="V109" s="30"/>
      <c r="W109" s="30"/>
      <c r="X109" s="30"/>
      <c r="Y109" s="5">
        <f>IFERROR(__xludf.DUMMYFUNCTION("""COMPUTED_VALUE"""),75.0)</f>
        <v>75</v>
      </c>
      <c r="Z109" s="5">
        <f>IFERROR(__xludf.DUMMYFUNCTION("""COMPUTED_VALUE"""),76.0)</f>
        <v>76</v>
      </c>
    </row>
    <row r="110">
      <c r="A110" s="30" t="s">
        <v>748</v>
      </c>
      <c r="B110" s="30">
        <f>IFERROR(__xludf.DUMMYFUNCTION("""COMPUTED_VALUE"""),76.0)</f>
        <v>76</v>
      </c>
      <c r="C110" s="30"/>
      <c r="D110" s="30"/>
      <c r="E110" s="30"/>
      <c r="F110" s="30"/>
      <c r="G110" s="30"/>
      <c r="H110" s="30"/>
      <c r="I110" s="30"/>
      <c r="J110" s="30">
        <f>IFERROR(__xludf.DUMMYFUNCTION("""COMPUTED_VALUE"""),-11.059343513011441)</f>
        <v>-11.05934351</v>
      </c>
      <c r="K110" s="30"/>
      <c r="L110" s="30"/>
      <c r="M110" s="30"/>
      <c r="N110" s="30"/>
      <c r="O110" s="30">
        <f>IFERROR(__xludf.DUMMYFUNCTION("""COMPUTED_VALUE"""),-2.630874715592867)</f>
        <v>-2.630874716</v>
      </c>
      <c r="P110" s="30">
        <f>IFERROR(__xludf.DUMMYFUNCTION("""COMPUTED_VALUE"""),4.463999088063446)</f>
        <v>4.463999088</v>
      </c>
      <c r="Q110" s="30"/>
      <c r="R110" s="30"/>
      <c r="S110" s="30"/>
      <c r="T110" s="30"/>
      <c r="U110" s="30">
        <v>0.0</v>
      </c>
      <c r="V110" s="30"/>
      <c r="W110" s="30"/>
      <c r="X110" s="30"/>
      <c r="Y110" s="5">
        <f>IFERROR(__xludf.DUMMYFUNCTION("""COMPUTED_VALUE"""),75.0)</f>
        <v>75</v>
      </c>
      <c r="Z110" s="5">
        <f>IFERROR(__xludf.DUMMYFUNCTION("""COMPUTED_VALUE"""),77.0)</f>
        <v>77</v>
      </c>
    </row>
    <row r="111">
      <c r="A111" s="30" t="s">
        <v>756</v>
      </c>
      <c r="B111" s="30">
        <f>IFERROR(__xludf.DUMMYFUNCTION("""COMPUTED_VALUE"""),78.0)</f>
        <v>78</v>
      </c>
      <c r="C111" s="30"/>
      <c r="D111" s="30"/>
      <c r="E111" s="30"/>
      <c r="F111" s="30"/>
      <c r="G111" s="30"/>
      <c r="H111" s="30"/>
      <c r="I111" s="30"/>
      <c r="J111" s="30">
        <f>IFERROR(__xludf.DUMMYFUNCTION("""COMPUTED_VALUE"""),-11.059343513011441)</f>
        <v>-11.05934351</v>
      </c>
      <c r="K111" s="30"/>
      <c r="L111" s="30"/>
      <c r="M111" s="30"/>
      <c r="N111" s="30"/>
      <c r="O111" s="30">
        <f>IFERROR(__xludf.DUMMYFUNCTION("""COMPUTED_VALUE"""),-2.630874715592867)</f>
        <v>-2.630874716</v>
      </c>
      <c r="P111" s="30">
        <f>IFERROR(__xludf.DUMMYFUNCTION("""COMPUTED_VALUE"""),4.463999088063446)</f>
        <v>4.463999088</v>
      </c>
      <c r="Q111" s="30"/>
      <c r="R111" s="30"/>
      <c r="S111" s="30"/>
      <c r="T111" s="30"/>
      <c r="U111" s="30">
        <v>0.0</v>
      </c>
      <c r="V111" s="30"/>
      <c r="W111" s="30"/>
      <c r="X111" s="30"/>
      <c r="Y111" s="5">
        <f>IFERROR(__xludf.DUMMYFUNCTION("""COMPUTED_VALUE"""),78.0)</f>
        <v>78</v>
      </c>
      <c r="Z111" s="5">
        <f>IFERROR(__xludf.DUMMYFUNCTION("""COMPUTED_VALUE"""),78.0)</f>
        <v>78</v>
      </c>
    </row>
    <row r="112">
      <c r="A112" s="30" t="s">
        <v>757</v>
      </c>
      <c r="B112" s="30">
        <f>IFERROR(__xludf.DUMMYFUNCTION("""COMPUTED_VALUE"""),78.0)</f>
        <v>78</v>
      </c>
      <c r="C112" s="30"/>
      <c r="D112" s="30"/>
      <c r="E112" s="30"/>
      <c r="F112" s="30"/>
      <c r="G112" s="30"/>
      <c r="H112" s="30"/>
      <c r="I112" s="30"/>
      <c r="J112" s="30">
        <f>IFERROR(__xludf.DUMMYFUNCTION("""COMPUTED_VALUE"""),-11.059343513011441)</f>
        <v>-11.05934351</v>
      </c>
      <c r="K112" s="30"/>
      <c r="L112" s="30"/>
      <c r="M112" s="30"/>
      <c r="N112" s="30"/>
      <c r="O112" s="30">
        <f>IFERROR(__xludf.DUMMYFUNCTION("""COMPUTED_VALUE"""),-2.630874715592867)</f>
        <v>-2.630874716</v>
      </c>
      <c r="P112" s="30">
        <f>IFERROR(__xludf.DUMMYFUNCTION("""COMPUTED_VALUE"""),4.463999088063446)</f>
        <v>4.463999088</v>
      </c>
      <c r="Q112" s="30"/>
      <c r="R112" s="30"/>
      <c r="S112" s="30"/>
      <c r="T112" s="30"/>
      <c r="U112" s="30">
        <v>0.0</v>
      </c>
      <c r="V112" s="30"/>
      <c r="W112" s="30"/>
      <c r="X112" s="30"/>
      <c r="Y112" s="5">
        <f>IFERROR(__xludf.DUMMYFUNCTION("""COMPUTED_VALUE"""),78.0)</f>
        <v>78</v>
      </c>
      <c r="Z112" s="5">
        <f>IFERROR(__xludf.DUMMYFUNCTION("""COMPUTED_VALUE"""),78.0)</f>
        <v>78</v>
      </c>
    </row>
    <row r="113">
      <c r="A113" s="30" t="s">
        <v>758</v>
      </c>
      <c r="B113" s="30">
        <f>IFERROR(__xludf.DUMMYFUNCTION("""COMPUTED_VALUE"""),78.5)</f>
        <v>78.5</v>
      </c>
      <c r="C113" s="30"/>
      <c r="D113" s="30"/>
      <c r="E113" s="30"/>
      <c r="F113" s="30"/>
      <c r="G113" s="30"/>
      <c r="H113" s="30"/>
      <c r="I113" s="30"/>
      <c r="J113" s="30">
        <f>IFERROR(__xludf.DUMMYFUNCTION("""COMPUTED_VALUE"""),-11.059343513011441)</f>
        <v>-11.05934351</v>
      </c>
      <c r="K113" s="30"/>
      <c r="L113" s="30"/>
      <c r="M113" s="30"/>
      <c r="N113" s="30"/>
      <c r="O113" s="30">
        <f>IFERROR(__xludf.DUMMYFUNCTION("""COMPUTED_VALUE"""),-2.630874715592867)</f>
        <v>-2.630874716</v>
      </c>
      <c r="P113" s="30">
        <f>IFERROR(__xludf.DUMMYFUNCTION("""COMPUTED_VALUE"""),4.463999088063446)</f>
        <v>4.463999088</v>
      </c>
      <c r="Q113" s="30"/>
      <c r="R113" s="30"/>
      <c r="S113" s="30"/>
      <c r="T113" s="30"/>
      <c r="U113" s="30">
        <v>0.0</v>
      </c>
      <c r="V113" s="30"/>
      <c r="W113" s="30"/>
      <c r="X113" s="30"/>
      <c r="Y113" s="5">
        <f>IFERROR(__xludf.DUMMYFUNCTION("""COMPUTED_VALUE"""),78.0)</f>
        <v>78</v>
      </c>
      <c r="Z113" s="5">
        <f>IFERROR(__xludf.DUMMYFUNCTION("""COMPUTED_VALUE"""),79.0)</f>
        <v>79</v>
      </c>
    </row>
    <row r="114">
      <c r="A114" s="30" t="s">
        <v>767</v>
      </c>
      <c r="B114" s="30">
        <f>IFERROR(__xludf.DUMMYFUNCTION("""COMPUTED_VALUE"""),77.0)</f>
        <v>77</v>
      </c>
      <c r="C114" s="30"/>
      <c r="D114" s="30"/>
      <c r="E114" s="30"/>
      <c r="F114" s="30"/>
      <c r="G114" s="30"/>
      <c r="H114" s="30"/>
      <c r="I114" s="30"/>
      <c r="J114" s="30">
        <f>IFERROR(__xludf.DUMMYFUNCTION("""COMPUTED_VALUE"""),-11.059343513011441)</f>
        <v>-11.05934351</v>
      </c>
      <c r="K114" s="30"/>
      <c r="L114" s="30"/>
      <c r="M114" s="30"/>
      <c r="N114" s="30"/>
      <c r="O114" s="30">
        <f>IFERROR(__xludf.DUMMYFUNCTION("""COMPUTED_VALUE"""),-2.630874715592867)</f>
        <v>-2.630874716</v>
      </c>
      <c r="P114" s="30">
        <f>IFERROR(__xludf.DUMMYFUNCTION("""COMPUTED_VALUE"""),4.463999088063446)</f>
        <v>4.463999088</v>
      </c>
      <c r="Q114" s="30"/>
      <c r="R114" s="30"/>
      <c r="S114" s="30"/>
      <c r="T114" s="30"/>
      <c r="U114" s="30">
        <v>0.0</v>
      </c>
      <c r="V114" s="30"/>
      <c r="W114" s="30"/>
      <c r="X114" s="30"/>
      <c r="Y114" s="5">
        <f>IFERROR(__xludf.DUMMYFUNCTION("""COMPUTED_VALUE"""),77.0)</f>
        <v>77</v>
      </c>
      <c r="Z114" s="5">
        <f>IFERROR(__xludf.DUMMYFUNCTION("""COMPUTED_VALUE"""),77.0)</f>
        <v>77</v>
      </c>
    </row>
    <row r="115">
      <c r="A115" s="30" t="s">
        <v>768</v>
      </c>
      <c r="B115" s="30">
        <f>IFERROR(__xludf.DUMMYFUNCTION("""COMPUTED_VALUE"""),79.0)</f>
        <v>79</v>
      </c>
      <c r="C115" s="30"/>
      <c r="D115" s="30"/>
      <c r="E115" s="30"/>
      <c r="F115" s="30"/>
      <c r="G115" s="30"/>
      <c r="H115" s="30"/>
      <c r="I115" s="30"/>
      <c r="J115" s="30">
        <f>IFERROR(__xludf.DUMMYFUNCTION("""COMPUTED_VALUE"""),-11.059343513011441)</f>
        <v>-11.05934351</v>
      </c>
      <c r="K115" s="30"/>
      <c r="L115" s="30"/>
      <c r="M115" s="30"/>
      <c r="N115" s="30"/>
      <c r="O115" s="30">
        <f>IFERROR(__xludf.DUMMYFUNCTION("""COMPUTED_VALUE"""),-2.630874715592867)</f>
        <v>-2.630874716</v>
      </c>
      <c r="P115" s="30">
        <f>IFERROR(__xludf.DUMMYFUNCTION("""COMPUTED_VALUE"""),4.463999088063446)</f>
        <v>4.463999088</v>
      </c>
      <c r="Q115" s="30"/>
      <c r="R115" s="30"/>
      <c r="S115" s="30"/>
      <c r="T115" s="30"/>
      <c r="U115" s="30">
        <v>0.0</v>
      </c>
      <c r="V115" s="30"/>
      <c r="W115" s="30"/>
      <c r="X115" s="30"/>
      <c r="Y115" s="5">
        <f>IFERROR(__xludf.DUMMYFUNCTION("""COMPUTED_VALUE"""),79.0)</f>
        <v>79</v>
      </c>
      <c r="Z115" s="5">
        <f>IFERROR(__xludf.DUMMYFUNCTION("""COMPUTED_VALUE"""),79.0)</f>
        <v>79</v>
      </c>
    </row>
    <row r="116">
      <c r="A116" s="30" t="s">
        <v>769</v>
      </c>
      <c r="B116" s="30">
        <f>IFERROR(__xludf.DUMMYFUNCTION("""COMPUTED_VALUE"""),79.0)</f>
        <v>79</v>
      </c>
      <c r="C116" s="30"/>
      <c r="D116" s="30"/>
      <c r="E116" s="30"/>
      <c r="F116" s="30"/>
      <c r="G116" s="30"/>
      <c r="H116" s="30"/>
      <c r="I116" s="30"/>
      <c r="J116" s="30">
        <f>IFERROR(__xludf.DUMMYFUNCTION("""COMPUTED_VALUE"""),-11.059343513011441)</f>
        <v>-11.05934351</v>
      </c>
      <c r="K116" s="30"/>
      <c r="L116" s="30"/>
      <c r="M116" s="30"/>
      <c r="N116" s="30"/>
      <c r="O116" s="30">
        <f>IFERROR(__xludf.DUMMYFUNCTION("""COMPUTED_VALUE"""),-2.630874715592867)</f>
        <v>-2.630874716</v>
      </c>
      <c r="P116" s="30">
        <f>IFERROR(__xludf.DUMMYFUNCTION("""COMPUTED_VALUE"""),4.463999088063446)</f>
        <v>4.463999088</v>
      </c>
      <c r="Q116" s="30"/>
      <c r="R116" s="30"/>
      <c r="S116" s="30"/>
      <c r="T116" s="30"/>
      <c r="U116" s="30">
        <v>0.0</v>
      </c>
      <c r="V116" s="30"/>
      <c r="W116" s="30"/>
      <c r="X116" s="30"/>
      <c r="Y116" s="5">
        <f>IFERROR(__xludf.DUMMYFUNCTION("""COMPUTED_VALUE"""),79.0)</f>
        <v>79</v>
      </c>
      <c r="Z116" s="5">
        <f>IFERROR(__xludf.DUMMYFUNCTION("""COMPUTED_VALUE"""),79.0)</f>
        <v>79</v>
      </c>
    </row>
    <row r="117">
      <c r="A117" s="30" t="s">
        <v>770</v>
      </c>
      <c r="B117" s="30">
        <f>IFERROR(__xludf.DUMMYFUNCTION("""COMPUTED_VALUE"""),76.0)</f>
        <v>76</v>
      </c>
      <c r="C117" s="30"/>
      <c r="D117" s="30"/>
      <c r="E117" s="30"/>
      <c r="F117" s="30"/>
      <c r="G117" s="30"/>
      <c r="H117" s="30"/>
      <c r="I117" s="30"/>
      <c r="J117" s="30">
        <f>IFERROR(__xludf.DUMMYFUNCTION("""COMPUTED_VALUE"""),-11.059343513011441)</f>
        <v>-11.05934351</v>
      </c>
      <c r="K117" s="30"/>
      <c r="L117" s="30"/>
      <c r="M117" s="30"/>
      <c r="N117" s="30"/>
      <c r="O117" s="30">
        <f>IFERROR(__xludf.DUMMYFUNCTION("""COMPUTED_VALUE"""),-2.630874715592867)</f>
        <v>-2.630874716</v>
      </c>
      <c r="P117" s="30">
        <f>IFERROR(__xludf.DUMMYFUNCTION("""COMPUTED_VALUE"""),4.463999088063446)</f>
        <v>4.463999088</v>
      </c>
      <c r="Q117" s="30"/>
      <c r="R117" s="30"/>
      <c r="S117" s="30"/>
      <c r="T117" s="30"/>
      <c r="U117" s="30">
        <v>0.0</v>
      </c>
      <c r="V117" s="30"/>
      <c r="W117" s="30"/>
      <c r="X117" s="30"/>
      <c r="Y117" s="5">
        <f>IFERROR(__xludf.DUMMYFUNCTION("""COMPUTED_VALUE"""),76.0)</f>
        <v>76</v>
      </c>
      <c r="Z117" s="5">
        <f>IFERROR(__xludf.DUMMYFUNCTION("""COMPUTED_VALUE"""),76.0)</f>
        <v>76</v>
      </c>
    </row>
    <row r="118">
      <c r="A118" s="30" t="s">
        <v>771</v>
      </c>
      <c r="B118" s="30">
        <f>IFERROR(__xludf.DUMMYFUNCTION("""COMPUTED_VALUE"""),77.5)</f>
        <v>77.5</v>
      </c>
      <c r="C118" s="30"/>
      <c r="D118" s="30"/>
      <c r="E118" s="30"/>
      <c r="F118" s="30"/>
      <c r="G118" s="30"/>
      <c r="H118" s="30"/>
      <c r="I118" s="30"/>
      <c r="J118" s="30">
        <f>IFERROR(__xludf.DUMMYFUNCTION("""COMPUTED_VALUE"""),-11.059343513011441)</f>
        <v>-11.05934351</v>
      </c>
      <c r="K118" s="30"/>
      <c r="L118" s="30"/>
      <c r="M118" s="30"/>
      <c r="N118" s="30"/>
      <c r="O118" s="30">
        <f>IFERROR(__xludf.DUMMYFUNCTION("""COMPUTED_VALUE"""),-2.630874715592867)</f>
        <v>-2.630874716</v>
      </c>
      <c r="P118" s="30">
        <f>IFERROR(__xludf.DUMMYFUNCTION("""COMPUTED_VALUE"""),4.463999088063446)</f>
        <v>4.463999088</v>
      </c>
      <c r="Q118" s="30"/>
      <c r="R118" s="30"/>
      <c r="S118" s="30"/>
      <c r="T118" s="30"/>
      <c r="U118" s="30">
        <v>0.0</v>
      </c>
      <c r="V118" s="30"/>
      <c r="W118" s="30"/>
      <c r="X118" s="30"/>
      <c r="Y118" s="5">
        <f>IFERROR(__xludf.DUMMYFUNCTION("""COMPUTED_VALUE"""),76.0)</f>
        <v>76</v>
      </c>
      <c r="Z118" s="5">
        <f>IFERROR(__xludf.DUMMYFUNCTION("""COMPUTED_VALUE"""),79.0)</f>
        <v>79</v>
      </c>
    </row>
    <row r="119">
      <c r="A119" s="30" t="s">
        <v>782</v>
      </c>
      <c r="B119" s="30">
        <f>IFERROR(__xludf.DUMMYFUNCTION("""COMPUTED_VALUE"""),79.0)</f>
        <v>79</v>
      </c>
      <c r="C119" s="30"/>
      <c r="D119" s="30"/>
      <c r="E119" s="30"/>
      <c r="F119" s="30"/>
      <c r="G119" s="30"/>
      <c r="H119" s="30"/>
      <c r="I119" s="30"/>
      <c r="J119" s="30">
        <f>IFERROR(__xludf.DUMMYFUNCTION("""COMPUTED_VALUE"""),-11.059343513011441)</f>
        <v>-11.05934351</v>
      </c>
      <c r="K119" s="30"/>
      <c r="L119" s="30"/>
      <c r="M119" s="30"/>
      <c r="N119" s="30"/>
      <c r="O119" s="30">
        <f>IFERROR(__xludf.DUMMYFUNCTION("""COMPUTED_VALUE"""),-2.630874715592867)</f>
        <v>-2.630874716</v>
      </c>
      <c r="P119" s="30">
        <f>IFERROR(__xludf.DUMMYFUNCTION("""COMPUTED_VALUE"""),4.463999088063446)</f>
        <v>4.463999088</v>
      </c>
      <c r="Q119" s="30"/>
      <c r="R119" s="30"/>
      <c r="S119" s="30"/>
      <c r="T119" s="30"/>
      <c r="U119" s="30">
        <v>0.0</v>
      </c>
      <c r="V119" s="30"/>
      <c r="W119" s="30"/>
      <c r="X119" s="30"/>
      <c r="Y119" s="5">
        <f>IFERROR(__xludf.DUMMYFUNCTION("""COMPUTED_VALUE"""),79.0)</f>
        <v>79</v>
      </c>
      <c r="Z119" s="5">
        <f>IFERROR(__xludf.DUMMYFUNCTION("""COMPUTED_VALUE"""),79.0)</f>
        <v>79</v>
      </c>
    </row>
    <row r="120">
      <c r="A120" s="30" t="s">
        <v>783</v>
      </c>
      <c r="B120" s="30">
        <f>IFERROR(__xludf.DUMMYFUNCTION("""COMPUTED_VALUE"""),78.0)</f>
        <v>78</v>
      </c>
      <c r="C120" s="30"/>
      <c r="D120" s="30"/>
      <c r="E120" s="30"/>
      <c r="F120" s="30"/>
      <c r="G120" s="30"/>
      <c r="H120" s="30"/>
      <c r="I120" s="30"/>
      <c r="J120" s="30">
        <f>IFERROR(__xludf.DUMMYFUNCTION("""COMPUTED_VALUE"""),-11.059343513011441)</f>
        <v>-11.05934351</v>
      </c>
      <c r="K120" s="30"/>
      <c r="L120" s="30"/>
      <c r="M120" s="30"/>
      <c r="N120" s="30"/>
      <c r="O120" s="30">
        <f>IFERROR(__xludf.DUMMYFUNCTION("""COMPUTED_VALUE"""),-2.630874715592867)</f>
        <v>-2.630874716</v>
      </c>
      <c r="P120" s="30">
        <f>IFERROR(__xludf.DUMMYFUNCTION("""COMPUTED_VALUE"""),4.463999088063446)</f>
        <v>4.463999088</v>
      </c>
      <c r="Q120" s="30"/>
      <c r="R120" s="30"/>
      <c r="S120" s="30"/>
      <c r="T120" s="30"/>
      <c r="U120" s="30">
        <v>0.0</v>
      </c>
      <c r="V120" s="30"/>
      <c r="W120" s="30"/>
      <c r="X120" s="30"/>
      <c r="Y120" s="5">
        <f>IFERROR(__xludf.DUMMYFUNCTION("""COMPUTED_VALUE"""),78.0)</f>
        <v>78</v>
      </c>
      <c r="Z120" s="5">
        <f>IFERROR(__xludf.DUMMYFUNCTION("""COMPUTED_VALUE"""),78.0)</f>
        <v>78</v>
      </c>
    </row>
    <row r="121">
      <c r="A121" s="30" t="s">
        <v>784</v>
      </c>
      <c r="B121" s="30">
        <f>IFERROR(__xludf.DUMMYFUNCTION("""COMPUTED_VALUE"""),76.0)</f>
        <v>76</v>
      </c>
      <c r="C121" s="30"/>
      <c r="D121" s="30"/>
      <c r="E121" s="30"/>
      <c r="F121" s="30"/>
      <c r="G121" s="30"/>
      <c r="H121" s="30"/>
      <c r="I121" s="30"/>
      <c r="J121" s="30">
        <f>IFERROR(__xludf.DUMMYFUNCTION("""COMPUTED_VALUE"""),-11.059343513011441)</f>
        <v>-11.05934351</v>
      </c>
      <c r="K121" s="30"/>
      <c r="L121" s="30"/>
      <c r="M121" s="30"/>
      <c r="N121" s="30"/>
      <c r="O121" s="30">
        <f>IFERROR(__xludf.DUMMYFUNCTION("""COMPUTED_VALUE"""),-2.630874715592867)</f>
        <v>-2.630874716</v>
      </c>
      <c r="P121" s="30">
        <f>IFERROR(__xludf.DUMMYFUNCTION("""COMPUTED_VALUE"""),4.463999088063446)</f>
        <v>4.463999088</v>
      </c>
      <c r="Q121" s="30"/>
      <c r="R121" s="30"/>
      <c r="S121" s="30"/>
      <c r="T121" s="30"/>
      <c r="U121" s="30">
        <v>0.0</v>
      </c>
      <c r="V121" s="30"/>
      <c r="W121" s="30"/>
      <c r="X121" s="30"/>
      <c r="Y121" s="5">
        <f>IFERROR(__xludf.DUMMYFUNCTION("""COMPUTED_VALUE"""),76.0)</f>
        <v>76</v>
      </c>
      <c r="Z121" s="5">
        <f>IFERROR(__xludf.DUMMYFUNCTION("""COMPUTED_VALUE"""),76.0)</f>
        <v>76</v>
      </c>
    </row>
    <row r="122">
      <c r="A122" s="30" t="s">
        <v>785</v>
      </c>
      <c r="B122" s="30">
        <f>IFERROR(__xludf.DUMMYFUNCTION("""COMPUTED_VALUE"""),77.0)</f>
        <v>77</v>
      </c>
      <c r="C122" s="30"/>
      <c r="D122" s="30"/>
      <c r="E122" s="30"/>
      <c r="F122" s="30"/>
      <c r="G122" s="30"/>
      <c r="H122" s="30"/>
      <c r="I122" s="30"/>
      <c r="J122" s="30">
        <f>IFERROR(__xludf.DUMMYFUNCTION("""COMPUTED_VALUE"""),-11.059343513011441)</f>
        <v>-11.05934351</v>
      </c>
      <c r="K122" s="30"/>
      <c r="L122" s="30"/>
      <c r="M122" s="30"/>
      <c r="N122" s="30"/>
      <c r="O122" s="30">
        <f>IFERROR(__xludf.DUMMYFUNCTION("""COMPUTED_VALUE"""),-2.630874715592867)</f>
        <v>-2.630874716</v>
      </c>
      <c r="P122" s="30">
        <f>IFERROR(__xludf.DUMMYFUNCTION("""COMPUTED_VALUE"""),4.463999088063446)</f>
        <v>4.463999088</v>
      </c>
      <c r="Q122" s="30"/>
      <c r="R122" s="30"/>
      <c r="S122" s="30"/>
      <c r="T122" s="30"/>
      <c r="U122" s="30">
        <v>0.0</v>
      </c>
      <c r="V122" s="30"/>
      <c r="W122" s="30"/>
      <c r="X122" s="30"/>
      <c r="Y122" s="5">
        <f>IFERROR(__xludf.DUMMYFUNCTION("""COMPUTED_VALUE"""),75.0)</f>
        <v>75</v>
      </c>
      <c r="Z122" s="5">
        <f>IFERROR(__xludf.DUMMYFUNCTION("""COMPUTED_VALUE"""),79.0)</f>
        <v>79</v>
      </c>
    </row>
    <row r="123">
      <c r="A123" s="30" t="s">
        <v>797</v>
      </c>
      <c r="B123" s="30">
        <f>IFERROR(__xludf.DUMMYFUNCTION("""COMPUTED_VALUE"""),76.0)</f>
        <v>76</v>
      </c>
      <c r="C123" s="30"/>
      <c r="D123" s="30"/>
      <c r="E123" s="30"/>
      <c r="F123" s="30"/>
      <c r="G123" s="30"/>
      <c r="H123" s="30"/>
      <c r="I123" s="30"/>
      <c r="J123" s="30">
        <f>IFERROR(__xludf.DUMMYFUNCTION("""COMPUTED_VALUE"""),-11.059343513011441)</f>
        <v>-11.05934351</v>
      </c>
      <c r="K123" s="30"/>
      <c r="L123" s="30"/>
      <c r="M123" s="30"/>
      <c r="N123" s="30"/>
      <c r="O123" s="30">
        <f>IFERROR(__xludf.DUMMYFUNCTION("""COMPUTED_VALUE"""),-2.630874715592867)</f>
        <v>-2.630874716</v>
      </c>
      <c r="P123" s="30">
        <f>IFERROR(__xludf.DUMMYFUNCTION("""COMPUTED_VALUE"""),4.463999088063446)</f>
        <v>4.463999088</v>
      </c>
      <c r="Q123" s="30"/>
      <c r="R123" s="30"/>
      <c r="S123" s="30"/>
      <c r="T123" s="30"/>
      <c r="U123" s="30">
        <v>0.0</v>
      </c>
      <c r="V123" s="30"/>
      <c r="W123" s="30"/>
      <c r="X123" s="30"/>
      <c r="Y123" s="5">
        <f>IFERROR(__xludf.DUMMYFUNCTION("""COMPUTED_VALUE"""),75.0)</f>
        <v>75</v>
      </c>
      <c r="Z123" s="5">
        <f>IFERROR(__xludf.DUMMYFUNCTION("""COMPUTED_VALUE"""),77.0)</f>
        <v>77</v>
      </c>
    </row>
    <row r="124">
      <c r="A124" s="30" t="s">
        <v>809</v>
      </c>
      <c r="B124" s="30">
        <f>IFERROR(__xludf.DUMMYFUNCTION("""COMPUTED_VALUE"""),75.5)</f>
        <v>75.5</v>
      </c>
      <c r="C124" s="30"/>
      <c r="D124" s="30"/>
      <c r="E124" s="30"/>
      <c r="F124" s="30"/>
      <c r="G124" s="30"/>
      <c r="H124" s="30"/>
      <c r="I124" s="30"/>
      <c r="J124" s="30">
        <f>IFERROR(__xludf.DUMMYFUNCTION("""COMPUTED_VALUE"""),-11.059343513011441)</f>
        <v>-11.05934351</v>
      </c>
      <c r="K124" s="30"/>
      <c r="L124" s="30"/>
      <c r="M124" s="30"/>
      <c r="N124" s="30"/>
      <c r="O124" s="30">
        <f>IFERROR(__xludf.DUMMYFUNCTION("""COMPUTED_VALUE"""),-2.630874715592867)</f>
        <v>-2.630874716</v>
      </c>
      <c r="P124" s="30">
        <f>IFERROR(__xludf.DUMMYFUNCTION("""COMPUTED_VALUE"""),4.463999088063446)</f>
        <v>4.463999088</v>
      </c>
      <c r="Q124" s="30"/>
      <c r="R124" s="30"/>
      <c r="S124" s="30"/>
      <c r="T124" s="30"/>
      <c r="U124" s="30">
        <v>0.0</v>
      </c>
      <c r="V124" s="30"/>
      <c r="W124" s="30"/>
      <c r="X124" s="30"/>
      <c r="Y124" s="5">
        <f>IFERROR(__xludf.DUMMYFUNCTION("""COMPUTED_VALUE"""),74.0)</f>
        <v>74</v>
      </c>
      <c r="Z124" s="5">
        <f>IFERROR(__xludf.DUMMYFUNCTION("""COMPUTED_VALUE"""),77.0)</f>
        <v>77</v>
      </c>
    </row>
    <row r="125">
      <c r="A125" s="30" t="s">
        <v>818</v>
      </c>
      <c r="B125" s="30">
        <f>IFERROR(__xludf.DUMMYFUNCTION("""COMPUTED_VALUE"""),76.0)</f>
        <v>76</v>
      </c>
      <c r="C125" s="30"/>
      <c r="D125" s="30"/>
      <c r="E125" s="30"/>
      <c r="F125" s="30"/>
      <c r="G125" s="30"/>
      <c r="H125" s="30"/>
      <c r="I125" s="30"/>
      <c r="J125" s="30">
        <f>IFERROR(__xludf.DUMMYFUNCTION("""COMPUTED_VALUE"""),-11.059343513011441)</f>
        <v>-11.05934351</v>
      </c>
      <c r="K125" s="30"/>
      <c r="L125" s="30"/>
      <c r="M125" s="30"/>
      <c r="N125" s="30"/>
      <c r="O125" s="30">
        <f>IFERROR(__xludf.DUMMYFUNCTION("""COMPUTED_VALUE"""),-2.630874715592867)</f>
        <v>-2.630874716</v>
      </c>
      <c r="P125" s="30">
        <f>IFERROR(__xludf.DUMMYFUNCTION("""COMPUTED_VALUE"""),4.463999088063446)</f>
        <v>4.463999088</v>
      </c>
      <c r="Q125" s="30"/>
      <c r="R125" s="30"/>
      <c r="S125" s="30"/>
      <c r="T125" s="30"/>
      <c r="U125" s="30">
        <v>0.0</v>
      </c>
      <c r="V125" s="30"/>
      <c r="W125" s="30"/>
      <c r="X125" s="30"/>
      <c r="Y125" s="5">
        <f>IFERROR(__xludf.DUMMYFUNCTION("""COMPUTED_VALUE"""),76.0)</f>
        <v>76</v>
      </c>
      <c r="Z125" s="5">
        <f>IFERROR(__xludf.DUMMYFUNCTION("""COMPUTED_VALUE"""),76.0)</f>
        <v>76</v>
      </c>
    </row>
    <row r="126">
      <c r="A126" s="30" t="s">
        <v>819</v>
      </c>
      <c r="B126" s="30">
        <f>IFERROR(__xludf.DUMMYFUNCTION("""COMPUTED_VALUE"""),79.0)</f>
        <v>79</v>
      </c>
      <c r="C126" s="30"/>
      <c r="D126" s="30"/>
      <c r="E126" s="30"/>
      <c r="F126" s="30"/>
      <c r="G126" s="30"/>
      <c r="H126" s="30"/>
      <c r="I126" s="30"/>
      <c r="J126" s="30">
        <f>IFERROR(__xludf.DUMMYFUNCTION("""COMPUTED_VALUE"""),-11.059343513011441)</f>
        <v>-11.05934351</v>
      </c>
      <c r="K126" s="30"/>
      <c r="L126" s="30"/>
      <c r="M126" s="30"/>
      <c r="N126" s="30"/>
      <c r="O126" s="30">
        <f>IFERROR(__xludf.DUMMYFUNCTION("""COMPUTED_VALUE"""),-2.630874715592867)</f>
        <v>-2.630874716</v>
      </c>
      <c r="P126" s="30">
        <f>IFERROR(__xludf.DUMMYFUNCTION("""COMPUTED_VALUE"""),4.463999088063446)</f>
        <v>4.463999088</v>
      </c>
      <c r="Q126" s="30"/>
      <c r="R126" s="30"/>
      <c r="S126" s="30"/>
      <c r="T126" s="30"/>
      <c r="U126" s="30">
        <v>0.0</v>
      </c>
      <c r="V126" s="30"/>
      <c r="W126" s="30"/>
      <c r="X126" s="30"/>
      <c r="Y126" s="5">
        <f>IFERROR(__xludf.DUMMYFUNCTION("""COMPUTED_VALUE"""),79.0)</f>
        <v>79</v>
      </c>
      <c r="Z126" s="5">
        <f>IFERROR(__xludf.DUMMYFUNCTION("""COMPUTED_VALUE"""),79.0)</f>
        <v>79</v>
      </c>
    </row>
    <row r="127">
      <c r="A127" s="30" t="s">
        <v>820</v>
      </c>
      <c r="B127" s="30">
        <f>IFERROR(__xludf.DUMMYFUNCTION("""COMPUTED_VALUE"""),75.0)</f>
        <v>75</v>
      </c>
      <c r="C127" s="30"/>
      <c r="D127" s="30"/>
      <c r="E127" s="30"/>
      <c r="F127" s="30"/>
      <c r="G127" s="30"/>
      <c r="H127" s="30"/>
      <c r="I127" s="30"/>
      <c r="J127" s="30">
        <f>IFERROR(__xludf.DUMMYFUNCTION("""COMPUTED_VALUE"""),-11.059343513011441)</f>
        <v>-11.05934351</v>
      </c>
      <c r="K127" s="30"/>
      <c r="L127" s="30"/>
      <c r="M127" s="30"/>
      <c r="N127" s="30"/>
      <c r="O127" s="30">
        <f>IFERROR(__xludf.DUMMYFUNCTION("""COMPUTED_VALUE"""),-2.630874715592867)</f>
        <v>-2.630874716</v>
      </c>
      <c r="P127" s="30">
        <f>IFERROR(__xludf.DUMMYFUNCTION("""COMPUTED_VALUE"""),4.463999088063446)</f>
        <v>4.463999088</v>
      </c>
      <c r="Q127" s="30"/>
      <c r="R127" s="30"/>
      <c r="S127" s="30"/>
      <c r="T127" s="30"/>
      <c r="U127" s="30">
        <v>0.0</v>
      </c>
      <c r="V127" s="30"/>
      <c r="W127" s="30"/>
      <c r="X127" s="30"/>
      <c r="Y127" s="5">
        <f>IFERROR(__xludf.DUMMYFUNCTION("""COMPUTED_VALUE"""),75.0)</f>
        <v>75</v>
      </c>
      <c r="Z127" s="5">
        <f>IFERROR(__xludf.DUMMYFUNCTION("""COMPUTED_VALUE"""),75.0)</f>
        <v>75</v>
      </c>
    </row>
    <row r="128">
      <c r="A128" s="30" t="s">
        <v>821</v>
      </c>
      <c r="B128" s="30">
        <f>IFERROR(__xludf.DUMMYFUNCTION("""COMPUTED_VALUE"""),78.0)</f>
        <v>78</v>
      </c>
      <c r="C128" s="30"/>
      <c r="D128" s="30"/>
      <c r="E128" s="30"/>
      <c r="F128" s="30"/>
      <c r="G128" s="30"/>
      <c r="H128" s="30"/>
      <c r="I128" s="30"/>
      <c r="J128" s="30">
        <f>IFERROR(__xludf.DUMMYFUNCTION("""COMPUTED_VALUE"""),-11.059343513011441)</f>
        <v>-11.05934351</v>
      </c>
      <c r="K128" s="30"/>
      <c r="L128" s="30"/>
      <c r="M128" s="30"/>
      <c r="N128" s="30"/>
      <c r="O128" s="30">
        <f>IFERROR(__xludf.DUMMYFUNCTION("""COMPUTED_VALUE"""),-2.630874715592867)</f>
        <v>-2.630874716</v>
      </c>
      <c r="P128" s="30">
        <f>IFERROR(__xludf.DUMMYFUNCTION("""COMPUTED_VALUE"""),4.463999088063446)</f>
        <v>4.463999088</v>
      </c>
      <c r="Q128" s="30"/>
      <c r="R128" s="30"/>
      <c r="S128" s="30"/>
      <c r="T128" s="30"/>
      <c r="U128" s="30">
        <v>0.0</v>
      </c>
      <c r="V128" s="30"/>
      <c r="W128" s="30"/>
      <c r="X128" s="30"/>
      <c r="Y128" s="5">
        <f>IFERROR(__xludf.DUMMYFUNCTION("""COMPUTED_VALUE"""),78.0)</f>
        <v>78</v>
      </c>
      <c r="Z128" s="5">
        <f>IFERROR(__xludf.DUMMYFUNCTION("""COMPUTED_VALUE"""),78.0)</f>
        <v>78</v>
      </c>
    </row>
    <row r="129">
      <c r="A129" s="30" t="s">
        <v>822</v>
      </c>
      <c r="B129" s="30">
        <f>IFERROR(__xludf.DUMMYFUNCTION("""COMPUTED_VALUE"""),78.0)</f>
        <v>78</v>
      </c>
      <c r="C129" s="30"/>
      <c r="D129" s="30"/>
      <c r="E129" s="30"/>
      <c r="F129" s="30"/>
      <c r="G129" s="30"/>
      <c r="H129" s="30"/>
      <c r="I129" s="30"/>
      <c r="J129" s="30">
        <f>IFERROR(__xludf.DUMMYFUNCTION("""COMPUTED_VALUE"""),-11.059343513011441)</f>
        <v>-11.05934351</v>
      </c>
      <c r="K129" s="30"/>
      <c r="L129" s="30"/>
      <c r="M129" s="30"/>
      <c r="N129" s="30"/>
      <c r="O129" s="30">
        <f>IFERROR(__xludf.DUMMYFUNCTION("""COMPUTED_VALUE"""),-2.630874715592867)</f>
        <v>-2.630874716</v>
      </c>
      <c r="P129" s="30">
        <f>IFERROR(__xludf.DUMMYFUNCTION("""COMPUTED_VALUE"""),4.463999088063446)</f>
        <v>4.463999088</v>
      </c>
      <c r="Q129" s="30"/>
      <c r="R129" s="30"/>
      <c r="S129" s="30"/>
      <c r="T129" s="30"/>
      <c r="U129" s="30">
        <v>0.0</v>
      </c>
      <c r="V129" s="30"/>
      <c r="W129" s="30"/>
      <c r="X129" s="30"/>
      <c r="Y129" s="5">
        <f>IFERROR(__xludf.DUMMYFUNCTION("""COMPUTED_VALUE"""),78.0)</f>
        <v>78</v>
      </c>
      <c r="Z129" s="5">
        <f>IFERROR(__xludf.DUMMYFUNCTION("""COMPUTED_VALUE"""),78.0)</f>
        <v>78</v>
      </c>
    </row>
    <row r="130">
      <c r="A130" s="30" t="s">
        <v>823</v>
      </c>
      <c r="B130" s="30">
        <f>IFERROR(__xludf.DUMMYFUNCTION("""COMPUTED_VALUE"""),76.5)</f>
        <v>76.5</v>
      </c>
      <c r="C130" s="30"/>
      <c r="D130" s="30"/>
      <c r="E130" s="30"/>
      <c r="F130" s="30"/>
      <c r="G130" s="30"/>
      <c r="H130" s="30"/>
      <c r="I130" s="30"/>
      <c r="J130" s="30">
        <f>IFERROR(__xludf.DUMMYFUNCTION("""COMPUTED_VALUE"""),-11.059343513011441)</f>
        <v>-11.05934351</v>
      </c>
      <c r="K130" s="30"/>
      <c r="L130" s="30"/>
      <c r="M130" s="30"/>
      <c r="N130" s="30"/>
      <c r="O130" s="30">
        <f>IFERROR(__xludf.DUMMYFUNCTION("""COMPUTED_VALUE"""),-2.630874715592867)</f>
        <v>-2.630874716</v>
      </c>
      <c r="P130" s="30">
        <f>IFERROR(__xludf.DUMMYFUNCTION("""COMPUTED_VALUE"""),4.463999088063446)</f>
        <v>4.463999088</v>
      </c>
      <c r="Q130" s="30"/>
      <c r="R130" s="30"/>
      <c r="S130" s="30"/>
      <c r="T130" s="30"/>
      <c r="U130" s="30">
        <v>0.0</v>
      </c>
      <c r="V130" s="30"/>
      <c r="W130" s="30"/>
      <c r="X130" s="30"/>
      <c r="Y130" s="5">
        <f>IFERROR(__xludf.DUMMYFUNCTION("""COMPUTED_VALUE"""),74.0)</f>
        <v>74</v>
      </c>
      <c r="Z130" s="5">
        <f>IFERROR(__xludf.DUMMYFUNCTION("""COMPUTED_VALUE"""),79.0)</f>
        <v>79</v>
      </c>
    </row>
    <row r="131">
      <c r="A131" s="30" t="s">
        <v>831</v>
      </c>
      <c r="B131" s="30">
        <f>IFERROR(__xludf.DUMMYFUNCTION("""COMPUTED_VALUE"""),79.0)</f>
        <v>79</v>
      </c>
      <c r="C131" s="30"/>
      <c r="D131" s="30"/>
      <c r="E131" s="30"/>
      <c r="F131" s="30"/>
      <c r="G131" s="30"/>
      <c r="H131" s="30"/>
      <c r="I131" s="30"/>
      <c r="J131" s="30">
        <f>IFERROR(__xludf.DUMMYFUNCTION("""COMPUTED_VALUE"""),-11.059343513011441)</f>
        <v>-11.05934351</v>
      </c>
      <c r="K131" s="30"/>
      <c r="L131" s="30"/>
      <c r="M131" s="30"/>
      <c r="N131" s="30"/>
      <c r="O131" s="30">
        <f>IFERROR(__xludf.DUMMYFUNCTION("""COMPUTED_VALUE"""),-2.630874715592867)</f>
        <v>-2.630874716</v>
      </c>
      <c r="P131" s="30">
        <f>IFERROR(__xludf.DUMMYFUNCTION("""COMPUTED_VALUE"""),4.463999088063446)</f>
        <v>4.463999088</v>
      </c>
      <c r="Q131" s="30"/>
      <c r="R131" s="30"/>
      <c r="S131" s="30"/>
      <c r="T131" s="30"/>
      <c r="U131" s="30">
        <v>0.0</v>
      </c>
      <c r="V131" s="30"/>
      <c r="W131" s="30"/>
      <c r="X131" s="30"/>
      <c r="Y131" s="5">
        <f>IFERROR(__xludf.DUMMYFUNCTION("""COMPUTED_VALUE"""),79.0)</f>
        <v>79</v>
      </c>
      <c r="Z131" s="5">
        <f>IFERROR(__xludf.DUMMYFUNCTION("""COMPUTED_VALUE"""),79.0)</f>
        <v>79</v>
      </c>
    </row>
    <row r="132">
      <c r="A132" s="30" t="s">
        <v>832</v>
      </c>
      <c r="B132" s="30">
        <f>IFERROR(__xludf.DUMMYFUNCTION("""COMPUTED_VALUE"""),73.5)</f>
        <v>73.5</v>
      </c>
      <c r="C132" s="30"/>
      <c r="D132" s="30"/>
      <c r="E132" s="30"/>
      <c r="F132" s="30"/>
      <c r="G132" s="30"/>
      <c r="H132" s="30"/>
      <c r="I132" s="30"/>
      <c r="J132" s="30">
        <f>IFERROR(__xludf.DUMMYFUNCTION("""COMPUTED_VALUE"""),-11.059343513011441)</f>
        <v>-11.05934351</v>
      </c>
      <c r="K132" s="30"/>
      <c r="L132" s="30"/>
      <c r="M132" s="30"/>
      <c r="N132" s="30"/>
      <c r="O132" s="30">
        <f>IFERROR(__xludf.DUMMYFUNCTION("""COMPUTED_VALUE"""),-2.630874715592867)</f>
        <v>-2.630874716</v>
      </c>
      <c r="P132" s="30">
        <f>IFERROR(__xludf.DUMMYFUNCTION("""COMPUTED_VALUE"""),4.463999088063446)</f>
        <v>4.463999088</v>
      </c>
      <c r="Q132" s="30"/>
      <c r="R132" s="30"/>
      <c r="S132" s="30"/>
      <c r="T132" s="30"/>
      <c r="U132" s="30">
        <v>0.0</v>
      </c>
      <c r="V132" s="30"/>
      <c r="W132" s="30"/>
      <c r="X132" s="30"/>
      <c r="Y132" s="5">
        <f>IFERROR(__xludf.DUMMYFUNCTION("""COMPUTED_VALUE"""),73.0)</f>
        <v>73</v>
      </c>
      <c r="Z132" s="5">
        <f>IFERROR(__xludf.DUMMYFUNCTION("""COMPUTED_VALUE"""),74.0)</f>
        <v>74</v>
      </c>
    </row>
    <row r="133">
      <c r="A133" s="30" t="s">
        <v>845</v>
      </c>
      <c r="B133" s="30">
        <f>IFERROR(__xludf.DUMMYFUNCTION("""COMPUTED_VALUE"""),75.0)</f>
        <v>75</v>
      </c>
      <c r="C133" s="30"/>
      <c r="D133" s="30"/>
      <c r="E133" s="30"/>
      <c r="F133" s="30"/>
      <c r="G133" s="30"/>
      <c r="H133" s="30"/>
      <c r="I133" s="30"/>
      <c r="J133" s="30">
        <f>IFERROR(__xludf.DUMMYFUNCTION("""COMPUTED_VALUE"""),-11.059343513011441)</f>
        <v>-11.05934351</v>
      </c>
      <c r="K133" s="30"/>
      <c r="L133" s="30"/>
      <c r="M133" s="30"/>
      <c r="N133" s="30"/>
      <c r="O133" s="30">
        <f>IFERROR(__xludf.DUMMYFUNCTION("""COMPUTED_VALUE"""),-2.630874715592867)</f>
        <v>-2.630874716</v>
      </c>
      <c r="P133" s="30">
        <f>IFERROR(__xludf.DUMMYFUNCTION("""COMPUTED_VALUE"""),4.463999088063446)</f>
        <v>4.463999088</v>
      </c>
      <c r="Q133" s="30"/>
      <c r="R133" s="30"/>
      <c r="S133" s="30"/>
      <c r="T133" s="30"/>
      <c r="U133" s="30">
        <v>0.0</v>
      </c>
      <c r="V133" s="30"/>
      <c r="W133" s="30"/>
      <c r="X133" s="30"/>
      <c r="Y133" s="5">
        <f>IFERROR(__xludf.DUMMYFUNCTION("""COMPUTED_VALUE"""),74.0)</f>
        <v>74</v>
      </c>
      <c r="Z133" s="5">
        <f>IFERROR(__xludf.DUMMYFUNCTION("""COMPUTED_VALUE"""),76.0)</f>
        <v>76</v>
      </c>
    </row>
    <row r="134">
      <c r="A134" s="30" t="s">
        <v>852</v>
      </c>
      <c r="B134" s="30">
        <f>IFERROR(__xludf.DUMMYFUNCTION("""COMPUTED_VALUE"""),75.5)</f>
        <v>75.5</v>
      </c>
      <c r="C134" s="30"/>
      <c r="D134" s="30"/>
      <c r="E134" s="30"/>
      <c r="F134" s="30"/>
      <c r="G134" s="30"/>
      <c r="H134" s="30"/>
      <c r="I134" s="30"/>
      <c r="J134" s="30">
        <f>IFERROR(__xludf.DUMMYFUNCTION("""COMPUTED_VALUE"""),-11.059343513011441)</f>
        <v>-11.05934351</v>
      </c>
      <c r="K134" s="30"/>
      <c r="L134" s="30"/>
      <c r="M134" s="30"/>
      <c r="N134" s="30"/>
      <c r="O134" s="30">
        <f>IFERROR(__xludf.DUMMYFUNCTION("""COMPUTED_VALUE"""),-2.630874715592867)</f>
        <v>-2.630874716</v>
      </c>
      <c r="P134" s="30">
        <f>IFERROR(__xludf.DUMMYFUNCTION("""COMPUTED_VALUE"""),4.463999088063446)</f>
        <v>4.463999088</v>
      </c>
      <c r="Q134" s="30"/>
      <c r="R134" s="30"/>
      <c r="S134" s="30"/>
      <c r="T134" s="30"/>
      <c r="U134" s="30">
        <v>0.0</v>
      </c>
      <c r="V134" s="30"/>
      <c r="W134" s="30"/>
      <c r="X134" s="30"/>
      <c r="Y134" s="5">
        <f>IFERROR(__xludf.DUMMYFUNCTION("""COMPUTED_VALUE"""),74.0)</f>
        <v>74</v>
      </c>
      <c r="Z134" s="5">
        <f>IFERROR(__xludf.DUMMYFUNCTION("""COMPUTED_VALUE"""),77.0)</f>
        <v>77</v>
      </c>
    </row>
    <row r="135">
      <c r="A135" s="30" t="s">
        <v>861</v>
      </c>
      <c r="B135" s="30">
        <f>IFERROR(__xludf.DUMMYFUNCTION("""COMPUTED_VALUE"""),75.5)</f>
        <v>75.5</v>
      </c>
      <c r="C135" s="30"/>
      <c r="D135" s="30"/>
      <c r="E135" s="30"/>
      <c r="F135" s="30"/>
      <c r="G135" s="30"/>
      <c r="H135" s="30"/>
      <c r="I135" s="30"/>
      <c r="J135" s="30">
        <f>IFERROR(__xludf.DUMMYFUNCTION("""COMPUTED_VALUE"""),-11.059343513011441)</f>
        <v>-11.05934351</v>
      </c>
      <c r="K135" s="30"/>
      <c r="L135" s="30"/>
      <c r="M135" s="30"/>
      <c r="N135" s="30"/>
      <c r="O135" s="30">
        <f>IFERROR(__xludf.DUMMYFUNCTION("""COMPUTED_VALUE"""),-2.630874715592867)</f>
        <v>-2.630874716</v>
      </c>
      <c r="P135" s="30">
        <f>IFERROR(__xludf.DUMMYFUNCTION("""COMPUTED_VALUE"""),4.463999088063446)</f>
        <v>4.463999088</v>
      </c>
      <c r="Q135" s="30"/>
      <c r="R135" s="30"/>
      <c r="S135" s="30"/>
      <c r="T135" s="30"/>
      <c r="U135" s="30">
        <v>0.0</v>
      </c>
      <c r="V135" s="30"/>
      <c r="W135" s="30"/>
      <c r="X135" s="30"/>
      <c r="Y135" s="5">
        <f>IFERROR(__xludf.DUMMYFUNCTION("""COMPUTED_VALUE"""),74.0)</f>
        <v>74</v>
      </c>
      <c r="Z135" s="5">
        <f>IFERROR(__xludf.DUMMYFUNCTION("""COMPUTED_VALUE"""),77.0)</f>
        <v>77</v>
      </c>
    </row>
    <row r="136">
      <c r="A136" s="30" t="s">
        <v>873</v>
      </c>
      <c r="B136" s="30">
        <f>IFERROR(__xludf.DUMMYFUNCTION("""COMPUTED_VALUE"""),79.0)</f>
        <v>79</v>
      </c>
      <c r="C136" s="30"/>
      <c r="D136" s="30"/>
      <c r="E136" s="30"/>
      <c r="F136" s="30"/>
      <c r="G136" s="30"/>
      <c r="H136" s="30"/>
      <c r="I136" s="30"/>
      <c r="J136" s="30">
        <f>IFERROR(__xludf.DUMMYFUNCTION("""COMPUTED_VALUE"""),-11.059343513011441)</f>
        <v>-11.05934351</v>
      </c>
      <c r="K136" s="30"/>
      <c r="L136" s="30"/>
      <c r="M136" s="30"/>
      <c r="N136" s="30"/>
      <c r="O136" s="30">
        <f>IFERROR(__xludf.DUMMYFUNCTION("""COMPUTED_VALUE"""),-2.630874715592867)</f>
        <v>-2.630874716</v>
      </c>
      <c r="P136" s="30">
        <f>IFERROR(__xludf.DUMMYFUNCTION("""COMPUTED_VALUE"""),4.463999088063446)</f>
        <v>4.463999088</v>
      </c>
      <c r="Q136" s="30"/>
      <c r="R136" s="30"/>
      <c r="S136" s="30"/>
      <c r="T136" s="30"/>
      <c r="U136" s="30">
        <v>0.0</v>
      </c>
      <c r="V136" s="30"/>
      <c r="W136" s="30"/>
      <c r="X136" s="30"/>
      <c r="Y136" s="5">
        <f>IFERROR(__xludf.DUMMYFUNCTION("""COMPUTED_VALUE"""),79.0)</f>
        <v>79</v>
      </c>
      <c r="Z136" s="5">
        <f>IFERROR(__xludf.DUMMYFUNCTION("""COMPUTED_VALUE"""),79.0)</f>
        <v>79</v>
      </c>
    </row>
    <row r="137">
      <c r="A137" s="30" t="s">
        <v>874</v>
      </c>
      <c r="B137" s="30">
        <f>IFERROR(__xludf.DUMMYFUNCTION("""COMPUTED_VALUE"""),79.0)</f>
        <v>79</v>
      </c>
      <c r="C137" s="30"/>
      <c r="D137" s="30"/>
      <c r="E137" s="30"/>
      <c r="F137" s="30"/>
      <c r="G137" s="30"/>
      <c r="H137" s="30"/>
      <c r="I137" s="30"/>
      <c r="J137" s="30">
        <f>IFERROR(__xludf.DUMMYFUNCTION("""COMPUTED_VALUE"""),-11.059343513011441)</f>
        <v>-11.05934351</v>
      </c>
      <c r="K137" s="30"/>
      <c r="L137" s="30"/>
      <c r="M137" s="30"/>
      <c r="N137" s="30"/>
      <c r="O137" s="30">
        <f>IFERROR(__xludf.DUMMYFUNCTION("""COMPUTED_VALUE"""),-2.630874715592867)</f>
        <v>-2.630874716</v>
      </c>
      <c r="P137" s="30">
        <f>IFERROR(__xludf.DUMMYFUNCTION("""COMPUTED_VALUE"""),4.463999088063446)</f>
        <v>4.463999088</v>
      </c>
      <c r="Q137" s="30"/>
      <c r="R137" s="30"/>
      <c r="S137" s="30"/>
      <c r="T137" s="30"/>
      <c r="U137" s="30">
        <v>0.0</v>
      </c>
      <c r="V137" s="30"/>
      <c r="W137" s="30"/>
      <c r="X137" s="30"/>
      <c r="Y137" s="5">
        <f>IFERROR(__xludf.DUMMYFUNCTION("""COMPUTED_VALUE"""),79.0)</f>
        <v>79</v>
      </c>
      <c r="Z137" s="5">
        <f>IFERROR(__xludf.DUMMYFUNCTION("""COMPUTED_VALUE"""),79.0)</f>
        <v>79</v>
      </c>
    </row>
    <row r="138">
      <c r="A138" s="30" t="s">
        <v>821</v>
      </c>
      <c r="B138" s="30">
        <f>IFERROR(__xludf.DUMMYFUNCTION("""COMPUTED_VALUE"""),79.5)</f>
        <v>79.5</v>
      </c>
      <c r="C138" s="30"/>
      <c r="D138" s="30"/>
      <c r="E138" s="30"/>
      <c r="F138" s="30"/>
      <c r="G138" s="30"/>
      <c r="H138" s="30"/>
      <c r="I138" s="30"/>
      <c r="J138" s="30">
        <f>IFERROR(__xludf.DUMMYFUNCTION("""COMPUTED_VALUE"""),-11.059343513011441)</f>
        <v>-11.05934351</v>
      </c>
      <c r="K138" s="30"/>
      <c r="L138" s="30"/>
      <c r="M138" s="30"/>
      <c r="N138" s="30"/>
      <c r="O138" s="30">
        <f>IFERROR(__xludf.DUMMYFUNCTION("""COMPUTED_VALUE"""),-2.630874715592867)</f>
        <v>-2.630874716</v>
      </c>
      <c r="P138" s="30">
        <f>IFERROR(__xludf.DUMMYFUNCTION("""COMPUTED_VALUE"""),4.463999088063446)</f>
        <v>4.463999088</v>
      </c>
      <c r="Q138" s="30"/>
      <c r="R138" s="30"/>
      <c r="S138" s="30"/>
      <c r="T138" s="30"/>
      <c r="U138" s="30">
        <v>0.0</v>
      </c>
      <c r="V138" s="30"/>
      <c r="W138" s="30"/>
      <c r="X138" s="30"/>
      <c r="Y138" s="5">
        <f>IFERROR(__xludf.DUMMYFUNCTION("""COMPUTED_VALUE"""),79.0)</f>
        <v>79</v>
      </c>
      <c r="Z138" s="5">
        <f>IFERROR(__xludf.DUMMYFUNCTION("""COMPUTED_VALUE"""),80.0)</f>
        <v>80</v>
      </c>
    </row>
    <row r="139">
      <c r="A139" s="30" t="s">
        <v>885</v>
      </c>
      <c r="B139" s="30">
        <f>IFERROR(__xludf.DUMMYFUNCTION("""COMPUTED_VALUE"""),79.0)</f>
        <v>79</v>
      </c>
      <c r="C139" s="30"/>
      <c r="D139" s="30"/>
      <c r="E139" s="30"/>
      <c r="F139" s="30"/>
      <c r="G139" s="30"/>
      <c r="H139" s="30"/>
      <c r="I139" s="30"/>
      <c r="J139" s="30">
        <f>IFERROR(__xludf.DUMMYFUNCTION("""COMPUTED_VALUE"""),-11.059343513011441)</f>
        <v>-11.05934351</v>
      </c>
      <c r="K139" s="30"/>
      <c r="L139" s="30"/>
      <c r="M139" s="30"/>
      <c r="N139" s="30"/>
      <c r="O139" s="30">
        <f>IFERROR(__xludf.DUMMYFUNCTION("""COMPUTED_VALUE"""),-2.630874715592867)</f>
        <v>-2.630874716</v>
      </c>
      <c r="P139" s="30">
        <f>IFERROR(__xludf.DUMMYFUNCTION("""COMPUTED_VALUE"""),4.463999088063446)</f>
        <v>4.463999088</v>
      </c>
      <c r="Q139" s="30"/>
      <c r="R139" s="30"/>
      <c r="S139" s="30"/>
      <c r="T139" s="30"/>
      <c r="U139" s="30">
        <v>0.0</v>
      </c>
      <c r="V139" s="30"/>
      <c r="W139" s="30"/>
      <c r="X139" s="30"/>
      <c r="Y139" s="5">
        <f>IFERROR(__xludf.DUMMYFUNCTION("""COMPUTED_VALUE"""),78.0)</f>
        <v>78</v>
      </c>
      <c r="Z139" s="5">
        <f>IFERROR(__xludf.DUMMYFUNCTION("""COMPUTED_VALUE"""),80.0)</f>
        <v>80</v>
      </c>
    </row>
    <row r="140">
      <c r="A140" s="30" t="s">
        <v>89</v>
      </c>
      <c r="B140" s="30">
        <f>IFERROR(__xludf.DUMMYFUNCTION("""COMPUTED_VALUE"""),78.0)</f>
        <v>78</v>
      </c>
      <c r="C140" s="30"/>
      <c r="D140" s="30"/>
      <c r="E140" s="30"/>
      <c r="F140" s="30"/>
      <c r="G140" s="30"/>
      <c r="H140" s="30"/>
      <c r="I140" s="30"/>
      <c r="J140" s="30">
        <f>IFERROR(__xludf.DUMMYFUNCTION("""COMPUTED_VALUE"""),-11.059343513011441)</f>
        <v>-11.05934351</v>
      </c>
      <c r="K140" s="30"/>
      <c r="L140" s="30"/>
      <c r="M140" s="30"/>
      <c r="N140" s="30"/>
      <c r="O140" s="30">
        <f>IFERROR(__xludf.DUMMYFUNCTION("""COMPUTED_VALUE"""),-2.630874715592867)</f>
        <v>-2.630874716</v>
      </c>
      <c r="P140" s="30">
        <f>IFERROR(__xludf.DUMMYFUNCTION("""COMPUTED_VALUE"""),4.463999088063446)</f>
        <v>4.463999088</v>
      </c>
      <c r="Q140" s="30"/>
      <c r="R140" s="30"/>
      <c r="S140" s="30"/>
      <c r="T140" s="30"/>
      <c r="U140" s="30">
        <v>0.0</v>
      </c>
      <c r="V140" s="30"/>
      <c r="W140" s="30"/>
      <c r="X140" s="30"/>
      <c r="Y140" s="5">
        <f>IFERROR(__xludf.DUMMYFUNCTION("""COMPUTED_VALUE"""),76.0)</f>
        <v>76</v>
      </c>
      <c r="Z140" s="5">
        <f>IFERROR(__xludf.DUMMYFUNCTION("""COMPUTED_VALUE"""),80.0)</f>
        <v>80</v>
      </c>
    </row>
    <row r="141">
      <c r="A141" s="30" t="s">
        <v>106</v>
      </c>
      <c r="B141" s="30">
        <f>IFERROR(__xludf.DUMMYFUNCTION("""COMPUTED_VALUE"""),77.5)</f>
        <v>77.5</v>
      </c>
      <c r="C141" s="30"/>
      <c r="D141" s="30"/>
      <c r="E141" s="30"/>
      <c r="F141" s="30"/>
      <c r="G141" s="30"/>
      <c r="H141" s="30"/>
      <c r="I141" s="30"/>
      <c r="J141" s="30">
        <f>IFERROR(__xludf.DUMMYFUNCTION("""COMPUTED_VALUE"""),-11.059343513011441)</f>
        <v>-11.05934351</v>
      </c>
      <c r="K141" s="30"/>
      <c r="L141" s="30"/>
      <c r="M141" s="30"/>
      <c r="N141" s="30"/>
      <c r="O141" s="30">
        <f>IFERROR(__xludf.DUMMYFUNCTION("""COMPUTED_VALUE"""),-2.630874715592867)</f>
        <v>-2.630874716</v>
      </c>
      <c r="P141" s="30">
        <f>IFERROR(__xludf.DUMMYFUNCTION("""COMPUTED_VALUE"""),4.463999088063446)</f>
        <v>4.463999088</v>
      </c>
      <c r="Q141" s="30"/>
      <c r="R141" s="30"/>
      <c r="S141" s="30"/>
      <c r="T141" s="30"/>
      <c r="U141" s="30">
        <v>0.0</v>
      </c>
      <c r="V141" s="30"/>
      <c r="W141" s="30"/>
      <c r="X141" s="30"/>
      <c r="Y141" s="5">
        <f>IFERROR(__xludf.DUMMYFUNCTION("""COMPUTED_VALUE"""),75.0)</f>
        <v>75</v>
      </c>
      <c r="Z141" s="5">
        <f>IFERROR(__xludf.DUMMYFUNCTION("""COMPUTED_VALUE"""),80.0)</f>
        <v>80</v>
      </c>
    </row>
    <row r="142">
      <c r="A142" s="30" t="s">
        <v>49</v>
      </c>
      <c r="B142" s="30">
        <f>IFERROR(__xludf.DUMMYFUNCTION("""COMPUTED_VALUE"""),78.0)</f>
        <v>78</v>
      </c>
      <c r="C142" s="30"/>
      <c r="D142" s="30"/>
      <c r="E142" s="30"/>
      <c r="F142" s="30"/>
      <c r="G142" s="30"/>
      <c r="H142" s="30"/>
      <c r="I142" s="30"/>
      <c r="J142" s="30">
        <f>IFERROR(__xludf.DUMMYFUNCTION("""COMPUTED_VALUE"""),-11.059343513011441)</f>
        <v>-11.05934351</v>
      </c>
      <c r="K142" s="30"/>
      <c r="L142" s="30"/>
      <c r="M142" s="30"/>
      <c r="N142" s="30"/>
      <c r="O142" s="30">
        <f>IFERROR(__xludf.DUMMYFUNCTION("""COMPUTED_VALUE"""),-2.630874715592867)</f>
        <v>-2.630874716</v>
      </c>
      <c r="P142" s="30">
        <f>IFERROR(__xludf.DUMMYFUNCTION("""COMPUTED_VALUE"""),4.463999088063446)</f>
        <v>4.463999088</v>
      </c>
      <c r="Q142" s="30"/>
      <c r="R142" s="30"/>
      <c r="S142" s="30"/>
      <c r="T142" s="30"/>
      <c r="U142" s="30">
        <v>0.0</v>
      </c>
      <c r="V142" s="30"/>
      <c r="W142" s="30"/>
      <c r="X142" s="30"/>
      <c r="Y142" s="5">
        <f>IFERROR(__xludf.DUMMYFUNCTION("""COMPUTED_VALUE"""),76.0)</f>
        <v>76</v>
      </c>
      <c r="Z142" s="5">
        <f>IFERROR(__xludf.DUMMYFUNCTION("""COMPUTED_VALUE"""),80.0)</f>
        <v>80</v>
      </c>
    </row>
    <row r="143">
      <c r="A143" s="30" t="s">
        <v>924</v>
      </c>
      <c r="B143" s="30">
        <f>IFERROR(__xludf.DUMMYFUNCTION("""COMPUTED_VALUE"""),79.0)</f>
        <v>79</v>
      </c>
      <c r="C143" s="30"/>
      <c r="D143" s="30"/>
      <c r="E143" s="30"/>
      <c r="F143" s="30"/>
      <c r="G143" s="30"/>
      <c r="H143" s="30"/>
      <c r="I143" s="30"/>
      <c r="J143" s="30">
        <f>IFERROR(__xludf.DUMMYFUNCTION("""COMPUTED_VALUE"""),-11.059343513011441)</f>
        <v>-11.05934351</v>
      </c>
      <c r="K143" s="30"/>
      <c r="L143" s="30"/>
      <c r="M143" s="30"/>
      <c r="N143" s="30"/>
      <c r="O143" s="30">
        <f>IFERROR(__xludf.DUMMYFUNCTION("""COMPUTED_VALUE"""),-2.630874715592867)</f>
        <v>-2.630874716</v>
      </c>
      <c r="P143" s="30">
        <f>IFERROR(__xludf.DUMMYFUNCTION("""COMPUTED_VALUE"""),4.463999088063446)</f>
        <v>4.463999088</v>
      </c>
      <c r="Q143" s="30"/>
      <c r="R143" s="30"/>
      <c r="S143" s="30"/>
      <c r="T143" s="30"/>
      <c r="U143" s="30">
        <v>0.0</v>
      </c>
      <c r="V143" s="30"/>
      <c r="W143" s="30"/>
      <c r="X143" s="30"/>
      <c r="Y143" s="5">
        <f>IFERROR(__xludf.DUMMYFUNCTION("""COMPUTED_VALUE"""),79.0)</f>
        <v>79</v>
      </c>
      <c r="Z143" s="5">
        <f>IFERROR(__xludf.DUMMYFUNCTION("""COMPUTED_VALUE"""),79.0)</f>
        <v>79</v>
      </c>
    </row>
    <row r="144">
      <c r="A144" s="30" t="s">
        <v>665</v>
      </c>
      <c r="B144" s="30">
        <f>IFERROR(__xludf.DUMMYFUNCTION("""COMPUTED_VALUE"""),76.5)</f>
        <v>76.5</v>
      </c>
      <c r="C144" s="30"/>
      <c r="D144" s="30"/>
      <c r="E144" s="30"/>
      <c r="F144" s="30"/>
      <c r="G144" s="30"/>
      <c r="H144" s="30"/>
      <c r="I144" s="30"/>
      <c r="J144" s="30">
        <f>IFERROR(__xludf.DUMMYFUNCTION("""COMPUTED_VALUE"""),-11.059343513011441)</f>
        <v>-11.05934351</v>
      </c>
      <c r="K144" s="30"/>
      <c r="L144" s="30"/>
      <c r="M144" s="30"/>
      <c r="N144" s="30"/>
      <c r="O144" s="30">
        <f>IFERROR(__xludf.DUMMYFUNCTION("""COMPUTED_VALUE"""),-2.630874715592867)</f>
        <v>-2.630874716</v>
      </c>
      <c r="P144" s="30">
        <f>IFERROR(__xludf.DUMMYFUNCTION("""COMPUTED_VALUE"""),4.463999088063446)</f>
        <v>4.463999088</v>
      </c>
      <c r="Q144" s="30"/>
      <c r="R144" s="30"/>
      <c r="S144" s="30"/>
      <c r="T144" s="30"/>
      <c r="U144" s="30">
        <v>0.0</v>
      </c>
      <c r="V144" s="30"/>
      <c r="W144" s="30"/>
      <c r="X144" s="30"/>
      <c r="Y144" s="5">
        <f>IFERROR(__xludf.DUMMYFUNCTION("""COMPUTED_VALUE"""),73.0)</f>
        <v>73</v>
      </c>
      <c r="Z144" s="5">
        <f>IFERROR(__xludf.DUMMYFUNCTION("""COMPUTED_VALUE"""),80.0)</f>
        <v>80</v>
      </c>
    </row>
    <row r="145">
      <c r="A145" s="30" t="s">
        <v>934</v>
      </c>
      <c r="B145" s="30">
        <f>IFERROR(__xludf.DUMMYFUNCTION("""COMPUTED_VALUE"""),77.0)</f>
        <v>77</v>
      </c>
      <c r="C145" s="30"/>
      <c r="D145" s="30"/>
      <c r="E145" s="30"/>
      <c r="F145" s="30"/>
      <c r="G145" s="30"/>
      <c r="H145" s="30"/>
      <c r="I145" s="30"/>
      <c r="J145" s="30">
        <f>IFERROR(__xludf.DUMMYFUNCTION("""COMPUTED_VALUE"""),-11.059343513011441)</f>
        <v>-11.05934351</v>
      </c>
      <c r="K145" s="30"/>
      <c r="L145" s="30"/>
      <c r="M145" s="30"/>
      <c r="N145" s="30"/>
      <c r="O145" s="30">
        <f>IFERROR(__xludf.DUMMYFUNCTION("""COMPUTED_VALUE"""),-2.630874715592867)</f>
        <v>-2.630874716</v>
      </c>
      <c r="P145" s="30">
        <f>IFERROR(__xludf.DUMMYFUNCTION("""COMPUTED_VALUE"""),4.463999088063446)</f>
        <v>4.463999088</v>
      </c>
      <c r="Q145" s="30"/>
      <c r="R145" s="30"/>
      <c r="S145" s="30"/>
      <c r="T145" s="30"/>
      <c r="U145" s="30">
        <v>0.0</v>
      </c>
      <c r="V145" s="30"/>
      <c r="W145" s="30"/>
      <c r="X145" s="30"/>
      <c r="Y145" s="5">
        <f>IFERROR(__xludf.DUMMYFUNCTION("""COMPUTED_VALUE"""),74.0)</f>
        <v>74</v>
      </c>
      <c r="Z145" s="5">
        <f>IFERROR(__xludf.DUMMYFUNCTION("""COMPUTED_VALUE"""),80.0)</f>
        <v>80</v>
      </c>
    </row>
    <row r="146">
      <c r="A146" s="30" t="s">
        <v>146</v>
      </c>
      <c r="B146" s="30">
        <f>IFERROR(__xludf.DUMMYFUNCTION("""COMPUTED_VALUE"""),78.0)</f>
        <v>78</v>
      </c>
      <c r="C146" s="30"/>
      <c r="D146" s="30"/>
      <c r="E146" s="30"/>
      <c r="F146" s="30"/>
      <c r="G146" s="30"/>
      <c r="H146" s="30"/>
      <c r="I146" s="30"/>
      <c r="J146" s="30">
        <f>IFERROR(__xludf.DUMMYFUNCTION("""COMPUTED_VALUE"""),-11.059343513011441)</f>
        <v>-11.05934351</v>
      </c>
      <c r="K146" s="30"/>
      <c r="L146" s="30"/>
      <c r="M146" s="30"/>
      <c r="N146" s="30"/>
      <c r="O146" s="30">
        <f>IFERROR(__xludf.DUMMYFUNCTION("""COMPUTED_VALUE"""),-2.630874715592867)</f>
        <v>-2.630874716</v>
      </c>
      <c r="P146" s="30">
        <f>IFERROR(__xludf.DUMMYFUNCTION("""COMPUTED_VALUE"""),4.463999088063446)</f>
        <v>4.463999088</v>
      </c>
      <c r="Q146" s="30"/>
      <c r="R146" s="30"/>
      <c r="S146" s="30"/>
      <c r="T146" s="30"/>
      <c r="U146" s="30">
        <v>0.0</v>
      </c>
      <c r="V146" s="30"/>
      <c r="W146" s="30"/>
      <c r="X146" s="30"/>
      <c r="Y146" s="5">
        <f>IFERROR(__xludf.DUMMYFUNCTION("""COMPUTED_VALUE"""),76.0)</f>
        <v>76</v>
      </c>
      <c r="Z146" s="5">
        <f>IFERROR(__xludf.DUMMYFUNCTION("""COMPUTED_VALUE"""),80.0)</f>
        <v>80</v>
      </c>
    </row>
    <row r="147">
      <c r="A147" s="30" t="s">
        <v>640</v>
      </c>
      <c r="B147" s="30">
        <f>IFERROR(__xludf.DUMMYFUNCTION("""COMPUTED_VALUE"""),77.0)</f>
        <v>77</v>
      </c>
      <c r="C147" s="30"/>
      <c r="D147" s="30"/>
      <c r="E147" s="30"/>
      <c r="F147" s="30"/>
      <c r="G147" s="30"/>
      <c r="H147" s="30"/>
      <c r="I147" s="30"/>
      <c r="J147" s="30">
        <f>IFERROR(__xludf.DUMMYFUNCTION("""COMPUTED_VALUE"""),-11.059343513011441)</f>
        <v>-11.05934351</v>
      </c>
      <c r="K147" s="30"/>
      <c r="L147" s="30"/>
      <c r="M147" s="30"/>
      <c r="N147" s="30"/>
      <c r="O147" s="30">
        <f>IFERROR(__xludf.DUMMYFUNCTION("""COMPUTED_VALUE"""),-2.630874715592867)</f>
        <v>-2.630874716</v>
      </c>
      <c r="P147" s="30">
        <f>IFERROR(__xludf.DUMMYFUNCTION("""COMPUTED_VALUE"""),4.463999088063446)</f>
        <v>4.463999088</v>
      </c>
      <c r="Q147" s="30"/>
      <c r="R147" s="30"/>
      <c r="S147" s="30"/>
      <c r="T147" s="30"/>
      <c r="U147" s="30">
        <v>0.0</v>
      </c>
      <c r="V147" s="30"/>
      <c r="W147" s="30"/>
      <c r="X147" s="30"/>
      <c r="Y147" s="5">
        <f>IFERROR(__xludf.DUMMYFUNCTION("""COMPUTED_VALUE"""),74.0)</f>
        <v>74</v>
      </c>
      <c r="Z147" s="5">
        <f>IFERROR(__xludf.DUMMYFUNCTION("""COMPUTED_VALUE"""),80.0)</f>
        <v>80</v>
      </c>
    </row>
    <row r="148">
      <c r="A148" s="30" t="s">
        <v>339</v>
      </c>
      <c r="B148" s="30">
        <f>IFERROR(__xludf.DUMMYFUNCTION("""COMPUTED_VALUE"""),78.0)</f>
        <v>78</v>
      </c>
      <c r="C148" s="30"/>
      <c r="D148" s="30"/>
      <c r="E148" s="30"/>
      <c r="F148" s="30"/>
      <c r="G148" s="30"/>
      <c r="H148" s="30"/>
      <c r="I148" s="30"/>
      <c r="J148" s="30">
        <f>IFERROR(__xludf.DUMMYFUNCTION("""COMPUTED_VALUE"""),-11.059343513011441)</f>
        <v>-11.05934351</v>
      </c>
      <c r="K148" s="30"/>
      <c r="L148" s="30"/>
      <c r="M148" s="30"/>
      <c r="N148" s="30"/>
      <c r="O148" s="30">
        <f>IFERROR(__xludf.DUMMYFUNCTION("""COMPUTED_VALUE"""),-2.630874715592867)</f>
        <v>-2.630874716</v>
      </c>
      <c r="P148" s="30">
        <f>IFERROR(__xludf.DUMMYFUNCTION("""COMPUTED_VALUE"""),4.463999088063446)</f>
        <v>4.463999088</v>
      </c>
      <c r="Q148" s="30"/>
      <c r="R148" s="30"/>
      <c r="S148" s="30"/>
      <c r="T148" s="30"/>
      <c r="U148" s="30">
        <v>0.0</v>
      </c>
      <c r="V148" s="30"/>
      <c r="W148" s="30"/>
      <c r="X148" s="30"/>
      <c r="Y148" s="5">
        <f>IFERROR(__xludf.DUMMYFUNCTION("""COMPUTED_VALUE"""),76.0)</f>
        <v>76</v>
      </c>
      <c r="Z148" s="5">
        <f>IFERROR(__xludf.DUMMYFUNCTION("""COMPUTED_VALUE"""),80.0)</f>
        <v>80</v>
      </c>
    </row>
    <row r="149">
      <c r="A149" s="30" t="s">
        <v>969</v>
      </c>
      <c r="B149" s="30">
        <f>IFERROR(__xludf.DUMMYFUNCTION("""COMPUTED_VALUE"""),80.0)</f>
        <v>80</v>
      </c>
      <c r="C149" s="30"/>
      <c r="D149" s="30"/>
      <c r="E149" s="30"/>
      <c r="F149" s="30"/>
      <c r="G149" s="30"/>
      <c r="H149" s="30"/>
      <c r="I149" s="30"/>
      <c r="J149" s="30">
        <f>IFERROR(__xludf.DUMMYFUNCTION("""COMPUTED_VALUE"""),-11.059343513011441)</f>
        <v>-11.05934351</v>
      </c>
      <c r="K149" s="30"/>
      <c r="L149" s="30"/>
      <c r="M149" s="30"/>
      <c r="N149" s="30"/>
      <c r="O149" s="30">
        <f>IFERROR(__xludf.DUMMYFUNCTION("""COMPUTED_VALUE"""),-2.630874715592867)</f>
        <v>-2.630874716</v>
      </c>
      <c r="P149" s="30">
        <f>IFERROR(__xludf.DUMMYFUNCTION("""COMPUTED_VALUE"""),4.463999088063446)</f>
        <v>4.463999088</v>
      </c>
      <c r="Q149" s="30"/>
      <c r="R149" s="30"/>
      <c r="S149" s="30"/>
      <c r="T149" s="30"/>
      <c r="U149" s="30">
        <v>0.0</v>
      </c>
      <c r="V149" s="30"/>
      <c r="W149" s="30"/>
      <c r="X149" s="30"/>
      <c r="Y149" s="5">
        <f>IFERROR(__xludf.DUMMYFUNCTION("""COMPUTED_VALUE"""),80.0)</f>
        <v>80</v>
      </c>
      <c r="Z149" s="5">
        <f>IFERROR(__xludf.DUMMYFUNCTION("""COMPUTED_VALUE"""),80.0)</f>
        <v>80</v>
      </c>
    </row>
    <row r="150">
      <c r="A150" s="30" t="s">
        <v>488</v>
      </c>
      <c r="B150" s="30">
        <f>IFERROR(__xludf.DUMMYFUNCTION("""COMPUTED_VALUE"""),78.5)</f>
        <v>78.5</v>
      </c>
      <c r="C150" s="30"/>
      <c r="D150" s="30"/>
      <c r="E150" s="30"/>
      <c r="F150" s="30"/>
      <c r="G150" s="30"/>
      <c r="H150" s="30"/>
      <c r="I150" s="30"/>
      <c r="J150" s="30">
        <f>IFERROR(__xludf.DUMMYFUNCTION("""COMPUTED_VALUE"""),-11.059343513011441)</f>
        <v>-11.05934351</v>
      </c>
      <c r="K150" s="30"/>
      <c r="L150" s="30"/>
      <c r="M150" s="30"/>
      <c r="N150" s="30"/>
      <c r="O150" s="30">
        <f>IFERROR(__xludf.DUMMYFUNCTION("""COMPUTED_VALUE"""),-2.630874715592867)</f>
        <v>-2.630874716</v>
      </c>
      <c r="P150" s="30">
        <f>IFERROR(__xludf.DUMMYFUNCTION("""COMPUTED_VALUE"""),4.463999088063446)</f>
        <v>4.463999088</v>
      </c>
      <c r="Q150" s="30"/>
      <c r="R150" s="30"/>
      <c r="S150" s="30"/>
      <c r="T150" s="30"/>
      <c r="U150" s="30">
        <v>0.0</v>
      </c>
      <c r="V150" s="30"/>
      <c r="W150" s="30"/>
      <c r="X150" s="30"/>
      <c r="Y150" s="5">
        <f>IFERROR(__xludf.DUMMYFUNCTION("""COMPUTED_VALUE"""),77.0)</f>
        <v>77</v>
      </c>
      <c r="Z150" s="5">
        <f>IFERROR(__xludf.DUMMYFUNCTION("""COMPUTED_VALUE"""),80.0)</f>
        <v>80</v>
      </c>
    </row>
    <row r="151">
      <c r="A151" s="30" t="s">
        <v>980</v>
      </c>
      <c r="B151" s="30">
        <f>IFERROR(__xludf.DUMMYFUNCTION("""COMPUTED_VALUE"""),78.0)</f>
        <v>78</v>
      </c>
      <c r="C151" s="30"/>
      <c r="D151" s="30"/>
      <c r="E151" s="30"/>
      <c r="F151" s="30"/>
      <c r="G151" s="30"/>
      <c r="H151" s="30"/>
      <c r="I151" s="30"/>
      <c r="J151" s="30">
        <f>IFERROR(__xludf.DUMMYFUNCTION("""COMPUTED_VALUE"""),-11.059343513011441)</f>
        <v>-11.05934351</v>
      </c>
      <c r="K151" s="30"/>
      <c r="L151" s="30"/>
      <c r="M151" s="30"/>
      <c r="N151" s="30"/>
      <c r="O151" s="30">
        <f>IFERROR(__xludf.DUMMYFUNCTION("""COMPUTED_VALUE"""),-2.630874715592867)</f>
        <v>-2.630874716</v>
      </c>
      <c r="P151" s="30">
        <f>IFERROR(__xludf.DUMMYFUNCTION("""COMPUTED_VALUE"""),4.463999088063446)</f>
        <v>4.463999088</v>
      </c>
      <c r="Q151" s="30"/>
      <c r="R151" s="30"/>
      <c r="S151" s="30"/>
      <c r="T151" s="30"/>
      <c r="U151" s="30">
        <v>0.0</v>
      </c>
      <c r="V151" s="30"/>
      <c r="W151" s="30"/>
      <c r="X151" s="30"/>
      <c r="Y151" s="5">
        <f>IFERROR(__xludf.DUMMYFUNCTION("""COMPUTED_VALUE"""),78.0)</f>
        <v>78</v>
      </c>
      <c r="Z151" s="5">
        <f>IFERROR(__xludf.DUMMYFUNCTION("""COMPUTED_VALUE"""),78.0)</f>
        <v>78</v>
      </c>
    </row>
    <row r="152">
      <c r="A152" s="30" t="s">
        <v>981</v>
      </c>
      <c r="B152" s="30">
        <f>IFERROR(__xludf.DUMMYFUNCTION("""COMPUTED_VALUE"""),80.0)</f>
        <v>80</v>
      </c>
      <c r="C152" s="30"/>
      <c r="D152" s="30"/>
      <c r="E152" s="30"/>
      <c r="F152" s="30"/>
      <c r="G152" s="30"/>
      <c r="H152" s="30"/>
      <c r="I152" s="30"/>
      <c r="J152" s="30">
        <f>IFERROR(__xludf.DUMMYFUNCTION("""COMPUTED_VALUE"""),-11.059343513011441)</f>
        <v>-11.05934351</v>
      </c>
      <c r="K152" s="30"/>
      <c r="L152" s="30"/>
      <c r="M152" s="30"/>
      <c r="N152" s="30"/>
      <c r="O152" s="30">
        <f>IFERROR(__xludf.DUMMYFUNCTION("""COMPUTED_VALUE"""),-2.630874715592867)</f>
        <v>-2.630874716</v>
      </c>
      <c r="P152" s="30">
        <f>IFERROR(__xludf.DUMMYFUNCTION("""COMPUTED_VALUE"""),4.463999088063446)</f>
        <v>4.463999088</v>
      </c>
      <c r="Q152" s="30"/>
      <c r="R152" s="30"/>
      <c r="S152" s="30"/>
      <c r="T152" s="30"/>
      <c r="U152" s="30">
        <v>0.0</v>
      </c>
      <c r="V152" s="30"/>
      <c r="W152" s="30"/>
      <c r="X152" s="30"/>
      <c r="Y152" s="5">
        <f>IFERROR(__xludf.DUMMYFUNCTION("""COMPUTED_VALUE"""),80.0)</f>
        <v>80</v>
      </c>
      <c r="Z152" s="5">
        <f>IFERROR(__xludf.DUMMYFUNCTION("""COMPUTED_VALUE"""),80.0)</f>
        <v>80</v>
      </c>
    </row>
    <row r="153">
      <c r="A153" s="30" t="s">
        <v>326</v>
      </c>
      <c r="B153" s="30">
        <f>IFERROR(__xludf.DUMMYFUNCTION("""COMPUTED_VALUE"""),78.5)</f>
        <v>78.5</v>
      </c>
      <c r="C153" s="30"/>
      <c r="D153" s="30"/>
      <c r="E153" s="30"/>
      <c r="F153" s="30"/>
      <c r="G153" s="30"/>
      <c r="H153" s="30"/>
      <c r="I153" s="30"/>
      <c r="J153" s="30">
        <f>IFERROR(__xludf.DUMMYFUNCTION("""COMPUTED_VALUE"""),-11.059343513011441)</f>
        <v>-11.05934351</v>
      </c>
      <c r="K153" s="30"/>
      <c r="L153" s="30"/>
      <c r="M153" s="30"/>
      <c r="N153" s="30"/>
      <c r="O153" s="30">
        <f>IFERROR(__xludf.DUMMYFUNCTION("""COMPUTED_VALUE"""),-2.630874715592867)</f>
        <v>-2.630874716</v>
      </c>
      <c r="P153" s="30">
        <f>IFERROR(__xludf.DUMMYFUNCTION("""COMPUTED_VALUE"""),4.463999088063446)</f>
        <v>4.463999088</v>
      </c>
      <c r="Q153" s="30"/>
      <c r="R153" s="30"/>
      <c r="S153" s="30"/>
      <c r="T153" s="30"/>
      <c r="U153" s="30">
        <v>0.0</v>
      </c>
      <c r="V153" s="30"/>
      <c r="W153" s="30"/>
      <c r="X153" s="30"/>
      <c r="Y153" s="5">
        <f>IFERROR(__xludf.DUMMYFUNCTION("""COMPUTED_VALUE"""),77.0)</f>
        <v>77</v>
      </c>
      <c r="Z153" s="5">
        <f>IFERROR(__xludf.DUMMYFUNCTION("""COMPUTED_VALUE"""),80.0)</f>
        <v>80</v>
      </c>
    </row>
    <row r="154">
      <c r="A154" s="30" t="s">
        <v>767</v>
      </c>
      <c r="B154" s="30">
        <f>IFERROR(__xludf.DUMMYFUNCTION("""COMPUTED_VALUE"""),76.0)</f>
        <v>76</v>
      </c>
      <c r="C154" s="30"/>
      <c r="D154" s="30"/>
      <c r="E154" s="30"/>
      <c r="F154" s="30"/>
      <c r="G154" s="30"/>
      <c r="H154" s="30"/>
      <c r="I154" s="30"/>
      <c r="J154" s="30">
        <f>IFERROR(__xludf.DUMMYFUNCTION("""COMPUTED_VALUE"""),-11.059343513011441)</f>
        <v>-11.05934351</v>
      </c>
      <c r="K154" s="30"/>
      <c r="L154" s="30"/>
      <c r="M154" s="30"/>
      <c r="N154" s="30"/>
      <c r="O154" s="30">
        <f>IFERROR(__xludf.DUMMYFUNCTION("""COMPUTED_VALUE"""),-2.630874715592867)</f>
        <v>-2.630874716</v>
      </c>
      <c r="P154" s="30">
        <f>IFERROR(__xludf.DUMMYFUNCTION("""COMPUTED_VALUE"""),4.463999088063446)</f>
        <v>4.463999088</v>
      </c>
      <c r="Q154" s="30"/>
      <c r="R154" s="30"/>
      <c r="S154" s="30"/>
      <c r="T154" s="30"/>
      <c r="U154" s="30">
        <v>0.0</v>
      </c>
      <c r="V154" s="30"/>
      <c r="W154" s="30"/>
      <c r="X154" s="30"/>
      <c r="Y154" s="5">
        <f>IFERROR(__xludf.DUMMYFUNCTION("""COMPUTED_VALUE"""),76.0)</f>
        <v>76</v>
      </c>
      <c r="Z154" s="5">
        <f>IFERROR(__xludf.DUMMYFUNCTION("""COMPUTED_VALUE"""),76.0)</f>
        <v>76</v>
      </c>
    </row>
    <row r="155">
      <c r="A155" s="30" t="s">
        <v>989</v>
      </c>
      <c r="B155" s="30">
        <f>IFERROR(__xludf.DUMMYFUNCTION("""COMPUTED_VALUE"""),78.0)</f>
        <v>78</v>
      </c>
      <c r="C155" s="30"/>
      <c r="D155" s="30"/>
      <c r="E155" s="30"/>
      <c r="F155" s="30"/>
      <c r="G155" s="30"/>
      <c r="H155" s="30"/>
      <c r="I155" s="30"/>
      <c r="J155" s="30">
        <f>IFERROR(__xludf.DUMMYFUNCTION("""COMPUTED_VALUE"""),-11.059343513011441)</f>
        <v>-11.05934351</v>
      </c>
      <c r="K155" s="30"/>
      <c r="L155" s="30"/>
      <c r="M155" s="30"/>
      <c r="N155" s="30"/>
      <c r="O155" s="30">
        <f>IFERROR(__xludf.DUMMYFUNCTION("""COMPUTED_VALUE"""),-2.630874715592867)</f>
        <v>-2.630874716</v>
      </c>
      <c r="P155" s="30">
        <f>IFERROR(__xludf.DUMMYFUNCTION("""COMPUTED_VALUE"""),4.463999088063446)</f>
        <v>4.463999088</v>
      </c>
      <c r="Q155" s="30"/>
      <c r="R155" s="30"/>
      <c r="S155" s="30"/>
      <c r="T155" s="30"/>
      <c r="U155" s="30">
        <v>0.0</v>
      </c>
      <c r="V155" s="30"/>
      <c r="W155" s="30"/>
      <c r="X155" s="30"/>
      <c r="Y155" s="5">
        <f>IFERROR(__xludf.DUMMYFUNCTION("""COMPUTED_VALUE"""),76.0)</f>
        <v>76</v>
      </c>
      <c r="Z155" s="5">
        <f>IFERROR(__xludf.DUMMYFUNCTION("""COMPUTED_VALUE"""),80.0)</f>
        <v>80</v>
      </c>
    </row>
    <row r="156">
      <c r="A156" s="30" t="s">
        <v>26</v>
      </c>
      <c r="B156" s="30">
        <f>IFERROR(__xludf.DUMMYFUNCTION("""COMPUTED_VALUE"""),78.5)</f>
        <v>78.5</v>
      </c>
      <c r="C156" s="30"/>
      <c r="D156" s="30"/>
      <c r="E156" s="30"/>
      <c r="F156" s="30"/>
      <c r="G156" s="30"/>
      <c r="H156" s="30"/>
      <c r="I156" s="30"/>
      <c r="J156" s="30">
        <f>IFERROR(__xludf.DUMMYFUNCTION("""COMPUTED_VALUE"""),-11.059343513011441)</f>
        <v>-11.05934351</v>
      </c>
      <c r="K156" s="30"/>
      <c r="L156" s="30"/>
      <c r="M156" s="30"/>
      <c r="N156" s="30"/>
      <c r="O156" s="30">
        <f>IFERROR(__xludf.DUMMYFUNCTION("""COMPUTED_VALUE"""),-2.630874715592867)</f>
        <v>-2.630874716</v>
      </c>
      <c r="P156" s="30">
        <f>IFERROR(__xludf.DUMMYFUNCTION("""COMPUTED_VALUE"""),4.463999088063446)</f>
        <v>4.463999088</v>
      </c>
      <c r="Q156" s="30"/>
      <c r="R156" s="30"/>
      <c r="S156" s="30"/>
      <c r="T156" s="30"/>
      <c r="U156" s="30">
        <v>0.0</v>
      </c>
      <c r="V156" s="30"/>
      <c r="W156" s="30"/>
      <c r="X156" s="30"/>
      <c r="Y156" s="5">
        <f>IFERROR(__xludf.DUMMYFUNCTION("""COMPUTED_VALUE"""),77.0)</f>
        <v>77</v>
      </c>
      <c r="Z156" s="5">
        <f>IFERROR(__xludf.DUMMYFUNCTION("""COMPUTED_VALUE"""),80.0)</f>
        <v>80</v>
      </c>
    </row>
    <row r="157">
      <c r="A157" s="30" t="s">
        <v>678</v>
      </c>
      <c r="B157" s="30">
        <f>IFERROR(__xludf.DUMMYFUNCTION("""COMPUTED_VALUE"""),77.0)</f>
        <v>77</v>
      </c>
      <c r="C157" s="30"/>
      <c r="D157" s="30"/>
      <c r="E157" s="30"/>
      <c r="F157" s="30"/>
      <c r="G157" s="30"/>
      <c r="H157" s="30"/>
      <c r="I157" s="30"/>
      <c r="J157" s="30">
        <f>IFERROR(__xludf.DUMMYFUNCTION("""COMPUTED_VALUE"""),-11.059343513011441)</f>
        <v>-11.05934351</v>
      </c>
      <c r="K157" s="30"/>
      <c r="L157" s="30"/>
      <c r="M157" s="30"/>
      <c r="N157" s="30"/>
      <c r="O157" s="30">
        <f>IFERROR(__xludf.DUMMYFUNCTION("""COMPUTED_VALUE"""),-2.630874715592867)</f>
        <v>-2.630874716</v>
      </c>
      <c r="P157" s="30">
        <f>IFERROR(__xludf.DUMMYFUNCTION("""COMPUTED_VALUE"""),4.463999088063446)</f>
        <v>4.463999088</v>
      </c>
      <c r="Q157" s="30"/>
      <c r="R157" s="30"/>
      <c r="S157" s="30"/>
      <c r="T157" s="30"/>
      <c r="U157" s="30">
        <v>0.0</v>
      </c>
      <c r="V157" s="30"/>
      <c r="W157" s="30"/>
      <c r="X157" s="30"/>
      <c r="Y157" s="5">
        <f>IFERROR(__xludf.DUMMYFUNCTION("""COMPUTED_VALUE"""),74.0)</f>
        <v>74</v>
      </c>
      <c r="Z157" s="5">
        <f>IFERROR(__xludf.DUMMYFUNCTION("""COMPUTED_VALUE"""),80.0)</f>
        <v>80</v>
      </c>
    </row>
    <row r="158">
      <c r="A158" s="30" t="s">
        <v>1021</v>
      </c>
      <c r="B158" s="30">
        <f>IFERROR(__xludf.DUMMYFUNCTION("""COMPUTED_VALUE"""),79.5)</f>
        <v>79.5</v>
      </c>
      <c r="C158" s="30"/>
      <c r="D158" s="30"/>
      <c r="E158" s="30"/>
      <c r="F158" s="30"/>
      <c r="G158" s="30"/>
      <c r="H158" s="30"/>
      <c r="I158" s="30"/>
      <c r="J158" s="30">
        <f>IFERROR(__xludf.DUMMYFUNCTION("""COMPUTED_VALUE"""),-11.059343513011441)</f>
        <v>-11.05934351</v>
      </c>
      <c r="K158" s="30"/>
      <c r="L158" s="30"/>
      <c r="M158" s="30"/>
      <c r="N158" s="30"/>
      <c r="O158" s="30">
        <f>IFERROR(__xludf.DUMMYFUNCTION("""COMPUTED_VALUE"""),-2.630874715592867)</f>
        <v>-2.630874716</v>
      </c>
      <c r="P158" s="30">
        <f>IFERROR(__xludf.DUMMYFUNCTION("""COMPUTED_VALUE"""),4.463999088063446)</f>
        <v>4.463999088</v>
      </c>
      <c r="Q158" s="30"/>
      <c r="R158" s="30"/>
      <c r="S158" s="30"/>
      <c r="T158" s="30"/>
      <c r="U158" s="30">
        <v>0.0</v>
      </c>
      <c r="V158" s="30"/>
      <c r="W158" s="30"/>
      <c r="X158" s="30"/>
      <c r="Y158" s="5">
        <f>IFERROR(__xludf.DUMMYFUNCTION("""COMPUTED_VALUE"""),79.0)</f>
        <v>79</v>
      </c>
      <c r="Z158" s="5">
        <f>IFERROR(__xludf.DUMMYFUNCTION("""COMPUTED_VALUE"""),80.0)</f>
        <v>80</v>
      </c>
    </row>
    <row r="159">
      <c r="A159" s="30" t="s">
        <v>1030</v>
      </c>
      <c r="B159" s="30">
        <f>IFERROR(__xludf.DUMMYFUNCTION("""COMPUTED_VALUE"""),78.5)</f>
        <v>78.5</v>
      </c>
      <c r="C159" s="30"/>
      <c r="D159" s="30"/>
      <c r="E159" s="30"/>
      <c r="F159" s="30"/>
      <c r="G159" s="30"/>
      <c r="H159" s="30"/>
      <c r="I159" s="30"/>
      <c r="J159" s="30">
        <f>IFERROR(__xludf.DUMMYFUNCTION("""COMPUTED_VALUE"""),-11.059343513011441)</f>
        <v>-11.05934351</v>
      </c>
      <c r="K159" s="30"/>
      <c r="L159" s="30"/>
      <c r="M159" s="30"/>
      <c r="N159" s="30"/>
      <c r="O159" s="30">
        <f>IFERROR(__xludf.DUMMYFUNCTION("""COMPUTED_VALUE"""),-2.630874715592867)</f>
        <v>-2.630874716</v>
      </c>
      <c r="P159" s="30">
        <f>IFERROR(__xludf.DUMMYFUNCTION("""COMPUTED_VALUE"""),4.463999088063446)</f>
        <v>4.463999088</v>
      </c>
      <c r="Q159" s="30"/>
      <c r="R159" s="30"/>
      <c r="S159" s="30"/>
      <c r="T159" s="30"/>
      <c r="U159" s="30">
        <v>0.0</v>
      </c>
      <c r="V159" s="30"/>
      <c r="W159" s="30"/>
      <c r="X159" s="30"/>
      <c r="Y159" s="5">
        <f>IFERROR(__xludf.DUMMYFUNCTION("""COMPUTED_VALUE"""),77.0)</f>
        <v>77</v>
      </c>
      <c r="Z159" s="5">
        <f>IFERROR(__xludf.DUMMYFUNCTION("""COMPUTED_VALUE"""),80.0)</f>
        <v>80</v>
      </c>
    </row>
    <row r="160">
      <c r="A160" s="30" t="s">
        <v>307</v>
      </c>
      <c r="B160" s="30">
        <f>IFERROR(__xludf.DUMMYFUNCTION("""COMPUTED_VALUE"""),78.5)</f>
        <v>78.5</v>
      </c>
      <c r="C160" s="30"/>
      <c r="D160" s="30"/>
      <c r="E160" s="30"/>
      <c r="F160" s="30"/>
      <c r="G160" s="30"/>
      <c r="H160" s="30"/>
      <c r="I160" s="30"/>
      <c r="J160" s="30">
        <f>IFERROR(__xludf.DUMMYFUNCTION("""COMPUTED_VALUE"""),-11.059343513011441)</f>
        <v>-11.05934351</v>
      </c>
      <c r="K160" s="30"/>
      <c r="L160" s="30"/>
      <c r="M160" s="30"/>
      <c r="N160" s="30"/>
      <c r="O160" s="30">
        <f>IFERROR(__xludf.DUMMYFUNCTION("""COMPUTED_VALUE"""),-2.630874715592867)</f>
        <v>-2.630874716</v>
      </c>
      <c r="P160" s="30">
        <f>IFERROR(__xludf.DUMMYFUNCTION("""COMPUTED_VALUE"""),4.463999088063446)</f>
        <v>4.463999088</v>
      </c>
      <c r="Q160" s="30"/>
      <c r="R160" s="30"/>
      <c r="S160" s="30"/>
      <c r="T160" s="30"/>
      <c r="U160" s="30">
        <v>0.0</v>
      </c>
      <c r="V160" s="30"/>
      <c r="W160" s="30"/>
      <c r="X160" s="30"/>
      <c r="Y160" s="5">
        <f>IFERROR(__xludf.DUMMYFUNCTION("""COMPUTED_VALUE"""),77.0)</f>
        <v>77</v>
      </c>
      <c r="Z160" s="5">
        <f>IFERROR(__xludf.DUMMYFUNCTION("""COMPUTED_VALUE"""),80.0)</f>
        <v>80</v>
      </c>
    </row>
    <row r="161">
      <c r="A161" s="30" t="s">
        <v>1042</v>
      </c>
      <c r="B161" s="30">
        <f>IFERROR(__xludf.DUMMYFUNCTION("""COMPUTED_VALUE"""),79.0)</f>
        <v>79</v>
      </c>
      <c r="C161" s="30"/>
      <c r="D161" s="30"/>
      <c r="E161" s="30"/>
      <c r="F161" s="30"/>
      <c r="G161" s="30"/>
      <c r="H161" s="30"/>
      <c r="I161" s="30"/>
      <c r="J161" s="30">
        <f>IFERROR(__xludf.DUMMYFUNCTION("""COMPUTED_VALUE"""),-11.059343513011441)</f>
        <v>-11.05934351</v>
      </c>
      <c r="K161" s="30"/>
      <c r="L161" s="30"/>
      <c r="M161" s="30"/>
      <c r="N161" s="30"/>
      <c r="O161" s="30">
        <f>IFERROR(__xludf.DUMMYFUNCTION("""COMPUTED_VALUE"""),-2.630874715592867)</f>
        <v>-2.630874716</v>
      </c>
      <c r="P161" s="30">
        <f>IFERROR(__xludf.DUMMYFUNCTION("""COMPUTED_VALUE"""),4.463999088063446)</f>
        <v>4.463999088</v>
      </c>
      <c r="Q161" s="30"/>
      <c r="R161" s="30"/>
      <c r="S161" s="30"/>
      <c r="T161" s="30"/>
      <c r="U161" s="30">
        <v>0.0</v>
      </c>
      <c r="V161" s="30"/>
      <c r="W161" s="30"/>
      <c r="X161" s="30"/>
      <c r="Y161" s="5">
        <f>IFERROR(__xludf.DUMMYFUNCTION("""COMPUTED_VALUE"""),78.0)</f>
        <v>78</v>
      </c>
      <c r="Z161" s="5">
        <f>IFERROR(__xludf.DUMMYFUNCTION("""COMPUTED_VALUE"""),80.0)</f>
        <v>80</v>
      </c>
    </row>
    <row r="162">
      <c r="A162" s="30" t="s">
        <v>1047</v>
      </c>
      <c r="B162" s="30">
        <f>IFERROR(__xludf.DUMMYFUNCTION("""COMPUTED_VALUE"""),80.0)</f>
        <v>80</v>
      </c>
      <c r="C162" s="30"/>
      <c r="D162" s="30"/>
      <c r="E162" s="30"/>
      <c r="F162" s="30"/>
      <c r="G162" s="30"/>
      <c r="H162" s="30"/>
      <c r="I162" s="30"/>
      <c r="J162" s="30">
        <f>IFERROR(__xludf.DUMMYFUNCTION("""COMPUTED_VALUE"""),-11.059343513011441)</f>
        <v>-11.05934351</v>
      </c>
      <c r="K162" s="30"/>
      <c r="L162" s="30"/>
      <c r="M162" s="30"/>
      <c r="N162" s="30"/>
      <c r="O162" s="30">
        <f>IFERROR(__xludf.DUMMYFUNCTION("""COMPUTED_VALUE"""),-2.630874715592867)</f>
        <v>-2.630874716</v>
      </c>
      <c r="P162" s="30">
        <f>IFERROR(__xludf.DUMMYFUNCTION("""COMPUTED_VALUE"""),4.463999088063446)</f>
        <v>4.463999088</v>
      </c>
      <c r="Q162" s="30"/>
      <c r="R162" s="30"/>
      <c r="S162" s="30"/>
      <c r="T162" s="30"/>
      <c r="U162" s="30">
        <v>0.0</v>
      </c>
      <c r="V162" s="30"/>
      <c r="W162" s="30"/>
      <c r="X162" s="30"/>
      <c r="Y162" s="5">
        <f>IFERROR(__xludf.DUMMYFUNCTION("""COMPUTED_VALUE"""),80.0)</f>
        <v>80</v>
      </c>
      <c r="Z162" s="5">
        <f>IFERROR(__xludf.DUMMYFUNCTION("""COMPUTED_VALUE"""),80.0)</f>
        <v>80</v>
      </c>
    </row>
    <row r="163">
      <c r="A163" s="30" t="s">
        <v>500</v>
      </c>
      <c r="B163" s="30">
        <f>IFERROR(__xludf.DUMMYFUNCTION("""COMPUTED_VALUE"""),77.5)</f>
        <v>77.5</v>
      </c>
      <c r="C163" s="30"/>
      <c r="D163" s="30"/>
      <c r="E163" s="30"/>
      <c r="F163" s="30"/>
      <c r="G163" s="30"/>
      <c r="H163" s="30"/>
      <c r="I163" s="30"/>
      <c r="J163" s="30">
        <f>IFERROR(__xludf.DUMMYFUNCTION("""COMPUTED_VALUE"""),-11.059343513011441)</f>
        <v>-11.05934351</v>
      </c>
      <c r="K163" s="30"/>
      <c r="L163" s="30"/>
      <c r="M163" s="30"/>
      <c r="N163" s="30"/>
      <c r="O163" s="30">
        <f>IFERROR(__xludf.DUMMYFUNCTION("""COMPUTED_VALUE"""),-2.630874715592867)</f>
        <v>-2.630874716</v>
      </c>
      <c r="P163" s="30">
        <f>IFERROR(__xludf.DUMMYFUNCTION("""COMPUTED_VALUE"""),4.463999088063446)</f>
        <v>4.463999088</v>
      </c>
      <c r="Q163" s="30"/>
      <c r="R163" s="30"/>
      <c r="S163" s="30"/>
      <c r="T163" s="30"/>
      <c r="U163" s="30">
        <v>0.0</v>
      </c>
      <c r="V163" s="30"/>
      <c r="W163" s="30"/>
      <c r="X163" s="30"/>
      <c r="Y163" s="5">
        <f>IFERROR(__xludf.DUMMYFUNCTION("""COMPUTED_VALUE"""),77.0)</f>
        <v>77</v>
      </c>
      <c r="Z163" s="5">
        <f>IFERROR(__xludf.DUMMYFUNCTION("""COMPUTED_VALUE"""),78.0)</f>
        <v>78</v>
      </c>
    </row>
    <row r="164">
      <c r="A164" s="30" t="s">
        <v>372</v>
      </c>
      <c r="B164" s="30">
        <f>IFERROR(__xludf.DUMMYFUNCTION("""COMPUTED_VALUE"""),78.5)</f>
        <v>78.5</v>
      </c>
      <c r="C164" s="30"/>
      <c r="D164" s="30"/>
      <c r="E164" s="30"/>
      <c r="F164" s="30"/>
      <c r="G164" s="30"/>
      <c r="H164" s="30"/>
      <c r="I164" s="30"/>
      <c r="J164" s="30">
        <f>IFERROR(__xludf.DUMMYFUNCTION("""COMPUTED_VALUE"""),-11.059343513011441)</f>
        <v>-11.05934351</v>
      </c>
      <c r="K164" s="30"/>
      <c r="L164" s="30"/>
      <c r="M164" s="30"/>
      <c r="N164" s="30"/>
      <c r="O164" s="30">
        <f>IFERROR(__xludf.DUMMYFUNCTION("""COMPUTED_VALUE"""),-2.630874715592867)</f>
        <v>-2.630874716</v>
      </c>
      <c r="P164" s="30">
        <f>IFERROR(__xludf.DUMMYFUNCTION("""COMPUTED_VALUE"""),4.463999088063446)</f>
        <v>4.463999088</v>
      </c>
      <c r="Q164" s="30"/>
      <c r="R164" s="30"/>
      <c r="S164" s="30"/>
      <c r="T164" s="30"/>
      <c r="U164" s="30">
        <v>0.0</v>
      </c>
      <c r="V164" s="30"/>
      <c r="W164" s="30"/>
      <c r="X164" s="30"/>
      <c r="Y164" s="5">
        <f>IFERROR(__xludf.DUMMYFUNCTION("""COMPUTED_VALUE"""),77.0)</f>
        <v>77</v>
      </c>
      <c r="Z164" s="5">
        <f>IFERROR(__xludf.DUMMYFUNCTION("""COMPUTED_VALUE"""),80.0)</f>
        <v>80</v>
      </c>
    </row>
    <row r="165">
      <c r="A165" s="30" t="s">
        <v>1064</v>
      </c>
      <c r="B165" s="30">
        <f>IFERROR(__xludf.DUMMYFUNCTION("""COMPUTED_VALUE"""),77.0)</f>
        <v>77</v>
      </c>
      <c r="C165" s="30"/>
      <c r="D165" s="30"/>
      <c r="E165" s="30"/>
      <c r="F165" s="30"/>
      <c r="G165" s="30"/>
      <c r="H165" s="30"/>
      <c r="I165" s="30"/>
      <c r="J165" s="30">
        <f>IFERROR(__xludf.DUMMYFUNCTION("""COMPUTED_VALUE"""),-11.059343513011441)</f>
        <v>-11.05934351</v>
      </c>
      <c r="K165" s="30"/>
      <c r="L165" s="30"/>
      <c r="M165" s="30"/>
      <c r="N165" s="30"/>
      <c r="O165" s="30">
        <f>IFERROR(__xludf.DUMMYFUNCTION("""COMPUTED_VALUE"""),-2.630874715592867)</f>
        <v>-2.630874716</v>
      </c>
      <c r="P165" s="30">
        <f>IFERROR(__xludf.DUMMYFUNCTION("""COMPUTED_VALUE"""),4.463999088063446)</f>
        <v>4.463999088</v>
      </c>
      <c r="Q165" s="30"/>
      <c r="R165" s="30"/>
      <c r="S165" s="30"/>
      <c r="T165" s="30"/>
      <c r="U165" s="30">
        <v>0.0</v>
      </c>
      <c r="V165" s="30"/>
      <c r="W165" s="30"/>
      <c r="X165" s="30"/>
      <c r="Y165" s="5">
        <f>IFERROR(__xludf.DUMMYFUNCTION("""COMPUTED_VALUE"""),77.0)</f>
        <v>77</v>
      </c>
      <c r="Z165" s="5">
        <f>IFERROR(__xludf.DUMMYFUNCTION("""COMPUTED_VALUE"""),77.0)</f>
        <v>77</v>
      </c>
    </row>
    <row r="166">
      <c r="A166" s="30" t="s">
        <v>558</v>
      </c>
      <c r="B166" s="30">
        <f>IFERROR(__xludf.DUMMYFUNCTION("""COMPUTED_VALUE"""),78.5)</f>
        <v>78.5</v>
      </c>
      <c r="C166" s="30"/>
      <c r="D166" s="30"/>
      <c r="E166" s="30"/>
      <c r="F166" s="30"/>
      <c r="G166" s="30"/>
      <c r="H166" s="30"/>
      <c r="I166" s="30"/>
      <c r="J166" s="30">
        <f>IFERROR(__xludf.DUMMYFUNCTION("""COMPUTED_VALUE"""),-11.059343513011441)</f>
        <v>-11.05934351</v>
      </c>
      <c r="K166" s="30"/>
      <c r="L166" s="30"/>
      <c r="M166" s="30"/>
      <c r="N166" s="30"/>
      <c r="O166" s="30">
        <f>IFERROR(__xludf.DUMMYFUNCTION("""COMPUTED_VALUE"""),-2.630874715592867)</f>
        <v>-2.630874716</v>
      </c>
      <c r="P166" s="30">
        <f>IFERROR(__xludf.DUMMYFUNCTION("""COMPUTED_VALUE"""),4.463999088063446)</f>
        <v>4.463999088</v>
      </c>
      <c r="Q166" s="30"/>
      <c r="R166" s="30"/>
      <c r="S166" s="30"/>
      <c r="T166" s="30"/>
      <c r="U166" s="30">
        <v>0.0</v>
      </c>
      <c r="V166" s="30"/>
      <c r="W166" s="30"/>
      <c r="X166" s="30"/>
      <c r="Y166" s="5">
        <f>IFERROR(__xludf.DUMMYFUNCTION("""COMPUTED_VALUE"""),77.0)</f>
        <v>77</v>
      </c>
      <c r="Z166" s="5">
        <f>IFERROR(__xludf.DUMMYFUNCTION("""COMPUTED_VALUE"""),80.0)</f>
        <v>80</v>
      </c>
    </row>
    <row r="167">
      <c r="A167" s="30" t="s">
        <v>257</v>
      </c>
      <c r="B167" s="30">
        <f>IFERROR(__xludf.DUMMYFUNCTION("""COMPUTED_VALUE"""),78.5)</f>
        <v>78.5</v>
      </c>
      <c r="C167" s="30"/>
      <c r="D167" s="30"/>
      <c r="E167" s="30"/>
      <c r="F167" s="30"/>
      <c r="G167" s="30"/>
      <c r="H167" s="30"/>
      <c r="I167" s="30"/>
      <c r="J167" s="30">
        <f>IFERROR(__xludf.DUMMYFUNCTION("""COMPUTED_VALUE"""),-11.059343513011441)</f>
        <v>-11.05934351</v>
      </c>
      <c r="K167" s="30"/>
      <c r="L167" s="30"/>
      <c r="M167" s="30"/>
      <c r="N167" s="30"/>
      <c r="O167" s="30">
        <f>IFERROR(__xludf.DUMMYFUNCTION("""COMPUTED_VALUE"""),-2.630874715592867)</f>
        <v>-2.630874716</v>
      </c>
      <c r="P167" s="30">
        <f>IFERROR(__xludf.DUMMYFUNCTION("""COMPUTED_VALUE"""),4.463999088063446)</f>
        <v>4.463999088</v>
      </c>
      <c r="Q167" s="30"/>
      <c r="R167" s="30"/>
      <c r="S167" s="30"/>
      <c r="T167" s="30"/>
      <c r="U167" s="30">
        <v>0.0</v>
      </c>
      <c r="V167" s="30"/>
      <c r="W167" s="30"/>
      <c r="X167" s="30"/>
      <c r="Y167" s="5">
        <f>IFERROR(__xludf.DUMMYFUNCTION("""COMPUTED_VALUE"""),77.0)</f>
        <v>77</v>
      </c>
      <c r="Z167" s="5">
        <f>IFERROR(__xludf.DUMMYFUNCTION("""COMPUTED_VALUE"""),80.0)</f>
        <v>80</v>
      </c>
    </row>
    <row r="168">
      <c r="A168" s="30" t="s">
        <v>1078</v>
      </c>
      <c r="B168" s="30">
        <f>IFERROR(__xludf.DUMMYFUNCTION("""COMPUTED_VALUE"""),78.5)</f>
        <v>78.5</v>
      </c>
      <c r="C168" s="30"/>
      <c r="D168" s="30"/>
      <c r="E168" s="30"/>
      <c r="F168" s="30"/>
      <c r="G168" s="30"/>
      <c r="H168" s="30"/>
      <c r="I168" s="30"/>
      <c r="J168" s="30">
        <f>IFERROR(__xludf.DUMMYFUNCTION("""COMPUTED_VALUE"""),-11.059343513011441)</f>
        <v>-11.05934351</v>
      </c>
      <c r="K168" s="30"/>
      <c r="L168" s="30"/>
      <c r="M168" s="30"/>
      <c r="N168" s="30"/>
      <c r="O168" s="30">
        <f>IFERROR(__xludf.DUMMYFUNCTION("""COMPUTED_VALUE"""),-2.630874715592867)</f>
        <v>-2.630874716</v>
      </c>
      <c r="P168" s="30">
        <f>IFERROR(__xludf.DUMMYFUNCTION("""COMPUTED_VALUE"""),4.463999088063446)</f>
        <v>4.463999088</v>
      </c>
      <c r="Q168" s="30"/>
      <c r="R168" s="30"/>
      <c r="S168" s="30"/>
      <c r="T168" s="30"/>
      <c r="U168" s="30">
        <v>0.0</v>
      </c>
      <c r="V168" s="30"/>
      <c r="W168" s="30"/>
      <c r="X168" s="30"/>
      <c r="Y168" s="5">
        <f>IFERROR(__xludf.DUMMYFUNCTION("""COMPUTED_VALUE"""),78.0)</f>
        <v>78</v>
      </c>
      <c r="Z168" s="5">
        <f>IFERROR(__xludf.DUMMYFUNCTION("""COMPUTED_VALUE"""),79.0)</f>
        <v>79</v>
      </c>
    </row>
    <row r="169">
      <c r="A169" s="30" t="s">
        <v>527</v>
      </c>
      <c r="B169" s="30">
        <f>IFERROR(__xludf.DUMMYFUNCTION("""COMPUTED_VALUE"""),80.0)</f>
        <v>80</v>
      </c>
      <c r="C169" s="30"/>
      <c r="D169" s="30"/>
      <c r="E169" s="30"/>
      <c r="F169" s="30"/>
      <c r="G169" s="30"/>
      <c r="H169" s="30"/>
      <c r="I169" s="30"/>
      <c r="J169" s="30">
        <f>IFERROR(__xludf.DUMMYFUNCTION("""COMPUTED_VALUE"""),-11.059343513011441)</f>
        <v>-11.05934351</v>
      </c>
      <c r="K169" s="30"/>
      <c r="L169" s="30"/>
      <c r="M169" s="30"/>
      <c r="N169" s="30"/>
      <c r="O169" s="30">
        <f>IFERROR(__xludf.DUMMYFUNCTION("""COMPUTED_VALUE"""),-2.630874715592867)</f>
        <v>-2.630874716</v>
      </c>
      <c r="P169" s="30">
        <f>IFERROR(__xludf.DUMMYFUNCTION("""COMPUTED_VALUE"""),4.463999088063446)</f>
        <v>4.463999088</v>
      </c>
      <c r="Q169" s="30"/>
      <c r="R169" s="30"/>
      <c r="S169" s="30"/>
      <c r="T169" s="30"/>
      <c r="U169" s="30">
        <v>0.0</v>
      </c>
      <c r="V169" s="30"/>
      <c r="W169" s="30"/>
      <c r="X169" s="30"/>
      <c r="Y169" s="5">
        <f>IFERROR(__xludf.DUMMYFUNCTION("""COMPUTED_VALUE"""),80.0)</f>
        <v>80</v>
      </c>
      <c r="Z169" s="5">
        <f>IFERROR(__xludf.DUMMYFUNCTION("""COMPUTED_VALUE"""),80.0)</f>
        <v>80</v>
      </c>
    </row>
    <row r="170">
      <c r="A170" s="30" t="s">
        <v>692</v>
      </c>
      <c r="B170" s="30">
        <f>IFERROR(__xludf.DUMMYFUNCTION("""COMPUTED_VALUE"""),77.0)</f>
        <v>77</v>
      </c>
      <c r="C170" s="30"/>
      <c r="D170" s="30"/>
      <c r="E170" s="30"/>
      <c r="F170" s="30"/>
      <c r="G170" s="30"/>
      <c r="H170" s="30"/>
      <c r="I170" s="30"/>
      <c r="J170" s="30">
        <f>IFERROR(__xludf.DUMMYFUNCTION("""COMPUTED_VALUE"""),-11.059343513011441)</f>
        <v>-11.05934351</v>
      </c>
      <c r="K170" s="30"/>
      <c r="L170" s="30"/>
      <c r="M170" s="30"/>
      <c r="N170" s="30"/>
      <c r="O170" s="30">
        <f>IFERROR(__xludf.DUMMYFUNCTION("""COMPUTED_VALUE"""),-2.630874715592867)</f>
        <v>-2.630874716</v>
      </c>
      <c r="P170" s="30">
        <f>IFERROR(__xludf.DUMMYFUNCTION("""COMPUTED_VALUE"""),4.463999088063446)</f>
        <v>4.463999088</v>
      </c>
      <c r="Q170" s="30"/>
      <c r="R170" s="30"/>
      <c r="S170" s="30"/>
      <c r="T170" s="30"/>
      <c r="U170" s="30">
        <v>0.0</v>
      </c>
      <c r="V170" s="30"/>
      <c r="W170" s="30"/>
      <c r="X170" s="30"/>
      <c r="Y170" s="5">
        <f>IFERROR(__xludf.DUMMYFUNCTION("""COMPUTED_VALUE"""),74.0)</f>
        <v>74</v>
      </c>
      <c r="Z170" s="5">
        <f>IFERROR(__xludf.DUMMYFUNCTION("""COMPUTED_VALUE"""),80.0)</f>
        <v>80</v>
      </c>
    </row>
    <row r="171">
      <c r="A171" s="30" t="s">
        <v>1100</v>
      </c>
      <c r="B171" s="30">
        <f>IFERROR(__xludf.DUMMYFUNCTION("""COMPUTED_VALUE"""),80.0)</f>
        <v>80</v>
      </c>
      <c r="C171" s="30"/>
      <c r="D171" s="30"/>
      <c r="E171" s="30"/>
      <c r="F171" s="30"/>
      <c r="G171" s="30"/>
      <c r="H171" s="30"/>
      <c r="I171" s="30"/>
      <c r="J171" s="30">
        <f>IFERROR(__xludf.DUMMYFUNCTION("""COMPUTED_VALUE"""),-11.059343513011441)</f>
        <v>-11.05934351</v>
      </c>
      <c r="K171" s="30"/>
      <c r="L171" s="30"/>
      <c r="M171" s="30"/>
      <c r="N171" s="30"/>
      <c r="O171" s="30">
        <f>IFERROR(__xludf.DUMMYFUNCTION("""COMPUTED_VALUE"""),-2.630874715592867)</f>
        <v>-2.630874716</v>
      </c>
      <c r="P171" s="30">
        <f>IFERROR(__xludf.DUMMYFUNCTION("""COMPUTED_VALUE"""),4.463999088063446)</f>
        <v>4.463999088</v>
      </c>
      <c r="Q171" s="30"/>
      <c r="R171" s="30"/>
      <c r="S171" s="30"/>
      <c r="T171" s="30"/>
      <c r="U171" s="30">
        <v>0.0</v>
      </c>
      <c r="V171" s="30"/>
      <c r="W171" s="30"/>
      <c r="X171" s="30"/>
      <c r="Y171" s="5">
        <f>IFERROR(__xludf.DUMMYFUNCTION("""COMPUTED_VALUE"""),80.0)</f>
        <v>80</v>
      </c>
      <c r="Z171" s="5">
        <f>IFERROR(__xludf.DUMMYFUNCTION("""COMPUTED_VALUE"""),80.0)</f>
        <v>80</v>
      </c>
    </row>
    <row r="172">
      <c r="A172" s="30" t="s">
        <v>1101</v>
      </c>
      <c r="B172" s="30">
        <f>IFERROR(__xludf.DUMMYFUNCTION("""COMPUTED_VALUE"""),78.0)</f>
        <v>78</v>
      </c>
      <c r="C172" s="30"/>
      <c r="D172" s="30"/>
      <c r="E172" s="30"/>
      <c r="F172" s="30"/>
      <c r="G172" s="30"/>
      <c r="H172" s="30"/>
      <c r="I172" s="30"/>
      <c r="J172" s="30">
        <f>IFERROR(__xludf.DUMMYFUNCTION("""COMPUTED_VALUE"""),-11.059343513011441)</f>
        <v>-11.05934351</v>
      </c>
      <c r="K172" s="30"/>
      <c r="L172" s="30"/>
      <c r="M172" s="30"/>
      <c r="N172" s="30"/>
      <c r="O172" s="30">
        <f>IFERROR(__xludf.DUMMYFUNCTION("""COMPUTED_VALUE"""),-2.630874715592867)</f>
        <v>-2.630874716</v>
      </c>
      <c r="P172" s="30">
        <f>IFERROR(__xludf.DUMMYFUNCTION("""COMPUTED_VALUE"""),4.463999088063446)</f>
        <v>4.463999088</v>
      </c>
      <c r="Q172" s="30"/>
      <c r="R172" s="30"/>
      <c r="S172" s="30"/>
      <c r="T172" s="30"/>
      <c r="U172" s="30">
        <v>0.0</v>
      </c>
      <c r="V172" s="30"/>
      <c r="W172" s="30"/>
      <c r="X172" s="30"/>
      <c r="Y172" s="5">
        <f>IFERROR(__xludf.DUMMYFUNCTION("""COMPUTED_VALUE"""),78.0)</f>
        <v>78</v>
      </c>
      <c r="Z172" s="5">
        <f>IFERROR(__xludf.DUMMYFUNCTION("""COMPUTED_VALUE"""),78.0)</f>
        <v>78</v>
      </c>
    </row>
    <row r="173">
      <c r="A173" s="30" t="s">
        <v>456</v>
      </c>
      <c r="B173" s="30">
        <f>IFERROR(__xludf.DUMMYFUNCTION("""COMPUTED_VALUE"""),78.0)</f>
        <v>78</v>
      </c>
      <c r="C173" s="30"/>
      <c r="D173" s="30"/>
      <c r="E173" s="30"/>
      <c r="F173" s="30"/>
      <c r="G173" s="30"/>
      <c r="H173" s="30"/>
      <c r="I173" s="30"/>
      <c r="J173" s="30">
        <f>IFERROR(__xludf.DUMMYFUNCTION("""COMPUTED_VALUE"""),-11.059343513011441)</f>
        <v>-11.05934351</v>
      </c>
      <c r="K173" s="30"/>
      <c r="L173" s="30"/>
      <c r="M173" s="30"/>
      <c r="N173" s="30"/>
      <c r="O173" s="30">
        <f>IFERROR(__xludf.DUMMYFUNCTION("""COMPUTED_VALUE"""),-2.630874715592867)</f>
        <v>-2.630874716</v>
      </c>
      <c r="P173" s="30">
        <f>IFERROR(__xludf.DUMMYFUNCTION("""COMPUTED_VALUE"""),4.463999088063446)</f>
        <v>4.463999088</v>
      </c>
      <c r="Q173" s="30"/>
      <c r="R173" s="30"/>
      <c r="S173" s="30"/>
      <c r="T173" s="30"/>
      <c r="U173" s="30">
        <v>0.0</v>
      </c>
      <c r="V173" s="30"/>
      <c r="W173" s="30"/>
      <c r="X173" s="30"/>
      <c r="Y173" s="5">
        <f>IFERROR(__xludf.DUMMYFUNCTION("""COMPUTED_VALUE"""),76.0)</f>
        <v>76</v>
      </c>
      <c r="Z173" s="5">
        <f>IFERROR(__xludf.DUMMYFUNCTION("""COMPUTED_VALUE"""),80.0)</f>
        <v>80</v>
      </c>
    </row>
    <row r="174">
      <c r="A174" s="30" t="s">
        <v>608</v>
      </c>
      <c r="B174" s="30">
        <f>IFERROR(__xludf.DUMMYFUNCTION("""COMPUTED_VALUE"""),79.0)</f>
        <v>79</v>
      </c>
      <c r="C174" s="30"/>
      <c r="D174" s="30"/>
      <c r="E174" s="30"/>
      <c r="F174" s="30"/>
      <c r="G174" s="30"/>
      <c r="H174" s="30"/>
      <c r="I174" s="30"/>
      <c r="J174" s="30">
        <f>IFERROR(__xludf.DUMMYFUNCTION("""COMPUTED_VALUE"""),-11.059343513011441)</f>
        <v>-11.05934351</v>
      </c>
      <c r="K174" s="30"/>
      <c r="L174" s="30"/>
      <c r="M174" s="30"/>
      <c r="N174" s="30"/>
      <c r="O174" s="30">
        <f>IFERROR(__xludf.DUMMYFUNCTION("""COMPUTED_VALUE"""),-2.630874715592867)</f>
        <v>-2.630874716</v>
      </c>
      <c r="P174" s="30">
        <f>IFERROR(__xludf.DUMMYFUNCTION("""COMPUTED_VALUE"""),4.463999088063446)</f>
        <v>4.463999088</v>
      </c>
      <c r="Q174" s="30"/>
      <c r="R174" s="30"/>
      <c r="S174" s="30"/>
      <c r="T174" s="30"/>
      <c r="U174" s="30">
        <v>0.0</v>
      </c>
      <c r="V174" s="30"/>
      <c r="W174" s="30"/>
      <c r="X174" s="30"/>
      <c r="Y174" s="5">
        <f>IFERROR(__xludf.DUMMYFUNCTION("""COMPUTED_VALUE"""),79.0)</f>
        <v>79</v>
      </c>
      <c r="Z174" s="5">
        <f>IFERROR(__xludf.DUMMYFUNCTION("""COMPUTED_VALUE"""),79.0)</f>
        <v>79</v>
      </c>
    </row>
    <row r="175">
      <c r="A175" s="30" t="s">
        <v>1110</v>
      </c>
      <c r="B175" s="30">
        <f>IFERROR(__xludf.DUMMYFUNCTION("""COMPUTED_VALUE"""),80.0)</f>
        <v>80</v>
      </c>
      <c r="C175" s="30"/>
      <c r="D175" s="30"/>
      <c r="E175" s="30"/>
      <c r="F175" s="30"/>
      <c r="G175" s="30"/>
      <c r="H175" s="30"/>
      <c r="I175" s="30"/>
      <c r="J175" s="30">
        <f>IFERROR(__xludf.DUMMYFUNCTION("""COMPUTED_VALUE"""),-11.059343513011441)</f>
        <v>-11.05934351</v>
      </c>
      <c r="K175" s="30"/>
      <c r="L175" s="30"/>
      <c r="M175" s="30"/>
      <c r="N175" s="30"/>
      <c r="O175" s="30">
        <f>IFERROR(__xludf.DUMMYFUNCTION("""COMPUTED_VALUE"""),-2.630874715592867)</f>
        <v>-2.630874716</v>
      </c>
      <c r="P175" s="30">
        <f>IFERROR(__xludf.DUMMYFUNCTION("""COMPUTED_VALUE"""),4.463999088063446)</f>
        <v>4.463999088</v>
      </c>
      <c r="Q175" s="30"/>
      <c r="R175" s="30"/>
      <c r="S175" s="30"/>
      <c r="T175" s="30"/>
      <c r="U175" s="30">
        <v>0.0</v>
      </c>
      <c r="V175" s="30"/>
      <c r="W175" s="30"/>
      <c r="X175" s="30"/>
      <c r="Y175" s="5">
        <f>IFERROR(__xludf.DUMMYFUNCTION("""COMPUTED_VALUE"""),80.0)</f>
        <v>80</v>
      </c>
      <c r="Z175" s="5">
        <f>IFERROR(__xludf.DUMMYFUNCTION("""COMPUTED_VALUE"""),80.0)</f>
        <v>80</v>
      </c>
    </row>
    <row r="176">
      <c r="A176" s="30" t="s">
        <v>1114</v>
      </c>
      <c r="B176" s="30">
        <f>IFERROR(__xludf.DUMMYFUNCTION("""COMPUTED_VALUE"""),78.0)</f>
        <v>78</v>
      </c>
      <c r="C176" s="30"/>
      <c r="D176" s="30"/>
      <c r="E176" s="30"/>
      <c r="F176" s="30"/>
      <c r="G176" s="30"/>
      <c r="H176" s="30"/>
      <c r="I176" s="30"/>
      <c r="J176" s="30">
        <f>IFERROR(__xludf.DUMMYFUNCTION("""COMPUTED_VALUE"""),-11.059343513011441)</f>
        <v>-11.05934351</v>
      </c>
      <c r="K176" s="30"/>
      <c r="L176" s="30"/>
      <c r="M176" s="30"/>
      <c r="N176" s="30"/>
      <c r="O176" s="30">
        <f>IFERROR(__xludf.DUMMYFUNCTION("""COMPUTED_VALUE"""),-2.630874715592867)</f>
        <v>-2.630874716</v>
      </c>
      <c r="P176" s="30">
        <f>IFERROR(__xludf.DUMMYFUNCTION("""COMPUTED_VALUE"""),4.463999088063446)</f>
        <v>4.463999088</v>
      </c>
      <c r="Q176" s="30"/>
      <c r="R176" s="30"/>
      <c r="S176" s="30"/>
      <c r="T176" s="30"/>
      <c r="U176" s="30">
        <v>0.0</v>
      </c>
      <c r="V176" s="30"/>
      <c r="W176" s="30"/>
      <c r="X176" s="30"/>
      <c r="Y176" s="5">
        <f>IFERROR(__xludf.DUMMYFUNCTION("""COMPUTED_VALUE"""),78.0)</f>
        <v>78</v>
      </c>
      <c r="Z176" s="5">
        <f>IFERROR(__xludf.DUMMYFUNCTION("""COMPUTED_VALUE"""),78.0)</f>
        <v>78</v>
      </c>
    </row>
    <row r="177">
      <c r="A177" s="30" t="s">
        <v>70</v>
      </c>
      <c r="B177" s="30">
        <f>IFERROR(__xludf.DUMMYFUNCTION("""COMPUTED_VALUE"""),78.5)</f>
        <v>78.5</v>
      </c>
      <c r="C177" s="30"/>
      <c r="D177" s="30"/>
      <c r="E177" s="30"/>
      <c r="F177" s="30"/>
      <c r="G177" s="30"/>
      <c r="H177" s="30"/>
      <c r="I177" s="30"/>
      <c r="J177" s="30">
        <f>IFERROR(__xludf.DUMMYFUNCTION("""COMPUTED_VALUE"""),-11.059343513011441)</f>
        <v>-11.05934351</v>
      </c>
      <c r="K177" s="30"/>
      <c r="L177" s="30"/>
      <c r="M177" s="30"/>
      <c r="N177" s="30"/>
      <c r="O177" s="30">
        <f>IFERROR(__xludf.DUMMYFUNCTION("""COMPUTED_VALUE"""),-2.630874715592867)</f>
        <v>-2.630874716</v>
      </c>
      <c r="P177" s="30">
        <f>IFERROR(__xludf.DUMMYFUNCTION("""COMPUTED_VALUE"""),4.463999088063446)</f>
        <v>4.463999088</v>
      </c>
      <c r="Q177" s="30"/>
      <c r="R177" s="30"/>
      <c r="S177" s="30"/>
      <c r="T177" s="30"/>
      <c r="U177" s="30">
        <v>0.0</v>
      </c>
      <c r="V177" s="30"/>
      <c r="W177" s="30"/>
      <c r="X177" s="30"/>
      <c r="Y177" s="5">
        <f>IFERROR(__xludf.DUMMYFUNCTION("""COMPUTED_VALUE"""),78.0)</f>
        <v>78</v>
      </c>
      <c r="Z177" s="5">
        <f>IFERROR(__xludf.DUMMYFUNCTION("""COMPUTED_VALUE"""),79.0)</f>
        <v>79</v>
      </c>
    </row>
    <row r="178">
      <c r="A178" s="30" t="s">
        <v>273</v>
      </c>
      <c r="B178" s="30">
        <f>IFERROR(__xludf.DUMMYFUNCTION("""COMPUTED_VALUE"""),76.5)</f>
        <v>76.5</v>
      </c>
      <c r="C178" s="30"/>
      <c r="D178" s="30"/>
      <c r="E178" s="30"/>
      <c r="F178" s="30"/>
      <c r="G178" s="30"/>
      <c r="H178" s="30"/>
      <c r="I178" s="30"/>
      <c r="J178" s="30">
        <f>IFERROR(__xludf.DUMMYFUNCTION("""COMPUTED_VALUE"""),-11.059343513011441)</f>
        <v>-11.05934351</v>
      </c>
      <c r="K178" s="30"/>
      <c r="L178" s="30"/>
      <c r="M178" s="30"/>
      <c r="N178" s="30"/>
      <c r="O178" s="30">
        <f>IFERROR(__xludf.DUMMYFUNCTION("""COMPUTED_VALUE"""),-2.630874715592867)</f>
        <v>-2.630874716</v>
      </c>
      <c r="P178" s="30">
        <f>IFERROR(__xludf.DUMMYFUNCTION("""COMPUTED_VALUE"""),4.463999088063446)</f>
        <v>4.463999088</v>
      </c>
      <c r="Q178" s="30"/>
      <c r="R178" s="30"/>
      <c r="S178" s="30"/>
      <c r="T178" s="30"/>
      <c r="U178" s="30">
        <v>0.0</v>
      </c>
      <c r="V178" s="30"/>
      <c r="W178" s="30"/>
      <c r="X178" s="30"/>
      <c r="Y178" s="5">
        <f>IFERROR(__xludf.DUMMYFUNCTION("""COMPUTED_VALUE"""),73.0)</f>
        <v>73</v>
      </c>
      <c r="Z178" s="5">
        <f>IFERROR(__xludf.DUMMYFUNCTION("""COMPUTED_VALUE"""),80.0)</f>
        <v>80</v>
      </c>
    </row>
    <row r="179">
      <c r="A179" s="30" t="s">
        <v>1135</v>
      </c>
      <c r="B179" s="30">
        <f>IFERROR(__xludf.DUMMYFUNCTION("""COMPUTED_VALUE"""),80.0)</f>
        <v>80</v>
      </c>
      <c r="C179" s="30"/>
      <c r="D179" s="30"/>
      <c r="E179" s="30"/>
      <c r="F179" s="30"/>
      <c r="G179" s="30"/>
      <c r="H179" s="30"/>
      <c r="I179" s="30"/>
      <c r="J179" s="30">
        <f>IFERROR(__xludf.DUMMYFUNCTION("""COMPUTED_VALUE"""),-11.059343513011441)</f>
        <v>-11.05934351</v>
      </c>
      <c r="K179" s="30"/>
      <c r="L179" s="30"/>
      <c r="M179" s="30"/>
      <c r="N179" s="30"/>
      <c r="O179" s="30">
        <f>IFERROR(__xludf.DUMMYFUNCTION("""COMPUTED_VALUE"""),-2.630874715592867)</f>
        <v>-2.630874716</v>
      </c>
      <c r="P179" s="30">
        <f>IFERROR(__xludf.DUMMYFUNCTION("""COMPUTED_VALUE"""),4.463999088063446)</f>
        <v>4.463999088</v>
      </c>
      <c r="Q179" s="30"/>
      <c r="R179" s="30"/>
      <c r="S179" s="30"/>
      <c r="T179" s="30"/>
      <c r="U179" s="30">
        <v>0.0</v>
      </c>
      <c r="V179" s="30"/>
      <c r="W179" s="30"/>
      <c r="X179" s="30"/>
      <c r="Y179" s="5">
        <f>IFERROR(__xludf.DUMMYFUNCTION("""COMPUTED_VALUE"""),80.0)</f>
        <v>80</v>
      </c>
      <c r="Z179" s="5">
        <f>IFERROR(__xludf.DUMMYFUNCTION("""COMPUTED_VALUE"""),80.0)</f>
        <v>80</v>
      </c>
    </row>
    <row r="180">
      <c r="A180" s="30" t="s">
        <v>1139</v>
      </c>
      <c r="B180" s="30">
        <f>IFERROR(__xludf.DUMMYFUNCTION("""COMPUTED_VALUE"""),79.0)</f>
        <v>79</v>
      </c>
      <c r="C180" s="30"/>
      <c r="D180" s="30"/>
      <c r="E180" s="30"/>
      <c r="F180" s="30"/>
      <c r="G180" s="30"/>
      <c r="H180" s="30"/>
      <c r="I180" s="30"/>
      <c r="J180" s="30">
        <f>IFERROR(__xludf.DUMMYFUNCTION("""COMPUTED_VALUE"""),-11.059343513011441)</f>
        <v>-11.05934351</v>
      </c>
      <c r="K180" s="30"/>
      <c r="L180" s="30"/>
      <c r="M180" s="30"/>
      <c r="N180" s="30"/>
      <c r="O180" s="30">
        <f>IFERROR(__xludf.DUMMYFUNCTION("""COMPUTED_VALUE"""),-2.630874715592867)</f>
        <v>-2.630874716</v>
      </c>
      <c r="P180" s="30">
        <f>IFERROR(__xludf.DUMMYFUNCTION("""COMPUTED_VALUE"""),4.463999088063446)</f>
        <v>4.463999088</v>
      </c>
      <c r="Q180" s="30"/>
      <c r="R180" s="30"/>
      <c r="S180" s="30"/>
      <c r="T180" s="30"/>
      <c r="U180" s="30">
        <v>0.0</v>
      </c>
      <c r="V180" s="30"/>
      <c r="W180" s="30"/>
      <c r="X180" s="30"/>
      <c r="Y180" s="5">
        <f>IFERROR(__xludf.DUMMYFUNCTION("""COMPUTED_VALUE"""),78.0)</f>
        <v>78</v>
      </c>
      <c r="Z180" s="5">
        <f>IFERROR(__xludf.DUMMYFUNCTION("""COMPUTED_VALUE"""),80.0)</f>
        <v>80</v>
      </c>
    </row>
    <row r="181">
      <c r="A181" s="30" t="s">
        <v>1148</v>
      </c>
      <c r="B181" s="30">
        <f>IFERROR(__xludf.DUMMYFUNCTION("""COMPUTED_VALUE"""),77.0)</f>
        <v>77</v>
      </c>
      <c r="C181" s="30"/>
      <c r="D181" s="30"/>
      <c r="E181" s="30"/>
      <c r="F181" s="30"/>
      <c r="G181" s="30"/>
      <c r="H181" s="30"/>
      <c r="I181" s="30"/>
      <c r="J181" s="30">
        <f>IFERROR(__xludf.DUMMYFUNCTION("""COMPUTED_VALUE"""),-11.059343513011441)</f>
        <v>-11.05934351</v>
      </c>
      <c r="K181" s="30"/>
      <c r="L181" s="30"/>
      <c r="M181" s="30"/>
      <c r="N181" s="30"/>
      <c r="O181" s="30">
        <f>IFERROR(__xludf.DUMMYFUNCTION("""COMPUTED_VALUE"""),-2.630874715592867)</f>
        <v>-2.630874716</v>
      </c>
      <c r="P181" s="30">
        <f>IFERROR(__xludf.DUMMYFUNCTION("""COMPUTED_VALUE"""),4.463999088063446)</f>
        <v>4.463999088</v>
      </c>
      <c r="Q181" s="30"/>
      <c r="R181" s="30"/>
      <c r="S181" s="30"/>
      <c r="T181" s="30"/>
      <c r="U181" s="30">
        <v>0.0</v>
      </c>
      <c r="V181" s="30"/>
      <c r="W181" s="30"/>
      <c r="X181" s="30"/>
      <c r="Y181" s="5">
        <f>IFERROR(__xludf.DUMMYFUNCTION("""COMPUTED_VALUE"""),77.0)</f>
        <v>77</v>
      </c>
      <c r="Z181" s="5">
        <f>IFERROR(__xludf.DUMMYFUNCTION("""COMPUTED_VALUE"""),77.0)</f>
        <v>77</v>
      </c>
    </row>
    <row r="182">
      <c r="A182" s="30" t="s">
        <v>1149</v>
      </c>
      <c r="B182" s="30">
        <f>IFERROR(__xludf.DUMMYFUNCTION("""COMPUTED_VALUE"""),79.5)</f>
        <v>79.5</v>
      </c>
      <c r="C182" s="30"/>
      <c r="D182" s="30"/>
      <c r="E182" s="30"/>
      <c r="F182" s="30"/>
      <c r="G182" s="30"/>
      <c r="H182" s="30"/>
      <c r="I182" s="30"/>
      <c r="J182" s="30">
        <f>IFERROR(__xludf.DUMMYFUNCTION("""COMPUTED_VALUE"""),-11.059343513011441)</f>
        <v>-11.05934351</v>
      </c>
      <c r="K182" s="30"/>
      <c r="L182" s="30"/>
      <c r="M182" s="30"/>
      <c r="N182" s="30"/>
      <c r="O182" s="30">
        <f>IFERROR(__xludf.DUMMYFUNCTION("""COMPUTED_VALUE"""),-2.630874715592867)</f>
        <v>-2.630874716</v>
      </c>
      <c r="P182" s="30">
        <f>IFERROR(__xludf.DUMMYFUNCTION("""COMPUTED_VALUE"""),4.463999088063446)</f>
        <v>4.463999088</v>
      </c>
      <c r="Q182" s="30"/>
      <c r="R182" s="30"/>
      <c r="S182" s="30"/>
      <c r="T182" s="30"/>
      <c r="U182" s="30">
        <v>0.0</v>
      </c>
      <c r="V182" s="30"/>
      <c r="W182" s="30"/>
      <c r="X182" s="30"/>
      <c r="Y182" s="5">
        <f>IFERROR(__xludf.DUMMYFUNCTION("""COMPUTED_VALUE"""),79.0)</f>
        <v>79</v>
      </c>
      <c r="Z182" s="5">
        <f>IFERROR(__xludf.DUMMYFUNCTION("""COMPUTED_VALUE"""),80.0)</f>
        <v>80</v>
      </c>
    </row>
    <row r="183">
      <c r="A183" s="30" t="s">
        <v>1161</v>
      </c>
      <c r="B183" s="30">
        <f>IFERROR(__xludf.DUMMYFUNCTION("""COMPUTED_VALUE"""),79.0)</f>
        <v>79</v>
      </c>
      <c r="C183" s="30"/>
      <c r="D183" s="30"/>
      <c r="E183" s="30"/>
      <c r="F183" s="30"/>
      <c r="G183" s="30"/>
      <c r="H183" s="30"/>
      <c r="I183" s="30"/>
      <c r="J183" s="30">
        <f>IFERROR(__xludf.DUMMYFUNCTION("""COMPUTED_VALUE"""),-11.059343513011441)</f>
        <v>-11.05934351</v>
      </c>
      <c r="K183" s="30"/>
      <c r="L183" s="30"/>
      <c r="M183" s="30"/>
      <c r="N183" s="30"/>
      <c r="O183" s="30">
        <f>IFERROR(__xludf.DUMMYFUNCTION("""COMPUTED_VALUE"""),-2.630874715592867)</f>
        <v>-2.630874716</v>
      </c>
      <c r="P183" s="30">
        <f>IFERROR(__xludf.DUMMYFUNCTION("""COMPUTED_VALUE"""),4.463999088063446)</f>
        <v>4.463999088</v>
      </c>
      <c r="Q183" s="30"/>
      <c r="R183" s="30"/>
      <c r="S183" s="30"/>
      <c r="T183" s="30"/>
      <c r="U183" s="30">
        <v>0.0</v>
      </c>
      <c r="V183" s="30"/>
      <c r="W183" s="30"/>
      <c r="X183" s="30"/>
      <c r="Y183" s="5">
        <f>IFERROR(__xludf.DUMMYFUNCTION("""COMPUTED_VALUE"""),78.0)</f>
        <v>78</v>
      </c>
      <c r="Z183" s="5">
        <f>IFERROR(__xludf.DUMMYFUNCTION("""COMPUTED_VALUE"""),80.0)</f>
        <v>80</v>
      </c>
    </row>
    <row r="184">
      <c r="A184" s="30" t="s">
        <v>1172</v>
      </c>
      <c r="B184" s="30">
        <f>IFERROR(__xludf.DUMMYFUNCTION("""COMPUTED_VALUE"""),79.0)</f>
        <v>79</v>
      </c>
      <c r="C184" s="30"/>
      <c r="D184" s="30"/>
      <c r="E184" s="30"/>
      <c r="F184" s="30"/>
      <c r="G184" s="30"/>
      <c r="H184" s="30"/>
      <c r="I184" s="30"/>
      <c r="J184" s="30">
        <f>IFERROR(__xludf.DUMMYFUNCTION("""COMPUTED_VALUE"""),-11.059343513011441)</f>
        <v>-11.05934351</v>
      </c>
      <c r="K184" s="30"/>
      <c r="L184" s="30"/>
      <c r="M184" s="30"/>
      <c r="N184" s="30"/>
      <c r="O184" s="30">
        <f>IFERROR(__xludf.DUMMYFUNCTION("""COMPUTED_VALUE"""),-2.630874715592867)</f>
        <v>-2.630874716</v>
      </c>
      <c r="P184" s="30">
        <f>IFERROR(__xludf.DUMMYFUNCTION("""COMPUTED_VALUE"""),4.463999088063446)</f>
        <v>4.463999088</v>
      </c>
      <c r="Q184" s="30"/>
      <c r="R184" s="30"/>
      <c r="S184" s="30"/>
      <c r="T184" s="30"/>
      <c r="U184" s="30">
        <v>0.0</v>
      </c>
      <c r="V184" s="30"/>
      <c r="W184" s="30"/>
      <c r="X184" s="30"/>
      <c r="Y184" s="5">
        <f>IFERROR(__xludf.DUMMYFUNCTION("""COMPUTED_VALUE"""),78.0)</f>
        <v>78</v>
      </c>
      <c r="Z184" s="5">
        <f>IFERROR(__xludf.DUMMYFUNCTION("""COMPUTED_VALUE"""),80.0)</f>
        <v>80</v>
      </c>
    </row>
    <row r="185">
      <c r="A185" s="30" t="s">
        <v>1178</v>
      </c>
      <c r="B185" s="30">
        <f>IFERROR(__xludf.DUMMYFUNCTION("""COMPUTED_VALUE"""),80.0)</f>
        <v>80</v>
      </c>
      <c r="C185" s="30"/>
      <c r="D185" s="30"/>
      <c r="E185" s="30"/>
      <c r="F185" s="30"/>
      <c r="G185" s="30"/>
      <c r="H185" s="30"/>
      <c r="I185" s="30"/>
      <c r="J185" s="30">
        <f>IFERROR(__xludf.DUMMYFUNCTION("""COMPUTED_VALUE"""),-11.059343513011441)</f>
        <v>-11.05934351</v>
      </c>
      <c r="K185" s="30"/>
      <c r="L185" s="30"/>
      <c r="M185" s="30"/>
      <c r="N185" s="30"/>
      <c r="O185" s="30">
        <f>IFERROR(__xludf.DUMMYFUNCTION("""COMPUTED_VALUE"""),-2.630874715592867)</f>
        <v>-2.630874716</v>
      </c>
      <c r="P185" s="30">
        <f>IFERROR(__xludf.DUMMYFUNCTION("""COMPUTED_VALUE"""),4.463999088063446)</f>
        <v>4.463999088</v>
      </c>
      <c r="Q185" s="30"/>
      <c r="R185" s="30"/>
      <c r="S185" s="30"/>
      <c r="T185" s="30"/>
      <c r="U185" s="30">
        <v>0.0</v>
      </c>
      <c r="V185" s="30"/>
      <c r="W185" s="30"/>
      <c r="X185" s="30"/>
      <c r="Y185" s="5">
        <f>IFERROR(__xludf.DUMMYFUNCTION("""COMPUTED_VALUE"""),80.0)</f>
        <v>80</v>
      </c>
      <c r="Z185" s="5">
        <f>IFERROR(__xludf.DUMMYFUNCTION("""COMPUTED_VALUE"""),80.0)</f>
        <v>80</v>
      </c>
    </row>
    <row r="186">
      <c r="A186" s="30" t="s">
        <v>378</v>
      </c>
      <c r="B186" s="30">
        <f>IFERROR(__xludf.DUMMYFUNCTION("""COMPUTED_VALUE"""),78.5)</f>
        <v>78.5</v>
      </c>
      <c r="C186" s="30"/>
      <c r="D186" s="30"/>
      <c r="E186" s="30"/>
      <c r="F186" s="30"/>
      <c r="G186" s="30"/>
      <c r="H186" s="30"/>
      <c r="I186" s="30"/>
      <c r="J186" s="30">
        <f>IFERROR(__xludf.DUMMYFUNCTION("""COMPUTED_VALUE"""),-11.059343513011441)</f>
        <v>-11.05934351</v>
      </c>
      <c r="K186" s="30"/>
      <c r="L186" s="30"/>
      <c r="M186" s="30"/>
      <c r="N186" s="30"/>
      <c r="O186" s="30">
        <f>IFERROR(__xludf.DUMMYFUNCTION("""COMPUTED_VALUE"""),-2.630874715592867)</f>
        <v>-2.630874716</v>
      </c>
      <c r="P186" s="30">
        <f>IFERROR(__xludf.DUMMYFUNCTION("""COMPUTED_VALUE"""),4.463999088063446)</f>
        <v>4.463999088</v>
      </c>
      <c r="Q186" s="30"/>
      <c r="R186" s="30"/>
      <c r="S186" s="30"/>
      <c r="T186" s="30"/>
      <c r="U186" s="30">
        <v>0.0</v>
      </c>
      <c r="V186" s="30"/>
      <c r="W186" s="30"/>
      <c r="X186" s="30"/>
      <c r="Y186" s="5">
        <f>IFERROR(__xludf.DUMMYFUNCTION("""COMPUTED_VALUE"""),77.0)</f>
        <v>77</v>
      </c>
      <c r="Z186" s="5">
        <f>IFERROR(__xludf.DUMMYFUNCTION("""COMPUTED_VALUE"""),80.0)</f>
        <v>80</v>
      </c>
    </row>
    <row r="187">
      <c r="A187" s="30" t="s">
        <v>293</v>
      </c>
      <c r="B187" s="30">
        <f>IFERROR(__xludf.DUMMYFUNCTION("""COMPUTED_VALUE"""),76.5)</f>
        <v>76.5</v>
      </c>
      <c r="C187" s="30"/>
      <c r="D187" s="30"/>
      <c r="E187" s="30"/>
      <c r="F187" s="30"/>
      <c r="G187" s="30"/>
      <c r="H187" s="30"/>
      <c r="I187" s="30"/>
      <c r="J187" s="30">
        <f>IFERROR(__xludf.DUMMYFUNCTION("""COMPUTED_VALUE"""),-11.059343513011441)</f>
        <v>-11.05934351</v>
      </c>
      <c r="K187" s="30"/>
      <c r="L187" s="30"/>
      <c r="M187" s="30"/>
      <c r="N187" s="30"/>
      <c r="O187" s="30">
        <f>IFERROR(__xludf.DUMMYFUNCTION("""COMPUTED_VALUE"""),-2.630874715592867)</f>
        <v>-2.630874716</v>
      </c>
      <c r="P187" s="30">
        <f>IFERROR(__xludf.DUMMYFUNCTION("""COMPUTED_VALUE"""),4.463999088063446)</f>
        <v>4.463999088</v>
      </c>
      <c r="Q187" s="30"/>
      <c r="R187" s="30"/>
      <c r="S187" s="30"/>
      <c r="T187" s="30"/>
      <c r="U187" s="30">
        <v>0.0</v>
      </c>
      <c r="V187" s="30"/>
      <c r="W187" s="30"/>
      <c r="X187" s="30"/>
      <c r="Y187" s="5">
        <f>IFERROR(__xludf.DUMMYFUNCTION("""COMPUTED_VALUE"""),75.0)</f>
        <v>75</v>
      </c>
      <c r="Z187" s="5">
        <f>IFERROR(__xludf.DUMMYFUNCTION("""COMPUTED_VALUE"""),78.0)</f>
        <v>78</v>
      </c>
    </row>
    <row r="188">
      <c r="A188" s="30" t="s">
        <v>559</v>
      </c>
      <c r="B188" s="30">
        <f>IFERROR(__xludf.DUMMYFUNCTION("""COMPUTED_VALUE"""),78.0)</f>
        <v>78</v>
      </c>
      <c r="C188" s="30"/>
      <c r="D188" s="30"/>
      <c r="E188" s="30"/>
      <c r="F188" s="30"/>
      <c r="G188" s="30"/>
      <c r="H188" s="30"/>
      <c r="I188" s="30"/>
      <c r="J188" s="30">
        <f>IFERROR(__xludf.DUMMYFUNCTION("""COMPUTED_VALUE"""),-11.059343513011441)</f>
        <v>-11.05934351</v>
      </c>
      <c r="K188" s="30"/>
      <c r="L188" s="30"/>
      <c r="M188" s="30"/>
      <c r="N188" s="30"/>
      <c r="O188" s="30">
        <f>IFERROR(__xludf.DUMMYFUNCTION("""COMPUTED_VALUE"""),-2.630874715592867)</f>
        <v>-2.630874716</v>
      </c>
      <c r="P188" s="30">
        <f>IFERROR(__xludf.DUMMYFUNCTION("""COMPUTED_VALUE"""),4.463999088063446)</f>
        <v>4.463999088</v>
      </c>
      <c r="Q188" s="30"/>
      <c r="R188" s="30"/>
      <c r="S188" s="30"/>
      <c r="T188" s="30"/>
      <c r="U188" s="30">
        <v>0.0</v>
      </c>
      <c r="V188" s="30"/>
      <c r="W188" s="30"/>
      <c r="X188" s="30"/>
      <c r="Y188" s="5">
        <f>IFERROR(__xludf.DUMMYFUNCTION("""COMPUTED_VALUE"""),78.0)</f>
        <v>78</v>
      </c>
      <c r="Z188" s="5">
        <f>IFERROR(__xludf.DUMMYFUNCTION("""COMPUTED_VALUE"""),78.0)</f>
        <v>78</v>
      </c>
    </row>
    <row r="189">
      <c r="A189" s="30" t="s">
        <v>823</v>
      </c>
      <c r="B189" s="30">
        <f>IFERROR(__xludf.DUMMYFUNCTION("""COMPUTED_VALUE"""),78.5)</f>
        <v>78.5</v>
      </c>
      <c r="C189" s="30"/>
      <c r="D189" s="30"/>
      <c r="E189" s="30"/>
      <c r="F189" s="30"/>
      <c r="G189" s="30"/>
      <c r="H189" s="30"/>
      <c r="I189" s="30"/>
      <c r="J189" s="30">
        <f>IFERROR(__xludf.DUMMYFUNCTION("""COMPUTED_VALUE"""),-11.059343513011441)</f>
        <v>-11.05934351</v>
      </c>
      <c r="K189" s="30"/>
      <c r="L189" s="30"/>
      <c r="M189" s="30"/>
      <c r="N189" s="30"/>
      <c r="O189" s="30">
        <f>IFERROR(__xludf.DUMMYFUNCTION("""COMPUTED_VALUE"""),-2.630874715592867)</f>
        <v>-2.630874716</v>
      </c>
      <c r="P189" s="30">
        <f>IFERROR(__xludf.DUMMYFUNCTION("""COMPUTED_VALUE"""),4.463999088063446)</f>
        <v>4.463999088</v>
      </c>
      <c r="Q189" s="30"/>
      <c r="R189" s="30"/>
      <c r="S189" s="30"/>
      <c r="T189" s="30"/>
      <c r="U189" s="30">
        <v>0.0</v>
      </c>
      <c r="V189" s="30"/>
      <c r="W189" s="30"/>
      <c r="X189" s="30"/>
      <c r="Y189" s="5">
        <f>IFERROR(__xludf.DUMMYFUNCTION("""COMPUTED_VALUE"""),77.0)</f>
        <v>77</v>
      </c>
      <c r="Z189" s="5">
        <f>IFERROR(__xludf.DUMMYFUNCTION("""COMPUTED_VALUE"""),80.0)</f>
        <v>80</v>
      </c>
    </row>
    <row r="190">
      <c r="A190" s="30" t="s">
        <v>756</v>
      </c>
      <c r="B190" s="30">
        <f>IFERROR(__xludf.DUMMYFUNCTION("""COMPUTED_VALUE"""),78.0)</f>
        <v>78</v>
      </c>
      <c r="C190" s="30"/>
      <c r="D190" s="30"/>
      <c r="E190" s="30"/>
      <c r="F190" s="30"/>
      <c r="G190" s="30"/>
      <c r="H190" s="30"/>
      <c r="I190" s="30"/>
      <c r="J190" s="30">
        <f>IFERROR(__xludf.DUMMYFUNCTION("""COMPUTED_VALUE"""),-11.059343513011441)</f>
        <v>-11.05934351</v>
      </c>
      <c r="K190" s="30"/>
      <c r="L190" s="30"/>
      <c r="M190" s="30"/>
      <c r="N190" s="30"/>
      <c r="O190" s="30">
        <f>IFERROR(__xludf.DUMMYFUNCTION("""COMPUTED_VALUE"""),-2.630874715592867)</f>
        <v>-2.630874716</v>
      </c>
      <c r="P190" s="30">
        <f>IFERROR(__xludf.DUMMYFUNCTION("""COMPUTED_VALUE"""),4.463999088063446)</f>
        <v>4.463999088</v>
      </c>
      <c r="Q190" s="30"/>
      <c r="R190" s="30"/>
      <c r="S190" s="30"/>
      <c r="T190" s="30"/>
      <c r="U190" s="30">
        <v>0.0</v>
      </c>
      <c r="V190" s="30"/>
      <c r="W190" s="30"/>
      <c r="X190" s="30"/>
      <c r="Y190" s="5">
        <f>IFERROR(__xludf.DUMMYFUNCTION("""COMPUTED_VALUE"""),78.0)</f>
        <v>78</v>
      </c>
      <c r="Z190" s="5">
        <f>IFERROR(__xludf.DUMMYFUNCTION("""COMPUTED_VALUE"""),78.0)</f>
        <v>78</v>
      </c>
    </row>
    <row r="191">
      <c r="A191" s="30" t="s">
        <v>1214</v>
      </c>
      <c r="B191" s="30">
        <f>IFERROR(__xludf.DUMMYFUNCTION("""COMPUTED_VALUE"""),78.5)</f>
        <v>78.5</v>
      </c>
      <c r="C191" s="30"/>
      <c r="D191" s="30"/>
      <c r="E191" s="30"/>
      <c r="F191" s="30"/>
      <c r="G191" s="30"/>
      <c r="H191" s="30"/>
      <c r="I191" s="30"/>
      <c r="J191" s="30">
        <f>IFERROR(__xludf.DUMMYFUNCTION("""COMPUTED_VALUE"""),-11.059343513011441)</f>
        <v>-11.05934351</v>
      </c>
      <c r="K191" s="30"/>
      <c r="L191" s="30"/>
      <c r="M191" s="30"/>
      <c r="N191" s="30"/>
      <c r="O191" s="30">
        <f>IFERROR(__xludf.DUMMYFUNCTION("""COMPUTED_VALUE"""),-2.630874715592867)</f>
        <v>-2.630874716</v>
      </c>
      <c r="P191" s="30">
        <f>IFERROR(__xludf.DUMMYFUNCTION("""COMPUTED_VALUE"""),4.463999088063446)</f>
        <v>4.463999088</v>
      </c>
      <c r="Q191" s="30"/>
      <c r="R191" s="30"/>
      <c r="S191" s="30"/>
      <c r="T191" s="30"/>
      <c r="U191" s="30">
        <v>0.0</v>
      </c>
      <c r="V191" s="30"/>
      <c r="W191" s="30"/>
      <c r="X191" s="30"/>
      <c r="Y191" s="5">
        <f>IFERROR(__xludf.DUMMYFUNCTION("""COMPUTED_VALUE"""),78.0)</f>
        <v>78</v>
      </c>
      <c r="Z191" s="5">
        <f>IFERROR(__xludf.DUMMYFUNCTION("""COMPUTED_VALUE"""),79.0)</f>
        <v>79</v>
      </c>
    </row>
    <row r="192">
      <c r="A192" s="30" t="s">
        <v>1222</v>
      </c>
      <c r="B192" s="30">
        <f>IFERROR(__xludf.DUMMYFUNCTION("""COMPUTED_VALUE"""),79.5)</f>
        <v>79.5</v>
      </c>
      <c r="C192" s="30"/>
      <c r="D192" s="30"/>
      <c r="E192" s="30"/>
      <c r="F192" s="30"/>
      <c r="G192" s="30"/>
      <c r="H192" s="30"/>
      <c r="I192" s="30"/>
      <c r="J192" s="30">
        <f>IFERROR(__xludf.DUMMYFUNCTION("""COMPUTED_VALUE"""),-11.059343513011441)</f>
        <v>-11.05934351</v>
      </c>
      <c r="K192" s="30"/>
      <c r="L192" s="30"/>
      <c r="M192" s="30"/>
      <c r="N192" s="30"/>
      <c r="O192" s="30">
        <f>IFERROR(__xludf.DUMMYFUNCTION("""COMPUTED_VALUE"""),-2.630874715592867)</f>
        <v>-2.630874716</v>
      </c>
      <c r="P192" s="30">
        <f>IFERROR(__xludf.DUMMYFUNCTION("""COMPUTED_VALUE"""),4.463999088063446)</f>
        <v>4.463999088</v>
      </c>
      <c r="Q192" s="30"/>
      <c r="R192" s="30"/>
      <c r="S192" s="30"/>
      <c r="T192" s="30"/>
      <c r="U192" s="30">
        <v>0.0</v>
      </c>
      <c r="V192" s="30"/>
      <c r="W192" s="30"/>
      <c r="X192" s="30"/>
      <c r="Y192" s="5">
        <f>IFERROR(__xludf.DUMMYFUNCTION("""COMPUTED_VALUE"""),79.0)</f>
        <v>79</v>
      </c>
      <c r="Z192" s="5">
        <f>IFERROR(__xludf.DUMMYFUNCTION("""COMPUTED_VALUE"""),80.0)</f>
        <v>80</v>
      </c>
    </row>
    <row r="193">
      <c r="A193" s="30" t="s">
        <v>197</v>
      </c>
      <c r="B193" s="30">
        <f>IFERROR(__xludf.DUMMYFUNCTION("""COMPUTED_VALUE"""),78.0)</f>
        <v>78</v>
      </c>
      <c r="C193" s="30"/>
      <c r="D193" s="30"/>
      <c r="E193" s="30"/>
      <c r="F193" s="30"/>
      <c r="G193" s="30"/>
      <c r="H193" s="30"/>
      <c r="I193" s="30"/>
      <c r="J193" s="30">
        <f>IFERROR(__xludf.DUMMYFUNCTION("""COMPUTED_VALUE"""),-11.059343513011441)</f>
        <v>-11.05934351</v>
      </c>
      <c r="K193" s="30"/>
      <c r="L193" s="30"/>
      <c r="M193" s="30"/>
      <c r="N193" s="30"/>
      <c r="O193" s="30">
        <f>IFERROR(__xludf.DUMMYFUNCTION("""COMPUTED_VALUE"""),-2.630874715592867)</f>
        <v>-2.630874716</v>
      </c>
      <c r="P193" s="30">
        <f>IFERROR(__xludf.DUMMYFUNCTION("""COMPUTED_VALUE"""),4.463999088063446)</f>
        <v>4.463999088</v>
      </c>
      <c r="Q193" s="30"/>
      <c r="R193" s="30"/>
      <c r="S193" s="30"/>
      <c r="T193" s="30"/>
      <c r="U193" s="30">
        <v>0.0</v>
      </c>
      <c r="V193" s="30"/>
      <c r="W193" s="30"/>
      <c r="X193" s="30"/>
      <c r="Y193" s="5">
        <f>IFERROR(__xludf.DUMMYFUNCTION("""COMPUTED_VALUE"""),76.0)</f>
        <v>76</v>
      </c>
      <c r="Z193" s="5">
        <f>IFERROR(__xludf.DUMMYFUNCTION("""COMPUTED_VALUE"""),80.0)</f>
        <v>80</v>
      </c>
    </row>
    <row r="194">
      <c r="A194" s="30" t="s">
        <v>1237</v>
      </c>
      <c r="B194" s="30">
        <f>IFERROR(__xludf.DUMMYFUNCTION("""COMPUTED_VALUE"""),78.5)</f>
        <v>78.5</v>
      </c>
      <c r="C194" s="30"/>
      <c r="D194" s="30"/>
      <c r="E194" s="30"/>
      <c r="F194" s="30"/>
      <c r="G194" s="30"/>
      <c r="H194" s="30"/>
      <c r="I194" s="30"/>
      <c r="J194" s="30">
        <f>IFERROR(__xludf.DUMMYFUNCTION("""COMPUTED_VALUE"""),-11.059343513011441)</f>
        <v>-11.05934351</v>
      </c>
      <c r="K194" s="30"/>
      <c r="L194" s="30"/>
      <c r="M194" s="30"/>
      <c r="N194" s="30"/>
      <c r="O194" s="30">
        <f>IFERROR(__xludf.DUMMYFUNCTION("""COMPUTED_VALUE"""),-2.630874715592867)</f>
        <v>-2.630874716</v>
      </c>
      <c r="P194" s="30">
        <f>IFERROR(__xludf.DUMMYFUNCTION("""COMPUTED_VALUE"""),4.463999088063446)</f>
        <v>4.463999088</v>
      </c>
      <c r="Q194" s="30"/>
      <c r="R194" s="30"/>
      <c r="S194" s="30"/>
      <c r="T194" s="30"/>
      <c r="U194" s="30">
        <v>0.0</v>
      </c>
      <c r="V194" s="30"/>
      <c r="W194" s="30"/>
      <c r="X194" s="30"/>
      <c r="Y194" s="5">
        <f>IFERROR(__xludf.DUMMYFUNCTION("""COMPUTED_VALUE"""),78.0)</f>
        <v>78</v>
      </c>
      <c r="Z194" s="5">
        <f>IFERROR(__xludf.DUMMYFUNCTION("""COMPUTED_VALUE"""),79.0)</f>
        <v>79</v>
      </c>
    </row>
    <row r="195">
      <c r="A195" s="30" t="s">
        <v>1248</v>
      </c>
      <c r="B195" s="30">
        <f>IFERROR(__xludf.DUMMYFUNCTION("""COMPUTED_VALUE"""),79.0)</f>
        <v>79</v>
      </c>
      <c r="C195" s="30"/>
      <c r="D195" s="30"/>
      <c r="E195" s="30"/>
      <c r="F195" s="30"/>
      <c r="G195" s="30"/>
      <c r="H195" s="30"/>
      <c r="I195" s="30"/>
      <c r="J195" s="30">
        <f>IFERROR(__xludf.DUMMYFUNCTION("""COMPUTED_VALUE"""),-11.059343513011441)</f>
        <v>-11.05934351</v>
      </c>
      <c r="K195" s="30"/>
      <c r="L195" s="30"/>
      <c r="M195" s="30"/>
      <c r="N195" s="30"/>
      <c r="O195" s="30">
        <f>IFERROR(__xludf.DUMMYFUNCTION("""COMPUTED_VALUE"""),-2.630874715592867)</f>
        <v>-2.630874716</v>
      </c>
      <c r="P195" s="30">
        <f>IFERROR(__xludf.DUMMYFUNCTION("""COMPUTED_VALUE"""),4.463999088063446)</f>
        <v>4.463999088</v>
      </c>
      <c r="Q195" s="30"/>
      <c r="R195" s="30"/>
      <c r="S195" s="30"/>
      <c r="T195" s="30"/>
      <c r="U195" s="30">
        <v>0.0</v>
      </c>
      <c r="V195" s="30"/>
      <c r="W195" s="30"/>
      <c r="X195" s="30"/>
      <c r="Y195" s="5">
        <f>IFERROR(__xludf.DUMMYFUNCTION("""COMPUTED_VALUE"""),79.0)</f>
        <v>79</v>
      </c>
      <c r="Z195" s="5">
        <f>IFERROR(__xludf.DUMMYFUNCTION("""COMPUTED_VALUE"""),79.0)</f>
        <v>79</v>
      </c>
    </row>
    <row r="196">
      <c r="A196" s="30" t="s">
        <v>1249</v>
      </c>
      <c r="B196" s="30">
        <f>IFERROR(__xludf.DUMMYFUNCTION("""COMPUTED_VALUE"""),78.0)</f>
        <v>78</v>
      </c>
      <c r="C196" s="30"/>
      <c r="D196" s="30"/>
      <c r="E196" s="30"/>
      <c r="F196" s="30"/>
      <c r="G196" s="30"/>
      <c r="H196" s="30"/>
      <c r="I196" s="30"/>
      <c r="J196" s="30">
        <f>IFERROR(__xludf.DUMMYFUNCTION("""COMPUTED_VALUE"""),-11.059343513011441)</f>
        <v>-11.05934351</v>
      </c>
      <c r="K196" s="30"/>
      <c r="L196" s="30"/>
      <c r="M196" s="30"/>
      <c r="N196" s="30"/>
      <c r="O196" s="30">
        <f>IFERROR(__xludf.DUMMYFUNCTION("""COMPUTED_VALUE"""),-2.630874715592867)</f>
        <v>-2.630874716</v>
      </c>
      <c r="P196" s="30">
        <f>IFERROR(__xludf.DUMMYFUNCTION("""COMPUTED_VALUE"""),4.463999088063446)</f>
        <v>4.463999088</v>
      </c>
      <c r="Q196" s="30"/>
      <c r="R196" s="30"/>
      <c r="S196" s="30"/>
      <c r="T196" s="30"/>
      <c r="U196" s="30">
        <v>0.0</v>
      </c>
      <c r="V196" s="30"/>
      <c r="W196" s="30"/>
      <c r="X196" s="30"/>
      <c r="Y196" s="5">
        <f>IFERROR(__xludf.DUMMYFUNCTION("""COMPUTED_VALUE"""),78.0)</f>
        <v>78</v>
      </c>
      <c r="Z196" s="5">
        <f>IFERROR(__xludf.DUMMYFUNCTION("""COMPUTED_VALUE"""),78.0)</f>
        <v>78</v>
      </c>
    </row>
    <row r="197">
      <c r="A197" s="30" t="s">
        <v>1250</v>
      </c>
      <c r="B197" s="30">
        <f>IFERROR(__xludf.DUMMYFUNCTION("""COMPUTED_VALUE"""),78.5)</f>
        <v>78.5</v>
      </c>
      <c r="C197" s="30"/>
      <c r="D197" s="30"/>
      <c r="E197" s="30"/>
      <c r="F197" s="30"/>
      <c r="G197" s="30"/>
      <c r="H197" s="30"/>
      <c r="I197" s="30"/>
      <c r="J197" s="30">
        <f>IFERROR(__xludf.DUMMYFUNCTION("""COMPUTED_VALUE"""),-11.059343513011441)</f>
        <v>-11.05934351</v>
      </c>
      <c r="K197" s="30"/>
      <c r="L197" s="30"/>
      <c r="M197" s="30"/>
      <c r="N197" s="30"/>
      <c r="O197" s="30">
        <f>IFERROR(__xludf.DUMMYFUNCTION("""COMPUTED_VALUE"""),-2.630874715592867)</f>
        <v>-2.630874716</v>
      </c>
      <c r="P197" s="30">
        <f>IFERROR(__xludf.DUMMYFUNCTION("""COMPUTED_VALUE"""),4.463999088063446)</f>
        <v>4.463999088</v>
      </c>
      <c r="Q197" s="30"/>
      <c r="R197" s="30"/>
      <c r="S197" s="30"/>
      <c r="T197" s="30"/>
      <c r="U197" s="30">
        <v>0.0</v>
      </c>
      <c r="V197" s="30"/>
      <c r="W197" s="30"/>
      <c r="X197" s="30"/>
      <c r="Y197" s="5">
        <f>IFERROR(__xludf.DUMMYFUNCTION("""COMPUTED_VALUE"""),77.0)</f>
        <v>77</v>
      </c>
      <c r="Z197" s="5">
        <f>IFERROR(__xludf.DUMMYFUNCTION("""COMPUTED_VALUE"""),80.0)</f>
        <v>80</v>
      </c>
    </row>
    <row r="198">
      <c r="A198" s="30" t="s">
        <v>215</v>
      </c>
      <c r="B198" s="30">
        <f>IFERROR(__xludf.DUMMYFUNCTION("""COMPUTED_VALUE"""),77.0)</f>
        <v>77</v>
      </c>
      <c r="C198" s="30"/>
      <c r="D198" s="30"/>
      <c r="E198" s="30"/>
      <c r="F198" s="30"/>
      <c r="G198" s="30"/>
      <c r="H198" s="30"/>
      <c r="I198" s="30"/>
      <c r="J198" s="30">
        <f>IFERROR(__xludf.DUMMYFUNCTION("""COMPUTED_VALUE"""),-11.059343513011441)</f>
        <v>-11.05934351</v>
      </c>
      <c r="K198" s="30"/>
      <c r="L198" s="30"/>
      <c r="M198" s="30"/>
      <c r="N198" s="30"/>
      <c r="O198" s="30">
        <f>IFERROR(__xludf.DUMMYFUNCTION("""COMPUTED_VALUE"""),-2.630874715592867)</f>
        <v>-2.630874716</v>
      </c>
      <c r="P198" s="30">
        <f>IFERROR(__xludf.DUMMYFUNCTION("""COMPUTED_VALUE"""),4.463999088063446)</f>
        <v>4.463999088</v>
      </c>
      <c r="Q198" s="30"/>
      <c r="R198" s="30"/>
      <c r="S198" s="30"/>
      <c r="T198" s="30"/>
      <c r="U198" s="30">
        <v>0.0</v>
      </c>
      <c r="V198" s="30"/>
      <c r="W198" s="30"/>
      <c r="X198" s="30"/>
      <c r="Y198" s="5">
        <f>IFERROR(__xludf.DUMMYFUNCTION("""COMPUTED_VALUE"""),77.0)</f>
        <v>77</v>
      </c>
      <c r="Z198" s="5">
        <f>IFERROR(__xludf.DUMMYFUNCTION("""COMPUTED_VALUE"""),77.0)</f>
        <v>77</v>
      </c>
    </row>
    <row r="199">
      <c r="A199" s="30" t="s">
        <v>1259</v>
      </c>
      <c r="B199" s="30">
        <f>IFERROR(__xludf.DUMMYFUNCTION("""COMPUTED_VALUE"""),80.0)</f>
        <v>80</v>
      </c>
      <c r="C199" s="30"/>
      <c r="D199" s="30"/>
      <c r="E199" s="30"/>
      <c r="F199" s="30"/>
      <c r="G199" s="30"/>
      <c r="H199" s="30"/>
      <c r="I199" s="30"/>
      <c r="J199" s="30">
        <f>IFERROR(__xludf.DUMMYFUNCTION("""COMPUTED_VALUE"""),-11.059343513011441)</f>
        <v>-11.05934351</v>
      </c>
      <c r="K199" s="30"/>
      <c r="L199" s="30"/>
      <c r="M199" s="30"/>
      <c r="N199" s="30"/>
      <c r="O199" s="30">
        <f>IFERROR(__xludf.DUMMYFUNCTION("""COMPUTED_VALUE"""),-2.630874715592867)</f>
        <v>-2.630874716</v>
      </c>
      <c r="P199" s="30">
        <f>IFERROR(__xludf.DUMMYFUNCTION("""COMPUTED_VALUE"""),4.463999088063446)</f>
        <v>4.463999088</v>
      </c>
      <c r="Q199" s="30"/>
      <c r="R199" s="30"/>
      <c r="S199" s="30"/>
      <c r="T199" s="30"/>
      <c r="U199" s="30">
        <v>0.0</v>
      </c>
      <c r="V199" s="30"/>
      <c r="W199" s="30"/>
      <c r="X199" s="30"/>
      <c r="Y199" s="5">
        <f>IFERROR(__xludf.DUMMYFUNCTION("""COMPUTED_VALUE"""),80.0)</f>
        <v>80</v>
      </c>
      <c r="Z199" s="5">
        <f>IFERROR(__xludf.DUMMYFUNCTION("""COMPUTED_VALUE"""),80.0)</f>
        <v>80</v>
      </c>
    </row>
    <row r="200">
      <c r="A200" s="30" t="s">
        <v>1260</v>
      </c>
      <c r="B200" s="30">
        <f>IFERROR(__xludf.DUMMYFUNCTION("""COMPUTED_VALUE"""),78.0)</f>
        <v>78</v>
      </c>
      <c r="C200" s="30"/>
      <c r="D200" s="30"/>
      <c r="E200" s="30"/>
      <c r="F200" s="30"/>
      <c r="G200" s="30"/>
      <c r="H200" s="30"/>
      <c r="I200" s="30"/>
      <c r="J200" s="30">
        <f>IFERROR(__xludf.DUMMYFUNCTION("""COMPUTED_VALUE"""),-11.059343513011441)</f>
        <v>-11.05934351</v>
      </c>
      <c r="K200" s="30"/>
      <c r="L200" s="30"/>
      <c r="M200" s="30"/>
      <c r="N200" s="30"/>
      <c r="O200" s="30">
        <f>IFERROR(__xludf.DUMMYFUNCTION("""COMPUTED_VALUE"""),-2.630874715592867)</f>
        <v>-2.630874716</v>
      </c>
      <c r="P200" s="30">
        <f>IFERROR(__xludf.DUMMYFUNCTION("""COMPUTED_VALUE"""),4.463999088063446)</f>
        <v>4.463999088</v>
      </c>
      <c r="Q200" s="30"/>
      <c r="R200" s="30"/>
      <c r="S200" s="30"/>
      <c r="T200" s="30"/>
      <c r="U200" s="30">
        <v>0.0</v>
      </c>
      <c r="V200" s="30"/>
      <c r="W200" s="30"/>
      <c r="X200" s="30"/>
      <c r="Y200" s="5">
        <f>IFERROR(__xludf.DUMMYFUNCTION("""COMPUTED_VALUE"""),78.0)</f>
        <v>78</v>
      </c>
      <c r="Z200" s="5">
        <f>IFERROR(__xludf.DUMMYFUNCTION("""COMPUTED_VALUE"""),78.0)</f>
        <v>78</v>
      </c>
    </row>
    <row r="201">
      <c r="A201" s="30" t="s">
        <v>1261</v>
      </c>
      <c r="B201" s="30">
        <f>IFERROR(__xludf.DUMMYFUNCTION("""COMPUTED_VALUE"""),78.0)</f>
        <v>78</v>
      </c>
      <c r="C201" s="30"/>
      <c r="D201" s="30"/>
      <c r="E201" s="30"/>
      <c r="F201" s="30"/>
      <c r="G201" s="30"/>
      <c r="H201" s="30"/>
      <c r="I201" s="30"/>
      <c r="J201" s="30">
        <f>IFERROR(__xludf.DUMMYFUNCTION("""COMPUTED_VALUE"""),-11.059343513011441)</f>
        <v>-11.05934351</v>
      </c>
      <c r="K201" s="30"/>
      <c r="L201" s="30"/>
      <c r="M201" s="30"/>
      <c r="N201" s="30"/>
      <c r="O201" s="30">
        <f>IFERROR(__xludf.DUMMYFUNCTION("""COMPUTED_VALUE"""),-2.630874715592867)</f>
        <v>-2.630874716</v>
      </c>
      <c r="P201" s="30">
        <f>IFERROR(__xludf.DUMMYFUNCTION("""COMPUTED_VALUE"""),4.463999088063446)</f>
        <v>4.463999088</v>
      </c>
      <c r="Q201" s="30"/>
      <c r="R201" s="30"/>
      <c r="S201" s="30"/>
      <c r="T201" s="30"/>
      <c r="U201" s="30">
        <v>0.0</v>
      </c>
      <c r="V201" s="30"/>
      <c r="W201" s="30"/>
      <c r="X201" s="30"/>
      <c r="Y201" s="5">
        <f>IFERROR(__xludf.DUMMYFUNCTION("""COMPUTED_VALUE"""),76.0)</f>
        <v>76</v>
      </c>
      <c r="Z201" s="5">
        <f>IFERROR(__xludf.DUMMYFUNCTION("""COMPUTED_VALUE"""),80.0)</f>
        <v>80</v>
      </c>
    </row>
    <row r="202">
      <c r="A202" s="30" t="s">
        <v>1268</v>
      </c>
      <c r="B202" s="30">
        <f>IFERROR(__xludf.DUMMYFUNCTION("""COMPUTED_VALUE"""),78.5)</f>
        <v>78.5</v>
      </c>
      <c r="C202" s="30"/>
      <c r="D202" s="30"/>
      <c r="E202" s="30"/>
      <c r="F202" s="30"/>
      <c r="G202" s="30"/>
      <c r="H202" s="30"/>
      <c r="I202" s="30"/>
      <c r="J202" s="30">
        <f>IFERROR(__xludf.DUMMYFUNCTION("""COMPUTED_VALUE"""),-11.059343513011441)</f>
        <v>-11.05934351</v>
      </c>
      <c r="K202" s="30"/>
      <c r="L202" s="30"/>
      <c r="M202" s="30"/>
      <c r="N202" s="30"/>
      <c r="O202" s="30">
        <f>IFERROR(__xludf.DUMMYFUNCTION("""COMPUTED_VALUE"""),-2.630874715592867)</f>
        <v>-2.630874716</v>
      </c>
      <c r="P202" s="30">
        <f>IFERROR(__xludf.DUMMYFUNCTION("""COMPUTED_VALUE"""),4.463999088063446)</f>
        <v>4.463999088</v>
      </c>
      <c r="Q202" s="30"/>
      <c r="R202" s="30"/>
      <c r="S202" s="30"/>
      <c r="T202" s="30"/>
      <c r="U202" s="30">
        <v>0.0</v>
      </c>
      <c r="V202" s="30"/>
      <c r="W202" s="30"/>
      <c r="X202" s="30"/>
      <c r="Y202" s="5">
        <f>IFERROR(__xludf.DUMMYFUNCTION("""COMPUTED_VALUE"""),77.0)</f>
        <v>77</v>
      </c>
      <c r="Z202" s="5">
        <f>IFERROR(__xludf.DUMMYFUNCTION("""COMPUTED_VALUE"""),80.0)</f>
        <v>80</v>
      </c>
    </row>
    <row r="203">
      <c r="A203" s="30" t="s">
        <v>286</v>
      </c>
      <c r="B203" s="30">
        <f>IFERROR(__xludf.DUMMYFUNCTION("""COMPUTED_VALUE"""),80.0)</f>
        <v>80</v>
      </c>
      <c r="C203" s="30"/>
      <c r="D203" s="30"/>
      <c r="E203" s="30"/>
      <c r="F203" s="30"/>
      <c r="G203" s="30"/>
      <c r="H203" s="30"/>
      <c r="I203" s="30"/>
      <c r="J203" s="30">
        <f>IFERROR(__xludf.DUMMYFUNCTION("""COMPUTED_VALUE"""),-11.059343513011441)</f>
        <v>-11.05934351</v>
      </c>
      <c r="K203" s="30"/>
      <c r="L203" s="30"/>
      <c r="M203" s="30"/>
      <c r="N203" s="30"/>
      <c r="O203" s="30">
        <f>IFERROR(__xludf.DUMMYFUNCTION("""COMPUTED_VALUE"""),-2.630874715592867)</f>
        <v>-2.630874716</v>
      </c>
      <c r="P203" s="30">
        <f>IFERROR(__xludf.DUMMYFUNCTION("""COMPUTED_VALUE"""),4.463999088063446)</f>
        <v>4.463999088</v>
      </c>
      <c r="Q203" s="30"/>
      <c r="R203" s="30"/>
      <c r="S203" s="30"/>
      <c r="T203" s="30"/>
      <c r="U203" s="30">
        <v>0.0</v>
      </c>
      <c r="V203" s="30"/>
      <c r="W203" s="30"/>
      <c r="X203" s="30"/>
      <c r="Y203" s="5">
        <f>IFERROR(__xludf.DUMMYFUNCTION("""COMPUTED_VALUE"""),80.0)</f>
        <v>80</v>
      </c>
      <c r="Z203" s="5">
        <f>IFERROR(__xludf.DUMMYFUNCTION("""COMPUTED_VALUE"""),80.0)</f>
        <v>80</v>
      </c>
    </row>
    <row r="204">
      <c r="A204" s="30" t="s">
        <v>1274</v>
      </c>
      <c r="B204" s="30">
        <f>IFERROR(__xludf.DUMMYFUNCTION("""COMPUTED_VALUE"""),78.0)</f>
        <v>78</v>
      </c>
      <c r="C204" s="30"/>
      <c r="D204" s="30"/>
      <c r="E204" s="30"/>
      <c r="F204" s="30"/>
      <c r="G204" s="30"/>
      <c r="H204" s="30"/>
      <c r="I204" s="30"/>
      <c r="J204" s="30">
        <f>IFERROR(__xludf.DUMMYFUNCTION("""COMPUTED_VALUE"""),-11.059343513011441)</f>
        <v>-11.05934351</v>
      </c>
      <c r="K204" s="30"/>
      <c r="L204" s="30"/>
      <c r="M204" s="30"/>
      <c r="N204" s="30"/>
      <c r="O204" s="30">
        <f>IFERROR(__xludf.DUMMYFUNCTION("""COMPUTED_VALUE"""),-2.630874715592867)</f>
        <v>-2.630874716</v>
      </c>
      <c r="P204" s="30">
        <f>IFERROR(__xludf.DUMMYFUNCTION("""COMPUTED_VALUE"""),4.463999088063446)</f>
        <v>4.463999088</v>
      </c>
      <c r="Q204" s="30"/>
      <c r="R204" s="30"/>
      <c r="S204" s="30"/>
      <c r="T204" s="30"/>
      <c r="U204" s="30">
        <v>0.0</v>
      </c>
      <c r="V204" s="30"/>
      <c r="W204" s="30"/>
      <c r="X204" s="30"/>
      <c r="Y204" s="5">
        <f>IFERROR(__xludf.DUMMYFUNCTION("""COMPUTED_VALUE"""),78.0)</f>
        <v>78</v>
      </c>
      <c r="Z204" s="5">
        <f>IFERROR(__xludf.DUMMYFUNCTION("""COMPUTED_VALUE"""),78.0)</f>
        <v>78</v>
      </c>
    </row>
    <row r="205">
      <c r="A205" s="30" t="s">
        <v>1275</v>
      </c>
      <c r="B205" s="30">
        <f>IFERROR(__xludf.DUMMYFUNCTION("""COMPUTED_VALUE"""),78.5)</f>
        <v>78.5</v>
      </c>
      <c r="C205" s="30"/>
      <c r="D205" s="30"/>
      <c r="E205" s="30"/>
      <c r="F205" s="30"/>
      <c r="G205" s="30"/>
      <c r="H205" s="30"/>
      <c r="I205" s="30"/>
      <c r="J205" s="30">
        <f>IFERROR(__xludf.DUMMYFUNCTION("""COMPUTED_VALUE"""),-11.059343513011441)</f>
        <v>-11.05934351</v>
      </c>
      <c r="K205" s="30"/>
      <c r="L205" s="30"/>
      <c r="M205" s="30"/>
      <c r="N205" s="30"/>
      <c r="O205" s="30">
        <f>IFERROR(__xludf.DUMMYFUNCTION("""COMPUTED_VALUE"""),-2.630874715592867)</f>
        <v>-2.630874716</v>
      </c>
      <c r="P205" s="30">
        <f>IFERROR(__xludf.DUMMYFUNCTION("""COMPUTED_VALUE"""),4.463999088063446)</f>
        <v>4.463999088</v>
      </c>
      <c r="Q205" s="30"/>
      <c r="R205" s="30"/>
      <c r="S205" s="30"/>
      <c r="T205" s="30"/>
      <c r="U205" s="30">
        <v>0.0</v>
      </c>
      <c r="V205" s="30"/>
      <c r="W205" s="30"/>
      <c r="X205" s="30"/>
      <c r="Y205" s="5">
        <f>IFERROR(__xludf.DUMMYFUNCTION("""COMPUTED_VALUE"""),77.0)</f>
        <v>77</v>
      </c>
      <c r="Z205" s="5">
        <f>IFERROR(__xludf.DUMMYFUNCTION("""COMPUTED_VALUE"""),80.0)</f>
        <v>80</v>
      </c>
    </row>
    <row r="206">
      <c r="A206" s="30" t="s">
        <v>1282</v>
      </c>
      <c r="B206" s="30">
        <f>IFERROR(__xludf.DUMMYFUNCTION("""COMPUTED_VALUE"""),78.0)</f>
        <v>78</v>
      </c>
      <c r="C206" s="30"/>
      <c r="D206" s="30"/>
      <c r="E206" s="30"/>
      <c r="F206" s="30"/>
      <c r="G206" s="30"/>
      <c r="H206" s="30"/>
      <c r="I206" s="30"/>
      <c r="J206" s="30">
        <f>IFERROR(__xludf.DUMMYFUNCTION("""COMPUTED_VALUE"""),-11.059343513011441)</f>
        <v>-11.05934351</v>
      </c>
      <c r="K206" s="30"/>
      <c r="L206" s="30"/>
      <c r="M206" s="30"/>
      <c r="N206" s="30"/>
      <c r="O206" s="30">
        <f>IFERROR(__xludf.DUMMYFUNCTION("""COMPUTED_VALUE"""),-2.630874715592867)</f>
        <v>-2.630874716</v>
      </c>
      <c r="P206" s="30">
        <f>IFERROR(__xludf.DUMMYFUNCTION("""COMPUTED_VALUE"""),4.463999088063446)</f>
        <v>4.463999088</v>
      </c>
      <c r="Q206" s="30"/>
      <c r="R206" s="30"/>
      <c r="S206" s="30"/>
      <c r="T206" s="30"/>
      <c r="U206" s="30">
        <v>0.0</v>
      </c>
      <c r="V206" s="30"/>
      <c r="W206" s="30"/>
      <c r="X206" s="30"/>
      <c r="Y206" s="5">
        <f>IFERROR(__xludf.DUMMYFUNCTION("""COMPUTED_VALUE"""),77.0)</f>
        <v>77</v>
      </c>
      <c r="Z206" s="5">
        <f>IFERROR(__xludf.DUMMYFUNCTION("""COMPUTED_VALUE"""),79.0)</f>
        <v>79</v>
      </c>
    </row>
    <row r="207">
      <c r="A207" s="30" t="s">
        <v>611</v>
      </c>
      <c r="B207" s="30">
        <f>IFERROR(__xludf.DUMMYFUNCTION("""COMPUTED_VALUE"""),78.5)</f>
        <v>78.5</v>
      </c>
      <c r="C207" s="30"/>
      <c r="D207" s="30"/>
      <c r="E207" s="30"/>
      <c r="F207" s="30"/>
      <c r="G207" s="30"/>
      <c r="H207" s="30"/>
      <c r="I207" s="30"/>
      <c r="J207" s="30">
        <f>IFERROR(__xludf.DUMMYFUNCTION("""COMPUTED_VALUE"""),-11.059343513011441)</f>
        <v>-11.05934351</v>
      </c>
      <c r="K207" s="30"/>
      <c r="L207" s="30"/>
      <c r="M207" s="30"/>
      <c r="N207" s="30"/>
      <c r="O207" s="30">
        <f>IFERROR(__xludf.DUMMYFUNCTION("""COMPUTED_VALUE"""),-2.630874715592867)</f>
        <v>-2.630874716</v>
      </c>
      <c r="P207" s="30">
        <f>IFERROR(__xludf.DUMMYFUNCTION("""COMPUTED_VALUE"""),4.463999088063446)</f>
        <v>4.463999088</v>
      </c>
      <c r="Q207" s="30"/>
      <c r="R207" s="30"/>
      <c r="S207" s="30"/>
      <c r="T207" s="30"/>
      <c r="U207" s="30">
        <v>0.0</v>
      </c>
      <c r="V207" s="30"/>
      <c r="W207" s="30"/>
      <c r="X207" s="30"/>
      <c r="Y207" s="5">
        <f>IFERROR(__xludf.DUMMYFUNCTION("""COMPUTED_VALUE"""),77.0)</f>
        <v>77</v>
      </c>
      <c r="Z207" s="5">
        <f>IFERROR(__xludf.DUMMYFUNCTION("""COMPUTED_VALUE"""),80.0)</f>
        <v>80</v>
      </c>
    </row>
    <row r="208">
      <c r="A208" s="30" t="s">
        <v>1294</v>
      </c>
      <c r="B208" s="30">
        <f>IFERROR(__xludf.DUMMYFUNCTION("""COMPUTED_VALUE"""),80.0)</f>
        <v>80</v>
      </c>
      <c r="C208" s="30"/>
      <c r="D208" s="30"/>
      <c r="E208" s="30"/>
      <c r="F208" s="30"/>
      <c r="G208" s="30"/>
      <c r="H208" s="30"/>
      <c r="I208" s="30"/>
      <c r="J208" s="30">
        <f>IFERROR(__xludf.DUMMYFUNCTION("""COMPUTED_VALUE"""),-11.059343513011441)</f>
        <v>-11.05934351</v>
      </c>
      <c r="K208" s="30"/>
      <c r="L208" s="30"/>
      <c r="M208" s="30"/>
      <c r="N208" s="30"/>
      <c r="O208" s="30">
        <f>IFERROR(__xludf.DUMMYFUNCTION("""COMPUTED_VALUE"""),-2.630874715592867)</f>
        <v>-2.630874716</v>
      </c>
      <c r="P208" s="30">
        <f>IFERROR(__xludf.DUMMYFUNCTION("""COMPUTED_VALUE"""),4.463999088063446)</f>
        <v>4.463999088</v>
      </c>
      <c r="Q208" s="30"/>
      <c r="R208" s="30"/>
      <c r="S208" s="30"/>
      <c r="T208" s="30"/>
      <c r="U208" s="30">
        <v>0.0</v>
      </c>
      <c r="V208" s="30"/>
      <c r="W208" s="30"/>
      <c r="X208" s="30"/>
      <c r="Y208" s="5">
        <f>IFERROR(__xludf.DUMMYFUNCTION("""COMPUTED_VALUE"""),80.0)</f>
        <v>80</v>
      </c>
      <c r="Z208" s="5">
        <f>IFERROR(__xludf.DUMMYFUNCTION("""COMPUTED_VALUE"""),80.0)</f>
        <v>80</v>
      </c>
    </row>
    <row r="209">
      <c r="A209" s="30" t="s">
        <v>1301</v>
      </c>
      <c r="B209" s="30">
        <f>IFERROR(__xludf.DUMMYFUNCTION("""COMPUTED_VALUE"""),79.0)</f>
        <v>79</v>
      </c>
      <c r="C209" s="30"/>
      <c r="D209" s="30"/>
      <c r="E209" s="30"/>
      <c r="F209" s="30"/>
      <c r="G209" s="30"/>
      <c r="H209" s="30"/>
      <c r="I209" s="30"/>
      <c r="J209" s="30">
        <f>IFERROR(__xludf.DUMMYFUNCTION("""COMPUTED_VALUE"""),-11.059343513011441)</f>
        <v>-11.05934351</v>
      </c>
      <c r="K209" s="30"/>
      <c r="L209" s="30"/>
      <c r="M209" s="30"/>
      <c r="N209" s="30"/>
      <c r="O209" s="30">
        <f>IFERROR(__xludf.DUMMYFUNCTION("""COMPUTED_VALUE"""),-2.630874715592867)</f>
        <v>-2.630874716</v>
      </c>
      <c r="P209" s="30">
        <f>IFERROR(__xludf.DUMMYFUNCTION("""COMPUTED_VALUE"""),4.463999088063446)</f>
        <v>4.463999088</v>
      </c>
      <c r="Q209" s="30"/>
      <c r="R209" s="30"/>
      <c r="S209" s="30"/>
      <c r="T209" s="30"/>
      <c r="U209" s="30">
        <v>0.0</v>
      </c>
      <c r="V209" s="30"/>
      <c r="W209" s="30"/>
      <c r="X209" s="30"/>
      <c r="Y209" s="5">
        <f>IFERROR(__xludf.DUMMYFUNCTION("""COMPUTED_VALUE"""),78.0)</f>
        <v>78</v>
      </c>
      <c r="Z209" s="5">
        <f>IFERROR(__xludf.DUMMYFUNCTION("""COMPUTED_VALUE"""),80.0)</f>
        <v>80</v>
      </c>
    </row>
    <row r="210">
      <c r="A210" s="30" t="s">
        <v>606</v>
      </c>
      <c r="B210" s="30">
        <f>IFERROR(__xludf.DUMMYFUNCTION("""COMPUTED_VALUE"""),80.0)</f>
        <v>80</v>
      </c>
      <c r="C210" s="30"/>
      <c r="D210" s="30"/>
      <c r="E210" s="30"/>
      <c r="F210" s="30"/>
      <c r="G210" s="30"/>
      <c r="H210" s="30"/>
      <c r="I210" s="30"/>
      <c r="J210" s="30">
        <f>IFERROR(__xludf.DUMMYFUNCTION("""COMPUTED_VALUE"""),-11.059343513011441)</f>
        <v>-11.05934351</v>
      </c>
      <c r="K210" s="30"/>
      <c r="L210" s="30"/>
      <c r="M210" s="30"/>
      <c r="N210" s="30"/>
      <c r="O210" s="30">
        <f>IFERROR(__xludf.DUMMYFUNCTION("""COMPUTED_VALUE"""),-2.630874715592867)</f>
        <v>-2.630874716</v>
      </c>
      <c r="P210" s="30">
        <f>IFERROR(__xludf.DUMMYFUNCTION("""COMPUTED_VALUE"""),4.463999088063446)</f>
        <v>4.463999088</v>
      </c>
      <c r="Q210" s="30"/>
      <c r="R210" s="30"/>
      <c r="S210" s="30"/>
      <c r="T210" s="30"/>
      <c r="U210" s="30">
        <v>0.0</v>
      </c>
      <c r="V210" s="30"/>
      <c r="W210" s="30"/>
      <c r="X210" s="30"/>
      <c r="Y210" s="5">
        <f>IFERROR(__xludf.DUMMYFUNCTION("""COMPUTED_VALUE"""),80.0)</f>
        <v>80</v>
      </c>
      <c r="Z210" s="5">
        <f>IFERROR(__xludf.DUMMYFUNCTION("""COMPUTED_VALUE"""),80.0)</f>
        <v>80</v>
      </c>
    </row>
    <row r="211">
      <c r="A211" s="30" t="s">
        <v>852</v>
      </c>
      <c r="B211" s="30">
        <f>IFERROR(__xludf.DUMMYFUNCTION("""COMPUTED_VALUE"""),76.0)</f>
        <v>76</v>
      </c>
      <c r="C211" s="30"/>
      <c r="D211" s="30"/>
      <c r="E211" s="30"/>
      <c r="F211" s="30"/>
      <c r="G211" s="30"/>
      <c r="H211" s="30"/>
      <c r="I211" s="30"/>
      <c r="J211" s="30">
        <f>IFERROR(__xludf.DUMMYFUNCTION("""COMPUTED_VALUE"""),-11.059343513011441)</f>
        <v>-11.05934351</v>
      </c>
      <c r="K211" s="30"/>
      <c r="L211" s="30"/>
      <c r="M211" s="30"/>
      <c r="N211" s="30"/>
      <c r="O211" s="30">
        <f>IFERROR(__xludf.DUMMYFUNCTION("""COMPUTED_VALUE"""),-2.630874715592867)</f>
        <v>-2.630874716</v>
      </c>
      <c r="P211" s="30">
        <f>IFERROR(__xludf.DUMMYFUNCTION("""COMPUTED_VALUE"""),4.463999088063446)</f>
        <v>4.463999088</v>
      </c>
      <c r="Q211" s="30"/>
      <c r="R211" s="30"/>
      <c r="S211" s="30"/>
      <c r="T211" s="30"/>
      <c r="U211" s="30">
        <v>0.0</v>
      </c>
      <c r="V211" s="30"/>
      <c r="W211" s="30"/>
      <c r="X211" s="30"/>
      <c r="Y211" s="5">
        <f>IFERROR(__xludf.DUMMYFUNCTION("""COMPUTED_VALUE"""),76.0)</f>
        <v>76</v>
      </c>
      <c r="Z211" s="5">
        <f>IFERROR(__xludf.DUMMYFUNCTION("""COMPUTED_VALUE"""),76.0)</f>
        <v>76</v>
      </c>
    </row>
    <row r="212">
      <c r="A212" s="30" t="s">
        <v>1305</v>
      </c>
      <c r="B212" s="30">
        <f>IFERROR(__xludf.DUMMYFUNCTION("""COMPUTED_VALUE"""),79.0)</f>
        <v>79</v>
      </c>
      <c r="C212" s="30"/>
      <c r="D212" s="30"/>
      <c r="E212" s="30"/>
      <c r="F212" s="30"/>
      <c r="G212" s="30"/>
      <c r="H212" s="30"/>
      <c r="I212" s="30"/>
      <c r="J212" s="30">
        <f>IFERROR(__xludf.DUMMYFUNCTION("""COMPUTED_VALUE"""),-11.059343513011441)</f>
        <v>-11.05934351</v>
      </c>
      <c r="K212" s="30"/>
      <c r="L212" s="30"/>
      <c r="M212" s="30"/>
      <c r="N212" s="30"/>
      <c r="O212" s="30">
        <f>IFERROR(__xludf.DUMMYFUNCTION("""COMPUTED_VALUE"""),-2.630874715592867)</f>
        <v>-2.630874716</v>
      </c>
      <c r="P212" s="30">
        <f>IFERROR(__xludf.DUMMYFUNCTION("""COMPUTED_VALUE"""),4.463999088063446)</f>
        <v>4.463999088</v>
      </c>
      <c r="Q212" s="30"/>
      <c r="R212" s="30"/>
      <c r="S212" s="30"/>
      <c r="T212" s="30"/>
      <c r="U212" s="30">
        <v>0.0</v>
      </c>
      <c r="V212" s="30"/>
      <c r="W212" s="30"/>
      <c r="X212" s="30"/>
      <c r="Y212" s="5">
        <f>IFERROR(__xludf.DUMMYFUNCTION("""COMPUTED_VALUE"""),79.0)</f>
        <v>79</v>
      </c>
      <c r="Z212" s="5">
        <f>IFERROR(__xludf.DUMMYFUNCTION("""COMPUTED_VALUE"""),79.0)</f>
        <v>79</v>
      </c>
    </row>
    <row r="213">
      <c r="A213" s="30" t="s">
        <v>1306</v>
      </c>
      <c r="B213" s="30">
        <f>IFERROR(__xludf.DUMMYFUNCTION("""COMPUTED_VALUE"""),77.0)</f>
        <v>77</v>
      </c>
      <c r="C213" s="30"/>
      <c r="D213" s="30"/>
      <c r="E213" s="30"/>
      <c r="F213" s="30"/>
      <c r="G213" s="30"/>
      <c r="H213" s="30"/>
      <c r="I213" s="30"/>
      <c r="J213" s="30">
        <f>IFERROR(__xludf.DUMMYFUNCTION("""COMPUTED_VALUE"""),-11.059343513011441)</f>
        <v>-11.05934351</v>
      </c>
      <c r="K213" s="30"/>
      <c r="L213" s="30"/>
      <c r="M213" s="30"/>
      <c r="N213" s="30"/>
      <c r="O213" s="30">
        <f>IFERROR(__xludf.DUMMYFUNCTION("""COMPUTED_VALUE"""),-2.630874715592867)</f>
        <v>-2.630874716</v>
      </c>
      <c r="P213" s="30">
        <f>IFERROR(__xludf.DUMMYFUNCTION("""COMPUTED_VALUE"""),4.463999088063446)</f>
        <v>4.463999088</v>
      </c>
      <c r="Q213" s="30"/>
      <c r="R213" s="30"/>
      <c r="S213" s="30"/>
      <c r="T213" s="30"/>
      <c r="U213" s="30">
        <v>0.0</v>
      </c>
      <c r="V213" s="30"/>
      <c r="W213" s="30"/>
      <c r="X213" s="30"/>
      <c r="Y213" s="5">
        <f>IFERROR(__xludf.DUMMYFUNCTION("""COMPUTED_VALUE"""),77.0)</f>
        <v>77</v>
      </c>
      <c r="Z213" s="5">
        <f>IFERROR(__xludf.DUMMYFUNCTION("""COMPUTED_VALUE"""),77.0)</f>
        <v>77</v>
      </c>
    </row>
    <row r="214">
      <c r="A214" s="30" t="s">
        <v>739</v>
      </c>
      <c r="B214" s="30">
        <f>IFERROR(__xludf.DUMMYFUNCTION("""COMPUTED_VALUE"""),76.0)</f>
        <v>76</v>
      </c>
      <c r="C214" s="30"/>
      <c r="D214" s="30"/>
      <c r="E214" s="30"/>
      <c r="F214" s="30"/>
      <c r="G214" s="30"/>
      <c r="H214" s="30"/>
      <c r="I214" s="30"/>
      <c r="J214" s="30">
        <f>IFERROR(__xludf.DUMMYFUNCTION("""COMPUTED_VALUE"""),-11.059343513011441)</f>
        <v>-11.05934351</v>
      </c>
      <c r="K214" s="30"/>
      <c r="L214" s="30"/>
      <c r="M214" s="30"/>
      <c r="N214" s="30"/>
      <c r="O214" s="30">
        <f>IFERROR(__xludf.DUMMYFUNCTION("""COMPUTED_VALUE"""),-2.630874715592867)</f>
        <v>-2.630874716</v>
      </c>
      <c r="P214" s="30">
        <f>IFERROR(__xludf.DUMMYFUNCTION("""COMPUTED_VALUE"""),4.463999088063446)</f>
        <v>4.463999088</v>
      </c>
      <c r="Q214" s="30"/>
      <c r="R214" s="30"/>
      <c r="S214" s="30"/>
      <c r="T214" s="30"/>
      <c r="U214" s="30">
        <v>0.0</v>
      </c>
      <c r="V214" s="30"/>
      <c r="W214" s="30"/>
      <c r="X214" s="30"/>
      <c r="Y214" s="5">
        <f>IFERROR(__xludf.DUMMYFUNCTION("""COMPUTED_VALUE"""),76.0)</f>
        <v>76</v>
      </c>
      <c r="Z214" s="5">
        <f>IFERROR(__xludf.DUMMYFUNCTION("""COMPUTED_VALUE"""),76.0)</f>
        <v>76</v>
      </c>
    </row>
    <row r="215">
      <c r="A215" s="30" t="s">
        <v>1311</v>
      </c>
      <c r="B215" s="30">
        <f>IFERROR(__xludf.DUMMYFUNCTION("""COMPUTED_VALUE"""),79.0)</f>
        <v>79</v>
      </c>
      <c r="C215" s="30"/>
      <c r="D215" s="30"/>
      <c r="E215" s="30"/>
      <c r="F215" s="30"/>
      <c r="G215" s="30"/>
      <c r="H215" s="30"/>
      <c r="I215" s="30"/>
      <c r="J215" s="30">
        <f>IFERROR(__xludf.DUMMYFUNCTION("""COMPUTED_VALUE"""),-11.059343513011441)</f>
        <v>-11.05934351</v>
      </c>
      <c r="K215" s="30"/>
      <c r="L215" s="30"/>
      <c r="M215" s="30"/>
      <c r="N215" s="30"/>
      <c r="O215" s="30">
        <f>IFERROR(__xludf.DUMMYFUNCTION("""COMPUTED_VALUE"""),-2.630874715592867)</f>
        <v>-2.630874716</v>
      </c>
      <c r="P215" s="30">
        <f>IFERROR(__xludf.DUMMYFUNCTION("""COMPUTED_VALUE"""),4.463999088063446)</f>
        <v>4.463999088</v>
      </c>
      <c r="Q215" s="30"/>
      <c r="R215" s="30"/>
      <c r="S215" s="30"/>
      <c r="T215" s="30"/>
      <c r="U215" s="30">
        <v>0.0</v>
      </c>
      <c r="V215" s="30"/>
      <c r="W215" s="30"/>
      <c r="X215" s="30"/>
      <c r="Y215" s="5">
        <f>IFERROR(__xludf.DUMMYFUNCTION("""COMPUTED_VALUE"""),79.0)</f>
        <v>79</v>
      </c>
      <c r="Z215" s="5">
        <f>IFERROR(__xludf.DUMMYFUNCTION("""COMPUTED_VALUE"""),79.0)</f>
        <v>79</v>
      </c>
    </row>
    <row r="216">
      <c r="A216" s="30" t="s">
        <v>757</v>
      </c>
      <c r="B216" s="30">
        <f>IFERROR(__xludf.DUMMYFUNCTION("""COMPUTED_VALUE"""),80.0)</f>
        <v>80</v>
      </c>
      <c r="C216" s="30"/>
      <c r="D216" s="30"/>
      <c r="E216" s="30"/>
      <c r="F216" s="30"/>
      <c r="G216" s="30"/>
      <c r="H216" s="30"/>
      <c r="I216" s="30"/>
      <c r="J216" s="30">
        <f>IFERROR(__xludf.DUMMYFUNCTION("""COMPUTED_VALUE"""),-11.059343513011441)</f>
        <v>-11.05934351</v>
      </c>
      <c r="K216" s="30"/>
      <c r="L216" s="30"/>
      <c r="M216" s="30"/>
      <c r="N216" s="30"/>
      <c r="O216" s="30">
        <f>IFERROR(__xludf.DUMMYFUNCTION("""COMPUTED_VALUE"""),-2.630874715592867)</f>
        <v>-2.630874716</v>
      </c>
      <c r="P216" s="30">
        <f>IFERROR(__xludf.DUMMYFUNCTION("""COMPUTED_VALUE"""),4.463999088063446)</f>
        <v>4.463999088</v>
      </c>
      <c r="Q216" s="30"/>
      <c r="R216" s="30"/>
      <c r="S216" s="30"/>
      <c r="T216" s="30"/>
      <c r="U216" s="30">
        <v>0.0</v>
      </c>
      <c r="V216" s="30"/>
      <c r="W216" s="30"/>
      <c r="X216" s="30"/>
      <c r="Y216" s="5">
        <f>IFERROR(__xludf.DUMMYFUNCTION("""COMPUTED_VALUE"""),80.0)</f>
        <v>80</v>
      </c>
      <c r="Z216" s="5">
        <f>IFERROR(__xludf.DUMMYFUNCTION("""COMPUTED_VALUE"""),80.0)</f>
        <v>80</v>
      </c>
    </row>
    <row r="217">
      <c r="A217" s="30" t="s">
        <v>407</v>
      </c>
      <c r="B217" s="30">
        <f>IFERROR(__xludf.DUMMYFUNCTION("""COMPUTED_VALUE"""),76.5)</f>
        <v>76.5</v>
      </c>
      <c r="C217" s="30"/>
      <c r="D217" s="30"/>
      <c r="E217" s="30"/>
      <c r="F217" s="30"/>
      <c r="G217" s="30"/>
      <c r="H217" s="30"/>
      <c r="I217" s="30"/>
      <c r="J217" s="30">
        <f>IFERROR(__xludf.DUMMYFUNCTION("""COMPUTED_VALUE"""),-11.059343513011441)</f>
        <v>-11.05934351</v>
      </c>
      <c r="K217" s="30"/>
      <c r="L217" s="30"/>
      <c r="M217" s="30"/>
      <c r="N217" s="30"/>
      <c r="O217" s="30">
        <f>IFERROR(__xludf.DUMMYFUNCTION("""COMPUTED_VALUE"""),-2.630874715592867)</f>
        <v>-2.630874716</v>
      </c>
      <c r="P217" s="30">
        <f>IFERROR(__xludf.DUMMYFUNCTION("""COMPUTED_VALUE"""),4.463999088063446)</f>
        <v>4.463999088</v>
      </c>
      <c r="Q217" s="30"/>
      <c r="R217" s="30"/>
      <c r="S217" s="30"/>
      <c r="T217" s="30"/>
      <c r="U217" s="30">
        <v>0.0</v>
      </c>
      <c r="V217" s="30"/>
      <c r="W217" s="30"/>
      <c r="X217" s="30"/>
      <c r="Y217" s="5">
        <f>IFERROR(__xludf.DUMMYFUNCTION("""COMPUTED_VALUE"""),76.0)</f>
        <v>76</v>
      </c>
      <c r="Z217" s="5">
        <f>IFERROR(__xludf.DUMMYFUNCTION("""COMPUTED_VALUE"""),77.0)</f>
        <v>77</v>
      </c>
    </row>
    <row r="218">
      <c r="A218" s="30" t="s">
        <v>1319</v>
      </c>
      <c r="B218" s="30">
        <f>IFERROR(__xludf.DUMMYFUNCTION("""COMPUTED_VALUE"""),79.0)</f>
        <v>79</v>
      </c>
      <c r="C218" s="30"/>
      <c r="D218" s="30"/>
      <c r="E218" s="30"/>
      <c r="F218" s="30"/>
      <c r="G218" s="30"/>
      <c r="H218" s="30"/>
      <c r="I218" s="30"/>
      <c r="J218" s="30">
        <f>IFERROR(__xludf.DUMMYFUNCTION("""COMPUTED_VALUE"""),-11.059343513011441)</f>
        <v>-11.05934351</v>
      </c>
      <c r="K218" s="30"/>
      <c r="L218" s="30"/>
      <c r="M218" s="30"/>
      <c r="N218" s="30"/>
      <c r="O218" s="30">
        <f>IFERROR(__xludf.DUMMYFUNCTION("""COMPUTED_VALUE"""),-2.630874715592867)</f>
        <v>-2.630874716</v>
      </c>
      <c r="P218" s="30">
        <f>IFERROR(__xludf.DUMMYFUNCTION("""COMPUTED_VALUE"""),4.463999088063446)</f>
        <v>4.463999088</v>
      </c>
      <c r="Q218" s="30"/>
      <c r="R218" s="30"/>
      <c r="S218" s="30"/>
      <c r="T218" s="30"/>
      <c r="U218" s="30">
        <v>0.0</v>
      </c>
      <c r="V218" s="30"/>
      <c r="W218" s="30"/>
      <c r="X218" s="30"/>
      <c r="Y218" s="5">
        <f>IFERROR(__xludf.DUMMYFUNCTION("""COMPUTED_VALUE"""),79.0)</f>
        <v>79</v>
      </c>
      <c r="Z218" s="5">
        <f>IFERROR(__xludf.DUMMYFUNCTION("""COMPUTED_VALUE"""),79.0)</f>
        <v>79</v>
      </c>
    </row>
    <row r="219">
      <c r="A219" s="30" t="s">
        <v>1320</v>
      </c>
      <c r="B219" s="30">
        <f>IFERROR(__xludf.DUMMYFUNCTION("""COMPUTED_VALUE"""),80.0)</f>
        <v>80</v>
      </c>
      <c r="C219" s="30"/>
      <c r="D219" s="30"/>
      <c r="E219" s="30"/>
      <c r="F219" s="30"/>
      <c r="G219" s="30"/>
      <c r="H219" s="30"/>
      <c r="I219" s="30"/>
      <c r="J219" s="30">
        <f>IFERROR(__xludf.DUMMYFUNCTION("""COMPUTED_VALUE"""),-11.059343513011441)</f>
        <v>-11.05934351</v>
      </c>
      <c r="K219" s="30"/>
      <c r="L219" s="30"/>
      <c r="M219" s="30"/>
      <c r="N219" s="30"/>
      <c r="O219" s="30">
        <f>IFERROR(__xludf.DUMMYFUNCTION("""COMPUTED_VALUE"""),-2.630874715592867)</f>
        <v>-2.630874716</v>
      </c>
      <c r="P219" s="30">
        <f>IFERROR(__xludf.DUMMYFUNCTION("""COMPUTED_VALUE"""),4.463999088063446)</f>
        <v>4.463999088</v>
      </c>
      <c r="Q219" s="30"/>
      <c r="R219" s="30"/>
      <c r="S219" s="30"/>
      <c r="T219" s="30"/>
      <c r="U219" s="30">
        <v>0.0</v>
      </c>
      <c r="V219" s="30"/>
      <c r="W219" s="30"/>
      <c r="X219" s="30"/>
      <c r="Y219" s="5">
        <f>IFERROR(__xludf.DUMMYFUNCTION("""COMPUTED_VALUE"""),80.0)</f>
        <v>80</v>
      </c>
      <c r="Z219" s="5">
        <f>IFERROR(__xludf.DUMMYFUNCTION("""COMPUTED_VALUE"""),80.0)</f>
        <v>80</v>
      </c>
    </row>
    <row r="220">
      <c r="A220" s="30" t="s">
        <v>1321</v>
      </c>
      <c r="B220" s="30">
        <f>IFERROR(__xludf.DUMMYFUNCTION("""COMPUTED_VALUE"""),77.0)</f>
        <v>77</v>
      </c>
      <c r="C220" s="30"/>
      <c r="D220" s="30"/>
      <c r="E220" s="30"/>
      <c r="F220" s="30"/>
      <c r="G220" s="30"/>
      <c r="H220" s="30"/>
      <c r="I220" s="30"/>
      <c r="J220" s="30">
        <f>IFERROR(__xludf.DUMMYFUNCTION("""COMPUTED_VALUE"""),-11.059343513011441)</f>
        <v>-11.05934351</v>
      </c>
      <c r="K220" s="30"/>
      <c r="L220" s="30"/>
      <c r="M220" s="30"/>
      <c r="N220" s="30"/>
      <c r="O220" s="30">
        <f>IFERROR(__xludf.DUMMYFUNCTION("""COMPUTED_VALUE"""),-2.630874715592867)</f>
        <v>-2.630874716</v>
      </c>
      <c r="P220" s="30">
        <f>IFERROR(__xludf.DUMMYFUNCTION("""COMPUTED_VALUE"""),4.463999088063446)</f>
        <v>4.463999088</v>
      </c>
      <c r="Q220" s="30"/>
      <c r="R220" s="30"/>
      <c r="S220" s="30"/>
      <c r="T220" s="30"/>
      <c r="U220" s="30">
        <v>0.0</v>
      </c>
      <c r="V220" s="30"/>
      <c r="W220" s="30"/>
      <c r="X220" s="30"/>
      <c r="Y220" s="5">
        <f>IFERROR(__xludf.DUMMYFUNCTION("""COMPUTED_VALUE"""),77.0)</f>
        <v>77</v>
      </c>
      <c r="Z220" s="5">
        <f>IFERROR(__xludf.DUMMYFUNCTION("""COMPUTED_VALUE"""),77.0)</f>
        <v>77</v>
      </c>
    </row>
    <row r="221">
      <c r="A221" s="30" t="s">
        <v>1322</v>
      </c>
      <c r="B221" s="30">
        <f>IFERROR(__xludf.DUMMYFUNCTION("""COMPUTED_VALUE"""),78.0)</f>
        <v>78</v>
      </c>
      <c r="C221" s="30"/>
      <c r="D221" s="30"/>
      <c r="E221" s="30"/>
      <c r="F221" s="30"/>
      <c r="G221" s="30"/>
      <c r="H221" s="30"/>
      <c r="I221" s="30"/>
      <c r="J221" s="30">
        <f>IFERROR(__xludf.DUMMYFUNCTION("""COMPUTED_VALUE"""),-11.059343513011441)</f>
        <v>-11.05934351</v>
      </c>
      <c r="K221" s="30"/>
      <c r="L221" s="30"/>
      <c r="M221" s="30"/>
      <c r="N221" s="30"/>
      <c r="O221" s="30">
        <f>IFERROR(__xludf.DUMMYFUNCTION("""COMPUTED_VALUE"""),-2.630874715592867)</f>
        <v>-2.630874716</v>
      </c>
      <c r="P221" s="30">
        <f>IFERROR(__xludf.DUMMYFUNCTION("""COMPUTED_VALUE"""),4.463999088063446)</f>
        <v>4.463999088</v>
      </c>
      <c r="Q221" s="30"/>
      <c r="R221" s="30"/>
      <c r="S221" s="30"/>
      <c r="T221" s="30"/>
      <c r="U221" s="30">
        <v>0.0</v>
      </c>
      <c r="V221" s="30"/>
      <c r="W221" s="30"/>
      <c r="X221" s="30"/>
      <c r="Y221" s="5">
        <f>IFERROR(__xludf.DUMMYFUNCTION("""COMPUTED_VALUE"""),76.0)</f>
        <v>76</v>
      </c>
      <c r="Z221" s="5">
        <f>IFERROR(__xludf.DUMMYFUNCTION("""COMPUTED_VALUE"""),80.0)</f>
        <v>80</v>
      </c>
    </row>
    <row r="222">
      <c r="A222" s="30" t="s">
        <v>1324</v>
      </c>
      <c r="B222" s="30">
        <f>IFERROR(__xludf.DUMMYFUNCTION("""COMPUTED_VALUE"""),80.0)</f>
        <v>80</v>
      </c>
      <c r="C222" s="30"/>
      <c r="D222" s="30"/>
      <c r="E222" s="30"/>
      <c r="F222" s="30"/>
      <c r="G222" s="30"/>
      <c r="H222" s="30"/>
      <c r="I222" s="30"/>
      <c r="J222" s="30">
        <f>IFERROR(__xludf.DUMMYFUNCTION("""COMPUTED_VALUE"""),-11.059343513011441)</f>
        <v>-11.05934351</v>
      </c>
      <c r="K222" s="30"/>
      <c r="L222" s="30"/>
      <c r="M222" s="30"/>
      <c r="N222" s="30"/>
      <c r="O222" s="30">
        <f>IFERROR(__xludf.DUMMYFUNCTION("""COMPUTED_VALUE"""),-2.630874715592867)</f>
        <v>-2.630874716</v>
      </c>
      <c r="P222" s="30">
        <f>IFERROR(__xludf.DUMMYFUNCTION("""COMPUTED_VALUE"""),4.463999088063446)</f>
        <v>4.463999088</v>
      </c>
      <c r="Q222" s="30"/>
      <c r="R222" s="30"/>
      <c r="S222" s="30"/>
      <c r="T222" s="30"/>
      <c r="U222" s="30">
        <v>0.0</v>
      </c>
      <c r="V222" s="30"/>
      <c r="W222" s="30"/>
      <c r="X222" s="30"/>
      <c r="Y222" s="5">
        <f>IFERROR(__xludf.DUMMYFUNCTION("""COMPUTED_VALUE"""),80.0)</f>
        <v>80</v>
      </c>
      <c r="Z222" s="5">
        <f>IFERROR(__xludf.DUMMYFUNCTION("""COMPUTED_VALUE"""),80.0)</f>
        <v>80</v>
      </c>
    </row>
    <row r="223">
      <c r="A223" s="30" t="s">
        <v>1330</v>
      </c>
      <c r="B223" s="30">
        <f>IFERROR(__xludf.DUMMYFUNCTION("""COMPUTED_VALUE"""),78.5)</f>
        <v>78.5</v>
      </c>
      <c r="C223" s="30"/>
      <c r="D223" s="30"/>
      <c r="E223" s="30"/>
      <c r="F223" s="30"/>
      <c r="G223" s="30"/>
      <c r="H223" s="30"/>
      <c r="I223" s="30"/>
      <c r="J223" s="30">
        <f>IFERROR(__xludf.DUMMYFUNCTION("""COMPUTED_VALUE"""),-11.059343513011441)</f>
        <v>-11.05934351</v>
      </c>
      <c r="K223" s="30"/>
      <c r="L223" s="30"/>
      <c r="M223" s="30"/>
      <c r="N223" s="30"/>
      <c r="O223" s="30">
        <f>IFERROR(__xludf.DUMMYFUNCTION("""COMPUTED_VALUE"""),-2.630874715592867)</f>
        <v>-2.630874716</v>
      </c>
      <c r="P223" s="30">
        <f>IFERROR(__xludf.DUMMYFUNCTION("""COMPUTED_VALUE"""),4.463999088063446)</f>
        <v>4.463999088</v>
      </c>
      <c r="Q223" s="30"/>
      <c r="R223" s="30"/>
      <c r="S223" s="30"/>
      <c r="T223" s="30"/>
      <c r="U223" s="30">
        <v>0.0</v>
      </c>
      <c r="V223" s="30"/>
      <c r="W223" s="30"/>
      <c r="X223" s="30"/>
      <c r="Y223" s="5">
        <f>IFERROR(__xludf.DUMMYFUNCTION("""COMPUTED_VALUE"""),77.0)</f>
        <v>77</v>
      </c>
      <c r="Z223" s="5">
        <f>IFERROR(__xludf.DUMMYFUNCTION("""COMPUTED_VALUE"""),80.0)</f>
        <v>80</v>
      </c>
    </row>
    <row r="224">
      <c r="A224" s="30" t="s">
        <v>1335</v>
      </c>
      <c r="B224" s="30">
        <f>IFERROR(__xludf.DUMMYFUNCTION("""COMPUTED_VALUE"""),80.0)</f>
        <v>80</v>
      </c>
      <c r="C224" s="30"/>
      <c r="D224" s="30"/>
      <c r="E224" s="30"/>
      <c r="F224" s="30"/>
      <c r="G224" s="30"/>
      <c r="H224" s="30"/>
      <c r="I224" s="30"/>
      <c r="J224" s="30">
        <f>IFERROR(__xludf.DUMMYFUNCTION("""COMPUTED_VALUE"""),-11.059343513011441)</f>
        <v>-11.05934351</v>
      </c>
      <c r="K224" s="30"/>
      <c r="L224" s="30"/>
      <c r="M224" s="30"/>
      <c r="N224" s="30"/>
      <c r="O224" s="30">
        <f>IFERROR(__xludf.DUMMYFUNCTION("""COMPUTED_VALUE"""),-2.630874715592867)</f>
        <v>-2.630874716</v>
      </c>
      <c r="P224" s="30">
        <f>IFERROR(__xludf.DUMMYFUNCTION("""COMPUTED_VALUE"""),4.463999088063446)</f>
        <v>4.463999088</v>
      </c>
      <c r="Q224" s="30"/>
      <c r="R224" s="30"/>
      <c r="S224" s="30"/>
      <c r="T224" s="30"/>
      <c r="U224" s="30">
        <v>0.0</v>
      </c>
      <c r="V224" s="30"/>
      <c r="W224" s="30"/>
      <c r="X224" s="30"/>
      <c r="Y224" s="5">
        <f>IFERROR(__xludf.DUMMYFUNCTION("""COMPUTED_VALUE"""),80.0)</f>
        <v>80</v>
      </c>
      <c r="Z224" s="5">
        <f>IFERROR(__xludf.DUMMYFUNCTION("""COMPUTED_VALUE"""),80.0)</f>
        <v>80</v>
      </c>
    </row>
    <row r="225">
      <c r="A225" s="30" t="s">
        <v>289</v>
      </c>
      <c r="B225" s="30">
        <f>IFERROR(__xludf.DUMMYFUNCTION("""COMPUTED_VALUE"""),77.0)</f>
        <v>77</v>
      </c>
      <c r="C225" s="30"/>
      <c r="D225" s="30"/>
      <c r="E225" s="30"/>
      <c r="F225" s="30"/>
      <c r="G225" s="30"/>
      <c r="H225" s="30"/>
      <c r="I225" s="30"/>
      <c r="J225" s="30">
        <f>IFERROR(__xludf.DUMMYFUNCTION("""COMPUTED_VALUE"""),-11.059343513011441)</f>
        <v>-11.05934351</v>
      </c>
      <c r="K225" s="30"/>
      <c r="L225" s="30"/>
      <c r="M225" s="30"/>
      <c r="N225" s="30"/>
      <c r="O225" s="30">
        <f>IFERROR(__xludf.DUMMYFUNCTION("""COMPUTED_VALUE"""),-2.630874715592867)</f>
        <v>-2.630874716</v>
      </c>
      <c r="P225" s="30">
        <f>IFERROR(__xludf.DUMMYFUNCTION("""COMPUTED_VALUE"""),4.463999088063446)</f>
        <v>4.463999088</v>
      </c>
      <c r="Q225" s="30"/>
      <c r="R225" s="30"/>
      <c r="S225" s="30"/>
      <c r="T225" s="30"/>
      <c r="U225" s="30">
        <v>0.0</v>
      </c>
      <c r="V225" s="30"/>
      <c r="W225" s="30"/>
      <c r="X225" s="30"/>
      <c r="Y225" s="5">
        <f>IFERROR(__xludf.DUMMYFUNCTION("""COMPUTED_VALUE"""),77.0)</f>
        <v>77</v>
      </c>
      <c r="Z225" s="5">
        <f>IFERROR(__xludf.DUMMYFUNCTION("""COMPUTED_VALUE"""),77.0)</f>
        <v>77</v>
      </c>
    </row>
    <row r="226">
      <c r="A226" s="30" t="s">
        <v>124</v>
      </c>
      <c r="B226" s="30">
        <f>IFERROR(__xludf.DUMMYFUNCTION("""COMPUTED_VALUE"""),77.0)</f>
        <v>77</v>
      </c>
      <c r="C226" s="30"/>
      <c r="D226" s="30"/>
      <c r="E226" s="30"/>
      <c r="F226" s="30"/>
      <c r="G226" s="30"/>
      <c r="H226" s="30"/>
      <c r="I226" s="30"/>
      <c r="J226" s="30">
        <f>IFERROR(__xludf.DUMMYFUNCTION("""COMPUTED_VALUE"""),-11.059343513011441)</f>
        <v>-11.05934351</v>
      </c>
      <c r="K226" s="30"/>
      <c r="L226" s="30"/>
      <c r="M226" s="30"/>
      <c r="N226" s="30"/>
      <c r="O226" s="30">
        <f>IFERROR(__xludf.DUMMYFUNCTION("""COMPUTED_VALUE"""),-2.630874715592867)</f>
        <v>-2.630874716</v>
      </c>
      <c r="P226" s="30">
        <f>IFERROR(__xludf.DUMMYFUNCTION("""COMPUTED_VALUE"""),4.463999088063446)</f>
        <v>4.463999088</v>
      </c>
      <c r="Q226" s="30"/>
      <c r="R226" s="30"/>
      <c r="S226" s="30"/>
      <c r="T226" s="30"/>
      <c r="U226" s="30">
        <v>0.0</v>
      </c>
      <c r="V226" s="30"/>
      <c r="W226" s="30"/>
      <c r="X226" s="30"/>
      <c r="Y226" s="5">
        <f>IFERROR(__xludf.DUMMYFUNCTION("""COMPUTED_VALUE"""),76.0)</f>
        <v>76</v>
      </c>
      <c r="Z226" s="5">
        <f>IFERROR(__xludf.DUMMYFUNCTION("""COMPUTED_VALUE"""),78.0)</f>
        <v>78</v>
      </c>
    </row>
    <row r="227">
      <c r="A227" s="30" t="s">
        <v>1342</v>
      </c>
      <c r="B227" s="30">
        <f>IFERROR(__xludf.DUMMYFUNCTION("""COMPUTED_VALUE"""),76.0)</f>
        <v>76</v>
      </c>
      <c r="C227" s="30"/>
      <c r="D227" s="30"/>
      <c r="E227" s="30"/>
      <c r="F227" s="30"/>
      <c r="G227" s="30"/>
      <c r="H227" s="30"/>
      <c r="I227" s="30"/>
      <c r="J227" s="30">
        <f>IFERROR(__xludf.DUMMYFUNCTION("""COMPUTED_VALUE"""),-11.059343513011441)</f>
        <v>-11.05934351</v>
      </c>
      <c r="K227" s="30"/>
      <c r="L227" s="30"/>
      <c r="M227" s="30"/>
      <c r="N227" s="30"/>
      <c r="O227" s="30">
        <f>IFERROR(__xludf.DUMMYFUNCTION("""COMPUTED_VALUE"""),-2.630874715592867)</f>
        <v>-2.630874716</v>
      </c>
      <c r="P227" s="30">
        <f>IFERROR(__xludf.DUMMYFUNCTION("""COMPUTED_VALUE"""),4.463999088063446)</f>
        <v>4.463999088</v>
      </c>
      <c r="Q227" s="30"/>
      <c r="R227" s="30"/>
      <c r="S227" s="30"/>
      <c r="T227" s="30"/>
      <c r="U227" s="30">
        <v>0.0</v>
      </c>
      <c r="V227" s="30"/>
      <c r="W227" s="30"/>
      <c r="X227" s="30"/>
      <c r="Y227" s="5">
        <f>IFERROR(__xludf.DUMMYFUNCTION("""COMPUTED_VALUE"""),76.0)</f>
        <v>76</v>
      </c>
      <c r="Z227" s="5">
        <f>IFERROR(__xludf.DUMMYFUNCTION("""COMPUTED_VALUE"""),76.0)</f>
        <v>76</v>
      </c>
    </row>
    <row r="228">
      <c r="A228" s="30" t="s">
        <v>1343</v>
      </c>
      <c r="B228" s="30">
        <f>IFERROR(__xludf.DUMMYFUNCTION("""COMPUTED_VALUE"""),80.0)</f>
        <v>80</v>
      </c>
      <c r="C228" s="30"/>
      <c r="D228" s="30"/>
      <c r="E228" s="30"/>
      <c r="F228" s="30"/>
      <c r="G228" s="30"/>
      <c r="H228" s="30"/>
      <c r="I228" s="30"/>
      <c r="J228" s="30">
        <f>IFERROR(__xludf.DUMMYFUNCTION("""COMPUTED_VALUE"""),-11.059343513011441)</f>
        <v>-11.05934351</v>
      </c>
      <c r="K228" s="30"/>
      <c r="L228" s="30"/>
      <c r="M228" s="30"/>
      <c r="N228" s="30"/>
      <c r="O228" s="30">
        <f>IFERROR(__xludf.DUMMYFUNCTION("""COMPUTED_VALUE"""),-2.630874715592867)</f>
        <v>-2.630874716</v>
      </c>
      <c r="P228" s="30">
        <f>IFERROR(__xludf.DUMMYFUNCTION("""COMPUTED_VALUE"""),4.463999088063446)</f>
        <v>4.463999088</v>
      </c>
      <c r="Q228" s="30"/>
      <c r="R228" s="30"/>
      <c r="S228" s="30"/>
      <c r="T228" s="30"/>
      <c r="U228" s="30">
        <v>0.0</v>
      </c>
      <c r="V228" s="30"/>
      <c r="W228" s="30"/>
      <c r="X228" s="30"/>
      <c r="Y228" s="5">
        <f>IFERROR(__xludf.DUMMYFUNCTION("""COMPUTED_VALUE"""),80.0)</f>
        <v>80</v>
      </c>
      <c r="Z228" s="5">
        <f>IFERROR(__xludf.DUMMYFUNCTION("""COMPUTED_VALUE"""),80.0)</f>
        <v>80</v>
      </c>
    </row>
    <row r="229">
      <c r="A229" s="30" t="s">
        <v>1344</v>
      </c>
      <c r="B229" s="30">
        <f>IFERROR(__xludf.DUMMYFUNCTION("""COMPUTED_VALUE"""),78.0)</f>
        <v>78</v>
      </c>
      <c r="C229" s="30"/>
      <c r="D229" s="30"/>
      <c r="E229" s="30"/>
      <c r="F229" s="30"/>
      <c r="G229" s="30"/>
      <c r="H229" s="30"/>
      <c r="I229" s="30"/>
      <c r="J229" s="30">
        <f>IFERROR(__xludf.DUMMYFUNCTION("""COMPUTED_VALUE"""),-11.059343513011441)</f>
        <v>-11.05934351</v>
      </c>
      <c r="K229" s="30"/>
      <c r="L229" s="30"/>
      <c r="M229" s="30"/>
      <c r="N229" s="30"/>
      <c r="O229" s="30">
        <f>IFERROR(__xludf.DUMMYFUNCTION("""COMPUTED_VALUE"""),-2.630874715592867)</f>
        <v>-2.630874716</v>
      </c>
      <c r="P229" s="30">
        <f>IFERROR(__xludf.DUMMYFUNCTION("""COMPUTED_VALUE"""),4.463999088063446)</f>
        <v>4.463999088</v>
      </c>
      <c r="Q229" s="30"/>
      <c r="R229" s="30"/>
      <c r="S229" s="30"/>
      <c r="T229" s="30"/>
      <c r="U229" s="30">
        <v>0.0</v>
      </c>
      <c r="V229" s="30"/>
      <c r="W229" s="30"/>
      <c r="X229" s="30"/>
      <c r="Y229" s="5">
        <f>IFERROR(__xludf.DUMMYFUNCTION("""COMPUTED_VALUE"""),78.0)</f>
        <v>78</v>
      </c>
      <c r="Z229" s="5">
        <f>IFERROR(__xludf.DUMMYFUNCTION("""COMPUTED_VALUE"""),78.0)</f>
        <v>78</v>
      </c>
    </row>
    <row r="230">
      <c r="A230" s="30" t="s">
        <v>392</v>
      </c>
      <c r="B230" s="30">
        <f>IFERROR(__xludf.DUMMYFUNCTION("""COMPUTED_VALUE"""),77.5)</f>
        <v>77.5</v>
      </c>
      <c r="C230" s="30"/>
      <c r="D230" s="30"/>
      <c r="E230" s="30"/>
      <c r="F230" s="30"/>
      <c r="G230" s="30"/>
      <c r="H230" s="30"/>
      <c r="I230" s="30"/>
      <c r="J230" s="30">
        <f>IFERROR(__xludf.DUMMYFUNCTION("""COMPUTED_VALUE"""),-11.059343513011441)</f>
        <v>-11.05934351</v>
      </c>
      <c r="K230" s="30"/>
      <c r="L230" s="30"/>
      <c r="M230" s="30"/>
      <c r="N230" s="30"/>
      <c r="O230" s="30">
        <f>IFERROR(__xludf.DUMMYFUNCTION("""COMPUTED_VALUE"""),-2.630874715592867)</f>
        <v>-2.630874716</v>
      </c>
      <c r="P230" s="30">
        <f>IFERROR(__xludf.DUMMYFUNCTION("""COMPUTED_VALUE"""),4.463999088063446)</f>
        <v>4.463999088</v>
      </c>
      <c r="Q230" s="30"/>
      <c r="R230" s="30"/>
      <c r="S230" s="30"/>
      <c r="T230" s="30"/>
      <c r="U230" s="30">
        <v>0.0</v>
      </c>
      <c r="V230" s="30"/>
      <c r="W230" s="30"/>
      <c r="X230" s="30"/>
      <c r="Y230" s="5">
        <f>IFERROR(__xludf.DUMMYFUNCTION("""COMPUTED_VALUE"""),77.0)</f>
        <v>77</v>
      </c>
      <c r="Z230" s="5">
        <f>IFERROR(__xludf.DUMMYFUNCTION("""COMPUTED_VALUE"""),78.0)</f>
        <v>78</v>
      </c>
    </row>
    <row r="231">
      <c r="A231" s="30" t="s">
        <v>1350</v>
      </c>
      <c r="B231" s="30">
        <f>IFERROR(__xludf.DUMMYFUNCTION("""COMPUTED_VALUE"""),79.5)</f>
        <v>79.5</v>
      </c>
      <c r="C231" s="30"/>
      <c r="D231" s="30"/>
      <c r="E231" s="30"/>
      <c r="F231" s="30"/>
      <c r="G231" s="30"/>
      <c r="H231" s="30"/>
      <c r="I231" s="30"/>
      <c r="J231" s="30">
        <f>IFERROR(__xludf.DUMMYFUNCTION("""COMPUTED_VALUE"""),-11.059343513011441)</f>
        <v>-11.05934351</v>
      </c>
      <c r="K231" s="30"/>
      <c r="L231" s="30"/>
      <c r="M231" s="30"/>
      <c r="N231" s="30"/>
      <c r="O231" s="30">
        <f>IFERROR(__xludf.DUMMYFUNCTION("""COMPUTED_VALUE"""),-2.630874715592867)</f>
        <v>-2.630874716</v>
      </c>
      <c r="P231" s="30">
        <f>IFERROR(__xludf.DUMMYFUNCTION("""COMPUTED_VALUE"""),4.463999088063446)</f>
        <v>4.463999088</v>
      </c>
      <c r="Q231" s="30"/>
      <c r="R231" s="30"/>
      <c r="S231" s="30"/>
      <c r="T231" s="30"/>
      <c r="U231" s="30">
        <v>0.0</v>
      </c>
      <c r="V231" s="30"/>
      <c r="W231" s="30"/>
      <c r="X231" s="30"/>
      <c r="Y231" s="5">
        <f>IFERROR(__xludf.DUMMYFUNCTION("""COMPUTED_VALUE"""),79.0)</f>
        <v>79</v>
      </c>
      <c r="Z231" s="5">
        <f>IFERROR(__xludf.DUMMYFUNCTION("""COMPUTED_VALUE"""),80.0)</f>
        <v>80</v>
      </c>
    </row>
    <row r="232">
      <c r="A232" s="30" t="s">
        <v>797</v>
      </c>
      <c r="B232" s="30">
        <f>IFERROR(__xludf.DUMMYFUNCTION("""COMPUTED_VALUE"""),77.0)</f>
        <v>77</v>
      </c>
      <c r="C232" s="30"/>
      <c r="D232" s="30"/>
      <c r="E232" s="30"/>
      <c r="F232" s="30"/>
      <c r="G232" s="30"/>
      <c r="H232" s="30"/>
      <c r="I232" s="30"/>
      <c r="J232" s="30">
        <f>IFERROR(__xludf.DUMMYFUNCTION("""COMPUTED_VALUE"""),-11.059343513011441)</f>
        <v>-11.05934351</v>
      </c>
      <c r="K232" s="30"/>
      <c r="L232" s="30"/>
      <c r="M232" s="30"/>
      <c r="N232" s="30"/>
      <c r="O232" s="30">
        <f>IFERROR(__xludf.DUMMYFUNCTION("""COMPUTED_VALUE"""),-2.630874715592867)</f>
        <v>-2.630874716</v>
      </c>
      <c r="P232" s="30">
        <f>IFERROR(__xludf.DUMMYFUNCTION("""COMPUTED_VALUE"""),4.463999088063446)</f>
        <v>4.463999088</v>
      </c>
      <c r="Q232" s="30"/>
      <c r="R232" s="30"/>
      <c r="S232" s="30"/>
      <c r="T232" s="30"/>
      <c r="U232" s="30">
        <v>0.0</v>
      </c>
      <c r="V232" s="30"/>
      <c r="W232" s="30"/>
      <c r="X232" s="30"/>
      <c r="Y232" s="5">
        <f>IFERROR(__xludf.DUMMYFUNCTION("""COMPUTED_VALUE"""),77.0)</f>
        <v>77</v>
      </c>
      <c r="Z232" s="5">
        <f>IFERROR(__xludf.DUMMYFUNCTION("""COMPUTED_VALUE"""),77.0)</f>
        <v>77</v>
      </c>
    </row>
    <row r="233">
      <c r="A233" s="30" t="s">
        <v>1360</v>
      </c>
      <c r="B233" s="30">
        <f>IFERROR(__xludf.DUMMYFUNCTION("""COMPUTED_VALUE"""),78.0)</f>
        <v>78</v>
      </c>
      <c r="C233" s="30"/>
      <c r="D233" s="30"/>
      <c r="E233" s="30"/>
      <c r="F233" s="30"/>
      <c r="G233" s="30"/>
      <c r="H233" s="30"/>
      <c r="I233" s="30"/>
      <c r="J233" s="30">
        <f>IFERROR(__xludf.DUMMYFUNCTION("""COMPUTED_VALUE"""),-11.059343513011441)</f>
        <v>-11.05934351</v>
      </c>
      <c r="K233" s="30"/>
      <c r="L233" s="30"/>
      <c r="M233" s="30"/>
      <c r="N233" s="30"/>
      <c r="O233" s="30">
        <f>IFERROR(__xludf.DUMMYFUNCTION("""COMPUTED_VALUE"""),-2.630874715592867)</f>
        <v>-2.630874716</v>
      </c>
      <c r="P233" s="30">
        <f>IFERROR(__xludf.DUMMYFUNCTION("""COMPUTED_VALUE"""),4.463999088063446)</f>
        <v>4.463999088</v>
      </c>
      <c r="Q233" s="30"/>
      <c r="R233" s="30"/>
      <c r="S233" s="30"/>
      <c r="T233" s="30"/>
      <c r="U233" s="30">
        <v>0.0</v>
      </c>
      <c r="V233" s="30"/>
      <c r="W233" s="30"/>
      <c r="X233" s="30"/>
      <c r="Y233" s="5">
        <f>IFERROR(__xludf.DUMMYFUNCTION("""COMPUTED_VALUE"""),78.0)</f>
        <v>78</v>
      </c>
      <c r="Z233" s="5">
        <f>IFERROR(__xludf.DUMMYFUNCTION("""COMPUTED_VALUE"""),78.0)</f>
        <v>78</v>
      </c>
    </row>
    <row r="234">
      <c r="A234" s="30" t="s">
        <v>1361</v>
      </c>
      <c r="B234" s="30">
        <f>IFERROR(__xludf.DUMMYFUNCTION("""COMPUTED_VALUE"""),79.0)</f>
        <v>79</v>
      </c>
      <c r="C234" s="30"/>
      <c r="D234" s="30"/>
      <c r="E234" s="30"/>
      <c r="F234" s="30"/>
      <c r="G234" s="30"/>
      <c r="H234" s="30"/>
      <c r="I234" s="30"/>
      <c r="J234" s="30">
        <f>IFERROR(__xludf.DUMMYFUNCTION("""COMPUTED_VALUE"""),-11.059343513011441)</f>
        <v>-11.05934351</v>
      </c>
      <c r="K234" s="30"/>
      <c r="L234" s="30"/>
      <c r="M234" s="30"/>
      <c r="N234" s="30"/>
      <c r="O234" s="30">
        <f>IFERROR(__xludf.DUMMYFUNCTION("""COMPUTED_VALUE"""),-2.630874715592867)</f>
        <v>-2.630874716</v>
      </c>
      <c r="P234" s="30">
        <f>IFERROR(__xludf.DUMMYFUNCTION("""COMPUTED_VALUE"""),4.463999088063446)</f>
        <v>4.463999088</v>
      </c>
      <c r="Q234" s="30"/>
      <c r="R234" s="30"/>
      <c r="S234" s="30"/>
      <c r="T234" s="30"/>
      <c r="U234" s="30">
        <v>0.0</v>
      </c>
      <c r="V234" s="30"/>
      <c r="W234" s="30"/>
      <c r="X234" s="30"/>
      <c r="Y234" s="5">
        <f>IFERROR(__xludf.DUMMYFUNCTION("""COMPUTED_VALUE"""),78.0)</f>
        <v>78</v>
      </c>
      <c r="Z234" s="5">
        <f>IFERROR(__xludf.DUMMYFUNCTION("""COMPUTED_VALUE"""),80.0)</f>
        <v>80</v>
      </c>
    </row>
    <row r="235">
      <c r="A235" s="30" t="s">
        <v>1366</v>
      </c>
      <c r="B235" s="30">
        <f>IFERROR(__xludf.DUMMYFUNCTION("""COMPUTED_VALUE"""),78.0)</f>
        <v>78</v>
      </c>
      <c r="C235" s="30"/>
      <c r="D235" s="30"/>
      <c r="E235" s="30"/>
      <c r="F235" s="30"/>
      <c r="G235" s="30"/>
      <c r="H235" s="30"/>
      <c r="I235" s="30"/>
      <c r="J235" s="30">
        <f>IFERROR(__xludf.DUMMYFUNCTION("""COMPUTED_VALUE"""),-11.059343513011441)</f>
        <v>-11.05934351</v>
      </c>
      <c r="K235" s="30"/>
      <c r="L235" s="30"/>
      <c r="M235" s="30"/>
      <c r="N235" s="30"/>
      <c r="O235" s="30">
        <f>IFERROR(__xludf.DUMMYFUNCTION("""COMPUTED_VALUE"""),-2.630874715592867)</f>
        <v>-2.630874716</v>
      </c>
      <c r="P235" s="30">
        <f>IFERROR(__xludf.DUMMYFUNCTION("""COMPUTED_VALUE"""),4.463999088063446)</f>
        <v>4.463999088</v>
      </c>
      <c r="Q235" s="30"/>
      <c r="R235" s="30"/>
      <c r="S235" s="30"/>
      <c r="T235" s="30"/>
      <c r="U235" s="30">
        <v>0.0</v>
      </c>
      <c r="V235" s="30"/>
      <c r="W235" s="30"/>
      <c r="X235" s="30"/>
      <c r="Y235" s="5">
        <f>IFERROR(__xludf.DUMMYFUNCTION("""COMPUTED_VALUE"""),78.0)</f>
        <v>78</v>
      </c>
      <c r="Z235" s="5">
        <f>IFERROR(__xludf.DUMMYFUNCTION("""COMPUTED_VALUE"""),78.0)</f>
        <v>78</v>
      </c>
    </row>
    <row r="236">
      <c r="A236" s="30" t="s">
        <v>585</v>
      </c>
      <c r="B236" s="30">
        <f>IFERROR(__xludf.DUMMYFUNCTION("""COMPUTED_VALUE"""),77.5)</f>
        <v>77.5</v>
      </c>
      <c r="C236" s="30"/>
      <c r="D236" s="30"/>
      <c r="E236" s="30"/>
      <c r="F236" s="30"/>
      <c r="G236" s="30"/>
      <c r="H236" s="30"/>
      <c r="I236" s="30"/>
      <c r="J236" s="30">
        <f>IFERROR(__xludf.DUMMYFUNCTION("""COMPUTED_VALUE"""),-11.059343513011441)</f>
        <v>-11.05934351</v>
      </c>
      <c r="K236" s="30"/>
      <c r="L236" s="30"/>
      <c r="M236" s="30"/>
      <c r="N236" s="30"/>
      <c r="O236" s="30">
        <f>IFERROR(__xludf.DUMMYFUNCTION("""COMPUTED_VALUE"""),-2.630874715592867)</f>
        <v>-2.630874716</v>
      </c>
      <c r="P236" s="30">
        <f>IFERROR(__xludf.DUMMYFUNCTION("""COMPUTED_VALUE"""),4.463999088063446)</f>
        <v>4.463999088</v>
      </c>
      <c r="Q236" s="30"/>
      <c r="R236" s="30"/>
      <c r="S236" s="30"/>
      <c r="T236" s="30"/>
      <c r="U236" s="30">
        <v>0.0</v>
      </c>
      <c r="V236" s="30"/>
      <c r="W236" s="30"/>
      <c r="X236" s="30"/>
      <c r="Y236" s="5">
        <f>IFERROR(__xludf.DUMMYFUNCTION("""COMPUTED_VALUE"""),77.0)</f>
        <v>77</v>
      </c>
      <c r="Z236" s="5">
        <f>IFERROR(__xludf.DUMMYFUNCTION("""COMPUTED_VALUE"""),78.0)</f>
        <v>78</v>
      </c>
    </row>
    <row r="237">
      <c r="A237" s="30" t="s">
        <v>1371</v>
      </c>
      <c r="B237" s="30">
        <f>IFERROR(__xludf.DUMMYFUNCTION("""COMPUTED_VALUE"""),76.0)</f>
        <v>76</v>
      </c>
      <c r="C237" s="30"/>
      <c r="D237" s="30"/>
      <c r="E237" s="30"/>
      <c r="F237" s="30"/>
      <c r="G237" s="30"/>
      <c r="H237" s="30"/>
      <c r="I237" s="30"/>
      <c r="J237" s="30">
        <f>IFERROR(__xludf.DUMMYFUNCTION("""COMPUTED_VALUE"""),-11.059343513011441)</f>
        <v>-11.05934351</v>
      </c>
      <c r="K237" s="30"/>
      <c r="L237" s="30"/>
      <c r="M237" s="30"/>
      <c r="N237" s="30"/>
      <c r="O237" s="30">
        <f>IFERROR(__xludf.DUMMYFUNCTION("""COMPUTED_VALUE"""),-2.630874715592867)</f>
        <v>-2.630874716</v>
      </c>
      <c r="P237" s="30">
        <f>IFERROR(__xludf.DUMMYFUNCTION("""COMPUTED_VALUE"""),4.463999088063446)</f>
        <v>4.463999088</v>
      </c>
      <c r="Q237" s="30"/>
      <c r="R237" s="30"/>
      <c r="S237" s="30"/>
      <c r="T237" s="30"/>
      <c r="U237" s="30">
        <v>0.0</v>
      </c>
      <c r="V237" s="30"/>
      <c r="W237" s="30"/>
      <c r="X237" s="30"/>
      <c r="Y237" s="5">
        <f>IFERROR(__xludf.DUMMYFUNCTION("""COMPUTED_VALUE"""),75.0)</f>
        <v>75</v>
      </c>
      <c r="Z237" s="5">
        <f>IFERROR(__xludf.DUMMYFUNCTION("""COMPUTED_VALUE"""),77.0)</f>
        <v>77</v>
      </c>
    </row>
    <row r="238">
      <c r="A238" s="30" t="s">
        <v>1379</v>
      </c>
      <c r="B238" s="30">
        <f>IFERROR(__xludf.DUMMYFUNCTION("""COMPUTED_VALUE"""),80.0)</f>
        <v>80</v>
      </c>
      <c r="C238" s="30"/>
      <c r="D238" s="30"/>
      <c r="E238" s="30"/>
      <c r="F238" s="30"/>
      <c r="G238" s="30"/>
      <c r="H238" s="30"/>
      <c r="I238" s="30"/>
      <c r="J238" s="30">
        <f>IFERROR(__xludf.DUMMYFUNCTION("""COMPUTED_VALUE"""),-11.059343513011441)</f>
        <v>-11.05934351</v>
      </c>
      <c r="K238" s="30"/>
      <c r="L238" s="30"/>
      <c r="M238" s="30"/>
      <c r="N238" s="30"/>
      <c r="O238" s="30">
        <f>IFERROR(__xludf.DUMMYFUNCTION("""COMPUTED_VALUE"""),-2.630874715592867)</f>
        <v>-2.630874716</v>
      </c>
      <c r="P238" s="30">
        <f>IFERROR(__xludf.DUMMYFUNCTION("""COMPUTED_VALUE"""),4.463999088063446)</f>
        <v>4.463999088</v>
      </c>
      <c r="Q238" s="30"/>
      <c r="R238" s="30"/>
      <c r="S238" s="30"/>
      <c r="T238" s="30"/>
      <c r="U238" s="30">
        <v>0.0</v>
      </c>
      <c r="V238" s="30"/>
      <c r="W238" s="30"/>
      <c r="X238" s="30"/>
      <c r="Y238" s="5">
        <f>IFERROR(__xludf.DUMMYFUNCTION("""COMPUTED_VALUE"""),80.0)</f>
        <v>80</v>
      </c>
      <c r="Z238" s="5">
        <f>IFERROR(__xludf.DUMMYFUNCTION("""COMPUTED_VALUE"""),80.0)</f>
        <v>80</v>
      </c>
    </row>
    <row r="239">
      <c r="A239" s="30" t="s">
        <v>1380</v>
      </c>
      <c r="B239" s="30">
        <f>IFERROR(__xludf.DUMMYFUNCTION("""COMPUTED_VALUE"""),79.0)</f>
        <v>79</v>
      </c>
      <c r="C239" s="30"/>
      <c r="D239" s="30"/>
      <c r="E239" s="30"/>
      <c r="F239" s="30"/>
      <c r="G239" s="30"/>
      <c r="H239" s="30"/>
      <c r="I239" s="30"/>
      <c r="J239" s="30">
        <f>IFERROR(__xludf.DUMMYFUNCTION("""COMPUTED_VALUE"""),-11.059343513011441)</f>
        <v>-11.05934351</v>
      </c>
      <c r="K239" s="30"/>
      <c r="L239" s="30"/>
      <c r="M239" s="30"/>
      <c r="N239" s="30"/>
      <c r="O239" s="30">
        <f>IFERROR(__xludf.DUMMYFUNCTION("""COMPUTED_VALUE"""),-2.630874715592867)</f>
        <v>-2.630874716</v>
      </c>
      <c r="P239" s="30">
        <f>IFERROR(__xludf.DUMMYFUNCTION("""COMPUTED_VALUE"""),4.463999088063446)</f>
        <v>4.463999088</v>
      </c>
      <c r="Q239" s="30"/>
      <c r="R239" s="30"/>
      <c r="S239" s="30"/>
      <c r="T239" s="30"/>
      <c r="U239" s="30">
        <v>0.0</v>
      </c>
      <c r="V239" s="30"/>
      <c r="W239" s="30"/>
      <c r="X239" s="30"/>
      <c r="Y239" s="5">
        <f>IFERROR(__xludf.DUMMYFUNCTION("""COMPUTED_VALUE"""),78.0)</f>
        <v>78</v>
      </c>
      <c r="Z239" s="5">
        <f>IFERROR(__xludf.DUMMYFUNCTION("""COMPUTED_VALUE"""),80.0)</f>
        <v>80</v>
      </c>
    </row>
    <row r="240">
      <c r="A240" s="30" t="s">
        <v>1389</v>
      </c>
      <c r="B240" s="30">
        <f>IFERROR(__xludf.DUMMYFUNCTION("""COMPUTED_VALUE"""),80.0)</f>
        <v>80</v>
      </c>
      <c r="C240" s="30"/>
      <c r="D240" s="30"/>
      <c r="E240" s="30"/>
      <c r="F240" s="30"/>
      <c r="G240" s="30"/>
      <c r="H240" s="30"/>
      <c r="I240" s="30"/>
      <c r="J240" s="30">
        <f>IFERROR(__xludf.DUMMYFUNCTION("""COMPUTED_VALUE"""),-11.059343513011441)</f>
        <v>-11.05934351</v>
      </c>
      <c r="K240" s="30"/>
      <c r="L240" s="30"/>
      <c r="M240" s="30"/>
      <c r="N240" s="30"/>
      <c r="O240" s="30">
        <f>IFERROR(__xludf.DUMMYFUNCTION("""COMPUTED_VALUE"""),-2.630874715592867)</f>
        <v>-2.630874716</v>
      </c>
      <c r="P240" s="30">
        <f>IFERROR(__xludf.DUMMYFUNCTION("""COMPUTED_VALUE"""),4.463999088063446)</f>
        <v>4.463999088</v>
      </c>
      <c r="Q240" s="30"/>
      <c r="R240" s="30"/>
      <c r="S240" s="30"/>
      <c r="T240" s="30"/>
      <c r="U240" s="30">
        <v>0.0</v>
      </c>
      <c r="V240" s="30"/>
      <c r="W240" s="30"/>
      <c r="X240" s="30"/>
      <c r="Y240" s="5">
        <f>IFERROR(__xludf.DUMMYFUNCTION("""COMPUTED_VALUE"""),80.0)</f>
        <v>80</v>
      </c>
      <c r="Z240" s="5">
        <f>IFERROR(__xludf.DUMMYFUNCTION("""COMPUTED_VALUE"""),80.0)</f>
        <v>80</v>
      </c>
    </row>
    <row r="241">
      <c r="A241" s="30" t="s">
        <v>717</v>
      </c>
      <c r="B241" s="30">
        <f>IFERROR(__xludf.DUMMYFUNCTION("""COMPUTED_VALUE"""),79.0)</f>
        <v>79</v>
      </c>
      <c r="C241" s="30"/>
      <c r="D241" s="30"/>
      <c r="E241" s="30"/>
      <c r="F241" s="30"/>
      <c r="G241" s="30"/>
      <c r="H241" s="30"/>
      <c r="I241" s="30"/>
      <c r="J241" s="30">
        <f>IFERROR(__xludf.DUMMYFUNCTION("""COMPUTED_VALUE"""),-11.059343513011441)</f>
        <v>-11.05934351</v>
      </c>
      <c r="K241" s="30"/>
      <c r="L241" s="30"/>
      <c r="M241" s="30"/>
      <c r="N241" s="30"/>
      <c r="O241" s="30">
        <f>IFERROR(__xludf.DUMMYFUNCTION("""COMPUTED_VALUE"""),-2.630874715592867)</f>
        <v>-2.630874716</v>
      </c>
      <c r="P241" s="30">
        <f>IFERROR(__xludf.DUMMYFUNCTION("""COMPUTED_VALUE"""),4.463999088063446)</f>
        <v>4.463999088</v>
      </c>
      <c r="Q241" s="30"/>
      <c r="R241" s="30"/>
      <c r="S241" s="30"/>
      <c r="T241" s="30"/>
      <c r="U241" s="30">
        <v>0.0</v>
      </c>
      <c r="V241" s="30"/>
      <c r="W241" s="30"/>
      <c r="X241" s="30"/>
      <c r="Y241" s="5">
        <f>IFERROR(__xludf.DUMMYFUNCTION("""COMPUTED_VALUE"""),78.0)</f>
        <v>78</v>
      </c>
      <c r="Z241" s="5">
        <f>IFERROR(__xludf.DUMMYFUNCTION("""COMPUTED_VALUE"""),80.0)</f>
        <v>80</v>
      </c>
    </row>
    <row r="242">
      <c r="A242" s="30" t="s">
        <v>1400</v>
      </c>
      <c r="B242" s="30">
        <f>IFERROR(__xludf.DUMMYFUNCTION("""COMPUTED_VALUE"""),80.0)</f>
        <v>80</v>
      </c>
      <c r="C242" s="30"/>
      <c r="D242" s="30"/>
      <c r="E242" s="30"/>
      <c r="F242" s="30"/>
      <c r="G242" s="30"/>
      <c r="H242" s="30"/>
      <c r="I242" s="30"/>
      <c r="J242" s="30">
        <f>IFERROR(__xludf.DUMMYFUNCTION("""COMPUTED_VALUE"""),-11.059343513011441)</f>
        <v>-11.05934351</v>
      </c>
      <c r="K242" s="30"/>
      <c r="L242" s="30"/>
      <c r="M242" s="30"/>
      <c r="N242" s="30"/>
      <c r="O242" s="30">
        <f>IFERROR(__xludf.DUMMYFUNCTION("""COMPUTED_VALUE"""),-2.630874715592867)</f>
        <v>-2.630874716</v>
      </c>
      <c r="P242" s="30">
        <f>IFERROR(__xludf.DUMMYFUNCTION("""COMPUTED_VALUE"""),4.463999088063446)</f>
        <v>4.463999088</v>
      </c>
      <c r="Q242" s="30"/>
      <c r="R242" s="30"/>
      <c r="S242" s="30"/>
      <c r="T242" s="30"/>
      <c r="U242" s="30">
        <v>0.0</v>
      </c>
      <c r="V242" s="30"/>
      <c r="W242" s="30"/>
      <c r="X242" s="30"/>
      <c r="Y242" s="5">
        <f>IFERROR(__xludf.DUMMYFUNCTION("""COMPUTED_VALUE"""),80.0)</f>
        <v>80</v>
      </c>
      <c r="Z242" s="5">
        <f>IFERROR(__xludf.DUMMYFUNCTION("""COMPUTED_VALUE"""),80.0)</f>
        <v>80</v>
      </c>
    </row>
    <row r="243">
      <c r="A243" s="30" t="s">
        <v>1407</v>
      </c>
      <c r="B243" s="30">
        <f>IFERROR(__xludf.DUMMYFUNCTION("""COMPUTED_VALUE"""),80.0)</f>
        <v>80</v>
      </c>
      <c r="C243" s="30"/>
      <c r="D243" s="30"/>
      <c r="E243" s="30"/>
      <c r="F243" s="30"/>
      <c r="G243" s="30"/>
      <c r="H243" s="30"/>
      <c r="I243" s="30"/>
      <c r="J243" s="30">
        <f>IFERROR(__xludf.DUMMYFUNCTION("""COMPUTED_VALUE"""),-11.059343513011441)</f>
        <v>-11.05934351</v>
      </c>
      <c r="K243" s="30"/>
      <c r="L243" s="30"/>
      <c r="M243" s="30"/>
      <c r="N243" s="30"/>
      <c r="O243" s="30">
        <f>IFERROR(__xludf.DUMMYFUNCTION("""COMPUTED_VALUE"""),-2.630874715592867)</f>
        <v>-2.630874716</v>
      </c>
      <c r="P243" s="30">
        <f>IFERROR(__xludf.DUMMYFUNCTION("""COMPUTED_VALUE"""),4.463999088063446)</f>
        <v>4.463999088</v>
      </c>
      <c r="Q243" s="30"/>
      <c r="R243" s="30"/>
      <c r="S243" s="30"/>
      <c r="T243" s="30"/>
      <c r="U243" s="30">
        <v>0.0</v>
      </c>
      <c r="V243" s="30"/>
      <c r="W243" s="30"/>
      <c r="X243" s="30"/>
      <c r="Y243" s="5">
        <f>IFERROR(__xludf.DUMMYFUNCTION("""COMPUTED_VALUE"""),80.0)</f>
        <v>80</v>
      </c>
      <c r="Z243" s="5">
        <f>IFERROR(__xludf.DUMMYFUNCTION("""COMPUTED_VALUE"""),80.0)</f>
        <v>80</v>
      </c>
    </row>
    <row r="244">
      <c r="A244" s="30" t="s">
        <v>1408</v>
      </c>
      <c r="B244" s="30">
        <f>IFERROR(__xludf.DUMMYFUNCTION("""COMPUTED_VALUE"""),78.5)</f>
        <v>78.5</v>
      </c>
      <c r="C244" s="30"/>
      <c r="D244" s="30"/>
      <c r="E244" s="30"/>
      <c r="F244" s="30"/>
      <c r="G244" s="30"/>
      <c r="H244" s="30"/>
      <c r="I244" s="30"/>
      <c r="J244" s="30">
        <f>IFERROR(__xludf.DUMMYFUNCTION("""COMPUTED_VALUE"""),-11.059343513011441)</f>
        <v>-11.05934351</v>
      </c>
      <c r="K244" s="30"/>
      <c r="L244" s="30"/>
      <c r="M244" s="30"/>
      <c r="N244" s="30"/>
      <c r="O244" s="30">
        <f>IFERROR(__xludf.DUMMYFUNCTION("""COMPUTED_VALUE"""),-2.630874715592867)</f>
        <v>-2.630874716</v>
      </c>
      <c r="P244" s="30">
        <f>IFERROR(__xludf.DUMMYFUNCTION("""COMPUTED_VALUE"""),4.463999088063446)</f>
        <v>4.463999088</v>
      </c>
      <c r="Q244" s="30"/>
      <c r="R244" s="30"/>
      <c r="S244" s="30"/>
      <c r="T244" s="30"/>
      <c r="U244" s="30">
        <v>0.0</v>
      </c>
      <c r="V244" s="30"/>
      <c r="W244" s="30"/>
      <c r="X244" s="30"/>
      <c r="Y244" s="5">
        <f>IFERROR(__xludf.DUMMYFUNCTION("""COMPUTED_VALUE"""),77.0)</f>
        <v>77</v>
      </c>
      <c r="Z244" s="5">
        <f>IFERROR(__xludf.DUMMYFUNCTION("""COMPUTED_VALUE"""),80.0)</f>
        <v>80</v>
      </c>
    </row>
    <row r="245">
      <c r="A245" s="30" t="s">
        <v>1414</v>
      </c>
      <c r="B245" s="30">
        <f>IFERROR(__xludf.DUMMYFUNCTION("""COMPUTED_VALUE"""),80.0)</f>
        <v>80</v>
      </c>
      <c r="C245" s="30"/>
      <c r="D245" s="30"/>
      <c r="E245" s="30"/>
      <c r="F245" s="30"/>
      <c r="G245" s="30"/>
      <c r="H245" s="30"/>
      <c r="I245" s="30"/>
      <c r="J245" s="30">
        <f>IFERROR(__xludf.DUMMYFUNCTION("""COMPUTED_VALUE"""),-11.059343513011441)</f>
        <v>-11.05934351</v>
      </c>
      <c r="K245" s="30"/>
      <c r="L245" s="30"/>
      <c r="M245" s="30"/>
      <c r="N245" s="30"/>
      <c r="O245" s="30">
        <f>IFERROR(__xludf.DUMMYFUNCTION("""COMPUTED_VALUE"""),-2.630874715592867)</f>
        <v>-2.630874716</v>
      </c>
      <c r="P245" s="30">
        <f>IFERROR(__xludf.DUMMYFUNCTION("""COMPUTED_VALUE"""),4.463999088063446)</f>
        <v>4.463999088</v>
      </c>
      <c r="Q245" s="30"/>
      <c r="R245" s="30"/>
      <c r="S245" s="30"/>
      <c r="T245" s="30"/>
      <c r="U245" s="30">
        <v>0.0</v>
      </c>
      <c r="V245" s="30"/>
      <c r="W245" s="30"/>
      <c r="X245" s="30"/>
      <c r="Y245" s="5">
        <f>IFERROR(__xludf.DUMMYFUNCTION("""COMPUTED_VALUE"""),80.0)</f>
        <v>80</v>
      </c>
      <c r="Z245" s="5">
        <f>IFERROR(__xludf.DUMMYFUNCTION("""COMPUTED_VALUE"""),80.0)</f>
        <v>80</v>
      </c>
    </row>
    <row r="246">
      <c r="A246" s="30" t="s">
        <v>217</v>
      </c>
      <c r="B246" s="30">
        <f>IFERROR(__xludf.DUMMYFUNCTION("""COMPUTED_VALUE"""),80.0)</f>
        <v>80</v>
      </c>
      <c r="C246" s="30"/>
      <c r="D246" s="30"/>
      <c r="E246" s="30"/>
      <c r="F246" s="30"/>
      <c r="G246" s="30"/>
      <c r="H246" s="30"/>
      <c r="I246" s="30"/>
      <c r="J246" s="30">
        <f>IFERROR(__xludf.DUMMYFUNCTION("""COMPUTED_VALUE"""),-11.059343513011441)</f>
        <v>-11.05934351</v>
      </c>
      <c r="K246" s="30"/>
      <c r="L246" s="30"/>
      <c r="M246" s="30"/>
      <c r="N246" s="30"/>
      <c r="O246" s="30">
        <f>IFERROR(__xludf.DUMMYFUNCTION("""COMPUTED_VALUE"""),-2.630874715592867)</f>
        <v>-2.630874716</v>
      </c>
      <c r="P246" s="30">
        <f>IFERROR(__xludf.DUMMYFUNCTION("""COMPUTED_VALUE"""),4.463999088063446)</f>
        <v>4.463999088</v>
      </c>
      <c r="Q246" s="30"/>
      <c r="R246" s="30"/>
      <c r="S246" s="30"/>
      <c r="T246" s="30"/>
      <c r="U246" s="30">
        <v>0.0</v>
      </c>
      <c r="V246" s="30"/>
      <c r="W246" s="30"/>
      <c r="X246" s="30"/>
      <c r="Y246" s="5">
        <f>IFERROR(__xludf.DUMMYFUNCTION("""COMPUTED_VALUE"""),80.0)</f>
        <v>80</v>
      </c>
      <c r="Z246" s="5">
        <f>IFERROR(__xludf.DUMMYFUNCTION("""COMPUTED_VALUE"""),80.0)</f>
        <v>80</v>
      </c>
    </row>
    <row r="247">
      <c r="A247" s="30" t="s">
        <v>603</v>
      </c>
      <c r="B247" s="30">
        <f>IFERROR(__xludf.DUMMYFUNCTION("""COMPUTED_VALUE"""),78.0)</f>
        <v>78</v>
      </c>
      <c r="C247" s="30"/>
      <c r="D247" s="30"/>
      <c r="E247" s="30"/>
      <c r="F247" s="30"/>
      <c r="G247" s="30"/>
      <c r="H247" s="30"/>
      <c r="I247" s="30"/>
      <c r="J247" s="30">
        <f>IFERROR(__xludf.DUMMYFUNCTION("""COMPUTED_VALUE"""),-11.059343513011441)</f>
        <v>-11.05934351</v>
      </c>
      <c r="K247" s="30"/>
      <c r="L247" s="30"/>
      <c r="M247" s="30"/>
      <c r="N247" s="30"/>
      <c r="O247" s="30">
        <f>IFERROR(__xludf.DUMMYFUNCTION("""COMPUTED_VALUE"""),-2.630874715592867)</f>
        <v>-2.630874716</v>
      </c>
      <c r="P247" s="30">
        <f>IFERROR(__xludf.DUMMYFUNCTION("""COMPUTED_VALUE"""),4.463999088063446)</f>
        <v>4.463999088</v>
      </c>
      <c r="Q247" s="30"/>
      <c r="R247" s="30"/>
      <c r="S247" s="30"/>
      <c r="T247" s="30"/>
      <c r="U247" s="30">
        <v>0.0</v>
      </c>
      <c r="V247" s="30"/>
      <c r="W247" s="30"/>
      <c r="X247" s="30"/>
      <c r="Y247" s="5">
        <f>IFERROR(__xludf.DUMMYFUNCTION("""COMPUTED_VALUE"""),78.0)</f>
        <v>78</v>
      </c>
      <c r="Z247" s="5">
        <f>IFERROR(__xludf.DUMMYFUNCTION("""COMPUTED_VALUE"""),78.0)</f>
        <v>78</v>
      </c>
    </row>
    <row r="248">
      <c r="A248" s="30" t="s">
        <v>238</v>
      </c>
      <c r="B248" s="30">
        <f>IFERROR(__xludf.DUMMYFUNCTION("""COMPUTED_VALUE"""),77.0)</f>
        <v>77</v>
      </c>
      <c r="C248" s="30"/>
      <c r="D248" s="30"/>
      <c r="E248" s="30"/>
      <c r="F248" s="30"/>
      <c r="G248" s="30"/>
      <c r="H248" s="30"/>
      <c r="I248" s="30"/>
      <c r="J248" s="30">
        <f>IFERROR(__xludf.DUMMYFUNCTION("""COMPUTED_VALUE"""),-11.059343513011441)</f>
        <v>-11.05934351</v>
      </c>
      <c r="K248" s="30"/>
      <c r="L248" s="30"/>
      <c r="M248" s="30"/>
      <c r="N248" s="30"/>
      <c r="O248" s="30">
        <f>IFERROR(__xludf.DUMMYFUNCTION("""COMPUTED_VALUE"""),-2.630874715592867)</f>
        <v>-2.630874716</v>
      </c>
      <c r="P248" s="30">
        <f>IFERROR(__xludf.DUMMYFUNCTION("""COMPUTED_VALUE"""),4.463999088063446)</f>
        <v>4.463999088</v>
      </c>
      <c r="Q248" s="30"/>
      <c r="R248" s="30"/>
      <c r="S248" s="30"/>
      <c r="T248" s="30"/>
      <c r="U248" s="30">
        <v>0.0</v>
      </c>
      <c r="V248" s="30"/>
      <c r="W248" s="30"/>
      <c r="X248" s="30"/>
      <c r="Y248" s="5">
        <f>IFERROR(__xludf.DUMMYFUNCTION("""COMPUTED_VALUE"""),77.0)</f>
        <v>77</v>
      </c>
      <c r="Z248" s="5">
        <f>IFERROR(__xludf.DUMMYFUNCTION("""COMPUTED_VALUE"""),77.0)</f>
        <v>77</v>
      </c>
    </row>
    <row r="249">
      <c r="A249" s="30" t="s">
        <v>469</v>
      </c>
      <c r="B249" s="30">
        <f>IFERROR(__xludf.DUMMYFUNCTION("""COMPUTED_VALUE"""),77.5)</f>
        <v>77.5</v>
      </c>
      <c r="C249" s="30"/>
      <c r="D249" s="30"/>
      <c r="E249" s="30"/>
      <c r="F249" s="30"/>
      <c r="G249" s="30"/>
      <c r="H249" s="30"/>
      <c r="I249" s="30"/>
      <c r="J249" s="30">
        <f>IFERROR(__xludf.DUMMYFUNCTION("""COMPUTED_VALUE"""),-11.059343513011441)</f>
        <v>-11.05934351</v>
      </c>
      <c r="K249" s="30"/>
      <c r="L249" s="30"/>
      <c r="M249" s="30"/>
      <c r="N249" s="30"/>
      <c r="O249" s="30">
        <f>IFERROR(__xludf.DUMMYFUNCTION("""COMPUTED_VALUE"""),-2.630874715592867)</f>
        <v>-2.630874716</v>
      </c>
      <c r="P249" s="30">
        <f>IFERROR(__xludf.DUMMYFUNCTION("""COMPUTED_VALUE"""),4.463999088063446)</f>
        <v>4.463999088</v>
      </c>
      <c r="Q249" s="30"/>
      <c r="R249" s="30"/>
      <c r="S249" s="30"/>
      <c r="T249" s="30"/>
      <c r="U249" s="30">
        <v>0.0</v>
      </c>
      <c r="V249" s="30"/>
      <c r="W249" s="30"/>
      <c r="X249" s="30"/>
      <c r="Y249" s="5">
        <f>IFERROR(__xludf.DUMMYFUNCTION("""COMPUTED_VALUE"""),77.0)</f>
        <v>77</v>
      </c>
      <c r="Z249" s="5">
        <f>IFERROR(__xludf.DUMMYFUNCTION("""COMPUTED_VALUE"""),78.0)</f>
        <v>78</v>
      </c>
    </row>
    <row r="250">
      <c r="A250" s="30" t="s">
        <v>1419</v>
      </c>
      <c r="B250" s="30">
        <f>IFERROR(__xludf.DUMMYFUNCTION("""COMPUTED_VALUE"""),80.0)</f>
        <v>80</v>
      </c>
      <c r="C250" s="30"/>
      <c r="D250" s="30"/>
      <c r="E250" s="30"/>
      <c r="F250" s="30"/>
      <c r="G250" s="30"/>
      <c r="H250" s="30"/>
      <c r="I250" s="30"/>
      <c r="J250" s="30">
        <f>IFERROR(__xludf.DUMMYFUNCTION("""COMPUTED_VALUE"""),-11.059343513011441)</f>
        <v>-11.05934351</v>
      </c>
      <c r="K250" s="30"/>
      <c r="L250" s="30"/>
      <c r="M250" s="30"/>
      <c r="N250" s="30"/>
      <c r="O250" s="30">
        <f>IFERROR(__xludf.DUMMYFUNCTION("""COMPUTED_VALUE"""),-2.630874715592867)</f>
        <v>-2.630874716</v>
      </c>
      <c r="P250" s="30">
        <f>IFERROR(__xludf.DUMMYFUNCTION("""COMPUTED_VALUE"""),4.463999088063446)</f>
        <v>4.463999088</v>
      </c>
      <c r="Q250" s="30"/>
      <c r="R250" s="30"/>
      <c r="S250" s="30"/>
      <c r="T250" s="30"/>
      <c r="U250" s="30">
        <v>0.0</v>
      </c>
      <c r="V250" s="30"/>
      <c r="W250" s="30"/>
      <c r="X250" s="30"/>
      <c r="Y250" s="5">
        <f>IFERROR(__xludf.DUMMYFUNCTION("""COMPUTED_VALUE"""),80.0)</f>
        <v>80</v>
      </c>
      <c r="Z250" s="5">
        <f>IFERROR(__xludf.DUMMYFUNCTION("""COMPUTED_VALUE"""),80.0)</f>
        <v>80</v>
      </c>
    </row>
    <row r="251">
      <c r="A251" s="30" t="s">
        <v>1420</v>
      </c>
      <c r="B251" s="30">
        <f>IFERROR(__xludf.DUMMYFUNCTION("""COMPUTED_VALUE"""),78.0)</f>
        <v>78</v>
      </c>
      <c r="C251" s="30"/>
      <c r="D251" s="30"/>
      <c r="E251" s="30"/>
      <c r="F251" s="30"/>
      <c r="G251" s="30"/>
      <c r="H251" s="30"/>
      <c r="I251" s="30"/>
      <c r="J251" s="30">
        <f>IFERROR(__xludf.DUMMYFUNCTION("""COMPUTED_VALUE"""),-11.059343513011441)</f>
        <v>-11.05934351</v>
      </c>
      <c r="K251" s="30"/>
      <c r="L251" s="30"/>
      <c r="M251" s="30"/>
      <c r="N251" s="30"/>
      <c r="O251" s="30">
        <f>IFERROR(__xludf.DUMMYFUNCTION("""COMPUTED_VALUE"""),-2.630874715592867)</f>
        <v>-2.630874716</v>
      </c>
      <c r="P251" s="30">
        <f>IFERROR(__xludf.DUMMYFUNCTION("""COMPUTED_VALUE"""),4.463999088063446)</f>
        <v>4.463999088</v>
      </c>
      <c r="Q251" s="30"/>
      <c r="R251" s="30"/>
      <c r="S251" s="30"/>
      <c r="T251" s="30"/>
      <c r="U251" s="30">
        <v>0.0</v>
      </c>
      <c r="V251" s="30"/>
      <c r="W251" s="30"/>
      <c r="X251" s="30"/>
      <c r="Y251" s="5">
        <f>IFERROR(__xludf.DUMMYFUNCTION("""COMPUTED_VALUE"""),78.0)</f>
        <v>78</v>
      </c>
      <c r="Z251" s="5">
        <f>IFERROR(__xludf.DUMMYFUNCTION("""COMPUTED_VALUE"""),78.0)</f>
        <v>78</v>
      </c>
    </row>
    <row r="252">
      <c r="A252" s="30" t="s">
        <v>1421</v>
      </c>
      <c r="B252" s="30">
        <f>IFERROR(__xludf.DUMMYFUNCTION("""COMPUTED_VALUE"""),80.0)</f>
        <v>80</v>
      </c>
      <c r="C252" s="30"/>
      <c r="D252" s="30"/>
      <c r="E252" s="30"/>
      <c r="F252" s="30"/>
      <c r="G252" s="30"/>
      <c r="H252" s="30"/>
      <c r="I252" s="30"/>
      <c r="J252" s="30">
        <f>IFERROR(__xludf.DUMMYFUNCTION("""COMPUTED_VALUE"""),-11.059343513011441)</f>
        <v>-11.05934351</v>
      </c>
      <c r="K252" s="30"/>
      <c r="L252" s="30"/>
      <c r="M252" s="30"/>
      <c r="N252" s="30"/>
      <c r="O252" s="30">
        <f>IFERROR(__xludf.DUMMYFUNCTION("""COMPUTED_VALUE"""),-2.630874715592867)</f>
        <v>-2.630874716</v>
      </c>
      <c r="P252" s="30">
        <f>IFERROR(__xludf.DUMMYFUNCTION("""COMPUTED_VALUE"""),4.463999088063446)</f>
        <v>4.463999088</v>
      </c>
      <c r="Q252" s="30"/>
      <c r="R252" s="30"/>
      <c r="S252" s="30"/>
      <c r="T252" s="30"/>
      <c r="U252" s="30">
        <v>0.0</v>
      </c>
      <c r="V252" s="30"/>
      <c r="W252" s="30"/>
      <c r="X252" s="30"/>
      <c r="Y252" s="5">
        <f>IFERROR(__xludf.DUMMYFUNCTION("""COMPUTED_VALUE"""),80.0)</f>
        <v>80</v>
      </c>
      <c r="Z252" s="5">
        <f>IFERROR(__xludf.DUMMYFUNCTION("""COMPUTED_VALUE"""),80.0)</f>
        <v>80</v>
      </c>
    </row>
    <row r="253">
      <c r="A253" s="30" t="s">
        <v>1429</v>
      </c>
      <c r="B253" s="30">
        <f>IFERROR(__xludf.DUMMYFUNCTION("""COMPUTED_VALUE"""),80.0)</f>
        <v>80</v>
      </c>
      <c r="C253" s="30"/>
      <c r="D253" s="30"/>
      <c r="E253" s="30"/>
      <c r="F253" s="30"/>
      <c r="G253" s="30"/>
      <c r="H253" s="30"/>
      <c r="I253" s="30"/>
      <c r="J253" s="30">
        <f>IFERROR(__xludf.DUMMYFUNCTION("""COMPUTED_VALUE"""),-11.059343513011441)</f>
        <v>-11.05934351</v>
      </c>
      <c r="K253" s="30"/>
      <c r="L253" s="30"/>
      <c r="M253" s="30"/>
      <c r="N253" s="30"/>
      <c r="O253" s="30">
        <f>IFERROR(__xludf.DUMMYFUNCTION("""COMPUTED_VALUE"""),-2.630874715592867)</f>
        <v>-2.630874716</v>
      </c>
      <c r="P253" s="30">
        <f>IFERROR(__xludf.DUMMYFUNCTION("""COMPUTED_VALUE"""),4.463999088063446)</f>
        <v>4.463999088</v>
      </c>
      <c r="Q253" s="30"/>
      <c r="R253" s="30"/>
      <c r="S253" s="30"/>
      <c r="T253" s="30"/>
      <c r="U253" s="30">
        <v>0.0</v>
      </c>
      <c r="V253" s="30"/>
      <c r="W253" s="30"/>
      <c r="X253" s="30"/>
      <c r="Y253" s="5">
        <f>IFERROR(__xludf.DUMMYFUNCTION("""COMPUTED_VALUE"""),80.0)</f>
        <v>80</v>
      </c>
      <c r="Z253" s="5">
        <f>IFERROR(__xludf.DUMMYFUNCTION("""COMPUTED_VALUE"""),80.0)</f>
        <v>80</v>
      </c>
    </row>
    <row r="254">
      <c r="A254" s="30" t="s">
        <v>1430</v>
      </c>
      <c r="B254" s="30">
        <f>IFERROR(__xludf.DUMMYFUNCTION("""COMPUTED_VALUE"""),79.0)</f>
        <v>79</v>
      </c>
      <c r="C254" s="30"/>
      <c r="D254" s="30"/>
      <c r="E254" s="30"/>
      <c r="F254" s="30"/>
      <c r="G254" s="30"/>
      <c r="H254" s="30"/>
      <c r="I254" s="30"/>
      <c r="J254" s="30">
        <f>IFERROR(__xludf.DUMMYFUNCTION("""COMPUTED_VALUE"""),-11.059343513011441)</f>
        <v>-11.05934351</v>
      </c>
      <c r="K254" s="30"/>
      <c r="L254" s="30"/>
      <c r="M254" s="30"/>
      <c r="N254" s="30"/>
      <c r="O254" s="30">
        <f>IFERROR(__xludf.DUMMYFUNCTION("""COMPUTED_VALUE"""),-2.630874715592867)</f>
        <v>-2.630874716</v>
      </c>
      <c r="P254" s="30">
        <f>IFERROR(__xludf.DUMMYFUNCTION("""COMPUTED_VALUE"""),4.463999088063446)</f>
        <v>4.463999088</v>
      </c>
      <c r="Q254" s="30"/>
      <c r="R254" s="30"/>
      <c r="S254" s="30"/>
      <c r="T254" s="30"/>
      <c r="U254" s="30">
        <v>0.0</v>
      </c>
      <c r="V254" s="30"/>
      <c r="W254" s="30"/>
      <c r="X254" s="30"/>
      <c r="Y254" s="5">
        <f>IFERROR(__xludf.DUMMYFUNCTION("""COMPUTED_VALUE"""),79.0)</f>
        <v>79</v>
      </c>
      <c r="Z254" s="5">
        <f>IFERROR(__xludf.DUMMYFUNCTION("""COMPUTED_VALUE"""),79.0)</f>
        <v>79</v>
      </c>
    </row>
    <row r="255">
      <c r="A255" s="30" t="s">
        <v>1431</v>
      </c>
      <c r="B255" s="30">
        <f>IFERROR(__xludf.DUMMYFUNCTION("""COMPUTED_VALUE"""),80.0)</f>
        <v>80</v>
      </c>
      <c r="C255" s="30"/>
      <c r="D255" s="30"/>
      <c r="E255" s="30"/>
      <c r="F255" s="30"/>
      <c r="G255" s="30"/>
      <c r="H255" s="30"/>
      <c r="I255" s="30"/>
      <c r="J255" s="30">
        <f>IFERROR(__xludf.DUMMYFUNCTION("""COMPUTED_VALUE"""),-11.059343513011441)</f>
        <v>-11.05934351</v>
      </c>
      <c r="K255" s="30"/>
      <c r="L255" s="30"/>
      <c r="M255" s="30"/>
      <c r="N255" s="30"/>
      <c r="O255" s="30">
        <f>IFERROR(__xludf.DUMMYFUNCTION("""COMPUTED_VALUE"""),-2.630874715592867)</f>
        <v>-2.630874716</v>
      </c>
      <c r="P255" s="30">
        <f>IFERROR(__xludf.DUMMYFUNCTION("""COMPUTED_VALUE"""),4.463999088063446)</f>
        <v>4.463999088</v>
      </c>
      <c r="Q255" s="30"/>
      <c r="R255" s="30"/>
      <c r="S255" s="30"/>
      <c r="T255" s="30"/>
      <c r="U255" s="30">
        <v>0.0</v>
      </c>
      <c r="V255" s="30"/>
      <c r="W255" s="30"/>
      <c r="X255" s="30"/>
      <c r="Y255" s="5">
        <f>IFERROR(__xludf.DUMMYFUNCTION("""COMPUTED_VALUE"""),80.0)</f>
        <v>80</v>
      </c>
      <c r="Z255" s="5">
        <f>IFERROR(__xludf.DUMMYFUNCTION("""COMPUTED_VALUE"""),80.0)</f>
        <v>80</v>
      </c>
    </row>
    <row r="256">
      <c r="A256" s="30" t="s">
        <v>1432</v>
      </c>
      <c r="B256" s="30">
        <f>IFERROR(__xludf.DUMMYFUNCTION("""COMPUTED_VALUE"""),78.5)</f>
        <v>78.5</v>
      </c>
      <c r="C256" s="30"/>
      <c r="D256" s="30"/>
      <c r="E256" s="30"/>
      <c r="F256" s="30"/>
      <c r="G256" s="30"/>
      <c r="H256" s="30"/>
      <c r="I256" s="30"/>
      <c r="J256" s="30">
        <f>IFERROR(__xludf.DUMMYFUNCTION("""COMPUTED_VALUE"""),-11.059343513011441)</f>
        <v>-11.05934351</v>
      </c>
      <c r="K256" s="30"/>
      <c r="L256" s="30"/>
      <c r="M256" s="30"/>
      <c r="N256" s="30"/>
      <c r="O256" s="30">
        <f>IFERROR(__xludf.DUMMYFUNCTION("""COMPUTED_VALUE"""),-2.630874715592867)</f>
        <v>-2.630874716</v>
      </c>
      <c r="P256" s="30">
        <f>IFERROR(__xludf.DUMMYFUNCTION("""COMPUTED_VALUE"""),4.463999088063446)</f>
        <v>4.463999088</v>
      </c>
      <c r="Q256" s="30"/>
      <c r="R256" s="30"/>
      <c r="S256" s="30"/>
      <c r="T256" s="30"/>
      <c r="U256" s="30">
        <v>0.0</v>
      </c>
      <c r="V256" s="30"/>
      <c r="W256" s="30"/>
      <c r="X256" s="30"/>
      <c r="Y256" s="5">
        <f>IFERROR(__xludf.DUMMYFUNCTION("""COMPUTED_VALUE"""),78.0)</f>
        <v>78</v>
      </c>
      <c r="Z256" s="5">
        <f>IFERROR(__xludf.DUMMYFUNCTION("""COMPUTED_VALUE"""),79.0)</f>
        <v>79</v>
      </c>
    </row>
    <row r="257">
      <c r="A257" s="30" t="s">
        <v>1437</v>
      </c>
      <c r="B257" s="30">
        <f>IFERROR(__xludf.DUMMYFUNCTION("""COMPUTED_VALUE"""),80.0)</f>
        <v>80</v>
      </c>
      <c r="C257" s="30"/>
      <c r="D257" s="30"/>
      <c r="E257" s="30"/>
      <c r="F257" s="30"/>
      <c r="G257" s="30"/>
      <c r="H257" s="30"/>
      <c r="I257" s="30"/>
      <c r="J257" s="30">
        <f>IFERROR(__xludf.DUMMYFUNCTION("""COMPUTED_VALUE"""),-11.059343513011441)</f>
        <v>-11.05934351</v>
      </c>
      <c r="K257" s="30"/>
      <c r="L257" s="30"/>
      <c r="M257" s="30"/>
      <c r="N257" s="30"/>
      <c r="O257" s="30">
        <f>IFERROR(__xludf.DUMMYFUNCTION("""COMPUTED_VALUE"""),-2.630874715592867)</f>
        <v>-2.630874716</v>
      </c>
      <c r="P257" s="30">
        <f>IFERROR(__xludf.DUMMYFUNCTION("""COMPUTED_VALUE"""),4.463999088063446)</f>
        <v>4.463999088</v>
      </c>
      <c r="Q257" s="30"/>
      <c r="R257" s="30"/>
      <c r="S257" s="30"/>
      <c r="T257" s="30"/>
      <c r="U257" s="30">
        <v>0.0</v>
      </c>
      <c r="V257" s="30"/>
      <c r="W257" s="30"/>
      <c r="X257" s="30"/>
      <c r="Y257" s="5">
        <f>IFERROR(__xludf.DUMMYFUNCTION("""COMPUTED_VALUE"""),80.0)</f>
        <v>80</v>
      </c>
      <c r="Z257" s="5">
        <f>IFERROR(__xludf.DUMMYFUNCTION("""COMPUTED_VALUE"""),80.0)</f>
        <v>80</v>
      </c>
    </row>
    <row r="258">
      <c r="A258" s="30" t="s">
        <v>290</v>
      </c>
      <c r="B258" s="30">
        <f>IFERROR(__xludf.DUMMYFUNCTION("""COMPUTED_VALUE"""),78.0)</f>
        <v>78</v>
      </c>
      <c r="C258" s="30"/>
      <c r="D258" s="30"/>
      <c r="E258" s="30"/>
      <c r="F258" s="30"/>
      <c r="G258" s="30"/>
      <c r="H258" s="30"/>
      <c r="I258" s="30"/>
      <c r="J258" s="30">
        <f>IFERROR(__xludf.DUMMYFUNCTION("""COMPUTED_VALUE"""),-11.059343513011441)</f>
        <v>-11.05934351</v>
      </c>
      <c r="K258" s="30"/>
      <c r="L258" s="30"/>
      <c r="M258" s="30"/>
      <c r="N258" s="30"/>
      <c r="O258" s="30">
        <f>IFERROR(__xludf.DUMMYFUNCTION("""COMPUTED_VALUE"""),-2.630874715592867)</f>
        <v>-2.630874716</v>
      </c>
      <c r="P258" s="30">
        <f>IFERROR(__xludf.DUMMYFUNCTION("""COMPUTED_VALUE"""),4.463999088063446)</f>
        <v>4.463999088</v>
      </c>
      <c r="Q258" s="30"/>
      <c r="R258" s="30"/>
      <c r="S258" s="30"/>
      <c r="T258" s="30"/>
      <c r="U258" s="30">
        <v>0.0</v>
      </c>
      <c r="V258" s="30"/>
      <c r="W258" s="30"/>
      <c r="X258" s="30"/>
      <c r="Y258" s="5">
        <f>IFERROR(__xludf.DUMMYFUNCTION("""COMPUTED_VALUE"""),78.0)</f>
        <v>78</v>
      </c>
      <c r="Z258" s="5">
        <f>IFERROR(__xludf.DUMMYFUNCTION("""COMPUTED_VALUE"""),78.0)</f>
        <v>78</v>
      </c>
    </row>
    <row r="259">
      <c r="A259" s="30" t="s">
        <v>1442</v>
      </c>
      <c r="B259" s="30">
        <f>IFERROR(__xludf.DUMMYFUNCTION("""COMPUTED_VALUE"""),78.0)</f>
        <v>78</v>
      </c>
      <c r="C259" s="30"/>
      <c r="D259" s="30"/>
      <c r="E259" s="30"/>
      <c r="F259" s="30"/>
      <c r="G259" s="30"/>
      <c r="H259" s="30"/>
      <c r="I259" s="30"/>
      <c r="J259" s="30">
        <f>IFERROR(__xludf.DUMMYFUNCTION("""COMPUTED_VALUE"""),-11.059343513011441)</f>
        <v>-11.05934351</v>
      </c>
      <c r="K259" s="30"/>
      <c r="L259" s="30"/>
      <c r="M259" s="30"/>
      <c r="N259" s="30"/>
      <c r="O259" s="30">
        <f>IFERROR(__xludf.DUMMYFUNCTION("""COMPUTED_VALUE"""),-2.630874715592867)</f>
        <v>-2.630874716</v>
      </c>
      <c r="P259" s="30">
        <f>IFERROR(__xludf.DUMMYFUNCTION("""COMPUTED_VALUE"""),4.463999088063446)</f>
        <v>4.463999088</v>
      </c>
      <c r="Q259" s="30"/>
      <c r="R259" s="30"/>
      <c r="S259" s="30"/>
      <c r="T259" s="30"/>
      <c r="U259" s="30">
        <v>0.0</v>
      </c>
      <c r="V259" s="30"/>
      <c r="W259" s="30"/>
      <c r="X259" s="30"/>
      <c r="Y259" s="5">
        <f>IFERROR(__xludf.DUMMYFUNCTION("""COMPUTED_VALUE"""),78.0)</f>
        <v>78</v>
      </c>
      <c r="Z259" s="5">
        <f>IFERROR(__xludf.DUMMYFUNCTION("""COMPUTED_VALUE"""),78.0)</f>
        <v>78</v>
      </c>
    </row>
    <row r="260">
      <c r="A260" s="30" t="s">
        <v>471</v>
      </c>
      <c r="B260" s="30">
        <f>IFERROR(__xludf.DUMMYFUNCTION("""COMPUTED_VALUE"""),79.0)</f>
        <v>79</v>
      </c>
      <c r="C260" s="30"/>
      <c r="D260" s="30"/>
      <c r="E260" s="30"/>
      <c r="F260" s="30"/>
      <c r="G260" s="30"/>
      <c r="H260" s="30"/>
      <c r="I260" s="30"/>
      <c r="J260" s="30">
        <f>IFERROR(__xludf.DUMMYFUNCTION("""COMPUTED_VALUE"""),-11.059343513011441)</f>
        <v>-11.05934351</v>
      </c>
      <c r="K260" s="30"/>
      <c r="L260" s="30"/>
      <c r="M260" s="30"/>
      <c r="N260" s="30"/>
      <c r="O260" s="30">
        <f>IFERROR(__xludf.DUMMYFUNCTION("""COMPUTED_VALUE"""),-2.630874715592867)</f>
        <v>-2.630874716</v>
      </c>
      <c r="P260" s="30">
        <f>IFERROR(__xludf.DUMMYFUNCTION("""COMPUTED_VALUE"""),4.463999088063446)</f>
        <v>4.463999088</v>
      </c>
      <c r="Q260" s="30"/>
      <c r="R260" s="30"/>
      <c r="S260" s="30"/>
      <c r="T260" s="30"/>
      <c r="U260" s="30">
        <v>0.0</v>
      </c>
      <c r="V260" s="30"/>
      <c r="W260" s="30"/>
      <c r="X260" s="30"/>
      <c r="Y260" s="5">
        <f>IFERROR(__xludf.DUMMYFUNCTION("""COMPUTED_VALUE"""),79.0)</f>
        <v>79</v>
      </c>
      <c r="Z260" s="5">
        <f>IFERROR(__xludf.DUMMYFUNCTION("""COMPUTED_VALUE"""),79.0)</f>
        <v>79</v>
      </c>
    </row>
    <row r="261">
      <c r="A261" s="30" t="s">
        <v>1448</v>
      </c>
      <c r="B261" s="30">
        <f>IFERROR(__xludf.DUMMYFUNCTION("""COMPUTED_VALUE"""),79.0)</f>
        <v>79</v>
      </c>
      <c r="C261" s="30"/>
      <c r="D261" s="30"/>
      <c r="E261" s="30"/>
      <c r="F261" s="30"/>
      <c r="G261" s="30"/>
      <c r="H261" s="30"/>
      <c r="I261" s="30"/>
      <c r="J261" s="30">
        <f>IFERROR(__xludf.DUMMYFUNCTION("""COMPUTED_VALUE"""),-11.059343513011441)</f>
        <v>-11.05934351</v>
      </c>
      <c r="K261" s="30"/>
      <c r="L261" s="30"/>
      <c r="M261" s="30"/>
      <c r="N261" s="30"/>
      <c r="O261" s="30">
        <f>IFERROR(__xludf.DUMMYFUNCTION("""COMPUTED_VALUE"""),-2.630874715592867)</f>
        <v>-2.630874716</v>
      </c>
      <c r="P261" s="30">
        <f>IFERROR(__xludf.DUMMYFUNCTION("""COMPUTED_VALUE"""),4.463999088063446)</f>
        <v>4.463999088</v>
      </c>
      <c r="Q261" s="30"/>
      <c r="R261" s="30"/>
      <c r="S261" s="30"/>
      <c r="T261" s="30"/>
      <c r="U261" s="30">
        <v>0.0</v>
      </c>
      <c r="V261" s="30"/>
      <c r="W261" s="30"/>
      <c r="X261" s="30"/>
      <c r="Y261" s="5">
        <f>IFERROR(__xludf.DUMMYFUNCTION("""COMPUTED_VALUE"""),79.0)</f>
        <v>79</v>
      </c>
      <c r="Z261" s="5">
        <f>IFERROR(__xludf.DUMMYFUNCTION("""COMPUTED_VALUE"""),79.0)</f>
        <v>79</v>
      </c>
    </row>
    <row r="262">
      <c r="A262" s="30" t="s">
        <v>605</v>
      </c>
      <c r="B262" s="30">
        <f>IFERROR(__xludf.DUMMYFUNCTION("""COMPUTED_VALUE"""),78.0)</f>
        <v>78</v>
      </c>
      <c r="C262" s="30"/>
      <c r="D262" s="30"/>
      <c r="E262" s="30"/>
      <c r="F262" s="30"/>
      <c r="G262" s="30"/>
      <c r="H262" s="30"/>
      <c r="I262" s="30"/>
      <c r="J262" s="30">
        <f>IFERROR(__xludf.DUMMYFUNCTION("""COMPUTED_VALUE"""),-11.059343513011441)</f>
        <v>-11.05934351</v>
      </c>
      <c r="K262" s="30"/>
      <c r="L262" s="30"/>
      <c r="M262" s="30"/>
      <c r="N262" s="30"/>
      <c r="O262" s="30">
        <f>IFERROR(__xludf.DUMMYFUNCTION("""COMPUTED_VALUE"""),-2.630874715592867)</f>
        <v>-2.630874716</v>
      </c>
      <c r="P262" s="30">
        <f>IFERROR(__xludf.DUMMYFUNCTION("""COMPUTED_VALUE"""),4.463999088063446)</f>
        <v>4.463999088</v>
      </c>
      <c r="Q262" s="30"/>
      <c r="R262" s="30"/>
      <c r="S262" s="30"/>
      <c r="T262" s="30"/>
      <c r="U262" s="30">
        <v>0.0</v>
      </c>
      <c r="V262" s="30"/>
      <c r="W262" s="30"/>
      <c r="X262" s="30"/>
      <c r="Y262" s="5">
        <f>IFERROR(__xludf.DUMMYFUNCTION("""COMPUTED_VALUE"""),78.0)</f>
        <v>78</v>
      </c>
      <c r="Z262" s="5">
        <f>IFERROR(__xludf.DUMMYFUNCTION("""COMPUTED_VALUE"""),78.0)</f>
        <v>78</v>
      </c>
    </row>
    <row r="263">
      <c r="A263" s="30" t="s">
        <v>1449</v>
      </c>
      <c r="B263" s="30">
        <f>IFERROR(__xludf.DUMMYFUNCTION("""COMPUTED_VALUE"""),79.0)</f>
        <v>79</v>
      </c>
      <c r="C263" s="30"/>
      <c r="D263" s="30"/>
      <c r="E263" s="30"/>
      <c r="F263" s="30"/>
      <c r="G263" s="30"/>
      <c r="H263" s="30"/>
      <c r="I263" s="30"/>
      <c r="J263" s="30">
        <f>IFERROR(__xludf.DUMMYFUNCTION("""COMPUTED_VALUE"""),-11.059343513011441)</f>
        <v>-11.05934351</v>
      </c>
      <c r="K263" s="30"/>
      <c r="L263" s="30"/>
      <c r="M263" s="30"/>
      <c r="N263" s="30"/>
      <c r="O263" s="30">
        <f>IFERROR(__xludf.DUMMYFUNCTION("""COMPUTED_VALUE"""),-2.630874715592867)</f>
        <v>-2.630874716</v>
      </c>
      <c r="P263" s="30">
        <f>IFERROR(__xludf.DUMMYFUNCTION("""COMPUTED_VALUE"""),4.463999088063446)</f>
        <v>4.463999088</v>
      </c>
      <c r="Q263" s="30"/>
      <c r="R263" s="30"/>
      <c r="S263" s="30"/>
      <c r="T263" s="30"/>
      <c r="U263" s="30">
        <v>0.0</v>
      </c>
      <c r="V263" s="30"/>
      <c r="W263" s="30"/>
      <c r="X263" s="30"/>
      <c r="Y263" s="5">
        <f>IFERROR(__xludf.DUMMYFUNCTION("""COMPUTED_VALUE"""),79.0)</f>
        <v>79</v>
      </c>
      <c r="Z263" s="5">
        <f>IFERROR(__xludf.DUMMYFUNCTION("""COMPUTED_VALUE"""),79.0)</f>
        <v>79</v>
      </c>
    </row>
    <row r="264">
      <c r="A264" s="30" t="s">
        <v>1450</v>
      </c>
      <c r="B264" s="30">
        <f>IFERROR(__xludf.DUMMYFUNCTION("""COMPUTED_VALUE"""),80.0)</f>
        <v>80</v>
      </c>
      <c r="C264" s="30"/>
      <c r="D264" s="30"/>
      <c r="E264" s="30"/>
      <c r="F264" s="30"/>
      <c r="G264" s="30"/>
      <c r="H264" s="30"/>
      <c r="I264" s="30"/>
      <c r="J264" s="30">
        <f>IFERROR(__xludf.DUMMYFUNCTION("""COMPUTED_VALUE"""),-11.059343513011441)</f>
        <v>-11.05934351</v>
      </c>
      <c r="K264" s="30"/>
      <c r="L264" s="30"/>
      <c r="M264" s="30"/>
      <c r="N264" s="30"/>
      <c r="O264" s="30">
        <f>IFERROR(__xludf.DUMMYFUNCTION("""COMPUTED_VALUE"""),-2.630874715592867)</f>
        <v>-2.630874716</v>
      </c>
      <c r="P264" s="30">
        <f>IFERROR(__xludf.DUMMYFUNCTION("""COMPUTED_VALUE"""),4.463999088063446)</f>
        <v>4.463999088</v>
      </c>
      <c r="Q264" s="30"/>
      <c r="R264" s="30"/>
      <c r="S264" s="30"/>
      <c r="T264" s="30"/>
      <c r="U264" s="30">
        <v>0.0</v>
      </c>
      <c r="V264" s="30"/>
      <c r="W264" s="30"/>
      <c r="X264" s="30"/>
      <c r="Y264" s="5">
        <f>IFERROR(__xludf.DUMMYFUNCTION("""COMPUTED_VALUE"""),80.0)</f>
        <v>80</v>
      </c>
      <c r="Z264" s="5">
        <f>IFERROR(__xludf.DUMMYFUNCTION("""COMPUTED_VALUE"""),80.0)</f>
        <v>80</v>
      </c>
    </row>
    <row r="265">
      <c r="A265" s="30" t="s">
        <v>1451</v>
      </c>
      <c r="B265" s="30">
        <f>IFERROR(__xludf.DUMMYFUNCTION("""COMPUTED_VALUE"""),79.0)</f>
        <v>79</v>
      </c>
      <c r="C265" s="30"/>
      <c r="D265" s="30"/>
      <c r="E265" s="30"/>
      <c r="F265" s="30"/>
      <c r="G265" s="30"/>
      <c r="H265" s="30"/>
      <c r="I265" s="30"/>
      <c r="J265" s="30">
        <f>IFERROR(__xludf.DUMMYFUNCTION("""COMPUTED_VALUE"""),-11.059343513011441)</f>
        <v>-11.05934351</v>
      </c>
      <c r="K265" s="30"/>
      <c r="L265" s="30"/>
      <c r="M265" s="30"/>
      <c r="N265" s="30"/>
      <c r="O265" s="30">
        <f>IFERROR(__xludf.DUMMYFUNCTION("""COMPUTED_VALUE"""),-2.630874715592867)</f>
        <v>-2.630874716</v>
      </c>
      <c r="P265" s="30">
        <f>IFERROR(__xludf.DUMMYFUNCTION("""COMPUTED_VALUE"""),4.463999088063446)</f>
        <v>4.463999088</v>
      </c>
      <c r="Q265" s="30"/>
      <c r="R265" s="30"/>
      <c r="S265" s="30"/>
      <c r="T265" s="30"/>
      <c r="U265" s="30">
        <v>0.0</v>
      </c>
      <c r="V265" s="30"/>
      <c r="W265" s="30"/>
      <c r="X265" s="30"/>
      <c r="Y265" s="5">
        <f>IFERROR(__xludf.DUMMYFUNCTION("""COMPUTED_VALUE"""),79.0)</f>
        <v>79</v>
      </c>
      <c r="Z265" s="5">
        <f>IFERROR(__xludf.DUMMYFUNCTION("""COMPUTED_VALUE"""),79.0)</f>
        <v>79</v>
      </c>
    </row>
    <row r="266">
      <c r="A266" s="30" t="s">
        <v>1452</v>
      </c>
      <c r="B266" s="30">
        <f>IFERROR(__xludf.DUMMYFUNCTION("""COMPUTED_VALUE"""),80.0)</f>
        <v>80</v>
      </c>
      <c r="C266" s="30"/>
      <c r="D266" s="30"/>
      <c r="E266" s="30"/>
      <c r="F266" s="30"/>
      <c r="G266" s="30"/>
      <c r="H266" s="30"/>
      <c r="I266" s="30"/>
      <c r="J266" s="30">
        <f>IFERROR(__xludf.DUMMYFUNCTION("""COMPUTED_VALUE"""),-11.059343513011441)</f>
        <v>-11.05934351</v>
      </c>
      <c r="K266" s="30"/>
      <c r="L266" s="30"/>
      <c r="M266" s="30"/>
      <c r="N266" s="30"/>
      <c r="O266" s="30">
        <f>IFERROR(__xludf.DUMMYFUNCTION("""COMPUTED_VALUE"""),-2.630874715592867)</f>
        <v>-2.630874716</v>
      </c>
      <c r="P266" s="30">
        <f>IFERROR(__xludf.DUMMYFUNCTION("""COMPUTED_VALUE"""),4.463999088063446)</f>
        <v>4.463999088</v>
      </c>
      <c r="Q266" s="30"/>
      <c r="R266" s="30"/>
      <c r="S266" s="30"/>
      <c r="T266" s="30"/>
      <c r="U266" s="30">
        <v>0.0</v>
      </c>
      <c r="V266" s="30"/>
      <c r="W266" s="30"/>
      <c r="X266" s="30"/>
      <c r="Y266" s="5">
        <f>IFERROR(__xludf.DUMMYFUNCTION("""COMPUTED_VALUE"""),80.0)</f>
        <v>80</v>
      </c>
      <c r="Z266" s="5">
        <f>IFERROR(__xludf.DUMMYFUNCTION("""COMPUTED_VALUE"""),80.0)</f>
        <v>80</v>
      </c>
    </row>
    <row r="267">
      <c r="A267" s="30" t="s">
        <v>1453</v>
      </c>
      <c r="B267" s="30">
        <f>IFERROR(__xludf.DUMMYFUNCTION("""COMPUTED_VALUE"""),78.0)</f>
        <v>78</v>
      </c>
      <c r="C267" s="30"/>
      <c r="D267" s="30"/>
      <c r="E267" s="30"/>
      <c r="F267" s="30"/>
      <c r="G267" s="30"/>
      <c r="H267" s="30"/>
      <c r="I267" s="30"/>
      <c r="J267" s="30">
        <f>IFERROR(__xludf.DUMMYFUNCTION("""COMPUTED_VALUE"""),-11.059343513011441)</f>
        <v>-11.05934351</v>
      </c>
      <c r="K267" s="30"/>
      <c r="L267" s="30"/>
      <c r="M267" s="30"/>
      <c r="N267" s="30"/>
      <c r="O267" s="30">
        <f>IFERROR(__xludf.DUMMYFUNCTION("""COMPUTED_VALUE"""),-2.630874715592867)</f>
        <v>-2.630874716</v>
      </c>
      <c r="P267" s="30">
        <f>IFERROR(__xludf.DUMMYFUNCTION("""COMPUTED_VALUE"""),4.463999088063446)</f>
        <v>4.463999088</v>
      </c>
      <c r="Q267" s="30"/>
      <c r="R267" s="30"/>
      <c r="S267" s="30"/>
      <c r="T267" s="30"/>
      <c r="U267" s="30">
        <v>0.0</v>
      </c>
      <c r="V267" s="30"/>
      <c r="W267" s="30"/>
      <c r="X267" s="30"/>
      <c r="Y267" s="5">
        <f>IFERROR(__xludf.DUMMYFUNCTION("""COMPUTED_VALUE"""),78.0)</f>
        <v>78</v>
      </c>
      <c r="Z267" s="5">
        <f>IFERROR(__xludf.DUMMYFUNCTION("""COMPUTED_VALUE"""),78.0)</f>
        <v>78</v>
      </c>
    </row>
    <row r="268">
      <c r="A268" s="30" t="s">
        <v>1454</v>
      </c>
      <c r="B268" s="30">
        <f>IFERROR(__xludf.DUMMYFUNCTION("""COMPUTED_VALUE"""),80.0)</f>
        <v>80</v>
      </c>
      <c r="C268" s="30"/>
      <c r="D268" s="30"/>
      <c r="E268" s="30"/>
      <c r="F268" s="30"/>
      <c r="G268" s="30"/>
      <c r="H268" s="30"/>
      <c r="I268" s="30"/>
      <c r="J268" s="30">
        <f>IFERROR(__xludf.DUMMYFUNCTION("""COMPUTED_VALUE"""),-11.059343513011441)</f>
        <v>-11.05934351</v>
      </c>
      <c r="K268" s="30"/>
      <c r="L268" s="30"/>
      <c r="M268" s="30"/>
      <c r="N268" s="30"/>
      <c r="O268" s="30">
        <f>IFERROR(__xludf.DUMMYFUNCTION("""COMPUTED_VALUE"""),-2.630874715592867)</f>
        <v>-2.630874716</v>
      </c>
      <c r="P268" s="30">
        <f>IFERROR(__xludf.DUMMYFUNCTION("""COMPUTED_VALUE"""),4.463999088063446)</f>
        <v>4.463999088</v>
      </c>
      <c r="Q268" s="30"/>
      <c r="R268" s="30"/>
      <c r="S268" s="30"/>
      <c r="T268" s="30"/>
      <c r="U268" s="30">
        <v>0.0</v>
      </c>
      <c r="V268" s="30"/>
      <c r="W268" s="30"/>
      <c r="X268" s="30"/>
      <c r="Y268" s="5">
        <f>IFERROR(__xludf.DUMMYFUNCTION("""COMPUTED_VALUE"""),80.0)</f>
        <v>80</v>
      </c>
      <c r="Z268" s="5">
        <f>IFERROR(__xludf.DUMMYFUNCTION("""COMPUTED_VALUE"""),80.0)</f>
        <v>80</v>
      </c>
    </row>
    <row r="269">
      <c r="A269" s="30" t="s">
        <v>1455</v>
      </c>
      <c r="B269" s="30">
        <f>IFERROR(__xludf.DUMMYFUNCTION("""COMPUTED_VALUE"""),80.0)</f>
        <v>80</v>
      </c>
      <c r="C269" s="30"/>
      <c r="D269" s="30"/>
      <c r="E269" s="30"/>
      <c r="F269" s="30"/>
      <c r="G269" s="30"/>
      <c r="H269" s="30"/>
      <c r="I269" s="30"/>
      <c r="J269" s="30">
        <f>IFERROR(__xludf.DUMMYFUNCTION("""COMPUTED_VALUE"""),-11.059343513011441)</f>
        <v>-11.05934351</v>
      </c>
      <c r="K269" s="30"/>
      <c r="L269" s="30"/>
      <c r="M269" s="30"/>
      <c r="N269" s="30"/>
      <c r="O269" s="30">
        <f>IFERROR(__xludf.DUMMYFUNCTION("""COMPUTED_VALUE"""),-2.630874715592867)</f>
        <v>-2.630874716</v>
      </c>
      <c r="P269" s="30">
        <f>IFERROR(__xludf.DUMMYFUNCTION("""COMPUTED_VALUE"""),4.463999088063446)</f>
        <v>4.463999088</v>
      </c>
      <c r="Q269" s="30"/>
      <c r="R269" s="30"/>
      <c r="S269" s="30"/>
      <c r="T269" s="30"/>
      <c r="U269" s="30">
        <v>0.0</v>
      </c>
      <c r="V269" s="30"/>
      <c r="W269" s="30"/>
      <c r="X269" s="30"/>
      <c r="Y269" s="5">
        <f>IFERROR(__xludf.DUMMYFUNCTION("""COMPUTED_VALUE"""),80.0)</f>
        <v>80</v>
      </c>
      <c r="Z269" s="5">
        <f>IFERROR(__xludf.DUMMYFUNCTION("""COMPUTED_VALUE"""),80.0)</f>
        <v>80</v>
      </c>
    </row>
    <row r="270">
      <c r="A270" s="30" t="s">
        <v>1456</v>
      </c>
      <c r="B270" s="30">
        <f>IFERROR(__xludf.DUMMYFUNCTION("""COMPUTED_VALUE"""),80.0)</f>
        <v>80</v>
      </c>
      <c r="C270" s="30"/>
      <c r="D270" s="30"/>
      <c r="E270" s="30"/>
      <c r="F270" s="30"/>
      <c r="G270" s="30"/>
      <c r="H270" s="30"/>
      <c r="I270" s="30"/>
      <c r="J270" s="30">
        <f>IFERROR(__xludf.DUMMYFUNCTION("""COMPUTED_VALUE"""),-11.059343513011441)</f>
        <v>-11.05934351</v>
      </c>
      <c r="K270" s="30"/>
      <c r="L270" s="30"/>
      <c r="M270" s="30"/>
      <c r="N270" s="30"/>
      <c r="O270" s="30">
        <f>IFERROR(__xludf.DUMMYFUNCTION("""COMPUTED_VALUE"""),-2.630874715592867)</f>
        <v>-2.630874716</v>
      </c>
      <c r="P270" s="30">
        <f>IFERROR(__xludf.DUMMYFUNCTION("""COMPUTED_VALUE"""),4.463999088063446)</f>
        <v>4.463999088</v>
      </c>
      <c r="Q270" s="30"/>
      <c r="R270" s="30"/>
      <c r="S270" s="30"/>
      <c r="T270" s="30"/>
      <c r="U270" s="30">
        <v>0.0</v>
      </c>
      <c r="V270" s="30"/>
      <c r="W270" s="30"/>
      <c r="X270" s="30"/>
      <c r="Y270" s="5">
        <f>IFERROR(__xludf.DUMMYFUNCTION("""COMPUTED_VALUE"""),80.0)</f>
        <v>80</v>
      </c>
      <c r="Z270" s="5">
        <f>IFERROR(__xludf.DUMMYFUNCTION("""COMPUTED_VALUE"""),80.0)</f>
        <v>80</v>
      </c>
    </row>
    <row r="271">
      <c r="A271" s="30" t="s">
        <v>1461</v>
      </c>
      <c r="B271" s="30">
        <f>IFERROR(__xludf.DUMMYFUNCTION("""COMPUTED_VALUE"""),80.0)</f>
        <v>80</v>
      </c>
      <c r="C271" s="30"/>
      <c r="D271" s="30"/>
      <c r="E271" s="30"/>
      <c r="F271" s="30"/>
      <c r="G271" s="30"/>
      <c r="H271" s="30"/>
      <c r="I271" s="30"/>
      <c r="J271" s="30">
        <f>IFERROR(__xludf.DUMMYFUNCTION("""COMPUTED_VALUE"""),-11.059343513011441)</f>
        <v>-11.05934351</v>
      </c>
      <c r="K271" s="30"/>
      <c r="L271" s="30"/>
      <c r="M271" s="30"/>
      <c r="N271" s="30"/>
      <c r="O271" s="30">
        <f>IFERROR(__xludf.DUMMYFUNCTION("""COMPUTED_VALUE"""),-2.630874715592867)</f>
        <v>-2.630874716</v>
      </c>
      <c r="P271" s="30">
        <f>IFERROR(__xludf.DUMMYFUNCTION("""COMPUTED_VALUE"""),4.463999088063446)</f>
        <v>4.463999088</v>
      </c>
      <c r="Q271" s="30"/>
      <c r="R271" s="30"/>
      <c r="S271" s="30"/>
      <c r="T271" s="30"/>
      <c r="U271" s="30">
        <v>0.0</v>
      </c>
      <c r="V271" s="30"/>
      <c r="W271" s="30"/>
      <c r="X271" s="30"/>
      <c r="Y271" s="5">
        <f>IFERROR(__xludf.DUMMYFUNCTION("""COMPUTED_VALUE"""),80.0)</f>
        <v>80</v>
      </c>
      <c r="Z271" s="5">
        <f>IFERROR(__xludf.DUMMYFUNCTION("""COMPUTED_VALUE"""),80.0)</f>
        <v>80</v>
      </c>
    </row>
    <row r="272">
      <c r="A272" s="30" t="s">
        <v>541</v>
      </c>
      <c r="B272" s="30">
        <f>IFERROR(__xludf.DUMMYFUNCTION("""COMPUTED_VALUE"""),75.0)</f>
        <v>75</v>
      </c>
      <c r="C272" s="30"/>
      <c r="D272" s="30"/>
      <c r="E272" s="30"/>
      <c r="F272" s="30"/>
      <c r="G272" s="30"/>
      <c r="H272" s="30"/>
      <c r="I272" s="30"/>
      <c r="J272" s="30">
        <f>IFERROR(__xludf.DUMMYFUNCTION("""COMPUTED_VALUE"""),-11.059343513011441)</f>
        <v>-11.05934351</v>
      </c>
      <c r="K272" s="30"/>
      <c r="L272" s="30"/>
      <c r="M272" s="30"/>
      <c r="N272" s="30"/>
      <c r="O272" s="30">
        <f>IFERROR(__xludf.DUMMYFUNCTION("""COMPUTED_VALUE"""),-2.630874715592867)</f>
        <v>-2.630874716</v>
      </c>
      <c r="P272" s="30">
        <f>IFERROR(__xludf.DUMMYFUNCTION("""COMPUTED_VALUE"""),4.463999088063446)</f>
        <v>4.463999088</v>
      </c>
      <c r="Q272" s="30"/>
      <c r="R272" s="30"/>
      <c r="S272" s="30"/>
      <c r="T272" s="30"/>
      <c r="U272" s="30">
        <v>0.0</v>
      </c>
      <c r="V272" s="30"/>
      <c r="W272" s="30"/>
      <c r="X272" s="30"/>
      <c r="Y272" s="5">
        <f>IFERROR(__xludf.DUMMYFUNCTION("""COMPUTED_VALUE"""),75.0)</f>
        <v>75</v>
      </c>
      <c r="Z272" s="5">
        <f>IFERROR(__xludf.DUMMYFUNCTION("""COMPUTED_VALUE"""),75.0)</f>
        <v>75</v>
      </c>
    </row>
    <row r="273">
      <c r="A273" s="30" t="s">
        <v>1462</v>
      </c>
      <c r="B273" s="30">
        <f>IFERROR(__xludf.DUMMYFUNCTION("""COMPUTED_VALUE"""),80.0)</f>
        <v>80</v>
      </c>
      <c r="C273" s="30"/>
      <c r="D273" s="30"/>
      <c r="E273" s="30"/>
      <c r="F273" s="30"/>
      <c r="G273" s="30"/>
      <c r="H273" s="30"/>
      <c r="I273" s="30"/>
      <c r="J273" s="30">
        <f>IFERROR(__xludf.DUMMYFUNCTION("""COMPUTED_VALUE"""),-11.059343513011441)</f>
        <v>-11.05934351</v>
      </c>
      <c r="K273" s="30"/>
      <c r="L273" s="30"/>
      <c r="M273" s="30"/>
      <c r="N273" s="30"/>
      <c r="O273" s="30">
        <f>IFERROR(__xludf.DUMMYFUNCTION("""COMPUTED_VALUE"""),-2.630874715592867)</f>
        <v>-2.630874716</v>
      </c>
      <c r="P273" s="30">
        <f>IFERROR(__xludf.DUMMYFUNCTION("""COMPUTED_VALUE"""),4.463999088063446)</f>
        <v>4.463999088</v>
      </c>
      <c r="Q273" s="30"/>
      <c r="R273" s="30"/>
      <c r="S273" s="30"/>
      <c r="T273" s="30"/>
      <c r="U273" s="30">
        <v>0.0</v>
      </c>
      <c r="V273" s="30"/>
      <c r="W273" s="30"/>
      <c r="X273" s="30"/>
      <c r="Y273" s="5">
        <f>IFERROR(__xludf.DUMMYFUNCTION("""COMPUTED_VALUE"""),80.0)</f>
        <v>80</v>
      </c>
      <c r="Z273" s="5">
        <f>IFERROR(__xludf.DUMMYFUNCTION("""COMPUTED_VALUE"""),80.0)</f>
        <v>80</v>
      </c>
    </row>
    <row r="274">
      <c r="A274" s="30" t="s">
        <v>769</v>
      </c>
      <c r="B274" s="30">
        <f>IFERROR(__xludf.DUMMYFUNCTION("""COMPUTED_VALUE"""),79.0)</f>
        <v>79</v>
      </c>
      <c r="C274" s="30"/>
      <c r="D274" s="30"/>
      <c r="E274" s="30"/>
      <c r="F274" s="30"/>
      <c r="G274" s="30"/>
      <c r="H274" s="30"/>
      <c r="I274" s="30"/>
      <c r="J274" s="30">
        <f>IFERROR(__xludf.DUMMYFUNCTION("""COMPUTED_VALUE"""),-11.059343513011441)</f>
        <v>-11.05934351</v>
      </c>
      <c r="K274" s="30"/>
      <c r="L274" s="30"/>
      <c r="M274" s="30"/>
      <c r="N274" s="30"/>
      <c r="O274" s="30">
        <f>IFERROR(__xludf.DUMMYFUNCTION("""COMPUTED_VALUE"""),-2.630874715592867)</f>
        <v>-2.630874716</v>
      </c>
      <c r="P274" s="30">
        <f>IFERROR(__xludf.DUMMYFUNCTION("""COMPUTED_VALUE"""),4.463999088063446)</f>
        <v>4.463999088</v>
      </c>
      <c r="Q274" s="30"/>
      <c r="R274" s="30"/>
      <c r="S274" s="30"/>
      <c r="T274" s="30"/>
      <c r="U274" s="30">
        <v>0.0</v>
      </c>
      <c r="V274" s="30"/>
      <c r="W274" s="30"/>
      <c r="X274" s="30"/>
      <c r="Y274" s="5">
        <f>IFERROR(__xludf.DUMMYFUNCTION("""COMPUTED_VALUE"""),78.0)</f>
        <v>78</v>
      </c>
      <c r="Z274" s="5">
        <f>IFERROR(__xludf.DUMMYFUNCTION("""COMPUTED_VALUE"""),80.0)</f>
        <v>80</v>
      </c>
    </row>
    <row r="275">
      <c r="A275" s="30" t="s">
        <v>1467</v>
      </c>
      <c r="B275" s="30">
        <f>IFERROR(__xludf.DUMMYFUNCTION("""COMPUTED_VALUE"""),78.0)</f>
        <v>78</v>
      </c>
      <c r="C275" s="30"/>
      <c r="D275" s="30"/>
      <c r="E275" s="30"/>
      <c r="F275" s="30"/>
      <c r="G275" s="30"/>
      <c r="H275" s="30"/>
      <c r="I275" s="30"/>
      <c r="J275" s="30">
        <f>IFERROR(__xludf.DUMMYFUNCTION("""COMPUTED_VALUE"""),-11.059343513011441)</f>
        <v>-11.05934351</v>
      </c>
      <c r="K275" s="30"/>
      <c r="L275" s="30"/>
      <c r="M275" s="30"/>
      <c r="N275" s="30"/>
      <c r="O275" s="30">
        <f>IFERROR(__xludf.DUMMYFUNCTION("""COMPUTED_VALUE"""),-2.630874715592867)</f>
        <v>-2.630874716</v>
      </c>
      <c r="P275" s="30">
        <f>IFERROR(__xludf.DUMMYFUNCTION("""COMPUTED_VALUE"""),4.463999088063446)</f>
        <v>4.463999088</v>
      </c>
      <c r="Q275" s="30"/>
      <c r="R275" s="30"/>
      <c r="S275" s="30"/>
      <c r="T275" s="30"/>
      <c r="U275" s="30">
        <v>0.0</v>
      </c>
      <c r="V275" s="30"/>
      <c r="W275" s="30"/>
      <c r="X275" s="30"/>
      <c r="Y275" s="5">
        <f>IFERROR(__xludf.DUMMYFUNCTION("""COMPUTED_VALUE"""),78.0)</f>
        <v>78</v>
      </c>
      <c r="Z275" s="5">
        <f>IFERROR(__xludf.DUMMYFUNCTION("""COMPUTED_VALUE"""),78.0)</f>
        <v>78</v>
      </c>
    </row>
    <row r="276">
      <c r="A276" s="30" t="s">
        <v>1468</v>
      </c>
      <c r="B276" s="30">
        <f>IFERROR(__xludf.DUMMYFUNCTION("""COMPUTED_VALUE"""),80.0)</f>
        <v>80</v>
      </c>
      <c r="C276" s="30"/>
      <c r="D276" s="30"/>
      <c r="E276" s="30"/>
      <c r="F276" s="30"/>
      <c r="G276" s="30"/>
      <c r="H276" s="30"/>
      <c r="I276" s="30"/>
      <c r="J276" s="30">
        <f>IFERROR(__xludf.DUMMYFUNCTION("""COMPUTED_VALUE"""),-11.059343513011441)</f>
        <v>-11.05934351</v>
      </c>
      <c r="K276" s="30"/>
      <c r="L276" s="30"/>
      <c r="M276" s="30"/>
      <c r="N276" s="30"/>
      <c r="O276" s="30">
        <f>IFERROR(__xludf.DUMMYFUNCTION("""COMPUTED_VALUE"""),-2.630874715592867)</f>
        <v>-2.630874716</v>
      </c>
      <c r="P276" s="30">
        <f>IFERROR(__xludf.DUMMYFUNCTION("""COMPUTED_VALUE"""),4.463999088063446)</f>
        <v>4.463999088</v>
      </c>
      <c r="Q276" s="30"/>
      <c r="R276" s="30"/>
      <c r="S276" s="30"/>
      <c r="T276" s="30"/>
      <c r="U276" s="30">
        <v>0.0</v>
      </c>
      <c r="V276" s="30"/>
      <c r="W276" s="30"/>
      <c r="X276" s="30"/>
      <c r="Y276" s="5">
        <f>IFERROR(__xludf.DUMMYFUNCTION("""COMPUTED_VALUE"""),80.0)</f>
        <v>80</v>
      </c>
      <c r="Z276" s="5">
        <f>IFERROR(__xludf.DUMMYFUNCTION("""COMPUTED_VALUE"""),80.0)</f>
        <v>80</v>
      </c>
    </row>
    <row r="277">
      <c r="A277" s="30" t="s">
        <v>1469</v>
      </c>
      <c r="B277" s="30">
        <f>IFERROR(__xludf.DUMMYFUNCTION("""COMPUTED_VALUE"""),78.0)</f>
        <v>78</v>
      </c>
      <c r="C277" s="30"/>
      <c r="D277" s="30"/>
      <c r="E277" s="30"/>
      <c r="F277" s="30"/>
      <c r="G277" s="30"/>
      <c r="H277" s="30"/>
      <c r="I277" s="30"/>
      <c r="J277" s="30">
        <f>IFERROR(__xludf.DUMMYFUNCTION("""COMPUTED_VALUE"""),-11.059343513011441)</f>
        <v>-11.05934351</v>
      </c>
      <c r="K277" s="30"/>
      <c r="L277" s="30"/>
      <c r="M277" s="30"/>
      <c r="N277" s="30"/>
      <c r="O277" s="30">
        <f>IFERROR(__xludf.DUMMYFUNCTION("""COMPUTED_VALUE"""),-2.630874715592867)</f>
        <v>-2.630874716</v>
      </c>
      <c r="P277" s="30">
        <f>IFERROR(__xludf.DUMMYFUNCTION("""COMPUTED_VALUE"""),4.463999088063446)</f>
        <v>4.463999088</v>
      </c>
      <c r="Q277" s="30"/>
      <c r="R277" s="30"/>
      <c r="S277" s="30"/>
      <c r="T277" s="30"/>
      <c r="U277" s="30">
        <v>0.0</v>
      </c>
      <c r="V277" s="30"/>
      <c r="W277" s="30"/>
      <c r="X277" s="30"/>
      <c r="Y277" s="5">
        <f>IFERROR(__xludf.DUMMYFUNCTION("""COMPUTED_VALUE"""),78.0)</f>
        <v>78</v>
      </c>
      <c r="Z277" s="5">
        <f>IFERROR(__xludf.DUMMYFUNCTION("""COMPUTED_VALUE"""),78.0)</f>
        <v>78</v>
      </c>
    </row>
    <row r="278">
      <c r="A278" s="30" t="s">
        <v>845</v>
      </c>
      <c r="B278" s="30">
        <f>IFERROR(__xludf.DUMMYFUNCTION("""COMPUTED_VALUE"""),75.5)</f>
        <v>75.5</v>
      </c>
      <c r="C278" s="30"/>
      <c r="D278" s="30"/>
      <c r="E278" s="30"/>
      <c r="F278" s="30"/>
      <c r="G278" s="30"/>
      <c r="H278" s="30"/>
      <c r="I278" s="30"/>
      <c r="J278" s="30">
        <f>IFERROR(__xludf.DUMMYFUNCTION("""COMPUTED_VALUE"""),-11.059343513011441)</f>
        <v>-11.05934351</v>
      </c>
      <c r="K278" s="30"/>
      <c r="L278" s="30"/>
      <c r="M278" s="30"/>
      <c r="N278" s="30"/>
      <c r="O278" s="30">
        <f>IFERROR(__xludf.DUMMYFUNCTION("""COMPUTED_VALUE"""),-2.630874715592867)</f>
        <v>-2.630874716</v>
      </c>
      <c r="P278" s="30">
        <f>IFERROR(__xludf.DUMMYFUNCTION("""COMPUTED_VALUE"""),4.463999088063446)</f>
        <v>4.463999088</v>
      </c>
      <c r="Q278" s="30"/>
      <c r="R278" s="30"/>
      <c r="S278" s="30"/>
      <c r="T278" s="30"/>
      <c r="U278" s="30">
        <v>0.0</v>
      </c>
      <c r="V278" s="30"/>
      <c r="W278" s="30"/>
      <c r="X278" s="30"/>
      <c r="Y278" s="5">
        <f>IFERROR(__xludf.DUMMYFUNCTION("""COMPUTED_VALUE"""),75.0)</f>
        <v>75</v>
      </c>
      <c r="Z278" s="5">
        <f>IFERROR(__xludf.DUMMYFUNCTION("""COMPUTED_VALUE"""),76.0)</f>
        <v>76</v>
      </c>
    </row>
    <row r="279">
      <c r="A279" s="30" t="s">
        <v>1474</v>
      </c>
      <c r="B279" s="30">
        <f>IFERROR(__xludf.DUMMYFUNCTION("""COMPUTED_VALUE"""),80.0)</f>
        <v>80</v>
      </c>
      <c r="C279" s="30"/>
      <c r="D279" s="30"/>
      <c r="E279" s="30"/>
      <c r="F279" s="30"/>
      <c r="G279" s="30"/>
      <c r="H279" s="30"/>
      <c r="I279" s="30"/>
      <c r="J279" s="30">
        <f>IFERROR(__xludf.DUMMYFUNCTION("""COMPUTED_VALUE"""),-11.059343513011441)</f>
        <v>-11.05934351</v>
      </c>
      <c r="K279" s="30"/>
      <c r="L279" s="30"/>
      <c r="M279" s="30"/>
      <c r="N279" s="30"/>
      <c r="O279" s="30">
        <f>IFERROR(__xludf.DUMMYFUNCTION("""COMPUTED_VALUE"""),-2.630874715592867)</f>
        <v>-2.630874716</v>
      </c>
      <c r="P279" s="30">
        <f>IFERROR(__xludf.DUMMYFUNCTION("""COMPUTED_VALUE"""),4.463999088063446)</f>
        <v>4.463999088</v>
      </c>
      <c r="Q279" s="30"/>
      <c r="R279" s="30"/>
      <c r="S279" s="30"/>
      <c r="T279" s="30"/>
      <c r="U279" s="30">
        <v>0.0</v>
      </c>
      <c r="V279" s="30"/>
      <c r="W279" s="30"/>
      <c r="X279" s="30"/>
      <c r="Y279" s="5">
        <f>IFERROR(__xludf.DUMMYFUNCTION("""COMPUTED_VALUE"""),80.0)</f>
        <v>80</v>
      </c>
      <c r="Z279" s="5">
        <f>IFERROR(__xludf.DUMMYFUNCTION("""COMPUTED_VALUE"""),80.0)</f>
        <v>80</v>
      </c>
    </row>
    <row r="280">
      <c r="A280" s="30" t="s">
        <v>1475</v>
      </c>
      <c r="B280" s="30">
        <f>IFERROR(__xludf.DUMMYFUNCTION("""COMPUTED_VALUE"""),80.0)</f>
        <v>80</v>
      </c>
      <c r="C280" s="30"/>
      <c r="D280" s="30"/>
      <c r="E280" s="30"/>
      <c r="F280" s="30"/>
      <c r="G280" s="30"/>
      <c r="H280" s="30"/>
      <c r="I280" s="30"/>
      <c r="J280" s="30">
        <f>IFERROR(__xludf.DUMMYFUNCTION("""COMPUTED_VALUE"""),-11.059343513011441)</f>
        <v>-11.05934351</v>
      </c>
      <c r="K280" s="30"/>
      <c r="L280" s="30"/>
      <c r="M280" s="30"/>
      <c r="N280" s="30"/>
      <c r="O280" s="30">
        <f>IFERROR(__xludf.DUMMYFUNCTION("""COMPUTED_VALUE"""),-2.630874715592867)</f>
        <v>-2.630874716</v>
      </c>
      <c r="P280" s="30">
        <f>IFERROR(__xludf.DUMMYFUNCTION("""COMPUTED_VALUE"""),4.463999088063446)</f>
        <v>4.463999088</v>
      </c>
      <c r="Q280" s="30"/>
      <c r="R280" s="30"/>
      <c r="S280" s="30"/>
      <c r="T280" s="30"/>
      <c r="U280" s="30">
        <v>0.0</v>
      </c>
      <c r="V280" s="30"/>
      <c r="W280" s="30"/>
      <c r="X280" s="30"/>
      <c r="Y280" s="5">
        <f>IFERROR(__xludf.DUMMYFUNCTION("""COMPUTED_VALUE"""),80.0)</f>
        <v>80</v>
      </c>
      <c r="Z280" s="5">
        <f>IFERROR(__xludf.DUMMYFUNCTION("""COMPUTED_VALUE"""),80.0)</f>
        <v>80</v>
      </c>
    </row>
    <row r="281">
      <c r="A281" s="30" t="s">
        <v>421</v>
      </c>
      <c r="B281" s="30">
        <f>IFERROR(__xludf.DUMMYFUNCTION("""COMPUTED_VALUE"""),78.0)</f>
        <v>78</v>
      </c>
      <c r="C281" s="30"/>
      <c r="D281" s="30"/>
      <c r="E281" s="30"/>
      <c r="F281" s="30"/>
      <c r="G281" s="30"/>
      <c r="H281" s="30"/>
      <c r="I281" s="30"/>
      <c r="J281" s="30">
        <f>IFERROR(__xludf.DUMMYFUNCTION("""COMPUTED_VALUE"""),-11.059343513011441)</f>
        <v>-11.05934351</v>
      </c>
      <c r="K281" s="30"/>
      <c r="L281" s="30"/>
      <c r="M281" s="30"/>
      <c r="N281" s="30"/>
      <c r="O281" s="30">
        <f>IFERROR(__xludf.DUMMYFUNCTION("""COMPUTED_VALUE"""),-2.630874715592867)</f>
        <v>-2.630874716</v>
      </c>
      <c r="P281" s="30">
        <f>IFERROR(__xludf.DUMMYFUNCTION("""COMPUTED_VALUE"""),4.463999088063446)</f>
        <v>4.463999088</v>
      </c>
      <c r="Q281" s="30"/>
      <c r="R281" s="30"/>
      <c r="S281" s="30"/>
      <c r="T281" s="30"/>
      <c r="U281" s="30">
        <v>0.0</v>
      </c>
      <c r="V281" s="30"/>
      <c r="W281" s="30"/>
      <c r="X281" s="30"/>
      <c r="Y281" s="5">
        <f>IFERROR(__xludf.DUMMYFUNCTION("""COMPUTED_VALUE"""),78.0)</f>
        <v>78</v>
      </c>
      <c r="Z281" s="5">
        <f>IFERROR(__xludf.DUMMYFUNCTION("""COMPUTED_VALUE"""),78.0)</f>
        <v>78</v>
      </c>
    </row>
    <row r="282">
      <c r="A282" s="30" t="s">
        <v>1479</v>
      </c>
      <c r="B282" s="30">
        <f>IFERROR(__xludf.DUMMYFUNCTION("""COMPUTED_VALUE"""),80.0)</f>
        <v>80</v>
      </c>
      <c r="C282" s="30"/>
      <c r="D282" s="30"/>
      <c r="E282" s="30"/>
      <c r="F282" s="30"/>
      <c r="G282" s="30"/>
      <c r="H282" s="30"/>
      <c r="I282" s="30"/>
      <c r="J282" s="30">
        <f>IFERROR(__xludf.DUMMYFUNCTION("""COMPUTED_VALUE"""),-11.059343513011441)</f>
        <v>-11.05934351</v>
      </c>
      <c r="K282" s="30"/>
      <c r="L282" s="30"/>
      <c r="M282" s="30"/>
      <c r="N282" s="30"/>
      <c r="O282" s="30">
        <f>IFERROR(__xludf.DUMMYFUNCTION("""COMPUTED_VALUE"""),-2.630874715592867)</f>
        <v>-2.630874716</v>
      </c>
      <c r="P282" s="30">
        <f>IFERROR(__xludf.DUMMYFUNCTION("""COMPUTED_VALUE"""),4.463999088063446)</f>
        <v>4.463999088</v>
      </c>
      <c r="Q282" s="30"/>
      <c r="R282" s="30"/>
      <c r="S282" s="30"/>
      <c r="T282" s="30"/>
      <c r="U282" s="30">
        <v>0.0</v>
      </c>
      <c r="V282" s="30"/>
      <c r="W282" s="30"/>
      <c r="X282" s="30"/>
      <c r="Y282" s="5">
        <f>IFERROR(__xludf.DUMMYFUNCTION("""COMPUTED_VALUE"""),80.0)</f>
        <v>80</v>
      </c>
      <c r="Z282" s="5">
        <f>IFERROR(__xludf.DUMMYFUNCTION("""COMPUTED_VALUE"""),80.0)</f>
        <v>80</v>
      </c>
    </row>
    <row r="283">
      <c r="A283" s="30" t="s">
        <v>1480</v>
      </c>
      <c r="B283" s="30">
        <f>IFERROR(__xludf.DUMMYFUNCTION("""COMPUTED_VALUE"""),80.0)</f>
        <v>80</v>
      </c>
      <c r="C283" s="30"/>
      <c r="D283" s="30"/>
      <c r="E283" s="30"/>
      <c r="F283" s="30"/>
      <c r="G283" s="30"/>
      <c r="H283" s="30"/>
      <c r="I283" s="30"/>
      <c r="J283" s="30">
        <f>IFERROR(__xludf.DUMMYFUNCTION("""COMPUTED_VALUE"""),-11.059343513011441)</f>
        <v>-11.05934351</v>
      </c>
      <c r="K283" s="30"/>
      <c r="L283" s="30"/>
      <c r="M283" s="30"/>
      <c r="N283" s="30"/>
      <c r="O283" s="30">
        <f>IFERROR(__xludf.DUMMYFUNCTION("""COMPUTED_VALUE"""),-2.630874715592867)</f>
        <v>-2.630874716</v>
      </c>
      <c r="P283" s="30">
        <f>IFERROR(__xludf.DUMMYFUNCTION("""COMPUTED_VALUE"""),4.463999088063446)</f>
        <v>4.463999088</v>
      </c>
      <c r="Q283" s="30"/>
      <c r="R283" s="30"/>
      <c r="S283" s="30"/>
      <c r="T283" s="30"/>
      <c r="U283" s="30">
        <v>0.0</v>
      </c>
      <c r="V283" s="30"/>
      <c r="W283" s="30"/>
      <c r="X283" s="30"/>
      <c r="Y283" s="5">
        <f>IFERROR(__xludf.DUMMYFUNCTION("""COMPUTED_VALUE"""),80.0)</f>
        <v>80</v>
      </c>
      <c r="Z283" s="5">
        <f>IFERROR(__xludf.DUMMYFUNCTION("""COMPUTED_VALUE"""),80.0)</f>
        <v>80</v>
      </c>
    </row>
    <row r="284">
      <c r="A284" s="30" t="s">
        <v>748</v>
      </c>
      <c r="B284" s="30">
        <f>IFERROR(__xludf.DUMMYFUNCTION("""COMPUTED_VALUE"""),80.0)</f>
        <v>80</v>
      </c>
      <c r="C284" s="30"/>
      <c r="D284" s="30"/>
      <c r="E284" s="30"/>
      <c r="F284" s="30"/>
      <c r="G284" s="30"/>
      <c r="H284" s="30"/>
      <c r="I284" s="30"/>
      <c r="J284" s="30">
        <f>IFERROR(__xludf.DUMMYFUNCTION("""COMPUTED_VALUE"""),-11.059343513011441)</f>
        <v>-11.05934351</v>
      </c>
      <c r="K284" s="30"/>
      <c r="L284" s="30"/>
      <c r="M284" s="30"/>
      <c r="N284" s="30"/>
      <c r="O284" s="30">
        <f>IFERROR(__xludf.DUMMYFUNCTION("""COMPUTED_VALUE"""),-2.630874715592867)</f>
        <v>-2.630874716</v>
      </c>
      <c r="P284" s="30">
        <f>IFERROR(__xludf.DUMMYFUNCTION("""COMPUTED_VALUE"""),4.463999088063446)</f>
        <v>4.463999088</v>
      </c>
      <c r="Q284" s="30"/>
      <c r="R284" s="30"/>
      <c r="S284" s="30"/>
      <c r="T284" s="30"/>
      <c r="U284" s="30">
        <v>0.0</v>
      </c>
      <c r="V284" s="30"/>
      <c r="W284" s="30"/>
      <c r="X284" s="30"/>
      <c r="Y284" s="5">
        <f>IFERROR(__xludf.DUMMYFUNCTION("""COMPUTED_VALUE"""),80.0)</f>
        <v>80</v>
      </c>
      <c r="Z284" s="5">
        <f>IFERROR(__xludf.DUMMYFUNCTION("""COMPUTED_VALUE"""),80.0)</f>
        <v>80</v>
      </c>
    </row>
    <row r="285">
      <c r="A285" s="30" t="s">
        <v>560</v>
      </c>
      <c r="B285" s="30">
        <f>IFERROR(__xludf.DUMMYFUNCTION("""COMPUTED_VALUE"""),77.0)</f>
        <v>77</v>
      </c>
      <c r="C285" s="30"/>
      <c r="D285" s="30"/>
      <c r="E285" s="30"/>
      <c r="F285" s="30"/>
      <c r="G285" s="30"/>
      <c r="H285" s="30"/>
      <c r="I285" s="30"/>
      <c r="J285" s="30">
        <f>IFERROR(__xludf.DUMMYFUNCTION("""COMPUTED_VALUE"""),-11.059343513011441)</f>
        <v>-11.05934351</v>
      </c>
      <c r="K285" s="30"/>
      <c r="L285" s="30"/>
      <c r="M285" s="30"/>
      <c r="N285" s="30"/>
      <c r="O285" s="30">
        <f>IFERROR(__xludf.DUMMYFUNCTION("""COMPUTED_VALUE"""),-2.630874715592867)</f>
        <v>-2.630874716</v>
      </c>
      <c r="P285" s="30">
        <f>IFERROR(__xludf.DUMMYFUNCTION("""COMPUTED_VALUE"""),4.463999088063446)</f>
        <v>4.463999088</v>
      </c>
      <c r="Q285" s="30"/>
      <c r="R285" s="30"/>
      <c r="S285" s="30"/>
      <c r="T285" s="30"/>
      <c r="U285" s="30">
        <v>0.0</v>
      </c>
      <c r="V285" s="30"/>
      <c r="W285" s="30"/>
      <c r="X285" s="30"/>
      <c r="Y285" s="5">
        <f>IFERROR(__xludf.DUMMYFUNCTION("""COMPUTED_VALUE"""),77.0)</f>
        <v>77</v>
      </c>
      <c r="Z285" s="5">
        <f>IFERROR(__xludf.DUMMYFUNCTION("""COMPUTED_VALUE"""),77.0)</f>
        <v>77</v>
      </c>
    </row>
    <row r="286">
      <c r="A286" s="30" t="s">
        <v>1481</v>
      </c>
      <c r="B286" s="30">
        <f>IFERROR(__xludf.DUMMYFUNCTION("""COMPUTED_VALUE"""),77.0)</f>
        <v>77</v>
      </c>
      <c r="C286" s="30"/>
      <c r="D286" s="30"/>
      <c r="E286" s="30"/>
      <c r="F286" s="30"/>
      <c r="G286" s="30"/>
      <c r="H286" s="30"/>
      <c r="I286" s="30"/>
      <c r="J286" s="30">
        <f>IFERROR(__xludf.DUMMYFUNCTION("""COMPUTED_VALUE"""),-11.059343513011441)</f>
        <v>-11.05934351</v>
      </c>
      <c r="K286" s="30"/>
      <c r="L286" s="30"/>
      <c r="M286" s="30"/>
      <c r="N286" s="30"/>
      <c r="O286" s="30">
        <f>IFERROR(__xludf.DUMMYFUNCTION("""COMPUTED_VALUE"""),-2.630874715592867)</f>
        <v>-2.630874716</v>
      </c>
      <c r="P286" s="30">
        <f>IFERROR(__xludf.DUMMYFUNCTION("""COMPUTED_VALUE"""),4.463999088063446)</f>
        <v>4.463999088</v>
      </c>
      <c r="Q286" s="30"/>
      <c r="R286" s="30"/>
      <c r="S286" s="30"/>
      <c r="T286" s="30"/>
      <c r="U286" s="30">
        <v>0.0</v>
      </c>
      <c r="V286" s="30"/>
      <c r="W286" s="30"/>
      <c r="X286" s="30"/>
      <c r="Y286" s="5">
        <f>IFERROR(__xludf.DUMMYFUNCTION("""COMPUTED_VALUE"""),77.0)</f>
        <v>77</v>
      </c>
      <c r="Z286" s="5">
        <f>IFERROR(__xludf.DUMMYFUNCTION("""COMPUTED_VALUE"""),77.0)</f>
        <v>77</v>
      </c>
    </row>
    <row r="287">
      <c r="A287" s="30" t="s">
        <v>440</v>
      </c>
      <c r="B287" s="30">
        <f>IFERROR(__xludf.DUMMYFUNCTION("""COMPUTED_VALUE"""),77.5)</f>
        <v>77.5</v>
      </c>
      <c r="C287" s="30"/>
      <c r="D287" s="30"/>
      <c r="E287" s="30"/>
      <c r="F287" s="30"/>
      <c r="G287" s="30"/>
      <c r="H287" s="30"/>
      <c r="I287" s="30"/>
      <c r="J287" s="30">
        <f>IFERROR(__xludf.DUMMYFUNCTION("""COMPUTED_VALUE"""),-11.059343513011441)</f>
        <v>-11.05934351</v>
      </c>
      <c r="K287" s="30"/>
      <c r="L287" s="30"/>
      <c r="M287" s="30"/>
      <c r="N287" s="30"/>
      <c r="O287" s="30">
        <f>IFERROR(__xludf.DUMMYFUNCTION("""COMPUTED_VALUE"""),-2.630874715592867)</f>
        <v>-2.630874716</v>
      </c>
      <c r="P287" s="30">
        <f>IFERROR(__xludf.DUMMYFUNCTION("""COMPUTED_VALUE"""),4.463999088063446)</f>
        <v>4.463999088</v>
      </c>
      <c r="Q287" s="30"/>
      <c r="R287" s="30"/>
      <c r="S287" s="30"/>
      <c r="T287" s="30"/>
      <c r="U287" s="30">
        <v>0.0</v>
      </c>
      <c r="V287" s="30"/>
      <c r="W287" s="30"/>
      <c r="X287" s="30"/>
      <c r="Y287" s="5">
        <f>IFERROR(__xludf.DUMMYFUNCTION("""COMPUTED_VALUE"""),77.0)</f>
        <v>77</v>
      </c>
      <c r="Z287" s="5">
        <f>IFERROR(__xludf.DUMMYFUNCTION("""COMPUTED_VALUE"""),78.0)</f>
        <v>78</v>
      </c>
    </row>
    <row r="288">
      <c r="A288" s="30" t="s">
        <v>1484</v>
      </c>
      <c r="B288" s="30">
        <f>IFERROR(__xludf.DUMMYFUNCTION("""COMPUTED_VALUE"""),78.0)</f>
        <v>78</v>
      </c>
      <c r="C288" s="30"/>
      <c r="D288" s="30"/>
      <c r="E288" s="30"/>
      <c r="F288" s="30"/>
      <c r="G288" s="30"/>
      <c r="H288" s="30"/>
      <c r="I288" s="30"/>
      <c r="J288" s="30">
        <f>IFERROR(__xludf.DUMMYFUNCTION("""COMPUTED_VALUE"""),-11.059343513011441)</f>
        <v>-11.05934351</v>
      </c>
      <c r="K288" s="30"/>
      <c r="L288" s="30"/>
      <c r="M288" s="30"/>
      <c r="N288" s="30"/>
      <c r="O288" s="30">
        <f>IFERROR(__xludf.DUMMYFUNCTION("""COMPUTED_VALUE"""),-2.630874715592867)</f>
        <v>-2.630874716</v>
      </c>
      <c r="P288" s="30">
        <f>IFERROR(__xludf.DUMMYFUNCTION("""COMPUTED_VALUE"""),4.463999088063446)</f>
        <v>4.463999088</v>
      </c>
      <c r="Q288" s="30"/>
      <c r="R288" s="30"/>
      <c r="S288" s="30"/>
      <c r="T288" s="30"/>
      <c r="U288" s="30">
        <v>0.0</v>
      </c>
      <c r="V288" s="30"/>
      <c r="W288" s="30"/>
      <c r="X288" s="30"/>
      <c r="Y288" s="5">
        <f>IFERROR(__xludf.DUMMYFUNCTION("""COMPUTED_VALUE"""),78.0)</f>
        <v>78</v>
      </c>
      <c r="Z288" s="5">
        <f>IFERROR(__xludf.DUMMYFUNCTION("""COMPUTED_VALUE"""),78.0)</f>
        <v>78</v>
      </c>
    </row>
    <row r="289">
      <c r="A289" s="30" t="s">
        <v>1489</v>
      </c>
      <c r="B289" s="30">
        <f>IFERROR(__xludf.DUMMYFUNCTION("""COMPUTED_VALUE"""),79.0)</f>
        <v>79</v>
      </c>
      <c r="C289" s="30"/>
      <c r="D289" s="30"/>
      <c r="E289" s="30"/>
      <c r="F289" s="30"/>
      <c r="G289" s="30"/>
      <c r="H289" s="30"/>
      <c r="I289" s="30"/>
      <c r="J289" s="30">
        <f>IFERROR(__xludf.DUMMYFUNCTION("""COMPUTED_VALUE"""),-11.059343513011441)</f>
        <v>-11.05934351</v>
      </c>
      <c r="K289" s="30"/>
      <c r="L289" s="30"/>
      <c r="M289" s="30"/>
      <c r="N289" s="30"/>
      <c r="O289" s="30">
        <f>IFERROR(__xludf.DUMMYFUNCTION("""COMPUTED_VALUE"""),-2.630874715592867)</f>
        <v>-2.630874716</v>
      </c>
      <c r="P289" s="30">
        <f>IFERROR(__xludf.DUMMYFUNCTION("""COMPUTED_VALUE"""),4.463999088063446)</f>
        <v>4.463999088</v>
      </c>
      <c r="Q289" s="30"/>
      <c r="R289" s="30"/>
      <c r="S289" s="30"/>
      <c r="T289" s="30"/>
      <c r="U289" s="30">
        <v>0.0</v>
      </c>
      <c r="V289" s="30"/>
      <c r="W289" s="30"/>
      <c r="X289" s="30"/>
      <c r="Y289" s="5">
        <f>IFERROR(__xludf.DUMMYFUNCTION("""COMPUTED_VALUE"""),79.0)</f>
        <v>79</v>
      </c>
      <c r="Z289" s="5">
        <f>IFERROR(__xludf.DUMMYFUNCTION("""COMPUTED_VALUE"""),79.0)</f>
        <v>79</v>
      </c>
    </row>
    <row r="290">
      <c r="A290" s="30" t="s">
        <v>1490</v>
      </c>
      <c r="B290" s="30">
        <f>IFERROR(__xludf.DUMMYFUNCTION("""COMPUTED_VALUE"""),78.0)</f>
        <v>78</v>
      </c>
      <c r="C290" s="30"/>
      <c r="D290" s="30"/>
      <c r="E290" s="30"/>
      <c r="F290" s="30"/>
      <c r="G290" s="30"/>
      <c r="H290" s="30"/>
      <c r="I290" s="30"/>
      <c r="J290" s="30">
        <f>IFERROR(__xludf.DUMMYFUNCTION("""COMPUTED_VALUE"""),-11.059343513011441)</f>
        <v>-11.05934351</v>
      </c>
      <c r="K290" s="30"/>
      <c r="L290" s="30"/>
      <c r="M290" s="30"/>
      <c r="N290" s="30"/>
      <c r="O290" s="30">
        <f>IFERROR(__xludf.DUMMYFUNCTION("""COMPUTED_VALUE"""),-2.630874715592867)</f>
        <v>-2.630874716</v>
      </c>
      <c r="P290" s="30">
        <f>IFERROR(__xludf.DUMMYFUNCTION("""COMPUTED_VALUE"""),4.463999088063446)</f>
        <v>4.463999088</v>
      </c>
      <c r="Q290" s="30"/>
      <c r="R290" s="30"/>
      <c r="S290" s="30"/>
      <c r="T290" s="30"/>
      <c r="U290" s="30">
        <v>0.0</v>
      </c>
      <c r="V290" s="30"/>
      <c r="W290" s="30"/>
      <c r="X290" s="30"/>
      <c r="Y290" s="5">
        <f>IFERROR(__xludf.DUMMYFUNCTION("""COMPUTED_VALUE"""),78.0)</f>
        <v>78</v>
      </c>
      <c r="Z290" s="5">
        <f>IFERROR(__xludf.DUMMYFUNCTION("""COMPUTED_VALUE"""),78.0)</f>
        <v>78</v>
      </c>
    </row>
    <row r="291">
      <c r="A291" s="30" t="s">
        <v>1491</v>
      </c>
      <c r="B291" s="30">
        <f>IFERROR(__xludf.DUMMYFUNCTION("""COMPUTED_VALUE"""),79.0)</f>
        <v>79</v>
      </c>
      <c r="C291" s="30"/>
      <c r="D291" s="30"/>
      <c r="E291" s="30"/>
      <c r="F291" s="30"/>
      <c r="G291" s="30"/>
      <c r="H291" s="30"/>
      <c r="I291" s="30"/>
      <c r="J291" s="30">
        <f>IFERROR(__xludf.DUMMYFUNCTION("""COMPUTED_VALUE"""),-11.059343513011441)</f>
        <v>-11.05934351</v>
      </c>
      <c r="K291" s="30"/>
      <c r="L291" s="30"/>
      <c r="M291" s="30"/>
      <c r="N291" s="30"/>
      <c r="O291" s="30">
        <f>IFERROR(__xludf.DUMMYFUNCTION("""COMPUTED_VALUE"""),-2.630874715592867)</f>
        <v>-2.630874716</v>
      </c>
      <c r="P291" s="30">
        <f>IFERROR(__xludf.DUMMYFUNCTION("""COMPUTED_VALUE"""),4.463999088063446)</f>
        <v>4.463999088</v>
      </c>
      <c r="Q291" s="30"/>
      <c r="R291" s="30"/>
      <c r="S291" s="30"/>
      <c r="T291" s="30"/>
      <c r="U291" s="30">
        <v>0.0</v>
      </c>
      <c r="V291" s="30"/>
      <c r="W291" s="30"/>
      <c r="X291" s="30"/>
      <c r="Y291" s="5">
        <f>IFERROR(__xludf.DUMMYFUNCTION("""COMPUTED_VALUE"""),79.0)</f>
        <v>79</v>
      </c>
      <c r="Z291" s="5">
        <f>IFERROR(__xludf.DUMMYFUNCTION("""COMPUTED_VALUE"""),79.0)</f>
        <v>79</v>
      </c>
    </row>
    <row r="292">
      <c r="A292" s="30" t="s">
        <v>1492</v>
      </c>
      <c r="B292" s="30">
        <f>IFERROR(__xludf.DUMMYFUNCTION("""COMPUTED_VALUE"""),72.0)</f>
        <v>72</v>
      </c>
      <c r="C292" s="30"/>
      <c r="D292" s="30"/>
      <c r="E292" s="30"/>
      <c r="F292" s="30"/>
      <c r="G292" s="30"/>
      <c r="H292" s="30"/>
      <c r="I292" s="30"/>
      <c r="J292" s="30">
        <f>IFERROR(__xludf.DUMMYFUNCTION("""COMPUTED_VALUE"""),-11.059343513011441)</f>
        <v>-11.05934351</v>
      </c>
      <c r="K292" s="30"/>
      <c r="L292" s="30"/>
      <c r="M292" s="30"/>
      <c r="N292" s="30"/>
      <c r="O292" s="30">
        <f>IFERROR(__xludf.DUMMYFUNCTION("""COMPUTED_VALUE"""),-2.630874715592867)</f>
        <v>-2.630874716</v>
      </c>
      <c r="P292" s="30">
        <f>IFERROR(__xludf.DUMMYFUNCTION("""COMPUTED_VALUE"""),4.463999088063446)</f>
        <v>4.463999088</v>
      </c>
      <c r="Q292" s="30"/>
      <c r="R292" s="30"/>
      <c r="S292" s="30"/>
      <c r="T292" s="30"/>
      <c r="U292" s="30">
        <v>0.0</v>
      </c>
      <c r="V292" s="30"/>
      <c r="W292" s="30"/>
      <c r="X292" s="30"/>
      <c r="Y292" s="5">
        <f>IFERROR(__xludf.DUMMYFUNCTION("""COMPUTED_VALUE"""),72.0)</f>
        <v>72</v>
      </c>
      <c r="Z292" s="5">
        <f>IFERROR(__xludf.DUMMYFUNCTION("""COMPUTED_VALUE"""),72.0)</f>
        <v>72</v>
      </c>
    </row>
    <row r="293">
      <c r="A293" s="30" t="s">
        <v>256</v>
      </c>
      <c r="B293" s="30">
        <f>IFERROR(__xludf.DUMMYFUNCTION("""COMPUTED_VALUE"""),78.0)</f>
        <v>78</v>
      </c>
      <c r="C293" s="30"/>
      <c r="D293" s="30"/>
      <c r="E293" s="30"/>
      <c r="F293" s="30"/>
      <c r="G293" s="30"/>
      <c r="H293" s="30"/>
      <c r="I293" s="30"/>
      <c r="J293" s="30">
        <f>IFERROR(__xludf.DUMMYFUNCTION("""COMPUTED_VALUE"""),-11.059343513011441)</f>
        <v>-11.05934351</v>
      </c>
      <c r="K293" s="30"/>
      <c r="L293" s="30"/>
      <c r="M293" s="30"/>
      <c r="N293" s="30"/>
      <c r="O293" s="30">
        <f>IFERROR(__xludf.DUMMYFUNCTION("""COMPUTED_VALUE"""),-2.630874715592867)</f>
        <v>-2.630874716</v>
      </c>
      <c r="P293" s="30">
        <f>IFERROR(__xludf.DUMMYFUNCTION("""COMPUTED_VALUE"""),4.463999088063446)</f>
        <v>4.463999088</v>
      </c>
      <c r="Q293" s="30"/>
      <c r="R293" s="30"/>
      <c r="S293" s="30"/>
      <c r="T293" s="30"/>
      <c r="U293" s="30">
        <v>0.0</v>
      </c>
      <c r="V293" s="30"/>
      <c r="W293" s="30"/>
      <c r="X293" s="30"/>
      <c r="Y293" s="5">
        <f>IFERROR(__xludf.DUMMYFUNCTION("""COMPUTED_VALUE"""),77.0)</f>
        <v>77</v>
      </c>
      <c r="Z293" s="5">
        <f>IFERROR(__xludf.DUMMYFUNCTION("""COMPUTED_VALUE"""),79.0)</f>
        <v>79</v>
      </c>
    </row>
    <row r="294">
      <c r="A294" s="30" t="s">
        <v>171</v>
      </c>
      <c r="B294" s="30">
        <f>IFERROR(__xludf.DUMMYFUNCTION("""COMPUTED_VALUE"""),78.0)</f>
        <v>78</v>
      </c>
      <c r="C294" s="30"/>
      <c r="D294" s="30"/>
      <c r="E294" s="30"/>
      <c r="F294" s="30"/>
      <c r="G294" s="30"/>
      <c r="H294" s="30"/>
      <c r="I294" s="30"/>
      <c r="J294" s="30">
        <f>IFERROR(__xludf.DUMMYFUNCTION("""COMPUTED_VALUE"""),-11.059343513011441)</f>
        <v>-11.05934351</v>
      </c>
      <c r="K294" s="30"/>
      <c r="L294" s="30"/>
      <c r="M294" s="30"/>
      <c r="N294" s="30"/>
      <c r="O294" s="30">
        <f>IFERROR(__xludf.DUMMYFUNCTION("""COMPUTED_VALUE"""),-2.630874715592867)</f>
        <v>-2.630874716</v>
      </c>
      <c r="P294" s="30">
        <f>IFERROR(__xludf.DUMMYFUNCTION("""COMPUTED_VALUE"""),4.463999088063446)</f>
        <v>4.463999088</v>
      </c>
      <c r="Q294" s="30"/>
      <c r="R294" s="30"/>
      <c r="S294" s="30"/>
      <c r="T294" s="30"/>
      <c r="U294" s="30">
        <v>0.0</v>
      </c>
      <c r="V294" s="30"/>
      <c r="W294" s="30"/>
      <c r="X294" s="30"/>
      <c r="Y294" s="5">
        <f>IFERROR(__xludf.DUMMYFUNCTION("""COMPUTED_VALUE"""),78.0)</f>
        <v>78</v>
      </c>
      <c r="Z294" s="5">
        <f>IFERROR(__xludf.DUMMYFUNCTION("""COMPUTED_VALUE"""),78.0)</f>
        <v>78</v>
      </c>
    </row>
    <row r="295">
      <c r="A295" s="30" t="s">
        <v>1498</v>
      </c>
      <c r="B295" s="30">
        <f>IFERROR(__xludf.DUMMYFUNCTION("""COMPUTED_VALUE"""),80.0)</f>
        <v>80</v>
      </c>
      <c r="C295" s="30"/>
      <c r="D295" s="30"/>
      <c r="E295" s="30"/>
      <c r="F295" s="30"/>
      <c r="G295" s="30"/>
      <c r="H295" s="30"/>
      <c r="I295" s="30"/>
      <c r="J295" s="30">
        <f>IFERROR(__xludf.DUMMYFUNCTION("""COMPUTED_VALUE"""),-11.059343513011441)</f>
        <v>-11.05934351</v>
      </c>
      <c r="K295" s="30"/>
      <c r="L295" s="30"/>
      <c r="M295" s="30"/>
      <c r="N295" s="30"/>
      <c r="O295" s="30">
        <f>IFERROR(__xludf.DUMMYFUNCTION("""COMPUTED_VALUE"""),-2.630874715592867)</f>
        <v>-2.630874716</v>
      </c>
      <c r="P295" s="30">
        <f>IFERROR(__xludf.DUMMYFUNCTION("""COMPUTED_VALUE"""),4.463999088063446)</f>
        <v>4.463999088</v>
      </c>
      <c r="Q295" s="30"/>
      <c r="R295" s="30"/>
      <c r="S295" s="30"/>
      <c r="T295" s="30"/>
      <c r="U295" s="30">
        <v>0.0</v>
      </c>
      <c r="V295" s="30"/>
      <c r="W295" s="30"/>
      <c r="X295" s="30"/>
      <c r="Y295" s="5">
        <f>IFERROR(__xludf.DUMMYFUNCTION("""COMPUTED_VALUE"""),80.0)</f>
        <v>80</v>
      </c>
      <c r="Z295" s="5">
        <f>IFERROR(__xludf.DUMMYFUNCTION("""COMPUTED_VALUE"""),80.0)</f>
        <v>80</v>
      </c>
    </row>
    <row r="296">
      <c r="A296" s="30" t="s">
        <v>1499</v>
      </c>
      <c r="B296" s="30">
        <f>IFERROR(__xludf.DUMMYFUNCTION("""COMPUTED_VALUE"""),79.0)</f>
        <v>79</v>
      </c>
      <c r="C296" s="30"/>
      <c r="D296" s="30"/>
      <c r="E296" s="30"/>
      <c r="F296" s="30"/>
      <c r="G296" s="30"/>
      <c r="H296" s="30"/>
      <c r="I296" s="30"/>
      <c r="J296" s="30">
        <f>IFERROR(__xludf.DUMMYFUNCTION("""COMPUTED_VALUE"""),-11.059343513011441)</f>
        <v>-11.05934351</v>
      </c>
      <c r="K296" s="30"/>
      <c r="L296" s="30"/>
      <c r="M296" s="30"/>
      <c r="N296" s="30"/>
      <c r="O296" s="30">
        <f>IFERROR(__xludf.DUMMYFUNCTION("""COMPUTED_VALUE"""),-2.630874715592867)</f>
        <v>-2.630874716</v>
      </c>
      <c r="P296" s="30">
        <f>IFERROR(__xludf.DUMMYFUNCTION("""COMPUTED_VALUE"""),4.463999088063446)</f>
        <v>4.463999088</v>
      </c>
      <c r="Q296" s="30"/>
      <c r="R296" s="30"/>
      <c r="S296" s="30"/>
      <c r="T296" s="30"/>
      <c r="U296" s="30">
        <v>0.0</v>
      </c>
      <c r="V296" s="30"/>
      <c r="W296" s="30"/>
      <c r="X296" s="30"/>
      <c r="Y296" s="5">
        <f>IFERROR(__xludf.DUMMYFUNCTION("""COMPUTED_VALUE"""),79.0)</f>
        <v>79</v>
      </c>
      <c r="Z296" s="5">
        <f>IFERROR(__xludf.DUMMYFUNCTION("""COMPUTED_VALUE"""),79.0)</f>
        <v>79</v>
      </c>
    </row>
    <row r="297">
      <c r="A297" s="30" t="s">
        <v>1500</v>
      </c>
      <c r="B297" s="30">
        <f>IFERROR(__xludf.DUMMYFUNCTION("""COMPUTED_VALUE"""),80.0)</f>
        <v>80</v>
      </c>
      <c r="C297" s="30"/>
      <c r="D297" s="30"/>
      <c r="E297" s="30"/>
      <c r="F297" s="30"/>
      <c r="G297" s="30"/>
      <c r="H297" s="30"/>
      <c r="I297" s="30"/>
      <c r="J297" s="30">
        <f>IFERROR(__xludf.DUMMYFUNCTION("""COMPUTED_VALUE"""),-11.059343513011441)</f>
        <v>-11.05934351</v>
      </c>
      <c r="K297" s="30"/>
      <c r="L297" s="30"/>
      <c r="M297" s="30"/>
      <c r="N297" s="30"/>
      <c r="O297" s="30">
        <f>IFERROR(__xludf.DUMMYFUNCTION("""COMPUTED_VALUE"""),-2.630874715592867)</f>
        <v>-2.630874716</v>
      </c>
      <c r="P297" s="30">
        <f>IFERROR(__xludf.DUMMYFUNCTION("""COMPUTED_VALUE"""),4.463999088063446)</f>
        <v>4.463999088</v>
      </c>
      <c r="Q297" s="30"/>
      <c r="R297" s="30"/>
      <c r="S297" s="30"/>
      <c r="T297" s="30"/>
      <c r="U297" s="30">
        <v>0.0</v>
      </c>
      <c r="V297" s="30"/>
      <c r="W297" s="30"/>
      <c r="X297" s="30"/>
      <c r="Y297" s="5">
        <f>IFERROR(__xludf.DUMMYFUNCTION("""COMPUTED_VALUE"""),80.0)</f>
        <v>80</v>
      </c>
      <c r="Z297" s="5">
        <f>IFERROR(__xludf.DUMMYFUNCTION("""COMPUTED_VALUE"""),80.0)</f>
        <v>80</v>
      </c>
    </row>
    <row r="298">
      <c r="A298" s="30" t="s">
        <v>1501</v>
      </c>
      <c r="B298" s="30">
        <f>IFERROR(__xludf.DUMMYFUNCTION("""COMPUTED_VALUE"""),80.0)</f>
        <v>80</v>
      </c>
      <c r="C298" s="30"/>
      <c r="D298" s="30"/>
      <c r="E298" s="30"/>
      <c r="F298" s="30"/>
      <c r="G298" s="30"/>
      <c r="H298" s="30"/>
      <c r="I298" s="30"/>
      <c r="J298" s="30">
        <f>IFERROR(__xludf.DUMMYFUNCTION("""COMPUTED_VALUE"""),-11.059343513011441)</f>
        <v>-11.05934351</v>
      </c>
      <c r="K298" s="30"/>
      <c r="L298" s="30"/>
      <c r="M298" s="30"/>
      <c r="N298" s="30"/>
      <c r="O298" s="30">
        <f>IFERROR(__xludf.DUMMYFUNCTION("""COMPUTED_VALUE"""),-2.630874715592867)</f>
        <v>-2.630874716</v>
      </c>
      <c r="P298" s="30">
        <f>IFERROR(__xludf.DUMMYFUNCTION("""COMPUTED_VALUE"""),4.463999088063446)</f>
        <v>4.463999088</v>
      </c>
      <c r="Q298" s="30"/>
      <c r="R298" s="30"/>
      <c r="S298" s="30"/>
      <c r="T298" s="30"/>
      <c r="U298" s="30">
        <v>0.0</v>
      </c>
      <c r="V298" s="30"/>
      <c r="W298" s="30"/>
      <c r="X298" s="30"/>
      <c r="Y298" s="5">
        <f>IFERROR(__xludf.DUMMYFUNCTION("""COMPUTED_VALUE"""),80.0)</f>
        <v>80</v>
      </c>
      <c r="Z298" s="5">
        <f>IFERROR(__xludf.DUMMYFUNCTION("""COMPUTED_VALUE"""),80.0)</f>
        <v>80</v>
      </c>
    </row>
    <row r="299">
      <c r="A299" s="30" t="s">
        <v>1502</v>
      </c>
      <c r="B299" s="30">
        <f>IFERROR(__xludf.DUMMYFUNCTION("""COMPUTED_VALUE"""),79.0)</f>
        <v>79</v>
      </c>
      <c r="C299" s="30"/>
      <c r="D299" s="30"/>
      <c r="E299" s="30"/>
      <c r="F299" s="30"/>
      <c r="G299" s="30"/>
      <c r="H299" s="30"/>
      <c r="I299" s="30"/>
      <c r="J299" s="30">
        <f>IFERROR(__xludf.DUMMYFUNCTION("""COMPUTED_VALUE"""),-11.059343513011441)</f>
        <v>-11.05934351</v>
      </c>
      <c r="K299" s="30"/>
      <c r="L299" s="30"/>
      <c r="M299" s="30"/>
      <c r="N299" s="30"/>
      <c r="O299" s="30">
        <f>IFERROR(__xludf.DUMMYFUNCTION("""COMPUTED_VALUE"""),-2.630874715592867)</f>
        <v>-2.630874716</v>
      </c>
      <c r="P299" s="30">
        <f>IFERROR(__xludf.DUMMYFUNCTION("""COMPUTED_VALUE"""),4.463999088063446)</f>
        <v>4.463999088</v>
      </c>
      <c r="Q299" s="30"/>
      <c r="R299" s="30"/>
      <c r="S299" s="30"/>
      <c r="T299" s="30"/>
      <c r="U299" s="30">
        <v>0.0</v>
      </c>
      <c r="V299" s="30"/>
      <c r="W299" s="30"/>
      <c r="X299" s="30"/>
      <c r="Y299" s="5">
        <f>IFERROR(__xludf.DUMMYFUNCTION("""COMPUTED_VALUE"""),79.0)</f>
        <v>79</v>
      </c>
      <c r="Z299" s="5">
        <f>IFERROR(__xludf.DUMMYFUNCTION("""COMPUTED_VALUE"""),79.0)</f>
        <v>79</v>
      </c>
    </row>
    <row r="300">
      <c r="A300" s="30" t="s">
        <v>626</v>
      </c>
      <c r="B300" s="30">
        <f>IFERROR(__xludf.DUMMYFUNCTION("""COMPUTED_VALUE"""),79.0)</f>
        <v>79</v>
      </c>
      <c r="C300" s="30"/>
      <c r="D300" s="30"/>
      <c r="E300" s="30"/>
      <c r="F300" s="30"/>
      <c r="G300" s="30"/>
      <c r="H300" s="30"/>
      <c r="I300" s="30"/>
      <c r="J300" s="30">
        <f>IFERROR(__xludf.DUMMYFUNCTION("""COMPUTED_VALUE"""),-11.059343513011441)</f>
        <v>-11.05934351</v>
      </c>
      <c r="K300" s="30"/>
      <c r="L300" s="30"/>
      <c r="M300" s="30"/>
      <c r="N300" s="30"/>
      <c r="O300" s="30">
        <f>IFERROR(__xludf.DUMMYFUNCTION("""COMPUTED_VALUE"""),-2.630874715592867)</f>
        <v>-2.630874716</v>
      </c>
      <c r="P300" s="30">
        <f>IFERROR(__xludf.DUMMYFUNCTION("""COMPUTED_VALUE"""),4.463999088063446)</f>
        <v>4.463999088</v>
      </c>
      <c r="Q300" s="30"/>
      <c r="R300" s="30"/>
      <c r="S300" s="30"/>
      <c r="T300" s="30"/>
      <c r="U300" s="30">
        <v>0.0</v>
      </c>
      <c r="V300" s="30"/>
      <c r="W300" s="30"/>
      <c r="X300" s="30"/>
      <c r="Y300" s="5">
        <f>IFERROR(__xludf.DUMMYFUNCTION("""COMPUTED_VALUE"""),79.0)</f>
        <v>79</v>
      </c>
      <c r="Z300" s="5">
        <f>IFERROR(__xludf.DUMMYFUNCTION("""COMPUTED_VALUE"""),79.0)</f>
        <v>79</v>
      </c>
    </row>
    <row r="301">
      <c r="A301" s="30" t="s">
        <v>1503</v>
      </c>
      <c r="B301" s="30">
        <f>IFERROR(__xludf.DUMMYFUNCTION("""COMPUTED_VALUE"""),80.0)</f>
        <v>80</v>
      </c>
      <c r="C301" s="30"/>
      <c r="D301" s="30"/>
      <c r="E301" s="30"/>
      <c r="F301" s="30"/>
      <c r="G301" s="30"/>
      <c r="H301" s="30"/>
      <c r="I301" s="30"/>
      <c r="J301" s="30">
        <f>IFERROR(__xludf.DUMMYFUNCTION("""COMPUTED_VALUE"""),-11.059343513011441)</f>
        <v>-11.05934351</v>
      </c>
      <c r="K301" s="30"/>
      <c r="L301" s="30"/>
      <c r="M301" s="30"/>
      <c r="N301" s="30"/>
      <c r="O301" s="30">
        <f>IFERROR(__xludf.DUMMYFUNCTION("""COMPUTED_VALUE"""),-2.630874715592867)</f>
        <v>-2.630874716</v>
      </c>
      <c r="P301" s="30">
        <f>IFERROR(__xludf.DUMMYFUNCTION("""COMPUTED_VALUE"""),4.463999088063446)</f>
        <v>4.463999088</v>
      </c>
      <c r="Q301" s="30"/>
      <c r="R301" s="30"/>
      <c r="S301" s="30"/>
      <c r="T301" s="30"/>
      <c r="U301" s="30">
        <v>0.0</v>
      </c>
      <c r="V301" s="30"/>
      <c r="W301" s="30"/>
      <c r="X301" s="30"/>
      <c r="Y301" s="5">
        <f>IFERROR(__xludf.DUMMYFUNCTION("""COMPUTED_VALUE"""),80.0)</f>
        <v>80</v>
      </c>
      <c r="Z301" s="5">
        <f>IFERROR(__xludf.DUMMYFUNCTION("""COMPUTED_VALUE"""),80.0)</f>
        <v>80</v>
      </c>
    </row>
    <row r="302">
      <c r="A302" s="30" t="s">
        <v>194</v>
      </c>
      <c r="B302" s="30">
        <f>IFERROR(__xludf.DUMMYFUNCTION("""COMPUTED_VALUE"""),80.0)</f>
        <v>80</v>
      </c>
      <c r="C302" s="30"/>
      <c r="D302" s="30"/>
      <c r="E302" s="30"/>
      <c r="F302" s="30"/>
      <c r="G302" s="30"/>
      <c r="H302" s="30"/>
      <c r="I302" s="30"/>
      <c r="J302" s="30">
        <f>IFERROR(__xludf.DUMMYFUNCTION("""COMPUTED_VALUE"""),-11.059343513011441)</f>
        <v>-11.05934351</v>
      </c>
      <c r="K302" s="30"/>
      <c r="L302" s="30"/>
      <c r="M302" s="30"/>
      <c r="N302" s="30"/>
      <c r="O302" s="30">
        <f>IFERROR(__xludf.DUMMYFUNCTION("""COMPUTED_VALUE"""),-2.630874715592867)</f>
        <v>-2.630874716</v>
      </c>
      <c r="P302" s="30">
        <f>IFERROR(__xludf.DUMMYFUNCTION("""COMPUTED_VALUE"""),4.463999088063446)</f>
        <v>4.463999088</v>
      </c>
      <c r="Q302" s="30"/>
      <c r="R302" s="30"/>
      <c r="S302" s="30"/>
      <c r="T302" s="30"/>
      <c r="U302" s="30">
        <v>0.0</v>
      </c>
      <c r="V302" s="30"/>
      <c r="W302" s="30"/>
      <c r="X302" s="30"/>
      <c r="Y302" s="5">
        <f>IFERROR(__xludf.DUMMYFUNCTION("""COMPUTED_VALUE"""),80.0)</f>
        <v>80</v>
      </c>
      <c r="Z302" s="5">
        <f>IFERROR(__xludf.DUMMYFUNCTION("""COMPUTED_VALUE"""),80.0)</f>
        <v>80</v>
      </c>
    </row>
    <row r="303">
      <c r="A303" s="30" t="s">
        <v>1504</v>
      </c>
      <c r="B303" s="30">
        <f>IFERROR(__xludf.DUMMYFUNCTION("""COMPUTED_VALUE"""),80.0)</f>
        <v>80</v>
      </c>
      <c r="C303" s="30"/>
      <c r="D303" s="30"/>
      <c r="E303" s="30"/>
      <c r="F303" s="30"/>
      <c r="G303" s="30"/>
      <c r="H303" s="30"/>
      <c r="I303" s="30"/>
      <c r="J303" s="30">
        <f>IFERROR(__xludf.DUMMYFUNCTION("""COMPUTED_VALUE"""),-11.059343513011441)</f>
        <v>-11.05934351</v>
      </c>
      <c r="K303" s="30"/>
      <c r="L303" s="30"/>
      <c r="M303" s="30"/>
      <c r="N303" s="30"/>
      <c r="O303" s="30">
        <f>IFERROR(__xludf.DUMMYFUNCTION("""COMPUTED_VALUE"""),-2.630874715592867)</f>
        <v>-2.630874716</v>
      </c>
      <c r="P303" s="30">
        <f>IFERROR(__xludf.DUMMYFUNCTION("""COMPUTED_VALUE"""),4.463999088063446)</f>
        <v>4.463999088</v>
      </c>
      <c r="Q303" s="30"/>
      <c r="R303" s="30"/>
      <c r="S303" s="30"/>
      <c r="T303" s="30"/>
      <c r="U303" s="30">
        <v>0.0</v>
      </c>
      <c r="V303" s="30"/>
      <c r="W303" s="30"/>
      <c r="X303" s="30"/>
      <c r="Y303" s="5">
        <f>IFERROR(__xludf.DUMMYFUNCTION("""COMPUTED_VALUE"""),80.0)</f>
        <v>80</v>
      </c>
      <c r="Z303" s="5">
        <f>IFERROR(__xludf.DUMMYFUNCTION("""COMPUTED_VALUE"""),80.0)</f>
        <v>80</v>
      </c>
    </row>
    <row r="304">
      <c r="A304" s="30" t="s">
        <v>1505</v>
      </c>
      <c r="B304" s="30">
        <f>IFERROR(__xludf.DUMMYFUNCTION("""COMPUTED_VALUE"""),79.0)</f>
        <v>79</v>
      </c>
      <c r="C304" s="30"/>
      <c r="D304" s="30"/>
      <c r="E304" s="30"/>
      <c r="F304" s="30"/>
      <c r="G304" s="30"/>
      <c r="H304" s="30"/>
      <c r="I304" s="30"/>
      <c r="J304" s="30">
        <f>IFERROR(__xludf.DUMMYFUNCTION("""COMPUTED_VALUE"""),-11.059343513011441)</f>
        <v>-11.05934351</v>
      </c>
      <c r="K304" s="30"/>
      <c r="L304" s="30"/>
      <c r="M304" s="30"/>
      <c r="N304" s="30"/>
      <c r="O304" s="30">
        <f>IFERROR(__xludf.DUMMYFUNCTION("""COMPUTED_VALUE"""),-2.630874715592867)</f>
        <v>-2.630874716</v>
      </c>
      <c r="P304" s="30">
        <f>IFERROR(__xludf.DUMMYFUNCTION("""COMPUTED_VALUE"""),4.463999088063446)</f>
        <v>4.463999088</v>
      </c>
      <c r="Q304" s="30"/>
      <c r="R304" s="30"/>
      <c r="S304" s="30"/>
      <c r="T304" s="30"/>
      <c r="U304" s="30">
        <v>0.0</v>
      </c>
      <c r="V304" s="30"/>
      <c r="W304" s="30"/>
      <c r="X304" s="30"/>
      <c r="Y304" s="5">
        <f>IFERROR(__xludf.DUMMYFUNCTION("""COMPUTED_VALUE"""),79.0)</f>
        <v>79</v>
      </c>
      <c r="Z304" s="5">
        <f>IFERROR(__xludf.DUMMYFUNCTION("""COMPUTED_VALUE"""),79.0)</f>
        <v>79</v>
      </c>
    </row>
    <row r="305">
      <c r="A305" s="30" t="s">
        <v>510</v>
      </c>
      <c r="B305" s="30">
        <f>IFERROR(__xludf.DUMMYFUNCTION("""COMPUTED_VALUE"""),72.0)</f>
        <v>72</v>
      </c>
      <c r="C305" s="30"/>
      <c r="D305" s="30"/>
      <c r="E305" s="30"/>
      <c r="F305" s="30"/>
      <c r="G305" s="30"/>
      <c r="H305" s="30"/>
      <c r="I305" s="30"/>
      <c r="J305" s="30">
        <f>IFERROR(__xludf.DUMMYFUNCTION("""COMPUTED_VALUE"""),-11.059343513011441)</f>
        <v>-11.05934351</v>
      </c>
      <c r="K305" s="30"/>
      <c r="L305" s="30"/>
      <c r="M305" s="30"/>
      <c r="N305" s="30"/>
      <c r="O305" s="30">
        <f>IFERROR(__xludf.DUMMYFUNCTION("""COMPUTED_VALUE"""),-2.630874715592867)</f>
        <v>-2.630874716</v>
      </c>
      <c r="P305" s="30">
        <f>IFERROR(__xludf.DUMMYFUNCTION("""COMPUTED_VALUE"""),4.463999088063446)</f>
        <v>4.463999088</v>
      </c>
      <c r="Q305" s="30"/>
      <c r="R305" s="30"/>
      <c r="S305" s="30"/>
      <c r="T305" s="30"/>
      <c r="U305" s="30">
        <v>0.0</v>
      </c>
      <c r="V305" s="30"/>
      <c r="W305" s="30"/>
      <c r="X305" s="30"/>
      <c r="Y305" s="5">
        <f>IFERROR(__xludf.DUMMYFUNCTION("""COMPUTED_VALUE"""),72.0)</f>
        <v>72</v>
      </c>
      <c r="Z305" s="5">
        <f>IFERROR(__xludf.DUMMYFUNCTION("""COMPUTED_VALUE"""),72.0)</f>
        <v>72</v>
      </c>
    </row>
    <row r="306">
      <c r="A306" s="30" t="s">
        <v>1506</v>
      </c>
      <c r="B306" s="30">
        <f>IFERROR(__xludf.DUMMYFUNCTION("""COMPUTED_VALUE"""),77.0)</f>
        <v>77</v>
      </c>
      <c r="C306" s="30"/>
      <c r="D306" s="30"/>
      <c r="E306" s="30"/>
      <c r="F306" s="30"/>
      <c r="G306" s="30"/>
      <c r="H306" s="30"/>
      <c r="I306" s="30"/>
      <c r="J306" s="30">
        <f>IFERROR(__xludf.DUMMYFUNCTION("""COMPUTED_VALUE"""),-11.059343513011441)</f>
        <v>-11.05934351</v>
      </c>
      <c r="K306" s="30"/>
      <c r="L306" s="30"/>
      <c r="M306" s="30"/>
      <c r="N306" s="30"/>
      <c r="O306" s="30">
        <f>IFERROR(__xludf.DUMMYFUNCTION("""COMPUTED_VALUE"""),-2.630874715592867)</f>
        <v>-2.630874716</v>
      </c>
      <c r="P306" s="30">
        <f>IFERROR(__xludf.DUMMYFUNCTION("""COMPUTED_VALUE"""),4.463999088063446)</f>
        <v>4.463999088</v>
      </c>
      <c r="Q306" s="30"/>
      <c r="R306" s="30"/>
      <c r="S306" s="30"/>
      <c r="T306" s="30"/>
      <c r="U306" s="30">
        <v>0.0</v>
      </c>
      <c r="V306" s="30"/>
      <c r="W306" s="30"/>
      <c r="X306" s="30"/>
      <c r="Y306" s="5">
        <f>IFERROR(__xludf.DUMMYFUNCTION("""COMPUTED_VALUE"""),77.0)</f>
        <v>77</v>
      </c>
      <c r="Z306" s="5">
        <f>IFERROR(__xludf.DUMMYFUNCTION("""COMPUTED_VALUE"""),77.0)</f>
        <v>77</v>
      </c>
    </row>
    <row r="307">
      <c r="A307" s="30" t="s">
        <v>1507</v>
      </c>
      <c r="B307" s="30">
        <f>IFERROR(__xludf.DUMMYFUNCTION("""COMPUTED_VALUE"""),78.0)</f>
        <v>78</v>
      </c>
      <c r="C307" s="30"/>
      <c r="D307" s="30"/>
      <c r="E307" s="30"/>
      <c r="F307" s="30"/>
      <c r="G307" s="30"/>
      <c r="H307" s="30"/>
      <c r="I307" s="30"/>
      <c r="J307" s="30">
        <f>IFERROR(__xludf.DUMMYFUNCTION("""COMPUTED_VALUE"""),-11.059343513011441)</f>
        <v>-11.05934351</v>
      </c>
      <c r="K307" s="30"/>
      <c r="L307" s="30"/>
      <c r="M307" s="30"/>
      <c r="N307" s="30"/>
      <c r="O307" s="30">
        <f>IFERROR(__xludf.DUMMYFUNCTION("""COMPUTED_VALUE"""),-2.630874715592867)</f>
        <v>-2.630874716</v>
      </c>
      <c r="P307" s="30">
        <f>IFERROR(__xludf.DUMMYFUNCTION("""COMPUTED_VALUE"""),4.463999088063446)</f>
        <v>4.463999088</v>
      </c>
      <c r="Q307" s="30"/>
      <c r="R307" s="30"/>
      <c r="S307" s="30"/>
      <c r="T307" s="30"/>
      <c r="U307" s="30">
        <v>0.0</v>
      </c>
      <c r="V307" s="30"/>
      <c r="W307" s="30"/>
      <c r="X307" s="30"/>
      <c r="Y307" s="5">
        <f>IFERROR(__xludf.DUMMYFUNCTION("""COMPUTED_VALUE"""),78.0)</f>
        <v>78</v>
      </c>
      <c r="Z307" s="5">
        <f>IFERROR(__xludf.DUMMYFUNCTION("""COMPUTED_VALUE"""),78.0)</f>
        <v>78</v>
      </c>
    </row>
    <row r="308">
      <c r="A308" s="30" t="s">
        <v>1508</v>
      </c>
      <c r="B308" s="30">
        <f>IFERROR(__xludf.DUMMYFUNCTION("""COMPUTED_VALUE"""),78.0)</f>
        <v>78</v>
      </c>
      <c r="C308" s="30"/>
      <c r="D308" s="30"/>
      <c r="E308" s="30"/>
      <c r="F308" s="30"/>
      <c r="G308" s="30"/>
      <c r="H308" s="30"/>
      <c r="I308" s="30"/>
      <c r="J308" s="30">
        <f>IFERROR(__xludf.DUMMYFUNCTION("""COMPUTED_VALUE"""),-11.059343513011441)</f>
        <v>-11.05934351</v>
      </c>
      <c r="K308" s="30"/>
      <c r="L308" s="30"/>
      <c r="M308" s="30"/>
      <c r="N308" s="30"/>
      <c r="O308" s="30">
        <f>IFERROR(__xludf.DUMMYFUNCTION("""COMPUTED_VALUE"""),-2.630874715592867)</f>
        <v>-2.630874716</v>
      </c>
      <c r="P308" s="30">
        <f>IFERROR(__xludf.DUMMYFUNCTION("""COMPUTED_VALUE"""),4.463999088063446)</f>
        <v>4.463999088</v>
      </c>
      <c r="Q308" s="30"/>
      <c r="R308" s="30"/>
      <c r="S308" s="30"/>
      <c r="T308" s="30"/>
      <c r="U308" s="30">
        <v>0.0</v>
      </c>
      <c r="V308" s="30"/>
      <c r="W308" s="30"/>
      <c r="X308" s="30"/>
      <c r="Y308" s="5">
        <f>IFERROR(__xludf.DUMMYFUNCTION("""COMPUTED_VALUE"""),78.0)</f>
        <v>78</v>
      </c>
      <c r="Z308" s="5">
        <f>IFERROR(__xludf.DUMMYFUNCTION("""COMPUTED_VALUE"""),78.0)</f>
        <v>78</v>
      </c>
    </row>
    <row r="309">
      <c r="A309" s="30" t="s">
        <v>1509</v>
      </c>
      <c r="B309" s="30">
        <f>IFERROR(__xludf.DUMMYFUNCTION("""COMPUTED_VALUE"""),79.0)</f>
        <v>79</v>
      </c>
      <c r="C309" s="30"/>
      <c r="D309" s="30"/>
      <c r="E309" s="30"/>
      <c r="F309" s="30"/>
      <c r="G309" s="30"/>
      <c r="H309" s="30"/>
      <c r="I309" s="30"/>
      <c r="J309" s="30">
        <f>IFERROR(__xludf.DUMMYFUNCTION("""COMPUTED_VALUE"""),-11.059343513011441)</f>
        <v>-11.05934351</v>
      </c>
      <c r="K309" s="30"/>
      <c r="L309" s="30"/>
      <c r="M309" s="30"/>
      <c r="N309" s="30"/>
      <c r="O309" s="30">
        <f>IFERROR(__xludf.DUMMYFUNCTION("""COMPUTED_VALUE"""),-2.630874715592867)</f>
        <v>-2.630874716</v>
      </c>
      <c r="P309" s="30">
        <f>IFERROR(__xludf.DUMMYFUNCTION("""COMPUTED_VALUE"""),4.463999088063446)</f>
        <v>4.463999088</v>
      </c>
      <c r="Q309" s="30"/>
      <c r="R309" s="30"/>
      <c r="S309" s="30"/>
      <c r="T309" s="30"/>
      <c r="U309" s="30">
        <v>0.0</v>
      </c>
      <c r="V309" s="30"/>
      <c r="W309" s="30"/>
      <c r="X309" s="30"/>
      <c r="Y309" s="5">
        <f>IFERROR(__xludf.DUMMYFUNCTION("""COMPUTED_VALUE"""),79.0)</f>
        <v>79</v>
      </c>
      <c r="Z309" s="5">
        <f>IFERROR(__xludf.DUMMYFUNCTION("""COMPUTED_VALUE"""),79.0)</f>
        <v>79</v>
      </c>
    </row>
    <row r="310">
      <c r="A310" s="30" t="s">
        <v>736</v>
      </c>
      <c r="B310" s="30">
        <f>IFERROR(__xludf.DUMMYFUNCTION("""COMPUTED_VALUE"""),80.0)</f>
        <v>80</v>
      </c>
      <c r="C310" s="30"/>
      <c r="D310" s="30"/>
      <c r="E310" s="30"/>
      <c r="F310" s="30"/>
      <c r="G310" s="30"/>
      <c r="H310" s="30"/>
      <c r="I310" s="30"/>
      <c r="J310" s="30">
        <f>IFERROR(__xludf.DUMMYFUNCTION("""COMPUTED_VALUE"""),-11.059343513011441)</f>
        <v>-11.05934351</v>
      </c>
      <c r="K310" s="30"/>
      <c r="L310" s="30"/>
      <c r="M310" s="30"/>
      <c r="N310" s="30"/>
      <c r="O310" s="30">
        <f>IFERROR(__xludf.DUMMYFUNCTION("""COMPUTED_VALUE"""),-2.630874715592867)</f>
        <v>-2.630874716</v>
      </c>
      <c r="P310" s="30">
        <f>IFERROR(__xludf.DUMMYFUNCTION("""COMPUTED_VALUE"""),4.463999088063446)</f>
        <v>4.463999088</v>
      </c>
      <c r="Q310" s="30"/>
      <c r="R310" s="30"/>
      <c r="S310" s="30"/>
      <c r="T310" s="30"/>
      <c r="U310" s="30">
        <v>0.0</v>
      </c>
      <c r="V310" s="30"/>
      <c r="W310" s="30"/>
      <c r="X310" s="30"/>
      <c r="Y310" s="5">
        <f>IFERROR(__xludf.DUMMYFUNCTION("""COMPUTED_VALUE"""),80.0)</f>
        <v>80</v>
      </c>
      <c r="Z310" s="5">
        <f>IFERROR(__xludf.DUMMYFUNCTION("""COMPUTED_VALUE"""),80.0)</f>
        <v>80</v>
      </c>
    </row>
    <row r="311">
      <c r="A311" s="30" t="s">
        <v>1514</v>
      </c>
      <c r="B311" s="30">
        <f>IFERROR(__xludf.DUMMYFUNCTION("""COMPUTED_VALUE"""),78.0)</f>
        <v>78</v>
      </c>
      <c r="C311" s="30"/>
      <c r="D311" s="30"/>
      <c r="E311" s="30"/>
      <c r="F311" s="30"/>
      <c r="G311" s="30"/>
      <c r="H311" s="30"/>
      <c r="I311" s="30"/>
      <c r="J311" s="30">
        <f>IFERROR(__xludf.DUMMYFUNCTION("""COMPUTED_VALUE"""),-11.059343513011441)</f>
        <v>-11.05934351</v>
      </c>
      <c r="K311" s="30"/>
      <c r="L311" s="30"/>
      <c r="M311" s="30"/>
      <c r="N311" s="30"/>
      <c r="O311" s="30">
        <f>IFERROR(__xludf.DUMMYFUNCTION("""COMPUTED_VALUE"""),-2.630874715592867)</f>
        <v>-2.630874716</v>
      </c>
      <c r="P311" s="30">
        <f>IFERROR(__xludf.DUMMYFUNCTION("""COMPUTED_VALUE"""),4.463999088063446)</f>
        <v>4.463999088</v>
      </c>
      <c r="Q311" s="30"/>
      <c r="R311" s="30"/>
      <c r="S311" s="30"/>
      <c r="T311" s="30"/>
      <c r="U311" s="30">
        <v>0.0</v>
      </c>
      <c r="V311" s="30"/>
      <c r="W311" s="30"/>
      <c r="X311" s="30"/>
      <c r="Y311" s="5">
        <f>IFERROR(__xludf.DUMMYFUNCTION("""COMPUTED_VALUE"""),78.0)</f>
        <v>78</v>
      </c>
      <c r="Z311" s="5">
        <f>IFERROR(__xludf.DUMMYFUNCTION("""COMPUTED_VALUE"""),78.0)</f>
        <v>78</v>
      </c>
    </row>
    <row r="312">
      <c r="A312" s="30" t="s">
        <v>1515</v>
      </c>
      <c r="B312" s="30">
        <f>IFERROR(__xludf.DUMMYFUNCTION("""COMPUTED_VALUE"""),80.0)</f>
        <v>80</v>
      </c>
      <c r="C312" s="30"/>
      <c r="D312" s="30"/>
      <c r="E312" s="30"/>
      <c r="F312" s="30"/>
      <c r="G312" s="30"/>
      <c r="H312" s="30"/>
      <c r="I312" s="30"/>
      <c r="J312" s="30">
        <f>IFERROR(__xludf.DUMMYFUNCTION("""COMPUTED_VALUE"""),-11.059343513011441)</f>
        <v>-11.05934351</v>
      </c>
      <c r="K312" s="30"/>
      <c r="L312" s="30"/>
      <c r="M312" s="30"/>
      <c r="N312" s="30"/>
      <c r="O312" s="30">
        <f>IFERROR(__xludf.DUMMYFUNCTION("""COMPUTED_VALUE"""),-2.630874715592867)</f>
        <v>-2.630874716</v>
      </c>
      <c r="P312" s="30">
        <f>IFERROR(__xludf.DUMMYFUNCTION("""COMPUTED_VALUE"""),4.463999088063446)</f>
        <v>4.463999088</v>
      </c>
      <c r="Q312" s="30"/>
      <c r="R312" s="30"/>
      <c r="S312" s="30"/>
      <c r="T312" s="30"/>
      <c r="U312" s="30">
        <v>0.0</v>
      </c>
      <c r="V312" s="30"/>
      <c r="W312" s="30"/>
      <c r="X312" s="30"/>
      <c r="Y312" s="5">
        <f>IFERROR(__xludf.DUMMYFUNCTION("""COMPUTED_VALUE"""),80.0)</f>
        <v>80</v>
      </c>
      <c r="Z312" s="5">
        <f>IFERROR(__xludf.DUMMYFUNCTION("""COMPUTED_VALUE"""),80.0)</f>
        <v>80</v>
      </c>
    </row>
    <row r="313">
      <c r="A313" s="30" t="s">
        <v>1516</v>
      </c>
      <c r="B313" s="30">
        <f>IFERROR(__xludf.DUMMYFUNCTION("""COMPUTED_VALUE"""),80.0)</f>
        <v>80</v>
      </c>
      <c r="C313" s="30"/>
      <c r="D313" s="30"/>
      <c r="E313" s="30"/>
      <c r="F313" s="30"/>
      <c r="G313" s="30"/>
      <c r="H313" s="30"/>
      <c r="I313" s="30"/>
      <c r="J313" s="30">
        <f>IFERROR(__xludf.DUMMYFUNCTION("""COMPUTED_VALUE"""),-11.059343513011441)</f>
        <v>-11.05934351</v>
      </c>
      <c r="K313" s="30"/>
      <c r="L313" s="30"/>
      <c r="M313" s="30"/>
      <c r="N313" s="30"/>
      <c r="O313" s="30">
        <f>IFERROR(__xludf.DUMMYFUNCTION("""COMPUTED_VALUE"""),-2.630874715592867)</f>
        <v>-2.630874716</v>
      </c>
      <c r="P313" s="30">
        <f>IFERROR(__xludf.DUMMYFUNCTION("""COMPUTED_VALUE"""),4.463999088063446)</f>
        <v>4.463999088</v>
      </c>
      <c r="Q313" s="30"/>
      <c r="R313" s="30"/>
      <c r="S313" s="30"/>
      <c r="T313" s="30"/>
      <c r="U313" s="30">
        <v>0.0</v>
      </c>
      <c r="V313" s="30"/>
      <c r="W313" s="30"/>
      <c r="X313" s="30"/>
      <c r="Y313" s="5">
        <f>IFERROR(__xludf.DUMMYFUNCTION("""COMPUTED_VALUE"""),80.0)</f>
        <v>80</v>
      </c>
      <c r="Z313" s="5">
        <f>IFERROR(__xludf.DUMMYFUNCTION("""COMPUTED_VALUE"""),80.0)</f>
        <v>80</v>
      </c>
    </row>
    <row r="314">
      <c r="A314" s="30" t="s">
        <v>1517</v>
      </c>
      <c r="B314" s="30">
        <f>IFERROR(__xludf.DUMMYFUNCTION("""COMPUTED_VALUE"""),80.0)</f>
        <v>80</v>
      </c>
      <c r="C314" s="30"/>
      <c r="D314" s="30"/>
      <c r="E314" s="30"/>
      <c r="F314" s="30"/>
      <c r="G314" s="30"/>
      <c r="H314" s="30"/>
      <c r="I314" s="30"/>
      <c r="J314" s="30">
        <f>IFERROR(__xludf.DUMMYFUNCTION("""COMPUTED_VALUE"""),-11.059343513011441)</f>
        <v>-11.05934351</v>
      </c>
      <c r="K314" s="30"/>
      <c r="L314" s="30"/>
      <c r="M314" s="30"/>
      <c r="N314" s="30"/>
      <c r="O314" s="30">
        <f>IFERROR(__xludf.DUMMYFUNCTION("""COMPUTED_VALUE"""),-2.630874715592867)</f>
        <v>-2.630874716</v>
      </c>
      <c r="P314" s="30">
        <f>IFERROR(__xludf.DUMMYFUNCTION("""COMPUTED_VALUE"""),4.463999088063446)</f>
        <v>4.463999088</v>
      </c>
      <c r="Q314" s="30"/>
      <c r="R314" s="30"/>
      <c r="S314" s="30"/>
      <c r="T314" s="30"/>
      <c r="U314" s="30">
        <v>0.0</v>
      </c>
      <c r="V314" s="30"/>
      <c r="W314" s="30"/>
      <c r="X314" s="30"/>
      <c r="Y314" s="5">
        <f>IFERROR(__xludf.DUMMYFUNCTION("""COMPUTED_VALUE"""),80.0)</f>
        <v>80</v>
      </c>
      <c r="Z314" s="5">
        <f>IFERROR(__xludf.DUMMYFUNCTION("""COMPUTED_VALUE"""),80.0)</f>
        <v>80</v>
      </c>
    </row>
    <row r="315">
      <c r="A315" s="30" t="s">
        <v>1518</v>
      </c>
      <c r="B315" s="30">
        <f>IFERROR(__xludf.DUMMYFUNCTION("""COMPUTED_VALUE"""),80.0)</f>
        <v>80</v>
      </c>
      <c r="C315" s="30"/>
      <c r="D315" s="30"/>
      <c r="E315" s="30"/>
      <c r="F315" s="30"/>
      <c r="G315" s="30"/>
      <c r="H315" s="30"/>
      <c r="I315" s="30"/>
      <c r="J315" s="30">
        <f>IFERROR(__xludf.DUMMYFUNCTION("""COMPUTED_VALUE"""),-11.059343513011441)</f>
        <v>-11.05934351</v>
      </c>
      <c r="K315" s="30"/>
      <c r="L315" s="30"/>
      <c r="M315" s="30"/>
      <c r="N315" s="30"/>
      <c r="O315" s="30">
        <f>IFERROR(__xludf.DUMMYFUNCTION("""COMPUTED_VALUE"""),-2.630874715592867)</f>
        <v>-2.630874716</v>
      </c>
      <c r="P315" s="30">
        <f>IFERROR(__xludf.DUMMYFUNCTION("""COMPUTED_VALUE"""),4.463999088063446)</f>
        <v>4.463999088</v>
      </c>
      <c r="Q315" s="30"/>
      <c r="R315" s="30"/>
      <c r="S315" s="30"/>
      <c r="T315" s="30"/>
      <c r="U315" s="30">
        <v>0.0</v>
      </c>
      <c r="V315" s="30"/>
      <c r="W315" s="30"/>
      <c r="X315" s="30"/>
      <c r="Y315" s="5">
        <f>IFERROR(__xludf.DUMMYFUNCTION("""COMPUTED_VALUE"""),80.0)</f>
        <v>80</v>
      </c>
      <c r="Z315" s="5">
        <f>IFERROR(__xludf.DUMMYFUNCTION("""COMPUTED_VALUE"""),80.0)</f>
        <v>80</v>
      </c>
    </row>
    <row r="316">
      <c r="A316" s="30" t="s">
        <v>1519</v>
      </c>
      <c r="B316" s="30">
        <f>IFERROR(__xludf.DUMMYFUNCTION("""COMPUTED_VALUE"""),80.0)</f>
        <v>80</v>
      </c>
      <c r="C316" s="30"/>
      <c r="D316" s="30"/>
      <c r="E316" s="30"/>
      <c r="F316" s="30"/>
      <c r="G316" s="30"/>
      <c r="H316" s="30"/>
      <c r="I316" s="30"/>
      <c r="J316" s="30">
        <f>IFERROR(__xludf.DUMMYFUNCTION("""COMPUTED_VALUE"""),-11.059343513011441)</f>
        <v>-11.05934351</v>
      </c>
      <c r="K316" s="30"/>
      <c r="L316" s="30"/>
      <c r="M316" s="30"/>
      <c r="N316" s="30"/>
      <c r="O316" s="30">
        <f>IFERROR(__xludf.DUMMYFUNCTION("""COMPUTED_VALUE"""),-2.630874715592867)</f>
        <v>-2.630874716</v>
      </c>
      <c r="P316" s="30">
        <f>IFERROR(__xludf.DUMMYFUNCTION("""COMPUTED_VALUE"""),4.463999088063446)</f>
        <v>4.463999088</v>
      </c>
      <c r="Q316" s="30"/>
      <c r="R316" s="30"/>
      <c r="S316" s="30"/>
      <c r="T316" s="30"/>
      <c r="U316" s="30">
        <v>0.0</v>
      </c>
      <c r="V316" s="30"/>
      <c r="W316" s="30"/>
      <c r="X316" s="30"/>
      <c r="Y316" s="5">
        <f>IFERROR(__xludf.DUMMYFUNCTION("""COMPUTED_VALUE"""),80.0)</f>
        <v>80</v>
      </c>
      <c r="Z316" s="5">
        <f>IFERROR(__xludf.DUMMYFUNCTION("""COMPUTED_VALUE"""),80.0)</f>
        <v>80</v>
      </c>
    </row>
    <row r="317">
      <c r="A317" s="30" t="s">
        <v>1520</v>
      </c>
      <c r="B317" s="30">
        <f>IFERROR(__xludf.DUMMYFUNCTION("""COMPUTED_VALUE"""),80.0)</f>
        <v>80</v>
      </c>
      <c r="C317" s="30"/>
      <c r="D317" s="30"/>
      <c r="E317" s="30"/>
      <c r="F317" s="30"/>
      <c r="G317" s="30"/>
      <c r="H317" s="30"/>
      <c r="I317" s="30"/>
      <c r="J317" s="30">
        <f>IFERROR(__xludf.DUMMYFUNCTION("""COMPUTED_VALUE"""),-11.059343513011441)</f>
        <v>-11.05934351</v>
      </c>
      <c r="K317" s="30"/>
      <c r="L317" s="30"/>
      <c r="M317" s="30"/>
      <c r="N317" s="30"/>
      <c r="O317" s="30">
        <f>IFERROR(__xludf.DUMMYFUNCTION("""COMPUTED_VALUE"""),-2.630874715592867)</f>
        <v>-2.630874716</v>
      </c>
      <c r="P317" s="30">
        <f>IFERROR(__xludf.DUMMYFUNCTION("""COMPUTED_VALUE"""),4.463999088063446)</f>
        <v>4.463999088</v>
      </c>
      <c r="Q317" s="30"/>
      <c r="R317" s="30"/>
      <c r="S317" s="30"/>
      <c r="T317" s="30"/>
      <c r="U317" s="30">
        <v>0.0</v>
      </c>
      <c r="V317" s="30"/>
      <c r="W317" s="30"/>
      <c r="X317" s="30"/>
      <c r="Y317" s="5">
        <f>IFERROR(__xludf.DUMMYFUNCTION("""COMPUTED_VALUE"""),80.0)</f>
        <v>80</v>
      </c>
      <c r="Z317" s="5">
        <f>IFERROR(__xludf.DUMMYFUNCTION("""COMPUTED_VALUE"""),80.0)</f>
        <v>80</v>
      </c>
    </row>
    <row r="318">
      <c r="A318" s="30" t="s">
        <v>1521</v>
      </c>
      <c r="B318" s="30">
        <f>IFERROR(__xludf.DUMMYFUNCTION("""COMPUTED_VALUE"""),77.0)</f>
        <v>77</v>
      </c>
      <c r="C318" s="30"/>
      <c r="D318" s="30"/>
      <c r="E318" s="30"/>
      <c r="F318" s="30"/>
      <c r="G318" s="30"/>
      <c r="H318" s="30"/>
      <c r="I318" s="30"/>
      <c r="J318" s="30">
        <f>IFERROR(__xludf.DUMMYFUNCTION("""COMPUTED_VALUE"""),-11.059343513011441)</f>
        <v>-11.05934351</v>
      </c>
      <c r="K318" s="30"/>
      <c r="L318" s="30"/>
      <c r="M318" s="30"/>
      <c r="N318" s="30"/>
      <c r="O318" s="30">
        <f>IFERROR(__xludf.DUMMYFUNCTION("""COMPUTED_VALUE"""),-2.630874715592867)</f>
        <v>-2.630874716</v>
      </c>
      <c r="P318" s="30">
        <f>IFERROR(__xludf.DUMMYFUNCTION("""COMPUTED_VALUE"""),4.463999088063446)</f>
        <v>4.463999088</v>
      </c>
      <c r="Q318" s="30"/>
      <c r="R318" s="30"/>
      <c r="S318" s="30"/>
      <c r="T318" s="30"/>
      <c r="U318" s="30">
        <v>0.0</v>
      </c>
      <c r="V318" s="30"/>
      <c r="W318" s="30"/>
      <c r="X318" s="30"/>
      <c r="Y318" s="5">
        <f>IFERROR(__xludf.DUMMYFUNCTION("""COMPUTED_VALUE"""),77.0)</f>
        <v>77</v>
      </c>
      <c r="Z318" s="5">
        <f>IFERROR(__xludf.DUMMYFUNCTION("""COMPUTED_VALUE"""),77.0)</f>
        <v>77</v>
      </c>
    </row>
    <row r="319">
      <c r="A319" s="30" t="s">
        <v>49</v>
      </c>
      <c r="B319" s="30">
        <f>IFERROR(__xludf.DUMMYFUNCTION("""COMPUTED_VALUE"""),78.0)</f>
        <v>78</v>
      </c>
      <c r="C319" s="30"/>
      <c r="D319" s="30"/>
      <c r="E319" s="30"/>
      <c r="F319" s="30"/>
      <c r="G319" s="30"/>
      <c r="H319" s="30"/>
      <c r="I319" s="30"/>
      <c r="J319" s="30">
        <f>IFERROR(__xludf.DUMMYFUNCTION("""COMPUTED_VALUE"""),-11.059343513011441)</f>
        <v>-11.05934351</v>
      </c>
      <c r="K319" s="30"/>
      <c r="L319" s="30"/>
      <c r="M319" s="30"/>
      <c r="N319" s="30"/>
      <c r="O319" s="30">
        <f>IFERROR(__xludf.DUMMYFUNCTION("""COMPUTED_VALUE"""),-2.630874715592867)</f>
        <v>-2.630874716</v>
      </c>
      <c r="P319" s="30">
        <f>IFERROR(__xludf.DUMMYFUNCTION("""COMPUTED_VALUE"""),4.463999088063446)</f>
        <v>4.463999088</v>
      </c>
      <c r="Q319" s="30"/>
      <c r="R319" s="30"/>
      <c r="S319" s="30"/>
      <c r="T319" s="30"/>
      <c r="U319" s="30">
        <v>0.0</v>
      </c>
      <c r="V319" s="30"/>
      <c r="W319" s="30"/>
      <c r="X319" s="30"/>
      <c r="Y319" s="5">
        <f>IFERROR(__xludf.DUMMYFUNCTION("""COMPUTED_VALUE"""),76.0)</f>
        <v>76</v>
      </c>
      <c r="Z319" s="5">
        <f>IFERROR(__xludf.DUMMYFUNCTION("""COMPUTED_VALUE"""),80.0)</f>
        <v>80</v>
      </c>
    </row>
    <row r="320">
      <c r="A320" s="30" t="s">
        <v>1360</v>
      </c>
      <c r="B320" s="30">
        <f>IFERROR(__xludf.DUMMYFUNCTION("""COMPUTED_VALUE"""),81.0)</f>
        <v>81</v>
      </c>
      <c r="C320" s="30"/>
      <c r="D320" s="30"/>
      <c r="E320" s="30"/>
      <c r="F320" s="30"/>
      <c r="G320" s="30"/>
      <c r="H320" s="30"/>
      <c r="I320" s="30"/>
      <c r="J320" s="30">
        <f>IFERROR(__xludf.DUMMYFUNCTION("""COMPUTED_VALUE"""),-11.059343513011441)</f>
        <v>-11.05934351</v>
      </c>
      <c r="K320" s="30"/>
      <c r="L320" s="30"/>
      <c r="M320" s="30"/>
      <c r="N320" s="30"/>
      <c r="O320" s="30">
        <f>IFERROR(__xludf.DUMMYFUNCTION("""COMPUTED_VALUE"""),-2.630874715592867)</f>
        <v>-2.630874716</v>
      </c>
      <c r="P320" s="30">
        <f>IFERROR(__xludf.DUMMYFUNCTION("""COMPUTED_VALUE"""),4.463999088063446)</f>
        <v>4.463999088</v>
      </c>
      <c r="Q320" s="30"/>
      <c r="R320" s="30"/>
      <c r="S320" s="30"/>
      <c r="T320" s="30"/>
      <c r="U320" s="30">
        <v>0.0</v>
      </c>
      <c r="V320" s="30"/>
      <c r="W320" s="30"/>
      <c r="X320" s="30"/>
      <c r="Y320" s="5">
        <f>IFERROR(__xludf.DUMMYFUNCTION("""COMPUTED_VALUE"""),80.0)</f>
        <v>80</v>
      </c>
      <c r="Z320" s="5">
        <f>IFERROR(__xludf.DUMMYFUNCTION("""COMPUTED_VALUE"""),82.0)</f>
        <v>82</v>
      </c>
    </row>
    <row r="321">
      <c r="A321" s="30" t="s">
        <v>1533</v>
      </c>
      <c r="B321" s="30">
        <f>IFERROR(__xludf.DUMMYFUNCTION("""COMPUTED_VALUE"""),81.0)</f>
        <v>81</v>
      </c>
      <c r="C321" s="30"/>
      <c r="D321" s="30"/>
      <c r="E321" s="30"/>
      <c r="F321" s="30"/>
      <c r="G321" s="30"/>
      <c r="H321" s="30"/>
      <c r="I321" s="30"/>
      <c r="J321" s="30">
        <f>IFERROR(__xludf.DUMMYFUNCTION("""COMPUTED_VALUE"""),-11.059343513011441)</f>
        <v>-11.05934351</v>
      </c>
      <c r="K321" s="30"/>
      <c r="L321" s="30"/>
      <c r="M321" s="30"/>
      <c r="N321" s="30"/>
      <c r="O321" s="30">
        <f>IFERROR(__xludf.DUMMYFUNCTION("""COMPUTED_VALUE"""),-2.630874715592867)</f>
        <v>-2.630874716</v>
      </c>
      <c r="P321" s="30">
        <f>IFERROR(__xludf.DUMMYFUNCTION("""COMPUTED_VALUE"""),4.463999088063446)</f>
        <v>4.463999088</v>
      </c>
      <c r="Q321" s="30"/>
      <c r="R321" s="30"/>
      <c r="S321" s="30"/>
      <c r="T321" s="30"/>
      <c r="U321" s="30">
        <v>0.0</v>
      </c>
      <c r="V321" s="30"/>
      <c r="W321" s="30"/>
      <c r="X321" s="30"/>
      <c r="Y321" s="5">
        <f>IFERROR(__xludf.DUMMYFUNCTION("""COMPUTED_VALUE"""),81.0)</f>
        <v>81</v>
      </c>
      <c r="Z321" s="5">
        <f>IFERROR(__xludf.DUMMYFUNCTION("""COMPUTED_VALUE"""),81.0)</f>
        <v>81</v>
      </c>
    </row>
    <row r="322">
      <c r="A322" s="30" t="s">
        <v>1535</v>
      </c>
      <c r="B322" s="30">
        <f>IFERROR(__xludf.DUMMYFUNCTION("""COMPUTED_VALUE"""),81.0)</f>
        <v>81</v>
      </c>
      <c r="C322" s="30"/>
      <c r="D322" s="30"/>
      <c r="E322" s="30"/>
      <c r="F322" s="30"/>
      <c r="G322" s="30"/>
      <c r="H322" s="30"/>
      <c r="I322" s="30"/>
      <c r="J322" s="30">
        <f>IFERROR(__xludf.DUMMYFUNCTION("""COMPUTED_VALUE"""),-11.059343513011441)</f>
        <v>-11.05934351</v>
      </c>
      <c r="K322" s="30"/>
      <c r="L322" s="30"/>
      <c r="M322" s="30"/>
      <c r="N322" s="30"/>
      <c r="O322" s="30">
        <f>IFERROR(__xludf.DUMMYFUNCTION("""COMPUTED_VALUE"""),-2.630874715592867)</f>
        <v>-2.630874716</v>
      </c>
      <c r="P322" s="30">
        <f>IFERROR(__xludf.DUMMYFUNCTION("""COMPUTED_VALUE"""),4.463999088063446)</f>
        <v>4.463999088</v>
      </c>
      <c r="Q322" s="30"/>
      <c r="R322" s="30"/>
      <c r="S322" s="30"/>
      <c r="T322" s="30"/>
      <c r="U322" s="30">
        <v>0.0</v>
      </c>
      <c r="V322" s="30"/>
      <c r="W322" s="30"/>
      <c r="X322" s="30"/>
      <c r="Y322" s="5">
        <f>IFERROR(__xludf.DUMMYFUNCTION("""COMPUTED_VALUE"""),81.0)</f>
        <v>81</v>
      </c>
      <c r="Z322" s="5">
        <f>IFERROR(__xludf.DUMMYFUNCTION("""COMPUTED_VALUE"""),81.0)</f>
        <v>81</v>
      </c>
    </row>
    <row r="323">
      <c r="A323" s="30" t="s">
        <v>1484</v>
      </c>
      <c r="B323" s="30">
        <f>IFERROR(__xludf.DUMMYFUNCTION("""COMPUTED_VALUE"""),80.5)</f>
        <v>80.5</v>
      </c>
      <c r="C323" s="30"/>
      <c r="D323" s="30"/>
      <c r="E323" s="30"/>
      <c r="F323" s="30"/>
      <c r="G323" s="30"/>
      <c r="H323" s="30"/>
      <c r="I323" s="30"/>
      <c r="J323" s="30">
        <f>IFERROR(__xludf.DUMMYFUNCTION("""COMPUTED_VALUE"""),-11.059343513011441)</f>
        <v>-11.05934351</v>
      </c>
      <c r="K323" s="30"/>
      <c r="L323" s="30"/>
      <c r="M323" s="30"/>
      <c r="N323" s="30"/>
      <c r="O323" s="30">
        <f>IFERROR(__xludf.DUMMYFUNCTION("""COMPUTED_VALUE"""),-2.630874715592867)</f>
        <v>-2.630874716</v>
      </c>
      <c r="P323" s="30">
        <f>IFERROR(__xludf.DUMMYFUNCTION("""COMPUTED_VALUE"""),4.463999088063446)</f>
        <v>4.463999088</v>
      </c>
      <c r="Q323" s="30"/>
      <c r="R323" s="30"/>
      <c r="S323" s="30"/>
      <c r="T323" s="30"/>
      <c r="U323" s="30">
        <v>0.0</v>
      </c>
      <c r="V323" s="30"/>
      <c r="W323" s="30"/>
      <c r="X323" s="30"/>
      <c r="Y323" s="5">
        <f>IFERROR(__xludf.DUMMYFUNCTION("""COMPUTED_VALUE"""),79.0)</f>
        <v>79</v>
      </c>
      <c r="Z323" s="5">
        <f>IFERROR(__xludf.DUMMYFUNCTION("""COMPUTED_VALUE"""),82.0)</f>
        <v>82</v>
      </c>
    </row>
    <row r="324">
      <c r="A324" s="30" t="s">
        <v>106</v>
      </c>
      <c r="B324" s="30">
        <f>IFERROR(__xludf.DUMMYFUNCTION("""COMPUTED_VALUE"""),79.0)</f>
        <v>79</v>
      </c>
      <c r="C324" s="30"/>
      <c r="D324" s="30"/>
      <c r="E324" s="30"/>
      <c r="F324" s="30"/>
      <c r="G324" s="30"/>
      <c r="H324" s="30"/>
      <c r="I324" s="30"/>
      <c r="J324" s="30">
        <f>IFERROR(__xludf.DUMMYFUNCTION("""COMPUTED_VALUE"""),-11.059343513011441)</f>
        <v>-11.05934351</v>
      </c>
      <c r="K324" s="30"/>
      <c r="L324" s="30"/>
      <c r="M324" s="30"/>
      <c r="N324" s="30"/>
      <c r="O324" s="30">
        <f>IFERROR(__xludf.DUMMYFUNCTION("""COMPUTED_VALUE"""),-2.630874715592867)</f>
        <v>-2.630874716</v>
      </c>
      <c r="P324" s="30">
        <f>IFERROR(__xludf.DUMMYFUNCTION("""COMPUTED_VALUE"""),4.463999088063446)</f>
        <v>4.463999088</v>
      </c>
      <c r="Q324" s="30"/>
      <c r="R324" s="30"/>
      <c r="S324" s="30"/>
      <c r="T324" s="30"/>
      <c r="U324" s="30">
        <v>0.0</v>
      </c>
      <c r="V324" s="30"/>
      <c r="W324" s="30"/>
      <c r="X324" s="30"/>
      <c r="Y324" s="5">
        <f>IFERROR(__xludf.DUMMYFUNCTION("""COMPUTED_VALUE"""),78.0)</f>
        <v>78</v>
      </c>
      <c r="Z324" s="5">
        <f>IFERROR(__xludf.DUMMYFUNCTION("""COMPUTED_VALUE"""),80.0)</f>
        <v>80</v>
      </c>
    </row>
    <row r="325">
      <c r="A325" s="30" t="s">
        <v>378</v>
      </c>
      <c r="B325" s="30">
        <f>IFERROR(__xludf.DUMMYFUNCTION("""COMPUTED_VALUE"""),79.5)</f>
        <v>79.5</v>
      </c>
      <c r="C325" s="30"/>
      <c r="D325" s="30"/>
      <c r="E325" s="30"/>
      <c r="F325" s="30"/>
      <c r="G325" s="30"/>
      <c r="H325" s="30"/>
      <c r="I325" s="30"/>
      <c r="J325" s="30">
        <f>IFERROR(__xludf.DUMMYFUNCTION("""COMPUTED_VALUE"""),-11.059343513011441)</f>
        <v>-11.05934351</v>
      </c>
      <c r="K325" s="30"/>
      <c r="L325" s="30"/>
      <c r="M325" s="30"/>
      <c r="N325" s="30"/>
      <c r="O325" s="30">
        <f>IFERROR(__xludf.DUMMYFUNCTION("""COMPUTED_VALUE"""),-2.630874715592867)</f>
        <v>-2.630874716</v>
      </c>
      <c r="P325" s="30">
        <f>IFERROR(__xludf.DUMMYFUNCTION("""COMPUTED_VALUE"""),4.463999088063446)</f>
        <v>4.463999088</v>
      </c>
      <c r="Q325" s="30"/>
      <c r="R325" s="30"/>
      <c r="S325" s="30"/>
      <c r="T325" s="30"/>
      <c r="U325" s="30">
        <v>0.0</v>
      </c>
      <c r="V325" s="30"/>
      <c r="W325" s="30"/>
      <c r="X325" s="30"/>
      <c r="Y325" s="5">
        <f>IFERROR(__xludf.DUMMYFUNCTION("""COMPUTED_VALUE"""),77.0)</f>
        <v>77</v>
      </c>
      <c r="Z325" s="5">
        <f>IFERROR(__xludf.DUMMYFUNCTION("""COMPUTED_VALUE"""),82.0)</f>
        <v>82</v>
      </c>
    </row>
    <row r="326">
      <c r="A326" s="30" t="s">
        <v>989</v>
      </c>
      <c r="B326" s="30">
        <f>IFERROR(__xludf.DUMMYFUNCTION("""COMPUTED_VALUE"""),80.0)</f>
        <v>80</v>
      </c>
      <c r="C326" s="30"/>
      <c r="D326" s="30"/>
      <c r="E326" s="30"/>
      <c r="F326" s="30"/>
      <c r="G326" s="30"/>
      <c r="H326" s="30"/>
      <c r="I326" s="30"/>
      <c r="J326" s="30">
        <f>IFERROR(__xludf.DUMMYFUNCTION("""COMPUTED_VALUE"""),-11.059343513011441)</f>
        <v>-11.05934351</v>
      </c>
      <c r="K326" s="30"/>
      <c r="L326" s="30"/>
      <c r="M326" s="30"/>
      <c r="N326" s="30"/>
      <c r="O326" s="30">
        <f>IFERROR(__xludf.DUMMYFUNCTION("""COMPUTED_VALUE"""),-2.630874715592867)</f>
        <v>-2.630874716</v>
      </c>
      <c r="P326" s="30">
        <f>IFERROR(__xludf.DUMMYFUNCTION("""COMPUTED_VALUE"""),4.463999088063446)</f>
        <v>4.463999088</v>
      </c>
      <c r="Q326" s="30"/>
      <c r="R326" s="30"/>
      <c r="S326" s="30"/>
      <c r="T326" s="30"/>
      <c r="U326" s="30">
        <v>0.0</v>
      </c>
      <c r="V326" s="30"/>
      <c r="W326" s="30"/>
      <c r="X326" s="30"/>
      <c r="Y326" s="5">
        <f>IFERROR(__xludf.DUMMYFUNCTION("""COMPUTED_VALUE"""),80.0)</f>
        <v>80</v>
      </c>
      <c r="Z326" s="5">
        <f>IFERROR(__xludf.DUMMYFUNCTION("""COMPUTED_VALUE"""),80.0)</f>
        <v>80</v>
      </c>
    </row>
    <row r="327">
      <c r="A327" s="30" t="s">
        <v>89</v>
      </c>
      <c r="B327" s="30">
        <f>IFERROR(__xludf.DUMMYFUNCTION("""COMPUTED_VALUE"""),79.0)</f>
        <v>79</v>
      </c>
      <c r="C327" s="30"/>
      <c r="D327" s="30"/>
      <c r="E327" s="30"/>
      <c r="F327" s="30"/>
      <c r="G327" s="30"/>
      <c r="H327" s="30"/>
      <c r="I327" s="30"/>
      <c r="J327" s="30">
        <f>IFERROR(__xludf.DUMMYFUNCTION("""COMPUTED_VALUE"""),-11.059343513011441)</f>
        <v>-11.05934351</v>
      </c>
      <c r="K327" s="30"/>
      <c r="L327" s="30"/>
      <c r="M327" s="30"/>
      <c r="N327" s="30"/>
      <c r="O327" s="30">
        <f>IFERROR(__xludf.DUMMYFUNCTION("""COMPUTED_VALUE"""),-2.630874715592867)</f>
        <v>-2.630874716</v>
      </c>
      <c r="P327" s="30">
        <f>IFERROR(__xludf.DUMMYFUNCTION("""COMPUTED_VALUE"""),4.463999088063446)</f>
        <v>4.463999088</v>
      </c>
      <c r="Q327" s="30"/>
      <c r="R327" s="30"/>
      <c r="S327" s="30"/>
      <c r="T327" s="30"/>
      <c r="U327" s="30">
        <v>0.0</v>
      </c>
      <c r="V327" s="30"/>
      <c r="W327" s="30"/>
      <c r="X327" s="30"/>
      <c r="Y327" s="5">
        <f>IFERROR(__xludf.DUMMYFUNCTION("""COMPUTED_VALUE"""),78.0)</f>
        <v>78</v>
      </c>
      <c r="Z327" s="5">
        <f>IFERROR(__xludf.DUMMYFUNCTION("""COMPUTED_VALUE"""),80.0)</f>
        <v>80</v>
      </c>
    </row>
    <row r="328">
      <c r="A328" s="30" t="s">
        <v>1573</v>
      </c>
      <c r="B328" s="30">
        <f>IFERROR(__xludf.DUMMYFUNCTION("""COMPUTED_VALUE"""),81.5)</f>
        <v>81.5</v>
      </c>
      <c r="C328" s="30"/>
      <c r="D328" s="30"/>
      <c r="E328" s="30"/>
      <c r="F328" s="30"/>
      <c r="G328" s="30"/>
      <c r="H328" s="30"/>
      <c r="I328" s="30"/>
      <c r="J328" s="30">
        <f>IFERROR(__xludf.DUMMYFUNCTION("""COMPUTED_VALUE"""),-11.059343513011441)</f>
        <v>-11.05934351</v>
      </c>
      <c r="K328" s="30"/>
      <c r="L328" s="30"/>
      <c r="M328" s="30"/>
      <c r="N328" s="30"/>
      <c r="O328" s="30">
        <f>IFERROR(__xludf.DUMMYFUNCTION("""COMPUTED_VALUE"""),-2.630874715592867)</f>
        <v>-2.630874716</v>
      </c>
      <c r="P328" s="30">
        <f>IFERROR(__xludf.DUMMYFUNCTION("""COMPUTED_VALUE"""),4.463999088063446)</f>
        <v>4.463999088</v>
      </c>
      <c r="Q328" s="30"/>
      <c r="R328" s="30"/>
      <c r="S328" s="30"/>
      <c r="T328" s="30"/>
      <c r="U328" s="30">
        <v>0.0</v>
      </c>
      <c r="V328" s="30"/>
      <c r="W328" s="30"/>
      <c r="X328" s="30"/>
      <c r="Y328" s="5">
        <f>IFERROR(__xludf.DUMMYFUNCTION("""COMPUTED_VALUE"""),81.0)</f>
        <v>81</v>
      </c>
      <c r="Z328" s="5">
        <f>IFERROR(__xludf.DUMMYFUNCTION("""COMPUTED_VALUE"""),82.0)</f>
        <v>82</v>
      </c>
    </row>
    <row r="329">
      <c r="A329" s="30" t="s">
        <v>1578</v>
      </c>
      <c r="B329" s="30">
        <f>IFERROR(__xludf.DUMMYFUNCTION("""COMPUTED_VALUE"""),82.0)</f>
        <v>82</v>
      </c>
      <c r="C329" s="30"/>
      <c r="D329" s="30"/>
      <c r="E329" s="30"/>
      <c r="F329" s="30"/>
      <c r="G329" s="30"/>
      <c r="H329" s="30"/>
      <c r="I329" s="30"/>
      <c r="J329" s="30">
        <f>IFERROR(__xludf.DUMMYFUNCTION("""COMPUTED_VALUE"""),-11.059343513011441)</f>
        <v>-11.05934351</v>
      </c>
      <c r="K329" s="30"/>
      <c r="L329" s="30"/>
      <c r="M329" s="30"/>
      <c r="N329" s="30"/>
      <c r="O329" s="30">
        <f>IFERROR(__xludf.DUMMYFUNCTION("""COMPUTED_VALUE"""),-2.630874715592867)</f>
        <v>-2.630874716</v>
      </c>
      <c r="P329" s="30">
        <f>IFERROR(__xludf.DUMMYFUNCTION("""COMPUTED_VALUE"""),4.463999088063446)</f>
        <v>4.463999088</v>
      </c>
      <c r="Q329" s="30"/>
      <c r="R329" s="30"/>
      <c r="S329" s="30"/>
      <c r="T329" s="30"/>
      <c r="U329" s="30">
        <v>0.0</v>
      </c>
      <c r="V329" s="30"/>
      <c r="W329" s="30"/>
      <c r="X329" s="30"/>
      <c r="Y329" s="5">
        <f>IFERROR(__xludf.DUMMYFUNCTION("""COMPUTED_VALUE"""),82.0)</f>
        <v>82</v>
      </c>
      <c r="Z329" s="5">
        <f>IFERROR(__xludf.DUMMYFUNCTION("""COMPUTED_VALUE"""),82.0)</f>
        <v>82</v>
      </c>
    </row>
    <row r="330">
      <c r="A330" s="30" t="s">
        <v>146</v>
      </c>
      <c r="B330" s="30">
        <f>IFERROR(__xludf.DUMMYFUNCTION("""COMPUTED_VALUE"""),79.0)</f>
        <v>79</v>
      </c>
      <c r="C330" s="30"/>
      <c r="D330" s="30"/>
      <c r="E330" s="30"/>
      <c r="F330" s="30"/>
      <c r="G330" s="30"/>
      <c r="H330" s="30"/>
      <c r="I330" s="30"/>
      <c r="J330" s="30">
        <f>IFERROR(__xludf.DUMMYFUNCTION("""COMPUTED_VALUE"""),-11.059343513011441)</f>
        <v>-11.05934351</v>
      </c>
      <c r="K330" s="30"/>
      <c r="L330" s="30"/>
      <c r="M330" s="30"/>
      <c r="N330" s="30"/>
      <c r="O330" s="30">
        <f>IFERROR(__xludf.DUMMYFUNCTION("""COMPUTED_VALUE"""),-2.630874715592867)</f>
        <v>-2.630874716</v>
      </c>
      <c r="P330" s="30">
        <f>IFERROR(__xludf.DUMMYFUNCTION("""COMPUTED_VALUE"""),4.463999088063446)</f>
        <v>4.463999088</v>
      </c>
      <c r="Q330" s="30"/>
      <c r="R330" s="30"/>
      <c r="S330" s="30"/>
      <c r="T330" s="30"/>
      <c r="U330" s="30">
        <v>0.0</v>
      </c>
      <c r="V330" s="30"/>
      <c r="W330" s="30"/>
      <c r="X330" s="30"/>
      <c r="Y330" s="5">
        <f>IFERROR(__xludf.DUMMYFUNCTION("""COMPUTED_VALUE"""),76.0)</f>
        <v>76</v>
      </c>
      <c r="Z330" s="5">
        <f>IFERROR(__xludf.DUMMYFUNCTION("""COMPUTED_VALUE"""),82.0)</f>
        <v>82</v>
      </c>
    </row>
    <row r="331">
      <c r="A331" s="30" t="s">
        <v>1589</v>
      </c>
      <c r="B331" s="30">
        <f>IFERROR(__xludf.DUMMYFUNCTION("""COMPUTED_VALUE"""),81.0)</f>
        <v>81</v>
      </c>
      <c r="C331" s="30"/>
      <c r="D331" s="30"/>
      <c r="E331" s="30"/>
      <c r="F331" s="30"/>
      <c r="G331" s="30"/>
      <c r="H331" s="30"/>
      <c r="I331" s="30"/>
      <c r="J331" s="30">
        <f>IFERROR(__xludf.DUMMYFUNCTION("""COMPUTED_VALUE"""),-11.059343513011441)</f>
        <v>-11.05934351</v>
      </c>
      <c r="K331" s="30"/>
      <c r="L331" s="30"/>
      <c r="M331" s="30"/>
      <c r="N331" s="30"/>
      <c r="O331" s="30">
        <f>IFERROR(__xludf.DUMMYFUNCTION("""COMPUTED_VALUE"""),-2.630874715592867)</f>
        <v>-2.630874716</v>
      </c>
      <c r="P331" s="30">
        <f>IFERROR(__xludf.DUMMYFUNCTION("""COMPUTED_VALUE"""),4.463999088063446)</f>
        <v>4.463999088</v>
      </c>
      <c r="Q331" s="30"/>
      <c r="R331" s="30"/>
      <c r="S331" s="30"/>
      <c r="T331" s="30"/>
      <c r="U331" s="30">
        <v>0.0</v>
      </c>
      <c r="V331" s="30"/>
      <c r="W331" s="30"/>
      <c r="X331" s="30"/>
      <c r="Y331" s="5">
        <f>IFERROR(__xludf.DUMMYFUNCTION("""COMPUTED_VALUE"""),81.0)</f>
        <v>81</v>
      </c>
      <c r="Z331" s="5">
        <f>IFERROR(__xludf.DUMMYFUNCTION("""COMPUTED_VALUE"""),81.0)</f>
        <v>81</v>
      </c>
    </row>
    <row r="332">
      <c r="A332" s="30" t="s">
        <v>1261</v>
      </c>
      <c r="B332" s="30">
        <f>IFERROR(__xludf.DUMMYFUNCTION("""COMPUTED_VALUE"""),79.5)</f>
        <v>79.5</v>
      </c>
      <c r="C332" s="30"/>
      <c r="D332" s="30"/>
      <c r="E332" s="30"/>
      <c r="F332" s="30"/>
      <c r="G332" s="30"/>
      <c r="H332" s="30"/>
      <c r="I332" s="30"/>
      <c r="J332" s="30">
        <f>IFERROR(__xludf.DUMMYFUNCTION("""COMPUTED_VALUE"""),-11.059343513011441)</f>
        <v>-11.05934351</v>
      </c>
      <c r="K332" s="30"/>
      <c r="L332" s="30"/>
      <c r="M332" s="30"/>
      <c r="N332" s="30"/>
      <c r="O332" s="30">
        <f>IFERROR(__xludf.DUMMYFUNCTION("""COMPUTED_VALUE"""),-2.630874715592867)</f>
        <v>-2.630874716</v>
      </c>
      <c r="P332" s="30">
        <f>IFERROR(__xludf.DUMMYFUNCTION("""COMPUTED_VALUE"""),4.463999088063446)</f>
        <v>4.463999088</v>
      </c>
      <c r="Q332" s="30"/>
      <c r="R332" s="30"/>
      <c r="S332" s="30"/>
      <c r="T332" s="30"/>
      <c r="U332" s="30">
        <v>0.0</v>
      </c>
      <c r="V332" s="30"/>
      <c r="W332" s="30"/>
      <c r="X332" s="30"/>
      <c r="Y332" s="5">
        <f>IFERROR(__xludf.DUMMYFUNCTION("""COMPUTED_VALUE"""),78.0)</f>
        <v>78</v>
      </c>
      <c r="Z332" s="5">
        <f>IFERROR(__xludf.DUMMYFUNCTION("""COMPUTED_VALUE"""),81.0)</f>
        <v>81</v>
      </c>
    </row>
    <row r="333">
      <c r="A333" s="30" t="s">
        <v>1598</v>
      </c>
      <c r="B333" s="30">
        <f>IFERROR(__xludf.DUMMYFUNCTION("""COMPUTED_VALUE"""),79.5)</f>
        <v>79.5</v>
      </c>
      <c r="C333" s="30"/>
      <c r="D333" s="30"/>
      <c r="E333" s="30"/>
      <c r="F333" s="30"/>
      <c r="G333" s="30"/>
      <c r="H333" s="30"/>
      <c r="I333" s="30"/>
      <c r="J333" s="30">
        <f>IFERROR(__xludf.DUMMYFUNCTION("""COMPUTED_VALUE"""),-11.059343513011441)</f>
        <v>-11.05934351</v>
      </c>
      <c r="K333" s="30"/>
      <c r="L333" s="30"/>
      <c r="M333" s="30"/>
      <c r="N333" s="30"/>
      <c r="O333" s="30">
        <f>IFERROR(__xludf.DUMMYFUNCTION("""COMPUTED_VALUE"""),-2.630874715592867)</f>
        <v>-2.630874716</v>
      </c>
      <c r="P333" s="30">
        <f>IFERROR(__xludf.DUMMYFUNCTION("""COMPUTED_VALUE"""),4.463999088063446)</f>
        <v>4.463999088</v>
      </c>
      <c r="Q333" s="30"/>
      <c r="R333" s="30"/>
      <c r="S333" s="30"/>
      <c r="T333" s="30"/>
      <c r="U333" s="30">
        <v>0.0</v>
      </c>
      <c r="V333" s="30"/>
      <c r="W333" s="30"/>
      <c r="X333" s="30"/>
      <c r="Y333" s="5">
        <f>IFERROR(__xludf.DUMMYFUNCTION("""COMPUTED_VALUE"""),79.0)</f>
        <v>79</v>
      </c>
      <c r="Z333" s="5">
        <f>IFERROR(__xludf.DUMMYFUNCTION("""COMPUTED_VALUE"""),80.0)</f>
        <v>80</v>
      </c>
    </row>
    <row r="334">
      <c r="A334" s="30" t="s">
        <v>1604</v>
      </c>
      <c r="B334" s="30">
        <f>IFERROR(__xludf.DUMMYFUNCTION("""COMPUTED_VALUE"""),80.5)</f>
        <v>80.5</v>
      </c>
      <c r="C334" s="30"/>
      <c r="D334" s="30"/>
      <c r="E334" s="30"/>
      <c r="F334" s="30"/>
      <c r="G334" s="30"/>
      <c r="H334" s="30"/>
      <c r="I334" s="30"/>
      <c r="J334" s="30">
        <f>IFERROR(__xludf.DUMMYFUNCTION("""COMPUTED_VALUE"""),-11.059343513011441)</f>
        <v>-11.05934351</v>
      </c>
      <c r="K334" s="30"/>
      <c r="L334" s="30"/>
      <c r="M334" s="30"/>
      <c r="N334" s="30"/>
      <c r="O334" s="30">
        <f>IFERROR(__xludf.DUMMYFUNCTION("""COMPUTED_VALUE"""),-2.630874715592867)</f>
        <v>-2.630874716</v>
      </c>
      <c r="P334" s="30">
        <f>IFERROR(__xludf.DUMMYFUNCTION("""COMPUTED_VALUE"""),4.463999088063446)</f>
        <v>4.463999088</v>
      </c>
      <c r="Q334" s="30"/>
      <c r="R334" s="30"/>
      <c r="S334" s="30"/>
      <c r="T334" s="30"/>
      <c r="U334" s="30">
        <v>0.0</v>
      </c>
      <c r="V334" s="30"/>
      <c r="W334" s="30"/>
      <c r="X334" s="30"/>
      <c r="Y334" s="5">
        <f>IFERROR(__xludf.DUMMYFUNCTION("""COMPUTED_VALUE"""),79.0)</f>
        <v>79</v>
      </c>
      <c r="Z334" s="5">
        <f>IFERROR(__xludf.DUMMYFUNCTION("""COMPUTED_VALUE"""),82.0)</f>
        <v>82</v>
      </c>
    </row>
    <row r="335">
      <c r="A335" s="30" t="s">
        <v>1609</v>
      </c>
      <c r="B335" s="30">
        <f>IFERROR(__xludf.DUMMYFUNCTION("""COMPUTED_VALUE"""),82.0)</f>
        <v>82</v>
      </c>
      <c r="C335" s="30"/>
      <c r="D335" s="30"/>
      <c r="E335" s="30"/>
      <c r="F335" s="30"/>
      <c r="G335" s="30"/>
      <c r="H335" s="30"/>
      <c r="I335" s="30"/>
      <c r="J335" s="30">
        <f>IFERROR(__xludf.DUMMYFUNCTION("""COMPUTED_VALUE"""),-11.059343513011441)</f>
        <v>-11.05934351</v>
      </c>
      <c r="K335" s="30"/>
      <c r="L335" s="30"/>
      <c r="M335" s="30"/>
      <c r="N335" s="30"/>
      <c r="O335" s="30">
        <f>IFERROR(__xludf.DUMMYFUNCTION("""COMPUTED_VALUE"""),-2.630874715592867)</f>
        <v>-2.630874716</v>
      </c>
      <c r="P335" s="30">
        <f>IFERROR(__xludf.DUMMYFUNCTION("""COMPUTED_VALUE"""),4.463999088063446)</f>
        <v>4.463999088</v>
      </c>
      <c r="Q335" s="30"/>
      <c r="R335" s="30"/>
      <c r="S335" s="30"/>
      <c r="T335" s="30"/>
      <c r="U335" s="30">
        <v>0.0</v>
      </c>
      <c r="V335" s="30"/>
      <c r="W335" s="30"/>
      <c r="X335" s="30"/>
      <c r="Y335" s="5">
        <f>IFERROR(__xludf.DUMMYFUNCTION("""COMPUTED_VALUE"""),82.0)</f>
        <v>82</v>
      </c>
      <c r="Z335" s="5">
        <f>IFERROR(__xludf.DUMMYFUNCTION("""COMPUTED_VALUE"""),82.0)</f>
        <v>82</v>
      </c>
    </row>
    <row r="336">
      <c r="A336" s="30" t="s">
        <v>257</v>
      </c>
      <c r="B336" s="30">
        <f>IFERROR(__xludf.DUMMYFUNCTION("""COMPUTED_VALUE"""),80.0)</f>
        <v>80</v>
      </c>
      <c r="C336" s="30"/>
      <c r="D336" s="30"/>
      <c r="E336" s="30"/>
      <c r="F336" s="30"/>
      <c r="G336" s="30"/>
      <c r="H336" s="30"/>
      <c r="I336" s="30"/>
      <c r="J336" s="30">
        <f>IFERROR(__xludf.DUMMYFUNCTION("""COMPUTED_VALUE"""),-11.059343513011441)</f>
        <v>-11.05934351</v>
      </c>
      <c r="K336" s="30"/>
      <c r="L336" s="30"/>
      <c r="M336" s="30"/>
      <c r="N336" s="30"/>
      <c r="O336" s="30">
        <f>IFERROR(__xludf.DUMMYFUNCTION("""COMPUTED_VALUE"""),-2.630874715592867)</f>
        <v>-2.630874716</v>
      </c>
      <c r="P336" s="30">
        <f>IFERROR(__xludf.DUMMYFUNCTION("""COMPUTED_VALUE"""),4.463999088063446)</f>
        <v>4.463999088</v>
      </c>
      <c r="Q336" s="30"/>
      <c r="R336" s="30"/>
      <c r="S336" s="30"/>
      <c r="T336" s="30"/>
      <c r="U336" s="30">
        <v>0.0</v>
      </c>
      <c r="V336" s="30"/>
      <c r="W336" s="30"/>
      <c r="X336" s="30"/>
      <c r="Y336" s="5">
        <f>IFERROR(__xludf.DUMMYFUNCTION("""COMPUTED_VALUE"""),80.0)</f>
        <v>80</v>
      </c>
      <c r="Z336" s="5">
        <f>IFERROR(__xludf.DUMMYFUNCTION("""COMPUTED_VALUE"""),80.0)</f>
        <v>80</v>
      </c>
    </row>
    <row r="337">
      <c r="A337" s="30" t="s">
        <v>339</v>
      </c>
      <c r="B337" s="30">
        <f>IFERROR(__xludf.DUMMYFUNCTION("""COMPUTED_VALUE"""),80.0)</f>
        <v>80</v>
      </c>
      <c r="C337" s="30"/>
      <c r="D337" s="30"/>
      <c r="E337" s="30"/>
      <c r="F337" s="30"/>
      <c r="G337" s="30"/>
      <c r="H337" s="30"/>
      <c r="I337" s="30"/>
      <c r="J337" s="30">
        <f>IFERROR(__xludf.DUMMYFUNCTION("""COMPUTED_VALUE"""),-11.059343513011441)</f>
        <v>-11.05934351</v>
      </c>
      <c r="K337" s="30"/>
      <c r="L337" s="30"/>
      <c r="M337" s="30"/>
      <c r="N337" s="30"/>
      <c r="O337" s="30">
        <f>IFERROR(__xludf.DUMMYFUNCTION("""COMPUTED_VALUE"""),-2.630874715592867)</f>
        <v>-2.630874716</v>
      </c>
      <c r="P337" s="30">
        <f>IFERROR(__xludf.DUMMYFUNCTION("""COMPUTED_VALUE"""),4.463999088063446)</f>
        <v>4.463999088</v>
      </c>
      <c r="Q337" s="30"/>
      <c r="R337" s="30"/>
      <c r="S337" s="30"/>
      <c r="T337" s="30"/>
      <c r="U337" s="30">
        <v>0.0</v>
      </c>
      <c r="V337" s="30"/>
      <c r="W337" s="30"/>
      <c r="X337" s="30"/>
      <c r="Y337" s="5">
        <f>IFERROR(__xludf.DUMMYFUNCTION("""COMPUTED_VALUE"""),79.0)</f>
        <v>79</v>
      </c>
      <c r="Z337" s="5">
        <f>IFERROR(__xludf.DUMMYFUNCTION("""COMPUTED_VALUE"""),81.0)</f>
        <v>81</v>
      </c>
    </row>
    <row r="338">
      <c r="A338" s="30" t="s">
        <v>26</v>
      </c>
      <c r="B338" s="30">
        <f>IFERROR(__xludf.DUMMYFUNCTION("""COMPUTED_VALUE"""),79.5)</f>
        <v>79.5</v>
      </c>
      <c r="C338" s="30"/>
      <c r="D338" s="30"/>
      <c r="E338" s="30"/>
      <c r="F338" s="30"/>
      <c r="G338" s="30"/>
      <c r="H338" s="30"/>
      <c r="I338" s="30"/>
      <c r="J338" s="30">
        <f>IFERROR(__xludf.DUMMYFUNCTION("""COMPUTED_VALUE"""),-11.059343513011441)</f>
        <v>-11.05934351</v>
      </c>
      <c r="K338" s="30"/>
      <c r="L338" s="30"/>
      <c r="M338" s="30"/>
      <c r="N338" s="30"/>
      <c r="O338" s="30">
        <f>IFERROR(__xludf.DUMMYFUNCTION("""COMPUTED_VALUE"""),-2.630874715592867)</f>
        <v>-2.630874716</v>
      </c>
      <c r="P338" s="30">
        <f>IFERROR(__xludf.DUMMYFUNCTION("""COMPUTED_VALUE"""),4.463999088063446)</f>
        <v>4.463999088</v>
      </c>
      <c r="Q338" s="30"/>
      <c r="R338" s="30"/>
      <c r="S338" s="30"/>
      <c r="T338" s="30"/>
      <c r="U338" s="30">
        <v>0.0</v>
      </c>
      <c r="V338" s="30"/>
      <c r="W338" s="30"/>
      <c r="X338" s="30"/>
      <c r="Y338" s="5">
        <f>IFERROR(__xludf.DUMMYFUNCTION("""COMPUTED_VALUE"""),77.0)</f>
        <v>77</v>
      </c>
      <c r="Z338" s="5">
        <f>IFERROR(__xludf.DUMMYFUNCTION("""COMPUTED_VALUE"""),82.0)</f>
        <v>82</v>
      </c>
    </row>
    <row r="339">
      <c r="A339" s="30" t="s">
        <v>1623</v>
      </c>
      <c r="B339" s="30">
        <f>IFERROR(__xludf.DUMMYFUNCTION("""COMPUTED_VALUE"""),80.0)</f>
        <v>80</v>
      </c>
      <c r="C339" s="30"/>
      <c r="D339" s="30"/>
      <c r="E339" s="30"/>
      <c r="F339" s="30"/>
      <c r="G339" s="30"/>
      <c r="H339" s="30"/>
      <c r="I339" s="30"/>
      <c r="J339" s="30">
        <f>IFERROR(__xludf.DUMMYFUNCTION("""COMPUTED_VALUE"""),-11.059343513011441)</f>
        <v>-11.05934351</v>
      </c>
      <c r="K339" s="30"/>
      <c r="L339" s="30"/>
      <c r="M339" s="30"/>
      <c r="N339" s="30"/>
      <c r="O339" s="30">
        <f>IFERROR(__xludf.DUMMYFUNCTION("""COMPUTED_VALUE"""),-2.630874715592867)</f>
        <v>-2.630874716</v>
      </c>
      <c r="P339" s="30">
        <f>IFERROR(__xludf.DUMMYFUNCTION("""COMPUTED_VALUE"""),4.463999088063446)</f>
        <v>4.463999088</v>
      </c>
      <c r="Q339" s="30"/>
      <c r="R339" s="30"/>
      <c r="S339" s="30"/>
      <c r="T339" s="30"/>
      <c r="U339" s="30">
        <v>0.0</v>
      </c>
      <c r="V339" s="30"/>
      <c r="W339" s="30"/>
      <c r="X339" s="30"/>
      <c r="Y339" s="5">
        <f>IFERROR(__xludf.DUMMYFUNCTION("""COMPUTED_VALUE"""),80.0)</f>
        <v>80</v>
      </c>
      <c r="Z339" s="5">
        <f>IFERROR(__xludf.DUMMYFUNCTION("""COMPUTED_VALUE"""),80.0)</f>
        <v>80</v>
      </c>
    </row>
    <row r="340">
      <c r="A340" s="30" t="s">
        <v>1481</v>
      </c>
      <c r="B340" s="30">
        <f>IFERROR(__xludf.DUMMYFUNCTION("""COMPUTED_VALUE"""),81.5)</f>
        <v>81.5</v>
      </c>
      <c r="C340" s="30"/>
      <c r="D340" s="30"/>
      <c r="E340" s="30"/>
      <c r="F340" s="30"/>
      <c r="G340" s="30"/>
      <c r="H340" s="30"/>
      <c r="I340" s="30"/>
      <c r="J340" s="30">
        <f>IFERROR(__xludf.DUMMYFUNCTION("""COMPUTED_VALUE"""),-11.059343513011441)</f>
        <v>-11.05934351</v>
      </c>
      <c r="K340" s="30"/>
      <c r="L340" s="30"/>
      <c r="M340" s="30"/>
      <c r="N340" s="30"/>
      <c r="O340" s="30">
        <f>IFERROR(__xludf.DUMMYFUNCTION("""COMPUTED_VALUE"""),-2.630874715592867)</f>
        <v>-2.630874716</v>
      </c>
      <c r="P340" s="30">
        <f>IFERROR(__xludf.DUMMYFUNCTION("""COMPUTED_VALUE"""),4.463999088063446)</f>
        <v>4.463999088</v>
      </c>
      <c r="Q340" s="30"/>
      <c r="R340" s="30"/>
      <c r="S340" s="30"/>
      <c r="T340" s="30"/>
      <c r="U340" s="30">
        <v>0.0</v>
      </c>
      <c r="V340" s="30"/>
      <c r="W340" s="30"/>
      <c r="X340" s="30"/>
      <c r="Y340" s="5">
        <f>IFERROR(__xludf.DUMMYFUNCTION("""COMPUTED_VALUE"""),81.0)</f>
        <v>81</v>
      </c>
      <c r="Z340" s="5">
        <f>IFERROR(__xludf.DUMMYFUNCTION("""COMPUTED_VALUE"""),82.0)</f>
        <v>82</v>
      </c>
    </row>
    <row r="341">
      <c r="A341" s="30" t="s">
        <v>678</v>
      </c>
      <c r="B341" s="30">
        <f>IFERROR(__xludf.DUMMYFUNCTION("""COMPUTED_VALUE"""),78.5)</f>
        <v>78.5</v>
      </c>
      <c r="C341" s="30"/>
      <c r="D341" s="30"/>
      <c r="E341" s="30"/>
      <c r="F341" s="30"/>
      <c r="G341" s="30"/>
      <c r="H341" s="30"/>
      <c r="I341" s="30"/>
      <c r="J341" s="30">
        <f>IFERROR(__xludf.DUMMYFUNCTION("""COMPUTED_VALUE"""),-11.059343513011441)</f>
        <v>-11.05934351</v>
      </c>
      <c r="K341" s="30"/>
      <c r="L341" s="30"/>
      <c r="M341" s="30"/>
      <c r="N341" s="30"/>
      <c r="O341" s="30">
        <f>IFERROR(__xludf.DUMMYFUNCTION("""COMPUTED_VALUE"""),-2.630874715592867)</f>
        <v>-2.630874716</v>
      </c>
      <c r="P341" s="30">
        <f>IFERROR(__xludf.DUMMYFUNCTION("""COMPUTED_VALUE"""),4.463999088063446)</f>
        <v>4.463999088</v>
      </c>
      <c r="Q341" s="30"/>
      <c r="R341" s="30"/>
      <c r="S341" s="30"/>
      <c r="T341" s="30"/>
      <c r="U341" s="30">
        <v>0.0</v>
      </c>
      <c r="V341" s="30"/>
      <c r="W341" s="30"/>
      <c r="X341" s="30"/>
      <c r="Y341" s="5">
        <f>IFERROR(__xludf.DUMMYFUNCTION("""COMPUTED_VALUE"""),77.0)</f>
        <v>77</v>
      </c>
      <c r="Z341" s="5">
        <f>IFERROR(__xludf.DUMMYFUNCTION("""COMPUTED_VALUE"""),80.0)</f>
        <v>80</v>
      </c>
    </row>
    <row r="342">
      <c r="A342" s="30" t="s">
        <v>1517</v>
      </c>
      <c r="B342" s="30">
        <f>IFERROR(__xludf.DUMMYFUNCTION("""COMPUTED_VALUE"""),80.0)</f>
        <v>80</v>
      </c>
      <c r="C342" s="30"/>
      <c r="D342" s="30"/>
      <c r="E342" s="30"/>
      <c r="F342" s="30"/>
      <c r="G342" s="30"/>
      <c r="H342" s="30"/>
      <c r="I342" s="30"/>
      <c r="J342" s="30">
        <f>IFERROR(__xludf.DUMMYFUNCTION("""COMPUTED_VALUE"""),-11.059343513011441)</f>
        <v>-11.05934351</v>
      </c>
      <c r="K342" s="30"/>
      <c r="L342" s="30"/>
      <c r="M342" s="30"/>
      <c r="N342" s="30"/>
      <c r="O342" s="30">
        <f>IFERROR(__xludf.DUMMYFUNCTION("""COMPUTED_VALUE"""),-2.630874715592867)</f>
        <v>-2.630874716</v>
      </c>
      <c r="P342" s="30">
        <f>IFERROR(__xludf.DUMMYFUNCTION("""COMPUTED_VALUE"""),4.463999088063446)</f>
        <v>4.463999088</v>
      </c>
      <c r="Q342" s="30"/>
      <c r="R342" s="30"/>
      <c r="S342" s="30"/>
      <c r="T342" s="30"/>
      <c r="U342" s="30">
        <v>0.0</v>
      </c>
      <c r="V342" s="30"/>
      <c r="W342" s="30"/>
      <c r="X342" s="30"/>
      <c r="Y342" s="5">
        <f>IFERROR(__xludf.DUMMYFUNCTION("""COMPUTED_VALUE"""),80.0)</f>
        <v>80</v>
      </c>
      <c r="Z342" s="5">
        <f>IFERROR(__xludf.DUMMYFUNCTION("""COMPUTED_VALUE"""),80.0)</f>
        <v>80</v>
      </c>
    </row>
    <row r="343">
      <c r="A343" s="30" t="s">
        <v>665</v>
      </c>
      <c r="B343" s="30">
        <f>IFERROR(__xludf.DUMMYFUNCTION("""COMPUTED_VALUE"""),78.0)</f>
        <v>78</v>
      </c>
      <c r="C343" s="30"/>
      <c r="D343" s="30"/>
      <c r="E343" s="30"/>
      <c r="F343" s="30"/>
      <c r="G343" s="30"/>
      <c r="H343" s="30"/>
      <c r="I343" s="30"/>
      <c r="J343" s="30">
        <f>IFERROR(__xludf.DUMMYFUNCTION("""COMPUTED_VALUE"""),-11.059343513011441)</f>
        <v>-11.05934351</v>
      </c>
      <c r="K343" s="30"/>
      <c r="L343" s="30"/>
      <c r="M343" s="30"/>
      <c r="N343" s="30"/>
      <c r="O343" s="30">
        <f>IFERROR(__xludf.DUMMYFUNCTION("""COMPUTED_VALUE"""),-2.630874715592867)</f>
        <v>-2.630874716</v>
      </c>
      <c r="P343" s="30">
        <f>IFERROR(__xludf.DUMMYFUNCTION("""COMPUTED_VALUE"""),4.463999088063446)</f>
        <v>4.463999088</v>
      </c>
      <c r="Q343" s="30"/>
      <c r="R343" s="30"/>
      <c r="S343" s="30"/>
      <c r="T343" s="30"/>
      <c r="U343" s="30">
        <v>0.0</v>
      </c>
      <c r="V343" s="30"/>
      <c r="W343" s="30"/>
      <c r="X343" s="30"/>
      <c r="Y343" s="5">
        <f>IFERROR(__xludf.DUMMYFUNCTION("""COMPUTED_VALUE"""),77.0)</f>
        <v>77</v>
      </c>
      <c r="Z343" s="5">
        <f>IFERROR(__xludf.DUMMYFUNCTION("""COMPUTED_VALUE"""),79.0)</f>
        <v>79</v>
      </c>
    </row>
    <row r="344">
      <c r="A344" s="30" t="s">
        <v>1100</v>
      </c>
      <c r="B344" s="30">
        <f>IFERROR(__xludf.DUMMYFUNCTION("""COMPUTED_VALUE"""),80.0)</f>
        <v>80</v>
      </c>
      <c r="C344" s="30"/>
      <c r="D344" s="30"/>
      <c r="E344" s="30"/>
      <c r="F344" s="30"/>
      <c r="G344" s="30"/>
      <c r="H344" s="30"/>
      <c r="I344" s="30"/>
      <c r="J344" s="30">
        <f>IFERROR(__xludf.DUMMYFUNCTION("""COMPUTED_VALUE"""),-11.059343513011441)</f>
        <v>-11.05934351</v>
      </c>
      <c r="K344" s="30"/>
      <c r="L344" s="30"/>
      <c r="M344" s="30"/>
      <c r="N344" s="30"/>
      <c r="O344" s="30">
        <f>IFERROR(__xludf.DUMMYFUNCTION("""COMPUTED_VALUE"""),-2.630874715592867)</f>
        <v>-2.630874716</v>
      </c>
      <c r="P344" s="30">
        <f>IFERROR(__xludf.DUMMYFUNCTION("""COMPUTED_VALUE"""),4.463999088063446)</f>
        <v>4.463999088</v>
      </c>
      <c r="Q344" s="30"/>
      <c r="R344" s="30"/>
      <c r="S344" s="30"/>
      <c r="T344" s="30"/>
      <c r="U344" s="30">
        <v>0.0</v>
      </c>
      <c r="V344" s="30"/>
      <c r="W344" s="30"/>
      <c r="X344" s="30"/>
      <c r="Y344" s="5">
        <f>IFERROR(__xludf.DUMMYFUNCTION("""COMPUTED_VALUE"""),79.0)</f>
        <v>79</v>
      </c>
      <c r="Z344" s="5">
        <f>IFERROR(__xludf.DUMMYFUNCTION("""COMPUTED_VALUE"""),81.0)</f>
        <v>81</v>
      </c>
    </row>
    <row r="345">
      <c r="A345" s="30" t="s">
        <v>559</v>
      </c>
      <c r="B345" s="30">
        <f>IFERROR(__xludf.DUMMYFUNCTION("""COMPUTED_VALUE"""),78.0)</f>
        <v>78</v>
      </c>
      <c r="C345" s="30"/>
      <c r="D345" s="30"/>
      <c r="E345" s="30"/>
      <c r="F345" s="30"/>
      <c r="G345" s="30"/>
      <c r="H345" s="30"/>
      <c r="I345" s="30"/>
      <c r="J345" s="30">
        <f>IFERROR(__xludf.DUMMYFUNCTION("""COMPUTED_VALUE"""),-11.059343513011441)</f>
        <v>-11.05934351</v>
      </c>
      <c r="K345" s="30"/>
      <c r="L345" s="30"/>
      <c r="M345" s="30"/>
      <c r="N345" s="30"/>
      <c r="O345" s="30">
        <f>IFERROR(__xludf.DUMMYFUNCTION("""COMPUTED_VALUE"""),-2.630874715592867)</f>
        <v>-2.630874716</v>
      </c>
      <c r="P345" s="30">
        <f>IFERROR(__xludf.DUMMYFUNCTION("""COMPUTED_VALUE"""),4.463999088063446)</f>
        <v>4.463999088</v>
      </c>
      <c r="Q345" s="30"/>
      <c r="R345" s="30"/>
      <c r="S345" s="30"/>
      <c r="T345" s="30"/>
      <c r="U345" s="30">
        <v>0.0</v>
      </c>
      <c r="V345" s="30"/>
      <c r="W345" s="30"/>
      <c r="X345" s="30"/>
      <c r="Y345" s="5">
        <f>IFERROR(__xludf.DUMMYFUNCTION("""COMPUTED_VALUE"""),77.0)</f>
        <v>77</v>
      </c>
      <c r="Z345" s="5">
        <f>IFERROR(__xludf.DUMMYFUNCTION("""COMPUTED_VALUE"""),79.0)</f>
        <v>79</v>
      </c>
    </row>
    <row r="346">
      <c r="A346" s="30" t="s">
        <v>1656</v>
      </c>
      <c r="B346" s="30">
        <f>IFERROR(__xludf.DUMMYFUNCTION("""COMPUTED_VALUE"""),79.5)</f>
        <v>79.5</v>
      </c>
      <c r="C346" s="30"/>
      <c r="D346" s="30"/>
      <c r="E346" s="30"/>
      <c r="F346" s="30"/>
      <c r="G346" s="30"/>
      <c r="H346" s="30"/>
      <c r="I346" s="30"/>
      <c r="J346" s="30">
        <f>IFERROR(__xludf.DUMMYFUNCTION("""COMPUTED_VALUE"""),-11.059343513011441)</f>
        <v>-11.05934351</v>
      </c>
      <c r="K346" s="30"/>
      <c r="L346" s="30"/>
      <c r="M346" s="30"/>
      <c r="N346" s="30"/>
      <c r="O346" s="30">
        <f>IFERROR(__xludf.DUMMYFUNCTION("""COMPUTED_VALUE"""),-2.630874715592867)</f>
        <v>-2.630874716</v>
      </c>
      <c r="P346" s="30">
        <f>IFERROR(__xludf.DUMMYFUNCTION("""COMPUTED_VALUE"""),4.463999088063446)</f>
        <v>4.463999088</v>
      </c>
      <c r="Q346" s="30"/>
      <c r="R346" s="30"/>
      <c r="S346" s="30"/>
      <c r="T346" s="30"/>
      <c r="U346" s="30">
        <v>0.0</v>
      </c>
      <c r="V346" s="30"/>
      <c r="W346" s="30"/>
      <c r="X346" s="30"/>
      <c r="Y346" s="5">
        <f>IFERROR(__xludf.DUMMYFUNCTION("""COMPUTED_VALUE"""),79.0)</f>
        <v>79</v>
      </c>
      <c r="Z346" s="5">
        <f>IFERROR(__xludf.DUMMYFUNCTION("""COMPUTED_VALUE"""),80.0)</f>
        <v>80</v>
      </c>
    </row>
    <row r="347">
      <c r="A347" s="30" t="s">
        <v>1178</v>
      </c>
      <c r="B347" s="30">
        <f>IFERROR(__xludf.DUMMYFUNCTION("""COMPUTED_VALUE"""),79.5)</f>
        <v>79.5</v>
      </c>
      <c r="C347" s="30"/>
      <c r="D347" s="30"/>
      <c r="E347" s="30"/>
      <c r="F347" s="30"/>
      <c r="G347" s="30"/>
      <c r="H347" s="30"/>
      <c r="I347" s="30"/>
      <c r="J347" s="30">
        <f>IFERROR(__xludf.DUMMYFUNCTION("""COMPUTED_VALUE"""),-11.059343513011441)</f>
        <v>-11.05934351</v>
      </c>
      <c r="K347" s="30"/>
      <c r="L347" s="30"/>
      <c r="M347" s="30"/>
      <c r="N347" s="30"/>
      <c r="O347" s="30">
        <f>IFERROR(__xludf.DUMMYFUNCTION("""COMPUTED_VALUE"""),-2.630874715592867)</f>
        <v>-2.630874716</v>
      </c>
      <c r="P347" s="30">
        <f>IFERROR(__xludf.DUMMYFUNCTION("""COMPUTED_VALUE"""),4.463999088063446)</f>
        <v>4.463999088</v>
      </c>
      <c r="Q347" s="30"/>
      <c r="R347" s="30"/>
      <c r="S347" s="30"/>
      <c r="T347" s="30"/>
      <c r="U347" s="30">
        <v>0.0</v>
      </c>
      <c r="V347" s="30"/>
      <c r="W347" s="30"/>
      <c r="X347" s="30"/>
      <c r="Y347" s="5">
        <f>IFERROR(__xludf.DUMMYFUNCTION("""COMPUTED_VALUE"""),79.0)</f>
        <v>79</v>
      </c>
      <c r="Z347" s="5">
        <f>IFERROR(__xludf.DUMMYFUNCTION("""COMPUTED_VALUE"""),80.0)</f>
        <v>80</v>
      </c>
    </row>
    <row r="348">
      <c r="A348" s="30" t="s">
        <v>1664</v>
      </c>
      <c r="B348" s="30">
        <f>IFERROR(__xludf.DUMMYFUNCTION("""COMPUTED_VALUE"""),81.0)</f>
        <v>81</v>
      </c>
      <c r="C348" s="30"/>
      <c r="D348" s="30"/>
      <c r="E348" s="30"/>
      <c r="F348" s="30"/>
      <c r="G348" s="30"/>
      <c r="H348" s="30"/>
      <c r="I348" s="30"/>
      <c r="J348" s="30">
        <f>IFERROR(__xludf.DUMMYFUNCTION("""COMPUTED_VALUE"""),-11.059343513011441)</f>
        <v>-11.05934351</v>
      </c>
      <c r="K348" s="30"/>
      <c r="L348" s="30"/>
      <c r="M348" s="30"/>
      <c r="N348" s="30"/>
      <c r="O348" s="30">
        <f>IFERROR(__xludf.DUMMYFUNCTION("""COMPUTED_VALUE"""),-2.630874715592867)</f>
        <v>-2.630874716</v>
      </c>
      <c r="P348" s="30">
        <f>IFERROR(__xludf.DUMMYFUNCTION("""COMPUTED_VALUE"""),4.463999088063446)</f>
        <v>4.463999088</v>
      </c>
      <c r="Q348" s="30"/>
      <c r="R348" s="30"/>
      <c r="S348" s="30"/>
      <c r="T348" s="30"/>
      <c r="U348" s="30">
        <v>0.0</v>
      </c>
      <c r="V348" s="30"/>
      <c r="W348" s="30"/>
      <c r="X348" s="30"/>
      <c r="Y348" s="5">
        <f>IFERROR(__xludf.DUMMYFUNCTION("""COMPUTED_VALUE"""),81.0)</f>
        <v>81</v>
      </c>
      <c r="Z348" s="5">
        <f>IFERROR(__xludf.DUMMYFUNCTION("""COMPUTED_VALUE"""),81.0)</f>
        <v>81</v>
      </c>
    </row>
    <row r="349">
      <c r="A349" s="30" t="s">
        <v>1294</v>
      </c>
      <c r="B349" s="30">
        <f>IFERROR(__xludf.DUMMYFUNCTION("""COMPUTED_VALUE"""),80.0)</f>
        <v>80</v>
      </c>
      <c r="C349" s="30"/>
      <c r="D349" s="30"/>
      <c r="E349" s="30"/>
      <c r="F349" s="30"/>
      <c r="G349" s="30"/>
      <c r="H349" s="30"/>
      <c r="I349" s="30"/>
      <c r="J349" s="30">
        <f>IFERROR(__xludf.DUMMYFUNCTION("""COMPUTED_VALUE"""),-11.059343513011441)</f>
        <v>-11.05934351</v>
      </c>
      <c r="K349" s="30"/>
      <c r="L349" s="30"/>
      <c r="M349" s="30"/>
      <c r="N349" s="30"/>
      <c r="O349" s="30">
        <f>IFERROR(__xludf.DUMMYFUNCTION("""COMPUTED_VALUE"""),-2.630874715592867)</f>
        <v>-2.630874716</v>
      </c>
      <c r="P349" s="30">
        <f>IFERROR(__xludf.DUMMYFUNCTION("""COMPUTED_VALUE"""),4.463999088063446)</f>
        <v>4.463999088</v>
      </c>
      <c r="Q349" s="30"/>
      <c r="R349" s="30"/>
      <c r="S349" s="30"/>
      <c r="T349" s="30"/>
      <c r="U349" s="30">
        <v>0.0</v>
      </c>
      <c r="V349" s="30"/>
      <c r="W349" s="30"/>
      <c r="X349" s="30"/>
      <c r="Y349" s="5">
        <f>IFERROR(__xludf.DUMMYFUNCTION("""COMPUTED_VALUE"""),80.0)</f>
        <v>80</v>
      </c>
      <c r="Z349" s="5">
        <f>IFERROR(__xludf.DUMMYFUNCTION("""COMPUTED_VALUE"""),80.0)</f>
        <v>80</v>
      </c>
    </row>
    <row r="350">
      <c r="A350" s="30" t="s">
        <v>197</v>
      </c>
      <c r="B350" s="30">
        <f>IFERROR(__xludf.DUMMYFUNCTION("""COMPUTED_VALUE"""),79.0)</f>
        <v>79</v>
      </c>
      <c r="C350" s="30"/>
      <c r="D350" s="30"/>
      <c r="E350" s="30"/>
      <c r="F350" s="30"/>
      <c r="G350" s="30"/>
      <c r="H350" s="30"/>
      <c r="I350" s="30"/>
      <c r="J350" s="30">
        <f>IFERROR(__xludf.DUMMYFUNCTION("""COMPUTED_VALUE"""),-11.059343513011441)</f>
        <v>-11.05934351</v>
      </c>
      <c r="K350" s="30"/>
      <c r="L350" s="30"/>
      <c r="M350" s="30"/>
      <c r="N350" s="30"/>
      <c r="O350" s="30">
        <f>IFERROR(__xludf.DUMMYFUNCTION("""COMPUTED_VALUE"""),-2.630874715592867)</f>
        <v>-2.630874716</v>
      </c>
      <c r="P350" s="30">
        <f>IFERROR(__xludf.DUMMYFUNCTION("""COMPUTED_VALUE"""),4.463999088063446)</f>
        <v>4.463999088</v>
      </c>
      <c r="Q350" s="30"/>
      <c r="R350" s="30"/>
      <c r="S350" s="30"/>
      <c r="T350" s="30"/>
      <c r="U350" s="30">
        <v>0.0</v>
      </c>
      <c r="V350" s="30"/>
      <c r="W350" s="30"/>
      <c r="X350" s="30"/>
      <c r="Y350" s="5">
        <f>IFERROR(__xludf.DUMMYFUNCTION("""COMPUTED_VALUE"""),78.0)</f>
        <v>78</v>
      </c>
      <c r="Z350" s="5">
        <f>IFERROR(__xludf.DUMMYFUNCTION("""COMPUTED_VALUE"""),80.0)</f>
        <v>80</v>
      </c>
    </row>
    <row r="351">
      <c r="A351" s="30" t="s">
        <v>1674</v>
      </c>
      <c r="B351" s="30">
        <f>IFERROR(__xludf.DUMMYFUNCTION("""COMPUTED_VALUE"""),82.0)</f>
        <v>82</v>
      </c>
      <c r="C351" s="30"/>
      <c r="D351" s="30"/>
      <c r="E351" s="30"/>
      <c r="F351" s="30"/>
      <c r="G351" s="30"/>
      <c r="H351" s="30"/>
      <c r="I351" s="30"/>
      <c r="J351" s="30">
        <f>IFERROR(__xludf.DUMMYFUNCTION("""COMPUTED_VALUE"""),-11.059343513011441)</f>
        <v>-11.05934351</v>
      </c>
      <c r="K351" s="30"/>
      <c r="L351" s="30"/>
      <c r="M351" s="30"/>
      <c r="N351" s="30"/>
      <c r="O351" s="30">
        <f>IFERROR(__xludf.DUMMYFUNCTION("""COMPUTED_VALUE"""),-2.630874715592867)</f>
        <v>-2.630874716</v>
      </c>
      <c r="P351" s="30">
        <f>IFERROR(__xludf.DUMMYFUNCTION("""COMPUTED_VALUE"""),4.463999088063446)</f>
        <v>4.463999088</v>
      </c>
      <c r="Q351" s="30"/>
      <c r="R351" s="30"/>
      <c r="S351" s="30"/>
      <c r="T351" s="30"/>
      <c r="U351" s="30">
        <v>0.0</v>
      </c>
      <c r="V351" s="30"/>
      <c r="W351" s="30"/>
      <c r="X351" s="30"/>
      <c r="Y351" s="5">
        <f>IFERROR(__xludf.DUMMYFUNCTION("""COMPUTED_VALUE"""),82.0)</f>
        <v>82</v>
      </c>
      <c r="Z351" s="5">
        <f>IFERROR(__xludf.DUMMYFUNCTION("""COMPUTED_VALUE"""),82.0)</f>
        <v>82</v>
      </c>
    </row>
    <row r="352">
      <c r="A352" s="30" t="s">
        <v>1675</v>
      </c>
      <c r="B352" s="30">
        <f>IFERROR(__xludf.DUMMYFUNCTION("""COMPUTED_VALUE"""),80.0)</f>
        <v>80</v>
      </c>
      <c r="C352" s="30"/>
      <c r="D352" s="30"/>
      <c r="E352" s="30"/>
      <c r="F352" s="30"/>
      <c r="G352" s="30"/>
      <c r="H352" s="30"/>
      <c r="I352" s="30"/>
      <c r="J352" s="30">
        <f>IFERROR(__xludf.DUMMYFUNCTION("""COMPUTED_VALUE"""),-11.059343513011441)</f>
        <v>-11.05934351</v>
      </c>
      <c r="K352" s="30"/>
      <c r="L352" s="30"/>
      <c r="M352" s="30"/>
      <c r="N352" s="30"/>
      <c r="O352" s="30">
        <f>IFERROR(__xludf.DUMMYFUNCTION("""COMPUTED_VALUE"""),-2.630874715592867)</f>
        <v>-2.630874716</v>
      </c>
      <c r="P352" s="30">
        <f>IFERROR(__xludf.DUMMYFUNCTION("""COMPUTED_VALUE"""),4.463999088063446)</f>
        <v>4.463999088</v>
      </c>
      <c r="Q352" s="30"/>
      <c r="R352" s="30"/>
      <c r="S352" s="30"/>
      <c r="T352" s="30"/>
      <c r="U352" s="30">
        <v>0.0</v>
      </c>
      <c r="V352" s="30"/>
      <c r="W352" s="30"/>
      <c r="X352" s="30"/>
      <c r="Y352" s="5">
        <f>IFERROR(__xludf.DUMMYFUNCTION("""COMPUTED_VALUE"""),80.0)</f>
        <v>80</v>
      </c>
      <c r="Z352" s="5">
        <f>IFERROR(__xludf.DUMMYFUNCTION("""COMPUTED_VALUE"""),80.0)</f>
        <v>80</v>
      </c>
    </row>
    <row r="353">
      <c r="A353" s="30" t="s">
        <v>1343</v>
      </c>
      <c r="B353" s="30">
        <f>IFERROR(__xludf.DUMMYFUNCTION("""COMPUTED_VALUE"""),80.0)</f>
        <v>80</v>
      </c>
      <c r="C353" s="30"/>
      <c r="D353" s="30"/>
      <c r="E353" s="30"/>
      <c r="F353" s="30"/>
      <c r="G353" s="30"/>
      <c r="H353" s="30"/>
      <c r="I353" s="30"/>
      <c r="J353" s="30">
        <f>IFERROR(__xludf.DUMMYFUNCTION("""COMPUTED_VALUE"""),-11.059343513011441)</f>
        <v>-11.05934351</v>
      </c>
      <c r="K353" s="30"/>
      <c r="L353" s="30"/>
      <c r="M353" s="30"/>
      <c r="N353" s="30"/>
      <c r="O353" s="30">
        <f>IFERROR(__xludf.DUMMYFUNCTION("""COMPUTED_VALUE"""),-2.630874715592867)</f>
        <v>-2.630874716</v>
      </c>
      <c r="P353" s="30">
        <f>IFERROR(__xludf.DUMMYFUNCTION("""COMPUTED_VALUE"""),4.463999088063446)</f>
        <v>4.463999088</v>
      </c>
      <c r="Q353" s="30"/>
      <c r="R353" s="30"/>
      <c r="S353" s="30"/>
      <c r="T353" s="30"/>
      <c r="U353" s="30">
        <v>0.0</v>
      </c>
      <c r="V353" s="30"/>
      <c r="W353" s="30"/>
      <c r="X353" s="30"/>
      <c r="Y353" s="5">
        <f>IFERROR(__xludf.DUMMYFUNCTION("""COMPUTED_VALUE"""),80.0)</f>
        <v>80</v>
      </c>
      <c r="Z353" s="5">
        <f>IFERROR(__xludf.DUMMYFUNCTION("""COMPUTED_VALUE"""),80.0)</f>
        <v>80</v>
      </c>
    </row>
    <row r="354">
      <c r="A354" s="30" t="s">
        <v>1371</v>
      </c>
      <c r="B354" s="30">
        <f>IFERROR(__xludf.DUMMYFUNCTION("""COMPUTED_VALUE"""),81.0)</f>
        <v>81</v>
      </c>
      <c r="C354" s="30"/>
      <c r="D354" s="30"/>
      <c r="E354" s="30"/>
      <c r="F354" s="30"/>
      <c r="G354" s="30"/>
      <c r="H354" s="30"/>
      <c r="I354" s="30"/>
      <c r="J354" s="30">
        <f>IFERROR(__xludf.DUMMYFUNCTION("""COMPUTED_VALUE"""),-11.059343513011441)</f>
        <v>-11.05934351</v>
      </c>
      <c r="K354" s="30"/>
      <c r="L354" s="30"/>
      <c r="M354" s="30"/>
      <c r="N354" s="30"/>
      <c r="O354" s="30">
        <f>IFERROR(__xludf.DUMMYFUNCTION("""COMPUTED_VALUE"""),-2.630874715592867)</f>
        <v>-2.630874716</v>
      </c>
      <c r="P354" s="30">
        <f>IFERROR(__xludf.DUMMYFUNCTION("""COMPUTED_VALUE"""),4.463999088063446)</f>
        <v>4.463999088</v>
      </c>
      <c r="Q354" s="30"/>
      <c r="R354" s="30"/>
      <c r="S354" s="30"/>
      <c r="T354" s="30"/>
      <c r="U354" s="30">
        <v>0.0</v>
      </c>
      <c r="V354" s="30"/>
      <c r="W354" s="30"/>
      <c r="X354" s="30"/>
      <c r="Y354" s="5">
        <f>IFERROR(__xludf.DUMMYFUNCTION("""COMPUTED_VALUE"""),81.0)</f>
        <v>81</v>
      </c>
      <c r="Z354" s="5">
        <f>IFERROR(__xludf.DUMMYFUNCTION("""COMPUTED_VALUE"""),81.0)</f>
        <v>81</v>
      </c>
    </row>
    <row r="355">
      <c r="A355" s="30" t="s">
        <v>640</v>
      </c>
      <c r="B355" s="30">
        <f>IFERROR(__xludf.DUMMYFUNCTION("""COMPUTED_VALUE"""),79.0)</f>
        <v>79</v>
      </c>
      <c r="C355" s="30"/>
      <c r="D355" s="30"/>
      <c r="E355" s="30"/>
      <c r="F355" s="30"/>
      <c r="G355" s="30"/>
      <c r="H355" s="30"/>
      <c r="I355" s="30"/>
      <c r="J355" s="30">
        <f>IFERROR(__xludf.DUMMYFUNCTION("""COMPUTED_VALUE"""),-11.059343513011441)</f>
        <v>-11.05934351</v>
      </c>
      <c r="K355" s="30"/>
      <c r="L355" s="30"/>
      <c r="M355" s="30"/>
      <c r="N355" s="30"/>
      <c r="O355" s="30">
        <f>IFERROR(__xludf.DUMMYFUNCTION("""COMPUTED_VALUE"""),-2.630874715592867)</f>
        <v>-2.630874716</v>
      </c>
      <c r="P355" s="30">
        <f>IFERROR(__xludf.DUMMYFUNCTION("""COMPUTED_VALUE"""),4.463999088063446)</f>
        <v>4.463999088</v>
      </c>
      <c r="Q355" s="30"/>
      <c r="R355" s="30"/>
      <c r="S355" s="30"/>
      <c r="T355" s="30"/>
      <c r="U355" s="30">
        <v>0.0</v>
      </c>
      <c r="V355" s="30"/>
      <c r="W355" s="30"/>
      <c r="X355" s="30"/>
      <c r="Y355" s="5">
        <f>IFERROR(__xludf.DUMMYFUNCTION("""COMPUTED_VALUE"""),78.0)</f>
        <v>78</v>
      </c>
      <c r="Z355" s="5">
        <f>IFERROR(__xludf.DUMMYFUNCTION("""COMPUTED_VALUE"""),80.0)</f>
        <v>80</v>
      </c>
    </row>
    <row r="356">
      <c r="A356" s="30" t="s">
        <v>1682</v>
      </c>
      <c r="B356" s="30">
        <f>IFERROR(__xludf.DUMMYFUNCTION("""COMPUTED_VALUE"""),81.0)</f>
        <v>81</v>
      </c>
      <c r="C356" s="30"/>
      <c r="D356" s="30"/>
      <c r="E356" s="30"/>
      <c r="F356" s="30"/>
      <c r="G356" s="30"/>
      <c r="H356" s="30"/>
      <c r="I356" s="30"/>
      <c r="J356" s="30">
        <f>IFERROR(__xludf.DUMMYFUNCTION("""COMPUTED_VALUE"""),-11.059343513011441)</f>
        <v>-11.05934351</v>
      </c>
      <c r="K356" s="30"/>
      <c r="L356" s="30"/>
      <c r="M356" s="30"/>
      <c r="N356" s="30"/>
      <c r="O356" s="30">
        <f>IFERROR(__xludf.DUMMYFUNCTION("""COMPUTED_VALUE"""),-2.630874715592867)</f>
        <v>-2.630874716</v>
      </c>
      <c r="P356" s="30">
        <f>IFERROR(__xludf.DUMMYFUNCTION("""COMPUTED_VALUE"""),4.463999088063446)</f>
        <v>4.463999088</v>
      </c>
      <c r="Q356" s="30"/>
      <c r="R356" s="30"/>
      <c r="S356" s="30"/>
      <c r="T356" s="30"/>
      <c r="U356" s="30">
        <v>0.0</v>
      </c>
      <c r="V356" s="30"/>
      <c r="W356" s="30"/>
      <c r="X356" s="30"/>
      <c r="Y356" s="5">
        <f>IFERROR(__xludf.DUMMYFUNCTION("""COMPUTED_VALUE"""),81.0)</f>
        <v>81</v>
      </c>
      <c r="Z356" s="5">
        <f>IFERROR(__xludf.DUMMYFUNCTION("""COMPUTED_VALUE"""),81.0)</f>
        <v>81</v>
      </c>
    </row>
    <row r="357">
      <c r="A357" s="30" t="s">
        <v>797</v>
      </c>
      <c r="B357" s="30">
        <f>IFERROR(__xludf.DUMMYFUNCTION("""COMPUTED_VALUE"""),80.0)</f>
        <v>80</v>
      </c>
      <c r="C357" s="30"/>
      <c r="D357" s="30"/>
      <c r="E357" s="30"/>
      <c r="F357" s="30"/>
      <c r="G357" s="30"/>
      <c r="H357" s="30"/>
      <c r="I357" s="30"/>
      <c r="J357" s="30">
        <f>IFERROR(__xludf.DUMMYFUNCTION("""COMPUTED_VALUE"""),-11.059343513011441)</f>
        <v>-11.05934351</v>
      </c>
      <c r="K357" s="30"/>
      <c r="L357" s="30"/>
      <c r="M357" s="30"/>
      <c r="N357" s="30"/>
      <c r="O357" s="30">
        <f>IFERROR(__xludf.DUMMYFUNCTION("""COMPUTED_VALUE"""),-2.630874715592867)</f>
        <v>-2.630874716</v>
      </c>
      <c r="P357" s="30">
        <f>IFERROR(__xludf.DUMMYFUNCTION("""COMPUTED_VALUE"""),4.463999088063446)</f>
        <v>4.463999088</v>
      </c>
      <c r="Q357" s="30"/>
      <c r="R357" s="30"/>
      <c r="S357" s="30"/>
      <c r="T357" s="30"/>
      <c r="U357" s="30">
        <v>0.0</v>
      </c>
      <c r="V357" s="30"/>
      <c r="W357" s="30"/>
      <c r="X357" s="30"/>
      <c r="Y357" s="5">
        <f>IFERROR(__xludf.DUMMYFUNCTION("""COMPUTED_VALUE"""),80.0)</f>
        <v>80</v>
      </c>
      <c r="Z357" s="5">
        <f>IFERROR(__xludf.DUMMYFUNCTION("""COMPUTED_VALUE"""),80.0)</f>
        <v>80</v>
      </c>
    </row>
    <row r="358">
      <c r="A358" s="30" t="s">
        <v>407</v>
      </c>
      <c r="B358" s="30">
        <f>IFERROR(__xludf.DUMMYFUNCTION("""COMPUTED_VALUE"""),79.5)</f>
        <v>79.5</v>
      </c>
      <c r="C358" s="30"/>
      <c r="D358" s="30"/>
      <c r="E358" s="30"/>
      <c r="F358" s="30"/>
      <c r="G358" s="30"/>
      <c r="H358" s="30"/>
      <c r="I358" s="30"/>
      <c r="J358" s="30">
        <f>IFERROR(__xludf.DUMMYFUNCTION("""COMPUTED_VALUE"""),-11.059343513011441)</f>
        <v>-11.05934351</v>
      </c>
      <c r="K358" s="30"/>
      <c r="L358" s="30"/>
      <c r="M358" s="30"/>
      <c r="N358" s="30"/>
      <c r="O358" s="30">
        <f>IFERROR(__xludf.DUMMYFUNCTION("""COMPUTED_VALUE"""),-2.630874715592867)</f>
        <v>-2.630874716</v>
      </c>
      <c r="P358" s="30">
        <f>IFERROR(__xludf.DUMMYFUNCTION("""COMPUTED_VALUE"""),4.463999088063446)</f>
        <v>4.463999088</v>
      </c>
      <c r="Q358" s="30"/>
      <c r="R358" s="30"/>
      <c r="S358" s="30"/>
      <c r="T358" s="30"/>
      <c r="U358" s="30">
        <v>0.0</v>
      </c>
      <c r="V358" s="30"/>
      <c r="W358" s="30"/>
      <c r="X358" s="30"/>
      <c r="Y358" s="5">
        <f>IFERROR(__xludf.DUMMYFUNCTION("""COMPUTED_VALUE"""),79.0)</f>
        <v>79</v>
      </c>
      <c r="Z358" s="5">
        <f>IFERROR(__xludf.DUMMYFUNCTION("""COMPUTED_VALUE"""),80.0)</f>
        <v>80</v>
      </c>
    </row>
    <row r="359">
      <c r="A359" s="30" t="s">
        <v>1690</v>
      </c>
      <c r="B359" s="30">
        <f>IFERROR(__xludf.DUMMYFUNCTION("""COMPUTED_VALUE"""),80.0)</f>
        <v>80</v>
      </c>
      <c r="C359" s="30"/>
      <c r="D359" s="30"/>
      <c r="E359" s="30"/>
      <c r="F359" s="30"/>
      <c r="G359" s="30"/>
      <c r="H359" s="30"/>
      <c r="I359" s="30"/>
      <c r="J359" s="30">
        <f>IFERROR(__xludf.DUMMYFUNCTION("""COMPUTED_VALUE"""),-11.059343513011441)</f>
        <v>-11.05934351</v>
      </c>
      <c r="K359" s="30"/>
      <c r="L359" s="30"/>
      <c r="M359" s="30"/>
      <c r="N359" s="30"/>
      <c r="O359" s="30">
        <f>IFERROR(__xludf.DUMMYFUNCTION("""COMPUTED_VALUE"""),-2.630874715592867)</f>
        <v>-2.630874716</v>
      </c>
      <c r="P359" s="30">
        <f>IFERROR(__xludf.DUMMYFUNCTION("""COMPUTED_VALUE"""),4.463999088063446)</f>
        <v>4.463999088</v>
      </c>
      <c r="Q359" s="30"/>
      <c r="R359" s="30"/>
      <c r="S359" s="30"/>
      <c r="T359" s="30"/>
      <c r="U359" s="30">
        <v>0.0</v>
      </c>
      <c r="V359" s="30"/>
      <c r="W359" s="30"/>
      <c r="X359" s="30"/>
      <c r="Y359" s="5">
        <f>IFERROR(__xludf.DUMMYFUNCTION("""COMPUTED_VALUE"""),80.0)</f>
        <v>80</v>
      </c>
      <c r="Z359" s="5">
        <f>IFERROR(__xludf.DUMMYFUNCTION("""COMPUTED_VALUE"""),80.0)</f>
        <v>80</v>
      </c>
    </row>
    <row r="360">
      <c r="A360" s="30" t="s">
        <v>823</v>
      </c>
      <c r="B360" s="30">
        <f>IFERROR(__xludf.DUMMYFUNCTION("""COMPUTED_VALUE"""),80.0)</f>
        <v>80</v>
      </c>
      <c r="C360" s="30"/>
      <c r="D360" s="30"/>
      <c r="E360" s="30"/>
      <c r="F360" s="30"/>
      <c r="G360" s="30"/>
      <c r="H360" s="30"/>
      <c r="I360" s="30"/>
      <c r="J360" s="30">
        <f>IFERROR(__xludf.DUMMYFUNCTION("""COMPUTED_VALUE"""),-11.059343513011441)</f>
        <v>-11.05934351</v>
      </c>
      <c r="K360" s="30"/>
      <c r="L360" s="30"/>
      <c r="M360" s="30"/>
      <c r="N360" s="30"/>
      <c r="O360" s="30">
        <f>IFERROR(__xludf.DUMMYFUNCTION("""COMPUTED_VALUE"""),-2.630874715592867)</f>
        <v>-2.630874716</v>
      </c>
      <c r="P360" s="30">
        <f>IFERROR(__xludf.DUMMYFUNCTION("""COMPUTED_VALUE"""),4.463999088063446)</f>
        <v>4.463999088</v>
      </c>
      <c r="Q360" s="30"/>
      <c r="R360" s="30"/>
      <c r="S360" s="30"/>
      <c r="T360" s="30"/>
      <c r="U360" s="30">
        <v>0.0</v>
      </c>
      <c r="V360" s="30"/>
      <c r="W360" s="30"/>
      <c r="X360" s="30"/>
      <c r="Y360" s="5">
        <f>IFERROR(__xludf.DUMMYFUNCTION("""COMPUTED_VALUE"""),80.0)</f>
        <v>80</v>
      </c>
      <c r="Z360" s="5">
        <f>IFERROR(__xludf.DUMMYFUNCTION("""COMPUTED_VALUE"""),80.0)</f>
        <v>80</v>
      </c>
    </row>
    <row r="361">
      <c r="A361" s="30" t="s">
        <v>1691</v>
      </c>
      <c r="B361" s="30">
        <f>IFERROR(__xludf.DUMMYFUNCTION("""COMPUTED_VALUE"""),80.0)</f>
        <v>80</v>
      </c>
      <c r="C361" s="30"/>
      <c r="D361" s="30"/>
      <c r="E361" s="30"/>
      <c r="F361" s="30"/>
      <c r="G361" s="30"/>
      <c r="H361" s="30"/>
      <c r="I361" s="30"/>
      <c r="J361" s="30">
        <f>IFERROR(__xludf.DUMMYFUNCTION("""COMPUTED_VALUE"""),-11.059343513011441)</f>
        <v>-11.05934351</v>
      </c>
      <c r="K361" s="30"/>
      <c r="L361" s="30"/>
      <c r="M361" s="30"/>
      <c r="N361" s="30"/>
      <c r="O361" s="30">
        <f>IFERROR(__xludf.DUMMYFUNCTION("""COMPUTED_VALUE"""),-2.630874715592867)</f>
        <v>-2.630874716</v>
      </c>
      <c r="P361" s="30">
        <f>IFERROR(__xludf.DUMMYFUNCTION("""COMPUTED_VALUE"""),4.463999088063446)</f>
        <v>4.463999088</v>
      </c>
      <c r="Q361" s="30"/>
      <c r="R361" s="30"/>
      <c r="S361" s="30"/>
      <c r="T361" s="30"/>
      <c r="U361" s="30">
        <v>0.0</v>
      </c>
      <c r="V361" s="30"/>
      <c r="W361" s="30"/>
      <c r="X361" s="30"/>
      <c r="Y361" s="5">
        <f>IFERROR(__xludf.DUMMYFUNCTION("""COMPUTED_VALUE"""),80.0)</f>
        <v>80</v>
      </c>
      <c r="Z361" s="5">
        <f>IFERROR(__xludf.DUMMYFUNCTION("""COMPUTED_VALUE"""),80.0)</f>
        <v>80</v>
      </c>
    </row>
    <row r="362">
      <c r="A362" s="30" t="s">
        <v>1149</v>
      </c>
      <c r="B362" s="30">
        <f>IFERROR(__xludf.DUMMYFUNCTION("""COMPUTED_VALUE"""),80.0)</f>
        <v>80</v>
      </c>
      <c r="C362" s="30"/>
      <c r="D362" s="30"/>
      <c r="E362" s="30"/>
      <c r="F362" s="30"/>
      <c r="G362" s="30"/>
      <c r="H362" s="30"/>
      <c r="I362" s="30"/>
      <c r="J362" s="30">
        <f>IFERROR(__xludf.DUMMYFUNCTION("""COMPUTED_VALUE"""),-11.059343513011441)</f>
        <v>-11.05934351</v>
      </c>
      <c r="K362" s="30"/>
      <c r="L362" s="30"/>
      <c r="M362" s="30"/>
      <c r="N362" s="30"/>
      <c r="O362" s="30">
        <f>IFERROR(__xludf.DUMMYFUNCTION("""COMPUTED_VALUE"""),-2.630874715592867)</f>
        <v>-2.630874716</v>
      </c>
      <c r="P362" s="30">
        <f>IFERROR(__xludf.DUMMYFUNCTION("""COMPUTED_VALUE"""),4.463999088063446)</f>
        <v>4.463999088</v>
      </c>
      <c r="Q362" s="30"/>
      <c r="R362" s="30"/>
      <c r="S362" s="30"/>
      <c r="T362" s="30"/>
      <c r="U362" s="30">
        <v>0.0</v>
      </c>
      <c r="V362" s="30"/>
      <c r="W362" s="30"/>
      <c r="X362" s="30"/>
      <c r="Y362" s="5">
        <f>IFERROR(__xludf.DUMMYFUNCTION("""COMPUTED_VALUE"""),78.0)</f>
        <v>78</v>
      </c>
      <c r="Z362" s="5">
        <f>IFERROR(__xludf.DUMMYFUNCTION("""COMPUTED_VALUE"""),82.0)</f>
        <v>82</v>
      </c>
    </row>
    <row r="363">
      <c r="A363" s="30" t="s">
        <v>1030</v>
      </c>
      <c r="B363" s="30">
        <f>IFERROR(__xludf.DUMMYFUNCTION("""COMPUTED_VALUE"""),79.5)</f>
        <v>79.5</v>
      </c>
      <c r="C363" s="30"/>
      <c r="D363" s="30"/>
      <c r="E363" s="30"/>
      <c r="F363" s="30"/>
      <c r="G363" s="30"/>
      <c r="H363" s="30"/>
      <c r="I363" s="30"/>
      <c r="J363" s="30">
        <f>IFERROR(__xludf.DUMMYFUNCTION("""COMPUTED_VALUE"""),-11.059343513011441)</f>
        <v>-11.05934351</v>
      </c>
      <c r="K363" s="30"/>
      <c r="L363" s="30"/>
      <c r="M363" s="30"/>
      <c r="N363" s="30"/>
      <c r="O363" s="30">
        <f>IFERROR(__xludf.DUMMYFUNCTION("""COMPUTED_VALUE"""),-2.630874715592867)</f>
        <v>-2.630874716</v>
      </c>
      <c r="P363" s="30">
        <f>IFERROR(__xludf.DUMMYFUNCTION("""COMPUTED_VALUE"""),4.463999088063446)</f>
        <v>4.463999088</v>
      </c>
      <c r="Q363" s="30"/>
      <c r="R363" s="30"/>
      <c r="S363" s="30"/>
      <c r="T363" s="30"/>
      <c r="U363" s="30">
        <v>0.0</v>
      </c>
      <c r="V363" s="30"/>
      <c r="W363" s="30"/>
      <c r="X363" s="30"/>
      <c r="Y363" s="5">
        <f>IFERROR(__xludf.DUMMYFUNCTION("""COMPUTED_VALUE"""),79.0)</f>
        <v>79</v>
      </c>
      <c r="Z363" s="5">
        <f>IFERROR(__xludf.DUMMYFUNCTION("""COMPUTED_VALUE"""),80.0)</f>
        <v>80</v>
      </c>
    </row>
    <row r="364">
      <c r="A364" s="30" t="s">
        <v>1707</v>
      </c>
      <c r="B364" s="30">
        <f>IFERROR(__xludf.DUMMYFUNCTION("""COMPUTED_VALUE"""),81.5)</f>
        <v>81.5</v>
      </c>
      <c r="C364" s="30"/>
      <c r="D364" s="30"/>
      <c r="E364" s="30"/>
      <c r="F364" s="30"/>
      <c r="G364" s="30"/>
      <c r="H364" s="30"/>
      <c r="I364" s="30"/>
      <c r="J364" s="30">
        <f>IFERROR(__xludf.DUMMYFUNCTION("""COMPUTED_VALUE"""),-11.059343513011441)</f>
        <v>-11.05934351</v>
      </c>
      <c r="K364" s="30"/>
      <c r="L364" s="30"/>
      <c r="M364" s="30"/>
      <c r="N364" s="30"/>
      <c r="O364" s="30">
        <f>IFERROR(__xludf.DUMMYFUNCTION("""COMPUTED_VALUE"""),-2.630874715592867)</f>
        <v>-2.630874716</v>
      </c>
      <c r="P364" s="30">
        <f>IFERROR(__xludf.DUMMYFUNCTION("""COMPUTED_VALUE"""),4.463999088063446)</f>
        <v>4.463999088</v>
      </c>
      <c r="Q364" s="30"/>
      <c r="R364" s="30"/>
      <c r="S364" s="30"/>
      <c r="T364" s="30"/>
      <c r="U364" s="30">
        <v>0.0</v>
      </c>
      <c r="V364" s="30"/>
      <c r="W364" s="30"/>
      <c r="X364" s="30"/>
      <c r="Y364" s="5">
        <f>IFERROR(__xludf.DUMMYFUNCTION("""COMPUTED_VALUE"""),81.0)</f>
        <v>81</v>
      </c>
      <c r="Z364" s="5">
        <f>IFERROR(__xludf.DUMMYFUNCTION("""COMPUTED_VALUE"""),82.0)</f>
        <v>82</v>
      </c>
    </row>
    <row r="365">
      <c r="A365" s="30" t="s">
        <v>1711</v>
      </c>
      <c r="B365" s="30">
        <f>IFERROR(__xludf.DUMMYFUNCTION("""COMPUTED_VALUE"""),81.5)</f>
        <v>81.5</v>
      </c>
      <c r="C365" s="30"/>
      <c r="D365" s="30"/>
      <c r="E365" s="30"/>
      <c r="F365" s="30"/>
      <c r="G365" s="30"/>
      <c r="H365" s="30"/>
      <c r="I365" s="30"/>
      <c r="J365" s="30">
        <f>IFERROR(__xludf.DUMMYFUNCTION("""COMPUTED_VALUE"""),-11.059343513011441)</f>
        <v>-11.05934351</v>
      </c>
      <c r="K365" s="30"/>
      <c r="L365" s="30"/>
      <c r="M365" s="30"/>
      <c r="N365" s="30"/>
      <c r="O365" s="30">
        <f>IFERROR(__xludf.DUMMYFUNCTION("""COMPUTED_VALUE"""),-2.630874715592867)</f>
        <v>-2.630874716</v>
      </c>
      <c r="P365" s="30">
        <f>IFERROR(__xludf.DUMMYFUNCTION("""COMPUTED_VALUE"""),4.463999088063446)</f>
        <v>4.463999088</v>
      </c>
      <c r="Q365" s="30"/>
      <c r="R365" s="30"/>
      <c r="S365" s="30"/>
      <c r="T365" s="30"/>
      <c r="U365" s="30">
        <v>0.0</v>
      </c>
      <c r="V365" s="30"/>
      <c r="W365" s="30"/>
      <c r="X365" s="30"/>
      <c r="Y365" s="5">
        <f>IFERROR(__xludf.DUMMYFUNCTION("""COMPUTED_VALUE"""),81.0)</f>
        <v>81</v>
      </c>
      <c r="Z365" s="5">
        <f>IFERROR(__xludf.DUMMYFUNCTION("""COMPUTED_VALUE"""),82.0)</f>
        <v>82</v>
      </c>
    </row>
    <row r="366">
      <c r="A366" s="30" t="s">
        <v>1718</v>
      </c>
      <c r="B366" s="30">
        <f>IFERROR(__xludf.DUMMYFUNCTION("""COMPUTED_VALUE"""),80.0)</f>
        <v>80</v>
      </c>
      <c r="C366" s="30"/>
      <c r="D366" s="30"/>
      <c r="E366" s="30"/>
      <c r="F366" s="30"/>
      <c r="G366" s="30"/>
      <c r="H366" s="30"/>
      <c r="I366" s="30"/>
      <c r="J366" s="30">
        <f>IFERROR(__xludf.DUMMYFUNCTION("""COMPUTED_VALUE"""),-11.059343513011441)</f>
        <v>-11.05934351</v>
      </c>
      <c r="K366" s="30"/>
      <c r="L366" s="30"/>
      <c r="M366" s="30"/>
      <c r="N366" s="30"/>
      <c r="O366" s="30">
        <f>IFERROR(__xludf.DUMMYFUNCTION("""COMPUTED_VALUE"""),-2.630874715592867)</f>
        <v>-2.630874716</v>
      </c>
      <c r="P366" s="30">
        <f>IFERROR(__xludf.DUMMYFUNCTION("""COMPUTED_VALUE"""),4.463999088063446)</f>
        <v>4.463999088</v>
      </c>
      <c r="Q366" s="30"/>
      <c r="R366" s="30"/>
      <c r="S366" s="30"/>
      <c r="T366" s="30"/>
      <c r="U366" s="30">
        <v>0.0</v>
      </c>
      <c r="V366" s="30"/>
      <c r="W366" s="30"/>
      <c r="X366" s="30"/>
      <c r="Y366" s="5">
        <f>IFERROR(__xludf.DUMMYFUNCTION("""COMPUTED_VALUE"""),78.0)</f>
        <v>78</v>
      </c>
      <c r="Z366" s="5">
        <f>IFERROR(__xludf.DUMMYFUNCTION("""COMPUTED_VALUE"""),82.0)</f>
        <v>82</v>
      </c>
    </row>
    <row r="367">
      <c r="A367" s="30" t="s">
        <v>1268</v>
      </c>
      <c r="B367" s="30">
        <f>IFERROR(__xludf.DUMMYFUNCTION("""COMPUTED_VALUE"""),78.5)</f>
        <v>78.5</v>
      </c>
      <c r="C367" s="30"/>
      <c r="D367" s="30"/>
      <c r="E367" s="30"/>
      <c r="F367" s="30"/>
      <c r="G367" s="30"/>
      <c r="H367" s="30"/>
      <c r="I367" s="30"/>
      <c r="J367" s="30">
        <f>IFERROR(__xludf.DUMMYFUNCTION("""COMPUTED_VALUE"""),-11.059343513011441)</f>
        <v>-11.05934351</v>
      </c>
      <c r="K367" s="30"/>
      <c r="L367" s="30"/>
      <c r="M367" s="30"/>
      <c r="N367" s="30"/>
      <c r="O367" s="30">
        <f>IFERROR(__xludf.DUMMYFUNCTION("""COMPUTED_VALUE"""),-2.630874715592867)</f>
        <v>-2.630874716</v>
      </c>
      <c r="P367" s="30">
        <f>IFERROR(__xludf.DUMMYFUNCTION("""COMPUTED_VALUE"""),4.463999088063446)</f>
        <v>4.463999088</v>
      </c>
      <c r="Q367" s="30"/>
      <c r="R367" s="30"/>
      <c r="S367" s="30"/>
      <c r="T367" s="30"/>
      <c r="U367" s="30">
        <v>0.0</v>
      </c>
      <c r="V367" s="30"/>
      <c r="W367" s="30"/>
      <c r="X367" s="30"/>
      <c r="Y367" s="5">
        <f>IFERROR(__xludf.DUMMYFUNCTION("""COMPUTED_VALUE"""),77.0)</f>
        <v>77</v>
      </c>
      <c r="Z367" s="5">
        <f>IFERROR(__xludf.DUMMYFUNCTION("""COMPUTED_VALUE"""),80.0)</f>
        <v>80</v>
      </c>
    </row>
    <row r="368">
      <c r="A368" s="30" t="s">
        <v>626</v>
      </c>
      <c r="B368" s="30">
        <f>IFERROR(__xludf.DUMMYFUNCTION("""COMPUTED_VALUE"""),79.5)</f>
        <v>79.5</v>
      </c>
      <c r="C368" s="30"/>
      <c r="D368" s="30"/>
      <c r="E368" s="30"/>
      <c r="F368" s="30"/>
      <c r="G368" s="30"/>
      <c r="H368" s="30"/>
      <c r="I368" s="30"/>
      <c r="J368" s="30">
        <f>IFERROR(__xludf.DUMMYFUNCTION("""COMPUTED_VALUE"""),-11.059343513011441)</f>
        <v>-11.05934351</v>
      </c>
      <c r="K368" s="30"/>
      <c r="L368" s="30"/>
      <c r="M368" s="30"/>
      <c r="N368" s="30"/>
      <c r="O368" s="30">
        <f>IFERROR(__xludf.DUMMYFUNCTION("""COMPUTED_VALUE"""),-2.630874715592867)</f>
        <v>-2.630874716</v>
      </c>
      <c r="P368" s="30">
        <f>IFERROR(__xludf.DUMMYFUNCTION("""COMPUTED_VALUE"""),4.463999088063446)</f>
        <v>4.463999088</v>
      </c>
      <c r="Q368" s="30"/>
      <c r="R368" s="30"/>
      <c r="S368" s="30"/>
      <c r="T368" s="30"/>
      <c r="U368" s="30">
        <v>0.0</v>
      </c>
      <c r="V368" s="30"/>
      <c r="W368" s="30"/>
      <c r="X368" s="30"/>
      <c r="Y368" s="5">
        <f>IFERROR(__xludf.DUMMYFUNCTION("""COMPUTED_VALUE"""),79.0)</f>
        <v>79</v>
      </c>
      <c r="Z368" s="5">
        <f>IFERROR(__xludf.DUMMYFUNCTION("""COMPUTED_VALUE"""),80.0)</f>
        <v>80</v>
      </c>
    </row>
    <row r="369">
      <c r="A369" s="30" t="s">
        <v>611</v>
      </c>
      <c r="B369" s="30">
        <f>IFERROR(__xludf.DUMMYFUNCTION("""COMPUTED_VALUE"""),80.0)</f>
        <v>80</v>
      </c>
      <c r="C369" s="30"/>
      <c r="D369" s="30"/>
      <c r="E369" s="30"/>
      <c r="F369" s="30"/>
      <c r="G369" s="30"/>
      <c r="H369" s="30"/>
      <c r="I369" s="30"/>
      <c r="J369" s="30">
        <f>IFERROR(__xludf.DUMMYFUNCTION("""COMPUTED_VALUE"""),-11.059343513011441)</f>
        <v>-11.05934351</v>
      </c>
      <c r="K369" s="30"/>
      <c r="L369" s="30"/>
      <c r="M369" s="30"/>
      <c r="N369" s="30"/>
      <c r="O369" s="30">
        <f>IFERROR(__xludf.DUMMYFUNCTION("""COMPUTED_VALUE"""),-2.630874715592867)</f>
        <v>-2.630874716</v>
      </c>
      <c r="P369" s="30">
        <f>IFERROR(__xludf.DUMMYFUNCTION("""COMPUTED_VALUE"""),4.463999088063446)</f>
        <v>4.463999088</v>
      </c>
      <c r="Q369" s="30"/>
      <c r="R369" s="30"/>
      <c r="S369" s="30"/>
      <c r="T369" s="30"/>
      <c r="U369" s="30">
        <v>0.0</v>
      </c>
      <c r="V369" s="30"/>
      <c r="W369" s="30"/>
      <c r="X369" s="30"/>
      <c r="Y369" s="5">
        <f>IFERROR(__xludf.DUMMYFUNCTION("""COMPUTED_VALUE"""),80.0)</f>
        <v>80</v>
      </c>
      <c r="Z369" s="5">
        <f>IFERROR(__xludf.DUMMYFUNCTION("""COMPUTED_VALUE"""),80.0)</f>
        <v>80</v>
      </c>
    </row>
    <row r="370">
      <c r="A370" s="30" t="s">
        <v>326</v>
      </c>
      <c r="B370" s="30">
        <f>IFERROR(__xludf.DUMMYFUNCTION("""COMPUTED_VALUE"""),79.5)</f>
        <v>79.5</v>
      </c>
      <c r="C370" s="30"/>
      <c r="D370" s="30"/>
      <c r="E370" s="30"/>
      <c r="F370" s="30"/>
      <c r="G370" s="30"/>
      <c r="H370" s="30"/>
      <c r="I370" s="30"/>
      <c r="J370" s="30">
        <f>IFERROR(__xludf.DUMMYFUNCTION("""COMPUTED_VALUE"""),-11.059343513011441)</f>
        <v>-11.05934351</v>
      </c>
      <c r="K370" s="30"/>
      <c r="L370" s="30"/>
      <c r="M370" s="30"/>
      <c r="N370" s="30"/>
      <c r="O370" s="30">
        <f>IFERROR(__xludf.DUMMYFUNCTION("""COMPUTED_VALUE"""),-2.630874715592867)</f>
        <v>-2.630874716</v>
      </c>
      <c r="P370" s="30">
        <f>IFERROR(__xludf.DUMMYFUNCTION("""COMPUTED_VALUE"""),4.463999088063446)</f>
        <v>4.463999088</v>
      </c>
      <c r="Q370" s="30"/>
      <c r="R370" s="30"/>
      <c r="S370" s="30"/>
      <c r="T370" s="30"/>
      <c r="U370" s="30">
        <v>0.0</v>
      </c>
      <c r="V370" s="30"/>
      <c r="W370" s="30"/>
      <c r="X370" s="30"/>
      <c r="Y370" s="5">
        <f>IFERROR(__xludf.DUMMYFUNCTION("""COMPUTED_VALUE"""),79.0)</f>
        <v>79</v>
      </c>
      <c r="Z370" s="5">
        <f>IFERROR(__xludf.DUMMYFUNCTION("""COMPUTED_VALUE"""),80.0)</f>
        <v>80</v>
      </c>
    </row>
    <row r="371">
      <c r="A371" s="30" t="s">
        <v>1042</v>
      </c>
      <c r="B371" s="30">
        <f>IFERROR(__xludf.DUMMYFUNCTION("""COMPUTED_VALUE"""),79.5)</f>
        <v>79.5</v>
      </c>
      <c r="C371" s="30"/>
      <c r="D371" s="30"/>
      <c r="E371" s="30"/>
      <c r="F371" s="30"/>
      <c r="G371" s="30"/>
      <c r="H371" s="30"/>
      <c r="I371" s="30"/>
      <c r="J371" s="30">
        <f>IFERROR(__xludf.DUMMYFUNCTION("""COMPUTED_VALUE"""),-11.059343513011441)</f>
        <v>-11.05934351</v>
      </c>
      <c r="K371" s="30"/>
      <c r="L371" s="30"/>
      <c r="M371" s="30"/>
      <c r="N371" s="30"/>
      <c r="O371" s="30">
        <f>IFERROR(__xludf.DUMMYFUNCTION("""COMPUTED_VALUE"""),-2.630874715592867)</f>
        <v>-2.630874716</v>
      </c>
      <c r="P371" s="30">
        <f>IFERROR(__xludf.DUMMYFUNCTION("""COMPUTED_VALUE"""),4.463999088063446)</f>
        <v>4.463999088</v>
      </c>
      <c r="Q371" s="30"/>
      <c r="R371" s="30"/>
      <c r="S371" s="30"/>
      <c r="T371" s="30"/>
      <c r="U371" s="30">
        <v>0.0</v>
      </c>
      <c r="V371" s="30"/>
      <c r="W371" s="30"/>
      <c r="X371" s="30"/>
      <c r="Y371" s="5">
        <f>IFERROR(__xludf.DUMMYFUNCTION("""COMPUTED_VALUE"""),79.0)</f>
        <v>79</v>
      </c>
      <c r="Z371" s="5">
        <f>IFERROR(__xludf.DUMMYFUNCTION("""COMPUTED_VALUE"""),80.0)</f>
        <v>80</v>
      </c>
    </row>
    <row r="372">
      <c r="A372" s="30" t="s">
        <v>1214</v>
      </c>
      <c r="B372" s="30">
        <f>IFERROR(__xludf.DUMMYFUNCTION("""COMPUTED_VALUE"""),79.5)</f>
        <v>79.5</v>
      </c>
      <c r="C372" s="30"/>
      <c r="D372" s="30"/>
      <c r="E372" s="30"/>
      <c r="F372" s="30"/>
      <c r="G372" s="30"/>
      <c r="H372" s="30"/>
      <c r="I372" s="30"/>
      <c r="J372" s="30">
        <f>IFERROR(__xludf.DUMMYFUNCTION("""COMPUTED_VALUE"""),-11.059343513011441)</f>
        <v>-11.05934351</v>
      </c>
      <c r="K372" s="30"/>
      <c r="L372" s="30"/>
      <c r="M372" s="30"/>
      <c r="N372" s="30"/>
      <c r="O372" s="30">
        <f>IFERROR(__xludf.DUMMYFUNCTION("""COMPUTED_VALUE"""),-2.630874715592867)</f>
        <v>-2.630874716</v>
      </c>
      <c r="P372" s="30">
        <f>IFERROR(__xludf.DUMMYFUNCTION("""COMPUTED_VALUE"""),4.463999088063446)</f>
        <v>4.463999088</v>
      </c>
      <c r="Q372" s="30"/>
      <c r="R372" s="30"/>
      <c r="S372" s="30"/>
      <c r="T372" s="30"/>
      <c r="U372" s="30">
        <v>0.0</v>
      </c>
      <c r="V372" s="30"/>
      <c r="W372" s="30"/>
      <c r="X372" s="30"/>
      <c r="Y372" s="5">
        <f>IFERROR(__xludf.DUMMYFUNCTION("""COMPUTED_VALUE"""),79.0)</f>
        <v>79</v>
      </c>
      <c r="Z372" s="5">
        <f>IFERROR(__xludf.DUMMYFUNCTION("""COMPUTED_VALUE"""),80.0)</f>
        <v>80</v>
      </c>
    </row>
    <row r="373">
      <c r="A373" s="30" t="s">
        <v>1330</v>
      </c>
      <c r="B373" s="30">
        <f>IFERROR(__xludf.DUMMYFUNCTION("""COMPUTED_VALUE"""),81.0)</f>
        <v>81</v>
      </c>
      <c r="C373" s="30"/>
      <c r="D373" s="30"/>
      <c r="E373" s="30"/>
      <c r="F373" s="30"/>
      <c r="G373" s="30"/>
      <c r="H373" s="30"/>
      <c r="I373" s="30"/>
      <c r="J373" s="30">
        <f>IFERROR(__xludf.DUMMYFUNCTION("""COMPUTED_VALUE"""),-11.059343513011441)</f>
        <v>-11.05934351</v>
      </c>
      <c r="K373" s="30"/>
      <c r="L373" s="30"/>
      <c r="M373" s="30"/>
      <c r="N373" s="30"/>
      <c r="O373" s="30">
        <f>IFERROR(__xludf.DUMMYFUNCTION("""COMPUTED_VALUE"""),-2.630874715592867)</f>
        <v>-2.630874716</v>
      </c>
      <c r="P373" s="30">
        <f>IFERROR(__xludf.DUMMYFUNCTION("""COMPUTED_VALUE"""),4.463999088063446)</f>
        <v>4.463999088</v>
      </c>
      <c r="Q373" s="30"/>
      <c r="R373" s="30"/>
      <c r="S373" s="30"/>
      <c r="T373" s="30"/>
      <c r="U373" s="30">
        <v>0.0</v>
      </c>
      <c r="V373" s="30"/>
      <c r="W373" s="30"/>
      <c r="X373" s="30"/>
      <c r="Y373" s="5">
        <f>IFERROR(__xludf.DUMMYFUNCTION("""COMPUTED_VALUE"""),80.0)</f>
        <v>80</v>
      </c>
      <c r="Z373" s="5">
        <f>IFERROR(__xludf.DUMMYFUNCTION("""COMPUTED_VALUE"""),82.0)</f>
        <v>82</v>
      </c>
    </row>
    <row r="374">
      <c r="A374" s="30" t="s">
        <v>1746</v>
      </c>
      <c r="B374" s="30">
        <f>IFERROR(__xludf.DUMMYFUNCTION("""COMPUTED_VALUE"""),81.5)</f>
        <v>81.5</v>
      </c>
      <c r="C374" s="30"/>
      <c r="D374" s="30"/>
      <c r="E374" s="30"/>
      <c r="F374" s="30"/>
      <c r="G374" s="30"/>
      <c r="H374" s="30"/>
      <c r="I374" s="30"/>
      <c r="J374" s="30">
        <f>IFERROR(__xludf.DUMMYFUNCTION("""COMPUTED_VALUE"""),-11.059343513011441)</f>
        <v>-11.05934351</v>
      </c>
      <c r="K374" s="30"/>
      <c r="L374" s="30"/>
      <c r="M374" s="30"/>
      <c r="N374" s="30"/>
      <c r="O374" s="30">
        <f>IFERROR(__xludf.DUMMYFUNCTION("""COMPUTED_VALUE"""),-2.630874715592867)</f>
        <v>-2.630874716</v>
      </c>
      <c r="P374" s="30">
        <f>IFERROR(__xludf.DUMMYFUNCTION("""COMPUTED_VALUE"""),4.463999088063446)</f>
        <v>4.463999088</v>
      </c>
      <c r="Q374" s="30"/>
      <c r="R374" s="30"/>
      <c r="S374" s="30"/>
      <c r="T374" s="30"/>
      <c r="U374" s="30">
        <v>0.0</v>
      </c>
      <c r="V374" s="30"/>
      <c r="W374" s="30"/>
      <c r="X374" s="30"/>
      <c r="Y374" s="5">
        <f>IFERROR(__xludf.DUMMYFUNCTION("""COMPUTED_VALUE"""),81.0)</f>
        <v>81</v>
      </c>
      <c r="Z374" s="5">
        <f>IFERROR(__xludf.DUMMYFUNCTION("""COMPUTED_VALUE"""),82.0)</f>
        <v>82</v>
      </c>
    </row>
    <row r="375">
      <c r="A375" s="30" t="s">
        <v>1501</v>
      </c>
      <c r="B375" s="30">
        <f>IFERROR(__xludf.DUMMYFUNCTION("""COMPUTED_VALUE"""),80.5)</f>
        <v>80.5</v>
      </c>
      <c r="C375" s="30"/>
      <c r="D375" s="30"/>
      <c r="E375" s="30"/>
      <c r="F375" s="30"/>
      <c r="G375" s="30"/>
      <c r="H375" s="30"/>
      <c r="I375" s="30"/>
      <c r="J375" s="30">
        <f>IFERROR(__xludf.DUMMYFUNCTION("""COMPUTED_VALUE"""),-11.059343513011441)</f>
        <v>-11.05934351</v>
      </c>
      <c r="K375" s="30"/>
      <c r="L375" s="30"/>
      <c r="M375" s="30"/>
      <c r="N375" s="30"/>
      <c r="O375" s="30">
        <f>IFERROR(__xludf.DUMMYFUNCTION("""COMPUTED_VALUE"""),-2.630874715592867)</f>
        <v>-2.630874716</v>
      </c>
      <c r="P375" s="30">
        <f>IFERROR(__xludf.DUMMYFUNCTION("""COMPUTED_VALUE"""),4.463999088063446)</f>
        <v>4.463999088</v>
      </c>
      <c r="Q375" s="30"/>
      <c r="R375" s="30"/>
      <c r="S375" s="30"/>
      <c r="T375" s="30"/>
      <c r="U375" s="30">
        <v>0.0</v>
      </c>
      <c r="V375" s="30"/>
      <c r="W375" s="30"/>
      <c r="X375" s="30"/>
      <c r="Y375" s="5">
        <f>IFERROR(__xludf.DUMMYFUNCTION("""COMPUTED_VALUE"""),80.0)</f>
        <v>80</v>
      </c>
      <c r="Z375" s="5">
        <f>IFERROR(__xludf.DUMMYFUNCTION("""COMPUTED_VALUE"""),81.0)</f>
        <v>81</v>
      </c>
    </row>
    <row r="376">
      <c r="A376" s="30" t="s">
        <v>1756</v>
      </c>
      <c r="B376" s="30">
        <f>IFERROR(__xludf.DUMMYFUNCTION("""COMPUTED_VALUE"""),79.0)</f>
        <v>79</v>
      </c>
      <c r="C376" s="30"/>
      <c r="D376" s="30"/>
      <c r="E376" s="30"/>
      <c r="F376" s="30"/>
      <c r="G376" s="30"/>
      <c r="H376" s="30"/>
      <c r="I376" s="30"/>
      <c r="J376" s="30">
        <f>IFERROR(__xludf.DUMMYFUNCTION("""COMPUTED_VALUE"""),-11.059343513011441)</f>
        <v>-11.05934351</v>
      </c>
      <c r="K376" s="30"/>
      <c r="L376" s="30"/>
      <c r="M376" s="30"/>
      <c r="N376" s="30"/>
      <c r="O376" s="30">
        <f>IFERROR(__xludf.DUMMYFUNCTION("""COMPUTED_VALUE"""),-2.630874715592867)</f>
        <v>-2.630874716</v>
      </c>
      <c r="P376" s="30">
        <f>IFERROR(__xludf.DUMMYFUNCTION("""COMPUTED_VALUE"""),4.463999088063446)</f>
        <v>4.463999088</v>
      </c>
      <c r="Q376" s="30"/>
      <c r="R376" s="30"/>
      <c r="S376" s="30"/>
      <c r="T376" s="30"/>
      <c r="U376" s="30">
        <v>0.0</v>
      </c>
      <c r="V376" s="30"/>
      <c r="W376" s="30"/>
      <c r="X376" s="30"/>
      <c r="Y376" s="5">
        <f>IFERROR(__xludf.DUMMYFUNCTION("""COMPUTED_VALUE"""),79.0)</f>
        <v>79</v>
      </c>
      <c r="Z376" s="5">
        <f>IFERROR(__xludf.DUMMYFUNCTION("""COMPUTED_VALUE"""),79.0)</f>
        <v>79</v>
      </c>
    </row>
    <row r="377">
      <c r="A377" s="30" t="s">
        <v>1759</v>
      </c>
      <c r="B377" s="30">
        <f>IFERROR(__xludf.DUMMYFUNCTION("""COMPUTED_VALUE"""),81.0)</f>
        <v>81</v>
      </c>
      <c r="C377" s="30"/>
      <c r="D377" s="30"/>
      <c r="E377" s="30"/>
      <c r="F377" s="30"/>
      <c r="G377" s="30"/>
      <c r="H377" s="30"/>
      <c r="I377" s="30"/>
      <c r="J377" s="30">
        <f>IFERROR(__xludf.DUMMYFUNCTION("""COMPUTED_VALUE"""),-11.059343513011441)</f>
        <v>-11.05934351</v>
      </c>
      <c r="K377" s="30"/>
      <c r="L377" s="30"/>
      <c r="M377" s="30"/>
      <c r="N377" s="30"/>
      <c r="O377" s="30">
        <f>IFERROR(__xludf.DUMMYFUNCTION("""COMPUTED_VALUE"""),-2.630874715592867)</f>
        <v>-2.630874716</v>
      </c>
      <c r="P377" s="30">
        <f>IFERROR(__xludf.DUMMYFUNCTION("""COMPUTED_VALUE"""),4.463999088063446)</f>
        <v>4.463999088</v>
      </c>
      <c r="Q377" s="30"/>
      <c r="R377" s="30"/>
      <c r="S377" s="30"/>
      <c r="T377" s="30"/>
      <c r="U377" s="30">
        <v>0.0</v>
      </c>
      <c r="V377" s="30"/>
      <c r="W377" s="30"/>
      <c r="X377" s="30"/>
      <c r="Y377" s="5">
        <f>IFERROR(__xludf.DUMMYFUNCTION("""COMPUTED_VALUE"""),81.0)</f>
        <v>81</v>
      </c>
      <c r="Z377" s="5">
        <f>IFERROR(__xludf.DUMMYFUNCTION("""COMPUTED_VALUE"""),81.0)</f>
        <v>81</v>
      </c>
    </row>
    <row r="378">
      <c r="A378" s="30" t="s">
        <v>1760</v>
      </c>
      <c r="B378" s="30">
        <f>IFERROR(__xludf.DUMMYFUNCTION("""COMPUTED_VALUE"""),80.0)</f>
        <v>80</v>
      </c>
      <c r="C378" s="30"/>
      <c r="D378" s="30"/>
      <c r="E378" s="30"/>
      <c r="F378" s="30"/>
      <c r="G378" s="30"/>
      <c r="H378" s="30"/>
      <c r="I378" s="30"/>
      <c r="J378" s="30">
        <f>IFERROR(__xludf.DUMMYFUNCTION("""COMPUTED_VALUE"""),-11.059343513011441)</f>
        <v>-11.05934351</v>
      </c>
      <c r="K378" s="30"/>
      <c r="L378" s="30"/>
      <c r="M378" s="30"/>
      <c r="N378" s="30"/>
      <c r="O378" s="30">
        <f>IFERROR(__xludf.DUMMYFUNCTION("""COMPUTED_VALUE"""),-2.630874715592867)</f>
        <v>-2.630874716</v>
      </c>
      <c r="P378" s="30">
        <f>IFERROR(__xludf.DUMMYFUNCTION("""COMPUTED_VALUE"""),4.463999088063446)</f>
        <v>4.463999088</v>
      </c>
      <c r="Q378" s="30"/>
      <c r="R378" s="30"/>
      <c r="S378" s="30"/>
      <c r="T378" s="30"/>
      <c r="U378" s="30">
        <v>0.0</v>
      </c>
      <c r="V378" s="30"/>
      <c r="W378" s="30"/>
      <c r="X378" s="30"/>
      <c r="Y378" s="5">
        <f>IFERROR(__xludf.DUMMYFUNCTION("""COMPUTED_VALUE"""),79.0)</f>
        <v>79</v>
      </c>
      <c r="Z378" s="5">
        <f>IFERROR(__xludf.DUMMYFUNCTION("""COMPUTED_VALUE"""),81.0)</f>
        <v>81</v>
      </c>
    </row>
    <row r="379">
      <c r="A379" s="30" t="s">
        <v>1768</v>
      </c>
      <c r="B379" s="30">
        <f>IFERROR(__xludf.DUMMYFUNCTION("""COMPUTED_VALUE"""),80.5)</f>
        <v>80.5</v>
      </c>
      <c r="C379" s="30"/>
      <c r="D379" s="30"/>
      <c r="E379" s="30"/>
      <c r="F379" s="30"/>
      <c r="G379" s="30"/>
      <c r="H379" s="30"/>
      <c r="I379" s="30"/>
      <c r="J379" s="30">
        <f>IFERROR(__xludf.DUMMYFUNCTION("""COMPUTED_VALUE"""),-11.059343513011441)</f>
        <v>-11.05934351</v>
      </c>
      <c r="K379" s="30"/>
      <c r="L379" s="30"/>
      <c r="M379" s="30"/>
      <c r="N379" s="30"/>
      <c r="O379" s="30">
        <f>IFERROR(__xludf.DUMMYFUNCTION("""COMPUTED_VALUE"""),-2.630874715592867)</f>
        <v>-2.630874716</v>
      </c>
      <c r="P379" s="30">
        <f>IFERROR(__xludf.DUMMYFUNCTION("""COMPUTED_VALUE"""),4.463999088063446)</f>
        <v>4.463999088</v>
      </c>
      <c r="Q379" s="30"/>
      <c r="R379" s="30"/>
      <c r="S379" s="30"/>
      <c r="T379" s="30"/>
      <c r="U379" s="30">
        <v>0.0</v>
      </c>
      <c r="V379" s="30"/>
      <c r="W379" s="30"/>
      <c r="X379" s="30"/>
      <c r="Y379" s="5">
        <f>IFERROR(__xludf.DUMMYFUNCTION("""COMPUTED_VALUE"""),80.0)</f>
        <v>80</v>
      </c>
      <c r="Z379" s="5">
        <f>IFERROR(__xludf.DUMMYFUNCTION("""COMPUTED_VALUE"""),81.0)</f>
        <v>81</v>
      </c>
    </row>
    <row r="380">
      <c r="A380" s="30" t="s">
        <v>1771</v>
      </c>
      <c r="B380" s="30">
        <f>IFERROR(__xludf.DUMMYFUNCTION("""COMPUTED_VALUE"""),82.0)</f>
        <v>82</v>
      </c>
      <c r="C380" s="30"/>
      <c r="D380" s="30"/>
      <c r="E380" s="30"/>
      <c r="F380" s="30"/>
      <c r="G380" s="30"/>
      <c r="H380" s="30"/>
      <c r="I380" s="30"/>
      <c r="J380" s="30">
        <f>IFERROR(__xludf.DUMMYFUNCTION("""COMPUTED_VALUE"""),-11.059343513011441)</f>
        <v>-11.05934351</v>
      </c>
      <c r="K380" s="30"/>
      <c r="L380" s="30"/>
      <c r="M380" s="30"/>
      <c r="N380" s="30"/>
      <c r="O380" s="30">
        <f>IFERROR(__xludf.DUMMYFUNCTION("""COMPUTED_VALUE"""),-2.630874715592867)</f>
        <v>-2.630874716</v>
      </c>
      <c r="P380" s="30">
        <f>IFERROR(__xludf.DUMMYFUNCTION("""COMPUTED_VALUE"""),4.463999088063446)</f>
        <v>4.463999088</v>
      </c>
      <c r="Q380" s="30"/>
      <c r="R380" s="30"/>
      <c r="S380" s="30"/>
      <c r="T380" s="30"/>
      <c r="U380" s="30">
        <v>0.0</v>
      </c>
      <c r="V380" s="30"/>
      <c r="W380" s="30"/>
      <c r="X380" s="30"/>
      <c r="Y380" s="5">
        <f>IFERROR(__xludf.DUMMYFUNCTION("""COMPUTED_VALUE"""),82.0)</f>
        <v>82</v>
      </c>
      <c r="Z380" s="5">
        <f>IFERROR(__xludf.DUMMYFUNCTION("""COMPUTED_VALUE"""),82.0)</f>
        <v>82</v>
      </c>
    </row>
    <row r="381">
      <c r="A381" s="30" t="s">
        <v>1772</v>
      </c>
      <c r="B381" s="30">
        <f>IFERROR(__xludf.DUMMYFUNCTION("""COMPUTED_VALUE"""),81.0)</f>
        <v>81</v>
      </c>
      <c r="C381" s="30"/>
      <c r="D381" s="30"/>
      <c r="E381" s="30"/>
      <c r="F381" s="30"/>
      <c r="G381" s="30"/>
      <c r="H381" s="30"/>
      <c r="I381" s="30"/>
      <c r="J381" s="30">
        <f>IFERROR(__xludf.DUMMYFUNCTION("""COMPUTED_VALUE"""),-11.059343513011441)</f>
        <v>-11.05934351</v>
      </c>
      <c r="K381" s="30"/>
      <c r="L381" s="30"/>
      <c r="M381" s="30"/>
      <c r="N381" s="30"/>
      <c r="O381" s="30">
        <f>IFERROR(__xludf.DUMMYFUNCTION("""COMPUTED_VALUE"""),-2.630874715592867)</f>
        <v>-2.630874716</v>
      </c>
      <c r="P381" s="30">
        <f>IFERROR(__xludf.DUMMYFUNCTION("""COMPUTED_VALUE"""),4.463999088063446)</f>
        <v>4.463999088</v>
      </c>
      <c r="Q381" s="30"/>
      <c r="R381" s="30"/>
      <c r="S381" s="30"/>
      <c r="T381" s="30"/>
      <c r="U381" s="30">
        <v>0.0</v>
      </c>
      <c r="V381" s="30"/>
      <c r="W381" s="30"/>
      <c r="X381" s="30"/>
      <c r="Y381" s="5">
        <f>IFERROR(__xludf.DUMMYFUNCTION("""COMPUTED_VALUE"""),80.0)</f>
        <v>80</v>
      </c>
      <c r="Z381" s="5">
        <f>IFERROR(__xludf.DUMMYFUNCTION("""COMPUTED_VALUE"""),82.0)</f>
        <v>82</v>
      </c>
    </row>
    <row r="382">
      <c r="A382" s="30" t="s">
        <v>1777</v>
      </c>
      <c r="B382" s="30">
        <f>IFERROR(__xludf.DUMMYFUNCTION("""COMPUTED_VALUE"""),81.5)</f>
        <v>81.5</v>
      </c>
      <c r="C382" s="30"/>
      <c r="D382" s="30"/>
      <c r="E382" s="30"/>
      <c r="F382" s="30"/>
      <c r="G382" s="30"/>
      <c r="H382" s="30"/>
      <c r="I382" s="30"/>
      <c r="J382" s="30">
        <f>IFERROR(__xludf.DUMMYFUNCTION("""COMPUTED_VALUE"""),-11.059343513011441)</f>
        <v>-11.05934351</v>
      </c>
      <c r="K382" s="30"/>
      <c r="L382" s="30"/>
      <c r="M382" s="30"/>
      <c r="N382" s="30"/>
      <c r="O382" s="30">
        <f>IFERROR(__xludf.DUMMYFUNCTION("""COMPUTED_VALUE"""),-2.630874715592867)</f>
        <v>-2.630874716</v>
      </c>
      <c r="P382" s="30">
        <f>IFERROR(__xludf.DUMMYFUNCTION("""COMPUTED_VALUE"""),4.463999088063446)</f>
        <v>4.463999088</v>
      </c>
      <c r="Q382" s="30"/>
      <c r="R382" s="30"/>
      <c r="S382" s="30"/>
      <c r="T382" s="30"/>
      <c r="U382" s="30">
        <v>0.0</v>
      </c>
      <c r="V382" s="30"/>
      <c r="W382" s="30"/>
      <c r="X382" s="30"/>
      <c r="Y382" s="5">
        <f>IFERROR(__xludf.DUMMYFUNCTION("""COMPUTED_VALUE"""),81.0)</f>
        <v>81</v>
      </c>
      <c r="Z382" s="5">
        <f>IFERROR(__xludf.DUMMYFUNCTION("""COMPUTED_VALUE"""),82.0)</f>
        <v>82</v>
      </c>
    </row>
    <row r="383">
      <c r="A383" s="30" t="s">
        <v>1780</v>
      </c>
      <c r="B383" s="30">
        <f>IFERROR(__xludf.DUMMYFUNCTION("""COMPUTED_VALUE"""),80.5)</f>
        <v>80.5</v>
      </c>
      <c r="C383" s="30"/>
      <c r="D383" s="30"/>
      <c r="E383" s="30"/>
      <c r="F383" s="30"/>
      <c r="G383" s="30"/>
      <c r="H383" s="30"/>
      <c r="I383" s="30"/>
      <c r="J383" s="30">
        <f>IFERROR(__xludf.DUMMYFUNCTION("""COMPUTED_VALUE"""),-11.059343513011441)</f>
        <v>-11.05934351</v>
      </c>
      <c r="K383" s="30"/>
      <c r="L383" s="30"/>
      <c r="M383" s="30"/>
      <c r="N383" s="30"/>
      <c r="O383" s="30">
        <f>IFERROR(__xludf.DUMMYFUNCTION("""COMPUTED_VALUE"""),-2.630874715592867)</f>
        <v>-2.630874716</v>
      </c>
      <c r="P383" s="30">
        <f>IFERROR(__xludf.DUMMYFUNCTION("""COMPUTED_VALUE"""),4.463999088063446)</f>
        <v>4.463999088</v>
      </c>
      <c r="Q383" s="30"/>
      <c r="R383" s="30"/>
      <c r="S383" s="30"/>
      <c r="T383" s="30"/>
      <c r="U383" s="30">
        <v>0.0</v>
      </c>
      <c r="V383" s="30"/>
      <c r="W383" s="30"/>
      <c r="X383" s="30"/>
      <c r="Y383" s="5">
        <f>IFERROR(__xludf.DUMMYFUNCTION("""COMPUTED_VALUE"""),80.0)</f>
        <v>80</v>
      </c>
      <c r="Z383" s="5">
        <f>IFERROR(__xludf.DUMMYFUNCTION("""COMPUTED_VALUE"""),81.0)</f>
        <v>81</v>
      </c>
    </row>
    <row r="384">
      <c r="A384" s="30" t="s">
        <v>1335</v>
      </c>
      <c r="B384" s="30">
        <f>IFERROR(__xludf.DUMMYFUNCTION("""COMPUTED_VALUE"""),81.0)</f>
        <v>81</v>
      </c>
      <c r="C384" s="30"/>
      <c r="D384" s="30"/>
      <c r="E384" s="30"/>
      <c r="F384" s="30"/>
      <c r="G384" s="30"/>
      <c r="H384" s="30"/>
      <c r="I384" s="30"/>
      <c r="J384" s="30">
        <f>IFERROR(__xludf.DUMMYFUNCTION("""COMPUTED_VALUE"""),-11.059343513011441)</f>
        <v>-11.05934351</v>
      </c>
      <c r="K384" s="30"/>
      <c r="L384" s="30"/>
      <c r="M384" s="30"/>
      <c r="N384" s="30"/>
      <c r="O384" s="30">
        <f>IFERROR(__xludf.DUMMYFUNCTION("""COMPUTED_VALUE"""),-2.630874715592867)</f>
        <v>-2.630874716</v>
      </c>
      <c r="P384" s="30">
        <f>IFERROR(__xludf.DUMMYFUNCTION("""COMPUTED_VALUE"""),4.463999088063446)</f>
        <v>4.463999088</v>
      </c>
      <c r="Q384" s="30"/>
      <c r="R384" s="30"/>
      <c r="S384" s="30"/>
      <c r="T384" s="30"/>
      <c r="U384" s="30">
        <v>0.0</v>
      </c>
      <c r="V384" s="30"/>
      <c r="W384" s="30"/>
      <c r="X384" s="30"/>
      <c r="Y384" s="5">
        <f>IFERROR(__xludf.DUMMYFUNCTION("""COMPUTED_VALUE"""),80.0)</f>
        <v>80</v>
      </c>
      <c r="Z384" s="5">
        <f>IFERROR(__xludf.DUMMYFUNCTION("""COMPUTED_VALUE"""),82.0)</f>
        <v>82</v>
      </c>
    </row>
    <row r="385">
      <c r="A385" s="30" t="s">
        <v>372</v>
      </c>
      <c r="B385" s="30">
        <f>IFERROR(__xludf.DUMMYFUNCTION("""COMPUTED_VALUE"""),80.0)</f>
        <v>80</v>
      </c>
      <c r="C385" s="30"/>
      <c r="D385" s="30"/>
      <c r="E385" s="30"/>
      <c r="F385" s="30"/>
      <c r="G385" s="30"/>
      <c r="H385" s="30"/>
      <c r="I385" s="30"/>
      <c r="J385" s="30">
        <f>IFERROR(__xludf.DUMMYFUNCTION("""COMPUTED_VALUE"""),-11.059343513011441)</f>
        <v>-11.05934351</v>
      </c>
      <c r="K385" s="30"/>
      <c r="L385" s="30"/>
      <c r="M385" s="30"/>
      <c r="N385" s="30"/>
      <c r="O385" s="30">
        <f>IFERROR(__xludf.DUMMYFUNCTION("""COMPUTED_VALUE"""),-2.630874715592867)</f>
        <v>-2.630874716</v>
      </c>
      <c r="P385" s="30">
        <f>IFERROR(__xludf.DUMMYFUNCTION("""COMPUTED_VALUE"""),4.463999088063446)</f>
        <v>4.463999088</v>
      </c>
      <c r="Q385" s="30"/>
      <c r="R385" s="30"/>
      <c r="S385" s="30"/>
      <c r="T385" s="30"/>
      <c r="U385" s="30">
        <v>0.0</v>
      </c>
      <c r="V385" s="30"/>
      <c r="W385" s="30"/>
      <c r="X385" s="30"/>
      <c r="Y385" s="5">
        <f>IFERROR(__xludf.DUMMYFUNCTION("""COMPUTED_VALUE"""),79.0)</f>
        <v>79</v>
      </c>
      <c r="Z385" s="5">
        <f>IFERROR(__xludf.DUMMYFUNCTION("""COMPUTED_VALUE"""),81.0)</f>
        <v>81</v>
      </c>
    </row>
    <row r="386">
      <c r="A386" s="30" t="s">
        <v>1790</v>
      </c>
      <c r="B386" s="30">
        <f>IFERROR(__xludf.DUMMYFUNCTION("""COMPUTED_VALUE"""),82.0)</f>
        <v>82</v>
      </c>
      <c r="C386" s="30"/>
      <c r="D386" s="30"/>
      <c r="E386" s="30"/>
      <c r="F386" s="30"/>
      <c r="G386" s="30"/>
      <c r="H386" s="30"/>
      <c r="I386" s="30"/>
      <c r="J386" s="30">
        <f>IFERROR(__xludf.DUMMYFUNCTION("""COMPUTED_VALUE"""),-11.059343513011441)</f>
        <v>-11.05934351</v>
      </c>
      <c r="K386" s="30"/>
      <c r="L386" s="30"/>
      <c r="M386" s="30"/>
      <c r="N386" s="30"/>
      <c r="O386" s="30">
        <f>IFERROR(__xludf.DUMMYFUNCTION("""COMPUTED_VALUE"""),-2.630874715592867)</f>
        <v>-2.630874716</v>
      </c>
      <c r="P386" s="30">
        <f>IFERROR(__xludf.DUMMYFUNCTION("""COMPUTED_VALUE"""),4.463999088063446)</f>
        <v>4.463999088</v>
      </c>
      <c r="Q386" s="30"/>
      <c r="R386" s="30"/>
      <c r="S386" s="30"/>
      <c r="T386" s="30"/>
      <c r="U386" s="30">
        <v>0.0</v>
      </c>
      <c r="V386" s="30"/>
      <c r="W386" s="30"/>
      <c r="X386" s="30"/>
      <c r="Y386" s="5">
        <f>IFERROR(__xludf.DUMMYFUNCTION("""COMPUTED_VALUE"""),82.0)</f>
        <v>82</v>
      </c>
      <c r="Z386" s="5">
        <f>IFERROR(__xludf.DUMMYFUNCTION("""COMPUTED_VALUE"""),82.0)</f>
        <v>82</v>
      </c>
    </row>
    <row r="387">
      <c r="A387" s="30" t="s">
        <v>1791</v>
      </c>
      <c r="B387" s="30">
        <f>IFERROR(__xludf.DUMMYFUNCTION("""COMPUTED_VALUE"""),79.0)</f>
        <v>79</v>
      </c>
      <c r="C387" s="30"/>
      <c r="D387" s="30"/>
      <c r="E387" s="30"/>
      <c r="F387" s="30"/>
      <c r="G387" s="30"/>
      <c r="H387" s="30"/>
      <c r="I387" s="30"/>
      <c r="J387" s="30">
        <f>IFERROR(__xludf.DUMMYFUNCTION("""COMPUTED_VALUE"""),-11.059343513011441)</f>
        <v>-11.05934351</v>
      </c>
      <c r="K387" s="30"/>
      <c r="L387" s="30"/>
      <c r="M387" s="30"/>
      <c r="N387" s="30"/>
      <c r="O387" s="30">
        <f>IFERROR(__xludf.DUMMYFUNCTION("""COMPUTED_VALUE"""),-2.630874715592867)</f>
        <v>-2.630874716</v>
      </c>
      <c r="P387" s="30">
        <f>IFERROR(__xludf.DUMMYFUNCTION("""COMPUTED_VALUE"""),4.463999088063446)</f>
        <v>4.463999088</v>
      </c>
      <c r="Q387" s="30"/>
      <c r="R387" s="30"/>
      <c r="S387" s="30"/>
      <c r="T387" s="30"/>
      <c r="U387" s="30">
        <v>0.0</v>
      </c>
      <c r="V387" s="30"/>
      <c r="W387" s="30"/>
      <c r="X387" s="30"/>
      <c r="Y387" s="5">
        <f>IFERROR(__xludf.DUMMYFUNCTION("""COMPUTED_VALUE"""),79.0)</f>
        <v>79</v>
      </c>
      <c r="Z387" s="5">
        <f>IFERROR(__xludf.DUMMYFUNCTION("""COMPUTED_VALUE"""),79.0)</f>
        <v>79</v>
      </c>
    </row>
    <row r="388">
      <c r="A388" s="30" t="s">
        <v>1456</v>
      </c>
      <c r="B388" s="30">
        <f>IFERROR(__xludf.DUMMYFUNCTION("""COMPUTED_VALUE"""),80.0)</f>
        <v>80</v>
      </c>
      <c r="C388" s="30"/>
      <c r="D388" s="30"/>
      <c r="E388" s="30"/>
      <c r="F388" s="30"/>
      <c r="G388" s="30"/>
      <c r="H388" s="30"/>
      <c r="I388" s="30"/>
      <c r="J388" s="30">
        <f>IFERROR(__xludf.DUMMYFUNCTION("""COMPUTED_VALUE"""),-11.059343513011441)</f>
        <v>-11.05934351</v>
      </c>
      <c r="K388" s="30"/>
      <c r="L388" s="30"/>
      <c r="M388" s="30"/>
      <c r="N388" s="30"/>
      <c r="O388" s="30">
        <f>IFERROR(__xludf.DUMMYFUNCTION("""COMPUTED_VALUE"""),-2.630874715592867)</f>
        <v>-2.630874716</v>
      </c>
      <c r="P388" s="30">
        <f>IFERROR(__xludf.DUMMYFUNCTION("""COMPUTED_VALUE"""),4.463999088063446)</f>
        <v>4.463999088</v>
      </c>
      <c r="Q388" s="30"/>
      <c r="R388" s="30"/>
      <c r="S388" s="30"/>
      <c r="T388" s="30"/>
      <c r="U388" s="30">
        <v>0.0</v>
      </c>
      <c r="V388" s="30"/>
      <c r="W388" s="30"/>
      <c r="X388" s="30"/>
      <c r="Y388" s="5">
        <f>IFERROR(__xludf.DUMMYFUNCTION("""COMPUTED_VALUE"""),80.0)</f>
        <v>80</v>
      </c>
      <c r="Z388" s="5">
        <f>IFERROR(__xludf.DUMMYFUNCTION("""COMPUTED_VALUE"""),80.0)</f>
        <v>80</v>
      </c>
    </row>
    <row r="389">
      <c r="A389" s="30" t="s">
        <v>1795</v>
      </c>
      <c r="B389" s="30">
        <f>IFERROR(__xludf.DUMMYFUNCTION("""COMPUTED_VALUE"""),82.0)</f>
        <v>82</v>
      </c>
      <c r="C389" s="30"/>
      <c r="D389" s="30"/>
      <c r="E389" s="30"/>
      <c r="F389" s="30"/>
      <c r="G389" s="30"/>
      <c r="H389" s="30"/>
      <c r="I389" s="30"/>
      <c r="J389" s="30">
        <f>IFERROR(__xludf.DUMMYFUNCTION("""COMPUTED_VALUE"""),-11.059343513011441)</f>
        <v>-11.05934351</v>
      </c>
      <c r="K389" s="30"/>
      <c r="L389" s="30"/>
      <c r="M389" s="30"/>
      <c r="N389" s="30"/>
      <c r="O389" s="30">
        <f>IFERROR(__xludf.DUMMYFUNCTION("""COMPUTED_VALUE"""),-2.630874715592867)</f>
        <v>-2.630874716</v>
      </c>
      <c r="P389" s="30">
        <f>IFERROR(__xludf.DUMMYFUNCTION("""COMPUTED_VALUE"""),4.463999088063446)</f>
        <v>4.463999088</v>
      </c>
      <c r="Q389" s="30"/>
      <c r="R389" s="30"/>
      <c r="S389" s="30"/>
      <c r="T389" s="30"/>
      <c r="U389" s="30">
        <v>0.0</v>
      </c>
      <c r="V389" s="30"/>
      <c r="W389" s="30"/>
      <c r="X389" s="30"/>
      <c r="Y389" s="5">
        <f>IFERROR(__xludf.DUMMYFUNCTION("""COMPUTED_VALUE"""),82.0)</f>
        <v>82</v>
      </c>
      <c r="Z389" s="5">
        <f>IFERROR(__xludf.DUMMYFUNCTION("""COMPUTED_VALUE"""),82.0)</f>
        <v>82</v>
      </c>
    </row>
    <row r="390">
      <c r="A390" s="30" t="s">
        <v>560</v>
      </c>
      <c r="B390" s="30">
        <f>IFERROR(__xludf.DUMMYFUNCTION("""COMPUTED_VALUE"""),80.0)</f>
        <v>80</v>
      </c>
      <c r="C390" s="30"/>
      <c r="D390" s="30"/>
      <c r="E390" s="30"/>
      <c r="F390" s="30"/>
      <c r="G390" s="30"/>
      <c r="H390" s="30"/>
      <c r="I390" s="30"/>
      <c r="J390" s="30">
        <f>IFERROR(__xludf.DUMMYFUNCTION("""COMPUTED_VALUE"""),-11.059343513011441)</f>
        <v>-11.05934351</v>
      </c>
      <c r="K390" s="30"/>
      <c r="L390" s="30"/>
      <c r="M390" s="30"/>
      <c r="N390" s="30"/>
      <c r="O390" s="30">
        <f>IFERROR(__xludf.DUMMYFUNCTION("""COMPUTED_VALUE"""),-2.630874715592867)</f>
        <v>-2.630874716</v>
      </c>
      <c r="P390" s="30">
        <f>IFERROR(__xludf.DUMMYFUNCTION("""COMPUTED_VALUE"""),4.463999088063446)</f>
        <v>4.463999088</v>
      </c>
      <c r="Q390" s="30"/>
      <c r="R390" s="30"/>
      <c r="S390" s="30"/>
      <c r="T390" s="30"/>
      <c r="U390" s="30">
        <v>0.0</v>
      </c>
      <c r="V390" s="30"/>
      <c r="W390" s="30"/>
      <c r="X390" s="30"/>
      <c r="Y390" s="5">
        <f>IFERROR(__xludf.DUMMYFUNCTION("""COMPUTED_VALUE"""),78.0)</f>
        <v>78</v>
      </c>
      <c r="Z390" s="5">
        <f>IFERROR(__xludf.DUMMYFUNCTION("""COMPUTED_VALUE"""),82.0)</f>
        <v>82</v>
      </c>
    </row>
    <row r="391">
      <c r="A391" s="30" t="s">
        <v>821</v>
      </c>
      <c r="B391" s="30">
        <f>IFERROR(__xludf.DUMMYFUNCTION("""COMPUTED_VALUE"""),79.5)</f>
        <v>79.5</v>
      </c>
      <c r="C391" s="30"/>
      <c r="D391" s="30"/>
      <c r="E391" s="30"/>
      <c r="F391" s="30"/>
      <c r="G391" s="30"/>
      <c r="H391" s="30"/>
      <c r="I391" s="30"/>
      <c r="J391" s="30">
        <f>IFERROR(__xludf.DUMMYFUNCTION("""COMPUTED_VALUE"""),-11.059343513011441)</f>
        <v>-11.05934351</v>
      </c>
      <c r="K391" s="30"/>
      <c r="L391" s="30"/>
      <c r="M391" s="30"/>
      <c r="N391" s="30"/>
      <c r="O391" s="30">
        <f>IFERROR(__xludf.DUMMYFUNCTION("""COMPUTED_VALUE"""),-2.630874715592867)</f>
        <v>-2.630874716</v>
      </c>
      <c r="P391" s="30">
        <f>IFERROR(__xludf.DUMMYFUNCTION("""COMPUTED_VALUE"""),4.463999088063446)</f>
        <v>4.463999088</v>
      </c>
      <c r="Q391" s="30"/>
      <c r="R391" s="30"/>
      <c r="S391" s="30"/>
      <c r="T391" s="30"/>
      <c r="U391" s="30">
        <v>0.0</v>
      </c>
      <c r="V391" s="30"/>
      <c r="W391" s="30"/>
      <c r="X391" s="30"/>
      <c r="Y391" s="5">
        <f>IFERROR(__xludf.DUMMYFUNCTION("""COMPUTED_VALUE"""),79.0)</f>
        <v>79</v>
      </c>
      <c r="Z391" s="5">
        <f>IFERROR(__xludf.DUMMYFUNCTION("""COMPUTED_VALUE"""),80.0)</f>
        <v>80</v>
      </c>
    </row>
    <row r="392">
      <c r="A392" s="30" t="s">
        <v>1361</v>
      </c>
      <c r="B392" s="30">
        <f>IFERROR(__xludf.DUMMYFUNCTION("""COMPUTED_VALUE"""),79.5)</f>
        <v>79.5</v>
      </c>
      <c r="C392" s="30"/>
      <c r="D392" s="30"/>
      <c r="E392" s="30"/>
      <c r="F392" s="30"/>
      <c r="G392" s="30"/>
      <c r="H392" s="30"/>
      <c r="I392" s="30"/>
      <c r="J392" s="30">
        <f>IFERROR(__xludf.DUMMYFUNCTION("""COMPUTED_VALUE"""),-11.059343513011441)</f>
        <v>-11.05934351</v>
      </c>
      <c r="K392" s="30"/>
      <c r="L392" s="30"/>
      <c r="M392" s="30"/>
      <c r="N392" s="30"/>
      <c r="O392" s="30">
        <f>IFERROR(__xludf.DUMMYFUNCTION("""COMPUTED_VALUE"""),-2.630874715592867)</f>
        <v>-2.630874716</v>
      </c>
      <c r="P392" s="30">
        <f>IFERROR(__xludf.DUMMYFUNCTION("""COMPUTED_VALUE"""),4.463999088063446)</f>
        <v>4.463999088</v>
      </c>
      <c r="Q392" s="30"/>
      <c r="R392" s="30"/>
      <c r="S392" s="30"/>
      <c r="T392" s="30"/>
      <c r="U392" s="30">
        <v>0.0</v>
      </c>
      <c r="V392" s="30"/>
      <c r="W392" s="30"/>
      <c r="X392" s="30"/>
      <c r="Y392" s="5">
        <f>IFERROR(__xludf.DUMMYFUNCTION("""COMPUTED_VALUE"""),79.0)</f>
        <v>79</v>
      </c>
      <c r="Z392" s="5">
        <f>IFERROR(__xludf.DUMMYFUNCTION("""COMPUTED_VALUE"""),80.0)</f>
        <v>80</v>
      </c>
    </row>
    <row r="393">
      <c r="A393" s="30" t="s">
        <v>1807</v>
      </c>
      <c r="B393" s="30">
        <f>IFERROR(__xludf.DUMMYFUNCTION("""COMPUTED_VALUE"""),80.0)</f>
        <v>80</v>
      </c>
      <c r="C393" s="30"/>
      <c r="D393" s="30"/>
      <c r="E393" s="30"/>
      <c r="F393" s="30"/>
      <c r="G393" s="30"/>
      <c r="H393" s="30"/>
      <c r="I393" s="30"/>
      <c r="J393" s="30">
        <f>IFERROR(__xludf.DUMMYFUNCTION("""COMPUTED_VALUE"""),-11.059343513011441)</f>
        <v>-11.05934351</v>
      </c>
      <c r="K393" s="30"/>
      <c r="L393" s="30"/>
      <c r="M393" s="30"/>
      <c r="N393" s="30"/>
      <c r="O393" s="30">
        <f>IFERROR(__xludf.DUMMYFUNCTION("""COMPUTED_VALUE"""),-2.630874715592867)</f>
        <v>-2.630874716</v>
      </c>
      <c r="P393" s="30">
        <f>IFERROR(__xludf.DUMMYFUNCTION("""COMPUTED_VALUE"""),4.463999088063446)</f>
        <v>4.463999088</v>
      </c>
      <c r="Q393" s="30"/>
      <c r="R393" s="30"/>
      <c r="S393" s="30"/>
      <c r="T393" s="30"/>
      <c r="U393" s="30">
        <v>0.0</v>
      </c>
      <c r="V393" s="30"/>
      <c r="W393" s="30"/>
      <c r="X393" s="30"/>
      <c r="Y393" s="5">
        <f>IFERROR(__xludf.DUMMYFUNCTION("""COMPUTED_VALUE"""),80.0)</f>
        <v>80</v>
      </c>
      <c r="Z393" s="5">
        <f>IFERROR(__xludf.DUMMYFUNCTION("""COMPUTED_VALUE"""),80.0)</f>
        <v>80</v>
      </c>
    </row>
    <row r="394">
      <c r="A394" s="30" t="s">
        <v>546</v>
      </c>
      <c r="B394" s="30">
        <f>IFERROR(__xludf.DUMMYFUNCTION("""COMPUTED_VALUE"""),79.0)</f>
        <v>79</v>
      </c>
      <c r="C394" s="30"/>
      <c r="D394" s="30"/>
      <c r="E394" s="30"/>
      <c r="F394" s="30"/>
      <c r="G394" s="30"/>
      <c r="H394" s="30"/>
      <c r="I394" s="30"/>
      <c r="J394" s="30">
        <f>IFERROR(__xludf.DUMMYFUNCTION("""COMPUTED_VALUE"""),-11.059343513011441)</f>
        <v>-11.05934351</v>
      </c>
      <c r="K394" s="30"/>
      <c r="L394" s="30"/>
      <c r="M394" s="30"/>
      <c r="N394" s="30"/>
      <c r="O394" s="30">
        <f>IFERROR(__xludf.DUMMYFUNCTION("""COMPUTED_VALUE"""),-2.630874715592867)</f>
        <v>-2.630874716</v>
      </c>
      <c r="P394" s="30">
        <f>IFERROR(__xludf.DUMMYFUNCTION("""COMPUTED_VALUE"""),4.463999088063446)</f>
        <v>4.463999088</v>
      </c>
      <c r="Q394" s="30"/>
      <c r="R394" s="30"/>
      <c r="S394" s="30"/>
      <c r="T394" s="30"/>
      <c r="U394" s="30">
        <v>0.0</v>
      </c>
      <c r="V394" s="30"/>
      <c r="W394" s="30"/>
      <c r="X394" s="30"/>
      <c r="Y394" s="5">
        <f>IFERROR(__xludf.DUMMYFUNCTION("""COMPUTED_VALUE"""),78.0)</f>
        <v>78</v>
      </c>
      <c r="Z394" s="5">
        <f>IFERROR(__xludf.DUMMYFUNCTION("""COMPUTED_VALUE"""),80.0)</f>
        <v>80</v>
      </c>
    </row>
    <row r="395">
      <c r="A395" s="30" t="s">
        <v>1811</v>
      </c>
      <c r="B395" s="30">
        <f>IFERROR(__xludf.DUMMYFUNCTION("""COMPUTED_VALUE"""),79.0)</f>
        <v>79</v>
      </c>
      <c r="C395" s="30"/>
      <c r="D395" s="30"/>
      <c r="E395" s="30"/>
      <c r="F395" s="30"/>
      <c r="G395" s="30"/>
      <c r="H395" s="30"/>
      <c r="I395" s="30"/>
      <c r="J395" s="30">
        <f>IFERROR(__xludf.DUMMYFUNCTION("""COMPUTED_VALUE"""),-11.059343513011441)</f>
        <v>-11.05934351</v>
      </c>
      <c r="K395" s="30"/>
      <c r="L395" s="30"/>
      <c r="M395" s="30"/>
      <c r="N395" s="30"/>
      <c r="O395" s="30">
        <f>IFERROR(__xludf.DUMMYFUNCTION("""COMPUTED_VALUE"""),-2.630874715592867)</f>
        <v>-2.630874716</v>
      </c>
      <c r="P395" s="30">
        <f>IFERROR(__xludf.DUMMYFUNCTION("""COMPUTED_VALUE"""),4.463999088063446)</f>
        <v>4.463999088</v>
      </c>
      <c r="Q395" s="30"/>
      <c r="R395" s="30"/>
      <c r="S395" s="30"/>
      <c r="T395" s="30"/>
      <c r="U395" s="30">
        <v>0.0</v>
      </c>
      <c r="V395" s="30"/>
      <c r="W395" s="30"/>
      <c r="X395" s="30"/>
      <c r="Y395" s="5">
        <f>IFERROR(__xludf.DUMMYFUNCTION("""COMPUTED_VALUE"""),79.0)</f>
        <v>79</v>
      </c>
      <c r="Z395" s="5">
        <f>IFERROR(__xludf.DUMMYFUNCTION("""COMPUTED_VALUE"""),79.0)</f>
        <v>79</v>
      </c>
    </row>
    <row r="396">
      <c r="A396" s="30" t="s">
        <v>1419</v>
      </c>
      <c r="B396" s="30">
        <f>IFERROR(__xludf.DUMMYFUNCTION("""COMPUTED_VALUE"""),79.5)</f>
        <v>79.5</v>
      </c>
      <c r="C396" s="30"/>
      <c r="D396" s="30"/>
      <c r="E396" s="30"/>
      <c r="F396" s="30"/>
      <c r="G396" s="30"/>
      <c r="H396" s="30"/>
      <c r="I396" s="30"/>
      <c r="J396" s="30">
        <f>IFERROR(__xludf.DUMMYFUNCTION("""COMPUTED_VALUE"""),-11.059343513011441)</f>
        <v>-11.05934351</v>
      </c>
      <c r="K396" s="30"/>
      <c r="L396" s="30"/>
      <c r="M396" s="30"/>
      <c r="N396" s="30"/>
      <c r="O396" s="30">
        <f>IFERROR(__xludf.DUMMYFUNCTION("""COMPUTED_VALUE"""),-2.630874715592867)</f>
        <v>-2.630874716</v>
      </c>
      <c r="P396" s="30">
        <f>IFERROR(__xludf.DUMMYFUNCTION("""COMPUTED_VALUE"""),4.463999088063446)</f>
        <v>4.463999088</v>
      </c>
      <c r="Q396" s="30"/>
      <c r="R396" s="30"/>
      <c r="S396" s="30"/>
      <c r="T396" s="30"/>
      <c r="U396" s="30">
        <v>0.0</v>
      </c>
      <c r="V396" s="30"/>
      <c r="W396" s="30"/>
      <c r="X396" s="30"/>
      <c r="Y396" s="5">
        <f>IFERROR(__xludf.DUMMYFUNCTION("""COMPUTED_VALUE"""),79.0)</f>
        <v>79</v>
      </c>
      <c r="Z396" s="5">
        <f>IFERROR(__xludf.DUMMYFUNCTION("""COMPUTED_VALUE"""),80.0)</f>
        <v>80</v>
      </c>
    </row>
    <row r="397">
      <c r="A397" s="30" t="s">
        <v>1479</v>
      </c>
      <c r="B397" s="30">
        <f>IFERROR(__xludf.DUMMYFUNCTION("""COMPUTED_VALUE"""),81.0)</f>
        <v>81</v>
      </c>
      <c r="C397" s="30"/>
      <c r="D397" s="30"/>
      <c r="E397" s="30"/>
      <c r="F397" s="30"/>
      <c r="G397" s="30"/>
      <c r="H397" s="30"/>
      <c r="I397" s="30"/>
      <c r="J397" s="30">
        <f>IFERROR(__xludf.DUMMYFUNCTION("""COMPUTED_VALUE"""),-11.059343513011441)</f>
        <v>-11.05934351</v>
      </c>
      <c r="K397" s="30"/>
      <c r="L397" s="30"/>
      <c r="M397" s="30"/>
      <c r="N397" s="30"/>
      <c r="O397" s="30">
        <f>IFERROR(__xludf.DUMMYFUNCTION("""COMPUTED_VALUE"""),-2.630874715592867)</f>
        <v>-2.630874716</v>
      </c>
      <c r="P397" s="30">
        <f>IFERROR(__xludf.DUMMYFUNCTION("""COMPUTED_VALUE"""),4.463999088063446)</f>
        <v>4.463999088</v>
      </c>
      <c r="Q397" s="30"/>
      <c r="R397" s="30"/>
      <c r="S397" s="30"/>
      <c r="T397" s="30"/>
      <c r="U397" s="30">
        <v>0.0</v>
      </c>
      <c r="V397" s="30"/>
      <c r="W397" s="30"/>
      <c r="X397" s="30"/>
      <c r="Y397" s="5">
        <f>IFERROR(__xludf.DUMMYFUNCTION("""COMPUTED_VALUE"""),80.0)</f>
        <v>80</v>
      </c>
      <c r="Z397" s="5">
        <f>IFERROR(__xludf.DUMMYFUNCTION("""COMPUTED_VALUE"""),82.0)</f>
        <v>82</v>
      </c>
    </row>
    <row r="398">
      <c r="A398" s="30" t="s">
        <v>1823</v>
      </c>
      <c r="B398" s="30">
        <f>IFERROR(__xludf.DUMMYFUNCTION("""COMPUTED_VALUE"""),79.5)</f>
        <v>79.5</v>
      </c>
      <c r="C398" s="30"/>
      <c r="D398" s="30"/>
      <c r="E398" s="30"/>
      <c r="F398" s="30"/>
      <c r="G398" s="30"/>
      <c r="H398" s="30"/>
      <c r="I398" s="30"/>
      <c r="J398" s="30">
        <f>IFERROR(__xludf.DUMMYFUNCTION("""COMPUTED_VALUE"""),-11.059343513011441)</f>
        <v>-11.05934351</v>
      </c>
      <c r="K398" s="30"/>
      <c r="L398" s="30"/>
      <c r="M398" s="30"/>
      <c r="N398" s="30"/>
      <c r="O398" s="30">
        <f>IFERROR(__xludf.DUMMYFUNCTION("""COMPUTED_VALUE"""),-2.630874715592867)</f>
        <v>-2.630874716</v>
      </c>
      <c r="P398" s="30">
        <f>IFERROR(__xludf.DUMMYFUNCTION("""COMPUTED_VALUE"""),4.463999088063446)</f>
        <v>4.463999088</v>
      </c>
      <c r="Q398" s="30"/>
      <c r="R398" s="30"/>
      <c r="S398" s="30"/>
      <c r="T398" s="30"/>
      <c r="U398" s="30">
        <v>0.0</v>
      </c>
      <c r="V398" s="30"/>
      <c r="W398" s="30"/>
      <c r="X398" s="30"/>
      <c r="Y398" s="5">
        <f>IFERROR(__xludf.DUMMYFUNCTION("""COMPUTED_VALUE"""),79.0)</f>
        <v>79</v>
      </c>
      <c r="Z398" s="5">
        <f>IFERROR(__xludf.DUMMYFUNCTION("""COMPUTED_VALUE"""),80.0)</f>
        <v>80</v>
      </c>
    </row>
    <row r="399">
      <c r="A399" s="30" t="s">
        <v>1828</v>
      </c>
      <c r="B399" s="30">
        <f>IFERROR(__xludf.DUMMYFUNCTION("""COMPUTED_VALUE"""),79.0)</f>
        <v>79</v>
      </c>
      <c r="C399" s="30"/>
      <c r="D399" s="30"/>
      <c r="E399" s="30"/>
      <c r="F399" s="30"/>
      <c r="G399" s="30"/>
      <c r="H399" s="30"/>
      <c r="I399" s="30"/>
      <c r="J399" s="30">
        <f>IFERROR(__xludf.DUMMYFUNCTION("""COMPUTED_VALUE"""),-11.059343513011441)</f>
        <v>-11.05934351</v>
      </c>
      <c r="K399" s="30"/>
      <c r="L399" s="30"/>
      <c r="M399" s="30"/>
      <c r="N399" s="30"/>
      <c r="O399" s="30">
        <f>IFERROR(__xludf.DUMMYFUNCTION("""COMPUTED_VALUE"""),-2.630874715592867)</f>
        <v>-2.630874716</v>
      </c>
      <c r="P399" s="30">
        <f>IFERROR(__xludf.DUMMYFUNCTION("""COMPUTED_VALUE"""),4.463999088063446)</f>
        <v>4.463999088</v>
      </c>
      <c r="Q399" s="30"/>
      <c r="R399" s="30"/>
      <c r="S399" s="30"/>
      <c r="T399" s="30"/>
      <c r="U399" s="30">
        <v>0.0</v>
      </c>
      <c r="V399" s="30"/>
      <c r="W399" s="30"/>
      <c r="X399" s="30"/>
      <c r="Y399" s="5">
        <f>IFERROR(__xludf.DUMMYFUNCTION("""COMPUTED_VALUE"""),78.0)</f>
        <v>78</v>
      </c>
      <c r="Z399" s="5">
        <f>IFERROR(__xludf.DUMMYFUNCTION("""COMPUTED_VALUE"""),80.0)</f>
        <v>80</v>
      </c>
    </row>
    <row r="400">
      <c r="A400" s="30" t="s">
        <v>1834</v>
      </c>
      <c r="B400" s="30">
        <f>IFERROR(__xludf.DUMMYFUNCTION("""COMPUTED_VALUE"""),78.0)</f>
        <v>78</v>
      </c>
      <c r="C400" s="30"/>
      <c r="D400" s="30"/>
      <c r="E400" s="30"/>
      <c r="F400" s="30"/>
      <c r="G400" s="30"/>
      <c r="H400" s="30"/>
      <c r="I400" s="30"/>
      <c r="J400" s="30">
        <f>IFERROR(__xludf.DUMMYFUNCTION("""COMPUTED_VALUE"""),-11.059343513011441)</f>
        <v>-11.05934351</v>
      </c>
      <c r="K400" s="30"/>
      <c r="L400" s="30"/>
      <c r="M400" s="30"/>
      <c r="N400" s="30"/>
      <c r="O400" s="30">
        <f>IFERROR(__xludf.DUMMYFUNCTION("""COMPUTED_VALUE"""),-2.630874715592867)</f>
        <v>-2.630874716</v>
      </c>
      <c r="P400" s="30">
        <f>IFERROR(__xludf.DUMMYFUNCTION("""COMPUTED_VALUE"""),4.463999088063446)</f>
        <v>4.463999088</v>
      </c>
      <c r="Q400" s="30"/>
      <c r="R400" s="30"/>
      <c r="S400" s="30"/>
      <c r="T400" s="30"/>
      <c r="U400" s="30">
        <v>0.0</v>
      </c>
      <c r="V400" s="30"/>
      <c r="W400" s="30"/>
      <c r="X400" s="30"/>
      <c r="Y400" s="5">
        <f>IFERROR(__xludf.DUMMYFUNCTION("""COMPUTED_VALUE"""),77.0)</f>
        <v>77</v>
      </c>
      <c r="Z400" s="5">
        <f>IFERROR(__xludf.DUMMYFUNCTION("""COMPUTED_VALUE"""),79.0)</f>
        <v>79</v>
      </c>
    </row>
    <row r="401">
      <c r="A401" s="30" t="s">
        <v>1840</v>
      </c>
      <c r="B401" s="30">
        <f>IFERROR(__xludf.DUMMYFUNCTION("""COMPUTED_VALUE"""),81.0)</f>
        <v>81</v>
      </c>
      <c r="C401" s="30"/>
      <c r="D401" s="30"/>
      <c r="E401" s="30"/>
      <c r="F401" s="30"/>
      <c r="G401" s="30"/>
      <c r="H401" s="30"/>
      <c r="I401" s="30"/>
      <c r="J401" s="30">
        <f>IFERROR(__xludf.DUMMYFUNCTION("""COMPUTED_VALUE"""),-11.059343513011441)</f>
        <v>-11.05934351</v>
      </c>
      <c r="K401" s="30"/>
      <c r="L401" s="30"/>
      <c r="M401" s="30"/>
      <c r="N401" s="30"/>
      <c r="O401" s="30">
        <f>IFERROR(__xludf.DUMMYFUNCTION("""COMPUTED_VALUE"""),-2.630874715592867)</f>
        <v>-2.630874716</v>
      </c>
      <c r="P401" s="30">
        <f>IFERROR(__xludf.DUMMYFUNCTION("""COMPUTED_VALUE"""),4.463999088063446)</f>
        <v>4.463999088</v>
      </c>
      <c r="Q401" s="30"/>
      <c r="R401" s="30"/>
      <c r="S401" s="30"/>
      <c r="T401" s="30"/>
      <c r="U401" s="30">
        <v>0.0</v>
      </c>
      <c r="V401" s="30"/>
      <c r="W401" s="30"/>
      <c r="X401" s="30"/>
      <c r="Y401" s="5">
        <f>IFERROR(__xludf.DUMMYFUNCTION("""COMPUTED_VALUE"""),80.0)</f>
        <v>80</v>
      </c>
      <c r="Z401" s="5">
        <f>IFERROR(__xludf.DUMMYFUNCTION("""COMPUTED_VALUE"""),82.0)</f>
        <v>82</v>
      </c>
    </row>
    <row r="402">
      <c r="A402" s="30" t="s">
        <v>1844</v>
      </c>
      <c r="B402" s="30">
        <f>IFERROR(__xludf.DUMMYFUNCTION("""COMPUTED_VALUE"""),80.0)</f>
        <v>80</v>
      </c>
      <c r="C402" s="30"/>
      <c r="D402" s="30"/>
      <c r="E402" s="30"/>
      <c r="F402" s="30"/>
      <c r="G402" s="30"/>
      <c r="H402" s="30"/>
      <c r="I402" s="30"/>
      <c r="J402" s="30">
        <f>IFERROR(__xludf.DUMMYFUNCTION("""COMPUTED_VALUE"""),-11.059343513011441)</f>
        <v>-11.05934351</v>
      </c>
      <c r="K402" s="30"/>
      <c r="L402" s="30"/>
      <c r="M402" s="30"/>
      <c r="N402" s="30"/>
      <c r="O402" s="30">
        <f>IFERROR(__xludf.DUMMYFUNCTION("""COMPUTED_VALUE"""),-2.630874715592867)</f>
        <v>-2.630874716</v>
      </c>
      <c r="P402" s="30">
        <f>IFERROR(__xludf.DUMMYFUNCTION("""COMPUTED_VALUE"""),4.463999088063446)</f>
        <v>4.463999088</v>
      </c>
      <c r="Q402" s="30"/>
      <c r="R402" s="30"/>
      <c r="S402" s="30"/>
      <c r="T402" s="30"/>
      <c r="U402" s="30">
        <v>0.0</v>
      </c>
      <c r="V402" s="30"/>
      <c r="W402" s="30"/>
      <c r="X402" s="30"/>
      <c r="Y402" s="5">
        <f>IFERROR(__xludf.DUMMYFUNCTION("""COMPUTED_VALUE"""),80.0)</f>
        <v>80</v>
      </c>
      <c r="Z402" s="5">
        <f>IFERROR(__xludf.DUMMYFUNCTION("""COMPUTED_VALUE"""),80.0)</f>
        <v>80</v>
      </c>
    </row>
    <row r="403">
      <c r="A403" s="30" t="s">
        <v>1509</v>
      </c>
      <c r="B403" s="30">
        <f>IFERROR(__xludf.DUMMYFUNCTION("""COMPUTED_VALUE"""),81.0)</f>
        <v>81</v>
      </c>
      <c r="C403" s="30"/>
      <c r="D403" s="30"/>
      <c r="E403" s="30"/>
      <c r="F403" s="30"/>
      <c r="G403" s="30"/>
      <c r="H403" s="30"/>
      <c r="I403" s="30"/>
      <c r="J403" s="30">
        <f>IFERROR(__xludf.DUMMYFUNCTION("""COMPUTED_VALUE"""),-11.059343513011441)</f>
        <v>-11.05934351</v>
      </c>
      <c r="K403" s="30"/>
      <c r="L403" s="30"/>
      <c r="M403" s="30"/>
      <c r="N403" s="30"/>
      <c r="O403" s="30">
        <f>IFERROR(__xludf.DUMMYFUNCTION("""COMPUTED_VALUE"""),-2.630874715592867)</f>
        <v>-2.630874716</v>
      </c>
      <c r="P403" s="30">
        <f>IFERROR(__xludf.DUMMYFUNCTION("""COMPUTED_VALUE"""),4.463999088063446)</f>
        <v>4.463999088</v>
      </c>
      <c r="Q403" s="30"/>
      <c r="R403" s="30"/>
      <c r="S403" s="30"/>
      <c r="T403" s="30"/>
      <c r="U403" s="30">
        <v>0.0</v>
      </c>
      <c r="V403" s="30"/>
      <c r="W403" s="30"/>
      <c r="X403" s="30"/>
      <c r="Y403" s="5">
        <f>IFERROR(__xludf.DUMMYFUNCTION("""COMPUTED_VALUE"""),81.0)</f>
        <v>81</v>
      </c>
      <c r="Z403" s="5">
        <f>IFERROR(__xludf.DUMMYFUNCTION("""COMPUTED_VALUE"""),81.0)</f>
        <v>81</v>
      </c>
    </row>
    <row r="404">
      <c r="A404" s="30" t="s">
        <v>771</v>
      </c>
      <c r="B404" s="30">
        <f>IFERROR(__xludf.DUMMYFUNCTION("""COMPUTED_VALUE"""),79.0)</f>
        <v>79</v>
      </c>
      <c r="C404" s="30"/>
      <c r="D404" s="30"/>
      <c r="E404" s="30"/>
      <c r="F404" s="30"/>
      <c r="G404" s="30"/>
      <c r="H404" s="30"/>
      <c r="I404" s="30"/>
      <c r="J404" s="30">
        <f>IFERROR(__xludf.DUMMYFUNCTION("""COMPUTED_VALUE"""),-11.059343513011441)</f>
        <v>-11.05934351</v>
      </c>
      <c r="K404" s="30"/>
      <c r="L404" s="30"/>
      <c r="M404" s="30"/>
      <c r="N404" s="30"/>
      <c r="O404" s="30">
        <f>IFERROR(__xludf.DUMMYFUNCTION("""COMPUTED_VALUE"""),-2.630874715592867)</f>
        <v>-2.630874716</v>
      </c>
      <c r="P404" s="30">
        <f>IFERROR(__xludf.DUMMYFUNCTION("""COMPUTED_VALUE"""),4.463999088063446)</f>
        <v>4.463999088</v>
      </c>
      <c r="Q404" s="30"/>
      <c r="R404" s="30"/>
      <c r="S404" s="30"/>
      <c r="T404" s="30"/>
      <c r="U404" s="30">
        <v>0.0</v>
      </c>
      <c r="V404" s="30"/>
      <c r="W404" s="30"/>
      <c r="X404" s="30"/>
      <c r="Y404" s="5">
        <f>IFERROR(__xludf.DUMMYFUNCTION("""COMPUTED_VALUE"""),79.0)</f>
        <v>79</v>
      </c>
      <c r="Z404" s="5">
        <f>IFERROR(__xludf.DUMMYFUNCTION("""COMPUTED_VALUE"""),79.0)</f>
        <v>79</v>
      </c>
    </row>
    <row r="405">
      <c r="A405" s="30" t="s">
        <v>273</v>
      </c>
      <c r="B405" s="30">
        <f>IFERROR(__xludf.DUMMYFUNCTION("""COMPUTED_VALUE"""),79.0)</f>
        <v>79</v>
      </c>
      <c r="C405" s="30"/>
      <c r="D405" s="30"/>
      <c r="E405" s="30"/>
      <c r="F405" s="30"/>
      <c r="G405" s="30"/>
      <c r="H405" s="30"/>
      <c r="I405" s="30"/>
      <c r="J405" s="30">
        <f>IFERROR(__xludf.DUMMYFUNCTION("""COMPUTED_VALUE"""),-11.059343513011441)</f>
        <v>-11.05934351</v>
      </c>
      <c r="K405" s="30"/>
      <c r="L405" s="30"/>
      <c r="M405" s="30"/>
      <c r="N405" s="30"/>
      <c r="O405" s="30">
        <f>IFERROR(__xludf.DUMMYFUNCTION("""COMPUTED_VALUE"""),-2.630874715592867)</f>
        <v>-2.630874716</v>
      </c>
      <c r="P405" s="30">
        <f>IFERROR(__xludf.DUMMYFUNCTION("""COMPUTED_VALUE"""),4.463999088063446)</f>
        <v>4.463999088</v>
      </c>
      <c r="Q405" s="30"/>
      <c r="R405" s="30"/>
      <c r="S405" s="30"/>
      <c r="T405" s="30"/>
      <c r="U405" s="30">
        <v>0.0</v>
      </c>
      <c r="V405" s="30"/>
      <c r="W405" s="30"/>
      <c r="X405" s="30"/>
      <c r="Y405" s="5">
        <f>IFERROR(__xludf.DUMMYFUNCTION("""COMPUTED_VALUE"""),78.0)</f>
        <v>78</v>
      </c>
      <c r="Z405" s="5">
        <f>IFERROR(__xludf.DUMMYFUNCTION("""COMPUTED_VALUE"""),80.0)</f>
        <v>80</v>
      </c>
    </row>
    <row r="406">
      <c r="A406" s="30" t="s">
        <v>1848</v>
      </c>
      <c r="B406" s="30">
        <f>IFERROR(__xludf.DUMMYFUNCTION("""COMPUTED_VALUE"""),81.0)</f>
        <v>81</v>
      </c>
      <c r="C406" s="30"/>
      <c r="D406" s="30"/>
      <c r="E406" s="30"/>
      <c r="F406" s="30"/>
      <c r="G406" s="30"/>
      <c r="H406" s="30"/>
      <c r="I406" s="30"/>
      <c r="J406" s="30">
        <f>IFERROR(__xludf.DUMMYFUNCTION("""COMPUTED_VALUE"""),-11.059343513011441)</f>
        <v>-11.05934351</v>
      </c>
      <c r="K406" s="30"/>
      <c r="L406" s="30"/>
      <c r="M406" s="30"/>
      <c r="N406" s="30"/>
      <c r="O406" s="30">
        <f>IFERROR(__xludf.DUMMYFUNCTION("""COMPUTED_VALUE"""),-2.630874715592867)</f>
        <v>-2.630874716</v>
      </c>
      <c r="P406" s="30">
        <f>IFERROR(__xludf.DUMMYFUNCTION("""COMPUTED_VALUE"""),4.463999088063446)</f>
        <v>4.463999088</v>
      </c>
      <c r="Q406" s="30"/>
      <c r="R406" s="30"/>
      <c r="S406" s="30"/>
      <c r="T406" s="30"/>
      <c r="U406" s="30">
        <v>0.0</v>
      </c>
      <c r="V406" s="30"/>
      <c r="W406" s="30"/>
      <c r="X406" s="30"/>
      <c r="Y406" s="5">
        <f>IFERROR(__xludf.DUMMYFUNCTION("""COMPUTED_VALUE"""),81.0)</f>
        <v>81</v>
      </c>
      <c r="Z406" s="5">
        <f>IFERROR(__xludf.DUMMYFUNCTION("""COMPUTED_VALUE"""),81.0)</f>
        <v>81</v>
      </c>
    </row>
    <row r="407">
      <c r="A407" s="30" t="s">
        <v>1237</v>
      </c>
      <c r="B407" s="30">
        <f>IFERROR(__xludf.DUMMYFUNCTION("""COMPUTED_VALUE"""),79.5)</f>
        <v>79.5</v>
      </c>
      <c r="C407" s="30"/>
      <c r="D407" s="30"/>
      <c r="E407" s="30"/>
      <c r="F407" s="30"/>
      <c r="G407" s="30"/>
      <c r="H407" s="30"/>
      <c r="I407" s="30"/>
      <c r="J407" s="30">
        <f>IFERROR(__xludf.DUMMYFUNCTION("""COMPUTED_VALUE"""),-11.059343513011441)</f>
        <v>-11.05934351</v>
      </c>
      <c r="K407" s="30"/>
      <c r="L407" s="30"/>
      <c r="M407" s="30"/>
      <c r="N407" s="30"/>
      <c r="O407" s="30">
        <f>IFERROR(__xludf.DUMMYFUNCTION("""COMPUTED_VALUE"""),-2.630874715592867)</f>
        <v>-2.630874716</v>
      </c>
      <c r="P407" s="30">
        <f>IFERROR(__xludf.DUMMYFUNCTION("""COMPUTED_VALUE"""),4.463999088063446)</f>
        <v>4.463999088</v>
      </c>
      <c r="Q407" s="30"/>
      <c r="R407" s="30"/>
      <c r="S407" s="30"/>
      <c r="T407" s="30"/>
      <c r="U407" s="30">
        <v>0.0</v>
      </c>
      <c r="V407" s="30"/>
      <c r="W407" s="30"/>
      <c r="X407" s="30"/>
      <c r="Y407" s="5">
        <f>IFERROR(__xludf.DUMMYFUNCTION("""COMPUTED_VALUE"""),78.0)</f>
        <v>78</v>
      </c>
      <c r="Z407" s="5">
        <f>IFERROR(__xludf.DUMMYFUNCTION("""COMPUTED_VALUE"""),81.0)</f>
        <v>81</v>
      </c>
    </row>
    <row r="408">
      <c r="A408" s="30" t="s">
        <v>1078</v>
      </c>
      <c r="B408" s="30">
        <f>IFERROR(__xludf.DUMMYFUNCTION("""COMPUTED_VALUE"""),80.0)</f>
        <v>80</v>
      </c>
      <c r="C408" s="30"/>
      <c r="D408" s="30"/>
      <c r="E408" s="30"/>
      <c r="F408" s="30"/>
      <c r="G408" s="30"/>
      <c r="H408" s="30"/>
      <c r="I408" s="30"/>
      <c r="J408" s="30">
        <f>IFERROR(__xludf.DUMMYFUNCTION("""COMPUTED_VALUE"""),-11.059343513011441)</f>
        <v>-11.05934351</v>
      </c>
      <c r="K408" s="30"/>
      <c r="L408" s="30"/>
      <c r="M408" s="30"/>
      <c r="N408" s="30"/>
      <c r="O408" s="30">
        <f>IFERROR(__xludf.DUMMYFUNCTION("""COMPUTED_VALUE"""),-2.630874715592867)</f>
        <v>-2.630874716</v>
      </c>
      <c r="P408" s="30">
        <f>IFERROR(__xludf.DUMMYFUNCTION("""COMPUTED_VALUE"""),4.463999088063446)</f>
        <v>4.463999088</v>
      </c>
      <c r="Q408" s="30"/>
      <c r="R408" s="30"/>
      <c r="S408" s="30"/>
      <c r="T408" s="30"/>
      <c r="U408" s="30">
        <v>0.0</v>
      </c>
      <c r="V408" s="30"/>
      <c r="W408" s="30"/>
      <c r="X408" s="30"/>
      <c r="Y408" s="5">
        <f>IFERROR(__xludf.DUMMYFUNCTION("""COMPUTED_VALUE"""),78.0)</f>
        <v>78</v>
      </c>
      <c r="Z408" s="5">
        <f>IFERROR(__xludf.DUMMYFUNCTION("""COMPUTED_VALUE"""),82.0)</f>
        <v>82</v>
      </c>
    </row>
    <row r="409">
      <c r="A409" s="30" t="s">
        <v>1864</v>
      </c>
      <c r="B409" s="30">
        <f>IFERROR(__xludf.DUMMYFUNCTION("""COMPUTED_VALUE"""),81.0)</f>
        <v>81</v>
      </c>
      <c r="C409" s="30"/>
      <c r="D409" s="30"/>
      <c r="E409" s="30"/>
      <c r="F409" s="30"/>
      <c r="G409" s="30"/>
      <c r="H409" s="30"/>
      <c r="I409" s="30"/>
      <c r="J409" s="30">
        <f>IFERROR(__xludf.DUMMYFUNCTION("""COMPUTED_VALUE"""),-11.059343513011441)</f>
        <v>-11.05934351</v>
      </c>
      <c r="K409" s="30"/>
      <c r="L409" s="30"/>
      <c r="M409" s="30"/>
      <c r="N409" s="30"/>
      <c r="O409" s="30">
        <f>IFERROR(__xludf.DUMMYFUNCTION("""COMPUTED_VALUE"""),-2.630874715592867)</f>
        <v>-2.630874716</v>
      </c>
      <c r="P409" s="30">
        <f>IFERROR(__xludf.DUMMYFUNCTION("""COMPUTED_VALUE"""),4.463999088063446)</f>
        <v>4.463999088</v>
      </c>
      <c r="Q409" s="30"/>
      <c r="R409" s="30"/>
      <c r="S409" s="30"/>
      <c r="T409" s="30"/>
      <c r="U409" s="30">
        <v>0.0</v>
      </c>
      <c r="V409" s="30"/>
      <c r="W409" s="30"/>
      <c r="X409" s="30"/>
      <c r="Y409" s="5">
        <f>IFERROR(__xludf.DUMMYFUNCTION("""COMPUTED_VALUE"""),81.0)</f>
        <v>81</v>
      </c>
      <c r="Z409" s="5">
        <f>IFERROR(__xludf.DUMMYFUNCTION("""COMPUTED_VALUE"""),81.0)</f>
        <v>81</v>
      </c>
    </row>
    <row r="410">
      <c r="A410" s="30" t="s">
        <v>1865</v>
      </c>
      <c r="B410" s="30">
        <f>IFERROR(__xludf.DUMMYFUNCTION("""COMPUTED_VALUE"""),79.5)</f>
        <v>79.5</v>
      </c>
      <c r="C410" s="30"/>
      <c r="D410" s="30"/>
      <c r="E410" s="30"/>
      <c r="F410" s="30"/>
      <c r="G410" s="30"/>
      <c r="H410" s="30"/>
      <c r="I410" s="30"/>
      <c r="J410" s="30">
        <f>IFERROR(__xludf.DUMMYFUNCTION("""COMPUTED_VALUE"""),-11.059343513011441)</f>
        <v>-11.05934351</v>
      </c>
      <c r="K410" s="30"/>
      <c r="L410" s="30"/>
      <c r="M410" s="30"/>
      <c r="N410" s="30"/>
      <c r="O410" s="30">
        <f>IFERROR(__xludf.DUMMYFUNCTION("""COMPUTED_VALUE"""),-2.630874715592867)</f>
        <v>-2.630874716</v>
      </c>
      <c r="P410" s="30">
        <f>IFERROR(__xludf.DUMMYFUNCTION("""COMPUTED_VALUE"""),4.463999088063446)</f>
        <v>4.463999088</v>
      </c>
      <c r="Q410" s="30"/>
      <c r="R410" s="30"/>
      <c r="S410" s="30"/>
      <c r="T410" s="30"/>
      <c r="U410" s="30">
        <v>0.0</v>
      </c>
      <c r="V410" s="30"/>
      <c r="W410" s="30"/>
      <c r="X410" s="30"/>
      <c r="Y410" s="5">
        <f>IFERROR(__xludf.DUMMYFUNCTION("""COMPUTED_VALUE"""),78.0)</f>
        <v>78</v>
      </c>
      <c r="Z410" s="5">
        <f>IFERROR(__xludf.DUMMYFUNCTION("""COMPUTED_VALUE"""),81.0)</f>
        <v>81</v>
      </c>
    </row>
    <row r="411">
      <c r="A411" s="30" t="s">
        <v>1871</v>
      </c>
      <c r="B411" s="30">
        <f>IFERROR(__xludf.DUMMYFUNCTION("""COMPUTED_VALUE"""),80.5)</f>
        <v>80.5</v>
      </c>
      <c r="C411" s="30"/>
      <c r="D411" s="30"/>
      <c r="E411" s="30"/>
      <c r="F411" s="30"/>
      <c r="G411" s="30"/>
      <c r="H411" s="30"/>
      <c r="I411" s="30"/>
      <c r="J411" s="30">
        <f>IFERROR(__xludf.DUMMYFUNCTION("""COMPUTED_VALUE"""),-11.059343513011441)</f>
        <v>-11.05934351</v>
      </c>
      <c r="K411" s="30"/>
      <c r="L411" s="30"/>
      <c r="M411" s="30"/>
      <c r="N411" s="30"/>
      <c r="O411" s="30">
        <f>IFERROR(__xludf.DUMMYFUNCTION("""COMPUTED_VALUE"""),-2.630874715592867)</f>
        <v>-2.630874716</v>
      </c>
      <c r="P411" s="30">
        <f>IFERROR(__xludf.DUMMYFUNCTION("""COMPUTED_VALUE"""),4.463999088063446)</f>
        <v>4.463999088</v>
      </c>
      <c r="Q411" s="30"/>
      <c r="R411" s="30"/>
      <c r="S411" s="30"/>
      <c r="T411" s="30"/>
      <c r="U411" s="30">
        <v>0.0</v>
      </c>
      <c r="V411" s="30"/>
      <c r="W411" s="30"/>
      <c r="X411" s="30"/>
      <c r="Y411" s="5">
        <f>IFERROR(__xludf.DUMMYFUNCTION("""COMPUTED_VALUE"""),80.0)</f>
        <v>80</v>
      </c>
      <c r="Z411" s="5">
        <f>IFERROR(__xludf.DUMMYFUNCTION("""COMPUTED_VALUE"""),81.0)</f>
        <v>81</v>
      </c>
    </row>
    <row r="412">
      <c r="A412" s="30" t="s">
        <v>1876</v>
      </c>
      <c r="B412" s="30">
        <f>IFERROR(__xludf.DUMMYFUNCTION("""COMPUTED_VALUE"""),80.5)</f>
        <v>80.5</v>
      </c>
      <c r="C412" s="30"/>
      <c r="D412" s="30"/>
      <c r="E412" s="30"/>
      <c r="F412" s="30"/>
      <c r="G412" s="30"/>
      <c r="H412" s="30"/>
      <c r="I412" s="30"/>
      <c r="J412" s="30">
        <f>IFERROR(__xludf.DUMMYFUNCTION("""COMPUTED_VALUE"""),-11.059343513011441)</f>
        <v>-11.05934351</v>
      </c>
      <c r="K412" s="30"/>
      <c r="L412" s="30"/>
      <c r="M412" s="30"/>
      <c r="N412" s="30"/>
      <c r="O412" s="30">
        <f>IFERROR(__xludf.DUMMYFUNCTION("""COMPUTED_VALUE"""),-2.630874715592867)</f>
        <v>-2.630874716</v>
      </c>
      <c r="P412" s="30">
        <f>IFERROR(__xludf.DUMMYFUNCTION("""COMPUTED_VALUE"""),4.463999088063446)</f>
        <v>4.463999088</v>
      </c>
      <c r="Q412" s="30"/>
      <c r="R412" s="30"/>
      <c r="S412" s="30"/>
      <c r="T412" s="30"/>
      <c r="U412" s="30">
        <v>0.0</v>
      </c>
      <c r="V412" s="30"/>
      <c r="W412" s="30"/>
      <c r="X412" s="30"/>
      <c r="Y412" s="5">
        <f>IFERROR(__xludf.DUMMYFUNCTION("""COMPUTED_VALUE"""),80.0)</f>
        <v>80</v>
      </c>
      <c r="Z412" s="5">
        <f>IFERROR(__xludf.DUMMYFUNCTION("""COMPUTED_VALUE"""),81.0)</f>
        <v>81</v>
      </c>
    </row>
    <row r="413">
      <c r="A413" s="30" t="s">
        <v>438</v>
      </c>
      <c r="B413" s="30">
        <f>IFERROR(__xludf.DUMMYFUNCTION("""COMPUTED_VALUE"""),79.0)</f>
        <v>79</v>
      </c>
      <c r="C413" s="30"/>
      <c r="D413" s="30"/>
      <c r="E413" s="30"/>
      <c r="F413" s="30"/>
      <c r="G413" s="30"/>
      <c r="H413" s="30"/>
      <c r="I413" s="30"/>
      <c r="J413" s="30">
        <f>IFERROR(__xludf.DUMMYFUNCTION("""COMPUTED_VALUE"""),-11.059343513011441)</f>
        <v>-11.05934351</v>
      </c>
      <c r="K413" s="30"/>
      <c r="L413" s="30"/>
      <c r="M413" s="30"/>
      <c r="N413" s="30"/>
      <c r="O413" s="30">
        <f>IFERROR(__xludf.DUMMYFUNCTION("""COMPUTED_VALUE"""),-2.630874715592867)</f>
        <v>-2.630874716</v>
      </c>
      <c r="P413" s="30">
        <f>IFERROR(__xludf.DUMMYFUNCTION("""COMPUTED_VALUE"""),4.463999088063446)</f>
        <v>4.463999088</v>
      </c>
      <c r="Q413" s="30"/>
      <c r="R413" s="30"/>
      <c r="S413" s="30"/>
      <c r="T413" s="30"/>
      <c r="U413" s="30">
        <v>0.0</v>
      </c>
      <c r="V413" s="30"/>
      <c r="W413" s="30"/>
      <c r="X413" s="30"/>
      <c r="Y413" s="5">
        <f>IFERROR(__xludf.DUMMYFUNCTION("""COMPUTED_VALUE"""),79.0)</f>
        <v>79</v>
      </c>
      <c r="Z413" s="5">
        <f>IFERROR(__xludf.DUMMYFUNCTION("""COMPUTED_VALUE"""),79.0)</f>
        <v>79</v>
      </c>
    </row>
    <row r="414">
      <c r="A414" s="30" t="s">
        <v>861</v>
      </c>
      <c r="B414" s="30">
        <f>IFERROR(__xludf.DUMMYFUNCTION("""COMPUTED_VALUE"""),79.0)</f>
        <v>79</v>
      </c>
      <c r="C414" s="30"/>
      <c r="D414" s="30"/>
      <c r="E414" s="30"/>
      <c r="F414" s="30"/>
      <c r="G414" s="30"/>
      <c r="H414" s="30"/>
      <c r="I414" s="30"/>
      <c r="J414" s="30">
        <f>IFERROR(__xludf.DUMMYFUNCTION("""COMPUTED_VALUE"""),-11.059343513011441)</f>
        <v>-11.05934351</v>
      </c>
      <c r="K414" s="30"/>
      <c r="L414" s="30"/>
      <c r="M414" s="30"/>
      <c r="N414" s="30"/>
      <c r="O414" s="30">
        <f>IFERROR(__xludf.DUMMYFUNCTION("""COMPUTED_VALUE"""),-2.630874715592867)</f>
        <v>-2.630874716</v>
      </c>
      <c r="P414" s="30">
        <f>IFERROR(__xludf.DUMMYFUNCTION("""COMPUTED_VALUE"""),4.463999088063446)</f>
        <v>4.463999088</v>
      </c>
      <c r="Q414" s="30"/>
      <c r="R414" s="30"/>
      <c r="S414" s="30"/>
      <c r="T414" s="30"/>
      <c r="U414" s="30">
        <v>0.0</v>
      </c>
      <c r="V414" s="30"/>
      <c r="W414" s="30"/>
      <c r="X414" s="30"/>
      <c r="Y414" s="5">
        <f>IFERROR(__xludf.DUMMYFUNCTION("""COMPUTED_VALUE"""),78.0)</f>
        <v>78</v>
      </c>
      <c r="Z414" s="5">
        <f>IFERROR(__xludf.DUMMYFUNCTION("""COMPUTED_VALUE"""),80.0)</f>
        <v>80</v>
      </c>
    </row>
    <row r="415">
      <c r="A415" s="30" t="s">
        <v>1380</v>
      </c>
      <c r="B415" s="30">
        <f>IFERROR(__xludf.DUMMYFUNCTION("""COMPUTED_VALUE"""),81.0)</f>
        <v>81</v>
      </c>
      <c r="C415" s="30"/>
      <c r="D415" s="30"/>
      <c r="E415" s="30"/>
      <c r="F415" s="30"/>
      <c r="G415" s="30"/>
      <c r="H415" s="30"/>
      <c r="I415" s="30"/>
      <c r="J415" s="30">
        <f>IFERROR(__xludf.DUMMYFUNCTION("""COMPUTED_VALUE"""),-11.059343513011441)</f>
        <v>-11.05934351</v>
      </c>
      <c r="K415" s="30"/>
      <c r="L415" s="30"/>
      <c r="M415" s="30"/>
      <c r="N415" s="30"/>
      <c r="O415" s="30">
        <f>IFERROR(__xludf.DUMMYFUNCTION("""COMPUTED_VALUE"""),-2.630874715592867)</f>
        <v>-2.630874716</v>
      </c>
      <c r="P415" s="30">
        <f>IFERROR(__xludf.DUMMYFUNCTION("""COMPUTED_VALUE"""),4.463999088063446)</f>
        <v>4.463999088</v>
      </c>
      <c r="Q415" s="30"/>
      <c r="R415" s="30"/>
      <c r="S415" s="30"/>
      <c r="T415" s="30"/>
      <c r="U415" s="30">
        <v>0.0</v>
      </c>
      <c r="V415" s="30"/>
      <c r="W415" s="30"/>
      <c r="X415" s="30"/>
      <c r="Y415" s="5">
        <f>IFERROR(__xludf.DUMMYFUNCTION("""COMPUTED_VALUE"""),80.0)</f>
        <v>80</v>
      </c>
      <c r="Z415" s="5">
        <f>IFERROR(__xludf.DUMMYFUNCTION("""COMPUTED_VALUE"""),82.0)</f>
        <v>82</v>
      </c>
    </row>
    <row r="416">
      <c r="A416" s="30" t="s">
        <v>605</v>
      </c>
      <c r="B416" s="30">
        <f>IFERROR(__xludf.DUMMYFUNCTION("""COMPUTED_VALUE"""),80.0)</f>
        <v>80</v>
      </c>
      <c r="C416" s="30"/>
      <c r="D416" s="30"/>
      <c r="E416" s="30"/>
      <c r="F416" s="30"/>
      <c r="G416" s="30"/>
      <c r="H416" s="30"/>
      <c r="I416" s="30"/>
      <c r="J416" s="30">
        <f>IFERROR(__xludf.DUMMYFUNCTION("""COMPUTED_VALUE"""),-11.059343513011441)</f>
        <v>-11.05934351</v>
      </c>
      <c r="K416" s="30"/>
      <c r="L416" s="30"/>
      <c r="M416" s="30"/>
      <c r="N416" s="30"/>
      <c r="O416" s="30">
        <f>IFERROR(__xludf.DUMMYFUNCTION("""COMPUTED_VALUE"""),-2.630874715592867)</f>
        <v>-2.630874716</v>
      </c>
      <c r="P416" s="30">
        <f>IFERROR(__xludf.DUMMYFUNCTION("""COMPUTED_VALUE"""),4.463999088063446)</f>
        <v>4.463999088</v>
      </c>
      <c r="Q416" s="30"/>
      <c r="R416" s="30"/>
      <c r="S416" s="30"/>
      <c r="T416" s="30"/>
      <c r="U416" s="30">
        <v>0.0</v>
      </c>
      <c r="V416" s="30"/>
      <c r="W416" s="30"/>
      <c r="X416" s="30"/>
      <c r="Y416" s="5">
        <f>IFERROR(__xludf.DUMMYFUNCTION("""COMPUTED_VALUE"""),79.0)</f>
        <v>79</v>
      </c>
      <c r="Z416" s="5">
        <f>IFERROR(__xludf.DUMMYFUNCTION("""COMPUTED_VALUE"""),81.0)</f>
        <v>81</v>
      </c>
    </row>
    <row r="417">
      <c r="A417" s="30" t="s">
        <v>1301</v>
      </c>
      <c r="B417" s="30">
        <f>IFERROR(__xludf.DUMMYFUNCTION("""COMPUTED_VALUE"""),80.0)</f>
        <v>80</v>
      </c>
      <c r="C417" s="30"/>
      <c r="D417" s="30"/>
      <c r="E417" s="30"/>
      <c r="F417" s="30"/>
      <c r="G417" s="30"/>
      <c r="H417" s="30"/>
      <c r="I417" s="30"/>
      <c r="J417" s="30">
        <f>IFERROR(__xludf.DUMMYFUNCTION("""COMPUTED_VALUE"""),-11.059343513011441)</f>
        <v>-11.05934351</v>
      </c>
      <c r="K417" s="30"/>
      <c r="L417" s="30"/>
      <c r="M417" s="30"/>
      <c r="N417" s="30"/>
      <c r="O417" s="30">
        <f>IFERROR(__xludf.DUMMYFUNCTION("""COMPUTED_VALUE"""),-2.630874715592867)</f>
        <v>-2.630874716</v>
      </c>
      <c r="P417" s="30">
        <f>IFERROR(__xludf.DUMMYFUNCTION("""COMPUTED_VALUE"""),4.463999088063446)</f>
        <v>4.463999088</v>
      </c>
      <c r="Q417" s="30"/>
      <c r="R417" s="30"/>
      <c r="S417" s="30"/>
      <c r="T417" s="30"/>
      <c r="U417" s="30">
        <v>0.0</v>
      </c>
      <c r="V417" s="30"/>
      <c r="W417" s="30"/>
      <c r="X417" s="30"/>
      <c r="Y417" s="5">
        <f>IFERROR(__xludf.DUMMYFUNCTION("""COMPUTED_VALUE"""),78.0)</f>
        <v>78</v>
      </c>
      <c r="Z417" s="5">
        <f>IFERROR(__xludf.DUMMYFUNCTION("""COMPUTED_VALUE"""),82.0)</f>
        <v>82</v>
      </c>
    </row>
    <row r="418">
      <c r="A418" s="30" t="s">
        <v>528</v>
      </c>
      <c r="B418" s="30">
        <f>IFERROR(__xludf.DUMMYFUNCTION("""COMPUTED_VALUE"""),78.0)</f>
        <v>78</v>
      </c>
      <c r="C418" s="30"/>
      <c r="D418" s="30"/>
      <c r="E418" s="30"/>
      <c r="F418" s="30"/>
      <c r="G418" s="30"/>
      <c r="H418" s="30"/>
      <c r="I418" s="30"/>
      <c r="J418" s="30">
        <f>IFERROR(__xludf.DUMMYFUNCTION("""COMPUTED_VALUE"""),-11.059343513011441)</f>
        <v>-11.05934351</v>
      </c>
      <c r="K418" s="30"/>
      <c r="L418" s="30"/>
      <c r="M418" s="30"/>
      <c r="N418" s="30"/>
      <c r="O418" s="30">
        <f>IFERROR(__xludf.DUMMYFUNCTION("""COMPUTED_VALUE"""),-2.630874715592867)</f>
        <v>-2.630874716</v>
      </c>
      <c r="P418" s="30">
        <f>IFERROR(__xludf.DUMMYFUNCTION("""COMPUTED_VALUE"""),4.463999088063446)</f>
        <v>4.463999088</v>
      </c>
      <c r="Q418" s="30"/>
      <c r="R418" s="30"/>
      <c r="S418" s="30"/>
      <c r="T418" s="30"/>
      <c r="U418" s="30">
        <v>0.0</v>
      </c>
      <c r="V418" s="30"/>
      <c r="W418" s="30"/>
      <c r="X418" s="30"/>
      <c r="Y418" s="5">
        <f>IFERROR(__xludf.DUMMYFUNCTION("""COMPUTED_VALUE"""),78.0)</f>
        <v>78</v>
      </c>
      <c r="Z418" s="5">
        <f>IFERROR(__xludf.DUMMYFUNCTION("""COMPUTED_VALUE"""),78.0)</f>
        <v>78</v>
      </c>
    </row>
    <row r="419">
      <c r="A419" s="30" t="s">
        <v>1898</v>
      </c>
      <c r="B419" s="30">
        <f>IFERROR(__xludf.DUMMYFUNCTION("""COMPUTED_VALUE"""),81.0)</f>
        <v>81</v>
      </c>
      <c r="C419" s="30"/>
      <c r="D419" s="30"/>
      <c r="E419" s="30"/>
      <c r="F419" s="30"/>
      <c r="G419" s="30"/>
      <c r="H419" s="30"/>
      <c r="I419" s="30"/>
      <c r="J419" s="30">
        <f>IFERROR(__xludf.DUMMYFUNCTION("""COMPUTED_VALUE"""),-11.059343513011441)</f>
        <v>-11.05934351</v>
      </c>
      <c r="K419" s="30"/>
      <c r="L419" s="30"/>
      <c r="M419" s="30"/>
      <c r="N419" s="30"/>
      <c r="O419" s="30">
        <f>IFERROR(__xludf.DUMMYFUNCTION("""COMPUTED_VALUE"""),-2.630874715592867)</f>
        <v>-2.630874716</v>
      </c>
      <c r="P419" s="30">
        <f>IFERROR(__xludf.DUMMYFUNCTION("""COMPUTED_VALUE"""),4.463999088063446)</f>
        <v>4.463999088</v>
      </c>
      <c r="Q419" s="30"/>
      <c r="R419" s="30"/>
      <c r="S419" s="30"/>
      <c r="T419" s="30"/>
      <c r="U419" s="30">
        <v>0.0</v>
      </c>
      <c r="V419" s="30"/>
      <c r="W419" s="30"/>
      <c r="X419" s="30"/>
      <c r="Y419" s="5">
        <f>IFERROR(__xludf.DUMMYFUNCTION("""COMPUTED_VALUE"""),81.0)</f>
        <v>81</v>
      </c>
      <c r="Z419" s="5">
        <f>IFERROR(__xludf.DUMMYFUNCTION("""COMPUTED_VALUE"""),81.0)</f>
        <v>81</v>
      </c>
    </row>
    <row r="420">
      <c r="A420" s="30" t="s">
        <v>1248</v>
      </c>
      <c r="B420" s="30">
        <f>IFERROR(__xludf.DUMMYFUNCTION("""COMPUTED_VALUE"""),81.5)</f>
        <v>81.5</v>
      </c>
      <c r="C420" s="30"/>
      <c r="D420" s="30"/>
      <c r="E420" s="30"/>
      <c r="F420" s="30"/>
      <c r="G420" s="30"/>
      <c r="H420" s="30"/>
      <c r="I420" s="30"/>
      <c r="J420" s="30">
        <f>IFERROR(__xludf.DUMMYFUNCTION("""COMPUTED_VALUE"""),-11.059343513011441)</f>
        <v>-11.05934351</v>
      </c>
      <c r="K420" s="30"/>
      <c r="L420" s="30"/>
      <c r="M420" s="30"/>
      <c r="N420" s="30"/>
      <c r="O420" s="30">
        <f>IFERROR(__xludf.DUMMYFUNCTION("""COMPUTED_VALUE"""),-2.630874715592867)</f>
        <v>-2.630874716</v>
      </c>
      <c r="P420" s="30">
        <f>IFERROR(__xludf.DUMMYFUNCTION("""COMPUTED_VALUE"""),4.463999088063446)</f>
        <v>4.463999088</v>
      </c>
      <c r="Q420" s="30"/>
      <c r="R420" s="30"/>
      <c r="S420" s="30"/>
      <c r="T420" s="30"/>
      <c r="U420" s="30">
        <v>0.0</v>
      </c>
      <c r="V420" s="30"/>
      <c r="W420" s="30"/>
      <c r="X420" s="30"/>
      <c r="Y420" s="5">
        <f>IFERROR(__xludf.DUMMYFUNCTION("""COMPUTED_VALUE"""),81.0)</f>
        <v>81</v>
      </c>
      <c r="Z420" s="5">
        <f>IFERROR(__xludf.DUMMYFUNCTION("""COMPUTED_VALUE"""),82.0)</f>
        <v>82</v>
      </c>
    </row>
    <row r="421">
      <c r="A421" s="30" t="s">
        <v>1274</v>
      </c>
      <c r="B421" s="30">
        <f>IFERROR(__xludf.DUMMYFUNCTION("""COMPUTED_VALUE"""),79.0)</f>
        <v>79</v>
      </c>
      <c r="C421" s="30"/>
      <c r="D421" s="30"/>
      <c r="E421" s="30"/>
      <c r="F421" s="30"/>
      <c r="G421" s="30"/>
      <c r="H421" s="30"/>
      <c r="I421" s="30"/>
      <c r="J421" s="30">
        <f>IFERROR(__xludf.DUMMYFUNCTION("""COMPUTED_VALUE"""),-11.059343513011441)</f>
        <v>-11.05934351</v>
      </c>
      <c r="K421" s="30"/>
      <c r="L421" s="30"/>
      <c r="M421" s="30"/>
      <c r="N421" s="30"/>
      <c r="O421" s="30">
        <f>IFERROR(__xludf.DUMMYFUNCTION("""COMPUTED_VALUE"""),-2.630874715592867)</f>
        <v>-2.630874716</v>
      </c>
      <c r="P421" s="30">
        <f>IFERROR(__xludf.DUMMYFUNCTION("""COMPUTED_VALUE"""),4.463999088063446)</f>
        <v>4.463999088</v>
      </c>
      <c r="Q421" s="30"/>
      <c r="R421" s="30"/>
      <c r="S421" s="30"/>
      <c r="T421" s="30"/>
      <c r="U421" s="30">
        <v>0.0</v>
      </c>
      <c r="V421" s="30"/>
      <c r="W421" s="30"/>
      <c r="X421" s="30"/>
      <c r="Y421" s="5">
        <f>IFERROR(__xludf.DUMMYFUNCTION("""COMPUTED_VALUE"""),79.0)</f>
        <v>79</v>
      </c>
      <c r="Z421" s="5">
        <f>IFERROR(__xludf.DUMMYFUNCTION("""COMPUTED_VALUE"""),79.0)</f>
        <v>79</v>
      </c>
    </row>
    <row r="422">
      <c r="A422" s="30" t="s">
        <v>1907</v>
      </c>
      <c r="B422" s="30">
        <f>IFERROR(__xludf.DUMMYFUNCTION("""COMPUTED_VALUE"""),79.0)</f>
        <v>79</v>
      </c>
      <c r="C422" s="30"/>
      <c r="D422" s="30"/>
      <c r="E422" s="30"/>
      <c r="F422" s="30"/>
      <c r="G422" s="30"/>
      <c r="H422" s="30"/>
      <c r="I422" s="30"/>
      <c r="J422" s="30">
        <f>IFERROR(__xludf.DUMMYFUNCTION("""COMPUTED_VALUE"""),-11.059343513011441)</f>
        <v>-11.05934351</v>
      </c>
      <c r="K422" s="30"/>
      <c r="L422" s="30"/>
      <c r="M422" s="30"/>
      <c r="N422" s="30"/>
      <c r="O422" s="30">
        <f>IFERROR(__xludf.DUMMYFUNCTION("""COMPUTED_VALUE"""),-2.630874715592867)</f>
        <v>-2.630874716</v>
      </c>
      <c r="P422" s="30">
        <f>IFERROR(__xludf.DUMMYFUNCTION("""COMPUTED_VALUE"""),4.463999088063446)</f>
        <v>4.463999088</v>
      </c>
      <c r="Q422" s="30"/>
      <c r="R422" s="30"/>
      <c r="S422" s="30"/>
      <c r="T422" s="30"/>
      <c r="U422" s="30">
        <v>0.0</v>
      </c>
      <c r="V422" s="30"/>
      <c r="W422" s="30"/>
      <c r="X422" s="30"/>
      <c r="Y422" s="5">
        <f>IFERROR(__xludf.DUMMYFUNCTION("""COMPUTED_VALUE"""),79.0)</f>
        <v>79</v>
      </c>
      <c r="Z422" s="5">
        <f>IFERROR(__xludf.DUMMYFUNCTION("""COMPUTED_VALUE"""),79.0)</f>
        <v>79</v>
      </c>
    </row>
    <row r="423">
      <c r="A423" s="30" t="s">
        <v>488</v>
      </c>
      <c r="B423" s="30">
        <f>IFERROR(__xludf.DUMMYFUNCTION("""COMPUTED_VALUE"""),79.5)</f>
        <v>79.5</v>
      </c>
      <c r="C423" s="30"/>
      <c r="D423" s="30"/>
      <c r="E423" s="30"/>
      <c r="F423" s="30"/>
      <c r="G423" s="30"/>
      <c r="H423" s="30"/>
      <c r="I423" s="30"/>
      <c r="J423" s="30">
        <f>IFERROR(__xludf.DUMMYFUNCTION("""COMPUTED_VALUE"""),-11.059343513011441)</f>
        <v>-11.05934351</v>
      </c>
      <c r="K423" s="30"/>
      <c r="L423" s="30"/>
      <c r="M423" s="30"/>
      <c r="N423" s="30"/>
      <c r="O423" s="30">
        <f>IFERROR(__xludf.DUMMYFUNCTION("""COMPUTED_VALUE"""),-2.630874715592867)</f>
        <v>-2.630874716</v>
      </c>
      <c r="P423" s="30">
        <f>IFERROR(__xludf.DUMMYFUNCTION("""COMPUTED_VALUE"""),4.463999088063446)</f>
        <v>4.463999088</v>
      </c>
      <c r="Q423" s="30"/>
      <c r="R423" s="30"/>
      <c r="S423" s="30"/>
      <c r="T423" s="30"/>
      <c r="U423" s="30">
        <v>0.0</v>
      </c>
      <c r="V423" s="30"/>
      <c r="W423" s="30"/>
      <c r="X423" s="30"/>
      <c r="Y423" s="5">
        <f>IFERROR(__xludf.DUMMYFUNCTION("""COMPUTED_VALUE"""),79.0)</f>
        <v>79</v>
      </c>
      <c r="Z423" s="5">
        <f>IFERROR(__xludf.DUMMYFUNCTION("""COMPUTED_VALUE"""),80.0)</f>
        <v>80</v>
      </c>
    </row>
    <row r="424">
      <c r="A424" s="30" t="s">
        <v>1910</v>
      </c>
      <c r="B424" s="30">
        <f>IFERROR(__xludf.DUMMYFUNCTION("""COMPUTED_VALUE"""),82.0)</f>
        <v>82</v>
      </c>
      <c r="C424" s="30"/>
      <c r="D424" s="30"/>
      <c r="E424" s="30"/>
      <c r="F424" s="30"/>
      <c r="G424" s="30"/>
      <c r="H424" s="30"/>
      <c r="I424" s="30"/>
      <c r="J424" s="30">
        <f>IFERROR(__xludf.DUMMYFUNCTION("""COMPUTED_VALUE"""),-11.059343513011441)</f>
        <v>-11.05934351</v>
      </c>
      <c r="K424" s="30"/>
      <c r="L424" s="30"/>
      <c r="M424" s="30"/>
      <c r="N424" s="30"/>
      <c r="O424" s="30">
        <f>IFERROR(__xludf.DUMMYFUNCTION("""COMPUTED_VALUE"""),-2.630874715592867)</f>
        <v>-2.630874716</v>
      </c>
      <c r="P424" s="30">
        <f>IFERROR(__xludf.DUMMYFUNCTION("""COMPUTED_VALUE"""),4.463999088063446)</f>
        <v>4.463999088</v>
      </c>
      <c r="Q424" s="30"/>
      <c r="R424" s="30"/>
      <c r="S424" s="30"/>
      <c r="T424" s="30"/>
      <c r="U424" s="30">
        <v>0.0</v>
      </c>
      <c r="V424" s="30"/>
      <c r="W424" s="30"/>
      <c r="X424" s="30"/>
      <c r="Y424" s="5">
        <f>IFERROR(__xludf.DUMMYFUNCTION("""COMPUTED_VALUE"""),82.0)</f>
        <v>82</v>
      </c>
      <c r="Z424" s="5">
        <f>IFERROR(__xludf.DUMMYFUNCTION("""COMPUTED_VALUE"""),82.0)</f>
        <v>82</v>
      </c>
    </row>
    <row r="425">
      <c r="A425" s="30" t="s">
        <v>238</v>
      </c>
      <c r="B425" s="30">
        <f>IFERROR(__xludf.DUMMYFUNCTION("""COMPUTED_VALUE"""),80.5)</f>
        <v>80.5</v>
      </c>
      <c r="C425" s="30"/>
      <c r="D425" s="30"/>
      <c r="E425" s="30"/>
      <c r="F425" s="30"/>
      <c r="G425" s="30"/>
      <c r="H425" s="30"/>
      <c r="I425" s="30"/>
      <c r="J425" s="30">
        <f>IFERROR(__xludf.DUMMYFUNCTION("""COMPUTED_VALUE"""),-11.059343513011441)</f>
        <v>-11.05934351</v>
      </c>
      <c r="K425" s="30"/>
      <c r="L425" s="30"/>
      <c r="M425" s="30"/>
      <c r="N425" s="30"/>
      <c r="O425" s="30">
        <f>IFERROR(__xludf.DUMMYFUNCTION("""COMPUTED_VALUE"""),-2.630874715592867)</f>
        <v>-2.630874716</v>
      </c>
      <c r="P425" s="30">
        <f>IFERROR(__xludf.DUMMYFUNCTION("""COMPUTED_VALUE"""),4.463999088063446)</f>
        <v>4.463999088</v>
      </c>
      <c r="Q425" s="30"/>
      <c r="R425" s="30"/>
      <c r="S425" s="30"/>
      <c r="T425" s="30"/>
      <c r="U425" s="30">
        <v>0.0</v>
      </c>
      <c r="V425" s="30"/>
      <c r="W425" s="30"/>
      <c r="X425" s="30"/>
      <c r="Y425" s="5">
        <f>IFERROR(__xludf.DUMMYFUNCTION("""COMPUTED_VALUE"""),80.0)</f>
        <v>80</v>
      </c>
      <c r="Z425" s="5">
        <f>IFERROR(__xludf.DUMMYFUNCTION("""COMPUTED_VALUE"""),81.0)</f>
        <v>81</v>
      </c>
    </row>
    <row r="426">
      <c r="A426" s="30" t="s">
        <v>293</v>
      </c>
      <c r="B426" s="30">
        <f>IFERROR(__xludf.DUMMYFUNCTION("""COMPUTED_VALUE"""),78.0)</f>
        <v>78</v>
      </c>
      <c r="C426" s="30"/>
      <c r="D426" s="30"/>
      <c r="E426" s="30"/>
      <c r="F426" s="30"/>
      <c r="G426" s="30"/>
      <c r="H426" s="30"/>
      <c r="I426" s="30"/>
      <c r="J426" s="30">
        <f>IFERROR(__xludf.DUMMYFUNCTION("""COMPUTED_VALUE"""),-11.059343513011441)</f>
        <v>-11.05934351</v>
      </c>
      <c r="K426" s="30"/>
      <c r="L426" s="30"/>
      <c r="M426" s="30"/>
      <c r="N426" s="30"/>
      <c r="O426" s="30">
        <f>IFERROR(__xludf.DUMMYFUNCTION("""COMPUTED_VALUE"""),-2.630874715592867)</f>
        <v>-2.630874716</v>
      </c>
      <c r="P426" s="30">
        <f>IFERROR(__xludf.DUMMYFUNCTION("""COMPUTED_VALUE"""),4.463999088063446)</f>
        <v>4.463999088</v>
      </c>
      <c r="Q426" s="30"/>
      <c r="R426" s="30"/>
      <c r="S426" s="30"/>
      <c r="T426" s="30"/>
      <c r="U426" s="30">
        <v>0.0</v>
      </c>
      <c r="V426" s="30"/>
      <c r="W426" s="30"/>
      <c r="X426" s="30"/>
      <c r="Y426" s="5">
        <f>IFERROR(__xludf.DUMMYFUNCTION("""COMPUTED_VALUE"""),78.0)</f>
        <v>78</v>
      </c>
      <c r="Z426" s="5">
        <f>IFERROR(__xludf.DUMMYFUNCTION("""COMPUTED_VALUE"""),78.0)</f>
        <v>78</v>
      </c>
    </row>
    <row r="427">
      <c r="A427" s="30" t="s">
        <v>1917</v>
      </c>
      <c r="B427" s="30">
        <f>IFERROR(__xludf.DUMMYFUNCTION("""COMPUTED_VALUE"""),80.0)</f>
        <v>80</v>
      </c>
      <c r="C427" s="30"/>
      <c r="D427" s="30"/>
      <c r="E427" s="30"/>
      <c r="F427" s="30"/>
      <c r="G427" s="30"/>
      <c r="H427" s="30"/>
      <c r="I427" s="30"/>
      <c r="J427" s="30">
        <f>IFERROR(__xludf.DUMMYFUNCTION("""COMPUTED_VALUE"""),-11.059343513011441)</f>
        <v>-11.05934351</v>
      </c>
      <c r="K427" s="30"/>
      <c r="L427" s="30"/>
      <c r="M427" s="30"/>
      <c r="N427" s="30"/>
      <c r="O427" s="30">
        <f>IFERROR(__xludf.DUMMYFUNCTION("""COMPUTED_VALUE"""),-2.630874715592867)</f>
        <v>-2.630874716</v>
      </c>
      <c r="P427" s="30">
        <f>IFERROR(__xludf.DUMMYFUNCTION("""COMPUTED_VALUE"""),4.463999088063446)</f>
        <v>4.463999088</v>
      </c>
      <c r="Q427" s="30"/>
      <c r="R427" s="30"/>
      <c r="S427" s="30"/>
      <c r="T427" s="30"/>
      <c r="U427" s="30">
        <v>0.0</v>
      </c>
      <c r="V427" s="30"/>
      <c r="W427" s="30"/>
      <c r="X427" s="30"/>
      <c r="Y427" s="5">
        <f>IFERROR(__xludf.DUMMYFUNCTION("""COMPUTED_VALUE"""),80.0)</f>
        <v>80</v>
      </c>
      <c r="Z427" s="5">
        <f>IFERROR(__xludf.DUMMYFUNCTION("""COMPUTED_VALUE"""),80.0)</f>
        <v>80</v>
      </c>
    </row>
    <row r="428">
      <c r="A428" s="30" t="s">
        <v>1430</v>
      </c>
      <c r="B428" s="30">
        <f>IFERROR(__xludf.DUMMYFUNCTION("""COMPUTED_VALUE"""),80.5)</f>
        <v>80.5</v>
      </c>
      <c r="C428" s="30"/>
      <c r="D428" s="30"/>
      <c r="E428" s="30"/>
      <c r="F428" s="30"/>
      <c r="G428" s="30"/>
      <c r="H428" s="30"/>
      <c r="I428" s="30"/>
      <c r="J428" s="30">
        <f>IFERROR(__xludf.DUMMYFUNCTION("""COMPUTED_VALUE"""),-11.059343513011441)</f>
        <v>-11.05934351</v>
      </c>
      <c r="K428" s="30"/>
      <c r="L428" s="30"/>
      <c r="M428" s="30"/>
      <c r="N428" s="30"/>
      <c r="O428" s="30">
        <f>IFERROR(__xludf.DUMMYFUNCTION("""COMPUTED_VALUE"""),-2.630874715592867)</f>
        <v>-2.630874716</v>
      </c>
      <c r="P428" s="30">
        <f>IFERROR(__xludf.DUMMYFUNCTION("""COMPUTED_VALUE"""),4.463999088063446)</f>
        <v>4.463999088</v>
      </c>
      <c r="Q428" s="30"/>
      <c r="R428" s="30"/>
      <c r="S428" s="30"/>
      <c r="T428" s="30"/>
      <c r="U428" s="30">
        <v>0.0</v>
      </c>
      <c r="V428" s="30"/>
      <c r="W428" s="30"/>
      <c r="X428" s="30"/>
      <c r="Y428" s="5">
        <f>IFERROR(__xludf.DUMMYFUNCTION("""COMPUTED_VALUE"""),79.0)</f>
        <v>79</v>
      </c>
      <c r="Z428" s="5">
        <f>IFERROR(__xludf.DUMMYFUNCTION("""COMPUTED_VALUE"""),82.0)</f>
        <v>82</v>
      </c>
    </row>
    <row r="429">
      <c r="A429" s="30" t="s">
        <v>1250</v>
      </c>
      <c r="B429" s="30">
        <f>IFERROR(__xludf.DUMMYFUNCTION("""COMPUTED_VALUE"""),81.0)</f>
        <v>81</v>
      </c>
      <c r="C429" s="30"/>
      <c r="D429" s="30"/>
      <c r="E429" s="30"/>
      <c r="F429" s="30"/>
      <c r="G429" s="30"/>
      <c r="H429" s="30"/>
      <c r="I429" s="30"/>
      <c r="J429" s="30">
        <f>IFERROR(__xludf.DUMMYFUNCTION("""COMPUTED_VALUE"""),-11.059343513011441)</f>
        <v>-11.05934351</v>
      </c>
      <c r="K429" s="30"/>
      <c r="L429" s="30"/>
      <c r="M429" s="30"/>
      <c r="N429" s="30"/>
      <c r="O429" s="30">
        <f>IFERROR(__xludf.DUMMYFUNCTION("""COMPUTED_VALUE"""),-2.630874715592867)</f>
        <v>-2.630874716</v>
      </c>
      <c r="P429" s="30">
        <f>IFERROR(__xludf.DUMMYFUNCTION("""COMPUTED_VALUE"""),4.463999088063446)</f>
        <v>4.463999088</v>
      </c>
      <c r="Q429" s="30"/>
      <c r="R429" s="30"/>
      <c r="S429" s="30"/>
      <c r="T429" s="30"/>
      <c r="U429" s="30">
        <v>0.0</v>
      </c>
      <c r="V429" s="30"/>
      <c r="W429" s="30"/>
      <c r="X429" s="30"/>
      <c r="Y429" s="5">
        <f>IFERROR(__xludf.DUMMYFUNCTION("""COMPUTED_VALUE"""),80.0)</f>
        <v>80</v>
      </c>
      <c r="Z429" s="5">
        <f>IFERROR(__xludf.DUMMYFUNCTION("""COMPUTED_VALUE"""),82.0)</f>
        <v>82</v>
      </c>
    </row>
    <row r="430">
      <c r="A430" s="30" t="s">
        <v>440</v>
      </c>
      <c r="B430" s="30">
        <f>IFERROR(__xludf.DUMMYFUNCTION("""COMPUTED_VALUE"""),80.0)</f>
        <v>80</v>
      </c>
      <c r="C430" s="30"/>
      <c r="D430" s="30"/>
      <c r="E430" s="30"/>
      <c r="F430" s="30"/>
      <c r="G430" s="30"/>
      <c r="H430" s="30"/>
      <c r="I430" s="30"/>
      <c r="J430" s="30">
        <f>IFERROR(__xludf.DUMMYFUNCTION("""COMPUTED_VALUE"""),-11.059343513011441)</f>
        <v>-11.05934351</v>
      </c>
      <c r="K430" s="30"/>
      <c r="L430" s="30"/>
      <c r="M430" s="30"/>
      <c r="N430" s="30"/>
      <c r="O430" s="30">
        <f>IFERROR(__xludf.DUMMYFUNCTION("""COMPUTED_VALUE"""),-2.630874715592867)</f>
        <v>-2.630874716</v>
      </c>
      <c r="P430" s="30">
        <f>IFERROR(__xludf.DUMMYFUNCTION("""COMPUTED_VALUE"""),4.463999088063446)</f>
        <v>4.463999088</v>
      </c>
      <c r="Q430" s="30"/>
      <c r="R430" s="30"/>
      <c r="S430" s="30"/>
      <c r="T430" s="30"/>
      <c r="U430" s="30">
        <v>0.0</v>
      </c>
      <c r="V430" s="30"/>
      <c r="W430" s="30"/>
      <c r="X430" s="30"/>
      <c r="Y430" s="5">
        <f>IFERROR(__xludf.DUMMYFUNCTION("""COMPUTED_VALUE"""),80.0)</f>
        <v>80</v>
      </c>
      <c r="Z430" s="5">
        <f>IFERROR(__xludf.DUMMYFUNCTION("""COMPUTED_VALUE"""),80.0)</f>
        <v>80</v>
      </c>
    </row>
    <row r="431">
      <c r="A431" s="30" t="s">
        <v>739</v>
      </c>
      <c r="B431" s="30">
        <f>IFERROR(__xludf.DUMMYFUNCTION("""COMPUTED_VALUE"""),79.5)</f>
        <v>79.5</v>
      </c>
      <c r="C431" s="30"/>
      <c r="D431" s="30"/>
      <c r="E431" s="30"/>
      <c r="F431" s="30"/>
      <c r="G431" s="30"/>
      <c r="H431" s="30"/>
      <c r="I431" s="30"/>
      <c r="J431" s="30">
        <f>IFERROR(__xludf.DUMMYFUNCTION("""COMPUTED_VALUE"""),-11.059343513011441)</f>
        <v>-11.05934351</v>
      </c>
      <c r="K431" s="30"/>
      <c r="L431" s="30"/>
      <c r="M431" s="30"/>
      <c r="N431" s="30"/>
      <c r="O431" s="30">
        <f>IFERROR(__xludf.DUMMYFUNCTION("""COMPUTED_VALUE"""),-2.630874715592867)</f>
        <v>-2.630874716</v>
      </c>
      <c r="P431" s="30">
        <f>IFERROR(__xludf.DUMMYFUNCTION("""COMPUTED_VALUE"""),4.463999088063446)</f>
        <v>4.463999088</v>
      </c>
      <c r="Q431" s="30"/>
      <c r="R431" s="30"/>
      <c r="S431" s="30"/>
      <c r="T431" s="30"/>
      <c r="U431" s="30">
        <v>0.0</v>
      </c>
      <c r="V431" s="30"/>
      <c r="W431" s="30"/>
      <c r="X431" s="30"/>
      <c r="Y431" s="5">
        <f>IFERROR(__xludf.DUMMYFUNCTION("""COMPUTED_VALUE"""),79.0)</f>
        <v>79</v>
      </c>
      <c r="Z431" s="5">
        <f>IFERROR(__xludf.DUMMYFUNCTION("""COMPUTED_VALUE"""),80.0)</f>
        <v>80</v>
      </c>
    </row>
    <row r="432">
      <c r="A432" s="30" t="s">
        <v>1929</v>
      </c>
      <c r="B432" s="30">
        <f>IFERROR(__xludf.DUMMYFUNCTION("""COMPUTED_VALUE"""),81.5)</f>
        <v>81.5</v>
      </c>
      <c r="C432" s="30"/>
      <c r="D432" s="30"/>
      <c r="E432" s="30"/>
      <c r="F432" s="30"/>
      <c r="G432" s="30"/>
      <c r="H432" s="30"/>
      <c r="I432" s="30"/>
      <c r="J432" s="30">
        <f>IFERROR(__xludf.DUMMYFUNCTION("""COMPUTED_VALUE"""),-11.059343513011441)</f>
        <v>-11.05934351</v>
      </c>
      <c r="K432" s="30"/>
      <c r="L432" s="30"/>
      <c r="M432" s="30"/>
      <c r="N432" s="30"/>
      <c r="O432" s="30">
        <f>IFERROR(__xludf.DUMMYFUNCTION("""COMPUTED_VALUE"""),-2.630874715592867)</f>
        <v>-2.630874716</v>
      </c>
      <c r="P432" s="30">
        <f>IFERROR(__xludf.DUMMYFUNCTION("""COMPUTED_VALUE"""),4.463999088063446)</f>
        <v>4.463999088</v>
      </c>
      <c r="Q432" s="30"/>
      <c r="R432" s="30"/>
      <c r="S432" s="30"/>
      <c r="T432" s="30"/>
      <c r="U432" s="30">
        <v>0.0</v>
      </c>
      <c r="V432" s="30"/>
      <c r="W432" s="30"/>
      <c r="X432" s="30"/>
      <c r="Y432" s="5">
        <f>IFERROR(__xludf.DUMMYFUNCTION("""COMPUTED_VALUE"""),81.0)</f>
        <v>81</v>
      </c>
      <c r="Z432" s="5">
        <f>IFERROR(__xludf.DUMMYFUNCTION("""COMPUTED_VALUE"""),82.0)</f>
        <v>82</v>
      </c>
    </row>
    <row r="433">
      <c r="A433" s="30" t="s">
        <v>1930</v>
      </c>
      <c r="B433" s="30">
        <f>IFERROR(__xludf.DUMMYFUNCTION("""COMPUTED_VALUE"""),79.0)</f>
        <v>79</v>
      </c>
      <c r="C433" s="30"/>
      <c r="D433" s="30"/>
      <c r="E433" s="30"/>
      <c r="F433" s="30"/>
      <c r="G433" s="30"/>
      <c r="H433" s="30"/>
      <c r="I433" s="30"/>
      <c r="J433" s="30">
        <f>IFERROR(__xludf.DUMMYFUNCTION("""COMPUTED_VALUE"""),-11.059343513011441)</f>
        <v>-11.05934351</v>
      </c>
      <c r="K433" s="30"/>
      <c r="L433" s="30"/>
      <c r="M433" s="30"/>
      <c r="N433" s="30"/>
      <c r="O433" s="30">
        <f>IFERROR(__xludf.DUMMYFUNCTION("""COMPUTED_VALUE"""),-2.630874715592867)</f>
        <v>-2.630874716</v>
      </c>
      <c r="P433" s="30">
        <f>IFERROR(__xludf.DUMMYFUNCTION("""COMPUTED_VALUE"""),4.463999088063446)</f>
        <v>4.463999088</v>
      </c>
      <c r="Q433" s="30"/>
      <c r="R433" s="30"/>
      <c r="S433" s="30"/>
      <c r="T433" s="30"/>
      <c r="U433" s="30">
        <v>0.0</v>
      </c>
      <c r="V433" s="30"/>
      <c r="W433" s="30"/>
      <c r="X433" s="30"/>
      <c r="Y433" s="5">
        <f>IFERROR(__xludf.DUMMYFUNCTION("""COMPUTED_VALUE"""),79.0)</f>
        <v>79</v>
      </c>
      <c r="Z433" s="5">
        <f>IFERROR(__xludf.DUMMYFUNCTION("""COMPUTED_VALUE"""),79.0)</f>
        <v>79</v>
      </c>
    </row>
    <row r="434">
      <c r="A434" s="30" t="s">
        <v>885</v>
      </c>
      <c r="B434" s="30">
        <f>IFERROR(__xludf.DUMMYFUNCTION("""COMPUTED_VALUE"""),80.0)</f>
        <v>80</v>
      </c>
      <c r="C434" s="30"/>
      <c r="D434" s="30"/>
      <c r="E434" s="30"/>
      <c r="F434" s="30"/>
      <c r="G434" s="30"/>
      <c r="H434" s="30"/>
      <c r="I434" s="30"/>
      <c r="J434" s="30">
        <f>IFERROR(__xludf.DUMMYFUNCTION("""COMPUTED_VALUE"""),-11.059343513011441)</f>
        <v>-11.05934351</v>
      </c>
      <c r="K434" s="30"/>
      <c r="L434" s="30"/>
      <c r="M434" s="30"/>
      <c r="N434" s="30"/>
      <c r="O434" s="30">
        <f>IFERROR(__xludf.DUMMYFUNCTION("""COMPUTED_VALUE"""),-2.630874715592867)</f>
        <v>-2.630874716</v>
      </c>
      <c r="P434" s="30">
        <f>IFERROR(__xludf.DUMMYFUNCTION("""COMPUTED_VALUE"""),4.463999088063446)</f>
        <v>4.463999088</v>
      </c>
      <c r="Q434" s="30"/>
      <c r="R434" s="30"/>
      <c r="S434" s="30"/>
      <c r="T434" s="30"/>
      <c r="U434" s="30">
        <v>0.0</v>
      </c>
      <c r="V434" s="30"/>
      <c r="W434" s="30"/>
      <c r="X434" s="30"/>
      <c r="Y434" s="5">
        <f>IFERROR(__xludf.DUMMYFUNCTION("""COMPUTED_VALUE"""),80.0)</f>
        <v>80</v>
      </c>
      <c r="Z434" s="5">
        <f>IFERROR(__xludf.DUMMYFUNCTION("""COMPUTED_VALUE"""),80.0)</f>
        <v>80</v>
      </c>
    </row>
    <row r="435">
      <c r="A435" s="30" t="s">
        <v>1931</v>
      </c>
      <c r="B435" s="30">
        <f>IFERROR(__xludf.DUMMYFUNCTION("""COMPUTED_VALUE"""),80.5)</f>
        <v>80.5</v>
      </c>
      <c r="C435" s="30"/>
      <c r="D435" s="30"/>
      <c r="E435" s="30"/>
      <c r="F435" s="30"/>
      <c r="G435" s="30"/>
      <c r="H435" s="30"/>
      <c r="I435" s="30"/>
      <c r="J435" s="30">
        <f>IFERROR(__xludf.DUMMYFUNCTION("""COMPUTED_VALUE"""),-11.059343513011441)</f>
        <v>-11.05934351</v>
      </c>
      <c r="K435" s="30"/>
      <c r="L435" s="30"/>
      <c r="M435" s="30"/>
      <c r="N435" s="30"/>
      <c r="O435" s="30">
        <f>IFERROR(__xludf.DUMMYFUNCTION("""COMPUTED_VALUE"""),-2.630874715592867)</f>
        <v>-2.630874716</v>
      </c>
      <c r="P435" s="30">
        <f>IFERROR(__xludf.DUMMYFUNCTION("""COMPUTED_VALUE"""),4.463999088063446)</f>
        <v>4.463999088</v>
      </c>
      <c r="Q435" s="30"/>
      <c r="R435" s="30"/>
      <c r="S435" s="30"/>
      <c r="T435" s="30"/>
      <c r="U435" s="30">
        <v>0.0</v>
      </c>
      <c r="V435" s="30"/>
      <c r="W435" s="30"/>
      <c r="X435" s="30"/>
      <c r="Y435" s="5">
        <f>IFERROR(__xludf.DUMMYFUNCTION("""COMPUTED_VALUE"""),79.0)</f>
        <v>79</v>
      </c>
      <c r="Z435" s="5">
        <f>IFERROR(__xludf.DUMMYFUNCTION("""COMPUTED_VALUE"""),82.0)</f>
        <v>82</v>
      </c>
    </row>
    <row r="436">
      <c r="A436" s="30" t="s">
        <v>1114</v>
      </c>
      <c r="B436" s="30">
        <f>IFERROR(__xludf.DUMMYFUNCTION("""COMPUTED_VALUE"""),78.5)</f>
        <v>78.5</v>
      </c>
      <c r="C436" s="30"/>
      <c r="D436" s="30"/>
      <c r="E436" s="30"/>
      <c r="F436" s="30"/>
      <c r="G436" s="30"/>
      <c r="H436" s="30"/>
      <c r="I436" s="30"/>
      <c r="J436" s="30">
        <f>IFERROR(__xludf.DUMMYFUNCTION("""COMPUTED_VALUE"""),-11.059343513011441)</f>
        <v>-11.05934351</v>
      </c>
      <c r="K436" s="30"/>
      <c r="L436" s="30"/>
      <c r="M436" s="30"/>
      <c r="N436" s="30"/>
      <c r="O436" s="30">
        <f>IFERROR(__xludf.DUMMYFUNCTION("""COMPUTED_VALUE"""),-2.630874715592867)</f>
        <v>-2.630874716</v>
      </c>
      <c r="P436" s="30">
        <f>IFERROR(__xludf.DUMMYFUNCTION("""COMPUTED_VALUE"""),4.463999088063446)</f>
        <v>4.463999088</v>
      </c>
      <c r="Q436" s="30"/>
      <c r="R436" s="30"/>
      <c r="S436" s="30"/>
      <c r="T436" s="30"/>
      <c r="U436" s="30">
        <v>0.0</v>
      </c>
      <c r="V436" s="30"/>
      <c r="W436" s="30"/>
      <c r="X436" s="30"/>
      <c r="Y436" s="5">
        <f>IFERROR(__xludf.DUMMYFUNCTION("""COMPUTED_VALUE"""),78.0)</f>
        <v>78</v>
      </c>
      <c r="Z436" s="5">
        <f>IFERROR(__xludf.DUMMYFUNCTION("""COMPUTED_VALUE"""),79.0)</f>
        <v>79</v>
      </c>
    </row>
    <row r="437">
      <c r="A437" s="30" t="s">
        <v>1503</v>
      </c>
      <c r="B437" s="30">
        <f>IFERROR(__xludf.DUMMYFUNCTION("""COMPUTED_VALUE"""),78.0)</f>
        <v>78</v>
      </c>
      <c r="C437" s="30"/>
      <c r="D437" s="30"/>
      <c r="E437" s="30"/>
      <c r="F437" s="30"/>
      <c r="G437" s="30"/>
      <c r="H437" s="30"/>
      <c r="I437" s="30"/>
      <c r="J437" s="30">
        <f>IFERROR(__xludf.DUMMYFUNCTION("""COMPUTED_VALUE"""),-11.059343513011441)</f>
        <v>-11.05934351</v>
      </c>
      <c r="K437" s="30"/>
      <c r="L437" s="30"/>
      <c r="M437" s="30"/>
      <c r="N437" s="30"/>
      <c r="O437" s="30">
        <f>IFERROR(__xludf.DUMMYFUNCTION("""COMPUTED_VALUE"""),-2.630874715592867)</f>
        <v>-2.630874716</v>
      </c>
      <c r="P437" s="30">
        <f>IFERROR(__xludf.DUMMYFUNCTION("""COMPUTED_VALUE"""),4.463999088063446)</f>
        <v>4.463999088</v>
      </c>
      <c r="Q437" s="30"/>
      <c r="R437" s="30"/>
      <c r="S437" s="30"/>
      <c r="T437" s="30"/>
      <c r="U437" s="30">
        <v>0.0</v>
      </c>
      <c r="V437" s="30"/>
      <c r="W437" s="30"/>
      <c r="X437" s="30"/>
      <c r="Y437" s="5">
        <f>IFERROR(__xludf.DUMMYFUNCTION("""COMPUTED_VALUE"""),78.0)</f>
        <v>78</v>
      </c>
      <c r="Z437" s="5">
        <f>IFERROR(__xludf.DUMMYFUNCTION("""COMPUTED_VALUE"""),78.0)</f>
        <v>78</v>
      </c>
    </row>
    <row r="438">
      <c r="A438" s="30" t="s">
        <v>1948</v>
      </c>
      <c r="B438" s="30">
        <f>IFERROR(__xludf.DUMMYFUNCTION("""COMPUTED_VALUE"""),81.0)</f>
        <v>81</v>
      </c>
      <c r="C438" s="30"/>
      <c r="D438" s="30"/>
      <c r="E438" s="30"/>
      <c r="F438" s="30"/>
      <c r="G438" s="30"/>
      <c r="H438" s="30"/>
      <c r="I438" s="30"/>
      <c r="J438" s="30">
        <f>IFERROR(__xludf.DUMMYFUNCTION("""COMPUTED_VALUE"""),-11.059343513011441)</f>
        <v>-11.05934351</v>
      </c>
      <c r="K438" s="30"/>
      <c r="L438" s="30"/>
      <c r="M438" s="30"/>
      <c r="N438" s="30"/>
      <c r="O438" s="30">
        <f>IFERROR(__xludf.DUMMYFUNCTION("""COMPUTED_VALUE"""),-2.630874715592867)</f>
        <v>-2.630874716</v>
      </c>
      <c r="P438" s="30">
        <f>IFERROR(__xludf.DUMMYFUNCTION("""COMPUTED_VALUE"""),4.463999088063446)</f>
        <v>4.463999088</v>
      </c>
      <c r="Q438" s="30"/>
      <c r="R438" s="30"/>
      <c r="S438" s="30"/>
      <c r="T438" s="30"/>
      <c r="U438" s="30">
        <v>0.0</v>
      </c>
      <c r="V438" s="30"/>
      <c r="W438" s="30"/>
      <c r="X438" s="30"/>
      <c r="Y438" s="5">
        <f>IFERROR(__xludf.DUMMYFUNCTION("""COMPUTED_VALUE"""),81.0)</f>
        <v>81</v>
      </c>
      <c r="Z438" s="5">
        <f>IFERROR(__xludf.DUMMYFUNCTION("""COMPUTED_VALUE"""),81.0)</f>
        <v>81</v>
      </c>
    </row>
    <row r="439">
      <c r="A439" s="30" t="s">
        <v>1950</v>
      </c>
      <c r="B439" s="30">
        <f>IFERROR(__xludf.DUMMYFUNCTION("""COMPUTED_VALUE"""),79.0)</f>
        <v>79</v>
      </c>
      <c r="C439" s="30"/>
      <c r="D439" s="30"/>
      <c r="E439" s="30"/>
      <c r="F439" s="30"/>
      <c r="G439" s="30"/>
      <c r="H439" s="30"/>
      <c r="I439" s="30"/>
      <c r="J439" s="30">
        <f>IFERROR(__xludf.DUMMYFUNCTION("""COMPUTED_VALUE"""),-11.059343513011441)</f>
        <v>-11.05934351</v>
      </c>
      <c r="K439" s="30"/>
      <c r="L439" s="30"/>
      <c r="M439" s="30"/>
      <c r="N439" s="30"/>
      <c r="O439" s="30">
        <f>IFERROR(__xludf.DUMMYFUNCTION("""COMPUTED_VALUE"""),-2.630874715592867)</f>
        <v>-2.630874716</v>
      </c>
      <c r="P439" s="30">
        <f>IFERROR(__xludf.DUMMYFUNCTION("""COMPUTED_VALUE"""),4.463999088063446)</f>
        <v>4.463999088</v>
      </c>
      <c r="Q439" s="30"/>
      <c r="R439" s="30"/>
      <c r="S439" s="30"/>
      <c r="T439" s="30"/>
      <c r="U439" s="30">
        <v>0.0</v>
      </c>
      <c r="V439" s="30"/>
      <c r="W439" s="30"/>
      <c r="X439" s="30"/>
      <c r="Y439" s="5">
        <f>IFERROR(__xludf.DUMMYFUNCTION("""COMPUTED_VALUE"""),79.0)</f>
        <v>79</v>
      </c>
      <c r="Z439" s="5">
        <f>IFERROR(__xludf.DUMMYFUNCTION("""COMPUTED_VALUE"""),79.0)</f>
        <v>79</v>
      </c>
    </row>
    <row r="440">
      <c r="A440" s="30" t="s">
        <v>1951</v>
      </c>
      <c r="B440" s="30">
        <f>IFERROR(__xludf.DUMMYFUNCTION("""COMPUTED_VALUE"""),79.0)</f>
        <v>79</v>
      </c>
      <c r="C440" s="30"/>
      <c r="D440" s="30"/>
      <c r="E440" s="30"/>
      <c r="F440" s="30"/>
      <c r="G440" s="30"/>
      <c r="H440" s="30"/>
      <c r="I440" s="30"/>
      <c r="J440" s="30">
        <f>IFERROR(__xludf.DUMMYFUNCTION("""COMPUTED_VALUE"""),-11.059343513011441)</f>
        <v>-11.05934351</v>
      </c>
      <c r="K440" s="30"/>
      <c r="L440" s="30"/>
      <c r="M440" s="30"/>
      <c r="N440" s="30"/>
      <c r="O440" s="30">
        <f>IFERROR(__xludf.DUMMYFUNCTION("""COMPUTED_VALUE"""),-2.630874715592867)</f>
        <v>-2.630874716</v>
      </c>
      <c r="P440" s="30">
        <f>IFERROR(__xludf.DUMMYFUNCTION("""COMPUTED_VALUE"""),4.463999088063446)</f>
        <v>4.463999088</v>
      </c>
      <c r="Q440" s="30"/>
      <c r="R440" s="30"/>
      <c r="S440" s="30"/>
      <c r="T440" s="30"/>
      <c r="U440" s="30">
        <v>0.0</v>
      </c>
      <c r="V440" s="30"/>
      <c r="W440" s="30"/>
      <c r="X440" s="30"/>
      <c r="Y440" s="5">
        <f>IFERROR(__xludf.DUMMYFUNCTION("""COMPUTED_VALUE"""),79.0)</f>
        <v>79</v>
      </c>
      <c r="Z440" s="5">
        <f>IFERROR(__xludf.DUMMYFUNCTION("""COMPUTED_VALUE"""),79.0)</f>
        <v>79</v>
      </c>
    </row>
    <row r="441">
      <c r="A441" s="30" t="s">
        <v>1952</v>
      </c>
      <c r="B441" s="30">
        <f>IFERROR(__xludf.DUMMYFUNCTION("""COMPUTED_VALUE"""),79.0)</f>
        <v>79</v>
      </c>
      <c r="C441" s="30"/>
      <c r="D441" s="30"/>
      <c r="E441" s="30"/>
      <c r="F441" s="30"/>
      <c r="G441" s="30"/>
      <c r="H441" s="30"/>
      <c r="I441" s="30"/>
      <c r="J441" s="30">
        <f>IFERROR(__xludf.DUMMYFUNCTION("""COMPUTED_VALUE"""),-11.059343513011441)</f>
        <v>-11.05934351</v>
      </c>
      <c r="K441" s="30"/>
      <c r="L441" s="30"/>
      <c r="M441" s="30"/>
      <c r="N441" s="30"/>
      <c r="O441" s="30">
        <f>IFERROR(__xludf.DUMMYFUNCTION("""COMPUTED_VALUE"""),-2.630874715592867)</f>
        <v>-2.630874716</v>
      </c>
      <c r="P441" s="30">
        <f>IFERROR(__xludf.DUMMYFUNCTION("""COMPUTED_VALUE"""),4.463999088063446)</f>
        <v>4.463999088</v>
      </c>
      <c r="Q441" s="30"/>
      <c r="R441" s="30"/>
      <c r="S441" s="30"/>
      <c r="T441" s="30"/>
      <c r="U441" s="30">
        <v>0.0</v>
      </c>
      <c r="V441" s="30"/>
      <c r="W441" s="30"/>
      <c r="X441" s="30"/>
      <c r="Y441" s="5">
        <f>IFERROR(__xludf.DUMMYFUNCTION("""COMPUTED_VALUE"""),79.0)</f>
        <v>79</v>
      </c>
      <c r="Z441" s="5">
        <f>IFERROR(__xludf.DUMMYFUNCTION("""COMPUTED_VALUE"""),79.0)</f>
        <v>79</v>
      </c>
    </row>
    <row r="442">
      <c r="A442" s="30" t="s">
        <v>1953</v>
      </c>
      <c r="B442" s="30">
        <f>IFERROR(__xludf.DUMMYFUNCTION("""COMPUTED_VALUE"""),82.0)</f>
        <v>82</v>
      </c>
      <c r="C442" s="30"/>
      <c r="D442" s="30"/>
      <c r="E442" s="30"/>
      <c r="F442" s="30"/>
      <c r="G442" s="30"/>
      <c r="H442" s="30"/>
      <c r="I442" s="30"/>
      <c r="J442" s="30">
        <f>IFERROR(__xludf.DUMMYFUNCTION("""COMPUTED_VALUE"""),-11.059343513011441)</f>
        <v>-11.05934351</v>
      </c>
      <c r="K442" s="30"/>
      <c r="L442" s="30"/>
      <c r="M442" s="30"/>
      <c r="N442" s="30"/>
      <c r="O442" s="30">
        <f>IFERROR(__xludf.DUMMYFUNCTION("""COMPUTED_VALUE"""),-2.630874715592867)</f>
        <v>-2.630874716</v>
      </c>
      <c r="P442" s="30">
        <f>IFERROR(__xludf.DUMMYFUNCTION("""COMPUTED_VALUE"""),4.463999088063446)</f>
        <v>4.463999088</v>
      </c>
      <c r="Q442" s="30"/>
      <c r="R442" s="30"/>
      <c r="S442" s="30"/>
      <c r="T442" s="30"/>
      <c r="U442" s="30">
        <v>0.0</v>
      </c>
      <c r="V442" s="30"/>
      <c r="W442" s="30"/>
      <c r="X442" s="30"/>
      <c r="Y442" s="5">
        <f>IFERROR(__xludf.DUMMYFUNCTION("""COMPUTED_VALUE"""),82.0)</f>
        <v>82</v>
      </c>
      <c r="Z442" s="5">
        <f>IFERROR(__xludf.DUMMYFUNCTION("""COMPUTED_VALUE"""),82.0)</f>
        <v>82</v>
      </c>
    </row>
    <row r="443">
      <c r="A443" s="30" t="s">
        <v>1954</v>
      </c>
      <c r="B443" s="30">
        <f>IFERROR(__xludf.DUMMYFUNCTION("""COMPUTED_VALUE"""),82.0)</f>
        <v>82</v>
      </c>
      <c r="C443" s="30"/>
      <c r="D443" s="30"/>
      <c r="E443" s="30"/>
      <c r="F443" s="30"/>
      <c r="G443" s="30"/>
      <c r="H443" s="30"/>
      <c r="I443" s="30"/>
      <c r="J443" s="30">
        <f>IFERROR(__xludf.DUMMYFUNCTION("""COMPUTED_VALUE"""),-11.059343513011441)</f>
        <v>-11.05934351</v>
      </c>
      <c r="K443" s="30"/>
      <c r="L443" s="30"/>
      <c r="M443" s="30"/>
      <c r="N443" s="30"/>
      <c r="O443" s="30">
        <f>IFERROR(__xludf.DUMMYFUNCTION("""COMPUTED_VALUE"""),-2.630874715592867)</f>
        <v>-2.630874716</v>
      </c>
      <c r="P443" s="30">
        <f>IFERROR(__xludf.DUMMYFUNCTION("""COMPUTED_VALUE"""),4.463999088063446)</f>
        <v>4.463999088</v>
      </c>
      <c r="Q443" s="30"/>
      <c r="R443" s="30"/>
      <c r="S443" s="30"/>
      <c r="T443" s="30"/>
      <c r="U443" s="30">
        <v>0.0</v>
      </c>
      <c r="V443" s="30"/>
      <c r="W443" s="30"/>
      <c r="X443" s="30"/>
      <c r="Y443" s="5">
        <f>IFERROR(__xludf.DUMMYFUNCTION("""COMPUTED_VALUE"""),82.0)</f>
        <v>82</v>
      </c>
      <c r="Z443" s="5">
        <f>IFERROR(__xludf.DUMMYFUNCTION("""COMPUTED_VALUE"""),82.0)</f>
        <v>82</v>
      </c>
    </row>
    <row r="444">
      <c r="A444" s="30" t="s">
        <v>1955</v>
      </c>
      <c r="B444" s="30">
        <f>IFERROR(__xludf.DUMMYFUNCTION("""COMPUTED_VALUE"""),81.0)</f>
        <v>81</v>
      </c>
      <c r="C444" s="30"/>
      <c r="D444" s="30"/>
      <c r="E444" s="30"/>
      <c r="F444" s="30"/>
      <c r="G444" s="30"/>
      <c r="H444" s="30"/>
      <c r="I444" s="30"/>
      <c r="J444" s="30">
        <f>IFERROR(__xludf.DUMMYFUNCTION("""COMPUTED_VALUE"""),-11.059343513011441)</f>
        <v>-11.05934351</v>
      </c>
      <c r="K444" s="30"/>
      <c r="L444" s="30"/>
      <c r="M444" s="30"/>
      <c r="N444" s="30"/>
      <c r="O444" s="30">
        <f>IFERROR(__xludf.DUMMYFUNCTION("""COMPUTED_VALUE"""),-2.630874715592867)</f>
        <v>-2.630874716</v>
      </c>
      <c r="P444" s="30">
        <f>IFERROR(__xludf.DUMMYFUNCTION("""COMPUTED_VALUE"""),4.463999088063446)</f>
        <v>4.463999088</v>
      </c>
      <c r="Q444" s="30"/>
      <c r="R444" s="30"/>
      <c r="S444" s="30"/>
      <c r="T444" s="30"/>
      <c r="U444" s="30">
        <v>0.0</v>
      </c>
      <c r="V444" s="30"/>
      <c r="W444" s="30"/>
      <c r="X444" s="30"/>
      <c r="Y444" s="5">
        <f>IFERROR(__xludf.DUMMYFUNCTION("""COMPUTED_VALUE"""),80.0)</f>
        <v>80</v>
      </c>
      <c r="Z444" s="5">
        <f>IFERROR(__xludf.DUMMYFUNCTION("""COMPUTED_VALUE"""),82.0)</f>
        <v>82</v>
      </c>
    </row>
    <row r="445">
      <c r="A445" s="30" t="s">
        <v>1959</v>
      </c>
      <c r="B445" s="30">
        <f>IFERROR(__xludf.DUMMYFUNCTION("""COMPUTED_VALUE"""),81.0)</f>
        <v>81</v>
      </c>
      <c r="C445" s="30"/>
      <c r="D445" s="30"/>
      <c r="E445" s="30"/>
      <c r="F445" s="30"/>
      <c r="G445" s="30"/>
      <c r="H445" s="30"/>
      <c r="I445" s="30"/>
      <c r="J445" s="30">
        <f>IFERROR(__xludf.DUMMYFUNCTION("""COMPUTED_VALUE"""),-11.059343513011441)</f>
        <v>-11.05934351</v>
      </c>
      <c r="K445" s="30"/>
      <c r="L445" s="30"/>
      <c r="M445" s="30"/>
      <c r="N445" s="30"/>
      <c r="O445" s="30">
        <f>IFERROR(__xludf.DUMMYFUNCTION("""COMPUTED_VALUE"""),-2.630874715592867)</f>
        <v>-2.630874716</v>
      </c>
      <c r="P445" s="30">
        <f>IFERROR(__xludf.DUMMYFUNCTION("""COMPUTED_VALUE"""),4.463999088063446)</f>
        <v>4.463999088</v>
      </c>
      <c r="Q445" s="30"/>
      <c r="R445" s="30"/>
      <c r="S445" s="30"/>
      <c r="T445" s="30"/>
      <c r="U445" s="30">
        <v>0.0</v>
      </c>
      <c r="V445" s="30"/>
      <c r="W445" s="30"/>
      <c r="X445" s="30"/>
      <c r="Y445" s="5">
        <f>IFERROR(__xludf.DUMMYFUNCTION("""COMPUTED_VALUE"""),81.0)</f>
        <v>81</v>
      </c>
      <c r="Z445" s="5">
        <f>IFERROR(__xludf.DUMMYFUNCTION("""COMPUTED_VALUE"""),81.0)</f>
        <v>81</v>
      </c>
    </row>
    <row r="446">
      <c r="A446" s="30" t="s">
        <v>1960</v>
      </c>
      <c r="B446" s="30">
        <f>IFERROR(__xludf.DUMMYFUNCTION("""COMPUTED_VALUE"""),80.5)</f>
        <v>80.5</v>
      </c>
      <c r="C446" s="30"/>
      <c r="D446" s="30"/>
      <c r="E446" s="30"/>
      <c r="F446" s="30"/>
      <c r="G446" s="30"/>
      <c r="H446" s="30"/>
      <c r="I446" s="30"/>
      <c r="J446" s="30">
        <f>IFERROR(__xludf.DUMMYFUNCTION("""COMPUTED_VALUE"""),-11.059343513011441)</f>
        <v>-11.05934351</v>
      </c>
      <c r="K446" s="30"/>
      <c r="L446" s="30"/>
      <c r="M446" s="30"/>
      <c r="N446" s="30"/>
      <c r="O446" s="30">
        <f>IFERROR(__xludf.DUMMYFUNCTION("""COMPUTED_VALUE"""),-2.630874715592867)</f>
        <v>-2.630874716</v>
      </c>
      <c r="P446" s="30">
        <f>IFERROR(__xludf.DUMMYFUNCTION("""COMPUTED_VALUE"""),4.463999088063446)</f>
        <v>4.463999088</v>
      </c>
      <c r="Q446" s="30"/>
      <c r="R446" s="30"/>
      <c r="S446" s="30"/>
      <c r="T446" s="30"/>
      <c r="U446" s="30">
        <v>0.0</v>
      </c>
      <c r="V446" s="30"/>
      <c r="W446" s="30"/>
      <c r="X446" s="30"/>
      <c r="Y446" s="5">
        <f>IFERROR(__xludf.DUMMYFUNCTION("""COMPUTED_VALUE"""),79.0)</f>
        <v>79</v>
      </c>
      <c r="Z446" s="5">
        <f>IFERROR(__xludf.DUMMYFUNCTION("""COMPUTED_VALUE"""),82.0)</f>
        <v>82</v>
      </c>
    </row>
    <row r="447">
      <c r="A447" s="30" t="s">
        <v>1135</v>
      </c>
      <c r="B447" s="30">
        <f>IFERROR(__xludf.DUMMYFUNCTION("""COMPUTED_VALUE"""),81.0)</f>
        <v>81</v>
      </c>
      <c r="C447" s="30"/>
      <c r="D447" s="30"/>
      <c r="E447" s="30"/>
      <c r="F447" s="30"/>
      <c r="G447" s="30"/>
      <c r="H447" s="30"/>
      <c r="I447" s="30"/>
      <c r="J447" s="30">
        <f>IFERROR(__xludf.DUMMYFUNCTION("""COMPUTED_VALUE"""),-11.059343513011441)</f>
        <v>-11.05934351</v>
      </c>
      <c r="K447" s="30"/>
      <c r="L447" s="30"/>
      <c r="M447" s="30"/>
      <c r="N447" s="30"/>
      <c r="O447" s="30">
        <f>IFERROR(__xludf.DUMMYFUNCTION("""COMPUTED_VALUE"""),-2.630874715592867)</f>
        <v>-2.630874716</v>
      </c>
      <c r="P447" s="30">
        <f>IFERROR(__xludf.DUMMYFUNCTION("""COMPUTED_VALUE"""),4.463999088063446)</f>
        <v>4.463999088</v>
      </c>
      <c r="Q447" s="30"/>
      <c r="R447" s="30"/>
      <c r="S447" s="30"/>
      <c r="T447" s="30"/>
      <c r="U447" s="30">
        <v>0.0</v>
      </c>
      <c r="V447" s="30"/>
      <c r="W447" s="30"/>
      <c r="X447" s="30"/>
      <c r="Y447" s="5">
        <f>IFERROR(__xludf.DUMMYFUNCTION("""COMPUTED_VALUE"""),81.0)</f>
        <v>81</v>
      </c>
      <c r="Z447" s="5">
        <f>IFERROR(__xludf.DUMMYFUNCTION("""COMPUTED_VALUE"""),81.0)</f>
        <v>81</v>
      </c>
    </row>
    <row r="448">
      <c r="A448" s="30" t="s">
        <v>1442</v>
      </c>
      <c r="B448" s="30">
        <f>IFERROR(__xludf.DUMMYFUNCTION("""COMPUTED_VALUE"""),81.5)</f>
        <v>81.5</v>
      </c>
      <c r="C448" s="30"/>
      <c r="D448" s="30"/>
      <c r="E448" s="30"/>
      <c r="F448" s="30"/>
      <c r="G448" s="30"/>
      <c r="H448" s="30"/>
      <c r="I448" s="30"/>
      <c r="J448" s="30">
        <f>IFERROR(__xludf.DUMMYFUNCTION("""COMPUTED_VALUE"""),-11.059343513011441)</f>
        <v>-11.05934351</v>
      </c>
      <c r="K448" s="30"/>
      <c r="L448" s="30"/>
      <c r="M448" s="30"/>
      <c r="N448" s="30"/>
      <c r="O448" s="30">
        <f>IFERROR(__xludf.DUMMYFUNCTION("""COMPUTED_VALUE"""),-2.630874715592867)</f>
        <v>-2.630874716</v>
      </c>
      <c r="P448" s="30">
        <f>IFERROR(__xludf.DUMMYFUNCTION("""COMPUTED_VALUE"""),4.463999088063446)</f>
        <v>4.463999088</v>
      </c>
      <c r="Q448" s="30"/>
      <c r="R448" s="30"/>
      <c r="S448" s="30"/>
      <c r="T448" s="30"/>
      <c r="U448" s="30">
        <v>0.0</v>
      </c>
      <c r="V448" s="30"/>
      <c r="W448" s="30"/>
      <c r="X448" s="30"/>
      <c r="Y448" s="5">
        <f>IFERROR(__xludf.DUMMYFUNCTION("""COMPUTED_VALUE"""),81.0)</f>
        <v>81</v>
      </c>
      <c r="Z448" s="5">
        <f>IFERROR(__xludf.DUMMYFUNCTION("""COMPUTED_VALUE"""),82.0)</f>
        <v>82</v>
      </c>
    </row>
    <row r="449">
      <c r="A449" s="30" t="s">
        <v>1968</v>
      </c>
      <c r="B449" s="30">
        <f>IFERROR(__xludf.DUMMYFUNCTION("""COMPUTED_VALUE"""),81.0)</f>
        <v>81</v>
      </c>
      <c r="C449" s="30"/>
      <c r="D449" s="30"/>
      <c r="E449" s="30"/>
      <c r="F449" s="30"/>
      <c r="G449" s="30"/>
      <c r="H449" s="30"/>
      <c r="I449" s="30"/>
      <c r="J449" s="30">
        <f>IFERROR(__xludf.DUMMYFUNCTION("""COMPUTED_VALUE"""),-11.059343513011441)</f>
        <v>-11.05934351</v>
      </c>
      <c r="K449" s="30"/>
      <c r="L449" s="30"/>
      <c r="M449" s="30"/>
      <c r="N449" s="30"/>
      <c r="O449" s="30">
        <f>IFERROR(__xludf.DUMMYFUNCTION("""COMPUTED_VALUE"""),-2.630874715592867)</f>
        <v>-2.630874716</v>
      </c>
      <c r="P449" s="30">
        <f>IFERROR(__xludf.DUMMYFUNCTION("""COMPUTED_VALUE"""),4.463999088063446)</f>
        <v>4.463999088</v>
      </c>
      <c r="Q449" s="30"/>
      <c r="R449" s="30"/>
      <c r="S449" s="30"/>
      <c r="T449" s="30"/>
      <c r="U449" s="30">
        <v>0.0</v>
      </c>
      <c r="V449" s="30"/>
      <c r="W449" s="30"/>
      <c r="X449" s="30"/>
      <c r="Y449" s="5">
        <f>IFERROR(__xludf.DUMMYFUNCTION("""COMPUTED_VALUE"""),81.0)</f>
        <v>81</v>
      </c>
      <c r="Z449" s="5">
        <f>IFERROR(__xludf.DUMMYFUNCTION("""COMPUTED_VALUE"""),81.0)</f>
        <v>81</v>
      </c>
    </row>
    <row r="450">
      <c r="A450" s="30" t="s">
        <v>1969</v>
      </c>
      <c r="B450" s="30">
        <f>IFERROR(__xludf.DUMMYFUNCTION("""COMPUTED_VALUE"""),80.0)</f>
        <v>80</v>
      </c>
      <c r="C450" s="30"/>
      <c r="D450" s="30"/>
      <c r="E450" s="30"/>
      <c r="F450" s="30"/>
      <c r="G450" s="30"/>
      <c r="H450" s="30"/>
      <c r="I450" s="30"/>
      <c r="J450" s="30">
        <f>IFERROR(__xludf.DUMMYFUNCTION("""COMPUTED_VALUE"""),-11.059343513011441)</f>
        <v>-11.05934351</v>
      </c>
      <c r="K450" s="30"/>
      <c r="L450" s="30"/>
      <c r="M450" s="30"/>
      <c r="N450" s="30"/>
      <c r="O450" s="30">
        <f>IFERROR(__xludf.DUMMYFUNCTION("""COMPUTED_VALUE"""),-2.630874715592867)</f>
        <v>-2.630874716</v>
      </c>
      <c r="P450" s="30">
        <f>IFERROR(__xludf.DUMMYFUNCTION("""COMPUTED_VALUE"""),4.463999088063446)</f>
        <v>4.463999088</v>
      </c>
      <c r="Q450" s="30"/>
      <c r="R450" s="30"/>
      <c r="S450" s="30"/>
      <c r="T450" s="30"/>
      <c r="U450" s="30">
        <v>0.0</v>
      </c>
      <c r="V450" s="30"/>
      <c r="W450" s="30"/>
      <c r="X450" s="30"/>
      <c r="Y450" s="5">
        <f>IFERROR(__xludf.DUMMYFUNCTION("""COMPUTED_VALUE"""),80.0)</f>
        <v>80</v>
      </c>
      <c r="Z450" s="5">
        <f>IFERROR(__xludf.DUMMYFUNCTION("""COMPUTED_VALUE"""),80.0)</f>
        <v>80</v>
      </c>
    </row>
    <row r="451">
      <c r="A451" s="30" t="s">
        <v>1275</v>
      </c>
      <c r="B451" s="30">
        <f>IFERROR(__xludf.DUMMYFUNCTION("""COMPUTED_VALUE"""),79.5)</f>
        <v>79.5</v>
      </c>
      <c r="C451" s="30"/>
      <c r="D451" s="30"/>
      <c r="E451" s="30"/>
      <c r="F451" s="30"/>
      <c r="G451" s="30"/>
      <c r="H451" s="30"/>
      <c r="I451" s="30"/>
      <c r="J451" s="30">
        <f>IFERROR(__xludf.DUMMYFUNCTION("""COMPUTED_VALUE"""),-11.059343513011441)</f>
        <v>-11.05934351</v>
      </c>
      <c r="K451" s="30"/>
      <c r="L451" s="30"/>
      <c r="M451" s="30"/>
      <c r="N451" s="30"/>
      <c r="O451" s="30">
        <f>IFERROR(__xludf.DUMMYFUNCTION("""COMPUTED_VALUE"""),-2.630874715592867)</f>
        <v>-2.630874716</v>
      </c>
      <c r="P451" s="30">
        <f>IFERROR(__xludf.DUMMYFUNCTION("""COMPUTED_VALUE"""),4.463999088063446)</f>
        <v>4.463999088</v>
      </c>
      <c r="Q451" s="30"/>
      <c r="R451" s="30"/>
      <c r="S451" s="30"/>
      <c r="T451" s="30"/>
      <c r="U451" s="30">
        <v>0.0</v>
      </c>
      <c r="V451" s="30"/>
      <c r="W451" s="30"/>
      <c r="X451" s="30"/>
      <c r="Y451" s="5">
        <f>IFERROR(__xludf.DUMMYFUNCTION("""COMPUTED_VALUE"""),79.0)</f>
        <v>79</v>
      </c>
      <c r="Z451" s="5">
        <f>IFERROR(__xludf.DUMMYFUNCTION("""COMPUTED_VALUE"""),80.0)</f>
        <v>80</v>
      </c>
    </row>
    <row r="452">
      <c r="A452" s="30" t="s">
        <v>1972</v>
      </c>
      <c r="B452" s="30">
        <f>IFERROR(__xludf.DUMMYFUNCTION("""COMPUTED_VALUE"""),80.0)</f>
        <v>80</v>
      </c>
      <c r="C452" s="30"/>
      <c r="D452" s="30"/>
      <c r="E452" s="30"/>
      <c r="F452" s="30"/>
      <c r="G452" s="30"/>
      <c r="H452" s="30"/>
      <c r="I452" s="30"/>
      <c r="J452" s="30">
        <f>IFERROR(__xludf.DUMMYFUNCTION("""COMPUTED_VALUE"""),-11.059343513011441)</f>
        <v>-11.05934351</v>
      </c>
      <c r="K452" s="30"/>
      <c r="L452" s="30"/>
      <c r="M452" s="30"/>
      <c r="N452" s="30"/>
      <c r="O452" s="30">
        <f>IFERROR(__xludf.DUMMYFUNCTION("""COMPUTED_VALUE"""),-2.630874715592867)</f>
        <v>-2.630874716</v>
      </c>
      <c r="P452" s="30">
        <f>IFERROR(__xludf.DUMMYFUNCTION("""COMPUTED_VALUE"""),4.463999088063446)</f>
        <v>4.463999088</v>
      </c>
      <c r="Q452" s="30"/>
      <c r="R452" s="30"/>
      <c r="S452" s="30"/>
      <c r="T452" s="30"/>
      <c r="U452" s="30">
        <v>0.0</v>
      </c>
      <c r="V452" s="30"/>
      <c r="W452" s="30"/>
      <c r="X452" s="30"/>
      <c r="Y452" s="5">
        <f>IFERROR(__xludf.DUMMYFUNCTION("""COMPUTED_VALUE"""),80.0)</f>
        <v>80</v>
      </c>
      <c r="Z452" s="5">
        <f>IFERROR(__xludf.DUMMYFUNCTION("""COMPUTED_VALUE"""),80.0)</f>
        <v>80</v>
      </c>
    </row>
    <row r="453">
      <c r="A453" s="30" t="s">
        <v>171</v>
      </c>
      <c r="B453" s="30">
        <f>IFERROR(__xludf.DUMMYFUNCTION("""COMPUTED_VALUE"""),78.5)</f>
        <v>78.5</v>
      </c>
      <c r="C453" s="30"/>
      <c r="D453" s="30"/>
      <c r="E453" s="30"/>
      <c r="F453" s="30"/>
      <c r="G453" s="30"/>
      <c r="H453" s="30"/>
      <c r="I453" s="30"/>
      <c r="J453" s="30">
        <f>IFERROR(__xludf.DUMMYFUNCTION("""COMPUTED_VALUE"""),-11.059343513011441)</f>
        <v>-11.05934351</v>
      </c>
      <c r="K453" s="30"/>
      <c r="L453" s="30"/>
      <c r="M453" s="30"/>
      <c r="N453" s="30"/>
      <c r="O453" s="30">
        <f>IFERROR(__xludf.DUMMYFUNCTION("""COMPUTED_VALUE"""),-2.630874715592867)</f>
        <v>-2.630874716</v>
      </c>
      <c r="P453" s="30">
        <f>IFERROR(__xludf.DUMMYFUNCTION("""COMPUTED_VALUE"""),4.463999088063446)</f>
        <v>4.463999088</v>
      </c>
      <c r="Q453" s="30"/>
      <c r="R453" s="30"/>
      <c r="S453" s="30"/>
      <c r="T453" s="30"/>
      <c r="U453" s="30">
        <v>0.0</v>
      </c>
      <c r="V453" s="30"/>
      <c r="W453" s="30"/>
      <c r="X453" s="30"/>
      <c r="Y453" s="5">
        <f>IFERROR(__xludf.DUMMYFUNCTION("""COMPUTED_VALUE"""),78.0)</f>
        <v>78</v>
      </c>
      <c r="Z453" s="5">
        <f>IFERROR(__xludf.DUMMYFUNCTION("""COMPUTED_VALUE"""),79.0)</f>
        <v>79</v>
      </c>
    </row>
    <row r="454">
      <c r="A454" s="30" t="s">
        <v>1432</v>
      </c>
      <c r="B454" s="30">
        <f>IFERROR(__xludf.DUMMYFUNCTION("""COMPUTED_VALUE"""),78.5)</f>
        <v>78.5</v>
      </c>
      <c r="C454" s="30"/>
      <c r="D454" s="30"/>
      <c r="E454" s="30"/>
      <c r="F454" s="30"/>
      <c r="G454" s="30"/>
      <c r="H454" s="30"/>
      <c r="I454" s="30"/>
      <c r="J454" s="30">
        <f>IFERROR(__xludf.DUMMYFUNCTION("""COMPUTED_VALUE"""),-11.059343513011441)</f>
        <v>-11.05934351</v>
      </c>
      <c r="K454" s="30"/>
      <c r="L454" s="30"/>
      <c r="M454" s="30"/>
      <c r="N454" s="30"/>
      <c r="O454" s="30">
        <f>IFERROR(__xludf.DUMMYFUNCTION("""COMPUTED_VALUE"""),-2.630874715592867)</f>
        <v>-2.630874716</v>
      </c>
      <c r="P454" s="30">
        <f>IFERROR(__xludf.DUMMYFUNCTION("""COMPUTED_VALUE"""),4.463999088063446)</f>
        <v>4.463999088</v>
      </c>
      <c r="Q454" s="30"/>
      <c r="R454" s="30"/>
      <c r="S454" s="30"/>
      <c r="T454" s="30"/>
      <c r="U454" s="30">
        <v>0.0</v>
      </c>
      <c r="V454" s="30"/>
      <c r="W454" s="30"/>
      <c r="X454" s="30"/>
      <c r="Y454" s="5">
        <f>IFERROR(__xludf.DUMMYFUNCTION("""COMPUTED_VALUE"""),78.0)</f>
        <v>78</v>
      </c>
      <c r="Z454" s="5">
        <f>IFERROR(__xludf.DUMMYFUNCTION("""COMPUTED_VALUE"""),79.0)</f>
        <v>79</v>
      </c>
    </row>
    <row r="455">
      <c r="A455" s="30" t="s">
        <v>1979</v>
      </c>
      <c r="B455" s="30">
        <f>IFERROR(__xludf.DUMMYFUNCTION("""COMPUTED_VALUE"""),82.0)</f>
        <v>82</v>
      </c>
      <c r="C455" s="30"/>
      <c r="D455" s="30"/>
      <c r="E455" s="30"/>
      <c r="F455" s="30"/>
      <c r="G455" s="30"/>
      <c r="H455" s="30"/>
      <c r="I455" s="30"/>
      <c r="J455" s="30">
        <f>IFERROR(__xludf.DUMMYFUNCTION("""COMPUTED_VALUE"""),-11.059343513011441)</f>
        <v>-11.05934351</v>
      </c>
      <c r="K455" s="30"/>
      <c r="L455" s="30"/>
      <c r="M455" s="30"/>
      <c r="N455" s="30"/>
      <c r="O455" s="30">
        <f>IFERROR(__xludf.DUMMYFUNCTION("""COMPUTED_VALUE"""),-2.630874715592867)</f>
        <v>-2.630874716</v>
      </c>
      <c r="P455" s="30">
        <f>IFERROR(__xludf.DUMMYFUNCTION("""COMPUTED_VALUE"""),4.463999088063446)</f>
        <v>4.463999088</v>
      </c>
      <c r="Q455" s="30"/>
      <c r="R455" s="30"/>
      <c r="S455" s="30"/>
      <c r="T455" s="30"/>
      <c r="U455" s="30">
        <v>0.0</v>
      </c>
      <c r="V455" s="30"/>
      <c r="W455" s="30"/>
      <c r="X455" s="30"/>
      <c r="Y455" s="5">
        <f>IFERROR(__xludf.DUMMYFUNCTION("""COMPUTED_VALUE"""),82.0)</f>
        <v>82</v>
      </c>
      <c r="Z455" s="5">
        <f>IFERROR(__xludf.DUMMYFUNCTION("""COMPUTED_VALUE"""),82.0)</f>
        <v>82</v>
      </c>
    </row>
    <row r="456">
      <c r="A456" s="30" t="s">
        <v>1980</v>
      </c>
      <c r="B456" s="30">
        <f>IFERROR(__xludf.DUMMYFUNCTION("""COMPUTED_VALUE"""),81.5)</f>
        <v>81.5</v>
      </c>
      <c r="C456" s="30"/>
      <c r="D456" s="30"/>
      <c r="E456" s="30"/>
      <c r="F456" s="30"/>
      <c r="G456" s="30"/>
      <c r="H456" s="30"/>
      <c r="I456" s="30"/>
      <c r="J456" s="30">
        <f>IFERROR(__xludf.DUMMYFUNCTION("""COMPUTED_VALUE"""),-11.059343513011441)</f>
        <v>-11.05934351</v>
      </c>
      <c r="K456" s="30"/>
      <c r="L456" s="30"/>
      <c r="M456" s="30"/>
      <c r="N456" s="30"/>
      <c r="O456" s="30">
        <f>IFERROR(__xludf.DUMMYFUNCTION("""COMPUTED_VALUE"""),-2.630874715592867)</f>
        <v>-2.630874716</v>
      </c>
      <c r="P456" s="30">
        <f>IFERROR(__xludf.DUMMYFUNCTION("""COMPUTED_VALUE"""),4.463999088063446)</f>
        <v>4.463999088</v>
      </c>
      <c r="Q456" s="30"/>
      <c r="R456" s="30"/>
      <c r="S456" s="30"/>
      <c r="T456" s="30"/>
      <c r="U456" s="30">
        <v>0.0</v>
      </c>
      <c r="V456" s="30"/>
      <c r="W456" s="30"/>
      <c r="X456" s="30"/>
      <c r="Y456" s="5">
        <f>IFERROR(__xludf.DUMMYFUNCTION("""COMPUTED_VALUE"""),81.0)</f>
        <v>81</v>
      </c>
      <c r="Z456" s="5">
        <f>IFERROR(__xludf.DUMMYFUNCTION("""COMPUTED_VALUE"""),82.0)</f>
        <v>82</v>
      </c>
    </row>
    <row r="457">
      <c r="A457" s="30" t="s">
        <v>1984</v>
      </c>
      <c r="B457" s="30">
        <f>IFERROR(__xludf.DUMMYFUNCTION("""COMPUTED_VALUE"""),79.5)</f>
        <v>79.5</v>
      </c>
      <c r="C457" s="30"/>
      <c r="D457" s="30"/>
      <c r="E457" s="30"/>
      <c r="F457" s="30"/>
      <c r="G457" s="30"/>
      <c r="H457" s="30"/>
      <c r="I457" s="30"/>
      <c r="J457" s="30">
        <f>IFERROR(__xludf.DUMMYFUNCTION("""COMPUTED_VALUE"""),-11.059343513011441)</f>
        <v>-11.05934351</v>
      </c>
      <c r="K457" s="30"/>
      <c r="L457" s="30"/>
      <c r="M457" s="30"/>
      <c r="N457" s="30"/>
      <c r="O457" s="30">
        <f>IFERROR(__xludf.DUMMYFUNCTION("""COMPUTED_VALUE"""),-2.630874715592867)</f>
        <v>-2.630874716</v>
      </c>
      <c r="P457" s="30">
        <f>IFERROR(__xludf.DUMMYFUNCTION("""COMPUTED_VALUE"""),4.463999088063446)</f>
        <v>4.463999088</v>
      </c>
      <c r="Q457" s="30"/>
      <c r="R457" s="30"/>
      <c r="S457" s="30"/>
      <c r="T457" s="30"/>
      <c r="U457" s="30">
        <v>0.0</v>
      </c>
      <c r="V457" s="30"/>
      <c r="W457" s="30"/>
      <c r="X457" s="30"/>
      <c r="Y457" s="5">
        <f>IFERROR(__xludf.DUMMYFUNCTION("""COMPUTED_VALUE"""),78.0)</f>
        <v>78</v>
      </c>
      <c r="Z457" s="5">
        <f>IFERROR(__xludf.DUMMYFUNCTION("""COMPUTED_VALUE"""),81.0)</f>
        <v>81</v>
      </c>
    </row>
    <row r="458">
      <c r="A458" s="30" t="s">
        <v>1986</v>
      </c>
      <c r="B458" s="30">
        <f>IFERROR(__xludf.DUMMYFUNCTION("""COMPUTED_VALUE"""),80.0)</f>
        <v>80</v>
      </c>
      <c r="C458" s="30"/>
      <c r="D458" s="30"/>
      <c r="E458" s="30"/>
      <c r="F458" s="30"/>
      <c r="G458" s="30"/>
      <c r="H458" s="30"/>
      <c r="I458" s="30"/>
      <c r="J458" s="30">
        <f>IFERROR(__xludf.DUMMYFUNCTION("""COMPUTED_VALUE"""),-11.059343513011441)</f>
        <v>-11.05934351</v>
      </c>
      <c r="K458" s="30"/>
      <c r="L458" s="30"/>
      <c r="M458" s="30"/>
      <c r="N458" s="30"/>
      <c r="O458" s="30">
        <f>IFERROR(__xludf.DUMMYFUNCTION("""COMPUTED_VALUE"""),-2.630874715592867)</f>
        <v>-2.630874716</v>
      </c>
      <c r="P458" s="30">
        <f>IFERROR(__xludf.DUMMYFUNCTION("""COMPUTED_VALUE"""),4.463999088063446)</f>
        <v>4.463999088</v>
      </c>
      <c r="Q458" s="30"/>
      <c r="R458" s="30"/>
      <c r="S458" s="30"/>
      <c r="T458" s="30"/>
      <c r="U458" s="30">
        <v>0.0</v>
      </c>
      <c r="V458" s="30"/>
      <c r="W458" s="30"/>
      <c r="X458" s="30"/>
      <c r="Y458" s="5">
        <f>IFERROR(__xludf.DUMMYFUNCTION("""COMPUTED_VALUE"""),80.0)</f>
        <v>80</v>
      </c>
      <c r="Z458" s="5">
        <f>IFERROR(__xludf.DUMMYFUNCTION("""COMPUTED_VALUE"""),80.0)</f>
        <v>80</v>
      </c>
    </row>
    <row r="459">
      <c r="A459" s="30" t="s">
        <v>124</v>
      </c>
      <c r="B459" s="30">
        <f>IFERROR(__xludf.DUMMYFUNCTION("""COMPUTED_VALUE"""),80.0)</f>
        <v>80</v>
      </c>
      <c r="C459" s="30"/>
      <c r="D459" s="30"/>
      <c r="E459" s="30"/>
      <c r="F459" s="30"/>
      <c r="G459" s="30"/>
      <c r="H459" s="30"/>
      <c r="I459" s="30"/>
      <c r="J459" s="30">
        <f>IFERROR(__xludf.DUMMYFUNCTION("""COMPUTED_VALUE"""),-11.059343513011441)</f>
        <v>-11.05934351</v>
      </c>
      <c r="K459" s="30"/>
      <c r="L459" s="30"/>
      <c r="M459" s="30"/>
      <c r="N459" s="30"/>
      <c r="O459" s="30">
        <f>IFERROR(__xludf.DUMMYFUNCTION("""COMPUTED_VALUE"""),-2.630874715592867)</f>
        <v>-2.630874716</v>
      </c>
      <c r="P459" s="30">
        <f>IFERROR(__xludf.DUMMYFUNCTION("""COMPUTED_VALUE"""),4.463999088063446)</f>
        <v>4.463999088</v>
      </c>
      <c r="Q459" s="30"/>
      <c r="R459" s="30"/>
      <c r="S459" s="30"/>
      <c r="T459" s="30"/>
      <c r="U459" s="30">
        <v>0.0</v>
      </c>
      <c r="V459" s="30"/>
      <c r="W459" s="30"/>
      <c r="X459" s="30"/>
      <c r="Y459" s="5">
        <f>IFERROR(__xludf.DUMMYFUNCTION("""COMPUTED_VALUE"""),80.0)</f>
        <v>80</v>
      </c>
      <c r="Z459" s="5">
        <f>IFERROR(__xludf.DUMMYFUNCTION("""COMPUTED_VALUE"""),80.0)</f>
        <v>80</v>
      </c>
    </row>
    <row r="460">
      <c r="A460" s="30" t="s">
        <v>1987</v>
      </c>
      <c r="B460" s="30">
        <f>IFERROR(__xludf.DUMMYFUNCTION("""COMPUTED_VALUE"""),79.0)</f>
        <v>79</v>
      </c>
      <c r="C460" s="30"/>
      <c r="D460" s="30"/>
      <c r="E460" s="30"/>
      <c r="F460" s="30"/>
      <c r="G460" s="30"/>
      <c r="H460" s="30"/>
      <c r="I460" s="30"/>
      <c r="J460" s="30">
        <f>IFERROR(__xludf.DUMMYFUNCTION("""COMPUTED_VALUE"""),-11.059343513011441)</f>
        <v>-11.05934351</v>
      </c>
      <c r="K460" s="30"/>
      <c r="L460" s="30"/>
      <c r="M460" s="30"/>
      <c r="N460" s="30"/>
      <c r="O460" s="30">
        <f>IFERROR(__xludf.DUMMYFUNCTION("""COMPUTED_VALUE"""),-2.630874715592867)</f>
        <v>-2.630874716</v>
      </c>
      <c r="P460" s="30">
        <f>IFERROR(__xludf.DUMMYFUNCTION("""COMPUTED_VALUE"""),4.463999088063446)</f>
        <v>4.463999088</v>
      </c>
      <c r="Q460" s="30"/>
      <c r="R460" s="30"/>
      <c r="S460" s="30"/>
      <c r="T460" s="30"/>
      <c r="U460" s="30">
        <v>0.0</v>
      </c>
      <c r="V460" s="30"/>
      <c r="W460" s="30"/>
      <c r="X460" s="30"/>
      <c r="Y460" s="5">
        <f>IFERROR(__xludf.DUMMYFUNCTION("""COMPUTED_VALUE"""),79.0)</f>
        <v>79</v>
      </c>
      <c r="Z460" s="5">
        <f>IFERROR(__xludf.DUMMYFUNCTION("""COMPUTED_VALUE"""),79.0)</f>
        <v>79</v>
      </c>
    </row>
    <row r="461">
      <c r="A461" s="30" t="s">
        <v>1988</v>
      </c>
      <c r="B461" s="30">
        <f>IFERROR(__xludf.DUMMYFUNCTION("""COMPUTED_VALUE"""),82.0)</f>
        <v>82</v>
      </c>
      <c r="C461" s="30"/>
      <c r="D461" s="30"/>
      <c r="E461" s="30"/>
      <c r="F461" s="30"/>
      <c r="G461" s="30"/>
      <c r="H461" s="30"/>
      <c r="I461" s="30"/>
      <c r="J461" s="30">
        <f>IFERROR(__xludf.DUMMYFUNCTION("""COMPUTED_VALUE"""),-11.059343513011441)</f>
        <v>-11.05934351</v>
      </c>
      <c r="K461" s="30"/>
      <c r="L461" s="30"/>
      <c r="M461" s="30"/>
      <c r="N461" s="30"/>
      <c r="O461" s="30">
        <f>IFERROR(__xludf.DUMMYFUNCTION("""COMPUTED_VALUE"""),-2.630874715592867)</f>
        <v>-2.630874716</v>
      </c>
      <c r="P461" s="30">
        <f>IFERROR(__xludf.DUMMYFUNCTION("""COMPUTED_VALUE"""),4.463999088063446)</f>
        <v>4.463999088</v>
      </c>
      <c r="Q461" s="30"/>
      <c r="R461" s="30"/>
      <c r="S461" s="30"/>
      <c r="T461" s="30"/>
      <c r="U461" s="30">
        <v>0.0</v>
      </c>
      <c r="V461" s="30"/>
      <c r="W461" s="30"/>
      <c r="X461" s="30"/>
      <c r="Y461" s="5">
        <f>IFERROR(__xludf.DUMMYFUNCTION("""COMPUTED_VALUE"""),82.0)</f>
        <v>82</v>
      </c>
      <c r="Z461" s="5">
        <f>IFERROR(__xludf.DUMMYFUNCTION("""COMPUTED_VALUE"""),82.0)</f>
        <v>82</v>
      </c>
    </row>
    <row r="462">
      <c r="A462" s="30" t="s">
        <v>1989</v>
      </c>
      <c r="B462" s="30">
        <f>IFERROR(__xludf.DUMMYFUNCTION("""COMPUTED_VALUE"""),82.0)</f>
        <v>82</v>
      </c>
      <c r="C462" s="30"/>
      <c r="D462" s="30"/>
      <c r="E462" s="30"/>
      <c r="F462" s="30"/>
      <c r="G462" s="30"/>
      <c r="H462" s="30"/>
      <c r="I462" s="30"/>
      <c r="J462" s="30">
        <f>IFERROR(__xludf.DUMMYFUNCTION("""COMPUTED_VALUE"""),-11.059343513011441)</f>
        <v>-11.05934351</v>
      </c>
      <c r="K462" s="30"/>
      <c r="L462" s="30"/>
      <c r="M462" s="30"/>
      <c r="N462" s="30"/>
      <c r="O462" s="30">
        <f>IFERROR(__xludf.DUMMYFUNCTION("""COMPUTED_VALUE"""),-2.630874715592867)</f>
        <v>-2.630874716</v>
      </c>
      <c r="P462" s="30">
        <f>IFERROR(__xludf.DUMMYFUNCTION("""COMPUTED_VALUE"""),4.463999088063446)</f>
        <v>4.463999088</v>
      </c>
      <c r="Q462" s="30"/>
      <c r="R462" s="30"/>
      <c r="S462" s="30"/>
      <c r="T462" s="30"/>
      <c r="U462" s="30">
        <v>0.0</v>
      </c>
      <c r="V462" s="30"/>
      <c r="W462" s="30"/>
      <c r="X462" s="30"/>
      <c r="Y462" s="5">
        <f>IFERROR(__xludf.DUMMYFUNCTION("""COMPUTED_VALUE"""),82.0)</f>
        <v>82</v>
      </c>
      <c r="Z462" s="5">
        <f>IFERROR(__xludf.DUMMYFUNCTION("""COMPUTED_VALUE"""),82.0)</f>
        <v>82</v>
      </c>
    </row>
    <row r="463">
      <c r="A463" s="30" t="s">
        <v>1990</v>
      </c>
      <c r="B463" s="30">
        <f>IFERROR(__xludf.DUMMYFUNCTION("""COMPUTED_VALUE"""),80.0)</f>
        <v>80</v>
      </c>
      <c r="C463" s="30"/>
      <c r="D463" s="30"/>
      <c r="E463" s="30"/>
      <c r="F463" s="30"/>
      <c r="G463" s="30"/>
      <c r="H463" s="30"/>
      <c r="I463" s="30"/>
      <c r="J463" s="30">
        <f>IFERROR(__xludf.DUMMYFUNCTION("""COMPUTED_VALUE"""),-11.059343513011441)</f>
        <v>-11.05934351</v>
      </c>
      <c r="K463" s="30"/>
      <c r="L463" s="30"/>
      <c r="M463" s="30"/>
      <c r="N463" s="30"/>
      <c r="O463" s="30">
        <f>IFERROR(__xludf.DUMMYFUNCTION("""COMPUTED_VALUE"""),-2.630874715592867)</f>
        <v>-2.630874716</v>
      </c>
      <c r="P463" s="30">
        <f>IFERROR(__xludf.DUMMYFUNCTION("""COMPUTED_VALUE"""),4.463999088063446)</f>
        <v>4.463999088</v>
      </c>
      <c r="Q463" s="30"/>
      <c r="R463" s="30"/>
      <c r="S463" s="30"/>
      <c r="T463" s="30"/>
      <c r="U463" s="30">
        <v>0.0</v>
      </c>
      <c r="V463" s="30"/>
      <c r="W463" s="30"/>
      <c r="X463" s="30"/>
      <c r="Y463" s="5">
        <f>IFERROR(__xludf.DUMMYFUNCTION("""COMPUTED_VALUE"""),80.0)</f>
        <v>80</v>
      </c>
      <c r="Z463" s="5">
        <f>IFERROR(__xludf.DUMMYFUNCTION("""COMPUTED_VALUE"""),80.0)</f>
        <v>80</v>
      </c>
    </row>
    <row r="464">
      <c r="A464" s="30" t="s">
        <v>195</v>
      </c>
      <c r="B464" s="30">
        <f>IFERROR(__xludf.DUMMYFUNCTION("""COMPUTED_VALUE"""),81.0)</f>
        <v>81</v>
      </c>
      <c r="C464" s="30"/>
      <c r="D464" s="30"/>
      <c r="E464" s="30"/>
      <c r="F464" s="30"/>
      <c r="G464" s="30"/>
      <c r="H464" s="30"/>
      <c r="I464" s="30"/>
      <c r="J464" s="30">
        <f>IFERROR(__xludf.DUMMYFUNCTION("""COMPUTED_VALUE"""),-11.059343513011441)</f>
        <v>-11.05934351</v>
      </c>
      <c r="K464" s="30"/>
      <c r="L464" s="30"/>
      <c r="M464" s="30"/>
      <c r="N464" s="30"/>
      <c r="O464" s="30">
        <f>IFERROR(__xludf.DUMMYFUNCTION("""COMPUTED_VALUE"""),-2.630874715592867)</f>
        <v>-2.630874716</v>
      </c>
      <c r="P464" s="30">
        <f>IFERROR(__xludf.DUMMYFUNCTION("""COMPUTED_VALUE"""),4.463999088063446)</f>
        <v>4.463999088</v>
      </c>
      <c r="Q464" s="30"/>
      <c r="R464" s="30"/>
      <c r="S464" s="30"/>
      <c r="T464" s="30"/>
      <c r="U464" s="30">
        <v>0.0</v>
      </c>
      <c r="V464" s="30"/>
      <c r="W464" s="30"/>
      <c r="X464" s="30"/>
      <c r="Y464" s="5">
        <f>IFERROR(__xludf.DUMMYFUNCTION("""COMPUTED_VALUE"""),81.0)</f>
        <v>81</v>
      </c>
      <c r="Z464" s="5">
        <f>IFERROR(__xludf.DUMMYFUNCTION("""COMPUTED_VALUE"""),81.0)</f>
        <v>81</v>
      </c>
    </row>
    <row r="465">
      <c r="A465" s="30" t="s">
        <v>1991</v>
      </c>
      <c r="B465" s="30">
        <f>IFERROR(__xludf.DUMMYFUNCTION("""COMPUTED_VALUE"""),80.0)</f>
        <v>80</v>
      </c>
      <c r="C465" s="30"/>
      <c r="D465" s="30"/>
      <c r="E465" s="30"/>
      <c r="F465" s="30"/>
      <c r="G465" s="30"/>
      <c r="H465" s="30"/>
      <c r="I465" s="30"/>
      <c r="J465" s="30">
        <f>IFERROR(__xludf.DUMMYFUNCTION("""COMPUTED_VALUE"""),-11.059343513011441)</f>
        <v>-11.05934351</v>
      </c>
      <c r="K465" s="30"/>
      <c r="L465" s="30"/>
      <c r="M465" s="30"/>
      <c r="N465" s="30"/>
      <c r="O465" s="30">
        <f>IFERROR(__xludf.DUMMYFUNCTION("""COMPUTED_VALUE"""),-2.630874715592867)</f>
        <v>-2.630874716</v>
      </c>
      <c r="P465" s="30">
        <f>IFERROR(__xludf.DUMMYFUNCTION("""COMPUTED_VALUE"""),4.463999088063446)</f>
        <v>4.463999088</v>
      </c>
      <c r="Q465" s="30"/>
      <c r="R465" s="30"/>
      <c r="S465" s="30"/>
      <c r="T465" s="30"/>
      <c r="U465" s="30">
        <v>0.0</v>
      </c>
      <c r="V465" s="30"/>
      <c r="W465" s="30"/>
      <c r="X465" s="30"/>
      <c r="Y465" s="5">
        <f>IFERROR(__xludf.DUMMYFUNCTION("""COMPUTED_VALUE"""),80.0)</f>
        <v>80</v>
      </c>
      <c r="Z465" s="5">
        <f>IFERROR(__xludf.DUMMYFUNCTION("""COMPUTED_VALUE"""),80.0)</f>
        <v>80</v>
      </c>
    </row>
    <row r="466">
      <c r="A466" s="30" t="s">
        <v>1453</v>
      </c>
      <c r="B466" s="30">
        <f>IFERROR(__xludf.DUMMYFUNCTION("""COMPUTED_VALUE"""),79.0)</f>
        <v>79</v>
      </c>
      <c r="C466" s="30"/>
      <c r="D466" s="30"/>
      <c r="E466" s="30"/>
      <c r="F466" s="30"/>
      <c r="G466" s="30"/>
      <c r="H466" s="30"/>
      <c r="I466" s="30"/>
      <c r="J466" s="30">
        <f>IFERROR(__xludf.DUMMYFUNCTION("""COMPUTED_VALUE"""),-11.059343513011441)</f>
        <v>-11.05934351</v>
      </c>
      <c r="K466" s="30"/>
      <c r="L466" s="30"/>
      <c r="M466" s="30"/>
      <c r="N466" s="30"/>
      <c r="O466" s="30">
        <f>IFERROR(__xludf.DUMMYFUNCTION("""COMPUTED_VALUE"""),-2.630874715592867)</f>
        <v>-2.630874716</v>
      </c>
      <c r="P466" s="30">
        <f>IFERROR(__xludf.DUMMYFUNCTION("""COMPUTED_VALUE"""),4.463999088063446)</f>
        <v>4.463999088</v>
      </c>
      <c r="Q466" s="30"/>
      <c r="R466" s="30"/>
      <c r="S466" s="30"/>
      <c r="T466" s="30"/>
      <c r="U466" s="30">
        <v>0.0</v>
      </c>
      <c r="V466" s="30"/>
      <c r="W466" s="30"/>
      <c r="X466" s="30"/>
      <c r="Y466" s="5">
        <f>IFERROR(__xludf.DUMMYFUNCTION("""COMPUTED_VALUE"""),78.0)</f>
        <v>78</v>
      </c>
      <c r="Z466" s="5">
        <f>IFERROR(__xludf.DUMMYFUNCTION("""COMPUTED_VALUE"""),80.0)</f>
        <v>80</v>
      </c>
    </row>
    <row r="467">
      <c r="A467" s="30" t="s">
        <v>1997</v>
      </c>
      <c r="B467" s="30">
        <f>IFERROR(__xludf.DUMMYFUNCTION("""COMPUTED_VALUE"""),81.5)</f>
        <v>81.5</v>
      </c>
      <c r="C467" s="30"/>
      <c r="D467" s="30"/>
      <c r="E467" s="30"/>
      <c r="F467" s="30"/>
      <c r="G467" s="30"/>
      <c r="H467" s="30"/>
      <c r="I467" s="30"/>
      <c r="J467" s="30">
        <f>IFERROR(__xludf.DUMMYFUNCTION("""COMPUTED_VALUE"""),-11.059343513011441)</f>
        <v>-11.05934351</v>
      </c>
      <c r="K467" s="30"/>
      <c r="L467" s="30"/>
      <c r="M467" s="30"/>
      <c r="N467" s="30"/>
      <c r="O467" s="30">
        <f>IFERROR(__xludf.DUMMYFUNCTION("""COMPUTED_VALUE"""),-2.630874715592867)</f>
        <v>-2.630874716</v>
      </c>
      <c r="P467" s="30">
        <f>IFERROR(__xludf.DUMMYFUNCTION("""COMPUTED_VALUE"""),4.463999088063446)</f>
        <v>4.463999088</v>
      </c>
      <c r="Q467" s="30"/>
      <c r="R467" s="30"/>
      <c r="S467" s="30"/>
      <c r="T467" s="30"/>
      <c r="U467" s="30">
        <v>0.0</v>
      </c>
      <c r="V467" s="30"/>
      <c r="W467" s="30"/>
      <c r="X467" s="30"/>
      <c r="Y467" s="5">
        <f>IFERROR(__xludf.DUMMYFUNCTION("""COMPUTED_VALUE"""),81.0)</f>
        <v>81</v>
      </c>
      <c r="Z467" s="5">
        <f>IFERROR(__xludf.DUMMYFUNCTION("""COMPUTED_VALUE"""),82.0)</f>
        <v>82</v>
      </c>
    </row>
    <row r="468">
      <c r="A468" s="30" t="s">
        <v>2000</v>
      </c>
      <c r="B468" s="30">
        <f>IFERROR(__xludf.DUMMYFUNCTION("""COMPUTED_VALUE"""),82.0)</f>
        <v>82</v>
      </c>
      <c r="C468" s="30"/>
      <c r="D468" s="30"/>
      <c r="E468" s="30"/>
      <c r="F468" s="30"/>
      <c r="G468" s="30"/>
      <c r="H468" s="30"/>
      <c r="I468" s="30"/>
      <c r="J468" s="30">
        <f>IFERROR(__xludf.DUMMYFUNCTION("""COMPUTED_VALUE"""),-11.059343513011441)</f>
        <v>-11.05934351</v>
      </c>
      <c r="K468" s="30"/>
      <c r="L468" s="30"/>
      <c r="M468" s="30"/>
      <c r="N468" s="30"/>
      <c r="O468" s="30">
        <f>IFERROR(__xludf.DUMMYFUNCTION("""COMPUTED_VALUE"""),-2.630874715592867)</f>
        <v>-2.630874716</v>
      </c>
      <c r="P468" s="30">
        <f>IFERROR(__xludf.DUMMYFUNCTION("""COMPUTED_VALUE"""),4.463999088063446)</f>
        <v>4.463999088</v>
      </c>
      <c r="Q468" s="30"/>
      <c r="R468" s="30"/>
      <c r="S468" s="30"/>
      <c r="T468" s="30"/>
      <c r="U468" s="30">
        <v>0.0</v>
      </c>
      <c r="V468" s="30"/>
      <c r="W468" s="30"/>
      <c r="X468" s="30"/>
      <c r="Y468" s="5">
        <f>IFERROR(__xludf.DUMMYFUNCTION("""COMPUTED_VALUE"""),82.0)</f>
        <v>82</v>
      </c>
      <c r="Z468" s="5">
        <f>IFERROR(__xludf.DUMMYFUNCTION("""COMPUTED_VALUE"""),82.0)</f>
        <v>82</v>
      </c>
    </row>
    <row r="469">
      <c r="A469" s="30" t="s">
        <v>2001</v>
      </c>
      <c r="B469" s="30">
        <f>IFERROR(__xludf.DUMMYFUNCTION("""COMPUTED_VALUE"""),82.0)</f>
        <v>82</v>
      </c>
      <c r="C469" s="30"/>
      <c r="D469" s="30"/>
      <c r="E469" s="30"/>
      <c r="F469" s="30"/>
      <c r="G469" s="30"/>
      <c r="H469" s="30"/>
      <c r="I469" s="30"/>
      <c r="J469" s="30">
        <f>IFERROR(__xludf.DUMMYFUNCTION("""COMPUTED_VALUE"""),-11.059343513011441)</f>
        <v>-11.05934351</v>
      </c>
      <c r="K469" s="30"/>
      <c r="L469" s="30"/>
      <c r="M469" s="30"/>
      <c r="N469" s="30"/>
      <c r="O469" s="30">
        <f>IFERROR(__xludf.DUMMYFUNCTION("""COMPUTED_VALUE"""),-2.630874715592867)</f>
        <v>-2.630874716</v>
      </c>
      <c r="P469" s="30">
        <f>IFERROR(__xludf.DUMMYFUNCTION("""COMPUTED_VALUE"""),4.463999088063446)</f>
        <v>4.463999088</v>
      </c>
      <c r="Q469" s="30"/>
      <c r="R469" s="30"/>
      <c r="S469" s="30"/>
      <c r="T469" s="30"/>
      <c r="U469" s="30">
        <v>0.0</v>
      </c>
      <c r="V469" s="30"/>
      <c r="W469" s="30"/>
      <c r="X469" s="30"/>
      <c r="Y469" s="5">
        <f>IFERROR(__xludf.DUMMYFUNCTION("""COMPUTED_VALUE"""),82.0)</f>
        <v>82</v>
      </c>
      <c r="Z469" s="5">
        <f>IFERROR(__xludf.DUMMYFUNCTION("""COMPUTED_VALUE"""),82.0)</f>
        <v>82</v>
      </c>
    </row>
    <row r="470">
      <c r="A470" s="30" t="s">
        <v>307</v>
      </c>
      <c r="B470" s="30">
        <f>IFERROR(__xludf.DUMMYFUNCTION("""COMPUTED_VALUE"""),80.0)</f>
        <v>80</v>
      </c>
      <c r="C470" s="30"/>
      <c r="D470" s="30"/>
      <c r="E470" s="30"/>
      <c r="F470" s="30"/>
      <c r="G470" s="30"/>
      <c r="H470" s="30"/>
      <c r="I470" s="30"/>
      <c r="J470" s="30">
        <f>IFERROR(__xludf.DUMMYFUNCTION("""COMPUTED_VALUE"""),-11.059343513011441)</f>
        <v>-11.05934351</v>
      </c>
      <c r="K470" s="30"/>
      <c r="L470" s="30"/>
      <c r="M470" s="30"/>
      <c r="N470" s="30"/>
      <c r="O470" s="30">
        <f>IFERROR(__xludf.DUMMYFUNCTION("""COMPUTED_VALUE"""),-2.630874715592867)</f>
        <v>-2.630874716</v>
      </c>
      <c r="P470" s="30">
        <f>IFERROR(__xludf.DUMMYFUNCTION("""COMPUTED_VALUE"""),4.463999088063446)</f>
        <v>4.463999088</v>
      </c>
      <c r="Q470" s="30"/>
      <c r="R470" s="30"/>
      <c r="S470" s="30"/>
      <c r="T470" s="30"/>
      <c r="U470" s="30">
        <v>0.0</v>
      </c>
      <c r="V470" s="30"/>
      <c r="W470" s="30"/>
      <c r="X470" s="30"/>
      <c r="Y470" s="5">
        <f>IFERROR(__xludf.DUMMYFUNCTION("""COMPUTED_VALUE"""),80.0)</f>
        <v>80</v>
      </c>
      <c r="Z470" s="5">
        <f>IFERROR(__xludf.DUMMYFUNCTION("""COMPUTED_VALUE"""),80.0)</f>
        <v>80</v>
      </c>
    </row>
    <row r="471">
      <c r="A471" s="30" t="s">
        <v>2002</v>
      </c>
      <c r="B471" s="30">
        <f>IFERROR(__xludf.DUMMYFUNCTION("""COMPUTED_VALUE"""),80.0)</f>
        <v>80</v>
      </c>
      <c r="C471" s="30"/>
      <c r="D471" s="30"/>
      <c r="E471" s="30"/>
      <c r="F471" s="30"/>
      <c r="G471" s="30"/>
      <c r="H471" s="30"/>
      <c r="I471" s="30"/>
      <c r="J471" s="30">
        <f>IFERROR(__xludf.DUMMYFUNCTION("""COMPUTED_VALUE"""),-11.059343513011441)</f>
        <v>-11.05934351</v>
      </c>
      <c r="K471" s="30"/>
      <c r="L471" s="30"/>
      <c r="M471" s="30"/>
      <c r="N471" s="30"/>
      <c r="O471" s="30">
        <f>IFERROR(__xludf.DUMMYFUNCTION("""COMPUTED_VALUE"""),-2.630874715592867)</f>
        <v>-2.630874716</v>
      </c>
      <c r="P471" s="30">
        <f>IFERROR(__xludf.DUMMYFUNCTION("""COMPUTED_VALUE"""),4.463999088063446)</f>
        <v>4.463999088</v>
      </c>
      <c r="Q471" s="30"/>
      <c r="R471" s="30"/>
      <c r="S471" s="30"/>
      <c r="T471" s="30"/>
      <c r="U471" s="30">
        <v>0.0</v>
      </c>
      <c r="V471" s="30"/>
      <c r="W471" s="30"/>
      <c r="X471" s="30"/>
      <c r="Y471" s="5">
        <f>IFERROR(__xludf.DUMMYFUNCTION("""COMPUTED_VALUE"""),80.0)</f>
        <v>80</v>
      </c>
      <c r="Z471" s="5">
        <f>IFERROR(__xludf.DUMMYFUNCTION("""COMPUTED_VALUE"""),80.0)</f>
        <v>80</v>
      </c>
    </row>
    <row r="472">
      <c r="A472" s="30" t="s">
        <v>1518</v>
      </c>
      <c r="B472" s="30">
        <f>IFERROR(__xludf.DUMMYFUNCTION("""COMPUTED_VALUE"""),80.0)</f>
        <v>80</v>
      </c>
      <c r="C472" s="30"/>
      <c r="D472" s="30"/>
      <c r="E472" s="30"/>
      <c r="F472" s="30"/>
      <c r="G472" s="30"/>
      <c r="H472" s="30"/>
      <c r="I472" s="30"/>
      <c r="J472" s="30">
        <f>IFERROR(__xludf.DUMMYFUNCTION("""COMPUTED_VALUE"""),-11.059343513011441)</f>
        <v>-11.05934351</v>
      </c>
      <c r="K472" s="30"/>
      <c r="L472" s="30"/>
      <c r="M472" s="30"/>
      <c r="N472" s="30"/>
      <c r="O472" s="30">
        <f>IFERROR(__xludf.DUMMYFUNCTION("""COMPUTED_VALUE"""),-2.630874715592867)</f>
        <v>-2.630874716</v>
      </c>
      <c r="P472" s="30">
        <f>IFERROR(__xludf.DUMMYFUNCTION("""COMPUTED_VALUE"""),4.463999088063446)</f>
        <v>4.463999088</v>
      </c>
      <c r="Q472" s="30"/>
      <c r="R472" s="30"/>
      <c r="S472" s="30"/>
      <c r="T472" s="30"/>
      <c r="U472" s="30">
        <v>0.0</v>
      </c>
      <c r="V472" s="30"/>
      <c r="W472" s="30"/>
      <c r="X472" s="30"/>
      <c r="Y472" s="5">
        <f>IFERROR(__xludf.DUMMYFUNCTION("""COMPUTED_VALUE"""),80.0)</f>
        <v>80</v>
      </c>
      <c r="Z472" s="5">
        <f>IFERROR(__xludf.DUMMYFUNCTION("""COMPUTED_VALUE"""),80.0)</f>
        <v>80</v>
      </c>
    </row>
    <row r="473">
      <c r="A473" s="30" t="s">
        <v>2003</v>
      </c>
      <c r="B473" s="30">
        <f>IFERROR(__xludf.DUMMYFUNCTION("""COMPUTED_VALUE"""),82.0)</f>
        <v>82</v>
      </c>
      <c r="C473" s="30"/>
      <c r="D473" s="30"/>
      <c r="E473" s="30"/>
      <c r="F473" s="30"/>
      <c r="G473" s="30"/>
      <c r="H473" s="30"/>
      <c r="I473" s="30"/>
      <c r="J473" s="30">
        <f>IFERROR(__xludf.DUMMYFUNCTION("""COMPUTED_VALUE"""),-11.059343513011441)</f>
        <v>-11.05934351</v>
      </c>
      <c r="K473" s="30"/>
      <c r="L473" s="30"/>
      <c r="M473" s="30"/>
      <c r="N473" s="30"/>
      <c r="O473" s="30">
        <f>IFERROR(__xludf.DUMMYFUNCTION("""COMPUTED_VALUE"""),-2.630874715592867)</f>
        <v>-2.630874716</v>
      </c>
      <c r="P473" s="30">
        <f>IFERROR(__xludf.DUMMYFUNCTION("""COMPUTED_VALUE"""),4.463999088063446)</f>
        <v>4.463999088</v>
      </c>
      <c r="Q473" s="30"/>
      <c r="R473" s="30"/>
      <c r="S473" s="30"/>
      <c r="T473" s="30"/>
      <c r="U473" s="30">
        <v>0.0</v>
      </c>
      <c r="V473" s="30"/>
      <c r="W473" s="30"/>
      <c r="X473" s="30"/>
      <c r="Y473" s="5">
        <f>IFERROR(__xludf.DUMMYFUNCTION("""COMPUTED_VALUE"""),82.0)</f>
        <v>82</v>
      </c>
      <c r="Z473" s="5">
        <f>IFERROR(__xludf.DUMMYFUNCTION("""COMPUTED_VALUE"""),82.0)</f>
        <v>82</v>
      </c>
    </row>
    <row r="474">
      <c r="A474" s="30" t="s">
        <v>1507</v>
      </c>
      <c r="B474" s="30">
        <f>IFERROR(__xludf.DUMMYFUNCTION("""COMPUTED_VALUE"""),79.5)</f>
        <v>79.5</v>
      </c>
      <c r="C474" s="30"/>
      <c r="D474" s="30"/>
      <c r="E474" s="30"/>
      <c r="F474" s="30"/>
      <c r="G474" s="30"/>
      <c r="H474" s="30"/>
      <c r="I474" s="30"/>
      <c r="J474" s="30">
        <f>IFERROR(__xludf.DUMMYFUNCTION("""COMPUTED_VALUE"""),-11.059343513011441)</f>
        <v>-11.05934351</v>
      </c>
      <c r="K474" s="30"/>
      <c r="L474" s="30"/>
      <c r="M474" s="30"/>
      <c r="N474" s="30"/>
      <c r="O474" s="30">
        <f>IFERROR(__xludf.DUMMYFUNCTION("""COMPUTED_VALUE"""),-2.630874715592867)</f>
        <v>-2.630874716</v>
      </c>
      <c r="P474" s="30">
        <f>IFERROR(__xludf.DUMMYFUNCTION("""COMPUTED_VALUE"""),4.463999088063446)</f>
        <v>4.463999088</v>
      </c>
      <c r="Q474" s="30"/>
      <c r="R474" s="30"/>
      <c r="S474" s="30"/>
      <c r="T474" s="30"/>
      <c r="U474" s="30">
        <v>0.0</v>
      </c>
      <c r="V474" s="30"/>
      <c r="W474" s="30"/>
      <c r="X474" s="30"/>
      <c r="Y474" s="5">
        <f>IFERROR(__xludf.DUMMYFUNCTION("""COMPUTED_VALUE"""),79.0)</f>
        <v>79</v>
      </c>
      <c r="Z474" s="5">
        <f>IFERROR(__xludf.DUMMYFUNCTION("""COMPUTED_VALUE"""),80.0)</f>
        <v>80</v>
      </c>
    </row>
    <row r="475">
      <c r="A475" s="30" t="s">
        <v>2010</v>
      </c>
      <c r="B475" s="30">
        <f>IFERROR(__xludf.DUMMYFUNCTION("""COMPUTED_VALUE"""),81.0)</f>
        <v>81</v>
      </c>
      <c r="C475" s="30"/>
      <c r="D475" s="30"/>
      <c r="E475" s="30"/>
      <c r="F475" s="30"/>
      <c r="G475" s="30"/>
      <c r="H475" s="30"/>
      <c r="I475" s="30"/>
      <c r="J475" s="30">
        <f>IFERROR(__xludf.DUMMYFUNCTION("""COMPUTED_VALUE"""),-11.059343513011441)</f>
        <v>-11.05934351</v>
      </c>
      <c r="K475" s="30"/>
      <c r="L475" s="30"/>
      <c r="M475" s="30"/>
      <c r="N475" s="30"/>
      <c r="O475" s="30">
        <f>IFERROR(__xludf.DUMMYFUNCTION("""COMPUTED_VALUE"""),-2.630874715592867)</f>
        <v>-2.630874716</v>
      </c>
      <c r="P475" s="30">
        <f>IFERROR(__xludf.DUMMYFUNCTION("""COMPUTED_VALUE"""),4.463999088063446)</f>
        <v>4.463999088</v>
      </c>
      <c r="Q475" s="30"/>
      <c r="R475" s="30"/>
      <c r="S475" s="30"/>
      <c r="T475" s="30"/>
      <c r="U475" s="30">
        <v>0.0</v>
      </c>
      <c r="V475" s="30"/>
      <c r="W475" s="30"/>
      <c r="X475" s="30"/>
      <c r="Y475" s="5">
        <f>IFERROR(__xludf.DUMMYFUNCTION("""COMPUTED_VALUE"""),81.0)</f>
        <v>81</v>
      </c>
      <c r="Z475" s="5">
        <f>IFERROR(__xludf.DUMMYFUNCTION("""COMPUTED_VALUE"""),81.0)</f>
        <v>81</v>
      </c>
    </row>
    <row r="476">
      <c r="A476" s="30" t="s">
        <v>757</v>
      </c>
      <c r="B476" s="30">
        <f>IFERROR(__xludf.DUMMYFUNCTION("""COMPUTED_VALUE"""),80.0)</f>
        <v>80</v>
      </c>
      <c r="C476" s="30"/>
      <c r="D476" s="30"/>
      <c r="E476" s="30"/>
      <c r="F476" s="30"/>
      <c r="G476" s="30"/>
      <c r="H476" s="30"/>
      <c r="I476" s="30"/>
      <c r="J476" s="30">
        <f>IFERROR(__xludf.DUMMYFUNCTION("""COMPUTED_VALUE"""),-11.059343513011441)</f>
        <v>-11.05934351</v>
      </c>
      <c r="K476" s="30"/>
      <c r="L476" s="30"/>
      <c r="M476" s="30"/>
      <c r="N476" s="30"/>
      <c r="O476" s="30">
        <f>IFERROR(__xludf.DUMMYFUNCTION("""COMPUTED_VALUE"""),-2.630874715592867)</f>
        <v>-2.630874716</v>
      </c>
      <c r="P476" s="30">
        <f>IFERROR(__xludf.DUMMYFUNCTION("""COMPUTED_VALUE"""),4.463999088063446)</f>
        <v>4.463999088</v>
      </c>
      <c r="Q476" s="30"/>
      <c r="R476" s="30"/>
      <c r="S476" s="30"/>
      <c r="T476" s="30"/>
      <c r="U476" s="30">
        <v>0.0</v>
      </c>
      <c r="V476" s="30"/>
      <c r="W476" s="30"/>
      <c r="X476" s="30"/>
      <c r="Y476" s="5">
        <f>IFERROR(__xludf.DUMMYFUNCTION("""COMPUTED_VALUE"""),80.0)</f>
        <v>80</v>
      </c>
      <c r="Z476" s="5">
        <f>IFERROR(__xludf.DUMMYFUNCTION("""COMPUTED_VALUE"""),80.0)</f>
        <v>80</v>
      </c>
    </row>
    <row r="477">
      <c r="A477" s="30" t="s">
        <v>2011</v>
      </c>
      <c r="B477" s="30">
        <f>IFERROR(__xludf.DUMMYFUNCTION("""COMPUTED_VALUE"""),80.0)</f>
        <v>80</v>
      </c>
      <c r="C477" s="30"/>
      <c r="D477" s="30"/>
      <c r="E477" s="30"/>
      <c r="F477" s="30"/>
      <c r="G477" s="30"/>
      <c r="H477" s="30"/>
      <c r="I477" s="30"/>
      <c r="J477" s="30">
        <f>IFERROR(__xludf.DUMMYFUNCTION("""COMPUTED_VALUE"""),-11.059343513011441)</f>
        <v>-11.05934351</v>
      </c>
      <c r="K477" s="30"/>
      <c r="L477" s="30"/>
      <c r="M477" s="30"/>
      <c r="N477" s="30"/>
      <c r="O477" s="30">
        <f>IFERROR(__xludf.DUMMYFUNCTION("""COMPUTED_VALUE"""),-2.630874715592867)</f>
        <v>-2.630874716</v>
      </c>
      <c r="P477" s="30">
        <f>IFERROR(__xludf.DUMMYFUNCTION("""COMPUTED_VALUE"""),4.463999088063446)</f>
        <v>4.463999088</v>
      </c>
      <c r="Q477" s="30"/>
      <c r="R477" s="30"/>
      <c r="S477" s="30"/>
      <c r="T477" s="30"/>
      <c r="U477" s="30">
        <v>0.0</v>
      </c>
      <c r="V477" s="30"/>
      <c r="W477" s="30"/>
      <c r="X477" s="30"/>
      <c r="Y477" s="5">
        <f>IFERROR(__xludf.DUMMYFUNCTION("""COMPUTED_VALUE"""),80.0)</f>
        <v>80</v>
      </c>
      <c r="Z477" s="5">
        <f>IFERROR(__xludf.DUMMYFUNCTION("""COMPUTED_VALUE"""),80.0)</f>
        <v>80</v>
      </c>
    </row>
    <row r="478">
      <c r="A478" s="30" t="s">
        <v>2012</v>
      </c>
      <c r="B478" s="30">
        <f>IFERROR(__xludf.DUMMYFUNCTION("""COMPUTED_VALUE"""),81.0)</f>
        <v>81</v>
      </c>
      <c r="C478" s="30"/>
      <c r="D478" s="30"/>
      <c r="E478" s="30"/>
      <c r="F478" s="30"/>
      <c r="G478" s="30"/>
      <c r="H478" s="30"/>
      <c r="I478" s="30"/>
      <c r="J478" s="30">
        <f>IFERROR(__xludf.DUMMYFUNCTION("""COMPUTED_VALUE"""),-11.059343513011441)</f>
        <v>-11.05934351</v>
      </c>
      <c r="K478" s="30"/>
      <c r="L478" s="30"/>
      <c r="M478" s="30"/>
      <c r="N478" s="30"/>
      <c r="O478" s="30">
        <f>IFERROR(__xludf.DUMMYFUNCTION("""COMPUTED_VALUE"""),-2.630874715592867)</f>
        <v>-2.630874716</v>
      </c>
      <c r="P478" s="30">
        <f>IFERROR(__xludf.DUMMYFUNCTION("""COMPUTED_VALUE"""),4.463999088063446)</f>
        <v>4.463999088</v>
      </c>
      <c r="Q478" s="30"/>
      <c r="R478" s="30"/>
      <c r="S478" s="30"/>
      <c r="T478" s="30"/>
      <c r="U478" s="30">
        <v>0.0</v>
      </c>
      <c r="V478" s="30"/>
      <c r="W478" s="30"/>
      <c r="X478" s="30"/>
      <c r="Y478" s="5">
        <f>IFERROR(__xludf.DUMMYFUNCTION("""COMPUTED_VALUE"""),81.0)</f>
        <v>81</v>
      </c>
      <c r="Z478" s="5">
        <f>IFERROR(__xludf.DUMMYFUNCTION("""COMPUTED_VALUE"""),81.0)</f>
        <v>81</v>
      </c>
    </row>
    <row r="479">
      <c r="A479" s="30" t="s">
        <v>2013</v>
      </c>
      <c r="B479" s="30">
        <f>IFERROR(__xludf.DUMMYFUNCTION("""COMPUTED_VALUE"""),81.0)</f>
        <v>81</v>
      </c>
      <c r="C479" s="30"/>
      <c r="D479" s="30"/>
      <c r="E479" s="30"/>
      <c r="F479" s="30"/>
      <c r="G479" s="30"/>
      <c r="H479" s="30"/>
      <c r="I479" s="30"/>
      <c r="J479" s="30">
        <f>IFERROR(__xludf.DUMMYFUNCTION("""COMPUTED_VALUE"""),-11.059343513011441)</f>
        <v>-11.05934351</v>
      </c>
      <c r="K479" s="30"/>
      <c r="L479" s="30"/>
      <c r="M479" s="30"/>
      <c r="N479" s="30"/>
      <c r="O479" s="30">
        <f>IFERROR(__xludf.DUMMYFUNCTION("""COMPUTED_VALUE"""),-2.630874715592867)</f>
        <v>-2.630874716</v>
      </c>
      <c r="P479" s="30">
        <f>IFERROR(__xludf.DUMMYFUNCTION("""COMPUTED_VALUE"""),4.463999088063446)</f>
        <v>4.463999088</v>
      </c>
      <c r="Q479" s="30"/>
      <c r="R479" s="30"/>
      <c r="S479" s="30"/>
      <c r="T479" s="30"/>
      <c r="U479" s="30">
        <v>0.0</v>
      </c>
      <c r="V479" s="30"/>
      <c r="W479" s="30"/>
      <c r="X479" s="30"/>
      <c r="Y479" s="5">
        <f>IFERROR(__xludf.DUMMYFUNCTION("""COMPUTED_VALUE"""),80.0)</f>
        <v>80</v>
      </c>
      <c r="Z479" s="5">
        <f>IFERROR(__xludf.DUMMYFUNCTION("""COMPUTED_VALUE"""),82.0)</f>
        <v>82</v>
      </c>
    </row>
    <row r="480">
      <c r="A480" s="30" t="s">
        <v>2016</v>
      </c>
      <c r="B480" s="30">
        <f>IFERROR(__xludf.DUMMYFUNCTION("""COMPUTED_VALUE"""),79.0)</f>
        <v>79</v>
      </c>
      <c r="C480" s="30"/>
      <c r="D480" s="30"/>
      <c r="E480" s="30"/>
      <c r="F480" s="30"/>
      <c r="G480" s="30"/>
      <c r="H480" s="30"/>
      <c r="I480" s="30"/>
      <c r="J480" s="30">
        <f>IFERROR(__xludf.DUMMYFUNCTION("""COMPUTED_VALUE"""),-11.059343513011441)</f>
        <v>-11.05934351</v>
      </c>
      <c r="K480" s="30"/>
      <c r="L480" s="30"/>
      <c r="M480" s="30"/>
      <c r="N480" s="30"/>
      <c r="O480" s="30">
        <f>IFERROR(__xludf.DUMMYFUNCTION("""COMPUTED_VALUE"""),-2.630874715592867)</f>
        <v>-2.630874716</v>
      </c>
      <c r="P480" s="30">
        <f>IFERROR(__xludf.DUMMYFUNCTION("""COMPUTED_VALUE"""),4.463999088063446)</f>
        <v>4.463999088</v>
      </c>
      <c r="Q480" s="30"/>
      <c r="R480" s="30"/>
      <c r="S480" s="30"/>
      <c r="T480" s="30"/>
      <c r="U480" s="30">
        <v>0.0</v>
      </c>
      <c r="V480" s="30"/>
      <c r="W480" s="30"/>
      <c r="X480" s="30"/>
      <c r="Y480" s="5">
        <f>IFERROR(__xludf.DUMMYFUNCTION("""COMPUTED_VALUE"""),79.0)</f>
        <v>79</v>
      </c>
      <c r="Z480" s="5">
        <f>IFERROR(__xludf.DUMMYFUNCTION("""COMPUTED_VALUE"""),79.0)</f>
        <v>79</v>
      </c>
    </row>
    <row r="481">
      <c r="A481" s="30" t="s">
        <v>2017</v>
      </c>
      <c r="B481" s="30">
        <f>IFERROR(__xludf.DUMMYFUNCTION("""COMPUTED_VALUE"""),81.0)</f>
        <v>81</v>
      </c>
      <c r="C481" s="30"/>
      <c r="D481" s="30"/>
      <c r="E481" s="30"/>
      <c r="F481" s="30"/>
      <c r="G481" s="30"/>
      <c r="H481" s="30"/>
      <c r="I481" s="30"/>
      <c r="J481" s="30">
        <f>IFERROR(__xludf.DUMMYFUNCTION("""COMPUTED_VALUE"""),-11.059343513011441)</f>
        <v>-11.05934351</v>
      </c>
      <c r="K481" s="30"/>
      <c r="L481" s="30"/>
      <c r="M481" s="30"/>
      <c r="N481" s="30"/>
      <c r="O481" s="30">
        <f>IFERROR(__xludf.DUMMYFUNCTION("""COMPUTED_VALUE"""),-2.630874715592867)</f>
        <v>-2.630874716</v>
      </c>
      <c r="P481" s="30">
        <f>IFERROR(__xludf.DUMMYFUNCTION("""COMPUTED_VALUE"""),4.463999088063446)</f>
        <v>4.463999088</v>
      </c>
      <c r="Q481" s="30"/>
      <c r="R481" s="30"/>
      <c r="S481" s="30"/>
      <c r="T481" s="30"/>
      <c r="U481" s="30">
        <v>0.0</v>
      </c>
      <c r="V481" s="30"/>
      <c r="W481" s="30"/>
      <c r="X481" s="30"/>
      <c r="Y481" s="5">
        <f>IFERROR(__xludf.DUMMYFUNCTION("""COMPUTED_VALUE"""),81.0)</f>
        <v>81</v>
      </c>
      <c r="Z481" s="5">
        <f>IFERROR(__xludf.DUMMYFUNCTION("""COMPUTED_VALUE"""),81.0)</f>
        <v>81</v>
      </c>
    </row>
    <row r="482">
      <c r="A482" s="30" t="s">
        <v>2018</v>
      </c>
      <c r="B482" s="30">
        <f>IFERROR(__xludf.DUMMYFUNCTION("""COMPUTED_VALUE"""),82.0)</f>
        <v>82</v>
      </c>
      <c r="C482" s="30"/>
      <c r="D482" s="30"/>
      <c r="E482" s="30"/>
      <c r="F482" s="30"/>
      <c r="G482" s="30"/>
      <c r="H482" s="30"/>
      <c r="I482" s="30"/>
      <c r="J482" s="30">
        <f>IFERROR(__xludf.DUMMYFUNCTION("""COMPUTED_VALUE"""),-11.059343513011441)</f>
        <v>-11.05934351</v>
      </c>
      <c r="K482" s="30"/>
      <c r="L482" s="30"/>
      <c r="M482" s="30"/>
      <c r="N482" s="30"/>
      <c r="O482" s="30">
        <f>IFERROR(__xludf.DUMMYFUNCTION("""COMPUTED_VALUE"""),-2.630874715592867)</f>
        <v>-2.630874716</v>
      </c>
      <c r="P482" s="30">
        <f>IFERROR(__xludf.DUMMYFUNCTION("""COMPUTED_VALUE"""),4.463999088063446)</f>
        <v>4.463999088</v>
      </c>
      <c r="Q482" s="30"/>
      <c r="R482" s="30"/>
      <c r="S482" s="30"/>
      <c r="T482" s="30"/>
      <c r="U482" s="30">
        <v>0.0</v>
      </c>
      <c r="V482" s="30"/>
      <c r="W482" s="30"/>
      <c r="X482" s="30"/>
      <c r="Y482" s="5">
        <f>IFERROR(__xludf.DUMMYFUNCTION("""COMPUTED_VALUE"""),82.0)</f>
        <v>82</v>
      </c>
      <c r="Z482" s="5">
        <f>IFERROR(__xludf.DUMMYFUNCTION("""COMPUTED_VALUE"""),82.0)</f>
        <v>82</v>
      </c>
    </row>
    <row r="483">
      <c r="A483" s="30" t="s">
        <v>2019</v>
      </c>
      <c r="B483" s="30">
        <f>IFERROR(__xludf.DUMMYFUNCTION("""COMPUTED_VALUE"""),82.0)</f>
        <v>82</v>
      </c>
      <c r="C483" s="30"/>
      <c r="D483" s="30"/>
      <c r="E483" s="30"/>
      <c r="F483" s="30"/>
      <c r="G483" s="30"/>
      <c r="H483" s="30"/>
      <c r="I483" s="30"/>
      <c r="J483" s="30">
        <f>IFERROR(__xludf.DUMMYFUNCTION("""COMPUTED_VALUE"""),-11.059343513011441)</f>
        <v>-11.05934351</v>
      </c>
      <c r="K483" s="30"/>
      <c r="L483" s="30"/>
      <c r="M483" s="30"/>
      <c r="N483" s="30"/>
      <c r="O483" s="30">
        <f>IFERROR(__xludf.DUMMYFUNCTION("""COMPUTED_VALUE"""),-2.630874715592867)</f>
        <v>-2.630874716</v>
      </c>
      <c r="P483" s="30">
        <f>IFERROR(__xludf.DUMMYFUNCTION("""COMPUTED_VALUE"""),4.463999088063446)</f>
        <v>4.463999088</v>
      </c>
      <c r="Q483" s="30"/>
      <c r="R483" s="30"/>
      <c r="S483" s="30"/>
      <c r="T483" s="30"/>
      <c r="U483" s="30">
        <v>0.0</v>
      </c>
      <c r="V483" s="30"/>
      <c r="W483" s="30"/>
      <c r="X483" s="30"/>
      <c r="Y483" s="5">
        <f>IFERROR(__xludf.DUMMYFUNCTION("""COMPUTED_VALUE"""),82.0)</f>
        <v>82</v>
      </c>
      <c r="Z483" s="5">
        <f>IFERROR(__xludf.DUMMYFUNCTION("""COMPUTED_VALUE"""),82.0)</f>
        <v>82</v>
      </c>
    </row>
    <row r="484">
      <c r="A484" s="30" t="s">
        <v>2020</v>
      </c>
      <c r="B484" s="30">
        <f>IFERROR(__xludf.DUMMYFUNCTION("""COMPUTED_VALUE"""),82.0)</f>
        <v>82</v>
      </c>
      <c r="C484" s="30"/>
      <c r="D484" s="30"/>
      <c r="E484" s="30"/>
      <c r="F484" s="30"/>
      <c r="G484" s="30"/>
      <c r="H484" s="30"/>
      <c r="I484" s="30"/>
      <c r="J484" s="30">
        <f>IFERROR(__xludf.DUMMYFUNCTION("""COMPUTED_VALUE"""),-11.059343513011441)</f>
        <v>-11.05934351</v>
      </c>
      <c r="K484" s="30"/>
      <c r="L484" s="30"/>
      <c r="M484" s="30"/>
      <c r="N484" s="30"/>
      <c r="O484" s="30">
        <f>IFERROR(__xludf.DUMMYFUNCTION("""COMPUTED_VALUE"""),-2.630874715592867)</f>
        <v>-2.630874716</v>
      </c>
      <c r="P484" s="30">
        <f>IFERROR(__xludf.DUMMYFUNCTION("""COMPUTED_VALUE"""),4.463999088063446)</f>
        <v>4.463999088</v>
      </c>
      <c r="Q484" s="30"/>
      <c r="R484" s="30"/>
      <c r="S484" s="30"/>
      <c r="T484" s="30"/>
      <c r="U484" s="30">
        <v>0.0</v>
      </c>
      <c r="V484" s="30"/>
      <c r="W484" s="30"/>
      <c r="X484" s="30"/>
      <c r="Y484" s="5">
        <f>IFERROR(__xludf.DUMMYFUNCTION("""COMPUTED_VALUE"""),82.0)</f>
        <v>82</v>
      </c>
      <c r="Z484" s="5">
        <f>IFERROR(__xludf.DUMMYFUNCTION("""COMPUTED_VALUE"""),82.0)</f>
        <v>82</v>
      </c>
    </row>
    <row r="485">
      <c r="A485" s="30" t="s">
        <v>717</v>
      </c>
      <c r="B485" s="30">
        <f>IFERROR(__xludf.DUMMYFUNCTION("""COMPUTED_VALUE"""),80.0)</f>
        <v>80</v>
      </c>
      <c r="C485" s="30"/>
      <c r="D485" s="30"/>
      <c r="E485" s="30"/>
      <c r="F485" s="30"/>
      <c r="G485" s="30"/>
      <c r="H485" s="30"/>
      <c r="I485" s="30"/>
      <c r="J485" s="30">
        <f>IFERROR(__xludf.DUMMYFUNCTION("""COMPUTED_VALUE"""),-11.059343513011441)</f>
        <v>-11.05934351</v>
      </c>
      <c r="K485" s="30"/>
      <c r="L485" s="30"/>
      <c r="M485" s="30"/>
      <c r="N485" s="30"/>
      <c r="O485" s="30">
        <f>IFERROR(__xludf.DUMMYFUNCTION("""COMPUTED_VALUE"""),-2.630874715592867)</f>
        <v>-2.630874716</v>
      </c>
      <c r="P485" s="30">
        <f>IFERROR(__xludf.DUMMYFUNCTION("""COMPUTED_VALUE"""),4.463999088063446)</f>
        <v>4.463999088</v>
      </c>
      <c r="Q485" s="30"/>
      <c r="R485" s="30"/>
      <c r="S485" s="30"/>
      <c r="T485" s="30"/>
      <c r="U485" s="30">
        <v>0.0</v>
      </c>
      <c r="V485" s="30"/>
      <c r="W485" s="30"/>
      <c r="X485" s="30"/>
      <c r="Y485" s="5">
        <f>IFERROR(__xludf.DUMMYFUNCTION("""COMPUTED_VALUE"""),80.0)</f>
        <v>80</v>
      </c>
      <c r="Z485" s="5">
        <f>IFERROR(__xludf.DUMMYFUNCTION("""COMPUTED_VALUE"""),80.0)</f>
        <v>80</v>
      </c>
    </row>
    <row r="486">
      <c r="A486" s="30" t="s">
        <v>2024</v>
      </c>
      <c r="B486" s="30">
        <f>IFERROR(__xludf.DUMMYFUNCTION("""COMPUTED_VALUE"""),80.0)</f>
        <v>80</v>
      </c>
      <c r="C486" s="30"/>
      <c r="D486" s="30"/>
      <c r="E486" s="30"/>
      <c r="F486" s="30"/>
      <c r="G486" s="30"/>
      <c r="H486" s="30"/>
      <c r="I486" s="30"/>
      <c r="J486" s="30">
        <f>IFERROR(__xludf.DUMMYFUNCTION("""COMPUTED_VALUE"""),-11.059343513011441)</f>
        <v>-11.05934351</v>
      </c>
      <c r="K486" s="30"/>
      <c r="L486" s="30"/>
      <c r="M486" s="30"/>
      <c r="N486" s="30"/>
      <c r="O486" s="30">
        <f>IFERROR(__xludf.DUMMYFUNCTION("""COMPUTED_VALUE"""),-2.630874715592867)</f>
        <v>-2.630874716</v>
      </c>
      <c r="P486" s="30">
        <f>IFERROR(__xludf.DUMMYFUNCTION("""COMPUTED_VALUE"""),4.463999088063446)</f>
        <v>4.463999088</v>
      </c>
      <c r="Q486" s="30"/>
      <c r="R486" s="30"/>
      <c r="S486" s="30"/>
      <c r="T486" s="30"/>
      <c r="U486" s="30">
        <v>0.0</v>
      </c>
      <c r="V486" s="30"/>
      <c r="W486" s="30"/>
      <c r="X486" s="30"/>
      <c r="Y486" s="5">
        <f>IFERROR(__xludf.DUMMYFUNCTION("""COMPUTED_VALUE"""),80.0)</f>
        <v>80</v>
      </c>
      <c r="Z486" s="5">
        <f>IFERROR(__xludf.DUMMYFUNCTION("""COMPUTED_VALUE"""),80.0)</f>
        <v>80</v>
      </c>
    </row>
    <row r="487">
      <c r="A487" s="30" t="s">
        <v>1161</v>
      </c>
      <c r="B487" s="30">
        <f>IFERROR(__xludf.DUMMYFUNCTION("""COMPUTED_VALUE"""),79.0)</f>
        <v>79</v>
      </c>
      <c r="C487" s="30"/>
      <c r="D487" s="30"/>
      <c r="E487" s="30"/>
      <c r="F487" s="30"/>
      <c r="G487" s="30"/>
      <c r="H487" s="30"/>
      <c r="I487" s="30"/>
      <c r="J487" s="30">
        <f>IFERROR(__xludf.DUMMYFUNCTION("""COMPUTED_VALUE"""),-11.059343513011441)</f>
        <v>-11.05934351</v>
      </c>
      <c r="K487" s="30"/>
      <c r="L487" s="30"/>
      <c r="M487" s="30"/>
      <c r="N487" s="30"/>
      <c r="O487" s="30">
        <f>IFERROR(__xludf.DUMMYFUNCTION("""COMPUTED_VALUE"""),-2.630874715592867)</f>
        <v>-2.630874716</v>
      </c>
      <c r="P487" s="30">
        <f>IFERROR(__xludf.DUMMYFUNCTION("""COMPUTED_VALUE"""),4.463999088063446)</f>
        <v>4.463999088</v>
      </c>
      <c r="Q487" s="30"/>
      <c r="R487" s="30"/>
      <c r="S487" s="30"/>
      <c r="T487" s="30"/>
      <c r="U487" s="30">
        <v>0.0</v>
      </c>
      <c r="V487" s="30"/>
      <c r="W487" s="30"/>
      <c r="X487" s="30"/>
      <c r="Y487" s="5">
        <f>IFERROR(__xludf.DUMMYFUNCTION("""COMPUTED_VALUE"""),79.0)</f>
        <v>79</v>
      </c>
      <c r="Z487" s="5">
        <f>IFERROR(__xludf.DUMMYFUNCTION("""COMPUTED_VALUE"""),79.0)</f>
        <v>79</v>
      </c>
    </row>
    <row r="488">
      <c r="A488" s="30" t="s">
        <v>2025</v>
      </c>
      <c r="B488" s="30">
        <f>IFERROR(__xludf.DUMMYFUNCTION("""COMPUTED_VALUE"""),80.0)</f>
        <v>80</v>
      </c>
      <c r="C488" s="30"/>
      <c r="D488" s="30"/>
      <c r="E488" s="30"/>
      <c r="F488" s="30"/>
      <c r="G488" s="30"/>
      <c r="H488" s="30"/>
      <c r="I488" s="30"/>
      <c r="J488" s="30">
        <f>IFERROR(__xludf.DUMMYFUNCTION("""COMPUTED_VALUE"""),-11.059343513011441)</f>
        <v>-11.05934351</v>
      </c>
      <c r="K488" s="30"/>
      <c r="L488" s="30"/>
      <c r="M488" s="30"/>
      <c r="N488" s="30"/>
      <c r="O488" s="30">
        <f>IFERROR(__xludf.DUMMYFUNCTION("""COMPUTED_VALUE"""),-2.630874715592867)</f>
        <v>-2.630874716</v>
      </c>
      <c r="P488" s="30">
        <f>IFERROR(__xludf.DUMMYFUNCTION("""COMPUTED_VALUE"""),4.463999088063446)</f>
        <v>4.463999088</v>
      </c>
      <c r="Q488" s="30"/>
      <c r="R488" s="30"/>
      <c r="S488" s="30"/>
      <c r="T488" s="30"/>
      <c r="U488" s="30">
        <v>0.0</v>
      </c>
      <c r="V488" s="30"/>
      <c r="W488" s="30"/>
      <c r="X488" s="30"/>
      <c r="Y488" s="5">
        <f>IFERROR(__xludf.DUMMYFUNCTION("""COMPUTED_VALUE"""),80.0)</f>
        <v>80</v>
      </c>
      <c r="Z488" s="5">
        <f>IFERROR(__xludf.DUMMYFUNCTION("""COMPUTED_VALUE"""),80.0)</f>
        <v>80</v>
      </c>
    </row>
    <row r="489">
      <c r="A489" s="30" t="s">
        <v>2026</v>
      </c>
      <c r="B489" s="30">
        <f>IFERROR(__xludf.DUMMYFUNCTION("""COMPUTED_VALUE"""),80.0)</f>
        <v>80</v>
      </c>
      <c r="C489" s="30"/>
      <c r="D489" s="30"/>
      <c r="E489" s="30"/>
      <c r="F489" s="30"/>
      <c r="G489" s="30"/>
      <c r="H489" s="30"/>
      <c r="I489" s="30"/>
      <c r="J489" s="30">
        <f>IFERROR(__xludf.DUMMYFUNCTION("""COMPUTED_VALUE"""),-11.059343513011441)</f>
        <v>-11.05934351</v>
      </c>
      <c r="K489" s="30"/>
      <c r="L489" s="30"/>
      <c r="M489" s="30"/>
      <c r="N489" s="30"/>
      <c r="O489" s="30">
        <f>IFERROR(__xludf.DUMMYFUNCTION("""COMPUTED_VALUE"""),-2.630874715592867)</f>
        <v>-2.630874716</v>
      </c>
      <c r="P489" s="30">
        <f>IFERROR(__xludf.DUMMYFUNCTION("""COMPUTED_VALUE"""),4.463999088063446)</f>
        <v>4.463999088</v>
      </c>
      <c r="Q489" s="30"/>
      <c r="R489" s="30"/>
      <c r="S489" s="30"/>
      <c r="T489" s="30"/>
      <c r="U489" s="30">
        <v>0.0</v>
      </c>
      <c r="V489" s="30"/>
      <c r="W489" s="30"/>
      <c r="X489" s="30"/>
      <c r="Y489" s="5">
        <f>IFERROR(__xludf.DUMMYFUNCTION("""COMPUTED_VALUE"""),80.0)</f>
        <v>80</v>
      </c>
      <c r="Z489" s="5">
        <f>IFERROR(__xludf.DUMMYFUNCTION("""COMPUTED_VALUE"""),80.0)</f>
        <v>80</v>
      </c>
    </row>
    <row r="490">
      <c r="A490" s="30" t="s">
        <v>2027</v>
      </c>
      <c r="B490" s="30">
        <f>IFERROR(__xludf.DUMMYFUNCTION("""COMPUTED_VALUE"""),80.0)</f>
        <v>80</v>
      </c>
      <c r="C490" s="30"/>
      <c r="D490" s="30"/>
      <c r="E490" s="30"/>
      <c r="F490" s="30"/>
      <c r="G490" s="30"/>
      <c r="H490" s="30"/>
      <c r="I490" s="30"/>
      <c r="J490" s="30">
        <f>IFERROR(__xludf.DUMMYFUNCTION("""COMPUTED_VALUE"""),-11.059343513011441)</f>
        <v>-11.05934351</v>
      </c>
      <c r="K490" s="30"/>
      <c r="L490" s="30"/>
      <c r="M490" s="30"/>
      <c r="N490" s="30"/>
      <c r="O490" s="30">
        <f>IFERROR(__xludf.DUMMYFUNCTION("""COMPUTED_VALUE"""),-2.630874715592867)</f>
        <v>-2.630874716</v>
      </c>
      <c r="P490" s="30">
        <f>IFERROR(__xludf.DUMMYFUNCTION("""COMPUTED_VALUE"""),4.463999088063446)</f>
        <v>4.463999088</v>
      </c>
      <c r="Q490" s="30"/>
      <c r="R490" s="30"/>
      <c r="S490" s="30"/>
      <c r="T490" s="30"/>
      <c r="U490" s="30">
        <v>0.0</v>
      </c>
      <c r="V490" s="30"/>
      <c r="W490" s="30"/>
      <c r="X490" s="30"/>
      <c r="Y490" s="5">
        <f>IFERROR(__xludf.DUMMYFUNCTION("""COMPUTED_VALUE"""),80.0)</f>
        <v>80</v>
      </c>
      <c r="Z490" s="5">
        <f>IFERROR(__xludf.DUMMYFUNCTION("""COMPUTED_VALUE"""),80.0)</f>
        <v>80</v>
      </c>
    </row>
    <row r="491">
      <c r="A491" s="30" t="s">
        <v>2028</v>
      </c>
      <c r="B491" s="30">
        <f>IFERROR(__xludf.DUMMYFUNCTION("""COMPUTED_VALUE"""),80.0)</f>
        <v>80</v>
      </c>
      <c r="C491" s="30"/>
      <c r="D491" s="30"/>
      <c r="E491" s="30"/>
      <c r="F491" s="30"/>
      <c r="G491" s="30"/>
      <c r="H491" s="30"/>
      <c r="I491" s="30"/>
      <c r="J491" s="30">
        <f>IFERROR(__xludf.DUMMYFUNCTION("""COMPUTED_VALUE"""),-11.059343513011441)</f>
        <v>-11.05934351</v>
      </c>
      <c r="K491" s="30"/>
      <c r="L491" s="30"/>
      <c r="M491" s="30"/>
      <c r="N491" s="30"/>
      <c r="O491" s="30">
        <f>IFERROR(__xludf.DUMMYFUNCTION("""COMPUTED_VALUE"""),-2.630874715592867)</f>
        <v>-2.630874716</v>
      </c>
      <c r="P491" s="30">
        <f>IFERROR(__xludf.DUMMYFUNCTION("""COMPUTED_VALUE"""),4.463999088063446)</f>
        <v>4.463999088</v>
      </c>
      <c r="Q491" s="30"/>
      <c r="R491" s="30"/>
      <c r="S491" s="30"/>
      <c r="T491" s="30"/>
      <c r="U491" s="30">
        <v>0.0</v>
      </c>
      <c r="V491" s="30"/>
      <c r="W491" s="30"/>
      <c r="X491" s="30"/>
      <c r="Y491" s="5">
        <f>IFERROR(__xludf.DUMMYFUNCTION("""COMPUTED_VALUE"""),80.0)</f>
        <v>80</v>
      </c>
      <c r="Z491" s="5">
        <f>IFERROR(__xludf.DUMMYFUNCTION("""COMPUTED_VALUE"""),80.0)</f>
        <v>80</v>
      </c>
    </row>
    <row r="492">
      <c r="A492" s="30" t="s">
        <v>2029</v>
      </c>
      <c r="B492" s="30">
        <f>IFERROR(__xludf.DUMMYFUNCTION("""COMPUTED_VALUE"""),82.0)</f>
        <v>82</v>
      </c>
      <c r="C492" s="30"/>
      <c r="D492" s="30"/>
      <c r="E492" s="30"/>
      <c r="F492" s="30"/>
      <c r="G492" s="30"/>
      <c r="H492" s="30"/>
      <c r="I492" s="30"/>
      <c r="J492" s="30">
        <f>IFERROR(__xludf.DUMMYFUNCTION("""COMPUTED_VALUE"""),-11.059343513011441)</f>
        <v>-11.05934351</v>
      </c>
      <c r="K492" s="30"/>
      <c r="L492" s="30"/>
      <c r="M492" s="30"/>
      <c r="N492" s="30"/>
      <c r="O492" s="30">
        <f>IFERROR(__xludf.DUMMYFUNCTION("""COMPUTED_VALUE"""),-2.630874715592867)</f>
        <v>-2.630874716</v>
      </c>
      <c r="P492" s="30">
        <f>IFERROR(__xludf.DUMMYFUNCTION("""COMPUTED_VALUE"""),4.463999088063446)</f>
        <v>4.463999088</v>
      </c>
      <c r="Q492" s="30"/>
      <c r="R492" s="30"/>
      <c r="S492" s="30"/>
      <c r="T492" s="30"/>
      <c r="U492" s="30">
        <v>0.0</v>
      </c>
      <c r="V492" s="30"/>
      <c r="W492" s="30"/>
      <c r="X492" s="30"/>
      <c r="Y492" s="5">
        <f>IFERROR(__xludf.DUMMYFUNCTION("""COMPUTED_VALUE"""),82.0)</f>
        <v>82</v>
      </c>
      <c r="Z492" s="5">
        <f>IFERROR(__xludf.DUMMYFUNCTION("""COMPUTED_VALUE"""),82.0)</f>
        <v>82</v>
      </c>
    </row>
    <row r="493">
      <c r="A493" s="30" t="s">
        <v>2030</v>
      </c>
      <c r="B493" s="30">
        <f>IFERROR(__xludf.DUMMYFUNCTION("""COMPUTED_VALUE"""),81.0)</f>
        <v>81</v>
      </c>
      <c r="C493" s="30"/>
      <c r="D493" s="30"/>
      <c r="E493" s="30"/>
      <c r="F493" s="30"/>
      <c r="G493" s="30"/>
      <c r="H493" s="30"/>
      <c r="I493" s="30"/>
      <c r="J493" s="30">
        <f>IFERROR(__xludf.DUMMYFUNCTION("""COMPUTED_VALUE"""),-11.059343513011441)</f>
        <v>-11.05934351</v>
      </c>
      <c r="K493" s="30"/>
      <c r="L493" s="30"/>
      <c r="M493" s="30"/>
      <c r="N493" s="30"/>
      <c r="O493" s="30">
        <f>IFERROR(__xludf.DUMMYFUNCTION("""COMPUTED_VALUE"""),-2.630874715592867)</f>
        <v>-2.630874716</v>
      </c>
      <c r="P493" s="30">
        <f>IFERROR(__xludf.DUMMYFUNCTION("""COMPUTED_VALUE"""),4.463999088063446)</f>
        <v>4.463999088</v>
      </c>
      <c r="Q493" s="30"/>
      <c r="R493" s="30"/>
      <c r="S493" s="30"/>
      <c r="T493" s="30"/>
      <c r="U493" s="30">
        <v>0.0</v>
      </c>
      <c r="V493" s="30"/>
      <c r="W493" s="30"/>
      <c r="X493" s="30"/>
      <c r="Y493" s="5">
        <f>IFERROR(__xludf.DUMMYFUNCTION("""COMPUTED_VALUE"""),81.0)</f>
        <v>81</v>
      </c>
      <c r="Z493" s="5">
        <f>IFERROR(__xludf.DUMMYFUNCTION("""COMPUTED_VALUE"""),81.0)</f>
        <v>81</v>
      </c>
    </row>
    <row r="494">
      <c r="A494" s="30" t="s">
        <v>2031</v>
      </c>
      <c r="B494" s="30">
        <f>IFERROR(__xludf.DUMMYFUNCTION("""COMPUTED_VALUE"""),80.0)</f>
        <v>80</v>
      </c>
      <c r="C494" s="30"/>
      <c r="D494" s="30"/>
      <c r="E494" s="30"/>
      <c r="F494" s="30"/>
      <c r="G494" s="30"/>
      <c r="H494" s="30"/>
      <c r="I494" s="30"/>
      <c r="J494" s="30">
        <f>IFERROR(__xludf.DUMMYFUNCTION("""COMPUTED_VALUE"""),-11.059343513011441)</f>
        <v>-11.05934351</v>
      </c>
      <c r="K494" s="30"/>
      <c r="L494" s="30"/>
      <c r="M494" s="30"/>
      <c r="N494" s="30"/>
      <c r="O494" s="30">
        <f>IFERROR(__xludf.DUMMYFUNCTION("""COMPUTED_VALUE"""),-2.630874715592867)</f>
        <v>-2.630874716</v>
      </c>
      <c r="P494" s="30">
        <f>IFERROR(__xludf.DUMMYFUNCTION("""COMPUTED_VALUE"""),4.463999088063446)</f>
        <v>4.463999088</v>
      </c>
      <c r="Q494" s="30"/>
      <c r="R494" s="30"/>
      <c r="S494" s="30"/>
      <c r="T494" s="30"/>
      <c r="U494" s="30">
        <v>0.0</v>
      </c>
      <c r="V494" s="30"/>
      <c r="W494" s="30"/>
      <c r="X494" s="30"/>
      <c r="Y494" s="5">
        <f>IFERROR(__xludf.DUMMYFUNCTION("""COMPUTED_VALUE"""),80.0)</f>
        <v>80</v>
      </c>
      <c r="Z494" s="5">
        <f>IFERROR(__xludf.DUMMYFUNCTION("""COMPUTED_VALUE"""),80.0)</f>
        <v>80</v>
      </c>
    </row>
    <row r="495">
      <c r="A495" s="30" t="s">
        <v>286</v>
      </c>
      <c r="B495" s="30">
        <f>IFERROR(__xludf.DUMMYFUNCTION("""COMPUTED_VALUE"""),80.0)</f>
        <v>80</v>
      </c>
      <c r="C495" s="30"/>
      <c r="D495" s="30"/>
      <c r="E495" s="30"/>
      <c r="F495" s="30"/>
      <c r="G495" s="30"/>
      <c r="H495" s="30"/>
      <c r="I495" s="30"/>
      <c r="J495" s="30">
        <f>IFERROR(__xludf.DUMMYFUNCTION("""COMPUTED_VALUE"""),-11.059343513011441)</f>
        <v>-11.05934351</v>
      </c>
      <c r="K495" s="30"/>
      <c r="L495" s="30"/>
      <c r="M495" s="30"/>
      <c r="N495" s="30"/>
      <c r="O495" s="30">
        <f>IFERROR(__xludf.DUMMYFUNCTION("""COMPUTED_VALUE"""),-2.630874715592867)</f>
        <v>-2.630874716</v>
      </c>
      <c r="P495" s="30">
        <f>IFERROR(__xludf.DUMMYFUNCTION("""COMPUTED_VALUE"""),4.463999088063446)</f>
        <v>4.463999088</v>
      </c>
      <c r="Q495" s="30"/>
      <c r="R495" s="30"/>
      <c r="S495" s="30"/>
      <c r="T495" s="30"/>
      <c r="U495" s="30">
        <v>0.0</v>
      </c>
      <c r="V495" s="30"/>
      <c r="W495" s="30"/>
      <c r="X495" s="30"/>
      <c r="Y495" s="5">
        <f>IFERROR(__xludf.DUMMYFUNCTION("""COMPUTED_VALUE"""),80.0)</f>
        <v>80</v>
      </c>
      <c r="Z495" s="5">
        <f>IFERROR(__xludf.DUMMYFUNCTION("""COMPUTED_VALUE"""),80.0)</f>
        <v>80</v>
      </c>
    </row>
    <row r="496">
      <c r="A496" s="30" t="s">
        <v>2032</v>
      </c>
      <c r="B496" s="30">
        <f>IFERROR(__xludf.DUMMYFUNCTION("""COMPUTED_VALUE"""),82.0)</f>
        <v>82</v>
      </c>
      <c r="C496" s="30"/>
      <c r="D496" s="30"/>
      <c r="E496" s="30"/>
      <c r="F496" s="30"/>
      <c r="G496" s="30"/>
      <c r="H496" s="30"/>
      <c r="I496" s="30"/>
      <c r="J496" s="30">
        <f>IFERROR(__xludf.DUMMYFUNCTION("""COMPUTED_VALUE"""),-11.059343513011441)</f>
        <v>-11.05934351</v>
      </c>
      <c r="K496" s="30"/>
      <c r="L496" s="30"/>
      <c r="M496" s="30"/>
      <c r="N496" s="30"/>
      <c r="O496" s="30">
        <f>IFERROR(__xludf.DUMMYFUNCTION("""COMPUTED_VALUE"""),-2.630874715592867)</f>
        <v>-2.630874716</v>
      </c>
      <c r="P496" s="30">
        <f>IFERROR(__xludf.DUMMYFUNCTION("""COMPUTED_VALUE"""),4.463999088063446)</f>
        <v>4.463999088</v>
      </c>
      <c r="Q496" s="30"/>
      <c r="R496" s="30"/>
      <c r="S496" s="30"/>
      <c r="T496" s="30"/>
      <c r="U496" s="30">
        <v>0.0</v>
      </c>
      <c r="V496" s="30"/>
      <c r="W496" s="30"/>
      <c r="X496" s="30"/>
      <c r="Y496" s="5">
        <f>IFERROR(__xludf.DUMMYFUNCTION("""COMPUTED_VALUE"""),82.0)</f>
        <v>82</v>
      </c>
      <c r="Z496" s="5">
        <f>IFERROR(__xludf.DUMMYFUNCTION("""COMPUTED_VALUE"""),82.0)</f>
        <v>82</v>
      </c>
    </row>
    <row r="497">
      <c r="A497" s="30" t="s">
        <v>2033</v>
      </c>
      <c r="B497" s="30">
        <f>IFERROR(__xludf.DUMMYFUNCTION("""COMPUTED_VALUE"""),81.0)</f>
        <v>81</v>
      </c>
      <c r="C497" s="30"/>
      <c r="D497" s="30"/>
      <c r="E497" s="30"/>
      <c r="F497" s="30"/>
      <c r="G497" s="30"/>
      <c r="H497" s="30"/>
      <c r="I497" s="30"/>
      <c r="J497" s="30">
        <f>IFERROR(__xludf.DUMMYFUNCTION("""COMPUTED_VALUE"""),-11.059343513011441)</f>
        <v>-11.05934351</v>
      </c>
      <c r="K497" s="30"/>
      <c r="L497" s="30"/>
      <c r="M497" s="30"/>
      <c r="N497" s="30"/>
      <c r="O497" s="30">
        <f>IFERROR(__xludf.DUMMYFUNCTION("""COMPUTED_VALUE"""),-2.630874715592867)</f>
        <v>-2.630874716</v>
      </c>
      <c r="P497" s="30">
        <f>IFERROR(__xludf.DUMMYFUNCTION("""COMPUTED_VALUE"""),4.463999088063446)</f>
        <v>4.463999088</v>
      </c>
      <c r="Q497" s="30"/>
      <c r="R497" s="30"/>
      <c r="S497" s="30"/>
      <c r="T497" s="30"/>
      <c r="U497" s="30">
        <v>0.0</v>
      </c>
      <c r="V497" s="30"/>
      <c r="W497" s="30"/>
      <c r="X497" s="30"/>
      <c r="Y497" s="5">
        <f>IFERROR(__xludf.DUMMYFUNCTION("""COMPUTED_VALUE"""),80.0)</f>
        <v>80</v>
      </c>
      <c r="Z497" s="5">
        <f>IFERROR(__xludf.DUMMYFUNCTION("""COMPUTED_VALUE"""),82.0)</f>
        <v>82</v>
      </c>
    </row>
    <row r="498">
      <c r="A498" s="30" t="s">
        <v>2036</v>
      </c>
      <c r="B498" s="30">
        <f>IFERROR(__xludf.DUMMYFUNCTION("""COMPUTED_VALUE"""),82.0)</f>
        <v>82</v>
      </c>
      <c r="C498" s="30"/>
      <c r="D498" s="30"/>
      <c r="E498" s="30"/>
      <c r="F498" s="30"/>
      <c r="G498" s="30"/>
      <c r="H498" s="30"/>
      <c r="I498" s="30"/>
      <c r="J498" s="30">
        <f>IFERROR(__xludf.DUMMYFUNCTION("""COMPUTED_VALUE"""),-11.059343513011441)</f>
        <v>-11.05934351</v>
      </c>
      <c r="K498" s="30"/>
      <c r="L498" s="30"/>
      <c r="M498" s="30"/>
      <c r="N498" s="30"/>
      <c r="O498" s="30">
        <f>IFERROR(__xludf.DUMMYFUNCTION("""COMPUTED_VALUE"""),-2.630874715592867)</f>
        <v>-2.630874716</v>
      </c>
      <c r="P498" s="30">
        <f>IFERROR(__xludf.DUMMYFUNCTION("""COMPUTED_VALUE"""),4.463999088063446)</f>
        <v>4.463999088</v>
      </c>
      <c r="Q498" s="30"/>
      <c r="R498" s="30"/>
      <c r="S498" s="30"/>
      <c r="T498" s="30"/>
      <c r="U498" s="30">
        <v>0.0</v>
      </c>
      <c r="V498" s="30"/>
      <c r="W498" s="30"/>
      <c r="X498" s="30"/>
      <c r="Y498" s="5">
        <f>IFERROR(__xludf.DUMMYFUNCTION("""COMPUTED_VALUE"""),82.0)</f>
        <v>82</v>
      </c>
      <c r="Z498" s="5">
        <f>IFERROR(__xludf.DUMMYFUNCTION("""COMPUTED_VALUE"""),82.0)</f>
        <v>82</v>
      </c>
    </row>
    <row r="499">
      <c r="A499" s="30" t="s">
        <v>469</v>
      </c>
      <c r="B499" s="30">
        <f>IFERROR(__xludf.DUMMYFUNCTION("""COMPUTED_VALUE"""),77.0)</f>
        <v>77</v>
      </c>
      <c r="C499" s="30"/>
      <c r="D499" s="30"/>
      <c r="E499" s="30"/>
      <c r="F499" s="30"/>
      <c r="G499" s="30"/>
      <c r="H499" s="30"/>
      <c r="I499" s="30"/>
      <c r="J499" s="30">
        <f>IFERROR(__xludf.DUMMYFUNCTION("""COMPUTED_VALUE"""),-11.059343513011441)</f>
        <v>-11.05934351</v>
      </c>
      <c r="K499" s="30"/>
      <c r="L499" s="30"/>
      <c r="M499" s="30"/>
      <c r="N499" s="30"/>
      <c r="O499" s="30">
        <f>IFERROR(__xludf.DUMMYFUNCTION("""COMPUTED_VALUE"""),-2.630874715592867)</f>
        <v>-2.630874716</v>
      </c>
      <c r="P499" s="30">
        <f>IFERROR(__xludf.DUMMYFUNCTION("""COMPUTED_VALUE"""),4.463999088063446)</f>
        <v>4.463999088</v>
      </c>
      <c r="Q499" s="30"/>
      <c r="R499" s="30"/>
      <c r="S499" s="30"/>
      <c r="T499" s="30"/>
      <c r="U499" s="30">
        <v>0.0</v>
      </c>
      <c r="V499" s="30"/>
      <c r="W499" s="30"/>
      <c r="X499" s="30"/>
      <c r="Y499" s="5">
        <f>IFERROR(__xludf.DUMMYFUNCTION("""COMPUTED_VALUE"""),77.0)</f>
        <v>77</v>
      </c>
      <c r="Z499" s="5">
        <f>IFERROR(__xludf.DUMMYFUNCTION("""COMPUTED_VALUE"""),77.0)</f>
        <v>77</v>
      </c>
    </row>
    <row r="500">
      <c r="A500" s="30" t="s">
        <v>2037</v>
      </c>
      <c r="B500" s="30">
        <f>IFERROR(__xludf.DUMMYFUNCTION("""COMPUTED_VALUE"""),81.0)</f>
        <v>81</v>
      </c>
      <c r="C500" s="30"/>
      <c r="D500" s="30"/>
      <c r="E500" s="30"/>
      <c r="F500" s="30"/>
      <c r="G500" s="30"/>
      <c r="H500" s="30"/>
      <c r="I500" s="30"/>
      <c r="J500" s="30">
        <f>IFERROR(__xludf.DUMMYFUNCTION("""COMPUTED_VALUE"""),-11.059343513011441)</f>
        <v>-11.05934351</v>
      </c>
      <c r="K500" s="30"/>
      <c r="L500" s="30"/>
      <c r="M500" s="30"/>
      <c r="N500" s="30"/>
      <c r="O500" s="30">
        <f>IFERROR(__xludf.DUMMYFUNCTION("""COMPUTED_VALUE"""),-2.630874715592867)</f>
        <v>-2.630874716</v>
      </c>
      <c r="P500" s="30">
        <f>IFERROR(__xludf.DUMMYFUNCTION("""COMPUTED_VALUE"""),4.463999088063446)</f>
        <v>4.463999088</v>
      </c>
      <c r="Q500" s="30"/>
      <c r="R500" s="30"/>
      <c r="S500" s="30"/>
      <c r="T500" s="30"/>
      <c r="U500" s="30">
        <v>0.0</v>
      </c>
      <c r="V500" s="30"/>
      <c r="W500" s="30"/>
      <c r="X500" s="30"/>
      <c r="Y500" s="5">
        <f>IFERROR(__xludf.DUMMYFUNCTION("""COMPUTED_VALUE"""),81.0)</f>
        <v>81</v>
      </c>
      <c r="Z500" s="5">
        <f>IFERROR(__xludf.DUMMYFUNCTION("""COMPUTED_VALUE"""),81.0)</f>
        <v>81</v>
      </c>
    </row>
    <row r="501">
      <c r="A501" s="30" t="s">
        <v>2040</v>
      </c>
      <c r="B501" s="30">
        <f>IFERROR(__xludf.DUMMYFUNCTION("""COMPUTED_VALUE"""),79.0)</f>
        <v>79</v>
      </c>
      <c r="C501" s="30"/>
      <c r="D501" s="30"/>
      <c r="E501" s="30"/>
      <c r="F501" s="30"/>
      <c r="G501" s="30"/>
      <c r="H501" s="30"/>
      <c r="I501" s="30"/>
      <c r="J501" s="30">
        <f>IFERROR(__xludf.DUMMYFUNCTION("""COMPUTED_VALUE"""),-11.059343513011441)</f>
        <v>-11.05934351</v>
      </c>
      <c r="K501" s="30"/>
      <c r="L501" s="30"/>
      <c r="M501" s="30"/>
      <c r="N501" s="30"/>
      <c r="O501" s="30">
        <f>IFERROR(__xludf.DUMMYFUNCTION("""COMPUTED_VALUE"""),-2.630874715592867)</f>
        <v>-2.630874716</v>
      </c>
      <c r="P501" s="30">
        <f>IFERROR(__xludf.DUMMYFUNCTION("""COMPUTED_VALUE"""),4.463999088063446)</f>
        <v>4.463999088</v>
      </c>
      <c r="Q501" s="30"/>
      <c r="R501" s="30"/>
      <c r="S501" s="30"/>
      <c r="T501" s="30"/>
      <c r="U501" s="30">
        <v>0.0</v>
      </c>
      <c r="V501" s="30"/>
      <c r="W501" s="30"/>
      <c r="X501" s="30"/>
      <c r="Y501" s="5">
        <f>IFERROR(__xludf.DUMMYFUNCTION("""COMPUTED_VALUE"""),79.0)</f>
        <v>79</v>
      </c>
      <c r="Z501" s="5">
        <f>IFERROR(__xludf.DUMMYFUNCTION("""COMPUTED_VALUE"""),79.0)</f>
        <v>79</v>
      </c>
    </row>
    <row r="502">
      <c r="A502" s="30" t="s">
        <v>2041</v>
      </c>
      <c r="B502" s="30">
        <f>IFERROR(__xludf.DUMMYFUNCTION("""COMPUTED_VALUE"""),81.0)</f>
        <v>81</v>
      </c>
      <c r="C502" s="30"/>
      <c r="D502" s="30"/>
      <c r="E502" s="30"/>
      <c r="F502" s="30"/>
      <c r="G502" s="30"/>
      <c r="H502" s="30"/>
      <c r="I502" s="30"/>
      <c r="J502" s="30">
        <f>IFERROR(__xludf.DUMMYFUNCTION("""COMPUTED_VALUE"""),-11.059343513011441)</f>
        <v>-11.05934351</v>
      </c>
      <c r="K502" s="30"/>
      <c r="L502" s="30"/>
      <c r="M502" s="30"/>
      <c r="N502" s="30"/>
      <c r="O502" s="30">
        <f>IFERROR(__xludf.DUMMYFUNCTION("""COMPUTED_VALUE"""),-2.630874715592867)</f>
        <v>-2.630874716</v>
      </c>
      <c r="P502" s="30">
        <f>IFERROR(__xludf.DUMMYFUNCTION("""COMPUTED_VALUE"""),4.463999088063446)</f>
        <v>4.463999088</v>
      </c>
      <c r="Q502" s="30"/>
      <c r="R502" s="30"/>
      <c r="S502" s="30"/>
      <c r="T502" s="30"/>
      <c r="U502" s="30">
        <v>0.0</v>
      </c>
      <c r="V502" s="30"/>
      <c r="W502" s="30"/>
      <c r="X502" s="30"/>
      <c r="Y502" s="5">
        <f>IFERROR(__xludf.DUMMYFUNCTION("""COMPUTED_VALUE"""),81.0)</f>
        <v>81</v>
      </c>
      <c r="Z502" s="5">
        <f>IFERROR(__xludf.DUMMYFUNCTION("""COMPUTED_VALUE"""),81.0)</f>
        <v>81</v>
      </c>
    </row>
    <row r="503">
      <c r="A503" s="30" t="s">
        <v>1500</v>
      </c>
      <c r="B503" s="30">
        <f>IFERROR(__xludf.DUMMYFUNCTION("""COMPUTED_VALUE"""),81.0)</f>
        <v>81</v>
      </c>
      <c r="C503" s="30"/>
      <c r="D503" s="30"/>
      <c r="E503" s="30"/>
      <c r="F503" s="30"/>
      <c r="G503" s="30"/>
      <c r="H503" s="30"/>
      <c r="I503" s="30"/>
      <c r="J503" s="30">
        <f>IFERROR(__xludf.DUMMYFUNCTION("""COMPUTED_VALUE"""),-11.059343513011441)</f>
        <v>-11.05934351</v>
      </c>
      <c r="K503" s="30"/>
      <c r="L503" s="30"/>
      <c r="M503" s="30"/>
      <c r="N503" s="30"/>
      <c r="O503" s="30">
        <f>IFERROR(__xludf.DUMMYFUNCTION("""COMPUTED_VALUE"""),-2.630874715592867)</f>
        <v>-2.630874716</v>
      </c>
      <c r="P503" s="30">
        <f>IFERROR(__xludf.DUMMYFUNCTION("""COMPUTED_VALUE"""),4.463999088063446)</f>
        <v>4.463999088</v>
      </c>
      <c r="Q503" s="30"/>
      <c r="R503" s="30"/>
      <c r="S503" s="30"/>
      <c r="T503" s="30"/>
      <c r="U503" s="30">
        <v>0.0</v>
      </c>
      <c r="V503" s="30"/>
      <c r="W503" s="30"/>
      <c r="X503" s="30"/>
      <c r="Y503" s="5">
        <f>IFERROR(__xludf.DUMMYFUNCTION("""COMPUTED_VALUE"""),81.0)</f>
        <v>81</v>
      </c>
      <c r="Z503" s="5">
        <f>IFERROR(__xludf.DUMMYFUNCTION("""COMPUTED_VALUE"""),81.0)</f>
        <v>81</v>
      </c>
    </row>
    <row r="504">
      <c r="A504" s="30" t="s">
        <v>2042</v>
      </c>
      <c r="B504" s="30">
        <f>IFERROR(__xludf.DUMMYFUNCTION("""COMPUTED_VALUE"""),80.0)</f>
        <v>80</v>
      </c>
      <c r="C504" s="30"/>
      <c r="D504" s="30"/>
      <c r="E504" s="30"/>
      <c r="F504" s="30"/>
      <c r="G504" s="30"/>
      <c r="H504" s="30"/>
      <c r="I504" s="30"/>
      <c r="J504" s="30">
        <f>IFERROR(__xludf.DUMMYFUNCTION("""COMPUTED_VALUE"""),-11.059343513011441)</f>
        <v>-11.05934351</v>
      </c>
      <c r="K504" s="30"/>
      <c r="L504" s="30"/>
      <c r="M504" s="30"/>
      <c r="N504" s="30"/>
      <c r="O504" s="30">
        <f>IFERROR(__xludf.DUMMYFUNCTION("""COMPUTED_VALUE"""),-2.630874715592867)</f>
        <v>-2.630874716</v>
      </c>
      <c r="P504" s="30">
        <f>IFERROR(__xludf.DUMMYFUNCTION("""COMPUTED_VALUE"""),4.463999088063446)</f>
        <v>4.463999088</v>
      </c>
      <c r="Q504" s="30"/>
      <c r="R504" s="30"/>
      <c r="S504" s="30"/>
      <c r="T504" s="30"/>
      <c r="U504" s="30">
        <v>0.0</v>
      </c>
      <c r="V504" s="30"/>
      <c r="W504" s="30"/>
      <c r="X504" s="30"/>
      <c r="Y504" s="5">
        <f>IFERROR(__xludf.DUMMYFUNCTION("""COMPUTED_VALUE"""),80.0)</f>
        <v>80</v>
      </c>
      <c r="Z504" s="5">
        <f>IFERROR(__xludf.DUMMYFUNCTION("""COMPUTED_VALUE"""),80.0)</f>
        <v>80</v>
      </c>
    </row>
    <row r="505">
      <c r="A505" s="30" t="s">
        <v>2043</v>
      </c>
      <c r="B505" s="30">
        <f>IFERROR(__xludf.DUMMYFUNCTION("""COMPUTED_VALUE"""),82.0)</f>
        <v>82</v>
      </c>
      <c r="C505" s="30"/>
      <c r="D505" s="30"/>
      <c r="E505" s="30"/>
      <c r="F505" s="30"/>
      <c r="G505" s="30"/>
      <c r="H505" s="30"/>
      <c r="I505" s="30"/>
      <c r="J505" s="30">
        <f>IFERROR(__xludf.DUMMYFUNCTION("""COMPUTED_VALUE"""),-11.059343513011441)</f>
        <v>-11.05934351</v>
      </c>
      <c r="K505" s="30"/>
      <c r="L505" s="30"/>
      <c r="M505" s="30"/>
      <c r="N505" s="30"/>
      <c r="O505" s="30">
        <f>IFERROR(__xludf.DUMMYFUNCTION("""COMPUTED_VALUE"""),-2.630874715592867)</f>
        <v>-2.630874716</v>
      </c>
      <c r="P505" s="30">
        <f>IFERROR(__xludf.DUMMYFUNCTION("""COMPUTED_VALUE"""),4.463999088063446)</f>
        <v>4.463999088</v>
      </c>
      <c r="Q505" s="30"/>
      <c r="R505" s="30"/>
      <c r="S505" s="30"/>
      <c r="T505" s="30"/>
      <c r="U505" s="30">
        <v>0.0</v>
      </c>
      <c r="V505" s="30"/>
      <c r="W505" s="30"/>
      <c r="X505" s="30"/>
      <c r="Y505" s="5">
        <f>IFERROR(__xludf.DUMMYFUNCTION("""COMPUTED_VALUE"""),82.0)</f>
        <v>82</v>
      </c>
      <c r="Z505" s="5">
        <f>IFERROR(__xludf.DUMMYFUNCTION("""COMPUTED_VALUE"""),82.0)</f>
        <v>82</v>
      </c>
    </row>
    <row r="506">
      <c r="A506" s="30" t="s">
        <v>2044</v>
      </c>
      <c r="B506" s="30">
        <f>IFERROR(__xludf.DUMMYFUNCTION("""COMPUTED_VALUE"""),81.0)</f>
        <v>81</v>
      </c>
      <c r="C506" s="30"/>
      <c r="D506" s="30"/>
      <c r="E506" s="30"/>
      <c r="F506" s="30"/>
      <c r="G506" s="30"/>
      <c r="H506" s="30"/>
      <c r="I506" s="30"/>
      <c r="J506" s="30">
        <f>IFERROR(__xludf.DUMMYFUNCTION("""COMPUTED_VALUE"""),-11.059343513011441)</f>
        <v>-11.05934351</v>
      </c>
      <c r="K506" s="30"/>
      <c r="L506" s="30"/>
      <c r="M506" s="30"/>
      <c r="N506" s="30"/>
      <c r="O506" s="30">
        <f>IFERROR(__xludf.DUMMYFUNCTION("""COMPUTED_VALUE"""),-2.630874715592867)</f>
        <v>-2.630874716</v>
      </c>
      <c r="P506" s="30">
        <f>IFERROR(__xludf.DUMMYFUNCTION("""COMPUTED_VALUE"""),4.463999088063446)</f>
        <v>4.463999088</v>
      </c>
      <c r="Q506" s="30"/>
      <c r="R506" s="30"/>
      <c r="S506" s="30"/>
      <c r="T506" s="30"/>
      <c r="U506" s="30">
        <v>0.0</v>
      </c>
      <c r="V506" s="30"/>
      <c r="W506" s="30"/>
      <c r="X506" s="30"/>
      <c r="Y506" s="5">
        <f>IFERROR(__xludf.DUMMYFUNCTION("""COMPUTED_VALUE"""),81.0)</f>
        <v>81</v>
      </c>
      <c r="Z506" s="5">
        <f>IFERROR(__xludf.DUMMYFUNCTION("""COMPUTED_VALUE"""),81.0)</f>
        <v>81</v>
      </c>
    </row>
    <row r="507">
      <c r="A507" s="30" t="s">
        <v>2045</v>
      </c>
      <c r="B507" s="30">
        <f>IFERROR(__xludf.DUMMYFUNCTION("""COMPUTED_VALUE"""),80.0)</f>
        <v>80</v>
      </c>
      <c r="C507" s="30"/>
      <c r="D507" s="30"/>
      <c r="E507" s="30"/>
      <c r="F507" s="30"/>
      <c r="G507" s="30"/>
      <c r="H507" s="30"/>
      <c r="I507" s="30"/>
      <c r="J507" s="30">
        <f>IFERROR(__xludf.DUMMYFUNCTION("""COMPUTED_VALUE"""),-11.059343513011441)</f>
        <v>-11.05934351</v>
      </c>
      <c r="K507" s="30"/>
      <c r="L507" s="30"/>
      <c r="M507" s="30"/>
      <c r="N507" s="30"/>
      <c r="O507" s="30">
        <f>IFERROR(__xludf.DUMMYFUNCTION("""COMPUTED_VALUE"""),-2.630874715592867)</f>
        <v>-2.630874716</v>
      </c>
      <c r="P507" s="30">
        <f>IFERROR(__xludf.DUMMYFUNCTION("""COMPUTED_VALUE"""),4.463999088063446)</f>
        <v>4.463999088</v>
      </c>
      <c r="Q507" s="30"/>
      <c r="R507" s="30"/>
      <c r="S507" s="30"/>
      <c r="T507" s="30"/>
      <c r="U507" s="30">
        <v>0.0</v>
      </c>
      <c r="V507" s="30"/>
      <c r="W507" s="30"/>
      <c r="X507" s="30"/>
      <c r="Y507" s="5">
        <f>IFERROR(__xludf.DUMMYFUNCTION("""COMPUTED_VALUE"""),80.0)</f>
        <v>80</v>
      </c>
      <c r="Z507" s="5">
        <f>IFERROR(__xludf.DUMMYFUNCTION("""COMPUTED_VALUE"""),80.0)</f>
        <v>80</v>
      </c>
    </row>
    <row r="508">
      <c r="A508" s="30" t="s">
        <v>2046</v>
      </c>
      <c r="B508" s="30">
        <f>IFERROR(__xludf.DUMMYFUNCTION("""COMPUTED_VALUE"""),80.0)</f>
        <v>80</v>
      </c>
      <c r="C508" s="30"/>
      <c r="D508" s="30"/>
      <c r="E508" s="30"/>
      <c r="F508" s="30"/>
      <c r="G508" s="30"/>
      <c r="H508" s="30"/>
      <c r="I508" s="30"/>
      <c r="J508" s="30">
        <f>IFERROR(__xludf.DUMMYFUNCTION("""COMPUTED_VALUE"""),-11.059343513011441)</f>
        <v>-11.05934351</v>
      </c>
      <c r="K508" s="30"/>
      <c r="L508" s="30"/>
      <c r="M508" s="30"/>
      <c r="N508" s="30"/>
      <c r="O508" s="30">
        <f>IFERROR(__xludf.DUMMYFUNCTION("""COMPUTED_VALUE"""),-2.630874715592867)</f>
        <v>-2.630874716</v>
      </c>
      <c r="P508" s="30">
        <f>IFERROR(__xludf.DUMMYFUNCTION("""COMPUTED_VALUE"""),4.463999088063446)</f>
        <v>4.463999088</v>
      </c>
      <c r="Q508" s="30"/>
      <c r="R508" s="30"/>
      <c r="S508" s="30"/>
      <c r="T508" s="30"/>
      <c r="U508" s="30">
        <v>0.0</v>
      </c>
      <c r="V508" s="30"/>
      <c r="W508" s="30"/>
      <c r="X508" s="30"/>
      <c r="Y508" s="5">
        <f>IFERROR(__xludf.DUMMYFUNCTION("""COMPUTED_VALUE"""),79.0)</f>
        <v>79</v>
      </c>
      <c r="Z508" s="5">
        <f>IFERROR(__xludf.DUMMYFUNCTION("""COMPUTED_VALUE"""),81.0)</f>
        <v>81</v>
      </c>
    </row>
    <row r="509">
      <c r="A509" s="30" t="s">
        <v>2051</v>
      </c>
      <c r="B509" s="30">
        <f>IFERROR(__xludf.DUMMYFUNCTION("""COMPUTED_VALUE"""),82.0)</f>
        <v>82</v>
      </c>
      <c r="C509" s="30"/>
      <c r="D509" s="30"/>
      <c r="E509" s="30"/>
      <c r="F509" s="30"/>
      <c r="G509" s="30"/>
      <c r="H509" s="30"/>
      <c r="I509" s="30"/>
      <c r="J509" s="30">
        <f>IFERROR(__xludf.DUMMYFUNCTION("""COMPUTED_VALUE"""),-11.059343513011441)</f>
        <v>-11.05934351</v>
      </c>
      <c r="K509" s="30"/>
      <c r="L509" s="30"/>
      <c r="M509" s="30"/>
      <c r="N509" s="30"/>
      <c r="O509" s="30">
        <f>IFERROR(__xludf.DUMMYFUNCTION("""COMPUTED_VALUE"""),-2.630874715592867)</f>
        <v>-2.630874716</v>
      </c>
      <c r="P509" s="30">
        <f>IFERROR(__xludf.DUMMYFUNCTION("""COMPUTED_VALUE"""),4.463999088063446)</f>
        <v>4.463999088</v>
      </c>
      <c r="Q509" s="30"/>
      <c r="R509" s="30"/>
      <c r="S509" s="30"/>
      <c r="T509" s="30"/>
      <c r="U509" s="30">
        <v>0.0</v>
      </c>
      <c r="V509" s="30"/>
      <c r="W509" s="30"/>
      <c r="X509" s="30"/>
      <c r="Y509" s="5">
        <f>IFERROR(__xludf.DUMMYFUNCTION("""COMPUTED_VALUE"""),82.0)</f>
        <v>82</v>
      </c>
      <c r="Z509" s="5">
        <f>IFERROR(__xludf.DUMMYFUNCTION("""COMPUTED_VALUE"""),82.0)</f>
        <v>82</v>
      </c>
    </row>
    <row r="510">
      <c r="A510" s="30" t="s">
        <v>2052</v>
      </c>
      <c r="B510" s="30">
        <f>IFERROR(__xludf.DUMMYFUNCTION("""COMPUTED_VALUE"""),82.0)</f>
        <v>82</v>
      </c>
      <c r="C510" s="30"/>
      <c r="D510" s="30"/>
      <c r="E510" s="30"/>
      <c r="F510" s="30"/>
      <c r="G510" s="30"/>
      <c r="H510" s="30"/>
      <c r="I510" s="30"/>
      <c r="J510" s="30">
        <f>IFERROR(__xludf.DUMMYFUNCTION("""COMPUTED_VALUE"""),-11.059343513011441)</f>
        <v>-11.05934351</v>
      </c>
      <c r="K510" s="30"/>
      <c r="L510" s="30"/>
      <c r="M510" s="30"/>
      <c r="N510" s="30"/>
      <c r="O510" s="30">
        <f>IFERROR(__xludf.DUMMYFUNCTION("""COMPUTED_VALUE"""),-2.630874715592867)</f>
        <v>-2.630874716</v>
      </c>
      <c r="P510" s="30">
        <f>IFERROR(__xludf.DUMMYFUNCTION("""COMPUTED_VALUE"""),4.463999088063446)</f>
        <v>4.463999088</v>
      </c>
      <c r="Q510" s="30"/>
      <c r="R510" s="30"/>
      <c r="S510" s="30"/>
      <c r="T510" s="30"/>
      <c r="U510" s="30">
        <v>0.0</v>
      </c>
      <c r="V510" s="30"/>
      <c r="W510" s="30"/>
      <c r="X510" s="30"/>
      <c r="Y510" s="5">
        <f>IFERROR(__xludf.DUMMYFUNCTION("""COMPUTED_VALUE"""),82.0)</f>
        <v>82</v>
      </c>
      <c r="Z510" s="5">
        <f>IFERROR(__xludf.DUMMYFUNCTION("""COMPUTED_VALUE"""),82.0)</f>
        <v>82</v>
      </c>
    </row>
    <row r="511">
      <c r="A511" s="30" t="s">
        <v>2053</v>
      </c>
      <c r="B511" s="30">
        <f>IFERROR(__xludf.DUMMYFUNCTION("""COMPUTED_VALUE"""),81.0)</f>
        <v>81</v>
      </c>
      <c r="C511" s="30"/>
      <c r="D511" s="30"/>
      <c r="E511" s="30"/>
      <c r="F511" s="30"/>
      <c r="G511" s="30"/>
      <c r="H511" s="30"/>
      <c r="I511" s="30"/>
      <c r="J511" s="30">
        <f>IFERROR(__xludf.DUMMYFUNCTION("""COMPUTED_VALUE"""),-11.059343513011441)</f>
        <v>-11.05934351</v>
      </c>
      <c r="K511" s="30"/>
      <c r="L511" s="30"/>
      <c r="M511" s="30"/>
      <c r="N511" s="30"/>
      <c r="O511" s="30">
        <f>IFERROR(__xludf.DUMMYFUNCTION("""COMPUTED_VALUE"""),-2.630874715592867)</f>
        <v>-2.630874716</v>
      </c>
      <c r="P511" s="30">
        <f>IFERROR(__xludf.DUMMYFUNCTION("""COMPUTED_VALUE"""),4.463999088063446)</f>
        <v>4.463999088</v>
      </c>
      <c r="Q511" s="30"/>
      <c r="R511" s="30"/>
      <c r="S511" s="30"/>
      <c r="T511" s="30"/>
      <c r="U511" s="30">
        <v>0.0</v>
      </c>
      <c r="V511" s="30"/>
      <c r="W511" s="30"/>
      <c r="X511" s="30"/>
      <c r="Y511" s="5">
        <f>IFERROR(__xludf.DUMMYFUNCTION("""COMPUTED_VALUE"""),80.0)</f>
        <v>80</v>
      </c>
      <c r="Z511" s="5">
        <f>IFERROR(__xludf.DUMMYFUNCTION("""COMPUTED_VALUE"""),82.0)</f>
        <v>82</v>
      </c>
    </row>
    <row r="512">
      <c r="A512" s="30" t="s">
        <v>2057</v>
      </c>
      <c r="B512" s="30">
        <f>IFERROR(__xludf.DUMMYFUNCTION("""COMPUTED_VALUE"""),80.0)</f>
        <v>80</v>
      </c>
      <c r="C512" s="30"/>
      <c r="D512" s="30"/>
      <c r="E512" s="30"/>
      <c r="F512" s="30"/>
      <c r="G512" s="30"/>
      <c r="H512" s="30"/>
      <c r="I512" s="30"/>
      <c r="J512" s="30">
        <f>IFERROR(__xludf.DUMMYFUNCTION("""COMPUTED_VALUE"""),-11.059343513011441)</f>
        <v>-11.05934351</v>
      </c>
      <c r="K512" s="30"/>
      <c r="L512" s="30"/>
      <c r="M512" s="30"/>
      <c r="N512" s="30"/>
      <c r="O512" s="30">
        <f>IFERROR(__xludf.DUMMYFUNCTION("""COMPUTED_VALUE"""),-2.630874715592867)</f>
        <v>-2.630874716</v>
      </c>
      <c r="P512" s="30">
        <f>IFERROR(__xludf.DUMMYFUNCTION("""COMPUTED_VALUE"""),4.463999088063446)</f>
        <v>4.463999088</v>
      </c>
      <c r="Q512" s="30"/>
      <c r="R512" s="30"/>
      <c r="S512" s="30"/>
      <c r="T512" s="30"/>
      <c r="U512" s="30">
        <v>0.0</v>
      </c>
      <c r="V512" s="30"/>
      <c r="W512" s="30"/>
      <c r="X512" s="30"/>
      <c r="Y512" s="5">
        <f>IFERROR(__xludf.DUMMYFUNCTION("""COMPUTED_VALUE"""),80.0)</f>
        <v>80</v>
      </c>
      <c r="Z512" s="5">
        <f>IFERROR(__xludf.DUMMYFUNCTION("""COMPUTED_VALUE"""),80.0)</f>
        <v>80</v>
      </c>
    </row>
    <row r="513">
      <c r="A513" s="30" t="s">
        <v>2058</v>
      </c>
      <c r="B513" s="30">
        <f>IFERROR(__xludf.DUMMYFUNCTION("""COMPUTED_VALUE"""),80.0)</f>
        <v>80</v>
      </c>
      <c r="C513" s="30"/>
      <c r="D513" s="30"/>
      <c r="E513" s="30"/>
      <c r="F513" s="30"/>
      <c r="G513" s="30"/>
      <c r="H513" s="30"/>
      <c r="I513" s="30"/>
      <c r="J513" s="30">
        <f>IFERROR(__xludf.DUMMYFUNCTION("""COMPUTED_VALUE"""),-11.059343513011441)</f>
        <v>-11.05934351</v>
      </c>
      <c r="K513" s="30"/>
      <c r="L513" s="30"/>
      <c r="M513" s="30"/>
      <c r="N513" s="30"/>
      <c r="O513" s="30">
        <f>IFERROR(__xludf.DUMMYFUNCTION("""COMPUTED_VALUE"""),-2.630874715592867)</f>
        <v>-2.630874716</v>
      </c>
      <c r="P513" s="30">
        <f>IFERROR(__xludf.DUMMYFUNCTION("""COMPUTED_VALUE"""),4.463999088063446)</f>
        <v>4.463999088</v>
      </c>
      <c r="Q513" s="30"/>
      <c r="R513" s="30"/>
      <c r="S513" s="30"/>
      <c r="T513" s="30"/>
      <c r="U513" s="30">
        <v>0.0</v>
      </c>
      <c r="V513" s="30"/>
      <c r="W513" s="30"/>
      <c r="X513" s="30"/>
      <c r="Y513" s="5">
        <f>IFERROR(__xludf.DUMMYFUNCTION("""COMPUTED_VALUE"""),80.0)</f>
        <v>80</v>
      </c>
      <c r="Z513" s="5">
        <f>IFERROR(__xludf.DUMMYFUNCTION("""COMPUTED_VALUE"""),80.0)</f>
        <v>80</v>
      </c>
    </row>
    <row r="514">
      <c r="A514" s="30" t="s">
        <v>2059</v>
      </c>
      <c r="B514" s="30">
        <f>IFERROR(__xludf.DUMMYFUNCTION("""COMPUTED_VALUE"""),81.0)</f>
        <v>81</v>
      </c>
      <c r="C514" s="30"/>
      <c r="D514" s="30"/>
      <c r="E514" s="30"/>
      <c r="F514" s="30"/>
      <c r="G514" s="30"/>
      <c r="H514" s="30"/>
      <c r="I514" s="30"/>
      <c r="J514" s="30">
        <f>IFERROR(__xludf.DUMMYFUNCTION("""COMPUTED_VALUE"""),-11.059343513011441)</f>
        <v>-11.05934351</v>
      </c>
      <c r="K514" s="30"/>
      <c r="L514" s="30"/>
      <c r="M514" s="30"/>
      <c r="N514" s="30"/>
      <c r="O514" s="30">
        <f>IFERROR(__xludf.DUMMYFUNCTION("""COMPUTED_VALUE"""),-2.630874715592867)</f>
        <v>-2.630874716</v>
      </c>
      <c r="P514" s="30">
        <f>IFERROR(__xludf.DUMMYFUNCTION("""COMPUTED_VALUE"""),4.463999088063446)</f>
        <v>4.463999088</v>
      </c>
      <c r="Q514" s="30"/>
      <c r="R514" s="30"/>
      <c r="S514" s="30"/>
      <c r="T514" s="30"/>
      <c r="U514" s="30">
        <v>0.0</v>
      </c>
      <c r="V514" s="30"/>
      <c r="W514" s="30"/>
      <c r="X514" s="30"/>
      <c r="Y514" s="5">
        <f>IFERROR(__xludf.DUMMYFUNCTION("""COMPUTED_VALUE"""),81.0)</f>
        <v>81</v>
      </c>
      <c r="Z514" s="5">
        <f>IFERROR(__xludf.DUMMYFUNCTION("""COMPUTED_VALUE"""),81.0)</f>
        <v>81</v>
      </c>
    </row>
    <row r="515">
      <c r="A515" s="30" t="s">
        <v>2060</v>
      </c>
      <c r="B515" s="30">
        <f>IFERROR(__xludf.DUMMYFUNCTION("""COMPUTED_VALUE"""),80.0)</f>
        <v>80</v>
      </c>
      <c r="C515" s="30"/>
      <c r="D515" s="30"/>
      <c r="E515" s="30"/>
      <c r="F515" s="30"/>
      <c r="G515" s="30"/>
      <c r="H515" s="30"/>
      <c r="I515" s="30"/>
      <c r="J515" s="30">
        <f>IFERROR(__xludf.DUMMYFUNCTION("""COMPUTED_VALUE"""),-11.059343513011441)</f>
        <v>-11.05934351</v>
      </c>
      <c r="K515" s="30"/>
      <c r="L515" s="30"/>
      <c r="M515" s="30"/>
      <c r="N515" s="30"/>
      <c r="O515" s="30">
        <f>IFERROR(__xludf.DUMMYFUNCTION("""COMPUTED_VALUE"""),-2.630874715592867)</f>
        <v>-2.630874716</v>
      </c>
      <c r="P515" s="30">
        <f>IFERROR(__xludf.DUMMYFUNCTION("""COMPUTED_VALUE"""),4.463999088063446)</f>
        <v>4.463999088</v>
      </c>
      <c r="Q515" s="30"/>
      <c r="R515" s="30"/>
      <c r="S515" s="30"/>
      <c r="T515" s="30"/>
      <c r="U515" s="30">
        <v>0.0</v>
      </c>
      <c r="V515" s="30"/>
      <c r="W515" s="30"/>
      <c r="X515" s="30"/>
      <c r="Y515" s="5">
        <f>IFERROR(__xludf.DUMMYFUNCTION("""COMPUTED_VALUE"""),80.0)</f>
        <v>80</v>
      </c>
      <c r="Z515" s="5">
        <f>IFERROR(__xludf.DUMMYFUNCTION("""COMPUTED_VALUE"""),80.0)</f>
        <v>80</v>
      </c>
    </row>
    <row r="516">
      <c r="A516" s="30" t="s">
        <v>2061</v>
      </c>
      <c r="B516" s="30">
        <f>IFERROR(__xludf.DUMMYFUNCTION("""COMPUTED_VALUE"""),79.0)</f>
        <v>79</v>
      </c>
      <c r="C516" s="30"/>
      <c r="D516" s="30"/>
      <c r="E516" s="30"/>
      <c r="F516" s="30"/>
      <c r="G516" s="30"/>
      <c r="H516" s="30"/>
      <c r="I516" s="30"/>
      <c r="J516" s="30">
        <f>IFERROR(__xludf.DUMMYFUNCTION("""COMPUTED_VALUE"""),-11.059343513011441)</f>
        <v>-11.05934351</v>
      </c>
      <c r="K516" s="30"/>
      <c r="L516" s="30"/>
      <c r="M516" s="30"/>
      <c r="N516" s="30"/>
      <c r="O516" s="30">
        <f>IFERROR(__xludf.DUMMYFUNCTION("""COMPUTED_VALUE"""),-2.630874715592867)</f>
        <v>-2.630874716</v>
      </c>
      <c r="P516" s="30">
        <f>IFERROR(__xludf.DUMMYFUNCTION("""COMPUTED_VALUE"""),4.463999088063446)</f>
        <v>4.463999088</v>
      </c>
      <c r="Q516" s="30"/>
      <c r="R516" s="30"/>
      <c r="S516" s="30"/>
      <c r="T516" s="30"/>
      <c r="U516" s="30">
        <v>0.0</v>
      </c>
      <c r="V516" s="30"/>
      <c r="W516" s="30"/>
      <c r="X516" s="30"/>
      <c r="Y516" s="5">
        <f>IFERROR(__xludf.DUMMYFUNCTION("""COMPUTED_VALUE"""),79.0)</f>
        <v>79</v>
      </c>
      <c r="Z516" s="5">
        <f>IFERROR(__xludf.DUMMYFUNCTION("""COMPUTED_VALUE"""),79.0)</f>
        <v>79</v>
      </c>
    </row>
    <row r="517">
      <c r="A517" s="30" t="s">
        <v>770</v>
      </c>
      <c r="B517" s="30">
        <f>IFERROR(__xludf.DUMMYFUNCTION("""COMPUTED_VALUE"""),81.0)</f>
        <v>81</v>
      </c>
      <c r="C517" s="30"/>
      <c r="D517" s="30"/>
      <c r="E517" s="30"/>
      <c r="F517" s="30"/>
      <c r="G517" s="30"/>
      <c r="H517" s="30"/>
      <c r="I517" s="30"/>
      <c r="J517" s="30">
        <f>IFERROR(__xludf.DUMMYFUNCTION("""COMPUTED_VALUE"""),-11.059343513011441)</f>
        <v>-11.05934351</v>
      </c>
      <c r="K517" s="30"/>
      <c r="L517" s="30"/>
      <c r="M517" s="30"/>
      <c r="N517" s="30"/>
      <c r="O517" s="30">
        <f>IFERROR(__xludf.DUMMYFUNCTION("""COMPUTED_VALUE"""),-2.630874715592867)</f>
        <v>-2.630874716</v>
      </c>
      <c r="P517" s="30">
        <f>IFERROR(__xludf.DUMMYFUNCTION("""COMPUTED_VALUE"""),4.463999088063446)</f>
        <v>4.463999088</v>
      </c>
      <c r="Q517" s="30"/>
      <c r="R517" s="30"/>
      <c r="S517" s="30"/>
      <c r="T517" s="30"/>
      <c r="U517" s="30">
        <v>0.0</v>
      </c>
      <c r="V517" s="30"/>
      <c r="W517" s="30"/>
      <c r="X517" s="30"/>
      <c r="Y517" s="5">
        <f>IFERROR(__xludf.DUMMYFUNCTION("""COMPUTED_VALUE"""),81.0)</f>
        <v>81</v>
      </c>
      <c r="Z517" s="5">
        <f>IFERROR(__xludf.DUMMYFUNCTION("""COMPUTED_VALUE"""),81.0)</f>
        <v>81</v>
      </c>
    </row>
    <row r="518">
      <c r="A518" s="30" t="s">
        <v>725</v>
      </c>
      <c r="B518" s="30">
        <f>IFERROR(__xludf.DUMMYFUNCTION("""COMPUTED_VALUE"""),79.5)</f>
        <v>79.5</v>
      </c>
      <c r="C518" s="30"/>
      <c r="D518" s="30"/>
      <c r="E518" s="30"/>
      <c r="F518" s="30"/>
      <c r="G518" s="30"/>
      <c r="H518" s="30"/>
      <c r="I518" s="30"/>
      <c r="J518" s="30">
        <f>IFERROR(__xludf.DUMMYFUNCTION("""COMPUTED_VALUE"""),-11.059343513011441)</f>
        <v>-11.05934351</v>
      </c>
      <c r="K518" s="30"/>
      <c r="L518" s="30"/>
      <c r="M518" s="30"/>
      <c r="N518" s="30"/>
      <c r="O518" s="30">
        <f>IFERROR(__xludf.DUMMYFUNCTION("""COMPUTED_VALUE"""),-2.630874715592867)</f>
        <v>-2.630874716</v>
      </c>
      <c r="P518" s="30">
        <f>IFERROR(__xludf.DUMMYFUNCTION("""COMPUTED_VALUE"""),4.463999088063446)</f>
        <v>4.463999088</v>
      </c>
      <c r="Q518" s="30"/>
      <c r="R518" s="30"/>
      <c r="S518" s="30"/>
      <c r="T518" s="30"/>
      <c r="U518" s="30">
        <v>0.0</v>
      </c>
      <c r="V518" s="30"/>
      <c r="W518" s="30"/>
      <c r="X518" s="30"/>
      <c r="Y518" s="5">
        <f>IFERROR(__xludf.DUMMYFUNCTION("""COMPUTED_VALUE"""),79.0)</f>
        <v>79</v>
      </c>
      <c r="Z518" s="5">
        <f>IFERROR(__xludf.DUMMYFUNCTION("""COMPUTED_VALUE"""),80.0)</f>
        <v>80</v>
      </c>
    </row>
    <row r="519">
      <c r="A519" s="30" t="s">
        <v>738</v>
      </c>
      <c r="B519" s="30">
        <f>IFERROR(__xludf.DUMMYFUNCTION("""COMPUTED_VALUE"""),80.0)</f>
        <v>80</v>
      </c>
      <c r="C519" s="30"/>
      <c r="D519" s="30"/>
      <c r="E519" s="30"/>
      <c r="F519" s="30"/>
      <c r="G519" s="30"/>
      <c r="H519" s="30"/>
      <c r="I519" s="30"/>
      <c r="J519" s="30">
        <f>IFERROR(__xludf.DUMMYFUNCTION("""COMPUTED_VALUE"""),-11.059343513011441)</f>
        <v>-11.05934351</v>
      </c>
      <c r="K519" s="30"/>
      <c r="L519" s="30"/>
      <c r="M519" s="30"/>
      <c r="N519" s="30"/>
      <c r="O519" s="30">
        <f>IFERROR(__xludf.DUMMYFUNCTION("""COMPUTED_VALUE"""),-2.630874715592867)</f>
        <v>-2.630874716</v>
      </c>
      <c r="P519" s="30">
        <f>IFERROR(__xludf.DUMMYFUNCTION("""COMPUTED_VALUE"""),4.463999088063446)</f>
        <v>4.463999088</v>
      </c>
      <c r="Q519" s="30"/>
      <c r="R519" s="30"/>
      <c r="S519" s="30"/>
      <c r="T519" s="30"/>
      <c r="U519" s="30">
        <v>0.0</v>
      </c>
      <c r="V519" s="30"/>
      <c r="W519" s="30"/>
      <c r="X519" s="30"/>
      <c r="Y519" s="5">
        <f>IFERROR(__xludf.DUMMYFUNCTION("""COMPUTED_VALUE"""),80.0)</f>
        <v>80</v>
      </c>
      <c r="Z519" s="5">
        <f>IFERROR(__xludf.DUMMYFUNCTION("""COMPUTED_VALUE"""),80.0)</f>
        <v>80</v>
      </c>
    </row>
    <row r="520">
      <c r="A520" s="30" t="s">
        <v>2066</v>
      </c>
      <c r="B520" s="30">
        <f>IFERROR(__xludf.DUMMYFUNCTION("""COMPUTED_VALUE"""),81.0)</f>
        <v>81</v>
      </c>
      <c r="C520" s="30"/>
      <c r="D520" s="30"/>
      <c r="E520" s="30"/>
      <c r="F520" s="30"/>
      <c r="G520" s="30"/>
      <c r="H520" s="30"/>
      <c r="I520" s="30"/>
      <c r="J520" s="30">
        <f>IFERROR(__xludf.DUMMYFUNCTION("""COMPUTED_VALUE"""),-11.059343513011441)</f>
        <v>-11.05934351</v>
      </c>
      <c r="K520" s="30"/>
      <c r="L520" s="30"/>
      <c r="M520" s="30"/>
      <c r="N520" s="30"/>
      <c r="O520" s="30">
        <f>IFERROR(__xludf.DUMMYFUNCTION("""COMPUTED_VALUE"""),-2.630874715592867)</f>
        <v>-2.630874716</v>
      </c>
      <c r="P520" s="30">
        <f>IFERROR(__xludf.DUMMYFUNCTION("""COMPUTED_VALUE"""),4.463999088063446)</f>
        <v>4.463999088</v>
      </c>
      <c r="Q520" s="30"/>
      <c r="R520" s="30"/>
      <c r="S520" s="30"/>
      <c r="T520" s="30"/>
      <c r="U520" s="30">
        <v>0.0</v>
      </c>
      <c r="V520" s="30"/>
      <c r="W520" s="30"/>
      <c r="X520" s="30"/>
      <c r="Y520" s="5">
        <f>IFERROR(__xludf.DUMMYFUNCTION("""COMPUTED_VALUE"""),81.0)</f>
        <v>81</v>
      </c>
      <c r="Z520" s="5">
        <f>IFERROR(__xludf.DUMMYFUNCTION("""COMPUTED_VALUE"""),81.0)</f>
        <v>81</v>
      </c>
    </row>
    <row r="521">
      <c r="A521" s="30" t="s">
        <v>2067</v>
      </c>
      <c r="B521" s="30">
        <f>IFERROR(__xludf.DUMMYFUNCTION("""COMPUTED_VALUE"""),81.0)</f>
        <v>81</v>
      </c>
      <c r="C521" s="30"/>
      <c r="D521" s="30"/>
      <c r="E521" s="30"/>
      <c r="F521" s="30"/>
      <c r="G521" s="30"/>
      <c r="H521" s="30"/>
      <c r="I521" s="30"/>
      <c r="J521" s="30">
        <f>IFERROR(__xludf.DUMMYFUNCTION("""COMPUTED_VALUE"""),-11.059343513011441)</f>
        <v>-11.05934351</v>
      </c>
      <c r="K521" s="30"/>
      <c r="L521" s="30"/>
      <c r="M521" s="30"/>
      <c r="N521" s="30"/>
      <c r="O521" s="30">
        <f>IFERROR(__xludf.DUMMYFUNCTION("""COMPUTED_VALUE"""),-2.630874715592867)</f>
        <v>-2.630874716</v>
      </c>
      <c r="P521" s="30">
        <f>IFERROR(__xludf.DUMMYFUNCTION("""COMPUTED_VALUE"""),4.463999088063446)</f>
        <v>4.463999088</v>
      </c>
      <c r="Q521" s="30"/>
      <c r="R521" s="30"/>
      <c r="S521" s="30"/>
      <c r="T521" s="30"/>
      <c r="U521" s="30">
        <v>0.0</v>
      </c>
      <c r="V521" s="30"/>
      <c r="W521" s="30"/>
      <c r="X521" s="30"/>
      <c r="Y521" s="5">
        <f>IFERROR(__xludf.DUMMYFUNCTION("""COMPUTED_VALUE"""),81.0)</f>
        <v>81</v>
      </c>
      <c r="Z521" s="5">
        <f>IFERROR(__xludf.DUMMYFUNCTION("""COMPUTED_VALUE"""),81.0)</f>
        <v>81</v>
      </c>
    </row>
    <row r="522">
      <c r="A522" s="30" t="s">
        <v>2068</v>
      </c>
      <c r="B522" s="30">
        <f>IFERROR(__xludf.DUMMYFUNCTION("""COMPUTED_VALUE"""),79.0)</f>
        <v>79</v>
      </c>
      <c r="C522" s="30"/>
      <c r="D522" s="30"/>
      <c r="E522" s="30"/>
      <c r="F522" s="30"/>
      <c r="G522" s="30"/>
      <c r="H522" s="30"/>
      <c r="I522" s="30"/>
      <c r="J522" s="30">
        <f>IFERROR(__xludf.DUMMYFUNCTION("""COMPUTED_VALUE"""),-11.059343513011441)</f>
        <v>-11.05934351</v>
      </c>
      <c r="K522" s="30"/>
      <c r="L522" s="30"/>
      <c r="M522" s="30"/>
      <c r="N522" s="30"/>
      <c r="O522" s="30">
        <f>IFERROR(__xludf.DUMMYFUNCTION("""COMPUTED_VALUE"""),-2.630874715592867)</f>
        <v>-2.630874716</v>
      </c>
      <c r="P522" s="30">
        <f>IFERROR(__xludf.DUMMYFUNCTION("""COMPUTED_VALUE"""),4.463999088063446)</f>
        <v>4.463999088</v>
      </c>
      <c r="Q522" s="30"/>
      <c r="R522" s="30"/>
      <c r="S522" s="30"/>
      <c r="T522" s="30"/>
      <c r="U522" s="30">
        <v>0.0</v>
      </c>
      <c r="V522" s="30"/>
      <c r="W522" s="30"/>
      <c r="X522" s="30"/>
      <c r="Y522" s="5">
        <f>IFERROR(__xludf.DUMMYFUNCTION("""COMPUTED_VALUE"""),78.0)</f>
        <v>78</v>
      </c>
      <c r="Z522" s="5">
        <f>IFERROR(__xludf.DUMMYFUNCTION("""COMPUTED_VALUE"""),80.0)</f>
        <v>80</v>
      </c>
    </row>
    <row r="523">
      <c r="A523" s="30" t="s">
        <v>692</v>
      </c>
      <c r="B523" s="30">
        <f>IFERROR(__xludf.DUMMYFUNCTION("""COMPUTED_VALUE"""),78.0)</f>
        <v>78</v>
      </c>
      <c r="C523" s="30"/>
      <c r="D523" s="30"/>
      <c r="E523" s="30"/>
      <c r="F523" s="30"/>
      <c r="G523" s="30"/>
      <c r="H523" s="30"/>
      <c r="I523" s="30"/>
      <c r="J523" s="30">
        <f>IFERROR(__xludf.DUMMYFUNCTION("""COMPUTED_VALUE"""),-11.059343513011441)</f>
        <v>-11.05934351</v>
      </c>
      <c r="K523" s="30"/>
      <c r="L523" s="30"/>
      <c r="M523" s="30"/>
      <c r="N523" s="30"/>
      <c r="O523" s="30">
        <f>IFERROR(__xludf.DUMMYFUNCTION("""COMPUTED_VALUE"""),-2.630874715592867)</f>
        <v>-2.630874716</v>
      </c>
      <c r="P523" s="30">
        <f>IFERROR(__xludf.DUMMYFUNCTION("""COMPUTED_VALUE"""),4.463999088063446)</f>
        <v>4.463999088</v>
      </c>
      <c r="Q523" s="30"/>
      <c r="R523" s="30"/>
      <c r="S523" s="30"/>
      <c r="T523" s="30"/>
      <c r="U523" s="30">
        <v>0.0</v>
      </c>
      <c r="V523" s="30"/>
      <c r="W523" s="30"/>
      <c r="X523" s="30"/>
      <c r="Y523" s="5">
        <f>IFERROR(__xludf.DUMMYFUNCTION("""COMPUTED_VALUE"""),77.0)</f>
        <v>77</v>
      </c>
      <c r="Z523" s="5">
        <f>IFERROR(__xludf.DUMMYFUNCTION("""COMPUTED_VALUE"""),79.0)</f>
        <v>79</v>
      </c>
    </row>
    <row r="524">
      <c r="A524" s="30" t="s">
        <v>542</v>
      </c>
      <c r="B524" s="30">
        <f>IFERROR(__xludf.DUMMYFUNCTION("""COMPUTED_VALUE"""),80.0)</f>
        <v>80</v>
      </c>
      <c r="C524" s="30"/>
      <c r="D524" s="30"/>
      <c r="E524" s="30"/>
      <c r="F524" s="30"/>
      <c r="G524" s="30"/>
      <c r="H524" s="30"/>
      <c r="I524" s="30"/>
      <c r="J524" s="30">
        <f>IFERROR(__xludf.DUMMYFUNCTION("""COMPUTED_VALUE"""),-11.059343513011441)</f>
        <v>-11.05934351</v>
      </c>
      <c r="K524" s="30"/>
      <c r="L524" s="30"/>
      <c r="M524" s="30"/>
      <c r="N524" s="30"/>
      <c r="O524" s="30">
        <f>IFERROR(__xludf.DUMMYFUNCTION("""COMPUTED_VALUE"""),-2.630874715592867)</f>
        <v>-2.630874716</v>
      </c>
      <c r="P524" s="30">
        <f>IFERROR(__xludf.DUMMYFUNCTION("""COMPUTED_VALUE"""),4.463999088063446)</f>
        <v>4.463999088</v>
      </c>
      <c r="Q524" s="30"/>
      <c r="R524" s="30"/>
      <c r="S524" s="30"/>
      <c r="T524" s="30"/>
      <c r="U524" s="30">
        <v>0.0</v>
      </c>
      <c r="V524" s="30"/>
      <c r="W524" s="30"/>
      <c r="X524" s="30"/>
      <c r="Y524" s="5">
        <f>IFERROR(__xludf.DUMMYFUNCTION("""COMPUTED_VALUE"""),80.0)</f>
        <v>80</v>
      </c>
      <c r="Z524" s="5">
        <f>IFERROR(__xludf.DUMMYFUNCTION("""COMPUTED_VALUE"""),80.0)</f>
        <v>80</v>
      </c>
    </row>
    <row r="525">
      <c r="A525" s="30" t="s">
        <v>2075</v>
      </c>
      <c r="B525" s="30">
        <f>IFERROR(__xludf.DUMMYFUNCTION("""COMPUTED_VALUE"""),80.0)</f>
        <v>80</v>
      </c>
      <c r="C525" s="30"/>
      <c r="D525" s="30"/>
      <c r="E525" s="30"/>
      <c r="F525" s="30"/>
      <c r="G525" s="30"/>
      <c r="H525" s="30"/>
      <c r="I525" s="30"/>
      <c r="J525" s="30">
        <f>IFERROR(__xludf.DUMMYFUNCTION("""COMPUTED_VALUE"""),-11.059343513011441)</f>
        <v>-11.05934351</v>
      </c>
      <c r="K525" s="30"/>
      <c r="L525" s="30"/>
      <c r="M525" s="30"/>
      <c r="N525" s="30"/>
      <c r="O525" s="30">
        <f>IFERROR(__xludf.DUMMYFUNCTION("""COMPUTED_VALUE"""),-2.630874715592867)</f>
        <v>-2.630874716</v>
      </c>
      <c r="P525" s="30">
        <f>IFERROR(__xludf.DUMMYFUNCTION("""COMPUTED_VALUE"""),4.463999088063446)</f>
        <v>4.463999088</v>
      </c>
      <c r="Q525" s="30"/>
      <c r="R525" s="30"/>
      <c r="S525" s="30"/>
      <c r="T525" s="30"/>
      <c r="U525" s="30">
        <v>0.0</v>
      </c>
      <c r="V525" s="30"/>
      <c r="W525" s="30"/>
      <c r="X525" s="30"/>
      <c r="Y525" s="5">
        <f>IFERROR(__xludf.DUMMYFUNCTION("""COMPUTED_VALUE"""),80.0)</f>
        <v>80</v>
      </c>
      <c r="Z525" s="5">
        <f>IFERROR(__xludf.DUMMYFUNCTION("""COMPUTED_VALUE"""),80.0)</f>
        <v>80</v>
      </c>
    </row>
    <row r="526">
      <c r="A526" s="30" t="s">
        <v>2076</v>
      </c>
      <c r="B526" s="30">
        <f>IFERROR(__xludf.DUMMYFUNCTION("""COMPUTED_VALUE"""),81.0)</f>
        <v>81</v>
      </c>
      <c r="C526" s="30"/>
      <c r="D526" s="30"/>
      <c r="E526" s="30"/>
      <c r="F526" s="30"/>
      <c r="G526" s="30"/>
      <c r="H526" s="30"/>
      <c r="I526" s="30"/>
      <c r="J526" s="30">
        <f>IFERROR(__xludf.DUMMYFUNCTION("""COMPUTED_VALUE"""),-11.059343513011441)</f>
        <v>-11.05934351</v>
      </c>
      <c r="K526" s="30"/>
      <c r="L526" s="30"/>
      <c r="M526" s="30"/>
      <c r="N526" s="30"/>
      <c r="O526" s="30">
        <f>IFERROR(__xludf.DUMMYFUNCTION("""COMPUTED_VALUE"""),-2.630874715592867)</f>
        <v>-2.630874716</v>
      </c>
      <c r="P526" s="30">
        <f>IFERROR(__xludf.DUMMYFUNCTION("""COMPUTED_VALUE"""),4.463999088063446)</f>
        <v>4.463999088</v>
      </c>
      <c r="Q526" s="30"/>
      <c r="R526" s="30"/>
      <c r="S526" s="30"/>
      <c r="T526" s="30"/>
      <c r="U526" s="30">
        <v>0.0</v>
      </c>
      <c r="V526" s="30"/>
      <c r="W526" s="30"/>
      <c r="X526" s="30"/>
      <c r="Y526" s="5">
        <f>IFERROR(__xludf.DUMMYFUNCTION("""COMPUTED_VALUE"""),81.0)</f>
        <v>81</v>
      </c>
      <c r="Z526" s="5">
        <f>IFERROR(__xludf.DUMMYFUNCTION("""COMPUTED_VALUE"""),81.0)</f>
        <v>81</v>
      </c>
    </row>
    <row r="527">
      <c r="A527" s="30" t="s">
        <v>2077</v>
      </c>
      <c r="B527" s="30">
        <f>IFERROR(__xludf.DUMMYFUNCTION("""COMPUTED_VALUE"""),82.0)</f>
        <v>82</v>
      </c>
      <c r="C527" s="30"/>
      <c r="D527" s="30"/>
      <c r="E527" s="30"/>
      <c r="F527" s="30"/>
      <c r="G527" s="30"/>
      <c r="H527" s="30"/>
      <c r="I527" s="30"/>
      <c r="J527" s="30">
        <f>IFERROR(__xludf.DUMMYFUNCTION("""COMPUTED_VALUE"""),-11.059343513011441)</f>
        <v>-11.05934351</v>
      </c>
      <c r="K527" s="30"/>
      <c r="L527" s="30"/>
      <c r="M527" s="30"/>
      <c r="N527" s="30"/>
      <c r="O527" s="30">
        <f>IFERROR(__xludf.DUMMYFUNCTION("""COMPUTED_VALUE"""),-2.630874715592867)</f>
        <v>-2.630874716</v>
      </c>
      <c r="P527" s="30">
        <f>IFERROR(__xludf.DUMMYFUNCTION("""COMPUTED_VALUE"""),4.463999088063446)</f>
        <v>4.463999088</v>
      </c>
      <c r="Q527" s="30"/>
      <c r="R527" s="30"/>
      <c r="S527" s="30"/>
      <c r="T527" s="30"/>
      <c r="U527" s="30">
        <v>0.0</v>
      </c>
      <c r="V527" s="30"/>
      <c r="W527" s="30"/>
      <c r="X527" s="30"/>
      <c r="Y527" s="5">
        <f>IFERROR(__xludf.DUMMYFUNCTION("""COMPUTED_VALUE"""),82.0)</f>
        <v>82</v>
      </c>
      <c r="Z527" s="5">
        <f>IFERROR(__xludf.DUMMYFUNCTION("""COMPUTED_VALUE"""),82.0)</f>
        <v>82</v>
      </c>
    </row>
    <row r="528">
      <c r="A528" s="30" t="s">
        <v>874</v>
      </c>
      <c r="B528" s="30">
        <f>IFERROR(__xludf.DUMMYFUNCTION("""COMPUTED_VALUE"""),79.0)</f>
        <v>79</v>
      </c>
      <c r="C528" s="30"/>
      <c r="D528" s="30"/>
      <c r="E528" s="30"/>
      <c r="F528" s="30"/>
      <c r="G528" s="30"/>
      <c r="H528" s="30"/>
      <c r="I528" s="30"/>
      <c r="J528" s="30">
        <f>IFERROR(__xludf.DUMMYFUNCTION("""COMPUTED_VALUE"""),-11.059343513011441)</f>
        <v>-11.05934351</v>
      </c>
      <c r="K528" s="30"/>
      <c r="L528" s="30"/>
      <c r="M528" s="30"/>
      <c r="N528" s="30"/>
      <c r="O528" s="30">
        <f>IFERROR(__xludf.DUMMYFUNCTION("""COMPUTED_VALUE"""),-2.630874715592867)</f>
        <v>-2.630874716</v>
      </c>
      <c r="P528" s="30">
        <f>IFERROR(__xludf.DUMMYFUNCTION("""COMPUTED_VALUE"""),4.463999088063446)</f>
        <v>4.463999088</v>
      </c>
      <c r="Q528" s="30"/>
      <c r="R528" s="30"/>
      <c r="S528" s="30"/>
      <c r="T528" s="30"/>
      <c r="U528" s="30">
        <v>0.0</v>
      </c>
      <c r="V528" s="30"/>
      <c r="W528" s="30"/>
      <c r="X528" s="30"/>
      <c r="Y528" s="5">
        <f>IFERROR(__xludf.DUMMYFUNCTION("""COMPUTED_VALUE"""),79.0)</f>
        <v>79</v>
      </c>
      <c r="Z528" s="5">
        <f>IFERROR(__xludf.DUMMYFUNCTION("""COMPUTED_VALUE"""),79.0)</f>
        <v>79</v>
      </c>
    </row>
    <row r="529">
      <c r="A529" s="30" t="s">
        <v>2078</v>
      </c>
      <c r="B529" s="30">
        <f>IFERROR(__xludf.DUMMYFUNCTION("""COMPUTED_VALUE"""),82.0)</f>
        <v>82</v>
      </c>
      <c r="C529" s="30"/>
      <c r="D529" s="30"/>
      <c r="E529" s="30"/>
      <c r="F529" s="30"/>
      <c r="G529" s="30"/>
      <c r="H529" s="30"/>
      <c r="I529" s="30"/>
      <c r="J529" s="30">
        <f>IFERROR(__xludf.DUMMYFUNCTION("""COMPUTED_VALUE"""),-11.059343513011441)</f>
        <v>-11.05934351</v>
      </c>
      <c r="K529" s="30"/>
      <c r="L529" s="30"/>
      <c r="M529" s="30"/>
      <c r="N529" s="30"/>
      <c r="O529" s="30">
        <f>IFERROR(__xludf.DUMMYFUNCTION("""COMPUTED_VALUE"""),-2.630874715592867)</f>
        <v>-2.630874716</v>
      </c>
      <c r="P529" s="30">
        <f>IFERROR(__xludf.DUMMYFUNCTION("""COMPUTED_VALUE"""),4.463999088063446)</f>
        <v>4.463999088</v>
      </c>
      <c r="Q529" s="30"/>
      <c r="R529" s="30"/>
      <c r="S529" s="30"/>
      <c r="T529" s="30"/>
      <c r="U529" s="30">
        <v>0.0</v>
      </c>
      <c r="V529" s="30"/>
      <c r="W529" s="30"/>
      <c r="X529" s="30"/>
      <c r="Y529" s="5">
        <f>IFERROR(__xludf.DUMMYFUNCTION("""COMPUTED_VALUE"""),82.0)</f>
        <v>82</v>
      </c>
      <c r="Z529" s="5">
        <f>IFERROR(__xludf.DUMMYFUNCTION("""COMPUTED_VALUE"""),82.0)</f>
        <v>82</v>
      </c>
    </row>
    <row r="530">
      <c r="A530" s="30" t="s">
        <v>2079</v>
      </c>
      <c r="B530" s="30">
        <f>IFERROR(__xludf.DUMMYFUNCTION("""COMPUTED_VALUE"""),81.5)</f>
        <v>81.5</v>
      </c>
      <c r="C530" s="30"/>
      <c r="D530" s="30"/>
      <c r="E530" s="30"/>
      <c r="F530" s="30"/>
      <c r="G530" s="30"/>
      <c r="H530" s="30"/>
      <c r="I530" s="30"/>
      <c r="J530" s="30">
        <f>IFERROR(__xludf.DUMMYFUNCTION("""COMPUTED_VALUE"""),-11.059343513011441)</f>
        <v>-11.05934351</v>
      </c>
      <c r="K530" s="30"/>
      <c r="L530" s="30"/>
      <c r="M530" s="30"/>
      <c r="N530" s="30"/>
      <c r="O530" s="30">
        <f>IFERROR(__xludf.DUMMYFUNCTION("""COMPUTED_VALUE"""),-2.630874715592867)</f>
        <v>-2.630874716</v>
      </c>
      <c r="P530" s="30">
        <f>IFERROR(__xludf.DUMMYFUNCTION("""COMPUTED_VALUE"""),4.463999088063446)</f>
        <v>4.463999088</v>
      </c>
      <c r="Q530" s="30"/>
      <c r="R530" s="30"/>
      <c r="S530" s="30"/>
      <c r="T530" s="30"/>
      <c r="U530" s="30">
        <v>0.0</v>
      </c>
      <c r="V530" s="30"/>
      <c r="W530" s="30"/>
      <c r="X530" s="30"/>
      <c r="Y530" s="5">
        <f>IFERROR(__xludf.DUMMYFUNCTION("""COMPUTED_VALUE"""),81.0)</f>
        <v>81</v>
      </c>
      <c r="Z530" s="5">
        <f>IFERROR(__xludf.DUMMYFUNCTION("""COMPUTED_VALUE"""),82.0)</f>
        <v>82</v>
      </c>
    </row>
    <row r="531">
      <c r="A531" s="30" t="s">
        <v>2080</v>
      </c>
      <c r="B531" s="30">
        <f>IFERROR(__xludf.DUMMYFUNCTION("""COMPUTED_VALUE"""),82.0)</f>
        <v>82</v>
      </c>
      <c r="C531" s="30"/>
      <c r="D531" s="30"/>
      <c r="E531" s="30"/>
      <c r="F531" s="30"/>
      <c r="G531" s="30"/>
      <c r="H531" s="30"/>
      <c r="I531" s="30"/>
      <c r="J531" s="30">
        <f>IFERROR(__xludf.DUMMYFUNCTION("""COMPUTED_VALUE"""),-11.059343513011441)</f>
        <v>-11.05934351</v>
      </c>
      <c r="K531" s="30"/>
      <c r="L531" s="30"/>
      <c r="M531" s="30"/>
      <c r="N531" s="30"/>
      <c r="O531" s="30">
        <f>IFERROR(__xludf.DUMMYFUNCTION("""COMPUTED_VALUE"""),-2.630874715592867)</f>
        <v>-2.630874716</v>
      </c>
      <c r="P531" s="30">
        <f>IFERROR(__xludf.DUMMYFUNCTION("""COMPUTED_VALUE"""),4.463999088063446)</f>
        <v>4.463999088</v>
      </c>
      <c r="Q531" s="30"/>
      <c r="R531" s="30"/>
      <c r="S531" s="30"/>
      <c r="T531" s="30"/>
      <c r="U531" s="30">
        <v>0.0</v>
      </c>
      <c r="V531" s="30"/>
      <c r="W531" s="30"/>
      <c r="X531" s="30"/>
      <c r="Y531" s="5">
        <f>IFERROR(__xludf.DUMMYFUNCTION("""COMPUTED_VALUE"""),82.0)</f>
        <v>82</v>
      </c>
      <c r="Z531" s="5">
        <f>IFERROR(__xludf.DUMMYFUNCTION("""COMPUTED_VALUE"""),82.0)</f>
        <v>82</v>
      </c>
    </row>
    <row r="532">
      <c r="A532" s="30" t="s">
        <v>703</v>
      </c>
      <c r="B532" s="30">
        <f>IFERROR(__xludf.DUMMYFUNCTION("""COMPUTED_VALUE"""),81.0)</f>
        <v>81</v>
      </c>
      <c r="C532" s="30"/>
      <c r="D532" s="30"/>
      <c r="E532" s="30"/>
      <c r="F532" s="30"/>
      <c r="G532" s="30"/>
      <c r="H532" s="30"/>
      <c r="I532" s="30"/>
      <c r="J532" s="30">
        <f>IFERROR(__xludf.DUMMYFUNCTION("""COMPUTED_VALUE"""),-11.059343513011441)</f>
        <v>-11.05934351</v>
      </c>
      <c r="K532" s="30"/>
      <c r="L532" s="30"/>
      <c r="M532" s="30"/>
      <c r="N532" s="30"/>
      <c r="O532" s="30">
        <f>IFERROR(__xludf.DUMMYFUNCTION("""COMPUTED_VALUE"""),-2.630874715592867)</f>
        <v>-2.630874716</v>
      </c>
      <c r="P532" s="30">
        <f>IFERROR(__xludf.DUMMYFUNCTION("""COMPUTED_VALUE"""),4.463999088063446)</f>
        <v>4.463999088</v>
      </c>
      <c r="Q532" s="30"/>
      <c r="R532" s="30"/>
      <c r="S532" s="30"/>
      <c r="T532" s="30"/>
      <c r="U532" s="30">
        <v>0.0</v>
      </c>
      <c r="V532" s="30"/>
      <c r="W532" s="30"/>
      <c r="X532" s="30"/>
      <c r="Y532" s="5">
        <f>IFERROR(__xludf.DUMMYFUNCTION("""COMPUTED_VALUE"""),81.0)</f>
        <v>81</v>
      </c>
      <c r="Z532" s="5">
        <f>IFERROR(__xludf.DUMMYFUNCTION("""COMPUTED_VALUE"""),81.0)</f>
        <v>81</v>
      </c>
    </row>
    <row r="533">
      <c r="A533" s="30" t="s">
        <v>2082</v>
      </c>
      <c r="B533" s="30">
        <f>IFERROR(__xludf.DUMMYFUNCTION("""COMPUTED_VALUE"""),82.0)</f>
        <v>82</v>
      </c>
      <c r="C533" s="30"/>
      <c r="D533" s="30"/>
      <c r="E533" s="30"/>
      <c r="F533" s="30"/>
      <c r="G533" s="30"/>
      <c r="H533" s="30"/>
      <c r="I533" s="30"/>
      <c r="J533" s="30">
        <f>IFERROR(__xludf.DUMMYFUNCTION("""COMPUTED_VALUE"""),-11.059343513011441)</f>
        <v>-11.05934351</v>
      </c>
      <c r="K533" s="30"/>
      <c r="L533" s="30"/>
      <c r="M533" s="30"/>
      <c r="N533" s="30"/>
      <c r="O533" s="30">
        <f>IFERROR(__xludf.DUMMYFUNCTION("""COMPUTED_VALUE"""),-2.630874715592867)</f>
        <v>-2.630874716</v>
      </c>
      <c r="P533" s="30">
        <f>IFERROR(__xludf.DUMMYFUNCTION("""COMPUTED_VALUE"""),4.463999088063446)</f>
        <v>4.463999088</v>
      </c>
      <c r="Q533" s="30"/>
      <c r="R533" s="30"/>
      <c r="S533" s="30"/>
      <c r="T533" s="30"/>
      <c r="U533" s="30">
        <v>0.0</v>
      </c>
      <c r="V533" s="30"/>
      <c r="W533" s="30"/>
      <c r="X533" s="30"/>
      <c r="Y533" s="5">
        <f>IFERROR(__xludf.DUMMYFUNCTION("""COMPUTED_VALUE"""),82.0)</f>
        <v>82</v>
      </c>
      <c r="Z533" s="5">
        <f>IFERROR(__xludf.DUMMYFUNCTION("""COMPUTED_VALUE"""),82.0)</f>
        <v>82</v>
      </c>
    </row>
    <row r="534">
      <c r="A534" s="30" t="s">
        <v>290</v>
      </c>
      <c r="B534" s="30">
        <f>IFERROR(__xludf.DUMMYFUNCTION("""COMPUTED_VALUE"""),81.0)</f>
        <v>81</v>
      </c>
      <c r="C534" s="30"/>
      <c r="D534" s="30"/>
      <c r="E534" s="30"/>
      <c r="F534" s="30"/>
      <c r="G534" s="30"/>
      <c r="H534" s="30"/>
      <c r="I534" s="30"/>
      <c r="J534" s="30">
        <f>IFERROR(__xludf.DUMMYFUNCTION("""COMPUTED_VALUE"""),-11.059343513011441)</f>
        <v>-11.05934351</v>
      </c>
      <c r="K534" s="30"/>
      <c r="L534" s="30"/>
      <c r="M534" s="30"/>
      <c r="N534" s="30"/>
      <c r="O534" s="30">
        <f>IFERROR(__xludf.DUMMYFUNCTION("""COMPUTED_VALUE"""),-2.630874715592867)</f>
        <v>-2.630874716</v>
      </c>
      <c r="P534" s="30">
        <f>IFERROR(__xludf.DUMMYFUNCTION("""COMPUTED_VALUE"""),4.463999088063446)</f>
        <v>4.463999088</v>
      </c>
      <c r="Q534" s="30"/>
      <c r="R534" s="30"/>
      <c r="S534" s="30"/>
      <c r="T534" s="30"/>
      <c r="U534" s="30">
        <v>0.0</v>
      </c>
      <c r="V534" s="30"/>
      <c r="W534" s="30"/>
      <c r="X534" s="30"/>
      <c r="Y534" s="5">
        <f>IFERROR(__xludf.DUMMYFUNCTION("""COMPUTED_VALUE"""),81.0)</f>
        <v>81</v>
      </c>
      <c r="Z534" s="5">
        <f>IFERROR(__xludf.DUMMYFUNCTION("""COMPUTED_VALUE"""),81.0)</f>
        <v>81</v>
      </c>
    </row>
    <row r="535">
      <c r="A535" s="30" t="s">
        <v>602</v>
      </c>
      <c r="B535" s="30">
        <f>IFERROR(__xludf.DUMMYFUNCTION("""COMPUTED_VALUE"""),81.0)</f>
        <v>81</v>
      </c>
      <c r="C535" s="30"/>
      <c r="D535" s="30"/>
      <c r="E535" s="30"/>
      <c r="F535" s="30"/>
      <c r="G535" s="30"/>
      <c r="H535" s="30"/>
      <c r="I535" s="30"/>
      <c r="J535" s="30">
        <f>IFERROR(__xludf.DUMMYFUNCTION("""COMPUTED_VALUE"""),-11.059343513011441)</f>
        <v>-11.05934351</v>
      </c>
      <c r="K535" s="30"/>
      <c r="L535" s="30"/>
      <c r="M535" s="30"/>
      <c r="N535" s="30"/>
      <c r="O535" s="30">
        <f>IFERROR(__xludf.DUMMYFUNCTION("""COMPUTED_VALUE"""),-2.630874715592867)</f>
        <v>-2.630874716</v>
      </c>
      <c r="P535" s="30">
        <f>IFERROR(__xludf.DUMMYFUNCTION("""COMPUTED_VALUE"""),4.463999088063446)</f>
        <v>4.463999088</v>
      </c>
      <c r="Q535" s="30"/>
      <c r="R535" s="30"/>
      <c r="S535" s="30"/>
      <c r="T535" s="30"/>
      <c r="U535" s="30">
        <v>0.0</v>
      </c>
      <c r="V535" s="30"/>
      <c r="W535" s="30"/>
      <c r="X535" s="30"/>
      <c r="Y535" s="5">
        <f>IFERROR(__xludf.DUMMYFUNCTION("""COMPUTED_VALUE"""),81.0)</f>
        <v>81</v>
      </c>
      <c r="Z535" s="5">
        <f>IFERROR(__xludf.DUMMYFUNCTION("""COMPUTED_VALUE"""),81.0)</f>
        <v>81</v>
      </c>
    </row>
    <row r="536">
      <c r="A536" s="30" t="s">
        <v>2083</v>
      </c>
      <c r="B536" s="30">
        <f>IFERROR(__xludf.DUMMYFUNCTION("""COMPUTED_VALUE"""),82.0)</f>
        <v>82</v>
      </c>
      <c r="C536" s="30"/>
      <c r="D536" s="30"/>
      <c r="E536" s="30"/>
      <c r="F536" s="30"/>
      <c r="G536" s="30"/>
      <c r="H536" s="30"/>
      <c r="I536" s="30"/>
      <c r="J536" s="30">
        <f>IFERROR(__xludf.DUMMYFUNCTION("""COMPUTED_VALUE"""),-11.059343513011441)</f>
        <v>-11.05934351</v>
      </c>
      <c r="K536" s="30"/>
      <c r="L536" s="30"/>
      <c r="M536" s="30"/>
      <c r="N536" s="30"/>
      <c r="O536" s="30">
        <f>IFERROR(__xludf.DUMMYFUNCTION("""COMPUTED_VALUE"""),-2.630874715592867)</f>
        <v>-2.630874716</v>
      </c>
      <c r="P536" s="30">
        <f>IFERROR(__xludf.DUMMYFUNCTION("""COMPUTED_VALUE"""),4.463999088063446)</f>
        <v>4.463999088</v>
      </c>
      <c r="Q536" s="30"/>
      <c r="R536" s="30"/>
      <c r="S536" s="30"/>
      <c r="T536" s="30"/>
      <c r="U536" s="30">
        <v>0.0</v>
      </c>
      <c r="V536" s="30"/>
      <c r="W536" s="30"/>
      <c r="X536" s="30"/>
      <c r="Y536" s="5">
        <f>IFERROR(__xludf.DUMMYFUNCTION("""COMPUTED_VALUE"""),82.0)</f>
        <v>82</v>
      </c>
      <c r="Z536" s="5">
        <f>IFERROR(__xludf.DUMMYFUNCTION("""COMPUTED_VALUE"""),82.0)</f>
        <v>82</v>
      </c>
    </row>
    <row r="537">
      <c r="A537" s="30" t="s">
        <v>2084</v>
      </c>
      <c r="B537" s="30">
        <f>IFERROR(__xludf.DUMMYFUNCTION("""COMPUTED_VALUE"""),81.0)</f>
        <v>81</v>
      </c>
      <c r="C537" s="30"/>
      <c r="D537" s="30"/>
      <c r="E537" s="30"/>
      <c r="F537" s="30"/>
      <c r="G537" s="30"/>
      <c r="H537" s="30"/>
      <c r="I537" s="30"/>
      <c r="J537" s="30">
        <f>IFERROR(__xludf.DUMMYFUNCTION("""COMPUTED_VALUE"""),-11.059343513011441)</f>
        <v>-11.05934351</v>
      </c>
      <c r="K537" s="30"/>
      <c r="L537" s="30"/>
      <c r="M537" s="30"/>
      <c r="N537" s="30"/>
      <c r="O537" s="30">
        <f>IFERROR(__xludf.DUMMYFUNCTION("""COMPUTED_VALUE"""),-2.630874715592867)</f>
        <v>-2.630874716</v>
      </c>
      <c r="P537" s="30">
        <f>IFERROR(__xludf.DUMMYFUNCTION("""COMPUTED_VALUE"""),4.463999088063446)</f>
        <v>4.463999088</v>
      </c>
      <c r="Q537" s="30"/>
      <c r="R537" s="30"/>
      <c r="S537" s="30"/>
      <c r="T537" s="30"/>
      <c r="U537" s="30">
        <v>0.0</v>
      </c>
      <c r="V537" s="30"/>
      <c r="W537" s="30"/>
      <c r="X537" s="30"/>
      <c r="Y537" s="5">
        <f>IFERROR(__xludf.DUMMYFUNCTION("""COMPUTED_VALUE"""),81.0)</f>
        <v>81</v>
      </c>
      <c r="Z537" s="5">
        <f>IFERROR(__xludf.DUMMYFUNCTION("""COMPUTED_VALUE"""),81.0)</f>
        <v>81</v>
      </c>
    </row>
    <row r="538">
      <c r="A538" s="30" t="s">
        <v>2085</v>
      </c>
      <c r="B538" s="30">
        <f>IFERROR(__xludf.DUMMYFUNCTION("""COMPUTED_VALUE"""),81.0)</f>
        <v>81</v>
      </c>
      <c r="C538" s="30"/>
      <c r="D538" s="30"/>
      <c r="E538" s="30"/>
      <c r="F538" s="30"/>
      <c r="G538" s="30"/>
      <c r="H538" s="30"/>
      <c r="I538" s="30"/>
      <c r="J538" s="30">
        <f>IFERROR(__xludf.DUMMYFUNCTION("""COMPUTED_VALUE"""),-11.059343513011441)</f>
        <v>-11.05934351</v>
      </c>
      <c r="K538" s="30"/>
      <c r="L538" s="30"/>
      <c r="M538" s="30"/>
      <c r="N538" s="30"/>
      <c r="O538" s="30">
        <f>IFERROR(__xludf.DUMMYFUNCTION("""COMPUTED_VALUE"""),-2.630874715592867)</f>
        <v>-2.630874716</v>
      </c>
      <c r="P538" s="30">
        <f>IFERROR(__xludf.DUMMYFUNCTION("""COMPUTED_VALUE"""),4.463999088063446)</f>
        <v>4.463999088</v>
      </c>
      <c r="Q538" s="30"/>
      <c r="R538" s="30"/>
      <c r="S538" s="30"/>
      <c r="T538" s="30"/>
      <c r="U538" s="30">
        <v>0.0</v>
      </c>
      <c r="V538" s="30"/>
      <c r="W538" s="30"/>
      <c r="X538" s="30"/>
      <c r="Y538" s="5">
        <f>IFERROR(__xludf.DUMMYFUNCTION("""COMPUTED_VALUE"""),81.0)</f>
        <v>81</v>
      </c>
      <c r="Z538" s="5">
        <f>IFERROR(__xludf.DUMMYFUNCTION("""COMPUTED_VALUE"""),81.0)</f>
        <v>81</v>
      </c>
    </row>
    <row r="539">
      <c r="A539" s="30" t="s">
        <v>1350</v>
      </c>
      <c r="B539" s="30">
        <f>IFERROR(__xludf.DUMMYFUNCTION("""COMPUTED_VALUE"""),78.0)</f>
        <v>78</v>
      </c>
      <c r="C539" s="30"/>
      <c r="D539" s="30"/>
      <c r="E539" s="30"/>
      <c r="F539" s="30"/>
      <c r="G539" s="30"/>
      <c r="H539" s="30"/>
      <c r="I539" s="30"/>
      <c r="J539" s="30">
        <f>IFERROR(__xludf.DUMMYFUNCTION("""COMPUTED_VALUE"""),-11.059343513011441)</f>
        <v>-11.05934351</v>
      </c>
      <c r="K539" s="30"/>
      <c r="L539" s="30"/>
      <c r="M539" s="30"/>
      <c r="N539" s="30"/>
      <c r="O539" s="30">
        <f>IFERROR(__xludf.DUMMYFUNCTION("""COMPUTED_VALUE"""),-2.630874715592867)</f>
        <v>-2.630874716</v>
      </c>
      <c r="P539" s="30">
        <f>IFERROR(__xludf.DUMMYFUNCTION("""COMPUTED_VALUE"""),4.463999088063446)</f>
        <v>4.463999088</v>
      </c>
      <c r="Q539" s="30"/>
      <c r="R539" s="30"/>
      <c r="S539" s="30"/>
      <c r="T539" s="30"/>
      <c r="U539" s="30">
        <v>0.0</v>
      </c>
      <c r="V539" s="30"/>
      <c r="W539" s="30"/>
      <c r="X539" s="30"/>
      <c r="Y539" s="5">
        <f>IFERROR(__xludf.DUMMYFUNCTION("""COMPUTED_VALUE"""),78.0)</f>
        <v>78</v>
      </c>
      <c r="Z539" s="5">
        <f>IFERROR(__xludf.DUMMYFUNCTION("""COMPUTED_VALUE"""),78.0)</f>
        <v>78</v>
      </c>
    </row>
    <row r="540">
      <c r="A540" s="30" t="s">
        <v>1324</v>
      </c>
      <c r="B540" s="30">
        <f>IFERROR(__xludf.DUMMYFUNCTION("""COMPUTED_VALUE"""),80.0)</f>
        <v>80</v>
      </c>
      <c r="C540" s="30"/>
      <c r="D540" s="30"/>
      <c r="E540" s="30"/>
      <c r="F540" s="30"/>
      <c r="G540" s="30"/>
      <c r="H540" s="30"/>
      <c r="I540" s="30"/>
      <c r="J540" s="30">
        <f>IFERROR(__xludf.DUMMYFUNCTION("""COMPUTED_VALUE"""),-11.059343513011441)</f>
        <v>-11.05934351</v>
      </c>
      <c r="K540" s="30"/>
      <c r="L540" s="30"/>
      <c r="M540" s="30"/>
      <c r="N540" s="30"/>
      <c r="O540" s="30">
        <f>IFERROR(__xludf.DUMMYFUNCTION("""COMPUTED_VALUE"""),-2.630874715592867)</f>
        <v>-2.630874716</v>
      </c>
      <c r="P540" s="30">
        <f>IFERROR(__xludf.DUMMYFUNCTION("""COMPUTED_VALUE"""),4.463999088063446)</f>
        <v>4.463999088</v>
      </c>
      <c r="Q540" s="30"/>
      <c r="R540" s="30"/>
      <c r="S540" s="30"/>
      <c r="T540" s="30"/>
      <c r="U540" s="30">
        <v>0.0</v>
      </c>
      <c r="V540" s="30"/>
      <c r="W540" s="30"/>
      <c r="X540" s="30"/>
      <c r="Y540" s="5">
        <f>IFERROR(__xludf.DUMMYFUNCTION("""COMPUTED_VALUE"""),80.0)</f>
        <v>80</v>
      </c>
      <c r="Z540" s="5">
        <f>IFERROR(__xludf.DUMMYFUNCTION("""COMPUTED_VALUE"""),80.0)</f>
        <v>80</v>
      </c>
    </row>
    <row r="541">
      <c r="A541" s="30" t="s">
        <v>2088</v>
      </c>
      <c r="B541" s="30">
        <f>IFERROR(__xludf.DUMMYFUNCTION("""COMPUTED_VALUE"""),81.0)</f>
        <v>81</v>
      </c>
      <c r="C541" s="30"/>
      <c r="D541" s="30"/>
      <c r="E541" s="30"/>
      <c r="F541" s="30"/>
      <c r="G541" s="30"/>
      <c r="H541" s="30"/>
      <c r="I541" s="30"/>
      <c r="J541" s="30">
        <f>IFERROR(__xludf.DUMMYFUNCTION("""COMPUTED_VALUE"""),-11.059343513011441)</f>
        <v>-11.05934351</v>
      </c>
      <c r="K541" s="30"/>
      <c r="L541" s="30"/>
      <c r="M541" s="30"/>
      <c r="N541" s="30"/>
      <c r="O541" s="30">
        <f>IFERROR(__xludf.DUMMYFUNCTION("""COMPUTED_VALUE"""),-2.630874715592867)</f>
        <v>-2.630874716</v>
      </c>
      <c r="P541" s="30">
        <f>IFERROR(__xludf.DUMMYFUNCTION("""COMPUTED_VALUE"""),4.463999088063446)</f>
        <v>4.463999088</v>
      </c>
      <c r="Q541" s="30"/>
      <c r="R541" s="30"/>
      <c r="S541" s="30"/>
      <c r="T541" s="30"/>
      <c r="U541" s="30">
        <v>0.0</v>
      </c>
      <c r="V541" s="30"/>
      <c r="W541" s="30"/>
      <c r="X541" s="30"/>
      <c r="Y541" s="5">
        <f>IFERROR(__xludf.DUMMYFUNCTION("""COMPUTED_VALUE"""),81.0)</f>
        <v>81</v>
      </c>
      <c r="Z541" s="5">
        <f>IFERROR(__xludf.DUMMYFUNCTION("""COMPUTED_VALUE"""),81.0)</f>
        <v>81</v>
      </c>
    </row>
    <row r="542">
      <c r="A542" s="30" t="s">
        <v>2089</v>
      </c>
      <c r="B542" s="30">
        <f>IFERROR(__xludf.DUMMYFUNCTION("""COMPUTED_VALUE"""),79.0)</f>
        <v>79</v>
      </c>
      <c r="C542" s="30"/>
      <c r="D542" s="30"/>
      <c r="E542" s="30"/>
      <c r="F542" s="30"/>
      <c r="G542" s="30"/>
      <c r="H542" s="30"/>
      <c r="I542" s="30"/>
      <c r="J542" s="30">
        <f>IFERROR(__xludf.DUMMYFUNCTION("""COMPUTED_VALUE"""),-11.059343513011441)</f>
        <v>-11.05934351</v>
      </c>
      <c r="K542" s="30"/>
      <c r="L542" s="30"/>
      <c r="M542" s="30"/>
      <c r="N542" s="30"/>
      <c r="O542" s="30">
        <f>IFERROR(__xludf.DUMMYFUNCTION("""COMPUTED_VALUE"""),-2.630874715592867)</f>
        <v>-2.630874716</v>
      </c>
      <c r="P542" s="30">
        <f>IFERROR(__xludf.DUMMYFUNCTION("""COMPUTED_VALUE"""),4.463999088063446)</f>
        <v>4.463999088</v>
      </c>
      <c r="Q542" s="30"/>
      <c r="R542" s="30"/>
      <c r="S542" s="30"/>
      <c r="T542" s="30"/>
      <c r="U542" s="30">
        <v>0.0</v>
      </c>
      <c r="V542" s="30"/>
      <c r="W542" s="30"/>
      <c r="X542" s="30"/>
      <c r="Y542" s="5">
        <f>IFERROR(__xludf.DUMMYFUNCTION("""COMPUTED_VALUE"""),79.0)</f>
        <v>79</v>
      </c>
      <c r="Z542" s="5">
        <f>IFERROR(__xludf.DUMMYFUNCTION("""COMPUTED_VALUE"""),79.0)</f>
        <v>79</v>
      </c>
    </row>
    <row r="543">
      <c r="A543" s="30" t="s">
        <v>2090</v>
      </c>
      <c r="B543" s="30">
        <f>IFERROR(__xludf.DUMMYFUNCTION("""COMPUTED_VALUE"""),79.0)</f>
        <v>79</v>
      </c>
      <c r="C543" s="30"/>
      <c r="D543" s="30"/>
      <c r="E543" s="30"/>
      <c r="F543" s="30"/>
      <c r="G543" s="30"/>
      <c r="H543" s="30"/>
      <c r="I543" s="30"/>
      <c r="J543" s="30">
        <f>IFERROR(__xludf.DUMMYFUNCTION("""COMPUTED_VALUE"""),-11.059343513011441)</f>
        <v>-11.05934351</v>
      </c>
      <c r="K543" s="30"/>
      <c r="L543" s="30"/>
      <c r="M543" s="30"/>
      <c r="N543" s="30"/>
      <c r="O543" s="30">
        <f>IFERROR(__xludf.DUMMYFUNCTION("""COMPUTED_VALUE"""),-2.630874715592867)</f>
        <v>-2.630874716</v>
      </c>
      <c r="P543" s="30">
        <f>IFERROR(__xludf.DUMMYFUNCTION("""COMPUTED_VALUE"""),4.463999088063446)</f>
        <v>4.463999088</v>
      </c>
      <c r="Q543" s="30"/>
      <c r="R543" s="30"/>
      <c r="S543" s="30"/>
      <c r="T543" s="30"/>
      <c r="U543" s="30">
        <v>0.0</v>
      </c>
      <c r="V543" s="30"/>
      <c r="W543" s="30"/>
      <c r="X543" s="30"/>
      <c r="Y543" s="5">
        <f>IFERROR(__xludf.DUMMYFUNCTION("""COMPUTED_VALUE"""),79.0)</f>
        <v>79</v>
      </c>
      <c r="Z543" s="5">
        <f>IFERROR(__xludf.DUMMYFUNCTION("""COMPUTED_VALUE"""),79.0)</f>
        <v>79</v>
      </c>
    </row>
    <row r="544">
      <c r="A544" s="30" t="s">
        <v>2091</v>
      </c>
      <c r="B544" s="30">
        <f>IFERROR(__xludf.DUMMYFUNCTION("""COMPUTED_VALUE"""),81.0)</f>
        <v>81</v>
      </c>
      <c r="C544" s="30"/>
      <c r="D544" s="30"/>
      <c r="E544" s="30"/>
      <c r="F544" s="30"/>
      <c r="G544" s="30"/>
      <c r="H544" s="30"/>
      <c r="I544" s="30"/>
      <c r="J544" s="30">
        <f>IFERROR(__xludf.DUMMYFUNCTION("""COMPUTED_VALUE"""),-11.059343513011441)</f>
        <v>-11.05934351</v>
      </c>
      <c r="K544" s="30"/>
      <c r="L544" s="30"/>
      <c r="M544" s="30"/>
      <c r="N544" s="30"/>
      <c r="O544" s="30">
        <f>IFERROR(__xludf.DUMMYFUNCTION("""COMPUTED_VALUE"""),-2.630874715592867)</f>
        <v>-2.630874716</v>
      </c>
      <c r="P544" s="30">
        <f>IFERROR(__xludf.DUMMYFUNCTION("""COMPUTED_VALUE"""),4.463999088063446)</f>
        <v>4.463999088</v>
      </c>
      <c r="Q544" s="30"/>
      <c r="R544" s="30"/>
      <c r="S544" s="30"/>
      <c r="T544" s="30"/>
      <c r="U544" s="30">
        <v>0.0</v>
      </c>
      <c r="V544" s="30"/>
      <c r="W544" s="30"/>
      <c r="X544" s="30"/>
      <c r="Y544" s="5">
        <f>IFERROR(__xludf.DUMMYFUNCTION("""COMPUTED_VALUE"""),81.0)</f>
        <v>81</v>
      </c>
      <c r="Z544" s="5">
        <f>IFERROR(__xludf.DUMMYFUNCTION("""COMPUTED_VALUE"""),81.0)</f>
        <v>81</v>
      </c>
    </row>
    <row r="545">
      <c r="A545" s="30" t="s">
        <v>2092</v>
      </c>
      <c r="B545" s="30">
        <f>IFERROR(__xludf.DUMMYFUNCTION("""COMPUTED_VALUE"""),80.0)</f>
        <v>80</v>
      </c>
      <c r="C545" s="30"/>
      <c r="D545" s="30"/>
      <c r="E545" s="30"/>
      <c r="F545" s="30"/>
      <c r="G545" s="30"/>
      <c r="H545" s="30"/>
      <c r="I545" s="30"/>
      <c r="J545" s="30">
        <f>IFERROR(__xludf.DUMMYFUNCTION("""COMPUTED_VALUE"""),-11.059343513011441)</f>
        <v>-11.05934351</v>
      </c>
      <c r="K545" s="30"/>
      <c r="L545" s="30"/>
      <c r="M545" s="30"/>
      <c r="N545" s="30"/>
      <c r="O545" s="30">
        <f>IFERROR(__xludf.DUMMYFUNCTION("""COMPUTED_VALUE"""),-2.630874715592867)</f>
        <v>-2.630874716</v>
      </c>
      <c r="P545" s="30">
        <f>IFERROR(__xludf.DUMMYFUNCTION("""COMPUTED_VALUE"""),4.463999088063446)</f>
        <v>4.463999088</v>
      </c>
      <c r="Q545" s="30"/>
      <c r="R545" s="30"/>
      <c r="S545" s="30"/>
      <c r="T545" s="30"/>
      <c r="U545" s="30">
        <v>0.0</v>
      </c>
      <c r="V545" s="30"/>
      <c r="W545" s="30"/>
      <c r="X545" s="30"/>
      <c r="Y545" s="5">
        <f>IFERROR(__xludf.DUMMYFUNCTION("""COMPUTED_VALUE"""),80.0)</f>
        <v>80</v>
      </c>
      <c r="Z545" s="5">
        <f>IFERROR(__xludf.DUMMYFUNCTION("""COMPUTED_VALUE"""),80.0)</f>
        <v>80</v>
      </c>
    </row>
    <row r="546">
      <c r="A546" s="30" t="s">
        <v>2093</v>
      </c>
      <c r="B546" s="30">
        <f>IFERROR(__xludf.DUMMYFUNCTION("""COMPUTED_VALUE"""),80.0)</f>
        <v>80</v>
      </c>
      <c r="C546" s="30"/>
      <c r="D546" s="30"/>
      <c r="E546" s="30"/>
      <c r="F546" s="30"/>
      <c r="G546" s="30"/>
      <c r="H546" s="30"/>
      <c r="I546" s="30"/>
      <c r="J546" s="30">
        <f>IFERROR(__xludf.DUMMYFUNCTION("""COMPUTED_VALUE"""),-11.059343513011441)</f>
        <v>-11.05934351</v>
      </c>
      <c r="K546" s="30"/>
      <c r="L546" s="30"/>
      <c r="M546" s="30"/>
      <c r="N546" s="30"/>
      <c r="O546" s="30">
        <f>IFERROR(__xludf.DUMMYFUNCTION("""COMPUTED_VALUE"""),-2.630874715592867)</f>
        <v>-2.630874716</v>
      </c>
      <c r="P546" s="30">
        <f>IFERROR(__xludf.DUMMYFUNCTION("""COMPUTED_VALUE"""),4.463999088063446)</f>
        <v>4.463999088</v>
      </c>
      <c r="Q546" s="30"/>
      <c r="R546" s="30"/>
      <c r="S546" s="30"/>
      <c r="T546" s="30"/>
      <c r="U546" s="30">
        <v>0.0</v>
      </c>
      <c r="V546" s="30"/>
      <c r="W546" s="30"/>
      <c r="X546" s="30"/>
      <c r="Y546" s="5">
        <f>IFERROR(__xludf.DUMMYFUNCTION("""COMPUTED_VALUE"""),80.0)</f>
        <v>80</v>
      </c>
      <c r="Z546" s="5">
        <f>IFERROR(__xludf.DUMMYFUNCTION("""COMPUTED_VALUE"""),80.0)</f>
        <v>80</v>
      </c>
    </row>
    <row r="547">
      <c r="A547" s="30" t="s">
        <v>2094</v>
      </c>
      <c r="B547" s="30">
        <f>IFERROR(__xludf.DUMMYFUNCTION("""COMPUTED_VALUE"""),80.0)</f>
        <v>80</v>
      </c>
      <c r="C547" s="30"/>
      <c r="D547" s="30"/>
      <c r="E547" s="30"/>
      <c r="F547" s="30"/>
      <c r="G547" s="30"/>
      <c r="H547" s="30"/>
      <c r="I547" s="30"/>
      <c r="J547" s="30">
        <f>IFERROR(__xludf.DUMMYFUNCTION("""COMPUTED_VALUE"""),-11.059343513011441)</f>
        <v>-11.05934351</v>
      </c>
      <c r="K547" s="30"/>
      <c r="L547" s="30"/>
      <c r="M547" s="30"/>
      <c r="N547" s="30"/>
      <c r="O547" s="30">
        <f>IFERROR(__xludf.DUMMYFUNCTION("""COMPUTED_VALUE"""),-2.630874715592867)</f>
        <v>-2.630874716</v>
      </c>
      <c r="P547" s="30">
        <f>IFERROR(__xludf.DUMMYFUNCTION("""COMPUTED_VALUE"""),4.463999088063446)</f>
        <v>4.463999088</v>
      </c>
      <c r="Q547" s="30"/>
      <c r="R547" s="30"/>
      <c r="S547" s="30"/>
      <c r="T547" s="30"/>
      <c r="U547" s="30">
        <v>0.0</v>
      </c>
      <c r="V547" s="30"/>
      <c r="W547" s="30"/>
      <c r="X547" s="30"/>
      <c r="Y547" s="5">
        <f>IFERROR(__xludf.DUMMYFUNCTION("""COMPUTED_VALUE"""),80.0)</f>
        <v>80</v>
      </c>
      <c r="Z547" s="5">
        <f>IFERROR(__xludf.DUMMYFUNCTION("""COMPUTED_VALUE"""),80.0)</f>
        <v>80</v>
      </c>
    </row>
    <row r="548">
      <c r="A548" s="30" t="s">
        <v>2095</v>
      </c>
      <c r="B548" s="30">
        <f>IFERROR(__xludf.DUMMYFUNCTION("""COMPUTED_VALUE"""),79.0)</f>
        <v>79</v>
      </c>
      <c r="C548" s="30"/>
      <c r="D548" s="30"/>
      <c r="E548" s="30"/>
      <c r="F548" s="30"/>
      <c r="G548" s="30"/>
      <c r="H548" s="30"/>
      <c r="I548" s="30"/>
      <c r="J548" s="30">
        <f>IFERROR(__xludf.DUMMYFUNCTION("""COMPUTED_VALUE"""),-11.059343513011441)</f>
        <v>-11.05934351</v>
      </c>
      <c r="K548" s="30"/>
      <c r="L548" s="30"/>
      <c r="M548" s="30"/>
      <c r="N548" s="30"/>
      <c r="O548" s="30">
        <f>IFERROR(__xludf.DUMMYFUNCTION("""COMPUTED_VALUE"""),-2.630874715592867)</f>
        <v>-2.630874716</v>
      </c>
      <c r="P548" s="30">
        <f>IFERROR(__xludf.DUMMYFUNCTION("""COMPUTED_VALUE"""),4.463999088063446)</f>
        <v>4.463999088</v>
      </c>
      <c r="Q548" s="30"/>
      <c r="R548" s="30"/>
      <c r="S548" s="30"/>
      <c r="T548" s="30"/>
      <c r="U548" s="30">
        <v>0.0</v>
      </c>
      <c r="V548" s="30"/>
      <c r="W548" s="30"/>
      <c r="X548" s="30"/>
      <c r="Y548" s="5">
        <f>IFERROR(__xludf.DUMMYFUNCTION("""COMPUTED_VALUE"""),79.0)</f>
        <v>79</v>
      </c>
      <c r="Z548" s="5">
        <f>IFERROR(__xludf.DUMMYFUNCTION("""COMPUTED_VALUE"""),79.0)</f>
        <v>79</v>
      </c>
    </row>
    <row r="549">
      <c r="A549" s="30" t="s">
        <v>969</v>
      </c>
      <c r="B549" s="30">
        <f>IFERROR(__xludf.DUMMYFUNCTION("""COMPUTED_VALUE"""),81.0)</f>
        <v>81</v>
      </c>
      <c r="C549" s="30"/>
      <c r="D549" s="30"/>
      <c r="E549" s="30"/>
      <c r="F549" s="30"/>
      <c r="G549" s="30"/>
      <c r="H549" s="30"/>
      <c r="I549" s="30"/>
      <c r="J549" s="30">
        <f>IFERROR(__xludf.DUMMYFUNCTION("""COMPUTED_VALUE"""),-11.059343513011441)</f>
        <v>-11.05934351</v>
      </c>
      <c r="K549" s="30"/>
      <c r="L549" s="30"/>
      <c r="M549" s="30"/>
      <c r="N549" s="30"/>
      <c r="O549" s="30">
        <f>IFERROR(__xludf.DUMMYFUNCTION("""COMPUTED_VALUE"""),-2.630874715592867)</f>
        <v>-2.630874716</v>
      </c>
      <c r="P549" s="30">
        <f>IFERROR(__xludf.DUMMYFUNCTION("""COMPUTED_VALUE"""),4.463999088063446)</f>
        <v>4.463999088</v>
      </c>
      <c r="Q549" s="30"/>
      <c r="R549" s="30"/>
      <c r="S549" s="30"/>
      <c r="T549" s="30"/>
      <c r="U549" s="30">
        <v>0.0</v>
      </c>
      <c r="V549" s="30"/>
      <c r="W549" s="30"/>
      <c r="X549" s="30"/>
      <c r="Y549" s="5">
        <f>IFERROR(__xludf.DUMMYFUNCTION("""COMPUTED_VALUE"""),81.0)</f>
        <v>81</v>
      </c>
      <c r="Z549" s="5">
        <f>IFERROR(__xludf.DUMMYFUNCTION("""COMPUTED_VALUE"""),81.0)</f>
        <v>81</v>
      </c>
    </row>
    <row r="550">
      <c r="A550" s="30" t="s">
        <v>527</v>
      </c>
      <c r="B550" s="30">
        <f>IFERROR(__xludf.DUMMYFUNCTION("""COMPUTED_VALUE"""),80.0)</f>
        <v>80</v>
      </c>
      <c r="C550" s="30"/>
      <c r="D550" s="30"/>
      <c r="E550" s="30"/>
      <c r="F550" s="30"/>
      <c r="G550" s="30"/>
      <c r="H550" s="30"/>
      <c r="I550" s="30"/>
      <c r="J550" s="30">
        <f>IFERROR(__xludf.DUMMYFUNCTION("""COMPUTED_VALUE"""),-11.059343513011441)</f>
        <v>-11.05934351</v>
      </c>
      <c r="K550" s="30"/>
      <c r="L550" s="30"/>
      <c r="M550" s="30"/>
      <c r="N550" s="30"/>
      <c r="O550" s="30">
        <f>IFERROR(__xludf.DUMMYFUNCTION("""COMPUTED_VALUE"""),-2.630874715592867)</f>
        <v>-2.630874716</v>
      </c>
      <c r="P550" s="30">
        <f>IFERROR(__xludf.DUMMYFUNCTION("""COMPUTED_VALUE"""),4.463999088063446)</f>
        <v>4.463999088</v>
      </c>
      <c r="Q550" s="30"/>
      <c r="R550" s="30"/>
      <c r="S550" s="30"/>
      <c r="T550" s="30"/>
      <c r="U550" s="30">
        <v>0.0</v>
      </c>
      <c r="V550" s="30"/>
      <c r="W550" s="30"/>
      <c r="X550" s="30"/>
      <c r="Y550" s="5">
        <f>IFERROR(__xludf.DUMMYFUNCTION("""COMPUTED_VALUE"""),80.0)</f>
        <v>80</v>
      </c>
      <c r="Z550" s="5">
        <f>IFERROR(__xludf.DUMMYFUNCTION("""COMPUTED_VALUE"""),80.0)</f>
        <v>80</v>
      </c>
    </row>
    <row r="551">
      <c r="A551" s="30" t="s">
        <v>2096</v>
      </c>
      <c r="B551" s="30">
        <f>IFERROR(__xludf.DUMMYFUNCTION("""COMPUTED_VALUE"""),82.0)</f>
        <v>82</v>
      </c>
      <c r="C551" s="30"/>
      <c r="D551" s="30"/>
      <c r="E551" s="30"/>
      <c r="F551" s="30"/>
      <c r="G551" s="30"/>
      <c r="H551" s="30"/>
      <c r="I551" s="30"/>
      <c r="J551" s="30">
        <f>IFERROR(__xludf.DUMMYFUNCTION("""COMPUTED_VALUE"""),-11.059343513011441)</f>
        <v>-11.05934351</v>
      </c>
      <c r="K551" s="30"/>
      <c r="L551" s="30"/>
      <c r="M551" s="30"/>
      <c r="N551" s="30"/>
      <c r="O551" s="30">
        <f>IFERROR(__xludf.DUMMYFUNCTION("""COMPUTED_VALUE"""),-2.630874715592867)</f>
        <v>-2.630874716</v>
      </c>
      <c r="P551" s="30">
        <f>IFERROR(__xludf.DUMMYFUNCTION("""COMPUTED_VALUE"""),4.463999088063446)</f>
        <v>4.463999088</v>
      </c>
      <c r="Q551" s="30"/>
      <c r="R551" s="30"/>
      <c r="S551" s="30"/>
      <c r="T551" s="30"/>
      <c r="U551" s="30">
        <v>0.0</v>
      </c>
      <c r="V551" s="30"/>
      <c r="W551" s="30"/>
      <c r="X551" s="30"/>
      <c r="Y551" s="5">
        <f>IFERROR(__xludf.DUMMYFUNCTION("""COMPUTED_VALUE"""),82.0)</f>
        <v>82</v>
      </c>
      <c r="Z551" s="5">
        <f>IFERROR(__xludf.DUMMYFUNCTION("""COMPUTED_VALUE"""),82.0)</f>
        <v>82</v>
      </c>
    </row>
    <row r="552">
      <c r="A552" s="30" t="s">
        <v>608</v>
      </c>
      <c r="B552" s="30">
        <f>IFERROR(__xludf.DUMMYFUNCTION("""COMPUTED_VALUE"""),80.0)</f>
        <v>80</v>
      </c>
      <c r="C552" s="30"/>
      <c r="D552" s="30"/>
      <c r="E552" s="30"/>
      <c r="F552" s="30"/>
      <c r="G552" s="30"/>
      <c r="H552" s="30"/>
      <c r="I552" s="30"/>
      <c r="J552" s="30">
        <f>IFERROR(__xludf.DUMMYFUNCTION("""COMPUTED_VALUE"""),-11.059343513011441)</f>
        <v>-11.05934351</v>
      </c>
      <c r="K552" s="30"/>
      <c r="L552" s="30"/>
      <c r="M552" s="30"/>
      <c r="N552" s="30"/>
      <c r="O552" s="30">
        <f>IFERROR(__xludf.DUMMYFUNCTION("""COMPUTED_VALUE"""),-2.630874715592867)</f>
        <v>-2.630874716</v>
      </c>
      <c r="P552" s="30">
        <f>IFERROR(__xludf.DUMMYFUNCTION("""COMPUTED_VALUE"""),4.463999088063446)</f>
        <v>4.463999088</v>
      </c>
      <c r="Q552" s="30"/>
      <c r="R552" s="30"/>
      <c r="S552" s="30"/>
      <c r="T552" s="30"/>
      <c r="U552" s="30">
        <v>0.0</v>
      </c>
      <c r="V552" s="30"/>
      <c r="W552" s="30"/>
      <c r="X552" s="30"/>
      <c r="Y552" s="5">
        <f>IFERROR(__xludf.DUMMYFUNCTION("""COMPUTED_VALUE"""),80.0)</f>
        <v>80</v>
      </c>
      <c r="Z552" s="5">
        <f>IFERROR(__xludf.DUMMYFUNCTION("""COMPUTED_VALUE"""),80.0)</f>
        <v>80</v>
      </c>
    </row>
    <row r="553">
      <c r="A553" s="30" t="s">
        <v>2099</v>
      </c>
      <c r="B553" s="30">
        <f>IFERROR(__xludf.DUMMYFUNCTION("""COMPUTED_VALUE"""),81.0)</f>
        <v>81</v>
      </c>
      <c r="C553" s="30"/>
      <c r="D553" s="30"/>
      <c r="E553" s="30"/>
      <c r="F553" s="30"/>
      <c r="G553" s="30"/>
      <c r="H553" s="30"/>
      <c r="I553" s="30"/>
      <c r="J553" s="30">
        <f>IFERROR(__xludf.DUMMYFUNCTION("""COMPUTED_VALUE"""),-11.059343513011441)</f>
        <v>-11.05934351</v>
      </c>
      <c r="K553" s="30"/>
      <c r="L553" s="30"/>
      <c r="M553" s="30"/>
      <c r="N553" s="30"/>
      <c r="O553" s="30">
        <f>IFERROR(__xludf.DUMMYFUNCTION("""COMPUTED_VALUE"""),-2.630874715592867)</f>
        <v>-2.630874716</v>
      </c>
      <c r="P553" s="30">
        <f>IFERROR(__xludf.DUMMYFUNCTION("""COMPUTED_VALUE"""),4.463999088063446)</f>
        <v>4.463999088</v>
      </c>
      <c r="Q553" s="30"/>
      <c r="R553" s="30"/>
      <c r="S553" s="30"/>
      <c r="T553" s="30"/>
      <c r="U553" s="30">
        <v>0.0</v>
      </c>
      <c r="V553" s="30"/>
      <c r="W553" s="30"/>
      <c r="X553" s="30"/>
      <c r="Y553" s="5">
        <f>IFERROR(__xludf.DUMMYFUNCTION("""COMPUTED_VALUE"""),81.0)</f>
        <v>81</v>
      </c>
      <c r="Z553" s="5">
        <f>IFERROR(__xludf.DUMMYFUNCTION("""COMPUTED_VALUE"""),81.0)</f>
        <v>81</v>
      </c>
    </row>
    <row r="554">
      <c r="A554" s="30" t="s">
        <v>2100</v>
      </c>
      <c r="B554" s="30">
        <f>IFERROR(__xludf.DUMMYFUNCTION("""COMPUTED_VALUE"""),80.0)</f>
        <v>80</v>
      </c>
      <c r="C554" s="30"/>
      <c r="D554" s="30"/>
      <c r="E554" s="30"/>
      <c r="F554" s="30"/>
      <c r="G554" s="30"/>
      <c r="H554" s="30"/>
      <c r="I554" s="30"/>
      <c r="J554" s="30">
        <f>IFERROR(__xludf.DUMMYFUNCTION("""COMPUTED_VALUE"""),-11.059343513011441)</f>
        <v>-11.05934351</v>
      </c>
      <c r="K554" s="30"/>
      <c r="L554" s="30"/>
      <c r="M554" s="30"/>
      <c r="N554" s="30"/>
      <c r="O554" s="30">
        <f>IFERROR(__xludf.DUMMYFUNCTION("""COMPUTED_VALUE"""),-2.630874715592867)</f>
        <v>-2.630874716</v>
      </c>
      <c r="P554" s="30">
        <f>IFERROR(__xludf.DUMMYFUNCTION("""COMPUTED_VALUE"""),4.463999088063446)</f>
        <v>4.463999088</v>
      </c>
      <c r="Q554" s="30"/>
      <c r="R554" s="30"/>
      <c r="S554" s="30"/>
      <c r="T554" s="30"/>
      <c r="U554" s="30">
        <v>0.0</v>
      </c>
      <c r="V554" s="30"/>
      <c r="W554" s="30"/>
      <c r="X554" s="30"/>
      <c r="Y554" s="5">
        <f>IFERROR(__xludf.DUMMYFUNCTION("""COMPUTED_VALUE"""),80.0)</f>
        <v>80</v>
      </c>
      <c r="Z554" s="5">
        <f>IFERROR(__xludf.DUMMYFUNCTION("""COMPUTED_VALUE"""),80.0)</f>
        <v>80</v>
      </c>
    </row>
    <row r="555">
      <c r="A555" s="30" t="s">
        <v>2101</v>
      </c>
      <c r="B555" s="30">
        <f>IFERROR(__xludf.DUMMYFUNCTION("""COMPUTED_VALUE"""),79.0)</f>
        <v>79</v>
      </c>
      <c r="C555" s="30"/>
      <c r="D555" s="30"/>
      <c r="E555" s="30"/>
      <c r="F555" s="30"/>
      <c r="G555" s="30"/>
      <c r="H555" s="30"/>
      <c r="I555" s="30"/>
      <c r="J555" s="30">
        <f>IFERROR(__xludf.DUMMYFUNCTION("""COMPUTED_VALUE"""),-11.059343513011441)</f>
        <v>-11.05934351</v>
      </c>
      <c r="K555" s="30"/>
      <c r="L555" s="30"/>
      <c r="M555" s="30"/>
      <c r="N555" s="30"/>
      <c r="O555" s="30">
        <f>IFERROR(__xludf.DUMMYFUNCTION("""COMPUTED_VALUE"""),-2.630874715592867)</f>
        <v>-2.630874716</v>
      </c>
      <c r="P555" s="30">
        <f>IFERROR(__xludf.DUMMYFUNCTION("""COMPUTED_VALUE"""),4.463999088063446)</f>
        <v>4.463999088</v>
      </c>
      <c r="Q555" s="30"/>
      <c r="R555" s="30"/>
      <c r="S555" s="30"/>
      <c r="T555" s="30"/>
      <c r="U555" s="30">
        <v>0.0</v>
      </c>
      <c r="V555" s="30"/>
      <c r="W555" s="30"/>
      <c r="X555" s="30"/>
      <c r="Y555" s="5">
        <f>IFERROR(__xludf.DUMMYFUNCTION("""COMPUTED_VALUE"""),79.0)</f>
        <v>79</v>
      </c>
      <c r="Z555" s="5">
        <f>IFERROR(__xludf.DUMMYFUNCTION("""COMPUTED_VALUE"""),79.0)</f>
        <v>79</v>
      </c>
    </row>
    <row r="556">
      <c r="A556" s="30" t="s">
        <v>2102</v>
      </c>
      <c r="B556" s="30">
        <f>IFERROR(__xludf.DUMMYFUNCTION("""COMPUTED_VALUE"""),82.0)</f>
        <v>82</v>
      </c>
      <c r="C556" s="30"/>
      <c r="D556" s="30"/>
      <c r="E556" s="30"/>
      <c r="F556" s="30"/>
      <c r="G556" s="30"/>
      <c r="H556" s="30"/>
      <c r="I556" s="30"/>
      <c r="J556" s="30">
        <f>IFERROR(__xludf.DUMMYFUNCTION("""COMPUTED_VALUE"""),-11.059343513011441)</f>
        <v>-11.05934351</v>
      </c>
      <c r="K556" s="30"/>
      <c r="L556" s="30"/>
      <c r="M556" s="30"/>
      <c r="N556" s="30"/>
      <c r="O556" s="30">
        <f>IFERROR(__xludf.DUMMYFUNCTION("""COMPUTED_VALUE"""),-2.630874715592867)</f>
        <v>-2.630874716</v>
      </c>
      <c r="P556" s="30">
        <f>IFERROR(__xludf.DUMMYFUNCTION("""COMPUTED_VALUE"""),4.463999088063446)</f>
        <v>4.463999088</v>
      </c>
      <c r="Q556" s="30"/>
      <c r="R556" s="30"/>
      <c r="S556" s="30"/>
      <c r="T556" s="30"/>
      <c r="U556" s="30">
        <v>0.0</v>
      </c>
      <c r="V556" s="30"/>
      <c r="W556" s="30"/>
      <c r="X556" s="30"/>
      <c r="Y556" s="5">
        <f>IFERROR(__xludf.DUMMYFUNCTION("""COMPUTED_VALUE"""),82.0)</f>
        <v>82</v>
      </c>
      <c r="Z556" s="5">
        <f>IFERROR(__xludf.DUMMYFUNCTION("""COMPUTED_VALUE"""),82.0)</f>
        <v>82</v>
      </c>
    </row>
    <row r="557">
      <c r="A557" s="30" t="s">
        <v>2103</v>
      </c>
      <c r="B557" s="30">
        <f>IFERROR(__xludf.DUMMYFUNCTION("""COMPUTED_VALUE"""),82.0)</f>
        <v>82</v>
      </c>
      <c r="C557" s="30"/>
      <c r="D557" s="30"/>
      <c r="E557" s="30"/>
      <c r="F557" s="30"/>
      <c r="G557" s="30"/>
      <c r="H557" s="30"/>
      <c r="I557" s="30"/>
      <c r="J557" s="30">
        <f>IFERROR(__xludf.DUMMYFUNCTION("""COMPUTED_VALUE"""),-11.059343513011441)</f>
        <v>-11.05934351</v>
      </c>
      <c r="K557" s="30"/>
      <c r="L557" s="30"/>
      <c r="M557" s="30"/>
      <c r="N557" s="30"/>
      <c r="O557" s="30">
        <f>IFERROR(__xludf.DUMMYFUNCTION("""COMPUTED_VALUE"""),-2.630874715592867)</f>
        <v>-2.630874716</v>
      </c>
      <c r="P557" s="30">
        <f>IFERROR(__xludf.DUMMYFUNCTION("""COMPUTED_VALUE"""),4.463999088063446)</f>
        <v>4.463999088</v>
      </c>
      <c r="Q557" s="30"/>
      <c r="R557" s="30"/>
      <c r="S557" s="30"/>
      <c r="T557" s="30"/>
      <c r="U557" s="30">
        <v>0.0</v>
      </c>
      <c r="V557" s="30"/>
      <c r="W557" s="30"/>
      <c r="X557" s="30"/>
      <c r="Y557" s="5">
        <f>IFERROR(__xludf.DUMMYFUNCTION("""COMPUTED_VALUE"""),82.0)</f>
        <v>82</v>
      </c>
      <c r="Z557" s="5">
        <f>IFERROR(__xludf.DUMMYFUNCTION("""COMPUTED_VALUE"""),82.0)</f>
        <v>82</v>
      </c>
    </row>
    <row r="558">
      <c r="A558" s="30" t="s">
        <v>2104</v>
      </c>
      <c r="B558" s="30">
        <f>IFERROR(__xludf.DUMMYFUNCTION("""COMPUTED_VALUE"""),81.0)</f>
        <v>81</v>
      </c>
      <c r="C558" s="30"/>
      <c r="D558" s="30"/>
      <c r="E558" s="30"/>
      <c r="F558" s="30"/>
      <c r="G558" s="30"/>
      <c r="H558" s="30"/>
      <c r="I558" s="30"/>
      <c r="J558" s="30">
        <f>IFERROR(__xludf.DUMMYFUNCTION("""COMPUTED_VALUE"""),-11.059343513011441)</f>
        <v>-11.05934351</v>
      </c>
      <c r="K558" s="30"/>
      <c r="L558" s="30"/>
      <c r="M558" s="30"/>
      <c r="N558" s="30"/>
      <c r="O558" s="30">
        <f>IFERROR(__xludf.DUMMYFUNCTION("""COMPUTED_VALUE"""),-2.630874715592867)</f>
        <v>-2.630874716</v>
      </c>
      <c r="P558" s="30">
        <f>IFERROR(__xludf.DUMMYFUNCTION("""COMPUTED_VALUE"""),4.463999088063446)</f>
        <v>4.463999088</v>
      </c>
      <c r="Q558" s="30"/>
      <c r="R558" s="30"/>
      <c r="S558" s="30"/>
      <c r="T558" s="30"/>
      <c r="U558" s="30">
        <v>0.0</v>
      </c>
      <c r="V558" s="30"/>
      <c r="W558" s="30"/>
      <c r="X558" s="30"/>
      <c r="Y558" s="5">
        <f>IFERROR(__xludf.DUMMYFUNCTION("""COMPUTED_VALUE"""),81.0)</f>
        <v>81</v>
      </c>
      <c r="Z558" s="5">
        <f>IFERROR(__xludf.DUMMYFUNCTION("""COMPUTED_VALUE"""),81.0)</f>
        <v>81</v>
      </c>
    </row>
    <row r="559">
      <c r="A559" s="30" t="s">
        <v>2105</v>
      </c>
      <c r="B559" s="30">
        <f>IFERROR(__xludf.DUMMYFUNCTION("""COMPUTED_VALUE"""),80.0)</f>
        <v>80</v>
      </c>
      <c r="C559" s="30"/>
      <c r="D559" s="30"/>
      <c r="E559" s="30"/>
      <c r="F559" s="30"/>
      <c r="G559" s="30"/>
      <c r="H559" s="30"/>
      <c r="I559" s="30"/>
      <c r="J559" s="30">
        <f>IFERROR(__xludf.DUMMYFUNCTION("""COMPUTED_VALUE"""),-11.059343513011441)</f>
        <v>-11.05934351</v>
      </c>
      <c r="K559" s="30"/>
      <c r="L559" s="30"/>
      <c r="M559" s="30"/>
      <c r="N559" s="30"/>
      <c r="O559" s="30">
        <f>IFERROR(__xludf.DUMMYFUNCTION("""COMPUTED_VALUE"""),-2.630874715592867)</f>
        <v>-2.630874716</v>
      </c>
      <c r="P559" s="30">
        <f>IFERROR(__xludf.DUMMYFUNCTION("""COMPUTED_VALUE"""),4.463999088063446)</f>
        <v>4.463999088</v>
      </c>
      <c r="Q559" s="30"/>
      <c r="R559" s="30"/>
      <c r="S559" s="30"/>
      <c r="T559" s="30"/>
      <c r="U559" s="30">
        <v>0.0</v>
      </c>
      <c r="V559" s="30"/>
      <c r="W559" s="30"/>
      <c r="X559" s="30"/>
      <c r="Y559" s="5">
        <f>IFERROR(__xludf.DUMMYFUNCTION("""COMPUTED_VALUE"""),80.0)</f>
        <v>80</v>
      </c>
      <c r="Z559" s="5">
        <f>IFERROR(__xludf.DUMMYFUNCTION("""COMPUTED_VALUE"""),80.0)</f>
        <v>80</v>
      </c>
    </row>
    <row r="560">
      <c r="A560" s="30" t="s">
        <v>377</v>
      </c>
      <c r="B560" s="30">
        <f>IFERROR(__xludf.DUMMYFUNCTION("""COMPUTED_VALUE"""),81.0)</f>
        <v>81</v>
      </c>
      <c r="C560" s="30"/>
      <c r="D560" s="30"/>
      <c r="E560" s="30"/>
      <c r="F560" s="30"/>
      <c r="G560" s="30"/>
      <c r="H560" s="30"/>
      <c r="I560" s="30"/>
      <c r="J560" s="30">
        <f>IFERROR(__xludf.DUMMYFUNCTION("""COMPUTED_VALUE"""),-11.059343513011441)</f>
        <v>-11.05934351</v>
      </c>
      <c r="K560" s="30"/>
      <c r="L560" s="30"/>
      <c r="M560" s="30"/>
      <c r="N560" s="30"/>
      <c r="O560" s="30">
        <f>IFERROR(__xludf.DUMMYFUNCTION("""COMPUTED_VALUE"""),-2.630874715592867)</f>
        <v>-2.630874716</v>
      </c>
      <c r="P560" s="30">
        <f>IFERROR(__xludf.DUMMYFUNCTION("""COMPUTED_VALUE"""),4.463999088063446)</f>
        <v>4.463999088</v>
      </c>
      <c r="Q560" s="30"/>
      <c r="R560" s="30"/>
      <c r="S560" s="30"/>
      <c r="T560" s="30"/>
      <c r="U560" s="30">
        <v>0.0</v>
      </c>
      <c r="V560" s="30"/>
      <c r="W560" s="30"/>
      <c r="X560" s="30"/>
      <c r="Y560" s="5">
        <f>IFERROR(__xludf.DUMMYFUNCTION("""COMPUTED_VALUE"""),81.0)</f>
        <v>81</v>
      </c>
      <c r="Z560" s="5">
        <f>IFERROR(__xludf.DUMMYFUNCTION("""COMPUTED_VALUE"""),81.0)</f>
        <v>81</v>
      </c>
    </row>
    <row r="561">
      <c r="A561" s="30" t="s">
        <v>2106</v>
      </c>
      <c r="B561" s="30">
        <f>IFERROR(__xludf.DUMMYFUNCTION("""COMPUTED_VALUE"""),78.0)</f>
        <v>78</v>
      </c>
      <c r="C561" s="30"/>
      <c r="D561" s="30"/>
      <c r="E561" s="30"/>
      <c r="F561" s="30"/>
      <c r="G561" s="30"/>
      <c r="H561" s="30"/>
      <c r="I561" s="30"/>
      <c r="J561" s="30">
        <f>IFERROR(__xludf.DUMMYFUNCTION("""COMPUTED_VALUE"""),-11.059343513011441)</f>
        <v>-11.05934351</v>
      </c>
      <c r="K561" s="30"/>
      <c r="L561" s="30"/>
      <c r="M561" s="30"/>
      <c r="N561" s="30"/>
      <c r="O561" s="30">
        <f>IFERROR(__xludf.DUMMYFUNCTION("""COMPUTED_VALUE"""),-2.630874715592867)</f>
        <v>-2.630874716</v>
      </c>
      <c r="P561" s="30">
        <f>IFERROR(__xludf.DUMMYFUNCTION("""COMPUTED_VALUE"""),4.463999088063446)</f>
        <v>4.463999088</v>
      </c>
      <c r="Q561" s="30"/>
      <c r="R561" s="30"/>
      <c r="S561" s="30"/>
      <c r="T561" s="30"/>
      <c r="U561" s="30">
        <v>0.0</v>
      </c>
      <c r="V561" s="30"/>
      <c r="W561" s="30"/>
      <c r="X561" s="30"/>
      <c r="Y561" s="5">
        <f>IFERROR(__xludf.DUMMYFUNCTION("""COMPUTED_VALUE"""),78.0)</f>
        <v>78</v>
      </c>
      <c r="Z561" s="5">
        <f>IFERROR(__xludf.DUMMYFUNCTION("""COMPUTED_VALUE"""),78.0)</f>
        <v>78</v>
      </c>
    </row>
    <row r="562">
      <c r="A562" s="30" t="s">
        <v>2107</v>
      </c>
      <c r="B562" s="30">
        <f>IFERROR(__xludf.DUMMYFUNCTION("""COMPUTED_VALUE"""),82.0)</f>
        <v>82</v>
      </c>
      <c r="C562" s="30"/>
      <c r="D562" s="30"/>
      <c r="E562" s="30"/>
      <c r="F562" s="30"/>
      <c r="G562" s="30"/>
      <c r="H562" s="30"/>
      <c r="I562" s="30"/>
      <c r="J562" s="30">
        <f>IFERROR(__xludf.DUMMYFUNCTION("""COMPUTED_VALUE"""),-11.059343513011441)</f>
        <v>-11.05934351</v>
      </c>
      <c r="K562" s="30"/>
      <c r="L562" s="30"/>
      <c r="M562" s="30"/>
      <c r="N562" s="30"/>
      <c r="O562" s="30">
        <f>IFERROR(__xludf.DUMMYFUNCTION("""COMPUTED_VALUE"""),-2.630874715592867)</f>
        <v>-2.630874716</v>
      </c>
      <c r="P562" s="30">
        <f>IFERROR(__xludf.DUMMYFUNCTION("""COMPUTED_VALUE"""),4.463999088063446)</f>
        <v>4.463999088</v>
      </c>
      <c r="Q562" s="30"/>
      <c r="R562" s="30"/>
      <c r="S562" s="30"/>
      <c r="T562" s="30"/>
      <c r="U562" s="30">
        <v>0.0</v>
      </c>
      <c r="V562" s="30"/>
      <c r="W562" s="30"/>
      <c r="X562" s="30"/>
      <c r="Y562" s="5">
        <f>IFERROR(__xludf.DUMMYFUNCTION("""COMPUTED_VALUE"""),82.0)</f>
        <v>82</v>
      </c>
      <c r="Z562" s="5">
        <f>IFERROR(__xludf.DUMMYFUNCTION("""COMPUTED_VALUE"""),82.0)</f>
        <v>82</v>
      </c>
    </row>
    <row r="563">
      <c r="A563" s="30" t="s">
        <v>2109</v>
      </c>
      <c r="B563" s="30">
        <f>IFERROR(__xludf.DUMMYFUNCTION("""COMPUTED_VALUE"""),82.5)</f>
        <v>82.5</v>
      </c>
      <c r="C563" s="30"/>
      <c r="D563" s="30"/>
      <c r="E563" s="30"/>
      <c r="F563" s="30"/>
      <c r="G563" s="30"/>
      <c r="H563" s="30"/>
      <c r="I563" s="30"/>
      <c r="J563" s="30">
        <f>IFERROR(__xludf.DUMMYFUNCTION("""COMPUTED_VALUE"""),-11.059343513011441)</f>
        <v>-11.05934351</v>
      </c>
      <c r="K563" s="30"/>
      <c r="L563" s="30"/>
      <c r="M563" s="30"/>
      <c r="N563" s="30"/>
      <c r="O563" s="30">
        <f>IFERROR(__xludf.DUMMYFUNCTION("""COMPUTED_VALUE"""),-2.630874715592867)</f>
        <v>-2.630874716</v>
      </c>
      <c r="P563" s="30">
        <f>IFERROR(__xludf.DUMMYFUNCTION("""COMPUTED_VALUE"""),4.463999088063446)</f>
        <v>4.463999088</v>
      </c>
      <c r="Q563" s="30"/>
      <c r="R563" s="30"/>
      <c r="S563" s="30"/>
      <c r="T563" s="30"/>
      <c r="U563" s="30">
        <v>0.0</v>
      </c>
      <c r="V563" s="30"/>
      <c r="W563" s="30"/>
      <c r="X563" s="30"/>
      <c r="Y563" s="5">
        <f>IFERROR(__xludf.DUMMYFUNCTION("""COMPUTED_VALUE"""),81.0)</f>
        <v>81</v>
      </c>
      <c r="Z563" s="5">
        <f>IFERROR(__xludf.DUMMYFUNCTION("""COMPUTED_VALUE"""),84.0)</f>
        <v>84</v>
      </c>
    </row>
    <row r="564">
      <c r="A564" s="30" t="s">
        <v>2079</v>
      </c>
      <c r="B564" s="30">
        <f>IFERROR(__xludf.DUMMYFUNCTION("""COMPUTED_VALUE"""),83.0)</f>
        <v>83</v>
      </c>
      <c r="C564" s="30"/>
      <c r="D564" s="30"/>
      <c r="E564" s="30"/>
      <c r="F564" s="30"/>
      <c r="G564" s="30"/>
      <c r="H564" s="30"/>
      <c r="I564" s="30"/>
      <c r="J564" s="30">
        <f>IFERROR(__xludf.DUMMYFUNCTION("""COMPUTED_VALUE"""),-11.059343513011441)</f>
        <v>-11.05934351</v>
      </c>
      <c r="K564" s="30"/>
      <c r="L564" s="30"/>
      <c r="M564" s="30"/>
      <c r="N564" s="30"/>
      <c r="O564" s="30">
        <f>IFERROR(__xludf.DUMMYFUNCTION("""COMPUTED_VALUE"""),-2.630874715592867)</f>
        <v>-2.630874716</v>
      </c>
      <c r="P564" s="30">
        <f>IFERROR(__xludf.DUMMYFUNCTION("""COMPUTED_VALUE"""),4.463999088063446)</f>
        <v>4.463999088</v>
      </c>
      <c r="Q564" s="30"/>
      <c r="R564" s="30"/>
      <c r="S564" s="30"/>
      <c r="T564" s="30"/>
      <c r="U564" s="30">
        <v>0.0</v>
      </c>
      <c r="V564" s="30"/>
      <c r="W564" s="30"/>
      <c r="X564" s="30"/>
      <c r="Y564" s="5">
        <f>IFERROR(__xludf.DUMMYFUNCTION("""COMPUTED_VALUE"""),83.0)</f>
        <v>83</v>
      </c>
      <c r="Z564" s="5">
        <f>IFERROR(__xludf.DUMMYFUNCTION("""COMPUTED_VALUE"""),83.0)</f>
        <v>83</v>
      </c>
    </row>
    <row r="565">
      <c r="A565" s="30" t="s">
        <v>2116</v>
      </c>
      <c r="B565" s="30">
        <f>IFERROR(__xludf.DUMMYFUNCTION("""COMPUTED_VALUE"""),79.0)</f>
        <v>79</v>
      </c>
      <c r="C565" s="30"/>
      <c r="D565" s="30"/>
      <c r="E565" s="30"/>
      <c r="F565" s="30"/>
      <c r="G565" s="30"/>
      <c r="H565" s="30"/>
      <c r="I565" s="30"/>
      <c r="J565" s="30">
        <f>IFERROR(__xludf.DUMMYFUNCTION("""COMPUTED_VALUE"""),-11.059343513011441)</f>
        <v>-11.05934351</v>
      </c>
      <c r="K565" s="30"/>
      <c r="L565" s="30"/>
      <c r="M565" s="30"/>
      <c r="N565" s="30"/>
      <c r="O565" s="30">
        <f>IFERROR(__xludf.DUMMYFUNCTION("""COMPUTED_VALUE"""),-2.630874715592867)</f>
        <v>-2.630874716</v>
      </c>
      <c r="P565" s="30">
        <f>IFERROR(__xludf.DUMMYFUNCTION("""COMPUTED_VALUE"""),4.463999088063446)</f>
        <v>4.463999088</v>
      </c>
      <c r="Q565" s="30"/>
      <c r="R565" s="30"/>
      <c r="S565" s="30"/>
      <c r="T565" s="30"/>
      <c r="U565" s="30">
        <v>0.0</v>
      </c>
      <c r="V565" s="30"/>
      <c r="W565" s="30"/>
      <c r="X565" s="30"/>
      <c r="Y565" s="5">
        <f>IFERROR(__xludf.DUMMYFUNCTION("""COMPUTED_VALUE"""),79.0)</f>
        <v>79</v>
      </c>
      <c r="Z565" s="5">
        <f>IFERROR(__xludf.DUMMYFUNCTION("""COMPUTED_VALUE"""),79.0)</f>
        <v>79</v>
      </c>
    </row>
    <row r="566">
      <c r="A566" s="30" t="s">
        <v>2117</v>
      </c>
      <c r="B566" s="30">
        <f>IFERROR(__xludf.DUMMYFUNCTION("""COMPUTED_VALUE"""),80.0)</f>
        <v>80</v>
      </c>
      <c r="C566" s="30"/>
      <c r="D566" s="30"/>
      <c r="E566" s="30"/>
      <c r="F566" s="30"/>
      <c r="G566" s="30"/>
      <c r="H566" s="30"/>
      <c r="I566" s="30"/>
      <c r="J566" s="30">
        <f>IFERROR(__xludf.DUMMYFUNCTION("""COMPUTED_VALUE"""),-11.059343513011441)</f>
        <v>-11.05934351</v>
      </c>
      <c r="K566" s="30"/>
      <c r="L566" s="30"/>
      <c r="M566" s="30"/>
      <c r="N566" s="30"/>
      <c r="O566" s="30">
        <f>IFERROR(__xludf.DUMMYFUNCTION("""COMPUTED_VALUE"""),-2.630874715592867)</f>
        <v>-2.630874716</v>
      </c>
      <c r="P566" s="30">
        <f>IFERROR(__xludf.DUMMYFUNCTION("""COMPUTED_VALUE"""),4.463999088063446)</f>
        <v>4.463999088</v>
      </c>
      <c r="Q566" s="30"/>
      <c r="R566" s="30"/>
      <c r="S566" s="30"/>
      <c r="T566" s="30"/>
      <c r="U566" s="30">
        <v>0.0</v>
      </c>
      <c r="V566" s="30"/>
      <c r="W566" s="30"/>
      <c r="X566" s="30"/>
      <c r="Y566" s="5">
        <f>IFERROR(__xludf.DUMMYFUNCTION("""COMPUTED_VALUE"""),79.0)</f>
        <v>79</v>
      </c>
      <c r="Z566" s="5">
        <f>IFERROR(__xludf.DUMMYFUNCTION("""COMPUTED_VALUE"""),81.0)</f>
        <v>81</v>
      </c>
    </row>
    <row r="567">
      <c r="A567" s="30" t="s">
        <v>2120</v>
      </c>
      <c r="B567" s="30">
        <f>IFERROR(__xludf.DUMMYFUNCTION("""COMPUTED_VALUE"""),82.5)</f>
        <v>82.5</v>
      </c>
      <c r="C567" s="30"/>
      <c r="D567" s="30"/>
      <c r="E567" s="30"/>
      <c r="F567" s="30"/>
      <c r="G567" s="30"/>
      <c r="H567" s="30"/>
      <c r="I567" s="30"/>
      <c r="J567" s="30">
        <f>IFERROR(__xludf.DUMMYFUNCTION("""COMPUTED_VALUE"""),-11.059343513011441)</f>
        <v>-11.05934351</v>
      </c>
      <c r="K567" s="30"/>
      <c r="L567" s="30"/>
      <c r="M567" s="30"/>
      <c r="N567" s="30"/>
      <c r="O567" s="30">
        <f>IFERROR(__xludf.DUMMYFUNCTION("""COMPUTED_VALUE"""),-2.630874715592867)</f>
        <v>-2.630874716</v>
      </c>
      <c r="P567" s="30">
        <f>IFERROR(__xludf.DUMMYFUNCTION("""COMPUTED_VALUE"""),4.463999088063446)</f>
        <v>4.463999088</v>
      </c>
      <c r="Q567" s="30"/>
      <c r="R567" s="30"/>
      <c r="S567" s="30"/>
      <c r="T567" s="30"/>
      <c r="U567" s="30">
        <v>0.0</v>
      </c>
      <c r="V567" s="30"/>
      <c r="W567" s="30"/>
      <c r="X567" s="30"/>
      <c r="Y567" s="5">
        <f>IFERROR(__xludf.DUMMYFUNCTION("""COMPUTED_VALUE"""),82.0)</f>
        <v>82</v>
      </c>
      <c r="Z567" s="5">
        <f>IFERROR(__xludf.DUMMYFUNCTION("""COMPUTED_VALUE"""),83.0)</f>
        <v>83</v>
      </c>
    </row>
    <row r="568">
      <c r="A568" s="30" t="s">
        <v>49</v>
      </c>
      <c r="B568" s="30">
        <f>IFERROR(__xludf.DUMMYFUNCTION("""COMPUTED_VALUE"""),81.5)</f>
        <v>81.5</v>
      </c>
      <c r="C568" s="30"/>
      <c r="D568" s="30"/>
      <c r="E568" s="30"/>
      <c r="F568" s="30"/>
      <c r="G568" s="30"/>
      <c r="H568" s="30"/>
      <c r="I568" s="30"/>
      <c r="J568" s="30">
        <f>IFERROR(__xludf.DUMMYFUNCTION("""COMPUTED_VALUE"""),-11.059343513011441)</f>
        <v>-11.05934351</v>
      </c>
      <c r="K568" s="30"/>
      <c r="L568" s="30"/>
      <c r="M568" s="30"/>
      <c r="N568" s="30"/>
      <c r="O568" s="30">
        <f>IFERROR(__xludf.DUMMYFUNCTION("""COMPUTED_VALUE"""),-2.630874715592867)</f>
        <v>-2.630874716</v>
      </c>
      <c r="P568" s="30">
        <f>IFERROR(__xludf.DUMMYFUNCTION("""COMPUTED_VALUE"""),4.463999088063446)</f>
        <v>4.463999088</v>
      </c>
      <c r="Q568" s="30"/>
      <c r="R568" s="30"/>
      <c r="S568" s="30"/>
      <c r="T568" s="30"/>
      <c r="U568" s="30">
        <v>0.0</v>
      </c>
      <c r="V568" s="30"/>
      <c r="W568" s="30"/>
      <c r="X568" s="30"/>
      <c r="Y568" s="5">
        <f>IFERROR(__xludf.DUMMYFUNCTION("""COMPUTED_VALUE"""),79.0)</f>
        <v>79</v>
      </c>
      <c r="Z568" s="5">
        <f>IFERROR(__xludf.DUMMYFUNCTION("""COMPUTED_VALUE"""),84.0)</f>
        <v>84</v>
      </c>
    </row>
    <row r="569">
      <c r="A569" s="30" t="s">
        <v>1335</v>
      </c>
      <c r="B569" s="30">
        <f>IFERROR(__xludf.DUMMYFUNCTION("""COMPUTED_VALUE"""),82.5)</f>
        <v>82.5</v>
      </c>
      <c r="C569" s="30"/>
      <c r="D569" s="30"/>
      <c r="E569" s="30"/>
      <c r="F569" s="30"/>
      <c r="G569" s="30"/>
      <c r="H569" s="30"/>
      <c r="I569" s="30"/>
      <c r="J569" s="30">
        <f>IFERROR(__xludf.DUMMYFUNCTION("""COMPUTED_VALUE"""),-11.059343513011441)</f>
        <v>-11.05934351</v>
      </c>
      <c r="K569" s="30"/>
      <c r="L569" s="30"/>
      <c r="M569" s="30"/>
      <c r="N569" s="30"/>
      <c r="O569" s="30">
        <f>IFERROR(__xludf.DUMMYFUNCTION("""COMPUTED_VALUE"""),-2.630874715592867)</f>
        <v>-2.630874716</v>
      </c>
      <c r="P569" s="30">
        <f>IFERROR(__xludf.DUMMYFUNCTION("""COMPUTED_VALUE"""),4.463999088063446)</f>
        <v>4.463999088</v>
      </c>
      <c r="Q569" s="30"/>
      <c r="R569" s="30"/>
      <c r="S569" s="30"/>
      <c r="T569" s="30"/>
      <c r="U569" s="30">
        <v>0.0</v>
      </c>
      <c r="V569" s="30"/>
      <c r="W569" s="30"/>
      <c r="X569" s="30"/>
      <c r="Y569" s="5">
        <f>IFERROR(__xludf.DUMMYFUNCTION("""COMPUTED_VALUE"""),82.0)</f>
        <v>82</v>
      </c>
      <c r="Z569" s="5">
        <f>IFERROR(__xludf.DUMMYFUNCTION("""COMPUTED_VALUE"""),83.0)</f>
        <v>83</v>
      </c>
    </row>
    <row r="570">
      <c r="A570" s="30" t="s">
        <v>2134</v>
      </c>
      <c r="B570" s="30">
        <f>IFERROR(__xludf.DUMMYFUNCTION("""COMPUTED_VALUE"""),79.5)</f>
        <v>79.5</v>
      </c>
      <c r="C570" s="30"/>
      <c r="D570" s="30"/>
      <c r="E570" s="30"/>
      <c r="F570" s="30"/>
      <c r="G570" s="30"/>
      <c r="H570" s="30"/>
      <c r="I570" s="30"/>
      <c r="J570" s="30">
        <f>IFERROR(__xludf.DUMMYFUNCTION("""COMPUTED_VALUE"""),-11.059343513011441)</f>
        <v>-11.05934351</v>
      </c>
      <c r="K570" s="30"/>
      <c r="L570" s="30"/>
      <c r="M570" s="30"/>
      <c r="N570" s="30"/>
      <c r="O570" s="30">
        <f>IFERROR(__xludf.DUMMYFUNCTION("""COMPUTED_VALUE"""),-2.630874715592867)</f>
        <v>-2.630874716</v>
      </c>
      <c r="P570" s="30">
        <f>IFERROR(__xludf.DUMMYFUNCTION("""COMPUTED_VALUE"""),4.463999088063446)</f>
        <v>4.463999088</v>
      </c>
      <c r="Q570" s="30"/>
      <c r="R570" s="30"/>
      <c r="S570" s="30"/>
      <c r="T570" s="30"/>
      <c r="U570" s="30">
        <v>0.0</v>
      </c>
      <c r="V570" s="30"/>
      <c r="W570" s="30"/>
      <c r="X570" s="30"/>
      <c r="Y570" s="5">
        <f>IFERROR(__xludf.DUMMYFUNCTION("""COMPUTED_VALUE"""),78.0)</f>
        <v>78</v>
      </c>
      <c r="Z570" s="5">
        <f>IFERROR(__xludf.DUMMYFUNCTION("""COMPUTED_VALUE"""),81.0)</f>
        <v>81</v>
      </c>
    </row>
    <row r="571">
      <c r="A571" s="30" t="s">
        <v>2140</v>
      </c>
      <c r="B571" s="30">
        <f>IFERROR(__xludf.DUMMYFUNCTION("""COMPUTED_VALUE"""),82.0)</f>
        <v>82</v>
      </c>
      <c r="C571" s="30"/>
      <c r="D571" s="30"/>
      <c r="E571" s="30"/>
      <c r="F571" s="30"/>
      <c r="G571" s="30"/>
      <c r="H571" s="30"/>
      <c r="I571" s="30"/>
      <c r="J571" s="30">
        <f>IFERROR(__xludf.DUMMYFUNCTION("""COMPUTED_VALUE"""),-11.059343513011441)</f>
        <v>-11.05934351</v>
      </c>
      <c r="K571" s="30"/>
      <c r="L571" s="30"/>
      <c r="M571" s="30"/>
      <c r="N571" s="30"/>
      <c r="O571" s="30">
        <f>IFERROR(__xludf.DUMMYFUNCTION("""COMPUTED_VALUE"""),-2.630874715592867)</f>
        <v>-2.630874716</v>
      </c>
      <c r="P571" s="30">
        <f>IFERROR(__xludf.DUMMYFUNCTION("""COMPUTED_VALUE"""),4.463999088063446)</f>
        <v>4.463999088</v>
      </c>
      <c r="Q571" s="30"/>
      <c r="R571" s="30"/>
      <c r="S571" s="30"/>
      <c r="T571" s="30"/>
      <c r="U571" s="30">
        <v>0.0</v>
      </c>
      <c r="V571" s="30"/>
      <c r="W571" s="30"/>
      <c r="X571" s="30"/>
      <c r="Y571" s="5">
        <f>IFERROR(__xludf.DUMMYFUNCTION("""COMPUTED_VALUE"""),81.0)</f>
        <v>81</v>
      </c>
      <c r="Z571" s="5">
        <f>IFERROR(__xludf.DUMMYFUNCTION("""COMPUTED_VALUE"""),83.0)</f>
        <v>83</v>
      </c>
    </row>
    <row r="572">
      <c r="A572" s="30" t="s">
        <v>1135</v>
      </c>
      <c r="B572" s="30">
        <f>IFERROR(__xludf.DUMMYFUNCTION("""COMPUTED_VALUE"""),81.0)</f>
        <v>81</v>
      </c>
      <c r="C572" s="30"/>
      <c r="D572" s="30"/>
      <c r="E572" s="30"/>
      <c r="F572" s="30"/>
      <c r="G572" s="30"/>
      <c r="H572" s="30"/>
      <c r="I572" s="30"/>
      <c r="J572" s="30">
        <f>IFERROR(__xludf.DUMMYFUNCTION("""COMPUTED_VALUE"""),-11.059343513011441)</f>
        <v>-11.05934351</v>
      </c>
      <c r="K572" s="30"/>
      <c r="L572" s="30"/>
      <c r="M572" s="30"/>
      <c r="N572" s="30"/>
      <c r="O572" s="30">
        <f>IFERROR(__xludf.DUMMYFUNCTION("""COMPUTED_VALUE"""),-2.630874715592867)</f>
        <v>-2.630874716</v>
      </c>
      <c r="P572" s="30">
        <f>IFERROR(__xludf.DUMMYFUNCTION("""COMPUTED_VALUE"""),4.463999088063446)</f>
        <v>4.463999088</v>
      </c>
      <c r="Q572" s="30"/>
      <c r="R572" s="30"/>
      <c r="S572" s="30"/>
      <c r="T572" s="30"/>
      <c r="U572" s="30">
        <v>0.0</v>
      </c>
      <c r="V572" s="30"/>
      <c r="W572" s="30"/>
      <c r="X572" s="30"/>
      <c r="Y572" s="5">
        <f>IFERROR(__xludf.DUMMYFUNCTION("""COMPUTED_VALUE"""),81.0)</f>
        <v>81</v>
      </c>
      <c r="Z572" s="5">
        <f>IFERROR(__xludf.DUMMYFUNCTION("""COMPUTED_VALUE"""),81.0)</f>
        <v>81</v>
      </c>
    </row>
    <row r="573">
      <c r="A573" s="30" t="s">
        <v>2144</v>
      </c>
      <c r="B573" s="30">
        <f>IFERROR(__xludf.DUMMYFUNCTION("""COMPUTED_VALUE"""),79.5)</f>
        <v>79.5</v>
      </c>
      <c r="C573" s="30"/>
      <c r="D573" s="30"/>
      <c r="E573" s="30"/>
      <c r="F573" s="30"/>
      <c r="G573" s="30"/>
      <c r="H573" s="30"/>
      <c r="I573" s="30"/>
      <c r="J573" s="30">
        <f>IFERROR(__xludf.DUMMYFUNCTION("""COMPUTED_VALUE"""),-11.059343513011441)</f>
        <v>-11.05934351</v>
      </c>
      <c r="K573" s="30"/>
      <c r="L573" s="30"/>
      <c r="M573" s="30"/>
      <c r="N573" s="30"/>
      <c r="O573" s="30">
        <f>IFERROR(__xludf.DUMMYFUNCTION("""COMPUTED_VALUE"""),-2.630874715592867)</f>
        <v>-2.630874716</v>
      </c>
      <c r="P573" s="30">
        <f>IFERROR(__xludf.DUMMYFUNCTION("""COMPUTED_VALUE"""),4.463999088063446)</f>
        <v>4.463999088</v>
      </c>
      <c r="Q573" s="30"/>
      <c r="R573" s="30"/>
      <c r="S573" s="30"/>
      <c r="T573" s="30"/>
      <c r="U573" s="30">
        <v>0.0</v>
      </c>
      <c r="V573" s="30"/>
      <c r="W573" s="30"/>
      <c r="X573" s="30"/>
      <c r="Y573" s="5">
        <f>IFERROR(__xludf.DUMMYFUNCTION("""COMPUTED_VALUE"""),79.0)</f>
        <v>79</v>
      </c>
      <c r="Z573" s="5">
        <f>IFERROR(__xludf.DUMMYFUNCTION("""COMPUTED_VALUE"""),80.0)</f>
        <v>80</v>
      </c>
    </row>
    <row r="574">
      <c r="A574" s="30" t="s">
        <v>2150</v>
      </c>
      <c r="B574" s="30">
        <f>IFERROR(__xludf.DUMMYFUNCTION("""COMPUTED_VALUE"""),81.0)</f>
        <v>81</v>
      </c>
      <c r="C574" s="30"/>
      <c r="D574" s="30"/>
      <c r="E574" s="30"/>
      <c r="F574" s="30"/>
      <c r="G574" s="30"/>
      <c r="H574" s="30"/>
      <c r="I574" s="30"/>
      <c r="J574" s="30">
        <f>IFERROR(__xludf.DUMMYFUNCTION("""COMPUTED_VALUE"""),-11.059343513011441)</f>
        <v>-11.05934351</v>
      </c>
      <c r="K574" s="30"/>
      <c r="L574" s="30"/>
      <c r="M574" s="30"/>
      <c r="N574" s="30"/>
      <c r="O574" s="30">
        <f>IFERROR(__xludf.DUMMYFUNCTION("""COMPUTED_VALUE"""),-2.630874715592867)</f>
        <v>-2.630874716</v>
      </c>
      <c r="P574" s="30">
        <f>IFERROR(__xludf.DUMMYFUNCTION("""COMPUTED_VALUE"""),4.463999088063446)</f>
        <v>4.463999088</v>
      </c>
      <c r="Q574" s="30"/>
      <c r="R574" s="30"/>
      <c r="S574" s="30"/>
      <c r="T574" s="30"/>
      <c r="U574" s="30">
        <v>0.0</v>
      </c>
      <c r="V574" s="30"/>
      <c r="W574" s="30"/>
      <c r="X574" s="30"/>
      <c r="Y574" s="5">
        <f>IFERROR(__xludf.DUMMYFUNCTION("""COMPUTED_VALUE"""),80.0)</f>
        <v>80</v>
      </c>
      <c r="Z574" s="5">
        <f>IFERROR(__xludf.DUMMYFUNCTION("""COMPUTED_VALUE"""),82.0)</f>
        <v>82</v>
      </c>
    </row>
    <row r="575">
      <c r="A575" s="30" t="s">
        <v>2154</v>
      </c>
      <c r="B575" s="30">
        <f>IFERROR(__xludf.DUMMYFUNCTION("""COMPUTED_VALUE"""),81.0)</f>
        <v>81</v>
      </c>
      <c r="C575" s="30"/>
      <c r="D575" s="30"/>
      <c r="E575" s="30"/>
      <c r="F575" s="30"/>
      <c r="G575" s="30"/>
      <c r="H575" s="30"/>
      <c r="I575" s="30"/>
      <c r="J575" s="30">
        <f>IFERROR(__xludf.DUMMYFUNCTION("""COMPUTED_VALUE"""),-11.059343513011441)</f>
        <v>-11.05934351</v>
      </c>
      <c r="K575" s="30"/>
      <c r="L575" s="30"/>
      <c r="M575" s="30"/>
      <c r="N575" s="30"/>
      <c r="O575" s="30">
        <f>IFERROR(__xludf.DUMMYFUNCTION("""COMPUTED_VALUE"""),-2.630874715592867)</f>
        <v>-2.630874716</v>
      </c>
      <c r="P575" s="30">
        <f>IFERROR(__xludf.DUMMYFUNCTION("""COMPUTED_VALUE"""),4.463999088063446)</f>
        <v>4.463999088</v>
      </c>
      <c r="Q575" s="30"/>
      <c r="R575" s="30"/>
      <c r="S575" s="30"/>
      <c r="T575" s="30"/>
      <c r="U575" s="30">
        <v>0.0</v>
      </c>
      <c r="V575" s="30"/>
      <c r="W575" s="30"/>
      <c r="X575" s="30"/>
      <c r="Y575" s="5">
        <f>IFERROR(__xludf.DUMMYFUNCTION("""COMPUTED_VALUE"""),81.0)</f>
        <v>81</v>
      </c>
      <c r="Z575" s="5">
        <f>IFERROR(__xludf.DUMMYFUNCTION("""COMPUTED_VALUE"""),81.0)</f>
        <v>81</v>
      </c>
    </row>
    <row r="576">
      <c r="A576" s="30" t="s">
        <v>2158</v>
      </c>
      <c r="B576" s="30">
        <f>IFERROR(__xludf.DUMMYFUNCTION("""COMPUTED_VALUE"""),82.0)</f>
        <v>82</v>
      </c>
      <c r="C576" s="30"/>
      <c r="D576" s="30"/>
      <c r="E576" s="30"/>
      <c r="F576" s="30"/>
      <c r="G576" s="30"/>
      <c r="H576" s="30"/>
      <c r="I576" s="30"/>
      <c r="J576" s="30">
        <f>IFERROR(__xludf.DUMMYFUNCTION("""COMPUTED_VALUE"""),-11.059343513011441)</f>
        <v>-11.05934351</v>
      </c>
      <c r="K576" s="30"/>
      <c r="L576" s="30"/>
      <c r="M576" s="30"/>
      <c r="N576" s="30"/>
      <c r="O576" s="30">
        <f>IFERROR(__xludf.DUMMYFUNCTION("""COMPUTED_VALUE"""),-2.630874715592867)</f>
        <v>-2.630874716</v>
      </c>
      <c r="P576" s="30">
        <f>IFERROR(__xludf.DUMMYFUNCTION("""COMPUTED_VALUE"""),4.463999088063446)</f>
        <v>4.463999088</v>
      </c>
      <c r="Q576" s="30"/>
      <c r="R576" s="30"/>
      <c r="S576" s="30"/>
      <c r="T576" s="30"/>
      <c r="U576" s="30">
        <v>0.0</v>
      </c>
      <c r="V576" s="30"/>
      <c r="W576" s="30"/>
      <c r="X576" s="30"/>
      <c r="Y576" s="5">
        <f>IFERROR(__xludf.DUMMYFUNCTION("""COMPUTED_VALUE"""),82.0)</f>
        <v>82</v>
      </c>
      <c r="Z576" s="5">
        <f>IFERROR(__xludf.DUMMYFUNCTION("""COMPUTED_VALUE"""),82.0)</f>
        <v>82</v>
      </c>
    </row>
    <row r="577">
      <c r="A577" s="30" t="s">
        <v>2162</v>
      </c>
      <c r="B577" s="30">
        <f>IFERROR(__xludf.DUMMYFUNCTION("""COMPUTED_VALUE"""),83.0)</f>
        <v>83</v>
      </c>
      <c r="C577" s="30"/>
      <c r="D577" s="30"/>
      <c r="E577" s="30"/>
      <c r="F577" s="30"/>
      <c r="G577" s="30"/>
      <c r="H577" s="30"/>
      <c r="I577" s="30"/>
      <c r="J577" s="30">
        <f>IFERROR(__xludf.DUMMYFUNCTION("""COMPUTED_VALUE"""),-11.059343513011441)</f>
        <v>-11.05934351</v>
      </c>
      <c r="K577" s="30"/>
      <c r="L577" s="30"/>
      <c r="M577" s="30"/>
      <c r="N577" s="30"/>
      <c r="O577" s="30">
        <f>IFERROR(__xludf.DUMMYFUNCTION("""COMPUTED_VALUE"""),-2.630874715592867)</f>
        <v>-2.630874716</v>
      </c>
      <c r="P577" s="30">
        <f>IFERROR(__xludf.DUMMYFUNCTION("""COMPUTED_VALUE"""),4.463999088063446)</f>
        <v>4.463999088</v>
      </c>
      <c r="Q577" s="30"/>
      <c r="R577" s="30"/>
      <c r="S577" s="30"/>
      <c r="T577" s="30"/>
      <c r="U577" s="30">
        <v>0.0</v>
      </c>
      <c r="V577" s="30"/>
      <c r="W577" s="30"/>
      <c r="X577" s="30"/>
      <c r="Y577" s="5">
        <f>IFERROR(__xludf.DUMMYFUNCTION("""COMPUTED_VALUE"""),82.0)</f>
        <v>82</v>
      </c>
      <c r="Z577" s="5">
        <f>IFERROR(__xludf.DUMMYFUNCTION("""COMPUTED_VALUE"""),84.0)</f>
        <v>84</v>
      </c>
    </row>
    <row r="578">
      <c r="A578" s="30" t="s">
        <v>1711</v>
      </c>
      <c r="B578" s="30">
        <f>IFERROR(__xludf.DUMMYFUNCTION("""COMPUTED_VALUE"""),83.5)</f>
        <v>83.5</v>
      </c>
      <c r="C578" s="30"/>
      <c r="D578" s="30"/>
      <c r="E578" s="30"/>
      <c r="F578" s="30"/>
      <c r="G578" s="30"/>
      <c r="H578" s="30"/>
      <c r="I578" s="30"/>
      <c r="J578" s="30">
        <f>IFERROR(__xludf.DUMMYFUNCTION("""COMPUTED_VALUE"""),-11.059343513011441)</f>
        <v>-11.05934351</v>
      </c>
      <c r="K578" s="30"/>
      <c r="L578" s="30"/>
      <c r="M578" s="30"/>
      <c r="N578" s="30"/>
      <c r="O578" s="30">
        <f>IFERROR(__xludf.DUMMYFUNCTION("""COMPUTED_VALUE"""),-2.630874715592867)</f>
        <v>-2.630874716</v>
      </c>
      <c r="P578" s="30">
        <f>IFERROR(__xludf.DUMMYFUNCTION("""COMPUTED_VALUE"""),4.463999088063446)</f>
        <v>4.463999088</v>
      </c>
      <c r="Q578" s="30"/>
      <c r="R578" s="30"/>
      <c r="S578" s="30"/>
      <c r="T578" s="30"/>
      <c r="U578" s="30">
        <v>0.0</v>
      </c>
      <c r="V578" s="30"/>
      <c r="W578" s="30"/>
      <c r="X578" s="30"/>
      <c r="Y578" s="5">
        <f>IFERROR(__xludf.DUMMYFUNCTION("""COMPUTED_VALUE"""),83.0)</f>
        <v>83</v>
      </c>
      <c r="Z578" s="5">
        <f>IFERROR(__xludf.DUMMYFUNCTION("""COMPUTED_VALUE"""),84.0)</f>
        <v>84</v>
      </c>
    </row>
    <row r="579">
      <c r="A579" s="30" t="s">
        <v>2171</v>
      </c>
      <c r="B579" s="30">
        <f>IFERROR(__xludf.DUMMYFUNCTION("""COMPUTED_VALUE"""),82.0)</f>
        <v>82</v>
      </c>
      <c r="C579" s="30"/>
      <c r="D579" s="30"/>
      <c r="E579" s="30"/>
      <c r="F579" s="30"/>
      <c r="G579" s="30"/>
      <c r="H579" s="30"/>
      <c r="I579" s="30"/>
      <c r="J579" s="30">
        <f>IFERROR(__xludf.DUMMYFUNCTION("""COMPUTED_VALUE"""),-11.059343513011441)</f>
        <v>-11.05934351</v>
      </c>
      <c r="K579" s="30"/>
      <c r="L579" s="30"/>
      <c r="M579" s="30"/>
      <c r="N579" s="30"/>
      <c r="O579" s="30">
        <f>IFERROR(__xludf.DUMMYFUNCTION("""COMPUTED_VALUE"""),-2.630874715592867)</f>
        <v>-2.630874716</v>
      </c>
      <c r="P579" s="30">
        <f>IFERROR(__xludf.DUMMYFUNCTION("""COMPUTED_VALUE"""),4.463999088063446)</f>
        <v>4.463999088</v>
      </c>
      <c r="Q579" s="30"/>
      <c r="R579" s="30"/>
      <c r="S579" s="30"/>
      <c r="T579" s="30"/>
      <c r="U579" s="30">
        <v>0.0</v>
      </c>
      <c r="V579" s="30"/>
      <c r="W579" s="30"/>
      <c r="X579" s="30"/>
      <c r="Y579" s="5">
        <f>IFERROR(__xludf.DUMMYFUNCTION("""COMPUTED_VALUE"""),81.0)</f>
        <v>81</v>
      </c>
      <c r="Z579" s="5">
        <f>IFERROR(__xludf.DUMMYFUNCTION("""COMPUTED_VALUE"""),83.0)</f>
        <v>83</v>
      </c>
    </row>
    <row r="580">
      <c r="A580" s="30" t="s">
        <v>678</v>
      </c>
      <c r="B580" s="30">
        <f>IFERROR(__xludf.DUMMYFUNCTION("""COMPUTED_VALUE"""),80.0)</f>
        <v>80</v>
      </c>
      <c r="C580" s="30"/>
      <c r="D580" s="30"/>
      <c r="E580" s="30"/>
      <c r="F580" s="30"/>
      <c r="G580" s="30"/>
      <c r="H580" s="30"/>
      <c r="I580" s="30"/>
      <c r="J580" s="30">
        <f>IFERROR(__xludf.DUMMYFUNCTION("""COMPUTED_VALUE"""),-11.059343513011441)</f>
        <v>-11.05934351</v>
      </c>
      <c r="K580" s="30"/>
      <c r="L580" s="30"/>
      <c r="M580" s="30"/>
      <c r="N580" s="30"/>
      <c r="O580" s="30">
        <f>IFERROR(__xludf.DUMMYFUNCTION("""COMPUTED_VALUE"""),-2.630874715592867)</f>
        <v>-2.630874716</v>
      </c>
      <c r="P580" s="30">
        <f>IFERROR(__xludf.DUMMYFUNCTION("""COMPUTED_VALUE"""),4.463999088063446)</f>
        <v>4.463999088</v>
      </c>
      <c r="Q580" s="30"/>
      <c r="R580" s="30"/>
      <c r="S580" s="30"/>
      <c r="T580" s="30"/>
      <c r="U580" s="30">
        <v>0.0</v>
      </c>
      <c r="V580" s="30"/>
      <c r="W580" s="30"/>
      <c r="X580" s="30"/>
      <c r="Y580" s="5">
        <f>IFERROR(__xludf.DUMMYFUNCTION("""COMPUTED_VALUE"""),77.0)</f>
        <v>77</v>
      </c>
      <c r="Z580" s="5">
        <f>IFERROR(__xludf.DUMMYFUNCTION("""COMPUTED_VALUE"""),83.0)</f>
        <v>83</v>
      </c>
    </row>
    <row r="581">
      <c r="A581" s="30" t="s">
        <v>2185</v>
      </c>
      <c r="B581" s="30">
        <f>IFERROR(__xludf.DUMMYFUNCTION("""COMPUTED_VALUE"""),81.0)</f>
        <v>81</v>
      </c>
      <c r="C581" s="30"/>
      <c r="D581" s="30"/>
      <c r="E581" s="30"/>
      <c r="F581" s="30"/>
      <c r="G581" s="30"/>
      <c r="H581" s="30"/>
      <c r="I581" s="30"/>
      <c r="J581" s="30">
        <f>IFERROR(__xludf.DUMMYFUNCTION("""COMPUTED_VALUE"""),-11.059343513011441)</f>
        <v>-11.05934351</v>
      </c>
      <c r="K581" s="30"/>
      <c r="L581" s="30"/>
      <c r="M581" s="30"/>
      <c r="N581" s="30"/>
      <c r="O581" s="30">
        <f>IFERROR(__xludf.DUMMYFUNCTION("""COMPUTED_VALUE"""),-2.630874715592867)</f>
        <v>-2.630874716</v>
      </c>
      <c r="P581" s="30">
        <f>IFERROR(__xludf.DUMMYFUNCTION("""COMPUTED_VALUE"""),4.463999088063446)</f>
        <v>4.463999088</v>
      </c>
      <c r="Q581" s="30"/>
      <c r="R581" s="30"/>
      <c r="S581" s="30"/>
      <c r="T581" s="30"/>
      <c r="U581" s="30">
        <v>0.0</v>
      </c>
      <c r="V581" s="30"/>
      <c r="W581" s="30"/>
      <c r="X581" s="30"/>
      <c r="Y581" s="5">
        <f>IFERROR(__xludf.DUMMYFUNCTION("""COMPUTED_VALUE"""),81.0)</f>
        <v>81</v>
      </c>
      <c r="Z581" s="5">
        <f>IFERROR(__xludf.DUMMYFUNCTION("""COMPUTED_VALUE"""),81.0)</f>
        <v>81</v>
      </c>
    </row>
    <row r="582">
      <c r="A582" s="30" t="s">
        <v>1988</v>
      </c>
      <c r="B582" s="30">
        <f>IFERROR(__xludf.DUMMYFUNCTION("""COMPUTED_VALUE"""),83.5)</f>
        <v>83.5</v>
      </c>
      <c r="C582" s="30"/>
      <c r="D582" s="30"/>
      <c r="E582" s="30"/>
      <c r="F582" s="30"/>
      <c r="G582" s="30"/>
      <c r="H582" s="30"/>
      <c r="I582" s="30"/>
      <c r="J582" s="30">
        <f>IFERROR(__xludf.DUMMYFUNCTION("""COMPUTED_VALUE"""),-11.059343513011441)</f>
        <v>-11.05934351</v>
      </c>
      <c r="K582" s="30"/>
      <c r="L582" s="30"/>
      <c r="M582" s="30"/>
      <c r="N582" s="30"/>
      <c r="O582" s="30">
        <f>IFERROR(__xludf.DUMMYFUNCTION("""COMPUTED_VALUE"""),-2.630874715592867)</f>
        <v>-2.630874716</v>
      </c>
      <c r="P582" s="30">
        <f>IFERROR(__xludf.DUMMYFUNCTION("""COMPUTED_VALUE"""),4.463999088063446)</f>
        <v>4.463999088</v>
      </c>
      <c r="Q582" s="30"/>
      <c r="R582" s="30"/>
      <c r="S582" s="30"/>
      <c r="T582" s="30"/>
      <c r="U582" s="30">
        <v>0.0</v>
      </c>
      <c r="V582" s="30"/>
      <c r="W582" s="30"/>
      <c r="X582" s="30"/>
      <c r="Y582" s="5">
        <f>IFERROR(__xludf.DUMMYFUNCTION("""COMPUTED_VALUE"""),83.0)</f>
        <v>83</v>
      </c>
      <c r="Z582" s="5">
        <f>IFERROR(__xludf.DUMMYFUNCTION("""COMPUTED_VALUE"""),84.0)</f>
        <v>84</v>
      </c>
    </row>
    <row r="583">
      <c r="A583" s="30" t="s">
        <v>2193</v>
      </c>
      <c r="B583" s="30">
        <f>IFERROR(__xludf.DUMMYFUNCTION("""COMPUTED_VALUE"""),80.5)</f>
        <v>80.5</v>
      </c>
      <c r="C583" s="30"/>
      <c r="D583" s="30"/>
      <c r="E583" s="30"/>
      <c r="F583" s="30"/>
      <c r="G583" s="30"/>
      <c r="H583" s="30"/>
      <c r="I583" s="30"/>
      <c r="J583" s="30">
        <f>IFERROR(__xludf.DUMMYFUNCTION("""COMPUTED_VALUE"""),-11.059343513011441)</f>
        <v>-11.05934351</v>
      </c>
      <c r="K583" s="30"/>
      <c r="L583" s="30"/>
      <c r="M583" s="30"/>
      <c r="N583" s="30"/>
      <c r="O583" s="30">
        <f>IFERROR(__xludf.DUMMYFUNCTION("""COMPUTED_VALUE"""),-2.630874715592867)</f>
        <v>-2.630874716</v>
      </c>
      <c r="P583" s="30">
        <f>IFERROR(__xludf.DUMMYFUNCTION("""COMPUTED_VALUE"""),4.463999088063446)</f>
        <v>4.463999088</v>
      </c>
      <c r="Q583" s="30"/>
      <c r="R583" s="30"/>
      <c r="S583" s="30"/>
      <c r="T583" s="30"/>
      <c r="U583" s="30">
        <v>0.0</v>
      </c>
      <c r="V583" s="30"/>
      <c r="W583" s="30"/>
      <c r="X583" s="30"/>
      <c r="Y583" s="5">
        <f>IFERROR(__xludf.DUMMYFUNCTION("""COMPUTED_VALUE"""),80.0)</f>
        <v>80</v>
      </c>
      <c r="Z583" s="5">
        <f>IFERROR(__xludf.DUMMYFUNCTION("""COMPUTED_VALUE"""),81.0)</f>
        <v>81</v>
      </c>
    </row>
    <row r="584">
      <c r="A584" s="30" t="s">
        <v>2197</v>
      </c>
      <c r="B584" s="30">
        <f>IFERROR(__xludf.DUMMYFUNCTION("""COMPUTED_VALUE"""),82.0)</f>
        <v>82</v>
      </c>
      <c r="C584" s="30"/>
      <c r="D584" s="30"/>
      <c r="E584" s="30"/>
      <c r="F584" s="30"/>
      <c r="G584" s="30"/>
      <c r="H584" s="30"/>
      <c r="I584" s="30"/>
      <c r="J584" s="30">
        <f>IFERROR(__xludf.DUMMYFUNCTION("""COMPUTED_VALUE"""),-11.059343513011441)</f>
        <v>-11.05934351</v>
      </c>
      <c r="K584" s="30"/>
      <c r="L584" s="30"/>
      <c r="M584" s="30"/>
      <c r="N584" s="30"/>
      <c r="O584" s="30">
        <f>IFERROR(__xludf.DUMMYFUNCTION("""COMPUTED_VALUE"""),-2.630874715592867)</f>
        <v>-2.630874716</v>
      </c>
      <c r="P584" s="30">
        <f>IFERROR(__xludf.DUMMYFUNCTION("""COMPUTED_VALUE"""),4.463999088063446)</f>
        <v>4.463999088</v>
      </c>
      <c r="Q584" s="30"/>
      <c r="R584" s="30"/>
      <c r="S584" s="30"/>
      <c r="T584" s="30"/>
      <c r="U584" s="30">
        <v>0.0</v>
      </c>
      <c r="V584" s="30"/>
      <c r="W584" s="30"/>
      <c r="X584" s="30"/>
      <c r="Y584" s="5">
        <f>IFERROR(__xludf.DUMMYFUNCTION("""COMPUTED_VALUE"""),82.0)</f>
        <v>82</v>
      </c>
      <c r="Z584" s="5">
        <f>IFERROR(__xludf.DUMMYFUNCTION("""COMPUTED_VALUE"""),82.0)</f>
        <v>82</v>
      </c>
    </row>
    <row r="585">
      <c r="A585" s="30" t="s">
        <v>2046</v>
      </c>
      <c r="B585" s="30">
        <f>IFERROR(__xludf.DUMMYFUNCTION("""COMPUTED_VALUE"""),80.0)</f>
        <v>80</v>
      </c>
      <c r="C585" s="30"/>
      <c r="D585" s="30"/>
      <c r="E585" s="30"/>
      <c r="F585" s="30"/>
      <c r="G585" s="30"/>
      <c r="H585" s="30"/>
      <c r="I585" s="30"/>
      <c r="J585" s="30">
        <f>IFERROR(__xludf.DUMMYFUNCTION("""COMPUTED_VALUE"""),-11.059343513011441)</f>
        <v>-11.05934351</v>
      </c>
      <c r="K585" s="30"/>
      <c r="L585" s="30"/>
      <c r="M585" s="30"/>
      <c r="N585" s="30"/>
      <c r="O585" s="30">
        <f>IFERROR(__xludf.DUMMYFUNCTION("""COMPUTED_VALUE"""),-2.630874715592867)</f>
        <v>-2.630874716</v>
      </c>
      <c r="P585" s="30">
        <f>IFERROR(__xludf.DUMMYFUNCTION("""COMPUTED_VALUE"""),4.463999088063446)</f>
        <v>4.463999088</v>
      </c>
      <c r="Q585" s="30"/>
      <c r="R585" s="30"/>
      <c r="S585" s="30"/>
      <c r="T585" s="30"/>
      <c r="U585" s="30">
        <v>0.0</v>
      </c>
      <c r="V585" s="30"/>
      <c r="W585" s="30"/>
      <c r="X585" s="30"/>
      <c r="Y585" s="5">
        <f>IFERROR(__xludf.DUMMYFUNCTION("""COMPUTED_VALUE"""),79.0)</f>
        <v>79</v>
      </c>
      <c r="Z585" s="5">
        <f>IFERROR(__xludf.DUMMYFUNCTION("""COMPUTED_VALUE"""),81.0)</f>
        <v>81</v>
      </c>
    </row>
    <row r="586">
      <c r="A586" s="30" t="s">
        <v>2202</v>
      </c>
      <c r="B586" s="30">
        <f>IFERROR(__xludf.DUMMYFUNCTION("""COMPUTED_VALUE"""),83.0)</f>
        <v>83</v>
      </c>
      <c r="C586" s="30"/>
      <c r="D586" s="30"/>
      <c r="E586" s="30"/>
      <c r="F586" s="30"/>
      <c r="G586" s="30"/>
      <c r="H586" s="30"/>
      <c r="I586" s="30"/>
      <c r="J586" s="30">
        <f>IFERROR(__xludf.DUMMYFUNCTION("""COMPUTED_VALUE"""),-11.059343513011441)</f>
        <v>-11.05934351</v>
      </c>
      <c r="K586" s="30"/>
      <c r="L586" s="30"/>
      <c r="M586" s="30"/>
      <c r="N586" s="30"/>
      <c r="O586" s="30">
        <f>IFERROR(__xludf.DUMMYFUNCTION("""COMPUTED_VALUE"""),-2.630874715592867)</f>
        <v>-2.630874716</v>
      </c>
      <c r="P586" s="30">
        <f>IFERROR(__xludf.DUMMYFUNCTION("""COMPUTED_VALUE"""),4.463999088063446)</f>
        <v>4.463999088</v>
      </c>
      <c r="Q586" s="30"/>
      <c r="R586" s="30"/>
      <c r="S586" s="30"/>
      <c r="T586" s="30"/>
      <c r="U586" s="30">
        <v>0.0</v>
      </c>
      <c r="V586" s="30"/>
      <c r="W586" s="30"/>
      <c r="X586" s="30"/>
      <c r="Y586" s="5">
        <f>IFERROR(__xludf.DUMMYFUNCTION("""COMPUTED_VALUE"""),83.0)</f>
        <v>83</v>
      </c>
      <c r="Z586" s="5">
        <f>IFERROR(__xludf.DUMMYFUNCTION("""COMPUTED_VALUE"""),83.0)</f>
        <v>83</v>
      </c>
    </row>
    <row r="587">
      <c r="A587" s="30" t="s">
        <v>2203</v>
      </c>
      <c r="B587" s="30">
        <f>IFERROR(__xludf.DUMMYFUNCTION("""COMPUTED_VALUE"""),83.0)</f>
        <v>83</v>
      </c>
      <c r="C587" s="30"/>
      <c r="D587" s="30"/>
      <c r="E587" s="30"/>
      <c r="F587" s="30"/>
      <c r="G587" s="30"/>
      <c r="H587" s="30"/>
      <c r="I587" s="30"/>
      <c r="J587" s="30">
        <f>IFERROR(__xludf.DUMMYFUNCTION("""COMPUTED_VALUE"""),-11.059343513011441)</f>
        <v>-11.05934351</v>
      </c>
      <c r="K587" s="30"/>
      <c r="L587" s="30"/>
      <c r="M587" s="30"/>
      <c r="N587" s="30"/>
      <c r="O587" s="30">
        <f>IFERROR(__xludf.DUMMYFUNCTION("""COMPUTED_VALUE"""),-2.630874715592867)</f>
        <v>-2.630874716</v>
      </c>
      <c r="P587" s="30">
        <f>IFERROR(__xludf.DUMMYFUNCTION("""COMPUTED_VALUE"""),4.463999088063446)</f>
        <v>4.463999088</v>
      </c>
      <c r="Q587" s="30"/>
      <c r="R587" s="30"/>
      <c r="S587" s="30"/>
      <c r="T587" s="30"/>
      <c r="U587" s="30">
        <v>0.0</v>
      </c>
      <c r="V587" s="30"/>
      <c r="W587" s="30"/>
      <c r="X587" s="30"/>
      <c r="Y587" s="5">
        <f>IFERROR(__xludf.DUMMYFUNCTION("""COMPUTED_VALUE"""),83.0)</f>
        <v>83</v>
      </c>
      <c r="Z587" s="5">
        <f>IFERROR(__xludf.DUMMYFUNCTION("""COMPUTED_VALUE"""),83.0)</f>
        <v>83</v>
      </c>
    </row>
    <row r="588">
      <c r="A588" s="30" t="s">
        <v>605</v>
      </c>
      <c r="B588" s="30">
        <f>IFERROR(__xludf.DUMMYFUNCTION("""COMPUTED_VALUE"""),80.5)</f>
        <v>80.5</v>
      </c>
      <c r="C588" s="30"/>
      <c r="D588" s="30"/>
      <c r="E588" s="30"/>
      <c r="F588" s="30"/>
      <c r="G588" s="30"/>
      <c r="H588" s="30"/>
      <c r="I588" s="30"/>
      <c r="J588" s="30">
        <f>IFERROR(__xludf.DUMMYFUNCTION("""COMPUTED_VALUE"""),-11.059343513011441)</f>
        <v>-11.05934351</v>
      </c>
      <c r="K588" s="30"/>
      <c r="L588" s="30"/>
      <c r="M588" s="30"/>
      <c r="N588" s="30"/>
      <c r="O588" s="30">
        <f>IFERROR(__xludf.DUMMYFUNCTION("""COMPUTED_VALUE"""),-2.630874715592867)</f>
        <v>-2.630874716</v>
      </c>
      <c r="P588" s="30">
        <f>IFERROR(__xludf.DUMMYFUNCTION("""COMPUTED_VALUE"""),4.463999088063446)</f>
        <v>4.463999088</v>
      </c>
      <c r="Q588" s="30"/>
      <c r="R588" s="30"/>
      <c r="S588" s="30"/>
      <c r="T588" s="30"/>
      <c r="U588" s="30">
        <v>0.0</v>
      </c>
      <c r="V588" s="30"/>
      <c r="W588" s="30"/>
      <c r="X588" s="30"/>
      <c r="Y588" s="5">
        <f>IFERROR(__xludf.DUMMYFUNCTION("""COMPUTED_VALUE"""),80.0)</f>
        <v>80</v>
      </c>
      <c r="Z588" s="5">
        <f>IFERROR(__xludf.DUMMYFUNCTION("""COMPUTED_VALUE"""),81.0)</f>
        <v>81</v>
      </c>
    </row>
    <row r="589">
      <c r="A589" s="30" t="s">
        <v>2208</v>
      </c>
      <c r="B589" s="30">
        <f>IFERROR(__xludf.DUMMYFUNCTION("""COMPUTED_VALUE"""),81.0)</f>
        <v>81</v>
      </c>
      <c r="C589" s="30"/>
      <c r="D589" s="30"/>
      <c r="E589" s="30"/>
      <c r="F589" s="30"/>
      <c r="G589" s="30"/>
      <c r="H589" s="30"/>
      <c r="I589" s="30"/>
      <c r="J589" s="30">
        <f>IFERROR(__xludf.DUMMYFUNCTION("""COMPUTED_VALUE"""),-11.059343513011441)</f>
        <v>-11.05934351</v>
      </c>
      <c r="K589" s="30"/>
      <c r="L589" s="30"/>
      <c r="M589" s="30"/>
      <c r="N589" s="30"/>
      <c r="O589" s="30">
        <f>IFERROR(__xludf.DUMMYFUNCTION("""COMPUTED_VALUE"""),-2.630874715592867)</f>
        <v>-2.630874716</v>
      </c>
      <c r="P589" s="30">
        <f>IFERROR(__xludf.DUMMYFUNCTION("""COMPUTED_VALUE"""),4.463999088063446)</f>
        <v>4.463999088</v>
      </c>
      <c r="Q589" s="30"/>
      <c r="R589" s="30"/>
      <c r="S589" s="30"/>
      <c r="T589" s="30"/>
      <c r="U589" s="30">
        <v>0.0</v>
      </c>
      <c r="V589" s="30"/>
      <c r="W589" s="30"/>
      <c r="X589" s="30"/>
      <c r="Y589" s="5">
        <f>IFERROR(__xludf.DUMMYFUNCTION("""COMPUTED_VALUE"""),81.0)</f>
        <v>81</v>
      </c>
      <c r="Z589" s="5">
        <f>IFERROR(__xludf.DUMMYFUNCTION("""COMPUTED_VALUE"""),81.0)</f>
        <v>81</v>
      </c>
    </row>
    <row r="590">
      <c r="A590" s="30" t="s">
        <v>545</v>
      </c>
      <c r="B590" s="30">
        <f>IFERROR(__xludf.DUMMYFUNCTION("""COMPUTED_VALUE"""),79.0)</f>
        <v>79</v>
      </c>
      <c r="C590" s="30"/>
      <c r="D590" s="30"/>
      <c r="E590" s="30"/>
      <c r="F590" s="30"/>
      <c r="G590" s="30"/>
      <c r="H590" s="30"/>
      <c r="I590" s="30"/>
      <c r="J590" s="30">
        <f>IFERROR(__xludf.DUMMYFUNCTION("""COMPUTED_VALUE"""),-11.059343513011441)</f>
        <v>-11.05934351</v>
      </c>
      <c r="K590" s="30"/>
      <c r="L590" s="30"/>
      <c r="M590" s="30"/>
      <c r="N590" s="30"/>
      <c r="O590" s="30">
        <f>IFERROR(__xludf.DUMMYFUNCTION("""COMPUTED_VALUE"""),-2.630874715592867)</f>
        <v>-2.630874716</v>
      </c>
      <c r="P590" s="30">
        <f>IFERROR(__xludf.DUMMYFUNCTION("""COMPUTED_VALUE"""),4.463999088063446)</f>
        <v>4.463999088</v>
      </c>
      <c r="Q590" s="30"/>
      <c r="R590" s="30"/>
      <c r="S590" s="30"/>
      <c r="T590" s="30"/>
      <c r="U590" s="30">
        <v>0.0</v>
      </c>
      <c r="V590" s="30"/>
      <c r="W590" s="30"/>
      <c r="X590" s="30"/>
      <c r="Y590" s="5">
        <f>IFERROR(__xludf.DUMMYFUNCTION("""COMPUTED_VALUE"""),79.0)</f>
        <v>79</v>
      </c>
      <c r="Z590" s="5">
        <f>IFERROR(__xludf.DUMMYFUNCTION("""COMPUTED_VALUE"""),79.0)</f>
        <v>79</v>
      </c>
    </row>
    <row r="591">
      <c r="A591" s="30" t="s">
        <v>2033</v>
      </c>
      <c r="B591" s="30">
        <f>IFERROR(__xludf.DUMMYFUNCTION("""COMPUTED_VALUE"""),82.0)</f>
        <v>82</v>
      </c>
      <c r="C591" s="30"/>
      <c r="D591" s="30"/>
      <c r="E591" s="30"/>
      <c r="F591" s="30"/>
      <c r="G591" s="30"/>
      <c r="H591" s="30"/>
      <c r="I591" s="30"/>
      <c r="J591" s="30">
        <f>IFERROR(__xludf.DUMMYFUNCTION("""COMPUTED_VALUE"""),-11.059343513011441)</f>
        <v>-11.05934351</v>
      </c>
      <c r="K591" s="30"/>
      <c r="L591" s="30"/>
      <c r="M591" s="30"/>
      <c r="N591" s="30"/>
      <c r="O591" s="30">
        <f>IFERROR(__xludf.DUMMYFUNCTION("""COMPUTED_VALUE"""),-2.630874715592867)</f>
        <v>-2.630874716</v>
      </c>
      <c r="P591" s="30">
        <f>IFERROR(__xludf.DUMMYFUNCTION("""COMPUTED_VALUE"""),4.463999088063446)</f>
        <v>4.463999088</v>
      </c>
      <c r="Q591" s="30"/>
      <c r="R591" s="30"/>
      <c r="S591" s="30"/>
      <c r="T591" s="30"/>
      <c r="U591" s="30">
        <v>0.0</v>
      </c>
      <c r="V591" s="30"/>
      <c r="W591" s="30"/>
      <c r="X591" s="30"/>
      <c r="Y591" s="5">
        <f>IFERROR(__xludf.DUMMYFUNCTION("""COMPUTED_VALUE"""),80.0)</f>
        <v>80</v>
      </c>
      <c r="Z591" s="5">
        <f>IFERROR(__xludf.DUMMYFUNCTION("""COMPUTED_VALUE"""),84.0)</f>
        <v>84</v>
      </c>
    </row>
    <row r="592">
      <c r="A592" s="30" t="s">
        <v>1462</v>
      </c>
      <c r="B592" s="30">
        <f>IFERROR(__xludf.DUMMYFUNCTION("""COMPUTED_VALUE"""),81.0)</f>
        <v>81</v>
      </c>
      <c r="C592" s="30"/>
      <c r="D592" s="30"/>
      <c r="E592" s="30"/>
      <c r="F592" s="30"/>
      <c r="G592" s="30"/>
      <c r="H592" s="30"/>
      <c r="I592" s="30"/>
      <c r="J592" s="30">
        <f>IFERROR(__xludf.DUMMYFUNCTION("""COMPUTED_VALUE"""),-11.059343513011441)</f>
        <v>-11.05934351</v>
      </c>
      <c r="K592" s="30"/>
      <c r="L592" s="30"/>
      <c r="M592" s="30"/>
      <c r="N592" s="30"/>
      <c r="O592" s="30">
        <f>IFERROR(__xludf.DUMMYFUNCTION("""COMPUTED_VALUE"""),-2.630874715592867)</f>
        <v>-2.630874716</v>
      </c>
      <c r="P592" s="30">
        <f>IFERROR(__xludf.DUMMYFUNCTION("""COMPUTED_VALUE"""),4.463999088063446)</f>
        <v>4.463999088</v>
      </c>
      <c r="Q592" s="30"/>
      <c r="R592" s="30"/>
      <c r="S592" s="30"/>
      <c r="T592" s="30"/>
      <c r="U592" s="30">
        <v>0.0</v>
      </c>
      <c r="V592" s="30"/>
      <c r="W592" s="30"/>
      <c r="X592" s="30"/>
      <c r="Y592" s="5">
        <f>IFERROR(__xludf.DUMMYFUNCTION("""COMPUTED_VALUE"""),80.0)</f>
        <v>80</v>
      </c>
      <c r="Z592" s="5">
        <f>IFERROR(__xludf.DUMMYFUNCTION("""COMPUTED_VALUE"""),82.0)</f>
        <v>82</v>
      </c>
    </row>
    <row r="593">
      <c r="A593" s="30" t="s">
        <v>2219</v>
      </c>
      <c r="B593" s="30">
        <f>IFERROR(__xludf.DUMMYFUNCTION("""COMPUTED_VALUE"""),82.5)</f>
        <v>82.5</v>
      </c>
      <c r="C593" s="30"/>
      <c r="D593" s="30"/>
      <c r="E593" s="30"/>
      <c r="F593" s="30"/>
      <c r="G593" s="30"/>
      <c r="H593" s="30"/>
      <c r="I593" s="30"/>
      <c r="J593" s="30">
        <f>IFERROR(__xludf.DUMMYFUNCTION("""COMPUTED_VALUE"""),-11.059343513011441)</f>
        <v>-11.05934351</v>
      </c>
      <c r="K593" s="30"/>
      <c r="L593" s="30"/>
      <c r="M593" s="30"/>
      <c r="N593" s="30"/>
      <c r="O593" s="30">
        <f>IFERROR(__xludf.DUMMYFUNCTION("""COMPUTED_VALUE"""),-2.630874715592867)</f>
        <v>-2.630874716</v>
      </c>
      <c r="P593" s="30">
        <f>IFERROR(__xludf.DUMMYFUNCTION("""COMPUTED_VALUE"""),4.463999088063446)</f>
        <v>4.463999088</v>
      </c>
      <c r="Q593" s="30"/>
      <c r="R593" s="30"/>
      <c r="S593" s="30"/>
      <c r="T593" s="30"/>
      <c r="U593" s="30">
        <v>0.0</v>
      </c>
      <c r="V593" s="30"/>
      <c r="W593" s="30"/>
      <c r="X593" s="30"/>
      <c r="Y593" s="5">
        <f>IFERROR(__xludf.DUMMYFUNCTION("""COMPUTED_VALUE"""),81.0)</f>
        <v>81</v>
      </c>
      <c r="Z593" s="5">
        <f>IFERROR(__xludf.DUMMYFUNCTION("""COMPUTED_VALUE"""),84.0)</f>
        <v>84</v>
      </c>
    </row>
    <row r="594">
      <c r="A594" s="30" t="s">
        <v>2222</v>
      </c>
      <c r="B594" s="30">
        <f>IFERROR(__xludf.DUMMYFUNCTION("""COMPUTED_VALUE"""),81.0)</f>
        <v>81</v>
      </c>
      <c r="C594" s="30"/>
      <c r="D594" s="30"/>
      <c r="E594" s="30"/>
      <c r="F594" s="30"/>
      <c r="G594" s="30"/>
      <c r="H594" s="30"/>
      <c r="I594" s="30"/>
      <c r="J594" s="30">
        <f>IFERROR(__xludf.DUMMYFUNCTION("""COMPUTED_VALUE"""),-11.059343513011441)</f>
        <v>-11.05934351</v>
      </c>
      <c r="K594" s="30"/>
      <c r="L594" s="30"/>
      <c r="M594" s="30"/>
      <c r="N594" s="30"/>
      <c r="O594" s="30">
        <f>IFERROR(__xludf.DUMMYFUNCTION("""COMPUTED_VALUE"""),-2.630874715592867)</f>
        <v>-2.630874716</v>
      </c>
      <c r="P594" s="30">
        <f>IFERROR(__xludf.DUMMYFUNCTION("""COMPUTED_VALUE"""),4.463999088063446)</f>
        <v>4.463999088</v>
      </c>
      <c r="Q594" s="30"/>
      <c r="R594" s="30"/>
      <c r="S594" s="30"/>
      <c r="T594" s="30"/>
      <c r="U594" s="30">
        <v>0.0</v>
      </c>
      <c r="V594" s="30"/>
      <c r="W594" s="30"/>
      <c r="X594" s="30"/>
      <c r="Y594" s="5">
        <f>IFERROR(__xludf.DUMMYFUNCTION("""COMPUTED_VALUE"""),81.0)</f>
        <v>81</v>
      </c>
      <c r="Z594" s="5">
        <f>IFERROR(__xludf.DUMMYFUNCTION("""COMPUTED_VALUE"""),81.0)</f>
        <v>81</v>
      </c>
    </row>
    <row r="595">
      <c r="A595" s="30" t="s">
        <v>2223</v>
      </c>
      <c r="B595" s="30">
        <f>IFERROR(__xludf.DUMMYFUNCTION("""COMPUTED_VALUE"""),81.0)</f>
        <v>81</v>
      </c>
      <c r="C595" s="30"/>
      <c r="D595" s="30"/>
      <c r="E595" s="30"/>
      <c r="F595" s="30"/>
      <c r="G595" s="30"/>
      <c r="H595" s="30"/>
      <c r="I595" s="30"/>
      <c r="J595" s="30">
        <f>IFERROR(__xludf.DUMMYFUNCTION("""COMPUTED_VALUE"""),-11.059343513011441)</f>
        <v>-11.05934351</v>
      </c>
      <c r="K595" s="30"/>
      <c r="L595" s="30"/>
      <c r="M595" s="30"/>
      <c r="N595" s="30"/>
      <c r="O595" s="30">
        <f>IFERROR(__xludf.DUMMYFUNCTION("""COMPUTED_VALUE"""),-2.630874715592867)</f>
        <v>-2.630874716</v>
      </c>
      <c r="P595" s="30">
        <f>IFERROR(__xludf.DUMMYFUNCTION("""COMPUTED_VALUE"""),4.463999088063446)</f>
        <v>4.463999088</v>
      </c>
      <c r="Q595" s="30"/>
      <c r="R595" s="30"/>
      <c r="S595" s="30"/>
      <c r="T595" s="30"/>
      <c r="U595" s="30">
        <v>0.0</v>
      </c>
      <c r="V595" s="30"/>
      <c r="W595" s="30"/>
      <c r="X595" s="30"/>
      <c r="Y595" s="5">
        <f>IFERROR(__xludf.DUMMYFUNCTION("""COMPUTED_VALUE"""),80.0)</f>
        <v>80</v>
      </c>
      <c r="Z595" s="5">
        <f>IFERROR(__xludf.DUMMYFUNCTION("""COMPUTED_VALUE"""),82.0)</f>
        <v>82</v>
      </c>
    </row>
    <row r="596">
      <c r="A596" s="30" t="s">
        <v>1379</v>
      </c>
      <c r="B596" s="30">
        <f>IFERROR(__xludf.DUMMYFUNCTION("""COMPUTED_VALUE"""),81.0)</f>
        <v>81</v>
      </c>
      <c r="C596" s="30"/>
      <c r="D596" s="30"/>
      <c r="E596" s="30"/>
      <c r="F596" s="30"/>
      <c r="G596" s="30"/>
      <c r="H596" s="30"/>
      <c r="I596" s="30"/>
      <c r="J596" s="30">
        <f>IFERROR(__xludf.DUMMYFUNCTION("""COMPUTED_VALUE"""),-11.059343513011441)</f>
        <v>-11.05934351</v>
      </c>
      <c r="K596" s="30"/>
      <c r="L596" s="30"/>
      <c r="M596" s="30"/>
      <c r="N596" s="30"/>
      <c r="O596" s="30">
        <f>IFERROR(__xludf.DUMMYFUNCTION("""COMPUTED_VALUE"""),-2.630874715592867)</f>
        <v>-2.630874716</v>
      </c>
      <c r="P596" s="30">
        <f>IFERROR(__xludf.DUMMYFUNCTION("""COMPUTED_VALUE"""),4.463999088063446)</f>
        <v>4.463999088</v>
      </c>
      <c r="Q596" s="30"/>
      <c r="R596" s="30"/>
      <c r="S596" s="30"/>
      <c r="T596" s="30"/>
      <c r="U596" s="30">
        <v>0.0</v>
      </c>
      <c r="V596" s="30"/>
      <c r="W596" s="30"/>
      <c r="X596" s="30"/>
      <c r="Y596" s="5">
        <f>IFERROR(__xludf.DUMMYFUNCTION("""COMPUTED_VALUE"""),80.0)</f>
        <v>80</v>
      </c>
      <c r="Z596" s="5">
        <f>IFERROR(__xludf.DUMMYFUNCTION("""COMPUTED_VALUE"""),82.0)</f>
        <v>82</v>
      </c>
    </row>
    <row r="597">
      <c r="A597" s="30" t="s">
        <v>2229</v>
      </c>
      <c r="B597" s="30">
        <f>IFERROR(__xludf.DUMMYFUNCTION("""COMPUTED_VALUE"""),81.0)</f>
        <v>81</v>
      </c>
      <c r="C597" s="30"/>
      <c r="D597" s="30"/>
      <c r="E597" s="30"/>
      <c r="F597" s="30"/>
      <c r="G597" s="30"/>
      <c r="H597" s="30"/>
      <c r="I597" s="30"/>
      <c r="J597" s="30">
        <f>IFERROR(__xludf.DUMMYFUNCTION("""COMPUTED_VALUE"""),-11.059343513011441)</f>
        <v>-11.05934351</v>
      </c>
      <c r="K597" s="30"/>
      <c r="L597" s="30"/>
      <c r="M597" s="30"/>
      <c r="N597" s="30"/>
      <c r="O597" s="30">
        <f>IFERROR(__xludf.DUMMYFUNCTION("""COMPUTED_VALUE"""),-2.630874715592867)</f>
        <v>-2.630874716</v>
      </c>
      <c r="P597" s="30">
        <f>IFERROR(__xludf.DUMMYFUNCTION("""COMPUTED_VALUE"""),4.463999088063446)</f>
        <v>4.463999088</v>
      </c>
      <c r="Q597" s="30"/>
      <c r="R597" s="30"/>
      <c r="S597" s="30"/>
      <c r="T597" s="30"/>
      <c r="U597" s="30">
        <v>0.0</v>
      </c>
      <c r="V597" s="30"/>
      <c r="W597" s="30"/>
      <c r="X597" s="30"/>
      <c r="Y597" s="5">
        <f>IFERROR(__xludf.DUMMYFUNCTION("""COMPUTED_VALUE"""),81.0)</f>
        <v>81</v>
      </c>
      <c r="Z597" s="5">
        <f>IFERROR(__xludf.DUMMYFUNCTION("""COMPUTED_VALUE"""),81.0)</f>
        <v>81</v>
      </c>
    </row>
    <row r="598">
      <c r="A598" s="30" t="s">
        <v>1294</v>
      </c>
      <c r="B598" s="30">
        <f>IFERROR(__xludf.DUMMYFUNCTION("""COMPUTED_VALUE"""),82.0)</f>
        <v>82</v>
      </c>
      <c r="C598" s="30"/>
      <c r="D598" s="30"/>
      <c r="E598" s="30"/>
      <c r="F598" s="30"/>
      <c r="G598" s="30"/>
      <c r="H598" s="30"/>
      <c r="I598" s="30"/>
      <c r="J598" s="30">
        <f>IFERROR(__xludf.DUMMYFUNCTION("""COMPUTED_VALUE"""),-11.059343513011441)</f>
        <v>-11.05934351</v>
      </c>
      <c r="K598" s="30"/>
      <c r="L598" s="30"/>
      <c r="M598" s="30"/>
      <c r="N598" s="30"/>
      <c r="O598" s="30">
        <f>IFERROR(__xludf.DUMMYFUNCTION("""COMPUTED_VALUE"""),-2.630874715592867)</f>
        <v>-2.630874716</v>
      </c>
      <c r="P598" s="30">
        <f>IFERROR(__xludf.DUMMYFUNCTION("""COMPUTED_VALUE"""),4.463999088063446)</f>
        <v>4.463999088</v>
      </c>
      <c r="Q598" s="30"/>
      <c r="R598" s="30"/>
      <c r="S598" s="30"/>
      <c r="T598" s="30"/>
      <c r="U598" s="30">
        <v>0.0</v>
      </c>
      <c r="V598" s="30"/>
      <c r="W598" s="30"/>
      <c r="X598" s="30"/>
      <c r="Y598" s="5">
        <f>IFERROR(__xludf.DUMMYFUNCTION("""COMPUTED_VALUE"""),81.0)</f>
        <v>81</v>
      </c>
      <c r="Z598" s="5">
        <f>IFERROR(__xludf.DUMMYFUNCTION("""COMPUTED_VALUE"""),83.0)</f>
        <v>83</v>
      </c>
    </row>
    <row r="599">
      <c r="A599" s="30" t="s">
        <v>2230</v>
      </c>
      <c r="B599" s="30">
        <f>IFERROR(__xludf.DUMMYFUNCTION("""COMPUTED_VALUE"""),83.0)</f>
        <v>83</v>
      </c>
      <c r="C599" s="30"/>
      <c r="D599" s="30"/>
      <c r="E599" s="30"/>
      <c r="F599" s="30"/>
      <c r="G599" s="30"/>
      <c r="H599" s="30"/>
      <c r="I599" s="30"/>
      <c r="J599" s="30">
        <f>IFERROR(__xludf.DUMMYFUNCTION("""COMPUTED_VALUE"""),-11.059343513011441)</f>
        <v>-11.05934351</v>
      </c>
      <c r="K599" s="30"/>
      <c r="L599" s="30"/>
      <c r="M599" s="30"/>
      <c r="N599" s="30"/>
      <c r="O599" s="30">
        <f>IFERROR(__xludf.DUMMYFUNCTION("""COMPUTED_VALUE"""),-2.630874715592867)</f>
        <v>-2.630874716</v>
      </c>
      <c r="P599" s="30">
        <f>IFERROR(__xludf.DUMMYFUNCTION("""COMPUTED_VALUE"""),4.463999088063446)</f>
        <v>4.463999088</v>
      </c>
      <c r="Q599" s="30"/>
      <c r="R599" s="30"/>
      <c r="S599" s="30"/>
      <c r="T599" s="30"/>
      <c r="U599" s="30">
        <v>0.0</v>
      </c>
      <c r="V599" s="30"/>
      <c r="W599" s="30"/>
      <c r="X599" s="30"/>
      <c r="Y599" s="5">
        <f>IFERROR(__xludf.DUMMYFUNCTION("""COMPUTED_VALUE"""),83.0)</f>
        <v>83</v>
      </c>
      <c r="Z599" s="5">
        <f>IFERROR(__xludf.DUMMYFUNCTION("""COMPUTED_VALUE"""),83.0)</f>
        <v>83</v>
      </c>
    </row>
    <row r="600">
      <c r="A600" s="30" t="s">
        <v>217</v>
      </c>
      <c r="B600" s="30">
        <f>IFERROR(__xludf.DUMMYFUNCTION("""COMPUTED_VALUE"""),80.5)</f>
        <v>80.5</v>
      </c>
      <c r="C600" s="30"/>
      <c r="D600" s="30"/>
      <c r="E600" s="30"/>
      <c r="F600" s="30"/>
      <c r="G600" s="30"/>
      <c r="H600" s="30"/>
      <c r="I600" s="30"/>
      <c r="J600" s="30">
        <f>IFERROR(__xludf.DUMMYFUNCTION("""COMPUTED_VALUE"""),-11.059343513011441)</f>
        <v>-11.05934351</v>
      </c>
      <c r="K600" s="30"/>
      <c r="L600" s="30"/>
      <c r="M600" s="30"/>
      <c r="N600" s="30"/>
      <c r="O600" s="30">
        <f>IFERROR(__xludf.DUMMYFUNCTION("""COMPUTED_VALUE"""),-2.630874715592867)</f>
        <v>-2.630874716</v>
      </c>
      <c r="P600" s="30">
        <f>IFERROR(__xludf.DUMMYFUNCTION("""COMPUTED_VALUE"""),4.463999088063446)</f>
        <v>4.463999088</v>
      </c>
      <c r="Q600" s="30"/>
      <c r="R600" s="30"/>
      <c r="S600" s="30"/>
      <c r="T600" s="30"/>
      <c r="U600" s="30">
        <v>0.0</v>
      </c>
      <c r="V600" s="30"/>
      <c r="W600" s="30"/>
      <c r="X600" s="30"/>
      <c r="Y600" s="5">
        <f>IFERROR(__xludf.DUMMYFUNCTION("""COMPUTED_VALUE"""),79.0)</f>
        <v>79</v>
      </c>
      <c r="Z600" s="5">
        <f>IFERROR(__xludf.DUMMYFUNCTION("""COMPUTED_VALUE"""),82.0)</f>
        <v>82</v>
      </c>
    </row>
    <row r="601">
      <c r="A601" s="30" t="s">
        <v>2242</v>
      </c>
      <c r="B601" s="30">
        <f>IFERROR(__xludf.DUMMYFUNCTION("""COMPUTED_VALUE"""),81.5)</f>
        <v>81.5</v>
      </c>
      <c r="C601" s="30"/>
      <c r="D601" s="30"/>
      <c r="E601" s="30"/>
      <c r="F601" s="30"/>
      <c r="G601" s="30"/>
      <c r="H601" s="30"/>
      <c r="I601" s="30"/>
      <c r="J601" s="30">
        <f>IFERROR(__xludf.DUMMYFUNCTION("""COMPUTED_VALUE"""),-11.059343513011441)</f>
        <v>-11.05934351</v>
      </c>
      <c r="K601" s="30"/>
      <c r="L601" s="30"/>
      <c r="M601" s="30"/>
      <c r="N601" s="30"/>
      <c r="O601" s="30">
        <f>IFERROR(__xludf.DUMMYFUNCTION("""COMPUTED_VALUE"""),-2.630874715592867)</f>
        <v>-2.630874716</v>
      </c>
      <c r="P601" s="30">
        <f>IFERROR(__xludf.DUMMYFUNCTION("""COMPUTED_VALUE"""),4.463999088063446)</f>
        <v>4.463999088</v>
      </c>
      <c r="Q601" s="30"/>
      <c r="R601" s="30"/>
      <c r="S601" s="30"/>
      <c r="T601" s="30"/>
      <c r="U601" s="30">
        <v>0.0</v>
      </c>
      <c r="V601" s="30"/>
      <c r="W601" s="30"/>
      <c r="X601" s="30"/>
      <c r="Y601" s="5">
        <f>IFERROR(__xludf.DUMMYFUNCTION("""COMPUTED_VALUE"""),79.0)</f>
        <v>79</v>
      </c>
      <c r="Z601" s="5">
        <f>IFERROR(__xludf.DUMMYFUNCTION("""COMPUTED_VALUE"""),84.0)</f>
        <v>84</v>
      </c>
    </row>
    <row r="602">
      <c r="A602" s="30" t="s">
        <v>2246</v>
      </c>
      <c r="B602" s="30">
        <f>IFERROR(__xludf.DUMMYFUNCTION("""COMPUTED_VALUE"""),81.0)</f>
        <v>81</v>
      </c>
      <c r="C602" s="30"/>
      <c r="D602" s="30"/>
      <c r="E602" s="30"/>
      <c r="F602" s="30"/>
      <c r="G602" s="30"/>
      <c r="H602" s="30"/>
      <c r="I602" s="30"/>
      <c r="J602" s="30">
        <f>IFERROR(__xludf.DUMMYFUNCTION("""COMPUTED_VALUE"""),-11.059343513011441)</f>
        <v>-11.05934351</v>
      </c>
      <c r="K602" s="30"/>
      <c r="L602" s="30"/>
      <c r="M602" s="30"/>
      <c r="N602" s="30"/>
      <c r="O602" s="30">
        <f>IFERROR(__xludf.DUMMYFUNCTION("""COMPUTED_VALUE"""),-2.630874715592867)</f>
        <v>-2.630874716</v>
      </c>
      <c r="P602" s="30">
        <f>IFERROR(__xludf.DUMMYFUNCTION("""COMPUTED_VALUE"""),4.463999088063446)</f>
        <v>4.463999088</v>
      </c>
      <c r="Q602" s="30"/>
      <c r="R602" s="30"/>
      <c r="S602" s="30"/>
      <c r="T602" s="30"/>
      <c r="U602" s="30">
        <v>0.0</v>
      </c>
      <c r="V602" s="30"/>
      <c r="W602" s="30"/>
      <c r="X602" s="30"/>
      <c r="Y602" s="5">
        <f>IFERROR(__xludf.DUMMYFUNCTION("""COMPUTED_VALUE"""),81.0)</f>
        <v>81</v>
      </c>
      <c r="Z602" s="5">
        <f>IFERROR(__xludf.DUMMYFUNCTION("""COMPUTED_VALUE"""),81.0)</f>
        <v>81</v>
      </c>
    </row>
    <row r="603">
      <c r="A603" s="30" t="s">
        <v>2249</v>
      </c>
      <c r="B603" s="30">
        <f>IFERROR(__xludf.DUMMYFUNCTION("""COMPUTED_VALUE"""),80.0)</f>
        <v>80</v>
      </c>
      <c r="C603" s="30"/>
      <c r="D603" s="30"/>
      <c r="E603" s="30"/>
      <c r="F603" s="30"/>
      <c r="G603" s="30"/>
      <c r="H603" s="30"/>
      <c r="I603" s="30"/>
      <c r="J603" s="30">
        <f>IFERROR(__xludf.DUMMYFUNCTION("""COMPUTED_VALUE"""),-11.059343513011441)</f>
        <v>-11.05934351</v>
      </c>
      <c r="K603" s="30"/>
      <c r="L603" s="30"/>
      <c r="M603" s="30"/>
      <c r="N603" s="30"/>
      <c r="O603" s="30">
        <f>IFERROR(__xludf.DUMMYFUNCTION("""COMPUTED_VALUE"""),-2.630874715592867)</f>
        <v>-2.630874716</v>
      </c>
      <c r="P603" s="30">
        <f>IFERROR(__xludf.DUMMYFUNCTION("""COMPUTED_VALUE"""),4.463999088063446)</f>
        <v>4.463999088</v>
      </c>
      <c r="Q603" s="30"/>
      <c r="R603" s="30"/>
      <c r="S603" s="30"/>
      <c r="T603" s="30"/>
      <c r="U603" s="30">
        <v>0.0</v>
      </c>
      <c r="V603" s="30"/>
      <c r="W603" s="30"/>
      <c r="X603" s="30"/>
      <c r="Y603" s="5">
        <f>IFERROR(__xludf.DUMMYFUNCTION("""COMPUTED_VALUE"""),79.0)</f>
        <v>79</v>
      </c>
      <c r="Z603" s="5">
        <f>IFERROR(__xludf.DUMMYFUNCTION("""COMPUTED_VALUE"""),81.0)</f>
        <v>81</v>
      </c>
    </row>
    <row r="604">
      <c r="A604" s="30" t="s">
        <v>2253</v>
      </c>
      <c r="B604" s="30">
        <f>IFERROR(__xludf.DUMMYFUNCTION("""COMPUTED_VALUE"""),80.0)</f>
        <v>80</v>
      </c>
      <c r="C604" s="30"/>
      <c r="D604" s="30"/>
      <c r="E604" s="30"/>
      <c r="F604" s="30"/>
      <c r="G604" s="30"/>
      <c r="H604" s="30"/>
      <c r="I604" s="30"/>
      <c r="J604" s="30">
        <f>IFERROR(__xludf.DUMMYFUNCTION("""COMPUTED_VALUE"""),-11.059343513011441)</f>
        <v>-11.05934351</v>
      </c>
      <c r="K604" s="30"/>
      <c r="L604" s="30"/>
      <c r="M604" s="30"/>
      <c r="N604" s="30"/>
      <c r="O604" s="30">
        <f>IFERROR(__xludf.DUMMYFUNCTION("""COMPUTED_VALUE"""),-2.630874715592867)</f>
        <v>-2.630874716</v>
      </c>
      <c r="P604" s="30">
        <f>IFERROR(__xludf.DUMMYFUNCTION("""COMPUTED_VALUE"""),4.463999088063446)</f>
        <v>4.463999088</v>
      </c>
      <c r="Q604" s="30"/>
      <c r="R604" s="30"/>
      <c r="S604" s="30"/>
      <c r="T604" s="30"/>
      <c r="U604" s="30">
        <v>0.0</v>
      </c>
      <c r="V604" s="30"/>
      <c r="W604" s="30"/>
      <c r="X604" s="30"/>
      <c r="Y604" s="5">
        <f>IFERROR(__xludf.DUMMYFUNCTION("""COMPUTED_VALUE"""),79.0)</f>
        <v>79</v>
      </c>
      <c r="Z604" s="5">
        <f>IFERROR(__xludf.DUMMYFUNCTION("""COMPUTED_VALUE"""),81.0)</f>
        <v>81</v>
      </c>
    </row>
    <row r="605">
      <c r="A605" s="30" t="s">
        <v>2257</v>
      </c>
      <c r="B605" s="30">
        <f>IFERROR(__xludf.DUMMYFUNCTION("""COMPUTED_VALUE"""),80.0)</f>
        <v>80</v>
      </c>
      <c r="C605" s="30"/>
      <c r="D605" s="30"/>
      <c r="E605" s="30"/>
      <c r="F605" s="30"/>
      <c r="G605" s="30"/>
      <c r="H605" s="30"/>
      <c r="I605" s="30"/>
      <c r="J605" s="30">
        <f>IFERROR(__xludf.DUMMYFUNCTION("""COMPUTED_VALUE"""),-11.059343513011441)</f>
        <v>-11.05934351</v>
      </c>
      <c r="K605" s="30"/>
      <c r="L605" s="30"/>
      <c r="M605" s="30"/>
      <c r="N605" s="30"/>
      <c r="O605" s="30">
        <f>IFERROR(__xludf.DUMMYFUNCTION("""COMPUTED_VALUE"""),-2.630874715592867)</f>
        <v>-2.630874716</v>
      </c>
      <c r="P605" s="30">
        <f>IFERROR(__xludf.DUMMYFUNCTION("""COMPUTED_VALUE"""),4.463999088063446)</f>
        <v>4.463999088</v>
      </c>
      <c r="Q605" s="30"/>
      <c r="R605" s="30"/>
      <c r="S605" s="30"/>
      <c r="T605" s="30"/>
      <c r="U605" s="30">
        <v>0.0</v>
      </c>
      <c r="V605" s="30"/>
      <c r="W605" s="30"/>
      <c r="X605" s="30"/>
      <c r="Y605" s="5">
        <f>IFERROR(__xludf.DUMMYFUNCTION("""COMPUTED_VALUE"""),80.0)</f>
        <v>80</v>
      </c>
      <c r="Z605" s="5">
        <f>IFERROR(__xludf.DUMMYFUNCTION("""COMPUTED_VALUE"""),80.0)</f>
        <v>80</v>
      </c>
    </row>
    <row r="606">
      <c r="A606" s="30" t="s">
        <v>2263</v>
      </c>
      <c r="B606" s="30">
        <f>IFERROR(__xludf.DUMMYFUNCTION("""COMPUTED_VALUE"""),82.0)</f>
        <v>82</v>
      </c>
      <c r="C606" s="30"/>
      <c r="D606" s="30"/>
      <c r="E606" s="30"/>
      <c r="F606" s="30"/>
      <c r="G606" s="30"/>
      <c r="H606" s="30"/>
      <c r="I606" s="30"/>
      <c r="J606" s="30">
        <f>IFERROR(__xludf.DUMMYFUNCTION("""COMPUTED_VALUE"""),-11.059343513011441)</f>
        <v>-11.05934351</v>
      </c>
      <c r="K606" s="30"/>
      <c r="L606" s="30"/>
      <c r="M606" s="30"/>
      <c r="N606" s="30"/>
      <c r="O606" s="30">
        <f>IFERROR(__xludf.DUMMYFUNCTION("""COMPUTED_VALUE"""),-2.630874715592867)</f>
        <v>-2.630874716</v>
      </c>
      <c r="P606" s="30">
        <f>IFERROR(__xludf.DUMMYFUNCTION("""COMPUTED_VALUE"""),4.463999088063446)</f>
        <v>4.463999088</v>
      </c>
      <c r="Q606" s="30"/>
      <c r="R606" s="30"/>
      <c r="S606" s="30"/>
      <c r="T606" s="30"/>
      <c r="U606" s="30">
        <v>0.0</v>
      </c>
      <c r="V606" s="30"/>
      <c r="W606" s="30"/>
      <c r="X606" s="30"/>
      <c r="Y606" s="5">
        <f>IFERROR(__xludf.DUMMYFUNCTION("""COMPUTED_VALUE"""),81.0)</f>
        <v>81</v>
      </c>
      <c r="Z606" s="5">
        <f>IFERROR(__xludf.DUMMYFUNCTION("""COMPUTED_VALUE"""),83.0)</f>
        <v>83</v>
      </c>
    </row>
    <row r="607">
      <c r="A607" s="30" t="s">
        <v>2267</v>
      </c>
      <c r="B607" s="30">
        <f>IFERROR(__xludf.DUMMYFUNCTION("""COMPUTED_VALUE"""),83.5)</f>
        <v>83.5</v>
      </c>
      <c r="C607" s="30"/>
      <c r="D607" s="30"/>
      <c r="E607" s="30"/>
      <c r="F607" s="30"/>
      <c r="G607" s="30"/>
      <c r="H607" s="30"/>
      <c r="I607" s="30"/>
      <c r="J607" s="30">
        <f>IFERROR(__xludf.DUMMYFUNCTION("""COMPUTED_VALUE"""),-11.059343513011441)</f>
        <v>-11.05934351</v>
      </c>
      <c r="K607" s="30"/>
      <c r="L607" s="30"/>
      <c r="M607" s="30"/>
      <c r="N607" s="30"/>
      <c r="O607" s="30">
        <f>IFERROR(__xludf.DUMMYFUNCTION("""COMPUTED_VALUE"""),-2.630874715592867)</f>
        <v>-2.630874716</v>
      </c>
      <c r="P607" s="30">
        <f>IFERROR(__xludf.DUMMYFUNCTION("""COMPUTED_VALUE"""),4.463999088063446)</f>
        <v>4.463999088</v>
      </c>
      <c r="Q607" s="30"/>
      <c r="R607" s="30"/>
      <c r="S607" s="30"/>
      <c r="T607" s="30"/>
      <c r="U607" s="30">
        <v>0.0</v>
      </c>
      <c r="V607" s="30"/>
      <c r="W607" s="30"/>
      <c r="X607" s="30"/>
      <c r="Y607" s="5">
        <f>IFERROR(__xludf.DUMMYFUNCTION("""COMPUTED_VALUE"""),83.0)</f>
        <v>83</v>
      </c>
      <c r="Z607" s="5">
        <f>IFERROR(__xludf.DUMMYFUNCTION("""COMPUTED_VALUE"""),84.0)</f>
        <v>84</v>
      </c>
    </row>
    <row r="608">
      <c r="A608" s="30" t="s">
        <v>2271</v>
      </c>
      <c r="B608" s="30">
        <f>IFERROR(__xludf.DUMMYFUNCTION("""COMPUTED_VALUE"""),80.5)</f>
        <v>80.5</v>
      </c>
      <c r="C608" s="30"/>
      <c r="D608" s="30"/>
      <c r="E608" s="30"/>
      <c r="F608" s="30"/>
      <c r="G608" s="30"/>
      <c r="H608" s="30"/>
      <c r="I608" s="30"/>
      <c r="J608" s="30">
        <f>IFERROR(__xludf.DUMMYFUNCTION("""COMPUTED_VALUE"""),-11.059343513011441)</f>
        <v>-11.05934351</v>
      </c>
      <c r="K608" s="30"/>
      <c r="L608" s="30"/>
      <c r="M608" s="30"/>
      <c r="N608" s="30"/>
      <c r="O608" s="30">
        <f>IFERROR(__xludf.DUMMYFUNCTION("""COMPUTED_VALUE"""),-2.630874715592867)</f>
        <v>-2.630874716</v>
      </c>
      <c r="P608" s="30">
        <f>IFERROR(__xludf.DUMMYFUNCTION("""COMPUTED_VALUE"""),4.463999088063446)</f>
        <v>4.463999088</v>
      </c>
      <c r="Q608" s="30"/>
      <c r="R608" s="30"/>
      <c r="S608" s="30"/>
      <c r="T608" s="30"/>
      <c r="U608" s="30">
        <v>0.0</v>
      </c>
      <c r="V608" s="30"/>
      <c r="W608" s="30"/>
      <c r="X608" s="30"/>
      <c r="Y608" s="5">
        <f>IFERROR(__xludf.DUMMYFUNCTION("""COMPUTED_VALUE"""),78.0)</f>
        <v>78</v>
      </c>
      <c r="Z608" s="5">
        <f>IFERROR(__xludf.DUMMYFUNCTION("""COMPUTED_VALUE"""),83.0)</f>
        <v>83</v>
      </c>
    </row>
    <row r="609">
      <c r="A609" s="30" t="s">
        <v>2280</v>
      </c>
      <c r="B609" s="30">
        <f>IFERROR(__xludf.DUMMYFUNCTION("""COMPUTED_VALUE"""),80.0)</f>
        <v>80</v>
      </c>
      <c r="C609" s="30"/>
      <c r="D609" s="30"/>
      <c r="E609" s="30"/>
      <c r="F609" s="30"/>
      <c r="G609" s="30"/>
      <c r="H609" s="30"/>
      <c r="I609" s="30"/>
      <c r="J609" s="30">
        <f>IFERROR(__xludf.DUMMYFUNCTION("""COMPUTED_VALUE"""),-11.059343513011441)</f>
        <v>-11.05934351</v>
      </c>
      <c r="K609" s="30"/>
      <c r="L609" s="30"/>
      <c r="M609" s="30"/>
      <c r="N609" s="30"/>
      <c r="O609" s="30">
        <f>IFERROR(__xludf.DUMMYFUNCTION("""COMPUTED_VALUE"""),-2.630874715592867)</f>
        <v>-2.630874716</v>
      </c>
      <c r="P609" s="30">
        <f>IFERROR(__xludf.DUMMYFUNCTION("""COMPUTED_VALUE"""),4.463999088063446)</f>
        <v>4.463999088</v>
      </c>
      <c r="Q609" s="30"/>
      <c r="R609" s="30"/>
      <c r="S609" s="30"/>
      <c r="T609" s="30"/>
      <c r="U609" s="30">
        <v>0.0</v>
      </c>
      <c r="V609" s="30"/>
      <c r="W609" s="30"/>
      <c r="X609" s="30"/>
      <c r="Y609" s="5">
        <f>IFERROR(__xludf.DUMMYFUNCTION("""COMPUTED_VALUE"""),80.0)</f>
        <v>80</v>
      </c>
      <c r="Z609" s="5">
        <f>IFERROR(__xludf.DUMMYFUNCTION("""COMPUTED_VALUE"""),80.0)</f>
        <v>80</v>
      </c>
    </row>
    <row r="610">
      <c r="A610" s="30" t="s">
        <v>1042</v>
      </c>
      <c r="B610" s="30">
        <f>IFERROR(__xludf.DUMMYFUNCTION("""COMPUTED_VALUE"""),80.0)</f>
        <v>80</v>
      </c>
      <c r="C610" s="30"/>
      <c r="D610" s="30"/>
      <c r="E610" s="30"/>
      <c r="F610" s="30"/>
      <c r="G610" s="30"/>
      <c r="H610" s="30"/>
      <c r="I610" s="30"/>
      <c r="J610" s="30">
        <f>IFERROR(__xludf.DUMMYFUNCTION("""COMPUTED_VALUE"""),-11.059343513011441)</f>
        <v>-11.05934351</v>
      </c>
      <c r="K610" s="30"/>
      <c r="L610" s="30"/>
      <c r="M610" s="30"/>
      <c r="N610" s="30"/>
      <c r="O610" s="30">
        <f>IFERROR(__xludf.DUMMYFUNCTION("""COMPUTED_VALUE"""),-2.630874715592867)</f>
        <v>-2.630874716</v>
      </c>
      <c r="P610" s="30">
        <f>IFERROR(__xludf.DUMMYFUNCTION("""COMPUTED_VALUE"""),4.463999088063446)</f>
        <v>4.463999088</v>
      </c>
      <c r="Q610" s="30"/>
      <c r="R610" s="30"/>
      <c r="S610" s="30"/>
      <c r="T610" s="30"/>
      <c r="U610" s="30">
        <v>0.0</v>
      </c>
      <c r="V610" s="30"/>
      <c r="W610" s="30"/>
      <c r="X610" s="30"/>
      <c r="Y610" s="5">
        <f>IFERROR(__xludf.DUMMYFUNCTION("""COMPUTED_VALUE"""),78.0)</f>
        <v>78</v>
      </c>
      <c r="Z610" s="5">
        <f>IFERROR(__xludf.DUMMYFUNCTION("""COMPUTED_VALUE"""),82.0)</f>
        <v>82</v>
      </c>
    </row>
    <row r="611">
      <c r="A611" s="30" t="s">
        <v>26</v>
      </c>
      <c r="B611" s="30">
        <f>IFERROR(__xludf.DUMMYFUNCTION("""COMPUTED_VALUE"""),81.5)</f>
        <v>81.5</v>
      </c>
      <c r="C611" s="30"/>
      <c r="D611" s="30"/>
      <c r="E611" s="30"/>
      <c r="F611" s="30"/>
      <c r="G611" s="30"/>
      <c r="H611" s="30"/>
      <c r="I611" s="30"/>
      <c r="J611" s="30">
        <f>IFERROR(__xludf.DUMMYFUNCTION("""COMPUTED_VALUE"""),-11.059343513011441)</f>
        <v>-11.05934351</v>
      </c>
      <c r="K611" s="30"/>
      <c r="L611" s="30"/>
      <c r="M611" s="30"/>
      <c r="N611" s="30"/>
      <c r="O611" s="30">
        <f>IFERROR(__xludf.DUMMYFUNCTION("""COMPUTED_VALUE"""),-2.630874715592867)</f>
        <v>-2.630874716</v>
      </c>
      <c r="P611" s="30">
        <f>IFERROR(__xludf.DUMMYFUNCTION("""COMPUTED_VALUE"""),4.463999088063446)</f>
        <v>4.463999088</v>
      </c>
      <c r="Q611" s="30"/>
      <c r="R611" s="30"/>
      <c r="S611" s="30"/>
      <c r="T611" s="30"/>
      <c r="U611" s="30">
        <v>0.0</v>
      </c>
      <c r="V611" s="30"/>
      <c r="W611" s="30"/>
      <c r="X611" s="30"/>
      <c r="Y611" s="5">
        <f>IFERROR(__xludf.DUMMYFUNCTION("""COMPUTED_VALUE"""),80.0)</f>
        <v>80</v>
      </c>
      <c r="Z611" s="5">
        <f>IFERROR(__xludf.DUMMYFUNCTION("""COMPUTED_VALUE"""),83.0)</f>
        <v>83</v>
      </c>
    </row>
    <row r="612">
      <c r="A612" s="30" t="s">
        <v>2019</v>
      </c>
      <c r="B612" s="30">
        <f>IFERROR(__xludf.DUMMYFUNCTION("""COMPUTED_VALUE"""),82.0)</f>
        <v>82</v>
      </c>
      <c r="C612" s="30"/>
      <c r="D612" s="30"/>
      <c r="E612" s="30"/>
      <c r="F612" s="30"/>
      <c r="G612" s="30"/>
      <c r="H612" s="30"/>
      <c r="I612" s="30"/>
      <c r="J612" s="30">
        <f>IFERROR(__xludf.DUMMYFUNCTION("""COMPUTED_VALUE"""),-11.059343513011441)</f>
        <v>-11.05934351</v>
      </c>
      <c r="K612" s="30"/>
      <c r="L612" s="30"/>
      <c r="M612" s="30"/>
      <c r="N612" s="30"/>
      <c r="O612" s="30">
        <f>IFERROR(__xludf.DUMMYFUNCTION("""COMPUTED_VALUE"""),-2.630874715592867)</f>
        <v>-2.630874716</v>
      </c>
      <c r="P612" s="30">
        <f>IFERROR(__xludf.DUMMYFUNCTION("""COMPUTED_VALUE"""),4.463999088063446)</f>
        <v>4.463999088</v>
      </c>
      <c r="Q612" s="30"/>
      <c r="R612" s="30"/>
      <c r="S612" s="30"/>
      <c r="T612" s="30"/>
      <c r="U612" s="30">
        <v>0.0</v>
      </c>
      <c r="V612" s="30"/>
      <c r="W612" s="30"/>
      <c r="X612" s="30"/>
      <c r="Y612" s="5">
        <f>IFERROR(__xludf.DUMMYFUNCTION("""COMPUTED_VALUE"""),82.0)</f>
        <v>82</v>
      </c>
      <c r="Z612" s="5">
        <f>IFERROR(__xludf.DUMMYFUNCTION("""COMPUTED_VALUE"""),82.0)</f>
        <v>82</v>
      </c>
    </row>
    <row r="613">
      <c r="A613" s="30" t="s">
        <v>2291</v>
      </c>
      <c r="B613" s="30">
        <f>IFERROR(__xludf.DUMMYFUNCTION("""COMPUTED_VALUE"""),83.0)</f>
        <v>83</v>
      </c>
      <c r="C613" s="30"/>
      <c r="D613" s="30"/>
      <c r="E613" s="30"/>
      <c r="F613" s="30"/>
      <c r="G613" s="30"/>
      <c r="H613" s="30"/>
      <c r="I613" s="30"/>
      <c r="J613" s="30">
        <f>IFERROR(__xludf.DUMMYFUNCTION("""COMPUTED_VALUE"""),-11.059343513011441)</f>
        <v>-11.05934351</v>
      </c>
      <c r="K613" s="30"/>
      <c r="L613" s="30"/>
      <c r="M613" s="30"/>
      <c r="N613" s="30"/>
      <c r="O613" s="30">
        <f>IFERROR(__xludf.DUMMYFUNCTION("""COMPUTED_VALUE"""),-2.630874715592867)</f>
        <v>-2.630874716</v>
      </c>
      <c r="P613" s="30">
        <f>IFERROR(__xludf.DUMMYFUNCTION("""COMPUTED_VALUE"""),4.463999088063446)</f>
        <v>4.463999088</v>
      </c>
      <c r="Q613" s="30"/>
      <c r="R613" s="30"/>
      <c r="S613" s="30"/>
      <c r="T613" s="30"/>
      <c r="U613" s="30">
        <v>0.0</v>
      </c>
      <c r="V613" s="30"/>
      <c r="W613" s="30"/>
      <c r="X613" s="30"/>
      <c r="Y613" s="5">
        <f>IFERROR(__xludf.DUMMYFUNCTION("""COMPUTED_VALUE"""),83.0)</f>
        <v>83</v>
      </c>
      <c r="Z613" s="5">
        <f>IFERROR(__xludf.DUMMYFUNCTION("""COMPUTED_VALUE"""),83.0)</f>
        <v>83</v>
      </c>
    </row>
    <row r="614">
      <c r="A614" s="30" t="s">
        <v>989</v>
      </c>
      <c r="B614" s="30">
        <f>IFERROR(__xludf.DUMMYFUNCTION("""COMPUTED_VALUE"""),81.0)</f>
        <v>81</v>
      </c>
      <c r="C614" s="30"/>
      <c r="D614" s="30"/>
      <c r="E614" s="30"/>
      <c r="F614" s="30"/>
      <c r="G614" s="30"/>
      <c r="H614" s="30"/>
      <c r="I614" s="30"/>
      <c r="J614" s="30">
        <f>IFERROR(__xludf.DUMMYFUNCTION("""COMPUTED_VALUE"""),-11.059343513011441)</f>
        <v>-11.05934351</v>
      </c>
      <c r="K614" s="30"/>
      <c r="L614" s="30"/>
      <c r="M614" s="30"/>
      <c r="N614" s="30"/>
      <c r="O614" s="30">
        <f>IFERROR(__xludf.DUMMYFUNCTION("""COMPUTED_VALUE"""),-2.630874715592867)</f>
        <v>-2.630874716</v>
      </c>
      <c r="P614" s="30">
        <f>IFERROR(__xludf.DUMMYFUNCTION("""COMPUTED_VALUE"""),4.463999088063446)</f>
        <v>4.463999088</v>
      </c>
      <c r="Q614" s="30"/>
      <c r="R614" s="30"/>
      <c r="S614" s="30"/>
      <c r="T614" s="30"/>
      <c r="U614" s="30">
        <v>0.0</v>
      </c>
      <c r="V614" s="30"/>
      <c r="W614" s="30"/>
      <c r="X614" s="30"/>
      <c r="Y614" s="5">
        <f>IFERROR(__xludf.DUMMYFUNCTION("""COMPUTED_VALUE"""),81.0)</f>
        <v>81</v>
      </c>
      <c r="Z614" s="5">
        <f>IFERROR(__xludf.DUMMYFUNCTION("""COMPUTED_VALUE"""),81.0)</f>
        <v>81</v>
      </c>
    </row>
    <row r="615">
      <c r="A615" s="30" t="s">
        <v>2292</v>
      </c>
      <c r="B615" s="30">
        <f>IFERROR(__xludf.DUMMYFUNCTION("""COMPUTED_VALUE"""),80.5)</f>
        <v>80.5</v>
      </c>
      <c r="C615" s="30"/>
      <c r="D615" s="30"/>
      <c r="E615" s="30"/>
      <c r="F615" s="30"/>
      <c r="G615" s="30"/>
      <c r="H615" s="30"/>
      <c r="I615" s="30"/>
      <c r="J615" s="30">
        <f>IFERROR(__xludf.DUMMYFUNCTION("""COMPUTED_VALUE"""),-11.059343513011441)</f>
        <v>-11.05934351</v>
      </c>
      <c r="K615" s="30"/>
      <c r="L615" s="30"/>
      <c r="M615" s="30"/>
      <c r="N615" s="30"/>
      <c r="O615" s="30">
        <f>IFERROR(__xludf.DUMMYFUNCTION("""COMPUTED_VALUE"""),-2.630874715592867)</f>
        <v>-2.630874716</v>
      </c>
      <c r="P615" s="30">
        <f>IFERROR(__xludf.DUMMYFUNCTION("""COMPUTED_VALUE"""),4.463999088063446)</f>
        <v>4.463999088</v>
      </c>
      <c r="Q615" s="30"/>
      <c r="R615" s="30"/>
      <c r="S615" s="30"/>
      <c r="T615" s="30"/>
      <c r="U615" s="30">
        <v>0.0</v>
      </c>
      <c r="V615" s="30"/>
      <c r="W615" s="30"/>
      <c r="X615" s="30"/>
      <c r="Y615" s="5">
        <f>IFERROR(__xludf.DUMMYFUNCTION("""COMPUTED_VALUE"""),80.0)</f>
        <v>80</v>
      </c>
      <c r="Z615" s="5">
        <f>IFERROR(__xludf.DUMMYFUNCTION("""COMPUTED_VALUE"""),81.0)</f>
        <v>81</v>
      </c>
    </row>
    <row r="616">
      <c r="A616" s="30" t="s">
        <v>2298</v>
      </c>
      <c r="B616" s="30">
        <f>IFERROR(__xludf.DUMMYFUNCTION("""COMPUTED_VALUE"""),83.0)</f>
        <v>83</v>
      </c>
      <c r="C616" s="30"/>
      <c r="D616" s="30"/>
      <c r="E616" s="30"/>
      <c r="F616" s="30"/>
      <c r="G616" s="30"/>
      <c r="H616" s="30"/>
      <c r="I616" s="30"/>
      <c r="J616" s="30">
        <f>IFERROR(__xludf.DUMMYFUNCTION("""COMPUTED_VALUE"""),-11.059343513011441)</f>
        <v>-11.05934351</v>
      </c>
      <c r="K616" s="30"/>
      <c r="L616" s="30"/>
      <c r="M616" s="30"/>
      <c r="N616" s="30"/>
      <c r="O616" s="30">
        <f>IFERROR(__xludf.DUMMYFUNCTION("""COMPUTED_VALUE"""),-2.630874715592867)</f>
        <v>-2.630874716</v>
      </c>
      <c r="P616" s="30">
        <f>IFERROR(__xludf.DUMMYFUNCTION("""COMPUTED_VALUE"""),4.463999088063446)</f>
        <v>4.463999088</v>
      </c>
      <c r="Q616" s="30"/>
      <c r="R616" s="30"/>
      <c r="S616" s="30"/>
      <c r="T616" s="30"/>
      <c r="U616" s="30">
        <v>0.0</v>
      </c>
      <c r="V616" s="30"/>
      <c r="W616" s="30"/>
      <c r="X616" s="30"/>
      <c r="Y616" s="5">
        <f>IFERROR(__xludf.DUMMYFUNCTION("""COMPUTED_VALUE"""),83.0)</f>
        <v>83</v>
      </c>
      <c r="Z616" s="5">
        <f>IFERROR(__xludf.DUMMYFUNCTION("""COMPUTED_VALUE"""),83.0)</f>
        <v>83</v>
      </c>
    </row>
    <row r="617">
      <c r="A617" s="30" t="s">
        <v>1261</v>
      </c>
      <c r="B617" s="30">
        <f>IFERROR(__xludf.DUMMYFUNCTION("""COMPUTED_VALUE"""),82.5)</f>
        <v>82.5</v>
      </c>
      <c r="C617" s="30"/>
      <c r="D617" s="30"/>
      <c r="E617" s="30"/>
      <c r="F617" s="30"/>
      <c r="G617" s="30"/>
      <c r="H617" s="30"/>
      <c r="I617" s="30"/>
      <c r="J617" s="30">
        <f>IFERROR(__xludf.DUMMYFUNCTION("""COMPUTED_VALUE"""),-11.059343513011441)</f>
        <v>-11.05934351</v>
      </c>
      <c r="K617" s="30"/>
      <c r="L617" s="30"/>
      <c r="M617" s="30"/>
      <c r="N617" s="30"/>
      <c r="O617" s="30">
        <f>IFERROR(__xludf.DUMMYFUNCTION("""COMPUTED_VALUE"""),-2.630874715592867)</f>
        <v>-2.630874716</v>
      </c>
      <c r="P617" s="30">
        <f>IFERROR(__xludf.DUMMYFUNCTION("""COMPUTED_VALUE"""),4.463999088063446)</f>
        <v>4.463999088</v>
      </c>
      <c r="Q617" s="30"/>
      <c r="R617" s="30"/>
      <c r="S617" s="30"/>
      <c r="T617" s="30"/>
      <c r="U617" s="30">
        <v>0.0</v>
      </c>
      <c r="V617" s="30"/>
      <c r="W617" s="30"/>
      <c r="X617" s="30"/>
      <c r="Y617" s="5">
        <f>IFERROR(__xludf.DUMMYFUNCTION("""COMPUTED_VALUE"""),82.0)</f>
        <v>82</v>
      </c>
      <c r="Z617" s="5">
        <f>IFERROR(__xludf.DUMMYFUNCTION("""COMPUTED_VALUE"""),83.0)</f>
        <v>83</v>
      </c>
    </row>
    <row r="618">
      <c r="A618" s="30" t="s">
        <v>2301</v>
      </c>
      <c r="B618" s="30">
        <f>IFERROR(__xludf.DUMMYFUNCTION("""COMPUTED_VALUE"""),83.0)</f>
        <v>83</v>
      </c>
      <c r="C618" s="30"/>
      <c r="D618" s="30"/>
      <c r="E618" s="30"/>
      <c r="F618" s="30"/>
      <c r="G618" s="30"/>
      <c r="H618" s="30"/>
      <c r="I618" s="30"/>
      <c r="J618" s="30">
        <f>IFERROR(__xludf.DUMMYFUNCTION("""COMPUTED_VALUE"""),-11.059343513011441)</f>
        <v>-11.05934351</v>
      </c>
      <c r="K618" s="30"/>
      <c r="L618" s="30"/>
      <c r="M618" s="30"/>
      <c r="N618" s="30"/>
      <c r="O618" s="30">
        <f>IFERROR(__xludf.DUMMYFUNCTION("""COMPUTED_VALUE"""),-2.630874715592867)</f>
        <v>-2.630874716</v>
      </c>
      <c r="P618" s="30">
        <f>IFERROR(__xludf.DUMMYFUNCTION("""COMPUTED_VALUE"""),4.463999088063446)</f>
        <v>4.463999088</v>
      </c>
      <c r="Q618" s="30"/>
      <c r="R618" s="30"/>
      <c r="S618" s="30"/>
      <c r="T618" s="30"/>
      <c r="U618" s="30">
        <v>0.0</v>
      </c>
      <c r="V618" s="30"/>
      <c r="W618" s="30"/>
      <c r="X618" s="30"/>
      <c r="Y618" s="5">
        <f>IFERROR(__xludf.DUMMYFUNCTION("""COMPUTED_VALUE"""),82.0)</f>
        <v>82</v>
      </c>
      <c r="Z618" s="5">
        <f>IFERROR(__xludf.DUMMYFUNCTION("""COMPUTED_VALUE"""),84.0)</f>
        <v>84</v>
      </c>
    </row>
    <row r="619">
      <c r="A619" s="30" t="s">
        <v>2306</v>
      </c>
      <c r="B619" s="30">
        <f>IFERROR(__xludf.DUMMYFUNCTION("""COMPUTED_VALUE"""),82.5)</f>
        <v>82.5</v>
      </c>
      <c r="C619" s="30"/>
      <c r="D619" s="30"/>
      <c r="E619" s="30"/>
      <c r="F619" s="30"/>
      <c r="G619" s="30"/>
      <c r="H619" s="30"/>
      <c r="I619" s="30"/>
      <c r="J619" s="30">
        <f>IFERROR(__xludf.DUMMYFUNCTION("""COMPUTED_VALUE"""),-11.059343513011441)</f>
        <v>-11.05934351</v>
      </c>
      <c r="K619" s="30"/>
      <c r="L619" s="30"/>
      <c r="M619" s="30"/>
      <c r="N619" s="30"/>
      <c r="O619" s="30">
        <f>IFERROR(__xludf.DUMMYFUNCTION("""COMPUTED_VALUE"""),-2.630874715592867)</f>
        <v>-2.630874716</v>
      </c>
      <c r="P619" s="30">
        <f>IFERROR(__xludf.DUMMYFUNCTION("""COMPUTED_VALUE"""),4.463999088063446)</f>
        <v>4.463999088</v>
      </c>
      <c r="Q619" s="30"/>
      <c r="R619" s="30"/>
      <c r="S619" s="30"/>
      <c r="T619" s="30"/>
      <c r="U619" s="30">
        <v>0.0</v>
      </c>
      <c r="V619" s="30"/>
      <c r="W619" s="30"/>
      <c r="X619" s="30"/>
      <c r="Y619" s="5">
        <f>IFERROR(__xludf.DUMMYFUNCTION("""COMPUTED_VALUE"""),81.0)</f>
        <v>81</v>
      </c>
      <c r="Z619" s="5">
        <f>IFERROR(__xludf.DUMMYFUNCTION("""COMPUTED_VALUE"""),84.0)</f>
        <v>84</v>
      </c>
    </row>
    <row r="620">
      <c r="A620" s="30" t="s">
        <v>2310</v>
      </c>
      <c r="B620" s="30">
        <f>IFERROR(__xludf.DUMMYFUNCTION("""COMPUTED_VALUE"""),80.0)</f>
        <v>80</v>
      </c>
      <c r="C620" s="30"/>
      <c r="D620" s="30"/>
      <c r="E620" s="30"/>
      <c r="F620" s="30"/>
      <c r="G620" s="30"/>
      <c r="H620" s="30"/>
      <c r="I620" s="30"/>
      <c r="J620" s="30">
        <f>IFERROR(__xludf.DUMMYFUNCTION("""COMPUTED_VALUE"""),-11.059343513011441)</f>
        <v>-11.05934351</v>
      </c>
      <c r="K620" s="30"/>
      <c r="L620" s="30"/>
      <c r="M620" s="30"/>
      <c r="N620" s="30"/>
      <c r="O620" s="30">
        <f>IFERROR(__xludf.DUMMYFUNCTION("""COMPUTED_VALUE"""),-2.630874715592867)</f>
        <v>-2.630874716</v>
      </c>
      <c r="P620" s="30">
        <f>IFERROR(__xludf.DUMMYFUNCTION("""COMPUTED_VALUE"""),4.463999088063446)</f>
        <v>4.463999088</v>
      </c>
      <c r="Q620" s="30"/>
      <c r="R620" s="30"/>
      <c r="S620" s="30"/>
      <c r="T620" s="30"/>
      <c r="U620" s="30">
        <v>0.0</v>
      </c>
      <c r="V620" s="30"/>
      <c r="W620" s="30"/>
      <c r="X620" s="30"/>
      <c r="Y620" s="5">
        <f>IFERROR(__xludf.DUMMYFUNCTION("""COMPUTED_VALUE"""),78.0)</f>
        <v>78</v>
      </c>
      <c r="Z620" s="5">
        <f>IFERROR(__xludf.DUMMYFUNCTION("""COMPUTED_VALUE"""),82.0)</f>
        <v>82</v>
      </c>
    </row>
    <row r="621">
      <c r="A621" s="30" t="s">
        <v>378</v>
      </c>
      <c r="B621" s="30">
        <f>IFERROR(__xludf.DUMMYFUNCTION("""COMPUTED_VALUE"""),81.5)</f>
        <v>81.5</v>
      </c>
      <c r="C621" s="30"/>
      <c r="D621" s="30"/>
      <c r="E621" s="30"/>
      <c r="F621" s="30"/>
      <c r="G621" s="30"/>
      <c r="H621" s="30"/>
      <c r="I621" s="30"/>
      <c r="J621" s="30">
        <f>IFERROR(__xludf.DUMMYFUNCTION("""COMPUTED_VALUE"""),-11.059343513011441)</f>
        <v>-11.05934351</v>
      </c>
      <c r="K621" s="30"/>
      <c r="L621" s="30"/>
      <c r="M621" s="30"/>
      <c r="N621" s="30"/>
      <c r="O621" s="30">
        <f>IFERROR(__xludf.DUMMYFUNCTION("""COMPUTED_VALUE"""),-2.630874715592867)</f>
        <v>-2.630874716</v>
      </c>
      <c r="P621" s="30">
        <f>IFERROR(__xludf.DUMMYFUNCTION("""COMPUTED_VALUE"""),4.463999088063446)</f>
        <v>4.463999088</v>
      </c>
      <c r="Q621" s="30"/>
      <c r="R621" s="30"/>
      <c r="S621" s="30"/>
      <c r="T621" s="30"/>
      <c r="U621" s="30">
        <v>0.0</v>
      </c>
      <c r="V621" s="30"/>
      <c r="W621" s="30"/>
      <c r="X621" s="30"/>
      <c r="Y621" s="5">
        <f>IFERROR(__xludf.DUMMYFUNCTION("""COMPUTED_VALUE"""),80.0)</f>
        <v>80</v>
      </c>
      <c r="Z621" s="5">
        <f>IFERROR(__xludf.DUMMYFUNCTION("""COMPUTED_VALUE"""),83.0)</f>
        <v>83</v>
      </c>
    </row>
    <row r="622">
      <c r="A622" s="30" t="s">
        <v>1500</v>
      </c>
      <c r="B622" s="30">
        <f>IFERROR(__xludf.DUMMYFUNCTION("""COMPUTED_VALUE"""),82.0)</f>
        <v>82</v>
      </c>
      <c r="C622" s="30"/>
      <c r="D622" s="30"/>
      <c r="E622" s="30"/>
      <c r="F622" s="30"/>
      <c r="G622" s="30"/>
      <c r="H622" s="30"/>
      <c r="I622" s="30"/>
      <c r="J622" s="30">
        <f>IFERROR(__xludf.DUMMYFUNCTION("""COMPUTED_VALUE"""),-11.059343513011441)</f>
        <v>-11.05934351</v>
      </c>
      <c r="K622" s="30"/>
      <c r="L622" s="30"/>
      <c r="M622" s="30"/>
      <c r="N622" s="30"/>
      <c r="O622" s="30">
        <f>IFERROR(__xludf.DUMMYFUNCTION("""COMPUTED_VALUE"""),-2.630874715592867)</f>
        <v>-2.630874716</v>
      </c>
      <c r="P622" s="30">
        <f>IFERROR(__xludf.DUMMYFUNCTION("""COMPUTED_VALUE"""),4.463999088063446)</f>
        <v>4.463999088</v>
      </c>
      <c r="Q622" s="30"/>
      <c r="R622" s="30"/>
      <c r="S622" s="30"/>
      <c r="T622" s="30"/>
      <c r="U622" s="30">
        <v>0.0</v>
      </c>
      <c r="V622" s="30"/>
      <c r="W622" s="30"/>
      <c r="X622" s="30"/>
      <c r="Y622" s="5">
        <f>IFERROR(__xludf.DUMMYFUNCTION("""COMPUTED_VALUE"""),82.0)</f>
        <v>82</v>
      </c>
      <c r="Z622" s="5">
        <f>IFERROR(__xludf.DUMMYFUNCTION("""COMPUTED_VALUE"""),82.0)</f>
        <v>82</v>
      </c>
    </row>
    <row r="623">
      <c r="A623" s="30" t="s">
        <v>2316</v>
      </c>
      <c r="B623" s="30">
        <f>IFERROR(__xludf.DUMMYFUNCTION("""COMPUTED_VALUE"""),82.0)</f>
        <v>82</v>
      </c>
      <c r="C623" s="30"/>
      <c r="D623" s="30"/>
      <c r="E623" s="30"/>
      <c r="F623" s="30"/>
      <c r="G623" s="30"/>
      <c r="H623" s="30"/>
      <c r="I623" s="30"/>
      <c r="J623" s="30">
        <f>IFERROR(__xludf.DUMMYFUNCTION("""COMPUTED_VALUE"""),-11.059343513011441)</f>
        <v>-11.05934351</v>
      </c>
      <c r="K623" s="30"/>
      <c r="L623" s="30"/>
      <c r="M623" s="30"/>
      <c r="N623" s="30"/>
      <c r="O623" s="30">
        <f>IFERROR(__xludf.DUMMYFUNCTION("""COMPUTED_VALUE"""),-2.630874715592867)</f>
        <v>-2.630874716</v>
      </c>
      <c r="P623" s="30">
        <f>IFERROR(__xludf.DUMMYFUNCTION("""COMPUTED_VALUE"""),4.463999088063446)</f>
        <v>4.463999088</v>
      </c>
      <c r="Q623" s="30"/>
      <c r="R623" s="30"/>
      <c r="S623" s="30"/>
      <c r="T623" s="30"/>
      <c r="U623" s="30">
        <v>0.0</v>
      </c>
      <c r="V623" s="30"/>
      <c r="W623" s="30"/>
      <c r="X623" s="30"/>
      <c r="Y623" s="5">
        <f>IFERROR(__xludf.DUMMYFUNCTION("""COMPUTED_VALUE"""),82.0)</f>
        <v>82</v>
      </c>
      <c r="Z623" s="5">
        <f>IFERROR(__xludf.DUMMYFUNCTION("""COMPUTED_VALUE"""),82.0)</f>
        <v>82</v>
      </c>
    </row>
    <row r="624">
      <c r="A624" s="30" t="s">
        <v>2317</v>
      </c>
      <c r="B624" s="30">
        <f>IFERROR(__xludf.DUMMYFUNCTION("""COMPUTED_VALUE"""),82.0)</f>
        <v>82</v>
      </c>
      <c r="C624" s="30"/>
      <c r="D624" s="30"/>
      <c r="E624" s="30"/>
      <c r="F624" s="30"/>
      <c r="G624" s="30"/>
      <c r="H624" s="30"/>
      <c r="I624" s="30"/>
      <c r="J624" s="30">
        <f>IFERROR(__xludf.DUMMYFUNCTION("""COMPUTED_VALUE"""),-11.059343513011441)</f>
        <v>-11.05934351</v>
      </c>
      <c r="K624" s="30"/>
      <c r="L624" s="30"/>
      <c r="M624" s="30"/>
      <c r="N624" s="30"/>
      <c r="O624" s="30">
        <f>IFERROR(__xludf.DUMMYFUNCTION("""COMPUTED_VALUE"""),-2.630874715592867)</f>
        <v>-2.630874716</v>
      </c>
      <c r="P624" s="30">
        <f>IFERROR(__xludf.DUMMYFUNCTION("""COMPUTED_VALUE"""),4.463999088063446)</f>
        <v>4.463999088</v>
      </c>
      <c r="Q624" s="30"/>
      <c r="R624" s="30"/>
      <c r="S624" s="30"/>
      <c r="T624" s="30"/>
      <c r="U624" s="30">
        <v>0.0</v>
      </c>
      <c r="V624" s="30"/>
      <c r="W624" s="30"/>
      <c r="X624" s="30"/>
      <c r="Y624" s="5">
        <f>IFERROR(__xludf.DUMMYFUNCTION("""COMPUTED_VALUE"""),82.0)</f>
        <v>82</v>
      </c>
      <c r="Z624" s="5">
        <f>IFERROR(__xludf.DUMMYFUNCTION("""COMPUTED_VALUE"""),82.0)</f>
        <v>82</v>
      </c>
    </row>
    <row r="625">
      <c r="A625" s="30" t="s">
        <v>2032</v>
      </c>
      <c r="B625" s="30">
        <f>IFERROR(__xludf.DUMMYFUNCTION("""COMPUTED_VALUE"""),81.0)</f>
        <v>81</v>
      </c>
      <c r="C625" s="30"/>
      <c r="D625" s="30"/>
      <c r="E625" s="30"/>
      <c r="F625" s="30"/>
      <c r="G625" s="30"/>
      <c r="H625" s="30"/>
      <c r="I625" s="30"/>
      <c r="J625" s="30">
        <f>IFERROR(__xludf.DUMMYFUNCTION("""COMPUTED_VALUE"""),-11.059343513011441)</f>
        <v>-11.05934351</v>
      </c>
      <c r="K625" s="30"/>
      <c r="L625" s="30"/>
      <c r="M625" s="30"/>
      <c r="N625" s="30"/>
      <c r="O625" s="30">
        <f>IFERROR(__xludf.DUMMYFUNCTION("""COMPUTED_VALUE"""),-2.630874715592867)</f>
        <v>-2.630874716</v>
      </c>
      <c r="P625" s="30">
        <f>IFERROR(__xludf.DUMMYFUNCTION("""COMPUTED_VALUE"""),4.463999088063446)</f>
        <v>4.463999088</v>
      </c>
      <c r="Q625" s="30"/>
      <c r="R625" s="30"/>
      <c r="S625" s="30"/>
      <c r="T625" s="30"/>
      <c r="U625" s="30">
        <v>0.0</v>
      </c>
      <c r="V625" s="30"/>
      <c r="W625" s="30"/>
      <c r="X625" s="30"/>
      <c r="Y625" s="5">
        <f>IFERROR(__xludf.DUMMYFUNCTION("""COMPUTED_VALUE"""),81.0)</f>
        <v>81</v>
      </c>
      <c r="Z625" s="5">
        <f>IFERROR(__xludf.DUMMYFUNCTION("""COMPUTED_VALUE"""),81.0)</f>
        <v>81</v>
      </c>
    </row>
    <row r="626">
      <c r="A626" s="30" t="s">
        <v>2318</v>
      </c>
      <c r="B626" s="30">
        <f>IFERROR(__xludf.DUMMYFUNCTION("""COMPUTED_VALUE"""),83.0)</f>
        <v>83</v>
      </c>
      <c r="C626" s="30"/>
      <c r="D626" s="30"/>
      <c r="E626" s="30"/>
      <c r="F626" s="30"/>
      <c r="G626" s="30"/>
      <c r="H626" s="30"/>
      <c r="I626" s="30"/>
      <c r="J626" s="30">
        <f>IFERROR(__xludf.DUMMYFUNCTION("""COMPUTED_VALUE"""),-11.059343513011441)</f>
        <v>-11.05934351</v>
      </c>
      <c r="K626" s="30"/>
      <c r="L626" s="30"/>
      <c r="M626" s="30"/>
      <c r="N626" s="30"/>
      <c r="O626" s="30">
        <f>IFERROR(__xludf.DUMMYFUNCTION("""COMPUTED_VALUE"""),-2.630874715592867)</f>
        <v>-2.630874716</v>
      </c>
      <c r="P626" s="30">
        <f>IFERROR(__xludf.DUMMYFUNCTION("""COMPUTED_VALUE"""),4.463999088063446)</f>
        <v>4.463999088</v>
      </c>
      <c r="Q626" s="30"/>
      <c r="R626" s="30"/>
      <c r="S626" s="30"/>
      <c r="T626" s="30"/>
      <c r="U626" s="30">
        <v>0.0</v>
      </c>
      <c r="V626" s="30"/>
      <c r="W626" s="30"/>
      <c r="X626" s="30"/>
      <c r="Y626" s="5">
        <f>IFERROR(__xludf.DUMMYFUNCTION("""COMPUTED_VALUE"""),83.0)</f>
        <v>83</v>
      </c>
      <c r="Z626" s="5">
        <f>IFERROR(__xludf.DUMMYFUNCTION("""COMPUTED_VALUE"""),83.0)</f>
        <v>83</v>
      </c>
    </row>
    <row r="627">
      <c r="A627" s="30" t="s">
        <v>2320</v>
      </c>
      <c r="B627" s="30">
        <f>IFERROR(__xludf.DUMMYFUNCTION("""COMPUTED_VALUE"""),81.5)</f>
        <v>81.5</v>
      </c>
      <c r="C627" s="30"/>
      <c r="D627" s="30"/>
      <c r="E627" s="30"/>
      <c r="F627" s="30"/>
      <c r="G627" s="30"/>
      <c r="H627" s="30"/>
      <c r="I627" s="30"/>
      <c r="J627" s="30">
        <f>IFERROR(__xludf.DUMMYFUNCTION("""COMPUTED_VALUE"""),-11.059343513011441)</f>
        <v>-11.05934351</v>
      </c>
      <c r="K627" s="30"/>
      <c r="L627" s="30"/>
      <c r="M627" s="30"/>
      <c r="N627" s="30"/>
      <c r="O627" s="30">
        <f>IFERROR(__xludf.DUMMYFUNCTION("""COMPUTED_VALUE"""),-2.630874715592867)</f>
        <v>-2.630874716</v>
      </c>
      <c r="P627" s="30">
        <f>IFERROR(__xludf.DUMMYFUNCTION("""COMPUTED_VALUE"""),4.463999088063446)</f>
        <v>4.463999088</v>
      </c>
      <c r="Q627" s="30"/>
      <c r="R627" s="30"/>
      <c r="S627" s="30"/>
      <c r="T627" s="30"/>
      <c r="U627" s="30">
        <v>0.0</v>
      </c>
      <c r="V627" s="30"/>
      <c r="W627" s="30"/>
      <c r="X627" s="30"/>
      <c r="Y627" s="5">
        <f>IFERROR(__xludf.DUMMYFUNCTION("""COMPUTED_VALUE"""),81.0)</f>
        <v>81</v>
      </c>
      <c r="Z627" s="5">
        <f>IFERROR(__xludf.DUMMYFUNCTION("""COMPUTED_VALUE"""),82.0)</f>
        <v>82</v>
      </c>
    </row>
    <row r="628">
      <c r="A628" s="30" t="s">
        <v>1178</v>
      </c>
      <c r="B628" s="30">
        <f>IFERROR(__xludf.DUMMYFUNCTION("""COMPUTED_VALUE"""),80.0)</f>
        <v>80</v>
      </c>
      <c r="C628" s="30"/>
      <c r="D628" s="30"/>
      <c r="E628" s="30"/>
      <c r="F628" s="30"/>
      <c r="G628" s="30"/>
      <c r="H628" s="30"/>
      <c r="I628" s="30"/>
      <c r="J628" s="30">
        <f>IFERROR(__xludf.DUMMYFUNCTION("""COMPUTED_VALUE"""),-11.059343513011441)</f>
        <v>-11.05934351</v>
      </c>
      <c r="K628" s="30"/>
      <c r="L628" s="30"/>
      <c r="M628" s="30"/>
      <c r="N628" s="30"/>
      <c r="O628" s="30">
        <f>IFERROR(__xludf.DUMMYFUNCTION("""COMPUTED_VALUE"""),-2.630874715592867)</f>
        <v>-2.630874716</v>
      </c>
      <c r="P628" s="30">
        <f>IFERROR(__xludf.DUMMYFUNCTION("""COMPUTED_VALUE"""),4.463999088063446)</f>
        <v>4.463999088</v>
      </c>
      <c r="Q628" s="30"/>
      <c r="R628" s="30"/>
      <c r="S628" s="30"/>
      <c r="T628" s="30"/>
      <c r="U628" s="30">
        <v>0.0</v>
      </c>
      <c r="V628" s="30"/>
      <c r="W628" s="30"/>
      <c r="X628" s="30"/>
      <c r="Y628" s="5">
        <f>IFERROR(__xludf.DUMMYFUNCTION("""COMPUTED_VALUE"""),79.0)</f>
        <v>79</v>
      </c>
      <c r="Z628" s="5">
        <f>IFERROR(__xludf.DUMMYFUNCTION("""COMPUTED_VALUE"""),81.0)</f>
        <v>81</v>
      </c>
    </row>
    <row r="629">
      <c r="A629" s="30" t="s">
        <v>885</v>
      </c>
      <c r="B629" s="30">
        <f>IFERROR(__xludf.DUMMYFUNCTION("""COMPUTED_VALUE"""),81.5)</f>
        <v>81.5</v>
      </c>
      <c r="C629" s="30"/>
      <c r="D629" s="30"/>
      <c r="E629" s="30"/>
      <c r="F629" s="30"/>
      <c r="G629" s="30"/>
      <c r="H629" s="30"/>
      <c r="I629" s="30"/>
      <c r="J629" s="30">
        <f>IFERROR(__xludf.DUMMYFUNCTION("""COMPUTED_VALUE"""),-11.059343513011441)</f>
        <v>-11.05934351</v>
      </c>
      <c r="K629" s="30"/>
      <c r="L629" s="30"/>
      <c r="M629" s="30"/>
      <c r="N629" s="30"/>
      <c r="O629" s="30">
        <f>IFERROR(__xludf.DUMMYFUNCTION("""COMPUTED_VALUE"""),-2.630874715592867)</f>
        <v>-2.630874716</v>
      </c>
      <c r="P629" s="30">
        <f>IFERROR(__xludf.DUMMYFUNCTION("""COMPUTED_VALUE"""),4.463999088063446)</f>
        <v>4.463999088</v>
      </c>
      <c r="Q629" s="30"/>
      <c r="R629" s="30"/>
      <c r="S629" s="30"/>
      <c r="T629" s="30"/>
      <c r="U629" s="30">
        <v>0.0</v>
      </c>
      <c r="V629" s="30"/>
      <c r="W629" s="30"/>
      <c r="X629" s="30"/>
      <c r="Y629" s="5">
        <f>IFERROR(__xludf.DUMMYFUNCTION("""COMPUTED_VALUE"""),81.0)</f>
        <v>81</v>
      </c>
      <c r="Z629" s="5">
        <f>IFERROR(__xludf.DUMMYFUNCTION("""COMPUTED_VALUE"""),82.0)</f>
        <v>82</v>
      </c>
    </row>
    <row r="630">
      <c r="A630" s="30" t="s">
        <v>289</v>
      </c>
      <c r="B630" s="30">
        <f>IFERROR(__xludf.DUMMYFUNCTION("""COMPUTED_VALUE"""),80.5)</f>
        <v>80.5</v>
      </c>
      <c r="C630" s="30"/>
      <c r="D630" s="30"/>
      <c r="E630" s="30"/>
      <c r="F630" s="30"/>
      <c r="G630" s="30"/>
      <c r="H630" s="30"/>
      <c r="I630" s="30"/>
      <c r="J630" s="30">
        <f>IFERROR(__xludf.DUMMYFUNCTION("""COMPUTED_VALUE"""),-11.059343513011441)</f>
        <v>-11.05934351</v>
      </c>
      <c r="K630" s="30"/>
      <c r="L630" s="30"/>
      <c r="M630" s="30"/>
      <c r="N630" s="30"/>
      <c r="O630" s="30">
        <f>IFERROR(__xludf.DUMMYFUNCTION("""COMPUTED_VALUE"""),-2.630874715592867)</f>
        <v>-2.630874716</v>
      </c>
      <c r="P630" s="30">
        <f>IFERROR(__xludf.DUMMYFUNCTION("""COMPUTED_VALUE"""),4.463999088063446)</f>
        <v>4.463999088</v>
      </c>
      <c r="Q630" s="30"/>
      <c r="R630" s="30"/>
      <c r="S630" s="30"/>
      <c r="T630" s="30"/>
      <c r="U630" s="30">
        <v>0.0</v>
      </c>
      <c r="V630" s="30"/>
      <c r="W630" s="30"/>
      <c r="X630" s="30"/>
      <c r="Y630" s="5">
        <f>IFERROR(__xludf.DUMMYFUNCTION("""COMPUTED_VALUE"""),79.0)</f>
        <v>79</v>
      </c>
      <c r="Z630" s="5">
        <f>IFERROR(__xludf.DUMMYFUNCTION("""COMPUTED_VALUE"""),82.0)</f>
        <v>82</v>
      </c>
    </row>
    <row r="631">
      <c r="A631" s="30" t="s">
        <v>2326</v>
      </c>
      <c r="B631" s="30">
        <f>IFERROR(__xludf.DUMMYFUNCTION("""COMPUTED_VALUE"""),84.0)</f>
        <v>84</v>
      </c>
      <c r="C631" s="30"/>
      <c r="D631" s="30"/>
      <c r="E631" s="30"/>
      <c r="F631" s="30"/>
      <c r="G631" s="30"/>
      <c r="H631" s="30"/>
      <c r="I631" s="30"/>
      <c r="J631" s="30">
        <f>IFERROR(__xludf.DUMMYFUNCTION("""COMPUTED_VALUE"""),-11.059343513011441)</f>
        <v>-11.05934351</v>
      </c>
      <c r="K631" s="30"/>
      <c r="L631" s="30"/>
      <c r="M631" s="30"/>
      <c r="N631" s="30"/>
      <c r="O631" s="30">
        <f>IFERROR(__xludf.DUMMYFUNCTION("""COMPUTED_VALUE"""),-2.630874715592867)</f>
        <v>-2.630874716</v>
      </c>
      <c r="P631" s="30">
        <f>IFERROR(__xludf.DUMMYFUNCTION("""COMPUTED_VALUE"""),4.463999088063446)</f>
        <v>4.463999088</v>
      </c>
      <c r="Q631" s="30"/>
      <c r="R631" s="30"/>
      <c r="S631" s="30"/>
      <c r="T631" s="30"/>
      <c r="U631" s="30">
        <v>0.0</v>
      </c>
      <c r="V631" s="30"/>
      <c r="W631" s="30"/>
      <c r="X631" s="30"/>
      <c r="Y631" s="5">
        <f>IFERROR(__xludf.DUMMYFUNCTION("""COMPUTED_VALUE"""),84.0)</f>
        <v>84</v>
      </c>
      <c r="Z631" s="5">
        <f>IFERROR(__xludf.DUMMYFUNCTION("""COMPUTED_VALUE"""),84.0)</f>
        <v>84</v>
      </c>
    </row>
    <row r="632">
      <c r="A632" s="30" t="s">
        <v>725</v>
      </c>
      <c r="B632" s="30">
        <f>IFERROR(__xludf.DUMMYFUNCTION("""COMPUTED_VALUE"""),79.5)</f>
        <v>79.5</v>
      </c>
      <c r="C632" s="30"/>
      <c r="D632" s="30"/>
      <c r="E632" s="30"/>
      <c r="F632" s="30"/>
      <c r="G632" s="30"/>
      <c r="H632" s="30"/>
      <c r="I632" s="30"/>
      <c r="J632" s="30">
        <f>IFERROR(__xludf.DUMMYFUNCTION("""COMPUTED_VALUE"""),-11.059343513011441)</f>
        <v>-11.05934351</v>
      </c>
      <c r="K632" s="30"/>
      <c r="L632" s="30"/>
      <c r="M632" s="30"/>
      <c r="N632" s="30"/>
      <c r="O632" s="30">
        <f>IFERROR(__xludf.DUMMYFUNCTION("""COMPUTED_VALUE"""),-2.630874715592867)</f>
        <v>-2.630874716</v>
      </c>
      <c r="P632" s="30">
        <f>IFERROR(__xludf.DUMMYFUNCTION("""COMPUTED_VALUE"""),4.463999088063446)</f>
        <v>4.463999088</v>
      </c>
      <c r="Q632" s="30"/>
      <c r="R632" s="30"/>
      <c r="S632" s="30"/>
      <c r="T632" s="30"/>
      <c r="U632" s="30">
        <v>0.0</v>
      </c>
      <c r="V632" s="30"/>
      <c r="W632" s="30"/>
      <c r="X632" s="30"/>
      <c r="Y632" s="5">
        <f>IFERROR(__xludf.DUMMYFUNCTION("""COMPUTED_VALUE"""),79.0)</f>
        <v>79</v>
      </c>
      <c r="Z632" s="5">
        <f>IFERROR(__xludf.DUMMYFUNCTION("""COMPUTED_VALUE"""),80.0)</f>
        <v>80</v>
      </c>
    </row>
    <row r="633">
      <c r="A633" s="30" t="s">
        <v>2330</v>
      </c>
      <c r="B633" s="30">
        <f>IFERROR(__xludf.DUMMYFUNCTION("""COMPUTED_VALUE"""),81.5)</f>
        <v>81.5</v>
      </c>
      <c r="C633" s="30"/>
      <c r="D633" s="30"/>
      <c r="E633" s="30"/>
      <c r="F633" s="30"/>
      <c r="G633" s="30"/>
      <c r="H633" s="30"/>
      <c r="I633" s="30"/>
      <c r="J633" s="30">
        <f>IFERROR(__xludf.DUMMYFUNCTION("""COMPUTED_VALUE"""),-11.059343513011441)</f>
        <v>-11.05934351</v>
      </c>
      <c r="K633" s="30"/>
      <c r="L633" s="30"/>
      <c r="M633" s="30"/>
      <c r="N633" s="30"/>
      <c r="O633" s="30">
        <f>IFERROR(__xludf.DUMMYFUNCTION("""COMPUTED_VALUE"""),-2.630874715592867)</f>
        <v>-2.630874716</v>
      </c>
      <c r="P633" s="30">
        <f>IFERROR(__xludf.DUMMYFUNCTION("""COMPUTED_VALUE"""),4.463999088063446)</f>
        <v>4.463999088</v>
      </c>
      <c r="Q633" s="30"/>
      <c r="R633" s="30"/>
      <c r="S633" s="30"/>
      <c r="T633" s="30"/>
      <c r="U633" s="30">
        <v>0.0</v>
      </c>
      <c r="V633" s="30"/>
      <c r="W633" s="30"/>
      <c r="X633" s="30"/>
      <c r="Y633" s="5">
        <f>IFERROR(__xludf.DUMMYFUNCTION("""COMPUTED_VALUE"""),81.0)</f>
        <v>81</v>
      </c>
      <c r="Z633" s="5">
        <f>IFERROR(__xludf.DUMMYFUNCTION("""COMPUTED_VALUE"""),82.0)</f>
        <v>82</v>
      </c>
    </row>
    <row r="634">
      <c r="A634" s="30" t="s">
        <v>2334</v>
      </c>
      <c r="B634" s="30">
        <f>IFERROR(__xludf.DUMMYFUNCTION("""COMPUTED_VALUE"""),82.5)</f>
        <v>82.5</v>
      </c>
      <c r="C634" s="30"/>
      <c r="D634" s="30"/>
      <c r="E634" s="30"/>
      <c r="F634" s="30"/>
      <c r="G634" s="30"/>
      <c r="H634" s="30"/>
      <c r="I634" s="30"/>
      <c r="J634" s="30">
        <f>IFERROR(__xludf.DUMMYFUNCTION("""COMPUTED_VALUE"""),-11.059343513011441)</f>
        <v>-11.05934351</v>
      </c>
      <c r="K634" s="30"/>
      <c r="L634" s="30"/>
      <c r="M634" s="30"/>
      <c r="N634" s="30"/>
      <c r="O634" s="30">
        <f>IFERROR(__xludf.DUMMYFUNCTION("""COMPUTED_VALUE"""),-2.630874715592867)</f>
        <v>-2.630874716</v>
      </c>
      <c r="P634" s="30">
        <f>IFERROR(__xludf.DUMMYFUNCTION("""COMPUTED_VALUE"""),4.463999088063446)</f>
        <v>4.463999088</v>
      </c>
      <c r="Q634" s="30"/>
      <c r="R634" s="30"/>
      <c r="S634" s="30"/>
      <c r="T634" s="30"/>
      <c r="U634" s="30">
        <v>0.0</v>
      </c>
      <c r="V634" s="30"/>
      <c r="W634" s="30"/>
      <c r="X634" s="30"/>
      <c r="Y634" s="5">
        <f>IFERROR(__xludf.DUMMYFUNCTION("""COMPUTED_VALUE"""),81.0)</f>
        <v>81</v>
      </c>
      <c r="Z634" s="5">
        <f>IFERROR(__xludf.DUMMYFUNCTION("""COMPUTED_VALUE"""),84.0)</f>
        <v>84</v>
      </c>
    </row>
    <row r="635">
      <c r="A635" s="30" t="s">
        <v>2338</v>
      </c>
      <c r="B635" s="30">
        <f>IFERROR(__xludf.DUMMYFUNCTION("""COMPUTED_VALUE"""),83.0)</f>
        <v>83</v>
      </c>
      <c r="C635" s="30"/>
      <c r="D635" s="30"/>
      <c r="E635" s="30"/>
      <c r="F635" s="30"/>
      <c r="G635" s="30"/>
      <c r="H635" s="30"/>
      <c r="I635" s="30"/>
      <c r="J635" s="30">
        <f>IFERROR(__xludf.DUMMYFUNCTION("""COMPUTED_VALUE"""),-11.059343513011441)</f>
        <v>-11.05934351</v>
      </c>
      <c r="K635" s="30"/>
      <c r="L635" s="30"/>
      <c r="M635" s="30"/>
      <c r="N635" s="30"/>
      <c r="O635" s="30">
        <f>IFERROR(__xludf.DUMMYFUNCTION("""COMPUTED_VALUE"""),-2.630874715592867)</f>
        <v>-2.630874716</v>
      </c>
      <c r="P635" s="30">
        <f>IFERROR(__xludf.DUMMYFUNCTION("""COMPUTED_VALUE"""),4.463999088063446)</f>
        <v>4.463999088</v>
      </c>
      <c r="Q635" s="30"/>
      <c r="R635" s="30"/>
      <c r="S635" s="30"/>
      <c r="T635" s="30"/>
      <c r="U635" s="30">
        <v>0.0</v>
      </c>
      <c r="V635" s="30"/>
      <c r="W635" s="30"/>
      <c r="X635" s="30"/>
      <c r="Y635" s="5">
        <f>IFERROR(__xludf.DUMMYFUNCTION("""COMPUTED_VALUE"""),83.0)</f>
        <v>83</v>
      </c>
      <c r="Z635" s="5">
        <f>IFERROR(__xludf.DUMMYFUNCTION("""COMPUTED_VALUE"""),83.0)</f>
        <v>83</v>
      </c>
    </row>
    <row r="636">
      <c r="A636" s="30" t="s">
        <v>1980</v>
      </c>
      <c r="B636" s="30">
        <f>IFERROR(__xludf.DUMMYFUNCTION("""COMPUTED_VALUE"""),82.0)</f>
        <v>82</v>
      </c>
      <c r="C636" s="30"/>
      <c r="D636" s="30"/>
      <c r="E636" s="30"/>
      <c r="F636" s="30"/>
      <c r="G636" s="30"/>
      <c r="H636" s="30"/>
      <c r="I636" s="30"/>
      <c r="J636" s="30">
        <f>IFERROR(__xludf.DUMMYFUNCTION("""COMPUTED_VALUE"""),-11.059343513011441)</f>
        <v>-11.05934351</v>
      </c>
      <c r="K636" s="30"/>
      <c r="L636" s="30"/>
      <c r="M636" s="30"/>
      <c r="N636" s="30"/>
      <c r="O636" s="30">
        <f>IFERROR(__xludf.DUMMYFUNCTION("""COMPUTED_VALUE"""),-2.630874715592867)</f>
        <v>-2.630874716</v>
      </c>
      <c r="P636" s="30">
        <f>IFERROR(__xludf.DUMMYFUNCTION("""COMPUTED_VALUE"""),4.463999088063446)</f>
        <v>4.463999088</v>
      </c>
      <c r="Q636" s="30"/>
      <c r="R636" s="30"/>
      <c r="S636" s="30"/>
      <c r="T636" s="30"/>
      <c r="U636" s="30">
        <v>0.0</v>
      </c>
      <c r="V636" s="30"/>
      <c r="W636" s="30"/>
      <c r="X636" s="30"/>
      <c r="Y636" s="5">
        <f>IFERROR(__xludf.DUMMYFUNCTION("""COMPUTED_VALUE"""),81.0)</f>
        <v>81</v>
      </c>
      <c r="Z636" s="5">
        <f>IFERROR(__xludf.DUMMYFUNCTION("""COMPUTED_VALUE"""),83.0)</f>
        <v>83</v>
      </c>
    </row>
    <row r="637">
      <c r="A637" s="30" t="s">
        <v>2343</v>
      </c>
      <c r="B637" s="30">
        <f>IFERROR(__xludf.DUMMYFUNCTION("""COMPUTED_VALUE"""),83.5)</f>
        <v>83.5</v>
      </c>
      <c r="C637" s="30"/>
      <c r="D637" s="30"/>
      <c r="E637" s="30"/>
      <c r="F637" s="30"/>
      <c r="G637" s="30"/>
      <c r="H637" s="30"/>
      <c r="I637" s="30"/>
      <c r="J637" s="30">
        <f>IFERROR(__xludf.DUMMYFUNCTION("""COMPUTED_VALUE"""),-11.059343513011441)</f>
        <v>-11.05934351</v>
      </c>
      <c r="K637" s="30"/>
      <c r="L637" s="30"/>
      <c r="M637" s="30"/>
      <c r="N637" s="30"/>
      <c r="O637" s="30">
        <f>IFERROR(__xludf.DUMMYFUNCTION("""COMPUTED_VALUE"""),-2.630874715592867)</f>
        <v>-2.630874716</v>
      </c>
      <c r="P637" s="30">
        <f>IFERROR(__xludf.DUMMYFUNCTION("""COMPUTED_VALUE"""),4.463999088063446)</f>
        <v>4.463999088</v>
      </c>
      <c r="Q637" s="30"/>
      <c r="R637" s="30"/>
      <c r="S637" s="30"/>
      <c r="T637" s="30"/>
      <c r="U637" s="30">
        <v>0.0</v>
      </c>
      <c r="V637" s="30"/>
      <c r="W637" s="30"/>
      <c r="X637" s="30"/>
      <c r="Y637" s="5">
        <f>IFERROR(__xludf.DUMMYFUNCTION("""COMPUTED_VALUE"""),83.0)</f>
        <v>83</v>
      </c>
      <c r="Z637" s="5">
        <f>IFERROR(__xludf.DUMMYFUNCTION("""COMPUTED_VALUE"""),84.0)</f>
        <v>84</v>
      </c>
    </row>
    <row r="638">
      <c r="A638" s="30" t="s">
        <v>257</v>
      </c>
      <c r="B638" s="30">
        <f>IFERROR(__xludf.DUMMYFUNCTION("""COMPUTED_VALUE"""),80.5)</f>
        <v>80.5</v>
      </c>
      <c r="C638" s="30"/>
      <c r="D638" s="30"/>
      <c r="E638" s="30"/>
      <c r="F638" s="30"/>
      <c r="G638" s="30"/>
      <c r="H638" s="30"/>
      <c r="I638" s="30"/>
      <c r="J638" s="30">
        <f>IFERROR(__xludf.DUMMYFUNCTION("""COMPUTED_VALUE"""),-11.059343513011441)</f>
        <v>-11.05934351</v>
      </c>
      <c r="K638" s="30"/>
      <c r="L638" s="30"/>
      <c r="M638" s="30"/>
      <c r="N638" s="30"/>
      <c r="O638" s="30">
        <f>IFERROR(__xludf.DUMMYFUNCTION("""COMPUTED_VALUE"""),-2.630874715592867)</f>
        <v>-2.630874716</v>
      </c>
      <c r="P638" s="30">
        <f>IFERROR(__xludf.DUMMYFUNCTION("""COMPUTED_VALUE"""),4.463999088063446)</f>
        <v>4.463999088</v>
      </c>
      <c r="Q638" s="30"/>
      <c r="R638" s="30"/>
      <c r="S638" s="30"/>
      <c r="T638" s="30"/>
      <c r="U638" s="30">
        <v>0.0</v>
      </c>
      <c r="V638" s="30"/>
      <c r="W638" s="30"/>
      <c r="X638" s="30"/>
      <c r="Y638" s="5">
        <f>IFERROR(__xludf.DUMMYFUNCTION("""COMPUTED_VALUE"""),79.0)</f>
        <v>79</v>
      </c>
      <c r="Z638" s="5">
        <f>IFERROR(__xludf.DUMMYFUNCTION("""COMPUTED_VALUE"""),82.0)</f>
        <v>82</v>
      </c>
    </row>
    <row r="639">
      <c r="A639" s="30" t="s">
        <v>193</v>
      </c>
      <c r="B639" s="30">
        <f>IFERROR(__xludf.DUMMYFUNCTION("""COMPUTED_VALUE"""),83.5)</f>
        <v>83.5</v>
      </c>
      <c r="C639" s="30"/>
      <c r="D639" s="30"/>
      <c r="E639" s="30"/>
      <c r="F639" s="30"/>
      <c r="G639" s="30"/>
      <c r="H639" s="30"/>
      <c r="I639" s="30"/>
      <c r="J639" s="30">
        <f>IFERROR(__xludf.DUMMYFUNCTION("""COMPUTED_VALUE"""),-11.059343513011441)</f>
        <v>-11.05934351</v>
      </c>
      <c r="K639" s="30"/>
      <c r="L639" s="30"/>
      <c r="M639" s="30"/>
      <c r="N639" s="30"/>
      <c r="O639" s="30">
        <f>IFERROR(__xludf.DUMMYFUNCTION("""COMPUTED_VALUE"""),-2.630874715592867)</f>
        <v>-2.630874716</v>
      </c>
      <c r="P639" s="30">
        <f>IFERROR(__xludf.DUMMYFUNCTION("""COMPUTED_VALUE"""),4.463999088063446)</f>
        <v>4.463999088</v>
      </c>
      <c r="Q639" s="30"/>
      <c r="R639" s="30"/>
      <c r="S639" s="30"/>
      <c r="T639" s="30"/>
      <c r="U639" s="30">
        <v>0.0</v>
      </c>
      <c r="V639" s="30"/>
      <c r="W639" s="30"/>
      <c r="X639" s="30"/>
      <c r="Y639" s="5">
        <f>IFERROR(__xludf.DUMMYFUNCTION("""COMPUTED_VALUE"""),83.0)</f>
        <v>83</v>
      </c>
      <c r="Z639" s="5">
        <f>IFERROR(__xludf.DUMMYFUNCTION("""COMPUTED_VALUE"""),84.0)</f>
        <v>84</v>
      </c>
    </row>
    <row r="640">
      <c r="A640" s="30" t="s">
        <v>2353</v>
      </c>
      <c r="B640" s="30">
        <f>IFERROR(__xludf.DUMMYFUNCTION("""COMPUTED_VALUE"""),81.0)</f>
        <v>81</v>
      </c>
      <c r="C640" s="30"/>
      <c r="D640" s="30"/>
      <c r="E640" s="30"/>
      <c r="F640" s="30"/>
      <c r="G640" s="30"/>
      <c r="H640" s="30"/>
      <c r="I640" s="30"/>
      <c r="J640" s="30">
        <f>IFERROR(__xludf.DUMMYFUNCTION("""COMPUTED_VALUE"""),-11.059343513011441)</f>
        <v>-11.05934351</v>
      </c>
      <c r="K640" s="30"/>
      <c r="L640" s="30"/>
      <c r="M640" s="30"/>
      <c r="N640" s="30"/>
      <c r="O640" s="30">
        <f>IFERROR(__xludf.DUMMYFUNCTION("""COMPUTED_VALUE"""),-2.630874715592867)</f>
        <v>-2.630874716</v>
      </c>
      <c r="P640" s="30">
        <f>IFERROR(__xludf.DUMMYFUNCTION("""COMPUTED_VALUE"""),4.463999088063446)</f>
        <v>4.463999088</v>
      </c>
      <c r="Q640" s="30"/>
      <c r="R640" s="30"/>
      <c r="S640" s="30"/>
      <c r="T640" s="30"/>
      <c r="U640" s="30">
        <v>0.0</v>
      </c>
      <c r="V640" s="30"/>
      <c r="W640" s="30"/>
      <c r="X640" s="30"/>
      <c r="Y640" s="5">
        <f>IFERROR(__xludf.DUMMYFUNCTION("""COMPUTED_VALUE"""),81.0)</f>
        <v>81</v>
      </c>
      <c r="Z640" s="5">
        <f>IFERROR(__xludf.DUMMYFUNCTION("""COMPUTED_VALUE"""),81.0)</f>
        <v>81</v>
      </c>
    </row>
    <row r="641">
      <c r="A641" s="30" t="s">
        <v>2042</v>
      </c>
      <c r="B641" s="30">
        <f>IFERROR(__xludf.DUMMYFUNCTION("""COMPUTED_VALUE"""),80.5)</f>
        <v>80.5</v>
      </c>
      <c r="C641" s="30"/>
      <c r="D641" s="30"/>
      <c r="E641" s="30"/>
      <c r="F641" s="30"/>
      <c r="G641" s="30"/>
      <c r="H641" s="30"/>
      <c r="I641" s="30"/>
      <c r="J641" s="30">
        <f>IFERROR(__xludf.DUMMYFUNCTION("""COMPUTED_VALUE"""),-11.059343513011441)</f>
        <v>-11.05934351</v>
      </c>
      <c r="K641" s="30"/>
      <c r="L641" s="30"/>
      <c r="M641" s="30"/>
      <c r="N641" s="30"/>
      <c r="O641" s="30">
        <f>IFERROR(__xludf.DUMMYFUNCTION("""COMPUTED_VALUE"""),-2.630874715592867)</f>
        <v>-2.630874716</v>
      </c>
      <c r="P641" s="30">
        <f>IFERROR(__xludf.DUMMYFUNCTION("""COMPUTED_VALUE"""),4.463999088063446)</f>
        <v>4.463999088</v>
      </c>
      <c r="Q641" s="30"/>
      <c r="R641" s="30"/>
      <c r="S641" s="30"/>
      <c r="T641" s="30"/>
      <c r="U641" s="30">
        <v>0.0</v>
      </c>
      <c r="V641" s="30"/>
      <c r="W641" s="30"/>
      <c r="X641" s="30"/>
      <c r="Y641" s="5">
        <f>IFERROR(__xludf.DUMMYFUNCTION("""COMPUTED_VALUE"""),80.0)</f>
        <v>80</v>
      </c>
      <c r="Z641" s="5">
        <f>IFERROR(__xludf.DUMMYFUNCTION("""COMPUTED_VALUE"""),81.0)</f>
        <v>81</v>
      </c>
    </row>
    <row r="642">
      <c r="A642" s="30" t="s">
        <v>2357</v>
      </c>
      <c r="B642" s="30">
        <f>IFERROR(__xludf.DUMMYFUNCTION("""COMPUTED_VALUE"""),80.0)</f>
        <v>80</v>
      </c>
      <c r="C642" s="30"/>
      <c r="D642" s="30"/>
      <c r="E642" s="30"/>
      <c r="F642" s="30"/>
      <c r="G642" s="30"/>
      <c r="H642" s="30"/>
      <c r="I642" s="30"/>
      <c r="J642" s="30">
        <f>IFERROR(__xludf.DUMMYFUNCTION("""COMPUTED_VALUE"""),-11.059343513011441)</f>
        <v>-11.05934351</v>
      </c>
      <c r="K642" s="30"/>
      <c r="L642" s="30"/>
      <c r="M642" s="30"/>
      <c r="N642" s="30"/>
      <c r="O642" s="30">
        <f>IFERROR(__xludf.DUMMYFUNCTION("""COMPUTED_VALUE"""),-2.630874715592867)</f>
        <v>-2.630874716</v>
      </c>
      <c r="P642" s="30">
        <f>IFERROR(__xludf.DUMMYFUNCTION("""COMPUTED_VALUE"""),4.463999088063446)</f>
        <v>4.463999088</v>
      </c>
      <c r="Q642" s="30"/>
      <c r="R642" s="30"/>
      <c r="S642" s="30"/>
      <c r="T642" s="30"/>
      <c r="U642" s="30">
        <v>0.0</v>
      </c>
      <c r="V642" s="30"/>
      <c r="W642" s="30"/>
      <c r="X642" s="30"/>
      <c r="Y642" s="5">
        <f>IFERROR(__xludf.DUMMYFUNCTION("""COMPUTED_VALUE"""),78.0)</f>
        <v>78</v>
      </c>
      <c r="Z642" s="5">
        <f>IFERROR(__xludf.DUMMYFUNCTION("""COMPUTED_VALUE"""),82.0)</f>
        <v>82</v>
      </c>
    </row>
    <row r="643">
      <c r="A643" s="30" t="s">
        <v>2360</v>
      </c>
      <c r="B643" s="30">
        <f>IFERROR(__xludf.DUMMYFUNCTION("""COMPUTED_VALUE"""),82.5)</f>
        <v>82.5</v>
      </c>
      <c r="C643" s="30"/>
      <c r="D643" s="30"/>
      <c r="E643" s="30"/>
      <c r="F643" s="30"/>
      <c r="G643" s="30"/>
      <c r="H643" s="30"/>
      <c r="I643" s="30"/>
      <c r="J643" s="30">
        <f>IFERROR(__xludf.DUMMYFUNCTION("""COMPUTED_VALUE"""),-11.059343513011441)</f>
        <v>-11.05934351</v>
      </c>
      <c r="K643" s="30"/>
      <c r="L643" s="30"/>
      <c r="M643" s="30"/>
      <c r="N643" s="30"/>
      <c r="O643" s="30">
        <f>IFERROR(__xludf.DUMMYFUNCTION("""COMPUTED_VALUE"""),-2.630874715592867)</f>
        <v>-2.630874716</v>
      </c>
      <c r="P643" s="30">
        <f>IFERROR(__xludf.DUMMYFUNCTION("""COMPUTED_VALUE"""),4.463999088063446)</f>
        <v>4.463999088</v>
      </c>
      <c r="Q643" s="30"/>
      <c r="R643" s="30"/>
      <c r="S643" s="30"/>
      <c r="T643" s="30"/>
      <c r="U643" s="30">
        <v>0.0</v>
      </c>
      <c r="V643" s="30"/>
      <c r="W643" s="30"/>
      <c r="X643" s="30"/>
      <c r="Y643" s="5">
        <f>IFERROR(__xludf.DUMMYFUNCTION("""COMPUTED_VALUE"""),81.0)</f>
        <v>81</v>
      </c>
      <c r="Z643" s="5">
        <f>IFERROR(__xludf.DUMMYFUNCTION("""COMPUTED_VALUE"""),84.0)</f>
        <v>84</v>
      </c>
    </row>
    <row r="644">
      <c r="A644" s="30" t="s">
        <v>2362</v>
      </c>
      <c r="B644" s="30">
        <f>IFERROR(__xludf.DUMMYFUNCTION("""COMPUTED_VALUE"""),80.0)</f>
        <v>80</v>
      </c>
      <c r="C644" s="30"/>
      <c r="D644" s="30"/>
      <c r="E644" s="30"/>
      <c r="F644" s="30"/>
      <c r="G644" s="30"/>
      <c r="H644" s="30"/>
      <c r="I644" s="30"/>
      <c r="J644" s="30">
        <f>IFERROR(__xludf.DUMMYFUNCTION("""COMPUTED_VALUE"""),-11.059343513011441)</f>
        <v>-11.05934351</v>
      </c>
      <c r="K644" s="30"/>
      <c r="L644" s="30"/>
      <c r="M644" s="30"/>
      <c r="N644" s="30"/>
      <c r="O644" s="30">
        <f>IFERROR(__xludf.DUMMYFUNCTION("""COMPUTED_VALUE"""),-2.630874715592867)</f>
        <v>-2.630874716</v>
      </c>
      <c r="P644" s="30">
        <f>IFERROR(__xludf.DUMMYFUNCTION("""COMPUTED_VALUE"""),4.463999088063446)</f>
        <v>4.463999088</v>
      </c>
      <c r="Q644" s="30"/>
      <c r="R644" s="30"/>
      <c r="S644" s="30"/>
      <c r="T644" s="30"/>
      <c r="U644" s="30">
        <v>0.0</v>
      </c>
      <c r="V644" s="30"/>
      <c r="W644" s="30"/>
      <c r="X644" s="30"/>
      <c r="Y644" s="5">
        <f>IFERROR(__xludf.DUMMYFUNCTION("""COMPUTED_VALUE"""),80.0)</f>
        <v>80</v>
      </c>
      <c r="Z644" s="5">
        <f>IFERROR(__xludf.DUMMYFUNCTION("""COMPUTED_VALUE"""),80.0)</f>
        <v>80</v>
      </c>
    </row>
    <row r="645">
      <c r="A645" s="30" t="s">
        <v>2363</v>
      </c>
      <c r="B645" s="30">
        <f>IFERROR(__xludf.DUMMYFUNCTION("""COMPUTED_VALUE"""),80.0)</f>
        <v>80</v>
      </c>
      <c r="C645" s="30"/>
      <c r="D645" s="30"/>
      <c r="E645" s="30"/>
      <c r="F645" s="30"/>
      <c r="G645" s="30"/>
      <c r="H645" s="30"/>
      <c r="I645" s="30"/>
      <c r="J645" s="30">
        <f>IFERROR(__xludf.DUMMYFUNCTION("""COMPUTED_VALUE"""),-11.059343513011441)</f>
        <v>-11.05934351</v>
      </c>
      <c r="K645" s="30"/>
      <c r="L645" s="30"/>
      <c r="M645" s="30"/>
      <c r="N645" s="30"/>
      <c r="O645" s="30">
        <f>IFERROR(__xludf.DUMMYFUNCTION("""COMPUTED_VALUE"""),-2.630874715592867)</f>
        <v>-2.630874716</v>
      </c>
      <c r="P645" s="30">
        <f>IFERROR(__xludf.DUMMYFUNCTION("""COMPUTED_VALUE"""),4.463999088063446)</f>
        <v>4.463999088</v>
      </c>
      <c r="Q645" s="30"/>
      <c r="R645" s="30"/>
      <c r="S645" s="30"/>
      <c r="T645" s="30"/>
      <c r="U645" s="30">
        <v>0.0</v>
      </c>
      <c r="V645" s="30"/>
      <c r="W645" s="30"/>
      <c r="X645" s="30"/>
      <c r="Y645" s="5">
        <f>IFERROR(__xludf.DUMMYFUNCTION("""COMPUTED_VALUE"""),79.0)</f>
        <v>79</v>
      </c>
      <c r="Z645" s="5">
        <f>IFERROR(__xludf.DUMMYFUNCTION("""COMPUTED_VALUE"""),81.0)</f>
        <v>81</v>
      </c>
    </row>
    <row r="646">
      <c r="A646" s="30" t="s">
        <v>2366</v>
      </c>
      <c r="B646" s="30">
        <f>IFERROR(__xludf.DUMMYFUNCTION("""COMPUTED_VALUE"""),80.5)</f>
        <v>80.5</v>
      </c>
      <c r="C646" s="30"/>
      <c r="D646" s="30"/>
      <c r="E646" s="30"/>
      <c r="F646" s="30"/>
      <c r="G646" s="30"/>
      <c r="H646" s="30"/>
      <c r="I646" s="30"/>
      <c r="J646" s="30">
        <f>IFERROR(__xludf.DUMMYFUNCTION("""COMPUTED_VALUE"""),-11.059343513011441)</f>
        <v>-11.05934351</v>
      </c>
      <c r="K646" s="30"/>
      <c r="L646" s="30"/>
      <c r="M646" s="30"/>
      <c r="N646" s="30"/>
      <c r="O646" s="30">
        <f>IFERROR(__xludf.DUMMYFUNCTION("""COMPUTED_VALUE"""),-2.630874715592867)</f>
        <v>-2.630874716</v>
      </c>
      <c r="P646" s="30">
        <f>IFERROR(__xludf.DUMMYFUNCTION("""COMPUTED_VALUE"""),4.463999088063446)</f>
        <v>4.463999088</v>
      </c>
      <c r="Q646" s="30"/>
      <c r="R646" s="30"/>
      <c r="S646" s="30"/>
      <c r="T646" s="30"/>
      <c r="U646" s="30">
        <v>0.0</v>
      </c>
      <c r="V646" s="30"/>
      <c r="W646" s="30"/>
      <c r="X646" s="30"/>
      <c r="Y646" s="5">
        <f>IFERROR(__xludf.DUMMYFUNCTION("""COMPUTED_VALUE"""),80.0)</f>
        <v>80</v>
      </c>
      <c r="Z646" s="5">
        <f>IFERROR(__xludf.DUMMYFUNCTION("""COMPUTED_VALUE"""),81.0)</f>
        <v>81</v>
      </c>
    </row>
    <row r="647">
      <c r="A647" s="30" t="s">
        <v>823</v>
      </c>
      <c r="B647" s="30">
        <f>IFERROR(__xludf.DUMMYFUNCTION("""COMPUTED_VALUE"""),82.0)</f>
        <v>82</v>
      </c>
      <c r="C647" s="30"/>
      <c r="D647" s="30"/>
      <c r="E647" s="30"/>
      <c r="F647" s="30"/>
      <c r="G647" s="30"/>
      <c r="H647" s="30"/>
      <c r="I647" s="30"/>
      <c r="J647" s="30">
        <f>IFERROR(__xludf.DUMMYFUNCTION("""COMPUTED_VALUE"""),-11.059343513011441)</f>
        <v>-11.05934351</v>
      </c>
      <c r="K647" s="30"/>
      <c r="L647" s="30"/>
      <c r="M647" s="30"/>
      <c r="N647" s="30"/>
      <c r="O647" s="30">
        <f>IFERROR(__xludf.DUMMYFUNCTION("""COMPUTED_VALUE"""),-2.630874715592867)</f>
        <v>-2.630874716</v>
      </c>
      <c r="P647" s="30">
        <f>IFERROR(__xludf.DUMMYFUNCTION("""COMPUTED_VALUE"""),4.463999088063446)</f>
        <v>4.463999088</v>
      </c>
      <c r="Q647" s="30"/>
      <c r="R647" s="30"/>
      <c r="S647" s="30"/>
      <c r="T647" s="30"/>
      <c r="U647" s="30">
        <v>0.0</v>
      </c>
      <c r="V647" s="30"/>
      <c r="W647" s="30"/>
      <c r="X647" s="30"/>
      <c r="Y647" s="5">
        <f>IFERROR(__xludf.DUMMYFUNCTION("""COMPUTED_VALUE"""),81.0)</f>
        <v>81</v>
      </c>
      <c r="Z647" s="5">
        <f>IFERROR(__xludf.DUMMYFUNCTION("""COMPUTED_VALUE"""),83.0)</f>
        <v>83</v>
      </c>
    </row>
    <row r="648">
      <c r="A648" s="30" t="s">
        <v>2369</v>
      </c>
      <c r="B648" s="30">
        <f>IFERROR(__xludf.DUMMYFUNCTION("""COMPUTED_VALUE"""),83.0)</f>
        <v>83</v>
      </c>
      <c r="C648" s="30"/>
      <c r="D648" s="30"/>
      <c r="E648" s="30"/>
      <c r="F648" s="30"/>
      <c r="G648" s="30"/>
      <c r="H648" s="30"/>
      <c r="I648" s="30"/>
      <c r="J648" s="30">
        <f>IFERROR(__xludf.DUMMYFUNCTION("""COMPUTED_VALUE"""),-11.059343513011441)</f>
        <v>-11.05934351</v>
      </c>
      <c r="K648" s="30"/>
      <c r="L648" s="30"/>
      <c r="M648" s="30"/>
      <c r="N648" s="30"/>
      <c r="O648" s="30">
        <f>IFERROR(__xludf.DUMMYFUNCTION("""COMPUTED_VALUE"""),-2.630874715592867)</f>
        <v>-2.630874716</v>
      </c>
      <c r="P648" s="30">
        <f>IFERROR(__xludf.DUMMYFUNCTION("""COMPUTED_VALUE"""),4.463999088063446)</f>
        <v>4.463999088</v>
      </c>
      <c r="Q648" s="30"/>
      <c r="R648" s="30"/>
      <c r="S648" s="30"/>
      <c r="T648" s="30"/>
      <c r="U648" s="30">
        <v>0.0</v>
      </c>
      <c r="V648" s="30"/>
      <c r="W648" s="30"/>
      <c r="X648" s="30"/>
      <c r="Y648" s="5">
        <f>IFERROR(__xludf.DUMMYFUNCTION("""COMPUTED_VALUE"""),83.0)</f>
        <v>83</v>
      </c>
      <c r="Z648" s="5">
        <f>IFERROR(__xludf.DUMMYFUNCTION("""COMPUTED_VALUE"""),83.0)</f>
        <v>83</v>
      </c>
    </row>
    <row r="649">
      <c r="A649" s="30" t="s">
        <v>2370</v>
      </c>
      <c r="B649" s="30">
        <f>IFERROR(__xludf.DUMMYFUNCTION("""COMPUTED_VALUE"""),83.5)</f>
        <v>83.5</v>
      </c>
      <c r="C649" s="30"/>
      <c r="D649" s="30"/>
      <c r="E649" s="30"/>
      <c r="F649" s="30"/>
      <c r="G649" s="30"/>
      <c r="H649" s="30"/>
      <c r="I649" s="30"/>
      <c r="J649" s="30">
        <f>IFERROR(__xludf.DUMMYFUNCTION("""COMPUTED_VALUE"""),-11.059343513011441)</f>
        <v>-11.05934351</v>
      </c>
      <c r="K649" s="30"/>
      <c r="L649" s="30"/>
      <c r="M649" s="30"/>
      <c r="N649" s="30"/>
      <c r="O649" s="30">
        <f>IFERROR(__xludf.DUMMYFUNCTION("""COMPUTED_VALUE"""),-2.630874715592867)</f>
        <v>-2.630874716</v>
      </c>
      <c r="P649" s="30">
        <f>IFERROR(__xludf.DUMMYFUNCTION("""COMPUTED_VALUE"""),4.463999088063446)</f>
        <v>4.463999088</v>
      </c>
      <c r="Q649" s="30"/>
      <c r="R649" s="30"/>
      <c r="S649" s="30"/>
      <c r="T649" s="30"/>
      <c r="U649" s="30">
        <v>0.0</v>
      </c>
      <c r="V649" s="30"/>
      <c r="W649" s="30"/>
      <c r="X649" s="30"/>
      <c r="Y649" s="5">
        <f>IFERROR(__xludf.DUMMYFUNCTION("""COMPUTED_VALUE"""),83.0)</f>
        <v>83</v>
      </c>
      <c r="Z649" s="5">
        <f>IFERROR(__xludf.DUMMYFUNCTION("""COMPUTED_VALUE"""),84.0)</f>
        <v>84</v>
      </c>
    </row>
    <row r="650">
      <c r="A650" s="30" t="s">
        <v>1760</v>
      </c>
      <c r="B650" s="30">
        <f>IFERROR(__xludf.DUMMYFUNCTION("""COMPUTED_VALUE"""),81.0)</f>
        <v>81</v>
      </c>
      <c r="C650" s="30"/>
      <c r="D650" s="30"/>
      <c r="E650" s="30"/>
      <c r="F650" s="30"/>
      <c r="G650" s="30"/>
      <c r="H650" s="30"/>
      <c r="I650" s="30"/>
      <c r="J650" s="30">
        <f>IFERROR(__xludf.DUMMYFUNCTION("""COMPUTED_VALUE"""),-11.059343513011441)</f>
        <v>-11.05934351</v>
      </c>
      <c r="K650" s="30"/>
      <c r="L650" s="30"/>
      <c r="M650" s="30"/>
      <c r="N650" s="30"/>
      <c r="O650" s="30">
        <f>IFERROR(__xludf.DUMMYFUNCTION("""COMPUTED_VALUE"""),-2.630874715592867)</f>
        <v>-2.630874716</v>
      </c>
      <c r="P650" s="30">
        <f>IFERROR(__xludf.DUMMYFUNCTION("""COMPUTED_VALUE"""),4.463999088063446)</f>
        <v>4.463999088</v>
      </c>
      <c r="Q650" s="30"/>
      <c r="R650" s="30"/>
      <c r="S650" s="30"/>
      <c r="T650" s="30"/>
      <c r="U650" s="30">
        <v>0.0</v>
      </c>
      <c r="V650" s="30"/>
      <c r="W650" s="30"/>
      <c r="X650" s="30"/>
      <c r="Y650" s="5">
        <f>IFERROR(__xludf.DUMMYFUNCTION("""COMPUTED_VALUE"""),81.0)</f>
        <v>81</v>
      </c>
      <c r="Z650" s="5">
        <f>IFERROR(__xludf.DUMMYFUNCTION("""COMPUTED_VALUE"""),81.0)</f>
        <v>81</v>
      </c>
    </row>
    <row r="651">
      <c r="A651" s="30" t="s">
        <v>2376</v>
      </c>
      <c r="B651" s="30">
        <f>IFERROR(__xludf.DUMMYFUNCTION("""COMPUTED_VALUE"""),80.0)</f>
        <v>80</v>
      </c>
      <c r="C651" s="30"/>
      <c r="D651" s="30"/>
      <c r="E651" s="30"/>
      <c r="F651" s="30"/>
      <c r="G651" s="30"/>
      <c r="H651" s="30"/>
      <c r="I651" s="30"/>
      <c r="J651" s="30">
        <f>IFERROR(__xludf.DUMMYFUNCTION("""COMPUTED_VALUE"""),-11.059343513011441)</f>
        <v>-11.05934351</v>
      </c>
      <c r="K651" s="30"/>
      <c r="L651" s="30"/>
      <c r="M651" s="30"/>
      <c r="N651" s="30"/>
      <c r="O651" s="30">
        <f>IFERROR(__xludf.DUMMYFUNCTION("""COMPUTED_VALUE"""),-2.630874715592867)</f>
        <v>-2.630874716</v>
      </c>
      <c r="P651" s="30">
        <f>IFERROR(__xludf.DUMMYFUNCTION("""COMPUTED_VALUE"""),4.463999088063446)</f>
        <v>4.463999088</v>
      </c>
      <c r="Q651" s="30"/>
      <c r="R651" s="30"/>
      <c r="S651" s="30"/>
      <c r="T651" s="30"/>
      <c r="U651" s="30">
        <v>0.0</v>
      </c>
      <c r="V651" s="30"/>
      <c r="W651" s="30"/>
      <c r="X651" s="30"/>
      <c r="Y651" s="5">
        <f>IFERROR(__xludf.DUMMYFUNCTION("""COMPUTED_VALUE"""),79.0)</f>
        <v>79</v>
      </c>
      <c r="Z651" s="5">
        <f>IFERROR(__xludf.DUMMYFUNCTION("""COMPUTED_VALUE"""),81.0)</f>
        <v>81</v>
      </c>
    </row>
    <row r="652">
      <c r="A652" s="30" t="s">
        <v>1968</v>
      </c>
      <c r="B652" s="30">
        <f>IFERROR(__xludf.DUMMYFUNCTION("""COMPUTED_VALUE"""),84.0)</f>
        <v>84</v>
      </c>
      <c r="C652" s="30"/>
      <c r="D652" s="30"/>
      <c r="E652" s="30"/>
      <c r="F652" s="30"/>
      <c r="G652" s="30"/>
      <c r="H652" s="30"/>
      <c r="I652" s="30"/>
      <c r="J652" s="30">
        <f>IFERROR(__xludf.DUMMYFUNCTION("""COMPUTED_VALUE"""),-11.059343513011441)</f>
        <v>-11.05934351</v>
      </c>
      <c r="K652" s="30"/>
      <c r="L652" s="30"/>
      <c r="M652" s="30"/>
      <c r="N652" s="30"/>
      <c r="O652" s="30">
        <f>IFERROR(__xludf.DUMMYFUNCTION("""COMPUTED_VALUE"""),-2.630874715592867)</f>
        <v>-2.630874716</v>
      </c>
      <c r="P652" s="30">
        <f>IFERROR(__xludf.DUMMYFUNCTION("""COMPUTED_VALUE"""),4.463999088063446)</f>
        <v>4.463999088</v>
      </c>
      <c r="Q652" s="30"/>
      <c r="R652" s="30"/>
      <c r="S652" s="30"/>
      <c r="T652" s="30"/>
      <c r="U652" s="30">
        <v>0.0</v>
      </c>
      <c r="V652" s="30"/>
      <c r="W652" s="30"/>
      <c r="X652" s="30"/>
      <c r="Y652" s="5">
        <f>IFERROR(__xludf.DUMMYFUNCTION("""COMPUTED_VALUE"""),84.0)</f>
        <v>84</v>
      </c>
      <c r="Z652" s="5">
        <f>IFERROR(__xludf.DUMMYFUNCTION("""COMPUTED_VALUE"""),84.0)</f>
        <v>84</v>
      </c>
    </row>
    <row r="653">
      <c r="A653" s="30" t="s">
        <v>782</v>
      </c>
      <c r="B653" s="30">
        <f>IFERROR(__xludf.DUMMYFUNCTION("""COMPUTED_VALUE"""),82.0)</f>
        <v>82</v>
      </c>
      <c r="C653" s="30"/>
      <c r="D653" s="30"/>
      <c r="E653" s="30"/>
      <c r="F653" s="30"/>
      <c r="G653" s="30"/>
      <c r="H653" s="30"/>
      <c r="I653" s="30"/>
      <c r="J653" s="30">
        <f>IFERROR(__xludf.DUMMYFUNCTION("""COMPUTED_VALUE"""),-11.059343513011441)</f>
        <v>-11.05934351</v>
      </c>
      <c r="K653" s="30"/>
      <c r="L653" s="30"/>
      <c r="M653" s="30"/>
      <c r="N653" s="30"/>
      <c r="O653" s="30">
        <f>IFERROR(__xludf.DUMMYFUNCTION("""COMPUTED_VALUE"""),-2.630874715592867)</f>
        <v>-2.630874716</v>
      </c>
      <c r="P653" s="30">
        <f>IFERROR(__xludf.DUMMYFUNCTION("""COMPUTED_VALUE"""),4.463999088063446)</f>
        <v>4.463999088</v>
      </c>
      <c r="Q653" s="30"/>
      <c r="R653" s="30"/>
      <c r="S653" s="30"/>
      <c r="T653" s="30"/>
      <c r="U653" s="30">
        <v>0.0</v>
      </c>
      <c r="V653" s="30"/>
      <c r="W653" s="30"/>
      <c r="X653" s="30"/>
      <c r="Y653" s="5">
        <f>IFERROR(__xludf.DUMMYFUNCTION("""COMPUTED_VALUE"""),82.0)</f>
        <v>82</v>
      </c>
      <c r="Z653" s="5">
        <f>IFERROR(__xludf.DUMMYFUNCTION("""COMPUTED_VALUE"""),82.0)</f>
        <v>82</v>
      </c>
    </row>
    <row r="654">
      <c r="A654" s="30" t="s">
        <v>2380</v>
      </c>
      <c r="B654" s="30">
        <f>IFERROR(__xludf.DUMMYFUNCTION("""COMPUTED_VALUE"""),81.5)</f>
        <v>81.5</v>
      </c>
      <c r="C654" s="30"/>
      <c r="D654" s="30"/>
      <c r="E654" s="30"/>
      <c r="F654" s="30"/>
      <c r="G654" s="30"/>
      <c r="H654" s="30"/>
      <c r="I654" s="30"/>
      <c r="J654" s="30">
        <f>IFERROR(__xludf.DUMMYFUNCTION("""COMPUTED_VALUE"""),-11.059343513011441)</f>
        <v>-11.05934351</v>
      </c>
      <c r="K654" s="30"/>
      <c r="L654" s="30"/>
      <c r="M654" s="30"/>
      <c r="N654" s="30"/>
      <c r="O654" s="30">
        <f>IFERROR(__xludf.DUMMYFUNCTION("""COMPUTED_VALUE"""),-2.630874715592867)</f>
        <v>-2.630874716</v>
      </c>
      <c r="P654" s="30">
        <f>IFERROR(__xludf.DUMMYFUNCTION("""COMPUTED_VALUE"""),4.463999088063446)</f>
        <v>4.463999088</v>
      </c>
      <c r="Q654" s="30"/>
      <c r="R654" s="30"/>
      <c r="S654" s="30"/>
      <c r="T654" s="30"/>
      <c r="U654" s="30">
        <v>0.0</v>
      </c>
      <c r="V654" s="30"/>
      <c r="W654" s="30"/>
      <c r="X654" s="30"/>
      <c r="Y654" s="5">
        <f>IFERROR(__xludf.DUMMYFUNCTION("""COMPUTED_VALUE"""),80.0)</f>
        <v>80</v>
      </c>
      <c r="Z654" s="5">
        <f>IFERROR(__xludf.DUMMYFUNCTION("""COMPUTED_VALUE"""),83.0)</f>
        <v>83</v>
      </c>
    </row>
    <row r="655">
      <c r="A655" s="30" t="s">
        <v>1929</v>
      </c>
      <c r="B655" s="30">
        <f>IFERROR(__xludf.DUMMYFUNCTION("""COMPUTED_VALUE"""),80.0)</f>
        <v>80</v>
      </c>
      <c r="C655" s="30"/>
      <c r="D655" s="30"/>
      <c r="E655" s="30"/>
      <c r="F655" s="30"/>
      <c r="G655" s="30"/>
      <c r="H655" s="30"/>
      <c r="I655" s="30"/>
      <c r="J655" s="30">
        <f>IFERROR(__xludf.DUMMYFUNCTION("""COMPUTED_VALUE"""),-11.059343513011441)</f>
        <v>-11.05934351</v>
      </c>
      <c r="K655" s="30"/>
      <c r="L655" s="30"/>
      <c r="M655" s="30"/>
      <c r="N655" s="30"/>
      <c r="O655" s="30">
        <f>IFERROR(__xludf.DUMMYFUNCTION("""COMPUTED_VALUE"""),-2.630874715592867)</f>
        <v>-2.630874716</v>
      </c>
      <c r="P655" s="30">
        <f>IFERROR(__xludf.DUMMYFUNCTION("""COMPUTED_VALUE"""),4.463999088063446)</f>
        <v>4.463999088</v>
      </c>
      <c r="Q655" s="30"/>
      <c r="R655" s="30"/>
      <c r="S655" s="30"/>
      <c r="T655" s="30"/>
      <c r="U655" s="30">
        <v>0.0</v>
      </c>
      <c r="V655" s="30"/>
      <c r="W655" s="30"/>
      <c r="X655" s="30"/>
      <c r="Y655" s="5">
        <f>IFERROR(__xludf.DUMMYFUNCTION("""COMPUTED_VALUE"""),80.0)</f>
        <v>80</v>
      </c>
      <c r="Z655" s="5">
        <f>IFERROR(__xludf.DUMMYFUNCTION("""COMPUTED_VALUE"""),80.0)</f>
        <v>80</v>
      </c>
    </row>
    <row r="656">
      <c r="A656" s="30" t="s">
        <v>2384</v>
      </c>
      <c r="B656" s="30">
        <f>IFERROR(__xludf.DUMMYFUNCTION("""COMPUTED_VALUE"""),84.0)</f>
        <v>84</v>
      </c>
      <c r="C656" s="30"/>
      <c r="D656" s="30"/>
      <c r="E656" s="30"/>
      <c r="F656" s="30"/>
      <c r="G656" s="30"/>
      <c r="H656" s="30"/>
      <c r="I656" s="30"/>
      <c r="J656" s="30">
        <f>IFERROR(__xludf.DUMMYFUNCTION("""COMPUTED_VALUE"""),-11.059343513011441)</f>
        <v>-11.05934351</v>
      </c>
      <c r="K656" s="30"/>
      <c r="L656" s="30"/>
      <c r="M656" s="30"/>
      <c r="N656" s="30"/>
      <c r="O656" s="30">
        <f>IFERROR(__xludf.DUMMYFUNCTION("""COMPUTED_VALUE"""),-2.630874715592867)</f>
        <v>-2.630874716</v>
      </c>
      <c r="P656" s="30">
        <f>IFERROR(__xludf.DUMMYFUNCTION("""COMPUTED_VALUE"""),4.463999088063446)</f>
        <v>4.463999088</v>
      </c>
      <c r="Q656" s="30"/>
      <c r="R656" s="30"/>
      <c r="S656" s="30"/>
      <c r="T656" s="30"/>
      <c r="U656" s="30">
        <v>0.0</v>
      </c>
      <c r="V656" s="30"/>
      <c r="W656" s="30"/>
      <c r="X656" s="30"/>
      <c r="Y656" s="5">
        <f>IFERROR(__xludf.DUMMYFUNCTION("""COMPUTED_VALUE"""),84.0)</f>
        <v>84</v>
      </c>
      <c r="Z656" s="5">
        <f>IFERROR(__xludf.DUMMYFUNCTION("""COMPUTED_VALUE"""),84.0)</f>
        <v>84</v>
      </c>
    </row>
    <row r="657">
      <c r="A657" s="30" t="s">
        <v>1149</v>
      </c>
      <c r="B657" s="30">
        <f>IFERROR(__xludf.DUMMYFUNCTION("""COMPUTED_VALUE"""),81.5)</f>
        <v>81.5</v>
      </c>
      <c r="C657" s="30"/>
      <c r="D657" s="30"/>
      <c r="E657" s="30"/>
      <c r="F657" s="30"/>
      <c r="G657" s="30"/>
      <c r="H657" s="30"/>
      <c r="I657" s="30"/>
      <c r="J657" s="30">
        <f>IFERROR(__xludf.DUMMYFUNCTION("""COMPUTED_VALUE"""),-11.059343513011441)</f>
        <v>-11.05934351</v>
      </c>
      <c r="K657" s="30"/>
      <c r="L657" s="30"/>
      <c r="M657" s="30"/>
      <c r="N657" s="30"/>
      <c r="O657" s="30">
        <f>IFERROR(__xludf.DUMMYFUNCTION("""COMPUTED_VALUE"""),-2.630874715592867)</f>
        <v>-2.630874716</v>
      </c>
      <c r="P657" s="30">
        <f>IFERROR(__xludf.DUMMYFUNCTION("""COMPUTED_VALUE"""),4.463999088063446)</f>
        <v>4.463999088</v>
      </c>
      <c r="Q657" s="30"/>
      <c r="R657" s="30"/>
      <c r="S657" s="30"/>
      <c r="T657" s="30"/>
      <c r="U657" s="30">
        <v>0.0</v>
      </c>
      <c r="V657" s="30"/>
      <c r="W657" s="30"/>
      <c r="X657" s="30"/>
      <c r="Y657" s="5">
        <f>IFERROR(__xludf.DUMMYFUNCTION("""COMPUTED_VALUE"""),81.0)</f>
        <v>81</v>
      </c>
      <c r="Z657" s="5">
        <f>IFERROR(__xludf.DUMMYFUNCTION("""COMPUTED_VALUE"""),82.0)</f>
        <v>82</v>
      </c>
    </row>
    <row r="658">
      <c r="A658" s="30" t="s">
        <v>1910</v>
      </c>
      <c r="B658" s="30">
        <f>IFERROR(__xludf.DUMMYFUNCTION("""COMPUTED_VALUE"""),83.0)</f>
        <v>83</v>
      </c>
      <c r="C658" s="30"/>
      <c r="D658" s="30"/>
      <c r="E658" s="30"/>
      <c r="F658" s="30"/>
      <c r="G658" s="30"/>
      <c r="H658" s="30"/>
      <c r="I658" s="30"/>
      <c r="J658" s="30">
        <f>IFERROR(__xludf.DUMMYFUNCTION("""COMPUTED_VALUE"""),-11.059343513011441)</f>
        <v>-11.05934351</v>
      </c>
      <c r="K658" s="30"/>
      <c r="L658" s="30"/>
      <c r="M658" s="30"/>
      <c r="N658" s="30"/>
      <c r="O658" s="30">
        <f>IFERROR(__xludf.DUMMYFUNCTION("""COMPUTED_VALUE"""),-2.630874715592867)</f>
        <v>-2.630874716</v>
      </c>
      <c r="P658" s="30">
        <f>IFERROR(__xludf.DUMMYFUNCTION("""COMPUTED_VALUE"""),4.463999088063446)</f>
        <v>4.463999088</v>
      </c>
      <c r="Q658" s="30"/>
      <c r="R658" s="30"/>
      <c r="S658" s="30"/>
      <c r="T658" s="30"/>
      <c r="U658" s="30">
        <v>0.0</v>
      </c>
      <c r="V658" s="30"/>
      <c r="W658" s="30"/>
      <c r="X658" s="30"/>
      <c r="Y658" s="5">
        <f>IFERROR(__xludf.DUMMYFUNCTION("""COMPUTED_VALUE"""),83.0)</f>
        <v>83</v>
      </c>
      <c r="Z658" s="5">
        <f>IFERROR(__xludf.DUMMYFUNCTION("""COMPUTED_VALUE"""),83.0)</f>
        <v>83</v>
      </c>
    </row>
    <row r="659">
      <c r="A659" s="30" t="s">
        <v>874</v>
      </c>
      <c r="B659" s="30">
        <f>IFERROR(__xludf.DUMMYFUNCTION("""COMPUTED_VALUE"""),81.0)</f>
        <v>81</v>
      </c>
      <c r="C659" s="30"/>
      <c r="D659" s="30"/>
      <c r="E659" s="30"/>
      <c r="F659" s="30"/>
      <c r="G659" s="30"/>
      <c r="H659" s="30"/>
      <c r="I659" s="30"/>
      <c r="J659" s="30">
        <f>IFERROR(__xludf.DUMMYFUNCTION("""COMPUTED_VALUE"""),-11.059343513011441)</f>
        <v>-11.05934351</v>
      </c>
      <c r="K659" s="30"/>
      <c r="L659" s="30"/>
      <c r="M659" s="30"/>
      <c r="N659" s="30"/>
      <c r="O659" s="30">
        <f>IFERROR(__xludf.DUMMYFUNCTION("""COMPUTED_VALUE"""),-2.630874715592867)</f>
        <v>-2.630874716</v>
      </c>
      <c r="P659" s="30">
        <f>IFERROR(__xludf.DUMMYFUNCTION("""COMPUTED_VALUE"""),4.463999088063446)</f>
        <v>4.463999088</v>
      </c>
      <c r="Q659" s="30"/>
      <c r="R659" s="30"/>
      <c r="S659" s="30"/>
      <c r="T659" s="30"/>
      <c r="U659" s="30">
        <v>0.0</v>
      </c>
      <c r="V659" s="30"/>
      <c r="W659" s="30"/>
      <c r="X659" s="30"/>
      <c r="Y659" s="5">
        <f>IFERROR(__xludf.DUMMYFUNCTION("""COMPUTED_VALUE"""),80.0)</f>
        <v>80</v>
      </c>
      <c r="Z659" s="5">
        <f>IFERROR(__xludf.DUMMYFUNCTION("""COMPUTED_VALUE"""),82.0)</f>
        <v>82</v>
      </c>
    </row>
    <row r="660">
      <c r="A660" s="30" t="s">
        <v>2391</v>
      </c>
      <c r="B660" s="30">
        <f>IFERROR(__xludf.DUMMYFUNCTION("""COMPUTED_VALUE"""),82.0)</f>
        <v>82</v>
      </c>
      <c r="C660" s="30"/>
      <c r="D660" s="30"/>
      <c r="E660" s="30"/>
      <c r="F660" s="30"/>
      <c r="G660" s="30"/>
      <c r="H660" s="30"/>
      <c r="I660" s="30"/>
      <c r="J660" s="30">
        <f>IFERROR(__xludf.DUMMYFUNCTION("""COMPUTED_VALUE"""),-11.059343513011441)</f>
        <v>-11.05934351</v>
      </c>
      <c r="K660" s="30"/>
      <c r="L660" s="30"/>
      <c r="M660" s="30"/>
      <c r="N660" s="30"/>
      <c r="O660" s="30">
        <f>IFERROR(__xludf.DUMMYFUNCTION("""COMPUTED_VALUE"""),-2.630874715592867)</f>
        <v>-2.630874716</v>
      </c>
      <c r="P660" s="30">
        <f>IFERROR(__xludf.DUMMYFUNCTION("""COMPUTED_VALUE"""),4.463999088063446)</f>
        <v>4.463999088</v>
      </c>
      <c r="Q660" s="30"/>
      <c r="R660" s="30"/>
      <c r="S660" s="30"/>
      <c r="T660" s="30"/>
      <c r="U660" s="30">
        <v>0.0</v>
      </c>
      <c r="V660" s="30"/>
      <c r="W660" s="30"/>
      <c r="X660" s="30"/>
      <c r="Y660" s="5">
        <f>IFERROR(__xludf.DUMMYFUNCTION("""COMPUTED_VALUE"""),82.0)</f>
        <v>82</v>
      </c>
      <c r="Z660" s="5">
        <f>IFERROR(__xludf.DUMMYFUNCTION("""COMPUTED_VALUE"""),82.0)</f>
        <v>82</v>
      </c>
    </row>
    <row r="661">
      <c r="A661" s="30" t="s">
        <v>2044</v>
      </c>
      <c r="B661" s="30">
        <f>IFERROR(__xludf.DUMMYFUNCTION("""COMPUTED_VALUE"""),82.0)</f>
        <v>82</v>
      </c>
      <c r="C661" s="30"/>
      <c r="D661" s="30"/>
      <c r="E661" s="30"/>
      <c r="F661" s="30"/>
      <c r="G661" s="30"/>
      <c r="H661" s="30"/>
      <c r="I661" s="30"/>
      <c r="J661" s="30">
        <f>IFERROR(__xludf.DUMMYFUNCTION("""COMPUTED_VALUE"""),-11.059343513011441)</f>
        <v>-11.05934351</v>
      </c>
      <c r="K661" s="30"/>
      <c r="L661" s="30"/>
      <c r="M661" s="30"/>
      <c r="N661" s="30"/>
      <c r="O661" s="30">
        <f>IFERROR(__xludf.DUMMYFUNCTION("""COMPUTED_VALUE"""),-2.630874715592867)</f>
        <v>-2.630874716</v>
      </c>
      <c r="P661" s="30">
        <f>IFERROR(__xludf.DUMMYFUNCTION("""COMPUTED_VALUE"""),4.463999088063446)</f>
        <v>4.463999088</v>
      </c>
      <c r="Q661" s="30"/>
      <c r="R661" s="30"/>
      <c r="S661" s="30"/>
      <c r="T661" s="30"/>
      <c r="U661" s="30">
        <v>0.0</v>
      </c>
      <c r="V661" s="30"/>
      <c r="W661" s="30"/>
      <c r="X661" s="30"/>
      <c r="Y661" s="5">
        <f>IFERROR(__xludf.DUMMYFUNCTION("""COMPUTED_VALUE"""),81.0)</f>
        <v>81</v>
      </c>
      <c r="Z661" s="5">
        <f>IFERROR(__xludf.DUMMYFUNCTION("""COMPUTED_VALUE"""),83.0)</f>
        <v>83</v>
      </c>
    </row>
    <row r="662">
      <c r="A662" s="30" t="s">
        <v>2395</v>
      </c>
      <c r="B662" s="30">
        <f>IFERROR(__xludf.DUMMYFUNCTION("""COMPUTED_VALUE"""),82.0)</f>
        <v>82</v>
      </c>
      <c r="C662" s="30"/>
      <c r="D662" s="30"/>
      <c r="E662" s="30"/>
      <c r="F662" s="30"/>
      <c r="G662" s="30"/>
      <c r="H662" s="30"/>
      <c r="I662" s="30"/>
      <c r="J662" s="30">
        <f>IFERROR(__xludf.DUMMYFUNCTION("""COMPUTED_VALUE"""),-11.059343513011441)</f>
        <v>-11.05934351</v>
      </c>
      <c r="K662" s="30"/>
      <c r="L662" s="30"/>
      <c r="M662" s="30"/>
      <c r="N662" s="30"/>
      <c r="O662" s="30">
        <f>IFERROR(__xludf.DUMMYFUNCTION("""COMPUTED_VALUE"""),-2.630874715592867)</f>
        <v>-2.630874716</v>
      </c>
      <c r="P662" s="30">
        <f>IFERROR(__xludf.DUMMYFUNCTION("""COMPUTED_VALUE"""),4.463999088063446)</f>
        <v>4.463999088</v>
      </c>
      <c r="Q662" s="30"/>
      <c r="R662" s="30"/>
      <c r="S662" s="30"/>
      <c r="T662" s="30"/>
      <c r="U662" s="30">
        <v>0.0</v>
      </c>
      <c r="V662" s="30"/>
      <c r="W662" s="30"/>
      <c r="X662" s="30"/>
      <c r="Y662" s="5">
        <f>IFERROR(__xludf.DUMMYFUNCTION("""COMPUTED_VALUE"""),81.0)</f>
        <v>81</v>
      </c>
      <c r="Z662" s="5">
        <f>IFERROR(__xludf.DUMMYFUNCTION("""COMPUTED_VALUE"""),83.0)</f>
        <v>83</v>
      </c>
    </row>
    <row r="663">
      <c r="A663" s="30" t="s">
        <v>2399</v>
      </c>
      <c r="B663" s="30">
        <f>IFERROR(__xludf.DUMMYFUNCTION("""COMPUTED_VALUE"""),84.0)</f>
        <v>84</v>
      </c>
      <c r="C663" s="30"/>
      <c r="D663" s="30"/>
      <c r="E663" s="30"/>
      <c r="F663" s="30"/>
      <c r="G663" s="30"/>
      <c r="H663" s="30"/>
      <c r="I663" s="30"/>
      <c r="J663" s="30">
        <f>IFERROR(__xludf.DUMMYFUNCTION("""COMPUTED_VALUE"""),-11.059343513011441)</f>
        <v>-11.05934351</v>
      </c>
      <c r="K663" s="30"/>
      <c r="L663" s="30"/>
      <c r="M663" s="30"/>
      <c r="N663" s="30"/>
      <c r="O663" s="30">
        <f>IFERROR(__xludf.DUMMYFUNCTION("""COMPUTED_VALUE"""),-2.630874715592867)</f>
        <v>-2.630874716</v>
      </c>
      <c r="P663" s="30">
        <f>IFERROR(__xludf.DUMMYFUNCTION("""COMPUTED_VALUE"""),4.463999088063446)</f>
        <v>4.463999088</v>
      </c>
      <c r="Q663" s="30"/>
      <c r="R663" s="30"/>
      <c r="S663" s="30"/>
      <c r="T663" s="30"/>
      <c r="U663" s="30">
        <v>0.0</v>
      </c>
      <c r="V663" s="30"/>
      <c r="W663" s="30"/>
      <c r="X663" s="30"/>
      <c r="Y663" s="5">
        <f>IFERROR(__xludf.DUMMYFUNCTION("""COMPUTED_VALUE"""),84.0)</f>
        <v>84</v>
      </c>
      <c r="Z663" s="5">
        <f>IFERROR(__xludf.DUMMYFUNCTION("""COMPUTED_VALUE"""),84.0)</f>
        <v>84</v>
      </c>
    </row>
    <row r="664">
      <c r="A664" s="30" t="s">
        <v>1509</v>
      </c>
      <c r="B664" s="30">
        <f>IFERROR(__xludf.DUMMYFUNCTION("""COMPUTED_VALUE"""),79.5)</f>
        <v>79.5</v>
      </c>
      <c r="C664" s="30"/>
      <c r="D664" s="30"/>
      <c r="E664" s="30"/>
      <c r="F664" s="30"/>
      <c r="G664" s="30"/>
      <c r="H664" s="30"/>
      <c r="I664" s="30"/>
      <c r="J664" s="30">
        <f>IFERROR(__xludf.DUMMYFUNCTION("""COMPUTED_VALUE"""),-11.059343513011441)</f>
        <v>-11.05934351</v>
      </c>
      <c r="K664" s="30"/>
      <c r="L664" s="30"/>
      <c r="M664" s="30"/>
      <c r="N664" s="30"/>
      <c r="O664" s="30">
        <f>IFERROR(__xludf.DUMMYFUNCTION("""COMPUTED_VALUE"""),-2.630874715592867)</f>
        <v>-2.630874716</v>
      </c>
      <c r="P664" s="30">
        <f>IFERROR(__xludf.DUMMYFUNCTION("""COMPUTED_VALUE"""),4.463999088063446)</f>
        <v>4.463999088</v>
      </c>
      <c r="Q664" s="30"/>
      <c r="R664" s="30"/>
      <c r="S664" s="30"/>
      <c r="T664" s="30"/>
      <c r="U664" s="30">
        <v>0.0</v>
      </c>
      <c r="V664" s="30"/>
      <c r="W664" s="30"/>
      <c r="X664" s="30"/>
      <c r="Y664" s="5">
        <f>IFERROR(__xludf.DUMMYFUNCTION("""COMPUTED_VALUE"""),79.0)</f>
        <v>79</v>
      </c>
      <c r="Z664" s="5">
        <f>IFERROR(__xludf.DUMMYFUNCTION("""COMPUTED_VALUE"""),80.0)</f>
        <v>80</v>
      </c>
    </row>
    <row r="665">
      <c r="A665" s="30" t="s">
        <v>2401</v>
      </c>
      <c r="B665" s="30">
        <f>IFERROR(__xludf.DUMMYFUNCTION("""COMPUTED_VALUE"""),81.0)</f>
        <v>81</v>
      </c>
      <c r="C665" s="30"/>
      <c r="D665" s="30"/>
      <c r="E665" s="30"/>
      <c r="F665" s="30"/>
      <c r="G665" s="30"/>
      <c r="H665" s="30"/>
      <c r="I665" s="30"/>
      <c r="J665" s="30">
        <f>IFERROR(__xludf.DUMMYFUNCTION("""COMPUTED_VALUE"""),-11.059343513011441)</f>
        <v>-11.05934351</v>
      </c>
      <c r="K665" s="30"/>
      <c r="L665" s="30"/>
      <c r="M665" s="30"/>
      <c r="N665" s="30"/>
      <c r="O665" s="30">
        <f>IFERROR(__xludf.DUMMYFUNCTION("""COMPUTED_VALUE"""),-2.630874715592867)</f>
        <v>-2.630874716</v>
      </c>
      <c r="P665" s="30">
        <f>IFERROR(__xludf.DUMMYFUNCTION("""COMPUTED_VALUE"""),4.463999088063446)</f>
        <v>4.463999088</v>
      </c>
      <c r="Q665" s="30"/>
      <c r="R665" s="30"/>
      <c r="S665" s="30"/>
      <c r="T665" s="30"/>
      <c r="U665" s="30">
        <v>0.0</v>
      </c>
      <c r="V665" s="30"/>
      <c r="W665" s="30"/>
      <c r="X665" s="30"/>
      <c r="Y665" s="5">
        <f>IFERROR(__xludf.DUMMYFUNCTION("""COMPUTED_VALUE"""),81.0)</f>
        <v>81</v>
      </c>
      <c r="Z665" s="5">
        <f>IFERROR(__xludf.DUMMYFUNCTION("""COMPUTED_VALUE"""),81.0)</f>
        <v>81</v>
      </c>
    </row>
    <row r="666">
      <c r="A666" s="30" t="s">
        <v>2402</v>
      </c>
      <c r="B666" s="30">
        <f>IFERROR(__xludf.DUMMYFUNCTION("""COMPUTED_VALUE"""),81.0)</f>
        <v>81</v>
      </c>
      <c r="C666" s="30"/>
      <c r="D666" s="30"/>
      <c r="E666" s="30"/>
      <c r="F666" s="30"/>
      <c r="G666" s="30"/>
      <c r="H666" s="30"/>
      <c r="I666" s="30"/>
      <c r="J666" s="30">
        <f>IFERROR(__xludf.DUMMYFUNCTION("""COMPUTED_VALUE"""),-11.059343513011441)</f>
        <v>-11.05934351</v>
      </c>
      <c r="K666" s="30"/>
      <c r="L666" s="30"/>
      <c r="M666" s="30"/>
      <c r="N666" s="30"/>
      <c r="O666" s="30">
        <f>IFERROR(__xludf.DUMMYFUNCTION("""COMPUTED_VALUE"""),-2.630874715592867)</f>
        <v>-2.630874716</v>
      </c>
      <c r="P666" s="30">
        <f>IFERROR(__xludf.DUMMYFUNCTION("""COMPUTED_VALUE"""),4.463999088063446)</f>
        <v>4.463999088</v>
      </c>
      <c r="Q666" s="30"/>
      <c r="R666" s="30"/>
      <c r="S666" s="30"/>
      <c r="T666" s="30"/>
      <c r="U666" s="30">
        <v>0.0</v>
      </c>
      <c r="V666" s="30"/>
      <c r="W666" s="30"/>
      <c r="X666" s="30"/>
      <c r="Y666" s="5">
        <f>IFERROR(__xludf.DUMMYFUNCTION("""COMPUTED_VALUE"""),81.0)</f>
        <v>81</v>
      </c>
      <c r="Z666" s="5">
        <f>IFERROR(__xludf.DUMMYFUNCTION("""COMPUTED_VALUE"""),81.0)</f>
        <v>81</v>
      </c>
    </row>
    <row r="667">
      <c r="A667" s="30" t="s">
        <v>2403</v>
      </c>
      <c r="B667" s="30">
        <f>IFERROR(__xludf.DUMMYFUNCTION("""COMPUTED_VALUE"""),80.5)</f>
        <v>80.5</v>
      </c>
      <c r="C667" s="30"/>
      <c r="D667" s="30"/>
      <c r="E667" s="30"/>
      <c r="F667" s="30"/>
      <c r="G667" s="30"/>
      <c r="H667" s="30"/>
      <c r="I667" s="30"/>
      <c r="J667" s="30">
        <f>IFERROR(__xludf.DUMMYFUNCTION("""COMPUTED_VALUE"""),-11.059343513011441)</f>
        <v>-11.05934351</v>
      </c>
      <c r="K667" s="30"/>
      <c r="L667" s="30"/>
      <c r="M667" s="30"/>
      <c r="N667" s="30"/>
      <c r="O667" s="30">
        <f>IFERROR(__xludf.DUMMYFUNCTION("""COMPUTED_VALUE"""),-2.630874715592867)</f>
        <v>-2.630874716</v>
      </c>
      <c r="P667" s="30">
        <f>IFERROR(__xludf.DUMMYFUNCTION("""COMPUTED_VALUE"""),4.463999088063446)</f>
        <v>4.463999088</v>
      </c>
      <c r="Q667" s="30"/>
      <c r="R667" s="30"/>
      <c r="S667" s="30"/>
      <c r="T667" s="30"/>
      <c r="U667" s="30">
        <v>0.0</v>
      </c>
      <c r="V667" s="30"/>
      <c r="W667" s="30"/>
      <c r="X667" s="30"/>
      <c r="Y667" s="5">
        <f>IFERROR(__xludf.DUMMYFUNCTION("""COMPUTED_VALUE"""),80.0)</f>
        <v>80</v>
      </c>
      <c r="Z667" s="5">
        <f>IFERROR(__xludf.DUMMYFUNCTION("""COMPUTED_VALUE"""),81.0)</f>
        <v>81</v>
      </c>
    </row>
    <row r="668">
      <c r="A668" s="30" t="s">
        <v>2407</v>
      </c>
      <c r="B668" s="30">
        <f>IFERROR(__xludf.DUMMYFUNCTION("""COMPUTED_VALUE"""),84.0)</f>
        <v>84</v>
      </c>
      <c r="C668" s="30"/>
      <c r="D668" s="30"/>
      <c r="E668" s="30"/>
      <c r="F668" s="30"/>
      <c r="G668" s="30"/>
      <c r="H668" s="30"/>
      <c r="I668" s="30"/>
      <c r="J668" s="30">
        <f>IFERROR(__xludf.DUMMYFUNCTION("""COMPUTED_VALUE"""),-11.059343513011441)</f>
        <v>-11.05934351</v>
      </c>
      <c r="K668" s="30"/>
      <c r="L668" s="30"/>
      <c r="M668" s="30"/>
      <c r="N668" s="30"/>
      <c r="O668" s="30">
        <f>IFERROR(__xludf.DUMMYFUNCTION("""COMPUTED_VALUE"""),-2.630874715592867)</f>
        <v>-2.630874716</v>
      </c>
      <c r="P668" s="30">
        <f>IFERROR(__xludf.DUMMYFUNCTION("""COMPUTED_VALUE"""),4.463999088063446)</f>
        <v>4.463999088</v>
      </c>
      <c r="Q668" s="30"/>
      <c r="R668" s="30"/>
      <c r="S668" s="30"/>
      <c r="T668" s="30"/>
      <c r="U668" s="30">
        <v>0.0</v>
      </c>
      <c r="V668" s="30"/>
      <c r="W668" s="30"/>
      <c r="X668" s="30"/>
      <c r="Y668" s="5">
        <f>IFERROR(__xludf.DUMMYFUNCTION("""COMPUTED_VALUE"""),84.0)</f>
        <v>84</v>
      </c>
      <c r="Z668" s="5">
        <f>IFERROR(__xludf.DUMMYFUNCTION("""COMPUTED_VALUE"""),84.0)</f>
        <v>84</v>
      </c>
    </row>
    <row r="669">
      <c r="A669" s="30" t="s">
        <v>2408</v>
      </c>
      <c r="B669" s="30">
        <f>IFERROR(__xludf.DUMMYFUNCTION("""COMPUTED_VALUE"""),82.0)</f>
        <v>82</v>
      </c>
      <c r="C669" s="30"/>
      <c r="D669" s="30"/>
      <c r="E669" s="30"/>
      <c r="F669" s="30"/>
      <c r="G669" s="30"/>
      <c r="H669" s="30"/>
      <c r="I669" s="30"/>
      <c r="J669" s="30">
        <f>IFERROR(__xludf.DUMMYFUNCTION("""COMPUTED_VALUE"""),-11.059343513011441)</f>
        <v>-11.05934351</v>
      </c>
      <c r="K669" s="30"/>
      <c r="L669" s="30"/>
      <c r="M669" s="30"/>
      <c r="N669" s="30"/>
      <c r="O669" s="30">
        <f>IFERROR(__xludf.DUMMYFUNCTION("""COMPUTED_VALUE"""),-2.630874715592867)</f>
        <v>-2.630874716</v>
      </c>
      <c r="P669" s="30">
        <f>IFERROR(__xludf.DUMMYFUNCTION("""COMPUTED_VALUE"""),4.463999088063446)</f>
        <v>4.463999088</v>
      </c>
      <c r="Q669" s="30"/>
      <c r="R669" s="30"/>
      <c r="S669" s="30"/>
      <c r="T669" s="30"/>
      <c r="U669" s="30">
        <v>0.0</v>
      </c>
      <c r="V669" s="30"/>
      <c r="W669" s="30"/>
      <c r="X669" s="30"/>
      <c r="Y669" s="5">
        <f>IFERROR(__xludf.DUMMYFUNCTION("""COMPUTED_VALUE"""),82.0)</f>
        <v>82</v>
      </c>
      <c r="Z669" s="5">
        <f>IFERROR(__xludf.DUMMYFUNCTION("""COMPUTED_VALUE"""),82.0)</f>
        <v>82</v>
      </c>
    </row>
    <row r="670">
      <c r="A670" s="30" t="s">
        <v>2409</v>
      </c>
      <c r="B670" s="30">
        <f>IFERROR(__xludf.DUMMYFUNCTION("""COMPUTED_VALUE"""),83.0)</f>
        <v>83</v>
      </c>
      <c r="C670" s="30"/>
      <c r="D670" s="30"/>
      <c r="E670" s="30"/>
      <c r="F670" s="30"/>
      <c r="G670" s="30"/>
      <c r="H670" s="30"/>
      <c r="I670" s="30"/>
      <c r="J670" s="30">
        <f>IFERROR(__xludf.DUMMYFUNCTION("""COMPUTED_VALUE"""),-11.059343513011441)</f>
        <v>-11.05934351</v>
      </c>
      <c r="K670" s="30"/>
      <c r="L670" s="30"/>
      <c r="M670" s="30"/>
      <c r="N670" s="30"/>
      <c r="O670" s="30">
        <f>IFERROR(__xludf.DUMMYFUNCTION("""COMPUTED_VALUE"""),-2.630874715592867)</f>
        <v>-2.630874716</v>
      </c>
      <c r="P670" s="30">
        <f>IFERROR(__xludf.DUMMYFUNCTION("""COMPUTED_VALUE"""),4.463999088063446)</f>
        <v>4.463999088</v>
      </c>
      <c r="Q670" s="30"/>
      <c r="R670" s="30"/>
      <c r="S670" s="30"/>
      <c r="T670" s="30"/>
      <c r="U670" s="30">
        <v>0.0</v>
      </c>
      <c r="V670" s="30"/>
      <c r="W670" s="30"/>
      <c r="X670" s="30"/>
      <c r="Y670" s="5">
        <f>IFERROR(__xludf.DUMMYFUNCTION("""COMPUTED_VALUE"""),83.0)</f>
        <v>83</v>
      </c>
      <c r="Z670" s="5">
        <f>IFERROR(__xludf.DUMMYFUNCTION("""COMPUTED_VALUE"""),83.0)</f>
        <v>83</v>
      </c>
    </row>
    <row r="671">
      <c r="A671" s="30" t="s">
        <v>2410</v>
      </c>
      <c r="B671" s="30">
        <f>IFERROR(__xludf.DUMMYFUNCTION("""COMPUTED_VALUE"""),84.0)</f>
        <v>84</v>
      </c>
      <c r="C671" s="30"/>
      <c r="D671" s="30"/>
      <c r="E671" s="30"/>
      <c r="F671" s="30"/>
      <c r="G671" s="30"/>
      <c r="H671" s="30"/>
      <c r="I671" s="30"/>
      <c r="J671" s="30">
        <f>IFERROR(__xludf.DUMMYFUNCTION("""COMPUTED_VALUE"""),-11.059343513011441)</f>
        <v>-11.05934351</v>
      </c>
      <c r="K671" s="30"/>
      <c r="L671" s="30"/>
      <c r="M671" s="30"/>
      <c r="N671" s="30"/>
      <c r="O671" s="30">
        <f>IFERROR(__xludf.DUMMYFUNCTION("""COMPUTED_VALUE"""),-2.630874715592867)</f>
        <v>-2.630874716</v>
      </c>
      <c r="P671" s="30">
        <f>IFERROR(__xludf.DUMMYFUNCTION("""COMPUTED_VALUE"""),4.463999088063446)</f>
        <v>4.463999088</v>
      </c>
      <c r="Q671" s="30"/>
      <c r="R671" s="30"/>
      <c r="S671" s="30"/>
      <c r="T671" s="30"/>
      <c r="U671" s="30">
        <v>0.0</v>
      </c>
      <c r="V671" s="30"/>
      <c r="W671" s="30"/>
      <c r="X671" s="30"/>
      <c r="Y671" s="5">
        <f>IFERROR(__xludf.DUMMYFUNCTION("""COMPUTED_VALUE"""),84.0)</f>
        <v>84</v>
      </c>
      <c r="Z671" s="5">
        <f>IFERROR(__xludf.DUMMYFUNCTION("""COMPUTED_VALUE"""),84.0)</f>
        <v>84</v>
      </c>
    </row>
    <row r="672">
      <c r="A672" s="30" t="s">
        <v>2411</v>
      </c>
      <c r="B672" s="30">
        <f>IFERROR(__xludf.DUMMYFUNCTION("""COMPUTED_VALUE"""),79.0)</f>
        <v>79</v>
      </c>
      <c r="C672" s="30"/>
      <c r="D672" s="30"/>
      <c r="E672" s="30"/>
      <c r="F672" s="30"/>
      <c r="G672" s="30"/>
      <c r="H672" s="30"/>
      <c r="I672" s="30"/>
      <c r="J672" s="30">
        <f>IFERROR(__xludf.DUMMYFUNCTION("""COMPUTED_VALUE"""),-11.059343513011441)</f>
        <v>-11.05934351</v>
      </c>
      <c r="K672" s="30"/>
      <c r="L672" s="30"/>
      <c r="M672" s="30"/>
      <c r="N672" s="30"/>
      <c r="O672" s="30">
        <f>IFERROR(__xludf.DUMMYFUNCTION("""COMPUTED_VALUE"""),-2.630874715592867)</f>
        <v>-2.630874716</v>
      </c>
      <c r="P672" s="30">
        <f>IFERROR(__xludf.DUMMYFUNCTION("""COMPUTED_VALUE"""),4.463999088063446)</f>
        <v>4.463999088</v>
      </c>
      <c r="Q672" s="30"/>
      <c r="R672" s="30"/>
      <c r="S672" s="30"/>
      <c r="T672" s="30"/>
      <c r="U672" s="30">
        <v>0.0</v>
      </c>
      <c r="V672" s="30"/>
      <c r="W672" s="30"/>
      <c r="X672" s="30"/>
      <c r="Y672" s="5">
        <f>IFERROR(__xludf.DUMMYFUNCTION("""COMPUTED_VALUE"""),79.0)</f>
        <v>79</v>
      </c>
      <c r="Z672" s="5">
        <f>IFERROR(__xludf.DUMMYFUNCTION("""COMPUTED_VALUE"""),79.0)</f>
        <v>79</v>
      </c>
    </row>
    <row r="673">
      <c r="A673" s="30" t="s">
        <v>169</v>
      </c>
      <c r="B673" s="30">
        <f>IFERROR(__xludf.DUMMYFUNCTION("""COMPUTED_VALUE"""),79.0)</f>
        <v>79</v>
      </c>
      <c r="C673" s="30"/>
      <c r="D673" s="30"/>
      <c r="E673" s="30"/>
      <c r="F673" s="30"/>
      <c r="G673" s="30"/>
      <c r="H673" s="30"/>
      <c r="I673" s="30"/>
      <c r="J673" s="30">
        <f>IFERROR(__xludf.DUMMYFUNCTION("""COMPUTED_VALUE"""),-11.059343513011441)</f>
        <v>-11.05934351</v>
      </c>
      <c r="K673" s="30"/>
      <c r="L673" s="30"/>
      <c r="M673" s="30"/>
      <c r="N673" s="30"/>
      <c r="O673" s="30">
        <f>IFERROR(__xludf.DUMMYFUNCTION("""COMPUTED_VALUE"""),-2.630874715592867)</f>
        <v>-2.630874716</v>
      </c>
      <c r="P673" s="30">
        <f>IFERROR(__xludf.DUMMYFUNCTION("""COMPUTED_VALUE"""),4.463999088063446)</f>
        <v>4.463999088</v>
      </c>
      <c r="Q673" s="30"/>
      <c r="R673" s="30"/>
      <c r="S673" s="30"/>
      <c r="T673" s="30"/>
      <c r="U673" s="30">
        <v>0.0</v>
      </c>
      <c r="V673" s="30"/>
      <c r="W673" s="30"/>
      <c r="X673" s="30"/>
      <c r="Y673" s="5">
        <f>IFERROR(__xludf.DUMMYFUNCTION("""COMPUTED_VALUE"""),78.0)</f>
        <v>78</v>
      </c>
      <c r="Z673" s="5">
        <f>IFERROR(__xludf.DUMMYFUNCTION("""COMPUTED_VALUE"""),80.0)</f>
        <v>80</v>
      </c>
    </row>
    <row r="674">
      <c r="A674" s="30" t="s">
        <v>2414</v>
      </c>
      <c r="B674" s="30">
        <f>IFERROR(__xludf.DUMMYFUNCTION("""COMPUTED_VALUE"""),83.0)</f>
        <v>83</v>
      </c>
      <c r="C674" s="30"/>
      <c r="D674" s="30"/>
      <c r="E674" s="30"/>
      <c r="F674" s="30"/>
      <c r="G674" s="30"/>
      <c r="H674" s="30"/>
      <c r="I674" s="30"/>
      <c r="J674" s="30">
        <f>IFERROR(__xludf.DUMMYFUNCTION("""COMPUTED_VALUE"""),-11.059343513011441)</f>
        <v>-11.05934351</v>
      </c>
      <c r="K674" s="30"/>
      <c r="L674" s="30"/>
      <c r="M674" s="30"/>
      <c r="N674" s="30"/>
      <c r="O674" s="30">
        <f>IFERROR(__xludf.DUMMYFUNCTION("""COMPUTED_VALUE"""),-2.630874715592867)</f>
        <v>-2.630874716</v>
      </c>
      <c r="P674" s="30">
        <f>IFERROR(__xludf.DUMMYFUNCTION("""COMPUTED_VALUE"""),4.463999088063446)</f>
        <v>4.463999088</v>
      </c>
      <c r="Q674" s="30"/>
      <c r="R674" s="30"/>
      <c r="S674" s="30"/>
      <c r="T674" s="30"/>
      <c r="U674" s="30">
        <v>0.0</v>
      </c>
      <c r="V674" s="30"/>
      <c r="W674" s="30"/>
      <c r="X674" s="30"/>
      <c r="Y674" s="5">
        <f>IFERROR(__xludf.DUMMYFUNCTION("""COMPUTED_VALUE"""),83.0)</f>
        <v>83</v>
      </c>
      <c r="Z674" s="5">
        <f>IFERROR(__xludf.DUMMYFUNCTION("""COMPUTED_VALUE"""),83.0)</f>
        <v>83</v>
      </c>
    </row>
    <row r="675">
      <c r="A675" s="30" t="s">
        <v>1484</v>
      </c>
      <c r="B675" s="30">
        <f>IFERROR(__xludf.DUMMYFUNCTION("""COMPUTED_VALUE"""),84.0)</f>
        <v>84</v>
      </c>
      <c r="C675" s="30"/>
      <c r="D675" s="30"/>
      <c r="E675" s="30"/>
      <c r="F675" s="30"/>
      <c r="G675" s="30"/>
      <c r="H675" s="30"/>
      <c r="I675" s="30"/>
      <c r="J675" s="30">
        <f>IFERROR(__xludf.DUMMYFUNCTION("""COMPUTED_VALUE"""),-11.059343513011441)</f>
        <v>-11.05934351</v>
      </c>
      <c r="K675" s="30"/>
      <c r="L675" s="30"/>
      <c r="M675" s="30"/>
      <c r="N675" s="30"/>
      <c r="O675" s="30">
        <f>IFERROR(__xludf.DUMMYFUNCTION("""COMPUTED_VALUE"""),-2.630874715592867)</f>
        <v>-2.630874716</v>
      </c>
      <c r="P675" s="30">
        <f>IFERROR(__xludf.DUMMYFUNCTION("""COMPUTED_VALUE"""),4.463999088063446)</f>
        <v>4.463999088</v>
      </c>
      <c r="Q675" s="30"/>
      <c r="R675" s="30"/>
      <c r="S675" s="30"/>
      <c r="T675" s="30"/>
      <c r="U675" s="30">
        <v>0.0</v>
      </c>
      <c r="V675" s="30"/>
      <c r="W675" s="30"/>
      <c r="X675" s="30"/>
      <c r="Y675" s="5">
        <f>IFERROR(__xludf.DUMMYFUNCTION("""COMPUTED_VALUE"""),84.0)</f>
        <v>84</v>
      </c>
      <c r="Z675" s="5">
        <f>IFERROR(__xludf.DUMMYFUNCTION("""COMPUTED_VALUE"""),84.0)</f>
        <v>84</v>
      </c>
    </row>
    <row r="676">
      <c r="A676" s="30" t="s">
        <v>2420</v>
      </c>
      <c r="B676" s="30">
        <f>IFERROR(__xludf.DUMMYFUNCTION("""COMPUTED_VALUE"""),81.0)</f>
        <v>81</v>
      </c>
      <c r="C676" s="30"/>
      <c r="D676" s="30"/>
      <c r="E676" s="30"/>
      <c r="F676" s="30"/>
      <c r="G676" s="30"/>
      <c r="H676" s="30"/>
      <c r="I676" s="30"/>
      <c r="J676" s="30">
        <f>IFERROR(__xludf.DUMMYFUNCTION("""COMPUTED_VALUE"""),-11.059343513011441)</f>
        <v>-11.05934351</v>
      </c>
      <c r="K676" s="30"/>
      <c r="L676" s="30"/>
      <c r="M676" s="30"/>
      <c r="N676" s="30"/>
      <c r="O676" s="30">
        <f>IFERROR(__xludf.DUMMYFUNCTION("""COMPUTED_VALUE"""),-2.630874715592867)</f>
        <v>-2.630874716</v>
      </c>
      <c r="P676" s="30">
        <f>IFERROR(__xludf.DUMMYFUNCTION("""COMPUTED_VALUE"""),4.463999088063446)</f>
        <v>4.463999088</v>
      </c>
      <c r="Q676" s="30"/>
      <c r="R676" s="30"/>
      <c r="S676" s="30"/>
      <c r="T676" s="30"/>
      <c r="U676" s="30">
        <v>0.0</v>
      </c>
      <c r="V676" s="30"/>
      <c r="W676" s="30"/>
      <c r="X676" s="30"/>
      <c r="Y676" s="5">
        <f>IFERROR(__xludf.DUMMYFUNCTION("""COMPUTED_VALUE"""),81.0)</f>
        <v>81</v>
      </c>
      <c r="Z676" s="5">
        <f>IFERROR(__xludf.DUMMYFUNCTION("""COMPUTED_VALUE"""),81.0)</f>
        <v>81</v>
      </c>
    </row>
    <row r="677">
      <c r="A677" s="30" t="s">
        <v>2104</v>
      </c>
      <c r="B677" s="30">
        <f>IFERROR(__xludf.DUMMYFUNCTION("""COMPUTED_VALUE"""),81.0)</f>
        <v>81</v>
      </c>
      <c r="C677" s="30"/>
      <c r="D677" s="30"/>
      <c r="E677" s="30"/>
      <c r="F677" s="30"/>
      <c r="G677" s="30"/>
      <c r="H677" s="30"/>
      <c r="I677" s="30"/>
      <c r="J677" s="30">
        <f>IFERROR(__xludf.DUMMYFUNCTION("""COMPUTED_VALUE"""),-11.059343513011441)</f>
        <v>-11.05934351</v>
      </c>
      <c r="K677" s="30"/>
      <c r="L677" s="30"/>
      <c r="M677" s="30"/>
      <c r="N677" s="30"/>
      <c r="O677" s="30">
        <f>IFERROR(__xludf.DUMMYFUNCTION("""COMPUTED_VALUE"""),-2.630874715592867)</f>
        <v>-2.630874716</v>
      </c>
      <c r="P677" s="30">
        <f>IFERROR(__xludf.DUMMYFUNCTION("""COMPUTED_VALUE"""),4.463999088063446)</f>
        <v>4.463999088</v>
      </c>
      <c r="Q677" s="30"/>
      <c r="R677" s="30"/>
      <c r="S677" s="30"/>
      <c r="T677" s="30"/>
      <c r="U677" s="30">
        <v>0.0</v>
      </c>
      <c r="V677" s="30"/>
      <c r="W677" s="30"/>
      <c r="X677" s="30"/>
      <c r="Y677" s="5">
        <f>IFERROR(__xludf.DUMMYFUNCTION("""COMPUTED_VALUE"""),81.0)</f>
        <v>81</v>
      </c>
      <c r="Z677" s="5">
        <f>IFERROR(__xludf.DUMMYFUNCTION("""COMPUTED_VALUE"""),81.0)</f>
        <v>81</v>
      </c>
    </row>
    <row r="678">
      <c r="A678" s="30" t="s">
        <v>2424</v>
      </c>
      <c r="B678" s="30">
        <f>IFERROR(__xludf.DUMMYFUNCTION("""COMPUTED_VALUE"""),81.5)</f>
        <v>81.5</v>
      </c>
      <c r="C678" s="30"/>
      <c r="D678" s="30"/>
      <c r="E678" s="30"/>
      <c r="F678" s="30"/>
      <c r="G678" s="30"/>
      <c r="H678" s="30"/>
      <c r="I678" s="30"/>
      <c r="J678" s="30">
        <f>IFERROR(__xludf.DUMMYFUNCTION("""COMPUTED_VALUE"""),-11.059343513011441)</f>
        <v>-11.05934351</v>
      </c>
      <c r="K678" s="30"/>
      <c r="L678" s="30"/>
      <c r="M678" s="30"/>
      <c r="N678" s="30"/>
      <c r="O678" s="30">
        <f>IFERROR(__xludf.DUMMYFUNCTION("""COMPUTED_VALUE"""),-2.630874715592867)</f>
        <v>-2.630874716</v>
      </c>
      <c r="P678" s="30">
        <f>IFERROR(__xludf.DUMMYFUNCTION("""COMPUTED_VALUE"""),4.463999088063446)</f>
        <v>4.463999088</v>
      </c>
      <c r="Q678" s="30"/>
      <c r="R678" s="30"/>
      <c r="S678" s="30"/>
      <c r="T678" s="30"/>
      <c r="U678" s="30">
        <v>0.0</v>
      </c>
      <c r="V678" s="30"/>
      <c r="W678" s="30"/>
      <c r="X678" s="30"/>
      <c r="Y678" s="5">
        <f>IFERROR(__xludf.DUMMYFUNCTION("""COMPUTED_VALUE"""),80.0)</f>
        <v>80</v>
      </c>
      <c r="Z678" s="5">
        <f>IFERROR(__xludf.DUMMYFUNCTION("""COMPUTED_VALUE"""),83.0)</f>
        <v>83</v>
      </c>
    </row>
    <row r="679">
      <c r="A679" s="30" t="s">
        <v>2427</v>
      </c>
      <c r="B679" s="30">
        <f>IFERROR(__xludf.DUMMYFUNCTION("""COMPUTED_VALUE"""),82.5)</f>
        <v>82.5</v>
      </c>
      <c r="C679" s="30"/>
      <c r="D679" s="30"/>
      <c r="E679" s="30"/>
      <c r="F679" s="30"/>
      <c r="G679" s="30"/>
      <c r="H679" s="30"/>
      <c r="I679" s="30"/>
      <c r="J679" s="30">
        <f>IFERROR(__xludf.DUMMYFUNCTION("""COMPUTED_VALUE"""),-11.059343513011441)</f>
        <v>-11.05934351</v>
      </c>
      <c r="K679" s="30"/>
      <c r="L679" s="30"/>
      <c r="M679" s="30"/>
      <c r="N679" s="30"/>
      <c r="O679" s="30">
        <f>IFERROR(__xludf.DUMMYFUNCTION("""COMPUTED_VALUE"""),-2.630874715592867)</f>
        <v>-2.630874716</v>
      </c>
      <c r="P679" s="30">
        <f>IFERROR(__xludf.DUMMYFUNCTION("""COMPUTED_VALUE"""),4.463999088063446)</f>
        <v>4.463999088</v>
      </c>
      <c r="Q679" s="30"/>
      <c r="R679" s="30"/>
      <c r="S679" s="30"/>
      <c r="T679" s="30"/>
      <c r="U679" s="30">
        <v>0.0</v>
      </c>
      <c r="V679" s="30"/>
      <c r="W679" s="30"/>
      <c r="X679" s="30"/>
      <c r="Y679" s="5">
        <f>IFERROR(__xludf.DUMMYFUNCTION("""COMPUTED_VALUE"""),81.0)</f>
        <v>81</v>
      </c>
      <c r="Z679" s="5">
        <f>IFERROR(__xludf.DUMMYFUNCTION("""COMPUTED_VALUE"""),84.0)</f>
        <v>84</v>
      </c>
    </row>
    <row r="680">
      <c r="A680" s="30" t="s">
        <v>2429</v>
      </c>
      <c r="B680" s="30">
        <f>IFERROR(__xludf.DUMMYFUNCTION("""COMPUTED_VALUE"""),84.0)</f>
        <v>84</v>
      </c>
      <c r="C680" s="30"/>
      <c r="D680" s="30"/>
      <c r="E680" s="30"/>
      <c r="F680" s="30"/>
      <c r="G680" s="30"/>
      <c r="H680" s="30"/>
      <c r="I680" s="30"/>
      <c r="J680" s="30">
        <f>IFERROR(__xludf.DUMMYFUNCTION("""COMPUTED_VALUE"""),-11.059343513011441)</f>
        <v>-11.05934351</v>
      </c>
      <c r="K680" s="30"/>
      <c r="L680" s="30"/>
      <c r="M680" s="30"/>
      <c r="N680" s="30"/>
      <c r="O680" s="30">
        <f>IFERROR(__xludf.DUMMYFUNCTION("""COMPUTED_VALUE"""),-2.630874715592867)</f>
        <v>-2.630874716</v>
      </c>
      <c r="P680" s="30">
        <f>IFERROR(__xludf.DUMMYFUNCTION("""COMPUTED_VALUE"""),4.463999088063446)</f>
        <v>4.463999088</v>
      </c>
      <c r="Q680" s="30"/>
      <c r="R680" s="30"/>
      <c r="S680" s="30"/>
      <c r="T680" s="30"/>
      <c r="U680" s="30">
        <v>0.0</v>
      </c>
      <c r="V680" s="30"/>
      <c r="W680" s="30"/>
      <c r="X680" s="30"/>
      <c r="Y680" s="5">
        <f>IFERROR(__xludf.DUMMYFUNCTION("""COMPUTED_VALUE"""),84.0)</f>
        <v>84</v>
      </c>
      <c r="Z680" s="5">
        <f>IFERROR(__xludf.DUMMYFUNCTION("""COMPUTED_VALUE"""),84.0)</f>
        <v>84</v>
      </c>
    </row>
    <row r="681">
      <c r="A681" s="30" t="s">
        <v>2430</v>
      </c>
      <c r="B681" s="30">
        <f>IFERROR(__xludf.DUMMYFUNCTION("""COMPUTED_VALUE"""),82.0)</f>
        <v>82</v>
      </c>
      <c r="C681" s="30"/>
      <c r="D681" s="30"/>
      <c r="E681" s="30"/>
      <c r="F681" s="30"/>
      <c r="G681" s="30"/>
      <c r="H681" s="30"/>
      <c r="I681" s="30"/>
      <c r="J681" s="30">
        <f>IFERROR(__xludf.DUMMYFUNCTION("""COMPUTED_VALUE"""),-11.059343513011441)</f>
        <v>-11.05934351</v>
      </c>
      <c r="K681" s="30"/>
      <c r="L681" s="30"/>
      <c r="M681" s="30"/>
      <c r="N681" s="30"/>
      <c r="O681" s="30">
        <f>IFERROR(__xludf.DUMMYFUNCTION("""COMPUTED_VALUE"""),-2.630874715592867)</f>
        <v>-2.630874716</v>
      </c>
      <c r="P681" s="30">
        <f>IFERROR(__xludf.DUMMYFUNCTION("""COMPUTED_VALUE"""),4.463999088063446)</f>
        <v>4.463999088</v>
      </c>
      <c r="Q681" s="30"/>
      <c r="R681" s="30"/>
      <c r="S681" s="30"/>
      <c r="T681" s="30"/>
      <c r="U681" s="30">
        <v>0.0</v>
      </c>
      <c r="V681" s="30"/>
      <c r="W681" s="30"/>
      <c r="X681" s="30"/>
      <c r="Y681" s="5">
        <f>IFERROR(__xludf.DUMMYFUNCTION("""COMPUTED_VALUE"""),82.0)</f>
        <v>82</v>
      </c>
      <c r="Z681" s="5">
        <f>IFERROR(__xludf.DUMMYFUNCTION("""COMPUTED_VALUE"""),82.0)</f>
        <v>82</v>
      </c>
    </row>
    <row r="682">
      <c r="A682" s="30" t="s">
        <v>1453</v>
      </c>
      <c r="B682" s="30">
        <f>IFERROR(__xludf.DUMMYFUNCTION("""COMPUTED_VALUE"""),82.5)</f>
        <v>82.5</v>
      </c>
      <c r="C682" s="30"/>
      <c r="D682" s="30"/>
      <c r="E682" s="30"/>
      <c r="F682" s="30"/>
      <c r="G682" s="30"/>
      <c r="H682" s="30"/>
      <c r="I682" s="30"/>
      <c r="J682" s="30">
        <f>IFERROR(__xludf.DUMMYFUNCTION("""COMPUTED_VALUE"""),-11.059343513011441)</f>
        <v>-11.05934351</v>
      </c>
      <c r="K682" s="30"/>
      <c r="L682" s="30"/>
      <c r="M682" s="30"/>
      <c r="N682" s="30"/>
      <c r="O682" s="30">
        <f>IFERROR(__xludf.DUMMYFUNCTION("""COMPUTED_VALUE"""),-2.630874715592867)</f>
        <v>-2.630874716</v>
      </c>
      <c r="P682" s="30">
        <f>IFERROR(__xludf.DUMMYFUNCTION("""COMPUTED_VALUE"""),4.463999088063446)</f>
        <v>4.463999088</v>
      </c>
      <c r="Q682" s="30"/>
      <c r="R682" s="30"/>
      <c r="S682" s="30"/>
      <c r="T682" s="30"/>
      <c r="U682" s="30">
        <v>0.0</v>
      </c>
      <c r="V682" s="30"/>
      <c r="W682" s="30"/>
      <c r="X682" s="30"/>
      <c r="Y682" s="5">
        <f>IFERROR(__xludf.DUMMYFUNCTION("""COMPUTED_VALUE"""),81.0)</f>
        <v>81</v>
      </c>
      <c r="Z682" s="5">
        <f>IFERROR(__xludf.DUMMYFUNCTION("""COMPUTED_VALUE"""),84.0)</f>
        <v>84</v>
      </c>
    </row>
    <row r="683">
      <c r="A683" s="30" t="s">
        <v>2433</v>
      </c>
      <c r="B683" s="30">
        <f>IFERROR(__xludf.DUMMYFUNCTION("""COMPUTED_VALUE"""),80.0)</f>
        <v>80</v>
      </c>
      <c r="C683" s="30"/>
      <c r="D683" s="30"/>
      <c r="E683" s="30"/>
      <c r="F683" s="30"/>
      <c r="G683" s="30"/>
      <c r="H683" s="30"/>
      <c r="I683" s="30"/>
      <c r="J683" s="30">
        <f>IFERROR(__xludf.DUMMYFUNCTION("""COMPUTED_VALUE"""),-11.059343513011441)</f>
        <v>-11.05934351</v>
      </c>
      <c r="K683" s="30"/>
      <c r="L683" s="30"/>
      <c r="M683" s="30"/>
      <c r="N683" s="30"/>
      <c r="O683" s="30">
        <f>IFERROR(__xludf.DUMMYFUNCTION("""COMPUTED_VALUE"""),-2.630874715592867)</f>
        <v>-2.630874716</v>
      </c>
      <c r="P683" s="30">
        <f>IFERROR(__xludf.DUMMYFUNCTION("""COMPUTED_VALUE"""),4.463999088063446)</f>
        <v>4.463999088</v>
      </c>
      <c r="Q683" s="30"/>
      <c r="R683" s="30"/>
      <c r="S683" s="30"/>
      <c r="T683" s="30"/>
      <c r="U683" s="30">
        <v>0.0</v>
      </c>
      <c r="V683" s="30"/>
      <c r="W683" s="30"/>
      <c r="X683" s="30"/>
      <c r="Y683" s="5">
        <f>IFERROR(__xludf.DUMMYFUNCTION("""COMPUTED_VALUE"""),80.0)</f>
        <v>80</v>
      </c>
      <c r="Z683" s="5">
        <f>IFERROR(__xludf.DUMMYFUNCTION("""COMPUTED_VALUE"""),80.0)</f>
        <v>80</v>
      </c>
    </row>
    <row r="684">
      <c r="A684" s="30" t="s">
        <v>2436</v>
      </c>
      <c r="B684" s="30">
        <f>IFERROR(__xludf.DUMMYFUNCTION("""COMPUTED_VALUE"""),83.0)</f>
        <v>83</v>
      </c>
      <c r="C684" s="30"/>
      <c r="D684" s="30"/>
      <c r="E684" s="30"/>
      <c r="F684" s="30"/>
      <c r="G684" s="30"/>
      <c r="H684" s="30"/>
      <c r="I684" s="30"/>
      <c r="J684" s="30">
        <f>IFERROR(__xludf.DUMMYFUNCTION("""COMPUTED_VALUE"""),-11.059343513011441)</f>
        <v>-11.05934351</v>
      </c>
      <c r="K684" s="30"/>
      <c r="L684" s="30"/>
      <c r="M684" s="30"/>
      <c r="N684" s="30"/>
      <c r="O684" s="30">
        <f>IFERROR(__xludf.DUMMYFUNCTION("""COMPUTED_VALUE"""),-2.630874715592867)</f>
        <v>-2.630874716</v>
      </c>
      <c r="P684" s="30">
        <f>IFERROR(__xludf.DUMMYFUNCTION("""COMPUTED_VALUE"""),4.463999088063446)</f>
        <v>4.463999088</v>
      </c>
      <c r="Q684" s="30"/>
      <c r="R684" s="30"/>
      <c r="S684" s="30"/>
      <c r="T684" s="30"/>
      <c r="U684" s="30">
        <v>0.0</v>
      </c>
      <c r="V684" s="30"/>
      <c r="W684" s="30"/>
      <c r="X684" s="30"/>
      <c r="Y684" s="5">
        <f>IFERROR(__xludf.DUMMYFUNCTION("""COMPUTED_VALUE"""),83.0)</f>
        <v>83</v>
      </c>
      <c r="Z684" s="5">
        <f>IFERROR(__xludf.DUMMYFUNCTION("""COMPUTED_VALUE"""),83.0)</f>
        <v>83</v>
      </c>
    </row>
    <row r="685">
      <c r="A685" s="30" t="s">
        <v>2437</v>
      </c>
      <c r="B685" s="30">
        <f>IFERROR(__xludf.DUMMYFUNCTION("""COMPUTED_VALUE"""),81.0)</f>
        <v>81</v>
      </c>
      <c r="C685" s="30"/>
      <c r="D685" s="30"/>
      <c r="E685" s="30"/>
      <c r="F685" s="30"/>
      <c r="G685" s="30"/>
      <c r="H685" s="30"/>
      <c r="I685" s="30"/>
      <c r="J685" s="30">
        <f>IFERROR(__xludf.DUMMYFUNCTION("""COMPUTED_VALUE"""),-11.059343513011441)</f>
        <v>-11.05934351</v>
      </c>
      <c r="K685" s="30"/>
      <c r="L685" s="30"/>
      <c r="M685" s="30"/>
      <c r="N685" s="30"/>
      <c r="O685" s="30">
        <f>IFERROR(__xludf.DUMMYFUNCTION("""COMPUTED_VALUE"""),-2.630874715592867)</f>
        <v>-2.630874716</v>
      </c>
      <c r="P685" s="30">
        <f>IFERROR(__xludf.DUMMYFUNCTION("""COMPUTED_VALUE"""),4.463999088063446)</f>
        <v>4.463999088</v>
      </c>
      <c r="Q685" s="30"/>
      <c r="R685" s="30"/>
      <c r="S685" s="30"/>
      <c r="T685" s="30"/>
      <c r="U685" s="30">
        <v>0.0</v>
      </c>
      <c r="V685" s="30"/>
      <c r="W685" s="30"/>
      <c r="X685" s="30"/>
      <c r="Y685" s="5">
        <f>IFERROR(__xludf.DUMMYFUNCTION("""COMPUTED_VALUE"""),81.0)</f>
        <v>81</v>
      </c>
      <c r="Z685" s="5">
        <f>IFERROR(__xludf.DUMMYFUNCTION("""COMPUTED_VALUE"""),81.0)</f>
        <v>81</v>
      </c>
    </row>
    <row r="686">
      <c r="A686" s="30" t="s">
        <v>2438</v>
      </c>
      <c r="B686" s="30">
        <f>IFERROR(__xludf.DUMMYFUNCTION("""COMPUTED_VALUE"""),83.0)</f>
        <v>83</v>
      </c>
      <c r="C686" s="30"/>
      <c r="D686" s="30"/>
      <c r="E686" s="30"/>
      <c r="F686" s="30"/>
      <c r="G686" s="30"/>
      <c r="H686" s="30"/>
      <c r="I686" s="30"/>
      <c r="J686" s="30">
        <f>IFERROR(__xludf.DUMMYFUNCTION("""COMPUTED_VALUE"""),-11.059343513011441)</f>
        <v>-11.05934351</v>
      </c>
      <c r="K686" s="30"/>
      <c r="L686" s="30"/>
      <c r="M686" s="30"/>
      <c r="N686" s="30"/>
      <c r="O686" s="30">
        <f>IFERROR(__xludf.DUMMYFUNCTION("""COMPUTED_VALUE"""),-2.630874715592867)</f>
        <v>-2.630874716</v>
      </c>
      <c r="P686" s="30">
        <f>IFERROR(__xludf.DUMMYFUNCTION("""COMPUTED_VALUE"""),4.463999088063446)</f>
        <v>4.463999088</v>
      </c>
      <c r="Q686" s="30"/>
      <c r="R686" s="30"/>
      <c r="S686" s="30"/>
      <c r="T686" s="30"/>
      <c r="U686" s="30">
        <v>0.0</v>
      </c>
      <c r="V686" s="30"/>
      <c r="W686" s="30"/>
      <c r="X686" s="30"/>
      <c r="Y686" s="5">
        <f>IFERROR(__xludf.DUMMYFUNCTION("""COMPUTED_VALUE"""),83.0)</f>
        <v>83</v>
      </c>
      <c r="Z686" s="5">
        <f>IFERROR(__xludf.DUMMYFUNCTION("""COMPUTED_VALUE"""),83.0)</f>
        <v>83</v>
      </c>
    </row>
    <row r="687">
      <c r="A687" s="30" t="s">
        <v>2439</v>
      </c>
      <c r="B687" s="30">
        <f>IFERROR(__xludf.DUMMYFUNCTION("""COMPUTED_VALUE"""),82.5)</f>
        <v>82.5</v>
      </c>
      <c r="C687" s="30"/>
      <c r="D687" s="30"/>
      <c r="E687" s="30"/>
      <c r="F687" s="30"/>
      <c r="G687" s="30"/>
      <c r="H687" s="30"/>
      <c r="I687" s="30"/>
      <c r="J687" s="30">
        <f>IFERROR(__xludf.DUMMYFUNCTION("""COMPUTED_VALUE"""),-11.059343513011441)</f>
        <v>-11.05934351</v>
      </c>
      <c r="K687" s="30"/>
      <c r="L687" s="30"/>
      <c r="M687" s="30"/>
      <c r="N687" s="30"/>
      <c r="O687" s="30">
        <f>IFERROR(__xludf.DUMMYFUNCTION("""COMPUTED_VALUE"""),-2.630874715592867)</f>
        <v>-2.630874716</v>
      </c>
      <c r="P687" s="30">
        <f>IFERROR(__xludf.DUMMYFUNCTION("""COMPUTED_VALUE"""),4.463999088063446)</f>
        <v>4.463999088</v>
      </c>
      <c r="Q687" s="30"/>
      <c r="R687" s="30"/>
      <c r="S687" s="30"/>
      <c r="T687" s="30"/>
      <c r="U687" s="30">
        <v>0.0</v>
      </c>
      <c r="V687" s="30"/>
      <c r="W687" s="30"/>
      <c r="X687" s="30"/>
      <c r="Y687" s="5">
        <f>IFERROR(__xludf.DUMMYFUNCTION("""COMPUTED_VALUE"""),81.0)</f>
        <v>81</v>
      </c>
      <c r="Z687" s="5">
        <f>IFERROR(__xludf.DUMMYFUNCTION("""COMPUTED_VALUE"""),84.0)</f>
        <v>84</v>
      </c>
    </row>
    <row r="688">
      <c r="A688" s="30" t="s">
        <v>2444</v>
      </c>
      <c r="B688" s="30">
        <f>IFERROR(__xludf.DUMMYFUNCTION("""COMPUTED_VALUE"""),80.5)</f>
        <v>80.5</v>
      </c>
      <c r="C688" s="30"/>
      <c r="D688" s="30"/>
      <c r="E688" s="30"/>
      <c r="F688" s="30"/>
      <c r="G688" s="30"/>
      <c r="H688" s="30"/>
      <c r="I688" s="30"/>
      <c r="J688" s="30">
        <f>IFERROR(__xludf.DUMMYFUNCTION("""COMPUTED_VALUE"""),-11.059343513011441)</f>
        <v>-11.05934351</v>
      </c>
      <c r="K688" s="30"/>
      <c r="L688" s="30"/>
      <c r="M688" s="30"/>
      <c r="N688" s="30"/>
      <c r="O688" s="30">
        <f>IFERROR(__xludf.DUMMYFUNCTION("""COMPUTED_VALUE"""),-2.630874715592867)</f>
        <v>-2.630874716</v>
      </c>
      <c r="P688" s="30">
        <f>IFERROR(__xludf.DUMMYFUNCTION("""COMPUTED_VALUE"""),4.463999088063446)</f>
        <v>4.463999088</v>
      </c>
      <c r="Q688" s="30"/>
      <c r="R688" s="30"/>
      <c r="S688" s="30"/>
      <c r="T688" s="30"/>
      <c r="U688" s="30">
        <v>0.0</v>
      </c>
      <c r="V688" s="30"/>
      <c r="W688" s="30"/>
      <c r="X688" s="30"/>
      <c r="Y688" s="5">
        <f>IFERROR(__xludf.DUMMYFUNCTION("""COMPUTED_VALUE"""),79.0)</f>
        <v>79</v>
      </c>
      <c r="Z688" s="5">
        <f>IFERROR(__xludf.DUMMYFUNCTION("""COMPUTED_VALUE"""),82.0)</f>
        <v>82</v>
      </c>
    </row>
    <row r="689">
      <c r="A689" s="30" t="s">
        <v>2448</v>
      </c>
      <c r="B689" s="30">
        <f>IFERROR(__xludf.DUMMYFUNCTION("""COMPUTED_VALUE"""),82.0)</f>
        <v>82</v>
      </c>
      <c r="C689" s="30"/>
      <c r="D689" s="30"/>
      <c r="E689" s="30"/>
      <c r="F689" s="30"/>
      <c r="G689" s="30"/>
      <c r="H689" s="30"/>
      <c r="I689" s="30"/>
      <c r="J689" s="30">
        <f>IFERROR(__xludf.DUMMYFUNCTION("""COMPUTED_VALUE"""),-11.059343513011441)</f>
        <v>-11.05934351</v>
      </c>
      <c r="K689" s="30"/>
      <c r="L689" s="30"/>
      <c r="M689" s="30"/>
      <c r="N689" s="30"/>
      <c r="O689" s="30">
        <f>IFERROR(__xludf.DUMMYFUNCTION("""COMPUTED_VALUE"""),-2.630874715592867)</f>
        <v>-2.630874716</v>
      </c>
      <c r="P689" s="30">
        <f>IFERROR(__xludf.DUMMYFUNCTION("""COMPUTED_VALUE"""),4.463999088063446)</f>
        <v>4.463999088</v>
      </c>
      <c r="Q689" s="30"/>
      <c r="R689" s="30"/>
      <c r="S689" s="30"/>
      <c r="T689" s="30"/>
      <c r="U689" s="30">
        <v>0.0</v>
      </c>
      <c r="V689" s="30"/>
      <c r="W689" s="30"/>
      <c r="X689" s="30"/>
      <c r="Y689" s="5">
        <f>IFERROR(__xludf.DUMMYFUNCTION("""COMPUTED_VALUE"""),80.0)</f>
        <v>80</v>
      </c>
      <c r="Z689" s="5">
        <f>IFERROR(__xludf.DUMMYFUNCTION("""COMPUTED_VALUE"""),84.0)</f>
        <v>84</v>
      </c>
    </row>
    <row r="690">
      <c r="A690" s="30" t="s">
        <v>2451</v>
      </c>
      <c r="B690" s="30">
        <f>IFERROR(__xludf.DUMMYFUNCTION("""COMPUTED_VALUE"""),79.0)</f>
        <v>79</v>
      </c>
      <c r="C690" s="30"/>
      <c r="D690" s="30"/>
      <c r="E690" s="30"/>
      <c r="F690" s="30"/>
      <c r="G690" s="30"/>
      <c r="H690" s="30"/>
      <c r="I690" s="30"/>
      <c r="J690" s="30">
        <f>IFERROR(__xludf.DUMMYFUNCTION("""COMPUTED_VALUE"""),-11.059343513011441)</f>
        <v>-11.05934351</v>
      </c>
      <c r="K690" s="30"/>
      <c r="L690" s="30"/>
      <c r="M690" s="30"/>
      <c r="N690" s="30"/>
      <c r="O690" s="30">
        <f>IFERROR(__xludf.DUMMYFUNCTION("""COMPUTED_VALUE"""),-2.630874715592867)</f>
        <v>-2.630874716</v>
      </c>
      <c r="P690" s="30">
        <f>IFERROR(__xludf.DUMMYFUNCTION("""COMPUTED_VALUE"""),4.463999088063446)</f>
        <v>4.463999088</v>
      </c>
      <c r="Q690" s="30"/>
      <c r="R690" s="30"/>
      <c r="S690" s="30"/>
      <c r="T690" s="30"/>
      <c r="U690" s="30">
        <v>0.0</v>
      </c>
      <c r="V690" s="30"/>
      <c r="W690" s="30"/>
      <c r="X690" s="30"/>
      <c r="Y690" s="5">
        <f>IFERROR(__xludf.DUMMYFUNCTION("""COMPUTED_VALUE"""),78.0)</f>
        <v>78</v>
      </c>
      <c r="Z690" s="5">
        <f>IFERROR(__xludf.DUMMYFUNCTION("""COMPUTED_VALUE"""),80.0)</f>
        <v>80</v>
      </c>
    </row>
    <row r="691">
      <c r="A691" s="30" t="s">
        <v>2454</v>
      </c>
      <c r="B691" s="30">
        <f>IFERROR(__xludf.DUMMYFUNCTION("""COMPUTED_VALUE"""),83.0)</f>
        <v>83</v>
      </c>
      <c r="C691" s="30"/>
      <c r="D691" s="30"/>
      <c r="E691" s="30"/>
      <c r="F691" s="30"/>
      <c r="G691" s="30"/>
      <c r="H691" s="30"/>
      <c r="I691" s="30"/>
      <c r="J691" s="30">
        <f>IFERROR(__xludf.DUMMYFUNCTION("""COMPUTED_VALUE"""),-11.059343513011441)</f>
        <v>-11.05934351</v>
      </c>
      <c r="K691" s="30"/>
      <c r="L691" s="30"/>
      <c r="M691" s="30"/>
      <c r="N691" s="30"/>
      <c r="O691" s="30">
        <f>IFERROR(__xludf.DUMMYFUNCTION("""COMPUTED_VALUE"""),-2.630874715592867)</f>
        <v>-2.630874716</v>
      </c>
      <c r="P691" s="30">
        <f>IFERROR(__xludf.DUMMYFUNCTION("""COMPUTED_VALUE"""),4.463999088063446)</f>
        <v>4.463999088</v>
      </c>
      <c r="Q691" s="30"/>
      <c r="R691" s="30"/>
      <c r="S691" s="30"/>
      <c r="T691" s="30"/>
      <c r="U691" s="30">
        <v>0.0</v>
      </c>
      <c r="V691" s="30"/>
      <c r="W691" s="30"/>
      <c r="X691" s="30"/>
      <c r="Y691" s="5">
        <f>IFERROR(__xludf.DUMMYFUNCTION("""COMPUTED_VALUE"""),83.0)</f>
        <v>83</v>
      </c>
      <c r="Z691" s="5">
        <f>IFERROR(__xludf.DUMMYFUNCTION("""COMPUTED_VALUE"""),83.0)</f>
        <v>83</v>
      </c>
    </row>
    <row r="692">
      <c r="A692" s="30" t="s">
        <v>2455</v>
      </c>
      <c r="B692" s="30">
        <f>IFERROR(__xludf.DUMMYFUNCTION("""COMPUTED_VALUE"""),83.0)</f>
        <v>83</v>
      </c>
      <c r="C692" s="30"/>
      <c r="D692" s="30"/>
      <c r="E692" s="30"/>
      <c r="F692" s="30"/>
      <c r="G692" s="30"/>
      <c r="H692" s="30"/>
      <c r="I692" s="30"/>
      <c r="J692" s="30">
        <f>IFERROR(__xludf.DUMMYFUNCTION("""COMPUTED_VALUE"""),-11.059343513011441)</f>
        <v>-11.05934351</v>
      </c>
      <c r="K692" s="30"/>
      <c r="L692" s="30"/>
      <c r="M692" s="30"/>
      <c r="N692" s="30"/>
      <c r="O692" s="30">
        <f>IFERROR(__xludf.DUMMYFUNCTION("""COMPUTED_VALUE"""),-2.630874715592867)</f>
        <v>-2.630874716</v>
      </c>
      <c r="P692" s="30">
        <f>IFERROR(__xludf.DUMMYFUNCTION("""COMPUTED_VALUE"""),4.463999088063446)</f>
        <v>4.463999088</v>
      </c>
      <c r="Q692" s="30"/>
      <c r="R692" s="30"/>
      <c r="S692" s="30"/>
      <c r="T692" s="30"/>
      <c r="U692" s="30">
        <v>0.0</v>
      </c>
      <c r="V692" s="30"/>
      <c r="W692" s="30"/>
      <c r="X692" s="30"/>
      <c r="Y692" s="5">
        <f>IFERROR(__xludf.DUMMYFUNCTION("""COMPUTED_VALUE"""),83.0)</f>
        <v>83</v>
      </c>
      <c r="Z692" s="5">
        <f>IFERROR(__xludf.DUMMYFUNCTION("""COMPUTED_VALUE"""),83.0)</f>
        <v>83</v>
      </c>
    </row>
    <row r="693">
      <c r="A693" s="30" t="s">
        <v>2456</v>
      </c>
      <c r="B693" s="30">
        <f>IFERROR(__xludf.DUMMYFUNCTION("""COMPUTED_VALUE"""),82.0)</f>
        <v>82</v>
      </c>
      <c r="C693" s="30"/>
      <c r="D693" s="30"/>
      <c r="E693" s="30"/>
      <c r="F693" s="30"/>
      <c r="G693" s="30"/>
      <c r="H693" s="30"/>
      <c r="I693" s="30"/>
      <c r="J693" s="30">
        <f>IFERROR(__xludf.DUMMYFUNCTION("""COMPUTED_VALUE"""),-11.059343513011441)</f>
        <v>-11.05934351</v>
      </c>
      <c r="K693" s="30"/>
      <c r="L693" s="30"/>
      <c r="M693" s="30"/>
      <c r="N693" s="30"/>
      <c r="O693" s="30">
        <f>IFERROR(__xludf.DUMMYFUNCTION("""COMPUTED_VALUE"""),-2.630874715592867)</f>
        <v>-2.630874716</v>
      </c>
      <c r="P693" s="30">
        <f>IFERROR(__xludf.DUMMYFUNCTION("""COMPUTED_VALUE"""),4.463999088063446)</f>
        <v>4.463999088</v>
      </c>
      <c r="Q693" s="30"/>
      <c r="R693" s="30"/>
      <c r="S693" s="30"/>
      <c r="T693" s="30"/>
      <c r="U693" s="30">
        <v>0.0</v>
      </c>
      <c r="V693" s="30"/>
      <c r="W693" s="30"/>
      <c r="X693" s="30"/>
      <c r="Y693" s="5">
        <f>IFERROR(__xludf.DUMMYFUNCTION("""COMPUTED_VALUE"""),82.0)</f>
        <v>82</v>
      </c>
      <c r="Z693" s="5">
        <f>IFERROR(__xludf.DUMMYFUNCTION("""COMPUTED_VALUE"""),82.0)</f>
        <v>82</v>
      </c>
    </row>
    <row r="694">
      <c r="A694" s="30" t="s">
        <v>2457</v>
      </c>
      <c r="B694" s="30">
        <f>IFERROR(__xludf.DUMMYFUNCTION("""COMPUTED_VALUE"""),80.0)</f>
        <v>80</v>
      </c>
      <c r="C694" s="30"/>
      <c r="D694" s="30"/>
      <c r="E694" s="30"/>
      <c r="F694" s="30"/>
      <c r="G694" s="30"/>
      <c r="H694" s="30"/>
      <c r="I694" s="30"/>
      <c r="J694" s="30">
        <f>IFERROR(__xludf.DUMMYFUNCTION("""COMPUTED_VALUE"""),-11.059343513011441)</f>
        <v>-11.05934351</v>
      </c>
      <c r="K694" s="30"/>
      <c r="L694" s="30"/>
      <c r="M694" s="30"/>
      <c r="N694" s="30"/>
      <c r="O694" s="30">
        <f>IFERROR(__xludf.DUMMYFUNCTION("""COMPUTED_VALUE"""),-2.630874715592867)</f>
        <v>-2.630874716</v>
      </c>
      <c r="P694" s="30">
        <f>IFERROR(__xludf.DUMMYFUNCTION("""COMPUTED_VALUE"""),4.463999088063446)</f>
        <v>4.463999088</v>
      </c>
      <c r="Q694" s="30"/>
      <c r="R694" s="30"/>
      <c r="S694" s="30"/>
      <c r="T694" s="30"/>
      <c r="U694" s="30">
        <v>0.0</v>
      </c>
      <c r="V694" s="30"/>
      <c r="W694" s="30"/>
      <c r="X694" s="30"/>
      <c r="Y694" s="5">
        <f>IFERROR(__xludf.DUMMYFUNCTION("""COMPUTED_VALUE"""),80.0)</f>
        <v>80</v>
      </c>
      <c r="Z694" s="5">
        <f>IFERROR(__xludf.DUMMYFUNCTION("""COMPUTED_VALUE"""),80.0)</f>
        <v>80</v>
      </c>
    </row>
    <row r="695">
      <c r="A695" s="30" t="s">
        <v>2458</v>
      </c>
      <c r="B695" s="30">
        <f>IFERROR(__xludf.DUMMYFUNCTION("""COMPUTED_VALUE"""),84.0)</f>
        <v>84</v>
      </c>
      <c r="C695" s="30"/>
      <c r="D695" s="30"/>
      <c r="E695" s="30"/>
      <c r="F695" s="30"/>
      <c r="G695" s="30"/>
      <c r="H695" s="30"/>
      <c r="I695" s="30"/>
      <c r="J695" s="30">
        <f>IFERROR(__xludf.DUMMYFUNCTION("""COMPUTED_VALUE"""),-11.059343513011441)</f>
        <v>-11.05934351</v>
      </c>
      <c r="K695" s="30"/>
      <c r="L695" s="30"/>
      <c r="M695" s="30"/>
      <c r="N695" s="30"/>
      <c r="O695" s="30">
        <f>IFERROR(__xludf.DUMMYFUNCTION("""COMPUTED_VALUE"""),-2.630874715592867)</f>
        <v>-2.630874716</v>
      </c>
      <c r="P695" s="30">
        <f>IFERROR(__xludf.DUMMYFUNCTION("""COMPUTED_VALUE"""),4.463999088063446)</f>
        <v>4.463999088</v>
      </c>
      <c r="Q695" s="30"/>
      <c r="R695" s="30"/>
      <c r="S695" s="30"/>
      <c r="T695" s="30"/>
      <c r="U695" s="30">
        <v>0.0</v>
      </c>
      <c r="V695" s="30"/>
      <c r="W695" s="30"/>
      <c r="X695" s="30"/>
      <c r="Y695" s="5">
        <f>IFERROR(__xludf.DUMMYFUNCTION("""COMPUTED_VALUE"""),84.0)</f>
        <v>84</v>
      </c>
      <c r="Z695" s="5">
        <f>IFERROR(__xludf.DUMMYFUNCTION("""COMPUTED_VALUE"""),84.0)</f>
        <v>84</v>
      </c>
    </row>
    <row r="696">
      <c r="A696" s="30" t="s">
        <v>2459</v>
      </c>
      <c r="B696" s="30">
        <f>IFERROR(__xludf.DUMMYFUNCTION("""COMPUTED_VALUE"""),81.0)</f>
        <v>81</v>
      </c>
      <c r="C696" s="30"/>
      <c r="D696" s="30"/>
      <c r="E696" s="30"/>
      <c r="F696" s="30"/>
      <c r="G696" s="30"/>
      <c r="H696" s="30"/>
      <c r="I696" s="30"/>
      <c r="J696" s="30">
        <f>IFERROR(__xludf.DUMMYFUNCTION("""COMPUTED_VALUE"""),-11.059343513011441)</f>
        <v>-11.05934351</v>
      </c>
      <c r="K696" s="30"/>
      <c r="L696" s="30"/>
      <c r="M696" s="30"/>
      <c r="N696" s="30"/>
      <c r="O696" s="30">
        <f>IFERROR(__xludf.DUMMYFUNCTION("""COMPUTED_VALUE"""),-2.630874715592867)</f>
        <v>-2.630874716</v>
      </c>
      <c r="P696" s="30">
        <f>IFERROR(__xludf.DUMMYFUNCTION("""COMPUTED_VALUE"""),4.463999088063446)</f>
        <v>4.463999088</v>
      </c>
      <c r="Q696" s="30"/>
      <c r="R696" s="30"/>
      <c r="S696" s="30"/>
      <c r="T696" s="30"/>
      <c r="U696" s="30">
        <v>0.0</v>
      </c>
      <c r="V696" s="30"/>
      <c r="W696" s="30"/>
      <c r="X696" s="30"/>
      <c r="Y696" s="5">
        <f>IFERROR(__xludf.DUMMYFUNCTION("""COMPUTED_VALUE"""),81.0)</f>
        <v>81</v>
      </c>
      <c r="Z696" s="5">
        <f>IFERROR(__xludf.DUMMYFUNCTION("""COMPUTED_VALUE"""),81.0)</f>
        <v>81</v>
      </c>
    </row>
    <row r="697">
      <c r="A697" s="30" t="s">
        <v>2460</v>
      </c>
      <c r="B697" s="30">
        <f>IFERROR(__xludf.DUMMYFUNCTION("""COMPUTED_VALUE"""),83.0)</f>
        <v>83</v>
      </c>
      <c r="C697" s="30"/>
      <c r="D697" s="30"/>
      <c r="E697" s="30"/>
      <c r="F697" s="30"/>
      <c r="G697" s="30"/>
      <c r="H697" s="30"/>
      <c r="I697" s="30"/>
      <c r="J697" s="30">
        <f>IFERROR(__xludf.DUMMYFUNCTION("""COMPUTED_VALUE"""),-11.059343513011441)</f>
        <v>-11.05934351</v>
      </c>
      <c r="K697" s="30"/>
      <c r="L697" s="30"/>
      <c r="M697" s="30"/>
      <c r="N697" s="30"/>
      <c r="O697" s="30">
        <f>IFERROR(__xludf.DUMMYFUNCTION("""COMPUTED_VALUE"""),-2.630874715592867)</f>
        <v>-2.630874716</v>
      </c>
      <c r="P697" s="30">
        <f>IFERROR(__xludf.DUMMYFUNCTION("""COMPUTED_VALUE"""),4.463999088063446)</f>
        <v>4.463999088</v>
      </c>
      <c r="Q697" s="30"/>
      <c r="R697" s="30"/>
      <c r="S697" s="30"/>
      <c r="T697" s="30"/>
      <c r="U697" s="30">
        <v>0.0</v>
      </c>
      <c r="V697" s="30"/>
      <c r="W697" s="30"/>
      <c r="X697" s="30"/>
      <c r="Y697" s="5">
        <f>IFERROR(__xludf.DUMMYFUNCTION("""COMPUTED_VALUE"""),83.0)</f>
        <v>83</v>
      </c>
      <c r="Z697" s="5">
        <f>IFERROR(__xludf.DUMMYFUNCTION("""COMPUTED_VALUE"""),83.0)</f>
        <v>83</v>
      </c>
    </row>
    <row r="698">
      <c r="A698" s="30" t="s">
        <v>2461</v>
      </c>
      <c r="B698" s="30">
        <f>IFERROR(__xludf.DUMMYFUNCTION("""COMPUTED_VALUE"""),81.0)</f>
        <v>81</v>
      </c>
      <c r="C698" s="30"/>
      <c r="D698" s="30"/>
      <c r="E698" s="30"/>
      <c r="F698" s="30"/>
      <c r="G698" s="30"/>
      <c r="H698" s="30"/>
      <c r="I698" s="30"/>
      <c r="J698" s="30">
        <f>IFERROR(__xludf.DUMMYFUNCTION("""COMPUTED_VALUE"""),-11.059343513011441)</f>
        <v>-11.05934351</v>
      </c>
      <c r="K698" s="30"/>
      <c r="L698" s="30"/>
      <c r="M698" s="30"/>
      <c r="N698" s="30"/>
      <c r="O698" s="30">
        <f>IFERROR(__xludf.DUMMYFUNCTION("""COMPUTED_VALUE"""),-2.630874715592867)</f>
        <v>-2.630874716</v>
      </c>
      <c r="P698" s="30">
        <f>IFERROR(__xludf.DUMMYFUNCTION("""COMPUTED_VALUE"""),4.463999088063446)</f>
        <v>4.463999088</v>
      </c>
      <c r="Q698" s="30"/>
      <c r="R698" s="30"/>
      <c r="S698" s="30"/>
      <c r="T698" s="30"/>
      <c r="U698" s="30">
        <v>0.0</v>
      </c>
      <c r="V698" s="30"/>
      <c r="W698" s="30"/>
      <c r="X698" s="30"/>
      <c r="Y698" s="5">
        <f>IFERROR(__xludf.DUMMYFUNCTION("""COMPUTED_VALUE"""),81.0)</f>
        <v>81</v>
      </c>
      <c r="Z698" s="5">
        <f>IFERROR(__xludf.DUMMYFUNCTION("""COMPUTED_VALUE"""),81.0)</f>
        <v>81</v>
      </c>
    </row>
    <row r="699">
      <c r="A699" s="30" t="s">
        <v>238</v>
      </c>
      <c r="B699" s="30">
        <f>IFERROR(__xludf.DUMMYFUNCTION("""COMPUTED_VALUE"""),84.0)</f>
        <v>84</v>
      </c>
      <c r="C699" s="30"/>
      <c r="D699" s="30"/>
      <c r="E699" s="30"/>
      <c r="F699" s="30"/>
      <c r="G699" s="30"/>
      <c r="H699" s="30"/>
      <c r="I699" s="30"/>
      <c r="J699" s="30">
        <f>IFERROR(__xludf.DUMMYFUNCTION("""COMPUTED_VALUE"""),-11.059343513011441)</f>
        <v>-11.05934351</v>
      </c>
      <c r="K699" s="30"/>
      <c r="L699" s="30"/>
      <c r="M699" s="30"/>
      <c r="N699" s="30"/>
      <c r="O699" s="30">
        <f>IFERROR(__xludf.DUMMYFUNCTION("""COMPUTED_VALUE"""),-2.630874715592867)</f>
        <v>-2.630874716</v>
      </c>
      <c r="P699" s="30">
        <f>IFERROR(__xludf.DUMMYFUNCTION("""COMPUTED_VALUE"""),4.463999088063446)</f>
        <v>4.463999088</v>
      </c>
      <c r="Q699" s="30"/>
      <c r="R699" s="30"/>
      <c r="S699" s="30"/>
      <c r="T699" s="30"/>
      <c r="U699" s="30">
        <v>0.0</v>
      </c>
      <c r="V699" s="30"/>
      <c r="W699" s="30"/>
      <c r="X699" s="30"/>
      <c r="Y699" s="5">
        <f>IFERROR(__xludf.DUMMYFUNCTION("""COMPUTED_VALUE"""),84.0)</f>
        <v>84</v>
      </c>
      <c r="Z699" s="5">
        <f>IFERROR(__xludf.DUMMYFUNCTION("""COMPUTED_VALUE"""),84.0)</f>
        <v>84</v>
      </c>
    </row>
    <row r="700">
      <c r="A700" s="30" t="s">
        <v>2464</v>
      </c>
      <c r="B700" s="30">
        <f>IFERROR(__xludf.DUMMYFUNCTION("""COMPUTED_VALUE"""),83.5)</f>
        <v>83.5</v>
      </c>
      <c r="C700" s="30"/>
      <c r="D700" s="30"/>
      <c r="E700" s="30"/>
      <c r="F700" s="30"/>
      <c r="G700" s="30"/>
      <c r="H700" s="30"/>
      <c r="I700" s="30"/>
      <c r="J700" s="30">
        <f>IFERROR(__xludf.DUMMYFUNCTION("""COMPUTED_VALUE"""),-11.059343513011441)</f>
        <v>-11.05934351</v>
      </c>
      <c r="K700" s="30"/>
      <c r="L700" s="30"/>
      <c r="M700" s="30"/>
      <c r="N700" s="30"/>
      <c r="O700" s="30">
        <f>IFERROR(__xludf.DUMMYFUNCTION("""COMPUTED_VALUE"""),-2.630874715592867)</f>
        <v>-2.630874716</v>
      </c>
      <c r="P700" s="30">
        <f>IFERROR(__xludf.DUMMYFUNCTION("""COMPUTED_VALUE"""),4.463999088063446)</f>
        <v>4.463999088</v>
      </c>
      <c r="Q700" s="30"/>
      <c r="R700" s="30"/>
      <c r="S700" s="30"/>
      <c r="T700" s="30"/>
      <c r="U700" s="30">
        <v>0.0</v>
      </c>
      <c r="V700" s="30"/>
      <c r="W700" s="30"/>
      <c r="X700" s="30"/>
      <c r="Y700" s="5">
        <f>IFERROR(__xludf.DUMMYFUNCTION("""COMPUTED_VALUE"""),83.0)</f>
        <v>83</v>
      </c>
      <c r="Z700" s="5">
        <f>IFERROR(__xludf.DUMMYFUNCTION("""COMPUTED_VALUE"""),84.0)</f>
        <v>84</v>
      </c>
    </row>
    <row r="701">
      <c r="A701" s="30" t="s">
        <v>2470</v>
      </c>
      <c r="B701" s="30">
        <f>IFERROR(__xludf.DUMMYFUNCTION("""COMPUTED_VALUE"""),83.5)</f>
        <v>83.5</v>
      </c>
      <c r="C701" s="30"/>
      <c r="D701" s="30"/>
      <c r="E701" s="30"/>
      <c r="F701" s="30"/>
      <c r="G701" s="30"/>
      <c r="H701" s="30"/>
      <c r="I701" s="30"/>
      <c r="J701" s="30">
        <f>IFERROR(__xludf.DUMMYFUNCTION("""COMPUTED_VALUE"""),-11.059343513011441)</f>
        <v>-11.05934351</v>
      </c>
      <c r="K701" s="30"/>
      <c r="L701" s="30"/>
      <c r="M701" s="30"/>
      <c r="N701" s="30"/>
      <c r="O701" s="30">
        <f>IFERROR(__xludf.DUMMYFUNCTION("""COMPUTED_VALUE"""),-2.630874715592867)</f>
        <v>-2.630874716</v>
      </c>
      <c r="P701" s="30">
        <f>IFERROR(__xludf.DUMMYFUNCTION("""COMPUTED_VALUE"""),4.463999088063446)</f>
        <v>4.463999088</v>
      </c>
      <c r="Q701" s="30"/>
      <c r="R701" s="30"/>
      <c r="S701" s="30"/>
      <c r="T701" s="30"/>
      <c r="U701" s="30">
        <v>0.0</v>
      </c>
      <c r="V701" s="30"/>
      <c r="W701" s="30"/>
      <c r="X701" s="30"/>
      <c r="Y701" s="5">
        <f>IFERROR(__xludf.DUMMYFUNCTION("""COMPUTED_VALUE"""),83.0)</f>
        <v>83</v>
      </c>
      <c r="Z701" s="5">
        <f>IFERROR(__xludf.DUMMYFUNCTION("""COMPUTED_VALUE"""),84.0)</f>
        <v>84</v>
      </c>
    </row>
    <row r="702">
      <c r="A702" s="30" t="s">
        <v>2473</v>
      </c>
      <c r="B702" s="30">
        <f>IFERROR(__xludf.DUMMYFUNCTION("""COMPUTED_VALUE"""),80.0)</f>
        <v>80</v>
      </c>
      <c r="C702" s="30"/>
      <c r="D702" s="30"/>
      <c r="E702" s="30"/>
      <c r="F702" s="30"/>
      <c r="G702" s="30"/>
      <c r="H702" s="30"/>
      <c r="I702" s="30"/>
      <c r="J702" s="30">
        <f>IFERROR(__xludf.DUMMYFUNCTION("""COMPUTED_VALUE"""),-11.059343513011441)</f>
        <v>-11.05934351</v>
      </c>
      <c r="K702" s="30"/>
      <c r="L702" s="30"/>
      <c r="M702" s="30"/>
      <c r="N702" s="30"/>
      <c r="O702" s="30">
        <f>IFERROR(__xludf.DUMMYFUNCTION("""COMPUTED_VALUE"""),-2.630874715592867)</f>
        <v>-2.630874716</v>
      </c>
      <c r="P702" s="30">
        <f>IFERROR(__xludf.DUMMYFUNCTION("""COMPUTED_VALUE"""),4.463999088063446)</f>
        <v>4.463999088</v>
      </c>
      <c r="Q702" s="30"/>
      <c r="R702" s="30"/>
      <c r="S702" s="30"/>
      <c r="T702" s="30"/>
      <c r="U702" s="30">
        <v>0.0</v>
      </c>
      <c r="V702" s="30"/>
      <c r="W702" s="30"/>
      <c r="X702" s="30"/>
      <c r="Y702" s="5">
        <f>IFERROR(__xludf.DUMMYFUNCTION("""COMPUTED_VALUE"""),80.0)</f>
        <v>80</v>
      </c>
      <c r="Z702" s="5">
        <f>IFERROR(__xludf.DUMMYFUNCTION("""COMPUTED_VALUE"""),80.0)</f>
        <v>80</v>
      </c>
    </row>
    <row r="703">
      <c r="A703" s="30" t="s">
        <v>256</v>
      </c>
      <c r="B703" s="30">
        <f>IFERROR(__xludf.DUMMYFUNCTION("""COMPUTED_VALUE"""),84.0)</f>
        <v>84</v>
      </c>
      <c r="C703" s="30"/>
      <c r="D703" s="30"/>
      <c r="E703" s="30"/>
      <c r="F703" s="30"/>
      <c r="G703" s="30"/>
      <c r="H703" s="30"/>
      <c r="I703" s="30"/>
      <c r="J703" s="30">
        <f>IFERROR(__xludf.DUMMYFUNCTION("""COMPUTED_VALUE"""),-11.059343513011441)</f>
        <v>-11.05934351</v>
      </c>
      <c r="K703" s="30"/>
      <c r="L703" s="30"/>
      <c r="M703" s="30"/>
      <c r="N703" s="30"/>
      <c r="O703" s="30">
        <f>IFERROR(__xludf.DUMMYFUNCTION("""COMPUTED_VALUE"""),-2.630874715592867)</f>
        <v>-2.630874716</v>
      </c>
      <c r="P703" s="30">
        <f>IFERROR(__xludf.DUMMYFUNCTION("""COMPUTED_VALUE"""),4.463999088063446)</f>
        <v>4.463999088</v>
      </c>
      <c r="Q703" s="30"/>
      <c r="R703" s="30"/>
      <c r="S703" s="30"/>
      <c r="T703" s="30"/>
      <c r="U703" s="30">
        <v>0.0</v>
      </c>
      <c r="V703" s="30"/>
      <c r="W703" s="30"/>
      <c r="X703" s="30"/>
      <c r="Y703" s="5">
        <f>IFERROR(__xludf.DUMMYFUNCTION("""COMPUTED_VALUE"""),84.0)</f>
        <v>84</v>
      </c>
      <c r="Z703" s="5">
        <f>IFERROR(__xludf.DUMMYFUNCTION("""COMPUTED_VALUE"""),84.0)</f>
        <v>84</v>
      </c>
    </row>
    <row r="704">
      <c r="A704" s="30" t="s">
        <v>2474</v>
      </c>
      <c r="B704" s="30">
        <f>IFERROR(__xludf.DUMMYFUNCTION("""COMPUTED_VALUE"""),82.0)</f>
        <v>82</v>
      </c>
      <c r="C704" s="30"/>
      <c r="D704" s="30"/>
      <c r="E704" s="30"/>
      <c r="F704" s="30"/>
      <c r="G704" s="30"/>
      <c r="H704" s="30"/>
      <c r="I704" s="30"/>
      <c r="J704" s="30">
        <f>IFERROR(__xludf.DUMMYFUNCTION("""COMPUTED_VALUE"""),-11.059343513011441)</f>
        <v>-11.05934351</v>
      </c>
      <c r="K704" s="30"/>
      <c r="L704" s="30"/>
      <c r="M704" s="30"/>
      <c r="N704" s="30"/>
      <c r="O704" s="30">
        <f>IFERROR(__xludf.DUMMYFUNCTION("""COMPUTED_VALUE"""),-2.630874715592867)</f>
        <v>-2.630874716</v>
      </c>
      <c r="P704" s="30">
        <f>IFERROR(__xludf.DUMMYFUNCTION("""COMPUTED_VALUE"""),4.463999088063446)</f>
        <v>4.463999088</v>
      </c>
      <c r="Q704" s="30"/>
      <c r="R704" s="30"/>
      <c r="S704" s="30"/>
      <c r="T704" s="30"/>
      <c r="U704" s="30">
        <v>0.0</v>
      </c>
      <c r="V704" s="30"/>
      <c r="W704" s="30"/>
      <c r="X704" s="30"/>
      <c r="Y704" s="5">
        <f>IFERROR(__xludf.DUMMYFUNCTION("""COMPUTED_VALUE"""),81.0)</f>
        <v>81</v>
      </c>
      <c r="Z704" s="5">
        <f>IFERROR(__xludf.DUMMYFUNCTION("""COMPUTED_VALUE"""),83.0)</f>
        <v>83</v>
      </c>
    </row>
    <row r="705">
      <c r="A705" s="30" t="s">
        <v>1414</v>
      </c>
      <c r="B705" s="30">
        <f>IFERROR(__xludf.DUMMYFUNCTION("""COMPUTED_VALUE"""),82.0)</f>
        <v>82</v>
      </c>
      <c r="C705" s="30"/>
      <c r="D705" s="30"/>
      <c r="E705" s="30"/>
      <c r="F705" s="30"/>
      <c r="G705" s="30"/>
      <c r="H705" s="30"/>
      <c r="I705" s="30"/>
      <c r="J705" s="30">
        <f>IFERROR(__xludf.DUMMYFUNCTION("""COMPUTED_VALUE"""),-11.059343513011441)</f>
        <v>-11.05934351</v>
      </c>
      <c r="K705" s="30"/>
      <c r="L705" s="30"/>
      <c r="M705" s="30"/>
      <c r="N705" s="30"/>
      <c r="O705" s="30">
        <f>IFERROR(__xludf.DUMMYFUNCTION("""COMPUTED_VALUE"""),-2.630874715592867)</f>
        <v>-2.630874716</v>
      </c>
      <c r="P705" s="30">
        <f>IFERROR(__xludf.DUMMYFUNCTION("""COMPUTED_VALUE"""),4.463999088063446)</f>
        <v>4.463999088</v>
      </c>
      <c r="Q705" s="30"/>
      <c r="R705" s="30"/>
      <c r="S705" s="30"/>
      <c r="T705" s="30"/>
      <c r="U705" s="30">
        <v>0.0</v>
      </c>
      <c r="V705" s="30"/>
      <c r="W705" s="30"/>
      <c r="X705" s="30"/>
      <c r="Y705" s="5">
        <f>IFERROR(__xludf.DUMMYFUNCTION("""COMPUTED_VALUE"""),81.0)</f>
        <v>81</v>
      </c>
      <c r="Z705" s="5">
        <f>IFERROR(__xludf.DUMMYFUNCTION("""COMPUTED_VALUE"""),83.0)</f>
        <v>83</v>
      </c>
    </row>
    <row r="706">
      <c r="A706" s="30" t="s">
        <v>2478</v>
      </c>
      <c r="B706" s="30">
        <f>IFERROR(__xludf.DUMMYFUNCTION("""COMPUTED_VALUE"""),81.5)</f>
        <v>81.5</v>
      </c>
      <c r="C706" s="30"/>
      <c r="D706" s="30"/>
      <c r="E706" s="30"/>
      <c r="F706" s="30"/>
      <c r="G706" s="30"/>
      <c r="H706" s="30"/>
      <c r="I706" s="30"/>
      <c r="J706" s="30">
        <f>IFERROR(__xludf.DUMMYFUNCTION("""COMPUTED_VALUE"""),-11.059343513011441)</f>
        <v>-11.05934351</v>
      </c>
      <c r="K706" s="30"/>
      <c r="L706" s="30"/>
      <c r="M706" s="30"/>
      <c r="N706" s="30"/>
      <c r="O706" s="30">
        <f>IFERROR(__xludf.DUMMYFUNCTION("""COMPUTED_VALUE"""),-2.630874715592867)</f>
        <v>-2.630874716</v>
      </c>
      <c r="P706" s="30">
        <f>IFERROR(__xludf.DUMMYFUNCTION("""COMPUTED_VALUE"""),4.463999088063446)</f>
        <v>4.463999088</v>
      </c>
      <c r="Q706" s="30"/>
      <c r="R706" s="30"/>
      <c r="S706" s="30"/>
      <c r="T706" s="30"/>
      <c r="U706" s="30">
        <v>0.0</v>
      </c>
      <c r="V706" s="30"/>
      <c r="W706" s="30"/>
      <c r="X706" s="30"/>
      <c r="Y706" s="5">
        <f>IFERROR(__xludf.DUMMYFUNCTION("""COMPUTED_VALUE"""),81.0)</f>
        <v>81</v>
      </c>
      <c r="Z706" s="5">
        <f>IFERROR(__xludf.DUMMYFUNCTION("""COMPUTED_VALUE"""),82.0)</f>
        <v>82</v>
      </c>
    </row>
    <row r="707">
      <c r="A707" s="30" t="s">
        <v>2482</v>
      </c>
      <c r="B707" s="30">
        <f>IFERROR(__xludf.DUMMYFUNCTION("""COMPUTED_VALUE"""),79.0)</f>
        <v>79</v>
      </c>
      <c r="C707" s="30"/>
      <c r="D707" s="30"/>
      <c r="E707" s="30"/>
      <c r="F707" s="30"/>
      <c r="G707" s="30"/>
      <c r="H707" s="30"/>
      <c r="I707" s="30"/>
      <c r="J707" s="30">
        <f>IFERROR(__xludf.DUMMYFUNCTION("""COMPUTED_VALUE"""),-11.059343513011441)</f>
        <v>-11.05934351</v>
      </c>
      <c r="K707" s="30"/>
      <c r="L707" s="30"/>
      <c r="M707" s="30"/>
      <c r="N707" s="30"/>
      <c r="O707" s="30">
        <f>IFERROR(__xludf.DUMMYFUNCTION("""COMPUTED_VALUE"""),-2.630874715592867)</f>
        <v>-2.630874716</v>
      </c>
      <c r="P707" s="30">
        <f>IFERROR(__xludf.DUMMYFUNCTION("""COMPUTED_VALUE"""),4.463999088063446)</f>
        <v>4.463999088</v>
      </c>
      <c r="Q707" s="30"/>
      <c r="R707" s="30"/>
      <c r="S707" s="30"/>
      <c r="T707" s="30"/>
      <c r="U707" s="30">
        <v>0.0</v>
      </c>
      <c r="V707" s="30"/>
      <c r="W707" s="30"/>
      <c r="X707" s="30"/>
      <c r="Y707" s="5">
        <f>IFERROR(__xludf.DUMMYFUNCTION("""COMPUTED_VALUE"""),79.0)</f>
        <v>79</v>
      </c>
      <c r="Z707" s="5">
        <f>IFERROR(__xludf.DUMMYFUNCTION("""COMPUTED_VALUE"""),79.0)</f>
        <v>79</v>
      </c>
    </row>
    <row r="708">
      <c r="A708" s="30" t="s">
        <v>1343</v>
      </c>
      <c r="B708" s="30">
        <f>IFERROR(__xludf.DUMMYFUNCTION("""COMPUTED_VALUE"""),81.0)</f>
        <v>81</v>
      </c>
      <c r="C708" s="30"/>
      <c r="D708" s="30"/>
      <c r="E708" s="30"/>
      <c r="F708" s="30"/>
      <c r="G708" s="30"/>
      <c r="H708" s="30"/>
      <c r="I708" s="30"/>
      <c r="J708" s="30">
        <f>IFERROR(__xludf.DUMMYFUNCTION("""COMPUTED_VALUE"""),-11.059343513011441)</f>
        <v>-11.05934351</v>
      </c>
      <c r="K708" s="30"/>
      <c r="L708" s="30"/>
      <c r="M708" s="30"/>
      <c r="N708" s="30"/>
      <c r="O708" s="30">
        <f>IFERROR(__xludf.DUMMYFUNCTION("""COMPUTED_VALUE"""),-2.630874715592867)</f>
        <v>-2.630874716</v>
      </c>
      <c r="P708" s="30">
        <f>IFERROR(__xludf.DUMMYFUNCTION("""COMPUTED_VALUE"""),4.463999088063446)</f>
        <v>4.463999088</v>
      </c>
      <c r="Q708" s="30"/>
      <c r="R708" s="30"/>
      <c r="S708" s="30"/>
      <c r="T708" s="30"/>
      <c r="U708" s="30">
        <v>0.0</v>
      </c>
      <c r="V708" s="30"/>
      <c r="W708" s="30"/>
      <c r="X708" s="30"/>
      <c r="Y708" s="5">
        <f>IFERROR(__xludf.DUMMYFUNCTION("""COMPUTED_VALUE"""),81.0)</f>
        <v>81</v>
      </c>
      <c r="Z708" s="5">
        <f>IFERROR(__xludf.DUMMYFUNCTION("""COMPUTED_VALUE"""),81.0)</f>
        <v>81</v>
      </c>
    </row>
    <row r="709">
      <c r="A709" s="30" t="s">
        <v>2484</v>
      </c>
      <c r="B709" s="30">
        <f>IFERROR(__xludf.DUMMYFUNCTION("""COMPUTED_VALUE"""),83.5)</f>
        <v>83.5</v>
      </c>
      <c r="C709" s="30"/>
      <c r="D709" s="30"/>
      <c r="E709" s="30"/>
      <c r="F709" s="30"/>
      <c r="G709" s="30"/>
      <c r="H709" s="30"/>
      <c r="I709" s="30"/>
      <c r="J709" s="30">
        <f>IFERROR(__xludf.DUMMYFUNCTION("""COMPUTED_VALUE"""),-11.059343513011441)</f>
        <v>-11.05934351</v>
      </c>
      <c r="K709" s="30"/>
      <c r="L709" s="30"/>
      <c r="M709" s="30"/>
      <c r="N709" s="30"/>
      <c r="O709" s="30">
        <f>IFERROR(__xludf.DUMMYFUNCTION("""COMPUTED_VALUE"""),-2.630874715592867)</f>
        <v>-2.630874716</v>
      </c>
      <c r="P709" s="30">
        <f>IFERROR(__xludf.DUMMYFUNCTION("""COMPUTED_VALUE"""),4.463999088063446)</f>
        <v>4.463999088</v>
      </c>
      <c r="Q709" s="30"/>
      <c r="R709" s="30"/>
      <c r="S709" s="30"/>
      <c r="T709" s="30"/>
      <c r="U709" s="30">
        <v>0.0</v>
      </c>
      <c r="V709" s="30"/>
      <c r="W709" s="30"/>
      <c r="X709" s="30"/>
      <c r="Y709" s="5">
        <f>IFERROR(__xludf.DUMMYFUNCTION("""COMPUTED_VALUE"""),83.0)</f>
        <v>83</v>
      </c>
      <c r="Z709" s="5">
        <f>IFERROR(__xludf.DUMMYFUNCTION("""COMPUTED_VALUE"""),84.0)</f>
        <v>84</v>
      </c>
    </row>
    <row r="710">
      <c r="A710" s="30" t="s">
        <v>2485</v>
      </c>
      <c r="B710" s="30">
        <f>IFERROR(__xludf.DUMMYFUNCTION("""COMPUTED_VALUE"""),82.0)</f>
        <v>82</v>
      </c>
      <c r="C710" s="30"/>
      <c r="D710" s="30"/>
      <c r="E710" s="30"/>
      <c r="F710" s="30"/>
      <c r="G710" s="30"/>
      <c r="H710" s="30"/>
      <c r="I710" s="30"/>
      <c r="J710" s="30">
        <f>IFERROR(__xludf.DUMMYFUNCTION("""COMPUTED_VALUE"""),-11.059343513011441)</f>
        <v>-11.05934351</v>
      </c>
      <c r="K710" s="30"/>
      <c r="L710" s="30"/>
      <c r="M710" s="30"/>
      <c r="N710" s="30"/>
      <c r="O710" s="30">
        <f>IFERROR(__xludf.DUMMYFUNCTION("""COMPUTED_VALUE"""),-2.630874715592867)</f>
        <v>-2.630874716</v>
      </c>
      <c r="P710" s="30">
        <f>IFERROR(__xludf.DUMMYFUNCTION("""COMPUTED_VALUE"""),4.463999088063446)</f>
        <v>4.463999088</v>
      </c>
      <c r="Q710" s="30"/>
      <c r="R710" s="30"/>
      <c r="S710" s="30"/>
      <c r="T710" s="30"/>
      <c r="U710" s="30">
        <v>0.0</v>
      </c>
      <c r="V710" s="30"/>
      <c r="W710" s="30"/>
      <c r="X710" s="30"/>
      <c r="Y710" s="5">
        <f>IFERROR(__xludf.DUMMYFUNCTION("""COMPUTED_VALUE"""),82.0)</f>
        <v>82</v>
      </c>
      <c r="Z710" s="5">
        <f>IFERROR(__xludf.DUMMYFUNCTION("""COMPUTED_VALUE"""),82.0)</f>
        <v>82</v>
      </c>
    </row>
    <row r="711">
      <c r="A711" s="30" t="s">
        <v>2486</v>
      </c>
      <c r="B711" s="30">
        <f>IFERROR(__xludf.DUMMYFUNCTION("""COMPUTED_VALUE"""),81.0)</f>
        <v>81</v>
      </c>
      <c r="C711" s="30"/>
      <c r="D711" s="30"/>
      <c r="E711" s="30"/>
      <c r="F711" s="30"/>
      <c r="G711" s="30"/>
      <c r="H711" s="30"/>
      <c r="I711" s="30"/>
      <c r="J711" s="30">
        <f>IFERROR(__xludf.DUMMYFUNCTION("""COMPUTED_VALUE"""),-11.059343513011441)</f>
        <v>-11.05934351</v>
      </c>
      <c r="K711" s="30"/>
      <c r="L711" s="30"/>
      <c r="M711" s="30"/>
      <c r="N711" s="30"/>
      <c r="O711" s="30">
        <f>IFERROR(__xludf.DUMMYFUNCTION("""COMPUTED_VALUE"""),-2.630874715592867)</f>
        <v>-2.630874716</v>
      </c>
      <c r="P711" s="30">
        <f>IFERROR(__xludf.DUMMYFUNCTION("""COMPUTED_VALUE"""),4.463999088063446)</f>
        <v>4.463999088</v>
      </c>
      <c r="Q711" s="30"/>
      <c r="R711" s="30"/>
      <c r="S711" s="30"/>
      <c r="T711" s="30"/>
      <c r="U711" s="30">
        <v>0.0</v>
      </c>
      <c r="V711" s="30"/>
      <c r="W711" s="30"/>
      <c r="X711" s="30"/>
      <c r="Y711" s="5">
        <f>IFERROR(__xludf.DUMMYFUNCTION("""COMPUTED_VALUE"""),81.0)</f>
        <v>81</v>
      </c>
      <c r="Z711" s="5">
        <f>IFERROR(__xludf.DUMMYFUNCTION("""COMPUTED_VALUE"""),81.0)</f>
        <v>81</v>
      </c>
    </row>
    <row r="712">
      <c r="A712" s="30" t="s">
        <v>2487</v>
      </c>
      <c r="B712" s="30">
        <f>IFERROR(__xludf.DUMMYFUNCTION("""COMPUTED_VALUE"""),80.5)</f>
        <v>80.5</v>
      </c>
      <c r="C712" s="30"/>
      <c r="D712" s="30"/>
      <c r="E712" s="30"/>
      <c r="F712" s="30"/>
      <c r="G712" s="30"/>
      <c r="H712" s="30"/>
      <c r="I712" s="30"/>
      <c r="J712" s="30">
        <f>IFERROR(__xludf.DUMMYFUNCTION("""COMPUTED_VALUE"""),-11.059343513011441)</f>
        <v>-11.05934351</v>
      </c>
      <c r="K712" s="30"/>
      <c r="L712" s="30"/>
      <c r="M712" s="30"/>
      <c r="N712" s="30"/>
      <c r="O712" s="30">
        <f>IFERROR(__xludf.DUMMYFUNCTION("""COMPUTED_VALUE"""),-2.630874715592867)</f>
        <v>-2.630874716</v>
      </c>
      <c r="P712" s="30">
        <f>IFERROR(__xludf.DUMMYFUNCTION("""COMPUTED_VALUE"""),4.463999088063446)</f>
        <v>4.463999088</v>
      </c>
      <c r="Q712" s="30"/>
      <c r="R712" s="30"/>
      <c r="S712" s="30"/>
      <c r="T712" s="30"/>
      <c r="U712" s="30">
        <v>0.0</v>
      </c>
      <c r="V712" s="30"/>
      <c r="W712" s="30"/>
      <c r="X712" s="30"/>
      <c r="Y712" s="5">
        <f>IFERROR(__xludf.DUMMYFUNCTION("""COMPUTED_VALUE"""),80.0)</f>
        <v>80</v>
      </c>
      <c r="Z712" s="5">
        <f>IFERROR(__xludf.DUMMYFUNCTION("""COMPUTED_VALUE"""),81.0)</f>
        <v>81</v>
      </c>
    </row>
    <row r="713">
      <c r="A713" s="30" t="s">
        <v>2490</v>
      </c>
      <c r="B713" s="30">
        <f>IFERROR(__xludf.DUMMYFUNCTION("""COMPUTED_VALUE"""),80.0)</f>
        <v>80</v>
      </c>
      <c r="C713" s="30"/>
      <c r="D713" s="30"/>
      <c r="E713" s="30"/>
      <c r="F713" s="30"/>
      <c r="G713" s="30"/>
      <c r="H713" s="30"/>
      <c r="I713" s="30"/>
      <c r="J713" s="30">
        <f>IFERROR(__xludf.DUMMYFUNCTION("""COMPUTED_VALUE"""),-11.059343513011441)</f>
        <v>-11.05934351</v>
      </c>
      <c r="K713" s="30"/>
      <c r="L713" s="30"/>
      <c r="M713" s="30"/>
      <c r="N713" s="30"/>
      <c r="O713" s="30">
        <f>IFERROR(__xludf.DUMMYFUNCTION("""COMPUTED_VALUE"""),-2.630874715592867)</f>
        <v>-2.630874716</v>
      </c>
      <c r="P713" s="30">
        <f>IFERROR(__xludf.DUMMYFUNCTION("""COMPUTED_VALUE"""),4.463999088063446)</f>
        <v>4.463999088</v>
      </c>
      <c r="Q713" s="30"/>
      <c r="R713" s="30"/>
      <c r="S713" s="30"/>
      <c r="T713" s="30"/>
      <c r="U713" s="30">
        <v>0.0</v>
      </c>
      <c r="V713" s="30"/>
      <c r="W713" s="30"/>
      <c r="X713" s="30"/>
      <c r="Y713" s="5">
        <f>IFERROR(__xludf.DUMMYFUNCTION("""COMPUTED_VALUE"""),79.0)</f>
        <v>79</v>
      </c>
      <c r="Z713" s="5">
        <f>IFERROR(__xludf.DUMMYFUNCTION("""COMPUTED_VALUE"""),81.0)</f>
        <v>81</v>
      </c>
    </row>
    <row r="714">
      <c r="A714" s="30" t="s">
        <v>2492</v>
      </c>
      <c r="B714" s="30">
        <f>IFERROR(__xludf.DUMMYFUNCTION("""COMPUTED_VALUE"""),83.5)</f>
        <v>83.5</v>
      </c>
      <c r="C714" s="30"/>
      <c r="D714" s="30"/>
      <c r="E714" s="30"/>
      <c r="F714" s="30"/>
      <c r="G714" s="30"/>
      <c r="H714" s="30"/>
      <c r="I714" s="30"/>
      <c r="J714" s="30">
        <f>IFERROR(__xludf.DUMMYFUNCTION("""COMPUTED_VALUE"""),-11.059343513011441)</f>
        <v>-11.05934351</v>
      </c>
      <c r="K714" s="30"/>
      <c r="L714" s="30"/>
      <c r="M714" s="30"/>
      <c r="N714" s="30"/>
      <c r="O714" s="30">
        <f>IFERROR(__xludf.DUMMYFUNCTION("""COMPUTED_VALUE"""),-2.630874715592867)</f>
        <v>-2.630874716</v>
      </c>
      <c r="P714" s="30">
        <f>IFERROR(__xludf.DUMMYFUNCTION("""COMPUTED_VALUE"""),4.463999088063446)</f>
        <v>4.463999088</v>
      </c>
      <c r="Q714" s="30"/>
      <c r="R714" s="30"/>
      <c r="S714" s="30"/>
      <c r="T714" s="30"/>
      <c r="U714" s="30">
        <v>0.0</v>
      </c>
      <c r="V714" s="30"/>
      <c r="W714" s="30"/>
      <c r="X714" s="30"/>
      <c r="Y714" s="5">
        <f>IFERROR(__xludf.DUMMYFUNCTION("""COMPUTED_VALUE"""),83.0)</f>
        <v>83</v>
      </c>
      <c r="Z714" s="5">
        <f>IFERROR(__xludf.DUMMYFUNCTION("""COMPUTED_VALUE"""),84.0)</f>
        <v>84</v>
      </c>
    </row>
    <row r="715">
      <c r="A715" s="30" t="s">
        <v>2496</v>
      </c>
      <c r="B715" s="30">
        <f>IFERROR(__xludf.DUMMYFUNCTION("""COMPUTED_VALUE"""),81.0)</f>
        <v>81</v>
      </c>
      <c r="C715" s="30"/>
      <c r="D715" s="30"/>
      <c r="E715" s="30"/>
      <c r="F715" s="30"/>
      <c r="G715" s="30"/>
      <c r="H715" s="30"/>
      <c r="I715" s="30"/>
      <c r="J715" s="30">
        <f>IFERROR(__xludf.DUMMYFUNCTION("""COMPUTED_VALUE"""),-11.059343513011441)</f>
        <v>-11.05934351</v>
      </c>
      <c r="K715" s="30"/>
      <c r="L715" s="30"/>
      <c r="M715" s="30"/>
      <c r="N715" s="30"/>
      <c r="O715" s="30">
        <f>IFERROR(__xludf.DUMMYFUNCTION("""COMPUTED_VALUE"""),-2.630874715592867)</f>
        <v>-2.630874716</v>
      </c>
      <c r="P715" s="30">
        <f>IFERROR(__xludf.DUMMYFUNCTION("""COMPUTED_VALUE"""),4.463999088063446)</f>
        <v>4.463999088</v>
      </c>
      <c r="Q715" s="30"/>
      <c r="R715" s="30"/>
      <c r="S715" s="30"/>
      <c r="T715" s="30"/>
      <c r="U715" s="30">
        <v>0.0</v>
      </c>
      <c r="V715" s="30"/>
      <c r="W715" s="30"/>
      <c r="X715" s="30"/>
      <c r="Y715" s="5">
        <f>IFERROR(__xludf.DUMMYFUNCTION("""COMPUTED_VALUE"""),81.0)</f>
        <v>81</v>
      </c>
      <c r="Z715" s="5">
        <f>IFERROR(__xludf.DUMMYFUNCTION("""COMPUTED_VALUE"""),81.0)</f>
        <v>81</v>
      </c>
    </row>
    <row r="716">
      <c r="A716" s="30" t="s">
        <v>1811</v>
      </c>
      <c r="B716" s="30">
        <f>IFERROR(__xludf.DUMMYFUNCTION("""COMPUTED_VALUE"""),81.0)</f>
        <v>81</v>
      </c>
      <c r="C716" s="30"/>
      <c r="D716" s="30"/>
      <c r="E716" s="30"/>
      <c r="F716" s="30"/>
      <c r="G716" s="30"/>
      <c r="H716" s="30"/>
      <c r="I716" s="30"/>
      <c r="J716" s="30">
        <f>IFERROR(__xludf.DUMMYFUNCTION("""COMPUTED_VALUE"""),-11.059343513011441)</f>
        <v>-11.05934351</v>
      </c>
      <c r="K716" s="30"/>
      <c r="L716" s="30"/>
      <c r="M716" s="30"/>
      <c r="N716" s="30"/>
      <c r="O716" s="30">
        <f>IFERROR(__xludf.DUMMYFUNCTION("""COMPUTED_VALUE"""),-2.630874715592867)</f>
        <v>-2.630874716</v>
      </c>
      <c r="P716" s="30">
        <f>IFERROR(__xludf.DUMMYFUNCTION("""COMPUTED_VALUE"""),4.463999088063446)</f>
        <v>4.463999088</v>
      </c>
      <c r="Q716" s="30"/>
      <c r="R716" s="30"/>
      <c r="S716" s="30"/>
      <c r="T716" s="30"/>
      <c r="U716" s="30">
        <v>0.0</v>
      </c>
      <c r="V716" s="30"/>
      <c r="W716" s="30"/>
      <c r="X716" s="30"/>
      <c r="Y716" s="5">
        <f>IFERROR(__xludf.DUMMYFUNCTION("""COMPUTED_VALUE"""),81.0)</f>
        <v>81</v>
      </c>
      <c r="Z716" s="5">
        <f>IFERROR(__xludf.DUMMYFUNCTION("""COMPUTED_VALUE"""),81.0)</f>
        <v>81</v>
      </c>
    </row>
    <row r="717">
      <c r="A717" s="30" t="s">
        <v>2497</v>
      </c>
      <c r="B717" s="30">
        <f>IFERROR(__xludf.DUMMYFUNCTION("""COMPUTED_VALUE"""),81.0)</f>
        <v>81</v>
      </c>
      <c r="C717" s="30"/>
      <c r="D717" s="30"/>
      <c r="E717" s="30"/>
      <c r="F717" s="30"/>
      <c r="G717" s="30"/>
      <c r="H717" s="30"/>
      <c r="I717" s="30"/>
      <c r="J717" s="30">
        <f>IFERROR(__xludf.DUMMYFUNCTION("""COMPUTED_VALUE"""),-11.059343513011441)</f>
        <v>-11.05934351</v>
      </c>
      <c r="K717" s="30"/>
      <c r="L717" s="30"/>
      <c r="M717" s="30"/>
      <c r="N717" s="30"/>
      <c r="O717" s="30">
        <f>IFERROR(__xludf.DUMMYFUNCTION("""COMPUTED_VALUE"""),-2.630874715592867)</f>
        <v>-2.630874716</v>
      </c>
      <c r="P717" s="30">
        <f>IFERROR(__xludf.DUMMYFUNCTION("""COMPUTED_VALUE"""),4.463999088063446)</f>
        <v>4.463999088</v>
      </c>
      <c r="Q717" s="30"/>
      <c r="R717" s="30"/>
      <c r="S717" s="30"/>
      <c r="T717" s="30"/>
      <c r="U717" s="30">
        <v>0.0</v>
      </c>
      <c r="V717" s="30"/>
      <c r="W717" s="30"/>
      <c r="X717" s="30"/>
      <c r="Y717" s="5">
        <f>IFERROR(__xludf.DUMMYFUNCTION("""COMPUTED_VALUE"""),81.0)</f>
        <v>81</v>
      </c>
      <c r="Z717" s="5">
        <f>IFERROR(__xludf.DUMMYFUNCTION("""COMPUTED_VALUE"""),81.0)</f>
        <v>81</v>
      </c>
    </row>
    <row r="718">
      <c r="A718" s="30" t="s">
        <v>2498</v>
      </c>
      <c r="B718" s="30">
        <f>IFERROR(__xludf.DUMMYFUNCTION("""COMPUTED_VALUE"""),81.0)</f>
        <v>81</v>
      </c>
      <c r="C718" s="30"/>
      <c r="D718" s="30"/>
      <c r="E718" s="30"/>
      <c r="F718" s="30"/>
      <c r="G718" s="30"/>
      <c r="H718" s="30"/>
      <c r="I718" s="30"/>
      <c r="J718" s="30">
        <f>IFERROR(__xludf.DUMMYFUNCTION("""COMPUTED_VALUE"""),-11.059343513011441)</f>
        <v>-11.05934351</v>
      </c>
      <c r="K718" s="30"/>
      <c r="L718" s="30"/>
      <c r="M718" s="30"/>
      <c r="N718" s="30"/>
      <c r="O718" s="30">
        <f>IFERROR(__xludf.DUMMYFUNCTION("""COMPUTED_VALUE"""),-2.630874715592867)</f>
        <v>-2.630874716</v>
      </c>
      <c r="P718" s="30">
        <f>IFERROR(__xludf.DUMMYFUNCTION("""COMPUTED_VALUE"""),4.463999088063446)</f>
        <v>4.463999088</v>
      </c>
      <c r="Q718" s="30"/>
      <c r="R718" s="30"/>
      <c r="S718" s="30"/>
      <c r="T718" s="30"/>
      <c r="U718" s="30">
        <v>0.0</v>
      </c>
      <c r="V718" s="30"/>
      <c r="W718" s="30"/>
      <c r="X718" s="30"/>
      <c r="Y718" s="5">
        <f>IFERROR(__xludf.DUMMYFUNCTION("""COMPUTED_VALUE"""),81.0)</f>
        <v>81</v>
      </c>
      <c r="Z718" s="5">
        <f>IFERROR(__xludf.DUMMYFUNCTION("""COMPUTED_VALUE"""),81.0)</f>
        <v>81</v>
      </c>
    </row>
    <row r="719">
      <c r="A719" s="30" t="s">
        <v>2504</v>
      </c>
      <c r="B719" s="30">
        <f>IFERROR(__xludf.DUMMYFUNCTION("""COMPUTED_VALUE"""),84.0)</f>
        <v>84</v>
      </c>
      <c r="C719" s="30"/>
      <c r="D719" s="30"/>
      <c r="E719" s="30"/>
      <c r="F719" s="30"/>
      <c r="G719" s="30"/>
      <c r="H719" s="30"/>
      <c r="I719" s="30"/>
      <c r="J719" s="30">
        <f>IFERROR(__xludf.DUMMYFUNCTION("""COMPUTED_VALUE"""),-11.059343513011441)</f>
        <v>-11.05934351</v>
      </c>
      <c r="K719" s="30"/>
      <c r="L719" s="30"/>
      <c r="M719" s="30"/>
      <c r="N719" s="30"/>
      <c r="O719" s="30">
        <f>IFERROR(__xludf.DUMMYFUNCTION("""COMPUTED_VALUE"""),-2.630874715592867)</f>
        <v>-2.630874716</v>
      </c>
      <c r="P719" s="30">
        <f>IFERROR(__xludf.DUMMYFUNCTION("""COMPUTED_VALUE"""),4.463999088063446)</f>
        <v>4.463999088</v>
      </c>
      <c r="Q719" s="30"/>
      <c r="R719" s="30"/>
      <c r="S719" s="30"/>
      <c r="T719" s="30"/>
      <c r="U719" s="30">
        <v>0.0</v>
      </c>
      <c r="V719" s="30"/>
      <c r="W719" s="30"/>
      <c r="X719" s="30"/>
      <c r="Y719" s="5">
        <f>IFERROR(__xludf.DUMMYFUNCTION("""COMPUTED_VALUE"""),84.0)</f>
        <v>84</v>
      </c>
      <c r="Z719" s="5">
        <f>IFERROR(__xludf.DUMMYFUNCTION("""COMPUTED_VALUE"""),84.0)</f>
        <v>84</v>
      </c>
    </row>
    <row r="720">
      <c r="A720" s="30" t="s">
        <v>1959</v>
      </c>
      <c r="B720" s="30">
        <f>IFERROR(__xludf.DUMMYFUNCTION("""COMPUTED_VALUE"""),84.0)</f>
        <v>84</v>
      </c>
      <c r="C720" s="30"/>
      <c r="D720" s="30"/>
      <c r="E720" s="30"/>
      <c r="F720" s="30"/>
      <c r="G720" s="30"/>
      <c r="H720" s="30"/>
      <c r="I720" s="30"/>
      <c r="J720" s="30">
        <f>IFERROR(__xludf.DUMMYFUNCTION("""COMPUTED_VALUE"""),-11.059343513011441)</f>
        <v>-11.05934351</v>
      </c>
      <c r="K720" s="30"/>
      <c r="L720" s="30"/>
      <c r="M720" s="30"/>
      <c r="N720" s="30"/>
      <c r="O720" s="30">
        <f>IFERROR(__xludf.DUMMYFUNCTION("""COMPUTED_VALUE"""),-2.630874715592867)</f>
        <v>-2.630874716</v>
      </c>
      <c r="P720" s="30">
        <f>IFERROR(__xludf.DUMMYFUNCTION("""COMPUTED_VALUE"""),4.463999088063446)</f>
        <v>4.463999088</v>
      </c>
      <c r="Q720" s="30"/>
      <c r="R720" s="30"/>
      <c r="S720" s="30"/>
      <c r="T720" s="30"/>
      <c r="U720" s="30">
        <v>0.0</v>
      </c>
      <c r="V720" s="30"/>
      <c r="W720" s="30"/>
      <c r="X720" s="30"/>
      <c r="Y720" s="5">
        <f>IFERROR(__xludf.DUMMYFUNCTION("""COMPUTED_VALUE"""),84.0)</f>
        <v>84</v>
      </c>
      <c r="Z720" s="5">
        <f>IFERROR(__xludf.DUMMYFUNCTION("""COMPUTED_VALUE"""),84.0)</f>
        <v>84</v>
      </c>
    </row>
    <row r="721">
      <c r="A721" s="30" t="s">
        <v>2508</v>
      </c>
      <c r="B721" s="30">
        <f>IFERROR(__xludf.DUMMYFUNCTION("""COMPUTED_VALUE"""),81.0)</f>
        <v>81</v>
      </c>
      <c r="C721" s="30"/>
      <c r="D721" s="30"/>
      <c r="E721" s="30"/>
      <c r="F721" s="30"/>
      <c r="G721" s="30"/>
      <c r="H721" s="30"/>
      <c r="I721" s="30"/>
      <c r="J721" s="30">
        <f>IFERROR(__xludf.DUMMYFUNCTION("""COMPUTED_VALUE"""),-11.059343513011441)</f>
        <v>-11.05934351</v>
      </c>
      <c r="K721" s="30"/>
      <c r="L721" s="30"/>
      <c r="M721" s="30"/>
      <c r="N721" s="30"/>
      <c r="O721" s="30">
        <f>IFERROR(__xludf.DUMMYFUNCTION("""COMPUTED_VALUE"""),-2.630874715592867)</f>
        <v>-2.630874716</v>
      </c>
      <c r="P721" s="30">
        <f>IFERROR(__xludf.DUMMYFUNCTION("""COMPUTED_VALUE"""),4.463999088063446)</f>
        <v>4.463999088</v>
      </c>
      <c r="Q721" s="30"/>
      <c r="R721" s="30"/>
      <c r="S721" s="30"/>
      <c r="T721" s="30"/>
      <c r="U721" s="30">
        <v>0.0</v>
      </c>
      <c r="V721" s="30"/>
      <c r="W721" s="30"/>
      <c r="X721" s="30"/>
      <c r="Y721" s="5">
        <f>IFERROR(__xludf.DUMMYFUNCTION("""COMPUTED_VALUE"""),81.0)</f>
        <v>81</v>
      </c>
      <c r="Z721" s="5">
        <f>IFERROR(__xludf.DUMMYFUNCTION("""COMPUTED_VALUE"""),81.0)</f>
        <v>81</v>
      </c>
    </row>
    <row r="722">
      <c r="A722" s="30" t="s">
        <v>2509</v>
      </c>
      <c r="B722" s="30">
        <f>IFERROR(__xludf.DUMMYFUNCTION("""COMPUTED_VALUE"""),83.0)</f>
        <v>83</v>
      </c>
      <c r="C722" s="30"/>
      <c r="D722" s="30"/>
      <c r="E722" s="30"/>
      <c r="F722" s="30"/>
      <c r="G722" s="30"/>
      <c r="H722" s="30"/>
      <c r="I722" s="30"/>
      <c r="J722" s="30">
        <f>IFERROR(__xludf.DUMMYFUNCTION("""COMPUTED_VALUE"""),-11.059343513011441)</f>
        <v>-11.05934351</v>
      </c>
      <c r="K722" s="30"/>
      <c r="L722" s="30"/>
      <c r="M722" s="30"/>
      <c r="N722" s="30"/>
      <c r="O722" s="30">
        <f>IFERROR(__xludf.DUMMYFUNCTION("""COMPUTED_VALUE"""),-2.630874715592867)</f>
        <v>-2.630874716</v>
      </c>
      <c r="P722" s="30">
        <f>IFERROR(__xludf.DUMMYFUNCTION("""COMPUTED_VALUE"""),4.463999088063446)</f>
        <v>4.463999088</v>
      </c>
      <c r="Q722" s="30"/>
      <c r="R722" s="30"/>
      <c r="S722" s="30"/>
      <c r="T722" s="30"/>
      <c r="U722" s="30">
        <v>0.0</v>
      </c>
      <c r="V722" s="30"/>
      <c r="W722" s="30"/>
      <c r="X722" s="30"/>
      <c r="Y722" s="5">
        <f>IFERROR(__xludf.DUMMYFUNCTION("""COMPUTED_VALUE"""),83.0)</f>
        <v>83</v>
      </c>
      <c r="Z722" s="5">
        <f>IFERROR(__xludf.DUMMYFUNCTION("""COMPUTED_VALUE"""),83.0)</f>
        <v>83</v>
      </c>
    </row>
    <row r="723">
      <c r="A723" s="30" t="s">
        <v>2078</v>
      </c>
      <c r="B723" s="30">
        <f>IFERROR(__xludf.DUMMYFUNCTION("""COMPUTED_VALUE"""),83.0)</f>
        <v>83</v>
      </c>
      <c r="C723" s="30"/>
      <c r="D723" s="30"/>
      <c r="E723" s="30"/>
      <c r="F723" s="30"/>
      <c r="G723" s="30"/>
      <c r="H723" s="30"/>
      <c r="I723" s="30"/>
      <c r="J723" s="30">
        <f>IFERROR(__xludf.DUMMYFUNCTION("""COMPUTED_VALUE"""),-11.059343513011441)</f>
        <v>-11.05934351</v>
      </c>
      <c r="K723" s="30"/>
      <c r="L723" s="30"/>
      <c r="M723" s="30"/>
      <c r="N723" s="30"/>
      <c r="O723" s="30">
        <f>IFERROR(__xludf.DUMMYFUNCTION("""COMPUTED_VALUE"""),-2.630874715592867)</f>
        <v>-2.630874716</v>
      </c>
      <c r="P723" s="30">
        <f>IFERROR(__xludf.DUMMYFUNCTION("""COMPUTED_VALUE"""),4.463999088063446)</f>
        <v>4.463999088</v>
      </c>
      <c r="Q723" s="30"/>
      <c r="R723" s="30"/>
      <c r="S723" s="30"/>
      <c r="T723" s="30"/>
      <c r="U723" s="30">
        <v>0.0</v>
      </c>
      <c r="V723" s="30"/>
      <c r="W723" s="30"/>
      <c r="X723" s="30"/>
      <c r="Y723" s="5">
        <f>IFERROR(__xludf.DUMMYFUNCTION("""COMPUTED_VALUE"""),83.0)</f>
        <v>83</v>
      </c>
      <c r="Z723" s="5">
        <f>IFERROR(__xludf.DUMMYFUNCTION("""COMPUTED_VALUE"""),83.0)</f>
        <v>83</v>
      </c>
    </row>
    <row r="724">
      <c r="A724" s="30" t="s">
        <v>2510</v>
      </c>
      <c r="B724" s="30">
        <f>IFERROR(__xludf.DUMMYFUNCTION("""COMPUTED_VALUE"""),83.5)</f>
        <v>83.5</v>
      </c>
      <c r="C724" s="30"/>
      <c r="D724" s="30"/>
      <c r="E724" s="30"/>
      <c r="F724" s="30"/>
      <c r="G724" s="30"/>
      <c r="H724" s="30"/>
      <c r="I724" s="30"/>
      <c r="J724" s="30">
        <f>IFERROR(__xludf.DUMMYFUNCTION("""COMPUTED_VALUE"""),-11.059343513011441)</f>
        <v>-11.05934351</v>
      </c>
      <c r="K724" s="30"/>
      <c r="L724" s="30"/>
      <c r="M724" s="30"/>
      <c r="N724" s="30"/>
      <c r="O724" s="30">
        <f>IFERROR(__xludf.DUMMYFUNCTION("""COMPUTED_VALUE"""),-2.630874715592867)</f>
        <v>-2.630874716</v>
      </c>
      <c r="P724" s="30">
        <f>IFERROR(__xludf.DUMMYFUNCTION("""COMPUTED_VALUE"""),4.463999088063446)</f>
        <v>4.463999088</v>
      </c>
      <c r="Q724" s="30"/>
      <c r="R724" s="30"/>
      <c r="S724" s="30"/>
      <c r="T724" s="30"/>
      <c r="U724" s="30">
        <v>0.0</v>
      </c>
      <c r="V724" s="30"/>
      <c r="W724" s="30"/>
      <c r="X724" s="30"/>
      <c r="Y724" s="5">
        <f>IFERROR(__xludf.DUMMYFUNCTION("""COMPUTED_VALUE"""),83.0)</f>
        <v>83</v>
      </c>
      <c r="Z724" s="5">
        <f>IFERROR(__xludf.DUMMYFUNCTION("""COMPUTED_VALUE"""),84.0)</f>
        <v>84</v>
      </c>
    </row>
    <row r="725">
      <c r="A725" s="30" t="s">
        <v>2017</v>
      </c>
      <c r="B725" s="30">
        <f>IFERROR(__xludf.DUMMYFUNCTION("""COMPUTED_VALUE"""),81.0)</f>
        <v>81</v>
      </c>
      <c r="C725" s="30"/>
      <c r="D725" s="30"/>
      <c r="E725" s="30"/>
      <c r="F725" s="30"/>
      <c r="G725" s="30"/>
      <c r="H725" s="30"/>
      <c r="I725" s="30"/>
      <c r="J725" s="30">
        <f>IFERROR(__xludf.DUMMYFUNCTION("""COMPUTED_VALUE"""),-11.059343513011441)</f>
        <v>-11.05934351</v>
      </c>
      <c r="K725" s="30"/>
      <c r="L725" s="30"/>
      <c r="M725" s="30"/>
      <c r="N725" s="30"/>
      <c r="O725" s="30">
        <f>IFERROR(__xludf.DUMMYFUNCTION("""COMPUTED_VALUE"""),-2.630874715592867)</f>
        <v>-2.630874716</v>
      </c>
      <c r="P725" s="30">
        <f>IFERROR(__xludf.DUMMYFUNCTION("""COMPUTED_VALUE"""),4.463999088063446)</f>
        <v>4.463999088</v>
      </c>
      <c r="Q725" s="30"/>
      <c r="R725" s="30"/>
      <c r="S725" s="30"/>
      <c r="T725" s="30"/>
      <c r="U725" s="30">
        <v>0.0</v>
      </c>
      <c r="V725" s="30"/>
      <c r="W725" s="30"/>
      <c r="X725" s="30"/>
      <c r="Y725" s="5">
        <f>IFERROR(__xludf.DUMMYFUNCTION("""COMPUTED_VALUE"""),81.0)</f>
        <v>81</v>
      </c>
      <c r="Z725" s="5">
        <f>IFERROR(__xludf.DUMMYFUNCTION("""COMPUTED_VALUE"""),81.0)</f>
        <v>81</v>
      </c>
    </row>
    <row r="726">
      <c r="A726" s="30" t="s">
        <v>2514</v>
      </c>
      <c r="B726" s="30">
        <f>IFERROR(__xludf.DUMMYFUNCTION("""COMPUTED_VALUE"""),83.0)</f>
        <v>83</v>
      </c>
      <c r="C726" s="30"/>
      <c r="D726" s="30"/>
      <c r="E726" s="30"/>
      <c r="F726" s="30"/>
      <c r="G726" s="30"/>
      <c r="H726" s="30"/>
      <c r="I726" s="30"/>
      <c r="J726" s="30">
        <f>IFERROR(__xludf.DUMMYFUNCTION("""COMPUTED_VALUE"""),-11.059343513011441)</f>
        <v>-11.05934351</v>
      </c>
      <c r="K726" s="30"/>
      <c r="L726" s="30"/>
      <c r="M726" s="30"/>
      <c r="N726" s="30"/>
      <c r="O726" s="30">
        <f>IFERROR(__xludf.DUMMYFUNCTION("""COMPUTED_VALUE"""),-2.630874715592867)</f>
        <v>-2.630874716</v>
      </c>
      <c r="P726" s="30">
        <f>IFERROR(__xludf.DUMMYFUNCTION("""COMPUTED_VALUE"""),4.463999088063446)</f>
        <v>4.463999088</v>
      </c>
      <c r="Q726" s="30"/>
      <c r="R726" s="30"/>
      <c r="S726" s="30"/>
      <c r="T726" s="30"/>
      <c r="U726" s="30">
        <v>0.0</v>
      </c>
      <c r="V726" s="30"/>
      <c r="W726" s="30"/>
      <c r="X726" s="30"/>
      <c r="Y726" s="5">
        <f>IFERROR(__xludf.DUMMYFUNCTION("""COMPUTED_VALUE"""),83.0)</f>
        <v>83</v>
      </c>
      <c r="Z726" s="5">
        <f>IFERROR(__xludf.DUMMYFUNCTION("""COMPUTED_VALUE"""),83.0)</f>
        <v>83</v>
      </c>
    </row>
    <row r="727">
      <c r="A727" s="30" t="s">
        <v>2515</v>
      </c>
      <c r="B727" s="30">
        <f>IFERROR(__xludf.DUMMYFUNCTION("""COMPUTED_VALUE"""),80.0)</f>
        <v>80</v>
      </c>
      <c r="C727" s="30"/>
      <c r="D727" s="30"/>
      <c r="E727" s="30"/>
      <c r="F727" s="30"/>
      <c r="G727" s="30"/>
      <c r="H727" s="30"/>
      <c r="I727" s="30"/>
      <c r="J727" s="30">
        <f>IFERROR(__xludf.DUMMYFUNCTION("""COMPUTED_VALUE"""),-11.059343513011441)</f>
        <v>-11.05934351</v>
      </c>
      <c r="K727" s="30"/>
      <c r="L727" s="30"/>
      <c r="M727" s="30"/>
      <c r="N727" s="30"/>
      <c r="O727" s="30">
        <f>IFERROR(__xludf.DUMMYFUNCTION("""COMPUTED_VALUE"""),-2.630874715592867)</f>
        <v>-2.630874716</v>
      </c>
      <c r="P727" s="30">
        <f>IFERROR(__xludf.DUMMYFUNCTION("""COMPUTED_VALUE"""),4.463999088063446)</f>
        <v>4.463999088</v>
      </c>
      <c r="Q727" s="30"/>
      <c r="R727" s="30"/>
      <c r="S727" s="30"/>
      <c r="T727" s="30"/>
      <c r="U727" s="30">
        <v>0.0</v>
      </c>
      <c r="V727" s="30"/>
      <c r="W727" s="30"/>
      <c r="X727" s="30"/>
      <c r="Y727" s="5">
        <f>IFERROR(__xludf.DUMMYFUNCTION("""COMPUTED_VALUE"""),80.0)</f>
        <v>80</v>
      </c>
      <c r="Z727" s="5">
        <f>IFERROR(__xludf.DUMMYFUNCTION("""COMPUTED_VALUE"""),80.0)</f>
        <v>80</v>
      </c>
    </row>
    <row r="728">
      <c r="A728" s="30" t="s">
        <v>2516</v>
      </c>
      <c r="B728" s="30">
        <f>IFERROR(__xludf.DUMMYFUNCTION("""COMPUTED_VALUE"""),83.0)</f>
        <v>83</v>
      </c>
      <c r="C728" s="30"/>
      <c r="D728" s="30"/>
      <c r="E728" s="30"/>
      <c r="F728" s="30"/>
      <c r="G728" s="30"/>
      <c r="H728" s="30"/>
      <c r="I728" s="30"/>
      <c r="J728" s="30">
        <f>IFERROR(__xludf.DUMMYFUNCTION("""COMPUTED_VALUE"""),-11.059343513011441)</f>
        <v>-11.05934351</v>
      </c>
      <c r="K728" s="30"/>
      <c r="L728" s="30"/>
      <c r="M728" s="30"/>
      <c r="N728" s="30"/>
      <c r="O728" s="30">
        <f>IFERROR(__xludf.DUMMYFUNCTION("""COMPUTED_VALUE"""),-2.630874715592867)</f>
        <v>-2.630874716</v>
      </c>
      <c r="P728" s="30">
        <f>IFERROR(__xludf.DUMMYFUNCTION("""COMPUTED_VALUE"""),4.463999088063446)</f>
        <v>4.463999088</v>
      </c>
      <c r="Q728" s="30"/>
      <c r="R728" s="30"/>
      <c r="S728" s="30"/>
      <c r="T728" s="30"/>
      <c r="U728" s="30">
        <v>0.0</v>
      </c>
      <c r="V728" s="30"/>
      <c r="W728" s="30"/>
      <c r="X728" s="30"/>
      <c r="Y728" s="5">
        <f>IFERROR(__xludf.DUMMYFUNCTION("""COMPUTED_VALUE"""),83.0)</f>
        <v>83</v>
      </c>
      <c r="Z728" s="5">
        <f>IFERROR(__xludf.DUMMYFUNCTION("""COMPUTED_VALUE"""),83.0)</f>
        <v>83</v>
      </c>
    </row>
    <row r="729">
      <c r="A729" s="30" t="s">
        <v>2517</v>
      </c>
      <c r="B729" s="30">
        <f>IFERROR(__xludf.DUMMYFUNCTION("""COMPUTED_VALUE"""),80.0)</f>
        <v>80</v>
      </c>
      <c r="C729" s="30"/>
      <c r="D729" s="30"/>
      <c r="E729" s="30"/>
      <c r="F729" s="30"/>
      <c r="G729" s="30"/>
      <c r="H729" s="30"/>
      <c r="I729" s="30"/>
      <c r="J729" s="30">
        <f>IFERROR(__xludf.DUMMYFUNCTION("""COMPUTED_VALUE"""),-11.059343513011441)</f>
        <v>-11.05934351</v>
      </c>
      <c r="K729" s="30"/>
      <c r="L729" s="30"/>
      <c r="M729" s="30"/>
      <c r="N729" s="30"/>
      <c r="O729" s="30">
        <f>IFERROR(__xludf.DUMMYFUNCTION("""COMPUTED_VALUE"""),-2.630874715592867)</f>
        <v>-2.630874716</v>
      </c>
      <c r="P729" s="30">
        <f>IFERROR(__xludf.DUMMYFUNCTION("""COMPUTED_VALUE"""),4.463999088063446)</f>
        <v>4.463999088</v>
      </c>
      <c r="Q729" s="30"/>
      <c r="R729" s="30"/>
      <c r="S729" s="30"/>
      <c r="T729" s="30"/>
      <c r="U729" s="30">
        <v>0.0</v>
      </c>
      <c r="V729" s="30"/>
      <c r="W729" s="30"/>
      <c r="X729" s="30"/>
      <c r="Y729" s="5">
        <f>IFERROR(__xludf.DUMMYFUNCTION("""COMPUTED_VALUE"""),79.0)</f>
        <v>79</v>
      </c>
      <c r="Z729" s="5">
        <f>IFERROR(__xludf.DUMMYFUNCTION("""COMPUTED_VALUE"""),81.0)</f>
        <v>81</v>
      </c>
    </row>
    <row r="730">
      <c r="A730" s="30" t="s">
        <v>2521</v>
      </c>
      <c r="B730" s="30">
        <f>IFERROR(__xludf.DUMMYFUNCTION("""COMPUTED_VALUE"""),83.0)</f>
        <v>83</v>
      </c>
      <c r="C730" s="30"/>
      <c r="D730" s="30"/>
      <c r="E730" s="30"/>
      <c r="F730" s="30"/>
      <c r="G730" s="30"/>
      <c r="H730" s="30"/>
      <c r="I730" s="30"/>
      <c r="J730" s="30">
        <f>IFERROR(__xludf.DUMMYFUNCTION("""COMPUTED_VALUE"""),-11.059343513011441)</f>
        <v>-11.05934351</v>
      </c>
      <c r="K730" s="30"/>
      <c r="L730" s="30"/>
      <c r="M730" s="30"/>
      <c r="N730" s="30"/>
      <c r="O730" s="30">
        <f>IFERROR(__xludf.DUMMYFUNCTION("""COMPUTED_VALUE"""),-2.630874715592867)</f>
        <v>-2.630874716</v>
      </c>
      <c r="P730" s="30">
        <f>IFERROR(__xludf.DUMMYFUNCTION("""COMPUTED_VALUE"""),4.463999088063446)</f>
        <v>4.463999088</v>
      </c>
      <c r="Q730" s="30"/>
      <c r="R730" s="30"/>
      <c r="S730" s="30"/>
      <c r="T730" s="30"/>
      <c r="U730" s="30">
        <v>0.0</v>
      </c>
      <c r="V730" s="30"/>
      <c r="W730" s="30"/>
      <c r="X730" s="30"/>
      <c r="Y730" s="5">
        <f>IFERROR(__xludf.DUMMYFUNCTION("""COMPUTED_VALUE"""),83.0)</f>
        <v>83</v>
      </c>
      <c r="Z730" s="5">
        <f>IFERROR(__xludf.DUMMYFUNCTION("""COMPUTED_VALUE"""),83.0)</f>
        <v>83</v>
      </c>
    </row>
    <row r="731">
      <c r="A731" s="30" t="s">
        <v>2522</v>
      </c>
      <c r="B731" s="30">
        <f>IFERROR(__xludf.DUMMYFUNCTION("""COMPUTED_VALUE"""),78.0)</f>
        <v>78</v>
      </c>
      <c r="C731" s="30"/>
      <c r="D731" s="30"/>
      <c r="E731" s="30"/>
      <c r="F731" s="30"/>
      <c r="G731" s="30"/>
      <c r="H731" s="30"/>
      <c r="I731" s="30"/>
      <c r="J731" s="30">
        <f>IFERROR(__xludf.DUMMYFUNCTION("""COMPUTED_VALUE"""),-11.059343513011441)</f>
        <v>-11.05934351</v>
      </c>
      <c r="K731" s="30"/>
      <c r="L731" s="30"/>
      <c r="M731" s="30"/>
      <c r="N731" s="30"/>
      <c r="O731" s="30">
        <f>IFERROR(__xludf.DUMMYFUNCTION("""COMPUTED_VALUE"""),-2.630874715592867)</f>
        <v>-2.630874716</v>
      </c>
      <c r="P731" s="30">
        <f>IFERROR(__xludf.DUMMYFUNCTION("""COMPUTED_VALUE"""),4.463999088063446)</f>
        <v>4.463999088</v>
      </c>
      <c r="Q731" s="30"/>
      <c r="R731" s="30"/>
      <c r="S731" s="30"/>
      <c r="T731" s="30"/>
      <c r="U731" s="30">
        <v>0.0</v>
      </c>
      <c r="V731" s="30"/>
      <c r="W731" s="30"/>
      <c r="X731" s="30"/>
      <c r="Y731" s="5">
        <f>IFERROR(__xludf.DUMMYFUNCTION("""COMPUTED_VALUE"""),78.0)</f>
        <v>78</v>
      </c>
      <c r="Z731" s="5">
        <f>IFERROR(__xludf.DUMMYFUNCTION("""COMPUTED_VALUE"""),78.0)</f>
        <v>78</v>
      </c>
    </row>
    <row r="732">
      <c r="A732" s="30" t="s">
        <v>2523</v>
      </c>
      <c r="B732" s="30">
        <f>IFERROR(__xludf.DUMMYFUNCTION("""COMPUTED_VALUE"""),82.5)</f>
        <v>82.5</v>
      </c>
      <c r="C732" s="30"/>
      <c r="D732" s="30"/>
      <c r="E732" s="30"/>
      <c r="F732" s="30"/>
      <c r="G732" s="30"/>
      <c r="H732" s="30"/>
      <c r="I732" s="30"/>
      <c r="J732" s="30">
        <f>IFERROR(__xludf.DUMMYFUNCTION("""COMPUTED_VALUE"""),-11.059343513011441)</f>
        <v>-11.05934351</v>
      </c>
      <c r="K732" s="30"/>
      <c r="L732" s="30"/>
      <c r="M732" s="30"/>
      <c r="N732" s="30"/>
      <c r="O732" s="30">
        <f>IFERROR(__xludf.DUMMYFUNCTION("""COMPUTED_VALUE"""),-2.630874715592867)</f>
        <v>-2.630874716</v>
      </c>
      <c r="P732" s="30">
        <f>IFERROR(__xludf.DUMMYFUNCTION("""COMPUTED_VALUE"""),4.463999088063446)</f>
        <v>4.463999088</v>
      </c>
      <c r="Q732" s="30"/>
      <c r="R732" s="30"/>
      <c r="S732" s="30"/>
      <c r="T732" s="30"/>
      <c r="U732" s="30">
        <v>0.0</v>
      </c>
      <c r="V732" s="30"/>
      <c r="W732" s="30"/>
      <c r="X732" s="30"/>
      <c r="Y732" s="5">
        <f>IFERROR(__xludf.DUMMYFUNCTION("""COMPUTED_VALUE"""),82.0)</f>
        <v>82</v>
      </c>
      <c r="Z732" s="5">
        <f>IFERROR(__xludf.DUMMYFUNCTION("""COMPUTED_VALUE"""),83.0)</f>
        <v>83</v>
      </c>
    </row>
    <row r="733">
      <c r="A733" s="30" t="s">
        <v>2526</v>
      </c>
      <c r="B733" s="30">
        <f>IFERROR(__xludf.DUMMYFUNCTION("""COMPUTED_VALUE"""),82.0)</f>
        <v>82</v>
      </c>
      <c r="C733" s="30"/>
      <c r="D733" s="30"/>
      <c r="E733" s="30"/>
      <c r="F733" s="30"/>
      <c r="G733" s="30"/>
      <c r="H733" s="30"/>
      <c r="I733" s="30"/>
      <c r="J733" s="30">
        <f>IFERROR(__xludf.DUMMYFUNCTION("""COMPUTED_VALUE"""),-11.059343513011441)</f>
        <v>-11.05934351</v>
      </c>
      <c r="K733" s="30"/>
      <c r="L733" s="30"/>
      <c r="M733" s="30"/>
      <c r="N733" s="30"/>
      <c r="O733" s="30">
        <f>IFERROR(__xludf.DUMMYFUNCTION("""COMPUTED_VALUE"""),-2.630874715592867)</f>
        <v>-2.630874716</v>
      </c>
      <c r="P733" s="30">
        <f>IFERROR(__xludf.DUMMYFUNCTION("""COMPUTED_VALUE"""),4.463999088063446)</f>
        <v>4.463999088</v>
      </c>
      <c r="Q733" s="30"/>
      <c r="R733" s="30"/>
      <c r="S733" s="30"/>
      <c r="T733" s="30"/>
      <c r="U733" s="30">
        <v>0.0</v>
      </c>
      <c r="V733" s="30"/>
      <c r="W733" s="30"/>
      <c r="X733" s="30"/>
      <c r="Y733" s="5">
        <f>IFERROR(__xludf.DUMMYFUNCTION("""COMPUTED_VALUE"""),82.0)</f>
        <v>82</v>
      </c>
      <c r="Z733" s="5">
        <f>IFERROR(__xludf.DUMMYFUNCTION("""COMPUTED_VALUE"""),82.0)</f>
        <v>82</v>
      </c>
    </row>
    <row r="734">
      <c r="A734" s="30" t="s">
        <v>1456</v>
      </c>
      <c r="B734" s="30">
        <f>IFERROR(__xludf.DUMMYFUNCTION("""COMPUTED_VALUE"""),82.5)</f>
        <v>82.5</v>
      </c>
      <c r="C734" s="30"/>
      <c r="D734" s="30"/>
      <c r="E734" s="30"/>
      <c r="F734" s="30"/>
      <c r="G734" s="30"/>
      <c r="H734" s="30"/>
      <c r="I734" s="30"/>
      <c r="J734" s="30">
        <f>IFERROR(__xludf.DUMMYFUNCTION("""COMPUTED_VALUE"""),-11.059343513011441)</f>
        <v>-11.05934351</v>
      </c>
      <c r="K734" s="30"/>
      <c r="L734" s="30"/>
      <c r="M734" s="30"/>
      <c r="N734" s="30"/>
      <c r="O734" s="30">
        <f>IFERROR(__xludf.DUMMYFUNCTION("""COMPUTED_VALUE"""),-2.630874715592867)</f>
        <v>-2.630874716</v>
      </c>
      <c r="P734" s="30">
        <f>IFERROR(__xludf.DUMMYFUNCTION("""COMPUTED_VALUE"""),4.463999088063446)</f>
        <v>4.463999088</v>
      </c>
      <c r="Q734" s="30"/>
      <c r="R734" s="30"/>
      <c r="S734" s="30"/>
      <c r="T734" s="30"/>
      <c r="U734" s="30">
        <v>0.0</v>
      </c>
      <c r="V734" s="30"/>
      <c r="W734" s="30"/>
      <c r="X734" s="30"/>
      <c r="Y734" s="5">
        <f>IFERROR(__xludf.DUMMYFUNCTION("""COMPUTED_VALUE"""),81.0)</f>
        <v>81</v>
      </c>
      <c r="Z734" s="5">
        <f>IFERROR(__xludf.DUMMYFUNCTION("""COMPUTED_VALUE"""),84.0)</f>
        <v>84</v>
      </c>
    </row>
    <row r="735">
      <c r="A735" s="30" t="s">
        <v>2528</v>
      </c>
      <c r="B735" s="30">
        <f>IFERROR(__xludf.DUMMYFUNCTION("""COMPUTED_VALUE"""),81.0)</f>
        <v>81</v>
      </c>
      <c r="C735" s="30"/>
      <c r="D735" s="30"/>
      <c r="E735" s="30"/>
      <c r="F735" s="30"/>
      <c r="G735" s="30"/>
      <c r="H735" s="30"/>
      <c r="I735" s="30"/>
      <c r="J735" s="30">
        <f>IFERROR(__xludf.DUMMYFUNCTION("""COMPUTED_VALUE"""),-11.059343513011441)</f>
        <v>-11.05934351</v>
      </c>
      <c r="K735" s="30"/>
      <c r="L735" s="30"/>
      <c r="M735" s="30"/>
      <c r="N735" s="30"/>
      <c r="O735" s="30">
        <f>IFERROR(__xludf.DUMMYFUNCTION("""COMPUTED_VALUE"""),-2.630874715592867)</f>
        <v>-2.630874716</v>
      </c>
      <c r="P735" s="30">
        <f>IFERROR(__xludf.DUMMYFUNCTION("""COMPUTED_VALUE"""),4.463999088063446)</f>
        <v>4.463999088</v>
      </c>
      <c r="Q735" s="30"/>
      <c r="R735" s="30"/>
      <c r="S735" s="30"/>
      <c r="T735" s="30"/>
      <c r="U735" s="30">
        <v>0.0</v>
      </c>
      <c r="V735" s="30"/>
      <c r="W735" s="30"/>
      <c r="X735" s="30"/>
      <c r="Y735" s="5">
        <f>IFERROR(__xludf.DUMMYFUNCTION("""COMPUTED_VALUE"""),81.0)</f>
        <v>81</v>
      </c>
      <c r="Z735" s="5">
        <f>IFERROR(__xludf.DUMMYFUNCTION("""COMPUTED_VALUE"""),81.0)</f>
        <v>81</v>
      </c>
    </row>
    <row r="736">
      <c r="A736" s="30" t="s">
        <v>2529</v>
      </c>
      <c r="B736" s="30">
        <f>IFERROR(__xludf.DUMMYFUNCTION("""COMPUTED_VALUE"""),81.0)</f>
        <v>81</v>
      </c>
      <c r="C736" s="30"/>
      <c r="D736" s="30"/>
      <c r="E736" s="30"/>
      <c r="F736" s="30"/>
      <c r="G736" s="30"/>
      <c r="H736" s="30"/>
      <c r="I736" s="30"/>
      <c r="J736" s="30">
        <f>IFERROR(__xludf.DUMMYFUNCTION("""COMPUTED_VALUE"""),-11.059343513011441)</f>
        <v>-11.05934351</v>
      </c>
      <c r="K736" s="30"/>
      <c r="L736" s="30"/>
      <c r="M736" s="30"/>
      <c r="N736" s="30"/>
      <c r="O736" s="30">
        <f>IFERROR(__xludf.DUMMYFUNCTION("""COMPUTED_VALUE"""),-2.630874715592867)</f>
        <v>-2.630874716</v>
      </c>
      <c r="P736" s="30">
        <f>IFERROR(__xludf.DUMMYFUNCTION("""COMPUTED_VALUE"""),4.463999088063446)</f>
        <v>4.463999088</v>
      </c>
      <c r="Q736" s="30"/>
      <c r="R736" s="30"/>
      <c r="S736" s="30"/>
      <c r="T736" s="30"/>
      <c r="U736" s="30">
        <v>0.0</v>
      </c>
      <c r="V736" s="30"/>
      <c r="W736" s="30"/>
      <c r="X736" s="30"/>
      <c r="Y736" s="5">
        <f>IFERROR(__xludf.DUMMYFUNCTION("""COMPUTED_VALUE"""),81.0)</f>
        <v>81</v>
      </c>
      <c r="Z736" s="5">
        <f>IFERROR(__xludf.DUMMYFUNCTION("""COMPUTED_VALUE"""),81.0)</f>
        <v>81</v>
      </c>
    </row>
    <row r="737">
      <c r="A737" s="30" t="s">
        <v>2536</v>
      </c>
      <c r="B737" s="30">
        <f>IFERROR(__xludf.DUMMYFUNCTION("""COMPUTED_VALUE"""),84.0)</f>
        <v>84</v>
      </c>
      <c r="C737" s="30"/>
      <c r="D737" s="30"/>
      <c r="E737" s="30"/>
      <c r="F737" s="30"/>
      <c r="G737" s="30"/>
      <c r="H737" s="30"/>
      <c r="I737" s="30"/>
      <c r="J737" s="30">
        <f>IFERROR(__xludf.DUMMYFUNCTION("""COMPUTED_VALUE"""),-11.059343513011441)</f>
        <v>-11.05934351</v>
      </c>
      <c r="K737" s="30"/>
      <c r="L737" s="30"/>
      <c r="M737" s="30"/>
      <c r="N737" s="30"/>
      <c r="O737" s="30">
        <f>IFERROR(__xludf.DUMMYFUNCTION("""COMPUTED_VALUE"""),-2.630874715592867)</f>
        <v>-2.630874716</v>
      </c>
      <c r="P737" s="30">
        <f>IFERROR(__xludf.DUMMYFUNCTION("""COMPUTED_VALUE"""),4.463999088063446)</f>
        <v>4.463999088</v>
      </c>
      <c r="Q737" s="30"/>
      <c r="R737" s="30"/>
      <c r="S737" s="30"/>
      <c r="T737" s="30"/>
      <c r="U737" s="30">
        <v>0.0</v>
      </c>
      <c r="V737" s="30"/>
      <c r="W737" s="30"/>
      <c r="X737" s="30"/>
      <c r="Y737" s="5">
        <f>IFERROR(__xludf.DUMMYFUNCTION("""COMPUTED_VALUE"""),84.0)</f>
        <v>84</v>
      </c>
      <c r="Z737" s="5">
        <f>IFERROR(__xludf.DUMMYFUNCTION("""COMPUTED_VALUE"""),84.0)</f>
        <v>84</v>
      </c>
    </row>
    <row r="738">
      <c r="A738" s="30" t="s">
        <v>2537</v>
      </c>
      <c r="B738" s="30">
        <f>IFERROR(__xludf.DUMMYFUNCTION("""COMPUTED_VALUE"""),82.0)</f>
        <v>82</v>
      </c>
      <c r="C738" s="30"/>
      <c r="D738" s="30"/>
      <c r="E738" s="30"/>
      <c r="F738" s="30"/>
      <c r="G738" s="30"/>
      <c r="H738" s="30"/>
      <c r="I738" s="30"/>
      <c r="J738" s="30">
        <f>IFERROR(__xludf.DUMMYFUNCTION("""COMPUTED_VALUE"""),-11.059343513011441)</f>
        <v>-11.05934351</v>
      </c>
      <c r="K738" s="30"/>
      <c r="L738" s="30"/>
      <c r="M738" s="30"/>
      <c r="N738" s="30"/>
      <c r="O738" s="30">
        <f>IFERROR(__xludf.DUMMYFUNCTION("""COMPUTED_VALUE"""),-2.630874715592867)</f>
        <v>-2.630874716</v>
      </c>
      <c r="P738" s="30">
        <f>IFERROR(__xludf.DUMMYFUNCTION("""COMPUTED_VALUE"""),4.463999088063446)</f>
        <v>4.463999088</v>
      </c>
      <c r="Q738" s="30"/>
      <c r="R738" s="30"/>
      <c r="S738" s="30"/>
      <c r="T738" s="30"/>
      <c r="U738" s="30">
        <v>0.0</v>
      </c>
      <c r="V738" s="30"/>
      <c r="W738" s="30"/>
      <c r="X738" s="30"/>
      <c r="Y738" s="5">
        <f>IFERROR(__xludf.DUMMYFUNCTION("""COMPUTED_VALUE"""),82.0)</f>
        <v>82</v>
      </c>
      <c r="Z738" s="5">
        <f>IFERROR(__xludf.DUMMYFUNCTION("""COMPUTED_VALUE"""),82.0)</f>
        <v>82</v>
      </c>
    </row>
    <row r="739">
      <c r="A739" s="30" t="s">
        <v>2538</v>
      </c>
      <c r="B739" s="30">
        <f>IFERROR(__xludf.DUMMYFUNCTION("""COMPUTED_VALUE"""),81.0)</f>
        <v>81</v>
      </c>
      <c r="C739" s="30"/>
      <c r="D739" s="30"/>
      <c r="E739" s="30"/>
      <c r="F739" s="30"/>
      <c r="G739" s="30"/>
      <c r="H739" s="30"/>
      <c r="I739" s="30"/>
      <c r="J739" s="30">
        <f>IFERROR(__xludf.DUMMYFUNCTION("""COMPUTED_VALUE"""),-11.059343513011441)</f>
        <v>-11.05934351</v>
      </c>
      <c r="K739" s="30"/>
      <c r="L739" s="30"/>
      <c r="M739" s="30"/>
      <c r="N739" s="30"/>
      <c r="O739" s="30">
        <f>IFERROR(__xludf.DUMMYFUNCTION("""COMPUTED_VALUE"""),-2.630874715592867)</f>
        <v>-2.630874716</v>
      </c>
      <c r="P739" s="30">
        <f>IFERROR(__xludf.DUMMYFUNCTION("""COMPUTED_VALUE"""),4.463999088063446)</f>
        <v>4.463999088</v>
      </c>
      <c r="Q739" s="30"/>
      <c r="R739" s="30"/>
      <c r="S739" s="30"/>
      <c r="T739" s="30"/>
      <c r="U739" s="30">
        <v>0.0</v>
      </c>
      <c r="V739" s="30"/>
      <c r="W739" s="30"/>
      <c r="X739" s="30"/>
      <c r="Y739" s="5">
        <f>IFERROR(__xludf.DUMMYFUNCTION("""COMPUTED_VALUE"""),81.0)</f>
        <v>81</v>
      </c>
      <c r="Z739" s="5">
        <f>IFERROR(__xludf.DUMMYFUNCTION("""COMPUTED_VALUE"""),81.0)</f>
        <v>81</v>
      </c>
    </row>
    <row r="740">
      <c r="A740" s="30" t="s">
        <v>2539</v>
      </c>
      <c r="B740" s="30">
        <f>IFERROR(__xludf.DUMMYFUNCTION("""COMPUTED_VALUE"""),81.0)</f>
        <v>81</v>
      </c>
      <c r="C740" s="30"/>
      <c r="D740" s="30"/>
      <c r="E740" s="30"/>
      <c r="F740" s="30"/>
      <c r="G740" s="30"/>
      <c r="H740" s="30"/>
      <c r="I740" s="30"/>
      <c r="J740" s="30">
        <f>IFERROR(__xludf.DUMMYFUNCTION("""COMPUTED_VALUE"""),-11.059343513011441)</f>
        <v>-11.05934351</v>
      </c>
      <c r="K740" s="30"/>
      <c r="L740" s="30"/>
      <c r="M740" s="30"/>
      <c r="N740" s="30"/>
      <c r="O740" s="30">
        <f>IFERROR(__xludf.DUMMYFUNCTION("""COMPUTED_VALUE"""),-2.630874715592867)</f>
        <v>-2.630874716</v>
      </c>
      <c r="P740" s="30">
        <f>IFERROR(__xludf.DUMMYFUNCTION("""COMPUTED_VALUE"""),4.463999088063446)</f>
        <v>4.463999088</v>
      </c>
      <c r="Q740" s="30"/>
      <c r="R740" s="30"/>
      <c r="S740" s="30"/>
      <c r="T740" s="30"/>
      <c r="U740" s="30">
        <v>0.0</v>
      </c>
      <c r="V740" s="30"/>
      <c r="W740" s="30"/>
      <c r="X740" s="30"/>
      <c r="Y740" s="5">
        <f>IFERROR(__xludf.DUMMYFUNCTION("""COMPUTED_VALUE"""),81.0)</f>
        <v>81</v>
      </c>
      <c r="Z740" s="5">
        <f>IFERROR(__xludf.DUMMYFUNCTION("""COMPUTED_VALUE"""),81.0)</f>
        <v>81</v>
      </c>
    </row>
    <row r="741">
      <c r="A741" s="30" t="s">
        <v>2540</v>
      </c>
      <c r="B741" s="30">
        <f>IFERROR(__xludf.DUMMYFUNCTION("""COMPUTED_VALUE"""),82.0)</f>
        <v>82</v>
      </c>
      <c r="C741" s="30"/>
      <c r="D741" s="30"/>
      <c r="E741" s="30"/>
      <c r="F741" s="30"/>
      <c r="G741" s="30"/>
      <c r="H741" s="30"/>
      <c r="I741" s="30"/>
      <c r="J741" s="30">
        <f>IFERROR(__xludf.DUMMYFUNCTION("""COMPUTED_VALUE"""),-11.059343513011441)</f>
        <v>-11.05934351</v>
      </c>
      <c r="K741" s="30"/>
      <c r="L741" s="30"/>
      <c r="M741" s="30"/>
      <c r="N741" s="30"/>
      <c r="O741" s="30">
        <f>IFERROR(__xludf.DUMMYFUNCTION("""COMPUTED_VALUE"""),-2.630874715592867)</f>
        <v>-2.630874716</v>
      </c>
      <c r="P741" s="30">
        <f>IFERROR(__xludf.DUMMYFUNCTION("""COMPUTED_VALUE"""),4.463999088063446)</f>
        <v>4.463999088</v>
      </c>
      <c r="Q741" s="30"/>
      <c r="R741" s="30"/>
      <c r="S741" s="30"/>
      <c r="T741" s="30"/>
      <c r="U741" s="30">
        <v>0.0</v>
      </c>
      <c r="V741" s="30"/>
      <c r="W741" s="30"/>
      <c r="X741" s="30"/>
      <c r="Y741" s="5">
        <f>IFERROR(__xludf.DUMMYFUNCTION("""COMPUTED_VALUE"""),80.0)</f>
        <v>80</v>
      </c>
      <c r="Z741" s="5">
        <f>IFERROR(__xludf.DUMMYFUNCTION("""COMPUTED_VALUE"""),84.0)</f>
        <v>84</v>
      </c>
    </row>
    <row r="742">
      <c r="A742" s="30" t="s">
        <v>1474</v>
      </c>
      <c r="B742" s="30">
        <f>IFERROR(__xludf.DUMMYFUNCTION("""COMPUTED_VALUE"""),80.0)</f>
        <v>80</v>
      </c>
      <c r="C742" s="30"/>
      <c r="D742" s="30"/>
      <c r="E742" s="30"/>
      <c r="F742" s="30"/>
      <c r="G742" s="30"/>
      <c r="H742" s="30"/>
      <c r="I742" s="30"/>
      <c r="J742" s="30">
        <f>IFERROR(__xludf.DUMMYFUNCTION("""COMPUTED_VALUE"""),-11.059343513011441)</f>
        <v>-11.05934351</v>
      </c>
      <c r="K742" s="30"/>
      <c r="L742" s="30"/>
      <c r="M742" s="30"/>
      <c r="N742" s="30"/>
      <c r="O742" s="30">
        <f>IFERROR(__xludf.DUMMYFUNCTION("""COMPUTED_VALUE"""),-2.630874715592867)</f>
        <v>-2.630874716</v>
      </c>
      <c r="P742" s="30">
        <f>IFERROR(__xludf.DUMMYFUNCTION("""COMPUTED_VALUE"""),4.463999088063446)</f>
        <v>4.463999088</v>
      </c>
      <c r="Q742" s="30"/>
      <c r="R742" s="30"/>
      <c r="S742" s="30"/>
      <c r="T742" s="30"/>
      <c r="U742" s="30">
        <v>0.0</v>
      </c>
      <c r="V742" s="30"/>
      <c r="W742" s="30"/>
      <c r="X742" s="30"/>
      <c r="Y742" s="5">
        <f>IFERROR(__xludf.DUMMYFUNCTION("""COMPUTED_VALUE"""),78.0)</f>
        <v>78</v>
      </c>
      <c r="Z742" s="5">
        <f>IFERROR(__xludf.DUMMYFUNCTION("""COMPUTED_VALUE"""),82.0)</f>
        <v>82</v>
      </c>
    </row>
    <row r="743">
      <c r="A743" s="30" t="s">
        <v>2545</v>
      </c>
      <c r="B743" s="30">
        <f>IFERROR(__xludf.DUMMYFUNCTION("""COMPUTED_VALUE"""),83.0)</f>
        <v>83</v>
      </c>
      <c r="C743" s="30"/>
      <c r="D743" s="30"/>
      <c r="E743" s="30"/>
      <c r="F743" s="30"/>
      <c r="G743" s="30"/>
      <c r="H743" s="30"/>
      <c r="I743" s="30"/>
      <c r="J743" s="30">
        <f>IFERROR(__xludf.DUMMYFUNCTION("""COMPUTED_VALUE"""),-11.059343513011441)</f>
        <v>-11.05934351</v>
      </c>
      <c r="K743" s="30"/>
      <c r="L743" s="30"/>
      <c r="M743" s="30"/>
      <c r="N743" s="30"/>
      <c r="O743" s="30">
        <f>IFERROR(__xludf.DUMMYFUNCTION("""COMPUTED_VALUE"""),-2.630874715592867)</f>
        <v>-2.630874716</v>
      </c>
      <c r="P743" s="30">
        <f>IFERROR(__xludf.DUMMYFUNCTION("""COMPUTED_VALUE"""),4.463999088063446)</f>
        <v>4.463999088</v>
      </c>
      <c r="Q743" s="30"/>
      <c r="R743" s="30"/>
      <c r="S743" s="30"/>
      <c r="T743" s="30"/>
      <c r="U743" s="30">
        <v>0.0</v>
      </c>
      <c r="V743" s="30"/>
      <c r="W743" s="30"/>
      <c r="X743" s="30"/>
      <c r="Y743" s="5">
        <f>IFERROR(__xludf.DUMMYFUNCTION("""COMPUTED_VALUE"""),83.0)</f>
        <v>83</v>
      </c>
      <c r="Z743" s="5">
        <f>IFERROR(__xludf.DUMMYFUNCTION("""COMPUTED_VALUE"""),83.0)</f>
        <v>83</v>
      </c>
    </row>
    <row r="744">
      <c r="A744" s="30" t="s">
        <v>2546</v>
      </c>
      <c r="B744" s="30">
        <f>IFERROR(__xludf.DUMMYFUNCTION("""COMPUTED_VALUE"""),82.0)</f>
        <v>82</v>
      </c>
      <c r="C744" s="30"/>
      <c r="D744" s="30"/>
      <c r="E744" s="30"/>
      <c r="F744" s="30"/>
      <c r="G744" s="30"/>
      <c r="H744" s="30"/>
      <c r="I744" s="30"/>
      <c r="J744" s="30">
        <f>IFERROR(__xludf.DUMMYFUNCTION("""COMPUTED_VALUE"""),-11.059343513011441)</f>
        <v>-11.05934351</v>
      </c>
      <c r="K744" s="30"/>
      <c r="L744" s="30"/>
      <c r="M744" s="30"/>
      <c r="N744" s="30"/>
      <c r="O744" s="30">
        <f>IFERROR(__xludf.DUMMYFUNCTION("""COMPUTED_VALUE"""),-2.630874715592867)</f>
        <v>-2.630874716</v>
      </c>
      <c r="P744" s="30">
        <f>IFERROR(__xludf.DUMMYFUNCTION("""COMPUTED_VALUE"""),4.463999088063446)</f>
        <v>4.463999088</v>
      </c>
      <c r="Q744" s="30"/>
      <c r="R744" s="30"/>
      <c r="S744" s="30"/>
      <c r="T744" s="30"/>
      <c r="U744" s="30">
        <v>0.0</v>
      </c>
      <c r="V744" s="30"/>
      <c r="W744" s="30"/>
      <c r="X744" s="30"/>
      <c r="Y744" s="5">
        <f>IFERROR(__xludf.DUMMYFUNCTION("""COMPUTED_VALUE"""),82.0)</f>
        <v>82</v>
      </c>
      <c r="Z744" s="5">
        <f>IFERROR(__xludf.DUMMYFUNCTION("""COMPUTED_VALUE"""),82.0)</f>
        <v>82</v>
      </c>
    </row>
    <row r="745">
      <c r="A745" s="30" t="s">
        <v>2547</v>
      </c>
      <c r="B745" s="30">
        <f>IFERROR(__xludf.DUMMYFUNCTION("""COMPUTED_VALUE"""),80.0)</f>
        <v>80</v>
      </c>
      <c r="C745" s="30"/>
      <c r="D745" s="30"/>
      <c r="E745" s="30"/>
      <c r="F745" s="30"/>
      <c r="G745" s="30"/>
      <c r="H745" s="30"/>
      <c r="I745" s="30"/>
      <c r="J745" s="30">
        <f>IFERROR(__xludf.DUMMYFUNCTION("""COMPUTED_VALUE"""),-11.059343513011441)</f>
        <v>-11.05934351</v>
      </c>
      <c r="K745" s="30"/>
      <c r="L745" s="30"/>
      <c r="M745" s="30"/>
      <c r="N745" s="30"/>
      <c r="O745" s="30">
        <f>IFERROR(__xludf.DUMMYFUNCTION("""COMPUTED_VALUE"""),-2.630874715592867)</f>
        <v>-2.630874716</v>
      </c>
      <c r="P745" s="30">
        <f>IFERROR(__xludf.DUMMYFUNCTION("""COMPUTED_VALUE"""),4.463999088063446)</f>
        <v>4.463999088</v>
      </c>
      <c r="Q745" s="30"/>
      <c r="R745" s="30"/>
      <c r="S745" s="30"/>
      <c r="T745" s="30"/>
      <c r="U745" s="30">
        <v>0.0</v>
      </c>
      <c r="V745" s="30"/>
      <c r="W745" s="30"/>
      <c r="X745" s="30"/>
      <c r="Y745" s="5">
        <f>IFERROR(__xludf.DUMMYFUNCTION("""COMPUTED_VALUE"""),79.0)</f>
        <v>79</v>
      </c>
      <c r="Z745" s="5">
        <f>IFERROR(__xludf.DUMMYFUNCTION("""COMPUTED_VALUE"""),81.0)</f>
        <v>81</v>
      </c>
    </row>
    <row r="746">
      <c r="A746" s="30" t="s">
        <v>2549</v>
      </c>
      <c r="B746" s="30">
        <f>IFERROR(__xludf.DUMMYFUNCTION("""COMPUTED_VALUE"""),82.5)</f>
        <v>82.5</v>
      </c>
      <c r="C746" s="30"/>
      <c r="D746" s="30"/>
      <c r="E746" s="30"/>
      <c r="F746" s="30"/>
      <c r="G746" s="30"/>
      <c r="H746" s="30"/>
      <c r="I746" s="30"/>
      <c r="J746" s="30">
        <f>IFERROR(__xludf.DUMMYFUNCTION("""COMPUTED_VALUE"""),-11.059343513011441)</f>
        <v>-11.05934351</v>
      </c>
      <c r="K746" s="30"/>
      <c r="L746" s="30"/>
      <c r="M746" s="30"/>
      <c r="N746" s="30"/>
      <c r="O746" s="30">
        <f>IFERROR(__xludf.DUMMYFUNCTION("""COMPUTED_VALUE"""),-2.630874715592867)</f>
        <v>-2.630874716</v>
      </c>
      <c r="P746" s="30">
        <f>IFERROR(__xludf.DUMMYFUNCTION("""COMPUTED_VALUE"""),4.463999088063446)</f>
        <v>4.463999088</v>
      </c>
      <c r="Q746" s="30"/>
      <c r="R746" s="30"/>
      <c r="S746" s="30"/>
      <c r="T746" s="30"/>
      <c r="U746" s="30">
        <v>0.0</v>
      </c>
      <c r="V746" s="30"/>
      <c r="W746" s="30"/>
      <c r="X746" s="30"/>
      <c r="Y746" s="5">
        <f>IFERROR(__xludf.DUMMYFUNCTION("""COMPUTED_VALUE"""),82.0)</f>
        <v>82</v>
      </c>
      <c r="Z746" s="5">
        <f>IFERROR(__xludf.DUMMYFUNCTION("""COMPUTED_VALUE"""),83.0)</f>
        <v>83</v>
      </c>
    </row>
    <row r="747">
      <c r="A747" s="30" t="s">
        <v>2552</v>
      </c>
      <c r="B747" s="30">
        <f>IFERROR(__xludf.DUMMYFUNCTION("""COMPUTED_VALUE"""),82.0)</f>
        <v>82</v>
      </c>
      <c r="C747" s="30"/>
      <c r="D747" s="30"/>
      <c r="E747" s="30"/>
      <c r="F747" s="30"/>
      <c r="G747" s="30"/>
      <c r="H747" s="30"/>
      <c r="I747" s="30"/>
      <c r="J747" s="30">
        <f>IFERROR(__xludf.DUMMYFUNCTION("""COMPUTED_VALUE"""),-11.059343513011441)</f>
        <v>-11.05934351</v>
      </c>
      <c r="K747" s="30"/>
      <c r="L747" s="30"/>
      <c r="M747" s="30"/>
      <c r="N747" s="30"/>
      <c r="O747" s="30">
        <f>IFERROR(__xludf.DUMMYFUNCTION("""COMPUTED_VALUE"""),-2.630874715592867)</f>
        <v>-2.630874716</v>
      </c>
      <c r="P747" s="30">
        <f>IFERROR(__xludf.DUMMYFUNCTION("""COMPUTED_VALUE"""),4.463999088063446)</f>
        <v>4.463999088</v>
      </c>
      <c r="Q747" s="30"/>
      <c r="R747" s="30"/>
      <c r="S747" s="30"/>
      <c r="T747" s="30"/>
      <c r="U747" s="30">
        <v>0.0</v>
      </c>
      <c r="V747" s="30"/>
      <c r="W747" s="30"/>
      <c r="X747" s="30"/>
      <c r="Y747" s="5">
        <f>IFERROR(__xludf.DUMMYFUNCTION("""COMPUTED_VALUE"""),82.0)</f>
        <v>82</v>
      </c>
      <c r="Z747" s="5">
        <f>IFERROR(__xludf.DUMMYFUNCTION("""COMPUTED_VALUE"""),82.0)</f>
        <v>82</v>
      </c>
    </row>
    <row r="748">
      <c r="A748" s="30" t="s">
        <v>2553</v>
      </c>
      <c r="B748" s="30">
        <f>IFERROR(__xludf.DUMMYFUNCTION("""COMPUTED_VALUE"""),80.0)</f>
        <v>80</v>
      </c>
      <c r="C748" s="30"/>
      <c r="D748" s="30"/>
      <c r="E748" s="30"/>
      <c r="F748" s="30"/>
      <c r="G748" s="30"/>
      <c r="H748" s="30"/>
      <c r="I748" s="30"/>
      <c r="J748" s="30">
        <f>IFERROR(__xludf.DUMMYFUNCTION("""COMPUTED_VALUE"""),-11.059343513011441)</f>
        <v>-11.05934351</v>
      </c>
      <c r="K748" s="30"/>
      <c r="L748" s="30"/>
      <c r="M748" s="30"/>
      <c r="N748" s="30"/>
      <c r="O748" s="30">
        <f>IFERROR(__xludf.DUMMYFUNCTION("""COMPUTED_VALUE"""),-2.630874715592867)</f>
        <v>-2.630874716</v>
      </c>
      <c r="P748" s="30">
        <f>IFERROR(__xludf.DUMMYFUNCTION("""COMPUTED_VALUE"""),4.463999088063446)</f>
        <v>4.463999088</v>
      </c>
      <c r="Q748" s="30"/>
      <c r="R748" s="30"/>
      <c r="S748" s="30"/>
      <c r="T748" s="30"/>
      <c r="U748" s="30">
        <v>0.0</v>
      </c>
      <c r="V748" s="30"/>
      <c r="W748" s="30"/>
      <c r="X748" s="30"/>
      <c r="Y748" s="5">
        <f>IFERROR(__xludf.DUMMYFUNCTION("""COMPUTED_VALUE"""),80.0)</f>
        <v>80</v>
      </c>
      <c r="Z748" s="5">
        <f>IFERROR(__xludf.DUMMYFUNCTION("""COMPUTED_VALUE"""),80.0)</f>
        <v>80</v>
      </c>
    </row>
    <row r="749">
      <c r="A749" s="30" t="s">
        <v>2554</v>
      </c>
      <c r="B749" s="30">
        <f>IFERROR(__xludf.DUMMYFUNCTION("""COMPUTED_VALUE"""),81.0)</f>
        <v>81</v>
      </c>
      <c r="C749" s="30"/>
      <c r="D749" s="30"/>
      <c r="E749" s="30"/>
      <c r="F749" s="30"/>
      <c r="G749" s="30"/>
      <c r="H749" s="30"/>
      <c r="I749" s="30"/>
      <c r="J749" s="30">
        <f>IFERROR(__xludf.DUMMYFUNCTION("""COMPUTED_VALUE"""),-11.059343513011441)</f>
        <v>-11.05934351</v>
      </c>
      <c r="K749" s="30"/>
      <c r="L749" s="30"/>
      <c r="M749" s="30"/>
      <c r="N749" s="30"/>
      <c r="O749" s="30">
        <f>IFERROR(__xludf.DUMMYFUNCTION("""COMPUTED_VALUE"""),-2.630874715592867)</f>
        <v>-2.630874716</v>
      </c>
      <c r="P749" s="30">
        <f>IFERROR(__xludf.DUMMYFUNCTION("""COMPUTED_VALUE"""),4.463999088063446)</f>
        <v>4.463999088</v>
      </c>
      <c r="Q749" s="30"/>
      <c r="R749" s="30"/>
      <c r="S749" s="30"/>
      <c r="T749" s="30"/>
      <c r="U749" s="30">
        <v>0.0</v>
      </c>
      <c r="V749" s="30"/>
      <c r="W749" s="30"/>
      <c r="X749" s="30"/>
      <c r="Y749" s="5">
        <f>IFERROR(__xludf.DUMMYFUNCTION("""COMPUTED_VALUE"""),81.0)</f>
        <v>81</v>
      </c>
      <c r="Z749" s="5">
        <f>IFERROR(__xludf.DUMMYFUNCTION("""COMPUTED_VALUE"""),81.0)</f>
        <v>81</v>
      </c>
    </row>
    <row r="750">
      <c r="A750" s="30" t="s">
        <v>2555</v>
      </c>
      <c r="B750" s="30">
        <f>IFERROR(__xludf.DUMMYFUNCTION("""COMPUTED_VALUE"""),81.0)</f>
        <v>81</v>
      </c>
      <c r="C750" s="30"/>
      <c r="D750" s="30"/>
      <c r="E750" s="30"/>
      <c r="F750" s="30"/>
      <c r="G750" s="30"/>
      <c r="H750" s="30"/>
      <c r="I750" s="30"/>
      <c r="J750" s="30">
        <f>IFERROR(__xludf.DUMMYFUNCTION("""COMPUTED_VALUE"""),-11.059343513011441)</f>
        <v>-11.05934351</v>
      </c>
      <c r="K750" s="30"/>
      <c r="L750" s="30"/>
      <c r="M750" s="30"/>
      <c r="N750" s="30"/>
      <c r="O750" s="30">
        <f>IFERROR(__xludf.DUMMYFUNCTION("""COMPUTED_VALUE"""),-2.630874715592867)</f>
        <v>-2.630874716</v>
      </c>
      <c r="P750" s="30">
        <f>IFERROR(__xludf.DUMMYFUNCTION("""COMPUTED_VALUE"""),4.463999088063446)</f>
        <v>4.463999088</v>
      </c>
      <c r="Q750" s="30"/>
      <c r="R750" s="30"/>
      <c r="S750" s="30"/>
      <c r="T750" s="30"/>
      <c r="U750" s="30">
        <v>0.0</v>
      </c>
      <c r="V750" s="30"/>
      <c r="W750" s="30"/>
      <c r="X750" s="30"/>
      <c r="Y750" s="5">
        <f>IFERROR(__xludf.DUMMYFUNCTION("""COMPUTED_VALUE"""),81.0)</f>
        <v>81</v>
      </c>
      <c r="Z750" s="5">
        <f>IFERROR(__xludf.DUMMYFUNCTION("""COMPUTED_VALUE"""),81.0)</f>
        <v>81</v>
      </c>
    </row>
    <row r="751">
      <c r="A751" s="30" t="s">
        <v>2557</v>
      </c>
      <c r="B751" s="30">
        <f>IFERROR(__xludf.DUMMYFUNCTION("""COMPUTED_VALUE"""),82.0)</f>
        <v>82</v>
      </c>
      <c r="C751" s="30"/>
      <c r="D751" s="30"/>
      <c r="E751" s="30"/>
      <c r="F751" s="30"/>
      <c r="G751" s="30"/>
      <c r="H751" s="30"/>
      <c r="I751" s="30"/>
      <c r="J751" s="30">
        <f>IFERROR(__xludf.DUMMYFUNCTION("""COMPUTED_VALUE"""),-11.059343513011441)</f>
        <v>-11.05934351</v>
      </c>
      <c r="K751" s="30"/>
      <c r="L751" s="30"/>
      <c r="M751" s="30"/>
      <c r="N751" s="30"/>
      <c r="O751" s="30">
        <f>IFERROR(__xludf.DUMMYFUNCTION("""COMPUTED_VALUE"""),-2.630874715592867)</f>
        <v>-2.630874716</v>
      </c>
      <c r="P751" s="30">
        <f>IFERROR(__xludf.DUMMYFUNCTION("""COMPUTED_VALUE"""),4.463999088063446)</f>
        <v>4.463999088</v>
      </c>
      <c r="Q751" s="30"/>
      <c r="R751" s="30"/>
      <c r="S751" s="30"/>
      <c r="T751" s="30"/>
      <c r="U751" s="30">
        <v>0.0</v>
      </c>
      <c r="V751" s="30"/>
      <c r="W751" s="30"/>
      <c r="X751" s="30"/>
      <c r="Y751" s="5">
        <f>IFERROR(__xludf.DUMMYFUNCTION("""COMPUTED_VALUE"""),82.0)</f>
        <v>82</v>
      </c>
      <c r="Z751" s="5">
        <f>IFERROR(__xludf.DUMMYFUNCTION("""COMPUTED_VALUE"""),82.0)</f>
        <v>82</v>
      </c>
    </row>
    <row r="752">
      <c r="A752" s="30" t="s">
        <v>2558</v>
      </c>
      <c r="B752" s="30">
        <f>IFERROR(__xludf.DUMMYFUNCTION("""COMPUTED_VALUE"""),79.0)</f>
        <v>79</v>
      </c>
      <c r="C752" s="30"/>
      <c r="D752" s="30"/>
      <c r="E752" s="30"/>
      <c r="F752" s="30"/>
      <c r="G752" s="30"/>
      <c r="H752" s="30"/>
      <c r="I752" s="30"/>
      <c r="J752" s="30">
        <f>IFERROR(__xludf.DUMMYFUNCTION("""COMPUTED_VALUE"""),-11.059343513011441)</f>
        <v>-11.05934351</v>
      </c>
      <c r="K752" s="30"/>
      <c r="L752" s="30"/>
      <c r="M752" s="30"/>
      <c r="N752" s="30"/>
      <c r="O752" s="30">
        <f>IFERROR(__xludf.DUMMYFUNCTION("""COMPUTED_VALUE"""),-2.630874715592867)</f>
        <v>-2.630874716</v>
      </c>
      <c r="P752" s="30">
        <f>IFERROR(__xludf.DUMMYFUNCTION("""COMPUTED_VALUE"""),4.463999088063446)</f>
        <v>4.463999088</v>
      </c>
      <c r="Q752" s="30"/>
      <c r="R752" s="30"/>
      <c r="S752" s="30"/>
      <c r="T752" s="30"/>
      <c r="U752" s="30">
        <v>0.0</v>
      </c>
      <c r="V752" s="30"/>
      <c r="W752" s="30"/>
      <c r="X752" s="30"/>
      <c r="Y752" s="5">
        <f>IFERROR(__xludf.DUMMYFUNCTION("""COMPUTED_VALUE"""),79.0)</f>
        <v>79</v>
      </c>
      <c r="Z752" s="5">
        <f>IFERROR(__xludf.DUMMYFUNCTION("""COMPUTED_VALUE"""),79.0)</f>
        <v>79</v>
      </c>
    </row>
    <row r="753">
      <c r="A753" s="30" t="s">
        <v>2559</v>
      </c>
      <c r="B753" s="30">
        <f>IFERROR(__xludf.DUMMYFUNCTION("""COMPUTED_VALUE"""),81.0)</f>
        <v>81</v>
      </c>
      <c r="C753" s="30"/>
      <c r="D753" s="30"/>
      <c r="E753" s="30"/>
      <c r="F753" s="30"/>
      <c r="G753" s="30"/>
      <c r="H753" s="30"/>
      <c r="I753" s="30"/>
      <c r="J753" s="30">
        <f>IFERROR(__xludf.DUMMYFUNCTION("""COMPUTED_VALUE"""),-11.059343513011441)</f>
        <v>-11.05934351</v>
      </c>
      <c r="K753" s="30"/>
      <c r="L753" s="30"/>
      <c r="M753" s="30"/>
      <c r="N753" s="30"/>
      <c r="O753" s="30">
        <f>IFERROR(__xludf.DUMMYFUNCTION("""COMPUTED_VALUE"""),-2.630874715592867)</f>
        <v>-2.630874716</v>
      </c>
      <c r="P753" s="30">
        <f>IFERROR(__xludf.DUMMYFUNCTION("""COMPUTED_VALUE"""),4.463999088063446)</f>
        <v>4.463999088</v>
      </c>
      <c r="Q753" s="30"/>
      <c r="R753" s="30"/>
      <c r="S753" s="30"/>
      <c r="T753" s="30"/>
      <c r="U753" s="30">
        <v>0.0</v>
      </c>
      <c r="V753" s="30"/>
      <c r="W753" s="30"/>
      <c r="X753" s="30"/>
      <c r="Y753" s="5">
        <f>IFERROR(__xludf.DUMMYFUNCTION("""COMPUTED_VALUE"""),81.0)</f>
        <v>81</v>
      </c>
      <c r="Z753" s="5">
        <f>IFERROR(__xludf.DUMMYFUNCTION("""COMPUTED_VALUE"""),81.0)</f>
        <v>81</v>
      </c>
    </row>
    <row r="754">
      <c r="A754" s="30" t="s">
        <v>2560</v>
      </c>
      <c r="B754" s="30">
        <f>IFERROR(__xludf.DUMMYFUNCTION("""COMPUTED_VALUE"""),81.0)</f>
        <v>81</v>
      </c>
      <c r="C754" s="30"/>
      <c r="D754" s="30"/>
      <c r="E754" s="30"/>
      <c r="F754" s="30"/>
      <c r="G754" s="30"/>
      <c r="H754" s="30"/>
      <c r="I754" s="30"/>
      <c r="J754" s="30">
        <f>IFERROR(__xludf.DUMMYFUNCTION("""COMPUTED_VALUE"""),-11.059343513011441)</f>
        <v>-11.05934351</v>
      </c>
      <c r="K754" s="30"/>
      <c r="L754" s="30"/>
      <c r="M754" s="30"/>
      <c r="N754" s="30"/>
      <c r="O754" s="30">
        <f>IFERROR(__xludf.DUMMYFUNCTION("""COMPUTED_VALUE"""),-2.630874715592867)</f>
        <v>-2.630874716</v>
      </c>
      <c r="P754" s="30">
        <f>IFERROR(__xludf.DUMMYFUNCTION("""COMPUTED_VALUE"""),4.463999088063446)</f>
        <v>4.463999088</v>
      </c>
      <c r="Q754" s="30"/>
      <c r="R754" s="30"/>
      <c r="S754" s="30"/>
      <c r="T754" s="30"/>
      <c r="U754" s="30">
        <v>0.0</v>
      </c>
      <c r="V754" s="30"/>
      <c r="W754" s="30"/>
      <c r="X754" s="30"/>
      <c r="Y754" s="5">
        <f>IFERROR(__xludf.DUMMYFUNCTION("""COMPUTED_VALUE"""),81.0)</f>
        <v>81</v>
      </c>
      <c r="Z754" s="5">
        <f>IFERROR(__xludf.DUMMYFUNCTION("""COMPUTED_VALUE"""),81.0)</f>
        <v>81</v>
      </c>
    </row>
    <row r="755">
      <c r="A755" s="30" t="s">
        <v>1475</v>
      </c>
      <c r="B755" s="30">
        <f>IFERROR(__xludf.DUMMYFUNCTION("""COMPUTED_VALUE"""),81.0)</f>
        <v>81</v>
      </c>
      <c r="C755" s="30"/>
      <c r="D755" s="30"/>
      <c r="E755" s="30"/>
      <c r="F755" s="30"/>
      <c r="G755" s="30"/>
      <c r="H755" s="30"/>
      <c r="I755" s="30"/>
      <c r="J755" s="30">
        <f>IFERROR(__xludf.DUMMYFUNCTION("""COMPUTED_VALUE"""),-11.059343513011441)</f>
        <v>-11.05934351</v>
      </c>
      <c r="K755" s="30"/>
      <c r="L755" s="30"/>
      <c r="M755" s="30"/>
      <c r="N755" s="30"/>
      <c r="O755" s="30">
        <f>IFERROR(__xludf.DUMMYFUNCTION("""COMPUTED_VALUE"""),-2.630874715592867)</f>
        <v>-2.630874716</v>
      </c>
      <c r="P755" s="30">
        <f>IFERROR(__xludf.DUMMYFUNCTION("""COMPUTED_VALUE"""),4.463999088063446)</f>
        <v>4.463999088</v>
      </c>
      <c r="Q755" s="30"/>
      <c r="R755" s="30"/>
      <c r="S755" s="30"/>
      <c r="T755" s="30"/>
      <c r="U755" s="30">
        <v>0.0</v>
      </c>
      <c r="V755" s="30"/>
      <c r="W755" s="30"/>
      <c r="X755" s="30"/>
      <c r="Y755" s="5">
        <f>IFERROR(__xludf.DUMMYFUNCTION("""COMPUTED_VALUE"""),80.0)</f>
        <v>80</v>
      </c>
      <c r="Z755" s="5">
        <f>IFERROR(__xludf.DUMMYFUNCTION("""COMPUTED_VALUE"""),82.0)</f>
        <v>82</v>
      </c>
    </row>
    <row r="756">
      <c r="A756" s="30" t="s">
        <v>2562</v>
      </c>
      <c r="B756" s="30">
        <f>IFERROR(__xludf.DUMMYFUNCTION("""COMPUTED_VALUE"""),83.0)</f>
        <v>83</v>
      </c>
      <c r="C756" s="30"/>
      <c r="D756" s="30"/>
      <c r="E756" s="30"/>
      <c r="F756" s="30"/>
      <c r="G756" s="30"/>
      <c r="H756" s="30"/>
      <c r="I756" s="30"/>
      <c r="J756" s="30">
        <f>IFERROR(__xludf.DUMMYFUNCTION("""COMPUTED_VALUE"""),-11.059343513011441)</f>
        <v>-11.05934351</v>
      </c>
      <c r="K756" s="30"/>
      <c r="L756" s="30"/>
      <c r="M756" s="30"/>
      <c r="N756" s="30"/>
      <c r="O756" s="30">
        <f>IFERROR(__xludf.DUMMYFUNCTION("""COMPUTED_VALUE"""),-2.630874715592867)</f>
        <v>-2.630874716</v>
      </c>
      <c r="P756" s="30">
        <f>IFERROR(__xludf.DUMMYFUNCTION("""COMPUTED_VALUE"""),4.463999088063446)</f>
        <v>4.463999088</v>
      </c>
      <c r="Q756" s="30"/>
      <c r="R756" s="30"/>
      <c r="S756" s="30"/>
      <c r="T756" s="30"/>
      <c r="U756" s="30">
        <v>0.0</v>
      </c>
      <c r="V756" s="30"/>
      <c r="W756" s="30"/>
      <c r="X756" s="30"/>
      <c r="Y756" s="5">
        <f>IFERROR(__xludf.DUMMYFUNCTION("""COMPUTED_VALUE"""),83.0)</f>
        <v>83</v>
      </c>
      <c r="Z756" s="5">
        <f>IFERROR(__xludf.DUMMYFUNCTION("""COMPUTED_VALUE"""),83.0)</f>
        <v>83</v>
      </c>
    </row>
    <row r="757">
      <c r="A757" s="30" t="s">
        <v>2563</v>
      </c>
      <c r="B757" s="30">
        <f>IFERROR(__xludf.DUMMYFUNCTION("""COMPUTED_VALUE"""),82.0)</f>
        <v>82</v>
      </c>
      <c r="C757" s="30"/>
      <c r="D757" s="30"/>
      <c r="E757" s="30"/>
      <c r="F757" s="30"/>
      <c r="G757" s="30"/>
      <c r="H757" s="30"/>
      <c r="I757" s="30"/>
      <c r="J757" s="30">
        <f>IFERROR(__xludf.DUMMYFUNCTION("""COMPUTED_VALUE"""),-11.059343513011441)</f>
        <v>-11.05934351</v>
      </c>
      <c r="K757" s="30"/>
      <c r="L757" s="30"/>
      <c r="M757" s="30"/>
      <c r="N757" s="30"/>
      <c r="O757" s="30">
        <f>IFERROR(__xludf.DUMMYFUNCTION("""COMPUTED_VALUE"""),-2.630874715592867)</f>
        <v>-2.630874716</v>
      </c>
      <c r="P757" s="30">
        <f>IFERROR(__xludf.DUMMYFUNCTION("""COMPUTED_VALUE"""),4.463999088063446)</f>
        <v>4.463999088</v>
      </c>
      <c r="Q757" s="30"/>
      <c r="R757" s="30"/>
      <c r="S757" s="30"/>
      <c r="T757" s="30"/>
      <c r="U757" s="30">
        <v>0.0</v>
      </c>
      <c r="V757" s="30"/>
      <c r="W757" s="30"/>
      <c r="X757" s="30"/>
      <c r="Y757" s="5">
        <f>IFERROR(__xludf.DUMMYFUNCTION("""COMPUTED_VALUE"""),82.0)</f>
        <v>82</v>
      </c>
      <c r="Z757" s="5">
        <f>IFERROR(__xludf.DUMMYFUNCTION("""COMPUTED_VALUE"""),82.0)</f>
        <v>82</v>
      </c>
    </row>
    <row r="758">
      <c r="A758" s="30" t="s">
        <v>2564</v>
      </c>
      <c r="B758" s="30">
        <f>IFERROR(__xludf.DUMMYFUNCTION("""COMPUTED_VALUE"""),79.5)</f>
        <v>79.5</v>
      </c>
      <c r="C758" s="30"/>
      <c r="D758" s="30"/>
      <c r="E758" s="30"/>
      <c r="F758" s="30"/>
      <c r="G758" s="30"/>
      <c r="H758" s="30"/>
      <c r="I758" s="30"/>
      <c r="J758" s="30">
        <f>IFERROR(__xludf.DUMMYFUNCTION("""COMPUTED_VALUE"""),-11.059343513011441)</f>
        <v>-11.05934351</v>
      </c>
      <c r="K758" s="30"/>
      <c r="L758" s="30"/>
      <c r="M758" s="30"/>
      <c r="N758" s="30"/>
      <c r="O758" s="30">
        <f>IFERROR(__xludf.DUMMYFUNCTION("""COMPUTED_VALUE"""),-2.630874715592867)</f>
        <v>-2.630874716</v>
      </c>
      <c r="P758" s="30">
        <f>IFERROR(__xludf.DUMMYFUNCTION("""COMPUTED_VALUE"""),4.463999088063446)</f>
        <v>4.463999088</v>
      </c>
      <c r="Q758" s="30"/>
      <c r="R758" s="30"/>
      <c r="S758" s="30"/>
      <c r="T758" s="30"/>
      <c r="U758" s="30">
        <v>0.0</v>
      </c>
      <c r="V758" s="30"/>
      <c r="W758" s="30"/>
      <c r="X758" s="30"/>
      <c r="Y758" s="5">
        <f>IFERROR(__xludf.DUMMYFUNCTION("""COMPUTED_VALUE"""),79.0)</f>
        <v>79</v>
      </c>
      <c r="Z758" s="5">
        <f>IFERROR(__xludf.DUMMYFUNCTION("""COMPUTED_VALUE"""),80.0)</f>
        <v>80</v>
      </c>
    </row>
    <row r="759">
      <c r="A759" s="30" t="s">
        <v>2567</v>
      </c>
      <c r="B759" s="30">
        <f>IFERROR(__xludf.DUMMYFUNCTION("""COMPUTED_VALUE"""),82.5)</f>
        <v>82.5</v>
      </c>
      <c r="C759" s="30"/>
      <c r="D759" s="30"/>
      <c r="E759" s="30"/>
      <c r="F759" s="30"/>
      <c r="G759" s="30"/>
      <c r="H759" s="30"/>
      <c r="I759" s="30"/>
      <c r="J759" s="30">
        <f>IFERROR(__xludf.DUMMYFUNCTION("""COMPUTED_VALUE"""),-11.059343513011441)</f>
        <v>-11.05934351</v>
      </c>
      <c r="K759" s="30"/>
      <c r="L759" s="30"/>
      <c r="M759" s="30"/>
      <c r="N759" s="30"/>
      <c r="O759" s="30">
        <f>IFERROR(__xludf.DUMMYFUNCTION("""COMPUTED_VALUE"""),-2.630874715592867)</f>
        <v>-2.630874716</v>
      </c>
      <c r="P759" s="30">
        <f>IFERROR(__xludf.DUMMYFUNCTION("""COMPUTED_VALUE"""),4.463999088063446)</f>
        <v>4.463999088</v>
      </c>
      <c r="Q759" s="30"/>
      <c r="R759" s="30"/>
      <c r="S759" s="30"/>
      <c r="T759" s="30"/>
      <c r="U759" s="30">
        <v>0.0</v>
      </c>
      <c r="V759" s="30"/>
      <c r="W759" s="30"/>
      <c r="X759" s="30"/>
      <c r="Y759" s="5">
        <f>IFERROR(__xludf.DUMMYFUNCTION("""COMPUTED_VALUE"""),81.0)</f>
        <v>81</v>
      </c>
      <c r="Z759" s="5">
        <f>IFERROR(__xludf.DUMMYFUNCTION("""COMPUTED_VALUE"""),84.0)</f>
        <v>84</v>
      </c>
    </row>
    <row r="760">
      <c r="A760" s="30" t="s">
        <v>2573</v>
      </c>
      <c r="B760" s="30">
        <f>IFERROR(__xludf.DUMMYFUNCTION("""COMPUTED_VALUE"""),79.0)</f>
        <v>79</v>
      </c>
      <c r="C760" s="30"/>
      <c r="D760" s="30"/>
      <c r="E760" s="30"/>
      <c r="F760" s="30"/>
      <c r="G760" s="30"/>
      <c r="H760" s="30"/>
      <c r="I760" s="30"/>
      <c r="J760" s="30">
        <f>IFERROR(__xludf.DUMMYFUNCTION("""COMPUTED_VALUE"""),-11.059343513011441)</f>
        <v>-11.05934351</v>
      </c>
      <c r="K760" s="30"/>
      <c r="L760" s="30"/>
      <c r="M760" s="30"/>
      <c r="N760" s="30"/>
      <c r="O760" s="30">
        <f>IFERROR(__xludf.DUMMYFUNCTION("""COMPUTED_VALUE"""),-2.630874715592867)</f>
        <v>-2.630874716</v>
      </c>
      <c r="P760" s="30">
        <f>IFERROR(__xludf.DUMMYFUNCTION("""COMPUTED_VALUE"""),4.463999088063446)</f>
        <v>4.463999088</v>
      </c>
      <c r="Q760" s="30"/>
      <c r="R760" s="30"/>
      <c r="S760" s="30"/>
      <c r="T760" s="30"/>
      <c r="U760" s="30">
        <v>0.0</v>
      </c>
      <c r="V760" s="30"/>
      <c r="W760" s="30"/>
      <c r="X760" s="30"/>
      <c r="Y760" s="5">
        <f>IFERROR(__xludf.DUMMYFUNCTION("""COMPUTED_VALUE"""),79.0)</f>
        <v>79</v>
      </c>
      <c r="Z760" s="5">
        <f>IFERROR(__xludf.DUMMYFUNCTION("""COMPUTED_VALUE"""),79.0)</f>
        <v>79</v>
      </c>
    </row>
    <row r="761">
      <c r="A761" s="30" t="s">
        <v>2574</v>
      </c>
      <c r="B761" s="30">
        <f>IFERROR(__xludf.DUMMYFUNCTION("""COMPUTED_VALUE"""),80.0)</f>
        <v>80</v>
      </c>
      <c r="C761" s="30"/>
      <c r="D761" s="30"/>
      <c r="E761" s="30"/>
      <c r="F761" s="30"/>
      <c r="G761" s="30"/>
      <c r="H761" s="30"/>
      <c r="I761" s="30"/>
      <c r="J761" s="30">
        <f>IFERROR(__xludf.DUMMYFUNCTION("""COMPUTED_VALUE"""),-11.059343513011441)</f>
        <v>-11.05934351</v>
      </c>
      <c r="K761" s="30"/>
      <c r="L761" s="30"/>
      <c r="M761" s="30"/>
      <c r="N761" s="30"/>
      <c r="O761" s="30">
        <f>IFERROR(__xludf.DUMMYFUNCTION("""COMPUTED_VALUE"""),-2.630874715592867)</f>
        <v>-2.630874716</v>
      </c>
      <c r="P761" s="30">
        <f>IFERROR(__xludf.DUMMYFUNCTION("""COMPUTED_VALUE"""),4.463999088063446)</f>
        <v>4.463999088</v>
      </c>
      <c r="Q761" s="30"/>
      <c r="R761" s="30"/>
      <c r="S761" s="30"/>
      <c r="T761" s="30"/>
      <c r="U761" s="30">
        <v>0.0</v>
      </c>
      <c r="V761" s="30"/>
      <c r="W761" s="30"/>
      <c r="X761" s="30"/>
      <c r="Y761" s="5">
        <f>IFERROR(__xludf.DUMMYFUNCTION("""COMPUTED_VALUE"""),80.0)</f>
        <v>80</v>
      </c>
      <c r="Z761" s="5">
        <f>IFERROR(__xludf.DUMMYFUNCTION("""COMPUTED_VALUE"""),80.0)</f>
        <v>80</v>
      </c>
    </row>
    <row r="762">
      <c r="A762" s="30" t="s">
        <v>2575</v>
      </c>
      <c r="B762" s="30">
        <f>IFERROR(__xludf.DUMMYFUNCTION("""COMPUTED_VALUE"""),81.5)</f>
        <v>81.5</v>
      </c>
      <c r="C762" s="30"/>
      <c r="D762" s="30"/>
      <c r="E762" s="30"/>
      <c r="F762" s="30"/>
      <c r="G762" s="30"/>
      <c r="H762" s="30"/>
      <c r="I762" s="30"/>
      <c r="J762" s="30">
        <f>IFERROR(__xludf.DUMMYFUNCTION("""COMPUTED_VALUE"""),-11.059343513011441)</f>
        <v>-11.05934351</v>
      </c>
      <c r="K762" s="30"/>
      <c r="L762" s="30"/>
      <c r="M762" s="30"/>
      <c r="N762" s="30"/>
      <c r="O762" s="30">
        <f>IFERROR(__xludf.DUMMYFUNCTION("""COMPUTED_VALUE"""),-2.630874715592867)</f>
        <v>-2.630874716</v>
      </c>
      <c r="P762" s="30">
        <f>IFERROR(__xludf.DUMMYFUNCTION("""COMPUTED_VALUE"""),4.463999088063446)</f>
        <v>4.463999088</v>
      </c>
      <c r="Q762" s="30"/>
      <c r="R762" s="30"/>
      <c r="S762" s="30"/>
      <c r="T762" s="30"/>
      <c r="U762" s="30">
        <v>0.0</v>
      </c>
      <c r="V762" s="30"/>
      <c r="W762" s="30"/>
      <c r="X762" s="30"/>
      <c r="Y762" s="5">
        <f>IFERROR(__xludf.DUMMYFUNCTION("""COMPUTED_VALUE"""),81.0)</f>
        <v>81</v>
      </c>
      <c r="Z762" s="5">
        <f>IFERROR(__xludf.DUMMYFUNCTION("""COMPUTED_VALUE"""),82.0)</f>
        <v>82</v>
      </c>
    </row>
    <row r="763">
      <c r="A763" s="30" t="s">
        <v>1533</v>
      </c>
      <c r="B763" s="30">
        <f>IFERROR(__xludf.DUMMYFUNCTION("""COMPUTED_VALUE"""),83.0)</f>
        <v>83</v>
      </c>
      <c r="C763" s="30"/>
      <c r="D763" s="30"/>
      <c r="E763" s="30"/>
      <c r="F763" s="30"/>
      <c r="G763" s="30"/>
      <c r="H763" s="30"/>
      <c r="I763" s="30"/>
      <c r="J763" s="30">
        <f>IFERROR(__xludf.DUMMYFUNCTION("""COMPUTED_VALUE"""),-11.059343513011441)</f>
        <v>-11.05934351</v>
      </c>
      <c r="K763" s="30"/>
      <c r="L763" s="30"/>
      <c r="M763" s="30"/>
      <c r="N763" s="30"/>
      <c r="O763" s="30">
        <f>IFERROR(__xludf.DUMMYFUNCTION("""COMPUTED_VALUE"""),-2.630874715592867)</f>
        <v>-2.630874716</v>
      </c>
      <c r="P763" s="30">
        <f>IFERROR(__xludf.DUMMYFUNCTION("""COMPUTED_VALUE"""),4.463999088063446)</f>
        <v>4.463999088</v>
      </c>
      <c r="Q763" s="30"/>
      <c r="R763" s="30"/>
      <c r="S763" s="30"/>
      <c r="T763" s="30"/>
      <c r="U763" s="30">
        <v>0.0</v>
      </c>
      <c r="V763" s="30"/>
      <c r="W763" s="30"/>
      <c r="X763" s="30"/>
      <c r="Y763" s="5">
        <f>IFERROR(__xludf.DUMMYFUNCTION("""COMPUTED_VALUE"""),83.0)</f>
        <v>83</v>
      </c>
      <c r="Z763" s="5">
        <f>IFERROR(__xludf.DUMMYFUNCTION("""COMPUTED_VALUE"""),83.0)</f>
        <v>83</v>
      </c>
    </row>
    <row r="764">
      <c r="A764" s="30" t="s">
        <v>2578</v>
      </c>
      <c r="B764" s="30">
        <f>IFERROR(__xludf.DUMMYFUNCTION("""COMPUTED_VALUE"""),82.0)</f>
        <v>82</v>
      </c>
      <c r="C764" s="30"/>
      <c r="D764" s="30"/>
      <c r="E764" s="30"/>
      <c r="F764" s="30"/>
      <c r="G764" s="30"/>
      <c r="H764" s="30"/>
      <c r="I764" s="30"/>
      <c r="J764" s="30">
        <f>IFERROR(__xludf.DUMMYFUNCTION("""COMPUTED_VALUE"""),-11.059343513011441)</f>
        <v>-11.05934351</v>
      </c>
      <c r="K764" s="30"/>
      <c r="L764" s="30"/>
      <c r="M764" s="30"/>
      <c r="N764" s="30"/>
      <c r="O764" s="30">
        <f>IFERROR(__xludf.DUMMYFUNCTION("""COMPUTED_VALUE"""),-2.630874715592867)</f>
        <v>-2.630874716</v>
      </c>
      <c r="P764" s="30">
        <f>IFERROR(__xludf.DUMMYFUNCTION("""COMPUTED_VALUE"""),4.463999088063446)</f>
        <v>4.463999088</v>
      </c>
      <c r="Q764" s="30"/>
      <c r="R764" s="30"/>
      <c r="S764" s="30"/>
      <c r="T764" s="30"/>
      <c r="U764" s="30">
        <v>0.0</v>
      </c>
      <c r="V764" s="30"/>
      <c r="W764" s="30"/>
      <c r="X764" s="30"/>
      <c r="Y764" s="5">
        <f>IFERROR(__xludf.DUMMYFUNCTION("""COMPUTED_VALUE"""),82.0)</f>
        <v>82</v>
      </c>
      <c r="Z764" s="5">
        <f>IFERROR(__xludf.DUMMYFUNCTION("""COMPUTED_VALUE"""),82.0)</f>
        <v>82</v>
      </c>
    </row>
    <row r="765">
      <c r="A765" s="30" t="s">
        <v>1361</v>
      </c>
      <c r="B765" s="30">
        <f>IFERROR(__xludf.DUMMYFUNCTION("""COMPUTED_VALUE"""),79.0)</f>
        <v>79</v>
      </c>
      <c r="C765" s="30"/>
      <c r="D765" s="30"/>
      <c r="E765" s="30"/>
      <c r="F765" s="30"/>
      <c r="G765" s="30"/>
      <c r="H765" s="30"/>
      <c r="I765" s="30"/>
      <c r="J765" s="30">
        <f>IFERROR(__xludf.DUMMYFUNCTION("""COMPUTED_VALUE"""),-11.059343513011441)</f>
        <v>-11.05934351</v>
      </c>
      <c r="K765" s="30"/>
      <c r="L765" s="30"/>
      <c r="M765" s="30"/>
      <c r="N765" s="30"/>
      <c r="O765" s="30">
        <f>IFERROR(__xludf.DUMMYFUNCTION("""COMPUTED_VALUE"""),-2.630874715592867)</f>
        <v>-2.630874716</v>
      </c>
      <c r="P765" s="30">
        <f>IFERROR(__xludf.DUMMYFUNCTION("""COMPUTED_VALUE"""),4.463999088063446)</f>
        <v>4.463999088</v>
      </c>
      <c r="Q765" s="30"/>
      <c r="R765" s="30"/>
      <c r="S765" s="30"/>
      <c r="T765" s="30"/>
      <c r="U765" s="30">
        <v>0.0</v>
      </c>
      <c r="V765" s="30"/>
      <c r="W765" s="30"/>
      <c r="X765" s="30"/>
      <c r="Y765" s="5">
        <f>IFERROR(__xludf.DUMMYFUNCTION("""COMPUTED_VALUE"""),79.0)</f>
        <v>79</v>
      </c>
      <c r="Z765" s="5">
        <f>IFERROR(__xludf.DUMMYFUNCTION("""COMPUTED_VALUE"""),79.0)</f>
        <v>79</v>
      </c>
    </row>
    <row r="766">
      <c r="A766" s="30" t="s">
        <v>167</v>
      </c>
      <c r="B766" s="30">
        <f>IFERROR(__xludf.DUMMYFUNCTION("""COMPUTED_VALUE"""),80.0)</f>
        <v>80</v>
      </c>
      <c r="C766" s="30"/>
      <c r="D766" s="30"/>
      <c r="E766" s="30"/>
      <c r="F766" s="30"/>
      <c r="G766" s="30"/>
      <c r="H766" s="30"/>
      <c r="I766" s="30"/>
      <c r="J766" s="30">
        <f>IFERROR(__xludf.DUMMYFUNCTION("""COMPUTED_VALUE"""),-11.059343513011441)</f>
        <v>-11.05934351</v>
      </c>
      <c r="K766" s="30"/>
      <c r="L766" s="30"/>
      <c r="M766" s="30"/>
      <c r="N766" s="30"/>
      <c r="O766" s="30">
        <f>IFERROR(__xludf.DUMMYFUNCTION("""COMPUTED_VALUE"""),-2.630874715592867)</f>
        <v>-2.630874716</v>
      </c>
      <c r="P766" s="30">
        <f>IFERROR(__xludf.DUMMYFUNCTION("""COMPUTED_VALUE"""),4.463999088063446)</f>
        <v>4.463999088</v>
      </c>
      <c r="Q766" s="30"/>
      <c r="R766" s="30"/>
      <c r="S766" s="30"/>
      <c r="T766" s="30"/>
      <c r="U766" s="30">
        <v>0.0</v>
      </c>
      <c r="V766" s="30"/>
      <c r="W766" s="30"/>
      <c r="X766" s="30"/>
      <c r="Y766" s="5">
        <f>IFERROR(__xludf.DUMMYFUNCTION("""COMPUTED_VALUE"""),80.0)</f>
        <v>80</v>
      </c>
      <c r="Z766" s="5">
        <f>IFERROR(__xludf.DUMMYFUNCTION("""COMPUTED_VALUE"""),80.0)</f>
        <v>80</v>
      </c>
    </row>
    <row r="767">
      <c r="A767" s="30" t="s">
        <v>2581</v>
      </c>
      <c r="B767" s="30">
        <f>IFERROR(__xludf.DUMMYFUNCTION("""COMPUTED_VALUE"""),80.5)</f>
        <v>80.5</v>
      </c>
      <c r="C767" s="30"/>
      <c r="D767" s="30"/>
      <c r="E767" s="30"/>
      <c r="F767" s="30"/>
      <c r="G767" s="30"/>
      <c r="H767" s="30"/>
      <c r="I767" s="30"/>
      <c r="J767" s="30">
        <f>IFERROR(__xludf.DUMMYFUNCTION("""COMPUTED_VALUE"""),-11.059343513011441)</f>
        <v>-11.05934351</v>
      </c>
      <c r="K767" s="30"/>
      <c r="L767" s="30"/>
      <c r="M767" s="30"/>
      <c r="N767" s="30"/>
      <c r="O767" s="30">
        <f>IFERROR(__xludf.DUMMYFUNCTION("""COMPUTED_VALUE"""),-2.630874715592867)</f>
        <v>-2.630874716</v>
      </c>
      <c r="P767" s="30">
        <f>IFERROR(__xludf.DUMMYFUNCTION("""COMPUTED_VALUE"""),4.463999088063446)</f>
        <v>4.463999088</v>
      </c>
      <c r="Q767" s="30"/>
      <c r="R767" s="30"/>
      <c r="S767" s="30"/>
      <c r="T767" s="30"/>
      <c r="U767" s="30">
        <v>0.0</v>
      </c>
      <c r="V767" s="30"/>
      <c r="W767" s="30"/>
      <c r="X767" s="30"/>
      <c r="Y767" s="5">
        <f>IFERROR(__xludf.DUMMYFUNCTION("""COMPUTED_VALUE"""),80.0)</f>
        <v>80</v>
      </c>
      <c r="Z767" s="5">
        <f>IFERROR(__xludf.DUMMYFUNCTION("""COMPUTED_VALUE"""),81.0)</f>
        <v>81</v>
      </c>
    </row>
    <row r="768">
      <c r="A768" s="30" t="s">
        <v>2585</v>
      </c>
      <c r="B768" s="30">
        <f>IFERROR(__xludf.DUMMYFUNCTION("""COMPUTED_VALUE"""),84.0)</f>
        <v>84</v>
      </c>
      <c r="C768" s="30"/>
      <c r="D768" s="30"/>
      <c r="E768" s="30"/>
      <c r="F768" s="30"/>
      <c r="G768" s="30"/>
      <c r="H768" s="30"/>
      <c r="I768" s="30"/>
      <c r="J768" s="30">
        <f>IFERROR(__xludf.DUMMYFUNCTION("""COMPUTED_VALUE"""),-11.059343513011441)</f>
        <v>-11.05934351</v>
      </c>
      <c r="K768" s="30"/>
      <c r="L768" s="30"/>
      <c r="M768" s="30"/>
      <c r="N768" s="30"/>
      <c r="O768" s="30">
        <f>IFERROR(__xludf.DUMMYFUNCTION("""COMPUTED_VALUE"""),-2.630874715592867)</f>
        <v>-2.630874716</v>
      </c>
      <c r="P768" s="30">
        <f>IFERROR(__xludf.DUMMYFUNCTION("""COMPUTED_VALUE"""),4.463999088063446)</f>
        <v>4.463999088</v>
      </c>
      <c r="Q768" s="30"/>
      <c r="R768" s="30"/>
      <c r="S768" s="30"/>
      <c r="T768" s="30"/>
      <c r="U768" s="30">
        <v>0.0</v>
      </c>
      <c r="V768" s="30"/>
      <c r="W768" s="30"/>
      <c r="X768" s="30"/>
      <c r="Y768" s="5">
        <f>IFERROR(__xludf.DUMMYFUNCTION("""COMPUTED_VALUE"""),84.0)</f>
        <v>84</v>
      </c>
      <c r="Z768" s="5">
        <f>IFERROR(__xludf.DUMMYFUNCTION("""COMPUTED_VALUE"""),84.0)</f>
        <v>84</v>
      </c>
    </row>
    <row r="769">
      <c r="A769" s="30" t="s">
        <v>1110</v>
      </c>
      <c r="B769" s="30">
        <f>IFERROR(__xludf.DUMMYFUNCTION("""COMPUTED_VALUE"""),81.0)</f>
        <v>81</v>
      </c>
      <c r="C769" s="30"/>
      <c r="D769" s="30"/>
      <c r="E769" s="30"/>
      <c r="F769" s="30"/>
      <c r="G769" s="30"/>
      <c r="H769" s="30"/>
      <c r="I769" s="30"/>
      <c r="J769" s="30">
        <f>IFERROR(__xludf.DUMMYFUNCTION("""COMPUTED_VALUE"""),-11.059343513011441)</f>
        <v>-11.05934351</v>
      </c>
      <c r="K769" s="30"/>
      <c r="L769" s="30"/>
      <c r="M769" s="30"/>
      <c r="N769" s="30"/>
      <c r="O769" s="30">
        <f>IFERROR(__xludf.DUMMYFUNCTION("""COMPUTED_VALUE"""),-2.630874715592867)</f>
        <v>-2.630874716</v>
      </c>
      <c r="P769" s="30">
        <f>IFERROR(__xludf.DUMMYFUNCTION("""COMPUTED_VALUE"""),4.463999088063446)</f>
        <v>4.463999088</v>
      </c>
      <c r="Q769" s="30"/>
      <c r="R769" s="30"/>
      <c r="S769" s="30"/>
      <c r="T769" s="30"/>
      <c r="U769" s="30">
        <v>0.0</v>
      </c>
      <c r="V769" s="30"/>
      <c r="W769" s="30"/>
      <c r="X769" s="30"/>
      <c r="Y769" s="5">
        <f>IFERROR(__xludf.DUMMYFUNCTION("""COMPUTED_VALUE"""),80.0)</f>
        <v>80</v>
      </c>
      <c r="Z769" s="5">
        <f>IFERROR(__xludf.DUMMYFUNCTION("""COMPUTED_VALUE"""),82.0)</f>
        <v>82</v>
      </c>
    </row>
    <row r="770">
      <c r="A770" s="30" t="s">
        <v>2587</v>
      </c>
      <c r="B770" s="30">
        <f>IFERROR(__xludf.DUMMYFUNCTION("""COMPUTED_VALUE"""),83.0)</f>
        <v>83</v>
      </c>
      <c r="C770" s="30"/>
      <c r="D770" s="30"/>
      <c r="E770" s="30"/>
      <c r="F770" s="30"/>
      <c r="G770" s="30"/>
      <c r="H770" s="30"/>
      <c r="I770" s="30"/>
      <c r="J770" s="30">
        <f>IFERROR(__xludf.DUMMYFUNCTION("""COMPUTED_VALUE"""),-11.059343513011441)</f>
        <v>-11.05934351</v>
      </c>
      <c r="K770" s="30"/>
      <c r="L770" s="30"/>
      <c r="M770" s="30"/>
      <c r="N770" s="30"/>
      <c r="O770" s="30">
        <f>IFERROR(__xludf.DUMMYFUNCTION("""COMPUTED_VALUE"""),-2.630874715592867)</f>
        <v>-2.630874716</v>
      </c>
      <c r="P770" s="30">
        <f>IFERROR(__xludf.DUMMYFUNCTION("""COMPUTED_VALUE"""),4.463999088063446)</f>
        <v>4.463999088</v>
      </c>
      <c r="Q770" s="30"/>
      <c r="R770" s="30"/>
      <c r="S770" s="30"/>
      <c r="T770" s="30"/>
      <c r="U770" s="30">
        <v>0.0</v>
      </c>
      <c r="V770" s="30"/>
      <c r="W770" s="30"/>
      <c r="X770" s="30"/>
      <c r="Y770" s="5">
        <f>IFERROR(__xludf.DUMMYFUNCTION("""COMPUTED_VALUE"""),83.0)</f>
        <v>83</v>
      </c>
      <c r="Z770" s="5">
        <f>IFERROR(__xludf.DUMMYFUNCTION("""COMPUTED_VALUE"""),83.0)</f>
        <v>83</v>
      </c>
    </row>
    <row r="771">
      <c r="A771" s="30" t="s">
        <v>2588</v>
      </c>
      <c r="B771" s="30">
        <f>IFERROR(__xludf.DUMMYFUNCTION("""COMPUTED_VALUE"""),82.0)</f>
        <v>82</v>
      </c>
      <c r="C771" s="30"/>
      <c r="D771" s="30"/>
      <c r="E771" s="30"/>
      <c r="F771" s="30"/>
      <c r="G771" s="30"/>
      <c r="H771" s="30"/>
      <c r="I771" s="30"/>
      <c r="J771" s="30">
        <f>IFERROR(__xludf.DUMMYFUNCTION("""COMPUTED_VALUE"""),-11.059343513011441)</f>
        <v>-11.05934351</v>
      </c>
      <c r="K771" s="30"/>
      <c r="L771" s="30"/>
      <c r="M771" s="30"/>
      <c r="N771" s="30"/>
      <c r="O771" s="30">
        <f>IFERROR(__xludf.DUMMYFUNCTION("""COMPUTED_VALUE"""),-2.630874715592867)</f>
        <v>-2.630874716</v>
      </c>
      <c r="P771" s="30">
        <f>IFERROR(__xludf.DUMMYFUNCTION("""COMPUTED_VALUE"""),4.463999088063446)</f>
        <v>4.463999088</v>
      </c>
      <c r="Q771" s="30"/>
      <c r="R771" s="30"/>
      <c r="S771" s="30"/>
      <c r="T771" s="30"/>
      <c r="U771" s="30">
        <v>0.0</v>
      </c>
      <c r="V771" s="30"/>
      <c r="W771" s="30"/>
      <c r="X771" s="30"/>
      <c r="Y771" s="5">
        <f>IFERROR(__xludf.DUMMYFUNCTION("""COMPUTED_VALUE"""),82.0)</f>
        <v>82</v>
      </c>
      <c r="Z771" s="5">
        <f>IFERROR(__xludf.DUMMYFUNCTION("""COMPUTED_VALUE"""),82.0)</f>
        <v>82</v>
      </c>
    </row>
    <row r="772">
      <c r="A772" s="30" t="s">
        <v>2589</v>
      </c>
      <c r="B772" s="30">
        <f>IFERROR(__xludf.DUMMYFUNCTION("""COMPUTED_VALUE"""),81.0)</f>
        <v>81</v>
      </c>
      <c r="C772" s="30"/>
      <c r="D772" s="30"/>
      <c r="E772" s="30"/>
      <c r="F772" s="30"/>
      <c r="G772" s="30"/>
      <c r="H772" s="30"/>
      <c r="I772" s="30"/>
      <c r="J772" s="30">
        <f>IFERROR(__xludf.DUMMYFUNCTION("""COMPUTED_VALUE"""),-11.059343513011441)</f>
        <v>-11.05934351</v>
      </c>
      <c r="K772" s="30"/>
      <c r="L772" s="30"/>
      <c r="M772" s="30"/>
      <c r="N772" s="30"/>
      <c r="O772" s="30">
        <f>IFERROR(__xludf.DUMMYFUNCTION("""COMPUTED_VALUE"""),-2.630874715592867)</f>
        <v>-2.630874716</v>
      </c>
      <c r="P772" s="30">
        <f>IFERROR(__xludf.DUMMYFUNCTION("""COMPUTED_VALUE"""),4.463999088063446)</f>
        <v>4.463999088</v>
      </c>
      <c r="Q772" s="30"/>
      <c r="R772" s="30"/>
      <c r="S772" s="30"/>
      <c r="T772" s="30"/>
      <c r="U772" s="30">
        <v>0.0</v>
      </c>
      <c r="V772" s="30"/>
      <c r="W772" s="30"/>
      <c r="X772" s="30"/>
      <c r="Y772" s="5">
        <f>IFERROR(__xludf.DUMMYFUNCTION("""COMPUTED_VALUE"""),81.0)</f>
        <v>81</v>
      </c>
      <c r="Z772" s="5">
        <f>IFERROR(__xludf.DUMMYFUNCTION("""COMPUTED_VALUE"""),81.0)</f>
        <v>81</v>
      </c>
    </row>
    <row r="773">
      <c r="A773" s="30" t="s">
        <v>2590</v>
      </c>
      <c r="B773" s="30">
        <f>IFERROR(__xludf.DUMMYFUNCTION("""COMPUTED_VALUE"""),82.0)</f>
        <v>82</v>
      </c>
      <c r="C773" s="30"/>
      <c r="D773" s="30"/>
      <c r="E773" s="30"/>
      <c r="F773" s="30"/>
      <c r="G773" s="30"/>
      <c r="H773" s="30"/>
      <c r="I773" s="30"/>
      <c r="J773" s="30">
        <f>IFERROR(__xludf.DUMMYFUNCTION("""COMPUTED_VALUE"""),-11.059343513011441)</f>
        <v>-11.05934351</v>
      </c>
      <c r="K773" s="30"/>
      <c r="L773" s="30"/>
      <c r="M773" s="30"/>
      <c r="N773" s="30"/>
      <c r="O773" s="30">
        <f>IFERROR(__xludf.DUMMYFUNCTION("""COMPUTED_VALUE"""),-2.630874715592867)</f>
        <v>-2.630874716</v>
      </c>
      <c r="P773" s="30">
        <f>IFERROR(__xludf.DUMMYFUNCTION("""COMPUTED_VALUE"""),4.463999088063446)</f>
        <v>4.463999088</v>
      </c>
      <c r="Q773" s="30"/>
      <c r="R773" s="30"/>
      <c r="S773" s="30"/>
      <c r="T773" s="30"/>
      <c r="U773" s="30">
        <v>0.0</v>
      </c>
      <c r="V773" s="30"/>
      <c r="W773" s="30"/>
      <c r="X773" s="30"/>
      <c r="Y773" s="5">
        <f>IFERROR(__xludf.DUMMYFUNCTION("""COMPUTED_VALUE"""),82.0)</f>
        <v>82</v>
      </c>
      <c r="Z773" s="5">
        <f>IFERROR(__xludf.DUMMYFUNCTION("""COMPUTED_VALUE"""),82.0)</f>
        <v>82</v>
      </c>
    </row>
    <row r="774">
      <c r="A774" s="30" t="s">
        <v>2591</v>
      </c>
      <c r="B774" s="30">
        <f>IFERROR(__xludf.DUMMYFUNCTION("""COMPUTED_VALUE"""),84.0)</f>
        <v>84</v>
      </c>
      <c r="C774" s="30"/>
      <c r="D774" s="30"/>
      <c r="E774" s="30"/>
      <c r="F774" s="30"/>
      <c r="G774" s="30"/>
      <c r="H774" s="30"/>
      <c r="I774" s="30"/>
      <c r="J774" s="30">
        <f>IFERROR(__xludf.DUMMYFUNCTION("""COMPUTED_VALUE"""),-11.059343513011441)</f>
        <v>-11.05934351</v>
      </c>
      <c r="K774" s="30"/>
      <c r="L774" s="30"/>
      <c r="M774" s="30"/>
      <c r="N774" s="30"/>
      <c r="O774" s="30">
        <f>IFERROR(__xludf.DUMMYFUNCTION("""COMPUTED_VALUE"""),-2.630874715592867)</f>
        <v>-2.630874716</v>
      </c>
      <c r="P774" s="30">
        <f>IFERROR(__xludf.DUMMYFUNCTION("""COMPUTED_VALUE"""),4.463999088063446)</f>
        <v>4.463999088</v>
      </c>
      <c r="Q774" s="30"/>
      <c r="R774" s="30"/>
      <c r="S774" s="30"/>
      <c r="T774" s="30"/>
      <c r="U774" s="30">
        <v>0.0</v>
      </c>
      <c r="V774" s="30"/>
      <c r="W774" s="30"/>
      <c r="X774" s="30"/>
      <c r="Y774" s="5">
        <f>IFERROR(__xludf.DUMMYFUNCTION("""COMPUTED_VALUE"""),84.0)</f>
        <v>84</v>
      </c>
      <c r="Z774" s="5">
        <f>IFERROR(__xludf.DUMMYFUNCTION("""COMPUTED_VALUE"""),84.0)</f>
        <v>84</v>
      </c>
    </row>
    <row r="775">
      <c r="A775" s="30" t="s">
        <v>2592</v>
      </c>
      <c r="B775" s="30">
        <f>IFERROR(__xludf.DUMMYFUNCTION("""COMPUTED_VALUE"""),81.0)</f>
        <v>81</v>
      </c>
      <c r="C775" s="30"/>
      <c r="D775" s="30"/>
      <c r="E775" s="30"/>
      <c r="F775" s="30"/>
      <c r="G775" s="30"/>
      <c r="H775" s="30"/>
      <c r="I775" s="30"/>
      <c r="J775" s="30">
        <f>IFERROR(__xludf.DUMMYFUNCTION("""COMPUTED_VALUE"""),-11.059343513011441)</f>
        <v>-11.05934351</v>
      </c>
      <c r="K775" s="30"/>
      <c r="L775" s="30"/>
      <c r="M775" s="30"/>
      <c r="N775" s="30"/>
      <c r="O775" s="30">
        <f>IFERROR(__xludf.DUMMYFUNCTION("""COMPUTED_VALUE"""),-2.630874715592867)</f>
        <v>-2.630874716</v>
      </c>
      <c r="P775" s="30">
        <f>IFERROR(__xludf.DUMMYFUNCTION("""COMPUTED_VALUE"""),4.463999088063446)</f>
        <v>4.463999088</v>
      </c>
      <c r="Q775" s="30"/>
      <c r="R775" s="30"/>
      <c r="S775" s="30"/>
      <c r="T775" s="30"/>
      <c r="U775" s="30">
        <v>0.0</v>
      </c>
      <c r="V775" s="30"/>
      <c r="W775" s="30"/>
      <c r="X775" s="30"/>
      <c r="Y775" s="5">
        <f>IFERROR(__xludf.DUMMYFUNCTION("""COMPUTED_VALUE"""),81.0)</f>
        <v>81</v>
      </c>
      <c r="Z775" s="5">
        <f>IFERROR(__xludf.DUMMYFUNCTION("""COMPUTED_VALUE"""),81.0)</f>
        <v>81</v>
      </c>
    </row>
    <row r="776">
      <c r="A776" s="30" t="s">
        <v>2593</v>
      </c>
      <c r="B776" s="30">
        <f>IFERROR(__xludf.DUMMYFUNCTION("""COMPUTED_VALUE"""),80.5)</f>
        <v>80.5</v>
      </c>
      <c r="C776" s="30"/>
      <c r="D776" s="30"/>
      <c r="E776" s="30"/>
      <c r="F776" s="30"/>
      <c r="G776" s="30"/>
      <c r="H776" s="30"/>
      <c r="I776" s="30"/>
      <c r="J776" s="30">
        <f>IFERROR(__xludf.DUMMYFUNCTION("""COMPUTED_VALUE"""),-11.059343513011441)</f>
        <v>-11.05934351</v>
      </c>
      <c r="K776" s="30"/>
      <c r="L776" s="30"/>
      <c r="M776" s="30"/>
      <c r="N776" s="30"/>
      <c r="O776" s="30">
        <f>IFERROR(__xludf.DUMMYFUNCTION("""COMPUTED_VALUE"""),-2.630874715592867)</f>
        <v>-2.630874716</v>
      </c>
      <c r="P776" s="30">
        <f>IFERROR(__xludf.DUMMYFUNCTION("""COMPUTED_VALUE"""),4.463999088063446)</f>
        <v>4.463999088</v>
      </c>
      <c r="Q776" s="30"/>
      <c r="R776" s="30"/>
      <c r="S776" s="30"/>
      <c r="T776" s="30"/>
      <c r="U776" s="30">
        <v>0.0</v>
      </c>
      <c r="V776" s="30"/>
      <c r="W776" s="30"/>
      <c r="X776" s="30"/>
      <c r="Y776" s="5">
        <f>IFERROR(__xludf.DUMMYFUNCTION("""COMPUTED_VALUE"""),80.0)</f>
        <v>80</v>
      </c>
      <c r="Z776" s="5">
        <f>IFERROR(__xludf.DUMMYFUNCTION("""COMPUTED_VALUE"""),81.0)</f>
        <v>81</v>
      </c>
    </row>
    <row r="777">
      <c r="A777" s="30" t="s">
        <v>2598</v>
      </c>
      <c r="B777" s="30">
        <f>IFERROR(__xludf.DUMMYFUNCTION("""COMPUTED_VALUE"""),83.0)</f>
        <v>83</v>
      </c>
      <c r="C777" s="30"/>
      <c r="D777" s="30"/>
      <c r="E777" s="30"/>
      <c r="F777" s="30"/>
      <c r="G777" s="30"/>
      <c r="H777" s="30"/>
      <c r="I777" s="30"/>
      <c r="J777" s="30">
        <f>IFERROR(__xludf.DUMMYFUNCTION("""COMPUTED_VALUE"""),-11.059343513011441)</f>
        <v>-11.05934351</v>
      </c>
      <c r="K777" s="30"/>
      <c r="L777" s="30"/>
      <c r="M777" s="30"/>
      <c r="N777" s="30"/>
      <c r="O777" s="30">
        <f>IFERROR(__xludf.DUMMYFUNCTION("""COMPUTED_VALUE"""),-2.630874715592867)</f>
        <v>-2.630874716</v>
      </c>
      <c r="P777" s="30">
        <f>IFERROR(__xludf.DUMMYFUNCTION("""COMPUTED_VALUE"""),4.463999088063446)</f>
        <v>4.463999088</v>
      </c>
      <c r="Q777" s="30"/>
      <c r="R777" s="30"/>
      <c r="S777" s="30"/>
      <c r="T777" s="30"/>
      <c r="U777" s="30">
        <v>0.0</v>
      </c>
      <c r="V777" s="30"/>
      <c r="W777" s="30"/>
      <c r="X777" s="30"/>
      <c r="Y777" s="5">
        <f>IFERROR(__xludf.DUMMYFUNCTION("""COMPUTED_VALUE"""),82.0)</f>
        <v>82</v>
      </c>
      <c r="Z777" s="5">
        <f>IFERROR(__xludf.DUMMYFUNCTION("""COMPUTED_VALUE"""),84.0)</f>
        <v>84</v>
      </c>
    </row>
    <row r="778">
      <c r="A778" s="30" t="s">
        <v>2601</v>
      </c>
      <c r="B778" s="30">
        <f>IFERROR(__xludf.DUMMYFUNCTION("""COMPUTED_VALUE"""),81.5)</f>
        <v>81.5</v>
      </c>
      <c r="C778" s="30"/>
      <c r="D778" s="30"/>
      <c r="E778" s="30"/>
      <c r="F778" s="30"/>
      <c r="G778" s="30"/>
      <c r="H778" s="30"/>
      <c r="I778" s="30"/>
      <c r="J778" s="30">
        <f>IFERROR(__xludf.DUMMYFUNCTION("""COMPUTED_VALUE"""),-11.059343513011441)</f>
        <v>-11.05934351</v>
      </c>
      <c r="K778" s="30"/>
      <c r="L778" s="30"/>
      <c r="M778" s="30"/>
      <c r="N778" s="30"/>
      <c r="O778" s="30">
        <f>IFERROR(__xludf.DUMMYFUNCTION("""COMPUTED_VALUE"""),-2.630874715592867)</f>
        <v>-2.630874716</v>
      </c>
      <c r="P778" s="30">
        <f>IFERROR(__xludf.DUMMYFUNCTION("""COMPUTED_VALUE"""),4.463999088063446)</f>
        <v>4.463999088</v>
      </c>
      <c r="Q778" s="30"/>
      <c r="R778" s="30"/>
      <c r="S778" s="30"/>
      <c r="T778" s="30"/>
      <c r="U778" s="30">
        <v>0.0</v>
      </c>
      <c r="V778" s="30"/>
      <c r="W778" s="30"/>
      <c r="X778" s="30"/>
      <c r="Y778" s="5">
        <f>IFERROR(__xludf.DUMMYFUNCTION("""COMPUTED_VALUE"""),80.0)</f>
        <v>80</v>
      </c>
      <c r="Z778" s="5">
        <f>IFERROR(__xludf.DUMMYFUNCTION("""COMPUTED_VALUE"""),83.0)</f>
        <v>83</v>
      </c>
    </row>
    <row r="779">
      <c r="A779" s="30" t="s">
        <v>2604</v>
      </c>
      <c r="B779" s="30">
        <f>IFERROR(__xludf.DUMMYFUNCTION("""COMPUTED_VALUE"""),81.0)</f>
        <v>81</v>
      </c>
      <c r="C779" s="30"/>
      <c r="D779" s="30"/>
      <c r="E779" s="30"/>
      <c r="F779" s="30"/>
      <c r="G779" s="30"/>
      <c r="H779" s="30"/>
      <c r="I779" s="30"/>
      <c r="J779" s="30">
        <f>IFERROR(__xludf.DUMMYFUNCTION("""COMPUTED_VALUE"""),-11.059343513011441)</f>
        <v>-11.05934351</v>
      </c>
      <c r="K779" s="30"/>
      <c r="L779" s="30"/>
      <c r="M779" s="30"/>
      <c r="N779" s="30"/>
      <c r="O779" s="30">
        <f>IFERROR(__xludf.DUMMYFUNCTION("""COMPUTED_VALUE"""),-2.630874715592867)</f>
        <v>-2.630874716</v>
      </c>
      <c r="P779" s="30">
        <f>IFERROR(__xludf.DUMMYFUNCTION("""COMPUTED_VALUE"""),4.463999088063446)</f>
        <v>4.463999088</v>
      </c>
      <c r="Q779" s="30"/>
      <c r="R779" s="30"/>
      <c r="S779" s="30"/>
      <c r="T779" s="30"/>
      <c r="U779" s="30">
        <v>0.0</v>
      </c>
      <c r="V779" s="30"/>
      <c r="W779" s="30"/>
      <c r="X779" s="30"/>
      <c r="Y779" s="5">
        <f>IFERROR(__xludf.DUMMYFUNCTION("""COMPUTED_VALUE"""),79.0)</f>
        <v>79</v>
      </c>
      <c r="Z779" s="5">
        <f>IFERROR(__xludf.DUMMYFUNCTION("""COMPUTED_VALUE"""),83.0)</f>
        <v>83</v>
      </c>
    </row>
    <row r="780">
      <c r="A780" s="30" t="s">
        <v>2607</v>
      </c>
      <c r="B780" s="30">
        <f>IFERROR(__xludf.DUMMYFUNCTION("""COMPUTED_VALUE"""),81.0)</f>
        <v>81</v>
      </c>
      <c r="C780" s="30"/>
      <c r="D780" s="30"/>
      <c r="E780" s="30"/>
      <c r="F780" s="30"/>
      <c r="G780" s="30"/>
      <c r="H780" s="30"/>
      <c r="I780" s="30"/>
      <c r="J780" s="30">
        <f>IFERROR(__xludf.DUMMYFUNCTION("""COMPUTED_VALUE"""),-11.059343513011441)</f>
        <v>-11.05934351</v>
      </c>
      <c r="K780" s="30"/>
      <c r="L780" s="30"/>
      <c r="M780" s="30"/>
      <c r="N780" s="30"/>
      <c r="O780" s="30">
        <f>IFERROR(__xludf.DUMMYFUNCTION("""COMPUTED_VALUE"""),-2.630874715592867)</f>
        <v>-2.630874716</v>
      </c>
      <c r="P780" s="30">
        <f>IFERROR(__xludf.DUMMYFUNCTION("""COMPUTED_VALUE"""),4.463999088063446)</f>
        <v>4.463999088</v>
      </c>
      <c r="Q780" s="30"/>
      <c r="R780" s="30"/>
      <c r="S780" s="30"/>
      <c r="T780" s="30"/>
      <c r="U780" s="30">
        <v>0.0</v>
      </c>
      <c r="V780" s="30"/>
      <c r="W780" s="30"/>
      <c r="X780" s="30"/>
      <c r="Y780" s="5">
        <f>IFERROR(__xludf.DUMMYFUNCTION("""COMPUTED_VALUE"""),81.0)</f>
        <v>81</v>
      </c>
      <c r="Z780" s="5">
        <f>IFERROR(__xludf.DUMMYFUNCTION("""COMPUTED_VALUE"""),81.0)</f>
        <v>81</v>
      </c>
    </row>
    <row r="781">
      <c r="A781" s="30" t="s">
        <v>2609</v>
      </c>
      <c r="B781" s="30">
        <f>IFERROR(__xludf.DUMMYFUNCTION("""COMPUTED_VALUE"""),82.0)</f>
        <v>82</v>
      </c>
      <c r="C781" s="30"/>
      <c r="D781" s="30"/>
      <c r="E781" s="30"/>
      <c r="F781" s="30"/>
      <c r="G781" s="30"/>
      <c r="H781" s="30"/>
      <c r="I781" s="30"/>
      <c r="J781" s="30">
        <f>IFERROR(__xludf.DUMMYFUNCTION("""COMPUTED_VALUE"""),-11.059343513011441)</f>
        <v>-11.05934351</v>
      </c>
      <c r="K781" s="30"/>
      <c r="L781" s="30"/>
      <c r="M781" s="30"/>
      <c r="N781" s="30"/>
      <c r="O781" s="30">
        <f>IFERROR(__xludf.DUMMYFUNCTION("""COMPUTED_VALUE"""),-2.630874715592867)</f>
        <v>-2.630874716</v>
      </c>
      <c r="P781" s="30">
        <f>IFERROR(__xludf.DUMMYFUNCTION("""COMPUTED_VALUE"""),4.463999088063446)</f>
        <v>4.463999088</v>
      </c>
      <c r="Q781" s="30"/>
      <c r="R781" s="30"/>
      <c r="S781" s="30"/>
      <c r="T781" s="30"/>
      <c r="U781" s="30">
        <v>0.0</v>
      </c>
      <c r="V781" s="30"/>
      <c r="W781" s="30"/>
      <c r="X781" s="30"/>
      <c r="Y781" s="5">
        <f>IFERROR(__xludf.DUMMYFUNCTION("""COMPUTED_VALUE"""),82.0)</f>
        <v>82</v>
      </c>
      <c r="Z781" s="5">
        <f>IFERROR(__xludf.DUMMYFUNCTION("""COMPUTED_VALUE"""),82.0)</f>
        <v>82</v>
      </c>
    </row>
    <row r="782">
      <c r="A782" s="30" t="s">
        <v>2610</v>
      </c>
      <c r="B782" s="30">
        <f>IFERROR(__xludf.DUMMYFUNCTION("""COMPUTED_VALUE"""),80.0)</f>
        <v>80</v>
      </c>
      <c r="C782" s="30"/>
      <c r="D782" s="30"/>
      <c r="E782" s="30"/>
      <c r="F782" s="30"/>
      <c r="G782" s="30"/>
      <c r="H782" s="30"/>
      <c r="I782" s="30"/>
      <c r="J782" s="30">
        <f>IFERROR(__xludf.DUMMYFUNCTION("""COMPUTED_VALUE"""),-11.059343513011441)</f>
        <v>-11.05934351</v>
      </c>
      <c r="K782" s="30"/>
      <c r="L782" s="30"/>
      <c r="M782" s="30"/>
      <c r="N782" s="30"/>
      <c r="O782" s="30">
        <f>IFERROR(__xludf.DUMMYFUNCTION("""COMPUTED_VALUE"""),-2.630874715592867)</f>
        <v>-2.630874716</v>
      </c>
      <c r="P782" s="30">
        <f>IFERROR(__xludf.DUMMYFUNCTION("""COMPUTED_VALUE"""),4.463999088063446)</f>
        <v>4.463999088</v>
      </c>
      <c r="Q782" s="30"/>
      <c r="R782" s="30"/>
      <c r="S782" s="30"/>
      <c r="T782" s="30"/>
      <c r="U782" s="30">
        <v>0.0</v>
      </c>
      <c r="V782" s="30"/>
      <c r="W782" s="30"/>
      <c r="X782" s="30"/>
      <c r="Y782" s="5">
        <f>IFERROR(__xludf.DUMMYFUNCTION("""COMPUTED_VALUE"""),80.0)</f>
        <v>80</v>
      </c>
      <c r="Z782" s="5">
        <f>IFERROR(__xludf.DUMMYFUNCTION("""COMPUTED_VALUE"""),80.0)</f>
        <v>80</v>
      </c>
    </row>
    <row r="783">
      <c r="A783" s="30" t="s">
        <v>2611</v>
      </c>
      <c r="B783" s="30">
        <f>IFERROR(__xludf.DUMMYFUNCTION("""COMPUTED_VALUE"""),81.0)</f>
        <v>81</v>
      </c>
      <c r="C783" s="30"/>
      <c r="D783" s="30"/>
      <c r="E783" s="30"/>
      <c r="F783" s="30"/>
      <c r="G783" s="30"/>
      <c r="H783" s="30"/>
      <c r="I783" s="30"/>
      <c r="J783" s="30">
        <f>IFERROR(__xludf.DUMMYFUNCTION("""COMPUTED_VALUE"""),-11.059343513011441)</f>
        <v>-11.05934351</v>
      </c>
      <c r="K783" s="30"/>
      <c r="L783" s="30"/>
      <c r="M783" s="30"/>
      <c r="N783" s="30"/>
      <c r="O783" s="30">
        <f>IFERROR(__xludf.DUMMYFUNCTION("""COMPUTED_VALUE"""),-2.630874715592867)</f>
        <v>-2.630874716</v>
      </c>
      <c r="P783" s="30">
        <f>IFERROR(__xludf.DUMMYFUNCTION("""COMPUTED_VALUE"""),4.463999088063446)</f>
        <v>4.463999088</v>
      </c>
      <c r="Q783" s="30"/>
      <c r="R783" s="30"/>
      <c r="S783" s="30"/>
      <c r="T783" s="30"/>
      <c r="U783" s="30">
        <v>0.0</v>
      </c>
      <c r="V783" s="30"/>
      <c r="W783" s="30"/>
      <c r="X783" s="30"/>
      <c r="Y783" s="5">
        <f>IFERROR(__xludf.DUMMYFUNCTION("""COMPUTED_VALUE"""),81.0)</f>
        <v>81</v>
      </c>
      <c r="Z783" s="5">
        <f>IFERROR(__xludf.DUMMYFUNCTION("""COMPUTED_VALUE"""),81.0)</f>
        <v>81</v>
      </c>
    </row>
    <row r="784">
      <c r="A784" s="30" t="s">
        <v>2612</v>
      </c>
      <c r="B784" s="30">
        <f>IFERROR(__xludf.DUMMYFUNCTION("""COMPUTED_VALUE"""),81.0)</f>
        <v>81</v>
      </c>
      <c r="C784" s="30"/>
      <c r="D784" s="30"/>
      <c r="E784" s="30"/>
      <c r="F784" s="30"/>
      <c r="G784" s="30"/>
      <c r="H784" s="30"/>
      <c r="I784" s="30"/>
      <c r="J784" s="30">
        <f>IFERROR(__xludf.DUMMYFUNCTION("""COMPUTED_VALUE"""),-11.059343513011441)</f>
        <v>-11.05934351</v>
      </c>
      <c r="K784" s="30"/>
      <c r="L784" s="30"/>
      <c r="M784" s="30"/>
      <c r="N784" s="30"/>
      <c r="O784" s="30">
        <f>IFERROR(__xludf.DUMMYFUNCTION("""COMPUTED_VALUE"""),-2.630874715592867)</f>
        <v>-2.630874716</v>
      </c>
      <c r="P784" s="30">
        <f>IFERROR(__xludf.DUMMYFUNCTION("""COMPUTED_VALUE"""),4.463999088063446)</f>
        <v>4.463999088</v>
      </c>
      <c r="Q784" s="30"/>
      <c r="R784" s="30"/>
      <c r="S784" s="30"/>
      <c r="T784" s="30"/>
      <c r="U784" s="30">
        <v>0.0</v>
      </c>
      <c r="V784" s="30"/>
      <c r="W784" s="30"/>
      <c r="X784" s="30"/>
      <c r="Y784" s="5">
        <f>IFERROR(__xludf.DUMMYFUNCTION("""COMPUTED_VALUE"""),81.0)</f>
        <v>81</v>
      </c>
      <c r="Z784" s="5">
        <f>IFERROR(__xludf.DUMMYFUNCTION("""COMPUTED_VALUE"""),81.0)</f>
        <v>81</v>
      </c>
    </row>
    <row r="785">
      <c r="A785" s="30" t="s">
        <v>1371</v>
      </c>
      <c r="B785" s="30">
        <f>IFERROR(__xludf.DUMMYFUNCTION("""COMPUTED_VALUE"""),83.5)</f>
        <v>83.5</v>
      </c>
      <c r="C785" s="30"/>
      <c r="D785" s="30"/>
      <c r="E785" s="30"/>
      <c r="F785" s="30"/>
      <c r="G785" s="30"/>
      <c r="H785" s="30"/>
      <c r="I785" s="30"/>
      <c r="J785" s="30">
        <f>IFERROR(__xludf.DUMMYFUNCTION("""COMPUTED_VALUE"""),-11.059343513011441)</f>
        <v>-11.05934351</v>
      </c>
      <c r="K785" s="30"/>
      <c r="L785" s="30"/>
      <c r="M785" s="30"/>
      <c r="N785" s="30"/>
      <c r="O785" s="30">
        <f>IFERROR(__xludf.DUMMYFUNCTION("""COMPUTED_VALUE"""),-2.630874715592867)</f>
        <v>-2.630874716</v>
      </c>
      <c r="P785" s="30">
        <f>IFERROR(__xludf.DUMMYFUNCTION("""COMPUTED_VALUE"""),4.463999088063446)</f>
        <v>4.463999088</v>
      </c>
      <c r="Q785" s="30"/>
      <c r="R785" s="30"/>
      <c r="S785" s="30"/>
      <c r="T785" s="30"/>
      <c r="U785" s="30">
        <v>0.0</v>
      </c>
      <c r="V785" s="30"/>
      <c r="W785" s="30"/>
      <c r="X785" s="30"/>
      <c r="Y785" s="5">
        <f>IFERROR(__xludf.DUMMYFUNCTION("""COMPUTED_VALUE"""),83.0)</f>
        <v>83</v>
      </c>
      <c r="Z785" s="5">
        <f>IFERROR(__xludf.DUMMYFUNCTION("""COMPUTED_VALUE"""),84.0)</f>
        <v>84</v>
      </c>
    </row>
    <row r="786">
      <c r="A786" s="30" t="s">
        <v>2614</v>
      </c>
      <c r="B786" s="30">
        <f>IFERROR(__xludf.DUMMYFUNCTION("""COMPUTED_VALUE"""),80.0)</f>
        <v>80</v>
      </c>
      <c r="C786" s="30"/>
      <c r="D786" s="30"/>
      <c r="E786" s="30"/>
      <c r="F786" s="30"/>
      <c r="G786" s="30"/>
      <c r="H786" s="30"/>
      <c r="I786" s="30"/>
      <c r="J786" s="30">
        <f>IFERROR(__xludf.DUMMYFUNCTION("""COMPUTED_VALUE"""),-11.059343513011441)</f>
        <v>-11.05934351</v>
      </c>
      <c r="K786" s="30"/>
      <c r="L786" s="30"/>
      <c r="M786" s="30"/>
      <c r="N786" s="30"/>
      <c r="O786" s="30">
        <f>IFERROR(__xludf.DUMMYFUNCTION("""COMPUTED_VALUE"""),-2.630874715592867)</f>
        <v>-2.630874716</v>
      </c>
      <c r="P786" s="30">
        <f>IFERROR(__xludf.DUMMYFUNCTION("""COMPUTED_VALUE"""),4.463999088063446)</f>
        <v>4.463999088</v>
      </c>
      <c r="Q786" s="30"/>
      <c r="R786" s="30"/>
      <c r="S786" s="30"/>
      <c r="T786" s="30"/>
      <c r="U786" s="30">
        <v>0.0</v>
      </c>
      <c r="V786" s="30"/>
      <c r="W786" s="30"/>
      <c r="X786" s="30"/>
      <c r="Y786" s="5">
        <f>IFERROR(__xludf.DUMMYFUNCTION("""COMPUTED_VALUE"""),80.0)</f>
        <v>80</v>
      </c>
      <c r="Z786" s="5">
        <f>IFERROR(__xludf.DUMMYFUNCTION("""COMPUTED_VALUE"""),80.0)</f>
        <v>80</v>
      </c>
    </row>
    <row r="787">
      <c r="A787" s="30" t="s">
        <v>736</v>
      </c>
      <c r="B787" s="30">
        <f>IFERROR(__xludf.DUMMYFUNCTION("""COMPUTED_VALUE"""),79.5)</f>
        <v>79.5</v>
      </c>
      <c r="C787" s="30"/>
      <c r="D787" s="30"/>
      <c r="E787" s="30"/>
      <c r="F787" s="30"/>
      <c r="G787" s="30"/>
      <c r="H787" s="30"/>
      <c r="I787" s="30"/>
      <c r="J787" s="30">
        <f>IFERROR(__xludf.DUMMYFUNCTION("""COMPUTED_VALUE"""),-11.059343513011441)</f>
        <v>-11.05934351</v>
      </c>
      <c r="K787" s="30"/>
      <c r="L787" s="30"/>
      <c r="M787" s="30"/>
      <c r="N787" s="30"/>
      <c r="O787" s="30">
        <f>IFERROR(__xludf.DUMMYFUNCTION("""COMPUTED_VALUE"""),-2.630874715592867)</f>
        <v>-2.630874716</v>
      </c>
      <c r="P787" s="30">
        <f>IFERROR(__xludf.DUMMYFUNCTION("""COMPUTED_VALUE"""),4.463999088063446)</f>
        <v>4.463999088</v>
      </c>
      <c r="Q787" s="30"/>
      <c r="R787" s="30"/>
      <c r="S787" s="30"/>
      <c r="T787" s="30"/>
      <c r="U787" s="30">
        <v>0.0</v>
      </c>
      <c r="V787" s="30"/>
      <c r="W787" s="30"/>
      <c r="X787" s="30"/>
      <c r="Y787" s="5">
        <f>IFERROR(__xludf.DUMMYFUNCTION("""COMPUTED_VALUE"""),79.0)</f>
        <v>79</v>
      </c>
      <c r="Z787" s="5">
        <f>IFERROR(__xludf.DUMMYFUNCTION("""COMPUTED_VALUE"""),80.0)</f>
        <v>80</v>
      </c>
    </row>
    <row r="788">
      <c r="A788" s="30" t="s">
        <v>2617</v>
      </c>
      <c r="B788" s="30">
        <f>IFERROR(__xludf.DUMMYFUNCTION("""COMPUTED_VALUE"""),81.5)</f>
        <v>81.5</v>
      </c>
      <c r="C788" s="30"/>
      <c r="D788" s="30"/>
      <c r="E788" s="30"/>
      <c r="F788" s="30"/>
      <c r="G788" s="30"/>
      <c r="H788" s="30"/>
      <c r="I788" s="30"/>
      <c r="J788" s="30">
        <f>IFERROR(__xludf.DUMMYFUNCTION("""COMPUTED_VALUE"""),-11.059343513011441)</f>
        <v>-11.05934351</v>
      </c>
      <c r="K788" s="30"/>
      <c r="L788" s="30"/>
      <c r="M788" s="30"/>
      <c r="N788" s="30"/>
      <c r="O788" s="30">
        <f>IFERROR(__xludf.DUMMYFUNCTION("""COMPUTED_VALUE"""),-2.630874715592867)</f>
        <v>-2.630874716</v>
      </c>
      <c r="P788" s="30">
        <f>IFERROR(__xludf.DUMMYFUNCTION("""COMPUTED_VALUE"""),4.463999088063446)</f>
        <v>4.463999088</v>
      </c>
      <c r="Q788" s="30"/>
      <c r="R788" s="30"/>
      <c r="S788" s="30"/>
      <c r="T788" s="30"/>
      <c r="U788" s="30">
        <v>0.0</v>
      </c>
      <c r="V788" s="30"/>
      <c r="W788" s="30"/>
      <c r="X788" s="30"/>
      <c r="Y788" s="5">
        <f>IFERROR(__xludf.DUMMYFUNCTION("""COMPUTED_VALUE"""),80.0)</f>
        <v>80</v>
      </c>
      <c r="Z788" s="5">
        <f>IFERROR(__xludf.DUMMYFUNCTION("""COMPUTED_VALUE"""),83.0)</f>
        <v>83</v>
      </c>
    </row>
    <row r="789">
      <c r="A789" s="30" t="s">
        <v>2621</v>
      </c>
      <c r="B789" s="30">
        <f>IFERROR(__xludf.DUMMYFUNCTION("""COMPUTED_VALUE"""),82.5)</f>
        <v>82.5</v>
      </c>
      <c r="C789" s="30"/>
      <c r="D789" s="30"/>
      <c r="E789" s="30"/>
      <c r="F789" s="30"/>
      <c r="G789" s="30"/>
      <c r="H789" s="30"/>
      <c r="I789" s="30"/>
      <c r="J789" s="30">
        <f>IFERROR(__xludf.DUMMYFUNCTION("""COMPUTED_VALUE"""),-11.059343513011441)</f>
        <v>-11.05934351</v>
      </c>
      <c r="K789" s="30"/>
      <c r="L789" s="30"/>
      <c r="M789" s="30"/>
      <c r="N789" s="30"/>
      <c r="O789" s="30">
        <f>IFERROR(__xludf.DUMMYFUNCTION("""COMPUTED_VALUE"""),-2.630874715592867)</f>
        <v>-2.630874716</v>
      </c>
      <c r="P789" s="30">
        <f>IFERROR(__xludf.DUMMYFUNCTION("""COMPUTED_VALUE"""),4.463999088063446)</f>
        <v>4.463999088</v>
      </c>
      <c r="Q789" s="30"/>
      <c r="R789" s="30"/>
      <c r="S789" s="30"/>
      <c r="T789" s="30"/>
      <c r="U789" s="30">
        <v>0.0</v>
      </c>
      <c r="V789" s="30"/>
      <c r="W789" s="30"/>
      <c r="X789" s="30"/>
      <c r="Y789" s="5">
        <f>IFERROR(__xludf.DUMMYFUNCTION("""COMPUTED_VALUE"""),82.0)</f>
        <v>82</v>
      </c>
      <c r="Z789" s="5">
        <f>IFERROR(__xludf.DUMMYFUNCTION("""COMPUTED_VALUE"""),83.0)</f>
        <v>83</v>
      </c>
    </row>
    <row r="790">
      <c r="A790" s="30" t="s">
        <v>2623</v>
      </c>
      <c r="B790" s="30">
        <f>IFERROR(__xludf.DUMMYFUNCTION("""COMPUTED_VALUE"""),81.0)</f>
        <v>81</v>
      </c>
      <c r="C790" s="30"/>
      <c r="D790" s="30"/>
      <c r="E790" s="30"/>
      <c r="F790" s="30"/>
      <c r="G790" s="30"/>
      <c r="H790" s="30"/>
      <c r="I790" s="30"/>
      <c r="J790" s="30">
        <f>IFERROR(__xludf.DUMMYFUNCTION("""COMPUTED_VALUE"""),-11.059343513011441)</f>
        <v>-11.05934351</v>
      </c>
      <c r="K790" s="30"/>
      <c r="L790" s="30"/>
      <c r="M790" s="30"/>
      <c r="N790" s="30"/>
      <c r="O790" s="30">
        <f>IFERROR(__xludf.DUMMYFUNCTION("""COMPUTED_VALUE"""),-2.630874715592867)</f>
        <v>-2.630874716</v>
      </c>
      <c r="P790" s="30">
        <f>IFERROR(__xludf.DUMMYFUNCTION("""COMPUTED_VALUE"""),4.463999088063446)</f>
        <v>4.463999088</v>
      </c>
      <c r="Q790" s="30"/>
      <c r="R790" s="30"/>
      <c r="S790" s="30"/>
      <c r="T790" s="30"/>
      <c r="U790" s="30">
        <v>0.0</v>
      </c>
      <c r="V790" s="30"/>
      <c r="W790" s="30"/>
      <c r="X790" s="30"/>
      <c r="Y790" s="5">
        <f>IFERROR(__xludf.DUMMYFUNCTION("""COMPUTED_VALUE"""),81.0)</f>
        <v>81</v>
      </c>
      <c r="Z790" s="5">
        <f>IFERROR(__xludf.DUMMYFUNCTION("""COMPUTED_VALUE"""),81.0)</f>
        <v>81</v>
      </c>
    </row>
    <row r="791">
      <c r="A791" s="30" t="s">
        <v>2624</v>
      </c>
      <c r="B791" s="30">
        <f>IFERROR(__xludf.DUMMYFUNCTION("""COMPUTED_VALUE"""),80.0)</f>
        <v>80</v>
      </c>
      <c r="C791" s="30"/>
      <c r="D791" s="30"/>
      <c r="E791" s="30"/>
      <c r="F791" s="30"/>
      <c r="G791" s="30"/>
      <c r="H791" s="30"/>
      <c r="I791" s="30"/>
      <c r="J791" s="30">
        <f>IFERROR(__xludf.DUMMYFUNCTION("""COMPUTED_VALUE"""),-11.059343513011441)</f>
        <v>-11.05934351</v>
      </c>
      <c r="K791" s="30"/>
      <c r="L791" s="30"/>
      <c r="M791" s="30"/>
      <c r="N791" s="30"/>
      <c r="O791" s="30">
        <f>IFERROR(__xludf.DUMMYFUNCTION("""COMPUTED_VALUE"""),-2.630874715592867)</f>
        <v>-2.630874716</v>
      </c>
      <c r="P791" s="30">
        <f>IFERROR(__xludf.DUMMYFUNCTION("""COMPUTED_VALUE"""),4.463999088063446)</f>
        <v>4.463999088</v>
      </c>
      <c r="Q791" s="30"/>
      <c r="R791" s="30"/>
      <c r="S791" s="30"/>
      <c r="T791" s="30"/>
      <c r="U791" s="30">
        <v>0.0</v>
      </c>
      <c r="V791" s="30"/>
      <c r="W791" s="30"/>
      <c r="X791" s="30"/>
      <c r="Y791" s="5">
        <f>IFERROR(__xludf.DUMMYFUNCTION("""COMPUTED_VALUE"""),80.0)</f>
        <v>80</v>
      </c>
      <c r="Z791" s="5">
        <f>IFERROR(__xludf.DUMMYFUNCTION("""COMPUTED_VALUE"""),80.0)</f>
        <v>80</v>
      </c>
    </row>
    <row r="792">
      <c r="A792" s="30" t="s">
        <v>2625</v>
      </c>
      <c r="B792" s="30">
        <f>IFERROR(__xludf.DUMMYFUNCTION("""COMPUTED_VALUE"""),83.5)</f>
        <v>83.5</v>
      </c>
      <c r="C792" s="30"/>
      <c r="D792" s="30"/>
      <c r="E792" s="30"/>
      <c r="F792" s="30"/>
      <c r="G792" s="30"/>
      <c r="H792" s="30"/>
      <c r="I792" s="30"/>
      <c r="J792" s="30">
        <f>IFERROR(__xludf.DUMMYFUNCTION("""COMPUTED_VALUE"""),-11.059343513011441)</f>
        <v>-11.05934351</v>
      </c>
      <c r="K792" s="30"/>
      <c r="L792" s="30"/>
      <c r="M792" s="30"/>
      <c r="N792" s="30"/>
      <c r="O792" s="30">
        <f>IFERROR(__xludf.DUMMYFUNCTION("""COMPUTED_VALUE"""),-2.630874715592867)</f>
        <v>-2.630874716</v>
      </c>
      <c r="P792" s="30">
        <f>IFERROR(__xludf.DUMMYFUNCTION("""COMPUTED_VALUE"""),4.463999088063446)</f>
        <v>4.463999088</v>
      </c>
      <c r="Q792" s="30"/>
      <c r="R792" s="30"/>
      <c r="S792" s="30"/>
      <c r="T792" s="30"/>
      <c r="U792" s="30">
        <v>0.0</v>
      </c>
      <c r="V792" s="30"/>
      <c r="W792" s="30"/>
      <c r="X792" s="30"/>
      <c r="Y792" s="5">
        <f>IFERROR(__xludf.DUMMYFUNCTION("""COMPUTED_VALUE"""),83.0)</f>
        <v>83</v>
      </c>
      <c r="Z792" s="5">
        <f>IFERROR(__xludf.DUMMYFUNCTION("""COMPUTED_VALUE"""),84.0)</f>
        <v>84</v>
      </c>
    </row>
    <row r="793">
      <c r="A793" s="30" t="s">
        <v>1468</v>
      </c>
      <c r="B793" s="30">
        <f>IFERROR(__xludf.DUMMYFUNCTION("""COMPUTED_VALUE"""),81.5)</f>
        <v>81.5</v>
      </c>
      <c r="C793" s="30"/>
      <c r="D793" s="30"/>
      <c r="E793" s="30"/>
      <c r="F793" s="30"/>
      <c r="G793" s="30"/>
      <c r="H793" s="30"/>
      <c r="I793" s="30"/>
      <c r="J793" s="30">
        <f>IFERROR(__xludf.DUMMYFUNCTION("""COMPUTED_VALUE"""),-11.059343513011441)</f>
        <v>-11.05934351</v>
      </c>
      <c r="K793" s="30"/>
      <c r="L793" s="30"/>
      <c r="M793" s="30"/>
      <c r="N793" s="30"/>
      <c r="O793" s="30">
        <f>IFERROR(__xludf.DUMMYFUNCTION("""COMPUTED_VALUE"""),-2.630874715592867)</f>
        <v>-2.630874716</v>
      </c>
      <c r="P793" s="30">
        <f>IFERROR(__xludf.DUMMYFUNCTION("""COMPUTED_VALUE"""),4.463999088063446)</f>
        <v>4.463999088</v>
      </c>
      <c r="Q793" s="30"/>
      <c r="R793" s="30"/>
      <c r="S793" s="30"/>
      <c r="T793" s="30"/>
      <c r="U793" s="30">
        <v>0.0</v>
      </c>
      <c r="V793" s="30"/>
      <c r="W793" s="30"/>
      <c r="X793" s="30"/>
      <c r="Y793" s="5">
        <f>IFERROR(__xludf.DUMMYFUNCTION("""COMPUTED_VALUE"""),81.0)</f>
        <v>81</v>
      </c>
      <c r="Z793" s="5">
        <f>IFERROR(__xludf.DUMMYFUNCTION("""COMPUTED_VALUE"""),82.0)</f>
        <v>82</v>
      </c>
    </row>
    <row r="794">
      <c r="A794" s="30" t="s">
        <v>2627</v>
      </c>
      <c r="B794" s="30">
        <f>IFERROR(__xludf.DUMMYFUNCTION("""COMPUTED_VALUE"""),82.0)</f>
        <v>82</v>
      </c>
      <c r="C794" s="30"/>
      <c r="D794" s="30"/>
      <c r="E794" s="30"/>
      <c r="F794" s="30"/>
      <c r="G794" s="30"/>
      <c r="H794" s="30"/>
      <c r="I794" s="30"/>
      <c r="J794" s="30">
        <f>IFERROR(__xludf.DUMMYFUNCTION("""COMPUTED_VALUE"""),-11.059343513011441)</f>
        <v>-11.05934351</v>
      </c>
      <c r="K794" s="30"/>
      <c r="L794" s="30"/>
      <c r="M794" s="30"/>
      <c r="N794" s="30"/>
      <c r="O794" s="30">
        <f>IFERROR(__xludf.DUMMYFUNCTION("""COMPUTED_VALUE"""),-2.630874715592867)</f>
        <v>-2.630874716</v>
      </c>
      <c r="P794" s="30">
        <f>IFERROR(__xludf.DUMMYFUNCTION("""COMPUTED_VALUE"""),4.463999088063446)</f>
        <v>4.463999088</v>
      </c>
      <c r="Q794" s="30"/>
      <c r="R794" s="30"/>
      <c r="S794" s="30"/>
      <c r="T794" s="30"/>
      <c r="U794" s="30">
        <v>0.0</v>
      </c>
      <c r="V794" s="30"/>
      <c r="W794" s="30"/>
      <c r="X794" s="30"/>
      <c r="Y794" s="5">
        <f>IFERROR(__xludf.DUMMYFUNCTION("""COMPUTED_VALUE"""),81.0)</f>
        <v>81</v>
      </c>
      <c r="Z794" s="5">
        <f>IFERROR(__xludf.DUMMYFUNCTION("""COMPUTED_VALUE"""),83.0)</f>
        <v>83</v>
      </c>
    </row>
    <row r="795">
      <c r="A795" s="30" t="s">
        <v>2630</v>
      </c>
      <c r="B795" s="30">
        <f>IFERROR(__xludf.DUMMYFUNCTION("""COMPUTED_VALUE"""),82.0)</f>
        <v>82</v>
      </c>
      <c r="C795" s="30"/>
      <c r="D795" s="30"/>
      <c r="E795" s="30"/>
      <c r="F795" s="30"/>
      <c r="G795" s="30"/>
      <c r="H795" s="30"/>
      <c r="I795" s="30"/>
      <c r="J795" s="30">
        <f>IFERROR(__xludf.DUMMYFUNCTION("""COMPUTED_VALUE"""),-11.059343513011441)</f>
        <v>-11.05934351</v>
      </c>
      <c r="K795" s="30"/>
      <c r="L795" s="30"/>
      <c r="M795" s="30"/>
      <c r="N795" s="30"/>
      <c r="O795" s="30">
        <f>IFERROR(__xludf.DUMMYFUNCTION("""COMPUTED_VALUE"""),-2.630874715592867)</f>
        <v>-2.630874716</v>
      </c>
      <c r="P795" s="30">
        <f>IFERROR(__xludf.DUMMYFUNCTION("""COMPUTED_VALUE"""),4.463999088063446)</f>
        <v>4.463999088</v>
      </c>
      <c r="Q795" s="30"/>
      <c r="R795" s="30"/>
      <c r="S795" s="30"/>
      <c r="T795" s="30"/>
      <c r="U795" s="30">
        <v>0.0</v>
      </c>
      <c r="V795" s="30"/>
      <c r="W795" s="30"/>
      <c r="X795" s="30"/>
      <c r="Y795" s="5">
        <f>IFERROR(__xludf.DUMMYFUNCTION("""COMPUTED_VALUE"""),82.0)</f>
        <v>82</v>
      </c>
      <c r="Z795" s="5">
        <f>IFERROR(__xludf.DUMMYFUNCTION("""COMPUTED_VALUE"""),82.0)</f>
        <v>82</v>
      </c>
    </row>
    <row r="796">
      <c r="A796" s="30" t="s">
        <v>2631</v>
      </c>
      <c r="B796" s="30">
        <f>IFERROR(__xludf.DUMMYFUNCTION("""COMPUTED_VALUE"""),83.0)</f>
        <v>83</v>
      </c>
      <c r="C796" s="30"/>
      <c r="D796" s="30"/>
      <c r="E796" s="30"/>
      <c r="F796" s="30"/>
      <c r="G796" s="30"/>
      <c r="H796" s="30"/>
      <c r="I796" s="30"/>
      <c r="J796" s="30">
        <f>IFERROR(__xludf.DUMMYFUNCTION("""COMPUTED_VALUE"""),-11.059343513011441)</f>
        <v>-11.05934351</v>
      </c>
      <c r="K796" s="30"/>
      <c r="L796" s="30"/>
      <c r="M796" s="30"/>
      <c r="N796" s="30"/>
      <c r="O796" s="30">
        <f>IFERROR(__xludf.DUMMYFUNCTION("""COMPUTED_VALUE"""),-2.630874715592867)</f>
        <v>-2.630874716</v>
      </c>
      <c r="P796" s="30">
        <f>IFERROR(__xludf.DUMMYFUNCTION("""COMPUTED_VALUE"""),4.463999088063446)</f>
        <v>4.463999088</v>
      </c>
      <c r="Q796" s="30"/>
      <c r="R796" s="30"/>
      <c r="S796" s="30"/>
      <c r="T796" s="30"/>
      <c r="U796" s="30">
        <v>0.0</v>
      </c>
      <c r="V796" s="30"/>
      <c r="W796" s="30"/>
      <c r="X796" s="30"/>
      <c r="Y796" s="5">
        <f>IFERROR(__xludf.DUMMYFUNCTION("""COMPUTED_VALUE"""),83.0)</f>
        <v>83</v>
      </c>
      <c r="Z796" s="5">
        <f>IFERROR(__xludf.DUMMYFUNCTION("""COMPUTED_VALUE"""),83.0)</f>
        <v>83</v>
      </c>
    </row>
    <row r="797">
      <c r="A797" s="30" t="s">
        <v>2632</v>
      </c>
      <c r="B797" s="30">
        <f>IFERROR(__xludf.DUMMYFUNCTION("""COMPUTED_VALUE"""),82.0)</f>
        <v>82</v>
      </c>
      <c r="C797" s="30"/>
      <c r="D797" s="30"/>
      <c r="E797" s="30"/>
      <c r="F797" s="30"/>
      <c r="G797" s="30"/>
      <c r="H797" s="30"/>
      <c r="I797" s="30"/>
      <c r="J797" s="30">
        <f>IFERROR(__xludf.DUMMYFUNCTION("""COMPUTED_VALUE"""),-11.059343513011441)</f>
        <v>-11.05934351</v>
      </c>
      <c r="K797" s="30"/>
      <c r="L797" s="30"/>
      <c r="M797" s="30"/>
      <c r="N797" s="30"/>
      <c r="O797" s="30">
        <f>IFERROR(__xludf.DUMMYFUNCTION("""COMPUTED_VALUE"""),-2.630874715592867)</f>
        <v>-2.630874716</v>
      </c>
      <c r="P797" s="30">
        <f>IFERROR(__xludf.DUMMYFUNCTION("""COMPUTED_VALUE"""),4.463999088063446)</f>
        <v>4.463999088</v>
      </c>
      <c r="Q797" s="30"/>
      <c r="R797" s="30"/>
      <c r="S797" s="30"/>
      <c r="T797" s="30"/>
      <c r="U797" s="30">
        <v>0.0</v>
      </c>
      <c r="V797" s="30"/>
      <c r="W797" s="30"/>
      <c r="X797" s="30"/>
      <c r="Y797" s="5">
        <f>IFERROR(__xludf.DUMMYFUNCTION("""COMPUTED_VALUE"""),82.0)</f>
        <v>82</v>
      </c>
      <c r="Z797" s="5">
        <f>IFERROR(__xludf.DUMMYFUNCTION("""COMPUTED_VALUE"""),82.0)</f>
        <v>82</v>
      </c>
    </row>
    <row r="798">
      <c r="A798" s="30" t="s">
        <v>2633</v>
      </c>
      <c r="B798" s="30">
        <f>IFERROR(__xludf.DUMMYFUNCTION("""COMPUTED_VALUE"""),83.0)</f>
        <v>83</v>
      </c>
      <c r="C798" s="30"/>
      <c r="D798" s="30"/>
      <c r="E798" s="30"/>
      <c r="F798" s="30"/>
      <c r="G798" s="30"/>
      <c r="H798" s="30"/>
      <c r="I798" s="30"/>
      <c r="J798" s="30">
        <f>IFERROR(__xludf.DUMMYFUNCTION("""COMPUTED_VALUE"""),-11.059343513011441)</f>
        <v>-11.05934351</v>
      </c>
      <c r="K798" s="30"/>
      <c r="L798" s="30"/>
      <c r="M798" s="30"/>
      <c r="N798" s="30"/>
      <c r="O798" s="30">
        <f>IFERROR(__xludf.DUMMYFUNCTION("""COMPUTED_VALUE"""),-2.630874715592867)</f>
        <v>-2.630874716</v>
      </c>
      <c r="P798" s="30">
        <f>IFERROR(__xludf.DUMMYFUNCTION("""COMPUTED_VALUE"""),4.463999088063446)</f>
        <v>4.463999088</v>
      </c>
      <c r="Q798" s="30"/>
      <c r="R798" s="30"/>
      <c r="S798" s="30"/>
      <c r="T798" s="30"/>
      <c r="U798" s="30">
        <v>0.0</v>
      </c>
      <c r="V798" s="30"/>
      <c r="W798" s="30"/>
      <c r="X798" s="30"/>
      <c r="Y798" s="5">
        <f>IFERROR(__xludf.DUMMYFUNCTION("""COMPUTED_VALUE"""),83.0)</f>
        <v>83</v>
      </c>
      <c r="Z798" s="5">
        <f>IFERROR(__xludf.DUMMYFUNCTION("""COMPUTED_VALUE"""),83.0)</f>
        <v>83</v>
      </c>
    </row>
    <row r="799">
      <c r="A799" s="30" t="s">
        <v>2634</v>
      </c>
      <c r="B799" s="30">
        <f>IFERROR(__xludf.DUMMYFUNCTION("""COMPUTED_VALUE"""),83.5)</f>
        <v>83.5</v>
      </c>
      <c r="C799" s="30"/>
      <c r="D799" s="30"/>
      <c r="E799" s="30"/>
      <c r="F799" s="30"/>
      <c r="G799" s="30"/>
      <c r="H799" s="30"/>
      <c r="I799" s="30"/>
      <c r="J799" s="30">
        <f>IFERROR(__xludf.DUMMYFUNCTION("""COMPUTED_VALUE"""),-11.059343513011441)</f>
        <v>-11.05934351</v>
      </c>
      <c r="K799" s="30"/>
      <c r="L799" s="30"/>
      <c r="M799" s="30"/>
      <c r="N799" s="30"/>
      <c r="O799" s="30">
        <f>IFERROR(__xludf.DUMMYFUNCTION("""COMPUTED_VALUE"""),-2.630874715592867)</f>
        <v>-2.630874716</v>
      </c>
      <c r="P799" s="30">
        <f>IFERROR(__xludf.DUMMYFUNCTION("""COMPUTED_VALUE"""),4.463999088063446)</f>
        <v>4.463999088</v>
      </c>
      <c r="Q799" s="30"/>
      <c r="R799" s="30"/>
      <c r="S799" s="30"/>
      <c r="T799" s="30"/>
      <c r="U799" s="30">
        <v>0.0</v>
      </c>
      <c r="V799" s="30"/>
      <c r="W799" s="30"/>
      <c r="X799" s="30"/>
      <c r="Y799" s="5">
        <f>IFERROR(__xludf.DUMMYFUNCTION("""COMPUTED_VALUE"""),83.0)</f>
        <v>83</v>
      </c>
      <c r="Z799" s="5">
        <f>IFERROR(__xludf.DUMMYFUNCTION("""COMPUTED_VALUE"""),84.0)</f>
        <v>84</v>
      </c>
    </row>
    <row r="800">
      <c r="A800" s="30" t="s">
        <v>2640</v>
      </c>
      <c r="B800" s="30">
        <f>IFERROR(__xludf.DUMMYFUNCTION("""COMPUTED_VALUE"""),83.0)</f>
        <v>83</v>
      </c>
      <c r="C800" s="30"/>
      <c r="D800" s="30"/>
      <c r="E800" s="30"/>
      <c r="F800" s="30"/>
      <c r="G800" s="30"/>
      <c r="H800" s="30"/>
      <c r="I800" s="30"/>
      <c r="J800" s="30">
        <f>IFERROR(__xludf.DUMMYFUNCTION("""COMPUTED_VALUE"""),-11.059343513011441)</f>
        <v>-11.05934351</v>
      </c>
      <c r="K800" s="30"/>
      <c r="L800" s="30"/>
      <c r="M800" s="30"/>
      <c r="N800" s="30"/>
      <c r="O800" s="30">
        <f>IFERROR(__xludf.DUMMYFUNCTION("""COMPUTED_VALUE"""),-2.630874715592867)</f>
        <v>-2.630874716</v>
      </c>
      <c r="P800" s="30">
        <f>IFERROR(__xludf.DUMMYFUNCTION("""COMPUTED_VALUE"""),4.463999088063446)</f>
        <v>4.463999088</v>
      </c>
      <c r="Q800" s="30"/>
      <c r="R800" s="30"/>
      <c r="S800" s="30"/>
      <c r="T800" s="30"/>
      <c r="U800" s="30">
        <v>0.0</v>
      </c>
      <c r="V800" s="30"/>
      <c r="W800" s="30"/>
      <c r="X800" s="30"/>
      <c r="Y800" s="5">
        <f>IFERROR(__xludf.DUMMYFUNCTION("""COMPUTED_VALUE"""),83.0)</f>
        <v>83</v>
      </c>
      <c r="Z800" s="5">
        <f>IFERROR(__xludf.DUMMYFUNCTION("""COMPUTED_VALUE"""),83.0)</f>
        <v>83</v>
      </c>
    </row>
    <row r="801">
      <c r="A801" s="30" t="s">
        <v>1275</v>
      </c>
      <c r="B801" s="30">
        <f>IFERROR(__xludf.DUMMYFUNCTION("""COMPUTED_VALUE"""),82.0)</f>
        <v>82</v>
      </c>
      <c r="C801" s="30"/>
      <c r="D801" s="30"/>
      <c r="E801" s="30"/>
      <c r="F801" s="30"/>
      <c r="G801" s="30"/>
      <c r="H801" s="30"/>
      <c r="I801" s="30"/>
      <c r="J801" s="30">
        <f>IFERROR(__xludf.DUMMYFUNCTION("""COMPUTED_VALUE"""),-11.059343513011441)</f>
        <v>-11.05934351</v>
      </c>
      <c r="K801" s="30"/>
      <c r="L801" s="30"/>
      <c r="M801" s="30"/>
      <c r="N801" s="30"/>
      <c r="O801" s="30">
        <f>IFERROR(__xludf.DUMMYFUNCTION("""COMPUTED_VALUE"""),-2.630874715592867)</f>
        <v>-2.630874716</v>
      </c>
      <c r="P801" s="30">
        <f>IFERROR(__xludf.DUMMYFUNCTION("""COMPUTED_VALUE"""),4.463999088063446)</f>
        <v>4.463999088</v>
      </c>
      <c r="Q801" s="30"/>
      <c r="R801" s="30"/>
      <c r="S801" s="30"/>
      <c r="T801" s="30"/>
      <c r="U801" s="30">
        <v>0.0</v>
      </c>
      <c r="V801" s="30"/>
      <c r="W801" s="30"/>
      <c r="X801" s="30"/>
      <c r="Y801" s="5">
        <f>IFERROR(__xludf.DUMMYFUNCTION("""COMPUTED_VALUE"""),82.0)</f>
        <v>82</v>
      </c>
      <c r="Z801" s="5">
        <f>IFERROR(__xludf.DUMMYFUNCTION("""COMPUTED_VALUE"""),82.0)</f>
        <v>82</v>
      </c>
    </row>
    <row r="802">
      <c r="A802" s="30" t="s">
        <v>2641</v>
      </c>
      <c r="B802" s="30">
        <f>IFERROR(__xludf.DUMMYFUNCTION("""COMPUTED_VALUE"""),83.0)</f>
        <v>83</v>
      </c>
      <c r="C802" s="30"/>
      <c r="D802" s="30"/>
      <c r="E802" s="30"/>
      <c r="F802" s="30"/>
      <c r="G802" s="30"/>
      <c r="H802" s="30"/>
      <c r="I802" s="30"/>
      <c r="J802" s="30">
        <f>IFERROR(__xludf.DUMMYFUNCTION("""COMPUTED_VALUE"""),-11.059343513011441)</f>
        <v>-11.05934351</v>
      </c>
      <c r="K802" s="30"/>
      <c r="L802" s="30"/>
      <c r="M802" s="30"/>
      <c r="N802" s="30"/>
      <c r="O802" s="30">
        <f>IFERROR(__xludf.DUMMYFUNCTION("""COMPUTED_VALUE"""),-2.630874715592867)</f>
        <v>-2.630874716</v>
      </c>
      <c r="P802" s="30">
        <f>IFERROR(__xludf.DUMMYFUNCTION("""COMPUTED_VALUE"""),4.463999088063446)</f>
        <v>4.463999088</v>
      </c>
      <c r="Q802" s="30"/>
      <c r="R802" s="30"/>
      <c r="S802" s="30"/>
      <c r="T802" s="30"/>
      <c r="U802" s="30">
        <v>0.0</v>
      </c>
      <c r="V802" s="30"/>
      <c r="W802" s="30"/>
      <c r="X802" s="30"/>
      <c r="Y802" s="5">
        <f>IFERROR(__xludf.DUMMYFUNCTION("""COMPUTED_VALUE"""),83.0)</f>
        <v>83</v>
      </c>
      <c r="Z802" s="5">
        <f>IFERROR(__xludf.DUMMYFUNCTION("""COMPUTED_VALUE"""),83.0)</f>
        <v>83</v>
      </c>
    </row>
    <row r="803">
      <c r="A803" s="30" t="s">
        <v>2642</v>
      </c>
      <c r="B803" s="30">
        <f>IFERROR(__xludf.DUMMYFUNCTION("""COMPUTED_VALUE"""),82.0)</f>
        <v>82</v>
      </c>
      <c r="C803" s="30"/>
      <c r="D803" s="30"/>
      <c r="E803" s="30"/>
      <c r="F803" s="30"/>
      <c r="G803" s="30"/>
      <c r="H803" s="30"/>
      <c r="I803" s="30"/>
      <c r="J803" s="30">
        <f>IFERROR(__xludf.DUMMYFUNCTION("""COMPUTED_VALUE"""),-11.059343513011441)</f>
        <v>-11.05934351</v>
      </c>
      <c r="K803" s="30"/>
      <c r="L803" s="30"/>
      <c r="M803" s="30"/>
      <c r="N803" s="30"/>
      <c r="O803" s="30">
        <f>IFERROR(__xludf.DUMMYFUNCTION("""COMPUTED_VALUE"""),-2.630874715592867)</f>
        <v>-2.630874716</v>
      </c>
      <c r="P803" s="30">
        <f>IFERROR(__xludf.DUMMYFUNCTION("""COMPUTED_VALUE"""),4.463999088063446)</f>
        <v>4.463999088</v>
      </c>
      <c r="Q803" s="30"/>
      <c r="R803" s="30"/>
      <c r="S803" s="30"/>
      <c r="T803" s="30"/>
      <c r="U803" s="30">
        <v>0.0</v>
      </c>
      <c r="V803" s="30"/>
      <c r="W803" s="30"/>
      <c r="X803" s="30"/>
      <c r="Y803" s="5">
        <f>IFERROR(__xludf.DUMMYFUNCTION("""COMPUTED_VALUE"""),81.0)</f>
        <v>81</v>
      </c>
      <c r="Z803" s="5">
        <f>IFERROR(__xludf.DUMMYFUNCTION("""COMPUTED_VALUE"""),83.0)</f>
        <v>83</v>
      </c>
    </row>
    <row r="804">
      <c r="A804" s="30" t="s">
        <v>2643</v>
      </c>
      <c r="B804" s="30">
        <f>IFERROR(__xludf.DUMMYFUNCTION("""COMPUTED_VALUE"""),82.5)</f>
        <v>82.5</v>
      </c>
      <c r="C804" s="30"/>
      <c r="D804" s="30"/>
      <c r="E804" s="30"/>
      <c r="F804" s="30"/>
      <c r="G804" s="30"/>
      <c r="H804" s="30"/>
      <c r="I804" s="30"/>
      <c r="J804" s="30">
        <f>IFERROR(__xludf.DUMMYFUNCTION("""COMPUTED_VALUE"""),-11.059343513011441)</f>
        <v>-11.05934351</v>
      </c>
      <c r="K804" s="30"/>
      <c r="L804" s="30"/>
      <c r="M804" s="30"/>
      <c r="N804" s="30"/>
      <c r="O804" s="30">
        <f>IFERROR(__xludf.DUMMYFUNCTION("""COMPUTED_VALUE"""),-2.630874715592867)</f>
        <v>-2.630874716</v>
      </c>
      <c r="P804" s="30">
        <f>IFERROR(__xludf.DUMMYFUNCTION("""COMPUTED_VALUE"""),4.463999088063446)</f>
        <v>4.463999088</v>
      </c>
      <c r="Q804" s="30"/>
      <c r="R804" s="30"/>
      <c r="S804" s="30"/>
      <c r="T804" s="30"/>
      <c r="U804" s="30">
        <v>0.0</v>
      </c>
      <c r="V804" s="30"/>
      <c r="W804" s="30"/>
      <c r="X804" s="30"/>
      <c r="Y804" s="5">
        <f>IFERROR(__xludf.DUMMYFUNCTION("""COMPUTED_VALUE"""),81.0)</f>
        <v>81</v>
      </c>
      <c r="Z804" s="5">
        <f>IFERROR(__xludf.DUMMYFUNCTION("""COMPUTED_VALUE"""),84.0)</f>
        <v>84</v>
      </c>
    </row>
    <row r="805">
      <c r="A805" s="30" t="s">
        <v>2644</v>
      </c>
      <c r="B805" s="30">
        <f>IFERROR(__xludf.DUMMYFUNCTION("""COMPUTED_VALUE"""),81.0)</f>
        <v>81</v>
      </c>
      <c r="C805" s="30"/>
      <c r="D805" s="30"/>
      <c r="E805" s="30"/>
      <c r="F805" s="30"/>
      <c r="G805" s="30"/>
      <c r="H805" s="30"/>
      <c r="I805" s="30"/>
      <c r="J805" s="30">
        <f>IFERROR(__xludf.DUMMYFUNCTION("""COMPUTED_VALUE"""),-11.059343513011441)</f>
        <v>-11.05934351</v>
      </c>
      <c r="K805" s="30"/>
      <c r="L805" s="30"/>
      <c r="M805" s="30"/>
      <c r="N805" s="30"/>
      <c r="O805" s="30">
        <f>IFERROR(__xludf.DUMMYFUNCTION("""COMPUTED_VALUE"""),-2.630874715592867)</f>
        <v>-2.630874716</v>
      </c>
      <c r="P805" s="30">
        <f>IFERROR(__xludf.DUMMYFUNCTION("""COMPUTED_VALUE"""),4.463999088063446)</f>
        <v>4.463999088</v>
      </c>
      <c r="Q805" s="30"/>
      <c r="R805" s="30"/>
      <c r="S805" s="30"/>
      <c r="T805" s="30"/>
      <c r="U805" s="30">
        <v>0.0</v>
      </c>
      <c r="V805" s="30"/>
      <c r="W805" s="30"/>
      <c r="X805" s="30"/>
      <c r="Y805" s="5">
        <f>IFERROR(__xludf.DUMMYFUNCTION("""COMPUTED_VALUE"""),81.0)</f>
        <v>81</v>
      </c>
      <c r="Z805" s="5">
        <f>IFERROR(__xludf.DUMMYFUNCTION("""COMPUTED_VALUE"""),81.0)</f>
        <v>81</v>
      </c>
    </row>
    <row r="806">
      <c r="A806" s="30" t="s">
        <v>2645</v>
      </c>
      <c r="B806" s="30">
        <f>IFERROR(__xludf.DUMMYFUNCTION("""COMPUTED_VALUE"""),84.0)</f>
        <v>84</v>
      </c>
      <c r="C806" s="30"/>
      <c r="D806" s="30"/>
      <c r="E806" s="30"/>
      <c r="F806" s="30"/>
      <c r="G806" s="30"/>
      <c r="H806" s="30"/>
      <c r="I806" s="30"/>
      <c r="J806" s="30">
        <f>IFERROR(__xludf.DUMMYFUNCTION("""COMPUTED_VALUE"""),-11.059343513011441)</f>
        <v>-11.05934351</v>
      </c>
      <c r="K806" s="30"/>
      <c r="L806" s="30"/>
      <c r="M806" s="30"/>
      <c r="N806" s="30"/>
      <c r="O806" s="30">
        <f>IFERROR(__xludf.DUMMYFUNCTION("""COMPUTED_VALUE"""),-2.630874715592867)</f>
        <v>-2.630874716</v>
      </c>
      <c r="P806" s="30">
        <f>IFERROR(__xludf.DUMMYFUNCTION("""COMPUTED_VALUE"""),4.463999088063446)</f>
        <v>4.463999088</v>
      </c>
      <c r="Q806" s="30"/>
      <c r="R806" s="30"/>
      <c r="S806" s="30"/>
      <c r="T806" s="30"/>
      <c r="U806" s="30">
        <v>0.0</v>
      </c>
      <c r="V806" s="30"/>
      <c r="W806" s="30"/>
      <c r="X806" s="30"/>
      <c r="Y806" s="5">
        <f>IFERROR(__xludf.DUMMYFUNCTION("""COMPUTED_VALUE"""),84.0)</f>
        <v>84</v>
      </c>
      <c r="Z806" s="5">
        <f>IFERROR(__xludf.DUMMYFUNCTION("""COMPUTED_VALUE"""),84.0)</f>
        <v>84</v>
      </c>
    </row>
    <row r="807">
      <c r="A807" s="30" t="s">
        <v>2646</v>
      </c>
      <c r="B807" s="30">
        <f>IFERROR(__xludf.DUMMYFUNCTION("""COMPUTED_VALUE"""),80.0)</f>
        <v>80</v>
      </c>
      <c r="C807" s="30"/>
      <c r="D807" s="30"/>
      <c r="E807" s="30"/>
      <c r="F807" s="30"/>
      <c r="G807" s="30"/>
      <c r="H807" s="30"/>
      <c r="I807" s="30"/>
      <c r="J807" s="30">
        <f>IFERROR(__xludf.DUMMYFUNCTION("""COMPUTED_VALUE"""),-11.059343513011441)</f>
        <v>-11.05934351</v>
      </c>
      <c r="K807" s="30"/>
      <c r="L807" s="30"/>
      <c r="M807" s="30"/>
      <c r="N807" s="30"/>
      <c r="O807" s="30">
        <f>IFERROR(__xludf.DUMMYFUNCTION("""COMPUTED_VALUE"""),-2.630874715592867)</f>
        <v>-2.630874716</v>
      </c>
      <c r="P807" s="30">
        <f>IFERROR(__xludf.DUMMYFUNCTION("""COMPUTED_VALUE"""),4.463999088063446)</f>
        <v>4.463999088</v>
      </c>
      <c r="Q807" s="30"/>
      <c r="R807" s="30"/>
      <c r="S807" s="30"/>
      <c r="T807" s="30"/>
      <c r="U807" s="30">
        <v>0.0</v>
      </c>
      <c r="V807" s="30"/>
      <c r="W807" s="30"/>
      <c r="X807" s="30"/>
      <c r="Y807" s="5">
        <f>IFERROR(__xludf.DUMMYFUNCTION("""COMPUTED_VALUE"""),80.0)</f>
        <v>80</v>
      </c>
      <c r="Z807" s="5">
        <f>IFERROR(__xludf.DUMMYFUNCTION("""COMPUTED_VALUE"""),80.0)</f>
        <v>80</v>
      </c>
    </row>
    <row r="808">
      <c r="A808" s="30" t="s">
        <v>326</v>
      </c>
      <c r="B808" s="30">
        <f>IFERROR(__xludf.DUMMYFUNCTION("""COMPUTED_VALUE"""),80.5)</f>
        <v>80.5</v>
      </c>
      <c r="C808" s="30"/>
      <c r="D808" s="30"/>
      <c r="E808" s="30"/>
      <c r="F808" s="30"/>
      <c r="G808" s="30"/>
      <c r="H808" s="30"/>
      <c r="I808" s="30"/>
      <c r="J808" s="30">
        <f>IFERROR(__xludf.DUMMYFUNCTION("""COMPUTED_VALUE"""),-11.059343513011441)</f>
        <v>-11.05934351</v>
      </c>
      <c r="K808" s="30"/>
      <c r="L808" s="30"/>
      <c r="M808" s="30"/>
      <c r="N808" s="30"/>
      <c r="O808" s="30">
        <f>IFERROR(__xludf.DUMMYFUNCTION("""COMPUTED_VALUE"""),-2.630874715592867)</f>
        <v>-2.630874716</v>
      </c>
      <c r="P808" s="30">
        <f>IFERROR(__xludf.DUMMYFUNCTION("""COMPUTED_VALUE"""),4.463999088063446)</f>
        <v>4.463999088</v>
      </c>
      <c r="Q808" s="30"/>
      <c r="R808" s="30"/>
      <c r="S808" s="30"/>
      <c r="T808" s="30"/>
      <c r="U808" s="30">
        <v>0.0</v>
      </c>
      <c r="V808" s="30"/>
      <c r="W808" s="30"/>
      <c r="X808" s="30"/>
      <c r="Y808" s="5">
        <f>IFERROR(__xludf.DUMMYFUNCTION("""COMPUTED_VALUE"""),79.0)</f>
        <v>79</v>
      </c>
      <c r="Z808" s="5">
        <f>IFERROR(__xludf.DUMMYFUNCTION("""COMPUTED_VALUE"""),82.0)</f>
        <v>82</v>
      </c>
    </row>
    <row r="809">
      <c r="A809" s="30" t="s">
        <v>2651</v>
      </c>
      <c r="B809" s="30">
        <f>IFERROR(__xludf.DUMMYFUNCTION("""COMPUTED_VALUE"""),79.0)</f>
        <v>79</v>
      </c>
      <c r="C809" s="30"/>
      <c r="D809" s="30"/>
      <c r="E809" s="30"/>
      <c r="F809" s="30"/>
      <c r="G809" s="30"/>
      <c r="H809" s="30"/>
      <c r="I809" s="30"/>
      <c r="J809" s="30">
        <f>IFERROR(__xludf.DUMMYFUNCTION("""COMPUTED_VALUE"""),-11.059343513011441)</f>
        <v>-11.05934351</v>
      </c>
      <c r="K809" s="30"/>
      <c r="L809" s="30"/>
      <c r="M809" s="30"/>
      <c r="N809" s="30"/>
      <c r="O809" s="30">
        <f>IFERROR(__xludf.DUMMYFUNCTION("""COMPUTED_VALUE"""),-2.630874715592867)</f>
        <v>-2.630874716</v>
      </c>
      <c r="P809" s="30">
        <f>IFERROR(__xludf.DUMMYFUNCTION("""COMPUTED_VALUE"""),4.463999088063446)</f>
        <v>4.463999088</v>
      </c>
      <c r="Q809" s="30"/>
      <c r="R809" s="30"/>
      <c r="S809" s="30"/>
      <c r="T809" s="30"/>
      <c r="U809" s="30">
        <v>0.0</v>
      </c>
      <c r="V809" s="30"/>
      <c r="W809" s="30"/>
      <c r="X809" s="30"/>
      <c r="Y809" s="5">
        <f>IFERROR(__xludf.DUMMYFUNCTION("""COMPUTED_VALUE"""),79.0)</f>
        <v>79</v>
      </c>
      <c r="Z809" s="5">
        <f>IFERROR(__xludf.DUMMYFUNCTION("""COMPUTED_VALUE"""),79.0)</f>
        <v>79</v>
      </c>
    </row>
    <row r="810">
      <c r="A810" s="30" t="s">
        <v>2652</v>
      </c>
      <c r="B810" s="30">
        <f>IFERROR(__xludf.DUMMYFUNCTION("""COMPUTED_VALUE"""),81.0)</f>
        <v>81</v>
      </c>
      <c r="C810" s="30"/>
      <c r="D810" s="30"/>
      <c r="E810" s="30"/>
      <c r="F810" s="30"/>
      <c r="G810" s="30"/>
      <c r="H810" s="30"/>
      <c r="I810" s="30"/>
      <c r="J810" s="30">
        <f>IFERROR(__xludf.DUMMYFUNCTION("""COMPUTED_VALUE"""),-11.059343513011441)</f>
        <v>-11.05934351</v>
      </c>
      <c r="K810" s="30"/>
      <c r="L810" s="30"/>
      <c r="M810" s="30"/>
      <c r="N810" s="30"/>
      <c r="O810" s="30">
        <f>IFERROR(__xludf.DUMMYFUNCTION("""COMPUTED_VALUE"""),-2.630874715592867)</f>
        <v>-2.630874716</v>
      </c>
      <c r="P810" s="30">
        <f>IFERROR(__xludf.DUMMYFUNCTION("""COMPUTED_VALUE"""),4.463999088063446)</f>
        <v>4.463999088</v>
      </c>
      <c r="Q810" s="30"/>
      <c r="R810" s="30"/>
      <c r="S810" s="30"/>
      <c r="T810" s="30"/>
      <c r="U810" s="30">
        <v>0.0</v>
      </c>
      <c r="V810" s="30"/>
      <c r="W810" s="30"/>
      <c r="X810" s="30"/>
      <c r="Y810" s="5">
        <f>IFERROR(__xludf.DUMMYFUNCTION("""COMPUTED_VALUE"""),81.0)</f>
        <v>81</v>
      </c>
      <c r="Z810" s="5">
        <f>IFERROR(__xludf.DUMMYFUNCTION("""COMPUTED_VALUE"""),81.0)</f>
        <v>81</v>
      </c>
    </row>
    <row r="811">
      <c r="A811" s="30" t="s">
        <v>1871</v>
      </c>
      <c r="B811" s="30">
        <f>IFERROR(__xludf.DUMMYFUNCTION("""COMPUTED_VALUE"""),83.0)</f>
        <v>83</v>
      </c>
      <c r="C811" s="30"/>
      <c r="D811" s="30"/>
      <c r="E811" s="30"/>
      <c r="F811" s="30"/>
      <c r="G811" s="30"/>
      <c r="H811" s="30"/>
      <c r="I811" s="30"/>
      <c r="J811" s="30">
        <f>IFERROR(__xludf.DUMMYFUNCTION("""COMPUTED_VALUE"""),-11.059343513011441)</f>
        <v>-11.05934351</v>
      </c>
      <c r="K811" s="30"/>
      <c r="L811" s="30"/>
      <c r="M811" s="30"/>
      <c r="N811" s="30"/>
      <c r="O811" s="30">
        <f>IFERROR(__xludf.DUMMYFUNCTION("""COMPUTED_VALUE"""),-2.630874715592867)</f>
        <v>-2.630874716</v>
      </c>
      <c r="P811" s="30">
        <f>IFERROR(__xludf.DUMMYFUNCTION("""COMPUTED_VALUE"""),4.463999088063446)</f>
        <v>4.463999088</v>
      </c>
      <c r="Q811" s="30"/>
      <c r="R811" s="30"/>
      <c r="S811" s="30"/>
      <c r="T811" s="30"/>
      <c r="U811" s="30">
        <v>0.0</v>
      </c>
      <c r="V811" s="30"/>
      <c r="W811" s="30"/>
      <c r="X811" s="30"/>
      <c r="Y811" s="5">
        <f>IFERROR(__xludf.DUMMYFUNCTION("""COMPUTED_VALUE"""),83.0)</f>
        <v>83</v>
      </c>
      <c r="Z811" s="5">
        <f>IFERROR(__xludf.DUMMYFUNCTION("""COMPUTED_VALUE"""),83.0)</f>
        <v>83</v>
      </c>
    </row>
    <row r="812">
      <c r="A812" s="30" t="s">
        <v>2653</v>
      </c>
      <c r="B812" s="30">
        <f>IFERROR(__xludf.DUMMYFUNCTION("""COMPUTED_VALUE"""),79.0)</f>
        <v>79</v>
      </c>
      <c r="C812" s="30"/>
      <c r="D812" s="30"/>
      <c r="E812" s="30"/>
      <c r="F812" s="30"/>
      <c r="G812" s="30"/>
      <c r="H812" s="30"/>
      <c r="I812" s="30"/>
      <c r="J812" s="30">
        <f>IFERROR(__xludf.DUMMYFUNCTION("""COMPUTED_VALUE"""),-11.059343513011441)</f>
        <v>-11.05934351</v>
      </c>
      <c r="K812" s="30"/>
      <c r="L812" s="30"/>
      <c r="M812" s="30"/>
      <c r="N812" s="30"/>
      <c r="O812" s="30">
        <f>IFERROR(__xludf.DUMMYFUNCTION("""COMPUTED_VALUE"""),-2.630874715592867)</f>
        <v>-2.630874716</v>
      </c>
      <c r="P812" s="30">
        <f>IFERROR(__xludf.DUMMYFUNCTION("""COMPUTED_VALUE"""),4.463999088063446)</f>
        <v>4.463999088</v>
      </c>
      <c r="Q812" s="30"/>
      <c r="R812" s="30"/>
      <c r="S812" s="30"/>
      <c r="T812" s="30"/>
      <c r="U812" s="30">
        <v>0.0</v>
      </c>
      <c r="V812" s="30"/>
      <c r="W812" s="30"/>
      <c r="X812" s="30"/>
      <c r="Y812" s="5">
        <f>IFERROR(__xludf.DUMMYFUNCTION("""COMPUTED_VALUE"""),79.0)</f>
        <v>79</v>
      </c>
      <c r="Z812" s="5">
        <f>IFERROR(__xludf.DUMMYFUNCTION("""COMPUTED_VALUE"""),79.0)</f>
        <v>79</v>
      </c>
    </row>
    <row r="813">
      <c r="A813" s="30" t="s">
        <v>2654</v>
      </c>
      <c r="B813" s="30">
        <f>IFERROR(__xludf.DUMMYFUNCTION("""COMPUTED_VALUE"""),82.0)</f>
        <v>82</v>
      </c>
      <c r="C813" s="30"/>
      <c r="D813" s="30"/>
      <c r="E813" s="30"/>
      <c r="F813" s="30"/>
      <c r="G813" s="30"/>
      <c r="H813" s="30"/>
      <c r="I813" s="30"/>
      <c r="J813" s="30">
        <f>IFERROR(__xludf.DUMMYFUNCTION("""COMPUTED_VALUE"""),-11.059343513011441)</f>
        <v>-11.05934351</v>
      </c>
      <c r="K813" s="30"/>
      <c r="L813" s="30"/>
      <c r="M813" s="30"/>
      <c r="N813" s="30"/>
      <c r="O813" s="30">
        <f>IFERROR(__xludf.DUMMYFUNCTION("""COMPUTED_VALUE"""),-2.630874715592867)</f>
        <v>-2.630874716</v>
      </c>
      <c r="P813" s="30">
        <f>IFERROR(__xludf.DUMMYFUNCTION("""COMPUTED_VALUE"""),4.463999088063446)</f>
        <v>4.463999088</v>
      </c>
      <c r="Q813" s="30"/>
      <c r="R813" s="30"/>
      <c r="S813" s="30"/>
      <c r="T813" s="30"/>
      <c r="U813" s="30">
        <v>0.0</v>
      </c>
      <c r="V813" s="30"/>
      <c r="W813" s="30"/>
      <c r="X813" s="30"/>
      <c r="Y813" s="5">
        <f>IFERROR(__xludf.DUMMYFUNCTION("""COMPUTED_VALUE"""),82.0)</f>
        <v>82</v>
      </c>
      <c r="Z813" s="5">
        <f>IFERROR(__xludf.DUMMYFUNCTION("""COMPUTED_VALUE"""),82.0)</f>
        <v>82</v>
      </c>
    </row>
    <row r="814">
      <c r="A814" s="30" t="s">
        <v>1114</v>
      </c>
      <c r="B814" s="30">
        <f>IFERROR(__xludf.DUMMYFUNCTION("""COMPUTED_VALUE"""),81.0)</f>
        <v>81</v>
      </c>
      <c r="C814" s="30"/>
      <c r="D814" s="30"/>
      <c r="E814" s="30"/>
      <c r="F814" s="30"/>
      <c r="G814" s="30"/>
      <c r="H814" s="30"/>
      <c r="I814" s="30"/>
      <c r="J814" s="30">
        <f>IFERROR(__xludf.DUMMYFUNCTION("""COMPUTED_VALUE"""),-11.059343513011441)</f>
        <v>-11.05934351</v>
      </c>
      <c r="K814" s="30"/>
      <c r="L814" s="30"/>
      <c r="M814" s="30"/>
      <c r="N814" s="30"/>
      <c r="O814" s="30">
        <f>IFERROR(__xludf.DUMMYFUNCTION("""COMPUTED_VALUE"""),-2.630874715592867)</f>
        <v>-2.630874716</v>
      </c>
      <c r="P814" s="30">
        <f>IFERROR(__xludf.DUMMYFUNCTION("""COMPUTED_VALUE"""),4.463999088063446)</f>
        <v>4.463999088</v>
      </c>
      <c r="Q814" s="30"/>
      <c r="R814" s="30"/>
      <c r="S814" s="30"/>
      <c r="T814" s="30"/>
      <c r="U814" s="30">
        <v>0.0</v>
      </c>
      <c r="V814" s="30"/>
      <c r="W814" s="30"/>
      <c r="X814" s="30"/>
      <c r="Y814" s="5">
        <f>IFERROR(__xludf.DUMMYFUNCTION("""COMPUTED_VALUE"""),81.0)</f>
        <v>81</v>
      </c>
      <c r="Z814" s="5">
        <f>IFERROR(__xludf.DUMMYFUNCTION("""COMPUTED_VALUE"""),81.0)</f>
        <v>81</v>
      </c>
    </row>
    <row r="815">
      <c r="A815" s="30" t="s">
        <v>1259</v>
      </c>
      <c r="B815" s="30">
        <f>IFERROR(__xludf.DUMMYFUNCTION("""COMPUTED_VALUE"""),80.0)</f>
        <v>80</v>
      </c>
      <c r="C815" s="30"/>
      <c r="D815" s="30"/>
      <c r="E815" s="30"/>
      <c r="F815" s="30"/>
      <c r="G815" s="30"/>
      <c r="H815" s="30"/>
      <c r="I815" s="30"/>
      <c r="J815" s="30">
        <f>IFERROR(__xludf.DUMMYFUNCTION("""COMPUTED_VALUE"""),-11.059343513011441)</f>
        <v>-11.05934351</v>
      </c>
      <c r="K815" s="30"/>
      <c r="L815" s="30"/>
      <c r="M815" s="30"/>
      <c r="N815" s="30"/>
      <c r="O815" s="30">
        <f>IFERROR(__xludf.DUMMYFUNCTION("""COMPUTED_VALUE"""),-2.630874715592867)</f>
        <v>-2.630874716</v>
      </c>
      <c r="P815" s="30">
        <f>IFERROR(__xludf.DUMMYFUNCTION("""COMPUTED_VALUE"""),4.463999088063446)</f>
        <v>4.463999088</v>
      </c>
      <c r="Q815" s="30"/>
      <c r="R815" s="30"/>
      <c r="S815" s="30"/>
      <c r="T815" s="30"/>
      <c r="U815" s="30">
        <v>0.0</v>
      </c>
      <c r="V815" s="30"/>
      <c r="W815" s="30"/>
      <c r="X815" s="30"/>
      <c r="Y815" s="5">
        <f>IFERROR(__xludf.DUMMYFUNCTION("""COMPUTED_VALUE"""),80.0)</f>
        <v>80</v>
      </c>
      <c r="Z815" s="5">
        <f>IFERROR(__xludf.DUMMYFUNCTION("""COMPUTED_VALUE"""),80.0)</f>
        <v>80</v>
      </c>
    </row>
    <row r="816">
      <c r="A816" s="30" t="s">
        <v>1991</v>
      </c>
      <c r="B816" s="30">
        <f>IFERROR(__xludf.DUMMYFUNCTION("""COMPUTED_VALUE"""),80.5)</f>
        <v>80.5</v>
      </c>
      <c r="C816" s="30"/>
      <c r="D816" s="30"/>
      <c r="E816" s="30"/>
      <c r="F816" s="30"/>
      <c r="G816" s="30"/>
      <c r="H816" s="30"/>
      <c r="I816" s="30"/>
      <c r="J816" s="30">
        <f>IFERROR(__xludf.DUMMYFUNCTION("""COMPUTED_VALUE"""),-11.059343513011441)</f>
        <v>-11.05934351</v>
      </c>
      <c r="K816" s="30"/>
      <c r="L816" s="30"/>
      <c r="M816" s="30"/>
      <c r="N816" s="30"/>
      <c r="O816" s="30">
        <f>IFERROR(__xludf.DUMMYFUNCTION("""COMPUTED_VALUE"""),-2.630874715592867)</f>
        <v>-2.630874716</v>
      </c>
      <c r="P816" s="30">
        <f>IFERROR(__xludf.DUMMYFUNCTION("""COMPUTED_VALUE"""),4.463999088063446)</f>
        <v>4.463999088</v>
      </c>
      <c r="Q816" s="30"/>
      <c r="R816" s="30"/>
      <c r="S816" s="30"/>
      <c r="T816" s="30"/>
      <c r="U816" s="30">
        <v>0.0</v>
      </c>
      <c r="V816" s="30"/>
      <c r="W816" s="30"/>
      <c r="X816" s="30"/>
      <c r="Y816" s="5">
        <f>IFERROR(__xludf.DUMMYFUNCTION("""COMPUTED_VALUE"""),80.0)</f>
        <v>80</v>
      </c>
      <c r="Z816" s="5">
        <f>IFERROR(__xludf.DUMMYFUNCTION("""COMPUTED_VALUE"""),81.0)</f>
        <v>81</v>
      </c>
    </row>
    <row r="817">
      <c r="A817" s="30" t="s">
        <v>2656</v>
      </c>
      <c r="B817" s="30">
        <f>IFERROR(__xludf.DUMMYFUNCTION("""COMPUTED_VALUE"""),83.0)</f>
        <v>83</v>
      </c>
      <c r="C817" s="30"/>
      <c r="D817" s="30"/>
      <c r="E817" s="30"/>
      <c r="F817" s="30"/>
      <c r="G817" s="30"/>
      <c r="H817" s="30"/>
      <c r="I817" s="30"/>
      <c r="J817" s="30">
        <f>IFERROR(__xludf.DUMMYFUNCTION("""COMPUTED_VALUE"""),-11.059343513011441)</f>
        <v>-11.05934351</v>
      </c>
      <c r="K817" s="30"/>
      <c r="L817" s="30"/>
      <c r="M817" s="30"/>
      <c r="N817" s="30"/>
      <c r="O817" s="30">
        <f>IFERROR(__xludf.DUMMYFUNCTION("""COMPUTED_VALUE"""),-2.630874715592867)</f>
        <v>-2.630874716</v>
      </c>
      <c r="P817" s="30">
        <f>IFERROR(__xludf.DUMMYFUNCTION("""COMPUTED_VALUE"""),4.463999088063446)</f>
        <v>4.463999088</v>
      </c>
      <c r="Q817" s="30"/>
      <c r="R817" s="30"/>
      <c r="S817" s="30"/>
      <c r="T817" s="30"/>
      <c r="U817" s="30">
        <v>0.0</v>
      </c>
      <c r="V817" s="30"/>
      <c r="W817" s="30"/>
      <c r="X817" s="30"/>
      <c r="Y817" s="5">
        <f>IFERROR(__xludf.DUMMYFUNCTION("""COMPUTED_VALUE"""),83.0)</f>
        <v>83</v>
      </c>
      <c r="Z817" s="5">
        <f>IFERROR(__xludf.DUMMYFUNCTION("""COMPUTED_VALUE"""),83.0)</f>
        <v>83</v>
      </c>
    </row>
    <row r="818">
      <c r="A818" s="30" t="s">
        <v>2657</v>
      </c>
      <c r="B818" s="30">
        <f>IFERROR(__xludf.DUMMYFUNCTION("""COMPUTED_VALUE"""),83.0)</f>
        <v>83</v>
      </c>
      <c r="C818" s="30"/>
      <c r="D818" s="30"/>
      <c r="E818" s="30"/>
      <c r="F818" s="30"/>
      <c r="G818" s="30"/>
      <c r="H818" s="30"/>
      <c r="I818" s="30"/>
      <c r="J818" s="30">
        <f>IFERROR(__xludf.DUMMYFUNCTION("""COMPUTED_VALUE"""),-11.059343513011441)</f>
        <v>-11.05934351</v>
      </c>
      <c r="K818" s="30"/>
      <c r="L818" s="30"/>
      <c r="M818" s="30"/>
      <c r="N818" s="30"/>
      <c r="O818" s="30">
        <f>IFERROR(__xludf.DUMMYFUNCTION("""COMPUTED_VALUE"""),-2.630874715592867)</f>
        <v>-2.630874716</v>
      </c>
      <c r="P818" s="30">
        <f>IFERROR(__xludf.DUMMYFUNCTION("""COMPUTED_VALUE"""),4.463999088063446)</f>
        <v>4.463999088</v>
      </c>
      <c r="Q818" s="30"/>
      <c r="R818" s="30"/>
      <c r="S818" s="30"/>
      <c r="T818" s="30"/>
      <c r="U818" s="30">
        <v>0.0</v>
      </c>
      <c r="V818" s="30"/>
      <c r="W818" s="30"/>
      <c r="X818" s="30"/>
      <c r="Y818" s="5">
        <f>IFERROR(__xludf.DUMMYFUNCTION("""COMPUTED_VALUE"""),83.0)</f>
        <v>83</v>
      </c>
      <c r="Z818" s="5">
        <f>IFERROR(__xludf.DUMMYFUNCTION("""COMPUTED_VALUE"""),83.0)</f>
        <v>83</v>
      </c>
    </row>
    <row r="819">
      <c r="A819" s="30" t="s">
        <v>2658</v>
      </c>
      <c r="B819" s="30">
        <f>IFERROR(__xludf.DUMMYFUNCTION("""COMPUTED_VALUE"""),80.0)</f>
        <v>80</v>
      </c>
      <c r="C819" s="30"/>
      <c r="D819" s="30"/>
      <c r="E819" s="30"/>
      <c r="F819" s="30"/>
      <c r="G819" s="30"/>
      <c r="H819" s="30"/>
      <c r="I819" s="30"/>
      <c r="J819" s="30">
        <f>IFERROR(__xludf.DUMMYFUNCTION("""COMPUTED_VALUE"""),-11.059343513011441)</f>
        <v>-11.05934351</v>
      </c>
      <c r="K819" s="30"/>
      <c r="L819" s="30"/>
      <c r="M819" s="30"/>
      <c r="N819" s="30"/>
      <c r="O819" s="30">
        <f>IFERROR(__xludf.DUMMYFUNCTION("""COMPUTED_VALUE"""),-2.630874715592867)</f>
        <v>-2.630874716</v>
      </c>
      <c r="P819" s="30">
        <f>IFERROR(__xludf.DUMMYFUNCTION("""COMPUTED_VALUE"""),4.463999088063446)</f>
        <v>4.463999088</v>
      </c>
      <c r="Q819" s="30"/>
      <c r="R819" s="30"/>
      <c r="S819" s="30"/>
      <c r="T819" s="30"/>
      <c r="U819" s="30">
        <v>0.0</v>
      </c>
      <c r="V819" s="30"/>
      <c r="W819" s="30"/>
      <c r="X819" s="30"/>
      <c r="Y819" s="5">
        <f>IFERROR(__xludf.DUMMYFUNCTION("""COMPUTED_VALUE"""),80.0)</f>
        <v>80</v>
      </c>
      <c r="Z819" s="5">
        <f>IFERROR(__xludf.DUMMYFUNCTION("""COMPUTED_VALUE"""),80.0)</f>
        <v>80</v>
      </c>
    </row>
    <row r="820">
      <c r="A820" s="30" t="s">
        <v>307</v>
      </c>
      <c r="B820" s="30">
        <f>IFERROR(__xludf.DUMMYFUNCTION("""COMPUTED_VALUE"""),80.0)</f>
        <v>80</v>
      </c>
      <c r="C820" s="30"/>
      <c r="D820" s="30"/>
      <c r="E820" s="30"/>
      <c r="F820" s="30"/>
      <c r="G820" s="30"/>
      <c r="H820" s="30"/>
      <c r="I820" s="30"/>
      <c r="J820" s="30">
        <f>IFERROR(__xludf.DUMMYFUNCTION("""COMPUTED_VALUE"""),-11.059343513011441)</f>
        <v>-11.05934351</v>
      </c>
      <c r="K820" s="30"/>
      <c r="L820" s="30"/>
      <c r="M820" s="30"/>
      <c r="N820" s="30"/>
      <c r="O820" s="30">
        <f>IFERROR(__xludf.DUMMYFUNCTION("""COMPUTED_VALUE"""),-2.630874715592867)</f>
        <v>-2.630874716</v>
      </c>
      <c r="P820" s="30">
        <f>IFERROR(__xludf.DUMMYFUNCTION("""COMPUTED_VALUE"""),4.463999088063446)</f>
        <v>4.463999088</v>
      </c>
      <c r="Q820" s="30"/>
      <c r="R820" s="30"/>
      <c r="S820" s="30"/>
      <c r="T820" s="30"/>
      <c r="U820" s="30">
        <v>0.0</v>
      </c>
      <c r="V820" s="30"/>
      <c r="W820" s="30"/>
      <c r="X820" s="30"/>
      <c r="Y820" s="5">
        <f>IFERROR(__xludf.DUMMYFUNCTION("""COMPUTED_VALUE"""),80.0)</f>
        <v>80</v>
      </c>
      <c r="Z820" s="5">
        <f>IFERROR(__xludf.DUMMYFUNCTION("""COMPUTED_VALUE"""),80.0)</f>
        <v>80</v>
      </c>
    </row>
    <row r="821">
      <c r="A821" s="30" t="s">
        <v>2659</v>
      </c>
      <c r="B821" s="30">
        <f>IFERROR(__xludf.DUMMYFUNCTION("""COMPUTED_VALUE"""),83.0)</f>
        <v>83</v>
      </c>
      <c r="C821" s="30"/>
      <c r="D821" s="30"/>
      <c r="E821" s="30"/>
      <c r="F821" s="30"/>
      <c r="G821" s="30"/>
      <c r="H821" s="30"/>
      <c r="I821" s="30"/>
      <c r="J821" s="30">
        <f>IFERROR(__xludf.DUMMYFUNCTION("""COMPUTED_VALUE"""),-11.059343513011441)</f>
        <v>-11.05934351</v>
      </c>
      <c r="K821" s="30"/>
      <c r="L821" s="30"/>
      <c r="M821" s="30"/>
      <c r="N821" s="30"/>
      <c r="O821" s="30">
        <f>IFERROR(__xludf.DUMMYFUNCTION("""COMPUTED_VALUE"""),-2.630874715592867)</f>
        <v>-2.630874716</v>
      </c>
      <c r="P821" s="30">
        <f>IFERROR(__xludf.DUMMYFUNCTION("""COMPUTED_VALUE"""),4.463999088063446)</f>
        <v>4.463999088</v>
      </c>
      <c r="Q821" s="30"/>
      <c r="R821" s="30"/>
      <c r="S821" s="30"/>
      <c r="T821" s="30"/>
      <c r="U821" s="30">
        <v>0.0</v>
      </c>
      <c r="V821" s="30"/>
      <c r="W821" s="30"/>
      <c r="X821" s="30"/>
      <c r="Y821" s="5">
        <f>IFERROR(__xludf.DUMMYFUNCTION("""COMPUTED_VALUE"""),82.0)</f>
        <v>82</v>
      </c>
      <c r="Z821" s="5">
        <f>IFERROR(__xludf.DUMMYFUNCTION("""COMPUTED_VALUE"""),84.0)</f>
        <v>84</v>
      </c>
    </row>
    <row r="822">
      <c r="A822" s="30" t="s">
        <v>2012</v>
      </c>
      <c r="B822" s="30">
        <f>IFERROR(__xludf.DUMMYFUNCTION("""COMPUTED_VALUE"""),82.5)</f>
        <v>82.5</v>
      </c>
      <c r="C822" s="30"/>
      <c r="D822" s="30"/>
      <c r="E822" s="30"/>
      <c r="F822" s="30"/>
      <c r="G822" s="30"/>
      <c r="H822" s="30"/>
      <c r="I822" s="30"/>
      <c r="J822" s="30">
        <f>IFERROR(__xludf.DUMMYFUNCTION("""COMPUTED_VALUE"""),-11.059343513011441)</f>
        <v>-11.05934351</v>
      </c>
      <c r="K822" s="30"/>
      <c r="L822" s="30"/>
      <c r="M822" s="30"/>
      <c r="N822" s="30"/>
      <c r="O822" s="30">
        <f>IFERROR(__xludf.DUMMYFUNCTION("""COMPUTED_VALUE"""),-2.630874715592867)</f>
        <v>-2.630874716</v>
      </c>
      <c r="P822" s="30">
        <f>IFERROR(__xludf.DUMMYFUNCTION("""COMPUTED_VALUE"""),4.463999088063446)</f>
        <v>4.463999088</v>
      </c>
      <c r="Q822" s="30"/>
      <c r="R822" s="30"/>
      <c r="S822" s="30"/>
      <c r="T822" s="30"/>
      <c r="U822" s="30">
        <v>0.0</v>
      </c>
      <c r="V822" s="30"/>
      <c r="W822" s="30"/>
      <c r="X822" s="30"/>
      <c r="Y822" s="5">
        <f>IFERROR(__xludf.DUMMYFUNCTION("""COMPUTED_VALUE"""),81.0)</f>
        <v>81</v>
      </c>
      <c r="Z822" s="5">
        <f>IFERROR(__xludf.DUMMYFUNCTION("""COMPUTED_VALUE"""),84.0)</f>
        <v>84</v>
      </c>
    </row>
    <row r="823">
      <c r="A823" s="30" t="s">
        <v>2665</v>
      </c>
      <c r="B823" s="30">
        <f>IFERROR(__xludf.DUMMYFUNCTION("""COMPUTED_VALUE"""),81.0)</f>
        <v>81</v>
      </c>
      <c r="C823" s="30"/>
      <c r="D823" s="30"/>
      <c r="E823" s="30"/>
      <c r="F823" s="30"/>
      <c r="G823" s="30"/>
      <c r="H823" s="30"/>
      <c r="I823" s="30"/>
      <c r="J823" s="30">
        <f>IFERROR(__xludf.DUMMYFUNCTION("""COMPUTED_VALUE"""),-11.059343513011441)</f>
        <v>-11.05934351</v>
      </c>
      <c r="K823" s="30"/>
      <c r="L823" s="30"/>
      <c r="M823" s="30"/>
      <c r="N823" s="30"/>
      <c r="O823" s="30">
        <f>IFERROR(__xludf.DUMMYFUNCTION("""COMPUTED_VALUE"""),-2.630874715592867)</f>
        <v>-2.630874716</v>
      </c>
      <c r="P823" s="30">
        <f>IFERROR(__xludf.DUMMYFUNCTION("""COMPUTED_VALUE"""),4.463999088063446)</f>
        <v>4.463999088</v>
      </c>
      <c r="Q823" s="30"/>
      <c r="R823" s="30"/>
      <c r="S823" s="30"/>
      <c r="T823" s="30"/>
      <c r="U823" s="30">
        <v>0.0</v>
      </c>
      <c r="V823" s="30"/>
      <c r="W823" s="30"/>
      <c r="X823" s="30"/>
      <c r="Y823" s="5">
        <f>IFERROR(__xludf.DUMMYFUNCTION("""COMPUTED_VALUE"""),81.0)</f>
        <v>81</v>
      </c>
      <c r="Z823" s="5">
        <f>IFERROR(__xludf.DUMMYFUNCTION("""COMPUTED_VALUE"""),81.0)</f>
        <v>81</v>
      </c>
    </row>
    <row r="824">
      <c r="A824" s="30" t="s">
        <v>2666</v>
      </c>
      <c r="B824" s="30">
        <f>IFERROR(__xludf.DUMMYFUNCTION("""COMPUTED_VALUE"""),83.0)</f>
        <v>83</v>
      </c>
      <c r="C824" s="30"/>
      <c r="D824" s="30"/>
      <c r="E824" s="30"/>
      <c r="F824" s="30"/>
      <c r="G824" s="30"/>
      <c r="H824" s="30"/>
      <c r="I824" s="30"/>
      <c r="J824" s="30">
        <f>IFERROR(__xludf.DUMMYFUNCTION("""COMPUTED_VALUE"""),-11.059343513011441)</f>
        <v>-11.05934351</v>
      </c>
      <c r="K824" s="30"/>
      <c r="L824" s="30"/>
      <c r="M824" s="30"/>
      <c r="N824" s="30"/>
      <c r="O824" s="30">
        <f>IFERROR(__xludf.DUMMYFUNCTION("""COMPUTED_VALUE"""),-2.630874715592867)</f>
        <v>-2.630874716</v>
      </c>
      <c r="P824" s="30">
        <f>IFERROR(__xludf.DUMMYFUNCTION("""COMPUTED_VALUE"""),4.463999088063446)</f>
        <v>4.463999088</v>
      </c>
      <c r="Q824" s="30"/>
      <c r="R824" s="30"/>
      <c r="S824" s="30"/>
      <c r="T824" s="30"/>
      <c r="U824" s="30">
        <v>0.0</v>
      </c>
      <c r="V824" s="30"/>
      <c r="W824" s="30"/>
      <c r="X824" s="30"/>
      <c r="Y824" s="5">
        <f>IFERROR(__xludf.DUMMYFUNCTION("""COMPUTED_VALUE"""),83.0)</f>
        <v>83</v>
      </c>
      <c r="Z824" s="5">
        <f>IFERROR(__xludf.DUMMYFUNCTION("""COMPUTED_VALUE"""),83.0)</f>
        <v>83</v>
      </c>
    </row>
    <row r="825">
      <c r="A825" s="30" t="s">
        <v>2667</v>
      </c>
      <c r="B825" s="30">
        <f>IFERROR(__xludf.DUMMYFUNCTION("""COMPUTED_VALUE"""),82.5)</f>
        <v>82.5</v>
      </c>
      <c r="C825" s="30"/>
      <c r="D825" s="30"/>
      <c r="E825" s="30"/>
      <c r="F825" s="30"/>
      <c r="G825" s="30"/>
      <c r="H825" s="30"/>
      <c r="I825" s="30"/>
      <c r="J825" s="30">
        <f>IFERROR(__xludf.DUMMYFUNCTION("""COMPUTED_VALUE"""),-11.059343513011441)</f>
        <v>-11.05934351</v>
      </c>
      <c r="K825" s="30"/>
      <c r="L825" s="30"/>
      <c r="M825" s="30"/>
      <c r="N825" s="30"/>
      <c r="O825" s="30">
        <f>IFERROR(__xludf.DUMMYFUNCTION("""COMPUTED_VALUE"""),-2.630874715592867)</f>
        <v>-2.630874716</v>
      </c>
      <c r="P825" s="30">
        <f>IFERROR(__xludf.DUMMYFUNCTION("""COMPUTED_VALUE"""),4.463999088063446)</f>
        <v>4.463999088</v>
      </c>
      <c r="Q825" s="30"/>
      <c r="R825" s="30"/>
      <c r="S825" s="30"/>
      <c r="T825" s="30"/>
      <c r="U825" s="30">
        <v>0.0</v>
      </c>
      <c r="V825" s="30"/>
      <c r="W825" s="30"/>
      <c r="X825" s="30"/>
      <c r="Y825" s="5">
        <f>IFERROR(__xludf.DUMMYFUNCTION("""COMPUTED_VALUE"""),82.0)</f>
        <v>82</v>
      </c>
      <c r="Z825" s="5">
        <f>IFERROR(__xludf.DUMMYFUNCTION("""COMPUTED_VALUE"""),83.0)</f>
        <v>83</v>
      </c>
    </row>
    <row r="826">
      <c r="A826" s="30" t="s">
        <v>2670</v>
      </c>
      <c r="B826" s="30">
        <f>IFERROR(__xludf.DUMMYFUNCTION("""COMPUTED_VALUE"""),80.0)</f>
        <v>80</v>
      </c>
      <c r="C826" s="30"/>
      <c r="D826" s="30"/>
      <c r="E826" s="30"/>
      <c r="F826" s="30"/>
      <c r="G826" s="30"/>
      <c r="H826" s="30"/>
      <c r="I826" s="30"/>
      <c r="J826" s="30">
        <f>IFERROR(__xludf.DUMMYFUNCTION("""COMPUTED_VALUE"""),-11.059343513011441)</f>
        <v>-11.05934351</v>
      </c>
      <c r="K826" s="30"/>
      <c r="L826" s="30"/>
      <c r="M826" s="30"/>
      <c r="N826" s="30"/>
      <c r="O826" s="30">
        <f>IFERROR(__xludf.DUMMYFUNCTION("""COMPUTED_VALUE"""),-2.630874715592867)</f>
        <v>-2.630874716</v>
      </c>
      <c r="P826" s="30">
        <f>IFERROR(__xludf.DUMMYFUNCTION("""COMPUTED_VALUE"""),4.463999088063446)</f>
        <v>4.463999088</v>
      </c>
      <c r="Q826" s="30"/>
      <c r="R826" s="30"/>
      <c r="S826" s="30"/>
      <c r="T826" s="30"/>
      <c r="U826" s="30">
        <v>0.0</v>
      </c>
      <c r="V826" s="30"/>
      <c r="W826" s="30"/>
      <c r="X826" s="30"/>
      <c r="Y826" s="5">
        <f>IFERROR(__xludf.DUMMYFUNCTION("""COMPUTED_VALUE"""),80.0)</f>
        <v>80</v>
      </c>
      <c r="Z826" s="5">
        <f>IFERROR(__xludf.DUMMYFUNCTION("""COMPUTED_VALUE"""),80.0)</f>
        <v>80</v>
      </c>
    </row>
    <row r="827">
      <c r="A827" s="30" t="s">
        <v>1984</v>
      </c>
      <c r="B827" s="30">
        <f>IFERROR(__xludf.DUMMYFUNCTION("""COMPUTED_VALUE"""),79.5)</f>
        <v>79.5</v>
      </c>
      <c r="C827" s="30"/>
      <c r="D827" s="30"/>
      <c r="E827" s="30"/>
      <c r="F827" s="30"/>
      <c r="G827" s="30"/>
      <c r="H827" s="30"/>
      <c r="I827" s="30"/>
      <c r="J827" s="30">
        <f>IFERROR(__xludf.DUMMYFUNCTION("""COMPUTED_VALUE"""),-11.059343513011441)</f>
        <v>-11.05934351</v>
      </c>
      <c r="K827" s="30"/>
      <c r="L827" s="30"/>
      <c r="M827" s="30"/>
      <c r="N827" s="30"/>
      <c r="O827" s="30">
        <f>IFERROR(__xludf.DUMMYFUNCTION("""COMPUTED_VALUE"""),-2.630874715592867)</f>
        <v>-2.630874716</v>
      </c>
      <c r="P827" s="30">
        <f>IFERROR(__xludf.DUMMYFUNCTION("""COMPUTED_VALUE"""),4.463999088063446)</f>
        <v>4.463999088</v>
      </c>
      <c r="Q827" s="30"/>
      <c r="R827" s="30"/>
      <c r="S827" s="30"/>
      <c r="T827" s="30"/>
      <c r="U827" s="30">
        <v>0.0</v>
      </c>
      <c r="V827" s="30"/>
      <c r="W827" s="30"/>
      <c r="X827" s="30"/>
      <c r="Y827" s="5">
        <f>IFERROR(__xludf.DUMMYFUNCTION("""COMPUTED_VALUE"""),79.0)</f>
        <v>79</v>
      </c>
      <c r="Z827" s="5">
        <f>IFERROR(__xludf.DUMMYFUNCTION("""COMPUTED_VALUE"""),80.0)</f>
        <v>80</v>
      </c>
    </row>
    <row r="828">
      <c r="A828" s="30" t="s">
        <v>703</v>
      </c>
      <c r="B828" s="30">
        <f>IFERROR(__xludf.DUMMYFUNCTION("""COMPUTED_VALUE"""),83.0)</f>
        <v>83</v>
      </c>
      <c r="C828" s="30"/>
      <c r="D828" s="30"/>
      <c r="E828" s="30"/>
      <c r="F828" s="30"/>
      <c r="G828" s="30"/>
      <c r="H828" s="30"/>
      <c r="I828" s="30"/>
      <c r="J828" s="30">
        <f>IFERROR(__xludf.DUMMYFUNCTION("""COMPUTED_VALUE"""),-11.059343513011441)</f>
        <v>-11.05934351</v>
      </c>
      <c r="K828" s="30"/>
      <c r="L828" s="30"/>
      <c r="M828" s="30"/>
      <c r="N828" s="30"/>
      <c r="O828" s="30">
        <f>IFERROR(__xludf.DUMMYFUNCTION("""COMPUTED_VALUE"""),-2.630874715592867)</f>
        <v>-2.630874716</v>
      </c>
      <c r="P828" s="30">
        <f>IFERROR(__xludf.DUMMYFUNCTION("""COMPUTED_VALUE"""),4.463999088063446)</f>
        <v>4.463999088</v>
      </c>
      <c r="Q828" s="30"/>
      <c r="R828" s="30"/>
      <c r="S828" s="30"/>
      <c r="T828" s="30"/>
      <c r="U828" s="30">
        <v>0.0</v>
      </c>
      <c r="V828" s="30"/>
      <c r="W828" s="30"/>
      <c r="X828" s="30"/>
      <c r="Y828" s="5">
        <f>IFERROR(__xludf.DUMMYFUNCTION("""COMPUTED_VALUE"""),83.0)</f>
        <v>83</v>
      </c>
      <c r="Z828" s="5">
        <f>IFERROR(__xludf.DUMMYFUNCTION("""COMPUTED_VALUE"""),83.0)</f>
        <v>83</v>
      </c>
    </row>
    <row r="829">
      <c r="A829" s="30" t="s">
        <v>2675</v>
      </c>
      <c r="B829" s="30">
        <f>IFERROR(__xludf.DUMMYFUNCTION("""COMPUTED_VALUE"""),80.0)</f>
        <v>80</v>
      </c>
      <c r="C829" s="30"/>
      <c r="D829" s="30"/>
      <c r="E829" s="30"/>
      <c r="F829" s="30"/>
      <c r="G829" s="30"/>
      <c r="H829" s="30"/>
      <c r="I829" s="30"/>
      <c r="J829" s="30">
        <f>IFERROR(__xludf.DUMMYFUNCTION("""COMPUTED_VALUE"""),-11.059343513011441)</f>
        <v>-11.05934351</v>
      </c>
      <c r="K829" s="30"/>
      <c r="L829" s="30"/>
      <c r="M829" s="30"/>
      <c r="N829" s="30"/>
      <c r="O829" s="30">
        <f>IFERROR(__xludf.DUMMYFUNCTION("""COMPUTED_VALUE"""),-2.630874715592867)</f>
        <v>-2.630874716</v>
      </c>
      <c r="P829" s="30">
        <f>IFERROR(__xludf.DUMMYFUNCTION("""COMPUTED_VALUE"""),4.463999088063446)</f>
        <v>4.463999088</v>
      </c>
      <c r="Q829" s="30"/>
      <c r="R829" s="30"/>
      <c r="S829" s="30"/>
      <c r="T829" s="30"/>
      <c r="U829" s="30">
        <v>0.0</v>
      </c>
      <c r="V829" s="30"/>
      <c r="W829" s="30"/>
      <c r="X829" s="30"/>
      <c r="Y829" s="5">
        <f>IFERROR(__xludf.DUMMYFUNCTION("""COMPUTED_VALUE"""),80.0)</f>
        <v>80</v>
      </c>
      <c r="Z829" s="5">
        <f>IFERROR(__xludf.DUMMYFUNCTION("""COMPUTED_VALUE"""),80.0)</f>
        <v>80</v>
      </c>
    </row>
    <row r="830">
      <c r="A830" s="30" t="s">
        <v>2676</v>
      </c>
      <c r="B830" s="30">
        <f>IFERROR(__xludf.DUMMYFUNCTION("""COMPUTED_VALUE"""),83.0)</f>
        <v>83</v>
      </c>
      <c r="C830" s="30"/>
      <c r="D830" s="30"/>
      <c r="E830" s="30"/>
      <c r="F830" s="30"/>
      <c r="G830" s="30"/>
      <c r="H830" s="30"/>
      <c r="I830" s="30"/>
      <c r="J830" s="30">
        <f>IFERROR(__xludf.DUMMYFUNCTION("""COMPUTED_VALUE"""),-11.059343513011441)</f>
        <v>-11.05934351</v>
      </c>
      <c r="K830" s="30"/>
      <c r="L830" s="30"/>
      <c r="M830" s="30"/>
      <c r="N830" s="30"/>
      <c r="O830" s="30">
        <f>IFERROR(__xludf.DUMMYFUNCTION("""COMPUTED_VALUE"""),-2.630874715592867)</f>
        <v>-2.630874716</v>
      </c>
      <c r="P830" s="30">
        <f>IFERROR(__xludf.DUMMYFUNCTION("""COMPUTED_VALUE"""),4.463999088063446)</f>
        <v>4.463999088</v>
      </c>
      <c r="Q830" s="30"/>
      <c r="R830" s="30"/>
      <c r="S830" s="30"/>
      <c r="T830" s="30"/>
      <c r="U830" s="30">
        <v>0.0</v>
      </c>
      <c r="V830" s="30"/>
      <c r="W830" s="30"/>
      <c r="X830" s="30"/>
      <c r="Y830" s="5">
        <f>IFERROR(__xludf.DUMMYFUNCTION("""COMPUTED_VALUE"""),82.0)</f>
        <v>82</v>
      </c>
      <c r="Z830" s="5">
        <f>IFERROR(__xludf.DUMMYFUNCTION("""COMPUTED_VALUE"""),84.0)</f>
        <v>84</v>
      </c>
    </row>
    <row r="831">
      <c r="A831" s="30" t="s">
        <v>2681</v>
      </c>
      <c r="B831" s="30">
        <f>IFERROR(__xludf.DUMMYFUNCTION("""COMPUTED_VALUE"""),80.0)</f>
        <v>80</v>
      </c>
      <c r="C831" s="30"/>
      <c r="D831" s="30"/>
      <c r="E831" s="30"/>
      <c r="F831" s="30"/>
      <c r="G831" s="30"/>
      <c r="H831" s="30"/>
      <c r="I831" s="30"/>
      <c r="J831" s="30">
        <f>IFERROR(__xludf.DUMMYFUNCTION("""COMPUTED_VALUE"""),-11.059343513011441)</f>
        <v>-11.05934351</v>
      </c>
      <c r="K831" s="30"/>
      <c r="L831" s="30"/>
      <c r="M831" s="30"/>
      <c r="N831" s="30"/>
      <c r="O831" s="30">
        <f>IFERROR(__xludf.DUMMYFUNCTION("""COMPUTED_VALUE"""),-2.630874715592867)</f>
        <v>-2.630874716</v>
      </c>
      <c r="P831" s="30">
        <f>IFERROR(__xludf.DUMMYFUNCTION("""COMPUTED_VALUE"""),4.463999088063446)</f>
        <v>4.463999088</v>
      </c>
      <c r="Q831" s="30"/>
      <c r="R831" s="30"/>
      <c r="S831" s="30"/>
      <c r="T831" s="30"/>
      <c r="U831" s="30">
        <v>0.0</v>
      </c>
      <c r="V831" s="30"/>
      <c r="W831" s="30"/>
      <c r="X831" s="30"/>
      <c r="Y831" s="5">
        <f>IFERROR(__xludf.DUMMYFUNCTION("""COMPUTED_VALUE"""),80.0)</f>
        <v>80</v>
      </c>
      <c r="Z831" s="5">
        <f>IFERROR(__xludf.DUMMYFUNCTION("""COMPUTED_VALUE"""),80.0)</f>
        <v>80</v>
      </c>
    </row>
    <row r="832">
      <c r="A832" s="30" t="s">
        <v>2682</v>
      </c>
      <c r="B832" s="30">
        <f>IFERROR(__xludf.DUMMYFUNCTION("""COMPUTED_VALUE"""),83.0)</f>
        <v>83</v>
      </c>
      <c r="C832" s="30"/>
      <c r="D832" s="30"/>
      <c r="E832" s="30"/>
      <c r="F832" s="30"/>
      <c r="G832" s="30"/>
      <c r="H832" s="30"/>
      <c r="I832" s="30"/>
      <c r="J832" s="30">
        <f>IFERROR(__xludf.DUMMYFUNCTION("""COMPUTED_VALUE"""),-11.059343513011441)</f>
        <v>-11.05934351</v>
      </c>
      <c r="K832" s="30"/>
      <c r="L832" s="30"/>
      <c r="M832" s="30"/>
      <c r="N832" s="30"/>
      <c r="O832" s="30">
        <f>IFERROR(__xludf.DUMMYFUNCTION("""COMPUTED_VALUE"""),-2.630874715592867)</f>
        <v>-2.630874716</v>
      </c>
      <c r="P832" s="30">
        <f>IFERROR(__xludf.DUMMYFUNCTION("""COMPUTED_VALUE"""),4.463999088063446)</f>
        <v>4.463999088</v>
      </c>
      <c r="Q832" s="30"/>
      <c r="R832" s="30"/>
      <c r="S832" s="30"/>
      <c r="T832" s="30"/>
      <c r="U832" s="30">
        <v>0.0</v>
      </c>
      <c r="V832" s="30"/>
      <c r="W832" s="30"/>
      <c r="X832" s="30"/>
      <c r="Y832" s="5">
        <f>IFERROR(__xludf.DUMMYFUNCTION("""COMPUTED_VALUE"""),82.0)</f>
        <v>82</v>
      </c>
      <c r="Z832" s="5">
        <f>IFERROR(__xludf.DUMMYFUNCTION("""COMPUTED_VALUE"""),84.0)</f>
        <v>84</v>
      </c>
    </row>
    <row r="833">
      <c r="A833" s="30" t="s">
        <v>2687</v>
      </c>
      <c r="B833" s="30">
        <f>IFERROR(__xludf.DUMMYFUNCTION("""COMPUTED_VALUE"""),83.0)</f>
        <v>83</v>
      </c>
      <c r="C833" s="30"/>
      <c r="D833" s="30"/>
      <c r="E833" s="30"/>
      <c r="F833" s="30"/>
      <c r="G833" s="30"/>
      <c r="H833" s="30"/>
      <c r="I833" s="30"/>
      <c r="J833" s="30">
        <f>IFERROR(__xludf.DUMMYFUNCTION("""COMPUTED_VALUE"""),-11.059343513011441)</f>
        <v>-11.05934351</v>
      </c>
      <c r="K833" s="30"/>
      <c r="L833" s="30"/>
      <c r="M833" s="30"/>
      <c r="N833" s="30"/>
      <c r="O833" s="30">
        <f>IFERROR(__xludf.DUMMYFUNCTION("""COMPUTED_VALUE"""),-2.630874715592867)</f>
        <v>-2.630874716</v>
      </c>
      <c r="P833" s="30">
        <f>IFERROR(__xludf.DUMMYFUNCTION("""COMPUTED_VALUE"""),4.463999088063446)</f>
        <v>4.463999088</v>
      </c>
      <c r="Q833" s="30"/>
      <c r="R833" s="30"/>
      <c r="S833" s="30"/>
      <c r="T833" s="30"/>
      <c r="U833" s="30">
        <v>0.0</v>
      </c>
      <c r="V833" s="30"/>
      <c r="W833" s="30"/>
      <c r="X833" s="30"/>
      <c r="Y833" s="5">
        <f>IFERROR(__xludf.DUMMYFUNCTION("""COMPUTED_VALUE"""),83.0)</f>
        <v>83</v>
      </c>
      <c r="Z833" s="5">
        <f>IFERROR(__xludf.DUMMYFUNCTION("""COMPUTED_VALUE"""),83.0)</f>
        <v>83</v>
      </c>
    </row>
    <row r="834">
      <c r="A834" s="30" t="s">
        <v>1389</v>
      </c>
      <c r="B834" s="30">
        <f>IFERROR(__xludf.DUMMYFUNCTION("""COMPUTED_VALUE"""),82.0)</f>
        <v>82</v>
      </c>
      <c r="C834" s="30"/>
      <c r="D834" s="30"/>
      <c r="E834" s="30"/>
      <c r="F834" s="30"/>
      <c r="G834" s="30"/>
      <c r="H834" s="30"/>
      <c r="I834" s="30"/>
      <c r="J834" s="30">
        <f>IFERROR(__xludf.DUMMYFUNCTION("""COMPUTED_VALUE"""),-11.059343513011441)</f>
        <v>-11.05934351</v>
      </c>
      <c r="K834" s="30"/>
      <c r="L834" s="30"/>
      <c r="M834" s="30"/>
      <c r="N834" s="30"/>
      <c r="O834" s="30">
        <f>IFERROR(__xludf.DUMMYFUNCTION("""COMPUTED_VALUE"""),-2.630874715592867)</f>
        <v>-2.630874716</v>
      </c>
      <c r="P834" s="30">
        <f>IFERROR(__xludf.DUMMYFUNCTION("""COMPUTED_VALUE"""),4.463999088063446)</f>
        <v>4.463999088</v>
      </c>
      <c r="Q834" s="30"/>
      <c r="R834" s="30"/>
      <c r="S834" s="30"/>
      <c r="T834" s="30"/>
      <c r="U834" s="30">
        <v>0.0</v>
      </c>
      <c r="V834" s="30"/>
      <c r="W834" s="30"/>
      <c r="X834" s="30"/>
      <c r="Y834" s="5">
        <f>IFERROR(__xludf.DUMMYFUNCTION("""COMPUTED_VALUE"""),82.0)</f>
        <v>82</v>
      </c>
      <c r="Z834" s="5">
        <f>IFERROR(__xludf.DUMMYFUNCTION("""COMPUTED_VALUE"""),82.0)</f>
        <v>82</v>
      </c>
    </row>
    <row r="835">
      <c r="A835" s="30" t="s">
        <v>2688</v>
      </c>
      <c r="B835" s="30">
        <f>IFERROR(__xludf.DUMMYFUNCTION("""COMPUTED_VALUE"""),82.0)</f>
        <v>82</v>
      </c>
      <c r="C835" s="30"/>
      <c r="D835" s="30"/>
      <c r="E835" s="30"/>
      <c r="F835" s="30"/>
      <c r="G835" s="30"/>
      <c r="H835" s="30"/>
      <c r="I835" s="30"/>
      <c r="J835" s="30">
        <f>IFERROR(__xludf.DUMMYFUNCTION("""COMPUTED_VALUE"""),-11.059343513011441)</f>
        <v>-11.05934351</v>
      </c>
      <c r="K835" s="30"/>
      <c r="L835" s="30"/>
      <c r="M835" s="30"/>
      <c r="N835" s="30"/>
      <c r="O835" s="30">
        <f>IFERROR(__xludf.DUMMYFUNCTION("""COMPUTED_VALUE"""),-2.630874715592867)</f>
        <v>-2.630874716</v>
      </c>
      <c r="P835" s="30">
        <f>IFERROR(__xludf.DUMMYFUNCTION("""COMPUTED_VALUE"""),4.463999088063446)</f>
        <v>4.463999088</v>
      </c>
      <c r="Q835" s="30"/>
      <c r="R835" s="30"/>
      <c r="S835" s="30"/>
      <c r="T835" s="30"/>
      <c r="U835" s="30">
        <v>0.0</v>
      </c>
      <c r="V835" s="30"/>
      <c r="W835" s="30"/>
      <c r="X835" s="30"/>
      <c r="Y835" s="5">
        <f>IFERROR(__xludf.DUMMYFUNCTION("""COMPUTED_VALUE"""),82.0)</f>
        <v>82</v>
      </c>
      <c r="Z835" s="5">
        <f>IFERROR(__xludf.DUMMYFUNCTION("""COMPUTED_VALUE"""),82.0)</f>
        <v>82</v>
      </c>
    </row>
    <row r="836">
      <c r="A836" s="30" t="s">
        <v>2689</v>
      </c>
      <c r="B836" s="30">
        <f>IFERROR(__xludf.DUMMYFUNCTION("""COMPUTED_VALUE"""),81.0)</f>
        <v>81</v>
      </c>
      <c r="C836" s="30"/>
      <c r="D836" s="30"/>
      <c r="E836" s="30"/>
      <c r="F836" s="30"/>
      <c r="G836" s="30"/>
      <c r="H836" s="30"/>
      <c r="I836" s="30"/>
      <c r="J836" s="30">
        <f>IFERROR(__xludf.DUMMYFUNCTION("""COMPUTED_VALUE"""),-11.059343513011441)</f>
        <v>-11.05934351</v>
      </c>
      <c r="K836" s="30"/>
      <c r="L836" s="30"/>
      <c r="M836" s="30"/>
      <c r="N836" s="30"/>
      <c r="O836" s="30">
        <f>IFERROR(__xludf.DUMMYFUNCTION("""COMPUTED_VALUE"""),-2.630874715592867)</f>
        <v>-2.630874716</v>
      </c>
      <c r="P836" s="30">
        <f>IFERROR(__xludf.DUMMYFUNCTION("""COMPUTED_VALUE"""),4.463999088063446)</f>
        <v>4.463999088</v>
      </c>
      <c r="Q836" s="30"/>
      <c r="R836" s="30"/>
      <c r="S836" s="30"/>
      <c r="T836" s="30"/>
      <c r="U836" s="30">
        <v>0.0</v>
      </c>
      <c r="V836" s="30"/>
      <c r="W836" s="30"/>
      <c r="X836" s="30"/>
      <c r="Y836" s="5">
        <f>IFERROR(__xludf.DUMMYFUNCTION("""COMPUTED_VALUE"""),81.0)</f>
        <v>81</v>
      </c>
      <c r="Z836" s="5">
        <f>IFERROR(__xludf.DUMMYFUNCTION("""COMPUTED_VALUE"""),81.0)</f>
        <v>81</v>
      </c>
    </row>
    <row r="837">
      <c r="A837" s="30" t="s">
        <v>1030</v>
      </c>
      <c r="B837" s="30">
        <f>IFERROR(__xludf.DUMMYFUNCTION("""COMPUTED_VALUE"""),83.0)</f>
        <v>83</v>
      </c>
      <c r="C837" s="30"/>
      <c r="D837" s="30"/>
      <c r="E837" s="30"/>
      <c r="F837" s="30"/>
      <c r="G837" s="30"/>
      <c r="H837" s="30"/>
      <c r="I837" s="30"/>
      <c r="J837" s="30">
        <f>IFERROR(__xludf.DUMMYFUNCTION("""COMPUTED_VALUE"""),-11.059343513011441)</f>
        <v>-11.05934351</v>
      </c>
      <c r="K837" s="30"/>
      <c r="L837" s="30"/>
      <c r="M837" s="30"/>
      <c r="N837" s="30"/>
      <c r="O837" s="30">
        <f>IFERROR(__xludf.DUMMYFUNCTION("""COMPUTED_VALUE"""),-2.630874715592867)</f>
        <v>-2.630874716</v>
      </c>
      <c r="P837" s="30">
        <f>IFERROR(__xludf.DUMMYFUNCTION("""COMPUTED_VALUE"""),4.463999088063446)</f>
        <v>4.463999088</v>
      </c>
      <c r="Q837" s="30"/>
      <c r="R837" s="30"/>
      <c r="S837" s="30"/>
      <c r="T837" s="30"/>
      <c r="U837" s="30">
        <v>0.0</v>
      </c>
      <c r="V837" s="30"/>
      <c r="W837" s="30"/>
      <c r="X837" s="30"/>
      <c r="Y837" s="5">
        <f>IFERROR(__xludf.DUMMYFUNCTION("""COMPUTED_VALUE"""),83.0)</f>
        <v>83</v>
      </c>
      <c r="Z837" s="5">
        <f>IFERROR(__xludf.DUMMYFUNCTION("""COMPUTED_VALUE"""),83.0)</f>
        <v>83</v>
      </c>
    </row>
    <row r="838">
      <c r="A838" s="30" t="s">
        <v>2690</v>
      </c>
      <c r="B838" s="30">
        <f>IFERROR(__xludf.DUMMYFUNCTION("""COMPUTED_VALUE"""),82.0)</f>
        <v>82</v>
      </c>
      <c r="C838" s="30"/>
      <c r="D838" s="30"/>
      <c r="E838" s="30"/>
      <c r="F838" s="30"/>
      <c r="G838" s="30"/>
      <c r="H838" s="30"/>
      <c r="I838" s="30"/>
      <c r="J838" s="30">
        <f>IFERROR(__xludf.DUMMYFUNCTION("""COMPUTED_VALUE"""),-11.059343513011441)</f>
        <v>-11.05934351</v>
      </c>
      <c r="K838" s="30"/>
      <c r="L838" s="30"/>
      <c r="M838" s="30"/>
      <c r="N838" s="30"/>
      <c r="O838" s="30">
        <f>IFERROR(__xludf.DUMMYFUNCTION("""COMPUTED_VALUE"""),-2.630874715592867)</f>
        <v>-2.630874716</v>
      </c>
      <c r="P838" s="30">
        <f>IFERROR(__xludf.DUMMYFUNCTION("""COMPUTED_VALUE"""),4.463999088063446)</f>
        <v>4.463999088</v>
      </c>
      <c r="Q838" s="30"/>
      <c r="R838" s="30"/>
      <c r="S838" s="30"/>
      <c r="T838" s="30"/>
      <c r="U838" s="30">
        <v>0.0</v>
      </c>
      <c r="V838" s="30"/>
      <c r="W838" s="30"/>
      <c r="X838" s="30"/>
      <c r="Y838" s="5">
        <f>IFERROR(__xludf.DUMMYFUNCTION("""COMPUTED_VALUE"""),82.0)</f>
        <v>82</v>
      </c>
      <c r="Z838" s="5">
        <f>IFERROR(__xludf.DUMMYFUNCTION("""COMPUTED_VALUE"""),82.0)</f>
        <v>82</v>
      </c>
    </row>
    <row r="839">
      <c r="A839" s="30" t="s">
        <v>2691</v>
      </c>
      <c r="B839" s="30">
        <f>IFERROR(__xludf.DUMMYFUNCTION("""COMPUTED_VALUE"""),82.0)</f>
        <v>82</v>
      </c>
      <c r="C839" s="30"/>
      <c r="D839" s="30"/>
      <c r="E839" s="30"/>
      <c r="F839" s="30"/>
      <c r="G839" s="30"/>
      <c r="H839" s="30"/>
      <c r="I839" s="30"/>
      <c r="J839" s="30">
        <f>IFERROR(__xludf.DUMMYFUNCTION("""COMPUTED_VALUE"""),-11.059343513011441)</f>
        <v>-11.05934351</v>
      </c>
      <c r="K839" s="30"/>
      <c r="L839" s="30"/>
      <c r="M839" s="30"/>
      <c r="N839" s="30"/>
      <c r="O839" s="30">
        <f>IFERROR(__xludf.DUMMYFUNCTION("""COMPUTED_VALUE"""),-2.630874715592867)</f>
        <v>-2.630874716</v>
      </c>
      <c r="P839" s="30">
        <f>IFERROR(__xludf.DUMMYFUNCTION("""COMPUTED_VALUE"""),4.463999088063446)</f>
        <v>4.463999088</v>
      </c>
      <c r="Q839" s="30"/>
      <c r="R839" s="30"/>
      <c r="S839" s="30"/>
      <c r="T839" s="30"/>
      <c r="U839" s="30">
        <v>0.0</v>
      </c>
      <c r="V839" s="30"/>
      <c r="W839" s="30"/>
      <c r="X839" s="30"/>
      <c r="Y839" s="5">
        <f>IFERROR(__xludf.DUMMYFUNCTION("""COMPUTED_VALUE"""),81.0)</f>
        <v>81</v>
      </c>
      <c r="Z839" s="5">
        <f>IFERROR(__xludf.DUMMYFUNCTION("""COMPUTED_VALUE"""),83.0)</f>
        <v>83</v>
      </c>
    </row>
    <row r="840">
      <c r="A840" s="30" t="s">
        <v>2095</v>
      </c>
      <c r="B840" s="30">
        <f>IFERROR(__xludf.DUMMYFUNCTION("""COMPUTED_VALUE"""),83.0)</f>
        <v>83</v>
      </c>
      <c r="C840" s="30"/>
      <c r="D840" s="30"/>
      <c r="E840" s="30"/>
      <c r="F840" s="30"/>
      <c r="G840" s="30"/>
      <c r="H840" s="30"/>
      <c r="I840" s="30"/>
      <c r="J840" s="30">
        <f>IFERROR(__xludf.DUMMYFUNCTION("""COMPUTED_VALUE"""),-11.059343513011441)</f>
        <v>-11.05934351</v>
      </c>
      <c r="K840" s="30"/>
      <c r="L840" s="30"/>
      <c r="M840" s="30"/>
      <c r="N840" s="30"/>
      <c r="O840" s="30">
        <f>IFERROR(__xludf.DUMMYFUNCTION("""COMPUTED_VALUE"""),-2.630874715592867)</f>
        <v>-2.630874716</v>
      </c>
      <c r="P840" s="30">
        <f>IFERROR(__xludf.DUMMYFUNCTION("""COMPUTED_VALUE"""),4.463999088063446)</f>
        <v>4.463999088</v>
      </c>
      <c r="Q840" s="30"/>
      <c r="R840" s="30"/>
      <c r="S840" s="30"/>
      <c r="T840" s="30"/>
      <c r="U840" s="30">
        <v>0.0</v>
      </c>
      <c r="V840" s="30"/>
      <c r="W840" s="30"/>
      <c r="X840" s="30"/>
      <c r="Y840" s="5">
        <f>IFERROR(__xludf.DUMMYFUNCTION("""COMPUTED_VALUE"""),83.0)</f>
        <v>83</v>
      </c>
      <c r="Z840" s="5">
        <f>IFERROR(__xludf.DUMMYFUNCTION("""COMPUTED_VALUE"""),83.0)</f>
        <v>83</v>
      </c>
    </row>
    <row r="841">
      <c r="A841" s="30" t="s">
        <v>2693</v>
      </c>
      <c r="B841" s="30">
        <f>IFERROR(__xludf.DUMMYFUNCTION("""COMPUTED_VALUE"""),81.5)</f>
        <v>81.5</v>
      </c>
      <c r="C841" s="30"/>
      <c r="D841" s="30"/>
      <c r="E841" s="30"/>
      <c r="F841" s="30"/>
      <c r="G841" s="30"/>
      <c r="H841" s="30"/>
      <c r="I841" s="30"/>
      <c r="J841" s="30">
        <f>IFERROR(__xludf.DUMMYFUNCTION("""COMPUTED_VALUE"""),-11.059343513011441)</f>
        <v>-11.05934351</v>
      </c>
      <c r="K841" s="30"/>
      <c r="L841" s="30"/>
      <c r="M841" s="30"/>
      <c r="N841" s="30"/>
      <c r="O841" s="30">
        <f>IFERROR(__xludf.DUMMYFUNCTION("""COMPUTED_VALUE"""),-2.630874715592867)</f>
        <v>-2.630874716</v>
      </c>
      <c r="P841" s="30">
        <f>IFERROR(__xludf.DUMMYFUNCTION("""COMPUTED_VALUE"""),4.463999088063446)</f>
        <v>4.463999088</v>
      </c>
      <c r="Q841" s="30"/>
      <c r="R841" s="30"/>
      <c r="S841" s="30"/>
      <c r="T841" s="30"/>
      <c r="U841" s="30">
        <v>0.0</v>
      </c>
      <c r="V841" s="30"/>
      <c r="W841" s="30"/>
      <c r="X841" s="30"/>
      <c r="Y841" s="5">
        <f>IFERROR(__xludf.DUMMYFUNCTION("""COMPUTED_VALUE"""),81.0)</f>
        <v>81</v>
      </c>
      <c r="Z841" s="5">
        <f>IFERROR(__xludf.DUMMYFUNCTION("""COMPUTED_VALUE"""),82.0)</f>
        <v>82</v>
      </c>
    </row>
    <row r="842">
      <c r="A842" s="30" t="s">
        <v>2103</v>
      </c>
      <c r="B842" s="30">
        <f>IFERROR(__xludf.DUMMYFUNCTION("""COMPUTED_VALUE"""),81.5)</f>
        <v>81.5</v>
      </c>
      <c r="C842" s="30"/>
      <c r="D842" s="30"/>
      <c r="E842" s="30"/>
      <c r="F842" s="30"/>
      <c r="G842" s="30"/>
      <c r="H842" s="30"/>
      <c r="I842" s="30"/>
      <c r="J842" s="30">
        <f>IFERROR(__xludf.DUMMYFUNCTION("""COMPUTED_VALUE"""),-11.059343513011441)</f>
        <v>-11.05934351</v>
      </c>
      <c r="K842" s="30"/>
      <c r="L842" s="30"/>
      <c r="M842" s="30"/>
      <c r="N842" s="30"/>
      <c r="O842" s="30">
        <f>IFERROR(__xludf.DUMMYFUNCTION("""COMPUTED_VALUE"""),-2.630874715592867)</f>
        <v>-2.630874716</v>
      </c>
      <c r="P842" s="30">
        <f>IFERROR(__xludf.DUMMYFUNCTION("""COMPUTED_VALUE"""),4.463999088063446)</f>
        <v>4.463999088</v>
      </c>
      <c r="Q842" s="30"/>
      <c r="R842" s="30"/>
      <c r="S842" s="30"/>
      <c r="T842" s="30"/>
      <c r="U842" s="30">
        <v>0.0</v>
      </c>
      <c r="V842" s="30"/>
      <c r="W842" s="30"/>
      <c r="X842" s="30"/>
      <c r="Y842" s="5">
        <f>IFERROR(__xludf.DUMMYFUNCTION("""COMPUTED_VALUE"""),80.0)</f>
        <v>80</v>
      </c>
      <c r="Z842" s="5">
        <f>IFERROR(__xludf.DUMMYFUNCTION("""COMPUTED_VALUE"""),83.0)</f>
        <v>83</v>
      </c>
    </row>
    <row r="843">
      <c r="A843" s="30" t="s">
        <v>2698</v>
      </c>
      <c r="B843" s="30">
        <f>IFERROR(__xludf.DUMMYFUNCTION("""COMPUTED_VALUE"""),84.0)</f>
        <v>84</v>
      </c>
      <c r="C843" s="30"/>
      <c r="D843" s="30"/>
      <c r="E843" s="30"/>
      <c r="F843" s="30"/>
      <c r="G843" s="30"/>
      <c r="H843" s="30"/>
      <c r="I843" s="30"/>
      <c r="J843" s="30">
        <f>IFERROR(__xludf.DUMMYFUNCTION("""COMPUTED_VALUE"""),-11.059343513011441)</f>
        <v>-11.05934351</v>
      </c>
      <c r="K843" s="30"/>
      <c r="L843" s="30"/>
      <c r="M843" s="30"/>
      <c r="N843" s="30"/>
      <c r="O843" s="30">
        <f>IFERROR(__xludf.DUMMYFUNCTION("""COMPUTED_VALUE"""),-2.630874715592867)</f>
        <v>-2.630874716</v>
      </c>
      <c r="P843" s="30">
        <f>IFERROR(__xludf.DUMMYFUNCTION("""COMPUTED_VALUE"""),4.463999088063446)</f>
        <v>4.463999088</v>
      </c>
      <c r="Q843" s="30"/>
      <c r="R843" s="30"/>
      <c r="S843" s="30"/>
      <c r="T843" s="30"/>
      <c r="U843" s="30">
        <v>0.0</v>
      </c>
      <c r="V843" s="30"/>
      <c r="W843" s="30"/>
      <c r="X843" s="30"/>
      <c r="Y843" s="5">
        <f>IFERROR(__xludf.DUMMYFUNCTION("""COMPUTED_VALUE"""),84.0)</f>
        <v>84</v>
      </c>
      <c r="Z843" s="5">
        <f>IFERROR(__xludf.DUMMYFUNCTION("""COMPUTED_VALUE"""),84.0)</f>
        <v>84</v>
      </c>
    </row>
    <row r="844">
      <c r="A844" s="30" t="s">
        <v>2699</v>
      </c>
      <c r="B844" s="30">
        <f>IFERROR(__xludf.DUMMYFUNCTION("""COMPUTED_VALUE"""),81.0)</f>
        <v>81</v>
      </c>
      <c r="C844" s="30"/>
      <c r="D844" s="30"/>
      <c r="E844" s="30"/>
      <c r="F844" s="30"/>
      <c r="G844" s="30"/>
      <c r="H844" s="30"/>
      <c r="I844" s="30"/>
      <c r="J844" s="30">
        <f>IFERROR(__xludf.DUMMYFUNCTION("""COMPUTED_VALUE"""),-11.059343513011441)</f>
        <v>-11.05934351</v>
      </c>
      <c r="K844" s="30"/>
      <c r="L844" s="30"/>
      <c r="M844" s="30"/>
      <c r="N844" s="30"/>
      <c r="O844" s="30">
        <f>IFERROR(__xludf.DUMMYFUNCTION("""COMPUTED_VALUE"""),-2.630874715592867)</f>
        <v>-2.630874716</v>
      </c>
      <c r="P844" s="30">
        <f>IFERROR(__xludf.DUMMYFUNCTION("""COMPUTED_VALUE"""),4.463999088063446)</f>
        <v>4.463999088</v>
      </c>
      <c r="Q844" s="30"/>
      <c r="R844" s="30"/>
      <c r="S844" s="30"/>
      <c r="T844" s="30"/>
      <c r="U844" s="30">
        <v>0.0</v>
      </c>
      <c r="V844" s="30"/>
      <c r="W844" s="30"/>
      <c r="X844" s="30"/>
      <c r="Y844" s="5">
        <f>IFERROR(__xludf.DUMMYFUNCTION("""COMPUTED_VALUE"""),81.0)</f>
        <v>81</v>
      </c>
      <c r="Z844" s="5">
        <f>IFERROR(__xludf.DUMMYFUNCTION("""COMPUTED_VALUE"""),81.0)</f>
        <v>81</v>
      </c>
    </row>
    <row r="845">
      <c r="A845" s="30" t="s">
        <v>2700</v>
      </c>
      <c r="B845" s="30">
        <f>IFERROR(__xludf.DUMMYFUNCTION("""COMPUTED_VALUE"""),81.0)</f>
        <v>81</v>
      </c>
      <c r="C845" s="30"/>
      <c r="D845" s="30"/>
      <c r="E845" s="30"/>
      <c r="F845" s="30"/>
      <c r="G845" s="30"/>
      <c r="H845" s="30"/>
      <c r="I845" s="30"/>
      <c r="J845" s="30">
        <f>IFERROR(__xludf.DUMMYFUNCTION("""COMPUTED_VALUE"""),-11.059343513011441)</f>
        <v>-11.05934351</v>
      </c>
      <c r="K845" s="30"/>
      <c r="L845" s="30"/>
      <c r="M845" s="30"/>
      <c r="N845" s="30"/>
      <c r="O845" s="30">
        <f>IFERROR(__xludf.DUMMYFUNCTION("""COMPUTED_VALUE"""),-2.630874715592867)</f>
        <v>-2.630874716</v>
      </c>
      <c r="P845" s="30">
        <f>IFERROR(__xludf.DUMMYFUNCTION("""COMPUTED_VALUE"""),4.463999088063446)</f>
        <v>4.463999088</v>
      </c>
      <c r="Q845" s="30"/>
      <c r="R845" s="30"/>
      <c r="S845" s="30"/>
      <c r="T845" s="30"/>
      <c r="U845" s="30">
        <v>0.0</v>
      </c>
      <c r="V845" s="30"/>
      <c r="W845" s="30"/>
      <c r="X845" s="30"/>
      <c r="Y845" s="5">
        <f>IFERROR(__xludf.DUMMYFUNCTION("""COMPUTED_VALUE"""),81.0)</f>
        <v>81</v>
      </c>
      <c r="Z845" s="5">
        <f>IFERROR(__xludf.DUMMYFUNCTION("""COMPUTED_VALUE"""),81.0)</f>
        <v>81</v>
      </c>
    </row>
    <row r="846">
      <c r="A846" s="30" t="s">
        <v>2701</v>
      </c>
      <c r="B846" s="30">
        <f>IFERROR(__xludf.DUMMYFUNCTION("""COMPUTED_VALUE"""),84.0)</f>
        <v>84</v>
      </c>
      <c r="C846" s="30"/>
      <c r="D846" s="30"/>
      <c r="E846" s="30"/>
      <c r="F846" s="30"/>
      <c r="G846" s="30"/>
      <c r="H846" s="30"/>
      <c r="I846" s="30"/>
      <c r="J846" s="30">
        <f>IFERROR(__xludf.DUMMYFUNCTION("""COMPUTED_VALUE"""),-11.059343513011441)</f>
        <v>-11.05934351</v>
      </c>
      <c r="K846" s="30"/>
      <c r="L846" s="30"/>
      <c r="M846" s="30"/>
      <c r="N846" s="30"/>
      <c r="O846" s="30">
        <f>IFERROR(__xludf.DUMMYFUNCTION("""COMPUTED_VALUE"""),-2.630874715592867)</f>
        <v>-2.630874716</v>
      </c>
      <c r="P846" s="30">
        <f>IFERROR(__xludf.DUMMYFUNCTION("""COMPUTED_VALUE"""),4.463999088063446)</f>
        <v>4.463999088</v>
      </c>
      <c r="Q846" s="30"/>
      <c r="R846" s="30"/>
      <c r="S846" s="30"/>
      <c r="T846" s="30"/>
      <c r="U846" s="30">
        <v>0.0</v>
      </c>
      <c r="V846" s="30"/>
      <c r="W846" s="30"/>
      <c r="X846" s="30"/>
      <c r="Y846" s="5">
        <f>IFERROR(__xludf.DUMMYFUNCTION("""COMPUTED_VALUE"""),84.0)</f>
        <v>84</v>
      </c>
      <c r="Z846" s="5">
        <f>IFERROR(__xludf.DUMMYFUNCTION("""COMPUTED_VALUE"""),84.0)</f>
        <v>84</v>
      </c>
    </row>
    <row r="847">
      <c r="A847" s="30" t="s">
        <v>2702</v>
      </c>
      <c r="B847" s="30">
        <f>IFERROR(__xludf.DUMMYFUNCTION("""COMPUTED_VALUE"""),79.0)</f>
        <v>79</v>
      </c>
      <c r="C847" s="30"/>
      <c r="D847" s="30"/>
      <c r="E847" s="30"/>
      <c r="F847" s="30"/>
      <c r="G847" s="30"/>
      <c r="H847" s="30"/>
      <c r="I847" s="30"/>
      <c r="J847" s="30">
        <f>IFERROR(__xludf.DUMMYFUNCTION("""COMPUTED_VALUE"""),-11.059343513011441)</f>
        <v>-11.05934351</v>
      </c>
      <c r="K847" s="30"/>
      <c r="L847" s="30"/>
      <c r="M847" s="30"/>
      <c r="N847" s="30"/>
      <c r="O847" s="30">
        <f>IFERROR(__xludf.DUMMYFUNCTION("""COMPUTED_VALUE"""),-2.630874715592867)</f>
        <v>-2.630874716</v>
      </c>
      <c r="P847" s="30">
        <f>IFERROR(__xludf.DUMMYFUNCTION("""COMPUTED_VALUE"""),4.463999088063446)</f>
        <v>4.463999088</v>
      </c>
      <c r="Q847" s="30"/>
      <c r="R847" s="30"/>
      <c r="S847" s="30"/>
      <c r="T847" s="30"/>
      <c r="U847" s="30">
        <v>0.0</v>
      </c>
      <c r="V847" s="30"/>
      <c r="W847" s="30"/>
      <c r="X847" s="30"/>
      <c r="Y847" s="5">
        <f>IFERROR(__xludf.DUMMYFUNCTION("""COMPUTED_VALUE"""),79.0)</f>
        <v>79</v>
      </c>
      <c r="Z847" s="5">
        <f>IFERROR(__xludf.DUMMYFUNCTION("""COMPUTED_VALUE"""),79.0)</f>
        <v>79</v>
      </c>
    </row>
    <row r="848">
      <c r="A848" s="30" t="s">
        <v>2703</v>
      </c>
      <c r="B848" s="30">
        <f>IFERROR(__xludf.DUMMYFUNCTION("""COMPUTED_VALUE"""),84.0)</f>
        <v>84</v>
      </c>
      <c r="C848" s="30"/>
      <c r="D848" s="30"/>
      <c r="E848" s="30"/>
      <c r="F848" s="30"/>
      <c r="G848" s="30"/>
      <c r="H848" s="30"/>
      <c r="I848" s="30"/>
      <c r="J848" s="30">
        <f>IFERROR(__xludf.DUMMYFUNCTION("""COMPUTED_VALUE"""),-11.059343513011441)</f>
        <v>-11.05934351</v>
      </c>
      <c r="K848" s="30"/>
      <c r="L848" s="30"/>
      <c r="M848" s="30"/>
      <c r="N848" s="30"/>
      <c r="O848" s="30">
        <f>IFERROR(__xludf.DUMMYFUNCTION("""COMPUTED_VALUE"""),-2.630874715592867)</f>
        <v>-2.630874716</v>
      </c>
      <c r="P848" s="30">
        <f>IFERROR(__xludf.DUMMYFUNCTION("""COMPUTED_VALUE"""),4.463999088063446)</f>
        <v>4.463999088</v>
      </c>
      <c r="Q848" s="30"/>
      <c r="R848" s="30"/>
      <c r="S848" s="30"/>
      <c r="T848" s="30"/>
      <c r="U848" s="30">
        <v>0.0</v>
      </c>
      <c r="V848" s="30"/>
      <c r="W848" s="30"/>
      <c r="X848" s="30"/>
      <c r="Y848" s="5">
        <f>IFERROR(__xludf.DUMMYFUNCTION("""COMPUTED_VALUE"""),84.0)</f>
        <v>84</v>
      </c>
      <c r="Z848" s="5">
        <f>IFERROR(__xludf.DUMMYFUNCTION("""COMPUTED_VALUE"""),84.0)</f>
        <v>84</v>
      </c>
    </row>
    <row r="849">
      <c r="A849" s="30" t="s">
        <v>2704</v>
      </c>
      <c r="B849" s="30">
        <f>IFERROR(__xludf.DUMMYFUNCTION("""COMPUTED_VALUE"""),81.5)</f>
        <v>81.5</v>
      </c>
      <c r="C849" s="30"/>
      <c r="D849" s="30"/>
      <c r="E849" s="30"/>
      <c r="F849" s="30"/>
      <c r="G849" s="30"/>
      <c r="H849" s="30"/>
      <c r="I849" s="30"/>
      <c r="J849" s="30">
        <f>IFERROR(__xludf.DUMMYFUNCTION("""COMPUTED_VALUE"""),-11.059343513011441)</f>
        <v>-11.05934351</v>
      </c>
      <c r="K849" s="30"/>
      <c r="L849" s="30"/>
      <c r="M849" s="30"/>
      <c r="N849" s="30"/>
      <c r="O849" s="30">
        <f>IFERROR(__xludf.DUMMYFUNCTION("""COMPUTED_VALUE"""),-2.630874715592867)</f>
        <v>-2.630874716</v>
      </c>
      <c r="P849" s="30">
        <f>IFERROR(__xludf.DUMMYFUNCTION("""COMPUTED_VALUE"""),4.463999088063446)</f>
        <v>4.463999088</v>
      </c>
      <c r="Q849" s="30"/>
      <c r="R849" s="30"/>
      <c r="S849" s="30"/>
      <c r="T849" s="30"/>
      <c r="U849" s="30">
        <v>0.0</v>
      </c>
      <c r="V849" s="30"/>
      <c r="W849" s="30"/>
      <c r="X849" s="30"/>
      <c r="Y849" s="5">
        <f>IFERROR(__xludf.DUMMYFUNCTION("""COMPUTED_VALUE"""),81.0)</f>
        <v>81</v>
      </c>
      <c r="Z849" s="5">
        <f>IFERROR(__xludf.DUMMYFUNCTION("""COMPUTED_VALUE"""),82.0)</f>
        <v>82</v>
      </c>
    </row>
    <row r="850">
      <c r="A850" s="30" t="s">
        <v>2706</v>
      </c>
      <c r="B850" s="30">
        <f>IFERROR(__xludf.DUMMYFUNCTION("""COMPUTED_VALUE"""),82.0)</f>
        <v>82</v>
      </c>
      <c r="C850" s="30"/>
      <c r="D850" s="30"/>
      <c r="E850" s="30"/>
      <c r="F850" s="30"/>
      <c r="G850" s="30"/>
      <c r="H850" s="30"/>
      <c r="I850" s="30"/>
      <c r="J850" s="30">
        <f>IFERROR(__xludf.DUMMYFUNCTION("""COMPUTED_VALUE"""),-11.059343513011441)</f>
        <v>-11.05934351</v>
      </c>
      <c r="K850" s="30"/>
      <c r="L850" s="30"/>
      <c r="M850" s="30"/>
      <c r="N850" s="30"/>
      <c r="O850" s="30">
        <f>IFERROR(__xludf.DUMMYFUNCTION("""COMPUTED_VALUE"""),-2.630874715592867)</f>
        <v>-2.630874716</v>
      </c>
      <c r="P850" s="30">
        <f>IFERROR(__xludf.DUMMYFUNCTION("""COMPUTED_VALUE"""),4.463999088063446)</f>
        <v>4.463999088</v>
      </c>
      <c r="Q850" s="30"/>
      <c r="R850" s="30"/>
      <c r="S850" s="30"/>
      <c r="T850" s="30"/>
      <c r="U850" s="30">
        <v>0.0</v>
      </c>
      <c r="V850" s="30"/>
      <c r="W850" s="30"/>
      <c r="X850" s="30"/>
      <c r="Y850" s="5">
        <f>IFERROR(__xludf.DUMMYFUNCTION("""COMPUTED_VALUE"""),82.0)</f>
        <v>82</v>
      </c>
      <c r="Z850" s="5">
        <f>IFERROR(__xludf.DUMMYFUNCTION("""COMPUTED_VALUE"""),82.0)</f>
        <v>82</v>
      </c>
    </row>
    <row r="851">
      <c r="A851" s="30" t="s">
        <v>2707</v>
      </c>
      <c r="B851" s="30">
        <f>IFERROR(__xludf.DUMMYFUNCTION("""COMPUTED_VALUE"""),82.0)</f>
        <v>82</v>
      </c>
      <c r="C851" s="30"/>
      <c r="D851" s="30"/>
      <c r="E851" s="30"/>
      <c r="F851" s="30"/>
      <c r="G851" s="30"/>
      <c r="H851" s="30"/>
      <c r="I851" s="30"/>
      <c r="J851" s="30">
        <f>IFERROR(__xludf.DUMMYFUNCTION("""COMPUTED_VALUE"""),-11.059343513011441)</f>
        <v>-11.05934351</v>
      </c>
      <c r="K851" s="30"/>
      <c r="L851" s="30"/>
      <c r="M851" s="30"/>
      <c r="N851" s="30"/>
      <c r="O851" s="30">
        <f>IFERROR(__xludf.DUMMYFUNCTION("""COMPUTED_VALUE"""),-2.630874715592867)</f>
        <v>-2.630874716</v>
      </c>
      <c r="P851" s="30">
        <f>IFERROR(__xludf.DUMMYFUNCTION("""COMPUTED_VALUE"""),4.463999088063446)</f>
        <v>4.463999088</v>
      </c>
      <c r="Q851" s="30"/>
      <c r="R851" s="30"/>
      <c r="S851" s="30"/>
      <c r="T851" s="30"/>
      <c r="U851" s="30">
        <v>0.0</v>
      </c>
      <c r="V851" s="30"/>
      <c r="W851" s="30"/>
      <c r="X851" s="30"/>
      <c r="Y851" s="5">
        <f>IFERROR(__xludf.DUMMYFUNCTION("""COMPUTED_VALUE"""),82.0)</f>
        <v>82</v>
      </c>
      <c r="Z851" s="5">
        <f>IFERROR(__xludf.DUMMYFUNCTION("""COMPUTED_VALUE"""),82.0)</f>
        <v>82</v>
      </c>
    </row>
    <row r="852">
      <c r="A852" s="30" t="s">
        <v>1330</v>
      </c>
      <c r="B852" s="30">
        <f>IFERROR(__xludf.DUMMYFUNCTION("""COMPUTED_VALUE"""),84.0)</f>
        <v>84</v>
      </c>
      <c r="C852" s="30"/>
      <c r="D852" s="30"/>
      <c r="E852" s="30"/>
      <c r="F852" s="30"/>
      <c r="G852" s="30"/>
      <c r="H852" s="30"/>
      <c r="I852" s="30"/>
      <c r="J852" s="30">
        <f>IFERROR(__xludf.DUMMYFUNCTION("""COMPUTED_VALUE"""),-11.059343513011441)</f>
        <v>-11.05934351</v>
      </c>
      <c r="K852" s="30"/>
      <c r="L852" s="30"/>
      <c r="M852" s="30"/>
      <c r="N852" s="30"/>
      <c r="O852" s="30">
        <f>IFERROR(__xludf.DUMMYFUNCTION("""COMPUTED_VALUE"""),-2.630874715592867)</f>
        <v>-2.630874716</v>
      </c>
      <c r="P852" s="30">
        <f>IFERROR(__xludf.DUMMYFUNCTION("""COMPUTED_VALUE"""),4.463999088063446)</f>
        <v>4.463999088</v>
      </c>
      <c r="Q852" s="30"/>
      <c r="R852" s="30"/>
      <c r="S852" s="30"/>
      <c r="T852" s="30"/>
      <c r="U852" s="30">
        <v>0.0</v>
      </c>
      <c r="V852" s="30"/>
      <c r="W852" s="30"/>
      <c r="X852" s="30"/>
      <c r="Y852" s="5">
        <f>IFERROR(__xludf.DUMMYFUNCTION("""COMPUTED_VALUE"""),84.0)</f>
        <v>84</v>
      </c>
      <c r="Z852" s="5">
        <f>IFERROR(__xludf.DUMMYFUNCTION("""COMPUTED_VALUE"""),84.0)</f>
        <v>84</v>
      </c>
    </row>
    <row r="853">
      <c r="A853" s="30" t="s">
        <v>2708</v>
      </c>
      <c r="B853" s="30">
        <f>IFERROR(__xludf.DUMMYFUNCTION("""COMPUTED_VALUE"""),81.0)</f>
        <v>81</v>
      </c>
      <c r="C853" s="30"/>
      <c r="D853" s="30"/>
      <c r="E853" s="30"/>
      <c r="F853" s="30"/>
      <c r="G853" s="30"/>
      <c r="H853" s="30"/>
      <c r="I853" s="30"/>
      <c r="J853" s="30">
        <f>IFERROR(__xludf.DUMMYFUNCTION("""COMPUTED_VALUE"""),-11.059343513011441)</f>
        <v>-11.05934351</v>
      </c>
      <c r="K853" s="30"/>
      <c r="L853" s="30"/>
      <c r="M853" s="30"/>
      <c r="N853" s="30"/>
      <c r="O853" s="30">
        <f>IFERROR(__xludf.DUMMYFUNCTION("""COMPUTED_VALUE"""),-2.630874715592867)</f>
        <v>-2.630874716</v>
      </c>
      <c r="P853" s="30">
        <f>IFERROR(__xludf.DUMMYFUNCTION("""COMPUTED_VALUE"""),4.463999088063446)</f>
        <v>4.463999088</v>
      </c>
      <c r="Q853" s="30"/>
      <c r="R853" s="30"/>
      <c r="S853" s="30"/>
      <c r="T853" s="30"/>
      <c r="U853" s="30">
        <v>0.0</v>
      </c>
      <c r="V853" s="30"/>
      <c r="W853" s="30"/>
      <c r="X853" s="30"/>
      <c r="Y853" s="5">
        <f>IFERROR(__xludf.DUMMYFUNCTION("""COMPUTED_VALUE"""),81.0)</f>
        <v>81</v>
      </c>
      <c r="Z853" s="5">
        <f>IFERROR(__xludf.DUMMYFUNCTION("""COMPUTED_VALUE"""),81.0)</f>
        <v>81</v>
      </c>
    </row>
    <row r="854">
      <c r="A854" s="30" t="s">
        <v>2709</v>
      </c>
      <c r="B854" s="30">
        <f>IFERROR(__xludf.DUMMYFUNCTION("""COMPUTED_VALUE"""),83.0)</f>
        <v>83</v>
      </c>
      <c r="C854" s="30"/>
      <c r="D854" s="30"/>
      <c r="E854" s="30"/>
      <c r="F854" s="30"/>
      <c r="G854" s="30"/>
      <c r="H854" s="30"/>
      <c r="I854" s="30"/>
      <c r="J854" s="30">
        <f>IFERROR(__xludf.DUMMYFUNCTION("""COMPUTED_VALUE"""),-11.059343513011441)</f>
        <v>-11.05934351</v>
      </c>
      <c r="K854" s="30"/>
      <c r="L854" s="30"/>
      <c r="M854" s="30"/>
      <c r="N854" s="30"/>
      <c r="O854" s="30">
        <f>IFERROR(__xludf.DUMMYFUNCTION("""COMPUTED_VALUE"""),-2.630874715592867)</f>
        <v>-2.630874716</v>
      </c>
      <c r="P854" s="30">
        <f>IFERROR(__xludf.DUMMYFUNCTION("""COMPUTED_VALUE"""),4.463999088063446)</f>
        <v>4.463999088</v>
      </c>
      <c r="Q854" s="30"/>
      <c r="R854" s="30"/>
      <c r="S854" s="30"/>
      <c r="T854" s="30"/>
      <c r="U854" s="30">
        <v>0.0</v>
      </c>
      <c r="V854" s="30"/>
      <c r="W854" s="30"/>
      <c r="X854" s="30"/>
      <c r="Y854" s="5">
        <f>IFERROR(__xludf.DUMMYFUNCTION("""COMPUTED_VALUE"""),83.0)</f>
        <v>83</v>
      </c>
      <c r="Z854" s="5">
        <f>IFERROR(__xludf.DUMMYFUNCTION("""COMPUTED_VALUE"""),83.0)</f>
        <v>83</v>
      </c>
    </row>
    <row r="855">
      <c r="A855" s="30" t="s">
        <v>2710</v>
      </c>
      <c r="B855" s="30">
        <f>IFERROR(__xludf.DUMMYFUNCTION("""COMPUTED_VALUE"""),84.0)</f>
        <v>84</v>
      </c>
      <c r="C855" s="30"/>
      <c r="D855" s="30"/>
      <c r="E855" s="30"/>
      <c r="F855" s="30"/>
      <c r="G855" s="30"/>
      <c r="H855" s="30"/>
      <c r="I855" s="30"/>
      <c r="J855" s="30">
        <f>IFERROR(__xludf.DUMMYFUNCTION("""COMPUTED_VALUE"""),-11.059343513011441)</f>
        <v>-11.05934351</v>
      </c>
      <c r="K855" s="30"/>
      <c r="L855" s="30"/>
      <c r="M855" s="30"/>
      <c r="N855" s="30"/>
      <c r="O855" s="30">
        <f>IFERROR(__xludf.DUMMYFUNCTION("""COMPUTED_VALUE"""),-2.630874715592867)</f>
        <v>-2.630874716</v>
      </c>
      <c r="P855" s="30">
        <f>IFERROR(__xludf.DUMMYFUNCTION("""COMPUTED_VALUE"""),4.463999088063446)</f>
        <v>4.463999088</v>
      </c>
      <c r="Q855" s="30"/>
      <c r="R855" s="30"/>
      <c r="S855" s="30"/>
      <c r="T855" s="30"/>
      <c r="U855" s="30">
        <v>0.0</v>
      </c>
      <c r="V855" s="30"/>
      <c r="W855" s="30"/>
      <c r="X855" s="30"/>
      <c r="Y855" s="5">
        <f>IFERROR(__xludf.DUMMYFUNCTION("""COMPUTED_VALUE"""),84.0)</f>
        <v>84</v>
      </c>
      <c r="Z855" s="5">
        <f>IFERROR(__xludf.DUMMYFUNCTION("""COMPUTED_VALUE"""),84.0)</f>
        <v>84</v>
      </c>
    </row>
    <row r="856">
      <c r="A856" s="30" t="s">
        <v>2711</v>
      </c>
      <c r="B856" s="30">
        <f>IFERROR(__xludf.DUMMYFUNCTION("""COMPUTED_VALUE"""),80.0)</f>
        <v>80</v>
      </c>
      <c r="C856" s="30"/>
      <c r="D856" s="30"/>
      <c r="E856" s="30"/>
      <c r="F856" s="30"/>
      <c r="G856" s="30"/>
      <c r="H856" s="30"/>
      <c r="I856" s="30"/>
      <c r="J856" s="30">
        <f>IFERROR(__xludf.DUMMYFUNCTION("""COMPUTED_VALUE"""),-11.059343513011441)</f>
        <v>-11.05934351</v>
      </c>
      <c r="K856" s="30"/>
      <c r="L856" s="30"/>
      <c r="M856" s="30"/>
      <c r="N856" s="30"/>
      <c r="O856" s="30">
        <f>IFERROR(__xludf.DUMMYFUNCTION("""COMPUTED_VALUE"""),-2.630874715592867)</f>
        <v>-2.630874716</v>
      </c>
      <c r="P856" s="30">
        <f>IFERROR(__xludf.DUMMYFUNCTION("""COMPUTED_VALUE"""),4.463999088063446)</f>
        <v>4.463999088</v>
      </c>
      <c r="Q856" s="30"/>
      <c r="R856" s="30"/>
      <c r="S856" s="30"/>
      <c r="T856" s="30"/>
      <c r="U856" s="30">
        <v>0.0</v>
      </c>
      <c r="V856" s="30"/>
      <c r="W856" s="30"/>
      <c r="X856" s="30"/>
      <c r="Y856" s="5">
        <f>IFERROR(__xludf.DUMMYFUNCTION("""COMPUTED_VALUE"""),80.0)</f>
        <v>80</v>
      </c>
      <c r="Z856" s="5">
        <f>IFERROR(__xludf.DUMMYFUNCTION("""COMPUTED_VALUE"""),80.0)</f>
        <v>80</v>
      </c>
    </row>
    <row r="857">
      <c r="A857" s="30" t="s">
        <v>1989</v>
      </c>
      <c r="B857" s="30">
        <f>IFERROR(__xludf.DUMMYFUNCTION("""COMPUTED_VALUE"""),81.0)</f>
        <v>81</v>
      </c>
      <c r="C857" s="30"/>
      <c r="D857" s="30"/>
      <c r="E857" s="30"/>
      <c r="F857" s="30"/>
      <c r="G857" s="30"/>
      <c r="H857" s="30"/>
      <c r="I857" s="30"/>
      <c r="J857" s="30">
        <f>IFERROR(__xludf.DUMMYFUNCTION("""COMPUTED_VALUE"""),-11.059343513011441)</f>
        <v>-11.05934351</v>
      </c>
      <c r="K857" s="30"/>
      <c r="L857" s="30"/>
      <c r="M857" s="30"/>
      <c r="N857" s="30"/>
      <c r="O857" s="30">
        <f>IFERROR(__xludf.DUMMYFUNCTION("""COMPUTED_VALUE"""),-2.630874715592867)</f>
        <v>-2.630874716</v>
      </c>
      <c r="P857" s="30">
        <f>IFERROR(__xludf.DUMMYFUNCTION("""COMPUTED_VALUE"""),4.463999088063446)</f>
        <v>4.463999088</v>
      </c>
      <c r="Q857" s="30"/>
      <c r="R857" s="30"/>
      <c r="S857" s="30"/>
      <c r="T857" s="30"/>
      <c r="U857" s="30">
        <v>0.0</v>
      </c>
      <c r="V857" s="30"/>
      <c r="W857" s="30"/>
      <c r="X857" s="30"/>
      <c r="Y857" s="5">
        <f>IFERROR(__xludf.DUMMYFUNCTION("""COMPUTED_VALUE"""),81.0)</f>
        <v>81</v>
      </c>
      <c r="Z857" s="5">
        <f>IFERROR(__xludf.DUMMYFUNCTION("""COMPUTED_VALUE"""),81.0)</f>
        <v>81</v>
      </c>
    </row>
    <row r="858">
      <c r="A858" s="30" t="s">
        <v>1450</v>
      </c>
      <c r="B858" s="30">
        <f>IFERROR(__xludf.DUMMYFUNCTION("""COMPUTED_VALUE"""),80.0)</f>
        <v>80</v>
      </c>
      <c r="C858" s="30"/>
      <c r="D858" s="30"/>
      <c r="E858" s="30"/>
      <c r="F858" s="30"/>
      <c r="G858" s="30"/>
      <c r="H858" s="30"/>
      <c r="I858" s="30"/>
      <c r="J858" s="30">
        <f>IFERROR(__xludf.DUMMYFUNCTION("""COMPUTED_VALUE"""),-11.059343513011441)</f>
        <v>-11.05934351</v>
      </c>
      <c r="K858" s="30"/>
      <c r="L858" s="30"/>
      <c r="M858" s="30"/>
      <c r="N858" s="30"/>
      <c r="O858" s="30">
        <f>IFERROR(__xludf.DUMMYFUNCTION("""COMPUTED_VALUE"""),-2.630874715592867)</f>
        <v>-2.630874716</v>
      </c>
      <c r="P858" s="30">
        <f>IFERROR(__xludf.DUMMYFUNCTION("""COMPUTED_VALUE"""),4.463999088063446)</f>
        <v>4.463999088</v>
      </c>
      <c r="Q858" s="30"/>
      <c r="R858" s="30"/>
      <c r="S858" s="30"/>
      <c r="T858" s="30"/>
      <c r="U858" s="30">
        <v>0.0</v>
      </c>
      <c r="V858" s="30"/>
      <c r="W858" s="30"/>
      <c r="X858" s="30"/>
      <c r="Y858" s="5">
        <f>IFERROR(__xludf.DUMMYFUNCTION("""COMPUTED_VALUE"""),80.0)</f>
        <v>80</v>
      </c>
      <c r="Z858" s="5">
        <f>IFERROR(__xludf.DUMMYFUNCTION("""COMPUTED_VALUE"""),80.0)</f>
        <v>80</v>
      </c>
    </row>
    <row r="859">
      <c r="A859" s="30" t="s">
        <v>2712</v>
      </c>
      <c r="B859" s="30">
        <f>IFERROR(__xludf.DUMMYFUNCTION("""COMPUTED_VALUE"""),84.0)</f>
        <v>84</v>
      </c>
      <c r="C859" s="30"/>
      <c r="D859" s="30"/>
      <c r="E859" s="30"/>
      <c r="F859" s="30"/>
      <c r="G859" s="30"/>
      <c r="H859" s="30"/>
      <c r="I859" s="30"/>
      <c r="J859" s="30">
        <f>IFERROR(__xludf.DUMMYFUNCTION("""COMPUTED_VALUE"""),-11.059343513011441)</f>
        <v>-11.05934351</v>
      </c>
      <c r="K859" s="30"/>
      <c r="L859" s="30"/>
      <c r="M859" s="30"/>
      <c r="N859" s="30"/>
      <c r="O859" s="30">
        <f>IFERROR(__xludf.DUMMYFUNCTION("""COMPUTED_VALUE"""),-2.630874715592867)</f>
        <v>-2.630874716</v>
      </c>
      <c r="P859" s="30">
        <f>IFERROR(__xludf.DUMMYFUNCTION("""COMPUTED_VALUE"""),4.463999088063446)</f>
        <v>4.463999088</v>
      </c>
      <c r="Q859" s="30"/>
      <c r="R859" s="30"/>
      <c r="S859" s="30"/>
      <c r="T859" s="30"/>
      <c r="U859" s="30">
        <v>0.0</v>
      </c>
      <c r="V859" s="30"/>
      <c r="W859" s="30"/>
      <c r="X859" s="30"/>
      <c r="Y859" s="5">
        <f>IFERROR(__xludf.DUMMYFUNCTION("""COMPUTED_VALUE"""),84.0)</f>
        <v>84</v>
      </c>
      <c r="Z859" s="5">
        <f>IFERROR(__xludf.DUMMYFUNCTION("""COMPUTED_VALUE"""),84.0)</f>
        <v>84</v>
      </c>
    </row>
    <row r="860">
      <c r="A860" s="30" t="s">
        <v>2713</v>
      </c>
      <c r="B860" s="30">
        <f>IFERROR(__xludf.DUMMYFUNCTION("""COMPUTED_VALUE"""),82.0)</f>
        <v>82</v>
      </c>
      <c r="C860" s="30"/>
      <c r="D860" s="30"/>
      <c r="E860" s="30"/>
      <c r="F860" s="30"/>
      <c r="G860" s="30"/>
      <c r="H860" s="30"/>
      <c r="I860" s="30"/>
      <c r="J860" s="30">
        <f>IFERROR(__xludf.DUMMYFUNCTION("""COMPUTED_VALUE"""),-11.059343513011441)</f>
        <v>-11.05934351</v>
      </c>
      <c r="K860" s="30"/>
      <c r="L860" s="30"/>
      <c r="M860" s="30"/>
      <c r="N860" s="30"/>
      <c r="O860" s="30">
        <f>IFERROR(__xludf.DUMMYFUNCTION("""COMPUTED_VALUE"""),-2.630874715592867)</f>
        <v>-2.630874716</v>
      </c>
      <c r="P860" s="30">
        <f>IFERROR(__xludf.DUMMYFUNCTION("""COMPUTED_VALUE"""),4.463999088063446)</f>
        <v>4.463999088</v>
      </c>
      <c r="Q860" s="30"/>
      <c r="R860" s="30"/>
      <c r="S860" s="30"/>
      <c r="T860" s="30"/>
      <c r="U860" s="30">
        <v>0.0</v>
      </c>
      <c r="V860" s="30"/>
      <c r="W860" s="30"/>
      <c r="X860" s="30"/>
      <c r="Y860" s="5">
        <f>IFERROR(__xludf.DUMMYFUNCTION("""COMPUTED_VALUE"""),82.0)</f>
        <v>82</v>
      </c>
      <c r="Z860" s="5">
        <f>IFERROR(__xludf.DUMMYFUNCTION("""COMPUTED_VALUE"""),82.0)</f>
        <v>82</v>
      </c>
    </row>
    <row r="861">
      <c r="A861" s="30" t="s">
        <v>2714</v>
      </c>
      <c r="B861" s="30">
        <f>IFERROR(__xludf.DUMMYFUNCTION("""COMPUTED_VALUE"""),83.0)</f>
        <v>83</v>
      </c>
      <c r="C861" s="30"/>
      <c r="D861" s="30"/>
      <c r="E861" s="30"/>
      <c r="F861" s="30"/>
      <c r="G861" s="30"/>
      <c r="H861" s="30"/>
      <c r="I861" s="30"/>
      <c r="J861" s="30">
        <f>IFERROR(__xludf.DUMMYFUNCTION("""COMPUTED_VALUE"""),-11.059343513011441)</f>
        <v>-11.05934351</v>
      </c>
      <c r="K861" s="30"/>
      <c r="L861" s="30"/>
      <c r="M861" s="30"/>
      <c r="N861" s="30"/>
      <c r="O861" s="30">
        <f>IFERROR(__xludf.DUMMYFUNCTION("""COMPUTED_VALUE"""),-2.630874715592867)</f>
        <v>-2.630874716</v>
      </c>
      <c r="P861" s="30">
        <f>IFERROR(__xludf.DUMMYFUNCTION("""COMPUTED_VALUE"""),4.463999088063446)</f>
        <v>4.463999088</v>
      </c>
      <c r="Q861" s="30"/>
      <c r="R861" s="30"/>
      <c r="S861" s="30"/>
      <c r="T861" s="30"/>
      <c r="U861" s="30">
        <v>0.0</v>
      </c>
      <c r="V861" s="30"/>
      <c r="W861" s="30"/>
      <c r="X861" s="30"/>
      <c r="Y861" s="5">
        <f>IFERROR(__xludf.DUMMYFUNCTION("""COMPUTED_VALUE"""),83.0)</f>
        <v>83</v>
      </c>
      <c r="Z861" s="5">
        <f>IFERROR(__xludf.DUMMYFUNCTION("""COMPUTED_VALUE"""),83.0)</f>
        <v>83</v>
      </c>
    </row>
    <row r="862">
      <c r="A862" s="30" t="s">
        <v>2715</v>
      </c>
      <c r="B862" s="30">
        <f>IFERROR(__xludf.DUMMYFUNCTION("""COMPUTED_VALUE"""),83.0)</f>
        <v>83</v>
      </c>
      <c r="C862" s="30"/>
      <c r="D862" s="30"/>
      <c r="E862" s="30"/>
      <c r="F862" s="30"/>
      <c r="G862" s="30"/>
      <c r="H862" s="30"/>
      <c r="I862" s="30"/>
      <c r="J862" s="30">
        <f>IFERROR(__xludf.DUMMYFUNCTION("""COMPUTED_VALUE"""),-11.059343513011441)</f>
        <v>-11.05934351</v>
      </c>
      <c r="K862" s="30"/>
      <c r="L862" s="30"/>
      <c r="M862" s="30"/>
      <c r="N862" s="30"/>
      <c r="O862" s="30">
        <f>IFERROR(__xludf.DUMMYFUNCTION("""COMPUTED_VALUE"""),-2.630874715592867)</f>
        <v>-2.630874716</v>
      </c>
      <c r="P862" s="30">
        <f>IFERROR(__xludf.DUMMYFUNCTION("""COMPUTED_VALUE"""),4.463999088063446)</f>
        <v>4.463999088</v>
      </c>
      <c r="Q862" s="30"/>
      <c r="R862" s="30"/>
      <c r="S862" s="30"/>
      <c r="T862" s="30"/>
      <c r="U862" s="30">
        <v>0.0</v>
      </c>
      <c r="V862" s="30"/>
      <c r="W862" s="30"/>
      <c r="X862" s="30"/>
      <c r="Y862" s="5">
        <f>IFERROR(__xludf.DUMMYFUNCTION("""COMPUTED_VALUE"""),83.0)</f>
        <v>83</v>
      </c>
      <c r="Z862" s="5">
        <f>IFERROR(__xludf.DUMMYFUNCTION("""COMPUTED_VALUE"""),83.0)</f>
        <v>83</v>
      </c>
    </row>
    <row r="863">
      <c r="A863" s="30" t="s">
        <v>2716</v>
      </c>
      <c r="B863" s="30">
        <f>IFERROR(__xludf.DUMMYFUNCTION("""COMPUTED_VALUE"""),81.0)</f>
        <v>81</v>
      </c>
      <c r="C863" s="30"/>
      <c r="D863" s="30"/>
      <c r="E863" s="30"/>
      <c r="F863" s="30"/>
      <c r="G863" s="30"/>
      <c r="H863" s="30"/>
      <c r="I863" s="30"/>
      <c r="J863" s="30">
        <f>IFERROR(__xludf.DUMMYFUNCTION("""COMPUTED_VALUE"""),-11.059343513011441)</f>
        <v>-11.05934351</v>
      </c>
      <c r="K863" s="30"/>
      <c r="L863" s="30"/>
      <c r="M863" s="30"/>
      <c r="N863" s="30"/>
      <c r="O863" s="30">
        <f>IFERROR(__xludf.DUMMYFUNCTION("""COMPUTED_VALUE"""),-2.630874715592867)</f>
        <v>-2.630874716</v>
      </c>
      <c r="P863" s="30">
        <f>IFERROR(__xludf.DUMMYFUNCTION("""COMPUTED_VALUE"""),4.463999088063446)</f>
        <v>4.463999088</v>
      </c>
      <c r="Q863" s="30"/>
      <c r="R863" s="30"/>
      <c r="S863" s="30"/>
      <c r="T863" s="30"/>
      <c r="U863" s="30">
        <v>0.0</v>
      </c>
      <c r="V863" s="30"/>
      <c r="W863" s="30"/>
      <c r="X863" s="30"/>
      <c r="Y863" s="5">
        <f>IFERROR(__xludf.DUMMYFUNCTION("""COMPUTED_VALUE"""),81.0)</f>
        <v>81</v>
      </c>
      <c r="Z863" s="5">
        <f>IFERROR(__xludf.DUMMYFUNCTION("""COMPUTED_VALUE"""),81.0)</f>
        <v>81</v>
      </c>
    </row>
    <row r="864">
      <c r="A864" s="30" t="s">
        <v>2717</v>
      </c>
      <c r="B864" s="30">
        <f>IFERROR(__xludf.DUMMYFUNCTION("""COMPUTED_VALUE"""),82.0)</f>
        <v>82</v>
      </c>
      <c r="C864" s="30"/>
      <c r="D864" s="30"/>
      <c r="E864" s="30"/>
      <c r="F864" s="30"/>
      <c r="G864" s="30"/>
      <c r="H864" s="30"/>
      <c r="I864" s="30"/>
      <c r="J864" s="30">
        <f>IFERROR(__xludf.DUMMYFUNCTION("""COMPUTED_VALUE"""),-11.059343513011441)</f>
        <v>-11.05934351</v>
      </c>
      <c r="K864" s="30"/>
      <c r="L864" s="30"/>
      <c r="M864" s="30"/>
      <c r="N864" s="30"/>
      <c r="O864" s="30">
        <f>IFERROR(__xludf.DUMMYFUNCTION("""COMPUTED_VALUE"""),-2.630874715592867)</f>
        <v>-2.630874716</v>
      </c>
      <c r="P864" s="30">
        <f>IFERROR(__xludf.DUMMYFUNCTION("""COMPUTED_VALUE"""),4.463999088063446)</f>
        <v>4.463999088</v>
      </c>
      <c r="Q864" s="30"/>
      <c r="R864" s="30"/>
      <c r="S864" s="30"/>
      <c r="T864" s="30"/>
      <c r="U864" s="30">
        <v>0.0</v>
      </c>
      <c r="V864" s="30"/>
      <c r="W864" s="30"/>
      <c r="X864" s="30"/>
      <c r="Y864" s="5">
        <f>IFERROR(__xludf.DUMMYFUNCTION("""COMPUTED_VALUE"""),82.0)</f>
        <v>82</v>
      </c>
      <c r="Z864" s="5">
        <f>IFERROR(__xludf.DUMMYFUNCTION("""COMPUTED_VALUE"""),82.0)</f>
        <v>82</v>
      </c>
    </row>
    <row r="865">
      <c r="A865" s="30" t="s">
        <v>2718</v>
      </c>
      <c r="B865" s="30">
        <f>IFERROR(__xludf.DUMMYFUNCTION("""COMPUTED_VALUE"""),83.0)</f>
        <v>83</v>
      </c>
      <c r="C865" s="30"/>
      <c r="D865" s="30"/>
      <c r="E865" s="30"/>
      <c r="F865" s="30"/>
      <c r="G865" s="30"/>
      <c r="H865" s="30"/>
      <c r="I865" s="30"/>
      <c r="J865" s="30">
        <f>IFERROR(__xludf.DUMMYFUNCTION("""COMPUTED_VALUE"""),-11.059343513011441)</f>
        <v>-11.05934351</v>
      </c>
      <c r="K865" s="30"/>
      <c r="L865" s="30"/>
      <c r="M865" s="30"/>
      <c r="N865" s="30"/>
      <c r="O865" s="30">
        <f>IFERROR(__xludf.DUMMYFUNCTION("""COMPUTED_VALUE"""),-2.630874715592867)</f>
        <v>-2.630874716</v>
      </c>
      <c r="P865" s="30">
        <f>IFERROR(__xludf.DUMMYFUNCTION("""COMPUTED_VALUE"""),4.463999088063446)</f>
        <v>4.463999088</v>
      </c>
      <c r="Q865" s="30"/>
      <c r="R865" s="30"/>
      <c r="S865" s="30"/>
      <c r="T865" s="30"/>
      <c r="U865" s="30">
        <v>0.0</v>
      </c>
      <c r="V865" s="30"/>
      <c r="W865" s="30"/>
      <c r="X865" s="30"/>
      <c r="Y865" s="5">
        <f>IFERROR(__xludf.DUMMYFUNCTION("""COMPUTED_VALUE"""),82.0)</f>
        <v>82</v>
      </c>
      <c r="Z865" s="5">
        <f>IFERROR(__xludf.DUMMYFUNCTION("""COMPUTED_VALUE"""),84.0)</f>
        <v>84</v>
      </c>
    </row>
    <row r="866">
      <c r="A866" s="30" t="s">
        <v>2721</v>
      </c>
      <c r="B866" s="30">
        <f>IFERROR(__xludf.DUMMYFUNCTION("""COMPUTED_VALUE"""),79.0)</f>
        <v>79</v>
      </c>
      <c r="C866" s="30"/>
      <c r="D866" s="30"/>
      <c r="E866" s="30"/>
      <c r="F866" s="30"/>
      <c r="G866" s="30"/>
      <c r="H866" s="30"/>
      <c r="I866" s="30"/>
      <c r="J866" s="30">
        <f>IFERROR(__xludf.DUMMYFUNCTION("""COMPUTED_VALUE"""),-11.059343513011441)</f>
        <v>-11.05934351</v>
      </c>
      <c r="K866" s="30"/>
      <c r="L866" s="30"/>
      <c r="M866" s="30"/>
      <c r="N866" s="30"/>
      <c r="O866" s="30">
        <f>IFERROR(__xludf.DUMMYFUNCTION("""COMPUTED_VALUE"""),-2.630874715592867)</f>
        <v>-2.630874716</v>
      </c>
      <c r="P866" s="30">
        <f>IFERROR(__xludf.DUMMYFUNCTION("""COMPUTED_VALUE"""),4.463999088063446)</f>
        <v>4.463999088</v>
      </c>
      <c r="Q866" s="30"/>
      <c r="R866" s="30"/>
      <c r="S866" s="30"/>
      <c r="T866" s="30"/>
      <c r="U866" s="30">
        <v>0.0</v>
      </c>
      <c r="V866" s="30"/>
      <c r="W866" s="30"/>
      <c r="X866" s="30"/>
      <c r="Y866" s="5">
        <f>IFERROR(__xludf.DUMMYFUNCTION("""COMPUTED_VALUE"""),79.0)</f>
        <v>79</v>
      </c>
      <c r="Z866" s="5">
        <f>IFERROR(__xludf.DUMMYFUNCTION("""COMPUTED_VALUE"""),79.0)</f>
        <v>79</v>
      </c>
    </row>
    <row r="867">
      <c r="A867" s="30" t="s">
        <v>2722</v>
      </c>
      <c r="B867" s="30">
        <f>IFERROR(__xludf.DUMMYFUNCTION("""COMPUTED_VALUE"""),81.0)</f>
        <v>81</v>
      </c>
      <c r="C867" s="30"/>
      <c r="D867" s="30"/>
      <c r="E867" s="30"/>
      <c r="F867" s="30"/>
      <c r="G867" s="30"/>
      <c r="H867" s="30"/>
      <c r="I867" s="30"/>
      <c r="J867" s="30">
        <f>IFERROR(__xludf.DUMMYFUNCTION("""COMPUTED_VALUE"""),-11.059343513011441)</f>
        <v>-11.05934351</v>
      </c>
      <c r="K867" s="30"/>
      <c r="L867" s="30"/>
      <c r="M867" s="30"/>
      <c r="N867" s="30"/>
      <c r="O867" s="30">
        <f>IFERROR(__xludf.DUMMYFUNCTION("""COMPUTED_VALUE"""),-2.630874715592867)</f>
        <v>-2.630874716</v>
      </c>
      <c r="P867" s="30">
        <f>IFERROR(__xludf.DUMMYFUNCTION("""COMPUTED_VALUE"""),4.463999088063446)</f>
        <v>4.463999088</v>
      </c>
      <c r="Q867" s="30"/>
      <c r="R867" s="30"/>
      <c r="S867" s="30"/>
      <c r="T867" s="30"/>
      <c r="U867" s="30">
        <v>0.0</v>
      </c>
      <c r="V867" s="30"/>
      <c r="W867" s="30"/>
      <c r="X867" s="30"/>
      <c r="Y867" s="5">
        <f>IFERROR(__xludf.DUMMYFUNCTION("""COMPUTED_VALUE"""),81.0)</f>
        <v>81</v>
      </c>
      <c r="Z867" s="5">
        <f>IFERROR(__xludf.DUMMYFUNCTION("""COMPUTED_VALUE"""),81.0)</f>
        <v>81</v>
      </c>
    </row>
    <row r="868">
      <c r="A868" s="30" t="s">
        <v>2723</v>
      </c>
      <c r="B868" s="30">
        <f>IFERROR(__xludf.DUMMYFUNCTION("""COMPUTED_VALUE"""),82.0)</f>
        <v>82</v>
      </c>
      <c r="C868" s="30"/>
      <c r="D868" s="30"/>
      <c r="E868" s="30"/>
      <c r="F868" s="30"/>
      <c r="G868" s="30"/>
      <c r="H868" s="30"/>
      <c r="I868" s="30"/>
      <c r="J868" s="30">
        <f>IFERROR(__xludf.DUMMYFUNCTION("""COMPUTED_VALUE"""),-11.059343513011441)</f>
        <v>-11.05934351</v>
      </c>
      <c r="K868" s="30"/>
      <c r="L868" s="30"/>
      <c r="M868" s="30"/>
      <c r="N868" s="30"/>
      <c r="O868" s="30">
        <f>IFERROR(__xludf.DUMMYFUNCTION("""COMPUTED_VALUE"""),-2.630874715592867)</f>
        <v>-2.630874716</v>
      </c>
      <c r="P868" s="30">
        <f>IFERROR(__xludf.DUMMYFUNCTION("""COMPUTED_VALUE"""),4.463999088063446)</f>
        <v>4.463999088</v>
      </c>
      <c r="Q868" s="30"/>
      <c r="R868" s="30"/>
      <c r="S868" s="30"/>
      <c r="T868" s="30"/>
      <c r="U868" s="30">
        <v>0.0</v>
      </c>
      <c r="V868" s="30"/>
      <c r="W868" s="30"/>
      <c r="X868" s="30"/>
      <c r="Y868" s="5">
        <f>IFERROR(__xludf.DUMMYFUNCTION("""COMPUTED_VALUE"""),82.0)</f>
        <v>82</v>
      </c>
      <c r="Z868" s="5">
        <f>IFERROR(__xludf.DUMMYFUNCTION("""COMPUTED_VALUE"""),82.0)</f>
        <v>82</v>
      </c>
    </row>
    <row r="869">
      <c r="A869" s="30" t="s">
        <v>2724</v>
      </c>
      <c r="B869" s="30">
        <f>IFERROR(__xludf.DUMMYFUNCTION("""COMPUTED_VALUE"""),83.0)</f>
        <v>83</v>
      </c>
      <c r="C869" s="30"/>
      <c r="D869" s="30"/>
      <c r="E869" s="30"/>
      <c r="F869" s="30"/>
      <c r="G869" s="30"/>
      <c r="H869" s="30"/>
      <c r="I869" s="30"/>
      <c r="J869" s="30">
        <f>IFERROR(__xludf.DUMMYFUNCTION("""COMPUTED_VALUE"""),-11.059343513011441)</f>
        <v>-11.05934351</v>
      </c>
      <c r="K869" s="30"/>
      <c r="L869" s="30"/>
      <c r="M869" s="30"/>
      <c r="N869" s="30"/>
      <c r="O869" s="30">
        <f>IFERROR(__xludf.DUMMYFUNCTION("""COMPUTED_VALUE"""),-2.630874715592867)</f>
        <v>-2.630874716</v>
      </c>
      <c r="P869" s="30">
        <f>IFERROR(__xludf.DUMMYFUNCTION("""COMPUTED_VALUE"""),4.463999088063446)</f>
        <v>4.463999088</v>
      </c>
      <c r="Q869" s="30"/>
      <c r="R869" s="30"/>
      <c r="S869" s="30"/>
      <c r="T869" s="30"/>
      <c r="U869" s="30">
        <v>0.0</v>
      </c>
      <c r="V869" s="30"/>
      <c r="W869" s="30"/>
      <c r="X869" s="30"/>
      <c r="Y869" s="5">
        <f>IFERROR(__xludf.DUMMYFUNCTION("""COMPUTED_VALUE"""),83.0)</f>
        <v>83</v>
      </c>
      <c r="Z869" s="5">
        <f>IFERROR(__xludf.DUMMYFUNCTION("""COMPUTED_VALUE"""),83.0)</f>
        <v>83</v>
      </c>
    </row>
    <row r="870">
      <c r="A870" s="30" t="s">
        <v>1437</v>
      </c>
      <c r="B870" s="30">
        <f>IFERROR(__xludf.DUMMYFUNCTION("""COMPUTED_VALUE"""),82.0)</f>
        <v>82</v>
      </c>
      <c r="C870" s="30"/>
      <c r="D870" s="30"/>
      <c r="E870" s="30"/>
      <c r="F870" s="30"/>
      <c r="G870" s="30"/>
      <c r="H870" s="30"/>
      <c r="I870" s="30"/>
      <c r="J870" s="30">
        <f>IFERROR(__xludf.DUMMYFUNCTION("""COMPUTED_VALUE"""),-11.059343513011441)</f>
        <v>-11.05934351</v>
      </c>
      <c r="K870" s="30"/>
      <c r="L870" s="30"/>
      <c r="M870" s="30"/>
      <c r="N870" s="30"/>
      <c r="O870" s="30">
        <f>IFERROR(__xludf.DUMMYFUNCTION("""COMPUTED_VALUE"""),-2.630874715592867)</f>
        <v>-2.630874716</v>
      </c>
      <c r="P870" s="30">
        <f>IFERROR(__xludf.DUMMYFUNCTION("""COMPUTED_VALUE"""),4.463999088063446)</f>
        <v>4.463999088</v>
      </c>
      <c r="Q870" s="30"/>
      <c r="R870" s="30"/>
      <c r="S870" s="30"/>
      <c r="T870" s="30"/>
      <c r="U870" s="30">
        <v>0.0</v>
      </c>
      <c r="V870" s="30"/>
      <c r="W870" s="30"/>
      <c r="X870" s="30"/>
      <c r="Y870" s="5">
        <f>IFERROR(__xludf.DUMMYFUNCTION("""COMPUTED_VALUE"""),82.0)</f>
        <v>82</v>
      </c>
      <c r="Z870" s="5">
        <f>IFERROR(__xludf.DUMMYFUNCTION("""COMPUTED_VALUE"""),82.0)</f>
        <v>82</v>
      </c>
    </row>
    <row r="871">
      <c r="A871" s="30" t="s">
        <v>2725</v>
      </c>
      <c r="B871" s="30">
        <f>IFERROR(__xludf.DUMMYFUNCTION("""COMPUTED_VALUE"""),84.0)</f>
        <v>84</v>
      </c>
      <c r="C871" s="30"/>
      <c r="D871" s="30"/>
      <c r="E871" s="30"/>
      <c r="F871" s="30"/>
      <c r="G871" s="30"/>
      <c r="H871" s="30"/>
      <c r="I871" s="30"/>
      <c r="J871" s="30">
        <f>IFERROR(__xludf.DUMMYFUNCTION("""COMPUTED_VALUE"""),-11.059343513011441)</f>
        <v>-11.05934351</v>
      </c>
      <c r="K871" s="30"/>
      <c r="L871" s="30"/>
      <c r="M871" s="30"/>
      <c r="N871" s="30"/>
      <c r="O871" s="30">
        <f>IFERROR(__xludf.DUMMYFUNCTION("""COMPUTED_VALUE"""),-2.630874715592867)</f>
        <v>-2.630874716</v>
      </c>
      <c r="P871" s="30">
        <f>IFERROR(__xludf.DUMMYFUNCTION("""COMPUTED_VALUE"""),4.463999088063446)</f>
        <v>4.463999088</v>
      </c>
      <c r="Q871" s="30"/>
      <c r="R871" s="30"/>
      <c r="S871" s="30"/>
      <c r="T871" s="30"/>
      <c r="U871" s="30">
        <v>0.0</v>
      </c>
      <c r="V871" s="30"/>
      <c r="W871" s="30"/>
      <c r="X871" s="30"/>
      <c r="Y871" s="5">
        <f>IFERROR(__xludf.DUMMYFUNCTION("""COMPUTED_VALUE"""),84.0)</f>
        <v>84</v>
      </c>
      <c r="Z871" s="5">
        <f>IFERROR(__xludf.DUMMYFUNCTION("""COMPUTED_VALUE"""),84.0)</f>
        <v>84</v>
      </c>
    </row>
    <row r="872">
      <c r="A872" s="30" t="s">
        <v>2726</v>
      </c>
      <c r="B872" s="30">
        <f>IFERROR(__xludf.DUMMYFUNCTION("""COMPUTED_VALUE"""),80.0)</f>
        <v>80</v>
      </c>
      <c r="C872" s="30"/>
      <c r="D872" s="30"/>
      <c r="E872" s="30"/>
      <c r="F872" s="30"/>
      <c r="G872" s="30"/>
      <c r="H872" s="30"/>
      <c r="I872" s="30"/>
      <c r="J872" s="30">
        <f>IFERROR(__xludf.DUMMYFUNCTION("""COMPUTED_VALUE"""),-11.059343513011441)</f>
        <v>-11.05934351</v>
      </c>
      <c r="K872" s="30"/>
      <c r="L872" s="30"/>
      <c r="M872" s="30"/>
      <c r="N872" s="30"/>
      <c r="O872" s="30">
        <f>IFERROR(__xludf.DUMMYFUNCTION("""COMPUTED_VALUE"""),-2.630874715592867)</f>
        <v>-2.630874716</v>
      </c>
      <c r="P872" s="30">
        <f>IFERROR(__xludf.DUMMYFUNCTION("""COMPUTED_VALUE"""),4.463999088063446)</f>
        <v>4.463999088</v>
      </c>
      <c r="Q872" s="30"/>
      <c r="R872" s="30"/>
      <c r="S872" s="30"/>
      <c r="T872" s="30"/>
      <c r="U872" s="30">
        <v>0.0</v>
      </c>
      <c r="V872" s="30"/>
      <c r="W872" s="30"/>
      <c r="X872" s="30"/>
      <c r="Y872" s="5">
        <f>IFERROR(__xludf.DUMMYFUNCTION("""COMPUTED_VALUE"""),80.0)</f>
        <v>80</v>
      </c>
      <c r="Z872" s="5">
        <f>IFERROR(__xludf.DUMMYFUNCTION("""COMPUTED_VALUE"""),80.0)</f>
        <v>80</v>
      </c>
    </row>
    <row r="873">
      <c r="A873" s="30" t="s">
        <v>2727</v>
      </c>
      <c r="B873" s="30">
        <f>IFERROR(__xludf.DUMMYFUNCTION("""COMPUTED_VALUE"""),83.0)</f>
        <v>83</v>
      </c>
      <c r="C873" s="30"/>
      <c r="D873" s="30"/>
      <c r="E873" s="30"/>
      <c r="F873" s="30"/>
      <c r="G873" s="30"/>
      <c r="H873" s="30"/>
      <c r="I873" s="30"/>
      <c r="J873" s="30">
        <f>IFERROR(__xludf.DUMMYFUNCTION("""COMPUTED_VALUE"""),-11.059343513011441)</f>
        <v>-11.05934351</v>
      </c>
      <c r="K873" s="30"/>
      <c r="L873" s="30"/>
      <c r="M873" s="30"/>
      <c r="N873" s="30"/>
      <c r="O873" s="30">
        <f>IFERROR(__xludf.DUMMYFUNCTION("""COMPUTED_VALUE"""),-2.630874715592867)</f>
        <v>-2.630874716</v>
      </c>
      <c r="P873" s="30">
        <f>IFERROR(__xludf.DUMMYFUNCTION("""COMPUTED_VALUE"""),4.463999088063446)</f>
        <v>4.463999088</v>
      </c>
      <c r="Q873" s="30"/>
      <c r="R873" s="30"/>
      <c r="S873" s="30"/>
      <c r="T873" s="30"/>
      <c r="U873" s="30">
        <v>0.0</v>
      </c>
      <c r="V873" s="30"/>
      <c r="W873" s="30"/>
      <c r="X873" s="30"/>
      <c r="Y873" s="5">
        <f>IFERROR(__xludf.DUMMYFUNCTION("""COMPUTED_VALUE"""),83.0)</f>
        <v>83</v>
      </c>
      <c r="Z873" s="5">
        <f>IFERROR(__xludf.DUMMYFUNCTION("""COMPUTED_VALUE"""),83.0)</f>
        <v>83</v>
      </c>
    </row>
    <row r="874">
      <c r="A874" s="30" t="s">
        <v>2728</v>
      </c>
      <c r="B874" s="30">
        <f>IFERROR(__xludf.DUMMYFUNCTION("""COMPUTED_VALUE"""),84.0)</f>
        <v>84</v>
      </c>
      <c r="C874" s="30"/>
      <c r="D874" s="30"/>
      <c r="E874" s="30"/>
      <c r="F874" s="30"/>
      <c r="G874" s="30"/>
      <c r="H874" s="30"/>
      <c r="I874" s="30"/>
      <c r="J874" s="30">
        <f>IFERROR(__xludf.DUMMYFUNCTION("""COMPUTED_VALUE"""),-11.059343513011441)</f>
        <v>-11.05934351</v>
      </c>
      <c r="K874" s="30"/>
      <c r="L874" s="30"/>
      <c r="M874" s="30"/>
      <c r="N874" s="30"/>
      <c r="O874" s="30">
        <f>IFERROR(__xludf.DUMMYFUNCTION("""COMPUTED_VALUE"""),-2.630874715592867)</f>
        <v>-2.630874716</v>
      </c>
      <c r="P874" s="30">
        <f>IFERROR(__xludf.DUMMYFUNCTION("""COMPUTED_VALUE"""),4.463999088063446)</f>
        <v>4.463999088</v>
      </c>
      <c r="Q874" s="30"/>
      <c r="R874" s="30"/>
      <c r="S874" s="30"/>
      <c r="T874" s="30"/>
      <c r="U874" s="30">
        <v>0.0</v>
      </c>
      <c r="V874" s="30"/>
      <c r="W874" s="30"/>
      <c r="X874" s="30"/>
      <c r="Y874" s="5">
        <f>IFERROR(__xludf.DUMMYFUNCTION("""COMPUTED_VALUE"""),84.0)</f>
        <v>84</v>
      </c>
      <c r="Z874" s="5">
        <f>IFERROR(__xludf.DUMMYFUNCTION("""COMPUTED_VALUE"""),84.0)</f>
        <v>84</v>
      </c>
    </row>
    <row r="875">
      <c r="A875" s="30" t="s">
        <v>2729</v>
      </c>
      <c r="B875" s="30">
        <f>IFERROR(__xludf.DUMMYFUNCTION("""COMPUTED_VALUE"""),83.0)</f>
        <v>83</v>
      </c>
      <c r="C875" s="30"/>
      <c r="D875" s="30"/>
      <c r="E875" s="30"/>
      <c r="F875" s="30"/>
      <c r="G875" s="30"/>
      <c r="H875" s="30"/>
      <c r="I875" s="30"/>
      <c r="J875" s="30">
        <f>IFERROR(__xludf.DUMMYFUNCTION("""COMPUTED_VALUE"""),-11.059343513011441)</f>
        <v>-11.05934351</v>
      </c>
      <c r="K875" s="30"/>
      <c r="L875" s="30"/>
      <c r="M875" s="30"/>
      <c r="N875" s="30"/>
      <c r="O875" s="30">
        <f>IFERROR(__xludf.DUMMYFUNCTION("""COMPUTED_VALUE"""),-2.630874715592867)</f>
        <v>-2.630874716</v>
      </c>
      <c r="P875" s="30">
        <f>IFERROR(__xludf.DUMMYFUNCTION("""COMPUTED_VALUE"""),4.463999088063446)</f>
        <v>4.463999088</v>
      </c>
      <c r="Q875" s="30"/>
      <c r="R875" s="30"/>
      <c r="S875" s="30"/>
      <c r="T875" s="30"/>
      <c r="U875" s="30">
        <v>0.0</v>
      </c>
      <c r="V875" s="30"/>
      <c r="W875" s="30"/>
      <c r="X875" s="30"/>
      <c r="Y875" s="5">
        <f>IFERROR(__xludf.DUMMYFUNCTION("""COMPUTED_VALUE"""),82.0)</f>
        <v>82</v>
      </c>
      <c r="Z875" s="5">
        <f>IFERROR(__xludf.DUMMYFUNCTION("""COMPUTED_VALUE"""),84.0)</f>
        <v>84</v>
      </c>
    </row>
    <row r="876">
      <c r="A876" s="30" t="s">
        <v>2730</v>
      </c>
      <c r="B876" s="30">
        <f>IFERROR(__xludf.DUMMYFUNCTION("""COMPUTED_VALUE"""),83.0)</f>
        <v>83</v>
      </c>
      <c r="C876" s="30"/>
      <c r="D876" s="30"/>
      <c r="E876" s="30"/>
      <c r="F876" s="30"/>
      <c r="G876" s="30"/>
      <c r="H876" s="30"/>
      <c r="I876" s="30"/>
      <c r="J876" s="30">
        <f>IFERROR(__xludf.DUMMYFUNCTION("""COMPUTED_VALUE"""),-11.059343513011441)</f>
        <v>-11.05934351</v>
      </c>
      <c r="K876" s="30"/>
      <c r="L876" s="30"/>
      <c r="M876" s="30"/>
      <c r="N876" s="30"/>
      <c r="O876" s="30">
        <f>IFERROR(__xludf.DUMMYFUNCTION("""COMPUTED_VALUE"""),-2.630874715592867)</f>
        <v>-2.630874716</v>
      </c>
      <c r="P876" s="30">
        <f>IFERROR(__xludf.DUMMYFUNCTION("""COMPUTED_VALUE"""),4.463999088063446)</f>
        <v>4.463999088</v>
      </c>
      <c r="Q876" s="30"/>
      <c r="R876" s="30"/>
      <c r="S876" s="30"/>
      <c r="T876" s="30"/>
      <c r="U876" s="30">
        <v>0.0</v>
      </c>
      <c r="V876" s="30"/>
      <c r="W876" s="30"/>
      <c r="X876" s="30"/>
      <c r="Y876" s="5">
        <f>IFERROR(__xludf.DUMMYFUNCTION("""COMPUTED_VALUE"""),83.0)</f>
        <v>83</v>
      </c>
      <c r="Z876" s="5">
        <f>IFERROR(__xludf.DUMMYFUNCTION("""COMPUTED_VALUE"""),83.0)</f>
        <v>83</v>
      </c>
    </row>
    <row r="877">
      <c r="A877" s="30" t="s">
        <v>2731</v>
      </c>
      <c r="B877" s="30">
        <f>IFERROR(__xludf.DUMMYFUNCTION("""COMPUTED_VALUE"""),83.0)</f>
        <v>83</v>
      </c>
      <c r="C877" s="30"/>
      <c r="D877" s="30"/>
      <c r="E877" s="30"/>
      <c r="F877" s="30"/>
      <c r="G877" s="30"/>
      <c r="H877" s="30"/>
      <c r="I877" s="30"/>
      <c r="J877" s="30">
        <f>IFERROR(__xludf.DUMMYFUNCTION("""COMPUTED_VALUE"""),-11.059343513011441)</f>
        <v>-11.05934351</v>
      </c>
      <c r="K877" s="30"/>
      <c r="L877" s="30"/>
      <c r="M877" s="30"/>
      <c r="N877" s="30"/>
      <c r="O877" s="30">
        <f>IFERROR(__xludf.DUMMYFUNCTION("""COMPUTED_VALUE"""),-2.630874715592867)</f>
        <v>-2.630874716</v>
      </c>
      <c r="P877" s="30">
        <f>IFERROR(__xludf.DUMMYFUNCTION("""COMPUTED_VALUE"""),4.463999088063446)</f>
        <v>4.463999088</v>
      </c>
      <c r="Q877" s="30"/>
      <c r="R877" s="30"/>
      <c r="S877" s="30"/>
      <c r="T877" s="30"/>
      <c r="U877" s="30">
        <v>0.0</v>
      </c>
      <c r="V877" s="30"/>
      <c r="W877" s="30"/>
      <c r="X877" s="30"/>
      <c r="Y877" s="5">
        <f>IFERROR(__xludf.DUMMYFUNCTION("""COMPUTED_VALUE"""),83.0)</f>
        <v>83</v>
      </c>
      <c r="Z877" s="5">
        <f>IFERROR(__xludf.DUMMYFUNCTION("""COMPUTED_VALUE"""),83.0)</f>
        <v>83</v>
      </c>
    </row>
    <row r="878">
      <c r="A878" s="30" t="s">
        <v>2732</v>
      </c>
      <c r="B878" s="30">
        <f>IFERROR(__xludf.DUMMYFUNCTION("""COMPUTED_VALUE"""),81.0)</f>
        <v>81</v>
      </c>
      <c r="C878" s="30"/>
      <c r="D878" s="30"/>
      <c r="E878" s="30"/>
      <c r="F878" s="30"/>
      <c r="G878" s="30"/>
      <c r="H878" s="30"/>
      <c r="I878" s="30"/>
      <c r="J878" s="30">
        <f>IFERROR(__xludf.DUMMYFUNCTION("""COMPUTED_VALUE"""),-11.059343513011441)</f>
        <v>-11.05934351</v>
      </c>
      <c r="K878" s="30"/>
      <c r="L878" s="30"/>
      <c r="M878" s="30"/>
      <c r="N878" s="30"/>
      <c r="O878" s="30">
        <f>IFERROR(__xludf.DUMMYFUNCTION("""COMPUTED_VALUE"""),-2.630874715592867)</f>
        <v>-2.630874716</v>
      </c>
      <c r="P878" s="30">
        <f>IFERROR(__xludf.DUMMYFUNCTION("""COMPUTED_VALUE"""),4.463999088063446)</f>
        <v>4.463999088</v>
      </c>
      <c r="Q878" s="30"/>
      <c r="R878" s="30"/>
      <c r="S878" s="30"/>
      <c r="T878" s="30"/>
      <c r="U878" s="30">
        <v>0.0</v>
      </c>
      <c r="V878" s="30"/>
      <c r="W878" s="30"/>
      <c r="X878" s="30"/>
      <c r="Y878" s="5">
        <f>IFERROR(__xludf.DUMMYFUNCTION("""COMPUTED_VALUE"""),81.0)</f>
        <v>81</v>
      </c>
      <c r="Z878" s="5">
        <f>IFERROR(__xludf.DUMMYFUNCTION("""COMPUTED_VALUE"""),81.0)</f>
        <v>81</v>
      </c>
    </row>
    <row r="879">
      <c r="A879" s="30" t="s">
        <v>1707</v>
      </c>
      <c r="B879" s="30">
        <f>IFERROR(__xludf.DUMMYFUNCTION("""COMPUTED_VALUE"""),83.0)</f>
        <v>83</v>
      </c>
      <c r="C879" s="30"/>
      <c r="D879" s="30"/>
      <c r="E879" s="30"/>
      <c r="F879" s="30"/>
      <c r="G879" s="30"/>
      <c r="H879" s="30"/>
      <c r="I879" s="30"/>
      <c r="J879" s="30">
        <f>IFERROR(__xludf.DUMMYFUNCTION("""COMPUTED_VALUE"""),-11.059343513011441)</f>
        <v>-11.05934351</v>
      </c>
      <c r="K879" s="30"/>
      <c r="L879" s="30"/>
      <c r="M879" s="30"/>
      <c r="N879" s="30"/>
      <c r="O879" s="30">
        <f>IFERROR(__xludf.DUMMYFUNCTION("""COMPUTED_VALUE"""),-2.630874715592867)</f>
        <v>-2.630874716</v>
      </c>
      <c r="P879" s="30">
        <f>IFERROR(__xludf.DUMMYFUNCTION("""COMPUTED_VALUE"""),4.463999088063446)</f>
        <v>4.463999088</v>
      </c>
      <c r="Q879" s="30"/>
      <c r="R879" s="30"/>
      <c r="S879" s="30"/>
      <c r="T879" s="30"/>
      <c r="U879" s="30">
        <v>0.0</v>
      </c>
      <c r="V879" s="30"/>
      <c r="W879" s="30"/>
      <c r="X879" s="30"/>
      <c r="Y879" s="5">
        <f>IFERROR(__xludf.DUMMYFUNCTION("""COMPUTED_VALUE"""),83.0)</f>
        <v>83</v>
      </c>
      <c r="Z879" s="5">
        <f>IFERROR(__xludf.DUMMYFUNCTION("""COMPUTED_VALUE"""),83.0)</f>
        <v>83</v>
      </c>
    </row>
    <row r="880">
      <c r="A880" s="30" t="s">
        <v>1771</v>
      </c>
      <c r="B880" s="30">
        <f>IFERROR(__xludf.DUMMYFUNCTION("""COMPUTED_VALUE"""),83.0)</f>
        <v>83</v>
      </c>
      <c r="C880" s="30"/>
      <c r="D880" s="30"/>
      <c r="E880" s="30"/>
      <c r="F880" s="30"/>
      <c r="G880" s="30"/>
      <c r="H880" s="30"/>
      <c r="I880" s="30"/>
      <c r="J880" s="30">
        <f>IFERROR(__xludf.DUMMYFUNCTION("""COMPUTED_VALUE"""),-11.059343513011441)</f>
        <v>-11.05934351</v>
      </c>
      <c r="K880" s="30"/>
      <c r="L880" s="30"/>
      <c r="M880" s="30"/>
      <c r="N880" s="30"/>
      <c r="O880" s="30">
        <f>IFERROR(__xludf.DUMMYFUNCTION("""COMPUTED_VALUE"""),-2.630874715592867)</f>
        <v>-2.630874716</v>
      </c>
      <c r="P880" s="30">
        <f>IFERROR(__xludf.DUMMYFUNCTION("""COMPUTED_VALUE"""),4.463999088063446)</f>
        <v>4.463999088</v>
      </c>
      <c r="Q880" s="30"/>
      <c r="R880" s="30"/>
      <c r="S880" s="30"/>
      <c r="T880" s="30"/>
      <c r="U880" s="30">
        <v>0.0</v>
      </c>
      <c r="V880" s="30"/>
      <c r="W880" s="30"/>
      <c r="X880" s="30"/>
      <c r="Y880" s="5">
        <f>IFERROR(__xludf.DUMMYFUNCTION("""COMPUTED_VALUE"""),83.0)</f>
        <v>83</v>
      </c>
      <c r="Z880" s="5">
        <f>IFERROR(__xludf.DUMMYFUNCTION("""COMPUTED_VALUE"""),83.0)</f>
        <v>83</v>
      </c>
    </row>
    <row r="881">
      <c r="A881" s="30" t="s">
        <v>2735</v>
      </c>
      <c r="B881" s="30">
        <f>IFERROR(__xludf.DUMMYFUNCTION("""COMPUTED_VALUE"""),81.0)</f>
        <v>81</v>
      </c>
      <c r="C881" s="30"/>
      <c r="D881" s="30"/>
      <c r="E881" s="30"/>
      <c r="F881" s="30"/>
      <c r="G881" s="30"/>
      <c r="H881" s="30"/>
      <c r="I881" s="30"/>
      <c r="J881" s="30">
        <f>IFERROR(__xludf.DUMMYFUNCTION("""COMPUTED_VALUE"""),-11.059343513011441)</f>
        <v>-11.05934351</v>
      </c>
      <c r="K881" s="30"/>
      <c r="L881" s="30"/>
      <c r="M881" s="30"/>
      <c r="N881" s="30"/>
      <c r="O881" s="30">
        <f>IFERROR(__xludf.DUMMYFUNCTION("""COMPUTED_VALUE"""),-2.630874715592867)</f>
        <v>-2.630874716</v>
      </c>
      <c r="P881" s="30">
        <f>IFERROR(__xludf.DUMMYFUNCTION("""COMPUTED_VALUE"""),4.463999088063446)</f>
        <v>4.463999088</v>
      </c>
      <c r="Q881" s="30"/>
      <c r="R881" s="30"/>
      <c r="S881" s="30"/>
      <c r="T881" s="30"/>
      <c r="U881" s="30">
        <v>0.0</v>
      </c>
      <c r="V881" s="30"/>
      <c r="W881" s="30"/>
      <c r="X881" s="30"/>
      <c r="Y881" s="5">
        <f>IFERROR(__xludf.DUMMYFUNCTION("""COMPUTED_VALUE"""),81.0)</f>
        <v>81</v>
      </c>
      <c r="Z881" s="5">
        <f>IFERROR(__xludf.DUMMYFUNCTION("""COMPUTED_VALUE"""),81.0)</f>
        <v>81</v>
      </c>
    </row>
    <row r="882">
      <c r="A882" s="30" t="s">
        <v>2736</v>
      </c>
      <c r="B882" s="30">
        <f>IFERROR(__xludf.DUMMYFUNCTION("""COMPUTED_VALUE"""),82.0)</f>
        <v>82</v>
      </c>
      <c r="C882" s="30"/>
      <c r="D882" s="30"/>
      <c r="E882" s="30"/>
      <c r="F882" s="30"/>
      <c r="G882" s="30"/>
      <c r="H882" s="30"/>
      <c r="I882" s="30"/>
      <c r="J882" s="30">
        <f>IFERROR(__xludf.DUMMYFUNCTION("""COMPUTED_VALUE"""),-11.059343513011441)</f>
        <v>-11.05934351</v>
      </c>
      <c r="K882" s="30"/>
      <c r="L882" s="30"/>
      <c r="M882" s="30"/>
      <c r="N882" s="30"/>
      <c r="O882" s="30">
        <f>IFERROR(__xludf.DUMMYFUNCTION("""COMPUTED_VALUE"""),-2.630874715592867)</f>
        <v>-2.630874716</v>
      </c>
      <c r="P882" s="30">
        <f>IFERROR(__xludf.DUMMYFUNCTION("""COMPUTED_VALUE"""),4.463999088063446)</f>
        <v>4.463999088</v>
      </c>
      <c r="Q882" s="30"/>
      <c r="R882" s="30"/>
      <c r="S882" s="30"/>
      <c r="T882" s="30"/>
      <c r="U882" s="30">
        <v>0.0</v>
      </c>
      <c r="V882" s="30"/>
      <c r="W882" s="30"/>
      <c r="X882" s="30"/>
      <c r="Y882" s="5">
        <f>IFERROR(__xludf.DUMMYFUNCTION("""COMPUTED_VALUE"""),82.0)</f>
        <v>82</v>
      </c>
      <c r="Z882" s="5">
        <f>IFERROR(__xludf.DUMMYFUNCTION("""COMPUTED_VALUE"""),82.0)</f>
        <v>82</v>
      </c>
    </row>
    <row r="883">
      <c r="A883" s="30" t="s">
        <v>2737</v>
      </c>
      <c r="B883" s="30">
        <f>IFERROR(__xludf.DUMMYFUNCTION("""COMPUTED_VALUE"""),80.0)</f>
        <v>80</v>
      </c>
      <c r="C883" s="30"/>
      <c r="D883" s="30"/>
      <c r="E883" s="30"/>
      <c r="F883" s="30"/>
      <c r="G883" s="30"/>
      <c r="H883" s="30"/>
      <c r="I883" s="30"/>
      <c r="J883" s="30">
        <f>IFERROR(__xludf.DUMMYFUNCTION("""COMPUTED_VALUE"""),-11.059343513011441)</f>
        <v>-11.05934351</v>
      </c>
      <c r="K883" s="30"/>
      <c r="L883" s="30"/>
      <c r="M883" s="30"/>
      <c r="N883" s="30"/>
      <c r="O883" s="30">
        <f>IFERROR(__xludf.DUMMYFUNCTION("""COMPUTED_VALUE"""),-2.630874715592867)</f>
        <v>-2.630874716</v>
      </c>
      <c r="P883" s="30">
        <f>IFERROR(__xludf.DUMMYFUNCTION("""COMPUTED_VALUE"""),4.463999088063446)</f>
        <v>4.463999088</v>
      </c>
      <c r="Q883" s="30"/>
      <c r="R883" s="30"/>
      <c r="S883" s="30"/>
      <c r="T883" s="30"/>
      <c r="U883" s="30">
        <v>0.0</v>
      </c>
      <c r="V883" s="30"/>
      <c r="W883" s="30"/>
      <c r="X883" s="30"/>
      <c r="Y883" s="5">
        <f>IFERROR(__xludf.DUMMYFUNCTION("""COMPUTED_VALUE"""),80.0)</f>
        <v>80</v>
      </c>
      <c r="Z883" s="5">
        <f>IFERROR(__xludf.DUMMYFUNCTION("""COMPUTED_VALUE"""),80.0)</f>
        <v>80</v>
      </c>
    </row>
    <row r="884">
      <c r="A884" s="30" t="s">
        <v>2738</v>
      </c>
      <c r="B884" s="30">
        <f>IFERROR(__xludf.DUMMYFUNCTION("""COMPUTED_VALUE"""),80.5)</f>
        <v>80.5</v>
      </c>
      <c r="C884" s="30"/>
      <c r="D884" s="30"/>
      <c r="E884" s="30"/>
      <c r="F884" s="30"/>
      <c r="G884" s="30"/>
      <c r="H884" s="30"/>
      <c r="I884" s="30"/>
      <c r="J884" s="30">
        <f>IFERROR(__xludf.DUMMYFUNCTION("""COMPUTED_VALUE"""),-11.059343513011441)</f>
        <v>-11.05934351</v>
      </c>
      <c r="K884" s="30"/>
      <c r="L884" s="30"/>
      <c r="M884" s="30"/>
      <c r="N884" s="30"/>
      <c r="O884" s="30">
        <f>IFERROR(__xludf.DUMMYFUNCTION("""COMPUTED_VALUE"""),-2.630874715592867)</f>
        <v>-2.630874716</v>
      </c>
      <c r="P884" s="30">
        <f>IFERROR(__xludf.DUMMYFUNCTION("""COMPUTED_VALUE"""),4.463999088063446)</f>
        <v>4.463999088</v>
      </c>
      <c r="Q884" s="30"/>
      <c r="R884" s="30"/>
      <c r="S884" s="30"/>
      <c r="T884" s="30"/>
      <c r="U884" s="30">
        <v>0.0</v>
      </c>
      <c r="V884" s="30"/>
      <c r="W884" s="30"/>
      <c r="X884" s="30"/>
      <c r="Y884" s="5">
        <f>IFERROR(__xludf.DUMMYFUNCTION("""COMPUTED_VALUE"""),80.0)</f>
        <v>80</v>
      </c>
      <c r="Z884" s="5">
        <f>IFERROR(__xludf.DUMMYFUNCTION("""COMPUTED_VALUE"""),81.0)</f>
        <v>81</v>
      </c>
    </row>
    <row r="885">
      <c r="A885" s="30" t="s">
        <v>861</v>
      </c>
      <c r="B885" s="30">
        <f>IFERROR(__xludf.DUMMYFUNCTION("""COMPUTED_VALUE"""),81.0)</f>
        <v>81</v>
      </c>
      <c r="C885" s="30"/>
      <c r="D885" s="30"/>
      <c r="E885" s="30"/>
      <c r="F885" s="30"/>
      <c r="G885" s="30"/>
      <c r="H885" s="30"/>
      <c r="I885" s="30"/>
      <c r="J885" s="30">
        <f>IFERROR(__xludf.DUMMYFUNCTION("""COMPUTED_VALUE"""),-11.059343513011441)</f>
        <v>-11.05934351</v>
      </c>
      <c r="K885" s="30"/>
      <c r="L885" s="30"/>
      <c r="M885" s="30"/>
      <c r="N885" s="30"/>
      <c r="O885" s="30">
        <f>IFERROR(__xludf.DUMMYFUNCTION("""COMPUTED_VALUE"""),-2.630874715592867)</f>
        <v>-2.630874716</v>
      </c>
      <c r="P885" s="30">
        <f>IFERROR(__xludf.DUMMYFUNCTION("""COMPUTED_VALUE"""),4.463999088063446)</f>
        <v>4.463999088</v>
      </c>
      <c r="Q885" s="30"/>
      <c r="R885" s="30"/>
      <c r="S885" s="30"/>
      <c r="T885" s="30"/>
      <c r="U885" s="30">
        <v>0.0</v>
      </c>
      <c r="V885" s="30"/>
      <c r="W885" s="30"/>
      <c r="X885" s="30"/>
      <c r="Y885" s="5">
        <f>IFERROR(__xludf.DUMMYFUNCTION("""COMPUTED_VALUE"""),81.0)</f>
        <v>81</v>
      </c>
      <c r="Z885" s="5">
        <f>IFERROR(__xludf.DUMMYFUNCTION("""COMPUTED_VALUE"""),81.0)</f>
        <v>81</v>
      </c>
    </row>
    <row r="886">
      <c r="A886" s="30" t="s">
        <v>2741</v>
      </c>
      <c r="B886" s="30">
        <f>IFERROR(__xludf.DUMMYFUNCTION("""COMPUTED_VALUE"""),80.0)</f>
        <v>80</v>
      </c>
      <c r="C886" s="30"/>
      <c r="D886" s="30"/>
      <c r="E886" s="30"/>
      <c r="F886" s="30"/>
      <c r="G886" s="30"/>
      <c r="H886" s="30"/>
      <c r="I886" s="30"/>
      <c r="J886" s="30">
        <f>IFERROR(__xludf.DUMMYFUNCTION("""COMPUTED_VALUE"""),-11.059343513011441)</f>
        <v>-11.05934351</v>
      </c>
      <c r="K886" s="30"/>
      <c r="L886" s="30"/>
      <c r="M886" s="30"/>
      <c r="N886" s="30"/>
      <c r="O886" s="30">
        <f>IFERROR(__xludf.DUMMYFUNCTION("""COMPUTED_VALUE"""),-2.630874715592867)</f>
        <v>-2.630874716</v>
      </c>
      <c r="P886" s="30">
        <f>IFERROR(__xludf.DUMMYFUNCTION("""COMPUTED_VALUE"""),4.463999088063446)</f>
        <v>4.463999088</v>
      </c>
      <c r="Q886" s="30"/>
      <c r="R886" s="30"/>
      <c r="S886" s="30"/>
      <c r="T886" s="30"/>
      <c r="U886" s="30">
        <v>0.0</v>
      </c>
      <c r="V886" s="30"/>
      <c r="W886" s="30"/>
      <c r="X886" s="30"/>
      <c r="Y886" s="5">
        <f>IFERROR(__xludf.DUMMYFUNCTION("""COMPUTED_VALUE"""),80.0)</f>
        <v>80</v>
      </c>
      <c r="Z886" s="5">
        <f>IFERROR(__xludf.DUMMYFUNCTION("""COMPUTED_VALUE"""),80.0)</f>
        <v>80</v>
      </c>
    </row>
    <row r="887">
      <c r="A887" s="30" t="s">
        <v>560</v>
      </c>
      <c r="B887" s="30">
        <f>IFERROR(__xludf.DUMMYFUNCTION("""COMPUTED_VALUE"""),83.0)</f>
        <v>83</v>
      </c>
      <c r="C887" s="30"/>
      <c r="D887" s="30"/>
      <c r="E887" s="30"/>
      <c r="F887" s="30"/>
      <c r="G887" s="30"/>
      <c r="H887" s="30"/>
      <c r="I887" s="30"/>
      <c r="J887" s="30">
        <f>IFERROR(__xludf.DUMMYFUNCTION("""COMPUTED_VALUE"""),-11.059343513011441)</f>
        <v>-11.05934351</v>
      </c>
      <c r="K887" s="30"/>
      <c r="L887" s="30"/>
      <c r="M887" s="30"/>
      <c r="N887" s="30"/>
      <c r="O887" s="30">
        <f>IFERROR(__xludf.DUMMYFUNCTION("""COMPUTED_VALUE"""),-2.630874715592867)</f>
        <v>-2.630874716</v>
      </c>
      <c r="P887" s="30">
        <f>IFERROR(__xludf.DUMMYFUNCTION("""COMPUTED_VALUE"""),4.463999088063446)</f>
        <v>4.463999088</v>
      </c>
      <c r="Q887" s="30"/>
      <c r="R887" s="30"/>
      <c r="S887" s="30"/>
      <c r="T887" s="30"/>
      <c r="U887" s="30">
        <v>0.0</v>
      </c>
      <c r="V887" s="30"/>
      <c r="W887" s="30"/>
      <c r="X887" s="30"/>
      <c r="Y887" s="5">
        <f>IFERROR(__xludf.DUMMYFUNCTION("""COMPUTED_VALUE"""),83.0)</f>
        <v>83</v>
      </c>
      <c r="Z887" s="5">
        <f>IFERROR(__xludf.DUMMYFUNCTION("""COMPUTED_VALUE"""),83.0)</f>
        <v>83</v>
      </c>
    </row>
    <row r="888">
      <c r="A888" s="30" t="s">
        <v>2742</v>
      </c>
      <c r="B888" s="30">
        <f>IFERROR(__xludf.DUMMYFUNCTION("""COMPUTED_VALUE"""),83.0)</f>
        <v>83</v>
      </c>
      <c r="C888" s="30"/>
      <c r="D888" s="30"/>
      <c r="E888" s="30"/>
      <c r="F888" s="30"/>
      <c r="G888" s="30"/>
      <c r="H888" s="30"/>
      <c r="I888" s="30"/>
      <c r="J888" s="30">
        <f>IFERROR(__xludf.DUMMYFUNCTION("""COMPUTED_VALUE"""),-11.059343513011441)</f>
        <v>-11.05934351</v>
      </c>
      <c r="K888" s="30"/>
      <c r="L888" s="30"/>
      <c r="M888" s="30"/>
      <c r="N888" s="30"/>
      <c r="O888" s="30">
        <f>IFERROR(__xludf.DUMMYFUNCTION("""COMPUTED_VALUE"""),-2.630874715592867)</f>
        <v>-2.630874716</v>
      </c>
      <c r="P888" s="30">
        <f>IFERROR(__xludf.DUMMYFUNCTION("""COMPUTED_VALUE"""),4.463999088063446)</f>
        <v>4.463999088</v>
      </c>
      <c r="Q888" s="30"/>
      <c r="R888" s="30"/>
      <c r="S888" s="30"/>
      <c r="T888" s="30"/>
      <c r="U888" s="30">
        <v>0.0</v>
      </c>
      <c r="V888" s="30"/>
      <c r="W888" s="30"/>
      <c r="X888" s="30"/>
      <c r="Y888" s="5">
        <f>IFERROR(__xludf.DUMMYFUNCTION("""COMPUTED_VALUE"""),83.0)</f>
        <v>83</v>
      </c>
      <c r="Z888" s="5">
        <f>IFERROR(__xludf.DUMMYFUNCTION("""COMPUTED_VALUE"""),83.0)</f>
        <v>83</v>
      </c>
    </row>
    <row r="889">
      <c r="A889" s="30" t="s">
        <v>2743</v>
      </c>
      <c r="B889" s="30">
        <f>IFERROR(__xludf.DUMMYFUNCTION("""COMPUTED_VALUE"""),83.0)</f>
        <v>83</v>
      </c>
      <c r="C889" s="30"/>
      <c r="D889" s="30"/>
      <c r="E889" s="30"/>
      <c r="F889" s="30"/>
      <c r="G889" s="30"/>
      <c r="H889" s="30"/>
      <c r="I889" s="30"/>
      <c r="J889" s="30">
        <f>IFERROR(__xludf.DUMMYFUNCTION("""COMPUTED_VALUE"""),-11.059343513011441)</f>
        <v>-11.05934351</v>
      </c>
      <c r="K889" s="30"/>
      <c r="L889" s="30"/>
      <c r="M889" s="30"/>
      <c r="N889" s="30"/>
      <c r="O889" s="30">
        <f>IFERROR(__xludf.DUMMYFUNCTION("""COMPUTED_VALUE"""),-2.630874715592867)</f>
        <v>-2.630874716</v>
      </c>
      <c r="P889" s="30">
        <f>IFERROR(__xludf.DUMMYFUNCTION("""COMPUTED_VALUE"""),4.463999088063446)</f>
        <v>4.463999088</v>
      </c>
      <c r="Q889" s="30"/>
      <c r="R889" s="30"/>
      <c r="S889" s="30"/>
      <c r="T889" s="30"/>
      <c r="U889" s="30">
        <v>0.0</v>
      </c>
      <c r="V889" s="30"/>
      <c r="W889" s="30"/>
      <c r="X889" s="30"/>
      <c r="Y889" s="5">
        <f>IFERROR(__xludf.DUMMYFUNCTION("""COMPUTED_VALUE"""),83.0)</f>
        <v>83</v>
      </c>
      <c r="Z889" s="5">
        <f>IFERROR(__xludf.DUMMYFUNCTION("""COMPUTED_VALUE"""),83.0)</f>
        <v>83</v>
      </c>
    </row>
    <row r="890">
      <c r="A890" s="30" t="s">
        <v>2744</v>
      </c>
      <c r="B890" s="30">
        <f>IFERROR(__xludf.DUMMYFUNCTION("""COMPUTED_VALUE"""),84.0)</f>
        <v>84</v>
      </c>
      <c r="C890" s="30"/>
      <c r="D890" s="30"/>
      <c r="E890" s="30"/>
      <c r="F890" s="30"/>
      <c r="G890" s="30"/>
      <c r="H890" s="30"/>
      <c r="I890" s="30"/>
      <c r="J890" s="30">
        <f>IFERROR(__xludf.DUMMYFUNCTION("""COMPUTED_VALUE"""),-11.059343513011441)</f>
        <v>-11.05934351</v>
      </c>
      <c r="K890" s="30"/>
      <c r="L890" s="30"/>
      <c r="M890" s="30"/>
      <c r="N890" s="30"/>
      <c r="O890" s="30">
        <f>IFERROR(__xludf.DUMMYFUNCTION("""COMPUTED_VALUE"""),-2.630874715592867)</f>
        <v>-2.630874716</v>
      </c>
      <c r="P890" s="30">
        <f>IFERROR(__xludf.DUMMYFUNCTION("""COMPUTED_VALUE"""),4.463999088063446)</f>
        <v>4.463999088</v>
      </c>
      <c r="Q890" s="30"/>
      <c r="R890" s="30"/>
      <c r="S890" s="30"/>
      <c r="T890" s="30"/>
      <c r="U890" s="30">
        <v>0.0</v>
      </c>
      <c r="V890" s="30"/>
      <c r="W890" s="30"/>
      <c r="X890" s="30"/>
      <c r="Y890" s="5">
        <f>IFERROR(__xludf.DUMMYFUNCTION("""COMPUTED_VALUE"""),84.0)</f>
        <v>84</v>
      </c>
      <c r="Z890" s="5">
        <f>IFERROR(__xludf.DUMMYFUNCTION("""COMPUTED_VALUE"""),84.0)</f>
        <v>84</v>
      </c>
    </row>
    <row r="891">
      <c r="A891" s="30" t="s">
        <v>2745</v>
      </c>
      <c r="B891" s="30">
        <f>IFERROR(__xludf.DUMMYFUNCTION("""COMPUTED_VALUE"""),81.0)</f>
        <v>81</v>
      </c>
      <c r="C891" s="30"/>
      <c r="D891" s="30"/>
      <c r="E891" s="30"/>
      <c r="F891" s="30"/>
      <c r="G891" s="30"/>
      <c r="H891" s="30"/>
      <c r="I891" s="30"/>
      <c r="J891" s="30">
        <f>IFERROR(__xludf.DUMMYFUNCTION("""COMPUTED_VALUE"""),-11.059343513011441)</f>
        <v>-11.05934351</v>
      </c>
      <c r="K891" s="30"/>
      <c r="L891" s="30"/>
      <c r="M891" s="30"/>
      <c r="N891" s="30"/>
      <c r="O891" s="30">
        <f>IFERROR(__xludf.DUMMYFUNCTION("""COMPUTED_VALUE"""),-2.630874715592867)</f>
        <v>-2.630874716</v>
      </c>
      <c r="P891" s="30">
        <f>IFERROR(__xludf.DUMMYFUNCTION("""COMPUTED_VALUE"""),4.463999088063446)</f>
        <v>4.463999088</v>
      </c>
      <c r="Q891" s="30"/>
      <c r="R891" s="30"/>
      <c r="S891" s="30"/>
      <c r="T891" s="30"/>
      <c r="U891" s="30">
        <v>0.0</v>
      </c>
      <c r="V891" s="30"/>
      <c r="W891" s="30"/>
      <c r="X891" s="30"/>
      <c r="Y891" s="5">
        <f>IFERROR(__xludf.DUMMYFUNCTION("""COMPUTED_VALUE"""),81.0)</f>
        <v>81</v>
      </c>
      <c r="Z891" s="5">
        <f>IFERROR(__xludf.DUMMYFUNCTION("""COMPUTED_VALUE"""),81.0)</f>
        <v>81</v>
      </c>
    </row>
    <row r="892">
      <c r="A892" s="30" t="s">
        <v>215</v>
      </c>
      <c r="B892" s="30">
        <f>IFERROR(__xludf.DUMMYFUNCTION("""COMPUTED_VALUE"""),82.0)</f>
        <v>82</v>
      </c>
      <c r="C892" s="30"/>
      <c r="D892" s="30"/>
      <c r="E892" s="30"/>
      <c r="F892" s="30"/>
      <c r="G892" s="30"/>
      <c r="H892" s="30"/>
      <c r="I892" s="30"/>
      <c r="J892" s="30">
        <f>IFERROR(__xludf.DUMMYFUNCTION("""COMPUTED_VALUE"""),-11.059343513011441)</f>
        <v>-11.05934351</v>
      </c>
      <c r="K892" s="30"/>
      <c r="L892" s="30"/>
      <c r="M892" s="30"/>
      <c r="N892" s="30"/>
      <c r="O892" s="30">
        <f>IFERROR(__xludf.DUMMYFUNCTION("""COMPUTED_VALUE"""),-2.630874715592867)</f>
        <v>-2.630874716</v>
      </c>
      <c r="P892" s="30">
        <f>IFERROR(__xludf.DUMMYFUNCTION("""COMPUTED_VALUE"""),4.463999088063446)</f>
        <v>4.463999088</v>
      </c>
      <c r="Q892" s="30"/>
      <c r="R892" s="30"/>
      <c r="S892" s="30"/>
      <c r="T892" s="30"/>
      <c r="U892" s="30">
        <v>0.0</v>
      </c>
      <c r="V892" s="30"/>
      <c r="W892" s="30"/>
      <c r="X892" s="30"/>
      <c r="Y892" s="5">
        <f>IFERROR(__xludf.DUMMYFUNCTION("""COMPUTED_VALUE"""),82.0)</f>
        <v>82</v>
      </c>
      <c r="Z892" s="5">
        <f>IFERROR(__xludf.DUMMYFUNCTION("""COMPUTED_VALUE"""),82.0)</f>
        <v>82</v>
      </c>
    </row>
    <row r="893">
      <c r="A893" s="30" t="s">
        <v>2061</v>
      </c>
      <c r="B893" s="30">
        <f>IFERROR(__xludf.DUMMYFUNCTION("""COMPUTED_VALUE"""),81.0)</f>
        <v>81</v>
      </c>
      <c r="C893" s="30"/>
      <c r="D893" s="30"/>
      <c r="E893" s="30"/>
      <c r="F893" s="30"/>
      <c r="G893" s="30"/>
      <c r="H893" s="30"/>
      <c r="I893" s="30"/>
      <c r="J893" s="30">
        <f>IFERROR(__xludf.DUMMYFUNCTION("""COMPUTED_VALUE"""),-11.059343513011441)</f>
        <v>-11.05934351</v>
      </c>
      <c r="K893" s="30"/>
      <c r="L893" s="30"/>
      <c r="M893" s="30"/>
      <c r="N893" s="30"/>
      <c r="O893" s="30">
        <f>IFERROR(__xludf.DUMMYFUNCTION("""COMPUTED_VALUE"""),-2.630874715592867)</f>
        <v>-2.630874716</v>
      </c>
      <c r="P893" s="30">
        <f>IFERROR(__xludf.DUMMYFUNCTION("""COMPUTED_VALUE"""),4.463999088063446)</f>
        <v>4.463999088</v>
      </c>
      <c r="Q893" s="30"/>
      <c r="R893" s="30"/>
      <c r="S893" s="30"/>
      <c r="T893" s="30"/>
      <c r="U893" s="30">
        <v>0.0</v>
      </c>
      <c r="V893" s="30"/>
      <c r="W893" s="30"/>
      <c r="X893" s="30"/>
      <c r="Y893" s="5">
        <f>IFERROR(__xludf.DUMMYFUNCTION("""COMPUTED_VALUE"""),81.0)</f>
        <v>81</v>
      </c>
      <c r="Z893" s="5">
        <f>IFERROR(__xludf.DUMMYFUNCTION("""COMPUTED_VALUE"""),81.0)</f>
        <v>81</v>
      </c>
    </row>
    <row r="894">
      <c r="A894" s="30" t="s">
        <v>2067</v>
      </c>
      <c r="B894" s="30">
        <f>IFERROR(__xludf.DUMMYFUNCTION("""COMPUTED_VALUE"""),83.0)</f>
        <v>83</v>
      </c>
      <c r="C894" s="30"/>
      <c r="D894" s="30"/>
      <c r="E894" s="30"/>
      <c r="F894" s="30"/>
      <c r="G894" s="30"/>
      <c r="H894" s="30"/>
      <c r="I894" s="30"/>
      <c r="J894" s="30">
        <f>IFERROR(__xludf.DUMMYFUNCTION("""COMPUTED_VALUE"""),-11.059343513011441)</f>
        <v>-11.05934351</v>
      </c>
      <c r="K894" s="30"/>
      <c r="L894" s="30"/>
      <c r="M894" s="30"/>
      <c r="N894" s="30"/>
      <c r="O894" s="30">
        <f>IFERROR(__xludf.DUMMYFUNCTION("""COMPUTED_VALUE"""),-2.630874715592867)</f>
        <v>-2.630874716</v>
      </c>
      <c r="P894" s="30">
        <f>IFERROR(__xludf.DUMMYFUNCTION("""COMPUTED_VALUE"""),4.463999088063446)</f>
        <v>4.463999088</v>
      </c>
      <c r="Q894" s="30"/>
      <c r="R894" s="30"/>
      <c r="S894" s="30"/>
      <c r="T894" s="30"/>
      <c r="U894" s="30">
        <v>0.0</v>
      </c>
      <c r="V894" s="30"/>
      <c r="W894" s="30"/>
      <c r="X894" s="30"/>
      <c r="Y894" s="5">
        <f>IFERROR(__xludf.DUMMYFUNCTION("""COMPUTED_VALUE"""),83.0)</f>
        <v>83</v>
      </c>
      <c r="Z894" s="5">
        <f>IFERROR(__xludf.DUMMYFUNCTION("""COMPUTED_VALUE"""),83.0)</f>
        <v>83</v>
      </c>
    </row>
    <row r="895">
      <c r="A895" s="30" t="s">
        <v>2746</v>
      </c>
      <c r="B895" s="30">
        <f>IFERROR(__xludf.DUMMYFUNCTION("""COMPUTED_VALUE"""),81.0)</f>
        <v>81</v>
      </c>
      <c r="C895" s="30"/>
      <c r="D895" s="30"/>
      <c r="E895" s="30"/>
      <c r="F895" s="30"/>
      <c r="G895" s="30"/>
      <c r="H895" s="30"/>
      <c r="I895" s="30"/>
      <c r="J895" s="30">
        <f>IFERROR(__xludf.DUMMYFUNCTION("""COMPUTED_VALUE"""),-11.059343513011441)</f>
        <v>-11.05934351</v>
      </c>
      <c r="K895" s="30"/>
      <c r="L895" s="30"/>
      <c r="M895" s="30"/>
      <c r="N895" s="30"/>
      <c r="O895" s="30">
        <f>IFERROR(__xludf.DUMMYFUNCTION("""COMPUTED_VALUE"""),-2.630874715592867)</f>
        <v>-2.630874716</v>
      </c>
      <c r="P895" s="30">
        <f>IFERROR(__xludf.DUMMYFUNCTION("""COMPUTED_VALUE"""),4.463999088063446)</f>
        <v>4.463999088</v>
      </c>
      <c r="Q895" s="30"/>
      <c r="R895" s="30"/>
      <c r="S895" s="30"/>
      <c r="T895" s="30"/>
      <c r="U895" s="30">
        <v>0.0</v>
      </c>
      <c r="V895" s="30"/>
      <c r="W895" s="30"/>
      <c r="X895" s="30"/>
      <c r="Y895" s="5">
        <f>IFERROR(__xludf.DUMMYFUNCTION("""COMPUTED_VALUE"""),81.0)</f>
        <v>81</v>
      </c>
      <c r="Z895" s="5">
        <f>IFERROR(__xludf.DUMMYFUNCTION("""COMPUTED_VALUE"""),81.0)</f>
        <v>81</v>
      </c>
    </row>
    <row r="896">
      <c r="A896" s="30" t="s">
        <v>1324</v>
      </c>
      <c r="B896" s="30">
        <f>IFERROR(__xludf.DUMMYFUNCTION("""COMPUTED_VALUE"""),81.0)</f>
        <v>81</v>
      </c>
      <c r="C896" s="30"/>
      <c r="D896" s="30"/>
      <c r="E896" s="30"/>
      <c r="F896" s="30"/>
      <c r="G896" s="30"/>
      <c r="H896" s="30"/>
      <c r="I896" s="30"/>
      <c r="J896" s="30">
        <f>IFERROR(__xludf.DUMMYFUNCTION("""COMPUTED_VALUE"""),-11.059343513011441)</f>
        <v>-11.05934351</v>
      </c>
      <c r="K896" s="30"/>
      <c r="L896" s="30"/>
      <c r="M896" s="30"/>
      <c r="N896" s="30"/>
      <c r="O896" s="30">
        <f>IFERROR(__xludf.DUMMYFUNCTION("""COMPUTED_VALUE"""),-2.630874715592867)</f>
        <v>-2.630874716</v>
      </c>
      <c r="P896" s="30">
        <f>IFERROR(__xludf.DUMMYFUNCTION("""COMPUTED_VALUE"""),4.463999088063446)</f>
        <v>4.463999088</v>
      </c>
      <c r="Q896" s="30"/>
      <c r="R896" s="30"/>
      <c r="S896" s="30"/>
      <c r="T896" s="30"/>
      <c r="U896" s="30">
        <v>0.0</v>
      </c>
      <c r="V896" s="30"/>
      <c r="W896" s="30"/>
      <c r="X896" s="30"/>
      <c r="Y896" s="5">
        <f>IFERROR(__xludf.DUMMYFUNCTION("""COMPUTED_VALUE"""),81.0)</f>
        <v>81</v>
      </c>
      <c r="Z896" s="5">
        <f>IFERROR(__xludf.DUMMYFUNCTION("""COMPUTED_VALUE"""),81.0)</f>
        <v>81</v>
      </c>
    </row>
    <row r="897">
      <c r="A897" s="30" t="s">
        <v>2747</v>
      </c>
      <c r="B897" s="30">
        <f>IFERROR(__xludf.DUMMYFUNCTION("""COMPUTED_VALUE"""),81.0)</f>
        <v>81</v>
      </c>
      <c r="C897" s="30"/>
      <c r="D897" s="30"/>
      <c r="E897" s="30"/>
      <c r="F897" s="30"/>
      <c r="G897" s="30"/>
      <c r="H897" s="30"/>
      <c r="I897" s="30"/>
      <c r="J897" s="30">
        <f>IFERROR(__xludf.DUMMYFUNCTION("""COMPUTED_VALUE"""),-11.059343513011441)</f>
        <v>-11.05934351</v>
      </c>
      <c r="K897" s="30"/>
      <c r="L897" s="30"/>
      <c r="M897" s="30"/>
      <c r="N897" s="30"/>
      <c r="O897" s="30">
        <f>IFERROR(__xludf.DUMMYFUNCTION("""COMPUTED_VALUE"""),-2.630874715592867)</f>
        <v>-2.630874716</v>
      </c>
      <c r="P897" s="30">
        <f>IFERROR(__xludf.DUMMYFUNCTION("""COMPUTED_VALUE"""),4.463999088063446)</f>
        <v>4.463999088</v>
      </c>
      <c r="Q897" s="30"/>
      <c r="R897" s="30"/>
      <c r="S897" s="30"/>
      <c r="T897" s="30"/>
      <c r="U897" s="30">
        <v>0.0</v>
      </c>
      <c r="V897" s="30"/>
      <c r="W897" s="30"/>
      <c r="X897" s="30"/>
      <c r="Y897" s="5">
        <f>IFERROR(__xludf.DUMMYFUNCTION("""COMPUTED_VALUE"""),81.0)</f>
        <v>81</v>
      </c>
      <c r="Z897" s="5">
        <f>IFERROR(__xludf.DUMMYFUNCTION("""COMPUTED_VALUE"""),81.0)</f>
        <v>81</v>
      </c>
    </row>
    <row r="898">
      <c r="A898" s="30" t="s">
        <v>2748</v>
      </c>
      <c r="B898" s="30">
        <f>IFERROR(__xludf.DUMMYFUNCTION("""COMPUTED_VALUE"""),81.0)</f>
        <v>81</v>
      </c>
      <c r="C898" s="30"/>
      <c r="D898" s="30"/>
      <c r="E898" s="30"/>
      <c r="F898" s="30"/>
      <c r="G898" s="30"/>
      <c r="H898" s="30"/>
      <c r="I898" s="30"/>
      <c r="J898" s="30">
        <f>IFERROR(__xludf.DUMMYFUNCTION("""COMPUTED_VALUE"""),-11.059343513011441)</f>
        <v>-11.05934351</v>
      </c>
      <c r="K898" s="30"/>
      <c r="L898" s="30"/>
      <c r="M898" s="30"/>
      <c r="N898" s="30"/>
      <c r="O898" s="30">
        <f>IFERROR(__xludf.DUMMYFUNCTION("""COMPUTED_VALUE"""),-2.630874715592867)</f>
        <v>-2.630874716</v>
      </c>
      <c r="P898" s="30">
        <f>IFERROR(__xludf.DUMMYFUNCTION("""COMPUTED_VALUE"""),4.463999088063446)</f>
        <v>4.463999088</v>
      </c>
      <c r="Q898" s="30"/>
      <c r="R898" s="30"/>
      <c r="S898" s="30"/>
      <c r="T898" s="30"/>
      <c r="U898" s="30">
        <v>0.0</v>
      </c>
      <c r="V898" s="30"/>
      <c r="W898" s="30"/>
      <c r="X898" s="30"/>
      <c r="Y898" s="5">
        <f>IFERROR(__xludf.DUMMYFUNCTION("""COMPUTED_VALUE"""),81.0)</f>
        <v>81</v>
      </c>
      <c r="Z898" s="5">
        <f>IFERROR(__xludf.DUMMYFUNCTION("""COMPUTED_VALUE"""),81.0)</f>
        <v>81</v>
      </c>
    </row>
    <row r="899">
      <c r="A899" s="30" t="s">
        <v>2749</v>
      </c>
      <c r="B899" s="30">
        <f>IFERROR(__xludf.DUMMYFUNCTION("""COMPUTED_VALUE"""),81.0)</f>
        <v>81</v>
      </c>
      <c r="C899" s="30"/>
      <c r="D899" s="30"/>
      <c r="E899" s="30"/>
      <c r="F899" s="30"/>
      <c r="G899" s="30"/>
      <c r="H899" s="30"/>
      <c r="I899" s="30"/>
      <c r="J899" s="30">
        <f>IFERROR(__xludf.DUMMYFUNCTION("""COMPUTED_VALUE"""),-11.059343513011441)</f>
        <v>-11.05934351</v>
      </c>
      <c r="K899" s="30"/>
      <c r="L899" s="30"/>
      <c r="M899" s="30"/>
      <c r="N899" s="30"/>
      <c r="O899" s="30">
        <f>IFERROR(__xludf.DUMMYFUNCTION("""COMPUTED_VALUE"""),-2.630874715592867)</f>
        <v>-2.630874716</v>
      </c>
      <c r="P899" s="30">
        <f>IFERROR(__xludf.DUMMYFUNCTION("""COMPUTED_VALUE"""),4.463999088063446)</f>
        <v>4.463999088</v>
      </c>
      <c r="Q899" s="30"/>
      <c r="R899" s="30"/>
      <c r="S899" s="30"/>
      <c r="T899" s="30"/>
      <c r="U899" s="30">
        <v>0.0</v>
      </c>
      <c r="V899" s="30"/>
      <c r="W899" s="30"/>
      <c r="X899" s="30"/>
      <c r="Y899" s="5">
        <f>IFERROR(__xludf.DUMMYFUNCTION("""COMPUTED_VALUE"""),81.0)</f>
        <v>81</v>
      </c>
      <c r="Z899" s="5">
        <f>IFERROR(__xludf.DUMMYFUNCTION("""COMPUTED_VALUE"""),81.0)</f>
        <v>81</v>
      </c>
    </row>
    <row r="900">
      <c r="A900" s="30" t="s">
        <v>2750</v>
      </c>
      <c r="B900" s="30">
        <f>IFERROR(__xludf.DUMMYFUNCTION("""COMPUTED_VALUE"""),80.0)</f>
        <v>80</v>
      </c>
      <c r="C900" s="30"/>
      <c r="D900" s="30"/>
      <c r="E900" s="30"/>
      <c r="F900" s="30"/>
      <c r="G900" s="30"/>
      <c r="H900" s="30"/>
      <c r="I900" s="30"/>
      <c r="J900" s="30">
        <f>IFERROR(__xludf.DUMMYFUNCTION("""COMPUTED_VALUE"""),-11.059343513011441)</f>
        <v>-11.05934351</v>
      </c>
      <c r="K900" s="30"/>
      <c r="L900" s="30"/>
      <c r="M900" s="30"/>
      <c r="N900" s="30"/>
      <c r="O900" s="30">
        <f>IFERROR(__xludf.DUMMYFUNCTION("""COMPUTED_VALUE"""),-2.630874715592867)</f>
        <v>-2.630874716</v>
      </c>
      <c r="P900" s="30">
        <f>IFERROR(__xludf.DUMMYFUNCTION("""COMPUTED_VALUE"""),4.463999088063446)</f>
        <v>4.463999088</v>
      </c>
      <c r="Q900" s="30"/>
      <c r="R900" s="30"/>
      <c r="S900" s="30"/>
      <c r="T900" s="30"/>
      <c r="U900" s="30">
        <v>0.0</v>
      </c>
      <c r="V900" s="30"/>
      <c r="W900" s="30"/>
      <c r="X900" s="30"/>
      <c r="Y900" s="5">
        <f>IFERROR(__xludf.DUMMYFUNCTION("""COMPUTED_VALUE"""),80.0)</f>
        <v>80</v>
      </c>
      <c r="Z900" s="5">
        <f>IFERROR(__xludf.DUMMYFUNCTION("""COMPUTED_VALUE"""),80.0)</f>
        <v>80</v>
      </c>
    </row>
    <row r="901">
      <c r="A901" s="30" t="s">
        <v>2751</v>
      </c>
      <c r="B901" s="30">
        <f>IFERROR(__xludf.DUMMYFUNCTION("""COMPUTED_VALUE"""),80.0)</f>
        <v>80</v>
      </c>
      <c r="C901" s="30"/>
      <c r="D901" s="30"/>
      <c r="E901" s="30"/>
      <c r="F901" s="30"/>
      <c r="G901" s="30"/>
      <c r="H901" s="30"/>
      <c r="I901" s="30"/>
      <c r="J901" s="30">
        <f>IFERROR(__xludf.DUMMYFUNCTION("""COMPUTED_VALUE"""),-11.059343513011441)</f>
        <v>-11.05934351</v>
      </c>
      <c r="K901" s="30"/>
      <c r="L901" s="30"/>
      <c r="M901" s="30"/>
      <c r="N901" s="30"/>
      <c r="O901" s="30">
        <f>IFERROR(__xludf.DUMMYFUNCTION("""COMPUTED_VALUE"""),-2.630874715592867)</f>
        <v>-2.630874716</v>
      </c>
      <c r="P901" s="30">
        <f>IFERROR(__xludf.DUMMYFUNCTION("""COMPUTED_VALUE"""),4.463999088063446)</f>
        <v>4.463999088</v>
      </c>
      <c r="Q901" s="30"/>
      <c r="R901" s="30"/>
      <c r="S901" s="30"/>
      <c r="T901" s="30"/>
      <c r="U901" s="30">
        <v>0.0</v>
      </c>
      <c r="V901" s="30"/>
      <c r="W901" s="30"/>
      <c r="X901" s="30"/>
      <c r="Y901" s="5">
        <f>IFERROR(__xludf.DUMMYFUNCTION("""COMPUTED_VALUE"""),80.0)</f>
        <v>80</v>
      </c>
      <c r="Z901" s="5">
        <f>IFERROR(__xludf.DUMMYFUNCTION("""COMPUTED_VALUE"""),80.0)</f>
        <v>80</v>
      </c>
    </row>
    <row r="902">
      <c r="A902" s="30" t="s">
        <v>2752</v>
      </c>
      <c r="B902" s="30">
        <f>IFERROR(__xludf.DUMMYFUNCTION("""COMPUTED_VALUE"""),81.0)</f>
        <v>81</v>
      </c>
      <c r="C902" s="30"/>
      <c r="D902" s="30"/>
      <c r="E902" s="30"/>
      <c r="F902" s="30"/>
      <c r="G902" s="30"/>
      <c r="H902" s="30"/>
      <c r="I902" s="30"/>
      <c r="J902" s="30">
        <f>IFERROR(__xludf.DUMMYFUNCTION("""COMPUTED_VALUE"""),-11.059343513011441)</f>
        <v>-11.05934351</v>
      </c>
      <c r="K902" s="30"/>
      <c r="L902" s="30"/>
      <c r="M902" s="30"/>
      <c r="N902" s="30"/>
      <c r="O902" s="30">
        <f>IFERROR(__xludf.DUMMYFUNCTION("""COMPUTED_VALUE"""),-2.630874715592867)</f>
        <v>-2.630874716</v>
      </c>
      <c r="P902" s="30">
        <f>IFERROR(__xludf.DUMMYFUNCTION("""COMPUTED_VALUE"""),4.463999088063446)</f>
        <v>4.463999088</v>
      </c>
      <c r="Q902" s="30"/>
      <c r="R902" s="30"/>
      <c r="S902" s="30"/>
      <c r="T902" s="30"/>
      <c r="U902" s="30">
        <v>0.0</v>
      </c>
      <c r="V902" s="30"/>
      <c r="W902" s="30"/>
      <c r="X902" s="30"/>
      <c r="Y902" s="5">
        <f>IFERROR(__xludf.DUMMYFUNCTION("""COMPUTED_VALUE"""),81.0)</f>
        <v>81</v>
      </c>
      <c r="Z902" s="5">
        <f>IFERROR(__xludf.DUMMYFUNCTION("""COMPUTED_VALUE"""),81.0)</f>
        <v>81</v>
      </c>
    </row>
    <row r="903">
      <c r="A903" s="30" t="s">
        <v>1429</v>
      </c>
      <c r="B903" s="30">
        <f>IFERROR(__xludf.DUMMYFUNCTION("""COMPUTED_VALUE"""),81.0)</f>
        <v>81</v>
      </c>
      <c r="C903" s="30"/>
      <c r="D903" s="30"/>
      <c r="E903" s="30"/>
      <c r="F903" s="30"/>
      <c r="G903" s="30"/>
      <c r="H903" s="30"/>
      <c r="I903" s="30"/>
      <c r="J903" s="30">
        <f>IFERROR(__xludf.DUMMYFUNCTION("""COMPUTED_VALUE"""),-11.059343513011441)</f>
        <v>-11.05934351</v>
      </c>
      <c r="K903" s="30"/>
      <c r="L903" s="30"/>
      <c r="M903" s="30"/>
      <c r="N903" s="30"/>
      <c r="O903" s="30">
        <f>IFERROR(__xludf.DUMMYFUNCTION("""COMPUTED_VALUE"""),-2.630874715592867)</f>
        <v>-2.630874716</v>
      </c>
      <c r="P903" s="30">
        <f>IFERROR(__xludf.DUMMYFUNCTION("""COMPUTED_VALUE"""),4.463999088063446)</f>
        <v>4.463999088</v>
      </c>
      <c r="Q903" s="30"/>
      <c r="R903" s="30"/>
      <c r="S903" s="30"/>
      <c r="T903" s="30"/>
      <c r="U903" s="30">
        <v>0.0</v>
      </c>
      <c r="V903" s="30"/>
      <c r="W903" s="30"/>
      <c r="X903" s="30"/>
      <c r="Y903" s="5">
        <f>IFERROR(__xludf.DUMMYFUNCTION("""COMPUTED_VALUE"""),81.0)</f>
        <v>81</v>
      </c>
      <c r="Z903" s="5">
        <f>IFERROR(__xludf.DUMMYFUNCTION("""COMPUTED_VALUE"""),81.0)</f>
        <v>81</v>
      </c>
    </row>
    <row r="904">
      <c r="A904" s="30" t="s">
        <v>2753</v>
      </c>
      <c r="B904" s="30">
        <f>IFERROR(__xludf.DUMMYFUNCTION("""COMPUTED_VALUE"""),81.0)</f>
        <v>81</v>
      </c>
      <c r="C904" s="30"/>
      <c r="D904" s="30"/>
      <c r="E904" s="30"/>
      <c r="F904" s="30"/>
      <c r="G904" s="30"/>
      <c r="H904" s="30"/>
      <c r="I904" s="30"/>
      <c r="J904" s="30">
        <f>IFERROR(__xludf.DUMMYFUNCTION("""COMPUTED_VALUE"""),-11.059343513011441)</f>
        <v>-11.05934351</v>
      </c>
      <c r="K904" s="30"/>
      <c r="L904" s="30"/>
      <c r="M904" s="30"/>
      <c r="N904" s="30"/>
      <c r="O904" s="30">
        <f>IFERROR(__xludf.DUMMYFUNCTION("""COMPUTED_VALUE"""),-2.630874715592867)</f>
        <v>-2.630874716</v>
      </c>
      <c r="P904" s="30">
        <f>IFERROR(__xludf.DUMMYFUNCTION("""COMPUTED_VALUE"""),4.463999088063446)</f>
        <v>4.463999088</v>
      </c>
      <c r="Q904" s="30"/>
      <c r="R904" s="30"/>
      <c r="S904" s="30"/>
      <c r="T904" s="30"/>
      <c r="U904" s="30">
        <v>0.0</v>
      </c>
      <c r="V904" s="30"/>
      <c r="W904" s="30"/>
      <c r="X904" s="30"/>
      <c r="Y904" s="5">
        <f>IFERROR(__xludf.DUMMYFUNCTION("""COMPUTED_VALUE"""),81.0)</f>
        <v>81</v>
      </c>
      <c r="Z904" s="5">
        <f>IFERROR(__xludf.DUMMYFUNCTION("""COMPUTED_VALUE"""),81.0)</f>
        <v>81</v>
      </c>
    </row>
    <row r="905">
      <c r="A905" s="30" t="s">
        <v>2754</v>
      </c>
      <c r="B905" s="30">
        <f>IFERROR(__xludf.DUMMYFUNCTION("""COMPUTED_VALUE"""),83.0)</f>
        <v>83</v>
      </c>
      <c r="C905" s="30"/>
      <c r="D905" s="30"/>
      <c r="E905" s="30"/>
      <c r="F905" s="30"/>
      <c r="G905" s="30"/>
      <c r="H905" s="30"/>
      <c r="I905" s="30"/>
      <c r="J905" s="30">
        <f>IFERROR(__xludf.DUMMYFUNCTION("""COMPUTED_VALUE"""),-11.059343513011441)</f>
        <v>-11.05934351</v>
      </c>
      <c r="K905" s="30"/>
      <c r="L905" s="30"/>
      <c r="M905" s="30"/>
      <c r="N905" s="30"/>
      <c r="O905" s="30">
        <f>IFERROR(__xludf.DUMMYFUNCTION("""COMPUTED_VALUE"""),-2.630874715592867)</f>
        <v>-2.630874716</v>
      </c>
      <c r="P905" s="30">
        <f>IFERROR(__xludf.DUMMYFUNCTION("""COMPUTED_VALUE"""),4.463999088063446)</f>
        <v>4.463999088</v>
      </c>
      <c r="Q905" s="30"/>
      <c r="R905" s="30"/>
      <c r="S905" s="30"/>
      <c r="T905" s="30"/>
      <c r="U905" s="30">
        <v>0.0</v>
      </c>
      <c r="V905" s="30"/>
      <c r="W905" s="30"/>
      <c r="X905" s="30"/>
      <c r="Y905" s="5">
        <f>IFERROR(__xludf.DUMMYFUNCTION("""COMPUTED_VALUE"""),83.0)</f>
        <v>83</v>
      </c>
      <c r="Z905" s="5">
        <f>IFERROR(__xludf.DUMMYFUNCTION("""COMPUTED_VALUE"""),83.0)</f>
        <v>83</v>
      </c>
    </row>
    <row r="906">
      <c r="A906" s="30" t="s">
        <v>2755</v>
      </c>
      <c r="B906" s="30">
        <f>IFERROR(__xludf.DUMMYFUNCTION("""COMPUTED_VALUE"""),80.0)</f>
        <v>80</v>
      </c>
      <c r="C906" s="30"/>
      <c r="D906" s="30"/>
      <c r="E906" s="30"/>
      <c r="F906" s="30"/>
      <c r="G906" s="30"/>
      <c r="H906" s="30"/>
      <c r="I906" s="30"/>
      <c r="J906" s="30">
        <f>IFERROR(__xludf.DUMMYFUNCTION("""COMPUTED_VALUE"""),-11.059343513011441)</f>
        <v>-11.05934351</v>
      </c>
      <c r="K906" s="30"/>
      <c r="L906" s="30"/>
      <c r="M906" s="30"/>
      <c r="N906" s="30"/>
      <c r="O906" s="30">
        <f>IFERROR(__xludf.DUMMYFUNCTION("""COMPUTED_VALUE"""),-2.630874715592867)</f>
        <v>-2.630874716</v>
      </c>
      <c r="P906" s="30">
        <f>IFERROR(__xludf.DUMMYFUNCTION("""COMPUTED_VALUE"""),4.463999088063446)</f>
        <v>4.463999088</v>
      </c>
      <c r="Q906" s="30"/>
      <c r="R906" s="30"/>
      <c r="S906" s="30"/>
      <c r="T906" s="30"/>
      <c r="U906" s="30">
        <v>0.0</v>
      </c>
      <c r="V906" s="30"/>
      <c r="W906" s="30"/>
      <c r="X906" s="30"/>
      <c r="Y906" s="5">
        <f>IFERROR(__xludf.DUMMYFUNCTION("""COMPUTED_VALUE"""),80.0)</f>
        <v>80</v>
      </c>
      <c r="Z906" s="5">
        <f>IFERROR(__xludf.DUMMYFUNCTION("""COMPUTED_VALUE"""),80.0)</f>
        <v>80</v>
      </c>
    </row>
    <row r="907">
      <c r="A907" s="30" t="s">
        <v>2756</v>
      </c>
      <c r="B907" s="30">
        <f>IFERROR(__xludf.DUMMYFUNCTION("""COMPUTED_VALUE"""),79.0)</f>
        <v>79</v>
      </c>
      <c r="C907" s="30"/>
      <c r="D907" s="30"/>
      <c r="E907" s="30"/>
      <c r="F907" s="30"/>
      <c r="G907" s="30"/>
      <c r="H907" s="30"/>
      <c r="I907" s="30"/>
      <c r="J907" s="30">
        <f>IFERROR(__xludf.DUMMYFUNCTION("""COMPUTED_VALUE"""),-11.059343513011441)</f>
        <v>-11.05934351</v>
      </c>
      <c r="K907" s="30"/>
      <c r="L907" s="30"/>
      <c r="M907" s="30"/>
      <c r="N907" s="30"/>
      <c r="O907" s="30">
        <f>IFERROR(__xludf.DUMMYFUNCTION("""COMPUTED_VALUE"""),-2.630874715592867)</f>
        <v>-2.630874716</v>
      </c>
      <c r="P907" s="30">
        <f>IFERROR(__xludf.DUMMYFUNCTION("""COMPUTED_VALUE"""),4.463999088063446)</f>
        <v>4.463999088</v>
      </c>
      <c r="Q907" s="30"/>
      <c r="R907" s="30"/>
      <c r="S907" s="30"/>
      <c r="T907" s="30"/>
      <c r="U907" s="30">
        <v>0.0</v>
      </c>
      <c r="V907" s="30"/>
      <c r="W907" s="30"/>
      <c r="X907" s="30"/>
      <c r="Y907" s="5">
        <f>IFERROR(__xludf.DUMMYFUNCTION("""COMPUTED_VALUE"""),79.0)</f>
        <v>79</v>
      </c>
      <c r="Z907" s="5">
        <f>IFERROR(__xludf.DUMMYFUNCTION("""COMPUTED_VALUE"""),79.0)</f>
        <v>79</v>
      </c>
    </row>
    <row r="908">
      <c r="A908" s="30" t="s">
        <v>1451</v>
      </c>
      <c r="B908" s="30">
        <f>IFERROR(__xludf.DUMMYFUNCTION("""COMPUTED_VALUE"""),82.0)</f>
        <v>82</v>
      </c>
      <c r="C908" s="30"/>
      <c r="D908" s="30"/>
      <c r="E908" s="30"/>
      <c r="F908" s="30"/>
      <c r="G908" s="30"/>
      <c r="H908" s="30"/>
      <c r="I908" s="30"/>
      <c r="J908" s="30">
        <f>IFERROR(__xludf.DUMMYFUNCTION("""COMPUTED_VALUE"""),-11.059343513011441)</f>
        <v>-11.05934351</v>
      </c>
      <c r="K908" s="30"/>
      <c r="L908" s="30"/>
      <c r="M908" s="30"/>
      <c r="N908" s="30"/>
      <c r="O908" s="30">
        <f>IFERROR(__xludf.DUMMYFUNCTION("""COMPUTED_VALUE"""),-2.630874715592867)</f>
        <v>-2.630874716</v>
      </c>
      <c r="P908" s="30">
        <f>IFERROR(__xludf.DUMMYFUNCTION("""COMPUTED_VALUE"""),4.463999088063446)</f>
        <v>4.463999088</v>
      </c>
      <c r="Q908" s="30"/>
      <c r="R908" s="30"/>
      <c r="S908" s="30"/>
      <c r="T908" s="30"/>
      <c r="U908" s="30">
        <v>0.0</v>
      </c>
      <c r="V908" s="30"/>
      <c r="W908" s="30"/>
      <c r="X908" s="30"/>
      <c r="Y908" s="5">
        <f>IFERROR(__xludf.DUMMYFUNCTION("""COMPUTED_VALUE"""),82.0)</f>
        <v>82</v>
      </c>
      <c r="Z908" s="5">
        <f>IFERROR(__xludf.DUMMYFUNCTION("""COMPUTED_VALUE"""),82.0)</f>
        <v>82</v>
      </c>
    </row>
    <row r="909">
      <c r="A909" s="30" t="s">
        <v>2757</v>
      </c>
      <c r="B909" s="30">
        <f>IFERROR(__xludf.DUMMYFUNCTION("""COMPUTED_VALUE"""),82.0)</f>
        <v>82</v>
      </c>
      <c r="C909" s="30"/>
      <c r="D909" s="30"/>
      <c r="E909" s="30"/>
      <c r="F909" s="30"/>
      <c r="G909" s="30"/>
      <c r="H909" s="30"/>
      <c r="I909" s="30"/>
      <c r="J909" s="30">
        <f>IFERROR(__xludf.DUMMYFUNCTION("""COMPUTED_VALUE"""),-11.059343513011441)</f>
        <v>-11.05934351</v>
      </c>
      <c r="K909" s="30"/>
      <c r="L909" s="30"/>
      <c r="M909" s="30"/>
      <c r="N909" s="30"/>
      <c r="O909" s="30">
        <f>IFERROR(__xludf.DUMMYFUNCTION("""COMPUTED_VALUE"""),-2.630874715592867)</f>
        <v>-2.630874716</v>
      </c>
      <c r="P909" s="30">
        <f>IFERROR(__xludf.DUMMYFUNCTION("""COMPUTED_VALUE"""),4.463999088063446)</f>
        <v>4.463999088</v>
      </c>
      <c r="Q909" s="30"/>
      <c r="R909" s="30"/>
      <c r="S909" s="30"/>
      <c r="T909" s="30"/>
      <c r="U909" s="30">
        <v>0.0</v>
      </c>
      <c r="V909" s="30"/>
      <c r="W909" s="30"/>
      <c r="X909" s="30"/>
      <c r="Y909" s="5">
        <f>IFERROR(__xludf.DUMMYFUNCTION("""COMPUTED_VALUE"""),82.0)</f>
        <v>82</v>
      </c>
      <c r="Z909" s="5">
        <f>IFERROR(__xludf.DUMMYFUNCTION("""COMPUTED_VALUE"""),82.0)</f>
        <v>82</v>
      </c>
    </row>
    <row r="910">
      <c r="A910" s="30" t="s">
        <v>2758</v>
      </c>
      <c r="B910" s="30">
        <f>IFERROR(__xludf.DUMMYFUNCTION("""COMPUTED_VALUE"""),83.0)</f>
        <v>83</v>
      </c>
      <c r="C910" s="30"/>
      <c r="D910" s="30"/>
      <c r="E910" s="30"/>
      <c r="F910" s="30"/>
      <c r="G910" s="30"/>
      <c r="H910" s="30"/>
      <c r="I910" s="30"/>
      <c r="J910" s="30">
        <f>IFERROR(__xludf.DUMMYFUNCTION("""COMPUTED_VALUE"""),-11.059343513011441)</f>
        <v>-11.05934351</v>
      </c>
      <c r="K910" s="30"/>
      <c r="L910" s="30"/>
      <c r="M910" s="30"/>
      <c r="N910" s="30"/>
      <c r="O910" s="30">
        <f>IFERROR(__xludf.DUMMYFUNCTION("""COMPUTED_VALUE"""),-2.630874715592867)</f>
        <v>-2.630874716</v>
      </c>
      <c r="P910" s="30">
        <f>IFERROR(__xludf.DUMMYFUNCTION("""COMPUTED_VALUE"""),4.463999088063446)</f>
        <v>4.463999088</v>
      </c>
      <c r="Q910" s="30"/>
      <c r="R910" s="30"/>
      <c r="S910" s="30"/>
      <c r="T910" s="30"/>
      <c r="U910" s="30">
        <v>0.0</v>
      </c>
      <c r="V910" s="30"/>
      <c r="W910" s="30"/>
      <c r="X910" s="30"/>
      <c r="Y910" s="5">
        <f>IFERROR(__xludf.DUMMYFUNCTION("""COMPUTED_VALUE"""),83.0)</f>
        <v>83</v>
      </c>
      <c r="Z910" s="5">
        <f>IFERROR(__xludf.DUMMYFUNCTION("""COMPUTED_VALUE"""),83.0)</f>
        <v>83</v>
      </c>
    </row>
    <row r="911">
      <c r="A911" s="30" t="s">
        <v>1222</v>
      </c>
      <c r="B911" s="30">
        <f>IFERROR(__xludf.DUMMYFUNCTION("""COMPUTED_VALUE"""),83.0)</f>
        <v>83</v>
      </c>
      <c r="C911" s="30"/>
      <c r="D911" s="30"/>
      <c r="E911" s="30"/>
      <c r="F911" s="30"/>
      <c r="G911" s="30"/>
      <c r="H911" s="30"/>
      <c r="I911" s="30"/>
      <c r="J911" s="30">
        <f>IFERROR(__xludf.DUMMYFUNCTION("""COMPUTED_VALUE"""),-11.059343513011441)</f>
        <v>-11.05934351</v>
      </c>
      <c r="K911" s="30"/>
      <c r="L911" s="30"/>
      <c r="M911" s="30"/>
      <c r="N911" s="30"/>
      <c r="O911" s="30">
        <f>IFERROR(__xludf.DUMMYFUNCTION("""COMPUTED_VALUE"""),-2.630874715592867)</f>
        <v>-2.630874716</v>
      </c>
      <c r="P911" s="30">
        <f>IFERROR(__xludf.DUMMYFUNCTION("""COMPUTED_VALUE"""),4.463999088063446)</f>
        <v>4.463999088</v>
      </c>
      <c r="Q911" s="30"/>
      <c r="R911" s="30"/>
      <c r="S911" s="30"/>
      <c r="T911" s="30"/>
      <c r="U911" s="30">
        <v>0.0</v>
      </c>
      <c r="V911" s="30"/>
      <c r="W911" s="30"/>
      <c r="X911" s="30"/>
      <c r="Y911" s="5">
        <f>IFERROR(__xludf.DUMMYFUNCTION("""COMPUTED_VALUE"""),83.0)</f>
        <v>83</v>
      </c>
      <c r="Z911" s="5">
        <f>IFERROR(__xludf.DUMMYFUNCTION("""COMPUTED_VALUE"""),83.0)</f>
        <v>83</v>
      </c>
    </row>
    <row r="912">
      <c r="A912" s="30" t="s">
        <v>2759</v>
      </c>
      <c r="B912" s="30">
        <f>IFERROR(__xludf.DUMMYFUNCTION("""COMPUTED_VALUE"""),84.0)</f>
        <v>84</v>
      </c>
      <c r="C912" s="30"/>
      <c r="D912" s="30"/>
      <c r="E912" s="30"/>
      <c r="F912" s="30"/>
      <c r="G912" s="30"/>
      <c r="H912" s="30"/>
      <c r="I912" s="30"/>
      <c r="J912" s="30">
        <f>IFERROR(__xludf.DUMMYFUNCTION("""COMPUTED_VALUE"""),-11.059343513011441)</f>
        <v>-11.05934351</v>
      </c>
      <c r="K912" s="30"/>
      <c r="L912" s="30"/>
      <c r="M912" s="30"/>
      <c r="N912" s="30"/>
      <c r="O912" s="30">
        <f>IFERROR(__xludf.DUMMYFUNCTION("""COMPUTED_VALUE"""),-2.630874715592867)</f>
        <v>-2.630874716</v>
      </c>
      <c r="P912" s="30">
        <f>IFERROR(__xludf.DUMMYFUNCTION("""COMPUTED_VALUE"""),4.463999088063446)</f>
        <v>4.463999088</v>
      </c>
      <c r="Q912" s="30"/>
      <c r="R912" s="30"/>
      <c r="S912" s="30"/>
      <c r="T912" s="30"/>
      <c r="U912" s="30">
        <v>0.0</v>
      </c>
      <c r="V912" s="30"/>
      <c r="W912" s="30"/>
      <c r="X912" s="30"/>
      <c r="Y912" s="5">
        <f>IFERROR(__xludf.DUMMYFUNCTION("""COMPUTED_VALUE"""),84.0)</f>
        <v>84</v>
      </c>
      <c r="Z912" s="5">
        <f>IFERROR(__xludf.DUMMYFUNCTION("""COMPUTED_VALUE"""),84.0)</f>
        <v>84</v>
      </c>
    </row>
    <row r="913">
      <c r="A913" s="30" t="s">
        <v>2760</v>
      </c>
      <c r="B913" s="30">
        <f>IFERROR(__xludf.DUMMYFUNCTION("""COMPUTED_VALUE"""),83.0)</f>
        <v>83</v>
      </c>
      <c r="C913" s="30"/>
      <c r="D913" s="30"/>
      <c r="E913" s="30"/>
      <c r="F913" s="30"/>
      <c r="G913" s="30"/>
      <c r="H913" s="30"/>
      <c r="I913" s="30"/>
      <c r="J913" s="30">
        <f>IFERROR(__xludf.DUMMYFUNCTION("""COMPUTED_VALUE"""),-11.059343513011441)</f>
        <v>-11.05934351</v>
      </c>
      <c r="K913" s="30"/>
      <c r="L913" s="30"/>
      <c r="M913" s="30"/>
      <c r="N913" s="30"/>
      <c r="O913" s="30">
        <f>IFERROR(__xludf.DUMMYFUNCTION("""COMPUTED_VALUE"""),-2.630874715592867)</f>
        <v>-2.630874716</v>
      </c>
      <c r="P913" s="30">
        <f>IFERROR(__xludf.DUMMYFUNCTION("""COMPUTED_VALUE"""),4.463999088063446)</f>
        <v>4.463999088</v>
      </c>
      <c r="Q913" s="30"/>
      <c r="R913" s="30"/>
      <c r="S913" s="30"/>
      <c r="T913" s="30"/>
      <c r="U913" s="30">
        <v>0.0</v>
      </c>
      <c r="V913" s="30"/>
      <c r="W913" s="30"/>
      <c r="X913" s="30"/>
      <c r="Y913" s="5">
        <f>IFERROR(__xludf.DUMMYFUNCTION("""COMPUTED_VALUE"""),83.0)</f>
        <v>83</v>
      </c>
      <c r="Z913" s="5">
        <f>IFERROR(__xludf.DUMMYFUNCTION("""COMPUTED_VALUE"""),83.0)</f>
        <v>83</v>
      </c>
    </row>
    <row r="914">
      <c r="A914" s="30" t="s">
        <v>2761</v>
      </c>
      <c r="B914" s="30">
        <f>IFERROR(__xludf.DUMMYFUNCTION("""COMPUTED_VALUE"""),84.0)</f>
        <v>84</v>
      </c>
      <c r="C914" s="30"/>
      <c r="D914" s="30"/>
      <c r="E914" s="30"/>
      <c r="F914" s="30"/>
      <c r="G914" s="30"/>
      <c r="H914" s="30"/>
      <c r="I914" s="30"/>
      <c r="J914" s="30">
        <f>IFERROR(__xludf.DUMMYFUNCTION("""COMPUTED_VALUE"""),-11.059343513011441)</f>
        <v>-11.05934351</v>
      </c>
      <c r="K914" s="30"/>
      <c r="L914" s="30"/>
      <c r="M914" s="30"/>
      <c r="N914" s="30"/>
      <c r="O914" s="30">
        <f>IFERROR(__xludf.DUMMYFUNCTION("""COMPUTED_VALUE"""),-2.630874715592867)</f>
        <v>-2.630874716</v>
      </c>
      <c r="P914" s="30">
        <f>IFERROR(__xludf.DUMMYFUNCTION("""COMPUTED_VALUE"""),4.463999088063446)</f>
        <v>4.463999088</v>
      </c>
      <c r="Q914" s="30"/>
      <c r="R914" s="30"/>
      <c r="S914" s="30"/>
      <c r="T914" s="30"/>
      <c r="U914" s="30">
        <v>0.0</v>
      </c>
      <c r="V914" s="30"/>
      <c r="W914" s="30"/>
      <c r="X914" s="30"/>
      <c r="Y914" s="5">
        <f>IFERROR(__xludf.DUMMYFUNCTION("""COMPUTED_VALUE"""),84.0)</f>
        <v>84</v>
      </c>
      <c r="Z914" s="5">
        <f>IFERROR(__xludf.DUMMYFUNCTION("""COMPUTED_VALUE"""),84.0)</f>
        <v>84</v>
      </c>
    </row>
    <row r="915">
      <c r="A915" s="30" t="s">
        <v>2762</v>
      </c>
      <c r="B915" s="30">
        <f>IFERROR(__xludf.DUMMYFUNCTION("""COMPUTED_VALUE"""),83.0)</f>
        <v>83</v>
      </c>
      <c r="C915" s="30"/>
      <c r="D915" s="30"/>
      <c r="E915" s="30"/>
      <c r="F915" s="30"/>
      <c r="G915" s="30"/>
      <c r="H915" s="30"/>
      <c r="I915" s="30"/>
      <c r="J915" s="30">
        <f>IFERROR(__xludf.DUMMYFUNCTION("""COMPUTED_VALUE"""),-11.059343513011441)</f>
        <v>-11.05934351</v>
      </c>
      <c r="K915" s="30"/>
      <c r="L915" s="30"/>
      <c r="M915" s="30"/>
      <c r="N915" s="30"/>
      <c r="O915" s="30">
        <f>IFERROR(__xludf.DUMMYFUNCTION("""COMPUTED_VALUE"""),-2.630874715592867)</f>
        <v>-2.630874716</v>
      </c>
      <c r="P915" s="30">
        <f>IFERROR(__xludf.DUMMYFUNCTION("""COMPUTED_VALUE"""),4.463999088063446)</f>
        <v>4.463999088</v>
      </c>
      <c r="Q915" s="30"/>
      <c r="R915" s="30"/>
      <c r="S915" s="30"/>
      <c r="T915" s="30"/>
      <c r="U915" s="30">
        <v>0.0</v>
      </c>
      <c r="V915" s="30"/>
      <c r="W915" s="30"/>
      <c r="X915" s="30"/>
      <c r="Y915" s="5">
        <f>IFERROR(__xludf.DUMMYFUNCTION("""COMPUTED_VALUE"""),83.0)</f>
        <v>83</v>
      </c>
      <c r="Z915" s="5">
        <f>IFERROR(__xludf.DUMMYFUNCTION("""COMPUTED_VALUE"""),83.0)</f>
        <v>83</v>
      </c>
    </row>
    <row r="916">
      <c r="A916" s="30" t="s">
        <v>2763</v>
      </c>
      <c r="B916" s="30">
        <f>IFERROR(__xludf.DUMMYFUNCTION("""COMPUTED_VALUE"""),83.0)</f>
        <v>83</v>
      </c>
      <c r="C916" s="30"/>
      <c r="D916" s="30"/>
      <c r="E916" s="30"/>
      <c r="F916" s="30"/>
      <c r="G916" s="30"/>
      <c r="H916" s="30"/>
      <c r="I916" s="30"/>
      <c r="J916" s="30">
        <f>IFERROR(__xludf.DUMMYFUNCTION("""COMPUTED_VALUE"""),-11.059343513011441)</f>
        <v>-11.05934351</v>
      </c>
      <c r="K916" s="30"/>
      <c r="L916" s="30"/>
      <c r="M916" s="30"/>
      <c r="N916" s="30"/>
      <c r="O916" s="30">
        <f>IFERROR(__xludf.DUMMYFUNCTION("""COMPUTED_VALUE"""),-2.630874715592867)</f>
        <v>-2.630874716</v>
      </c>
      <c r="P916" s="30">
        <f>IFERROR(__xludf.DUMMYFUNCTION("""COMPUTED_VALUE"""),4.463999088063446)</f>
        <v>4.463999088</v>
      </c>
      <c r="Q916" s="30"/>
      <c r="R916" s="30"/>
      <c r="S916" s="30"/>
      <c r="T916" s="30"/>
      <c r="U916" s="30">
        <v>0.0</v>
      </c>
      <c r="V916" s="30"/>
      <c r="W916" s="30"/>
      <c r="X916" s="30"/>
      <c r="Y916" s="5">
        <f>IFERROR(__xludf.DUMMYFUNCTION("""COMPUTED_VALUE"""),83.0)</f>
        <v>83</v>
      </c>
      <c r="Z916" s="5">
        <f>IFERROR(__xludf.DUMMYFUNCTION("""COMPUTED_VALUE"""),83.0)</f>
        <v>83</v>
      </c>
    </row>
    <row r="917">
      <c r="A917" s="30" t="s">
        <v>2764</v>
      </c>
      <c r="B917" s="30">
        <f>IFERROR(__xludf.DUMMYFUNCTION("""COMPUTED_VALUE"""),84.0)</f>
        <v>84</v>
      </c>
      <c r="C917" s="30"/>
      <c r="D917" s="30"/>
      <c r="E917" s="30"/>
      <c r="F917" s="30"/>
      <c r="G917" s="30"/>
      <c r="H917" s="30"/>
      <c r="I917" s="30"/>
      <c r="J917" s="30">
        <f>IFERROR(__xludf.DUMMYFUNCTION("""COMPUTED_VALUE"""),-11.059343513011441)</f>
        <v>-11.05934351</v>
      </c>
      <c r="K917" s="30"/>
      <c r="L917" s="30"/>
      <c r="M917" s="30"/>
      <c r="N917" s="30"/>
      <c r="O917" s="30">
        <f>IFERROR(__xludf.DUMMYFUNCTION("""COMPUTED_VALUE"""),-2.630874715592867)</f>
        <v>-2.630874716</v>
      </c>
      <c r="P917" s="30">
        <f>IFERROR(__xludf.DUMMYFUNCTION("""COMPUTED_VALUE"""),4.463999088063446)</f>
        <v>4.463999088</v>
      </c>
      <c r="Q917" s="30"/>
      <c r="R917" s="30"/>
      <c r="S917" s="30"/>
      <c r="T917" s="30"/>
      <c r="U917" s="30">
        <v>0.0</v>
      </c>
      <c r="V917" s="30"/>
      <c r="W917" s="30"/>
      <c r="X917" s="30"/>
      <c r="Y917" s="5">
        <f>IFERROR(__xludf.DUMMYFUNCTION("""COMPUTED_VALUE"""),84.0)</f>
        <v>84</v>
      </c>
      <c r="Z917" s="5">
        <f>IFERROR(__xludf.DUMMYFUNCTION("""COMPUTED_VALUE"""),84.0)</f>
        <v>84</v>
      </c>
    </row>
    <row r="918">
      <c r="A918" s="30" t="s">
        <v>2765</v>
      </c>
      <c r="B918" s="30">
        <f>IFERROR(__xludf.DUMMYFUNCTION("""COMPUTED_VALUE"""),81.0)</f>
        <v>81</v>
      </c>
      <c r="C918" s="30"/>
      <c r="D918" s="30"/>
      <c r="E918" s="30"/>
      <c r="F918" s="30"/>
      <c r="G918" s="30"/>
      <c r="H918" s="30"/>
      <c r="I918" s="30"/>
      <c r="J918" s="30">
        <f>IFERROR(__xludf.DUMMYFUNCTION("""COMPUTED_VALUE"""),-11.059343513011441)</f>
        <v>-11.05934351</v>
      </c>
      <c r="K918" s="30"/>
      <c r="L918" s="30"/>
      <c r="M918" s="30"/>
      <c r="N918" s="30"/>
      <c r="O918" s="30">
        <f>IFERROR(__xludf.DUMMYFUNCTION("""COMPUTED_VALUE"""),-2.630874715592867)</f>
        <v>-2.630874716</v>
      </c>
      <c r="P918" s="30">
        <f>IFERROR(__xludf.DUMMYFUNCTION("""COMPUTED_VALUE"""),4.463999088063446)</f>
        <v>4.463999088</v>
      </c>
      <c r="Q918" s="30"/>
      <c r="R918" s="30"/>
      <c r="S918" s="30"/>
      <c r="T918" s="30"/>
      <c r="U918" s="30">
        <v>0.0</v>
      </c>
      <c r="V918" s="30"/>
      <c r="W918" s="30"/>
      <c r="X918" s="30"/>
      <c r="Y918" s="5">
        <f>IFERROR(__xludf.DUMMYFUNCTION("""COMPUTED_VALUE"""),81.0)</f>
        <v>81</v>
      </c>
      <c r="Z918" s="5">
        <f>IFERROR(__xludf.DUMMYFUNCTION("""COMPUTED_VALUE"""),81.0)</f>
        <v>81</v>
      </c>
    </row>
    <row r="919">
      <c r="A919" s="30" t="s">
        <v>2766</v>
      </c>
      <c r="B919" s="30">
        <f>IFERROR(__xludf.DUMMYFUNCTION("""COMPUTED_VALUE"""),82.0)</f>
        <v>82</v>
      </c>
      <c r="C919" s="30"/>
      <c r="D919" s="30"/>
      <c r="E919" s="30"/>
      <c r="F919" s="30"/>
      <c r="G919" s="30"/>
      <c r="H919" s="30"/>
      <c r="I919" s="30"/>
      <c r="J919" s="30">
        <f>IFERROR(__xludf.DUMMYFUNCTION("""COMPUTED_VALUE"""),-11.059343513011441)</f>
        <v>-11.05934351</v>
      </c>
      <c r="K919" s="30"/>
      <c r="L919" s="30"/>
      <c r="M919" s="30"/>
      <c r="N919" s="30"/>
      <c r="O919" s="30">
        <f>IFERROR(__xludf.DUMMYFUNCTION("""COMPUTED_VALUE"""),-2.630874715592867)</f>
        <v>-2.630874716</v>
      </c>
      <c r="P919" s="30">
        <f>IFERROR(__xludf.DUMMYFUNCTION("""COMPUTED_VALUE"""),4.463999088063446)</f>
        <v>4.463999088</v>
      </c>
      <c r="Q919" s="30"/>
      <c r="R919" s="30"/>
      <c r="S919" s="30"/>
      <c r="T919" s="30"/>
      <c r="U919" s="30">
        <v>0.0</v>
      </c>
      <c r="V919" s="30"/>
      <c r="W919" s="30"/>
      <c r="X919" s="30"/>
      <c r="Y919" s="5">
        <f>IFERROR(__xludf.DUMMYFUNCTION("""COMPUTED_VALUE"""),82.0)</f>
        <v>82</v>
      </c>
      <c r="Z919" s="5">
        <f>IFERROR(__xludf.DUMMYFUNCTION("""COMPUTED_VALUE"""),82.0)</f>
        <v>82</v>
      </c>
    </row>
    <row r="920">
      <c r="A920" s="30" t="s">
        <v>2767</v>
      </c>
      <c r="B920" s="30">
        <f>IFERROR(__xludf.DUMMYFUNCTION("""COMPUTED_VALUE"""),81.0)</f>
        <v>81</v>
      </c>
      <c r="C920" s="30"/>
      <c r="D920" s="30"/>
      <c r="E920" s="30"/>
      <c r="F920" s="30"/>
      <c r="G920" s="30"/>
      <c r="H920" s="30"/>
      <c r="I920" s="30"/>
      <c r="J920" s="30">
        <f>IFERROR(__xludf.DUMMYFUNCTION("""COMPUTED_VALUE"""),-11.059343513011441)</f>
        <v>-11.05934351</v>
      </c>
      <c r="K920" s="30"/>
      <c r="L920" s="30"/>
      <c r="M920" s="30"/>
      <c r="N920" s="30"/>
      <c r="O920" s="30">
        <f>IFERROR(__xludf.DUMMYFUNCTION("""COMPUTED_VALUE"""),-2.630874715592867)</f>
        <v>-2.630874716</v>
      </c>
      <c r="P920" s="30">
        <f>IFERROR(__xludf.DUMMYFUNCTION("""COMPUTED_VALUE"""),4.463999088063446)</f>
        <v>4.463999088</v>
      </c>
      <c r="Q920" s="30"/>
      <c r="R920" s="30"/>
      <c r="S920" s="30"/>
      <c r="T920" s="30"/>
      <c r="U920" s="30">
        <v>0.0</v>
      </c>
      <c r="V920" s="30"/>
      <c r="W920" s="30"/>
      <c r="X920" s="30"/>
      <c r="Y920" s="5">
        <f>IFERROR(__xludf.DUMMYFUNCTION("""COMPUTED_VALUE"""),81.0)</f>
        <v>81</v>
      </c>
      <c r="Z920" s="5">
        <f>IFERROR(__xludf.DUMMYFUNCTION("""COMPUTED_VALUE"""),81.0)</f>
        <v>81</v>
      </c>
    </row>
    <row r="921">
      <c r="A921" s="30" t="s">
        <v>2768</v>
      </c>
      <c r="B921" s="30">
        <f>IFERROR(__xludf.DUMMYFUNCTION("""COMPUTED_VALUE"""),83.0)</f>
        <v>83</v>
      </c>
      <c r="C921" s="30"/>
      <c r="D921" s="30"/>
      <c r="E921" s="30"/>
      <c r="F921" s="30"/>
      <c r="G921" s="30"/>
      <c r="H921" s="30"/>
      <c r="I921" s="30"/>
      <c r="J921" s="30">
        <f>IFERROR(__xludf.DUMMYFUNCTION("""COMPUTED_VALUE"""),-11.059343513011441)</f>
        <v>-11.05934351</v>
      </c>
      <c r="K921" s="30"/>
      <c r="L921" s="30"/>
      <c r="M921" s="30"/>
      <c r="N921" s="30"/>
      <c r="O921" s="30">
        <f>IFERROR(__xludf.DUMMYFUNCTION("""COMPUTED_VALUE"""),-2.630874715592867)</f>
        <v>-2.630874716</v>
      </c>
      <c r="P921" s="30">
        <f>IFERROR(__xludf.DUMMYFUNCTION("""COMPUTED_VALUE"""),4.463999088063446)</f>
        <v>4.463999088</v>
      </c>
      <c r="Q921" s="30"/>
      <c r="R921" s="30"/>
      <c r="S921" s="30"/>
      <c r="T921" s="30"/>
      <c r="U921" s="30">
        <v>0.0</v>
      </c>
      <c r="V921" s="30"/>
      <c r="W921" s="30"/>
      <c r="X921" s="30"/>
      <c r="Y921" s="5">
        <f>IFERROR(__xludf.DUMMYFUNCTION("""COMPUTED_VALUE"""),83.0)</f>
        <v>83</v>
      </c>
      <c r="Z921" s="5">
        <f>IFERROR(__xludf.DUMMYFUNCTION("""COMPUTED_VALUE"""),83.0)</f>
        <v>83</v>
      </c>
    </row>
    <row r="922">
      <c r="A922" s="30" t="s">
        <v>2769</v>
      </c>
      <c r="B922" s="30">
        <f>IFERROR(__xludf.DUMMYFUNCTION("""COMPUTED_VALUE"""),84.0)</f>
        <v>84</v>
      </c>
      <c r="C922" s="30"/>
      <c r="D922" s="30"/>
      <c r="E922" s="30"/>
      <c r="F922" s="30"/>
      <c r="G922" s="30"/>
      <c r="H922" s="30"/>
      <c r="I922" s="30"/>
      <c r="J922" s="30">
        <f>IFERROR(__xludf.DUMMYFUNCTION("""COMPUTED_VALUE"""),-11.059343513011441)</f>
        <v>-11.05934351</v>
      </c>
      <c r="K922" s="30"/>
      <c r="L922" s="30"/>
      <c r="M922" s="30"/>
      <c r="N922" s="30"/>
      <c r="O922" s="30">
        <f>IFERROR(__xludf.DUMMYFUNCTION("""COMPUTED_VALUE"""),-2.630874715592867)</f>
        <v>-2.630874716</v>
      </c>
      <c r="P922" s="30">
        <f>IFERROR(__xludf.DUMMYFUNCTION("""COMPUTED_VALUE"""),4.463999088063446)</f>
        <v>4.463999088</v>
      </c>
      <c r="Q922" s="30"/>
      <c r="R922" s="30"/>
      <c r="S922" s="30"/>
      <c r="T922" s="30"/>
      <c r="U922" s="30">
        <v>0.0</v>
      </c>
      <c r="V922" s="30"/>
      <c r="W922" s="30"/>
      <c r="X922" s="30"/>
      <c r="Y922" s="5">
        <f>IFERROR(__xludf.DUMMYFUNCTION("""COMPUTED_VALUE"""),84.0)</f>
        <v>84</v>
      </c>
      <c r="Z922" s="5">
        <f>IFERROR(__xludf.DUMMYFUNCTION("""COMPUTED_VALUE"""),84.0)</f>
        <v>84</v>
      </c>
    </row>
    <row r="923">
      <c r="A923" s="30" t="s">
        <v>2574</v>
      </c>
      <c r="B923" s="30">
        <f>IFERROR(__xludf.DUMMYFUNCTION("""COMPUTED_VALUE"""),86.5)</f>
        <v>86.5</v>
      </c>
      <c r="C923" s="30"/>
      <c r="D923" s="30"/>
      <c r="E923" s="30"/>
      <c r="F923" s="30"/>
      <c r="G923" s="30"/>
      <c r="H923" s="30"/>
      <c r="I923" s="30"/>
      <c r="J923" s="30">
        <f>IFERROR(__xludf.DUMMYFUNCTION("""COMPUTED_VALUE"""),-11.059343513011441)</f>
        <v>-11.05934351</v>
      </c>
      <c r="K923" s="30"/>
      <c r="L923" s="30"/>
      <c r="M923" s="30"/>
      <c r="N923" s="30"/>
      <c r="O923" s="30">
        <f>IFERROR(__xludf.DUMMYFUNCTION("""COMPUTED_VALUE"""),-2.630874715592867)</f>
        <v>-2.630874716</v>
      </c>
      <c r="P923" s="30">
        <f>IFERROR(__xludf.DUMMYFUNCTION("""COMPUTED_VALUE"""),4.463999088063446)</f>
        <v>4.463999088</v>
      </c>
      <c r="Q923" s="30"/>
      <c r="R923" s="30"/>
      <c r="S923" s="30"/>
      <c r="T923" s="30"/>
      <c r="U923" s="30">
        <v>0.0</v>
      </c>
      <c r="V923" s="30"/>
      <c r="W923" s="30"/>
      <c r="X923" s="30"/>
      <c r="Y923" s="5">
        <f>IFERROR(__xludf.DUMMYFUNCTION("""COMPUTED_VALUE"""),85.0)</f>
        <v>85</v>
      </c>
      <c r="Z923" s="5">
        <f>IFERROR(__xludf.DUMMYFUNCTION("""COMPUTED_VALUE"""),88.0)</f>
        <v>88</v>
      </c>
    </row>
    <row r="924">
      <c r="A924" s="30" t="s">
        <v>2545</v>
      </c>
      <c r="B924" s="30">
        <f>IFERROR(__xludf.DUMMYFUNCTION("""COMPUTED_VALUE"""),86.0)</f>
        <v>86</v>
      </c>
      <c r="C924" s="30"/>
      <c r="D924" s="30"/>
      <c r="E924" s="30"/>
      <c r="F924" s="30"/>
      <c r="G924" s="30"/>
      <c r="H924" s="30"/>
      <c r="I924" s="30"/>
      <c r="J924" s="30">
        <f>IFERROR(__xludf.DUMMYFUNCTION("""COMPUTED_VALUE"""),-11.059343513011441)</f>
        <v>-11.05934351</v>
      </c>
      <c r="K924" s="30"/>
      <c r="L924" s="30"/>
      <c r="M924" s="30"/>
      <c r="N924" s="30"/>
      <c r="O924" s="30">
        <f>IFERROR(__xludf.DUMMYFUNCTION("""COMPUTED_VALUE"""),-2.630874715592867)</f>
        <v>-2.630874716</v>
      </c>
      <c r="P924" s="30">
        <f>IFERROR(__xludf.DUMMYFUNCTION("""COMPUTED_VALUE"""),4.463999088063446)</f>
        <v>4.463999088</v>
      </c>
      <c r="Q924" s="30"/>
      <c r="R924" s="30"/>
      <c r="S924" s="30"/>
      <c r="T924" s="30"/>
      <c r="U924" s="30">
        <v>0.0</v>
      </c>
      <c r="V924" s="30"/>
      <c r="W924" s="30"/>
      <c r="X924" s="30"/>
      <c r="Y924" s="5">
        <f>IFERROR(__xludf.DUMMYFUNCTION("""COMPUTED_VALUE"""),84.0)</f>
        <v>84</v>
      </c>
      <c r="Z924" s="5">
        <f>IFERROR(__xludf.DUMMYFUNCTION("""COMPUTED_VALUE"""),88.0)</f>
        <v>88</v>
      </c>
    </row>
    <row r="925">
      <c r="A925" s="30" t="s">
        <v>1959</v>
      </c>
      <c r="B925" s="30">
        <f>IFERROR(__xludf.DUMMYFUNCTION("""COMPUTED_VALUE"""),88.0)</f>
        <v>88</v>
      </c>
      <c r="C925" s="30"/>
      <c r="D925" s="30"/>
      <c r="E925" s="30"/>
      <c r="F925" s="30"/>
      <c r="G925" s="30"/>
      <c r="H925" s="30"/>
      <c r="I925" s="30"/>
      <c r="J925" s="30">
        <f>IFERROR(__xludf.DUMMYFUNCTION("""COMPUTED_VALUE"""),-11.059343513011441)</f>
        <v>-11.05934351</v>
      </c>
      <c r="K925" s="30"/>
      <c r="L925" s="30"/>
      <c r="M925" s="30"/>
      <c r="N925" s="30"/>
      <c r="O925" s="30">
        <f>IFERROR(__xludf.DUMMYFUNCTION("""COMPUTED_VALUE"""),-2.630874715592867)</f>
        <v>-2.630874716</v>
      </c>
      <c r="P925" s="30">
        <f>IFERROR(__xludf.DUMMYFUNCTION("""COMPUTED_VALUE"""),4.463999088063446)</f>
        <v>4.463999088</v>
      </c>
      <c r="Q925" s="30"/>
      <c r="R925" s="30"/>
      <c r="S925" s="30"/>
      <c r="T925" s="30"/>
      <c r="U925" s="30">
        <v>0.0</v>
      </c>
      <c r="V925" s="30"/>
      <c r="W925" s="30"/>
      <c r="X925" s="30"/>
      <c r="Y925" s="5">
        <f>IFERROR(__xludf.DUMMYFUNCTION("""COMPUTED_VALUE"""),88.0)</f>
        <v>88</v>
      </c>
      <c r="Z925" s="5">
        <f>IFERROR(__xludf.DUMMYFUNCTION("""COMPUTED_VALUE"""),88.0)</f>
        <v>88</v>
      </c>
    </row>
    <row r="926">
      <c r="A926" s="30" t="s">
        <v>2591</v>
      </c>
      <c r="B926" s="30">
        <f>IFERROR(__xludf.DUMMYFUNCTION("""COMPUTED_VALUE"""),88.0)</f>
        <v>88</v>
      </c>
      <c r="C926" s="30"/>
      <c r="D926" s="30"/>
      <c r="E926" s="30"/>
      <c r="F926" s="30"/>
      <c r="G926" s="30"/>
      <c r="H926" s="30"/>
      <c r="I926" s="30"/>
      <c r="J926" s="30">
        <f>IFERROR(__xludf.DUMMYFUNCTION("""COMPUTED_VALUE"""),-11.059343513011441)</f>
        <v>-11.05934351</v>
      </c>
      <c r="K926" s="30"/>
      <c r="L926" s="30"/>
      <c r="M926" s="30"/>
      <c r="N926" s="30"/>
      <c r="O926" s="30">
        <f>IFERROR(__xludf.DUMMYFUNCTION("""COMPUTED_VALUE"""),-2.630874715592867)</f>
        <v>-2.630874716</v>
      </c>
      <c r="P926" s="30">
        <f>IFERROR(__xludf.DUMMYFUNCTION("""COMPUTED_VALUE"""),4.463999088063446)</f>
        <v>4.463999088</v>
      </c>
      <c r="Q926" s="30"/>
      <c r="R926" s="30"/>
      <c r="S926" s="30"/>
      <c r="T926" s="30"/>
      <c r="U926" s="30">
        <v>0.0</v>
      </c>
      <c r="V926" s="30"/>
      <c r="W926" s="30"/>
      <c r="X926" s="30"/>
      <c r="Y926" s="5">
        <f>IFERROR(__xludf.DUMMYFUNCTION("""COMPUTED_VALUE"""),88.0)</f>
        <v>88</v>
      </c>
      <c r="Z926" s="5">
        <f>IFERROR(__xludf.DUMMYFUNCTION("""COMPUTED_VALUE"""),88.0)</f>
        <v>88</v>
      </c>
    </row>
    <row r="927">
      <c r="A927" s="30" t="s">
        <v>2787</v>
      </c>
      <c r="B927" s="30">
        <f>IFERROR(__xludf.DUMMYFUNCTION("""COMPUTED_VALUE"""),88.0)</f>
        <v>88</v>
      </c>
      <c r="C927" s="30"/>
      <c r="D927" s="30"/>
      <c r="E927" s="30"/>
      <c r="F927" s="30"/>
      <c r="G927" s="30"/>
      <c r="H927" s="30"/>
      <c r="I927" s="30"/>
      <c r="J927" s="30">
        <f>IFERROR(__xludf.DUMMYFUNCTION("""COMPUTED_VALUE"""),-11.059343513011441)</f>
        <v>-11.05934351</v>
      </c>
      <c r="K927" s="30"/>
      <c r="L927" s="30"/>
      <c r="M927" s="30"/>
      <c r="N927" s="30"/>
      <c r="O927" s="30">
        <f>IFERROR(__xludf.DUMMYFUNCTION("""COMPUTED_VALUE"""),-2.630874715592867)</f>
        <v>-2.630874716</v>
      </c>
      <c r="P927" s="30">
        <f>IFERROR(__xludf.DUMMYFUNCTION("""COMPUTED_VALUE"""),4.463999088063446)</f>
        <v>4.463999088</v>
      </c>
      <c r="Q927" s="30"/>
      <c r="R927" s="30"/>
      <c r="S927" s="30"/>
      <c r="T927" s="30"/>
      <c r="U927" s="30">
        <v>0.0</v>
      </c>
      <c r="V927" s="30"/>
      <c r="W927" s="30"/>
      <c r="X927" s="30"/>
      <c r="Y927" s="5">
        <f>IFERROR(__xludf.DUMMYFUNCTION("""COMPUTED_VALUE"""),88.0)</f>
        <v>88</v>
      </c>
      <c r="Z927" s="5">
        <f>IFERROR(__xludf.DUMMYFUNCTION("""COMPUTED_VALUE"""),88.0)</f>
        <v>88</v>
      </c>
    </row>
    <row r="928">
      <c r="A928" s="30" t="s">
        <v>2713</v>
      </c>
      <c r="B928" s="30">
        <f>IFERROR(__xludf.DUMMYFUNCTION("""COMPUTED_VALUE"""),85.0)</f>
        <v>85</v>
      </c>
      <c r="C928" s="30"/>
      <c r="D928" s="30"/>
      <c r="E928" s="30"/>
      <c r="F928" s="30"/>
      <c r="G928" s="30"/>
      <c r="H928" s="30"/>
      <c r="I928" s="30"/>
      <c r="J928" s="30">
        <f>IFERROR(__xludf.DUMMYFUNCTION("""COMPUTED_VALUE"""),-11.059343513011441)</f>
        <v>-11.05934351</v>
      </c>
      <c r="K928" s="30"/>
      <c r="L928" s="30"/>
      <c r="M928" s="30"/>
      <c r="N928" s="30"/>
      <c r="O928" s="30">
        <f>IFERROR(__xludf.DUMMYFUNCTION("""COMPUTED_VALUE"""),-2.630874715592867)</f>
        <v>-2.630874716</v>
      </c>
      <c r="P928" s="30">
        <f>IFERROR(__xludf.DUMMYFUNCTION("""COMPUTED_VALUE"""),4.463999088063446)</f>
        <v>4.463999088</v>
      </c>
      <c r="Q928" s="30"/>
      <c r="R928" s="30"/>
      <c r="S928" s="30"/>
      <c r="T928" s="30"/>
      <c r="U928" s="30">
        <v>0.0</v>
      </c>
      <c r="V928" s="30"/>
      <c r="W928" s="30"/>
      <c r="X928" s="30"/>
      <c r="Y928" s="5">
        <f>IFERROR(__xludf.DUMMYFUNCTION("""COMPUTED_VALUE"""),82.0)</f>
        <v>82</v>
      </c>
      <c r="Z928" s="5">
        <f>IFERROR(__xludf.DUMMYFUNCTION("""COMPUTED_VALUE"""),88.0)</f>
        <v>88</v>
      </c>
    </row>
    <row r="929">
      <c r="A929" s="30" t="s">
        <v>2792</v>
      </c>
      <c r="B929" s="30">
        <f>IFERROR(__xludf.DUMMYFUNCTION("""COMPUTED_VALUE"""),84.0)</f>
        <v>84</v>
      </c>
      <c r="C929" s="30"/>
      <c r="D929" s="30"/>
      <c r="E929" s="30"/>
      <c r="F929" s="30"/>
      <c r="G929" s="30"/>
      <c r="H929" s="30"/>
      <c r="I929" s="30"/>
      <c r="J929" s="30">
        <f>IFERROR(__xludf.DUMMYFUNCTION("""COMPUTED_VALUE"""),-11.059343513011441)</f>
        <v>-11.05934351</v>
      </c>
      <c r="K929" s="30"/>
      <c r="L929" s="30"/>
      <c r="M929" s="30"/>
      <c r="N929" s="30"/>
      <c r="O929" s="30">
        <f>IFERROR(__xludf.DUMMYFUNCTION("""COMPUTED_VALUE"""),-2.630874715592867)</f>
        <v>-2.630874716</v>
      </c>
      <c r="P929" s="30">
        <f>IFERROR(__xludf.DUMMYFUNCTION("""COMPUTED_VALUE"""),4.463999088063446)</f>
        <v>4.463999088</v>
      </c>
      <c r="Q929" s="30"/>
      <c r="R929" s="30"/>
      <c r="S929" s="30"/>
      <c r="T929" s="30"/>
      <c r="U929" s="30">
        <v>0.0</v>
      </c>
      <c r="V929" s="30"/>
      <c r="W929" s="30"/>
      <c r="X929" s="30"/>
      <c r="Y929" s="5">
        <f>IFERROR(__xludf.DUMMYFUNCTION("""COMPUTED_VALUE"""),84.0)</f>
        <v>84</v>
      </c>
      <c r="Z929" s="5">
        <f>IFERROR(__xludf.DUMMYFUNCTION("""COMPUTED_VALUE"""),84.0)</f>
        <v>84</v>
      </c>
    </row>
    <row r="930">
      <c r="A930" s="30" t="s">
        <v>2793</v>
      </c>
      <c r="B930" s="30">
        <f>IFERROR(__xludf.DUMMYFUNCTION("""COMPUTED_VALUE"""),87.0)</f>
        <v>87</v>
      </c>
      <c r="C930" s="30"/>
      <c r="D930" s="30"/>
      <c r="E930" s="30"/>
      <c r="F930" s="30"/>
      <c r="G930" s="30"/>
      <c r="H930" s="30"/>
      <c r="I930" s="30"/>
      <c r="J930" s="30">
        <f>IFERROR(__xludf.DUMMYFUNCTION("""COMPUTED_VALUE"""),-11.059343513011441)</f>
        <v>-11.05934351</v>
      </c>
      <c r="K930" s="30"/>
      <c r="L930" s="30"/>
      <c r="M930" s="30"/>
      <c r="N930" s="30"/>
      <c r="O930" s="30">
        <f>IFERROR(__xludf.DUMMYFUNCTION("""COMPUTED_VALUE"""),-2.630874715592867)</f>
        <v>-2.630874716</v>
      </c>
      <c r="P930" s="30">
        <f>IFERROR(__xludf.DUMMYFUNCTION("""COMPUTED_VALUE"""),4.463999088063446)</f>
        <v>4.463999088</v>
      </c>
      <c r="Q930" s="30"/>
      <c r="R930" s="30"/>
      <c r="S930" s="30"/>
      <c r="T930" s="30"/>
      <c r="U930" s="30">
        <v>0.0</v>
      </c>
      <c r="V930" s="30"/>
      <c r="W930" s="30"/>
      <c r="X930" s="30"/>
      <c r="Y930" s="5">
        <f>IFERROR(__xludf.DUMMYFUNCTION("""COMPUTED_VALUE"""),87.0)</f>
        <v>87</v>
      </c>
      <c r="Z930" s="5">
        <f>IFERROR(__xludf.DUMMYFUNCTION("""COMPUTED_VALUE"""),87.0)</f>
        <v>87</v>
      </c>
    </row>
    <row r="931">
      <c r="A931" s="30" t="s">
        <v>2730</v>
      </c>
      <c r="B931" s="30">
        <f>IFERROR(__xludf.DUMMYFUNCTION("""COMPUTED_VALUE"""),86.0)</f>
        <v>86</v>
      </c>
      <c r="C931" s="30"/>
      <c r="D931" s="30"/>
      <c r="E931" s="30"/>
      <c r="F931" s="30"/>
      <c r="G931" s="30"/>
      <c r="H931" s="30"/>
      <c r="I931" s="30"/>
      <c r="J931" s="30">
        <f>IFERROR(__xludf.DUMMYFUNCTION("""COMPUTED_VALUE"""),-11.059343513011441)</f>
        <v>-11.05934351</v>
      </c>
      <c r="K931" s="30"/>
      <c r="L931" s="30"/>
      <c r="M931" s="30"/>
      <c r="N931" s="30"/>
      <c r="O931" s="30">
        <f>IFERROR(__xludf.DUMMYFUNCTION("""COMPUTED_VALUE"""),-2.630874715592867)</f>
        <v>-2.630874716</v>
      </c>
      <c r="P931" s="30">
        <f>IFERROR(__xludf.DUMMYFUNCTION("""COMPUTED_VALUE"""),4.463999088063446)</f>
        <v>4.463999088</v>
      </c>
      <c r="Q931" s="30"/>
      <c r="R931" s="30"/>
      <c r="S931" s="30"/>
      <c r="T931" s="30"/>
      <c r="U931" s="30">
        <v>0.0</v>
      </c>
      <c r="V931" s="30"/>
      <c r="W931" s="30"/>
      <c r="X931" s="30"/>
      <c r="Y931" s="5">
        <f>IFERROR(__xludf.DUMMYFUNCTION("""COMPUTED_VALUE"""),84.0)</f>
        <v>84</v>
      </c>
      <c r="Z931" s="5">
        <f>IFERROR(__xludf.DUMMYFUNCTION("""COMPUTED_VALUE"""),88.0)</f>
        <v>88</v>
      </c>
    </row>
    <row r="932">
      <c r="A932" s="30" t="s">
        <v>1178</v>
      </c>
      <c r="B932" s="30">
        <f>IFERROR(__xludf.DUMMYFUNCTION("""COMPUTED_VALUE"""),81.0)</f>
        <v>81</v>
      </c>
      <c r="C932" s="30"/>
      <c r="D932" s="30"/>
      <c r="E932" s="30"/>
      <c r="F932" s="30"/>
      <c r="G932" s="30"/>
      <c r="H932" s="30"/>
      <c r="I932" s="30"/>
      <c r="J932" s="30">
        <f>IFERROR(__xludf.DUMMYFUNCTION("""COMPUTED_VALUE"""),-11.059343513011441)</f>
        <v>-11.05934351</v>
      </c>
      <c r="K932" s="30"/>
      <c r="L932" s="30"/>
      <c r="M932" s="30"/>
      <c r="N932" s="30"/>
      <c r="O932" s="30">
        <f>IFERROR(__xludf.DUMMYFUNCTION("""COMPUTED_VALUE"""),-2.630874715592867)</f>
        <v>-2.630874716</v>
      </c>
      <c r="P932" s="30">
        <f>IFERROR(__xludf.DUMMYFUNCTION("""COMPUTED_VALUE"""),4.463999088063446)</f>
        <v>4.463999088</v>
      </c>
      <c r="Q932" s="30"/>
      <c r="R932" s="30"/>
      <c r="S932" s="30"/>
      <c r="T932" s="30"/>
      <c r="U932" s="30">
        <v>0.0</v>
      </c>
      <c r="V932" s="30"/>
      <c r="W932" s="30"/>
      <c r="X932" s="30"/>
      <c r="Y932" s="5">
        <f>IFERROR(__xludf.DUMMYFUNCTION("""COMPUTED_VALUE"""),81.0)</f>
        <v>81</v>
      </c>
      <c r="Z932" s="5">
        <f>IFERROR(__xludf.DUMMYFUNCTION("""COMPUTED_VALUE"""),81.0)</f>
        <v>81</v>
      </c>
    </row>
    <row r="933">
      <c r="A933" s="30" t="s">
        <v>2797</v>
      </c>
      <c r="B933" s="30">
        <f>IFERROR(__xludf.DUMMYFUNCTION("""COMPUTED_VALUE"""),84.5)</f>
        <v>84.5</v>
      </c>
      <c r="C933" s="30"/>
      <c r="D933" s="30"/>
      <c r="E933" s="30"/>
      <c r="F933" s="30"/>
      <c r="G933" s="30"/>
      <c r="H933" s="30"/>
      <c r="I933" s="30"/>
      <c r="J933" s="30">
        <f>IFERROR(__xludf.DUMMYFUNCTION("""COMPUTED_VALUE"""),-11.059343513011441)</f>
        <v>-11.05934351</v>
      </c>
      <c r="K933" s="30"/>
      <c r="L933" s="30"/>
      <c r="M933" s="30"/>
      <c r="N933" s="30"/>
      <c r="O933" s="30">
        <f>IFERROR(__xludf.DUMMYFUNCTION("""COMPUTED_VALUE"""),-2.630874715592867)</f>
        <v>-2.630874716</v>
      </c>
      <c r="P933" s="30">
        <f>IFERROR(__xludf.DUMMYFUNCTION("""COMPUTED_VALUE"""),4.463999088063446)</f>
        <v>4.463999088</v>
      </c>
      <c r="Q933" s="30"/>
      <c r="R933" s="30"/>
      <c r="S933" s="30"/>
      <c r="T933" s="30"/>
      <c r="U933" s="30">
        <v>0.0</v>
      </c>
      <c r="V933" s="30"/>
      <c r="W933" s="30"/>
      <c r="X933" s="30"/>
      <c r="Y933" s="5">
        <f>IFERROR(__xludf.DUMMYFUNCTION("""COMPUTED_VALUE"""),84.0)</f>
        <v>84</v>
      </c>
      <c r="Z933" s="5">
        <f>IFERROR(__xludf.DUMMYFUNCTION("""COMPUTED_VALUE"""),85.0)</f>
        <v>85</v>
      </c>
    </row>
    <row r="934">
      <c r="A934" s="30" t="s">
        <v>2585</v>
      </c>
      <c r="B934" s="30">
        <f>IFERROR(__xludf.DUMMYFUNCTION("""COMPUTED_VALUE"""),86.0)</f>
        <v>86</v>
      </c>
      <c r="C934" s="30"/>
      <c r="D934" s="30"/>
      <c r="E934" s="30"/>
      <c r="F934" s="30"/>
      <c r="G934" s="30"/>
      <c r="H934" s="30"/>
      <c r="I934" s="30"/>
      <c r="J934" s="30">
        <f>IFERROR(__xludf.DUMMYFUNCTION("""COMPUTED_VALUE"""),-11.059343513011441)</f>
        <v>-11.05934351</v>
      </c>
      <c r="K934" s="30"/>
      <c r="L934" s="30"/>
      <c r="M934" s="30"/>
      <c r="N934" s="30"/>
      <c r="O934" s="30">
        <f>IFERROR(__xludf.DUMMYFUNCTION("""COMPUTED_VALUE"""),-2.630874715592867)</f>
        <v>-2.630874716</v>
      </c>
      <c r="P934" s="30">
        <f>IFERROR(__xludf.DUMMYFUNCTION("""COMPUTED_VALUE"""),4.463999088063446)</f>
        <v>4.463999088</v>
      </c>
      <c r="Q934" s="30"/>
      <c r="R934" s="30"/>
      <c r="S934" s="30"/>
      <c r="T934" s="30"/>
      <c r="U934" s="30">
        <v>0.0</v>
      </c>
      <c r="V934" s="30"/>
      <c r="W934" s="30"/>
      <c r="X934" s="30"/>
      <c r="Y934" s="5">
        <f>IFERROR(__xludf.DUMMYFUNCTION("""COMPUTED_VALUE"""),84.0)</f>
        <v>84</v>
      </c>
      <c r="Z934" s="5">
        <f>IFERROR(__xludf.DUMMYFUNCTION("""COMPUTED_VALUE"""),88.0)</f>
        <v>88</v>
      </c>
    </row>
    <row r="935">
      <c r="A935" s="30" t="s">
        <v>1518</v>
      </c>
      <c r="B935" s="30">
        <f>IFERROR(__xludf.DUMMYFUNCTION("""COMPUTED_VALUE"""),85.5)</f>
        <v>85.5</v>
      </c>
      <c r="C935" s="30"/>
      <c r="D935" s="30"/>
      <c r="E935" s="30"/>
      <c r="F935" s="30"/>
      <c r="G935" s="30"/>
      <c r="H935" s="30"/>
      <c r="I935" s="30"/>
      <c r="J935" s="30">
        <f>IFERROR(__xludf.DUMMYFUNCTION("""COMPUTED_VALUE"""),-11.059343513011441)</f>
        <v>-11.05934351</v>
      </c>
      <c r="K935" s="30"/>
      <c r="L935" s="30"/>
      <c r="M935" s="30"/>
      <c r="N935" s="30"/>
      <c r="O935" s="30">
        <f>IFERROR(__xludf.DUMMYFUNCTION("""COMPUTED_VALUE"""),-2.630874715592867)</f>
        <v>-2.630874716</v>
      </c>
      <c r="P935" s="30">
        <f>IFERROR(__xludf.DUMMYFUNCTION("""COMPUTED_VALUE"""),4.463999088063446)</f>
        <v>4.463999088</v>
      </c>
      <c r="Q935" s="30"/>
      <c r="R935" s="30"/>
      <c r="S935" s="30"/>
      <c r="T935" s="30"/>
      <c r="U935" s="30">
        <v>0.0</v>
      </c>
      <c r="V935" s="30"/>
      <c r="W935" s="30"/>
      <c r="X935" s="30"/>
      <c r="Y935" s="5">
        <f>IFERROR(__xludf.DUMMYFUNCTION("""COMPUTED_VALUE"""),83.0)</f>
        <v>83</v>
      </c>
      <c r="Z935" s="5">
        <f>IFERROR(__xludf.DUMMYFUNCTION("""COMPUTED_VALUE"""),88.0)</f>
        <v>88</v>
      </c>
    </row>
    <row r="936">
      <c r="A936" s="30" t="s">
        <v>2808</v>
      </c>
      <c r="B936" s="30">
        <f>IFERROR(__xludf.DUMMYFUNCTION("""COMPUTED_VALUE"""),86.0)</f>
        <v>86</v>
      </c>
      <c r="C936" s="30"/>
      <c r="D936" s="30"/>
      <c r="E936" s="30"/>
      <c r="F936" s="30"/>
      <c r="G936" s="30"/>
      <c r="H936" s="30"/>
      <c r="I936" s="30"/>
      <c r="J936" s="30">
        <f>IFERROR(__xludf.DUMMYFUNCTION("""COMPUTED_VALUE"""),-11.059343513011441)</f>
        <v>-11.05934351</v>
      </c>
      <c r="K936" s="30"/>
      <c r="L936" s="30"/>
      <c r="M936" s="30"/>
      <c r="N936" s="30"/>
      <c r="O936" s="30">
        <f>IFERROR(__xludf.DUMMYFUNCTION("""COMPUTED_VALUE"""),-2.630874715592867)</f>
        <v>-2.630874716</v>
      </c>
      <c r="P936" s="30">
        <f>IFERROR(__xludf.DUMMYFUNCTION("""COMPUTED_VALUE"""),4.463999088063446)</f>
        <v>4.463999088</v>
      </c>
      <c r="Q936" s="30"/>
      <c r="R936" s="30"/>
      <c r="S936" s="30"/>
      <c r="T936" s="30"/>
      <c r="U936" s="30">
        <v>0.0</v>
      </c>
      <c r="V936" s="30"/>
      <c r="W936" s="30"/>
      <c r="X936" s="30"/>
      <c r="Y936" s="5">
        <f>IFERROR(__xludf.DUMMYFUNCTION("""COMPUTED_VALUE"""),84.0)</f>
        <v>84</v>
      </c>
      <c r="Z936" s="5">
        <f>IFERROR(__xludf.DUMMYFUNCTION("""COMPUTED_VALUE"""),88.0)</f>
        <v>88</v>
      </c>
    </row>
    <row r="937">
      <c r="A937" s="30" t="s">
        <v>2634</v>
      </c>
      <c r="B937" s="30">
        <f>IFERROR(__xludf.DUMMYFUNCTION("""COMPUTED_VALUE"""),86.0)</f>
        <v>86</v>
      </c>
      <c r="C937" s="30"/>
      <c r="D937" s="30"/>
      <c r="E937" s="30"/>
      <c r="F937" s="30"/>
      <c r="G937" s="30"/>
      <c r="H937" s="30"/>
      <c r="I937" s="30"/>
      <c r="J937" s="30">
        <f>IFERROR(__xludf.DUMMYFUNCTION("""COMPUTED_VALUE"""),-11.059343513011441)</f>
        <v>-11.05934351</v>
      </c>
      <c r="K937" s="30"/>
      <c r="L937" s="30"/>
      <c r="M937" s="30"/>
      <c r="N937" s="30"/>
      <c r="O937" s="30">
        <f>IFERROR(__xludf.DUMMYFUNCTION("""COMPUTED_VALUE"""),-2.630874715592867)</f>
        <v>-2.630874716</v>
      </c>
      <c r="P937" s="30">
        <f>IFERROR(__xludf.DUMMYFUNCTION("""COMPUTED_VALUE"""),4.463999088063446)</f>
        <v>4.463999088</v>
      </c>
      <c r="Q937" s="30"/>
      <c r="R937" s="30"/>
      <c r="S937" s="30"/>
      <c r="T937" s="30"/>
      <c r="U937" s="30">
        <v>0.0</v>
      </c>
      <c r="V937" s="30"/>
      <c r="W937" s="30"/>
      <c r="X937" s="30"/>
      <c r="Y937" s="5">
        <f>IFERROR(__xludf.DUMMYFUNCTION("""COMPUTED_VALUE"""),84.0)</f>
        <v>84</v>
      </c>
      <c r="Z937" s="5">
        <f>IFERROR(__xludf.DUMMYFUNCTION("""COMPUTED_VALUE"""),88.0)</f>
        <v>88</v>
      </c>
    </row>
    <row r="938">
      <c r="A938" s="30" t="s">
        <v>2812</v>
      </c>
      <c r="B938" s="30">
        <f>IFERROR(__xludf.DUMMYFUNCTION("""COMPUTED_VALUE"""),83.5)</f>
        <v>83.5</v>
      </c>
      <c r="C938" s="30"/>
      <c r="D938" s="30"/>
      <c r="E938" s="30"/>
      <c r="F938" s="30"/>
      <c r="G938" s="30"/>
      <c r="H938" s="30"/>
      <c r="I938" s="30"/>
      <c r="J938" s="30">
        <f>IFERROR(__xludf.DUMMYFUNCTION("""COMPUTED_VALUE"""),-11.059343513011441)</f>
        <v>-11.05934351</v>
      </c>
      <c r="K938" s="30"/>
      <c r="L938" s="30"/>
      <c r="M938" s="30"/>
      <c r="N938" s="30"/>
      <c r="O938" s="30">
        <f>IFERROR(__xludf.DUMMYFUNCTION("""COMPUTED_VALUE"""),-2.630874715592867)</f>
        <v>-2.630874716</v>
      </c>
      <c r="P938" s="30">
        <f>IFERROR(__xludf.DUMMYFUNCTION("""COMPUTED_VALUE"""),4.463999088063446)</f>
        <v>4.463999088</v>
      </c>
      <c r="Q938" s="30"/>
      <c r="R938" s="30"/>
      <c r="S938" s="30"/>
      <c r="T938" s="30"/>
      <c r="U938" s="30">
        <v>0.0</v>
      </c>
      <c r="V938" s="30"/>
      <c r="W938" s="30"/>
      <c r="X938" s="30"/>
      <c r="Y938" s="5">
        <f>IFERROR(__xludf.DUMMYFUNCTION("""COMPUTED_VALUE"""),83.0)</f>
        <v>83</v>
      </c>
      <c r="Z938" s="5">
        <f>IFERROR(__xludf.DUMMYFUNCTION("""COMPUTED_VALUE"""),84.0)</f>
        <v>84</v>
      </c>
    </row>
    <row r="939">
      <c r="A939" s="30" t="s">
        <v>2815</v>
      </c>
      <c r="B939" s="30">
        <f>IFERROR(__xludf.DUMMYFUNCTION("""COMPUTED_VALUE"""),86.0)</f>
        <v>86</v>
      </c>
      <c r="C939" s="30"/>
      <c r="D939" s="30"/>
      <c r="E939" s="30"/>
      <c r="F939" s="30"/>
      <c r="G939" s="30"/>
      <c r="H939" s="30"/>
      <c r="I939" s="30"/>
      <c r="J939" s="30">
        <f>IFERROR(__xludf.DUMMYFUNCTION("""COMPUTED_VALUE"""),-11.059343513011441)</f>
        <v>-11.05934351</v>
      </c>
      <c r="K939" s="30"/>
      <c r="L939" s="30"/>
      <c r="M939" s="30"/>
      <c r="N939" s="30"/>
      <c r="O939" s="30">
        <f>IFERROR(__xludf.DUMMYFUNCTION("""COMPUTED_VALUE"""),-2.630874715592867)</f>
        <v>-2.630874716</v>
      </c>
      <c r="P939" s="30">
        <f>IFERROR(__xludf.DUMMYFUNCTION("""COMPUTED_VALUE"""),4.463999088063446)</f>
        <v>4.463999088</v>
      </c>
      <c r="Q939" s="30"/>
      <c r="R939" s="30"/>
      <c r="S939" s="30"/>
      <c r="T939" s="30"/>
      <c r="U939" s="30">
        <v>0.0</v>
      </c>
      <c r="V939" s="30"/>
      <c r="W939" s="30"/>
      <c r="X939" s="30"/>
      <c r="Y939" s="5">
        <f>IFERROR(__xludf.DUMMYFUNCTION("""COMPUTED_VALUE"""),84.0)</f>
        <v>84</v>
      </c>
      <c r="Z939" s="5">
        <f>IFERROR(__xludf.DUMMYFUNCTION("""COMPUTED_VALUE"""),88.0)</f>
        <v>88</v>
      </c>
    </row>
    <row r="940">
      <c r="A940" s="30" t="s">
        <v>2012</v>
      </c>
      <c r="B940" s="30">
        <f>IFERROR(__xludf.DUMMYFUNCTION("""COMPUTED_VALUE"""),85.5)</f>
        <v>85.5</v>
      </c>
      <c r="C940" s="30"/>
      <c r="D940" s="30"/>
      <c r="E940" s="30"/>
      <c r="F940" s="30"/>
      <c r="G940" s="30"/>
      <c r="H940" s="30"/>
      <c r="I940" s="30"/>
      <c r="J940" s="30">
        <f>IFERROR(__xludf.DUMMYFUNCTION("""COMPUTED_VALUE"""),-11.059343513011441)</f>
        <v>-11.05934351</v>
      </c>
      <c r="K940" s="30"/>
      <c r="L940" s="30"/>
      <c r="M940" s="30"/>
      <c r="N940" s="30"/>
      <c r="O940" s="30">
        <f>IFERROR(__xludf.DUMMYFUNCTION("""COMPUTED_VALUE"""),-2.630874715592867)</f>
        <v>-2.630874716</v>
      </c>
      <c r="P940" s="30">
        <f>IFERROR(__xludf.DUMMYFUNCTION("""COMPUTED_VALUE"""),4.463999088063446)</f>
        <v>4.463999088</v>
      </c>
      <c r="Q940" s="30"/>
      <c r="R940" s="30"/>
      <c r="S940" s="30"/>
      <c r="T940" s="30"/>
      <c r="U940" s="30">
        <v>0.0</v>
      </c>
      <c r="V940" s="30"/>
      <c r="W940" s="30"/>
      <c r="X940" s="30"/>
      <c r="Y940" s="5">
        <f>IFERROR(__xludf.DUMMYFUNCTION("""COMPUTED_VALUE"""),83.0)</f>
        <v>83</v>
      </c>
      <c r="Z940" s="5">
        <f>IFERROR(__xludf.DUMMYFUNCTION("""COMPUTED_VALUE"""),88.0)</f>
        <v>88</v>
      </c>
    </row>
    <row r="941">
      <c r="A941" s="30" t="s">
        <v>2825</v>
      </c>
      <c r="B941" s="30">
        <f>IFERROR(__xludf.DUMMYFUNCTION("""COMPUTED_VALUE"""),88.0)</f>
        <v>88</v>
      </c>
      <c r="C941" s="30"/>
      <c r="D941" s="30"/>
      <c r="E941" s="30"/>
      <c r="F941" s="30"/>
      <c r="G941" s="30"/>
      <c r="H941" s="30"/>
      <c r="I941" s="30"/>
      <c r="J941" s="30">
        <f>IFERROR(__xludf.DUMMYFUNCTION("""COMPUTED_VALUE"""),-11.059343513011441)</f>
        <v>-11.05934351</v>
      </c>
      <c r="K941" s="30"/>
      <c r="L941" s="30"/>
      <c r="M941" s="30"/>
      <c r="N941" s="30"/>
      <c r="O941" s="30">
        <f>IFERROR(__xludf.DUMMYFUNCTION("""COMPUTED_VALUE"""),-2.630874715592867)</f>
        <v>-2.630874716</v>
      </c>
      <c r="P941" s="30">
        <f>IFERROR(__xludf.DUMMYFUNCTION("""COMPUTED_VALUE"""),4.463999088063446)</f>
        <v>4.463999088</v>
      </c>
      <c r="Q941" s="30"/>
      <c r="R941" s="30"/>
      <c r="S941" s="30"/>
      <c r="T941" s="30"/>
      <c r="U941" s="30">
        <v>0.0</v>
      </c>
      <c r="V941" s="30"/>
      <c r="W941" s="30"/>
      <c r="X941" s="30"/>
      <c r="Y941" s="5">
        <f>IFERROR(__xludf.DUMMYFUNCTION("""COMPUTED_VALUE"""),88.0)</f>
        <v>88</v>
      </c>
      <c r="Z941" s="5">
        <f>IFERROR(__xludf.DUMMYFUNCTION("""COMPUTED_VALUE"""),88.0)</f>
        <v>88</v>
      </c>
    </row>
    <row r="942">
      <c r="A942" s="30" t="s">
        <v>2826</v>
      </c>
      <c r="B942" s="30">
        <f>IFERROR(__xludf.DUMMYFUNCTION("""COMPUTED_VALUE"""),86.0)</f>
        <v>86</v>
      </c>
      <c r="C942" s="30"/>
      <c r="D942" s="30"/>
      <c r="E942" s="30"/>
      <c r="F942" s="30"/>
      <c r="G942" s="30"/>
      <c r="H942" s="30"/>
      <c r="I942" s="30"/>
      <c r="J942" s="30">
        <f>IFERROR(__xludf.DUMMYFUNCTION("""COMPUTED_VALUE"""),-11.059343513011441)</f>
        <v>-11.05934351</v>
      </c>
      <c r="K942" s="30"/>
      <c r="L942" s="30"/>
      <c r="M942" s="30"/>
      <c r="N942" s="30"/>
      <c r="O942" s="30">
        <f>IFERROR(__xludf.DUMMYFUNCTION("""COMPUTED_VALUE"""),-2.630874715592867)</f>
        <v>-2.630874716</v>
      </c>
      <c r="P942" s="30">
        <f>IFERROR(__xludf.DUMMYFUNCTION("""COMPUTED_VALUE"""),4.463999088063446)</f>
        <v>4.463999088</v>
      </c>
      <c r="Q942" s="30"/>
      <c r="R942" s="30"/>
      <c r="S942" s="30"/>
      <c r="T942" s="30"/>
      <c r="U942" s="30">
        <v>0.0</v>
      </c>
      <c r="V942" s="30"/>
      <c r="W942" s="30"/>
      <c r="X942" s="30"/>
      <c r="Y942" s="5">
        <f>IFERROR(__xludf.DUMMYFUNCTION("""COMPUTED_VALUE"""),84.0)</f>
        <v>84</v>
      </c>
      <c r="Z942" s="5">
        <f>IFERROR(__xludf.DUMMYFUNCTION("""COMPUTED_VALUE"""),88.0)</f>
        <v>88</v>
      </c>
    </row>
    <row r="943">
      <c r="A943" s="30" t="s">
        <v>1968</v>
      </c>
      <c r="B943" s="30">
        <f>IFERROR(__xludf.DUMMYFUNCTION("""COMPUTED_VALUE"""),85.5)</f>
        <v>85.5</v>
      </c>
      <c r="C943" s="30"/>
      <c r="D943" s="30"/>
      <c r="E943" s="30"/>
      <c r="F943" s="30"/>
      <c r="G943" s="30"/>
      <c r="H943" s="30"/>
      <c r="I943" s="30"/>
      <c r="J943" s="30">
        <f>IFERROR(__xludf.DUMMYFUNCTION("""COMPUTED_VALUE"""),-11.059343513011441)</f>
        <v>-11.05934351</v>
      </c>
      <c r="K943" s="30"/>
      <c r="L943" s="30"/>
      <c r="M943" s="30"/>
      <c r="N943" s="30"/>
      <c r="O943" s="30">
        <f>IFERROR(__xludf.DUMMYFUNCTION("""COMPUTED_VALUE"""),-2.630874715592867)</f>
        <v>-2.630874716</v>
      </c>
      <c r="P943" s="30">
        <f>IFERROR(__xludf.DUMMYFUNCTION("""COMPUTED_VALUE"""),4.463999088063446)</f>
        <v>4.463999088</v>
      </c>
      <c r="Q943" s="30"/>
      <c r="R943" s="30"/>
      <c r="S943" s="30"/>
      <c r="T943" s="30"/>
      <c r="U943" s="30">
        <v>0.0</v>
      </c>
      <c r="V943" s="30"/>
      <c r="W943" s="30"/>
      <c r="X943" s="30"/>
      <c r="Y943" s="5">
        <f>IFERROR(__xludf.DUMMYFUNCTION("""COMPUTED_VALUE"""),83.0)</f>
        <v>83</v>
      </c>
      <c r="Z943" s="5">
        <f>IFERROR(__xludf.DUMMYFUNCTION("""COMPUTED_VALUE"""),88.0)</f>
        <v>88</v>
      </c>
    </row>
    <row r="944">
      <c r="A944" s="30" t="s">
        <v>2831</v>
      </c>
      <c r="B944" s="30">
        <f>IFERROR(__xludf.DUMMYFUNCTION("""COMPUTED_VALUE"""),83.0)</f>
        <v>83</v>
      </c>
      <c r="C944" s="30"/>
      <c r="D944" s="30"/>
      <c r="E944" s="30"/>
      <c r="F944" s="30"/>
      <c r="G944" s="30"/>
      <c r="H944" s="30"/>
      <c r="I944" s="30"/>
      <c r="J944" s="30">
        <f>IFERROR(__xludf.DUMMYFUNCTION("""COMPUTED_VALUE"""),-11.059343513011441)</f>
        <v>-11.05934351</v>
      </c>
      <c r="K944" s="30"/>
      <c r="L944" s="30"/>
      <c r="M944" s="30"/>
      <c r="N944" s="30"/>
      <c r="O944" s="30">
        <f>IFERROR(__xludf.DUMMYFUNCTION("""COMPUTED_VALUE"""),-2.630874715592867)</f>
        <v>-2.630874716</v>
      </c>
      <c r="P944" s="30">
        <f>IFERROR(__xludf.DUMMYFUNCTION("""COMPUTED_VALUE"""),4.463999088063446)</f>
        <v>4.463999088</v>
      </c>
      <c r="Q944" s="30"/>
      <c r="R944" s="30"/>
      <c r="S944" s="30"/>
      <c r="T944" s="30"/>
      <c r="U944" s="30">
        <v>0.0</v>
      </c>
      <c r="V944" s="30"/>
      <c r="W944" s="30"/>
      <c r="X944" s="30"/>
      <c r="Y944" s="5">
        <f>IFERROR(__xludf.DUMMYFUNCTION("""COMPUTED_VALUE"""),83.0)</f>
        <v>83</v>
      </c>
      <c r="Z944" s="5">
        <f>IFERROR(__xludf.DUMMYFUNCTION("""COMPUTED_VALUE"""),83.0)</f>
        <v>83</v>
      </c>
    </row>
    <row r="945">
      <c r="A945" s="30" t="s">
        <v>2832</v>
      </c>
      <c r="B945" s="30">
        <f>IFERROR(__xludf.DUMMYFUNCTION("""COMPUTED_VALUE"""),88.0)</f>
        <v>88</v>
      </c>
      <c r="C945" s="30"/>
      <c r="D945" s="30"/>
      <c r="E945" s="30"/>
      <c r="F945" s="30"/>
      <c r="G945" s="30"/>
      <c r="H945" s="30"/>
      <c r="I945" s="30"/>
      <c r="J945" s="30">
        <f>IFERROR(__xludf.DUMMYFUNCTION("""COMPUTED_VALUE"""),-11.059343513011441)</f>
        <v>-11.05934351</v>
      </c>
      <c r="K945" s="30"/>
      <c r="L945" s="30"/>
      <c r="M945" s="30"/>
      <c r="N945" s="30"/>
      <c r="O945" s="30">
        <f>IFERROR(__xludf.DUMMYFUNCTION("""COMPUTED_VALUE"""),-2.630874715592867)</f>
        <v>-2.630874716</v>
      </c>
      <c r="P945" s="30">
        <f>IFERROR(__xludf.DUMMYFUNCTION("""COMPUTED_VALUE"""),4.463999088063446)</f>
        <v>4.463999088</v>
      </c>
      <c r="Q945" s="30"/>
      <c r="R945" s="30"/>
      <c r="S945" s="30"/>
      <c r="T945" s="30"/>
      <c r="U945" s="30">
        <v>0.0</v>
      </c>
      <c r="V945" s="30"/>
      <c r="W945" s="30"/>
      <c r="X945" s="30"/>
      <c r="Y945" s="5">
        <f>IFERROR(__xludf.DUMMYFUNCTION("""COMPUTED_VALUE"""),88.0)</f>
        <v>88</v>
      </c>
      <c r="Z945" s="5">
        <f>IFERROR(__xludf.DUMMYFUNCTION("""COMPUTED_VALUE"""),88.0)</f>
        <v>88</v>
      </c>
    </row>
    <row r="946">
      <c r="A946" s="30" t="s">
        <v>2836</v>
      </c>
      <c r="B946" s="30">
        <f>IFERROR(__xludf.DUMMYFUNCTION("""COMPUTED_VALUE"""),84.0)</f>
        <v>84</v>
      </c>
      <c r="C946" s="30"/>
      <c r="D946" s="30"/>
      <c r="E946" s="30"/>
      <c r="F946" s="30"/>
      <c r="G946" s="30"/>
      <c r="H946" s="30"/>
      <c r="I946" s="30"/>
      <c r="J946" s="30">
        <f>IFERROR(__xludf.DUMMYFUNCTION("""COMPUTED_VALUE"""),-11.059343513011441)</f>
        <v>-11.05934351</v>
      </c>
      <c r="K946" s="30"/>
      <c r="L946" s="30"/>
      <c r="M946" s="30"/>
      <c r="N946" s="30"/>
      <c r="O946" s="30">
        <f>IFERROR(__xludf.DUMMYFUNCTION("""COMPUTED_VALUE"""),-2.630874715592867)</f>
        <v>-2.630874716</v>
      </c>
      <c r="P946" s="30">
        <f>IFERROR(__xludf.DUMMYFUNCTION("""COMPUTED_VALUE"""),4.463999088063446)</f>
        <v>4.463999088</v>
      </c>
      <c r="Q946" s="30"/>
      <c r="R946" s="30"/>
      <c r="S946" s="30"/>
      <c r="T946" s="30"/>
      <c r="U946" s="30">
        <v>0.0</v>
      </c>
      <c r="V946" s="30"/>
      <c r="W946" s="30"/>
      <c r="X946" s="30"/>
      <c r="Y946" s="5">
        <f>IFERROR(__xludf.DUMMYFUNCTION("""COMPUTED_VALUE"""),84.0)</f>
        <v>84</v>
      </c>
      <c r="Z946" s="5">
        <f>IFERROR(__xludf.DUMMYFUNCTION("""COMPUTED_VALUE"""),84.0)</f>
        <v>84</v>
      </c>
    </row>
    <row r="947">
      <c r="A947" s="30" t="s">
        <v>2370</v>
      </c>
      <c r="B947" s="30">
        <f>IFERROR(__xludf.DUMMYFUNCTION("""COMPUTED_VALUE"""),85.5)</f>
        <v>85.5</v>
      </c>
      <c r="C947" s="30"/>
      <c r="D947" s="30"/>
      <c r="E947" s="30"/>
      <c r="F947" s="30"/>
      <c r="G947" s="30"/>
      <c r="H947" s="30"/>
      <c r="I947" s="30"/>
      <c r="J947" s="30">
        <f>IFERROR(__xludf.DUMMYFUNCTION("""COMPUTED_VALUE"""),-11.059343513011441)</f>
        <v>-11.05934351</v>
      </c>
      <c r="K947" s="30"/>
      <c r="L947" s="30"/>
      <c r="M947" s="30"/>
      <c r="N947" s="30"/>
      <c r="O947" s="30">
        <f>IFERROR(__xludf.DUMMYFUNCTION("""COMPUTED_VALUE"""),-2.630874715592867)</f>
        <v>-2.630874716</v>
      </c>
      <c r="P947" s="30">
        <f>IFERROR(__xludf.DUMMYFUNCTION("""COMPUTED_VALUE"""),4.463999088063446)</f>
        <v>4.463999088</v>
      </c>
      <c r="Q947" s="30"/>
      <c r="R947" s="30"/>
      <c r="S947" s="30"/>
      <c r="T947" s="30"/>
      <c r="U947" s="30">
        <v>0.0</v>
      </c>
      <c r="V947" s="30"/>
      <c r="W947" s="30"/>
      <c r="X947" s="30"/>
      <c r="Y947" s="5">
        <f>IFERROR(__xludf.DUMMYFUNCTION("""COMPUTED_VALUE"""),83.0)</f>
        <v>83</v>
      </c>
      <c r="Z947" s="5">
        <f>IFERROR(__xludf.DUMMYFUNCTION("""COMPUTED_VALUE"""),88.0)</f>
        <v>88</v>
      </c>
    </row>
    <row r="948">
      <c r="A948" s="30" t="s">
        <v>560</v>
      </c>
      <c r="B948" s="30">
        <f>IFERROR(__xludf.DUMMYFUNCTION("""COMPUTED_VALUE"""),83.0)</f>
        <v>83</v>
      </c>
      <c r="C948" s="30"/>
      <c r="D948" s="30"/>
      <c r="E948" s="30"/>
      <c r="F948" s="30"/>
      <c r="G948" s="30"/>
      <c r="H948" s="30"/>
      <c r="I948" s="30"/>
      <c r="J948" s="30">
        <f>IFERROR(__xludf.DUMMYFUNCTION("""COMPUTED_VALUE"""),-11.059343513011441)</f>
        <v>-11.05934351</v>
      </c>
      <c r="K948" s="30"/>
      <c r="L948" s="30"/>
      <c r="M948" s="30"/>
      <c r="N948" s="30"/>
      <c r="O948" s="30">
        <f>IFERROR(__xludf.DUMMYFUNCTION("""COMPUTED_VALUE"""),-2.630874715592867)</f>
        <v>-2.630874716</v>
      </c>
      <c r="P948" s="30">
        <f>IFERROR(__xludf.DUMMYFUNCTION("""COMPUTED_VALUE"""),4.463999088063446)</f>
        <v>4.463999088</v>
      </c>
      <c r="Q948" s="30"/>
      <c r="R948" s="30"/>
      <c r="S948" s="30"/>
      <c r="T948" s="30"/>
      <c r="U948" s="30">
        <v>0.0</v>
      </c>
      <c r="V948" s="30"/>
      <c r="W948" s="30"/>
      <c r="X948" s="30"/>
      <c r="Y948" s="5">
        <f>IFERROR(__xludf.DUMMYFUNCTION("""COMPUTED_VALUE"""),83.0)</f>
        <v>83</v>
      </c>
      <c r="Z948" s="5">
        <f>IFERROR(__xludf.DUMMYFUNCTION("""COMPUTED_VALUE"""),83.0)</f>
        <v>83</v>
      </c>
    </row>
    <row r="949">
      <c r="A949" s="30" t="s">
        <v>2338</v>
      </c>
      <c r="B949" s="30">
        <f>IFERROR(__xludf.DUMMYFUNCTION("""COMPUTED_VALUE"""),86.0)</f>
        <v>86</v>
      </c>
      <c r="C949" s="30"/>
      <c r="D949" s="30"/>
      <c r="E949" s="30"/>
      <c r="F949" s="30"/>
      <c r="G949" s="30"/>
      <c r="H949" s="30"/>
      <c r="I949" s="30"/>
      <c r="J949" s="30">
        <f>IFERROR(__xludf.DUMMYFUNCTION("""COMPUTED_VALUE"""),-11.059343513011441)</f>
        <v>-11.05934351</v>
      </c>
      <c r="K949" s="30"/>
      <c r="L949" s="30"/>
      <c r="M949" s="30"/>
      <c r="N949" s="30"/>
      <c r="O949" s="30">
        <f>IFERROR(__xludf.DUMMYFUNCTION("""COMPUTED_VALUE"""),-2.630874715592867)</f>
        <v>-2.630874716</v>
      </c>
      <c r="P949" s="30">
        <f>IFERROR(__xludf.DUMMYFUNCTION("""COMPUTED_VALUE"""),4.463999088063446)</f>
        <v>4.463999088</v>
      </c>
      <c r="Q949" s="30"/>
      <c r="R949" s="30"/>
      <c r="S949" s="30"/>
      <c r="T949" s="30"/>
      <c r="U949" s="30">
        <v>0.0</v>
      </c>
      <c r="V949" s="30"/>
      <c r="W949" s="30"/>
      <c r="X949" s="30"/>
      <c r="Y949" s="5">
        <f>IFERROR(__xludf.DUMMYFUNCTION("""COMPUTED_VALUE"""),84.0)</f>
        <v>84</v>
      </c>
      <c r="Z949" s="5">
        <f>IFERROR(__xludf.DUMMYFUNCTION("""COMPUTED_VALUE"""),88.0)</f>
        <v>88</v>
      </c>
    </row>
    <row r="950">
      <c r="A950" s="30" t="s">
        <v>2492</v>
      </c>
      <c r="B950" s="30">
        <f>IFERROR(__xludf.DUMMYFUNCTION("""COMPUTED_VALUE"""),86.0)</f>
        <v>86</v>
      </c>
      <c r="C950" s="30"/>
      <c r="D950" s="30"/>
      <c r="E950" s="30"/>
      <c r="F950" s="30"/>
      <c r="G950" s="30"/>
      <c r="H950" s="30"/>
      <c r="I950" s="30"/>
      <c r="J950" s="30">
        <f>IFERROR(__xludf.DUMMYFUNCTION("""COMPUTED_VALUE"""),-11.059343513011441)</f>
        <v>-11.05934351</v>
      </c>
      <c r="K950" s="30"/>
      <c r="L950" s="30"/>
      <c r="M950" s="30"/>
      <c r="N950" s="30"/>
      <c r="O950" s="30">
        <f>IFERROR(__xludf.DUMMYFUNCTION("""COMPUTED_VALUE"""),-2.630874715592867)</f>
        <v>-2.630874716</v>
      </c>
      <c r="P950" s="30">
        <f>IFERROR(__xludf.DUMMYFUNCTION("""COMPUTED_VALUE"""),4.463999088063446)</f>
        <v>4.463999088</v>
      </c>
      <c r="Q950" s="30"/>
      <c r="R950" s="30"/>
      <c r="S950" s="30"/>
      <c r="T950" s="30"/>
      <c r="U950" s="30">
        <v>0.0</v>
      </c>
      <c r="V950" s="30"/>
      <c r="W950" s="30"/>
      <c r="X950" s="30"/>
      <c r="Y950" s="5">
        <f>IFERROR(__xludf.DUMMYFUNCTION("""COMPUTED_VALUE"""),84.0)</f>
        <v>84</v>
      </c>
      <c r="Z950" s="5">
        <f>IFERROR(__xludf.DUMMYFUNCTION("""COMPUTED_VALUE"""),88.0)</f>
        <v>88</v>
      </c>
    </row>
    <row r="951">
      <c r="A951" s="30" t="s">
        <v>2564</v>
      </c>
      <c r="B951" s="30">
        <f>IFERROR(__xludf.DUMMYFUNCTION("""COMPUTED_VALUE"""),79.0)</f>
        <v>79</v>
      </c>
      <c r="C951" s="30"/>
      <c r="D951" s="30"/>
      <c r="E951" s="30"/>
      <c r="F951" s="30"/>
      <c r="G951" s="30"/>
      <c r="H951" s="30"/>
      <c r="I951" s="30"/>
      <c r="J951" s="30">
        <f>IFERROR(__xludf.DUMMYFUNCTION("""COMPUTED_VALUE"""),-11.059343513011441)</f>
        <v>-11.05934351</v>
      </c>
      <c r="K951" s="30"/>
      <c r="L951" s="30"/>
      <c r="M951" s="30"/>
      <c r="N951" s="30"/>
      <c r="O951" s="30">
        <f>IFERROR(__xludf.DUMMYFUNCTION("""COMPUTED_VALUE"""),-2.630874715592867)</f>
        <v>-2.630874716</v>
      </c>
      <c r="P951" s="30">
        <f>IFERROR(__xludf.DUMMYFUNCTION("""COMPUTED_VALUE"""),4.463999088063446)</f>
        <v>4.463999088</v>
      </c>
      <c r="Q951" s="30"/>
      <c r="R951" s="30"/>
      <c r="S951" s="30"/>
      <c r="T951" s="30"/>
      <c r="U951" s="30">
        <v>0.0</v>
      </c>
      <c r="V951" s="30"/>
      <c r="W951" s="30"/>
      <c r="X951" s="30"/>
      <c r="Y951" s="5">
        <f>IFERROR(__xludf.DUMMYFUNCTION("""COMPUTED_VALUE"""),79.0)</f>
        <v>79</v>
      </c>
      <c r="Z951" s="5">
        <f>IFERROR(__xludf.DUMMYFUNCTION("""COMPUTED_VALUE"""),79.0)</f>
        <v>79</v>
      </c>
    </row>
    <row r="952">
      <c r="A952" s="30" t="s">
        <v>2109</v>
      </c>
      <c r="B952" s="30">
        <f>IFERROR(__xludf.DUMMYFUNCTION("""COMPUTED_VALUE"""),84.0)</f>
        <v>84</v>
      </c>
      <c r="C952" s="30"/>
      <c r="D952" s="30"/>
      <c r="E952" s="30"/>
      <c r="F952" s="30"/>
      <c r="G952" s="30"/>
      <c r="H952" s="30"/>
      <c r="I952" s="30"/>
      <c r="J952" s="30">
        <f>IFERROR(__xludf.DUMMYFUNCTION("""COMPUTED_VALUE"""),-11.059343513011441)</f>
        <v>-11.05934351</v>
      </c>
      <c r="K952" s="30"/>
      <c r="L952" s="30"/>
      <c r="M952" s="30"/>
      <c r="N952" s="30"/>
      <c r="O952" s="30">
        <f>IFERROR(__xludf.DUMMYFUNCTION("""COMPUTED_VALUE"""),-2.630874715592867)</f>
        <v>-2.630874716</v>
      </c>
      <c r="P952" s="30">
        <f>IFERROR(__xludf.DUMMYFUNCTION("""COMPUTED_VALUE"""),4.463999088063446)</f>
        <v>4.463999088</v>
      </c>
      <c r="Q952" s="30"/>
      <c r="R952" s="30"/>
      <c r="S952" s="30"/>
      <c r="T952" s="30"/>
      <c r="U952" s="30">
        <v>0.0</v>
      </c>
      <c r="V952" s="30"/>
      <c r="W952" s="30"/>
      <c r="X952" s="30"/>
      <c r="Y952" s="5">
        <f>IFERROR(__xludf.DUMMYFUNCTION("""COMPUTED_VALUE"""),84.0)</f>
        <v>84</v>
      </c>
      <c r="Z952" s="5">
        <f>IFERROR(__xludf.DUMMYFUNCTION("""COMPUTED_VALUE"""),84.0)</f>
        <v>84</v>
      </c>
    </row>
    <row r="953">
      <c r="A953" s="30" t="s">
        <v>2845</v>
      </c>
      <c r="B953" s="30">
        <f>IFERROR(__xludf.DUMMYFUNCTION("""COMPUTED_VALUE"""),84.0)</f>
        <v>84</v>
      </c>
      <c r="C953" s="30"/>
      <c r="D953" s="30"/>
      <c r="E953" s="30"/>
      <c r="F953" s="30"/>
      <c r="G953" s="30"/>
      <c r="H953" s="30"/>
      <c r="I953" s="30"/>
      <c r="J953" s="30">
        <f>IFERROR(__xludf.DUMMYFUNCTION("""COMPUTED_VALUE"""),-11.059343513011441)</f>
        <v>-11.05934351</v>
      </c>
      <c r="K953" s="30"/>
      <c r="L953" s="30"/>
      <c r="M953" s="30"/>
      <c r="N953" s="30"/>
      <c r="O953" s="30">
        <f>IFERROR(__xludf.DUMMYFUNCTION("""COMPUTED_VALUE"""),-2.630874715592867)</f>
        <v>-2.630874716</v>
      </c>
      <c r="P953" s="30">
        <f>IFERROR(__xludf.DUMMYFUNCTION("""COMPUTED_VALUE"""),4.463999088063446)</f>
        <v>4.463999088</v>
      </c>
      <c r="Q953" s="30"/>
      <c r="R953" s="30"/>
      <c r="S953" s="30"/>
      <c r="T953" s="30"/>
      <c r="U953" s="30">
        <v>0.0</v>
      </c>
      <c r="V953" s="30"/>
      <c r="W953" s="30"/>
      <c r="X953" s="30"/>
      <c r="Y953" s="5">
        <f>IFERROR(__xludf.DUMMYFUNCTION("""COMPUTED_VALUE"""),84.0)</f>
        <v>84</v>
      </c>
      <c r="Z953" s="5">
        <f>IFERROR(__xludf.DUMMYFUNCTION("""COMPUTED_VALUE"""),84.0)</f>
        <v>84</v>
      </c>
    </row>
    <row r="954">
      <c r="A954" s="30" t="s">
        <v>2743</v>
      </c>
      <c r="B954" s="30">
        <f>IFERROR(__xludf.DUMMYFUNCTION("""COMPUTED_VALUE"""),83.5)</f>
        <v>83.5</v>
      </c>
      <c r="C954" s="30"/>
      <c r="D954" s="30"/>
      <c r="E954" s="30"/>
      <c r="F954" s="30"/>
      <c r="G954" s="30"/>
      <c r="H954" s="30"/>
      <c r="I954" s="30"/>
      <c r="J954" s="30">
        <f>IFERROR(__xludf.DUMMYFUNCTION("""COMPUTED_VALUE"""),-11.059343513011441)</f>
        <v>-11.05934351</v>
      </c>
      <c r="K954" s="30"/>
      <c r="L954" s="30"/>
      <c r="M954" s="30"/>
      <c r="N954" s="30"/>
      <c r="O954" s="30">
        <f>IFERROR(__xludf.DUMMYFUNCTION("""COMPUTED_VALUE"""),-2.630874715592867)</f>
        <v>-2.630874716</v>
      </c>
      <c r="P954" s="30">
        <f>IFERROR(__xludf.DUMMYFUNCTION("""COMPUTED_VALUE"""),4.463999088063446)</f>
        <v>4.463999088</v>
      </c>
      <c r="Q954" s="30"/>
      <c r="R954" s="30"/>
      <c r="S954" s="30"/>
      <c r="T954" s="30"/>
      <c r="U954" s="30">
        <v>0.0</v>
      </c>
      <c r="V954" s="30"/>
      <c r="W954" s="30"/>
      <c r="X954" s="30"/>
      <c r="Y954" s="5">
        <f>IFERROR(__xludf.DUMMYFUNCTION("""COMPUTED_VALUE"""),83.0)</f>
        <v>83</v>
      </c>
      <c r="Z954" s="5">
        <f>IFERROR(__xludf.DUMMYFUNCTION("""COMPUTED_VALUE"""),84.0)</f>
        <v>84</v>
      </c>
    </row>
    <row r="955">
      <c r="A955" s="30" t="s">
        <v>1135</v>
      </c>
      <c r="B955" s="30">
        <f>IFERROR(__xludf.DUMMYFUNCTION("""COMPUTED_VALUE"""),82.0)</f>
        <v>82</v>
      </c>
      <c r="C955" s="30"/>
      <c r="D955" s="30"/>
      <c r="E955" s="30"/>
      <c r="F955" s="30"/>
      <c r="G955" s="30"/>
      <c r="H955" s="30"/>
      <c r="I955" s="30"/>
      <c r="J955" s="30">
        <f>IFERROR(__xludf.DUMMYFUNCTION("""COMPUTED_VALUE"""),-11.059343513011441)</f>
        <v>-11.05934351</v>
      </c>
      <c r="K955" s="30"/>
      <c r="L955" s="30"/>
      <c r="M955" s="30"/>
      <c r="N955" s="30"/>
      <c r="O955" s="30">
        <f>IFERROR(__xludf.DUMMYFUNCTION("""COMPUTED_VALUE"""),-2.630874715592867)</f>
        <v>-2.630874716</v>
      </c>
      <c r="P955" s="30">
        <f>IFERROR(__xludf.DUMMYFUNCTION("""COMPUTED_VALUE"""),4.463999088063446)</f>
        <v>4.463999088</v>
      </c>
      <c r="Q955" s="30"/>
      <c r="R955" s="30"/>
      <c r="S955" s="30"/>
      <c r="T955" s="30"/>
      <c r="U955" s="30">
        <v>0.0</v>
      </c>
      <c r="V955" s="30"/>
      <c r="W955" s="30"/>
      <c r="X955" s="30"/>
      <c r="Y955" s="5">
        <f>IFERROR(__xludf.DUMMYFUNCTION("""COMPUTED_VALUE"""),82.0)</f>
        <v>82</v>
      </c>
      <c r="Z955" s="5">
        <f>IFERROR(__xludf.DUMMYFUNCTION("""COMPUTED_VALUE"""),82.0)</f>
        <v>82</v>
      </c>
    </row>
    <row r="956">
      <c r="A956" s="30" t="s">
        <v>2687</v>
      </c>
      <c r="B956" s="30">
        <f>IFERROR(__xludf.DUMMYFUNCTION("""COMPUTED_VALUE"""),85.0)</f>
        <v>85</v>
      </c>
      <c r="C956" s="30"/>
      <c r="D956" s="30"/>
      <c r="E956" s="30"/>
      <c r="F956" s="30"/>
      <c r="G956" s="30"/>
      <c r="H956" s="30"/>
      <c r="I956" s="30"/>
      <c r="J956" s="30">
        <f>IFERROR(__xludf.DUMMYFUNCTION("""COMPUTED_VALUE"""),-11.059343513011441)</f>
        <v>-11.05934351</v>
      </c>
      <c r="K956" s="30"/>
      <c r="L956" s="30"/>
      <c r="M956" s="30"/>
      <c r="N956" s="30"/>
      <c r="O956" s="30">
        <f>IFERROR(__xludf.DUMMYFUNCTION("""COMPUTED_VALUE"""),-2.630874715592867)</f>
        <v>-2.630874716</v>
      </c>
      <c r="P956" s="30">
        <f>IFERROR(__xludf.DUMMYFUNCTION("""COMPUTED_VALUE"""),4.463999088063446)</f>
        <v>4.463999088</v>
      </c>
      <c r="Q956" s="30"/>
      <c r="R956" s="30"/>
      <c r="S956" s="30"/>
      <c r="T956" s="30"/>
      <c r="U956" s="30">
        <v>0.0</v>
      </c>
      <c r="V956" s="30"/>
      <c r="W956" s="30"/>
      <c r="X956" s="30"/>
      <c r="Y956" s="5">
        <f>IFERROR(__xludf.DUMMYFUNCTION("""COMPUTED_VALUE"""),84.0)</f>
        <v>84</v>
      </c>
      <c r="Z956" s="5">
        <f>IFERROR(__xludf.DUMMYFUNCTION("""COMPUTED_VALUE"""),86.0)</f>
        <v>86</v>
      </c>
    </row>
    <row r="957">
      <c r="A957" s="30" t="s">
        <v>2856</v>
      </c>
      <c r="B957" s="30">
        <f>IFERROR(__xludf.DUMMYFUNCTION("""COMPUTED_VALUE"""),84.0)</f>
        <v>84</v>
      </c>
      <c r="C957" s="30"/>
      <c r="D957" s="30"/>
      <c r="E957" s="30"/>
      <c r="F957" s="30"/>
      <c r="G957" s="30"/>
      <c r="H957" s="30"/>
      <c r="I957" s="30"/>
      <c r="J957" s="30">
        <f>IFERROR(__xludf.DUMMYFUNCTION("""COMPUTED_VALUE"""),-11.059343513011441)</f>
        <v>-11.05934351</v>
      </c>
      <c r="K957" s="30"/>
      <c r="L957" s="30"/>
      <c r="M957" s="30"/>
      <c r="N957" s="30"/>
      <c r="O957" s="30">
        <f>IFERROR(__xludf.DUMMYFUNCTION("""COMPUTED_VALUE"""),-2.630874715592867)</f>
        <v>-2.630874716</v>
      </c>
      <c r="P957" s="30">
        <f>IFERROR(__xludf.DUMMYFUNCTION("""COMPUTED_VALUE"""),4.463999088063446)</f>
        <v>4.463999088</v>
      </c>
      <c r="Q957" s="30"/>
      <c r="R957" s="30"/>
      <c r="S957" s="30"/>
      <c r="T957" s="30"/>
      <c r="U957" s="30">
        <v>0.0</v>
      </c>
      <c r="V957" s="30"/>
      <c r="W957" s="30"/>
      <c r="X957" s="30"/>
      <c r="Y957" s="5">
        <f>IFERROR(__xludf.DUMMYFUNCTION("""COMPUTED_VALUE"""),84.0)</f>
        <v>84</v>
      </c>
      <c r="Z957" s="5">
        <f>IFERROR(__xludf.DUMMYFUNCTION("""COMPUTED_VALUE"""),84.0)</f>
        <v>84</v>
      </c>
    </row>
    <row r="958">
      <c r="A958" s="30" t="s">
        <v>2562</v>
      </c>
      <c r="B958" s="30">
        <f>IFERROR(__xludf.DUMMYFUNCTION("""COMPUTED_VALUE"""),86.0)</f>
        <v>86</v>
      </c>
      <c r="C958" s="30"/>
      <c r="D958" s="30"/>
      <c r="E958" s="30"/>
      <c r="F958" s="30"/>
      <c r="G958" s="30"/>
      <c r="H958" s="30"/>
      <c r="I958" s="30"/>
      <c r="J958" s="30">
        <f>IFERROR(__xludf.DUMMYFUNCTION("""COMPUTED_VALUE"""),-11.059343513011441)</f>
        <v>-11.05934351</v>
      </c>
      <c r="K958" s="30"/>
      <c r="L958" s="30"/>
      <c r="M958" s="30"/>
      <c r="N958" s="30"/>
      <c r="O958" s="30">
        <f>IFERROR(__xludf.DUMMYFUNCTION("""COMPUTED_VALUE"""),-2.630874715592867)</f>
        <v>-2.630874716</v>
      </c>
      <c r="P958" s="30">
        <f>IFERROR(__xludf.DUMMYFUNCTION("""COMPUTED_VALUE"""),4.463999088063446)</f>
        <v>4.463999088</v>
      </c>
      <c r="Q958" s="30"/>
      <c r="R958" s="30"/>
      <c r="S958" s="30"/>
      <c r="T958" s="30"/>
      <c r="U958" s="30">
        <v>0.0</v>
      </c>
      <c r="V958" s="30"/>
      <c r="W958" s="30"/>
      <c r="X958" s="30"/>
      <c r="Y958" s="5">
        <f>IFERROR(__xludf.DUMMYFUNCTION("""COMPUTED_VALUE"""),84.0)</f>
        <v>84</v>
      </c>
      <c r="Z958" s="5">
        <f>IFERROR(__xludf.DUMMYFUNCTION("""COMPUTED_VALUE"""),88.0)</f>
        <v>88</v>
      </c>
    </row>
    <row r="959">
      <c r="A959" s="30" t="s">
        <v>1988</v>
      </c>
      <c r="B959" s="30">
        <f>IFERROR(__xludf.DUMMYFUNCTION("""COMPUTED_VALUE"""),85.5)</f>
        <v>85.5</v>
      </c>
      <c r="C959" s="30"/>
      <c r="D959" s="30"/>
      <c r="E959" s="30"/>
      <c r="F959" s="30"/>
      <c r="G959" s="30"/>
      <c r="H959" s="30"/>
      <c r="I959" s="30"/>
      <c r="J959" s="30">
        <f>IFERROR(__xludf.DUMMYFUNCTION("""COMPUTED_VALUE"""),-11.059343513011441)</f>
        <v>-11.05934351</v>
      </c>
      <c r="K959" s="30"/>
      <c r="L959" s="30"/>
      <c r="M959" s="30"/>
      <c r="N959" s="30"/>
      <c r="O959" s="30">
        <f>IFERROR(__xludf.DUMMYFUNCTION("""COMPUTED_VALUE"""),-2.630874715592867)</f>
        <v>-2.630874716</v>
      </c>
      <c r="P959" s="30">
        <f>IFERROR(__xludf.DUMMYFUNCTION("""COMPUTED_VALUE"""),4.463999088063446)</f>
        <v>4.463999088</v>
      </c>
      <c r="Q959" s="30"/>
      <c r="R959" s="30"/>
      <c r="S959" s="30"/>
      <c r="T959" s="30"/>
      <c r="U959" s="30">
        <v>0.0</v>
      </c>
      <c r="V959" s="30"/>
      <c r="W959" s="30"/>
      <c r="X959" s="30"/>
      <c r="Y959" s="5">
        <f>IFERROR(__xludf.DUMMYFUNCTION("""COMPUTED_VALUE"""),83.0)</f>
        <v>83</v>
      </c>
      <c r="Z959" s="5">
        <f>IFERROR(__xludf.DUMMYFUNCTION("""COMPUTED_VALUE"""),88.0)</f>
        <v>88</v>
      </c>
    </row>
    <row r="960">
      <c r="A960" s="30" t="s">
        <v>2870</v>
      </c>
      <c r="B960" s="30">
        <f>IFERROR(__xludf.DUMMYFUNCTION("""COMPUTED_VALUE"""),87.0)</f>
        <v>87</v>
      </c>
      <c r="C960" s="30"/>
      <c r="D960" s="30"/>
      <c r="E960" s="30"/>
      <c r="F960" s="30"/>
      <c r="G960" s="30"/>
      <c r="H960" s="30"/>
      <c r="I960" s="30"/>
      <c r="J960" s="30">
        <f>IFERROR(__xludf.DUMMYFUNCTION("""COMPUTED_VALUE"""),-11.059343513011441)</f>
        <v>-11.05934351</v>
      </c>
      <c r="K960" s="30"/>
      <c r="L960" s="30"/>
      <c r="M960" s="30"/>
      <c r="N960" s="30"/>
      <c r="O960" s="30">
        <f>IFERROR(__xludf.DUMMYFUNCTION("""COMPUTED_VALUE"""),-2.630874715592867)</f>
        <v>-2.630874716</v>
      </c>
      <c r="P960" s="30">
        <f>IFERROR(__xludf.DUMMYFUNCTION("""COMPUTED_VALUE"""),4.463999088063446)</f>
        <v>4.463999088</v>
      </c>
      <c r="Q960" s="30"/>
      <c r="R960" s="30"/>
      <c r="S960" s="30"/>
      <c r="T960" s="30"/>
      <c r="U960" s="30">
        <v>0.0</v>
      </c>
      <c r="V960" s="30"/>
      <c r="W960" s="30"/>
      <c r="X960" s="30"/>
      <c r="Y960" s="5">
        <f>IFERROR(__xludf.DUMMYFUNCTION("""COMPUTED_VALUE"""),86.0)</f>
        <v>86</v>
      </c>
      <c r="Z960" s="5">
        <f>IFERROR(__xludf.DUMMYFUNCTION("""COMPUTED_VALUE"""),88.0)</f>
        <v>88</v>
      </c>
    </row>
    <row r="961">
      <c r="A961" s="30" t="s">
        <v>2874</v>
      </c>
      <c r="B961" s="30">
        <f>IFERROR(__xludf.DUMMYFUNCTION("""COMPUTED_VALUE"""),84.0)</f>
        <v>84</v>
      </c>
      <c r="C961" s="30"/>
      <c r="D961" s="30"/>
      <c r="E961" s="30"/>
      <c r="F961" s="30"/>
      <c r="G961" s="30"/>
      <c r="H961" s="30"/>
      <c r="I961" s="30"/>
      <c r="J961" s="30">
        <f>IFERROR(__xludf.DUMMYFUNCTION("""COMPUTED_VALUE"""),-11.059343513011441)</f>
        <v>-11.05934351</v>
      </c>
      <c r="K961" s="30"/>
      <c r="L961" s="30"/>
      <c r="M961" s="30"/>
      <c r="N961" s="30"/>
      <c r="O961" s="30">
        <f>IFERROR(__xludf.DUMMYFUNCTION("""COMPUTED_VALUE"""),-2.630874715592867)</f>
        <v>-2.630874716</v>
      </c>
      <c r="P961" s="30">
        <f>IFERROR(__xludf.DUMMYFUNCTION("""COMPUTED_VALUE"""),4.463999088063446)</f>
        <v>4.463999088</v>
      </c>
      <c r="Q961" s="30"/>
      <c r="R961" s="30"/>
      <c r="S961" s="30"/>
      <c r="T961" s="30"/>
      <c r="U961" s="30">
        <v>0.0</v>
      </c>
      <c r="V961" s="30"/>
      <c r="W961" s="30"/>
      <c r="X961" s="30"/>
      <c r="Y961" s="5">
        <f>IFERROR(__xludf.DUMMYFUNCTION("""COMPUTED_VALUE"""),84.0)</f>
        <v>84</v>
      </c>
      <c r="Z961" s="5">
        <f>IFERROR(__xludf.DUMMYFUNCTION("""COMPUTED_VALUE"""),84.0)</f>
        <v>84</v>
      </c>
    </row>
    <row r="962">
      <c r="A962" s="30" t="s">
        <v>2876</v>
      </c>
      <c r="B962" s="30">
        <f>IFERROR(__xludf.DUMMYFUNCTION("""COMPUTED_VALUE"""),87.0)</f>
        <v>87</v>
      </c>
      <c r="C962" s="30"/>
      <c r="D962" s="30"/>
      <c r="E962" s="30"/>
      <c r="F962" s="30"/>
      <c r="G962" s="30"/>
      <c r="H962" s="30"/>
      <c r="I962" s="30"/>
      <c r="J962" s="30">
        <f>IFERROR(__xludf.DUMMYFUNCTION("""COMPUTED_VALUE"""),-11.059343513011441)</f>
        <v>-11.05934351</v>
      </c>
      <c r="K962" s="30"/>
      <c r="L962" s="30"/>
      <c r="M962" s="30"/>
      <c r="N962" s="30"/>
      <c r="O962" s="30">
        <f>IFERROR(__xludf.DUMMYFUNCTION("""COMPUTED_VALUE"""),-2.630874715592867)</f>
        <v>-2.630874716</v>
      </c>
      <c r="P962" s="30">
        <f>IFERROR(__xludf.DUMMYFUNCTION("""COMPUTED_VALUE"""),4.463999088063446)</f>
        <v>4.463999088</v>
      </c>
      <c r="Q962" s="30"/>
      <c r="R962" s="30"/>
      <c r="S962" s="30"/>
      <c r="T962" s="30"/>
      <c r="U962" s="30">
        <v>0.0</v>
      </c>
      <c r="V962" s="30"/>
      <c r="W962" s="30"/>
      <c r="X962" s="30"/>
      <c r="Y962" s="5">
        <f>IFERROR(__xludf.DUMMYFUNCTION("""COMPUTED_VALUE"""),86.0)</f>
        <v>86</v>
      </c>
      <c r="Z962" s="5">
        <f>IFERROR(__xludf.DUMMYFUNCTION("""COMPUTED_VALUE"""),88.0)</f>
        <v>88</v>
      </c>
    </row>
    <row r="963">
      <c r="A963" s="30" t="s">
        <v>2067</v>
      </c>
      <c r="B963" s="30">
        <f>IFERROR(__xludf.DUMMYFUNCTION("""COMPUTED_VALUE"""),83.5)</f>
        <v>83.5</v>
      </c>
      <c r="C963" s="30"/>
      <c r="D963" s="30"/>
      <c r="E963" s="30"/>
      <c r="F963" s="30"/>
      <c r="G963" s="30"/>
      <c r="H963" s="30"/>
      <c r="I963" s="30"/>
      <c r="J963" s="30">
        <f>IFERROR(__xludf.DUMMYFUNCTION("""COMPUTED_VALUE"""),-11.059343513011441)</f>
        <v>-11.05934351</v>
      </c>
      <c r="K963" s="30"/>
      <c r="L963" s="30"/>
      <c r="M963" s="30"/>
      <c r="N963" s="30"/>
      <c r="O963" s="30">
        <f>IFERROR(__xludf.DUMMYFUNCTION("""COMPUTED_VALUE"""),-2.630874715592867)</f>
        <v>-2.630874716</v>
      </c>
      <c r="P963" s="30">
        <f>IFERROR(__xludf.DUMMYFUNCTION("""COMPUTED_VALUE"""),4.463999088063446)</f>
        <v>4.463999088</v>
      </c>
      <c r="Q963" s="30"/>
      <c r="R963" s="30"/>
      <c r="S963" s="30"/>
      <c r="T963" s="30"/>
      <c r="U963" s="30">
        <v>0.0</v>
      </c>
      <c r="V963" s="30"/>
      <c r="W963" s="30"/>
      <c r="X963" s="30"/>
      <c r="Y963" s="5">
        <f>IFERROR(__xludf.DUMMYFUNCTION("""COMPUTED_VALUE"""),83.0)</f>
        <v>83</v>
      </c>
      <c r="Z963" s="5">
        <f>IFERROR(__xludf.DUMMYFUNCTION("""COMPUTED_VALUE"""),84.0)</f>
        <v>84</v>
      </c>
    </row>
    <row r="964">
      <c r="A964" s="30" t="s">
        <v>2882</v>
      </c>
      <c r="B964" s="30">
        <f>IFERROR(__xludf.DUMMYFUNCTION("""COMPUTED_VALUE"""),86.0)</f>
        <v>86</v>
      </c>
      <c r="C964" s="30"/>
      <c r="D964" s="30"/>
      <c r="E964" s="30"/>
      <c r="F964" s="30"/>
      <c r="G964" s="30"/>
      <c r="H964" s="30"/>
      <c r="I964" s="30"/>
      <c r="J964" s="30">
        <f>IFERROR(__xludf.DUMMYFUNCTION("""COMPUTED_VALUE"""),-11.059343513011441)</f>
        <v>-11.05934351</v>
      </c>
      <c r="K964" s="30"/>
      <c r="L964" s="30"/>
      <c r="M964" s="30"/>
      <c r="N964" s="30"/>
      <c r="O964" s="30">
        <f>IFERROR(__xludf.DUMMYFUNCTION("""COMPUTED_VALUE"""),-2.630874715592867)</f>
        <v>-2.630874716</v>
      </c>
      <c r="P964" s="30">
        <f>IFERROR(__xludf.DUMMYFUNCTION("""COMPUTED_VALUE"""),4.463999088063446)</f>
        <v>4.463999088</v>
      </c>
      <c r="Q964" s="30"/>
      <c r="R964" s="30"/>
      <c r="S964" s="30"/>
      <c r="T964" s="30"/>
      <c r="U964" s="30">
        <v>0.0</v>
      </c>
      <c r="V964" s="30"/>
      <c r="W964" s="30"/>
      <c r="X964" s="30"/>
      <c r="Y964" s="5">
        <f>IFERROR(__xludf.DUMMYFUNCTION("""COMPUTED_VALUE"""),84.0)</f>
        <v>84</v>
      </c>
      <c r="Z964" s="5">
        <f>IFERROR(__xludf.DUMMYFUNCTION("""COMPUTED_VALUE"""),88.0)</f>
        <v>88</v>
      </c>
    </row>
    <row r="965">
      <c r="A965" s="30" t="s">
        <v>2604</v>
      </c>
      <c r="B965" s="30">
        <f>IFERROR(__xludf.DUMMYFUNCTION("""COMPUTED_VALUE"""),84.0)</f>
        <v>84</v>
      </c>
      <c r="C965" s="30"/>
      <c r="D965" s="30"/>
      <c r="E965" s="30"/>
      <c r="F965" s="30"/>
      <c r="G965" s="30"/>
      <c r="H965" s="30"/>
      <c r="I965" s="30"/>
      <c r="J965" s="30">
        <f>IFERROR(__xludf.DUMMYFUNCTION("""COMPUTED_VALUE"""),-11.059343513011441)</f>
        <v>-11.05934351</v>
      </c>
      <c r="K965" s="30"/>
      <c r="L965" s="30"/>
      <c r="M965" s="30"/>
      <c r="N965" s="30"/>
      <c r="O965" s="30">
        <f>IFERROR(__xludf.DUMMYFUNCTION("""COMPUTED_VALUE"""),-2.630874715592867)</f>
        <v>-2.630874716</v>
      </c>
      <c r="P965" s="30">
        <f>IFERROR(__xludf.DUMMYFUNCTION("""COMPUTED_VALUE"""),4.463999088063446)</f>
        <v>4.463999088</v>
      </c>
      <c r="Q965" s="30"/>
      <c r="R965" s="30"/>
      <c r="S965" s="30"/>
      <c r="T965" s="30"/>
      <c r="U965" s="30">
        <v>0.0</v>
      </c>
      <c r="V965" s="30"/>
      <c r="W965" s="30"/>
      <c r="X965" s="30"/>
      <c r="Y965" s="5">
        <f>IFERROR(__xludf.DUMMYFUNCTION("""COMPUTED_VALUE"""),84.0)</f>
        <v>84</v>
      </c>
      <c r="Z965" s="5">
        <f>IFERROR(__xludf.DUMMYFUNCTION("""COMPUTED_VALUE"""),84.0)</f>
        <v>84</v>
      </c>
    </row>
    <row r="966">
      <c r="A966" s="30" t="s">
        <v>677</v>
      </c>
      <c r="B966" s="30">
        <f>IFERROR(__xludf.DUMMYFUNCTION("""COMPUTED_VALUE"""),81.0)</f>
        <v>81</v>
      </c>
      <c r="C966" s="30"/>
      <c r="D966" s="30"/>
      <c r="E966" s="30"/>
      <c r="F966" s="30"/>
      <c r="G966" s="30"/>
      <c r="H966" s="30"/>
      <c r="I966" s="30"/>
      <c r="J966" s="30">
        <f>IFERROR(__xludf.DUMMYFUNCTION("""COMPUTED_VALUE"""),-11.059343513011441)</f>
        <v>-11.05934351</v>
      </c>
      <c r="K966" s="30"/>
      <c r="L966" s="30"/>
      <c r="M966" s="30"/>
      <c r="N966" s="30"/>
      <c r="O966" s="30">
        <f>IFERROR(__xludf.DUMMYFUNCTION("""COMPUTED_VALUE"""),-2.630874715592867)</f>
        <v>-2.630874716</v>
      </c>
      <c r="P966" s="30">
        <f>IFERROR(__xludf.DUMMYFUNCTION("""COMPUTED_VALUE"""),4.463999088063446)</f>
        <v>4.463999088</v>
      </c>
      <c r="Q966" s="30"/>
      <c r="R966" s="30"/>
      <c r="S966" s="30"/>
      <c r="T966" s="30"/>
      <c r="U966" s="30">
        <v>0.0</v>
      </c>
      <c r="V966" s="30"/>
      <c r="W966" s="30"/>
      <c r="X966" s="30"/>
      <c r="Y966" s="5">
        <f>IFERROR(__xludf.DUMMYFUNCTION("""COMPUTED_VALUE"""),81.0)</f>
        <v>81</v>
      </c>
      <c r="Z966" s="5">
        <f>IFERROR(__xludf.DUMMYFUNCTION("""COMPUTED_VALUE"""),81.0)</f>
        <v>81</v>
      </c>
    </row>
    <row r="967">
      <c r="A967" s="30" t="s">
        <v>2885</v>
      </c>
      <c r="B967" s="30">
        <f>IFERROR(__xludf.DUMMYFUNCTION("""COMPUTED_VALUE"""),86.0)</f>
        <v>86</v>
      </c>
      <c r="C967" s="30"/>
      <c r="D967" s="30"/>
      <c r="E967" s="30"/>
      <c r="F967" s="30"/>
      <c r="G967" s="30"/>
      <c r="H967" s="30"/>
      <c r="I967" s="30"/>
      <c r="J967" s="30">
        <f>IFERROR(__xludf.DUMMYFUNCTION("""COMPUTED_VALUE"""),-11.059343513011441)</f>
        <v>-11.05934351</v>
      </c>
      <c r="K967" s="30"/>
      <c r="L967" s="30"/>
      <c r="M967" s="30"/>
      <c r="N967" s="30"/>
      <c r="O967" s="30">
        <f>IFERROR(__xludf.DUMMYFUNCTION("""COMPUTED_VALUE"""),-2.630874715592867)</f>
        <v>-2.630874716</v>
      </c>
      <c r="P967" s="30">
        <f>IFERROR(__xludf.DUMMYFUNCTION("""COMPUTED_VALUE"""),4.463999088063446)</f>
        <v>4.463999088</v>
      </c>
      <c r="Q967" s="30"/>
      <c r="R967" s="30"/>
      <c r="S967" s="30"/>
      <c r="T967" s="30"/>
      <c r="U967" s="30">
        <v>0.0</v>
      </c>
      <c r="V967" s="30"/>
      <c r="W967" s="30"/>
      <c r="X967" s="30"/>
      <c r="Y967" s="5">
        <f>IFERROR(__xludf.DUMMYFUNCTION("""COMPUTED_VALUE"""),84.0)</f>
        <v>84</v>
      </c>
      <c r="Z967" s="5">
        <f>IFERROR(__xludf.DUMMYFUNCTION("""COMPUTED_VALUE"""),88.0)</f>
        <v>88</v>
      </c>
    </row>
    <row r="968">
      <c r="A968" s="30" t="s">
        <v>2439</v>
      </c>
      <c r="B968" s="30">
        <f>IFERROR(__xludf.DUMMYFUNCTION("""COMPUTED_VALUE"""),85.5)</f>
        <v>85.5</v>
      </c>
      <c r="C968" s="30"/>
      <c r="D968" s="30"/>
      <c r="E968" s="30"/>
      <c r="F968" s="30"/>
      <c r="G968" s="30"/>
      <c r="H968" s="30"/>
      <c r="I968" s="30"/>
      <c r="J968" s="30">
        <f>IFERROR(__xludf.DUMMYFUNCTION("""COMPUTED_VALUE"""),-11.059343513011441)</f>
        <v>-11.05934351</v>
      </c>
      <c r="K968" s="30"/>
      <c r="L968" s="30"/>
      <c r="M968" s="30"/>
      <c r="N968" s="30"/>
      <c r="O968" s="30">
        <f>IFERROR(__xludf.DUMMYFUNCTION("""COMPUTED_VALUE"""),-2.630874715592867)</f>
        <v>-2.630874716</v>
      </c>
      <c r="P968" s="30">
        <f>IFERROR(__xludf.DUMMYFUNCTION("""COMPUTED_VALUE"""),4.463999088063446)</f>
        <v>4.463999088</v>
      </c>
      <c r="Q968" s="30"/>
      <c r="R968" s="30"/>
      <c r="S968" s="30"/>
      <c r="T968" s="30"/>
      <c r="U968" s="30">
        <v>0.0</v>
      </c>
      <c r="V968" s="30"/>
      <c r="W968" s="30"/>
      <c r="X968" s="30"/>
      <c r="Y968" s="5">
        <f>IFERROR(__xludf.DUMMYFUNCTION("""COMPUTED_VALUE"""),83.0)</f>
        <v>83</v>
      </c>
      <c r="Z968" s="5">
        <f>IFERROR(__xludf.DUMMYFUNCTION("""COMPUTED_VALUE"""),88.0)</f>
        <v>88</v>
      </c>
    </row>
    <row r="969">
      <c r="A969" s="30" t="s">
        <v>2891</v>
      </c>
      <c r="B969" s="30">
        <f>IFERROR(__xludf.DUMMYFUNCTION("""COMPUTED_VALUE"""),84.5)</f>
        <v>84.5</v>
      </c>
      <c r="C969" s="30"/>
      <c r="D969" s="30"/>
      <c r="E969" s="30"/>
      <c r="F969" s="30"/>
      <c r="G969" s="30"/>
      <c r="H969" s="30"/>
      <c r="I969" s="30"/>
      <c r="J969" s="30">
        <f>IFERROR(__xludf.DUMMYFUNCTION("""COMPUTED_VALUE"""),-11.059343513011441)</f>
        <v>-11.05934351</v>
      </c>
      <c r="K969" s="30"/>
      <c r="L969" s="30"/>
      <c r="M969" s="30"/>
      <c r="N969" s="30"/>
      <c r="O969" s="30">
        <f>IFERROR(__xludf.DUMMYFUNCTION("""COMPUTED_VALUE"""),-2.630874715592867)</f>
        <v>-2.630874716</v>
      </c>
      <c r="P969" s="30">
        <f>IFERROR(__xludf.DUMMYFUNCTION("""COMPUTED_VALUE"""),4.463999088063446)</f>
        <v>4.463999088</v>
      </c>
      <c r="Q969" s="30"/>
      <c r="R969" s="30"/>
      <c r="S969" s="30"/>
      <c r="T969" s="30"/>
      <c r="U969" s="30">
        <v>0.0</v>
      </c>
      <c r="V969" s="30"/>
      <c r="W969" s="30"/>
      <c r="X969" s="30"/>
      <c r="Y969" s="5">
        <f>IFERROR(__xludf.DUMMYFUNCTION("""COMPUTED_VALUE"""),84.0)</f>
        <v>84</v>
      </c>
      <c r="Z969" s="5">
        <f>IFERROR(__xludf.DUMMYFUNCTION("""COMPUTED_VALUE"""),85.0)</f>
        <v>85</v>
      </c>
    </row>
    <row r="970">
      <c r="A970" s="30" t="s">
        <v>2601</v>
      </c>
      <c r="B970" s="30">
        <f>IFERROR(__xludf.DUMMYFUNCTION("""COMPUTED_VALUE"""),83.5)</f>
        <v>83.5</v>
      </c>
      <c r="C970" s="30"/>
      <c r="D970" s="30"/>
      <c r="E970" s="30"/>
      <c r="F970" s="30"/>
      <c r="G970" s="30"/>
      <c r="H970" s="30"/>
      <c r="I970" s="30"/>
      <c r="J970" s="30">
        <f>IFERROR(__xludf.DUMMYFUNCTION("""COMPUTED_VALUE"""),-11.059343513011441)</f>
        <v>-11.05934351</v>
      </c>
      <c r="K970" s="30"/>
      <c r="L970" s="30"/>
      <c r="M970" s="30"/>
      <c r="N970" s="30"/>
      <c r="O970" s="30">
        <f>IFERROR(__xludf.DUMMYFUNCTION("""COMPUTED_VALUE"""),-2.630874715592867)</f>
        <v>-2.630874716</v>
      </c>
      <c r="P970" s="30">
        <f>IFERROR(__xludf.DUMMYFUNCTION("""COMPUTED_VALUE"""),4.463999088063446)</f>
        <v>4.463999088</v>
      </c>
      <c r="Q970" s="30"/>
      <c r="R970" s="30"/>
      <c r="S970" s="30"/>
      <c r="T970" s="30"/>
      <c r="U970" s="30">
        <v>0.0</v>
      </c>
      <c r="V970" s="30"/>
      <c r="W970" s="30"/>
      <c r="X970" s="30"/>
      <c r="Y970" s="5">
        <f>IFERROR(__xludf.DUMMYFUNCTION("""COMPUTED_VALUE"""),83.0)</f>
        <v>83</v>
      </c>
      <c r="Z970" s="5">
        <f>IFERROR(__xludf.DUMMYFUNCTION("""COMPUTED_VALUE"""),84.0)</f>
        <v>84</v>
      </c>
    </row>
    <row r="971">
      <c r="A971" s="30" t="s">
        <v>2033</v>
      </c>
      <c r="B971" s="30">
        <f>IFERROR(__xludf.DUMMYFUNCTION("""COMPUTED_VALUE"""),86.0)</f>
        <v>86</v>
      </c>
      <c r="C971" s="30"/>
      <c r="D971" s="30"/>
      <c r="E971" s="30"/>
      <c r="F971" s="30"/>
      <c r="G971" s="30"/>
      <c r="H971" s="30"/>
      <c r="I971" s="30"/>
      <c r="J971" s="30">
        <f>IFERROR(__xludf.DUMMYFUNCTION("""COMPUTED_VALUE"""),-11.059343513011441)</f>
        <v>-11.05934351</v>
      </c>
      <c r="K971" s="30"/>
      <c r="L971" s="30"/>
      <c r="M971" s="30"/>
      <c r="N971" s="30"/>
      <c r="O971" s="30">
        <f>IFERROR(__xludf.DUMMYFUNCTION("""COMPUTED_VALUE"""),-2.630874715592867)</f>
        <v>-2.630874716</v>
      </c>
      <c r="P971" s="30">
        <f>IFERROR(__xludf.DUMMYFUNCTION("""COMPUTED_VALUE"""),4.463999088063446)</f>
        <v>4.463999088</v>
      </c>
      <c r="Q971" s="30"/>
      <c r="R971" s="30"/>
      <c r="S971" s="30"/>
      <c r="T971" s="30"/>
      <c r="U971" s="30">
        <v>0.0</v>
      </c>
      <c r="V971" s="30"/>
      <c r="W971" s="30"/>
      <c r="X971" s="30"/>
      <c r="Y971" s="5">
        <f>IFERROR(__xludf.DUMMYFUNCTION("""COMPUTED_VALUE"""),84.0)</f>
        <v>84</v>
      </c>
      <c r="Z971" s="5">
        <f>IFERROR(__xludf.DUMMYFUNCTION("""COMPUTED_VALUE"""),88.0)</f>
        <v>88</v>
      </c>
    </row>
    <row r="972">
      <c r="A972" s="30" t="s">
        <v>2670</v>
      </c>
      <c r="B972" s="30">
        <f>IFERROR(__xludf.DUMMYFUNCTION("""COMPUTED_VALUE"""),83.0)</f>
        <v>83</v>
      </c>
      <c r="C972" s="30"/>
      <c r="D972" s="30"/>
      <c r="E972" s="30"/>
      <c r="F972" s="30"/>
      <c r="G972" s="30"/>
      <c r="H972" s="30"/>
      <c r="I972" s="30"/>
      <c r="J972" s="30">
        <f>IFERROR(__xludf.DUMMYFUNCTION("""COMPUTED_VALUE"""),-11.059343513011441)</f>
        <v>-11.05934351</v>
      </c>
      <c r="K972" s="30"/>
      <c r="L972" s="30"/>
      <c r="M972" s="30"/>
      <c r="N972" s="30"/>
      <c r="O972" s="30">
        <f>IFERROR(__xludf.DUMMYFUNCTION("""COMPUTED_VALUE"""),-2.630874715592867)</f>
        <v>-2.630874716</v>
      </c>
      <c r="P972" s="30">
        <f>IFERROR(__xludf.DUMMYFUNCTION("""COMPUTED_VALUE"""),4.463999088063446)</f>
        <v>4.463999088</v>
      </c>
      <c r="Q972" s="30"/>
      <c r="R972" s="30"/>
      <c r="S972" s="30"/>
      <c r="T972" s="30"/>
      <c r="U972" s="30">
        <v>0.0</v>
      </c>
      <c r="V972" s="30"/>
      <c r="W972" s="30"/>
      <c r="X972" s="30"/>
      <c r="Y972" s="5">
        <f>IFERROR(__xludf.DUMMYFUNCTION("""COMPUTED_VALUE"""),83.0)</f>
        <v>83</v>
      </c>
      <c r="Z972" s="5">
        <f>IFERROR(__xludf.DUMMYFUNCTION("""COMPUTED_VALUE"""),83.0)</f>
        <v>83</v>
      </c>
    </row>
    <row r="973">
      <c r="A973" s="30" t="s">
        <v>1991</v>
      </c>
      <c r="B973" s="30">
        <f>IFERROR(__xludf.DUMMYFUNCTION("""COMPUTED_VALUE"""),85.5)</f>
        <v>85.5</v>
      </c>
      <c r="C973" s="30"/>
      <c r="D973" s="30"/>
      <c r="E973" s="30"/>
      <c r="F973" s="30"/>
      <c r="G973" s="30"/>
      <c r="H973" s="30"/>
      <c r="I973" s="30"/>
      <c r="J973" s="30">
        <f>IFERROR(__xludf.DUMMYFUNCTION("""COMPUTED_VALUE"""),-11.059343513011441)</f>
        <v>-11.05934351</v>
      </c>
      <c r="K973" s="30"/>
      <c r="L973" s="30"/>
      <c r="M973" s="30"/>
      <c r="N973" s="30"/>
      <c r="O973" s="30">
        <f>IFERROR(__xludf.DUMMYFUNCTION("""COMPUTED_VALUE"""),-2.630874715592867)</f>
        <v>-2.630874716</v>
      </c>
      <c r="P973" s="30">
        <f>IFERROR(__xludf.DUMMYFUNCTION("""COMPUTED_VALUE"""),4.463999088063446)</f>
        <v>4.463999088</v>
      </c>
      <c r="Q973" s="30"/>
      <c r="R973" s="30"/>
      <c r="S973" s="30"/>
      <c r="T973" s="30"/>
      <c r="U973" s="30">
        <v>0.0</v>
      </c>
      <c r="V973" s="30"/>
      <c r="W973" s="30"/>
      <c r="X973" s="30"/>
      <c r="Y973" s="5">
        <f>IFERROR(__xludf.DUMMYFUNCTION("""COMPUTED_VALUE"""),83.0)</f>
        <v>83</v>
      </c>
      <c r="Z973" s="5">
        <f>IFERROR(__xludf.DUMMYFUNCTION("""COMPUTED_VALUE"""),88.0)</f>
        <v>88</v>
      </c>
    </row>
    <row r="974">
      <c r="A974" s="30" t="s">
        <v>2906</v>
      </c>
      <c r="B974" s="30">
        <f>IFERROR(__xludf.DUMMYFUNCTION("""COMPUTED_VALUE"""),84.0)</f>
        <v>84</v>
      </c>
      <c r="C974" s="30"/>
      <c r="D974" s="30"/>
      <c r="E974" s="30"/>
      <c r="F974" s="30"/>
      <c r="G974" s="30"/>
      <c r="H974" s="30"/>
      <c r="I974" s="30"/>
      <c r="J974" s="30">
        <f>IFERROR(__xludf.DUMMYFUNCTION("""COMPUTED_VALUE"""),-11.059343513011441)</f>
        <v>-11.05934351</v>
      </c>
      <c r="K974" s="30"/>
      <c r="L974" s="30"/>
      <c r="M974" s="30"/>
      <c r="N974" s="30"/>
      <c r="O974" s="30">
        <f>IFERROR(__xludf.DUMMYFUNCTION("""COMPUTED_VALUE"""),-2.630874715592867)</f>
        <v>-2.630874716</v>
      </c>
      <c r="P974" s="30">
        <f>IFERROR(__xludf.DUMMYFUNCTION("""COMPUTED_VALUE"""),4.463999088063446)</f>
        <v>4.463999088</v>
      </c>
      <c r="Q974" s="30"/>
      <c r="R974" s="30"/>
      <c r="S974" s="30"/>
      <c r="T974" s="30"/>
      <c r="U974" s="30">
        <v>0.0</v>
      </c>
      <c r="V974" s="30"/>
      <c r="W974" s="30"/>
      <c r="X974" s="30"/>
      <c r="Y974" s="5">
        <f>IFERROR(__xludf.DUMMYFUNCTION("""COMPUTED_VALUE"""),84.0)</f>
        <v>84</v>
      </c>
      <c r="Z974" s="5">
        <f>IFERROR(__xludf.DUMMYFUNCTION("""COMPUTED_VALUE"""),84.0)</f>
        <v>84</v>
      </c>
    </row>
    <row r="975">
      <c r="A975" s="30" t="s">
        <v>2907</v>
      </c>
      <c r="B975" s="30">
        <f>IFERROR(__xludf.DUMMYFUNCTION("""COMPUTED_VALUE"""),83.0)</f>
        <v>83</v>
      </c>
      <c r="C975" s="30"/>
      <c r="D975" s="30"/>
      <c r="E975" s="30"/>
      <c r="F975" s="30"/>
      <c r="G975" s="30"/>
      <c r="H975" s="30"/>
      <c r="I975" s="30"/>
      <c r="J975" s="30">
        <f>IFERROR(__xludf.DUMMYFUNCTION("""COMPUTED_VALUE"""),-11.059343513011441)</f>
        <v>-11.05934351</v>
      </c>
      <c r="K975" s="30"/>
      <c r="L975" s="30"/>
      <c r="M975" s="30"/>
      <c r="N975" s="30"/>
      <c r="O975" s="30">
        <f>IFERROR(__xludf.DUMMYFUNCTION("""COMPUTED_VALUE"""),-2.630874715592867)</f>
        <v>-2.630874716</v>
      </c>
      <c r="P975" s="30">
        <f>IFERROR(__xludf.DUMMYFUNCTION("""COMPUTED_VALUE"""),4.463999088063446)</f>
        <v>4.463999088</v>
      </c>
      <c r="Q975" s="30"/>
      <c r="R975" s="30"/>
      <c r="S975" s="30"/>
      <c r="T975" s="30"/>
      <c r="U975" s="30">
        <v>0.0</v>
      </c>
      <c r="V975" s="30"/>
      <c r="W975" s="30"/>
      <c r="X975" s="30"/>
      <c r="Y975" s="5">
        <f>IFERROR(__xludf.DUMMYFUNCTION("""COMPUTED_VALUE"""),83.0)</f>
        <v>83</v>
      </c>
      <c r="Z975" s="5">
        <f>IFERROR(__xludf.DUMMYFUNCTION("""COMPUTED_VALUE"""),83.0)</f>
        <v>83</v>
      </c>
    </row>
    <row r="976">
      <c r="A976" s="30" t="s">
        <v>2399</v>
      </c>
      <c r="B976" s="30">
        <f>IFERROR(__xludf.DUMMYFUNCTION("""COMPUTED_VALUE"""),85.5)</f>
        <v>85.5</v>
      </c>
      <c r="C976" s="30"/>
      <c r="D976" s="30"/>
      <c r="E976" s="30"/>
      <c r="F976" s="30"/>
      <c r="G976" s="30"/>
      <c r="H976" s="30"/>
      <c r="I976" s="30"/>
      <c r="J976" s="30">
        <f>IFERROR(__xludf.DUMMYFUNCTION("""COMPUTED_VALUE"""),-11.059343513011441)</f>
        <v>-11.05934351</v>
      </c>
      <c r="K976" s="30"/>
      <c r="L976" s="30"/>
      <c r="M976" s="30"/>
      <c r="N976" s="30"/>
      <c r="O976" s="30">
        <f>IFERROR(__xludf.DUMMYFUNCTION("""COMPUTED_VALUE"""),-2.630874715592867)</f>
        <v>-2.630874716</v>
      </c>
      <c r="P976" s="30">
        <f>IFERROR(__xludf.DUMMYFUNCTION("""COMPUTED_VALUE"""),4.463999088063446)</f>
        <v>4.463999088</v>
      </c>
      <c r="Q976" s="30"/>
      <c r="R976" s="30"/>
      <c r="S976" s="30"/>
      <c r="T976" s="30"/>
      <c r="U976" s="30">
        <v>0.0</v>
      </c>
      <c r="V976" s="30"/>
      <c r="W976" s="30"/>
      <c r="X976" s="30"/>
      <c r="Y976" s="5">
        <f>IFERROR(__xludf.DUMMYFUNCTION("""COMPUTED_VALUE"""),83.0)</f>
        <v>83</v>
      </c>
      <c r="Z976" s="5">
        <f>IFERROR(__xludf.DUMMYFUNCTION("""COMPUTED_VALUE"""),88.0)</f>
        <v>88</v>
      </c>
    </row>
    <row r="977">
      <c r="A977" s="30" t="s">
        <v>2760</v>
      </c>
      <c r="B977" s="30">
        <f>IFERROR(__xludf.DUMMYFUNCTION("""COMPUTED_VALUE"""),86.0)</f>
        <v>86</v>
      </c>
      <c r="C977" s="30"/>
      <c r="D977" s="30"/>
      <c r="E977" s="30"/>
      <c r="F977" s="30"/>
      <c r="G977" s="30"/>
      <c r="H977" s="30"/>
      <c r="I977" s="30"/>
      <c r="J977" s="30">
        <f>IFERROR(__xludf.DUMMYFUNCTION("""COMPUTED_VALUE"""),-11.059343513011441)</f>
        <v>-11.05934351</v>
      </c>
      <c r="K977" s="30"/>
      <c r="L977" s="30"/>
      <c r="M977" s="30"/>
      <c r="N977" s="30"/>
      <c r="O977" s="30">
        <f>IFERROR(__xludf.DUMMYFUNCTION("""COMPUTED_VALUE"""),-2.630874715592867)</f>
        <v>-2.630874716</v>
      </c>
      <c r="P977" s="30">
        <f>IFERROR(__xludf.DUMMYFUNCTION("""COMPUTED_VALUE"""),4.463999088063446)</f>
        <v>4.463999088</v>
      </c>
      <c r="Q977" s="30"/>
      <c r="R977" s="30"/>
      <c r="S977" s="30"/>
      <c r="T977" s="30"/>
      <c r="U977" s="30">
        <v>0.0</v>
      </c>
      <c r="V977" s="30"/>
      <c r="W977" s="30"/>
      <c r="X977" s="30"/>
      <c r="Y977" s="5">
        <f>IFERROR(__xludf.DUMMYFUNCTION("""COMPUTED_VALUE"""),84.0)</f>
        <v>84</v>
      </c>
      <c r="Z977" s="5">
        <f>IFERROR(__xludf.DUMMYFUNCTION("""COMPUTED_VALUE"""),88.0)</f>
        <v>88</v>
      </c>
    </row>
    <row r="978">
      <c r="A978" s="30" t="s">
        <v>2444</v>
      </c>
      <c r="B978" s="30">
        <f>IFERROR(__xludf.DUMMYFUNCTION("""COMPUTED_VALUE"""),80.5)</f>
        <v>80.5</v>
      </c>
      <c r="C978" s="30"/>
      <c r="D978" s="30"/>
      <c r="E978" s="30"/>
      <c r="F978" s="30"/>
      <c r="G978" s="30"/>
      <c r="H978" s="30"/>
      <c r="I978" s="30"/>
      <c r="J978" s="30">
        <f>IFERROR(__xludf.DUMMYFUNCTION("""COMPUTED_VALUE"""),-11.059343513011441)</f>
        <v>-11.05934351</v>
      </c>
      <c r="K978" s="30"/>
      <c r="L978" s="30"/>
      <c r="M978" s="30"/>
      <c r="N978" s="30"/>
      <c r="O978" s="30">
        <f>IFERROR(__xludf.DUMMYFUNCTION("""COMPUTED_VALUE"""),-2.630874715592867)</f>
        <v>-2.630874716</v>
      </c>
      <c r="P978" s="30">
        <f>IFERROR(__xludf.DUMMYFUNCTION("""COMPUTED_VALUE"""),4.463999088063446)</f>
        <v>4.463999088</v>
      </c>
      <c r="Q978" s="30"/>
      <c r="R978" s="30"/>
      <c r="S978" s="30"/>
      <c r="T978" s="30"/>
      <c r="U978" s="30">
        <v>0.0</v>
      </c>
      <c r="V978" s="30"/>
      <c r="W978" s="30"/>
      <c r="X978" s="30"/>
      <c r="Y978" s="5">
        <f>IFERROR(__xludf.DUMMYFUNCTION("""COMPUTED_VALUE"""),80.0)</f>
        <v>80</v>
      </c>
      <c r="Z978" s="5">
        <f>IFERROR(__xludf.DUMMYFUNCTION("""COMPUTED_VALUE"""),81.0)</f>
        <v>81</v>
      </c>
    </row>
    <row r="979">
      <c r="A979" s="30" t="s">
        <v>2762</v>
      </c>
      <c r="B979" s="30">
        <f>IFERROR(__xludf.DUMMYFUNCTION("""COMPUTED_VALUE"""),86.0)</f>
        <v>86</v>
      </c>
      <c r="C979" s="30"/>
      <c r="D979" s="30"/>
      <c r="E979" s="30"/>
      <c r="F979" s="30"/>
      <c r="G979" s="30"/>
      <c r="H979" s="30"/>
      <c r="I979" s="30"/>
      <c r="J979" s="30">
        <f>IFERROR(__xludf.DUMMYFUNCTION("""COMPUTED_VALUE"""),-11.059343513011441)</f>
        <v>-11.05934351</v>
      </c>
      <c r="K979" s="30"/>
      <c r="L979" s="30"/>
      <c r="M979" s="30"/>
      <c r="N979" s="30"/>
      <c r="O979" s="30">
        <f>IFERROR(__xludf.DUMMYFUNCTION("""COMPUTED_VALUE"""),-2.630874715592867)</f>
        <v>-2.630874716</v>
      </c>
      <c r="P979" s="30">
        <f>IFERROR(__xludf.DUMMYFUNCTION("""COMPUTED_VALUE"""),4.463999088063446)</f>
        <v>4.463999088</v>
      </c>
      <c r="Q979" s="30"/>
      <c r="R979" s="30"/>
      <c r="S979" s="30"/>
      <c r="T979" s="30"/>
      <c r="U979" s="30">
        <v>0.0</v>
      </c>
      <c r="V979" s="30"/>
      <c r="W979" s="30"/>
      <c r="X979" s="30"/>
      <c r="Y979" s="5">
        <f>IFERROR(__xludf.DUMMYFUNCTION("""COMPUTED_VALUE"""),84.0)</f>
        <v>84</v>
      </c>
      <c r="Z979" s="5">
        <f>IFERROR(__xludf.DUMMYFUNCTION("""COMPUTED_VALUE"""),88.0)</f>
        <v>88</v>
      </c>
    </row>
    <row r="980">
      <c r="A980" s="30" t="s">
        <v>2334</v>
      </c>
      <c r="B980" s="30">
        <f>IFERROR(__xludf.DUMMYFUNCTION("""COMPUTED_VALUE"""),85.5)</f>
        <v>85.5</v>
      </c>
      <c r="C980" s="30"/>
      <c r="D980" s="30"/>
      <c r="E980" s="30"/>
      <c r="F980" s="30"/>
      <c r="G980" s="30"/>
      <c r="H980" s="30"/>
      <c r="I980" s="30"/>
      <c r="J980" s="30">
        <f>IFERROR(__xludf.DUMMYFUNCTION("""COMPUTED_VALUE"""),-11.059343513011441)</f>
        <v>-11.05934351</v>
      </c>
      <c r="K980" s="30"/>
      <c r="L980" s="30"/>
      <c r="M980" s="30"/>
      <c r="N980" s="30"/>
      <c r="O980" s="30">
        <f>IFERROR(__xludf.DUMMYFUNCTION("""COMPUTED_VALUE"""),-2.630874715592867)</f>
        <v>-2.630874716</v>
      </c>
      <c r="P980" s="30">
        <f>IFERROR(__xludf.DUMMYFUNCTION("""COMPUTED_VALUE"""),4.463999088063446)</f>
        <v>4.463999088</v>
      </c>
      <c r="Q980" s="30"/>
      <c r="R980" s="30"/>
      <c r="S980" s="30"/>
      <c r="T980" s="30"/>
      <c r="U980" s="30">
        <v>0.0</v>
      </c>
      <c r="V980" s="30"/>
      <c r="W980" s="30"/>
      <c r="X980" s="30"/>
      <c r="Y980" s="5">
        <f>IFERROR(__xludf.DUMMYFUNCTION("""COMPUTED_VALUE"""),83.0)</f>
        <v>83</v>
      </c>
      <c r="Z980" s="5">
        <f>IFERROR(__xludf.DUMMYFUNCTION("""COMPUTED_VALUE"""),88.0)</f>
        <v>88</v>
      </c>
    </row>
    <row r="981">
      <c r="A981" s="30" t="s">
        <v>2920</v>
      </c>
      <c r="B981" s="30">
        <f>IFERROR(__xludf.DUMMYFUNCTION("""COMPUTED_VALUE"""),88.0)</f>
        <v>88</v>
      </c>
      <c r="C981" s="30"/>
      <c r="D981" s="30"/>
      <c r="E981" s="30"/>
      <c r="F981" s="30"/>
      <c r="G981" s="30"/>
      <c r="H981" s="30"/>
      <c r="I981" s="30"/>
      <c r="J981" s="30">
        <f>IFERROR(__xludf.DUMMYFUNCTION("""COMPUTED_VALUE"""),-11.059343513011441)</f>
        <v>-11.05934351</v>
      </c>
      <c r="K981" s="30"/>
      <c r="L981" s="30"/>
      <c r="M981" s="30"/>
      <c r="N981" s="30"/>
      <c r="O981" s="30">
        <f>IFERROR(__xludf.DUMMYFUNCTION("""COMPUTED_VALUE"""),-2.630874715592867)</f>
        <v>-2.630874716</v>
      </c>
      <c r="P981" s="30">
        <f>IFERROR(__xludf.DUMMYFUNCTION("""COMPUTED_VALUE"""),4.463999088063446)</f>
        <v>4.463999088</v>
      </c>
      <c r="Q981" s="30"/>
      <c r="R981" s="30"/>
      <c r="S981" s="30"/>
      <c r="T981" s="30"/>
      <c r="U981" s="30">
        <v>0.0</v>
      </c>
      <c r="V981" s="30"/>
      <c r="W981" s="30"/>
      <c r="X981" s="30"/>
      <c r="Y981" s="5">
        <f>IFERROR(__xludf.DUMMYFUNCTION("""COMPUTED_VALUE"""),88.0)</f>
        <v>88</v>
      </c>
      <c r="Z981" s="5">
        <f>IFERROR(__xludf.DUMMYFUNCTION("""COMPUTED_VALUE"""),88.0)</f>
        <v>88</v>
      </c>
    </row>
    <row r="982">
      <c r="A982" s="30" t="s">
        <v>2758</v>
      </c>
      <c r="B982" s="30">
        <f>IFERROR(__xludf.DUMMYFUNCTION("""COMPUTED_VALUE"""),86.5)</f>
        <v>86.5</v>
      </c>
      <c r="C982" s="30"/>
      <c r="D982" s="30"/>
      <c r="E982" s="30"/>
      <c r="F982" s="30"/>
      <c r="G982" s="30"/>
      <c r="H982" s="30"/>
      <c r="I982" s="30"/>
      <c r="J982" s="30">
        <f>IFERROR(__xludf.DUMMYFUNCTION("""COMPUTED_VALUE"""),-11.059343513011441)</f>
        <v>-11.05934351</v>
      </c>
      <c r="K982" s="30"/>
      <c r="L982" s="30"/>
      <c r="M982" s="30"/>
      <c r="N982" s="30"/>
      <c r="O982" s="30">
        <f>IFERROR(__xludf.DUMMYFUNCTION("""COMPUTED_VALUE"""),-2.630874715592867)</f>
        <v>-2.630874716</v>
      </c>
      <c r="P982" s="30">
        <f>IFERROR(__xludf.DUMMYFUNCTION("""COMPUTED_VALUE"""),4.463999088063446)</f>
        <v>4.463999088</v>
      </c>
      <c r="Q982" s="30"/>
      <c r="R982" s="30"/>
      <c r="S982" s="30"/>
      <c r="T982" s="30"/>
      <c r="U982" s="30">
        <v>0.0</v>
      </c>
      <c r="V982" s="30"/>
      <c r="W982" s="30"/>
      <c r="X982" s="30"/>
      <c r="Y982" s="5">
        <f>IFERROR(__xludf.DUMMYFUNCTION("""COMPUTED_VALUE"""),85.0)</f>
        <v>85</v>
      </c>
      <c r="Z982" s="5">
        <f>IFERROR(__xludf.DUMMYFUNCTION("""COMPUTED_VALUE"""),88.0)</f>
        <v>88</v>
      </c>
    </row>
    <row r="983">
      <c r="A983" s="30" t="s">
        <v>2928</v>
      </c>
      <c r="B983" s="30">
        <f>IFERROR(__xludf.DUMMYFUNCTION("""COMPUTED_VALUE"""),84.5)</f>
        <v>84.5</v>
      </c>
      <c r="C983" s="30"/>
      <c r="D983" s="30"/>
      <c r="E983" s="30"/>
      <c r="F983" s="30"/>
      <c r="G983" s="30"/>
      <c r="H983" s="30"/>
      <c r="I983" s="30"/>
      <c r="J983" s="30">
        <f>IFERROR(__xludf.DUMMYFUNCTION("""COMPUTED_VALUE"""),-11.059343513011441)</f>
        <v>-11.05934351</v>
      </c>
      <c r="K983" s="30"/>
      <c r="L983" s="30"/>
      <c r="M983" s="30"/>
      <c r="N983" s="30"/>
      <c r="O983" s="30">
        <f>IFERROR(__xludf.DUMMYFUNCTION("""COMPUTED_VALUE"""),-2.630874715592867)</f>
        <v>-2.630874716</v>
      </c>
      <c r="P983" s="30">
        <f>IFERROR(__xludf.DUMMYFUNCTION("""COMPUTED_VALUE"""),4.463999088063446)</f>
        <v>4.463999088</v>
      </c>
      <c r="Q983" s="30"/>
      <c r="R983" s="30"/>
      <c r="S983" s="30"/>
      <c r="T983" s="30"/>
      <c r="U983" s="30">
        <v>0.0</v>
      </c>
      <c r="V983" s="30"/>
      <c r="W983" s="30"/>
      <c r="X983" s="30"/>
      <c r="Y983" s="5">
        <f>IFERROR(__xludf.DUMMYFUNCTION("""COMPUTED_VALUE"""),84.0)</f>
        <v>84</v>
      </c>
      <c r="Z983" s="5">
        <f>IFERROR(__xludf.DUMMYFUNCTION("""COMPUTED_VALUE"""),85.0)</f>
        <v>85</v>
      </c>
    </row>
    <row r="984">
      <c r="A984" s="30" t="s">
        <v>2727</v>
      </c>
      <c r="B984" s="30">
        <f>IFERROR(__xludf.DUMMYFUNCTION("""COMPUTED_VALUE"""),84.0)</f>
        <v>84</v>
      </c>
      <c r="C984" s="30"/>
      <c r="D984" s="30"/>
      <c r="E984" s="30"/>
      <c r="F984" s="30"/>
      <c r="G984" s="30"/>
      <c r="H984" s="30"/>
      <c r="I984" s="30"/>
      <c r="J984" s="30">
        <f>IFERROR(__xludf.DUMMYFUNCTION("""COMPUTED_VALUE"""),-11.059343513011441)</f>
        <v>-11.05934351</v>
      </c>
      <c r="K984" s="30"/>
      <c r="L984" s="30"/>
      <c r="M984" s="30"/>
      <c r="N984" s="30"/>
      <c r="O984" s="30">
        <f>IFERROR(__xludf.DUMMYFUNCTION("""COMPUTED_VALUE"""),-2.630874715592867)</f>
        <v>-2.630874716</v>
      </c>
      <c r="P984" s="30">
        <f>IFERROR(__xludf.DUMMYFUNCTION("""COMPUTED_VALUE"""),4.463999088063446)</f>
        <v>4.463999088</v>
      </c>
      <c r="Q984" s="30"/>
      <c r="R984" s="30"/>
      <c r="S984" s="30"/>
      <c r="T984" s="30"/>
      <c r="U984" s="30">
        <v>0.0</v>
      </c>
      <c r="V984" s="30"/>
      <c r="W984" s="30"/>
      <c r="X984" s="30"/>
      <c r="Y984" s="5">
        <f>IFERROR(__xludf.DUMMYFUNCTION("""COMPUTED_VALUE"""),83.0)</f>
        <v>83</v>
      </c>
      <c r="Z984" s="5">
        <f>IFERROR(__xludf.DUMMYFUNCTION("""COMPUTED_VALUE"""),85.0)</f>
        <v>85</v>
      </c>
    </row>
    <row r="985">
      <c r="A985" s="30" t="s">
        <v>2625</v>
      </c>
      <c r="B985" s="30">
        <f>IFERROR(__xludf.DUMMYFUNCTION("""COMPUTED_VALUE"""),88.0)</f>
        <v>88</v>
      </c>
      <c r="C985" s="30"/>
      <c r="D985" s="30"/>
      <c r="E985" s="30"/>
      <c r="F985" s="30"/>
      <c r="G985" s="30"/>
      <c r="H985" s="30"/>
      <c r="I985" s="30"/>
      <c r="J985" s="30">
        <f>IFERROR(__xludf.DUMMYFUNCTION("""COMPUTED_VALUE"""),-11.059343513011441)</f>
        <v>-11.05934351</v>
      </c>
      <c r="K985" s="30"/>
      <c r="L985" s="30"/>
      <c r="M985" s="30"/>
      <c r="N985" s="30"/>
      <c r="O985" s="30">
        <f>IFERROR(__xludf.DUMMYFUNCTION("""COMPUTED_VALUE"""),-2.630874715592867)</f>
        <v>-2.630874716</v>
      </c>
      <c r="P985" s="30">
        <f>IFERROR(__xludf.DUMMYFUNCTION("""COMPUTED_VALUE"""),4.463999088063446)</f>
        <v>4.463999088</v>
      </c>
      <c r="Q985" s="30"/>
      <c r="R985" s="30"/>
      <c r="S985" s="30"/>
      <c r="T985" s="30"/>
      <c r="U985" s="30">
        <v>0.0</v>
      </c>
      <c r="V985" s="30"/>
      <c r="W985" s="30"/>
      <c r="X985" s="30"/>
      <c r="Y985" s="5">
        <f>IFERROR(__xludf.DUMMYFUNCTION("""COMPUTED_VALUE"""),88.0)</f>
        <v>88</v>
      </c>
      <c r="Z985" s="5">
        <f>IFERROR(__xludf.DUMMYFUNCTION("""COMPUTED_VALUE"""),88.0)</f>
        <v>88</v>
      </c>
    </row>
    <row r="986">
      <c r="A986" s="30" t="s">
        <v>1929</v>
      </c>
      <c r="B986" s="30">
        <f>IFERROR(__xludf.DUMMYFUNCTION("""COMPUTED_VALUE"""),84.5)</f>
        <v>84.5</v>
      </c>
      <c r="C986" s="30"/>
      <c r="D986" s="30"/>
      <c r="E986" s="30"/>
      <c r="F986" s="30"/>
      <c r="G986" s="30"/>
      <c r="H986" s="30"/>
      <c r="I986" s="30"/>
      <c r="J986" s="30">
        <f>IFERROR(__xludf.DUMMYFUNCTION("""COMPUTED_VALUE"""),-11.059343513011441)</f>
        <v>-11.05934351</v>
      </c>
      <c r="K986" s="30"/>
      <c r="L986" s="30"/>
      <c r="M986" s="30"/>
      <c r="N986" s="30"/>
      <c r="O986" s="30">
        <f>IFERROR(__xludf.DUMMYFUNCTION("""COMPUTED_VALUE"""),-2.630874715592867)</f>
        <v>-2.630874716</v>
      </c>
      <c r="P986" s="30">
        <f>IFERROR(__xludf.DUMMYFUNCTION("""COMPUTED_VALUE"""),4.463999088063446)</f>
        <v>4.463999088</v>
      </c>
      <c r="Q986" s="30"/>
      <c r="R986" s="30"/>
      <c r="S986" s="30"/>
      <c r="T986" s="30"/>
      <c r="U986" s="30">
        <v>0.0</v>
      </c>
      <c r="V986" s="30"/>
      <c r="W986" s="30"/>
      <c r="X986" s="30"/>
      <c r="Y986" s="5">
        <f>IFERROR(__xludf.DUMMYFUNCTION("""COMPUTED_VALUE"""),84.0)</f>
        <v>84</v>
      </c>
      <c r="Z986" s="5">
        <f>IFERROR(__xludf.DUMMYFUNCTION("""COMPUTED_VALUE"""),85.0)</f>
        <v>85</v>
      </c>
    </row>
    <row r="987">
      <c r="A987" s="30" t="s">
        <v>2523</v>
      </c>
      <c r="B987" s="30">
        <f>IFERROR(__xludf.DUMMYFUNCTION("""COMPUTED_VALUE"""),85.5)</f>
        <v>85.5</v>
      </c>
      <c r="C987" s="30"/>
      <c r="D987" s="30"/>
      <c r="E987" s="30"/>
      <c r="F987" s="30"/>
      <c r="G987" s="30"/>
      <c r="H987" s="30"/>
      <c r="I987" s="30"/>
      <c r="J987" s="30">
        <f>IFERROR(__xludf.DUMMYFUNCTION("""COMPUTED_VALUE"""),-11.059343513011441)</f>
        <v>-11.05934351</v>
      </c>
      <c r="K987" s="30"/>
      <c r="L987" s="30"/>
      <c r="M987" s="30"/>
      <c r="N987" s="30"/>
      <c r="O987" s="30">
        <f>IFERROR(__xludf.DUMMYFUNCTION("""COMPUTED_VALUE"""),-2.630874715592867)</f>
        <v>-2.630874716</v>
      </c>
      <c r="P987" s="30">
        <f>IFERROR(__xludf.DUMMYFUNCTION("""COMPUTED_VALUE"""),4.463999088063446)</f>
        <v>4.463999088</v>
      </c>
      <c r="Q987" s="30"/>
      <c r="R987" s="30"/>
      <c r="S987" s="30"/>
      <c r="T987" s="30"/>
      <c r="U987" s="30">
        <v>0.0</v>
      </c>
      <c r="V987" s="30"/>
      <c r="W987" s="30"/>
      <c r="X987" s="30"/>
      <c r="Y987" s="5">
        <f>IFERROR(__xludf.DUMMYFUNCTION("""COMPUTED_VALUE"""),83.0)</f>
        <v>83</v>
      </c>
      <c r="Z987" s="5">
        <f>IFERROR(__xludf.DUMMYFUNCTION("""COMPUTED_VALUE"""),88.0)</f>
        <v>88</v>
      </c>
    </row>
    <row r="988">
      <c r="A988" s="30" t="s">
        <v>2942</v>
      </c>
      <c r="B988" s="30">
        <f>IFERROR(__xludf.DUMMYFUNCTION("""COMPUTED_VALUE"""),86.0)</f>
        <v>86</v>
      </c>
      <c r="C988" s="30"/>
      <c r="D988" s="30"/>
      <c r="E988" s="30"/>
      <c r="F988" s="30"/>
      <c r="G988" s="30"/>
      <c r="H988" s="30"/>
      <c r="I988" s="30"/>
      <c r="J988" s="30">
        <f>IFERROR(__xludf.DUMMYFUNCTION("""COMPUTED_VALUE"""),-11.059343513011441)</f>
        <v>-11.05934351</v>
      </c>
      <c r="K988" s="30"/>
      <c r="L988" s="30"/>
      <c r="M988" s="30"/>
      <c r="N988" s="30"/>
      <c r="O988" s="30">
        <f>IFERROR(__xludf.DUMMYFUNCTION("""COMPUTED_VALUE"""),-2.630874715592867)</f>
        <v>-2.630874716</v>
      </c>
      <c r="P988" s="30">
        <f>IFERROR(__xludf.DUMMYFUNCTION("""COMPUTED_VALUE"""),4.463999088063446)</f>
        <v>4.463999088</v>
      </c>
      <c r="Q988" s="30"/>
      <c r="R988" s="30"/>
      <c r="S988" s="30"/>
      <c r="T988" s="30"/>
      <c r="U988" s="30">
        <v>0.0</v>
      </c>
      <c r="V988" s="30"/>
      <c r="W988" s="30"/>
      <c r="X988" s="30"/>
      <c r="Y988" s="5">
        <f>IFERROR(__xludf.DUMMYFUNCTION("""COMPUTED_VALUE"""),84.0)</f>
        <v>84</v>
      </c>
      <c r="Z988" s="5">
        <f>IFERROR(__xludf.DUMMYFUNCTION("""COMPUTED_VALUE"""),88.0)</f>
        <v>88</v>
      </c>
    </row>
    <row r="989">
      <c r="A989" s="30" t="s">
        <v>2946</v>
      </c>
      <c r="B989" s="30">
        <f>IFERROR(__xludf.DUMMYFUNCTION("""COMPUTED_VALUE"""),88.0)</f>
        <v>88</v>
      </c>
      <c r="C989" s="30"/>
      <c r="D989" s="30"/>
      <c r="E989" s="30"/>
      <c r="F989" s="30"/>
      <c r="G989" s="30"/>
      <c r="H989" s="30"/>
      <c r="I989" s="30"/>
      <c r="J989" s="30">
        <f>IFERROR(__xludf.DUMMYFUNCTION("""COMPUTED_VALUE"""),-11.059343513011441)</f>
        <v>-11.05934351</v>
      </c>
      <c r="K989" s="30"/>
      <c r="L989" s="30"/>
      <c r="M989" s="30"/>
      <c r="N989" s="30"/>
      <c r="O989" s="30">
        <f>IFERROR(__xludf.DUMMYFUNCTION("""COMPUTED_VALUE"""),-2.630874715592867)</f>
        <v>-2.630874716</v>
      </c>
      <c r="P989" s="30">
        <f>IFERROR(__xludf.DUMMYFUNCTION("""COMPUTED_VALUE"""),4.463999088063446)</f>
        <v>4.463999088</v>
      </c>
      <c r="Q989" s="30"/>
      <c r="R989" s="30"/>
      <c r="S989" s="30"/>
      <c r="T989" s="30"/>
      <c r="U989" s="30">
        <v>0.0</v>
      </c>
      <c r="V989" s="30"/>
      <c r="W989" s="30"/>
      <c r="X989" s="30"/>
      <c r="Y989" s="5">
        <f>IFERROR(__xludf.DUMMYFUNCTION("""COMPUTED_VALUE"""),88.0)</f>
        <v>88</v>
      </c>
      <c r="Z989" s="5">
        <f>IFERROR(__xludf.DUMMYFUNCTION("""COMPUTED_VALUE"""),88.0)</f>
        <v>88</v>
      </c>
    </row>
    <row r="990">
      <c r="A990" s="30" t="s">
        <v>2947</v>
      </c>
      <c r="B990" s="30">
        <f>IFERROR(__xludf.DUMMYFUNCTION("""COMPUTED_VALUE"""),81.0)</f>
        <v>81</v>
      </c>
      <c r="C990" s="30"/>
      <c r="D990" s="30"/>
      <c r="E990" s="30"/>
      <c r="F990" s="30"/>
      <c r="G990" s="30"/>
      <c r="H990" s="30"/>
      <c r="I990" s="30"/>
      <c r="J990" s="30">
        <f>IFERROR(__xludf.DUMMYFUNCTION("""COMPUTED_VALUE"""),-11.059343513011441)</f>
        <v>-11.05934351</v>
      </c>
      <c r="K990" s="30"/>
      <c r="L990" s="30"/>
      <c r="M990" s="30"/>
      <c r="N990" s="30"/>
      <c r="O990" s="30">
        <f>IFERROR(__xludf.DUMMYFUNCTION("""COMPUTED_VALUE"""),-2.630874715592867)</f>
        <v>-2.630874716</v>
      </c>
      <c r="P990" s="30">
        <f>IFERROR(__xludf.DUMMYFUNCTION("""COMPUTED_VALUE"""),4.463999088063446)</f>
        <v>4.463999088</v>
      </c>
      <c r="Q990" s="30"/>
      <c r="R990" s="30"/>
      <c r="S990" s="30"/>
      <c r="T990" s="30"/>
      <c r="U990" s="30">
        <v>0.0</v>
      </c>
      <c r="V990" s="30"/>
      <c r="W990" s="30"/>
      <c r="X990" s="30"/>
      <c r="Y990" s="5">
        <f>IFERROR(__xludf.DUMMYFUNCTION("""COMPUTED_VALUE"""),81.0)</f>
        <v>81</v>
      </c>
      <c r="Z990" s="5">
        <f>IFERROR(__xludf.DUMMYFUNCTION("""COMPUTED_VALUE"""),81.0)</f>
        <v>81</v>
      </c>
    </row>
    <row r="991">
      <c r="A991" s="30" t="s">
        <v>1871</v>
      </c>
      <c r="B991" s="30">
        <f>IFERROR(__xludf.DUMMYFUNCTION("""COMPUTED_VALUE"""),86.5)</f>
        <v>86.5</v>
      </c>
      <c r="C991" s="30"/>
      <c r="D991" s="30"/>
      <c r="E991" s="30"/>
      <c r="F991" s="30"/>
      <c r="G991" s="30"/>
      <c r="H991" s="30"/>
      <c r="I991" s="30"/>
      <c r="J991" s="30">
        <f>IFERROR(__xludf.DUMMYFUNCTION("""COMPUTED_VALUE"""),-11.059343513011441)</f>
        <v>-11.05934351</v>
      </c>
      <c r="K991" s="30"/>
      <c r="L991" s="30"/>
      <c r="M991" s="30"/>
      <c r="N991" s="30"/>
      <c r="O991" s="30">
        <f>IFERROR(__xludf.DUMMYFUNCTION("""COMPUTED_VALUE"""),-2.630874715592867)</f>
        <v>-2.630874716</v>
      </c>
      <c r="P991" s="30">
        <f>IFERROR(__xludf.DUMMYFUNCTION("""COMPUTED_VALUE"""),4.463999088063446)</f>
        <v>4.463999088</v>
      </c>
      <c r="Q991" s="30"/>
      <c r="R991" s="30"/>
      <c r="S991" s="30"/>
      <c r="T991" s="30"/>
      <c r="U991" s="30">
        <v>0.0</v>
      </c>
      <c r="V991" s="30"/>
      <c r="W991" s="30"/>
      <c r="X991" s="30"/>
      <c r="Y991" s="5">
        <f>IFERROR(__xludf.DUMMYFUNCTION("""COMPUTED_VALUE"""),85.0)</f>
        <v>85</v>
      </c>
      <c r="Z991" s="5">
        <f>IFERROR(__xludf.DUMMYFUNCTION("""COMPUTED_VALUE"""),88.0)</f>
        <v>88</v>
      </c>
    </row>
    <row r="992">
      <c r="A992" s="30" t="s">
        <v>2744</v>
      </c>
      <c r="B992" s="30">
        <f>IFERROR(__xludf.DUMMYFUNCTION("""COMPUTED_VALUE"""),82.5)</f>
        <v>82.5</v>
      </c>
      <c r="C992" s="30"/>
      <c r="D992" s="30"/>
      <c r="E992" s="30"/>
      <c r="F992" s="30"/>
      <c r="G992" s="30"/>
      <c r="H992" s="30"/>
      <c r="I992" s="30"/>
      <c r="J992" s="30">
        <f>IFERROR(__xludf.DUMMYFUNCTION("""COMPUTED_VALUE"""),-11.059343513011441)</f>
        <v>-11.05934351</v>
      </c>
      <c r="K992" s="30"/>
      <c r="L992" s="30"/>
      <c r="M992" s="30"/>
      <c r="N992" s="30"/>
      <c r="O992" s="30">
        <f>IFERROR(__xludf.DUMMYFUNCTION("""COMPUTED_VALUE"""),-2.630874715592867)</f>
        <v>-2.630874716</v>
      </c>
      <c r="P992" s="30">
        <f>IFERROR(__xludf.DUMMYFUNCTION("""COMPUTED_VALUE"""),4.463999088063446)</f>
        <v>4.463999088</v>
      </c>
      <c r="Q992" s="30"/>
      <c r="R992" s="30"/>
      <c r="S992" s="30"/>
      <c r="T992" s="30"/>
      <c r="U992" s="30">
        <v>0.0</v>
      </c>
      <c r="V992" s="30"/>
      <c r="W992" s="30"/>
      <c r="X992" s="30"/>
      <c r="Y992" s="5">
        <f>IFERROR(__xludf.DUMMYFUNCTION("""COMPUTED_VALUE"""),81.0)</f>
        <v>81</v>
      </c>
      <c r="Z992" s="5">
        <f>IFERROR(__xludf.DUMMYFUNCTION("""COMPUTED_VALUE"""),84.0)</f>
        <v>84</v>
      </c>
    </row>
    <row r="993">
      <c r="A993" s="30" t="s">
        <v>2952</v>
      </c>
      <c r="B993" s="30">
        <f>IFERROR(__xludf.DUMMYFUNCTION("""COMPUTED_VALUE"""),80.0)</f>
        <v>80</v>
      </c>
      <c r="C993" s="30"/>
      <c r="D993" s="30"/>
      <c r="E993" s="30"/>
      <c r="F993" s="30"/>
      <c r="G993" s="30"/>
      <c r="H993" s="30"/>
      <c r="I993" s="30"/>
      <c r="J993" s="30">
        <f>IFERROR(__xludf.DUMMYFUNCTION("""COMPUTED_VALUE"""),-11.059343513011441)</f>
        <v>-11.05934351</v>
      </c>
      <c r="K993" s="30"/>
      <c r="L993" s="30"/>
      <c r="M993" s="30"/>
      <c r="N993" s="30"/>
      <c r="O993" s="30">
        <f>IFERROR(__xludf.DUMMYFUNCTION("""COMPUTED_VALUE"""),-2.630874715592867)</f>
        <v>-2.630874716</v>
      </c>
      <c r="P993" s="30">
        <f>IFERROR(__xludf.DUMMYFUNCTION("""COMPUTED_VALUE"""),4.463999088063446)</f>
        <v>4.463999088</v>
      </c>
      <c r="Q993" s="30"/>
      <c r="R993" s="30"/>
      <c r="S993" s="30"/>
      <c r="T993" s="30"/>
      <c r="U993" s="30">
        <v>0.0</v>
      </c>
      <c r="V993" s="30"/>
      <c r="W993" s="30"/>
      <c r="X993" s="30"/>
      <c r="Y993" s="5">
        <f>IFERROR(__xludf.DUMMYFUNCTION("""COMPUTED_VALUE"""),79.0)</f>
        <v>79</v>
      </c>
      <c r="Z993" s="5">
        <f>IFERROR(__xludf.DUMMYFUNCTION("""COMPUTED_VALUE"""),81.0)</f>
        <v>81</v>
      </c>
    </row>
    <row r="994">
      <c r="A994" s="30" t="s">
        <v>2954</v>
      </c>
      <c r="B994" s="30">
        <f>IFERROR(__xludf.DUMMYFUNCTION("""COMPUTED_VALUE"""),86.0)</f>
        <v>86</v>
      </c>
      <c r="C994" s="30"/>
      <c r="D994" s="30"/>
      <c r="E994" s="30"/>
      <c r="F994" s="30"/>
      <c r="G994" s="30"/>
      <c r="H994" s="30"/>
      <c r="I994" s="30"/>
      <c r="J994" s="30">
        <f>IFERROR(__xludf.DUMMYFUNCTION("""COMPUTED_VALUE"""),-11.059343513011441)</f>
        <v>-11.05934351</v>
      </c>
      <c r="K994" s="30"/>
      <c r="L994" s="30"/>
      <c r="M994" s="30"/>
      <c r="N994" s="30"/>
      <c r="O994" s="30">
        <f>IFERROR(__xludf.DUMMYFUNCTION("""COMPUTED_VALUE"""),-2.630874715592867)</f>
        <v>-2.630874716</v>
      </c>
      <c r="P994" s="30">
        <f>IFERROR(__xludf.DUMMYFUNCTION("""COMPUTED_VALUE"""),4.463999088063446)</f>
        <v>4.463999088</v>
      </c>
      <c r="Q994" s="30"/>
      <c r="R994" s="30"/>
      <c r="S994" s="30"/>
      <c r="T994" s="30"/>
      <c r="U994" s="30">
        <v>0.0</v>
      </c>
      <c r="V994" s="30"/>
      <c r="W994" s="30"/>
      <c r="X994" s="30"/>
      <c r="Y994" s="5">
        <f>IFERROR(__xludf.DUMMYFUNCTION("""COMPUTED_VALUE"""),84.0)</f>
        <v>84</v>
      </c>
      <c r="Z994" s="5">
        <f>IFERROR(__xludf.DUMMYFUNCTION("""COMPUTED_VALUE"""),88.0)</f>
        <v>88</v>
      </c>
    </row>
    <row r="995">
      <c r="A995" s="30" t="s">
        <v>2957</v>
      </c>
      <c r="B995" s="30">
        <f>IFERROR(__xludf.DUMMYFUNCTION("""COMPUTED_VALUE"""),85.5)</f>
        <v>85.5</v>
      </c>
      <c r="C995" s="30"/>
      <c r="D995" s="30"/>
      <c r="E995" s="30"/>
      <c r="F995" s="30"/>
      <c r="G995" s="30"/>
      <c r="H995" s="30"/>
      <c r="I995" s="30"/>
      <c r="J995" s="30">
        <f>IFERROR(__xludf.DUMMYFUNCTION("""COMPUTED_VALUE"""),-11.059343513011441)</f>
        <v>-11.05934351</v>
      </c>
      <c r="K995" s="30"/>
      <c r="L995" s="30"/>
      <c r="M995" s="30"/>
      <c r="N995" s="30"/>
      <c r="O995" s="30">
        <f>IFERROR(__xludf.DUMMYFUNCTION("""COMPUTED_VALUE"""),-2.630874715592867)</f>
        <v>-2.630874716</v>
      </c>
      <c r="P995" s="30">
        <f>IFERROR(__xludf.DUMMYFUNCTION("""COMPUTED_VALUE"""),4.463999088063446)</f>
        <v>4.463999088</v>
      </c>
      <c r="Q995" s="30"/>
      <c r="R995" s="30"/>
      <c r="S995" s="30"/>
      <c r="T995" s="30"/>
      <c r="U995" s="30">
        <v>0.0</v>
      </c>
      <c r="V995" s="30"/>
      <c r="W995" s="30"/>
      <c r="X995" s="30"/>
      <c r="Y995" s="5">
        <f>IFERROR(__xludf.DUMMYFUNCTION("""COMPUTED_VALUE"""),83.0)</f>
        <v>83</v>
      </c>
      <c r="Z995" s="5">
        <f>IFERROR(__xludf.DUMMYFUNCTION("""COMPUTED_VALUE"""),88.0)</f>
        <v>88</v>
      </c>
    </row>
    <row r="996">
      <c r="A996" s="30" t="s">
        <v>2960</v>
      </c>
      <c r="B996" s="30">
        <f>IFERROR(__xludf.DUMMYFUNCTION("""COMPUTED_VALUE"""),86.0)</f>
        <v>86</v>
      </c>
      <c r="C996" s="30"/>
      <c r="D996" s="30"/>
      <c r="E996" s="30"/>
      <c r="F996" s="30"/>
      <c r="G996" s="30"/>
      <c r="H996" s="30"/>
      <c r="I996" s="30"/>
      <c r="J996" s="30">
        <f>IFERROR(__xludf.DUMMYFUNCTION("""COMPUTED_VALUE"""),-11.059343513011441)</f>
        <v>-11.05934351</v>
      </c>
      <c r="K996" s="30"/>
      <c r="L996" s="30"/>
      <c r="M996" s="30"/>
      <c r="N996" s="30"/>
      <c r="O996" s="30">
        <f>IFERROR(__xludf.DUMMYFUNCTION("""COMPUTED_VALUE"""),-2.630874715592867)</f>
        <v>-2.630874716</v>
      </c>
      <c r="P996" s="30">
        <f>IFERROR(__xludf.DUMMYFUNCTION("""COMPUTED_VALUE"""),4.463999088063446)</f>
        <v>4.463999088</v>
      </c>
      <c r="Q996" s="30"/>
      <c r="R996" s="30"/>
      <c r="S996" s="30"/>
      <c r="T996" s="30"/>
      <c r="U996" s="30">
        <v>0.0</v>
      </c>
      <c r="V996" s="30"/>
      <c r="W996" s="30"/>
      <c r="X996" s="30"/>
      <c r="Y996" s="5">
        <f>IFERROR(__xludf.DUMMYFUNCTION("""COMPUTED_VALUE"""),84.0)</f>
        <v>84</v>
      </c>
      <c r="Z996" s="5">
        <f>IFERROR(__xludf.DUMMYFUNCTION("""COMPUTED_VALUE"""),88.0)</f>
        <v>88</v>
      </c>
    </row>
    <row r="997">
      <c r="A997" s="30" t="s">
        <v>2486</v>
      </c>
      <c r="B997" s="30">
        <f>IFERROR(__xludf.DUMMYFUNCTION("""COMPUTED_VALUE"""),84.0)</f>
        <v>84</v>
      </c>
      <c r="C997" s="30"/>
      <c r="D997" s="30"/>
      <c r="E997" s="30"/>
      <c r="F997" s="30"/>
      <c r="G997" s="30"/>
      <c r="H997" s="30"/>
      <c r="I997" s="30"/>
      <c r="J997" s="30">
        <f>IFERROR(__xludf.DUMMYFUNCTION("""COMPUTED_VALUE"""),-11.059343513011441)</f>
        <v>-11.05934351</v>
      </c>
      <c r="K997" s="30"/>
      <c r="L997" s="30"/>
      <c r="M997" s="30"/>
      <c r="N997" s="30"/>
      <c r="O997" s="30">
        <f>IFERROR(__xludf.DUMMYFUNCTION("""COMPUTED_VALUE"""),-2.630874715592867)</f>
        <v>-2.630874716</v>
      </c>
      <c r="P997" s="30">
        <f>IFERROR(__xludf.DUMMYFUNCTION("""COMPUTED_VALUE"""),4.463999088063446)</f>
        <v>4.463999088</v>
      </c>
      <c r="Q997" s="30"/>
      <c r="R997" s="30"/>
      <c r="S997" s="30"/>
      <c r="T997" s="30"/>
      <c r="U997" s="30">
        <v>0.0</v>
      </c>
      <c r="V997" s="30"/>
      <c r="W997" s="30"/>
      <c r="X997" s="30"/>
      <c r="Y997" s="5">
        <f>IFERROR(__xludf.DUMMYFUNCTION("""COMPUTED_VALUE"""),84.0)</f>
        <v>84</v>
      </c>
      <c r="Z997" s="5">
        <f>IFERROR(__xludf.DUMMYFUNCTION("""COMPUTED_VALUE"""),84.0)</f>
        <v>84</v>
      </c>
    </row>
    <row r="998">
      <c r="A998" s="30" t="s">
        <v>2059</v>
      </c>
      <c r="B998" s="30">
        <f>IFERROR(__xludf.DUMMYFUNCTION("""COMPUTED_VALUE"""),86.0)</f>
        <v>86</v>
      </c>
      <c r="C998" s="30"/>
      <c r="D998" s="30"/>
      <c r="E998" s="30"/>
      <c r="F998" s="30"/>
      <c r="G998" s="30"/>
      <c r="H998" s="30"/>
      <c r="I998" s="30"/>
      <c r="J998" s="30">
        <f>IFERROR(__xludf.DUMMYFUNCTION("""COMPUTED_VALUE"""),-11.059343513011441)</f>
        <v>-11.05934351</v>
      </c>
      <c r="K998" s="30"/>
      <c r="L998" s="30"/>
      <c r="M998" s="30"/>
      <c r="N998" s="30"/>
      <c r="O998" s="30">
        <f>IFERROR(__xludf.DUMMYFUNCTION("""COMPUTED_VALUE"""),-2.630874715592867)</f>
        <v>-2.630874716</v>
      </c>
      <c r="P998" s="30">
        <f>IFERROR(__xludf.DUMMYFUNCTION("""COMPUTED_VALUE"""),4.463999088063446)</f>
        <v>4.463999088</v>
      </c>
      <c r="Q998" s="30"/>
      <c r="R998" s="30"/>
      <c r="S998" s="30"/>
      <c r="T998" s="30"/>
      <c r="U998" s="30">
        <v>0.0</v>
      </c>
      <c r="V998" s="30"/>
      <c r="W998" s="30"/>
      <c r="X998" s="30"/>
      <c r="Y998" s="5">
        <f>IFERROR(__xludf.DUMMYFUNCTION("""COMPUTED_VALUE"""),84.0)</f>
        <v>84</v>
      </c>
      <c r="Z998" s="5">
        <f>IFERROR(__xludf.DUMMYFUNCTION("""COMPUTED_VALUE"""),88.0)</f>
        <v>88</v>
      </c>
    </row>
    <row r="999">
      <c r="A999" s="30" t="s">
        <v>2966</v>
      </c>
      <c r="B999" s="30">
        <f>IFERROR(__xludf.DUMMYFUNCTION("""COMPUTED_VALUE"""),84.0)</f>
        <v>84</v>
      </c>
      <c r="C999" s="30"/>
      <c r="D999" s="30"/>
      <c r="E999" s="30"/>
      <c r="F999" s="30"/>
      <c r="G999" s="30"/>
      <c r="H999" s="30"/>
      <c r="I999" s="30"/>
      <c r="J999" s="30">
        <f>IFERROR(__xludf.DUMMYFUNCTION("""COMPUTED_VALUE"""),-11.059343513011441)</f>
        <v>-11.05934351</v>
      </c>
      <c r="K999" s="30"/>
      <c r="L999" s="30"/>
      <c r="M999" s="30"/>
      <c r="N999" s="30"/>
      <c r="O999" s="30">
        <f>IFERROR(__xludf.DUMMYFUNCTION("""COMPUTED_VALUE"""),-2.630874715592867)</f>
        <v>-2.630874716</v>
      </c>
      <c r="P999" s="30">
        <f>IFERROR(__xludf.DUMMYFUNCTION("""COMPUTED_VALUE"""),4.463999088063446)</f>
        <v>4.463999088</v>
      </c>
      <c r="Q999" s="30"/>
      <c r="R999" s="30"/>
      <c r="S999" s="30"/>
      <c r="T999" s="30"/>
      <c r="U999" s="30">
        <v>0.0</v>
      </c>
      <c r="V999" s="30"/>
      <c r="W999" s="30"/>
      <c r="X999" s="30"/>
      <c r="Y999" s="5">
        <f>IFERROR(__xludf.DUMMYFUNCTION("""COMPUTED_VALUE"""),84.0)</f>
        <v>84</v>
      </c>
      <c r="Z999" s="5">
        <f>IFERROR(__xludf.DUMMYFUNCTION("""COMPUTED_VALUE"""),84.0)</f>
        <v>84</v>
      </c>
    </row>
    <row r="1000">
      <c r="A1000" s="30" t="s">
        <v>1294</v>
      </c>
      <c r="B1000" s="30">
        <f>IFERROR(__xludf.DUMMYFUNCTION("""COMPUTED_VALUE"""),83.0)</f>
        <v>83</v>
      </c>
      <c r="C1000" s="30"/>
      <c r="D1000" s="30"/>
      <c r="E1000" s="30"/>
      <c r="F1000" s="30"/>
      <c r="G1000" s="30"/>
      <c r="H1000" s="30"/>
      <c r="I1000" s="30"/>
      <c r="J1000" s="30">
        <f>IFERROR(__xludf.DUMMYFUNCTION("""COMPUTED_VALUE"""),-11.059343513011441)</f>
        <v>-11.05934351</v>
      </c>
      <c r="K1000" s="30"/>
      <c r="L1000" s="30"/>
      <c r="M1000" s="30"/>
      <c r="N1000" s="30"/>
      <c r="O1000" s="30">
        <f>IFERROR(__xludf.DUMMYFUNCTION("""COMPUTED_VALUE"""),-2.630874715592867)</f>
        <v>-2.630874716</v>
      </c>
      <c r="P1000" s="30">
        <f>IFERROR(__xludf.DUMMYFUNCTION("""COMPUTED_VALUE"""),4.463999088063446)</f>
        <v>4.463999088</v>
      </c>
      <c r="Q1000" s="30"/>
      <c r="R1000" s="30"/>
      <c r="S1000" s="30"/>
      <c r="T1000" s="30"/>
      <c r="U1000" s="30">
        <v>0.0</v>
      </c>
      <c r="V1000" s="30"/>
      <c r="W1000" s="30"/>
      <c r="X1000" s="30"/>
      <c r="Y1000" s="5">
        <f>IFERROR(__xludf.DUMMYFUNCTION("""COMPUTED_VALUE"""),83.0)</f>
        <v>83</v>
      </c>
      <c r="Z1000" s="5">
        <f>IFERROR(__xludf.DUMMYFUNCTION("""COMPUTED_VALUE"""),83.0)</f>
        <v>83</v>
      </c>
    </row>
    <row r="1001">
      <c r="A1001" s="30" t="s">
        <v>1707</v>
      </c>
      <c r="B1001" s="30">
        <f>IFERROR(__xludf.DUMMYFUNCTION("""COMPUTED_VALUE"""),88.0)</f>
        <v>88</v>
      </c>
      <c r="C1001" s="30"/>
      <c r="D1001" s="30"/>
      <c r="E1001" s="30"/>
      <c r="F1001" s="30"/>
      <c r="G1001" s="30"/>
      <c r="H1001" s="30"/>
      <c r="I1001" s="30"/>
      <c r="J1001" s="30">
        <f>IFERROR(__xludf.DUMMYFUNCTION("""COMPUTED_VALUE"""),-11.059343513011441)</f>
        <v>-11.05934351</v>
      </c>
      <c r="K1001" s="30"/>
      <c r="L1001" s="30"/>
      <c r="M1001" s="30"/>
      <c r="N1001" s="30"/>
      <c r="O1001" s="30">
        <f>IFERROR(__xludf.DUMMYFUNCTION("""COMPUTED_VALUE"""),-2.630874715592867)</f>
        <v>-2.630874716</v>
      </c>
      <c r="P1001" s="30">
        <f>IFERROR(__xludf.DUMMYFUNCTION("""COMPUTED_VALUE"""),4.463999088063446)</f>
        <v>4.463999088</v>
      </c>
      <c r="Q1001" s="30"/>
      <c r="R1001" s="30"/>
      <c r="S1001" s="30"/>
      <c r="T1001" s="30"/>
      <c r="U1001" s="30">
        <v>0.0</v>
      </c>
      <c r="V1001" s="30"/>
      <c r="W1001" s="30"/>
      <c r="X1001" s="30"/>
      <c r="Y1001" s="5">
        <f>IFERROR(__xludf.DUMMYFUNCTION("""COMPUTED_VALUE"""),88.0)</f>
        <v>88</v>
      </c>
      <c r="Z1001" s="5">
        <f>IFERROR(__xludf.DUMMYFUNCTION("""COMPUTED_VALUE"""),88.0)</f>
        <v>88</v>
      </c>
    </row>
    <row r="1002">
      <c r="A1002" s="30" t="s">
        <v>2967</v>
      </c>
      <c r="B1002" s="30">
        <f>IFERROR(__xludf.DUMMYFUNCTION("""COMPUTED_VALUE"""),84.5)</f>
        <v>84.5</v>
      </c>
      <c r="C1002" s="30"/>
      <c r="D1002" s="30"/>
      <c r="E1002" s="30"/>
      <c r="F1002" s="30"/>
      <c r="G1002" s="30"/>
      <c r="H1002" s="30"/>
      <c r="I1002" s="30"/>
      <c r="J1002" s="30">
        <f>IFERROR(__xludf.DUMMYFUNCTION("""COMPUTED_VALUE"""),-11.059343513011441)</f>
        <v>-11.05934351</v>
      </c>
      <c r="K1002" s="30"/>
      <c r="L1002" s="30"/>
      <c r="M1002" s="30"/>
      <c r="N1002" s="30"/>
      <c r="O1002" s="30">
        <f>IFERROR(__xludf.DUMMYFUNCTION("""COMPUTED_VALUE"""),-2.630874715592867)</f>
        <v>-2.630874716</v>
      </c>
      <c r="P1002" s="30">
        <f>IFERROR(__xludf.DUMMYFUNCTION("""COMPUTED_VALUE"""),4.463999088063446)</f>
        <v>4.463999088</v>
      </c>
      <c r="Q1002" s="30"/>
      <c r="R1002" s="30"/>
      <c r="S1002" s="30"/>
      <c r="T1002" s="30"/>
      <c r="U1002" s="30">
        <v>0.0</v>
      </c>
      <c r="V1002" s="30"/>
      <c r="W1002" s="30"/>
      <c r="X1002" s="30"/>
      <c r="Y1002" s="5">
        <f>IFERROR(__xludf.DUMMYFUNCTION("""COMPUTED_VALUE"""),84.0)</f>
        <v>84</v>
      </c>
      <c r="Z1002" s="5">
        <f>IFERROR(__xludf.DUMMYFUNCTION("""COMPUTED_VALUE"""),85.0)</f>
        <v>85</v>
      </c>
    </row>
    <row r="1003">
      <c r="A1003" s="30" t="s">
        <v>2682</v>
      </c>
      <c r="B1003" s="30">
        <f>IFERROR(__xludf.DUMMYFUNCTION("""COMPUTED_VALUE"""),84.0)</f>
        <v>84</v>
      </c>
      <c r="C1003" s="30"/>
      <c r="D1003" s="30"/>
      <c r="E1003" s="30"/>
      <c r="F1003" s="30"/>
      <c r="G1003" s="30"/>
      <c r="H1003" s="30"/>
      <c r="I1003" s="30"/>
      <c r="J1003" s="30">
        <f>IFERROR(__xludf.DUMMYFUNCTION("""COMPUTED_VALUE"""),-11.059343513011441)</f>
        <v>-11.05934351</v>
      </c>
      <c r="K1003" s="30"/>
      <c r="L1003" s="30"/>
      <c r="M1003" s="30"/>
      <c r="N1003" s="30"/>
      <c r="O1003" s="30">
        <f>IFERROR(__xludf.DUMMYFUNCTION("""COMPUTED_VALUE"""),-2.630874715592867)</f>
        <v>-2.630874716</v>
      </c>
      <c r="P1003" s="30">
        <f>IFERROR(__xludf.DUMMYFUNCTION("""COMPUTED_VALUE"""),4.463999088063446)</f>
        <v>4.463999088</v>
      </c>
      <c r="Q1003" s="30"/>
      <c r="R1003" s="30"/>
      <c r="S1003" s="30"/>
      <c r="T1003" s="30"/>
      <c r="U1003" s="30">
        <v>0.0</v>
      </c>
      <c r="V1003" s="30"/>
      <c r="W1003" s="30"/>
      <c r="X1003" s="30"/>
      <c r="Y1003" s="5">
        <f>IFERROR(__xludf.DUMMYFUNCTION("""COMPUTED_VALUE"""),83.0)</f>
        <v>83</v>
      </c>
      <c r="Z1003" s="5">
        <f>IFERROR(__xludf.DUMMYFUNCTION("""COMPUTED_VALUE"""),85.0)</f>
        <v>85</v>
      </c>
    </row>
    <row r="1004">
      <c r="A1004" s="30" t="s">
        <v>2972</v>
      </c>
      <c r="B1004" s="30">
        <f>IFERROR(__xludf.DUMMYFUNCTION("""COMPUTED_VALUE"""),86.5)</f>
        <v>86.5</v>
      </c>
      <c r="C1004" s="30"/>
      <c r="D1004" s="30"/>
      <c r="E1004" s="30"/>
      <c r="F1004" s="30"/>
      <c r="G1004" s="30"/>
      <c r="H1004" s="30"/>
      <c r="I1004" s="30"/>
      <c r="J1004" s="30">
        <f>IFERROR(__xludf.DUMMYFUNCTION("""COMPUTED_VALUE"""),-11.059343513011441)</f>
        <v>-11.05934351</v>
      </c>
      <c r="K1004" s="30"/>
      <c r="L1004" s="30"/>
      <c r="M1004" s="30"/>
      <c r="N1004" s="30"/>
      <c r="O1004" s="30">
        <f>IFERROR(__xludf.DUMMYFUNCTION("""COMPUTED_VALUE"""),-2.630874715592867)</f>
        <v>-2.630874716</v>
      </c>
      <c r="P1004" s="30">
        <f>IFERROR(__xludf.DUMMYFUNCTION("""COMPUTED_VALUE"""),4.463999088063446)</f>
        <v>4.463999088</v>
      </c>
      <c r="Q1004" s="30"/>
      <c r="R1004" s="30"/>
      <c r="S1004" s="30"/>
      <c r="T1004" s="30"/>
      <c r="U1004" s="30">
        <v>0.0</v>
      </c>
      <c r="V1004" s="30"/>
      <c r="W1004" s="30"/>
      <c r="X1004" s="30"/>
      <c r="Y1004" s="5">
        <f>IFERROR(__xludf.DUMMYFUNCTION("""COMPUTED_VALUE"""),85.0)</f>
        <v>85</v>
      </c>
      <c r="Z1004" s="5">
        <f>IFERROR(__xludf.DUMMYFUNCTION("""COMPUTED_VALUE"""),88.0)</f>
        <v>88</v>
      </c>
    </row>
    <row r="1005">
      <c r="A1005" s="30" t="s">
        <v>2977</v>
      </c>
      <c r="B1005" s="30">
        <f>IFERROR(__xludf.DUMMYFUNCTION("""COMPUTED_VALUE"""),84.0)</f>
        <v>84</v>
      </c>
      <c r="C1005" s="30"/>
      <c r="D1005" s="30"/>
      <c r="E1005" s="30"/>
      <c r="F1005" s="30"/>
      <c r="G1005" s="30"/>
      <c r="H1005" s="30"/>
      <c r="I1005" s="30"/>
      <c r="J1005" s="30">
        <f>IFERROR(__xludf.DUMMYFUNCTION("""COMPUTED_VALUE"""),-11.059343513011441)</f>
        <v>-11.05934351</v>
      </c>
      <c r="K1005" s="30"/>
      <c r="L1005" s="30"/>
      <c r="M1005" s="30"/>
      <c r="N1005" s="30"/>
      <c r="O1005" s="30">
        <f>IFERROR(__xludf.DUMMYFUNCTION("""COMPUTED_VALUE"""),-2.630874715592867)</f>
        <v>-2.630874716</v>
      </c>
      <c r="P1005" s="30">
        <f>IFERROR(__xludf.DUMMYFUNCTION("""COMPUTED_VALUE"""),4.463999088063446)</f>
        <v>4.463999088</v>
      </c>
      <c r="Q1005" s="30"/>
      <c r="R1005" s="30"/>
      <c r="S1005" s="30"/>
      <c r="T1005" s="30"/>
      <c r="U1005" s="30">
        <v>0.0</v>
      </c>
      <c r="V1005" s="30"/>
      <c r="W1005" s="30"/>
      <c r="X1005" s="30"/>
      <c r="Y1005" s="5">
        <f>IFERROR(__xludf.DUMMYFUNCTION("""COMPUTED_VALUE"""),83.0)</f>
        <v>83</v>
      </c>
      <c r="Z1005" s="5">
        <f>IFERROR(__xludf.DUMMYFUNCTION("""COMPUTED_VALUE"""),85.0)</f>
        <v>85</v>
      </c>
    </row>
    <row r="1006">
      <c r="A1006" s="30" t="s">
        <v>2982</v>
      </c>
      <c r="B1006" s="30">
        <f>IFERROR(__xludf.DUMMYFUNCTION("""COMPUTED_VALUE"""),86.0)</f>
        <v>86</v>
      </c>
      <c r="C1006" s="30"/>
      <c r="D1006" s="30"/>
      <c r="E1006" s="30"/>
      <c r="F1006" s="30"/>
      <c r="G1006" s="30"/>
      <c r="H1006" s="30"/>
      <c r="I1006" s="30"/>
      <c r="J1006" s="30">
        <f>IFERROR(__xludf.DUMMYFUNCTION("""COMPUTED_VALUE"""),-11.059343513011441)</f>
        <v>-11.05934351</v>
      </c>
      <c r="K1006" s="30"/>
      <c r="L1006" s="30"/>
      <c r="M1006" s="30"/>
      <c r="N1006" s="30"/>
      <c r="O1006" s="30">
        <f>IFERROR(__xludf.DUMMYFUNCTION("""COMPUTED_VALUE"""),-2.630874715592867)</f>
        <v>-2.630874716</v>
      </c>
      <c r="P1006" s="30">
        <f>IFERROR(__xludf.DUMMYFUNCTION("""COMPUTED_VALUE"""),4.463999088063446)</f>
        <v>4.463999088</v>
      </c>
      <c r="Q1006" s="30"/>
      <c r="R1006" s="30"/>
      <c r="S1006" s="30"/>
      <c r="T1006" s="30"/>
      <c r="U1006" s="30">
        <v>0.0</v>
      </c>
      <c r="V1006" s="30"/>
      <c r="W1006" s="30"/>
      <c r="X1006" s="30"/>
      <c r="Y1006" s="5">
        <f>IFERROR(__xludf.DUMMYFUNCTION("""COMPUTED_VALUE"""),84.0)</f>
        <v>84</v>
      </c>
      <c r="Z1006" s="5">
        <f>IFERROR(__xludf.DUMMYFUNCTION("""COMPUTED_VALUE"""),88.0)</f>
        <v>88</v>
      </c>
    </row>
    <row r="1007">
      <c r="A1007" s="30" t="s">
        <v>2104</v>
      </c>
      <c r="B1007" s="30">
        <f>IFERROR(__xludf.DUMMYFUNCTION("""COMPUTED_VALUE"""),83.0)</f>
        <v>83</v>
      </c>
      <c r="C1007" s="30"/>
      <c r="D1007" s="30"/>
      <c r="E1007" s="30"/>
      <c r="F1007" s="30"/>
      <c r="G1007" s="30"/>
      <c r="H1007" s="30"/>
      <c r="I1007" s="30"/>
      <c r="J1007" s="30">
        <f>IFERROR(__xludf.DUMMYFUNCTION("""COMPUTED_VALUE"""),-11.059343513011441)</f>
        <v>-11.05934351</v>
      </c>
      <c r="K1007" s="30"/>
      <c r="L1007" s="30"/>
      <c r="M1007" s="30"/>
      <c r="N1007" s="30"/>
      <c r="O1007" s="30">
        <f>IFERROR(__xludf.DUMMYFUNCTION("""COMPUTED_VALUE"""),-2.630874715592867)</f>
        <v>-2.630874716</v>
      </c>
      <c r="P1007" s="30">
        <f>IFERROR(__xludf.DUMMYFUNCTION("""COMPUTED_VALUE"""),4.463999088063446)</f>
        <v>4.463999088</v>
      </c>
      <c r="Q1007" s="30"/>
      <c r="R1007" s="30"/>
      <c r="S1007" s="30"/>
      <c r="T1007" s="30"/>
      <c r="U1007" s="30">
        <v>0.0</v>
      </c>
      <c r="V1007" s="30"/>
      <c r="W1007" s="30"/>
      <c r="X1007" s="30"/>
      <c r="Y1007" s="5">
        <f>IFERROR(__xludf.DUMMYFUNCTION("""COMPUTED_VALUE"""),83.0)</f>
        <v>83</v>
      </c>
      <c r="Z1007" s="5">
        <f>IFERROR(__xludf.DUMMYFUNCTION("""COMPUTED_VALUE"""),83.0)</f>
        <v>83</v>
      </c>
    </row>
    <row r="1008">
      <c r="A1008" s="30" t="s">
        <v>2987</v>
      </c>
      <c r="B1008" s="30">
        <f>IFERROR(__xludf.DUMMYFUNCTION("""COMPUTED_VALUE"""),85.5)</f>
        <v>85.5</v>
      </c>
      <c r="C1008" s="30"/>
      <c r="D1008" s="30"/>
      <c r="E1008" s="30"/>
      <c r="F1008" s="30"/>
      <c r="G1008" s="30"/>
      <c r="H1008" s="30"/>
      <c r="I1008" s="30"/>
      <c r="J1008" s="30">
        <f>IFERROR(__xludf.DUMMYFUNCTION("""COMPUTED_VALUE"""),-11.059343513011441)</f>
        <v>-11.05934351</v>
      </c>
      <c r="K1008" s="30"/>
      <c r="L1008" s="30"/>
      <c r="M1008" s="30"/>
      <c r="N1008" s="30"/>
      <c r="O1008" s="30">
        <f>IFERROR(__xludf.DUMMYFUNCTION("""COMPUTED_VALUE"""),-2.630874715592867)</f>
        <v>-2.630874716</v>
      </c>
      <c r="P1008" s="30">
        <f>IFERROR(__xludf.DUMMYFUNCTION("""COMPUTED_VALUE"""),4.463999088063446)</f>
        <v>4.463999088</v>
      </c>
      <c r="Q1008" s="30"/>
      <c r="R1008" s="30"/>
      <c r="S1008" s="30"/>
      <c r="T1008" s="30"/>
      <c r="U1008" s="30">
        <v>0.0</v>
      </c>
      <c r="V1008" s="30"/>
      <c r="W1008" s="30"/>
      <c r="X1008" s="30"/>
      <c r="Y1008" s="5">
        <f>IFERROR(__xludf.DUMMYFUNCTION("""COMPUTED_VALUE"""),83.0)</f>
        <v>83</v>
      </c>
      <c r="Z1008" s="5">
        <f>IFERROR(__xludf.DUMMYFUNCTION("""COMPUTED_VALUE"""),88.0)</f>
        <v>88</v>
      </c>
    </row>
    <row r="1009">
      <c r="A1009" s="30" t="s">
        <v>2991</v>
      </c>
      <c r="B1009" s="30">
        <f>IFERROR(__xludf.DUMMYFUNCTION("""COMPUTED_VALUE"""),84.5)</f>
        <v>84.5</v>
      </c>
      <c r="C1009" s="30"/>
      <c r="D1009" s="30"/>
      <c r="E1009" s="30"/>
      <c r="F1009" s="30"/>
      <c r="G1009" s="30"/>
      <c r="H1009" s="30"/>
      <c r="I1009" s="30"/>
      <c r="J1009" s="30">
        <f>IFERROR(__xludf.DUMMYFUNCTION("""COMPUTED_VALUE"""),-11.059343513011441)</f>
        <v>-11.05934351</v>
      </c>
      <c r="K1009" s="30"/>
      <c r="L1009" s="30"/>
      <c r="M1009" s="30"/>
      <c r="N1009" s="30"/>
      <c r="O1009" s="30">
        <f>IFERROR(__xludf.DUMMYFUNCTION("""COMPUTED_VALUE"""),-2.630874715592867)</f>
        <v>-2.630874716</v>
      </c>
      <c r="P1009" s="30">
        <f>IFERROR(__xludf.DUMMYFUNCTION("""COMPUTED_VALUE"""),4.463999088063446)</f>
        <v>4.463999088</v>
      </c>
      <c r="Q1009" s="30"/>
      <c r="R1009" s="30"/>
      <c r="S1009" s="30"/>
      <c r="T1009" s="30"/>
      <c r="U1009" s="30">
        <v>0.0</v>
      </c>
      <c r="V1009" s="30"/>
      <c r="W1009" s="30"/>
      <c r="X1009" s="30"/>
      <c r="Y1009" s="5">
        <f>IFERROR(__xludf.DUMMYFUNCTION("""COMPUTED_VALUE"""),84.0)</f>
        <v>84</v>
      </c>
      <c r="Z1009" s="5">
        <f>IFERROR(__xludf.DUMMYFUNCTION("""COMPUTED_VALUE"""),85.0)</f>
        <v>85</v>
      </c>
    </row>
    <row r="1010">
      <c r="A1010" s="30" t="s">
        <v>2738</v>
      </c>
      <c r="B1010" s="30">
        <f>IFERROR(__xludf.DUMMYFUNCTION("""COMPUTED_VALUE"""),85.0)</f>
        <v>85</v>
      </c>
      <c r="C1010" s="30"/>
      <c r="D1010" s="30"/>
      <c r="E1010" s="30"/>
      <c r="F1010" s="30"/>
      <c r="G1010" s="30"/>
      <c r="H1010" s="30"/>
      <c r="I1010" s="30"/>
      <c r="J1010" s="30">
        <f>IFERROR(__xludf.DUMMYFUNCTION("""COMPUTED_VALUE"""),-11.059343513011441)</f>
        <v>-11.05934351</v>
      </c>
      <c r="K1010" s="30"/>
      <c r="L1010" s="30"/>
      <c r="M1010" s="30"/>
      <c r="N1010" s="30"/>
      <c r="O1010" s="30">
        <f>IFERROR(__xludf.DUMMYFUNCTION("""COMPUTED_VALUE"""),-2.630874715592867)</f>
        <v>-2.630874716</v>
      </c>
      <c r="P1010" s="30">
        <f>IFERROR(__xludf.DUMMYFUNCTION("""COMPUTED_VALUE"""),4.463999088063446)</f>
        <v>4.463999088</v>
      </c>
      <c r="Q1010" s="30"/>
      <c r="R1010" s="30"/>
      <c r="S1010" s="30"/>
      <c r="T1010" s="30"/>
      <c r="U1010" s="30">
        <v>0.0</v>
      </c>
      <c r="V1010" s="30"/>
      <c r="W1010" s="30"/>
      <c r="X1010" s="30"/>
      <c r="Y1010" s="5">
        <f>IFERROR(__xludf.DUMMYFUNCTION("""COMPUTED_VALUE"""),85.0)</f>
        <v>85</v>
      </c>
      <c r="Z1010" s="5">
        <f>IFERROR(__xludf.DUMMYFUNCTION("""COMPUTED_VALUE"""),85.0)</f>
        <v>85</v>
      </c>
    </row>
    <row r="1011">
      <c r="A1011" s="30" t="s">
        <v>2996</v>
      </c>
      <c r="B1011" s="30">
        <f>IFERROR(__xludf.DUMMYFUNCTION("""COMPUTED_VALUE"""),88.0)</f>
        <v>88</v>
      </c>
      <c r="C1011" s="30"/>
      <c r="D1011" s="30"/>
      <c r="E1011" s="30"/>
      <c r="F1011" s="30"/>
      <c r="G1011" s="30"/>
      <c r="H1011" s="30"/>
      <c r="I1011" s="30"/>
      <c r="J1011" s="30">
        <f>IFERROR(__xludf.DUMMYFUNCTION("""COMPUTED_VALUE"""),-11.059343513011441)</f>
        <v>-11.05934351</v>
      </c>
      <c r="K1011" s="30"/>
      <c r="L1011" s="30"/>
      <c r="M1011" s="30"/>
      <c r="N1011" s="30"/>
      <c r="O1011" s="30">
        <f>IFERROR(__xludf.DUMMYFUNCTION("""COMPUTED_VALUE"""),-2.630874715592867)</f>
        <v>-2.630874716</v>
      </c>
      <c r="P1011" s="30">
        <f>IFERROR(__xludf.DUMMYFUNCTION("""COMPUTED_VALUE"""),4.463999088063446)</f>
        <v>4.463999088</v>
      </c>
      <c r="Q1011" s="30"/>
      <c r="R1011" s="30"/>
      <c r="S1011" s="30"/>
      <c r="T1011" s="30"/>
      <c r="U1011" s="30">
        <v>0.0</v>
      </c>
      <c r="V1011" s="30"/>
      <c r="W1011" s="30"/>
      <c r="X1011" s="30"/>
      <c r="Y1011" s="5">
        <f>IFERROR(__xludf.DUMMYFUNCTION("""COMPUTED_VALUE"""),88.0)</f>
        <v>88</v>
      </c>
      <c r="Z1011" s="5">
        <f>IFERROR(__xludf.DUMMYFUNCTION("""COMPUTED_VALUE"""),88.0)</f>
        <v>88</v>
      </c>
    </row>
    <row r="1012">
      <c r="A1012" s="30" t="s">
        <v>2140</v>
      </c>
      <c r="B1012" s="30">
        <f>IFERROR(__xludf.DUMMYFUNCTION("""COMPUTED_VALUE"""),85.5)</f>
        <v>85.5</v>
      </c>
      <c r="C1012" s="30"/>
      <c r="D1012" s="30"/>
      <c r="E1012" s="30"/>
      <c r="F1012" s="30"/>
      <c r="G1012" s="30"/>
      <c r="H1012" s="30"/>
      <c r="I1012" s="30"/>
      <c r="J1012" s="30">
        <f>IFERROR(__xludf.DUMMYFUNCTION("""COMPUTED_VALUE"""),-11.059343513011441)</f>
        <v>-11.05934351</v>
      </c>
      <c r="K1012" s="30"/>
      <c r="L1012" s="30"/>
      <c r="M1012" s="30"/>
      <c r="N1012" s="30"/>
      <c r="O1012" s="30">
        <f>IFERROR(__xludf.DUMMYFUNCTION("""COMPUTED_VALUE"""),-2.630874715592867)</f>
        <v>-2.630874716</v>
      </c>
      <c r="P1012" s="30">
        <f>IFERROR(__xludf.DUMMYFUNCTION("""COMPUTED_VALUE"""),4.463999088063446)</f>
        <v>4.463999088</v>
      </c>
      <c r="Q1012" s="30"/>
      <c r="R1012" s="30"/>
      <c r="S1012" s="30"/>
      <c r="T1012" s="30"/>
      <c r="U1012" s="30">
        <v>0.0</v>
      </c>
      <c r="V1012" s="30"/>
      <c r="W1012" s="30"/>
      <c r="X1012" s="30"/>
      <c r="Y1012" s="5">
        <f>IFERROR(__xludf.DUMMYFUNCTION("""COMPUTED_VALUE"""),83.0)</f>
        <v>83</v>
      </c>
      <c r="Z1012" s="5">
        <f>IFERROR(__xludf.DUMMYFUNCTION("""COMPUTED_VALUE"""),88.0)</f>
        <v>88</v>
      </c>
    </row>
    <row r="1013">
      <c r="A1013" s="30" t="s">
        <v>3001</v>
      </c>
      <c r="B1013" s="30">
        <f>IFERROR(__xludf.DUMMYFUNCTION("""COMPUTED_VALUE"""),84.5)</f>
        <v>84.5</v>
      </c>
      <c r="C1013" s="30"/>
      <c r="D1013" s="30"/>
      <c r="E1013" s="30"/>
      <c r="F1013" s="30"/>
      <c r="G1013" s="30"/>
      <c r="H1013" s="30"/>
      <c r="I1013" s="30"/>
      <c r="J1013" s="30">
        <f>IFERROR(__xludf.DUMMYFUNCTION("""COMPUTED_VALUE"""),-11.059343513011441)</f>
        <v>-11.05934351</v>
      </c>
      <c r="K1013" s="30"/>
      <c r="L1013" s="30"/>
      <c r="M1013" s="30"/>
      <c r="N1013" s="30"/>
      <c r="O1013" s="30">
        <f>IFERROR(__xludf.DUMMYFUNCTION("""COMPUTED_VALUE"""),-2.630874715592867)</f>
        <v>-2.630874716</v>
      </c>
      <c r="P1013" s="30">
        <f>IFERROR(__xludf.DUMMYFUNCTION("""COMPUTED_VALUE"""),4.463999088063446)</f>
        <v>4.463999088</v>
      </c>
      <c r="Q1013" s="30"/>
      <c r="R1013" s="30"/>
      <c r="S1013" s="30"/>
      <c r="T1013" s="30"/>
      <c r="U1013" s="30">
        <v>0.0</v>
      </c>
      <c r="V1013" s="30"/>
      <c r="W1013" s="30"/>
      <c r="X1013" s="30"/>
      <c r="Y1013" s="5">
        <f>IFERROR(__xludf.DUMMYFUNCTION("""COMPUTED_VALUE"""),84.0)</f>
        <v>84</v>
      </c>
      <c r="Z1013" s="5">
        <f>IFERROR(__xludf.DUMMYFUNCTION("""COMPUTED_VALUE"""),85.0)</f>
        <v>85</v>
      </c>
    </row>
    <row r="1014">
      <c r="A1014" s="30" t="s">
        <v>2474</v>
      </c>
      <c r="B1014" s="30">
        <f>IFERROR(__xludf.DUMMYFUNCTION("""COMPUTED_VALUE"""),85.5)</f>
        <v>85.5</v>
      </c>
      <c r="C1014" s="30"/>
      <c r="D1014" s="30"/>
      <c r="E1014" s="30"/>
      <c r="F1014" s="30"/>
      <c r="G1014" s="30"/>
      <c r="H1014" s="30"/>
      <c r="I1014" s="30"/>
      <c r="J1014" s="30">
        <f>IFERROR(__xludf.DUMMYFUNCTION("""COMPUTED_VALUE"""),-11.059343513011441)</f>
        <v>-11.05934351</v>
      </c>
      <c r="K1014" s="30"/>
      <c r="L1014" s="30"/>
      <c r="M1014" s="30"/>
      <c r="N1014" s="30"/>
      <c r="O1014" s="30">
        <f>IFERROR(__xludf.DUMMYFUNCTION("""COMPUTED_VALUE"""),-2.630874715592867)</f>
        <v>-2.630874716</v>
      </c>
      <c r="P1014" s="30">
        <f>IFERROR(__xludf.DUMMYFUNCTION("""COMPUTED_VALUE"""),4.463999088063446)</f>
        <v>4.463999088</v>
      </c>
      <c r="Q1014" s="30"/>
      <c r="R1014" s="30"/>
      <c r="S1014" s="30"/>
      <c r="T1014" s="30"/>
      <c r="U1014" s="30">
        <v>0.0</v>
      </c>
      <c r="V1014" s="30"/>
      <c r="W1014" s="30"/>
      <c r="X1014" s="30"/>
      <c r="Y1014" s="5">
        <f>IFERROR(__xludf.DUMMYFUNCTION("""COMPUTED_VALUE"""),83.0)</f>
        <v>83</v>
      </c>
      <c r="Z1014" s="5">
        <f>IFERROR(__xludf.DUMMYFUNCTION("""COMPUTED_VALUE"""),88.0)</f>
        <v>88</v>
      </c>
    </row>
    <row r="1015">
      <c r="A1015" s="30" t="s">
        <v>2715</v>
      </c>
      <c r="B1015" s="30">
        <f>IFERROR(__xludf.DUMMYFUNCTION("""COMPUTED_VALUE"""),84.0)</f>
        <v>84</v>
      </c>
      <c r="C1015" s="30"/>
      <c r="D1015" s="30"/>
      <c r="E1015" s="30"/>
      <c r="F1015" s="30"/>
      <c r="G1015" s="30"/>
      <c r="H1015" s="30"/>
      <c r="I1015" s="30"/>
      <c r="J1015" s="30">
        <f>IFERROR(__xludf.DUMMYFUNCTION("""COMPUTED_VALUE"""),-11.059343513011441)</f>
        <v>-11.05934351</v>
      </c>
      <c r="K1015" s="30"/>
      <c r="L1015" s="30"/>
      <c r="M1015" s="30"/>
      <c r="N1015" s="30"/>
      <c r="O1015" s="30">
        <f>IFERROR(__xludf.DUMMYFUNCTION("""COMPUTED_VALUE"""),-2.630874715592867)</f>
        <v>-2.630874716</v>
      </c>
      <c r="P1015" s="30">
        <f>IFERROR(__xludf.DUMMYFUNCTION("""COMPUTED_VALUE"""),4.463999088063446)</f>
        <v>4.463999088</v>
      </c>
      <c r="Q1015" s="30"/>
      <c r="R1015" s="30"/>
      <c r="S1015" s="30"/>
      <c r="T1015" s="30"/>
      <c r="U1015" s="30">
        <v>0.0</v>
      </c>
      <c r="V1015" s="30"/>
      <c r="W1015" s="30"/>
      <c r="X1015" s="30"/>
      <c r="Y1015" s="5">
        <f>IFERROR(__xludf.DUMMYFUNCTION("""COMPUTED_VALUE"""),84.0)</f>
        <v>84</v>
      </c>
      <c r="Z1015" s="5">
        <f>IFERROR(__xludf.DUMMYFUNCTION("""COMPUTED_VALUE"""),84.0)</f>
        <v>84</v>
      </c>
    </row>
    <row r="1016">
      <c r="A1016" s="30" t="s">
        <v>3006</v>
      </c>
      <c r="B1016" s="30">
        <f>IFERROR(__xludf.DUMMYFUNCTION("""COMPUTED_VALUE"""),88.0)</f>
        <v>88</v>
      </c>
      <c r="C1016" s="30"/>
      <c r="D1016" s="30"/>
      <c r="E1016" s="30"/>
      <c r="F1016" s="30"/>
      <c r="G1016" s="30"/>
      <c r="H1016" s="30"/>
      <c r="I1016" s="30"/>
      <c r="J1016" s="30">
        <f>IFERROR(__xludf.DUMMYFUNCTION("""COMPUTED_VALUE"""),-11.059343513011441)</f>
        <v>-11.05934351</v>
      </c>
      <c r="K1016" s="30"/>
      <c r="L1016" s="30"/>
      <c r="M1016" s="30"/>
      <c r="N1016" s="30"/>
      <c r="O1016" s="30">
        <f>IFERROR(__xludf.DUMMYFUNCTION("""COMPUTED_VALUE"""),-2.630874715592867)</f>
        <v>-2.630874716</v>
      </c>
      <c r="P1016" s="30">
        <f>IFERROR(__xludf.DUMMYFUNCTION("""COMPUTED_VALUE"""),4.463999088063446)</f>
        <v>4.463999088</v>
      </c>
      <c r="Q1016" s="30"/>
      <c r="R1016" s="30"/>
      <c r="S1016" s="30"/>
      <c r="T1016" s="30"/>
      <c r="U1016" s="30">
        <v>0.0</v>
      </c>
      <c r="V1016" s="30"/>
      <c r="W1016" s="30"/>
      <c r="X1016" s="30"/>
      <c r="Y1016" s="5">
        <f>IFERROR(__xludf.DUMMYFUNCTION("""COMPUTED_VALUE"""),88.0)</f>
        <v>88</v>
      </c>
      <c r="Z1016" s="5">
        <f>IFERROR(__xludf.DUMMYFUNCTION("""COMPUTED_VALUE"""),88.0)</f>
        <v>88</v>
      </c>
    </row>
    <row r="1017">
      <c r="A1017" s="30" t="s">
        <v>2454</v>
      </c>
      <c r="B1017" s="30">
        <f>IFERROR(__xludf.DUMMYFUNCTION("""COMPUTED_VALUE"""),86.0)</f>
        <v>86</v>
      </c>
      <c r="C1017" s="30"/>
      <c r="D1017" s="30"/>
      <c r="E1017" s="30"/>
      <c r="F1017" s="30"/>
      <c r="G1017" s="30"/>
      <c r="H1017" s="30"/>
      <c r="I1017" s="30"/>
      <c r="J1017" s="30">
        <f>IFERROR(__xludf.DUMMYFUNCTION("""COMPUTED_VALUE"""),-11.059343513011441)</f>
        <v>-11.05934351</v>
      </c>
      <c r="K1017" s="30"/>
      <c r="L1017" s="30"/>
      <c r="M1017" s="30"/>
      <c r="N1017" s="30"/>
      <c r="O1017" s="30">
        <f>IFERROR(__xludf.DUMMYFUNCTION("""COMPUTED_VALUE"""),-2.630874715592867)</f>
        <v>-2.630874716</v>
      </c>
      <c r="P1017" s="30">
        <f>IFERROR(__xludf.DUMMYFUNCTION("""COMPUTED_VALUE"""),4.463999088063446)</f>
        <v>4.463999088</v>
      </c>
      <c r="Q1017" s="30"/>
      <c r="R1017" s="30"/>
      <c r="S1017" s="30"/>
      <c r="T1017" s="30"/>
      <c r="U1017" s="30">
        <v>0.0</v>
      </c>
      <c r="V1017" s="30"/>
      <c r="W1017" s="30"/>
      <c r="X1017" s="30"/>
      <c r="Y1017" s="5">
        <f>IFERROR(__xludf.DUMMYFUNCTION("""COMPUTED_VALUE"""),84.0)</f>
        <v>84</v>
      </c>
      <c r="Z1017" s="5">
        <f>IFERROR(__xludf.DUMMYFUNCTION("""COMPUTED_VALUE"""),88.0)</f>
        <v>88</v>
      </c>
    </row>
    <row r="1018">
      <c r="A1018" s="30" t="s">
        <v>1864</v>
      </c>
      <c r="B1018" s="30">
        <f>IFERROR(__xludf.DUMMYFUNCTION("""COMPUTED_VALUE"""),84.0)</f>
        <v>84</v>
      </c>
      <c r="C1018" s="30"/>
      <c r="D1018" s="30"/>
      <c r="E1018" s="30"/>
      <c r="F1018" s="30"/>
      <c r="G1018" s="30"/>
      <c r="H1018" s="30"/>
      <c r="I1018" s="30"/>
      <c r="J1018" s="30">
        <f>IFERROR(__xludf.DUMMYFUNCTION("""COMPUTED_VALUE"""),-11.059343513011441)</f>
        <v>-11.05934351</v>
      </c>
      <c r="K1018" s="30"/>
      <c r="L1018" s="30"/>
      <c r="M1018" s="30"/>
      <c r="N1018" s="30"/>
      <c r="O1018" s="30">
        <f>IFERROR(__xludf.DUMMYFUNCTION("""COMPUTED_VALUE"""),-2.630874715592867)</f>
        <v>-2.630874716</v>
      </c>
      <c r="P1018" s="30">
        <f>IFERROR(__xludf.DUMMYFUNCTION("""COMPUTED_VALUE"""),4.463999088063446)</f>
        <v>4.463999088</v>
      </c>
      <c r="Q1018" s="30"/>
      <c r="R1018" s="30"/>
      <c r="S1018" s="30"/>
      <c r="T1018" s="30"/>
      <c r="U1018" s="30">
        <v>0.0</v>
      </c>
      <c r="V1018" s="30"/>
      <c r="W1018" s="30"/>
      <c r="X1018" s="30"/>
      <c r="Y1018" s="5">
        <f>IFERROR(__xludf.DUMMYFUNCTION("""COMPUTED_VALUE"""),84.0)</f>
        <v>84</v>
      </c>
      <c r="Z1018" s="5">
        <f>IFERROR(__xludf.DUMMYFUNCTION("""COMPUTED_VALUE"""),84.0)</f>
        <v>84</v>
      </c>
    </row>
    <row r="1019">
      <c r="A1019" s="30" t="s">
        <v>2427</v>
      </c>
      <c r="B1019" s="30">
        <f>IFERROR(__xludf.DUMMYFUNCTION("""COMPUTED_VALUE"""),84.5)</f>
        <v>84.5</v>
      </c>
      <c r="C1019" s="30"/>
      <c r="D1019" s="30"/>
      <c r="E1019" s="30"/>
      <c r="F1019" s="30"/>
      <c r="G1019" s="30"/>
      <c r="H1019" s="30"/>
      <c r="I1019" s="30"/>
      <c r="J1019" s="30">
        <f>IFERROR(__xludf.DUMMYFUNCTION("""COMPUTED_VALUE"""),-11.059343513011441)</f>
        <v>-11.05934351</v>
      </c>
      <c r="K1019" s="30"/>
      <c r="L1019" s="30"/>
      <c r="M1019" s="30"/>
      <c r="N1019" s="30"/>
      <c r="O1019" s="30">
        <f>IFERROR(__xludf.DUMMYFUNCTION("""COMPUTED_VALUE"""),-2.630874715592867)</f>
        <v>-2.630874716</v>
      </c>
      <c r="P1019" s="30">
        <f>IFERROR(__xludf.DUMMYFUNCTION("""COMPUTED_VALUE"""),4.463999088063446)</f>
        <v>4.463999088</v>
      </c>
      <c r="Q1019" s="30"/>
      <c r="R1019" s="30"/>
      <c r="S1019" s="30"/>
      <c r="T1019" s="30"/>
      <c r="U1019" s="30">
        <v>0.0</v>
      </c>
      <c r="V1019" s="30"/>
      <c r="W1019" s="30"/>
      <c r="X1019" s="30"/>
      <c r="Y1019" s="5">
        <f>IFERROR(__xludf.DUMMYFUNCTION("""COMPUTED_VALUE"""),81.0)</f>
        <v>81</v>
      </c>
      <c r="Z1019" s="5">
        <f>IFERROR(__xludf.DUMMYFUNCTION("""COMPUTED_VALUE"""),88.0)</f>
        <v>88</v>
      </c>
    </row>
    <row r="1020">
      <c r="A1020" s="30" t="s">
        <v>3013</v>
      </c>
      <c r="B1020" s="30">
        <f>IFERROR(__xludf.DUMMYFUNCTION("""COMPUTED_VALUE"""),84.0)</f>
        <v>84</v>
      </c>
      <c r="C1020" s="30"/>
      <c r="D1020" s="30"/>
      <c r="E1020" s="30"/>
      <c r="F1020" s="30"/>
      <c r="G1020" s="30"/>
      <c r="H1020" s="30"/>
      <c r="I1020" s="30"/>
      <c r="J1020" s="30">
        <f>IFERROR(__xludf.DUMMYFUNCTION("""COMPUTED_VALUE"""),-11.059343513011441)</f>
        <v>-11.05934351</v>
      </c>
      <c r="K1020" s="30"/>
      <c r="L1020" s="30"/>
      <c r="M1020" s="30"/>
      <c r="N1020" s="30"/>
      <c r="O1020" s="30">
        <f>IFERROR(__xludf.DUMMYFUNCTION("""COMPUTED_VALUE"""),-2.630874715592867)</f>
        <v>-2.630874716</v>
      </c>
      <c r="P1020" s="30">
        <f>IFERROR(__xludf.DUMMYFUNCTION("""COMPUTED_VALUE"""),4.463999088063446)</f>
        <v>4.463999088</v>
      </c>
      <c r="Q1020" s="30"/>
      <c r="R1020" s="30"/>
      <c r="S1020" s="30"/>
      <c r="T1020" s="30"/>
      <c r="U1020" s="30">
        <v>0.0</v>
      </c>
      <c r="V1020" s="30"/>
      <c r="W1020" s="30"/>
      <c r="X1020" s="30"/>
      <c r="Y1020" s="5">
        <f>IFERROR(__xludf.DUMMYFUNCTION("""COMPUTED_VALUE"""),84.0)</f>
        <v>84</v>
      </c>
      <c r="Z1020" s="5">
        <f>IFERROR(__xludf.DUMMYFUNCTION("""COMPUTED_VALUE"""),84.0)</f>
        <v>84</v>
      </c>
    </row>
    <row r="1021">
      <c r="A1021" s="30" t="s">
        <v>3014</v>
      </c>
      <c r="B1021" s="30">
        <f>IFERROR(__xludf.DUMMYFUNCTION("""COMPUTED_VALUE"""),84.0)</f>
        <v>84</v>
      </c>
      <c r="C1021" s="30"/>
      <c r="D1021" s="30"/>
      <c r="E1021" s="30"/>
      <c r="F1021" s="30"/>
      <c r="G1021" s="30"/>
      <c r="H1021" s="30"/>
      <c r="I1021" s="30"/>
      <c r="J1021" s="30">
        <f>IFERROR(__xludf.DUMMYFUNCTION("""COMPUTED_VALUE"""),-11.059343513011441)</f>
        <v>-11.05934351</v>
      </c>
      <c r="K1021" s="30"/>
      <c r="L1021" s="30"/>
      <c r="M1021" s="30"/>
      <c r="N1021" s="30"/>
      <c r="O1021" s="30">
        <f>IFERROR(__xludf.DUMMYFUNCTION("""COMPUTED_VALUE"""),-2.630874715592867)</f>
        <v>-2.630874716</v>
      </c>
      <c r="P1021" s="30">
        <f>IFERROR(__xludf.DUMMYFUNCTION("""COMPUTED_VALUE"""),4.463999088063446)</f>
        <v>4.463999088</v>
      </c>
      <c r="Q1021" s="30"/>
      <c r="R1021" s="30"/>
      <c r="S1021" s="30"/>
      <c r="T1021" s="30"/>
      <c r="U1021" s="30">
        <v>0.0</v>
      </c>
      <c r="V1021" s="30"/>
      <c r="W1021" s="30"/>
      <c r="X1021" s="30"/>
      <c r="Y1021" s="5">
        <f>IFERROR(__xludf.DUMMYFUNCTION("""COMPUTED_VALUE"""),84.0)</f>
        <v>84</v>
      </c>
      <c r="Z1021" s="5">
        <f>IFERROR(__xludf.DUMMYFUNCTION("""COMPUTED_VALUE"""),84.0)</f>
        <v>84</v>
      </c>
    </row>
    <row r="1022">
      <c r="A1022" s="30" t="s">
        <v>2301</v>
      </c>
      <c r="B1022" s="30">
        <f>IFERROR(__xludf.DUMMYFUNCTION("""COMPUTED_VALUE"""),88.0)</f>
        <v>88</v>
      </c>
      <c r="C1022" s="30"/>
      <c r="D1022" s="30"/>
      <c r="E1022" s="30"/>
      <c r="F1022" s="30"/>
      <c r="G1022" s="30"/>
      <c r="H1022" s="30"/>
      <c r="I1022" s="30"/>
      <c r="J1022" s="30">
        <f>IFERROR(__xludf.DUMMYFUNCTION("""COMPUTED_VALUE"""),-11.059343513011441)</f>
        <v>-11.05934351</v>
      </c>
      <c r="K1022" s="30"/>
      <c r="L1022" s="30"/>
      <c r="M1022" s="30"/>
      <c r="N1022" s="30"/>
      <c r="O1022" s="30">
        <f>IFERROR(__xludf.DUMMYFUNCTION("""COMPUTED_VALUE"""),-2.630874715592867)</f>
        <v>-2.630874716</v>
      </c>
      <c r="P1022" s="30">
        <f>IFERROR(__xludf.DUMMYFUNCTION("""COMPUTED_VALUE"""),4.463999088063446)</f>
        <v>4.463999088</v>
      </c>
      <c r="Q1022" s="30"/>
      <c r="R1022" s="30"/>
      <c r="S1022" s="30"/>
      <c r="T1022" s="30"/>
      <c r="U1022" s="30">
        <v>0.0</v>
      </c>
      <c r="V1022" s="30"/>
      <c r="W1022" s="30"/>
      <c r="X1022" s="30"/>
      <c r="Y1022" s="5">
        <f>IFERROR(__xludf.DUMMYFUNCTION("""COMPUTED_VALUE"""),88.0)</f>
        <v>88</v>
      </c>
      <c r="Z1022" s="5">
        <f>IFERROR(__xludf.DUMMYFUNCTION("""COMPUTED_VALUE"""),88.0)</f>
        <v>88</v>
      </c>
    </row>
    <row r="1023">
      <c r="A1023" s="30" t="s">
        <v>3017</v>
      </c>
      <c r="B1023" s="30">
        <f>IFERROR(__xludf.DUMMYFUNCTION("""COMPUTED_VALUE"""),81.0)</f>
        <v>81</v>
      </c>
      <c r="C1023" s="30"/>
      <c r="D1023" s="30"/>
      <c r="E1023" s="30"/>
      <c r="F1023" s="30"/>
      <c r="G1023" s="30"/>
      <c r="H1023" s="30"/>
      <c r="I1023" s="30"/>
      <c r="J1023" s="30">
        <f>IFERROR(__xludf.DUMMYFUNCTION("""COMPUTED_VALUE"""),-11.059343513011441)</f>
        <v>-11.05934351</v>
      </c>
      <c r="K1023" s="30"/>
      <c r="L1023" s="30"/>
      <c r="M1023" s="30"/>
      <c r="N1023" s="30"/>
      <c r="O1023" s="30">
        <f>IFERROR(__xludf.DUMMYFUNCTION("""COMPUTED_VALUE"""),-2.630874715592867)</f>
        <v>-2.630874716</v>
      </c>
      <c r="P1023" s="30">
        <f>IFERROR(__xludf.DUMMYFUNCTION("""COMPUTED_VALUE"""),4.463999088063446)</f>
        <v>4.463999088</v>
      </c>
      <c r="Q1023" s="30"/>
      <c r="R1023" s="30"/>
      <c r="S1023" s="30"/>
      <c r="T1023" s="30"/>
      <c r="U1023" s="30">
        <v>0.0</v>
      </c>
      <c r="V1023" s="30"/>
      <c r="W1023" s="30"/>
      <c r="X1023" s="30"/>
      <c r="Y1023" s="5">
        <f>IFERROR(__xludf.DUMMYFUNCTION("""COMPUTED_VALUE"""),81.0)</f>
        <v>81</v>
      </c>
      <c r="Z1023" s="5">
        <f>IFERROR(__xludf.DUMMYFUNCTION("""COMPUTED_VALUE"""),81.0)</f>
        <v>81</v>
      </c>
    </row>
    <row r="1024">
      <c r="A1024" s="30" t="s">
        <v>3018</v>
      </c>
      <c r="B1024" s="30">
        <f>IFERROR(__xludf.DUMMYFUNCTION("""COMPUTED_VALUE"""),82.0)</f>
        <v>82</v>
      </c>
      <c r="C1024" s="30"/>
      <c r="D1024" s="30"/>
      <c r="E1024" s="30"/>
      <c r="F1024" s="30"/>
      <c r="G1024" s="30"/>
      <c r="H1024" s="30"/>
      <c r="I1024" s="30"/>
      <c r="J1024" s="30">
        <f>IFERROR(__xludf.DUMMYFUNCTION("""COMPUTED_VALUE"""),-11.059343513011441)</f>
        <v>-11.05934351</v>
      </c>
      <c r="K1024" s="30"/>
      <c r="L1024" s="30"/>
      <c r="M1024" s="30"/>
      <c r="N1024" s="30"/>
      <c r="O1024" s="30">
        <f>IFERROR(__xludf.DUMMYFUNCTION("""COMPUTED_VALUE"""),-2.630874715592867)</f>
        <v>-2.630874716</v>
      </c>
      <c r="P1024" s="30">
        <f>IFERROR(__xludf.DUMMYFUNCTION("""COMPUTED_VALUE"""),4.463999088063446)</f>
        <v>4.463999088</v>
      </c>
      <c r="Q1024" s="30"/>
      <c r="R1024" s="30"/>
      <c r="S1024" s="30"/>
      <c r="T1024" s="30"/>
      <c r="U1024" s="30">
        <v>0.0</v>
      </c>
      <c r="V1024" s="30"/>
      <c r="W1024" s="30"/>
      <c r="X1024" s="30"/>
      <c r="Y1024" s="5">
        <f>IFERROR(__xludf.DUMMYFUNCTION("""COMPUTED_VALUE"""),82.0)</f>
        <v>82</v>
      </c>
      <c r="Z1024" s="5">
        <f>IFERROR(__xludf.DUMMYFUNCTION("""COMPUTED_VALUE"""),82.0)</f>
        <v>82</v>
      </c>
    </row>
    <row r="1025">
      <c r="A1025" s="30" t="s">
        <v>3019</v>
      </c>
      <c r="B1025" s="30">
        <f>IFERROR(__xludf.DUMMYFUNCTION("""COMPUTED_VALUE"""),84.0)</f>
        <v>84</v>
      </c>
      <c r="C1025" s="30"/>
      <c r="D1025" s="30"/>
      <c r="E1025" s="30"/>
      <c r="F1025" s="30"/>
      <c r="G1025" s="30"/>
      <c r="H1025" s="30"/>
      <c r="I1025" s="30"/>
      <c r="J1025" s="30">
        <f>IFERROR(__xludf.DUMMYFUNCTION("""COMPUTED_VALUE"""),-11.059343513011441)</f>
        <v>-11.05934351</v>
      </c>
      <c r="K1025" s="30"/>
      <c r="L1025" s="30"/>
      <c r="M1025" s="30"/>
      <c r="N1025" s="30"/>
      <c r="O1025" s="30">
        <f>IFERROR(__xludf.DUMMYFUNCTION("""COMPUTED_VALUE"""),-2.630874715592867)</f>
        <v>-2.630874716</v>
      </c>
      <c r="P1025" s="30">
        <f>IFERROR(__xludf.DUMMYFUNCTION("""COMPUTED_VALUE"""),4.463999088063446)</f>
        <v>4.463999088</v>
      </c>
      <c r="Q1025" s="30"/>
      <c r="R1025" s="30"/>
      <c r="S1025" s="30"/>
      <c r="T1025" s="30"/>
      <c r="U1025" s="30">
        <v>0.0</v>
      </c>
      <c r="V1025" s="30"/>
      <c r="W1025" s="30"/>
      <c r="X1025" s="30"/>
      <c r="Y1025" s="5">
        <f>IFERROR(__xludf.DUMMYFUNCTION("""COMPUTED_VALUE"""),84.0)</f>
        <v>84</v>
      </c>
      <c r="Z1025" s="5">
        <f>IFERROR(__xludf.DUMMYFUNCTION("""COMPUTED_VALUE"""),84.0)</f>
        <v>84</v>
      </c>
    </row>
    <row r="1026">
      <c r="A1026" s="30" t="s">
        <v>2117</v>
      </c>
      <c r="B1026" s="30">
        <f>IFERROR(__xludf.DUMMYFUNCTION("""COMPUTED_VALUE"""),84.5)</f>
        <v>84.5</v>
      </c>
      <c r="C1026" s="30"/>
      <c r="D1026" s="30"/>
      <c r="E1026" s="30"/>
      <c r="F1026" s="30"/>
      <c r="G1026" s="30"/>
      <c r="H1026" s="30"/>
      <c r="I1026" s="30"/>
      <c r="J1026" s="30">
        <f>IFERROR(__xludf.DUMMYFUNCTION("""COMPUTED_VALUE"""),-11.059343513011441)</f>
        <v>-11.05934351</v>
      </c>
      <c r="K1026" s="30"/>
      <c r="L1026" s="30"/>
      <c r="M1026" s="30"/>
      <c r="N1026" s="30"/>
      <c r="O1026" s="30">
        <f>IFERROR(__xludf.DUMMYFUNCTION("""COMPUTED_VALUE"""),-2.630874715592867)</f>
        <v>-2.630874716</v>
      </c>
      <c r="P1026" s="30">
        <f>IFERROR(__xludf.DUMMYFUNCTION("""COMPUTED_VALUE"""),4.463999088063446)</f>
        <v>4.463999088</v>
      </c>
      <c r="Q1026" s="30"/>
      <c r="R1026" s="30"/>
      <c r="S1026" s="30"/>
      <c r="T1026" s="30"/>
      <c r="U1026" s="30">
        <v>0.0</v>
      </c>
      <c r="V1026" s="30"/>
      <c r="W1026" s="30"/>
      <c r="X1026" s="30"/>
      <c r="Y1026" s="5">
        <f>IFERROR(__xludf.DUMMYFUNCTION("""COMPUTED_VALUE"""),84.0)</f>
        <v>84</v>
      </c>
      <c r="Z1026" s="5">
        <f>IFERROR(__xludf.DUMMYFUNCTION("""COMPUTED_VALUE"""),85.0)</f>
        <v>85</v>
      </c>
    </row>
    <row r="1027">
      <c r="A1027" s="30" t="s">
        <v>3022</v>
      </c>
      <c r="B1027" s="30">
        <f>IFERROR(__xludf.DUMMYFUNCTION("""COMPUTED_VALUE"""),86.5)</f>
        <v>86.5</v>
      </c>
      <c r="C1027" s="30"/>
      <c r="D1027" s="30"/>
      <c r="E1027" s="30"/>
      <c r="F1027" s="30"/>
      <c r="G1027" s="30"/>
      <c r="H1027" s="30"/>
      <c r="I1027" s="30"/>
      <c r="J1027" s="30">
        <f>IFERROR(__xludf.DUMMYFUNCTION("""COMPUTED_VALUE"""),-11.059343513011441)</f>
        <v>-11.05934351</v>
      </c>
      <c r="K1027" s="30"/>
      <c r="L1027" s="30"/>
      <c r="M1027" s="30"/>
      <c r="N1027" s="30"/>
      <c r="O1027" s="30">
        <f>IFERROR(__xludf.DUMMYFUNCTION("""COMPUTED_VALUE"""),-2.630874715592867)</f>
        <v>-2.630874716</v>
      </c>
      <c r="P1027" s="30">
        <f>IFERROR(__xludf.DUMMYFUNCTION("""COMPUTED_VALUE"""),4.463999088063446)</f>
        <v>4.463999088</v>
      </c>
      <c r="Q1027" s="30"/>
      <c r="R1027" s="30"/>
      <c r="S1027" s="30"/>
      <c r="T1027" s="30"/>
      <c r="U1027" s="30">
        <v>0.0</v>
      </c>
      <c r="V1027" s="30"/>
      <c r="W1027" s="30"/>
      <c r="X1027" s="30"/>
      <c r="Y1027" s="5">
        <f>IFERROR(__xludf.DUMMYFUNCTION("""COMPUTED_VALUE"""),85.0)</f>
        <v>85</v>
      </c>
      <c r="Z1027" s="5">
        <f>IFERROR(__xludf.DUMMYFUNCTION("""COMPUTED_VALUE"""),88.0)</f>
        <v>88</v>
      </c>
    </row>
    <row r="1028">
      <c r="A1028" s="30" t="s">
        <v>292</v>
      </c>
      <c r="B1028" s="30">
        <f>IFERROR(__xludf.DUMMYFUNCTION("""COMPUTED_VALUE"""),83.0)</f>
        <v>83</v>
      </c>
      <c r="C1028" s="30"/>
      <c r="D1028" s="30"/>
      <c r="E1028" s="30"/>
      <c r="F1028" s="30"/>
      <c r="G1028" s="30"/>
      <c r="H1028" s="30"/>
      <c r="I1028" s="30"/>
      <c r="J1028" s="30">
        <f>IFERROR(__xludf.DUMMYFUNCTION("""COMPUTED_VALUE"""),-11.059343513011441)</f>
        <v>-11.05934351</v>
      </c>
      <c r="K1028" s="30"/>
      <c r="L1028" s="30"/>
      <c r="M1028" s="30"/>
      <c r="N1028" s="30"/>
      <c r="O1028" s="30">
        <f>IFERROR(__xludf.DUMMYFUNCTION("""COMPUTED_VALUE"""),-2.630874715592867)</f>
        <v>-2.630874716</v>
      </c>
      <c r="P1028" s="30">
        <f>IFERROR(__xludf.DUMMYFUNCTION("""COMPUTED_VALUE"""),4.463999088063446)</f>
        <v>4.463999088</v>
      </c>
      <c r="Q1028" s="30"/>
      <c r="R1028" s="30"/>
      <c r="S1028" s="30"/>
      <c r="T1028" s="30"/>
      <c r="U1028" s="30">
        <v>0.0</v>
      </c>
      <c r="V1028" s="30"/>
      <c r="W1028" s="30"/>
      <c r="X1028" s="30"/>
      <c r="Y1028" s="5">
        <f>IFERROR(__xludf.DUMMYFUNCTION("""COMPUTED_VALUE"""),83.0)</f>
        <v>83</v>
      </c>
      <c r="Z1028" s="5">
        <f>IFERROR(__xludf.DUMMYFUNCTION("""COMPUTED_VALUE"""),83.0)</f>
        <v>83</v>
      </c>
    </row>
    <row r="1029">
      <c r="A1029" s="30" t="s">
        <v>2103</v>
      </c>
      <c r="B1029" s="30">
        <f>IFERROR(__xludf.DUMMYFUNCTION("""COMPUTED_VALUE"""),85.5)</f>
        <v>85.5</v>
      </c>
      <c r="C1029" s="30"/>
      <c r="D1029" s="30"/>
      <c r="E1029" s="30"/>
      <c r="F1029" s="30"/>
      <c r="G1029" s="30"/>
      <c r="H1029" s="30"/>
      <c r="I1029" s="30"/>
      <c r="J1029" s="30">
        <f>IFERROR(__xludf.DUMMYFUNCTION("""COMPUTED_VALUE"""),-11.059343513011441)</f>
        <v>-11.05934351</v>
      </c>
      <c r="K1029" s="30"/>
      <c r="L1029" s="30"/>
      <c r="M1029" s="30"/>
      <c r="N1029" s="30"/>
      <c r="O1029" s="30">
        <f>IFERROR(__xludf.DUMMYFUNCTION("""COMPUTED_VALUE"""),-2.630874715592867)</f>
        <v>-2.630874716</v>
      </c>
      <c r="P1029" s="30">
        <f>IFERROR(__xludf.DUMMYFUNCTION("""COMPUTED_VALUE"""),4.463999088063446)</f>
        <v>4.463999088</v>
      </c>
      <c r="Q1029" s="30"/>
      <c r="R1029" s="30"/>
      <c r="S1029" s="30"/>
      <c r="T1029" s="30"/>
      <c r="U1029" s="30">
        <v>0.0</v>
      </c>
      <c r="V1029" s="30"/>
      <c r="W1029" s="30"/>
      <c r="X1029" s="30"/>
      <c r="Y1029" s="5">
        <f>IFERROR(__xludf.DUMMYFUNCTION("""COMPUTED_VALUE"""),83.0)</f>
        <v>83</v>
      </c>
      <c r="Z1029" s="5">
        <f>IFERROR(__xludf.DUMMYFUNCTION("""COMPUTED_VALUE"""),88.0)</f>
        <v>88</v>
      </c>
    </row>
    <row r="1030">
      <c r="A1030" s="30" t="s">
        <v>3026</v>
      </c>
      <c r="B1030" s="30">
        <f>IFERROR(__xludf.DUMMYFUNCTION("""COMPUTED_VALUE"""),84.5)</f>
        <v>84.5</v>
      </c>
      <c r="C1030" s="30"/>
      <c r="D1030" s="30"/>
      <c r="E1030" s="30"/>
      <c r="F1030" s="30"/>
      <c r="G1030" s="30"/>
      <c r="H1030" s="30"/>
      <c r="I1030" s="30"/>
      <c r="J1030" s="30">
        <f>IFERROR(__xludf.DUMMYFUNCTION("""COMPUTED_VALUE"""),-11.059343513011441)</f>
        <v>-11.05934351</v>
      </c>
      <c r="K1030" s="30"/>
      <c r="L1030" s="30"/>
      <c r="M1030" s="30"/>
      <c r="N1030" s="30"/>
      <c r="O1030" s="30">
        <f>IFERROR(__xludf.DUMMYFUNCTION("""COMPUTED_VALUE"""),-2.630874715592867)</f>
        <v>-2.630874716</v>
      </c>
      <c r="P1030" s="30">
        <f>IFERROR(__xludf.DUMMYFUNCTION("""COMPUTED_VALUE"""),4.463999088063446)</f>
        <v>4.463999088</v>
      </c>
      <c r="Q1030" s="30"/>
      <c r="R1030" s="30"/>
      <c r="S1030" s="30"/>
      <c r="T1030" s="30"/>
      <c r="U1030" s="30">
        <v>0.0</v>
      </c>
      <c r="V1030" s="30"/>
      <c r="W1030" s="30"/>
      <c r="X1030" s="30"/>
      <c r="Y1030" s="5">
        <f>IFERROR(__xludf.DUMMYFUNCTION("""COMPUTED_VALUE"""),84.0)</f>
        <v>84</v>
      </c>
      <c r="Z1030" s="5">
        <f>IFERROR(__xludf.DUMMYFUNCTION("""COMPUTED_VALUE"""),85.0)</f>
        <v>85</v>
      </c>
    </row>
    <row r="1031">
      <c r="A1031" s="30" t="s">
        <v>3030</v>
      </c>
      <c r="B1031" s="30">
        <f>IFERROR(__xludf.DUMMYFUNCTION("""COMPUTED_VALUE"""),86.0)</f>
        <v>86</v>
      </c>
      <c r="C1031" s="30"/>
      <c r="D1031" s="30"/>
      <c r="E1031" s="30"/>
      <c r="F1031" s="30"/>
      <c r="G1031" s="30"/>
      <c r="H1031" s="30"/>
      <c r="I1031" s="30"/>
      <c r="J1031" s="30">
        <f>IFERROR(__xludf.DUMMYFUNCTION("""COMPUTED_VALUE"""),-11.059343513011441)</f>
        <v>-11.05934351</v>
      </c>
      <c r="K1031" s="30"/>
      <c r="L1031" s="30"/>
      <c r="M1031" s="30"/>
      <c r="N1031" s="30"/>
      <c r="O1031" s="30">
        <f>IFERROR(__xludf.DUMMYFUNCTION("""COMPUTED_VALUE"""),-2.630874715592867)</f>
        <v>-2.630874716</v>
      </c>
      <c r="P1031" s="30">
        <f>IFERROR(__xludf.DUMMYFUNCTION("""COMPUTED_VALUE"""),4.463999088063446)</f>
        <v>4.463999088</v>
      </c>
      <c r="Q1031" s="30"/>
      <c r="R1031" s="30"/>
      <c r="S1031" s="30"/>
      <c r="T1031" s="30"/>
      <c r="U1031" s="30">
        <v>0.0</v>
      </c>
      <c r="V1031" s="30"/>
      <c r="W1031" s="30"/>
      <c r="X1031" s="30"/>
      <c r="Y1031" s="5">
        <f>IFERROR(__xludf.DUMMYFUNCTION("""COMPUTED_VALUE"""),86.0)</f>
        <v>86</v>
      </c>
      <c r="Z1031" s="5">
        <f>IFERROR(__xludf.DUMMYFUNCTION("""COMPUTED_VALUE"""),86.0)</f>
        <v>86</v>
      </c>
    </row>
    <row r="1032">
      <c r="A1032" s="30" t="s">
        <v>3032</v>
      </c>
      <c r="B1032" s="30">
        <f>IFERROR(__xludf.DUMMYFUNCTION("""COMPUTED_VALUE"""),87.5)</f>
        <v>87.5</v>
      </c>
      <c r="C1032" s="30"/>
      <c r="D1032" s="30"/>
      <c r="E1032" s="30"/>
      <c r="F1032" s="30"/>
      <c r="G1032" s="30"/>
      <c r="H1032" s="30"/>
      <c r="I1032" s="30"/>
      <c r="J1032" s="30">
        <f>IFERROR(__xludf.DUMMYFUNCTION("""COMPUTED_VALUE"""),-11.059343513011441)</f>
        <v>-11.05934351</v>
      </c>
      <c r="K1032" s="30"/>
      <c r="L1032" s="30"/>
      <c r="M1032" s="30"/>
      <c r="N1032" s="30"/>
      <c r="O1032" s="30">
        <f>IFERROR(__xludf.DUMMYFUNCTION("""COMPUTED_VALUE"""),-2.630874715592867)</f>
        <v>-2.630874716</v>
      </c>
      <c r="P1032" s="30">
        <f>IFERROR(__xludf.DUMMYFUNCTION("""COMPUTED_VALUE"""),4.463999088063446)</f>
        <v>4.463999088</v>
      </c>
      <c r="Q1032" s="30"/>
      <c r="R1032" s="30"/>
      <c r="S1032" s="30"/>
      <c r="T1032" s="30"/>
      <c r="U1032" s="30">
        <v>0.0</v>
      </c>
      <c r="V1032" s="30"/>
      <c r="W1032" s="30"/>
      <c r="X1032" s="30"/>
      <c r="Y1032" s="5">
        <f>IFERROR(__xludf.DUMMYFUNCTION("""COMPUTED_VALUE"""),87.0)</f>
        <v>87</v>
      </c>
      <c r="Z1032" s="5">
        <f>IFERROR(__xludf.DUMMYFUNCTION("""COMPUTED_VALUE"""),88.0)</f>
        <v>88</v>
      </c>
    </row>
    <row r="1033">
      <c r="A1033" s="30" t="s">
        <v>1437</v>
      </c>
      <c r="B1033" s="30">
        <f>IFERROR(__xludf.DUMMYFUNCTION("""COMPUTED_VALUE"""),86.0)</f>
        <v>86</v>
      </c>
      <c r="C1033" s="30"/>
      <c r="D1033" s="30"/>
      <c r="E1033" s="30"/>
      <c r="F1033" s="30"/>
      <c r="G1033" s="30"/>
      <c r="H1033" s="30"/>
      <c r="I1033" s="30"/>
      <c r="J1033" s="30">
        <f>IFERROR(__xludf.DUMMYFUNCTION("""COMPUTED_VALUE"""),-11.059343513011441)</f>
        <v>-11.05934351</v>
      </c>
      <c r="K1033" s="30"/>
      <c r="L1033" s="30"/>
      <c r="M1033" s="30"/>
      <c r="N1033" s="30"/>
      <c r="O1033" s="30">
        <f>IFERROR(__xludf.DUMMYFUNCTION("""COMPUTED_VALUE"""),-2.630874715592867)</f>
        <v>-2.630874716</v>
      </c>
      <c r="P1033" s="30">
        <f>IFERROR(__xludf.DUMMYFUNCTION("""COMPUTED_VALUE"""),4.463999088063446)</f>
        <v>4.463999088</v>
      </c>
      <c r="Q1033" s="30"/>
      <c r="R1033" s="30"/>
      <c r="S1033" s="30"/>
      <c r="T1033" s="30"/>
      <c r="U1033" s="30">
        <v>0.0</v>
      </c>
      <c r="V1033" s="30"/>
      <c r="W1033" s="30"/>
      <c r="X1033" s="30"/>
      <c r="Y1033" s="5">
        <f>IFERROR(__xludf.DUMMYFUNCTION("""COMPUTED_VALUE"""),84.0)</f>
        <v>84</v>
      </c>
      <c r="Z1033" s="5">
        <f>IFERROR(__xludf.DUMMYFUNCTION("""COMPUTED_VALUE"""),88.0)</f>
        <v>88</v>
      </c>
    </row>
    <row r="1034">
      <c r="A1034" s="30" t="s">
        <v>3039</v>
      </c>
      <c r="B1034" s="30">
        <f>IFERROR(__xludf.DUMMYFUNCTION("""COMPUTED_VALUE"""),84.0)</f>
        <v>84</v>
      </c>
      <c r="C1034" s="30"/>
      <c r="D1034" s="30"/>
      <c r="E1034" s="30"/>
      <c r="F1034" s="30"/>
      <c r="G1034" s="30"/>
      <c r="H1034" s="30"/>
      <c r="I1034" s="30"/>
      <c r="J1034" s="30">
        <f>IFERROR(__xludf.DUMMYFUNCTION("""COMPUTED_VALUE"""),-11.059343513011441)</f>
        <v>-11.05934351</v>
      </c>
      <c r="K1034" s="30"/>
      <c r="L1034" s="30"/>
      <c r="M1034" s="30"/>
      <c r="N1034" s="30"/>
      <c r="O1034" s="30">
        <f>IFERROR(__xludf.DUMMYFUNCTION("""COMPUTED_VALUE"""),-2.630874715592867)</f>
        <v>-2.630874716</v>
      </c>
      <c r="P1034" s="30">
        <f>IFERROR(__xludf.DUMMYFUNCTION("""COMPUTED_VALUE"""),4.463999088063446)</f>
        <v>4.463999088</v>
      </c>
      <c r="Q1034" s="30"/>
      <c r="R1034" s="30"/>
      <c r="S1034" s="30"/>
      <c r="T1034" s="30"/>
      <c r="U1034" s="30">
        <v>0.0</v>
      </c>
      <c r="V1034" s="30"/>
      <c r="W1034" s="30"/>
      <c r="X1034" s="30"/>
      <c r="Y1034" s="5">
        <f>IFERROR(__xludf.DUMMYFUNCTION("""COMPUTED_VALUE"""),84.0)</f>
        <v>84</v>
      </c>
      <c r="Z1034" s="5">
        <f>IFERROR(__xludf.DUMMYFUNCTION("""COMPUTED_VALUE"""),84.0)</f>
        <v>84</v>
      </c>
    </row>
    <row r="1035">
      <c r="A1035" s="30" t="s">
        <v>2414</v>
      </c>
      <c r="B1035" s="30">
        <f>IFERROR(__xludf.DUMMYFUNCTION("""COMPUTED_VALUE"""),86.5)</f>
        <v>86.5</v>
      </c>
      <c r="C1035" s="30"/>
      <c r="D1035" s="30"/>
      <c r="E1035" s="30"/>
      <c r="F1035" s="30"/>
      <c r="G1035" s="30"/>
      <c r="H1035" s="30"/>
      <c r="I1035" s="30"/>
      <c r="J1035" s="30">
        <f>IFERROR(__xludf.DUMMYFUNCTION("""COMPUTED_VALUE"""),-11.059343513011441)</f>
        <v>-11.05934351</v>
      </c>
      <c r="K1035" s="30"/>
      <c r="L1035" s="30"/>
      <c r="M1035" s="30"/>
      <c r="N1035" s="30"/>
      <c r="O1035" s="30">
        <f>IFERROR(__xludf.DUMMYFUNCTION("""COMPUTED_VALUE"""),-2.630874715592867)</f>
        <v>-2.630874716</v>
      </c>
      <c r="P1035" s="30">
        <f>IFERROR(__xludf.DUMMYFUNCTION("""COMPUTED_VALUE"""),4.463999088063446)</f>
        <v>4.463999088</v>
      </c>
      <c r="Q1035" s="30"/>
      <c r="R1035" s="30"/>
      <c r="S1035" s="30"/>
      <c r="T1035" s="30"/>
      <c r="U1035" s="30">
        <v>0.0</v>
      </c>
      <c r="V1035" s="30"/>
      <c r="W1035" s="30"/>
      <c r="X1035" s="30"/>
      <c r="Y1035" s="5">
        <f>IFERROR(__xludf.DUMMYFUNCTION("""COMPUTED_VALUE"""),85.0)</f>
        <v>85</v>
      </c>
      <c r="Z1035" s="5">
        <f>IFERROR(__xludf.DUMMYFUNCTION("""COMPUTED_VALUE"""),88.0)</f>
        <v>88</v>
      </c>
    </row>
    <row r="1036">
      <c r="A1036" s="30" t="s">
        <v>3041</v>
      </c>
      <c r="B1036" s="30">
        <f>IFERROR(__xludf.DUMMYFUNCTION("""COMPUTED_VALUE"""),81.0)</f>
        <v>81</v>
      </c>
      <c r="C1036" s="30"/>
      <c r="D1036" s="30"/>
      <c r="E1036" s="30"/>
      <c r="F1036" s="30"/>
      <c r="G1036" s="30"/>
      <c r="H1036" s="30"/>
      <c r="I1036" s="30"/>
      <c r="J1036" s="30">
        <f>IFERROR(__xludf.DUMMYFUNCTION("""COMPUTED_VALUE"""),-11.059343513011441)</f>
        <v>-11.05934351</v>
      </c>
      <c r="K1036" s="30"/>
      <c r="L1036" s="30"/>
      <c r="M1036" s="30"/>
      <c r="N1036" s="30"/>
      <c r="O1036" s="30">
        <f>IFERROR(__xludf.DUMMYFUNCTION("""COMPUTED_VALUE"""),-2.630874715592867)</f>
        <v>-2.630874716</v>
      </c>
      <c r="P1036" s="30">
        <f>IFERROR(__xludf.DUMMYFUNCTION("""COMPUTED_VALUE"""),4.463999088063446)</f>
        <v>4.463999088</v>
      </c>
      <c r="Q1036" s="30"/>
      <c r="R1036" s="30"/>
      <c r="S1036" s="30"/>
      <c r="T1036" s="30"/>
      <c r="U1036" s="30">
        <v>0.0</v>
      </c>
      <c r="V1036" s="30"/>
      <c r="W1036" s="30"/>
      <c r="X1036" s="30"/>
      <c r="Y1036" s="5">
        <f>IFERROR(__xludf.DUMMYFUNCTION("""COMPUTED_VALUE"""),81.0)</f>
        <v>81</v>
      </c>
      <c r="Z1036" s="5">
        <f>IFERROR(__xludf.DUMMYFUNCTION("""COMPUTED_VALUE"""),81.0)</f>
        <v>81</v>
      </c>
    </row>
    <row r="1037">
      <c r="A1037" s="30" t="s">
        <v>2567</v>
      </c>
      <c r="B1037" s="30">
        <f>IFERROR(__xludf.DUMMYFUNCTION("""COMPUTED_VALUE"""),84.5)</f>
        <v>84.5</v>
      </c>
      <c r="C1037" s="30"/>
      <c r="D1037" s="30"/>
      <c r="E1037" s="30"/>
      <c r="F1037" s="30"/>
      <c r="G1037" s="30"/>
      <c r="H1037" s="30"/>
      <c r="I1037" s="30"/>
      <c r="J1037" s="30">
        <f>IFERROR(__xludf.DUMMYFUNCTION("""COMPUTED_VALUE"""),-11.059343513011441)</f>
        <v>-11.05934351</v>
      </c>
      <c r="K1037" s="30"/>
      <c r="L1037" s="30"/>
      <c r="M1037" s="30"/>
      <c r="N1037" s="30"/>
      <c r="O1037" s="30">
        <f>IFERROR(__xludf.DUMMYFUNCTION("""COMPUTED_VALUE"""),-2.630874715592867)</f>
        <v>-2.630874716</v>
      </c>
      <c r="P1037" s="30">
        <f>IFERROR(__xludf.DUMMYFUNCTION("""COMPUTED_VALUE"""),4.463999088063446)</f>
        <v>4.463999088</v>
      </c>
      <c r="Q1037" s="30"/>
      <c r="R1037" s="30"/>
      <c r="S1037" s="30"/>
      <c r="T1037" s="30"/>
      <c r="U1037" s="30">
        <v>0.0</v>
      </c>
      <c r="V1037" s="30"/>
      <c r="W1037" s="30"/>
      <c r="X1037" s="30"/>
      <c r="Y1037" s="5">
        <f>IFERROR(__xludf.DUMMYFUNCTION("""COMPUTED_VALUE"""),83.0)</f>
        <v>83</v>
      </c>
      <c r="Z1037" s="5">
        <f>IFERROR(__xludf.DUMMYFUNCTION("""COMPUTED_VALUE"""),86.0)</f>
        <v>86</v>
      </c>
    </row>
    <row r="1038">
      <c r="A1038" s="30" t="s">
        <v>3044</v>
      </c>
      <c r="B1038" s="30">
        <f>IFERROR(__xludf.DUMMYFUNCTION("""COMPUTED_VALUE"""),86.5)</f>
        <v>86.5</v>
      </c>
      <c r="C1038" s="30"/>
      <c r="D1038" s="30"/>
      <c r="E1038" s="30"/>
      <c r="F1038" s="30"/>
      <c r="G1038" s="30"/>
      <c r="H1038" s="30"/>
      <c r="I1038" s="30"/>
      <c r="J1038" s="30">
        <f>IFERROR(__xludf.DUMMYFUNCTION("""COMPUTED_VALUE"""),-11.059343513011441)</f>
        <v>-11.05934351</v>
      </c>
      <c r="K1038" s="30"/>
      <c r="L1038" s="30"/>
      <c r="M1038" s="30"/>
      <c r="N1038" s="30"/>
      <c r="O1038" s="30">
        <f>IFERROR(__xludf.DUMMYFUNCTION("""COMPUTED_VALUE"""),-2.630874715592867)</f>
        <v>-2.630874716</v>
      </c>
      <c r="P1038" s="30">
        <f>IFERROR(__xludf.DUMMYFUNCTION("""COMPUTED_VALUE"""),4.463999088063446)</f>
        <v>4.463999088</v>
      </c>
      <c r="Q1038" s="30"/>
      <c r="R1038" s="30"/>
      <c r="S1038" s="30"/>
      <c r="T1038" s="30"/>
      <c r="U1038" s="30">
        <v>0.0</v>
      </c>
      <c r="V1038" s="30"/>
      <c r="W1038" s="30"/>
      <c r="X1038" s="30"/>
      <c r="Y1038" s="5">
        <f>IFERROR(__xludf.DUMMYFUNCTION("""COMPUTED_VALUE"""),85.0)</f>
        <v>85</v>
      </c>
      <c r="Z1038" s="5">
        <f>IFERROR(__xludf.DUMMYFUNCTION("""COMPUTED_VALUE"""),88.0)</f>
        <v>88</v>
      </c>
    </row>
    <row r="1039">
      <c r="A1039" s="30" t="s">
        <v>3045</v>
      </c>
      <c r="B1039" s="30">
        <f>IFERROR(__xludf.DUMMYFUNCTION("""COMPUTED_VALUE"""),88.0)</f>
        <v>88</v>
      </c>
      <c r="C1039" s="30"/>
      <c r="D1039" s="30"/>
      <c r="E1039" s="30"/>
      <c r="F1039" s="30"/>
      <c r="G1039" s="30"/>
      <c r="H1039" s="30"/>
      <c r="I1039" s="30"/>
      <c r="J1039" s="30">
        <f>IFERROR(__xludf.DUMMYFUNCTION("""COMPUTED_VALUE"""),-11.059343513011441)</f>
        <v>-11.05934351</v>
      </c>
      <c r="K1039" s="30"/>
      <c r="L1039" s="30"/>
      <c r="M1039" s="30"/>
      <c r="N1039" s="30"/>
      <c r="O1039" s="30">
        <f>IFERROR(__xludf.DUMMYFUNCTION("""COMPUTED_VALUE"""),-2.630874715592867)</f>
        <v>-2.630874716</v>
      </c>
      <c r="P1039" s="30">
        <f>IFERROR(__xludf.DUMMYFUNCTION("""COMPUTED_VALUE"""),4.463999088063446)</f>
        <v>4.463999088</v>
      </c>
      <c r="Q1039" s="30"/>
      <c r="R1039" s="30"/>
      <c r="S1039" s="30"/>
      <c r="T1039" s="30"/>
      <c r="U1039" s="30">
        <v>0.0</v>
      </c>
      <c r="V1039" s="30"/>
      <c r="W1039" s="30"/>
      <c r="X1039" s="30"/>
      <c r="Y1039" s="5">
        <f>IFERROR(__xludf.DUMMYFUNCTION("""COMPUTED_VALUE"""),88.0)</f>
        <v>88</v>
      </c>
      <c r="Z1039" s="5">
        <f>IFERROR(__xludf.DUMMYFUNCTION("""COMPUTED_VALUE"""),88.0)</f>
        <v>88</v>
      </c>
    </row>
    <row r="1040">
      <c r="A1040" s="30" t="s">
        <v>3046</v>
      </c>
      <c r="B1040" s="30">
        <f>IFERROR(__xludf.DUMMYFUNCTION("""COMPUTED_VALUE"""),83.0)</f>
        <v>83</v>
      </c>
      <c r="C1040" s="30"/>
      <c r="D1040" s="30"/>
      <c r="E1040" s="30"/>
      <c r="F1040" s="30"/>
      <c r="G1040" s="30"/>
      <c r="H1040" s="30"/>
      <c r="I1040" s="30"/>
      <c r="J1040" s="30">
        <f>IFERROR(__xludf.DUMMYFUNCTION("""COMPUTED_VALUE"""),-11.059343513011441)</f>
        <v>-11.05934351</v>
      </c>
      <c r="K1040" s="30"/>
      <c r="L1040" s="30"/>
      <c r="M1040" s="30"/>
      <c r="N1040" s="30"/>
      <c r="O1040" s="30">
        <f>IFERROR(__xludf.DUMMYFUNCTION("""COMPUTED_VALUE"""),-2.630874715592867)</f>
        <v>-2.630874716</v>
      </c>
      <c r="P1040" s="30">
        <f>IFERROR(__xludf.DUMMYFUNCTION("""COMPUTED_VALUE"""),4.463999088063446)</f>
        <v>4.463999088</v>
      </c>
      <c r="Q1040" s="30"/>
      <c r="R1040" s="30"/>
      <c r="S1040" s="30"/>
      <c r="T1040" s="30"/>
      <c r="U1040" s="30">
        <v>0.0</v>
      </c>
      <c r="V1040" s="30"/>
      <c r="W1040" s="30"/>
      <c r="X1040" s="30"/>
      <c r="Y1040" s="5">
        <f>IFERROR(__xludf.DUMMYFUNCTION("""COMPUTED_VALUE"""),83.0)</f>
        <v>83</v>
      </c>
      <c r="Z1040" s="5">
        <f>IFERROR(__xludf.DUMMYFUNCTION("""COMPUTED_VALUE"""),83.0)</f>
        <v>83</v>
      </c>
    </row>
    <row r="1041">
      <c r="A1041" s="30" t="s">
        <v>2242</v>
      </c>
      <c r="B1041" s="30">
        <f>IFERROR(__xludf.DUMMYFUNCTION("""COMPUTED_VALUE"""),86.0)</f>
        <v>86</v>
      </c>
      <c r="C1041" s="30"/>
      <c r="D1041" s="30"/>
      <c r="E1041" s="30"/>
      <c r="F1041" s="30"/>
      <c r="G1041" s="30"/>
      <c r="H1041" s="30"/>
      <c r="I1041" s="30"/>
      <c r="J1041" s="30">
        <f>IFERROR(__xludf.DUMMYFUNCTION("""COMPUTED_VALUE"""),-11.059343513011441)</f>
        <v>-11.05934351</v>
      </c>
      <c r="K1041" s="30"/>
      <c r="L1041" s="30"/>
      <c r="M1041" s="30"/>
      <c r="N1041" s="30"/>
      <c r="O1041" s="30">
        <f>IFERROR(__xludf.DUMMYFUNCTION("""COMPUTED_VALUE"""),-2.630874715592867)</f>
        <v>-2.630874716</v>
      </c>
      <c r="P1041" s="30">
        <f>IFERROR(__xludf.DUMMYFUNCTION("""COMPUTED_VALUE"""),4.463999088063446)</f>
        <v>4.463999088</v>
      </c>
      <c r="Q1041" s="30"/>
      <c r="R1041" s="30"/>
      <c r="S1041" s="30"/>
      <c r="T1041" s="30"/>
      <c r="U1041" s="30">
        <v>0.0</v>
      </c>
      <c r="V1041" s="30"/>
      <c r="W1041" s="30"/>
      <c r="X1041" s="30"/>
      <c r="Y1041" s="5">
        <f>IFERROR(__xludf.DUMMYFUNCTION("""COMPUTED_VALUE"""),84.0)</f>
        <v>84</v>
      </c>
      <c r="Z1041" s="5">
        <f>IFERROR(__xludf.DUMMYFUNCTION("""COMPUTED_VALUE"""),88.0)</f>
        <v>88</v>
      </c>
    </row>
    <row r="1042">
      <c r="A1042" s="30" t="s">
        <v>3051</v>
      </c>
      <c r="B1042" s="30">
        <f>IFERROR(__xludf.DUMMYFUNCTION("""COMPUTED_VALUE"""),84.5)</f>
        <v>84.5</v>
      </c>
      <c r="C1042" s="30"/>
      <c r="D1042" s="30"/>
      <c r="E1042" s="30"/>
      <c r="F1042" s="30"/>
      <c r="G1042" s="30"/>
      <c r="H1042" s="30"/>
      <c r="I1042" s="30"/>
      <c r="J1042" s="30">
        <f>IFERROR(__xludf.DUMMYFUNCTION("""COMPUTED_VALUE"""),-11.059343513011441)</f>
        <v>-11.05934351</v>
      </c>
      <c r="K1042" s="30"/>
      <c r="L1042" s="30"/>
      <c r="M1042" s="30"/>
      <c r="N1042" s="30"/>
      <c r="O1042" s="30">
        <f>IFERROR(__xludf.DUMMYFUNCTION("""COMPUTED_VALUE"""),-2.630874715592867)</f>
        <v>-2.630874716</v>
      </c>
      <c r="P1042" s="30">
        <f>IFERROR(__xludf.DUMMYFUNCTION("""COMPUTED_VALUE"""),4.463999088063446)</f>
        <v>4.463999088</v>
      </c>
      <c r="Q1042" s="30"/>
      <c r="R1042" s="30"/>
      <c r="S1042" s="30"/>
      <c r="T1042" s="30"/>
      <c r="U1042" s="30">
        <v>0.0</v>
      </c>
      <c r="V1042" s="30"/>
      <c r="W1042" s="30"/>
      <c r="X1042" s="30"/>
      <c r="Y1042" s="5">
        <f>IFERROR(__xludf.DUMMYFUNCTION("""COMPUTED_VALUE"""),84.0)</f>
        <v>84</v>
      </c>
      <c r="Z1042" s="5">
        <f>IFERROR(__xludf.DUMMYFUNCTION("""COMPUTED_VALUE"""),85.0)</f>
        <v>85</v>
      </c>
    </row>
    <row r="1043">
      <c r="A1043" s="30" t="s">
        <v>3053</v>
      </c>
      <c r="B1043" s="30">
        <f>IFERROR(__xludf.DUMMYFUNCTION("""COMPUTED_VALUE"""),85.0)</f>
        <v>85</v>
      </c>
      <c r="C1043" s="30"/>
      <c r="D1043" s="30"/>
      <c r="E1043" s="30"/>
      <c r="F1043" s="30"/>
      <c r="G1043" s="30"/>
      <c r="H1043" s="30"/>
      <c r="I1043" s="30"/>
      <c r="J1043" s="30">
        <f>IFERROR(__xludf.DUMMYFUNCTION("""COMPUTED_VALUE"""),-11.059343513011441)</f>
        <v>-11.05934351</v>
      </c>
      <c r="K1043" s="30"/>
      <c r="L1043" s="30"/>
      <c r="M1043" s="30"/>
      <c r="N1043" s="30"/>
      <c r="O1043" s="30">
        <f>IFERROR(__xludf.DUMMYFUNCTION("""COMPUTED_VALUE"""),-2.630874715592867)</f>
        <v>-2.630874716</v>
      </c>
      <c r="P1043" s="30">
        <f>IFERROR(__xludf.DUMMYFUNCTION("""COMPUTED_VALUE"""),4.463999088063446)</f>
        <v>4.463999088</v>
      </c>
      <c r="Q1043" s="30"/>
      <c r="R1043" s="30"/>
      <c r="S1043" s="30"/>
      <c r="T1043" s="30"/>
      <c r="U1043" s="30">
        <v>0.0</v>
      </c>
      <c r="V1043" s="30"/>
      <c r="W1043" s="30"/>
      <c r="X1043" s="30"/>
      <c r="Y1043" s="5">
        <f>IFERROR(__xludf.DUMMYFUNCTION("""COMPUTED_VALUE"""),84.0)</f>
        <v>84</v>
      </c>
      <c r="Z1043" s="5">
        <f>IFERROR(__xludf.DUMMYFUNCTION("""COMPUTED_VALUE"""),86.0)</f>
        <v>86</v>
      </c>
    </row>
    <row r="1044">
      <c r="A1044" s="30" t="s">
        <v>2120</v>
      </c>
      <c r="B1044" s="30">
        <f>IFERROR(__xludf.DUMMYFUNCTION("""COMPUTED_VALUE"""),83.0)</f>
        <v>83</v>
      </c>
      <c r="C1044" s="30"/>
      <c r="D1044" s="30"/>
      <c r="E1044" s="30"/>
      <c r="F1044" s="30"/>
      <c r="G1044" s="30"/>
      <c r="H1044" s="30"/>
      <c r="I1044" s="30"/>
      <c r="J1044" s="30">
        <f>IFERROR(__xludf.DUMMYFUNCTION("""COMPUTED_VALUE"""),-11.059343513011441)</f>
        <v>-11.05934351</v>
      </c>
      <c r="K1044" s="30"/>
      <c r="L1044" s="30"/>
      <c r="M1044" s="30"/>
      <c r="N1044" s="30"/>
      <c r="O1044" s="30">
        <f>IFERROR(__xludf.DUMMYFUNCTION("""COMPUTED_VALUE"""),-2.630874715592867)</f>
        <v>-2.630874716</v>
      </c>
      <c r="P1044" s="30">
        <f>IFERROR(__xludf.DUMMYFUNCTION("""COMPUTED_VALUE"""),4.463999088063446)</f>
        <v>4.463999088</v>
      </c>
      <c r="Q1044" s="30"/>
      <c r="R1044" s="30"/>
      <c r="S1044" s="30"/>
      <c r="T1044" s="30"/>
      <c r="U1044" s="30">
        <v>0.0</v>
      </c>
      <c r="V1044" s="30"/>
      <c r="W1044" s="30"/>
      <c r="X1044" s="30"/>
      <c r="Y1044" s="5">
        <f>IFERROR(__xludf.DUMMYFUNCTION("""COMPUTED_VALUE"""),83.0)</f>
        <v>83</v>
      </c>
      <c r="Z1044" s="5">
        <f>IFERROR(__xludf.DUMMYFUNCTION("""COMPUTED_VALUE"""),83.0)</f>
        <v>83</v>
      </c>
    </row>
    <row r="1045">
      <c r="A1045" s="30" t="s">
        <v>2728</v>
      </c>
      <c r="B1045" s="30">
        <f>IFERROR(__xludf.DUMMYFUNCTION("""COMPUTED_VALUE"""),80.0)</f>
        <v>80</v>
      </c>
      <c r="C1045" s="30"/>
      <c r="D1045" s="30"/>
      <c r="E1045" s="30"/>
      <c r="F1045" s="30"/>
      <c r="G1045" s="30"/>
      <c r="H1045" s="30"/>
      <c r="I1045" s="30"/>
      <c r="J1045" s="30">
        <f>IFERROR(__xludf.DUMMYFUNCTION("""COMPUTED_VALUE"""),-11.059343513011441)</f>
        <v>-11.05934351</v>
      </c>
      <c r="K1045" s="30"/>
      <c r="L1045" s="30"/>
      <c r="M1045" s="30"/>
      <c r="N1045" s="30"/>
      <c r="O1045" s="30">
        <f>IFERROR(__xludf.DUMMYFUNCTION("""COMPUTED_VALUE"""),-2.630874715592867)</f>
        <v>-2.630874716</v>
      </c>
      <c r="P1045" s="30">
        <f>IFERROR(__xludf.DUMMYFUNCTION("""COMPUTED_VALUE"""),4.463999088063446)</f>
        <v>4.463999088</v>
      </c>
      <c r="Q1045" s="30"/>
      <c r="R1045" s="30"/>
      <c r="S1045" s="30"/>
      <c r="T1045" s="30"/>
      <c r="U1045" s="30">
        <v>0.0</v>
      </c>
      <c r="V1045" s="30"/>
      <c r="W1045" s="30"/>
      <c r="X1045" s="30"/>
      <c r="Y1045" s="5">
        <f>IFERROR(__xludf.DUMMYFUNCTION("""COMPUTED_VALUE"""),80.0)</f>
        <v>80</v>
      </c>
      <c r="Z1045" s="5">
        <f>IFERROR(__xludf.DUMMYFUNCTION("""COMPUTED_VALUE"""),80.0)</f>
        <v>80</v>
      </c>
    </row>
    <row r="1046">
      <c r="A1046" s="30" t="s">
        <v>3056</v>
      </c>
      <c r="B1046" s="30">
        <f>IFERROR(__xludf.DUMMYFUNCTION("""COMPUTED_VALUE"""),81.0)</f>
        <v>81</v>
      </c>
      <c r="C1046" s="30"/>
      <c r="D1046" s="30"/>
      <c r="E1046" s="30"/>
      <c r="F1046" s="30"/>
      <c r="G1046" s="30"/>
      <c r="H1046" s="30"/>
      <c r="I1046" s="30"/>
      <c r="J1046" s="30">
        <f>IFERROR(__xludf.DUMMYFUNCTION("""COMPUTED_VALUE"""),-11.059343513011441)</f>
        <v>-11.05934351</v>
      </c>
      <c r="K1046" s="30"/>
      <c r="L1046" s="30"/>
      <c r="M1046" s="30"/>
      <c r="N1046" s="30"/>
      <c r="O1046" s="30">
        <f>IFERROR(__xludf.DUMMYFUNCTION("""COMPUTED_VALUE"""),-2.630874715592867)</f>
        <v>-2.630874716</v>
      </c>
      <c r="P1046" s="30">
        <f>IFERROR(__xludf.DUMMYFUNCTION("""COMPUTED_VALUE"""),4.463999088063446)</f>
        <v>4.463999088</v>
      </c>
      <c r="Q1046" s="30"/>
      <c r="R1046" s="30"/>
      <c r="S1046" s="30"/>
      <c r="T1046" s="30"/>
      <c r="U1046" s="30">
        <v>0.0</v>
      </c>
      <c r="V1046" s="30"/>
      <c r="W1046" s="30"/>
      <c r="X1046" s="30"/>
      <c r="Y1046" s="5">
        <f>IFERROR(__xludf.DUMMYFUNCTION("""COMPUTED_VALUE"""),81.0)</f>
        <v>81</v>
      </c>
      <c r="Z1046" s="5">
        <f>IFERROR(__xludf.DUMMYFUNCTION("""COMPUTED_VALUE"""),81.0)</f>
        <v>81</v>
      </c>
    </row>
    <row r="1047">
      <c r="A1047" s="30" t="s">
        <v>3057</v>
      </c>
      <c r="B1047" s="30">
        <f>IFERROR(__xludf.DUMMYFUNCTION("""COMPUTED_VALUE"""),86.0)</f>
        <v>86</v>
      </c>
      <c r="C1047" s="30"/>
      <c r="D1047" s="30"/>
      <c r="E1047" s="30"/>
      <c r="F1047" s="30"/>
      <c r="G1047" s="30"/>
      <c r="H1047" s="30"/>
      <c r="I1047" s="30"/>
      <c r="J1047" s="30">
        <f>IFERROR(__xludf.DUMMYFUNCTION("""COMPUTED_VALUE"""),-11.059343513011441)</f>
        <v>-11.05934351</v>
      </c>
      <c r="K1047" s="30"/>
      <c r="L1047" s="30"/>
      <c r="M1047" s="30"/>
      <c r="N1047" s="30"/>
      <c r="O1047" s="30">
        <f>IFERROR(__xludf.DUMMYFUNCTION("""COMPUTED_VALUE"""),-2.630874715592867)</f>
        <v>-2.630874716</v>
      </c>
      <c r="P1047" s="30">
        <f>IFERROR(__xludf.DUMMYFUNCTION("""COMPUTED_VALUE"""),4.463999088063446)</f>
        <v>4.463999088</v>
      </c>
      <c r="Q1047" s="30"/>
      <c r="R1047" s="30"/>
      <c r="S1047" s="30"/>
      <c r="T1047" s="30"/>
      <c r="U1047" s="30">
        <v>0.0</v>
      </c>
      <c r="V1047" s="30"/>
      <c r="W1047" s="30"/>
      <c r="X1047" s="30"/>
      <c r="Y1047" s="5">
        <f>IFERROR(__xludf.DUMMYFUNCTION("""COMPUTED_VALUE"""),84.0)</f>
        <v>84</v>
      </c>
      <c r="Z1047" s="5">
        <f>IFERROR(__xludf.DUMMYFUNCTION("""COMPUTED_VALUE"""),88.0)</f>
        <v>88</v>
      </c>
    </row>
    <row r="1048">
      <c r="A1048" s="30" t="s">
        <v>2420</v>
      </c>
      <c r="B1048" s="30">
        <f>IFERROR(__xludf.DUMMYFUNCTION("""COMPUTED_VALUE"""),85.0)</f>
        <v>85</v>
      </c>
      <c r="C1048" s="30"/>
      <c r="D1048" s="30"/>
      <c r="E1048" s="30"/>
      <c r="F1048" s="30"/>
      <c r="G1048" s="30"/>
      <c r="H1048" s="30"/>
      <c r="I1048" s="30"/>
      <c r="J1048" s="30">
        <f>IFERROR(__xludf.DUMMYFUNCTION("""COMPUTED_VALUE"""),-11.059343513011441)</f>
        <v>-11.05934351</v>
      </c>
      <c r="K1048" s="30"/>
      <c r="L1048" s="30"/>
      <c r="M1048" s="30"/>
      <c r="N1048" s="30"/>
      <c r="O1048" s="30">
        <f>IFERROR(__xludf.DUMMYFUNCTION("""COMPUTED_VALUE"""),-2.630874715592867)</f>
        <v>-2.630874716</v>
      </c>
      <c r="P1048" s="30">
        <f>IFERROR(__xludf.DUMMYFUNCTION("""COMPUTED_VALUE"""),4.463999088063446)</f>
        <v>4.463999088</v>
      </c>
      <c r="Q1048" s="30"/>
      <c r="R1048" s="30"/>
      <c r="S1048" s="30"/>
      <c r="T1048" s="30"/>
      <c r="U1048" s="30">
        <v>0.0</v>
      </c>
      <c r="V1048" s="30"/>
      <c r="W1048" s="30"/>
      <c r="X1048" s="30"/>
      <c r="Y1048" s="5">
        <f>IFERROR(__xludf.DUMMYFUNCTION("""COMPUTED_VALUE"""),85.0)</f>
        <v>85</v>
      </c>
      <c r="Z1048" s="5">
        <f>IFERROR(__xludf.DUMMYFUNCTION("""COMPUTED_VALUE"""),85.0)</f>
        <v>85</v>
      </c>
    </row>
    <row r="1049">
      <c r="A1049" s="30" t="s">
        <v>3060</v>
      </c>
      <c r="B1049" s="30">
        <f>IFERROR(__xludf.DUMMYFUNCTION("""COMPUTED_VALUE"""),88.0)</f>
        <v>88</v>
      </c>
      <c r="C1049" s="30"/>
      <c r="D1049" s="30"/>
      <c r="E1049" s="30"/>
      <c r="F1049" s="30"/>
      <c r="G1049" s="30"/>
      <c r="H1049" s="30"/>
      <c r="I1049" s="30"/>
      <c r="J1049" s="30">
        <f>IFERROR(__xludf.DUMMYFUNCTION("""COMPUTED_VALUE"""),-11.059343513011441)</f>
        <v>-11.05934351</v>
      </c>
      <c r="K1049" s="30"/>
      <c r="L1049" s="30"/>
      <c r="M1049" s="30"/>
      <c r="N1049" s="30"/>
      <c r="O1049" s="30">
        <f>IFERROR(__xludf.DUMMYFUNCTION("""COMPUTED_VALUE"""),-2.630874715592867)</f>
        <v>-2.630874716</v>
      </c>
      <c r="P1049" s="30">
        <f>IFERROR(__xludf.DUMMYFUNCTION("""COMPUTED_VALUE"""),4.463999088063446)</f>
        <v>4.463999088</v>
      </c>
      <c r="Q1049" s="30"/>
      <c r="R1049" s="30"/>
      <c r="S1049" s="30"/>
      <c r="T1049" s="30"/>
      <c r="U1049" s="30">
        <v>0.0</v>
      </c>
      <c r="V1049" s="30"/>
      <c r="W1049" s="30"/>
      <c r="X1049" s="30"/>
      <c r="Y1049" s="5">
        <f>IFERROR(__xludf.DUMMYFUNCTION("""COMPUTED_VALUE"""),88.0)</f>
        <v>88</v>
      </c>
      <c r="Z1049" s="5">
        <f>IFERROR(__xludf.DUMMYFUNCTION("""COMPUTED_VALUE"""),88.0)</f>
        <v>88</v>
      </c>
    </row>
    <row r="1050">
      <c r="A1050" s="30" t="s">
        <v>3062</v>
      </c>
      <c r="B1050" s="30">
        <f>IFERROR(__xludf.DUMMYFUNCTION("""COMPUTED_VALUE"""),84.5)</f>
        <v>84.5</v>
      </c>
      <c r="C1050" s="30"/>
      <c r="D1050" s="30"/>
      <c r="E1050" s="30"/>
      <c r="F1050" s="30"/>
      <c r="G1050" s="30"/>
      <c r="H1050" s="30"/>
      <c r="I1050" s="30"/>
      <c r="J1050" s="30">
        <f>IFERROR(__xludf.DUMMYFUNCTION("""COMPUTED_VALUE"""),-11.059343513011441)</f>
        <v>-11.05934351</v>
      </c>
      <c r="K1050" s="30"/>
      <c r="L1050" s="30"/>
      <c r="M1050" s="30"/>
      <c r="N1050" s="30"/>
      <c r="O1050" s="30">
        <f>IFERROR(__xludf.DUMMYFUNCTION("""COMPUTED_VALUE"""),-2.630874715592867)</f>
        <v>-2.630874716</v>
      </c>
      <c r="P1050" s="30">
        <f>IFERROR(__xludf.DUMMYFUNCTION("""COMPUTED_VALUE"""),4.463999088063446)</f>
        <v>4.463999088</v>
      </c>
      <c r="Q1050" s="30"/>
      <c r="R1050" s="30"/>
      <c r="S1050" s="30"/>
      <c r="T1050" s="30"/>
      <c r="U1050" s="30">
        <v>0.0</v>
      </c>
      <c r="V1050" s="30"/>
      <c r="W1050" s="30"/>
      <c r="X1050" s="30"/>
      <c r="Y1050" s="5">
        <f>IFERROR(__xludf.DUMMYFUNCTION("""COMPUTED_VALUE"""),84.0)</f>
        <v>84</v>
      </c>
      <c r="Z1050" s="5">
        <f>IFERROR(__xludf.DUMMYFUNCTION("""COMPUTED_VALUE"""),85.0)</f>
        <v>85</v>
      </c>
    </row>
    <row r="1051">
      <c r="A1051" s="30" t="s">
        <v>2725</v>
      </c>
      <c r="B1051" s="30">
        <f>IFERROR(__xludf.DUMMYFUNCTION("""COMPUTED_VALUE"""),86.5)</f>
        <v>86.5</v>
      </c>
      <c r="C1051" s="30"/>
      <c r="D1051" s="30"/>
      <c r="E1051" s="30"/>
      <c r="F1051" s="30"/>
      <c r="G1051" s="30"/>
      <c r="H1051" s="30"/>
      <c r="I1051" s="30"/>
      <c r="J1051" s="30">
        <f>IFERROR(__xludf.DUMMYFUNCTION("""COMPUTED_VALUE"""),-11.059343513011441)</f>
        <v>-11.05934351</v>
      </c>
      <c r="K1051" s="30"/>
      <c r="L1051" s="30"/>
      <c r="M1051" s="30"/>
      <c r="N1051" s="30"/>
      <c r="O1051" s="30">
        <f>IFERROR(__xludf.DUMMYFUNCTION("""COMPUTED_VALUE"""),-2.630874715592867)</f>
        <v>-2.630874716</v>
      </c>
      <c r="P1051" s="30">
        <f>IFERROR(__xludf.DUMMYFUNCTION("""COMPUTED_VALUE"""),4.463999088063446)</f>
        <v>4.463999088</v>
      </c>
      <c r="Q1051" s="30"/>
      <c r="R1051" s="30"/>
      <c r="S1051" s="30"/>
      <c r="T1051" s="30"/>
      <c r="U1051" s="30">
        <v>0.0</v>
      </c>
      <c r="V1051" s="30"/>
      <c r="W1051" s="30"/>
      <c r="X1051" s="30"/>
      <c r="Y1051" s="5">
        <f>IFERROR(__xludf.DUMMYFUNCTION("""COMPUTED_VALUE"""),85.0)</f>
        <v>85</v>
      </c>
      <c r="Z1051" s="5">
        <f>IFERROR(__xludf.DUMMYFUNCTION("""COMPUTED_VALUE"""),88.0)</f>
        <v>88</v>
      </c>
    </row>
    <row r="1052">
      <c r="A1052" s="30" t="s">
        <v>1807</v>
      </c>
      <c r="B1052" s="30">
        <f>IFERROR(__xludf.DUMMYFUNCTION("""COMPUTED_VALUE"""),84.5)</f>
        <v>84.5</v>
      </c>
      <c r="C1052" s="30"/>
      <c r="D1052" s="30"/>
      <c r="E1052" s="30"/>
      <c r="F1052" s="30"/>
      <c r="G1052" s="30"/>
      <c r="H1052" s="30"/>
      <c r="I1052" s="30"/>
      <c r="J1052" s="30">
        <f>IFERROR(__xludf.DUMMYFUNCTION("""COMPUTED_VALUE"""),-11.059343513011441)</f>
        <v>-11.05934351</v>
      </c>
      <c r="K1052" s="30"/>
      <c r="L1052" s="30"/>
      <c r="M1052" s="30"/>
      <c r="N1052" s="30"/>
      <c r="O1052" s="30">
        <f>IFERROR(__xludf.DUMMYFUNCTION("""COMPUTED_VALUE"""),-2.630874715592867)</f>
        <v>-2.630874716</v>
      </c>
      <c r="P1052" s="30">
        <f>IFERROR(__xludf.DUMMYFUNCTION("""COMPUTED_VALUE"""),4.463999088063446)</f>
        <v>4.463999088</v>
      </c>
      <c r="Q1052" s="30"/>
      <c r="R1052" s="30"/>
      <c r="S1052" s="30"/>
      <c r="T1052" s="30"/>
      <c r="U1052" s="30">
        <v>0.0</v>
      </c>
      <c r="V1052" s="30"/>
      <c r="W1052" s="30"/>
      <c r="X1052" s="30"/>
      <c r="Y1052" s="5">
        <f>IFERROR(__xludf.DUMMYFUNCTION("""COMPUTED_VALUE"""),84.0)</f>
        <v>84</v>
      </c>
      <c r="Z1052" s="5">
        <f>IFERROR(__xludf.DUMMYFUNCTION("""COMPUTED_VALUE"""),85.0)</f>
        <v>85</v>
      </c>
    </row>
    <row r="1053">
      <c r="A1053" s="30" t="s">
        <v>3069</v>
      </c>
      <c r="B1053" s="30">
        <f>IFERROR(__xludf.DUMMYFUNCTION("""COMPUTED_VALUE"""),81.0)</f>
        <v>81</v>
      </c>
      <c r="C1053" s="30"/>
      <c r="D1053" s="30"/>
      <c r="E1053" s="30"/>
      <c r="F1053" s="30"/>
      <c r="G1053" s="30"/>
      <c r="H1053" s="30"/>
      <c r="I1053" s="30"/>
      <c r="J1053" s="30">
        <f>IFERROR(__xludf.DUMMYFUNCTION("""COMPUTED_VALUE"""),-11.059343513011441)</f>
        <v>-11.05934351</v>
      </c>
      <c r="K1053" s="30"/>
      <c r="L1053" s="30"/>
      <c r="M1053" s="30"/>
      <c r="N1053" s="30"/>
      <c r="O1053" s="30">
        <f>IFERROR(__xludf.DUMMYFUNCTION("""COMPUTED_VALUE"""),-2.630874715592867)</f>
        <v>-2.630874716</v>
      </c>
      <c r="P1053" s="30">
        <f>IFERROR(__xludf.DUMMYFUNCTION("""COMPUTED_VALUE"""),4.463999088063446)</f>
        <v>4.463999088</v>
      </c>
      <c r="Q1053" s="30"/>
      <c r="R1053" s="30"/>
      <c r="S1053" s="30"/>
      <c r="T1053" s="30"/>
      <c r="U1053" s="30">
        <v>0.0</v>
      </c>
      <c r="V1053" s="30"/>
      <c r="W1053" s="30"/>
      <c r="X1053" s="30"/>
      <c r="Y1053" s="5">
        <f>IFERROR(__xludf.DUMMYFUNCTION("""COMPUTED_VALUE"""),81.0)</f>
        <v>81</v>
      </c>
      <c r="Z1053" s="5">
        <f>IFERROR(__xludf.DUMMYFUNCTION("""COMPUTED_VALUE"""),81.0)</f>
        <v>81</v>
      </c>
    </row>
    <row r="1054">
      <c r="A1054" s="30" t="s">
        <v>3070</v>
      </c>
      <c r="B1054" s="30">
        <f>IFERROR(__xludf.DUMMYFUNCTION("""COMPUTED_VALUE"""),85.0)</f>
        <v>85</v>
      </c>
      <c r="C1054" s="30"/>
      <c r="D1054" s="30"/>
      <c r="E1054" s="30"/>
      <c r="F1054" s="30"/>
      <c r="G1054" s="30"/>
      <c r="H1054" s="30"/>
      <c r="I1054" s="30"/>
      <c r="J1054" s="30">
        <f>IFERROR(__xludf.DUMMYFUNCTION("""COMPUTED_VALUE"""),-11.059343513011441)</f>
        <v>-11.05934351</v>
      </c>
      <c r="K1054" s="30"/>
      <c r="L1054" s="30"/>
      <c r="M1054" s="30"/>
      <c r="N1054" s="30"/>
      <c r="O1054" s="30">
        <f>IFERROR(__xludf.DUMMYFUNCTION("""COMPUTED_VALUE"""),-2.630874715592867)</f>
        <v>-2.630874716</v>
      </c>
      <c r="P1054" s="30">
        <f>IFERROR(__xludf.DUMMYFUNCTION("""COMPUTED_VALUE"""),4.463999088063446)</f>
        <v>4.463999088</v>
      </c>
      <c r="Q1054" s="30"/>
      <c r="R1054" s="30"/>
      <c r="S1054" s="30"/>
      <c r="T1054" s="30"/>
      <c r="U1054" s="30">
        <v>0.0</v>
      </c>
      <c r="V1054" s="30"/>
      <c r="W1054" s="30"/>
      <c r="X1054" s="30"/>
      <c r="Y1054" s="5">
        <f>IFERROR(__xludf.DUMMYFUNCTION("""COMPUTED_VALUE"""),84.0)</f>
        <v>84</v>
      </c>
      <c r="Z1054" s="5">
        <f>IFERROR(__xludf.DUMMYFUNCTION("""COMPUTED_VALUE"""),86.0)</f>
        <v>86</v>
      </c>
    </row>
    <row r="1055">
      <c r="A1055" s="30" t="s">
        <v>1335</v>
      </c>
      <c r="B1055" s="30">
        <f>IFERROR(__xludf.DUMMYFUNCTION("""COMPUTED_VALUE"""),85.5)</f>
        <v>85.5</v>
      </c>
      <c r="C1055" s="30"/>
      <c r="D1055" s="30"/>
      <c r="E1055" s="30"/>
      <c r="F1055" s="30"/>
      <c r="G1055" s="30"/>
      <c r="H1055" s="30"/>
      <c r="I1055" s="30"/>
      <c r="J1055" s="30">
        <f>IFERROR(__xludf.DUMMYFUNCTION("""COMPUTED_VALUE"""),-11.059343513011441)</f>
        <v>-11.05934351</v>
      </c>
      <c r="K1055" s="30"/>
      <c r="L1055" s="30"/>
      <c r="M1055" s="30"/>
      <c r="N1055" s="30"/>
      <c r="O1055" s="30">
        <f>IFERROR(__xludf.DUMMYFUNCTION("""COMPUTED_VALUE"""),-2.630874715592867)</f>
        <v>-2.630874716</v>
      </c>
      <c r="P1055" s="30">
        <f>IFERROR(__xludf.DUMMYFUNCTION("""COMPUTED_VALUE"""),4.463999088063446)</f>
        <v>4.463999088</v>
      </c>
      <c r="Q1055" s="30"/>
      <c r="R1055" s="30"/>
      <c r="S1055" s="30"/>
      <c r="T1055" s="30"/>
      <c r="U1055" s="30">
        <v>0.0</v>
      </c>
      <c r="V1055" s="30"/>
      <c r="W1055" s="30"/>
      <c r="X1055" s="30"/>
      <c r="Y1055" s="5">
        <f>IFERROR(__xludf.DUMMYFUNCTION("""COMPUTED_VALUE"""),83.0)</f>
        <v>83</v>
      </c>
      <c r="Z1055" s="5">
        <f>IFERROR(__xludf.DUMMYFUNCTION("""COMPUTED_VALUE"""),88.0)</f>
        <v>88</v>
      </c>
    </row>
    <row r="1056">
      <c r="A1056" s="30" t="s">
        <v>2607</v>
      </c>
      <c r="B1056" s="30">
        <f>IFERROR(__xludf.DUMMYFUNCTION("""COMPUTED_VALUE"""),81.0)</f>
        <v>81</v>
      </c>
      <c r="C1056" s="30"/>
      <c r="D1056" s="30"/>
      <c r="E1056" s="30"/>
      <c r="F1056" s="30"/>
      <c r="G1056" s="30"/>
      <c r="H1056" s="30"/>
      <c r="I1056" s="30"/>
      <c r="J1056" s="30">
        <f>IFERROR(__xludf.DUMMYFUNCTION("""COMPUTED_VALUE"""),-11.059343513011441)</f>
        <v>-11.05934351</v>
      </c>
      <c r="K1056" s="30"/>
      <c r="L1056" s="30"/>
      <c r="M1056" s="30"/>
      <c r="N1056" s="30"/>
      <c r="O1056" s="30">
        <f>IFERROR(__xludf.DUMMYFUNCTION("""COMPUTED_VALUE"""),-2.630874715592867)</f>
        <v>-2.630874716</v>
      </c>
      <c r="P1056" s="30">
        <f>IFERROR(__xludf.DUMMYFUNCTION("""COMPUTED_VALUE"""),4.463999088063446)</f>
        <v>4.463999088</v>
      </c>
      <c r="Q1056" s="30"/>
      <c r="R1056" s="30"/>
      <c r="S1056" s="30"/>
      <c r="T1056" s="30"/>
      <c r="U1056" s="30">
        <v>0.0</v>
      </c>
      <c r="V1056" s="30"/>
      <c r="W1056" s="30"/>
      <c r="X1056" s="30"/>
      <c r="Y1056" s="5">
        <f>IFERROR(__xludf.DUMMYFUNCTION("""COMPUTED_VALUE"""),81.0)</f>
        <v>81</v>
      </c>
      <c r="Z1056" s="5">
        <f>IFERROR(__xludf.DUMMYFUNCTION("""COMPUTED_VALUE"""),81.0)</f>
        <v>81</v>
      </c>
    </row>
    <row r="1057">
      <c r="A1057" s="30" t="s">
        <v>3077</v>
      </c>
      <c r="B1057" s="30">
        <f>IFERROR(__xludf.DUMMYFUNCTION("""COMPUTED_VALUE"""),82.0)</f>
        <v>82</v>
      </c>
      <c r="C1057" s="30"/>
      <c r="D1057" s="30"/>
      <c r="E1057" s="30"/>
      <c r="F1057" s="30"/>
      <c r="G1057" s="30"/>
      <c r="H1057" s="30"/>
      <c r="I1057" s="30"/>
      <c r="J1057" s="30">
        <f>IFERROR(__xludf.DUMMYFUNCTION("""COMPUTED_VALUE"""),-11.059343513011441)</f>
        <v>-11.05934351</v>
      </c>
      <c r="K1057" s="30"/>
      <c r="L1057" s="30"/>
      <c r="M1057" s="30"/>
      <c r="N1057" s="30"/>
      <c r="O1057" s="30">
        <f>IFERROR(__xludf.DUMMYFUNCTION("""COMPUTED_VALUE"""),-2.630874715592867)</f>
        <v>-2.630874716</v>
      </c>
      <c r="P1057" s="30">
        <f>IFERROR(__xludf.DUMMYFUNCTION("""COMPUTED_VALUE"""),4.463999088063446)</f>
        <v>4.463999088</v>
      </c>
      <c r="Q1057" s="30"/>
      <c r="R1057" s="30"/>
      <c r="S1057" s="30"/>
      <c r="T1057" s="30"/>
      <c r="U1057" s="30">
        <v>0.0</v>
      </c>
      <c r="V1057" s="30"/>
      <c r="W1057" s="30"/>
      <c r="X1057" s="30"/>
      <c r="Y1057" s="5">
        <f>IFERROR(__xludf.DUMMYFUNCTION("""COMPUTED_VALUE"""),82.0)</f>
        <v>82</v>
      </c>
      <c r="Z1057" s="5">
        <f>IFERROR(__xludf.DUMMYFUNCTION("""COMPUTED_VALUE"""),82.0)</f>
        <v>82</v>
      </c>
    </row>
    <row r="1058">
      <c r="A1058" s="30" t="s">
        <v>3079</v>
      </c>
      <c r="B1058" s="30">
        <f>IFERROR(__xludf.DUMMYFUNCTION("""COMPUTED_VALUE"""),84.0)</f>
        <v>84</v>
      </c>
      <c r="C1058" s="30"/>
      <c r="D1058" s="30"/>
      <c r="E1058" s="30"/>
      <c r="F1058" s="30"/>
      <c r="G1058" s="30"/>
      <c r="H1058" s="30"/>
      <c r="I1058" s="30"/>
      <c r="J1058" s="30">
        <f>IFERROR(__xludf.DUMMYFUNCTION("""COMPUTED_VALUE"""),-11.059343513011441)</f>
        <v>-11.05934351</v>
      </c>
      <c r="K1058" s="30"/>
      <c r="L1058" s="30"/>
      <c r="M1058" s="30"/>
      <c r="N1058" s="30"/>
      <c r="O1058" s="30">
        <f>IFERROR(__xludf.DUMMYFUNCTION("""COMPUTED_VALUE"""),-2.630874715592867)</f>
        <v>-2.630874716</v>
      </c>
      <c r="P1058" s="30">
        <f>IFERROR(__xludf.DUMMYFUNCTION("""COMPUTED_VALUE"""),4.463999088063446)</f>
        <v>4.463999088</v>
      </c>
      <c r="Q1058" s="30"/>
      <c r="R1058" s="30"/>
      <c r="S1058" s="30"/>
      <c r="T1058" s="30"/>
      <c r="U1058" s="30">
        <v>0.0</v>
      </c>
      <c r="V1058" s="30"/>
      <c r="W1058" s="30"/>
      <c r="X1058" s="30"/>
      <c r="Y1058" s="5">
        <f>IFERROR(__xludf.DUMMYFUNCTION("""COMPUTED_VALUE"""),84.0)</f>
        <v>84</v>
      </c>
      <c r="Z1058" s="5">
        <f>IFERROR(__xludf.DUMMYFUNCTION("""COMPUTED_VALUE"""),84.0)</f>
        <v>84</v>
      </c>
    </row>
    <row r="1059">
      <c r="A1059" s="30" t="s">
        <v>2193</v>
      </c>
      <c r="B1059" s="30">
        <f>IFERROR(__xludf.DUMMYFUNCTION("""COMPUTED_VALUE"""),82.0)</f>
        <v>82</v>
      </c>
      <c r="C1059" s="30"/>
      <c r="D1059" s="30"/>
      <c r="E1059" s="30"/>
      <c r="F1059" s="30"/>
      <c r="G1059" s="30"/>
      <c r="H1059" s="30"/>
      <c r="I1059" s="30"/>
      <c r="J1059" s="30">
        <f>IFERROR(__xludf.DUMMYFUNCTION("""COMPUTED_VALUE"""),-11.059343513011441)</f>
        <v>-11.05934351</v>
      </c>
      <c r="K1059" s="30"/>
      <c r="L1059" s="30"/>
      <c r="M1059" s="30"/>
      <c r="N1059" s="30"/>
      <c r="O1059" s="30">
        <f>IFERROR(__xludf.DUMMYFUNCTION("""COMPUTED_VALUE"""),-2.630874715592867)</f>
        <v>-2.630874716</v>
      </c>
      <c r="P1059" s="30">
        <f>IFERROR(__xludf.DUMMYFUNCTION("""COMPUTED_VALUE"""),4.463999088063446)</f>
        <v>4.463999088</v>
      </c>
      <c r="Q1059" s="30"/>
      <c r="R1059" s="30"/>
      <c r="S1059" s="30"/>
      <c r="T1059" s="30"/>
      <c r="U1059" s="30">
        <v>0.0</v>
      </c>
      <c r="V1059" s="30"/>
      <c r="W1059" s="30"/>
      <c r="X1059" s="30"/>
      <c r="Y1059" s="5">
        <f>IFERROR(__xludf.DUMMYFUNCTION("""COMPUTED_VALUE"""),82.0)</f>
        <v>82</v>
      </c>
      <c r="Z1059" s="5">
        <f>IFERROR(__xludf.DUMMYFUNCTION("""COMPUTED_VALUE"""),82.0)</f>
        <v>82</v>
      </c>
    </row>
    <row r="1060">
      <c r="A1060" s="30" t="s">
        <v>736</v>
      </c>
      <c r="B1060" s="30">
        <f>IFERROR(__xludf.DUMMYFUNCTION("""COMPUTED_VALUE"""),80.0)</f>
        <v>80</v>
      </c>
      <c r="C1060" s="30"/>
      <c r="D1060" s="30"/>
      <c r="E1060" s="30"/>
      <c r="F1060" s="30"/>
      <c r="G1060" s="30"/>
      <c r="H1060" s="30"/>
      <c r="I1060" s="30"/>
      <c r="J1060" s="30">
        <f>IFERROR(__xludf.DUMMYFUNCTION("""COMPUTED_VALUE"""),-11.059343513011441)</f>
        <v>-11.05934351</v>
      </c>
      <c r="K1060" s="30"/>
      <c r="L1060" s="30"/>
      <c r="M1060" s="30"/>
      <c r="N1060" s="30"/>
      <c r="O1060" s="30">
        <f>IFERROR(__xludf.DUMMYFUNCTION("""COMPUTED_VALUE"""),-2.630874715592867)</f>
        <v>-2.630874716</v>
      </c>
      <c r="P1060" s="30">
        <f>IFERROR(__xludf.DUMMYFUNCTION("""COMPUTED_VALUE"""),4.463999088063446)</f>
        <v>4.463999088</v>
      </c>
      <c r="Q1060" s="30"/>
      <c r="R1060" s="30"/>
      <c r="S1060" s="30"/>
      <c r="T1060" s="30"/>
      <c r="U1060" s="30">
        <v>0.0</v>
      </c>
      <c r="V1060" s="30"/>
      <c r="W1060" s="30"/>
      <c r="X1060" s="30"/>
      <c r="Y1060" s="5">
        <f>IFERROR(__xludf.DUMMYFUNCTION("""COMPUTED_VALUE"""),80.0)</f>
        <v>80</v>
      </c>
      <c r="Z1060" s="5">
        <f>IFERROR(__xludf.DUMMYFUNCTION("""COMPUTED_VALUE"""),80.0)</f>
        <v>80</v>
      </c>
    </row>
    <row r="1061">
      <c r="A1061" s="30" t="s">
        <v>3080</v>
      </c>
      <c r="B1061" s="30">
        <f>IFERROR(__xludf.DUMMYFUNCTION("""COMPUTED_VALUE"""),82.0)</f>
        <v>82</v>
      </c>
      <c r="C1061" s="30"/>
      <c r="D1061" s="30"/>
      <c r="E1061" s="30"/>
      <c r="F1061" s="30"/>
      <c r="G1061" s="30"/>
      <c r="H1061" s="30"/>
      <c r="I1061" s="30"/>
      <c r="J1061" s="30">
        <f>IFERROR(__xludf.DUMMYFUNCTION("""COMPUTED_VALUE"""),-11.059343513011441)</f>
        <v>-11.05934351</v>
      </c>
      <c r="K1061" s="30"/>
      <c r="L1061" s="30"/>
      <c r="M1061" s="30"/>
      <c r="N1061" s="30"/>
      <c r="O1061" s="30">
        <f>IFERROR(__xludf.DUMMYFUNCTION("""COMPUTED_VALUE"""),-2.630874715592867)</f>
        <v>-2.630874716</v>
      </c>
      <c r="P1061" s="30">
        <f>IFERROR(__xludf.DUMMYFUNCTION("""COMPUTED_VALUE"""),4.463999088063446)</f>
        <v>4.463999088</v>
      </c>
      <c r="Q1061" s="30"/>
      <c r="R1061" s="30"/>
      <c r="S1061" s="30"/>
      <c r="T1061" s="30"/>
      <c r="U1061" s="30">
        <v>0.0</v>
      </c>
      <c r="V1061" s="30"/>
      <c r="W1061" s="30"/>
      <c r="X1061" s="30"/>
      <c r="Y1061" s="5">
        <f>IFERROR(__xludf.DUMMYFUNCTION("""COMPUTED_VALUE"""),82.0)</f>
        <v>82</v>
      </c>
      <c r="Z1061" s="5">
        <f>IFERROR(__xludf.DUMMYFUNCTION("""COMPUTED_VALUE"""),82.0)</f>
        <v>82</v>
      </c>
    </row>
    <row r="1062">
      <c r="A1062" s="30" t="s">
        <v>49</v>
      </c>
      <c r="B1062" s="30">
        <f>IFERROR(__xludf.DUMMYFUNCTION("""COMPUTED_VALUE"""),83.0)</f>
        <v>83</v>
      </c>
      <c r="C1062" s="30"/>
      <c r="D1062" s="30"/>
      <c r="E1062" s="30"/>
      <c r="F1062" s="30"/>
      <c r="G1062" s="30"/>
      <c r="H1062" s="30"/>
      <c r="I1062" s="30"/>
      <c r="J1062" s="30">
        <f>IFERROR(__xludf.DUMMYFUNCTION("""COMPUTED_VALUE"""),-11.059343513011441)</f>
        <v>-11.05934351</v>
      </c>
      <c r="K1062" s="30"/>
      <c r="L1062" s="30"/>
      <c r="M1062" s="30"/>
      <c r="N1062" s="30"/>
      <c r="O1062" s="30">
        <f>IFERROR(__xludf.DUMMYFUNCTION("""COMPUTED_VALUE"""),-2.630874715592867)</f>
        <v>-2.630874716</v>
      </c>
      <c r="P1062" s="30">
        <f>IFERROR(__xludf.DUMMYFUNCTION("""COMPUTED_VALUE"""),4.463999088063446)</f>
        <v>4.463999088</v>
      </c>
      <c r="Q1062" s="30"/>
      <c r="R1062" s="30"/>
      <c r="S1062" s="30"/>
      <c r="T1062" s="30"/>
      <c r="U1062" s="30">
        <v>0.0</v>
      </c>
      <c r="V1062" s="30"/>
      <c r="W1062" s="30"/>
      <c r="X1062" s="30"/>
      <c r="Y1062" s="5">
        <f>IFERROR(__xludf.DUMMYFUNCTION("""COMPUTED_VALUE"""),83.0)</f>
        <v>83</v>
      </c>
      <c r="Z1062" s="5">
        <f>IFERROR(__xludf.DUMMYFUNCTION("""COMPUTED_VALUE"""),83.0)</f>
        <v>83</v>
      </c>
    </row>
    <row r="1063">
      <c r="A1063" s="30" t="s">
        <v>2688</v>
      </c>
      <c r="B1063" s="30">
        <f>IFERROR(__xludf.DUMMYFUNCTION("""COMPUTED_VALUE"""),86.0)</f>
        <v>86</v>
      </c>
      <c r="C1063" s="30"/>
      <c r="D1063" s="30"/>
      <c r="E1063" s="30"/>
      <c r="F1063" s="30"/>
      <c r="G1063" s="30"/>
      <c r="H1063" s="30"/>
      <c r="I1063" s="30"/>
      <c r="J1063" s="30">
        <f>IFERROR(__xludf.DUMMYFUNCTION("""COMPUTED_VALUE"""),-11.059343513011441)</f>
        <v>-11.05934351</v>
      </c>
      <c r="K1063" s="30"/>
      <c r="L1063" s="30"/>
      <c r="M1063" s="30"/>
      <c r="N1063" s="30"/>
      <c r="O1063" s="30">
        <f>IFERROR(__xludf.DUMMYFUNCTION("""COMPUTED_VALUE"""),-2.630874715592867)</f>
        <v>-2.630874716</v>
      </c>
      <c r="P1063" s="30">
        <f>IFERROR(__xludf.DUMMYFUNCTION("""COMPUTED_VALUE"""),4.463999088063446)</f>
        <v>4.463999088</v>
      </c>
      <c r="Q1063" s="30"/>
      <c r="R1063" s="30"/>
      <c r="S1063" s="30"/>
      <c r="T1063" s="30"/>
      <c r="U1063" s="30">
        <v>0.0</v>
      </c>
      <c r="V1063" s="30"/>
      <c r="W1063" s="30"/>
      <c r="X1063" s="30"/>
      <c r="Y1063" s="5">
        <f>IFERROR(__xludf.DUMMYFUNCTION("""COMPUTED_VALUE"""),84.0)</f>
        <v>84</v>
      </c>
      <c r="Z1063" s="5">
        <f>IFERROR(__xludf.DUMMYFUNCTION("""COMPUTED_VALUE"""),88.0)</f>
        <v>88</v>
      </c>
    </row>
    <row r="1064">
      <c r="A1064" s="30" t="s">
        <v>3084</v>
      </c>
      <c r="B1064" s="30">
        <f>IFERROR(__xludf.DUMMYFUNCTION("""COMPUTED_VALUE"""),85.0)</f>
        <v>85</v>
      </c>
      <c r="C1064" s="30"/>
      <c r="D1064" s="30"/>
      <c r="E1064" s="30"/>
      <c r="F1064" s="30"/>
      <c r="G1064" s="30"/>
      <c r="H1064" s="30"/>
      <c r="I1064" s="30"/>
      <c r="J1064" s="30">
        <f>IFERROR(__xludf.DUMMYFUNCTION("""COMPUTED_VALUE"""),-11.059343513011441)</f>
        <v>-11.05934351</v>
      </c>
      <c r="K1064" s="30"/>
      <c r="L1064" s="30"/>
      <c r="M1064" s="30"/>
      <c r="N1064" s="30"/>
      <c r="O1064" s="30">
        <f>IFERROR(__xludf.DUMMYFUNCTION("""COMPUTED_VALUE"""),-2.630874715592867)</f>
        <v>-2.630874716</v>
      </c>
      <c r="P1064" s="30">
        <f>IFERROR(__xludf.DUMMYFUNCTION("""COMPUTED_VALUE"""),4.463999088063446)</f>
        <v>4.463999088</v>
      </c>
      <c r="Q1064" s="30"/>
      <c r="R1064" s="30"/>
      <c r="S1064" s="30"/>
      <c r="T1064" s="30"/>
      <c r="U1064" s="30">
        <v>0.0</v>
      </c>
      <c r="V1064" s="30"/>
      <c r="W1064" s="30"/>
      <c r="X1064" s="30"/>
      <c r="Y1064" s="5">
        <f>IFERROR(__xludf.DUMMYFUNCTION("""COMPUTED_VALUE"""),83.0)</f>
        <v>83</v>
      </c>
      <c r="Z1064" s="5">
        <f>IFERROR(__xludf.DUMMYFUNCTION("""COMPUTED_VALUE"""),87.0)</f>
        <v>87</v>
      </c>
    </row>
    <row r="1065">
      <c r="A1065" s="30" t="s">
        <v>3089</v>
      </c>
      <c r="B1065" s="30">
        <f>IFERROR(__xludf.DUMMYFUNCTION("""COMPUTED_VALUE"""),84.0)</f>
        <v>84</v>
      </c>
      <c r="C1065" s="30"/>
      <c r="D1065" s="30"/>
      <c r="E1065" s="30"/>
      <c r="F1065" s="30"/>
      <c r="G1065" s="30"/>
      <c r="H1065" s="30"/>
      <c r="I1065" s="30"/>
      <c r="J1065" s="30">
        <f>IFERROR(__xludf.DUMMYFUNCTION("""COMPUTED_VALUE"""),-11.059343513011441)</f>
        <v>-11.05934351</v>
      </c>
      <c r="K1065" s="30"/>
      <c r="L1065" s="30"/>
      <c r="M1065" s="30"/>
      <c r="N1065" s="30"/>
      <c r="O1065" s="30">
        <f>IFERROR(__xludf.DUMMYFUNCTION("""COMPUTED_VALUE"""),-2.630874715592867)</f>
        <v>-2.630874716</v>
      </c>
      <c r="P1065" s="30">
        <f>IFERROR(__xludf.DUMMYFUNCTION("""COMPUTED_VALUE"""),4.463999088063446)</f>
        <v>4.463999088</v>
      </c>
      <c r="Q1065" s="30"/>
      <c r="R1065" s="30"/>
      <c r="S1065" s="30"/>
      <c r="T1065" s="30"/>
      <c r="U1065" s="30">
        <v>0.0</v>
      </c>
      <c r="V1065" s="30"/>
      <c r="W1065" s="30"/>
      <c r="X1065" s="30"/>
      <c r="Y1065" s="5">
        <f>IFERROR(__xludf.DUMMYFUNCTION("""COMPUTED_VALUE"""),84.0)</f>
        <v>84</v>
      </c>
      <c r="Z1065" s="5">
        <f>IFERROR(__xludf.DUMMYFUNCTION("""COMPUTED_VALUE"""),84.0)</f>
        <v>84</v>
      </c>
    </row>
    <row r="1066">
      <c r="A1066" s="30" t="s">
        <v>3090</v>
      </c>
      <c r="B1066" s="30">
        <f>IFERROR(__xludf.DUMMYFUNCTION("""COMPUTED_VALUE"""),86.5)</f>
        <v>86.5</v>
      </c>
      <c r="C1066" s="30"/>
      <c r="D1066" s="30"/>
      <c r="E1066" s="30"/>
      <c r="F1066" s="30"/>
      <c r="G1066" s="30"/>
      <c r="H1066" s="30"/>
      <c r="I1066" s="30"/>
      <c r="J1066" s="30">
        <f>IFERROR(__xludf.DUMMYFUNCTION("""COMPUTED_VALUE"""),-11.059343513011441)</f>
        <v>-11.05934351</v>
      </c>
      <c r="K1066" s="30"/>
      <c r="L1066" s="30"/>
      <c r="M1066" s="30"/>
      <c r="N1066" s="30"/>
      <c r="O1066" s="30">
        <f>IFERROR(__xludf.DUMMYFUNCTION("""COMPUTED_VALUE"""),-2.630874715592867)</f>
        <v>-2.630874716</v>
      </c>
      <c r="P1066" s="30">
        <f>IFERROR(__xludf.DUMMYFUNCTION("""COMPUTED_VALUE"""),4.463999088063446)</f>
        <v>4.463999088</v>
      </c>
      <c r="Q1066" s="30"/>
      <c r="R1066" s="30"/>
      <c r="S1066" s="30"/>
      <c r="T1066" s="30"/>
      <c r="U1066" s="30">
        <v>0.0</v>
      </c>
      <c r="V1066" s="30"/>
      <c r="W1066" s="30"/>
      <c r="X1066" s="30"/>
      <c r="Y1066" s="5">
        <f>IFERROR(__xludf.DUMMYFUNCTION("""COMPUTED_VALUE"""),85.0)</f>
        <v>85</v>
      </c>
      <c r="Z1066" s="5">
        <f>IFERROR(__xludf.DUMMYFUNCTION("""COMPUTED_VALUE"""),88.0)</f>
        <v>88</v>
      </c>
    </row>
    <row r="1067">
      <c r="A1067" s="30" t="s">
        <v>2659</v>
      </c>
      <c r="B1067" s="30">
        <f>IFERROR(__xludf.DUMMYFUNCTION("""COMPUTED_VALUE"""),85.5)</f>
        <v>85.5</v>
      </c>
      <c r="C1067" s="30"/>
      <c r="D1067" s="30"/>
      <c r="E1067" s="30"/>
      <c r="F1067" s="30"/>
      <c r="G1067" s="30"/>
      <c r="H1067" s="30"/>
      <c r="I1067" s="30"/>
      <c r="J1067" s="30">
        <f>IFERROR(__xludf.DUMMYFUNCTION("""COMPUTED_VALUE"""),-11.059343513011441)</f>
        <v>-11.05934351</v>
      </c>
      <c r="K1067" s="30"/>
      <c r="L1067" s="30"/>
      <c r="M1067" s="30"/>
      <c r="N1067" s="30"/>
      <c r="O1067" s="30">
        <f>IFERROR(__xludf.DUMMYFUNCTION("""COMPUTED_VALUE"""),-2.630874715592867)</f>
        <v>-2.630874716</v>
      </c>
      <c r="P1067" s="30">
        <f>IFERROR(__xludf.DUMMYFUNCTION("""COMPUTED_VALUE"""),4.463999088063446)</f>
        <v>4.463999088</v>
      </c>
      <c r="Q1067" s="30"/>
      <c r="R1067" s="30"/>
      <c r="S1067" s="30"/>
      <c r="T1067" s="30"/>
      <c r="U1067" s="30">
        <v>0.0</v>
      </c>
      <c r="V1067" s="30"/>
      <c r="W1067" s="30"/>
      <c r="X1067" s="30"/>
      <c r="Y1067" s="5">
        <f>IFERROR(__xludf.DUMMYFUNCTION("""COMPUTED_VALUE"""),83.0)</f>
        <v>83</v>
      </c>
      <c r="Z1067" s="5">
        <f>IFERROR(__xludf.DUMMYFUNCTION("""COMPUTED_VALUE"""),88.0)</f>
        <v>88</v>
      </c>
    </row>
    <row r="1068">
      <c r="A1068" s="30" t="s">
        <v>2291</v>
      </c>
      <c r="B1068" s="30">
        <f>IFERROR(__xludf.DUMMYFUNCTION("""COMPUTED_VALUE"""),84.5)</f>
        <v>84.5</v>
      </c>
      <c r="C1068" s="30"/>
      <c r="D1068" s="30"/>
      <c r="E1068" s="30"/>
      <c r="F1068" s="30"/>
      <c r="G1068" s="30"/>
      <c r="H1068" s="30"/>
      <c r="I1068" s="30"/>
      <c r="J1068" s="30">
        <f>IFERROR(__xludf.DUMMYFUNCTION("""COMPUTED_VALUE"""),-11.059343513011441)</f>
        <v>-11.05934351</v>
      </c>
      <c r="K1068" s="30"/>
      <c r="L1068" s="30"/>
      <c r="M1068" s="30"/>
      <c r="N1068" s="30"/>
      <c r="O1068" s="30">
        <f>IFERROR(__xludf.DUMMYFUNCTION("""COMPUTED_VALUE"""),-2.630874715592867)</f>
        <v>-2.630874716</v>
      </c>
      <c r="P1068" s="30">
        <f>IFERROR(__xludf.DUMMYFUNCTION("""COMPUTED_VALUE"""),4.463999088063446)</f>
        <v>4.463999088</v>
      </c>
      <c r="Q1068" s="30"/>
      <c r="R1068" s="30"/>
      <c r="S1068" s="30"/>
      <c r="T1068" s="30"/>
      <c r="U1068" s="30">
        <v>0.0</v>
      </c>
      <c r="V1068" s="30"/>
      <c r="W1068" s="30"/>
      <c r="X1068" s="30"/>
      <c r="Y1068" s="5">
        <f>IFERROR(__xludf.DUMMYFUNCTION("""COMPUTED_VALUE"""),84.0)</f>
        <v>84</v>
      </c>
      <c r="Z1068" s="5">
        <f>IFERROR(__xludf.DUMMYFUNCTION("""COMPUTED_VALUE"""),85.0)</f>
        <v>85</v>
      </c>
    </row>
    <row r="1069">
      <c r="A1069" s="30" t="s">
        <v>2484</v>
      </c>
      <c r="B1069" s="30">
        <f>IFERROR(__xludf.DUMMYFUNCTION("""COMPUTED_VALUE"""),86.5)</f>
        <v>86.5</v>
      </c>
      <c r="C1069" s="30"/>
      <c r="D1069" s="30"/>
      <c r="E1069" s="30"/>
      <c r="F1069" s="30"/>
      <c r="G1069" s="30"/>
      <c r="H1069" s="30"/>
      <c r="I1069" s="30"/>
      <c r="J1069" s="30">
        <f>IFERROR(__xludf.DUMMYFUNCTION("""COMPUTED_VALUE"""),-11.059343513011441)</f>
        <v>-11.05934351</v>
      </c>
      <c r="K1069" s="30"/>
      <c r="L1069" s="30"/>
      <c r="M1069" s="30"/>
      <c r="N1069" s="30"/>
      <c r="O1069" s="30">
        <f>IFERROR(__xludf.DUMMYFUNCTION("""COMPUTED_VALUE"""),-2.630874715592867)</f>
        <v>-2.630874716</v>
      </c>
      <c r="P1069" s="30">
        <f>IFERROR(__xludf.DUMMYFUNCTION("""COMPUTED_VALUE"""),4.463999088063446)</f>
        <v>4.463999088</v>
      </c>
      <c r="Q1069" s="30"/>
      <c r="R1069" s="30"/>
      <c r="S1069" s="30"/>
      <c r="T1069" s="30"/>
      <c r="U1069" s="30">
        <v>0.0</v>
      </c>
      <c r="V1069" s="30"/>
      <c r="W1069" s="30"/>
      <c r="X1069" s="30"/>
      <c r="Y1069" s="5">
        <f>IFERROR(__xludf.DUMMYFUNCTION("""COMPUTED_VALUE"""),85.0)</f>
        <v>85</v>
      </c>
      <c r="Z1069" s="5">
        <f>IFERROR(__xludf.DUMMYFUNCTION("""COMPUTED_VALUE"""),88.0)</f>
        <v>88</v>
      </c>
    </row>
    <row r="1070">
      <c r="A1070" s="30" t="s">
        <v>3099</v>
      </c>
      <c r="B1070" s="30">
        <f>IFERROR(__xludf.DUMMYFUNCTION("""COMPUTED_VALUE"""),86.0)</f>
        <v>86</v>
      </c>
      <c r="C1070" s="30"/>
      <c r="D1070" s="30"/>
      <c r="E1070" s="30"/>
      <c r="F1070" s="30"/>
      <c r="G1070" s="30"/>
      <c r="H1070" s="30"/>
      <c r="I1070" s="30"/>
      <c r="J1070" s="30">
        <f>IFERROR(__xludf.DUMMYFUNCTION("""COMPUTED_VALUE"""),-11.059343513011441)</f>
        <v>-11.05934351</v>
      </c>
      <c r="K1070" s="30"/>
      <c r="L1070" s="30"/>
      <c r="M1070" s="30"/>
      <c r="N1070" s="30"/>
      <c r="O1070" s="30">
        <f>IFERROR(__xludf.DUMMYFUNCTION("""COMPUTED_VALUE"""),-2.630874715592867)</f>
        <v>-2.630874716</v>
      </c>
      <c r="P1070" s="30">
        <f>IFERROR(__xludf.DUMMYFUNCTION("""COMPUTED_VALUE"""),4.463999088063446)</f>
        <v>4.463999088</v>
      </c>
      <c r="Q1070" s="30"/>
      <c r="R1070" s="30"/>
      <c r="S1070" s="30"/>
      <c r="T1070" s="30"/>
      <c r="U1070" s="30">
        <v>0.0</v>
      </c>
      <c r="V1070" s="30"/>
      <c r="W1070" s="30"/>
      <c r="X1070" s="30"/>
      <c r="Y1070" s="5">
        <f>IFERROR(__xludf.DUMMYFUNCTION("""COMPUTED_VALUE"""),86.0)</f>
        <v>86</v>
      </c>
      <c r="Z1070" s="5">
        <f>IFERROR(__xludf.DUMMYFUNCTION("""COMPUTED_VALUE"""),86.0)</f>
        <v>86</v>
      </c>
    </row>
    <row r="1071">
      <c r="A1071" s="30" t="s">
        <v>2079</v>
      </c>
      <c r="B1071" s="30">
        <f>IFERROR(__xludf.DUMMYFUNCTION("""COMPUTED_VALUE"""),84.0)</f>
        <v>84</v>
      </c>
      <c r="C1071" s="30"/>
      <c r="D1071" s="30"/>
      <c r="E1071" s="30"/>
      <c r="F1071" s="30"/>
      <c r="G1071" s="30"/>
      <c r="H1071" s="30"/>
      <c r="I1071" s="30"/>
      <c r="J1071" s="30">
        <f>IFERROR(__xludf.DUMMYFUNCTION("""COMPUTED_VALUE"""),-11.059343513011441)</f>
        <v>-11.05934351</v>
      </c>
      <c r="K1071" s="30"/>
      <c r="L1071" s="30"/>
      <c r="M1071" s="30"/>
      <c r="N1071" s="30"/>
      <c r="O1071" s="30">
        <f>IFERROR(__xludf.DUMMYFUNCTION("""COMPUTED_VALUE"""),-2.630874715592867)</f>
        <v>-2.630874716</v>
      </c>
      <c r="P1071" s="30">
        <f>IFERROR(__xludf.DUMMYFUNCTION("""COMPUTED_VALUE"""),4.463999088063446)</f>
        <v>4.463999088</v>
      </c>
      <c r="Q1071" s="30"/>
      <c r="R1071" s="30"/>
      <c r="S1071" s="30"/>
      <c r="T1071" s="30"/>
      <c r="U1071" s="30">
        <v>0.0</v>
      </c>
      <c r="V1071" s="30"/>
      <c r="W1071" s="30"/>
      <c r="X1071" s="30"/>
      <c r="Y1071" s="5">
        <f>IFERROR(__xludf.DUMMYFUNCTION("""COMPUTED_VALUE"""),84.0)</f>
        <v>84</v>
      </c>
      <c r="Z1071" s="5">
        <f>IFERROR(__xludf.DUMMYFUNCTION("""COMPUTED_VALUE"""),84.0)</f>
        <v>84</v>
      </c>
    </row>
    <row r="1072">
      <c r="A1072" s="30" t="s">
        <v>1771</v>
      </c>
      <c r="B1072" s="30">
        <f>IFERROR(__xludf.DUMMYFUNCTION("""COMPUTED_VALUE"""),84.0)</f>
        <v>84</v>
      </c>
      <c r="C1072" s="30"/>
      <c r="D1072" s="30"/>
      <c r="E1072" s="30"/>
      <c r="F1072" s="30"/>
      <c r="G1072" s="30"/>
      <c r="H1072" s="30"/>
      <c r="I1072" s="30"/>
      <c r="J1072" s="30">
        <f>IFERROR(__xludf.DUMMYFUNCTION("""COMPUTED_VALUE"""),-11.059343513011441)</f>
        <v>-11.05934351</v>
      </c>
      <c r="K1072" s="30"/>
      <c r="L1072" s="30"/>
      <c r="M1072" s="30"/>
      <c r="N1072" s="30"/>
      <c r="O1072" s="30">
        <f>IFERROR(__xludf.DUMMYFUNCTION("""COMPUTED_VALUE"""),-2.630874715592867)</f>
        <v>-2.630874716</v>
      </c>
      <c r="P1072" s="30">
        <f>IFERROR(__xludf.DUMMYFUNCTION("""COMPUTED_VALUE"""),4.463999088063446)</f>
        <v>4.463999088</v>
      </c>
      <c r="Q1072" s="30"/>
      <c r="R1072" s="30"/>
      <c r="S1072" s="30"/>
      <c r="T1072" s="30"/>
      <c r="U1072" s="30">
        <v>0.0</v>
      </c>
      <c r="V1072" s="30"/>
      <c r="W1072" s="30"/>
      <c r="X1072" s="30"/>
      <c r="Y1072" s="5">
        <f>IFERROR(__xludf.DUMMYFUNCTION("""COMPUTED_VALUE"""),84.0)</f>
        <v>84</v>
      </c>
      <c r="Z1072" s="5">
        <f>IFERROR(__xludf.DUMMYFUNCTION("""COMPUTED_VALUE"""),84.0)</f>
        <v>84</v>
      </c>
    </row>
    <row r="1073">
      <c r="A1073" s="30" t="s">
        <v>2267</v>
      </c>
      <c r="B1073" s="30">
        <f>IFERROR(__xludf.DUMMYFUNCTION("""COMPUTED_VALUE"""),84.5)</f>
        <v>84.5</v>
      </c>
      <c r="C1073" s="30"/>
      <c r="D1073" s="30"/>
      <c r="E1073" s="30"/>
      <c r="F1073" s="30"/>
      <c r="G1073" s="30"/>
      <c r="H1073" s="30"/>
      <c r="I1073" s="30"/>
      <c r="J1073" s="30">
        <f>IFERROR(__xludf.DUMMYFUNCTION("""COMPUTED_VALUE"""),-11.059343513011441)</f>
        <v>-11.05934351</v>
      </c>
      <c r="K1073" s="30"/>
      <c r="L1073" s="30"/>
      <c r="M1073" s="30"/>
      <c r="N1073" s="30"/>
      <c r="O1073" s="30">
        <f>IFERROR(__xludf.DUMMYFUNCTION("""COMPUTED_VALUE"""),-2.630874715592867)</f>
        <v>-2.630874716</v>
      </c>
      <c r="P1073" s="30">
        <f>IFERROR(__xludf.DUMMYFUNCTION("""COMPUTED_VALUE"""),4.463999088063446)</f>
        <v>4.463999088</v>
      </c>
      <c r="Q1073" s="30"/>
      <c r="R1073" s="30"/>
      <c r="S1073" s="30"/>
      <c r="T1073" s="30"/>
      <c r="U1073" s="30">
        <v>0.0</v>
      </c>
      <c r="V1073" s="30"/>
      <c r="W1073" s="30"/>
      <c r="X1073" s="30"/>
      <c r="Y1073" s="5">
        <f>IFERROR(__xludf.DUMMYFUNCTION("""COMPUTED_VALUE"""),84.0)</f>
        <v>84</v>
      </c>
      <c r="Z1073" s="5">
        <f>IFERROR(__xludf.DUMMYFUNCTION("""COMPUTED_VALUE"""),85.0)</f>
        <v>85</v>
      </c>
    </row>
    <row r="1074">
      <c r="A1074" s="30" t="s">
        <v>3105</v>
      </c>
      <c r="B1074" s="30">
        <f>IFERROR(__xludf.DUMMYFUNCTION("""COMPUTED_VALUE"""),86.0)</f>
        <v>86</v>
      </c>
      <c r="C1074" s="30"/>
      <c r="D1074" s="30"/>
      <c r="E1074" s="30"/>
      <c r="F1074" s="30"/>
      <c r="G1074" s="30"/>
      <c r="H1074" s="30"/>
      <c r="I1074" s="30"/>
      <c r="J1074" s="30">
        <f>IFERROR(__xludf.DUMMYFUNCTION("""COMPUTED_VALUE"""),-11.059343513011441)</f>
        <v>-11.05934351</v>
      </c>
      <c r="K1074" s="30"/>
      <c r="L1074" s="30"/>
      <c r="M1074" s="30"/>
      <c r="N1074" s="30"/>
      <c r="O1074" s="30">
        <f>IFERROR(__xludf.DUMMYFUNCTION("""COMPUTED_VALUE"""),-2.630874715592867)</f>
        <v>-2.630874716</v>
      </c>
      <c r="P1074" s="30">
        <f>IFERROR(__xludf.DUMMYFUNCTION("""COMPUTED_VALUE"""),4.463999088063446)</f>
        <v>4.463999088</v>
      </c>
      <c r="Q1074" s="30"/>
      <c r="R1074" s="30"/>
      <c r="S1074" s="30"/>
      <c r="T1074" s="30"/>
      <c r="U1074" s="30">
        <v>0.0</v>
      </c>
      <c r="V1074" s="30"/>
      <c r="W1074" s="30"/>
      <c r="X1074" s="30"/>
      <c r="Y1074" s="5">
        <f>IFERROR(__xludf.DUMMYFUNCTION("""COMPUTED_VALUE"""),84.0)</f>
        <v>84</v>
      </c>
      <c r="Z1074" s="5">
        <f>IFERROR(__xludf.DUMMYFUNCTION("""COMPUTED_VALUE"""),88.0)</f>
        <v>88</v>
      </c>
    </row>
    <row r="1075">
      <c r="A1075" s="30" t="s">
        <v>3107</v>
      </c>
      <c r="B1075" s="30">
        <f>IFERROR(__xludf.DUMMYFUNCTION("""COMPUTED_VALUE"""),83.0)</f>
        <v>83</v>
      </c>
      <c r="C1075" s="30"/>
      <c r="D1075" s="30"/>
      <c r="E1075" s="30"/>
      <c r="F1075" s="30"/>
      <c r="G1075" s="30"/>
      <c r="H1075" s="30"/>
      <c r="I1075" s="30"/>
      <c r="J1075" s="30">
        <f>IFERROR(__xludf.DUMMYFUNCTION("""COMPUTED_VALUE"""),-11.059343513011441)</f>
        <v>-11.05934351</v>
      </c>
      <c r="K1075" s="30"/>
      <c r="L1075" s="30"/>
      <c r="M1075" s="30"/>
      <c r="N1075" s="30"/>
      <c r="O1075" s="30">
        <f>IFERROR(__xludf.DUMMYFUNCTION("""COMPUTED_VALUE"""),-2.630874715592867)</f>
        <v>-2.630874716</v>
      </c>
      <c r="P1075" s="30">
        <f>IFERROR(__xludf.DUMMYFUNCTION("""COMPUTED_VALUE"""),4.463999088063446)</f>
        <v>4.463999088</v>
      </c>
      <c r="Q1075" s="30"/>
      <c r="R1075" s="30"/>
      <c r="S1075" s="30"/>
      <c r="T1075" s="30"/>
      <c r="U1075" s="30">
        <v>0.0</v>
      </c>
      <c r="V1075" s="30"/>
      <c r="W1075" s="30"/>
      <c r="X1075" s="30"/>
      <c r="Y1075" s="5">
        <f>IFERROR(__xludf.DUMMYFUNCTION("""COMPUTED_VALUE"""),83.0)</f>
        <v>83</v>
      </c>
      <c r="Z1075" s="5">
        <f>IFERROR(__xludf.DUMMYFUNCTION("""COMPUTED_VALUE"""),83.0)</f>
        <v>83</v>
      </c>
    </row>
    <row r="1076">
      <c r="A1076" s="30" t="s">
        <v>3108</v>
      </c>
      <c r="B1076" s="30">
        <f>IFERROR(__xludf.DUMMYFUNCTION("""COMPUTED_VALUE"""),87.5)</f>
        <v>87.5</v>
      </c>
      <c r="C1076" s="30"/>
      <c r="D1076" s="30"/>
      <c r="E1076" s="30"/>
      <c r="F1076" s="30"/>
      <c r="G1076" s="30"/>
      <c r="H1076" s="30"/>
      <c r="I1076" s="30"/>
      <c r="J1076" s="30">
        <f>IFERROR(__xludf.DUMMYFUNCTION("""COMPUTED_VALUE"""),-11.059343513011441)</f>
        <v>-11.05934351</v>
      </c>
      <c r="K1076" s="30"/>
      <c r="L1076" s="30"/>
      <c r="M1076" s="30"/>
      <c r="N1076" s="30"/>
      <c r="O1076" s="30">
        <f>IFERROR(__xludf.DUMMYFUNCTION("""COMPUTED_VALUE"""),-2.630874715592867)</f>
        <v>-2.630874716</v>
      </c>
      <c r="P1076" s="30">
        <f>IFERROR(__xludf.DUMMYFUNCTION("""COMPUTED_VALUE"""),4.463999088063446)</f>
        <v>4.463999088</v>
      </c>
      <c r="Q1076" s="30"/>
      <c r="R1076" s="30"/>
      <c r="S1076" s="30"/>
      <c r="T1076" s="30"/>
      <c r="U1076" s="30">
        <v>0.0</v>
      </c>
      <c r="V1076" s="30"/>
      <c r="W1076" s="30"/>
      <c r="X1076" s="30"/>
      <c r="Y1076" s="5">
        <f>IFERROR(__xludf.DUMMYFUNCTION("""COMPUTED_VALUE"""),87.0)</f>
        <v>87</v>
      </c>
      <c r="Z1076" s="5">
        <f>IFERROR(__xludf.DUMMYFUNCTION("""COMPUTED_VALUE"""),88.0)</f>
        <v>88</v>
      </c>
    </row>
    <row r="1077">
      <c r="A1077" s="30" t="s">
        <v>1711</v>
      </c>
      <c r="B1077" s="30">
        <f>IFERROR(__xludf.DUMMYFUNCTION("""COMPUTED_VALUE"""),84.0)</f>
        <v>84</v>
      </c>
      <c r="C1077" s="30"/>
      <c r="D1077" s="30"/>
      <c r="E1077" s="30"/>
      <c r="F1077" s="30"/>
      <c r="G1077" s="30"/>
      <c r="H1077" s="30"/>
      <c r="I1077" s="30"/>
      <c r="J1077" s="30">
        <f>IFERROR(__xludf.DUMMYFUNCTION("""COMPUTED_VALUE"""),-11.059343513011441)</f>
        <v>-11.05934351</v>
      </c>
      <c r="K1077" s="30"/>
      <c r="L1077" s="30"/>
      <c r="M1077" s="30"/>
      <c r="N1077" s="30"/>
      <c r="O1077" s="30">
        <f>IFERROR(__xludf.DUMMYFUNCTION("""COMPUTED_VALUE"""),-2.630874715592867)</f>
        <v>-2.630874716</v>
      </c>
      <c r="P1077" s="30">
        <f>IFERROR(__xludf.DUMMYFUNCTION("""COMPUTED_VALUE"""),4.463999088063446)</f>
        <v>4.463999088</v>
      </c>
      <c r="Q1077" s="30"/>
      <c r="R1077" s="30"/>
      <c r="S1077" s="30"/>
      <c r="T1077" s="30"/>
      <c r="U1077" s="30">
        <v>0.0</v>
      </c>
      <c r="V1077" s="30"/>
      <c r="W1077" s="30"/>
      <c r="X1077" s="30"/>
      <c r="Y1077" s="5">
        <f>IFERROR(__xludf.DUMMYFUNCTION("""COMPUTED_VALUE"""),83.0)</f>
        <v>83</v>
      </c>
      <c r="Z1077" s="5">
        <f>IFERROR(__xludf.DUMMYFUNCTION("""COMPUTED_VALUE"""),85.0)</f>
        <v>85</v>
      </c>
    </row>
    <row r="1078">
      <c r="A1078" s="30" t="s">
        <v>3114</v>
      </c>
      <c r="B1078" s="30">
        <f>IFERROR(__xludf.DUMMYFUNCTION("""COMPUTED_VALUE"""),86.0)</f>
        <v>86</v>
      </c>
      <c r="C1078" s="30"/>
      <c r="D1078" s="30"/>
      <c r="E1078" s="30"/>
      <c r="F1078" s="30"/>
      <c r="G1078" s="30"/>
      <c r="H1078" s="30"/>
      <c r="I1078" s="30"/>
      <c r="J1078" s="30">
        <f>IFERROR(__xludf.DUMMYFUNCTION("""COMPUTED_VALUE"""),-11.059343513011441)</f>
        <v>-11.05934351</v>
      </c>
      <c r="K1078" s="30"/>
      <c r="L1078" s="30"/>
      <c r="M1078" s="30"/>
      <c r="N1078" s="30"/>
      <c r="O1078" s="30">
        <f>IFERROR(__xludf.DUMMYFUNCTION("""COMPUTED_VALUE"""),-2.630874715592867)</f>
        <v>-2.630874716</v>
      </c>
      <c r="P1078" s="30">
        <f>IFERROR(__xludf.DUMMYFUNCTION("""COMPUTED_VALUE"""),4.463999088063446)</f>
        <v>4.463999088</v>
      </c>
      <c r="Q1078" s="30"/>
      <c r="R1078" s="30"/>
      <c r="S1078" s="30"/>
      <c r="T1078" s="30"/>
      <c r="U1078" s="30">
        <v>0.0</v>
      </c>
      <c r="V1078" s="30"/>
      <c r="W1078" s="30"/>
      <c r="X1078" s="30"/>
      <c r="Y1078" s="5">
        <f>IFERROR(__xludf.DUMMYFUNCTION("""COMPUTED_VALUE"""),86.0)</f>
        <v>86</v>
      </c>
      <c r="Z1078" s="5">
        <f>IFERROR(__xludf.DUMMYFUNCTION("""COMPUTED_VALUE"""),86.0)</f>
        <v>86</v>
      </c>
    </row>
    <row r="1079">
      <c r="A1079" s="30" t="s">
        <v>1533</v>
      </c>
      <c r="B1079" s="30">
        <f>IFERROR(__xludf.DUMMYFUNCTION("""COMPUTED_VALUE"""),83.5)</f>
        <v>83.5</v>
      </c>
      <c r="C1079" s="30"/>
      <c r="D1079" s="30"/>
      <c r="E1079" s="30"/>
      <c r="F1079" s="30"/>
      <c r="G1079" s="30"/>
      <c r="H1079" s="30"/>
      <c r="I1079" s="30"/>
      <c r="J1079" s="30">
        <f>IFERROR(__xludf.DUMMYFUNCTION("""COMPUTED_VALUE"""),-11.059343513011441)</f>
        <v>-11.05934351</v>
      </c>
      <c r="K1079" s="30"/>
      <c r="L1079" s="30"/>
      <c r="M1079" s="30"/>
      <c r="N1079" s="30"/>
      <c r="O1079" s="30">
        <f>IFERROR(__xludf.DUMMYFUNCTION("""COMPUTED_VALUE"""),-2.630874715592867)</f>
        <v>-2.630874716</v>
      </c>
      <c r="P1079" s="30">
        <f>IFERROR(__xludf.DUMMYFUNCTION("""COMPUTED_VALUE"""),4.463999088063446)</f>
        <v>4.463999088</v>
      </c>
      <c r="Q1079" s="30"/>
      <c r="R1079" s="30"/>
      <c r="S1079" s="30"/>
      <c r="T1079" s="30"/>
      <c r="U1079" s="30">
        <v>0.0</v>
      </c>
      <c r="V1079" s="30"/>
      <c r="W1079" s="30"/>
      <c r="X1079" s="30"/>
      <c r="Y1079" s="5">
        <f>IFERROR(__xludf.DUMMYFUNCTION("""COMPUTED_VALUE"""),82.0)</f>
        <v>82</v>
      </c>
      <c r="Z1079" s="5">
        <f>IFERROR(__xludf.DUMMYFUNCTION("""COMPUTED_VALUE"""),85.0)</f>
        <v>85</v>
      </c>
    </row>
    <row r="1080">
      <c r="A1080" s="30" t="s">
        <v>1989</v>
      </c>
      <c r="B1080" s="30">
        <f>IFERROR(__xludf.DUMMYFUNCTION("""COMPUTED_VALUE"""),84.0)</f>
        <v>84</v>
      </c>
      <c r="C1080" s="30"/>
      <c r="D1080" s="30"/>
      <c r="E1080" s="30"/>
      <c r="F1080" s="30"/>
      <c r="G1080" s="30"/>
      <c r="H1080" s="30"/>
      <c r="I1080" s="30"/>
      <c r="J1080" s="30">
        <f>IFERROR(__xludf.DUMMYFUNCTION("""COMPUTED_VALUE"""),-11.059343513011441)</f>
        <v>-11.05934351</v>
      </c>
      <c r="K1080" s="30"/>
      <c r="L1080" s="30"/>
      <c r="M1080" s="30"/>
      <c r="N1080" s="30"/>
      <c r="O1080" s="30">
        <f>IFERROR(__xludf.DUMMYFUNCTION("""COMPUTED_VALUE"""),-2.630874715592867)</f>
        <v>-2.630874716</v>
      </c>
      <c r="P1080" s="30">
        <f>IFERROR(__xludf.DUMMYFUNCTION("""COMPUTED_VALUE"""),4.463999088063446)</f>
        <v>4.463999088</v>
      </c>
      <c r="Q1080" s="30"/>
      <c r="R1080" s="30"/>
      <c r="S1080" s="30"/>
      <c r="T1080" s="30"/>
      <c r="U1080" s="30">
        <v>0.0</v>
      </c>
      <c r="V1080" s="30"/>
      <c r="W1080" s="30"/>
      <c r="X1080" s="30"/>
      <c r="Y1080" s="5">
        <f>IFERROR(__xludf.DUMMYFUNCTION("""COMPUTED_VALUE"""),84.0)</f>
        <v>84</v>
      </c>
      <c r="Z1080" s="5">
        <f>IFERROR(__xludf.DUMMYFUNCTION("""COMPUTED_VALUE"""),84.0)</f>
        <v>84</v>
      </c>
    </row>
    <row r="1081">
      <c r="A1081" s="30" t="s">
        <v>3121</v>
      </c>
      <c r="B1081" s="30">
        <f>IFERROR(__xludf.DUMMYFUNCTION("""COMPUTED_VALUE"""),88.0)</f>
        <v>88</v>
      </c>
      <c r="C1081" s="30"/>
      <c r="D1081" s="30"/>
      <c r="E1081" s="30"/>
      <c r="F1081" s="30"/>
      <c r="G1081" s="30"/>
      <c r="H1081" s="30"/>
      <c r="I1081" s="30"/>
      <c r="J1081" s="30">
        <f>IFERROR(__xludf.DUMMYFUNCTION("""COMPUTED_VALUE"""),-11.059343513011441)</f>
        <v>-11.05934351</v>
      </c>
      <c r="K1081" s="30"/>
      <c r="L1081" s="30"/>
      <c r="M1081" s="30"/>
      <c r="N1081" s="30"/>
      <c r="O1081" s="30">
        <f>IFERROR(__xludf.DUMMYFUNCTION("""COMPUTED_VALUE"""),-2.630874715592867)</f>
        <v>-2.630874716</v>
      </c>
      <c r="P1081" s="30">
        <f>IFERROR(__xludf.DUMMYFUNCTION("""COMPUTED_VALUE"""),4.463999088063446)</f>
        <v>4.463999088</v>
      </c>
      <c r="Q1081" s="30"/>
      <c r="R1081" s="30"/>
      <c r="S1081" s="30"/>
      <c r="T1081" s="30"/>
      <c r="U1081" s="30">
        <v>0.0</v>
      </c>
      <c r="V1081" s="30"/>
      <c r="W1081" s="30"/>
      <c r="X1081" s="30"/>
      <c r="Y1081" s="5">
        <f>IFERROR(__xludf.DUMMYFUNCTION("""COMPUTED_VALUE"""),88.0)</f>
        <v>88</v>
      </c>
      <c r="Z1081" s="5">
        <f>IFERROR(__xludf.DUMMYFUNCTION("""COMPUTED_VALUE"""),88.0)</f>
        <v>88</v>
      </c>
    </row>
    <row r="1082">
      <c r="A1082" s="30" t="s">
        <v>2410</v>
      </c>
      <c r="B1082" s="30">
        <f>IFERROR(__xludf.DUMMYFUNCTION("""COMPUTED_VALUE"""),86.0)</f>
        <v>86</v>
      </c>
      <c r="C1082" s="30"/>
      <c r="D1082" s="30"/>
      <c r="E1082" s="30"/>
      <c r="F1082" s="30"/>
      <c r="G1082" s="30"/>
      <c r="H1082" s="30"/>
      <c r="I1082" s="30"/>
      <c r="J1082" s="30">
        <f>IFERROR(__xludf.DUMMYFUNCTION("""COMPUTED_VALUE"""),-11.059343513011441)</f>
        <v>-11.05934351</v>
      </c>
      <c r="K1082" s="30"/>
      <c r="L1082" s="30"/>
      <c r="M1082" s="30"/>
      <c r="N1082" s="30"/>
      <c r="O1082" s="30">
        <f>IFERROR(__xludf.DUMMYFUNCTION("""COMPUTED_VALUE"""),-2.630874715592867)</f>
        <v>-2.630874716</v>
      </c>
      <c r="P1082" s="30">
        <f>IFERROR(__xludf.DUMMYFUNCTION("""COMPUTED_VALUE"""),4.463999088063446)</f>
        <v>4.463999088</v>
      </c>
      <c r="Q1082" s="30"/>
      <c r="R1082" s="30"/>
      <c r="S1082" s="30"/>
      <c r="T1082" s="30"/>
      <c r="U1082" s="30">
        <v>0.0</v>
      </c>
      <c r="V1082" s="30"/>
      <c r="W1082" s="30"/>
      <c r="X1082" s="30"/>
      <c r="Y1082" s="5">
        <f>IFERROR(__xludf.DUMMYFUNCTION("""COMPUTED_VALUE"""),84.0)</f>
        <v>84</v>
      </c>
      <c r="Z1082" s="5">
        <f>IFERROR(__xludf.DUMMYFUNCTION("""COMPUTED_VALUE"""),88.0)</f>
        <v>88</v>
      </c>
    </row>
    <row r="1083">
      <c r="A1083" s="30" t="s">
        <v>3125</v>
      </c>
      <c r="B1083" s="30">
        <f>IFERROR(__xludf.DUMMYFUNCTION("""COMPUTED_VALUE"""),84.0)</f>
        <v>84</v>
      </c>
      <c r="C1083" s="30"/>
      <c r="D1083" s="30"/>
      <c r="E1083" s="30"/>
      <c r="F1083" s="30"/>
      <c r="G1083" s="30"/>
      <c r="H1083" s="30"/>
      <c r="I1083" s="30"/>
      <c r="J1083" s="30">
        <f>IFERROR(__xludf.DUMMYFUNCTION("""COMPUTED_VALUE"""),-11.059343513011441)</f>
        <v>-11.05934351</v>
      </c>
      <c r="K1083" s="30"/>
      <c r="L1083" s="30"/>
      <c r="M1083" s="30"/>
      <c r="N1083" s="30"/>
      <c r="O1083" s="30">
        <f>IFERROR(__xludf.DUMMYFUNCTION("""COMPUTED_VALUE"""),-2.630874715592867)</f>
        <v>-2.630874716</v>
      </c>
      <c r="P1083" s="30">
        <f>IFERROR(__xludf.DUMMYFUNCTION("""COMPUTED_VALUE"""),4.463999088063446)</f>
        <v>4.463999088</v>
      </c>
      <c r="Q1083" s="30"/>
      <c r="R1083" s="30"/>
      <c r="S1083" s="30"/>
      <c r="T1083" s="30"/>
      <c r="U1083" s="30">
        <v>0.0</v>
      </c>
      <c r="V1083" s="30"/>
      <c r="W1083" s="30"/>
      <c r="X1083" s="30"/>
      <c r="Y1083" s="5">
        <f>IFERROR(__xludf.DUMMYFUNCTION("""COMPUTED_VALUE"""),84.0)</f>
        <v>84</v>
      </c>
      <c r="Z1083" s="5">
        <f>IFERROR(__xludf.DUMMYFUNCTION("""COMPUTED_VALUE"""),84.0)</f>
        <v>84</v>
      </c>
    </row>
    <row r="1084">
      <c r="A1084" s="30" t="s">
        <v>1980</v>
      </c>
      <c r="B1084" s="30">
        <f>IFERROR(__xludf.DUMMYFUNCTION("""COMPUTED_VALUE"""),84.0)</f>
        <v>84</v>
      </c>
      <c r="C1084" s="30"/>
      <c r="D1084" s="30"/>
      <c r="E1084" s="30"/>
      <c r="F1084" s="30"/>
      <c r="G1084" s="30"/>
      <c r="H1084" s="30"/>
      <c r="I1084" s="30"/>
      <c r="J1084" s="30">
        <f>IFERROR(__xludf.DUMMYFUNCTION("""COMPUTED_VALUE"""),-11.059343513011441)</f>
        <v>-11.05934351</v>
      </c>
      <c r="K1084" s="30"/>
      <c r="L1084" s="30"/>
      <c r="M1084" s="30"/>
      <c r="N1084" s="30"/>
      <c r="O1084" s="30">
        <f>IFERROR(__xludf.DUMMYFUNCTION("""COMPUTED_VALUE"""),-2.630874715592867)</f>
        <v>-2.630874716</v>
      </c>
      <c r="P1084" s="30">
        <f>IFERROR(__xludf.DUMMYFUNCTION("""COMPUTED_VALUE"""),4.463999088063446)</f>
        <v>4.463999088</v>
      </c>
      <c r="Q1084" s="30"/>
      <c r="R1084" s="30"/>
      <c r="S1084" s="30"/>
      <c r="T1084" s="30"/>
      <c r="U1084" s="30">
        <v>0.0</v>
      </c>
      <c r="V1084" s="30"/>
      <c r="W1084" s="30"/>
      <c r="X1084" s="30"/>
      <c r="Y1084" s="5">
        <f>IFERROR(__xludf.DUMMYFUNCTION("""COMPUTED_VALUE"""),84.0)</f>
        <v>84</v>
      </c>
      <c r="Z1084" s="5">
        <f>IFERROR(__xludf.DUMMYFUNCTION("""COMPUTED_VALUE"""),84.0)</f>
        <v>84</v>
      </c>
    </row>
    <row r="1085">
      <c r="A1085" s="30" t="s">
        <v>3126</v>
      </c>
      <c r="B1085" s="30">
        <f>IFERROR(__xludf.DUMMYFUNCTION("""COMPUTED_VALUE"""),84.0)</f>
        <v>84</v>
      </c>
      <c r="C1085" s="30"/>
      <c r="D1085" s="30"/>
      <c r="E1085" s="30"/>
      <c r="F1085" s="30"/>
      <c r="G1085" s="30"/>
      <c r="H1085" s="30"/>
      <c r="I1085" s="30"/>
      <c r="J1085" s="30">
        <f>IFERROR(__xludf.DUMMYFUNCTION("""COMPUTED_VALUE"""),-11.059343513011441)</f>
        <v>-11.05934351</v>
      </c>
      <c r="K1085" s="30"/>
      <c r="L1085" s="30"/>
      <c r="M1085" s="30"/>
      <c r="N1085" s="30"/>
      <c r="O1085" s="30">
        <f>IFERROR(__xludf.DUMMYFUNCTION("""COMPUTED_VALUE"""),-2.630874715592867)</f>
        <v>-2.630874716</v>
      </c>
      <c r="P1085" s="30">
        <f>IFERROR(__xludf.DUMMYFUNCTION("""COMPUTED_VALUE"""),4.463999088063446)</f>
        <v>4.463999088</v>
      </c>
      <c r="Q1085" s="30"/>
      <c r="R1085" s="30"/>
      <c r="S1085" s="30"/>
      <c r="T1085" s="30"/>
      <c r="U1085" s="30">
        <v>0.0</v>
      </c>
      <c r="V1085" s="30"/>
      <c r="W1085" s="30"/>
      <c r="X1085" s="30"/>
      <c r="Y1085" s="5">
        <f>IFERROR(__xludf.DUMMYFUNCTION("""COMPUTED_VALUE"""),84.0)</f>
        <v>84</v>
      </c>
      <c r="Z1085" s="5">
        <f>IFERROR(__xludf.DUMMYFUNCTION("""COMPUTED_VALUE"""),84.0)</f>
        <v>84</v>
      </c>
    </row>
    <row r="1086">
      <c r="A1086" s="30" t="s">
        <v>3127</v>
      </c>
      <c r="B1086" s="30">
        <f>IFERROR(__xludf.DUMMYFUNCTION("""COMPUTED_VALUE"""),84.5)</f>
        <v>84.5</v>
      </c>
      <c r="C1086" s="30"/>
      <c r="D1086" s="30"/>
      <c r="E1086" s="30"/>
      <c r="F1086" s="30"/>
      <c r="G1086" s="30"/>
      <c r="H1086" s="30"/>
      <c r="I1086" s="30"/>
      <c r="J1086" s="30">
        <f>IFERROR(__xludf.DUMMYFUNCTION("""COMPUTED_VALUE"""),-11.059343513011441)</f>
        <v>-11.05934351</v>
      </c>
      <c r="K1086" s="30"/>
      <c r="L1086" s="30"/>
      <c r="M1086" s="30"/>
      <c r="N1086" s="30"/>
      <c r="O1086" s="30">
        <f>IFERROR(__xludf.DUMMYFUNCTION("""COMPUTED_VALUE"""),-2.630874715592867)</f>
        <v>-2.630874716</v>
      </c>
      <c r="P1086" s="30">
        <f>IFERROR(__xludf.DUMMYFUNCTION("""COMPUTED_VALUE"""),4.463999088063446)</f>
        <v>4.463999088</v>
      </c>
      <c r="Q1086" s="30"/>
      <c r="R1086" s="30"/>
      <c r="S1086" s="30"/>
      <c r="T1086" s="30"/>
      <c r="U1086" s="30">
        <v>0.0</v>
      </c>
      <c r="V1086" s="30"/>
      <c r="W1086" s="30"/>
      <c r="X1086" s="30"/>
      <c r="Y1086" s="5">
        <f>IFERROR(__xludf.DUMMYFUNCTION("""COMPUTED_VALUE"""),84.0)</f>
        <v>84</v>
      </c>
      <c r="Z1086" s="5">
        <f>IFERROR(__xludf.DUMMYFUNCTION("""COMPUTED_VALUE"""),85.0)</f>
        <v>85</v>
      </c>
    </row>
    <row r="1087">
      <c r="A1087" s="30" t="s">
        <v>2537</v>
      </c>
      <c r="B1087" s="30">
        <f>IFERROR(__xludf.DUMMYFUNCTION("""COMPUTED_VALUE"""),88.0)</f>
        <v>88</v>
      </c>
      <c r="C1087" s="30"/>
      <c r="D1087" s="30"/>
      <c r="E1087" s="30"/>
      <c r="F1087" s="30"/>
      <c r="G1087" s="30"/>
      <c r="H1087" s="30"/>
      <c r="I1087" s="30"/>
      <c r="J1087" s="30">
        <f>IFERROR(__xludf.DUMMYFUNCTION("""COMPUTED_VALUE"""),-11.059343513011441)</f>
        <v>-11.05934351</v>
      </c>
      <c r="K1087" s="30"/>
      <c r="L1087" s="30"/>
      <c r="M1087" s="30"/>
      <c r="N1087" s="30"/>
      <c r="O1087" s="30">
        <f>IFERROR(__xludf.DUMMYFUNCTION("""COMPUTED_VALUE"""),-2.630874715592867)</f>
        <v>-2.630874716</v>
      </c>
      <c r="P1087" s="30">
        <f>IFERROR(__xludf.DUMMYFUNCTION("""COMPUTED_VALUE"""),4.463999088063446)</f>
        <v>4.463999088</v>
      </c>
      <c r="Q1087" s="30"/>
      <c r="R1087" s="30"/>
      <c r="S1087" s="30"/>
      <c r="T1087" s="30"/>
      <c r="U1087" s="30">
        <v>0.0</v>
      </c>
      <c r="V1087" s="30"/>
      <c r="W1087" s="30"/>
      <c r="X1087" s="30"/>
      <c r="Y1087" s="5">
        <f>IFERROR(__xludf.DUMMYFUNCTION("""COMPUTED_VALUE"""),88.0)</f>
        <v>88</v>
      </c>
      <c r="Z1087" s="5">
        <f>IFERROR(__xludf.DUMMYFUNCTION("""COMPUTED_VALUE"""),88.0)</f>
        <v>88</v>
      </c>
    </row>
    <row r="1088">
      <c r="A1088" s="30" t="s">
        <v>3130</v>
      </c>
      <c r="B1088" s="30">
        <f>IFERROR(__xludf.DUMMYFUNCTION("""COMPUTED_VALUE"""),88.0)</f>
        <v>88</v>
      </c>
      <c r="C1088" s="30"/>
      <c r="D1088" s="30"/>
      <c r="E1088" s="30"/>
      <c r="F1088" s="30"/>
      <c r="G1088" s="30"/>
      <c r="H1088" s="30"/>
      <c r="I1088" s="30"/>
      <c r="J1088" s="30">
        <f>IFERROR(__xludf.DUMMYFUNCTION("""COMPUTED_VALUE"""),-11.059343513011441)</f>
        <v>-11.05934351</v>
      </c>
      <c r="K1088" s="30"/>
      <c r="L1088" s="30"/>
      <c r="M1088" s="30"/>
      <c r="N1088" s="30"/>
      <c r="O1088" s="30">
        <f>IFERROR(__xludf.DUMMYFUNCTION("""COMPUTED_VALUE"""),-2.630874715592867)</f>
        <v>-2.630874716</v>
      </c>
      <c r="P1088" s="30">
        <f>IFERROR(__xludf.DUMMYFUNCTION("""COMPUTED_VALUE"""),4.463999088063446)</f>
        <v>4.463999088</v>
      </c>
      <c r="Q1088" s="30"/>
      <c r="R1088" s="30"/>
      <c r="S1088" s="30"/>
      <c r="T1088" s="30"/>
      <c r="U1088" s="30">
        <v>0.0</v>
      </c>
      <c r="V1088" s="30"/>
      <c r="W1088" s="30"/>
      <c r="X1088" s="30"/>
      <c r="Y1088" s="5">
        <f>IFERROR(__xludf.DUMMYFUNCTION("""COMPUTED_VALUE"""),88.0)</f>
        <v>88</v>
      </c>
      <c r="Z1088" s="5">
        <f>IFERROR(__xludf.DUMMYFUNCTION("""COMPUTED_VALUE"""),88.0)</f>
        <v>88</v>
      </c>
    </row>
    <row r="1089">
      <c r="A1089" s="30" t="s">
        <v>3132</v>
      </c>
      <c r="B1089" s="30">
        <f>IFERROR(__xludf.DUMMYFUNCTION("""COMPUTED_VALUE"""),84.0)</f>
        <v>84</v>
      </c>
      <c r="C1089" s="30"/>
      <c r="D1089" s="30"/>
      <c r="E1089" s="30"/>
      <c r="F1089" s="30"/>
      <c r="G1089" s="30"/>
      <c r="H1089" s="30"/>
      <c r="I1089" s="30"/>
      <c r="J1089" s="30">
        <f>IFERROR(__xludf.DUMMYFUNCTION("""COMPUTED_VALUE"""),-11.059343513011441)</f>
        <v>-11.05934351</v>
      </c>
      <c r="K1089" s="30"/>
      <c r="L1089" s="30"/>
      <c r="M1089" s="30"/>
      <c r="N1089" s="30"/>
      <c r="O1089" s="30">
        <f>IFERROR(__xludf.DUMMYFUNCTION("""COMPUTED_VALUE"""),-2.630874715592867)</f>
        <v>-2.630874716</v>
      </c>
      <c r="P1089" s="30">
        <f>IFERROR(__xludf.DUMMYFUNCTION("""COMPUTED_VALUE"""),4.463999088063446)</f>
        <v>4.463999088</v>
      </c>
      <c r="Q1089" s="30"/>
      <c r="R1089" s="30"/>
      <c r="S1089" s="30"/>
      <c r="T1089" s="30"/>
      <c r="U1089" s="30">
        <v>0.0</v>
      </c>
      <c r="V1089" s="30"/>
      <c r="W1089" s="30"/>
      <c r="X1089" s="30"/>
      <c r="Y1089" s="5">
        <f>IFERROR(__xludf.DUMMYFUNCTION("""COMPUTED_VALUE"""),84.0)</f>
        <v>84</v>
      </c>
      <c r="Z1089" s="5">
        <f>IFERROR(__xludf.DUMMYFUNCTION("""COMPUTED_VALUE"""),84.0)</f>
        <v>84</v>
      </c>
    </row>
    <row r="1090">
      <c r="A1090" s="30" t="s">
        <v>3133</v>
      </c>
      <c r="B1090" s="30">
        <f>IFERROR(__xludf.DUMMYFUNCTION("""COMPUTED_VALUE"""),88.0)</f>
        <v>88</v>
      </c>
      <c r="C1090" s="30"/>
      <c r="D1090" s="30"/>
      <c r="E1090" s="30"/>
      <c r="F1090" s="30"/>
      <c r="G1090" s="30"/>
      <c r="H1090" s="30"/>
      <c r="I1090" s="30"/>
      <c r="J1090" s="30">
        <f>IFERROR(__xludf.DUMMYFUNCTION("""COMPUTED_VALUE"""),-11.059343513011441)</f>
        <v>-11.05934351</v>
      </c>
      <c r="K1090" s="30"/>
      <c r="L1090" s="30"/>
      <c r="M1090" s="30"/>
      <c r="N1090" s="30"/>
      <c r="O1090" s="30">
        <f>IFERROR(__xludf.DUMMYFUNCTION("""COMPUTED_VALUE"""),-2.630874715592867)</f>
        <v>-2.630874716</v>
      </c>
      <c r="P1090" s="30">
        <f>IFERROR(__xludf.DUMMYFUNCTION("""COMPUTED_VALUE"""),4.463999088063446)</f>
        <v>4.463999088</v>
      </c>
      <c r="Q1090" s="30"/>
      <c r="R1090" s="30"/>
      <c r="S1090" s="30"/>
      <c r="T1090" s="30"/>
      <c r="U1090" s="30">
        <v>0.0</v>
      </c>
      <c r="V1090" s="30"/>
      <c r="W1090" s="30"/>
      <c r="X1090" s="30"/>
      <c r="Y1090" s="5">
        <f>IFERROR(__xludf.DUMMYFUNCTION("""COMPUTED_VALUE"""),88.0)</f>
        <v>88</v>
      </c>
      <c r="Z1090" s="5">
        <f>IFERROR(__xludf.DUMMYFUNCTION("""COMPUTED_VALUE"""),88.0)</f>
        <v>88</v>
      </c>
    </row>
    <row r="1091">
      <c r="A1091" s="30" t="s">
        <v>2253</v>
      </c>
      <c r="B1091" s="30">
        <f>IFERROR(__xludf.DUMMYFUNCTION("""COMPUTED_VALUE"""),81.0)</f>
        <v>81</v>
      </c>
      <c r="C1091" s="30"/>
      <c r="D1091" s="30"/>
      <c r="E1091" s="30"/>
      <c r="F1091" s="30"/>
      <c r="G1091" s="30"/>
      <c r="H1091" s="30"/>
      <c r="I1091" s="30"/>
      <c r="J1091" s="30">
        <f>IFERROR(__xludf.DUMMYFUNCTION("""COMPUTED_VALUE"""),-11.059343513011441)</f>
        <v>-11.05934351</v>
      </c>
      <c r="K1091" s="30"/>
      <c r="L1091" s="30"/>
      <c r="M1091" s="30"/>
      <c r="N1091" s="30"/>
      <c r="O1091" s="30">
        <f>IFERROR(__xludf.DUMMYFUNCTION("""COMPUTED_VALUE"""),-2.630874715592867)</f>
        <v>-2.630874716</v>
      </c>
      <c r="P1091" s="30">
        <f>IFERROR(__xludf.DUMMYFUNCTION("""COMPUTED_VALUE"""),4.463999088063446)</f>
        <v>4.463999088</v>
      </c>
      <c r="Q1091" s="30"/>
      <c r="R1091" s="30"/>
      <c r="S1091" s="30"/>
      <c r="T1091" s="30"/>
      <c r="U1091" s="30">
        <v>0.0</v>
      </c>
      <c r="V1091" s="30"/>
      <c r="W1091" s="30"/>
      <c r="X1091" s="30"/>
      <c r="Y1091" s="5">
        <f>IFERROR(__xludf.DUMMYFUNCTION("""COMPUTED_VALUE"""),81.0)</f>
        <v>81</v>
      </c>
      <c r="Z1091" s="5">
        <f>IFERROR(__xludf.DUMMYFUNCTION("""COMPUTED_VALUE"""),81.0)</f>
        <v>81</v>
      </c>
    </row>
    <row r="1092">
      <c r="A1092" s="30" t="s">
        <v>1474</v>
      </c>
      <c r="B1092" s="30">
        <f>IFERROR(__xludf.DUMMYFUNCTION("""COMPUTED_VALUE"""),80.0)</f>
        <v>80</v>
      </c>
      <c r="C1092" s="30"/>
      <c r="D1092" s="30"/>
      <c r="E1092" s="30"/>
      <c r="F1092" s="30"/>
      <c r="G1092" s="30"/>
      <c r="H1092" s="30"/>
      <c r="I1092" s="30"/>
      <c r="J1092" s="30">
        <f>IFERROR(__xludf.DUMMYFUNCTION("""COMPUTED_VALUE"""),-11.059343513011441)</f>
        <v>-11.05934351</v>
      </c>
      <c r="K1092" s="30"/>
      <c r="L1092" s="30"/>
      <c r="M1092" s="30"/>
      <c r="N1092" s="30"/>
      <c r="O1092" s="30">
        <f>IFERROR(__xludf.DUMMYFUNCTION("""COMPUTED_VALUE"""),-2.630874715592867)</f>
        <v>-2.630874716</v>
      </c>
      <c r="P1092" s="30">
        <f>IFERROR(__xludf.DUMMYFUNCTION("""COMPUTED_VALUE"""),4.463999088063446)</f>
        <v>4.463999088</v>
      </c>
      <c r="Q1092" s="30"/>
      <c r="R1092" s="30"/>
      <c r="S1092" s="30"/>
      <c r="T1092" s="30"/>
      <c r="U1092" s="30">
        <v>0.0</v>
      </c>
      <c r="V1092" s="30"/>
      <c r="W1092" s="30"/>
      <c r="X1092" s="30"/>
      <c r="Y1092" s="5">
        <f>IFERROR(__xludf.DUMMYFUNCTION("""COMPUTED_VALUE"""),80.0)</f>
        <v>80</v>
      </c>
      <c r="Z1092" s="5">
        <f>IFERROR(__xludf.DUMMYFUNCTION("""COMPUTED_VALUE"""),80.0)</f>
        <v>80</v>
      </c>
    </row>
    <row r="1093">
      <c r="A1093" s="30" t="s">
        <v>3135</v>
      </c>
      <c r="B1093" s="30">
        <f>IFERROR(__xludf.DUMMYFUNCTION("""COMPUTED_VALUE"""),85.0)</f>
        <v>85</v>
      </c>
      <c r="C1093" s="30"/>
      <c r="D1093" s="30"/>
      <c r="E1093" s="30"/>
      <c r="F1093" s="30"/>
      <c r="G1093" s="30"/>
      <c r="H1093" s="30"/>
      <c r="I1093" s="30"/>
      <c r="J1093" s="30">
        <f>IFERROR(__xludf.DUMMYFUNCTION("""COMPUTED_VALUE"""),-11.059343513011441)</f>
        <v>-11.05934351</v>
      </c>
      <c r="K1093" s="30"/>
      <c r="L1093" s="30"/>
      <c r="M1093" s="30"/>
      <c r="N1093" s="30"/>
      <c r="O1093" s="30">
        <f>IFERROR(__xludf.DUMMYFUNCTION("""COMPUTED_VALUE"""),-2.630874715592867)</f>
        <v>-2.630874716</v>
      </c>
      <c r="P1093" s="30">
        <f>IFERROR(__xludf.DUMMYFUNCTION("""COMPUTED_VALUE"""),4.463999088063446)</f>
        <v>4.463999088</v>
      </c>
      <c r="Q1093" s="30"/>
      <c r="R1093" s="30"/>
      <c r="S1093" s="30"/>
      <c r="T1093" s="30"/>
      <c r="U1093" s="30">
        <v>0.0</v>
      </c>
      <c r="V1093" s="30"/>
      <c r="W1093" s="30"/>
      <c r="X1093" s="30"/>
      <c r="Y1093" s="5">
        <f>IFERROR(__xludf.DUMMYFUNCTION("""COMPUTED_VALUE"""),85.0)</f>
        <v>85</v>
      </c>
      <c r="Z1093" s="5">
        <f>IFERROR(__xludf.DUMMYFUNCTION("""COMPUTED_VALUE"""),85.0)</f>
        <v>85</v>
      </c>
    </row>
    <row r="1094">
      <c r="A1094" s="30" t="s">
        <v>3136</v>
      </c>
      <c r="B1094" s="30">
        <f>IFERROR(__xludf.DUMMYFUNCTION("""COMPUTED_VALUE"""),85.5)</f>
        <v>85.5</v>
      </c>
      <c r="C1094" s="30"/>
      <c r="D1094" s="30"/>
      <c r="E1094" s="30"/>
      <c r="F1094" s="30"/>
      <c r="G1094" s="30"/>
      <c r="H1094" s="30"/>
      <c r="I1094" s="30"/>
      <c r="J1094" s="30">
        <f>IFERROR(__xludf.DUMMYFUNCTION("""COMPUTED_VALUE"""),-11.059343513011441)</f>
        <v>-11.05934351</v>
      </c>
      <c r="K1094" s="30"/>
      <c r="L1094" s="30"/>
      <c r="M1094" s="30"/>
      <c r="N1094" s="30"/>
      <c r="O1094" s="30">
        <f>IFERROR(__xludf.DUMMYFUNCTION("""COMPUTED_VALUE"""),-2.630874715592867)</f>
        <v>-2.630874716</v>
      </c>
      <c r="P1094" s="30">
        <f>IFERROR(__xludf.DUMMYFUNCTION("""COMPUTED_VALUE"""),4.463999088063446)</f>
        <v>4.463999088</v>
      </c>
      <c r="Q1094" s="30"/>
      <c r="R1094" s="30"/>
      <c r="S1094" s="30"/>
      <c r="T1094" s="30"/>
      <c r="U1094" s="30">
        <v>0.0</v>
      </c>
      <c r="V1094" s="30"/>
      <c r="W1094" s="30"/>
      <c r="X1094" s="30"/>
      <c r="Y1094" s="5">
        <f>IFERROR(__xludf.DUMMYFUNCTION("""COMPUTED_VALUE"""),83.0)</f>
        <v>83</v>
      </c>
      <c r="Z1094" s="5">
        <f>IFERROR(__xludf.DUMMYFUNCTION("""COMPUTED_VALUE"""),88.0)</f>
        <v>88</v>
      </c>
    </row>
    <row r="1095">
      <c r="A1095" s="30" t="s">
        <v>820</v>
      </c>
      <c r="B1095" s="30">
        <f>IFERROR(__xludf.DUMMYFUNCTION("""COMPUTED_VALUE"""),82.0)</f>
        <v>82</v>
      </c>
      <c r="C1095" s="30"/>
      <c r="D1095" s="30"/>
      <c r="E1095" s="30"/>
      <c r="F1095" s="30"/>
      <c r="G1095" s="30"/>
      <c r="H1095" s="30"/>
      <c r="I1095" s="30"/>
      <c r="J1095" s="30">
        <f>IFERROR(__xludf.DUMMYFUNCTION("""COMPUTED_VALUE"""),-11.059343513011441)</f>
        <v>-11.05934351</v>
      </c>
      <c r="K1095" s="30"/>
      <c r="L1095" s="30"/>
      <c r="M1095" s="30"/>
      <c r="N1095" s="30"/>
      <c r="O1095" s="30">
        <f>IFERROR(__xludf.DUMMYFUNCTION("""COMPUTED_VALUE"""),-2.630874715592867)</f>
        <v>-2.630874716</v>
      </c>
      <c r="P1095" s="30">
        <f>IFERROR(__xludf.DUMMYFUNCTION("""COMPUTED_VALUE"""),4.463999088063446)</f>
        <v>4.463999088</v>
      </c>
      <c r="Q1095" s="30"/>
      <c r="R1095" s="30"/>
      <c r="S1095" s="30"/>
      <c r="T1095" s="30"/>
      <c r="U1095" s="30">
        <v>0.0</v>
      </c>
      <c r="V1095" s="30"/>
      <c r="W1095" s="30"/>
      <c r="X1095" s="30"/>
      <c r="Y1095" s="5">
        <f>IFERROR(__xludf.DUMMYFUNCTION("""COMPUTED_VALUE"""),82.0)</f>
        <v>82</v>
      </c>
      <c r="Z1095" s="5">
        <f>IFERROR(__xludf.DUMMYFUNCTION("""COMPUTED_VALUE"""),82.0)</f>
        <v>82</v>
      </c>
    </row>
    <row r="1096">
      <c r="A1096" s="30" t="s">
        <v>3137</v>
      </c>
      <c r="B1096" s="30">
        <f>IFERROR(__xludf.DUMMYFUNCTION("""COMPUTED_VALUE"""),87.5)</f>
        <v>87.5</v>
      </c>
      <c r="C1096" s="30"/>
      <c r="D1096" s="30"/>
      <c r="E1096" s="30"/>
      <c r="F1096" s="30"/>
      <c r="G1096" s="30"/>
      <c r="H1096" s="30"/>
      <c r="I1096" s="30"/>
      <c r="J1096" s="30">
        <f>IFERROR(__xludf.DUMMYFUNCTION("""COMPUTED_VALUE"""),-11.059343513011441)</f>
        <v>-11.05934351</v>
      </c>
      <c r="K1096" s="30"/>
      <c r="L1096" s="30"/>
      <c r="M1096" s="30"/>
      <c r="N1096" s="30"/>
      <c r="O1096" s="30">
        <f>IFERROR(__xludf.DUMMYFUNCTION("""COMPUTED_VALUE"""),-2.630874715592867)</f>
        <v>-2.630874716</v>
      </c>
      <c r="P1096" s="30">
        <f>IFERROR(__xludf.DUMMYFUNCTION("""COMPUTED_VALUE"""),4.463999088063446)</f>
        <v>4.463999088</v>
      </c>
      <c r="Q1096" s="30"/>
      <c r="R1096" s="30"/>
      <c r="S1096" s="30"/>
      <c r="T1096" s="30"/>
      <c r="U1096" s="30">
        <v>0.0</v>
      </c>
      <c r="V1096" s="30"/>
      <c r="W1096" s="30"/>
      <c r="X1096" s="30"/>
      <c r="Y1096" s="5">
        <f>IFERROR(__xludf.DUMMYFUNCTION("""COMPUTED_VALUE"""),87.0)</f>
        <v>87</v>
      </c>
      <c r="Z1096" s="5">
        <f>IFERROR(__xludf.DUMMYFUNCTION("""COMPUTED_VALUE"""),88.0)</f>
        <v>88</v>
      </c>
    </row>
    <row r="1097">
      <c r="A1097" s="30" t="s">
        <v>3139</v>
      </c>
      <c r="B1097" s="30">
        <f>IFERROR(__xludf.DUMMYFUNCTION("""COMPUTED_VALUE"""),79.0)</f>
        <v>79</v>
      </c>
      <c r="C1097" s="30"/>
      <c r="D1097" s="30"/>
      <c r="E1097" s="30"/>
      <c r="F1097" s="30"/>
      <c r="G1097" s="30"/>
      <c r="H1097" s="30"/>
      <c r="I1097" s="30"/>
      <c r="J1097" s="30">
        <f>IFERROR(__xludf.DUMMYFUNCTION("""COMPUTED_VALUE"""),-11.059343513011441)</f>
        <v>-11.05934351</v>
      </c>
      <c r="K1097" s="30"/>
      <c r="L1097" s="30"/>
      <c r="M1097" s="30"/>
      <c r="N1097" s="30"/>
      <c r="O1097" s="30">
        <f>IFERROR(__xludf.DUMMYFUNCTION("""COMPUTED_VALUE"""),-2.630874715592867)</f>
        <v>-2.630874716</v>
      </c>
      <c r="P1097" s="30">
        <f>IFERROR(__xludf.DUMMYFUNCTION("""COMPUTED_VALUE"""),4.463999088063446)</f>
        <v>4.463999088</v>
      </c>
      <c r="Q1097" s="30"/>
      <c r="R1097" s="30"/>
      <c r="S1097" s="30"/>
      <c r="T1097" s="30"/>
      <c r="U1097" s="30">
        <v>0.0</v>
      </c>
      <c r="V1097" s="30"/>
      <c r="W1097" s="30"/>
      <c r="X1097" s="30"/>
      <c r="Y1097" s="5">
        <f>IFERROR(__xludf.DUMMYFUNCTION("""COMPUTED_VALUE"""),79.0)</f>
        <v>79</v>
      </c>
      <c r="Z1097" s="5">
        <f>IFERROR(__xludf.DUMMYFUNCTION("""COMPUTED_VALUE"""),79.0)</f>
        <v>79</v>
      </c>
    </row>
    <row r="1098">
      <c r="A1098" s="30" t="s">
        <v>3140</v>
      </c>
      <c r="B1098" s="30">
        <f>IFERROR(__xludf.DUMMYFUNCTION("""COMPUTED_VALUE"""),88.0)</f>
        <v>88</v>
      </c>
      <c r="C1098" s="30"/>
      <c r="D1098" s="30"/>
      <c r="E1098" s="30"/>
      <c r="F1098" s="30"/>
      <c r="G1098" s="30"/>
      <c r="H1098" s="30"/>
      <c r="I1098" s="30"/>
      <c r="J1098" s="30">
        <f>IFERROR(__xludf.DUMMYFUNCTION("""COMPUTED_VALUE"""),-11.059343513011441)</f>
        <v>-11.05934351</v>
      </c>
      <c r="K1098" s="30"/>
      <c r="L1098" s="30"/>
      <c r="M1098" s="30"/>
      <c r="N1098" s="30"/>
      <c r="O1098" s="30">
        <f>IFERROR(__xludf.DUMMYFUNCTION("""COMPUTED_VALUE"""),-2.630874715592867)</f>
        <v>-2.630874716</v>
      </c>
      <c r="P1098" s="30">
        <f>IFERROR(__xludf.DUMMYFUNCTION("""COMPUTED_VALUE"""),4.463999088063446)</f>
        <v>4.463999088</v>
      </c>
      <c r="Q1098" s="30"/>
      <c r="R1098" s="30"/>
      <c r="S1098" s="30"/>
      <c r="T1098" s="30"/>
      <c r="U1098" s="30">
        <v>0.0</v>
      </c>
      <c r="V1098" s="30"/>
      <c r="W1098" s="30"/>
      <c r="X1098" s="30"/>
      <c r="Y1098" s="5">
        <f>IFERROR(__xludf.DUMMYFUNCTION("""COMPUTED_VALUE"""),88.0)</f>
        <v>88</v>
      </c>
      <c r="Z1098" s="5">
        <f>IFERROR(__xludf.DUMMYFUNCTION("""COMPUTED_VALUE"""),88.0)</f>
        <v>88</v>
      </c>
    </row>
    <row r="1099">
      <c r="A1099" s="30" t="s">
        <v>3141</v>
      </c>
      <c r="B1099" s="30">
        <f>IFERROR(__xludf.DUMMYFUNCTION("""COMPUTED_VALUE"""),84.0)</f>
        <v>84</v>
      </c>
      <c r="C1099" s="30"/>
      <c r="D1099" s="30"/>
      <c r="E1099" s="30"/>
      <c r="F1099" s="30"/>
      <c r="G1099" s="30"/>
      <c r="H1099" s="30"/>
      <c r="I1099" s="30"/>
      <c r="J1099" s="30">
        <f>IFERROR(__xludf.DUMMYFUNCTION("""COMPUTED_VALUE"""),-11.059343513011441)</f>
        <v>-11.05934351</v>
      </c>
      <c r="K1099" s="30"/>
      <c r="L1099" s="30"/>
      <c r="M1099" s="30"/>
      <c r="N1099" s="30"/>
      <c r="O1099" s="30">
        <f>IFERROR(__xludf.DUMMYFUNCTION("""COMPUTED_VALUE"""),-2.630874715592867)</f>
        <v>-2.630874716</v>
      </c>
      <c r="P1099" s="30">
        <f>IFERROR(__xludf.DUMMYFUNCTION("""COMPUTED_VALUE"""),4.463999088063446)</f>
        <v>4.463999088</v>
      </c>
      <c r="Q1099" s="30"/>
      <c r="R1099" s="30"/>
      <c r="S1099" s="30"/>
      <c r="T1099" s="30"/>
      <c r="U1099" s="30">
        <v>0.0</v>
      </c>
      <c r="V1099" s="30"/>
      <c r="W1099" s="30"/>
      <c r="X1099" s="30"/>
      <c r="Y1099" s="5">
        <f>IFERROR(__xludf.DUMMYFUNCTION("""COMPUTED_VALUE"""),84.0)</f>
        <v>84</v>
      </c>
      <c r="Z1099" s="5">
        <f>IFERROR(__xludf.DUMMYFUNCTION("""COMPUTED_VALUE"""),84.0)</f>
        <v>84</v>
      </c>
    </row>
    <row r="1100">
      <c r="A1100" s="30" t="s">
        <v>2053</v>
      </c>
      <c r="B1100" s="30">
        <f>IFERROR(__xludf.DUMMYFUNCTION("""COMPUTED_VALUE"""),84.0)</f>
        <v>84</v>
      </c>
      <c r="C1100" s="30"/>
      <c r="D1100" s="30"/>
      <c r="E1100" s="30"/>
      <c r="F1100" s="30"/>
      <c r="G1100" s="30"/>
      <c r="H1100" s="30"/>
      <c r="I1100" s="30"/>
      <c r="J1100" s="30">
        <f>IFERROR(__xludf.DUMMYFUNCTION("""COMPUTED_VALUE"""),-11.059343513011441)</f>
        <v>-11.05934351</v>
      </c>
      <c r="K1100" s="30"/>
      <c r="L1100" s="30"/>
      <c r="M1100" s="30"/>
      <c r="N1100" s="30"/>
      <c r="O1100" s="30">
        <f>IFERROR(__xludf.DUMMYFUNCTION("""COMPUTED_VALUE"""),-2.630874715592867)</f>
        <v>-2.630874716</v>
      </c>
      <c r="P1100" s="30">
        <f>IFERROR(__xludf.DUMMYFUNCTION("""COMPUTED_VALUE"""),4.463999088063446)</f>
        <v>4.463999088</v>
      </c>
      <c r="Q1100" s="30"/>
      <c r="R1100" s="30"/>
      <c r="S1100" s="30"/>
      <c r="T1100" s="30"/>
      <c r="U1100" s="30">
        <v>0.0</v>
      </c>
      <c r="V1100" s="30"/>
      <c r="W1100" s="30"/>
      <c r="X1100" s="30"/>
      <c r="Y1100" s="5">
        <f>IFERROR(__xludf.DUMMYFUNCTION("""COMPUTED_VALUE"""),84.0)</f>
        <v>84</v>
      </c>
      <c r="Z1100" s="5">
        <f>IFERROR(__xludf.DUMMYFUNCTION("""COMPUTED_VALUE"""),84.0)</f>
        <v>84</v>
      </c>
    </row>
    <row r="1101">
      <c r="A1101" s="30" t="s">
        <v>238</v>
      </c>
      <c r="B1101" s="30">
        <f>IFERROR(__xludf.DUMMYFUNCTION("""COMPUTED_VALUE"""),87.5)</f>
        <v>87.5</v>
      </c>
      <c r="C1101" s="30"/>
      <c r="D1101" s="30"/>
      <c r="E1101" s="30"/>
      <c r="F1101" s="30"/>
      <c r="G1101" s="30"/>
      <c r="H1101" s="30"/>
      <c r="I1101" s="30"/>
      <c r="J1101" s="30">
        <f>IFERROR(__xludf.DUMMYFUNCTION("""COMPUTED_VALUE"""),-11.059343513011441)</f>
        <v>-11.05934351</v>
      </c>
      <c r="K1101" s="30"/>
      <c r="L1101" s="30"/>
      <c r="M1101" s="30"/>
      <c r="N1101" s="30"/>
      <c r="O1101" s="30">
        <f>IFERROR(__xludf.DUMMYFUNCTION("""COMPUTED_VALUE"""),-2.630874715592867)</f>
        <v>-2.630874716</v>
      </c>
      <c r="P1101" s="30">
        <f>IFERROR(__xludf.DUMMYFUNCTION("""COMPUTED_VALUE"""),4.463999088063446)</f>
        <v>4.463999088</v>
      </c>
      <c r="Q1101" s="30"/>
      <c r="R1101" s="30"/>
      <c r="S1101" s="30"/>
      <c r="T1101" s="30"/>
      <c r="U1101" s="30">
        <v>0.0</v>
      </c>
      <c r="V1101" s="30"/>
      <c r="W1101" s="30"/>
      <c r="X1101" s="30"/>
      <c r="Y1101" s="5">
        <f>IFERROR(__xludf.DUMMYFUNCTION("""COMPUTED_VALUE"""),87.0)</f>
        <v>87</v>
      </c>
      <c r="Z1101" s="5">
        <f>IFERROR(__xludf.DUMMYFUNCTION("""COMPUTED_VALUE"""),88.0)</f>
        <v>88</v>
      </c>
    </row>
    <row r="1102">
      <c r="A1102" s="30" t="s">
        <v>3142</v>
      </c>
      <c r="B1102" s="30">
        <f>IFERROR(__xludf.DUMMYFUNCTION("""COMPUTED_VALUE"""),84.0)</f>
        <v>84</v>
      </c>
      <c r="C1102" s="30"/>
      <c r="D1102" s="30"/>
      <c r="E1102" s="30"/>
      <c r="F1102" s="30"/>
      <c r="G1102" s="30"/>
      <c r="H1102" s="30"/>
      <c r="I1102" s="30"/>
      <c r="J1102" s="30">
        <f>IFERROR(__xludf.DUMMYFUNCTION("""COMPUTED_VALUE"""),-11.059343513011441)</f>
        <v>-11.05934351</v>
      </c>
      <c r="K1102" s="30"/>
      <c r="L1102" s="30"/>
      <c r="M1102" s="30"/>
      <c r="N1102" s="30"/>
      <c r="O1102" s="30">
        <f>IFERROR(__xludf.DUMMYFUNCTION("""COMPUTED_VALUE"""),-2.630874715592867)</f>
        <v>-2.630874716</v>
      </c>
      <c r="P1102" s="30">
        <f>IFERROR(__xludf.DUMMYFUNCTION("""COMPUTED_VALUE"""),4.463999088063446)</f>
        <v>4.463999088</v>
      </c>
      <c r="Q1102" s="30"/>
      <c r="R1102" s="30"/>
      <c r="S1102" s="30"/>
      <c r="T1102" s="30"/>
      <c r="U1102" s="30">
        <v>0.0</v>
      </c>
      <c r="V1102" s="30"/>
      <c r="W1102" s="30"/>
      <c r="X1102" s="30"/>
      <c r="Y1102" s="5">
        <f>IFERROR(__xludf.DUMMYFUNCTION("""COMPUTED_VALUE"""),84.0)</f>
        <v>84</v>
      </c>
      <c r="Z1102" s="5">
        <f>IFERROR(__xludf.DUMMYFUNCTION("""COMPUTED_VALUE"""),84.0)</f>
        <v>84</v>
      </c>
    </row>
    <row r="1103">
      <c r="A1103" s="30" t="s">
        <v>3143</v>
      </c>
      <c r="B1103" s="30">
        <f>IFERROR(__xludf.DUMMYFUNCTION("""COMPUTED_VALUE"""),84.0)</f>
        <v>84</v>
      </c>
      <c r="C1103" s="30"/>
      <c r="D1103" s="30"/>
      <c r="E1103" s="30"/>
      <c r="F1103" s="30"/>
      <c r="G1103" s="30"/>
      <c r="H1103" s="30"/>
      <c r="I1103" s="30"/>
      <c r="J1103" s="30">
        <f>IFERROR(__xludf.DUMMYFUNCTION("""COMPUTED_VALUE"""),-11.059343513011441)</f>
        <v>-11.05934351</v>
      </c>
      <c r="K1103" s="30"/>
      <c r="L1103" s="30"/>
      <c r="M1103" s="30"/>
      <c r="N1103" s="30"/>
      <c r="O1103" s="30">
        <f>IFERROR(__xludf.DUMMYFUNCTION("""COMPUTED_VALUE"""),-2.630874715592867)</f>
        <v>-2.630874716</v>
      </c>
      <c r="P1103" s="30">
        <f>IFERROR(__xludf.DUMMYFUNCTION("""COMPUTED_VALUE"""),4.463999088063446)</f>
        <v>4.463999088</v>
      </c>
      <c r="Q1103" s="30"/>
      <c r="R1103" s="30"/>
      <c r="S1103" s="30"/>
      <c r="T1103" s="30"/>
      <c r="U1103" s="30">
        <v>0.0</v>
      </c>
      <c r="V1103" s="30"/>
      <c r="W1103" s="30"/>
      <c r="X1103" s="30"/>
      <c r="Y1103" s="5">
        <f>IFERROR(__xludf.DUMMYFUNCTION("""COMPUTED_VALUE"""),84.0)</f>
        <v>84</v>
      </c>
      <c r="Z1103" s="5">
        <f>IFERROR(__xludf.DUMMYFUNCTION("""COMPUTED_VALUE"""),84.0)</f>
        <v>84</v>
      </c>
    </row>
    <row r="1104">
      <c r="A1104" s="30" t="s">
        <v>3147</v>
      </c>
      <c r="B1104" s="30">
        <f>IFERROR(__xludf.DUMMYFUNCTION("""COMPUTED_VALUE"""),86.0)</f>
        <v>86</v>
      </c>
      <c r="C1104" s="30"/>
      <c r="D1104" s="30"/>
      <c r="E1104" s="30"/>
      <c r="F1104" s="30"/>
      <c r="G1104" s="30"/>
      <c r="H1104" s="30"/>
      <c r="I1104" s="30"/>
      <c r="J1104" s="30">
        <f>IFERROR(__xludf.DUMMYFUNCTION("""COMPUTED_VALUE"""),-11.059343513011441)</f>
        <v>-11.05934351</v>
      </c>
      <c r="K1104" s="30"/>
      <c r="L1104" s="30"/>
      <c r="M1104" s="30"/>
      <c r="N1104" s="30"/>
      <c r="O1104" s="30">
        <f>IFERROR(__xludf.DUMMYFUNCTION("""COMPUTED_VALUE"""),-2.630874715592867)</f>
        <v>-2.630874716</v>
      </c>
      <c r="P1104" s="30">
        <f>IFERROR(__xludf.DUMMYFUNCTION("""COMPUTED_VALUE"""),4.463999088063446)</f>
        <v>4.463999088</v>
      </c>
      <c r="Q1104" s="30"/>
      <c r="R1104" s="30"/>
      <c r="S1104" s="30"/>
      <c r="T1104" s="30"/>
      <c r="U1104" s="30">
        <v>0.0</v>
      </c>
      <c r="V1104" s="30"/>
      <c r="W1104" s="30"/>
      <c r="X1104" s="30"/>
      <c r="Y1104" s="5">
        <f>IFERROR(__xludf.DUMMYFUNCTION("""COMPUTED_VALUE"""),84.0)</f>
        <v>84</v>
      </c>
      <c r="Z1104" s="5">
        <f>IFERROR(__xludf.DUMMYFUNCTION("""COMPUTED_VALUE"""),88.0)</f>
        <v>88</v>
      </c>
    </row>
    <row r="1105">
      <c r="A1105" s="30" t="s">
        <v>3150</v>
      </c>
      <c r="B1105" s="30">
        <f>IFERROR(__xludf.DUMMYFUNCTION("""COMPUTED_VALUE"""),83.0)</f>
        <v>83</v>
      </c>
      <c r="C1105" s="30"/>
      <c r="D1105" s="30"/>
      <c r="E1105" s="30"/>
      <c r="F1105" s="30"/>
      <c r="G1105" s="30"/>
      <c r="H1105" s="30"/>
      <c r="I1105" s="30"/>
      <c r="J1105" s="30">
        <f>IFERROR(__xludf.DUMMYFUNCTION("""COMPUTED_VALUE"""),-11.059343513011441)</f>
        <v>-11.05934351</v>
      </c>
      <c r="K1105" s="30"/>
      <c r="L1105" s="30"/>
      <c r="M1105" s="30"/>
      <c r="N1105" s="30"/>
      <c r="O1105" s="30">
        <f>IFERROR(__xludf.DUMMYFUNCTION("""COMPUTED_VALUE"""),-2.630874715592867)</f>
        <v>-2.630874716</v>
      </c>
      <c r="P1105" s="30">
        <f>IFERROR(__xludf.DUMMYFUNCTION("""COMPUTED_VALUE"""),4.463999088063446)</f>
        <v>4.463999088</v>
      </c>
      <c r="Q1105" s="30"/>
      <c r="R1105" s="30"/>
      <c r="S1105" s="30"/>
      <c r="T1105" s="30"/>
      <c r="U1105" s="30">
        <v>0.0</v>
      </c>
      <c r="V1105" s="30"/>
      <c r="W1105" s="30"/>
      <c r="X1105" s="30"/>
      <c r="Y1105" s="5">
        <f>IFERROR(__xludf.DUMMYFUNCTION("""COMPUTED_VALUE"""),82.0)</f>
        <v>82</v>
      </c>
      <c r="Z1105" s="5">
        <f>IFERROR(__xludf.DUMMYFUNCTION("""COMPUTED_VALUE"""),84.0)</f>
        <v>84</v>
      </c>
    </row>
    <row r="1106">
      <c r="A1106" s="30" t="s">
        <v>3154</v>
      </c>
      <c r="B1106" s="30">
        <f>IFERROR(__xludf.DUMMYFUNCTION("""COMPUTED_VALUE"""),81.0)</f>
        <v>81</v>
      </c>
      <c r="C1106" s="30"/>
      <c r="D1106" s="30"/>
      <c r="E1106" s="30"/>
      <c r="F1106" s="30"/>
      <c r="G1106" s="30"/>
      <c r="H1106" s="30"/>
      <c r="I1106" s="30"/>
      <c r="J1106" s="30">
        <f>IFERROR(__xludf.DUMMYFUNCTION("""COMPUTED_VALUE"""),-11.059343513011441)</f>
        <v>-11.05934351</v>
      </c>
      <c r="K1106" s="30"/>
      <c r="L1106" s="30"/>
      <c r="M1106" s="30"/>
      <c r="N1106" s="30"/>
      <c r="O1106" s="30">
        <f>IFERROR(__xludf.DUMMYFUNCTION("""COMPUTED_VALUE"""),-2.630874715592867)</f>
        <v>-2.630874716</v>
      </c>
      <c r="P1106" s="30">
        <f>IFERROR(__xludf.DUMMYFUNCTION("""COMPUTED_VALUE"""),4.463999088063446)</f>
        <v>4.463999088</v>
      </c>
      <c r="Q1106" s="30"/>
      <c r="R1106" s="30"/>
      <c r="S1106" s="30"/>
      <c r="T1106" s="30"/>
      <c r="U1106" s="30">
        <v>0.0</v>
      </c>
      <c r="V1106" s="30"/>
      <c r="W1106" s="30"/>
      <c r="X1106" s="30"/>
      <c r="Y1106" s="5">
        <f>IFERROR(__xludf.DUMMYFUNCTION("""COMPUTED_VALUE"""),81.0)</f>
        <v>81</v>
      </c>
      <c r="Z1106" s="5">
        <f>IFERROR(__xludf.DUMMYFUNCTION("""COMPUTED_VALUE"""),81.0)</f>
        <v>81</v>
      </c>
    </row>
    <row r="1107">
      <c r="A1107" s="30" t="s">
        <v>3156</v>
      </c>
      <c r="B1107" s="30">
        <f>IFERROR(__xludf.DUMMYFUNCTION("""COMPUTED_VALUE"""),88.0)</f>
        <v>88</v>
      </c>
      <c r="C1107" s="30"/>
      <c r="D1107" s="30"/>
      <c r="E1107" s="30"/>
      <c r="F1107" s="30"/>
      <c r="G1107" s="30"/>
      <c r="H1107" s="30"/>
      <c r="I1107" s="30"/>
      <c r="J1107" s="30">
        <f>IFERROR(__xludf.DUMMYFUNCTION("""COMPUTED_VALUE"""),-11.059343513011441)</f>
        <v>-11.05934351</v>
      </c>
      <c r="K1107" s="30"/>
      <c r="L1107" s="30"/>
      <c r="M1107" s="30"/>
      <c r="N1107" s="30"/>
      <c r="O1107" s="30">
        <f>IFERROR(__xludf.DUMMYFUNCTION("""COMPUTED_VALUE"""),-2.630874715592867)</f>
        <v>-2.630874716</v>
      </c>
      <c r="P1107" s="30">
        <f>IFERROR(__xludf.DUMMYFUNCTION("""COMPUTED_VALUE"""),4.463999088063446)</f>
        <v>4.463999088</v>
      </c>
      <c r="Q1107" s="30"/>
      <c r="R1107" s="30"/>
      <c r="S1107" s="30"/>
      <c r="T1107" s="30"/>
      <c r="U1107" s="30">
        <v>0.0</v>
      </c>
      <c r="V1107" s="30"/>
      <c r="W1107" s="30"/>
      <c r="X1107" s="30"/>
      <c r="Y1107" s="5">
        <f>IFERROR(__xludf.DUMMYFUNCTION("""COMPUTED_VALUE"""),88.0)</f>
        <v>88</v>
      </c>
      <c r="Z1107" s="5">
        <f>IFERROR(__xludf.DUMMYFUNCTION("""COMPUTED_VALUE"""),88.0)</f>
        <v>88</v>
      </c>
    </row>
    <row r="1108">
      <c r="A1108" s="30" t="s">
        <v>3157</v>
      </c>
      <c r="B1108" s="30">
        <f>IFERROR(__xludf.DUMMYFUNCTION("""COMPUTED_VALUE"""),84.0)</f>
        <v>84</v>
      </c>
      <c r="C1108" s="30"/>
      <c r="D1108" s="30"/>
      <c r="E1108" s="30"/>
      <c r="F1108" s="30"/>
      <c r="G1108" s="30"/>
      <c r="H1108" s="30"/>
      <c r="I1108" s="30"/>
      <c r="J1108" s="30">
        <f>IFERROR(__xludf.DUMMYFUNCTION("""COMPUTED_VALUE"""),-11.059343513011441)</f>
        <v>-11.05934351</v>
      </c>
      <c r="K1108" s="30"/>
      <c r="L1108" s="30"/>
      <c r="M1108" s="30"/>
      <c r="N1108" s="30"/>
      <c r="O1108" s="30">
        <f>IFERROR(__xludf.DUMMYFUNCTION("""COMPUTED_VALUE"""),-2.630874715592867)</f>
        <v>-2.630874716</v>
      </c>
      <c r="P1108" s="30">
        <f>IFERROR(__xludf.DUMMYFUNCTION("""COMPUTED_VALUE"""),4.463999088063446)</f>
        <v>4.463999088</v>
      </c>
      <c r="Q1108" s="30"/>
      <c r="R1108" s="30"/>
      <c r="S1108" s="30"/>
      <c r="T1108" s="30"/>
      <c r="U1108" s="30">
        <v>0.0</v>
      </c>
      <c r="V1108" s="30"/>
      <c r="W1108" s="30"/>
      <c r="X1108" s="30"/>
      <c r="Y1108" s="5">
        <f>IFERROR(__xludf.DUMMYFUNCTION("""COMPUTED_VALUE"""),84.0)</f>
        <v>84</v>
      </c>
      <c r="Z1108" s="5">
        <f>IFERROR(__xludf.DUMMYFUNCTION("""COMPUTED_VALUE"""),84.0)</f>
        <v>84</v>
      </c>
    </row>
    <row r="1109">
      <c r="A1109" s="30" t="s">
        <v>2610</v>
      </c>
      <c r="B1109" s="30">
        <f>IFERROR(__xludf.DUMMYFUNCTION("""COMPUTED_VALUE"""),84.0)</f>
        <v>84</v>
      </c>
      <c r="C1109" s="30"/>
      <c r="D1109" s="30"/>
      <c r="E1109" s="30"/>
      <c r="F1109" s="30"/>
      <c r="G1109" s="30"/>
      <c r="H1109" s="30"/>
      <c r="I1109" s="30"/>
      <c r="J1109" s="30">
        <f>IFERROR(__xludf.DUMMYFUNCTION("""COMPUTED_VALUE"""),-11.059343513011441)</f>
        <v>-11.05934351</v>
      </c>
      <c r="K1109" s="30"/>
      <c r="L1109" s="30"/>
      <c r="M1109" s="30"/>
      <c r="N1109" s="30"/>
      <c r="O1109" s="30">
        <f>IFERROR(__xludf.DUMMYFUNCTION("""COMPUTED_VALUE"""),-2.630874715592867)</f>
        <v>-2.630874716</v>
      </c>
      <c r="P1109" s="30">
        <f>IFERROR(__xludf.DUMMYFUNCTION("""COMPUTED_VALUE"""),4.463999088063446)</f>
        <v>4.463999088</v>
      </c>
      <c r="Q1109" s="30"/>
      <c r="R1109" s="30"/>
      <c r="S1109" s="30"/>
      <c r="T1109" s="30"/>
      <c r="U1109" s="30">
        <v>0.0</v>
      </c>
      <c r="V1109" s="30"/>
      <c r="W1109" s="30"/>
      <c r="X1109" s="30"/>
      <c r="Y1109" s="5">
        <f>IFERROR(__xludf.DUMMYFUNCTION("""COMPUTED_VALUE"""),84.0)</f>
        <v>84</v>
      </c>
      <c r="Z1109" s="5">
        <f>IFERROR(__xludf.DUMMYFUNCTION("""COMPUTED_VALUE"""),84.0)</f>
        <v>84</v>
      </c>
    </row>
    <row r="1110">
      <c r="A1110" s="30" t="s">
        <v>3158</v>
      </c>
      <c r="B1110" s="30">
        <f>IFERROR(__xludf.DUMMYFUNCTION("""COMPUTED_VALUE"""),88.0)</f>
        <v>88</v>
      </c>
      <c r="C1110" s="30"/>
      <c r="D1110" s="30"/>
      <c r="E1110" s="30"/>
      <c r="F1110" s="30"/>
      <c r="G1110" s="30"/>
      <c r="H1110" s="30"/>
      <c r="I1110" s="30"/>
      <c r="J1110" s="30">
        <f>IFERROR(__xludf.DUMMYFUNCTION("""COMPUTED_VALUE"""),-11.059343513011441)</f>
        <v>-11.05934351</v>
      </c>
      <c r="K1110" s="30"/>
      <c r="L1110" s="30"/>
      <c r="M1110" s="30"/>
      <c r="N1110" s="30"/>
      <c r="O1110" s="30">
        <f>IFERROR(__xludf.DUMMYFUNCTION("""COMPUTED_VALUE"""),-2.630874715592867)</f>
        <v>-2.630874716</v>
      </c>
      <c r="P1110" s="30">
        <f>IFERROR(__xludf.DUMMYFUNCTION("""COMPUTED_VALUE"""),4.463999088063446)</f>
        <v>4.463999088</v>
      </c>
      <c r="Q1110" s="30"/>
      <c r="R1110" s="30"/>
      <c r="S1110" s="30"/>
      <c r="T1110" s="30"/>
      <c r="U1110" s="30">
        <v>0.0</v>
      </c>
      <c r="V1110" s="30"/>
      <c r="W1110" s="30"/>
      <c r="X1110" s="30"/>
      <c r="Y1110" s="5">
        <f>IFERROR(__xludf.DUMMYFUNCTION("""COMPUTED_VALUE"""),88.0)</f>
        <v>88</v>
      </c>
      <c r="Z1110" s="5">
        <f>IFERROR(__xludf.DUMMYFUNCTION("""COMPUTED_VALUE"""),88.0)</f>
        <v>88</v>
      </c>
    </row>
    <row r="1111">
      <c r="A1111" s="30" t="s">
        <v>3159</v>
      </c>
      <c r="B1111" s="30">
        <f>IFERROR(__xludf.DUMMYFUNCTION("""COMPUTED_VALUE"""),84.0)</f>
        <v>84</v>
      </c>
      <c r="C1111" s="30"/>
      <c r="D1111" s="30"/>
      <c r="E1111" s="30"/>
      <c r="F1111" s="30"/>
      <c r="G1111" s="30"/>
      <c r="H1111" s="30"/>
      <c r="I1111" s="30"/>
      <c r="J1111" s="30">
        <f>IFERROR(__xludf.DUMMYFUNCTION("""COMPUTED_VALUE"""),-11.059343513011441)</f>
        <v>-11.05934351</v>
      </c>
      <c r="K1111" s="30"/>
      <c r="L1111" s="30"/>
      <c r="M1111" s="30"/>
      <c r="N1111" s="30"/>
      <c r="O1111" s="30">
        <f>IFERROR(__xludf.DUMMYFUNCTION("""COMPUTED_VALUE"""),-2.630874715592867)</f>
        <v>-2.630874716</v>
      </c>
      <c r="P1111" s="30">
        <f>IFERROR(__xludf.DUMMYFUNCTION("""COMPUTED_VALUE"""),4.463999088063446)</f>
        <v>4.463999088</v>
      </c>
      <c r="Q1111" s="30"/>
      <c r="R1111" s="30"/>
      <c r="S1111" s="30"/>
      <c r="T1111" s="30"/>
      <c r="U1111" s="30">
        <v>0.0</v>
      </c>
      <c r="V1111" s="30"/>
      <c r="W1111" s="30"/>
      <c r="X1111" s="30"/>
      <c r="Y1111" s="5">
        <f>IFERROR(__xludf.DUMMYFUNCTION("""COMPUTED_VALUE"""),84.0)</f>
        <v>84</v>
      </c>
      <c r="Z1111" s="5">
        <f>IFERROR(__xludf.DUMMYFUNCTION("""COMPUTED_VALUE"""),84.0)</f>
        <v>84</v>
      </c>
    </row>
    <row r="1112">
      <c r="A1112" s="30" t="s">
        <v>3160</v>
      </c>
      <c r="B1112" s="30">
        <f>IFERROR(__xludf.DUMMYFUNCTION("""COMPUTED_VALUE"""),84.0)</f>
        <v>84</v>
      </c>
      <c r="C1112" s="30"/>
      <c r="D1112" s="30"/>
      <c r="E1112" s="30"/>
      <c r="F1112" s="30"/>
      <c r="G1112" s="30"/>
      <c r="H1112" s="30"/>
      <c r="I1112" s="30"/>
      <c r="J1112" s="30">
        <f>IFERROR(__xludf.DUMMYFUNCTION("""COMPUTED_VALUE"""),-11.059343513011441)</f>
        <v>-11.05934351</v>
      </c>
      <c r="K1112" s="30"/>
      <c r="L1112" s="30"/>
      <c r="M1112" s="30"/>
      <c r="N1112" s="30"/>
      <c r="O1112" s="30">
        <f>IFERROR(__xludf.DUMMYFUNCTION("""COMPUTED_VALUE"""),-2.630874715592867)</f>
        <v>-2.630874716</v>
      </c>
      <c r="P1112" s="30">
        <f>IFERROR(__xludf.DUMMYFUNCTION("""COMPUTED_VALUE"""),4.463999088063446)</f>
        <v>4.463999088</v>
      </c>
      <c r="Q1112" s="30"/>
      <c r="R1112" s="30"/>
      <c r="S1112" s="30"/>
      <c r="T1112" s="30"/>
      <c r="U1112" s="30">
        <v>0.0</v>
      </c>
      <c r="V1112" s="30"/>
      <c r="W1112" s="30"/>
      <c r="X1112" s="30"/>
      <c r="Y1112" s="5">
        <f>IFERROR(__xludf.DUMMYFUNCTION("""COMPUTED_VALUE"""),84.0)</f>
        <v>84</v>
      </c>
      <c r="Z1112" s="5">
        <f>IFERROR(__xludf.DUMMYFUNCTION("""COMPUTED_VALUE"""),84.0)</f>
        <v>84</v>
      </c>
    </row>
    <row r="1113">
      <c r="A1113" s="30" t="s">
        <v>3161</v>
      </c>
      <c r="B1113" s="30">
        <f>IFERROR(__xludf.DUMMYFUNCTION("""COMPUTED_VALUE"""),86.0)</f>
        <v>86</v>
      </c>
      <c r="C1113" s="30"/>
      <c r="D1113" s="30"/>
      <c r="E1113" s="30"/>
      <c r="F1113" s="30"/>
      <c r="G1113" s="30"/>
      <c r="H1113" s="30"/>
      <c r="I1113" s="30"/>
      <c r="J1113" s="30">
        <f>IFERROR(__xludf.DUMMYFUNCTION("""COMPUTED_VALUE"""),-11.059343513011441)</f>
        <v>-11.05934351</v>
      </c>
      <c r="K1113" s="30"/>
      <c r="L1113" s="30"/>
      <c r="M1113" s="30"/>
      <c r="N1113" s="30"/>
      <c r="O1113" s="30">
        <f>IFERROR(__xludf.DUMMYFUNCTION("""COMPUTED_VALUE"""),-2.630874715592867)</f>
        <v>-2.630874716</v>
      </c>
      <c r="P1113" s="30">
        <f>IFERROR(__xludf.DUMMYFUNCTION("""COMPUTED_VALUE"""),4.463999088063446)</f>
        <v>4.463999088</v>
      </c>
      <c r="Q1113" s="30"/>
      <c r="R1113" s="30"/>
      <c r="S1113" s="30"/>
      <c r="T1113" s="30"/>
      <c r="U1113" s="30">
        <v>0.0</v>
      </c>
      <c r="V1113" s="30"/>
      <c r="W1113" s="30"/>
      <c r="X1113" s="30"/>
      <c r="Y1113" s="5">
        <f>IFERROR(__xludf.DUMMYFUNCTION("""COMPUTED_VALUE"""),84.0)</f>
        <v>84</v>
      </c>
      <c r="Z1113" s="5">
        <f>IFERROR(__xludf.DUMMYFUNCTION("""COMPUTED_VALUE"""),88.0)</f>
        <v>88</v>
      </c>
    </row>
    <row r="1114">
      <c r="A1114" s="30" t="s">
        <v>3162</v>
      </c>
      <c r="B1114" s="30">
        <f>IFERROR(__xludf.DUMMYFUNCTION("""COMPUTED_VALUE"""),84.0)</f>
        <v>84</v>
      </c>
      <c r="C1114" s="30"/>
      <c r="D1114" s="30"/>
      <c r="E1114" s="30"/>
      <c r="F1114" s="30"/>
      <c r="G1114" s="30"/>
      <c r="H1114" s="30"/>
      <c r="I1114" s="30"/>
      <c r="J1114" s="30">
        <f>IFERROR(__xludf.DUMMYFUNCTION("""COMPUTED_VALUE"""),-11.059343513011441)</f>
        <v>-11.05934351</v>
      </c>
      <c r="K1114" s="30"/>
      <c r="L1114" s="30"/>
      <c r="M1114" s="30"/>
      <c r="N1114" s="30"/>
      <c r="O1114" s="30">
        <f>IFERROR(__xludf.DUMMYFUNCTION("""COMPUTED_VALUE"""),-2.630874715592867)</f>
        <v>-2.630874716</v>
      </c>
      <c r="P1114" s="30">
        <f>IFERROR(__xludf.DUMMYFUNCTION("""COMPUTED_VALUE"""),4.463999088063446)</f>
        <v>4.463999088</v>
      </c>
      <c r="Q1114" s="30"/>
      <c r="R1114" s="30"/>
      <c r="S1114" s="30"/>
      <c r="T1114" s="30"/>
      <c r="U1114" s="30">
        <v>0.0</v>
      </c>
      <c r="V1114" s="30"/>
      <c r="W1114" s="30"/>
      <c r="X1114" s="30"/>
      <c r="Y1114" s="5">
        <f>IFERROR(__xludf.DUMMYFUNCTION("""COMPUTED_VALUE"""),84.0)</f>
        <v>84</v>
      </c>
      <c r="Z1114" s="5">
        <f>IFERROR(__xludf.DUMMYFUNCTION("""COMPUTED_VALUE"""),84.0)</f>
        <v>84</v>
      </c>
    </row>
    <row r="1115">
      <c r="A1115" s="30" t="s">
        <v>2587</v>
      </c>
      <c r="B1115" s="30">
        <f>IFERROR(__xludf.DUMMYFUNCTION("""COMPUTED_VALUE"""),86.0)</f>
        <v>86</v>
      </c>
      <c r="C1115" s="30"/>
      <c r="D1115" s="30"/>
      <c r="E1115" s="30"/>
      <c r="F1115" s="30"/>
      <c r="G1115" s="30"/>
      <c r="H1115" s="30"/>
      <c r="I1115" s="30"/>
      <c r="J1115" s="30">
        <f>IFERROR(__xludf.DUMMYFUNCTION("""COMPUTED_VALUE"""),-11.059343513011441)</f>
        <v>-11.05934351</v>
      </c>
      <c r="K1115" s="30"/>
      <c r="L1115" s="30"/>
      <c r="M1115" s="30"/>
      <c r="N1115" s="30"/>
      <c r="O1115" s="30">
        <f>IFERROR(__xludf.DUMMYFUNCTION("""COMPUTED_VALUE"""),-2.630874715592867)</f>
        <v>-2.630874716</v>
      </c>
      <c r="P1115" s="30">
        <f>IFERROR(__xludf.DUMMYFUNCTION("""COMPUTED_VALUE"""),4.463999088063446)</f>
        <v>4.463999088</v>
      </c>
      <c r="Q1115" s="30"/>
      <c r="R1115" s="30"/>
      <c r="S1115" s="30"/>
      <c r="T1115" s="30"/>
      <c r="U1115" s="30">
        <v>0.0</v>
      </c>
      <c r="V1115" s="30"/>
      <c r="W1115" s="30"/>
      <c r="X1115" s="30"/>
      <c r="Y1115" s="5">
        <f>IFERROR(__xludf.DUMMYFUNCTION("""COMPUTED_VALUE"""),84.0)</f>
        <v>84</v>
      </c>
      <c r="Z1115" s="5">
        <f>IFERROR(__xludf.DUMMYFUNCTION("""COMPUTED_VALUE"""),88.0)</f>
        <v>88</v>
      </c>
    </row>
    <row r="1116">
      <c r="A1116" s="30" t="s">
        <v>3165</v>
      </c>
      <c r="B1116" s="30">
        <f>IFERROR(__xludf.DUMMYFUNCTION("""COMPUTED_VALUE"""),84.0)</f>
        <v>84</v>
      </c>
      <c r="C1116" s="30"/>
      <c r="D1116" s="30"/>
      <c r="E1116" s="30"/>
      <c r="F1116" s="30"/>
      <c r="G1116" s="30"/>
      <c r="H1116" s="30"/>
      <c r="I1116" s="30"/>
      <c r="J1116" s="30">
        <f>IFERROR(__xludf.DUMMYFUNCTION("""COMPUTED_VALUE"""),-11.059343513011441)</f>
        <v>-11.05934351</v>
      </c>
      <c r="K1116" s="30"/>
      <c r="L1116" s="30"/>
      <c r="M1116" s="30"/>
      <c r="N1116" s="30"/>
      <c r="O1116" s="30">
        <f>IFERROR(__xludf.DUMMYFUNCTION("""COMPUTED_VALUE"""),-2.630874715592867)</f>
        <v>-2.630874716</v>
      </c>
      <c r="P1116" s="30">
        <f>IFERROR(__xludf.DUMMYFUNCTION("""COMPUTED_VALUE"""),4.463999088063446)</f>
        <v>4.463999088</v>
      </c>
      <c r="Q1116" s="30"/>
      <c r="R1116" s="30"/>
      <c r="S1116" s="30"/>
      <c r="T1116" s="30"/>
      <c r="U1116" s="30">
        <v>0.0</v>
      </c>
      <c r="V1116" s="30"/>
      <c r="W1116" s="30"/>
      <c r="X1116" s="30"/>
      <c r="Y1116" s="5">
        <f>IFERROR(__xludf.DUMMYFUNCTION("""COMPUTED_VALUE"""),84.0)</f>
        <v>84</v>
      </c>
      <c r="Z1116" s="5">
        <f>IFERROR(__xludf.DUMMYFUNCTION("""COMPUTED_VALUE"""),84.0)</f>
        <v>84</v>
      </c>
    </row>
    <row r="1117">
      <c r="A1117" s="30" t="s">
        <v>3166</v>
      </c>
      <c r="B1117" s="30">
        <f>IFERROR(__xludf.DUMMYFUNCTION("""COMPUTED_VALUE"""),84.0)</f>
        <v>84</v>
      </c>
      <c r="C1117" s="30"/>
      <c r="D1117" s="30"/>
      <c r="E1117" s="30"/>
      <c r="F1117" s="30"/>
      <c r="G1117" s="30"/>
      <c r="H1117" s="30"/>
      <c r="I1117" s="30"/>
      <c r="J1117" s="30">
        <f>IFERROR(__xludf.DUMMYFUNCTION("""COMPUTED_VALUE"""),-11.059343513011441)</f>
        <v>-11.05934351</v>
      </c>
      <c r="K1117" s="30"/>
      <c r="L1117" s="30"/>
      <c r="M1117" s="30"/>
      <c r="N1117" s="30"/>
      <c r="O1117" s="30">
        <f>IFERROR(__xludf.DUMMYFUNCTION("""COMPUTED_VALUE"""),-2.630874715592867)</f>
        <v>-2.630874716</v>
      </c>
      <c r="P1117" s="30">
        <f>IFERROR(__xludf.DUMMYFUNCTION("""COMPUTED_VALUE"""),4.463999088063446)</f>
        <v>4.463999088</v>
      </c>
      <c r="Q1117" s="30"/>
      <c r="R1117" s="30"/>
      <c r="S1117" s="30"/>
      <c r="T1117" s="30"/>
      <c r="U1117" s="30">
        <v>0.0</v>
      </c>
      <c r="V1117" s="30"/>
      <c r="W1117" s="30"/>
      <c r="X1117" s="30"/>
      <c r="Y1117" s="5">
        <f>IFERROR(__xludf.DUMMYFUNCTION("""COMPUTED_VALUE"""),84.0)</f>
        <v>84</v>
      </c>
      <c r="Z1117" s="5">
        <f>IFERROR(__xludf.DUMMYFUNCTION("""COMPUTED_VALUE"""),84.0)</f>
        <v>84</v>
      </c>
    </row>
    <row r="1118">
      <c r="A1118" s="30" t="s">
        <v>2691</v>
      </c>
      <c r="B1118" s="30">
        <f>IFERROR(__xludf.DUMMYFUNCTION("""COMPUTED_VALUE"""),83.5)</f>
        <v>83.5</v>
      </c>
      <c r="C1118" s="30"/>
      <c r="D1118" s="30"/>
      <c r="E1118" s="30"/>
      <c r="F1118" s="30"/>
      <c r="G1118" s="30"/>
      <c r="H1118" s="30"/>
      <c r="I1118" s="30"/>
      <c r="J1118" s="30">
        <f>IFERROR(__xludf.DUMMYFUNCTION("""COMPUTED_VALUE"""),-11.059343513011441)</f>
        <v>-11.05934351</v>
      </c>
      <c r="K1118" s="30"/>
      <c r="L1118" s="30"/>
      <c r="M1118" s="30"/>
      <c r="N1118" s="30"/>
      <c r="O1118" s="30">
        <f>IFERROR(__xludf.DUMMYFUNCTION("""COMPUTED_VALUE"""),-2.630874715592867)</f>
        <v>-2.630874716</v>
      </c>
      <c r="P1118" s="30">
        <f>IFERROR(__xludf.DUMMYFUNCTION("""COMPUTED_VALUE"""),4.463999088063446)</f>
        <v>4.463999088</v>
      </c>
      <c r="Q1118" s="30"/>
      <c r="R1118" s="30"/>
      <c r="S1118" s="30"/>
      <c r="T1118" s="30"/>
      <c r="U1118" s="30">
        <v>0.0</v>
      </c>
      <c r="V1118" s="30"/>
      <c r="W1118" s="30"/>
      <c r="X1118" s="30"/>
      <c r="Y1118" s="5">
        <f>IFERROR(__xludf.DUMMYFUNCTION("""COMPUTED_VALUE"""),83.0)</f>
        <v>83</v>
      </c>
      <c r="Z1118" s="5">
        <f>IFERROR(__xludf.DUMMYFUNCTION("""COMPUTED_VALUE"""),84.0)</f>
        <v>84</v>
      </c>
    </row>
    <row r="1119">
      <c r="A1119" s="30" t="s">
        <v>3169</v>
      </c>
      <c r="B1119" s="30">
        <f>IFERROR(__xludf.DUMMYFUNCTION("""COMPUTED_VALUE"""),88.0)</f>
        <v>88</v>
      </c>
      <c r="C1119" s="30"/>
      <c r="D1119" s="30"/>
      <c r="E1119" s="30"/>
      <c r="F1119" s="30"/>
      <c r="G1119" s="30"/>
      <c r="H1119" s="30"/>
      <c r="I1119" s="30"/>
      <c r="J1119" s="30">
        <f>IFERROR(__xludf.DUMMYFUNCTION("""COMPUTED_VALUE"""),-11.059343513011441)</f>
        <v>-11.05934351</v>
      </c>
      <c r="K1119" s="30"/>
      <c r="L1119" s="30"/>
      <c r="M1119" s="30"/>
      <c r="N1119" s="30"/>
      <c r="O1119" s="30">
        <f>IFERROR(__xludf.DUMMYFUNCTION("""COMPUTED_VALUE"""),-2.630874715592867)</f>
        <v>-2.630874716</v>
      </c>
      <c r="P1119" s="30">
        <f>IFERROR(__xludf.DUMMYFUNCTION("""COMPUTED_VALUE"""),4.463999088063446)</f>
        <v>4.463999088</v>
      </c>
      <c r="Q1119" s="30"/>
      <c r="R1119" s="30"/>
      <c r="S1119" s="30"/>
      <c r="T1119" s="30"/>
      <c r="U1119" s="30">
        <v>0.0</v>
      </c>
      <c r="V1119" s="30"/>
      <c r="W1119" s="30"/>
      <c r="X1119" s="30"/>
      <c r="Y1119" s="5">
        <f>IFERROR(__xludf.DUMMYFUNCTION("""COMPUTED_VALUE"""),88.0)</f>
        <v>88</v>
      </c>
      <c r="Z1119" s="5">
        <f>IFERROR(__xludf.DUMMYFUNCTION("""COMPUTED_VALUE"""),88.0)</f>
        <v>88</v>
      </c>
    </row>
    <row r="1120">
      <c r="A1120" s="30" t="s">
        <v>3170</v>
      </c>
      <c r="B1120" s="30">
        <f>IFERROR(__xludf.DUMMYFUNCTION("""COMPUTED_VALUE"""),84.0)</f>
        <v>84</v>
      </c>
      <c r="C1120" s="30"/>
      <c r="D1120" s="30"/>
      <c r="E1120" s="30"/>
      <c r="F1120" s="30"/>
      <c r="G1120" s="30"/>
      <c r="H1120" s="30"/>
      <c r="I1120" s="30"/>
      <c r="J1120" s="30">
        <f>IFERROR(__xludf.DUMMYFUNCTION("""COMPUTED_VALUE"""),-11.059343513011441)</f>
        <v>-11.05934351</v>
      </c>
      <c r="K1120" s="30"/>
      <c r="L1120" s="30"/>
      <c r="M1120" s="30"/>
      <c r="N1120" s="30"/>
      <c r="O1120" s="30">
        <f>IFERROR(__xludf.DUMMYFUNCTION("""COMPUTED_VALUE"""),-2.630874715592867)</f>
        <v>-2.630874716</v>
      </c>
      <c r="P1120" s="30">
        <f>IFERROR(__xludf.DUMMYFUNCTION("""COMPUTED_VALUE"""),4.463999088063446)</f>
        <v>4.463999088</v>
      </c>
      <c r="Q1120" s="30"/>
      <c r="R1120" s="30"/>
      <c r="S1120" s="30"/>
      <c r="T1120" s="30"/>
      <c r="U1120" s="30">
        <v>0.0</v>
      </c>
      <c r="V1120" s="30"/>
      <c r="W1120" s="30"/>
      <c r="X1120" s="30"/>
      <c r="Y1120" s="5">
        <f>IFERROR(__xludf.DUMMYFUNCTION("""COMPUTED_VALUE"""),84.0)</f>
        <v>84</v>
      </c>
      <c r="Z1120" s="5">
        <f>IFERROR(__xludf.DUMMYFUNCTION("""COMPUTED_VALUE"""),84.0)</f>
        <v>84</v>
      </c>
    </row>
    <row r="1121">
      <c r="A1121" s="30" t="s">
        <v>217</v>
      </c>
      <c r="B1121" s="30">
        <f>IFERROR(__xludf.DUMMYFUNCTION("""COMPUTED_VALUE"""),84.5)</f>
        <v>84.5</v>
      </c>
      <c r="C1121" s="30"/>
      <c r="D1121" s="30"/>
      <c r="E1121" s="30"/>
      <c r="F1121" s="30"/>
      <c r="G1121" s="30"/>
      <c r="H1121" s="30"/>
      <c r="I1121" s="30"/>
      <c r="J1121" s="30">
        <f>IFERROR(__xludf.DUMMYFUNCTION("""COMPUTED_VALUE"""),-11.059343513011441)</f>
        <v>-11.05934351</v>
      </c>
      <c r="K1121" s="30"/>
      <c r="L1121" s="30"/>
      <c r="M1121" s="30"/>
      <c r="N1121" s="30"/>
      <c r="O1121" s="30">
        <f>IFERROR(__xludf.DUMMYFUNCTION("""COMPUTED_VALUE"""),-2.630874715592867)</f>
        <v>-2.630874716</v>
      </c>
      <c r="P1121" s="30">
        <f>IFERROR(__xludf.DUMMYFUNCTION("""COMPUTED_VALUE"""),4.463999088063446)</f>
        <v>4.463999088</v>
      </c>
      <c r="Q1121" s="30"/>
      <c r="R1121" s="30"/>
      <c r="S1121" s="30"/>
      <c r="T1121" s="30"/>
      <c r="U1121" s="30">
        <v>0.0</v>
      </c>
      <c r="V1121" s="30"/>
      <c r="W1121" s="30"/>
      <c r="X1121" s="30"/>
      <c r="Y1121" s="5">
        <f>IFERROR(__xludf.DUMMYFUNCTION("""COMPUTED_VALUE"""),84.0)</f>
        <v>84</v>
      </c>
      <c r="Z1121" s="5">
        <f>IFERROR(__xludf.DUMMYFUNCTION("""COMPUTED_VALUE"""),85.0)</f>
        <v>85</v>
      </c>
    </row>
    <row r="1122">
      <c r="A1122" s="30" t="s">
        <v>3173</v>
      </c>
      <c r="B1122" s="30">
        <f>IFERROR(__xludf.DUMMYFUNCTION("""COMPUTED_VALUE"""),88.0)</f>
        <v>88</v>
      </c>
      <c r="C1122" s="30"/>
      <c r="D1122" s="30"/>
      <c r="E1122" s="30"/>
      <c r="F1122" s="30"/>
      <c r="G1122" s="30"/>
      <c r="H1122" s="30"/>
      <c r="I1122" s="30"/>
      <c r="J1122" s="30">
        <f>IFERROR(__xludf.DUMMYFUNCTION("""COMPUTED_VALUE"""),-11.059343513011441)</f>
        <v>-11.05934351</v>
      </c>
      <c r="K1122" s="30"/>
      <c r="L1122" s="30"/>
      <c r="M1122" s="30"/>
      <c r="N1122" s="30"/>
      <c r="O1122" s="30">
        <f>IFERROR(__xludf.DUMMYFUNCTION("""COMPUTED_VALUE"""),-2.630874715592867)</f>
        <v>-2.630874716</v>
      </c>
      <c r="P1122" s="30">
        <f>IFERROR(__xludf.DUMMYFUNCTION("""COMPUTED_VALUE"""),4.463999088063446)</f>
        <v>4.463999088</v>
      </c>
      <c r="Q1122" s="30"/>
      <c r="R1122" s="30"/>
      <c r="S1122" s="30"/>
      <c r="T1122" s="30"/>
      <c r="U1122" s="30">
        <v>0.0</v>
      </c>
      <c r="V1122" s="30"/>
      <c r="W1122" s="30"/>
      <c r="X1122" s="30"/>
      <c r="Y1122" s="5">
        <f>IFERROR(__xludf.DUMMYFUNCTION("""COMPUTED_VALUE"""),88.0)</f>
        <v>88</v>
      </c>
      <c r="Z1122" s="5">
        <f>IFERROR(__xludf.DUMMYFUNCTION("""COMPUTED_VALUE"""),88.0)</f>
        <v>88</v>
      </c>
    </row>
    <row r="1123">
      <c r="A1123" s="30" t="s">
        <v>3174</v>
      </c>
      <c r="B1123" s="30">
        <f>IFERROR(__xludf.DUMMYFUNCTION("""COMPUTED_VALUE"""),84.0)</f>
        <v>84</v>
      </c>
      <c r="C1123" s="30"/>
      <c r="D1123" s="30"/>
      <c r="E1123" s="30"/>
      <c r="F1123" s="30"/>
      <c r="G1123" s="30"/>
      <c r="H1123" s="30"/>
      <c r="I1123" s="30"/>
      <c r="J1123" s="30">
        <f>IFERROR(__xludf.DUMMYFUNCTION("""COMPUTED_VALUE"""),-11.059343513011441)</f>
        <v>-11.05934351</v>
      </c>
      <c r="K1123" s="30"/>
      <c r="L1123" s="30"/>
      <c r="M1123" s="30"/>
      <c r="N1123" s="30"/>
      <c r="O1123" s="30">
        <f>IFERROR(__xludf.DUMMYFUNCTION("""COMPUTED_VALUE"""),-2.630874715592867)</f>
        <v>-2.630874716</v>
      </c>
      <c r="P1123" s="30">
        <f>IFERROR(__xludf.DUMMYFUNCTION("""COMPUTED_VALUE"""),4.463999088063446)</f>
        <v>4.463999088</v>
      </c>
      <c r="Q1123" s="30"/>
      <c r="R1123" s="30"/>
      <c r="S1123" s="30"/>
      <c r="T1123" s="30"/>
      <c r="U1123" s="30">
        <v>0.0</v>
      </c>
      <c r="V1123" s="30"/>
      <c r="W1123" s="30"/>
      <c r="X1123" s="30"/>
      <c r="Y1123" s="5">
        <f>IFERROR(__xludf.DUMMYFUNCTION("""COMPUTED_VALUE"""),84.0)</f>
        <v>84</v>
      </c>
      <c r="Z1123" s="5">
        <f>IFERROR(__xludf.DUMMYFUNCTION("""COMPUTED_VALUE"""),84.0)</f>
        <v>84</v>
      </c>
    </row>
    <row r="1124">
      <c r="A1124" s="30" t="s">
        <v>2318</v>
      </c>
      <c r="B1124" s="30">
        <f>IFERROR(__xludf.DUMMYFUNCTION("""COMPUTED_VALUE"""),86.0)</f>
        <v>86</v>
      </c>
      <c r="C1124" s="30"/>
      <c r="D1124" s="30"/>
      <c r="E1124" s="30"/>
      <c r="F1124" s="30"/>
      <c r="G1124" s="30"/>
      <c r="H1124" s="30"/>
      <c r="I1124" s="30"/>
      <c r="J1124" s="30">
        <f>IFERROR(__xludf.DUMMYFUNCTION("""COMPUTED_VALUE"""),-11.059343513011441)</f>
        <v>-11.05934351</v>
      </c>
      <c r="K1124" s="30"/>
      <c r="L1124" s="30"/>
      <c r="M1124" s="30"/>
      <c r="N1124" s="30"/>
      <c r="O1124" s="30">
        <f>IFERROR(__xludf.DUMMYFUNCTION("""COMPUTED_VALUE"""),-2.630874715592867)</f>
        <v>-2.630874716</v>
      </c>
      <c r="P1124" s="30">
        <f>IFERROR(__xludf.DUMMYFUNCTION("""COMPUTED_VALUE"""),4.463999088063446)</f>
        <v>4.463999088</v>
      </c>
      <c r="Q1124" s="30"/>
      <c r="R1124" s="30"/>
      <c r="S1124" s="30"/>
      <c r="T1124" s="30"/>
      <c r="U1124" s="30">
        <v>0.0</v>
      </c>
      <c r="V1124" s="30"/>
      <c r="W1124" s="30"/>
      <c r="X1124" s="30"/>
      <c r="Y1124" s="5">
        <f>IFERROR(__xludf.DUMMYFUNCTION("""COMPUTED_VALUE"""),84.0)</f>
        <v>84</v>
      </c>
      <c r="Z1124" s="5">
        <f>IFERROR(__xludf.DUMMYFUNCTION("""COMPUTED_VALUE"""),88.0)</f>
        <v>88</v>
      </c>
    </row>
    <row r="1125">
      <c r="A1125" s="30" t="s">
        <v>3177</v>
      </c>
      <c r="B1125" s="30">
        <f>IFERROR(__xludf.DUMMYFUNCTION("""COMPUTED_VALUE"""),86.5)</f>
        <v>86.5</v>
      </c>
      <c r="C1125" s="30"/>
      <c r="D1125" s="30"/>
      <c r="E1125" s="30"/>
      <c r="F1125" s="30"/>
      <c r="G1125" s="30"/>
      <c r="H1125" s="30"/>
      <c r="I1125" s="30"/>
      <c r="J1125" s="30">
        <f>IFERROR(__xludf.DUMMYFUNCTION("""COMPUTED_VALUE"""),-11.059343513011441)</f>
        <v>-11.05934351</v>
      </c>
      <c r="K1125" s="30"/>
      <c r="L1125" s="30"/>
      <c r="M1125" s="30"/>
      <c r="N1125" s="30"/>
      <c r="O1125" s="30">
        <f>IFERROR(__xludf.DUMMYFUNCTION("""COMPUTED_VALUE"""),-2.630874715592867)</f>
        <v>-2.630874716</v>
      </c>
      <c r="P1125" s="30">
        <f>IFERROR(__xludf.DUMMYFUNCTION("""COMPUTED_VALUE"""),4.463999088063446)</f>
        <v>4.463999088</v>
      </c>
      <c r="Q1125" s="30"/>
      <c r="R1125" s="30"/>
      <c r="S1125" s="30"/>
      <c r="T1125" s="30"/>
      <c r="U1125" s="30">
        <v>0.0</v>
      </c>
      <c r="V1125" s="30"/>
      <c r="W1125" s="30"/>
      <c r="X1125" s="30"/>
      <c r="Y1125" s="5">
        <f>IFERROR(__xludf.DUMMYFUNCTION("""COMPUTED_VALUE"""),85.0)</f>
        <v>85</v>
      </c>
      <c r="Z1125" s="5">
        <f>IFERROR(__xludf.DUMMYFUNCTION("""COMPUTED_VALUE"""),88.0)</f>
        <v>88</v>
      </c>
    </row>
    <row r="1126">
      <c r="A1126" s="30" t="s">
        <v>2395</v>
      </c>
      <c r="B1126" s="30">
        <f>IFERROR(__xludf.DUMMYFUNCTION("""COMPUTED_VALUE"""),83.0)</f>
        <v>83</v>
      </c>
      <c r="C1126" s="30"/>
      <c r="D1126" s="30"/>
      <c r="E1126" s="30"/>
      <c r="F1126" s="30"/>
      <c r="G1126" s="30"/>
      <c r="H1126" s="30"/>
      <c r="I1126" s="30"/>
      <c r="J1126" s="30">
        <f>IFERROR(__xludf.DUMMYFUNCTION("""COMPUTED_VALUE"""),-11.059343513011441)</f>
        <v>-11.05934351</v>
      </c>
      <c r="K1126" s="30"/>
      <c r="L1126" s="30"/>
      <c r="M1126" s="30"/>
      <c r="N1126" s="30"/>
      <c r="O1126" s="30">
        <f>IFERROR(__xludf.DUMMYFUNCTION("""COMPUTED_VALUE"""),-2.630874715592867)</f>
        <v>-2.630874716</v>
      </c>
      <c r="P1126" s="30">
        <f>IFERROR(__xludf.DUMMYFUNCTION("""COMPUTED_VALUE"""),4.463999088063446)</f>
        <v>4.463999088</v>
      </c>
      <c r="Q1126" s="30"/>
      <c r="R1126" s="30"/>
      <c r="S1126" s="30"/>
      <c r="T1126" s="30"/>
      <c r="U1126" s="30">
        <v>0.0</v>
      </c>
      <c r="V1126" s="30"/>
      <c r="W1126" s="30"/>
      <c r="X1126" s="30"/>
      <c r="Y1126" s="5">
        <f>IFERROR(__xludf.DUMMYFUNCTION("""COMPUTED_VALUE"""),83.0)</f>
        <v>83</v>
      </c>
      <c r="Z1126" s="5">
        <f>IFERROR(__xludf.DUMMYFUNCTION("""COMPUTED_VALUE"""),83.0)</f>
        <v>83</v>
      </c>
    </row>
    <row r="1127">
      <c r="A1127" s="30" t="s">
        <v>3181</v>
      </c>
      <c r="B1127" s="30">
        <f>IFERROR(__xludf.DUMMYFUNCTION("""COMPUTED_VALUE"""),82.0)</f>
        <v>82</v>
      </c>
      <c r="C1127" s="30"/>
      <c r="D1127" s="30"/>
      <c r="E1127" s="30"/>
      <c r="F1127" s="30"/>
      <c r="G1127" s="30"/>
      <c r="H1127" s="30"/>
      <c r="I1127" s="30"/>
      <c r="J1127" s="30">
        <f>IFERROR(__xludf.DUMMYFUNCTION("""COMPUTED_VALUE"""),-11.059343513011441)</f>
        <v>-11.05934351</v>
      </c>
      <c r="K1127" s="30"/>
      <c r="L1127" s="30"/>
      <c r="M1127" s="30"/>
      <c r="N1127" s="30"/>
      <c r="O1127" s="30">
        <f>IFERROR(__xludf.DUMMYFUNCTION("""COMPUTED_VALUE"""),-2.630874715592867)</f>
        <v>-2.630874716</v>
      </c>
      <c r="P1127" s="30">
        <f>IFERROR(__xludf.DUMMYFUNCTION("""COMPUTED_VALUE"""),4.463999088063446)</f>
        <v>4.463999088</v>
      </c>
      <c r="Q1127" s="30"/>
      <c r="R1127" s="30"/>
      <c r="S1127" s="30"/>
      <c r="T1127" s="30"/>
      <c r="U1127" s="30">
        <v>0.0</v>
      </c>
      <c r="V1127" s="30"/>
      <c r="W1127" s="30"/>
      <c r="X1127" s="30"/>
      <c r="Y1127" s="5">
        <f>IFERROR(__xludf.DUMMYFUNCTION("""COMPUTED_VALUE"""),82.0)</f>
        <v>82</v>
      </c>
      <c r="Z1127" s="5">
        <f>IFERROR(__xludf.DUMMYFUNCTION("""COMPUTED_VALUE"""),82.0)</f>
        <v>82</v>
      </c>
    </row>
    <row r="1128">
      <c r="A1128" s="30" t="s">
        <v>3182</v>
      </c>
      <c r="B1128" s="30">
        <f>IFERROR(__xludf.DUMMYFUNCTION("""COMPUTED_VALUE"""),82.0)</f>
        <v>82</v>
      </c>
      <c r="C1128" s="30"/>
      <c r="D1128" s="30"/>
      <c r="E1128" s="30"/>
      <c r="F1128" s="30"/>
      <c r="G1128" s="30"/>
      <c r="H1128" s="30"/>
      <c r="I1128" s="30"/>
      <c r="J1128" s="30">
        <f>IFERROR(__xludf.DUMMYFUNCTION("""COMPUTED_VALUE"""),-11.059343513011441)</f>
        <v>-11.05934351</v>
      </c>
      <c r="K1128" s="30"/>
      <c r="L1128" s="30"/>
      <c r="M1128" s="30"/>
      <c r="N1128" s="30"/>
      <c r="O1128" s="30">
        <f>IFERROR(__xludf.DUMMYFUNCTION("""COMPUTED_VALUE"""),-2.630874715592867)</f>
        <v>-2.630874716</v>
      </c>
      <c r="P1128" s="30">
        <f>IFERROR(__xludf.DUMMYFUNCTION("""COMPUTED_VALUE"""),4.463999088063446)</f>
        <v>4.463999088</v>
      </c>
      <c r="Q1128" s="30"/>
      <c r="R1128" s="30"/>
      <c r="S1128" s="30"/>
      <c r="T1128" s="30"/>
      <c r="U1128" s="30">
        <v>0.0</v>
      </c>
      <c r="V1128" s="30"/>
      <c r="W1128" s="30"/>
      <c r="X1128" s="30"/>
      <c r="Y1128" s="5">
        <f>IFERROR(__xludf.DUMMYFUNCTION("""COMPUTED_VALUE"""),82.0)</f>
        <v>82</v>
      </c>
      <c r="Z1128" s="5">
        <f>IFERROR(__xludf.DUMMYFUNCTION("""COMPUTED_VALUE"""),82.0)</f>
        <v>82</v>
      </c>
    </row>
    <row r="1129">
      <c r="A1129" s="30" t="s">
        <v>2046</v>
      </c>
      <c r="B1129" s="30">
        <f>IFERROR(__xludf.DUMMYFUNCTION("""COMPUTED_VALUE"""),84.0)</f>
        <v>84</v>
      </c>
      <c r="C1129" s="30"/>
      <c r="D1129" s="30"/>
      <c r="E1129" s="30"/>
      <c r="F1129" s="30"/>
      <c r="G1129" s="30"/>
      <c r="H1129" s="30"/>
      <c r="I1129" s="30"/>
      <c r="J1129" s="30">
        <f>IFERROR(__xludf.DUMMYFUNCTION("""COMPUTED_VALUE"""),-11.059343513011441)</f>
        <v>-11.05934351</v>
      </c>
      <c r="K1129" s="30"/>
      <c r="L1129" s="30"/>
      <c r="M1129" s="30"/>
      <c r="N1129" s="30"/>
      <c r="O1129" s="30">
        <f>IFERROR(__xludf.DUMMYFUNCTION("""COMPUTED_VALUE"""),-2.630874715592867)</f>
        <v>-2.630874716</v>
      </c>
      <c r="P1129" s="30">
        <f>IFERROR(__xludf.DUMMYFUNCTION("""COMPUTED_VALUE"""),4.463999088063446)</f>
        <v>4.463999088</v>
      </c>
      <c r="Q1129" s="30"/>
      <c r="R1129" s="30"/>
      <c r="S1129" s="30"/>
      <c r="T1129" s="30"/>
      <c r="U1129" s="30">
        <v>0.0</v>
      </c>
      <c r="V1129" s="30"/>
      <c r="W1129" s="30"/>
      <c r="X1129" s="30"/>
      <c r="Y1129" s="5">
        <f>IFERROR(__xludf.DUMMYFUNCTION("""COMPUTED_VALUE"""),84.0)</f>
        <v>84</v>
      </c>
      <c r="Z1129" s="5">
        <f>IFERROR(__xludf.DUMMYFUNCTION("""COMPUTED_VALUE"""),84.0)</f>
        <v>84</v>
      </c>
    </row>
    <row r="1130">
      <c r="A1130" s="30" t="s">
        <v>3183</v>
      </c>
      <c r="B1130" s="30">
        <f>IFERROR(__xludf.DUMMYFUNCTION("""COMPUTED_VALUE"""),86.0)</f>
        <v>86</v>
      </c>
      <c r="C1130" s="30"/>
      <c r="D1130" s="30"/>
      <c r="E1130" s="30"/>
      <c r="F1130" s="30"/>
      <c r="G1130" s="30"/>
      <c r="H1130" s="30"/>
      <c r="I1130" s="30"/>
      <c r="J1130" s="30">
        <f>IFERROR(__xludf.DUMMYFUNCTION("""COMPUTED_VALUE"""),-11.059343513011441)</f>
        <v>-11.05934351</v>
      </c>
      <c r="K1130" s="30"/>
      <c r="L1130" s="30"/>
      <c r="M1130" s="30"/>
      <c r="N1130" s="30"/>
      <c r="O1130" s="30">
        <f>IFERROR(__xludf.DUMMYFUNCTION("""COMPUTED_VALUE"""),-2.630874715592867)</f>
        <v>-2.630874716</v>
      </c>
      <c r="P1130" s="30">
        <f>IFERROR(__xludf.DUMMYFUNCTION("""COMPUTED_VALUE"""),4.463999088063446)</f>
        <v>4.463999088</v>
      </c>
      <c r="Q1130" s="30"/>
      <c r="R1130" s="30"/>
      <c r="S1130" s="30"/>
      <c r="T1130" s="30"/>
      <c r="U1130" s="30">
        <v>0.0</v>
      </c>
      <c r="V1130" s="30"/>
      <c r="W1130" s="30"/>
      <c r="X1130" s="30"/>
      <c r="Y1130" s="5">
        <f>IFERROR(__xludf.DUMMYFUNCTION("""COMPUTED_VALUE"""),84.0)</f>
        <v>84</v>
      </c>
      <c r="Z1130" s="5">
        <f>IFERROR(__xludf.DUMMYFUNCTION("""COMPUTED_VALUE"""),88.0)</f>
        <v>88</v>
      </c>
    </row>
    <row r="1131">
      <c r="A1131" s="30" t="s">
        <v>3186</v>
      </c>
      <c r="B1131" s="30">
        <f>IFERROR(__xludf.DUMMYFUNCTION("""COMPUTED_VALUE"""),88.0)</f>
        <v>88</v>
      </c>
      <c r="C1131" s="30"/>
      <c r="D1131" s="30"/>
      <c r="E1131" s="30"/>
      <c r="F1131" s="30"/>
      <c r="G1131" s="30"/>
      <c r="H1131" s="30"/>
      <c r="I1131" s="30"/>
      <c r="J1131" s="30">
        <f>IFERROR(__xludf.DUMMYFUNCTION("""COMPUTED_VALUE"""),-11.059343513011441)</f>
        <v>-11.05934351</v>
      </c>
      <c r="K1131" s="30"/>
      <c r="L1131" s="30"/>
      <c r="M1131" s="30"/>
      <c r="N1131" s="30"/>
      <c r="O1131" s="30">
        <f>IFERROR(__xludf.DUMMYFUNCTION("""COMPUTED_VALUE"""),-2.630874715592867)</f>
        <v>-2.630874716</v>
      </c>
      <c r="P1131" s="30">
        <f>IFERROR(__xludf.DUMMYFUNCTION("""COMPUTED_VALUE"""),4.463999088063446)</f>
        <v>4.463999088</v>
      </c>
      <c r="Q1131" s="30"/>
      <c r="R1131" s="30"/>
      <c r="S1131" s="30"/>
      <c r="T1131" s="30"/>
      <c r="U1131" s="30">
        <v>0.0</v>
      </c>
      <c r="V1131" s="30"/>
      <c r="W1131" s="30"/>
      <c r="X1131" s="30"/>
      <c r="Y1131" s="5">
        <f>IFERROR(__xludf.DUMMYFUNCTION("""COMPUTED_VALUE"""),88.0)</f>
        <v>88</v>
      </c>
      <c r="Z1131" s="5">
        <f>IFERROR(__xludf.DUMMYFUNCTION("""COMPUTED_VALUE"""),88.0)</f>
        <v>88</v>
      </c>
    </row>
    <row r="1132">
      <c r="A1132" s="30" t="s">
        <v>2724</v>
      </c>
      <c r="B1132" s="30">
        <f>IFERROR(__xludf.DUMMYFUNCTION("""COMPUTED_VALUE"""),85.0)</f>
        <v>85</v>
      </c>
      <c r="C1132" s="30"/>
      <c r="D1132" s="30"/>
      <c r="E1132" s="30"/>
      <c r="F1132" s="30"/>
      <c r="G1132" s="30"/>
      <c r="H1132" s="30"/>
      <c r="I1132" s="30"/>
      <c r="J1132" s="30">
        <f>IFERROR(__xludf.DUMMYFUNCTION("""COMPUTED_VALUE"""),-11.059343513011441)</f>
        <v>-11.05934351</v>
      </c>
      <c r="K1132" s="30"/>
      <c r="L1132" s="30"/>
      <c r="M1132" s="30"/>
      <c r="N1132" s="30"/>
      <c r="O1132" s="30">
        <f>IFERROR(__xludf.DUMMYFUNCTION("""COMPUTED_VALUE"""),-2.630874715592867)</f>
        <v>-2.630874716</v>
      </c>
      <c r="P1132" s="30">
        <f>IFERROR(__xludf.DUMMYFUNCTION("""COMPUTED_VALUE"""),4.463999088063446)</f>
        <v>4.463999088</v>
      </c>
      <c r="Q1132" s="30"/>
      <c r="R1132" s="30"/>
      <c r="S1132" s="30"/>
      <c r="T1132" s="30"/>
      <c r="U1132" s="30">
        <v>0.0</v>
      </c>
      <c r="V1132" s="30"/>
      <c r="W1132" s="30"/>
      <c r="X1132" s="30"/>
      <c r="Y1132" s="5">
        <f>IFERROR(__xludf.DUMMYFUNCTION("""COMPUTED_VALUE"""),85.0)</f>
        <v>85</v>
      </c>
      <c r="Z1132" s="5">
        <f>IFERROR(__xludf.DUMMYFUNCTION("""COMPUTED_VALUE"""),85.0)</f>
        <v>85</v>
      </c>
    </row>
    <row r="1133">
      <c r="A1133" s="30" t="s">
        <v>3187</v>
      </c>
      <c r="B1133" s="30">
        <f>IFERROR(__xludf.DUMMYFUNCTION("""COMPUTED_VALUE"""),88.0)</f>
        <v>88</v>
      </c>
      <c r="C1133" s="30"/>
      <c r="D1133" s="30"/>
      <c r="E1133" s="30"/>
      <c r="F1133" s="30"/>
      <c r="G1133" s="30"/>
      <c r="H1133" s="30"/>
      <c r="I1133" s="30"/>
      <c r="J1133" s="30">
        <f>IFERROR(__xludf.DUMMYFUNCTION("""COMPUTED_VALUE"""),-11.059343513011441)</f>
        <v>-11.05934351</v>
      </c>
      <c r="K1133" s="30"/>
      <c r="L1133" s="30"/>
      <c r="M1133" s="30"/>
      <c r="N1133" s="30"/>
      <c r="O1133" s="30">
        <f>IFERROR(__xludf.DUMMYFUNCTION("""COMPUTED_VALUE"""),-2.630874715592867)</f>
        <v>-2.630874716</v>
      </c>
      <c r="P1133" s="30">
        <f>IFERROR(__xludf.DUMMYFUNCTION("""COMPUTED_VALUE"""),4.463999088063446)</f>
        <v>4.463999088</v>
      </c>
      <c r="Q1133" s="30"/>
      <c r="R1133" s="30"/>
      <c r="S1133" s="30"/>
      <c r="T1133" s="30"/>
      <c r="U1133" s="30">
        <v>0.0</v>
      </c>
      <c r="V1133" s="30"/>
      <c r="W1133" s="30"/>
      <c r="X1133" s="30"/>
      <c r="Y1133" s="5">
        <f>IFERROR(__xludf.DUMMYFUNCTION("""COMPUTED_VALUE"""),88.0)</f>
        <v>88</v>
      </c>
      <c r="Z1133" s="5">
        <f>IFERROR(__xludf.DUMMYFUNCTION("""COMPUTED_VALUE"""),88.0)</f>
        <v>88</v>
      </c>
    </row>
    <row r="1134">
      <c r="A1134" s="30" t="s">
        <v>3188</v>
      </c>
      <c r="B1134" s="30">
        <f>IFERROR(__xludf.DUMMYFUNCTION("""COMPUTED_VALUE"""),82.0)</f>
        <v>82</v>
      </c>
      <c r="C1134" s="30"/>
      <c r="D1134" s="30"/>
      <c r="E1134" s="30"/>
      <c r="F1134" s="30"/>
      <c r="G1134" s="30"/>
      <c r="H1134" s="30"/>
      <c r="I1134" s="30"/>
      <c r="J1134" s="30">
        <f>IFERROR(__xludf.DUMMYFUNCTION("""COMPUTED_VALUE"""),-11.059343513011441)</f>
        <v>-11.05934351</v>
      </c>
      <c r="K1134" s="30"/>
      <c r="L1134" s="30"/>
      <c r="M1134" s="30"/>
      <c r="N1134" s="30"/>
      <c r="O1134" s="30">
        <f>IFERROR(__xludf.DUMMYFUNCTION("""COMPUTED_VALUE"""),-2.630874715592867)</f>
        <v>-2.630874716</v>
      </c>
      <c r="P1134" s="30">
        <f>IFERROR(__xludf.DUMMYFUNCTION("""COMPUTED_VALUE"""),4.463999088063446)</f>
        <v>4.463999088</v>
      </c>
      <c r="Q1134" s="30"/>
      <c r="R1134" s="30"/>
      <c r="S1134" s="30"/>
      <c r="T1134" s="30"/>
      <c r="U1134" s="30">
        <v>0.0</v>
      </c>
      <c r="V1134" s="30"/>
      <c r="W1134" s="30"/>
      <c r="X1134" s="30"/>
      <c r="Y1134" s="5">
        <f>IFERROR(__xludf.DUMMYFUNCTION("""COMPUTED_VALUE"""),82.0)</f>
        <v>82</v>
      </c>
      <c r="Z1134" s="5">
        <f>IFERROR(__xludf.DUMMYFUNCTION("""COMPUTED_VALUE"""),82.0)</f>
        <v>82</v>
      </c>
    </row>
    <row r="1135">
      <c r="A1135" s="30" t="s">
        <v>2549</v>
      </c>
      <c r="B1135" s="30">
        <f>IFERROR(__xludf.DUMMYFUNCTION("""COMPUTED_VALUE"""),84.0)</f>
        <v>84</v>
      </c>
      <c r="C1135" s="30"/>
      <c r="D1135" s="30"/>
      <c r="E1135" s="30"/>
      <c r="F1135" s="30"/>
      <c r="G1135" s="30"/>
      <c r="H1135" s="30"/>
      <c r="I1135" s="30"/>
      <c r="J1135" s="30">
        <f>IFERROR(__xludf.DUMMYFUNCTION("""COMPUTED_VALUE"""),-11.059343513011441)</f>
        <v>-11.05934351</v>
      </c>
      <c r="K1135" s="30"/>
      <c r="L1135" s="30"/>
      <c r="M1135" s="30"/>
      <c r="N1135" s="30"/>
      <c r="O1135" s="30">
        <f>IFERROR(__xludf.DUMMYFUNCTION("""COMPUTED_VALUE"""),-2.630874715592867)</f>
        <v>-2.630874716</v>
      </c>
      <c r="P1135" s="30">
        <f>IFERROR(__xludf.DUMMYFUNCTION("""COMPUTED_VALUE"""),4.463999088063446)</f>
        <v>4.463999088</v>
      </c>
      <c r="Q1135" s="30"/>
      <c r="R1135" s="30"/>
      <c r="S1135" s="30"/>
      <c r="T1135" s="30"/>
      <c r="U1135" s="30">
        <v>0.0</v>
      </c>
      <c r="V1135" s="30"/>
      <c r="W1135" s="30"/>
      <c r="X1135" s="30"/>
      <c r="Y1135" s="5">
        <f>IFERROR(__xludf.DUMMYFUNCTION("""COMPUTED_VALUE"""),84.0)</f>
        <v>84</v>
      </c>
      <c r="Z1135" s="5">
        <f>IFERROR(__xludf.DUMMYFUNCTION("""COMPUTED_VALUE"""),84.0)</f>
        <v>84</v>
      </c>
    </row>
    <row r="1136">
      <c r="A1136" s="30" t="s">
        <v>3189</v>
      </c>
      <c r="B1136" s="30">
        <f>IFERROR(__xludf.DUMMYFUNCTION("""COMPUTED_VALUE"""),87.0)</f>
        <v>87</v>
      </c>
      <c r="C1136" s="30"/>
      <c r="D1136" s="30"/>
      <c r="E1136" s="30"/>
      <c r="F1136" s="30"/>
      <c r="G1136" s="30"/>
      <c r="H1136" s="30"/>
      <c r="I1136" s="30"/>
      <c r="J1136" s="30">
        <f>IFERROR(__xludf.DUMMYFUNCTION("""COMPUTED_VALUE"""),-11.059343513011441)</f>
        <v>-11.05934351</v>
      </c>
      <c r="K1136" s="30"/>
      <c r="L1136" s="30"/>
      <c r="M1136" s="30"/>
      <c r="N1136" s="30"/>
      <c r="O1136" s="30">
        <f>IFERROR(__xludf.DUMMYFUNCTION("""COMPUTED_VALUE"""),-2.630874715592867)</f>
        <v>-2.630874716</v>
      </c>
      <c r="P1136" s="30">
        <f>IFERROR(__xludf.DUMMYFUNCTION("""COMPUTED_VALUE"""),4.463999088063446)</f>
        <v>4.463999088</v>
      </c>
      <c r="Q1136" s="30"/>
      <c r="R1136" s="30"/>
      <c r="S1136" s="30"/>
      <c r="T1136" s="30"/>
      <c r="U1136" s="30">
        <v>0.0</v>
      </c>
      <c r="V1136" s="30"/>
      <c r="W1136" s="30"/>
      <c r="X1136" s="30"/>
      <c r="Y1136" s="5">
        <f>IFERROR(__xludf.DUMMYFUNCTION("""COMPUTED_VALUE"""),87.0)</f>
        <v>87</v>
      </c>
      <c r="Z1136" s="5">
        <f>IFERROR(__xludf.DUMMYFUNCTION("""COMPUTED_VALUE"""),87.0)</f>
        <v>87</v>
      </c>
    </row>
    <row r="1137">
      <c r="A1137" s="30" t="s">
        <v>3190</v>
      </c>
      <c r="B1137" s="30">
        <f>IFERROR(__xludf.DUMMYFUNCTION("""COMPUTED_VALUE"""),84.0)</f>
        <v>84</v>
      </c>
      <c r="C1137" s="30"/>
      <c r="D1137" s="30"/>
      <c r="E1137" s="30"/>
      <c r="F1137" s="30"/>
      <c r="G1137" s="30"/>
      <c r="H1137" s="30"/>
      <c r="I1137" s="30"/>
      <c r="J1137" s="30">
        <f>IFERROR(__xludf.DUMMYFUNCTION("""COMPUTED_VALUE"""),-11.059343513011441)</f>
        <v>-11.05934351</v>
      </c>
      <c r="K1137" s="30"/>
      <c r="L1137" s="30"/>
      <c r="M1137" s="30"/>
      <c r="N1137" s="30"/>
      <c r="O1137" s="30">
        <f>IFERROR(__xludf.DUMMYFUNCTION("""COMPUTED_VALUE"""),-2.630874715592867)</f>
        <v>-2.630874716</v>
      </c>
      <c r="P1137" s="30">
        <f>IFERROR(__xludf.DUMMYFUNCTION("""COMPUTED_VALUE"""),4.463999088063446)</f>
        <v>4.463999088</v>
      </c>
      <c r="Q1137" s="30"/>
      <c r="R1137" s="30"/>
      <c r="S1137" s="30"/>
      <c r="T1137" s="30"/>
      <c r="U1137" s="30">
        <v>0.0</v>
      </c>
      <c r="V1137" s="30"/>
      <c r="W1137" s="30"/>
      <c r="X1137" s="30"/>
      <c r="Y1137" s="5">
        <f>IFERROR(__xludf.DUMMYFUNCTION("""COMPUTED_VALUE"""),84.0)</f>
        <v>84</v>
      </c>
      <c r="Z1137" s="5">
        <f>IFERROR(__xludf.DUMMYFUNCTION("""COMPUTED_VALUE"""),84.0)</f>
        <v>84</v>
      </c>
    </row>
    <row r="1138">
      <c r="A1138" s="30" t="s">
        <v>3191</v>
      </c>
      <c r="B1138" s="30">
        <f>IFERROR(__xludf.DUMMYFUNCTION("""COMPUTED_VALUE"""),84.0)</f>
        <v>84</v>
      </c>
      <c r="C1138" s="30"/>
      <c r="D1138" s="30"/>
      <c r="E1138" s="30"/>
      <c r="F1138" s="30"/>
      <c r="G1138" s="30"/>
      <c r="H1138" s="30"/>
      <c r="I1138" s="30"/>
      <c r="J1138" s="30">
        <f>IFERROR(__xludf.DUMMYFUNCTION("""COMPUTED_VALUE"""),-11.059343513011441)</f>
        <v>-11.05934351</v>
      </c>
      <c r="K1138" s="30"/>
      <c r="L1138" s="30"/>
      <c r="M1138" s="30"/>
      <c r="N1138" s="30"/>
      <c r="O1138" s="30">
        <f>IFERROR(__xludf.DUMMYFUNCTION("""COMPUTED_VALUE"""),-2.630874715592867)</f>
        <v>-2.630874716</v>
      </c>
      <c r="P1138" s="30">
        <f>IFERROR(__xludf.DUMMYFUNCTION("""COMPUTED_VALUE"""),4.463999088063446)</f>
        <v>4.463999088</v>
      </c>
      <c r="Q1138" s="30"/>
      <c r="R1138" s="30"/>
      <c r="S1138" s="30"/>
      <c r="T1138" s="30"/>
      <c r="U1138" s="30">
        <v>0.0</v>
      </c>
      <c r="V1138" s="30"/>
      <c r="W1138" s="30"/>
      <c r="X1138" s="30"/>
      <c r="Y1138" s="5">
        <f>IFERROR(__xludf.DUMMYFUNCTION("""COMPUTED_VALUE"""),84.0)</f>
        <v>84</v>
      </c>
      <c r="Z1138" s="5">
        <f>IFERROR(__xludf.DUMMYFUNCTION("""COMPUTED_VALUE"""),84.0)</f>
        <v>84</v>
      </c>
    </row>
    <row r="1139">
      <c r="A1139" s="30" t="s">
        <v>2702</v>
      </c>
      <c r="B1139" s="30">
        <f>IFERROR(__xludf.DUMMYFUNCTION("""COMPUTED_VALUE"""),81.0)</f>
        <v>81</v>
      </c>
      <c r="C1139" s="30"/>
      <c r="D1139" s="30"/>
      <c r="E1139" s="30"/>
      <c r="F1139" s="30"/>
      <c r="G1139" s="30"/>
      <c r="H1139" s="30"/>
      <c r="I1139" s="30"/>
      <c r="J1139" s="30">
        <f>IFERROR(__xludf.DUMMYFUNCTION("""COMPUTED_VALUE"""),-11.059343513011441)</f>
        <v>-11.05934351</v>
      </c>
      <c r="K1139" s="30"/>
      <c r="L1139" s="30"/>
      <c r="M1139" s="30"/>
      <c r="N1139" s="30"/>
      <c r="O1139" s="30">
        <f>IFERROR(__xludf.DUMMYFUNCTION("""COMPUTED_VALUE"""),-2.630874715592867)</f>
        <v>-2.630874716</v>
      </c>
      <c r="P1139" s="30">
        <f>IFERROR(__xludf.DUMMYFUNCTION("""COMPUTED_VALUE"""),4.463999088063446)</f>
        <v>4.463999088</v>
      </c>
      <c r="Q1139" s="30"/>
      <c r="R1139" s="30"/>
      <c r="S1139" s="30"/>
      <c r="T1139" s="30"/>
      <c r="U1139" s="30">
        <v>0.0</v>
      </c>
      <c r="V1139" s="30"/>
      <c r="W1139" s="30"/>
      <c r="X1139" s="30"/>
      <c r="Y1139" s="5">
        <f>IFERROR(__xludf.DUMMYFUNCTION("""COMPUTED_VALUE"""),81.0)</f>
        <v>81</v>
      </c>
      <c r="Z1139" s="5">
        <f>IFERROR(__xludf.DUMMYFUNCTION("""COMPUTED_VALUE"""),81.0)</f>
        <v>81</v>
      </c>
    </row>
    <row r="1140">
      <c r="A1140" s="30" t="s">
        <v>2768</v>
      </c>
      <c r="B1140" s="30">
        <f>IFERROR(__xludf.DUMMYFUNCTION("""COMPUTED_VALUE"""),83.0)</f>
        <v>83</v>
      </c>
      <c r="C1140" s="30"/>
      <c r="D1140" s="30"/>
      <c r="E1140" s="30"/>
      <c r="F1140" s="30"/>
      <c r="G1140" s="30"/>
      <c r="H1140" s="30"/>
      <c r="I1140" s="30"/>
      <c r="J1140" s="30">
        <f>IFERROR(__xludf.DUMMYFUNCTION("""COMPUTED_VALUE"""),-11.059343513011441)</f>
        <v>-11.05934351</v>
      </c>
      <c r="K1140" s="30"/>
      <c r="L1140" s="30"/>
      <c r="M1140" s="30"/>
      <c r="N1140" s="30"/>
      <c r="O1140" s="30">
        <f>IFERROR(__xludf.DUMMYFUNCTION("""COMPUTED_VALUE"""),-2.630874715592867)</f>
        <v>-2.630874716</v>
      </c>
      <c r="P1140" s="30">
        <f>IFERROR(__xludf.DUMMYFUNCTION("""COMPUTED_VALUE"""),4.463999088063446)</f>
        <v>4.463999088</v>
      </c>
      <c r="Q1140" s="30"/>
      <c r="R1140" s="30"/>
      <c r="S1140" s="30"/>
      <c r="T1140" s="30"/>
      <c r="U1140" s="30">
        <v>0.0</v>
      </c>
      <c r="V1140" s="30"/>
      <c r="W1140" s="30"/>
      <c r="X1140" s="30"/>
      <c r="Y1140" s="5">
        <f>IFERROR(__xludf.DUMMYFUNCTION("""COMPUTED_VALUE"""),83.0)</f>
        <v>83</v>
      </c>
      <c r="Z1140" s="5">
        <f>IFERROR(__xludf.DUMMYFUNCTION("""COMPUTED_VALUE"""),83.0)</f>
        <v>83</v>
      </c>
    </row>
    <row r="1141">
      <c r="A1141" s="30" t="s">
        <v>3192</v>
      </c>
      <c r="B1141" s="30">
        <f>IFERROR(__xludf.DUMMYFUNCTION("""COMPUTED_VALUE"""),84.0)</f>
        <v>84</v>
      </c>
      <c r="C1141" s="30"/>
      <c r="D1141" s="30"/>
      <c r="E1141" s="30"/>
      <c r="F1141" s="30"/>
      <c r="G1141" s="30"/>
      <c r="H1141" s="30"/>
      <c r="I1141" s="30"/>
      <c r="J1141" s="30">
        <f>IFERROR(__xludf.DUMMYFUNCTION("""COMPUTED_VALUE"""),-11.059343513011441)</f>
        <v>-11.05934351</v>
      </c>
      <c r="K1141" s="30"/>
      <c r="L1141" s="30"/>
      <c r="M1141" s="30"/>
      <c r="N1141" s="30"/>
      <c r="O1141" s="30">
        <f>IFERROR(__xludf.DUMMYFUNCTION("""COMPUTED_VALUE"""),-2.630874715592867)</f>
        <v>-2.630874716</v>
      </c>
      <c r="P1141" s="30">
        <f>IFERROR(__xludf.DUMMYFUNCTION("""COMPUTED_VALUE"""),4.463999088063446)</f>
        <v>4.463999088</v>
      </c>
      <c r="Q1141" s="30"/>
      <c r="R1141" s="30"/>
      <c r="S1141" s="30"/>
      <c r="T1141" s="30"/>
      <c r="U1141" s="30">
        <v>0.0</v>
      </c>
      <c r="V1141" s="30"/>
      <c r="W1141" s="30"/>
      <c r="X1141" s="30"/>
      <c r="Y1141" s="5">
        <f>IFERROR(__xludf.DUMMYFUNCTION("""COMPUTED_VALUE"""),84.0)</f>
        <v>84</v>
      </c>
      <c r="Z1141" s="5">
        <f>IFERROR(__xludf.DUMMYFUNCTION("""COMPUTED_VALUE"""),84.0)</f>
        <v>84</v>
      </c>
    </row>
    <row r="1142">
      <c r="A1142" s="30" t="s">
        <v>3193</v>
      </c>
      <c r="B1142" s="30">
        <f>IFERROR(__xludf.DUMMYFUNCTION("""COMPUTED_VALUE"""),88.0)</f>
        <v>88</v>
      </c>
      <c r="C1142" s="30"/>
      <c r="D1142" s="30"/>
      <c r="E1142" s="30"/>
      <c r="F1142" s="30"/>
      <c r="G1142" s="30"/>
      <c r="H1142" s="30"/>
      <c r="I1142" s="30"/>
      <c r="J1142" s="30">
        <f>IFERROR(__xludf.DUMMYFUNCTION("""COMPUTED_VALUE"""),-11.059343513011441)</f>
        <v>-11.05934351</v>
      </c>
      <c r="K1142" s="30"/>
      <c r="L1142" s="30"/>
      <c r="M1142" s="30"/>
      <c r="N1142" s="30"/>
      <c r="O1142" s="30">
        <f>IFERROR(__xludf.DUMMYFUNCTION("""COMPUTED_VALUE"""),-2.630874715592867)</f>
        <v>-2.630874716</v>
      </c>
      <c r="P1142" s="30">
        <f>IFERROR(__xludf.DUMMYFUNCTION("""COMPUTED_VALUE"""),4.463999088063446)</f>
        <v>4.463999088</v>
      </c>
      <c r="Q1142" s="30"/>
      <c r="R1142" s="30"/>
      <c r="S1142" s="30"/>
      <c r="T1142" s="30"/>
      <c r="U1142" s="30">
        <v>0.0</v>
      </c>
      <c r="V1142" s="30"/>
      <c r="W1142" s="30"/>
      <c r="X1142" s="30"/>
      <c r="Y1142" s="5">
        <f>IFERROR(__xludf.DUMMYFUNCTION("""COMPUTED_VALUE"""),88.0)</f>
        <v>88</v>
      </c>
      <c r="Z1142" s="5">
        <f>IFERROR(__xludf.DUMMYFUNCTION("""COMPUTED_VALUE"""),88.0)</f>
        <v>88</v>
      </c>
    </row>
    <row r="1143">
      <c r="A1143" s="30" t="s">
        <v>3194</v>
      </c>
      <c r="B1143" s="30">
        <f>IFERROR(__xludf.DUMMYFUNCTION("""COMPUTED_VALUE"""),85.0)</f>
        <v>85</v>
      </c>
      <c r="C1143" s="30"/>
      <c r="D1143" s="30"/>
      <c r="E1143" s="30"/>
      <c r="F1143" s="30"/>
      <c r="G1143" s="30"/>
      <c r="H1143" s="30"/>
      <c r="I1143" s="30"/>
      <c r="J1143" s="30">
        <f>IFERROR(__xludf.DUMMYFUNCTION("""COMPUTED_VALUE"""),-11.059343513011441)</f>
        <v>-11.05934351</v>
      </c>
      <c r="K1143" s="30"/>
      <c r="L1143" s="30"/>
      <c r="M1143" s="30"/>
      <c r="N1143" s="30"/>
      <c r="O1143" s="30">
        <f>IFERROR(__xludf.DUMMYFUNCTION("""COMPUTED_VALUE"""),-2.630874715592867)</f>
        <v>-2.630874716</v>
      </c>
      <c r="P1143" s="30">
        <f>IFERROR(__xludf.DUMMYFUNCTION("""COMPUTED_VALUE"""),4.463999088063446)</f>
        <v>4.463999088</v>
      </c>
      <c r="Q1143" s="30"/>
      <c r="R1143" s="30"/>
      <c r="S1143" s="30"/>
      <c r="T1143" s="30"/>
      <c r="U1143" s="30">
        <v>0.0</v>
      </c>
      <c r="V1143" s="30"/>
      <c r="W1143" s="30"/>
      <c r="X1143" s="30"/>
      <c r="Y1143" s="5">
        <f>IFERROR(__xludf.DUMMYFUNCTION("""COMPUTED_VALUE"""),85.0)</f>
        <v>85</v>
      </c>
      <c r="Z1143" s="5">
        <f>IFERROR(__xludf.DUMMYFUNCTION("""COMPUTED_VALUE"""),85.0)</f>
        <v>85</v>
      </c>
    </row>
    <row r="1144">
      <c r="A1144" s="30" t="s">
        <v>3198</v>
      </c>
      <c r="B1144" s="30">
        <f>IFERROR(__xludf.DUMMYFUNCTION("""COMPUTED_VALUE"""),88.0)</f>
        <v>88</v>
      </c>
      <c r="C1144" s="30"/>
      <c r="D1144" s="30"/>
      <c r="E1144" s="30"/>
      <c r="F1144" s="30"/>
      <c r="G1144" s="30"/>
      <c r="H1144" s="30"/>
      <c r="I1144" s="30"/>
      <c r="J1144" s="30">
        <f>IFERROR(__xludf.DUMMYFUNCTION("""COMPUTED_VALUE"""),-11.059343513011441)</f>
        <v>-11.05934351</v>
      </c>
      <c r="K1144" s="30"/>
      <c r="L1144" s="30"/>
      <c r="M1144" s="30"/>
      <c r="N1144" s="30"/>
      <c r="O1144" s="30">
        <f>IFERROR(__xludf.DUMMYFUNCTION("""COMPUTED_VALUE"""),-2.630874715592867)</f>
        <v>-2.630874716</v>
      </c>
      <c r="P1144" s="30">
        <f>IFERROR(__xludf.DUMMYFUNCTION("""COMPUTED_VALUE"""),4.463999088063446)</f>
        <v>4.463999088</v>
      </c>
      <c r="Q1144" s="30"/>
      <c r="R1144" s="30"/>
      <c r="S1144" s="30"/>
      <c r="T1144" s="30"/>
      <c r="U1144" s="30">
        <v>0.0</v>
      </c>
      <c r="V1144" s="30"/>
      <c r="W1144" s="30"/>
      <c r="X1144" s="30"/>
      <c r="Y1144" s="5">
        <f>IFERROR(__xludf.DUMMYFUNCTION("""COMPUTED_VALUE"""),88.0)</f>
        <v>88</v>
      </c>
      <c r="Z1144" s="5">
        <f>IFERROR(__xludf.DUMMYFUNCTION("""COMPUTED_VALUE"""),88.0)</f>
        <v>88</v>
      </c>
    </row>
    <row r="1145">
      <c r="A1145" s="30" t="s">
        <v>1453</v>
      </c>
      <c r="B1145" s="30">
        <f>IFERROR(__xludf.DUMMYFUNCTION("""COMPUTED_VALUE"""),83.5)</f>
        <v>83.5</v>
      </c>
      <c r="C1145" s="30"/>
      <c r="D1145" s="30"/>
      <c r="E1145" s="30"/>
      <c r="F1145" s="30"/>
      <c r="G1145" s="30"/>
      <c r="H1145" s="30"/>
      <c r="I1145" s="30"/>
      <c r="J1145" s="30">
        <f>IFERROR(__xludf.DUMMYFUNCTION("""COMPUTED_VALUE"""),-11.059343513011441)</f>
        <v>-11.05934351</v>
      </c>
      <c r="K1145" s="30"/>
      <c r="L1145" s="30"/>
      <c r="M1145" s="30"/>
      <c r="N1145" s="30"/>
      <c r="O1145" s="30">
        <f>IFERROR(__xludf.DUMMYFUNCTION("""COMPUTED_VALUE"""),-2.630874715592867)</f>
        <v>-2.630874716</v>
      </c>
      <c r="P1145" s="30">
        <f>IFERROR(__xludf.DUMMYFUNCTION("""COMPUTED_VALUE"""),4.463999088063446)</f>
        <v>4.463999088</v>
      </c>
      <c r="Q1145" s="30"/>
      <c r="R1145" s="30"/>
      <c r="S1145" s="30"/>
      <c r="T1145" s="30"/>
      <c r="U1145" s="30">
        <v>0.0</v>
      </c>
      <c r="V1145" s="30"/>
      <c r="W1145" s="30"/>
      <c r="X1145" s="30"/>
      <c r="Y1145" s="5">
        <f>IFERROR(__xludf.DUMMYFUNCTION("""COMPUTED_VALUE"""),83.0)</f>
        <v>83</v>
      </c>
      <c r="Z1145" s="5">
        <f>IFERROR(__xludf.DUMMYFUNCTION("""COMPUTED_VALUE"""),84.0)</f>
        <v>84</v>
      </c>
    </row>
    <row r="1146">
      <c r="A1146" s="30" t="s">
        <v>3200</v>
      </c>
      <c r="B1146" s="30">
        <f>IFERROR(__xludf.DUMMYFUNCTION("""COMPUTED_VALUE"""),83.0)</f>
        <v>83</v>
      </c>
      <c r="C1146" s="30"/>
      <c r="D1146" s="30"/>
      <c r="E1146" s="30"/>
      <c r="F1146" s="30"/>
      <c r="G1146" s="30"/>
      <c r="H1146" s="30"/>
      <c r="I1146" s="30"/>
      <c r="J1146" s="30">
        <f>IFERROR(__xludf.DUMMYFUNCTION("""COMPUTED_VALUE"""),-11.059343513011441)</f>
        <v>-11.05934351</v>
      </c>
      <c r="K1146" s="30"/>
      <c r="L1146" s="30"/>
      <c r="M1146" s="30"/>
      <c r="N1146" s="30"/>
      <c r="O1146" s="30">
        <f>IFERROR(__xludf.DUMMYFUNCTION("""COMPUTED_VALUE"""),-2.630874715592867)</f>
        <v>-2.630874716</v>
      </c>
      <c r="P1146" s="30">
        <f>IFERROR(__xludf.DUMMYFUNCTION("""COMPUTED_VALUE"""),4.463999088063446)</f>
        <v>4.463999088</v>
      </c>
      <c r="Q1146" s="30"/>
      <c r="R1146" s="30"/>
      <c r="S1146" s="30"/>
      <c r="T1146" s="30"/>
      <c r="U1146" s="30">
        <v>0.0</v>
      </c>
      <c r="V1146" s="30"/>
      <c r="W1146" s="30"/>
      <c r="X1146" s="30"/>
      <c r="Y1146" s="5">
        <f>IFERROR(__xludf.DUMMYFUNCTION("""COMPUTED_VALUE"""),83.0)</f>
        <v>83</v>
      </c>
      <c r="Z1146" s="5">
        <f>IFERROR(__xludf.DUMMYFUNCTION("""COMPUTED_VALUE"""),83.0)</f>
        <v>83</v>
      </c>
    </row>
    <row r="1147">
      <c r="A1147" s="30" t="s">
        <v>2219</v>
      </c>
      <c r="B1147" s="30">
        <f>IFERROR(__xludf.DUMMYFUNCTION("""COMPUTED_VALUE"""),86.0)</f>
        <v>86</v>
      </c>
      <c r="C1147" s="30"/>
      <c r="D1147" s="30"/>
      <c r="E1147" s="30"/>
      <c r="F1147" s="30"/>
      <c r="G1147" s="30"/>
      <c r="H1147" s="30"/>
      <c r="I1147" s="30"/>
      <c r="J1147" s="30">
        <f>IFERROR(__xludf.DUMMYFUNCTION("""COMPUTED_VALUE"""),-11.059343513011441)</f>
        <v>-11.05934351</v>
      </c>
      <c r="K1147" s="30"/>
      <c r="L1147" s="30"/>
      <c r="M1147" s="30"/>
      <c r="N1147" s="30"/>
      <c r="O1147" s="30">
        <f>IFERROR(__xludf.DUMMYFUNCTION("""COMPUTED_VALUE"""),-2.630874715592867)</f>
        <v>-2.630874716</v>
      </c>
      <c r="P1147" s="30">
        <f>IFERROR(__xludf.DUMMYFUNCTION("""COMPUTED_VALUE"""),4.463999088063446)</f>
        <v>4.463999088</v>
      </c>
      <c r="Q1147" s="30"/>
      <c r="R1147" s="30"/>
      <c r="S1147" s="30"/>
      <c r="T1147" s="30"/>
      <c r="U1147" s="30">
        <v>0.0</v>
      </c>
      <c r="V1147" s="30"/>
      <c r="W1147" s="30"/>
      <c r="X1147" s="30"/>
      <c r="Y1147" s="5">
        <f>IFERROR(__xludf.DUMMYFUNCTION("""COMPUTED_VALUE"""),84.0)</f>
        <v>84</v>
      </c>
      <c r="Z1147" s="5">
        <f>IFERROR(__xludf.DUMMYFUNCTION("""COMPUTED_VALUE"""),88.0)</f>
        <v>88</v>
      </c>
    </row>
    <row r="1148">
      <c r="A1148" s="30" t="s">
        <v>3202</v>
      </c>
      <c r="B1148" s="30">
        <f>IFERROR(__xludf.DUMMYFUNCTION("""COMPUTED_VALUE"""),82.0)</f>
        <v>82</v>
      </c>
      <c r="C1148" s="30"/>
      <c r="D1148" s="30"/>
      <c r="E1148" s="30"/>
      <c r="F1148" s="30"/>
      <c r="G1148" s="30"/>
      <c r="H1148" s="30"/>
      <c r="I1148" s="30"/>
      <c r="J1148" s="30">
        <f>IFERROR(__xludf.DUMMYFUNCTION("""COMPUTED_VALUE"""),-11.059343513011441)</f>
        <v>-11.05934351</v>
      </c>
      <c r="K1148" s="30"/>
      <c r="L1148" s="30"/>
      <c r="M1148" s="30"/>
      <c r="N1148" s="30"/>
      <c r="O1148" s="30">
        <f>IFERROR(__xludf.DUMMYFUNCTION("""COMPUTED_VALUE"""),-2.630874715592867)</f>
        <v>-2.630874716</v>
      </c>
      <c r="P1148" s="30">
        <f>IFERROR(__xludf.DUMMYFUNCTION("""COMPUTED_VALUE"""),4.463999088063446)</f>
        <v>4.463999088</v>
      </c>
      <c r="Q1148" s="30"/>
      <c r="R1148" s="30"/>
      <c r="S1148" s="30"/>
      <c r="T1148" s="30"/>
      <c r="U1148" s="30">
        <v>0.0</v>
      </c>
      <c r="V1148" s="30"/>
      <c r="W1148" s="30"/>
      <c r="X1148" s="30"/>
      <c r="Y1148" s="5">
        <f>IFERROR(__xludf.DUMMYFUNCTION("""COMPUTED_VALUE"""),82.0)</f>
        <v>82</v>
      </c>
      <c r="Z1148" s="5">
        <f>IFERROR(__xludf.DUMMYFUNCTION("""COMPUTED_VALUE"""),82.0)</f>
        <v>82</v>
      </c>
    </row>
    <row r="1149">
      <c r="A1149" s="30" t="s">
        <v>3203</v>
      </c>
      <c r="B1149" s="30">
        <f>IFERROR(__xludf.DUMMYFUNCTION("""COMPUTED_VALUE"""),85.0)</f>
        <v>85</v>
      </c>
      <c r="C1149" s="30"/>
      <c r="D1149" s="30"/>
      <c r="E1149" s="30"/>
      <c r="F1149" s="30"/>
      <c r="G1149" s="30"/>
      <c r="H1149" s="30"/>
      <c r="I1149" s="30"/>
      <c r="J1149" s="30">
        <f>IFERROR(__xludf.DUMMYFUNCTION("""COMPUTED_VALUE"""),-11.059343513011441)</f>
        <v>-11.05934351</v>
      </c>
      <c r="K1149" s="30"/>
      <c r="L1149" s="30"/>
      <c r="M1149" s="30"/>
      <c r="N1149" s="30"/>
      <c r="O1149" s="30">
        <f>IFERROR(__xludf.DUMMYFUNCTION("""COMPUTED_VALUE"""),-2.630874715592867)</f>
        <v>-2.630874716</v>
      </c>
      <c r="P1149" s="30">
        <f>IFERROR(__xludf.DUMMYFUNCTION("""COMPUTED_VALUE"""),4.463999088063446)</f>
        <v>4.463999088</v>
      </c>
      <c r="Q1149" s="30"/>
      <c r="R1149" s="30"/>
      <c r="S1149" s="30"/>
      <c r="T1149" s="30"/>
      <c r="U1149" s="30">
        <v>0.0</v>
      </c>
      <c r="V1149" s="30"/>
      <c r="W1149" s="30"/>
      <c r="X1149" s="30"/>
      <c r="Y1149" s="5">
        <f>IFERROR(__xludf.DUMMYFUNCTION("""COMPUTED_VALUE"""),85.0)</f>
        <v>85</v>
      </c>
      <c r="Z1149" s="5">
        <f>IFERROR(__xludf.DUMMYFUNCTION("""COMPUTED_VALUE"""),85.0)</f>
        <v>85</v>
      </c>
    </row>
    <row r="1150">
      <c r="A1150" s="30" t="s">
        <v>3204</v>
      </c>
      <c r="B1150" s="30">
        <f>IFERROR(__xludf.DUMMYFUNCTION("""COMPUTED_VALUE"""),83.0)</f>
        <v>83</v>
      </c>
      <c r="C1150" s="30"/>
      <c r="D1150" s="30"/>
      <c r="E1150" s="30"/>
      <c r="F1150" s="30"/>
      <c r="G1150" s="30"/>
      <c r="H1150" s="30"/>
      <c r="I1150" s="30"/>
      <c r="J1150" s="30">
        <f>IFERROR(__xludf.DUMMYFUNCTION("""COMPUTED_VALUE"""),-11.059343513011441)</f>
        <v>-11.05934351</v>
      </c>
      <c r="K1150" s="30"/>
      <c r="L1150" s="30"/>
      <c r="M1150" s="30"/>
      <c r="N1150" s="30"/>
      <c r="O1150" s="30">
        <f>IFERROR(__xludf.DUMMYFUNCTION("""COMPUTED_VALUE"""),-2.630874715592867)</f>
        <v>-2.630874716</v>
      </c>
      <c r="P1150" s="30">
        <f>IFERROR(__xludf.DUMMYFUNCTION("""COMPUTED_VALUE"""),4.463999088063446)</f>
        <v>4.463999088</v>
      </c>
      <c r="Q1150" s="30"/>
      <c r="R1150" s="30"/>
      <c r="S1150" s="30"/>
      <c r="T1150" s="30"/>
      <c r="U1150" s="30">
        <v>0.0</v>
      </c>
      <c r="V1150" s="30"/>
      <c r="W1150" s="30"/>
      <c r="X1150" s="30"/>
      <c r="Y1150" s="5">
        <f>IFERROR(__xludf.DUMMYFUNCTION("""COMPUTED_VALUE"""),83.0)</f>
        <v>83</v>
      </c>
      <c r="Z1150" s="5">
        <f>IFERROR(__xludf.DUMMYFUNCTION("""COMPUTED_VALUE"""),83.0)</f>
        <v>83</v>
      </c>
    </row>
    <row r="1151">
      <c r="A1151" s="30" t="s">
        <v>3205</v>
      </c>
      <c r="B1151" s="30">
        <f>IFERROR(__xludf.DUMMYFUNCTION("""COMPUTED_VALUE"""),85.0)</f>
        <v>85</v>
      </c>
      <c r="C1151" s="30"/>
      <c r="D1151" s="30"/>
      <c r="E1151" s="30"/>
      <c r="F1151" s="30"/>
      <c r="G1151" s="30"/>
      <c r="H1151" s="30"/>
      <c r="I1151" s="30"/>
      <c r="J1151" s="30">
        <f>IFERROR(__xludf.DUMMYFUNCTION("""COMPUTED_VALUE"""),-11.059343513011441)</f>
        <v>-11.05934351</v>
      </c>
      <c r="K1151" s="30"/>
      <c r="L1151" s="30"/>
      <c r="M1151" s="30"/>
      <c r="N1151" s="30"/>
      <c r="O1151" s="30">
        <f>IFERROR(__xludf.DUMMYFUNCTION("""COMPUTED_VALUE"""),-2.630874715592867)</f>
        <v>-2.630874716</v>
      </c>
      <c r="P1151" s="30">
        <f>IFERROR(__xludf.DUMMYFUNCTION("""COMPUTED_VALUE"""),4.463999088063446)</f>
        <v>4.463999088</v>
      </c>
      <c r="Q1151" s="30"/>
      <c r="R1151" s="30"/>
      <c r="S1151" s="30"/>
      <c r="T1151" s="30"/>
      <c r="U1151" s="30">
        <v>0.0</v>
      </c>
      <c r="V1151" s="30"/>
      <c r="W1151" s="30"/>
      <c r="X1151" s="30"/>
      <c r="Y1151" s="5">
        <f>IFERROR(__xludf.DUMMYFUNCTION("""COMPUTED_VALUE"""),85.0)</f>
        <v>85</v>
      </c>
      <c r="Z1151" s="5">
        <f>IFERROR(__xludf.DUMMYFUNCTION("""COMPUTED_VALUE"""),85.0)</f>
        <v>85</v>
      </c>
    </row>
    <row r="1152">
      <c r="A1152" s="30" t="s">
        <v>2701</v>
      </c>
      <c r="B1152" s="30">
        <f>IFERROR(__xludf.DUMMYFUNCTION("""COMPUTED_VALUE"""),86.5)</f>
        <v>86.5</v>
      </c>
      <c r="C1152" s="30"/>
      <c r="D1152" s="30"/>
      <c r="E1152" s="30"/>
      <c r="F1152" s="30"/>
      <c r="G1152" s="30"/>
      <c r="H1152" s="30"/>
      <c r="I1152" s="30"/>
      <c r="J1152" s="30">
        <f>IFERROR(__xludf.DUMMYFUNCTION("""COMPUTED_VALUE"""),-11.059343513011441)</f>
        <v>-11.05934351</v>
      </c>
      <c r="K1152" s="30"/>
      <c r="L1152" s="30"/>
      <c r="M1152" s="30"/>
      <c r="N1152" s="30"/>
      <c r="O1152" s="30">
        <f>IFERROR(__xludf.DUMMYFUNCTION("""COMPUTED_VALUE"""),-2.630874715592867)</f>
        <v>-2.630874716</v>
      </c>
      <c r="P1152" s="30">
        <f>IFERROR(__xludf.DUMMYFUNCTION("""COMPUTED_VALUE"""),4.463999088063446)</f>
        <v>4.463999088</v>
      </c>
      <c r="Q1152" s="30"/>
      <c r="R1152" s="30"/>
      <c r="S1152" s="30"/>
      <c r="T1152" s="30"/>
      <c r="U1152" s="30">
        <v>0.0</v>
      </c>
      <c r="V1152" s="30"/>
      <c r="W1152" s="30"/>
      <c r="X1152" s="30"/>
      <c r="Y1152" s="5">
        <f>IFERROR(__xludf.DUMMYFUNCTION("""COMPUTED_VALUE"""),85.0)</f>
        <v>85</v>
      </c>
      <c r="Z1152" s="5">
        <f>IFERROR(__xludf.DUMMYFUNCTION("""COMPUTED_VALUE"""),88.0)</f>
        <v>88</v>
      </c>
    </row>
    <row r="1153">
      <c r="A1153" s="30" t="s">
        <v>3208</v>
      </c>
      <c r="B1153" s="30">
        <f>IFERROR(__xludf.DUMMYFUNCTION("""COMPUTED_VALUE"""),83.5)</f>
        <v>83.5</v>
      </c>
      <c r="C1153" s="30"/>
      <c r="D1153" s="30"/>
      <c r="E1153" s="30"/>
      <c r="F1153" s="30"/>
      <c r="G1153" s="30"/>
      <c r="H1153" s="30"/>
      <c r="I1153" s="30"/>
      <c r="J1153" s="30">
        <f>IFERROR(__xludf.DUMMYFUNCTION("""COMPUTED_VALUE"""),-11.059343513011441)</f>
        <v>-11.05934351</v>
      </c>
      <c r="K1153" s="30"/>
      <c r="L1153" s="30"/>
      <c r="M1153" s="30"/>
      <c r="N1153" s="30"/>
      <c r="O1153" s="30">
        <f>IFERROR(__xludf.DUMMYFUNCTION("""COMPUTED_VALUE"""),-2.630874715592867)</f>
        <v>-2.630874716</v>
      </c>
      <c r="P1153" s="30">
        <f>IFERROR(__xludf.DUMMYFUNCTION("""COMPUTED_VALUE"""),4.463999088063446)</f>
        <v>4.463999088</v>
      </c>
      <c r="Q1153" s="30"/>
      <c r="R1153" s="30"/>
      <c r="S1153" s="30"/>
      <c r="T1153" s="30"/>
      <c r="U1153" s="30">
        <v>0.0</v>
      </c>
      <c r="V1153" s="30"/>
      <c r="W1153" s="30"/>
      <c r="X1153" s="30"/>
      <c r="Y1153" s="5">
        <f>IFERROR(__xludf.DUMMYFUNCTION("""COMPUTED_VALUE"""),83.0)</f>
        <v>83</v>
      </c>
      <c r="Z1153" s="5">
        <f>IFERROR(__xludf.DUMMYFUNCTION("""COMPUTED_VALUE"""),84.0)</f>
        <v>84</v>
      </c>
    </row>
    <row r="1154">
      <c r="A1154" s="30" t="s">
        <v>3210</v>
      </c>
      <c r="B1154" s="30">
        <f>IFERROR(__xludf.DUMMYFUNCTION("""COMPUTED_VALUE"""),84.0)</f>
        <v>84</v>
      </c>
      <c r="C1154" s="30"/>
      <c r="D1154" s="30"/>
      <c r="E1154" s="30"/>
      <c r="F1154" s="30"/>
      <c r="G1154" s="30"/>
      <c r="H1154" s="30"/>
      <c r="I1154" s="30"/>
      <c r="J1154" s="30">
        <f>IFERROR(__xludf.DUMMYFUNCTION("""COMPUTED_VALUE"""),-11.059343513011441)</f>
        <v>-11.05934351</v>
      </c>
      <c r="K1154" s="30"/>
      <c r="L1154" s="30"/>
      <c r="M1154" s="30"/>
      <c r="N1154" s="30"/>
      <c r="O1154" s="30">
        <f>IFERROR(__xludf.DUMMYFUNCTION("""COMPUTED_VALUE"""),-2.630874715592867)</f>
        <v>-2.630874716</v>
      </c>
      <c r="P1154" s="30">
        <f>IFERROR(__xludf.DUMMYFUNCTION("""COMPUTED_VALUE"""),4.463999088063446)</f>
        <v>4.463999088</v>
      </c>
      <c r="Q1154" s="30"/>
      <c r="R1154" s="30"/>
      <c r="S1154" s="30"/>
      <c r="T1154" s="30"/>
      <c r="U1154" s="30">
        <v>0.0</v>
      </c>
      <c r="V1154" s="30"/>
      <c r="W1154" s="30"/>
      <c r="X1154" s="30"/>
      <c r="Y1154" s="5">
        <f>IFERROR(__xludf.DUMMYFUNCTION("""COMPUTED_VALUE"""),84.0)</f>
        <v>84</v>
      </c>
      <c r="Z1154" s="5">
        <f>IFERROR(__xludf.DUMMYFUNCTION("""COMPUTED_VALUE"""),84.0)</f>
        <v>84</v>
      </c>
    </row>
    <row r="1155">
      <c r="A1155" s="30" t="s">
        <v>2343</v>
      </c>
      <c r="B1155" s="30">
        <f>IFERROR(__xludf.DUMMYFUNCTION("""COMPUTED_VALUE"""),84.0)</f>
        <v>84</v>
      </c>
      <c r="C1155" s="30"/>
      <c r="D1155" s="30"/>
      <c r="E1155" s="30"/>
      <c r="F1155" s="30"/>
      <c r="G1155" s="30"/>
      <c r="H1155" s="30"/>
      <c r="I1155" s="30"/>
      <c r="J1155" s="30">
        <f>IFERROR(__xludf.DUMMYFUNCTION("""COMPUTED_VALUE"""),-11.059343513011441)</f>
        <v>-11.05934351</v>
      </c>
      <c r="K1155" s="30"/>
      <c r="L1155" s="30"/>
      <c r="M1155" s="30"/>
      <c r="N1155" s="30"/>
      <c r="O1155" s="30">
        <f>IFERROR(__xludf.DUMMYFUNCTION("""COMPUTED_VALUE"""),-2.630874715592867)</f>
        <v>-2.630874716</v>
      </c>
      <c r="P1155" s="30">
        <f>IFERROR(__xludf.DUMMYFUNCTION("""COMPUTED_VALUE"""),4.463999088063446)</f>
        <v>4.463999088</v>
      </c>
      <c r="Q1155" s="30"/>
      <c r="R1155" s="30"/>
      <c r="S1155" s="30"/>
      <c r="T1155" s="30"/>
      <c r="U1155" s="30">
        <v>0.0</v>
      </c>
      <c r="V1155" s="30"/>
      <c r="W1155" s="30"/>
      <c r="X1155" s="30"/>
      <c r="Y1155" s="5">
        <f>IFERROR(__xludf.DUMMYFUNCTION("""COMPUTED_VALUE"""),84.0)</f>
        <v>84</v>
      </c>
      <c r="Z1155" s="5">
        <f>IFERROR(__xludf.DUMMYFUNCTION("""COMPUTED_VALUE"""),84.0)</f>
        <v>84</v>
      </c>
    </row>
    <row r="1156">
      <c r="A1156" s="30" t="s">
        <v>3211</v>
      </c>
      <c r="B1156" s="30">
        <f>IFERROR(__xludf.DUMMYFUNCTION("""COMPUTED_VALUE"""),84.0)</f>
        <v>84</v>
      </c>
      <c r="C1156" s="30"/>
      <c r="D1156" s="30"/>
      <c r="E1156" s="30"/>
      <c r="F1156" s="30"/>
      <c r="G1156" s="30"/>
      <c r="H1156" s="30"/>
      <c r="I1156" s="30"/>
      <c r="J1156" s="30">
        <f>IFERROR(__xludf.DUMMYFUNCTION("""COMPUTED_VALUE"""),-11.059343513011441)</f>
        <v>-11.05934351</v>
      </c>
      <c r="K1156" s="30"/>
      <c r="L1156" s="30"/>
      <c r="M1156" s="30"/>
      <c r="N1156" s="30"/>
      <c r="O1156" s="30">
        <f>IFERROR(__xludf.DUMMYFUNCTION("""COMPUTED_VALUE"""),-2.630874715592867)</f>
        <v>-2.630874716</v>
      </c>
      <c r="P1156" s="30">
        <f>IFERROR(__xludf.DUMMYFUNCTION("""COMPUTED_VALUE"""),4.463999088063446)</f>
        <v>4.463999088</v>
      </c>
      <c r="Q1156" s="30"/>
      <c r="R1156" s="30"/>
      <c r="S1156" s="30"/>
      <c r="T1156" s="30"/>
      <c r="U1156" s="30">
        <v>0.0</v>
      </c>
      <c r="V1156" s="30"/>
      <c r="W1156" s="30"/>
      <c r="X1156" s="30"/>
      <c r="Y1156" s="5">
        <f>IFERROR(__xludf.DUMMYFUNCTION("""COMPUTED_VALUE"""),84.0)</f>
        <v>84</v>
      </c>
      <c r="Z1156" s="5">
        <f>IFERROR(__xludf.DUMMYFUNCTION("""COMPUTED_VALUE"""),84.0)</f>
        <v>84</v>
      </c>
    </row>
    <row r="1157">
      <c r="A1157" s="30" t="s">
        <v>3212</v>
      </c>
      <c r="B1157" s="30">
        <f>IFERROR(__xludf.DUMMYFUNCTION("""COMPUTED_VALUE"""),84.0)</f>
        <v>84</v>
      </c>
      <c r="C1157" s="30"/>
      <c r="D1157" s="30"/>
      <c r="E1157" s="30"/>
      <c r="F1157" s="30"/>
      <c r="G1157" s="30"/>
      <c r="H1157" s="30"/>
      <c r="I1157" s="30"/>
      <c r="J1157" s="30">
        <f>IFERROR(__xludf.DUMMYFUNCTION("""COMPUTED_VALUE"""),-11.059343513011441)</f>
        <v>-11.05934351</v>
      </c>
      <c r="K1157" s="30"/>
      <c r="L1157" s="30"/>
      <c r="M1157" s="30"/>
      <c r="N1157" s="30"/>
      <c r="O1157" s="30">
        <f>IFERROR(__xludf.DUMMYFUNCTION("""COMPUTED_VALUE"""),-2.630874715592867)</f>
        <v>-2.630874716</v>
      </c>
      <c r="P1157" s="30">
        <f>IFERROR(__xludf.DUMMYFUNCTION("""COMPUTED_VALUE"""),4.463999088063446)</f>
        <v>4.463999088</v>
      </c>
      <c r="Q1157" s="30"/>
      <c r="R1157" s="30"/>
      <c r="S1157" s="30"/>
      <c r="T1157" s="30"/>
      <c r="U1157" s="30">
        <v>0.0</v>
      </c>
      <c r="V1157" s="30"/>
      <c r="W1157" s="30"/>
      <c r="X1157" s="30"/>
      <c r="Y1157" s="5">
        <f>IFERROR(__xludf.DUMMYFUNCTION("""COMPUTED_VALUE"""),84.0)</f>
        <v>84</v>
      </c>
      <c r="Z1157" s="5">
        <f>IFERROR(__xludf.DUMMYFUNCTION("""COMPUTED_VALUE"""),84.0)</f>
        <v>84</v>
      </c>
    </row>
    <row r="1158">
      <c r="A1158" s="30" t="s">
        <v>3213</v>
      </c>
      <c r="B1158" s="30">
        <f>IFERROR(__xludf.DUMMYFUNCTION("""COMPUTED_VALUE"""),88.0)</f>
        <v>88</v>
      </c>
      <c r="C1158" s="30"/>
      <c r="D1158" s="30"/>
      <c r="E1158" s="30"/>
      <c r="F1158" s="30"/>
      <c r="G1158" s="30"/>
      <c r="H1158" s="30"/>
      <c r="I1158" s="30"/>
      <c r="J1158" s="30">
        <f>IFERROR(__xludf.DUMMYFUNCTION("""COMPUTED_VALUE"""),-11.059343513011441)</f>
        <v>-11.05934351</v>
      </c>
      <c r="K1158" s="30"/>
      <c r="L1158" s="30"/>
      <c r="M1158" s="30"/>
      <c r="N1158" s="30"/>
      <c r="O1158" s="30">
        <f>IFERROR(__xludf.DUMMYFUNCTION("""COMPUTED_VALUE"""),-2.630874715592867)</f>
        <v>-2.630874716</v>
      </c>
      <c r="P1158" s="30">
        <f>IFERROR(__xludf.DUMMYFUNCTION("""COMPUTED_VALUE"""),4.463999088063446)</f>
        <v>4.463999088</v>
      </c>
      <c r="Q1158" s="30"/>
      <c r="R1158" s="30"/>
      <c r="S1158" s="30"/>
      <c r="T1158" s="30"/>
      <c r="U1158" s="30">
        <v>0.0</v>
      </c>
      <c r="V1158" s="30"/>
      <c r="W1158" s="30"/>
      <c r="X1158" s="30"/>
      <c r="Y1158" s="5">
        <f>IFERROR(__xludf.DUMMYFUNCTION("""COMPUTED_VALUE"""),88.0)</f>
        <v>88</v>
      </c>
      <c r="Z1158" s="5">
        <f>IFERROR(__xludf.DUMMYFUNCTION("""COMPUTED_VALUE"""),88.0)</f>
        <v>88</v>
      </c>
    </row>
    <row r="1159">
      <c r="A1159" s="30" t="s">
        <v>3214</v>
      </c>
      <c r="B1159" s="30">
        <f>IFERROR(__xludf.DUMMYFUNCTION("""COMPUTED_VALUE"""),84.0)</f>
        <v>84</v>
      </c>
      <c r="C1159" s="30"/>
      <c r="D1159" s="30"/>
      <c r="E1159" s="30"/>
      <c r="F1159" s="30"/>
      <c r="G1159" s="30"/>
      <c r="H1159" s="30"/>
      <c r="I1159" s="30"/>
      <c r="J1159" s="30">
        <f>IFERROR(__xludf.DUMMYFUNCTION("""COMPUTED_VALUE"""),-11.059343513011441)</f>
        <v>-11.05934351</v>
      </c>
      <c r="K1159" s="30"/>
      <c r="L1159" s="30"/>
      <c r="M1159" s="30"/>
      <c r="N1159" s="30"/>
      <c r="O1159" s="30">
        <f>IFERROR(__xludf.DUMMYFUNCTION("""COMPUTED_VALUE"""),-2.630874715592867)</f>
        <v>-2.630874716</v>
      </c>
      <c r="P1159" s="30">
        <f>IFERROR(__xludf.DUMMYFUNCTION("""COMPUTED_VALUE"""),4.463999088063446)</f>
        <v>4.463999088</v>
      </c>
      <c r="Q1159" s="30"/>
      <c r="R1159" s="30"/>
      <c r="S1159" s="30"/>
      <c r="T1159" s="30"/>
      <c r="U1159" s="30">
        <v>0.0</v>
      </c>
      <c r="V1159" s="30"/>
      <c r="W1159" s="30"/>
      <c r="X1159" s="30"/>
      <c r="Y1159" s="5">
        <f>IFERROR(__xludf.DUMMYFUNCTION("""COMPUTED_VALUE"""),84.0)</f>
        <v>84</v>
      </c>
      <c r="Z1159" s="5">
        <f>IFERROR(__xludf.DUMMYFUNCTION("""COMPUTED_VALUE"""),84.0)</f>
        <v>84</v>
      </c>
    </row>
    <row r="1160">
      <c r="A1160" s="30" t="s">
        <v>2675</v>
      </c>
      <c r="B1160" s="30">
        <f>IFERROR(__xludf.DUMMYFUNCTION("""COMPUTED_VALUE"""),81.0)</f>
        <v>81</v>
      </c>
      <c r="C1160" s="30"/>
      <c r="D1160" s="30"/>
      <c r="E1160" s="30"/>
      <c r="F1160" s="30"/>
      <c r="G1160" s="30"/>
      <c r="H1160" s="30"/>
      <c r="I1160" s="30"/>
      <c r="J1160" s="30">
        <f>IFERROR(__xludf.DUMMYFUNCTION("""COMPUTED_VALUE"""),-11.059343513011441)</f>
        <v>-11.05934351</v>
      </c>
      <c r="K1160" s="30"/>
      <c r="L1160" s="30"/>
      <c r="M1160" s="30"/>
      <c r="N1160" s="30"/>
      <c r="O1160" s="30">
        <f>IFERROR(__xludf.DUMMYFUNCTION("""COMPUTED_VALUE"""),-2.630874715592867)</f>
        <v>-2.630874716</v>
      </c>
      <c r="P1160" s="30">
        <f>IFERROR(__xludf.DUMMYFUNCTION("""COMPUTED_VALUE"""),4.463999088063446)</f>
        <v>4.463999088</v>
      </c>
      <c r="Q1160" s="30"/>
      <c r="R1160" s="30"/>
      <c r="S1160" s="30"/>
      <c r="T1160" s="30"/>
      <c r="U1160" s="30">
        <v>0.0</v>
      </c>
      <c r="V1160" s="30"/>
      <c r="W1160" s="30"/>
      <c r="X1160" s="30"/>
      <c r="Y1160" s="5">
        <f>IFERROR(__xludf.DUMMYFUNCTION("""COMPUTED_VALUE"""),81.0)</f>
        <v>81</v>
      </c>
      <c r="Z1160" s="5">
        <f>IFERROR(__xludf.DUMMYFUNCTION("""COMPUTED_VALUE"""),81.0)</f>
        <v>81</v>
      </c>
    </row>
    <row r="1161">
      <c r="A1161" s="30" t="s">
        <v>26</v>
      </c>
      <c r="B1161" s="30">
        <f>IFERROR(__xludf.DUMMYFUNCTION("""COMPUTED_VALUE"""),86.5)</f>
        <v>86.5</v>
      </c>
      <c r="C1161" s="30"/>
      <c r="D1161" s="30"/>
      <c r="E1161" s="30"/>
      <c r="F1161" s="30"/>
      <c r="G1161" s="30"/>
      <c r="H1161" s="30"/>
      <c r="I1161" s="30"/>
      <c r="J1161" s="30">
        <f>IFERROR(__xludf.DUMMYFUNCTION("""COMPUTED_VALUE"""),-11.059343513011441)</f>
        <v>-11.05934351</v>
      </c>
      <c r="K1161" s="30"/>
      <c r="L1161" s="30"/>
      <c r="M1161" s="30"/>
      <c r="N1161" s="30"/>
      <c r="O1161" s="30">
        <f>IFERROR(__xludf.DUMMYFUNCTION("""COMPUTED_VALUE"""),-2.630874715592867)</f>
        <v>-2.630874716</v>
      </c>
      <c r="P1161" s="30">
        <f>IFERROR(__xludf.DUMMYFUNCTION("""COMPUTED_VALUE"""),4.463999088063446)</f>
        <v>4.463999088</v>
      </c>
      <c r="Q1161" s="30"/>
      <c r="R1161" s="30"/>
      <c r="S1161" s="30"/>
      <c r="T1161" s="30"/>
      <c r="U1161" s="30">
        <v>0.0</v>
      </c>
      <c r="V1161" s="30"/>
      <c r="W1161" s="30"/>
      <c r="X1161" s="30"/>
      <c r="Y1161" s="5">
        <f>IFERROR(__xludf.DUMMYFUNCTION("""COMPUTED_VALUE"""),85.0)</f>
        <v>85</v>
      </c>
      <c r="Z1161" s="5">
        <f>IFERROR(__xludf.DUMMYFUNCTION("""COMPUTED_VALUE"""),88.0)</f>
        <v>88</v>
      </c>
    </row>
    <row r="1162">
      <c r="A1162" s="30" t="s">
        <v>3215</v>
      </c>
      <c r="B1162" s="30">
        <f>IFERROR(__xludf.DUMMYFUNCTION("""COMPUTED_VALUE"""),83.0)</f>
        <v>83</v>
      </c>
      <c r="C1162" s="30"/>
      <c r="D1162" s="30"/>
      <c r="E1162" s="30"/>
      <c r="F1162" s="30"/>
      <c r="G1162" s="30"/>
      <c r="H1162" s="30"/>
      <c r="I1162" s="30"/>
      <c r="J1162" s="30">
        <f>IFERROR(__xludf.DUMMYFUNCTION("""COMPUTED_VALUE"""),-11.059343513011441)</f>
        <v>-11.05934351</v>
      </c>
      <c r="K1162" s="30"/>
      <c r="L1162" s="30"/>
      <c r="M1162" s="30"/>
      <c r="N1162" s="30"/>
      <c r="O1162" s="30">
        <f>IFERROR(__xludf.DUMMYFUNCTION("""COMPUTED_VALUE"""),-2.630874715592867)</f>
        <v>-2.630874716</v>
      </c>
      <c r="P1162" s="30">
        <f>IFERROR(__xludf.DUMMYFUNCTION("""COMPUTED_VALUE"""),4.463999088063446)</f>
        <v>4.463999088</v>
      </c>
      <c r="Q1162" s="30"/>
      <c r="R1162" s="30"/>
      <c r="S1162" s="30"/>
      <c r="T1162" s="30"/>
      <c r="U1162" s="30">
        <v>0.0</v>
      </c>
      <c r="V1162" s="30"/>
      <c r="W1162" s="30"/>
      <c r="X1162" s="30"/>
      <c r="Y1162" s="5">
        <f>IFERROR(__xludf.DUMMYFUNCTION("""COMPUTED_VALUE"""),83.0)</f>
        <v>83</v>
      </c>
      <c r="Z1162" s="5">
        <f>IFERROR(__xludf.DUMMYFUNCTION("""COMPUTED_VALUE"""),83.0)</f>
        <v>83</v>
      </c>
    </row>
    <row r="1163">
      <c r="A1163" s="30" t="s">
        <v>3216</v>
      </c>
      <c r="B1163" s="30">
        <f>IFERROR(__xludf.DUMMYFUNCTION("""COMPUTED_VALUE"""),85.0)</f>
        <v>85</v>
      </c>
      <c r="C1163" s="30"/>
      <c r="D1163" s="30"/>
      <c r="E1163" s="30"/>
      <c r="F1163" s="30"/>
      <c r="G1163" s="30"/>
      <c r="H1163" s="30"/>
      <c r="I1163" s="30"/>
      <c r="J1163" s="30">
        <f>IFERROR(__xludf.DUMMYFUNCTION("""COMPUTED_VALUE"""),-11.059343513011441)</f>
        <v>-11.05934351</v>
      </c>
      <c r="K1163" s="30"/>
      <c r="L1163" s="30"/>
      <c r="M1163" s="30"/>
      <c r="N1163" s="30"/>
      <c r="O1163" s="30">
        <f>IFERROR(__xludf.DUMMYFUNCTION("""COMPUTED_VALUE"""),-2.630874715592867)</f>
        <v>-2.630874716</v>
      </c>
      <c r="P1163" s="30">
        <f>IFERROR(__xludf.DUMMYFUNCTION("""COMPUTED_VALUE"""),4.463999088063446)</f>
        <v>4.463999088</v>
      </c>
      <c r="Q1163" s="30"/>
      <c r="R1163" s="30"/>
      <c r="S1163" s="30"/>
      <c r="T1163" s="30"/>
      <c r="U1163" s="30">
        <v>0.0</v>
      </c>
      <c r="V1163" s="30"/>
      <c r="W1163" s="30"/>
      <c r="X1163" s="30"/>
      <c r="Y1163" s="5">
        <f>IFERROR(__xludf.DUMMYFUNCTION("""COMPUTED_VALUE"""),84.0)</f>
        <v>84</v>
      </c>
      <c r="Z1163" s="5">
        <f>IFERROR(__xludf.DUMMYFUNCTION("""COMPUTED_VALUE"""),86.0)</f>
        <v>86</v>
      </c>
    </row>
    <row r="1164">
      <c r="A1164" s="30" t="s">
        <v>3222</v>
      </c>
      <c r="B1164" s="30">
        <f>IFERROR(__xludf.DUMMYFUNCTION("""COMPUTED_VALUE"""),84.0)</f>
        <v>84</v>
      </c>
      <c r="C1164" s="30"/>
      <c r="D1164" s="30"/>
      <c r="E1164" s="30"/>
      <c r="F1164" s="30"/>
      <c r="G1164" s="30"/>
      <c r="H1164" s="30"/>
      <c r="I1164" s="30"/>
      <c r="J1164" s="30">
        <f>IFERROR(__xludf.DUMMYFUNCTION("""COMPUTED_VALUE"""),-11.059343513011441)</f>
        <v>-11.05934351</v>
      </c>
      <c r="K1164" s="30"/>
      <c r="L1164" s="30"/>
      <c r="M1164" s="30"/>
      <c r="N1164" s="30"/>
      <c r="O1164" s="30">
        <f>IFERROR(__xludf.DUMMYFUNCTION("""COMPUTED_VALUE"""),-2.630874715592867)</f>
        <v>-2.630874716</v>
      </c>
      <c r="P1164" s="30">
        <f>IFERROR(__xludf.DUMMYFUNCTION("""COMPUTED_VALUE"""),4.463999088063446)</f>
        <v>4.463999088</v>
      </c>
      <c r="Q1164" s="30"/>
      <c r="R1164" s="30"/>
      <c r="S1164" s="30"/>
      <c r="T1164" s="30"/>
      <c r="U1164" s="30">
        <v>0.0</v>
      </c>
      <c r="V1164" s="30"/>
      <c r="W1164" s="30"/>
      <c r="X1164" s="30"/>
      <c r="Y1164" s="5">
        <f>IFERROR(__xludf.DUMMYFUNCTION("""COMPUTED_VALUE"""),84.0)</f>
        <v>84</v>
      </c>
      <c r="Z1164" s="5">
        <f>IFERROR(__xludf.DUMMYFUNCTION("""COMPUTED_VALUE"""),84.0)</f>
        <v>84</v>
      </c>
    </row>
    <row r="1165">
      <c r="A1165" s="30" t="s">
        <v>3224</v>
      </c>
      <c r="B1165" s="30">
        <f>IFERROR(__xludf.DUMMYFUNCTION("""COMPUTED_VALUE"""),84.0)</f>
        <v>84</v>
      </c>
      <c r="C1165" s="30"/>
      <c r="D1165" s="30"/>
      <c r="E1165" s="30"/>
      <c r="F1165" s="30"/>
      <c r="G1165" s="30"/>
      <c r="H1165" s="30"/>
      <c r="I1165" s="30"/>
      <c r="J1165" s="30">
        <f>IFERROR(__xludf.DUMMYFUNCTION("""COMPUTED_VALUE"""),-11.059343513011441)</f>
        <v>-11.05934351</v>
      </c>
      <c r="K1165" s="30"/>
      <c r="L1165" s="30"/>
      <c r="M1165" s="30"/>
      <c r="N1165" s="30"/>
      <c r="O1165" s="30">
        <f>IFERROR(__xludf.DUMMYFUNCTION("""COMPUTED_VALUE"""),-2.630874715592867)</f>
        <v>-2.630874716</v>
      </c>
      <c r="P1165" s="30">
        <f>IFERROR(__xludf.DUMMYFUNCTION("""COMPUTED_VALUE"""),4.463999088063446)</f>
        <v>4.463999088</v>
      </c>
      <c r="Q1165" s="30"/>
      <c r="R1165" s="30"/>
      <c r="S1165" s="30"/>
      <c r="T1165" s="30"/>
      <c r="U1165" s="30">
        <v>0.0</v>
      </c>
      <c r="V1165" s="30"/>
      <c r="W1165" s="30"/>
      <c r="X1165" s="30"/>
      <c r="Y1165" s="5">
        <f>IFERROR(__xludf.DUMMYFUNCTION("""COMPUTED_VALUE"""),84.0)</f>
        <v>84</v>
      </c>
      <c r="Z1165" s="5">
        <f>IFERROR(__xludf.DUMMYFUNCTION("""COMPUTED_VALUE"""),84.0)</f>
        <v>84</v>
      </c>
    </row>
    <row r="1166">
      <c r="A1166" s="30" t="s">
        <v>3225</v>
      </c>
      <c r="B1166" s="30">
        <f>IFERROR(__xludf.DUMMYFUNCTION("""COMPUTED_VALUE"""),85.0)</f>
        <v>85</v>
      </c>
      <c r="C1166" s="30"/>
      <c r="D1166" s="30"/>
      <c r="E1166" s="30"/>
      <c r="F1166" s="30"/>
      <c r="G1166" s="30"/>
      <c r="H1166" s="30"/>
      <c r="I1166" s="30"/>
      <c r="J1166" s="30">
        <f>IFERROR(__xludf.DUMMYFUNCTION("""COMPUTED_VALUE"""),-11.059343513011441)</f>
        <v>-11.05934351</v>
      </c>
      <c r="K1166" s="30"/>
      <c r="L1166" s="30"/>
      <c r="M1166" s="30"/>
      <c r="N1166" s="30"/>
      <c r="O1166" s="30">
        <f>IFERROR(__xludf.DUMMYFUNCTION("""COMPUTED_VALUE"""),-2.630874715592867)</f>
        <v>-2.630874716</v>
      </c>
      <c r="P1166" s="30">
        <f>IFERROR(__xludf.DUMMYFUNCTION("""COMPUTED_VALUE"""),4.463999088063446)</f>
        <v>4.463999088</v>
      </c>
      <c r="Q1166" s="30"/>
      <c r="R1166" s="30"/>
      <c r="S1166" s="30"/>
      <c r="T1166" s="30"/>
      <c r="U1166" s="30">
        <v>0.0</v>
      </c>
      <c r="V1166" s="30"/>
      <c r="W1166" s="30"/>
      <c r="X1166" s="30"/>
      <c r="Y1166" s="5">
        <f>IFERROR(__xludf.DUMMYFUNCTION("""COMPUTED_VALUE"""),85.0)</f>
        <v>85</v>
      </c>
      <c r="Z1166" s="5">
        <f>IFERROR(__xludf.DUMMYFUNCTION("""COMPUTED_VALUE"""),85.0)</f>
        <v>85</v>
      </c>
    </row>
    <row r="1167">
      <c r="A1167" s="30" t="s">
        <v>2729</v>
      </c>
      <c r="B1167" s="30">
        <f>IFERROR(__xludf.DUMMYFUNCTION("""COMPUTED_VALUE"""),86.0)</f>
        <v>86</v>
      </c>
      <c r="C1167" s="30"/>
      <c r="D1167" s="30"/>
      <c r="E1167" s="30"/>
      <c r="F1167" s="30"/>
      <c r="G1167" s="30"/>
      <c r="H1167" s="30"/>
      <c r="I1167" s="30"/>
      <c r="J1167" s="30">
        <f>IFERROR(__xludf.DUMMYFUNCTION("""COMPUTED_VALUE"""),-11.059343513011441)</f>
        <v>-11.05934351</v>
      </c>
      <c r="K1167" s="30"/>
      <c r="L1167" s="30"/>
      <c r="M1167" s="30"/>
      <c r="N1167" s="30"/>
      <c r="O1167" s="30">
        <f>IFERROR(__xludf.DUMMYFUNCTION("""COMPUTED_VALUE"""),-2.630874715592867)</f>
        <v>-2.630874716</v>
      </c>
      <c r="P1167" s="30">
        <f>IFERROR(__xludf.DUMMYFUNCTION("""COMPUTED_VALUE"""),4.463999088063446)</f>
        <v>4.463999088</v>
      </c>
      <c r="Q1167" s="30"/>
      <c r="R1167" s="30"/>
      <c r="S1167" s="30"/>
      <c r="T1167" s="30"/>
      <c r="U1167" s="30">
        <v>0.0</v>
      </c>
      <c r="V1167" s="30"/>
      <c r="W1167" s="30"/>
      <c r="X1167" s="30"/>
      <c r="Y1167" s="5">
        <f>IFERROR(__xludf.DUMMYFUNCTION("""COMPUTED_VALUE"""),86.0)</f>
        <v>86</v>
      </c>
      <c r="Z1167" s="5">
        <f>IFERROR(__xludf.DUMMYFUNCTION("""COMPUTED_VALUE"""),86.0)</f>
        <v>86</v>
      </c>
    </row>
    <row r="1168">
      <c r="A1168" s="30" t="s">
        <v>2522</v>
      </c>
      <c r="B1168" s="30">
        <f>IFERROR(__xludf.DUMMYFUNCTION("""COMPUTED_VALUE"""),80.0)</f>
        <v>80</v>
      </c>
      <c r="C1168" s="30"/>
      <c r="D1168" s="30"/>
      <c r="E1168" s="30"/>
      <c r="F1168" s="30"/>
      <c r="G1168" s="30"/>
      <c r="H1168" s="30"/>
      <c r="I1168" s="30"/>
      <c r="J1168" s="30">
        <f>IFERROR(__xludf.DUMMYFUNCTION("""COMPUTED_VALUE"""),-11.059343513011441)</f>
        <v>-11.05934351</v>
      </c>
      <c r="K1168" s="30"/>
      <c r="L1168" s="30"/>
      <c r="M1168" s="30"/>
      <c r="N1168" s="30"/>
      <c r="O1168" s="30">
        <f>IFERROR(__xludf.DUMMYFUNCTION("""COMPUTED_VALUE"""),-2.630874715592867)</f>
        <v>-2.630874716</v>
      </c>
      <c r="P1168" s="30">
        <f>IFERROR(__xludf.DUMMYFUNCTION("""COMPUTED_VALUE"""),4.463999088063446)</f>
        <v>4.463999088</v>
      </c>
      <c r="Q1168" s="30"/>
      <c r="R1168" s="30"/>
      <c r="S1168" s="30"/>
      <c r="T1168" s="30"/>
      <c r="U1168" s="30">
        <v>0.0</v>
      </c>
      <c r="V1168" s="30"/>
      <c r="W1168" s="30"/>
      <c r="X1168" s="30"/>
      <c r="Y1168" s="5">
        <f>IFERROR(__xludf.DUMMYFUNCTION("""COMPUTED_VALUE"""),79.0)</f>
        <v>79</v>
      </c>
      <c r="Z1168" s="5">
        <f>IFERROR(__xludf.DUMMYFUNCTION("""COMPUTED_VALUE"""),81.0)</f>
        <v>81</v>
      </c>
    </row>
    <row r="1169">
      <c r="A1169" s="30" t="s">
        <v>3228</v>
      </c>
      <c r="B1169" s="30">
        <f>IFERROR(__xludf.DUMMYFUNCTION("""COMPUTED_VALUE"""),80.5)</f>
        <v>80.5</v>
      </c>
      <c r="C1169" s="30"/>
      <c r="D1169" s="30"/>
      <c r="E1169" s="30"/>
      <c r="F1169" s="30"/>
      <c r="G1169" s="30"/>
      <c r="H1169" s="30"/>
      <c r="I1169" s="30"/>
      <c r="J1169" s="30">
        <f>IFERROR(__xludf.DUMMYFUNCTION("""COMPUTED_VALUE"""),-11.059343513011441)</f>
        <v>-11.05934351</v>
      </c>
      <c r="K1169" s="30"/>
      <c r="L1169" s="30"/>
      <c r="M1169" s="30"/>
      <c r="N1169" s="30"/>
      <c r="O1169" s="30">
        <f>IFERROR(__xludf.DUMMYFUNCTION("""COMPUTED_VALUE"""),-2.630874715592867)</f>
        <v>-2.630874716</v>
      </c>
      <c r="P1169" s="30">
        <f>IFERROR(__xludf.DUMMYFUNCTION("""COMPUTED_VALUE"""),4.463999088063446)</f>
        <v>4.463999088</v>
      </c>
      <c r="Q1169" s="30"/>
      <c r="R1169" s="30"/>
      <c r="S1169" s="30"/>
      <c r="T1169" s="30"/>
      <c r="U1169" s="30">
        <v>0.0</v>
      </c>
      <c r="V1169" s="30"/>
      <c r="W1169" s="30"/>
      <c r="X1169" s="30"/>
      <c r="Y1169" s="5">
        <f>IFERROR(__xludf.DUMMYFUNCTION("""COMPUTED_VALUE"""),79.0)</f>
        <v>79</v>
      </c>
      <c r="Z1169" s="5">
        <f>IFERROR(__xludf.DUMMYFUNCTION("""COMPUTED_VALUE"""),82.0)</f>
        <v>82</v>
      </c>
    </row>
    <row r="1170">
      <c r="A1170" s="30" t="s">
        <v>3230</v>
      </c>
      <c r="B1170" s="30">
        <f>IFERROR(__xludf.DUMMYFUNCTION("""COMPUTED_VALUE"""),83.0)</f>
        <v>83</v>
      </c>
      <c r="C1170" s="30"/>
      <c r="D1170" s="30"/>
      <c r="E1170" s="30"/>
      <c r="F1170" s="30"/>
      <c r="G1170" s="30"/>
      <c r="H1170" s="30"/>
      <c r="I1170" s="30"/>
      <c r="J1170" s="30">
        <f>IFERROR(__xludf.DUMMYFUNCTION("""COMPUTED_VALUE"""),-11.059343513011441)</f>
        <v>-11.05934351</v>
      </c>
      <c r="K1170" s="30"/>
      <c r="L1170" s="30"/>
      <c r="M1170" s="30"/>
      <c r="N1170" s="30"/>
      <c r="O1170" s="30">
        <f>IFERROR(__xludf.DUMMYFUNCTION("""COMPUTED_VALUE"""),-2.630874715592867)</f>
        <v>-2.630874716</v>
      </c>
      <c r="P1170" s="30">
        <f>IFERROR(__xludf.DUMMYFUNCTION("""COMPUTED_VALUE"""),4.463999088063446)</f>
        <v>4.463999088</v>
      </c>
      <c r="Q1170" s="30"/>
      <c r="R1170" s="30"/>
      <c r="S1170" s="30"/>
      <c r="T1170" s="30"/>
      <c r="U1170" s="30">
        <v>0.0</v>
      </c>
      <c r="V1170" s="30"/>
      <c r="W1170" s="30"/>
      <c r="X1170" s="30"/>
      <c r="Y1170" s="5">
        <f>IFERROR(__xludf.DUMMYFUNCTION("""COMPUTED_VALUE"""),83.0)</f>
        <v>83</v>
      </c>
      <c r="Z1170" s="5">
        <f>IFERROR(__xludf.DUMMYFUNCTION("""COMPUTED_VALUE"""),83.0)</f>
        <v>83</v>
      </c>
    </row>
    <row r="1171">
      <c r="A1171" s="30" t="s">
        <v>2433</v>
      </c>
      <c r="B1171" s="30">
        <f>IFERROR(__xludf.DUMMYFUNCTION("""COMPUTED_VALUE"""),82.0)</f>
        <v>82</v>
      </c>
      <c r="C1171" s="30"/>
      <c r="D1171" s="30"/>
      <c r="E1171" s="30"/>
      <c r="F1171" s="30"/>
      <c r="G1171" s="30"/>
      <c r="H1171" s="30"/>
      <c r="I1171" s="30"/>
      <c r="J1171" s="30">
        <f>IFERROR(__xludf.DUMMYFUNCTION("""COMPUTED_VALUE"""),-11.059343513011441)</f>
        <v>-11.05934351</v>
      </c>
      <c r="K1171" s="30"/>
      <c r="L1171" s="30"/>
      <c r="M1171" s="30"/>
      <c r="N1171" s="30"/>
      <c r="O1171" s="30">
        <f>IFERROR(__xludf.DUMMYFUNCTION("""COMPUTED_VALUE"""),-2.630874715592867)</f>
        <v>-2.630874716</v>
      </c>
      <c r="P1171" s="30">
        <f>IFERROR(__xludf.DUMMYFUNCTION("""COMPUTED_VALUE"""),4.463999088063446)</f>
        <v>4.463999088</v>
      </c>
      <c r="Q1171" s="30"/>
      <c r="R1171" s="30"/>
      <c r="S1171" s="30"/>
      <c r="T1171" s="30"/>
      <c r="U1171" s="30">
        <v>0.0</v>
      </c>
      <c r="V1171" s="30"/>
      <c r="W1171" s="30"/>
      <c r="X1171" s="30"/>
      <c r="Y1171" s="5">
        <f>IFERROR(__xludf.DUMMYFUNCTION("""COMPUTED_VALUE"""),82.0)</f>
        <v>82</v>
      </c>
      <c r="Z1171" s="5">
        <f>IFERROR(__xludf.DUMMYFUNCTION("""COMPUTED_VALUE"""),82.0)</f>
        <v>82</v>
      </c>
    </row>
    <row r="1172">
      <c r="A1172" s="30" t="s">
        <v>2044</v>
      </c>
      <c r="B1172" s="30">
        <f>IFERROR(__xludf.DUMMYFUNCTION("""COMPUTED_VALUE"""),86.0)</f>
        <v>86</v>
      </c>
      <c r="C1172" s="30"/>
      <c r="D1172" s="30"/>
      <c r="E1172" s="30"/>
      <c r="F1172" s="30"/>
      <c r="G1172" s="30"/>
      <c r="H1172" s="30"/>
      <c r="I1172" s="30"/>
      <c r="J1172" s="30">
        <f>IFERROR(__xludf.DUMMYFUNCTION("""COMPUTED_VALUE"""),-11.059343513011441)</f>
        <v>-11.05934351</v>
      </c>
      <c r="K1172" s="30"/>
      <c r="L1172" s="30"/>
      <c r="M1172" s="30"/>
      <c r="N1172" s="30"/>
      <c r="O1172" s="30">
        <f>IFERROR(__xludf.DUMMYFUNCTION("""COMPUTED_VALUE"""),-2.630874715592867)</f>
        <v>-2.630874716</v>
      </c>
      <c r="P1172" s="30">
        <f>IFERROR(__xludf.DUMMYFUNCTION("""COMPUTED_VALUE"""),4.463999088063446)</f>
        <v>4.463999088</v>
      </c>
      <c r="Q1172" s="30"/>
      <c r="R1172" s="30"/>
      <c r="S1172" s="30"/>
      <c r="T1172" s="30"/>
      <c r="U1172" s="30">
        <v>0.0</v>
      </c>
      <c r="V1172" s="30"/>
      <c r="W1172" s="30"/>
      <c r="X1172" s="30"/>
      <c r="Y1172" s="5">
        <f>IFERROR(__xludf.DUMMYFUNCTION("""COMPUTED_VALUE"""),84.0)</f>
        <v>84</v>
      </c>
      <c r="Z1172" s="5">
        <f>IFERROR(__xludf.DUMMYFUNCTION("""COMPUTED_VALUE"""),88.0)</f>
        <v>88</v>
      </c>
    </row>
    <row r="1173">
      <c r="A1173" s="30" t="s">
        <v>3233</v>
      </c>
      <c r="B1173" s="30">
        <f>IFERROR(__xludf.DUMMYFUNCTION("""COMPUTED_VALUE"""),84.0)</f>
        <v>84</v>
      </c>
      <c r="C1173" s="30"/>
      <c r="D1173" s="30"/>
      <c r="E1173" s="30"/>
      <c r="F1173" s="30"/>
      <c r="G1173" s="30"/>
      <c r="H1173" s="30"/>
      <c r="I1173" s="30"/>
      <c r="J1173" s="30">
        <f>IFERROR(__xludf.DUMMYFUNCTION("""COMPUTED_VALUE"""),-11.059343513011441)</f>
        <v>-11.05934351</v>
      </c>
      <c r="K1173" s="30"/>
      <c r="L1173" s="30"/>
      <c r="M1173" s="30"/>
      <c r="N1173" s="30"/>
      <c r="O1173" s="30">
        <f>IFERROR(__xludf.DUMMYFUNCTION("""COMPUTED_VALUE"""),-2.630874715592867)</f>
        <v>-2.630874716</v>
      </c>
      <c r="P1173" s="30">
        <f>IFERROR(__xludf.DUMMYFUNCTION("""COMPUTED_VALUE"""),4.463999088063446)</f>
        <v>4.463999088</v>
      </c>
      <c r="Q1173" s="30"/>
      <c r="R1173" s="30"/>
      <c r="S1173" s="30"/>
      <c r="T1173" s="30"/>
      <c r="U1173" s="30">
        <v>0.0</v>
      </c>
      <c r="V1173" s="30"/>
      <c r="W1173" s="30"/>
      <c r="X1173" s="30"/>
      <c r="Y1173" s="5">
        <f>IFERROR(__xludf.DUMMYFUNCTION("""COMPUTED_VALUE"""),84.0)</f>
        <v>84</v>
      </c>
      <c r="Z1173" s="5">
        <f>IFERROR(__xludf.DUMMYFUNCTION("""COMPUTED_VALUE"""),84.0)</f>
        <v>84</v>
      </c>
    </row>
    <row r="1174">
      <c r="A1174" s="30" t="s">
        <v>2448</v>
      </c>
      <c r="B1174" s="30">
        <f>IFERROR(__xludf.DUMMYFUNCTION("""COMPUTED_VALUE"""),84.0)</f>
        <v>84</v>
      </c>
      <c r="C1174" s="30"/>
      <c r="D1174" s="30"/>
      <c r="E1174" s="30"/>
      <c r="F1174" s="30"/>
      <c r="G1174" s="30"/>
      <c r="H1174" s="30"/>
      <c r="I1174" s="30"/>
      <c r="J1174" s="30">
        <f>IFERROR(__xludf.DUMMYFUNCTION("""COMPUTED_VALUE"""),-11.059343513011441)</f>
        <v>-11.05934351</v>
      </c>
      <c r="K1174" s="30"/>
      <c r="L1174" s="30"/>
      <c r="M1174" s="30"/>
      <c r="N1174" s="30"/>
      <c r="O1174" s="30">
        <f>IFERROR(__xludf.DUMMYFUNCTION("""COMPUTED_VALUE"""),-2.630874715592867)</f>
        <v>-2.630874716</v>
      </c>
      <c r="P1174" s="30">
        <f>IFERROR(__xludf.DUMMYFUNCTION("""COMPUTED_VALUE"""),4.463999088063446)</f>
        <v>4.463999088</v>
      </c>
      <c r="Q1174" s="30"/>
      <c r="R1174" s="30"/>
      <c r="S1174" s="30"/>
      <c r="T1174" s="30"/>
      <c r="U1174" s="30">
        <v>0.0</v>
      </c>
      <c r="V1174" s="30"/>
      <c r="W1174" s="30"/>
      <c r="X1174" s="30"/>
      <c r="Y1174" s="5">
        <f>IFERROR(__xludf.DUMMYFUNCTION("""COMPUTED_VALUE"""),84.0)</f>
        <v>84</v>
      </c>
      <c r="Z1174" s="5">
        <f>IFERROR(__xludf.DUMMYFUNCTION("""COMPUTED_VALUE"""),84.0)</f>
        <v>84</v>
      </c>
    </row>
    <row r="1175">
      <c r="A1175" s="30" t="s">
        <v>3234</v>
      </c>
      <c r="B1175" s="30">
        <f>IFERROR(__xludf.DUMMYFUNCTION("""COMPUTED_VALUE"""),84.0)</f>
        <v>84</v>
      </c>
      <c r="C1175" s="30"/>
      <c r="D1175" s="30"/>
      <c r="E1175" s="30"/>
      <c r="F1175" s="30"/>
      <c r="G1175" s="30"/>
      <c r="H1175" s="30"/>
      <c r="I1175" s="30"/>
      <c r="J1175" s="30">
        <f>IFERROR(__xludf.DUMMYFUNCTION("""COMPUTED_VALUE"""),-11.059343513011441)</f>
        <v>-11.05934351</v>
      </c>
      <c r="K1175" s="30"/>
      <c r="L1175" s="30"/>
      <c r="M1175" s="30"/>
      <c r="N1175" s="30"/>
      <c r="O1175" s="30">
        <f>IFERROR(__xludf.DUMMYFUNCTION("""COMPUTED_VALUE"""),-2.630874715592867)</f>
        <v>-2.630874716</v>
      </c>
      <c r="P1175" s="30">
        <f>IFERROR(__xludf.DUMMYFUNCTION("""COMPUTED_VALUE"""),4.463999088063446)</f>
        <v>4.463999088</v>
      </c>
      <c r="Q1175" s="30"/>
      <c r="R1175" s="30"/>
      <c r="S1175" s="30"/>
      <c r="T1175" s="30"/>
      <c r="U1175" s="30">
        <v>0.0</v>
      </c>
      <c r="V1175" s="30"/>
      <c r="W1175" s="30"/>
      <c r="X1175" s="30"/>
      <c r="Y1175" s="5">
        <f>IFERROR(__xludf.DUMMYFUNCTION("""COMPUTED_VALUE"""),84.0)</f>
        <v>84</v>
      </c>
      <c r="Z1175" s="5">
        <f>IFERROR(__xludf.DUMMYFUNCTION("""COMPUTED_VALUE"""),84.0)</f>
        <v>84</v>
      </c>
    </row>
    <row r="1176">
      <c r="A1176" s="30" t="s">
        <v>2257</v>
      </c>
      <c r="B1176" s="30">
        <f>IFERROR(__xludf.DUMMYFUNCTION("""COMPUTED_VALUE"""),84.0)</f>
        <v>84</v>
      </c>
      <c r="C1176" s="30"/>
      <c r="D1176" s="30"/>
      <c r="E1176" s="30"/>
      <c r="F1176" s="30"/>
      <c r="G1176" s="30"/>
      <c r="H1176" s="30"/>
      <c r="I1176" s="30"/>
      <c r="J1176" s="30">
        <f>IFERROR(__xludf.DUMMYFUNCTION("""COMPUTED_VALUE"""),-11.059343513011441)</f>
        <v>-11.05934351</v>
      </c>
      <c r="K1176" s="30"/>
      <c r="L1176" s="30"/>
      <c r="M1176" s="30"/>
      <c r="N1176" s="30"/>
      <c r="O1176" s="30">
        <f>IFERROR(__xludf.DUMMYFUNCTION("""COMPUTED_VALUE"""),-2.630874715592867)</f>
        <v>-2.630874716</v>
      </c>
      <c r="P1176" s="30">
        <f>IFERROR(__xludf.DUMMYFUNCTION("""COMPUTED_VALUE"""),4.463999088063446)</f>
        <v>4.463999088</v>
      </c>
      <c r="Q1176" s="30"/>
      <c r="R1176" s="30"/>
      <c r="S1176" s="30"/>
      <c r="T1176" s="30"/>
      <c r="U1176" s="30">
        <v>0.0</v>
      </c>
      <c r="V1176" s="30"/>
      <c r="W1176" s="30"/>
      <c r="X1176" s="30"/>
      <c r="Y1176" s="5">
        <f>IFERROR(__xludf.DUMMYFUNCTION("""COMPUTED_VALUE"""),83.0)</f>
        <v>83</v>
      </c>
      <c r="Z1176" s="5">
        <f>IFERROR(__xludf.DUMMYFUNCTION("""COMPUTED_VALUE"""),85.0)</f>
        <v>85</v>
      </c>
    </row>
    <row r="1177">
      <c r="A1177" s="30" t="s">
        <v>3237</v>
      </c>
      <c r="B1177" s="30">
        <f>IFERROR(__xludf.DUMMYFUNCTION("""COMPUTED_VALUE"""),83.5)</f>
        <v>83.5</v>
      </c>
      <c r="C1177" s="30"/>
      <c r="D1177" s="30"/>
      <c r="E1177" s="30"/>
      <c r="F1177" s="30"/>
      <c r="G1177" s="30"/>
      <c r="H1177" s="30"/>
      <c r="I1177" s="30"/>
      <c r="J1177" s="30">
        <f>IFERROR(__xludf.DUMMYFUNCTION("""COMPUTED_VALUE"""),-11.059343513011441)</f>
        <v>-11.05934351</v>
      </c>
      <c r="K1177" s="30"/>
      <c r="L1177" s="30"/>
      <c r="M1177" s="30"/>
      <c r="N1177" s="30"/>
      <c r="O1177" s="30">
        <f>IFERROR(__xludf.DUMMYFUNCTION("""COMPUTED_VALUE"""),-2.630874715592867)</f>
        <v>-2.630874716</v>
      </c>
      <c r="P1177" s="30">
        <f>IFERROR(__xludf.DUMMYFUNCTION("""COMPUTED_VALUE"""),4.463999088063446)</f>
        <v>4.463999088</v>
      </c>
      <c r="Q1177" s="30"/>
      <c r="R1177" s="30"/>
      <c r="S1177" s="30"/>
      <c r="T1177" s="30"/>
      <c r="U1177" s="30">
        <v>0.0</v>
      </c>
      <c r="V1177" s="30"/>
      <c r="W1177" s="30"/>
      <c r="X1177" s="30"/>
      <c r="Y1177" s="5">
        <f>IFERROR(__xludf.DUMMYFUNCTION("""COMPUTED_VALUE"""),83.0)</f>
        <v>83</v>
      </c>
      <c r="Z1177" s="5">
        <f>IFERROR(__xludf.DUMMYFUNCTION("""COMPUTED_VALUE"""),84.0)</f>
        <v>84</v>
      </c>
    </row>
    <row r="1178">
      <c r="A1178" s="30" t="s">
        <v>3239</v>
      </c>
      <c r="B1178" s="30">
        <f>IFERROR(__xludf.DUMMYFUNCTION("""COMPUTED_VALUE"""),80.5)</f>
        <v>80.5</v>
      </c>
      <c r="C1178" s="30"/>
      <c r="D1178" s="30"/>
      <c r="E1178" s="30"/>
      <c r="F1178" s="30"/>
      <c r="G1178" s="30"/>
      <c r="H1178" s="30"/>
      <c r="I1178" s="30"/>
      <c r="J1178" s="30">
        <f>IFERROR(__xludf.DUMMYFUNCTION("""COMPUTED_VALUE"""),-11.059343513011441)</f>
        <v>-11.05934351</v>
      </c>
      <c r="K1178" s="30"/>
      <c r="L1178" s="30"/>
      <c r="M1178" s="30"/>
      <c r="N1178" s="30"/>
      <c r="O1178" s="30">
        <f>IFERROR(__xludf.DUMMYFUNCTION("""COMPUTED_VALUE"""),-2.630874715592867)</f>
        <v>-2.630874716</v>
      </c>
      <c r="P1178" s="30">
        <f>IFERROR(__xludf.DUMMYFUNCTION("""COMPUTED_VALUE"""),4.463999088063446)</f>
        <v>4.463999088</v>
      </c>
      <c r="Q1178" s="30"/>
      <c r="R1178" s="30"/>
      <c r="S1178" s="30"/>
      <c r="T1178" s="30"/>
      <c r="U1178" s="30">
        <v>0.0</v>
      </c>
      <c r="V1178" s="30"/>
      <c r="W1178" s="30"/>
      <c r="X1178" s="30"/>
      <c r="Y1178" s="5">
        <f>IFERROR(__xludf.DUMMYFUNCTION("""COMPUTED_VALUE"""),80.0)</f>
        <v>80</v>
      </c>
      <c r="Z1178" s="5">
        <f>IFERROR(__xludf.DUMMYFUNCTION("""COMPUTED_VALUE"""),81.0)</f>
        <v>81</v>
      </c>
    </row>
    <row r="1179">
      <c r="A1179" s="30" t="s">
        <v>3241</v>
      </c>
      <c r="B1179" s="30">
        <f>IFERROR(__xludf.DUMMYFUNCTION("""COMPUTED_VALUE"""),88.0)</f>
        <v>88</v>
      </c>
      <c r="C1179" s="30"/>
      <c r="D1179" s="30"/>
      <c r="E1179" s="30"/>
      <c r="F1179" s="30"/>
      <c r="G1179" s="30"/>
      <c r="H1179" s="30"/>
      <c r="I1179" s="30"/>
      <c r="J1179" s="30">
        <f>IFERROR(__xludf.DUMMYFUNCTION("""COMPUTED_VALUE"""),-11.059343513011441)</f>
        <v>-11.05934351</v>
      </c>
      <c r="K1179" s="30"/>
      <c r="L1179" s="30"/>
      <c r="M1179" s="30"/>
      <c r="N1179" s="30"/>
      <c r="O1179" s="30">
        <f>IFERROR(__xludf.DUMMYFUNCTION("""COMPUTED_VALUE"""),-2.630874715592867)</f>
        <v>-2.630874716</v>
      </c>
      <c r="P1179" s="30">
        <f>IFERROR(__xludf.DUMMYFUNCTION("""COMPUTED_VALUE"""),4.463999088063446)</f>
        <v>4.463999088</v>
      </c>
      <c r="Q1179" s="30"/>
      <c r="R1179" s="30"/>
      <c r="S1179" s="30"/>
      <c r="T1179" s="30"/>
      <c r="U1179" s="30">
        <v>0.0</v>
      </c>
      <c r="V1179" s="30"/>
      <c r="W1179" s="30"/>
      <c r="X1179" s="30"/>
      <c r="Y1179" s="5">
        <f>IFERROR(__xludf.DUMMYFUNCTION("""COMPUTED_VALUE"""),88.0)</f>
        <v>88</v>
      </c>
      <c r="Z1179" s="5">
        <f>IFERROR(__xludf.DUMMYFUNCTION("""COMPUTED_VALUE"""),88.0)</f>
        <v>88</v>
      </c>
    </row>
    <row r="1180">
      <c r="A1180" s="30" t="s">
        <v>2529</v>
      </c>
      <c r="B1180" s="30">
        <f>IFERROR(__xludf.DUMMYFUNCTION("""COMPUTED_VALUE"""),81.0)</f>
        <v>81</v>
      </c>
      <c r="C1180" s="30"/>
      <c r="D1180" s="30"/>
      <c r="E1180" s="30"/>
      <c r="F1180" s="30"/>
      <c r="G1180" s="30"/>
      <c r="H1180" s="30"/>
      <c r="I1180" s="30"/>
      <c r="J1180" s="30">
        <f>IFERROR(__xludf.DUMMYFUNCTION("""COMPUTED_VALUE"""),-11.059343513011441)</f>
        <v>-11.05934351</v>
      </c>
      <c r="K1180" s="30"/>
      <c r="L1180" s="30"/>
      <c r="M1180" s="30"/>
      <c r="N1180" s="30"/>
      <c r="O1180" s="30">
        <f>IFERROR(__xludf.DUMMYFUNCTION("""COMPUTED_VALUE"""),-2.630874715592867)</f>
        <v>-2.630874716</v>
      </c>
      <c r="P1180" s="30">
        <f>IFERROR(__xludf.DUMMYFUNCTION("""COMPUTED_VALUE"""),4.463999088063446)</f>
        <v>4.463999088</v>
      </c>
      <c r="Q1180" s="30"/>
      <c r="R1180" s="30"/>
      <c r="S1180" s="30"/>
      <c r="T1180" s="30"/>
      <c r="U1180" s="30">
        <v>0.0</v>
      </c>
      <c r="V1180" s="30"/>
      <c r="W1180" s="30"/>
      <c r="X1180" s="30"/>
      <c r="Y1180" s="5">
        <f>IFERROR(__xludf.DUMMYFUNCTION("""COMPUTED_VALUE"""),81.0)</f>
        <v>81</v>
      </c>
      <c r="Z1180" s="5">
        <f>IFERROR(__xludf.DUMMYFUNCTION("""COMPUTED_VALUE"""),81.0)</f>
        <v>81</v>
      </c>
    </row>
    <row r="1181">
      <c r="A1181" s="30" t="s">
        <v>3244</v>
      </c>
      <c r="B1181" s="30">
        <f>IFERROR(__xludf.DUMMYFUNCTION("""COMPUTED_VALUE"""),83.0)</f>
        <v>83</v>
      </c>
      <c r="C1181" s="30"/>
      <c r="D1181" s="30"/>
      <c r="E1181" s="30"/>
      <c r="F1181" s="30"/>
      <c r="G1181" s="30"/>
      <c r="H1181" s="30"/>
      <c r="I1181" s="30"/>
      <c r="J1181" s="30">
        <f>IFERROR(__xludf.DUMMYFUNCTION("""COMPUTED_VALUE"""),-11.059343513011441)</f>
        <v>-11.05934351</v>
      </c>
      <c r="K1181" s="30"/>
      <c r="L1181" s="30"/>
      <c r="M1181" s="30"/>
      <c r="N1181" s="30"/>
      <c r="O1181" s="30">
        <f>IFERROR(__xludf.DUMMYFUNCTION("""COMPUTED_VALUE"""),-2.630874715592867)</f>
        <v>-2.630874716</v>
      </c>
      <c r="P1181" s="30">
        <f>IFERROR(__xludf.DUMMYFUNCTION("""COMPUTED_VALUE"""),4.463999088063446)</f>
        <v>4.463999088</v>
      </c>
      <c r="Q1181" s="30"/>
      <c r="R1181" s="30"/>
      <c r="S1181" s="30"/>
      <c r="T1181" s="30"/>
      <c r="U1181" s="30">
        <v>0.0</v>
      </c>
      <c r="V1181" s="30"/>
      <c r="W1181" s="30"/>
      <c r="X1181" s="30"/>
      <c r="Y1181" s="5">
        <f>IFERROR(__xludf.DUMMYFUNCTION("""COMPUTED_VALUE"""),83.0)</f>
        <v>83</v>
      </c>
      <c r="Z1181" s="5">
        <f>IFERROR(__xludf.DUMMYFUNCTION("""COMPUTED_VALUE"""),83.0)</f>
        <v>83</v>
      </c>
    </row>
    <row r="1182">
      <c r="A1182" s="30" t="s">
        <v>2498</v>
      </c>
      <c r="B1182" s="30">
        <f>IFERROR(__xludf.DUMMYFUNCTION("""COMPUTED_VALUE"""),85.5)</f>
        <v>85.5</v>
      </c>
      <c r="C1182" s="30"/>
      <c r="D1182" s="30"/>
      <c r="E1182" s="30"/>
      <c r="F1182" s="30"/>
      <c r="G1182" s="30"/>
      <c r="H1182" s="30"/>
      <c r="I1182" s="30"/>
      <c r="J1182" s="30">
        <f>IFERROR(__xludf.DUMMYFUNCTION("""COMPUTED_VALUE"""),-11.059343513011441)</f>
        <v>-11.05934351</v>
      </c>
      <c r="K1182" s="30"/>
      <c r="L1182" s="30"/>
      <c r="M1182" s="30"/>
      <c r="N1182" s="30"/>
      <c r="O1182" s="30">
        <f>IFERROR(__xludf.DUMMYFUNCTION("""COMPUTED_VALUE"""),-2.630874715592867)</f>
        <v>-2.630874716</v>
      </c>
      <c r="P1182" s="30">
        <f>IFERROR(__xludf.DUMMYFUNCTION("""COMPUTED_VALUE"""),4.463999088063446)</f>
        <v>4.463999088</v>
      </c>
      <c r="Q1182" s="30"/>
      <c r="R1182" s="30"/>
      <c r="S1182" s="30"/>
      <c r="T1182" s="30"/>
      <c r="U1182" s="30">
        <v>0.0</v>
      </c>
      <c r="V1182" s="30"/>
      <c r="W1182" s="30"/>
      <c r="X1182" s="30"/>
      <c r="Y1182" s="5">
        <f>IFERROR(__xludf.DUMMYFUNCTION("""COMPUTED_VALUE"""),85.0)</f>
        <v>85</v>
      </c>
      <c r="Z1182" s="5">
        <f>IFERROR(__xludf.DUMMYFUNCTION("""COMPUTED_VALUE"""),86.0)</f>
        <v>86</v>
      </c>
    </row>
    <row r="1183">
      <c r="A1183" s="30" t="s">
        <v>3251</v>
      </c>
      <c r="B1183" s="30">
        <f>IFERROR(__xludf.DUMMYFUNCTION("""COMPUTED_VALUE"""),88.0)</f>
        <v>88</v>
      </c>
      <c r="C1183" s="30"/>
      <c r="D1183" s="30"/>
      <c r="E1183" s="30"/>
      <c r="F1183" s="30"/>
      <c r="G1183" s="30"/>
      <c r="H1183" s="30"/>
      <c r="I1183" s="30"/>
      <c r="J1183" s="30">
        <f>IFERROR(__xludf.DUMMYFUNCTION("""COMPUTED_VALUE"""),-11.059343513011441)</f>
        <v>-11.05934351</v>
      </c>
      <c r="K1183" s="30"/>
      <c r="L1183" s="30"/>
      <c r="M1183" s="30"/>
      <c r="N1183" s="30"/>
      <c r="O1183" s="30">
        <f>IFERROR(__xludf.DUMMYFUNCTION("""COMPUTED_VALUE"""),-2.630874715592867)</f>
        <v>-2.630874716</v>
      </c>
      <c r="P1183" s="30">
        <f>IFERROR(__xludf.DUMMYFUNCTION("""COMPUTED_VALUE"""),4.463999088063446)</f>
        <v>4.463999088</v>
      </c>
      <c r="Q1183" s="30"/>
      <c r="R1183" s="30"/>
      <c r="S1183" s="30"/>
      <c r="T1183" s="30"/>
      <c r="U1183" s="30">
        <v>0.0</v>
      </c>
      <c r="V1183" s="30"/>
      <c r="W1183" s="30"/>
      <c r="X1183" s="30"/>
      <c r="Y1183" s="5">
        <f>IFERROR(__xludf.DUMMYFUNCTION("""COMPUTED_VALUE"""),88.0)</f>
        <v>88</v>
      </c>
      <c r="Z1183" s="5">
        <f>IFERROR(__xludf.DUMMYFUNCTION("""COMPUTED_VALUE"""),88.0)</f>
        <v>88</v>
      </c>
    </row>
    <row r="1184">
      <c r="A1184" s="30" t="s">
        <v>3252</v>
      </c>
      <c r="B1184" s="30">
        <f>IFERROR(__xludf.DUMMYFUNCTION("""COMPUTED_VALUE"""),84.0)</f>
        <v>84</v>
      </c>
      <c r="C1184" s="30"/>
      <c r="D1184" s="30"/>
      <c r="E1184" s="30"/>
      <c r="F1184" s="30"/>
      <c r="G1184" s="30"/>
      <c r="H1184" s="30"/>
      <c r="I1184" s="30"/>
      <c r="J1184" s="30">
        <f>IFERROR(__xludf.DUMMYFUNCTION("""COMPUTED_VALUE"""),-11.059343513011441)</f>
        <v>-11.05934351</v>
      </c>
      <c r="K1184" s="30"/>
      <c r="L1184" s="30"/>
      <c r="M1184" s="30"/>
      <c r="N1184" s="30"/>
      <c r="O1184" s="30">
        <f>IFERROR(__xludf.DUMMYFUNCTION("""COMPUTED_VALUE"""),-2.630874715592867)</f>
        <v>-2.630874716</v>
      </c>
      <c r="P1184" s="30">
        <f>IFERROR(__xludf.DUMMYFUNCTION("""COMPUTED_VALUE"""),4.463999088063446)</f>
        <v>4.463999088</v>
      </c>
      <c r="Q1184" s="30"/>
      <c r="R1184" s="30"/>
      <c r="S1184" s="30"/>
      <c r="T1184" s="30"/>
      <c r="U1184" s="30">
        <v>0.0</v>
      </c>
      <c r="V1184" s="30"/>
      <c r="W1184" s="30"/>
      <c r="X1184" s="30"/>
      <c r="Y1184" s="5">
        <f>IFERROR(__xludf.DUMMYFUNCTION("""COMPUTED_VALUE"""),84.0)</f>
        <v>84</v>
      </c>
      <c r="Z1184" s="5">
        <f>IFERROR(__xludf.DUMMYFUNCTION("""COMPUTED_VALUE"""),84.0)</f>
        <v>84</v>
      </c>
    </row>
    <row r="1185">
      <c r="A1185" s="30" t="s">
        <v>2557</v>
      </c>
      <c r="B1185" s="30">
        <f>IFERROR(__xludf.DUMMYFUNCTION("""COMPUTED_VALUE"""),82.0)</f>
        <v>82</v>
      </c>
      <c r="C1185" s="30"/>
      <c r="D1185" s="30"/>
      <c r="E1185" s="30"/>
      <c r="F1185" s="30"/>
      <c r="G1185" s="30"/>
      <c r="H1185" s="30"/>
      <c r="I1185" s="30"/>
      <c r="J1185" s="30">
        <f>IFERROR(__xludf.DUMMYFUNCTION("""COMPUTED_VALUE"""),-11.059343513011441)</f>
        <v>-11.05934351</v>
      </c>
      <c r="K1185" s="30"/>
      <c r="L1185" s="30"/>
      <c r="M1185" s="30"/>
      <c r="N1185" s="30"/>
      <c r="O1185" s="30">
        <f>IFERROR(__xludf.DUMMYFUNCTION("""COMPUTED_VALUE"""),-2.630874715592867)</f>
        <v>-2.630874716</v>
      </c>
      <c r="P1185" s="30">
        <f>IFERROR(__xludf.DUMMYFUNCTION("""COMPUTED_VALUE"""),4.463999088063446)</f>
        <v>4.463999088</v>
      </c>
      <c r="Q1185" s="30"/>
      <c r="R1185" s="30"/>
      <c r="S1185" s="30"/>
      <c r="T1185" s="30"/>
      <c r="U1185" s="30">
        <v>0.0</v>
      </c>
      <c r="V1185" s="30"/>
      <c r="W1185" s="30"/>
      <c r="X1185" s="30"/>
      <c r="Y1185" s="5">
        <f>IFERROR(__xludf.DUMMYFUNCTION("""COMPUTED_VALUE"""),82.0)</f>
        <v>82</v>
      </c>
      <c r="Z1185" s="5">
        <f>IFERROR(__xludf.DUMMYFUNCTION("""COMPUTED_VALUE"""),82.0)</f>
        <v>82</v>
      </c>
    </row>
    <row r="1186">
      <c r="A1186" s="30" t="s">
        <v>3253</v>
      </c>
      <c r="B1186" s="30">
        <f>IFERROR(__xludf.DUMMYFUNCTION("""COMPUTED_VALUE"""),88.0)</f>
        <v>88</v>
      </c>
      <c r="C1186" s="30"/>
      <c r="D1186" s="30"/>
      <c r="E1186" s="30"/>
      <c r="F1186" s="30"/>
      <c r="G1186" s="30"/>
      <c r="H1186" s="30"/>
      <c r="I1186" s="30"/>
      <c r="J1186" s="30">
        <f>IFERROR(__xludf.DUMMYFUNCTION("""COMPUTED_VALUE"""),-11.059343513011441)</f>
        <v>-11.05934351</v>
      </c>
      <c r="K1186" s="30"/>
      <c r="L1186" s="30"/>
      <c r="M1186" s="30"/>
      <c r="N1186" s="30"/>
      <c r="O1186" s="30">
        <f>IFERROR(__xludf.DUMMYFUNCTION("""COMPUTED_VALUE"""),-2.630874715592867)</f>
        <v>-2.630874716</v>
      </c>
      <c r="P1186" s="30">
        <f>IFERROR(__xludf.DUMMYFUNCTION("""COMPUTED_VALUE"""),4.463999088063446)</f>
        <v>4.463999088</v>
      </c>
      <c r="Q1186" s="30"/>
      <c r="R1186" s="30"/>
      <c r="S1186" s="30"/>
      <c r="T1186" s="30"/>
      <c r="U1186" s="30">
        <v>0.0</v>
      </c>
      <c r="V1186" s="30"/>
      <c r="W1186" s="30"/>
      <c r="X1186" s="30"/>
      <c r="Y1186" s="5">
        <f>IFERROR(__xludf.DUMMYFUNCTION("""COMPUTED_VALUE"""),88.0)</f>
        <v>88</v>
      </c>
      <c r="Z1186" s="5">
        <f>IFERROR(__xludf.DUMMYFUNCTION("""COMPUTED_VALUE"""),88.0)</f>
        <v>88</v>
      </c>
    </row>
    <row r="1187">
      <c r="A1187" s="30" t="s">
        <v>3254</v>
      </c>
      <c r="B1187" s="30">
        <f>IFERROR(__xludf.DUMMYFUNCTION("""COMPUTED_VALUE"""),84.5)</f>
        <v>84.5</v>
      </c>
      <c r="C1187" s="30"/>
      <c r="D1187" s="30"/>
      <c r="E1187" s="30"/>
      <c r="F1187" s="30"/>
      <c r="G1187" s="30"/>
      <c r="H1187" s="30"/>
      <c r="I1187" s="30"/>
      <c r="J1187" s="30">
        <f>IFERROR(__xludf.DUMMYFUNCTION("""COMPUTED_VALUE"""),-11.059343513011441)</f>
        <v>-11.05934351</v>
      </c>
      <c r="K1187" s="30"/>
      <c r="L1187" s="30"/>
      <c r="M1187" s="30"/>
      <c r="N1187" s="30"/>
      <c r="O1187" s="30">
        <f>IFERROR(__xludf.DUMMYFUNCTION("""COMPUTED_VALUE"""),-2.630874715592867)</f>
        <v>-2.630874716</v>
      </c>
      <c r="P1187" s="30">
        <f>IFERROR(__xludf.DUMMYFUNCTION("""COMPUTED_VALUE"""),4.463999088063446)</f>
        <v>4.463999088</v>
      </c>
      <c r="Q1187" s="30"/>
      <c r="R1187" s="30"/>
      <c r="S1187" s="30"/>
      <c r="T1187" s="30"/>
      <c r="U1187" s="30">
        <v>0.0</v>
      </c>
      <c r="V1187" s="30"/>
      <c r="W1187" s="30"/>
      <c r="X1187" s="30"/>
      <c r="Y1187" s="5">
        <f>IFERROR(__xludf.DUMMYFUNCTION("""COMPUTED_VALUE"""),84.0)</f>
        <v>84</v>
      </c>
      <c r="Z1187" s="5">
        <f>IFERROR(__xludf.DUMMYFUNCTION("""COMPUTED_VALUE"""),85.0)</f>
        <v>85</v>
      </c>
    </row>
    <row r="1188">
      <c r="A1188" s="30" t="s">
        <v>2589</v>
      </c>
      <c r="B1188" s="30">
        <f>IFERROR(__xludf.DUMMYFUNCTION("""COMPUTED_VALUE"""),88.0)</f>
        <v>88</v>
      </c>
      <c r="C1188" s="30"/>
      <c r="D1188" s="30"/>
      <c r="E1188" s="30"/>
      <c r="F1188" s="30"/>
      <c r="G1188" s="30"/>
      <c r="H1188" s="30"/>
      <c r="I1188" s="30"/>
      <c r="J1188" s="30">
        <f>IFERROR(__xludf.DUMMYFUNCTION("""COMPUTED_VALUE"""),-11.059343513011441)</f>
        <v>-11.05934351</v>
      </c>
      <c r="K1188" s="30"/>
      <c r="L1188" s="30"/>
      <c r="M1188" s="30"/>
      <c r="N1188" s="30"/>
      <c r="O1188" s="30">
        <f>IFERROR(__xludf.DUMMYFUNCTION("""COMPUTED_VALUE"""),-2.630874715592867)</f>
        <v>-2.630874716</v>
      </c>
      <c r="P1188" s="30">
        <f>IFERROR(__xludf.DUMMYFUNCTION("""COMPUTED_VALUE"""),4.463999088063446)</f>
        <v>4.463999088</v>
      </c>
      <c r="Q1188" s="30"/>
      <c r="R1188" s="30"/>
      <c r="S1188" s="30"/>
      <c r="T1188" s="30"/>
      <c r="U1188" s="30">
        <v>0.0</v>
      </c>
      <c r="V1188" s="30"/>
      <c r="W1188" s="30"/>
      <c r="X1188" s="30"/>
      <c r="Y1188" s="5">
        <f>IFERROR(__xludf.DUMMYFUNCTION("""COMPUTED_VALUE"""),88.0)</f>
        <v>88</v>
      </c>
      <c r="Z1188" s="5">
        <f>IFERROR(__xludf.DUMMYFUNCTION("""COMPUTED_VALUE"""),88.0)</f>
        <v>88</v>
      </c>
    </row>
    <row r="1189">
      <c r="A1189" s="30" t="s">
        <v>2555</v>
      </c>
      <c r="B1189" s="30">
        <f>IFERROR(__xludf.DUMMYFUNCTION("""COMPUTED_VALUE"""),81.0)</f>
        <v>81</v>
      </c>
      <c r="C1189" s="30"/>
      <c r="D1189" s="30"/>
      <c r="E1189" s="30"/>
      <c r="F1189" s="30"/>
      <c r="G1189" s="30"/>
      <c r="H1189" s="30"/>
      <c r="I1189" s="30"/>
      <c r="J1189" s="30">
        <f>IFERROR(__xludf.DUMMYFUNCTION("""COMPUTED_VALUE"""),-11.059343513011441)</f>
        <v>-11.05934351</v>
      </c>
      <c r="K1189" s="30"/>
      <c r="L1189" s="30"/>
      <c r="M1189" s="30"/>
      <c r="N1189" s="30"/>
      <c r="O1189" s="30">
        <f>IFERROR(__xludf.DUMMYFUNCTION("""COMPUTED_VALUE"""),-2.630874715592867)</f>
        <v>-2.630874716</v>
      </c>
      <c r="P1189" s="30">
        <f>IFERROR(__xludf.DUMMYFUNCTION("""COMPUTED_VALUE"""),4.463999088063446)</f>
        <v>4.463999088</v>
      </c>
      <c r="Q1189" s="30"/>
      <c r="R1189" s="30"/>
      <c r="S1189" s="30"/>
      <c r="T1189" s="30"/>
      <c r="U1189" s="30">
        <v>0.0</v>
      </c>
      <c r="V1189" s="30"/>
      <c r="W1189" s="30"/>
      <c r="X1189" s="30"/>
      <c r="Y1189" s="5">
        <f>IFERROR(__xludf.DUMMYFUNCTION("""COMPUTED_VALUE"""),81.0)</f>
        <v>81</v>
      </c>
      <c r="Z1189" s="5">
        <f>IFERROR(__xludf.DUMMYFUNCTION("""COMPUTED_VALUE"""),81.0)</f>
        <v>81</v>
      </c>
    </row>
    <row r="1190">
      <c r="A1190" s="30" t="s">
        <v>3256</v>
      </c>
      <c r="B1190" s="30">
        <f>IFERROR(__xludf.DUMMYFUNCTION("""COMPUTED_VALUE"""),85.0)</f>
        <v>85</v>
      </c>
      <c r="C1190" s="30"/>
      <c r="D1190" s="30"/>
      <c r="E1190" s="30"/>
      <c r="F1190" s="30"/>
      <c r="G1190" s="30"/>
      <c r="H1190" s="30"/>
      <c r="I1190" s="30"/>
      <c r="J1190" s="30">
        <f>IFERROR(__xludf.DUMMYFUNCTION("""COMPUTED_VALUE"""),-11.059343513011441)</f>
        <v>-11.05934351</v>
      </c>
      <c r="K1190" s="30"/>
      <c r="L1190" s="30"/>
      <c r="M1190" s="30"/>
      <c r="N1190" s="30"/>
      <c r="O1190" s="30">
        <f>IFERROR(__xludf.DUMMYFUNCTION("""COMPUTED_VALUE"""),-2.630874715592867)</f>
        <v>-2.630874716</v>
      </c>
      <c r="P1190" s="30">
        <f>IFERROR(__xludf.DUMMYFUNCTION("""COMPUTED_VALUE"""),4.463999088063446)</f>
        <v>4.463999088</v>
      </c>
      <c r="Q1190" s="30"/>
      <c r="R1190" s="30"/>
      <c r="S1190" s="30"/>
      <c r="T1190" s="30"/>
      <c r="U1190" s="30">
        <v>0.0</v>
      </c>
      <c r="V1190" s="30"/>
      <c r="W1190" s="30"/>
      <c r="X1190" s="30"/>
      <c r="Y1190" s="5">
        <f>IFERROR(__xludf.DUMMYFUNCTION("""COMPUTED_VALUE"""),85.0)</f>
        <v>85</v>
      </c>
      <c r="Z1190" s="5">
        <f>IFERROR(__xludf.DUMMYFUNCTION("""COMPUTED_VALUE"""),85.0)</f>
        <v>85</v>
      </c>
    </row>
    <row r="1191">
      <c r="A1191" s="30" t="s">
        <v>2611</v>
      </c>
      <c r="B1191" s="30">
        <f>IFERROR(__xludf.DUMMYFUNCTION("""COMPUTED_VALUE"""),88.0)</f>
        <v>88</v>
      </c>
      <c r="C1191" s="30"/>
      <c r="D1191" s="30"/>
      <c r="E1191" s="30"/>
      <c r="F1191" s="30"/>
      <c r="G1191" s="30"/>
      <c r="H1191" s="30"/>
      <c r="I1191" s="30"/>
      <c r="J1191" s="30">
        <f>IFERROR(__xludf.DUMMYFUNCTION("""COMPUTED_VALUE"""),-11.059343513011441)</f>
        <v>-11.05934351</v>
      </c>
      <c r="K1191" s="30"/>
      <c r="L1191" s="30"/>
      <c r="M1191" s="30"/>
      <c r="N1191" s="30"/>
      <c r="O1191" s="30">
        <f>IFERROR(__xludf.DUMMYFUNCTION("""COMPUTED_VALUE"""),-2.630874715592867)</f>
        <v>-2.630874716</v>
      </c>
      <c r="P1191" s="30">
        <f>IFERROR(__xludf.DUMMYFUNCTION("""COMPUTED_VALUE"""),4.463999088063446)</f>
        <v>4.463999088</v>
      </c>
      <c r="Q1191" s="30"/>
      <c r="R1191" s="30"/>
      <c r="S1191" s="30"/>
      <c r="T1191" s="30"/>
      <c r="U1191" s="30">
        <v>0.0</v>
      </c>
      <c r="V1191" s="30"/>
      <c r="W1191" s="30"/>
      <c r="X1191" s="30"/>
      <c r="Y1191" s="5">
        <f>IFERROR(__xludf.DUMMYFUNCTION("""COMPUTED_VALUE"""),88.0)</f>
        <v>88</v>
      </c>
      <c r="Z1191" s="5">
        <f>IFERROR(__xludf.DUMMYFUNCTION("""COMPUTED_VALUE"""),88.0)</f>
        <v>88</v>
      </c>
    </row>
    <row r="1192">
      <c r="A1192" s="30" t="s">
        <v>2094</v>
      </c>
      <c r="B1192" s="30">
        <f>IFERROR(__xludf.DUMMYFUNCTION("""COMPUTED_VALUE"""),83.5)</f>
        <v>83.5</v>
      </c>
      <c r="C1192" s="30"/>
      <c r="D1192" s="30"/>
      <c r="E1192" s="30"/>
      <c r="F1192" s="30"/>
      <c r="G1192" s="30"/>
      <c r="H1192" s="30"/>
      <c r="I1192" s="30"/>
      <c r="J1192" s="30">
        <f>IFERROR(__xludf.DUMMYFUNCTION("""COMPUTED_VALUE"""),-11.059343513011441)</f>
        <v>-11.05934351</v>
      </c>
      <c r="K1192" s="30"/>
      <c r="L1192" s="30"/>
      <c r="M1192" s="30"/>
      <c r="N1192" s="30"/>
      <c r="O1192" s="30">
        <f>IFERROR(__xludf.DUMMYFUNCTION("""COMPUTED_VALUE"""),-2.630874715592867)</f>
        <v>-2.630874716</v>
      </c>
      <c r="P1192" s="30">
        <f>IFERROR(__xludf.DUMMYFUNCTION("""COMPUTED_VALUE"""),4.463999088063446)</f>
        <v>4.463999088</v>
      </c>
      <c r="Q1192" s="30"/>
      <c r="R1192" s="30"/>
      <c r="S1192" s="30"/>
      <c r="T1192" s="30"/>
      <c r="U1192" s="30">
        <v>0.0</v>
      </c>
      <c r="V1192" s="30"/>
      <c r="W1192" s="30"/>
      <c r="X1192" s="30"/>
      <c r="Y1192" s="5">
        <f>IFERROR(__xludf.DUMMYFUNCTION("""COMPUTED_VALUE"""),83.0)</f>
        <v>83</v>
      </c>
      <c r="Z1192" s="5">
        <f>IFERROR(__xludf.DUMMYFUNCTION("""COMPUTED_VALUE"""),84.0)</f>
        <v>84</v>
      </c>
    </row>
    <row r="1193">
      <c r="A1193" s="30" t="s">
        <v>2540</v>
      </c>
      <c r="B1193" s="30">
        <f>IFERROR(__xludf.DUMMYFUNCTION("""COMPUTED_VALUE"""),86.0)</f>
        <v>86</v>
      </c>
      <c r="C1193" s="30"/>
      <c r="D1193" s="30"/>
      <c r="E1193" s="30"/>
      <c r="F1193" s="30"/>
      <c r="G1193" s="30"/>
      <c r="H1193" s="30"/>
      <c r="I1193" s="30"/>
      <c r="J1193" s="30">
        <f>IFERROR(__xludf.DUMMYFUNCTION("""COMPUTED_VALUE"""),-11.059343513011441)</f>
        <v>-11.05934351</v>
      </c>
      <c r="K1193" s="30"/>
      <c r="L1193" s="30"/>
      <c r="M1193" s="30"/>
      <c r="N1193" s="30"/>
      <c r="O1193" s="30">
        <f>IFERROR(__xludf.DUMMYFUNCTION("""COMPUTED_VALUE"""),-2.630874715592867)</f>
        <v>-2.630874716</v>
      </c>
      <c r="P1193" s="30">
        <f>IFERROR(__xludf.DUMMYFUNCTION("""COMPUTED_VALUE"""),4.463999088063446)</f>
        <v>4.463999088</v>
      </c>
      <c r="Q1193" s="30"/>
      <c r="R1193" s="30"/>
      <c r="S1193" s="30"/>
      <c r="T1193" s="30"/>
      <c r="U1193" s="30">
        <v>0.0</v>
      </c>
      <c r="V1193" s="30"/>
      <c r="W1193" s="30"/>
      <c r="X1193" s="30"/>
      <c r="Y1193" s="5">
        <f>IFERROR(__xludf.DUMMYFUNCTION("""COMPUTED_VALUE"""),84.0)</f>
        <v>84</v>
      </c>
      <c r="Z1193" s="5">
        <f>IFERROR(__xludf.DUMMYFUNCTION("""COMPUTED_VALUE"""),88.0)</f>
        <v>88</v>
      </c>
    </row>
    <row r="1194">
      <c r="A1194" s="30" t="s">
        <v>3261</v>
      </c>
      <c r="B1194" s="30">
        <f>IFERROR(__xludf.DUMMYFUNCTION("""COMPUTED_VALUE"""),88.0)</f>
        <v>88</v>
      </c>
      <c r="C1194" s="30"/>
      <c r="D1194" s="30"/>
      <c r="E1194" s="30"/>
      <c r="F1194" s="30"/>
      <c r="G1194" s="30"/>
      <c r="H1194" s="30"/>
      <c r="I1194" s="30"/>
      <c r="J1194" s="30">
        <f>IFERROR(__xludf.DUMMYFUNCTION("""COMPUTED_VALUE"""),-11.059343513011441)</f>
        <v>-11.05934351</v>
      </c>
      <c r="K1194" s="30"/>
      <c r="L1194" s="30"/>
      <c r="M1194" s="30"/>
      <c r="N1194" s="30"/>
      <c r="O1194" s="30">
        <f>IFERROR(__xludf.DUMMYFUNCTION("""COMPUTED_VALUE"""),-2.630874715592867)</f>
        <v>-2.630874716</v>
      </c>
      <c r="P1194" s="30">
        <f>IFERROR(__xludf.DUMMYFUNCTION("""COMPUTED_VALUE"""),4.463999088063446)</f>
        <v>4.463999088</v>
      </c>
      <c r="Q1194" s="30"/>
      <c r="R1194" s="30"/>
      <c r="S1194" s="30"/>
      <c r="T1194" s="30"/>
      <c r="U1194" s="30">
        <v>0.0</v>
      </c>
      <c r="V1194" s="30"/>
      <c r="W1194" s="30"/>
      <c r="X1194" s="30"/>
      <c r="Y1194" s="5">
        <f>IFERROR(__xludf.DUMMYFUNCTION("""COMPUTED_VALUE"""),88.0)</f>
        <v>88</v>
      </c>
      <c r="Z1194" s="5">
        <f>IFERROR(__xludf.DUMMYFUNCTION("""COMPUTED_VALUE"""),88.0)</f>
        <v>88</v>
      </c>
    </row>
    <row r="1195">
      <c r="A1195" s="30" t="s">
        <v>3262</v>
      </c>
      <c r="B1195" s="30">
        <f>IFERROR(__xludf.DUMMYFUNCTION("""COMPUTED_VALUE"""),88.0)</f>
        <v>88</v>
      </c>
      <c r="C1195" s="30"/>
      <c r="D1195" s="30"/>
      <c r="E1195" s="30"/>
      <c r="F1195" s="30"/>
      <c r="G1195" s="30"/>
      <c r="H1195" s="30"/>
      <c r="I1195" s="30"/>
      <c r="J1195" s="30">
        <f>IFERROR(__xludf.DUMMYFUNCTION("""COMPUTED_VALUE"""),-11.059343513011441)</f>
        <v>-11.05934351</v>
      </c>
      <c r="K1195" s="30"/>
      <c r="L1195" s="30"/>
      <c r="M1195" s="30"/>
      <c r="N1195" s="30"/>
      <c r="O1195" s="30">
        <f>IFERROR(__xludf.DUMMYFUNCTION("""COMPUTED_VALUE"""),-2.630874715592867)</f>
        <v>-2.630874716</v>
      </c>
      <c r="P1195" s="30">
        <f>IFERROR(__xludf.DUMMYFUNCTION("""COMPUTED_VALUE"""),4.463999088063446)</f>
        <v>4.463999088</v>
      </c>
      <c r="Q1195" s="30"/>
      <c r="R1195" s="30"/>
      <c r="S1195" s="30"/>
      <c r="T1195" s="30"/>
      <c r="U1195" s="30">
        <v>0.0</v>
      </c>
      <c r="V1195" s="30"/>
      <c r="W1195" s="30"/>
      <c r="X1195" s="30"/>
      <c r="Y1195" s="5">
        <f>IFERROR(__xludf.DUMMYFUNCTION("""COMPUTED_VALUE"""),88.0)</f>
        <v>88</v>
      </c>
      <c r="Z1195" s="5">
        <f>IFERROR(__xludf.DUMMYFUNCTION("""COMPUTED_VALUE"""),88.0)</f>
        <v>88</v>
      </c>
    </row>
    <row r="1196">
      <c r="A1196" s="30" t="s">
        <v>2408</v>
      </c>
      <c r="B1196" s="30">
        <f>IFERROR(__xludf.DUMMYFUNCTION("""COMPUTED_VALUE"""),84.0)</f>
        <v>84</v>
      </c>
      <c r="C1196" s="30"/>
      <c r="D1196" s="30"/>
      <c r="E1196" s="30"/>
      <c r="F1196" s="30"/>
      <c r="G1196" s="30"/>
      <c r="H1196" s="30"/>
      <c r="I1196" s="30"/>
      <c r="J1196" s="30">
        <f>IFERROR(__xludf.DUMMYFUNCTION("""COMPUTED_VALUE"""),-11.059343513011441)</f>
        <v>-11.05934351</v>
      </c>
      <c r="K1196" s="30"/>
      <c r="L1196" s="30"/>
      <c r="M1196" s="30"/>
      <c r="N1196" s="30"/>
      <c r="O1196" s="30">
        <f>IFERROR(__xludf.DUMMYFUNCTION("""COMPUTED_VALUE"""),-2.630874715592867)</f>
        <v>-2.630874716</v>
      </c>
      <c r="P1196" s="30">
        <f>IFERROR(__xludf.DUMMYFUNCTION("""COMPUTED_VALUE"""),4.463999088063446)</f>
        <v>4.463999088</v>
      </c>
      <c r="Q1196" s="30"/>
      <c r="R1196" s="30"/>
      <c r="S1196" s="30"/>
      <c r="T1196" s="30"/>
      <c r="U1196" s="30">
        <v>0.0</v>
      </c>
      <c r="V1196" s="30"/>
      <c r="W1196" s="30"/>
      <c r="X1196" s="30"/>
      <c r="Y1196" s="5">
        <f>IFERROR(__xludf.DUMMYFUNCTION("""COMPUTED_VALUE"""),84.0)</f>
        <v>84</v>
      </c>
      <c r="Z1196" s="5">
        <f>IFERROR(__xludf.DUMMYFUNCTION("""COMPUTED_VALUE"""),84.0)</f>
        <v>84</v>
      </c>
    </row>
    <row r="1197">
      <c r="A1197" s="30" t="s">
        <v>3263</v>
      </c>
      <c r="B1197" s="30">
        <f>IFERROR(__xludf.DUMMYFUNCTION("""COMPUTED_VALUE"""),83.0)</f>
        <v>83</v>
      </c>
      <c r="C1197" s="30"/>
      <c r="D1197" s="30"/>
      <c r="E1197" s="30"/>
      <c r="F1197" s="30"/>
      <c r="G1197" s="30"/>
      <c r="H1197" s="30"/>
      <c r="I1197" s="30"/>
      <c r="J1197" s="30">
        <f>IFERROR(__xludf.DUMMYFUNCTION("""COMPUTED_VALUE"""),-11.059343513011441)</f>
        <v>-11.05934351</v>
      </c>
      <c r="K1197" s="30"/>
      <c r="L1197" s="30"/>
      <c r="M1197" s="30"/>
      <c r="N1197" s="30"/>
      <c r="O1197" s="30">
        <f>IFERROR(__xludf.DUMMYFUNCTION("""COMPUTED_VALUE"""),-2.630874715592867)</f>
        <v>-2.630874716</v>
      </c>
      <c r="P1197" s="30">
        <f>IFERROR(__xludf.DUMMYFUNCTION("""COMPUTED_VALUE"""),4.463999088063446)</f>
        <v>4.463999088</v>
      </c>
      <c r="Q1197" s="30"/>
      <c r="R1197" s="30"/>
      <c r="S1197" s="30"/>
      <c r="T1197" s="30"/>
      <c r="U1197" s="30">
        <v>0.0</v>
      </c>
      <c r="V1197" s="30"/>
      <c r="W1197" s="30"/>
      <c r="X1197" s="30"/>
      <c r="Y1197" s="5">
        <f>IFERROR(__xludf.DUMMYFUNCTION("""COMPUTED_VALUE"""),83.0)</f>
        <v>83</v>
      </c>
      <c r="Z1197" s="5">
        <f>IFERROR(__xludf.DUMMYFUNCTION("""COMPUTED_VALUE"""),83.0)</f>
        <v>83</v>
      </c>
    </row>
    <row r="1198">
      <c r="A1198" s="30" t="s">
        <v>3264</v>
      </c>
      <c r="B1198" s="30">
        <f>IFERROR(__xludf.DUMMYFUNCTION("""COMPUTED_VALUE"""),86.0)</f>
        <v>86</v>
      </c>
      <c r="C1198" s="30"/>
      <c r="D1198" s="30"/>
      <c r="E1198" s="30"/>
      <c r="F1198" s="30"/>
      <c r="G1198" s="30"/>
      <c r="H1198" s="30"/>
      <c r="I1198" s="30"/>
      <c r="J1198" s="30">
        <f>IFERROR(__xludf.DUMMYFUNCTION("""COMPUTED_VALUE"""),-11.059343513011441)</f>
        <v>-11.05934351</v>
      </c>
      <c r="K1198" s="30"/>
      <c r="L1198" s="30"/>
      <c r="M1198" s="30"/>
      <c r="N1198" s="30"/>
      <c r="O1198" s="30">
        <f>IFERROR(__xludf.DUMMYFUNCTION("""COMPUTED_VALUE"""),-2.630874715592867)</f>
        <v>-2.630874716</v>
      </c>
      <c r="P1198" s="30">
        <f>IFERROR(__xludf.DUMMYFUNCTION("""COMPUTED_VALUE"""),4.463999088063446)</f>
        <v>4.463999088</v>
      </c>
      <c r="Q1198" s="30"/>
      <c r="R1198" s="30"/>
      <c r="S1198" s="30"/>
      <c r="T1198" s="30"/>
      <c r="U1198" s="30">
        <v>0.0</v>
      </c>
      <c r="V1198" s="30"/>
      <c r="W1198" s="30"/>
      <c r="X1198" s="30"/>
      <c r="Y1198" s="5">
        <f>IFERROR(__xludf.DUMMYFUNCTION("""COMPUTED_VALUE"""),86.0)</f>
        <v>86</v>
      </c>
      <c r="Z1198" s="5">
        <f>IFERROR(__xludf.DUMMYFUNCTION("""COMPUTED_VALUE"""),86.0)</f>
        <v>86</v>
      </c>
    </row>
    <row r="1199">
      <c r="A1199" s="30" t="s">
        <v>2712</v>
      </c>
      <c r="B1199" s="30">
        <f>IFERROR(__xludf.DUMMYFUNCTION("""COMPUTED_VALUE"""),81.0)</f>
        <v>81</v>
      </c>
      <c r="C1199" s="30"/>
      <c r="D1199" s="30"/>
      <c r="E1199" s="30"/>
      <c r="F1199" s="30"/>
      <c r="G1199" s="30"/>
      <c r="H1199" s="30"/>
      <c r="I1199" s="30"/>
      <c r="J1199" s="30">
        <f>IFERROR(__xludf.DUMMYFUNCTION("""COMPUTED_VALUE"""),-11.059343513011441)</f>
        <v>-11.05934351</v>
      </c>
      <c r="K1199" s="30"/>
      <c r="L1199" s="30"/>
      <c r="M1199" s="30"/>
      <c r="N1199" s="30"/>
      <c r="O1199" s="30">
        <f>IFERROR(__xludf.DUMMYFUNCTION("""COMPUTED_VALUE"""),-2.630874715592867)</f>
        <v>-2.630874716</v>
      </c>
      <c r="P1199" s="30">
        <f>IFERROR(__xludf.DUMMYFUNCTION("""COMPUTED_VALUE"""),4.463999088063446)</f>
        <v>4.463999088</v>
      </c>
      <c r="Q1199" s="30"/>
      <c r="R1199" s="30"/>
      <c r="S1199" s="30"/>
      <c r="T1199" s="30"/>
      <c r="U1199" s="30">
        <v>0.0</v>
      </c>
      <c r="V1199" s="30"/>
      <c r="W1199" s="30"/>
      <c r="X1199" s="30"/>
      <c r="Y1199" s="5">
        <f>IFERROR(__xludf.DUMMYFUNCTION("""COMPUTED_VALUE"""),81.0)</f>
        <v>81</v>
      </c>
      <c r="Z1199" s="5">
        <f>IFERROR(__xludf.DUMMYFUNCTION("""COMPUTED_VALUE"""),81.0)</f>
        <v>81</v>
      </c>
    </row>
    <row r="1200">
      <c r="A1200" s="30" t="s">
        <v>3265</v>
      </c>
      <c r="B1200" s="30">
        <f>IFERROR(__xludf.DUMMYFUNCTION("""COMPUTED_VALUE"""),84.0)</f>
        <v>84</v>
      </c>
      <c r="C1200" s="30"/>
      <c r="D1200" s="30"/>
      <c r="E1200" s="30"/>
      <c r="F1200" s="30"/>
      <c r="G1200" s="30"/>
      <c r="H1200" s="30"/>
      <c r="I1200" s="30"/>
      <c r="J1200" s="30">
        <f>IFERROR(__xludf.DUMMYFUNCTION("""COMPUTED_VALUE"""),-11.059343513011441)</f>
        <v>-11.05934351</v>
      </c>
      <c r="K1200" s="30"/>
      <c r="L1200" s="30"/>
      <c r="M1200" s="30"/>
      <c r="N1200" s="30"/>
      <c r="O1200" s="30">
        <f>IFERROR(__xludf.DUMMYFUNCTION("""COMPUTED_VALUE"""),-2.630874715592867)</f>
        <v>-2.630874716</v>
      </c>
      <c r="P1200" s="30">
        <f>IFERROR(__xludf.DUMMYFUNCTION("""COMPUTED_VALUE"""),4.463999088063446)</f>
        <v>4.463999088</v>
      </c>
      <c r="Q1200" s="30"/>
      <c r="R1200" s="30"/>
      <c r="S1200" s="30"/>
      <c r="T1200" s="30"/>
      <c r="U1200" s="30">
        <v>0.0</v>
      </c>
      <c r="V1200" s="30"/>
      <c r="W1200" s="30"/>
      <c r="X1200" s="30"/>
      <c r="Y1200" s="5">
        <f>IFERROR(__xludf.DUMMYFUNCTION("""COMPUTED_VALUE"""),84.0)</f>
        <v>84</v>
      </c>
      <c r="Z1200" s="5">
        <f>IFERROR(__xludf.DUMMYFUNCTION("""COMPUTED_VALUE"""),84.0)</f>
        <v>84</v>
      </c>
    </row>
    <row r="1201">
      <c r="A1201" s="30" t="s">
        <v>2703</v>
      </c>
      <c r="B1201" s="30">
        <f>IFERROR(__xludf.DUMMYFUNCTION("""COMPUTED_VALUE"""),83.0)</f>
        <v>83</v>
      </c>
      <c r="C1201" s="30"/>
      <c r="D1201" s="30"/>
      <c r="E1201" s="30"/>
      <c r="F1201" s="30"/>
      <c r="G1201" s="30"/>
      <c r="H1201" s="30"/>
      <c r="I1201" s="30"/>
      <c r="J1201" s="30">
        <f>IFERROR(__xludf.DUMMYFUNCTION("""COMPUTED_VALUE"""),-11.059343513011441)</f>
        <v>-11.05934351</v>
      </c>
      <c r="K1201" s="30"/>
      <c r="L1201" s="30"/>
      <c r="M1201" s="30"/>
      <c r="N1201" s="30"/>
      <c r="O1201" s="30">
        <f>IFERROR(__xludf.DUMMYFUNCTION("""COMPUTED_VALUE"""),-2.630874715592867)</f>
        <v>-2.630874716</v>
      </c>
      <c r="P1201" s="30">
        <f>IFERROR(__xludf.DUMMYFUNCTION("""COMPUTED_VALUE"""),4.463999088063446)</f>
        <v>4.463999088</v>
      </c>
      <c r="Q1201" s="30"/>
      <c r="R1201" s="30"/>
      <c r="S1201" s="30"/>
      <c r="T1201" s="30"/>
      <c r="U1201" s="30">
        <v>0.0</v>
      </c>
      <c r="V1201" s="30"/>
      <c r="W1201" s="30"/>
      <c r="X1201" s="30"/>
      <c r="Y1201" s="5">
        <f>IFERROR(__xludf.DUMMYFUNCTION("""COMPUTED_VALUE"""),83.0)</f>
        <v>83</v>
      </c>
      <c r="Z1201" s="5">
        <f>IFERROR(__xludf.DUMMYFUNCTION("""COMPUTED_VALUE"""),83.0)</f>
        <v>83</v>
      </c>
    </row>
    <row r="1202">
      <c r="A1202" s="30" t="s">
        <v>2306</v>
      </c>
      <c r="B1202" s="30">
        <f>IFERROR(__xludf.DUMMYFUNCTION("""COMPUTED_VALUE"""),84.0)</f>
        <v>84</v>
      </c>
      <c r="C1202" s="30"/>
      <c r="D1202" s="30"/>
      <c r="E1202" s="30"/>
      <c r="F1202" s="30"/>
      <c r="G1202" s="30"/>
      <c r="H1202" s="30"/>
      <c r="I1202" s="30"/>
      <c r="J1202" s="30">
        <f>IFERROR(__xludf.DUMMYFUNCTION("""COMPUTED_VALUE"""),-11.059343513011441)</f>
        <v>-11.05934351</v>
      </c>
      <c r="K1202" s="30"/>
      <c r="L1202" s="30"/>
      <c r="M1202" s="30"/>
      <c r="N1202" s="30"/>
      <c r="O1202" s="30">
        <f>IFERROR(__xludf.DUMMYFUNCTION("""COMPUTED_VALUE"""),-2.630874715592867)</f>
        <v>-2.630874716</v>
      </c>
      <c r="P1202" s="30">
        <f>IFERROR(__xludf.DUMMYFUNCTION("""COMPUTED_VALUE"""),4.463999088063446)</f>
        <v>4.463999088</v>
      </c>
      <c r="Q1202" s="30"/>
      <c r="R1202" s="30"/>
      <c r="S1202" s="30"/>
      <c r="T1202" s="30"/>
      <c r="U1202" s="30">
        <v>0.0</v>
      </c>
      <c r="V1202" s="30"/>
      <c r="W1202" s="30"/>
      <c r="X1202" s="30"/>
      <c r="Y1202" s="5">
        <f>IFERROR(__xludf.DUMMYFUNCTION("""COMPUTED_VALUE"""),84.0)</f>
        <v>84</v>
      </c>
      <c r="Z1202" s="5">
        <f>IFERROR(__xludf.DUMMYFUNCTION("""COMPUTED_VALUE"""),84.0)</f>
        <v>84</v>
      </c>
    </row>
    <row r="1203">
      <c r="A1203" s="30" t="s">
        <v>3266</v>
      </c>
      <c r="B1203" s="30">
        <f>IFERROR(__xludf.DUMMYFUNCTION("""COMPUTED_VALUE"""),84.0)</f>
        <v>84</v>
      </c>
      <c r="C1203" s="30"/>
      <c r="D1203" s="30"/>
      <c r="E1203" s="30"/>
      <c r="F1203" s="30"/>
      <c r="G1203" s="30"/>
      <c r="H1203" s="30"/>
      <c r="I1203" s="30"/>
      <c r="J1203" s="30">
        <f>IFERROR(__xludf.DUMMYFUNCTION("""COMPUTED_VALUE"""),-11.059343513011441)</f>
        <v>-11.05934351</v>
      </c>
      <c r="K1203" s="30"/>
      <c r="L1203" s="30"/>
      <c r="M1203" s="30"/>
      <c r="N1203" s="30"/>
      <c r="O1203" s="30">
        <f>IFERROR(__xludf.DUMMYFUNCTION("""COMPUTED_VALUE"""),-2.630874715592867)</f>
        <v>-2.630874716</v>
      </c>
      <c r="P1203" s="30">
        <f>IFERROR(__xludf.DUMMYFUNCTION("""COMPUTED_VALUE"""),4.463999088063446)</f>
        <v>4.463999088</v>
      </c>
      <c r="Q1203" s="30"/>
      <c r="R1203" s="30"/>
      <c r="S1203" s="30"/>
      <c r="T1203" s="30"/>
      <c r="U1203" s="30">
        <v>0.0</v>
      </c>
      <c r="V1203" s="30"/>
      <c r="W1203" s="30"/>
      <c r="X1203" s="30"/>
      <c r="Y1203" s="5">
        <f>IFERROR(__xludf.DUMMYFUNCTION("""COMPUTED_VALUE"""),84.0)</f>
        <v>84</v>
      </c>
      <c r="Z1203" s="5">
        <f>IFERROR(__xludf.DUMMYFUNCTION("""COMPUTED_VALUE"""),84.0)</f>
        <v>84</v>
      </c>
    </row>
    <row r="1204">
      <c r="A1204" s="30" t="s">
        <v>3267</v>
      </c>
      <c r="B1204" s="30">
        <f>IFERROR(__xludf.DUMMYFUNCTION("""COMPUTED_VALUE"""),81.0)</f>
        <v>81</v>
      </c>
      <c r="C1204" s="30"/>
      <c r="D1204" s="30"/>
      <c r="E1204" s="30"/>
      <c r="F1204" s="30"/>
      <c r="G1204" s="30"/>
      <c r="H1204" s="30"/>
      <c r="I1204" s="30"/>
      <c r="J1204" s="30">
        <f>IFERROR(__xludf.DUMMYFUNCTION("""COMPUTED_VALUE"""),-11.059343513011441)</f>
        <v>-11.05934351</v>
      </c>
      <c r="K1204" s="30"/>
      <c r="L1204" s="30"/>
      <c r="M1204" s="30"/>
      <c r="N1204" s="30"/>
      <c r="O1204" s="30">
        <f>IFERROR(__xludf.DUMMYFUNCTION("""COMPUTED_VALUE"""),-2.630874715592867)</f>
        <v>-2.630874716</v>
      </c>
      <c r="P1204" s="30">
        <f>IFERROR(__xludf.DUMMYFUNCTION("""COMPUTED_VALUE"""),4.463999088063446)</f>
        <v>4.463999088</v>
      </c>
      <c r="Q1204" s="30"/>
      <c r="R1204" s="30"/>
      <c r="S1204" s="30"/>
      <c r="T1204" s="30"/>
      <c r="U1204" s="30">
        <v>0.0</v>
      </c>
      <c r="V1204" s="30"/>
      <c r="W1204" s="30"/>
      <c r="X1204" s="30"/>
      <c r="Y1204" s="5">
        <f>IFERROR(__xludf.DUMMYFUNCTION("""COMPUTED_VALUE"""),81.0)</f>
        <v>81</v>
      </c>
      <c r="Z1204" s="5">
        <f>IFERROR(__xludf.DUMMYFUNCTION("""COMPUTED_VALUE"""),81.0)</f>
        <v>81</v>
      </c>
    </row>
    <row r="1205">
      <c r="A1205" s="30" t="s">
        <v>3268</v>
      </c>
      <c r="B1205" s="30">
        <f>IFERROR(__xludf.DUMMYFUNCTION("""COMPUTED_VALUE"""),84.0)</f>
        <v>84</v>
      </c>
      <c r="C1205" s="30"/>
      <c r="D1205" s="30"/>
      <c r="E1205" s="30"/>
      <c r="F1205" s="30"/>
      <c r="G1205" s="30"/>
      <c r="H1205" s="30"/>
      <c r="I1205" s="30"/>
      <c r="J1205" s="30">
        <f>IFERROR(__xludf.DUMMYFUNCTION("""COMPUTED_VALUE"""),-11.059343513011441)</f>
        <v>-11.05934351</v>
      </c>
      <c r="K1205" s="30"/>
      <c r="L1205" s="30"/>
      <c r="M1205" s="30"/>
      <c r="N1205" s="30"/>
      <c r="O1205" s="30">
        <f>IFERROR(__xludf.DUMMYFUNCTION("""COMPUTED_VALUE"""),-2.630874715592867)</f>
        <v>-2.630874716</v>
      </c>
      <c r="P1205" s="30">
        <f>IFERROR(__xludf.DUMMYFUNCTION("""COMPUTED_VALUE"""),4.463999088063446)</f>
        <v>4.463999088</v>
      </c>
      <c r="Q1205" s="30"/>
      <c r="R1205" s="30"/>
      <c r="S1205" s="30"/>
      <c r="T1205" s="30"/>
      <c r="U1205" s="30">
        <v>0.0</v>
      </c>
      <c r="V1205" s="30"/>
      <c r="W1205" s="30"/>
      <c r="X1205" s="30"/>
      <c r="Y1205" s="5">
        <f>IFERROR(__xludf.DUMMYFUNCTION("""COMPUTED_VALUE"""),84.0)</f>
        <v>84</v>
      </c>
      <c r="Z1205" s="5">
        <f>IFERROR(__xludf.DUMMYFUNCTION("""COMPUTED_VALUE"""),84.0)</f>
        <v>84</v>
      </c>
    </row>
    <row r="1206">
      <c r="A1206" s="30" t="s">
        <v>3269</v>
      </c>
      <c r="B1206" s="30">
        <f>IFERROR(__xludf.DUMMYFUNCTION("""COMPUTED_VALUE"""),84.0)</f>
        <v>84</v>
      </c>
      <c r="C1206" s="30"/>
      <c r="D1206" s="30"/>
      <c r="E1206" s="30"/>
      <c r="F1206" s="30"/>
      <c r="G1206" s="30"/>
      <c r="H1206" s="30"/>
      <c r="I1206" s="30"/>
      <c r="J1206" s="30">
        <f>IFERROR(__xludf.DUMMYFUNCTION("""COMPUTED_VALUE"""),-11.059343513011441)</f>
        <v>-11.05934351</v>
      </c>
      <c r="K1206" s="30"/>
      <c r="L1206" s="30"/>
      <c r="M1206" s="30"/>
      <c r="N1206" s="30"/>
      <c r="O1206" s="30">
        <f>IFERROR(__xludf.DUMMYFUNCTION("""COMPUTED_VALUE"""),-2.630874715592867)</f>
        <v>-2.630874716</v>
      </c>
      <c r="P1206" s="30">
        <f>IFERROR(__xludf.DUMMYFUNCTION("""COMPUTED_VALUE"""),4.463999088063446)</f>
        <v>4.463999088</v>
      </c>
      <c r="Q1206" s="30"/>
      <c r="R1206" s="30"/>
      <c r="S1206" s="30"/>
      <c r="T1206" s="30"/>
      <c r="U1206" s="30">
        <v>0.0</v>
      </c>
      <c r="V1206" s="30"/>
      <c r="W1206" s="30"/>
      <c r="X1206" s="30"/>
      <c r="Y1206" s="5">
        <f>IFERROR(__xludf.DUMMYFUNCTION("""COMPUTED_VALUE"""),84.0)</f>
        <v>84</v>
      </c>
      <c r="Z1206" s="5">
        <f>IFERROR(__xludf.DUMMYFUNCTION("""COMPUTED_VALUE"""),84.0)</f>
        <v>84</v>
      </c>
    </row>
    <row r="1207">
      <c r="A1207" s="30" t="s">
        <v>2710</v>
      </c>
      <c r="B1207" s="30">
        <f>IFERROR(__xludf.DUMMYFUNCTION("""COMPUTED_VALUE"""),85.0)</f>
        <v>85</v>
      </c>
      <c r="C1207" s="30"/>
      <c r="D1207" s="30"/>
      <c r="E1207" s="30"/>
      <c r="F1207" s="30"/>
      <c r="G1207" s="30"/>
      <c r="H1207" s="30"/>
      <c r="I1207" s="30"/>
      <c r="J1207" s="30">
        <f>IFERROR(__xludf.DUMMYFUNCTION("""COMPUTED_VALUE"""),-11.059343513011441)</f>
        <v>-11.05934351</v>
      </c>
      <c r="K1207" s="30"/>
      <c r="L1207" s="30"/>
      <c r="M1207" s="30"/>
      <c r="N1207" s="30"/>
      <c r="O1207" s="30">
        <f>IFERROR(__xludf.DUMMYFUNCTION("""COMPUTED_VALUE"""),-2.630874715592867)</f>
        <v>-2.630874716</v>
      </c>
      <c r="P1207" s="30">
        <f>IFERROR(__xludf.DUMMYFUNCTION("""COMPUTED_VALUE"""),4.463999088063446)</f>
        <v>4.463999088</v>
      </c>
      <c r="Q1207" s="30"/>
      <c r="R1207" s="30"/>
      <c r="S1207" s="30"/>
      <c r="T1207" s="30"/>
      <c r="U1207" s="30">
        <v>0.0</v>
      </c>
      <c r="V1207" s="30"/>
      <c r="W1207" s="30"/>
      <c r="X1207" s="30"/>
      <c r="Y1207" s="5">
        <f>IFERROR(__xludf.DUMMYFUNCTION("""COMPUTED_VALUE"""),85.0)</f>
        <v>85</v>
      </c>
      <c r="Z1207" s="5">
        <f>IFERROR(__xludf.DUMMYFUNCTION("""COMPUTED_VALUE"""),85.0)</f>
        <v>85</v>
      </c>
    </row>
    <row r="1208">
      <c r="A1208" s="30" t="s">
        <v>2230</v>
      </c>
      <c r="B1208" s="30">
        <f>IFERROR(__xludf.DUMMYFUNCTION("""COMPUTED_VALUE"""),84.0)</f>
        <v>84</v>
      </c>
      <c r="C1208" s="30"/>
      <c r="D1208" s="30"/>
      <c r="E1208" s="30"/>
      <c r="F1208" s="30"/>
      <c r="G1208" s="30"/>
      <c r="H1208" s="30"/>
      <c r="I1208" s="30"/>
      <c r="J1208" s="30">
        <f>IFERROR(__xludf.DUMMYFUNCTION("""COMPUTED_VALUE"""),-11.059343513011441)</f>
        <v>-11.05934351</v>
      </c>
      <c r="K1208" s="30"/>
      <c r="L1208" s="30"/>
      <c r="M1208" s="30"/>
      <c r="N1208" s="30"/>
      <c r="O1208" s="30">
        <f>IFERROR(__xludf.DUMMYFUNCTION("""COMPUTED_VALUE"""),-2.630874715592867)</f>
        <v>-2.630874716</v>
      </c>
      <c r="P1208" s="30">
        <f>IFERROR(__xludf.DUMMYFUNCTION("""COMPUTED_VALUE"""),4.463999088063446)</f>
        <v>4.463999088</v>
      </c>
      <c r="Q1208" s="30"/>
      <c r="R1208" s="30"/>
      <c r="S1208" s="30"/>
      <c r="T1208" s="30"/>
      <c r="U1208" s="30">
        <v>0.0</v>
      </c>
      <c r="V1208" s="30"/>
      <c r="W1208" s="30"/>
      <c r="X1208" s="30"/>
      <c r="Y1208" s="5">
        <f>IFERROR(__xludf.DUMMYFUNCTION("""COMPUTED_VALUE"""),83.0)</f>
        <v>83</v>
      </c>
      <c r="Z1208" s="5">
        <f>IFERROR(__xludf.DUMMYFUNCTION("""COMPUTED_VALUE"""),85.0)</f>
        <v>85</v>
      </c>
    </row>
    <row r="1209">
      <c r="A1209" s="30" t="s">
        <v>3272</v>
      </c>
      <c r="B1209" s="30">
        <f>IFERROR(__xludf.DUMMYFUNCTION("""COMPUTED_VALUE"""),84.0)</f>
        <v>84</v>
      </c>
      <c r="C1209" s="30"/>
      <c r="D1209" s="30"/>
      <c r="E1209" s="30"/>
      <c r="F1209" s="30"/>
      <c r="G1209" s="30"/>
      <c r="H1209" s="30"/>
      <c r="I1209" s="30"/>
      <c r="J1209" s="30">
        <f>IFERROR(__xludf.DUMMYFUNCTION("""COMPUTED_VALUE"""),-11.059343513011441)</f>
        <v>-11.05934351</v>
      </c>
      <c r="K1209" s="30"/>
      <c r="L1209" s="30"/>
      <c r="M1209" s="30"/>
      <c r="N1209" s="30"/>
      <c r="O1209" s="30">
        <f>IFERROR(__xludf.DUMMYFUNCTION("""COMPUTED_VALUE"""),-2.630874715592867)</f>
        <v>-2.630874716</v>
      </c>
      <c r="P1209" s="30">
        <f>IFERROR(__xludf.DUMMYFUNCTION("""COMPUTED_VALUE"""),4.463999088063446)</f>
        <v>4.463999088</v>
      </c>
      <c r="Q1209" s="30"/>
      <c r="R1209" s="30"/>
      <c r="S1209" s="30"/>
      <c r="T1209" s="30"/>
      <c r="U1209" s="30">
        <v>0.0</v>
      </c>
      <c r="V1209" s="30"/>
      <c r="W1209" s="30"/>
      <c r="X1209" s="30"/>
      <c r="Y1209" s="5">
        <f>IFERROR(__xludf.DUMMYFUNCTION("""COMPUTED_VALUE"""),84.0)</f>
        <v>84</v>
      </c>
      <c r="Z1209" s="5">
        <f>IFERROR(__xludf.DUMMYFUNCTION("""COMPUTED_VALUE"""),84.0)</f>
        <v>84</v>
      </c>
    </row>
    <row r="1210">
      <c r="A1210" s="30" t="s">
        <v>3273</v>
      </c>
      <c r="B1210" s="30">
        <f>IFERROR(__xludf.DUMMYFUNCTION("""COMPUTED_VALUE"""),84.0)</f>
        <v>84</v>
      </c>
      <c r="C1210" s="30"/>
      <c r="D1210" s="30"/>
      <c r="E1210" s="30"/>
      <c r="F1210" s="30"/>
      <c r="G1210" s="30"/>
      <c r="H1210" s="30"/>
      <c r="I1210" s="30"/>
      <c r="J1210" s="30">
        <f>IFERROR(__xludf.DUMMYFUNCTION("""COMPUTED_VALUE"""),-11.059343513011441)</f>
        <v>-11.05934351</v>
      </c>
      <c r="K1210" s="30"/>
      <c r="L1210" s="30"/>
      <c r="M1210" s="30"/>
      <c r="N1210" s="30"/>
      <c r="O1210" s="30">
        <f>IFERROR(__xludf.DUMMYFUNCTION("""COMPUTED_VALUE"""),-2.630874715592867)</f>
        <v>-2.630874716</v>
      </c>
      <c r="P1210" s="30">
        <f>IFERROR(__xludf.DUMMYFUNCTION("""COMPUTED_VALUE"""),4.463999088063446)</f>
        <v>4.463999088</v>
      </c>
      <c r="Q1210" s="30"/>
      <c r="R1210" s="30"/>
      <c r="S1210" s="30"/>
      <c r="T1210" s="30"/>
      <c r="U1210" s="30">
        <v>0.0</v>
      </c>
      <c r="V1210" s="30"/>
      <c r="W1210" s="30"/>
      <c r="X1210" s="30"/>
      <c r="Y1210" s="5">
        <f>IFERROR(__xludf.DUMMYFUNCTION("""COMPUTED_VALUE"""),84.0)</f>
        <v>84</v>
      </c>
      <c r="Z1210" s="5">
        <f>IFERROR(__xludf.DUMMYFUNCTION("""COMPUTED_VALUE"""),84.0)</f>
        <v>84</v>
      </c>
    </row>
    <row r="1211">
      <c r="A1211" s="30" t="s">
        <v>3274</v>
      </c>
      <c r="B1211" s="30">
        <f>IFERROR(__xludf.DUMMYFUNCTION("""COMPUTED_VALUE"""),83.0)</f>
        <v>83</v>
      </c>
      <c r="C1211" s="30"/>
      <c r="D1211" s="30"/>
      <c r="E1211" s="30"/>
      <c r="F1211" s="30"/>
      <c r="G1211" s="30"/>
      <c r="H1211" s="30"/>
      <c r="I1211" s="30"/>
      <c r="J1211" s="30">
        <f>IFERROR(__xludf.DUMMYFUNCTION("""COMPUTED_VALUE"""),-11.059343513011441)</f>
        <v>-11.05934351</v>
      </c>
      <c r="K1211" s="30"/>
      <c r="L1211" s="30"/>
      <c r="M1211" s="30"/>
      <c r="N1211" s="30"/>
      <c r="O1211" s="30">
        <f>IFERROR(__xludf.DUMMYFUNCTION("""COMPUTED_VALUE"""),-2.630874715592867)</f>
        <v>-2.630874716</v>
      </c>
      <c r="P1211" s="30">
        <f>IFERROR(__xludf.DUMMYFUNCTION("""COMPUTED_VALUE"""),4.463999088063446)</f>
        <v>4.463999088</v>
      </c>
      <c r="Q1211" s="30"/>
      <c r="R1211" s="30"/>
      <c r="S1211" s="30"/>
      <c r="T1211" s="30"/>
      <c r="U1211" s="30">
        <v>0.0</v>
      </c>
      <c r="V1211" s="30"/>
      <c r="W1211" s="30"/>
      <c r="X1211" s="30"/>
      <c r="Y1211" s="5">
        <f>IFERROR(__xludf.DUMMYFUNCTION("""COMPUTED_VALUE"""),83.0)</f>
        <v>83</v>
      </c>
      <c r="Z1211" s="5">
        <f>IFERROR(__xludf.DUMMYFUNCTION("""COMPUTED_VALUE"""),83.0)</f>
        <v>83</v>
      </c>
    </row>
    <row r="1212">
      <c r="A1212" s="30" t="s">
        <v>3275</v>
      </c>
      <c r="B1212" s="30">
        <f>IFERROR(__xludf.DUMMYFUNCTION("""COMPUTED_VALUE"""),88.0)</f>
        <v>88</v>
      </c>
      <c r="C1212" s="30"/>
      <c r="D1212" s="30"/>
      <c r="E1212" s="30"/>
      <c r="F1212" s="30"/>
      <c r="G1212" s="30"/>
      <c r="H1212" s="30"/>
      <c r="I1212" s="30"/>
      <c r="J1212" s="30">
        <f>IFERROR(__xludf.DUMMYFUNCTION("""COMPUTED_VALUE"""),-11.059343513011441)</f>
        <v>-11.05934351</v>
      </c>
      <c r="K1212" s="30"/>
      <c r="L1212" s="30"/>
      <c r="M1212" s="30"/>
      <c r="N1212" s="30"/>
      <c r="O1212" s="30">
        <f>IFERROR(__xludf.DUMMYFUNCTION("""COMPUTED_VALUE"""),-2.630874715592867)</f>
        <v>-2.630874716</v>
      </c>
      <c r="P1212" s="30">
        <f>IFERROR(__xludf.DUMMYFUNCTION("""COMPUTED_VALUE"""),4.463999088063446)</f>
        <v>4.463999088</v>
      </c>
      <c r="Q1212" s="30"/>
      <c r="R1212" s="30"/>
      <c r="S1212" s="30"/>
      <c r="T1212" s="30"/>
      <c r="U1212" s="30">
        <v>0.0</v>
      </c>
      <c r="V1212" s="30"/>
      <c r="W1212" s="30"/>
      <c r="X1212" s="30"/>
      <c r="Y1212" s="5">
        <f>IFERROR(__xludf.DUMMYFUNCTION("""COMPUTED_VALUE"""),88.0)</f>
        <v>88</v>
      </c>
      <c r="Z1212" s="5">
        <f>IFERROR(__xludf.DUMMYFUNCTION("""COMPUTED_VALUE"""),88.0)</f>
        <v>88</v>
      </c>
    </row>
    <row r="1213">
      <c r="A1213" s="30" t="s">
        <v>3276</v>
      </c>
      <c r="B1213" s="30">
        <f>IFERROR(__xludf.DUMMYFUNCTION("""COMPUTED_VALUE"""),81.0)</f>
        <v>81</v>
      </c>
      <c r="C1213" s="30"/>
      <c r="D1213" s="30"/>
      <c r="E1213" s="30"/>
      <c r="F1213" s="30"/>
      <c r="G1213" s="30"/>
      <c r="H1213" s="30"/>
      <c r="I1213" s="30"/>
      <c r="J1213" s="30">
        <f>IFERROR(__xludf.DUMMYFUNCTION("""COMPUTED_VALUE"""),-11.059343513011441)</f>
        <v>-11.05934351</v>
      </c>
      <c r="K1213" s="30"/>
      <c r="L1213" s="30"/>
      <c r="M1213" s="30"/>
      <c r="N1213" s="30"/>
      <c r="O1213" s="30">
        <f>IFERROR(__xludf.DUMMYFUNCTION("""COMPUTED_VALUE"""),-2.630874715592867)</f>
        <v>-2.630874716</v>
      </c>
      <c r="P1213" s="30">
        <f>IFERROR(__xludf.DUMMYFUNCTION("""COMPUTED_VALUE"""),4.463999088063446)</f>
        <v>4.463999088</v>
      </c>
      <c r="Q1213" s="30"/>
      <c r="R1213" s="30"/>
      <c r="S1213" s="30"/>
      <c r="T1213" s="30"/>
      <c r="U1213" s="30">
        <v>0.0</v>
      </c>
      <c r="V1213" s="30"/>
      <c r="W1213" s="30"/>
      <c r="X1213" s="30"/>
      <c r="Y1213" s="5">
        <f>IFERROR(__xludf.DUMMYFUNCTION("""COMPUTED_VALUE"""),81.0)</f>
        <v>81</v>
      </c>
      <c r="Z1213" s="5">
        <f>IFERROR(__xludf.DUMMYFUNCTION("""COMPUTED_VALUE"""),81.0)</f>
        <v>81</v>
      </c>
    </row>
    <row r="1214">
      <c r="A1214" s="30" t="s">
        <v>2521</v>
      </c>
      <c r="B1214" s="30">
        <f>IFERROR(__xludf.DUMMYFUNCTION("""COMPUTED_VALUE"""),83.0)</f>
        <v>83</v>
      </c>
      <c r="C1214" s="30"/>
      <c r="D1214" s="30"/>
      <c r="E1214" s="30"/>
      <c r="F1214" s="30"/>
      <c r="G1214" s="30"/>
      <c r="H1214" s="30"/>
      <c r="I1214" s="30"/>
      <c r="J1214" s="30">
        <f>IFERROR(__xludf.DUMMYFUNCTION("""COMPUTED_VALUE"""),-11.059343513011441)</f>
        <v>-11.05934351</v>
      </c>
      <c r="K1214" s="30"/>
      <c r="L1214" s="30"/>
      <c r="M1214" s="30"/>
      <c r="N1214" s="30"/>
      <c r="O1214" s="30">
        <f>IFERROR(__xludf.DUMMYFUNCTION("""COMPUTED_VALUE"""),-2.630874715592867)</f>
        <v>-2.630874716</v>
      </c>
      <c r="P1214" s="30">
        <f>IFERROR(__xludf.DUMMYFUNCTION("""COMPUTED_VALUE"""),4.463999088063446)</f>
        <v>4.463999088</v>
      </c>
      <c r="Q1214" s="30"/>
      <c r="R1214" s="30"/>
      <c r="S1214" s="30"/>
      <c r="T1214" s="30"/>
      <c r="U1214" s="30">
        <v>0.0</v>
      </c>
      <c r="V1214" s="30"/>
      <c r="W1214" s="30"/>
      <c r="X1214" s="30"/>
      <c r="Y1214" s="5">
        <f>IFERROR(__xludf.DUMMYFUNCTION("""COMPUTED_VALUE"""),83.0)</f>
        <v>83</v>
      </c>
      <c r="Z1214" s="5">
        <f>IFERROR(__xludf.DUMMYFUNCTION("""COMPUTED_VALUE"""),83.0)</f>
        <v>83</v>
      </c>
    </row>
    <row r="1215">
      <c r="A1215" s="30" t="s">
        <v>3277</v>
      </c>
      <c r="B1215" s="30">
        <f>IFERROR(__xludf.DUMMYFUNCTION("""COMPUTED_VALUE"""),84.0)</f>
        <v>84</v>
      </c>
      <c r="C1215" s="30"/>
      <c r="D1215" s="30"/>
      <c r="E1215" s="30"/>
      <c r="F1215" s="30"/>
      <c r="G1215" s="30"/>
      <c r="H1215" s="30"/>
      <c r="I1215" s="30"/>
      <c r="J1215" s="30">
        <f>IFERROR(__xludf.DUMMYFUNCTION("""COMPUTED_VALUE"""),-11.059343513011441)</f>
        <v>-11.05934351</v>
      </c>
      <c r="K1215" s="30"/>
      <c r="L1215" s="30"/>
      <c r="M1215" s="30"/>
      <c r="N1215" s="30"/>
      <c r="O1215" s="30">
        <f>IFERROR(__xludf.DUMMYFUNCTION("""COMPUTED_VALUE"""),-2.630874715592867)</f>
        <v>-2.630874716</v>
      </c>
      <c r="P1215" s="30">
        <f>IFERROR(__xludf.DUMMYFUNCTION("""COMPUTED_VALUE"""),4.463999088063446)</f>
        <v>4.463999088</v>
      </c>
      <c r="Q1215" s="30"/>
      <c r="R1215" s="30"/>
      <c r="S1215" s="30"/>
      <c r="T1215" s="30"/>
      <c r="U1215" s="30">
        <v>0.0</v>
      </c>
      <c r="V1215" s="30"/>
      <c r="W1215" s="30"/>
      <c r="X1215" s="30"/>
      <c r="Y1215" s="5">
        <f>IFERROR(__xludf.DUMMYFUNCTION("""COMPUTED_VALUE"""),84.0)</f>
        <v>84</v>
      </c>
      <c r="Z1215" s="5">
        <f>IFERROR(__xludf.DUMMYFUNCTION("""COMPUTED_VALUE"""),84.0)</f>
        <v>84</v>
      </c>
    </row>
    <row r="1216">
      <c r="A1216" s="30" t="s">
        <v>528</v>
      </c>
      <c r="B1216" s="30">
        <f>IFERROR(__xludf.DUMMYFUNCTION("""COMPUTED_VALUE"""),80.0)</f>
        <v>80</v>
      </c>
      <c r="C1216" s="30"/>
      <c r="D1216" s="30"/>
      <c r="E1216" s="30"/>
      <c r="F1216" s="30"/>
      <c r="G1216" s="30"/>
      <c r="H1216" s="30"/>
      <c r="I1216" s="30"/>
      <c r="J1216" s="30">
        <f>IFERROR(__xludf.DUMMYFUNCTION("""COMPUTED_VALUE"""),-11.059343513011441)</f>
        <v>-11.05934351</v>
      </c>
      <c r="K1216" s="30"/>
      <c r="L1216" s="30"/>
      <c r="M1216" s="30"/>
      <c r="N1216" s="30"/>
      <c r="O1216" s="30">
        <f>IFERROR(__xludf.DUMMYFUNCTION("""COMPUTED_VALUE"""),-2.630874715592867)</f>
        <v>-2.630874716</v>
      </c>
      <c r="P1216" s="30">
        <f>IFERROR(__xludf.DUMMYFUNCTION("""COMPUTED_VALUE"""),4.463999088063446)</f>
        <v>4.463999088</v>
      </c>
      <c r="Q1216" s="30"/>
      <c r="R1216" s="30"/>
      <c r="S1216" s="30"/>
      <c r="T1216" s="30"/>
      <c r="U1216" s="30">
        <v>0.0</v>
      </c>
      <c r="V1216" s="30"/>
      <c r="W1216" s="30"/>
      <c r="X1216" s="30"/>
      <c r="Y1216" s="5">
        <f>IFERROR(__xludf.DUMMYFUNCTION("""COMPUTED_VALUE"""),80.0)</f>
        <v>80</v>
      </c>
      <c r="Z1216" s="5">
        <f>IFERROR(__xludf.DUMMYFUNCTION("""COMPUTED_VALUE"""),80.0)</f>
        <v>80</v>
      </c>
    </row>
    <row r="1217">
      <c r="A1217" s="30" t="s">
        <v>2407</v>
      </c>
      <c r="B1217" s="30">
        <f>IFERROR(__xludf.DUMMYFUNCTION("""COMPUTED_VALUE"""),87.0)</f>
        <v>87</v>
      </c>
      <c r="C1217" s="30"/>
      <c r="D1217" s="30"/>
      <c r="E1217" s="30"/>
      <c r="F1217" s="30"/>
      <c r="G1217" s="30"/>
      <c r="H1217" s="30"/>
      <c r="I1217" s="30"/>
      <c r="J1217" s="30">
        <f>IFERROR(__xludf.DUMMYFUNCTION("""COMPUTED_VALUE"""),-11.059343513011441)</f>
        <v>-11.05934351</v>
      </c>
      <c r="K1217" s="30"/>
      <c r="L1217" s="30"/>
      <c r="M1217" s="30"/>
      <c r="N1217" s="30"/>
      <c r="O1217" s="30">
        <f>IFERROR(__xludf.DUMMYFUNCTION("""COMPUTED_VALUE"""),-2.630874715592867)</f>
        <v>-2.630874716</v>
      </c>
      <c r="P1217" s="30">
        <f>IFERROR(__xludf.DUMMYFUNCTION("""COMPUTED_VALUE"""),4.463999088063446)</f>
        <v>4.463999088</v>
      </c>
      <c r="Q1217" s="30"/>
      <c r="R1217" s="30"/>
      <c r="S1217" s="30"/>
      <c r="T1217" s="30"/>
      <c r="U1217" s="30">
        <v>0.0</v>
      </c>
      <c r="V1217" s="30"/>
      <c r="W1217" s="30"/>
      <c r="X1217" s="30"/>
      <c r="Y1217" s="5">
        <f>IFERROR(__xludf.DUMMYFUNCTION("""COMPUTED_VALUE"""),87.0)</f>
        <v>87</v>
      </c>
      <c r="Z1217" s="5">
        <f>IFERROR(__xludf.DUMMYFUNCTION("""COMPUTED_VALUE"""),87.0)</f>
        <v>87</v>
      </c>
    </row>
    <row r="1218">
      <c r="A1218" s="30" t="s">
        <v>3278</v>
      </c>
      <c r="B1218" s="30">
        <f>IFERROR(__xludf.DUMMYFUNCTION("""COMPUTED_VALUE"""),85.0)</f>
        <v>85</v>
      </c>
      <c r="C1218" s="30"/>
      <c r="D1218" s="30"/>
      <c r="E1218" s="30"/>
      <c r="F1218" s="30"/>
      <c r="G1218" s="30"/>
      <c r="H1218" s="30"/>
      <c r="I1218" s="30"/>
      <c r="J1218" s="30">
        <f>IFERROR(__xludf.DUMMYFUNCTION("""COMPUTED_VALUE"""),-11.059343513011441)</f>
        <v>-11.05934351</v>
      </c>
      <c r="K1218" s="30"/>
      <c r="L1218" s="30"/>
      <c r="M1218" s="30"/>
      <c r="N1218" s="30"/>
      <c r="O1218" s="30">
        <f>IFERROR(__xludf.DUMMYFUNCTION("""COMPUTED_VALUE"""),-2.630874715592867)</f>
        <v>-2.630874716</v>
      </c>
      <c r="P1218" s="30">
        <f>IFERROR(__xludf.DUMMYFUNCTION("""COMPUTED_VALUE"""),4.463999088063446)</f>
        <v>4.463999088</v>
      </c>
      <c r="Q1218" s="30"/>
      <c r="R1218" s="30"/>
      <c r="S1218" s="30"/>
      <c r="T1218" s="30"/>
      <c r="U1218" s="30">
        <v>0.0</v>
      </c>
      <c r="V1218" s="30"/>
      <c r="W1218" s="30"/>
      <c r="X1218" s="30"/>
      <c r="Y1218" s="5">
        <f>IFERROR(__xludf.DUMMYFUNCTION("""COMPUTED_VALUE"""),85.0)</f>
        <v>85</v>
      </c>
      <c r="Z1218" s="5">
        <f>IFERROR(__xludf.DUMMYFUNCTION("""COMPUTED_VALUE"""),85.0)</f>
        <v>85</v>
      </c>
    </row>
    <row r="1219">
      <c r="A1219" s="30" t="s">
        <v>3279</v>
      </c>
      <c r="B1219" s="30">
        <f>IFERROR(__xludf.DUMMYFUNCTION("""COMPUTED_VALUE"""),88.0)</f>
        <v>88</v>
      </c>
      <c r="C1219" s="30"/>
      <c r="D1219" s="30"/>
      <c r="E1219" s="30"/>
      <c r="F1219" s="30"/>
      <c r="G1219" s="30"/>
      <c r="H1219" s="30"/>
      <c r="I1219" s="30"/>
      <c r="J1219" s="30">
        <f>IFERROR(__xludf.DUMMYFUNCTION("""COMPUTED_VALUE"""),-11.059343513011441)</f>
        <v>-11.05934351</v>
      </c>
      <c r="K1219" s="30"/>
      <c r="L1219" s="30"/>
      <c r="M1219" s="30"/>
      <c r="N1219" s="30"/>
      <c r="O1219" s="30">
        <f>IFERROR(__xludf.DUMMYFUNCTION("""COMPUTED_VALUE"""),-2.630874715592867)</f>
        <v>-2.630874716</v>
      </c>
      <c r="P1219" s="30">
        <f>IFERROR(__xludf.DUMMYFUNCTION("""COMPUTED_VALUE"""),4.463999088063446)</f>
        <v>4.463999088</v>
      </c>
      <c r="Q1219" s="30"/>
      <c r="R1219" s="30"/>
      <c r="S1219" s="30"/>
      <c r="T1219" s="30"/>
      <c r="U1219" s="30">
        <v>0.0</v>
      </c>
      <c r="V1219" s="30"/>
      <c r="W1219" s="30"/>
      <c r="X1219" s="30"/>
      <c r="Y1219" s="5">
        <f>IFERROR(__xludf.DUMMYFUNCTION("""COMPUTED_VALUE"""),88.0)</f>
        <v>88</v>
      </c>
      <c r="Z1219" s="5">
        <f>IFERROR(__xludf.DUMMYFUNCTION("""COMPUTED_VALUE"""),88.0)</f>
        <v>88</v>
      </c>
    </row>
    <row r="1220">
      <c r="A1220" s="30" t="s">
        <v>2223</v>
      </c>
      <c r="B1220" s="30">
        <f>IFERROR(__xludf.DUMMYFUNCTION("""COMPUTED_VALUE"""),81.0)</f>
        <v>81</v>
      </c>
      <c r="C1220" s="30"/>
      <c r="D1220" s="30"/>
      <c r="E1220" s="30"/>
      <c r="F1220" s="30"/>
      <c r="G1220" s="30"/>
      <c r="H1220" s="30"/>
      <c r="I1220" s="30"/>
      <c r="J1220" s="30">
        <f>IFERROR(__xludf.DUMMYFUNCTION("""COMPUTED_VALUE"""),-11.059343513011441)</f>
        <v>-11.05934351</v>
      </c>
      <c r="K1220" s="30"/>
      <c r="L1220" s="30"/>
      <c r="M1220" s="30"/>
      <c r="N1220" s="30"/>
      <c r="O1220" s="30">
        <f>IFERROR(__xludf.DUMMYFUNCTION("""COMPUTED_VALUE"""),-2.630874715592867)</f>
        <v>-2.630874716</v>
      </c>
      <c r="P1220" s="30">
        <f>IFERROR(__xludf.DUMMYFUNCTION("""COMPUTED_VALUE"""),4.463999088063446)</f>
        <v>4.463999088</v>
      </c>
      <c r="Q1220" s="30"/>
      <c r="R1220" s="30"/>
      <c r="S1220" s="30"/>
      <c r="T1220" s="30"/>
      <c r="U1220" s="30">
        <v>0.0</v>
      </c>
      <c r="V1220" s="30"/>
      <c r="W1220" s="30"/>
      <c r="X1220" s="30"/>
      <c r="Y1220" s="5">
        <f>IFERROR(__xludf.DUMMYFUNCTION("""COMPUTED_VALUE"""),81.0)</f>
        <v>81</v>
      </c>
      <c r="Z1220" s="5">
        <f>IFERROR(__xludf.DUMMYFUNCTION("""COMPUTED_VALUE"""),81.0)</f>
        <v>81</v>
      </c>
    </row>
    <row r="1221">
      <c r="A1221" s="30" t="s">
        <v>2271</v>
      </c>
      <c r="B1221" s="30">
        <f>IFERROR(__xludf.DUMMYFUNCTION("""COMPUTED_VALUE"""),85.0)</f>
        <v>85</v>
      </c>
      <c r="C1221" s="30"/>
      <c r="D1221" s="30"/>
      <c r="E1221" s="30"/>
      <c r="F1221" s="30"/>
      <c r="G1221" s="30"/>
      <c r="H1221" s="30"/>
      <c r="I1221" s="30"/>
      <c r="J1221" s="30">
        <f>IFERROR(__xludf.DUMMYFUNCTION("""COMPUTED_VALUE"""),-11.059343513011441)</f>
        <v>-11.05934351</v>
      </c>
      <c r="K1221" s="30"/>
      <c r="L1221" s="30"/>
      <c r="M1221" s="30"/>
      <c r="N1221" s="30"/>
      <c r="O1221" s="30">
        <f>IFERROR(__xludf.DUMMYFUNCTION("""COMPUTED_VALUE"""),-2.630874715592867)</f>
        <v>-2.630874716</v>
      </c>
      <c r="P1221" s="30">
        <f>IFERROR(__xludf.DUMMYFUNCTION("""COMPUTED_VALUE"""),4.463999088063446)</f>
        <v>4.463999088</v>
      </c>
      <c r="Q1221" s="30"/>
      <c r="R1221" s="30"/>
      <c r="S1221" s="30"/>
      <c r="T1221" s="30"/>
      <c r="U1221" s="30">
        <v>0.0</v>
      </c>
      <c r="V1221" s="30"/>
      <c r="W1221" s="30"/>
      <c r="X1221" s="30"/>
      <c r="Y1221" s="5">
        <f>IFERROR(__xludf.DUMMYFUNCTION("""COMPUTED_VALUE"""),85.0)</f>
        <v>85</v>
      </c>
      <c r="Z1221" s="5">
        <f>IFERROR(__xludf.DUMMYFUNCTION("""COMPUTED_VALUE"""),85.0)</f>
        <v>85</v>
      </c>
    </row>
    <row r="1222">
      <c r="A1222" s="30" t="s">
        <v>1149</v>
      </c>
      <c r="B1222" s="30">
        <f>IFERROR(__xludf.DUMMYFUNCTION("""COMPUTED_VALUE"""),83.0)</f>
        <v>83</v>
      </c>
      <c r="C1222" s="30"/>
      <c r="D1222" s="30"/>
      <c r="E1222" s="30"/>
      <c r="F1222" s="30"/>
      <c r="G1222" s="30"/>
      <c r="H1222" s="30"/>
      <c r="I1222" s="30"/>
      <c r="J1222" s="30">
        <f>IFERROR(__xludf.DUMMYFUNCTION("""COMPUTED_VALUE"""),-11.059343513011441)</f>
        <v>-11.05934351</v>
      </c>
      <c r="K1222" s="30"/>
      <c r="L1222" s="30"/>
      <c r="M1222" s="30"/>
      <c r="N1222" s="30"/>
      <c r="O1222" s="30">
        <f>IFERROR(__xludf.DUMMYFUNCTION("""COMPUTED_VALUE"""),-2.630874715592867)</f>
        <v>-2.630874716</v>
      </c>
      <c r="P1222" s="30">
        <f>IFERROR(__xludf.DUMMYFUNCTION("""COMPUTED_VALUE"""),4.463999088063446)</f>
        <v>4.463999088</v>
      </c>
      <c r="Q1222" s="30"/>
      <c r="R1222" s="30"/>
      <c r="S1222" s="30"/>
      <c r="T1222" s="30"/>
      <c r="U1222" s="30">
        <v>0.0</v>
      </c>
      <c r="V1222" s="30"/>
      <c r="W1222" s="30"/>
      <c r="X1222" s="30"/>
      <c r="Y1222" s="5">
        <f>IFERROR(__xludf.DUMMYFUNCTION("""COMPUTED_VALUE"""),83.0)</f>
        <v>83</v>
      </c>
      <c r="Z1222" s="5">
        <f>IFERROR(__xludf.DUMMYFUNCTION("""COMPUTED_VALUE"""),83.0)</f>
        <v>83</v>
      </c>
    </row>
    <row r="1223">
      <c r="A1223" s="30" t="s">
        <v>2698</v>
      </c>
      <c r="B1223" s="30">
        <f>IFERROR(__xludf.DUMMYFUNCTION("""COMPUTED_VALUE"""),88.0)</f>
        <v>88</v>
      </c>
      <c r="C1223" s="30"/>
      <c r="D1223" s="30"/>
      <c r="E1223" s="30"/>
      <c r="F1223" s="30"/>
      <c r="G1223" s="30"/>
      <c r="H1223" s="30"/>
      <c r="I1223" s="30"/>
      <c r="J1223" s="30">
        <f>IFERROR(__xludf.DUMMYFUNCTION("""COMPUTED_VALUE"""),-11.059343513011441)</f>
        <v>-11.05934351</v>
      </c>
      <c r="K1223" s="30"/>
      <c r="L1223" s="30"/>
      <c r="M1223" s="30"/>
      <c r="N1223" s="30"/>
      <c r="O1223" s="30">
        <f>IFERROR(__xludf.DUMMYFUNCTION("""COMPUTED_VALUE"""),-2.630874715592867)</f>
        <v>-2.630874716</v>
      </c>
      <c r="P1223" s="30">
        <f>IFERROR(__xludf.DUMMYFUNCTION("""COMPUTED_VALUE"""),4.463999088063446)</f>
        <v>4.463999088</v>
      </c>
      <c r="Q1223" s="30"/>
      <c r="R1223" s="30"/>
      <c r="S1223" s="30"/>
      <c r="T1223" s="30"/>
      <c r="U1223" s="30">
        <v>0.0</v>
      </c>
      <c r="V1223" s="30"/>
      <c r="W1223" s="30"/>
      <c r="X1223" s="30"/>
      <c r="Y1223" s="5">
        <f>IFERROR(__xludf.DUMMYFUNCTION("""COMPUTED_VALUE"""),88.0)</f>
        <v>88</v>
      </c>
      <c r="Z1223" s="5">
        <f>IFERROR(__xludf.DUMMYFUNCTION("""COMPUTED_VALUE"""),88.0)</f>
        <v>88</v>
      </c>
    </row>
    <row r="1224">
      <c r="A1224" s="30" t="s">
        <v>3280</v>
      </c>
      <c r="B1224" s="30">
        <f>IFERROR(__xludf.DUMMYFUNCTION("""COMPUTED_VALUE"""),84.0)</f>
        <v>84</v>
      </c>
      <c r="C1224" s="30"/>
      <c r="D1224" s="30"/>
      <c r="E1224" s="30"/>
      <c r="F1224" s="30"/>
      <c r="G1224" s="30"/>
      <c r="H1224" s="30"/>
      <c r="I1224" s="30"/>
      <c r="J1224" s="30">
        <f>IFERROR(__xludf.DUMMYFUNCTION("""COMPUTED_VALUE"""),-11.059343513011441)</f>
        <v>-11.05934351</v>
      </c>
      <c r="K1224" s="30"/>
      <c r="L1224" s="30"/>
      <c r="M1224" s="30"/>
      <c r="N1224" s="30"/>
      <c r="O1224" s="30">
        <f>IFERROR(__xludf.DUMMYFUNCTION("""COMPUTED_VALUE"""),-2.630874715592867)</f>
        <v>-2.630874716</v>
      </c>
      <c r="P1224" s="30">
        <f>IFERROR(__xludf.DUMMYFUNCTION("""COMPUTED_VALUE"""),4.463999088063446)</f>
        <v>4.463999088</v>
      </c>
      <c r="Q1224" s="30"/>
      <c r="R1224" s="30"/>
      <c r="S1224" s="30"/>
      <c r="T1224" s="30"/>
      <c r="U1224" s="30">
        <v>0.0</v>
      </c>
      <c r="V1224" s="30"/>
      <c r="W1224" s="30"/>
      <c r="X1224" s="30"/>
      <c r="Y1224" s="5">
        <f>IFERROR(__xludf.DUMMYFUNCTION("""COMPUTED_VALUE"""),84.0)</f>
        <v>84</v>
      </c>
      <c r="Z1224" s="5">
        <f>IFERROR(__xludf.DUMMYFUNCTION("""COMPUTED_VALUE"""),84.0)</f>
        <v>84</v>
      </c>
    </row>
    <row r="1225">
      <c r="A1225" s="30" t="s">
        <v>3281</v>
      </c>
      <c r="B1225" s="30">
        <f>IFERROR(__xludf.DUMMYFUNCTION("""COMPUTED_VALUE"""),80.0)</f>
        <v>80</v>
      </c>
      <c r="C1225" s="30"/>
      <c r="D1225" s="30"/>
      <c r="E1225" s="30"/>
      <c r="F1225" s="30"/>
      <c r="G1225" s="30"/>
      <c r="H1225" s="30"/>
      <c r="I1225" s="30"/>
      <c r="J1225" s="30">
        <f>IFERROR(__xludf.DUMMYFUNCTION("""COMPUTED_VALUE"""),-11.059343513011441)</f>
        <v>-11.05934351</v>
      </c>
      <c r="K1225" s="30"/>
      <c r="L1225" s="30"/>
      <c r="M1225" s="30"/>
      <c r="N1225" s="30"/>
      <c r="O1225" s="30">
        <f>IFERROR(__xludf.DUMMYFUNCTION("""COMPUTED_VALUE"""),-2.630874715592867)</f>
        <v>-2.630874716</v>
      </c>
      <c r="P1225" s="30">
        <f>IFERROR(__xludf.DUMMYFUNCTION("""COMPUTED_VALUE"""),4.463999088063446)</f>
        <v>4.463999088</v>
      </c>
      <c r="Q1225" s="30"/>
      <c r="R1225" s="30"/>
      <c r="S1225" s="30"/>
      <c r="T1225" s="30"/>
      <c r="U1225" s="30">
        <v>0.0</v>
      </c>
      <c r="V1225" s="30"/>
      <c r="W1225" s="30"/>
      <c r="X1225" s="30"/>
      <c r="Y1225" s="5">
        <f>IFERROR(__xludf.DUMMYFUNCTION("""COMPUTED_VALUE"""),80.0)</f>
        <v>80</v>
      </c>
      <c r="Z1225" s="5">
        <f>IFERROR(__xludf.DUMMYFUNCTION("""COMPUTED_VALUE"""),80.0)</f>
        <v>80</v>
      </c>
    </row>
    <row r="1226">
      <c r="A1226" s="30" t="s">
        <v>2560</v>
      </c>
      <c r="B1226" s="30">
        <f>IFERROR(__xludf.DUMMYFUNCTION("""COMPUTED_VALUE"""),80.0)</f>
        <v>80</v>
      </c>
      <c r="C1226" s="30"/>
      <c r="D1226" s="30"/>
      <c r="E1226" s="30"/>
      <c r="F1226" s="30"/>
      <c r="G1226" s="30"/>
      <c r="H1226" s="30"/>
      <c r="I1226" s="30"/>
      <c r="J1226" s="30">
        <f>IFERROR(__xludf.DUMMYFUNCTION("""COMPUTED_VALUE"""),-11.059343513011441)</f>
        <v>-11.05934351</v>
      </c>
      <c r="K1226" s="30"/>
      <c r="L1226" s="30"/>
      <c r="M1226" s="30"/>
      <c r="N1226" s="30"/>
      <c r="O1226" s="30">
        <f>IFERROR(__xludf.DUMMYFUNCTION("""COMPUTED_VALUE"""),-2.630874715592867)</f>
        <v>-2.630874716</v>
      </c>
      <c r="P1226" s="30">
        <f>IFERROR(__xludf.DUMMYFUNCTION("""COMPUTED_VALUE"""),4.463999088063446)</f>
        <v>4.463999088</v>
      </c>
      <c r="Q1226" s="30"/>
      <c r="R1226" s="30"/>
      <c r="S1226" s="30"/>
      <c r="T1226" s="30"/>
      <c r="U1226" s="30">
        <v>0.0</v>
      </c>
      <c r="V1226" s="30"/>
      <c r="W1226" s="30"/>
      <c r="X1226" s="30"/>
      <c r="Y1226" s="5">
        <f>IFERROR(__xludf.DUMMYFUNCTION("""COMPUTED_VALUE"""),80.0)</f>
        <v>80</v>
      </c>
      <c r="Z1226" s="5">
        <f>IFERROR(__xludf.DUMMYFUNCTION("""COMPUTED_VALUE"""),80.0)</f>
        <v>80</v>
      </c>
    </row>
    <row r="1227">
      <c r="A1227" s="30" t="s">
        <v>3282</v>
      </c>
      <c r="B1227" s="30">
        <f>IFERROR(__xludf.DUMMYFUNCTION("""COMPUTED_VALUE"""),88.0)</f>
        <v>88</v>
      </c>
      <c r="C1227" s="30"/>
      <c r="D1227" s="30"/>
      <c r="E1227" s="30"/>
      <c r="F1227" s="30"/>
      <c r="G1227" s="30"/>
      <c r="H1227" s="30"/>
      <c r="I1227" s="30"/>
      <c r="J1227" s="30">
        <f>IFERROR(__xludf.DUMMYFUNCTION("""COMPUTED_VALUE"""),-11.059343513011441)</f>
        <v>-11.05934351</v>
      </c>
      <c r="K1227" s="30"/>
      <c r="L1227" s="30"/>
      <c r="M1227" s="30"/>
      <c r="N1227" s="30"/>
      <c r="O1227" s="30">
        <f>IFERROR(__xludf.DUMMYFUNCTION("""COMPUTED_VALUE"""),-2.630874715592867)</f>
        <v>-2.630874716</v>
      </c>
      <c r="P1227" s="30">
        <f>IFERROR(__xludf.DUMMYFUNCTION("""COMPUTED_VALUE"""),4.463999088063446)</f>
        <v>4.463999088</v>
      </c>
      <c r="Q1227" s="30"/>
      <c r="R1227" s="30"/>
      <c r="S1227" s="30"/>
      <c r="T1227" s="30"/>
      <c r="U1227" s="30">
        <v>0.0</v>
      </c>
      <c r="V1227" s="30"/>
      <c r="W1227" s="30"/>
      <c r="X1227" s="30"/>
      <c r="Y1227" s="5">
        <f>IFERROR(__xludf.DUMMYFUNCTION("""COMPUTED_VALUE"""),88.0)</f>
        <v>88</v>
      </c>
      <c r="Z1227" s="5">
        <f>IFERROR(__xludf.DUMMYFUNCTION("""COMPUTED_VALUE"""),88.0)</f>
        <v>88</v>
      </c>
    </row>
    <row r="1228">
      <c r="A1228" s="30" t="s">
        <v>3283</v>
      </c>
      <c r="B1228" s="30">
        <f>IFERROR(__xludf.DUMMYFUNCTION("""COMPUTED_VALUE"""),83.0)</f>
        <v>83</v>
      </c>
      <c r="C1228" s="30"/>
      <c r="D1228" s="30"/>
      <c r="E1228" s="30"/>
      <c r="F1228" s="30"/>
      <c r="G1228" s="30"/>
      <c r="H1228" s="30"/>
      <c r="I1228" s="30"/>
      <c r="J1228" s="30">
        <f>IFERROR(__xludf.DUMMYFUNCTION("""COMPUTED_VALUE"""),-11.059343513011441)</f>
        <v>-11.05934351</v>
      </c>
      <c r="K1228" s="30"/>
      <c r="L1228" s="30"/>
      <c r="M1228" s="30"/>
      <c r="N1228" s="30"/>
      <c r="O1228" s="30">
        <f>IFERROR(__xludf.DUMMYFUNCTION("""COMPUTED_VALUE"""),-2.630874715592867)</f>
        <v>-2.630874716</v>
      </c>
      <c r="P1228" s="30">
        <f>IFERROR(__xludf.DUMMYFUNCTION("""COMPUTED_VALUE"""),4.463999088063446)</f>
        <v>4.463999088</v>
      </c>
      <c r="Q1228" s="30"/>
      <c r="R1228" s="30"/>
      <c r="S1228" s="30"/>
      <c r="T1228" s="30"/>
      <c r="U1228" s="30">
        <v>0.0</v>
      </c>
      <c r="V1228" s="30"/>
      <c r="W1228" s="30"/>
      <c r="X1228" s="30"/>
      <c r="Y1228" s="5">
        <f>IFERROR(__xludf.DUMMYFUNCTION("""COMPUTED_VALUE"""),83.0)</f>
        <v>83</v>
      </c>
      <c r="Z1228" s="5">
        <f>IFERROR(__xludf.DUMMYFUNCTION("""COMPUTED_VALUE"""),83.0)</f>
        <v>83</v>
      </c>
    </row>
    <row r="1229">
      <c r="A1229" s="30" t="s">
        <v>3284</v>
      </c>
      <c r="B1229" s="30">
        <f>IFERROR(__xludf.DUMMYFUNCTION("""COMPUTED_VALUE"""),79.0)</f>
        <v>79</v>
      </c>
      <c r="C1229" s="30"/>
      <c r="D1229" s="30"/>
      <c r="E1229" s="30"/>
      <c r="F1229" s="30"/>
      <c r="G1229" s="30"/>
      <c r="H1229" s="30"/>
      <c r="I1229" s="30"/>
      <c r="J1229" s="30">
        <f>IFERROR(__xludf.DUMMYFUNCTION("""COMPUTED_VALUE"""),-11.059343513011441)</f>
        <v>-11.05934351</v>
      </c>
      <c r="K1229" s="30"/>
      <c r="L1229" s="30"/>
      <c r="M1229" s="30"/>
      <c r="N1229" s="30"/>
      <c r="O1229" s="30">
        <f>IFERROR(__xludf.DUMMYFUNCTION("""COMPUTED_VALUE"""),-2.630874715592867)</f>
        <v>-2.630874716</v>
      </c>
      <c r="P1229" s="30">
        <f>IFERROR(__xludf.DUMMYFUNCTION("""COMPUTED_VALUE"""),4.463999088063446)</f>
        <v>4.463999088</v>
      </c>
      <c r="Q1229" s="30"/>
      <c r="R1229" s="30"/>
      <c r="S1229" s="30"/>
      <c r="T1229" s="30"/>
      <c r="U1229" s="30">
        <v>0.0</v>
      </c>
      <c r="V1229" s="30"/>
      <c r="W1229" s="30"/>
      <c r="X1229" s="30"/>
      <c r="Y1229" s="5">
        <f>IFERROR(__xludf.DUMMYFUNCTION("""COMPUTED_VALUE"""),79.0)</f>
        <v>79</v>
      </c>
      <c r="Z1229" s="5">
        <f>IFERROR(__xludf.DUMMYFUNCTION("""COMPUTED_VALUE"""),79.0)</f>
        <v>79</v>
      </c>
    </row>
    <row r="1230">
      <c r="A1230" s="30" t="s">
        <v>3285</v>
      </c>
      <c r="B1230" s="30">
        <f>IFERROR(__xludf.DUMMYFUNCTION("""COMPUTED_VALUE"""),85.0)</f>
        <v>85</v>
      </c>
      <c r="C1230" s="30"/>
      <c r="D1230" s="30"/>
      <c r="E1230" s="30"/>
      <c r="F1230" s="30"/>
      <c r="G1230" s="30"/>
      <c r="H1230" s="30"/>
      <c r="I1230" s="30"/>
      <c r="J1230" s="30">
        <f>IFERROR(__xludf.DUMMYFUNCTION("""COMPUTED_VALUE"""),-11.059343513011441)</f>
        <v>-11.05934351</v>
      </c>
      <c r="K1230" s="30"/>
      <c r="L1230" s="30"/>
      <c r="M1230" s="30"/>
      <c r="N1230" s="30"/>
      <c r="O1230" s="30">
        <f>IFERROR(__xludf.DUMMYFUNCTION("""COMPUTED_VALUE"""),-2.630874715592867)</f>
        <v>-2.630874716</v>
      </c>
      <c r="P1230" s="30">
        <f>IFERROR(__xludf.DUMMYFUNCTION("""COMPUTED_VALUE"""),4.463999088063446)</f>
        <v>4.463999088</v>
      </c>
      <c r="Q1230" s="30"/>
      <c r="R1230" s="30"/>
      <c r="S1230" s="30"/>
      <c r="T1230" s="30"/>
      <c r="U1230" s="30">
        <v>0.0</v>
      </c>
      <c r="V1230" s="30"/>
      <c r="W1230" s="30"/>
      <c r="X1230" s="30"/>
      <c r="Y1230" s="5">
        <f>IFERROR(__xludf.DUMMYFUNCTION("""COMPUTED_VALUE"""),85.0)</f>
        <v>85</v>
      </c>
      <c r="Z1230" s="5">
        <f>IFERROR(__xludf.DUMMYFUNCTION("""COMPUTED_VALUE"""),85.0)</f>
        <v>85</v>
      </c>
    </row>
    <row r="1231">
      <c r="A1231" s="30" t="s">
        <v>3286</v>
      </c>
      <c r="B1231" s="30">
        <f>IFERROR(__xludf.DUMMYFUNCTION("""COMPUTED_VALUE"""),88.0)</f>
        <v>88</v>
      </c>
      <c r="C1231" s="30"/>
      <c r="D1231" s="30"/>
      <c r="E1231" s="30"/>
      <c r="F1231" s="30"/>
      <c r="G1231" s="30"/>
      <c r="H1231" s="30"/>
      <c r="I1231" s="30"/>
      <c r="J1231" s="30">
        <f>IFERROR(__xludf.DUMMYFUNCTION("""COMPUTED_VALUE"""),-11.059343513011441)</f>
        <v>-11.05934351</v>
      </c>
      <c r="K1231" s="30"/>
      <c r="L1231" s="30"/>
      <c r="M1231" s="30"/>
      <c r="N1231" s="30"/>
      <c r="O1231" s="30">
        <f>IFERROR(__xludf.DUMMYFUNCTION("""COMPUTED_VALUE"""),-2.630874715592867)</f>
        <v>-2.630874716</v>
      </c>
      <c r="P1231" s="30">
        <f>IFERROR(__xludf.DUMMYFUNCTION("""COMPUTED_VALUE"""),4.463999088063446)</f>
        <v>4.463999088</v>
      </c>
      <c r="Q1231" s="30"/>
      <c r="R1231" s="30"/>
      <c r="S1231" s="30"/>
      <c r="T1231" s="30"/>
      <c r="U1231" s="30">
        <v>0.0</v>
      </c>
      <c r="V1231" s="30"/>
      <c r="W1231" s="30"/>
      <c r="X1231" s="30"/>
      <c r="Y1231" s="5">
        <f>IFERROR(__xludf.DUMMYFUNCTION("""COMPUTED_VALUE"""),88.0)</f>
        <v>88</v>
      </c>
      <c r="Z1231" s="5">
        <f>IFERROR(__xludf.DUMMYFUNCTION("""COMPUTED_VALUE"""),88.0)</f>
        <v>88</v>
      </c>
    </row>
    <row r="1232">
      <c r="A1232" s="30" t="s">
        <v>3287</v>
      </c>
      <c r="B1232" s="30">
        <f>IFERROR(__xludf.DUMMYFUNCTION("""COMPUTED_VALUE"""),88.0)</f>
        <v>88</v>
      </c>
      <c r="C1232" s="30"/>
      <c r="D1232" s="30"/>
      <c r="E1232" s="30"/>
      <c r="F1232" s="30"/>
      <c r="G1232" s="30"/>
      <c r="H1232" s="30"/>
      <c r="I1232" s="30"/>
      <c r="J1232" s="30">
        <f>IFERROR(__xludf.DUMMYFUNCTION("""COMPUTED_VALUE"""),-11.059343513011441)</f>
        <v>-11.05934351</v>
      </c>
      <c r="K1232" s="30"/>
      <c r="L1232" s="30"/>
      <c r="M1232" s="30"/>
      <c r="N1232" s="30"/>
      <c r="O1232" s="30">
        <f>IFERROR(__xludf.DUMMYFUNCTION("""COMPUTED_VALUE"""),-2.630874715592867)</f>
        <v>-2.630874716</v>
      </c>
      <c r="P1232" s="30">
        <f>IFERROR(__xludf.DUMMYFUNCTION("""COMPUTED_VALUE"""),4.463999088063446)</f>
        <v>4.463999088</v>
      </c>
      <c r="Q1232" s="30"/>
      <c r="R1232" s="30"/>
      <c r="S1232" s="30"/>
      <c r="T1232" s="30"/>
      <c r="U1232" s="30">
        <v>0.0</v>
      </c>
      <c r="V1232" s="30"/>
      <c r="W1232" s="30"/>
      <c r="X1232" s="30"/>
      <c r="Y1232" s="5">
        <f>IFERROR(__xludf.DUMMYFUNCTION("""COMPUTED_VALUE"""),88.0)</f>
        <v>88</v>
      </c>
      <c r="Z1232" s="5">
        <f>IFERROR(__xludf.DUMMYFUNCTION("""COMPUTED_VALUE"""),88.0)</f>
        <v>88</v>
      </c>
    </row>
    <row r="1233">
      <c r="A1233" s="30" t="s">
        <v>3288</v>
      </c>
      <c r="B1233" s="30">
        <f>IFERROR(__xludf.DUMMYFUNCTION("""COMPUTED_VALUE"""),79.0)</f>
        <v>79</v>
      </c>
      <c r="C1233" s="30"/>
      <c r="D1233" s="30"/>
      <c r="E1233" s="30"/>
      <c r="F1233" s="30"/>
      <c r="G1233" s="30"/>
      <c r="H1233" s="30"/>
      <c r="I1233" s="30"/>
      <c r="J1233" s="30">
        <f>IFERROR(__xludf.DUMMYFUNCTION("""COMPUTED_VALUE"""),-11.059343513011441)</f>
        <v>-11.05934351</v>
      </c>
      <c r="K1233" s="30"/>
      <c r="L1233" s="30"/>
      <c r="M1233" s="30"/>
      <c r="N1233" s="30"/>
      <c r="O1233" s="30">
        <f>IFERROR(__xludf.DUMMYFUNCTION("""COMPUTED_VALUE"""),-2.630874715592867)</f>
        <v>-2.630874716</v>
      </c>
      <c r="P1233" s="30">
        <f>IFERROR(__xludf.DUMMYFUNCTION("""COMPUTED_VALUE"""),4.463999088063446)</f>
        <v>4.463999088</v>
      </c>
      <c r="Q1233" s="30"/>
      <c r="R1233" s="30"/>
      <c r="S1233" s="30"/>
      <c r="T1233" s="30"/>
      <c r="U1233" s="30">
        <v>0.0</v>
      </c>
      <c r="V1233" s="30"/>
      <c r="W1233" s="30"/>
      <c r="X1233" s="30"/>
      <c r="Y1233" s="5">
        <f>IFERROR(__xludf.DUMMYFUNCTION("""COMPUTED_VALUE"""),79.0)</f>
        <v>79</v>
      </c>
      <c r="Z1233" s="5">
        <f>IFERROR(__xludf.DUMMYFUNCTION("""COMPUTED_VALUE"""),79.0)</f>
        <v>79</v>
      </c>
    </row>
    <row r="1234">
      <c r="A1234" s="30" t="s">
        <v>3289</v>
      </c>
      <c r="B1234" s="30">
        <f>IFERROR(__xludf.DUMMYFUNCTION("""COMPUTED_VALUE"""),84.0)</f>
        <v>84</v>
      </c>
      <c r="C1234" s="30"/>
      <c r="D1234" s="30"/>
      <c r="E1234" s="30"/>
      <c r="F1234" s="30"/>
      <c r="G1234" s="30"/>
      <c r="H1234" s="30"/>
      <c r="I1234" s="30"/>
      <c r="J1234" s="30">
        <f>IFERROR(__xludf.DUMMYFUNCTION("""COMPUTED_VALUE"""),-11.059343513011441)</f>
        <v>-11.05934351</v>
      </c>
      <c r="K1234" s="30"/>
      <c r="L1234" s="30"/>
      <c r="M1234" s="30"/>
      <c r="N1234" s="30"/>
      <c r="O1234" s="30">
        <f>IFERROR(__xludf.DUMMYFUNCTION("""COMPUTED_VALUE"""),-2.630874715592867)</f>
        <v>-2.630874716</v>
      </c>
      <c r="P1234" s="30">
        <f>IFERROR(__xludf.DUMMYFUNCTION("""COMPUTED_VALUE"""),4.463999088063446)</f>
        <v>4.463999088</v>
      </c>
      <c r="Q1234" s="30"/>
      <c r="R1234" s="30"/>
      <c r="S1234" s="30"/>
      <c r="T1234" s="30"/>
      <c r="U1234" s="30">
        <v>0.0</v>
      </c>
      <c r="V1234" s="30"/>
      <c r="W1234" s="30"/>
      <c r="X1234" s="30"/>
      <c r="Y1234" s="5">
        <f>IFERROR(__xludf.DUMMYFUNCTION("""COMPUTED_VALUE"""),84.0)</f>
        <v>84</v>
      </c>
      <c r="Z1234" s="5">
        <f>IFERROR(__xludf.DUMMYFUNCTION("""COMPUTED_VALUE"""),84.0)</f>
        <v>84</v>
      </c>
    </row>
    <row r="1235">
      <c r="A1235" s="30" t="s">
        <v>3290</v>
      </c>
      <c r="B1235" s="30">
        <f>IFERROR(__xludf.DUMMYFUNCTION("""COMPUTED_VALUE"""),88.0)</f>
        <v>88</v>
      </c>
      <c r="C1235" s="30"/>
      <c r="D1235" s="30"/>
      <c r="E1235" s="30"/>
      <c r="F1235" s="30"/>
      <c r="G1235" s="30"/>
      <c r="H1235" s="30"/>
      <c r="I1235" s="30"/>
      <c r="J1235" s="30">
        <f>IFERROR(__xludf.DUMMYFUNCTION("""COMPUTED_VALUE"""),-11.059343513011441)</f>
        <v>-11.05934351</v>
      </c>
      <c r="K1235" s="30"/>
      <c r="L1235" s="30"/>
      <c r="M1235" s="30"/>
      <c r="N1235" s="30"/>
      <c r="O1235" s="30">
        <f>IFERROR(__xludf.DUMMYFUNCTION("""COMPUTED_VALUE"""),-2.630874715592867)</f>
        <v>-2.630874716</v>
      </c>
      <c r="P1235" s="30">
        <f>IFERROR(__xludf.DUMMYFUNCTION("""COMPUTED_VALUE"""),4.463999088063446)</f>
        <v>4.463999088</v>
      </c>
      <c r="Q1235" s="30"/>
      <c r="R1235" s="30"/>
      <c r="S1235" s="30"/>
      <c r="T1235" s="30"/>
      <c r="U1235" s="30">
        <v>0.0</v>
      </c>
      <c r="V1235" s="30"/>
      <c r="W1235" s="30"/>
      <c r="X1235" s="30"/>
      <c r="Y1235" s="5">
        <f>IFERROR(__xludf.DUMMYFUNCTION("""COMPUTED_VALUE"""),88.0)</f>
        <v>88</v>
      </c>
      <c r="Z1235" s="5">
        <f>IFERROR(__xludf.DUMMYFUNCTION("""COMPUTED_VALUE"""),88.0)</f>
        <v>88</v>
      </c>
    </row>
    <row r="1236">
      <c r="A1236" s="30" t="s">
        <v>3291</v>
      </c>
      <c r="B1236" s="30">
        <f>IFERROR(__xludf.DUMMYFUNCTION("""COMPUTED_VALUE"""),85.0)</f>
        <v>85</v>
      </c>
      <c r="C1236" s="30"/>
      <c r="D1236" s="30"/>
      <c r="E1236" s="30"/>
      <c r="F1236" s="30"/>
      <c r="G1236" s="30"/>
      <c r="H1236" s="30"/>
      <c r="I1236" s="30"/>
      <c r="J1236" s="30">
        <f>IFERROR(__xludf.DUMMYFUNCTION("""COMPUTED_VALUE"""),-11.059343513011441)</f>
        <v>-11.05934351</v>
      </c>
      <c r="K1236" s="30"/>
      <c r="L1236" s="30"/>
      <c r="M1236" s="30"/>
      <c r="N1236" s="30"/>
      <c r="O1236" s="30">
        <f>IFERROR(__xludf.DUMMYFUNCTION("""COMPUTED_VALUE"""),-2.630874715592867)</f>
        <v>-2.630874716</v>
      </c>
      <c r="P1236" s="30">
        <f>IFERROR(__xludf.DUMMYFUNCTION("""COMPUTED_VALUE"""),4.463999088063446)</f>
        <v>4.463999088</v>
      </c>
      <c r="Q1236" s="30"/>
      <c r="R1236" s="30"/>
      <c r="S1236" s="30"/>
      <c r="T1236" s="30"/>
      <c r="U1236" s="30">
        <v>0.0</v>
      </c>
      <c r="V1236" s="30"/>
      <c r="W1236" s="30"/>
      <c r="X1236" s="30"/>
      <c r="Y1236" s="5">
        <f>IFERROR(__xludf.DUMMYFUNCTION("""COMPUTED_VALUE"""),85.0)</f>
        <v>85</v>
      </c>
      <c r="Z1236" s="5">
        <f>IFERROR(__xludf.DUMMYFUNCTION("""COMPUTED_VALUE"""),85.0)</f>
        <v>85</v>
      </c>
    </row>
    <row r="1237">
      <c r="A1237" s="30" t="s">
        <v>3292</v>
      </c>
      <c r="B1237" s="30">
        <f>IFERROR(__xludf.DUMMYFUNCTION("""COMPUTED_VALUE"""),88.0)</f>
        <v>88</v>
      </c>
      <c r="C1237" s="30"/>
      <c r="D1237" s="30"/>
      <c r="E1237" s="30"/>
      <c r="F1237" s="30"/>
      <c r="G1237" s="30"/>
      <c r="H1237" s="30"/>
      <c r="I1237" s="30"/>
      <c r="J1237" s="30">
        <f>IFERROR(__xludf.DUMMYFUNCTION("""COMPUTED_VALUE"""),-11.059343513011441)</f>
        <v>-11.05934351</v>
      </c>
      <c r="K1237" s="30"/>
      <c r="L1237" s="30"/>
      <c r="M1237" s="30"/>
      <c r="N1237" s="30"/>
      <c r="O1237" s="30">
        <f>IFERROR(__xludf.DUMMYFUNCTION("""COMPUTED_VALUE"""),-2.630874715592867)</f>
        <v>-2.630874716</v>
      </c>
      <c r="P1237" s="30">
        <f>IFERROR(__xludf.DUMMYFUNCTION("""COMPUTED_VALUE"""),4.463999088063446)</f>
        <v>4.463999088</v>
      </c>
      <c r="Q1237" s="30"/>
      <c r="R1237" s="30"/>
      <c r="S1237" s="30"/>
      <c r="T1237" s="30"/>
      <c r="U1237" s="30">
        <v>0.0</v>
      </c>
      <c r="V1237" s="30"/>
      <c r="W1237" s="30"/>
      <c r="X1237" s="30"/>
      <c r="Y1237" s="5">
        <f>IFERROR(__xludf.DUMMYFUNCTION("""COMPUTED_VALUE"""),88.0)</f>
        <v>88</v>
      </c>
      <c r="Z1237" s="5">
        <f>IFERROR(__xludf.DUMMYFUNCTION("""COMPUTED_VALUE"""),88.0)</f>
        <v>88</v>
      </c>
    </row>
    <row r="1238">
      <c r="A1238" s="30" t="s">
        <v>3293</v>
      </c>
      <c r="B1238" s="30">
        <f>IFERROR(__xludf.DUMMYFUNCTION("""COMPUTED_VALUE"""),88.0)</f>
        <v>88</v>
      </c>
      <c r="C1238" s="30"/>
      <c r="D1238" s="30"/>
      <c r="E1238" s="30"/>
      <c r="F1238" s="30"/>
      <c r="G1238" s="30"/>
      <c r="H1238" s="30"/>
      <c r="I1238" s="30"/>
      <c r="J1238" s="30">
        <f>IFERROR(__xludf.DUMMYFUNCTION("""COMPUTED_VALUE"""),-11.059343513011441)</f>
        <v>-11.05934351</v>
      </c>
      <c r="K1238" s="30"/>
      <c r="L1238" s="30"/>
      <c r="M1238" s="30"/>
      <c r="N1238" s="30"/>
      <c r="O1238" s="30">
        <f>IFERROR(__xludf.DUMMYFUNCTION("""COMPUTED_VALUE"""),-2.630874715592867)</f>
        <v>-2.630874716</v>
      </c>
      <c r="P1238" s="30">
        <f>IFERROR(__xludf.DUMMYFUNCTION("""COMPUTED_VALUE"""),4.463999088063446)</f>
        <v>4.463999088</v>
      </c>
      <c r="Q1238" s="30"/>
      <c r="R1238" s="30"/>
      <c r="S1238" s="30"/>
      <c r="T1238" s="30"/>
      <c r="U1238" s="30">
        <v>0.0</v>
      </c>
      <c r="V1238" s="30"/>
      <c r="W1238" s="30"/>
      <c r="X1238" s="30"/>
      <c r="Y1238" s="5">
        <f>IFERROR(__xludf.DUMMYFUNCTION("""COMPUTED_VALUE"""),88.0)</f>
        <v>88</v>
      </c>
      <c r="Z1238" s="5">
        <f>IFERROR(__xludf.DUMMYFUNCTION("""COMPUTED_VALUE"""),88.0)</f>
        <v>88</v>
      </c>
    </row>
    <row r="1239">
      <c r="A1239" s="30" t="s">
        <v>3294</v>
      </c>
      <c r="B1239" s="30">
        <f>IFERROR(__xludf.DUMMYFUNCTION("""COMPUTED_VALUE"""),84.0)</f>
        <v>84</v>
      </c>
      <c r="C1239" s="30"/>
      <c r="D1239" s="30"/>
      <c r="E1239" s="30"/>
      <c r="F1239" s="30"/>
      <c r="G1239" s="30"/>
      <c r="H1239" s="30"/>
      <c r="I1239" s="30"/>
      <c r="J1239" s="30">
        <f>IFERROR(__xludf.DUMMYFUNCTION("""COMPUTED_VALUE"""),-11.059343513011441)</f>
        <v>-11.05934351</v>
      </c>
      <c r="K1239" s="30"/>
      <c r="L1239" s="30"/>
      <c r="M1239" s="30"/>
      <c r="N1239" s="30"/>
      <c r="O1239" s="30">
        <f>IFERROR(__xludf.DUMMYFUNCTION("""COMPUTED_VALUE"""),-2.630874715592867)</f>
        <v>-2.630874716</v>
      </c>
      <c r="P1239" s="30">
        <f>IFERROR(__xludf.DUMMYFUNCTION("""COMPUTED_VALUE"""),4.463999088063446)</f>
        <v>4.463999088</v>
      </c>
      <c r="Q1239" s="30"/>
      <c r="R1239" s="30"/>
      <c r="S1239" s="30"/>
      <c r="T1239" s="30"/>
      <c r="U1239" s="30">
        <v>0.0</v>
      </c>
      <c r="V1239" s="30"/>
      <c r="W1239" s="30"/>
      <c r="X1239" s="30"/>
      <c r="Y1239" s="5">
        <f>IFERROR(__xludf.DUMMYFUNCTION("""COMPUTED_VALUE"""),84.0)</f>
        <v>84</v>
      </c>
      <c r="Z1239" s="5">
        <f>IFERROR(__xludf.DUMMYFUNCTION("""COMPUTED_VALUE"""),84.0)</f>
        <v>84</v>
      </c>
    </row>
    <row r="1240">
      <c r="A1240" s="30" t="s">
        <v>3295</v>
      </c>
      <c r="B1240" s="30">
        <f>IFERROR(__xludf.DUMMYFUNCTION("""COMPUTED_VALUE"""),85.0)</f>
        <v>85</v>
      </c>
      <c r="C1240" s="30"/>
      <c r="D1240" s="30"/>
      <c r="E1240" s="30"/>
      <c r="F1240" s="30"/>
      <c r="G1240" s="30"/>
      <c r="H1240" s="30"/>
      <c r="I1240" s="30"/>
      <c r="J1240" s="30">
        <f>IFERROR(__xludf.DUMMYFUNCTION("""COMPUTED_VALUE"""),-11.059343513011441)</f>
        <v>-11.05934351</v>
      </c>
      <c r="K1240" s="30"/>
      <c r="L1240" s="30"/>
      <c r="M1240" s="30"/>
      <c r="N1240" s="30"/>
      <c r="O1240" s="30">
        <f>IFERROR(__xludf.DUMMYFUNCTION("""COMPUTED_VALUE"""),-2.630874715592867)</f>
        <v>-2.630874716</v>
      </c>
      <c r="P1240" s="30">
        <f>IFERROR(__xludf.DUMMYFUNCTION("""COMPUTED_VALUE"""),4.463999088063446)</f>
        <v>4.463999088</v>
      </c>
      <c r="Q1240" s="30"/>
      <c r="R1240" s="30"/>
      <c r="S1240" s="30"/>
      <c r="T1240" s="30"/>
      <c r="U1240" s="30">
        <v>0.0</v>
      </c>
      <c r="V1240" s="30"/>
      <c r="W1240" s="30"/>
      <c r="X1240" s="30"/>
      <c r="Y1240" s="5">
        <f>IFERROR(__xludf.DUMMYFUNCTION("""COMPUTED_VALUE"""),85.0)</f>
        <v>85</v>
      </c>
      <c r="Z1240" s="5">
        <f>IFERROR(__xludf.DUMMYFUNCTION("""COMPUTED_VALUE"""),85.0)</f>
        <v>85</v>
      </c>
    </row>
    <row r="1241">
      <c r="A1241" s="30" t="s">
        <v>3296</v>
      </c>
      <c r="B1241" s="30">
        <f>IFERROR(__xludf.DUMMYFUNCTION("""COMPUTED_VALUE"""),84.0)</f>
        <v>84</v>
      </c>
      <c r="C1241" s="30"/>
      <c r="D1241" s="30"/>
      <c r="E1241" s="30"/>
      <c r="F1241" s="30"/>
      <c r="G1241" s="30"/>
      <c r="H1241" s="30"/>
      <c r="I1241" s="30"/>
      <c r="J1241" s="30">
        <f>IFERROR(__xludf.DUMMYFUNCTION("""COMPUTED_VALUE"""),-11.059343513011441)</f>
        <v>-11.05934351</v>
      </c>
      <c r="K1241" s="30"/>
      <c r="L1241" s="30"/>
      <c r="M1241" s="30"/>
      <c r="N1241" s="30"/>
      <c r="O1241" s="30">
        <f>IFERROR(__xludf.DUMMYFUNCTION("""COMPUTED_VALUE"""),-2.630874715592867)</f>
        <v>-2.630874716</v>
      </c>
      <c r="P1241" s="30">
        <f>IFERROR(__xludf.DUMMYFUNCTION("""COMPUTED_VALUE"""),4.463999088063446)</f>
        <v>4.463999088</v>
      </c>
      <c r="Q1241" s="30"/>
      <c r="R1241" s="30"/>
      <c r="S1241" s="30"/>
      <c r="T1241" s="30"/>
      <c r="U1241" s="30">
        <v>0.0</v>
      </c>
      <c r="V1241" s="30"/>
      <c r="W1241" s="30"/>
      <c r="X1241" s="30"/>
      <c r="Y1241" s="5">
        <f>IFERROR(__xludf.DUMMYFUNCTION("""COMPUTED_VALUE"""),84.0)</f>
        <v>84</v>
      </c>
      <c r="Z1241" s="5">
        <f>IFERROR(__xludf.DUMMYFUNCTION("""COMPUTED_VALUE"""),84.0)</f>
        <v>84</v>
      </c>
    </row>
    <row r="1242">
      <c r="A1242" s="30" t="s">
        <v>2310</v>
      </c>
      <c r="B1242" s="30">
        <f>IFERROR(__xludf.DUMMYFUNCTION("""COMPUTED_VALUE"""),83.0)</f>
        <v>83</v>
      </c>
      <c r="C1242" s="30"/>
      <c r="D1242" s="30"/>
      <c r="E1242" s="30"/>
      <c r="F1242" s="30"/>
      <c r="G1242" s="30"/>
      <c r="H1242" s="30"/>
      <c r="I1242" s="30"/>
      <c r="J1242" s="30">
        <f>IFERROR(__xludf.DUMMYFUNCTION("""COMPUTED_VALUE"""),-11.059343513011441)</f>
        <v>-11.05934351</v>
      </c>
      <c r="K1242" s="30"/>
      <c r="L1242" s="30"/>
      <c r="M1242" s="30"/>
      <c r="N1242" s="30"/>
      <c r="O1242" s="30">
        <f>IFERROR(__xludf.DUMMYFUNCTION("""COMPUTED_VALUE"""),-2.630874715592867)</f>
        <v>-2.630874716</v>
      </c>
      <c r="P1242" s="30">
        <f>IFERROR(__xludf.DUMMYFUNCTION("""COMPUTED_VALUE"""),4.463999088063446)</f>
        <v>4.463999088</v>
      </c>
      <c r="Q1242" s="30"/>
      <c r="R1242" s="30"/>
      <c r="S1242" s="30"/>
      <c r="T1242" s="30"/>
      <c r="U1242" s="30">
        <v>0.0</v>
      </c>
      <c r="V1242" s="30"/>
      <c r="W1242" s="30"/>
      <c r="X1242" s="30"/>
      <c r="Y1242" s="5">
        <f>IFERROR(__xludf.DUMMYFUNCTION("""COMPUTED_VALUE"""),83.0)</f>
        <v>83</v>
      </c>
      <c r="Z1242" s="5">
        <f>IFERROR(__xludf.DUMMYFUNCTION("""COMPUTED_VALUE"""),83.0)</f>
        <v>83</v>
      </c>
    </row>
    <row r="1243">
      <c r="A1243" s="30" t="s">
        <v>3297</v>
      </c>
      <c r="B1243" s="30">
        <f>IFERROR(__xludf.DUMMYFUNCTION("""COMPUTED_VALUE"""),86.0)</f>
        <v>86</v>
      </c>
      <c r="C1243" s="30"/>
      <c r="D1243" s="30"/>
      <c r="E1243" s="30"/>
      <c r="F1243" s="30"/>
      <c r="G1243" s="30"/>
      <c r="H1243" s="30"/>
      <c r="I1243" s="30"/>
      <c r="J1243" s="30">
        <f>IFERROR(__xludf.DUMMYFUNCTION("""COMPUTED_VALUE"""),-11.059343513011441)</f>
        <v>-11.05934351</v>
      </c>
      <c r="K1243" s="30"/>
      <c r="L1243" s="30"/>
      <c r="M1243" s="30"/>
      <c r="N1243" s="30"/>
      <c r="O1243" s="30">
        <f>IFERROR(__xludf.DUMMYFUNCTION("""COMPUTED_VALUE"""),-2.630874715592867)</f>
        <v>-2.630874716</v>
      </c>
      <c r="P1243" s="30">
        <f>IFERROR(__xludf.DUMMYFUNCTION("""COMPUTED_VALUE"""),4.463999088063446)</f>
        <v>4.463999088</v>
      </c>
      <c r="Q1243" s="30"/>
      <c r="R1243" s="30"/>
      <c r="S1243" s="30"/>
      <c r="T1243" s="30"/>
      <c r="U1243" s="30">
        <v>0.0</v>
      </c>
      <c r="V1243" s="30"/>
      <c r="W1243" s="30"/>
      <c r="X1243" s="30"/>
      <c r="Y1243" s="5">
        <f>IFERROR(__xludf.DUMMYFUNCTION("""COMPUTED_VALUE"""),86.0)</f>
        <v>86</v>
      </c>
      <c r="Z1243" s="5">
        <f>IFERROR(__xludf.DUMMYFUNCTION("""COMPUTED_VALUE"""),86.0)</f>
        <v>86</v>
      </c>
    </row>
    <row r="1244">
      <c r="A1244" s="30" t="s">
        <v>2588</v>
      </c>
      <c r="B1244" s="30">
        <f>IFERROR(__xludf.DUMMYFUNCTION("""COMPUTED_VALUE"""),81.0)</f>
        <v>81</v>
      </c>
      <c r="C1244" s="30"/>
      <c r="D1244" s="30"/>
      <c r="E1244" s="30"/>
      <c r="F1244" s="30"/>
      <c r="G1244" s="30"/>
      <c r="H1244" s="30"/>
      <c r="I1244" s="30"/>
      <c r="J1244" s="30">
        <f>IFERROR(__xludf.DUMMYFUNCTION("""COMPUTED_VALUE"""),-11.059343513011441)</f>
        <v>-11.05934351</v>
      </c>
      <c r="K1244" s="30"/>
      <c r="L1244" s="30"/>
      <c r="M1244" s="30"/>
      <c r="N1244" s="30"/>
      <c r="O1244" s="30">
        <f>IFERROR(__xludf.DUMMYFUNCTION("""COMPUTED_VALUE"""),-2.630874715592867)</f>
        <v>-2.630874716</v>
      </c>
      <c r="P1244" s="30">
        <f>IFERROR(__xludf.DUMMYFUNCTION("""COMPUTED_VALUE"""),4.463999088063446)</f>
        <v>4.463999088</v>
      </c>
      <c r="Q1244" s="30"/>
      <c r="R1244" s="30"/>
      <c r="S1244" s="30"/>
      <c r="T1244" s="30"/>
      <c r="U1244" s="30">
        <v>0.0</v>
      </c>
      <c r="V1244" s="30"/>
      <c r="W1244" s="30"/>
      <c r="X1244" s="30"/>
      <c r="Y1244" s="5">
        <f>IFERROR(__xludf.DUMMYFUNCTION("""COMPUTED_VALUE"""),81.0)</f>
        <v>81</v>
      </c>
      <c r="Z1244" s="5">
        <f>IFERROR(__xludf.DUMMYFUNCTION("""COMPUTED_VALUE"""),81.0)</f>
        <v>81</v>
      </c>
    </row>
    <row r="1245">
      <c r="A1245" s="30" t="s">
        <v>3298</v>
      </c>
      <c r="B1245" s="30">
        <f>IFERROR(__xludf.DUMMYFUNCTION("""COMPUTED_VALUE"""),83.0)</f>
        <v>83</v>
      </c>
      <c r="C1245" s="30"/>
      <c r="D1245" s="30"/>
      <c r="E1245" s="30"/>
      <c r="F1245" s="30"/>
      <c r="G1245" s="30"/>
      <c r="H1245" s="30"/>
      <c r="I1245" s="30"/>
      <c r="J1245" s="30">
        <f>IFERROR(__xludf.DUMMYFUNCTION("""COMPUTED_VALUE"""),-11.059343513011441)</f>
        <v>-11.05934351</v>
      </c>
      <c r="K1245" s="30"/>
      <c r="L1245" s="30"/>
      <c r="M1245" s="30"/>
      <c r="N1245" s="30"/>
      <c r="O1245" s="30">
        <f>IFERROR(__xludf.DUMMYFUNCTION("""COMPUTED_VALUE"""),-2.630874715592867)</f>
        <v>-2.630874716</v>
      </c>
      <c r="P1245" s="30">
        <f>IFERROR(__xludf.DUMMYFUNCTION("""COMPUTED_VALUE"""),4.463999088063446)</f>
        <v>4.463999088</v>
      </c>
      <c r="Q1245" s="30"/>
      <c r="R1245" s="30"/>
      <c r="S1245" s="30"/>
      <c r="T1245" s="30"/>
      <c r="U1245" s="30">
        <v>0.0</v>
      </c>
      <c r="V1245" s="30"/>
      <c r="W1245" s="30"/>
      <c r="X1245" s="30"/>
      <c r="Y1245" s="5">
        <f>IFERROR(__xludf.DUMMYFUNCTION("""COMPUTED_VALUE"""),83.0)</f>
        <v>83</v>
      </c>
      <c r="Z1245" s="5">
        <f>IFERROR(__xludf.DUMMYFUNCTION("""COMPUTED_VALUE"""),83.0)</f>
        <v>83</v>
      </c>
    </row>
    <row r="1246">
      <c r="A1246" s="30" t="s">
        <v>3299</v>
      </c>
      <c r="B1246" s="30">
        <f>IFERROR(__xludf.DUMMYFUNCTION("""COMPUTED_VALUE"""),88.0)</f>
        <v>88</v>
      </c>
      <c r="C1246" s="30"/>
      <c r="D1246" s="30"/>
      <c r="E1246" s="30"/>
      <c r="F1246" s="30"/>
      <c r="G1246" s="30"/>
      <c r="H1246" s="30"/>
      <c r="I1246" s="30"/>
      <c r="J1246" s="30">
        <f>IFERROR(__xludf.DUMMYFUNCTION("""COMPUTED_VALUE"""),-11.059343513011441)</f>
        <v>-11.05934351</v>
      </c>
      <c r="K1246" s="30"/>
      <c r="L1246" s="30"/>
      <c r="M1246" s="30"/>
      <c r="N1246" s="30"/>
      <c r="O1246" s="30">
        <f>IFERROR(__xludf.DUMMYFUNCTION("""COMPUTED_VALUE"""),-2.630874715592867)</f>
        <v>-2.630874716</v>
      </c>
      <c r="P1246" s="30">
        <f>IFERROR(__xludf.DUMMYFUNCTION("""COMPUTED_VALUE"""),4.463999088063446)</f>
        <v>4.463999088</v>
      </c>
      <c r="Q1246" s="30"/>
      <c r="R1246" s="30"/>
      <c r="S1246" s="30"/>
      <c r="T1246" s="30"/>
      <c r="U1246" s="30">
        <v>0.0</v>
      </c>
      <c r="V1246" s="30"/>
      <c r="W1246" s="30"/>
      <c r="X1246" s="30"/>
      <c r="Y1246" s="5">
        <f>IFERROR(__xludf.DUMMYFUNCTION("""COMPUTED_VALUE"""),88.0)</f>
        <v>88</v>
      </c>
      <c r="Z1246" s="5">
        <f>IFERROR(__xludf.DUMMYFUNCTION("""COMPUTED_VALUE"""),88.0)</f>
        <v>88</v>
      </c>
    </row>
    <row r="1247">
      <c r="A1247" s="30" t="s">
        <v>3300</v>
      </c>
      <c r="B1247" s="30">
        <f>IFERROR(__xludf.DUMMYFUNCTION("""COMPUTED_VALUE"""),85.0)</f>
        <v>85</v>
      </c>
      <c r="C1247" s="30"/>
      <c r="D1247" s="30"/>
      <c r="E1247" s="30"/>
      <c r="F1247" s="30"/>
      <c r="G1247" s="30"/>
      <c r="H1247" s="30"/>
      <c r="I1247" s="30"/>
      <c r="J1247" s="30">
        <f>IFERROR(__xludf.DUMMYFUNCTION("""COMPUTED_VALUE"""),-11.059343513011441)</f>
        <v>-11.05934351</v>
      </c>
      <c r="K1247" s="30"/>
      <c r="L1247" s="30"/>
      <c r="M1247" s="30"/>
      <c r="N1247" s="30"/>
      <c r="O1247" s="30">
        <f>IFERROR(__xludf.DUMMYFUNCTION("""COMPUTED_VALUE"""),-2.630874715592867)</f>
        <v>-2.630874716</v>
      </c>
      <c r="P1247" s="30">
        <f>IFERROR(__xludf.DUMMYFUNCTION("""COMPUTED_VALUE"""),4.463999088063446)</f>
        <v>4.463999088</v>
      </c>
      <c r="Q1247" s="30"/>
      <c r="R1247" s="30"/>
      <c r="S1247" s="30"/>
      <c r="T1247" s="30"/>
      <c r="U1247" s="30">
        <v>0.0</v>
      </c>
      <c r="V1247" s="30"/>
      <c r="W1247" s="30"/>
      <c r="X1247" s="30"/>
      <c r="Y1247" s="5">
        <f>IFERROR(__xludf.DUMMYFUNCTION("""COMPUTED_VALUE"""),85.0)</f>
        <v>85</v>
      </c>
      <c r="Z1247" s="5">
        <f>IFERROR(__xludf.DUMMYFUNCTION("""COMPUTED_VALUE"""),85.0)</f>
        <v>85</v>
      </c>
    </row>
    <row r="1248">
      <c r="A1248" s="30" t="s">
        <v>3301</v>
      </c>
      <c r="B1248" s="30">
        <f>IFERROR(__xludf.DUMMYFUNCTION("""COMPUTED_VALUE"""),82.0)</f>
        <v>82</v>
      </c>
      <c r="C1248" s="30"/>
      <c r="D1248" s="30"/>
      <c r="E1248" s="30"/>
      <c r="F1248" s="30"/>
      <c r="G1248" s="30"/>
      <c r="H1248" s="30"/>
      <c r="I1248" s="30"/>
      <c r="J1248" s="30">
        <f>IFERROR(__xludf.DUMMYFUNCTION("""COMPUTED_VALUE"""),-11.059343513011441)</f>
        <v>-11.05934351</v>
      </c>
      <c r="K1248" s="30"/>
      <c r="L1248" s="30"/>
      <c r="M1248" s="30"/>
      <c r="N1248" s="30"/>
      <c r="O1248" s="30">
        <f>IFERROR(__xludf.DUMMYFUNCTION("""COMPUTED_VALUE"""),-2.630874715592867)</f>
        <v>-2.630874716</v>
      </c>
      <c r="P1248" s="30">
        <f>IFERROR(__xludf.DUMMYFUNCTION("""COMPUTED_VALUE"""),4.463999088063446)</f>
        <v>4.463999088</v>
      </c>
      <c r="Q1248" s="30"/>
      <c r="R1248" s="30"/>
      <c r="S1248" s="30"/>
      <c r="T1248" s="30"/>
      <c r="U1248" s="30">
        <v>0.0</v>
      </c>
      <c r="V1248" s="30"/>
      <c r="W1248" s="30"/>
      <c r="X1248" s="30"/>
      <c r="Y1248" s="5">
        <f>IFERROR(__xludf.DUMMYFUNCTION("""COMPUTED_VALUE"""),82.0)</f>
        <v>82</v>
      </c>
      <c r="Z1248" s="5">
        <f>IFERROR(__xludf.DUMMYFUNCTION("""COMPUTED_VALUE"""),82.0)</f>
        <v>82</v>
      </c>
    </row>
    <row r="1249">
      <c r="A1249" s="30" t="s">
        <v>1609</v>
      </c>
      <c r="B1249" s="30">
        <f>IFERROR(__xludf.DUMMYFUNCTION("""COMPUTED_VALUE"""),84.0)</f>
        <v>84</v>
      </c>
      <c r="C1249" s="30"/>
      <c r="D1249" s="30"/>
      <c r="E1249" s="30"/>
      <c r="F1249" s="30"/>
      <c r="G1249" s="30"/>
      <c r="H1249" s="30"/>
      <c r="I1249" s="30"/>
      <c r="J1249" s="30">
        <f>IFERROR(__xludf.DUMMYFUNCTION("""COMPUTED_VALUE"""),-11.059343513011441)</f>
        <v>-11.05934351</v>
      </c>
      <c r="K1249" s="30"/>
      <c r="L1249" s="30"/>
      <c r="M1249" s="30"/>
      <c r="N1249" s="30"/>
      <c r="O1249" s="30">
        <f>IFERROR(__xludf.DUMMYFUNCTION("""COMPUTED_VALUE"""),-2.630874715592867)</f>
        <v>-2.630874716</v>
      </c>
      <c r="P1249" s="30">
        <f>IFERROR(__xludf.DUMMYFUNCTION("""COMPUTED_VALUE"""),4.463999088063446)</f>
        <v>4.463999088</v>
      </c>
      <c r="Q1249" s="30"/>
      <c r="R1249" s="30"/>
      <c r="S1249" s="30"/>
      <c r="T1249" s="30"/>
      <c r="U1249" s="30">
        <v>0.0</v>
      </c>
      <c r="V1249" s="30"/>
      <c r="W1249" s="30"/>
      <c r="X1249" s="30"/>
      <c r="Y1249" s="5">
        <f>IFERROR(__xludf.DUMMYFUNCTION("""COMPUTED_VALUE"""),84.0)</f>
        <v>84</v>
      </c>
      <c r="Z1249" s="5">
        <f>IFERROR(__xludf.DUMMYFUNCTION("""COMPUTED_VALUE"""),84.0)</f>
        <v>84</v>
      </c>
    </row>
    <row r="1250">
      <c r="A1250" s="30" t="s">
        <v>3302</v>
      </c>
      <c r="B1250" s="30">
        <f>IFERROR(__xludf.DUMMYFUNCTION("""COMPUTED_VALUE"""),83.0)</f>
        <v>83</v>
      </c>
      <c r="C1250" s="30"/>
      <c r="D1250" s="30"/>
      <c r="E1250" s="30"/>
      <c r="F1250" s="30"/>
      <c r="G1250" s="30"/>
      <c r="H1250" s="30"/>
      <c r="I1250" s="30"/>
      <c r="J1250" s="30">
        <f>IFERROR(__xludf.DUMMYFUNCTION("""COMPUTED_VALUE"""),-11.059343513011441)</f>
        <v>-11.05934351</v>
      </c>
      <c r="K1250" s="30"/>
      <c r="L1250" s="30"/>
      <c r="M1250" s="30"/>
      <c r="N1250" s="30"/>
      <c r="O1250" s="30">
        <f>IFERROR(__xludf.DUMMYFUNCTION("""COMPUTED_VALUE"""),-2.630874715592867)</f>
        <v>-2.630874716</v>
      </c>
      <c r="P1250" s="30">
        <f>IFERROR(__xludf.DUMMYFUNCTION("""COMPUTED_VALUE"""),4.463999088063446)</f>
        <v>4.463999088</v>
      </c>
      <c r="Q1250" s="30"/>
      <c r="R1250" s="30"/>
      <c r="S1250" s="30"/>
      <c r="T1250" s="30"/>
      <c r="U1250" s="30">
        <v>0.0</v>
      </c>
      <c r="V1250" s="30"/>
      <c r="W1250" s="30"/>
      <c r="X1250" s="30"/>
      <c r="Y1250" s="5">
        <f>IFERROR(__xludf.DUMMYFUNCTION("""COMPUTED_VALUE"""),83.0)</f>
        <v>83</v>
      </c>
      <c r="Z1250" s="5">
        <f>IFERROR(__xludf.DUMMYFUNCTION("""COMPUTED_VALUE"""),83.0)</f>
        <v>83</v>
      </c>
    </row>
    <row r="1251">
      <c r="A1251" s="30" t="s">
        <v>3303</v>
      </c>
      <c r="B1251" s="30">
        <f>IFERROR(__xludf.DUMMYFUNCTION("""COMPUTED_VALUE"""),82.0)</f>
        <v>82</v>
      </c>
      <c r="C1251" s="30"/>
      <c r="D1251" s="30"/>
      <c r="E1251" s="30"/>
      <c r="F1251" s="30"/>
      <c r="G1251" s="30"/>
      <c r="H1251" s="30"/>
      <c r="I1251" s="30"/>
      <c r="J1251" s="30">
        <f>IFERROR(__xludf.DUMMYFUNCTION("""COMPUTED_VALUE"""),-11.059343513011441)</f>
        <v>-11.05934351</v>
      </c>
      <c r="K1251" s="30"/>
      <c r="L1251" s="30"/>
      <c r="M1251" s="30"/>
      <c r="N1251" s="30"/>
      <c r="O1251" s="30">
        <f>IFERROR(__xludf.DUMMYFUNCTION("""COMPUTED_VALUE"""),-2.630874715592867)</f>
        <v>-2.630874716</v>
      </c>
      <c r="P1251" s="30">
        <f>IFERROR(__xludf.DUMMYFUNCTION("""COMPUTED_VALUE"""),4.463999088063446)</f>
        <v>4.463999088</v>
      </c>
      <c r="Q1251" s="30"/>
      <c r="R1251" s="30"/>
      <c r="S1251" s="30"/>
      <c r="T1251" s="30"/>
      <c r="U1251" s="30">
        <v>0.0</v>
      </c>
      <c r="V1251" s="30"/>
      <c r="W1251" s="30"/>
      <c r="X1251" s="30"/>
      <c r="Y1251" s="5">
        <f>IFERROR(__xludf.DUMMYFUNCTION("""COMPUTED_VALUE"""),82.0)</f>
        <v>82</v>
      </c>
      <c r="Z1251" s="5">
        <f>IFERROR(__xludf.DUMMYFUNCTION("""COMPUTED_VALUE"""),82.0)</f>
        <v>82</v>
      </c>
    </row>
    <row r="1252">
      <c r="A1252" s="30" t="s">
        <v>3304</v>
      </c>
      <c r="B1252" s="30">
        <f>IFERROR(__xludf.DUMMYFUNCTION("""COMPUTED_VALUE"""),81.0)</f>
        <v>81</v>
      </c>
      <c r="C1252" s="30"/>
      <c r="D1252" s="30"/>
      <c r="E1252" s="30"/>
      <c r="F1252" s="30"/>
      <c r="G1252" s="30"/>
      <c r="H1252" s="30"/>
      <c r="I1252" s="30"/>
      <c r="J1252" s="30">
        <f>IFERROR(__xludf.DUMMYFUNCTION("""COMPUTED_VALUE"""),-11.059343513011441)</f>
        <v>-11.05934351</v>
      </c>
      <c r="K1252" s="30"/>
      <c r="L1252" s="30"/>
      <c r="M1252" s="30"/>
      <c r="N1252" s="30"/>
      <c r="O1252" s="30">
        <f>IFERROR(__xludf.DUMMYFUNCTION("""COMPUTED_VALUE"""),-2.630874715592867)</f>
        <v>-2.630874716</v>
      </c>
      <c r="P1252" s="30">
        <f>IFERROR(__xludf.DUMMYFUNCTION("""COMPUTED_VALUE"""),4.463999088063446)</f>
        <v>4.463999088</v>
      </c>
      <c r="Q1252" s="30"/>
      <c r="R1252" s="30"/>
      <c r="S1252" s="30"/>
      <c r="T1252" s="30"/>
      <c r="U1252" s="30">
        <v>0.0</v>
      </c>
      <c r="V1252" s="30"/>
      <c r="W1252" s="30"/>
      <c r="X1252" s="30"/>
      <c r="Y1252" s="5">
        <f>IFERROR(__xludf.DUMMYFUNCTION("""COMPUTED_VALUE"""),81.0)</f>
        <v>81</v>
      </c>
      <c r="Z1252" s="5">
        <f>IFERROR(__xludf.DUMMYFUNCTION("""COMPUTED_VALUE"""),81.0)</f>
        <v>81</v>
      </c>
    </row>
    <row r="1253">
      <c r="A1253" s="30" t="s">
        <v>3305</v>
      </c>
      <c r="B1253" s="30">
        <f>IFERROR(__xludf.DUMMYFUNCTION("""COMPUTED_VALUE"""),84.0)</f>
        <v>84</v>
      </c>
      <c r="C1253" s="30"/>
      <c r="D1253" s="30"/>
      <c r="E1253" s="30"/>
      <c r="F1253" s="30"/>
      <c r="G1253" s="30"/>
      <c r="H1253" s="30"/>
      <c r="I1253" s="30"/>
      <c r="J1253" s="30">
        <f>IFERROR(__xludf.DUMMYFUNCTION("""COMPUTED_VALUE"""),-11.059343513011441)</f>
        <v>-11.05934351</v>
      </c>
      <c r="K1253" s="30"/>
      <c r="L1253" s="30"/>
      <c r="M1253" s="30"/>
      <c r="N1253" s="30"/>
      <c r="O1253" s="30">
        <f>IFERROR(__xludf.DUMMYFUNCTION("""COMPUTED_VALUE"""),-2.630874715592867)</f>
        <v>-2.630874716</v>
      </c>
      <c r="P1253" s="30">
        <f>IFERROR(__xludf.DUMMYFUNCTION("""COMPUTED_VALUE"""),4.463999088063446)</f>
        <v>4.463999088</v>
      </c>
      <c r="Q1253" s="30"/>
      <c r="R1253" s="30"/>
      <c r="S1253" s="30"/>
      <c r="T1253" s="30"/>
      <c r="U1253" s="30">
        <v>0.0</v>
      </c>
      <c r="V1253" s="30"/>
      <c r="W1253" s="30"/>
      <c r="X1253" s="30"/>
      <c r="Y1253" s="5">
        <f>IFERROR(__xludf.DUMMYFUNCTION("""COMPUTED_VALUE"""),84.0)</f>
        <v>84</v>
      </c>
      <c r="Z1253" s="5">
        <f>IFERROR(__xludf.DUMMYFUNCTION("""COMPUTED_VALUE"""),84.0)</f>
        <v>84</v>
      </c>
    </row>
    <row r="1254">
      <c r="A1254" s="30" t="s">
        <v>3306</v>
      </c>
      <c r="B1254" s="30">
        <f>IFERROR(__xludf.DUMMYFUNCTION("""COMPUTED_VALUE"""),80.0)</f>
        <v>80</v>
      </c>
      <c r="C1254" s="30"/>
      <c r="D1254" s="30"/>
      <c r="E1254" s="30"/>
      <c r="F1254" s="30"/>
      <c r="G1254" s="30"/>
      <c r="H1254" s="30"/>
      <c r="I1254" s="30"/>
      <c r="J1254" s="30">
        <f>IFERROR(__xludf.DUMMYFUNCTION("""COMPUTED_VALUE"""),-11.059343513011441)</f>
        <v>-11.05934351</v>
      </c>
      <c r="K1254" s="30"/>
      <c r="L1254" s="30"/>
      <c r="M1254" s="30"/>
      <c r="N1254" s="30"/>
      <c r="O1254" s="30">
        <f>IFERROR(__xludf.DUMMYFUNCTION("""COMPUTED_VALUE"""),-2.630874715592867)</f>
        <v>-2.630874716</v>
      </c>
      <c r="P1254" s="30">
        <f>IFERROR(__xludf.DUMMYFUNCTION("""COMPUTED_VALUE"""),4.463999088063446)</f>
        <v>4.463999088</v>
      </c>
      <c r="Q1254" s="30"/>
      <c r="R1254" s="30"/>
      <c r="S1254" s="30"/>
      <c r="T1254" s="30"/>
      <c r="U1254" s="30">
        <v>0.0</v>
      </c>
      <c r="V1254" s="30"/>
      <c r="W1254" s="30"/>
      <c r="X1254" s="30"/>
      <c r="Y1254" s="5">
        <f>IFERROR(__xludf.DUMMYFUNCTION("""COMPUTED_VALUE"""),80.0)</f>
        <v>80</v>
      </c>
      <c r="Z1254" s="5">
        <f>IFERROR(__xludf.DUMMYFUNCTION("""COMPUTED_VALUE"""),80.0)</f>
        <v>80</v>
      </c>
    </row>
    <row r="1255">
      <c r="A1255" s="30" t="s">
        <v>874</v>
      </c>
      <c r="B1255" s="30">
        <f>IFERROR(__xludf.DUMMYFUNCTION("""COMPUTED_VALUE"""),84.0)</f>
        <v>84</v>
      </c>
      <c r="C1255" s="30"/>
      <c r="D1255" s="30"/>
      <c r="E1255" s="30"/>
      <c r="F1255" s="30"/>
      <c r="G1255" s="30"/>
      <c r="H1255" s="30"/>
      <c r="I1255" s="30"/>
      <c r="J1255" s="30">
        <f>IFERROR(__xludf.DUMMYFUNCTION("""COMPUTED_VALUE"""),-11.059343513011441)</f>
        <v>-11.05934351</v>
      </c>
      <c r="K1255" s="30"/>
      <c r="L1255" s="30"/>
      <c r="M1255" s="30"/>
      <c r="N1255" s="30"/>
      <c r="O1255" s="30">
        <f>IFERROR(__xludf.DUMMYFUNCTION("""COMPUTED_VALUE"""),-2.630874715592867)</f>
        <v>-2.630874716</v>
      </c>
      <c r="P1255" s="30">
        <f>IFERROR(__xludf.DUMMYFUNCTION("""COMPUTED_VALUE"""),4.463999088063446)</f>
        <v>4.463999088</v>
      </c>
      <c r="Q1255" s="30"/>
      <c r="R1255" s="30"/>
      <c r="S1255" s="30"/>
      <c r="T1255" s="30"/>
      <c r="U1255" s="30">
        <v>0.0</v>
      </c>
      <c r="V1255" s="30"/>
      <c r="W1255" s="30"/>
      <c r="X1255" s="30"/>
      <c r="Y1255" s="5">
        <f>IFERROR(__xludf.DUMMYFUNCTION("""COMPUTED_VALUE"""),84.0)</f>
        <v>84</v>
      </c>
      <c r="Z1255" s="5">
        <f>IFERROR(__xludf.DUMMYFUNCTION("""COMPUTED_VALUE"""),84.0)</f>
        <v>84</v>
      </c>
    </row>
    <row r="1256">
      <c r="A1256" s="30" t="s">
        <v>3307</v>
      </c>
      <c r="B1256" s="30">
        <f>IFERROR(__xludf.DUMMYFUNCTION("""COMPUTED_VALUE"""),83.0)</f>
        <v>83</v>
      </c>
      <c r="C1256" s="30"/>
      <c r="D1256" s="30"/>
      <c r="E1256" s="30"/>
      <c r="F1256" s="30"/>
      <c r="G1256" s="30"/>
      <c r="H1256" s="30"/>
      <c r="I1256" s="30"/>
      <c r="J1256" s="30">
        <f>IFERROR(__xludf.DUMMYFUNCTION("""COMPUTED_VALUE"""),-11.059343513011441)</f>
        <v>-11.05934351</v>
      </c>
      <c r="K1256" s="30"/>
      <c r="L1256" s="30"/>
      <c r="M1256" s="30"/>
      <c r="N1256" s="30"/>
      <c r="O1256" s="30">
        <f>IFERROR(__xludf.DUMMYFUNCTION("""COMPUTED_VALUE"""),-2.630874715592867)</f>
        <v>-2.630874716</v>
      </c>
      <c r="P1256" s="30">
        <f>IFERROR(__xludf.DUMMYFUNCTION("""COMPUTED_VALUE"""),4.463999088063446)</f>
        <v>4.463999088</v>
      </c>
      <c r="Q1256" s="30"/>
      <c r="R1256" s="30"/>
      <c r="S1256" s="30"/>
      <c r="T1256" s="30"/>
      <c r="U1256" s="30">
        <v>0.0</v>
      </c>
      <c r="V1256" s="30"/>
      <c r="W1256" s="30"/>
      <c r="X1256" s="30"/>
      <c r="Y1256" s="5">
        <f>IFERROR(__xludf.DUMMYFUNCTION("""COMPUTED_VALUE"""),83.0)</f>
        <v>83</v>
      </c>
      <c r="Z1256" s="5">
        <f>IFERROR(__xludf.DUMMYFUNCTION("""COMPUTED_VALUE"""),83.0)</f>
        <v>83</v>
      </c>
    </row>
    <row r="1257">
      <c r="A1257" s="30" t="s">
        <v>3308</v>
      </c>
      <c r="B1257" s="30">
        <f>IFERROR(__xludf.DUMMYFUNCTION("""COMPUTED_VALUE"""),83.0)</f>
        <v>83</v>
      </c>
      <c r="C1257" s="30"/>
      <c r="D1257" s="30"/>
      <c r="E1257" s="30"/>
      <c r="F1257" s="30"/>
      <c r="G1257" s="30"/>
      <c r="H1257" s="30"/>
      <c r="I1257" s="30"/>
      <c r="J1257" s="30">
        <f>IFERROR(__xludf.DUMMYFUNCTION("""COMPUTED_VALUE"""),-11.059343513011441)</f>
        <v>-11.05934351</v>
      </c>
      <c r="K1257" s="30"/>
      <c r="L1257" s="30"/>
      <c r="M1257" s="30"/>
      <c r="N1257" s="30"/>
      <c r="O1257" s="30">
        <f>IFERROR(__xludf.DUMMYFUNCTION("""COMPUTED_VALUE"""),-2.630874715592867)</f>
        <v>-2.630874716</v>
      </c>
      <c r="P1257" s="30">
        <f>IFERROR(__xludf.DUMMYFUNCTION("""COMPUTED_VALUE"""),4.463999088063446)</f>
        <v>4.463999088</v>
      </c>
      <c r="Q1257" s="30"/>
      <c r="R1257" s="30"/>
      <c r="S1257" s="30"/>
      <c r="T1257" s="30"/>
      <c r="U1257" s="30">
        <v>0.0</v>
      </c>
      <c r="V1257" s="30"/>
      <c r="W1257" s="30"/>
      <c r="X1257" s="30"/>
      <c r="Y1257" s="5">
        <f>IFERROR(__xludf.DUMMYFUNCTION("""COMPUTED_VALUE"""),83.0)</f>
        <v>83</v>
      </c>
      <c r="Z1257" s="5">
        <f>IFERROR(__xludf.DUMMYFUNCTION("""COMPUTED_VALUE"""),83.0)</f>
        <v>83</v>
      </c>
    </row>
    <row r="1258">
      <c r="A1258" s="30" t="s">
        <v>2380</v>
      </c>
      <c r="B1258" s="30">
        <f>IFERROR(__xludf.DUMMYFUNCTION("""COMPUTED_VALUE"""),83.0)</f>
        <v>83</v>
      </c>
      <c r="C1258" s="30"/>
      <c r="D1258" s="30"/>
      <c r="E1258" s="30"/>
      <c r="F1258" s="30"/>
      <c r="G1258" s="30"/>
      <c r="H1258" s="30"/>
      <c r="I1258" s="30"/>
      <c r="J1258" s="30">
        <f>IFERROR(__xludf.DUMMYFUNCTION("""COMPUTED_VALUE"""),-11.059343513011441)</f>
        <v>-11.05934351</v>
      </c>
      <c r="K1258" s="30"/>
      <c r="L1258" s="30"/>
      <c r="M1258" s="30"/>
      <c r="N1258" s="30"/>
      <c r="O1258" s="30">
        <f>IFERROR(__xludf.DUMMYFUNCTION("""COMPUTED_VALUE"""),-2.630874715592867)</f>
        <v>-2.630874716</v>
      </c>
      <c r="P1258" s="30">
        <f>IFERROR(__xludf.DUMMYFUNCTION("""COMPUTED_VALUE"""),4.463999088063446)</f>
        <v>4.463999088</v>
      </c>
      <c r="Q1258" s="30"/>
      <c r="R1258" s="30"/>
      <c r="S1258" s="30"/>
      <c r="T1258" s="30"/>
      <c r="U1258" s="30">
        <v>0.0</v>
      </c>
      <c r="V1258" s="30"/>
      <c r="W1258" s="30"/>
      <c r="X1258" s="30"/>
      <c r="Y1258" s="5">
        <f>IFERROR(__xludf.DUMMYFUNCTION("""COMPUTED_VALUE"""),83.0)</f>
        <v>83</v>
      </c>
      <c r="Z1258" s="5">
        <f>IFERROR(__xludf.DUMMYFUNCTION("""COMPUTED_VALUE"""),83.0)</f>
        <v>83</v>
      </c>
    </row>
    <row r="1259">
      <c r="A1259" s="30"/>
      <c r="B1259" s="30"/>
      <c r="C1259" s="30"/>
      <c r="D1259" s="30"/>
      <c r="E1259" s="30"/>
      <c r="F1259" s="30"/>
      <c r="G1259" s="30"/>
      <c r="H1259" s="30"/>
      <c r="I1259" s="30"/>
      <c r="J1259" s="30"/>
      <c r="K1259" s="30"/>
      <c r="L1259" s="30"/>
      <c r="M1259" s="30"/>
      <c r="N1259" s="30"/>
      <c r="O1259" s="30"/>
      <c r="P1259" s="30"/>
      <c r="Q1259" s="30"/>
      <c r="R1259" s="30"/>
      <c r="S1259" s="30"/>
      <c r="T1259" s="30"/>
      <c r="U1259" s="30"/>
      <c r="V1259" s="30"/>
      <c r="W1259" s="30"/>
      <c r="X1259" s="30"/>
    </row>
    <row r="1260">
      <c r="A1260" s="30"/>
      <c r="B1260" s="30"/>
      <c r="C1260" s="30"/>
      <c r="D1260" s="30"/>
      <c r="E1260" s="30"/>
      <c r="F1260" s="30"/>
      <c r="G1260" s="30"/>
      <c r="H1260" s="30"/>
      <c r="I1260" s="30"/>
      <c r="J1260" s="30"/>
      <c r="K1260" s="30"/>
      <c r="L1260" s="30"/>
      <c r="M1260" s="30"/>
      <c r="N1260" s="30"/>
      <c r="O1260" s="30"/>
      <c r="P1260" s="30"/>
      <c r="Q1260" s="30"/>
      <c r="R1260" s="30"/>
      <c r="S1260" s="30"/>
      <c r="T1260" s="30"/>
      <c r="U1260" s="30"/>
      <c r="V1260" s="30"/>
      <c r="W1260" s="30"/>
      <c r="X1260" s="30"/>
    </row>
    <row r="1261">
      <c r="A1261" s="30"/>
      <c r="B1261" s="30"/>
      <c r="C1261" s="30"/>
      <c r="D1261" s="30"/>
      <c r="E1261" s="30"/>
      <c r="F1261" s="30"/>
      <c r="G1261" s="30"/>
      <c r="H1261" s="30"/>
      <c r="I1261" s="30"/>
      <c r="J1261" s="30"/>
      <c r="K1261" s="30"/>
      <c r="L1261" s="30"/>
      <c r="M1261" s="30"/>
      <c r="N1261" s="30"/>
      <c r="O1261" s="30"/>
      <c r="P1261" s="30"/>
      <c r="Q1261" s="30"/>
      <c r="R1261" s="30"/>
      <c r="S1261" s="30"/>
      <c r="T1261" s="30"/>
      <c r="U1261" s="30"/>
      <c r="V1261" s="30"/>
      <c r="W1261" s="30"/>
      <c r="X1261" s="30"/>
    </row>
    <row r="1262">
      <c r="A1262" s="30"/>
      <c r="B1262" s="30"/>
      <c r="C1262" s="30"/>
      <c r="D1262" s="30"/>
      <c r="E1262" s="30"/>
      <c r="F1262" s="30"/>
      <c r="G1262" s="30"/>
      <c r="H1262" s="30"/>
      <c r="I1262" s="30"/>
      <c r="J1262" s="30"/>
      <c r="K1262" s="30"/>
      <c r="L1262" s="30"/>
      <c r="M1262" s="30"/>
      <c r="N1262" s="30"/>
      <c r="O1262" s="30"/>
      <c r="P1262" s="30"/>
      <c r="Q1262" s="30"/>
      <c r="R1262" s="30"/>
      <c r="S1262" s="30"/>
      <c r="T1262" s="30"/>
      <c r="U1262" s="30"/>
      <c r="V1262" s="30"/>
      <c r="W1262" s="30"/>
      <c r="X1262" s="30"/>
    </row>
    <row r="1263">
      <c r="A1263" s="30"/>
      <c r="B1263" s="30"/>
      <c r="C1263" s="30"/>
      <c r="D1263" s="30"/>
      <c r="E1263" s="30"/>
      <c r="F1263" s="30"/>
      <c r="G1263" s="30"/>
      <c r="H1263" s="30"/>
      <c r="I1263" s="30"/>
      <c r="J1263" s="30"/>
      <c r="K1263" s="30"/>
      <c r="L1263" s="30"/>
      <c r="M1263" s="30"/>
      <c r="N1263" s="30"/>
      <c r="O1263" s="30"/>
      <c r="P1263" s="30"/>
      <c r="Q1263" s="30"/>
      <c r="R1263" s="30"/>
      <c r="S1263" s="30"/>
      <c r="T1263" s="30"/>
      <c r="U1263" s="30"/>
      <c r="V1263" s="30"/>
      <c r="W1263" s="30"/>
      <c r="X1263" s="30"/>
    </row>
    <row r="1264">
      <c r="A1264" s="30"/>
      <c r="B1264" s="30"/>
      <c r="C1264" s="30"/>
      <c r="D1264" s="30"/>
      <c r="E1264" s="30"/>
      <c r="F1264" s="30"/>
      <c r="G1264" s="30"/>
      <c r="H1264" s="30"/>
      <c r="I1264" s="30"/>
      <c r="J1264" s="30"/>
      <c r="K1264" s="30"/>
      <c r="L1264" s="30"/>
      <c r="M1264" s="30"/>
      <c r="N1264" s="30"/>
      <c r="O1264" s="30"/>
      <c r="P1264" s="30"/>
      <c r="Q1264" s="30"/>
      <c r="R1264" s="30"/>
      <c r="S1264" s="30"/>
      <c r="T1264" s="30"/>
      <c r="U1264" s="30"/>
      <c r="V1264" s="30"/>
      <c r="W1264" s="30"/>
      <c r="X1264" s="30"/>
    </row>
    <row r="1265">
      <c r="A1265" s="30"/>
      <c r="B1265" s="30"/>
      <c r="C1265" s="30"/>
      <c r="D1265" s="30"/>
      <c r="E1265" s="30"/>
      <c r="F1265" s="30"/>
      <c r="G1265" s="30"/>
      <c r="H1265" s="30"/>
      <c r="I1265" s="30"/>
      <c r="J1265" s="30"/>
      <c r="K1265" s="30"/>
      <c r="L1265" s="30"/>
      <c r="M1265" s="30"/>
      <c r="N1265" s="30"/>
      <c r="O1265" s="30"/>
      <c r="P1265" s="30"/>
      <c r="Q1265" s="30"/>
      <c r="R1265" s="30"/>
      <c r="S1265" s="30"/>
      <c r="T1265" s="30"/>
      <c r="U1265" s="30"/>
      <c r="V1265" s="30"/>
      <c r="W1265" s="30"/>
      <c r="X1265" s="30"/>
    </row>
    <row r="1266">
      <c r="A1266" s="30"/>
      <c r="B1266" s="30"/>
      <c r="C1266" s="30"/>
      <c r="D1266" s="30"/>
      <c r="E1266" s="30"/>
      <c r="F1266" s="30"/>
      <c r="G1266" s="30"/>
      <c r="H1266" s="30"/>
      <c r="I1266" s="30"/>
      <c r="J1266" s="30"/>
      <c r="K1266" s="30"/>
      <c r="L1266" s="30"/>
      <c r="M1266" s="30"/>
      <c r="N1266" s="30"/>
      <c r="O1266" s="30"/>
      <c r="P1266" s="30"/>
      <c r="Q1266" s="30"/>
      <c r="R1266" s="30"/>
      <c r="S1266" s="30"/>
      <c r="T1266" s="30"/>
      <c r="U1266" s="30"/>
      <c r="V1266" s="30"/>
      <c r="W1266" s="30"/>
      <c r="X1266" s="30"/>
    </row>
    <row r="1267">
      <c r="A1267" s="30"/>
      <c r="B1267" s="30"/>
      <c r="C1267" s="30"/>
      <c r="D1267" s="30"/>
      <c r="E1267" s="30"/>
      <c r="F1267" s="30"/>
      <c r="G1267" s="30"/>
      <c r="H1267" s="30"/>
      <c r="I1267" s="30"/>
      <c r="J1267" s="30"/>
      <c r="K1267" s="30"/>
      <c r="L1267" s="30"/>
      <c r="M1267" s="30"/>
      <c r="N1267" s="30"/>
      <c r="O1267" s="30"/>
      <c r="P1267" s="30"/>
      <c r="Q1267" s="30"/>
      <c r="R1267" s="30"/>
      <c r="S1267" s="30"/>
      <c r="T1267" s="30"/>
      <c r="U1267" s="30"/>
      <c r="V1267" s="30"/>
      <c r="W1267" s="30"/>
      <c r="X1267" s="30"/>
    </row>
    <row r="1268">
      <c r="A1268" s="30"/>
      <c r="B1268" s="30"/>
      <c r="C1268" s="30"/>
      <c r="D1268" s="30"/>
      <c r="E1268" s="30"/>
      <c r="F1268" s="30"/>
      <c r="G1268" s="30"/>
      <c r="H1268" s="30"/>
      <c r="I1268" s="30"/>
      <c r="J1268" s="30"/>
      <c r="K1268" s="30"/>
      <c r="L1268" s="30"/>
      <c r="M1268" s="30"/>
      <c r="N1268" s="30"/>
      <c r="O1268" s="30"/>
      <c r="P1268" s="30"/>
      <c r="Q1268" s="30"/>
      <c r="R1268" s="30"/>
      <c r="S1268" s="30"/>
      <c r="T1268" s="30"/>
      <c r="U1268" s="30"/>
      <c r="V1268" s="30"/>
      <c r="W1268" s="30"/>
      <c r="X1268" s="30"/>
    </row>
    <row r="1269">
      <c r="A1269" s="30"/>
      <c r="B1269" s="30"/>
      <c r="C1269" s="30"/>
      <c r="D1269" s="30"/>
      <c r="E1269" s="30"/>
      <c r="F1269" s="30"/>
      <c r="G1269" s="30"/>
      <c r="H1269" s="30"/>
      <c r="I1269" s="30"/>
      <c r="J1269" s="30"/>
      <c r="K1269" s="30"/>
      <c r="L1269" s="30"/>
      <c r="M1269" s="30"/>
      <c r="N1269" s="30"/>
      <c r="O1269" s="30"/>
      <c r="P1269" s="30"/>
      <c r="Q1269" s="30"/>
      <c r="R1269" s="30"/>
      <c r="S1269" s="30"/>
      <c r="T1269" s="30"/>
      <c r="U1269" s="30"/>
      <c r="V1269" s="30"/>
      <c r="W1269" s="30"/>
      <c r="X1269" s="30"/>
    </row>
    <row r="1270">
      <c r="A1270" s="30"/>
      <c r="B1270" s="30"/>
      <c r="C1270" s="30"/>
      <c r="D1270" s="30"/>
      <c r="E1270" s="30"/>
      <c r="F1270" s="30"/>
      <c r="G1270" s="30"/>
      <c r="H1270" s="30"/>
      <c r="I1270" s="30"/>
      <c r="J1270" s="30"/>
      <c r="K1270" s="30"/>
      <c r="L1270" s="30"/>
      <c r="M1270" s="30"/>
      <c r="N1270" s="30"/>
      <c r="O1270" s="30"/>
      <c r="P1270" s="30"/>
      <c r="Q1270" s="30"/>
      <c r="R1270" s="30"/>
      <c r="S1270" s="30"/>
      <c r="T1270" s="30"/>
      <c r="U1270" s="30"/>
      <c r="V1270" s="30"/>
      <c r="W1270" s="30"/>
      <c r="X1270" s="30"/>
    </row>
    <row r="1271">
      <c r="A1271" s="30"/>
      <c r="B1271" s="30"/>
      <c r="C1271" s="30"/>
      <c r="D1271" s="30"/>
      <c r="E1271" s="30"/>
      <c r="F1271" s="30"/>
      <c r="G1271" s="30"/>
      <c r="H1271" s="30"/>
      <c r="I1271" s="30"/>
      <c r="J1271" s="30"/>
      <c r="K1271" s="30"/>
      <c r="L1271" s="30"/>
      <c r="M1271" s="30"/>
      <c r="N1271" s="30"/>
      <c r="O1271" s="30"/>
      <c r="P1271" s="30"/>
      <c r="Q1271" s="30"/>
      <c r="R1271" s="30"/>
      <c r="S1271" s="30"/>
      <c r="T1271" s="30"/>
      <c r="U1271" s="30"/>
      <c r="V1271" s="30"/>
      <c r="W1271" s="30"/>
      <c r="X1271" s="30"/>
    </row>
    <row r="1272">
      <c r="A1272" s="30"/>
      <c r="B1272" s="30"/>
      <c r="C1272" s="30"/>
      <c r="D1272" s="30"/>
      <c r="E1272" s="30"/>
      <c r="F1272" s="30"/>
      <c r="G1272" s="30"/>
      <c r="H1272" s="30"/>
      <c r="I1272" s="30"/>
      <c r="J1272" s="30"/>
      <c r="K1272" s="30"/>
      <c r="L1272" s="30"/>
      <c r="M1272" s="30"/>
      <c r="N1272" s="30"/>
      <c r="O1272" s="30"/>
      <c r="P1272" s="30"/>
      <c r="Q1272" s="30"/>
      <c r="R1272" s="30"/>
      <c r="S1272" s="30"/>
      <c r="T1272" s="30"/>
      <c r="U1272" s="30"/>
      <c r="V1272" s="30"/>
      <c r="W1272" s="30"/>
      <c r="X1272" s="30"/>
    </row>
    <row r="1273">
      <c r="A1273" s="30"/>
      <c r="B1273" s="30"/>
      <c r="C1273" s="30"/>
      <c r="D1273" s="30"/>
      <c r="E1273" s="30"/>
      <c r="F1273" s="30"/>
      <c r="G1273" s="30"/>
      <c r="H1273" s="30"/>
      <c r="I1273" s="30"/>
      <c r="J1273" s="30"/>
      <c r="K1273" s="30"/>
      <c r="L1273" s="30"/>
      <c r="M1273" s="30"/>
      <c r="N1273" s="30"/>
      <c r="O1273" s="30"/>
      <c r="P1273" s="30"/>
      <c r="Q1273" s="30"/>
      <c r="R1273" s="30"/>
      <c r="S1273" s="30"/>
      <c r="T1273" s="30"/>
      <c r="U1273" s="30"/>
      <c r="V1273" s="30"/>
      <c r="W1273" s="30"/>
      <c r="X1273" s="30"/>
    </row>
    <row r="1274">
      <c r="A1274" s="30"/>
      <c r="B1274" s="30"/>
      <c r="C1274" s="30"/>
      <c r="D1274" s="30"/>
      <c r="E1274" s="30"/>
      <c r="F1274" s="30"/>
      <c r="G1274" s="30"/>
      <c r="H1274" s="30"/>
      <c r="I1274" s="30"/>
      <c r="J1274" s="30"/>
      <c r="K1274" s="30"/>
      <c r="L1274" s="30"/>
      <c r="M1274" s="30"/>
      <c r="N1274" s="30"/>
      <c r="O1274" s="30"/>
      <c r="P1274" s="30"/>
      <c r="Q1274" s="30"/>
      <c r="R1274" s="30"/>
      <c r="S1274" s="30"/>
      <c r="T1274" s="30"/>
      <c r="U1274" s="30"/>
      <c r="V1274" s="30"/>
      <c r="W1274" s="30"/>
      <c r="X1274" s="30"/>
    </row>
    <row r="1275">
      <c r="A1275" s="30"/>
      <c r="B1275" s="30"/>
      <c r="C1275" s="30"/>
      <c r="D1275" s="30"/>
      <c r="E1275" s="30"/>
      <c r="F1275" s="30"/>
      <c r="G1275" s="30"/>
      <c r="H1275" s="30"/>
      <c r="I1275" s="30"/>
      <c r="J1275" s="30"/>
      <c r="K1275" s="30"/>
      <c r="L1275" s="30"/>
      <c r="M1275" s="30"/>
      <c r="N1275" s="30"/>
      <c r="O1275" s="30"/>
      <c r="P1275" s="30"/>
      <c r="Q1275" s="30"/>
      <c r="R1275" s="30"/>
      <c r="S1275" s="30"/>
      <c r="T1275" s="30"/>
      <c r="U1275" s="30"/>
      <c r="V1275" s="30"/>
      <c r="W1275" s="30"/>
      <c r="X1275" s="30"/>
    </row>
    <row r="1276">
      <c r="A1276" s="30"/>
      <c r="B1276" s="30"/>
      <c r="C1276" s="30"/>
      <c r="D1276" s="30"/>
      <c r="E1276" s="30"/>
      <c r="F1276" s="30"/>
      <c r="G1276" s="30"/>
      <c r="H1276" s="30"/>
      <c r="I1276" s="30"/>
      <c r="J1276" s="30"/>
      <c r="K1276" s="30"/>
      <c r="L1276" s="30"/>
      <c r="M1276" s="30"/>
      <c r="N1276" s="30"/>
      <c r="O1276" s="30"/>
      <c r="P1276" s="30"/>
      <c r="Q1276" s="30"/>
      <c r="R1276" s="30"/>
      <c r="S1276" s="30"/>
      <c r="T1276" s="30"/>
      <c r="U1276" s="30"/>
      <c r="V1276" s="30"/>
      <c r="W1276" s="30"/>
      <c r="X1276" s="30"/>
    </row>
    <row r="1277">
      <c r="A1277" s="30"/>
      <c r="B1277" s="30"/>
      <c r="C1277" s="30"/>
      <c r="D1277" s="30"/>
      <c r="E1277" s="30"/>
      <c r="F1277" s="30"/>
      <c r="G1277" s="30"/>
      <c r="H1277" s="30"/>
      <c r="I1277" s="30"/>
      <c r="J1277" s="30"/>
      <c r="K1277" s="30"/>
      <c r="L1277" s="30"/>
      <c r="M1277" s="30"/>
      <c r="N1277" s="30"/>
      <c r="O1277" s="30"/>
      <c r="P1277" s="30"/>
      <c r="Q1277" s="30"/>
      <c r="R1277" s="30"/>
      <c r="S1277" s="30"/>
      <c r="T1277" s="30"/>
      <c r="U1277" s="30"/>
      <c r="V1277" s="30"/>
      <c r="W1277" s="30"/>
      <c r="X1277" s="30"/>
    </row>
    <row r="1278">
      <c r="A1278" s="30"/>
      <c r="B1278" s="30"/>
      <c r="C1278" s="30"/>
      <c r="D1278" s="30"/>
      <c r="E1278" s="30"/>
      <c r="F1278" s="30"/>
      <c r="G1278" s="30"/>
      <c r="H1278" s="30"/>
      <c r="I1278" s="30"/>
      <c r="J1278" s="30"/>
      <c r="K1278" s="30"/>
      <c r="L1278" s="30"/>
      <c r="M1278" s="30"/>
      <c r="N1278" s="30"/>
      <c r="O1278" s="30"/>
      <c r="P1278" s="30"/>
      <c r="Q1278" s="30"/>
      <c r="R1278" s="30"/>
      <c r="S1278" s="30"/>
      <c r="T1278" s="30"/>
      <c r="U1278" s="30"/>
      <c r="V1278" s="30"/>
      <c r="W1278" s="30"/>
      <c r="X1278" s="30"/>
    </row>
    <row r="1279">
      <c r="A1279" s="30"/>
      <c r="B1279" s="30"/>
      <c r="C1279" s="30"/>
      <c r="D1279" s="30"/>
      <c r="E1279" s="30"/>
      <c r="F1279" s="30"/>
      <c r="G1279" s="30"/>
      <c r="H1279" s="30"/>
      <c r="I1279" s="30"/>
      <c r="J1279" s="30"/>
      <c r="K1279" s="30"/>
      <c r="L1279" s="30"/>
      <c r="M1279" s="30"/>
      <c r="N1279" s="30"/>
      <c r="O1279" s="30"/>
      <c r="P1279" s="30"/>
      <c r="Q1279" s="30"/>
      <c r="R1279" s="30"/>
      <c r="S1279" s="30"/>
      <c r="T1279" s="30"/>
      <c r="U1279" s="30"/>
      <c r="V1279" s="30"/>
      <c r="W1279" s="30"/>
      <c r="X1279" s="30"/>
    </row>
    <row r="1280">
      <c r="A1280" s="30"/>
      <c r="B1280" s="30"/>
      <c r="C1280" s="30"/>
      <c r="D1280" s="30"/>
      <c r="E1280" s="30"/>
      <c r="F1280" s="30"/>
      <c r="G1280" s="30"/>
      <c r="H1280" s="30"/>
      <c r="I1280" s="30"/>
      <c r="J1280" s="30"/>
      <c r="K1280" s="30"/>
      <c r="L1280" s="30"/>
      <c r="M1280" s="30"/>
      <c r="N1280" s="30"/>
      <c r="O1280" s="30"/>
      <c r="P1280" s="30"/>
      <c r="Q1280" s="30"/>
      <c r="R1280" s="30"/>
      <c r="S1280" s="30"/>
      <c r="T1280" s="30"/>
      <c r="U1280" s="30"/>
      <c r="V1280" s="30"/>
      <c r="W1280" s="30"/>
      <c r="X1280" s="30"/>
    </row>
    <row r="1281">
      <c r="A1281" s="30"/>
      <c r="B1281" s="30"/>
      <c r="C1281" s="30"/>
      <c r="D1281" s="30"/>
      <c r="E1281" s="30"/>
      <c r="F1281" s="30"/>
      <c r="G1281" s="30"/>
      <c r="H1281" s="30"/>
      <c r="I1281" s="30"/>
      <c r="J1281" s="30"/>
      <c r="K1281" s="30"/>
      <c r="L1281" s="30"/>
      <c r="M1281" s="30"/>
      <c r="N1281" s="30"/>
      <c r="O1281" s="30"/>
      <c r="P1281" s="30"/>
      <c r="Q1281" s="30"/>
      <c r="R1281" s="30"/>
      <c r="S1281" s="30"/>
      <c r="T1281" s="30"/>
      <c r="U1281" s="30"/>
      <c r="V1281" s="30"/>
      <c r="W1281" s="30"/>
      <c r="X1281" s="30"/>
    </row>
    <row r="1282">
      <c r="A1282" s="30"/>
      <c r="B1282" s="30"/>
      <c r="C1282" s="30"/>
      <c r="D1282" s="30"/>
      <c r="E1282" s="30"/>
      <c r="F1282" s="30"/>
      <c r="G1282" s="30"/>
      <c r="H1282" s="30"/>
      <c r="I1282" s="30"/>
      <c r="J1282" s="30"/>
      <c r="K1282" s="30"/>
      <c r="L1282" s="30"/>
      <c r="M1282" s="30"/>
      <c r="N1282" s="30"/>
      <c r="O1282" s="30"/>
      <c r="P1282" s="30"/>
      <c r="Q1282" s="30"/>
      <c r="R1282" s="30"/>
      <c r="S1282" s="30"/>
      <c r="T1282" s="30"/>
      <c r="U1282" s="30"/>
      <c r="V1282" s="30"/>
      <c r="W1282" s="30"/>
      <c r="X1282" s="30"/>
    </row>
    <row r="1283">
      <c r="A1283" s="30"/>
      <c r="B1283" s="30"/>
      <c r="C1283" s="30"/>
      <c r="D1283" s="30"/>
      <c r="E1283" s="30"/>
      <c r="F1283" s="30"/>
      <c r="G1283" s="30"/>
      <c r="H1283" s="30"/>
      <c r="I1283" s="30"/>
      <c r="J1283" s="30"/>
      <c r="K1283" s="30"/>
      <c r="L1283" s="30"/>
      <c r="M1283" s="30"/>
      <c r="N1283" s="30"/>
      <c r="O1283" s="30"/>
      <c r="P1283" s="30"/>
      <c r="Q1283" s="30"/>
      <c r="R1283" s="30"/>
      <c r="S1283" s="30"/>
      <c r="T1283" s="30"/>
      <c r="U1283" s="30"/>
      <c r="V1283" s="30"/>
      <c r="W1283" s="30"/>
      <c r="X1283" s="30"/>
    </row>
    <row r="1284">
      <c r="A1284" s="30"/>
      <c r="B1284" s="30"/>
      <c r="C1284" s="30"/>
      <c r="D1284" s="30"/>
      <c r="E1284" s="30"/>
      <c r="F1284" s="30"/>
      <c r="G1284" s="30"/>
      <c r="H1284" s="30"/>
      <c r="I1284" s="30"/>
      <c r="J1284" s="30"/>
      <c r="K1284" s="30"/>
      <c r="L1284" s="30"/>
      <c r="M1284" s="30"/>
      <c r="N1284" s="30"/>
      <c r="O1284" s="30"/>
      <c r="P1284" s="30"/>
      <c r="Q1284" s="30"/>
      <c r="R1284" s="30"/>
      <c r="S1284" s="30"/>
      <c r="T1284" s="30"/>
      <c r="U1284" s="30"/>
      <c r="V1284" s="30"/>
      <c r="W1284" s="30"/>
      <c r="X1284" s="30"/>
    </row>
    <row r="1285">
      <c r="A1285" s="30"/>
      <c r="B1285" s="30"/>
      <c r="C1285" s="30"/>
      <c r="D1285" s="30"/>
      <c r="E1285" s="30"/>
      <c r="F1285" s="30"/>
      <c r="G1285" s="30"/>
      <c r="H1285" s="30"/>
      <c r="I1285" s="30"/>
      <c r="J1285" s="30"/>
      <c r="K1285" s="30"/>
      <c r="L1285" s="30"/>
      <c r="M1285" s="30"/>
      <c r="N1285" s="30"/>
      <c r="O1285" s="30"/>
      <c r="P1285" s="30"/>
      <c r="Q1285" s="30"/>
      <c r="R1285" s="30"/>
      <c r="S1285" s="30"/>
      <c r="T1285" s="30"/>
      <c r="U1285" s="30"/>
      <c r="V1285" s="30"/>
      <c r="W1285" s="30"/>
      <c r="X1285" s="30"/>
    </row>
    <row r="1286">
      <c r="A1286" s="30"/>
      <c r="B1286" s="30"/>
      <c r="C1286" s="30"/>
      <c r="D1286" s="30"/>
      <c r="E1286" s="30"/>
      <c r="F1286" s="30"/>
      <c r="G1286" s="30"/>
      <c r="H1286" s="30"/>
      <c r="I1286" s="30"/>
      <c r="J1286" s="30"/>
      <c r="K1286" s="30"/>
      <c r="L1286" s="30"/>
      <c r="M1286" s="30"/>
      <c r="N1286" s="30"/>
      <c r="O1286" s="30"/>
      <c r="P1286" s="30"/>
      <c r="Q1286" s="30"/>
      <c r="R1286" s="30"/>
      <c r="S1286" s="30"/>
      <c r="T1286" s="30"/>
      <c r="U1286" s="30"/>
      <c r="V1286" s="30"/>
      <c r="W1286" s="30"/>
      <c r="X1286" s="30"/>
    </row>
    <row r="1287">
      <c r="A1287" s="30"/>
      <c r="B1287" s="30"/>
      <c r="C1287" s="30"/>
      <c r="D1287" s="30"/>
      <c r="E1287" s="30"/>
      <c r="F1287" s="30"/>
      <c r="G1287" s="30"/>
      <c r="H1287" s="30"/>
      <c r="I1287" s="30"/>
      <c r="J1287" s="30"/>
      <c r="K1287" s="30"/>
      <c r="L1287" s="30"/>
      <c r="M1287" s="30"/>
      <c r="N1287" s="30"/>
      <c r="O1287" s="30"/>
      <c r="P1287" s="30"/>
      <c r="Q1287" s="30"/>
      <c r="R1287" s="30"/>
      <c r="S1287" s="30"/>
      <c r="T1287" s="30"/>
      <c r="U1287" s="30"/>
      <c r="V1287" s="30"/>
      <c r="W1287" s="30"/>
      <c r="X1287" s="30"/>
    </row>
    <row r="1288">
      <c r="A1288" s="30"/>
      <c r="B1288" s="30"/>
      <c r="C1288" s="30"/>
      <c r="D1288" s="30"/>
      <c r="E1288" s="30"/>
      <c r="F1288" s="30"/>
      <c r="G1288" s="30"/>
      <c r="H1288" s="30"/>
      <c r="I1288" s="30"/>
      <c r="J1288" s="30"/>
      <c r="K1288" s="30"/>
      <c r="L1288" s="30"/>
      <c r="M1288" s="30"/>
      <c r="N1288" s="30"/>
      <c r="O1288" s="30"/>
      <c r="P1288" s="30"/>
      <c r="Q1288" s="30"/>
      <c r="R1288" s="30"/>
      <c r="S1288" s="30"/>
      <c r="T1288" s="30"/>
      <c r="U1288" s="30"/>
      <c r="V1288" s="30"/>
      <c r="W1288" s="30"/>
      <c r="X1288" s="30"/>
    </row>
    <row r="1289">
      <c r="A1289" s="30"/>
      <c r="B1289" s="30"/>
      <c r="C1289" s="30"/>
      <c r="D1289" s="30"/>
      <c r="E1289" s="30"/>
      <c r="F1289" s="30"/>
      <c r="G1289" s="30"/>
      <c r="H1289" s="30"/>
      <c r="I1289" s="30"/>
      <c r="J1289" s="30"/>
      <c r="K1289" s="30"/>
      <c r="L1289" s="30"/>
      <c r="M1289" s="30"/>
      <c r="N1289" s="30"/>
      <c r="O1289" s="30"/>
      <c r="P1289" s="30"/>
      <c r="Q1289" s="30"/>
      <c r="R1289" s="30"/>
      <c r="S1289" s="30"/>
      <c r="T1289" s="30"/>
      <c r="U1289" s="30"/>
      <c r="V1289" s="30"/>
      <c r="W1289" s="30"/>
      <c r="X1289" s="30"/>
    </row>
    <row r="1290">
      <c r="A1290" s="30"/>
      <c r="B1290" s="30"/>
      <c r="C1290" s="30"/>
      <c r="D1290" s="30"/>
      <c r="E1290" s="30"/>
      <c r="F1290" s="30"/>
      <c r="G1290" s="30"/>
      <c r="H1290" s="30"/>
      <c r="I1290" s="30"/>
      <c r="J1290" s="30"/>
      <c r="K1290" s="30"/>
      <c r="L1290" s="30"/>
      <c r="M1290" s="30"/>
      <c r="N1290" s="30"/>
      <c r="O1290" s="30"/>
      <c r="P1290" s="30"/>
      <c r="Q1290" s="30"/>
      <c r="R1290" s="30"/>
      <c r="S1290" s="30"/>
      <c r="T1290" s="30"/>
      <c r="U1290" s="30"/>
      <c r="V1290" s="30"/>
      <c r="W1290" s="30"/>
      <c r="X1290" s="30"/>
    </row>
    <row r="1291">
      <c r="A1291" s="30"/>
      <c r="B1291" s="30"/>
      <c r="C1291" s="30"/>
      <c r="D1291" s="30"/>
      <c r="E1291" s="30"/>
      <c r="F1291" s="30"/>
      <c r="G1291" s="30"/>
      <c r="H1291" s="30"/>
      <c r="I1291" s="30"/>
      <c r="J1291" s="30"/>
      <c r="K1291" s="30"/>
      <c r="L1291" s="30"/>
      <c r="M1291" s="30"/>
      <c r="N1291" s="30"/>
      <c r="O1291" s="30"/>
      <c r="P1291" s="30"/>
      <c r="Q1291" s="30"/>
      <c r="R1291" s="30"/>
      <c r="S1291" s="30"/>
      <c r="T1291" s="30"/>
      <c r="U1291" s="30"/>
      <c r="V1291" s="30"/>
      <c r="W1291" s="30"/>
      <c r="X1291" s="30"/>
    </row>
    <row r="1292">
      <c r="A1292" s="30"/>
      <c r="B1292" s="30"/>
      <c r="C1292" s="30"/>
      <c r="D1292" s="30"/>
      <c r="E1292" s="30"/>
      <c r="F1292" s="30"/>
      <c r="G1292" s="30"/>
      <c r="H1292" s="30"/>
      <c r="I1292" s="30"/>
      <c r="J1292" s="30"/>
      <c r="K1292" s="30"/>
      <c r="L1292" s="30"/>
      <c r="M1292" s="30"/>
      <c r="N1292" s="30"/>
      <c r="O1292" s="30"/>
      <c r="P1292" s="30"/>
      <c r="Q1292" s="30"/>
      <c r="R1292" s="30"/>
      <c r="S1292" s="30"/>
      <c r="T1292" s="30"/>
      <c r="U1292" s="30"/>
      <c r="V1292" s="30"/>
      <c r="W1292" s="30"/>
      <c r="X1292" s="30"/>
    </row>
    <row r="1293">
      <c r="A1293" s="30"/>
      <c r="B1293" s="30"/>
      <c r="C1293" s="30"/>
      <c r="D1293" s="30"/>
      <c r="E1293" s="30"/>
      <c r="F1293" s="30"/>
      <c r="G1293" s="30"/>
      <c r="H1293" s="30"/>
      <c r="I1293" s="30"/>
      <c r="J1293" s="30"/>
      <c r="K1293" s="30"/>
      <c r="L1293" s="30"/>
      <c r="M1293" s="30"/>
      <c r="N1293" s="30"/>
      <c r="O1293" s="30"/>
      <c r="P1293" s="30"/>
      <c r="Q1293" s="30"/>
      <c r="R1293" s="30"/>
      <c r="S1293" s="30"/>
      <c r="T1293" s="30"/>
      <c r="U1293" s="30"/>
      <c r="V1293" s="30"/>
      <c r="W1293" s="30"/>
      <c r="X1293" s="30"/>
    </row>
    <row r="1294">
      <c r="A1294" s="30"/>
      <c r="B1294" s="30"/>
      <c r="C1294" s="30"/>
      <c r="D1294" s="30"/>
      <c r="E1294" s="30"/>
      <c r="F1294" s="30"/>
      <c r="G1294" s="30"/>
      <c r="H1294" s="30"/>
      <c r="I1294" s="30"/>
      <c r="J1294" s="30"/>
      <c r="K1294" s="30"/>
      <c r="L1294" s="30"/>
      <c r="M1294" s="30"/>
      <c r="N1294" s="30"/>
      <c r="O1294" s="30"/>
      <c r="P1294" s="30"/>
      <c r="Q1294" s="30"/>
      <c r="R1294" s="30"/>
      <c r="S1294" s="30"/>
      <c r="T1294" s="30"/>
      <c r="U1294" s="30"/>
      <c r="V1294" s="30"/>
      <c r="W1294" s="30"/>
      <c r="X1294" s="30"/>
    </row>
    <row r="1295">
      <c r="A1295" s="30"/>
      <c r="B1295" s="30"/>
      <c r="C1295" s="30"/>
      <c r="D1295" s="30"/>
      <c r="E1295" s="30"/>
      <c r="F1295" s="30"/>
      <c r="G1295" s="30"/>
      <c r="H1295" s="30"/>
      <c r="I1295" s="30"/>
      <c r="J1295" s="30"/>
      <c r="K1295" s="30"/>
      <c r="L1295" s="30"/>
      <c r="M1295" s="30"/>
      <c r="N1295" s="30"/>
      <c r="O1295" s="30"/>
      <c r="P1295" s="30"/>
      <c r="Q1295" s="30"/>
      <c r="R1295" s="30"/>
      <c r="S1295" s="30"/>
      <c r="T1295" s="30"/>
      <c r="U1295" s="30"/>
      <c r="V1295" s="30"/>
      <c r="W1295" s="30"/>
      <c r="X1295" s="30"/>
    </row>
    <row r="1296">
      <c r="A1296" s="30"/>
      <c r="B1296" s="30"/>
      <c r="C1296" s="30"/>
      <c r="D1296" s="30"/>
      <c r="E1296" s="30"/>
      <c r="F1296" s="30"/>
      <c r="G1296" s="30"/>
      <c r="H1296" s="30"/>
      <c r="I1296" s="30"/>
      <c r="J1296" s="30"/>
      <c r="K1296" s="30"/>
      <c r="L1296" s="30"/>
      <c r="M1296" s="30"/>
      <c r="N1296" s="30"/>
      <c r="O1296" s="30"/>
      <c r="P1296" s="30"/>
      <c r="Q1296" s="30"/>
      <c r="R1296" s="30"/>
      <c r="S1296" s="30"/>
      <c r="T1296" s="30"/>
      <c r="U1296" s="30"/>
      <c r="V1296" s="30"/>
      <c r="W1296" s="30"/>
      <c r="X1296" s="30"/>
    </row>
    <row r="1297">
      <c r="A1297" s="30"/>
      <c r="B1297" s="30"/>
      <c r="C1297" s="30"/>
      <c r="D1297" s="30"/>
      <c r="E1297" s="30"/>
      <c r="F1297" s="30"/>
      <c r="G1297" s="30"/>
      <c r="H1297" s="30"/>
      <c r="I1297" s="30"/>
      <c r="J1297" s="30"/>
      <c r="K1297" s="30"/>
      <c r="L1297" s="30"/>
      <c r="M1297" s="30"/>
      <c r="N1297" s="30"/>
      <c r="O1297" s="30"/>
      <c r="P1297" s="30"/>
      <c r="Q1297" s="30"/>
      <c r="R1297" s="30"/>
      <c r="S1297" s="30"/>
      <c r="T1297" s="30"/>
      <c r="U1297" s="30"/>
      <c r="V1297" s="30"/>
      <c r="W1297" s="30"/>
      <c r="X1297" s="30"/>
    </row>
    <row r="1298">
      <c r="A1298" s="30"/>
      <c r="B1298" s="30"/>
      <c r="C1298" s="30"/>
      <c r="D1298" s="30"/>
      <c r="E1298" s="30"/>
      <c r="F1298" s="30"/>
      <c r="G1298" s="30"/>
      <c r="H1298" s="30"/>
      <c r="I1298" s="30"/>
      <c r="J1298" s="30"/>
      <c r="K1298" s="30"/>
      <c r="L1298" s="30"/>
      <c r="M1298" s="30"/>
      <c r="N1298" s="30"/>
      <c r="O1298" s="30"/>
      <c r="P1298" s="30"/>
      <c r="Q1298" s="30"/>
      <c r="R1298" s="30"/>
      <c r="S1298" s="30"/>
      <c r="T1298" s="30"/>
      <c r="U1298" s="30"/>
      <c r="V1298" s="30"/>
      <c r="W1298" s="30"/>
      <c r="X1298" s="30"/>
    </row>
    <row r="1299">
      <c r="A1299" s="30"/>
      <c r="B1299" s="30"/>
      <c r="C1299" s="30"/>
      <c r="D1299" s="30"/>
      <c r="E1299" s="30"/>
      <c r="F1299" s="30"/>
      <c r="G1299" s="30"/>
      <c r="H1299" s="30"/>
      <c r="I1299" s="30"/>
      <c r="J1299" s="30"/>
      <c r="K1299" s="30"/>
      <c r="L1299" s="30"/>
      <c r="M1299" s="30"/>
      <c r="N1299" s="30"/>
      <c r="O1299" s="30"/>
      <c r="P1299" s="30"/>
      <c r="Q1299" s="30"/>
      <c r="R1299" s="30"/>
      <c r="S1299" s="30"/>
      <c r="T1299" s="30"/>
      <c r="U1299" s="30"/>
      <c r="V1299" s="30"/>
      <c r="W1299" s="30"/>
      <c r="X1299" s="30"/>
    </row>
    <row r="1300">
      <c r="A1300" s="30"/>
      <c r="B1300" s="30"/>
      <c r="C1300" s="30"/>
      <c r="D1300" s="30"/>
      <c r="E1300" s="30"/>
      <c r="F1300" s="30"/>
      <c r="G1300" s="30"/>
      <c r="H1300" s="30"/>
      <c r="I1300" s="30"/>
      <c r="J1300" s="30"/>
      <c r="K1300" s="30"/>
      <c r="L1300" s="30"/>
      <c r="M1300" s="30"/>
      <c r="N1300" s="30"/>
      <c r="O1300" s="30"/>
      <c r="P1300" s="30"/>
      <c r="Q1300" s="30"/>
      <c r="R1300" s="30"/>
      <c r="S1300" s="30"/>
      <c r="T1300" s="30"/>
      <c r="U1300" s="30"/>
      <c r="V1300" s="30"/>
      <c r="W1300" s="30"/>
      <c r="X1300" s="30"/>
    </row>
    <row r="1301">
      <c r="A1301" s="30"/>
      <c r="B1301" s="30"/>
      <c r="C1301" s="30"/>
      <c r="D1301" s="30"/>
      <c r="E1301" s="30"/>
      <c r="F1301" s="30"/>
      <c r="G1301" s="30"/>
      <c r="H1301" s="30"/>
      <c r="I1301" s="30"/>
      <c r="J1301" s="30"/>
      <c r="K1301" s="30"/>
      <c r="L1301" s="30"/>
      <c r="M1301" s="30"/>
      <c r="N1301" s="30"/>
      <c r="O1301" s="30"/>
      <c r="P1301" s="30"/>
      <c r="Q1301" s="30"/>
      <c r="R1301" s="30"/>
      <c r="S1301" s="30"/>
      <c r="T1301" s="30"/>
      <c r="U1301" s="30"/>
      <c r="V1301" s="30"/>
      <c r="W1301" s="30"/>
      <c r="X1301" s="30"/>
    </row>
    <row r="1302">
      <c r="A1302" s="30"/>
      <c r="B1302" s="30"/>
      <c r="C1302" s="30"/>
      <c r="D1302" s="30"/>
      <c r="E1302" s="30"/>
      <c r="F1302" s="30"/>
      <c r="G1302" s="30"/>
      <c r="H1302" s="30"/>
      <c r="I1302" s="30"/>
      <c r="J1302" s="30"/>
      <c r="K1302" s="30"/>
      <c r="L1302" s="30"/>
      <c r="M1302" s="30"/>
      <c r="N1302" s="30"/>
      <c r="O1302" s="30"/>
      <c r="P1302" s="30"/>
      <c r="Q1302" s="30"/>
      <c r="R1302" s="30"/>
      <c r="S1302" s="30"/>
      <c r="T1302" s="30"/>
      <c r="U1302" s="30"/>
      <c r="V1302" s="30"/>
      <c r="W1302" s="30"/>
      <c r="X1302" s="30"/>
    </row>
    <row r="1303">
      <c r="A1303" s="30"/>
      <c r="B1303" s="30"/>
      <c r="C1303" s="30"/>
      <c r="D1303" s="30"/>
      <c r="E1303" s="30"/>
      <c r="F1303" s="30"/>
      <c r="G1303" s="30"/>
      <c r="H1303" s="30"/>
      <c r="I1303" s="30"/>
      <c r="J1303" s="30"/>
      <c r="K1303" s="30"/>
      <c r="L1303" s="30"/>
      <c r="M1303" s="30"/>
      <c r="N1303" s="30"/>
      <c r="O1303" s="30"/>
      <c r="P1303" s="30"/>
      <c r="Q1303" s="30"/>
      <c r="R1303" s="30"/>
      <c r="S1303" s="30"/>
      <c r="T1303" s="30"/>
      <c r="U1303" s="30"/>
      <c r="V1303" s="30"/>
      <c r="W1303" s="30"/>
      <c r="X1303" s="30"/>
    </row>
    <row r="1304">
      <c r="A1304" s="30"/>
      <c r="B1304" s="30"/>
      <c r="C1304" s="30"/>
      <c r="D1304" s="30"/>
      <c r="E1304" s="30"/>
      <c r="F1304" s="30"/>
      <c r="G1304" s="30"/>
      <c r="H1304" s="30"/>
      <c r="I1304" s="30"/>
      <c r="J1304" s="30"/>
      <c r="K1304" s="30"/>
      <c r="L1304" s="30"/>
      <c r="M1304" s="30"/>
      <c r="N1304" s="30"/>
      <c r="O1304" s="30"/>
      <c r="P1304" s="30"/>
      <c r="Q1304" s="30"/>
      <c r="R1304" s="30"/>
      <c r="S1304" s="30"/>
      <c r="T1304" s="30"/>
      <c r="U1304" s="30"/>
      <c r="V1304" s="30"/>
      <c r="W1304" s="30"/>
      <c r="X1304" s="30"/>
    </row>
    <row r="1305">
      <c r="A1305" s="30"/>
      <c r="B1305" s="30"/>
      <c r="C1305" s="30"/>
      <c r="D1305" s="30"/>
      <c r="E1305" s="30"/>
      <c r="F1305" s="30"/>
      <c r="G1305" s="30"/>
      <c r="H1305" s="30"/>
      <c r="I1305" s="30"/>
      <c r="J1305" s="30"/>
      <c r="K1305" s="30"/>
      <c r="L1305" s="30"/>
      <c r="M1305" s="30"/>
      <c r="N1305" s="30"/>
      <c r="O1305" s="30"/>
      <c r="P1305" s="30"/>
      <c r="Q1305" s="30"/>
      <c r="R1305" s="30"/>
      <c r="S1305" s="30"/>
      <c r="T1305" s="30"/>
      <c r="U1305" s="30"/>
      <c r="V1305" s="30"/>
      <c r="W1305" s="30"/>
      <c r="X1305" s="30"/>
    </row>
    <row r="1306">
      <c r="A1306" s="30"/>
      <c r="B1306" s="30"/>
      <c r="C1306" s="30"/>
      <c r="D1306" s="30"/>
      <c r="E1306" s="30"/>
      <c r="F1306" s="30"/>
      <c r="G1306" s="30"/>
      <c r="H1306" s="30"/>
      <c r="I1306" s="30"/>
      <c r="J1306" s="30"/>
      <c r="K1306" s="30"/>
      <c r="L1306" s="30"/>
      <c r="M1306" s="30"/>
      <c r="N1306" s="30"/>
      <c r="O1306" s="30"/>
      <c r="P1306" s="30"/>
      <c r="Q1306" s="30"/>
      <c r="R1306" s="30"/>
      <c r="S1306" s="30"/>
      <c r="T1306" s="30"/>
      <c r="U1306" s="30"/>
      <c r="V1306" s="30"/>
      <c r="W1306" s="30"/>
      <c r="X1306" s="30"/>
    </row>
    <row r="1307">
      <c r="A1307" s="30"/>
      <c r="B1307" s="30"/>
      <c r="C1307" s="30"/>
      <c r="D1307" s="30"/>
      <c r="E1307" s="30"/>
      <c r="F1307" s="30"/>
      <c r="G1307" s="30"/>
      <c r="H1307" s="30"/>
      <c r="I1307" s="30"/>
      <c r="J1307" s="30"/>
      <c r="K1307" s="30"/>
      <c r="L1307" s="30"/>
      <c r="M1307" s="30"/>
      <c r="N1307" s="30"/>
      <c r="O1307" s="30"/>
      <c r="P1307" s="30"/>
      <c r="Q1307" s="30"/>
      <c r="R1307" s="30"/>
      <c r="S1307" s="30"/>
      <c r="T1307" s="30"/>
      <c r="U1307" s="30"/>
      <c r="V1307" s="30"/>
      <c r="W1307" s="30"/>
      <c r="X1307" s="30"/>
    </row>
    <row r="1308">
      <c r="A1308" s="30"/>
      <c r="B1308" s="30"/>
      <c r="C1308" s="30"/>
      <c r="D1308" s="30"/>
      <c r="E1308" s="30"/>
      <c r="F1308" s="30"/>
      <c r="G1308" s="30"/>
      <c r="H1308" s="30"/>
      <c r="I1308" s="30"/>
      <c r="J1308" s="30"/>
      <c r="K1308" s="30"/>
      <c r="L1308" s="30"/>
      <c r="M1308" s="30"/>
      <c r="N1308" s="30"/>
      <c r="O1308" s="30"/>
      <c r="P1308" s="30"/>
      <c r="Q1308" s="30"/>
      <c r="R1308" s="30"/>
      <c r="S1308" s="30"/>
      <c r="T1308" s="30"/>
      <c r="U1308" s="30"/>
      <c r="V1308" s="30"/>
      <c r="W1308" s="30"/>
      <c r="X1308" s="30"/>
    </row>
    <row r="1309">
      <c r="A1309" s="30"/>
      <c r="B1309" s="30"/>
      <c r="C1309" s="30"/>
      <c r="D1309" s="30"/>
      <c r="E1309" s="30"/>
      <c r="F1309" s="30"/>
      <c r="G1309" s="30"/>
      <c r="H1309" s="30"/>
      <c r="I1309" s="30"/>
      <c r="J1309" s="30"/>
      <c r="K1309" s="30"/>
      <c r="L1309" s="30"/>
      <c r="M1309" s="30"/>
      <c r="N1309" s="30"/>
      <c r="O1309" s="30"/>
      <c r="P1309" s="30"/>
      <c r="Q1309" s="30"/>
      <c r="R1309" s="30"/>
      <c r="S1309" s="30"/>
      <c r="T1309" s="30"/>
      <c r="U1309" s="30"/>
      <c r="V1309" s="30"/>
      <c r="W1309" s="30"/>
      <c r="X1309" s="30"/>
    </row>
    <row r="1310">
      <c r="A1310" s="30"/>
      <c r="B1310" s="30"/>
      <c r="C1310" s="30"/>
      <c r="D1310" s="30"/>
      <c r="E1310" s="30"/>
      <c r="F1310" s="30"/>
      <c r="G1310" s="30"/>
      <c r="H1310" s="30"/>
      <c r="I1310" s="30"/>
      <c r="J1310" s="30"/>
      <c r="K1310" s="30"/>
      <c r="L1310" s="30"/>
      <c r="M1310" s="30"/>
      <c r="N1310" s="30"/>
      <c r="O1310" s="30"/>
      <c r="P1310" s="30"/>
      <c r="Q1310" s="30"/>
      <c r="R1310" s="30"/>
      <c r="S1310" s="30"/>
      <c r="T1310" s="30"/>
      <c r="U1310" s="30"/>
      <c r="V1310" s="30"/>
      <c r="W1310" s="30"/>
      <c r="X1310" s="30"/>
    </row>
    <row r="1311">
      <c r="A1311" s="30"/>
      <c r="B1311" s="30"/>
      <c r="C1311" s="30"/>
      <c r="D1311" s="30"/>
      <c r="E1311" s="30"/>
      <c r="F1311" s="30"/>
      <c r="G1311" s="30"/>
      <c r="H1311" s="30"/>
      <c r="I1311" s="30"/>
      <c r="J1311" s="30"/>
      <c r="K1311" s="30"/>
      <c r="L1311" s="30"/>
      <c r="M1311" s="30"/>
      <c r="N1311" s="30"/>
      <c r="O1311" s="30"/>
      <c r="P1311" s="30"/>
      <c r="Q1311" s="30"/>
      <c r="R1311" s="30"/>
      <c r="S1311" s="30"/>
      <c r="T1311" s="30"/>
      <c r="U1311" s="30"/>
      <c r="V1311" s="30"/>
      <c r="W1311" s="30"/>
      <c r="X1311" s="30"/>
    </row>
    <row r="1312">
      <c r="A1312" s="30"/>
      <c r="B1312" s="30"/>
      <c r="C1312" s="30"/>
      <c r="D1312" s="30"/>
      <c r="E1312" s="30"/>
      <c r="F1312" s="30"/>
      <c r="G1312" s="30"/>
      <c r="H1312" s="30"/>
      <c r="I1312" s="30"/>
      <c r="J1312" s="30"/>
      <c r="K1312" s="30"/>
      <c r="L1312" s="30"/>
      <c r="M1312" s="30"/>
      <c r="N1312" s="30"/>
      <c r="O1312" s="30"/>
      <c r="P1312" s="30"/>
      <c r="Q1312" s="30"/>
      <c r="R1312" s="30"/>
      <c r="S1312" s="30"/>
      <c r="T1312" s="30"/>
      <c r="U1312" s="30"/>
      <c r="V1312" s="30"/>
      <c r="W1312" s="30"/>
      <c r="X1312" s="30"/>
    </row>
    <row r="1313">
      <c r="A1313" s="30"/>
      <c r="B1313" s="30"/>
      <c r="C1313" s="30"/>
      <c r="D1313" s="30"/>
      <c r="E1313" s="30"/>
      <c r="F1313" s="30"/>
      <c r="G1313" s="30"/>
      <c r="H1313" s="30"/>
      <c r="I1313" s="30"/>
      <c r="J1313" s="30"/>
      <c r="K1313" s="30"/>
      <c r="L1313" s="30"/>
      <c r="M1313" s="30"/>
      <c r="N1313" s="30"/>
      <c r="O1313" s="30"/>
      <c r="P1313" s="30"/>
      <c r="Q1313" s="30"/>
      <c r="R1313" s="30"/>
      <c r="S1313" s="30"/>
      <c r="T1313" s="30"/>
      <c r="U1313" s="30"/>
      <c r="V1313" s="30"/>
      <c r="W1313" s="30"/>
      <c r="X1313" s="30"/>
    </row>
    <row r="1314">
      <c r="A1314" s="30"/>
      <c r="B1314" s="30"/>
      <c r="C1314" s="30"/>
      <c r="D1314" s="30"/>
      <c r="E1314" s="30"/>
      <c r="F1314" s="30"/>
      <c r="G1314" s="30"/>
      <c r="H1314" s="30"/>
      <c r="I1314" s="30"/>
      <c r="J1314" s="30"/>
      <c r="K1314" s="30"/>
      <c r="L1314" s="30"/>
      <c r="M1314" s="30"/>
      <c r="N1314" s="30"/>
      <c r="O1314" s="30"/>
      <c r="P1314" s="30"/>
      <c r="Q1314" s="30"/>
      <c r="R1314" s="30"/>
      <c r="S1314" s="30"/>
      <c r="T1314" s="30"/>
      <c r="U1314" s="30"/>
      <c r="V1314" s="30"/>
      <c r="W1314" s="30"/>
      <c r="X1314" s="30"/>
    </row>
    <row r="1315">
      <c r="A1315" s="30"/>
      <c r="B1315" s="30"/>
      <c r="C1315" s="30"/>
      <c r="D1315" s="30"/>
      <c r="E1315" s="30"/>
      <c r="F1315" s="30"/>
      <c r="G1315" s="30"/>
      <c r="H1315" s="30"/>
      <c r="I1315" s="30"/>
      <c r="J1315" s="30"/>
      <c r="K1315" s="30"/>
      <c r="L1315" s="30"/>
      <c r="M1315" s="30"/>
      <c r="N1315" s="30"/>
      <c r="O1315" s="30"/>
      <c r="P1315" s="30"/>
      <c r="Q1315" s="30"/>
      <c r="R1315" s="30"/>
      <c r="S1315" s="30"/>
      <c r="T1315" s="30"/>
      <c r="U1315" s="30"/>
      <c r="V1315" s="30"/>
      <c r="W1315" s="30"/>
      <c r="X1315" s="30"/>
    </row>
    <row r="1316">
      <c r="A1316" s="30"/>
      <c r="B1316" s="30"/>
      <c r="C1316" s="30"/>
      <c r="D1316" s="30"/>
      <c r="E1316" s="30"/>
      <c r="F1316" s="30"/>
      <c r="G1316" s="30"/>
      <c r="H1316" s="30"/>
      <c r="I1316" s="30"/>
      <c r="J1316" s="30"/>
      <c r="K1316" s="30"/>
      <c r="L1316" s="30"/>
      <c r="M1316" s="30"/>
      <c r="N1316" s="30"/>
      <c r="O1316" s="30"/>
      <c r="P1316" s="30"/>
      <c r="Q1316" s="30"/>
      <c r="R1316" s="30"/>
      <c r="S1316" s="30"/>
      <c r="T1316" s="30"/>
      <c r="U1316" s="30"/>
      <c r="V1316" s="30"/>
      <c r="W1316" s="30"/>
      <c r="X1316" s="30"/>
    </row>
    <row r="1317">
      <c r="A1317" s="30"/>
      <c r="B1317" s="30"/>
      <c r="C1317" s="30"/>
      <c r="D1317" s="30"/>
      <c r="E1317" s="30"/>
      <c r="F1317" s="30"/>
      <c r="G1317" s="30"/>
      <c r="H1317" s="30"/>
      <c r="I1317" s="30"/>
      <c r="J1317" s="30"/>
      <c r="K1317" s="30"/>
      <c r="L1317" s="30"/>
      <c r="M1317" s="30"/>
      <c r="N1317" s="30"/>
      <c r="O1317" s="30"/>
      <c r="P1317" s="30"/>
      <c r="Q1317" s="30"/>
      <c r="R1317" s="30"/>
      <c r="S1317" s="30"/>
      <c r="T1317" s="30"/>
      <c r="U1317" s="30"/>
      <c r="V1317" s="30"/>
      <c r="W1317" s="30"/>
      <c r="X1317" s="30"/>
    </row>
    <row r="1318">
      <c r="A1318" s="30"/>
      <c r="B1318" s="30"/>
      <c r="C1318" s="30"/>
      <c r="D1318" s="30"/>
      <c r="E1318" s="30"/>
      <c r="F1318" s="30"/>
      <c r="G1318" s="30"/>
      <c r="H1318" s="30"/>
      <c r="I1318" s="30"/>
      <c r="J1318" s="30"/>
      <c r="K1318" s="30"/>
      <c r="L1318" s="30"/>
      <c r="M1318" s="30"/>
      <c r="N1318" s="30"/>
      <c r="O1318" s="30"/>
      <c r="P1318" s="30"/>
      <c r="Q1318" s="30"/>
      <c r="R1318" s="30"/>
      <c r="S1318" s="30"/>
      <c r="T1318" s="30"/>
      <c r="U1318" s="30"/>
      <c r="V1318" s="30"/>
      <c r="W1318" s="30"/>
      <c r="X1318" s="30"/>
    </row>
    <row r="1319">
      <c r="A1319" s="30"/>
      <c r="B1319" s="30"/>
      <c r="C1319" s="30"/>
      <c r="D1319" s="30"/>
      <c r="E1319" s="30"/>
      <c r="F1319" s="30"/>
      <c r="G1319" s="30"/>
      <c r="H1319" s="30"/>
      <c r="I1319" s="30"/>
      <c r="J1319" s="30"/>
      <c r="K1319" s="30"/>
      <c r="L1319" s="30"/>
      <c r="M1319" s="30"/>
      <c r="N1319" s="30"/>
      <c r="O1319" s="30"/>
      <c r="P1319" s="30"/>
      <c r="Q1319" s="30"/>
      <c r="R1319" s="30"/>
      <c r="S1319" s="30"/>
      <c r="T1319" s="30"/>
      <c r="U1319" s="30"/>
      <c r="V1319" s="30"/>
      <c r="W1319" s="30"/>
      <c r="X1319" s="30"/>
    </row>
    <row r="1320">
      <c r="A1320" s="30"/>
      <c r="B1320" s="30"/>
      <c r="C1320" s="30"/>
      <c r="D1320" s="30"/>
      <c r="E1320" s="30"/>
      <c r="F1320" s="30"/>
      <c r="G1320" s="30"/>
      <c r="H1320" s="30"/>
      <c r="I1320" s="30"/>
      <c r="J1320" s="30"/>
      <c r="K1320" s="30"/>
      <c r="L1320" s="30"/>
      <c r="M1320" s="30"/>
      <c r="N1320" s="30"/>
      <c r="O1320" s="30"/>
      <c r="P1320" s="30"/>
      <c r="Q1320" s="30"/>
      <c r="R1320" s="30"/>
      <c r="S1320" s="30"/>
      <c r="T1320" s="30"/>
      <c r="U1320" s="30"/>
      <c r="V1320" s="30"/>
      <c r="W1320" s="30"/>
      <c r="X1320" s="30"/>
    </row>
    <row r="1321">
      <c r="A1321" s="30"/>
      <c r="B1321" s="30"/>
      <c r="C1321" s="30"/>
      <c r="D1321" s="30"/>
      <c r="E1321" s="30"/>
      <c r="F1321" s="30"/>
      <c r="G1321" s="30"/>
      <c r="H1321" s="30"/>
      <c r="I1321" s="30"/>
      <c r="J1321" s="30"/>
      <c r="K1321" s="30"/>
      <c r="L1321" s="30"/>
      <c r="M1321" s="30"/>
      <c r="N1321" s="30"/>
      <c r="O1321" s="30"/>
      <c r="P1321" s="30"/>
      <c r="Q1321" s="30"/>
      <c r="R1321" s="30"/>
      <c r="S1321" s="30"/>
      <c r="T1321" s="30"/>
      <c r="U1321" s="30"/>
      <c r="V1321" s="30"/>
      <c r="W1321" s="30"/>
      <c r="X1321" s="30"/>
    </row>
    <row r="1322">
      <c r="A1322" s="30"/>
      <c r="B1322" s="30"/>
      <c r="C1322" s="30"/>
      <c r="D1322" s="30"/>
      <c r="E1322" s="30"/>
      <c r="F1322" s="30"/>
      <c r="G1322" s="30"/>
      <c r="H1322" s="30"/>
      <c r="I1322" s="30"/>
      <c r="J1322" s="30"/>
      <c r="K1322" s="30"/>
      <c r="L1322" s="30"/>
      <c r="M1322" s="30"/>
      <c r="N1322" s="30"/>
      <c r="O1322" s="30"/>
      <c r="P1322" s="30"/>
      <c r="Q1322" s="30"/>
      <c r="R1322" s="30"/>
      <c r="S1322" s="30"/>
      <c r="T1322" s="30"/>
      <c r="U1322" s="30"/>
      <c r="V1322" s="30"/>
      <c r="W1322" s="30"/>
      <c r="X1322" s="30"/>
    </row>
    <row r="1323">
      <c r="A1323" s="30"/>
      <c r="B1323" s="30"/>
      <c r="C1323" s="30"/>
      <c r="D1323" s="30"/>
      <c r="E1323" s="30"/>
      <c r="F1323" s="30"/>
      <c r="G1323" s="30"/>
      <c r="H1323" s="30"/>
      <c r="I1323" s="30"/>
      <c r="J1323" s="30"/>
      <c r="K1323" s="30"/>
      <c r="L1323" s="30"/>
      <c r="M1323" s="30"/>
      <c r="N1323" s="30"/>
      <c r="O1323" s="30"/>
      <c r="P1323" s="30"/>
      <c r="Q1323" s="30"/>
      <c r="R1323" s="30"/>
      <c r="S1323" s="30"/>
      <c r="T1323" s="30"/>
      <c r="U1323" s="30"/>
      <c r="V1323" s="30"/>
      <c r="W1323" s="30"/>
      <c r="X1323" s="30"/>
    </row>
    <row r="1324">
      <c r="A1324" s="30"/>
      <c r="B1324" s="30"/>
      <c r="C1324" s="30"/>
      <c r="D1324" s="30"/>
      <c r="E1324" s="30"/>
      <c r="F1324" s="30"/>
      <c r="G1324" s="30"/>
      <c r="H1324" s="30"/>
      <c r="I1324" s="30"/>
      <c r="J1324" s="30"/>
      <c r="K1324" s="30"/>
      <c r="L1324" s="30"/>
      <c r="M1324" s="30"/>
      <c r="N1324" s="30"/>
      <c r="O1324" s="30"/>
      <c r="P1324" s="30"/>
      <c r="Q1324" s="30"/>
      <c r="R1324" s="30"/>
      <c r="S1324" s="30"/>
      <c r="T1324" s="30"/>
      <c r="U1324" s="30"/>
      <c r="V1324" s="30"/>
      <c r="W1324" s="30"/>
      <c r="X1324" s="30"/>
    </row>
    <row r="1325">
      <c r="A1325" s="30"/>
      <c r="B1325" s="30"/>
      <c r="C1325" s="30"/>
      <c r="D1325" s="30"/>
      <c r="E1325" s="30"/>
      <c r="F1325" s="30"/>
      <c r="G1325" s="30"/>
      <c r="H1325" s="30"/>
      <c r="I1325" s="30"/>
      <c r="J1325" s="30"/>
      <c r="K1325" s="30"/>
      <c r="L1325" s="30"/>
      <c r="M1325" s="30"/>
      <c r="N1325" s="30"/>
      <c r="O1325" s="30"/>
      <c r="P1325" s="30"/>
      <c r="Q1325" s="30"/>
      <c r="R1325" s="30"/>
      <c r="S1325" s="30"/>
      <c r="T1325" s="30"/>
      <c r="U1325" s="30"/>
      <c r="V1325" s="30"/>
      <c r="W1325" s="30"/>
      <c r="X1325" s="30"/>
    </row>
    <row r="1326">
      <c r="A1326" s="30"/>
      <c r="B1326" s="30"/>
      <c r="C1326" s="30"/>
      <c r="D1326" s="30"/>
      <c r="E1326" s="30"/>
      <c r="F1326" s="30"/>
      <c r="G1326" s="30"/>
      <c r="H1326" s="30"/>
      <c r="I1326" s="30"/>
      <c r="J1326" s="30"/>
      <c r="K1326" s="30"/>
      <c r="L1326" s="30"/>
      <c r="M1326" s="30"/>
      <c r="N1326" s="30"/>
      <c r="O1326" s="30"/>
      <c r="P1326" s="30"/>
      <c r="Q1326" s="30"/>
      <c r="R1326" s="30"/>
      <c r="S1326" s="30"/>
      <c r="T1326" s="30"/>
      <c r="U1326" s="30"/>
      <c r="V1326" s="30"/>
      <c r="W1326" s="30"/>
      <c r="X1326" s="30"/>
    </row>
    <row r="1327">
      <c r="A1327" s="30"/>
      <c r="B1327" s="30"/>
      <c r="C1327" s="30"/>
      <c r="D1327" s="30"/>
      <c r="E1327" s="30"/>
      <c r="F1327" s="30"/>
      <c r="G1327" s="30"/>
      <c r="H1327" s="30"/>
      <c r="I1327" s="30"/>
      <c r="J1327" s="30"/>
      <c r="K1327" s="30"/>
      <c r="L1327" s="30"/>
      <c r="M1327" s="30"/>
      <c r="N1327" s="30"/>
      <c r="O1327" s="30"/>
      <c r="P1327" s="30"/>
      <c r="Q1327" s="30"/>
      <c r="R1327" s="30"/>
      <c r="S1327" s="30"/>
      <c r="T1327" s="30"/>
      <c r="U1327" s="30"/>
      <c r="V1327" s="30"/>
      <c r="W1327" s="30"/>
      <c r="X1327" s="30"/>
    </row>
    <row r="1328">
      <c r="A1328" s="30"/>
      <c r="B1328" s="30"/>
      <c r="C1328" s="30"/>
      <c r="D1328" s="30"/>
      <c r="E1328" s="30"/>
      <c r="F1328" s="30"/>
      <c r="G1328" s="30"/>
      <c r="H1328" s="30"/>
      <c r="I1328" s="30"/>
      <c r="J1328" s="30"/>
      <c r="K1328" s="30"/>
      <c r="L1328" s="30"/>
      <c r="M1328" s="30"/>
      <c r="N1328" s="30"/>
      <c r="O1328" s="30"/>
      <c r="P1328" s="30"/>
      <c r="Q1328" s="30"/>
      <c r="R1328" s="30"/>
      <c r="S1328" s="30"/>
      <c r="T1328" s="30"/>
      <c r="U1328" s="30"/>
      <c r="V1328" s="30"/>
      <c r="W1328" s="30"/>
      <c r="X1328" s="30"/>
    </row>
    <row r="1329">
      <c r="A1329" s="30"/>
      <c r="B1329" s="30"/>
      <c r="C1329" s="30"/>
      <c r="D1329" s="30"/>
      <c r="E1329" s="30"/>
      <c r="F1329" s="30"/>
      <c r="G1329" s="30"/>
      <c r="H1329" s="30"/>
      <c r="I1329" s="30"/>
      <c r="J1329" s="30"/>
      <c r="K1329" s="30"/>
      <c r="L1329" s="30"/>
      <c r="M1329" s="30"/>
      <c r="N1329" s="30"/>
      <c r="O1329" s="30"/>
      <c r="P1329" s="30"/>
      <c r="Q1329" s="30"/>
      <c r="R1329" s="30"/>
      <c r="S1329" s="30"/>
      <c r="T1329" s="30"/>
      <c r="U1329" s="30"/>
      <c r="V1329" s="30"/>
      <c r="W1329" s="30"/>
      <c r="X1329" s="30"/>
    </row>
    <row r="1330">
      <c r="A1330" s="30"/>
      <c r="B1330" s="30"/>
      <c r="C1330" s="30"/>
      <c r="D1330" s="30"/>
      <c r="E1330" s="30"/>
      <c r="F1330" s="30"/>
      <c r="G1330" s="30"/>
      <c r="H1330" s="30"/>
      <c r="I1330" s="30"/>
      <c r="J1330" s="30"/>
      <c r="K1330" s="30"/>
      <c r="L1330" s="30"/>
      <c r="M1330" s="30"/>
      <c r="N1330" s="30"/>
      <c r="O1330" s="30"/>
      <c r="P1330" s="30"/>
      <c r="Q1330" s="30"/>
      <c r="R1330" s="30"/>
      <c r="S1330" s="30"/>
      <c r="T1330" s="30"/>
      <c r="U1330" s="30"/>
      <c r="V1330" s="30"/>
      <c r="W1330" s="30"/>
      <c r="X1330" s="30"/>
    </row>
    <row r="1331">
      <c r="A1331" s="30"/>
      <c r="B1331" s="30"/>
      <c r="C1331" s="30"/>
      <c r="D1331" s="30"/>
      <c r="E1331" s="30"/>
      <c r="F1331" s="30"/>
      <c r="G1331" s="30"/>
      <c r="H1331" s="30"/>
      <c r="I1331" s="30"/>
      <c r="J1331" s="30"/>
      <c r="K1331" s="30"/>
      <c r="L1331" s="30"/>
      <c r="M1331" s="30"/>
      <c r="N1331" s="30"/>
      <c r="O1331" s="30"/>
      <c r="P1331" s="30"/>
      <c r="Q1331" s="30"/>
      <c r="R1331" s="30"/>
      <c r="S1331" s="30"/>
      <c r="T1331" s="30"/>
      <c r="U1331" s="30"/>
      <c r="V1331" s="30"/>
      <c r="W1331" s="30"/>
      <c r="X1331" s="30"/>
    </row>
    <row r="1332">
      <c r="A1332" s="30"/>
      <c r="B1332" s="30"/>
      <c r="C1332" s="30"/>
      <c r="D1332" s="30"/>
      <c r="E1332" s="30"/>
      <c r="F1332" s="30"/>
      <c r="G1332" s="30"/>
      <c r="H1332" s="30"/>
      <c r="I1332" s="30"/>
      <c r="J1332" s="30"/>
      <c r="K1332" s="30"/>
      <c r="L1332" s="30"/>
      <c r="M1332" s="30"/>
      <c r="N1332" s="30"/>
      <c r="O1332" s="30"/>
      <c r="P1332" s="30"/>
      <c r="Q1332" s="30"/>
      <c r="R1332" s="30"/>
      <c r="S1332" s="30"/>
      <c r="T1332" s="30"/>
      <c r="U1332" s="30"/>
      <c r="V1332" s="30"/>
      <c r="W1332" s="30"/>
      <c r="X1332" s="30"/>
    </row>
    <row r="1333">
      <c r="A1333" s="30"/>
      <c r="B1333" s="30"/>
      <c r="C1333" s="30"/>
      <c r="D1333" s="30"/>
      <c r="E1333" s="30"/>
      <c r="F1333" s="30"/>
      <c r="G1333" s="30"/>
      <c r="H1333" s="30"/>
      <c r="I1333" s="30"/>
      <c r="J1333" s="30"/>
      <c r="K1333" s="30"/>
      <c r="L1333" s="30"/>
      <c r="M1333" s="30"/>
      <c r="N1333" s="30"/>
      <c r="O1333" s="30"/>
      <c r="P1333" s="30"/>
      <c r="Q1333" s="30"/>
      <c r="R1333" s="30"/>
      <c r="S1333" s="30"/>
      <c r="T1333" s="30"/>
      <c r="U1333" s="30"/>
      <c r="V1333" s="30"/>
      <c r="W1333" s="30"/>
      <c r="X1333" s="30"/>
    </row>
    <row r="1334">
      <c r="A1334" s="30"/>
      <c r="B1334" s="30"/>
      <c r="C1334" s="30"/>
      <c r="D1334" s="30"/>
      <c r="E1334" s="30"/>
      <c r="F1334" s="30"/>
      <c r="G1334" s="30"/>
      <c r="H1334" s="30"/>
      <c r="I1334" s="30"/>
      <c r="J1334" s="30"/>
      <c r="K1334" s="30"/>
      <c r="L1334" s="30"/>
      <c r="M1334" s="30"/>
      <c r="N1334" s="30"/>
      <c r="O1334" s="30"/>
      <c r="P1334" s="30"/>
      <c r="Q1334" s="30"/>
      <c r="R1334" s="30"/>
      <c r="S1334" s="30"/>
      <c r="T1334" s="30"/>
      <c r="U1334" s="30"/>
      <c r="V1334" s="30"/>
      <c r="W1334" s="30"/>
      <c r="X1334" s="30"/>
    </row>
    <row r="1335">
      <c r="A1335" s="30"/>
      <c r="B1335" s="30"/>
      <c r="C1335" s="30"/>
      <c r="D1335" s="30"/>
      <c r="E1335" s="30"/>
      <c r="F1335" s="30"/>
      <c r="G1335" s="30"/>
      <c r="H1335" s="30"/>
      <c r="I1335" s="30"/>
      <c r="J1335" s="30"/>
      <c r="K1335" s="30"/>
      <c r="L1335" s="30"/>
      <c r="M1335" s="30"/>
      <c r="N1335" s="30"/>
      <c r="O1335" s="30"/>
      <c r="P1335" s="30"/>
      <c r="Q1335" s="30"/>
      <c r="R1335" s="30"/>
      <c r="S1335" s="30"/>
      <c r="T1335" s="30"/>
      <c r="U1335" s="30"/>
      <c r="V1335" s="30"/>
      <c r="W1335" s="30"/>
      <c r="X1335" s="30"/>
    </row>
    <row r="1336">
      <c r="A1336" s="30"/>
      <c r="B1336" s="30"/>
      <c r="C1336" s="30"/>
      <c r="D1336" s="30"/>
      <c r="E1336" s="30"/>
      <c r="F1336" s="30"/>
      <c r="G1336" s="30"/>
      <c r="H1336" s="30"/>
      <c r="I1336" s="30"/>
      <c r="J1336" s="30"/>
      <c r="K1336" s="30"/>
      <c r="L1336" s="30"/>
      <c r="M1336" s="30"/>
      <c r="N1336" s="30"/>
      <c r="O1336" s="30"/>
      <c r="P1336" s="30"/>
      <c r="Q1336" s="30"/>
      <c r="R1336" s="30"/>
      <c r="S1336" s="30"/>
      <c r="T1336" s="30"/>
      <c r="U1336" s="30"/>
      <c r="V1336" s="30"/>
      <c r="W1336" s="30"/>
      <c r="X1336" s="30"/>
    </row>
    <row r="1337">
      <c r="A1337" s="30"/>
      <c r="B1337" s="30"/>
      <c r="C1337" s="30"/>
      <c r="D1337" s="30"/>
      <c r="E1337" s="30"/>
      <c r="F1337" s="30"/>
      <c r="G1337" s="30"/>
      <c r="H1337" s="30"/>
      <c r="I1337" s="30"/>
      <c r="J1337" s="30"/>
      <c r="K1337" s="30"/>
      <c r="L1337" s="30"/>
      <c r="M1337" s="30"/>
      <c r="N1337" s="30"/>
      <c r="O1337" s="30"/>
      <c r="P1337" s="30"/>
      <c r="Q1337" s="30"/>
      <c r="R1337" s="30"/>
      <c r="S1337" s="30"/>
      <c r="T1337" s="30"/>
      <c r="U1337" s="30"/>
      <c r="V1337" s="30"/>
      <c r="W1337" s="30"/>
      <c r="X1337" s="30"/>
    </row>
    <row r="1338">
      <c r="A1338" s="30"/>
      <c r="B1338" s="30"/>
      <c r="C1338" s="30"/>
      <c r="D1338" s="30"/>
      <c r="E1338" s="30"/>
      <c r="F1338" s="30"/>
      <c r="G1338" s="30"/>
      <c r="H1338" s="30"/>
      <c r="I1338" s="30"/>
      <c r="J1338" s="30"/>
      <c r="K1338" s="30"/>
      <c r="L1338" s="30"/>
      <c r="M1338" s="30"/>
      <c r="N1338" s="30"/>
      <c r="O1338" s="30"/>
      <c r="P1338" s="30"/>
      <c r="Q1338" s="30"/>
      <c r="R1338" s="30"/>
      <c r="S1338" s="30"/>
      <c r="T1338" s="30"/>
      <c r="U1338" s="30"/>
      <c r="V1338" s="30"/>
      <c r="W1338" s="30"/>
      <c r="X1338" s="30"/>
    </row>
    <row r="1339">
      <c r="A1339" s="30"/>
      <c r="B1339" s="30"/>
      <c r="C1339" s="30"/>
      <c r="D1339" s="30"/>
      <c r="E1339" s="30"/>
      <c r="F1339" s="30"/>
      <c r="G1339" s="30"/>
      <c r="H1339" s="30"/>
      <c r="I1339" s="30"/>
      <c r="J1339" s="30"/>
      <c r="K1339" s="30"/>
      <c r="L1339" s="30"/>
      <c r="M1339" s="30"/>
      <c r="N1339" s="30"/>
      <c r="O1339" s="30"/>
      <c r="P1339" s="30"/>
      <c r="Q1339" s="30"/>
      <c r="R1339" s="30"/>
      <c r="S1339" s="30"/>
      <c r="T1339" s="30"/>
      <c r="U1339" s="30"/>
      <c r="V1339" s="30"/>
      <c r="W1339" s="30"/>
      <c r="X1339" s="30"/>
    </row>
    <row r="1340">
      <c r="A1340" s="30"/>
      <c r="B1340" s="30"/>
      <c r="C1340" s="30"/>
      <c r="D1340" s="30"/>
      <c r="E1340" s="30"/>
      <c r="F1340" s="30"/>
      <c r="G1340" s="30"/>
      <c r="H1340" s="30"/>
      <c r="I1340" s="30"/>
      <c r="J1340" s="30"/>
      <c r="K1340" s="30"/>
      <c r="L1340" s="30"/>
      <c r="M1340" s="30"/>
      <c r="N1340" s="30"/>
      <c r="O1340" s="30"/>
      <c r="P1340" s="30"/>
      <c r="Q1340" s="30"/>
      <c r="R1340" s="30"/>
      <c r="S1340" s="30"/>
      <c r="T1340" s="30"/>
      <c r="U1340" s="30"/>
      <c r="V1340" s="30"/>
      <c r="W1340" s="30"/>
      <c r="X1340" s="30"/>
    </row>
    <row r="1341">
      <c r="A1341" s="30"/>
      <c r="B1341" s="30"/>
      <c r="C1341" s="30"/>
      <c r="D1341" s="30"/>
      <c r="E1341" s="30"/>
      <c r="F1341" s="30"/>
      <c r="G1341" s="30"/>
      <c r="H1341" s="30"/>
      <c r="I1341" s="30"/>
      <c r="J1341" s="30"/>
      <c r="K1341" s="30"/>
      <c r="L1341" s="30"/>
      <c r="M1341" s="30"/>
      <c r="N1341" s="30"/>
      <c r="O1341" s="30"/>
      <c r="P1341" s="30"/>
      <c r="Q1341" s="30"/>
      <c r="R1341" s="30"/>
      <c r="S1341" s="30"/>
      <c r="T1341" s="30"/>
      <c r="U1341" s="30"/>
      <c r="V1341" s="30"/>
      <c r="W1341" s="30"/>
      <c r="X1341" s="30"/>
    </row>
    <row r="1342">
      <c r="A1342" s="30"/>
      <c r="B1342" s="30"/>
      <c r="C1342" s="30"/>
      <c r="D1342" s="30"/>
      <c r="E1342" s="30"/>
      <c r="F1342" s="30"/>
      <c r="G1342" s="30"/>
      <c r="H1342" s="30"/>
      <c r="I1342" s="30"/>
      <c r="J1342" s="30"/>
      <c r="K1342" s="30"/>
      <c r="L1342" s="30"/>
      <c r="M1342" s="30"/>
      <c r="N1342" s="30"/>
      <c r="O1342" s="30"/>
      <c r="P1342" s="30"/>
      <c r="Q1342" s="30"/>
      <c r="R1342" s="30"/>
      <c r="S1342" s="30"/>
      <c r="T1342" s="30"/>
      <c r="U1342" s="30"/>
      <c r="V1342" s="30"/>
      <c r="W1342" s="30"/>
      <c r="X1342" s="30"/>
    </row>
    <row r="1343">
      <c r="A1343" s="30"/>
      <c r="B1343" s="30"/>
      <c r="C1343" s="30"/>
      <c r="D1343" s="30"/>
      <c r="E1343" s="30"/>
      <c r="F1343" s="30"/>
      <c r="G1343" s="30"/>
      <c r="H1343" s="30"/>
      <c r="I1343" s="30"/>
      <c r="J1343" s="30"/>
      <c r="K1343" s="30"/>
      <c r="L1343" s="30"/>
      <c r="M1343" s="30"/>
      <c r="N1343" s="30"/>
      <c r="O1343" s="30"/>
      <c r="P1343" s="30"/>
      <c r="Q1343" s="30"/>
      <c r="R1343" s="30"/>
      <c r="S1343" s="30"/>
      <c r="T1343" s="30"/>
      <c r="U1343" s="30"/>
      <c r="V1343" s="30"/>
      <c r="W1343" s="30"/>
      <c r="X1343" s="30"/>
    </row>
    <row r="1344">
      <c r="A1344" s="30"/>
      <c r="B1344" s="30"/>
      <c r="C1344" s="30"/>
      <c r="D1344" s="30"/>
      <c r="E1344" s="30"/>
      <c r="F1344" s="30"/>
      <c r="G1344" s="30"/>
      <c r="H1344" s="30"/>
      <c r="I1344" s="30"/>
      <c r="J1344" s="30"/>
      <c r="K1344" s="30"/>
      <c r="L1344" s="30"/>
      <c r="M1344" s="30"/>
      <c r="N1344" s="30"/>
      <c r="O1344" s="30"/>
      <c r="P1344" s="30"/>
      <c r="Q1344" s="30"/>
      <c r="R1344" s="30"/>
      <c r="S1344" s="30"/>
      <c r="T1344" s="30"/>
      <c r="U1344" s="30"/>
      <c r="V1344" s="30"/>
      <c r="W1344" s="30"/>
      <c r="X1344" s="30"/>
    </row>
    <row r="1345">
      <c r="A1345" s="30"/>
      <c r="B1345" s="30"/>
      <c r="C1345" s="30"/>
      <c r="D1345" s="30"/>
      <c r="E1345" s="30"/>
      <c r="F1345" s="30"/>
      <c r="G1345" s="30"/>
      <c r="H1345" s="30"/>
      <c r="I1345" s="30"/>
      <c r="J1345" s="30"/>
      <c r="K1345" s="30"/>
      <c r="L1345" s="30"/>
      <c r="M1345" s="30"/>
      <c r="N1345" s="30"/>
      <c r="O1345" s="30"/>
      <c r="P1345" s="30"/>
      <c r="Q1345" s="30"/>
      <c r="R1345" s="30"/>
      <c r="S1345" s="30"/>
      <c r="T1345" s="30"/>
      <c r="U1345" s="30"/>
      <c r="V1345" s="30"/>
      <c r="W1345" s="30"/>
      <c r="X1345" s="30"/>
    </row>
    <row r="1346">
      <c r="A1346" s="30"/>
      <c r="B1346" s="30"/>
      <c r="C1346" s="30"/>
      <c r="D1346" s="30"/>
      <c r="E1346" s="30"/>
      <c r="F1346" s="30"/>
      <c r="G1346" s="30"/>
      <c r="H1346" s="30"/>
      <c r="I1346" s="30"/>
      <c r="J1346" s="30"/>
      <c r="K1346" s="30"/>
      <c r="L1346" s="30"/>
      <c r="M1346" s="30"/>
      <c r="N1346" s="30"/>
      <c r="O1346" s="30"/>
      <c r="P1346" s="30"/>
      <c r="Q1346" s="30"/>
      <c r="R1346" s="30"/>
      <c r="S1346" s="30"/>
      <c r="T1346" s="30"/>
      <c r="U1346" s="30"/>
      <c r="V1346" s="30"/>
      <c r="W1346" s="30"/>
      <c r="X1346" s="30"/>
    </row>
    <row r="1347">
      <c r="A1347" s="30"/>
      <c r="B1347" s="30"/>
      <c r="C1347" s="30"/>
      <c r="D1347" s="30"/>
      <c r="E1347" s="30"/>
      <c r="F1347" s="30"/>
      <c r="G1347" s="30"/>
      <c r="H1347" s="30"/>
      <c r="I1347" s="30"/>
      <c r="J1347" s="30"/>
      <c r="K1347" s="30"/>
      <c r="L1347" s="30"/>
      <c r="M1347" s="30"/>
      <c r="N1347" s="30"/>
      <c r="O1347" s="30"/>
      <c r="P1347" s="30"/>
      <c r="Q1347" s="30"/>
      <c r="R1347" s="30"/>
      <c r="S1347" s="30"/>
      <c r="T1347" s="30"/>
      <c r="U1347" s="30"/>
      <c r="V1347" s="30"/>
      <c r="W1347" s="30"/>
      <c r="X1347" s="30"/>
    </row>
    <row r="1348">
      <c r="A1348" s="30"/>
      <c r="B1348" s="30"/>
      <c r="C1348" s="30"/>
      <c r="D1348" s="30"/>
      <c r="E1348" s="30"/>
      <c r="F1348" s="30"/>
      <c r="G1348" s="30"/>
      <c r="H1348" s="30"/>
      <c r="I1348" s="30"/>
      <c r="J1348" s="30"/>
      <c r="K1348" s="30"/>
      <c r="L1348" s="30"/>
      <c r="M1348" s="30"/>
      <c r="N1348" s="30"/>
      <c r="O1348" s="30"/>
      <c r="P1348" s="30"/>
      <c r="Q1348" s="30"/>
      <c r="R1348" s="30"/>
      <c r="S1348" s="30"/>
      <c r="T1348" s="30"/>
      <c r="U1348" s="30"/>
      <c r="V1348" s="30"/>
      <c r="W1348" s="30"/>
      <c r="X1348" s="30"/>
    </row>
    <row r="1349">
      <c r="A1349" s="30"/>
      <c r="B1349" s="30"/>
      <c r="C1349" s="30"/>
      <c r="D1349" s="30"/>
      <c r="E1349" s="30"/>
      <c r="F1349" s="30"/>
      <c r="G1349" s="30"/>
      <c r="H1349" s="30"/>
      <c r="I1349" s="30"/>
      <c r="J1349" s="30"/>
      <c r="K1349" s="30"/>
      <c r="L1349" s="30"/>
      <c r="M1349" s="30"/>
      <c r="N1349" s="30"/>
      <c r="O1349" s="30"/>
      <c r="P1349" s="30"/>
      <c r="Q1349" s="30"/>
      <c r="R1349" s="30"/>
      <c r="S1349" s="30"/>
      <c r="T1349" s="30"/>
      <c r="U1349" s="30"/>
      <c r="V1349" s="30"/>
      <c r="W1349" s="30"/>
      <c r="X1349" s="30"/>
    </row>
    <row r="1350">
      <c r="A1350" s="30"/>
      <c r="B1350" s="30"/>
      <c r="C1350" s="30"/>
      <c r="D1350" s="30"/>
      <c r="E1350" s="30"/>
      <c r="F1350" s="30"/>
      <c r="G1350" s="30"/>
      <c r="H1350" s="30"/>
      <c r="I1350" s="30"/>
      <c r="J1350" s="30"/>
      <c r="K1350" s="30"/>
      <c r="L1350" s="30"/>
      <c r="M1350" s="30"/>
      <c r="N1350" s="30"/>
      <c r="O1350" s="30"/>
      <c r="P1350" s="30"/>
      <c r="Q1350" s="30"/>
      <c r="R1350" s="30"/>
      <c r="S1350" s="30"/>
      <c r="T1350" s="30"/>
      <c r="U1350" s="30"/>
      <c r="V1350" s="30"/>
      <c r="W1350" s="30"/>
      <c r="X1350" s="30"/>
    </row>
    <row r="1351">
      <c r="A1351" s="30"/>
      <c r="B1351" s="30"/>
      <c r="C1351" s="30"/>
      <c r="D1351" s="30"/>
      <c r="E1351" s="30"/>
      <c r="F1351" s="30"/>
      <c r="G1351" s="30"/>
      <c r="H1351" s="30"/>
      <c r="I1351" s="30"/>
      <c r="J1351" s="30"/>
      <c r="K1351" s="30"/>
      <c r="L1351" s="30"/>
      <c r="M1351" s="30"/>
      <c r="N1351" s="30"/>
      <c r="O1351" s="30"/>
      <c r="P1351" s="30"/>
      <c r="Q1351" s="30"/>
      <c r="R1351" s="30"/>
      <c r="S1351" s="30"/>
      <c r="T1351" s="30"/>
      <c r="U1351" s="30"/>
      <c r="V1351" s="30"/>
      <c r="W1351" s="30"/>
      <c r="X1351" s="30"/>
    </row>
    <row r="1352">
      <c r="A1352" s="30"/>
      <c r="B1352" s="30"/>
      <c r="C1352" s="30"/>
      <c r="D1352" s="30"/>
      <c r="E1352" s="30"/>
      <c r="F1352" s="30"/>
      <c r="G1352" s="30"/>
      <c r="H1352" s="30"/>
      <c r="I1352" s="30"/>
      <c r="J1352" s="30"/>
      <c r="K1352" s="30"/>
      <c r="L1352" s="30"/>
      <c r="M1352" s="30"/>
      <c r="N1352" s="30"/>
      <c r="O1352" s="30"/>
      <c r="P1352" s="30"/>
      <c r="Q1352" s="30"/>
      <c r="R1352" s="30"/>
      <c r="S1352" s="30"/>
      <c r="T1352" s="30"/>
      <c r="U1352" s="30"/>
      <c r="V1352" s="30"/>
      <c r="W1352" s="30"/>
      <c r="X1352" s="30"/>
    </row>
    <row r="1353">
      <c r="A1353" s="30"/>
      <c r="B1353" s="30"/>
      <c r="C1353" s="30"/>
      <c r="D1353" s="30"/>
      <c r="E1353" s="30"/>
      <c r="F1353" s="30"/>
      <c r="G1353" s="30"/>
      <c r="H1353" s="30"/>
      <c r="I1353" s="30"/>
      <c r="J1353" s="30"/>
      <c r="K1353" s="30"/>
      <c r="L1353" s="30"/>
      <c r="M1353" s="30"/>
      <c r="N1353" s="30"/>
      <c r="O1353" s="30"/>
      <c r="P1353" s="30"/>
      <c r="Q1353" s="30"/>
      <c r="R1353" s="30"/>
      <c r="S1353" s="30"/>
      <c r="T1353" s="30"/>
      <c r="U1353" s="30"/>
      <c r="V1353" s="30"/>
      <c r="W1353" s="30"/>
      <c r="X1353" s="30"/>
    </row>
    <row r="1354">
      <c r="A1354" s="30"/>
      <c r="B1354" s="30"/>
      <c r="C1354" s="30"/>
      <c r="D1354" s="30"/>
      <c r="E1354" s="30"/>
      <c r="F1354" s="30"/>
      <c r="G1354" s="30"/>
      <c r="H1354" s="30"/>
      <c r="I1354" s="30"/>
      <c r="J1354" s="30"/>
      <c r="K1354" s="30"/>
      <c r="L1354" s="30"/>
      <c r="M1354" s="30"/>
      <c r="N1354" s="30"/>
      <c r="O1354" s="30"/>
      <c r="P1354" s="30"/>
      <c r="Q1354" s="30"/>
      <c r="R1354" s="30"/>
      <c r="S1354" s="30"/>
      <c r="T1354" s="30"/>
      <c r="U1354" s="30"/>
      <c r="V1354" s="30"/>
      <c r="W1354" s="30"/>
      <c r="X1354" s="30"/>
    </row>
    <row r="1355">
      <c r="A1355" s="30"/>
      <c r="B1355" s="30"/>
      <c r="C1355" s="30"/>
      <c r="D1355" s="30"/>
      <c r="E1355" s="30"/>
      <c r="F1355" s="30"/>
      <c r="G1355" s="30"/>
      <c r="H1355" s="30"/>
      <c r="I1355" s="30"/>
      <c r="J1355" s="30"/>
      <c r="K1355" s="30"/>
      <c r="L1355" s="30"/>
      <c r="M1355" s="30"/>
      <c r="N1355" s="30"/>
      <c r="O1355" s="30"/>
      <c r="P1355" s="30"/>
      <c r="Q1355" s="30"/>
      <c r="R1355" s="30"/>
      <c r="S1355" s="30"/>
      <c r="T1355" s="30"/>
      <c r="U1355" s="30"/>
      <c r="V1355" s="30"/>
      <c r="W1355" s="30"/>
      <c r="X1355" s="30"/>
    </row>
    <row r="1356">
      <c r="A1356" s="30"/>
      <c r="B1356" s="30"/>
      <c r="C1356" s="30"/>
      <c r="D1356" s="30"/>
      <c r="E1356" s="30"/>
      <c r="F1356" s="30"/>
      <c r="G1356" s="30"/>
      <c r="H1356" s="30"/>
      <c r="I1356" s="30"/>
      <c r="J1356" s="30"/>
      <c r="K1356" s="30"/>
      <c r="L1356" s="30"/>
      <c r="M1356" s="30"/>
      <c r="N1356" s="30"/>
      <c r="O1356" s="30"/>
      <c r="P1356" s="30"/>
      <c r="Q1356" s="30"/>
      <c r="R1356" s="30"/>
      <c r="S1356" s="30"/>
      <c r="T1356" s="30"/>
      <c r="U1356" s="30"/>
      <c r="V1356" s="30"/>
      <c r="W1356" s="30"/>
      <c r="X1356" s="30"/>
    </row>
    <row r="1357">
      <c r="A1357" s="30"/>
      <c r="B1357" s="30"/>
      <c r="C1357" s="30"/>
      <c r="D1357" s="30"/>
      <c r="E1357" s="30"/>
      <c r="F1357" s="30"/>
      <c r="G1357" s="30"/>
      <c r="H1357" s="30"/>
      <c r="I1357" s="30"/>
      <c r="J1357" s="30"/>
      <c r="K1357" s="30"/>
      <c r="L1357" s="30"/>
      <c r="M1357" s="30"/>
      <c r="N1357" s="30"/>
      <c r="O1357" s="30"/>
      <c r="P1357" s="30"/>
      <c r="Q1357" s="30"/>
      <c r="R1357" s="30"/>
      <c r="S1357" s="30"/>
      <c r="T1357" s="30"/>
      <c r="U1357" s="30"/>
      <c r="V1357" s="30"/>
      <c r="W1357" s="30"/>
      <c r="X1357" s="30"/>
    </row>
    <row r="1358">
      <c r="A1358" s="30"/>
      <c r="B1358" s="30"/>
      <c r="C1358" s="30"/>
      <c r="D1358" s="30"/>
      <c r="E1358" s="30"/>
      <c r="F1358" s="30"/>
      <c r="G1358" s="30"/>
      <c r="H1358" s="30"/>
      <c r="I1358" s="30"/>
      <c r="J1358" s="30"/>
      <c r="K1358" s="30"/>
      <c r="L1358" s="30"/>
      <c r="M1358" s="30"/>
      <c r="N1358" s="30"/>
      <c r="O1358" s="30"/>
      <c r="P1358" s="30"/>
      <c r="Q1358" s="30"/>
      <c r="R1358" s="30"/>
      <c r="S1358" s="30"/>
      <c r="T1358" s="30"/>
      <c r="U1358" s="30"/>
      <c r="V1358" s="30"/>
      <c r="W1358" s="30"/>
      <c r="X1358" s="30"/>
    </row>
    <row r="1359">
      <c r="A1359" s="30"/>
      <c r="B1359" s="30"/>
      <c r="C1359" s="30"/>
      <c r="D1359" s="30"/>
      <c r="E1359" s="30"/>
      <c r="F1359" s="30"/>
      <c r="G1359" s="30"/>
      <c r="H1359" s="30"/>
      <c r="I1359" s="30"/>
      <c r="J1359" s="30"/>
      <c r="K1359" s="30"/>
      <c r="L1359" s="30"/>
      <c r="M1359" s="30"/>
      <c r="N1359" s="30"/>
      <c r="O1359" s="30"/>
      <c r="P1359" s="30"/>
      <c r="Q1359" s="30"/>
      <c r="R1359" s="30"/>
      <c r="S1359" s="30"/>
      <c r="T1359" s="30"/>
      <c r="U1359" s="30"/>
      <c r="V1359" s="30"/>
      <c r="W1359" s="30"/>
      <c r="X1359" s="30"/>
    </row>
    <row r="1360">
      <c r="A1360" s="30"/>
      <c r="B1360" s="30"/>
      <c r="C1360" s="30"/>
      <c r="D1360" s="30"/>
      <c r="E1360" s="30"/>
      <c r="F1360" s="30"/>
      <c r="G1360" s="30"/>
      <c r="H1360" s="30"/>
      <c r="I1360" s="30"/>
      <c r="J1360" s="30"/>
      <c r="K1360" s="30"/>
      <c r="L1360" s="30"/>
      <c r="M1360" s="30"/>
      <c r="N1360" s="30"/>
      <c r="O1360" s="30"/>
      <c r="P1360" s="30"/>
      <c r="Q1360" s="30"/>
      <c r="R1360" s="30"/>
      <c r="S1360" s="30"/>
      <c r="T1360" s="30"/>
      <c r="U1360" s="30"/>
      <c r="V1360" s="30"/>
      <c r="W1360" s="30"/>
      <c r="X1360" s="30"/>
    </row>
    <row r="1361">
      <c r="A1361" s="30"/>
      <c r="B1361" s="30"/>
      <c r="C1361" s="30"/>
      <c r="D1361" s="30"/>
      <c r="E1361" s="30"/>
      <c r="F1361" s="30"/>
      <c r="G1361" s="30"/>
      <c r="H1361" s="30"/>
      <c r="I1361" s="30"/>
      <c r="J1361" s="30"/>
      <c r="K1361" s="30"/>
      <c r="L1361" s="30"/>
      <c r="M1361" s="30"/>
      <c r="N1361" s="30"/>
      <c r="O1361" s="30"/>
      <c r="P1361" s="30"/>
      <c r="Q1361" s="30"/>
      <c r="R1361" s="30"/>
      <c r="S1361" s="30"/>
      <c r="T1361" s="30"/>
      <c r="U1361" s="30"/>
      <c r="V1361" s="30"/>
      <c r="W1361" s="30"/>
      <c r="X1361" s="30"/>
    </row>
    <row r="1362">
      <c r="A1362" s="30"/>
      <c r="B1362" s="30"/>
      <c r="C1362" s="30"/>
      <c r="D1362" s="30"/>
      <c r="E1362" s="30"/>
      <c r="F1362" s="30"/>
      <c r="G1362" s="30"/>
      <c r="H1362" s="30"/>
      <c r="I1362" s="30"/>
      <c r="J1362" s="30"/>
      <c r="K1362" s="30"/>
      <c r="L1362" s="30"/>
      <c r="M1362" s="30"/>
      <c r="N1362" s="30"/>
      <c r="O1362" s="30"/>
      <c r="P1362" s="30"/>
      <c r="Q1362" s="30"/>
      <c r="R1362" s="30"/>
      <c r="S1362" s="30"/>
      <c r="T1362" s="30"/>
      <c r="U1362" s="30"/>
      <c r="V1362" s="30"/>
      <c r="W1362" s="30"/>
      <c r="X1362" s="30"/>
    </row>
    <row r="1363">
      <c r="A1363" s="30"/>
      <c r="B1363" s="30"/>
      <c r="C1363" s="30"/>
      <c r="D1363" s="30"/>
      <c r="E1363" s="30"/>
      <c r="F1363" s="30"/>
      <c r="G1363" s="30"/>
      <c r="H1363" s="30"/>
      <c r="I1363" s="30"/>
      <c r="J1363" s="30"/>
      <c r="K1363" s="30"/>
      <c r="L1363" s="30"/>
      <c r="M1363" s="30"/>
      <c r="N1363" s="30"/>
      <c r="O1363" s="30"/>
      <c r="P1363" s="30"/>
      <c r="Q1363" s="30"/>
      <c r="R1363" s="30"/>
      <c r="S1363" s="30"/>
      <c r="T1363" s="30"/>
      <c r="U1363" s="30"/>
      <c r="V1363" s="30"/>
      <c r="W1363" s="30"/>
      <c r="X1363" s="30"/>
    </row>
    <row r="1364">
      <c r="A1364" s="30"/>
      <c r="B1364" s="30"/>
      <c r="C1364" s="30"/>
      <c r="D1364" s="30"/>
      <c r="E1364" s="30"/>
      <c r="F1364" s="30"/>
      <c r="G1364" s="30"/>
      <c r="H1364" s="30"/>
      <c r="I1364" s="30"/>
      <c r="J1364" s="30"/>
      <c r="K1364" s="30"/>
      <c r="L1364" s="30"/>
      <c r="M1364" s="30"/>
      <c r="N1364" s="30"/>
      <c r="O1364" s="30"/>
      <c r="P1364" s="30"/>
      <c r="Q1364" s="30"/>
      <c r="R1364" s="30"/>
      <c r="S1364" s="30"/>
      <c r="T1364" s="30"/>
      <c r="U1364" s="30"/>
      <c r="V1364" s="30"/>
      <c r="W1364" s="30"/>
      <c r="X1364" s="30"/>
    </row>
    <row r="1365">
      <c r="A1365" s="30"/>
      <c r="B1365" s="30"/>
      <c r="C1365" s="30"/>
      <c r="D1365" s="30"/>
      <c r="E1365" s="30"/>
      <c r="F1365" s="30"/>
      <c r="G1365" s="30"/>
      <c r="H1365" s="30"/>
      <c r="I1365" s="30"/>
      <c r="J1365" s="30"/>
      <c r="K1365" s="30"/>
      <c r="L1365" s="30"/>
      <c r="M1365" s="30"/>
      <c r="N1365" s="30"/>
      <c r="O1365" s="30"/>
      <c r="P1365" s="30"/>
      <c r="Q1365" s="30"/>
      <c r="R1365" s="30"/>
      <c r="S1365" s="30"/>
      <c r="T1365" s="30"/>
      <c r="U1365" s="30"/>
      <c r="V1365" s="30"/>
      <c r="W1365" s="30"/>
      <c r="X1365" s="30"/>
    </row>
    <row r="1366">
      <c r="A1366" s="30"/>
      <c r="B1366" s="30"/>
      <c r="C1366" s="30"/>
      <c r="D1366" s="30"/>
      <c r="E1366" s="30"/>
      <c r="F1366" s="30"/>
      <c r="G1366" s="30"/>
      <c r="H1366" s="30"/>
      <c r="I1366" s="30"/>
      <c r="J1366" s="30"/>
      <c r="K1366" s="30"/>
      <c r="L1366" s="30"/>
      <c r="M1366" s="30"/>
      <c r="N1366" s="30"/>
      <c r="O1366" s="30"/>
      <c r="P1366" s="30"/>
      <c r="Q1366" s="30"/>
      <c r="R1366" s="30"/>
      <c r="S1366" s="30"/>
      <c r="T1366" s="30"/>
      <c r="U1366" s="30"/>
      <c r="V1366" s="30"/>
      <c r="W1366" s="30"/>
      <c r="X1366" s="30"/>
    </row>
    <row r="1367">
      <c r="A1367" s="30"/>
      <c r="B1367" s="30"/>
      <c r="C1367" s="30"/>
      <c r="D1367" s="30"/>
      <c r="E1367" s="30"/>
      <c r="F1367" s="30"/>
      <c r="G1367" s="30"/>
      <c r="H1367" s="30"/>
      <c r="I1367" s="30"/>
      <c r="J1367" s="30"/>
      <c r="K1367" s="30"/>
      <c r="L1367" s="30"/>
      <c r="M1367" s="30"/>
      <c r="N1367" s="30"/>
      <c r="O1367" s="30"/>
      <c r="P1367" s="30"/>
      <c r="Q1367" s="30"/>
      <c r="R1367" s="30"/>
      <c r="S1367" s="30"/>
      <c r="T1367" s="30"/>
      <c r="U1367" s="30"/>
      <c r="V1367" s="30"/>
      <c r="W1367" s="30"/>
      <c r="X1367" s="30"/>
    </row>
    <row r="1368">
      <c r="A1368" s="30"/>
      <c r="B1368" s="30"/>
      <c r="C1368" s="30"/>
      <c r="D1368" s="30"/>
      <c r="E1368" s="30"/>
      <c r="F1368" s="30"/>
      <c r="G1368" s="30"/>
      <c r="H1368" s="30"/>
      <c r="I1368" s="30"/>
      <c r="J1368" s="30"/>
      <c r="K1368" s="30"/>
      <c r="L1368" s="30"/>
      <c r="M1368" s="30"/>
      <c r="N1368" s="30"/>
      <c r="O1368" s="30"/>
      <c r="P1368" s="30"/>
      <c r="Q1368" s="30"/>
      <c r="R1368" s="30"/>
      <c r="S1368" s="30"/>
      <c r="T1368" s="30"/>
      <c r="U1368" s="30"/>
      <c r="V1368" s="30"/>
      <c r="W1368" s="30"/>
      <c r="X1368" s="30"/>
    </row>
    <row r="1369">
      <c r="A1369" s="30"/>
      <c r="B1369" s="30"/>
      <c r="C1369" s="30"/>
      <c r="D1369" s="30"/>
      <c r="E1369" s="30"/>
      <c r="F1369" s="30"/>
      <c r="G1369" s="30"/>
      <c r="H1369" s="30"/>
      <c r="I1369" s="30"/>
      <c r="J1369" s="30"/>
      <c r="K1369" s="30"/>
      <c r="L1369" s="30"/>
      <c r="M1369" s="30"/>
      <c r="N1369" s="30"/>
      <c r="O1369" s="30"/>
      <c r="P1369" s="30"/>
      <c r="Q1369" s="30"/>
      <c r="R1369" s="30"/>
      <c r="S1369" s="30"/>
      <c r="T1369" s="30"/>
      <c r="U1369" s="30"/>
      <c r="V1369" s="30"/>
      <c r="W1369" s="30"/>
      <c r="X1369" s="30"/>
    </row>
    <row r="1370">
      <c r="A1370" s="30"/>
      <c r="B1370" s="30"/>
      <c r="C1370" s="30"/>
      <c r="D1370" s="30"/>
      <c r="E1370" s="30"/>
      <c r="F1370" s="30"/>
      <c r="G1370" s="30"/>
      <c r="H1370" s="30"/>
      <c r="I1370" s="30"/>
      <c r="J1370" s="30"/>
      <c r="K1370" s="30"/>
      <c r="L1370" s="30"/>
      <c r="M1370" s="30"/>
      <c r="N1370" s="30"/>
      <c r="O1370" s="30"/>
      <c r="P1370" s="30"/>
      <c r="Q1370" s="30"/>
      <c r="R1370" s="30"/>
      <c r="S1370" s="30"/>
      <c r="T1370" s="30"/>
      <c r="U1370" s="30"/>
      <c r="V1370" s="30"/>
      <c r="W1370" s="30"/>
      <c r="X1370" s="30"/>
    </row>
    <row r="1371">
      <c r="A1371" s="30"/>
      <c r="B1371" s="30"/>
      <c r="C1371" s="30"/>
      <c r="D1371" s="30"/>
      <c r="E1371" s="30"/>
      <c r="F1371" s="30"/>
      <c r="G1371" s="30"/>
      <c r="H1371" s="30"/>
      <c r="I1371" s="30"/>
      <c r="J1371" s="30"/>
      <c r="K1371" s="30"/>
      <c r="L1371" s="30"/>
      <c r="M1371" s="30"/>
      <c r="N1371" s="30"/>
      <c r="O1371" s="30"/>
      <c r="P1371" s="30"/>
      <c r="Q1371" s="30"/>
      <c r="R1371" s="30"/>
      <c r="S1371" s="30"/>
      <c r="T1371" s="30"/>
      <c r="U1371" s="30"/>
      <c r="V1371" s="30"/>
      <c r="W1371" s="30"/>
      <c r="X1371" s="30"/>
    </row>
    <row r="1372">
      <c r="A1372" s="30"/>
      <c r="B1372" s="30"/>
      <c r="C1372" s="30"/>
      <c r="D1372" s="30"/>
      <c r="E1372" s="30"/>
      <c r="F1372" s="30"/>
      <c r="G1372" s="30"/>
      <c r="H1372" s="30"/>
      <c r="I1372" s="30"/>
      <c r="J1372" s="30"/>
      <c r="K1372" s="30"/>
      <c r="L1372" s="30"/>
      <c r="M1372" s="30"/>
      <c r="N1372" s="30"/>
      <c r="O1372" s="30"/>
      <c r="P1372" s="30"/>
      <c r="Q1372" s="30"/>
      <c r="R1372" s="30"/>
      <c r="S1372" s="30"/>
      <c r="T1372" s="30"/>
      <c r="U1372" s="30"/>
      <c r="V1372" s="30"/>
      <c r="W1372" s="30"/>
      <c r="X1372" s="30"/>
    </row>
    <row r="1373">
      <c r="A1373" s="30"/>
      <c r="B1373" s="30"/>
      <c r="C1373" s="30"/>
      <c r="D1373" s="30"/>
      <c r="E1373" s="30"/>
      <c r="F1373" s="30"/>
      <c r="G1373" s="30"/>
      <c r="H1373" s="30"/>
      <c r="I1373" s="30"/>
      <c r="J1373" s="30"/>
      <c r="K1373" s="30"/>
      <c r="L1373" s="30"/>
      <c r="M1373" s="30"/>
      <c r="N1373" s="30"/>
      <c r="O1373" s="30"/>
      <c r="P1373" s="30"/>
      <c r="Q1373" s="30"/>
      <c r="R1373" s="30"/>
      <c r="S1373" s="30"/>
      <c r="T1373" s="30"/>
      <c r="U1373" s="30"/>
      <c r="V1373" s="30"/>
      <c r="W1373" s="30"/>
      <c r="X1373" s="30"/>
    </row>
    <row r="1374">
      <c r="A1374" s="30"/>
      <c r="B1374" s="30"/>
      <c r="C1374" s="30"/>
      <c r="D1374" s="30"/>
      <c r="E1374" s="30"/>
      <c r="F1374" s="30"/>
      <c r="G1374" s="30"/>
      <c r="H1374" s="30"/>
      <c r="I1374" s="30"/>
      <c r="J1374" s="30"/>
      <c r="K1374" s="30"/>
      <c r="L1374" s="30"/>
      <c r="M1374" s="30"/>
      <c r="N1374" s="30"/>
      <c r="O1374" s="30"/>
      <c r="P1374" s="30"/>
      <c r="Q1374" s="30"/>
      <c r="R1374" s="30"/>
      <c r="S1374" s="30"/>
      <c r="T1374" s="30"/>
      <c r="U1374" s="30"/>
      <c r="V1374" s="30"/>
      <c r="W1374" s="30"/>
      <c r="X1374" s="30"/>
    </row>
    <row r="1375">
      <c r="A1375" s="30"/>
      <c r="B1375" s="30"/>
      <c r="C1375" s="30"/>
      <c r="D1375" s="30"/>
      <c r="E1375" s="30"/>
      <c r="F1375" s="30"/>
      <c r="G1375" s="30"/>
      <c r="H1375" s="30"/>
      <c r="I1375" s="30"/>
      <c r="J1375" s="30"/>
      <c r="K1375" s="30"/>
      <c r="L1375" s="30"/>
      <c r="M1375" s="30"/>
      <c r="N1375" s="30"/>
      <c r="O1375" s="30"/>
      <c r="P1375" s="30"/>
      <c r="Q1375" s="30"/>
      <c r="R1375" s="30"/>
      <c r="S1375" s="30"/>
      <c r="T1375" s="30"/>
      <c r="U1375" s="30"/>
      <c r="V1375" s="30"/>
      <c r="W1375" s="30"/>
      <c r="X1375" s="30"/>
    </row>
    <row r="1376">
      <c r="A1376" s="30"/>
      <c r="B1376" s="30"/>
      <c r="C1376" s="30"/>
      <c r="D1376" s="30"/>
      <c r="E1376" s="30"/>
      <c r="F1376" s="30"/>
      <c r="G1376" s="30"/>
      <c r="H1376" s="30"/>
      <c r="I1376" s="30"/>
      <c r="J1376" s="30"/>
      <c r="K1376" s="30"/>
      <c r="L1376" s="30"/>
      <c r="M1376" s="30"/>
      <c r="N1376" s="30"/>
      <c r="O1376" s="30"/>
      <c r="P1376" s="30"/>
      <c r="Q1376" s="30"/>
      <c r="R1376" s="30"/>
      <c r="S1376" s="30"/>
      <c r="T1376" s="30"/>
      <c r="U1376" s="30"/>
      <c r="V1376" s="30"/>
      <c r="W1376" s="30"/>
      <c r="X1376" s="30"/>
    </row>
    <row r="1377">
      <c r="A1377" s="30"/>
      <c r="B1377" s="30"/>
      <c r="C1377" s="30"/>
      <c r="D1377" s="30"/>
      <c r="E1377" s="30"/>
      <c r="F1377" s="30"/>
      <c r="G1377" s="30"/>
      <c r="H1377" s="30"/>
      <c r="I1377" s="30"/>
      <c r="J1377" s="30"/>
      <c r="K1377" s="30"/>
      <c r="L1377" s="30"/>
      <c r="M1377" s="30"/>
      <c r="N1377" s="30"/>
      <c r="O1377" s="30"/>
      <c r="P1377" s="30"/>
      <c r="Q1377" s="30"/>
      <c r="R1377" s="30"/>
      <c r="S1377" s="30"/>
      <c r="T1377" s="30"/>
      <c r="U1377" s="30"/>
      <c r="V1377" s="30"/>
      <c r="W1377" s="30"/>
      <c r="X1377" s="30"/>
    </row>
    <row r="1378">
      <c r="A1378" s="30"/>
      <c r="B1378" s="30"/>
      <c r="C1378" s="30"/>
      <c r="D1378" s="30"/>
      <c r="E1378" s="30"/>
      <c r="F1378" s="30"/>
      <c r="G1378" s="30"/>
      <c r="H1378" s="30"/>
      <c r="I1378" s="30"/>
      <c r="J1378" s="30"/>
      <c r="K1378" s="30"/>
      <c r="L1378" s="30"/>
      <c r="M1378" s="30"/>
      <c r="N1378" s="30"/>
      <c r="O1378" s="30"/>
      <c r="P1378" s="30"/>
      <c r="Q1378" s="30"/>
      <c r="R1378" s="30"/>
      <c r="S1378" s="30"/>
      <c r="T1378" s="30"/>
      <c r="U1378" s="30"/>
      <c r="V1378" s="30"/>
      <c r="W1378" s="30"/>
      <c r="X1378" s="30"/>
    </row>
    <row r="1379">
      <c r="A1379" s="30"/>
      <c r="B1379" s="30"/>
      <c r="C1379" s="30"/>
      <c r="D1379" s="30"/>
      <c r="E1379" s="30"/>
      <c r="F1379" s="30"/>
      <c r="G1379" s="30"/>
      <c r="H1379" s="30"/>
      <c r="I1379" s="30"/>
      <c r="J1379" s="30"/>
      <c r="K1379" s="30"/>
      <c r="L1379" s="30"/>
      <c r="M1379" s="30"/>
      <c r="N1379" s="30"/>
      <c r="O1379" s="30"/>
      <c r="P1379" s="30"/>
      <c r="Q1379" s="30"/>
      <c r="R1379" s="30"/>
      <c r="S1379" s="30"/>
      <c r="T1379" s="30"/>
      <c r="U1379" s="30"/>
      <c r="V1379" s="30"/>
      <c r="W1379" s="30"/>
      <c r="X1379" s="30"/>
    </row>
    <row r="1380">
      <c r="A1380" s="30"/>
      <c r="B1380" s="30"/>
      <c r="C1380" s="30"/>
      <c r="D1380" s="30"/>
      <c r="E1380" s="30"/>
      <c r="F1380" s="30"/>
      <c r="G1380" s="30"/>
      <c r="H1380" s="30"/>
      <c r="I1380" s="30"/>
      <c r="J1380" s="30"/>
      <c r="K1380" s="30"/>
      <c r="L1380" s="30"/>
      <c r="M1380" s="30"/>
      <c r="N1380" s="30"/>
      <c r="O1380" s="30"/>
      <c r="P1380" s="30"/>
      <c r="Q1380" s="30"/>
      <c r="R1380" s="30"/>
      <c r="S1380" s="30"/>
      <c r="T1380" s="30"/>
      <c r="U1380" s="30"/>
      <c r="V1380" s="30"/>
      <c r="W1380" s="30"/>
      <c r="X1380" s="30"/>
    </row>
    <row r="1381">
      <c r="A1381" s="30"/>
      <c r="B1381" s="30"/>
      <c r="C1381" s="30"/>
      <c r="D1381" s="30"/>
      <c r="E1381" s="30"/>
      <c r="F1381" s="30"/>
      <c r="G1381" s="30"/>
      <c r="H1381" s="30"/>
      <c r="I1381" s="30"/>
      <c r="J1381" s="30"/>
      <c r="K1381" s="30"/>
      <c r="L1381" s="30"/>
      <c r="M1381" s="30"/>
      <c r="N1381" s="30"/>
      <c r="O1381" s="30"/>
      <c r="P1381" s="30"/>
      <c r="Q1381" s="30"/>
      <c r="R1381" s="30"/>
      <c r="S1381" s="30"/>
      <c r="T1381" s="30"/>
      <c r="U1381" s="30"/>
      <c r="V1381" s="30"/>
      <c r="W1381" s="30"/>
      <c r="X1381" s="30"/>
    </row>
    <row r="1382">
      <c r="A1382" s="30"/>
      <c r="B1382" s="30"/>
      <c r="C1382" s="30"/>
      <c r="D1382" s="30"/>
      <c r="E1382" s="30"/>
      <c r="F1382" s="30"/>
      <c r="G1382" s="30"/>
      <c r="H1382" s="30"/>
      <c r="I1382" s="30"/>
      <c r="J1382" s="30"/>
      <c r="K1382" s="30"/>
      <c r="L1382" s="30"/>
      <c r="M1382" s="30"/>
      <c r="N1382" s="30"/>
      <c r="O1382" s="30"/>
      <c r="P1382" s="30"/>
      <c r="Q1382" s="30"/>
      <c r="R1382" s="30"/>
      <c r="S1382" s="30"/>
      <c r="T1382" s="30"/>
      <c r="U1382" s="30"/>
      <c r="V1382" s="30"/>
      <c r="W1382" s="30"/>
      <c r="X1382" s="30"/>
    </row>
    <row r="1383">
      <c r="A1383" s="30"/>
      <c r="B1383" s="30"/>
      <c r="C1383" s="30"/>
      <c r="D1383" s="30"/>
      <c r="E1383" s="30"/>
      <c r="F1383" s="30"/>
      <c r="G1383" s="30"/>
      <c r="H1383" s="30"/>
      <c r="I1383" s="30"/>
      <c r="J1383" s="30"/>
      <c r="K1383" s="30"/>
      <c r="L1383" s="30"/>
      <c r="M1383" s="30"/>
      <c r="N1383" s="30"/>
      <c r="O1383" s="30"/>
      <c r="P1383" s="30"/>
      <c r="Q1383" s="30"/>
      <c r="R1383" s="30"/>
      <c r="S1383" s="30"/>
      <c r="T1383" s="30"/>
      <c r="U1383" s="30"/>
      <c r="V1383" s="30"/>
      <c r="W1383" s="30"/>
      <c r="X1383" s="30"/>
    </row>
    <row r="1384">
      <c r="A1384" s="30"/>
      <c r="B1384" s="30"/>
      <c r="C1384" s="30"/>
      <c r="D1384" s="30"/>
      <c r="E1384" s="30"/>
      <c r="F1384" s="30"/>
      <c r="G1384" s="30"/>
      <c r="H1384" s="30"/>
      <c r="I1384" s="30"/>
      <c r="J1384" s="30"/>
      <c r="K1384" s="30"/>
      <c r="L1384" s="30"/>
      <c r="M1384" s="30"/>
      <c r="N1384" s="30"/>
      <c r="O1384" s="30"/>
      <c r="P1384" s="30"/>
      <c r="Q1384" s="30"/>
      <c r="R1384" s="30"/>
      <c r="S1384" s="30"/>
      <c r="T1384" s="30"/>
      <c r="U1384" s="30"/>
      <c r="V1384" s="30"/>
      <c r="W1384" s="30"/>
      <c r="X1384" s="30"/>
    </row>
    <row r="1385">
      <c r="A1385" s="30"/>
      <c r="B1385" s="30"/>
      <c r="C1385" s="30"/>
      <c r="D1385" s="30"/>
      <c r="E1385" s="30"/>
      <c r="F1385" s="30"/>
      <c r="G1385" s="30"/>
      <c r="H1385" s="30"/>
      <c r="I1385" s="30"/>
      <c r="J1385" s="30"/>
      <c r="K1385" s="30"/>
      <c r="L1385" s="30"/>
      <c r="M1385" s="30"/>
      <c r="N1385" s="30"/>
      <c r="O1385" s="30"/>
      <c r="P1385" s="30"/>
      <c r="Q1385" s="30"/>
      <c r="R1385" s="30"/>
      <c r="S1385" s="30"/>
      <c r="T1385" s="30"/>
      <c r="U1385" s="30"/>
      <c r="V1385" s="30"/>
      <c r="W1385" s="30"/>
      <c r="X1385" s="30"/>
    </row>
    <row r="1386">
      <c r="A1386" s="30"/>
      <c r="B1386" s="30"/>
      <c r="C1386" s="30"/>
      <c r="D1386" s="30"/>
      <c r="E1386" s="30"/>
      <c r="F1386" s="30"/>
      <c r="G1386" s="30"/>
      <c r="H1386" s="30"/>
      <c r="I1386" s="30"/>
      <c r="J1386" s="30"/>
      <c r="K1386" s="30"/>
      <c r="L1386" s="30"/>
      <c r="M1386" s="30"/>
      <c r="N1386" s="30"/>
      <c r="O1386" s="30"/>
      <c r="P1386" s="30"/>
      <c r="Q1386" s="30"/>
      <c r="R1386" s="30"/>
      <c r="S1386" s="30"/>
      <c r="T1386" s="30"/>
      <c r="U1386" s="30"/>
      <c r="V1386" s="30"/>
      <c r="W1386" s="30"/>
      <c r="X1386" s="30"/>
    </row>
    <row r="1387">
      <c r="A1387" s="30"/>
      <c r="B1387" s="30"/>
      <c r="C1387" s="30"/>
      <c r="D1387" s="30"/>
      <c r="E1387" s="30"/>
      <c r="F1387" s="30"/>
      <c r="G1387" s="30"/>
      <c r="H1387" s="30"/>
      <c r="I1387" s="30"/>
      <c r="J1387" s="30"/>
      <c r="K1387" s="30"/>
      <c r="L1387" s="30"/>
      <c r="M1387" s="30"/>
      <c r="N1387" s="30"/>
      <c r="O1387" s="30"/>
      <c r="P1387" s="30"/>
      <c r="Q1387" s="30"/>
      <c r="R1387" s="30"/>
      <c r="S1387" s="30"/>
      <c r="T1387" s="30"/>
      <c r="U1387" s="30"/>
      <c r="V1387" s="30"/>
      <c r="W1387" s="30"/>
      <c r="X1387" s="30"/>
    </row>
    <row r="1388">
      <c r="A1388" s="30"/>
      <c r="B1388" s="30"/>
      <c r="C1388" s="30"/>
      <c r="D1388" s="30"/>
      <c r="E1388" s="30"/>
      <c r="F1388" s="30"/>
      <c r="G1388" s="30"/>
      <c r="H1388" s="30"/>
      <c r="I1388" s="30"/>
      <c r="J1388" s="30"/>
      <c r="K1388" s="30"/>
      <c r="L1388" s="30"/>
      <c r="M1388" s="30"/>
      <c r="N1388" s="30"/>
      <c r="O1388" s="30"/>
      <c r="P1388" s="30"/>
      <c r="Q1388" s="30"/>
      <c r="R1388" s="30"/>
      <c r="S1388" s="30"/>
      <c r="T1388" s="30"/>
      <c r="U1388" s="30"/>
      <c r="V1388" s="30"/>
      <c r="W1388" s="30"/>
      <c r="X1388" s="30"/>
    </row>
    <row r="1389">
      <c r="A1389" s="30"/>
      <c r="B1389" s="30"/>
      <c r="C1389" s="30"/>
      <c r="D1389" s="30"/>
      <c r="E1389" s="30"/>
      <c r="F1389" s="30"/>
      <c r="G1389" s="30"/>
      <c r="H1389" s="30"/>
      <c r="I1389" s="30"/>
      <c r="J1389" s="30"/>
      <c r="K1389" s="30"/>
      <c r="L1389" s="30"/>
      <c r="M1389" s="30"/>
      <c r="N1389" s="30"/>
      <c r="O1389" s="30"/>
      <c r="P1389" s="30"/>
      <c r="Q1389" s="30"/>
      <c r="R1389" s="30"/>
      <c r="S1389" s="30"/>
      <c r="T1389" s="30"/>
      <c r="U1389" s="30"/>
      <c r="V1389" s="30"/>
      <c r="W1389" s="30"/>
      <c r="X1389" s="30"/>
    </row>
    <row r="1390">
      <c r="A1390" s="30"/>
      <c r="B1390" s="30"/>
      <c r="C1390" s="30"/>
      <c r="D1390" s="30"/>
      <c r="E1390" s="30"/>
      <c r="F1390" s="30"/>
      <c r="G1390" s="30"/>
      <c r="H1390" s="30"/>
      <c r="I1390" s="30"/>
      <c r="J1390" s="30"/>
      <c r="K1390" s="30"/>
      <c r="L1390" s="30"/>
      <c r="M1390" s="30"/>
      <c r="N1390" s="30"/>
      <c r="O1390" s="30"/>
      <c r="P1390" s="30"/>
      <c r="Q1390" s="30"/>
      <c r="R1390" s="30"/>
      <c r="S1390" s="30"/>
      <c r="T1390" s="30"/>
      <c r="U1390" s="30"/>
      <c r="V1390" s="30"/>
      <c r="W1390" s="30"/>
      <c r="X1390" s="30"/>
    </row>
    <row r="1391">
      <c r="A1391" s="30"/>
      <c r="B1391" s="30"/>
      <c r="C1391" s="30"/>
      <c r="D1391" s="30"/>
      <c r="E1391" s="30"/>
      <c r="F1391" s="30"/>
      <c r="G1391" s="30"/>
      <c r="H1391" s="30"/>
      <c r="I1391" s="30"/>
      <c r="J1391" s="30"/>
      <c r="K1391" s="30"/>
      <c r="L1391" s="30"/>
      <c r="M1391" s="30"/>
      <c r="N1391" s="30"/>
      <c r="O1391" s="30"/>
      <c r="P1391" s="30"/>
      <c r="Q1391" s="30"/>
      <c r="R1391" s="30"/>
      <c r="S1391" s="30"/>
      <c r="T1391" s="30"/>
      <c r="U1391" s="30"/>
      <c r="V1391" s="30"/>
      <c r="W1391" s="30"/>
      <c r="X1391" s="30"/>
    </row>
    <row r="1392">
      <c r="A1392" s="30"/>
      <c r="B1392" s="30"/>
      <c r="C1392" s="30"/>
      <c r="D1392" s="30"/>
      <c r="E1392" s="30"/>
      <c r="F1392" s="30"/>
      <c r="G1392" s="30"/>
      <c r="H1392" s="30"/>
      <c r="I1392" s="30"/>
      <c r="J1392" s="30"/>
      <c r="K1392" s="30"/>
      <c r="L1392" s="30"/>
      <c r="M1392" s="30"/>
      <c r="N1392" s="30"/>
      <c r="O1392" s="30"/>
      <c r="P1392" s="30"/>
      <c r="Q1392" s="30"/>
      <c r="R1392" s="30"/>
      <c r="S1392" s="30"/>
      <c r="T1392" s="30"/>
      <c r="U1392" s="30"/>
      <c r="V1392" s="30"/>
      <c r="W1392" s="30"/>
      <c r="X1392" s="30"/>
    </row>
    <row r="1393">
      <c r="A1393" s="30"/>
      <c r="B1393" s="30"/>
      <c r="C1393" s="30"/>
      <c r="D1393" s="30"/>
      <c r="E1393" s="30"/>
      <c r="F1393" s="30"/>
      <c r="G1393" s="30"/>
      <c r="H1393" s="30"/>
      <c r="I1393" s="30"/>
      <c r="J1393" s="30"/>
      <c r="K1393" s="30"/>
      <c r="L1393" s="30"/>
      <c r="M1393" s="30"/>
      <c r="N1393" s="30"/>
      <c r="O1393" s="30"/>
      <c r="P1393" s="30"/>
      <c r="Q1393" s="30"/>
      <c r="R1393" s="30"/>
      <c r="S1393" s="30"/>
      <c r="T1393" s="30"/>
      <c r="U1393" s="30"/>
      <c r="V1393" s="30"/>
      <c r="W1393" s="30"/>
      <c r="X1393" s="30"/>
    </row>
    <row r="1394">
      <c r="A1394" s="30"/>
      <c r="B1394" s="30"/>
      <c r="C1394" s="30"/>
      <c r="D1394" s="30"/>
      <c r="E1394" s="30"/>
      <c r="F1394" s="30"/>
      <c r="G1394" s="30"/>
      <c r="H1394" s="30"/>
      <c r="I1394" s="30"/>
      <c r="J1394" s="30"/>
      <c r="K1394" s="30"/>
      <c r="L1394" s="30"/>
      <c r="M1394" s="30"/>
      <c r="N1394" s="30"/>
      <c r="O1394" s="30"/>
      <c r="P1394" s="30"/>
      <c r="Q1394" s="30"/>
      <c r="R1394" s="30"/>
      <c r="S1394" s="30"/>
      <c r="T1394" s="30"/>
      <c r="U1394" s="30"/>
      <c r="V1394" s="30"/>
      <c r="W1394" s="30"/>
      <c r="X1394" s="30"/>
    </row>
    <row r="1395">
      <c r="A1395" s="30"/>
      <c r="B1395" s="30"/>
      <c r="C1395" s="30"/>
      <c r="D1395" s="30"/>
      <c r="E1395" s="30"/>
      <c r="F1395" s="30"/>
      <c r="G1395" s="30"/>
      <c r="H1395" s="30"/>
      <c r="I1395" s="30"/>
      <c r="J1395" s="30"/>
      <c r="K1395" s="30"/>
      <c r="L1395" s="30"/>
      <c r="M1395" s="30"/>
      <c r="N1395" s="30"/>
      <c r="O1395" s="30"/>
      <c r="P1395" s="30"/>
      <c r="Q1395" s="30"/>
      <c r="R1395" s="30"/>
      <c r="S1395" s="30"/>
      <c r="T1395" s="30"/>
      <c r="U1395" s="30"/>
      <c r="V1395" s="30"/>
      <c r="W1395" s="30"/>
      <c r="X1395" s="30"/>
    </row>
    <row r="1396">
      <c r="A1396" s="30"/>
      <c r="B1396" s="30"/>
      <c r="C1396" s="30"/>
      <c r="D1396" s="30"/>
      <c r="E1396" s="30"/>
      <c r="F1396" s="30"/>
      <c r="G1396" s="30"/>
      <c r="H1396" s="30"/>
      <c r="I1396" s="30"/>
      <c r="J1396" s="30"/>
      <c r="K1396" s="30"/>
      <c r="L1396" s="30"/>
      <c r="M1396" s="30"/>
      <c r="N1396" s="30"/>
      <c r="O1396" s="30"/>
      <c r="P1396" s="30"/>
      <c r="Q1396" s="30"/>
      <c r="R1396" s="30"/>
      <c r="S1396" s="30"/>
      <c r="T1396" s="30"/>
      <c r="U1396" s="30"/>
      <c r="V1396" s="30"/>
      <c r="W1396" s="30"/>
      <c r="X1396" s="30"/>
    </row>
    <row r="1397">
      <c r="A1397" s="30"/>
      <c r="B1397" s="30"/>
      <c r="C1397" s="30"/>
      <c r="D1397" s="30"/>
      <c r="E1397" s="30"/>
      <c r="F1397" s="30"/>
      <c r="G1397" s="30"/>
      <c r="H1397" s="30"/>
      <c r="I1397" s="30"/>
      <c r="J1397" s="30"/>
      <c r="K1397" s="30"/>
      <c r="L1397" s="30"/>
      <c r="M1397" s="30"/>
      <c r="N1397" s="30"/>
      <c r="O1397" s="30"/>
      <c r="P1397" s="30"/>
      <c r="Q1397" s="30"/>
      <c r="R1397" s="30"/>
      <c r="S1397" s="30"/>
      <c r="T1397" s="30"/>
      <c r="U1397" s="30"/>
      <c r="V1397" s="30"/>
      <c r="W1397" s="30"/>
      <c r="X1397" s="30"/>
    </row>
    <row r="1398">
      <c r="A1398" s="30"/>
      <c r="B1398" s="30"/>
      <c r="C1398" s="30"/>
      <c r="D1398" s="30"/>
      <c r="E1398" s="30"/>
      <c r="F1398" s="30"/>
      <c r="G1398" s="30"/>
      <c r="H1398" s="30"/>
      <c r="I1398" s="30"/>
      <c r="J1398" s="30"/>
      <c r="K1398" s="30"/>
      <c r="L1398" s="30"/>
      <c r="M1398" s="30"/>
      <c r="N1398" s="30"/>
      <c r="O1398" s="30"/>
      <c r="P1398" s="30"/>
      <c r="Q1398" s="30"/>
      <c r="R1398" s="30"/>
      <c r="S1398" s="30"/>
      <c r="T1398" s="30"/>
      <c r="U1398" s="30"/>
      <c r="V1398" s="30"/>
      <c r="W1398" s="30"/>
      <c r="X1398" s="30"/>
    </row>
    <row r="1399">
      <c r="A1399" s="30"/>
      <c r="B1399" s="30"/>
      <c r="C1399" s="30"/>
      <c r="D1399" s="30"/>
      <c r="E1399" s="30"/>
      <c r="F1399" s="30"/>
      <c r="G1399" s="30"/>
      <c r="H1399" s="30"/>
      <c r="I1399" s="30"/>
      <c r="J1399" s="30"/>
      <c r="K1399" s="30"/>
      <c r="L1399" s="30"/>
      <c r="M1399" s="30"/>
      <c r="N1399" s="30"/>
      <c r="O1399" s="30"/>
      <c r="P1399" s="30"/>
      <c r="Q1399" s="30"/>
      <c r="R1399" s="30"/>
      <c r="S1399" s="30"/>
      <c r="T1399" s="30"/>
      <c r="U1399" s="30"/>
      <c r="V1399" s="30"/>
      <c r="W1399" s="30"/>
      <c r="X1399" s="30"/>
    </row>
    <row r="1400">
      <c r="A1400" s="30"/>
      <c r="B1400" s="30"/>
      <c r="C1400" s="30"/>
      <c r="D1400" s="30"/>
      <c r="E1400" s="30"/>
      <c r="F1400" s="30"/>
      <c r="G1400" s="30"/>
      <c r="H1400" s="30"/>
      <c r="I1400" s="30"/>
      <c r="J1400" s="30"/>
      <c r="K1400" s="30"/>
      <c r="L1400" s="30"/>
      <c r="M1400" s="30"/>
      <c r="N1400" s="30"/>
      <c r="O1400" s="30"/>
      <c r="P1400" s="30"/>
      <c r="Q1400" s="30"/>
      <c r="R1400" s="30"/>
      <c r="S1400" s="30"/>
      <c r="T1400" s="30"/>
      <c r="U1400" s="30"/>
      <c r="V1400" s="30"/>
      <c r="W1400" s="30"/>
      <c r="X1400" s="30"/>
    </row>
    <row r="1401">
      <c r="A1401" s="30"/>
      <c r="B1401" s="30"/>
      <c r="C1401" s="30"/>
      <c r="D1401" s="30"/>
      <c r="E1401" s="30"/>
      <c r="F1401" s="30"/>
      <c r="G1401" s="30"/>
      <c r="H1401" s="30"/>
      <c r="I1401" s="30"/>
      <c r="J1401" s="30"/>
      <c r="K1401" s="30"/>
      <c r="L1401" s="30"/>
      <c r="M1401" s="30"/>
      <c r="N1401" s="30"/>
      <c r="O1401" s="30"/>
      <c r="P1401" s="30"/>
      <c r="Q1401" s="30"/>
      <c r="R1401" s="30"/>
      <c r="S1401" s="30"/>
      <c r="T1401" s="30"/>
      <c r="U1401" s="30"/>
      <c r="V1401" s="30"/>
      <c r="W1401" s="30"/>
      <c r="X1401" s="30"/>
    </row>
    <row r="1402">
      <c r="A1402" s="30"/>
      <c r="B1402" s="30"/>
      <c r="C1402" s="30"/>
      <c r="D1402" s="30"/>
      <c r="E1402" s="30"/>
      <c r="F1402" s="30"/>
      <c r="G1402" s="30"/>
      <c r="H1402" s="30"/>
      <c r="I1402" s="30"/>
      <c r="J1402" s="30"/>
      <c r="K1402" s="30"/>
      <c r="L1402" s="30"/>
      <c r="M1402" s="30"/>
      <c r="N1402" s="30"/>
      <c r="O1402" s="30"/>
      <c r="P1402" s="30"/>
      <c r="Q1402" s="30"/>
      <c r="R1402" s="30"/>
      <c r="S1402" s="30"/>
      <c r="T1402" s="30"/>
      <c r="U1402" s="30"/>
      <c r="V1402" s="30"/>
      <c r="W1402" s="30"/>
      <c r="X1402" s="30"/>
    </row>
    <row r="1403">
      <c r="A1403" s="30"/>
      <c r="B1403" s="30"/>
      <c r="C1403" s="30"/>
      <c r="D1403" s="30"/>
      <c r="E1403" s="30"/>
      <c r="F1403" s="30"/>
      <c r="G1403" s="30"/>
      <c r="H1403" s="30"/>
      <c r="I1403" s="30"/>
      <c r="J1403" s="30"/>
      <c r="K1403" s="30"/>
      <c r="L1403" s="30"/>
      <c r="M1403" s="30"/>
      <c r="N1403" s="30"/>
      <c r="O1403" s="30"/>
      <c r="P1403" s="30"/>
      <c r="Q1403" s="30"/>
      <c r="R1403" s="30"/>
      <c r="S1403" s="30"/>
      <c r="T1403" s="30"/>
      <c r="U1403" s="30"/>
      <c r="V1403" s="30"/>
      <c r="W1403" s="30"/>
      <c r="X1403" s="30"/>
    </row>
    <row r="1404">
      <c r="A1404" s="30"/>
      <c r="B1404" s="30"/>
      <c r="C1404" s="30"/>
      <c r="D1404" s="30"/>
      <c r="E1404" s="30"/>
      <c r="F1404" s="30"/>
      <c r="G1404" s="30"/>
      <c r="H1404" s="30"/>
      <c r="I1404" s="30"/>
      <c r="J1404" s="30"/>
      <c r="K1404" s="30"/>
      <c r="L1404" s="30"/>
      <c r="M1404" s="30"/>
      <c r="N1404" s="30"/>
      <c r="O1404" s="30"/>
      <c r="P1404" s="30"/>
      <c r="Q1404" s="30"/>
      <c r="R1404" s="30"/>
      <c r="S1404" s="30"/>
      <c r="T1404" s="30"/>
      <c r="U1404" s="30"/>
      <c r="V1404" s="30"/>
      <c r="W1404" s="30"/>
      <c r="X1404" s="30"/>
    </row>
    <row r="1405">
      <c r="A1405" s="30"/>
      <c r="B1405" s="30"/>
      <c r="C1405" s="30"/>
      <c r="D1405" s="30"/>
      <c r="E1405" s="30"/>
      <c r="F1405" s="30"/>
      <c r="G1405" s="30"/>
      <c r="H1405" s="30"/>
      <c r="I1405" s="30"/>
      <c r="J1405" s="30"/>
      <c r="K1405" s="30"/>
      <c r="L1405" s="30"/>
      <c r="M1405" s="30"/>
      <c r="N1405" s="30"/>
      <c r="O1405" s="30"/>
      <c r="P1405" s="30"/>
      <c r="Q1405" s="30"/>
      <c r="R1405" s="30"/>
      <c r="S1405" s="30"/>
      <c r="T1405" s="30"/>
      <c r="U1405" s="30"/>
      <c r="V1405" s="30"/>
      <c r="W1405" s="30"/>
      <c r="X1405" s="30"/>
    </row>
    <row r="1406">
      <c r="A1406" s="30"/>
      <c r="B1406" s="30"/>
      <c r="C1406" s="30"/>
      <c r="D1406" s="30"/>
      <c r="E1406" s="30"/>
      <c r="F1406" s="30"/>
      <c r="G1406" s="30"/>
      <c r="H1406" s="30"/>
      <c r="I1406" s="30"/>
      <c r="J1406" s="30"/>
      <c r="K1406" s="30"/>
      <c r="L1406" s="30"/>
      <c r="M1406" s="30"/>
      <c r="N1406" s="30"/>
      <c r="O1406" s="30"/>
      <c r="P1406" s="30"/>
      <c r="Q1406" s="30"/>
      <c r="R1406" s="30"/>
      <c r="S1406" s="30"/>
      <c r="T1406" s="30"/>
      <c r="U1406" s="30"/>
      <c r="V1406" s="30"/>
      <c r="W1406" s="30"/>
      <c r="X1406" s="30"/>
    </row>
    <row r="1407">
      <c r="A1407" s="30"/>
      <c r="B1407" s="30"/>
      <c r="C1407" s="30"/>
      <c r="D1407" s="30"/>
      <c r="E1407" s="30"/>
      <c r="F1407" s="30"/>
      <c r="G1407" s="30"/>
      <c r="H1407" s="30"/>
      <c r="I1407" s="30"/>
      <c r="J1407" s="30"/>
      <c r="K1407" s="30"/>
      <c r="L1407" s="30"/>
      <c r="M1407" s="30"/>
      <c r="N1407" s="30"/>
      <c r="O1407" s="30"/>
      <c r="P1407" s="30"/>
      <c r="Q1407" s="30"/>
      <c r="R1407" s="30"/>
      <c r="S1407" s="30"/>
      <c r="T1407" s="30"/>
      <c r="U1407" s="30"/>
      <c r="V1407" s="30"/>
      <c r="W1407" s="30"/>
      <c r="X1407" s="30"/>
    </row>
    <row r="1408">
      <c r="A1408" s="30"/>
      <c r="B1408" s="30"/>
      <c r="C1408" s="30"/>
      <c r="D1408" s="30"/>
      <c r="E1408" s="30"/>
      <c r="F1408" s="30"/>
      <c r="G1408" s="30"/>
      <c r="H1408" s="30"/>
      <c r="I1408" s="30"/>
      <c r="J1408" s="30"/>
      <c r="K1408" s="30"/>
      <c r="L1408" s="30"/>
      <c r="M1408" s="30"/>
      <c r="N1408" s="30"/>
      <c r="O1408" s="30"/>
      <c r="P1408" s="30"/>
      <c r="Q1408" s="30"/>
      <c r="R1408" s="30"/>
      <c r="S1408" s="30"/>
      <c r="T1408" s="30"/>
      <c r="U1408" s="30"/>
      <c r="V1408" s="30"/>
      <c r="W1408" s="30"/>
      <c r="X1408" s="30"/>
    </row>
    <row r="1409">
      <c r="A1409" s="30"/>
      <c r="B1409" s="30"/>
      <c r="C1409" s="30"/>
      <c r="D1409" s="30"/>
      <c r="E1409" s="30"/>
      <c r="F1409" s="30"/>
      <c r="G1409" s="30"/>
      <c r="H1409" s="30"/>
      <c r="I1409" s="30"/>
      <c r="J1409" s="30"/>
      <c r="K1409" s="30"/>
      <c r="L1409" s="30"/>
      <c r="M1409" s="30"/>
      <c r="N1409" s="30"/>
      <c r="O1409" s="30"/>
      <c r="P1409" s="30"/>
      <c r="Q1409" s="30"/>
      <c r="R1409" s="30"/>
      <c r="S1409" s="30"/>
      <c r="T1409" s="30"/>
      <c r="U1409" s="30"/>
      <c r="V1409" s="30"/>
      <c r="W1409" s="30"/>
      <c r="X1409" s="30"/>
    </row>
    <row r="1410">
      <c r="A1410" s="30"/>
      <c r="B1410" s="30"/>
      <c r="C1410" s="30"/>
      <c r="D1410" s="30"/>
      <c r="E1410" s="30"/>
      <c r="F1410" s="30"/>
      <c r="G1410" s="30"/>
      <c r="H1410" s="30"/>
      <c r="I1410" s="30"/>
      <c r="J1410" s="30"/>
      <c r="K1410" s="30"/>
      <c r="L1410" s="30"/>
      <c r="M1410" s="30"/>
      <c r="N1410" s="30"/>
      <c r="O1410" s="30"/>
      <c r="P1410" s="30"/>
      <c r="Q1410" s="30"/>
      <c r="R1410" s="30"/>
      <c r="S1410" s="30"/>
      <c r="T1410" s="30"/>
      <c r="U1410" s="30"/>
      <c r="V1410" s="30"/>
      <c r="W1410" s="30"/>
      <c r="X1410" s="30"/>
    </row>
    <row r="1411">
      <c r="A1411" s="30"/>
      <c r="B1411" s="30"/>
      <c r="C1411" s="30"/>
      <c r="D1411" s="30"/>
      <c r="E1411" s="30"/>
      <c r="F1411" s="30"/>
      <c r="G1411" s="30"/>
      <c r="H1411" s="30"/>
      <c r="I1411" s="30"/>
      <c r="J1411" s="30"/>
      <c r="K1411" s="30"/>
      <c r="L1411" s="30"/>
      <c r="M1411" s="30"/>
      <c r="N1411" s="30"/>
      <c r="O1411" s="30"/>
      <c r="P1411" s="30"/>
      <c r="Q1411" s="30"/>
      <c r="R1411" s="30"/>
      <c r="S1411" s="30"/>
      <c r="T1411" s="30"/>
      <c r="U1411" s="30"/>
      <c r="V1411" s="30"/>
      <c r="W1411" s="30"/>
      <c r="X1411" s="30"/>
    </row>
    <row r="1412">
      <c r="A1412" s="30"/>
      <c r="B1412" s="30"/>
      <c r="C1412" s="30"/>
      <c r="D1412" s="30"/>
      <c r="E1412" s="30"/>
      <c r="F1412" s="30"/>
      <c r="G1412" s="30"/>
      <c r="H1412" s="30"/>
      <c r="I1412" s="30"/>
      <c r="J1412" s="30"/>
      <c r="K1412" s="30"/>
      <c r="L1412" s="30"/>
      <c r="M1412" s="30"/>
      <c r="N1412" s="30"/>
      <c r="O1412" s="30"/>
      <c r="P1412" s="30"/>
      <c r="Q1412" s="30"/>
      <c r="R1412" s="30"/>
      <c r="S1412" s="30"/>
      <c r="T1412" s="30"/>
      <c r="U1412" s="30"/>
      <c r="V1412" s="30"/>
      <c r="W1412" s="30"/>
      <c r="X1412" s="30"/>
    </row>
    <row r="1413">
      <c r="A1413" s="30"/>
      <c r="B1413" s="30"/>
      <c r="C1413" s="30"/>
      <c r="D1413" s="30"/>
      <c r="E1413" s="30"/>
      <c r="F1413" s="30"/>
      <c r="G1413" s="30"/>
      <c r="H1413" s="30"/>
      <c r="I1413" s="30"/>
      <c r="J1413" s="30"/>
      <c r="K1413" s="30"/>
      <c r="L1413" s="30"/>
      <c r="M1413" s="30"/>
      <c r="N1413" s="30"/>
      <c r="O1413" s="30"/>
      <c r="P1413" s="30"/>
      <c r="Q1413" s="30"/>
      <c r="R1413" s="30"/>
      <c r="S1413" s="30"/>
      <c r="T1413" s="30"/>
      <c r="U1413" s="30"/>
      <c r="V1413" s="30"/>
      <c r="W1413" s="30"/>
      <c r="X1413" s="30"/>
    </row>
    <row r="1414">
      <c r="A1414" s="30"/>
      <c r="B1414" s="30"/>
      <c r="C1414" s="30"/>
      <c r="D1414" s="30"/>
      <c r="E1414" s="30"/>
      <c r="F1414" s="30"/>
      <c r="G1414" s="30"/>
      <c r="H1414" s="30"/>
      <c r="I1414" s="30"/>
      <c r="J1414" s="30"/>
      <c r="K1414" s="30"/>
      <c r="L1414" s="30"/>
      <c r="M1414" s="30"/>
      <c r="N1414" s="30"/>
      <c r="O1414" s="30"/>
      <c r="P1414" s="30"/>
      <c r="Q1414" s="30"/>
      <c r="R1414" s="30"/>
      <c r="S1414" s="30"/>
      <c r="T1414" s="30"/>
      <c r="U1414" s="30"/>
      <c r="V1414" s="30"/>
      <c r="W1414" s="30"/>
      <c r="X1414" s="30"/>
    </row>
    <row r="1415">
      <c r="A1415" s="30"/>
      <c r="B1415" s="30"/>
      <c r="C1415" s="30"/>
      <c r="D1415" s="30"/>
      <c r="E1415" s="30"/>
      <c r="F1415" s="30"/>
      <c r="G1415" s="30"/>
      <c r="H1415" s="30"/>
      <c r="I1415" s="30"/>
      <c r="J1415" s="30"/>
      <c r="K1415" s="30"/>
      <c r="L1415" s="30"/>
      <c r="M1415" s="30"/>
      <c r="N1415" s="30"/>
      <c r="O1415" s="30"/>
      <c r="P1415" s="30"/>
      <c r="Q1415" s="30"/>
      <c r="R1415" s="30"/>
      <c r="S1415" s="30"/>
      <c r="T1415" s="30"/>
      <c r="U1415" s="30"/>
      <c r="V1415" s="30"/>
      <c r="W1415" s="30"/>
      <c r="X1415" s="30"/>
    </row>
    <row r="1416">
      <c r="A1416" s="30"/>
      <c r="B1416" s="30"/>
      <c r="C1416" s="30"/>
      <c r="D1416" s="30"/>
      <c r="E1416" s="30"/>
      <c r="F1416" s="30"/>
      <c r="G1416" s="30"/>
      <c r="H1416" s="30"/>
      <c r="I1416" s="30"/>
      <c r="J1416" s="30"/>
      <c r="K1416" s="30"/>
      <c r="L1416" s="30"/>
      <c r="M1416" s="30"/>
      <c r="N1416" s="30"/>
      <c r="O1416" s="30"/>
      <c r="P1416" s="30"/>
      <c r="Q1416" s="30"/>
      <c r="R1416" s="30"/>
      <c r="S1416" s="30"/>
      <c r="T1416" s="30"/>
      <c r="U1416" s="30"/>
      <c r="V1416" s="30"/>
      <c r="W1416" s="30"/>
      <c r="X1416" s="30"/>
    </row>
    <row r="1417">
      <c r="A1417" s="30"/>
      <c r="B1417" s="30"/>
      <c r="C1417" s="30"/>
      <c r="D1417" s="30"/>
      <c r="E1417" s="30"/>
      <c r="F1417" s="30"/>
      <c r="G1417" s="30"/>
      <c r="H1417" s="30"/>
      <c r="I1417" s="30"/>
      <c r="J1417" s="30"/>
      <c r="K1417" s="30"/>
      <c r="L1417" s="30"/>
      <c r="M1417" s="30"/>
      <c r="N1417" s="30"/>
      <c r="O1417" s="30"/>
      <c r="P1417" s="30"/>
      <c r="Q1417" s="30"/>
      <c r="R1417" s="30"/>
      <c r="S1417" s="30"/>
      <c r="T1417" s="30"/>
      <c r="U1417" s="30"/>
      <c r="V1417" s="30"/>
      <c r="W1417" s="30"/>
      <c r="X1417" s="30"/>
    </row>
    <row r="1418">
      <c r="A1418" s="30"/>
      <c r="B1418" s="30"/>
      <c r="C1418" s="30"/>
      <c r="D1418" s="30"/>
      <c r="E1418" s="30"/>
      <c r="F1418" s="30"/>
      <c r="G1418" s="30"/>
      <c r="H1418" s="30"/>
      <c r="I1418" s="30"/>
      <c r="J1418" s="30"/>
      <c r="K1418" s="30"/>
      <c r="L1418" s="30"/>
      <c r="M1418" s="30"/>
      <c r="N1418" s="30"/>
      <c r="O1418" s="30"/>
      <c r="P1418" s="30"/>
      <c r="Q1418" s="30"/>
      <c r="R1418" s="30"/>
      <c r="S1418" s="30"/>
      <c r="T1418" s="30"/>
      <c r="U1418" s="30"/>
      <c r="V1418" s="30"/>
      <c r="W1418" s="30"/>
      <c r="X1418" s="30"/>
    </row>
    <row r="1419">
      <c r="A1419" s="30"/>
      <c r="B1419" s="30"/>
      <c r="C1419" s="30"/>
      <c r="D1419" s="30"/>
      <c r="E1419" s="30"/>
      <c r="F1419" s="30"/>
      <c r="G1419" s="30"/>
      <c r="H1419" s="30"/>
      <c r="I1419" s="30"/>
      <c r="J1419" s="30"/>
      <c r="K1419" s="30"/>
      <c r="L1419" s="30"/>
      <c r="M1419" s="30"/>
      <c r="N1419" s="30"/>
      <c r="O1419" s="30"/>
      <c r="P1419" s="30"/>
      <c r="Q1419" s="30"/>
      <c r="R1419" s="30"/>
      <c r="S1419" s="30"/>
      <c r="T1419" s="30"/>
      <c r="U1419" s="30"/>
      <c r="V1419" s="30"/>
      <c r="W1419" s="30"/>
      <c r="X1419" s="30"/>
    </row>
    <row r="1420">
      <c r="A1420" s="30"/>
      <c r="B1420" s="30"/>
      <c r="C1420" s="30"/>
      <c r="D1420" s="30"/>
      <c r="E1420" s="30"/>
      <c r="F1420" s="30"/>
      <c r="G1420" s="30"/>
      <c r="H1420" s="30"/>
      <c r="I1420" s="30"/>
      <c r="J1420" s="30"/>
      <c r="K1420" s="30"/>
      <c r="L1420" s="30"/>
      <c r="M1420" s="30"/>
      <c r="N1420" s="30"/>
      <c r="O1420" s="30"/>
      <c r="P1420" s="30"/>
      <c r="Q1420" s="30"/>
      <c r="R1420" s="30"/>
      <c r="S1420" s="30"/>
      <c r="T1420" s="30"/>
      <c r="U1420" s="30"/>
      <c r="V1420" s="30"/>
      <c r="W1420" s="30"/>
      <c r="X1420" s="30"/>
    </row>
    <row r="1421">
      <c r="A1421" s="30"/>
      <c r="B1421" s="30"/>
      <c r="C1421" s="30"/>
      <c r="D1421" s="30"/>
      <c r="E1421" s="30"/>
      <c r="F1421" s="30"/>
      <c r="G1421" s="30"/>
      <c r="H1421" s="30"/>
      <c r="I1421" s="30"/>
      <c r="J1421" s="30"/>
      <c r="K1421" s="30"/>
      <c r="L1421" s="30"/>
      <c r="M1421" s="30"/>
      <c r="N1421" s="30"/>
      <c r="O1421" s="30"/>
      <c r="P1421" s="30"/>
      <c r="Q1421" s="30"/>
      <c r="R1421" s="30"/>
      <c r="S1421" s="30"/>
      <c r="T1421" s="30"/>
      <c r="U1421" s="30"/>
      <c r="V1421" s="30"/>
      <c r="W1421" s="30"/>
      <c r="X1421" s="30"/>
    </row>
    <row r="1422">
      <c r="A1422" s="30"/>
      <c r="B1422" s="30"/>
      <c r="C1422" s="30"/>
      <c r="D1422" s="30"/>
      <c r="E1422" s="30"/>
      <c r="F1422" s="30"/>
      <c r="G1422" s="30"/>
      <c r="H1422" s="30"/>
      <c r="I1422" s="30"/>
      <c r="J1422" s="30"/>
      <c r="K1422" s="30"/>
      <c r="L1422" s="30"/>
      <c r="M1422" s="30"/>
      <c r="N1422" s="30"/>
      <c r="O1422" s="30"/>
      <c r="P1422" s="30"/>
      <c r="Q1422" s="30"/>
      <c r="R1422" s="30"/>
      <c r="S1422" s="30"/>
      <c r="T1422" s="30"/>
      <c r="U1422" s="30"/>
      <c r="V1422" s="30"/>
      <c r="W1422" s="30"/>
      <c r="X1422" s="30"/>
    </row>
    <row r="1423">
      <c r="A1423" s="30"/>
      <c r="B1423" s="30"/>
      <c r="C1423" s="30"/>
      <c r="D1423" s="30"/>
      <c r="E1423" s="30"/>
      <c r="F1423" s="30"/>
      <c r="G1423" s="30"/>
      <c r="H1423" s="30"/>
      <c r="I1423" s="30"/>
      <c r="J1423" s="30"/>
      <c r="K1423" s="30"/>
      <c r="L1423" s="30"/>
      <c r="M1423" s="30"/>
      <c r="N1423" s="30"/>
      <c r="O1423" s="30"/>
      <c r="P1423" s="30"/>
      <c r="Q1423" s="30"/>
      <c r="R1423" s="30"/>
      <c r="S1423" s="30"/>
      <c r="T1423" s="30"/>
      <c r="U1423" s="30"/>
      <c r="V1423" s="30"/>
      <c r="W1423" s="30"/>
      <c r="X1423" s="30"/>
    </row>
    <row r="1424">
      <c r="A1424" s="30"/>
      <c r="B1424" s="30"/>
      <c r="C1424" s="30"/>
      <c r="D1424" s="30"/>
      <c r="E1424" s="30"/>
      <c r="F1424" s="30"/>
      <c r="G1424" s="30"/>
      <c r="H1424" s="30"/>
      <c r="I1424" s="30"/>
      <c r="J1424" s="30"/>
      <c r="K1424" s="30"/>
      <c r="L1424" s="30"/>
      <c r="M1424" s="30"/>
      <c r="N1424" s="30"/>
      <c r="O1424" s="30"/>
      <c r="P1424" s="30"/>
      <c r="Q1424" s="30"/>
      <c r="R1424" s="30"/>
      <c r="S1424" s="30"/>
      <c r="T1424" s="30"/>
      <c r="U1424" s="30"/>
      <c r="V1424" s="30"/>
      <c r="W1424" s="30"/>
      <c r="X1424" s="30"/>
    </row>
    <row r="1425">
      <c r="A1425" s="30"/>
      <c r="B1425" s="30"/>
      <c r="C1425" s="30"/>
      <c r="D1425" s="30"/>
      <c r="E1425" s="30"/>
      <c r="F1425" s="30"/>
      <c r="G1425" s="30"/>
      <c r="H1425" s="30"/>
      <c r="I1425" s="30"/>
      <c r="J1425" s="30"/>
      <c r="K1425" s="30"/>
      <c r="L1425" s="30"/>
      <c r="M1425" s="30"/>
      <c r="N1425" s="30"/>
      <c r="O1425" s="30"/>
      <c r="P1425" s="30"/>
      <c r="Q1425" s="30"/>
      <c r="R1425" s="30"/>
      <c r="S1425" s="30"/>
      <c r="T1425" s="30"/>
      <c r="U1425" s="30"/>
      <c r="V1425" s="30"/>
      <c r="W1425" s="30"/>
      <c r="X1425" s="30"/>
    </row>
    <row r="1426">
      <c r="A1426" s="30"/>
      <c r="B1426" s="30"/>
      <c r="C1426" s="30"/>
      <c r="D1426" s="30"/>
      <c r="E1426" s="30"/>
      <c r="F1426" s="30"/>
      <c r="G1426" s="30"/>
      <c r="H1426" s="30"/>
      <c r="I1426" s="30"/>
      <c r="J1426" s="30"/>
      <c r="K1426" s="30"/>
      <c r="L1426" s="30"/>
      <c r="M1426" s="30"/>
      <c r="N1426" s="30"/>
      <c r="O1426" s="30"/>
      <c r="P1426" s="30"/>
      <c r="Q1426" s="30"/>
      <c r="R1426" s="30"/>
      <c r="S1426" s="30"/>
      <c r="T1426" s="30"/>
      <c r="U1426" s="30"/>
      <c r="V1426" s="30"/>
      <c r="W1426" s="30"/>
      <c r="X1426" s="30"/>
    </row>
    <row r="1427">
      <c r="A1427" s="30"/>
      <c r="B1427" s="30"/>
      <c r="C1427" s="30"/>
      <c r="D1427" s="30"/>
      <c r="E1427" s="30"/>
      <c r="F1427" s="30"/>
      <c r="G1427" s="30"/>
      <c r="H1427" s="30"/>
      <c r="I1427" s="30"/>
      <c r="J1427" s="30"/>
      <c r="K1427" s="30"/>
      <c r="L1427" s="30"/>
      <c r="M1427" s="30"/>
      <c r="N1427" s="30"/>
      <c r="O1427" s="30"/>
      <c r="P1427" s="30"/>
      <c r="Q1427" s="30"/>
      <c r="R1427" s="30"/>
      <c r="S1427" s="30"/>
      <c r="T1427" s="30"/>
      <c r="U1427" s="30"/>
      <c r="V1427" s="30"/>
      <c r="W1427" s="30"/>
      <c r="X1427" s="30"/>
    </row>
    <row r="1428">
      <c r="A1428" s="30"/>
      <c r="B1428" s="30"/>
      <c r="C1428" s="30"/>
      <c r="D1428" s="30"/>
      <c r="E1428" s="30"/>
      <c r="F1428" s="30"/>
      <c r="G1428" s="30"/>
      <c r="H1428" s="30"/>
      <c r="I1428" s="30"/>
      <c r="J1428" s="30"/>
      <c r="K1428" s="30"/>
      <c r="L1428" s="30"/>
      <c r="M1428" s="30"/>
      <c r="N1428" s="30"/>
      <c r="O1428" s="30"/>
      <c r="P1428" s="30"/>
      <c r="Q1428" s="30"/>
      <c r="R1428" s="30"/>
      <c r="S1428" s="30"/>
      <c r="T1428" s="30"/>
      <c r="U1428" s="30"/>
      <c r="V1428" s="30"/>
      <c r="W1428" s="30"/>
      <c r="X1428" s="30"/>
    </row>
    <row r="1429">
      <c r="A1429" s="30"/>
      <c r="B1429" s="30"/>
      <c r="C1429" s="30"/>
      <c r="D1429" s="30"/>
      <c r="E1429" s="30"/>
      <c r="F1429" s="30"/>
      <c r="G1429" s="30"/>
      <c r="H1429" s="30"/>
      <c r="I1429" s="30"/>
      <c r="J1429" s="30"/>
      <c r="K1429" s="30"/>
      <c r="L1429" s="30"/>
      <c r="M1429" s="30"/>
      <c r="N1429" s="30"/>
      <c r="O1429" s="30"/>
      <c r="P1429" s="30"/>
      <c r="Q1429" s="30"/>
      <c r="R1429" s="30"/>
      <c r="S1429" s="30"/>
      <c r="T1429" s="30"/>
      <c r="U1429" s="30"/>
      <c r="V1429" s="30"/>
      <c r="W1429" s="30"/>
      <c r="X1429" s="30"/>
    </row>
    <row r="1430">
      <c r="A1430" s="30"/>
      <c r="B1430" s="30"/>
      <c r="C1430" s="30"/>
      <c r="D1430" s="30"/>
      <c r="E1430" s="30"/>
      <c r="F1430" s="30"/>
      <c r="G1430" s="30"/>
      <c r="H1430" s="30"/>
      <c r="I1430" s="30"/>
      <c r="J1430" s="30"/>
      <c r="K1430" s="30"/>
      <c r="L1430" s="30"/>
      <c r="M1430" s="30"/>
      <c r="N1430" s="30"/>
      <c r="O1430" s="30"/>
      <c r="P1430" s="30"/>
      <c r="Q1430" s="30"/>
      <c r="R1430" s="30"/>
      <c r="S1430" s="30"/>
      <c r="T1430" s="30"/>
      <c r="U1430" s="30"/>
      <c r="V1430" s="30"/>
      <c r="W1430" s="30"/>
      <c r="X1430" s="30"/>
    </row>
    <row r="1431">
      <c r="A1431" s="30"/>
      <c r="B1431" s="30"/>
      <c r="C1431" s="30"/>
      <c r="D1431" s="30"/>
      <c r="E1431" s="30"/>
      <c r="F1431" s="30"/>
      <c r="G1431" s="30"/>
      <c r="H1431" s="30"/>
      <c r="I1431" s="30"/>
      <c r="J1431" s="30"/>
      <c r="K1431" s="30"/>
      <c r="L1431" s="30"/>
      <c r="M1431" s="30"/>
      <c r="N1431" s="30"/>
      <c r="O1431" s="30"/>
      <c r="P1431" s="30"/>
      <c r="Q1431" s="30"/>
      <c r="R1431" s="30"/>
      <c r="S1431" s="30"/>
      <c r="T1431" s="30"/>
      <c r="U1431" s="30"/>
      <c r="V1431" s="30"/>
      <c r="W1431" s="30"/>
      <c r="X1431" s="30"/>
    </row>
    <row r="1432">
      <c r="A1432" s="30"/>
      <c r="B1432" s="30"/>
      <c r="C1432" s="30"/>
      <c r="D1432" s="30"/>
      <c r="E1432" s="30"/>
      <c r="F1432" s="30"/>
      <c r="G1432" s="30"/>
      <c r="H1432" s="30"/>
      <c r="I1432" s="30"/>
      <c r="J1432" s="30"/>
      <c r="K1432" s="30"/>
      <c r="L1432" s="30"/>
      <c r="M1432" s="30"/>
      <c r="N1432" s="30"/>
      <c r="O1432" s="30"/>
      <c r="P1432" s="30"/>
      <c r="Q1432" s="30"/>
      <c r="R1432" s="30"/>
      <c r="S1432" s="30"/>
      <c r="T1432" s="30"/>
      <c r="U1432" s="30"/>
      <c r="V1432" s="30"/>
      <c r="W1432" s="30"/>
      <c r="X1432" s="30"/>
    </row>
    <row r="1433">
      <c r="A1433" s="30"/>
      <c r="B1433" s="30"/>
      <c r="C1433" s="30"/>
      <c r="D1433" s="30"/>
      <c r="E1433" s="30"/>
      <c r="F1433" s="30"/>
      <c r="G1433" s="30"/>
      <c r="H1433" s="30"/>
      <c r="I1433" s="30"/>
      <c r="J1433" s="30"/>
      <c r="K1433" s="30"/>
      <c r="L1433" s="30"/>
      <c r="M1433" s="30"/>
      <c r="N1433" s="30"/>
      <c r="O1433" s="30"/>
      <c r="P1433" s="30"/>
      <c r="Q1433" s="30"/>
      <c r="R1433" s="30"/>
      <c r="S1433" s="30"/>
      <c r="T1433" s="30"/>
      <c r="U1433" s="30"/>
      <c r="V1433" s="30"/>
      <c r="W1433" s="30"/>
      <c r="X1433" s="30"/>
    </row>
    <row r="1434">
      <c r="A1434" s="30"/>
      <c r="B1434" s="30"/>
      <c r="C1434" s="30"/>
      <c r="D1434" s="30"/>
      <c r="E1434" s="30"/>
      <c r="F1434" s="30"/>
      <c r="G1434" s="30"/>
      <c r="H1434" s="30"/>
      <c r="I1434" s="30"/>
      <c r="J1434" s="30"/>
      <c r="K1434" s="30"/>
      <c r="L1434" s="30"/>
      <c r="M1434" s="30"/>
      <c r="N1434" s="30"/>
      <c r="O1434" s="30"/>
      <c r="P1434" s="30"/>
      <c r="Q1434" s="30"/>
      <c r="R1434" s="30"/>
      <c r="S1434" s="30"/>
      <c r="T1434" s="30"/>
      <c r="U1434" s="30"/>
      <c r="V1434" s="30"/>
      <c r="W1434" s="30"/>
      <c r="X1434" s="30"/>
    </row>
    <row r="1435">
      <c r="A1435" s="30"/>
      <c r="B1435" s="30"/>
      <c r="C1435" s="30"/>
      <c r="D1435" s="30"/>
      <c r="E1435" s="30"/>
      <c r="F1435" s="30"/>
      <c r="G1435" s="30"/>
      <c r="H1435" s="30"/>
      <c r="I1435" s="30"/>
      <c r="J1435" s="30"/>
      <c r="K1435" s="30"/>
      <c r="L1435" s="30"/>
      <c r="M1435" s="30"/>
      <c r="N1435" s="30"/>
      <c r="O1435" s="30"/>
      <c r="P1435" s="30"/>
      <c r="Q1435" s="30"/>
      <c r="R1435" s="30"/>
      <c r="S1435" s="30"/>
      <c r="T1435" s="30"/>
      <c r="U1435" s="30"/>
      <c r="V1435" s="30"/>
      <c r="W1435" s="30"/>
      <c r="X1435" s="30"/>
    </row>
    <row r="1436">
      <c r="A1436" s="30"/>
      <c r="B1436" s="30"/>
      <c r="C1436" s="30"/>
      <c r="D1436" s="30"/>
      <c r="E1436" s="30"/>
      <c r="F1436" s="30"/>
      <c r="G1436" s="30"/>
      <c r="H1436" s="30"/>
      <c r="I1436" s="30"/>
      <c r="J1436" s="30"/>
      <c r="K1436" s="30"/>
      <c r="L1436" s="30"/>
      <c r="M1436" s="30"/>
      <c r="N1436" s="30"/>
      <c r="O1436" s="30"/>
      <c r="P1436" s="30"/>
      <c r="Q1436" s="30"/>
      <c r="R1436" s="30"/>
      <c r="S1436" s="30"/>
      <c r="T1436" s="30"/>
      <c r="U1436" s="30"/>
      <c r="V1436" s="30"/>
      <c r="W1436" s="30"/>
      <c r="X1436" s="30"/>
    </row>
    <row r="1437">
      <c r="A1437" s="30"/>
      <c r="B1437" s="30"/>
      <c r="C1437" s="30"/>
      <c r="D1437" s="30"/>
      <c r="E1437" s="30"/>
      <c r="F1437" s="30"/>
      <c r="G1437" s="30"/>
      <c r="H1437" s="30"/>
      <c r="I1437" s="30"/>
      <c r="J1437" s="30"/>
      <c r="K1437" s="30"/>
      <c r="L1437" s="30"/>
      <c r="M1437" s="30"/>
      <c r="N1437" s="30"/>
      <c r="O1437" s="30"/>
      <c r="P1437" s="30"/>
      <c r="Q1437" s="30"/>
      <c r="R1437" s="30"/>
      <c r="S1437" s="30"/>
      <c r="T1437" s="30"/>
      <c r="U1437" s="30"/>
      <c r="V1437" s="30"/>
      <c r="W1437" s="30"/>
      <c r="X1437" s="30"/>
    </row>
    <row r="1438">
      <c r="A1438" s="30"/>
      <c r="B1438" s="30"/>
      <c r="C1438" s="30"/>
      <c r="D1438" s="30"/>
      <c r="E1438" s="30"/>
      <c r="F1438" s="30"/>
      <c r="G1438" s="30"/>
      <c r="H1438" s="30"/>
      <c r="I1438" s="30"/>
      <c r="J1438" s="30"/>
      <c r="K1438" s="30"/>
      <c r="L1438" s="30"/>
      <c r="M1438" s="30"/>
      <c r="N1438" s="30"/>
      <c r="O1438" s="30"/>
      <c r="P1438" s="30"/>
      <c r="Q1438" s="30"/>
      <c r="R1438" s="30"/>
      <c r="S1438" s="30"/>
      <c r="T1438" s="30"/>
      <c r="U1438" s="30"/>
      <c r="V1438" s="30"/>
      <c r="W1438" s="30"/>
      <c r="X1438" s="30"/>
    </row>
    <row r="1439">
      <c r="A1439" s="30"/>
      <c r="B1439" s="30"/>
      <c r="C1439" s="30"/>
      <c r="D1439" s="30"/>
      <c r="E1439" s="30"/>
      <c r="F1439" s="30"/>
      <c r="G1439" s="30"/>
      <c r="H1439" s="30"/>
      <c r="I1439" s="30"/>
      <c r="J1439" s="30"/>
      <c r="K1439" s="30"/>
      <c r="L1439" s="30"/>
      <c r="M1439" s="30"/>
      <c r="N1439" s="30"/>
      <c r="O1439" s="30"/>
      <c r="P1439" s="30"/>
      <c r="Q1439" s="30"/>
      <c r="R1439" s="30"/>
      <c r="S1439" s="30"/>
      <c r="T1439" s="30"/>
      <c r="U1439" s="30"/>
      <c r="V1439" s="30"/>
      <c r="W1439" s="30"/>
      <c r="X1439" s="30"/>
    </row>
    <row r="1440">
      <c r="A1440" s="30"/>
      <c r="B1440" s="30"/>
      <c r="C1440" s="30"/>
      <c r="D1440" s="30"/>
      <c r="E1440" s="30"/>
      <c r="F1440" s="30"/>
      <c r="G1440" s="30"/>
      <c r="H1440" s="30"/>
      <c r="I1440" s="30"/>
      <c r="J1440" s="30"/>
      <c r="K1440" s="30"/>
      <c r="L1440" s="30"/>
      <c r="M1440" s="30"/>
      <c r="N1440" s="30"/>
      <c r="O1440" s="30"/>
      <c r="P1440" s="30"/>
      <c r="Q1440" s="30"/>
      <c r="R1440" s="30"/>
      <c r="S1440" s="30"/>
      <c r="T1440" s="30"/>
      <c r="U1440" s="30"/>
      <c r="V1440" s="30"/>
      <c r="W1440" s="30"/>
      <c r="X1440" s="30"/>
    </row>
    <row r="1441">
      <c r="A1441" s="30"/>
      <c r="B1441" s="30"/>
      <c r="C1441" s="30"/>
      <c r="D1441" s="30"/>
      <c r="E1441" s="30"/>
      <c r="F1441" s="30"/>
      <c r="G1441" s="30"/>
      <c r="H1441" s="30"/>
      <c r="I1441" s="30"/>
      <c r="J1441" s="30"/>
      <c r="K1441" s="30"/>
      <c r="L1441" s="30"/>
      <c r="M1441" s="30"/>
      <c r="N1441" s="30"/>
      <c r="O1441" s="30"/>
      <c r="P1441" s="30"/>
      <c r="Q1441" s="30"/>
      <c r="R1441" s="30"/>
      <c r="S1441" s="30"/>
      <c r="T1441" s="30"/>
      <c r="U1441" s="30"/>
      <c r="V1441" s="30"/>
      <c r="W1441" s="30"/>
      <c r="X1441" s="30"/>
    </row>
    <row r="1442">
      <c r="A1442" s="30"/>
      <c r="B1442" s="30"/>
      <c r="C1442" s="30"/>
      <c r="D1442" s="30"/>
      <c r="E1442" s="30"/>
      <c r="F1442" s="30"/>
      <c r="G1442" s="30"/>
      <c r="H1442" s="30"/>
      <c r="I1442" s="30"/>
      <c r="J1442" s="30"/>
      <c r="K1442" s="30"/>
      <c r="L1442" s="30"/>
      <c r="M1442" s="30"/>
      <c r="N1442" s="30"/>
      <c r="O1442" s="30"/>
      <c r="P1442" s="30"/>
      <c r="Q1442" s="30"/>
      <c r="R1442" s="30"/>
      <c r="S1442" s="30"/>
      <c r="T1442" s="30"/>
      <c r="U1442" s="30"/>
      <c r="V1442" s="30"/>
      <c r="W1442" s="30"/>
      <c r="X1442" s="30"/>
    </row>
    <row r="1443">
      <c r="A1443" s="30"/>
      <c r="B1443" s="30"/>
      <c r="C1443" s="30"/>
      <c r="D1443" s="30"/>
      <c r="E1443" s="30"/>
      <c r="F1443" s="30"/>
      <c r="G1443" s="30"/>
      <c r="H1443" s="30"/>
      <c r="I1443" s="30"/>
      <c r="J1443" s="30"/>
      <c r="K1443" s="30"/>
      <c r="L1443" s="30"/>
      <c r="M1443" s="30"/>
      <c r="N1443" s="30"/>
      <c r="O1443" s="30"/>
      <c r="P1443" s="30"/>
      <c r="Q1443" s="30"/>
      <c r="R1443" s="30"/>
      <c r="S1443" s="30"/>
      <c r="T1443" s="30"/>
      <c r="U1443" s="30"/>
      <c r="V1443" s="30"/>
      <c r="W1443" s="30"/>
      <c r="X1443" s="30"/>
    </row>
    <row r="1444">
      <c r="A1444" s="30"/>
      <c r="B1444" s="30"/>
      <c r="C1444" s="30"/>
      <c r="D1444" s="30"/>
      <c r="E1444" s="30"/>
      <c r="F1444" s="30"/>
      <c r="G1444" s="30"/>
      <c r="H1444" s="30"/>
      <c r="I1444" s="30"/>
      <c r="J1444" s="30"/>
      <c r="K1444" s="30"/>
      <c r="L1444" s="30"/>
      <c r="M1444" s="30"/>
      <c r="N1444" s="30"/>
      <c r="O1444" s="30"/>
      <c r="P1444" s="30"/>
      <c r="Q1444" s="30"/>
      <c r="R1444" s="30"/>
      <c r="S1444" s="30"/>
      <c r="T1444" s="30"/>
      <c r="U1444" s="30"/>
      <c r="V1444" s="30"/>
      <c r="W1444" s="30"/>
      <c r="X1444" s="30"/>
    </row>
    <row r="1445">
      <c r="A1445" s="30"/>
      <c r="B1445" s="30"/>
      <c r="C1445" s="30"/>
      <c r="D1445" s="30"/>
      <c r="E1445" s="30"/>
      <c r="F1445" s="30"/>
      <c r="G1445" s="30"/>
      <c r="H1445" s="30"/>
      <c r="I1445" s="30"/>
      <c r="J1445" s="30"/>
      <c r="K1445" s="30"/>
      <c r="L1445" s="30"/>
      <c r="M1445" s="30"/>
      <c r="N1445" s="30"/>
      <c r="O1445" s="30"/>
      <c r="P1445" s="30"/>
      <c r="Q1445" s="30"/>
      <c r="R1445" s="30"/>
      <c r="S1445" s="30"/>
      <c r="T1445" s="30"/>
      <c r="U1445" s="30"/>
      <c r="V1445" s="30"/>
      <c r="W1445" s="30"/>
      <c r="X1445" s="30"/>
    </row>
    <row r="1446">
      <c r="A1446" s="30"/>
      <c r="B1446" s="30"/>
      <c r="C1446" s="30"/>
      <c r="D1446" s="30"/>
      <c r="E1446" s="30"/>
      <c r="F1446" s="30"/>
      <c r="G1446" s="30"/>
      <c r="H1446" s="30"/>
      <c r="I1446" s="30"/>
      <c r="J1446" s="30"/>
      <c r="K1446" s="30"/>
      <c r="L1446" s="30"/>
      <c r="M1446" s="30"/>
      <c r="N1446" s="30"/>
      <c r="O1446" s="30"/>
      <c r="P1446" s="30"/>
      <c r="Q1446" s="30"/>
      <c r="R1446" s="30"/>
      <c r="S1446" s="30"/>
      <c r="T1446" s="30"/>
      <c r="U1446" s="30"/>
      <c r="V1446" s="30"/>
      <c r="W1446" s="30"/>
      <c r="X1446" s="30"/>
    </row>
    <row r="1447">
      <c r="A1447" s="30"/>
      <c r="B1447" s="30"/>
      <c r="C1447" s="30"/>
      <c r="D1447" s="30"/>
      <c r="E1447" s="30"/>
      <c r="F1447" s="30"/>
      <c r="G1447" s="30"/>
      <c r="H1447" s="30"/>
      <c r="I1447" s="30"/>
      <c r="J1447" s="30"/>
      <c r="K1447" s="30"/>
      <c r="L1447" s="30"/>
      <c r="M1447" s="30"/>
      <c r="N1447" s="30"/>
      <c r="O1447" s="30"/>
      <c r="P1447" s="30"/>
      <c r="Q1447" s="30"/>
      <c r="R1447" s="30"/>
      <c r="S1447" s="30"/>
      <c r="T1447" s="30"/>
      <c r="U1447" s="30"/>
      <c r="V1447" s="30"/>
      <c r="W1447" s="30"/>
      <c r="X1447" s="30"/>
    </row>
    <row r="1448">
      <c r="A1448" s="30"/>
      <c r="B1448" s="30"/>
      <c r="C1448" s="30"/>
      <c r="D1448" s="30"/>
      <c r="E1448" s="30"/>
      <c r="F1448" s="30"/>
      <c r="G1448" s="30"/>
      <c r="H1448" s="30"/>
      <c r="I1448" s="30"/>
      <c r="J1448" s="30"/>
      <c r="K1448" s="30"/>
      <c r="L1448" s="30"/>
      <c r="M1448" s="30"/>
      <c r="N1448" s="30"/>
      <c r="O1448" s="30"/>
      <c r="P1448" s="30"/>
      <c r="Q1448" s="30"/>
      <c r="R1448" s="30"/>
      <c r="S1448" s="30"/>
      <c r="T1448" s="30"/>
      <c r="U1448" s="30"/>
      <c r="V1448" s="30"/>
      <c r="W1448" s="30"/>
      <c r="X1448" s="30"/>
    </row>
    <row r="1449">
      <c r="A1449" s="30"/>
      <c r="B1449" s="30"/>
      <c r="C1449" s="30"/>
      <c r="D1449" s="30"/>
      <c r="E1449" s="30"/>
      <c r="F1449" s="30"/>
      <c r="G1449" s="30"/>
      <c r="H1449" s="30"/>
      <c r="I1449" s="30"/>
      <c r="J1449" s="30"/>
      <c r="K1449" s="30"/>
      <c r="L1449" s="30"/>
      <c r="M1449" s="30"/>
      <c r="N1449" s="30"/>
      <c r="O1449" s="30"/>
      <c r="P1449" s="30"/>
      <c r="Q1449" s="30"/>
      <c r="R1449" s="30"/>
      <c r="S1449" s="30"/>
      <c r="T1449" s="30"/>
      <c r="U1449" s="30"/>
      <c r="V1449" s="30"/>
      <c r="W1449" s="30"/>
      <c r="X1449" s="30"/>
    </row>
    <row r="1450">
      <c r="A1450" s="30"/>
      <c r="B1450" s="30"/>
      <c r="C1450" s="30"/>
      <c r="D1450" s="30"/>
      <c r="E1450" s="30"/>
      <c r="F1450" s="30"/>
      <c r="G1450" s="30"/>
      <c r="H1450" s="30"/>
      <c r="I1450" s="30"/>
      <c r="J1450" s="30"/>
      <c r="K1450" s="30"/>
      <c r="L1450" s="30"/>
      <c r="M1450" s="30"/>
      <c r="N1450" s="30"/>
      <c r="O1450" s="30"/>
      <c r="P1450" s="30"/>
      <c r="Q1450" s="30"/>
      <c r="R1450" s="30"/>
      <c r="S1450" s="30"/>
      <c r="T1450" s="30"/>
      <c r="U1450" s="30"/>
      <c r="V1450" s="30"/>
      <c r="W1450" s="30"/>
      <c r="X1450" s="30"/>
    </row>
    <row r="1451">
      <c r="A1451" s="30"/>
      <c r="B1451" s="30"/>
      <c r="C1451" s="30"/>
      <c r="D1451" s="30"/>
      <c r="E1451" s="30"/>
      <c r="F1451" s="30"/>
      <c r="G1451" s="30"/>
      <c r="H1451" s="30"/>
      <c r="I1451" s="30"/>
      <c r="J1451" s="30"/>
      <c r="K1451" s="30"/>
      <c r="L1451" s="30"/>
      <c r="M1451" s="30"/>
      <c r="N1451" s="30"/>
      <c r="O1451" s="30"/>
      <c r="P1451" s="30"/>
      <c r="Q1451" s="30"/>
      <c r="R1451" s="30"/>
      <c r="S1451" s="30"/>
      <c r="T1451" s="30"/>
      <c r="U1451" s="30"/>
      <c r="V1451" s="30"/>
      <c r="W1451" s="30"/>
      <c r="X1451" s="30"/>
    </row>
    <row r="1452">
      <c r="A1452" s="30"/>
      <c r="B1452" s="30"/>
      <c r="C1452" s="30"/>
      <c r="D1452" s="30"/>
      <c r="E1452" s="30"/>
      <c r="F1452" s="30"/>
      <c r="G1452" s="30"/>
      <c r="H1452" s="30"/>
      <c r="I1452" s="30"/>
      <c r="J1452" s="30"/>
      <c r="K1452" s="30"/>
      <c r="L1452" s="30"/>
      <c r="M1452" s="30"/>
      <c r="N1452" s="30"/>
      <c r="O1452" s="30"/>
      <c r="P1452" s="30"/>
      <c r="Q1452" s="30"/>
      <c r="R1452" s="30"/>
      <c r="S1452" s="30"/>
      <c r="T1452" s="30"/>
      <c r="U1452" s="30"/>
      <c r="V1452" s="30"/>
      <c r="W1452" s="30"/>
      <c r="X1452" s="30"/>
    </row>
    <row r="1453">
      <c r="A1453" s="30"/>
      <c r="B1453" s="30"/>
      <c r="C1453" s="30"/>
      <c r="D1453" s="30"/>
      <c r="E1453" s="30"/>
      <c r="F1453" s="30"/>
      <c r="G1453" s="30"/>
      <c r="H1453" s="30"/>
      <c r="I1453" s="30"/>
      <c r="J1453" s="30"/>
      <c r="K1453" s="30"/>
      <c r="L1453" s="30"/>
      <c r="M1453" s="30"/>
      <c r="N1453" s="30"/>
      <c r="O1453" s="30"/>
      <c r="P1453" s="30"/>
      <c r="Q1453" s="30"/>
      <c r="R1453" s="30"/>
      <c r="S1453" s="30"/>
      <c r="T1453" s="30"/>
      <c r="U1453" s="30"/>
      <c r="V1453" s="30"/>
      <c r="W1453" s="30"/>
      <c r="X1453" s="30"/>
    </row>
    <row r="1454">
      <c r="A1454" s="30"/>
      <c r="B1454" s="30"/>
      <c r="C1454" s="30"/>
      <c r="D1454" s="30"/>
      <c r="E1454" s="30"/>
      <c r="F1454" s="30"/>
      <c r="G1454" s="30"/>
      <c r="H1454" s="30"/>
      <c r="I1454" s="30"/>
      <c r="J1454" s="30"/>
      <c r="K1454" s="30"/>
      <c r="L1454" s="30"/>
      <c r="M1454" s="30"/>
      <c r="N1454" s="30"/>
      <c r="O1454" s="30"/>
      <c r="P1454" s="30"/>
      <c r="Q1454" s="30"/>
      <c r="R1454" s="30"/>
      <c r="S1454" s="30"/>
      <c r="T1454" s="30"/>
      <c r="U1454" s="30"/>
      <c r="V1454" s="30"/>
      <c r="W1454" s="30"/>
      <c r="X1454" s="30"/>
    </row>
    <row r="1455">
      <c r="A1455" s="30"/>
      <c r="B1455" s="30"/>
      <c r="C1455" s="30"/>
      <c r="D1455" s="30"/>
      <c r="E1455" s="30"/>
      <c r="F1455" s="30"/>
      <c r="G1455" s="30"/>
      <c r="H1455" s="30"/>
      <c r="I1455" s="30"/>
      <c r="J1455" s="30"/>
      <c r="K1455" s="30"/>
      <c r="L1455" s="30"/>
      <c r="M1455" s="30"/>
      <c r="N1455" s="30"/>
      <c r="O1455" s="30"/>
      <c r="P1455" s="30"/>
      <c r="Q1455" s="30"/>
      <c r="R1455" s="30"/>
      <c r="S1455" s="30"/>
      <c r="T1455" s="30"/>
      <c r="U1455" s="30"/>
      <c r="V1455" s="30"/>
      <c r="W1455" s="30"/>
      <c r="X1455" s="30"/>
    </row>
    <row r="1456">
      <c r="A1456" s="30"/>
      <c r="B1456" s="30"/>
      <c r="C1456" s="30"/>
      <c r="D1456" s="30"/>
      <c r="E1456" s="30"/>
      <c r="F1456" s="30"/>
      <c r="G1456" s="30"/>
      <c r="H1456" s="30"/>
      <c r="I1456" s="30"/>
      <c r="J1456" s="30"/>
      <c r="K1456" s="30"/>
      <c r="L1456" s="30"/>
      <c r="M1456" s="30"/>
      <c r="N1456" s="30"/>
      <c r="O1456" s="30"/>
      <c r="P1456" s="30"/>
      <c r="Q1456" s="30"/>
      <c r="R1456" s="30"/>
      <c r="S1456" s="30"/>
      <c r="T1456" s="30"/>
      <c r="U1456" s="30"/>
      <c r="V1456" s="30"/>
      <c r="W1456" s="30"/>
      <c r="X1456" s="30"/>
    </row>
    <row r="1457">
      <c r="A1457" s="30"/>
      <c r="B1457" s="30"/>
      <c r="C1457" s="30"/>
      <c r="D1457" s="30"/>
      <c r="E1457" s="30"/>
      <c r="F1457" s="30"/>
      <c r="G1457" s="30"/>
      <c r="H1457" s="30"/>
      <c r="I1457" s="30"/>
      <c r="J1457" s="30"/>
      <c r="K1457" s="30"/>
      <c r="L1457" s="30"/>
      <c r="M1457" s="30"/>
      <c r="N1457" s="30"/>
      <c r="O1457" s="30"/>
      <c r="P1457" s="30"/>
      <c r="Q1457" s="30"/>
      <c r="R1457" s="30"/>
      <c r="S1457" s="30"/>
      <c r="T1457" s="30"/>
      <c r="U1457" s="30"/>
      <c r="V1457" s="30"/>
      <c r="W1457" s="30"/>
      <c r="X1457" s="30"/>
    </row>
    <row r="1458">
      <c r="A1458" s="30"/>
      <c r="B1458" s="30"/>
      <c r="C1458" s="30"/>
      <c r="D1458" s="30"/>
      <c r="E1458" s="30"/>
      <c r="F1458" s="30"/>
      <c r="G1458" s="30"/>
      <c r="H1458" s="30"/>
      <c r="I1458" s="30"/>
      <c r="J1458" s="30"/>
      <c r="K1458" s="30"/>
      <c r="L1458" s="30"/>
      <c r="M1458" s="30"/>
      <c r="N1458" s="30"/>
      <c r="O1458" s="30"/>
      <c r="P1458" s="30"/>
      <c r="Q1458" s="30"/>
      <c r="R1458" s="30"/>
      <c r="S1458" s="30"/>
      <c r="T1458" s="30"/>
      <c r="U1458" s="30"/>
      <c r="V1458" s="30"/>
      <c r="W1458" s="30"/>
      <c r="X1458" s="30"/>
    </row>
    <row r="1459">
      <c r="A1459" s="30"/>
      <c r="B1459" s="30"/>
      <c r="C1459" s="30"/>
      <c r="D1459" s="30"/>
      <c r="E1459" s="30"/>
      <c r="F1459" s="30"/>
      <c r="G1459" s="30"/>
      <c r="H1459" s="30"/>
      <c r="I1459" s="30"/>
      <c r="J1459" s="30"/>
      <c r="K1459" s="30"/>
      <c r="L1459" s="30"/>
      <c r="M1459" s="30"/>
      <c r="N1459" s="30"/>
      <c r="O1459" s="30"/>
      <c r="P1459" s="30"/>
      <c r="Q1459" s="30"/>
      <c r="R1459" s="30"/>
      <c r="S1459" s="30"/>
      <c r="T1459" s="30"/>
      <c r="U1459" s="30"/>
      <c r="V1459" s="30"/>
      <c r="W1459" s="30"/>
      <c r="X1459" s="30"/>
    </row>
    <row r="1460">
      <c r="A1460" s="30"/>
      <c r="B1460" s="30"/>
      <c r="C1460" s="30"/>
      <c r="D1460" s="30"/>
      <c r="E1460" s="30"/>
      <c r="F1460" s="30"/>
      <c r="G1460" s="30"/>
      <c r="H1460" s="30"/>
      <c r="I1460" s="30"/>
      <c r="J1460" s="30"/>
      <c r="K1460" s="30"/>
      <c r="L1460" s="30"/>
      <c r="M1460" s="30"/>
      <c r="N1460" s="30"/>
      <c r="O1460" s="30"/>
      <c r="P1460" s="30"/>
      <c r="Q1460" s="30"/>
      <c r="R1460" s="30"/>
      <c r="S1460" s="30"/>
      <c r="T1460" s="30"/>
      <c r="U1460" s="30"/>
      <c r="V1460" s="30"/>
      <c r="W1460" s="30"/>
      <c r="X1460" s="30"/>
    </row>
    <row r="1461">
      <c r="A1461" s="30"/>
      <c r="B1461" s="30"/>
      <c r="C1461" s="30"/>
      <c r="D1461" s="30"/>
      <c r="E1461" s="30"/>
      <c r="F1461" s="30"/>
      <c r="G1461" s="30"/>
      <c r="H1461" s="30"/>
      <c r="I1461" s="30"/>
      <c r="J1461" s="30"/>
      <c r="K1461" s="30"/>
      <c r="L1461" s="30"/>
      <c r="M1461" s="30"/>
      <c r="N1461" s="30"/>
      <c r="O1461" s="30"/>
      <c r="P1461" s="30"/>
      <c r="Q1461" s="30"/>
      <c r="R1461" s="30"/>
      <c r="S1461" s="30"/>
      <c r="T1461" s="30"/>
      <c r="U1461" s="30"/>
      <c r="V1461" s="30"/>
      <c r="W1461" s="30"/>
      <c r="X1461" s="30"/>
    </row>
    <row r="1462">
      <c r="A1462" s="30"/>
      <c r="B1462" s="30"/>
      <c r="C1462" s="30"/>
      <c r="D1462" s="30"/>
      <c r="E1462" s="30"/>
      <c r="F1462" s="30"/>
      <c r="G1462" s="30"/>
      <c r="H1462" s="30"/>
      <c r="I1462" s="30"/>
      <c r="J1462" s="30"/>
      <c r="K1462" s="30"/>
      <c r="L1462" s="30"/>
      <c r="M1462" s="30"/>
      <c r="N1462" s="30"/>
      <c r="O1462" s="30"/>
      <c r="P1462" s="30"/>
      <c r="Q1462" s="30"/>
      <c r="R1462" s="30"/>
      <c r="S1462" s="30"/>
      <c r="T1462" s="30"/>
      <c r="U1462" s="30"/>
      <c r="V1462" s="30"/>
      <c r="W1462" s="30"/>
      <c r="X1462" s="30"/>
    </row>
    <row r="1463">
      <c r="A1463" s="30"/>
      <c r="B1463" s="30"/>
      <c r="C1463" s="30"/>
      <c r="D1463" s="30"/>
      <c r="E1463" s="30"/>
      <c r="F1463" s="30"/>
      <c r="G1463" s="30"/>
      <c r="H1463" s="30"/>
      <c r="I1463" s="30"/>
      <c r="J1463" s="30"/>
      <c r="K1463" s="30"/>
      <c r="L1463" s="30"/>
      <c r="M1463" s="30"/>
      <c r="N1463" s="30"/>
      <c r="O1463" s="30"/>
      <c r="P1463" s="30"/>
      <c r="Q1463" s="30"/>
      <c r="R1463" s="30"/>
      <c r="S1463" s="30"/>
      <c r="T1463" s="30"/>
      <c r="U1463" s="30"/>
      <c r="V1463" s="30"/>
      <c r="W1463" s="30"/>
      <c r="X1463" s="30"/>
    </row>
    <row r="1464">
      <c r="A1464" s="30"/>
      <c r="B1464" s="30"/>
      <c r="C1464" s="30"/>
      <c r="D1464" s="30"/>
      <c r="E1464" s="30"/>
      <c r="F1464" s="30"/>
      <c r="G1464" s="30"/>
      <c r="H1464" s="30"/>
      <c r="I1464" s="30"/>
      <c r="J1464" s="30"/>
      <c r="K1464" s="30"/>
      <c r="L1464" s="30"/>
      <c r="M1464" s="30"/>
      <c r="N1464" s="30"/>
      <c r="O1464" s="30"/>
      <c r="P1464" s="30"/>
      <c r="Q1464" s="30"/>
      <c r="R1464" s="30"/>
      <c r="S1464" s="30"/>
      <c r="T1464" s="30"/>
      <c r="U1464" s="30"/>
      <c r="V1464" s="30"/>
      <c r="W1464" s="30"/>
      <c r="X1464" s="30"/>
    </row>
    <row r="1465">
      <c r="A1465" s="30"/>
      <c r="B1465" s="30"/>
      <c r="C1465" s="30"/>
      <c r="D1465" s="30"/>
      <c r="E1465" s="30"/>
      <c r="F1465" s="30"/>
      <c r="G1465" s="30"/>
      <c r="H1465" s="30"/>
      <c r="I1465" s="30"/>
      <c r="J1465" s="30"/>
      <c r="K1465" s="30"/>
      <c r="L1465" s="30"/>
      <c r="M1465" s="30"/>
      <c r="N1465" s="30"/>
      <c r="O1465" s="30"/>
      <c r="P1465" s="30"/>
      <c r="Q1465" s="30"/>
      <c r="R1465" s="30"/>
      <c r="S1465" s="30"/>
      <c r="T1465" s="30"/>
      <c r="U1465" s="30"/>
      <c r="V1465" s="30"/>
      <c r="W1465" s="30"/>
      <c r="X1465" s="30"/>
    </row>
    <row r="1466">
      <c r="A1466" s="30"/>
      <c r="B1466" s="30"/>
      <c r="C1466" s="30"/>
      <c r="D1466" s="30"/>
      <c r="E1466" s="30"/>
      <c r="F1466" s="30"/>
      <c r="G1466" s="30"/>
      <c r="H1466" s="30"/>
      <c r="I1466" s="30"/>
      <c r="J1466" s="30"/>
      <c r="K1466" s="30"/>
      <c r="L1466" s="30"/>
      <c r="M1466" s="30"/>
      <c r="N1466" s="30"/>
      <c r="O1466" s="30"/>
      <c r="P1466" s="30"/>
      <c r="Q1466" s="30"/>
      <c r="R1466" s="30"/>
      <c r="S1466" s="30"/>
      <c r="T1466" s="30"/>
      <c r="U1466" s="30"/>
      <c r="V1466" s="30"/>
      <c r="W1466" s="30"/>
      <c r="X1466" s="30"/>
    </row>
    <row r="1467">
      <c r="A1467" s="30"/>
      <c r="B1467" s="30"/>
      <c r="C1467" s="30"/>
      <c r="D1467" s="30"/>
      <c r="E1467" s="30"/>
      <c r="F1467" s="30"/>
      <c r="G1467" s="30"/>
      <c r="H1467" s="30"/>
      <c r="I1467" s="30"/>
      <c r="J1467" s="30"/>
      <c r="K1467" s="30"/>
      <c r="L1467" s="30"/>
      <c r="M1467" s="30"/>
      <c r="N1467" s="30"/>
      <c r="O1467" s="30"/>
      <c r="P1467" s="30"/>
      <c r="Q1467" s="30"/>
      <c r="R1467" s="30"/>
      <c r="S1467" s="30"/>
      <c r="T1467" s="30"/>
      <c r="U1467" s="30"/>
      <c r="V1467" s="30"/>
      <c r="W1467" s="30"/>
      <c r="X1467" s="30"/>
    </row>
    <row r="1468">
      <c r="A1468" s="30"/>
      <c r="B1468" s="30"/>
      <c r="C1468" s="30"/>
      <c r="D1468" s="30"/>
      <c r="E1468" s="30"/>
      <c r="F1468" s="30"/>
      <c r="G1468" s="30"/>
      <c r="H1468" s="30"/>
      <c r="I1468" s="30"/>
      <c r="J1468" s="30"/>
      <c r="K1468" s="30"/>
      <c r="L1468" s="30"/>
      <c r="M1468" s="30"/>
      <c r="N1468" s="30"/>
      <c r="O1468" s="30"/>
      <c r="P1468" s="30"/>
      <c r="Q1468" s="30"/>
      <c r="R1468" s="30"/>
      <c r="S1468" s="30"/>
      <c r="T1468" s="30"/>
      <c r="U1468" s="30"/>
      <c r="V1468" s="30"/>
      <c r="W1468" s="30"/>
      <c r="X1468" s="30"/>
    </row>
    <row r="1469">
      <c r="A1469" s="30"/>
      <c r="B1469" s="30"/>
      <c r="C1469" s="30"/>
      <c r="D1469" s="30"/>
      <c r="E1469" s="30"/>
      <c r="F1469" s="30"/>
      <c r="G1469" s="30"/>
      <c r="H1469" s="30"/>
      <c r="I1469" s="30"/>
      <c r="J1469" s="30"/>
      <c r="K1469" s="30"/>
      <c r="L1469" s="30"/>
      <c r="M1469" s="30"/>
      <c r="N1469" s="30"/>
      <c r="O1469" s="30"/>
      <c r="P1469" s="30"/>
      <c r="Q1469" s="30"/>
      <c r="R1469" s="30"/>
      <c r="S1469" s="30"/>
      <c r="T1469" s="30"/>
      <c r="U1469" s="30"/>
      <c r="V1469" s="30"/>
      <c r="W1469" s="30"/>
      <c r="X1469" s="30"/>
    </row>
    <row r="1470">
      <c r="A1470" s="30"/>
      <c r="B1470" s="30"/>
      <c r="C1470" s="30"/>
      <c r="D1470" s="30"/>
      <c r="E1470" s="30"/>
      <c r="F1470" s="30"/>
      <c r="G1470" s="30"/>
      <c r="H1470" s="30"/>
      <c r="I1470" s="30"/>
      <c r="J1470" s="30"/>
      <c r="K1470" s="30"/>
      <c r="L1470" s="30"/>
      <c r="M1470" s="30"/>
      <c r="N1470" s="30"/>
      <c r="O1470" s="30"/>
      <c r="P1470" s="30"/>
      <c r="Q1470" s="30"/>
      <c r="R1470" s="30"/>
      <c r="S1470" s="30"/>
      <c r="T1470" s="30"/>
      <c r="U1470" s="30"/>
      <c r="V1470" s="30"/>
      <c r="W1470" s="30"/>
      <c r="X1470" s="30"/>
    </row>
    <row r="1471">
      <c r="A1471" s="30"/>
      <c r="B1471" s="30"/>
      <c r="C1471" s="30"/>
      <c r="D1471" s="30"/>
      <c r="E1471" s="30"/>
      <c r="F1471" s="30"/>
      <c r="G1471" s="30"/>
      <c r="H1471" s="30"/>
      <c r="I1471" s="30"/>
      <c r="J1471" s="30"/>
      <c r="K1471" s="30"/>
      <c r="L1471" s="30"/>
      <c r="M1471" s="30"/>
      <c r="N1471" s="30"/>
      <c r="O1471" s="30"/>
      <c r="P1471" s="30"/>
      <c r="Q1471" s="30"/>
      <c r="R1471" s="30"/>
      <c r="S1471" s="30"/>
      <c r="T1471" s="30"/>
      <c r="U1471" s="30"/>
      <c r="V1471" s="30"/>
      <c r="W1471" s="30"/>
      <c r="X1471" s="30"/>
    </row>
    <row r="1472">
      <c r="A1472" s="30"/>
      <c r="B1472" s="30"/>
      <c r="C1472" s="30"/>
      <c r="D1472" s="30"/>
      <c r="E1472" s="30"/>
      <c r="F1472" s="30"/>
      <c r="G1472" s="30"/>
      <c r="H1472" s="30"/>
      <c r="I1472" s="30"/>
      <c r="J1472" s="30"/>
      <c r="K1472" s="30"/>
      <c r="L1472" s="30"/>
      <c r="M1472" s="30"/>
      <c r="N1472" s="30"/>
      <c r="O1472" s="30"/>
      <c r="P1472" s="30"/>
      <c r="Q1472" s="30"/>
      <c r="R1472" s="30"/>
      <c r="S1472" s="30"/>
      <c r="T1472" s="30"/>
      <c r="U1472" s="30"/>
      <c r="V1472" s="30"/>
      <c r="W1472" s="30"/>
      <c r="X1472" s="30"/>
    </row>
    <row r="1473">
      <c r="A1473" s="30"/>
      <c r="B1473" s="30"/>
      <c r="C1473" s="30"/>
      <c r="D1473" s="30"/>
      <c r="E1473" s="30"/>
      <c r="F1473" s="30"/>
      <c r="G1473" s="30"/>
      <c r="H1473" s="30"/>
      <c r="I1473" s="30"/>
      <c r="J1473" s="30"/>
      <c r="K1473" s="30"/>
      <c r="L1473" s="30"/>
      <c r="M1473" s="30"/>
      <c r="N1473" s="30"/>
      <c r="O1473" s="30"/>
      <c r="P1473" s="30"/>
      <c r="Q1473" s="30"/>
      <c r="R1473" s="30"/>
      <c r="S1473" s="30"/>
      <c r="T1473" s="30"/>
      <c r="U1473" s="30"/>
      <c r="V1473" s="30"/>
      <c r="W1473" s="30"/>
      <c r="X1473" s="30"/>
    </row>
    <row r="1474">
      <c r="A1474" s="30"/>
      <c r="B1474" s="30"/>
      <c r="C1474" s="30"/>
      <c r="D1474" s="30"/>
      <c r="E1474" s="30"/>
      <c r="F1474" s="30"/>
      <c r="G1474" s="30"/>
      <c r="H1474" s="30"/>
      <c r="I1474" s="30"/>
      <c r="J1474" s="30"/>
      <c r="K1474" s="30"/>
      <c r="L1474" s="30"/>
      <c r="M1474" s="30"/>
      <c r="N1474" s="30"/>
      <c r="O1474" s="30"/>
      <c r="P1474" s="30"/>
      <c r="Q1474" s="30"/>
      <c r="R1474" s="30"/>
      <c r="S1474" s="30"/>
      <c r="T1474" s="30"/>
      <c r="U1474" s="30"/>
      <c r="V1474" s="30"/>
      <c r="W1474" s="30"/>
      <c r="X1474" s="30"/>
    </row>
    <row r="1475">
      <c r="A1475" s="30"/>
      <c r="B1475" s="30"/>
      <c r="C1475" s="30"/>
      <c r="D1475" s="30"/>
      <c r="E1475" s="30"/>
      <c r="F1475" s="30"/>
      <c r="G1475" s="30"/>
      <c r="H1475" s="30"/>
      <c r="I1475" s="30"/>
      <c r="J1475" s="30"/>
      <c r="K1475" s="30"/>
      <c r="L1475" s="30"/>
      <c r="M1475" s="30"/>
      <c r="N1475" s="30"/>
      <c r="O1475" s="30"/>
      <c r="P1475" s="30"/>
      <c r="Q1475" s="30"/>
      <c r="R1475" s="30"/>
      <c r="S1475" s="30"/>
      <c r="T1475" s="30"/>
      <c r="U1475" s="30"/>
      <c r="V1475" s="30"/>
      <c r="W1475" s="30"/>
      <c r="X1475" s="30"/>
    </row>
    <row r="1476">
      <c r="A1476" s="30"/>
      <c r="B1476" s="30"/>
      <c r="C1476" s="30"/>
      <c r="D1476" s="30"/>
      <c r="E1476" s="30"/>
      <c r="F1476" s="30"/>
      <c r="G1476" s="30"/>
      <c r="H1476" s="30"/>
      <c r="I1476" s="30"/>
      <c r="J1476" s="30"/>
      <c r="K1476" s="30"/>
      <c r="L1476" s="30"/>
      <c r="M1476" s="30"/>
      <c r="N1476" s="30"/>
      <c r="O1476" s="30"/>
      <c r="P1476" s="30"/>
      <c r="Q1476" s="30"/>
      <c r="R1476" s="30"/>
      <c r="S1476" s="30"/>
      <c r="T1476" s="30"/>
      <c r="U1476" s="30"/>
      <c r="V1476" s="30"/>
      <c r="W1476" s="30"/>
      <c r="X1476" s="30"/>
    </row>
    <row r="1477">
      <c r="A1477" s="30"/>
      <c r="B1477" s="30"/>
      <c r="C1477" s="30"/>
      <c r="D1477" s="30"/>
      <c r="E1477" s="30"/>
      <c r="F1477" s="30"/>
      <c r="G1477" s="30"/>
      <c r="H1477" s="30"/>
      <c r="I1477" s="30"/>
      <c r="J1477" s="30"/>
      <c r="K1477" s="30"/>
      <c r="L1477" s="30"/>
      <c r="M1477" s="30"/>
      <c r="N1477" s="30"/>
      <c r="O1477" s="30"/>
      <c r="P1477" s="30"/>
      <c r="Q1477" s="30"/>
      <c r="R1477" s="30"/>
      <c r="S1477" s="30"/>
      <c r="T1477" s="30"/>
      <c r="U1477" s="30"/>
      <c r="V1477" s="30"/>
      <c r="W1477" s="30"/>
      <c r="X1477" s="30"/>
    </row>
    <row r="1478">
      <c r="A1478" s="30"/>
      <c r="B1478" s="30"/>
      <c r="C1478" s="30"/>
      <c r="D1478" s="30"/>
      <c r="E1478" s="30"/>
      <c r="F1478" s="30"/>
      <c r="G1478" s="30"/>
      <c r="H1478" s="30"/>
      <c r="I1478" s="30"/>
      <c r="J1478" s="30"/>
      <c r="K1478" s="30"/>
      <c r="L1478" s="30"/>
      <c r="M1478" s="30"/>
      <c r="N1478" s="30"/>
      <c r="O1478" s="30"/>
      <c r="P1478" s="30"/>
      <c r="Q1478" s="30"/>
      <c r="R1478" s="30"/>
      <c r="S1478" s="30"/>
      <c r="T1478" s="30"/>
      <c r="U1478" s="30"/>
      <c r="V1478" s="30"/>
      <c r="W1478" s="30"/>
      <c r="X1478" s="30"/>
    </row>
    <row r="1479">
      <c r="A1479" s="30"/>
      <c r="B1479" s="30"/>
      <c r="C1479" s="30"/>
      <c r="D1479" s="30"/>
      <c r="E1479" s="30"/>
      <c r="F1479" s="30"/>
      <c r="G1479" s="30"/>
      <c r="H1479" s="30"/>
      <c r="I1479" s="30"/>
      <c r="J1479" s="30"/>
      <c r="K1479" s="30"/>
      <c r="L1479" s="30"/>
      <c r="M1479" s="30"/>
      <c r="N1479" s="30"/>
      <c r="O1479" s="30"/>
      <c r="P1479" s="30"/>
      <c r="Q1479" s="30"/>
      <c r="R1479" s="30"/>
      <c r="S1479" s="30"/>
      <c r="T1479" s="30"/>
      <c r="U1479" s="30"/>
      <c r="V1479" s="30"/>
      <c r="W1479" s="30"/>
      <c r="X1479" s="30"/>
    </row>
    <row r="1480">
      <c r="A1480" s="30"/>
      <c r="B1480" s="30"/>
      <c r="C1480" s="30"/>
      <c r="D1480" s="30"/>
      <c r="E1480" s="30"/>
      <c r="F1480" s="30"/>
      <c r="G1480" s="30"/>
      <c r="H1480" s="30"/>
      <c r="I1480" s="30"/>
      <c r="J1480" s="30"/>
      <c r="K1480" s="30"/>
      <c r="L1480" s="30"/>
      <c r="M1480" s="30"/>
      <c r="N1480" s="30"/>
      <c r="O1480" s="30"/>
      <c r="P1480" s="30"/>
      <c r="Q1480" s="30"/>
      <c r="R1480" s="30"/>
      <c r="S1480" s="30"/>
      <c r="T1480" s="30"/>
      <c r="U1480" s="30"/>
      <c r="V1480" s="30"/>
      <c r="W1480" s="30"/>
      <c r="X1480" s="30"/>
    </row>
    <row r="1481">
      <c r="A1481" s="30"/>
      <c r="B1481" s="30"/>
      <c r="C1481" s="30"/>
      <c r="D1481" s="30"/>
      <c r="E1481" s="30"/>
      <c r="F1481" s="30"/>
      <c r="G1481" s="30"/>
      <c r="H1481" s="30"/>
      <c r="I1481" s="30"/>
      <c r="J1481" s="30"/>
      <c r="K1481" s="30"/>
      <c r="L1481" s="30"/>
      <c r="M1481" s="30"/>
      <c r="N1481" s="30"/>
      <c r="O1481" s="30"/>
      <c r="P1481" s="30"/>
      <c r="Q1481" s="30"/>
      <c r="R1481" s="30"/>
      <c r="S1481" s="30"/>
      <c r="T1481" s="30"/>
      <c r="U1481" s="30"/>
      <c r="V1481" s="30"/>
      <c r="W1481" s="30"/>
      <c r="X1481" s="30"/>
    </row>
    <row r="1482">
      <c r="A1482" s="30"/>
      <c r="B1482" s="30"/>
      <c r="C1482" s="30"/>
      <c r="D1482" s="30"/>
      <c r="E1482" s="30"/>
      <c r="F1482" s="30"/>
      <c r="G1482" s="30"/>
      <c r="H1482" s="30"/>
      <c r="I1482" s="30"/>
      <c r="J1482" s="30"/>
      <c r="K1482" s="30"/>
      <c r="L1482" s="30"/>
      <c r="M1482" s="30"/>
      <c r="N1482" s="30"/>
      <c r="O1482" s="30"/>
      <c r="P1482" s="30"/>
      <c r="Q1482" s="30"/>
      <c r="R1482" s="30"/>
      <c r="S1482" s="30"/>
      <c r="T1482" s="30"/>
      <c r="U1482" s="30"/>
      <c r="V1482" s="30"/>
      <c r="W1482" s="30"/>
      <c r="X1482" s="30"/>
    </row>
    <row r="1483">
      <c r="A1483" s="30"/>
      <c r="B1483" s="30"/>
      <c r="C1483" s="30"/>
      <c r="D1483" s="30"/>
      <c r="E1483" s="30"/>
      <c r="F1483" s="30"/>
      <c r="G1483" s="30"/>
      <c r="H1483" s="30"/>
      <c r="I1483" s="30"/>
      <c r="J1483" s="30"/>
      <c r="K1483" s="30"/>
      <c r="L1483" s="30"/>
      <c r="M1483" s="30"/>
      <c r="N1483" s="30"/>
      <c r="O1483" s="30"/>
      <c r="P1483" s="30"/>
      <c r="Q1483" s="30"/>
      <c r="R1483" s="30"/>
      <c r="S1483" s="30"/>
      <c r="T1483" s="30"/>
      <c r="U1483" s="30"/>
      <c r="V1483" s="30"/>
      <c r="W1483" s="30"/>
      <c r="X1483" s="30"/>
    </row>
    <row r="1484">
      <c r="A1484" s="30"/>
      <c r="B1484" s="30"/>
      <c r="C1484" s="30"/>
      <c r="D1484" s="30"/>
      <c r="E1484" s="30"/>
      <c r="F1484" s="30"/>
      <c r="G1484" s="30"/>
      <c r="H1484" s="30"/>
      <c r="I1484" s="30"/>
      <c r="J1484" s="30"/>
      <c r="K1484" s="30"/>
      <c r="L1484" s="30"/>
      <c r="M1484" s="30"/>
      <c r="N1484" s="30"/>
      <c r="O1484" s="30"/>
      <c r="P1484" s="30"/>
      <c r="Q1484" s="30"/>
      <c r="R1484" s="30"/>
      <c r="S1484" s="30"/>
      <c r="T1484" s="30"/>
      <c r="U1484" s="30"/>
      <c r="V1484" s="30"/>
      <c r="W1484" s="30"/>
      <c r="X1484" s="30"/>
    </row>
    <row r="1485">
      <c r="A1485" s="30"/>
      <c r="B1485" s="30"/>
      <c r="C1485" s="30"/>
      <c r="D1485" s="30"/>
      <c r="E1485" s="30"/>
      <c r="F1485" s="30"/>
      <c r="G1485" s="30"/>
      <c r="H1485" s="30"/>
      <c r="I1485" s="30"/>
      <c r="J1485" s="30"/>
      <c r="K1485" s="30"/>
      <c r="L1485" s="30"/>
      <c r="M1485" s="30"/>
      <c r="N1485" s="30"/>
      <c r="O1485" s="30"/>
      <c r="P1485" s="30"/>
      <c r="Q1485" s="30"/>
      <c r="R1485" s="30"/>
      <c r="S1485" s="30"/>
      <c r="T1485" s="30"/>
      <c r="U1485" s="30"/>
      <c r="V1485" s="30"/>
      <c r="W1485" s="30"/>
      <c r="X1485" s="30"/>
    </row>
    <row r="1486">
      <c r="A1486" s="30"/>
      <c r="B1486" s="30"/>
      <c r="C1486" s="30"/>
      <c r="D1486" s="30"/>
      <c r="E1486" s="30"/>
      <c r="F1486" s="30"/>
      <c r="G1486" s="30"/>
      <c r="H1486" s="30"/>
      <c r="I1486" s="30"/>
      <c r="J1486" s="30"/>
      <c r="K1486" s="30"/>
      <c r="L1486" s="30"/>
      <c r="M1486" s="30"/>
      <c r="N1486" s="30"/>
      <c r="O1486" s="30"/>
      <c r="P1486" s="30"/>
      <c r="Q1486" s="30"/>
      <c r="R1486" s="30"/>
      <c r="S1486" s="30"/>
      <c r="T1486" s="30"/>
      <c r="U1486" s="30"/>
      <c r="V1486" s="30"/>
      <c r="W1486" s="30"/>
      <c r="X1486" s="30"/>
    </row>
    <row r="1487">
      <c r="A1487" s="30"/>
      <c r="B1487" s="30"/>
      <c r="C1487" s="30"/>
      <c r="D1487" s="30"/>
      <c r="E1487" s="30"/>
      <c r="F1487" s="30"/>
      <c r="G1487" s="30"/>
      <c r="H1487" s="30"/>
      <c r="I1487" s="30"/>
      <c r="J1487" s="30"/>
      <c r="K1487" s="30"/>
      <c r="L1487" s="30"/>
      <c r="M1487" s="30"/>
      <c r="N1487" s="30"/>
      <c r="O1487" s="30"/>
      <c r="P1487" s="30"/>
      <c r="Q1487" s="30"/>
      <c r="R1487" s="30"/>
      <c r="S1487" s="30"/>
      <c r="T1487" s="30"/>
      <c r="U1487" s="30"/>
      <c r="V1487" s="30"/>
      <c r="W1487" s="30"/>
      <c r="X1487" s="30"/>
    </row>
    <row r="1488">
      <c r="A1488" s="30"/>
      <c r="B1488" s="30"/>
      <c r="C1488" s="30"/>
      <c r="D1488" s="30"/>
      <c r="E1488" s="30"/>
      <c r="F1488" s="30"/>
      <c r="G1488" s="30"/>
      <c r="H1488" s="30"/>
      <c r="I1488" s="30"/>
      <c r="J1488" s="30"/>
      <c r="K1488" s="30"/>
      <c r="L1488" s="30"/>
      <c r="M1488" s="30"/>
      <c r="N1488" s="30"/>
      <c r="O1488" s="30"/>
      <c r="P1488" s="30"/>
      <c r="Q1488" s="30"/>
      <c r="R1488" s="30"/>
      <c r="S1488" s="30"/>
      <c r="T1488" s="30"/>
      <c r="U1488" s="30"/>
      <c r="V1488" s="30"/>
      <c r="W1488" s="30"/>
      <c r="X1488" s="30"/>
    </row>
    <row r="1489">
      <c r="A1489" s="30"/>
      <c r="B1489" s="30"/>
      <c r="C1489" s="30"/>
      <c r="D1489" s="30"/>
      <c r="E1489" s="30"/>
      <c r="F1489" s="30"/>
      <c r="G1489" s="30"/>
      <c r="H1489" s="30"/>
      <c r="I1489" s="30"/>
      <c r="J1489" s="30"/>
      <c r="K1489" s="30"/>
      <c r="L1489" s="30"/>
      <c r="M1489" s="30"/>
      <c r="N1489" s="30"/>
      <c r="O1489" s="30"/>
      <c r="P1489" s="30"/>
      <c r="Q1489" s="30"/>
      <c r="R1489" s="30"/>
      <c r="S1489" s="30"/>
      <c r="T1489" s="30"/>
      <c r="U1489" s="30"/>
      <c r="V1489" s="30"/>
      <c r="W1489" s="30"/>
      <c r="X1489" s="30"/>
    </row>
    <row r="1490">
      <c r="A1490" s="30"/>
      <c r="B1490" s="30"/>
      <c r="C1490" s="30"/>
      <c r="D1490" s="30"/>
      <c r="E1490" s="30"/>
      <c r="F1490" s="30"/>
      <c r="G1490" s="30"/>
      <c r="H1490" s="30"/>
      <c r="I1490" s="30"/>
      <c r="J1490" s="30"/>
      <c r="K1490" s="30"/>
      <c r="L1490" s="30"/>
      <c r="M1490" s="30"/>
      <c r="N1490" s="30"/>
      <c r="O1490" s="30"/>
      <c r="P1490" s="30"/>
      <c r="Q1490" s="30"/>
      <c r="R1490" s="30"/>
      <c r="S1490" s="30"/>
      <c r="T1490" s="30"/>
      <c r="U1490" s="30"/>
      <c r="V1490" s="30"/>
      <c r="W1490" s="30"/>
      <c r="X1490" s="30"/>
    </row>
    <row r="1491">
      <c r="A1491" s="30"/>
      <c r="B1491" s="30"/>
      <c r="C1491" s="30"/>
      <c r="D1491" s="30"/>
      <c r="E1491" s="30"/>
      <c r="F1491" s="30"/>
      <c r="G1491" s="30"/>
      <c r="H1491" s="30"/>
      <c r="I1491" s="30"/>
      <c r="J1491" s="30"/>
      <c r="K1491" s="30"/>
      <c r="L1491" s="30"/>
      <c r="M1491" s="30"/>
      <c r="N1491" s="30"/>
      <c r="O1491" s="30"/>
      <c r="P1491" s="30"/>
      <c r="Q1491" s="30"/>
      <c r="R1491" s="30"/>
      <c r="S1491" s="30"/>
      <c r="T1491" s="30"/>
      <c r="U1491" s="30"/>
      <c r="V1491" s="30"/>
      <c r="W1491" s="30"/>
      <c r="X1491" s="30"/>
    </row>
    <row r="1492">
      <c r="A1492" s="30"/>
      <c r="B1492" s="30"/>
      <c r="C1492" s="30"/>
      <c r="D1492" s="30"/>
      <c r="E1492" s="30"/>
      <c r="F1492" s="30"/>
      <c r="G1492" s="30"/>
      <c r="H1492" s="30"/>
      <c r="I1492" s="30"/>
      <c r="J1492" s="30"/>
      <c r="K1492" s="30"/>
      <c r="L1492" s="30"/>
      <c r="M1492" s="30"/>
      <c r="N1492" s="30"/>
      <c r="O1492" s="30"/>
      <c r="P1492" s="30"/>
      <c r="Q1492" s="30"/>
      <c r="R1492" s="30"/>
      <c r="S1492" s="30"/>
      <c r="T1492" s="30"/>
      <c r="U1492" s="30"/>
      <c r="V1492" s="30"/>
      <c r="W1492" s="30"/>
      <c r="X1492" s="30"/>
    </row>
    <row r="1493">
      <c r="A1493" s="30"/>
      <c r="B1493" s="30"/>
      <c r="C1493" s="30"/>
      <c r="D1493" s="30"/>
      <c r="E1493" s="30"/>
      <c r="F1493" s="30"/>
      <c r="G1493" s="30"/>
      <c r="H1493" s="30"/>
      <c r="I1493" s="30"/>
      <c r="J1493" s="30"/>
      <c r="K1493" s="30"/>
      <c r="L1493" s="30"/>
      <c r="M1493" s="30"/>
      <c r="N1493" s="30"/>
      <c r="O1493" s="30"/>
      <c r="P1493" s="30"/>
      <c r="Q1493" s="30"/>
      <c r="R1493" s="30"/>
      <c r="S1493" s="30"/>
      <c r="T1493" s="30"/>
      <c r="U1493" s="30"/>
      <c r="V1493" s="30"/>
      <c r="W1493" s="30"/>
      <c r="X1493" s="30"/>
    </row>
    <row r="1494">
      <c r="A1494" s="30"/>
      <c r="B1494" s="30"/>
      <c r="C1494" s="30"/>
      <c r="D1494" s="30"/>
      <c r="E1494" s="30"/>
      <c r="F1494" s="30"/>
      <c r="G1494" s="30"/>
      <c r="H1494" s="30"/>
      <c r="I1494" s="30"/>
      <c r="J1494" s="30"/>
      <c r="K1494" s="30"/>
      <c r="L1494" s="30"/>
      <c r="M1494" s="30"/>
      <c r="N1494" s="30"/>
      <c r="O1494" s="30"/>
      <c r="P1494" s="30"/>
      <c r="Q1494" s="30"/>
      <c r="R1494" s="30"/>
      <c r="S1494" s="30"/>
      <c r="T1494" s="30"/>
      <c r="U1494" s="30"/>
      <c r="V1494" s="30"/>
      <c r="W1494" s="30"/>
      <c r="X1494" s="30"/>
    </row>
    <row r="1495">
      <c r="A1495" s="30"/>
      <c r="B1495" s="30"/>
      <c r="C1495" s="30"/>
      <c r="D1495" s="30"/>
      <c r="E1495" s="30"/>
      <c r="F1495" s="30"/>
      <c r="G1495" s="30"/>
      <c r="H1495" s="30"/>
      <c r="I1495" s="30"/>
      <c r="J1495" s="30"/>
      <c r="K1495" s="30"/>
      <c r="L1495" s="30"/>
      <c r="M1495" s="30"/>
      <c r="N1495" s="30"/>
      <c r="O1495" s="30"/>
      <c r="P1495" s="30"/>
      <c r="Q1495" s="30"/>
      <c r="R1495" s="30"/>
      <c r="S1495" s="30"/>
      <c r="T1495" s="30"/>
      <c r="U1495" s="30"/>
      <c r="V1495" s="30"/>
      <c r="W1495" s="30"/>
      <c r="X1495" s="30"/>
    </row>
    <row r="1496">
      <c r="A1496" s="30"/>
      <c r="B1496" s="30"/>
      <c r="C1496" s="30"/>
      <c r="D1496" s="30"/>
      <c r="E1496" s="30"/>
      <c r="F1496" s="30"/>
      <c r="G1496" s="30"/>
      <c r="H1496" s="30"/>
      <c r="I1496" s="30"/>
      <c r="J1496" s="30"/>
      <c r="K1496" s="30"/>
      <c r="L1496" s="30"/>
      <c r="M1496" s="30"/>
      <c r="N1496" s="30"/>
      <c r="O1496" s="30"/>
      <c r="P1496" s="30"/>
      <c r="Q1496" s="30"/>
      <c r="R1496" s="30"/>
      <c r="S1496" s="30"/>
      <c r="T1496" s="30"/>
      <c r="U1496" s="30"/>
      <c r="V1496" s="30"/>
      <c r="W1496" s="30"/>
      <c r="X1496" s="30"/>
    </row>
    <row r="1497">
      <c r="A1497" s="30"/>
      <c r="B1497" s="30"/>
      <c r="C1497" s="30"/>
      <c r="D1497" s="30"/>
      <c r="E1497" s="30"/>
      <c r="F1497" s="30"/>
      <c r="G1497" s="30"/>
      <c r="H1497" s="30"/>
      <c r="I1497" s="30"/>
      <c r="J1497" s="30"/>
      <c r="K1497" s="30"/>
      <c r="L1497" s="30"/>
      <c r="M1497" s="30"/>
      <c r="N1497" s="30"/>
      <c r="O1497" s="30"/>
      <c r="P1497" s="30"/>
      <c r="Q1497" s="30"/>
      <c r="R1497" s="30"/>
      <c r="S1497" s="30"/>
      <c r="T1497" s="30"/>
      <c r="U1497" s="30"/>
      <c r="V1497" s="30"/>
      <c r="W1497" s="30"/>
      <c r="X1497" s="30"/>
    </row>
    <row r="1498">
      <c r="A1498" s="30"/>
      <c r="B1498" s="30"/>
      <c r="C1498" s="30"/>
      <c r="D1498" s="30"/>
      <c r="E1498" s="30"/>
      <c r="F1498" s="30"/>
      <c r="G1498" s="30"/>
      <c r="H1498" s="30"/>
      <c r="I1498" s="30"/>
      <c r="J1498" s="30"/>
      <c r="K1498" s="30"/>
      <c r="L1498" s="30"/>
      <c r="M1498" s="30"/>
      <c r="N1498" s="30"/>
      <c r="O1498" s="30"/>
      <c r="P1498" s="30"/>
      <c r="Q1498" s="30"/>
      <c r="R1498" s="30"/>
      <c r="S1498" s="30"/>
      <c r="T1498" s="30"/>
      <c r="U1498" s="30"/>
      <c r="V1498" s="30"/>
      <c r="W1498" s="30"/>
      <c r="X1498" s="30"/>
    </row>
    <row r="1499">
      <c r="A1499" s="30"/>
      <c r="B1499" s="30"/>
      <c r="C1499" s="30"/>
      <c r="D1499" s="30"/>
      <c r="E1499" s="30"/>
      <c r="F1499" s="30"/>
      <c r="G1499" s="30"/>
      <c r="H1499" s="30"/>
      <c r="I1499" s="30"/>
      <c r="J1499" s="30"/>
      <c r="K1499" s="30"/>
      <c r="L1499" s="30"/>
      <c r="M1499" s="30"/>
      <c r="N1499" s="30"/>
      <c r="O1499" s="30"/>
      <c r="P1499" s="30"/>
      <c r="Q1499" s="30"/>
      <c r="R1499" s="30"/>
      <c r="S1499" s="30"/>
      <c r="T1499" s="30"/>
      <c r="U1499" s="30"/>
      <c r="V1499" s="30"/>
      <c r="W1499" s="30"/>
      <c r="X1499" s="30"/>
    </row>
    <row r="1500">
      <c r="A1500" s="30"/>
      <c r="B1500" s="30"/>
      <c r="C1500" s="30"/>
      <c r="D1500" s="30"/>
      <c r="E1500" s="30"/>
      <c r="F1500" s="30"/>
      <c r="G1500" s="30"/>
      <c r="H1500" s="30"/>
      <c r="I1500" s="30"/>
      <c r="J1500" s="30"/>
      <c r="K1500" s="30"/>
      <c r="L1500" s="30"/>
      <c r="M1500" s="30"/>
      <c r="N1500" s="30"/>
      <c r="O1500" s="30"/>
      <c r="P1500" s="30"/>
      <c r="Q1500" s="30"/>
      <c r="R1500" s="30"/>
      <c r="S1500" s="30"/>
      <c r="T1500" s="30"/>
      <c r="U1500" s="30"/>
      <c r="V1500" s="30"/>
      <c r="W1500" s="30"/>
      <c r="X1500" s="30"/>
    </row>
    <row r="1501">
      <c r="A1501" s="30"/>
      <c r="B1501" s="30"/>
      <c r="C1501" s="30"/>
      <c r="D1501" s="30"/>
      <c r="E1501" s="30"/>
      <c r="F1501" s="30"/>
      <c r="G1501" s="30"/>
      <c r="H1501" s="30"/>
      <c r="I1501" s="30"/>
      <c r="J1501" s="30"/>
      <c r="K1501" s="30"/>
      <c r="L1501" s="30"/>
      <c r="M1501" s="30"/>
      <c r="N1501" s="30"/>
      <c r="O1501" s="30"/>
      <c r="P1501" s="30"/>
      <c r="Q1501" s="30"/>
      <c r="R1501" s="30"/>
      <c r="S1501" s="30"/>
      <c r="T1501" s="30"/>
      <c r="U1501" s="30"/>
      <c r="V1501" s="30"/>
      <c r="W1501" s="30"/>
      <c r="X1501" s="30"/>
    </row>
    <row r="1502">
      <c r="A1502" s="30"/>
      <c r="B1502" s="30"/>
      <c r="C1502" s="30"/>
      <c r="D1502" s="30"/>
      <c r="E1502" s="30"/>
      <c r="F1502" s="30"/>
      <c r="G1502" s="30"/>
      <c r="H1502" s="30"/>
      <c r="I1502" s="30"/>
      <c r="J1502" s="30"/>
      <c r="K1502" s="30"/>
      <c r="L1502" s="30"/>
      <c r="M1502" s="30"/>
      <c r="N1502" s="30"/>
      <c r="O1502" s="30"/>
      <c r="P1502" s="30"/>
      <c r="Q1502" s="30"/>
      <c r="R1502" s="30"/>
      <c r="S1502" s="30"/>
      <c r="T1502" s="30"/>
      <c r="U1502" s="30"/>
      <c r="V1502" s="30"/>
      <c r="W1502" s="30"/>
      <c r="X1502" s="30"/>
    </row>
    <row r="1503">
      <c r="A1503" s="30"/>
      <c r="B1503" s="30"/>
      <c r="C1503" s="30"/>
      <c r="D1503" s="30"/>
      <c r="E1503" s="30"/>
      <c r="F1503" s="30"/>
      <c r="G1503" s="30"/>
      <c r="H1503" s="30"/>
      <c r="I1503" s="30"/>
      <c r="J1503" s="30"/>
      <c r="K1503" s="30"/>
      <c r="L1503" s="30"/>
      <c r="M1503" s="30"/>
      <c r="N1503" s="30"/>
      <c r="O1503" s="30"/>
      <c r="P1503" s="30"/>
      <c r="Q1503" s="30"/>
      <c r="R1503" s="30"/>
      <c r="S1503" s="30"/>
      <c r="T1503" s="30"/>
      <c r="U1503" s="30"/>
      <c r="V1503" s="30"/>
      <c r="W1503" s="30"/>
      <c r="X1503" s="30"/>
    </row>
    <row r="1504">
      <c r="A1504" s="30"/>
      <c r="B1504" s="30"/>
      <c r="C1504" s="30"/>
      <c r="D1504" s="30"/>
      <c r="E1504" s="30"/>
      <c r="F1504" s="30"/>
      <c r="G1504" s="30"/>
      <c r="H1504" s="30"/>
      <c r="I1504" s="30"/>
      <c r="J1504" s="30"/>
      <c r="K1504" s="30"/>
      <c r="L1504" s="30"/>
      <c r="M1504" s="30"/>
      <c r="N1504" s="30"/>
      <c r="O1504" s="30"/>
      <c r="P1504" s="30"/>
      <c r="Q1504" s="30"/>
      <c r="R1504" s="30"/>
      <c r="S1504" s="30"/>
      <c r="T1504" s="30"/>
      <c r="U1504" s="30"/>
      <c r="V1504" s="30"/>
      <c r="W1504" s="30"/>
      <c r="X1504" s="30"/>
    </row>
    <row r="1505">
      <c r="A1505" s="30"/>
      <c r="B1505" s="30"/>
      <c r="C1505" s="30"/>
      <c r="D1505" s="30"/>
      <c r="E1505" s="30"/>
      <c r="F1505" s="30"/>
      <c r="G1505" s="30"/>
      <c r="H1505" s="30"/>
      <c r="I1505" s="30"/>
      <c r="J1505" s="30"/>
      <c r="K1505" s="30"/>
      <c r="L1505" s="30"/>
      <c r="M1505" s="30"/>
      <c r="N1505" s="30"/>
      <c r="O1505" s="30"/>
      <c r="P1505" s="30"/>
      <c r="Q1505" s="30"/>
      <c r="R1505" s="30"/>
      <c r="S1505" s="30"/>
      <c r="T1505" s="30"/>
      <c r="U1505" s="30"/>
      <c r="V1505" s="30"/>
      <c r="W1505" s="30"/>
      <c r="X1505" s="30"/>
    </row>
    <row r="1506">
      <c r="A1506" s="30"/>
      <c r="B1506" s="30"/>
      <c r="C1506" s="30"/>
      <c r="D1506" s="30"/>
      <c r="E1506" s="30"/>
      <c r="F1506" s="30"/>
      <c r="G1506" s="30"/>
      <c r="H1506" s="30"/>
      <c r="I1506" s="30"/>
      <c r="J1506" s="30"/>
      <c r="K1506" s="30"/>
      <c r="L1506" s="30"/>
      <c r="M1506" s="30"/>
      <c r="N1506" s="30"/>
      <c r="O1506" s="30"/>
      <c r="P1506" s="30"/>
      <c r="Q1506" s="30"/>
      <c r="R1506" s="30"/>
      <c r="S1506" s="30"/>
      <c r="T1506" s="30"/>
      <c r="U1506" s="30"/>
      <c r="V1506" s="30"/>
      <c r="W1506" s="30"/>
      <c r="X1506" s="30"/>
    </row>
    <row r="1507">
      <c r="A1507" s="30"/>
      <c r="B1507" s="30"/>
      <c r="C1507" s="30"/>
      <c r="D1507" s="30"/>
      <c r="E1507" s="30"/>
      <c r="F1507" s="30"/>
      <c r="G1507" s="30"/>
      <c r="H1507" s="30"/>
      <c r="I1507" s="30"/>
      <c r="J1507" s="30"/>
      <c r="K1507" s="30"/>
      <c r="L1507" s="30"/>
      <c r="M1507" s="30"/>
      <c r="N1507" s="30"/>
      <c r="O1507" s="30"/>
      <c r="P1507" s="30"/>
      <c r="Q1507" s="30"/>
      <c r="R1507" s="30"/>
      <c r="S1507" s="30"/>
      <c r="T1507" s="30"/>
      <c r="U1507" s="30"/>
      <c r="V1507" s="30"/>
      <c r="W1507" s="30"/>
      <c r="X1507" s="30"/>
    </row>
    <row r="1508">
      <c r="A1508" s="30"/>
      <c r="B1508" s="30"/>
      <c r="C1508" s="30"/>
      <c r="D1508" s="30"/>
      <c r="E1508" s="30"/>
      <c r="F1508" s="30"/>
      <c r="G1508" s="30"/>
      <c r="H1508" s="30"/>
      <c r="I1508" s="30"/>
      <c r="J1508" s="30"/>
      <c r="K1508" s="30"/>
      <c r="L1508" s="30"/>
      <c r="M1508" s="30"/>
      <c r="N1508" s="30"/>
      <c r="O1508" s="30"/>
      <c r="P1508" s="30"/>
      <c r="Q1508" s="30"/>
      <c r="R1508" s="30"/>
      <c r="S1508" s="30"/>
      <c r="T1508" s="30"/>
      <c r="U1508" s="30"/>
      <c r="V1508" s="30"/>
      <c r="W1508" s="30"/>
      <c r="X1508" s="30"/>
    </row>
    <row r="1509">
      <c r="A1509" s="30"/>
      <c r="B1509" s="30"/>
      <c r="C1509" s="30"/>
      <c r="D1509" s="30"/>
      <c r="E1509" s="30"/>
      <c r="F1509" s="30"/>
      <c r="G1509" s="30"/>
      <c r="H1509" s="30"/>
      <c r="I1509" s="30"/>
      <c r="J1509" s="30"/>
      <c r="K1509" s="30"/>
      <c r="L1509" s="30"/>
      <c r="M1509" s="30"/>
      <c r="N1509" s="30"/>
      <c r="O1509" s="30"/>
      <c r="P1509" s="30"/>
      <c r="Q1509" s="30"/>
      <c r="R1509" s="30"/>
      <c r="S1509" s="30"/>
      <c r="T1509" s="30"/>
      <c r="U1509" s="30"/>
      <c r="V1509" s="30"/>
      <c r="W1509" s="30"/>
      <c r="X1509" s="30"/>
    </row>
    <row r="1510">
      <c r="A1510" s="30"/>
      <c r="B1510" s="30"/>
      <c r="C1510" s="30"/>
      <c r="D1510" s="30"/>
      <c r="E1510" s="30"/>
      <c r="F1510" s="30"/>
      <c r="G1510" s="30"/>
      <c r="H1510" s="30"/>
      <c r="I1510" s="30"/>
      <c r="J1510" s="30"/>
      <c r="K1510" s="30"/>
      <c r="L1510" s="30"/>
      <c r="M1510" s="30"/>
      <c r="N1510" s="30"/>
      <c r="O1510" s="30"/>
      <c r="P1510" s="30"/>
      <c r="Q1510" s="30"/>
      <c r="R1510" s="30"/>
      <c r="S1510" s="30"/>
      <c r="T1510" s="30"/>
      <c r="U1510" s="30"/>
      <c r="V1510" s="30"/>
      <c r="W1510" s="30"/>
      <c r="X1510" s="30"/>
    </row>
    <row r="1511">
      <c r="A1511" s="30"/>
      <c r="B1511" s="30"/>
      <c r="C1511" s="30"/>
      <c r="D1511" s="30"/>
      <c r="E1511" s="30"/>
      <c r="F1511" s="30"/>
      <c r="G1511" s="30"/>
      <c r="H1511" s="30"/>
      <c r="I1511" s="30"/>
      <c r="J1511" s="30"/>
      <c r="K1511" s="30"/>
      <c r="L1511" s="30"/>
      <c r="M1511" s="30"/>
      <c r="N1511" s="30"/>
      <c r="O1511" s="30"/>
      <c r="P1511" s="30"/>
      <c r="Q1511" s="30"/>
      <c r="R1511" s="30"/>
      <c r="S1511" s="30"/>
      <c r="T1511" s="30"/>
      <c r="U1511" s="30"/>
      <c r="V1511" s="30"/>
      <c r="W1511" s="30"/>
      <c r="X1511" s="30"/>
    </row>
    <row r="1512">
      <c r="A1512" s="30"/>
      <c r="B1512" s="30"/>
      <c r="C1512" s="30"/>
      <c r="D1512" s="30"/>
      <c r="E1512" s="30"/>
      <c r="F1512" s="30"/>
      <c r="G1512" s="30"/>
      <c r="H1512" s="30"/>
      <c r="I1512" s="30"/>
      <c r="J1512" s="30"/>
      <c r="K1512" s="30"/>
      <c r="L1512" s="30"/>
      <c r="M1512" s="30"/>
      <c r="N1512" s="30"/>
      <c r="O1512" s="30"/>
      <c r="P1512" s="30"/>
      <c r="Q1512" s="30"/>
      <c r="R1512" s="30"/>
      <c r="S1512" s="30"/>
      <c r="T1512" s="30"/>
      <c r="U1512" s="30"/>
      <c r="V1512" s="30"/>
      <c r="W1512" s="30"/>
      <c r="X1512" s="30"/>
    </row>
    <row r="1513">
      <c r="A1513" s="30"/>
      <c r="B1513" s="30"/>
      <c r="C1513" s="30"/>
      <c r="D1513" s="30"/>
      <c r="E1513" s="30"/>
      <c r="F1513" s="30"/>
      <c r="G1513" s="30"/>
      <c r="H1513" s="30"/>
      <c r="I1513" s="30"/>
      <c r="J1513" s="30"/>
      <c r="K1513" s="30"/>
      <c r="L1513" s="30"/>
      <c r="M1513" s="30"/>
      <c r="N1513" s="30"/>
      <c r="O1513" s="30"/>
      <c r="P1513" s="30"/>
      <c r="Q1513" s="30"/>
      <c r="R1513" s="30"/>
      <c r="S1513" s="30"/>
      <c r="T1513" s="30"/>
      <c r="U1513" s="30"/>
      <c r="V1513" s="30"/>
      <c r="W1513" s="30"/>
      <c r="X1513" s="30"/>
    </row>
    <row r="1514">
      <c r="A1514" s="30"/>
      <c r="B1514" s="30"/>
      <c r="C1514" s="30"/>
      <c r="D1514" s="30"/>
      <c r="E1514" s="30"/>
      <c r="F1514" s="30"/>
      <c r="G1514" s="30"/>
      <c r="H1514" s="30"/>
      <c r="I1514" s="30"/>
      <c r="J1514" s="30"/>
      <c r="K1514" s="30"/>
      <c r="L1514" s="30"/>
      <c r="M1514" s="30"/>
      <c r="N1514" s="30"/>
      <c r="O1514" s="30"/>
      <c r="P1514" s="30"/>
      <c r="Q1514" s="30"/>
      <c r="R1514" s="30"/>
      <c r="S1514" s="30"/>
      <c r="T1514" s="30"/>
      <c r="U1514" s="30"/>
      <c r="V1514" s="30"/>
      <c r="W1514" s="30"/>
      <c r="X1514" s="30"/>
    </row>
    <row r="1515">
      <c r="A1515" s="30"/>
      <c r="B1515" s="30"/>
      <c r="C1515" s="30"/>
      <c r="D1515" s="30"/>
      <c r="E1515" s="30"/>
      <c r="F1515" s="30"/>
      <c r="G1515" s="30"/>
      <c r="H1515" s="30"/>
      <c r="I1515" s="30"/>
      <c r="J1515" s="30"/>
      <c r="K1515" s="30"/>
      <c r="L1515" s="30"/>
      <c r="M1515" s="30"/>
      <c r="N1515" s="30"/>
      <c r="O1515" s="30"/>
      <c r="P1515" s="30"/>
      <c r="Q1515" s="30"/>
      <c r="R1515" s="30"/>
      <c r="S1515" s="30"/>
      <c r="T1515" s="30"/>
      <c r="U1515" s="30"/>
      <c r="V1515" s="30"/>
      <c r="W1515" s="30"/>
      <c r="X1515" s="30"/>
    </row>
    <row r="1516">
      <c r="A1516" s="30"/>
      <c r="B1516" s="30"/>
      <c r="C1516" s="30"/>
      <c r="D1516" s="30"/>
      <c r="E1516" s="30"/>
      <c r="F1516" s="30"/>
      <c r="G1516" s="30"/>
      <c r="H1516" s="30"/>
      <c r="I1516" s="30"/>
      <c r="J1516" s="30"/>
      <c r="K1516" s="30"/>
      <c r="L1516" s="30"/>
      <c r="M1516" s="30"/>
      <c r="N1516" s="30"/>
      <c r="O1516" s="30"/>
      <c r="P1516" s="30"/>
      <c r="Q1516" s="30"/>
      <c r="R1516" s="30"/>
      <c r="S1516" s="30"/>
      <c r="T1516" s="30"/>
      <c r="U1516" s="30"/>
      <c r="V1516" s="30"/>
      <c r="W1516" s="30"/>
      <c r="X1516" s="30"/>
    </row>
    <row r="1517">
      <c r="A1517" s="30"/>
      <c r="B1517" s="30"/>
      <c r="C1517" s="30"/>
      <c r="D1517" s="30"/>
      <c r="E1517" s="30"/>
      <c r="F1517" s="30"/>
      <c r="G1517" s="30"/>
      <c r="H1517" s="30"/>
      <c r="I1517" s="30"/>
      <c r="J1517" s="30"/>
      <c r="K1517" s="30"/>
      <c r="L1517" s="30"/>
      <c r="M1517" s="30"/>
      <c r="N1517" s="30"/>
      <c r="O1517" s="30"/>
      <c r="P1517" s="30"/>
      <c r="Q1517" s="30"/>
      <c r="R1517" s="30"/>
      <c r="S1517" s="30"/>
      <c r="T1517" s="30"/>
      <c r="U1517" s="30"/>
      <c r="V1517" s="30"/>
      <c r="W1517" s="30"/>
      <c r="X1517" s="30"/>
    </row>
    <row r="1518">
      <c r="A1518" s="30"/>
      <c r="B1518" s="30"/>
      <c r="C1518" s="30"/>
      <c r="D1518" s="30"/>
      <c r="E1518" s="30"/>
      <c r="F1518" s="30"/>
      <c r="G1518" s="30"/>
      <c r="H1518" s="30"/>
      <c r="I1518" s="30"/>
      <c r="J1518" s="30"/>
      <c r="K1518" s="30"/>
      <c r="L1518" s="30"/>
      <c r="M1518" s="30"/>
      <c r="N1518" s="30"/>
      <c r="O1518" s="30"/>
      <c r="P1518" s="30"/>
      <c r="Q1518" s="30"/>
      <c r="R1518" s="30"/>
      <c r="S1518" s="30"/>
      <c r="T1518" s="30"/>
      <c r="U1518" s="30"/>
      <c r="V1518" s="30"/>
      <c r="W1518" s="30"/>
      <c r="X1518" s="30"/>
    </row>
    <row r="1519">
      <c r="A1519" s="30"/>
      <c r="B1519" s="30"/>
      <c r="C1519" s="30"/>
      <c r="D1519" s="30"/>
      <c r="E1519" s="30"/>
      <c r="F1519" s="30"/>
      <c r="G1519" s="30"/>
      <c r="H1519" s="30"/>
      <c r="I1519" s="30"/>
      <c r="J1519" s="30"/>
      <c r="K1519" s="30"/>
      <c r="L1519" s="30"/>
      <c r="M1519" s="30"/>
      <c r="N1519" s="30"/>
      <c r="O1519" s="30"/>
      <c r="P1519" s="30"/>
      <c r="Q1519" s="30"/>
      <c r="R1519" s="30"/>
      <c r="S1519" s="30"/>
      <c r="T1519" s="30"/>
      <c r="U1519" s="30"/>
      <c r="V1519" s="30"/>
      <c r="W1519" s="30"/>
      <c r="X1519" s="30"/>
    </row>
    <row r="1520">
      <c r="A1520" s="30"/>
      <c r="B1520" s="30"/>
      <c r="C1520" s="30"/>
      <c r="D1520" s="30"/>
      <c r="E1520" s="30"/>
      <c r="F1520" s="30"/>
      <c r="G1520" s="30"/>
      <c r="H1520" s="30"/>
      <c r="I1520" s="30"/>
      <c r="J1520" s="30"/>
      <c r="K1520" s="30"/>
      <c r="L1520" s="30"/>
      <c r="M1520" s="30"/>
      <c r="N1520" s="30"/>
      <c r="O1520" s="30"/>
      <c r="P1520" s="30"/>
      <c r="Q1520" s="30"/>
      <c r="R1520" s="30"/>
      <c r="S1520" s="30"/>
      <c r="T1520" s="30"/>
      <c r="U1520" s="30"/>
      <c r="V1520" s="30"/>
      <c r="W1520" s="30"/>
      <c r="X1520" s="30"/>
    </row>
    <row r="1521">
      <c r="A1521" s="30"/>
      <c r="B1521" s="30"/>
      <c r="C1521" s="30"/>
      <c r="D1521" s="30"/>
      <c r="E1521" s="30"/>
      <c r="F1521" s="30"/>
      <c r="G1521" s="30"/>
      <c r="H1521" s="30"/>
      <c r="I1521" s="30"/>
      <c r="J1521" s="30"/>
      <c r="K1521" s="30"/>
      <c r="L1521" s="30"/>
      <c r="M1521" s="30"/>
      <c r="N1521" s="30"/>
      <c r="O1521" s="30"/>
      <c r="P1521" s="30"/>
      <c r="Q1521" s="30"/>
      <c r="R1521" s="30"/>
      <c r="S1521" s="30"/>
      <c r="T1521" s="30"/>
      <c r="U1521" s="30"/>
      <c r="V1521" s="30"/>
      <c r="W1521" s="30"/>
      <c r="X1521" s="30"/>
    </row>
    <row r="1522">
      <c r="A1522" s="30"/>
      <c r="B1522" s="30"/>
      <c r="C1522" s="30"/>
      <c r="D1522" s="30"/>
      <c r="E1522" s="30"/>
      <c r="F1522" s="30"/>
      <c r="G1522" s="30"/>
      <c r="H1522" s="30"/>
      <c r="I1522" s="30"/>
      <c r="J1522" s="30"/>
      <c r="K1522" s="30"/>
      <c r="L1522" s="30"/>
      <c r="M1522" s="30"/>
      <c r="N1522" s="30"/>
      <c r="O1522" s="30"/>
      <c r="P1522" s="30"/>
      <c r="Q1522" s="30"/>
      <c r="R1522" s="30"/>
      <c r="S1522" s="30"/>
      <c r="T1522" s="30"/>
      <c r="U1522" s="30"/>
      <c r="V1522" s="30"/>
      <c r="W1522" s="30"/>
      <c r="X1522" s="30"/>
    </row>
    <row r="1523">
      <c r="A1523" s="30"/>
      <c r="B1523" s="30"/>
      <c r="C1523" s="30"/>
      <c r="D1523" s="30"/>
      <c r="E1523" s="30"/>
      <c r="F1523" s="30"/>
      <c r="G1523" s="30"/>
      <c r="H1523" s="30"/>
      <c r="I1523" s="30"/>
      <c r="J1523" s="30"/>
      <c r="K1523" s="30"/>
      <c r="L1523" s="30"/>
      <c r="M1523" s="30"/>
      <c r="N1523" s="30"/>
      <c r="O1523" s="30"/>
      <c r="P1523" s="30"/>
      <c r="Q1523" s="30"/>
      <c r="R1523" s="30"/>
      <c r="S1523" s="30"/>
      <c r="T1523" s="30"/>
      <c r="U1523" s="30"/>
      <c r="V1523" s="30"/>
      <c r="W1523" s="30"/>
      <c r="X1523" s="30"/>
    </row>
    <row r="1524">
      <c r="A1524" s="30"/>
      <c r="B1524" s="30"/>
      <c r="C1524" s="30"/>
      <c r="D1524" s="30"/>
      <c r="E1524" s="30"/>
      <c r="F1524" s="30"/>
      <c r="G1524" s="30"/>
      <c r="H1524" s="30"/>
      <c r="I1524" s="30"/>
      <c r="J1524" s="30"/>
      <c r="K1524" s="30"/>
      <c r="L1524" s="30"/>
      <c r="M1524" s="30"/>
      <c r="N1524" s="30"/>
      <c r="O1524" s="30"/>
      <c r="P1524" s="30"/>
      <c r="Q1524" s="30"/>
      <c r="R1524" s="30"/>
      <c r="S1524" s="30"/>
      <c r="T1524" s="30"/>
      <c r="U1524" s="30"/>
      <c r="V1524" s="30"/>
      <c r="W1524" s="30"/>
      <c r="X1524" s="30"/>
    </row>
    <row r="1525">
      <c r="A1525" s="30"/>
      <c r="B1525" s="30"/>
      <c r="C1525" s="30"/>
      <c r="D1525" s="30"/>
      <c r="E1525" s="30"/>
      <c r="F1525" s="30"/>
      <c r="G1525" s="30"/>
      <c r="H1525" s="30"/>
      <c r="I1525" s="30"/>
      <c r="J1525" s="30"/>
      <c r="K1525" s="30"/>
      <c r="L1525" s="30"/>
      <c r="M1525" s="30"/>
      <c r="N1525" s="30"/>
      <c r="O1525" s="30"/>
      <c r="P1525" s="30"/>
      <c r="Q1525" s="30"/>
      <c r="R1525" s="30"/>
      <c r="S1525" s="30"/>
      <c r="T1525" s="30"/>
      <c r="U1525" s="30"/>
      <c r="V1525" s="30"/>
      <c r="W1525" s="30"/>
      <c r="X1525" s="30"/>
    </row>
    <row r="1526">
      <c r="A1526" s="30"/>
      <c r="B1526" s="30"/>
      <c r="C1526" s="30"/>
      <c r="D1526" s="30"/>
      <c r="E1526" s="30"/>
      <c r="F1526" s="30"/>
      <c r="G1526" s="30"/>
      <c r="H1526" s="30"/>
      <c r="I1526" s="30"/>
      <c r="J1526" s="30"/>
      <c r="K1526" s="30"/>
      <c r="L1526" s="30"/>
      <c r="M1526" s="30"/>
      <c r="N1526" s="30"/>
      <c r="O1526" s="30"/>
      <c r="P1526" s="30"/>
      <c r="Q1526" s="30"/>
      <c r="R1526" s="30"/>
      <c r="S1526" s="30"/>
      <c r="T1526" s="30"/>
      <c r="U1526" s="30"/>
      <c r="V1526" s="30"/>
      <c r="W1526" s="30"/>
      <c r="X1526" s="30"/>
    </row>
    <row r="1527">
      <c r="A1527" s="30"/>
      <c r="B1527" s="30"/>
      <c r="C1527" s="30"/>
      <c r="D1527" s="30"/>
      <c r="E1527" s="30"/>
      <c r="F1527" s="30"/>
      <c r="G1527" s="30"/>
      <c r="H1527" s="30"/>
      <c r="I1527" s="30"/>
      <c r="J1527" s="30"/>
      <c r="K1527" s="30"/>
      <c r="L1527" s="30"/>
      <c r="M1527" s="30"/>
      <c r="N1527" s="30"/>
      <c r="O1527" s="30"/>
      <c r="P1527" s="30"/>
      <c r="Q1527" s="30"/>
      <c r="R1527" s="30"/>
      <c r="S1527" s="30"/>
      <c r="T1527" s="30"/>
      <c r="U1527" s="30"/>
      <c r="V1527" s="30"/>
      <c r="W1527" s="30"/>
      <c r="X1527" s="30"/>
    </row>
    <row r="1528">
      <c r="A1528" s="30"/>
      <c r="B1528" s="30"/>
      <c r="C1528" s="30"/>
      <c r="D1528" s="30"/>
      <c r="E1528" s="30"/>
      <c r="F1528" s="30"/>
      <c r="G1528" s="30"/>
      <c r="H1528" s="30"/>
      <c r="I1528" s="30"/>
      <c r="J1528" s="30"/>
      <c r="K1528" s="30"/>
      <c r="L1528" s="30"/>
      <c r="M1528" s="30"/>
      <c r="N1528" s="30"/>
      <c r="O1528" s="30"/>
      <c r="P1528" s="30"/>
      <c r="Q1528" s="30"/>
      <c r="R1528" s="30"/>
      <c r="S1528" s="30"/>
      <c r="T1528" s="30"/>
      <c r="U1528" s="30"/>
      <c r="V1528" s="30"/>
      <c r="W1528" s="30"/>
      <c r="X1528" s="30"/>
    </row>
    <row r="1529">
      <c r="A1529" s="30"/>
      <c r="B1529" s="30"/>
      <c r="C1529" s="30"/>
      <c r="D1529" s="30"/>
      <c r="E1529" s="30"/>
      <c r="F1529" s="30"/>
      <c r="G1529" s="30"/>
      <c r="H1529" s="30"/>
      <c r="I1529" s="30"/>
      <c r="J1529" s="30"/>
      <c r="K1529" s="30"/>
      <c r="L1529" s="30"/>
      <c r="M1529" s="30"/>
      <c r="N1529" s="30"/>
      <c r="O1529" s="30"/>
      <c r="P1529" s="30"/>
      <c r="Q1529" s="30"/>
      <c r="R1529" s="30"/>
      <c r="S1529" s="30"/>
      <c r="T1529" s="30"/>
      <c r="U1529" s="30"/>
      <c r="V1529" s="30"/>
      <c r="W1529" s="30"/>
      <c r="X1529" s="30"/>
    </row>
    <row r="1530">
      <c r="A1530" s="30"/>
      <c r="B1530" s="30"/>
      <c r="C1530" s="30"/>
      <c r="D1530" s="30"/>
      <c r="E1530" s="30"/>
      <c r="F1530" s="30"/>
      <c r="G1530" s="30"/>
      <c r="H1530" s="30"/>
      <c r="I1530" s="30"/>
      <c r="J1530" s="30"/>
      <c r="K1530" s="30"/>
      <c r="L1530" s="30"/>
      <c r="M1530" s="30"/>
      <c r="N1530" s="30"/>
      <c r="O1530" s="30"/>
      <c r="P1530" s="30"/>
      <c r="Q1530" s="30"/>
      <c r="R1530" s="30"/>
      <c r="S1530" s="30"/>
      <c r="T1530" s="30"/>
      <c r="U1530" s="30"/>
      <c r="V1530" s="30"/>
      <c r="W1530" s="30"/>
      <c r="X1530" s="30"/>
    </row>
    <row r="1531">
      <c r="A1531" s="30"/>
      <c r="B1531" s="30"/>
      <c r="C1531" s="30"/>
      <c r="D1531" s="30"/>
      <c r="E1531" s="30"/>
      <c r="F1531" s="30"/>
      <c r="G1531" s="30"/>
      <c r="H1531" s="30"/>
      <c r="I1531" s="30"/>
      <c r="J1531" s="30"/>
      <c r="K1531" s="30"/>
      <c r="L1531" s="30"/>
      <c r="M1531" s="30"/>
      <c r="N1531" s="30"/>
      <c r="O1531" s="30"/>
      <c r="P1531" s="30"/>
      <c r="Q1531" s="30"/>
      <c r="R1531" s="30"/>
      <c r="S1531" s="30"/>
      <c r="T1531" s="30"/>
      <c r="U1531" s="30"/>
      <c r="V1531" s="30"/>
      <c r="W1531" s="30"/>
      <c r="X1531" s="30"/>
    </row>
    <row r="1532">
      <c r="A1532" s="30"/>
      <c r="B1532" s="30"/>
      <c r="C1532" s="30"/>
      <c r="D1532" s="30"/>
      <c r="E1532" s="30"/>
      <c r="F1532" s="30"/>
      <c r="G1532" s="30"/>
      <c r="H1532" s="30"/>
      <c r="I1532" s="30"/>
      <c r="J1532" s="30"/>
      <c r="K1532" s="30"/>
      <c r="L1532" s="30"/>
      <c r="M1532" s="30"/>
      <c r="N1532" s="30"/>
      <c r="O1532" s="30"/>
      <c r="P1532" s="30"/>
      <c r="Q1532" s="30"/>
      <c r="R1532" s="30"/>
      <c r="S1532" s="30"/>
      <c r="T1532" s="30"/>
      <c r="U1532" s="30"/>
      <c r="V1532" s="30"/>
      <c r="W1532" s="30"/>
      <c r="X1532" s="30"/>
    </row>
    <row r="1533">
      <c r="A1533" s="30"/>
      <c r="B1533" s="30"/>
      <c r="C1533" s="30"/>
      <c r="D1533" s="30"/>
      <c r="E1533" s="30"/>
      <c r="F1533" s="30"/>
      <c r="G1533" s="30"/>
      <c r="H1533" s="30"/>
      <c r="I1533" s="30"/>
      <c r="J1533" s="30"/>
      <c r="K1533" s="30"/>
      <c r="L1533" s="30"/>
      <c r="M1533" s="30"/>
      <c r="N1533" s="30"/>
      <c r="O1533" s="30"/>
      <c r="P1533" s="30"/>
      <c r="Q1533" s="30"/>
      <c r="R1533" s="30"/>
      <c r="S1533" s="30"/>
      <c r="T1533" s="30"/>
      <c r="U1533" s="30"/>
      <c r="V1533" s="30"/>
      <c r="W1533" s="30"/>
      <c r="X1533" s="30"/>
    </row>
    <row r="1534">
      <c r="A1534" s="30"/>
      <c r="B1534" s="30"/>
      <c r="C1534" s="30"/>
      <c r="D1534" s="30"/>
      <c r="E1534" s="30"/>
      <c r="F1534" s="30"/>
      <c r="G1534" s="30"/>
      <c r="H1534" s="30"/>
      <c r="I1534" s="30"/>
      <c r="J1534" s="30"/>
      <c r="K1534" s="30"/>
      <c r="L1534" s="30"/>
      <c r="M1534" s="30"/>
      <c r="N1534" s="30"/>
      <c r="O1534" s="30"/>
      <c r="P1534" s="30"/>
      <c r="Q1534" s="30"/>
      <c r="R1534" s="30"/>
      <c r="S1534" s="30"/>
      <c r="T1534" s="30"/>
      <c r="U1534" s="30"/>
      <c r="V1534" s="30"/>
      <c r="W1534" s="30"/>
      <c r="X1534" s="30"/>
    </row>
    <row r="1535">
      <c r="A1535" s="30"/>
      <c r="B1535" s="30"/>
      <c r="C1535" s="30"/>
      <c r="D1535" s="30"/>
      <c r="E1535" s="30"/>
      <c r="F1535" s="30"/>
      <c r="G1535" s="30"/>
      <c r="H1535" s="30"/>
      <c r="I1535" s="30"/>
      <c r="J1535" s="30"/>
      <c r="K1535" s="30"/>
      <c r="L1535" s="30"/>
      <c r="M1535" s="30"/>
      <c r="N1535" s="30"/>
      <c r="O1535" s="30"/>
      <c r="P1535" s="30"/>
      <c r="Q1535" s="30"/>
      <c r="R1535" s="30"/>
      <c r="S1535" s="30"/>
      <c r="T1535" s="30"/>
      <c r="U1535" s="30"/>
      <c r="V1535" s="30"/>
      <c r="W1535" s="30"/>
      <c r="X1535" s="30"/>
    </row>
    <row r="1536">
      <c r="A1536" s="30"/>
      <c r="B1536" s="30"/>
      <c r="C1536" s="30"/>
      <c r="D1536" s="30"/>
      <c r="E1536" s="30"/>
      <c r="F1536" s="30"/>
      <c r="G1536" s="30"/>
      <c r="H1536" s="30"/>
      <c r="I1536" s="30"/>
      <c r="J1536" s="30"/>
      <c r="K1536" s="30"/>
      <c r="L1536" s="30"/>
      <c r="M1536" s="30"/>
      <c r="N1536" s="30"/>
      <c r="O1536" s="30"/>
      <c r="P1536" s="30"/>
      <c r="Q1536" s="30"/>
      <c r="R1536" s="30"/>
      <c r="S1536" s="30"/>
      <c r="T1536" s="30"/>
      <c r="U1536" s="30"/>
      <c r="V1536" s="30"/>
      <c r="W1536" s="30"/>
      <c r="X1536" s="30"/>
    </row>
    <row r="1537">
      <c r="A1537" s="30"/>
      <c r="B1537" s="30"/>
      <c r="C1537" s="30"/>
      <c r="D1537" s="30"/>
      <c r="E1537" s="30"/>
      <c r="F1537" s="30"/>
      <c r="G1537" s="30"/>
      <c r="H1537" s="30"/>
      <c r="I1537" s="30"/>
      <c r="J1537" s="30"/>
      <c r="K1537" s="30"/>
      <c r="L1537" s="30"/>
      <c r="M1537" s="30"/>
      <c r="N1537" s="30"/>
      <c r="O1537" s="30"/>
      <c r="P1537" s="30"/>
      <c r="Q1537" s="30"/>
      <c r="R1537" s="30"/>
      <c r="S1537" s="30"/>
      <c r="T1537" s="30"/>
      <c r="U1537" s="30"/>
      <c r="V1537" s="30"/>
      <c r="W1537" s="30"/>
      <c r="X1537" s="30"/>
    </row>
    <row r="1538">
      <c r="A1538" s="30"/>
      <c r="B1538" s="30"/>
      <c r="C1538" s="30"/>
      <c r="D1538" s="30"/>
      <c r="E1538" s="30"/>
      <c r="F1538" s="30"/>
      <c r="G1538" s="30"/>
      <c r="H1538" s="30"/>
      <c r="I1538" s="30"/>
      <c r="J1538" s="30"/>
      <c r="K1538" s="30"/>
      <c r="L1538" s="30"/>
      <c r="M1538" s="30"/>
      <c r="N1538" s="30"/>
      <c r="O1538" s="30"/>
      <c r="P1538" s="30"/>
      <c r="Q1538" s="30"/>
      <c r="R1538" s="30"/>
      <c r="S1538" s="30"/>
      <c r="T1538" s="30"/>
      <c r="U1538" s="30"/>
      <c r="V1538" s="30"/>
      <c r="W1538" s="30"/>
      <c r="X1538" s="30"/>
    </row>
    <row r="1539">
      <c r="A1539" s="30"/>
      <c r="B1539" s="30"/>
      <c r="C1539" s="30"/>
      <c r="D1539" s="30"/>
      <c r="E1539" s="30"/>
      <c r="F1539" s="30"/>
      <c r="G1539" s="30"/>
      <c r="H1539" s="30"/>
      <c r="I1539" s="30"/>
      <c r="J1539" s="30"/>
      <c r="K1539" s="30"/>
      <c r="L1539" s="30"/>
      <c r="M1539" s="30"/>
      <c r="N1539" s="30"/>
      <c r="O1539" s="30"/>
      <c r="P1539" s="30"/>
      <c r="Q1539" s="30"/>
      <c r="R1539" s="30"/>
      <c r="S1539" s="30"/>
      <c r="T1539" s="30"/>
      <c r="U1539" s="30"/>
      <c r="V1539" s="30"/>
      <c r="W1539" s="30"/>
      <c r="X1539" s="30"/>
    </row>
    <row r="1540">
      <c r="A1540" s="30"/>
      <c r="B1540" s="30"/>
      <c r="C1540" s="30"/>
      <c r="D1540" s="30"/>
      <c r="E1540" s="30"/>
      <c r="F1540" s="30"/>
      <c r="G1540" s="30"/>
      <c r="H1540" s="30"/>
      <c r="I1540" s="30"/>
      <c r="J1540" s="30"/>
      <c r="K1540" s="30"/>
      <c r="L1540" s="30"/>
      <c r="M1540" s="30"/>
      <c r="N1540" s="30"/>
      <c r="O1540" s="30"/>
      <c r="P1540" s="30"/>
      <c r="Q1540" s="30"/>
      <c r="R1540" s="30"/>
      <c r="S1540" s="30"/>
      <c r="T1540" s="30"/>
      <c r="U1540" s="30"/>
      <c r="V1540" s="30"/>
      <c r="W1540" s="30"/>
      <c r="X1540" s="30"/>
    </row>
    <row r="1541">
      <c r="A1541" s="30"/>
      <c r="B1541" s="30"/>
      <c r="C1541" s="30"/>
      <c r="D1541" s="30"/>
      <c r="E1541" s="30"/>
      <c r="F1541" s="30"/>
      <c r="G1541" s="30"/>
      <c r="H1541" s="30"/>
      <c r="I1541" s="30"/>
      <c r="J1541" s="30"/>
      <c r="K1541" s="30"/>
      <c r="L1541" s="30"/>
      <c r="M1541" s="30"/>
      <c r="N1541" s="30"/>
      <c r="O1541" s="30"/>
      <c r="P1541" s="30"/>
      <c r="Q1541" s="30"/>
      <c r="R1541" s="30"/>
      <c r="S1541" s="30"/>
      <c r="T1541" s="30"/>
      <c r="U1541" s="30"/>
      <c r="V1541" s="30"/>
      <c r="W1541" s="30"/>
      <c r="X1541" s="30"/>
    </row>
    <row r="1542">
      <c r="A1542" s="30"/>
      <c r="B1542" s="30"/>
      <c r="C1542" s="30"/>
      <c r="D1542" s="30"/>
      <c r="E1542" s="30"/>
      <c r="F1542" s="30"/>
      <c r="G1542" s="30"/>
      <c r="H1542" s="30"/>
      <c r="I1542" s="30"/>
      <c r="J1542" s="30"/>
      <c r="K1542" s="30"/>
      <c r="L1542" s="30"/>
      <c r="M1542" s="30"/>
      <c r="N1542" s="30"/>
      <c r="O1542" s="30"/>
      <c r="P1542" s="30"/>
      <c r="Q1542" s="30"/>
      <c r="R1542" s="30"/>
      <c r="S1542" s="30"/>
      <c r="T1542" s="30"/>
      <c r="U1542" s="30"/>
      <c r="V1542" s="30"/>
      <c r="W1542" s="30"/>
      <c r="X1542" s="30"/>
    </row>
    <row r="1543">
      <c r="A1543" s="30"/>
      <c r="B1543" s="30"/>
      <c r="C1543" s="30"/>
      <c r="D1543" s="30"/>
      <c r="E1543" s="30"/>
      <c r="F1543" s="30"/>
      <c r="G1543" s="30"/>
      <c r="H1543" s="30"/>
      <c r="I1543" s="30"/>
      <c r="J1543" s="30"/>
      <c r="K1543" s="30"/>
      <c r="L1543" s="30"/>
      <c r="M1543" s="30"/>
      <c r="N1543" s="30"/>
      <c r="O1543" s="30"/>
      <c r="P1543" s="30"/>
      <c r="Q1543" s="30"/>
      <c r="R1543" s="30"/>
      <c r="S1543" s="30"/>
      <c r="T1543" s="30"/>
      <c r="U1543" s="30"/>
      <c r="V1543" s="30"/>
      <c r="W1543" s="30"/>
      <c r="X1543" s="30"/>
    </row>
    <row r="1544">
      <c r="A1544" s="30"/>
      <c r="B1544" s="30"/>
      <c r="C1544" s="30"/>
      <c r="D1544" s="30"/>
      <c r="E1544" s="30"/>
      <c r="F1544" s="30"/>
      <c r="G1544" s="30"/>
      <c r="H1544" s="30"/>
      <c r="I1544" s="30"/>
      <c r="J1544" s="30"/>
      <c r="K1544" s="30"/>
      <c r="L1544" s="30"/>
      <c r="M1544" s="30"/>
      <c r="N1544" s="30"/>
      <c r="O1544" s="30"/>
      <c r="P1544" s="30"/>
      <c r="Q1544" s="30"/>
      <c r="R1544" s="30"/>
      <c r="S1544" s="30"/>
      <c r="T1544" s="30"/>
      <c r="U1544" s="30"/>
      <c r="V1544" s="30"/>
      <c r="W1544" s="30"/>
      <c r="X1544" s="30"/>
    </row>
    <row r="1545">
      <c r="A1545" s="30"/>
      <c r="B1545" s="30"/>
      <c r="C1545" s="30"/>
      <c r="D1545" s="30"/>
      <c r="E1545" s="30"/>
      <c r="F1545" s="30"/>
      <c r="G1545" s="30"/>
      <c r="H1545" s="30"/>
      <c r="I1545" s="30"/>
      <c r="J1545" s="30"/>
      <c r="K1545" s="30"/>
      <c r="L1545" s="30"/>
      <c r="M1545" s="30"/>
      <c r="N1545" s="30"/>
      <c r="O1545" s="30"/>
      <c r="P1545" s="30"/>
      <c r="Q1545" s="30"/>
      <c r="R1545" s="30"/>
      <c r="S1545" s="30"/>
      <c r="T1545" s="30"/>
      <c r="U1545" s="30"/>
      <c r="V1545" s="30"/>
      <c r="W1545" s="30"/>
      <c r="X1545" s="30"/>
    </row>
    <row r="1546">
      <c r="A1546" s="30"/>
      <c r="B1546" s="30"/>
      <c r="C1546" s="30"/>
      <c r="D1546" s="30"/>
      <c r="E1546" s="30"/>
      <c r="F1546" s="30"/>
      <c r="G1546" s="30"/>
      <c r="H1546" s="30"/>
      <c r="I1546" s="30"/>
      <c r="J1546" s="30"/>
      <c r="K1546" s="30"/>
      <c r="L1546" s="30"/>
      <c r="M1546" s="30"/>
      <c r="N1546" s="30"/>
      <c r="O1546" s="30"/>
      <c r="P1546" s="30"/>
      <c r="Q1546" s="30"/>
      <c r="R1546" s="30"/>
      <c r="S1546" s="30"/>
      <c r="T1546" s="30"/>
      <c r="U1546" s="30"/>
      <c r="V1546" s="30"/>
      <c r="W1546" s="30"/>
      <c r="X1546" s="30"/>
    </row>
    <row r="1547">
      <c r="A1547" s="30"/>
      <c r="B1547" s="30"/>
      <c r="C1547" s="30"/>
      <c r="D1547" s="30"/>
      <c r="E1547" s="30"/>
      <c r="F1547" s="30"/>
      <c r="G1547" s="30"/>
      <c r="H1547" s="30"/>
      <c r="I1547" s="30"/>
      <c r="J1547" s="30"/>
      <c r="K1547" s="30"/>
      <c r="L1547" s="30"/>
      <c r="M1547" s="30"/>
      <c r="N1547" s="30"/>
      <c r="O1547" s="30"/>
      <c r="P1547" s="30"/>
      <c r="Q1547" s="30"/>
      <c r="R1547" s="30"/>
      <c r="S1547" s="30"/>
      <c r="T1547" s="30"/>
      <c r="U1547" s="30"/>
      <c r="V1547" s="30"/>
      <c r="W1547" s="30"/>
      <c r="X1547" s="30"/>
    </row>
    <row r="1548">
      <c r="A1548" s="30"/>
      <c r="B1548" s="30"/>
      <c r="C1548" s="30"/>
      <c r="D1548" s="30"/>
      <c r="E1548" s="30"/>
      <c r="F1548" s="30"/>
      <c r="G1548" s="30"/>
      <c r="H1548" s="30"/>
      <c r="I1548" s="30"/>
      <c r="J1548" s="30"/>
      <c r="K1548" s="30"/>
      <c r="L1548" s="30"/>
      <c r="M1548" s="30"/>
      <c r="N1548" s="30"/>
      <c r="O1548" s="30"/>
      <c r="P1548" s="30"/>
      <c r="Q1548" s="30"/>
      <c r="R1548" s="30"/>
      <c r="S1548" s="30"/>
      <c r="T1548" s="30"/>
      <c r="U1548" s="30"/>
      <c r="V1548" s="30"/>
      <c r="W1548" s="30"/>
      <c r="X1548" s="30"/>
    </row>
    <row r="1549">
      <c r="A1549" s="30"/>
      <c r="B1549" s="30"/>
      <c r="C1549" s="30"/>
      <c r="D1549" s="30"/>
      <c r="E1549" s="30"/>
      <c r="F1549" s="30"/>
      <c r="G1549" s="30"/>
      <c r="H1549" s="30"/>
      <c r="I1549" s="30"/>
      <c r="J1549" s="30"/>
      <c r="K1549" s="30"/>
      <c r="L1549" s="30"/>
      <c r="M1549" s="30"/>
      <c r="N1549" s="30"/>
      <c r="O1549" s="30"/>
      <c r="P1549" s="30"/>
      <c r="Q1549" s="30"/>
      <c r="R1549" s="30"/>
      <c r="S1549" s="30"/>
      <c r="T1549" s="30"/>
      <c r="U1549" s="30"/>
      <c r="V1549" s="30"/>
      <c r="W1549" s="30"/>
      <c r="X1549" s="30"/>
    </row>
    <row r="1550">
      <c r="A1550" s="30"/>
      <c r="B1550" s="30"/>
      <c r="C1550" s="30"/>
      <c r="D1550" s="30"/>
      <c r="E1550" s="30"/>
      <c r="F1550" s="30"/>
      <c r="G1550" s="30"/>
      <c r="H1550" s="30"/>
      <c r="I1550" s="30"/>
      <c r="J1550" s="30"/>
      <c r="K1550" s="30"/>
      <c r="L1550" s="30"/>
      <c r="M1550" s="30"/>
      <c r="N1550" s="30"/>
      <c r="O1550" s="30"/>
      <c r="P1550" s="30"/>
      <c r="Q1550" s="30"/>
      <c r="R1550" s="30"/>
      <c r="S1550" s="30"/>
      <c r="T1550" s="30"/>
      <c r="U1550" s="30"/>
      <c r="V1550" s="30"/>
      <c r="W1550" s="30"/>
      <c r="X1550" s="30"/>
    </row>
    <row r="1551">
      <c r="A1551" s="30"/>
      <c r="B1551" s="30"/>
      <c r="C1551" s="30"/>
      <c r="D1551" s="30"/>
      <c r="E1551" s="30"/>
      <c r="F1551" s="30"/>
      <c r="G1551" s="30"/>
      <c r="H1551" s="30"/>
      <c r="I1551" s="30"/>
      <c r="J1551" s="30"/>
      <c r="K1551" s="30"/>
      <c r="L1551" s="30"/>
      <c r="M1551" s="30"/>
      <c r="N1551" s="30"/>
      <c r="O1551" s="30"/>
      <c r="P1551" s="30"/>
      <c r="Q1551" s="30"/>
      <c r="R1551" s="30"/>
      <c r="S1551" s="30"/>
      <c r="T1551" s="30"/>
      <c r="U1551" s="30"/>
      <c r="V1551" s="30"/>
      <c r="W1551" s="30"/>
      <c r="X1551" s="30"/>
    </row>
    <row r="1552">
      <c r="A1552" s="30"/>
      <c r="B1552" s="30"/>
      <c r="C1552" s="30"/>
      <c r="D1552" s="30"/>
      <c r="E1552" s="30"/>
      <c r="F1552" s="30"/>
      <c r="G1552" s="30"/>
      <c r="H1552" s="30"/>
      <c r="I1552" s="30"/>
      <c r="J1552" s="30"/>
      <c r="K1552" s="30"/>
      <c r="L1552" s="30"/>
      <c r="M1552" s="30"/>
      <c r="N1552" s="30"/>
      <c r="O1552" s="30"/>
      <c r="P1552" s="30"/>
      <c r="Q1552" s="30"/>
      <c r="R1552" s="30"/>
      <c r="S1552" s="30"/>
      <c r="T1552" s="30"/>
      <c r="U1552" s="30"/>
      <c r="V1552" s="30"/>
      <c r="W1552" s="30"/>
      <c r="X1552" s="30"/>
    </row>
    <row r="1553">
      <c r="A1553" s="30"/>
      <c r="B1553" s="30"/>
      <c r="C1553" s="30"/>
      <c r="D1553" s="30"/>
      <c r="E1553" s="30"/>
      <c r="F1553" s="30"/>
      <c r="G1553" s="30"/>
      <c r="H1553" s="30"/>
      <c r="I1553" s="30"/>
      <c r="J1553" s="30"/>
      <c r="K1553" s="30"/>
      <c r="L1553" s="30"/>
      <c r="M1553" s="30"/>
      <c r="N1553" s="30"/>
      <c r="O1553" s="30"/>
      <c r="P1553" s="30"/>
      <c r="Q1553" s="30"/>
      <c r="R1553" s="30"/>
      <c r="S1553" s="30"/>
      <c r="T1553" s="30"/>
      <c r="U1553" s="30"/>
      <c r="V1553" s="30"/>
      <c r="W1553" s="30"/>
      <c r="X1553" s="30"/>
    </row>
    <row r="1554">
      <c r="A1554" s="30"/>
      <c r="B1554" s="30"/>
      <c r="C1554" s="30"/>
      <c r="D1554" s="30"/>
      <c r="E1554" s="30"/>
      <c r="F1554" s="30"/>
      <c r="G1554" s="30"/>
      <c r="H1554" s="30"/>
      <c r="I1554" s="30"/>
      <c r="J1554" s="30"/>
      <c r="K1554" s="30"/>
      <c r="L1554" s="30"/>
      <c r="M1554" s="30"/>
      <c r="N1554" s="30"/>
      <c r="O1554" s="30"/>
      <c r="P1554" s="30"/>
      <c r="Q1554" s="30"/>
      <c r="R1554" s="30"/>
      <c r="S1554" s="30"/>
      <c r="T1554" s="30"/>
      <c r="U1554" s="30"/>
      <c r="V1554" s="30"/>
      <c r="W1554" s="30"/>
      <c r="X1554" s="30"/>
    </row>
    <row r="1555">
      <c r="A1555" s="30"/>
      <c r="B1555" s="30"/>
      <c r="C1555" s="30"/>
      <c r="D1555" s="30"/>
      <c r="E1555" s="30"/>
      <c r="F1555" s="30"/>
      <c r="G1555" s="30"/>
      <c r="H1555" s="30"/>
      <c r="I1555" s="30"/>
      <c r="J1555" s="30"/>
      <c r="K1555" s="30"/>
      <c r="L1555" s="30"/>
      <c r="M1555" s="30"/>
      <c r="N1555" s="30"/>
      <c r="O1555" s="30"/>
      <c r="P1555" s="30"/>
      <c r="Q1555" s="30"/>
      <c r="R1555" s="30"/>
      <c r="S1555" s="30"/>
      <c r="T1555" s="30"/>
      <c r="U1555" s="30"/>
      <c r="V1555" s="30"/>
      <c r="W1555" s="30"/>
      <c r="X1555" s="30"/>
    </row>
    <row r="1556">
      <c r="A1556" s="30"/>
      <c r="B1556" s="30"/>
      <c r="C1556" s="30"/>
      <c r="D1556" s="30"/>
      <c r="E1556" s="30"/>
      <c r="F1556" s="30"/>
      <c r="G1556" s="30"/>
      <c r="H1556" s="30"/>
      <c r="I1556" s="30"/>
      <c r="J1556" s="30"/>
      <c r="K1556" s="30"/>
      <c r="L1556" s="30"/>
      <c r="M1556" s="30"/>
      <c r="N1556" s="30"/>
      <c r="O1556" s="30"/>
      <c r="P1556" s="30"/>
      <c r="Q1556" s="30"/>
      <c r="R1556" s="30"/>
      <c r="S1556" s="30"/>
      <c r="T1556" s="30"/>
      <c r="U1556" s="30"/>
      <c r="V1556" s="30"/>
      <c r="W1556" s="30"/>
      <c r="X1556" s="30"/>
    </row>
    <row r="1557">
      <c r="A1557" s="30"/>
      <c r="B1557" s="30"/>
      <c r="C1557" s="30"/>
      <c r="D1557" s="30"/>
      <c r="E1557" s="30"/>
      <c r="F1557" s="30"/>
      <c r="G1557" s="30"/>
      <c r="H1557" s="30"/>
      <c r="I1557" s="30"/>
      <c r="J1557" s="30"/>
      <c r="K1557" s="30"/>
      <c r="L1557" s="30"/>
      <c r="M1557" s="30"/>
      <c r="N1557" s="30"/>
      <c r="O1557" s="30"/>
      <c r="P1557" s="30"/>
      <c r="Q1557" s="30"/>
      <c r="R1557" s="30"/>
      <c r="S1557" s="30"/>
      <c r="T1557" s="30"/>
      <c r="U1557" s="30"/>
      <c r="V1557" s="30"/>
      <c r="W1557" s="30"/>
      <c r="X1557" s="30"/>
    </row>
    <row r="1558">
      <c r="A1558" s="30"/>
      <c r="B1558" s="30"/>
      <c r="C1558" s="30"/>
      <c r="D1558" s="30"/>
      <c r="E1558" s="30"/>
      <c r="F1558" s="30"/>
      <c r="G1558" s="30"/>
      <c r="H1558" s="30"/>
      <c r="I1558" s="30"/>
      <c r="J1558" s="30"/>
      <c r="K1558" s="30"/>
      <c r="L1558" s="30"/>
      <c r="M1558" s="30"/>
      <c r="N1558" s="30"/>
      <c r="O1558" s="30"/>
      <c r="P1558" s="30"/>
      <c r="Q1558" s="30"/>
      <c r="R1558" s="30"/>
      <c r="S1558" s="30"/>
      <c r="T1558" s="30"/>
      <c r="U1558" s="30"/>
      <c r="V1558" s="30"/>
      <c r="W1558" s="30"/>
      <c r="X1558" s="30"/>
    </row>
    <row r="1559">
      <c r="A1559" s="30"/>
      <c r="B1559" s="30"/>
      <c r="C1559" s="30"/>
      <c r="D1559" s="30"/>
      <c r="E1559" s="30"/>
      <c r="F1559" s="30"/>
      <c r="G1559" s="30"/>
      <c r="H1559" s="30"/>
      <c r="I1559" s="30"/>
      <c r="J1559" s="30"/>
      <c r="K1559" s="30"/>
      <c r="L1559" s="30"/>
      <c r="M1559" s="30"/>
      <c r="N1559" s="30"/>
      <c r="O1559" s="30"/>
      <c r="P1559" s="30"/>
      <c r="Q1559" s="30"/>
      <c r="R1559" s="30"/>
      <c r="S1559" s="30"/>
      <c r="T1559" s="30"/>
      <c r="U1559" s="30"/>
      <c r="V1559" s="30"/>
      <c r="W1559" s="30"/>
      <c r="X1559" s="30"/>
    </row>
    <row r="1560">
      <c r="A1560" s="30"/>
      <c r="B1560" s="30"/>
      <c r="C1560" s="30"/>
      <c r="D1560" s="30"/>
      <c r="E1560" s="30"/>
      <c r="F1560" s="30"/>
      <c r="G1560" s="30"/>
      <c r="H1560" s="30"/>
      <c r="I1560" s="30"/>
      <c r="J1560" s="30"/>
      <c r="K1560" s="30"/>
      <c r="L1560" s="30"/>
      <c r="M1560" s="30"/>
      <c r="N1560" s="30"/>
      <c r="O1560" s="30"/>
      <c r="P1560" s="30"/>
      <c r="Q1560" s="30"/>
      <c r="R1560" s="30"/>
      <c r="S1560" s="30"/>
      <c r="T1560" s="30"/>
      <c r="U1560" s="30"/>
      <c r="V1560" s="30"/>
      <c r="W1560" s="30"/>
      <c r="X1560" s="30"/>
    </row>
    <row r="1561">
      <c r="A1561" s="30"/>
      <c r="B1561" s="30"/>
      <c r="C1561" s="30"/>
      <c r="D1561" s="30"/>
      <c r="E1561" s="30"/>
      <c r="F1561" s="30"/>
      <c r="G1561" s="30"/>
      <c r="H1561" s="30"/>
      <c r="I1561" s="30"/>
      <c r="J1561" s="30"/>
      <c r="K1561" s="30"/>
      <c r="L1561" s="30"/>
      <c r="M1561" s="30"/>
      <c r="N1561" s="30"/>
      <c r="O1561" s="30"/>
      <c r="P1561" s="30"/>
      <c r="Q1561" s="30"/>
      <c r="R1561" s="30"/>
      <c r="S1561" s="30"/>
      <c r="T1561" s="30"/>
      <c r="U1561" s="30"/>
      <c r="V1561" s="30"/>
      <c r="W1561" s="30"/>
      <c r="X1561" s="30"/>
    </row>
    <row r="1562">
      <c r="A1562" s="30"/>
      <c r="B1562" s="30"/>
      <c r="C1562" s="30"/>
      <c r="D1562" s="30"/>
      <c r="E1562" s="30"/>
      <c r="F1562" s="30"/>
      <c r="G1562" s="30"/>
      <c r="H1562" s="30"/>
      <c r="I1562" s="30"/>
      <c r="J1562" s="30"/>
      <c r="K1562" s="30"/>
      <c r="L1562" s="30"/>
      <c r="M1562" s="30"/>
      <c r="N1562" s="30"/>
      <c r="O1562" s="30"/>
      <c r="P1562" s="30"/>
      <c r="Q1562" s="30"/>
      <c r="R1562" s="30"/>
      <c r="S1562" s="30"/>
      <c r="T1562" s="30"/>
      <c r="U1562" s="30"/>
      <c r="V1562" s="30"/>
      <c r="W1562" s="30"/>
      <c r="X1562" s="30"/>
    </row>
    <row r="1563">
      <c r="A1563" s="30"/>
      <c r="B1563" s="30"/>
      <c r="C1563" s="30"/>
      <c r="D1563" s="30"/>
      <c r="E1563" s="30"/>
      <c r="F1563" s="30"/>
      <c r="G1563" s="30"/>
      <c r="H1563" s="30"/>
      <c r="I1563" s="30"/>
      <c r="J1563" s="30"/>
      <c r="K1563" s="30"/>
      <c r="L1563" s="30"/>
      <c r="M1563" s="30"/>
      <c r="N1563" s="30"/>
      <c r="O1563" s="30"/>
      <c r="P1563" s="30"/>
      <c r="Q1563" s="30"/>
      <c r="R1563" s="30"/>
      <c r="S1563" s="30"/>
      <c r="T1563" s="30"/>
      <c r="U1563" s="30"/>
      <c r="V1563" s="30"/>
      <c r="W1563" s="30"/>
      <c r="X1563" s="30"/>
    </row>
    <row r="1564">
      <c r="A1564" s="30"/>
      <c r="B1564" s="30"/>
      <c r="C1564" s="30"/>
      <c r="D1564" s="30"/>
      <c r="E1564" s="30"/>
      <c r="F1564" s="30"/>
      <c r="G1564" s="30"/>
      <c r="H1564" s="30"/>
      <c r="I1564" s="30"/>
      <c r="J1564" s="30"/>
      <c r="K1564" s="30"/>
      <c r="L1564" s="30"/>
      <c r="M1564" s="30"/>
      <c r="N1564" s="30"/>
      <c r="O1564" s="30"/>
      <c r="P1564" s="30"/>
      <c r="Q1564" s="30"/>
      <c r="R1564" s="30"/>
      <c r="S1564" s="30"/>
      <c r="T1564" s="30"/>
      <c r="U1564" s="30"/>
      <c r="V1564" s="30"/>
      <c r="W1564" s="30"/>
      <c r="X1564" s="30"/>
    </row>
    <row r="1565">
      <c r="A1565" s="30"/>
      <c r="B1565" s="30"/>
      <c r="C1565" s="30"/>
      <c r="D1565" s="30"/>
      <c r="E1565" s="30"/>
      <c r="F1565" s="30"/>
      <c r="G1565" s="30"/>
      <c r="H1565" s="30"/>
      <c r="I1565" s="30"/>
      <c r="J1565" s="30"/>
      <c r="K1565" s="30"/>
      <c r="L1565" s="30"/>
      <c r="M1565" s="30"/>
      <c r="N1565" s="30"/>
      <c r="O1565" s="30"/>
      <c r="P1565" s="30"/>
      <c r="Q1565" s="30"/>
      <c r="R1565" s="30"/>
      <c r="S1565" s="30"/>
      <c r="T1565" s="30"/>
      <c r="U1565" s="30"/>
      <c r="V1565" s="30"/>
      <c r="W1565" s="30"/>
      <c r="X1565" s="30"/>
    </row>
    <row r="1566">
      <c r="A1566" s="30"/>
      <c r="B1566" s="30"/>
      <c r="C1566" s="30"/>
      <c r="D1566" s="30"/>
      <c r="E1566" s="30"/>
      <c r="F1566" s="30"/>
      <c r="G1566" s="30"/>
      <c r="H1566" s="30"/>
      <c r="I1566" s="30"/>
      <c r="J1566" s="30"/>
      <c r="K1566" s="30"/>
      <c r="L1566" s="30"/>
      <c r="M1566" s="30"/>
      <c r="N1566" s="30"/>
      <c r="O1566" s="30"/>
      <c r="P1566" s="30"/>
      <c r="Q1566" s="30"/>
      <c r="R1566" s="30"/>
      <c r="S1566" s="30"/>
      <c r="T1566" s="30"/>
      <c r="U1566" s="30"/>
      <c r="V1566" s="30"/>
      <c r="W1566" s="30"/>
      <c r="X1566" s="30"/>
    </row>
    <row r="1567">
      <c r="A1567" s="30"/>
      <c r="B1567" s="30"/>
      <c r="C1567" s="30"/>
      <c r="D1567" s="30"/>
      <c r="E1567" s="30"/>
      <c r="F1567" s="30"/>
      <c r="G1567" s="30"/>
      <c r="H1567" s="30"/>
      <c r="I1567" s="30"/>
      <c r="J1567" s="30"/>
      <c r="K1567" s="30"/>
      <c r="L1567" s="30"/>
      <c r="M1567" s="30"/>
      <c r="N1567" s="30"/>
      <c r="O1567" s="30"/>
      <c r="P1567" s="30"/>
      <c r="Q1567" s="30"/>
      <c r="R1567" s="30"/>
      <c r="S1567" s="30"/>
      <c r="T1567" s="30"/>
      <c r="U1567" s="30"/>
      <c r="V1567" s="30"/>
      <c r="W1567" s="30"/>
      <c r="X1567" s="30"/>
    </row>
    <row r="1568">
      <c r="A1568" s="30"/>
      <c r="B1568" s="30"/>
      <c r="C1568" s="30"/>
      <c r="D1568" s="30"/>
      <c r="E1568" s="30"/>
      <c r="F1568" s="30"/>
      <c r="G1568" s="30"/>
      <c r="H1568" s="30"/>
      <c r="I1568" s="30"/>
      <c r="J1568" s="30"/>
      <c r="K1568" s="30"/>
      <c r="L1568" s="30"/>
      <c r="M1568" s="30"/>
      <c r="N1568" s="30"/>
      <c r="O1568" s="30"/>
      <c r="P1568" s="30"/>
      <c r="Q1568" s="30"/>
      <c r="R1568" s="30"/>
      <c r="S1568" s="30"/>
      <c r="T1568" s="30"/>
      <c r="U1568" s="30"/>
      <c r="V1568" s="30"/>
      <c r="W1568" s="30"/>
      <c r="X1568" s="30"/>
    </row>
    <row r="1569">
      <c r="A1569" s="30"/>
      <c r="B1569" s="30"/>
      <c r="C1569" s="30"/>
      <c r="D1569" s="30"/>
      <c r="E1569" s="30"/>
      <c r="F1569" s="30"/>
      <c r="G1569" s="30"/>
      <c r="H1569" s="30"/>
      <c r="I1569" s="30"/>
      <c r="J1569" s="30"/>
      <c r="K1569" s="30"/>
      <c r="L1569" s="30"/>
      <c r="M1569" s="30"/>
      <c r="N1569" s="30"/>
      <c r="O1569" s="30"/>
      <c r="P1569" s="30"/>
      <c r="Q1569" s="30"/>
      <c r="R1569" s="30"/>
      <c r="S1569" s="30"/>
      <c r="T1569" s="30"/>
      <c r="U1569" s="30"/>
      <c r="V1569" s="30"/>
      <c r="W1569" s="30"/>
      <c r="X1569" s="30"/>
    </row>
    <row r="1570">
      <c r="A1570" s="30"/>
      <c r="B1570" s="30"/>
      <c r="C1570" s="30"/>
      <c r="D1570" s="30"/>
      <c r="E1570" s="30"/>
      <c r="F1570" s="30"/>
      <c r="G1570" s="30"/>
      <c r="H1570" s="30"/>
      <c r="I1570" s="30"/>
      <c r="J1570" s="30"/>
      <c r="K1570" s="30"/>
      <c r="L1570" s="30"/>
      <c r="M1570" s="30"/>
      <c r="N1570" s="30"/>
      <c r="O1570" s="30"/>
      <c r="P1570" s="30"/>
      <c r="Q1570" s="30"/>
      <c r="R1570" s="30"/>
      <c r="S1570" s="30"/>
      <c r="T1570" s="30"/>
      <c r="U1570" s="30"/>
      <c r="V1570" s="30"/>
      <c r="W1570" s="30"/>
      <c r="X1570" s="30"/>
    </row>
    <row r="1571">
      <c r="A1571" s="30"/>
      <c r="B1571" s="30"/>
      <c r="C1571" s="30"/>
      <c r="D1571" s="30"/>
      <c r="E1571" s="30"/>
      <c r="F1571" s="30"/>
      <c r="G1571" s="30"/>
      <c r="H1571" s="30"/>
      <c r="I1571" s="30"/>
      <c r="J1571" s="30"/>
      <c r="K1571" s="30"/>
      <c r="L1571" s="30"/>
      <c r="M1571" s="30"/>
      <c r="N1571" s="30"/>
      <c r="O1571" s="30"/>
      <c r="P1571" s="30"/>
      <c r="Q1571" s="30"/>
      <c r="R1571" s="30"/>
      <c r="S1571" s="30"/>
      <c r="T1571" s="30"/>
      <c r="U1571" s="30"/>
      <c r="V1571" s="30"/>
      <c r="W1571" s="30"/>
      <c r="X1571" s="30"/>
    </row>
    <row r="1572">
      <c r="A1572" s="30"/>
      <c r="B1572" s="30"/>
      <c r="C1572" s="30"/>
      <c r="D1572" s="30"/>
      <c r="E1572" s="30"/>
      <c r="F1572" s="30"/>
      <c r="G1572" s="30"/>
      <c r="H1572" s="30"/>
      <c r="I1572" s="30"/>
      <c r="J1572" s="30"/>
      <c r="K1572" s="30"/>
      <c r="L1572" s="30"/>
      <c r="M1572" s="30"/>
      <c r="N1572" s="30"/>
      <c r="O1572" s="30"/>
      <c r="P1572" s="30"/>
      <c r="Q1572" s="30"/>
      <c r="R1572" s="30"/>
      <c r="S1572" s="30"/>
      <c r="T1572" s="30"/>
      <c r="U1572" s="30"/>
      <c r="V1572" s="30"/>
      <c r="W1572" s="30"/>
      <c r="X1572" s="30"/>
    </row>
    <row r="1573">
      <c r="A1573" s="30"/>
      <c r="B1573" s="30"/>
      <c r="C1573" s="30"/>
      <c r="D1573" s="30"/>
      <c r="E1573" s="30"/>
      <c r="F1573" s="30"/>
      <c r="G1573" s="30"/>
      <c r="H1573" s="30"/>
      <c r="I1573" s="30"/>
      <c r="J1573" s="30"/>
      <c r="K1573" s="30"/>
      <c r="L1573" s="30"/>
      <c r="M1573" s="30"/>
      <c r="N1573" s="30"/>
      <c r="O1573" s="30"/>
      <c r="P1573" s="30"/>
      <c r="Q1573" s="30"/>
      <c r="R1573" s="30"/>
      <c r="S1573" s="30"/>
      <c r="T1573" s="30"/>
      <c r="U1573" s="30"/>
      <c r="V1573" s="30"/>
      <c r="W1573" s="30"/>
      <c r="X1573" s="30"/>
    </row>
    <row r="1574">
      <c r="A1574" s="30"/>
      <c r="B1574" s="30"/>
      <c r="C1574" s="30"/>
      <c r="D1574" s="30"/>
      <c r="E1574" s="30"/>
      <c r="F1574" s="30"/>
      <c r="G1574" s="30"/>
      <c r="H1574" s="30"/>
      <c r="I1574" s="30"/>
      <c r="J1574" s="30"/>
      <c r="K1574" s="30"/>
      <c r="L1574" s="30"/>
      <c r="M1574" s="30"/>
      <c r="N1574" s="30"/>
      <c r="O1574" s="30"/>
      <c r="P1574" s="30"/>
      <c r="Q1574" s="30"/>
      <c r="R1574" s="30"/>
      <c r="S1574" s="30"/>
      <c r="T1574" s="30"/>
      <c r="U1574" s="30"/>
      <c r="V1574" s="30"/>
      <c r="W1574" s="30"/>
      <c r="X1574" s="30"/>
    </row>
    <row r="1575">
      <c r="A1575" s="30"/>
      <c r="B1575" s="30"/>
      <c r="C1575" s="30"/>
      <c r="D1575" s="30"/>
      <c r="E1575" s="30"/>
      <c r="F1575" s="30"/>
      <c r="G1575" s="30"/>
      <c r="H1575" s="30"/>
      <c r="I1575" s="30"/>
      <c r="J1575" s="30"/>
      <c r="K1575" s="30"/>
      <c r="L1575" s="30"/>
      <c r="M1575" s="30"/>
      <c r="N1575" s="30"/>
      <c r="O1575" s="30"/>
      <c r="P1575" s="30"/>
      <c r="Q1575" s="30"/>
      <c r="R1575" s="30"/>
      <c r="S1575" s="30"/>
      <c r="T1575" s="30"/>
      <c r="U1575" s="30"/>
      <c r="V1575" s="30"/>
      <c r="W1575" s="30"/>
      <c r="X1575" s="30"/>
    </row>
    <row r="1576">
      <c r="A1576" s="30"/>
      <c r="B1576" s="30"/>
      <c r="C1576" s="30"/>
      <c r="D1576" s="30"/>
      <c r="E1576" s="30"/>
      <c r="F1576" s="30"/>
      <c r="G1576" s="30"/>
      <c r="H1576" s="30"/>
      <c r="I1576" s="30"/>
      <c r="J1576" s="30"/>
      <c r="K1576" s="30"/>
      <c r="L1576" s="30"/>
      <c r="M1576" s="30"/>
      <c r="N1576" s="30"/>
      <c r="O1576" s="30"/>
      <c r="P1576" s="30"/>
      <c r="Q1576" s="30"/>
      <c r="R1576" s="30"/>
      <c r="S1576" s="30"/>
      <c r="T1576" s="30"/>
      <c r="U1576" s="30"/>
      <c r="V1576" s="30"/>
      <c r="W1576" s="30"/>
      <c r="X1576" s="30"/>
    </row>
    <row r="1577">
      <c r="A1577" s="30"/>
      <c r="B1577" s="30"/>
      <c r="C1577" s="30"/>
      <c r="D1577" s="30"/>
      <c r="E1577" s="30"/>
      <c r="F1577" s="30"/>
      <c r="G1577" s="30"/>
      <c r="H1577" s="30"/>
      <c r="I1577" s="30"/>
      <c r="J1577" s="30"/>
      <c r="K1577" s="30"/>
      <c r="L1577" s="30"/>
      <c r="M1577" s="30"/>
      <c r="N1577" s="30"/>
      <c r="O1577" s="30"/>
      <c r="P1577" s="30"/>
      <c r="Q1577" s="30"/>
      <c r="R1577" s="30"/>
      <c r="S1577" s="30"/>
      <c r="T1577" s="30"/>
      <c r="U1577" s="30"/>
      <c r="V1577" s="30"/>
      <c r="W1577" s="30"/>
      <c r="X1577" s="30"/>
    </row>
    <row r="1578">
      <c r="A1578" s="30"/>
      <c r="B1578" s="30"/>
      <c r="C1578" s="30"/>
      <c r="D1578" s="30"/>
      <c r="E1578" s="30"/>
      <c r="F1578" s="30"/>
      <c r="G1578" s="30"/>
      <c r="H1578" s="30"/>
      <c r="I1578" s="30"/>
      <c r="J1578" s="30"/>
      <c r="K1578" s="30"/>
      <c r="L1578" s="30"/>
      <c r="M1578" s="30"/>
      <c r="N1578" s="30"/>
      <c r="O1578" s="30"/>
      <c r="P1578" s="30"/>
      <c r="Q1578" s="30"/>
      <c r="R1578" s="30"/>
      <c r="S1578" s="30"/>
      <c r="T1578" s="30"/>
      <c r="U1578" s="30"/>
      <c r="V1578" s="30"/>
      <c r="W1578" s="30"/>
      <c r="X1578" s="30"/>
    </row>
    <row r="1579">
      <c r="A1579" s="30"/>
      <c r="B1579" s="30"/>
      <c r="C1579" s="30"/>
      <c r="D1579" s="30"/>
      <c r="E1579" s="30"/>
      <c r="F1579" s="30"/>
      <c r="G1579" s="30"/>
      <c r="H1579" s="30"/>
      <c r="I1579" s="30"/>
      <c r="J1579" s="30"/>
      <c r="K1579" s="30"/>
      <c r="L1579" s="30"/>
      <c r="M1579" s="30"/>
      <c r="N1579" s="30"/>
      <c r="O1579" s="30"/>
      <c r="P1579" s="30"/>
      <c r="Q1579" s="30"/>
      <c r="R1579" s="30"/>
      <c r="S1579" s="30"/>
      <c r="T1579" s="30"/>
      <c r="U1579" s="30"/>
      <c r="V1579" s="30"/>
      <c r="W1579" s="30"/>
      <c r="X1579" s="30"/>
    </row>
    <row r="1580">
      <c r="A1580" s="30"/>
      <c r="B1580" s="30"/>
      <c r="C1580" s="30"/>
      <c r="D1580" s="30"/>
      <c r="E1580" s="30"/>
      <c r="F1580" s="30"/>
      <c r="G1580" s="30"/>
      <c r="H1580" s="30"/>
      <c r="I1580" s="30"/>
      <c r="J1580" s="30"/>
      <c r="K1580" s="30"/>
      <c r="L1580" s="30"/>
      <c r="M1580" s="30"/>
      <c r="N1580" s="30"/>
      <c r="O1580" s="30"/>
      <c r="P1580" s="30"/>
      <c r="Q1580" s="30"/>
      <c r="R1580" s="30"/>
      <c r="S1580" s="30"/>
      <c r="T1580" s="30"/>
      <c r="U1580" s="30"/>
      <c r="V1580" s="30"/>
      <c r="W1580" s="30"/>
      <c r="X1580" s="30"/>
    </row>
    <row r="1581">
      <c r="A1581" s="30"/>
      <c r="B1581" s="30"/>
      <c r="C1581" s="30"/>
      <c r="D1581" s="30"/>
      <c r="E1581" s="30"/>
      <c r="F1581" s="30"/>
      <c r="G1581" s="30"/>
      <c r="H1581" s="30"/>
      <c r="I1581" s="30"/>
      <c r="J1581" s="30"/>
      <c r="K1581" s="30"/>
      <c r="L1581" s="30"/>
      <c r="M1581" s="30"/>
      <c r="N1581" s="30"/>
      <c r="O1581" s="30"/>
      <c r="P1581" s="30"/>
      <c r="Q1581" s="30"/>
      <c r="R1581" s="30"/>
      <c r="S1581" s="30"/>
      <c r="T1581" s="30"/>
      <c r="U1581" s="30"/>
      <c r="V1581" s="30"/>
      <c r="W1581" s="30"/>
      <c r="X1581" s="30"/>
    </row>
    <row r="1582">
      <c r="A1582" s="30"/>
      <c r="B1582" s="30"/>
      <c r="C1582" s="30"/>
      <c r="D1582" s="30"/>
      <c r="E1582" s="30"/>
      <c r="F1582" s="30"/>
      <c r="G1582" s="30"/>
      <c r="H1582" s="30"/>
      <c r="I1582" s="30"/>
      <c r="J1582" s="30"/>
      <c r="K1582" s="30"/>
      <c r="L1582" s="30"/>
      <c r="M1582" s="30"/>
      <c r="N1582" s="30"/>
      <c r="O1582" s="30"/>
      <c r="P1582" s="30"/>
      <c r="Q1582" s="30"/>
      <c r="R1582" s="30"/>
      <c r="S1582" s="30"/>
      <c r="T1582" s="30"/>
      <c r="U1582" s="30"/>
      <c r="V1582" s="30"/>
      <c r="W1582" s="30"/>
      <c r="X1582" s="30"/>
    </row>
    <row r="1583">
      <c r="A1583" s="30"/>
      <c r="B1583" s="30"/>
      <c r="C1583" s="30"/>
      <c r="D1583" s="30"/>
      <c r="E1583" s="30"/>
      <c r="F1583" s="30"/>
      <c r="G1583" s="30"/>
      <c r="H1583" s="30"/>
      <c r="I1583" s="30"/>
      <c r="J1583" s="30"/>
      <c r="K1583" s="30"/>
      <c r="L1583" s="30"/>
      <c r="M1583" s="30"/>
      <c r="N1583" s="30"/>
      <c r="O1583" s="30"/>
      <c r="P1583" s="30"/>
      <c r="Q1583" s="30"/>
      <c r="R1583" s="30"/>
      <c r="S1583" s="30"/>
      <c r="T1583" s="30"/>
      <c r="U1583" s="30"/>
      <c r="V1583" s="30"/>
      <c r="W1583" s="30"/>
      <c r="X1583" s="30"/>
    </row>
    <row r="1584">
      <c r="A1584" s="30"/>
      <c r="B1584" s="30"/>
      <c r="C1584" s="30"/>
      <c r="D1584" s="30"/>
      <c r="E1584" s="30"/>
      <c r="F1584" s="30"/>
      <c r="G1584" s="30"/>
      <c r="H1584" s="30"/>
      <c r="I1584" s="30"/>
      <c r="J1584" s="30"/>
      <c r="K1584" s="30"/>
      <c r="L1584" s="30"/>
      <c r="M1584" s="30"/>
      <c r="N1584" s="30"/>
      <c r="O1584" s="30"/>
      <c r="P1584" s="30"/>
      <c r="Q1584" s="30"/>
      <c r="R1584" s="30"/>
      <c r="S1584" s="30"/>
      <c r="T1584" s="30"/>
      <c r="U1584" s="30"/>
      <c r="V1584" s="30"/>
      <c r="W1584" s="30"/>
      <c r="X1584" s="30"/>
    </row>
    <row r="1585">
      <c r="A1585" s="30"/>
      <c r="B1585" s="30"/>
      <c r="C1585" s="30"/>
      <c r="D1585" s="30"/>
      <c r="E1585" s="30"/>
      <c r="F1585" s="30"/>
      <c r="G1585" s="30"/>
      <c r="H1585" s="30"/>
      <c r="I1585" s="30"/>
      <c r="J1585" s="30"/>
      <c r="K1585" s="30"/>
      <c r="L1585" s="30"/>
      <c r="M1585" s="30"/>
      <c r="N1585" s="30"/>
      <c r="O1585" s="30"/>
      <c r="P1585" s="30"/>
      <c r="Q1585" s="30"/>
      <c r="R1585" s="30"/>
      <c r="S1585" s="30"/>
      <c r="T1585" s="30"/>
      <c r="U1585" s="30"/>
      <c r="V1585" s="30"/>
      <c r="W1585" s="30"/>
      <c r="X1585" s="30"/>
    </row>
    <row r="1586">
      <c r="A1586" s="30"/>
      <c r="B1586" s="30"/>
      <c r="C1586" s="30"/>
      <c r="D1586" s="30"/>
      <c r="E1586" s="30"/>
      <c r="F1586" s="30"/>
      <c r="G1586" s="30"/>
      <c r="H1586" s="30"/>
      <c r="I1586" s="30"/>
      <c r="J1586" s="30"/>
      <c r="K1586" s="30"/>
      <c r="L1586" s="30"/>
      <c r="M1586" s="30"/>
      <c r="N1586" s="30"/>
      <c r="O1586" s="30"/>
      <c r="P1586" s="30"/>
      <c r="Q1586" s="30"/>
      <c r="R1586" s="30"/>
      <c r="S1586" s="30"/>
      <c r="T1586" s="30"/>
      <c r="U1586" s="30"/>
      <c r="V1586" s="30"/>
      <c r="W1586" s="30"/>
      <c r="X1586" s="30"/>
    </row>
    <row r="1587">
      <c r="A1587" s="30"/>
      <c r="B1587" s="30"/>
      <c r="C1587" s="30"/>
      <c r="D1587" s="30"/>
      <c r="E1587" s="30"/>
      <c r="F1587" s="30"/>
      <c r="G1587" s="30"/>
      <c r="H1587" s="30"/>
      <c r="I1587" s="30"/>
      <c r="J1587" s="30"/>
      <c r="K1587" s="30"/>
      <c r="L1587" s="30"/>
      <c r="M1587" s="30"/>
      <c r="N1587" s="30"/>
      <c r="O1587" s="30"/>
      <c r="P1587" s="30"/>
      <c r="Q1587" s="30"/>
      <c r="R1587" s="30"/>
      <c r="S1587" s="30"/>
      <c r="T1587" s="30"/>
      <c r="U1587" s="30"/>
      <c r="V1587" s="30"/>
      <c r="W1587" s="30"/>
      <c r="X1587" s="30"/>
    </row>
    <row r="1588">
      <c r="A1588" s="30"/>
      <c r="B1588" s="30"/>
      <c r="C1588" s="30"/>
      <c r="D1588" s="30"/>
      <c r="E1588" s="30"/>
      <c r="F1588" s="30"/>
      <c r="G1588" s="30"/>
      <c r="H1588" s="30"/>
      <c r="I1588" s="30"/>
      <c r="J1588" s="30"/>
      <c r="K1588" s="30"/>
      <c r="L1588" s="30"/>
      <c r="M1588" s="30"/>
      <c r="N1588" s="30"/>
      <c r="O1588" s="30"/>
      <c r="P1588" s="30"/>
      <c r="Q1588" s="30"/>
      <c r="R1588" s="30"/>
      <c r="S1588" s="30"/>
      <c r="T1588" s="30"/>
      <c r="U1588" s="30"/>
      <c r="V1588" s="30"/>
      <c r="W1588" s="30"/>
      <c r="X1588" s="30"/>
    </row>
    <row r="1589">
      <c r="A1589" s="30"/>
      <c r="B1589" s="30"/>
      <c r="C1589" s="30"/>
      <c r="D1589" s="30"/>
      <c r="E1589" s="30"/>
      <c r="F1589" s="30"/>
      <c r="G1589" s="30"/>
      <c r="H1589" s="30"/>
      <c r="I1589" s="30"/>
      <c r="J1589" s="30"/>
      <c r="K1589" s="30"/>
      <c r="L1589" s="30"/>
      <c r="M1589" s="30"/>
      <c r="N1589" s="30"/>
      <c r="O1589" s="30"/>
      <c r="P1589" s="30"/>
      <c r="Q1589" s="30"/>
      <c r="R1589" s="30"/>
      <c r="S1589" s="30"/>
      <c r="T1589" s="30"/>
      <c r="U1589" s="30"/>
      <c r="V1589" s="30"/>
      <c r="W1589" s="30"/>
      <c r="X1589" s="30"/>
    </row>
    <row r="1590">
      <c r="A1590" s="30"/>
      <c r="B1590" s="30"/>
      <c r="C1590" s="30"/>
      <c r="D1590" s="30"/>
      <c r="E1590" s="30"/>
      <c r="F1590" s="30"/>
      <c r="G1590" s="30"/>
      <c r="H1590" s="30"/>
      <c r="I1590" s="30"/>
      <c r="J1590" s="30"/>
      <c r="K1590" s="30"/>
      <c r="L1590" s="30"/>
      <c r="M1590" s="30"/>
      <c r="N1590" s="30"/>
      <c r="O1590" s="30"/>
      <c r="P1590" s="30"/>
      <c r="Q1590" s="30"/>
      <c r="R1590" s="30"/>
      <c r="S1590" s="30"/>
      <c r="T1590" s="30"/>
      <c r="U1590" s="30"/>
      <c r="V1590" s="30"/>
      <c r="W1590" s="30"/>
      <c r="X1590" s="30"/>
    </row>
    <row r="1591">
      <c r="A1591" s="30"/>
      <c r="B1591" s="30"/>
      <c r="C1591" s="30"/>
      <c r="D1591" s="30"/>
      <c r="E1591" s="30"/>
      <c r="F1591" s="30"/>
      <c r="G1591" s="30"/>
      <c r="H1591" s="30"/>
      <c r="I1591" s="30"/>
      <c r="J1591" s="30"/>
      <c r="K1591" s="30"/>
      <c r="L1591" s="30"/>
      <c r="M1591" s="30"/>
      <c r="N1591" s="30"/>
      <c r="O1591" s="30"/>
      <c r="P1591" s="30"/>
      <c r="Q1591" s="30"/>
      <c r="R1591" s="30"/>
      <c r="S1591" s="30"/>
      <c r="T1591" s="30"/>
      <c r="U1591" s="30"/>
      <c r="V1591" s="30"/>
      <c r="W1591" s="30"/>
      <c r="X1591" s="30"/>
    </row>
    <row r="1592">
      <c r="A1592" s="30"/>
      <c r="B1592" s="30"/>
      <c r="C1592" s="30"/>
      <c r="D1592" s="30"/>
      <c r="E1592" s="30"/>
      <c r="F1592" s="30"/>
      <c r="G1592" s="30"/>
      <c r="H1592" s="30"/>
      <c r="I1592" s="30"/>
      <c r="J1592" s="30"/>
      <c r="K1592" s="30"/>
      <c r="L1592" s="30"/>
      <c r="M1592" s="30"/>
      <c r="N1592" s="30"/>
      <c r="O1592" s="30"/>
      <c r="P1592" s="30"/>
      <c r="Q1592" s="30"/>
      <c r="R1592" s="30"/>
      <c r="S1592" s="30"/>
      <c r="T1592" s="30"/>
      <c r="U1592" s="30"/>
      <c r="V1592" s="30"/>
      <c r="W1592" s="30"/>
      <c r="X1592" s="30"/>
    </row>
    <row r="1593">
      <c r="A1593" s="30"/>
      <c r="B1593" s="30"/>
      <c r="C1593" s="30"/>
      <c r="D1593" s="30"/>
      <c r="E1593" s="30"/>
      <c r="F1593" s="30"/>
      <c r="G1593" s="30"/>
      <c r="H1593" s="30"/>
      <c r="I1593" s="30"/>
      <c r="J1593" s="30"/>
      <c r="K1593" s="30"/>
      <c r="L1593" s="30"/>
      <c r="M1593" s="30"/>
      <c r="N1593" s="30"/>
      <c r="O1593" s="30"/>
      <c r="P1593" s="30"/>
      <c r="Q1593" s="30"/>
      <c r="R1593" s="30"/>
      <c r="S1593" s="30"/>
      <c r="T1593" s="30"/>
      <c r="U1593" s="30"/>
      <c r="V1593" s="30"/>
      <c r="W1593" s="30"/>
      <c r="X1593" s="30"/>
    </row>
    <row r="1594">
      <c r="A1594" s="30"/>
      <c r="B1594" s="30"/>
      <c r="C1594" s="30"/>
      <c r="D1594" s="30"/>
      <c r="E1594" s="30"/>
      <c r="F1594" s="30"/>
      <c r="G1594" s="30"/>
      <c r="H1594" s="30"/>
      <c r="I1594" s="30"/>
      <c r="J1594" s="30"/>
      <c r="K1594" s="30"/>
      <c r="L1594" s="30"/>
      <c r="M1594" s="30"/>
      <c r="N1594" s="30"/>
      <c r="O1594" s="30"/>
      <c r="P1594" s="30"/>
      <c r="Q1594" s="30"/>
      <c r="R1594" s="30"/>
      <c r="S1594" s="30"/>
      <c r="T1594" s="30"/>
      <c r="U1594" s="30"/>
      <c r="V1594" s="30"/>
      <c r="W1594" s="30"/>
      <c r="X1594" s="30"/>
    </row>
    <row r="1595">
      <c r="A1595" s="30"/>
      <c r="B1595" s="30"/>
      <c r="C1595" s="30"/>
      <c r="D1595" s="30"/>
      <c r="E1595" s="30"/>
      <c r="F1595" s="30"/>
      <c r="G1595" s="30"/>
      <c r="H1595" s="30"/>
      <c r="I1595" s="30"/>
      <c r="J1595" s="30"/>
      <c r="K1595" s="30"/>
      <c r="L1595" s="30"/>
      <c r="M1595" s="30"/>
      <c r="N1595" s="30"/>
      <c r="O1595" s="30"/>
      <c r="P1595" s="30"/>
      <c r="Q1595" s="30"/>
      <c r="R1595" s="30"/>
      <c r="S1595" s="30"/>
      <c r="T1595" s="30"/>
      <c r="U1595" s="30"/>
      <c r="V1595" s="30"/>
      <c r="W1595" s="30"/>
      <c r="X1595" s="30"/>
    </row>
    <row r="1596">
      <c r="A1596" s="30"/>
      <c r="B1596" s="30"/>
      <c r="C1596" s="30"/>
      <c r="D1596" s="30"/>
      <c r="E1596" s="30"/>
      <c r="F1596" s="30"/>
      <c r="G1596" s="30"/>
      <c r="H1596" s="30"/>
      <c r="I1596" s="30"/>
      <c r="J1596" s="30"/>
      <c r="K1596" s="30"/>
      <c r="L1596" s="30"/>
      <c r="M1596" s="30"/>
      <c r="N1596" s="30"/>
      <c r="O1596" s="30"/>
      <c r="P1596" s="30"/>
      <c r="Q1596" s="30"/>
      <c r="R1596" s="30"/>
      <c r="S1596" s="30"/>
      <c r="T1596" s="30"/>
      <c r="U1596" s="30"/>
      <c r="V1596" s="30"/>
      <c r="W1596" s="30"/>
      <c r="X1596" s="30"/>
    </row>
    <row r="1597">
      <c r="A1597" s="30"/>
      <c r="B1597" s="30"/>
      <c r="C1597" s="30"/>
      <c r="D1597" s="30"/>
      <c r="E1597" s="30"/>
      <c r="F1597" s="30"/>
      <c r="G1597" s="30"/>
      <c r="H1597" s="30"/>
      <c r="I1597" s="30"/>
      <c r="J1597" s="30"/>
      <c r="K1597" s="30"/>
      <c r="L1597" s="30"/>
      <c r="M1597" s="30"/>
      <c r="N1597" s="30"/>
      <c r="O1597" s="30"/>
      <c r="P1597" s="30"/>
      <c r="Q1597" s="30"/>
      <c r="R1597" s="30"/>
      <c r="S1597" s="30"/>
      <c r="T1597" s="30"/>
      <c r="U1597" s="30"/>
      <c r="V1597" s="30"/>
      <c r="W1597" s="30"/>
      <c r="X1597" s="30"/>
    </row>
    <row r="1598">
      <c r="A1598" s="30"/>
      <c r="B1598" s="30"/>
      <c r="C1598" s="30"/>
      <c r="D1598" s="30"/>
      <c r="E1598" s="30"/>
      <c r="F1598" s="30"/>
      <c r="G1598" s="30"/>
      <c r="H1598" s="30"/>
      <c r="I1598" s="30"/>
      <c r="J1598" s="30"/>
      <c r="K1598" s="30"/>
      <c r="L1598" s="30"/>
      <c r="M1598" s="30"/>
      <c r="N1598" s="30"/>
      <c r="O1598" s="30"/>
      <c r="P1598" s="30"/>
      <c r="Q1598" s="30"/>
      <c r="R1598" s="30"/>
      <c r="S1598" s="30"/>
      <c r="T1598" s="30"/>
      <c r="U1598" s="30"/>
      <c r="V1598" s="30"/>
      <c r="W1598" s="30"/>
      <c r="X1598" s="30"/>
    </row>
    <row r="1599">
      <c r="A1599" s="30"/>
      <c r="B1599" s="30"/>
      <c r="C1599" s="30"/>
      <c r="D1599" s="30"/>
      <c r="E1599" s="30"/>
      <c r="F1599" s="30"/>
      <c r="G1599" s="30"/>
      <c r="H1599" s="30"/>
      <c r="I1599" s="30"/>
      <c r="J1599" s="30"/>
      <c r="K1599" s="30"/>
      <c r="L1599" s="30"/>
      <c r="M1599" s="30"/>
      <c r="N1599" s="30"/>
      <c r="O1599" s="30"/>
      <c r="P1599" s="30"/>
      <c r="Q1599" s="30"/>
      <c r="R1599" s="30"/>
      <c r="S1599" s="30"/>
      <c r="T1599" s="30"/>
      <c r="U1599" s="30"/>
      <c r="V1599" s="30"/>
      <c r="W1599" s="30"/>
      <c r="X1599" s="30"/>
    </row>
    <row r="1600">
      <c r="A1600" s="30"/>
      <c r="B1600" s="30"/>
      <c r="C1600" s="30"/>
      <c r="D1600" s="30"/>
      <c r="E1600" s="30"/>
      <c r="F1600" s="30"/>
      <c r="G1600" s="30"/>
      <c r="H1600" s="30"/>
      <c r="I1600" s="30"/>
      <c r="J1600" s="30"/>
      <c r="K1600" s="30"/>
      <c r="L1600" s="30"/>
      <c r="M1600" s="30"/>
      <c r="N1600" s="30"/>
      <c r="O1600" s="30"/>
      <c r="P1600" s="30"/>
      <c r="Q1600" s="30"/>
      <c r="R1600" s="30"/>
      <c r="S1600" s="30"/>
      <c r="T1600" s="30"/>
      <c r="U1600" s="30"/>
      <c r="V1600" s="30"/>
      <c r="W1600" s="30"/>
      <c r="X1600" s="30"/>
    </row>
    <row r="1601">
      <c r="A1601" s="30"/>
      <c r="B1601" s="30"/>
      <c r="C1601" s="30"/>
      <c r="D1601" s="30"/>
      <c r="E1601" s="30"/>
      <c r="F1601" s="30"/>
      <c r="G1601" s="30"/>
      <c r="H1601" s="30"/>
      <c r="I1601" s="30"/>
      <c r="J1601" s="30"/>
      <c r="K1601" s="30"/>
      <c r="L1601" s="30"/>
      <c r="M1601" s="30"/>
      <c r="N1601" s="30"/>
      <c r="O1601" s="30"/>
      <c r="P1601" s="30"/>
      <c r="Q1601" s="30"/>
      <c r="R1601" s="30"/>
      <c r="S1601" s="30"/>
      <c r="T1601" s="30"/>
      <c r="U1601" s="30"/>
      <c r="V1601" s="30"/>
      <c r="W1601" s="30"/>
      <c r="X1601" s="30"/>
    </row>
    <row r="1602">
      <c r="A1602" s="30"/>
      <c r="B1602" s="30"/>
      <c r="C1602" s="30"/>
      <c r="D1602" s="30"/>
      <c r="E1602" s="30"/>
      <c r="F1602" s="30"/>
      <c r="G1602" s="30"/>
      <c r="H1602" s="30"/>
      <c r="I1602" s="30"/>
      <c r="J1602" s="30"/>
      <c r="K1602" s="30"/>
      <c r="L1602" s="30"/>
      <c r="M1602" s="30"/>
      <c r="N1602" s="30"/>
      <c r="O1602" s="30"/>
      <c r="P1602" s="30"/>
      <c r="Q1602" s="30"/>
      <c r="R1602" s="30"/>
      <c r="S1602" s="30"/>
      <c r="T1602" s="30"/>
      <c r="U1602" s="30"/>
      <c r="V1602" s="30"/>
      <c r="W1602" s="30"/>
      <c r="X1602" s="30"/>
    </row>
    <row r="1603">
      <c r="A1603" s="30"/>
      <c r="B1603" s="30"/>
      <c r="C1603" s="30"/>
      <c r="D1603" s="30"/>
      <c r="E1603" s="30"/>
      <c r="F1603" s="30"/>
      <c r="G1603" s="30"/>
      <c r="H1603" s="30"/>
      <c r="I1603" s="30"/>
      <c r="J1603" s="30"/>
      <c r="K1603" s="30"/>
      <c r="L1603" s="30"/>
      <c r="M1603" s="30"/>
      <c r="N1603" s="30"/>
      <c r="O1603" s="30"/>
      <c r="P1603" s="30"/>
      <c r="Q1603" s="30"/>
      <c r="R1603" s="30"/>
      <c r="S1603" s="30"/>
      <c r="T1603" s="30"/>
      <c r="U1603" s="30"/>
      <c r="V1603" s="30"/>
      <c r="W1603" s="30"/>
      <c r="X1603" s="30"/>
    </row>
    <row r="1604">
      <c r="A1604" s="30"/>
      <c r="B1604" s="30"/>
      <c r="C1604" s="30"/>
      <c r="D1604" s="30"/>
      <c r="E1604" s="30"/>
      <c r="F1604" s="30"/>
      <c r="G1604" s="30"/>
      <c r="H1604" s="30"/>
      <c r="I1604" s="30"/>
      <c r="J1604" s="30"/>
      <c r="K1604" s="30"/>
      <c r="L1604" s="30"/>
      <c r="M1604" s="30"/>
      <c r="N1604" s="30"/>
      <c r="O1604" s="30"/>
      <c r="P1604" s="30"/>
      <c r="Q1604" s="30"/>
      <c r="R1604" s="30"/>
      <c r="S1604" s="30"/>
      <c r="T1604" s="30"/>
      <c r="U1604" s="30"/>
      <c r="V1604" s="30"/>
      <c r="W1604" s="30"/>
      <c r="X1604" s="30"/>
    </row>
    <row r="1605">
      <c r="A1605" s="30"/>
      <c r="B1605" s="30"/>
      <c r="C1605" s="30"/>
      <c r="D1605" s="30"/>
      <c r="E1605" s="30"/>
      <c r="F1605" s="30"/>
      <c r="G1605" s="30"/>
      <c r="H1605" s="30"/>
      <c r="I1605" s="30"/>
      <c r="J1605" s="30"/>
      <c r="K1605" s="30"/>
      <c r="L1605" s="30"/>
      <c r="M1605" s="30"/>
      <c r="N1605" s="30"/>
      <c r="O1605" s="30"/>
      <c r="P1605" s="30"/>
      <c r="Q1605" s="30"/>
      <c r="R1605" s="30"/>
      <c r="S1605" s="30"/>
      <c r="T1605" s="30"/>
      <c r="U1605" s="30"/>
      <c r="V1605" s="30"/>
      <c r="W1605" s="30"/>
      <c r="X1605" s="30"/>
    </row>
    <row r="1606">
      <c r="A1606" s="30"/>
      <c r="B1606" s="30"/>
      <c r="C1606" s="30"/>
      <c r="D1606" s="30"/>
      <c r="E1606" s="30"/>
      <c r="F1606" s="30"/>
      <c r="G1606" s="30"/>
      <c r="H1606" s="30"/>
      <c r="I1606" s="30"/>
      <c r="J1606" s="30"/>
      <c r="K1606" s="30"/>
      <c r="L1606" s="30"/>
      <c r="M1606" s="30"/>
      <c r="N1606" s="30"/>
      <c r="O1606" s="30"/>
      <c r="P1606" s="30"/>
      <c r="Q1606" s="30"/>
      <c r="R1606" s="30"/>
      <c r="S1606" s="30"/>
      <c r="T1606" s="30"/>
      <c r="U1606" s="30"/>
      <c r="V1606" s="30"/>
      <c r="W1606" s="30"/>
      <c r="X1606" s="30"/>
    </row>
    <row r="1607">
      <c r="A1607" s="30"/>
      <c r="B1607" s="30"/>
      <c r="C1607" s="30"/>
      <c r="D1607" s="30"/>
      <c r="E1607" s="30"/>
      <c r="F1607" s="30"/>
      <c r="G1607" s="30"/>
      <c r="H1607" s="30"/>
      <c r="I1607" s="30"/>
      <c r="J1607" s="30"/>
      <c r="K1607" s="30"/>
      <c r="L1607" s="30"/>
      <c r="M1607" s="30"/>
      <c r="N1607" s="30"/>
      <c r="O1607" s="30"/>
      <c r="P1607" s="30"/>
      <c r="Q1607" s="30"/>
      <c r="R1607" s="30"/>
      <c r="S1607" s="30"/>
      <c r="T1607" s="30"/>
      <c r="U1607" s="30"/>
      <c r="V1607" s="30"/>
      <c r="W1607" s="30"/>
      <c r="X1607" s="30"/>
    </row>
    <row r="1608">
      <c r="A1608" s="30"/>
      <c r="B1608" s="30"/>
      <c r="C1608" s="30"/>
      <c r="D1608" s="30"/>
      <c r="E1608" s="30"/>
      <c r="F1608" s="30"/>
      <c r="G1608" s="30"/>
      <c r="H1608" s="30"/>
      <c r="I1608" s="30"/>
      <c r="J1608" s="30"/>
      <c r="K1608" s="30"/>
      <c r="L1608" s="30"/>
      <c r="M1608" s="30"/>
      <c r="N1608" s="30"/>
      <c r="O1608" s="30"/>
      <c r="P1608" s="30"/>
      <c r="Q1608" s="30"/>
      <c r="R1608" s="30"/>
      <c r="S1608" s="30"/>
      <c r="T1608" s="30"/>
      <c r="U1608" s="30"/>
      <c r="V1608" s="30"/>
      <c r="W1608" s="30"/>
      <c r="X1608" s="30"/>
    </row>
    <row r="1609">
      <c r="A1609" s="30"/>
      <c r="B1609" s="30"/>
      <c r="C1609" s="30"/>
      <c r="D1609" s="30"/>
      <c r="E1609" s="30"/>
      <c r="F1609" s="30"/>
      <c r="G1609" s="30"/>
      <c r="H1609" s="30"/>
      <c r="I1609" s="30"/>
      <c r="J1609" s="30"/>
      <c r="K1609" s="30"/>
      <c r="L1609" s="30"/>
      <c r="M1609" s="30"/>
      <c r="N1609" s="30"/>
      <c r="O1609" s="30"/>
      <c r="P1609" s="30"/>
      <c r="Q1609" s="30"/>
      <c r="R1609" s="30"/>
      <c r="S1609" s="30"/>
      <c r="T1609" s="30"/>
      <c r="U1609" s="30"/>
      <c r="V1609" s="30"/>
      <c r="W1609" s="30"/>
      <c r="X1609" s="30"/>
    </row>
    <row r="1610">
      <c r="A1610" s="30"/>
      <c r="B1610" s="30"/>
      <c r="C1610" s="30"/>
      <c r="D1610" s="30"/>
      <c r="E1610" s="30"/>
      <c r="F1610" s="30"/>
      <c r="G1610" s="30"/>
      <c r="H1610" s="30"/>
      <c r="I1610" s="30"/>
      <c r="J1610" s="30"/>
      <c r="K1610" s="30"/>
      <c r="L1610" s="30"/>
      <c r="M1610" s="30"/>
      <c r="N1610" s="30"/>
      <c r="O1610" s="30"/>
      <c r="P1610" s="30"/>
      <c r="Q1610" s="30"/>
      <c r="R1610" s="30"/>
      <c r="S1610" s="30"/>
      <c r="T1610" s="30"/>
      <c r="U1610" s="30"/>
      <c r="V1610" s="30"/>
      <c r="W1610" s="30"/>
      <c r="X1610" s="30"/>
    </row>
    <row r="1611">
      <c r="A1611" s="30"/>
      <c r="B1611" s="30"/>
      <c r="C1611" s="30"/>
      <c r="D1611" s="30"/>
      <c r="E1611" s="30"/>
      <c r="F1611" s="30"/>
      <c r="G1611" s="30"/>
      <c r="H1611" s="30"/>
      <c r="I1611" s="30"/>
      <c r="J1611" s="30"/>
      <c r="K1611" s="30"/>
      <c r="L1611" s="30"/>
      <c r="M1611" s="30"/>
      <c r="N1611" s="30"/>
      <c r="O1611" s="30"/>
      <c r="P1611" s="30"/>
      <c r="Q1611" s="30"/>
      <c r="R1611" s="30"/>
      <c r="S1611" s="30"/>
      <c r="T1611" s="30"/>
      <c r="U1611" s="30"/>
      <c r="V1611" s="30"/>
      <c r="W1611" s="30"/>
      <c r="X1611" s="30"/>
    </row>
    <row r="1612">
      <c r="A1612" s="30"/>
      <c r="B1612" s="30"/>
      <c r="C1612" s="30"/>
      <c r="D1612" s="30"/>
      <c r="E1612" s="30"/>
      <c r="F1612" s="30"/>
      <c r="G1612" s="30"/>
      <c r="H1612" s="30"/>
      <c r="I1612" s="30"/>
      <c r="J1612" s="30"/>
      <c r="K1612" s="30"/>
      <c r="L1612" s="30"/>
      <c r="M1612" s="30"/>
      <c r="N1612" s="30"/>
      <c r="O1612" s="30"/>
      <c r="P1612" s="30"/>
      <c r="Q1612" s="30"/>
      <c r="R1612" s="30"/>
      <c r="S1612" s="30"/>
      <c r="T1612" s="30"/>
      <c r="U1612" s="30"/>
      <c r="V1612" s="30"/>
      <c r="W1612" s="30"/>
      <c r="X1612" s="30"/>
    </row>
    <row r="1613">
      <c r="A1613" s="30"/>
      <c r="B1613" s="30"/>
      <c r="C1613" s="30"/>
      <c r="D1613" s="30"/>
      <c r="E1613" s="30"/>
      <c r="F1613" s="30"/>
      <c r="G1613" s="30"/>
      <c r="H1613" s="30"/>
      <c r="I1613" s="30"/>
      <c r="J1613" s="30"/>
      <c r="K1613" s="30"/>
      <c r="L1613" s="30"/>
      <c r="M1613" s="30"/>
      <c r="N1613" s="30"/>
      <c r="O1613" s="30"/>
      <c r="P1613" s="30"/>
      <c r="Q1613" s="30"/>
      <c r="R1613" s="30"/>
      <c r="S1613" s="30"/>
      <c r="T1613" s="30"/>
      <c r="U1613" s="30"/>
      <c r="V1613" s="30"/>
      <c r="W1613" s="30"/>
      <c r="X1613" s="30"/>
    </row>
    <row r="1614">
      <c r="A1614" s="30"/>
      <c r="B1614" s="30"/>
      <c r="C1614" s="30"/>
      <c r="D1614" s="30"/>
      <c r="E1614" s="30"/>
      <c r="F1614" s="30"/>
      <c r="G1614" s="30"/>
      <c r="H1614" s="30"/>
      <c r="I1614" s="30"/>
      <c r="J1614" s="30"/>
      <c r="K1614" s="30"/>
      <c r="L1614" s="30"/>
      <c r="M1614" s="30"/>
      <c r="N1614" s="30"/>
      <c r="O1614" s="30"/>
      <c r="P1614" s="30"/>
      <c r="Q1614" s="30"/>
      <c r="R1614" s="30"/>
      <c r="S1614" s="30"/>
      <c r="T1614" s="30"/>
      <c r="U1614" s="30"/>
      <c r="V1614" s="30"/>
      <c r="W1614" s="30"/>
      <c r="X1614" s="30"/>
    </row>
    <row r="1615">
      <c r="A1615" s="30"/>
      <c r="B1615" s="30"/>
      <c r="C1615" s="30"/>
      <c r="D1615" s="30"/>
      <c r="E1615" s="30"/>
      <c r="F1615" s="30"/>
      <c r="G1615" s="30"/>
      <c r="H1615" s="30"/>
      <c r="I1615" s="30"/>
      <c r="J1615" s="30"/>
      <c r="K1615" s="30"/>
      <c r="L1615" s="30"/>
      <c r="M1615" s="30"/>
      <c r="N1615" s="30"/>
      <c r="O1615" s="30"/>
      <c r="P1615" s="30"/>
      <c r="Q1615" s="30"/>
      <c r="R1615" s="30"/>
      <c r="S1615" s="30"/>
      <c r="T1615" s="30"/>
      <c r="U1615" s="30"/>
      <c r="V1615" s="30"/>
      <c r="W1615" s="30"/>
      <c r="X1615" s="30"/>
    </row>
    <row r="1616">
      <c r="A1616" s="30"/>
      <c r="B1616" s="30"/>
      <c r="C1616" s="30"/>
      <c r="D1616" s="30"/>
      <c r="E1616" s="30"/>
      <c r="F1616" s="30"/>
      <c r="G1616" s="30"/>
      <c r="H1616" s="30"/>
      <c r="I1616" s="30"/>
      <c r="J1616" s="30"/>
      <c r="K1616" s="30"/>
      <c r="L1616" s="30"/>
      <c r="M1616" s="30"/>
      <c r="N1616" s="30"/>
      <c r="O1616" s="30"/>
      <c r="P1616" s="30"/>
      <c r="Q1616" s="30"/>
      <c r="R1616" s="30"/>
      <c r="S1616" s="30"/>
      <c r="T1616" s="30"/>
      <c r="U1616" s="30"/>
      <c r="V1616" s="30"/>
      <c r="W1616" s="30"/>
      <c r="X1616" s="30"/>
    </row>
    <row r="1617">
      <c r="A1617" s="30"/>
      <c r="B1617" s="30"/>
      <c r="C1617" s="30"/>
      <c r="D1617" s="30"/>
      <c r="E1617" s="30"/>
      <c r="F1617" s="30"/>
      <c r="G1617" s="30"/>
      <c r="H1617" s="30"/>
      <c r="I1617" s="30"/>
      <c r="J1617" s="30"/>
      <c r="K1617" s="30"/>
      <c r="L1617" s="30"/>
      <c r="M1617" s="30"/>
      <c r="N1617" s="30"/>
      <c r="O1617" s="30"/>
      <c r="P1617" s="30"/>
      <c r="Q1617" s="30"/>
      <c r="R1617" s="30"/>
      <c r="S1617" s="30"/>
      <c r="T1617" s="30"/>
      <c r="U1617" s="30"/>
      <c r="V1617" s="30"/>
      <c r="W1617" s="30"/>
      <c r="X1617" s="30"/>
    </row>
    <row r="1618">
      <c r="A1618" s="30"/>
      <c r="B1618" s="30"/>
      <c r="C1618" s="30"/>
      <c r="D1618" s="30"/>
      <c r="E1618" s="30"/>
      <c r="F1618" s="30"/>
      <c r="G1618" s="30"/>
      <c r="H1618" s="30"/>
      <c r="I1618" s="30"/>
      <c r="J1618" s="30"/>
      <c r="K1618" s="30"/>
      <c r="L1618" s="30"/>
      <c r="M1618" s="30"/>
      <c r="N1618" s="30"/>
      <c r="O1618" s="30"/>
      <c r="P1618" s="30"/>
      <c r="Q1618" s="30"/>
      <c r="R1618" s="30"/>
      <c r="S1618" s="30"/>
      <c r="T1618" s="30"/>
      <c r="U1618" s="30"/>
      <c r="V1618" s="30"/>
      <c r="W1618" s="30"/>
      <c r="X1618" s="30"/>
    </row>
    <row r="1619">
      <c r="A1619" s="30"/>
      <c r="B1619" s="30"/>
      <c r="C1619" s="30"/>
      <c r="D1619" s="30"/>
      <c r="E1619" s="30"/>
      <c r="F1619" s="30"/>
      <c r="G1619" s="30"/>
      <c r="H1619" s="30"/>
      <c r="I1619" s="30"/>
      <c r="J1619" s="30"/>
      <c r="K1619" s="30"/>
      <c r="L1619" s="30"/>
      <c r="M1619" s="30"/>
      <c r="N1619" s="30"/>
      <c r="O1619" s="30"/>
      <c r="P1619" s="30"/>
      <c r="Q1619" s="30"/>
      <c r="R1619" s="30"/>
      <c r="S1619" s="30"/>
      <c r="T1619" s="30"/>
      <c r="U1619" s="30"/>
      <c r="V1619" s="30"/>
      <c r="W1619" s="30"/>
      <c r="X1619" s="30"/>
    </row>
    <row r="1620">
      <c r="A1620" s="30"/>
      <c r="B1620" s="30"/>
      <c r="C1620" s="30"/>
      <c r="D1620" s="30"/>
      <c r="E1620" s="30"/>
      <c r="F1620" s="30"/>
      <c r="G1620" s="30"/>
      <c r="H1620" s="30"/>
      <c r="I1620" s="30"/>
      <c r="J1620" s="30"/>
      <c r="K1620" s="30"/>
      <c r="L1620" s="30"/>
      <c r="M1620" s="30"/>
      <c r="N1620" s="30"/>
      <c r="O1620" s="30"/>
      <c r="P1620" s="30"/>
      <c r="Q1620" s="30"/>
      <c r="R1620" s="30"/>
      <c r="S1620" s="30"/>
      <c r="T1620" s="30"/>
      <c r="U1620" s="30"/>
      <c r="V1620" s="30"/>
      <c r="W1620" s="30"/>
      <c r="X1620" s="30"/>
    </row>
    <row r="1621">
      <c r="A1621" s="30"/>
      <c r="B1621" s="30"/>
      <c r="C1621" s="30"/>
      <c r="D1621" s="30"/>
      <c r="E1621" s="30"/>
      <c r="F1621" s="30"/>
      <c r="G1621" s="30"/>
      <c r="H1621" s="30"/>
      <c r="I1621" s="30"/>
      <c r="J1621" s="30"/>
      <c r="K1621" s="30"/>
      <c r="L1621" s="30"/>
      <c r="M1621" s="30"/>
      <c r="N1621" s="30"/>
      <c r="O1621" s="30"/>
      <c r="P1621" s="30"/>
      <c r="Q1621" s="30"/>
      <c r="R1621" s="30"/>
      <c r="S1621" s="30"/>
      <c r="T1621" s="30"/>
      <c r="U1621" s="30"/>
      <c r="V1621" s="30"/>
      <c r="W1621" s="30"/>
      <c r="X1621" s="30"/>
    </row>
    <row r="1622">
      <c r="A1622" s="30"/>
      <c r="B1622" s="30"/>
      <c r="C1622" s="30"/>
      <c r="D1622" s="30"/>
      <c r="E1622" s="30"/>
      <c r="F1622" s="30"/>
      <c r="G1622" s="30"/>
      <c r="H1622" s="30"/>
      <c r="I1622" s="30"/>
      <c r="J1622" s="30"/>
      <c r="K1622" s="30"/>
      <c r="L1622" s="30"/>
      <c r="M1622" s="30"/>
      <c r="N1622" s="30"/>
      <c r="O1622" s="30"/>
      <c r="P1622" s="30"/>
      <c r="Q1622" s="30"/>
      <c r="R1622" s="30"/>
      <c r="S1622" s="30"/>
      <c r="T1622" s="30"/>
      <c r="U1622" s="30"/>
      <c r="V1622" s="30"/>
      <c r="W1622" s="30"/>
      <c r="X1622" s="30"/>
    </row>
    <row r="1623">
      <c r="A1623" s="30"/>
      <c r="B1623" s="30"/>
      <c r="C1623" s="30"/>
      <c r="D1623" s="30"/>
      <c r="E1623" s="30"/>
      <c r="F1623" s="30"/>
      <c r="G1623" s="30"/>
      <c r="H1623" s="30"/>
      <c r="I1623" s="30"/>
      <c r="J1623" s="30"/>
      <c r="K1623" s="30"/>
      <c r="L1623" s="30"/>
      <c r="M1623" s="30"/>
      <c r="N1623" s="30"/>
      <c r="O1623" s="30"/>
      <c r="P1623" s="30"/>
      <c r="Q1623" s="30"/>
      <c r="R1623" s="30"/>
      <c r="S1623" s="30"/>
      <c r="T1623" s="30"/>
      <c r="U1623" s="30"/>
      <c r="V1623" s="30"/>
      <c r="W1623" s="30"/>
      <c r="X1623" s="30"/>
    </row>
    <row r="1624">
      <c r="A1624" s="30"/>
      <c r="B1624" s="30"/>
      <c r="C1624" s="30"/>
      <c r="D1624" s="30"/>
      <c r="E1624" s="30"/>
      <c r="F1624" s="30"/>
      <c r="G1624" s="30"/>
      <c r="H1624" s="30"/>
      <c r="I1624" s="30"/>
      <c r="J1624" s="30"/>
      <c r="K1624" s="30"/>
      <c r="L1624" s="30"/>
      <c r="M1624" s="30"/>
      <c r="N1624" s="30"/>
      <c r="O1624" s="30"/>
      <c r="P1624" s="30"/>
      <c r="Q1624" s="30"/>
      <c r="R1624" s="30"/>
      <c r="S1624" s="30"/>
      <c r="T1624" s="30"/>
      <c r="U1624" s="30"/>
      <c r="V1624" s="30"/>
      <c r="W1624" s="30"/>
      <c r="X1624" s="30"/>
    </row>
    <row r="1625">
      <c r="A1625" s="30"/>
      <c r="B1625" s="30"/>
      <c r="C1625" s="30"/>
      <c r="D1625" s="30"/>
      <c r="E1625" s="30"/>
      <c r="F1625" s="30"/>
      <c r="G1625" s="30"/>
      <c r="H1625" s="30"/>
      <c r="I1625" s="30"/>
      <c r="J1625" s="30"/>
      <c r="K1625" s="30"/>
      <c r="L1625" s="30"/>
      <c r="M1625" s="30"/>
      <c r="N1625" s="30"/>
      <c r="O1625" s="30"/>
      <c r="P1625" s="30"/>
      <c r="Q1625" s="30"/>
      <c r="R1625" s="30"/>
      <c r="S1625" s="30"/>
      <c r="T1625" s="30"/>
      <c r="U1625" s="30"/>
      <c r="V1625" s="30"/>
      <c r="W1625" s="30"/>
      <c r="X1625" s="30"/>
    </row>
    <row r="1626">
      <c r="A1626" s="30"/>
      <c r="B1626" s="30"/>
      <c r="C1626" s="30"/>
      <c r="D1626" s="30"/>
      <c r="E1626" s="30"/>
      <c r="F1626" s="30"/>
      <c r="G1626" s="30"/>
      <c r="H1626" s="30"/>
      <c r="I1626" s="30"/>
      <c r="J1626" s="30"/>
      <c r="K1626" s="30"/>
      <c r="L1626" s="30"/>
      <c r="M1626" s="30"/>
      <c r="N1626" s="30"/>
      <c r="O1626" s="30"/>
      <c r="P1626" s="30"/>
      <c r="Q1626" s="30"/>
      <c r="R1626" s="30"/>
      <c r="S1626" s="30"/>
      <c r="T1626" s="30"/>
      <c r="U1626" s="30"/>
      <c r="V1626" s="30"/>
      <c r="W1626" s="30"/>
      <c r="X1626" s="30"/>
    </row>
    <row r="1627">
      <c r="A1627" s="30"/>
      <c r="B1627" s="30"/>
      <c r="C1627" s="30"/>
      <c r="D1627" s="30"/>
      <c r="E1627" s="30"/>
      <c r="F1627" s="30"/>
      <c r="G1627" s="30"/>
      <c r="H1627" s="30"/>
      <c r="I1627" s="30"/>
      <c r="J1627" s="30"/>
      <c r="K1627" s="30"/>
      <c r="L1627" s="30"/>
      <c r="M1627" s="30"/>
      <c r="N1627" s="30"/>
      <c r="O1627" s="30"/>
      <c r="P1627" s="30"/>
      <c r="Q1627" s="30"/>
      <c r="R1627" s="30"/>
      <c r="S1627" s="30"/>
      <c r="T1627" s="30"/>
      <c r="U1627" s="30"/>
      <c r="V1627" s="30"/>
      <c r="W1627" s="30"/>
      <c r="X1627" s="30"/>
    </row>
    <row r="1628">
      <c r="A1628" s="30"/>
      <c r="B1628" s="30"/>
      <c r="C1628" s="30"/>
      <c r="D1628" s="30"/>
      <c r="E1628" s="30"/>
      <c r="F1628" s="30"/>
      <c r="G1628" s="30"/>
      <c r="H1628" s="30"/>
      <c r="I1628" s="30"/>
      <c r="J1628" s="30"/>
      <c r="K1628" s="30"/>
      <c r="L1628" s="30"/>
      <c r="M1628" s="30"/>
      <c r="N1628" s="30"/>
      <c r="O1628" s="30"/>
      <c r="P1628" s="30"/>
      <c r="Q1628" s="30"/>
      <c r="R1628" s="30"/>
      <c r="S1628" s="30"/>
      <c r="T1628" s="30"/>
      <c r="U1628" s="30"/>
      <c r="V1628" s="30"/>
      <c r="W1628" s="30"/>
      <c r="X1628" s="30"/>
    </row>
    <row r="1629">
      <c r="A1629" s="30"/>
      <c r="B1629" s="30"/>
      <c r="C1629" s="30"/>
      <c r="D1629" s="30"/>
      <c r="E1629" s="30"/>
      <c r="F1629" s="30"/>
      <c r="G1629" s="30"/>
      <c r="H1629" s="30"/>
      <c r="I1629" s="30"/>
      <c r="J1629" s="30"/>
      <c r="K1629" s="30"/>
      <c r="L1629" s="30"/>
      <c r="M1629" s="30"/>
      <c r="N1629" s="30"/>
      <c r="O1629" s="30"/>
      <c r="P1629" s="30"/>
      <c r="Q1629" s="30"/>
      <c r="R1629" s="30"/>
      <c r="S1629" s="30"/>
      <c r="T1629" s="30"/>
      <c r="U1629" s="30"/>
      <c r="V1629" s="30"/>
      <c r="W1629" s="30"/>
      <c r="X1629" s="30"/>
    </row>
    <row r="1630">
      <c r="A1630" s="30"/>
      <c r="B1630" s="30"/>
      <c r="C1630" s="30"/>
      <c r="D1630" s="30"/>
      <c r="E1630" s="30"/>
      <c r="F1630" s="30"/>
      <c r="G1630" s="30"/>
      <c r="H1630" s="30"/>
      <c r="I1630" s="30"/>
      <c r="J1630" s="30"/>
      <c r="K1630" s="30"/>
      <c r="L1630" s="30"/>
      <c r="M1630" s="30"/>
      <c r="N1630" s="30"/>
      <c r="O1630" s="30"/>
      <c r="P1630" s="30"/>
      <c r="Q1630" s="30"/>
      <c r="R1630" s="30"/>
      <c r="S1630" s="30"/>
      <c r="T1630" s="30"/>
      <c r="U1630" s="30"/>
      <c r="V1630" s="30"/>
      <c r="W1630" s="30"/>
      <c r="X1630" s="30"/>
    </row>
    <row r="1631">
      <c r="A1631" s="30"/>
      <c r="B1631" s="30"/>
      <c r="C1631" s="30"/>
      <c r="D1631" s="30"/>
      <c r="E1631" s="30"/>
      <c r="F1631" s="30"/>
      <c r="G1631" s="30"/>
      <c r="H1631" s="30"/>
      <c r="I1631" s="30"/>
      <c r="J1631" s="30"/>
      <c r="K1631" s="30"/>
      <c r="L1631" s="30"/>
      <c r="M1631" s="30"/>
      <c r="N1631" s="30"/>
      <c r="O1631" s="30"/>
      <c r="P1631" s="30"/>
      <c r="Q1631" s="30"/>
      <c r="R1631" s="30"/>
      <c r="S1631" s="30"/>
      <c r="T1631" s="30"/>
      <c r="U1631" s="30"/>
      <c r="V1631" s="30"/>
      <c r="W1631" s="30"/>
      <c r="X1631" s="30"/>
    </row>
    <row r="1632">
      <c r="A1632" s="30"/>
      <c r="B1632" s="30"/>
      <c r="C1632" s="30"/>
      <c r="D1632" s="30"/>
      <c r="E1632" s="30"/>
      <c r="F1632" s="30"/>
      <c r="G1632" s="30"/>
      <c r="H1632" s="30"/>
      <c r="I1632" s="30"/>
      <c r="J1632" s="30"/>
      <c r="K1632" s="30"/>
      <c r="L1632" s="30"/>
      <c r="M1632" s="30"/>
      <c r="N1632" s="30"/>
      <c r="O1632" s="30"/>
      <c r="P1632" s="30"/>
      <c r="Q1632" s="30"/>
      <c r="R1632" s="30"/>
      <c r="S1632" s="30"/>
      <c r="T1632" s="30"/>
      <c r="U1632" s="30"/>
      <c r="V1632" s="30"/>
      <c r="W1632" s="30"/>
      <c r="X1632" s="30"/>
    </row>
    <row r="1633">
      <c r="A1633" s="30"/>
      <c r="B1633" s="30"/>
      <c r="C1633" s="30"/>
      <c r="D1633" s="30"/>
      <c r="E1633" s="30"/>
      <c r="F1633" s="30"/>
      <c r="G1633" s="30"/>
      <c r="H1633" s="30"/>
      <c r="I1633" s="30"/>
      <c r="J1633" s="30"/>
      <c r="K1633" s="30"/>
      <c r="L1633" s="30"/>
      <c r="M1633" s="30"/>
      <c r="N1633" s="30"/>
      <c r="O1633" s="30"/>
      <c r="P1633" s="30"/>
      <c r="Q1633" s="30"/>
      <c r="R1633" s="30"/>
      <c r="S1633" s="30"/>
      <c r="T1633" s="30"/>
      <c r="U1633" s="30"/>
      <c r="V1633" s="30"/>
      <c r="W1633" s="30"/>
      <c r="X1633" s="30"/>
    </row>
    <row r="1634">
      <c r="A1634" s="30"/>
      <c r="B1634" s="30"/>
      <c r="C1634" s="30"/>
      <c r="D1634" s="30"/>
      <c r="E1634" s="30"/>
      <c r="F1634" s="30"/>
      <c r="G1634" s="30"/>
      <c r="H1634" s="30"/>
      <c r="I1634" s="30"/>
      <c r="J1634" s="30"/>
      <c r="K1634" s="30"/>
      <c r="L1634" s="30"/>
      <c r="M1634" s="30"/>
      <c r="N1634" s="30"/>
      <c r="O1634" s="30"/>
      <c r="P1634" s="30"/>
      <c r="Q1634" s="30"/>
      <c r="R1634" s="30"/>
      <c r="S1634" s="30"/>
      <c r="T1634" s="30"/>
      <c r="U1634" s="30"/>
      <c r="V1634" s="30"/>
      <c r="W1634" s="30"/>
      <c r="X1634" s="30"/>
    </row>
    <row r="1635">
      <c r="A1635" s="30"/>
      <c r="B1635" s="30"/>
      <c r="C1635" s="30"/>
      <c r="D1635" s="30"/>
      <c r="E1635" s="30"/>
      <c r="F1635" s="30"/>
      <c r="G1635" s="30"/>
      <c r="H1635" s="30"/>
      <c r="I1635" s="30"/>
      <c r="J1635" s="30"/>
      <c r="K1635" s="30"/>
      <c r="L1635" s="30"/>
      <c r="M1635" s="30"/>
      <c r="N1635" s="30"/>
      <c r="O1635" s="30"/>
      <c r="P1635" s="30"/>
      <c r="Q1635" s="30"/>
      <c r="R1635" s="30"/>
      <c r="S1635" s="30"/>
      <c r="T1635" s="30"/>
      <c r="U1635" s="30"/>
      <c r="V1635" s="30"/>
      <c r="W1635" s="30"/>
      <c r="X1635" s="30"/>
    </row>
    <row r="1636">
      <c r="A1636" s="30"/>
      <c r="B1636" s="30"/>
      <c r="C1636" s="30"/>
      <c r="D1636" s="30"/>
      <c r="E1636" s="30"/>
      <c r="F1636" s="30"/>
      <c r="G1636" s="30"/>
      <c r="H1636" s="30"/>
      <c r="I1636" s="30"/>
      <c r="J1636" s="30"/>
      <c r="K1636" s="30"/>
      <c r="L1636" s="30"/>
      <c r="M1636" s="30"/>
      <c r="N1636" s="30"/>
      <c r="O1636" s="30"/>
      <c r="P1636" s="30"/>
      <c r="Q1636" s="30"/>
      <c r="R1636" s="30"/>
      <c r="S1636" s="30"/>
      <c r="T1636" s="30"/>
      <c r="U1636" s="30"/>
      <c r="V1636" s="30"/>
      <c r="W1636" s="30"/>
      <c r="X1636" s="30"/>
    </row>
    <row r="1637">
      <c r="A1637" s="30"/>
      <c r="B1637" s="30"/>
      <c r="C1637" s="30"/>
      <c r="D1637" s="30"/>
      <c r="E1637" s="30"/>
      <c r="F1637" s="30"/>
      <c r="G1637" s="30"/>
      <c r="H1637" s="30"/>
      <c r="I1637" s="30"/>
      <c r="J1637" s="30"/>
      <c r="K1637" s="30"/>
      <c r="L1637" s="30"/>
      <c r="M1637" s="30"/>
      <c r="N1637" s="30"/>
      <c r="O1637" s="30"/>
      <c r="P1637" s="30"/>
      <c r="Q1637" s="30"/>
      <c r="R1637" s="30"/>
      <c r="S1637" s="30"/>
      <c r="T1637" s="30"/>
      <c r="U1637" s="30"/>
      <c r="V1637" s="30"/>
      <c r="W1637" s="30"/>
      <c r="X1637" s="30"/>
    </row>
    <row r="1638">
      <c r="A1638" s="30"/>
      <c r="B1638" s="30"/>
      <c r="C1638" s="30"/>
      <c r="D1638" s="30"/>
      <c r="E1638" s="30"/>
      <c r="F1638" s="30"/>
      <c r="G1638" s="30"/>
      <c r="H1638" s="30"/>
      <c r="I1638" s="30"/>
      <c r="J1638" s="30"/>
      <c r="K1638" s="30"/>
      <c r="L1638" s="30"/>
      <c r="M1638" s="30"/>
      <c r="N1638" s="30"/>
      <c r="O1638" s="30"/>
      <c r="P1638" s="30"/>
      <c r="Q1638" s="30"/>
      <c r="R1638" s="30"/>
      <c r="S1638" s="30"/>
      <c r="T1638" s="30"/>
      <c r="U1638" s="30"/>
      <c r="V1638" s="30"/>
      <c r="W1638" s="30"/>
      <c r="X1638" s="30"/>
    </row>
    <row r="1639">
      <c r="A1639" s="30"/>
      <c r="B1639" s="30"/>
      <c r="C1639" s="30"/>
      <c r="D1639" s="30"/>
      <c r="E1639" s="30"/>
      <c r="F1639" s="30"/>
      <c r="G1639" s="30"/>
      <c r="H1639" s="30"/>
      <c r="I1639" s="30"/>
      <c r="J1639" s="30"/>
      <c r="K1639" s="30"/>
      <c r="L1639" s="30"/>
      <c r="M1639" s="30"/>
      <c r="N1639" s="30"/>
      <c r="O1639" s="30"/>
      <c r="P1639" s="30"/>
      <c r="Q1639" s="30"/>
      <c r="R1639" s="30"/>
      <c r="S1639" s="30"/>
      <c r="T1639" s="30"/>
      <c r="U1639" s="30"/>
      <c r="V1639" s="30"/>
      <c r="W1639" s="30"/>
      <c r="X1639" s="30"/>
    </row>
    <row r="1640">
      <c r="A1640" s="30"/>
      <c r="B1640" s="30"/>
      <c r="C1640" s="30"/>
      <c r="D1640" s="30"/>
      <c r="E1640" s="30"/>
      <c r="F1640" s="30"/>
      <c r="G1640" s="30"/>
      <c r="H1640" s="30"/>
      <c r="I1640" s="30"/>
      <c r="J1640" s="30"/>
      <c r="K1640" s="30"/>
      <c r="L1640" s="30"/>
      <c r="M1640" s="30"/>
      <c r="N1640" s="30"/>
      <c r="O1640" s="30"/>
      <c r="P1640" s="30"/>
      <c r="Q1640" s="30"/>
      <c r="R1640" s="30"/>
      <c r="S1640" s="30"/>
      <c r="T1640" s="30"/>
      <c r="U1640" s="30"/>
      <c r="V1640" s="30"/>
      <c r="W1640" s="30"/>
      <c r="X1640" s="30"/>
    </row>
    <row r="1641">
      <c r="A1641" s="30"/>
      <c r="B1641" s="30"/>
      <c r="C1641" s="30"/>
      <c r="D1641" s="30"/>
      <c r="E1641" s="30"/>
      <c r="F1641" s="30"/>
      <c r="G1641" s="30"/>
      <c r="H1641" s="30"/>
      <c r="I1641" s="30"/>
      <c r="J1641" s="30"/>
      <c r="K1641" s="30"/>
      <c r="L1641" s="30"/>
      <c r="M1641" s="30"/>
      <c r="N1641" s="30"/>
      <c r="O1641" s="30"/>
      <c r="P1641" s="30"/>
      <c r="Q1641" s="30"/>
      <c r="R1641" s="30"/>
      <c r="S1641" s="30"/>
      <c r="T1641" s="30"/>
      <c r="U1641" s="30"/>
      <c r="V1641" s="30"/>
      <c r="W1641" s="30"/>
      <c r="X1641" s="30"/>
    </row>
    <row r="1642">
      <c r="A1642" s="30"/>
      <c r="B1642" s="30"/>
      <c r="C1642" s="30"/>
      <c r="D1642" s="30"/>
      <c r="E1642" s="30"/>
      <c r="F1642" s="30"/>
      <c r="G1642" s="30"/>
      <c r="H1642" s="30"/>
      <c r="I1642" s="30"/>
      <c r="J1642" s="30"/>
      <c r="K1642" s="30"/>
      <c r="L1642" s="30"/>
      <c r="M1642" s="30"/>
      <c r="N1642" s="30"/>
      <c r="O1642" s="30"/>
      <c r="P1642" s="30"/>
      <c r="Q1642" s="30"/>
      <c r="R1642" s="30"/>
      <c r="S1642" s="30"/>
      <c r="T1642" s="30"/>
      <c r="U1642" s="30"/>
      <c r="V1642" s="30"/>
      <c r="W1642" s="30"/>
      <c r="X1642" s="30"/>
    </row>
    <row r="1643">
      <c r="A1643" s="30"/>
      <c r="B1643" s="30"/>
      <c r="C1643" s="30"/>
      <c r="D1643" s="30"/>
      <c r="E1643" s="30"/>
      <c r="F1643" s="30"/>
      <c r="G1643" s="30"/>
      <c r="H1643" s="30"/>
      <c r="I1643" s="30"/>
      <c r="J1643" s="30"/>
      <c r="K1643" s="30"/>
      <c r="L1643" s="30"/>
      <c r="M1643" s="30"/>
      <c r="N1643" s="30"/>
      <c r="O1643" s="30"/>
      <c r="P1643" s="30"/>
      <c r="Q1643" s="30"/>
      <c r="R1643" s="30"/>
      <c r="S1643" s="30"/>
      <c r="T1643" s="30"/>
      <c r="U1643" s="30"/>
      <c r="V1643" s="30"/>
      <c r="W1643" s="30"/>
      <c r="X1643" s="30"/>
    </row>
    <row r="1644">
      <c r="A1644" s="30"/>
      <c r="B1644" s="30"/>
      <c r="C1644" s="30"/>
      <c r="D1644" s="30"/>
      <c r="E1644" s="30"/>
      <c r="F1644" s="30"/>
      <c r="G1644" s="30"/>
      <c r="H1644" s="30"/>
      <c r="I1644" s="30"/>
      <c r="J1644" s="30"/>
      <c r="K1644" s="30"/>
      <c r="L1644" s="30"/>
      <c r="M1644" s="30"/>
      <c r="N1644" s="30"/>
      <c r="O1644" s="30"/>
      <c r="P1644" s="30"/>
      <c r="Q1644" s="30"/>
      <c r="R1644" s="30"/>
      <c r="S1644" s="30"/>
      <c r="T1644" s="30"/>
      <c r="U1644" s="30"/>
      <c r="V1644" s="30"/>
      <c r="W1644" s="30"/>
      <c r="X1644" s="30"/>
    </row>
    <row r="1645">
      <c r="A1645" s="30"/>
      <c r="B1645" s="30"/>
      <c r="C1645" s="30"/>
      <c r="D1645" s="30"/>
      <c r="E1645" s="30"/>
      <c r="F1645" s="30"/>
      <c r="G1645" s="30"/>
      <c r="H1645" s="30"/>
      <c r="I1645" s="30"/>
      <c r="J1645" s="30"/>
      <c r="K1645" s="30"/>
      <c r="L1645" s="30"/>
      <c r="M1645" s="30"/>
      <c r="N1645" s="30"/>
      <c r="O1645" s="30"/>
      <c r="P1645" s="30"/>
      <c r="Q1645" s="30"/>
      <c r="R1645" s="30"/>
      <c r="S1645" s="30"/>
      <c r="T1645" s="30"/>
      <c r="U1645" s="30"/>
      <c r="V1645" s="30"/>
      <c r="W1645" s="30"/>
      <c r="X1645" s="30"/>
    </row>
    <row r="1646">
      <c r="A1646" s="30"/>
      <c r="B1646" s="30"/>
      <c r="C1646" s="30"/>
      <c r="D1646" s="30"/>
      <c r="E1646" s="30"/>
      <c r="F1646" s="30"/>
      <c r="G1646" s="30"/>
      <c r="H1646" s="30"/>
      <c r="I1646" s="30"/>
      <c r="J1646" s="30"/>
      <c r="K1646" s="30"/>
      <c r="L1646" s="30"/>
      <c r="M1646" s="30"/>
      <c r="N1646" s="30"/>
      <c r="O1646" s="30"/>
      <c r="P1646" s="30"/>
      <c r="Q1646" s="30"/>
      <c r="R1646" s="30"/>
      <c r="S1646" s="30"/>
      <c r="T1646" s="30"/>
      <c r="U1646" s="30"/>
      <c r="V1646" s="30"/>
      <c r="W1646" s="30"/>
      <c r="X1646" s="30"/>
    </row>
    <row r="1647">
      <c r="A1647" s="30"/>
      <c r="B1647" s="30"/>
      <c r="C1647" s="30"/>
      <c r="D1647" s="30"/>
      <c r="E1647" s="30"/>
      <c r="F1647" s="30"/>
      <c r="G1647" s="30"/>
      <c r="H1647" s="30"/>
      <c r="I1647" s="30"/>
      <c r="J1647" s="30"/>
      <c r="K1647" s="30"/>
      <c r="L1647" s="30"/>
      <c r="M1647" s="30"/>
      <c r="N1647" s="30"/>
      <c r="O1647" s="30"/>
      <c r="P1647" s="30"/>
      <c r="Q1647" s="30"/>
      <c r="R1647" s="30"/>
      <c r="S1647" s="30"/>
      <c r="T1647" s="30"/>
      <c r="U1647" s="30"/>
      <c r="V1647" s="30"/>
      <c r="W1647" s="30"/>
      <c r="X1647" s="30"/>
    </row>
    <row r="1648">
      <c r="A1648" s="30"/>
      <c r="B1648" s="30"/>
      <c r="C1648" s="30"/>
      <c r="D1648" s="30"/>
      <c r="E1648" s="30"/>
      <c r="F1648" s="30"/>
      <c r="G1648" s="30"/>
      <c r="H1648" s="30"/>
      <c r="I1648" s="30"/>
      <c r="J1648" s="30"/>
      <c r="K1648" s="30"/>
      <c r="L1648" s="30"/>
      <c r="M1648" s="30"/>
      <c r="N1648" s="30"/>
      <c r="O1648" s="30"/>
      <c r="P1648" s="30"/>
      <c r="Q1648" s="30"/>
      <c r="R1648" s="30"/>
      <c r="S1648" s="30"/>
      <c r="T1648" s="30"/>
      <c r="U1648" s="30"/>
      <c r="V1648" s="30"/>
      <c r="W1648" s="30"/>
      <c r="X1648" s="30"/>
    </row>
    <row r="1649">
      <c r="A1649" s="30"/>
      <c r="B1649" s="30"/>
      <c r="C1649" s="30"/>
      <c r="D1649" s="30"/>
      <c r="E1649" s="30"/>
      <c r="F1649" s="30"/>
      <c r="G1649" s="30"/>
      <c r="H1649" s="30"/>
      <c r="I1649" s="30"/>
      <c r="J1649" s="30"/>
      <c r="K1649" s="30"/>
      <c r="L1649" s="30"/>
      <c r="M1649" s="30"/>
      <c r="N1649" s="30"/>
      <c r="O1649" s="30"/>
      <c r="P1649" s="30"/>
      <c r="Q1649" s="30"/>
      <c r="R1649" s="30"/>
      <c r="S1649" s="30"/>
      <c r="T1649" s="30"/>
      <c r="U1649" s="30"/>
      <c r="V1649" s="30"/>
      <c r="W1649" s="30"/>
      <c r="X1649" s="30"/>
    </row>
    <row r="1650">
      <c r="A1650" s="30"/>
      <c r="B1650" s="30"/>
      <c r="C1650" s="30"/>
      <c r="D1650" s="30"/>
      <c r="E1650" s="30"/>
      <c r="F1650" s="30"/>
      <c r="G1650" s="30"/>
      <c r="H1650" s="30"/>
      <c r="I1650" s="30"/>
      <c r="J1650" s="30"/>
      <c r="K1650" s="30"/>
      <c r="L1650" s="30"/>
      <c r="M1650" s="30"/>
      <c r="N1650" s="30"/>
      <c r="O1650" s="30"/>
      <c r="P1650" s="30"/>
      <c r="Q1650" s="30"/>
      <c r="R1650" s="30"/>
      <c r="S1650" s="30"/>
      <c r="T1650" s="30"/>
      <c r="U1650" s="30"/>
      <c r="V1650" s="30"/>
      <c r="W1650" s="30"/>
      <c r="X1650" s="30"/>
    </row>
    <row r="1651">
      <c r="A1651" s="30"/>
      <c r="B1651" s="30"/>
      <c r="C1651" s="30"/>
      <c r="D1651" s="30"/>
      <c r="E1651" s="30"/>
      <c r="F1651" s="30"/>
      <c r="G1651" s="30"/>
      <c r="H1651" s="30"/>
      <c r="I1651" s="30"/>
      <c r="J1651" s="30"/>
      <c r="K1651" s="30"/>
      <c r="L1651" s="30"/>
      <c r="M1651" s="30"/>
      <c r="N1651" s="30"/>
      <c r="O1651" s="30"/>
      <c r="P1651" s="30"/>
      <c r="Q1651" s="30"/>
      <c r="R1651" s="30"/>
      <c r="S1651" s="30"/>
      <c r="T1651" s="30"/>
      <c r="U1651" s="30"/>
      <c r="V1651" s="30"/>
      <c r="W1651" s="30"/>
      <c r="X1651" s="30"/>
    </row>
    <row r="1652">
      <c r="A1652" s="30"/>
      <c r="B1652" s="30"/>
      <c r="C1652" s="30"/>
      <c r="D1652" s="30"/>
      <c r="E1652" s="30"/>
      <c r="F1652" s="30"/>
      <c r="G1652" s="30"/>
      <c r="H1652" s="30"/>
      <c r="I1652" s="30"/>
      <c r="J1652" s="30"/>
      <c r="K1652" s="30"/>
      <c r="L1652" s="30"/>
      <c r="M1652" s="30"/>
      <c r="N1652" s="30"/>
      <c r="O1652" s="30"/>
      <c r="P1652" s="30"/>
      <c r="Q1652" s="30"/>
      <c r="R1652" s="30"/>
      <c r="S1652" s="30"/>
      <c r="T1652" s="30"/>
      <c r="U1652" s="30"/>
      <c r="V1652" s="30"/>
      <c r="W1652" s="30"/>
      <c r="X1652" s="30"/>
    </row>
    <row r="1653">
      <c r="A1653" s="30"/>
      <c r="B1653" s="30"/>
      <c r="C1653" s="30"/>
      <c r="D1653" s="30"/>
      <c r="E1653" s="30"/>
      <c r="F1653" s="30"/>
      <c r="G1653" s="30"/>
      <c r="H1653" s="30"/>
      <c r="I1653" s="30"/>
      <c r="J1653" s="30"/>
      <c r="K1653" s="30"/>
      <c r="L1653" s="30"/>
      <c r="M1653" s="30"/>
      <c r="N1653" s="30"/>
      <c r="O1653" s="30"/>
      <c r="P1653" s="30"/>
      <c r="Q1653" s="30"/>
      <c r="R1653" s="30"/>
      <c r="S1653" s="30"/>
      <c r="T1653" s="30"/>
      <c r="U1653" s="30"/>
      <c r="V1653" s="30"/>
      <c r="W1653" s="30"/>
      <c r="X1653" s="30"/>
    </row>
    <row r="1654">
      <c r="A1654" s="30"/>
      <c r="B1654" s="30"/>
      <c r="C1654" s="30"/>
      <c r="D1654" s="30"/>
      <c r="E1654" s="30"/>
      <c r="F1654" s="30"/>
      <c r="G1654" s="30"/>
      <c r="H1654" s="30"/>
      <c r="I1654" s="30"/>
      <c r="J1654" s="30"/>
      <c r="K1654" s="30"/>
      <c r="L1654" s="30"/>
      <c r="M1654" s="30"/>
      <c r="N1654" s="30"/>
      <c r="O1654" s="30"/>
      <c r="P1654" s="30"/>
      <c r="Q1654" s="30"/>
      <c r="R1654" s="30"/>
      <c r="S1654" s="30"/>
      <c r="T1654" s="30"/>
      <c r="U1654" s="30"/>
      <c r="V1654" s="30"/>
      <c r="W1654" s="30"/>
      <c r="X1654" s="30"/>
    </row>
    <row r="1655">
      <c r="A1655" s="30"/>
      <c r="B1655" s="30"/>
      <c r="C1655" s="30"/>
      <c r="D1655" s="30"/>
      <c r="E1655" s="30"/>
      <c r="F1655" s="30"/>
      <c r="G1655" s="30"/>
      <c r="H1655" s="30"/>
      <c r="I1655" s="30"/>
      <c r="J1655" s="30"/>
      <c r="K1655" s="30"/>
      <c r="L1655" s="30"/>
      <c r="M1655" s="30"/>
      <c r="N1655" s="30"/>
      <c r="O1655" s="30"/>
      <c r="P1655" s="30"/>
      <c r="Q1655" s="30"/>
      <c r="R1655" s="30"/>
      <c r="S1655" s="30"/>
      <c r="T1655" s="30"/>
      <c r="U1655" s="30"/>
      <c r="V1655" s="30"/>
      <c r="W1655" s="30"/>
      <c r="X1655" s="30"/>
    </row>
    <row r="1656">
      <c r="A1656" s="30"/>
      <c r="B1656" s="30"/>
      <c r="C1656" s="30"/>
      <c r="D1656" s="30"/>
      <c r="E1656" s="30"/>
      <c r="F1656" s="30"/>
      <c r="G1656" s="30"/>
      <c r="H1656" s="30"/>
      <c r="I1656" s="30"/>
      <c r="J1656" s="30"/>
      <c r="K1656" s="30"/>
      <c r="L1656" s="30"/>
      <c r="M1656" s="30"/>
      <c r="N1656" s="30"/>
      <c r="O1656" s="30"/>
      <c r="P1656" s="30"/>
      <c r="Q1656" s="30"/>
      <c r="R1656" s="30"/>
      <c r="S1656" s="30"/>
      <c r="T1656" s="30"/>
      <c r="U1656" s="30"/>
      <c r="V1656" s="30"/>
      <c r="W1656" s="30"/>
      <c r="X1656" s="30"/>
    </row>
    <row r="1657">
      <c r="A1657" s="30"/>
      <c r="B1657" s="30"/>
      <c r="C1657" s="30"/>
      <c r="D1657" s="30"/>
      <c r="E1657" s="30"/>
      <c r="F1657" s="30"/>
      <c r="G1657" s="30"/>
      <c r="H1657" s="30"/>
      <c r="I1657" s="30"/>
      <c r="J1657" s="30"/>
      <c r="K1657" s="30"/>
      <c r="L1657" s="30"/>
      <c r="M1657" s="30"/>
      <c r="N1657" s="30"/>
      <c r="O1657" s="30"/>
      <c r="P1657" s="30"/>
      <c r="Q1657" s="30"/>
      <c r="R1657" s="30"/>
      <c r="S1657" s="30"/>
      <c r="T1657" s="30"/>
      <c r="U1657" s="30"/>
      <c r="V1657" s="30"/>
      <c r="W1657" s="30"/>
      <c r="X1657" s="30"/>
    </row>
    <row r="1658">
      <c r="A1658" s="30"/>
      <c r="B1658" s="30"/>
      <c r="C1658" s="30"/>
      <c r="D1658" s="30"/>
      <c r="E1658" s="30"/>
      <c r="F1658" s="30"/>
      <c r="G1658" s="30"/>
      <c r="H1658" s="30"/>
      <c r="I1658" s="30"/>
      <c r="J1658" s="30"/>
      <c r="K1658" s="30"/>
      <c r="L1658" s="30"/>
      <c r="M1658" s="30"/>
      <c r="N1658" s="30"/>
      <c r="O1658" s="30"/>
      <c r="P1658" s="30"/>
      <c r="Q1658" s="30"/>
      <c r="R1658" s="30"/>
      <c r="S1658" s="30"/>
      <c r="T1658" s="30"/>
      <c r="U1658" s="30"/>
      <c r="V1658" s="30"/>
      <c r="W1658" s="30"/>
      <c r="X1658" s="30"/>
    </row>
    <row r="1659">
      <c r="A1659" s="30"/>
      <c r="B1659" s="30"/>
      <c r="C1659" s="30"/>
      <c r="D1659" s="30"/>
      <c r="E1659" s="30"/>
      <c r="F1659" s="30"/>
      <c r="G1659" s="30"/>
      <c r="H1659" s="30"/>
      <c r="I1659" s="30"/>
      <c r="J1659" s="30"/>
      <c r="K1659" s="30"/>
      <c r="L1659" s="30"/>
      <c r="M1659" s="30"/>
      <c r="N1659" s="30"/>
      <c r="O1659" s="30"/>
      <c r="P1659" s="30"/>
      <c r="Q1659" s="30"/>
      <c r="R1659" s="30"/>
      <c r="S1659" s="30"/>
      <c r="T1659" s="30"/>
      <c r="U1659" s="30"/>
      <c r="V1659" s="30"/>
      <c r="W1659" s="30"/>
      <c r="X1659" s="30"/>
    </row>
    <row r="1660">
      <c r="A1660" s="30"/>
      <c r="B1660" s="30"/>
      <c r="C1660" s="30"/>
      <c r="D1660" s="30"/>
      <c r="E1660" s="30"/>
      <c r="F1660" s="30"/>
      <c r="G1660" s="30"/>
      <c r="H1660" s="30"/>
      <c r="I1660" s="30"/>
      <c r="J1660" s="30"/>
      <c r="K1660" s="30"/>
      <c r="L1660" s="30"/>
      <c r="M1660" s="30"/>
      <c r="N1660" s="30"/>
      <c r="O1660" s="30"/>
      <c r="P1660" s="30"/>
      <c r="Q1660" s="30"/>
      <c r="R1660" s="30"/>
      <c r="S1660" s="30"/>
      <c r="T1660" s="30"/>
      <c r="U1660" s="30"/>
      <c r="V1660" s="30"/>
      <c r="W1660" s="30"/>
      <c r="X1660" s="30"/>
    </row>
    <row r="1661">
      <c r="A1661" s="30"/>
      <c r="B1661" s="30"/>
      <c r="C1661" s="30"/>
      <c r="D1661" s="30"/>
      <c r="E1661" s="30"/>
      <c r="F1661" s="30"/>
      <c r="G1661" s="30"/>
      <c r="H1661" s="30"/>
      <c r="I1661" s="30"/>
      <c r="J1661" s="30"/>
      <c r="K1661" s="30"/>
      <c r="L1661" s="30"/>
      <c r="M1661" s="30"/>
      <c r="N1661" s="30"/>
      <c r="O1661" s="30"/>
      <c r="P1661" s="30"/>
      <c r="Q1661" s="30"/>
      <c r="R1661" s="30"/>
      <c r="S1661" s="30"/>
      <c r="T1661" s="30"/>
      <c r="U1661" s="30"/>
      <c r="V1661" s="30"/>
      <c r="W1661" s="30"/>
      <c r="X1661" s="30"/>
    </row>
    <row r="1662">
      <c r="A1662" s="30"/>
      <c r="B1662" s="30"/>
      <c r="C1662" s="30"/>
      <c r="D1662" s="30"/>
      <c r="E1662" s="30"/>
      <c r="F1662" s="30"/>
      <c r="G1662" s="30"/>
      <c r="H1662" s="30"/>
      <c r="I1662" s="30"/>
      <c r="J1662" s="30"/>
      <c r="K1662" s="30"/>
      <c r="L1662" s="30"/>
      <c r="M1662" s="30"/>
      <c r="N1662" s="30"/>
      <c r="O1662" s="30"/>
      <c r="P1662" s="30"/>
      <c r="Q1662" s="30"/>
      <c r="R1662" s="30"/>
      <c r="S1662" s="30"/>
      <c r="T1662" s="30"/>
      <c r="U1662" s="30"/>
      <c r="V1662" s="30"/>
      <c r="W1662" s="30"/>
      <c r="X1662" s="30"/>
    </row>
    <row r="1663">
      <c r="A1663" s="30"/>
      <c r="B1663" s="30"/>
      <c r="C1663" s="30"/>
      <c r="D1663" s="30"/>
      <c r="E1663" s="30"/>
      <c r="F1663" s="30"/>
      <c r="G1663" s="30"/>
      <c r="H1663" s="30"/>
      <c r="I1663" s="30"/>
      <c r="J1663" s="30"/>
      <c r="K1663" s="30"/>
      <c r="L1663" s="30"/>
      <c r="M1663" s="30"/>
      <c r="N1663" s="30"/>
      <c r="O1663" s="30"/>
      <c r="P1663" s="30"/>
      <c r="Q1663" s="30"/>
      <c r="R1663" s="30"/>
      <c r="S1663" s="30"/>
      <c r="T1663" s="30"/>
      <c r="U1663" s="30"/>
      <c r="V1663" s="30"/>
      <c r="W1663" s="30"/>
      <c r="X1663" s="30"/>
    </row>
    <row r="1664">
      <c r="A1664" s="30"/>
      <c r="B1664" s="30"/>
      <c r="C1664" s="30"/>
      <c r="D1664" s="30"/>
      <c r="E1664" s="30"/>
      <c r="F1664" s="30"/>
      <c r="G1664" s="30"/>
      <c r="H1664" s="30"/>
      <c r="I1664" s="30"/>
      <c r="J1664" s="30"/>
      <c r="K1664" s="30"/>
      <c r="L1664" s="30"/>
      <c r="M1664" s="30"/>
      <c r="N1664" s="30"/>
      <c r="O1664" s="30"/>
      <c r="P1664" s="30"/>
      <c r="Q1664" s="30"/>
      <c r="R1664" s="30"/>
      <c r="S1664" s="30"/>
      <c r="T1664" s="30"/>
      <c r="U1664" s="30"/>
      <c r="V1664" s="30"/>
      <c r="W1664" s="30"/>
      <c r="X1664" s="30"/>
    </row>
    <row r="1665">
      <c r="A1665" s="30"/>
      <c r="B1665" s="30"/>
      <c r="C1665" s="30"/>
      <c r="D1665" s="30"/>
      <c r="E1665" s="30"/>
      <c r="F1665" s="30"/>
      <c r="G1665" s="30"/>
      <c r="H1665" s="30"/>
      <c r="I1665" s="30"/>
      <c r="J1665" s="30"/>
      <c r="K1665" s="30"/>
      <c r="L1665" s="30"/>
      <c r="M1665" s="30"/>
      <c r="N1665" s="30"/>
      <c r="O1665" s="30"/>
      <c r="P1665" s="30"/>
      <c r="Q1665" s="30"/>
      <c r="R1665" s="30"/>
      <c r="S1665" s="30"/>
      <c r="T1665" s="30"/>
      <c r="U1665" s="30"/>
      <c r="V1665" s="30"/>
      <c r="W1665" s="30"/>
      <c r="X1665" s="30"/>
    </row>
    <row r="1666">
      <c r="A1666" s="30"/>
      <c r="B1666" s="30"/>
      <c r="C1666" s="30"/>
      <c r="D1666" s="30"/>
      <c r="E1666" s="30"/>
      <c r="F1666" s="30"/>
      <c r="G1666" s="30"/>
      <c r="H1666" s="30"/>
      <c r="I1666" s="30"/>
      <c r="J1666" s="30"/>
      <c r="K1666" s="30"/>
      <c r="L1666" s="30"/>
      <c r="M1666" s="30"/>
      <c r="N1666" s="30"/>
      <c r="O1666" s="30"/>
      <c r="P1666" s="30"/>
      <c r="Q1666" s="30"/>
      <c r="R1666" s="30"/>
      <c r="S1666" s="30"/>
      <c r="T1666" s="30"/>
      <c r="U1666" s="30"/>
      <c r="V1666" s="30"/>
      <c r="W1666" s="30"/>
      <c r="X1666" s="30"/>
    </row>
    <row r="1667">
      <c r="A1667" s="30"/>
      <c r="B1667" s="30"/>
      <c r="C1667" s="30"/>
      <c r="D1667" s="30"/>
      <c r="E1667" s="30"/>
      <c r="F1667" s="30"/>
      <c r="G1667" s="30"/>
      <c r="H1667" s="30"/>
      <c r="I1667" s="30"/>
      <c r="J1667" s="30"/>
      <c r="K1667" s="30"/>
      <c r="L1667" s="30"/>
      <c r="M1667" s="30"/>
      <c r="N1667" s="30"/>
      <c r="O1667" s="30"/>
      <c r="P1667" s="30"/>
      <c r="Q1667" s="30"/>
      <c r="R1667" s="30"/>
      <c r="S1667" s="30"/>
      <c r="T1667" s="30"/>
      <c r="U1667" s="30"/>
      <c r="V1667" s="30"/>
      <c r="W1667" s="30"/>
      <c r="X1667" s="30"/>
    </row>
    <row r="1668">
      <c r="A1668" s="30"/>
      <c r="B1668" s="30"/>
      <c r="C1668" s="30"/>
      <c r="D1668" s="30"/>
      <c r="E1668" s="30"/>
      <c r="F1668" s="30"/>
      <c r="G1668" s="30"/>
      <c r="H1668" s="30"/>
      <c r="I1668" s="30"/>
      <c r="J1668" s="30"/>
      <c r="K1668" s="30"/>
      <c r="L1668" s="30"/>
      <c r="M1668" s="30"/>
      <c r="N1668" s="30"/>
      <c r="O1668" s="30"/>
      <c r="P1668" s="30"/>
      <c r="Q1668" s="30"/>
      <c r="R1668" s="30"/>
      <c r="S1668" s="30"/>
      <c r="T1668" s="30"/>
      <c r="U1668" s="30"/>
      <c r="V1668" s="30"/>
      <c r="W1668" s="30"/>
      <c r="X1668" s="30"/>
    </row>
    <row r="1669">
      <c r="A1669" s="30"/>
      <c r="B1669" s="30"/>
      <c r="C1669" s="30"/>
      <c r="D1669" s="30"/>
      <c r="E1669" s="30"/>
      <c r="F1669" s="30"/>
      <c r="G1669" s="30"/>
      <c r="H1669" s="30"/>
      <c r="I1669" s="30"/>
      <c r="J1669" s="30"/>
      <c r="K1669" s="30"/>
      <c r="L1669" s="30"/>
      <c r="M1669" s="30"/>
      <c r="N1669" s="30"/>
      <c r="O1669" s="30"/>
      <c r="P1669" s="30"/>
      <c r="Q1669" s="30"/>
      <c r="R1669" s="30"/>
      <c r="S1669" s="30"/>
      <c r="T1669" s="30"/>
      <c r="U1669" s="30"/>
      <c r="V1669" s="30"/>
      <c r="W1669" s="30"/>
      <c r="X1669" s="30"/>
    </row>
    <row r="1670">
      <c r="A1670" s="30"/>
      <c r="B1670" s="30"/>
      <c r="C1670" s="30"/>
      <c r="D1670" s="30"/>
      <c r="E1670" s="30"/>
      <c r="F1670" s="30"/>
      <c r="G1670" s="30"/>
      <c r="H1670" s="30"/>
      <c r="I1670" s="30"/>
      <c r="J1670" s="30"/>
      <c r="K1670" s="30"/>
      <c r="L1670" s="30"/>
      <c r="M1670" s="30"/>
      <c r="N1670" s="30"/>
      <c r="O1670" s="30"/>
      <c r="P1670" s="30"/>
      <c r="Q1670" s="30"/>
      <c r="R1670" s="30"/>
      <c r="S1670" s="30"/>
      <c r="T1670" s="30"/>
      <c r="U1670" s="30"/>
      <c r="V1670" s="30"/>
      <c r="W1670" s="30"/>
      <c r="X1670" s="30"/>
    </row>
    <row r="1671">
      <c r="A1671" s="30"/>
      <c r="B1671" s="30"/>
      <c r="C1671" s="30"/>
      <c r="D1671" s="30"/>
      <c r="E1671" s="30"/>
      <c r="F1671" s="30"/>
      <c r="G1671" s="30"/>
      <c r="H1671" s="30"/>
      <c r="I1671" s="30"/>
      <c r="J1671" s="30"/>
      <c r="K1671" s="30"/>
      <c r="L1671" s="30"/>
      <c r="M1671" s="30"/>
      <c r="N1671" s="30"/>
      <c r="O1671" s="30"/>
      <c r="P1671" s="30"/>
      <c r="Q1671" s="30"/>
      <c r="R1671" s="30"/>
      <c r="S1671" s="30"/>
      <c r="T1671" s="30"/>
      <c r="U1671" s="30"/>
      <c r="V1671" s="30"/>
      <c r="W1671" s="30"/>
      <c r="X1671" s="30"/>
    </row>
    <row r="1672">
      <c r="A1672" s="30"/>
      <c r="B1672" s="30"/>
      <c r="C1672" s="30"/>
      <c r="D1672" s="30"/>
      <c r="E1672" s="30"/>
      <c r="F1672" s="30"/>
      <c r="G1672" s="30"/>
      <c r="H1672" s="30"/>
      <c r="I1672" s="30"/>
      <c r="J1672" s="30"/>
      <c r="K1672" s="30"/>
      <c r="L1672" s="30"/>
      <c r="M1672" s="30"/>
      <c r="N1672" s="30"/>
      <c r="O1672" s="30"/>
      <c r="P1672" s="30"/>
      <c r="Q1672" s="30"/>
      <c r="R1672" s="30"/>
      <c r="S1672" s="30"/>
      <c r="T1672" s="30"/>
      <c r="U1672" s="30"/>
      <c r="V1672" s="30"/>
      <c r="W1672" s="30"/>
      <c r="X1672" s="30"/>
    </row>
    <row r="1673">
      <c r="A1673" s="30"/>
      <c r="B1673" s="30"/>
      <c r="C1673" s="30"/>
      <c r="D1673" s="30"/>
      <c r="E1673" s="30"/>
      <c r="F1673" s="30"/>
      <c r="G1673" s="30"/>
      <c r="H1673" s="30"/>
      <c r="I1673" s="30"/>
      <c r="J1673" s="30"/>
      <c r="K1673" s="30"/>
      <c r="L1673" s="30"/>
      <c r="M1673" s="30"/>
      <c r="N1673" s="30"/>
      <c r="O1673" s="30"/>
      <c r="P1673" s="30"/>
      <c r="Q1673" s="30"/>
      <c r="R1673" s="30"/>
      <c r="S1673" s="30"/>
      <c r="T1673" s="30"/>
      <c r="U1673" s="30"/>
      <c r="V1673" s="30"/>
      <c r="W1673" s="30"/>
      <c r="X1673" s="30"/>
    </row>
    <row r="1674">
      <c r="A1674" s="30"/>
      <c r="B1674" s="30"/>
      <c r="C1674" s="30"/>
      <c r="D1674" s="30"/>
      <c r="E1674" s="30"/>
      <c r="F1674" s="30"/>
      <c r="G1674" s="30"/>
      <c r="H1674" s="30"/>
      <c r="I1674" s="30"/>
      <c r="J1674" s="30"/>
      <c r="K1674" s="30"/>
      <c r="L1674" s="30"/>
      <c r="M1674" s="30"/>
      <c r="N1674" s="30"/>
      <c r="O1674" s="30"/>
      <c r="P1674" s="30"/>
      <c r="Q1674" s="30"/>
      <c r="R1674" s="30"/>
      <c r="S1674" s="30"/>
      <c r="T1674" s="30"/>
      <c r="U1674" s="30"/>
      <c r="V1674" s="30"/>
      <c r="W1674" s="30"/>
      <c r="X1674" s="30"/>
    </row>
    <row r="1675">
      <c r="A1675" s="30"/>
      <c r="B1675" s="30"/>
      <c r="C1675" s="30"/>
      <c r="D1675" s="30"/>
      <c r="E1675" s="30"/>
      <c r="F1675" s="30"/>
      <c r="G1675" s="30"/>
      <c r="H1675" s="30"/>
      <c r="I1675" s="30"/>
      <c r="J1675" s="30"/>
      <c r="K1675" s="30"/>
      <c r="L1675" s="30"/>
      <c r="M1675" s="30"/>
      <c r="N1675" s="30"/>
      <c r="O1675" s="30"/>
      <c r="P1675" s="30"/>
      <c r="Q1675" s="30"/>
      <c r="R1675" s="30"/>
      <c r="S1675" s="30"/>
      <c r="T1675" s="30"/>
      <c r="U1675" s="30"/>
      <c r="V1675" s="30"/>
      <c r="W1675" s="30"/>
      <c r="X1675" s="30"/>
    </row>
    <row r="1676">
      <c r="A1676" s="30"/>
      <c r="B1676" s="30"/>
      <c r="C1676" s="30"/>
      <c r="D1676" s="30"/>
      <c r="E1676" s="30"/>
      <c r="F1676" s="30"/>
      <c r="G1676" s="30"/>
      <c r="H1676" s="30"/>
      <c r="I1676" s="30"/>
      <c r="J1676" s="30"/>
      <c r="K1676" s="30"/>
      <c r="L1676" s="30"/>
      <c r="M1676" s="30"/>
      <c r="N1676" s="30"/>
      <c r="O1676" s="30"/>
      <c r="P1676" s="30"/>
      <c r="Q1676" s="30"/>
      <c r="R1676" s="30"/>
      <c r="S1676" s="30"/>
      <c r="T1676" s="30"/>
      <c r="U1676" s="30"/>
      <c r="V1676" s="30"/>
      <c r="W1676" s="30"/>
      <c r="X1676" s="30"/>
    </row>
    <row r="1677">
      <c r="A1677" s="30"/>
      <c r="B1677" s="30"/>
      <c r="C1677" s="30"/>
      <c r="D1677" s="30"/>
      <c r="E1677" s="30"/>
      <c r="F1677" s="30"/>
      <c r="G1677" s="30"/>
      <c r="H1677" s="30"/>
      <c r="I1677" s="30"/>
      <c r="J1677" s="30"/>
      <c r="K1677" s="30"/>
      <c r="L1677" s="30"/>
      <c r="M1677" s="30"/>
      <c r="N1677" s="30"/>
      <c r="O1677" s="30"/>
      <c r="P1677" s="30"/>
      <c r="Q1677" s="30"/>
      <c r="R1677" s="30"/>
      <c r="S1677" s="30"/>
      <c r="T1677" s="30"/>
      <c r="U1677" s="30"/>
      <c r="V1677" s="30"/>
      <c r="W1677" s="30"/>
      <c r="X1677" s="30"/>
    </row>
    <row r="1678">
      <c r="A1678" s="30"/>
      <c r="B1678" s="30"/>
      <c r="C1678" s="30"/>
      <c r="D1678" s="30"/>
      <c r="E1678" s="30"/>
      <c r="F1678" s="30"/>
      <c r="G1678" s="30"/>
      <c r="H1678" s="30"/>
      <c r="I1678" s="30"/>
      <c r="J1678" s="30"/>
      <c r="K1678" s="30"/>
      <c r="L1678" s="30"/>
      <c r="M1678" s="30"/>
      <c r="N1678" s="30"/>
      <c r="O1678" s="30"/>
      <c r="P1678" s="30"/>
      <c r="Q1678" s="30"/>
      <c r="R1678" s="30"/>
      <c r="S1678" s="30"/>
      <c r="T1678" s="30"/>
      <c r="U1678" s="30"/>
      <c r="V1678" s="30"/>
      <c r="W1678" s="30"/>
      <c r="X1678" s="30"/>
    </row>
    <row r="1679">
      <c r="A1679" s="30"/>
      <c r="B1679" s="30"/>
      <c r="C1679" s="30"/>
      <c r="D1679" s="30"/>
      <c r="E1679" s="30"/>
      <c r="F1679" s="30"/>
      <c r="G1679" s="30"/>
      <c r="H1679" s="30"/>
      <c r="I1679" s="30"/>
      <c r="J1679" s="30"/>
      <c r="K1679" s="30"/>
      <c r="L1679" s="30"/>
      <c r="M1679" s="30"/>
      <c r="N1679" s="30"/>
      <c r="O1679" s="30"/>
      <c r="P1679" s="30"/>
      <c r="Q1679" s="30"/>
      <c r="R1679" s="30"/>
      <c r="S1679" s="30"/>
      <c r="T1679" s="30"/>
      <c r="U1679" s="30"/>
      <c r="V1679" s="30"/>
      <c r="W1679" s="30"/>
      <c r="X1679" s="30"/>
    </row>
    <row r="1680">
      <c r="A1680" s="30"/>
      <c r="B1680" s="30"/>
      <c r="C1680" s="30"/>
      <c r="D1680" s="30"/>
      <c r="E1680" s="30"/>
      <c r="F1680" s="30"/>
      <c r="G1680" s="30"/>
      <c r="H1680" s="30"/>
      <c r="I1680" s="30"/>
      <c r="J1680" s="30"/>
      <c r="K1680" s="30"/>
      <c r="L1680" s="30"/>
      <c r="M1680" s="30"/>
      <c r="N1680" s="30"/>
      <c r="O1680" s="30"/>
      <c r="P1680" s="30"/>
      <c r="Q1680" s="30"/>
      <c r="R1680" s="30"/>
      <c r="S1680" s="30"/>
      <c r="T1680" s="30"/>
      <c r="U1680" s="30"/>
      <c r="V1680" s="30"/>
      <c r="W1680" s="30"/>
      <c r="X1680" s="30"/>
    </row>
    <row r="1681">
      <c r="A1681" s="30"/>
      <c r="B1681" s="30"/>
      <c r="C1681" s="30"/>
      <c r="D1681" s="30"/>
      <c r="E1681" s="30"/>
      <c r="F1681" s="30"/>
      <c r="G1681" s="30"/>
      <c r="H1681" s="30"/>
      <c r="I1681" s="30"/>
      <c r="J1681" s="30"/>
      <c r="K1681" s="30"/>
      <c r="L1681" s="30"/>
      <c r="M1681" s="30"/>
      <c r="N1681" s="30"/>
      <c r="O1681" s="30"/>
      <c r="P1681" s="30"/>
      <c r="Q1681" s="30"/>
      <c r="R1681" s="30"/>
      <c r="S1681" s="30"/>
      <c r="T1681" s="30"/>
      <c r="U1681" s="30"/>
      <c r="V1681" s="30"/>
      <c r="W1681" s="30"/>
      <c r="X1681" s="30"/>
    </row>
    <row r="1682">
      <c r="A1682" s="30"/>
      <c r="B1682" s="30"/>
      <c r="C1682" s="30"/>
      <c r="D1682" s="30"/>
      <c r="E1682" s="30"/>
      <c r="F1682" s="30"/>
      <c r="G1682" s="30"/>
      <c r="H1682" s="30"/>
      <c r="I1682" s="30"/>
      <c r="J1682" s="30"/>
      <c r="K1682" s="30"/>
      <c r="L1682" s="30"/>
      <c r="M1682" s="30"/>
      <c r="N1682" s="30"/>
      <c r="O1682" s="30"/>
      <c r="P1682" s="30"/>
      <c r="Q1682" s="30"/>
      <c r="R1682" s="30"/>
      <c r="S1682" s="30"/>
      <c r="T1682" s="30"/>
      <c r="U1682" s="30"/>
      <c r="V1682" s="30"/>
      <c r="W1682" s="30"/>
      <c r="X1682" s="30"/>
    </row>
    <row r="1683">
      <c r="A1683" s="30"/>
      <c r="B1683" s="30"/>
      <c r="C1683" s="30"/>
      <c r="D1683" s="30"/>
      <c r="E1683" s="30"/>
      <c r="F1683" s="30"/>
      <c r="G1683" s="30"/>
      <c r="H1683" s="30"/>
      <c r="I1683" s="30"/>
      <c r="J1683" s="30"/>
      <c r="K1683" s="30"/>
      <c r="L1683" s="30"/>
      <c r="M1683" s="30"/>
      <c r="N1683" s="30"/>
      <c r="O1683" s="30"/>
      <c r="P1683" s="30"/>
      <c r="Q1683" s="30"/>
      <c r="R1683" s="30"/>
      <c r="S1683" s="30"/>
      <c r="T1683" s="30"/>
      <c r="U1683" s="30"/>
      <c r="V1683" s="30"/>
      <c r="W1683" s="30"/>
      <c r="X1683" s="30"/>
    </row>
    <row r="1684">
      <c r="A1684" s="30"/>
      <c r="B1684" s="30"/>
      <c r="C1684" s="30"/>
      <c r="D1684" s="30"/>
      <c r="E1684" s="30"/>
      <c r="F1684" s="30"/>
      <c r="G1684" s="30"/>
      <c r="H1684" s="30"/>
      <c r="I1684" s="30"/>
      <c r="J1684" s="30"/>
      <c r="K1684" s="30"/>
      <c r="L1684" s="30"/>
      <c r="M1684" s="30"/>
      <c r="N1684" s="30"/>
      <c r="O1684" s="30"/>
      <c r="P1684" s="30"/>
      <c r="Q1684" s="30"/>
      <c r="R1684" s="30"/>
      <c r="S1684" s="30"/>
      <c r="T1684" s="30"/>
      <c r="U1684" s="30"/>
      <c r="V1684" s="30"/>
      <c r="W1684" s="30"/>
      <c r="X1684" s="30"/>
    </row>
    <row r="1685">
      <c r="A1685" s="30"/>
      <c r="B1685" s="30"/>
      <c r="C1685" s="30"/>
      <c r="D1685" s="30"/>
      <c r="E1685" s="30"/>
      <c r="F1685" s="30"/>
      <c r="G1685" s="30"/>
      <c r="H1685" s="30"/>
      <c r="I1685" s="30"/>
      <c r="J1685" s="30"/>
      <c r="K1685" s="30"/>
      <c r="L1685" s="30"/>
      <c r="M1685" s="30"/>
      <c r="N1685" s="30"/>
      <c r="O1685" s="30"/>
      <c r="P1685" s="30"/>
      <c r="Q1685" s="30"/>
      <c r="R1685" s="30"/>
      <c r="S1685" s="30"/>
      <c r="T1685" s="30"/>
      <c r="U1685" s="30"/>
      <c r="V1685" s="30"/>
      <c r="W1685" s="30"/>
      <c r="X1685" s="30"/>
    </row>
    <row r="1686">
      <c r="A1686" s="30"/>
      <c r="B1686" s="30"/>
      <c r="C1686" s="30"/>
      <c r="D1686" s="30"/>
      <c r="E1686" s="30"/>
      <c r="F1686" s="30"/>
      <c r="G1686" s="30"/>
      <c r="H1686" s="30"/>
      <c r="I1686" s="30"/>
      <c r="J1686" s="30"/>
      <c r="K1686" s="30"/>
      <c r="L1686" s="30"/>
      <c r="M1686" s="30"/>
      <c r="N1686" s="30"/>
      <c r="O1686" s="30"/>
      <c r="P1686" s="30"/>
      <c r="Q1686" s="30"/>
      <c r="R1686" s="30"/>
      <c r="S1686" s="30"/>
      <c r="T1686" s="30"/>
      <c r="U1686" s="30"/>
      <c r="V1686" s="30"/>
      <c r="W1686" s="30"/>
      <c r="X1686" s="30"/>
    </row>
    <row r="1687">
      <c r="A1687" s="30"/>
      <c r="B1687" s="30"/>
      <c r="C1687" s="30"/>
      <c r="D1687" s="30"/>
      <c r="E1687" s="30"/>
      <c r="F1687" s="30"/>
      <c r="G1687" s="30"/>
      <c r="H1687" s="30"/>
      <c r="I1687" s="30"/>
      <c r="J1687" s="30"/>
      <c r="K1687" s="30"/>
      <c r="L1687" s="30"/>
      <c r="M1687" s="30"/>
      <c r="N1687" s="30"/>
      <c r="O1687" s="30"/>
      <c r="P1687" s="30"/>
      <c r="Q1687" s="30"/>
      <c r="R1687" s="30"/>
      <c r="S1687" s="30"/>
      <c r="T1687" s="30"/>
      <c r="U1687" s="30"/>
      <c r="V1687" s="30"/>
      <c r="W1687" s="30"/>
      <c r="X1687" s="30"/>
    </row>
    <row r="1688">
      <c r="A1688" s="30"/>
      <c r="B1688" s="30"/>
      <c r="C1688" s="30"/>
      <c r="D1688" s="30"/>
      <c r="E1688" s="30"/>
      <c r="F1688" s="30"/>
      <c r="G1688" s="30"/>
      <c r="H1688" s="30"/>
      <c r="I1688" s="30"/>
      <c r="J1688" s="30"/>
      <c r="K1688" s="30"/>
      <c r="L1688" s="30"/>
      <c r="M1688" s="30"/>
      <c r="N1688" s="30"/>
      <c r="O1688" s="30"/>
      <c r="P1688" s="30"/>
      <c r="Q1688" s="30"/>
      <c r="R1688" s="30"/>
      <c r="S1688" s="30"/>
      <c r="T1688" s="30"/>
      <c r="U1688" s="30"/>
      <c r="V1688" s="30"/>
      <c r="W1688" s="30"/>
      <c r="X1688" s="30"/>
    </row>
    <row r="1689">
      <c r="A1689" s="30"/>
      <c r="B1689" s="30"/>
      <c r="C1689" s="30"/>
      <c r="D1689" s="30"/>
      <c r="E1689" s="30"/>
      <c r="F1689" s="30"/>
      <c r="G1689" s="30"/>
      <c r="H1689" s="30"/>
      <c r="I1689" s="30"/>
      <c r="J1689" s="30"/>
      <c r="K1689" s="30"/>
      <c r="L1689" s="30"/>
      <c r="M1689" s="30"/>
      <c r="N1689" s="30"/>
      <c r="O1689" s="30"/>
      <c r="P1689" s="30"/>
      <c r="Q1689" s="30"/>
      <c r="R1689" s="30"/>
      <c r="S1689" s="30"/>
      <c r="T1689" s="30"/>
      <c r="U1689" s="30"/>
      <c r="V1689" s="30"/>
      <c r="W1689" s="30"/>
      <c r="X1689" s="30"/>
    </row>
    <row r="1690">
      <c r="A1690" s="30"/>
      <c r="B1690" s="30"/>
      <c r="C1690" s="30"/>
      <c r="D1690" s="30"/>
      <c r="E1690" s="30"/>
      <c r="F1690" s="30"/>
      <c r="G1690" s="30"/>
      <c r="H1690" s="30"/>
      <c r="I1690" s="30"/>
      <c r="J1690" s="30"/>
      <c r="K1690" s="30"/>
      <c r="L1690" s="30"/>
      <c r="M1690" s="30"/>
      <c r="N1690" s="30"/>
      <c r="O1690" s="30"/>
      <c r="P1690" s="30"/>
      <c r="Q1690" s="30"/>
      <c r="R1690" s="30"/>
      <c r="S1690" s="30"/>
      <c r="T1690" s="30"/>
      <c r="U1690" s="30"/>
      <c r="V1690" s="30"/>
      <c r="W1690" s="30"/>
      <c r="X1690" s="30"/>
    </row>
    <row r="1691">
      <c r="A1691" s="30"/>
      <c r="B1691" s="30"/>
      <c r="C1691" s="30"/>
      <c r="D1691" s="30"/>
      <c r="E1691" s="30"/>
      <c r="F1691" s="30"/>
      <c r="G1691" s="30"/>
      <c r="H1691" s="30"/>
      <c r="I1691" s="30"/>
      <c r="J1691" s="30"/>
      <c r="K1691" s="30"/>
      <c r="L1691" s="30"/>
      <c r="M1691" s="30"/>
      <c r="N1691" s="30"/>
      <c r="O1691" s="30"/>
      <c r="P1691" s="30"/>
      <c r="Q1691" s="30"/>
      <c r="R1691" s="30"/>
      <c r="S1691" s="30"/>
      <c r="T1691" s="30"/>
      <c r="U1691" s="30"/>
      <c r="V1691" s="30"/>
      <c r="W1691" s="30"/>
      <c r="X1691" s="30"/>
    </row>
    <row r="1692">
      <c r="A1692" s="30"/>
      <c r="B1692" s="30"/>
      <c r="C1692" s="30"/>
      <c r="D1692" s="30"/>
      <c r="E1692" s="30"/>
      <c r="F1692" s="30"/>
      <c r="G1692" s="30"/>
      <c r="H1692" s="30"/>
      <c r="I1692" s="30"/>
      <c r="J1692" s="30"/>
      <c r="K1692" s="30"/>
      <c r="L1692" s="30"/>
      <c r="M1692" s="30"/>
      <c r="N1692" s="30"/>
      <c r="O1692" s="30"/>
      <c r="P1692" s="30"/>
      <c r="Q1692" s="30"/>
      <c r="R1692" s="30"/>
      <c r="S1692" s="30"/>
      <c r="T1692" s="30"/>
      <c r="U1692" s="30"/>
      <c r="V1692" s="30"/>
      <c r="W1692" s="30"/>
      <c r="X1692" s="30"/>
    </row>
    <row r="1693">
      <c r="A1693" s="30"/>
      <c r="B1693" s="30"/>
      <c r="C1693" s="30"/>
      <c r="D1693" s="30"/>
      <c r="E1693" s="30"/>
      <c r="F1693" s="30"/>
      <c r="G1693" s="30"/>
      <c r="H1693" s="30"/>
      <c r="I1693" s="30"/>
      <c r="J1693" s="30"/>
      <c r="K1693" s="30"/>
      <c r="L1693" s="30"/>
      <c r="M1693" s="30"/>
      <c r="N1693" s="30"/>
      <c r="O1693" s="30"/>
      <c r="P1693" s="30"/>
      <c r="Q1693" s="30"/>
      <c r="R1693" s="30"/>
      <c r="S1693" s="30"/>
      <c r="T1693" s="30"/>
      <c r="U1693" s="30"/>
      <c r="V1693" s="30"/>
      <c r="W1693" s="30"/>
      <c r="X1693" s="30"/>
    </row>
    <row r="1694">
      <c r="A1694" s="30"/>
      <c r="B1694" s="30"/>
      <c r="C1694" s="30"/>
      <c r="D1694" s="30"/>
      <c r="E1694" s="30"/>
      <c r="F1694" s="30"/>
      <c r="G1694" s="30"/>
      <c r="H1694" s="30"/>
      <c r="I1694" s="30"/>
      <c r="J1694" s="30"/>
      <c r="K1694" s="30"/>
      <c r="L1694" s="30"/>
      <c r="M1694" s="30"/>
      <c r="N1694" s="30"/>
      <c r="O1694" s="30"/>
      <c r="P1694" s="30"/>
      <c r="Q1694" s="30"/>
      <c r="R1694" s="30"/>
      <c r="S1694" s="30"/>
      <c r="T1694" s="30"/>
      <c r="U1694" s="30"/>
      <c r="V1694" s="30"/>
      <c r="W1694" s="30"/>
      <c r="X1694" s="30"/>
    </row>
    <row r="1695">
      <c r="A1695" s="30"/>
      <c r="B1695" s="30"/>
      <c r="C1695" s="30"/>
      <c r="D1695" s="30"/>
      <c r="E1695" s="30"/>
      <c r="F1695" s="30"/>
      <c r="G1695" s="30"/>
      <c r="H1695" s="30"/>
      <c r="I1695" s="30"/>
      <c r="J1695" s="30"/>
      <c r="K1695" s="30"/>
      <c r="L1695" s="30"/>
      <c r="M1695" s="30"/>
      <c r="N1695" s="30"/>
      <c r="O1695" s="30"/>
      <c r="P1695" s="30"/>
      <c r="Q1695" s="30"/>
      <c r="R1695" s="30"/>
      <c r="S1695" s="30"/>
      <c r="T1695" s="30"/>
      <c r="U1695" s="30"/>
      <c r="V1695" s="30"/>
      <c r="W1695" s="30"/>
      <c r="X1695" s="30"/>
    </row>
    <row r="1696">
      <c r="A1696" s="30"/>
      <c r="B1696" s="30"/>
      <c r="C1696" s="30"/>
      <c r="D1696" s="30"/>
      <c r="E1696" s="30"/>
      <c r="F1696" s="30"/>
      <c r="G1696" s="30"/>
      <c r="H1696" s="30"/>
      <c r="I1696" s="30"/>
      <c r="J1696" s="30"/>
      <c r="K1696" s="30"/>
      <c r="L1696" s="30"/>
      <c r="M1696" s="30"/>
      <c r="N1696" s="30"/>
      <c r="O1696" s="30"/>
      <c r="P1696" s="30"/>
      <c r="Q1696" s="30"/>
      <c r="R1696" s="30"/>
      <c r="S1696" s="30"/>
      <c r="T1696" s="30"/>
      <c r="U1696" s="30"/>
      <c r="V1696" s="30"/>
      <c r="W1696" s="30"/>
      <c r="X1696" s="30"/>
    </row>
    <row r="1697">
      <c r="A1697" s="30"/>
      <c r="B1697" s="30"/>
      <c r="C1697" s="30"/>
      <c r="D1697" s="30"/>
      <c r="E1697" s="30"/>
      <c r="F1697" s="30"/>
      <c r="G1697" s="30"/>
      <c r="H1697" s="30"/>
      <c r="I1697" s="30"/>
      <c r="J1697" s="30"/>
      <c r="K1697" s="30"/>
      <c r="L1697" s="30"/>
      <c r="M1697" s="30"/>
      <c r="N1697" s="30"/>
      <c r="O1697" s="30"/>
      <c r="P1697" s="30"/>
      <c r="Q1697" s="30"/>
      <c r="R1697" s="30"/>
      <c r="S1697" s="30"/>
      <c r="T1697" s="30"/>
      <c r="U1697" s="30"/>
      <c r="V1697" s="30"/>
      <c r="W1697" s="30"/>
      <c r="X1697" s="30"/>
    </row>
    <row r="1698">
      <c r="A1698" s="30"/>
      <c r="B1698" s="30"/>
      <c r="C1698" s="30"/>
      <c r="D1698" s="30"/>
      <c r="E1698" s="30"/>
      <c r="F1698" s="30"/>
      <c r="G1698" s="30"/>
      <c r="H1698" s="30"/>
      <c r="I1698" s="30"/>
      <c r="J1698" s="30"/>
      <c r="K1698" s="30"/>
      <c r="L1698" s="30"/>
      <c r="M1698" s="30"/>
      <c r="N1698" s="30"/>
      <c r="O1698" s="30"/>
      <c r="P1698" s="30"/>
      <c r="Q1698" s="30"/>
      <c r="R1698" s="30"/>
      <c r="S1698" s="30"/>
      <c r="T1698" s="30"/>
      <c r="U1698" s="30"/>
      <c r="V1698" s="30"/>
      <c r="W1698" s="30"/>
      <c r="X1698" s="30"/>
    </row>
    <row r="1699">
      <c r="A1699" s="30"/>
      <c r="B1699" s="30"/>
      <c r="C1699" s="30"/>
      <c r="D1699" s="30"/>
      <c r="E1699" s="30"/>
      <c r="F1699" s="30"/>
      <c r="G1699" s="30"/>
      <c r="H1699" s="30"/>
      <c r="I1699" s="30"/>
      <c r="J1699" s="30"/>
      <c r="K1699" s="30"/>
      <c r="L1699" s="30"/>
      <c r="M1699" s="30"/>
      <c r="N1699" s="30"/>
      <c r="O1699" s="30"/>
      <c r="P1699" s="30"/>
      <c r="Q1699" s="30"/>
      <c r="R1699" s="30"/>
      <c r="S1699" s="30"/>
      <c r="T1699" s="30"/>
      <c r="U1699" s="30"/>
      <c r="V1699" s="30"/>
      <c r="W1699" s="30"/>
      <c r="X1699" s="30"/>
    </row>
    <row r="1700">
      <c r="A1700" s="30"/>
      <c r="B1700" s="30"/>
      <c r="C1700" s="30"/>
      <c r="D1700" s="30"/>
      <c r="E1700" s="30"/>
      <c r="F1700" s="30"/>
      <c r="G1700" s="30"/>
      <c r="H1700" s="30"/>
      <c r="I1700" s="30"/>
      <c r="J1700" s="30"/>
      <c r="K1700" s="30"/>
      <c r="L1700" s="30"/>
      <c r="M1700" s="30"/>
      <c r="N1700" s="30"/>
      <c r="O1700" s="30"/>
      <c r="P1700" s="30"/>
      <c r="Q1700" s="30"/>
      <c r="R1700" s="30"/>
      <c r="S1700" s="30"/>
      <c r="T1700" s="30"/>
      <c r="U1700" s="30"/>
      <c r="V1700" s="30"/>
      <c r="W1700" s="30"/>
      <c r="X1700" s="30"/>
    </row>
    <row r="1701">
      <c r="A1701" s="30"/>
      <c r="B1701" s="30"/>
      <c r="C1701" s="30"/>
      <c r="D1701" s="30"/>
      <c r="E1701" s="30"/>
      <c r="F1701" s="30"/>
      <c r="G1701" s="30"/>
      <c r="H1701" s="30"/>
      <c r="I1701" s="30"/>
      <c r="J1701" s="30"/>
      <c r="K1701" s="30"/>
      <c r="L1701" s="30"/>
      <c r="M1701" s="30"/>
      <c r="N1701" s="30"/>
      <c r="O1701" s="30"/>
      <c r="P1701" s="30"/>
      <c r="Q1701" s="30"/>
      <c r="R1701" s="30"/>
      <c r="S1701" s="30"/>
      <c r="T1701" s="30"/>
      <c r="U1701" s="30"/>
      <c r="V1701" s="30"/>
      <c r="W1701" s="30"/>
      <c r="X1701" s="30"/>
    </row>
    <row r="1702">
      <c r="A1702" s="30"/>
      <c r="B1702" s="30"/>
      <c r="C1702" s="30"/>
      <c r="D1702" s="30"/>
      <c r="E1702" s="30"/>
      <c r="F1702" s="30"/>
      <c r="G1702" s="30"/>
      <c r="H1702" s="30"/>
      <c r="I1702" s="30"/>
      <c r="J1702" s="30"/>
      <c r="K1702" s="30"/>
      <c r="L1702" s="30"/>
      <c r="M1702" s="30"/>
      <c r="N1702" s="30"/>
      <c r="O1702" s="30"/>
      <c r="P1702" s="30"/>
      <c r="Q1702" s="30"/>
      <c r="R1702" s="30"/>
      <c r="S1702" s="30"/>
      <c r="T1702" s="30"/>
      <c r="U1702" s="30"/>
      <c r="V1702" s="30"/>
      <c r="W1702" s="30"/>
      <c r="X1702" s="30"/>
    </row>
    <row r="1703">
      <c r="A1703" s="30"/>
      <c r="B1703" s="30"/>
      <c r="C1703" s="30"/>
      <c r="D1703" s="30"/>
      <c r="E1703" s="30"/>
      <c r="F1703" s="30"/>
      <c r="G1703" s="30"/>
      <c r="H1703" s="30"/>
      <c r="I1703" s="30"/>
      <c r="J1703" s="30"/>
      <c r="K1703" s="30"/>
      <c r="L1703" s="30"/>
      <c r="M1703" s="30"/>
      <c r="N1703" s="30"/>
      <c r="O1703" s="30"/>
      <c r="P1703" s="30"/>
      <c r="Q1703" s="30"/>
      <c r="R1703" s="30"/>
      <c r="S1703" s="30"/>
      <c r="T1703" s="30"/>
      <c r="U1703" s="30"/>
      <c r="V1703" s="30"/>
      <c r="W1703" s="30"/>
      <c r="X1703" s="30"/>
    </row>
    <row r="1704">
      <c r="A1704" s="30"/>
      <c r="B1704" s="30"/>
      <c r="C1704" s="30"/>
      <c r="D1704" s="30"/>
      <c r="E1704" s="30"/>
      <c r="F1704" s="30"/>
      <c r="G1704" s="30"/>
      <c r="H1704" s="30"/>
      <c r="I1704" s="30"/>
      <c r="J1704" s="30"/>
      <c r="K1704" s="30"/>
      <c r="L1704" s="30"/>
      <c r="M1704" s="30"/>
      <c r="N1704" s="30"/>
      <c r="O1704" s="30"/>
      <c r="P1704" s="30"/>
      <c r="Q1704" s="30"/>
      <c r="R1704" s="30"/>
      <c r="S1704" s="30"/>
      <c r="T1704" s="30"/>
      <c r="U1704" s="30"/>
      <c r="V1704" s="30"/>
      <c r="W1704" s="30"/>
      <c r="X1704" s="30"/>
    </row>
    <row r="1705">
      <c r="A1705" s="30"/>
      <c r="B1705" s="30"/>
      <c r="C1705" s="30"/>
      <c r="D1705" s="30"/>
      <c r="E1705" s="30"/>
      <c r="F1705" s="30"/>
      <c r="G1705" s="30"/>
      <c r="H1705" s="30"/>
      <c r="I1705" s="30"/>
      <c r="J1705" s="30"/>
      <c r="K1705" s="30"/>
      <c r="L1705" s="30"/>
      <c r="M1705" s="30"/>
      <c r="N1705" s="30"/>
      <c r="O1705" s="30"/>
      <c r="P1705" s="30"/>
      <c r="Q1705" s="30"/>
      <c r="R1705" s="30"/>
      <c r="S1705" s="30"/>
      <c r="T1705" s="30"/>
      <c r="U1705" s="30"/>
      <c r="V1705" s="30"/>
      <c r="W1705" s="30"/>
      <c r="X1705" s="30"/>
    </row>
    <row r="1706">
      <c r="A1706" s="30"/>
      <c r="B1706" s="30"/>
      <c r="C1706" s="30"/>
      <c r="D1706" s="30"/>
      <c r="E1706" s="30"/>
      <c r="F1706" s="30"/>
      <c r="G1706" s="30"/>
      <c r="H1706" s="30"/>
      <c r="I1706" s="30"/>
      <c r="J1706" s="30"/>
      <c r="K1706" s="30"/>
      <c r="L1706" s="30"/>
      <c r="M1706" s="30"/>
      <c r="N1706" s="30"/>
      <c r="O1706" s="30"/>
      <c r="P1706" s="30"/>
      <c r="Q1706" s="30"/>
      <c r="R1706" s="30"/>
      <c r="S1706" s="30"/>
      <c r="T1706" s="30"/>
      <c r="U1706" s="30"/>
      <c r="V1706" s="30"/>
      <c r="W1706" s="30"/>
      <c r="X1706" s="30"/>
    </row>
    <row r="1707">
      <c r="A1707" s="30"/>
      <c r="B1707" s="30"/>
      <c r="C1707" s="30"/>
      <c r="D1707" s="30"/>
      <c r="E1707" s="30"/>
      <c r="F1707" s="30"/>
      <c r="G1707" s="30"/>
      <c r="H1707" s="30"/>
      <c r="I1707" s="30"/>
      <c r="J1707" s="30"/>
      <c r="K1707" s="30"/>
      <c r="L1707" s="30"/>
      <c r="M1707" s="30"/>
      <c r="N1707" s="30"/>
      <c r="O1707" s="30"/>
      <c r="P1707" s="30"/>
      <c r="Q1707" s="30"/>
      <c r="R1707" s="30"/>
      <c r="S1707" s="30"/>
      <c r="T1707" s="30"/>
      <c r="U1707" s="30"/>
      <c r="V1707" s="30"/>
      <c r="W1707" s="30"/>
      <c r="X1707" s="30"/>
    </row>
    <row r="1708">
      <c r="A1708" s="30"/>
      <c r="B1708" s="30"/>
      <c r="C1708" s="30"/>
      <c r="D1708" s="30"/>
      <c r="E1708" s="30"/>
      <c r="F1708" s="30"/>
      <c r="G1708" s="30"/>
      <c r="H1708" s="30"/>
      <c r="I1708" s="30"/>
      <c r="J1708" s="30"/>
      <c r="K1708" s="30"/>
      <c r="L1708" s="30"/>
      <c r="M1708" s="30"/>
      <c r="N1708" s="30"/>
      <c r="O1708" s="30"/>
      <c r="P1708" s="30"/>
      <c r="Q1708" s="30"/>
      <c r="R1708" s="30"/>
      <c r="S1708" s="30"/>
      <c r="T1708" s="30"/>
      <c r="U1708" s="30"/>
      <c r="V1708" s="30"/>
      <c r="W1708" s="30"/>
      <c r="X1708" s="30"/>
    </row>
    <row r="1709">
      <c r="A1709" s="30"/>
      <c r="B1709" s="30"/>
      <c r="C1709" s="30"/>
      <c r="D1709" s="30"/>
      <c r="E1709" s="30"/>
      <c r="F1709" s="30"/>
      <c r="G1709" s="30"/>
      <c r="H1709" s="30"/>
      <c r="I1709" s="30"/>
      <c r="J1709" s="30"/>
      <c r="K1709" s="30"/>
      <c r="L1709" s="30"/>
      <c r="M1709" s="30"/>
      <c r="N1709" s="30"/>
      <c r="O1709" s="30"/>
      <c r="P1709" s="30"/>
      <c r="Q1709" s="30"/>
      <c r="R1709" s="30"/>
      <c r="S1709" s="30"/>
      <c r="T1709" s="30"/>
      <c r="U1709" s="30"/>
      <c r="V1709" s="30"/>
      <c r="W1709" s="30"/>
      <c r="X1709" s="30"/>
    </row>
    <row r="1710">
      <c r="A1710" s="30"/>
      <c r="B1710" s="30"/>
      <c r="C1710" s="30"/>
      <c r="D1710" s="30"/>
      <c r="E1710" s="30"/>
      <c r="F1710" s="30"/>
      <c r="G1710" s="30"/>
      <c r="H1710" s="30"/>
      <c r="I1710" s="30"/>
      <c r="J1710" s="30"/>
      <c r="K1710" s="30"/>
      <c r="L1710" s="30"/>
      <c r="M1710" s="30"/>
      <c r="N1710" s="30"/>
      <c r="O1710" s="30"/>
      <c r="P1710" s="30"/>
      <c r="Q1710" s="30"/>
      <c r="R1710" s="30"/>
      <c r="S1710" s="30"/>
      <c r="T1710" s="30"/>
      <c r="U1710" s="30"/>
      <c r="V1710" s="30"/>
      <c r="W1710" s="30"/>
      <c r="X1710" s="30"/>
    </row>
    <row r="1711">
      <c r="A1711" s="30"/>
      <c r="B1711" s="30"/>
      <c r="C1711" s="30"/>
      <c r="D1711" s="30"/>
      <c r="E1711" s="30"/>
      <c r="F1711" s="30"/>
      <c r="G1711" s="30"/>
      <c r="H1711" s="30"/>
      <c r="I1711" s="30"/>
      <c r="J1711" s="30"/>
      <c r="K1711" s="30"/>
      <c r="L1711" s="30"/>
      <c r="M1711" s="30"/>
      <c r="N1711" s="30"/>
      <c r="O1711" s="30"/>
      <c r="P1711" s="30"/>
      <c r="Q1711" s="30"/>
      <c r="R1711" s="30"/>
      <c r="S1711" s="30"/>
      <c r="T1711" s="30"/>
      <c r="U1711" s="30"/>
      <c r="V1711" s="30"/>
      <c r="W1711" s="30"/>
      <c r="X1711" s="30"/>
    </row>
    <row r="1712">
      <c r="A1712" s="30"/>
      <c r="B1712" s="30"/>
      <c r="C1712" s="30"/>
      <c r="D1712" s="30"/>
      <c r="E1712" s="30"/>
      <c r="F1712" s="30"/>
      <c r="G1712" s="30"/>
      <c r="H1712" s="30"/>
      <c r="I1712" s="30"/>
      <c r="J1712" s="30"/>
      <c r="K1712" s="30"/>
      <c r="L1712" s="30"/>
      <c r="M1712" s="30"/>
      <c r="N1712" s="30"/>
      <c r="O1712" s="30"/>
      <c r="P1712" s="30"/>
      <c r="Q1712" s="30"/>
      <c r="R1712" s="30"/>
      <c r="S1712" s="30"/>
      <c r="T1712" s="30"/>
      <c r="U1712" s="30"/>
      <c r="V1712" s="30"/>
      <c r="W1712" s="30"/>
      <c r="X1712" s="30"/>
    </row>
    <row r="1713">
      <c r="A1713" s="30"/>
      <c r="B1713" s="30"/>
      <c r="C1713" s="30"/>
      <c r="D1713" s="30"/>
      <c r="E1713" s="30"/>
      <c r="F1713" s="30"/>
      <c r="G1713" s="30"/>
      <c r="H1713" s="30"/>
      <c r="I1713" s="30"/>
      <c r="J1713" s="30"/>
      <c r="K1713" s="30"/>
      <c r="L1713" s="30"/>
      <c r="M1713" s="30"/>
      <c r="N1713" s="30"/>
      <c r="O1713" s="30"/>
      <c r="P1713" s="30"/>
      <c r="Q1713" s="30"/>
      <c r="R1713" s="30"/>
      <c r="S1713" s="30"/>
      <c r="T1713" s="30"/>
      <c r="U1713" s="30"/>
      <c r="V1713" s="30"/>
      <c r="W1713" s="30"/>
      <c r="X1713" s="30"/>
    </row>
    <row r="1714">
      <c r="A1714" s="30"/>
      <c r="B1714" s="30"/>
      <c r="C1714" s="30"/>
      <c r="D1714" s="30"/>
      <c r="E1714" s="30"/>
      <c r="F1714" s="30"/>
      <c r="G1714" s="30"/>
      <c r="H1714" s="30"/>
      <c r="I1714" s="30"/>
      <c r="J1714" s="30"/>
      <c r="K1714" s="30"/>
      <c r="L1714" s="30"/>
      <c r="M1714" s="30"/>
      <c r="N1714" s="30"/>
      <c r="O1714" s="30"/>
      <c r="P1714" s="30"/>
      <c r="Q1714" s="30"/>
      <c r="R1714" s="30"/>
      <c r="S1714" s="30"/>
      <c r="T1714" s="30"/>
      <c r="U1714" s="30"/>
      <c r="V1714" s="30"/>
      <c r="W1714" s="30"/>
      <c r="X1714" s="30"/>
    </row>
    <row r="1715">
      <c r="A1715" s="30"/>
      <c r="B1715" s="30"/>
      <c r="C1715" s="30"/>
      <c r="D1715" s="30"/>
      <c r="E1715" s="30"/>
      <c r="F1715" s="30"/>
      <c r="G1715" s="30"/>
      <c r="H1715" s="30"/>
      <c r="I1715" s="30"/>
      <c r="J1715" s="30"/>
      <c r="K1715" s="30"/>
      <c r="L1715" s="30"/>
      <c r="M1715" s="30"/>
      <c r="N1715" s="30"/>
      <c r="O1715" s="30"/>
      <c r="P1715" s="30"/>
      <c r="Q1715" s="30"/>
      <c r="R1715" s="30"/>
      <c r="S1715" s="30"/>
      <c r="T1715" s="30"/>
      <c r="U1715" s="30"/>
      <c r="V1715" s="30"/>
      <c r="W1715" s="30"/>
      <c r="X1715" s="30"/>
    </row>
    <row r="1716">
      <c r="A1716" s="30"/>
      <c r="B1716" s="30"/>
      <c r="C1716" s="30"/>
      <c r="D1716" s="30"/>
      <c r="E1716" s="30"/>
      <c r="F1716" s="30"/>
      <c r="G1716" s="30"/>
      <c r="H1716" s="30"/>
      <c r="I1716" s="30"/>
      <c r="J1716" s="30"/>
      <c r="K1716" s="30"/>
      <c r="L1716" s="30"/>
      <c r="M1716" s="30"/>
      <c r="N1716" s="30"/>
      <c r="O1716" s="30"/>
      <c r="P1716" s="30"/>
      <c r="Q1716" s="30"/>
      <c r="R1716" s="30"/>
      <c r="S1716" s="30"/>
      <c r="T1716" s="30"/>
      <c r="U1716" s="30"/>
      <c r="V1716" s="30"/>
      <c r="W1716" s="30"/>
      <c r="X1716" s="30"/>
    </row>
    <row r="1717">
      <c r="A1717" s="30"/>
      <c r="B1717" s="30"/>
      <c r="C1717" s="30"/>
      <c r="D1717" s="30"/>
      <c r="E1717" s="30"/>
      <c r="F1717" s="30"/>
      <c r="G1717" s="30"/>
      <c r="H1717" s="30"/>
      <c r="I1717" s="30"/>
      <c r="J1717" s="30"/>
      <c r="K1717" s="30"/>
      <c r="L1717" s="30"/>
      <c r="M1717" s="30"/>
      <c r="N1717" s="30"/>
      <c r="O1717" s="30"/>
      <c r="P1717" s="30"/>
      <c r="Q1717" s="30"/>
      <c r="R1717" s="30"/>
      <c r="S1717" s="30"/>
      <c r="T1717" s="30"/>
      <c r="U1717" s="30"/>
      <c r="V1717" s="30"/>
      <c r="W1717" s="30"/>
      <c r="X1717" s="30"/>
    </row>
    <row r="1718">
      <c r="A1718" s="30"/>
      <c r="B1718" s="30"/>
      <c r="C1718" s="30"/>
      <c r="D1718" s="30"/>
      <c r="E1718" s="30"/>
      <c r="F1718" s="30"/>
      <c r="G1718" s="30"/>
      <c r="H1718" s="30"/>
      <c r="I1718" s="30"/>
      <c r="J1718" s="30"/>
      <c r="K1718" s="30"/>
      <c r="L1718" s="30"/>
      <c r="M1718" s="30"/>
      <c r="N1718" s="30"/>
      <c r="O1718" s="30"/>
      <c r="P1718" s="30"/>
      <c r="Q1718" s="30"/>
      <c r="R1718" s="30"/>
      <c r="S1718" s="30"/>
      <c r="T1718" s="30"/>
      <c r="U1718" s="30"/>
      <c r="V1718" s="30"/>
      <c r="W1718" s="30"/>
      <c r="X1718" s="30"/>
    </row>
    <row r="1719">
      <c r="A1719" s="30"/>
      <c r="B1719" s="30"/>
      <c r="C1719" s="30"/>
      <c r="D1719" s="30"/>
      <c r="E1719" s="30"/>
      <c r="F1719" s="30"/>
      <c r="G1719" s="30"/>
      <c r="H1719" s="30"/>
      <c r="I1719" s="30"/>
      <c r="J1719" s="30"/>
      <c r="K1719" s="30"/>
      <c r="L1719" s="30"/>
      <c r="M1719" s="30"/>
      <c r="N1719" s="30"/>
      <c r="O1719" s="30"/>
      <c r="P1719" s="30"/>
      <c r="Q1719" s="30"/>
      <c r="R1719" s="30"/>
      <c r="S1719" s="30"/>
      <c r="T1719" s="30"/>
      <c r="U1719" s="30"/>
      <c r="V1719" s="30"/>
      <c r="W1719" s="30"/>
      <c r="X1719" s="30"/>
    </row>
    <row r="1720">
      <c r="A1720" s="30"/>
      <c r="B1720" s="30"/>
      <c r="C1720" s="30"/>
      <c r="D1720" s="30"/>
      <c r="E1720" s="30"/>
      <c r="F1720" s="30"/>
      <c r="G1720" s="30"/>
      <c r="H1720" s="30"/>
      <c r="I1720" s="30"/>
      <c r="J1720" s="30"/>
      <c r="K1720" s="30"/>
      <c r="L1720" s="30"/>
      <c r="M1720" s="30"/>
      <c r="N1720" s="30"/>
      <c r="O1720" s="30"/>
      <c r="P1720" s="30"/>
      <c r="Q1720" s="30"/>
      <c r="R1720" s="30"/>
      <c r="S1720" s="30"/>
      <c r="T1720" s="30"/>
      <c r="U1720" s="30"/>
      <c r="V1720" s="30"/>
      <c r="W1720" s="30"/>
      <c r="X1720" s="30"/>
    </row>
    <row r="1721">
      <c r="A1721" s="30"/>
      <c r="B1721" s="30"/>
      <c r="C1721" s="30"/>
      <c r="D1721" s="30"/>
      <c r="E1721" s="30"/>
      <c r="F1721" s="30"/>
      <c r="G1721" s="30"/>
      <c r="H1721" s="30"/>
      <c r="I1721" s="30"/>
      <c r="J1721" s="30"/>
      <c r="K1721" s="30"/>
      <c r="L1721" s="30"/>
      <c r="M1721" s="30"/>
      <c r="N1721" s="30"/>
      <c r="O1721" s="30"/>
      <c r="P1721" s="30"/>
      <c r="Q1721" s="30"/>
      <c r="R1721" s="30"/>
      <c r="S1721" s="30"/>
      <c r="T1721" s="30"/>
      <c r="U1721" s="30"/>
      <c r="V1721" s="30"/>
      <c r="W1721" s="30"/>
      <c r="X1721" s="30"/>
    </row>
    <row r="1722">
      <c r="A1722" s="30"/>
      <c r="B1722" s="30"/>
      <c r="C1722" s="30"/>
      <c r="D1722" s="30"/>
      <c r="E1722" s="30"/>
      <c r="F1722" s="30"/>
      <c r="G1722" s="30"/>
      <c r="H1722" s="30"/>
      <c r="I1722" s="30"/>
      <c r="J1722" s="30"/>
      <c r="K1722" s="30"/>
      <c r="L1722" s="30"/>
      <c r="M1722" s="30"/>
      <c r="N1722" s="30"/>
      <c r="O1722" s="30"/>
      <c r="P1722" s="30"/>
      <c r="Q1722" s="30"/>
      <c r="R1722" s="30"/>
      <c r="S1722" s="30"/>
      <c r="T1722" s="30"/>
      <c r="U1722" s="30"/>
      <c r="V1722" s="30"/>
      <c r="W1722" s="30"/>
      <c r="X1722" s="30"/>
    </row>
    <row r="1723">
      <c r="A1723" s="30"/>
      <c r="B1723" s="30"/>
      <c r="C1723" s="30"/>
      <c r="D1723" s="30"/>
      <c r="E1723" s="30"/>
      <c r="F1723" s="30"/>
      <c r="G1723" s="30"/>
      <c r="H1723" s="30"/>
      <c r="I1723" s="30"/>
      <c r="J1723" s="30"/>
      <c r="K1723" s="30"/>
      <c r="L1723" s="30"/>
      <c r="M1723" s="30"/>
      <c r="N1723" s="30"/>
      <c r="O1723" s="30"/>
      <c r="P1723" s="30"/>
      <c r="Q1723" s="30"/>
      <c r="R1723" s="30"/>
      <c r="S1723" s="30"/>
      <c r="T1723" s="30"/>
      <c r="U1723" s="30"/>
      <c r="V1723" s="30"/>
      <c r="W1723" s="30"/>
      <c r="X1723" s="30"/>
    </row>
    <row r="1724">
      <c r="A1724" s="30"/>
      <c r="B1724" s="30"/>
      <c r="C1724" s="30"/>
      <c r="D1724" s="30"/>
      <c r="E1724" s="30"/>
      <c r="F1724" s="30"/>
      <c r="G1724" s="30"/>
      <c r="H1724" s="30"/>
      <c r="I1724" s="30"/>
      <c r="J1724" s="30"/>
      <c r="K1724" s="30"/>
      <c r="L1724" s="30"/>
      <c r="M1724" s="30"/>
      <c r="N1724" s="30"/>
      <c r="O1724" s="30"/>
      <c r="P1724" s="30"/>
      <c r="Q1724" s="30"/>
      <c r="R1724" s="30"/>
      <c r="S1724" s="30"/>
      <c r="T1724" s="30"/>
      <c r="U1724" s="30"/>
      <c r="V1724" s="30"/>
      <c r="W1724" s="30"/>
      <c r="X1724" s="30"/>
    </row>
    <row r="1725">
      <c r="A1725" s="30"/>
      <c r="B1725" s="30"/>
      <c r="C1725" s="30"/>
      <c r="D1725" s="30"/>
      <c r="E1725" s="30"/>
      <c r="F1725" s="30"/>
      <c r="G1725" s="30"/>
      <c r="H1725" s="30"/>
      <c r="I1725" s="30"/>
      <c r="J1725" s="30"/>
      <c r="K1725" s="30"/>
      <c r="L1725" s="30"/>
      <c r="M1725" s="30"/>
      <c r="N1725" s="30"/>
      <c r="O1725" s="30"/>
      <c r="P1725" s="30"/>
      <c r="Q1725" s="30"/>
      <c r="R1725" s="30"/>
      <c r="S1725" s="30"/>
      <c r="T1725" s="30"/>
      <c r="U1725" s="30"/>
      <c r="V1725" s="30"/>
      <c r="W1725" s="30"/>
      <c r="X1725" s="30"/>
    </row>
    <row r="1726">
      <c r="A1726" s="30"/>
      <c r="B1726" s="30"/>
      <c r="C1726" s="30"/>
      <c r="D1726" s="30"/>
      <c r="E1726" s="30"/>
      <c r="F1726" s="30"/>
      <c r="G1726" s="30"/>
      <c r="H1726" s="30"/>
      <c r="I1726" s="30"/>
      <c r="J1726" s="30"/>
      <c r="K1726" s="30"/>
      <c r="L1726" s="30"/>
      <c r="M1726" s="30"/>
      <c r="N1726" s="30"/>
      <c r="O1726" s="30"/>
      <c r="P1726" s="30"/>
      <c r="Q1726" s="30"/>
      <c r="R1726" s="30"/>
      <c r="S1726" s="30"/>
      <c r="T1726" s="30"/>
      <c r="U1726" s="30"/>
      <c r="V1726" s="30"/>
      <c r="W1726" s="30"/>
      <c r="X1726" s="30"/>
    </row>
    <row r="1727">
      <c r="A1727" s="30"/>
      <c r="B1727" s="30"/>
      <c r="C1727" s="30"/>
      <c r="D1727" s="30"/>
      <c r="E1727" s="30"/>
      <c r="F1727" s="30"/>
      <c r="G1727" s="30"/>
      <c r="H1727" s="30"/>
      <c r="I1727" s="30"/>
      <c r="J1727" s="30"/>
      <c r="K1727" s="30"/>
      <c r="L1727" s="30"/>
      <c r="M1727" s="30"/>
      <c r="N1727" s="30"/>
      <c r="O1727" s="30"/>
      <c r="P1727" s="30"/>
      <c r="Q1727" s="30"/>
      <c r="R1727" s="30"/>
      <c r="S1727" s="30"/>
      <c r="T1727" s="30"/>
      <c r="U1727" s="30"/>
      <c r="V1727" s="30"/>
      <c r="W1727" s="30"/>
      <c r="X1727" s="30"/>
    </row>
    <row r="1728">
      <c r="A1728" s="30"/>
      <c r="B1728" s="30"/>
      <c r="C1728" s="30"/>
      <c r="D1728" s="30"/>
      <c r="E1728" s="30"/>
      <c r="F1728" s="30"/>
      <c r="G1728" s="30"/>
      <c r="H1728" s="30"/>
      <c r="I1728" s="30"/>
      <c r="J1728" s="30"/>
      <c r="K1728" s="30"/>
      <c r="L1728" s="30"/>
      <c r="M1728" s="30"/>
      <c r="N1728" s="30"/>
      <c r="O1728" s="30"/>
      <c r="P1728" s="30"/>
      <c r="Q1728" s="30"/>
      <c r="R1728" s="30"/>
      <c r="S1728" s="30"/>
      <c r="T1728" s="30"/>
      <c r="U1728" s="30"/>
      <c r="V1728" s="30"/>
      <c r="W1728" s="30"/>
      <c r="X1728" s="30"/>
    </row>
    <row r="1729">
      <c r="A1729" s="30"/>
      <c r="B1729" s="30"/>
      <c r="C1729" s="30"/>
      <c r="D1729" s="30"/>
      <c r="E1729" s="30"/>
      <c r="F1729" s="30"/>
      <c r="G1729" s="30"/>
      <c r="H1729" s="30"/>
      <c r="I1729" s="30"/>
      <c r="J1729" s="30"/>
      <c r="K1729" s="30"/>
      <c r="L1729" s="30"/>
      <c r="M1729" s="30"/>
      <c r="N1729" s="30"/>
      <c r="O1729" s="30"/>
      <c r="P1729" s="30"/>
      <c r="Q1729" s="30"/>
      <c r="R1729" s="30"/>
      <c r="S1729" s="30"/>
      <c r="T1729" s="30"/>
      <c r="U1729" s="30"/>
      <c r="V1729" s="30"/>
      <c r="W1729" s="30"/>
      <c r="X1729" s="30"/>
    </row>
    <row r="1730">
      <c r="A1730" s="30"/>
      <c r="B1730" s="30"/>
      <c r="C1730" s="30"/>
      <c r="D1730" s="30"/>
      <c r="E1730" s="30"/>
      <c r="F1730" s="30"/>
      <c r="G1730" s="30"/>
      <c r="H1730" s="30"/>
      <c r="I1730" s="30"/>
      <c r="J1730" s="30"/>
      <c r="K1730" s="30"/>
      <c r="L1730" s="30"/>
      <c r="M1730" s="30"/>
      <c r="N1730" s="30"/>
      <c r="O1730" s="30"/>
      <c r="P1730" s="30"/>
      <c r="Q1730" s="30"/>
      <c r="R1730" s="30"/>
      <c r="S1730" s="30"/>
      <c r="T1730" s="30"/>
      <c r="U1730" s="30"/>
      <c r="V1730" s="30"/>
      <c r="W1730" s="30"/>
      <c r="X1730" s="30"/>
    </row>
    <row r="1731">
      <c r="A1731" s="30"/>
      <c r="B1731" s="30"/>
      <c r="C1731" s="30"/>
      <c r="D1731" s="30"/>
      <c r="E1731" s="30"/>
      <c r="F1731" s="30"/>
      <c r="G1731" s="30"/>
      <c r="H1731" s="30"/>
      <c r="I1731" s="30"/>
      <c r="J1731" s="30"/>
      <c r="K1731" s="30"/>
      <c r="L1731" s="30"/>
      <c r="M1731" s="30"/>
      <c r="N1731" s="30"/>
      <c r="O1731" s="30"/>
      <c r="P1731" s="30"/>
      <c r="Q1731" s="30"/>
      <c r="R1731" s="30"/>
      <c r="S1731" s="30"/>
      <c r="T1731" s="30"/>
      <c r="U1731" s="30"/>
      <c r="V1731" s="30"/>
      <c r="W1731" s="30"/>
      <c r="X1731" s="30"/>
    </row>
    <row r="1732">
      <c r="A1732" s="30"/>
      <c r="B1732" s="30"/>
      <c r="C1732" s="30"/>
      <c r="D1732" s="30"/>
      <c r="E1732" s="30"/>
      <c r="F1732" s="30"/>
      <c r="G1732" s="30"/>
      <c r="H1732" s="30"/>
      <c r="I1732" s="30"/>
      <c r="J1732" s="30"/>
      <c r="K1732" s="30"/>
      <c r="L1732" s="30"/>
      <c r="M1732" s="30"/>
      <c r="N1732" s="30"/>
      <c r="O1732" s="30"/>
      <c r="P1732" s="30"/>
      <c r="Q1732" s="30"/>
      <c r="R1732" s="30"/>
      <c r="S1732" s="30"/>
      <c r="T1732" s="30"/>
      <c r="U1732" s="30"/>
      <c r="V1732" s="30"/>
      <c r="W1732" s="30"/>
      <c r="X1732" s="30"/>
    </row>
    <row r="1733">
      <c r="A1733" s="30"/>
      <c r="B1733" s="30"/>
      <c r="C1733" s="30"/>
      <c r="D1733" s="30"/>
      <c r="E1733" s="30"/>
      <c r="F1733" s="30"/>
      <c r="G1733" s="30"/>
      <c r="H1733" s="30"/>
      <c r="I1733" s="30"/>
      <c r="J1733" s="30"/>
      <c r="K1733" s="30"/>
      <c r="L1733" s="30"/>
      <c r="M1733" s="30"/>
      <c r="N1733" s="30"/>
      <c r="O1733" s="30"/>
      <c r="P1733" s="30"/>
      <c r="Q1733" s="30"/>
      <c r="R1733" s="30"/>
      <c r="S1733" s="30"/>
      <c r="T1733" s="30"/>
      <c r="U1733" s="30"/>
      <c r="V1733" s="30"/>
      <c r="W1733" s="30"/>
      <c r="X1733" s="30"/>
    </row>
    <row r="1734">
      <c r="A1734" s="30"/>
      <c r="B1734" s="30"/>
      <c r="C1734" s="30"/>
      <c r="D1734" s="30"/>
      <c r="E1734" s="30"/>
      <c r="F1734" s="30"/>
      <c r="G1734" s="30"/>
      <c r="H1734" s="30"/>
      <c r="I1734" s="30"/>
      <c r="J1734" s="30"/>
      <c r="K1734" s="30"/>
      <c r="L1734" s="30"/>
      <c r="M1734" s="30"/>
      <c r="N1734" s="30"/>
      <c r="O1734" s="30"/>
      <c r="P1734" s="30"/>
      <c r="Q1734" s="30"/>
      <c r="R1734" s="30"/>
      <c r="S1734" s="30"/>
      <c r="T1734" s="30"/>
      <c r="U1734" s="30"/>
      <c r="V1734" s="30"/>
      <c r="W1734" s="30"/>
      <c r="X1734" s="30"/>
    </row>
    <row r="1735">
      <c r="A1735" s="30"/>
      <c r="B1735" s="30"/>
      <c r="C1735" s="30"/>
      <c r="D1735" s="30"/>
      <c r="E1735" s="30"/>
      <c r="F1735" s="30"/>
      <c r="G1735" s="30"/>
      <c r="H1735" s="30"/>
      <c r="I1735" s="30"/>
      <c r="J1735" s="30"/>
      <c r="K1735" s="30"/>
      <c r="L1735" s="30"/>
      <c r="M1735" s="30"/>
      <c r="N1735" s="30"/>
      <c r="O1735" s="30"/>
      <c r="P1735" s="30"/>
      <c r="Q1735" s="30"/>
      <c r="R1735" s="30"/>
      <c r="S1735" s="30"/>
      <c r="T1735" s="30"/>
      <c r="U1735" s="30"/>
      <c r="V1735" s="30"/>
      <c r="W1735" s="30"/>
      <c r="X1735" s="30"/>
    </row>
    <row r="1736">
      <c r="A1736" s="30"/>
      <c r="B1736" s="30"/>
      <c r="C1736" s="30"/>
      <c r="D1736" s="30"/>
      <c r="E1736" s="30"/>
      <c r="F1736" s="30"/>
      <c r="G1736" s="30"/>
      <c r="H1736" s="30"/>
      <c r="I1736" s="30"/>
      <c r="J1736" s="30"/>
      <c r="K1736" s="30"/>
      <c r="L1736" s="30"/>
      <c r="M1736" s="30"/>
      <c r="N1736" s="30"/>
      <c r="O1736" s="30"/>
      <c r="P1736" s="30"/>
      <c r="Q1736" s="30"/>
      <c r="R1736" s="30"/>
      <c r="S1736" s="30"/>
      <c r="T1736" s="30"/>
      <c r="U1736" s="30"/>
      <c r="V1736" s="30"/>
      <c r="W1736" s="30"/>
      <c r="X1736" s="30"/>
    </row>
    <row r="1737">
      <c r="A1737" s="30"/>
      <c r="B1737" s="30"/>
      <c r="C1737" s="30"/>
      <c r="D1737" s="30"/>
      <c r="E1737" s="30"/>
      <c r="F1737" s="30"/>
      <c r="G1737" s="30"/>
      <c r="H1737" s="30"/>
      <c r="I1737" s="30"/>
      <c r="J1737" s="30"/>
      <c r="K1737" s="30"/>
      <c r="L1737" s="30"/>
      <c r="M1737" s="30"/>
      <c r="N1737" s="30"/>
      <c r="O1737" s="30"/>
      <c r="P1737" s="30"/>
      <c r="Q1737" s="30"/>
      <c r="R1737" s="30"/>
      <c r="S1737" s="30"/>
      <c r="T1737" s="30"/>
      <c r="U1737" s="30"/>
      <c r="V1737" s="30"/>
      <c r="W1737" s="30"/>
      <c r="X1737" s="30"/>
    </row>
    <row r="1738">
      <c r="A1738" s="30"/>
      <c r="B1738" s="30"/>
      <c r="C1738" s="30"/>
      <c r="D1738" s="30"/>
      <c r="E1738" s="30"/>
      <c r="F1738" s="30"/>
      <c r="G1738" s="30"/>
      <c r="H1738" s="30"/>
      <c r="I1738" s="30"/>
      <c r="J1738" s="30"/>
      <c r="K1738" s="30"/>
      <c r="L1738" s="30"/>
      <c r="M1738" s="30"/>
      <c r="N1738" s="30"/>
      <c r="O1738" s="30"/>
      <c r="P1738" s="30"/>
      <c r="Q1738" s="30"/>
      <c r="R1738" s="30"/>
      <c r="S1738" s="30"/>
      <c r="T1738" s="30"/>
      <c r="U1738" s="30"/>
      <c r="V1738" s="30"/>
      <c r="W1738" s="30"/>
      <c r="X1738" s="30"/>
    </row>
    <row r="1739">
      <c r="A1739" s="30"/>
      <c r="B1739" s="30"/>
      <c r="C1739" s="30"/>
      <c r="D1739" s="30"/>
      <c r="E1739" s="30"/>
      <c r="F1739" s="30"/>
      <c r="G1739" s="30"/>
      <c r="H1739" s="30"/>
      <c r="I1739" s="30"/>
      <c r="J1739" s="30"/>
      <c r="K1739" s="30"/>
      <c r="L1739" s="30"/>
      <c r="M1739" s="30"/>
      <c r="N1739" s="30"/>
      <c r="O1739" s="30"/>
      <c r="P1739" s="30"/>
      <c r="Q1739" s="30"/>
      <c r="R1739" s="30"/>
      <c r="S1739" s="30"/>
      <c r="T1739" s="30"/>
      <c r="U1739" s="30"/>
      <c r="V1739" s="30"/>
      <c r="W1739" s="30"/>
      <c r="X1739" s="30"/>
    </row>
    <row r="1740">
      <c r="A1740" s="30"/>
      <c r="B1740" s="30"/>
      <c r="C1740" s="30"/>
      <c r="D1740" s="30"/>
      <c r="E1740" s="30"/>
      <c r="F1740" s="30"/>
      <c r="G1740" s="30"/>
      <c r="H1740" s="30"/>
      <c r="I1740" s="30"/>
      <c r="J1740" s="30"/>
      <c r="K1740" s="30"/>
      <c r="L1740" s="30"/>
      <c r="M1740" s="30"/>
      <c r="N1740" s="30"/>
      <c r="O1740" s="30"/>
      <c r="P1740" s="30"/>
      <c r="Q1740" s="30"/>
      <c r="R1740" s="30"/>
      <c r="S1740" s="30"/>
      <c r="T1740" s="30"/>
      <c r="U1740" s="30"/>
      <c r="V1740" s="30"/>
      <c r="W1740" s="30"/>
      <c r="X1740" s="30"/>
    </row>
    <row r="1741">
      <c r="A1741" s="30"/>
      <c r="B1741" s="30"/>
      <c r="C1741" s="30"/>
      <c r="D1741" s="30"/>
      <c r="E1741" s="30"/>
      <c r="F1741" s="30"/>
      <c r="G1741" s="30"/>
      <c r="H1741" s="30"/>
      <c r="I1741" s="30"/>
      <c r="J1741" s="30"/>
      <c r="K1741" s="30"/>
      <c r="L1741" s="30"/>
      <c r="M1741" s="30"/>
      <c r="N1741" s="30"/>
      <c r="O1741" s="30"/>
      <c r="P1741" s="30"/>
      <c r="Q1741" s="30"/>
      <c r="R1741" s="30"/>
      <c r="S1741" s="30"/>
      <c r="T1741" s="30"/>
      <c r="U1741" s="30"/>
      <c r="V1741" s="30"/>
      <c r="W1741" s="30"/>
      <c r="X1741" s="30"/>
    </row>
    <row r="1742">
      <c r="A1742" s="30"/>
      <c r="B1742" s="30"/>
      <c r="C1742" s="30"/>
      <c r="D1742" s="30"/>
      <c r="E1742" s="30"/>
      <c r="F1742" s="30"/>
      <c r="G1742" s="30"/>
      <c r="H1742" s="30"/>
      <c r="I1742" s="30"/>
      <c r="J1742" s="30"/>
      <c r="K1742" s="30"/>
      <c r="L1742" s="30"/>
      <c r="M1742" s="30"/>
      <c r="N1742" s="30"/>
      <c r="O1742" s="30"/>
      <c r="P1742" s="30"/>
      <c r="Q1742" s="30"/>
      <c r="R1742" s="30"/>
      <c r="S1742" s="30"/>
      <c r="T1742" s="30"/>
      <c r="U1742" s="30"/>
      <c r="V1742" s="30"/>
      <c r="W1742" s="30"/>
      <c r="X1742" s="30"/>
    </row>
    <row r="1743">
      <c r="A1743" s="30"/>
      <c r="B1743" s="30"/>
      <c r="C1743" s="30"/>
      <c r="D1743" s="30"/>
      <c r="E1743" s="30"/>
      <c r="F1743" s="30"/>
      <c r="G1743" s="30"/>
      <c r="H1743" s="30"/>
      <c r="I1743" s="30"/>
      <c r="J1743" s="30"/>
      <c r="K1743" s="30"/>
      <c r="L1743" s="30"/>
      <c r="M1743" s="30"/>
      <c r="N1743" s="30"/>
      <c r="O1743" s="30"/>
      <c r="P1743" s="30"/>
      <c r="Q1743" s="30"/>
      <c r="R1743" s="30"/>
      <c r="S1743" s="30"/>
      <c r="T1743" s="30"/>
      <c r="U1743" s="30"/>
      <c r="V1743" s="30"/>
      <c r="W1743" s="30"/>
      <c r="X1743" s="30"/>
    </row>
    <row r="1744">
      <c r="A1744" s="30"/>
      <c r="B1744" s="30"/>
      <c r="C1744" s="30"/>
      <c r="D1744" s="30"/>
      <c r="E1744" s="30"/>
      <c r="F1744" s="30"/>
      <c r="G1744" s="30"/>
      <c r="H1744" s="30"/>
      <c r="I1744" s="30"/>
      <c r="J1744" s="30"/>
      <c r="K1744" s="30"/>
      <c r="L1744" s="30"/>
      <c r="M1744" s="30"/>
      <c r="N1744" s="30"/>
      <c r="O1744" s="30"/>
      <c r="P1744" s="30"/>
      <c r="Q1744" s="30"/>
      <c r="R1744" s="30"/>
      <c r="S1744" s="30"/>
      <c r="T1744" s="30"/>
      <c r="U1744" s="30"/>
      <c r="V1744" s="30"/>
      <c r="W1744" s="30"/>
      <c r="X1744" s="30"/>
    </row>
    <row r="1745">
      <c r="A1745" s="30"/>
      <c r="B1745" s="30"/>
      <c r="C1745" s="30"/>
      <c r="D1745" s="30"/>
      <c r="E1745" s="30"/>
      <c r="F1745" s="30"/>
      <c r="G1745" s="30"/>
      <c r="H1745" s="30"/>
      <c r="I1745" s="30"/>
      <c r="J1745" s="30"/>
      <c r="K1745" s="30"/>
      <c r="L1745" s="30"/>
      <c r="M1745" s="30"/>
      <c r="N1745" s="30"/>
      <c r="O1745" s="30"/>
      <c r="P1745" s="30"/>
      <c r="Q1745" s="30"/>
      <c r="R1745" s="30"/>
      <c r="S1745" s="30"/>
      <c r="T1745" s="30"/>
      <c r="U1745" s="30"/>
      <c r="V1745" s="30"/>
      <c r="W1745" s="30"/>
      <c r="X1745" s="30"/>
    </row>
    <row r="1746">
      <c r="A1746" s="30"/>
      <c r="B1746" s="30"/>
      <c r="C1746" s="30"/>
      <c r="D1746" s="30"/>
      <c r="E1746" s="30"/>
      <c r="F1746" s="30"/>
      <c r="G1746" s="30"/>
      <c r="H1746" s="30"/>
      <c r="I1746" s="30"/>
      <c r="J1746" s="30"/>
      <c r="K1746" s="30"/>
      <c r="L1746" s="30"/>
      <c r="M1746" s="30"/>
      <c r="N1746" s="30"/>
      <c r="O1746" s="30"/>
      <c r="P1746" s="30"/>
      <c r="Q1746" s="30"/>
      <c r="R1746" s="30"/>
      <c r="S1746" s="30"/>
      <c r="T1746" s="30"/>
      <c r="U1746" s="30"/>
      <c r="V1746" s="30"/>
      <c r="W1746" s="30"/>
      <c r="X1746" s="30"/>
    </row>
    <row r="1747">
      <c r="A1747" s="30"/>
      <c r="B1747" s="30"/>
      <c r="C1747" s="30"/>
      <c r="D1747" s="30"/>
      <c r="E1747" s="30"/>
      <c r="F1747" s="30"/>
      <c r="G1747" s="30"/>
      <c r="H1747" s="30"/>
      <c r="I1747" s="30"/>
      <c r="J1747" s="30"/>
      <c r="K1747" s="30"/>
      <c r="L1747" s="30"/>
      <c r="M1747" s="30"/>
      <c r="N1747" s="30"/>
      <c r="O1747" s="30"/>
      <c r="P1747" s="30"/>
      <c r="Q1747" s="30"/>
      <c r="R1747" s="30"/>
      <c r="S1747" s="30"/>
      <c r="T1747" s="30"/>
      <c r="U1747" s="30"/>
      <c r="V1747" s="30"/>
      <c r="W1747" s="30"/>
      <c r="X1747" s="30"/>
    </row>
    <row r="1748">
      <c r="A1748" s="30"/>
      <c r="B1748" s="30"/>
      <c r="C1748" s="30"/>
      <c r="D1748" s="30"/>
      <c r="E1748" s="30"/>
      <c r="F1748" s="30"/>
      <c r="G1748" s="30"/>
      <c r="H1748" s="30"/>
      <c r="I1748" s="30"/>
      <c r="J1748" s="30"/>
      <c r="K1748" s="30"/>
      <c r="L1748" s="30"/>
      <c r="M1748" s="30"/>
      <c r="N1748" s="30"/>
      <c r="O1748" s="30"/>
      <c r="P1748" s="30"/>
      <c r="Q1748" s="30"/>
      <c r="R1748" s="30"/>
      <c r="S1748" s="30"/>
      <c r="T1748" s="30"/>
      <c r="U1748" s="30"/>
      <c r="V1748" s="30"/>
      <c r="W1748" s="30"/>
      <c r="X1748" s="30"/>
    </row>
    <row r="1749">
      <c r="A1749" s="30"/>
      <c r="B1749" s="30"/>
      <c r="C1749" s="30"/>
      <c r="D1749" s="30"/>
      <c r="E1749" s="30"/>
      <c r="F1749" s="30"/>
      <c r="G1749" s="30"/>
      <c r="H1749" s="30"/>
      <c r="I1749" s="30"/>
      <c r="J1749" s="30"/>
      <c r="K1749" s="30"/>
      <c r="L1749" s="30"/>
      <c r="M1749" s="30"/>
      <c r="N1749" s="30"/>
      <c r="O1749" s="30"/>
      <c r="P1749" s="30"/>
      <c r="Q1749" s="30"/>
      <c r="R1749" s="30"/>
      <c r="S1749" s="30"/>
      <c r="T1749" s="30"/>
      <c r="U1749" s="30"/>
      <c r="V1749" s="30"/>
      <c r="W1749" s="30"/>
      <c r="X1749" s="30"/>
    </row>
    <row r="1750">
      <c r="A1750" s="30"/>
      <c r="B1750" s="30"/>
      <c r="C1750" s="30"/>
      <c r="D1750" s="30"/>
      <c r="E1750" s="30"/>
      <c r="F1750" s="30"/>
      <c r="G1750" s="30"/>
      <c r="H1750" s="30"/>
      <c r="I1750" s="30"/>
      <c r="J1750" s="30"/>
      <c r="K1750" s="30"/>
      <c r="L1750" s="30"/>
      <c r="M1750" s="30"/>
      <c r="N1750" s="30"/>
      <c r="O1750" s="30"/>
      <c r="P1750" s="30"/>
      <c r="Q1750" s="30"/>
      <c r="R1750" s="30"/>
      <c r="S1750" s="30"/>
      <c r="T1750" s="30"/>
      <c r="U1750" s="30"/>
      <c r="V1750" s="30"/>
      <c r="W1750" s="30"/>
      <c r="X1750" s="30"/>
    </row>
    <row r="1751">
      <c r="A1751" s="30"/>
      <c r="B1751" s="30"/>
      <c r="C1751" s="30"/>
      <c r="D1751" s="30"/>
      <c r="E1751" s="30"/>
      <c r="F1751" s="30"/>
      <c r="G1751" s="30"/>
      <c r="H1751" s="30"/>
      <c r="I1751" s="30"/>
      <c r="J1751" s="30"/>
      <c r="K1751" s="30"/>
      <c r="L1751" s="30"/>
      <c r="M1751" s="30"/>
      <c r="N1751" s="30"/>
      <c r="O1751" s="30"/>
      <c r="P1751" s="30"/>
      <c r="Q1751" s="30"/>
      <c r="R1751" s="30"/>
      <c r="S1751" s="30"/>
      <c r="T1751" s="30"/>
      <c r="U1751" s="30"/>
      <c r="V1751" s="30"/>
      <c r="W1751" s="30"/>
      <c r="X1751" s="30"/>
    </row>
    <row r="1752">
      <c r="A1752" s="30"/>
      <c r="B1752" s="30"/>
      <c r="C1752" s="30"/>
      <c r="D1752" s="30"/>
      <c r="E1752" s="30"/>
      <c r="F1752" s="30"/>
      <c r="G1752" s="30"/>
      <c r="H1752" s="30"/>
      <c r="I1752" s="30"/>
      <c r="J1752" s="30"/>
      <c r="K1752" s="30"/>
      <c r="L1752" s="30"/>
      <c r="M1752" s="30"/>
      <c r="N1752" s="30"/>
      <c r="O1752" s="30"/>
      <c r="P1752" s="30"/>
      <c r="Q1752" s="30"/>
      <c r="R1752" s="30"/>
      <c r="S1752" s="30"/>
      <c r="T1752" s="30"/>
      <c r="U1752" s="30"/>
      <c r="V1752" s="30"/>
      <c r="W1752" s="30"/>
      <c r="X1752" s="30"/>
    </row>
    <row r="1753">
      <c r="A1753" s="30"/>
      <c r="B1753" s="30"/>
      <c r="C1753" s="30"/>
      <c r="D1753" s="30"/>
      <c r="E1753" s="30"/>
      <c r="F1753" s="30"/>
      <c r="G1753" s="30"/>
      <c r="H1753" s="30"/>
      <c r="I1753" s="30"/>
      <c r="J1753" s="30"/>
      <c r="K1753" s="30"/>
      <c r="L1753" s="30"/>
      <c r="M1753" s="30"/>
      <c r="N1753" s="30"/>
      <c r="O1753" s="30"/>
      <c r="P1753" s="30"/>
      <c r="Q1753" s="30"/>
      <c r="R1753" s="30"/>
      <c r="S1753" s="30"/>
      <c r="T1753" s="30"/>
      <c r="U1753" s="30"/>
      <c r="V1753" s="30"/>
      <c r="W1753" s="30"/>
      <c r="X1753" s="30"/>
    </row>
    <row r="1754">
      <c r="A1754" s="30"/>
      <c r="B1754" s="30"/>
      <c r="C1754" s="30"/>
      <c r="D1754" s="30"/>
      <c r="E1754" s="30"/>
      <c r="F1754" s="30"/>
      <c r="G1754" s="30"/>
      <c r="H1754" s="30"/>
      <c r="I1754" s="30"/>
      <c r="J1754" s="30"/>
      <c r="K1754" s="30"/>
      <c r="L1754" s="30"/>
      <c r="M1754" s="30"/>
      <c r="N1754" s="30"/>
      <c r="O1754" s="30"/>
      <c r="P1754" s="30"/>
      <c r="Q1754" s="30"/>
      <c r="R1754" s="30"/>
      <c r="S1754" s="30"/>
      <c r="T1754" s="30"/>
      <c r="U1754" s="30"/>
      <c r="V1754" s="30"/>
      <c r="W1754" s="30"/>
      <c r="X1754" s="30"/>
    </row>
    <row r="1755">
      <c r="A1755" s="30"/>
      <c r="B1755" s="30"/>
      <c r="C1755" s="30"/>
      <c r="D1755" s="30"/>
      <c r="E1755" s="30"/>
      <c r="F1755" s="30"/>
      <c r="G1755" s="30"/>
      <c r="H1755" s="30"/>
      <c r="I1755" s="30"/>
      <c r="J1755" s="30"/>
      <c r="K1755" s="30"/>
      <c r="L1755" s="30"/>
      <c r="M1755" s="30"/>
      <c r="N1755" s="30"/>
      <c r="O1755" s="30"/>
      <c r="P1755" s="30"/>
      <c r="Q1755" s="30"/>
      <c r="R1755" s="30"/>
      <c r="S1755" s="30"/>
      <c r="T1755" s="30"/>
      <c r="U1755" s="30"/>
      <c r="V1755" s="30"/>
      <c r="W1755" s="30"/>
      <c r="X1755" s="30"/>
    </row>
    <row r="1756">
      <c r="A1756" s="30"/>
      <c r="B1756" s="30"/>
      <c r="C1756" s="30"/>
      <c r="D1756" s="30"/>
      <c r="E1756" s="30"/>
      <c r="F1756" s="30"/>
      <c r="G1756" s="30"/>
      <c r="H1756" s="30"/>
      <c r="I1756" s="30"/>
      <c r="J1756" s="30"/>
      <c r="K1756" s="30"/>
      <c r="L1756" s="30"/>
      <c r="M1756" s="30"/>
      <c r="N1756" s="30"/>
      <c r="O1756" s="30"/>
      <c r="P1756" s="30"/>
      <c r="Q1756" s="30"/>
      <c r="R1756" s="30"/>
      <c r="S1756" s="30"/>
      <c r="T1756" s="30"/>
      <c r="U1756" s="30"/>
      <c r="V1756" s="30"/>
      <c r="W1756" s="30"/>
      <c r="X1756" s="30"/>
    </row>
    <row r="1757">
      <c r="A1757" s="30"/>
      <c r="B1757" s="30"/>
      <c r="C1757" s="30"/>
      <c r="D1757" s="30"/>
      <c r="E1757" s="30"/>
      <c r="F1757" s="30"/>
      <c r="G1757" s="30"/>
      <c r="H1757" s="30"/>
      <c r="I1757" s="30"/>
      <c r="J1757" s="30"/>
      <c r="K1757" s="30"/>
      <c r="L1757" s="30"/>
      <c r="M1757" s="30"/>
      <c r="N1757" s="30"/>
      <c r="O1757" s="30"/>
      <c r="P1757" s="30"/>
      <c r="Q1757" s="30"/>
      <c r="R1757" s="30"/>
      <c r="S1757" s="30"/>
      <c r="T1757" s="30"/>
      <c r="U1757" s="30"/>
      <c r="V1757" s="30"/>
      <c r="W1757" s="30"/>
      <c r="X1757" s="30"/>
    </row>
    <row r="1758">
      <c r="A1758" s="30"/>
      <c r="B1758" s="30"/>
      <c r="C1758" s="30"/>
      <c r="D1758" s="30"/>
      <c r="E1758" s="30"/>
      <c r="F1758" s="30"/>
      <c r="G1758" s="30"/>
      <c r="H1758" s="30"/>
      <c r="I1758" s="30"/>
      <c r="J1758" s="30"/>
      <c r="K1758" s="30"/>
      <c r="L1758" s="30"/>
      <c r="M1758" s="30"/>
      <c r="N1758" s="30"/>
      <c r="O1758" s="30"/>
      <c r="P1758" s="30"/>
      <c r="Q1758" s="30"/>
      <c r="R1758" s="30"/>
      <c r="S1758" s="30"/>
      <c r="T1758" s="30"/>
      <c r="U1758" s="30"/>
      <c r="V1758" s="30"/>
      <c r="W1758" s="30"/>
      <c r="X1758" s="30"/>
    </row>
  </sheetData>
  <drawing r:id="rId1"/>
  <tableParts count="1">
    <tablePart r:id="rId3"/>
  </tableParts>
</worksheet>
</file>